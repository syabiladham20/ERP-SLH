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Formulation_Library" sheetId="2" state="visible" r:id="rId2"/>
    <sheet name="Daily_Input" sheetId="3" state="visible" r:id="rId3"/>
    <sheet name="Usage_Reconciliation" sheetId="4" state="visible" r:id="rId4"/>
    <sheet name="FORMULA" sheetId="5" state="visible" r:id="rId5"/>
    <sheet name="PRODUCE" sheetId="6" state="visible" r:id="rId6"/>
    <sheet name="VAC &amp; MED" sheetId="7" state="visible" r:id="rId7"/>
    <sheet name="SUMMARY" sheetId="8" state="visible" r:id="rId8"/>
    <sheet name="Jan26" sheetId="9" state="visible" r:id="rId9"/>
    <sheet name="Feb26" sheetId="10" state="visible" r:id="rId10"/>
    <sheet name="Mar26" sheetId="11" state="visible" r:id="rId11"/>
    <sheet name="Apr26" sheetId="12" state="visible" r:id="rId12"/>
    <sheet name="May26" sheetId="13" state="visible" r:id="rId13"/>
    <sheet name="Jun26" sheetId="14" state="visible" r:id="rId14"/>
    <sheet name="Jul26" sheetId="15" state="visible" r:id="rId15"/>
    <sheet name="Aug26" sheetId="16" state="visible" r:id="rId16"/>
    <sheet name="Sept26" sheetId="17" state="visible" r:id="rId17"/>
    <sheet name="Oct26" sheetId="18" state="visible" r:id="rId18"/>
    <sheet name="Nov26" sheetId="19" state="visible" r:id="rId19"/>
    <sheet name="Dec26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sz val="10"/>
    </font>
    <font>
      <name val="Segoe UI"/>
      <b val="1"/>
      <color rgb="00FFFFFF"/>
      <sz val="11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2" borderId="0" pivotButton="0" quotePrefix="0" xfId="0"/>
    <xf numFmtId="4" fontId="2" fillId="0" borderId="1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0" fontId="2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2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tbl_Ingredients" displayName="tbl_Ingredients" ref="A3:D73" headerRowCount="1">
  <autoFilter ref="A3:D73"/>
  <tableColumns count="4">
    <tableColumn id="1" name="Ingredient_Code"/>
    <tableColumn id="2" name="Ingredient_Name"/>
    <tableColumn id="3" name="Unit"/>
    <tableColumn id="4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Feed_Master" displayName="tbl_Feed_Master" ref="F3:H19" headerRowCount="1">
  <autoFilter ref="F3:H19"/>
  <tableColumns count="3">
    <tableColumn id="6" name="Feed_Code"/>
    <tableColumn id="7" name="Feed_Name"/>
    <tableColumn id="8" name="Standard_Batch_Size_M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Formulations" displayName="tbl_Formulations" ref="A3:H181" headerRowCount="1">
  <autoFilter ref="A3:H181"/>
  <tableColumns count="8">
    <tableColumn id="1" name="Formula_Key"/>
    <tableColumn id="2" name="Feed_Code"/>
    <tableColumn id="3" name="Effective_Date"/>
    <tableColumn id="4" name="Status"/>
    <tableColumn id="5" name="Remark"/>
    <tableColumn id="6" name="Ingredient_Name"/>
    <tableColumn id="7" name="Inclusion_kg_per_MT"/>
    <tableColumn id="8" name="Helper_Ke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Orders" displayName="tbl_Orders" ref="A4:E253" headerRowCount="1">
  <autoFilter ref="A4:E253"/>
  <tableColumns count="5">
    <tableColumn id="1" name="Order_ID"/>
    <tableColumn id="2" name="Order_Date"/>
    <tableColumn id="3" name="Feed_Code"/>
    <tableColumn id="4" name="Formula_Key"/>
    <tableColumn id="5" name="Ordered_M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Feedmill_Actuals" displayName="tbl_Feedmill_Actuals" ref="G4:J1252" headerRowCount="1">
  <autoFilter ref="G4:J1252"/>
  <tableColumns count="4">
    <tableColumn id="7" name="Report_Date"/>
    <tableColumn id="8" name="Ingredient_Name"/>
    <tableColumn id="9" name="Actual_Used_MT"/>
    <tableColumn id="10" name="Mill_Batch_Ref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bl_Usage_Reconciliation" displayName="tbl_Usage_Reconciliation" ref="A6:I76" headerRowCount="1">
  <autoFilter ref="A6:I76"/>
  <tableColumns count="9">
    <tableColumn id="1" name="Ingredient_Name"/>
    <tableColumn id="2" name="Day Expected (MT)"/>
    <tableColumn id="3" name="Day Actual (MT)"/>
    <tableColumn id="4" name="Day Var (MT)"/>
    <tableColumn id="5" name="Day Var %"/>
    <tableColumn id="6" name="MTD Expected (MT)"/>
    <tableColumn id="7" name="MTD Actual (MT)"/>
    <tableColumn id="8" name="MTD Var (MT)"/>
    <tableColumn id="9" name="MTD Var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21" customWidth="1" min="4" max="4"/>
    <col width="12" customWidth="1" min="5" max="5"/>
    <col width="12" customWidth="1" min="6" max="6"/>
    <col width="27" customWidth="1" min="7" max="7"/>
    <col width="25" customWidth="1" min="8" max="8"/>
  </cols>
  <sheetData>
    <row r="1">
      <c r="A1" s="1" t="inlineStr">
        <is>
          <t>Master Reference Data (Ingredients &amp; Feed Codes)</t>
        </is>
      </c>
    </row>
    <row r="2"/>
    <row r="3">
      <c r="A3" t="inlineStr">
        <is>
          <t>Ingredient_Code</t>
        </is>
      </c>
      <c r="B3" t="inlineStr">
        <is>
          <t>Ingredient_Name</t>
        </is>
      </c>
      <c r="C3" t="inlineStr">
        <is>
          <t>Unit</t>
        </is>
      </c>
      <c r="D3" t="inlineStr">
        <is>
          <t>Category</t>
        </is>
      </c>
      <c r="F3" t="inlineStr">
        <is>
          <t>Feed_Code</t>
        </is>
      </c>
      <c r="G3" t="inlineStr">
        <is>
          <t>Feed_Name</t>
        </is>
      </c>
      <c r="H3" t="inlineStr">
        <is>
          <t>Standard_Batch_Size_MT</t>
        </is>
      </c>
    </row>
    <row r="4">
      <c r="A4" s="2" t="inlineStr">
        <is>
          <t>ING-001</t>
        </is>
      </c>
      <c r="B4" s="2" t="inlineStr">
        <is>
          <t>MAIZE/CORN</t>
        </is>
      </c>
      <c r="C4" s="2" t="inlineStr">
        <is>
          <t>KG</t>
        </is>
      </c>
      <c r="D4" s="2" t="inlineStr">
        <is>
          <t>Grain</t>
        </is>
      </c>
      <c r="F4" s="2" t="inlineStr">
        <is>
          <t>1101C</t>
        </is>
      </c>
      <c r="G4" s="2" t="inlineStr">
        <is>
          <t>Broiler Starter 1101C</t>
        </is>
      </c>
      <c r="H4" s="2" t="n">
        <v>1</v>
      </c>
    </row>
    <row r="5">
      <c r="A5" s="2" t="inlineStr">
        <is>
          <t>ING-002</t>
        </is>
      </c>
      <c r="B5" s="2" t="inlineStr">
        <is>
          <t>SOYBEAN MEAL (ARG)</t>
        </is>
      </c>
      <c r="C5" s="2" t="inlineStr">
        <is>
          <t>KG</t>
        </is>
      </c>
      <c r="D5" s="2" t="inlineStr">
        <is>
          <t>Protein</t>
        </is>
      </c>
      <c r="F5" s="2" t="inlineStr">
        <is>
          <t>1102C/P</t>
        </is>
      </c>
      <c r="G5" s="2" t="inlineStr">
        <is>
          <t>Broiler Grower 1102C/P</t>
        </is>
      </c>
      <c r="H5" s="2" t="n">
        <v>1</v>
      </c>
    </row>
    <row r="6">
      <c r="A6" s="2" t="inlineStr">
        <is>
          <t>ING-003</t>
        </is>
      </c>
      <c r="B6" s="2" t="inlineStr">
        <is>
          <t>SOYBEAN FULL FAT</t>
        </is>
      </c>
      <c r="C6" s="2" t="inlineStr">
        <is>
          <t>KG</t>
        </is>
      </c>
      <c r="D6" s="2" t="inlineStr">
        <is>
          <t>Protein</t>
        </is>
      </c>
      <c r="F6" s="2" t="inlineStr">
        <is>
          <t>1103P</t>
        </is>
      </c>
      <c r="G6" s="2" t="inlineStr">
        <is>
          <t>Broiler Finisher 1 1103P</t>
        </is>
      </c>
      <c r="H6" s="2" t="n">
        <v>1</v>
      </c>
    </row>
    <row r="7">
      <c r="A7" s="2" t="inlineStr">
        <is>
          <t>ING-004</t>
        </is>
      </c>
      <c r="B7" s="2" t="inlineStr">
        <is>
          <t>WHEAT POLLARD</t>
        </is>
      </c>
      <c r="C7" s="2" t="inlineStr">
        <is>
          <t>KG</t>
        </is>
      </c>
      <c r="D7" s="2" t="inlineStr">
        <is>
          <t>Grain</t>
        </is>
      </c>
      <c r="F7" s="2" t="inlineStr">
        <is>
          <t>1104P</t>
        </is>
      </c>
      <c r="G7" s="2" t="inlineStr">
        <is>
          <t>Broiler Finisher 2 1104P</t>
        </is>
      </c>
      <c r="H7" s="2" t="n">
        <v>1</v>
      </c>
    </row>
    <row r="8">
      <c r="A8" s="2" t="inlineStr">
        <is>
          <t>ING-005</t>
        </is>
      </c>
      <c r="B8" s="2" t="inlineStr">
        <is>
          <t>WHEAT</t>
        </is>
      </c>
      <c r="C8" s="2" t="inlineStr">
        <is>
          <t>KG</t>
        </is>
      </c>
      <c r="D8" s="2" t="inlineStr">
        <is>
          <t>Grain</t>
        </is>
      </c>
      <c r="F8" s="2" t="inlineStr">
        <is>
          <t>8100</t>
        </is>
      </c>
      <c r="G8" s="2" t="inlineStr">
        <is>
          <t>Broiler Pre-Starter 8100</t>
        </is>
      </c>
      <c r="H8" s="2" t="n">
        <v>1</v>
      </c>
    </row>
    <row r="9">
      <c r="A9" s="2" t="inlineStr">
        <is>
          <t>ING-006</t>
        </is>
      </c>
      <c r="B9" s="2" t="inlineStr">
        <is>
          <t>MEAT AND BONE MEAL</t>
        </is>
      </c>
      <c r="C9" s="2" t="inlineStr">
        <is>
          <t>KG</t>
        </is>
      </c>
      <c r="D9" s="2" t="inlineStr">
        <is>
          <t>Protein</t>
        </is>
      </c>
      <c r="F9" s="2" t="inlineStr">
        <is>
          <t>8101</t>
        </is>
      </c>
      <c r="G9" s="2" t="inlineStr">
        <is>
          <t>Broiler Starter 8101</t>
        </is>
      </c>
      <c r="H9" s="2" t="n">
        <v>1</v>
      </c>
    </row>
    <row r="10">
      <c r="A10" s="2" t="inlineStr">
        <is>
          <t>ING-007</t>
        </is>
      </c>
      <c r="B10" s="2" t="inlineStr">
        <is>
          <t>CORN GLUTEN MEAL</t>
        </is>
      </c>
      <c r="C10" s="2" t="inlineStr">
        <is>
          <t>KG</t>
        </is>
      </c>
      <c r="D10" s="2" t="inlineStr">
        <is>
          <t>Grain</t>
        </is>
      </c>
      <c r="F10" s="2" t="inlineStr">
        <is>
          <t>8102</t>
        </is>
      </c>
      <c r="G10" s="2" t="inlineStr">
        <is>
          <t>Broiler Grower 8102</t>
        </is>
      </c>
      <c r="H10" s="2" t="n">
        <v>1</v>
      </c>
    </row>
    <row r="11">
      <c r="A11" s="2" t="inlineStr">
        <is>
          <t>ING-008</t>
        </is>
      </c>
      <c r="B11" s="2" t="inlineStr">
        <is>
          <t>MEGAFAT (HARUMI)</t>
        </is>
      </c>
      <c r="C11" s="2" t="inlineStr">
        <is>
          <t>KG</t>
        </is>
      </c>
      <c r="D11" s="2" t="inlineStr">
        <is>
          <t>Fat/Oil</t>
        </is>
      </c>
      <c r="F11" s="2" t="inlineStr">
        <is>
          <t>8103</t>
        </is>
      </c>
      <c r="G11" s="2" t="inlineStr">
        <is>
          <t>Broiler Finisher 8103</t>
        </is>
      </c>
      <c r="H11" s="2" t="n">
        <v>1</v>
      </c>
    </row>
    <row r="12">
      <c r="A12" s="2" t="inlineStr">
        <is>
          <t>ING-009</t>
        </is>
      </c>
      <c r="B12" s="2" t="inlineStr">
        <is>
          <t>DCP 18%</t>
        </is>
      </c>
      <c r="C12" s="2" t="inlineStr">
        <is>
          <t>KG</t>
        </is>
      </c>
      <c r="D12" s="2" t="inlineStr">
        <is>
          <t>Micro/Raw Material</t>
        </is>
      </c>
      <c r="F12" s="2" t="inlineStr">
        <is>
          <t>121</t>
        </is>
      </c>
      <c r="G12" s="2" t="inlineStr">
        <is>
          <t>Broiler Starter 121</t>
        </is>
      </c>
      <c r="H12" s="2" t="n">
        <v>1</v>
      </c>
    </row>
    <row r="13">
      <c r="A13" s="2" t="inlineStr">
        <is>
          <t>ING-010</t>
        </is>
      </c>
      <c r="B13" s="2" t="inlineStr">
        <is>
          <t>LIMESTONE POWDER (HARUMI)</t>
        </is>
      </c>
      <c r="C13" s="2" t="inlineStr">
        <is>
          <t>KG</t>
        </is>
      </c>
      <c r="D13" s="2" t="inlineStr">
        <is>
          <t>Micro/Raw Material</t>
        </is>
      </c>
      <c r="F13" s="2" t="inlineStr">
        <is>
          <t>122</t>
        </is>
      </c>
      <c r="G13" s="2" t="inlineStr">
        <is>
          <t>Broiler Grower 122</t>
        </is>
      </c>
      <c r="H13" s="2" t="n">
        <v>1</v>
      </c>
    </row>
    <row r="14">
      <c r="A14" s="2" t="inlineStr">
        <is>
          <t>ING-011</t>
        </is>
      </c>
      <c r="B14" s="2" t="inlineStr">
        <is>
          <t>CHOLINE CHLORIDE 60%</t>
        </is>
      </c>
      <c r="C14" s="2" t="inlineStr">
        <is>
          <t>KG</t>
        </is>
      </c>
      <c r="D14" s="2" t="inlineStr">
        <is>
          <t>Additive</t>
        </is>
      </c>
      <c r="F14" s="2" t="inlineStr">
        <is>
          <t>123</t>
        </is>
      </c>
      <c r="G14" s="2" t="inlineStr">
        <is>
          <t>Broiler Finisher 123</t>
        </is>
      </c>
      <c r="H14" s="2" t="n">
        <v>1</v>
      </c>
    </row>
    <row r="15">
      <c r="A15" s="2" t="inlineStr">
        <is>
          <t>ING-012</t>
        </is>
      </c>
      <c r="B15" s="2" t="inlineStr">
        <is>
          <t>INDUSTRY FLOUR</t>
        </is>
      </c>
      <c r="C15" s="2" t="inlineStr">
        <is>
          <t>KG</t>
        </is>
      </c>
      <c r="D15" s="2" t="inlineStr">
        <is>
          <t>Micro/Raw Material</t>
        </is>
      </c>
      <c r="F15" s="2" t="inlineStr">
        <is>
          <t>311</t>
        </is>
      </c>
      <c r="G15" s="2" t="inlineStr">
        <is>
          <t>Broiler Feed 311</t>
        </is>
      </c>
      <c r="H15" s="2" t="n">
        <v>1</v>
      </c>
    </row>
    <row r="16">
      <c r="A16" s="2" t="inlineStr">
        <is>
          <t>ING-013</t>
        </is>
      </c>
      <c r="B16" s="2" t="inlineStr">
        <is>
          <t>RICE BRAN</t>
        </is>
      </c>
      <c r="C16" s="2" t="inlineStr">
        <is>
          <t>KG</t>
        </is>
      </c>
      <c r="D16" s="2" t="inlineStr">
        <is>
          <t>Grain</t>
        </is>
      </c>
      <c r="F16" s="2" t="inlineStr">
        <is>
          <t>312</t>
        </is>
      </c>
      <c r="G16" s="2" t="inlineStr">
        <is>
          <t>Broiler Feed 312</t>
        </is>
      </c>
      <c r="H16" s="2" t="n">
        <v>1</v>
      </c>
    </row>
    <row r="17">
      <c r="A17" s="2" t="inlineStr">
        <is>
          <t>ING-014</t>
        </is>
      </c>
      <c r="B17" s="2" t="inlineStr">
        <is>
          <t>EP 200</t>
        </is>
      </c>
      <c r="C17" s="2" t="inlineStr">
        <is>
          <t>KG</t>
        </is>
      </c>
      <c r="D17" s="2" t="inlineStr">
        <is>
          <t>Micro/Raw Material</t>
        </is>
      </c>
      <c r="F17" s="2" t="inlineStr">
        <is>
          <t>5201</t>
        </is>
      </c>
      <c r="G17" s="2" t="inlineStr">
        <is>
          <t>Broiler Feed 5201</t>
        </is>
      </c>
      <c r="H17" s="2" t="n">
        <v>1</v>
      </c>
    </row>
    <row r="18">
      <c r="A18" s="2" t="inlineStr">
        <is>
          <t>ING-015</t>
        </is>
      </c>
      <c r="B18" s="2" t="inlineStr">
        <is>
          <t>SOYTIDE</t>
        </is>
      </c>
      <c r="C18" s="2" t="inlineStr">
        <is>
          <t>KG</t>
        </is>
      </c>
      <c r="D18" s="2" t="inlineStr">
        <is>
          <t>Protein</t>
        </is>
      </c>
      <c r="F18" s="2" t="inlineStr">
        <is>
          <t>5202</t>
        </is>
      </c>
      <c r="G18" s="2" t="inlineStr">
        <is>
          <t>Broiler Feed 5202</t>
        </is>
      </c>
      <c r="H18" s="2" t="n">
        <v>1</v>
      </c>
    </row>
    <row r="19">
      <c r="A19" s="2" t="inlineStr">
        <is>
          <t>ING-016</t>
        </is>
      </c>
      <c r="B19" s="2" t="inlineStr">
        <is>
          <t>DCP 18% (HARUMI)</t>
        </is>
      </c>
      <c r="C19" s="2" t="inlineStr">
        <is>
          <t>KG</t>
        </is>
      </c>
      <c r="D19" s="2" t="inlineStr">
        <is>
          <t>Micro/Raw Material</t>
        </is>
      </c>
      <c r="F19" s="2" t="inlineStr">
        <is>
          <t>5203</t>
        </is>
      </c>
      <c r="G19" s="2" t="inlineStr">
        <is>
          <t>Broiler Feed 5203</t>
        </is>
      </c>
      <c r="H19" s="2" t="n">
        <v>1</v>
      </c>
    </row>
    <row r="20">
      <c r="A20" s="2" t="inlineStr">
        <is>
          <t>ING-017</t>
        </is>
      </c>
      <c r="B20" s="2" t="inlineStr">
        <is>
          <t>YENMIX 121 (20KG)</t>
        </is>
      </c>
      <c r="C20" s="2" t="inlineStr">
        <is>
          <t>KG</t>
        </is>
      </c>
      <c r="D20" s="2" t="inlineStr">
        <is>
          <t>Micro/Raw Material</t>
        </is>
      </c>
    </row>
    <row r="21">
      <c r="A21" s="2" t="inlineStr">
        <is>
          <t>ING-018</t>
        </is>
      </c>
      <c r="B21" s="2" t="inlineStr">
        <is>
          <t>YENMIX 122 (19.50KG)</t>
        </is>
      </c>
      <c r="C21" s="2" t="inlineStr">
        <is>
          <t>KG</t>
        </is>
      </c>
      <c r="D21" s="2" t="inlineStr">
        <is>
          <t>Micro/Raw Material</t>
        </is>
      </c>
    </row>
    <row r="22">
      <c r="A22" s="2" t="inlineStr">
        <is>
          <t>ING-019</t>
        </is>
      </c>
      <c r="B22" s="2" t="inlineStr">
        <is>
          <t>YENMIX 123 (18.90KG)</t>
        </is>
      </c>
      <c r="C22" s="2" t="inlineStr">
        <is>
          <t>KG</t>
        </is>
      </c>
      <c r="D22" s="2" t="inlineStr">
        <is>
          <t>Micro/Raw Material</t>
        </is>
      </c>
    </row>
    <row r="23">
      <c r="A23" s="2" t="inlineStr">
        <is>
          <t>ING-020</t>
        </is>
      </c>
      <c r="B23" s="2" t="inlineStr">
        <is>
          <t>YENMIX 122 (20.50KG)</t>
        </is>
      </c>
      <c r="C23" s="2" t="inlineStr">
        <is>
          <t>KG</t>
        </is>
      </c>
      <c r="D23" s="2" t="inlineStr">
        <is>
          <t>Micro/Raw Material</t>
        </is>
      </c>
    </row>
    <row r="24">
      <c r="A24" s="2" t="inlineStr">
        <is>
          <t>ING-021</t>
        </is>
      </c>
      <c r="B24" s="2" t="inlineStr">
        <is>
          <t>YENMIX 123 (20.00KG)</t>
        </is>
      </c>
      <c r="C24" s="2" t="inlineStr">
        <is>
          <t>KG</t>
        </is>
      </c>
      <c r="D24" s="2" t="inlineStr">
        <is>
          <t>Micro/Raw Material</t>
        </is>
      </c>
    </row>
    <row r="25">
      <c r="A25" s="2" t="inlineStr">
        <is>
          <t>ING-022</t>
        </is>
      </c>
      <c r="B25" s="2" t="inlineStr">
        <is>
          <t>TOXISORB PREMIUM</t>
        </is>
      </c>
      <c r="C25" s="2" t="inlineStr">
        <is>
          <t>KG</t>
        </is>
      </c>
      <c r="D25" s="2" t="inlineStr">
        <is>
          <t>Micro/Raw Material</t>
        </is>
      </c>
    </row>
    <row r="26">
      <c r="A26" s="2" t="inlineStr">
        <is>
          <t>ING-023</t>
        </is>
      </c>
      <c r="B26" s="2" t="inlineStr">
        <is>
          <t>SODIUM HUMATE 3.8% (HARUMI)</t>
        </is>
      </c>
      <c r="C26" s="2" t="inlineStr">
        <is>
          <t>KG</t>
        </is>
      </c>
      <c r="D26" s="2" t="inlineStr">
        <is>
          <t>Micro/Raw Material</t>
        </is>
      </c>
    </row>
    <row r="27">
      <c r="A27" s="2" t="inlineStr">
        <is>
          <t>ING-024</t>
        </is>
      </c>
      <c r="B27" s="2" t="inlineStr">
        <is>
          <t>TOXIWALL</t>
        </is>
      </c>
      <c r="C27" s="2" t="inlineStr">
        <is>
          <t>KG</t>
        </is>
      </c>
      <c r="D27" s="2" t="inlineStr">
        <is>
          <t>Micro/Raw Material</t>
        </is>
      </c>
    </row>
    <row r="28">
      <c r="A28" s="2" t="inlineStr">
        <is>
          <t>ING-025</t>
        </is>
      </c>
      <c r="B28" s="2" t="inlineStr">
        <is>
          <t>SODIUM BICARBONATE</t>
        </is>
      </c>
      <c r="C28" s="2" t="inlineStr">
        <is>
          <t>KG</t>
        </is>
      </c>
      <c r="D28" s="2" t="inlineStr">
        <is>
          <t>Micro/Raw Material</t>
        </is>
      </c>
    </row>
    <row r="29">
      <c r="A29" s="2" t="inlineStr">
        <is>
          <t>ING-026</t>
        </is>
      </c>
      <c r="B29" s="2" t="inlineStr">
        <is>
          <t>BMD 10%</t>
        </is>
      </c>
      <c r="C29" s="2" t="inlineStr">
        <is>
          <t>KG</t>
        </is>
      </c>
      <c r="D29" s="2" t="inlineStr">
        <is>
          <t>Micro/Raw Material</t>
        </is>
      </c>
    </row>
    <row r="30">
      <c r="A30" s="2" t="inlineStr">
        <is>
          <t>ING-027</t>
        </is>
      </c>
      <c r="B30" s="2" t="inlineStr">
        <is>
          <t>SALT (HARUMI)</t>
        </is>
      </c>
      <c r="C30" s="2" t="inlineStr">
        <is>
          <t>KG</t>
        </is>
      </c>
      <c r="D30" s="2" t="inlineStr">
        <is>
          <t>Micro/Raw Material</t>
        </is>
      </c>
    </row>
    <row r="31">
      <c r="A31" s="2" t="inlineStr">
        <is>
          <t>ING-028</t>
        </is>
      </c>
      <c r="B31" s="2" t="inlineStr">
        <is>
          <t>VISTABET 91</t>
        </is>
      </c>
      <c r="C31" s="2" t="inlineStr">
        <is>
          <t>KG</t>
        </is>
      </c>
      <c r="D31" s="2" t="inlineStr">
        <is>
          <t>Micro/Raw Material</t>
        </is>
      </c>
    </row>
    <row r="32">
      <c r="A32" s="2" t="inlineStr">
        <is>
          <t>ING-029</t>
        </is>
      </c>
      <c r="B32" s="2" t="inlineStr">
        <is>
          <t>BETAFIN</t>
        </is>
      </c>
      <c r="C32" s="2" t="inlineStr">
        <is>
          <t>KG</t>
        </is>
      </c>
      <c r="D32" s="2" t="inlineStr">
        <is>
          <t>Micro/Raw Material</t>
        </is>
      </c>
    </row>
    <row r="33">
      <c r="A33" s="2" t="inlineStr">
        <is>
          <t>ING-030</t>
        </is>
      </c>
      <c r="B33" s="2" t="inlineStr">
        <is>
          <t>8101 TOP UP</t>
        </is>
      </c>
      <c r="C33" s="2" t="inlineStr">
        <is>
          <t>KG</t>
        </is>
      </c>
      <c r="D33" s="2" t="inlineStr">
        <is>
          <t>Additive</t>
        </is>
      </c>
    </row>
    <row r="34">
      <c r="A34" s="2" t="inlineStr">
        <is>
          <t>ING-031</t>
        </is>
      </c>
      <c r="B34" s="2" t="inlineStr">
        <is>
          <t>NORPONIN X03 (8102 TOP UP)</t>
        </is>
      </c>
      <c r="C34" s="2" t="inlineStr">
        <is>
          <t>KG</t>
        </is>
      </c>
      <c r="D34" s="2" t="inlineStr">
        <is>
          <t>Additive</t>
        </is>
      </c>
    </row>
    <row r="35">
      <c r="A35" s="2" t="inlineStr">
        <is>
          <t>ING-032</t>
        </is>
      </c>
      <c r="B35" s="2" t="inlineStr">
        <is>
          <t>8102 TOP UP (4KG)</t>
        </is>
      </c>
      <c r="C35" s="2" t="inlineStr">
        <is>
          <t>KG</t>
        </is>
      </c>
      <c r="D35" s="2" t="inlineStr">
        <is>
          <t>Additive</t>
        </is>
      </c>
    </row>
    <row r="36">
      <c r="A36" s="2" t="inlineStr">
        <is>
          <t>ING-033</t>
        </is>
      </c>
      <c r="B36" s="2" t="inlineStr">
        <is>
          <t>8103 TOP UP (5KG)</t>
        </is>
      </c>
      <c r="C36" s="2" t="inlineStr">
        <is>
          <t>KG</t>
        </is>
      </c>
      <c r="D36" s="2" t="inlineStr">
        <is>
          <t>Additive</t>
        </is>
      </c>
    </row>
    <row r="37">
      <c r="A37" s="2" t="inlineStr">
        <is>
          <t>ING-034</t>
        </is>
      </c>
      <c r="B37" s="2" t="inlineStr">
        <is>
          <t>L-ARGININE</t>
        </is>
      </c>
      <c r="C37" s="2" t="inlineStr">
        <is>
          <t>KG</t>
        </is>
      </c>
      <c r="D37" s="2" t="inlineStr">
        <is>
          <t>Micro/Raw Material</t>
        </is>
      </c>
    </row>
    <row r="38">
      <c r="A38" s="2" t="inlineStr">
        <is>
          <t>ING-035</t>
        </is>
      </c>
      <c r="B38" s="2" t="inlineStr">
        <is>
          <t>DL-METHIONINE</t>
        </is>
      </c>
      <c r="C38" s="2" t="inlineStr">
        <is>
          <t>KG</t>
        </is>
      </c>
      <c r="D38" s="2" t="inlineStr">
        <is>
          <t>Micro/Raw Material</t>
        </is>
      </c>
    </row>
    <row r="39">
      <c r="A39" s="2" t="inlineStr">
        <is>
          <t>ING-036</t>
        </is>
      </c>
      <c r="B39" s="2" t="inlineStr">
        <is>
          <t>L-THREONINE</t>
        </is>
      </c>
      <c r="C39" s="2" t="inlineStr">
        <is>
          <t>KG</t>
        </is>
      </c>
      <c r="D39" s="2" t="inlineStr">
        <is>
          <t>Micro/Raw Material</t>
        </is>
      </c>
    </row>
    <row r="40">
      <c r="A40" s="2" t="inlineStr">
        <is>
          <t>ING-037</t>
        </is>
      </c>
      <c r="B40" s="2" t="inlineStr">
        <is>
          <t>L-LYSINE</t>
        </is>
      </c>
      <c r="C40" s="2" t="inlineStr">
        <is>
          <t>KG</t>
        </is>
      </c>
      <c r="D40" s="2" t="inlineStr">
        <is>
          <t>Micro/Raw Material</t>
        </is>
      </c>
    </row>
    <row r="41">
      <c r="A41" s="2" t="inlineStr">
        <is>
          <t>ING-038</t>
        </is>
      </c>
      <c r="B41" s="2" t="inlineStr">
        <is>
          <t>FAECES DRY</t>
        </is>
      </c>
      <c r="C41" s="2" t="inlineStr">
        <is>
          <t>KG</t>
        </is>
      </c>
      <c r="D41" s="2" t="inlineStr">
        <is>
          <t>Micro/Raw Material</t>
        </is>
      </c>
    </row>
    <row r="42">
      <c r="A42" s="2" t="inlineStr">
        <is>
          <t>ING-039</t>
        </is>
      </c>
      <c r="B42" s="2" t="inlineStr">
        <is>
          <t>ECOBIOL</t>
        </is>
      </c>
      <c r="C42" s="2" t="inlineStr">
        <is>
          <t>KG</t>
        </is>
      </c>
      <c r="D42" s="2" t="inlineStr">
        <is>
          <t>Micro/Raw Material</t>
        </is>
      </c>
    </row>
    <row r="43">
      <c r="A43" s="2" t="inlineStr">
        <is>
          <t>ING-040</t>
        </is>
      </c>
      <c r="B43" s="2" t="inlineStr">
        <is>
          <t>MASTER CUBE (HARUMI)</t>
        </is>
      </c>
      <c r="C43" s="2" t="inlineStr">
        <is>
          <t>KG</t>
        </is>
      </c>
      <c r="D43" s="2" t="inlineStr">
        <is>
          <t>Micro/Raw Material</t>
        </is>
      </c>
    </row>
    <row r="44">
      <c r="A44" s="2" t="inlineStr">
        <is>
          <t>ING-041</t>
        </is>
      </c>
      <c r="B44" s="2" t="inlineStr">
        <is>
          <t>QUANTUM GLO 4%</t>
        </is>
      </c>
      <c r="C44" s="2" t="inlineStr">
        <is>
          <t>KG</t>
        </is>
      </c>
      <c r="D44" s="2" t="inlineStr">
        <is>
          <t>Micro/Raw Material</t>
        </is>
      </c>
    </row>
    <row r="45">
      <c r="A45" s="2" t="inlineStr">
        <is>
          <t>ING-042</t>
        </is>
      </c>
      <c r="B45" s="2" t="inlineStr">
        <is>
          <t>SALT</t>
        </is>
      </c>
      <c r="C45" s="2" t="inlineStr">
        <is>
          <t>KG</t>
        </is>
      </c>
      <c r="D45" s="2" t="inlineStr">
        <is>
          <t>Micro/Raw Material</t>
        </is>
      </c>
    </row>
    <row r="46">
      <c r="A46" s="2" t="inlineStr">
        <is>
          <t>ING-043</t>
        </is>
      </c>
      <c r="B46" s="2" t="inlineStr">
        <is>
          <t>OC 200 - OXYTET 20%</t>
        </is>
      </c>
      <c r="C46" s="2" t="inlineStr">
        <is>
          <t>KG</t>
        </is>
      </c>
      <c r="D46" s="2" t="inlineStr">
        <is>
          <t>Micro/Raw Material</t>
        </is>
      </c>
    </row>
    <row r="47">
      <c r="A47" s="2" t="inlineStr">
        <is>
          <t>ING-044</t>
        </is>
      </c>
      <c r="B47" s="2" t="inlineStr">
        <is>
          <t>PLAIN BAG 26" X 39" (50KG)</t>
        </is>
      </c>
      <c r="C47" s="2" t="inlineStr">
        <is>
          <t>KG</t>
        </is>
      </c>
      <c r="D47" s="2" t="inlineStr">
        <is>
          <t>Packaging</t>
        </is>
      </c>
    </row>
    <row r="48">
      <c r="A48" s="2" t="inlineStr">
        <is>
          <t>ING-045</t>
        </is>
      </c>
      <c r="B48" s="2" t="inlineStr">
        <is>
          <t>TOTAL</t>
        </is>
      </c>
      <c r="C48" s="2" t="inlineStr">
        <is>
          <t>KG</t>
        </is>
      </c>
      <c r="D48" s="2" t="inlineStr">
        <is>
          <t>Micro/Raw Material</t>
        </is>
      </c>
    </row>
    <row r="49">
      <c r="A49" s="2" t="inlineStr">
        <is>
          <t>ING-046</t>
        </is>
      </c>
      <c r="B49" s="2" t="inlineStr">
        <is>
          <t>OC 200</t>
        </is>
      </c>
      <c r="C49" s="2" t="inlineStr">
        <is>
          <t>KG</t>
        </is>
      </c>
      <c r="D49" s="2" t="inlineStr">
        <is>
          <t>Micro/Raw Material</t>
        </is>
      </c>
    </row>
    <row r="50">
      <c r="A50" s="2" t="inlineStr">
        <is>
          <t>ING-047</t>
        </is>
      </c>
      <c r="B50" s="2" t="inlineStr">
        <is>
          <t>L-VALINE</t>
        </is>
      </c>
      <c r="C50" s="2" t="inlineStr">
        <is>
          <t>KG</t>
        </is>
      </c>
      <c r="D50" s="2" t="inlineStr">
        <is>
          <t>Micro/Raw Material</t>
        </is>
      </c>
    </row>
    <row r="51">
      <c r="A51" s="2" t="inlineStr">
        <is>
          <t>ING-048</t>
        </is>
      </c>
      <c r="B51" s="2" t="inlineStr">
        <is>
          <t>L-ISOLEUCINE</t>
        </is>
      </c>
      <c r="C51" s="2" t="inlineStr">
        <is>
          <t>KG</t>
        </is>
      </c>
      <c r="D51" s="2" t="inlineStr">
        <is>
          <t>Micro/Raw Material</t>
        </is>
      </c>
    </row>
    <row r="52">
      <c r="A52" s="2" t="inlineStr">
        <is>
          <t>ING-049</t>
        </is>
      </c>
      <c r="B52" s="2" t="inlineStr">
        <is>
          <t>PREMIX 1101 (20KG)</t>
        </is>
      </c>
      <c r="C52" s="2" t="inlineStr">
        <is>
          <t>KG</t>
        </is>
      </c>
      <c r="D52" s="2" t="inlineStr">
        <is>
          <t>Additive</t>
        </is>
      </c>
    </row>
    <row r="53">
      <c r="A53" s="2" t="inlineStr">
        <is>
          <t>ING-050</t>
        </is>
      </c>
      <c r="B53" s="2" t="inlineStr">
        <is>
          <t>PREMIX 1102 (20KG)</t>
        </is>
      </c>
      <c r="C53" s="2" t="inlineStr">
        <is>
          <t>KG</t>
        </is>
      </c>
      <c r="D53" s="2" t="inlineStr">
        <is>
          <t>Additive</t>
        </is>
      </c>
    </row>
    <row r="54">
      <c r="A54" s="2" t="inlineStr">
        <is>
          <t>ING-051</t>
        </is>
      </c>
      <c r="B54" s="2" t="inlineStr">
        <is>
          <t>PREMIX 1103 (20KG)</t>
        </is>
      </c>
      <c r="C54" s="2" t="inlineStr">
        <is>
          <t>KG</t>
        </is>
      </c>
      <c r="D54" s="2" t="inlineStr">
        <is>
          <t>Additive</t>
        </is>
      </c>
    </row>
    <row r="55">
      <c r="A55" s="2" t="inlineStr">
        <is>
          <t>ING-052</t>
        </is>
      </c>
      <c r="B55" s="2" t="inlineStr">
        <is>
          <t>PREMIX 311 (20KG)</t>
        </is>
      </c>
      <c r="C55" s="2" t="inlineStr">
        <is>
          <t>KG</t>
        </is>
      </c>
      <c r="D55" s="2" t="inlineStr">
        <is>
          <t>Additive</t>
        </is>
      </c>
    </row>
    <row r="56">
      <c r="A56" s="2" t="inlineStr">
        <is>
          <t>ING-053</t>
        </is>
      </c>
      <c r="B56" s="2" t="inlineStr">
        <is>
          <t>PREMIX 312 (20KG)</t>
        </is>
      </c>
      <c r="C56" s="2" t="inlineStr">
        <is>
          <t>KG</t>
        </is>
      </c>
      <c r="D56" s="2" t="inlineStr">
        <is>
          <t>Additive</t>
        </is>
      </c>
    </row>
    <row r="57">
      <c r="A57" s="2" t="inlineStr">
        <is>
          <t>ING-054</t>
        </is>
      </c>
      <c r="B57" s="2" t="inlineStr">
        <is>
          <t>PREMIX 8100 (20KG)</t>
        </is>
      </c>
      <c r="C57" s="2" t="inlineStr">
        <is>
          <t>KG</t>
        </is>
      </c>
      <c r="D57" s="2" t="inlineStr">
        <is>
          <t>Additive</t>
        </is>
      </c>
    </row>
    <row r="58">
      <c r="A58" s="2" t="inlineStr">
        <is>
          <t>ING-055</t>
        </is>
      </c>
      <c r="B58" s="2" t="inlineStr">
        <is>
          <t>PREMIX 8101 (20KG)</t>
        </is>
      </c>
      <c r="C58" s="2" t="inlineStr">
        <is>
          <t>KG</t>
        </is>
      </c>
      <c r="D58" s="2" t="inlineStr">
        <is>
          <t>Additive</t>
        </is>
      </c>
    </row>
    <row r="59">
      <c r="A59" s="2" t="inlineStr">
        <is>
          <t>ING-056</t>
        </is>
      </c>
      <c r="B59" s="2" t="inlineStr">
        <is>
          <t>PREMIX 8102 (20KG)</t>
        </is>
      </c>
      <c r="C59" s="2" t="inlineStr">
        <is>
          <t>KG</t>
        </is>
      </c>
      <c r="D59" s="2" t="inlineStr">
        <is>
          <t>Additive</t>
        </is>
      </c>
    </row>
    <row r="60">
      <c r="A60" s="2" t="inlineStr">
        <is>
          <t>ING-057</t>
        </is>
      </c>
      <c r="B60" s="2" t="inlineStr">
        <is>
          <t>PREMIX 8103 (20KG)</t>
        </is>
      </c>
      <c r="C60" s="2" t="inlineStr">
        <is>
          <t>KG</t>
        </is>
      </c>
      <c r="D60" s="2" t="inlineStr">
        <is>
          <t>Additive</t>
        </is>
      </c>
    </row>
    <row r="61">
      <c r="A61" s="2" t="inlineStr">
        <is>
          <t>ING-058</t>
        </is>
      </c>
      <c r="B61" s="2" t="inlineStr">
        <is>
          <t>PREMIX 8108 (20KG)</t>
        </is>
      </c>
      <c r="C61" s="2" t="inlineStr">
        <is>
          <t>KG</t>
        </is>
      </c>
      <c r="D61" s="2" t="inlineStr">
        <is>
          <t>Additive</t>
        </is>
      </c>
    </row>
    <row r="62">
      <c r="A62" s="2" t="inlineStr">
        <is>
          <t>ING-059</t>
        </is>
      </c>
      <c r="B62" s="2" t="inlineStr">
        <is>
          <t>PREMIX 8109 (20KG)</t>
        </is>
      </c>
      <c r="C62" s="2" t="inlineStr">
        <is>
          <t>KG</t>
        </is>
      </c>
      <c r="D62" s="2" t="inlineStr">
        <is>
          <t>Additive</t>
        </is>
      </c>
    </row>
    <row r="63">
      <c r="A63" s="2" t="inlineStr">
        <is>
          <t>ING-060</t>
        </is>
      </c>
      <c r="B63" s="2" t="inlineStr">
        <is>
          <t>ADDITIVE BROILER IMMUNE</t>
        </is>
      </c>
      <c r="C63" s="2" t="inlineStr">
        <is>
          <t>KG</t>
        </is>
      </c>
      <c r="D63" s="2" t="inlineStr">
        <is>
          <t>Fat/Oil</t>
        </is>
      </c>
    </row>
    <row r="64">
      <c r="A64" s="2" t="inlineStr">
        <is>
          <t>ING-061</t>
        </is>
      </c>
      <c r="B64" s="2" t="inlineStr">
        <is>
          <t>1101 TOP UP (0.40KG)</t>
        </is>
      </c>
      <c r="C64" s="2" t="inlineStr">
        <is>
          <t>KG</t>
        </is>
      </c>
      <c r="D64" s="2" t="inlineStr">
        <is>
          <t>Additive</t>
        </is>
      </c>
    </row>
    <row r="65">
      <c r="A65" s="2" t="inlineStr">
        <is>
          <t>ING-062</t>
        </is>
      </c>
      <c r="B65" s="2" t="inlineStr">
        <is>
          <t>1102 TOP UP (0.60KG)</t>
        </is>
      </c>
      <c r="C65" s="2" t="inlineStr">
        <is>
          <t>KG</t>
        </is>
      </c>
      <c r="D65" s="2" t="inlineStr">
        <is>
          <t>Additive</t>
        </is>
      </c>
    </row>
    <row r="66">
      <c r="A66" s="2" t="inlineStr">
        <is>
          <t>ING-063</t>
        </is>
      </c>
      <c r="B66" s="2" t="inlineStr">
        <is>
          <t>1103 TOP UP (2.00KG)</t>
        </is>
      </c>
      <c r="C66" s="2" t="inlineStr">
        <is>
          <t>KG</t>
        </is>
      </c>
      <c r="D66" s="2" t="inlineStr">
        <is>
          <t>Additive</t>
        </is>
      </c>
    </row>
    <row r="67">
      <c r="A67" s="2" t="inlineStr">
        <is>
          <t>ING-064</t>
        </is>
      </c>
      <c r="B67" s="2" t="inlineStr">
        <is>
          <t>WOVEN BAG (1101) - BLUE 50KG</t>
        </is>
      </c>
      <c r="C67" s="2" t="inlineStr">
        <is>
          <t>KG</t>
        </is>
      </c>
      <c r="D67" s="2" t="inlineStr">
        <is>
          <t>Packaging</t>
        </is>
      </c>
    </row>
    <row r="68">
      <c r="A68" s="2" t="inlineStr">
        <is>
          <t>ING-065</t>
        </is>
      </c>
      <c r="B68" s="2" t="inlineStr">
        <is>
          <t>WOVEN BAG (1102) - GREEN 50KG</t>
        </is>
      </c>
      <c r="C68" s="2" t="inlineStr">
        <is>
          <t>KG</t>
        </is>
      </c>
      <c r="D68" s="2" t="inlineStr">
        <is>
          <t>Packaging</t>
        </is>
      </c>
    </row>
    <row r="69">
      <c r="A69" s="2" t="inlineStr">
        <is>
          <t>ING-066</t>
        </is>
      </c>
      <c r="B69" s="2" t="inlineStr">
        <is>
          <t>WOVEN BAG (1103) - RED 50KG</t>
        </is>
      </c>
      <c r="C69" s="2" t="inlineStr">
        <is>
          <t>KG</t>
        </is>
      </c>
      <c r="D69" s="2" t="inlineStr">
        <is>
          <t>Packaging</t>
        </is>
      </c>
    </row>
    <row r="70">
      <c r="A70" s="2" t="inlineStr">
        <is>
          <t>ING-067</t>
        </is>
      </c>
      <c r="B70" s="2" t="inlineStr">
        <is>
          <t>WOVEN BAG (8101) - KHAKI 50KG</t>
        </is>
      </c>
      <c r="C70" s="2" t="inlineStr">
        <is>
          <t>KG</t>
        </is>
      </c>
      <c r="D70" s="2" t="inlineStr">
        <is>
          <t>Packaging</t>
        </is>
      </c>
    </row>
    <row r="71">
      <c r="A71" s="2" t="inlineStr">
        <is>
          <t>ING-068</t>
        </is>
      </c>
      <c r="B71" s="2" t="inlineStr">
        <is>
          <t>WOVEN BAG (8102) - SKY BLUE 50KG</t>
        </is>
      </c>
      <c r="C71" s="2" t="inlineStr">
        <is>
          <t>KG</t>
        </is>
      </c>
      <c r="D71" s="2" t="inlineStr">
        <is>
          <t>Packaging</t>
        </is>
      </c>
    </row>
    <row r="72">
      <c r="A72" s="2" t="inlineStr">
        <is>
          <t>ING-069</t>
        </is>
      </c>
      <c r="B72" s="2" t="inlineStr">
        <is>
          <t>WOVEN BAG (8103) - BROWN 50KG</t>
        </is>
      </c>
      <c r="C72" s="2" t="inlineStr">
        <is>
          <t>KG</t>
        </is>
      </c>
      <c r="D72" s="2" t="inlineStr">
        <is>
          <t>Packaging</t>
        </is>
      </c>
    </row>
    <row r="73">
      <c r="A73" s="2" t="inlineStr">
        <is>
          <t>ING-070</t>
        </is>
      </c>
      <c r="B73" s="2" t="inlineStr">
        <is>
          <t>PREMIX &amp; ADDITIVES</t>
        </is>
      </c>
      <c r="C73" s="2" t="inlineStr">
        <is>
          <t>KG</t>
        </is>
      </c>
      <c r="D73" s="2" t="inlineStr">
        <is>
          <t>Additive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2" customWidth="1" min="4" max="4"/>
    <col width="40" customWidth="1" min="5" max="5"/>
    <col width="30" customWidth="1" min="6" max="6"/>
    <col width="22" customWidth="1" min="7" max="7"/>
    <col width="13" customWidth="1" min="8" max="8"/>
  </cols>
  <sheetData>
    <row r="1">
      <c r="A1" s="1" t="inlineStr">
        <is>
          <t>Versioned Formulation Library</t>
        </is>
      </c>
    </row>
    <row r="2"/>
    <row r="3">
      <c r="A3" s="3" t="inlineStr">
        <is>
          <t>Formula_Key</t>
        </is>
      </c>
      <c r="B3" s="3" t="inlineStr">
        <is>
          <t>Feed_Code</t>
        </is>
      </c>
      <c r="C3" s="3" t="inlineStr">
        <is>
          <t>Effective_Date</t>
        </is>
      </c>
      <c r="D3" s="3" t="inlineStr">
        <is>
          <t>Status</t>
        </is>
      </c>
      <c r="E3" s="3" t="inlineStr">
        <is>
          <t>Remark</t>
        </is>
      </c>
      <c r="F3" s="3" t="inlineStr">
        <is>
          <t>Ingredient_Name</t>
        </is>
      </c>
      <c r="G3" s="3" t="inlineStr">
        <is>
          <t>Inclusion_kg_per_MT</t>
        </is>
      </c>
      <c r="H3" s="3" t="inlineStr">
        <is>
          <t>Helper_Key</t>
        </is>
      </c>
    </row>
    <row r="4">
      <c r="A4" s="2" t="inlineStr">
        <is>
          <t>1101C-WS 1101 (251124)</t>
        </is>
      </c>
      <c r="B4" s="2" t="inlineStr">
        <is>
          <t>1101C</t>
        </is>
      </c>
      <c r="C4" s="2" t="inlineStr">
        <is>
          <t>2026-01-01</t>
        </is>
      </c>
      <c r="D4" s="2" t="inlineStr">
        <is>
          <t>Active</t>
        </is>
      </c>
      <c r="E4" s="2" t="inlineStr">
        <is>
          <t>Standard formulation WS 1101 (251124)</t>
        </is>
      </c>
      <c r="F4" s="2" t="inlineStr">
        <is>
          <t>MAIZE/CORN</t>
        </is>
      </c>
      <c r="G4" s="4" t="n">
        <v>535.1</v>
      </c>
      <c r="H4" s="2">
        <f>[@Formula_Key]&amp;"|"&amp;[@Ingredient_Name]</f>
        <v/>
      </c>
    </row>
    <row r="5">
      <c r="A5" s="2" t="inlineStr">
        <is>
          <t>1101C-WS 1101 (251124)</t>
        </is>
      </c>
      <c r="B5" s="2" t="inlineStr">
        <is>
          <t>1101C</t>
        </is>
      </c>
      <c r="C5" s="2" t="inlineStr">
        <is>
          <t>2026-01-01</t>
        </is>
      </c>
      <c r="D5" s="2" t="inlineStr">
        <is>
          <t>Active</t>
        </is>
      </c>
      <c r="E5" s="2" t="inlineStr">
        <is>
          <t>Standard formulation WS 1101 (251124)</t>
        </is>
      </c>
      <c r="F5" s="2" t="inlineStr">
        <is>
          <t>SOYBEAN MEAL (ARG)</t>
        </is>
      </c>
      <c r="G5" s="4" t="n">
        <v>326.25</v>
      </c>
      <c r="H5" s="2">
        <f>[@Formula_Key]&amp;"|"&amp;[@Ingredient_Name]</f>
        <v/>
      </c>
    </row>
    <row r="6">
      <c r="A6" s="2" t="inlineStr">
        <is>
          <t>1101C-WS 1101 (251124)</t>
        </is>
      </c>
      <c r="B6" s="2" t="inlineStr">
        <is>
          <t>1101C</t>
        </is>
      </c>
      <c r="C6" s="2" t="inlineStr">
        <is>
          <t>2026-01-01</t>
        </is>
      </c>
      <c r="D6" s="2" t="inlineStr">
        <is>
          <t>Active</t>
        </is>
      </c>
      <c r="E6" s="2" t="inlineStr">
        <is>
          <t>Standard formulation WS 1101 (251124)</t>
        </is>
      </c>
      <c r="F6" s="2" t="inlineStr">
        <is>
          <t>SOYBEAN FULL FAT</t>
        </is>
      </c>
      <c r="G6" s="4" t="n">
        <v>25</v>
      </c>
      <c r="H6" s="2">
        <f>[@Formula_Key]&amp;"|"&amp;[@Ingredient_Name]</f>
        <v/>
      </c>
    </row>
    <row r="7">
      <c r="A7" s="2" t="inlineStr">
        <is>
          <t>1101C-WS 1101 (251124)</t>
        </is>
      </c>
      <c r="B7" s="2" t="inlineStr">
        <is>
          <t>1101C</t>
        </is>
      </c>
      <c r="C7" s="2" t="inlineStr">
        <is>
          <t>2026-01-01</t>
        </is>
      </c>
      <c r="D7" s="2" t="inlineStr">
        <is>
          <t>Active</t>
        </is>
      </c>
      <c r="E7" s="2" t="inlineStr">
        <is>
          <t>Standard formulation WS 1101 (251124)</t>
        </is>
      </c>
      <c r="F7" s="2" t="inlineStr">
        <is>
          <t>WHEAT POLLARD</t>
        </is>
      </c>
      <c r="G7" s="4" t="n">
        <v>50</v>
      </c>
      <c r="H7" s="2">
        <f>[@Formula_Key]&amp;"|"&amp;[@Ingredient_Name]</f>
        <v/>
      </c>
    </row>
    <row r="8">
      <c r="A8" s="2" t="inlineStr">
        <is>
          <t>1101C-WS 1101 (251124)</t>
        </is>
      </c>
      <c r="B8" s="2" t="inlineStr">
        <is>
          <t>1101C</t>
        </is>
      </c>
      <c r="C8" s="2" t="inlineStr">
        <is>
          <t>2026-01-01</t>
        </is>
      </c>
      <c r="D8" s="2" t="inlineStr">
        <is>
          <t>Active</t>
        </is>
      </c>
      <c r="E8" s="2" t="inlineStr">
        <is>
          <t>Standard formulation WS 1101 (251124)</t>
        </is>
      </c>
      <c r="F8" s="2" t="inlineStr">
        <is>
          <t>MEAT AND BONE MEAL</t>
        </is>
      </c>
      <c r="G8" s="4" t="n">
        <v>20</v>
      </c>
      <c r="H8" s="2">
        <f>[@Formula_Key]&amp;"|"&amp;[@Ingredient_Name]</f>
        <v/>
      </c>
    </row>
    <row r="9">
      <c r="A9" s="2" t="inlineStr">
        <is>
          <t>1101C-WS 1101 (251124)</t>
        </is>
      </c>
      <c r="B9" s="2" t="inlineStr">
        <is>
          <t>1101C</t>
        </is>
      </c>
      <c r="C9" s="2" t="inlineStr">
        <is>
          <t>2026-01-01</t>
        </is>
      </c>
      <c r="D9" s="2" t="inlineStr">
        <is>
          <t>Active</t>
        </is>
      </c>
      <c r="E9" s="2" t="inlineStr">
        <is>
          <t>Standard formulation WS 1101 (251124)</t>
        </is>
      </c>
      <c r="F9" s="2" t="inlineStr">
        <is>
          <t>MEGAFAT (HARUMI)</t>
        </is>
      </c>
      <c r="G9" s="4" t="n">
        <v>20</v>
      </c>
      <c r="H9" s="2">
        <f>[@Formula_Key]&amp;"|"&amp;[@Ingredient_Name]</f>
        <v/>
      </c>
    </row>
    <row r="10">
      <c r="A10" s="2" t="inlineStr">
        <is>
          <t>1101C-WS 1101 (251124)</t>
        </is>
      </c>
      <c r="B10" s="2" t="inlineStr">
        <is>
          <t>1101C</t>
        </is>
      </c>
      <c r="C10" s="2" t="inlineStr">
        <is>
          <t>2026-01-01</t>
        </is>
      </c>
      <c r="D10" s="2" t="inlineStr">
        <is>
          <t>Active</t>
        </is>
      </c>
      <c r="E10" s="2" t="inlineStr">
        <is>
          <t>Standard formulation WS 1101 (251124)</t>
        </is>
      </c>
      <c r="F10" s="2" t="inlineStr">
        <is>
          <t>DCP 18%</t>
        </is>
      </c>
      <c r="G10" s="4" t="n">
        <v>2.25</v>
      </c>
      <c r="H10" s="2">
        <f>[@Formula_Key]&amp;"|"&amp;[@Ingredient_Name]</f>
        <v/>
      </c>
    </row>
    <row r="11">
      <c r="A11" s="2" t="inlineStr">
        <is>
          <t>1101C-WS 1101 (251124)</t>
        </is>
      </c>
      <c r="B11" s="2" t="inlineStr">
        <is>
          <t>1101C</t>
        </is>
      </c>
      <c r="C11" s="2" t="inlineStr">
        <is>
          <t>2026-01-01</t>
        </is>
      </c>
      <c r="D11" s="2" t="inlineStr">
        <is>
          <t>Active</t>
        </is>
      </c>
      <c r="E11" s="2" t="inlineStr">
        <is>
          <t>Standard formulation WS 1101 (251124)</t>
        </is>
      </c>
      <c r="F11" s="2" t="inlineStr">
        <is>
          <t>LIMESTONE POWDER (HARUMI)</t>
        </is>
      </c>
      <c r="G11" s="4" t="n">
        <v>0.9</v>
      </c>
      <c r="H11" s="2">
        <f>[@Formula_Key]&amp;"|"&amp;[@Ingredient_Name]</f>
        <v/>
      </c>
    </row>
    <row r="12">
      <c r="A12" s="2" t="inlineStr">
        <is>
          <t>1101C-WS 1101 (251124)</t>
        </is>
      </c>
      <c r="B12" s="2" t="inlineStr">
        <is>
          <t>1101C</t>
        </is>
      </c>
      <c r="C12" s="2" t="inlineStr">
        <is>
          <t>2026-01-01</t>
        </is>
      </c>
      <c r="D12" s="2" t="inlineStr">
        <is>
          <t>Active</t>
        </is>
      </c>
      <c r="E12" s="2" t="inlineStr">
        <is>
          <t>Standard formulation WS 1101 (251124)</t>
        </is>
      </c>
      <c r="F12" s="2" t="inlineStr">
        <is>
          <t>PREMIX 1101 (20KG)</t>
        </is>
      </c>
      <c r="G12" s="4" t="n">
        <v>20</v>
      </c>
      <c r="H12" s="2">
        <f>[@Formula_Key]&amp;"|"&amp;[@Ingredient_Name]</f>
        <v/>
      </c>
    </row>
    <row r="13">
      <c r="A13" s="2" t="inlineStr">
        <is>
          <t>1101C-WS 1101 (251124)</t>
        </is>
      </c>
      <c r="B13" s="2" t="inlineStr">
        <is>
          <t>1101C</t>
        </is>
      </c>
      <c r="C13" s="2" t="inlineStr">
        <is>
          <t>2026-01-01</t>
        </is>
      </c>
      <c r="D13" s="2" t="inlineStr">
        <is>
          <t>Active</t>
        </is>
      </c>
      <c r="E13" s="2" t="inlineStr">
        <is>
          <t>Standard formulation WS 1101 (251124)</t>
        </is>
      </c>
      <c r="F13" s="2" t="inlineStr">
        <is>
          <t>TOXISORB PREMIUM</t>
        </is>
      </c>
      <c r="G13" s="4" t="n">
        <v>0.5</v>
      </c>
      <c r="H13" s="2">
        <f>[@Formula_Key]&amp;"|"&amp;[@Ingredient_Name]</f>
        <v/>
      </c>
    </row>
    <row r="14">
      <c r="A14" s="2" t="inlineStr">
        <is>
          <t>1101C-WS 1101 (251124)</t>
        </is>
      </c>
      <c r="B14" s="2" t="inlineStr">
        <is>
          <t>1101C</t>
        </is>
      </c>
      <c r="C14" s="2" t="inlineStr">
        <is>
          <t>2026-01-01</t>
        </is>
      </c>
      <c r="D14" s="2" t="inlineStr">
        <is>
          <t>Active</t>
        </is>
      </c>
      <c r="E14" s="2" t="inlineStr">
        <is>
          <t>Standard formulation WS 1101 (251124)</t>
        </is>
      </c>
      <c r="F14" s="2" t="inlineStr">
        <is>
          <t>TOTAL</t>
        </is>
      </c>
      <c r="G14" s="4" t="n">
        <v>1000</v>
      </c>
      <c r="H14" s="2">
        <f>[@Formula_Key]&amp;"|"&amp;[@Ingredient_Name]</f>
        <v/>
      </c>
    </row>
    <row r="15">
      <c r="A15" s="2" t="inlineStr">
        <is>
          <t>1101C-WS 1101 (251124)</t>
        </is>
      </c>
      <c r="B15" s="2" t="inlineStr">
        <is>
          <t>1101C</t>
        </is>
      </c>
      <c r="C15" s="2" t="inlineStr">
        <is>
          <t>2026-01-01</t>
        </is>
      </c>
      <c r="D15" s="2" t="inlineStr">
        <is>
          <t>Active</t>
        </is>
      </c>
      <c r="E15" s="2" t="inlineStr">
        <is>
          <t>Standard formulation WS 1101 (251124)</t>
        </is>
      </c>
      <c r="F15" s="2" t="inlineStr">
        <is>
          <t>MAIZE/CORN</t>
        </is>
      </c>
      <c r="G15" s="4" t="n">
        <v>585.5</v>
      </c>
      <c r="H15" s="2">
        <f>[@Formula_Key]&amp;"|"&amp;[@Ingredient_Name]</f>
        <v/>
      </c>
    </row>
    <row r="16">
      <c r="A16" s="2" t="inlineStr">
        <is>
          <t>1101C-WS 1101 (251124)</t>
        </is>
      </c>
      <c r="B16" s="2" t="inlineStr">
        <is>
          <t>1101C</t>
        </is>
      </c>
      <c r="C16" s="2" t="inlineStr">
        <is>
          <t>2026-01-01</t>
        </is>
      </c>
      <c r="D16" s="2" t="inlineStr">
        <is>
          <t>Active</t>
        </is>
      </c>
      <c r="E16" s="2" t="inlineStr">
        <is>
          <t>Standard formulation WS 1101 (251124)</t>
        </is>
      </c>
      <c r="F16" s="2" t="inlineStr">
        <is>
          <t>SOYBEAN MEAL (ARG)</t>
        </is>
      </c>
      <c r="G16" s="4" t="n">
        <v>254</v>
      </c>
      <c r="H16" s="2">
        <f>[@Formula_Key]&amp;"|"&amp;[@Ingredient_Name]</f>
        <v/>
      </c>
    </row>
    <row r="17">
      <c r="A17" s="2" t="inlineStr">
        <is>
          <t>1101C-WS 1101 (251124)</t>
        </is>
      </c>
      <c r="B17" s="2" t="inlineStr">
        <is>
          <t>1101C</t>
        </is>
      </c>
      <c r="C17" s="2" t="inlineStr">
        <is>
          <t>2026-01-01</t>
        </is>
      </c>
      <c r="D17" s="2" t="inlineStr">
        <is>
          <t>Active</t>
        </is>
      </c>
      <c r="E17" s="2" t="inlineStr">
        <is>
          <t>Standard formulation WS 1101 (251124)</t>
        </is>
      </c>
      <c r="F17" s="2" t="inlineStr">
        <is>
          <t>SOYBEAN FULL FAT</t>
        </is>
      </c>
      <c r="G17" s="4" t="n">
        <v>25</v>
      </c>
      <c r="H17" s="2">
        <f>[@Formula_Key]&amp;"|"&amp;[@Ingredient_Name]</f>
        <v/>
      </c>
    </row>
    <row r="18">
      <c r="A18" s="2" t="inlineStr">
        <is>
          <t>1101C-WS 1101 (251124)</t>
        </is>
      </c>
      <c r="B18" s="2" t="inlineStr">
        <is>
          <t>1101C</t>
        </is>
      </c>
      <c r="C18" s="2" t="inlineStr">
        <is>
          <t>2026-01-01</t>
        </is>
      </c>
      <c r="D18" s="2" t="inlineStr">
        <is>
          <t>Active</t>
        </is>
      </c>
      <c r="E18" s="2" t="inlineStr">
        <is>
          <t>Standard formulation WS 1101 (251124)</t>
        </is>
      </c>
      <c r="F18" s="2" t="inlineStr">
        <is>
          <t>WHEAT POLLARD</t>
        </is>
      </c>
      <c r="G18" s="4" t="n">
        <v>50</v>
      </c>
      <c r="H18" s="2">
        <f>[@Formula_Key]&amp;"|"&amp;[@Ingredient_Name]</f>
        <v/>
      </c>
    </row>
    <row r="19">
      <c r="A19" s="2" t="inlineStr">
        <is>
          <t>1101C-WS 1101 (251124)</t>
        </is>
      </c>
      <c r="B19" s="2" t="inlineStr">
        <is>
          <t>1101C</t>
        </is>
      </c>
      <c r="C19" s="2" t="inlineStr">
        <is>
          <t>2026-01-01</t>
        </is>
      </c>
      <c r="D19" s="2" t="inlineStr">
        <is>
          <t>Active</t>
        </is>
      </c>
      <c r="E19" s="2" t="inlineStr">
        <is>
          <t>Standard formulation WS 1101 (251124)</t>
        </is>
      </c>
      <c r="F19" s="2" t="inlineStr">
        <is>
          <t>MEAT AND BONE MEAL</t>
        </is>
      </c>
      <c r="G19" s="4" t="n">
        <v>10</v>
      </c>
      <c r="H19" s="2">
        <f>[@Formula_Key]&amp;"|"&amp;[@Ingredient_Name]</f>
        <v/>
      </c>
    </row>
    <row r="20">
      <c r="A20" s="2" t="inlineStr">
        <is>
          <t>1101C-WS 1101 (251124)</t>
        </is>
      </c>
      <c r="B20" s="2" t="inlineStr">
        <is>
          <t>1101C</t>
        </is>
      </c>
      <c r="C20" s="2" t="inlineStr">
        <is>
          <t>2026-01-01</t>
        </is>
      </c>
      <c r="D20" s="2" t="inlineStr">
        <is>
          <t>Active</t>
        </is>
      </c>
      <c r="E20" s="2" t="inlineStr">
        <is>
          <t>Standard formulation WS 1101 (251124)</t>
        </is>
      </c>
      <c r="F20" s="2" t="inlineStr">
        <is>
          <t>CORN GLUTEN MEAL</t>
        </is>
      </c>
      <c r="G20" s="4" t="n">
        <v>25</v>
      </c>
      <c r="H20" s="2">
        <f>[@Formula_Key]&amp;"|"&amp;[@Ingredient_Name]</f>
        <v/>
      </c>
    </row>
    <row r="21">
      <c r="A21" s="2" t="inlineStr">
        <is>
          <t>1101C-WS 1101 (251124)</t>
        </is>
      </c>
      <c r="B21" s="2" t="inlineStr">
        <is>
          <t>1101C</t>
        </is>
      </c>
      <c r="C21" s="2" t="inlineStr">
        <is>
          <t>2026-01-01</t>
        </is>
      </c>
      <c r="D21" s="2" t="inlineStr">
        <is>
          <t>Active</t>
        </is>
      </c>
      <c r="E21" s="2" t="inlineStr">
        <is>
          <t>Standard formulation WS 1101 (251124)</t>
        </is>
      </c>
      <c r="F21" s="2" t="inlineStr">
        <is>
          <t>MEGAFAT (HARUMI)</t>
        </is>
      </c>
      <c r="G21" s="4" t="n">
        <v>25</v>
      </c>
      <c r="H21" s="2">
        <f>[@Formula_Key]&amp;"|"&amp;[@Ingredient_Name]</f>
        <v/>
      </c>
    </row>
    <row r="22">
      <c r="A22" s="2" t="inlineStr">
        <is>
          <t>1101C-WS 1101 (251124)</t>
        </is>
      </c>
      <c r="B22" s="2" t="inlineStr">
        <is>
          <t>1101C</t>
        </is>
      </c>
      <c r="C22" s="2" t="inlineStr">
        <is>
          <t>2026-01-01</t>
        </is>
      </c>
      <c r="D22" s="2" t="inlineStr">
        <is>
          <t>Active</t>
        </is>
      </c>
      <c r="E22" s="2" t="inlineStr">
        <is>
          <t>Standard formulation WS 1101 (251124)</t>
        </is>
      </c>
      <c r="F22" s="2" t="inlineStr">
        <is>
          <t>LIMESTONE POWDER (HARUMI)</t>
        </is>
      </c>
      <c r="G22" s="4" t="n">
        <v>5</v>
      </c>
      <c r="H22" s="2">
        <f>[@Formula_Key]&amp;"|"&amp;[@Ingredient_Name]</f>
        <v/>
      </c>
    </row>
    <row r="23">
      <c r="A23" s="2" t="inlineStr">
        <is>
          <t>1101C-WS 1101 (251124)</t>
        </is>
      </c>
      <c r="B23" s="2" t="inlineStr">
        <is>
          <t>1101C</t>
        </is>
      </c>
      <c r="C23" s="2" t="inlineStr">
        <is>
          <t>2026-01-01</t>
        </is>
      </c>
      <c r="D23" s="2" t="inlineStr">
        <is>
          <t>Active</t>
        </is>
      </c>
      <c r="E23" s="2" t="inlineStr">
        <is>
          <t>Standard formulation WS 1101 (251124)</t>
        </is>
      </c>
      <c r="F23" s="2" t="inlineStr">
        <is>
          <t>PREMIX 1102 (20KG)</t>
        </is>
      </c>
      <c r="G23" s="4" t="n">
        <v>20</v>
      </c>
      <c r="H23" s="2">
        <f>[@Formula_Key]&amp;"|"&amp;[@Ingredient_Name]</f>
        <v/>
      </c>
    </row>
    <row r="24">
      <c r="A24" s="2" t="inlineStr">
        <is>
          <t>1101C-WS 1101 (251124)</t>
        </is>
      </c>
      <c r="B24" s="2" t="inlineStr">
        <is>
          <t>1101C</t>
        </is>
      </c>
      <c r="C24" s="2" t="inlineStr">
        <is>
          <t>2026-01-01</t>
        </is>
      </c>
      <c r="D24" s="2" t="inlineStr">
        <is>
          <t>Active</t>
        </is>
      </c>
      <c r="E24" s="2" t="inlineStr">
        <is>
          <t>Standard formulation WS 1101 (251124)</t>
        </is>
      </c>
      <c r="F24" s="2" t="inlineStr">
        <is>
          <t>TOXISORB PREMIUM</t>
        </is>
      </c>
      <c r="G24" s="4" t="n">
        <v>0.5</v>
      </c>
      <c r="H24" s="2">
        <f>[@Formula_Key]&amp;"|"&amp;[@Ingredient_Name]</f>
        <v/>
      </c>
    </row>
    <row r="25">
      <c r="A25" s="2" t="inlineStr">
        <is>
          <t>1101C-WS 1101 (251124)</t>
        </is>
      </c>
      <c r="B25" s="2" t="inlineStr">
        <is>
          <t>1101C</t>
        </is>
      </c>
      <c r="C25" s="2" t="inlineStr">
        <is>
          <t>2026-01-01</t>
        </is>
      </c>
      <c r="D25" s="2" t="inlineStr">
        <is>
          <t>Active</t>
        </is>
      </c>
      <c r="E25" s="2" t="inlineStr">
        <is>
          <t>Standard formulation WS 1101 (251124)</t>
        </is>
      </c>
      <c r="F25" s="2" t="inlineStr">
        <is>
          <t>TOTAL</t>
        </is>
      </c>
      <c r="G25" s="4" t="n">
        <v>1000</v>
      </c>
      <c r="H25" s="2">
        <f>[@Formula_Key]&amp;"|"&amp;[@Ingredient_Name]</f>
        <v/>
      </c>
    </row>
    <row r="26">
      <c r="A26" s="2" t="inlineStr">
        <is>
          <t>1101C-WS 1101 (251124)</t>
        </is>
      </c>
      <c r="B26" s="2" t="inlineStr">
        <is>
          <t>1101C</t>
        </is>
      </c>
      <c r="C26" s="2" t="inlineStr">
        <is>
          <t>2026-01-01</t>
        </is>
      </c>
      <c r="D26" s="2" t="inlineStr">
        <is>
          <t>Active</t>
        </is>
      </c>
      <c r="E26" s="2" t="inlineStr">
        <is>
          <t>Standard formulation WS 1101 (251124)</t>
        </is>
      </c>
      <c r="F26" s="2" t="inlineStr">
        <is>
          <t>MAIZE/CORN</t>
        </is>
      </c>
      <c r="G26" s="4" t="n">
        <v>627.5</v>
      </c>
      <c r="H26" s="2">
        <f>[@Formula_Key]&amp;"|"&amp;[@Ingredient_Name]</f>
        <v/>
      </c>
    </row>
    <row r="27">
      <c r="A27" s="2" t="inlineStr">
        <is>
          <t>1101C-WS 1101 (251124)</t>
        </is>
      </c>
      <c r="B27" s="2" t="inlineStr">
        <is>
          <t>1101C</t>
        </is>
      </c>
      <c r="C27" s="2" t="inlineStr">
        <is>
          <t>2026-01-01</t>
        </is>
      </c>
      <c r="D27" s="2" t="inlineStr">
        <is>
          <t>Active</t>
        </is>
      </c>
      <c r="E27" s="2" t="inlineStr">
        <is>
          <t>Standard formulation WS 1101 (251124)</t>
        </is>
      </c>
      <c r="F27" s="2" t="inlineStr">
        <is>
          <t>SOYBEAN MEAL (ARG)</t>
        </is>
      </c>
      <c r="G27" s="4" t="n">
        <v>136.5</v>
      </c>
      <c r="H27" s="2">
        <f>[@Formula_Key]&amp;"|"&amp;[@Ingredient_Name]</f>
        <v/>
      </c>
    </row>
    <row r="28">
      <c r="A28" s="2" t="inlineStr">
        <is>
          <t>1101C-WS 1101 (251124)</t>
        </is>
      </c>
      <c r="B28" s="2" t="inlineStr">
        <is>
          <t>1101C</t>
        </is>
      </c>
      <c r="C28" s="2" t="inlineStr">
        <is>
          <t>2026-01-01</t>
        </is>
      </c>
      <c r="D28" s="2" t="inlineStr">
        <is>
          <t>Active</t>
        </is>
      </c>
      <c r="E28" s="2" t="inlineStr">
        <is>
          <t>Standard formulation WS 1101 (251124)</t>
        </is>
      </c>
      <c r="F28" s="2" t="inlineStr">
        <is>
          <t>SOYBEAN FULL FAT</t>
        </is>
      </c>
      <c r="G28" s="4" t="n">
        <v>80</v>
      </c>
      <c r="H28" s="2">
        <f>[@Formula_Key]&amp;"|"&amp;[@Ingredient_Name]</f>
        <v/>
      </c>
    </row>
    <row r="29">
      <c r="A29" s="2" t="inlineStr">
        <is>
          <t>1101C-WS 1101 (251124)</t>
        </is>
      </c>
      <c r="B29" s="2" t="inlineStr">
        <is>
          <t>1101C</t>
        </is>
      </c>
      <c r="C29" s="2" t="inlineStr">
        <is>
          <t>2026-01-01</t>
        </is>
      </c>
      <c r="D29" s="2" t="inlineStr">
        <is>
          <t>Active</t>
        </is>
      </c>
      <c r="E29" s="2" t="inlineStr">
        <is>
          <t>Standard formulation WS 1101 (251124)</t>
        </is>
      </c>
      <c r="F29" s="2" t="inlineStr">
        <is>
          <t>WHEAT POLLARD</t>
        </is>
      </c>
      <c r="G29" s="4" t="n">
        <v>70</v>
      </c>
      <c r="H29" s="2">
        <f>[@Formula_Key]&amp;"|"&amp;[@Ingredient_Name]</f>
        <v/>
      </c>
    </row>
    <row r="30">
      <c r="A30" s="2" t="inlineStr">
        <is>
          <t>1101C-WS 1101 (251124)</t>
        </is>
      </c>
      <c r="B30" s="2" t="inlineStr">
        <is>
          <t>1101C</t>
        </is>
      </c>
      <c r="C30" s="2" t="inlineStr">
        <is>
          <t>2026-01-01</t>
        </is>
      </c>
      <c r="D30" s="2" t="inlineStr">
        <is>
          <t>Active</t>
        </is>
      </c>
      <c r="E30" s="2" t="inlineStr">
        <is>
          <t>Standard formulation WS 1101 (251124)</t>
        </is>
      </c>
      <c r="F30" s="2" t="inlineStr">
        <is>
          <t>MEAT AND BONE MEAL</t>
        </is>
      </c>
      <c r="G30" s="4" t="n">
        <v>15.5</v>
      </c>
      <c r="H30" s="2">
        <f>[@Formula_Key]&amp;"|"&amp;[@Ingredient_Name]</f>
        <v/>
      </c>
    </row>
    <row r="31">
      <c r="A31" s="2" t="inlineStr">
        <is>
          <t>1101C-WS 1101 (251124)</t>
        </is>
      </c>
      <c r="B31" s="2" t="inlineStr">
        <is>
          <t>1101C</t>
        </is>
      </c>
      <c r="C31" s="2" t="inlineStr">
        <is>
          <t>2026-01-01</t>
        </is>
      </c>
      <c r="D31" s="2" t="inlineStr">
        <is>
          <t>Active</t>
        </is>
      </c>
      <c r="E31" s="2" t="inlineStr">
        <is>
          <t>Standard formulation WS 1101 (251124)</t>
        </is>
      </c>
      <c r="F31" s="2" t="inlineStr">
        <is>
          <t>CORN GLUTEN MEAL</t>
        </is>
      </c>
      <c r="G31" s="4" t="n">
        <v>25</v>
      </c>
      <c r="H31" s="2">
        <f>[@Formula_Key]&amp;"|"&amp;[@Ingredient_Name]</f>
        <v/>
      </c>
    </row>
    <row r="32">
      <c r="A32" s="2" t="inlineStr">
        <is>
          <t>1101C-WS 1101 (251124)</t>
        </is>
      </c>
      <c r="B32" s="2" t="inlineStr">
        <is>
          <t>1101C</t>
        </is>
      </c>
      <c r="C32" s="2" t="inlineStr">
        <is>
          <t>2026-01-01</t>
        </is>
      </c>
      <c r="D32" s="2" t="inlineStr">
        <is>
          <t>Active</t>
        </is>
      </c>
      <c r="E32" s="2" t="inlineStr">
        <is>
          <t>Standard formulation WS 1101 (251124)</t>
        </is>
      </c>
      <c r="F32" s="2" t="inlineStr">
        <is>
          <t>MEGAFAT (HARUMI)</t>
        </is>
      </c>
      <c r="G32" s="4" t="n">
        <v>25</v>
      </c>
      <c r="H32" s="2">
        <f>[@Formula_Key]&amp;"|"&amp;[@Ingredient_Name]</f>
        <v/>
      </c>
    </row>
    <row r="33">
      <c r="A33" s="2" t="inlineStr">
        <is>
          <t>1101C-WS 1101 (251124)</t>
        </is>
      </c>
      <c r="B33" s="2" t="inlineStr">
        <is>
          <t>1101C</t>
        </is>
      </c>
      <c r="C33" s="2" t="inlineStr">
        <is>
          <t>2026-01-01</t>
        </is>
      </c>
      <c r="D33" s="2" t="inlineStr">
        <is>
          <t>Active</t>
        </is>
      </c>
      <c r="E33" s="2" t="inlineStr">
        <is>
          <t>Standard formulation WS 1101 (251124)</t>
        </is>
      </c>
      <c r="F33" s="2" t="inlineStr">
        <is>
          <t>PREMIX 1103 (20KG)</t>
        </is>
      </c>
      <c r="G33" s="4" t="n">
        <v>20</v>
      </c>
      <c r="H33" s="2">
        <f>[@Formula_Key]&amp;"|"&amp;[@Ingredient_Name]</f>
        <v/>
      </c>
    </row>
    <row r="34">
      <c r="A34" s="2" t="inlineStr">
        <is>
          <t>1101C-WS 1101 (251124)</t>
        </is>
      </c>
      <c r="B34" s="2" t="inlineStr">
        <is>
          <t>1101C</t>
        </is>
      </c>
      <c r="C34" s="2" t="inlineStr">
        <is>
          <t>2026-01-01</t>
        </is>
      </c>
      <c r="D34" s="2" t="inlineStr">
        <is>
          <t>Active</t>
        </is>
      </c>
      <c r="E34" s="2" t="inlineStr">
        <is>
          <t>Standard formulation WS 1101 (251124)</t>
        </is>
      </c>
      <c r="F34" s="2" t="inlineStr">
        <is>
          <t>TOXISORB PREMIUM</t>
        </is>
      </c>
      <c r="G34" s="4" t="n">
        <v>0.5</v>
      </c>
      <c r="H34" s="2">
        <f>[@Formula_Key]&amp;"|"&amp;[@Ingredient_Name]</f>
        <v/>
      </c>
    </row>
    <row r="35">
      <c r="A35" s="2" t="inlineStr">
        <is>
          <t>1101C-WS 1101 (251124)</t>
        </is>
      </c>
      <c r="B35" s="2" t="inlineStr">
        <is>
          <t>1101C</t>
        </is>
      </c>
      <c r="C35" s="2" t="inlineStr">
        <is>
          <t>2026-01-01</t>
        </is>
      </c>
      <c r="D35" s="2" t="inlineStr">
        <is>
          <t>Active</t>
        </is>
      </c>
      <c r="E35" s="2" t="inlineStr">
        <is>
          <t>Standard formulation WS 1101 (251124)</t>
        </is>
      </c>
      <c r="F35" s="2" t="inlineStr">
        <is>
          <t>TOTAL</t>
        </is>
      </c>
      <c r="G35" s="4" t="n">
        <v>1000</v>
      </c>
      <c r="H35" s="2">
        <f>[@Formula_Key]&amp;"|"&amp;[@Ingredient_Name]</f>
        <v/>
      </c>
    </row>
    <row r="36">
      <c r="A36" s="2" t="inlineStr">
        <is>
          <t>1101C-WS 1101 (251124)</t>
        </is>
      </c>
      <c r="B36" s="2" t="inlineStr">
        <is>
          <t>1101C</t>
        </is>
      </c>
      <c r="C36" s="2" t="inlineStr">
        <is>
          <t>2026-01-01</t>
        </is>
      </c>
      <c r="D36" s="2" t="inlineStr">
        <is>
          <t>Active</t>
        </is>
      </c>
      <c r="E36" s="2" t="inlineStr">
        <is>
          <t>Standard formulation WS 1101 (251124)</t>
        </is>
      </c>
      <c r="F36" s="2" t="inlineStr">
        <is>
          <t>MAIZE/CORN</t>
        </is>
      </c>
      <c r="G36" s="4" t="n">
        <v>539.1</v>
      </c>
      <c r="H36" s="2">
        <f>[@Formula_Key]&amp;"|"&amp;[@Ingredient_Name]</f>
        <v/>
      </c>
    </row>
    <row r="37">
      <c r="A37" s="2" t="inlineStr">
        <is>
          <t>1101C-WS 1101 (251124)</t>
        </is>
      </c>
      <c r="B37" s="2" t="inlineStr">
        <is>
          <t>1101C</t>
        </is>
      </c>
      <c r="C37" s="2" t="inlineStr">
        <is>
          <t>2026-01-01</t>
        </is>
      </c>
      <c r="D37" s="2" t="inlineStr">
        <is>
          <t>Active</t>
        </is>
      </c>
      <c r="E37" s="2" t="inlineStr">
        <is>
          <t>Standard formulation WS 1101 (251124)</t>
        </is>
      </c>
      <c r="F37" s="2" t="inlineStr">
        <is>
          <t>SOYBEAN MEAL (ARG)</t>
        </is>
      </c>
      <c r="G37" s="4" t="n">
        <v>302</v>
      </c>
      <c r="H37" s="2">
        <f>[@Formula_Key]&amp;"|"&amp;[@Ingredient_Name]</f>
        <v/>
      </c>
    </row>
    <row r="38">
      <c r="A38" s="2" t="inlineStr">
        <is>
          <t>1101C-WS 1101 (251124)</t>
        </is>
      </c>
      <c r="B38" s="2" t="inlineStr">
        <is>
          <t>1101C</t>
        </is>
      </c>
      <c r="C38" s="2" t="inlineStr">
        <is>
          <t>2026-01-01</t>
        </is>
      </c>
      <c r="D38" s="2" t="inlineStr">
        <is>
          <t>Active</t>
        </is>
      </c>
      <c r="E38" s="2" t="inlineStr">
        <is>
          <t>Standard formulation WS 1101 (251124)</t>
        </is>
      </c>
      <c r="F38" s="2" t="inlineStr">
        <is>
          <t>SOYBEAN FULL FAT</t>
        </is>
      </c>
      <c r="G38" s="4" t="n">
        <v>50</v>
      </c>
      <c r="H38" s="2">
        <f>[@Formula_Key]&amp;"|"&amp;[@Ingredient_Name]</f>
        <v/>
      </c>
    </row>
    <row r="39">
      <c r="A39" s="2" t="inlineStr">
        <is>
          <t>1101C-WS 1101 (251124)</t>
        </is>
      </c>
      <c r="B39" s="2" t="inlineStr">
        <is>
          <t>1101C</t>
        </is>
      </c>
      <c r="C39" s="2" t="inlineStr">
        <is>
          <t>2026-01-01</t>
        </is>
      </c>
      <c r="D39" s="2" t="inlineStr">
        <is>
          <t>Active</t>
        </is>
      </c>
      <c r="E39" s="2" t="inlineStr">
        <is>
          <t>Standard formulation WS 1101 (251124)</t>
        </is>
      </c>
      <c r="F39" s="2" t="inlineStr">
        <is>
          <t>WHEAT POLLARD</t>
        </is>
      </c>
      <c r="G39" s="4" t="n">
        <v>25</v>
      </c>
      <c r="H39" s="2">
        <f>[@Formula_Key]&amp;"|"&amp;[@Ingredient_Name]</f>
        <v/>
      </c>
    </row>
    <row r="40">
      <c r="A40" s="2" t="inlineStr">
        <is>
          <t>1101C-WS 1101 (251124)</t>
        </is>
      </c>
      <c r="B40" s="2" t="inlineStr">
        <is>
          <t>1101C</t>
        </is>
      </c>
      <c r="C40" s="2" t="inlineStr">
        <is>
          <t>2026-01-01</t>
        </is>
      </c>
      <c r="D40" s="2" t="inlineStr">
        <is>
          <t>Active</t>
        </is>
      </c>
      <c r="E40" s="2" t="inlineStr">
        <is>
          <t>Standard formulation WS 1101 (251124)</t>
        </is>
      </c>
      <c r="F40" s="2" t="inlineStr">
        <is>
          <t>MEAT AND BONE MEAL</t>
        </is>
      </c>
      <c r="G40" s="4" t="n">
        <v>20</v>
      </c>
      <c r="H40" s="2">
        <f>[@Formula_Key]&amp;"|"&amp;[@Ingredient_Name]</f>
        <v/>
      </c>
    </row>
    <row r="41">
      <c r="A41" s="2" t="inlineStr">
        <is>
          <t>1101C-WS 1101 (251124)</t>
        </is>
      </c>
      <c r="B41" s="2" t="inlineStr">
        <is>
          <t>1101C</t>
        </is>
      </c>
      <c r="C41" s="2" t="inlineStr">
        <is>
          <t>2026-01-01</t>
        </is>
      </c>
      <c r="D41" s="2" t="inlineStr">
        <is>
          <t>Active</t>
        </is>
      </c>
      <c r="E41" s="2" t="inlineStr">
        <is>
          <t>Standard formulation WS 1101 (251124)</t>
        </is>
      </c>
      <c r="F41" s="2" t="inlineStr">
        <is>
          <t>CORN GLUTEN MEAL</t>
        </is>
      </c>
      <c r="G41" s="4" t="n">
        <v>20</v>
      </c>
      <c r="H41" s="2">
        <f>[@Formula_Key]&amp;"|"&amp;[@Ingredient_Name]</f>
        <v/>
      </c>
    </row>
    <row r="42">
      <c r="A42" s="2" t="inlineStr">
        <is>
          <t>1101C-WS 1101 (251124)</t>
        </is>
      </c>
      <c r="B42" s="2" t="inlineStr">
        <is>
          <t>1101C</t>
        </is>
      </c>
      <c r="C42" s="2" t="inlineStr">
        <is>
          <t>2026-01-01</t>
        </is>
      </c>
      <c r="D42" s="2" t="inlineStr">
        <is>
          <t>Active</t>
        </is>
      </c>
      <c r="E42" s="2" t="inlineStr">
        <is>
          <t>Standard formulation WS 1101 (251124)</t>
        </is>
      </c>
      <c r="F42" s="2" t="inlineStr">
        <is>
          <t>MEGAFAT (HARUMI)</t>
        </is>
      </c>
      <c r="G42" s="4" t="n">
        <v>13</v>
      </c>
      <c r="H42" s="2">
        <f>[@Formula_Key]&amp;"|"&amp;[@Ingredient_Name]</f>
        <v/>
      </c>
    </row>
    <row r="43">
      <c r="A43" s="2" t="inlineStr">
        <is>
          <t>1101C-WS 1101 (251124)</t>
        </is>
      </c>
      <c r="B43" s="2" t="inlineStr">
        <is>
          <t>1101C</t>
        </is>
      </c>
      <c r="C43" s="2" t="inlineStr">
        <is>
          <t>2026-01-01</t>
        </is>
      </c>
      <c r="D43" s="2" t="inlineStr">
        <is>
          <t>Active</t>
        </is>
      </c>
      <c r="E43" s="2" t="inlineStr">
        <is>
          <t>Standard formulation WS 1101 (251124)</t>
        </is>
      </c>
      <c r="F43" s="2" t="inlineStr">
        <is>
          <t>DCP 18%</t>
        </is>
      </c>
      <c r="G43" s="4" t="n">
        <v>1.5</v>
      </c>
      <c r="H43" s="2">
        <f>[@Formula_Key]&amp;"|"&amp;[@Ingredient_Name]</f>
        <v/>
      </c>
    </row>
    <row r="44">
      <c r="A44" s="2" t="inlineStr">
        <is>
          <t>1101C-WS 1101 (251124)</t>
        </is>
      </c>
      <c r="B44" s="2" t="inlineStr">
        <is>
          <t>1101C</t>
        </is>
      </c>
      <c r="C44" s="2" t="inlineStr">
        <is>
          <t>2026-01-01</t>
        </is>
      </c>
      <c r="D44" s="2" t="inlineStr">
        <is>
          <t>Active</t>
        </is>
      </c>
      <c r="E44" s="2" t="inlineStr">
        <is>
          <t>Standard formulation WS 1101 (251124)</t>
        </is>
      </c>
      <c r="F44" s="2" t="inlineStr">
        <is>
          <t>LIMESTONE POWDER (HARUMI)</t>
        </is>
      </c>
      <c r="G44" s="4" t="n">
        <v>5.9</v>
      </c>
      <c r="H44" s="2">
        <f>[@Formula_Key]&amp;"|"&amp;[@Ingredient_Name]</f>
        <v/>
      </c>
    </row>
    <row r="45">
      <c r="A45" s="2" t="inlineStr">
        <is>
          <t>1101C-WS 1101 (251124)</t>
        </is>
      </c>
      <c r="B45" s="2" t="inlineStr">
        <is>
          <t>1101C</t>
        </is>
      </c>
      <c r="C45" s="2" t="inlineStr">
        <is>
          <t>2026-01-01</t>
        </is>
      </c>
      <c r="D45" s="2" t="inlineStr">
        <is>
          <t>Active</t>
        </is>
      </c>
      <c r="E45" s="2" t="inlineStr">
        <is>
          <t>Standard formulation WS 1101 (251124)</t>
        </is>
      </c>
      <c r="F45" s="2" t="inlineStr">
        <is>
          <t>PREMIX 8100 (20KG)</t>
        </is>
      </c>
      <c r="G45" s="4" t="n">
        <v>20</v>
      </c>
      <c r="H45" s="2">
        <f>[@Formula_Key]&amp;"|"&amp;[@Ingredient_Name]</f>
        <v/>
      </c>
    </row>
    <row r="46">
      <c r="A46" s="2" t="inlineStr">
        <is>
          <t>1101C-WS 1101 (251124)</t>
        </is>
      </c>
      <c r="B46" s="2" t="inlineStr">
        <is>
          <t>1101C</t>
        </is>
      </c>
      <c r="C46" s="2" t="inlineStr">
        <is>
          <t>2026-01-01</t>
        </is>
      </c>
      <c r="D46" s="2" t="inlineStr">
        <is>
          <t>Active</t>
        </is>
      </c>
      <c r="E46" s="2" t="inlineStr">
        <is>
          <t>Standard formulation WS 1101 (251124)</t>
        </is>
      </c>
      <c r="F46" s="2" t="inlineStr">
        <is>
          <t>TOXISORB PREMIUM</t>
        </is>
      </c>
      <c r="G46" s="4" t="n">
        <v>0.5</v>
      </c>
      <c r="H46" s="2">
        <f>[@Formula_Key]&amp;"|"&amp;[@Ingredient_Name]</f>
        <v/>
      </c>
    </row>
    <row r="47">
      <c r="A47" s="2" t="inlineStr">
        <is>
          <t>1101C-WS 1101 (251124)</t>
        </is>
      </c>
      <c r="B47" s="2" t="inlineStr">
        <is>
          <t>1101C</t>
        </is>
      </c>
      <c r="C47" s="2" t="inlineStr">
        <is>
          <t>2026-01-01</t>
        </is>
      </c>
      <c r="D47" s="2" t="inlineStr">
        <is>
          <t>Active</t>
        </is>
      </c>
      <c r="E47" s="2" t="inlineStr">
        <is>
          <t>Standard formulation WS 1101 (251124)</t>
        </is>
      </c>
      <c r="F47" s="2" t="inlineStr">
        <is>
          <t>SODIUM HUMATE 3.8% (HARUMI)</t>
        </is>
      </c>
      <c r="G47" s="4" t="n">
        <v>3</v>
      </c>
      <c r="H47" s="2">
        <f>[@Formula_Key]&amp;"|"&amp;[@Ingredient_Name]</f>
        <v/>
      </c>
    </row>
    <row r="48">
      <c r="A48" s="2" t="inlineStr">
        <is>
          <t>1101C-WS 1101 (251124)</t>
        </is>
      </c>
      <c r="B48" s="2" t="inlineStr">
        <is>
          <t>1101C</t>
        </is>
      </c>
      <c r="C48" s="2" t="inlineStr">
        <is>
          <t>2026-01-01</t>
        </is>
      </c>
      <c r="D48" s="2" t="inlineStr">
        <is>
          <t>Active</t>
        </is>
      </c>
      <c r="E48" s="2" t="inlineStr">
        <is>
          <t>Standard formulation WS 1101 (251124)</t>
        </is>
      </c>
      <c r="F48" s="2" t="inlineStr">
        <is>
          <t>TOTAL</t>
        </is>
      </c>
      <c r="G48" s="4" t="n">
        <v>1000</v>
      </c>
      <c r="H48" s="2">
        <f>[@Formula_Key]&amp;"|"&amp;[@Ingredient_Name]</f>
        <v/>
      </c>
    </row>
    <row r="49">
      <c r="A49" s="2" t="inlineStr">
        <is>
          <t>1101C-WS 1101 (251124)</t>
        </is>
      </c>
      <c r="B49" s="2" t="inlineStr">
        <is>
          <t>1101C</t>
        </is>
      </c>
      <c r="C49" s="2" t="inlineStr">
        <is>
          <t>2026-01-01</t>
        </is>
      </c>
      <c r="D49" s="2" t="inlineStr">
        <is>
          <t>Active</t>
        </is>
      </c>
      <c r="E49" s="2" t="inlineStr">
        <is>
          <t>Standard formulation WS 1101 (251124)</t>
        </is>
      </c>
      <c r="F49" s="2" t="inlineStr">
        <is>
          <t>MAIZE/CORN</t>
        </is>
      </c>
      <c r="G49" s="4" t="n">
        <v>515.55</v>
      </c>
      <c r="H49" s="2">
        <f>[@Formula_Key]&amp;"|"&amp;[@Ingredient_Name]</f>
        <v/>
      </c>
    </row>
    <row r="50">
      <c r="A50" s="2" t="inlineStr">
        <is>
          <t>1101C-WS 1101 (251124)</t>
        </is>
      </c>
      <c r="B50" s="2" t="inlineStr">
        <is>
          <t>1101C</t>
        </is>
      </c>
      <c r="C50" s="2" t="inlineStr">
        <is>
          <t>2026-01-01</t>
        </is>
      </c>
      <c r="D50" s="2" t="inlineStr">
        <is>
          <t>Active</t>
        </is>
      </c>
      <c r="E50" s="2" t="inlineStr">
        <is>
          <t>Standard formulation WS 1101 (251124)</t>
        </is>
      </c>
      <c r="F50" s="2" t="inlineStr">
        <is>
          <t>SOYBEAN MEAL (ARG)</t>
        </is>
      </c>
      <c r="G50" s="4" t="n">
        <v>238.5</v>
      </c>
      <c r="H50" s="2">
        <f>[@Formula_Key]&amp;"|"&amp;[@Ingredient_Name]</f>
        <v/>
      </c>
    </row>
    <row r="51">
      <c r="A51" s="2" t="inlineStr">
        <is>
          <t>1101C-WS 1101 (251124)</t>
        </is>
      </c>
      <c r="B51" s="2" t="inlineStr">
        <is>
          <t>1101C</t>
        </is>
      </c>
      <c r="C51" s="2" t="inlineStr">
        <is>
          <t>2026-01-01</t>
        </is>
      </c>
      <c r="D51" s="2" t="inlineStr">
        <is>
          <t>Active</t>
        </is>
      </c>
      <c r="E51" s="2" t="inlineStr">
        <is>
          <t>Standard formulation WS 1101 (251124)</t>
        </is>
      </c>
      <c r="F51" s="2" t="inlineStr">
        <is>
          <t>SOYBEAN FULL FAT</t>
        </is>
      </c>
      <c r="G51" s="4" t="n">
        <v>66.5</v>
      </c>
      <c r="H51" s="2">
        <f>[@Formula_Key]&amp;"|"&amp;[@Ingredient_Name]</f>
        <v/>
      </c>
    </row>
    <row r="52">
      <c r="A52" s="2" t="inlineStr">
        <is>
          <t>1101C-WS 1101 (251124)</t>
        </is>
      </c>
      <c r="B52" s="2" t="inlineStr">
        <is>
          <t>1101C</t>
        </is>
      </c>
      <c r="C52" s="2" t="inlineStr">
        <is>
          <t>2026-01-01</t>
        </is>
      </c>
      <c r="D52" s="2" t="inlineStr">
        <is>
          <t>Active</t>
        </is>
      </c>
      <c r="E52" s="2" t="inlineStr">
        <is>
          <t>Standard formulation WS 1101 (251124)</t>
        </is>
      </c>
      <c r="F52" s="2" t="inlineStr">
        <is>
          <t>WHEAT POLLARD</t>
        </is>
      </c>
      <c r="G52" s="4" t="n">
        <v>10</v>
      </c>
      <c r="H52" s="2">
        <f>[@Formula_Key]&amp;"|"&amp;[@Ingredient_Name]</f>
        <v/>
      </c>
    </row>
    <row r="53">
      <c r="A53" s="2" t="inlineStr">
        <is>
          <t>1101C-WS 1101 (251124)</t>
        </is>
      </c>
      <c r="B53" s="2" t="inlineStr">
        <is>
          <t>1101C</t>
        </is>
      </c>
      <c r="C53" s="2" t="inlineStr">
        <is>
          <t>2026-01-01</t>
        </is>
      </c>
      <c r="D53" s="2" t="inlineStr">
        <is>
          <t>Active</t>
        </is>
      </c>
      <c r="E53" s="2" t="inlineStr">
        <is>
          <t>Standard formulation WS 1101 (251124)</t>
        </is>
      </c>
      <c r="F53" s="2" t="inlineStr">
        <is>
          <t>MEAT AND BONE MEAL</t>
        </is>
      </c>
      <c r="G53" s="4" t="n">
        <v>25</v>
      </c>
      <c r="H53" s="2">
        <f>[@Formula_Key]&amp;"|"&amp;[@Ingredient_Name]</f>
        <v/>
      </c>
    </row>
    <row r="54">
      <c r="A54" s="2" t="inlineStr">
        <is>
          <t>1101C-WS 1101 (251124)</t>
        </is>
      </c>
      <c r="B54" s="2" t="inlineStr">
        <is>
          <t>1101C</t>
        </is>
      </c>
      <c r="C54" s="2" t="inlineStr">
        <is>
          <t>2026-01-01</t>
        </is>
      </c>
      <c r="D54" s="2" t="inlineStr">
        <is>
          <t>Active</t>
        </is>
      </c>
      <c r="E54" s="2" t="inlineStr">
        <is>
          <t>Standard formulation WS 1101 (251124)</t>
        </is>
      </c>
      <c r="F54" s="2" t="inlineStr">
        <is>
          <t>CORN GLUTEN MEAL</t>
        </is>
      </c>
      <c r="G54" s="4" t="n">
        <v>28</v>
      </c>
      <c r="H54" s="2">
        <f>[@Formula_Key]&amp;"|"&amp;[@Ingredient_Name]</f>
        <v/>
      </c>
    </row>
    <row r="55">
      <c r="A55" s="2" t="inlineStr">
        <is>
          <t>1101C-WS 1101 (251124)</t>
        </is>
      </c>
      <c r="B55" s="2" t="inlineStr">
        <is>
          <t>1101C</t>
        </is>
      </c>
      <c r="C55" s="2" t="inlineStr">
        <is>
          <t>2026-01-01</t>
        </is>
      </c>
      <c r="D55" s="2" t="inlineStr">
        <is>
          <t>Active</t>
        </is>
      </c>
      <c r="E55" s="2" t="inlineStr">
        <is>
          <t>Standard formulation WS 1101 (251124)</t>
        </is>
      </c>
      <c r="F55" s="2" t="inlineStr">
        <is>
          <t>MEGAFAT (HARUMI)</t>
        </is>
      </c>
      <c r="G55" s="4" t="n">
        <v>15</v>
      </c>
      <c r="H55" s="2">
        <f>[@Formula_Key]&amp;"|"&amp;[@Ingredient_Name]</f>
        <v/>
      </c>
    </row>
    <row r="56">
      <c r="A56" s="2" t="inlineStr">
        <is>
          <t>1101C-WS 1101 (251124)</t>
        </is>
      </c>
      <c r="B56" s="2" t="inlineStr">
        <is>
          <t>1101C</t>
        </is>
      </c>
      <c r="C56" s="2" t="inlineStr">
        <is>
          <t>2026-01-01</t>
        </is>
      </c>
      <c r="D56" s="2" t="inlineStr">
        <is>
          <t>Active</t>
        </is>
      </c>
      <c r="E56" s="2" t="inlineStr">
        <is>
          <t>Standard formulation WS 1101 (251124)</t>
        </is>
      </c>
      <c r="F56" s="2" t="inlineStr">
        <is>
          <t>DCP 18%</t>
        </is>
      </c>
      <c r="G56" s="4" t="n">
        <v>4.500000000000001</v>
      </c>
      <c r="H56" s="2">
        <f>[@Formula_Key]&amp;"|"&amp;[@Ingredient_Name]</f>
        <v/>
      </c>
    </row>
    <row r="57">
      <c r="A57" s="2" t="inlineStr">
        <is>
          <t>1101C-WS 1101 (251124)</t>
        </is>
      </c>
      <c r="B57" s="2" t="inlineStr">
        <is>
          <t>1101C</t>
        </is>
      </c>
      <c r="C57" s="2" t="inlineStr">
        <is>
          <t>2026-01-01</t>
        </is>
      </c>
      <c r="D57" s="2" t="inlineStr">
        <is>
          <t>Active</t>
        </is>
      </c>
      <c r="E57" s="2" t="inlineStr">
        <is>
          <t>Standard formulation WS 1101 (251124)</t>
        </is>
      </c>
      <c r="F57" s="2" t="inlineStr">
        <is>
          <t>LIMESTONE POWDER (HARUMI)</t>
        </is>
      </c>
      <c r="G57" s="4" t="n">
        <v>6.999999999999999</v>
      </c>
      <c r="H57" s="2">
        <f>[@Formula_Key]&amp;"|"&amp;[@Ingredient_Name]</f>
        <v/>
      </c>
    </row>
    <row r="58">
      <c r="A58" s="2" t="inlineStr">
        <is>
          <t>1101C-WS 1101 (251124)</t>
        </is>
      </c>
      <c r="B58" s="2" t="inlineStr">
        <is>
          <t>1101C</t>
        </is>
      </c>
      <c r="C58" s="2" t="inlineStr">
        <is>
          <t>2026-01-01</t>
        </is>
      </c>
      <c r="D58" s="2" t="inlineStr">
        <is>
          <t>Active</t>
        </is>
      </c>
      <c r="E58" s="2" t="inlineStr">
        <is>
          <t>Standard formulation WS 1101 (251124)</t>
        </is>
      </c>
      <c r="F58" s="2" t="inlineStr">
        <is>
          <t>INDUSTRY FLOUR</t>
        </is>
      </c>
      <c r="G58" s="4" t="n">
        <v>33.5</v>
      </c>
      <c r="H58" s="2">
        <f>[@Formula_Key]&amp;"|"&amp;[@Ingredient_Name]</f>
        <v/>
      </c>
    </row>
    <row r="59">
      <c r="A59" s="2" t="inlineStr">
        <is>
          <t>1101C-WS 1101 (251124)</t>
        </is>
      </c>
      <c r="B59" s="2" t="inlineStr">
        <is>
          <t>1101C</t>
        </is>
      </c>
      <c r="C59" s="2" t="inlineStr">
        <is>
          <t>2026-01-01</t>
        </is>
      </c>
      <c r="D59" s="2" t="inlineStr">
        <is>
          <t>Active</t>
        </is>
      </c>
      <c r="E59" s="2" t="inlineStr">
        <is>
          <t>Standard formulation WS 1101 (251124)</t>
        </is>
      </c>
      <c r="F59" s="2" t="inlineStr">
        <is>
          <t>RICE BRAN</t>
        </is>
      </c>
      <c r="G59" s="4" t="n">
        <v>3.5</v>
      </c>
      <c r="H59" s="2">
        <f>[@Formula_Key]&amp;"|"&amp;[@Ingredient_Name]</f>
        <v/>
      </c>
    </row>
    <row r="60">
      <c r="A60" s="2" t="inlineStr">
        <is>
          <t>1101C-WS 1101 (251124)</t>
        </is>
      </c>
      <c r="B60" s="2" t="inlineStr">
        <is>
          <t>1101C</t>
        </is>
      </c>
      <c r="C60" s="2" t="inlineStr">
        <is>
          <t>2026-01-01</t>
        </is>
      </c>
      <c r="D60" s="2" t="inlineStr">
        <is>
          <t>Active</t>
        </is>
      </c>
      <c r="E60" s="2" t="inlineStr">
        <is>
          <t>Standard formulation WS 1101 (251124)</t>
        </is>
      </c>
      <c r="F60" s="2" t="inlineStr">
        <is>
          <t>SOYTIDE</t>
        </is>
      </c>
      <c r="G60" s="4" t="n">
        <v>25</v>
      </c>
      <c r="H60" s="2">
        <f>[@Formula_Key]&amp;"|"&amp;[@Ingredient_Name]</f>
        <v/>
      </c>
    </row>
    <row r="61">
      <c r="A61" s="2" t="inlineStr">
        <is>
          <t>1101C-WS 1101 (251124)</t>
        </is>
      </c>
      <c r="B61" s="2" t="inlineStr">
        <is>
          <t>1101C</t>
        </is>
      </c>
      <c r="C61" s="2" t="inlineStr">
        <is>
          <t>2026-01-01</t>
        </is>
      </c>
      <c r="D61" s="2" t="inlineStr">
        <is>
          <t>Active</t>
        </is>
      </c>
      <c r="E61" s="2" t="inlineStr">
        <is>
          <t>Standard formulation WS 1101 (251124)</t>
        </is>
      </c>
      <c r="F61" s="2" t="inlineStr">
        <is>
          <t>YENMIX 121 (20KG)</t>
        </is>
      </c>
      <c r="G61" s="4" t="n">
        <v>20</v>
      </c>
      <c r="H61" s="2">
        <f>[@Formula_Key]&amp;"|"&amp;[@Ingredient_Name]</f>
        <v/>
      </c>
    </row>
    <row r="62">
      <c r="A62" s="2" t="inlineStr">
        <is>
          <t>1101C-WS 1101 (251124)</t>
        </is>
      </c>
      <c r="B62" s="2" t="inlineStr">
        <is>
          <t>1101C</t>
        </is>
      </c>
      <c r="C62" s="2" t="inlineStr">
        <is>
          <t>2026-01-01</t>
        </is>
      </c>
      <c r="D62" s="2" t="inlineStr">
        <is>
          <t>Active</t>
        </is>
      </c>
      <c r="E62" s="2" t="inlineStr">
        <is>
          <t>Standard formulation WS 1101 (251124)</t>
        </is>
      </c>
      <c r="F62" s="2" t="inlineStr">
        <is>
          <t>TOXISORB PREMIUM</t>
        </is>
      </c>
      <c r="G62" s="4" t="n">
        <v>2</v>
      </c>
      <c r="H62" s="2">
        <f>[@Formula_Key]&amp;"|"&amp;[@Ingredient_Name]</f>
        <v/>
      </c>
    </row>
    <row r="63">
      <c r="A63" s="2" t="inlineStr">
        <is>
          <t>1101C-WS 1101 (251124)</t>
        </is>
      </c>
      <c r="B63" s="2" t="inlineStr">
        <is>
          <t>1101C</t>
        </is>
      </c>
      <c r="C63" s="2" t="inlineStr">
        <is>
          <t>2026-01-01</t>
        </is>
      </c>
      <c r="D63" s="2" t="inlineStr">
        <is>
          <t>Active</t>
        </is>
      </c>
      <c r="E63" s="2" t="inlineStr">
        <is>
          <t>Standard formulation WS 1101 (251124)</t>
        </is>
      </c>
      <c r="F63" s="2" t="inlineStr">
        <is>
          <t>SODIUM HUMATE 3.8% (HARUMI)</t>
        </is>
      </c>
      <c r="G63" s="4" t="n">
        <v>3</v>
      </c>
      <c r="H63" s="2">
        <f>[@Formula_Key]&amp;"|"&amp;[@Ingredient_Name]</f>
        <v/>
      </c>
    </row>
    <row r="64">
      <c r="A64" s="2" t="inlineStr">
        <is>
          <t>1101C-WS 1101 (251124)</t>
        </is>
      </c>
      <c r="B64" s="2" t="inlineStr">
        <is>
          <t>1101C</t>
        </is>
      </c>
      <c r="C64" s="2" t="inlineStr">
        <is>
          <t>2026-01-01</t>
        </is>
      </c>
      <c r="D64" s="2" t="inlineStr">
        <is>
          <t>Active</t>
        </is>
      </c>
      <c r="E64" s="2" t="inlineStr">
        <is>
          <t>Standard formulation WS 1101 (251124)</t>
        </is>
      </c>
      <c r="F64" s="2" t="inlineStr">
        <is>
          <t>SODIUM BICARBONATE</t>
        </is>
      </c>
      <c r="G64" s="4" t="n">
        <v>0.2</v>
      </c>
      <c r="H64" s="2">
        <f>[@Formula_Key]&amp;"|"&amp;[@Ingredient_Name]</f>
        <v/>
      </c>
    </row>
    <row r="65">
      <c r="A65" s="2" t="inlineStr">
        <is>
          <t>1101C-WS 1101 (251124)</t>
        </is>
      </c>
      <c r="B65" s="2" t="inlineStr">
        <is>
          <t>1101C</t>
        </is>
      </c>
      <c r="C65" s="2" t="inlineStr">
        <is>
          <t>2026-01-01</t>
        </is>
      </c>
      <c r="D65" s="2" t="inlineStr">
        <is>
          <t>Active</t>
        </is>
      </c>
      <c r="E65" s="2" t="inlineStr">
        <is>
          <t>Standard formulation WS 1101 (251124)</t>
        </is>
      </c>
      <c r="F65" s="2" t="inlineStr">
        <is>
          <t>SALT (HARUMI)</t>
        </is>
      </c>
      <c r="G65" s="4" t="n">
        <v>2.75</v>
      </c>
      <c r="H65" s="2">
        <f>[@Formula_Key]&amp;"|"&amp;[@Ingredient_Name]</f>
        <v/>
      </c>
    </row>
    <row r="66">
      <c r="A66" s="2" t="inlineStr">
        <is>
          <t>1101C-WS 1101 (251124)</t>
        </is>
      </c>
      <c r="B66" s="2" t="inlineStr">
        <is>
          <t>1101C</t>
        </is>
      </c>
      <c r="C66" s="2" t="inlineStr">
        <is>
          <t>2026-01-01</t>
        </is>
      </c>
      <c r="D66" s="2" t="inlineStr">
        <is>
          <t>Active</t>
        </is>
      </c>
      <c r="E66" s="2" t="inlineStr">
        <is>
          <t>Standard formulation WS 1101 (251124)</t>
        </is>
      </c>
      <c r="F66" s="2" t="inlineStr">
        <is>
          <t>TOTAL</t>
        </is>
      </c>
      <c r="G66" s="4" t="n">
        <v>1000</v>
      </c>
      <c r="H66" s="2">
        <f>[@Formula_Key]&amp;"|"&amp;[@Ingredient_Name]</f>
        <v/>
      </c>
    </row>
    <row r="67">
      <c r="A67" s="2" t="inlineStr">
        <is>
          <t>1101C-WS 1101 (251124)</t>
        </is>
      </c>
      <c r="B67" s="2" t="inlineStr">
        <is>
          <t>1101C</t>
        </is>
      </c>
      <c r="C67" s="2" t="inlineStr">
        <is>
          <t>2026-01-01</t>
        </is>
      </c>
      <c r="D67" s="2" t="inlineStr">
        <is>
          <t>Active</t>
        </is>
      </c>
      <c r="E67" s="2" t="inlineStr">
        <is>
          <t>Standard formulation WS 1101 (251124)</t>
        </is>
      </c>
      <c r="F67" s="2" t="inlineStr">
        <is>
          <t>MAIZE/CORN</t>
        </is>
      </c>
      <c r="G67" s="4" t="n">
        <v>501.3500000000001</v>
      </c>
      <c r="H67" s="2">
        <f>[@Formula_Key]&amp;"|"&amp;[@Ingredient_Name]</f>
        <v/>
      </c>
    </row>
    <row r="68">
      <c r="A68" s="2" t="inlineStr">
        <is>
          <t>1101C-WS 1101 (251124)</t>
        </is>
      </c>
      <c r="B68" s="2" t="inlineStr">
        <is>
          <t>1101C</t>
        </is>
      </c>
      <c r="C68" s="2" t="inlineStr">
        <is>
          <t>2026-01-01</t>
        </is>
      </c>
      <c r="D68" s="2" t="inlineStr">
        <is>
          <t>Active</t>
        </is>
      </c>
      <c r="E68" s="2" t="inlineStr">
        <is>
          <t>Standard formulation WS 1101 (251124)</t>
        </is>
      </c>
      <c r="F68" s="2" t="inlineStr">
        <is>
          <t>SOYBEAN MEAL (ARG)</t>
        </is>
      </c>
      <c r="G68" s="4" t="n">
        <v>205</v>
      </c>
      <c r="H68" s="2">
        <f>[@Formula_Key]&amp;"|"&amp;[@Ingredient_Name]</f>
        <v/>
      </c>
    </row>
    <row r="69">
      <c r="A69" s="2" t="inlineStr">
        <is>
          <t>1101C-WS 1101 (251124)</t>
        </is>
      </c>
      <c r="B69" s="2" t="inlineStr">
        <is>
          <t>1101C</t>
        </is>
      </c>
      <c r="C69" s="2" t="inlineStr">
        <is>
          <t>2026-01-01</t>
        </is>
      </c>
      <c r="D69" s="2" t="inlineStr">
        <is>
          <t>Active</t>
        </is>
      </c>
      <c r="E69" s="2" t="inlineStr">
        <is>
          <t>Standard formulation WS 1101 (251124)</t>
        </is>
      </c>
      <c r="F69" s="2" t="inlineStr">
        <is>
          <t>SOYBEAN FULL FAT</t>
        </is>
      </c>
      <c r="G69" s="4" t="n">
        <v>83.49999999999999</v>
      </c>
      <c r="H69" s="2">
        <f>[@Formula_Key]&amp;"|"&amp;[@Ingredient_Name]</f>
        <v/>
      </c>
    </row>
    <row r="70">
      <c r="A70" s="2" t="inlineStr">
        <is>
          <t>1101C-WS 1101 (251124)</t>
        </is>
      </c>
      <c r="B70" s="2" t="inlineStr">
        <is>
          <t>1101C</t>
        </is>
      </c>
      <c r="C70" s="2" t="inlineStr">
        <is>
          <t>2026-01-01</t>
        </is>
      </c>
      <c r="D70" s="2" t="inlineStr">
        <is>
          <t>Active</t>
        </is>
      </c>
      <c r="E70" s="2" t="inlineStr">
        <is>
          <t>Standard formulation WS 1101 (251124)</t>
        </is>
      </c>
      <c r="F70" s="2" t="inlineStr">
        <is>
          <t>WHEAT POLLARD</t>
        </is>
      </c>
      <c r="G70" s="4" t="n">
        <v>13</v>
      </c>
      <c r="H70" s="2">
        <f>[@Formula_Key]&amp;"|"&amp;[@Ingredient_Name]</f>
        <v/>
      </c>
    </row>
    <row r="71">
      <c r="A71" s="2" t="inlineStr">
        <is>
          <t>1101C-WS 1101 (251124)</t>
        </is>
      </c>
      <c r="B71" s="2" t="inlineStr">
        <is>
          <t>1101C</t>
        </is>
      </c>
      <c r="C71" s="2" t="inlineStr">
        <is>
          <t>2026-01-01</t>
        </is>
      </c>
      <c r="D71" s="2" t="inlineStr">
        <is>
          <t>Active</t>
        </is>
      </c>
      <c r="E71" s="2" t="inlineStr">
        <is>
          <t>Standard formulation WS 1101 (251124)</t>
        </is>
      </c>
      <c r="F71" s="2" t="inlineStr">
        <is>
          <t>CORN GLUTEN MEAL</t>
        </is>
      </c>
      <c r="G71" s="4" t="n">
        <v>42</v>
      </c>
      <c r="H71" s="2">
        <f>[@Formula_Key]&amp;"|"&amp;[@Ingredient_Name]</f>
        <v/>
      </c>
    </row>
    <row r="72">
      <c r="A72" s="2" t="inlineStr">
        <is>
          <t>1101C-WS 1101 (251124)</t>
        </is>
      </c>
      <c r="B72" s="2" t="inlineStr">
        <is>
          <t>1101C</t>
        </is>
      </c>
      <c r="C72" s="2" t="inlineStr">
        <is>
          <t>2026-01-01</t>
        </is>
      </c>
      <c r="D72" s="2" t="inlineStr">
        <is>
          <t>Active</t>
        </is>
      </c>
      <c r="E72" s="2" t="inlineStr">
        <is>
          <t>Standard formulation WS 1101 (251124)</t>
        </is>
      </c>
      <c r="F72" s="2" t="inlineStr">
        <is>
          <t>MEGAFAT (HARUMI)</t>
        </is>
      </c>
      <c r="G72" s="4" t="n">
        <v>20</v>
      </c>
      <c r="H72" s="2">
        <f>[@Formula_Key]&amp;"|"&amp;[@Ingredient_Name]</f>
        <v/>
      </c>
    </row>
    <row r="73">
      <c r="A73" s="2" t="inlineStr">
        <is>
          <t>1101C-WS 1101 (251124)</t>
        </is>
      </c>
      <c r="B73" s="2" t="inlineStr">
        <is>
          <t>1101C</t>
        </is>
      </c>
      <c r="C73" s="2" t="inlineStr">
        <is>
          <t>2026-01-01</t>
        </is>
      </c>
      <c r="D73" s="2" t="inlineStr">
        <is>
          <t>Active</t>
        </is>
      </c>
      <c r="E73" s="2" t="inlineStr">
        <is>
          <t>Standard formulation WS 1101 (251124)</t>
        </is>
      </c>
      <c r="F73" s="2" t="inlineStr">
        <is>
          <t>DCP 18%</t>
        </is>
      </c>
      <c r="G73" s="4" t="n">
        <v>6.65</v>
      </c>
      <c r="H73" s="2">
        <f>[@Formula_Key]&amp;"|"&amp;[@Ingredient_Name]</f>
        <v/>
      </c>
    </row>
    <row r="74">
      <c r="A74" s="2" t="inlineStr">
        <is>
          <t>1101C-WS 1101 (251124)</t>
        </is>
      </c>
      <c r="B74" s="2" t="inlineStr">
        <is>
          <t>1101C</t>
        </is>
      </c>
      <c r="C74" s="2" t="inlineStr">
        <is>
          <t>2026-01-01</t>
        </is>
      </c>
      <c r="D74" s="2" t="inlineStr">
        <is>
          <t>Active</t>
        </is>
      </c>
      <c r="E74" s="2" t="inlineStr">
        <is>
          <t>Standard formulation WS 1101 (251124)</t>
        </is>
      </c>
      <c r="F74" s="2" t="inlineStr">
        <is>
          <t>LIMESTONE POWDER (HARUMI)</t>
        </is>
      </c>
      <c r="G74" s="4" t="n">
        <v>10</v>
      </c>
      <c r="H74" s="2">
        <f>[@Formula_Key]&amp;"|"&amp;[@Ingredient_Name]</f>
        <v/>
      </c>
    </row>
    <row r="75">
      <c r="A75" s="2" t="inlineStr">
        <is>
          <t>1101C-WS 1101 (251124)</t>
        </is>
      </c>
      <c r="B75" s="2" t="inlineStr">
        <is>
          <t>1101C</t>
        </is>
      </c>
      <c r="C75" s="2" t="inlineStr">
        <is>
          <t>2026-01-01</t>
        </is>
      </c>
      <c r="D75" s="2" t="inlineStr">
        <is>
          <t>Active</t>
        </is>
      </c>
      <c r="E75" s="2" t="inlineStr">
        <is>
          <t>Standard formulation WS 1101 (251124)</t>
        </is>
      </c>
      <c r="F75" s="2" t="inlineStr">
        <is>
          <t>INDUSTRY FLOUR</t>
        </is>
      </c>
      <c r="G75" s="4" t="n">
        <v>50</v>
      </c>
      <c r="H75" s="2">
        <f>[@Formula_Key]&amp;"|"&amp;[@Ingredient_Name]</f>
        <v/>
      </c>
    </row>
    <row r="76">
      <c r="A76" s="2" t="inlineStr">
        <is>
          <t>1101C-WS 1101 (251124)</t>
        </is>
      </c>
      <c r="B76" s="2" t="inlineStr">
        <is>
          <t>1101C</t>
        </is>
      </c>
      <c r="C76" s="2" t="inlineStr">
        <is>
          <t>2026-01-01</t>
        </is>
      </c>
      <c r="D76" s="2" t="inlineStr">
        <is>
          <t>Active</t>
        </is>
      </c>
      <c r="E76" s="2" t="inlineStr">
        <is>
          <t>Standard formulation WS 1101 (251124)</t>
        </is>
      </c>
      <c r="F76" s="2" t="inlineStr">
        <is>
          <t>RICE BRAN</t>
        </is>
      </c>
      <c r="G76" s="4" t="n">
        <v>40</v>
      </c>
      <c r="H76" s="2">
        <f>[@Formula_Key]&amp;"|"&amp;[@Ingredient_Name]</f>
        <v/>
      </c>
    </row>
    <row r="77">
      <c r="A77" s="2" t="inlineStr">
        <is>
          <t>1101C-WS 1101 (251124)</t>
        </is>
      </c>
      <c r="B77" s="2" t="inlineStr">
        <is>
          <t>1101C</t>
        </is>
      </c>
      <c r="C77" s="2" t="inlineStr">
        <is>
          <t>2026-01-01</t>
        </is>
      </c>
      <c r="D77" s="2" t="inlineStr">
        <is>
          <t>Active</t>
        </is>
      </c>
      <c r="E77" s="2" t="inlineStr">
        <is>
          <t>Standard formulation WS 1101 (251124)</t>
        </is>
      </c>
      <c r="F77" s="2" t="inlineStr">
        <is>
          <t>YENMIX 122 (19.50KG)</t>
        </is>
      </c>
      <c r="G77" s="4" t="n">
        <v>19.5</v>
      </c>
      <c r="H77" s="2">
        <f>[@Formula_Key]&amp;"|"&amp;[@Ingredient_Name]</f>
        <v/>
      </c>
    </row>
    <row r="78">
      <c r="A78" s="2" t="inlineStr">
        <is>
          <t>1101C-WS 1101 (251124)</t>
        </is>
      </c>
      <c r="B78" s="2" t="inlineStr">
        <is>
          <t>1101C</t>
        </is>
      </c>
      <c r="C78" s="2" t="inlineStr">
        <is>
          <t>2026-01-01</t>
        </is>
      </c>
      <c r="D78" s="2" t="inlineStr">
        <is>
          <t>Active</t>
        </is>
      </c>
      <c r="E78" s="2" t="inlineStr">
        <is>
          <t>Standard formulation WS 1101 (251124)</t>
        </is>
      </c>
      <c r="F78" s="2" t="inlineStr">
        <is>
          <t>TOXISORB PREMIUM</t>
        </is>
      </c>
      <c r="G78" s="4" t="n">
        <v>2</v>
      </c>
      <c r="H78" s="2">
        <f>[@Formula_Key]&amp;"|"&amp;[@Ingredient_Name]</f>
        <v/>
      </c>
    </row>
    <row r="79">
      <c r="A79" s="2" t="inlineStr">
        <is>
          <t>1101C-WS 1101 (251124)</t>
        </is>
      </c>
      <c r="B79" s="2" t="inlineStr">
        <is>
          <t>1101C</t>
        </is>
      </c>
      <c r="C79" s="2" t="inlineStr">
        <is>
          <t>2026-01-01</t>
        </is>
      </c>
      <c r="D79" s="2" t="inlineStr">
        <is>
          <t>Active</t>
        </is>
      </c>
      <c r="E79" s="2" t="inlineStr">
        <is>
          <t>Standard formulation WS 1101 (251124)</t>
        </is>
      </c>
      <c r="F79" s="2" t="inlineStr">
        <is>
          <t>SODIUM HUMATE 3.8% (HARUMI)</t>
        </is>
      </c>
      <c r="G79" s="4" t="n">
        <v>3</v>
      </c>
      <c r="H79" s="2">
        <f>[@Formula_Key]&amp;"|"&amp;[@Ingredient_Name]</f>
        <v/>
      </c>
    </row>
    <row r="80">
      <c r="A80" s="2" t="inlineStr">
        <is>
          <t>1101C-WS 1101 (251124)</t>
        </is>
      </c>
      <c r="B80" s="2" t="inlineStr">
        <is>
          <t>1101C</t>
        </is>
      </c>
      <c r="C80" s="2" t="inlineStr">
        <is>
          <t>2026-01-01</t>
        </is>
      </c>
      <c r="D80" s="2" t="inlineStr">
        <is>
          <t>Active</t>
        </is>
      </c>
      <c r="E80" s="2" t="inlineStr">
        <is>
          <t>Standard formulation WS 1101 (251124)</t>
        </is>
      </c>
      <c r="F80" s="2" t="inlineStr">
        <is>
          <t>SODIUM BICARBONATE</t>
        </is>
      </c>
      <c r="G80" s="4" t="n">
        <v>1.2</v>
      </c>
      <c r="H80" s="2">
        <f>[@Formula_Key]&amp;"|"&amp;[@Ingredient_Name]</f>
        <v/>
      </c>
    </row>
    <row r="81">
      <c r="A81" s="2" t="inlineStr">
        <is>
          <t>1101C-WS 1101 (251124)</t>
        </is>
      </c>
      <c r="B81" s="2" t="inlineStr">
        <is>
          <t>1101C</t>
        </is>
      </c>
      <c r="C81" s="2" t="inlineStr">
        <is>
          <t>2026-01-01</t>
        </is>
      </c>
      <c r="D81" s="2" t="inlineStr">
        <is>
          <t>Active</t>
        </is>
      </c>
      <c r="E81" s="2" t="inlineStr">
        <is>
          <t>Standard formulation WS 1101 (251124)</t>
        </is>
      </c>
      <c r="F81" s="2" t="inlineStr">
        <is>
          <t>SALT (HARUMI)</t>
        </is>
      </c>
      <c r="G81" s="4" t="n">
        <v>2.799999999999999</v>
      </c>
      <c r="H81" s="2">
        <f>[@Formula_Key]&amp;"|"&amp;[@Ingredient_Name]</f>
        <v/>
      </c>
    </row>
    <row r="82">
      <c r="A82" s="2" t="inlineStr">
        <is>
          <t>1101C-WS 1101 (251124)</t>
        </is>
      </c>
      <c r="B82" s="2" t="inlineStr">
        <is>
          <t>1101C</t>
        </is>
      </c>
      <c r="C82" s="2" t="inlineStr">
        <is>
          <t>2026-01-01</t>
        </is>
      </c>
      <c r="D82" s="2" t="inlineStr">
        <is>
          <t>Active</t>
        </is>
      </c>
      <c r="E82" s="2" t="inlineStr">
        <is>
          <t>Standard formulation WS 1101 (251124)</t>
        </is>
      </c>
      <c r="F82" s="2" t="inlineStr">
        <is>
          <t>TOTAL</t>
        </is>
      </c>
      <c r="G82" s="4" t="n">
        <v>1000</v>
      </c>
      <c r="H82" s="2">
        <f>[@Formula_Key]&amp;"|"&amp;[@Ingredient_Name]</f>
        <v/>
      </c>
    </row>
    <row r="83">
      <c r="A83" s="2" t="inlineStr">
        <is>
          <t>1101C-WS 1101 (251124)</t>
        </is>
      </c>
      <c r="B83" s="2" t="inlineStr">
        <is>
          <t>1101C</t>
        </is>
      </c>
      <c r="C83" s="2" t="inlineStr">
        <is>
          <t>2026-01-01</t>
        </is>
      </c>
      <c r="D83" s="2" t="inlineStr">
        <is>
          <t>Active</t>
        </is>
      </c>
      <c r="E83" s="2" t="inlineStr">
        <is>
          <t>Standard formulation WS 1101 (251124)</t>
        </is>
      </c>
      <c r="F83" s="2" t="inlineStr">
        <is>
          <t>MAIZE/CORN</t>
        </is>
      </c>
      <c r="G83" s="4" t="n">
        <v>534.5999999999999</v>
      </c>
      <c r="H83" s="2">
        <f>[@Formula_Key]&amp;"|"&amp;[@Ingredient_Name]</f>
        <v/>
      </c>
    </row>
    <row r="84">
      <c r="A84" s="2" t="inlineStr">
        <is>
          <t>1101C-WS 1101 (251124)</t>
        </is>
      </c>
      <c r="B84" s="2" t="inlineStr">
        <is>
          <t>1101C</t>
        </is>
      </c>
      <c r="C84" s="2" t="inlineStr">
        <is>
          <t>2026-01-01</t>
        </is>
      </c>
      <c r="D84" s="2" t="inlineStr">
        <is>
          <t>Active</t>
        </is>
      </c>
      <c r="E84" s="2" t="inlineStr">
        <is>
          <t>Standard formulation WS 1101 (251124)</t>
        </is>
      </c>
      <c r="F84" s="2" t="inlineStr">
        <is>
          <t>SOYBEAN MEAL (ARG)</t>
        </is>
      </c>
      <c r="G84" s="4" t="n">
        <v>171.5</v>
      </c>
      <c r="H84" s="2">
        <f>[@Formula_Key]&amp;"|"&amp;[@Ingredient_Name]</f>
        <v/>
      </c>
    </row>
    <row r="85">
      <c r="A85" s="2" t="inlineStr">
        <is>
          <t>1101C-WS 1101 (251124)</t>
        </is>
      </c>
      <c r="B85" s="2" t="inlineStr">
        <is>
          <t>1101C</t>
        </is>
      </c>
      <c r="C85" s="2" t="inlineStr">
        <is>
          <t>2026-01-01</t>
        </is>
      </c>
      <c r="D85" s="2" t="inlineStr">
        <is>
          <t>Active</t>
        </is>
      </c>
      <c r="E85" s="2" t="inlineStr">
        <is>
          <t>Standard formulation WS 1101 (251124)</t>
        </is>
      </c>
      <c r="F85" s="2" t="inlineStr">
        <is>
          <t>SOYBEAN FULL FAT</t>
        </is>
      </c>
      <c r="G85" s="4" t="n">
        <v>85</v>
      </c>
      <c r="H85" s="2">
        <f>[@Formula_Key]&amp;"|"&amp;[@Ingredient_Name]</f>
        <v/>
      </c>
    </row>
    <row r="86">
      <c r="A86" s="2" t="inlineStr">
        <is>
          <t>1101C-WS 1101 (251124)</t>
        </is>
      </c>
      <c r="B86" s="2" t="inlineStr">
        <is>
          <t>1101C</t>
        </is>
      </c>
      <c r="C86" s="2" t="inlineStr">
        <is>
          <t>2026-01-01</t>
        </is>
      </c>
      <c r="D86" s="2" t="inlineStr">
        <is>
          <t>Active</t>
        </is>
      </c>
      <c r="E86" s="2" t="inlineStr">
        <is>
          <t>Standard formulation WS 1101 (251124)</t>
        </is>
      </c>
      <c r="F86" s="2" t="inlineStr">
        <is>
          <t>WHEAT POLLARD</t>
        </is>
      </c>
      <c r="G86" s="4" t="n">
        <v>12</v>
      </c>
      <c r="H86" s="2">
        <f>[@Formula_Key]&amp;"|"&amp;[@Ingredient_Name]</f>
        <v/>
      </c>
    </row>
    <row r="87">
      <c r="A87" s="2" t="inlineStr">
        <is>
          <t>1101C-WS 1101 (251124)</t>
        </is>
      </c>
      <c r="B87" s="2" t="inlineStr">
        <is>
          <t>1101C</t>
        </is>
      </c>
      <c r="C87" s="2" t="inlineStr">
        <is>
          <t>2026-01-01</t>
        </is>
      </c>
      <c r="D87" s="2" t="inlineStr">
        <is>
          <t>Active</t>
        </is>
      </c>
      <c r="E87" s="2" t="inlineStr">
        <is>
          <t>Standard formulation WS 1101 (251124)</t>
        </is>
      </c>
      <c r="F87" s="2" t="inlineStr">
        <is>
          <t>CORN GLUTEN MEAL</t>
        </is>
      </c>
      <c r="G87" s="4" t="n">
        <v>45</v>
      </c>
      <c r="H87" s="2">
        <f>[@Formula_Key]&amp;"|"&amp;[@Ingredient_Name]</f>
        <v/>
      </c>
    </row>
    <row r="88">
      <c r="A88" s="2" t="inlineStr">
        <is>
          <t>1101C-WS 1101 (251124)</t>
        </is>
      </c>
      <c r="B88" s="2" t="inlineStr">
        <is>
          <t>1101C</t>
        </is>
      </c>
      <c r="C88" s="2" t="inlineStr">
        <is>
          <t>2026-01-01</t>
        </is>
      </c>
      <c r="D88" s="2" t="inlineStr">
        <is>
          <t>Active</t>
        </is>
      </c>
      <c r="E88" s="2" t="inlineStr">
        <is>
          <t>Standard formulation WS 1101 (251124)</t>
        </is>
      </c>
      <c r="F88" s="2" t="inlineStr">
        <is>
          <t>MEGAFAT (HARUMI)</t>
        </is>
      </c>
      <c r="G88" s="4" t="n">
        <v>19.5</v>
      </c>
      <c r="H88" s="2">
        <f>[@Formula_Key]&amp;"|"&amp;[@Ingredient_Name]</f>
        <v/>
      </c>
    </row>
    <row r="89">
      <c r="A89" s="2" t="inlineStr">
        <is>
          <t>1101C-WS 1101 (251124)</t>
        </is>
      </c>
      <c r="B89" s="2" t="inlineStr">
        <is>
          <t>1101C</t>
        </is>
      </c>
      <c r="C89" s="2" t="inlineStr">
        <is>
          <t>2026-01-01</t>
        </is>
      </c>
      <c r="D89" s="2" t="inlineStr">
        <is>
          <t>Active</t>
        </is>
      </c>
      <c r="E89" s="2" t="inlineStr">
        <is>
          <t>Standard formulation WS 1101 (251124)</t>
        </is>
      </c>
      <c r="F89" s="2" t="inlineStr">
        <is>
          <t>DCP 18%</t>
        </is>
      </c>
      <c r="G89" s="4" t="n">
        <v>5.500000000000001</v>
      </c>
      <c r="H89" s="2">
        <f>[@Formula_Key]&amp;"|"&amp;[@Ingredient_Name]</f>
        <v/>
      </c>
    </row>
    <row r="90">
      <c r="A90" s="2" t="inlineStr">
        <is>
          <t>1101C-WS 1101 (251124)</t>
        </is>
      </c>
      <c r="B90" s="2" t="inlineStr">
        <is>
          <t>1101C</t>
        </is>
      </c>
      <c r="C90" s="2" t="inlineStr">
        <is>
          <t>2026-01-01</t>
        </is>
      </c>
      <c r="D90" s="2" t="inlineStr">
        <is>
          <t>Active</t>
        </is>
      </c>
      <c r="E90" s="2" t="inlineStr">
        <is>
          <t>Standard formulation WS 1101 (251124)</t>
        </is>
      </c>
      <c r="F90" s="2" t="inlineStr">
        <is>
          <t>LIMESTONE POWDER (HARUMI)</t>
        </is>
      </c>
      <c r="G90" s="4" t="n">
        <v>9.000000000000002</v>
      </c>
      <c r="H90" s="2">
        <f>[@Formula_Key]&amp;"|"&amp;[@Ingredient_Name]</f>
        <v/>
      </c>
    </row>
    <row r="91">
      <c r="A91" s="2" t="inlineStr">
        <is>
          <t>1101C-WS 1101 (251124)</t>
        </is>
      </c>
      <c r="B91" s="2" t="inlineStr">
        <is>
          <t>1101C</t>
        </is>
      </c>
      <c r="C91" s="2" t="inlineStr">
        <is>
          <t>2026-01-01</t>
        </is>
      </c>
      <c r="D91" s="2" t="inlineStr">
        <is>
          <t>Active</t>
        </is>
      </c>
      <c r="E91" s="2" t="inlineStr">
        <is>
          <t>Standard formulation WS 1101 (251124)</t>
        </is>
      </c>
      <c r="F91" s="2" t="inlineStr">
        <is>
          <t>INDUSTRY FLOUR</t>
        </is>
      </c>
      <c r="G91" s="4" t="n">
        <v>50</v>
      </c>
      <c r="H91" s="2">
        <f>[@Formula_Key]&amp;"|"&amp;[@Ingredient_Name]</f>
        <v/>
      </c>
    </row>
    <row r="92">
      <c r="A92" s="2" t="inlineStr">
        <is>
          <t>1101C-WS 1101 (251124)</t>
        </is>
      </c>
      <c r="B92" s="2" t="inlineStr">
        <is>
          <t>1101C</t>
        </is>
      </c>
      <c r="C92" s="2" t="inlineStr">
        <is>
          <t>2026-01-01</t>
        </is>
      </c>
      <c r="D92" s="2" t="inlineStr">
        <is>
          <t>Active</t>
        </is>
      </c>
      <c r="E92" s="2" t="inlineStr">
        <is>
          <t>Standard formulation WS 1101 (251124)</t>
        </is>
      </c>
      <c r="F92" s="2" t="inlineStr">
        <is>
          <t>RICE BRAN</t>
        </is>
      </c>
      <c r="G92" s="4" t="n">
        <v>40</v>
      </c>
      <c r="H92" s="2">
        <f>[@Formula_Key]&amp;"|"&amp;[@Ingredient_Name]</f>
        <v/>
      </c>
    </row>
    <row r="93">
      <c r="A93" s="2" t="inlineStr">
        <is>
          <t>1101C-WS 1101 (251124)</t>
        </is>
      </c>
      <c r="B93" s="2" t="inlineStr">
        <is>
          <t>1101C</t>
        </is>
      </c>
      <c r="C93" s="2" t="inlineStr">
        <is>
          <t>2026-01-01</t>
        </is>
      </c>
      <c r="D93" s="2" t="inlineStr">
        <is>
          <t>Active</t>
        </is>
      </c>
      <c r="E93" s="2" t="inlineStr">
        <is>
          <t>Standard formulation WS 1101 (251124)</t>
        </is>
      </c>
      <c r="F93" s="2" t="inlineStr">
        <is>
          <t>YENMIX 123 (18.90KG)</t>
        </is>
      </c>
      <c r="G93" s="4" t="n">
        <v>18.9</v>
      </c>
      <c r="H93" s="2">
        <f>[@Formula_Key]&amp;"|"&amp;[@Ingredient_Name]</f>
        <v/>
      </c>
    </row>
    <row r="94">
      <c r="A94" s="2" t="inlineStr">
        <is>
          <t>1101C-WS 1101 (251124)</t>
        </is>
      </c>
      <c r="B94" s="2" t="inlineStr">
        <is>
          <t>1101C</t>
        </is>
      </c>
      <c r="C94" s="2" t="inlineStr">
        <is>
          <t>2026-01-01</t>
        </is>
      </c>
      <c r="D94" s="2" t="inlineStr">
        <is>
          <t>Active</t>
        </is>
      </c>
      <c r="E94" s="2" t="inlineStr">
        <is>
          <t>Standard formulation WS 1101 (251124)</t>
        </is>
      </c>
      <c r="F94" s="2" t="inlineStr">
        <is>
          <t>TOXISORB PREMIUM</t>
        </is>
      </c>
      <c r="G94" s="4" t="n">
        <v>2</v>
      </c>
      <c r="H94" s="2">
        <f>[@Formula_Key]&amp;"|"&amp;[@Ingredient_Name]</f>
        <v/>
      </c>
    </row>
    <row r="95">
      <c r="A95" s="2" t="inlineStr">
        <is>
          <t>1101C-WS 1101 (251124)</t>
        </is>
      </c>
      <c r="B95" s="2" t="inlineStr">
        <is>
          <t>1101C</t>
        </is>
      </c>
      <c r="C95" s="2" t="inlineStr">
        <is>
          <t>2026-01-01</t>
        </is>
      </c>
      <c r="D95" s="2" t="inlineStr">
        <is>
          <t>Active</t>
        </is>
      </c>
      <c r="E95" s="2" t="inlineStr">
        <is>
          <t>Standard formulation WS 1101 (251124)</t>
        </is>
      </c>
      <c r="F95" s="2" t="inlineStr">
        <is>
          <t>SODIUM HUMATE 3.8% (HARUMI)</t>
        </is>
      </c>
      <c r="G95" s="4" t="n">
        <v>3</v>
      </c>
      <c r="H95" s="2">
        <f>[@Formula_Key]&amp;"|"&amp;[@Ingredient_Name]</f>
        <v/>
      </c>
    </row>
    <row r="96">
      <c r="A96" s="2" t="inlineStr">
        <is>
          <t>1101C-WS 1101 (251124)</t>
        </is>
      </c>
      <c r="B96" s="2" t="inlineStr">
        <is>
          <t>1101C</t>
        </is>
      </c>
      <c r="C96" s="2" t="inlineStr">
        <is>
          <t>2026-01-01</t>
        </is>
      </c>
      <c r="D96" s="2" t="inlineStr">
        <is>
          <t>Active</t>
        </is>
      </c>
      <c r="E96" s="2" t="inlineStr">
        <is>
          <t>Standard formulation WS 1101 (251124)</t>
        </is>
      </c>
      <c r="F96" s="2" t="inlineStr">
        <is>
          <t>SODIUM BICARBONATE</t>
        </is>
      </c>
      <c r="G96" s="4" t="n">
        <v>1.2</v>
      </c>
      <c r="H96" s="2">
        <f>[@Formula_Key]&amp;"|"&amp;[@Ingredient_Name]</f>
        <v/>
      </c>
    </row>
    <row r="97">
      <c r="A97" s="2" t="inlineStr">
        <is>
          <t>1101C-WS 1101 (251124)</t>
        </is>
      </c>
      <c r="B97" s="2" t="inlineStr">
        <is>
          <t>1101C</t>
        </is>
      </c>
      <c r="C97" s="2" t="inlineStr">
        <is>
          <t>2026-01-01</t>
        </is>
      </c>
      <c r="D97" s="2" t="inlineStr">
        <is>
          <t>Active</t>
        </is>
      </c>
      <c r="E97" s="2" t="inlineStr">
        <is>
          <t>Standard formulation WS 1101 (251124)</t>
        </is>
      </c>
      <c r="F97" s="2" t="inlineStr">
        <is>
          <t>SALT (HARUMI)</t>
        </is>
      </c>
      <c r="G97" s="4" t="n">
        <v>2.799999999999999</v>
      </c>
      <c r="H97" s="2">
        <f>[@Formula_Key]&amp;"|"&amp;[@Ingredient_Name]</f>
        <v/>
      </c>
    </row>
    <row r="98">
      <c r="A98" s="2" t="inlineStr">
        <is>
          <t>1101C-WS 1101 (251124)</t>
        </is>
      </c>
      <c r="B98" s="2" t="inlineStr">
        <is>
          <t>1101C</t>
        </is>
      </c>
      <c r="C98" s="2" t="inlineStr">
        <is>
          <t>2026-01-01</t>
        </is>
      </c>
      <c r="D98" s="2" t="inlineStr">
        <is>
          <t>Active</t>
        </is>
      </c>
      <c r="E98" s="2" t="inlineStr">
        <is>
          <t>Standard formulation WS 1101 (251124)</t>
        </is>
      </c>
      <c r="F98" s="2" t="inlineStr">
        <is>
          <t>TOTAL</t>
        </is>
      </c>
      <c r="G98" s="4" t="n">
        <v>999.9999999999999</v>
      </c>
      <c r="H98" s="2">
        <f>[@Formula_Key]&amp;"|"&amp;[@Ingredient_Name]</f>
        <v/>
      </c>
    </row>
    <row r="99">
      <c r="A99" s="2" t="inlineStr">
        <is>
          <t>1101C-WS 1101 (220526)</t>
        </is>
      </c>
      <c r="B99" s="2" t="inlineStr">
        <is>
          <t>1101C</t>
        </is>
      </c>
      <c r="C99" s="2" t="inlineStr">
        <is>
          <t>2026-01-01</t>
        </is>
      </c>
      <c r="D99" s="2" t="inlineStr">
        <is>
          <t>Active</t>
        </is>
      </c>
      <c r="E99" s="2" t="inlineStr">
        <is>
          <t>Standard formulation WS 1101 (220526)</t>
        </is>
      </c>
      <c r="F99" s="2" t="inlineStr">
        <is>
          <t>MAIZE/CORN</t>
        </is>
      </c>
      <c r="G99" s="4" t="n">
        <v>568.4</v>
      </c>
      <c r="H99" s="2">
        <f>[@Formula_Key]&amp;"|"&amp;[@Ingredient_Name]</f>
        <v/>
      </c>
    </row>
    <row r="100">
      <c r="A100" s="2" t="inlineStr">
        <is>
          <t>1101C-WS 1101 (220526)</t>
        </is>
      </c>
      <c r="B100" s="2" t="inlineStr">
        <is>
          <t>1101C</t>
        </is>
      </c>
      <c r="C100" s="2" t="inlineStr">
        <is>
          <t>2026-01-01</t>
        </is>
      </c>
      <c r="D100" s="2" t="inlineStr">
        <is>
          <t>Active</t>
        </is>
      </c>
      <c r="E100" s="2" t="inlineStr">
        <is>
          <t>Standard formulation WS 1101 (220526)</t>
        </is>
      </c>
      <c r="F100" s="2" t="inlineStr">
        <is>
          <t>SOYBEAN MEAL (ARG)</t>
        </is>
      </c>
      <c r="G100" s="4" t="n">
        <v>327.8</v>
      </c>
      <c r="H100" s="2">
        <f>[@Formula_Key]&amp;"|"&amp;[@Ingredient_Name]</f>
        <v/>
      </c>
    </row>
    <row r="101">
      <c r="A101" s="2" t="inlineStr">
        <is>
          <t>1101C-WS 1101 (220526)</t>
        </is>
      </c>
      <c r="B101" s="2" t="inlineStr">
        <is>
          <t>1101C</t>
        </is>
      </c>
      <c r="C101" s="2" t="inlineStr">
        <is>
          <t>2026-01-01</t>
        </is>
      </c>
      <c r="D101" s="2" t="inlineStr">
        <is>
          <t>Active</t>
        </is>
      </c>
      <c r="E101" s="2" t="inlineStr">
        <is>
          <t>Standard formulation WS 1101 (220526)</t>
        </is>
      </c>
      <c r="F101" s="2" t="inlineStr">
        <is>
          <t>SOYBEAN FULL FAT</t>
        </is>
      </c>
      <c r="G101" s="4" t="n">
        <v>25</v>
      </c>
      <c r="H101" s="2">
        <f>[@Formula_Key]&amp;"|"&amp;[@Ingredient_Name]</f>
        <v/>
      </c>
    </row>
    <row r="102">
      <c r="A102" s="2" t="inlineStr">
        <is>
          <t>1101C-WS 1101 (220526)</t>
        </is>
      </c>
      <c r="B102" s="2" t="inlineStr">
        <is>
          <t>1101C</t>
        </is>
      </c>
      <c r="C102" s="2" t="inlineStr">
        <is>
          <t>2026-01-01</t>
        </is>
      </c>
      <c r="D102" s="2" t="inlineStr">
        <is>
          <t>Active</t>
        </is>
      </c>
      <c r="E102" s="2" t="inlineStr">
        <is>
          <t>Standard formulation WS 1101 (220526)</t>
        </is>
      </c>
      <c r="F102" s="2" t="inlineStr">
        <is>
          <t>MEAT AND BONE MEAL</t>
        </is>
      </c>
      <c r="G102" s="4" t="n">
        <v>20.2</v>
      </c>
      <c r="H102" s="2">
        <f>[@Formula_Key]&amp;"|"&amp;[@Ingredient_Name]</f>
        <v/>
      </c>
    </row>
    <row r="103">
      <c r="A103" s="2" t="inlineStr">
        <is>
          <t>1101C-WS 1101 (220526)</t>
        </is>
      </c>
      <c r="B103" s="2" t="inlineStr">
        <is>
          <t>1101C</t>
        </is>
      </c>
      <c r="C103" s="2" t="inlineStr">
        <is>
          <t>2026-01-01</t>
        </is>
      </c>
      <c r="D103" s="2" t="inlineStr">
        <is>
          <t>Active</t>
        </is>
      </c>
      <c r="E103" s="2" t="inlineStr">
        <is>
          <t>Standard formulation WS 1101 (220526)</t>
        </is>
      </c>
      <c r="F103" s="2" t="inlineStr">
        <is>
          <t>MEGAFAT (HARUMI)</t>
        </is>
      </c>
      <c r="G103" s="4" t="n">
        <v>11.5</v>
      </c>
      <c r="H103" s="2">
        <f>[@Formula_Key]&amp;"|"&amp;[@Ingredient_Name]</f>
        <v/>
      </c>
    </row>
    <row r="104">
      <c r="A104" s="2" t="inlineStr">
        <is>
          <t>1101C-WS 1101 (220526)</t>
        </is>
      </c>
      <c r="B104" s="2" t="inlineStr">
        <is>
          <t>1101C</t>
        </is>
      </c>
      <c r="C104" s="2" t="inlineStr">
        <is>
          <t>2026-01-01</t>
        </is>
      </c>
      <c r="D104" s="2" t="inlineStr">
        <is>
          <t>Active</t>
        </is>
      </c>
      <c r="E104" s="2" t="inlineStr">
        <is>
          <t>Standard formulation WS 1101 (220526)</t>
        </is>
      </c>
      <c r="F104" s="2" t="inlineStr">
        <is>
          <t>RICE BRAN</t>
        </is>
      </c>
      <c r="G104" s="4" t="n">
        <v>25</v>
      </c>
      <c r="H104" s="2">
        <f>[@Formula_Key]&amp;"|"&amp;[@Ingredient_Name]</f>
        <v/>
      </c>
    </row>
    <row r="105">
      <c r="A105" s="2" t="inlineStr">
        <is>
          <t>1101C-WS 1101 (220526)</t>
        </is>
      </c>
      <c r="B105" s="2" t="inlineStr">
        <is>
          <t>1101C</t>
        </is>
      </c>
      <c r="C105" s="2" t="inlineStr">
        <is>
          <t>2026-01-01</t>
        </is>
      </c>
      <c r="D105" s="2" t="inlineStr">
        <is>
          <t>Active</t>
        </is>
      </c>
      <c r="E105" s="2" t="inlineStr">
        <is>
          <t>Standard formulation WS 1101 (220526)</t>
        </is>
      </c>
      <c r="F105" s="2" t="inlineStr">
        <is>
          <t>TOTAL</t>
        </is>
      </c>
      <c r="G105" s="4" t="n">
        <v>977.9000000000001</v>
      </c>
      <c r="H105" s="2">
        <f>[@Formula_Key]&amp;"|"&amp;[@Ingredient_Name]</f>
        <v/>
      </c>
    </row>
    <row r="106">
      <c r="A106" s="2" t="inlineStr">
        <is>
          <t>1101C-WS 1101 (220526)</t>
        </is>
      </c>
      <c r="B106" s="2" t="inlineStr">
        <is>
          <t>1101C</t>
        </is>
      </c>
      <c r="C106" s="2" t="inlineStr">
        <is>
          <t>2026-01-01</t>
        </is>
      </c>
      <c r="D106" s="2" t="inlineStr">
        <is>
          <t>Active</t>
        </is>
      </c>
      <c r="E106" s="2" t="inlineStr">
        <is>
          <t>Standard formulation WS 1101 (220526)</t>
        </is>
      </c>
      <c r="F106" s="2" t="inlineStr">
        <is>
          <t>MAIZE/CORN</t>
        </is>
      </c>
      <c r="G106" s="4" t="n">
        <v>649.2</v>
      </c>
      <c r="H106" s="2">
        <f>[@Formula_Key]&amp;"|"&amp;[@Ingredient_Name]</f>
        <v/>
      </c>
    </row>
    <row r="107">
      <c r="A107" s="2" t="inlineStr">
        <is>
          <t>1101C-WS 1101 (220526)</t>
        </is>
      </c>
      <c r="B107" s="2" t="inlineStr">
        <is>
          <t>1101C</t>
        </is>
      </c>
      <c r="C107" s="2" t="inlineStr">
        <is>
          <t>2026-01-01</t>
        </is>
      </c>
      <c r="D107" s="2" t="inlineStr">
        <is>
          <t>Active</t>
        </is>
      </c>
      <c r="E107" s="2" t="inlineStr">
        <is>
          <t>Standard formulation WS 1101 (220526)</t>
        </is>
      </c>
      <c r="F107" s="2" t="inlineStr">
        <is>
          <t>SOYBEAN MEAL (ARG)</t>
        </is>
      </c>
      <c r="G107" s="4" t="n">
        <v>161.55</v>
      </c>
      <c r="H107" s="2">
        <f>[@Formula_Key]&amp;"|"&amp;[@Ingredient_Name]</f>
        <v/>
      </c>
    </row>
    <row r="108">
      <c r="A108" s="2" t="inlineStr">
        <is>
          <t>1101C-WS 1101 (220526)</t>
        </is>
      </c>
      <c r="B108" s="2" t="inlineStr">
        <is>
          <t>1101C</t>
        </is>
      </c>
      <c r="C108" s="2" t="inlineStr">
        <is>
          <t>2026-01-01</t>
        </is>
      </c>
      <c r="D108" s="2" t="inlineStr">
        <is>
          <t>Active</t>
        </is>
      </c>
      <c r="E108" s="2" t="inlineStr">
        <is>
          <t>Standard formulation WS 1101 (220526)</t>
        </is>
      </c>
      <c r="F108" s="2" t="inlineStr">
        <is>
          <t>SOYBEAN FULL FAT</t>
        </is>
      </c>
      <c r="G108" s="4" t="n">
        <v>75</v>
      </c>
      <c r="H108" s="2">
        <f>[@Formula_Key]&amp;"|"&amp;[@Ingredient_Name]</f>
        <v/>
      </c>
    </row>
    <row r="109">
      <c r="A109" s="2" t="inlineStr">
        <is>
          <t>1101C-WS 1101 (220526)</t>
        </is>
      </c>
      <c r="B109" s="2" t="inlineStr">
        <is>
          <t>1101C</t>
        </is>
      </c>
      <c r="C109" s="2" t="inlineStr">
        <is>
          <t>2026-01-01</t>
        </is>
      </c>
      <c r="D109" s="2" t="inlineStr">
        <is>
          <t>Active</t>
        </is>
      </c>
      <c r="E109" s="2" t="inlineStr">
        <is>
          <t>Standard formulation WS 1101 (220526)</t>
        </is>
      </c>
      <c r="F109" s="2" t="inlineStr">
        <is>
          <t>MEAT AND BONE MEAL</t>
        </is>
      </c>
      <c r="G109" s="4" t="n">
        <v>15</v>
      </c>
      <c r="H109" s="2">
        <f>[@Formula_Key]&amp;"|"&amp;[@Ingredient_Name]</f>
        <v/>
      </c>
    </row>
    <row r="110">
      <c r="A110" s="2" t="inlineStr">
        <is>
          <t>1101C-WS 1101 (220526)</t>
        </is>
      </c>
      <c r="B110" s="2" t="inlineStr">
        <is>
          <t>1101C</t>
        </is>
      </c>
      <c r="C110" s="2" t="inlineStr">
        <is>
          <t>2026-01-01</t>
        </is>
      </c>
      <c r="D110" s="2" t="inlineStr">
        <is>
          <t>Active</t>
        </is>
      </c>
      <c r="E110" s="2" t="inlineStr">
        <is>
          <t>Standard formulation WS 1101 (220526)</t>
        </is>
      </c>
      <c r="F110" s="2" t="inlineStr">
        <is>
          <t>CORN GLUTEN MEAL</t>
        </is>
      </c>
      <c r="G110" s="4" t="n">
        <v>20</v>
      </c>
      <c r="H110" s="2">
        <f>[@Formula_Key]&amp;"|"&amp;[@Ingredient_Name]</f>
        <v/>
      </c>
    </row>
    <row r="111">
      <c r="A111" s="2" t="inlineStr">
        <is>
          <t>1101C-WS 1101 (220526)</t>
        </is>
      </c>
      <c r="B111" s="2" t="inlineStr">
        <is>
          <t>1101C</t>
        </is>
      </c>
      <c r="C111" s="2" t="inlineStr">
        <is>
          <t>2026-01-01</t>
        </is>
      </c>
      <c r="D111" s="2" t="inlineStr">
        <is>
          <t>Active</t>
        </is>
      </c>
      <c r="E111" s="2" t="inlineStr">
        <is>
          <t>Standard formulation WS 1101 (220526)</t>
        </is>
      </c>
      <c r="F111" s="2" t="inlineStr">
        <is>
          <t>MEGAFAT (HARUMI)</t>
        </is>
      </c>
      <c r="G111" s="4" t="n">
        <v>27</v>
      </c>
      <c r="H111" s="2">
        <f>[@Formula_Key]&amp;"|"&amp;[@Ingredient_Name]</f>
        <v/>
      </c>
    </row>
    <row r="112">
      <c r="A112" s="2" t="inlineStr">
        <is>
          <t>1101C-WS 1101 (220526)</t>
        </is>
      </c>
      <c r="B112" s="2" t="inlineStr">
        <is>
          <t>1101C</t>
        </is>
      </c>
      <c r="C112" s="2" t="inlineStr">
        <is>
          <t>2026-01-01</t>
        </is>
      </c>
      <c r="D112" s="2" t="inlineStr">
        <is>
          <t>Active</t>
        </is>
      </c>
      <c r="E112" s="2" t="inlineStr">
        <is>
          <t>Standard formulation WS 1101 (220526)</t>
        </is>
      </c>
      <c r="F112" s="2" t="inlineStr">
        <is>
          <t>LIMESTONE POWDER (HARUMI)</t>
        </is>
      </c>
      <c r="G112" s="4" t="n">
        <v>0.25</v>
      </c>
      <c r="H112" s="2">
        <f>[@Formula_Key]&amp;"|"&amp;[@Ingredient_Name]</f>
        <v/>
      </c>
    </row>
    <row r="113">
      <c r="A113" s="2" t="inlineStr">
        <is>
          <t>1101C-WS 1101 (220526)</t>
        </is>
      </c>
      <c r="B113" s="2" t="inlineStr">
        <is>
          <t>1101C</t>
        </is>
      </c>
      <c r="C113" s="2" t="inlineStr">
        <is>
          <t>2026-01-01</t>
        </is>
      </c>
      <c r="D113" s="2" t="inlineStr">
        <is>
          <t>Active</t>
        </is>
      </c>
      <c r="E113" s="2" t="inlineStr">
        <is>
          <t>Standard formulation WS 1101 (220526)</t>
        </is>
      </c>
      <c r="F113" s="2" t="inlineStr">
        <is>
          <t>RICE BRAN</t>
        </is>
      </c>
      <c r="G113" s="4" t="n">
        <v>30</v>
      </c>
      <c r="H113" s="2">
        <f>[@Formula_Key]&amp;"|"&amp;[@Ingredient_Name]</f>
        <v/>
      </c>
    </row>
    <row r="114">
      <c r="A114" s="2" t="inlineStr">
        <is>
          <t>1101C-WS 1101 (220526)</t>
        </is>
      </c>
      <c r="B114" s="2" t="inlineStr">
        <is>
          <t>1101C</t>
        </is>
      </c>
      <c r="C114" s="2" t="inlineStr">
        <is>
          <t>2026-01-01</t>
        </is>
      </c>
      <c r="D114" s="2" t="inlineStr">
        <is>
          <t>Active</t>
        </is>
      </c>
      <c r="E114" s="2" t="inlineStr">
        <is>
          <t>Standard formulation WS 1101 (220526)</t>
        </is>
      </c>
      <c r="F114" s="2" t="inlineStr">
        <is>
          <t>PREMIX 1103 (20KG)</t>
        </is>
      </c>
      <c r="G114" s="4" t="n">
        <v>20</v>
      </c>
      <c r="H114" s="2">
        <f>[@Formula_Key]&amp;"|"&amp;[@Ingredient_Name]</f>
        <v/>
      </c>
    </row>
    <row r="115">
      <c r="A115" s="2" t="inlineStr">
        <is>
          <t>1101C-WS 1101 (220526)</t>
        </is>
      </c>
      <c r="B115" s="2" t="inlineStr">
        <is>
          <t>1101C</t>
        </is>
      </c>
      <c r="C115" s="2" t="inlineStr">
        <is>
          <t>2026-01-01</t>
        </is>
      </c>
      <c r="D115" s="2" t="inlineStr">
        <is>
          <t>Active</t>
        </is>
      </c>
      <c r="E115" s="2" t="inlineStr">
        <is>
          <t>Standard formulation WS 1101 (220526)</t>
        </is>
      </c>
      <c r="F115" s="2" t="inlineStr">
        <is>
          <t>1103 TOP UP (2.00KG)</t>
        </is>
      </c>
      <c r="G115" s="4" t="n">
        <v>2</v>
      </c>
      <c r="H115" s="2">
        <f>[@Formula_Key]&amp;"|"&amp;[@Ingredient_Name]</f>
        <v/>
      </c>
    </row>
    <row r="116">
      <c r="A116" s="2" t="inlineStr">
        <is>
          <t>1101C-WS 1101 (220526)</t>
        </is>
      </c>
      <c r="B116" s="2" t="inlineStr">
        <is>
          <t>1101C</t>
        </is>
      </c>
      <c r="C116" s="2" t="inlineStr">
        <is>
          <t>2026-01-01</t>
        </is>
      </c>
      <c r="D116" s="2" t="inlineStr">
        <is>
          <t>Active</t>
        </is>
      </c>
      <c r="E116" s="2" t="inlineStr">
        <is>
          <t>Standard formulation WS 1101 (220526)</t>
        </is>
      </c>
      <c r="F116" s="2" t="inlineStr">
        <is>
          <t>TOTAL</t>
        </is>
      </c>
      <c r="G116" s="4" t="n">
        <v>1000</v>
      </c>
      <c r="H116" s="2">
        <f>[@Formula_Key]&amp;"|"&amp;[@Ingredient_Name]</f>
        <v/>
      </c>
    </row>
    <row r="117">
      <c r="A117" s="2" t="inlineStr">
        <is>
          <t>1101C-WS 1101 (220526)</t>
        </is>
      </c>
      <c r="B117" s="2" t="inlineStr">
        <is>
          <t>1101C</t>
        </is>
      </c>
      <c r="C117" s="2" t="inlineStr">
        <is>
          <t>2026-01-01</t>
        </is>
      </c>
      <c r="D117" s="2" t="inlineStr">
        <is>
          <t>Active</t>
        </is>
      </c>
      <c r="E117" s="2" t="inlineStr">
        <is>
          <t>Standard formulation WS 1101 (220526)</t>
        </is>
      </c>
      <c r="F117" s="2" t="inlineStr">
        <is>
          <t>MAIZE/CORN</t>
        </is>
      </c>
      <c r="G117" s="4" t="n">
        <v>538.3200000000002</v>
      </c>
      <c r="H117" s="2">
        <f>[@Formula_Key]&amp;"|"&amp;[@Ingredient_Name]</f>
        <v/>
      </c>
    </row>
    <row r="118">
      <c r="A118" s="2" t="inlineStr">
        <is>
          <t>1101C-WS 1101 (220526)</t>
        </is>
      </c>
      <c r="B118" s="2" t="inlineStr">
        <is>
          <t>1101C</t>
        </is>
      </c>
      <c r="C118" s="2" t="inlineStr">
        <is>
          <t>2026-01-01</t>
        </is>
      </c>
      <c r="D118" s="2" t="inlineStr">
        <is>
          <t>Active</t>
        </is>
      </c>
      <c r="E118" s="2" t="inlineStr">
        <is>
          <t>Standard formulation WS 1101 (220526)</t>
        </is>
      </c>
      <c r="F118" s="2" t="inlineStr">
        <is>
          <t>SOYBEAN MEAL (ARG)</t>
        </is>
      </c>
      <c r="G118" s="4" t="n">
        <v>285.6</v>
      </c>
      <c r="H118" s="2">
        <f>[@Formula_Key]&amp;"|"&amp;[@Ingredient_Name]</f>
        <v/>
      </c>
    </row>
    <row r="119">
      <c r="A119" s="2" t="inlineStr">
        <is>
          <t>1101C-WS 1101 (220526)</t>
        </is>
      </c>
      <c r="B119" s="2" t="inlineStr">
        <is>
          <t>1101C</t>
        </is>
      </c>
      <c r="C119" s="2" t="inlineStr">
        <is>
          <t>2026-01-01</t>
        </is>
      </c>
      <c r="D119" s="2" t="inlineStr">
        <is>
          <t>Active</t>
        </is>
      </c>
      <c r="E119" s="2" t="inlineStr">
        <is>
          <t>Standard formulation WS 1101 (220526)</t>
        </is>
      </c>
      <c r="F119" s="2" t="inlineStr">
        <is>
          <t>SOYBEAN FULL FAT</t>
        </is>
      </c>
      <c r="G119" s="4" t="n">
        <v>50</v>
      </c>
      <c r="H119" s="2">
        <f>[@Formula_Key]&amp;"|"&amp;[@Ingredient_Name]</f>
        <v/>
      </c>
    </row>
    <row r="120">
      <c r="A120" s="2" t="inlineStr">
        <is>
          <t>1101C-WS 1101 (220526)</t>
        </is>
      </c>
      <c r="B120" s="2" t="inlineStr">
        <is>
          <t>1101C</t>
        </is>
      </c>
      <c r="C120" s="2" t="inlineStr">
        <is>
          <t>2026-01-01</t>
        </is>
      </c>
      <c r="D120" s="2" t="inlineStr">
        <is>
          <t>Active</t>
        </is>
      </c>
      <c r="E120" s="2" t="inlineStr">
        <is>
          <t>Standard formulation WS 1101 (220526)</t>
        </is>
      </c>
      <c r="F120" s="2" t="inlineStr">
        <is>
          <t>MEAT AND BONE MEAL</t>
        </is>
      </c>
      <c r="G120" s="4" t="n">
        <v>20</v>
      </c>
      <c r="H120" s="2">
        <f>[@Formula_Key]&amp;"|"&amp;[@Ingredient_Name]</f>
        <v/>
      </c>
    </row>
    <row r="121">
      <c r="A121" s="2" t="inlineStr">
        <is>
          <t>1101C-WS 1101 (220526)</t>
        </is>
      </c>
      <c r="B121" s="2" t="inlineStr">
        <is>
          <t>1101C</t>
        </is>
      </c>
      <c r="C121" s="2" t="inlineStr">
        <is>
          <t>2026-01-01</t>
        </is>
      </c>
      <c r="D121" s="2" t="inlineStr">
        <is>
          <t>Active</t>
        </is>
      </c>
      <c r="E121" s="2" t="inlineStr">
        <is>
          <t>Standard formulation WS 1101 (220526)</t>
        </is>
      </c>
      <c r="F121" s="2" t="inlineStr">
        <is>
          <t>CORN GLUTEN MEAL</t>
        </is>
      </c>
      <c r="G121" s="4" t="n">
        <v>15</v>
      </c>
      <c r="H121" s="2">
        <f>[@Formula_Key]&amp;"|"&amp;[@Ingredient_Name]</f>
        <v/>
      </c>
    </row>
    <row r="122">
      <c r="A122" s="2" t="inlineStr">
        <is>
          <t>1101C-WS 1101 (220526)</t>
        </is>
      </c>
      <c r="B122" s="2" t="inlineStr">
        <is>
          <t>1101C</t>
        </is>
      </c>
      <c r="C122" s="2" t="inlineStr">
        <is>
          <t>2026-01-01</t>
        </is>
      </c>
      <c r="D122" s="2" t="inlineStr">
        <is>
          <t>Active</t>
        </is>
      </c>
      <c r="E122" s="2" t="inlineStr">
        <is>
          <t>Standard formulation WS 1101 (220526)</t>
        </is>
      </c>
      <c r="F122" s="2" t="inlineStr">
        <is>
          <t>MEGAFAT (HARUMI)</t>
        </is>
      </c>
      <c r="G122" s="4" t="n">
        <v>10</v>
      </c>
      <c r="H122" s="2">
        <f>[@Formula_Key]&amp;"|"&amp;[@Ingredient_Name]</f>
        <v/>
      </c>
    </row>
    <row r="123">
      <c r="A123" s="2" t="inlineStr">
        <is>
          <t>1101C-WS 1101 (220526)</t>
        </is>
      </c>
      <c r="B123" s="2" t="inlineStr">
        <is>
          <t>1101C</t>
        </is>
      </c>
      <c r="C123" s="2" t="inlineStr">
        <is>
          <t>2026-01-01</t>
        </is>
      </c>
      <c r="D123" s="2" t="inlineStr">
        <is>
          <t>Active</t>
        </is>
      </c>
      <c r="E123" s="2" t="inlineStr">
        <is>
          <t>Standard formulation WS 1101 (220526)</t>
        </is>
      </c>
      <c r="F123" s="2" t="inlineStr">
        <is>
          <t>DCP 18%</t>
        </is>
      </c>
      <c r="G123" s="4" t="n">
        <v>1.5</v>
      </c>
      <c r="H123" s="2">
        <f>[@Formula_Key]&amp;"|"&amp;[@Ingredient_Name]</f>
        <v/>
      </c>
    </row>
    <row r="124">
      <c r="A124" s="2" t="inlineStr">
        <is>
          <t>1101C-WS 1101 (220526)</t>
        </is>
      </c>
      <c r="B124" s="2" t="inlineStr">
        <is>
          <t>1101C</t>
        </is>
      </c>
      <c r="C124" s="2" t="inlineStr">
        <is>
          <t>2026-01-01</t>
        </is>
      </c>
      <c r="D124" s="2" t="inlineStr">
        <is>
          <t>Active</t>
        </is>
      </c>
      <c r="E124" s="2" t="inlineStr">
        <is>
          <t>Standard formulation WS 1101 (220526)</t>
        </is>
      </c>
      <c r="F124" s="2" t="inlineStr">
        <is>
          <t>LIMESTONE POWDER (HARUMI)</t>
        </is>
      </c>
      <c r="G124" s="4" t="n">
        <v>6.079999999999999</v>
      </c>
      <c r="H124" s="2">
        <f>[@Formula_Key]&amp;"|"&amp;[@Ingredient_Name]</f>
        <v/>
      </c>
    </row>
    <row r="125">
      <c r="A125" s="2" t="inlineStr">
        <is>
          <t>1101C-WS 1101 (220526)</t>
        </is>
      </c>
      <c r="B125" s="2" t="inlineStr">
        <is>
          <t>1101C</t>
        </is>
      </c>
      <c r="C125" s="2" t="inlineStr">
        <is>
          <t>2026-01-01</t>
        </is>
      </c>
      <c r="D125" s="2" t="inlineStr">
        <is>
          <t>Active</t>
        </is>
      </c>
      <c r="E125" s="2" t="inlineStr">
        <is>
          <t>Standard formulation WS 1101 (220526)</t>
        </is>
      </c>
      <c r="F125" s="2" t="inlineStr">
        <is>
          <t>RICE BRAN</t>
        </is>
      </c>
      <c r="G125" s="4" t="n">
        <v>50</v>
      </c>
      <c r="H125" s="2">
        <f>[@Formula_Key]&amp;"|"&amp;[@Ingredient_Name]</f>
        <v/>
      </c>
    </row>
    <row r="126">
      <c r="A126" s="2" t="inlineStr">
        <is>
          <t>1101C-WS 1101 (220526)</t>
        </is>
      </c>
      <c r="B126" s="2" t="inlineStr">
        <is>
          <t>1101C</t>
        </is>
      </c>
      <c r="C126" s="2" t="inlineStr">
        <is>
          <t>2026-01-01</t>
        </is>
      </c>
      <c r="D126" s="2" t="inlineStr">
        <is>
          <t>Active</t>
        </is>
      </c>
      <c r="E126" s="2" t="inlineStr">
        <is>
          <t>Standard formulation WS 1101 (220526)</t>
        </is>
      </c>
      <c r="F126" s="2" t="inlineStr">
        <is>
          <t>PREMIX 8100 (20KG)</t>
        </is>
      </c>
      <c r="G126" s="4" t="n">
        <v>20</v>
      </c>
      <c r="H126" s="2">
        <f>[@Formula_Key]&amp;"|"&amp;[@Ingredient_Name]</f>
        <v/>
      </c>
    </row>
    <row r="127">
      <c r="A127" s="2" t="inlineStr">
        <is>
          <t>1101C-WS 1101 (220526)</t>
        </is>
      </c>
      <c r="B127" s="2" t="inlineStr">
        <is>
          <t>1101C</t>
        </is>
      </c>
      <c r="C127" s="2" t="inlineStr">
        <is>
          <t>2026-01-01</t>
        </is>
      </c>
      <c r="D127" s="2" t="inlineStr">
        <is>
          <t>Active</t>
        </is>
      </c>
      <c r="E127" s="2" t="inlineStr">
        <is>
          <t>Standard formulation WS 1101 (220526)</t>
        </is>
      </c>
      <c r="F127" s="2" t="inlineStr">
        <is>
          <t>TOXISORB PREMIUM</t>
        </is>
      </c>
      <c r="G127" s="4" t="n">
        <v>0.5</v>
      </c>
      <c r="H127" s="2">
        <f>[@Formula_Key]&amp;"|"&amp;[@Ingredient_Name]</f>
        <v/>
      </c>
    </row>
    <row r="128">
      <c r="A128" s="2" t="inlineStr">
        <is>
          <t>1101C-WS 1101 (220526)</t>
        </is>
      </c>
      <c r="B128" s="2" t="inlineStr">
        <is>
          <t>1101C</t>
        </is>
      </c>
      <c r="C128" s="2" t="inlineStr">
        <is>
          <t>2026-01-01</t>
        </is>
      </c>
      <c r="D128" s="2" t="inlineStr">
        <is>
          <t>Active</t>
        </is>
      </c>
      <c r="E128" s="2" t="inlineStr">
        <is>
          <t>Standard formulation WS 1101 (220526)</t>
        </is>
      </c>
      <c r="F128" s="2" t="inlineStr">
        <is>
          <t>SODIUM HUMATE 3.8% (HARUMI)</t>
        </is>
      </c>
      <c r="G128" s="4" t="n">
        <v>3</v>
      </c>
      <c r="H128" s="2">
        <f>[@Formula_Key]&amp;"|"&amp;[@Ingredient_Name]</f>
        <v/>
      </c>
    </row>
    <row r="129">
      <c r="A129" s="2" t="inlineStr">
        <is>
          <t>1101C-WS 1101 (220526)</t>
        </is>
      </c>
      <c r="B129" s="2" t="inlineStr">
        <is>
          <t>1101C</t>
        </is>
      </c>
      <c r="C129" s="2" t="inlineStr">
        <is>
          <t>2026-01-01</t>
        </is>
      </c>
      <c r="D129" s="2" t="inlineStr">
        <is>
          <t>Active</t>
        </is>
      </c>
      <c r="E129" s="2" t="inlineStr">
        <is>
          <t>Standard formulation WS 1101 (220526)</t>
        </is>
      </c>
      <c r="F129" s="2" t="inlineStr">
        <is>
          <t>TOTAL</t>
        </is>
      </c>
      <c r="G129" s="4" t="n">
        <v>1000</v>
      </c>
      <c r="H129" s="2">
        <f>[@Formula_Key]&amp;"|"&amp;[@Ingredient_Name]</f>
        <v/>
      </c>
    </row>
    <row r="130">
      <c r="A130" s="2" t="inlineStr">
        <is>
          <t>1101C-WS 1101 (220526)</t>
        </is>
      </c>
      <c r="B130" s="2" t="inlineStr">
        <is>
          <t>1101C</t>
        </is>
      </c>
      <c r="C130" s="2" t="inlineStr">
        <is>
          <t>2026-01-01</t>
        </is>
      </c>
      <c r="D130" s="2" t="inlineStr">
        <is>
          <t>Active</t>
        </is>
      </c>
      <c r="E130" s="2" t="inlineStr">
        <is>
          <t>Standard formulation WS 1101 (220526)</t>
        </is>
      </c>
      <c r="F130" s="2" t="inlineStr">
        <is>
          <t>MAIZE/CORN</t>
        </is>
      </c>
      <c r="G130" s="4" t="n">
        <v>516.55</v>
      </c>
      <c r="H130" s="2">
        <f>[@Formula_Key]&amp;"|"&amp;[@Ingredient_Name]</f>
        <v/>
      </c>
    </row>
    <row r="131">
      <c r="A131" s="2" t="inlineStr">
        <is>
          <t>1101C-WS 1101 (220526)</t>
        </is>
      </c>
      <c r="B131" s="2" t="inlineStr">
        <is>
          <t>1101C</t>
        </is>
      </c>
      <c r="C131" s="2" t="inlineStr">
        <is>
          <t>2026-01-01</t>
        </is>
      </c>
      <c r="D131" s="2" t="inlineStr">
        <is>
          <t>Active</t>
        </is>
      </c>
      <c r="E131" s="2" t="inlineStr">
        <is>
          <t>Standard formulation WS 1101 (220526)</t>
        </is>
      </c>
      <c r="F131" s="2" t="inlineStr">
        <is>
          <t>SOYBEAN MEAL (ARG)</t>
        </is>
      </c>
      <c r="G131" s="4" t="n">
        <v>238.5</v>
      </c>
      <c r="H131" s="2">
        <f>[@Formula_Key]&amp;"|"&amp;[@Ingredient_Name]</f>
        <v/>
      </c>
    </row>
    <row r="132">
      <c r="A132" s="2" t="inlineStr">
        <is>
          <t>1101C-WS 1101 (220526)</t>
        </is>
      </c>
      <c r="B132" s="2" t="inlineStr">
        <is>
          <t>1101C</t>
        </is>
      </c>
      <c r="C132" s="2" t="inlineStr">
        <is>
          <t>2026-01-01</t>
        </is>
      </c>
      <c r="D132" s="2" t="inlineStr">
        <is>
          <t>Active</t>
        </is>
      </c>
      <c r="E132" s="2" t="inlineStr">
        <is>
          <t>Standard formulation WS 1101 (220526)</t>
        </is>
      </c>
      <c r="F132" s="2" t="inlineStr">
        <is>
          <t>SOYBEAN FULL FAT</t>
        </is>
      </c>
      <c r="G132" s="4" t="n">
        <v>66.5</v>
      </c>
      <c r="H132" s="2">
        <f>[@Formula_Key]&amp;"|"&amp;[@Ingredient_Name]</f>
        <v/>
      </c>
    </row>
    <row r="133">
      <c r="A133" s="2" t="inlineStr">
        <is>
          <t>1101C-WS 1101 (220526)</t>
        </is>
      </c>
      <c r="B133" s="2" t="inlineStr">
        <is>
          <t>1101C</t>
        </is>
      </c>
      <c r="C133" s="2" t="inlineStr">
        <is>
          <t>2026-01-01</t>
        </is>
      </c>
      <c r="D133" s="2" t="inlineStr">
        <is>
          <t>Active</t>
        </is>
      </c>
      <c r="E133" s="2" t="inlineStr">
        <is>
          <t>Standard formulation WS 1101 (220526)</t>
        </is>
      </c>
      <c r="F133" s="2" t="inlineStr">
        <is>
          <t>WHEAT POLLARD</t>
        </is>
      </c>
      <c r="G133" s="4" t="n">
        <v>10</v>
      </c>
      <c r="H133" s="2">
        <f>[@Formula_Key]&amp;"|"&amp;[@Ingredient_Name]</f>
        <v/>
      </c>
    </row>
    <row r="134">
      <c r="A134" s="2" t="inlineStr">
        <is>
          <t>1101C-WS 1101 (220526)</t>
        </is>
      </c>
      <c r="B134" s="2" t="inlineStr">
        <is>
          <t>1101C</t>
        </is>
      </c>
      <c r="C134" s="2" t="inlineStr">
        <is>
          <t>2026-01-01</t>
        </is>
      </c>
      <c r="D134" s="2" t="inlineStr">
        <is>
          <t>Active</t>
        </is>
      </c>
      <c r="E134" s="2" t="inlineStr">
        <is>
          <t>Standard formulation WS 1101 (220526)</t>
        </is>
      </c>
      <c r="F134" s="2" t="inlineStr">
        <is>
          <t>MEAT AND BONE MEAL</t>
        </is>
      </c>
      <c r="G134" s="4" t="n">
        <v>25</v>
      </c>
      <c r="H134" s="2">
        <f>[@Formula_Key]&amp;"|"&amp;[@Ingredient_Name]</f>
        <v/>
      </c>
    </row>
    <row r="135">
      <c r="A135" s="2" t="inlineStr">
        <is>
          <t>1101C-WS 1101 (220526)</t>
        </is>
      </c>
      <c r="B135" s="2" t="inlineStr">
        <is>
          <t>1101C</t>
        </is>
      </c>
      <c r="C135" s="2" t="inlineStr">
        <is>
          <t>2026-01-01</t>
        </is>
      </c>
      <c r="D135" s="2" t="inlineStr">
        <is>
          <t>Active</t>
        </is>
      </c>
      <c r="E135" s="2" t="inlineStr">
        <is>
          <t>Standard formulation WS 1101 (220526)</t>
        </is>
      </c>
      <c r="F135" s="2" t="inlineStr">
        <is>
          <t>CORN GLUTEN MEAL</t>
        </is>
      </c>
      <c r="G135" s="4" t="n">
        <v>28</v>
      </c>
      <c r="H135" s="2">
        <f>[@Formula_Key]&amp;"|"&amp;[@Ingredient_Name]</f>
        <v/>
      </c>
    </row>
    <row r="136">
      <c r="A136" s="2" t="inlineStr">
        <is>
          <t>1101C-WS 1101 (220526)</t>
        </is>
      </c>
      <c r="B136" s="2" t="inlineStr">
        <is>
          <t>1101C</t>
        </is>
      </c>
      <c r="C136" s="2" t="inlineStr">
        <is>
          <t>2026-01-01</t>
        </is>
      </c>
      <c r="D136" s="2" t="inlineStr">
        <is>
          <t>Active</t>
        </is>
      </c>
      <c r="E136" s="2" t="inlineStr">
        <is>
          <t>Standard formulation WS 1101 (220526)</t>
        </is>
      </c>
      <c r="F136" s="2" t="inlineStr">
        <is>
          <t>MEGAFAT (HARUMI)</t>
        </is>
      </c>
      <c r="G136" s="4" t="n">
        <v>15</v>
      </c>
      <c r="H136" s="2">
        <f>[@Formula_Key]&amp;"|"&amp;[@Ingredient_Name]</f>
        <v/>
      </c>
    </row>
    <row r="137">
      <c r="A137" s="2" t="inlineStr">
        <is>
          <t>1101C-WS 1101 (220526)</t>
        </is>
      </c>
      <c r="B137" s="2" t="inlineStr">
        <is>
          <t>1101C</t>
        </is>
      </c>
      <c r="C137" s="2" t="inlineStr">
        <is>
          <t>2026-01-01</t>
        </is>
      </c>
      <c r="D137" s="2" t="inlineStr">
        <is>
          <t>Active</t>
        </is>
      </c>
      <c r="E137" s="2" t="inlineStr">
        <is>
          <t>Standard formulation WS 1101 (220526)</t>
        </is>
      </c>
      <c r="F137" s="2" t="inlineStr">
        <is>
          <t>DCP 18%</t>
        </is>
      </c>
      <c r="G137" s="4" t="n">
        <v>4.500000000000001</v>
      </c>
      <c r="H137" s="2">
        <f>[@Formula_Key]&amp;"|"&amp;[@Ingredient_Name]</f>
        <v/>
      </c>
    </row>
    <row r="138">
      <c r="A138" s="2" t="inlineStr">
        <is>
          <t>1101C-WS 1101 (220526)</t>
        </is>
      </c>
      <c r="B138" s="2" t="inlineStr">
        <is>
          <t>1101C</t>
        </is>
      </c>
      <c r="C138" s="2" t="inlineStr">
        <is>
          <t>2026-01-01</t>
        </is>
      </c>
      <c r="D138" s="2" t="inlineStr">
        <is>
          <t>Active</t>
        </is>
      </c>
      <c r="E138" s="2" t="inlineStr">
        <is>
          <t>Standard formulation WS 1101 (220526)</t>
        </is>
      </c>
      <c r="F138" s="2" t="inlineStr">
        <is>
          <t>LIMESTONE POWDER (HARUMI)</t>
        </is>
      </c>
      <c r="G138" s="4" t="n">
        <v>6.999999999999999</v>
      </c>
      <c r="H138" s="2">
        <f>[@Formula_Key]&amp;"|"&amp;[@Ingredient_Name]</f>
        <v/>
      </c>
    </row>
    <row r="139">
      <c r="A139" s="2" t="inlineStr">
        <is>
          <t>1101C-WS 1101 (220526)</t>
        </is>
      </c>
      <c r="B139" s="2" t="inlineStr">
        <is>
          <t>1101C</t>
        </is>
      </c>
      <c r="C139" s="2" t="inlineStr">
        <is>
          <t>2026-01-01</t>
        </is>
      </c>
      <c r="D139" s="2" t="inlineStr">
        <is>
          <t>Active</t>
        </is>
      </c>
      <c r="E139" s="2" t="inlineStr">
        <is>
          <t>Standard formulation WS 1101 (220526)</t>
        </is>
      </c>
      <c r="F139" s="2" t="inlineStr">
        <is>
          <t>INDUSTRY FLOUR</t>
        </is>
      </c>
      <c r="G139" s="4" t="n">
        <v>33.5</v>
      </c>
      <c r="H139" s="2">
        <f>[@Formula_Key]&amp;"|"&amp;[@Ingredient_Name]</f>
        <v/>
      </c>
    </row>
    <row r="140">
      <c r="A140" s="2" t="inlineStr">
        <is>
          <t>1101C-WS 1101 (220526)</t>
        </is>
      </c>
      <c r="B140" s="2" t="inlineStr">
        <is>
          <t>1101C</t>
        </is>
      </c>
      <c r="C140" s="2" t="inlineStr">
        <is>
          <t>2026-01-01</t>
        </is>
      </c>
      <c r="D140" s="2" t="inlineStr">
        <is>
          <t>Active</t>
        </is>
      </c>
      <c r="E140" s="2" t="inlineStr">
        <is>
          <t>Standard formulation WS 1101 (220526)</t>
        </is>
      </c>
      <c r="F140" s="2" t="inlineStr">
        <is>
          <t>RICE BRAN</t>
        </is>
      </c>
      <c r="G140" s="4" t="n">
        <v>3.5</v>
      </c>
      <c r="H140" s="2">
        <f>[@Formula_Key]&amp;"|"&amp;[@Ingredient_Name]</f>
        <v/>
      </c>
    </row>
    <row r="141">
      <c r="A141" s="2" t="inlineStr">
        <is>
          <t>1101C-WS 1101 (220526)</t>
        </is>
      </c>
      <c r="B141" s="2" t="inlineStr">
        <is>
          <t>1101C</t>
        </is>
      </c>
      <c r="C141" s="2" t="inlineStr">
        <is>
          <t>2026-01-01</t>
        </is>
      </c>
      <c r="D141" s="2" t="inlineStr">
        <is>
          <t>Active</t>
        </is>
      </c>
      <c r="E141" s="2" t="inlineStr">
        <is>
          <t>Standard formulation WS 1101 (220526)</t>
        </is>
      </c>
      <c r="F141" s="2" t="inlineStr">
        <is>
          <t>SOYTIDE</t>
        </is>
      </c>
      <c r="G141" s="4" t="n">
        <v>25</v>
      </c>
      <c r="H141" s="2">
        <f>[@Formula_Key]&amp;"|"&amp;[@Ingredient_Name]</f>
        <v/>
      </c>
    </row>
    <row r="142">
      <c r="A142" s="2" t="inlineStr">
        <is>
          <t>1101C-WS 1101 (220526)</t>
        </is>
      </c>
      <c r="B142" s="2" t="inlineStr">
        <is>
          <t>1101C</t>
        </is>
      </c>
      <c r="C142" s="2" t="inlineStr">
        <is>
          <t>2026-01-01</t>
        </is>
      </c>
      <c r="D142" s="2" t="inlineStr">
        <is>
          <t>Active</t>
        </is>
      </c>
      <c r="E142" s="2" t="inlineStr">
        <is>
          <t>Standard formulation WS 1101 (220526)</t>
        </is>
      </c>
      <c r="F142" s="2" t="inlineStr">
        <is>
          <t>YENMIX 121 (20KG)</t>
        </is>
      </c>
      <c r="G142" s="4" t="n">
        <v>20</v>
      </c>
      <c r="H142" s="2">
        <f>[@Formula_Key]&amp;"|"&amp;[@Ingredient_Name]</f>
        <v/>
      </c>
    </row>
    <row r="143">
      <c r="A143" s="2" t="inlineStr">
        <is>
          <t>1101C-WS 1101 (220526)</t>
        </is>
      </c>
      <c r="B143" s="2" t="inlineStr">
        <is>
          <t>1101C</t>
        </is>
      </c>
      <c r="C143" s="2" t="inlineStr">
        <is>
          <t>2026-01-01</t>
        </is>
      </c>
      <c r="D143" s="2" t="inlineStr">
        <is>
          <t>Active</t>
        </is>
      </c>
      <c r="E143" s="2" t="inlineStr">
        <is>
          <t>Standard formulation WS 1101 (220526)</t>
        </is>
      </c>
      <c r="F143" s="2" t="inlineStr">
        <is>
          <t>SODIUM HUMATE 3.8% (HARUMI)</t>
        </is>
      </c>
      <c r="G143" s="4" t="n">
        <v>3</v>
      </c>
      <c r="H143" s="2">
        <f>[@Formula_Key]&amp;"|"&amp;[@Ingredient_Name]</f>
        <v/>
      </c>
    </row>
    <row r="144">
      <c r="A144" s="2" t="inlineStr">
        <is>
          <t>1101C-WS 1101 (220526)</t>
        </is>
      </c>
      <c r="B144" s="2" t="inlineStr">
        <is>
          <t>1101C</t>
        </is>
      </c>
      <c r="C144" s="2" t="inlineStr">
        <is>
          <t>2026-01-01</t>
        </is>
      </c>
      <c r="D144" s="2" t="inlineStr">
        <is>
          <t>Active</t>
        </is>
      </c>
      <c r="E144" s="2" t="inlineStr">
        <is>
          <t>Standard formulation WS 1101 (220526)</t>
        </is>
      </c>
      <c r="F144" s="2" t="inlineStr">
        <is>
          <t>TOXIWALL</t>
        </is>
      </c>
      <c r="G144" s="4" t="n">
        <v>1</v>
      </c>
      <c r="H144" s="2">
        <f>[@Formula_Key]&amp;"|"&amp;[@Ingredient_Name]</f>
        <v/>
      </c>
    </row>
    <row r="145">
      <c r="A145" s="2" t="inlineStr">
        <is>
          <t>1101C-WS 1101 (220526)</t>
        </is>
      </c>
      <c r="B145" s="2" t="inlineStr">
        <is>
          <t>1101C</t>
        </is>
      </c>
      <c r="C145" s="2" t="inlineStr">
        <is>
          <t>2026-01-01</t>
        </is>
      </c>
      <c r="D145" s="2" t="inlineStr">
        <is>
          <t>Active</t>
        </is>
      </c>
      <c r="E145" s="2" t="inlineStr">
        <is>
          <t>Standard formulation WS 1101 (220526)</t>
        </is>
      </c>
      <c r="F145" s="2" t="inlineStr">
        <is>
          <t>SODIUM BICARBONATE</t>
        </is>
      </c>
      <c r="G145" s="4" t="n">
        <v>0.2</v>
      </c>
      <c r="H145" s="2">
        <f>[@Formula_Key]&amp;"|"&amp;[@Ingredient_Name]</f>
        <v/>
      </c>
    </row>
    <row r="146">
      <c r="A146" s="2" t="inlineStr">
        <is>
          <t>1101C-WS 1101 (220526)</t>
        </is>
      </c>
      <c r="B146" s="2" t="inlineStr">
        <is>
          <t>1101C</t>
        </is>
      </c>
      <c r="C146" s="2" t="inlineStr">
        <is>
          <t>2026-01-01</t>
        </is>
      </c>
      <c r="D146" s="2" t="inlineStr">
        <is>
          <t>Active</t>
        </is>
      </c>
      <c r="E146" s="2" t="inlineStr">
        <is>
          <t>Standard formulation WS 1101 (220526)</t>
        </is>
      </c>
      <c r="F146" s="2" t="inlineStr">
        <is>
          <t>SALT (HARUMI)</t>
        </is>
      </c>
      <c r="G146" s="4" t="n">
        <v>2.75</v>
      </c>
      <c r="H146" s="2">
        <f>[@Formula_Key]&amp;"|"&amp;[@Ingredient_Name]</f>
        <v/>
      </c>
    </row>
    <row r="147">
      <c r="A147" s="2" t="inlineStr">
        <is>
          <t>1101C-WS 1101 (220526)</t>
        </is>
      </c>
      <c r="B147" s="2" t="inlineStr">
        <is>
          <t>1101C</t>
        </is>
      </c>
      <c r="C147" s="2" t="inlineStr">
        <is>
          <t>2026-01-01</t>
        </is>
      </c>
      <c r="D147" s="2" t="inlineStr">
        <is>
          <t>Active</t>
        </is>
      </c>
      <c r="E147" s="2" t="inlineStr">
        <is>
          <t>Standard formulation WS 1101 (220526)</t>
        </is>
      </c>
      <c r="F147" s="2" t="inlineStr">
        <is>
          <t>TOTAL</t>
        </is>
      </c>
      <c r="G147" s="4" t="n">
        <v>1000</v>
      </c>
      <c r="H147" s="2">
        <f>[@Formula_Key]&amp;"|"&amp;[@Ingredient_Name]</f>
        <v/>
      </c>
    </row>
    <row r="148">
      <c r="A148" s="2" t="inlineStr">
        <is>
          <t>1101C-WS 1101 (220526)</t>
        </is>
      </c>
      <c r="B148" s="2" t="inlineStr">
        <is>
          <t>1101C</t>
        </is>
      </c>
      <c r="C148" s="2" t="inlineStr">
        <is>
          <t>2026-01-01</t>
        </is>
      </c>
      <c r="D148" s="2" t="inlineStr">
        <is>
          <t>Active</t>
        </is>
      </c>
      <c r="E148" s="2" t="inlineStr">
        <is>
          <t>Standard formulation WS 1101 (220526)</t>
        </is>
      </c>
      <c r="F148" s="2" t="inlineStr">
        <is>
          <t>MAIZE/CORN</t>
        </is>
      </c>
      <c r="G148" s="4" t="n">
        <v>502.35</v>
      </c>
      <c r="H148" s="2">
        <f>[@Formula_Key]&amp;"|"&amp;[@Ingredient_Name]</f>
        <v/>
      </c>
    </row>
    <row r="149">
      <c r="A149" s="2" t="inlineStr">
        <is>
          <t>1101C-WS 1101 (220526)</t>
        </is>
      </c>
      <c r="B149" s="2" t="inlineStr">
        <is>
          <t>1101C</t>
        </is>
      </c>
      <c r="C149" s="2" t="inlineStr">
        <is>
          <t>2026-01-01</t>
        </is>
      </c>
      <c r="D149" s="2" t="inlineStr">
        <is>
          <t>Active</t>
        </is>
      </c>
      <c r="E149" s="2" t="inlineStr">
        <is>
          <t>Standard formulation WS 1101 (220526)</t>
        </is>
      </c>
      <c r="F149" s="2" t="inlineStr">
        <is>
          <t>SOYBEAN MEAL (ARG)</t>
        </is>
      </c>
      <c r="G149" s="4" t="n">
        <v>205</v>
      </c>
      <c r="H149" s="2">
        <f>[@Formula_Key]&amp;"|"&amp;[@Ingredient_Name]</f>
        <v/>
      </c>
    </row>
    <row r="150">
      <c r="A150" s="2" t="inlineStr">
        <is>
          <t>1101C-WS 1101 (220526)</t>
        </is>
      </c>
      <c r="B150" s="2" t="inlineStr">
        <is>
          <t>1101C</t>
        </is>
      </c>
      <c r="C150" s="2" t="inlineStr">
        <is>
          <t>2026-01-01</t>
        </is>
      </c>
      <c r="D150" s="2" t="inlineStr">
        <is>
          <t>Active</t>
        </is>
      </c>
      <c r="E150" s="2" t="inlineStr">
        <is>
          <t>Standard formulation WS 1101 (220526)</t>
        </is>
      </c>
      <c r="F150" s="2" t="inlineStr">
        <is>
          <t>SOYBEAN FULL FAT</t>
        </is>
      </c>
      <c r="G150" s="4" t="n">
        <v>83.49999999999999</v>
      </c>
      <c r="H150" s="2">
        <f>[@Formula_Key]&amp;"|"&amp;[@Ingredient_Name]</f>
        <v/>
      </c>
    </row>
    <row r="151">
      <c r="A151" s="2" t="inlineStr">
        <is>
          <t>1101C-WS 1101 (220526)</t>
        </is>
      </c>
      <c r="B151" s="2" t="inlineStr">
        <is>
          <t>1101C</t>
        </is>
      </c>
      <c r="C151" s="2" t="inlineStr">
        <is>
          <t>2026-01-01</t>
        </is>
      </c>
      <c r="D151" s="2" t="inlineStr">
        <is>
          <t>Active</t>
        </is>
      </c>
      <c r="E151" s="2" t="inlineStr">
        <is>
          <t>Standard formulation WS 1101 (220526)</t>
        </is>
      </c>
      <c r="F151" s="2" t="inlineStr">
        <is>
          <t>WHEAT POLLARD</t>
        </is>
      </c>
      <c r="G151" s="4" t="n">
        <v>13</v>
      </c>
      <c r="H151" s="2">
        <f>[@Formula_Key]&amp;"|"&amp;[@Ingredient_Name]</f>
        <v/>
      </c>
    </row>
    <row r="152">
      <c r="A152" s="2" t="inlineStr">
        <is>
          <t>1101C-WS 1101 (220526)</t>
        </is>
      </c>
      <c r="B152" s="2" t="inlineStr">
        <is>
          <t>1101C</t>
        </is>
      </c>
      <c r="C152" s="2" t="inlineStr">
        <is>
          <t>2026-01-01</t>
        </is>
      </c>
      <c r="D152" s="2" t="inlineStr">
        <is>
          <t>Active</t>
        </is>
      </c>
      <c r="E152" s="2" t="inlineStr">
        <is>
          <t>Standard formulation WS 1101 (220526)</t>
        </is>
      </c>
      <c r="F152" s="2" t="inlineStr">
        <is>
          <t>CORN GLUTEN MEAL</t>
        </is>
      </c>
      <c r="G152" s="4" t="n">
        <v>42</v>
      </c>
      <c r="H152" s="2">
        <f>[@Formula_Key]&amp;"|"&amp;[@Ingredient_Name]</f>
        <v/>
      </c>
    </row>
    <row r="153">
      <c r="A153" s="2" t="inlineStr">
        <is>
          <t>1101C-WS 1101 (220526)</t>
        </is>
      </c>
      <c r="B153" s="2" t="inlineStr">
        <is>
          <t>1101C</t>
        </is>
      </c>
      <c r="C153" s="2" t="inlineStr">
        <is>
          <t>2026-01-01</t>
        </is>
      </c>
      <c r="D153" s="2" t="inlineStr">
        <is>
          <t>Active</t>
        </is>
      </c>
      <c r="E153" s="2" t="inlineStr">
        <is>
          <t>Standard formulation WS 1101 (220526)</t>
        </is>
      </c>
      <c r="F153" s="2" t="inlineStr">
        <is>
          <t>MEGAFAT (HARUMI)</t>
        </is>
      </c>
      <c r="G153" s="4" t="n">
        <v>20</v>
      </c>
      <c r="H153" s="2">
        <f>[@Formula_Key]&amp;"|"&amp;[@Ingredient_Name]</f>
        <v/>
      </c>
    </row>
    <row r="154">
      <c r="A154" s="2" t="inlineStr">
        <is>
          <t>1101C-WS 1101 (220526)</t>
        </is>
      </c>
      <c r="B154" s="2" t="inlineStr">
        <is>
          <t>1101C</t>
        </is>
      </c>
      <c r="C154" s="2" t="inlineStr">
        <is>
          <t>2026-01-01</t>
        </is>
      </c>
      <c r="D154" s="2" t="inlineStr">
        <is>
          <t>Active</t>
        </is>
      </c>
      <c r="E154" s="2" t="inlineStr">
        <is>
          <t>Standard formulation WS 1101 (220526)</t>
        </is>
      </c>
      <c r="F154" s="2" t="inlineStr">
        <is>
          <t>DCP 18%</t>
        </is>
      </c>
      <c r="G154" s="4" t="n">
        <v>6.65</v>
      </c>
      <c r="H154" s="2">
        <f>[@Formula_Key]&amp;"|"&amp;[@Ingredient_Name]</f>
        <v/>
      </c>
    </row>
    <row r="155">
      <c r="A155" s="2" t="inlineStr">
        <is>
          <t>1101C-WS 1101 (220526)</t>
        </is>
      </c>
      <c r="B155" s="2" t="inlineStr">
        <is>
          <t>1101C</t>
        </is>
      </c>
      <c r="C155" s="2" t="inlineStr">
        <is>
          <t>2026-01-01</t>
        </is>
      </c>
      <c r="D155" s="2" t="inlineStr">
        <is>
          <t>Active</t>
        </is>
      </c>
      <c r="E155" s="2" t="inlineStr">
        <is>
          <t>Standard formulation WS 1101 (220526)</t>
        </is>
      </c>
      <c r="F155" s="2" t="inlineStr">
        <is>
          <t>LIMESTONE POWDER (HARUMI)</t>
        </is>
      </c>
      <c r="G155" s="4" t="n">
        <v>10</v>
      </c>
      <c r="H155" s="2">
        <f>[@Formula_Key]&amp;"|"&amp;[@Ingredient_Name]</f>
        <v/>
      </c>
    </row>
    <row r="156">
      <c r="A156" s="2" t="inlineStr">
        <is>
          <t>1101C-WS 1101 (220526)</t>
        </is>
      </c>
      <c r="B156" s="2" t="inlineStr">
        <is>
          <t>1101C</t>
        </is>
      </c>
      <c r="C156" s="2" t="inlineStr">
        <is>
          <t>2026-01-01</t>
        </is>
      </c>
      <c r="D156" s="2" t="inlineStr">
        <is>
          <t>Active</t>
        </is>
      </c>
      <c r="E156" s="2" t="inlineStr">
        <is>
          <t>Standard formulation WS 1101 (220526)</t>
        </is>
      </c>
      <c r="F156" s="2" t="inlineStr">
        <is>
          <t>INDUSTRY FLOUR</t>
        </is>
      </c>
      <c r="G156" s="4" t="n">
        <v>50</v>
      </c>
      <c r="H156" s="2">
        <f>[@Formula_Key]&amp;"|"&amp;[@Ingredient_Name]</f>
        <v/>
      </c>
    </row>
    <row r="157">
      <c r="A157" s="2" t="inlineStr">
        <is>
          <t>1101C-WS 1101 (220526)</t>
        </is>
      </c>
      <c r="B157" s="2" t="inlineStr">
        <is>
          <t>1101C</t>
        </is>
      </c>
      <c r="C157" s="2" t="inlineStr">
        <is>
          <t>2026-01-01</t>
        </is>
      </c>
      <c r="D157" s="2" t="inlineStr">
        <is>
          <t>Active</t>
        </is>
      </c>
      <c r="E157" s="2" t="inlineStr">
        <is>
          <t>Standard formulation WS 1101 (220526)</t>
        </is>
      </c>
      <c r="F157" s="2" t="inlineStr">
        <is>
          <t>RICE BRAN</t>
        </is>
      </c>
      <c r="G157" s="4" t="n">
        <v>40</v>
      </c>
      <c r="H157" s="2">
        <f>[@Formula_Key]&amp;"|"&amp;[@Ingredient_Name]</f>
        <v/>
      </c>
    </row>
    <row r="158">
      <c r="A158" s="2" t="inlineStr">
        <is>
          <t>1101C-WS 1101 (220526)</t>
        </is>
      </c>
      <c r="B158" s="2" t="inlineStr">
        <is>
          <t>1101C</t>
        </is>
      </c>
      <c r="C158" s="2" t="inlineStr">
        <is>
          <t>2026-01-01</t>
        </is>
      </c>
      <c r="D158" s="2" t="inlineStr">
        <is>
          <t>Active</t>
        </is>
      </c>
      <c r="E158" s="2" t="inlineStr">
        <is>
          <t>Standard formulation WS 1101 (220526)</t>
        </is>
      </c>
      <c r="F158" s="2" t="inlineStr">
        <is>
          <t>YENMIX 122 (19.50KG)</t>
        </is>
      </c>
      <c r="G158" s="4" t="n">
        <v>19.5</v>
      </c>
      <c r="H158" s="2">
        <f>[@Formula_Key]&amp;"|"&amp;[@Ingredient_Name]</f>
        <v/>
      </c>
    </row>
    <row r="159">
      <c r="A159" s="2" t="inlineStr">
        <is>
          <t>1101C-WS 1101 (220526)</t>
        </is>
      </c>
      <c r="B159" s="2" t="inlineStr">
        <is>
          <t>1101C</t>
        </is>
      </c>
      <c r="C159" s="2" t="inlineStr">
        <is>
          <t>2026-01-01</t>
        </is>
      </c>
      <c r="D159" s="2" t="inlineStr">
        <is>
          <t>Active</t>
        </is>
      </c>
      <c r="E159" s="2" t="inlineStr">
        <is>
          <t>Standard formulation WS 1101 (220526)</t>
        </is>
      </c>
      <c r="F159" s="2" t="inlineStr">
        <is>
          <t>SODIUM HUMATE 3.8% (HARUMI)</t>
        </is>
      </c>
      <c r="G159" s="4" t="n">
        <v>3</v>
      </c>
      <c r="H159" s="2">
        <f>[@Formula_Key]&amp;"|"&amp;[@Ingredient_Name]</f>
        <v/>
      </c>
    </row>
    <row r="160">
      <c r="A160" s="2" t="inlineStr">
        <is>
          <t>1101C-WS 1101 (220526)</t>
        </is>
      </c>
      <c r="B160" s="2" t="inlineStr">
        <is>
          <t>1101C</t>
        </is>
      </c>
      <c r="C160" s="2" t="inlineStr">
        <is>
          <t>2026-01-01</t>
        </is>
      </c>
      <c r="D160" s="2" t="inlineStr">
        <is>
          <t>Active</t>
        </is>
      </c>
      <c r="E160" s="2" t="inlineStr">
        <is>
          <t>Standard formulation WS 1101 (220526)</t>
        </is>
      </c>
      <c r="F160" s="2" t="inlineStr">
        <is>
          <t>TOXIWALL</t>
        </is>
      </c>
      <c r="G160" s="4" t="n">
        <v>1</v>
      </c>
      <c r="H160" s="2">
        <f>[@Formula_Key]&amp;"|"&amp;[@Ingredient_Name]</f>
        <v/>
      </c>
    </row>
    <row r="161">
      <c r="A161" s="2" t="inlineStr">
        <is>
          <t>1101C-WS 1101 (220526)</t>
        </is>
      </c>
      <c r="B161" s="2" t="inlineStr">
        <is>
          <t>1101C</t>
        </is>
      </c>
      <c r="C161" s="2" t="inlineStr">
        <is>
          <t>2026-01-01</t>
        </is>
      </c>
      <c r="D161" s="2" t="inlineStr">
        <is>
          <t>Active</t>
        </is>
      </c>
      <c r="E161" s="2" t="inlineStr">
        <is>
          <t>Standard formulation WS 1101 (220526)</t>
        </is>
      </c>
      <c r="F161" s="2" t="inlineStr">
        <is>
          <t>SODIUM BICARBONATE</t>
        </is>
      </c>
      <c r="G161" s="4" t="n">
        <v>1.2</v>
      </c>
      <c r="H161" s="2">
        <f>[@Formula_Key]&amp;"|"&amp;[@Ingredient_Name]</f>
        <v/>
      </c>
    </row>
    <row r="162">
      <c r="A162" s="2" t="inlineStr">
        <is>
          <t>1101C-WS 1101 (220526)</t>
        </is>
      </c>
      <c r="B162" s="2" t="inlineStr">
        <is>
          <t>1101C</t>
        </is>
      </c>
      <c r="C162" s="2" t="inlineStr">
        <is>
          <t>2026-01-01</t>
        </is>
      </c>
      <c r="D162" s="2" t="inlineStr">
        <is>
          <t>Active</t>
        </is>
      </c>
      <c r="E162" s="2" t="inlineStr">
        <is>
          <t>Standard formulation WS 1101 (220526)</t>
        </is>
      </c>
      <c r="F162" s="2" t="inlineStr">
        <is>
          <t>SALT (HARUMI)</t>
        </is>
      </c>
      <c r="G162" s="4" t="n">
        <v>2.799999999999999</v>
      </c>
      <c r="H162" s="2">
        <f>[@Formula_Key]&amp;"|"&amp;[@Ingredient_Name]</f>
        <v/>
      </c>
    </row>
    <row r="163">
      <c r="A163" s="2" t="inlineStr">
        <is>
          <t>1101C-WS 1101 (220526)</t>
        </is>
      </c>
      <c r="B163" s="2" t="inlineStr">
        <is>
          <t>1101C</t>
        </is>
      </c>
      <c r="C163" s="2" t="inlineStr">
        <is>
          <t>2026-01-01</t>
        </is>
      </c>
      <c r="D163" s="2" t="inlineStr">
        <is>
          <t>Active</t>
        </is>
      </c>
      <c r="E163" s="2" t="inlineStr">
        <is>
          <t>Standard formulation WS 1101 (220526)</t>
        </is>
      </c>
      <c r="F163" s="2" t="inlineStr">
        <is>
          <t>TOTAL</t>
        </is>
      </c>
      <c r="G163" s="4" t="n">
        <v>999.9999999999999</v>
      </c>
      <c r="H163" s="2">
        <f>[@Formula_Key]&amp;"|"&amp;[@Ingredient_Name]</f>
        <v/>
      </c>
    </row>
    <row r="164">
      <c r="A164" s="2" t="inlineStr">
        <is>
          <t>1101C-WS 1101 (220526)</t>
        </is>
      </c>
      <c r="B164" s="2" t="inlineStr">
        <is>
          <t>1101C</t>
        </is>
      </c>
      <c r="C164" s="2" t="inlineStr">
        <is>
          <t>2026-01-01</t>
        </is>
      </c>
      <c r="D164" s="2" t="inlineStr">
        <is>
          <t>Active</t>
        </is>
      </c>
      <c r="E164" s="2" t="inlineStr">
        <is>
          <t>Standard formulation WS 1101 (220526)</t>
        </is>
      </c>
      <c r="F164" s="2" t="inlineStr">
        <is>
          <t>MAIZE/CORN</t>
        </is>
      </c>
      <c r="G164" s="4" t="n">
        <v>501.03</v>
      </c>
      <c r="H164" s="2">
        <f>[@Formula_Key]&amp;"|"&amp;[@Ingredient_Name]</f>
        <v/>
      </c>
    </row>
    <row r="165">
      <c r="A165" s="2" t="inlineStr">
        <is>
          <t>1101C-WS 1101 (220526)</t>
        </is>
      </c>
      <c r="B165" s="2" t="inlineStr">
        <is>
          <t>1101C</t>
        </is>
      </c>
      <c r="C165" s="2" t="inlineStr">
        <is>
          <t>2026-01-01</t>
        </is>
      </c>
      <c r="D165" s="2" t="inlineStr">
        <is>
          <t>Active</t>
        </is>
      </c>
      <c r="E165" s="2" t="inlineStr">
        <is>
          <t>Standard formulation WS 1101 (220526)</t>
        </is>
      </c>
      <c r="F165" s="2" t="inlineStr">
        <is>
          <t>SOYBEAN MEAL (ARG)</t>
        </is>
      </c>
      <c r="G165" s="4" t="n">
        <v>195</v>
      </c>
      <c r="H165" s="2">
        <f>[@Formula_Key]&amp;"|"&amp;[@Ingredient_Name]</f>
        <v/>
      </c>
    </row>
    <row r="166">
      <c r="A166" s="2" t="inlineStr">
        <is>
          <t>1101C-WS 1101 (220526)</t>
        </is>
      </c>
      <c r="B166" s="2" t="inlineStr">
        <is>
          <t>1101C</t>
        </is>
      </c>
      <c r="C166" s="2" t="inlineStr">
        <is>
          <t>2026-01-01</t>
        </is>
      </c>
      <c r="D166" s="2" t="inlineStr">
        <is>
          <t>Active</t>
        </is>
      </c>
      <c r="E166" s="2" t="inlineStr">
        <is>
          <t>Standard formulation WS 1101 (220526)</t>
        </is>
      </c>
      <c r="F166" s="2" t="inlineStr">
        <is>
          <t>SOYBEAN FULL FAT</t>
        </is>
      </c>
      <c r="G166" s="4" t="n">
        <v>100</v>
      </c>
      <c r="H166" s="2">
        <f>[@Formula_Key]&amp;"|"&amp;[@Ingredient_Name]</f>
        <v/>
      </c>
    </row>
    <row r="167">
      <c r="A167" s="2" t="inlineStr">
        <is>
          <t>1101C-WS 1101 (220526)</t>
        </is>
      </c>
      <c r="B167" s="2" t="inlineStr">
        <is>
          <t>1101C</t>
        </is>
      </c>
      <c r="C167" s="2" t="inlineStr">
        <is>
          <t>2026-01-01</t>
        </is>
      </c>
      <c r="D167" s="2" t="inlineStr">
        <is>
          <t>Active</t>
        </is>
      </c>
      <c r="E167" s="2" t="inlineStr">
        <is>
          <t>Standard formulation WS 1101 (220526)</t>
        </is>
      </c>
      <c r="F167" s="2" t="inlineStr">
        <is>
          <t>MEGAFAT (HARUMI)</t>
        </is>
      </c>
      <c r="G167" s="4" t="n">
        <v>25</v>
      </c>
      <c r="H167" s="2">
        <f>[@Formula_Key]&amp;"|"&amp;[@Ingredient_Name]</f>
        <v/>
      </c>
    </row>
    <row r="168">
      <c r="A168" s="2" t="inlineStr">
        <is>
          <t>1101C-WS 1101 (220526)</t>
        </is>
      </c>
      <c r="B168" s="2" t="inlineStr">
        <is>
          <t>1101C</t>
        </is>
      </c>
      <c r="C168" s="2" t="inlineStr">
        <is>
          <t>2026-01-01</t>
        </is>
      </c>
      <c r="D168" s="2" t="inlineStr">
        <is>
          <t>Active</t>
        </is>
      </c>
      <c r="E168" s="2" t="inlineStr">
        <is>
          <t>Standard formulation WS 1101 (220526)</t>
        </is>
      </c>
      <c r="F168" s="2" t="inlineStr">
        <is>
          <t>DCP 18%</t>
        </is>
      </c>
      <c r="G168" s="4" t="n">
        <v>5.500000000000001</v>
      </c>
      <c r="H168" s="2">
        <f>[@Formula_Key]&amp;"|"&amp;[@Ingredient_Name]</f>
        <v/>
      </c>
    </row>
    <row r="169">
      <c r="A169" s="2" t="inlineStr">
        <is>
          <t>1101C-WS 1101 (220526)</t>
        </is>
      </c>
      <c r="B169" s="2" t="inlineStr">
        <is>
          <t>1101C</t>
        </is>
      </c>
      <c r="C169" s="2" t="inlineStr">
        <is>
          <t>2026-01-01</t>
        </is>
      </c>
      <c r="D169" s="2" t="inlineStr">
        <is>
          <t>Active</t>
        </is>
      </c>
      <c r="E169" s="2" t="inlineStr">
        <is>
          <t>Standard formulation WS 1101 (220526)</t>
        </is>
      </c>
      <c r="F169" s="2" t="inlineStr">
        <is>
          <t>LIMESTONE POWDER (HARUMI)</t>
        </is>
      </c>
      <c r="G169" s="4" t="n">
        <v>9.000000000000002</v>
      </c>
      <c r="H169" s="2">
        <f>[@Formula_Key]&amp;"|"&amp;[@Ingredient_Name]</f>
        <v/>
      </c>
    </row>
    <row r="170">
      <c r="A170" s="2" t="inlineStr">
        <is>
          <t>1101C-WS 1101 (220526)</t>
        </is>
      </c>
      <c r="B170" s="2" t="inlineStr">
        <is>
          <t>1101C</t>
        </is>
      </c>
      <c r="C170" s="2" t="inlineStr">
        <is>
          <t>2026-01-01</t>
        </is>
      </c>
      <c r="D170" s="2" t="inlineStr">
        <is>
          <t>Active</t>
        </is>
      </c>
      <c r="E170" s="2" t="inlineStr">
        <is>
          <t>Standard formulation WS 1101 (220526)</t>
        </is>
      </c>
      <c r="F170" s="2" t="inlineStr">
        <is>
          <t>INDUSTRY FLOUR</t>
        </is>
      </c>
      <c r="G170" s="4" t="n">
        <v>96.99999999999999</v>
      </c>
      <c r="H170" s="2">
        <f>[@Formula_Key]&amp;"|"&amp;[@Ingredient_Name]</f>
        <v/>
      </c>
    </row>
    <row r="171">
      <c r="A171" s="2" t="inlineStr">
        <is>
          <t>1101C-WS 1101 (220526)</t>
        </is>
      </c>
      <c r="B171" s="2" t="inlineStr">
        <is>
          <t>1101C</t>
        </is>
      </c>
      <c r="C171" s="2" t="inlineStr">
        <is>
          <t>2026-01-01</t>
        </is>
      </c>
      <c r="D171" s="2" t="inlineStr">
        <is>
          <t>Active</t>
        </is>
      </c>
      <c r="E171" s="2" t="inlineStr">
        <is>
          <t>Standard formulation WS 1101 (220526)</t>
        </is>
      </c>
      <c r="F171" s="2" t="inlineStr">
        <is>
          <t>RICE BRAN</t>
        </is>
      </c>
      <c r="G171" s="4" t="n">
        <v>40</v>
      </c>
      <c r="H171" s="2">
        <f>[@Formula_Key]&amp;"|"&amp;[@Ingredient_Name]</f>
        <v/>
      </c>
    </row>
    <row r="172">
      <c r="A172" s="2" t="inlineStr">
        <is>
          <t>1101C-WS 1101 (220526)</t>
        </is>
      </c>
      <c r="B172" s="2" t="inlineStr">
        <is>
          <t>1101C</t>
        </is>
      </c>
      <c r="C172" s="2" t="inlineStr">
        <is>
          <t>2026-01-01</t>
        </is>
      </c>
      <c r="D172" s="2" t="inlineStr">
        <is>
          <t>Active</t>
        </is>
      </c>
      <c r="E172" s="2" t="inlineStr">
        <is>
          <t>Standard formulation WS 1101 (220526)</t>
        </is>
      </c>
      <c r="F172" s="2" t="inlineStr">
        <is>
          <t>YENMIX 123 (18.90KG)</t>
        </is>
      </c>
      <c r="G172" s="4" t="n">
        <v>18.9</v>
      </c>
      <c r="H172" s="2">
        <f>[@Formula_Key]&amp;"|"&amp;[@Ingredient_Name]</f>
        <v/>
      </c>
    </row>
    <row r="173">
      <c r="A173" s="2" t="inlineStr">
        <is>
          <t>1101C-WS 1101 (220526)</t>
        </is>
      </c>
      <c r="B173" s="2" t="inlineStr">
        <is>
          <t>1101C</t>
        </is>
      </c>
      <c r="C173" s="2" t="inlineStr">
        <is>
          <t>2026-01-01</t>
        </is>
      </c>
      <c r="D173" s="2" t="inlineStr">
        <is>
          <t>Active</t>
        </is>
      </c>
      <c r="E173" s="2" t="inlineStr">
        <is>
          <t>Standard formulation WS 1101 (220526)</t>
        </is>
      </c>
      <c r="F173" s="2" t="inlineStr">
        <is>
          <t>SODIUM HUMATE 3.8% (HARUMI)</t>
        </is>
      </c>
      <c r="G173" s="4" t="n">
        <v>3</v>
      </c>
      <c r="H173" s="2">
        <f>[@Formula_Key]&amp;"|"&amp;[@Ingredient_Name]</f>
        <v/>
      </c>
    </row>
    <row r="174">
      <c r="A174" s="2" t="inlineStr">
        <is>
          <t>1101C-WS 1101 (220526)</t>
        </is>
      </c>
      <c r="B174" s="2" t="inlineStr">
        <is>
          <t>1101C</t>
        </is>
      </c>
      <c r="C174" s="2" t="inlineStr">
        <is>
          <t>2026-01-01</t>
        </is>
      </c>
      <c r="D174" s="2" t="inlineStr">
        <is>
          <t>Active</t>
        </is>
      </c>
      <c r="E174" s="2" t="inlineStr">
        <is>
          <t>Standard formulation WS 1101 (220526)</t>
        </is>
      </c>
      <c r="F174" s="2" t="inlineStr">
        <is>
          <t>TOXIWALL</t>
        </is>
      </c>
      <c r="G174" s="4" t="n">
        <v>0.5</v>
      </c>
      <c r="H174" s="2">
        <f>[@Formula_Key]&amp;"|"&amp;[@Ingredient_Name]</f>
        <v/>
      </c>
    </row>
    <row r="175">
      <c r="A175" s="2" t="inlineStr">
        <is>
          <t>1101C-WS 1101 (220526)</t>
        </is>
      </c>
      <c r="B175" s="2" t="inlineStr">
        <is>
          <t>1101C</t>
        </is>
      </c>
      <c r="C175" s="2" t="inlineStr">
        <is>
          <t>2026-01-01</t>
        </is>
      </c>
      <c r="D175" s="2" t="inlineStr">
        <is>
          <t>Active</t>
        </is>
      </c>
      <c r="E175" s="2" t="inlineStr">
        <is>
          <t>Standard formulation WS 1101 (220526)</t>
        </is>
      </c>
      <c r="F175" s="2" t="inlineStr">
        <is>
          <t>SODIUM BICARBONATE</t>
        </is>
      </c>
      <c r="G175" s="4" t="n">
        <v>1.15</v>
      </c>
      <c r="H175" s="2">
        <f>[@Formula_Key]&amp;"|"&amp;[@Ingredient_Name]</f>
        <v/>
      </c>
    </row>
    <row r="176">
      <c r="A176" s="2" t="inlineStr">
        <is>
          <t>1101C-WS 1101 (220526)</t>
        </is>
      </c>
      <c r="B176" s="2" t="inlineStr">
        <is>
          <t>1101C</t>
        </is>
      </c>
      <c r="C176" s="2" t="inlineStr">
        <is>
          <t>2026-01-01</t>
        </is>
      </c>
      <c r="D176" s="2" t="inlineStr">
        <is>
          <t>Active</t>
        </is>
      </c>
      <c r="E176" s="2" t="inlineStr">
        <is>
          <t>Standard formulation WS 1101 (220526)</t>
        </is>
      </c>
      <c r="F176" s="2" t="inlineStr">
        <is>
          <t>SALT (HARUMI)</t>
        </is>
      </c>
      <c r="G176" s="4" t="n">
        <v>2.75</v>
      </c>
      <c r="H176" s="2">
        <f>[@Formula_Key]&amp;"|"&amp;[@Ingredient_Name]</f>
        <v/>
      </c>
    </row>
    <row r="177">
      <c r="A177" s="2" t="inlineStr">
        <is>
          <t>1101C-WS 1101 (220526)</t>
        </is>
      </c>
      <c r="B177" s="2" t="inlineStr">
        <is>
          <t>1101C</t>
        </is>
      </c>
      <c r="C177" s="2" t="inlineStr">
        <is>
          <t>2026-01-01</t>
        </is>
      </c>
      <c r="D177" s="2" t="inlineStr">
        <is>
          <t>Active</t>
        </is>
      </c>
      <c r="E177" s="2" t="inlineStr">
        <is>
          <t>Standard formulation WS 1101 (220526)</t>
        </is>
      </c>
      <c r="F177" s="2" t="inlineStr">
        <is>
          <t>DL-METHIONINE</t>
        </is>
      </c>
      <c r="G177" s="4" t="n">
        <v>0.5</v>
      </c>
      <c r="H177" s="2">
        <f>[@Formula_Key]&amp;"|"&amp;[@Ingredient_Name]</f>
        <v/>
      </c>
    </row>
    <row r="178">
      <c r="A178" s="2" t="inlineStr">
        <is>
          <t>1101C-WS 1101 (220526)</t>
        </is>
      </c>
      <c r="B178" s="2" t="inlineStr">
        <is>
          <t>1101C</t>
        </is>
      </c>
      <c r="C178" s="2" t="inlineStr">
        <is>
          <t>2026-01-01</t>
        </is>
      </c>
      <c r="D178" s="2" t="inlineStr">
        <is>
          <t>Active</t>
        </is>
      </c>
      <c r="E178" s="2" t="inlineStr">
        <is>
          <t>Standard formulation WS 1101 (220526)</t>
        </is>
      </c>
      <c r="F178" s="2" t="inlineStr">
        <is>
          <t>L-THREONINE</t>
        </is>
      </c>
      <c r="G178" s="4" t="n">
        <v>0.17</v>
      </c>
      <c r="H178" s="2">
        <f>[@Formula_Key]&amp;"|"&amp;[@Ingredient_Name]</f>
        <v/>
      </c>
    </row>
    <row r="179">
      <c r="A179" s="2" t="inlineStr">
        <is>
          <t>1101C-WS 1101 (220526)</t>
        </is>
      </c>
      <c r="B179" s="2" t="inlineStr">
        <is>
          <t>1101C</t>
        </is>
      </c>
      <c r="C179" s="2" t="inlineStr">
        <is>
          <t>2026-01-01</t>
        </is>
      </c>
      <c r="D179" s="2" t="inlineStr">
        <is>
          <t>Active</t>
        </is>
      </c>
      <c r="E179" s="2" t="inlineStr">
        <is>
          <t>Standard formulation WS 1101 (220526)</t>
        </is>
      </c>
      <c r="F179" s="2" t="inlineStr">
        <is>
          <t>L-VALINE</t>
        </is>
      </c>
      <c r="G179" s="4" t="n">
        <v>0.3</v>
      </c>
      <c r="H179" s="2">
        <f>[@Formula_Key]&amp;"|"&amp;[@Ingredient_Name]</f>
        <v/>
      </c>
    </row>
    <row r="180">
      <c r="A180" s="2" t="inlineStr">
        <is>
          <t>1101C-WS 1101 (220526)</t>
        </is>
      </c>
      <c r="B180" s="2" t="inlineStr">
        <is>
          <t>1101C</t>
        </is>
      </c>
      <c r="C180" s="2" t="inlineStr">
        <is>
          <t>2026-01-01</t>
        </is>
      </c>
      <c r="D180" s="2" t="inlineStr">
        <is>
          <t>Active</t>
        </is>
      </c>
      <c r="E180" s="2" t="inlineStr">
        <is>
          <t>Standard formulation WS 1101 (220526)</t>
        </is>
      </c>
      <c r="F180" s="2" t="inlineStr">
        <is>
          <t>L-ISOLEUCINE</t>
        </is>
      </c>
      <c r="G180" s="4" t="n">
        <v>0.2</v>
      </c>
      <c r="H180" s="2">
        <f>[@Formula_Key]&amp;"|"&amp;[@Ingredient_Name]</f>
        <v/>
      </c>
    </row>
    <row r="181">
      <c r="A181" s="2" t="inlineStr">
        <is>
          <t>1101C-WS 1101 (220526)</t>
        </is>
      </c>
      <c r="B181" s="2" t="inlineStr">
        <is>
          <t>1101C</t>
        </is>
      </c>
      <c r="C181" s="2" t="inlineStr">
        <is>
          <t>2026-01-01</t>
        </is>
      </c>
      <c r="D181" s="2" t="inlineStr">
        <is>
          <t>Active</t>
        </is>
      </c>
      <c r="E181" s="2" t="inlineStr">
        <is>
          <t>Standard formulation WS 1101 (220526)</t>
        </is>
      </c>
      <c r="F181" s="2" t="inlineStr">
        <is>
          <t>TOTAL</t>
        </is>
      </c>
      <c r="G181" s="4" t="n">
        <v>999.9999999999999</v>
      </c>
      <c r="H181" s="2">
        <f>[@Formula_Key]&amp;"|"&amp;[@Ingredient_Name]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27" customWidth="1" min="4" max="4"/>
    <col width="13" customWidth="1" min="5" max="5"/>
    <col width="12" customWidth="1" min="6" max="6"/>
    <col width="40" customWidth="1" min="7" max="7"/>
    <col width="18" customWidth="1" min="8" max="8"/>
    <col width="21" customWidth="1" min="9" max="9"/>
    <col width="40" customWidth="1" min="10" max="10"/>
  </cols>
  <sheetData>
    <row r="1">
      <c r="A1" s="1" t="inlineStr">
        <is>
          <t>Daily Orders &amp; Feedmill Actual Usage Input</t>
        </is>
      </c>
    </row>
    <row r="2"/>
    <row r="3">
      <c r="A3" s="5" t="inlineStr">
        <is>
          <t>Production Orders (tbl_Orders)</t>
        </is>
      </c>
      <c r="G3" s="5" t="inlineStr">
        <is>
          <t>Feedmill Actual Usage (tbl_Feedmill_Actuals)</t>
        </is>
      </c>
    </row>
    <row r="4">
      <c r="A4" s="3" t="inlineStr">
        <is>
          <t>Order_ID</t>
        </is>
      </c>
      <c r="B4" s="3" t="inlineStr">
        <is>
          <t>Order_Date</t>
        </is>
      </c>
      <c r="C4" s="3" t="inlineStr">
        <is>
          <t>Feed_Code</t>
        </is>
      </c>
      <c r="D4" s="3" t="inlineStr">
        <is>
          <t>Formula_Key</t>
        </is>
      </c>
      <c r="E4" s="3" t="inlineStr">
        <is>
          <t>Ordered_MT</t>
        </is>
      </c>
      <c r="G4" s="3" t="inlineStr">
        <is>
          <t>Report_Date</t>
        </is>
      </c>
      <c r="H4" s="3" t="inlineStr">
        <is>
          <t>Ingredient_Name</t>
        </is>
      </c>
      <c r="I4" s="3" t="inlineStr">
        <is>
          <t>Actual_Used_MT</t>
        </is>
      </c>
      <c r="J4" s="3" t="inlineStr">
        <is>
          <t>Mill_Batch_Ref</t>
        </is>
      </c>
    </row>
    <row r="5">
      <c r="A5" s="2" t="inlineStr">
        <is>
          <t>ORD-1001</t>
        </is>
      </c>
      <c r="B5" s="2" t="inlineStr">
        <is>
          <t>2026-01-02</t>
        </is>
      </c>
      <c r="C5" s="2" t="inlineStr">
        <is>
          <t>1103P</t>
        </is>
      </c>
      <c r="D5" s="2" t="inlineStr">
        <is>
          <t>1103P-WS 1103 (290825)</t>
        </is>
      </c>
      <c r="E5" s="4" t="n">
        <v>40</v>
      </c>
      <c r="G5" s="2" t="inlineStr">
        <is>
          <t>2026-01-02</t>
        </is>
      </c>
      <c r="H5" s="2" t="inlineStr">
        <is>
          <t>MAIZE/CORN</t>
        </is>
      </c>
      <c r="I5" s="4" t="n">
        <v>40.1458</v>
      </c>
      <c r="J5" s="2" t="inlineStr">
        <is>
          <t>8102 28mt, 1103 40mt</t>
        </is>
      </c>
    </row>
    <row r="6">
      <c r="A6" s="2" t="inlineStr">
        <is>
          <t>ORD-1002</t>
        </is>
      </c>
      <c r="B6" s="2" t="inlineStr">
        <is>
          <t>2026-01-02</t>
        </is>
      </c>
      <c r="C6" s="2" t="inlineStr">
        <is>
          <t>8102</t>
        </is>
      </c>
      <c r="D6" s="2" t="inlineStr">
        <is>
          <t>8102-WS 8102 (290825)</t>
        </is>
      </c>
      <c r="E6" s="4" t="n">
        <v>28</v>
      </c>
      <c r="G6" s="2" t="inlineStr">
        <is>
          <t>2026-01-03</t>
        </is>
      </c>
      <c r="H6" s="2" t="inlineStr">
        <is>
          <t>MAIZE/CORN</t>
        </is>
      </c>
      <c r="I6" s="4" t="n">
        <v>53.923</v>
      </c>
      <c r="J6" s="2" t="inlineStr">
        <is>
          <t>8102 12mt, 8102 30mt, 1103 50mt</t>
        </is>
      </c>
    </row>
    <row r="7">
      <c r="A7" s="2" t="inlineStr">
        <is>
          <t>ORD-1003</t>
        </is>
      </c>
      <c r="B7" s="2" t="inlineStr">
        <is>
          <t>2026-01-03</t>
        </is>
      </c>
      <c r="C7" s="2" t="inlineStr">
        <is>
          <t>1103P</t>
        </is>
      </c>
      <c r="D7" s="2" t="inlineStr">
        <is>
          <t>1103P-WS 1103 (290825)</t>
        </is>
      </c>
      <c r="E7" s="4" t="n">
        <v>50</v>
      </c>
      <c r="G7" s="2" t="inlineStr">
        <is>
          <t>2026-01-05</t>
        </is>
      </c>
      <c r="H7" s="2" t="inlineStr">
        <is>
          <t>MAIZE/CORN</t>
        </is>
      </c>
      <c r="I7" s="4" t="n">
        <v>74.4282</v>
      </c>
      <c r="J7" s="2" t="inlineStr">
        <is>
          <t>8103 120mt</t>
        </is>
      </c>
    </row>
    <row r="8">
      <c r="A8" s="2" t="inlineStr">
        <is>
          <t>ORD-1004</t>
        </is>
      </c>
      <c r="B8" s="2" t="inlineStr">
        <is>
          <t>2026-01-03</t>
        </is>
      </c>
      <c r="C8" s="2" t="inlineStr">
        <is>
          <t>8102</t>
        </is>
      </c>
      <c r="D8" s="2" t="inlineStr">
        <is>
          <t>8102-WS 8102 (290825)</t>
        </is>
      </c>
      <c r="E8" s="4" t="n">
        <v>12</v>
      </c>
      <c r="G8" s="2" t="inlineStr">
        <is>
          <t>2026-01-06</t>
        </is>
      </c>
      <c r="H8" s="2" t="inlineStr">
        <is>
          <t>MAIZE/CORN</t>
        </is>
      </c>
      <c r="I8" s="4" t="n">
        <v>43.7642</v>
      </c>
      <c r="J8" s="2" t="inlineStr">
        <is>
          <t>8102 70mt, 8103 10mt</t>
        </is>
      </c>
    </row>
    <row r="9">
      <c r="A9" s="2" t="inlineStr">
        <is>
          <t>ORD-1005</t>
        </is>
      </c>
      <c r="B9" s="2" t="inlineStr">
        <is>
          <t>2026-01-03</t>
        </is>
      </c>
      <c r="C9" s="2" t="inlineStr">
        <is>
          <t>8102</t>
        </is>
      </c>
      <c r="D9" s="2" t="inlineStr">
        <is>
          <t>8102-WS 8102 (121225)</t>
        </is>
      </c>
      <c r="E9" s="4" t="n">
        <v>30</v>
      </c>
      <c r="G9" s="2" t="inlineStr">
        <is>
          <t>2026-01-07</t>
        </is>
      </c>
      <c r="H9" s="2" t="inlineStr">
        <is>
          <t>MAIZE/CORN</t>
        </is>
      </c>
      <c r="I9" s="4" t="n">
        <v>45.501</v>
      </c>
      <c r="J9" s="2" t="inlineStr">
        <is>
          <t>8102 50mt, 8103 20mt, 1103 10mt</t>
        </is>
      </c>
    </row>
    <row r="10">
      <c r="A10" s="2" t="inlineStr">
        <is>
          <t>ORD-1006</t>
        </is>
      </c>
      <c r="B10" s="2" t="inlineStr">
        <is>
          <t>2026-01-05</t>
        </is>
      </c>
      <c r="C10" s="2" t="inlineStr">
        <is>
          <t>8103</t>
        </is>
      </c>
      <c r="D10" s="2" t="inlineStr">
        <is>
          <t>8103-WS 8103 (061125)</t>
        </is>
      </c>
      <c r="E10" s="4" t="n">
        <v>120</v>
      </c>
      <c r="G10" s="2" t="inlineStr">
        <is>
          <t>2026-01-08</t>
        </is>
      </c>
      <c r="H10" s="2" t="inlineStr">
        <is>
          <t>MAIZE/CORN</t>
        </is>
      </c>
      <c r="I10" s="4" t="n">
        <v>16.0962</v>
      </c>
      <c r="J10" s="2" t="inlineStr">
        <is>
          <t>8102 30mt</t>
        </is>
      </c>
    </row>
    <row r="11">
      <c r="A11" s="2" t="inlineStr">
        <is>
          <t>ORD-1007</t>
        </is>
      </c>
      <c r="B11" s="2" t="inlineStr">
        <is>
          <t>2026-01-06</t>
        </is>
      </c>
      <c r="C11" s="2" t="inlineStr">
        <is>
          <t>8102</t>
        </is>
      </c>
      <c r="D11" s="2" t="inlineStr">
        <is>
          <t>8102-WS 8102 (121225)</t>
        </is>
      </c>
      <c r="E11" s="4" t="n">
        <v>70</v>
      </c>
      <c r="G11" s="2" t="inlineStr">
        <is>
          <t>2026-01-09</t>
        </is>
      </c>
      <c r="H11" s="2" t="inlineStr">
        <is>
          <t>MAIZE/CORN</t>
        </is>
      </c>
      <c r="I11" s="4" t="n">
        <v>21.4546</v>
      </c>
      <c r="J11" s="2" t="inlineStr">
        <is>
          <t>8102 40mt</t>
        </is>
      </c>
    </row>
    <row r="12">
      <c r="A12" s="2" t="inlineStr">
        <is>
          <t>ORD-1008</t>
        </is>
      </c>
      <c r="B12" s="2" t="inlineStr">
        <is>
          <t>2026-01-06</t>
        </is>
      </c>
      <c r="C12" s="2" t="inlineStr">
        <is>
          <t>8103</t>
        </is>
      </c>
      <c r="D12" s="2" t="inlineStr">
        <is>
          <t>8103-WS 8103 (061125)</t>
        </is>
      </c>
      <c r="E12" s="4" t="n">
        <v>10</v>
      </c>
      <c r="G12" s="2" t="inlineStr">
        <is>
          <t>2026-01-10</t>
        </is>
      </c>
      <c r="H12" s="2" t="inlineStr">
        <is>
          <t>MAIZE/CORN</t>
        </is>
      </c>
      <c r="I12" s="4" t="n">
        <v>11.8592</v>
      </c>
      <c r="J12" s="2" t="inlineStr">
        <is>
          <t>8100 22mt</t>
        </is>
      </c>
    </row>
    <row r="13">
      <c r="A13" s="2" t="inlineStr">
        <is>
          <t>ORD-1009</t>
        </is>
      </c>
      <c r="B13" s="2" t="inlineStr">
        <is>
          <t>2026-01-07</t>
        </is>
      </c>
      <c r="C13" s="2" t="inlineStr">
        <is>
          <t>1103P</t>
        </is>
      </c>
      <c r="D13" s="2" t="inlineStr">
        <is>
          <t>1103P-WS 1103 (290825)</t>
        </is>
      </c>
      <c r="E13" s="4" t="n">
        <v>10</v>
      </c>
      <c r="G13" s="2" t="inlineStr">
        <is>
          <t>2026-01-12</t>
        </is>
      </c>
      <c r="H13" s="2" t="inlineStr">
        <is>
          <t>MAIZE/CORN</t>
        </is>
      </c>
      <c r="I13" s="4" t="n">
        <v>45.1814</v>
      </c>
      <c r="J13" s="2" t="inlineStr">
        <is>
          <t>8102 26mt, 8103 20mt, 1103 30mt</t>
        </is>
      </c>
    </row>
    <row r="14">
      <c r="A14" s="2" t="inlineStr">
        <is>
          <t>ORD-1010</t>
        </is>
      </c>
      <c r="B14" s="2" t="inlineStr">
        <is>
          <t>2026-01-07</t>
        </is>
      </c>
      <c r="C14" s="2" t="inlineStr">
        <is>
          <t>8102</t>
        </is>
      </c>
      <c r="D14" s="2" t="inlineStr">
        <is>
          <t>8102-WS 8102 (121225)</t>
        </is>
      </c>
      <c r="E14" s="4" t="n">
        <v>50</v>
      </c>
      <c r="G14" s="2" t="inlineStr">
        <is>
          <t>2026-01-13</t>
        </is>
      </c>
      <c r="H14" s="2" t="inlineStr">
        <is>
          <t>MAIZE/CORN</t>
        </is>
      </c>
      <c r="I14" s="4" t="n">
        <v>50.16719999999999</v>
      </c>
      <c r="J14" s="2" t="inlineStr">
        <is>
          <t>8102 28mt, 1103 56mt</t>
        </is>
      </c>
    </row>
    <row r="15">
      <c r="A15" s="2" t="inlineStr">
        <is>
          <t>ORD-1011</t>
        </is>
      </c>
      <c r="B15" s="2" t="inlineStr">
        <is>
          <t>2026-01-07</t>
        </is>
      </c>
      <c r="C15" s="2" t="inlineStr">
        <is>
          <t>8103</t>
        </is>
      </c>
      <c r="D15" s="2" t="inlineStr">
        <is>
          <t>8103-WS 8103 (061125)</t>
        </is>
      </c>
      <c r="E15" s="4" t="n">
        <v>20</v>
      </c>
      <c r="G15" s="2" t="inlineStr">
        <is>
          <t>2026-01-15</t>
        </is>
      </c>
      <c r="H15" s="2" t="inlineStr">
        <is>
          <t>MAIZE/CORN</t>
        </is>
      </c>
      <c r="I15" s="4" t="n">
        <v>42.4768</v>
      </c>
      <c r="J15" s="2" t="inlineStr">
        <is>
          <t>8100 10mt, 8102 18mt, 8102 16mt, 1103 30mt</t>
        </is>
      </c>
    </row>
    <row r="16">
      <c r="A16" s="2" t="inlineStr">
        <is>
          <t>ORD-1012</t>
        </is>
      </c>
      <c r="B16" s="2" t="inlineStr">
        <is>
          <t>2026-01-08</t>
        </is>
      </c>
      <c r="C16" s="2" t="inlineStr">
        <is>
          <t>8102</t>
        </is>
      </c>
      <c r="D16" s="2" t="inlineStr">
        <is>
          <t>8102-WS 8102 (121225)</t>
        </is>
      </c>
      <c r="E16" s="4" t="n">
        <v>30</v>
      </c>
      <c r="G16" s="2" t="inlineStr">
        <is>
          <t>2026-01-16</t>
        </is>
      </c>
      <c r="H16" s="2" t="inlineStr">
        <is>
          <t>MAIZE/CORN</t>
        </is>
      </c>
      <c r="I16" s="4" t="n">
        <v>35.5686</v>
      </c>
      <c r="J16" s="2" t="inlineStr">
        <is>
          <t>8100 20mt, 8102 10mt, 8102 20mt, 8103 14mt</t>
        </is>
      </c>
    </row>
    <row r="17">
      <c r="A17" s="2" t="inlineStr">
        <is>
          <t>ORD-1013</t>
        </is>
      </c>
      <c r="B17" s="2" t="inlineStr">
        <is>
          <t>2026-01-09</t>
        </is>
      </c>
      <c r="C17" s="2" t="inlineStr">
        <is>
          <t>8102</t>
        </is>
      </c>
      <c r="D17" s="2" t="inlineStr">
        <is>
          <t>8102-WS 8102 (121225)</t>
        </is>
      </c>
      <c r="E17" s="4" t="n">
        <v>40</v>
      </c>
      <c r="G17" s="2" t="inlineStr">
        <is>
          <t>2026-01-17</t>
        </is>
      </c>
      <c r="H17" s="2" t="inlineStr">
        <is>
          <t>MAIZE/CORN</t>
        </is>
      </c>
      <c r="I17" s="4" t="n">
        <v>13.971</v>
      </c>
      <c r="J17" s="2" t="inlineStr">
        <is>
          <t>8102 26mt</t>
        </is>
      </c>
    </row>
    <row r="18">
      <c r="A18" s="2" t="inlineStr">
        <is>
          <t>ORD-1014</t>
        </is>
      </c>
      <c r="B18" s="2" t="inlineStr">
        <is>
          <t>2026-01-10</t>
        </is>
      </c>
      <c r="C18" s="2" t="inlineStr">
        <is>
          <t>8100</t>
        </is>
      </c>
      <c r="D18" s="2" t="inlineStr">
        <is>
          <t>8100-WS 8100 (290825)</t>
        </is>
      </c>
      <c r="E18" s="4" t="n">
        <v>22</v>
      </c>
      <c r="G18" s="2" t="inlineStr">
        <is>
          <t>2026-01-19</t>
        </is>
      </c>
      <c r="H18" s="2" t="inlineStr">
        <is>
          <t>MAIZE/CORN</t>
        </is>
      </c>
      <c r="I18" s="4" t="n">
        <v>45.777</v>
      </c>
      <c r="J18" s="2" t="inlineStr">
        <is>
          <t>8100 30mt, 8102 32mt, 8103 20mt</t>
        </is>
      </c>
    </row>
    <row r="19">
      <c r="A19" s="2" t="inlineStr">
        <is>
          <t>ORD-1015</t>
        </is>
      </c>
      <c r="B19" s="2" t="inlineStr">
        <is>
          <t>2026-01-12</t>
        </is>
      </c>
      <c r="C19" s="2" t="inlineStr">
        <is>
          <t>1103P</t>
        </is>
      </c>
      <c r="D19" s="2" t="inlineStr">
        <is>
          <t>1103P-WS 1103 (290825)</t>
        </is>
      </c>
      <c r="E19" s="4" t="n">
        <v>30</v>
      </c>
      <c r="G19" s="2" t="inlineStr">
        <is>
          <t>2026-01-20</t>
        </is>
      </c>
      <c r="H19" s="2" t="inlineStr">
        <is>
          <t>MAIZE/CORN</t>
        </is>
      </c>
      <c r="I19" s="4" t="n">
        <v>31.3796</v>
      </c>
      <c r="J19" s="2" t="inlineStr">
        <is>
          <t>1103 50mt</t>
        </is>
      </c>
    </row>
    <row r="20">
      <c r="A20" s="2" t="inlineStr">
        <is>
          <t>ORD-1016</t>
        </is>
      </c>
      <c r="B20" s="2" t="inlineStr">
        <is>
          <t>2026-01-12</t>
        </is>
      </c>
      <c r="C20" s="2" t="inlineStr">
        <is>
          <t>8102</t>
        </is>
      </c>
      <c r="D20" s="2" t="inlineStr">
        <is>
          <t>8102-WS 8102 (121225)</t>
        </is>
      </c>
      <c r="E20" s="4" t="n">
        <v>26</v>
      </c>
      <c r="G20" s="2" t="inlineStr">
        <is>
          <t>2026-01-21</t>
        </is>
      </c>
      <c r="H20" s="2" t="inlineStr">
        <is>
          <t>MAIZE/CORN</t>
        </is>
      </c>
      <c r="I20" s="4" t="n">
        <v>19.949</v>
      </c>
      <c r="J20" s="2" t="inlineStr">
        <is>
          <t>1103 14mt, 8103 18mt</t>
        </is>
      </c>
    </row>
    <row r="21">
      <c r="A21" s="2" t="inlineStr">
        <is>
          <t>ORD-1017</t>
        </is>
      </c>
      <c r="B21" s="2" t="inlineStr">
        <is>
          <t>2026-01-12</t>
        </is>
      </c>
      <c r="C21" s="2" t="inlineStr">
        <is>
          <t>8103</t>
        </is>
      </c>
      <c r="D21" s="2" t="inlineStr">
        <is>
          <t>8103-WS 8103 (061125)</t>
        </is>
      </c>
      <c r="E21" s="4" t="n">
        <v>20</v>
      </c>
      <c r="G21" s="2" t="inlineStr">
        <is>
          <t>2026-01-22</t>
        </is>
      </c>
      <c r="H21" s="2" t="inlineStr">
        <is>
          <t>MAIZE/CORN</t>
        </is>
      </c>
      <c r="I21" s="4" t="n">
        <v>21.4988</v>
      </c>
      <c r="J21" s="2" t="inlineStr">
        <is>
          <t>8102 40mt</t>
        </is>
      </c>
    </row>
    <row r="22">
      <c r="A22" s="2" t="inlineStr">
        <is>
          <t>ORD-1018</t>
        </is>
      </c>
      <c r="B22" s="2" t="inlineStr">
        <is>
          <t>2026-01-13</t>
        </is>
      </c>
      <c r="C22" s="2" t="inlineStr">
        <is>
          <t>1103P</t>
        </is>
      </c>
      <c r="D22" s="2" t="inlineStr">
        <is>
          <t>1103P-WS 1103 (290825)</t>
        </is>
      </c>
      <c r="E22" s="4" t="n">
        <v>56</v>
      </c>
      <c r="G22" s="2" t="inlineStr">
        <is>
          <t>2026-01-23</t>
        </is>
      </c>
      <c r="H22" s="2" t="inlineStr">
        <is>
          <t>MAIZE/CORN</t>
        </is>
      </c>
      <c r="I22" s="4" t="n">
        <v>38.77780000000001</v>
      </c>
      <c r="J22" s="2" t="inlineStr">
        <is>
          <t>8100 44mt, 1103 24mt</t>
        </is>
      </c>
    </row>
    <row r="23">
      <c r="A23" s="2" t="inlineStr">
        <is>
          <t>ORD-1019</t>
        </is>
      </c>
      <c r="B23" s="2" t="inlineStr">
        <is>
          <t>2026-01-13</t>
        </is>
      </c>
      <c r="C23" s="2" t="inlineStr">
        <is>
          <t>8102</t>
        </is>
      </c>
      <c r="D23" s="2" t="inlineStr">
        <is>
          <t>8102-WS 8102 (121225)</t>
        </is>
      </c>
      <c r="E23" s="4" t="n">
        <v>28</v>
      </c>
      <c r="G23" s="2" t="inlineStr">
        <is>
          <t>2026-01-24</t>
        </is>
      </c>
      <c r="H23" s="2" t="inlineStr">
        <is>
          <t>MAIZE/CORN</t>
        </is>
      </c>
      <c r="I23" s="4" t="n">
        <v>13.9802</v>
      </c>
      <c r="J23" s="2" t="inlineStr">
        <is>
          <t>8102 26mt</t>
        </is>
      </c>
    </row>
    <row r="24">
      <c r="A24" s="2" t="inlineStr">
        <is>
          <t>ORD-1020</t>
        </is>
      </c>
      <c r="B24" s="2" t="inlineStr">
        <is>
          <t>2026-01-15</t>
        </is>
      </c>
      <c r="C24" s="2" t="inlineStr">
        <is>
          <t>1103P</t>
        </is>
      </c>
      <c r="D24" s="2" t="inlineStr">
        <is>
          <t>1103P-WS 1103 (290825)</t>
        </is>
      </c>
      <c r="E24" s="4" t="n">
        <v>30</v>
      </c>
      <c r="G24" s="2" t="inlineStr">
        <is>
          <t>2026-01-26</t>
        </is>
      </c>
      <c r="H24" s="2" t="inlineStr">
        <is>
          <t>MAIZE/CORN</t>
        </is>
      </c>
      <c r="I24" s="4" t="n">
        <v>33.37</v>
      </c>
      <c r="J24" s="2" t="inlineStr">
        <is>
          <t>8103 40mt, 1101 16mt</t>
        </is>
      </c>
    </row>
    <row r="25">
      <c r="A25" s="2" t="inlineStr">
        <is>
          <t>ORD-1021</t>
        </is>
      </c>
      <c r="B25" s="2" t="inlineStr">
        <is>
          <t>2026-01-15</t>
        </is>
      </c>
      <c r="C25" s="2" t="inlineStr">
        <is>
          <t>8100</t>
        </is>
      </c>
      <c r="D25" s="2" t="inlineStr">
        <is>
          <t>8100-WS 8100 (290825)</t>
        </is>
      </c>
      <c r="E25" s="4" t="n">
        <v>10</v>
      </c>
      <c r="G25" s="2" t="inlineStr">
        <is>
          <t>2026-01-27</t>
        </is>
      </c>
      <c r="H25" s="2" t="inlineStr">
        <is>
          <t>MAIZE/CORN</t>
        </is>
      </c>
      <c r="I25" s="4" t="n">
        <v>49.1052</v>
      </c>
      <c r="J25" s="2" t="inlineStr">
        <is>
          <t>8102 40mt, 1103 44mt</t>
        </is>
      </c>
    </row>
    <row r="26">
      <c r="A26" s="2" t="inlineStr">
        <is>
          <t>ORD-1022</t>
        </is>
      </c>
      <c r="B26" s="2" t="inlineStr">
        <is>
          <t>2026-01-15</t>
        </is>
      </c>
      <c r="C26" s="2" t="inlineStr">
        <is>
          <t>8102</t>
        </is>
      </c>
      <c r="D26" s="2" t="inlineStr">
        <is>
          <t>8102-WS 8102 (290825)</t>
        </is>
      </c>
      <c r="E26" s="4" t="n">
        <v>18</v>
      </c>
      <c r="G26" s="2" t="inlineStr">
        <is>
          <t>2026-01-28</t>
        </is>
      </c>
      <c r="H26" s="2" t="inlineStr">
        <is>
          <t>MAIZE/CORN</t>
        </is>
      </c>
      <c r="I26" s="4" t="n">
        <v>18.2538</v>
      </c>
      <c r="J26" s="2" t="inlineStr">
        <is>
          <t>8102 14mt, 8102 20mt</t>
        </is>
      </c>
    </row>
    <row r="27">
      <c r="A27" s="2" t="inlineStr">
        <is>
          <t>ORD-1023</t>
        </is>
      </c>
      <c r="B27" s="2" t="inlineStr">
        <is>
          <t>2026-01-15</t>
        </is>
      </c>
      <c r="C27" s="2" t="inlineStr">
        <is>
          <t>8102</t>
        </is>
      </c>
      <c r="D27" s="2" t="inlineStr">
        <is>
          <t>8102-WS 8102 (121225)</t>
        </is>
      </c>
      <c r="E27" s="4" t="n">
        <v>16</v>
      </c>
      <c r="G27" s="2" t="inlineStr">
        <is>
          <t>2026-01-29</t>
        </is>
      </c>
      <c r="H27" s="2" t="inlineStr">
        <is>
          <t>MAIZE/CORN</t>
        </is>
      </c>
      <c r="I27" s="4" t="n">
        <v>4.3464</v>
      </c>
      <c r="J27" s="2" t="inlineStr">
        <is>
          <t>MILL-RUN-01</t>
        </is>
      </c>
    </row>
    <row r="28">
      <c r="A28" s="2" t="inlineStr">
        <is>
          <t>ORD-1024</t>
        </is>
      </c>
      <c r="B28" s="2" t="inlineStr">
        <is>
          <t>2026-01-16</t>
        </is>
      </c>
      <c r="C28" s="2" t="inlineStr">
        <is>
          <t>8100</t>
        </is>
      </c>
      <c r="D28" s="2" t="inlineStr">
        <is>
          <t>8100-WS 8100 (290825)</t>
        </is>
      </c>
      <c r="E28" s="4" t="n">
        <v>20</v>
      </c>
      <c r="G28" s="2" t="inlineStr">
        <is>
          <t>2026-01-30</t>
        </is>
      </c>
      <c r="H28" s="2" t="inlineStr">
        <is>
          <t>MAIZE/CORN</t>
        </is>
      </c>
      <c r="I28" s="4" t="n">
        <v>10.0374</v>
      </c>
      <c r="J28" s="2" t="inlineStr">
        <is>
          <t>1103 16mt</t>
        </is>
      </c>
    </row>
    <row r="29">
      <c r="A29" s="2" t="inlineStr">
        <is>
          <t>ORD-1025</t>
        </is>
      </c>
      <c r="B29" s="2" t="inlineStr">
        <is>
          <t>2026-01-16</t>
        </is>
      </c>
      <c r="C29" s="2" t="inlineStr">
        <is>
          <t>8102</t>
        </is>
      </c>
      <c r="D29" s="2" t="inlineStr">
        <is>
          <t>8102-WS 8102 (290825)</t>
        </is>
      </c>
      <c r="E29" s="4" t="n">
        <v>10</v>
      </c>
      <c r="G29" s="2" t="inlineStr">
        <is>
          <t>2026-01-31</t>
        </is>
      </c>
      <c r="H29" s="2" t="inlineStr">
        <is>
          <t>MAIZE/CORN</t>
        </is>
      </c>
      <c r="I29" s="4" t="n">
        <v>40.3296</v>
      </c>
      <c r="J29" s="2" t="inlineStr">
        <is>
          <t>8102 40mt, 1103 30mt</t>
        </is>
      </c>
    </row>
    <row r="30">
      <c r="A30" s="2" t="inlineStr">
        <is>
          <t>ORD-1026</t>
        </is>
      </c>
      <c r="B30" s="2" t="inlineStr">
        <is>
          <t>2026-01-16</t>
        </is>
      </c>
      <c r="C30" s="2" t="inlineStr">
        <is>
          <t>8102</t>
        </is>
      </c>
      <c r="D30" s="2" t="inlineStr">
        <is>
          <t>8102-WS 8102 (121225)</t>
        </is>
      </c>
      <c r="E30" s="4" t="n">
        <v>20</v>
      </c>
      <c r="G30" s="2" t="inlineStr">
        <is>
          <t>2026-02-03</t>
        </is>
      </c>
      <c r="H30" s="2" t="inlineStr">
        <is>
          <t>MAIZE/CORN</t>
        </is>
      </c>
      <c r="I30" s="4" t="n">
        <v>24.017</v>
      </c>
      <c r="J30" s="2" t="inlineStr">
        <is>
          <t>1103 16mt, 8102 26mt</t>
        </is>
      </c>
    </row>
    <row r="31">
      <c r="A31" s="2" t="inlineStr">
        <is>
          <t>ORD-1027</t>
        </is>
      </c>
      <c r="B31" s="2" t="inlineStr">
        <is>
          <t>2026-01-16</t>
        </is>
      </c>
      <c r="C31" s="2" t="inlineStr">
        <is>
          <t>8103</t>
        </is>
      </c>
      <c r="D31" s="2" t="inlineStr">
        <is>
          <t>8103-WS 8103 (061125)</t>
        </is>
      </c>
      <c r="E31" s="4" t="n">
        <v>14</v>
      </c>
      <c r="G31" s="2" t="inlineStr">
        <is>
          <t>2026-02-05</t>
        </is>
      </c>
      <c r="H31" s="2" t="inlineStr">
        <is>
          <t>MAIZE/CORN</t>
        </is>
      </c>
      <c r="I31" s="4" t="n">
        <v>44.1134</v>
      </c>
      <c r="J31" s="2" t="inlineStr">
        <is>
          <t>8100 52mt, 8103 26mt</t>
        </is>
      </c>
    </row>
    <row r="32">
      <c r="A32" s="2" t="inlineStr">
        <is>
          <t>ORD-1028</t>
        </is>
      </c>
      <c r="B32" s="2" t="inlineStr">
        <is>
          <t>2026-01-17</t>
        </is>
      </c>
      <c r="C32" s="2" t="inlineStr">
        <is>
          <t>8102</t>
        </is>
      </c>
      <c r="D32" s="2" t="inlineStr">
        <is>
          <t>8102-WS 8102 (290825)</t>
        </is>
      </c>
      <c r="E32" s="4" t="n">
        <v>26</v>
      </c>
      <c r="G32" s="2" t="inlineStr">
        <is>
          <t>2026-02-06</t>
        </is>
      </c>
      <c r="H32" s="2" t="inlineStr">
        <is>
          <t>MAIZE/CORN</t>
        </is>
      </c>
      <c r="I32" s="4" t="n">
        <v>35.0906</v>
      </c>
      <c r="J32" s="2" t="inlineStr">
        <is>
          <t>122 2mt, 122 68mt</t>
        </is>
      </c>
    </row>
    <row r="33">
      <c r="A33" s="2" t="inlineStr">
        <is>
          <t>ORD-1029</t>
        </is>
      </c>
      <c r="B33" s="2" t="inlineStr">
        <is>
          <t>2026-01-19</t>
        </is>
      </c>
      <c r="C33" s="2" t="inlineStr">
        <is>
          <t>8100</t>
        </is>
      </c>
      <c r="D33" s="2" t="inlineStr">
        <is>
          <t>8100-WS 8100 (290825)</t>
        </is>
      </c>
      <c r="E33" s="4" t="n">
        <v>30</v>
      </c>
      <c r="G33" s="2" t="inlineStr">
        <is>
          <t>2026-02-07</t>
        </is>
      </c>
      <c r="H33" s="2" t="inlineStr">
        <is>
          <t>MAIZE/CORN</t>
        </is>
      </c>
      <c r="I33" s="4" t="n">
        <v>30.9294</v>
      </c>
      <c r="J33" s="2" t="inlineStr">
        <is>
          <t>121 60mt</t>
        </is>
      </c>
    </row>
    <row r="34">
      <c r="A34" s="2" t="inlineStr">
        <is>
          <t>ORD-1030</t>
        </is>
      </c>
      <c r="B34" s="2" t="inlineStr">
        <is>
          <t>2026-01-19</t>
        </is>
      </c>
      <c r="C34" s="2" t="inlineStr">
        <is>
          <t>8102</t>
        </is>
      </c>
      <c r="D34" s="2" t="inlineStr">
        <is>
          <t>8102-WS 8102 (290825)</t>
        </is>
      </c>
      <c r="E34" s="4" t="n">
        <v>32</v>
      </c>
      <c r="G34" s="2" t="inlineStr">
        <is>
          <t>2026-02-09</t>
        </is>
      </c>
      <c r="H34" s="2" t="inlineStr">
        <is>
          <t>MAIZE/CORN</t>
        </is>
      </c>
      <c r="I34" s="4" t="n">
        <v>64.50280000000001</v>
      </c>
      <c r="J34" s="2" t="inlineStr">
        <is>
          <t>8102 120mt</t>
        </is>
      </c>
    </row>
    <row r="35">
      <c r="A35" s="2" t="inlineStr">
        <is>
          <t>ORD-1031</t>
        </is>
      </c>
      <c r="B35" s="2" t="inlineStr">
        <is>
          <t>2026-01-19</t>
        </is>
      </c>
      <c r="C35" s="2" t="inlineStr">
        <is>
          <t>8103</t>
        </is>
      </c>
      <c r="D35" s="2" t="inlineStr">
        <is>
          <t>8103-WS 8103 (061125)</t>
        </is>
      </c>
      <c r="E35" s="4" t="n">
        <v>20</v>
      </c>
      <c r="G35" s="2" t="inlineStr">
        <is>
          <t>2026-02-10</t>
        </is>
      </c>
      <c r="H35" s="2" t="inlineStr">
        <is>
          <t>MAIZE/CORN</t>
        </is>
      </c>
      <c r="I35" s="4" t="n">
        <v>26.8758</v>
      </c>
      <c r="J35" s="2" t="inlineStr">
        <is>
          <t>8102 50mt</t>
        </is>
      </c>
    </row>
    <row r="36">
      <c r="A36" s="2" t="inlineStr">
        <is>
          <t>ORD-1032</t>
        </is>
      </c>
      <c r="B36" s="2" t="inlineStr">
        <is>
          <t>2026-01-20</t>
        </is>
      </c>
      <c r="C36" s="2" t="inlineStr">
        <is>
          <t>1103P</t>
        </is>
      </c>
      <c r="D36" s="2" t="inlineStr">
        <is>
          <t>1103P-WS 1103 (290825)</t>
        </is>
      </c>
      <c r="E36" s="4" t="n">
        <v>50</v>
      </c>
      <c r="G36" s="2" t="inlineStr">
        <is>
          <t>2026-02-11</t>
        </is>
      </c>
      <c r="H36" s="2" t="inlineStr">
        <is>
          <t>MAIZE/CORN</t>
        </is>
      </c>
      <c r="I36" s="4" t="n">
        <v>61.861</v>
      </c>
      <c r="J36" s="2" t="inlineStr">
        <is>
          <t>121 120mt</t>
        </is>
      </c>
    </row>
    <row r="37">
      <c r="A37" s="2" t="inlineStr">
        <is>
          <t>ORD-1033</t>
        </is>
      </c>
      <c r="B37" s="2" t="inlineStr">
        <is>
          <t>2026-01-21</t>
        </is>
      </c>
      <c r="C37" s="2" t="inlineStr">
        <is>
          <t>1103P</t>
        </is>
      </c>
      <c r="D37" s="2" t="inlineStr">
        <is>
          <t>1103P-WS 1103 (290825)</t>
        </is>
      </c>
      <c r="E37" s="4" t="n">
        <v>14</v>
      </c>
      <c r="G37" s="2" t="inlineStr">
        <is>
          <t>2026-02-12</t>
        </is>
      </c>
      <c r="H37" s="2" t="inlineStr">
        <is>
          <t>MAIZE/CORN</t>
        </is>
      </c>
      <c r="I37" s="4" t="n">
        <v>55.1502</v>
      </c>
      <c r="J37" s="2" t="inlineStr">
        <is>
          <t>122 110mt</t>
        </is>
      </c>
    </row>
    <row r="38">
      <c r="A38" s="2" t="inlineStr">
        <is>
          <t>ORD-1034</t>
        </is>
      </c>
      <c r="B38" s="2" t="inlineStr">
        <is>
          <t>2026-01-21</t>
        </is>
      </c>
      <c r="C38" s="2" t="inlineStr">
        <is>
          <t>8103</t>
        </is>
      </c>
      <c r="D38" s="2" t="inlineStr">
        <is>
          <t>8103-WS 8103 (061125)</t>
        </is>
      </c>
      <c r="E38" s="4" t="n">
        <v>18</v>
      </c>
      <c r="G38" s="2" t="inlineStr">
        <is>
          <t>2026-02-13</t>
        </is>
      </c>
      <c r="H38" s="2" t="inlineStr">
        <is>
          <t>MAIZE/CORN</t>
        </is>
      </c>
      <c r="I38" s="4" t="n">
        <v>74.1156</v>
      </c>
      <c r="J38" s="2" t="inlineStr">
        <is>
          <t>1101 26mt, 8102 112mt</t>
        </is>
      </c>
    </row>
    <row r="39">
      <c r="A39" s="2" t="inlineStr">
        <is>
          <t>ORD-1035</t>
        </is>
      </c>
      <c r="B39" s="2" t="inlineStr">
        <is>
          <t>2026-01-22</t>
        </is>
      </c>
      <c r="C39" s="2" t="inlineStr">
        <is>
          <t>8102</t>
        </is>
      </c>
      <c r="D39" s="2" t="inlineStr">
        <is>
          <t>8102-WS 8102 (290825)</t>
        </is>
      </c>
      <c r="E39" s="4" t="n">
        <v>40</v>
      </c>
      <c r="G39" s="2" t="inlineStr">
        <is>
          <t>2026-02-16</t>
        </is>
      </c>
      <c r="H39" s="2" t="inlineStr">
        <is>
          <t>MAIZE/CORN</t>
        </is>
      </c>
      <c r="I39" s="4" t="n">
        <v>16.053</v>
      </c>
      <c r="J39" s="2" t="inlineStr">
        <is>
          <t>1101 30mt</t>
        </is>
      </c>
    </row>
    <row r="40">
      <c r="A40" s="2" t="inlineStr">
        <is>
          <t>ORD-1036</t>
        </is>
      </c>
      <c r="B40" s="2" t="inlineStr">
        <is>
          <t>2026-01-23</t>
        </is>
      </c>
      <c r="C40" s="2" t="inlineStr">
        <is>
          <t>1103P</t>
        </is>
      </c>
      <c r="D40" s="2" t="inlineStr">
        <is>
          <t>1103P-WS 1103 (290825)</t>
        </is>
      </c>
      <c r="E40" s="4" t="n">
        <v>24</v>
      </c>
      <c r="G40" s="2" t="inlineStr">
        <is>
          <t>2026-02-19</t>
        </is>
      </c>
      <c r="H40" s="2" t="inlineStr">
        <is>
          <t>MAIZE/CORN</t>
        </is>
      </c>
      <c r="I40" s="4" t="n">
        <v>68.13339999999999</v>
      </c>
      <c r="J40" s="2" t="inlineStr">
        <is>
          <t>8102 54mt, 122 78mt</t>
        </is>
      </c>
    </row>
    <row r="41">
      <c r="A41" s="2" t="inlineStr">
        <is>
          <t>ORD-1037</t>
        </is>
      </c>
      <c r="B41" s="2" t="inlineStr">
        <is>
          <t>2026-01-23</t>
        </is>
      </c>
      <c r="C41" s="2" t="inlineStr">
        <is>
          <t>8100</t>
        </is>
      </c>
      <c r="D41" s="2" t="inlineStr">
        <is>
          <t>8100-WS 8100 (290825)</t>
        </is>
      </c>
      <c r="E41" s="4" t="n">
        <v>44</v>
      </c>
      <c r="G41" s="2" t="inlineStr">
        <is>
          <t>2026-02-20</t>
        </is>
      </c>
      <c r="H41" s="2" t="inlineStr">
        <is>
          <t>MAIZE/CORN</t>
        </is>
      </c>
      <c r="I41" s="4" t="n">
        <v>42.7656</v>
      </c>
      <c r="J41" s="2" t="inlineStr">
        <is>
          <t>123 80mt</t>
        </is>
      </c>
    </row>
    <row r="42">
      <c r="A42" s="2" t="inlineStr">
        <is>
          <t>ORD-1038</t>
        </is>
      </c>
      <c r="B42" s="2" t="inlineStr">
        <is>
          <t>2026-01-24</t>
        </is>
      </c>
      <c r="C42" s="2" t="inlineStr">
        <is>
          <t>8102</t>
        </is>
      </c>
      <c r="D42" s="2" t="inlineStr">
        <is>
          <t>8102-WS 8102 (290825)</t>
        </is>
      </c>
      <c r="E42" s="4" t="n">
        <v>26</v>
      </c>
      <c r="G42" s="2" t="inlineStr">
        <is>
          <t>2026-02-21</t>
        </is>
      </c>
      <c r="H42" s="2" t="inlineStr">
        <is>
          <t>MAIZE/CORN</t>
        </is>
      </c>
      <c r="I42" s="4" t="n">
        <v>38.9804</v>
      </c>
      <c r="J42" s="2" t="inlineStr">
        <is>
          <t>122 50mt, 1101 26mt</t>
        </is>
      </c>
    </row>
    <row r="43">
      <c r="A43" s="2" t="inlineStr">
        <is>
          <t>ORD-1039</t>
        </is>
      </c>
      <c r="B43" s="2" t="inlineStr">
        <is>
          <t>2026-01-26</t>
        </is>
      </c>
      <c r="C43" s="2" t="inlineStr">
        <is>
          <t>1101C</t>
        </is>
      </c>
      <c r="D43" s="2" t="inlineStr">
        <is>
          <t>1101C-WS 1101 (251124)</t>
        </is>
      </c>
      <c r="E43" s="4" t="n">
        <v>16</v>
      </c>
      <c r="G43" s="2" t="inlineStr">
        <is>
          <t>2026-02-23</t>
        </is>
      </c>
      <c r="H43" s="2" t="inlineStr">
        <is>
          <t>MAIZE/CORN</t>
        </is>
      </c>
      <c r="I43" s="4" t="n">
        <v>13.9732</v>
      </c>
      <c r="J43" s="2" t="inlineStr">
        <is>
          <t>8102 26mt</t>
        </is>
      </c>
    </row>
    <row r="44">
      <c r="A44" s="2" t="inlineStr">
        <is>
          <t>ORD-1040</t>
        </is>
      </c>
      <c r="B44" s="2" t="inlineStr">
        <is>
          <t>2026-01-26</t>
        </is>
      </c>
      <c r="C44" s="2" t="inlineStr">
        <is>
          <t>8103</t>
        </is>
      </c>
      <c r="D44" s="2" t="inlineStr">
        <is>
          <t>8103-WS 8103 (061125)</t>
        </is>
      </c>
      <c r="E44" s="4" t="n">
        <v>40</v>
      </c>
      <c r="G44" s="2" t="inlineStr">
        <is>
          <t>2026-02-24</t>
        </is>
      </c>
      <c r="H44" s="2" t="inlineStr">
        <is>
          <t>MAIZE/CORN</t>
        </is>
      </c>
      <c r="I44" s="4" t="n">
        <v>40.6282</v>
      </c>
      <c r="J44" s="2" t="inlineStr">
        <is>
          <t>123 76mt</t>
        </is>
      </c>
    </row>
    <row r="45">
      <c r="A45" s="2" t="inlineStr">
        <is>
          <t>ORD-1041</t>
        </is>
      </c>
      <c r="B45" s="2" t="inlineStr">
        <is>
          <t>2026-01-27</t>
        </is>
      </c>
      <c r="C45" s="2" t="inlineStr">
        <is>
          <t>1103P</t>
        </is>
      </c>
      <c r="D45" s="2" t="inlineStr">
        <is>
          <t>1103P-WS 1103 (290825)</t>
        </is>
      </c>
      <c r="E45" s="4" t="n">
        <v>44</v>
      </c>
      <c r="G45" s="2" t="inlineStr">
        <is>
          <t>2026-02-25</t>
        </is>
      </c>
      <c r="H45" s="2" t="inlineStr">
        <is>
          <t>MAIZE/CORN</t>
        </is>
      </c>
      <c r="I45" s="4" t="n">
        <v>16.5138</v>
      </c>
      <c r="J45" s="2" t="inlineStr">
        <is>
          <t>122 18mt, 1101 14mt</t>
        </is>
      </c>
    </row>
    <row r="46">
      <c r="A46" s="2" t="inlineStr">
        <is>
          <t>ORD-1042</t>
        </is>
      </c>
      <c r="B46" s="2" t="inlineStr">
        <is>
          <t>2026-01-27</t>
        </is>
      </c>
      <c r="C46" s="2" t="inlineStr">
        <is>
          <t>8102</t>
        </is>
      </c>
      <c r="D46" s="2" t="inlineStr">
        <is>
          <t>8102-WS 8102 (290825)</t>
        </is>
      </c>
      <c r="E46" s="4" t="n">
        <v>40</v>
      </c>
      <c r="G46" s="2" t="inlineStr">
        <is>
          <t>2026-02-26</t>
        </is>
      </c>
      <c r="H46" s="2" t="inlineStr">
        <is>
          <t>MAIZE/CORN</t>
        </is>
      </c>
      <c r="I46" s="4" t="n">
        <v>13.0356</v>
      </c>
      <c r="J46" s="2" t="inlineStr">
        <is>
          <t>122 26mt</t>
        </is>
      </c>
    </row>
    <row r="47">
      <c r="A47" s="2" t="inlineStr">
        <is>
          <t>ORD-1043</t>
        </is>
      </c>
      <c r="B47" s="2" t="inlineStr">
        <is>
          <t>2026-01-28</t>
        </is>
      </c>
      <c r="C47" s="2" t="inlineStr">
        <is>
          <t>8102</t>
        </is>
      </c>
      <c r="D47" s="2" t="inlineStr">
        <is>
          <t>8102-WS 8102 (290825)</t>
        </is>
      </c>
      <c r="E47" s="4" t="n">
        <v>14</v>
      </c>
      <c r="G47" s="2" t="inlineStr">
        <is>
          <t>2026-02-27</t>
        </is>
      </c>
      <c r="H47" s="2" t="inlineStr">
        <is>
          <t>MAIZE/CORN</t>
        </is>
      </c>
      <c r="I47" s="4" t="n">
        <v>26.7444</v>
      </c>
      <c r="J47" s="2" t="inlineStr">
        <is>
          <t>1101 50mt</t>
        </is>
      </c>
    </row>
    <row r="48">
      <c r="A48" s="2" t="inlineStr">
        <is>
          <t>ORD-1044</t>
        </is>
      </c>
      <c r="B48" s="2" t="inlineStr">
        <is>
          <t>2026-01-28</t>
        </is>
      </c>
      <c r="C48" s="2" t="inlineStr">
        <is>
          <t>8102</t>
        </is>
      </c>
      <c r="D48" s="2" t="inlineStr">
        <is>
          <t>8102-WS 8102 (121225)</t>
        </is>
      </c>
      <c r="E48" s="4" t="n">
        <v>20</v>
      </c>
      <c r="G48" s="2" t="inlineStr">
        <is>
          <t>2026-02-28</t>
        </is>
      </c>
      <c r="H48" s="2" t="inlineStr">
        <is>
          <t>MAIZE/CORN</t>
        </is>
      </c>
      <c r="I48" s="4" t="n">
        <v>30</v>
      </c>
      <c r="J48" s="2" t="inlineStr">
        <is>
          <t>MILL-RUN-01</t>
        </is>
      </c>
    </row>
    <row r="49">
      <c r="A49" s="2" t="inlineStr">
        <is>
          <t>ORD-1045</t>
        </is>
      </c>
      <c r="B49" s="2" t="inlineStr">
        <is>
          <t>2026-01-30</t>
        </is>
      </c>
      <c r="C49" s="2" t="inlineStr">
        <is>
          <t>1103P</t>
        </is>
      </c>
      <c r="D49" s="2" t="inlineStr">
        <is>
          <t>1103P-WS 1103 (290825)</t>
        </is>
      </c>
      <c r="E49" s="4" t="n">
        <v>16</v>
      </c>
      <c r="G49" s="2" t="inlineStr">
        <is>
          <t>2026-03-02</t>
        </is>
      </c>
      <c r="H49" s="2" t="inlineStr">
        <is>
          <t>MAIZE/CORN</t>
        </is>
      </c>
      <c r="I49" s="4" t="n">
        <v>42.1196</v>
      </c>
      <c r="J49" s="2" t="inlineStr">
        <is>
          <t>122 20mt, 123 60mt</t>
        </is>
      </c>
    </row>
    <row r="50">
      <c r="A50" s="2" t="inlineStr">
        <is>
          <t>ORD-1046</t>
        </is>
      </c>
      <c r="B50" s="2" t="inlineStr">
        <is>
          <t>2026-01-31</t>
        </is>
      </c>
      <c r="C50" s="2" t="inlineStr">
        <is>
          <t>1103P</t>
        </is>
      </c>
      <c r="D50" s="2" t="inlineStr">
        <is>
          <t>1103P-WS 1103 (290825)</t>
        </is>
      </c>
      <c r="E50" s="4" t="n">
        <v>30</v>
      </c>
      <c r="G50" s="2" t="inlineStr">
        <is>
          <t>2026-03-03</t>
        </is>
      </c>
      <c r="H50" s="2" t="inlineStr">
        <is>
          <t>MAIZE/CORN</t>
        </is>
      </c>
      <c r="I50" s="4" t="n">
        <v>60.4814</v>
      </c>
      <c r="J50" s="2" t="inlineStr">
        <is>
          <t>122 78mt, 123 40mt</t>
        </is>
      </c>
    </row>
    <row r="51">
      <c r="A51" s="2" t="inlineStr">
        <is>
          <t>ORD-1047</t>
        </is>
      </c>
      <c r="B51" s="2" t="inlineStr">
        <is>
          <t>2026-01-31</t>
        </is>
      </c>
      <c r="C51" s="2" t="inlineStr">
        <is>
          <t>8102</t>
        </is>
      </c>
      <c r="D51" s="2" t="inlineStr">
        <is>
          <t>8102-WS 8102 (290825)</t>
        </is>
      </c>
      <c r="E51" s="4" t="n">
        <v>40</v>
      </c>
      <c r="G51" s="2" t="inlineStr">
        <is>
          <t>2026-03-04</t>
        </is>
      </c>
      <c r="H51" s="2" t="inlineStr">
        <is>
          <t>MAIZE/CORN</t>
        </is>
      </c>
      <c r="I51" s="4" t="n">
        <v>43.844</v>
      </c>
      <c r="J51" s="2" t="inlineStr">
        <is>
          <t>123 82mt</t>
        </is>
      </c>
    </row>
    <row r="52">
      <c r="A52" s="2" t="inlineStr">
        <is>
          <t>ORD-1048</t>
        </is>
      </c>
      <c r="B52" s="2" t="inlineStr">
        <is>
          <t>2026-02-03</t>
        </is>
      </c>
      <c r="C52" s="2" t="inlineStr">
        <is>
          <t>1103P</t>
        </is>
      </c>
      <c r="D52" s="2" t="inlineStr">
        <is>
          <t>1103P-WS 1103 (290825)</t>
        </is>
      </c>
      <c r="E52" s="4" t="n">
        <v>16</v>
      </c>
      <c r="G52" s="2" t="inlineStr">
        <is>
          <t>2026-03-05</t>
        </is>
      </c>
      <c r="H52" s="2" t="inlineStr">
        <is>
          <t>MAIZE/CORN</t>
        </is>
      </c>
      <c r="I52" s="4" t="n">
        <v>8.5616</v>
      </c>
      <c r="J52" s="2" t="inlineStr">
        <is>
          <t>1101 16mt</t>
        </is>
      </c>
    </row>
    <row r="53">
      <c r="A53" s="2" t="inlineStr">
        <is>
          <t>ORD-1049</t>
        </is>
      </c>
      <c r="B53" s="2" t="inlineStr">
        <is>
          <t>2026-02-03</t>
        </is>
      </c>
      <c r="C53" s="2" t="inlineStr">
        <is>
          <t>8102</t>
        </is>
      </c>
      <c r="D53" s="2" t="inlineStr">
        <is>
          <t>8102-WS 8102 (290825)</t>
        </is>
      </c>
      <c r="E53" s="4" t="n">
        <v>26</v>
      </c>
      <c r="G53" s="2" t="inlineStr">
        <is>
          <t>2026-03-06</t>
        </is>
      </c>
      <c r="H53" s="2" t="inlineStr">
        <is>
          <t>MAIZE/CORN</t>
        </is>
      </c>
      <c r="I53" s="4" t="n">
        <v>35.0848</v>
      </c>
      <c r="J53" s="2" t="inlineStr">
        <is>
          <t>122 70mt</t>
        </is>
      </c>
    </row>
    <row r="54">
      <c r="A54" s="2" t="inlineStr">
        <is>
          <t>ORD-1050</t>
        </is>
      </c>
      <c r="B54" s="2" t="inlineStr">
        <is>
          <t>2026-02-05</t>
        </is>
      </c>
      <c r="C54" s="2" t="inlineStr">
        <is>
          <t>8100</t>
        </is>
      </c>
      <c r="D54" s="2" t="inlineStr">
        <is>
          <t>8100-WS 8100 (290825)</t>
        </is>
      </c>
      <c r="E54" s="4" t="n">
        <v>52</v>
      </c>
      <c r="G54" s="2" t="inlineStr">
        <is>
          <t>2026-03-07</t>
        </is>
      </c>
      <c r="H54" s="2" t="inlineStr">
        <is>
          <t>MAIZE/CORN</t>
        </is>
      </c>
      <c r="I54" s="4" t="n">
        <v>35.6224</v>
      </c>
      <c r="J54" s="2" t="inlineStr">
        <is>
          <t>122 4mt, 123 16mt, 1101 14mt, 1102 30mt</t>
        </is>
      </c>
    </row>
    <row r="55">
      <c r="A55" s="2" t="inlineStr">
        <is>
          <t>ORD-1051</t>
        </is>
      </c>
      <c r="B55" s="2" t="inlineStr">
        <is>
          <t>2026-02-05</t>
        </is>
      </c>
      <c r="C55" s="2" t="inlineStr">
        <is>
          <t>8103</t>
        </is>
      </c>
      <c r="D55" s="2" t="inlineStr">
        <is>
          <t>8103-WS 8103 (250226)</t>
        </is>
      </c>
      <c r="E55" s="4" t="n">
        <v>26</v>
      </c>
      <c r="G55" s="2" t="inlineStr">
        <is>
          <t>2026-03-09</t>
        </is>
      </c>
      <c r="H55" s="2" t="inlineStr">
        <is>
          <t>MAIZE/CORN</t>
        </is>
      </c>
      <c r="I55" s="4" t="n">
        <v>65.9084</v>
      </c>
      <c r="J55" s="2" t="inlineStr">
        <is>
          <t>121 20mt, 123 104mt</t>
        </is>
      </c>
    </row>
    <row r="56">
      <c r="A56" s="2" t="inlineStr">
        <is>
          <t>ORD-1052</t>
        </is>
      </c>
      <c r="B56" s="2" t="inlineStr">
        <is>
          <t>2026-02-06</t>
        </is>
      </c>
      <c r="C56" s="2" t="inlineStr">
        <is>
          <t>122</t>
        </is>
      </c>
      <c r="D56" s="2" t="inlineStr">
        <is>
          <t>122-YH 122 (050226)</t>
        </is>
      </c>
      <c r="E56" s="4" t="n">
        <v>70</v>
      </c>
      <c r="G56" s="2" t="inlineStr">
        <is>
          <t>2026-03-10</t>
        </is>
      </c>
      <c r="H56" s="2" t="inlineStr">
        <is>
          <t>MAIZE/CORN</t>
        </is>
      </c>
      <c r="I56" s="4" t="n">
        <v>11.7078</v>
      </c>
      <c r="J56" s="2" t="inlineStr">
        <is>
          <t>1102 20mt</t>
        </is>
      </c>
    </row>
    <row r="57">
      <c r="A57" s="2" t="inlineStr">
        <is>
          <t>ORD-1053</t>
        </is>
      </c>
      <c r="B57" s="2" t="inlineStr">
        <is>
          <t>2026-02-07</t>
        </is>
      </c>
      <c r="C57" s="2" t="inlineStr">
        <is>
          <t>121</t>
        </is>
      </c>
      <c r="D57" s="2" t="inlineStr">
        <is>
          <t>121-YH 121 (050226)</t>
        </is>
      </c>
      <c r="E57" s="4" t="n">
        <v>60</v>
      </c>
      <c r="G57" s="2" t="inlineStr">
        <is>
          <t>2026-03-13</t>
        </is>
      </c>
      <c r="H57" s="2" t="inlineStr">
        <is>
          <t>MAIZE/CORN</t>
        </is>
      </c>
      <c r="I57" s="4" t="n">
        <v>50.1006</v>
      </c>
      <c r="J57" s="2" t="inlineStr">
        <is>
          <t>123 100mt</t>
        </is>
      </c>
    </row>
    <row r="58">
      <c r="A58" s="2" t="inlineStr">
        <is>
          <t>ORD-1054</t>
        </is>
      </c>
      <c r="B58" s="2" t="inlineStr">
        <is>
          <t>2026-02-09</t>
        </is>
      </c>
      <c r="C58" s="2" t="inlineStr">
        <is>
          <t>8102</t>
        </is>
      </c>
      <c r="D58" s="2" t="inlineStr">
        <is>
          <t>8102-WS 8102 (290825)</t>
        </is>
      </c>
      <c r="E58" s="4" t="n">
        <v>120</v>
      </c>
      <c r="G58" s="2" t="inlineStr">
        <is>
          <t>2026-03-14</t>
        </is>
      </c>
      <c r="H58" s="2" t="inlineStr">
        <is>
          <t>MAIZE/CORN</t>
        </is>
      </c>
      <c r="I58" s="4" t="n">
        <v>38.7244</v>
      </c>
      <c r="J58" s="2" t="inlineStr">
        <is>
          <t>121 44mt. 123 30mt</t>
        </is>
      </c>
    </row>
    <row r="59">
      <c r="A59" s="2" t="inlineStr">
        <is>
          <t>ORD-1055</t>
        </is>
      </c>
      <c r="B59" s="2" t="inlineStr">
        <is>
          <t>2026-02-10</t>
        </is>
      </c>
      <c r="C59" s="2" t="inlineStr">
        <is>
          <t>8102</t>
        </is>
      </c>
      <c r="D59" s="2" t="inlineStr">
        <is>
          <t>8102-WS 8102 (290825)</t>
        </is>
      </c>
      <c r="E59" s="4" t="n">
        <v>50</v>
      </c>
      <c r="G59" s="2" t="inlineStr">
        <is>
          <t>2026-03-16</t>
        </is>
      </c>
      <c r="H59" s="2" t="inlineStr">
        <is>
          <t>MAIZE/CORN</t>
        </is>
      </c>
      <c r="I59" s="4" t="n">
        <v>90.0142</v>
      </c>
      <c r="J59" s="2" t="inlineStr">
        <is>
          <t>123 118mt, 1102 46mt</t>
        </is>
      </c>
    </row>
    <row r="60">
      <c r="A60" s="2" t="inlineStr">
        <is>
          <t>ORD-1056</t>
        </is>
      </c>
      <c r="B60" s="2" t="inlineStr">
        <is>
          <t>2026-02-11</t>
        </is>
      </c>
      <c r="C60" s="2" t="inlineStr">
        <is>
          <t>121</t>
        </is>
      </c>
      <c r="D60" s="2" t="inlineStr">
        <is>
          <t>121-YH 121 (050226)</t>
        </is>
      </c>
      <c r="E60" s="4" t="n">
        <v>120</v>
      </c>
      <c r="G60" s="2" t="inlineStr">
        <is>
          <t>2026-03-17</t>
        </is>
      </c>
      <c r="H60" s="2" t="inlineStr">
        <is>
          <t>MAIZE/CORN</t>
        </is>
      </c>
      <c r="I60" s="4" t="n">
        <v>43.06019999999999</v>
      </c>
      <c r="J60" s="2" t="inlineStr">
        <is>
          <t>121 42mt, 1101 40mt</t>
        </is>
      </c>
    </row>
    <row r="61">
      <c r="A61" s="2" t="inlineStr">
        <is>
          <t>ORD-1057</t>
        </is>
      </c>
      <c r="B61" s="2" t="inlineStr">
        <is>
          <t>2026-02-12</t>
        </is>
      </c>
      <c r="C61" s="2" t="inlineStr">
        <is>
          <t>122</t>
        </is>
      </c>
      <c r="D61" s="2" t="inlineStr">
        <is>
          <t>122-YH 122 (050226)</t>
        </is>
      </c>
      <c r="E61" s="4" t="n">
        <v>110</v>
      </c>
      <c r="G61" s="2" t="inlineStr">
        <is>
          <t>2026-03-18</t>
        </is>
      </c>
      <c r="H61" s="2" t="inlineStr">
        <is>
          <t>MAIZE/CORN</t>
        </is>
      </c>
      <c r="I61" s="4" t="n">
        <v>64.8852</v>
      </c>
      <c r="J61" s="2" t="inlineStr">
        <is>
          <t>122 50mt, 1102 68mt</t>
        </is>
      </c>
    </row>
    <row r="62">
      <c r="A62" s="2" t="inlineStr">
        <is>
          <t>ORD-1058</t>
        </is>
      </c>
      <c r="B62" s="2" t="inlineStr">
        <is>
          <t>2026-02-13</t>
        </is>
      </c>
      <c r="C62" s="2" t="inlineStr">
        <is>
          <t>1101C</t>
        </is>
      </c>
      <c r="D62" s="2" t="inlineStr">
        <is>
          <t>1101C-WS 1101 (251124)</t>
        </is>
      </c>
      <c r="E62" s="4" t="n">
        <v>26</v>
      </c>
      <c r="G62" s="2" t="inlineStr">
        <is>
          <t>2026-03-19</t>
        </is>
      </c>
      <c r="H62" s="2" t="inlineStr">
        <is>
          <t>MAIZE/CORN</t>
        </is>
      </c>
      <c r="I62" s="4" t="n">
        <v>10.0202</v>
      </c>
      <c r="J62" s="2" t="inlineStr">
        <is>
          <t>122 20mt</t>
        </is>
      </c>
    </row>
    <row r="63">
      <c r="A63" s="2" t="inlineStr">
        <is>
          <t>ORD-1059</t>
        </is>
      </c>
      <c r="B63" s="2" t="inlineStr">
        <is>
          <t>2026-02-13</t>
        </is>
      </c>
      <c r="C63" s="2" t="inlineStr">
        <is>
          <t>8102</t>
        </is>
      </c>
      <c r="D63" s="2" t="inlineStr">
        <is>
          <t>8102-WS 8102 (290825)</t>
        </is>
      </c>
      <c r="E63" s="4" t="n">
        <v>112</v>
      </c>
      <c r="G63" s="2" t="inlineStr">
        <is>
          <t>2026-03-24</t>
        </is>
      </c>
      <c r="H63" s="2" t="inlineStr">
        <is>
          <t>MAIZE/CORN</t>
        </is>
      </c>
      <c r="I63" s="4" t="n">
        <v>20.0564</v>
      </c>
      <c r="J63" s="2" t="inlineStr">
        <is>
          <t>122 40mt</t>
        </is>
      </c>
    </row>
    <row r="64">
      <c r="A64" s="2" t="inlineStr">
        <is>
          <t>ORD-1060</t>
        </is>
      </c>
      <c r="B64" s="2" t="inlineStr">
        <is>
          <t>2026-02-16</t>
        </is>
      </c>
      <c r="C64" s="2" t="inlineStr">
        <is>
          <t>1101C</t>
        </is>
      </c>
      <c r="D64" s="2" t="inlineStr">
        <is>
          <t>1101C-WS 1101 (251124)</t>
        </is>
      </c>
      <c r="E64" s="4" t="n">
        <v>30</v>
      </c>
      <c r="G64" s="2" t="inlineStr">
        <is>
          <t>2026-03-25</t>
        </is>
      </c>
      <c r="H64" s="2" t="inlineStr">
        <is>
          <t>MAIZE/CORN</t>
        </is>
      </c>
      <c r="I64" s="4" t="n">
        <v>75.60239999999999</v>
      </c>
      <c r="J64" s="2" t="inlineStr">
        <is>
          <t>123 10mt, 1102 120mt</t>
        </is>
      </c>
    </row>
    <row r="65">
      <c r="A65" s="2" t="inlineStr">
        <is>
          <t>ORD-1061</t>
        </is>
      </c>
      <c r="B65" s="2" t="inlineStr">
        <is>
          <t>2026-02-19</t>
        </is>
      </c>
      <c r="C65" s="2" t="inlineStr">
        <is>
          <t>8102</t>
        </is>
      </c>
      <c r="D65" s="2" t="inlineStr">
        <is>
          <t>8102-WS 8102 (290825)</t>
        </is>
      </c>
      <c r="E65" s="4" t="n">
        <v>54</v>
      </c>
      <c r="G65" s="2" t="inlineStr">
        <is>
          <t>2026-03-26</t>
        </is>
      </c>
      <c r="H65" s="2" t="inlineStr">
        <is>
          <t>MAIZE/CORN</t>
        </is>
      </c>
      <c r="I65" s="4" t="n">
        <v>26.2658</v>
      </c>
      <c r="J65" s="2" t="inlineStr">
        <is>
          <t>121 24mt, 123 10mt, 1101 16mt</t>
        </is>
      </c>
    </row>
    <row r="66">
      <c r="A66" s="2" t="inlineStr">
        <is>
          <t>ORD-1062</t>
        </is>
      </c>
      <c r="B66" s="2" t="inlineStr">
        <is>
          <t>2026-02-19</t>
        </is>
      </c>
      <c r="C66" s="2" t="inlineStr">
        <is>
          <t>122</t>
        </is>
      </c>
      <c r="D66" s="2" t="inlineStr">
        <is>
          <t>122-YH 122 (050226)</t>
        </is>
      </c>
      <c r="E66" s="4" t="n">
        <v>78</v>
      </c>
      <c r="G66" s="2" t="inlineStr">
        <is>
          <t>2026-03-27</t>
        </is>
      </c>
      <c r="H66" s="2" t="inlineStr">
        <is>
          <t>MAIZE/CORN</t>
        </is>
      </c>
      <c r="I66" s="4" t="n">
        <v>42.4372</v>
      </c>
      <c r="J66" s="2" t="inlineStr">
        <is>
          <t>122 10mt, 123 70mt</t>
        </is>
      </c>
    </row>
    <row r="67">
      <c r="A67" s="2" t="inlineStr">
        <is>
          <t>ORD-1063</t>
        </is>
      </c>
      <c r="B67" s="2" t="inlineStr">
        <is>
          <t>2026-02-20</t>
        </is>
      </c>
      <c r="C67" s="2" t="inlineStr">
        <is>
          <t>123</t>
        </is>
      </c>
      <c r="D67" s="2" t="inlineStr">
        <is>
          <t>123-YH 123 (050226)</t>
        </is>
      </c>
      <c r="E67" s="4" t="n">
        <v>80</v>
      </c>
      <c r="G67" s="2" t="inlineStr">
        <is>
          <t>2026-03-28</t>
        </is>
      </c>
      <c r="H67" s="2" t="inlineStr">
        <is>
          <t>MAIZE/CORN</t>
        </is>
      </c>
      <c r="I67" s="4" t="n">
        <v>33.5204</v>
      </c>
      <c r="J67" s="2" t="inlineStr">
        <is>
          <t>121 30mt, 122 36mt</t>
        </is>
      </c>
    </row>
    <row r="68">
      <c r="A68" s="2" t="inlineStr">
        <is>
          <t>ORD-1064</t>
        </is>
      </c>
      <c r="B68" s="2" t="inlineStr">
        <is>
          <t>2026-02-21</t>
        </is>
      </c>
      <c r="C68" s="2" t="inlineStr">
        <is>
          <t>1101C</t>
        </is>
      </c>
      <c r="D68" s="2" t="inlineStr">
        <is>
          <t>1101C-WS 1101 (251124)</t>
        </is>
      </c>
      <c r="E68" s="4" t="n">
        <v>26</v>
      </c>
      <c r="G68" s="2" t="inlineStr">
        <is>
          <t>2026-03-29</t>
        </is>
      </c>
      <c r="H68" s="2" t="inlineStr">
        <is>
          <t>MAIZE/CORN</t>
        </is>
      </c>
      <c r="I68" s="4" t="n">
        <v>10.147</v>
      </c>
      <c r="J68" s="2" t="inlineStr">
        <is>
          <t>MILL-RUN-01</t>
        </is>
      </c>
    </row>
    <row r="69">
      <c r="A69" s="2" t="inlineStr">
        <is>
          <t>ORD-1065</t>
        </is>
      </c>
      <c r="B69" s="2" t="inlineStr">
        <is>
          <t>2026-02-21</t>
        </is>
      </c>
      <c r="C69" s="2" t="inlineStr">
        <is>
          <t>122</t>
        </is>
      </c>
      <c r="D69" s="2" t="inlineStr">
        <is>
          <t>122-YH 122 (050226)</t>
        </is>
      </c>
      <c r="E69" s="4" t="n">
        <v>50</v>
      </c>
      <c r="G69" s="2" t="inlineStr">
        <is>
          <t>2026-03-30</t>
        </is>
      </c>
      <c r="H69" s="2" t="inlineStr">
        <is>
          <t>MAIZE/CORN</t>
        </is>
      </c>
      <c r="I69" s="4" t="n">
        <v>48.4682</v>
      </c>
      <c r="J69" s="2" t="inlineStr">
        <is>
          <t>1101 46mt, 1103 38mt</t>
        </is>
      </c>
    </row>
    <row r="70">
      <c r="A70" s="2" t="inlineStr">
        <is>
          <t>ORD-1066</t>
        </is>
      </c>
      <c r="B70" s="2" t="inlineStr">
        <is>
          <t>2026-02-23</t>
        </is>
      </c>
      <c r="C70" s="2" t="inlineStr">
        <is>
          <t>8102</t>
        </is>
      </c>
      <c r="D70" s="2" t="inlineStr">
        <is>
          <t>8102-WS 8102 (290825)</t>
        </is>
      </c>
      <c r="E70" s="4" t="n">
        <v>26</v>
      </c>
      <c r="G70" s="2" t="inlineStr">
        <is>
          <t>2026-03-31</t>
        </is>
      </c>
      <c r="H70" s="2" t="inlineStr">
        <is>
          <t>MAIZE/CORN</t>
        </is>
      </c>
      <c r="I70" s="4" t="n">
        <v>29.2726</v>
      </c>
      <c r="J70" s="2" t="inlineStr">
        <is>
          <t>1102 50mt</t>
        </is>
      </c>
    </row>
    <row r="71">
      <c r="A71" s="2" t="inlineStr">
        <is>
          <t>ORD-1067</t>
        </is>
      </c>
      <c r="B71" s="2" t="inlineStr">
        <is>
          <t>2026-02-24</t>
        </is>
      </c>
      <c r="C71" s="2" t="inlineStr">
        <is>
          <t>123</t>
        </is>
      </c>
      <c r="D71" s="2" t="inlineStr">
        <is>
          <t>123-YH 123 (050226)</t>
        </is>
      </c>
      <c r="E71" s="4" t="n">
        <v>76</v>
      </c>
      <c r="G71" s="2" t="inlineStr">
        <is>
          <t>2026-04-01</t>
        </is>
      </c>
      <c r="H71" s="2" t="inlineStr">
        <is>
          <t>MAIZE/CORN</t>
        </is>
      </c>
      <c r="I71" s="4" t="n">
        <v>10.3112</v>
      </c>
      <c r="J71" s="2" t="inlineStr">
        <is>
          <t>121 20mt</t>
        </is>
      </c>
    </row>
    <row r="72">
      <c r="A72" s="2" t="inlineStr">
        <is>
          <t>ORD-1068</t>
        </is>
      </c>
      <c r="B72" s="2" t="inlineStr">
        <is>
          <t>2026-02-25</t>
        </is>
      </c>
      <c r="C72" s="2" t="inlineStr">
        <is>
          <t>1101C</t>
        </is>
      </c>
      <c r="D72" s="2" t="inlineStr">
        <is>
          <t>1101C-WS 1101 (251124)</t>
        </is>
      </c>
      <c r="E72" s="4" t="n">
        <v>14</v>
      </c>
      <c r="G72" s="2" t="inlineStr">
        <is>
          <t>2026-04-03</t>
        </is>
      </c>
      <c r="H72" s="2" t="inlineStr">
        <is>
          <t>MAIZE/CORN</t>
        </is>
      </c>
      <c r="I72" s="4" t="n">
        <v>65.76739999999999</v>
      </c>
      <c r="J72" s="2" t="inlineStr">
        <is>
          <t>122 20mt, 122 30mt, 1101 76mt</t>
        </is>
      </c>
    </row>
    <row r="73">
      <c r="A73" s="2" t="inlineStr">
        <is>
          <t>ORD-1069</t>
        </is>
      </c>
      <c r="B73" s="2" t="inlineStr">
        <is>
          <t>2026-02-25</t>
        </is>
      </c>
      <c r="C73" s="2" t="inlineStr">
        <is>
          <t>122</t>
        </is>
      </c>
      <c r="D73" s="2" t="inlineStr">
        <is>
          <t>122-YH 122 (050226)</t>
        </is>
      </c>
      <c r="E73" s="4" t="n">
        <v>18</v>
      </c>
      <c r="G73" s="2" t="inlineStr">
        <is>
          <t>2026-04-06</t>
        </is>
      </c>
      <c r="H73" s="2" t="inlineStr">
        <is>
          <t>MAIZE/CORN</t>
        </is>
      </c>
      <c r="I73" s="4" t="n">
        <v>50.934</v>
      </c>
      <c r="J73" s="2" t="inlineStr">
        <is>
          <t>121 16mt, 121 32mt, 121 2mt, 122 50mt</t>
        </is>
      </c>
    </row>
    <row r="74">
      <c r="A74" s="2" t="inlineStr">
        <is>
          <t>ORD-1070</t>
        </is>
      </c>
      <c r="B74" s="2" t="inlineStr">
        <is>
          <t>2026-02-26</t>
        </is>
      </c>
      <c r="C74" s="2" t="inlineStr">
        <is>
          <t>122</t>
        </is>
      </c>
      <c r="D74" s="2" t="inlineStr">
        <is>
          <t>122-YH 122 (050226)</t>
        </is>
      </c>
      <c r="E74" s="4" t="n">
        <v>26</v>
      </c>
      <c r="G74" s="2" t="inlineStr">
        <is>
          <t>2026-04-07</t>
        </is>
      </c>
      <c r="H74" s="2" t="inlineStr">
        <is>
          <t>MAIZE/CORN</t>
        </is>
      </c>
      <c r="I74" s="4" t="n">
        <v>6.4108</v>
      </c>
      <c r="J74" s="2" t="inlineStr">
        <is>
          <t>123 12mt</t>
        </is>
      </c>
    </row>
    <row r="75">
      <c r="A75" s="2" t="inlineStr">
        <is>
          <t>ORD-1071</t>
        </is>
      </c>
      <c r="B75" s="2" t="inlineStr">
        <is>
          <t>2026-02-27</t>
        </is>
      </c>
      <c r="C75" s="2" t="inlineStr">
        <is>
          <t>1101C</t>
        </is>
      </c>
      <c r="D75" s="2" t="inlineStr">
        <is>
          <t>1101C-WS 1101 (251124)</t>
        </is>
      </c>
      <c r="E75" s="4" t="n">
        <v>50</v>
      </c>
      <c r="G75" s="2" t="inlineStr">
        <is>
          <t>2026-04-08</t>
        </is>
      </c>
      <c r="H75" s="2" t="inlineStr">
        <is>
          <t>MAIZE/CORN</t>
        </is>
      </c>
      <c r="I75" s="4" t="n">
        <v>35.15580000000001</v>
      </c>
      <c r="J75" s="2" t="inlineStr">
        <is>
          <t>122 70mt</t>
        </is>
      </c>
    </row>
    <row r="76">
      <c r="A76" s="2" t="inlineStr">
        <is>
          <t>ORD-1072</t>
        </is>
      </c>
      <c r="B76" s="2" t="inlineStr">
        <is>
          <t>2026-03-02</t>
        </is>
      </c>
      <c r="C76" s="2" t="inlineStr">
        <is>
          <t>122</t>
        </is>
      </c>
      <c r="D76" s="2" t="inlineStr">
        <is>
          <t>122-YH 122 (050226)</t>
        </is>
      </c>
      <c r="E76" s="4" t="n">
        <v>20</v>
      </c>
      <c r="G76" s="2" t="inlineStr">
        <is>
          <t>2026-04-09</t>
        </is>
      </c>
      <c r="H76" s="2" t="inlineStr">
        <is>
          <t>MAIZE/CORN</t>
        </is>
      </c>
      <c r="I76" s="4" t="n">
        <v>15.0656</v>
      </c>
      <c r="J76" s="2" t="inlineStr">
        <is>
          <t>122 30mt</t>
        </is>
      </c>
    </row>
    <row r="77">
      <c r="A77" s="2" t="inlineStr">
        <is>
          <t>ORD-1073</t>
        </is>
      </c>
      <c r="B77" s="2" t="inlineStr">
        <is>
          <t>2026-03-02</t>
        </is>
      </c>
      <c r="C77" s="2" t="inlineStr">
        <is>
          <t>123</t>
        </is>
      </c>
      <c r="D77" s="2" t="inlineStr">
        <is>
          <t>123-YH 123 (050226)</t>
        </is>
      </c>
      <c r="E77" s="4" t="n">
        <v>60</v>
      </c>
      <c r="G77" s="2" t="inlineStr">
        <is>
          <t>2026-04-10</t>
        </is>
      </c>
      <c r="H77" s="2" t="inlineStr">
        <is>
          <t>MAIZE/CORN</t>
        </is>
      </c>
      <c r="I77" s="4" t="n">
        <v>13.9344</v>
      </c>
      <c r="J77" s="2" t="inlineStr">
        <is>
          <t>123 26mt</t>
        </is>
      </c>
    </row>
    <row r="78">
      <c r="A78" s="2" t="inlineStr">
        <is>
          <t>ORD-1074</t>
        </is>
      </c>
      <c r="B78" s="2" t="inlineStr">
        <is>
          <t>2026-03-03</t>
        </is>
      </c>
      <c r="C78" s="2" t="inlineStr">
        <is>
          <t>122</t>
        </is>
      </c>
      <c r="D78" s="2" t="inlineStr">
        <is>
          <t>122-YH 122 (050226)</t>
        </is>
      </c>
      <c r="E78" s="4" t="n">
        <v>78</v>
      </c>
      <c r="G78" s="2" t="inlineStr">
        <is>
          <t>2026-04-11</t>
        </is>
      </c>
      <c r="H78" s="2" t="inlineStr">
        <is>
          <t>MAIZE/CORN</t>
        </is>
      </c>
      <c r="I78" s="4" t="n">
        <v>39.3262</v>
      </c>
      <c r="J78" s="2" t="inlineStr">
        <is>
          <t>122 20mt, 1102 50mt</t>
        </is>
      </c>
    </row>
    <row r="79">
      <c r="A79" s="2" t="inlineStr">
        <is>
          <t>ORD-1075</t>
        </is>
      </c>
      <c r="B79" s="2" t="inlineStr">
        <is>
          <t>2026-03-03</t>
        </is>
      </c>
      <c r="C79" s="2" t="inlineStr">
        <is>
          <t>123</t>
        </is>
      </c>
      <c r="D79" s="2" t="inlineStr">
        <is>
          <t>123-YH 123 (050226)</t>
        </is>
      </c>
      <c r="E79" s="4" t="n">
        <v>40</v>
      </c>
      <c r="G79" s="2" t="inlineStr">
        <is>
          <t>2026-04-13</t>
        </is>
      </c>
      <c r="H79" s="2" t="inlineStr">
        <is>
          <t>MAIZE/CORN</t>
        </is>
      </c>
      <c r="I79" s="4" t="n">
        <v>15.0714</v>
      </c>
      <c r="J79" s="2" t="inlineStr">
        <is>
          <t>122 30mt</t>
        </is>
      </c>
    </row>
    <row r="80">
      <c r="A80" s="2" t="inlineStr">
        <is>
          <t>ORD-1076</t>
        </is>
      </c>
      <c r="B80" s="2" t="inlineStr">
        <is>
          <t>2026-03-04</t>
        </is>
      </c>
      <c r="C80" s="2" t="inlineStr">
        <is>
          <t>123</t>
        </is>
      </c>
      <c r="D80" s="2" t="inlineStr">
        <is>
          <t>123-YH 123 (050226)</t>
        </is>
      </c>
      <c r="E80" s="4" t="n">
        <v>82</v>
      </c>
      <c r="G80" s="2" t="inlineStr">
        <is>
          <t>2026-04-14</t>
        </is>
      </c>
      <c r="H80" s="2" t="inlineStr">
        <is>
          <t>MAIZE/CORN</t>
        </is>
      </c>
      <c r="I80" s="4" t="n">
        <v>65.81060000000001</v>
      </c>
      <c r="J80" s="2" t="inlineStr">
        <is>
          <t>121 30mt, 122 100mt</t>
        </is>
      </c>
    </row>
    <row r="81">
      <c r="A81" s="2" t="inlineStr">
        <is>
          <t>ORD-1077</t>
        </is>
      </c>
      <c r="B81" s="2" t="inlineStr">
        <is>
          <t>2026-03-05</t>
        </is>
      </c>
      <c r="C81" s="2" t="inlineStr">
        <is>
          <t>1101C</t>
        </is>
      </c>
      <c r="D81" s="2" t="inlineStr">
        <is>
          <t>1101C-WS 1101 (251124)</t>
        </is>
      </c>
      <c r="E81" s="4" t="n">
        <v>16</v>
      </c>
      <c r="G81" s="2" t="inlineStr">
        <is>
          <t>2026-04-15</t>
        </is>
      </c>
      <c r="H81" s="2" t="inlineStr">
        <is>
          <t>MAIZE/CORN</t>
        </is>
      </c>
      <c r="I81" s="4" t="n">
        <v>20.35</v>
      </c>
      <c r="J81" s="2" t="inlineStr">
        <is>
          <t>123 38mt</t>
        </is>
      </c>
    </row>
    <row r="82">
      <c r="A82" s="2" t="inlineStr">
        <is>
          <t>ORD-1078</t>
        </is>
      </c>
      <c r="B82" s="2" t="inlineStr">
        <is>
          <t>2026-03-06</t>
        </is>
      </c>
      <c r="C82" s="2" t="inlineStr">
        <is>
          <t>122</t>
        </is>
      </c>
      <c r="D82" s="2" t="inlineStr">
        <is>
          <t>122-YH 122 (050226)</t>
        </is>
      </c>
      <c r="E82" s="4" t="n">
        <v>70</v>
      </c>
      <c r="G82" s="2" t="inlineStr">
        <is>
          <t>2026-04-16</t>
        </is>
      </c>
      <c r="H82" s="2" t="inlineStr">
        <is>
          <t>MAIZE/CORN</t>
        </is>
      </c>
      <c r="I82" s="4" t="n">
        <v>30.1374</v>
      </c>
      <c r="J82" s="2" t="inlineStr">
        <is>
          <t>122 60mt</t>
        </is>
      </c>
    </row>
    <row r="83">
      <c r="A83" s="2" t="inlineStr">
        <is>
          <t>ORD-1079</t>
        </is>
      </c>
      <c r="B83" s="2" t="inlineStr">
        <is>
          <t>2026-03-07</t>
        </is>
      </c>
      <c r="C83" s="2" t="inlineStr">
        <is>
          <t>1101C</t>
        </is>
      </c>
      <c r="D83" s="2" t="inlineStr">
        <is>
          <t>1101C-WS 1101 (251124)</t>
        </is>
      </c>
      <c r="E83" s="4" t="n">
        <v>14</v>
      </c>
      <c r="G83" s="2" t="inlineStr">
        <is>
          <t>2026-04-17</t>
        </is>
      </c>
      <c r="H83" s="2" t="inlineStr">
        <is>
          <t>MAIZE/CORN</t>
        </is>
      </c>
      <c r="I83" s="4" t="n">
        <v>36.98119999999999</v>
      </c>
      <c r="J83" s="2" t="inlineStr">
        <is>
          <t>122 20mt, 1102 46mt</t>
        </is>
      </c>
    </row>
    <row r="84">
      <c r="A84" s="2" t="inlineStr">
        <is>
          <t>ORD-1080</t>
        </is>
      </c>
      <c r="B84" s="2" t="inlineStr">
        <is>
          <t>2026-03-07</t>
        </is>
      </c>
      <c r="C84" s="2" t="inlineStr">
        <is>
          <t>1102C/P</t>
        </is>
      </c>
      <c r="D84" s="2" t="inlineStr">
        <is>
          <t>1102C/P-WS 1102 (290825)</t>
        </is>
      </c>
      <c r="E84" s="4" t="n">
        <v>30</v>
      </c>
      <c r="G84" s="2" t="inlineStr">
        <is>
          <t>2026-04-18</t>
        </is>
      </c>
      <c r="H84" s="2" t="inlineStr">
        <is>
          <t>MAIZE/CORN</t>
        </is>
      </c>
      <c r="I84" s="4" t="n">
        <v>29.9854</v>
      </c>
      <c r="J84" s="2" t="inlineStr">
        <is>
          <t>123 56mt</t>
        </is>
      </c>
    </row>
    <row r="85">
      <c r="A85" s="2" t="inlineStr">
        <is>
          <t>ORD-1081</t>
        </is>
      </c>
      <c r="B85" s="2" t="inlineStr">
        <is>
          <t>2026-03-07</t>
        </is>
      </c>
      <c r="C85" s="2" t="inlineStr">
        <is>
          <t>122</t>
        </is>
      </c>
      <c r="D85" s="2" t="inlineStr">
        <is>
          <t>122-YH 122 (050226)</t>
        </is>
      </c>
      <c r="E85" s="4" t="n">
        <v>4</v>
      </c>
      <c r="G85" s="2" t="inlineStr">
        <is>
          <t>2026-04-20</t>
        </is>
      </c>
      <c r="H85" s="2" t="inlineStr">
        <is>
          <t>MAIZE/CORN</t>
        </is>
      </c>
      <c r="I85" s="4" t="n">
        <v>48.8254</v>
      </c>
      <c r="J85" s="2" t="inlineStr">
        <is>
          <t>121 20mt, 122 30mt, 1102 40mt</t>
        </is>
      </c>
    </row>
    <row r="86">
      <c r="A86" s="2" t="inlineStr">
        <is>
          <t>ORD-1082</t>
        </is>
      </c>
      <c r="B86" s="2" t="inlineStr">
        <is>
          <t>2026-03-07</t>
        </is>
      </c>
      <c r="C86" s="2" t="inlineStr">
        <is>
          <t>123</t>
        </is>
      </c>
      <c r="D86" s="2" t="inlineStr">
        <is>
          <t>123-YH 123 (050226)</t>
        </is>
      </c>
      <c r="E86" s="4" t="n">
        <v>16</v>
      </c>
      <c r="G86" s="2" t="inlineStr">
        <is>
          <t>2026-04-21</t>
        </is>
      </c>
      <c r="H86" s="2" t="inlineStr">
        <is>
          <t>MAIZE/CORN</t>
        </is>
      </c>
      <c r="I86" s="4" t="n">
        <v>50.2024</v>
      </c>
      <c r="J86" s="2" t="inlineStr">
        <is>
          <t>122 30mt, 1102 60mt</t>
        </is>
      </c>
    </row>
    <row r="87">
      <c r="A87" s="2" t="inlineStr">
        <is>
          <t>ORD-1083</t>
        </is>
      </c>
      <c r="B87" s="2" t="inlineStr">
        <is>
          <t>2026-03-09</t>
        </is>
      </c>
      <c r="C87" s="2" t="inlineStr">
        <is>
          <t>121</t>
        </is>
      </c>
      <c r="D87" s="2" t="inlineStr">
        <is>
          <t>121-YH 121 (050226)</t>
        </is>
      </c>
      <c r="E87" s="4" t="n">
        <v>20</v>
      </c>
      <c r="G87" s="2" t="inlineStr">
        <is>
          <t>2026-04-23</t>
        </is>
      </c>
      <c r="H87" s="2" t="inlineStr">
        <is>
          <t>MAIZE/CORN</t>
        </is>
      </c>
      <c r="I87" s="4" t="n">
        <v>58.72819999999999</v>
      </c>
      <c r="J87" s="2" t="inlineStr">
        <is>
          <t>122 24mt, 122 16mt, 1102 66mt</t>
        </is>
      </c>
    </row>
    <row r="88">
      <c r="A88" s="2" t="inlineStr">
        <is>
          <t>ORD-1084</t>
        </is>
      </c>
      <c r="B88" s="2" t="inlineStr">
        <is>
          <t>2026-03-09</t>
        </is>
      </c>
      <c r="C88" s="2" t="inlineStr">
        <is>
          <t>123</t>
        </is>
      </c>
      <c r="D88" s="2" t="inlineStr">
        <is>
          <t>123-YH 123 (050226)</t>
        </is>
      </c>
      <c r="E88" s="4" t="n">
        <v>104</v>
      </c>
      <c r="G88" s="2" t="inlineStr">
        <is>
          <t>2026-04-24</t>
        </is>
      </c>
      <c r="H88" s="2" t="inlineStr">
        <is>
          <t>MAIZE/CORN</t>
        </is>
      </c>
      <c r="I88" s="4" t="n">
        <v>36.3978</v>
      </c>
      <c r="J88" s="2" t="inlineStr">
        <is>
          <t>1103 58mt</t>
        </is>
      </c>
    </row>
    <row r="89">
      <c r="A89" s="2" t="inlineStr">
        <is>
          <t>ORD-1085</t>
        </is>
      </c>
      <c r="B89" s="2" t="inlineStr">
        <is>
          <t>2026-03-10</t>
        </is>
      </c>
      <c r="C89" s="2" t="inlineStr">
        <is>
          <t>1102C/P</t>
        </is>
      </c>
      <c r="D89" s="2" t="inlineStr">
        <is>
          <t>1102C/P-WS 1102 (290825)</t>
        </is>
      </c>
      <c r="E89" s="4" t="n">
        <v>20</v>
      </c>
      <c r="G89" s="2" t="inlineStr">
        <is>
          <t>2026-04-25</t>
        </is>
      </c>
      <c r="H89" s="2" t="inlineStr">
        <is>
          <t>MAIZE/CORN</t>
        </is>
      </c>
      <c r="I89" s="4" t="n">
        <v>52.7704</v>
      </c>
      <c r="J89" s="2" t="inlineStr">
        <is>
          <t>122 40mt, 123 40mt, 1103 18mt</t>
        </is>
      </c>
    </row>
    <row r="90">
      <c r="A90" s="2" t="inlineStr">
        <is>
          <t>ORD-1086</t>
        </is>
      </c>
      <c r="B90" s="2" t="inlineStr">
        <is>
          <t>2026-03-13</t>
        </is>
      </c>
      <c r="C90" s="2" t="inlineStr">
        <is>
          <t>123</t>
        </is>
      </c>
      <c r="D90" s="2" t="inlineStr">
        <is>
          <t>123-YH 123 (130326)</t>
        </is>
      </c>
      <c r="E90" s="4" t="n">
        <v>100</v>
      </c>
      <c r="G90" s="2" t="inlineStr">
        <is>
          <t>2026-04-27</t>
        </is>
      </c>
      <c r="H90" s="2" t="inlineStr">
        <is>
          <t>MAIZE/CORN</t>
        </is>
      </c>
      <c r="I90" s="4" t="n">
        <v>86.6786</v>
      </c>
      <c r="J90" s="2" t="inlineStr">
        <is>
          <t>1102 90mt, 8100 18mt, 8102 48mt</t>
        </is>
      </c>
    </row>
    <row r="91">
      <c r="A91" s="2" t="inlineStr">
        <is>
          <t>ORD-1087</t>
        </is>
      </c>
      <c r="B91" s="2" t="inlineStr">
        <is>
          <t>2026-03-14</t>
        </is>
      </c>
      <c r="C91" s="2" t="inlineStr">
        <is>
          <t>121</t>
        </is>
      </c>
      <c r="D91" s="2" t="inlineStr">
        <is>
          <t>121-YH 121 (050226)</t>
        </is>
      </c>
      <c r="E91" s="4" t="n">
        <v>44</v>
      </c>
      <c r="G91" s="2" t="inlineStr">
        <is>
          <t>2026-04-28</t>
        </is>
      </c>
      <c r="H91" s="2" t="inlineStr">
        <is>
          <t>MAIZE/CORN</t>
        </is>
      </c>
      <c r="I91" s="4" t="n">
        <v>20.745</v>
      </c>
      <c r="J91" s="2" t="inlineStr">
        <is>
          <t>122 20mt, 123 20mt</t>
        </is>
      </c>
    </row>
    <row r="92">
      <c r="A92" s="2" t="inlineStr">
        <is>
          <t>ORD-1088</t>
        </is>
      </c>
      <c r="B92" s="2" t="inlineStr">
        <is>
          <t>2026-03-14</t>
        </is>
      </c>
      <c r="C92" s="2" t="inlineStr">
        <is>
          <t>123</t>
        </is>
      </c>
      <c r="D92" s="2" t="inlineStr">
        <is>
          <t>123-YH 123 (050226)</t>
        </is>
      </c>
      <c r="E92" s="4" t="n">
        <v>30</v>
      </c>
      <c r="G92" s="2" t="inlineStr">
        <is>
          <t>2026-04-30</t>
        </is>
      </c>
      <c r="H92" s="2" t="inlineStr">
        <is>
          <t>MAIZE/CORN</t>
        </is>
      </c>
      <c r="I92" s="4" t="n">
        <v>10.7724</v>
      </c>
      <c r="J92" s="2" t="inlineStr">
        <is>
          <t>8100 20mt</t>
        </is>
      </c>
    </row>
    <row r="93">
      <c r="A93" s="2" t="inlineStr">
        <is>
          <t>ORD-1089</t>
        </is>
      </c>
      <c r="B93" s="2" t="inlineStr">
        <is>
          <t>2026-03-16</t>
        </is>
      </c>
      <c r="C93" s="2" t="inlineStr">
        <is>
          <t>1102C/P</t>
        </is>
      </c>
      <c r="D93" s="2" t="inlineStr">
        <is>
          <t>1102C/P-WS 1102 (290825)</t>
        </is>
      </c>
      <c r="E93" s="4" t="n">
        <v>46</v>
      </c>
      <c r="G93" s="2" t="inlineStr">
        <is>
          <t>2026-05-02</t>
        </is>
      </c>
      <c r="H93" s="2" t="inlineStr">
        <is>
          <t>MAIZE/CORN</t>
        </is>
      </c>
      <c r="I93" s="4" t="n">
        <v>40.512</v>
      </c>
      <c r="J93" s="2" t="inlineStr">
        <is>
          <t>8102 80mt</t>
        </is>
      </c>
    </row>
    <row r="94">
      <c r="A94" s="2" t="inlineStr">
        <is>
          <t>ORD-1090</t>
        </is>
      </c>
      <c r="B94" s="2" t="inlineStr">
        <is>
          <t>2026-03-16</t>
        </is>
      </c>
      <c r="C94" s="2" t="inlineStr">
        <is>
          <t>123</t>
        </is>
      </c>
      <c r="D94" s="2" t="inlineStr">
        <is>
          <t>123-YH 123 (050226)</t>
        </is>
      </c>
      <c r="E94" s="4" t="n">
        <v>118</v>
      </c>
      <c r="G94" s="2" t="inlineStr">
        <is>
          <t>2026-05-04</t>
        </is>
      </c>
      <c r="H94" s="2" t="inlineStr">
        <is>
          <t>MAIZE/CORN</t>
        </is>
      </c>
      <c r="I94" s="4" t="n">
        <v>58.1588</v>
      </c>
      <c r="J94" s="2" t="inlineStr">
        <is>
          <t>123 50mt, 1103 50mt</t>
        </is>
      </c>
    </row>
    <row r="95">
      <c r="A95" s="2" t="inlineStr">
        <is>
          <t>ORD-1091</t>
        </is>
      </c>
      <c r="B95" s="2" t="inlineStr">
        <is>
          <t>2026-03-17</t>
        </is>
      </c>
      <c r="C95" s="2" t="inlineStr">
        <is>
          <t>1101C</t>
        </is>
      </c>
      <c r="D95" s="2" t="inlineStr">
        <is>
          <t>1101C-WS 1101 (251124)</t>
        </is>
      </c>
      <c r="E95" s="4" t="n">
        <v>40</v>
      </c>
      <c r="G95" s="2" t="inlineStr">
        <is>
          <t>2026-05-06</t>
        </is>
      </c>
      <c r="H95" s="2" t="inlineStr">
        <is>
          <t>MAIZE/CORN</t>
        </is>
      </c>
      <c r="I95" s="4" t="n">
        <v>19.2434</v>
      </c>
      <c r="J95" s="2" t="inlineStr">
        <is>
          <t>8102 38mt</t>
        </is>
      </c>
    </row>
    <row r="96">
      <c r="A96" s="2" t="inlineStr">
        <is>
          <t>ORD-1092</t>
        </is>
      </c>
      <c r="B96" s="2" t="inlineStr">
        <is>
          <t>2026-03-17</t>
        </is>
      </c>
      <c r="C96" s="2" t="inlineStr">
        <is>
          <t>121</t>
        </is>
      </c>
      <c r="D96" s="2" t="inlineStr">
        <is>
          <t>121-YH 121 (050226)</t>
        </is>
      </c>
      <c r="E96" s="4" t="n">
        <v>42</v>
      </c>
      <c r="G96" s="2" t="inlineStr">
        <is>
          <t>2026-05-07</t>
        </is>
      </c>
      <c r="H96" s="2" t="inlineStr">
        <is>
          <t>MAIZE/CORN</t>
        </is>
      </c>
      <c r="I96" s="4" t="n">
        <v>45.6126</v>
      </c>
      <c r="J96" s="2" t="inlineStr">
        <is>
          <t>8102 82mt</t>
        </is>
      </c>
    </row>
    <row r="97">
      <c r="A97" s="2" t="inlineStr">
        <is>
          <t>ORD-1093</t>
        </is>
      </c>
      <c r="B97" s="2" t="inlineStr">
        <is>
          <t>2026-03-18</t>
        </is>
      </c>
      <c r="C97" s="2" t="inlineStr">
        <is>
          <t>1102C/P</t>
        </is>
      </c>
      <c r="D97" s="2" t="inlineStr">
        <is>
          <t>1102C/P-WS 1102 (290825)</t>
        </is>
      </c>
      <c r="E97" s="4" t="n">
        <v>68</v>
      </c>
      <c r="G97" s="2" t="inlineStr">
        <is>
          <t>2026-05-08</t>
        </is>
      </c>
      <c r="H97" s="2" t="inlineStr">
        <is>
          <t>MAIZE/CORN</t>
        </is>
      </c>
      <c r="I97" s="4" t="n">
        <v>40.0132</v>
      </c>
      <c r="J97" s="2" t="inlineStr">
        <is>
          <t>8102 18mt, 20mt, 32mt, 2mt</t>
        </is>
      </c>
    </row>
    <row r="98">
      <c r="A98" s="2" t="inlineStr">
        <is>
          <t>ORD-1094</t>
        </is>
      </c>
      <c r="B98" s="2" t="inlineStr">
        <is>
          <t>2026-03-18</t>
        </is>
      </c>
      <c r="C98" s="2" t="inlineStr">
        <is>
          <t>122</t>
        </is>
      </c>
      <c r="D98" s="2" t="inlineStr">
        <is>
          <t>122-YH 122 (050226)</t>
        </is>
      </c>
      <c r="E98" s="4" t="n">
        <v>50</v>
      </c>
      <c r="G98" s="2" t="inlineStr">
        <is>
          <t>2026-05-09</t>
        </is>
      </c>
      <c r="H98" s="2" t="inlineStr">
        <is>
          <t>MAIZE/CORN</t>
        </is>
      </c>
      <c r="I98" s="4" t="n">
        <v>5.3884</v>
      </c>
      <c r="J98" s="2" t="inlineStr">
        <is>
          <t>8100 10mt</t>
        </is>
      </c>
    </row>
    <row r="99">
      <c r="A99" s="2" t="inlineStr">
        <is>
          <t>ORD-1095</t>
        </is>
      </c>
      <c r="B99" s="2" t="inlineStr">
        <is>
          <t>2026-03-19</t>
        </is>
      </c>
      <c r="C99" s="2" t="inlineStr">
        <is>
          <t>122</t>
        </is>
      </c>
      <c r="D99" s="2" t="inlineStr">
        <is>
          <t>122-YH 122 (050226)</t>
        </is>
      </c>
      <c r="E99" s="4" t="n">
        <v>20</v>
      </c>
      <c r="G99" s="2" t="inlineStr">
        <is>
          <t>2026-05-11</t>
        </is>
      </c>
      <c r="H99" s="2" t="inlineStr">
        <is>
          <t>MAIZE/CORN</t>
        </is>
      </c>
      <c r="I99" s="4" t="n">
        <v>38.943</v>
      </c>
      <c r="J99" s="2" t="inlineStr">
        <is>
          <t>8102 20mt, 50mt</t>
        </is>
      </c>
    </row>
    <row r="100">
      <c r="A100" s="2" t="inlineStr">
        <is>
          <t>ORD-1096</t>
        </is>
      </c>
      <c r="B100" s="2" t="inlineStr">
        <is>
          <t>2026-03-24</t>
        </is>
      </c>
      <c r="C100" s="2" t="inlineStr">
        <is>
          <t>122</t>
        </is>
      </c>
      <c r="D100" s="2" t="inlineStr">
        <is>
          <t>122-YH 122 (050226)</t>
        </is>
      </c>
      <c r="E100" s="4" t="n">
        <v>40</v>
      </c>
      <c r="G100" s="2" t="inlineStr">
        <is>
          <t>2026-05-12</t>
        </is>
      </c>
      <c r="H100" s="2" t="inlineStr">
        <is>
          <t>MAIZE/CORN</t>
        </is>
      </c>
      <c r="I100" s="4" t="n">
        <v>56.4796</v>
      </c>
      <c r="J100" s="2" t="inlineStr">
        <is>
          <t>1103 90mt</t>
        </is>
      </c>
    </row>
    <row r="101">
      <c r="A101" s="2" t="inlineStr">
        <is>
          <t>ORD-1097</t>
        </is>
      </c>
      <c r="B101" s="2" t="inlineStr">
        <is>
          <t>2026-03-25</t>
        </is>
      </c>
      <c r="C101" s="2" t="inlineStr">
        <is>
          <t>1102C/P</t>
        </is>
      </c>
      <c r="D101" s="2" t="inlineStr">
        <is>
          <t>1102C/P-WS 1102 (290825)</t>
        </is>
      </c>
      <c r="E101" s="4" t="n">
        <v>120</v>
      </c>
      <c r="G101" s="2" t="inlineStr">
        <is>
          <t>2026-05-13</t>
        </is>
      </c>
      <c r="H101" s="2" t="inlineStr">
        <is>
          <t>MAIZE/CORN</t>
        </is>
      </c>
      <c r="I101" s="4" t="n">
        <v>50.6192</v>
      </c>
      <c r="J101" s="2" t="inlineStr">
        <is>
          <t>1102 46mt, 8100 44mt</t>
        </is>
      </c>
    </row>
    <row r="102">
      <c r="A102" s="2" t="inlineStr">
        <is>
          <t>ORD-1098</t>
        </is>
      </c>
      <c r="B102" s="2" t="inlineStr">
        <is>
          <t>2026-03-25</t>
        </is>
      </c>
      <c r="C102" s="2" t="inlineStr">
        <is>
          <t>123</t>
        </is>
      </c>
      <c r="D102" s="2" t="inlineStr">
        <is>
          <t>123-YH 123 (050226)</t>
        </is>
      </c>
      <c r="E102" s="4" t="n">
        <v>10</v>
      </c>
      <c r="G102" s="2" t="inlineStr">
        <is>
          <t>2026-05-14</t>
        </is>
      </c>
      <c r="H102" s="2" t="inlineStr">
        <is>
          <t>MAIZE/CORN</t>
        </is>
      </c>
      <c r="I102" s="4" t="n">
        <v>8.076000000000001</v>
      </c>
      <c r="J102" s="2" t="inlineStr">
        <is>
          <t>311 14mt</t>
        </is>
      </c>
    </row>
    <row r="103">
      <c r="A103" s="2" t="inlineStr">
        <is>
          <t>ORD-1099</t>
        </is>
      </c>
      <c r="B103" s="2" t="inlineStr">
        <is>
          <t>2026-03-26</t>
        </is>
      </c>
      <c r="C103" s="2" t="inlineStr">
        <is>
          <t>1101C</t>
        </is>
      </c>
      <c r="D103" s="2" t="inlineStr">
        <is>
          <t>1101C-WS 1101 (251124)</t>
        </is>
      </c>
      <c r="E103" s="4" t="n">
        <v>16</v>
      </c>
      <c r="G103" s="2" t="inlineStr">
        <is>
          <t>2026-05-15</t>
        </is>
      </c>
      <c r="H103" s="2" t="inlineStr">
        <is>
          <t>MAIZE/CORN</t>
        </is>
      </c>
      <c r="I103" s="4" t="n">
        <v>25.1064</v>
      </c>
      <c r="J103" s="2" t="inlineStr">
        <is>
          <t>1103 40mt</t>
        </is>
      </c>
    </row>
    <row r="104">
      <c r="A104" s="2" t="inlineStr">
        <is>
          <t>ORD-1100</t>
        </is>
      </c>
      <c r="B104" s="2" t="inlineStr">
        <is>
          <t>2026-03-26</t>
        </is>
      </c>
      <c r="C104" s="2" t="inlineStr">
        <is>
          <t>121</t>
        </is>
      </c>
      <c r="D104" s="2" t="inlineStr">
        <is>
          <t>121-YH 121 (050226)</t>
        </is>
      </c>
      <c r="E104" s="4" t="n">
        <v>24</v>
      </c>
      <c r="G104" s="2" t="inlineStr">
        <is>
          <t>2026-05-16</t>
        </is>
      </c>
      <c r="H104" s="2" t="inlineStr">
        <is>
          <t>MAIZE/CORN</t>
        </is>
      </c>
      <c r="I104" s="4" t="n">
        <v>33.4658</v>
      </c>
      <c r="J104" s="2" t="inlineStr">
        <is>
          <t>8102 60mt</t>
        </is>
      </c>
    </row>
    <row r="105">
      <c r="A105" s="2" t="inlineStr">
        <is>
          <t>ORD-1101</t>
        </is>
      </c>
      <c r="B105" s="2" t="inlineStr">
        <is>
          <t>2026-03-26</t>
        </is>
      </c>
      <c r="C105" s="2" t="inlineStr">
        <is>
          <t>123</t>
        </is>
      </c>
      <c r="D105" s="2" t="inlineStr">
        <is>
          <t>123-YH 123 (050226)</t>
        </is>
      </c>
      <c r="E105" s="4" t="n">
        <v>10</v>
      </c>
      <c r="G105" s="2" t="inlineStr">
        <is>
          <t>2026-05-18</t>
        </is>
      </c>
      <c r="H105" s="2" t="inlineStr">
        <is>
          <t>MAIZE/CORN</t>
        </is>
      </c>
      <c r="I105" s="4" t="n">
        <v>45.4612</v>
      </c>
      <c r="J105" s="2" t="inlineStr">
        <is>
          <t>1102 30mt, 8102 50mt</t>
        </is>
      </c>
    </row>
    <row r="106">
      <c r="A106" s="2" t="inlineStr">
        <is>
          <t>ORD-1102</t>
        </is>
      </c>
      <c r="B106" s="2" t="inlineStr">
        <is>
          <t>2026-03-27</t>
        </is>
      </c>
      <c r="C106" s="2" t="inlineStr">
        <is>
          <t>122</t>
        </is>
      </c>
      <c r="D106" s="2" t="inlineStr">
        <is>
          <t>122-YH 122 (050226)</t>
        </is>
      </c>
      <c r="E106" s="4" t="n">
        <v>10</v>
      </c>
      <c r="G106" s="2" t="inlineStr">
        <is>
          <t>2026-05-19</t>
        </is>
      </c>
      <c r="H106" s="2" t="inlineStr">
        <is>
          <t>MAIZE/CORN</t>
        </is>
      </c>
      <c r="I106" s="4" t="n">
        <v>56.46980000000001</v>
      </c>
      <c r="J106" s="2" t="inlineStr">
        <is>
          <t>1103 90mt</t>
        </is>
      </c>
    </row>
    <row r="107">
      <c r="A107" s="2" t="inlineStr">
        <is>
          <t>ORD-1103</t>
        </is>
      </c>
      <c r="B107" s="2" t="inlineStr">
        <is>
          <t>2026-03-27</t>
        </is>
      </c>
      <c r="C107" s="2" t="inlineStr">
        <is>
          <t>123</t>
        </is>
      </c>
      <c r="D107" s="2" t="inlineStr">
        <is>
          <t>123-YH 123 (050226)</t>
        </is>
      </c>
      <c r="E107" s="4" t="n">
        <v>70</v>
      </c>
      <c r="G107" s="2" t="inlineStr">
        <is>
          <t>2026-05-20</t>
        </is>
      </c>
      <c r="H107" s="2" t="inlineStr">
        <is>
          <t>MAIZE/CORN</t>
        </is>
      </c>
      <c r="I107" s="4" t="n">
        <v>5.3832</v>
      </c>
      <c r="J107" s="2" t="inlineStr">
        <is>
          <t>8100 10mt</t>
        </is>
      </c>
    </row>
    <row r="108">
      <c r="A108" s="2" t="inlineStr">
        <is>
          <t>ORD-1104</t>
        </is>
      </c>
      <c r="B108" s="2" t="inlineStr">
        <is>
          <t>2026-03-28</t>
        </is>
      </c>
      <c r="C108" s="2" t="inlineStr">
        <is>
          <t>121</t>
        </is>
      </c>
      <c r="D108" s="2" t="inlineStr">
        <is>
          <t>121-YH 121 (050226)</t>
        </is>
      </c>
      <c r="E108" s="4" t="n">
        <v>30</v>
      </c>
      <c r="G108" s="2" t="inlineStr">
        <is>
          <t>2026-05-21</t>
        </is>
      </c>
      <c r="H108" s="2" t="inlineStr">
        <is>
          <t>MAIZE/CORN</t>
        </is>
      </c>
      <c r="I108" s="4" t="n">
        <v>5.2454</v>
      </c>
      <c r="J108" s="2" t="inlineStr">
        <is>
          <t>5201 10mt</t>
        </is>
      </c>
    </row>
    <row r="109">
      <c r="A109" s="2" t="inlineStr">
        <is>
          <t>ORD-1105</t>
        </is>
      </c>
      <c r="B109" s="2" t="inlineStr">
        <is>
          <t>2026-03-28</t>
        </is>
      </c>
      <c r="C109" s="2" t="inlineStr">
        <is>
          <t>122</t>
        </is>
      </c>
      <c r="D109" s="2" t="inlineStr">
        <is>
          <t>122-YH 122 (050226)</t>
        </is>
      </c>
      <c r="E109" s="4" t="n">
        <v>36</v>
      </c>
      <c r="G109" s="2" t="inlineStr">
        <is>
          <t>2026-05-22</t>
        </is>
      </c>
      <c r="H109" s="2" t="inlineStr">
        <is>
          <t>MAIZE/CORN</t>
        </is>
      </c>
      <c r="I109" s="4" t="n">
        <v>20.7754</v>
      </c>
      <c r="J109" s="2" t="inlineStr">
        <is>
          <t>311 36mt</t>
        </is>
      </c>
    </row>
    <row r="110">
      <c r="A110" s="2" t="inlineStr">
        <is>
          <t>ORD-1106</t>
        </is>
      </c>
      <c r="B110" s="2" t="inlineStr">
        <is>
          <t>2026-03-30</t>
        </is>
      </c>
      <c r="C110" s="2" t="inlineStr">
        <is>
          <t>1101C</t>
        </is>
      </c>
      <c r="D110" s="2" t="inlineStr">
        <is>
          <t>1101C-WS 1101 (251124)</t>
        </is>
      </c>
      <c r="E110" s="4" t="n">
        <v>46</v>
      </c>
      <c r="G110" s="2" t="inlineStr">
        <is>
          <t>2026-05-23</t>
        </is>
      </c>
      <c r="H110" s="2" t="inlineStr">
        <is>
          <t>MAIZE/CORN</t>
        </is>
      </c>
      <c r="I110" s="4" t="n">
        <v>27.8864</v>
      </c>
      <c r="J110" s="2" t="inlineStr">
        <is>
          <t>8102 50mt</t>
        </is>
      </c>
    </row>
    <row r="111">
      <c r="A111" s="2" t="inlineStr">
        <is>
          <t>ORD-1107</t>
        </is>
      </c>
      <c r="B111" s="2" t="inlineStr">
        <is>
          <t>2026-03-30</t>
        </is>
      </c>
      <c r="C111" s="2" t="inlineStr">
        <is>
          <t>1103P</t>
        </is>
      </c>
      <c r="D111" s="2" t="inlineStr">
        <is>
          <t>1103P-WS 1103 (290825)</t>
        </is>
      </c>
      <c r="E111" s="4" t="n">
        <v>38</v>
      </c>
      <c r="G111" s="2" t="inlineStr">
        <is>
          <t>2026-05-25</t>
        </is>
      </c>
      <c r="H111" s="2" t="inlineStr">
        <is>
          <t>MAIZE/CORN</t>
        </is>
      </c>
      <c r="I111" s="4" t="n">
        <v>18.045</v>
      </c>
      <c r="J111" s="2" t="inlineStr">
        <is>
          <t>8100 14mt, 5201 20mt</t>
        </is>
      </c>
    </row>
    <row r="112">
      <c r="A112" s="2" t="inlineStr">
        <is>
          <t>ORD-1108</t>
        </is>
      </c>
      <c r="B112" s="2" t="inlineStr">
        <is>
          <t>2026-03-31</t>
        </is>
      </c>
      <c r="C112" s="2" t="inlineStr">
        <is>
          <t>1102C/P</t>
        </is>
      </c>
      <c r="D112" s="2" t="inlineStr">
        <is>
          <t>1102C/P-WS 1102 (290825)</t>
        </is>
      </c>
      <c r="E112" s="4" t="n">
        <v>50</v>
      </c>
      <c r="G112" s="2" t="inlineStr">
        <is>
          <t>2026-05-26</t>
        </is>
      </c>
      <c r="H112" s="2" t="inlineStr">
        <is>
          <t>MAIZE/CORN</t>
        </is>
      </c>
      <c r="I112" s="4" t="n">
        <v>38.942</v>
      </c>
      <c r="J112" s="2" t="inlineStr">
        <is>
          <t>1103 60mt</t>
        </is>
      </c>
    </row>
    <row r="113">
      <c r="A113" s="2" t="inlineStr">
        <is>
          <t>ORD-1109</t>
        </is>
      </c>
      <c r="B113" s="2" t="inlineStr">
        <is>
          <t>2026-04-01</t>
        </is>
      </c>
      <c r="C113" s="2" t="inlineStr">
        <is>
          <t>121</t>
        </is>
      </c>
      <c r="D113" s="2" t="inlineStr">
        <is>
          <t>121-YH 121 (050226)</t>
        </is>
      </c>
      <c r="E113" s="4" t="n">
        <v>20</v>
      </c>
      <c r="G113" s="2" t="inlineStr">
        <is>
          <t>2026-05-28</t>
        </is>
      </c>
      <c r="H113" s="2" t="inlineStr">
        <is>
          <t>MAIZE/CORN</t>
        </is>
      </c>
      <c r="I113" s="4" t="n">
        <v>7.806</v>
      </c>
      <c r="J113" s="2" t="inlineStr">
        <is>
          <t>8102 14mt</t>
        </is>
      </c>
    </row>
    <row r="114">
      <c r="A114" s="2" t="inlineStr">
        <is>
          <t>ORD-1110</t>
        </is>
      </c>
      <c r="B114" s="2" t="inlineStr">
        <is>
          <t>2026-04-03</t>
        </is>
      </c>
      <c r="C114" s="2" t="inlineStr">
        <is>
          <t>1101C</t>
        </is>
      </c>
      <c r="D114" s="2" t="inlineStr">
        <is>
          <t>1101C-WS 1101 (251124)</t>
        </is>
      </c>
      <c r="E114" s="4" t="n">
        <v>76</v>
      </c>
      <c r="G114" s="2" t="inlineStr">
        <is>
          <t>2026-05-29</t>
        </is>
      </c>
      <c r="H114" s="2" t="inlineStr">
        <is>
          <t>MAIZE/CORN</t>
        </is>
      </c>
      <c r="I114" s="4" t="n">
        <v>11.1044</v>
      </c>
      <c r="J114" s="2" t="inlineStr">
        <is>
          <t>5202 20mt</t>
        </is>
      </c>
    </row>
    <row r="115">
      <c r="A115" s="2" t="inlineStr">
        <is>
          <t>ORD-1111</t>
        </is>
      </c>
      <c r="B115" s="2" t="inlineStr">
        <is>
          <t>2026-04-03</t>
        </is>
      </c>
      <c r="C115" s="2" t="inlineStr">
        <is>
          <t>122</t>
        </is>
      </c>
      <c r="D115" s="2" t="inlineStr">
        <is>
          <t>122-YH 122 (050226)</t>
        </is>
      </c>
      <c r="E115" s="4" t="n">
        <v>20</v>
      </c>
      <c r="G115" s="2" t="inlineStr">
        <is>
          <t>2026-05-30</t>
        </is>
      </c>
      <c r="H115" s="2" t="inlineStr">
        <is>
          <t>MAIZE/CORN</t>
        </is>
      </c>
      <c r="I115" s="4" t="n">
        <v>2.2178</v>
      </c>
      <c r="J115" s="2" t="inlineStr">
        <is>
          <t>5202 4mt</t>
        </is>
      </c>
    </row>
    <row r="116">
      <c r="A116" s="2" t="inlineStr">
        <is>
          <t>ORD-1112</t>
        </is>
      </c>
      <c r="B116" s="2" t="inlineStr">
        <is>
          <t>2026-04-03</t>
        </is>
      </c>
      <c r="C116" s="2" t="inlineStr">
        <is>
          <t>122</t>
        </is>
      </c>
      <c r="D116" s="2" t="inlineStr">
        <is>
          <t>122-YH 122 (190326)</t>
        </is>
      </c>
      <c r="E116" s="4" t="n">
        <v>30</v>
      </c>
      <c r="G116" s="2" t="inlineStr">
        <is>
          <t>2026-06-02</t>
        </is>
      </c>
      <c r="H116" s="2" t="inlineStr">
        <is>
          <t>MAIZE/CORN</t>
        </is>
      </c>
      <c r="I116" s="4" t="n">
        <v>8.9282</v>
      </c>
      <c r="J116" s="2" t="inlineStr">
        <is>
          <t>8102 16mt</t>
        </is>
      </c>
    </row>
    <row r="117">
      <c r="A117" s="2" t="inlineStr">
        <is>
          <t>ORD-1113</t>
        </is>
      </c>
      <c r="B117" s="2" t="inlineStr">
        <is>
          <t>2026-04-06</t>
        </is>
      </c>
      <c r="C117" s="2" t="inlineStr">
        <is>
          <t>121</t>
        </is>
      </c>
      <c r="D117" s="2" t="inlineStr">
        <is>
          <t>121-YH 121 (050226)</t>
        </is>
      </c>
      <c r="E117" s="4" t="n">
        <v>16</v>
      </c>
      <c r="G117" s="2" t="inlineStr">
        <is>
          <t>2026-06-03</t>
        </is>
      </c>
      <c r="H117" s="2" t="inlineStr">
        <is>
          <t>MAIZE/CORN</t>
        </is>
      </c>
      <c r="I117" s="4" t="n">
        <v>11.1534</v>
      </c>
      <c r="J117" s="2" t="inlineStr">
        <is>
          <t>8102 20mt</t>
        </is>
      </c>
    </row>
    <row r="118">
      <c r="A118" s="2" t="inlineStr">
        <is>
          <t>ORD-1114</t>
        </is>
      </c>
      <c r="B118" s="2" t="inlineStr">
        <is>
          <t>2026-04-06</t>
        </is>
      </c>
      <c r="C118" s="2" t="inlineStr">
        <is>
          <t>121</t>
        </is>
      </c>
      <c r="D118" s="2" t="inlineStr">
        <is>
          <t>121-YH 121 (190326)</t>
        </is>
      </c>
      <c r="E118" s="4" t="n">
        <v>32</v>
      </c>
      <c r="G118" s="2" t="inlineStr">
        <is>
          <t>2026-06-04</t>
        </is>
      </c>
      <c r="H118" s="2" t="inlineStr">
        <is>
          <t>MAIZE/CORN</t>
        </is>
      </c>
      <c r="I118" s="4" t="n">
        <v>48.8954</v>
      </c>
      <c r="J118" s="2" t="inlineStr">
        <is>
          <t>8102 40mt, 5201 20mt, 5202 30mt</t>
        </is>
      </c>
    </row>
    <row r="119">
      <c r="A119" s="2" t="inlineStr">
        <is>
          <t>ORD-1115</t>
        </is>
      </c>
      <c r="B119" s="2" t="inlineStr">
        <is>
          <t>2026-04-06</t>
        </is>
      </c>
      <c r="C119" s="2" t="inlineStr">
        <is>
          <t>121</t>
        </is>
      </c>
      <c r="D119" s="2" t="inlineStr">
        <is>
          <t>121-YH 121 (020426)</t>
        </is>
      </c>
      <c r="E119" s="4" t="n">
        <v>2</v>
      </c>
      <c r="G119" s="2" t="inlineStr">
        <is>
          <t>2026-06-05</t>
        </is>
      </c>
      <c r="H119" s="2" t="inlineStr">
        <is>
          <t>MAIZE/CORN</t>
        </is>
      </c>
      <c r="I119" s="4" t="n">
        <v>15.332</v>
      </c>
      <c r="J119" s="2" t="inlineStr">
        <is>
          <t>5201 30mt</t>
        </is>
      </c>
    </row>
    <row r="120">
      <c r="A120" s="2" t="inlineStr">
        <is>
          <t>ORD-1116</t>
        </is>
      </c>
      <c r="B120" s="2" t="inlineStr">
        <is>
          <t>2026-04-06</t>
        </is>
      </c>
      <c r="C120" s="2" t="inlineStr">
        <is>
          <t>122</t>
        </is>
      </c>
      <c r="D120" s="2" t="inlineStr">
        <is>
          <t>122-YH 122 (190326)</t>
        </is>
      </c>
      <c r="E120" s="4" t="n">
        <v>50</v>
      </c>
      <c r="G120" s="2" t="inlineStr">
        <is>
          <t>2026-06-06</t>
        </is>
      </c>
      <c r="H120" s="2" t="inlineStr">
        <is>
          <t>MAIZE/CORN</t>
        </is>
      </c>
      <c r="I120" s="4" t="n">
        <v>38.509</v>
      </c>
      <c r="J120" s="2" t="inlineStr">
        <is>
          <t xml:space="preserve">311 30mt, 8102 38mt </t>
        </is>
      </c>
    </row>
    <row r="121">
      <c r="A121" s="2" t="inlineStr">
        <is>
          <t>ORD-1117</t>
        </is>
      </c>
      <c r="B121" s="2" t="inlineStr">
        <is>
          <t>2026-04-07</t>
        </is>
      </c>
      <c r="C121" s="2" t="inlineStr">
        <is>
          <t>123</t>
        </is>
      </c>
      <c r="D121" s="2" t="inlineStr">
        <is>
          <t>123-YH 123 (050226)</t>
        </is>
      </c>
      <c r="E121" s="4" t="n">
        <v>12</v>
      </c>
      <c r="G121" s="2" t="inlineStr">
        <is>
          <t>2026-06-08</t>
        </is>
      </c>
      <c r="H121" s="2" t="inlineStr">
        <is>
          <t>MAIZE/CORN</t>
        </is>
      </c>
      <c r="I121" s="4" t="n">
        <v>33.2214</v>
      </c>
      <c r="J121" s="2" t="inlineStr">
        <is>
          <t>5202 20mt, 8102 40mt</t>
        </is>
      </c>
    </row>
    <row r="122">
      <c r="A122" s="2" t="inlineStr">
        <is>
          <t>ORD-1118</t>
        </is>
      </c>
      <c r="B122" s="2" t="inlineStr">
        <is>
          <t>2026-04-08</t>
        </is>
      </c>
      <c r="C122" s="2" t="inlineStr">
        <is>
          <t>122</t>
        </is>
      </c>
      <c r="D122" s="2" t="inlineStr">
        <is>
          <t>122-YH 122 (190326)</t>
        </is>
      </c>
      <c r="E122" s="4" t="n">
        <v>70</v>
      </c>
      <c r="G122" s="2" t="inlineStr">
        <is>
          <t>2026-06-09</t>
        </is>
      </c>
      <c r="H122" s="2" t="inlineStr">
        <is>
          <t>MAIZE/CORN</t>
        </is>
      </c>
      <c r="I122" s="4" t="n">
        <v>33.4768</v>
      </c>
      <c r="J122" s="2" t="inlineStr">
        <is>
          <t>8102 60mt</t>
        </is>
      </c>
    </row>
    <row r="123">
      <c r="A123" s="2" t="inlineStr">
        <is>
          <t>ORD-1119</t>
        </is>
      </c>
      <c r="B123" s="2" t="inlineStr">
        <is>
          <t>2026-04-09</t>
        </is>
      </c>
      <c r="C123" s="2" t="inlineStr">
        <is>
          <t>122</t>
        </is>
      </c>
      <c r="D123" s="2" t="inlineStr">
        <is>
          <t>122-YH 122 (190326)</t>
        </is>
      </c>
      <c r="E123" s="4" t="n">
        <v>30</v>
      </c>
      <c r="G123" s="2" t="inlineStr">
        <is>
          <t>2026-06-11</t>
        </is>
      </c>
      <c r="H123" s="2" t="inlineStr">
        <is>
          <t>MAIZE/CORN</t>
        </is>
      </c>
      <c r="I123" s="4" t="n">
        <v>7.4956</v>
      </c>
      <c r="J123" s="2" t="inlineStr">
        <is>
          <t>5201 4mt, 5202 10mt</t>
        </is>
      </c>
    </row>
    <row r="124">
      <c r="A124" s="2" t="inlineStr">
        <is>
          <t>ORD-1120</t>
        </is>
      </c>
      <c r="B124" s="2" t="inlineStr">
        <is>
          <t>2026-04-10</t>
        </is>
      </c>
      <c r="C124" s="2" t="inlineStr">
        <is>
          <t>123</t>
        </is>
      </c>
      <c r="D124" s="2" t="inlineStr">
        <is>
          <t>123-YH 123 (190326)</t>
        </is>
      </c>
      <c r="E124" s="4" t="n">
        <v>26</v>
      </c>
      <c r="G124" s="2" t="inlineStr">
        <is>
          <t>2026-06-12</t>
        </is>
      </c>
      <c r="H124" s="2" t="inlineStr">
        <is>
          <t>MAIZE/CORN</t>
        </is>
      </c>
      <c r="I124" s="4" t="n">
        <v>67.5132</v>
      </c>
      <c r="J124" s="2" t="inlineStr">
        <is>
          <t>311 30mt, 8102 90mt</t>
        </is>
      </c>
    </row>
    <row r="125">
      <c r="A125" s="2" t="inlineStr">
        <is>
          <t>ORD-1121</t>
        </is>
      </c>
      <c r="B125" s="2" t="inlineStr">
        <is>
          <t>2026-04-11</t>
        </is>
      </c>
      <c r="C125" s="2" t="inlineStr">
        <is>
          <t>1102C/P</t>
        </is>
      </c>
      <c r="D125" s="2" t="inlineStr">
        <is>
          <t>1102C/P-WS 1102 (290825)</t>
        </is>
      </c>
      <c r="E125" s="4" t="n">
        <v>50</v>
      </c>
      <c r="G125" s="2" t="inlineStr">
        <is>
          <t>2026-06-13</t>
        </is>
      </c>
      <c r="H125" s="2" t="inlineStr">
        <is>
          <t>MAIZE/CORN</t>
        </is>
      </c>
      <c r="I125" s="4" t="n">
        <v>19.4228</v>
      </c>
      <c r="J125" s="2" t="inlineStr">
        <is>
          <t>5201 6mt, 5202 30mt</t>
        </is>
      </c>
    </row>
    <row r="126">
      <c r="A126" s="2" t="inlineStr">
        <is>
          <t>ORD-1122</t>
        </is>
      </c>
      <c r="B126" s="2" t="inlineStr">
        <is>
          <t>2026-04-11</t>
        </is>
      </c>
      <c r="C126" s="2" t="inlineStr">
        <is>
          <t>122</t>
        </is>
      </c>
      <c r="D126" s="2" t="inlineStr">
        <is>
          <t>122-YH 122 (190326)</t>
        </is>
      </c>
      <c r="E126" s="4" t="n">
        <v>20</v>
      </c>
      <c r="G126" s="2" t="inlineStr">
        <is>
          <t>2026-06-15</t>
        </is>
      </c>
      <c r="H126" s="2" t="inlineStr">
        <is>
          <t>MAIZE/CORN</t>
        </is>
      </c>
      <c r="I126" s="4" t="n">
        <v>23.9896</v>
      </c>
      <c r="J126" s="2" t="inlineStr">
        <is>
          <t>5202 44mt</t>
        </is>
      </c>
    </row>
    <row r="127">
      <c r="A127" s="2" t="inlineStr">
        <is>
          <t>ORD-1123</t>
        </is>
      </c>
      <c r="B127" s="2" t="inlineStr">
        <is>
          <t>2026-04-13</t>
        </is>
      </c>
      <c r="C127" s="2" t="inlineStr">
        <is>
          <t>122</t>
        </is>
      </c>
      <c r="D127" s="2" t="inlineStr">
        <is>
          <t>122-YH 122 (190326)</t>
        </is>
      </c>
      <c r="E127" s="4" t="n">
        <v>30</v>
      </c>
      <c r="G127" s="2" t="inlineStr">
        <is>
          <t>2026-06-16</t>
        </is>
      </c>
      <c r="H127" s="2" t="inlineStr">
        <is>
          <t>MAIZE/CORN</t>
        </is>
      </c>
      <c r="I127" s="4" t="n">
        <v>10.89</v>
      </c>
      <c r="J127" s="2" t="inlineStr">
        <is>
          <t>5202 20mt</t>
        </is>
      </c>
    </row>
    <row r="128">
      <c r="A128" s="2" t="inlineStr">
        <is>
          <t>ORD-1124</t>
        </is>
      </c>
      <c r="B128" s="2" t="inlineStr">
        <is>
          <t>2026-04-14</t>
        </is>
      </c>
      <c r="C128" s="2" t="inlineStr">
        <is>
          <t>121</t>
        </is>
      </c>
      <c r="D128" s="2" t="inlineStr">
        <is>
          <t>121-YH 121 (020426)</t>
        </is>
      </c>
      <c r="E128" s="4" t="n">
        <v>30</v>
      </c>
      <c r="G128" s="2" t="inlineStr">
        <is>
          <t>2026-06-17</t>
        </is>
      </c>
      <c r="H128" s="2" t="inlineStr">
        <is>
          <t>MAIZE/CORN</t>
        </is>
      </c>
      <c r="I128" s="4" t="n">
        <v>5.454</v>
      </c>
      <c r="J128" s="2" t="inlineStr">
        <is>
          <t>5202 10mt</t>
        </is>
      </c>
    </row>
    <row r="129">
      <c r="A129" s="2" t="inlineStr">
        <is>
          <t>ORD-1125</t>
        </is>
      </c>
      <c r="B129" s="2" t="inlineStr">
        <is>
          <t>2026-04-14</t>
        </is>
      </c>
      <c r="C129" s="2" t="inlineStr">
        <is>
          <t>122</t>
        </is>
      </c>
      <c r="D129" s="2" t="inlineStr">
        <is>
          <t>122-YH 122 (190326)</t>
        </is>
      </c>
      <c r="E129" s="4" t="n">
        <v>100</v>
      </c>
      <c r="G129" s="2" t="inlineStr">
        <is>
          <t>2026-06-18</t>
        </is>
      </c>
      <c r="H129" s="2" t="inlineStr">
        <is>
          <t>MAIZE/CORN</t>
        </is>
      </c>
      <c r="I129" s="4" t="n">
        <v>37.5058</v>
      </c>
      <c r="J129" s="2" t="inlineStr">
        <is>
          <t>MILL-RUN-01</t>
        </is>
      </c>
    </row>
    <row r="130">
      <c r="A130" s="2" t="inlineStr">
        <is>
          <t>ORD-1126</t>
        </is>
      </c>
      <c r="B130" s="2" t="inlineStr">
        <is>
          <t>2026-04-15</t>
        </is>
      </c>
      <c r="C130" s="2" t="inlineStr">
        <is>
          <t>123</t>
        </is>
      </c>
      <c r="D130" s="2" t="inlineStr">
        <is>
          <t>123-YH 123 (190326)</t>
        </is>
      </c>
      <c r="E130" s="4" t="n">
        <v>38</v>
      </c>
      <c r="G130" s="2" t="inlineStr">
        <is>
          <t>2026-06-19</t>
        </is>
      </c>
      <c r="H130" s="2" t="inlineStr">
        <is>
          <t>MAIZE/CORN</t>
        </is>
      </c>
      <c r="I130" s="4" t="n">
        <v>49.0592</v>
      </c>
      <c r="J130" s="2" t="inlineStr">
        <is>
          <t>5202 90mt</t>
        </is>
      </c>
    </row>
    <row r="131">
      <c r="A131" s="2" t="inlineStr">
        <is>
          <t>ORD-1127</t>
        </is>
      </c>
      <c r="B131" s="2" t="inlineStr">
        <is>
          <t>2026-04-16</t>
        </is>
      </c>
      <c r="C131" s="2" t="inlineStr">
        <is>
          <t>122</t>
        </is>
      </c>
      <c r="D131" s="2" t="inlineStr">
        <is>
          <t>122-YH 122 (190326)</t>
        </is>
      </c>
      <c r="E131" s="4" t="n">
        <v>60</v>
      </c>
      <c r="G131" s="2" t="inlineStr">
        <is>
          <t>2026-06-20</t>
        </is>
      </c>
      <c r="H131" s="2" t="inlineStr">
        <is>
          <t>MAIZE/CORN</t>
        </is>
      </c>
      <c r="I131" s="4" t="n">
        <v>12.286</v>
      </c>
      <c r="J131" s="2" t="inlineStr">
        <is>
          <t>5203 20mt</t>
        </is>
      </c>
    </row>
    <row r="132">
      <c r="A132" s="2" t="inlineStr">
        <is>
          <t>ORD-1128</t>
        </is>
      </c>
      <c r="B132" s="2" t="inlineStr">
        <is>
          <t>2026-04-17</t>
        </is>
      </c>
      <c r="C132" s="2" t="inlineStr">
        <is>
          <t>1102C/P</t>
        </is>
      </c>
      <c r="D132" s="2" t="inlineStr">
        <is>
          <t>1102C/P-WS 1102 (290825)</t>
        </is>
      </c>
      <c r="E132" s="4" t="n">
        <v>46</v>
      </c>
      <c r="G132" s="2" t="inlineStr">
        <is>
          <t>2026-06-23</t>
        </is>
      </c>
      <c r="H132" s="2" t="inlineStr">
        <is>
          <t>MAIZE/CORN</t>
        </is>
      </c>
      <c r="I132" s="4" t="n">
        <v>12.2738</v>
      </c>
      <c r="J132" s="2" t="inlineStr">
        <is>
          <t>5203 20mt</t>
        </is>
      </c>
    </row>
    <row r="133">
      <c r="A133" s="2" t="inlineStr">
        <is>
          <t>ORD-1129</t>
        </is>
      </c>
      <c r="B133" s="2" t="inlineStr">
        <is>
          <t>2026-04-17</t>
        </is>
      </c>
      <c r="C133" s="2" t="inlineStr">
        <is>
          <t>122</t>
        </is>
      </c>
      <c r="D133" s="2" t="inlineStr">
        <is>
          <t>122-YH 122 (190326)</t>
        </is>
      </c>
      <c r="E133" s="4" t="n">
        <v>20</v>
      </c>
      <c r="G133" s="2" t="inlineStr">
        <is>
          <t>2026-06-24</t>
        </is>
      </c>
      <c r="H133" s="2" t="inlineStr">
        <is>
          <t>MAIZE/CORN</t>
        </is>
      </c>
      <c r="I133" s="4" t="n">
        <v>13.0496</v>
      </c>
      <c r="J133" s="2" t="inlineStr">
        <is>
          <t>5202 24mt</t>
        </is>
      </c>
    </row>
    <row r="134">
      <c r="A134" s="2" t="inlineStr">
        <is>
          <t>ORD-1130</t>
        </is>
      </c>
      <c r="B134" s="2" t="inlineStr">
        <is>
          <t>2026-04-18</t>
        </is>
      </c>
      <c r="C134" s="2" t="inlineStr">
        <is>
          <t>123</t>
        </is>
      </c>
      <c r="D134" s="2" t="inlineStr">
        <is>
          <t>123-YH 123 (190326)</t>
        </is>
      </c>
      <c r="E134" s="4" t="n">
        <v>56</v>
      </c>
      <c r="G134" s="2" t="inlineStr">
        <is>
          <t>2026-06-25</t>
        </is>
      </c>
      <c r="H134" s="2" t="inlineStr">
        <is>
          <t>MAIZE/CORN</t>
        </is>
      </c>
      <c r="I134" s="4" t="n">
        <v>12.1088</v>
      </c>
      <c r="J134" s="2" t="inlineStr">
        <is>
          <t>5203 20mt</t>
        </is>
      </c>
    </row>
    <row r="135">
      <c r="A135" s="2" t="inlineStr">
        <is>
          <t>ORD-1131</t>
        </is>
      </c>
      <c r="B135" s="2" t="inlineStr">
        <is>
          <t>2026-04-20</t>
        </is>
      </c>
      <c r="C135" s="2" t="inlineStr">
        <is>
          <t>1102C/P</t>
        </is>
      </c>
      <c r="D135" s="2" t="inlineStr">
        <is>
          <t>1102C/P-WS 1102 (290825)</t>
        </is>
      </c>
      <c r="E135" s="4" t="n">
        <v>40</v>
      </c>
      <c r="G135" s="2" t="inlineStr">
        <is>
          <t>2026-06-26</t>
        </is>
      </c>
      <c r="H135" s="2" t="inlineStr">
        <is>
          <t>MAIZE/CORN</t>
        </is>
      </c>
      <c r="I135" s="4" t="n">
        <v>67.0086</v>
      </c>
      <c r="J135" s="2" t="inlineStr">
        <is>
          <t>8102 10mt, 5202 46mt, 5203 60mt</t>
        </is>
      </c>
    </row>
    <row r="136">
      <c r="A136" s="2" t="inlineStr">
        <is>
          <t>ORD-1132</t>
        </is>
      </c>
      <c r="B136" s="2" t="inlineStr">
        <is>
          <t>2026-04-20</t>
        </is>
      </c>
      <c r="C136" s="2" t="inlineStr">
        <is>
          <t>121</t>
        </is>
      </c>
      <c r="D136" s="2" t="inlineStr">
        <is>
          <t>121-YH 121 (190326)</t>
        </is>
      </c>
      <c r="E136" s="4" t="n">
        <v>20</v>
      </c>
      <c r="G136" s="2" t="inlineStr">
        <is>
          <t>2026-06-27</t>
        </is>
      </c>
      <c r="H136" s="2" t="inlineStr">
        <is>
          <t>MAIZE/CORN</t>
        </is>
      </c>
      <c r="I136" s="4" t="n">
        <v>3.227</v>
      </c>
      <c r="J136" s="2" t="inlineStr">
        <is>
          <t>8100 6mt</t>
        </is>
      </c>
    </row>
    <row r="137">
      <c r="A137" s="2" t="inlineStr">
        <is>
          <t>ORD-1133</t>
        </is>
      </c>
      <c r="B137" s="2" t="inlineStr">
        <is>
          <t>2026-04-20</t>
        </is>
      </c>
      <c r="C137" s="2" t="inlineStr">
        <is>
          <t>122</t>
        </is>
      </c>
      <c r="D137" s="2" t="inlineStr">
        <is>
          <t>122-YH 122 (190326)</t>
        </is>
      </c>
      <c r="E137" s="4" t="n">
        <v>30</v>
      </c>
      <c r="G137" s="2" t="inlineStr">
        <is>
          <t>2026-06-29</t>
        </is>
      </c>
      <c r="H137" s="2" t="inlineStr">
        <is>
          <t>MAIZE/CORN</t>
        </is>
      </c>
      <c r="I137" s="4" t="n">
        <v>36.4092</v>
      </c>
      <c r="J137" s="2" t="inlineStr">
        <is>
          <t>5203 60mt</t>
        </is>
      </c>
    </row>
    <row r="138">
      <c r="A138" s="2" t="inlineStr">
        <is>
          <t>ORD-1134</t>
        </is>
      </c>
      <c r="B138" s="2" t="inlineStr">
        <is>
          <t>2026-04-21</t>
        </is>
      </c>
      <c r="C138" s="2" t="inlineStr">
        <is>
          <t>1102C/P</t>
        </is>
      </c>
      <c r="D138" s="2" t="inlineStr">
        <is>
          <t>1102C/P-WS 1102 (290825)</t>
        </is>
      </c>
      <c r="E138" s="4" t="n">
        <v>60</v>
      </c>
      <c r="G138" s="2" t="inlineStr">
        <is>
          <t>2026-06-30</t>
        </is>
      </c>
      <c r="H138" s="2" t="inlineStr">
        <is>
          <t>MAIZE/CORN</t>
        </is>
      </c>
      <c r="I138" s="4" t="n">
        <v>36.3962</v>
      </c>
      <c r="J138" s="2" t="inlineStr">
        <is>
          <t>5203 60mt</t>
        </is>
      </c>
    </row>
    <row r="139">
      <c r="A139" s="2" t="inlineStr">
        <is>
          <t>ORD-1135</t>
        </is>
      </c>
      <c r="B139" s="2" t="inlineStr">
        <is>
          <t>2026-04-21</t>
        </is>
      </c>
      <c r="C139" s="2" t="inlineStr">
        <is>
          <t>122</t>
        </is>
      </c>
      <c r="D139" s="2" t="inlineStr">
        <is>
          <t>122-YH 122 (190326)</t>
        </is>
      </c>
      <c r="E139" s="4" t="n">
        <v>30</v>
      </c>
      <c r="G139" s="2" t="inlineStr">
        <is>
          <t>2026-07-01</t>
        </is>
      </c>
      <c r="H139" s="2" t="inlineStr">
        <is>
          <t>MAIZE/CORN</t>
        </is>
      </c>
      <c r="I139" s="4" t="n">
        <v>3.074</v>
      </c>
      <c r="J139" s="2" t="inlineStr">
        <is>
          <t>MILL-RUN-01</t>
        </is>
      </c>
    </row>
    <row r="140">
      <c r="A140" s="2" t="inlineStr">
        <is>
          <t>ORD-1136</t>
        </is>
      </c>
      <c r="B140" s="2" t="inlineStr">
        <is>
          <t>2026-04-23</t>
        </is>
      </c>
      <c r="C140" s="2" t="inlineStr">
        <is>
          <t>1102C/P</t>
        </is>
      </c>
      <c r="D140" s="2" t="inlineStr">
        <is>
          <t>1102C/P-WS 1102 (290825)</t>
        </is>
      </c>
      <c r="E140" s="4" t="n">
        <v>66</v>
      </c>
      <c r="G140" s="2" t="inlineStr">
        <is>
          <t>2026-07-02</t>
        </is>
      </c>
      <c r="H140" s="2" t="inlineStr">
        <is>
          <t>MAIZE/CORN</t>
        </is>
      </c>
      <c r="I140" s="4" t="n">
        <v>30.3356</v>
      </c>
      <c r="J140" s="2" t="inlineStr">
        <is>
          <t>MILL-RUN-01</t>
        </is>
      </c>
    </row>
    <row r="141">
      <c r="A141" s="2" t="inlineStr">
        <is>
          <t>ORD-1137</t>
        </is>
      </c>
      <c r="B141" s="2" t="inlineStr">
        <is>
          <t>2026-04-23</t>
        </is>
      </c>
      <c r="C141" s="2" t="inlineStr">
        <is>
          <t>122</t>
        </is>
      </c>
      <c r="D141" s="2" t="inlineStr">
        <is>
          <t>122-YH 122 (190326)</t>
        </is>
      </c>
      <c r="E141" s="4" t="n">
        <v>24</v>
      </c>
      <c r="G141" s="2" t="inlineStr">
        <is>
          <t>2026-07-03</t>
        </is>
      </c>
      <c r="H141" s="2" t="inlineStr">
        <is>
          <t>MAIZE/CORN</t>
        </is>
      </c>
      <c r="I141" s="4" t="n">
        <v>24.2528</v>
      </c>
      <c r="J141" s="2" t="inlineStr">
        <is>
          <t>MILL-RUN-01</t>
        </is>
      </c>
    </row>
    <row r="142">
      <c r="A142" s="2" t="inlineStr">
        <is>
          <t>ORD-1138</t>
        </is>
      </c>
      <c r="B142" s="2" t="inlineStr">
        <is>
          <t>2026-04-23</t>
        </is>
      </c>
      <c r="C142" s="2" t="inlineStr">
        <is>
          <t>122</t>
        </is>
      </c>
      <c r="D142" s="2" t="inlineStr">
        <is>
          <t>122-YH 122 (200426)</t>
        </is>
      </c>
      <c r="E142" s="4" t="n">
        <v>16</v>
      </c>
      <c r="G142" s="2" t="inlineStr">
        <is>
          <t>2026-07-04</t>
        </is>
      </c>
      <c r="H142" s="2" t="inlineStr">
        <is>
          <t>MAIZE/CORN</t>
        </is>
      </c>
      <c r="I142" s="4" t="n">
        <v>44.7062</v>
      </c>
      <c r="J142" s="2" t="inlineStr">
        <is>
          <t>MILL-RUN-01</t>
        </is>
      </c>
    </row>
    <row r="143">
      <c r="A143" s="2" t="inlineStr">
        <is>
          <t>ORD-1139</t>
        </is>
      </c>
      <c r="B143" s="2" t="inlineStr">
        <is>
          <t>2026-04-24</t>
        </is>
      </c>
      <c r="C143" s="2" t="inlineStr">
        <is>
          <t>1103P</t>
        </is>
      </c>
      <c r="D143" s="2" t="inlineStr">
        <is>
          <t>1103P-WS 1103 (290825)</t>
        </is>
      </c>
      <c r="E143" s="4" t="n">
        <v>58</v>
      </c>
      <c r="G143" s="2" t="inlineStr">
        <is>
          <t>2026-07-06</t>
        </is>
      </c>
      <c r="H143" s="2" t="inlineStr">
        <is>
          <t>MAIZE/CORN</t>
        </is>
      </c>
      <c r="I143" s="4" t="n">
        <v>16.9144</v>
      </c>
      <c r="J143" s="2" t="inlineStr">
        <is>
          <t>MILL-RUN-01</t>
        </is>
      </c>
    </row>
    <row r="144">
      <c r="A144" s="2" t="inlineStr">
        <is>
          <t>ORD-1140</t>
        </is>
      </c>
      <c r="B144" s="2" t="inlineStr">
        <is>
          <t>2026-04-25</t>
        </is>
      </c>
      <c r="C144" s="2" t="inlineStr">
        <is>
          <t>1103P</t>
        </is>
      </c>
      <c r="D144" s="2" t="inlineStr">
        <is>
          <t>1103P-WS 1103 (290825)</t>
        </is>
      </c>
      <c r="E144" s="4" t="n">
        <v>18</v>
      </c>
      <c r="G144" s="2" t="inlineStr">
        <is>
          <t>2026-07-07</t>
        </is>
      </c>
      <c r="H144" s="2" t="inlineStr">
        <is>
          <t>MAIZE/CORN</t>
        </is>
      </c>
      <c r="I144" s="4" t="n">
        <v>24.4246</v>
      </c>
      <c r="J144" s="2" t="inlineStr">
        <is>
          <t>MILL-RUN-01</t>
        </is>
      </c>
    </row>
    <row r="145">
      <c r="A145" s="2" t="inlineStr">
        <is>
          <t>ORD-1141</t>
        </is>
      </c>
      <c r="B145" s="2" t="inlineStr">
        <is>
          <t>2026-04-25</t>
        </is>
      </c>
      <c r="C145" s="2" t="inlineStr">
        <is>
          <t>122</t>
        </is>
      </c>
      <c r="D145" s="2" t="inlineStr">
        <is>
          <t>122-YH 122 (200426)</t>
        </is>
      </c>
      <c r="E145" s="4" t="n">
        <v>40</v>
      </c>
      <c r="G145" s="2" t="inlineStr">
        <is>
          <t>2026-07-08</t>
        </is>
      </c>
      <c r="H145" s="2" t="inlineStr">
        <is>
          <t>MAIZE/CORN</t>
        </is>
      </c>
      <c r="I145" s="4" t="n">
        <v>12.1262</v>
      </c>
      <c r="J145" s="2" t="inlineStr">
        <is>
          <t>MILL-RUN-01</t>
        </is>
      </c>
    </row>
    <row r="146">
      <c r="A146" s="2" t="inlineStr">
        <is>
          <t>ORD-1142</t>
        </is>
      </c>
      <c r="B146" s="2" t="inlineStr">
        <is>
          <t>2026-04-25</t>
        </is>
      </c>
      <c r="C146" s="2" t="inlineStr">
        <is>
          <t>123</t>
        </is>
      </c>
      <c r="D146" s="2" t="inlineStr">
        <is>
          <t>123-YH 123 (190326)</t>
        </is>
      </c>
      <c r="E146" s="4" t="n">
        <v>40</v>
      </c>
      <c r="G146" s="2" t="inlineStr">
        <is>
          <t>2026-07-09</t>
        </is>
      </c>
      <c r="H146" s="2" t="inlineStr">
        <is>
          <t>MAIZE/CORN</t>
        </is>
      </c>
      <c r="I146" s="4" t="n">
        <v>40.15519999999999</v>
      </c>
      <c r="J146" s="2" t="inlineStr">
        <is>
          <t>MILL-RUN-01</t>
        </is>
      </c>
    </row>
    <row r="147">
      <c r="A147" s="2" t="inlineStr">
        <is>
          <t>ORD-1143</t>
        </is>
      </c>
      <c r="B147" s="2" t="inlineStr">
        <is>
          <t>2026-04-27</t>
        </is>
      </c>
      <c r="C147" s="2" t="inlineStr">
        <is>
          <t>1102C/P</t>
        </is>
      </c>
      <c r="D147" s="2" t="inlineStr">
        <is>
          <t>1102C/P-WS 1102 (290825)</t>
        </is>
      </c>
      <c r="E147" s="4" t="n">
        <v>90</v>
      </c>
      <c r="G147" s="2" t="inlineStr">
        <is>
          <t>2026-07-10</t>
        </is>
      </c>
      <c r="H147" s="2" t="inlineStr">
        <is>
          <t>MAIZE/CORN</t>
        </is>
      </c>
      <c r="I147" s="4" t="n">
        <v>91.9858</v>
      </c>
      <c r="J147" s="2" t="inlineStr">
        <is>
          <t>MILL-RUN-01</t>
        </is>
      </c>
    </row>
    <row r="148">
      <c r="A148" s="2" t="inlineStr">
        <is>
          <t>ORD-1144</t>
        </is>
      </c>
      <c r="B148" s="2" t="inlineStr">
        <is>
          <t>2026-04-27</t>
        </is>
      </c>
      <c r="C148" s="2" t="inlineStr">
        <is>
          <t>8100</t>
        </is>
      </c>
      <c r="D148" s="2" t="inlineStr">
        <is>
          <t>8100-WS 8100 (290825)</t>
        </is>
      </c>
      <c r="E148" s="4" t="n">
        <v>18</v>
      </c>
      <c r="G148" s="2" t="inlineStr">
        <is>
          <t>2026-07-13</t>
        </is>
      </c>
      <c r="H148" s="2" t="inlineStr">
        <is>
          <t>MAIZE/CORN</t>
        </is>
      </c>
      <c r="I148" s="4" t="n">
        <v>16.0422</v>
      </c>
      <c r="J148" s="2" t="inlineStr">
        <is>
          <t>MILL-RUN-01</t>
        </is>
      </c>
    </row>
    <row r="149">
      <c r="A149" s="2" t="inlineStr">
        <is>
          <t>ORD-1145</t>
        </is>
      </c>
      <c r="B149" s="2" t="inlineStr">
        <is>
          <t>2026-04-27</t>
        </is>
      </c>
      <c r="C149" s="2" t="inlineStr">
        <is>
          <t>8102</t>
        </is>
      </c>
      <c r="D149" s="2" t="inlineStr">
        <is>
          <t>8102-WS 8102 (020326)</t>
        </is>
      </c>
      <c r="E149" s="4" t="n">
        <v>48</v>
      </c>
      <c r="G149" s="2" t="inlineStr">
        <is>
          <t>2026-07-14</t>
        </is>
      </c>
      <c r="H149" s="2" t="inlineStr">
        <is>
          <t>MAIZE/CORN</t>
        </is>
      </c>
      <c r="I149" s="4" t="n">
        <v>73.88080000000001</v>
      </c>
      <c r="J149" s="2" t="inlineStr">
        <is>
          <t>MILL-RUN-01</t>
        </is>
      </c>
    </row>
    <row r="150">
      <c r="A150" s="2" t="inlineStr">
        <is>
          <t>ORD-1146</t>
        </is>
      </c>
      <c r="B150" s="2" t="inlineStr">
        <is>
          <t>2026-04-28</t>
        </is>
      </c>
      <c r="C150" s="2" t="inlineStr">
        <is>
          <t>122</t>
        </is>
      </c>
      <c r="D150" s="2" t="inlineStr">
        <is>
          <t>122-YH 122 (200426)</t>
        </is>
      </c>
      <c r="E150" s="4" t="n">
        <v>20</v>
      </c>
      <c r="G150" s="2" t="inlineStr">
        <is>
          <t>2026-07-15</t>
        </is>
      </c>
      <c r="H150" s="2" t="inlineStr">
        <is>
          <t>MAIZE/CORN</t>
        </is>
      </c>
      <c r="I150" s="4" t="n">
        <v>24.8844</v>
      </c>
      <c r="J150" s="2" t="inlineStr">
        <is>
          <t>MILL-RUN-01</t>
        </is>
      </c>
    </row>
    <row r="151">
      <c r="A151" s="2" t="inlineStr">
        <is>
          <t>ORD-1147</t>
        </is>
      </c>
      <c r="B151" s="2" t="inlineStr">
        <is>
          <t>2026-04-28</t>
        </is>
      </c>
      <c r="C151" s="2" t="inlineStr">
        <is>
          <t>123</t>
        </is>
      </c>
      <c r="D151" s="2" t="inlineStr">
        <is>
          <t>123-YH 123 (190326)</t>
        </is>
      </c>
      <c r="E151" s="4" t="n">
        <v>20</v>
      </c>
      <c r="G151" s="2" t="inlineStr">
        <is>
          <t>2026-07-16</t>
        </is>
      </c>
      <c r="H151" s="2" t="inlineStr">
        <is>
          <t>MAIZE/CORN</t>
        </is>
      </c>
      <c r="I151" s="4" t="n">
        <v>45.3292</v>
      </c>
      <c r="J151" s="2" t="inlineStr">
        <is>
          <t>MILL-RUN-01</t>
        </is>
      </c>
    </row>
    <row r="152">
      <c r="A152" s="2" t="inlineStr">
        <is>
          <t>ORD-1148</t>
        </is>
      </c>
      <c r="B152" s="2" t="inlineStr">
        <is>
          <t>2026-04-30</t>
        </is>
      </c>
      <c r="C152" s="2" t="inlineStr">
        <is>
          <t>8100</t>
        </is>
      </c>
      <c r="D152" s="2" t="inlineStr">
        <is>
          <t>8100-WS 8100 (280426)</t>
        </is>
      </c>
      <c r="E152" s="4" t="n">
        <v>20</v>
      </c>
      <c r="G152" s="2" t="inlineStr">
        <is>
          <t>2026-07-17</t>
        </is>
      </c>
      <c r="H152" s="2" t="inlineStr">
        <is>
          <t>MAIZE/CORN</t>
        </is>
      </c>
      <c r="I152" s="4" t="n">
        <v>16.369</v>
      </c>
      <c r="J152" s="2" t="inlineStr">
        <is>
          <t>MILL-RUN-01</t>
        </is>
      </c>
    </row>
    <row r="153">
      <c r="A153" s="2" t="inlineStr">
        <is>
          <t>ORD-1149</t>
        </is>
      </c>
      <c r="B153" s="2" t="inlineStr">
        <is>
          <t>2026-05-02</t>
        </is>
      </c>
      <c r="C153" s="2" t="inlineStr">
        <is>
          <t>8102</t>
        </is>
      </c>
      <c r="D153" s="2" t="inlineStr">
        <is>
          <t>8102-WS 8102 (020326)</t>
        </is>
      </c>
      <c r="E153" s="4" t="n">
        <v>80</v>
      </c>
      <c r="G153" s="2" t="inlineStr">
        <is>
          <t>2026-07-18</t>
        </is>
      </c>
      <c r="H153" s="2" t="inlineStr">
        <is>
          <t>MAIZE/CORN</t>
        </is>
      </c>
      <c r="I153" s="4" t="n">
        <v>28.0654</v>
      </c>
      <c r="J153" s="2" t="inlineStr">
        <is>
          <t>MILL-RUN-01</t>
        </is>
      </c>
    </row>
    <row r="154">
      <c r="A154" s="2" t="inlineStr">
        <is>
          <t>ORD-1150</t>
        </is>
      </c>
      <c r="B154" s="2" t="inlineStr">
        <is>
          <t>2026-05-04</t>
        </is>
      </c>
      <c r="C154" s="2" t="inlineStr">
        <is>
          <t>1103P</t>
        </is>
      </c>
      <c r="D154" s="2" t="inlineStr">
        <is>
          <t>1103P-WS 1103 (290825)</t>
        </is>
      </c>
      <c r="E154" s="4" t="n">
        <v>50</v>
      </c>
      <c r="G154" s="2" t="inlineStr">
        <is>
          <t>2026-07-21</t>
        </is>
      </c>
      <c r="H154" s="2" t="inlineStr">
        <is>
          <t>MAIZE/CORN</t>
        </is>
      </c>
      <c r="I154" s="4" t="n">
        <v>37.2456</v>
      </c>
      <c r="J154" s="2" t="inlineStr">
        <is>
          <t>MILL-RUN-01</t>
        </is>
      </c>
    </row>
    <row r="155">
      <c r="A155" s="2" t="inlineStr">
        <is>
          <t>ORD-1151</t>
        </is>
      </c>
      <c r="B155" s="2" t="inlineStr">
        <is>
          <t>2026-05-04</t>
        </is>
      </c>
      <c r="C155" s="2" t="inlineStr">
        <is>
          <t>123</t>
        </is>
      </c>
      <c r="D155" s="2" t="inlineStr">
        <is>
          <t>123-YH 123 (190326)</t>
        </is>
      </c>
      <c r="E155" s="4" t="n">
        <v>50</v>
      </c>
      <c r="G155" s="2" t="inlineStr">
        <is>
          <t>2026-07-23</t>
        </is>
      </c>
      <c r="H155" s="2" t="inlineStr">
        <is>
          <t>MAIZE/CORN</t>
        </is>
      </c>
      <c r="I155" s="4" t="n">
        <v>16.6586</v>
      </c>
      <c r="J155" s="2" t="inlineStr">
        <is>
          <t>MILL-RUN-01</t>
        </is>
      </c>
    </row>
    <row r="156">
      <c r="A156" s="2" t="inlineStr">
        <is>
          <t>ORD-1152</t>
        </is>
      </c>
      <c r="B156" s="2" t="inlineStr">
        <is>
          <t>2026-05-06</t>
        </is>
      </c>
      <c r="C156" s="2" t="inlineStr">
        <is>
          <t>8102</t>
        </is>
      </c>
      <c r="D156" s="2" t="inlineStr">
        <is>
          <t>8102-WS 8102 (020326)</t>
        </is>
      </c>
      <c r="E156" s="4" t="n">
        <v>38</v>
      </c>
      <c r="G156" s="2" t="inlineStr">
        <is>
          <t>2026-07-24</t>
        </is>
      </c>
      <c r="H156" s="2" t="inlineStr">
        <is>
          <t>MAIZE/CORN</t>
        </is>
      </c>
      <c r="I156" s="4" t="n">
        <v>26.9952</v>
      </c>
      <c r="J156" s="2" t="inlineStr">
        <is>
          <t>MILL-RUN-01</t>
        </is>
      </c>
    </row>
    <row r="157">
      <c r="A157" s="2" t="inlineStr">
        <is>
          <t>ORD-1153</t>
        </is>
      </c>
      <c r="B157" s="2" t="inlineStr">
        <is>
          <t>2026-05-07</t>
        </is>
      </c>
      <c r="C157" s="2" t="inlineStr">
        <is>
          <t>8102</t>
        </is>
      </c>
      <c r="D157" s="2" t="inlineStr">
        <is>
          <t>8102-WS 8102 (060526)</t>
        </is>
      </c>
      <c r="E157" s="4" t="n">
        <v>82</v>
      </c>
      <c r="G157" s="2" t="inlineStr">
        <is>
          <t>2026-07-25</t>
        </is>
      </c>
      <c r="H157" s="2" t="inlineStr">
        <is>
          <t>MAIZE/CORN</t>
        </is>
      </c>
      <c r="I157" s="4" t="n">
        <v>31.7122</v>
      </c>
      <c r="J157" s="2" t="inlineStr">
        <is>
          <t>MILL-RUN-01</t>
        </is>
      </c>
    </row>
    <row r="158">
      <c r="A158" s="2" t="inlineStr">
        <is>
          <t>ORD-1154</t>
        </is>
      </c>
      <c r="B158" s="2" t="inlineStr">
        <is>
          <t>2026-05-08</t>
        </is>
      </c>
      <c r="C158" s="2" t="inlineStr">
        <is>
          <t>8102</t>
        </is>
      </c>
      <c r="D158" s="2" t="inlineStr">
        <is>
          <t>8102-WS 8102 (060526)</t>
        </is>
      </c>
      <c r="E158" s="4" t="n">
        <v>18</v>
      </c>
      <c r="G158" s="2" t="inlineStr">
        <is>
          <t>2026-07-27</t>
        </is>
      </c>
      <c r="H158" s="2" t="inlineStr">
        <is>
          <t>MAIZE/CORN</t>
        </is>
      </c>
      <c r="I158" s="4" t="n">
        <v>36.3944</v>
      </c>
      <c r="J158" s="2" t="inlineStr">
        <is>
          <t>MILL-RUN-01</t>
        </is>
      </c>
    </row>
    <row r="159">
      <c r="A159" s="2" t="inlineStr">
        <is>
          <t>ORD-1155</t>
        </is>
      </c>
      <c r="B159" s="2" t="inlineStr">
        <is>
          <t>2026-05-08</t>
        </is>
      </c>
      <c r="C159" s="2" t="inlineStr">
        <is>
          <t>8102</t>
        </is>
      </c>
      <c r="D159" s="2" t="inlineStr">
        <is>
          <t>8102-WS 8109 (080526)</t>
        </is>
      </c>
      <c r="E159" s="4" t="n">
        <v>54</v>
      </c>
      <c r="G159" s="2" t="inlineStr">
        <is>
          <t>2026-07-30</t>
        </is>
      </c>
      <c r="H159" s="2" t="inlineStr">
        <is>
          <t>MAIZE/CORN</t>
        </is>
      </c>
      <c r="I159" s="4" t="n">
        <v>11.0648</v>
      </c>
      <c r="J159" s="2" t="inlineStr">
        <is>
          <t>MILL-RUN-01</t>
        </is>
      </c>
    </row>
    <row r="160">
      <c r="A160" s="2" t="inlineStr">
        <is>
          <t>ORD-1156</t>
        </is>
      </c>
      <c r="B160" s="2" t="inlineStr">
        <is>
          <t>2026-05-09</t>
        </is>
      </c>
      <c r="C160" s="2" t="inlineStr">
        <is>
          <t>8100</t>
        </is>
      </c>
      <c r="D160" s="2" t="inlineStr">
        <is>
          <t>8100-WS 8100 (280426)</t>
        </is>
      </c>
      <c r="E160" s="4" t="n">
        <v>10</v>
      </c>
      <c r="G160" s="2" t="inlineStr">
        <is>
          <t>2026-07-31</t>
        </is>
      </c>
      <c r="H160" s="2" t="inlineStr">
        <is>
          <t>MAIZE/CORN</t>
        </is>
      </c>
      <c r="I160" s="4" t="n">
        <v>46.3518</v>
      </c>
      <c r="J160" s="2" t="inlineStr">
        <is>
          <t>MILL-RUN-01</t>
        </is>
      </c>
    </row>
    <row r="161">
      <c r="A161" s="2" t="inlineStr">
        <is>
          <t>ORD-1157</t>
        </is>
      </c>
      <c r="B161" s="2" t="inlineStr">
        <is>
          <t>2026-05-11</t>
        </is>
      </c>
      <c r="C161" s="2" t="inlineStr">
        <is>
          <t>8102</t>
        </is>
      </c>
      <c r="D161" s="2" t="inlineStr">
        <is>
          <t>8102-WS 8102 (070526)</t>
        </is>
      </c>
      <c r="E161" s="4" t="n">
        <v>20</v>
      </c>
      <c r="G161" s="2" t="inlineStr">
        <is>
          <t>2026-08-03</t>
        </is>
      </c>
      <c r="H161" s="2" t="inlineStr">
        <is>
          <t>MAIZE/CORN</t>
        </is>
      </c>
      <c r="I161" s="4" t="n">
        <v>33.0626</v>
      </c>
      <c r="J161" s="2" t="inlineStr">
        <is>
          <t>5202 20mt, 8102 40mt</t>
        </is>
      </c>
    </row>
    <row r="162">
      <c r="A162" s="2" t="inlineStr">
        <is>
          <t>ORD-1158</t>
        </is>
      </c>
      <c r="B162" s="2" t="inlineStr">
        <is>
          <t>2026-05-11</t>
        </is>
      </c>
      <c r="C162" s="2" t="inlineStr">
        <is>
          <t>8102</t>
        </is>
      </c>
      <c r="D162" s="2" t="inlineStr">
        <is>
          <t>8102-WS 8109 (080526)</t>
        </is>
      </c>
      <c r="E162" s="4" t="n">
        <v>50</v>
      </c>
      <c r="G162" s="2" t="inlineStr">
        <is>
          <t>2026-08-04</t>
        </is>
      </c>
      <c r="H162" s="2" t="inlineStr">
        <is>
          <t>MAIZE/CORN</t>
        </is>
      </c>
      <c r="I162" s="4" t="n">
        <v>19.4022</v>
      </c>
      <c r="J162" s="2" t="inlineStr">
        <is>
          <t>MILL-RUN-01</t>
        </is>
      </c>
    </row>
    <row r="163">
      <c r="A163" s="2" t="inlineStr">
        <is>
          <t>ORD-1159</t>
        </is>
      </c>
      <c r="B163" s="2" t="inlineStr">
        <is>
          <t>2026-05-12</t>
        </is>
      </c>
      <c r="C163" s="2" t="inlineStr">
        <is>
          <t>1103P</t>
        </is>
      </c>
      <c r="D163" s="2" t="inlineStr">
        <is>
          <t>1103P-WS 1103 (290825)</t>
        </is>
      </c>
      <c r="E163" s="4" t="n">
        <v>90</v>
      </c>
      <c r="G163" s="2" t="inlineStr">
        <is>
          <t>2026-01-02</t>
        </is>
      </c>
      <c r="H163" s="2" t="inlineStr">
        <is>
          <t>SOYBEAN MEAL (ARG)</t>
        </is>
      </c>
      <c r="I163" s="4" t="n">
        <v>13.2646</v>
      </c>
      <c r="J163" s="2" t="inlineStr">
        <is>
          <t>MILL-RUN-01</t>
        </is>
      </c>
    </row>
    <row r="164">
      <c r="A164" s="2" t="inlineStr">
        <is>
          <t>ORD-1160</t>
        </is>
      </c>
      <c r="B164" s="2" t="inlineStr">
        <is>
          <t>2026-05-13</t>
        </is>
      </c>
      <c r="C164" s="2" t="inlineStr">
        <is>
          <t>1102C/P</t>
        </is>
      </c>
      <c r="D164" s="2" t="inlineStr">
        <is>
          <t>1102C/P-WS 1102 (290825)</t>
        </is>
      </c>
      <c r="E164" s="4" t="n">
        <v>46</v>
      </c>
      <c r="G164" s="2" t="inlineStr">
        <is>
          <t>2026-01-03</t>
        </is>
      </c>
      <c r="H164" s="2" t="inlineStr">
        <is>
          <t>SOYBEAN MEAL (ARG)</t>
        </is>
      </c>
      <c r="I164" s="4" t="n">
        <v>18.547</v>
      </c>
      <c r="J164" s="2" t="inlineStr">
        <is>
          <t>MILL-RUN-01</t>
        </is>
      </c>
    </row>
    <row r="165">
      <c r="A165" s="2" t="inlineStr">
        <is>
          <t>ORD-1161</t>
        </is>
      </c>
      <c r="B165" s="2" t="inlineStr">
        <is>
          <t>2026-05-13</t>
        </is>
      </c>
      <c r="C165" s="2" t="inlineStr">
        <is>
          <t>8100</t>
        </is>
      </c>
      <c r="D165" s="2" t="inlineStr">
        <is>
          <t>8100-WS 8100 (280426)</t>
        </is>
      </c>
      <c r="E165" s="4" t="n">
        <v>44</v>
      </c>
      <c r="G165" s="2" t="inlineStr">
        <is>
          <t>2026-01-05</t>
        </is>
      </c>
      <c r="H165" s="2" t="inlineStr">
        <is>
          <t>SOYBEAN MEAL (ARG)</t>
        </is>
      </c>
      <c r="I165" s="4" t="n">
        <v>24.212</v>
      </c>
      <c r="J165" s="2" t="inlineStr">
        <is>
          <t>MILL-RUN-01</t>
        </is>
      </c>
    </row>
    <row r="166">
      <c r="A166" s="2" t="inlineStr">
        <is>
          <t>ORD-1162</t>
        </is>
      </c>
      <c r="B166" s="2" t="inlineStr">
        <is>
          <t>2026-05-14</t>
        </is>
      </c>
      <c r="C166" s="2" t="inlineStr">
        <is>
          <t>121</t>
        </is>
      </c>
      <c r="D166" s="2" t="inlineStr">
        <is>
          <t>121-311 (130526)</t>
        </is>
      </c>
      <c r="E166" s="4" t="n">
        <v>14</v>
      </c>
      <c r="G166" s="2" t="inlineStr">
        <is>
          <t>2026-01-06</t>
        </is>
      </c>
      <c r="H166" s="2" t="inlineStr">
        <is>
          <t>SOYBEAN MEAL (ARG)</t>
        </is>
      </c>
      <c r="I166" s="4" t="n">
        <v>21.5402</v>
      </c>
      <c r="J166" s="2" t="inlineStr">
        <is>
          <t>MILL-RUN-01</t>
        </is>
      </c>
    </row>
    <row r="167">
      <c r="A167" s="2" t="inlineStr">
        <is>
          <t>ORD-1163</t>
        </is>
      </c>
      <c r="B167" s="2" t="inlineStr">
        <is>
          <t>2026-05-15</t>
        </is>
      </c>
      <c r="C167" s="2" t="inlineStr">
        <is>
          <t>1103P</t>
        </is>
      </c>
      <c r="D167" s="2" t="inlineStr">
        <is>
          <t>1103P-WS 1103 (290825)</t>
        </is>
      </c>
      <c r="E167" s="4" t="n">
        <v>40</v>
      </c>
      <c r="G167" s="2" t="inlineStr">
        <is>
          <t>2026-01-07</t>
        </is>
      </c>
      <c r="H167" s="2" t="inlineStr">
        <is>
          <t>SOYBEAN MEAL (ARG)</t>
        </is>
      </c>
      <c r="I167" s="4" t="n">
        <v>19.3486</v>
      </c>
      <c r="J167" s="2" t="inlineStr">
        <is>
          <t>MILL-RUN-01</t>
        </is>
      </c>
    </row>
    <row r="168">
      <c r="A168" s="2" t="inlineStr">
        <is>
          <t>ORD-1164</t>
        </is>
      </c>
      <c r="B168" s="2" t="inlineStr">
        <is>
          <t>2026-05-16</t>
        </is>
      </c>
      <c r="C168" s="2" t="inlineStr">
        <is>
          <t>8102</t>
        </is>
      </c>
      <c r="D168" s="2" t="inlineStr">
        <is>
          <t>8102-WS 8102 (070526)</t>
        </is>
      </c>
      <c r="E168" s="4" t="n">
        <v>60</v>
      </c>
      <c r="G168" s="2" t="inlineStr">
        <is>
          <t>2026-01-08</t>
        </is>
      </c>
      <c r="H168" s="2" t="inlineStr">
        <is>
          <t>SOYBEAN MEAL (ARG)</t>
        </is>
      </c>
      <c r="I168" s="4" t="n">
        <v>8.366</v>
      </c>
      <c r="J168" s="2" t="inlineStr">
        <is>
          <t>MILL-RUN-01</t>
        </is>
      </c>
    </row>
    <row r="169">
      <c r="A169" s="2" t="inlineStr">
        <is>
          <t>ORD-1165</t>
        </is>
      </c>
      <c r="B169" s="2" t="inlineStr">
        <is>
          <t>2026-05-18</t>
        </is>
      </c>
      <c r="C169" s="2" t="inlineStr">
        <is>
          <t>1102C/P</t>
        </is>
      </c>
      <c r="D169" s="2" t="inlineStr">
        <is>
          <t>1102C/P-WS 1102 (290825)</t>
        </is>
      </c>
      <c r="E169" s="4" t="n">
        <v>30</v>
      </c>
      <c r="G169" s="2" t="inlineStr">
        <is>
          <t>2026-01-09</t>
        </is>
      </c>
      <c r="H169" s="2" t="inlineStr">
        <is>
          <t>SOYBEAN MEAL (ARG)</t>
        </is>
      </c>
      <c r="I169" s="4" t="n">
        <v>11.1596</v>
      </c>
      <c r="J169" s="2" t="inlineStr">
        <is>
          <t>MILL-RUN-01</t>
        </is>
      </c>
    </row>
    <row r="170">
      <c r="A170" s="2" t="inlineStr">
        <is>
          <t>ORD-1166</t>
        </is>
      </c>
      <c r="B170" s="2" t="inlineStr">
        <is>
          <t>2026-05-18</t>
        </is>
      </c>
      <c r="C170" s="2" t="inlineStr">
        <is>
          <t>8102</t>
        </is>
      </c>
      <c r="D170" s="2" t="inlineStr">
        <is>
          <t>8102-WS 8102 (070526)</t>
        </is>
      </c>
      <c r="E170" s="4" t="n">
        <v>50</v>
      </c>
      <c r="G170" s="2" t="inlineStr">
        <is>
          <t>2026-01-10</t>
        </is>
      </c>
      <c r="H170" s="2" t="inlineStr">
        <is>
          <t>SOYBEAN MEAL (ARG)</t>
        </is>
      </c>
      <c r="I170" s="4" t="n">
        <v>6.644600000000001</v>
      </c>
      <c r="J170" s="2" t="inlineStr">
        <is>
          <t>MILL-RUN-01</t>
        </is>
      </c>
    </row>
    <row r="171">
      <c r="A171" s="2" t="inlineStr">
        <is>
          <t>ORD-1167</t>
        </is>
      </c>
      <c r="B171" s="2" t="inlineStr">
        <is>
          <t>2026-05-19</t>
        </is>
      </c>
      <c r="C171" s="2" t="inlineStr">
        <is>
          <t>1103P</t>
        </is>
      </c>
      <c r="D171" s="2" t="inlineStr">
        <is>
          <t>1103P-WS 1103 (290825)</t>
        </is>
      </c>
      <c r="E171" s="4" t="n">
        <v>90</v>
      </c>
      <c r="G171" s="2" t="inlineStr">
        <is>
          <t>2026-01-12</t>
        </is>
      </c>
      <c r="H171" s="2" t="inlineStr">
        <is>
          <t>SOYBEAN MEAL (ARG)</t>
        </is>
      </c>
      <c r="I171" s="4" t="n">
        <v>15.3798</v>
      </c>
      <c r="J171" s="2" t="inlineStr">
        <is>
          <t>MILL-RUN-01</t>
        </is>
      </c>
    </row>
    <row r="172">
      <c r="A172" s="2" t="inlineStr">
        <is>
          <t>ORD-1168</t>
        </is>
      </c>
      <c r="B172" s="2" t="inlineStr">
        <is>
          <t>2026-05-20</t>
        </is>
      </c>
      <c r="C172" s="2" t="inlineStr">
        <is>
          <t>8100</t>
        </is>
      </c>
      <c r="D172" s="2" t="inlineStr">
        <is>
          <t>8100-WS 8100 (280426)</t>
        </is>
      </c>
      <c r="E172" s="4" t="n">
        <v>10</v>
      </c>
      <c r="G172" s="2" t="inlineStr">
        <is>
          <t>2026-01-13</t>
        </is>
      </c>
      <c r="H172" s="2" t="inlineStr">
        <is>
          <t>SOYBEAN MEAL (ARG)</t>
        </is>
      </c>
      <c r="I172" s="4" t="n">
        <v>15.4564</v>
      </c>
      <c r="J172" s="2" t="inlineStr">
        <is>
          <t>MILL-RUN-01</t>
        </is>
      </c>
    </row>
    <row r="173">
      <c r="A173" s="2" t="inlineStr">
        <is>
          <t>ORD-1169</t>
        </is>
      </c>
      <c r="B173" s="2" t="inlineStr">
        <is>
          <t>2026-05-21</t>
        </is>
      </c>
      <c r="C173" s="2" t="inlineStr">
        <is>
          <t>122</t>
        </is>
      </c>
      <c r="D173" s="2" t="inlineStr">
        <is>
          <t>122-5201 (090426)</t>
        </is>
      </c>
      <c r="E173" s="4" t="n">
        <v>10</v>
      </c>
      <c r="G173" s="2" t="inlineStr">
        <is>
          <t>2026-01-15</t>
        </is>
      </c>
      <c r="H173" s="2" t="inlineStr">
        <is>
          <t>SOYBEAN MEAL (ARG)</t>
        </is>
      </c>
      <c r="I173" s="4" t="n">
        <v>16.6058</v>
      </c>
      <c r="J173" s="2" t="inlineStr">
        <is>
          <t>MILL-RUN-01</t>
        </is>
      </c>
    </row>
    <row r="174">
      <c r="A174" s="2" t="inlineStr">
        <is>
          <t>ORD-1170</t>
        </is>
      </c>
      <c r="B174" s="2" t="inlineStr">
        <is>
          <t>2026-05-22</t>
        </is>
      </c>
      <c r="C174" s="2" t="inlineStr">
        <is>
          <t>121</t>
        </is>
      </c>
      <c r="D174" s="2" t="inlineStr">
        <is>
          <t>121-311 (130526)</t>
        </is>
      </c>
      <c r="E174" s="4" t="n">
        <v>36</v>
      </c>
      <c r="G174" s="2" t="inlineStr">
        <is>
          <t>2026-01-16</t>
        </is>
      </c>
      <c r="H174" s="2" t="inlineStr">
        <is>
          <t>SOYBEAN MEAL (ARG)</t>
        </is>
      </c>
      <c r="I174" s="4" t="n">
        <v>17.2362</v>
      </c>
      <c r="J174" s="2" t="inlineStr">
        <is>
          <t>MILL-RUN-01</t>
        </is>
      </c>
    </row>
    <row r="175">
      <c r="A175" s="2" t="inlineStr">
        <is>
          <t>ORD-1171</t>
        </is>
      </c>
      <c r="B175" s="2" t="inlineStr">
        <is>
          <t>2026-05-23</t>
        </is>
      </c>
      <c r="C175" s="2" t="inlineStr">
        <is>
          <t>8102</t>
        </is>
      </c>
      <c r="D175" s="2" t="inlineStr">
        <is>
          <t>8102-WS 8102 (070526)</t>
        </is>
      </c>
      <c r="E175" s="4" t="n">
        <v>50</v>
      </c>
      <c r="G175" s="2" t="inlineStr">
        <is>
          <t>2026-01-17</t>
        </is>
      </c>
      <c r="H175" s="2" t="inlineStr">
        <is>
          <t>SOYBEAN MEAL (ARG)</t>
        </is>
      </c>
      <c r="I175" s="4" t="n">
        <v>7.252</v>
      </c>
      <c r="J175" s="2" t="inlineStr">
        <is>
          <t>MILL-RUN-01</t>
        </is>
      </c>
    </row>
    <row r="176">
      <c r="A176" s="2" t="inlineStr">
        <is>
          <t>ORD-1172</t>
        </is>
      </c>
      <c r="B176" s="2" t="inlineStr">
        <is>
          <t>2026-05-25</t>
        </is>
      </c>
      <c r="C176" s="2" t="inlineStr">
        <is>
          <t>8100</t>
        </is>
      </c>
      <c r="D176" s="2" t="inlineStr">
        <is>
          <t>8100-WS 8100 (280426)</t>
        </is>
      </c>
      <c r="E176" s="4" t="n">
        <v>14</v>
      </c>
      <c r="G176" s="2" t="inlineStr">
        <is>
          <t>2026-01-19</t>
        </is>
      </c>
      <c r="H176" s="2" t="inlineStr">
        <is>
          <t>SOYBEAN MEAL (ARG)</t>
        </is>
      </c>
      <c r="I176" s="4" t="n">
        <v>22.026</v>
      </c>
      <c r="J176" s="2" t="inlineStr">
        <is>
          <t>MILL-RUN-01</t>
        </is>
      </c>
    </row>
    <row r="177">
      <c r="A177" s="2" t="inlineStr">
        <is>
          <t>ORD-1173</t>
        </is>
      </c>
      <c r="B177" s="2" t="inlineStr">
        <is>
          <t>2026-05-25</t>
        </is>
      </c>
      <c r="C177" s="2" t="inlineStr">
        <is>
          <t>122</t>
        </is>
      </c>
      <c r="D177" s="2" t="inlineStr">
        <is>
          <t>122-5201 (090426)</t>
        </is>
      </c>
      <c r="E177" s="4" t="n">
        <v>20</v>
      </c>
      <c r="G177" s="2" t="inlineStr">
        <is>
          <t>2026-01-20</t>
        </is>
      </c>
      <c r="H177" s="2" t="inlineStr">
        <is>
          <t>SOYBEAN MEAL (ARG)</t>
        </is>
      </c>
      <c r="I177" s="4" t="n">
        <v>6.8248</v>
      </c>
      <c r="J177" s="2" t="inlineStr">
        <is>
          <t>MILL-RUN-01</t>
        </is>
      </c>
    </row>
    <row r="178">
      <c r="A178" s="2" t="inlineStr">
        <is>
          <t>ORD-1174</t>
        </is>
      </c>
      <c r="B178" s="2" t="inlineStr">
        <is>
          <t>2026-05-26</t>
        </is>
      </c>
      <c r="C178" s="2" t="inlineStr">
        <is>
          <t>1103P</t>
        </is>
      </c>
      <c r="D178" s="2" t="inlineStr">
        <is>
          <t>1103P-WS 1103 (220526)</t>
        </is>
      </c>
      <c r="E178" s="4" t="n">
        <v>60</v>
      </c>
      <c r="G178" s="2" t="inlineStr">
        <is>
          <t>2026-01-21</t>
        </is>
      </c>
      <c r="H178" s="2" t="inlineStr">
        <is>
          <t>SOYBEAN MEAL (ARG)</t>
        </is>
      </c>
      <c r="I178" s="4" t="n">
        <v>5.5408</v>
      </c>
      <c r="J178" s="2" t="inlineStr">
        <is>
          <t>MILL-RUN-01</t>
        </is>
      </c>
    </row>
    <row r="179">
      <c r="A179" s="2" t="inlineStr">
        <is>
          <t>ORD-1175</t>
        </is>
      </c>
      <c r="B179" s="2" t="inlineStr">
        <is>
          <t>2026-05-28</t>
        </is>
      </c>
      <c r="C179" s="2" t="inlineStr">
        <is>
          <t>8102</t>
        </is>
      </c>
      <c r="D179" s="2" t="inlineStr">
        <is>
          <t>8102-WS 8102 (070526)</t>
        </is>
      </c>
      <c r="E179" s="4" t="n">
        <v>14</v>
      </c>
      <c r="G179" s="2" t="inlineStr">
        <is>
          <t>2026-01-22</t>
        </is>
      </c>
      <c r="H179" s="2" t="inlineStr">
        <is>
          <t>SOYBEAN MEAL (ARG)</t>
        </is>
      </c>
      <c r="I179" s="4" t="n">
        <v>11.1628</v>
      </c>
      <c r="J179" s="2" t="inlineStr">
        <is>
          <t>MILL-RUN-01</t>
        </is>
      </c>
    </row>
    <row r="180">
      <c r="A180" s="2" t="inlineStr">
        <is>
          <t>ORD-1176</t>
        </is>
      </c>
      <c r="B180" s="2" t="inlineStr">
        <is>
          <t>2026-05-29</t>
        </is>
      </c>
      <c r="C180" s="2" t="inlineStr">
        <is>
          <t>122</t>
        </is>
      </c>
      <c r="D180" s="2" t="inlineStr">
        <is>
          <t>122-5202 (090426)</t>
        </is>
      </c>
      <c r="E180" s="4" t="n">
        <v>20</v>
      </c>
      <c r="G180" s="2" t="inlineStr">
        <is>
          <t>2026-01-23</t>
        </is>
      </c>
      <c r="H180" s="2" t="inlineStr">
        <is>
          <t>SOYBEAN MEAL (ARG)</t>
        </is>
      </c>
      <c r="I180" s="4" t="n">
        <v>16.562</v>
      </c>
      <c r="J180" s="2" t="inlineStr">
        <is>
          <t>MILL-RUN-01</t>
        </is>
      </c>
    </row>
    <row r="181">
      <c r="A181" s="2" t="inlineStr">
        <is>
          <t>ORD-1177</t>
        </is>
      </c>
      <c r="B181" s="2" t="inlineStr">
        <is>
          <t>2026-05-30</t>
        </is>
      </c>
      <c r="C181" s="2" t="inlineStr">
        <is>
          <t>122</t>
        </is>
      </c>
      <c r="D181" s="2" t="inlineStr">
        <is>
          <t>122-5202 (090426)</t>
        </is>
      </c>
      <c r="E181" s="4" t="n">
        <v>4</v>
      </c>
      <c r="G181" s="2" t="inlineStr">
        <is>
          <t>2026-01-24</t>
        </is>
      </c>
      <c r="H181" s="2" t="inlineStr">
        <is>
          <t>SOYBEAN MEAL (ARG)</t>
        </is>
      </c>
      <c r="I181" s="4" t="n">
        <v>7.255</v>
      </c>
      <c r="J181" s="2" t="inlineStr">
        <is>
          <t>MILL-RUN-01</t>
        </is>
      </c>
    </row>
    <row r="182">
      <c r="A182" s="2" t="inlineStr">
        <is>
          <t>ORD-1178</t>
        </is>
      </c>
      <c r="B182" s="2" t="inlineStr">
        <is>
          <t>2026-06-02</t>
        </is>
      </c>
      <c r="C182" s="2" t="inlineStr">
        <is>
          <t>8102</t>
        </is>
      </c>
      <c r="D182" s="2" t="inlineStr">
        <is>
          <t>8102-WS 8102 (070526)</t>
        </is>
      </c>
      <c r="E182" s="4" t="n">
        <v>16</v>
      </c>
      <c r="G182" s="2" t="inlineStr">
        <is>
          <t>2026-01-26</t>
        </is>
      </c>
      <c r="H182" s="2" t="inlineStr">
        <is>
          <t>SOYBEAN MEAL (ARG)</t>
        </is>
      </c>
      <c r="I182" s="4" t="n">
        <v>13.2794</v>
      </c>
      <c r="J182" s="2" t="inlineStr">
        <is>
          <t>MILL-RUN-01</t>
        </is>
      </c>
    </row>
    <row r="183">
      <c r="A183" s="2" t="inlineStr">
        <is>
          <t>ORD-1179</t>
        </is>
      </c>
      <c r="B183" s="2" t="inlineStr">
        <is>
          <t>2026-06-03</t>
        </is>
      </c>
      <c r="C183" s="2" t="inlineStr">
        <is>
          <t>8102</t>
        </is>
      </c>
      <c r="D183" s="2" t="inlineStr">
        <is>
          <t>8102-WS 8102 (070526)</t>
        </is>
      </c>
      <c r="E183" s="4" t="n">
        <v>20</v>
      </c>
      <c r="G183" s="2" t="inlineStr">
        <is>
          <t>2026-01-27</t>
        </is>
      </c>
      <c r="H183" s="2" t="inlineStr">
        <is>
          <t>SOYBEAN MEAL (ARG)</t>
        </is>
      </c>
      <c r="I183" s="4" t="n">
        <v>17.1744</v>
      </c>
      <c r="J183" s="2" t="inlineStr">
        <is>
          <t>MILL-RUN-01</t>
        </is>
      </c>
    </row>
    <row r="184">
      <c r="A184" s="2" t="inlineStr">
        <is>
          <t>ORD-1180</t>
        </is>
      </c>
      <c r="B184" s="2" t="inlineStr">
        <is>
          <t>2026-06-04</t>
        </is>
      </c>
      <c r="C184" s="2" t="inlineStr">
        <is>
          <t>8102</t>
        </is>
      </c>
      <c r="D184" s="2" t="inlineStr">
        <is>
          <t>8102-WS 8102 (070526)</t>
        </is>
      </c>
      <c r="E184" s="4" t="n">
        <v>40</v>
      </c>
      <c r="G184" s="2" t="inlineStr">
        <is>
          <t>2026-01-28</t>
        </is>
      </c>
      <c r="H184" s="2" t="inlineStr">
        <is>
          <t>SOYBEAN MEAL (ARG)</t>
        </is>
      </c>
      <c r="I184" s="4" t="n">
        <v>9.476799999999999</v>
      </c>
      <c r="J184" s="2" t="inlineStr">
        <is>
          <t>MILL-RUN-01</t>
        </is>
      </c>
    </row>
    <row r="185">
      <c r="A185" s="2" t="inlineStr">
        <is>
          <t>ORD-1181</t>
        </is>
      </c>
      <c r="B185" s="2" t="inlineStr">
        <is>
          <t>2026-06-04</t>
        </is>
      </c>
      <c r="C185" s="2" t="inlineStr">
        <is>
          <t>122</t>
        </is>
      </c>
      <c r="D185" s="2" t="inlineStr">
        <is>
          <t>122-5201 (090426)</t>
        </is>
      </c>
      <c r="E185" s="4" t="n">
        <v>20</v>
      </c>
      <c r="G185" s="2" t="inlineStr">
        <is>
          <t>2026-01-30</t>
        </is>
      </c>
      <c r="H185" s="2" t="inlineStr">
        <is>
          <t>SOYBEAN MEAL (ARG)</t>
        </is>
      </c>
      <c r="I185" s="4" t="n">
        <v>2.1856</v>
      </c>
      <c r="J185" s="2" t="inlineStr">
        <is>
          <t>MILL-RUN-01</t>
        </is>
      </c>
    </row>
    <row r="186">
      <c r="A186" s="2" t="inlineStr">
        <is>
          <t>ORD-1182</t>
        </is>
      </c>
      <c r="B186" s="2" t="inlineStr">
        <is>
          <t>2026-06-04</t>
        </is>
      </c>
      <c r="C186" s="2" t="inlineStr">
        <is>
          <t>122</t>
        </is>
      </c>
      <c r="D186" s="2" t="inlineStr">
        <is>
          <t>122-5202 (090426)</t>
        </is>
      </c>
      <c r="E186" s="4" t="n">
        <v>30</v>
      </c>
      <c r="G186" s="2" t="inlineStr">
        <is>
          <t>2026-01-31</t>
        </is>
      </c>
      <c r="H186" s="2" t="inlineStr">
        <is>
          <t>SOYBEAN MEAL (ARG)</t>
        </is>
      </c>
      <c r="I186" s="4" t="n">
        <v>15.2576</v>
      </c>
      <c r="J186" s="2" t="inlineStr">
        <is>
          <t>MILL-RUN-01</t>
        </is>
      </c>
    </row>
    <row r="187">
      <c r="A187" s="2" t="inlineStr">
        <is>
          <t>ORD-1183</t>
        </is>
      </c>
      <c r="B187" s="2" t="inlineStr">
        <is>
          <t>2026-06-05</t>
        </is>
      </c>
      <c r="C187" s="2" t="inlineStr">
        <is>
          <t>122</t>
        </is>
      </c>
      <c r="D187" s="2" t="inlineStr">
        <is>
          <t>122-5201 (090426)</t>
        </is>
      </c>
      <c r="E187" s="4" t="n">
        <v>30</v>
      </c>
      <c r="G187" s="2" t="inlineStr">
        <is>
          <t>2026-02-03</t>
        </is>
      </c>
      <c r="H187" s="2" t="inlineStr">
        <is>
          <t>SOYBEAN MEAL (ARG)</t>
        </is>
      </c>
      <c r="I187" s="4" t="n">
        <v>9.441600000000001</v>
      </c>
      <c r="J187" s="2" t="inlineStr">
        <is>
          <t>MILL-RUN-01</t>
        </is>
      </c>
    </row>
    <row r="188">
      <c r="A188" s="2" t="inlineStr">
        <is>
          <t>ORD-1184</t>
        </is>
      </c>
      <c r="B188" s="2" t="inlineStr">
        <is>
          <t>2026-06-06</t>
        </is>
      </c>
      <c r="C188" s="2" t="inlineStr">
        <is>
          <t>8102</t>
        </is>
      </c>
      <c r="D188" s="2" t="inlineStr">
        <is>
          <t>8102-WS 8102 (070526)</t>
        </is>
      </c>
      <c r="E188" s="4" t="n">
        <v>38</v>
      </c>
      <c r="G188" s="2" t="inlineStr">
        <is>
          <t>2026-02-05</t>
        </is>
      </c>
      <c r="H188" s="2" t="inlineStr">
        <is>
          <t>SOYBEAN MEAL (ARG)</t>
        </is>
      </c>
      <c r="I188" s="4" t="n">
        <v>20.948</v>
      </c>
      <c r="J188" s="2" t="inlineStr">
        <is>
          <t>MILL-RUN-01</t>
        </is>
      </c>
    </row>
    <row r="189">
      <c r="A189" s="2" t="inlineStr">
        <is>
          <t>ORD-1185</t>
        </is>
      </c>
      <c r="B189" s="2" t="inlineStr">
        <is>
          <t>2026-06-06</t>
        </is>
      </c>
      <c r="C189" s="2" t="inlineStr">
        <is>
          <t>121</t>
        </is>
      </c>
      <c r="D189" s="2" t="inlineStr">
        <is>
          <t>121-311 (130526)</t>
        </is>
      </c>
      <c r="E189" s="4" t="n">
        <v>30</v>
      </c>
      <c r="G189" s="2" t="inlineStr">
        <is>
          <t>2026-02-06</t>
        </is>
      </c>
      <c r="H189" s="2" t="inlineStr">
        <is>
          <t>SOYBEAN MEAL (ARG)</t>
        </is>
      </c>
      <c r="I189" s="4" t="n">
        <v>14.3522</v>
      </c>
      <c r="J189" s="2" t="inlineStr">
        <is>
          <t>MILL-RUN-01</t>
        </is>
      </c>
    </row>
    <row r="190">
      <c r="A190" s="2" t="inlineStr">
        <is>
          <t>ORD-1186</t>
        </is>
      </c>
      <c r="B190" s="2" t="inlineStr">
        <is>
          <t>2026-06-08</t>
        </is>
      </c>
      <c r="C190" s="2" t="inlineStr">
        <is>
          <t>8102</t>
        </is>
      </c>
      <c r="D190" s="2" t="inlineStr">
        <is>
          <t>8102-WS 8102 (070526)</t>
        </is>
      </c>
      <c r="E190" s="4" t="n">
        <v>40</v>
      </c>
      <c r="G190" s="2" t="inlineStr">
        <is>
          <t>2026-02-07</t>
        </is>
      </c>
      <c r="H190" s="2" t="inlineStr">
        <is>
          <t>SOYBEAN MEAL (ARG)</t>
        </is>
      </c>
      <c r="I190" s="4" t="n">
        <v>14.312</v>
      </c>
      <c r="J190" s="2" t="inlineStr">
        <is>
          <t>MILL-RUN-01</t>
        </is>
      </c>
    </row>
    <row r="191">
      <c r="A191" s="2" t="inlineStr">
        <is>
          <t>ORD-1187</t>
        </is>
      </c>
      <c r="B191" s="2" t="inlineStr">
        <is>
          <t>2026-06-08</t>
        </is>
      </c>
      <c r="C191" s="2" t="inlineStr">
        <is>
          <t>122</t>
        </is>
      </c>
      <c r="D191" s="2" t="inlineStr">
        <is>
          <t>122-5202 (090426)</t>
        </is>
      </c>
      <c r="E191" s="4" t="n">
        <v>20</v>
      </c>
      <c r="G191" s="2" t="inlineStr">
        <is>
          <t>2026-02-09</t>
        </is>
      </c>
      <c r="H191" s="2" t="inlineStr">
        <is>
          <t>SOYBEAN MEAL (ARG)</t>
        </is>
      </c>
      <c r="I191" s="4" t="n">
        <v>33.478</v>
      </c>
      <c r="J191" s="2" t="inlineStr">
        <is>
          <t>MILL-RUN-01</t>
        </is>
      </c>
    </row>
    <row r="192">
      <c r="A192" s="2" t="inlineStr">
        <is>
          <t>ORD-1188</t>
        </is>
      </c>
      <c r="B192" s="2" t="inlineStr">
        <is>
          <t>2026-06-09</t>
        </is>
      </c>
      <c r="C192" s="2" t="inlineStr">
        <is>
          <t>8102</t>
        </is>
      </c>
      <c r="D192" s="2" t="inlineStr">
        <is>
          <t>8102-WS 8102 (070526)</t>
        </is>
      </c>
      <c r="E192" s="4" t="n">
        <v>60</v>
      </c>
      <c r="G192" s="2" t="inlineStr">
        <is>
          <t>2026-02-10</t>
        </is>
      </c>
      <c r="H192" s="2" t="inlineStr">
        <is>
          <t>SOYBEAN MEAL (ARG)</t>
        </is>
      </c>
      <c r="I192" s="4" t="n">
        <v>13.949</v>
      </c>
      <c r="J192" s="2" t="inlineStr">
        <is>
          <t>MILL-RUN-01</t>
        </is>
      </c>
    </row>
    <row r="193">
      <c r="A193" s="2" t="inlineStr">
        <is>
          <t>ORD-1189</t>
        </is>
      </c>
      <c r="B193" s="2" t="inlineStr">
        <is>
          <t>2026-06-11</t>
        </is>
      </c>
      <c r="C193" s="2" t="inlineStr">
        <is>
          <t>122</t>
        </is>
      </c>
      <c r="D193" s="2" t="inlineStr">
        <is>
          <t>122-5201 (090426)</t>
        </is>
      </c>
      <c r="E193" s="4" t="n">
        <v>4</v>
      </c>
      <c r="G193" s="2" t="inlineStr">
        <is>
          <t>2026-02-11</t>
        </is>
      </c>
      <c r="H193" s="2" t="inlineStr">
        <is>
          <t>SOYBEAN MEAL (ARG)</t>
        </is>
      </c>
      <c r="I193" s="4" t="n">
        <v>28.6208</v>
      </c>
      <c r="J193" s="2" t="inlineStr">
        <is>
          <t>MILL-RUN-01</t>
        </is>
      </c>
    </row>
    <row r="194">
      <c r="A194" s="2" t="inlineStr">
        <is>
          <t>ORD-1190</t>
        </is>
      </c>
      <c r="B194" s="2" t="inlineStr">
        <is>
          <t>2026-06-11</t>
        </is>
      </c>
      <c r="C194" s="2" t="inlineStr">
        <is>
          <t>122</t>
        </is>
      </c>
      <c r="D194" s="2" t="inlineStr">
        <is>
          <t>122-5202 (090426)</t>
        </is>
      </c>
      <c r="E194" s="4" t="n">
        <v>10</v>
      </c>
      <c r="G194" s="2" t="inlineStr">
        <is>
          <t>2026-02-12</t>
        </is>
      </c>
      <c r="H194" s="2" t="inlineStr">
        <is>
          <t>SOYBEAN MEAL (ARG)</t>
        </is>
      </c>
      <c r="I194" s="4" t="n">
        <v>22.5472</v>
      </c>
      <c r="J194" s="2" t="inlineStr">
        <is>
          <t>MILL-RUN-01</t>
        </is>
      </c>
    </row>
    <row r="195">
      <c r="A195" s="2" t="inlineStr">
        <is>
          <t>ORD-1191</t>
        </is>
      </c>
      <c r="B195" s="2" t="inlineStr">
        <is>
          <t>2026-06-12</t>
        </is>
      </c>
      <c r="C195" s="2" t="inlineStr">
        <is>
          <t>8102</t>
        </is>
      </c>
      <c r="D195" s="2" t="inlineStr">
        <is>
          <t>8102-WS 8102 (070526)</t>
        </is>
      </c>
      <c r="E195" s="4" t="n">
        <v>90</v>
      </c>
      <c r="G195" s="2" t="inlineStr">
        <is>
          <t>2026-02-13</t>
        </is>
      </c>
      <c r="H195" s="2" t="inlineStr">
        <is>
          <t>SOYBEAN MEAL (ARG)</t>
        </is>
      </c>
      <c r="I195" s="4" t="n">
        <v>39.7334</v>
      </c>
      <c r="J195" s="2" t="inlineStr">
        <is>
          <t>MILL-RUN-01</t>
        </is>
      </c>
    </row>
    <row r="196">
      <c r="A196" s="2" t="inlineStr">
        <is>
          <t>ORD-1192</t>
        </is>
      </c>
      <c r="B196" s="2" t="inlineStr">
        <is>
          <t>2026-06-12</t>
        </is>
      </c>
      <c r="C196" s="2" t="inlineStr">
        <is>
          <t>121</t>
        </is>
      </c>
      <c r="D196" s="2" t="inlineStr">
        <is>
          <t>121-311 (130526)</t>
        </is>
      </c>
      <c r="E196" s="4" t="n">
        <v>30</v>
      </c>
      <c r="G196" s="2" t="inlineStr">
        <is>
          <t>2026-02-16</t>
        </is>
      </c>
      <c r="H196" s="2" t="inlineStr">
        <is>
          <t>SOYBEAN MEAL (ARG)</t>
        </is>
      </c>
      <c r="I196" s="4" t="n">
        <v>9.788399999999999</v>
      </c>
      <c r="J196" s="2" t="inlineStr">
        <is>
          <t>MILL-RUN-01</t>
        </is>
      </c>
    </row>
    <row r="197">
      <c r="A197" s="2" t="inlineStr">
        <is>
          <t>ORD-1193</t>
        </is>
      </c>
      <c r="B197" s="2" t="inlineStr">
        <is>
          <t>2026-06-13</t>
        </is>
      </c>
      <c r="C197" s="2" t="inlineStr">
        <is>
          <t>122</t>
        </is>
      </c>
      <c r="D197" s="2" t="inlineStr">
        <is>
          <t>122-5201 (090426)</t>
        </is>
      </c>
      <c r="E197" s="4" t="n">
        <v>6</v>
      </c>
      <c r="G197" s="2" t="inlineStr">
        <is>
          <t>2026-02-19</t>
        </is>
      </c>
      <c r="H197" s="2" t="inlineStr">
        <is>
          <t>SOYBEAN MEAL (ARG)</t>
        </is>
      </c>
      <c r="I197" s="4" t="n">
        <v>31.0526</v>
      </c>
      <c r="J197" s="2" t="inlineStr">
        <is>
          <t>MILL-RUN-01</t>
        </is>
      </c>
    </row>
    <row r="198">
      <c r="A198" s="2" t="inlineStr">
        <is>
          <t>ORD-1194</t>
        </is>
      </c>
      <c r="B198" s="2" t="inlineStr">
        <is>
          <t>2026-06-13</t>
        </is>
      </c>
      <c r="C198" s="2" t="inlineStr">
        <is>
          <t>122</t>
        </is>
      </c>
      <c r="D198" s="2" t="inlineStr">
        <is>
          <t>122-5202 (090426)</t>
        </is>
      </c>
      <c r="E198" s="4" t="n">
        <v>30</v>
      </c>
      <c r="G198" s="2" t="inlineStr">
        <is>
          <t>2026-02-20</t>
        </is>
      </c>
      <c r="H198" s="2" t="inlineStr">
        <is>
          <t>SOYBEAN MEAL (ARG)</t>
        </is>
      </c>
      <c r="I198" s="4" t="n">
        <v>13.7202</v>
      </c>
      <c r="J198" s="2" t="inlineStr">
        <is>
          <t>MILL-RUN-01</t>
        </is>
      </c>
    </row>
    <row r="199">
      <c r="A199" s="2" t="inlineStr">
        <is>
          <t>ORD-1195</t>
        </is>
      </c>
      <c r="B199" s="2" t="inlineStr">
        <is>
          <t>2026-06-15</t>
        </is>
      </c>
      <c r="C199" s="2" t="inlineStr">
        <is>
          <t>122</t>
        </is>
      </c>
      <c r="D199" s="2" t="inlineStr">
        <is>
          <t>122-5202 (090426)</t>
        </is>
      </c>
      <c r="E199" s="4" t="n">
        <v>44</v>
      </c>
      <c r="G199" s="2" t="inlineStr">
        <is>
          <t>2026-02-21</t>
        </is>
      </c>
      <c r="H199" s="2" t="inlineStr">
        <is>
          <t>SOYBEAN MEAL (ARG)</t>
        </is>
      </c>
      <c r="I199" s="4" t="n">
        <v>18.7306</v>
      </c>
      <c r="J199" s="2" t="inlineStr">
        <is>
          <t>MILL-RUN-01</t>
        </is>
      </c>
    </row>
    <row r="200">
      <c r="A200" s="2" t="inlineStr">
        <is>
          <t>ORD-1196</t>
        </is>
      </c>
      <c r="B200" s="2" t="inlineStr">
        <is>
          <t>2026-06-16</t>
        </is>
      </c>
      <c r="C200" s="2" t="inlineStr">
        <is>
          <t>122</t>
        </is>
      </c>
      <c r="D200" s="2" t="inlineStr">
        <is>
          <t>122-5202 (090426)</t>
        </is>
      </c>
      <c r="E200" s="4" t="n">
        <v>20</v>
      </c>
      <c r="G200" s="2" t="inlineStr">
        <is>
          <t>2026-02-23</t>
        </is>
      </c>
      <c r="H200" s="2" t="inlineStr">
        <is>
          <t>SOYBEAN MEAL (ARG)</t>
        </is>
      </c>
      <c r="I200" s="4" t="n">
        <v>7.2548</v>
      </c>
      <c r="J200" s="2" t="inlineStr">
        <is>
          <t>MILL-RUN-01</t>
        </is>
      </c>
    </row>
    <row r="201">
      <c r="A201" s="2" t="inlineStr">
        <is>
          <t>ORD-1197</t>
        </is>
      </c>
      <c r="B201" s="2" t="inlineStr">
        <is>
          <t>2026-06-17</t>
        </is>
      </c>
      <c r="C201" s="2" t="inlineStr">
        <is>
          <t>122</t>
        </is>
      </c>
      <c r="D201" s="2" t="inlineStr">
        <is>
          <t>122-5202 (090426)</t>
        </is>
      </c>
      <c r="E201" s="4" t="n">
        <v>10</v>
      </c>
      <c r="G201" s="2" t="inlineStr">
        <is>
          <t>2026-02-24</t>
        </is>
      </c>
      <c r="H201" s="2" t="inlineStr">
        <is>
          <t>SOYBEAN MEAL (ARG)</t>
        </is>
      </c>
      <c r="I201" s="4" t="n">
        <v>13.0316</v>
      </c>
      <c r="J201" s="2" t="inlineStr">
        <is>
          <t>MILL-RUN-01</t>
        </is>
      </c>
    </row>
    <row r="202">
      <c r="A202" s="2" t="inlineStr">
        <is>
          <t>ORD-1198</t>
        </is>
      </c>
      <c r="B202" s="2" t="inlineStr">
        <is>
          <t>2026-06-19</t>
        </is>
      </c>
      <c r="C202" s="2" t="inlineStr">
        <is>
          <t>122</t>
        </is>
      </c>
      <c r="D202" s="2" t="inlineStr">
        <is>
          <t>122-5202 (090426)</t>
        </is>
      </c>
      <c r="E202" s="4" t="n">
        <v>90</v>
      </c>
      <c r="G202" s="2" t="inlineStr">
        <is>
          <t>2026-02-25</t>
        </is>
      </c>
      <c r="H202" s="2" t="inlineStr">
        <is>
          <t>SOYBEAN MEAL (ARG)</t>
        </is>
      </c>
      <c r="I202" s="4" t="n">
        <v>8.2568</v>
      </c>
      <c r="J202" s="2" t="inlineStr">
        <is>
          <t>MILL-RUN-01</t>
        </is>
      </c>
    </row>
    <row r="203">
      <c r="A203" s="2" t="inlineStr">
        <is>
          <t>ORD-1199</t>
        </is>
      </c>
      <c r="B203" s="2" t="inlineStr">
        <is>
          <t>2026-06-20</t>
        </is>
      </c>
      <c r="C203" s="2" t="inlineStr">
        <is>
          <t>122</t>
        </is>
      </c>
      <c r="D203" s="2" t="inlineStr">
        <is>
          <t>122-5203 (090426)</t>
        </is>
      </c>
      <c r="E203" s="4" t="n">
        <v>20</v>
      </c>
      <c r="G203" s="2" t="inlineStr">
        <is>
          <t>2026-02-26</t>
        </is>
      </c>
      <c r="H203" s="2" t="inlineStr">
        <is>
          <t>SOYBEAN MEAL (ARG)</t>
        </is>
      </c>
      <c r="I203" s="4" t="n">
        <v>5.3296</v>
      </c>
      <c r="J203" s="2" t="inlineStr">
        <is>
          <t>MILL-RUN-01</t>
        </is>
      </c>
    </row>
    <row r="204">
      <c r="A204" s="2" t="inlineStr">
        <is>
          <t>ORD-1200</t>
        </is>
      </c>
      <c r="B204" s="2" t="inlineStr">
        <is>
          <t>2026-06-23</t>
        </is>
      </c>
      <c r="C204" s="2" t="inlineStr">
        <is>
          <t>122</t>
        </is>
      </c>
      <c r="D204" s="2" t="inlineStr">
        <is>
          <t>122-5203 (090426)</t>
        </is>
      </c>
      <c r="E204" s="4" t="n">
        <v>20</v>
      </c>
      <c r="G204" s="2" t="inlineStr">
        <is>
          <t>2026-02-27</t>
        </is>
      </c>
      <c r="H204" s="2" t="inlineStr">
        <is>
          <t>SOYBEAN MEAL (ARG)</t>
        </is>
      </c>
      <c r="I204" s="4" t="n">
        <v>16.3148</v>
      </c>
      <c r="J204" s="2" t="inlineStr">
        <is>
          <t>MILL-RUN-01</t>
        </is>
      </c>
    </row>
    <row r="205">
      <c r="A205" s="2" t="inlineStr">
        <is>
          <t>ORD-1201</t>
        </is>
      </c>
      <c r="B205" s="2" t="inlineStr">
        <is>
          <t>2026-06-24</t>
        </is>
      </c>
      <c r="C205" s="2" t="inlineStr">
        <is>
          <t>122</t>
        </is>
      </c>
      <c r="D205" s="2" t="inlineStr">
        <is>
          <t>122-5202 (090426)</t>
        </is>
      </c>
      <c r="E205" s="4" t="n">
        <v>24</v>
      </c>
      <c r="G205" s="2" t="inlineStr">
        <is>
          <t>2026-02-28</t>
        </is>
      </c>
      <c r="H205" s="2" t="inlineStr">
        <is>
          <t>SOYBEAN MEAL (ARG)</t>
        </is>
      </c>
      <c r="I205" s="4" t="n">
        <v>0.67</v>
      </c>
      <c r="J205" s="2" t="inlineStr">
        <is>
          <t>MILL-RUN-01</t>
        </is>
      </c>
    </row>
    <row r="206">
      <c r="A206" s="2" t="inlineStr">
        <is>
          <t>ORD-1202</t>
        </is>
      </c>
      <c r="B206" s="2" t="inlineStr">
        <is>
          <t>2026-06-25</t>
        </is>
      </c>
      <c r="C206" s="2" t="inlineStr">
        <is>
          <t>122</t>
        </is>
      </c>
      <c r="D206" s="2" t="inlineStr">
        <is>
          <t>122-5203 (090426)</t>
        </is>
      </c>
      <c r="E206" s="4" t="n">
        <v>20</v>
      </c>
      <c r="G206" s="2" t="inlineStr">
        <is>
          <t>2026-03-02</t>
        </is>
      </c>
      <c r="H206" s="2" t="inlineStr">
        <is>
          <t>SOYBEAN MEAL (ARG)</t>
        </is>
      </c>
      <c r="I206" s="4" t="n">
        <v>14.392</v>
      </c>
      <c r="J206" s="2" t="inlineStr">
        <is>
          <t>MILL-RUN-01</t>
        </is>
      </c>
    </row>
    <row r="207">
      <c r="A207" s="2" t="inlineStr">
        <is>
          <t>ORD-1203</t>
        </is>
      </c>
      <c r="B207" s="2" t="inlineStr">
        <is>
          <t>2026-06-26</t>
        </is>
      </c>
      <c r="C207" s="2" t="inlineStr">
        <is>
          <t>8102</t>
        </is>
      </c>
      <c r="D207" s="2" t="inlineStr">
        <is>
          <t>8102-WS 8102 (070526)</t>
        </is>
      </c>
      <c r="E207" s="4" t="n">
        <v>10</v>
      </c>
      <c r="G207" s="2" t="inlineStr">
        <is>
          <t>2026-03-03</t>
        </is>
      </c>
      <c r="H207" s="2" t="inlineStr">
        <is>
          <t>SOYBEAN MEAL (ARG)</t>
        </is>
      </c>
      <c r="I207" s="4" t="n">
        <v>22.8508</v>
      </c>
      <c r="J207" s="2" t="inlineStr">
        <is>
          <t>MILL-RUN-01</t>
        </is>
      </c>
    </row>
    <row r="208">
      <c r="A208" s="2" t="inlineStr">
        <is>
          <t>ORD-1204</t>
        </is>
      </c>
      <c r="B208" s="2" t="inlineStr">
        <is>
          <t>2026-06-26</t>
        </is>
      </c>
      <c r="C208" s="2" t="inlineStr">
        <is>
          <t>122</t>
        </is>
      </c>
      <c r="D208" s="2" t="inlineStr">
        <is>
          <t>122-5202 (090426)</t>
        </is>
      </c>
      <c r="E208" s="4" t="n">
        <v>46</v>
      </c>
      <c r="G208" s="2" t="inlineStr">
        <is>
          <t>2026-03-04</t>
        </is>
      </c>
      <c r="H208" s="2" t="inlineStr">
        <is>
          <t>SOYBEAN MEAL (ARG)</t>
        </is>
      </c>
      <c r="I208" s="4" t="n">
        <v>14.0598</v>
      </c>
      <c r="J208" s="2" t="inlineStr">
        <is>
          <t>MILL-RUN-01</t>
        </is>
      </c>
    </row>
    <row r="209">
      <c r="A209" s="2" t="inlineStr">
        <is>
          <t>ORD-1205</t>
        </is>
      </c>
      <c r="B209" s="2" t="inlineStr">
        <is>
          <t>2026-06-26</t>
        </is>
      </c>
      <c r="C209" s="2" t="inlineStr">
        <is>
          <t>122</t>
        </is>
      </c>
      <c r="D209" s="2" t="inlineStr">
        <is>
          <t>122-5203 (090426)</t>
        </is>
      </c>
      <c r="E209" s="4" t="n">
        <v>60</v>
      </c>
      <c r="G209" s="2" t="inlineStr">
        <is>
          <t>2026-03-05</t>
        </is>
      </c>
      <c r="H209" s="2" t="inlineStr">
        <is>
          <t>SOYBEAN MEAL (ARG)</t>
        </is>
      </c>
      <c r="I209" s="4" t="n">
        <v>5.2214</v>
      </c>
      <c r="J209" s="2" t="inlineStr">
        <is>
          <t>MILL-RUN-01</t>
        </is>
      </c>
    </row>
    <row r="210">
      <c r="A210" s="2" t="inlineStr">
        <is>
          <t>ORD-1206</t>
        </is>
      </c>
      <c r="B210" s="2" t="inlineStr">
        <is>
          <t>2026-06-27</t>
        </is>
      </c>
      <c r="C210" s="2" t="inlineStr">
        <is>
          <t>8100</t>
        </is>
      </c>
      <c r="D210" s="2" t="inlineStr">
        <is>
          <t>8100-WS 8100 (280426)</t>
        </is>
      </c>
      <c r="E210" s="4" t="n">
        <v>6</v>
      </c>
      <c r="G210" s="2" t="inlineStr">
        <is>
          <t>2026-03-06</t>
        </is>
      </c>
      <c r="H210" s="2" t="inlineStr">
        <is>
          <t>SOYBEAN MEAL (ARG)</t>
        </is>
      </c>
      <c r="I210" s="4" t="n">
        <v>14.3494</v>
      </c>
      <c r="J210" s="2" t="inlineStr">
        <is>
          <t>MILL-RUN-01</t>
        </is>
      </c>
    </row>
    <row r="211">
      <c r="A211" s="2" t="inlineStr">
        <is>
          <t>ORD-1207</t>
        </is>
      </c>
      <c r="B211" s="2" t="inlineStr">
        <is>
          <t>2026-06-29</t>
        </is>
      </c>
      <c r="C211" s="2" t="inlineStr">
        <is>
          <t>122</t>
        </is>
      </c>
      <c r="D211" s="2" t="inlineStr">
        <is>
          <t>122-5203 (090426)</t>
        </is>
      </c>
      <c r="E211" s="4" t="n">
        <v>60</v>
      </c>
      <c r="G211" s="2" t="inlineStr">
        <is>
          <t>2026-03-07</t>
        </is>
      </c>
      <c r="H211" s="2" t="inlineStr">
        <is>
          <t>SOYBEAN MEAL (ARG)</t>
        </is>
      </c>
      <c r="I211" s="4" t="n">
        <v>15.7528</v>
      </c>
      <c r="J211" s="2" t="inlineStr">
        <is>
          <t>MILL-RUN-01</t>
        </is>
      </c>
    </row>
    <row r="212">
      <c r="A212" s="2" t="inlineStr">
        <is>
          <t>ORD-1208</t>
        </is>
      </c>
      <c r="B212" s="2" t="inlineStr">
        <is>
          <t>2026-06-30</t>
        </is>
      </c>
      <c r="C212" s="2" t="inlineStr">
        <is>
          <t>122</t>
        </is>
      </c>
      <c r="D212" s="2" t="inlineStr">
        <is>
          <t>122-5203 (090426)</t>
        </is>
      </c>
      <c r="E212" s="4" t="n">
        <v>60</v>
      </c>
      <c r="G212" s="2" t="inlineStr">
        <is>
          <t>2026-03-09</t>
        </is>
      </c>
      <c r="H212" s="2" t="inlineStr">
        <is>
          <t>SOYBEAN MEAL (ARG)</t>
        </is>
      </c>
      <c r="I212" s="4" t="n">
        <v>22.6062</v>
      </c>
      <c r="J212" s="2" t="inlineStr">
        <is>
          <t>MILL-RUN-01</t>
        </is>
      </c>
    </row>
    <row r="213">
      <c r="A213" s="2" t="inlineStr">
        <is>
          <t>ORD-1209</t>
        </is>
      </c>
      <c r="B213" s="2" t="inlineStr">
        <is>
          <t>2026-07-01</t>
        </is>
      </c>
      <c r="C213" s="2" t="inlineStr">
        <is>
          <t>122</t>
        </is>
      </c>
      <c r="D213" s="2" t="inlineStr">
        <is>
          <t>122-5202 (090426)</t>
        </is>
      </c>
      <c r="E213" s="4" t="n">
        <v>6</v>
      </c>
      <c r="G213" s="2" t="inlineStr">
        <is>
          <t>2026-03-10</t>
        </is>
      </c>
      <c r="H213" s="2" t="inlineStr">
        <is>
          <t>SOYBEAN MEAL (ARG)</t>
        </is>
      </c>
      <c r="I213" s="4" t="n">
        <v>5.0794</v>
      </c>
      <c r="J213" s="2" t="inlineStr">
        <is>
          <t>MILL-RUN-01</t>
        </is>
      </c>
    </row>
    <row r="214">
      <c r="A214" s="2" t="inlineStr">
        <is>
          <t>ORD-1210</t>
        </is>
      </c>
      <c r="B214" s="2" t="inlineStr">
        <is>
          <t>2026-07-03</t>
        </is>
      </c>
      <c r="C214" s="2" t="inlineStr">
        <is>
          <t>122</t>
        </is>
      </c>
      <c r="D214" s="2" t="inlineStr">
        <is>
          <t>122-5203 (090426)</t>
        </is>
      </c>
      <c r="E214" s="4" t="n">
        <v>22</v>
      </c>
      <c r="G214" s="2" t="inlineStr">
        <is>
          <t>2026-03-13</t>
        </is>
      </c>
      <c r="H214" s="2" t="inlineStr">
        <is>
          <t>SOYBEAN MEAL (ARG)</t>
        </is>
      </c>
      <c r="I214" s="4" t="n">
        <v>19.4992</v>
      </c>
      <c r="J214" s="2" t="inlineStr">
        <is>
          <t>MILL-RUN-01</t>
        </is>
      </c>
    </row>
    <row r="215">
      <c r="A215" s="2" t="inlineStr">
        <is>
          <t>ORD-1211</t>
        </is>
      </c>
      <c r="B215" s="2" t="inlineStr">
        <is>
          <t>2026-07-04</t>
        </is>
      </c>
      <c r="C215" s="2" t="inlineStr">
        <is>
          <t>8102</t>
        </is>
      </c>
      <c r="D215" s="2" t="inlineStr">
        <is>
          <t>8102-WS 8102 (070526)</t>
        </is>
      </c>
      <c r="E215" s="4" t="n">
        <v>4</v>
      </c>
      <c r="G215" s="2" t="inlineStr">
        <is>
          <t>2026-03-14</t>
        </is>
      </c>
      <c r="H215" s="2" t="inlineStr">
        <is>
          <t>SOYBEAN MEAL (ARG)</t>
        </is>
      </c>
      <c r="I215" s="4" t="n">
        <v>15.6436</v>
      </c>
      <c r="J215" s="2" t="inlineStr">
        <is>
          <t>MILL-RUN-01</t>
        </is>
      </c>
    </row>
    <row r="216">
      <c r="A216" s="2" t="inlineStr">
        <is>
          <t>ORD-1212</t>
        </is>
      </c>
      <c r="B216" s="2" t="inlineStr">
        <is>
          <t>2026-07-06</t>
        </is>
      </c>
      <c r="C216" s="2" t="inlineStr">
        <is>
          <t>1101C</t>
        </is>
      </c>
      <c r="D216" s="2" t="inlineStr">
        <is>
          <t>1101C-WS 1101 (251124)</t>
        </is>
      </c>
      <c r="E216" s="4" t="n">
        <v>16</v>
      </c>
      <c r="G216" s="2" t="inlineStr">
        <is>
          <t>2026-03-16</t>
        </is>
      </c>
      <c r="H216" s="2" t="inlineStr">
        <is>
          <t>SOYBEAN MEAL (ARG)</t>
        </is>
      </c>
      <c r="I216" s="4" t="n">
        <v>31.9198</v>
      </c>
      <c r="J216" s="2" t="inlineStr">
        <is>
          <t>MILL-RUN-01</t>
        </is>
      </c>
    </row>
    <row r="217">
      <c r="A217" s="2" t="inlineStr">
        <is>
          <t>ORD-1213</t>
        </is>
      </c>
      <c r="B217" s="2" t="inlineStr">
        <is>
          <t>2026-07-06</t>
        </is>
      </c>
      <c r="C217" s="2" t="inlineStr">
        <is>
          <t>8100</t>
        </is>
      </c>
      <c r="D217" s="2" t="inlineStr">
        <is>
          <t>8100-WS 8100 (280426)</t>
        </is>
      </c>
      <c r="E217" s="4" t="n">
        <v>6</v>
      </c>
      <c r="G217" s="2" t="inlineStr">
        <is>
          <t>2026-03-17</t>
        </is>
      </c>
      <c r="H217" s="2" t="inlineStr">
        <is>
          <t>SOYBEAN MEAL (ARG)</t>
        </is>
      </c>
      <c r="I217" s="4" t="n">
        <v>23.066</v>
      </c>
      <c r="J217" s="2" t="inlineStr">
        <is>
          <t>MILL-RUN-01</t>
        </is>
      </c>
    </row>
    <row r="218">
      <c r="A218" s="2" t="inlineStr">
        <is>
          <t>ORD-1214</t>
        </is>
      </c>
      <c r="B218" s="2" t="inlineStr">
        <is>
          <t>2026-07-06</t>
        </is>
      </c>
      <c r="C218" s="2" t="inlineStr">
        <is>
          <t>122</t>
        </is>
      </c>
      <c r="D218" s="2" t="inlineStr">
        <is>
          <t>122-5201 (090426)</t>
        </is>
      </c>
      <c r="E218" s="4" t="n">
        <v>10</v>
      </c>
      <c r="G218" s="2" t="inlineStr">
        <is>
          <t>2026-03-18</t>
        </is>
      </c>
      <c r="H218" s="2" t="inlineStr">
        <is>
          <t>SOYBEAN MEAL (ARG)</t>
        </is>
      </c>
      <c r="I218" s="4" t="n">
        <v>27.5202</v>
      </c>
      <c r="J218" s="2" t="inlineStr">
        <is>
          <t>MILL-RUN-01</t>
        </is>
      </c>
    </row>
    <row r="219">
      <c r="A219" s="2" t="inlineStr">
        <is>
          <t>ORD-1215</t>
        </is>
      </c>
      <c r="B219" s="2" t="inlineStr">
        <is>
          <t>2026-07-07</t>
        </is>
      </c>
      <c r="C219" s="2" t="inlineStr">
        <is>
          <t>122</t>
        </is>
      </c>
      <c r="D219" s="2" t="inlineStr">
        <is>
          <t>122-5201 (090426)</t>
        </is>
      </c>
      <c r="E219" s="4" t="n">
        <v>24</v>
      </c>
      <c r="G219" s="2" t="inlineStr">
        <is>
          <t>2026-03-19</t>
        </is>
      </c>
      <c r="H219" s="2" t="inlineStr">
        <is>
          <t>SOYBEAN MEAL (ARG)</t>
        </is>
      </c>
      <c r="I219" s="4" t="n">
        <v>4.099399999999999</v>
      </c>
      <c r="J219" s="2" t="inlineStr">
        <is>
          <t>MILL-RUN-01</t>
        </is>
      </c>
    </row>
    <row r="220">
      <c r="A220" s="2" t="inlineStr">
        <is>
          <t>ORD-1216</t>
        </is>
      </c>
      <c r="B220" s="2" t="inlineStr">
        <is>
          <t>2026-07-09</t>
        </is>
      </c>
      <c r="C220" s="2" t="inlineStr">
        <is>
          <t>122</t>
        </is>
      </c>
      <c r="D220" s="2" t="inlineStr">
        <is>
          <t>122-5202 (090426)</t>
        </is>
      </c>
      <c r="E220" s="4" t="n">
        <v>18</v>
      </c>
      <c r="G220" s="2" t="inlineStr">
        <is>
          <t>2026-03-24</t>
        </is>
      </c>
      <c r="H220" s="2" t="inlineStr">
        <is>
          <t>SOYBEAN MEAL (ARG)</t>
        </is>
      </c>
      <c r="I220" s="4" t="n">
        <v>8.202399999999999</v>
      </c>
      <c r="J220" s="2" t="inlineStr">
        <is>
          <t>MILL-RUN-01</t>
        </is>
      </c>
    </row>
    <row r="221">
      <c r="A221" s="2" t="inlineStr">
        <is>
          <t>ORD-1217</t>
        </is>
      </c>
      <c r="B221" s="2" t="inlineStr">
        <is>
          <t>2026-07-10</t>
        </is>
      </c>
      <c r="C221" s="2" t="inlineStr">
        <is>
          <t>1102C/P</t>
        </is>
      </c>
      <c r="D221" s="2" t="inlineStr">
        <is>
          <t>1102C/P-WS 1102 (290825)</t>
        </is>
      </c>
      <c r="E221" s="4" t="n">
        <v>14</v>
      </c>
      <c r="G221" s="2" t="inlineStr">
        <is>
          <t>2026-03-25</t>
        </is>
      </c>
      <c r="H221" s="2" t="inlineStr">
        <is>
          <t>SOYBEAN MEAL (ARG)</t>
        </is>
      </c>
      <c r="I221" s="4" t="n">
        <v>32.1862</v>
      </c>
      <c r="J221" s="2" t="inlineStr">
        <is>
          <t>MILL-RUN-01</t>
        </is>
      </c>
    </row>
    <row r="222">
      <c r="A222" s="2" t="inlineStr">
        <is>
          <t>ORD-1218</t>
        </is>
      </c>
      <c r="B222" s="2" t="inlineStr">
        <is>
          <t>2026-07-10</t>
        </is>
      </c>
      <c r="C222" s="2" t="inlineStr">
        <is>
          <t>8102</t>
        </is>
      </c>
      <c r="D222" s="2" t="inlineStr">
        <is>
          <t>8102-WS 8102 (070526)</t>
        </is>
      </c>
      <c r="E222" s="4" t="n">
        <v>72</v>
      </c>
      <c r="G222" s="2" t="inlineStr">
        <is>
          <t>2026-03-26</t>
        </is>
      </c>
      <c r="H222" s="2" t="inlineStr">
        <is>
          <t>SOYBEAN MEAL (ARG)</t>
        </is>
      </c>
      <c r="I222" s="4" t="n">
        <v>12.6628</v>
      </c>
      <c r="J222" s="2" t="inlineStr">
        <is>
          <t>MILL-RUN-01</t>
        </is>
      </c>
    </row>
    <row r="223">
      <c r="A223" s="2" t="inlineStr">
        <is>
          <t>ORD-1219</t>
        </is>
      </c>
      <c r="B223" s="2" t="inlineStr">
        <is>
          <t>2026-07-10</t>
        </is>
      </c>
      <c r="C223" s="2" t="inlineStr">
        <is>
          <t>122</t>
        </is>
      </c>
      <c r="D223" s="2" t="inlineStr">
        <is>
          <t>122-5202 (090426)</t>
        </is>
      </c>
      <c r="E223" s="4" t="n">
        <v>80</v>
      </c>
      <c r="G223" s="2" t="inlineStr">
        <is>
          <t>2026-03-27</t>
        </is>
      </c>
      <c r="H223" s="2" t="inlineStr">
        <is>
          <t>SOYBEAN MEAL (ARG)</t>
        </is>
      </c>
      <c r="I223" s="4" t="n">
        <v>14.0534</v>
      </c>
      <c r="J223" s="2" t="inlineStr">
        <is>
          <t>MILL-RUN-01</t>
        </is>
      </c>
    </row>
    <row r="224">
      <c r="A224" s="2" t="inlineStr">
        <is>
          <t>ORD-1220</t>
        </is>
      </c>
      <c r="B224" s="2" t="inlineStr">
        <is>
          <t>2026-07-13</t>
        </is>
      </c>
      <c r="C224" s="2" t="inlineStr">
        <is>
          <t>122</t>
        </is>
      </c>
      <c r="D224" s="2" t="inlineStr">
        <is>
          <t>122-5201 (090426)</t>
        </is>
      </c>
      <c r="E224" s="4" t="n">
        <v>10</v>
      </c>
      <c r="G224" s="2" t="inlineStr">
        <is>
          <t>2026-03-28</t>
        </is>
      </c>
      <c r="H224" s="2" t="inlineStr">
        <is>
          <t>SOYBEAN MEAL (ARG)</t>
        </is>
      </c>
      <c r="I224" s="4" t="n">
        <v>14.53</v>
      </c>
      <c r="J224" s="2" t="inlineStr">
        <is>
          <t>MILL-RUN-01</t>
        </is>
      </c>
    </row>
    <row r="225">
      <c r="A225" s="2" t="inlineStr">
        <is>
          <t>ORD-1221</t>
        </is>
      </c>
      <c r="B225" s="2" t="inlineStr">
        <is>
          <t>2026-07-14</t>
        </is>
      </c>
      <c r="C225" s="2" t="inlineStr">
        <is>
          <t>8100</t>
        </is>
      </c>
      <c r="D225" s="2" t="inlineStr">
        <is>
          <t>8100-WS 8100 (280426)</t>
        </is>
      </c>
      <c r="E225" s="4" t="n">
        <v>16</v>
      </c>
      <c r="G225" s="2" t="inlineStr">
        <is>
          <t>2026-03-30</t>
        </is>
      </c>
      <c r="H225" s="2" t="inlineStr">
        <is>
          <t>SOYBEAN MEAL (ARG)</t>
        </is>
      </c>
      <c r="I225" s="4" t="n">
        <v>20.2036</v>
      </c>
      <c r="J225" s="2" t="inlineStr">
        <is>
          <t>MILL-RUN-01</t>
        </is>
      </c>
    </row>
    <row r="226">
      <c r="A226" s="2" t="inlineStr">
        <is>
          <t>ORD-1222</t>
        </is>
      </c>
      <c r="B226" s="2" t="inlineStr">
        <is>
          <t>2026-07-14</t>
        </is>
      </c>
      <c r="C226" s="2" t="inlineStr">
        <is>
          <t>8102</t>
        </is>
      </c>
      <c r="D226" s="2" t="inlineStr">
        <is>
          <t>8102-WS 8102 (070526)</t>
        </is>
      </c>
      <c r="E226" s="4" t="n">
        <v>30</v>
      </c>
      <c r="G226" s="2" t="inlineStr">
        <is>
          <t>2026-03-31</t>
        </is>
      </c>
      <c r="H226" s="2" t="inlineStr">
        <is>
          <t>SOYBEAN MEAL (ARG)</t>
        </is>
      </c>
      <c r="I226" s="4" t="n">
        <v>12.7</v>
      </c>
      <c r="J226" s="2" t="inlineStr">
        <is>
          <t>MILL-RUN-01</t>
        </is>
      </c>
    </row>
    <row r="227">
      <c r="A227" s="2" t="inlineStr">
        <is>
          <t>ORD-1223</t>
        </is>
      </c>
      <c r="B227" s="2" t="inlineStr">
        <is>
          <t>2026-07-15</t>
        </is>
      </c>
      <c r="C227" s="2" t="inlineStr">
        <is>
          <t>122</t>
        </is>
      </c>
      <c r="D227" s="2" t="inlineStr">
        <is>
          <t>122-5201 (090426)</t>
        </is>
      </c>
      <c r="E227" s="4" t="n">
        <v>6</v>
      </c>
      <c r="G227" s="2" t="inlineStr">
        <is>
          <t>2026-04-01</t>
        </is>
      </c>
      <c r="H227" s="2" t="inlineStr">
        <is>
          <t>SOYBEAN MEAL (ARG)</t>
        </is>
      </c>
      <c r="I227" s="4" t="n">
        <v>4.7714</v>
      </c>
      <c r="J227" s="2" t="inlineStr">
        <is>
          <t>MILL-RUN-01</t>
        </is>
      </c>
    </row>
    <row r="228">
      <c r="A228" s="2" t="inlineStr">
        <is>
          <t>ORD-1224</t>
        </is>
      </c>
      <c r="B228" s="2" t="inlineStr">
        <is>
          <t>2026-07-15</t>
        </is>
      </c>
      <c r="C228" s="2" t="inlineStr">
        <is>
          <t>122</t>
        </is>
      </c>
      <c r="D228" s="2" t="inlineStr">
        <is>
          <t>122-5202 (090426)</t>
        </is>
      </c>
      <c r="E228" s="4" t="n">
        <v>40</v>
      </c>
      <c r="G228" s="2" t="inlineStr">
        <is>
          <t>2026-04-03</t>
        </is>
      </c>
      <c r="H228" s="2" t="inlineStr">
        <is>
          <t>SOYBEAN MEAL (ARG)</t>
        </is>
      </c>
      <c r="I228" s="4" t="n">
        <v>35.041</v>
      </c>
      <c r="J228" s="2" t="inlineStr">
        <is>
          <t>MILL-RUN-01</t>
        </is>
      </c>
    </row>
    <row r="229">
      <c r="A229" s="2" t="inlineStr">
        <is>
          <t>ORD-1225</t>
        </is>
      </c>
      <c r="B229" s="2" t="inlineStr">
        <is>
          <t>2026-07-16</t>
        </is>
      </c>
      <c r="C229" s="2" t="inlineStr">
        <is>
          <t>8102</t>
        </is>
      </c>
      <c r="D229" s="2" t="inlineStr">
        <is>
          <t>8102-WS 8102 (070526)</t>
        </is>
      </c>
      <c r="E229" s="4" t="n">
        <v>16</v>
      </c>
      <c r="G229" s="2" t="inlineStr">
        <is>
          <t>2026-04-06</t>
        </is>
      </c>
      <c r="H229" s="2" t="inlineStr">
        <is>
          <t>SOYBEAN MEAL (ARG)</t>
        </is>
      </c>
      <c r="I229" s="4" t="n">
        <v>22.1588</v>
      </c>
      <c r="J229" s="2" t="inlineStr">
        <is>
          <t>MILL-RUN-01</t>
        </is>
      </c>
    </row>
    <row r="230">
      <c r="A230" s="2" t="inlineStr">
        <is>
          <t>ORD-1226</t>
        </is>
      </c>
      <c r="B230" s="2" t="inlineStr">
        <is>
          <t>2026-07-17</t>
        </is>
      </c>
      <c r="C230" s="2" t="inlineStr">
        <is>
          <t>122</t>
        </is>
      </c>
      <c r="D230" s="2" t="inlineStr">
        <is>
          <t>122-5202 (090426)</t>
        </is>
      </c>
      <c r="E230" s="4" t="n">
        <v>30</v>
      </c>
      <c r="G230" s="2" t="inlineStr">
        <is>
          <t>2026-04-07</t>
        </is>
      </c>
      <c r="H230" s="2" t="inlineStr">
        <is>
          <t>SOYBEAN MEAL (ARG)</t>
        </is>
      </c>
      <c r="I230" s="4" t="n">
        <v>2.0574</v>
      </c>
      <c r="J230" s="2" t="inlineStr">
        <is>
          <t>MILL-RUN-01</t>
        </is>
      </c>
    </row>
    <row r="231">
      <c r="A231" s="2" t="inlineStr">
        <is>
          <t>ORD-1227</t>
        </is>
      </c>
      <c r="B231" s="2" t="inlineStr">
        <is>
          <t>2026-07-18</t>
        </is>
      </c>
      <c r="C231" s="2" t="inlineStr">
        <is>
          <t>8100</t>
        </is>
      </c>
      <c r="D231" s="2" t="inlineStr">
        <is>
          <t>8100-WS 8100 (280426)</t>
        </is>
      </c>
      <c r="E231" s="4" t="n">
        <v>16</v>
      </c>
      <c r="G231" s="2" t="inlineStr">
        <is>
          <t>2026-04-08</t>
        </is>
      </c>
      <c r="H231" s="2" t="inlineStr">
        <is>
          <t>SOYBEAN MEAL (ARG)</t>
        </is>
      </c>
      <c r="I231" s="4" t="n">
        <v>14.3544</v>
      </c>
      <c r="J231" s="2" t="inlineStr">
        <is>
          <t>MILL-RUN-01</t>
        </is>
      </c>
    </row>
    <row r="232">
      <c r="A232" s="2" t="inlineStr">
        <is>
          <t>ORD-1228</t>
        </is>
      </c>
      <c r="B232" s="2" t="inlineStr">
        <is>
          <t>2026-07-18</t>
        </is>
      </c>
      <c r="C232" s="2" t="inlineStr">
        <is>
          <t>8102</t>
        </is>
      </c>
      <c r="D232" s="2" t="inlineStr">
        <is>
          <t>8102-WS 8102 (060526)</t>
        </is>
      </c>
      <c r="E232" s="4" t="n">
        <v>12</v>
      </c>
      <c r="G232" s="2" t="inlineStr">
        <is>
          <t>2026-04-09</t>
        </is>
      </c>
      <c r="H232" s="2" t="inlineStr">
        <is>
          <t>SOYBEAN MEAL (ARG)</t>
        </is>
      </c>
      <c r="I232" s="4" t="n">
        <v>6.1534</v>
      </c>
      <c r="J232" s="2" t="inlineStr">
        <is>
          <t>MILL-RUN-01</t>
        </is>
      </c>
    </row>
    <row r="233">
      <c r="A233" s="2" t="inlineStr">
        <is>
          <t>ORD-1229</t>
        </is>
      </c>
      <c r="B233" s="2" t="inlineStr">
        <is>
          <t>2026-07-18</t>
        </is>
      </c>
      <c r="C233" s="2" t="inlineStr">
        <is>
          <t>8102</t>
        </is>
      </c>
      <c r="D233" s="2" t="inlineStr">
        <is>
          <t>8102-WS 8102 (070526)</t>
        </is>
      </c>
      <c r="E233" s="4" t="n">
        <v>4</v>
      </c>
      <c r="G233" s="2" t="inlineStr">
        <is>
          <t>2026-04-10</t>
        </is>
      </c>
      <c r="H233" s="2" t="inlineStr">
        <is>
          <t>SOYBEAN MEAL (ARG)</t>
        </is>
      </c>
      <c r="I233" s="4" t="n">
        <v>4.455</v>
      </c>
      <c r="J233" s="2" t="inlineStr">
        <is>
          <t>MILL-RUN-01</t>
        </is>
      </c>
    </row>
    <row r="234">
      <c r="A234" s="2" t="inlineStr">
        <is>
          <t>ORD-1230</t>
        </is>
      </c>
      <c r="B234" s="2" t="inlineStr">
        <is>
          <t>2026-07-18</t>
        </is>
      </c>
      <c r="C234" s="2" t="inlineStr">
        <is>
          <t>122</t>
        </is>
      </c>
      <c r="D234" s="2" t="inlineStr">
        <is>
          <t>122-5201 (090426)</t>
        </is>
      </c>
      <c r="E234" s="4" t="n">
        <v>10</v>
      </c>
      <c r="G234" s="2" t="inlineStr">
        <is>
          <t>2026-04-11</t>
        </is>
      </c>
      <c r="H234" s="2" t="inlineStr">
        <is>
          <t>SOYBEAN MEAL (ARG)</t>
        </is>
      </c>
      <c r="I234" s="4" t="n">
        <v>16.7994</v>
      </c>
      <c r="J234" s="2" t="inlineStr">
        <is>
          <t>MILL-RUN-01</t>
        </is>
      </c>
    </row>
    <row r="235">
      <c r="A235" s="2" t="inlineStr">
        <is>
          <t>ORD-1231</t>
        </is>
      </c>
      <c r="B235" s="2" t="inlineStr">
        <is>
          <t>2026-07-18</t>
        </is>
      </c>
      <c r="C235" s="2" t="inlineStr">
        <is>
          <t>122</t>
        </is>
      </c>
      <c r="D235" s="2" t="inlineStr">
        <is>
          <t>122-5202 (090426)</t>
        </is>
      </c>
      <c r="E235" s="4" t="n">
        <v>10</v>
      </c>
      <c r="G235" s="2" t="inlineStr">
        <is>
          <t>2026-04-13</t>
        </is>
      </c>
      <c r="H235" s="2" t="inlineStr">
        <is>
          <t>SOYBEAN MEAL (ARG)</t>
        </is>
      </c>
      <c r="I235" s="4" t="n">
        <v>6.1534</v>
      </c>
      <c r="J235" s="2" t="inlineStr">
        <is>
          <t>MILL-RUN-01</t>
        </is>
      </c>
    </row>
    <row r="236">
      <c r="A236" s="2" t="inlineStr">
        <is>
          <t>ORD-1232</t>
        </is>
      </c>
      <c r="B236" s="2" t="inlineStr">
        <is>
          <t>2026-07-21</t>
        </is>
      </c>
      <c r="C236" s="2" t="inlineStr">
        <is>
          <t>122</t>
        </is>
      </c>
      <c r="D236" s="2" t="inlineStr">
        <is>
          <t>122-5201 (090426)</t>
        </is>
      </c>
      <c r="E236" s="4" t="n">
        <v>10</v>
      </c>
      <c r="G236" s="2" t="inlineStr">
        <is>
          <t>2026-04-14</t>
        </is>
      </c>
      <c r="H236" s="2" t="inlineStr">
        <is>
          <t>SOYBEAN MEAL (ARG)</t>
        </is>
      </c>
      <c r="I236" s="4" t="n">
        <v>27.4686</v>
      </c>
      <c r="J236" s="2" t="inlineStr">
        <is>
          <t>MILL-RUN-01</t>
        </is>
      </c>
    </row>
    <row r="237">
      <c r="A237" s="2" t="inlineStr">
        <is>
          <t>ORD-1233</t>
        </is>
      </c>
      <c r="B237" s="2" t="inlineStr">
        <is>
          <t>2026-07-21</t>
        </is>
      </c>
      <c r="C237" s="2" t="inlineStr">
        <is>
          <t>122</t>
        </is>
      </c>
      <c r="D237" s="2" t="inlineStr">
        <is>
          <t>122-5202 (090426)</t>
        </is>
      </c>
      <c r="E237" s="4" t="n">
        <v>30</v>
      </c>
      <c r="G237" s="2" t="inlineStr">
        <is>
          <t>2026-04-15</t>
        </is>
      </c>
      <c r="H237" s="2" t="inlineStr">
        <is>
          <t>SOYBEAN MEAL (ARG)</t>
        </is>
      </c>
      <c r="I237" s="4" t="n">
        <v>6.5178</v>
      </c>
      <c r="J237" s="2" t="inlineStr">
        <is>
          <t>MILL-RUN-01</t>
        </is>
      </c>
    </row>
    <row r="238">
      <c r="A238" s="2" t="inlineStr">
        <is>
          <t>ORD-1234</t>
        </is>
      </c>
      <c r="B238" s="2" t="inlineStr">
        <is>
          <t>2026-07-23</t>
        </is>
      </c>
      <c r="C238" s="2" t="inlineStr">
        <is>
          <t>8102</t>
        </is>
      </c>
      <c r="D238" s="2" t="inlineStr">
        <is>
          <t>8102-WS 8102 (060526)</t>
        </is>
      </c>
      <c r="E238" s="4" t="n">
        <v>30</v>
      </c>
      <c r="G238" s="2" t="inlineStr">
        <is>
          <t>2026-04-16</t>
        </is>
      </c>
      <c r="H238" s="2" t="inlineStr">
        <is>
          <t>SOYBEAN MEAL (ARG)</t>
        </is>
      </c>
      <c r="I238" s="4" t="n">
        <v>12.2996</v>
      </c>
      <c r="J238" s="2" t="inlineStr">
        <is>
          <t>MILL-RUN-01</t>
        </is>
      </c>
    </row>
    <row r="239">
      <c r="A239" s="2" t="inlineStr">
        <is>
          <t>ORD-1235</t>
        </is>
      </c>
      <c r="B239" s="2" t="inlineStr">
        <is>
          <t>2026-07-24</t>
        </is>
      </c>
      <c r="C239" s="2" t="inlineStr">
        <is>
          <t>1101C</t>
        </is>
      </c>
      <c r="D239" s="2" t="inlineStr">
        <is>
          <t>1101C-WS 1101 (220526)</t>
        </is>
      </c>
      <c r="E239" s="4" t="n">
        <v>30</v>
      </c>
      <c r="G239" s="2" t="inlineStr">
        <is>
          <t>2026-04-17</t>
        </is>
      </c>
      <c r="H239" s="2" t="inlineStr">
        <is>
          <t>SOYBEAN MEAL (ARG)</t>
        </is>
      </c>
      <c r="I239" s="4" t="n">
        <v>15.7792</v>
      </c>
      <c r="J239" s="2" t="inlineStr">
        <is>
          <t>MILL-RUN-01</t>
        </is>
      </c>
    </row>
    <row r="240">
      <c r="A240" s="2" t="inlineStr">
        <is>
          <t>ORD-1236</t>
        </is>
      </c>
      <c r="B240" s="2" t="inlineStr">
        <is>
          <t>2026-07-25</t>
        </is>
      </c>
      <c r="C240" s="2" t="inlineStr">
        <is>
          <t>122</t>
        </is>
      </c>
      <c r="D240" s="2" t="inlineStr">
        <is>
          <t>122-5201 (090426)</t>
        </is>
      </c>
      <c r="E240" s="4" t="n">
        <v>30</v>
      </c>
      <c r="G240" s="2" t="inlineStr">
        <is>
          <t>2026-04-18</t>
        </is>
      </c>
      <c r="H240" s="2" t="inlineStr">
        <is>
          <t>SOYBEAN MEAL (ARG)</t>
        </is>
      </c>
      <c r="I240" s="4" t="n">
        <v>9.605399999999999</v>
      </c>
      <c r="J240" s="2" t="inlineStr">
        <is>
          <t>MILL-RUN-01</t>
        </is>
      </c>
    </row>
    <row r="241">
      <c r="A241" s="2" t="inlineStr">
        <is>
          <t>ORD-1237</t>
        </is>
      </c>
      <c r="B241" s="2" t="inlineStr">
        <is>
          <t>2026-07-25</t>
        </is>
      </c>
      <c r="C241" s="2" t="inlineStr">
        <is>
          <t>122</t>
        </is>
      </c>
      <c r="D241" s="2" t="inlineStr">
        <is>
          <t>122-5202 (090426)</t>
        </is>
      </c>
      <c r="E241" s="4" t="n">
        <v>30</v>
      </c>
      <c r="G241" s="2" t="inlineStr">
        <is>
          <t>2026-04-20</t>
        </is>
      </c>
      <c r="H241" s="2" t="inlineStr">
        <is>
          <t>SOYBEAN MEAL (ARG)</t>
        </is>
      </c>
      <c r="I241" s="4" t="n">
        <v>21.0908</v>
      </c>
      <c r="J241" s="2" t="inlineStr">
        <is>
          <t>MILL-RUN-01</t>
        </is>
      </c>
    </row>
    <row r="242">
      <c r="A242" s="2" t="inlineStr">
        <is>
          <t>ORD-1238</t>
        </is>
      </c>
      <c r="B242" s="2" t="inlineStr">
        <is>
          <t>2026-08-01</t>
        </is>
      </c>
      <c r="C242" s="2" t="inlineStr">
        <is>
          <t>8102</t>
        </is>
      </c>
      <c r="D242" s="2" t="inlineStr">
        <is>
          <t>8102-WS 8102 (080526)</t>
        </is>
      </c>
      <c r="E242" s="4" t="n">
        <v>1</v>
      </c>
      <c r="G242" s="2" t="inlineStr">
        <is>
          <t>2026-04-21</t>
        </is>
      </c>
      <c r="H242" s="2" t="inlineStr">
        <is>
          <t>SOYBEAN MEAL (ARG)</t>
        </is>
      </c>
      <c r="I242" s="4" t="n">
        <v>21.387</v>
      </c>
      <c r="J242" s="2" t="inlineStr">
        <is>
          <t>MILL-RUN-01</t>
        </is>
      </c>
    </row>
    <row r="243">
      <c r="A243" s="2" t="inlineStr">
        <is>
          <t>ORD-1239</t>
        </is>
      </c>
      <c r="B243" s="2" t="inlineStr">
        <is>
          <t>2026-08-03</t>
        </is>
      </c>
      <c r="C243" s="2" t="inlineStr">
        <is>
          <t>122</t>
        </is>
      </c>
      <c r="D243" s="2" t="inlineStr">
        <is>
          <t>122-5202 (090426)</t>
        </is>
      </c>
      <c r="E243" s="4" t="n">
        <v>20</v>
      </c>
      <c r="G243" s="2" t="inlineStr">
        <is>
          <t>2026-04-23</t>
        </is>
      </c>
      <c r="H243" s="2" t="inlineStr">
        <is>
          <t>SOYBEAN MEAL (ARG)</t>
        </is>
      </c>
      <c r="I243" s="4" t="n">
        <v>24.9638</v>
      </c>
      <c r="J243" s="2" t="inlineStr">
        <is>
          <t>MILL-RUN-01</t>
        </is>
      </c>
    </row>
    <row r="244">
      <c r="A244" s="2" t="inlineStr">
        <is>
          <t>ORD-1240</t>
        </is>
      </c>
      <c r="B244" s="2" t="inlineStr">
        <is>
          <t>2026-08-04</t>
        </is>
      </c>
      <c r="C244" s="2" t="inlineStr">
        <is>
          <t>1101C</t>
        </is>
      </c>
      <c r="D244" s="2" t="inlineStr">
        <is>
          <t>1101C-WS 1101 (220526)</t>
        </is>
      </c>
      <c r="E244" s="4" t="n">
        <v>26</v>
      </c>
      <c r="G244" s="2" t="inlineStr">
        <is>
          <t>2026-04-24</t>
        </is>
      </c>
      <c r="H244" s="2" t="inlineStr">
        <is>
          <t>SOYBEAN MEAL (ARG)</t>
        </is>
      </c>
      <c r="I244" s="4" t="n">
        <v>7.9156</v>
      </c>
      <c r="J244" s="2" t="inlineStr">
        <is>
          <t>MILL-RUN-01</t>
        </is>
      </c>
    </row>
    <row r="245">
      <c r="A245" s="2" t="inlineStr">
        <is>
          <t>ORD-1241</t>
        </is>
      </c>
      <c r="B245" s="2" t="inlineStr">
        <is>
          <t>2026-08-05</t>
        </is>
      </c>
      <c r="C245" s="2" t="inlineStr">
        <is>
          <t>8100</t>
        </is>
      </c>
      <c r="D245" s="2" t="inlineStr">
        <is>
          <t>8100-WS 8100 (280426)</t>
        </is>
      </c>
      <c r="E245" s="4" t="n">
        <v>10</v>
      </c>
      <c r="G245" s="2" t="inlineStr">
        <is>
          <t>2026-04-25</t>
        </is>
      </c>
      <c r="H245" s="2" t="inlineStr">
        <is>
          <t>SOYBEAN MEAL (ARG)</t>
        </is>
      </c>
      <c r="I245" s="4" t="n">
        <v>17.5214</v>
      </c>
      <c r="J245" s="2" t="inlineStr">
        <is>
          <t>MILL-RUN-01</t>
        </is>
      </c>
    </row>
    <row r="246">
      <c r="A246" s="2" t="inlineStr">
        <is>
          <t>ORD-1242</t>
        </is>
      </c>
      <c r="B246" s="2" t="inlineStr">
        <is>
          <t>2026-08-07</t>
        </is>
      </c>
      <c r="C246" s="2" t="inlineStr">
        <is>
          <t>122</t>
        </is>
      </c>
      <c r="D246" s="2" t="inlineStr">
        <is>
          <t>122-5202 (090426)</t>
        </is>
      </c>
      <c r="E246" s="4" t="n">
        <v>30</v>
      </c>
      <c r="G246" s="2" t="inlineStr">
        <is>
          <t>2026-04-27</t>
        </is>
      </c>
      <c r="H246" s="2" t="inlineStr">
        <is>
          <t>SOYBEAN MEAL (ARG)</t>
        </is>
      </c>
      <c r="I246" s="4" t="n">
        <v>43.50980000000001</v>
      </c>
      <c r="J246" s="2" t="inlineStr">
        <is>
          <t>MILL-RUN-01</t>
        </is>
      </c>
    </row>
    <row r="247">
      <c r="A247" s="2" t="inlineStr">
        <is>
          <t>ORD-1243</t>
        </is>
      </c>
      <c r="B247" s="2" t="inlineStr">
        <is>
          <t>2026-08-08</t>
        </is>
      </c>
      <c r="C247" s="2" t="inlineStr">
        <is>
          <t>8100</t>
        </is>
      </c>
      <c r="D247" s="2" t="inlineStr">
        <is>
          <t>8100-WS 8100 (280426)</t>
        </is>
      </c>
      <c r="E247" s="4" t="n">
        <v>26</v>
      </c>
      <c r="G247" s="2" t="inlineStr">
        <is>
          <t>2026-04-28</t>
        </is>
      </c>
      <c r="H247" s="2" t="inlineStr">
        <is>
          <t>SOYBEAN MEAL (ARG)</t>
        </is>
      </c>
      <c r="I247" s="4" t="n">
        <v>7.537199999999999</v>
      </c>
      <c r="J247" s="2" t="inlineStr">
        <is>
          <t>MILL-RUN-01</t>
        </is>
      </c>
    </row>
    <row r="248">
      <c r="A248" s="2" t="inlineStr">
        <is>
          <t>ORD-1244</t>
        </is>
      </c>
      <c r="B248" s="2" t="inlineStr">
        <is>
          <t>2026-08-08</t>
        </is>
      </c>
      <c r="C248" s="2" t="inlineStr">
        <is>
          <t>122</t>
        </is>
      </c>
      <c r="D248" s="2" t="inlineStr">
        <is>
          <t>122-5202 (090426)</t>
        </is>
      </c>
      <c r="E248" s="4" t="n">
        <v>30</v>
      </c>
      <c r="G248" s="2" t="inlineStr">
        <is>
          <t>2026-04-30</t>
        </is>
      </c>
      <c r="H248" s="2" t="inlineStr">
        <is>
          <t>SOYBEAN MEAL (ARG)</t>
        </is>
      </c>
      <c r="I248" s="4" t="n">
        <v>5.7138</v>
      </c>
      <c r="J248" s="2" t="inlineStr">
        <is>
          <t>MILL-RUN-01</t>
        </is>
      </c>
    </row>
    <row r="249">
      <c r="A249" s="2" t="inlineStr">
        <is>
          <t>ORD-1245</t>
        </is>
      </c>
      <c r="B249" s="2" t="inlineStr">
        <is>
          <t>2026-08-11</t>
        </is>
      </c>
      <c r="C249" s="2" t="inlineStr">
        <is>
          <t>122</t>
        </is>
      </c>
      <c r="D249" s="2" t="inlineStr">
        <is>
          <t>122-5202 (090426)</t>
        </is>
      </c>
      <c r="E249" s="4" t="n">
        <v>30</v>
      </c>
      <c r="G249" s="2" t="inlineStr">
        <is>
          <t>2026-05-02</t>
        </is>
      </c>
      <c r="H249" s="2" t="inlineStr">
        <is>
          <t>SOYBEAN MEAL (ARG)</t>
        </is>
      </c>
      <c r="I249" s="4" t="n">
        <v>25.3662</v>
      </c>
      <c r="J249" s="2" t="inlineStr">
        <is>
          <t>MILL-RUN-01</t>
        </is>
      </c>
    </row>
    <row r="250">
      <c r="A250" s="2" t="inlineStr">
        <is>
          <t>ORD-1246</t>
        </is>
      </c>
      <c r="B250" s="2" t="inlineStr">
        <is>
          <t>2026-08-12</t>
        </is>
      </c>
      <c r="C250" s="2" t="inlineStr">
        <is>
          <t>8100</t>
        </is>
      </c>
      <c r="D250" s="2" t="inlineStr">
        <is>
          <t>8100-WS 8100 (280426)</t>
        </is>
      </c>
      <c r="E250" s="4" t="n">
        <v>8</v>
      </c>
      <c r="G250" s="2" t="inlineStr">
        <is>
          <t>2026-05-04</t>
        </is>
      </c>
      <c r="H250" s="2" t="inlineStr">
        <is>
          <t>SOYBEAN MEAL (ARG)</t>
        </is>
      </c>
      <c r="I250" s="4" t="n">
        <v>15.4054</v>
      </c>
      <c r="J250" s="2" t="inlineStr">
        <is>
          <t>MILL-RUN-01</t>
        </is>
      </c>
    </row>
    <row r="251">
      <c r="A251" s="2" t="inlineStr">
        <is>
          <t>ORD-1247</t>
        </is>
      </c>
      <c r="B251" s="2" t="inlineStr">
        <is>
          <t>2026-08-13</t>
        </is>
      </c>
      <c r="C251" s="2" t="inlineStr">
        <is>
          <t>1101C</t>
        </is>
      </c>
      <c r="D251" s="2" t="inlineStr">
        <is>
          <t>1101C-WS 1101 (251124)</t>
        </is>
      </c>
      <c r="E251" s="4" t="n">
        <v>20</v>
      </c>
      <c r="G251" s="2" t="inlineStr">
        <is>
          <t>2026-05-06</t>
        </is>
      </c>
      <c r="H251" s="2" t="inlineStr">
        <is>
          <t>SOYBEAN MEAL (ARG)</t>
        </is>
      </c>
      <c r="I251" s="4" t="n">
        <v>12.0548</v>
      </c>
      <c r="J251" s="2" t="inlineStr">
        <is>
          <t>MILL-RUN-01</t>
        </is>
      </c>
    </row>
    <row r="252">
      <c r="A252" s="2" t="inlineStr">
        <is>
          <t>ORD-1248</t>
        </is>
      </c>
      <c r="B252" s="2" t="inlineStr">
        <is>
          <t>2026-08-14</t>
        </is>
      </c>
      <c r="C252" s="2" t="inlineStr">
        <is>
          <t>122</t>
        </is>
      </c>
      <c r="D252" s="2" t="inlineStr">
        <is>
          <t>122-5202 (090426)</t>
        </is>
      </c>
      <c r="E252" s="4" t="n">
        <v>20</v>
      </c>
      <c r="G252" s="2" t="inlineStr">
        <is>
          <t>2026-05-07</t>
        </is>
      </c>
      <c r="H252" s="2" t="inlineStr">
        <is>
          <t>SOYBEAN MEAL (ARG)</t>
        </is>
      </c>
      <c r="I252" s="4" t="n">
        <v>26.0088</v>
      </c>
      <c r="J252" s="2" t="inlineStr">
        <is>
          <t>MILL-RUN-01</t>
        </is>
      </c>
    </row>
    <row r="253">
      <c r="A253" s="2" t="inlineStr">
        <is>
          <t>ORD-1249</t>
        </is>
      </c>
      <c r="B253" s="2" t="inlineStr">
        <is>
          <t>2026-08-19</t>
        </is>
      </c>
      <c r="C253" s="2" t="inlineStr">
        <is>
          <t>1103P</t>
        </is>
      </c>
      <c r="D253" s="2" t="inlineStr">
        <is>
          <t>1103P-WS 1103 (220526)</t>
        </is>
      </c>
      <c r="E253" s="4" t="n">
        <v>30</v>
      </c>
      <c r="G253" s="2" t="inlineStr">
        <is>
          <t>2026-05-08</t>
        </is>
      </c>
      <c r="H253" s="2" t="inlineStr">
        <is>
          <t>SOYBEAN MEAL (ARG)</t>
        </is>
      </c>
      <c r="I253" s="4" t="n">
        <v>22.8422</v>
      </c>
      <c r="J253" s="2" t="inlineStr">
        <is>
          <t>MILL-RUN-01</t>
        </is>
      </c>
    </row>
    <row r="254">
      <c r="G254" s="2" t="inlineStr">
        <is>
          <t>2026-05-09</t>
        </is>
      </c>
      <c r="H254" s="2" t="inlineStr">
        <is>
          <t>SOYBEAN MEAL (ARG)</t>
        </is>
      </c>
      <c r="I254" s="4" t="n">
        <v>2.857</v>
      </c>
      <c r="J254" s="2" t="inlineStr">
        <is>
          <t>MILL-RUN-01</t>
        </is>
      </c>
    </row>
    <row r="255">
      <c r="G255" s="2" t="inlineStr">
        <is>
          <t>2026-05-11</t>
        </is>
      </c>
      <c r="H255" s="2" t="inlineStr">
        <is>
          <t>SOYBEAN MEAL (ARG)</t>
        </is>
      </c>
      <c r="I255" s="4" t="n">
        <v>22.2068</v>
      </c>
      <c r="J255" s="2" t="inlineStr">
        <is>
          <t>MILL-RUN-01</t>
        </is>
      </c>
    </row>
    <row r="256">
      <c r="G256" s="2" t="inlineStr">
        <is>
          <t>2026-05-12</t>
        </is>
      </c>
      <c r="H256" s="2" t="inlineStr">
        <is>
          <t>SOYBEAN MEAL (ARG)</t>
        </is>
      </c>
      <c r="I256" s="4" t="n">
        <v>12.28</v>
      </c>
      <c r="J256" s="2" t="inlineStr">
        <is>
          <t>MILL-RUN-01</t>
        </is>
      </c>
    </row>
    <row r="257">
      <c r="G257" s="2" t="inlineStr">
        <is>
          <t>2026-05-13</t>
        </is>
      </c>
      <c r="H257" s="2" t="inlineStr">
        <is>
          <t>SOYBEAN MEAL (ARG)</t>
        </is>
      </c>
      <c r="I257" s="4" t="n">
        <v>24.2518</v>
      </c>
      <c r="J257" s="2" t="inlineStr">
        <is>
          <t>MILL-RUN-01</t>
        </is>
      </c>
    </row>
    <row r="258">
      <c r="G258" s="2" t="inlineStr">
        <is>
          <t>2026-05-14</t>
        </is>
      </c>
      <c r="H258" s="2" t="inlineStr">
        <is>
          <t>SOYBEAN MEAL (ARG)</t>
        </is>
      </c>
      <c r="I258" s="4" t="n">
        <v>3.5992</v>
      </c>
      <c r="J258" s="2" t="inlineStr">
        <is>
          <t>MILL-RUN-01</t>
        </is>
      </c>
    </row>
    <row r="259">
      <c r="G259" s="2" t="inlineStr">
        <is>
          <t>2026-05-15</t>
        </is>
      </c>
      <c r="H259" s="2" t="inlineStr">
        <is>
          <t>SOYBEAN MEAL (ARG)</t>
        </is>
      </c>
      <c r="I259" s="4" t="n">
        <v>5.460199999999999</v>
      </c>
      <c r="J259" s="2" t="inlineStr">
        <is>
          <t>MILL-RUN-01</t>
        </is>
      </c>
    </row>
    <row r="260">
      <c r="G260" s="2" t="inlineStr">
        <is>
          <t>2026-05-16</t>
        </is>
      </c>
      <c r="H260" s="2" t="inlineStr">
        <is>
          <t>SOYBEAN MEAL (ARG)</t>
        </is>
      </c>
      <c r="I260" s="4" t="n">
        <v>19.0284</v>
      </c>
      <c r="J260" s="2" t="inlineStr">
        <is>
          <t>MILL-RUN-01</t>
        </is>
      </c>
    </row>
    <row r="261">
      <c r="G261" s="2" t="inlineStr">
        <is>
          <t>2026-05-18</t>
        </is>
      </c>
      <c r="H261" s="2" t="inlineStr">
        <is>
          <t>SOYBEAN MEAL (ARG)</t>
        </is>
      </c>
      <c r="I261" s="4" t="n">
        <v>23.481</v>
      </c>
      <c r="J261" s="2" t="inlineStr">
        <is>
          <t>MILL-RUN-01</t>
        </is>
      </c>
    </row>
    <row r="262">
      <c r="G262" s="2" t="inlineStr">
        <is>
          <t>2026-05-19</t>
        </is>
      </c>
      <c r="H262" s="2" t="inlineStr">
        <is>
          <t>SOYBEAN MEAL (ARG)</t>
        </is>
      </c>
      <c r="I262" s="4" t="n">
        <v>12.2836</v>
      </c>
      <c r="J262" s="2" t="inlineStr">
        <is>
          <t>MILL-RUN-01</t>
        </is>
      </c>
    </row>
    <row r="263">
      <c r="G263" s="2" t="inlineStr">
        <is>
          <t>2026-05-20</t>
        </is>
      </c>
      <c r="H263" s="2" t="inlineStr">
        <is>
          <t>SOYBEAN MEAL (ARG)</t>
        </is>
      </c>
      <c r="I263" s="4" t="n">
        <v>2.8568</v>
      </c>
      <c r="J263" s="2" t="inlineStr">
        <is>
          <t>MILL-RUN-01</t>
        </is>
      </c>
    </row>
    <row r="264">
      <c r="G264" s="2" t="inlineStr">
        <is>
          <t>2026-05-21</t>
        </is>
      </c>
      <c r="H264" s="2" t="inlineStr">
        <is>
          <t>SOYBEAN MEAL (ARG)</t>
        </is>
      </c>
      <c r="I264" s="4" t="n">
        <v>3.3634</v>
      </c>
      <c r="J264" s="2" t="inlineStr">
        <is>
          <t>MILL-RUN-01</t>
        </is>
      </c>
    </row>
    <row r="265">
      <c r="G265" s="2" t="inlineStr">
        <is>
          <t>2026-05-22</t>
        </is>
      </c>
      <c r="H265" s="2" t="inlineStr">
        <is>
          <t>SOYBEAN MEAL (ARG)</t>
        </is>
      </c>
      <c r="I265" s="4" t="n">
        <v>9.253399999999999</v>
      </c>
      <c r="J265" s="2" t="inlineStr">
        <is>
          <t>MILL-RUN-01</t>
        </is>
      </c>
    </row>
    <row r="266">
      <c r="G266" s="2" t="inlineStr">
        <is>
          <t>2026-05-23</t>
        </is>
      </c>
      <c r="H266" s="2" t="inlineStr">
        <is>
          <t>SOYBEAN MEAL (ARG)</t>
        </is>
      </c>
      <c r="I266" s="4" t="n">
        <v>15.8592</v>
      </c>
      <c r="J266" s="2" t="inlineStr">
        <is>
          <t>MILL-RUN-01</t>
        </is>
      </c>
    </row>
    <row r="267">
      <c r="G267" s="2" t="inlineStr">
        <is>
          <t>2026-05-25</t>
        </is>
      </c>
      <c r="H267" s="2" t="inlineStr">
        <is>
          <t>SOYBEAN MEAL (ARG)</t>
        </is>
      </c>
      <c r="I267" s="4" t="n">
        <v>10.7158</v>
      </c>
      <c r="J267" s="2" t="inlineStr">
        <is>
          <t>MILL-RUN-01</t>
        </is>
      </c>
    </row>
    <row r="268">
      <c r="G268" s="2" t="inlineStr">
        <is>
          <t>2026-05-26</t>
        </is>
      </c>
      <c r="H268" s="2" t="inlineStr">
        <is>
          <t>SOYBEAN MEAL (ARG)</t>
        </is>
      </c>
      <c r="I268" s="4" t="n">
        <v>9.692600000000001</v>
      </c>
      <c r="J268" s="2" t="inlineStr">
        <is>
          <t>MILL-RUN-01</t>
        </is>
      </c>
    </row>
    <row r="269">
      <c r="G269" s="2" t="inlineStr">
        <is>
          <t>2026-05-28</t>
        </is>
      </c>
      <c r="H269" s="2" t="inlineStr">
        <is>
          <t>SOYBEAN MEAL (ARG)</t>
        </is>
      </c>
      <c r="I269" s="4" t="n">
        <v>4.4394</v>
      </c>
      <c r="J269" s="2" t="inlineStr">
        <is>
          <t>MILL-RUN-01</t>
        </is>
      </c>
    </row>
    <row r="270">
      <c r="G270" s="2" t="inlineStr">
        <is>
          <t>2026-05-29</t>
        </is>
      </c>
      <c r="H270" s="2" t="inlineStr">
        <is>
          <t>SOYBEAN MEAL (ARG)</t>
        </is>
      </c>
      <c r="I270" s="4" t="n">
        <v>5.9478</v>
      </c>
      <c r="J270" s="2" t="inlineStr">
        <is>
          <t>MILL-RUN-01</t>
        </is>
      </c>
    </row>
    <row r="271">
      <c r="G271" s="2" t="inlineStr">
        <is>
          <t>2026-05-30</t>
        </is>
      </c>
      <c r="H271" s="2" t="inlineStr">
        <is>
          <t>SOYBEAN MEAL (ARG)</t>
        </is>
      </c>
      <c r="I271" s="4" t="n">
        <v>1.1948</v>
      </c>
      <c r="J271" s="2" t="inlineStr">
        <is>
          <t>MILL-RUN-01</t>
        </is>
      </c>
    </row>
    <row r="272">
      <c r="G272" s="2" t="inlineStr">
        <is>
          <t>2026-06-02</t>
        </is>
      </c>
      <c r="H272" s="2" t="inlineStr">
        <is>
          <t>SOYBEAN MEAL (ARG)</t>
        </is>
      </c>
      <c r="I272" s="4" t="n">
        <v>5.073399999999999</v>
      </c>
      <c r="J272" s="2" t="inlineStr">
        <is>
          <t>MILL-RUN-01</t>
        </is>
      </c>
    </row>
    <row r="273">
      <c r="G273" s="2" t="inlineStr">
        <is>
          <t>2026-06-03</t>
        </is>
      </c>
      <c r="H273" s="2" t="inlineStr">
        <is>
          <t>SOYBEAN MEAL (ARG)</t>
        </is>
      </c>
      <c r="I273" s="4" t="n">
        <v>6.344600000000001</v>
      </c>
      <c r="J273" s="2" t="inlineStr">
        <is>
          <t>MILL-RUN-01</t>
        </is>
      </c>
    </row>
    <row r="274">
      <c r="G274" s="2" t="inlineStr">
        <is>
          <t>2026-06-04</t>
        </is>
      </c>
      <c r="H274" s="2" t="inlineStr">
        <is>
          <t>SOYBEAN MEAL (ARG)</t>
        </is>
      </c>
      <c r="I274" s="4" t="n">
        <v>28.335</v>
      </c>
      <c r="J274" s="2" t="inlineStr">
        <is>
          <t>MILL-RUN-01</t>
        </is>
      </c>
    </row>
    <row r="275">
      <c r="G275" s="2" t="inlineStr">
        <is>
          <t>2026-06-05</t>
        </is>
      </c>
      <c r="H275" s="2" t="inlineStr">
        <is>
          <t>SOYBEAN MEAL (ARG)</t>
        </is>
      </c>
      <c r="I275" s="4" t="n">
        <v>10.082</v>
      </c>
      <c r="J275" s="2" t="inlineStr">
        <is>
          <t>MILL-RUN-01</t>
        </is>
      </c>
    </row>
    <row r="276">
      <c r="G276" s="2" t="inlineStr">
        <is>
          <t>2026-06-06</t>
        </is>
      </c>
      <c r="H276" s="2" t="inlineStr">
        <is>
          <t>SOYBEAN MEAL (ARG)</t>
        </is>
      </c>
      <c r="I276" s="4" t="n">
        <v>19.7596</v>
      </c>
      <c r="J276" s="2" t="inlineStr">
        <is>
          <t>MILL-RUN-01</t>
        </is>
      </c>
    </row>
    <row r="277">
      <c r="G277" s="2" t="inlineStr">
        <is>
          <t>2026-06-08</t>
        </is>
      </c>
      <c r="H277" s="2" t="inlineStr">
        <is>
          <t>SOYBEAN MEAL (ARG)</t>
        </is>
      </c>
      <c r="I277" s="4" t="n">
        <v>18.636</v>
      </c>
      <c r="J277" s="2" t="inlineStr">
        <is>
          <t>MILL-RUN-01</t>
        </is>
      </c>
    </row>
    <row r="278">
      <c r="G278" s="2" t="inlineStr">
        <is>
          <t>2026-06-09</t>
        </is>
      </c>
      <c r="H278" s="2" t="inlineStr">
        <is>
          <t>SOYBEAN MEAL (ARG)</t>
        </is>
      </c>
      <c r="I278" s="4" t="n">
        <v>19.037</v>
      </c>
      <c r="J278" s="2" t="inlineStr">
        <is>
          <t>MILL-RUN-01</t>
        </is>
      </c>
    </row>
    <row r="279">
      <c r="G279" s="2" t="inlineStr">
        <is>
          <t>2026-06-11</t>
        </is>
      </c>
      <c r="H279" s="2" t="inlineStr">
        <is>
          <t>SOYBEAN MEAL (ARG)</t>
        </is>
      </c>
      <c r="I279" s="4" t="n">
        <v>4.3162</v>
      </c>
      <c r="J279" s="2" t="inlineStr">
        <is>
          <t>MILL-RUN-01</t>
        </is>
      </c>
    </row>
    <row r="280">
      <c r="G280" s="2" t="inlineStr">
        <is>
          <t>2026-06-12</t>
        </is>
      </c>
      <c r="H280" s="2" t="inlineStr">
        <is>
          <t>SOYBEAN MEAL (ARG)</t>
        </is>
      </c>
      <c r="I280" s="4" t="n">
        <v>36.2622</v>
      </c>
      <c r="J280" s="2" t="inlineStr">
        <is>
          <t>MILL-RUN-01</t>
        </is>
      </c>
    </row>
    <row r="281">
      <c r="G281" s="2" t="inlineStr">
        <is>
          <t>2026-06-13</t>
        </is>
      </c>
      <c r="H281" s="2" t="inlineStr">
        <is>
          <t>SOYBEAN MEAL (ARG)</t>
        </is>
      </c>
      <c r="I281" s="4" t="n">
        <v>10.9392</v>
      </c>
      <c r="J281" s="2" t="inlineStr">
        <is>
          <t>MILL-RUN-01</t>
        </is>
      </c>
    </row>
    <row r="282">
      <c r="G282" s="2" t="inlineStr">
        <is>
          <t>2026-06-15</t>
        </is>
      </c>
      <c r="H282" s="2" t="inlineStr">
        <is>
          <t>SOYBEAN MEAL (ARG)</t>
        </is>
      </c>
      <c r="I282" s="4" t="n">
        <v>13.0856</v>
      </c>
      <c r="J282" s="2" t="inlineStr">
        <is>
          <t>MILL-RUN-01</t>
        </is>
      </c>
    </row>
    <row r="283">
      <c r="G283" s="2" t="inlineStr">
        <is>
          <t>2026-06-16</t>
        </is>
      </c>
      <c r="H283" s="2" t="inlineStr">
        <is>
          <t>SOYBEAN MEAL (ARG)</t>
        </is>
      </c>
      <c r="I283" s="4" t="n">
        <v>5.954</v>
      </c>
      <c r="J283" s="2" t="inlineStr">
        <is>
          <t>MILL-RUN-01</t>
        </is>
      </c>
    </row>
    <row r="284">
      <c r="G284" s="2" t="inlineStr">
        <is>
          <t>2026-06-17</t>
        </is>
      </c>
      <c r="H284" s="2" t="inlineStr">
        <is>
          <t>SOYBEAN MEAL (ARG)</t>
        </is>
      </c>
      <c r="I284" s="4" t="n">
        <v>2.9764</v>
      </c>
      <c r="J284" s="2" t="inlineStr">
        <is>
          <t>MILL-RUN-01</t>
        </is>
      </c>
    </row>
    <row r="285">
      <c r="G285" s="2" t="inlineStr">
        <is>
          <t>2026-06-19</t>
        </is>
      </c>
      <c r="H285" s="2" t="inlineStr">
        <is>
          <t>SOYBEAN MEAL (ARG)</t>
        </is>
      </c>
      <c r="I285" s="4" t="n">
        <v>26.7728</v>
      </c>
      <c r="J285" s="2" t="inlineStr">
        <is>
          <t>MILL-RUN-01</t>
        </is>
      </c>
    </row>
    <row r="286">
      <c r="G286" s="2" t="inlineStr">
        <is>
          <t>2026-06-20</t>
        </is>
      </c>
      <c r="H286" s="2" t="inlineStr">
        <is>
          <t>SOYBEAN MEAL (ARG)</t>
        </is>
      </c>
      <c r="I286" s="4" t="n">
        <v>4.4796</v>
      </c>
      <c r="J286" s="2" t="inlineStr">
        <is>
          <t>MILL-RUN-01</t>
        </is>
      </c>
    </row>
    <row r="287">
      <c r="G287" s="2" t="inlineStr">
        <is>
          <t>2026-06-23</t>
        </is>
      </c>
      <c r="H287" s="2" t="inlineStr">
        <is>
          <t>SOYBEAN MEAL (ARG)</t>
        </is>
      </c>
      <c r="I287" s="4" t="n">
        <v>4.4742</v>
      </c>
      <c r="J287" s="2" t="inlineStr">
        <is>
          <t>MILL-RUN-01</t>
        </is>
      </c>
    </row>
    <row r="288">
      <c r="G288" s="2" t="inlineStr">
        <is>
          <t>2026-06-24</t>
        </is>
      </c>
      <c r="H288" s="2" t="inlineStr">
        <is>
          <t>SOYBEAN MEAL (ARG)</t>
        </is>
      </c>
      <c r="I288" s="4" t="n">
        <v>7.1328</v>
      </c>
      <c r="J288" s="2" t="inlineStr">
        <is>
          <t>MILL-RUN-01</t>
        </is>
      </c>
    </row>
    <row r="289">
      <c r="G289" s="2" t="inlineStr">
        <is>
          <t>2026-06-25</t>
        </is>
      </c>
      <c r="H289" s="2" t="inlineStr">
        <is>
          <t>SOYBEAN MEAL (ARG)</t>
        </is>
      </c>
      <c r="I289" s="4" t="n">
        <v>4.3188</v>
      </c>
      <c r="J289" s="2" t="inlineStr">
        <is>
          <t>MILL-RUN-01</t>
        </is>
      </c>
    </row>
    <row r="290">
      <c r="G290" s="2" t="inlineStr">
        <is>
          <t>2026-06-26</t>
        </is>
      </c>
      <c r="H290" s="2" t="inlineStr">
        <is>
          <t>SOYBEAN MEAL (ARG)</t>
        </is>
      </c>
      <c r="I290" s="4" t="n">
        <v>29.796</v>
      </c>
      <c r="J290" s="2" t="inlineStr">
        <is>
          <t>MILL-RUN-01</t>
        </is>
      </c>
    </row>
    <row r="291">
      <c r="G291" s="2" t="inlineStr">
        <is>
          <t>2026-06-27</t>
        </is>
      </c>
      <c r="H291" s="2" t="inlineStr">
        <is>
          <t>SOYBEAN MEAL (ARG)</t>
        </is>
      </c>
      <c r="I291" s="4" t="n">
        <v>1.714</v>
      </c>
      <c r="J291" s="2" t="inlineStr">
        <is>
          <t>MILL-RUN-01</t>
        </is>
      </c>
    </row>
    <row r="292">
      <c r="G292" s="2" t="inlineStr">
        <is>
          <t>2026-06-29</t>
        </is>
      </c>
      <c r="H292" s="2" t="inlineStr">
        <is>
          <t>SOYBEAN MEAL (ARG)</t>
        </is>
      </c>
      <c r="I292" s="4" t="n">
        <v>12.9294</v>
      </c>
      <c r="J292" s="2" t="inlineStr">
        <is>
          <t>MILL-RUN-01</t>
        </is>
      </c>
    </row>
    <row r="293">
      <c r="G293" s="2" t="inlineStr">
        <is>
          <t>2026-06-30</t>
        </is>
      </c>
      <c r="H293" s="2" t="inlineStr">
        <is>
          <t>SOYBEAN MEAL (ARG)</t>
        </is>
      </c>
      <c r="I293" s="4" t="n">
        <v>12.9392</v>
      </c>
      <c r="J293" s="2" t="inlineStr">
        <is>
          <t>MILL-RUN-01</t>
        </is>
      </c>
    </row>
    <row r="294">
      <c r="G294" s="2" t="inlineStr">
        <is>
          <t>2026-07-01</t>
        </is>
      </c>
      <c r="H294" s="2" t="inlineStr">
        <is>
          <t>SOYBEAN MEAL (ARG)</t>
        </is>
      </c>
      <c r="I294" s="4" t="n">
        <v>2.0164</v>
      </c>
      <c r="J294" s="2" t="inlineStr">
        <is>
          <t>MILL-RUN-01</t>
        </is>
      </c>
    </row>
    <row r="295">
      <c r="G295" s="2" t="inlineStr">
        <is>
          <t>2026-07-02</t>
        </is>
      </c>
      <c r="H295" s="2" t="inlineStr">
        <is>
          <t>SOYBEAN MEAL (ARG)</t>
        </is>
      </c>
      <c r="I295" s="4" t="n">
        <v>10.7838</v>
      </c>
      <c r="J295" s="2" t="inlineStr">
        <is>
          <t>MILL-RUN-01</t>
        </is>
      </c>
    </row>
    <row r="296">
      <c r="G296" s="2" t="inlineStr">
        <is>
          <t>2026-07-03</t>
        </is>
      </c>
      <c r="H296" s="2" t="inlineStr">
        <is>
          <t>SOYBEAN MEAL (ARG)</t>
        </is>
      </c>
      <c r="I296" s="4" t="n">
        <v>10.6938</v>
      </c>
      <c r="J296" s="2" t="inlineStr">
        <is>
          <t>MILL-RUN-01</t>
        </is>
      </c>
    </row>
    <row r="297">
      <c r="G297" s="2" t="inlineStr">
        <is>
          <t>2026-07-04</t>
        </is>
      </c>
      <c r="H297" s="2" t="inlineStr">
        <is>
          <t>SOYBEAN MEAL (ARG)</t>
        </is>
      </c>
      <c r="I297" s="4" t="n">
        <v>16.355</v>
      </c>
      <c r="J297" s="2" t="inlineStr">
        <is>
          <t>MILL-RUN-01</t>
        </is>
      </c>
    </row>
    <row r="298">
      <c r="G298" s="2" t="inlineStr">
        <is>
          <t>2026-07-06</t>
        </is>
      </c>
      <c r="H298" s="2" t="inlineStr">
        <is>
          <t>SOYBEAN MEAL (ARG)</t>
        </is>
      </c>
      <c r="I298" s="4" t="n">
        <v>10.2936</v>
      </c>
      <c r="J298" s="2" t="inlineStr">
        <is>
          <t>MILL-RUN-01</t>
        </is>
      </c>
    </row>
    <row r="299">
      <c r="G299" s="2" t="inlineStr">
        <is>
          <t>2026-07-07</t>
        </is>
      </c>
      <c r="H299" s="2" t="inlineStr">
        <is>
          <t>SOYBEAN MEAL (ARG)</t>
        </is>
      </c>
      <c r="I299" s="4" t="n">
        <v>12.3766</v>
      </c>
      <c r="J299" s="2" t="inlineStr">
        <is>
          <t>MILL-RUN-01</t>
        </is>
      </c>
    </row>
    <row r="300">
      <c r="G300" s="2" t="inlineStr">
        <is>
          <t>2026-07-08</t>
        </is>
      </c>
      <c r="H300" s="2" t="inlineStr">
        <is>
          <t>SOYBEAN MEAL (ARG)</t>
        </is>
      </c>
      <c r="I300" s="4" t="n">
        <v>4.3084</v>
      </c>
      <c r="J300" s="2" t="inlineStr">
        <is>
          <t>MILL-RUN-01</t>
        </is>
      </c>
    </row>
    <row r="301">
      <c r="G301" s="2" t="inlineStr">
        <is>
          <t>2026-07-09</t>
        </is>
      </c>
      <c r="H301" s="2" t="inlineStr">
        <is>
          <t>SOYBEAN MEAL (ARG)</t>
        </is>
      </c>
      <c r="I301" s="4" t="n">
        <v>16.1402</v>
      </c>
      <c r="J301" s="2" t="inlineStr">
        <is>
          <t>MILL-RUN-01</t>
        </is>
      </c>
    </row>
    <row r="302">
      <c r="G302" s="2" t="inlineStr">
        <is>
          <t>2026-07-10</t>
        </is>
      </c>
      <c r="H302" s="2" t="inlineStr">
        <is>
          <t>SOYBEAN MEAL (ARG)</t>
        </is>
      </c>
      <c r="I302" s="4" t="n">
        <v>50.1922</v>
      </c>
      <c r="J302" s="2" t="inlineStr">
        <is>
          <t>MILL-RUN-01</t>
        </is>
      </c>
    </row>
    <row r="303">
      <c r="G303" s="2" t="inlineStr">
        <is>
          <t>2026-07-13</t>
        </is>
      </c>
      <c r="H303" s="2" t="inlineStr">
        <is>
          <t>SOYBEAN MEAL (ARG)</t>
        </is>
      </c>
      <c r="I303" s="4" t="n">
        <v>7.239</v>
      </c>
      <c r="J303" s="2" t="inlineStr">
        <is>
          <t>MILL-RUN-01</t>
        </is>
      </c>
    </row>
    <row r="304">
      <c r="G304" s="2" t="inlineStr">
        <is>
          <t>2026-07-14</t>
        </is>
      </c>
      <c r="H304" s="2" t="inlineStr">
        <is>
          <t>SOYBEAN MEAL (ARG)</t>
        </is>
      </c>
      <c r="I304" s="4" t="n">
        <v>31.3352</v>
      </c>
      <c r="J304" s="2" t="inlineStr">
        <is>
          <t>MILL-RUN-01</t>
        </is>
      </c>
    </row>
    <row r="305">
      <c r="G305" s="2" t="inlineStr">
        <is>
          <t>2026-07-15</t>
        </is>
      </c>
      <c r="H305" s="2" t="inlineStr">
        <is>
          <t>SOYBEAN MEAL (ARG)</t>
        </is>
      </c>
      <c r="I305" s="4" t="n">
        <v>13.908</v>
      </c>
      <c r="J305" s="2" t="inlineStr">
        <is>
          <t>MILL-RUN-01</t>
        </is>
      </c>
    </row>
    <row r="306">
      <c r="G306" s="2" t="inlineStr">
        <is>
          <t>2026-07-16</t>
        </is>
      </c>
      <c r="H306" s="2" t="inlineStr">
        <is>
          <t>SOYBEAN MEAL (ARG)</t>
        </is>
      </c>
      <c r="I306" s="4" t="n">
        <v>18.0176</v>
      </c>
      <c r="J306" s="2" t="inlineStr">
        <is>
          <t>MILL-RUN-01</t>
        </is>
      </c>
    </row>
    <row r="307">
      <c r="G307" s="2" t="inlineStr">
        <is>
          <t>2026-07-17</t>
        </is>
      </c>
      <c r="H307" s="2" t="inlineStr">
        <is>
          <t>SOYBEAN MEAL (ARG)</t>
        </is>
      </c>
      <c r="I307" s="4" t="n">
        <v>8.926200000000001</v>
      </c>
      <c r="J307" s="2" t="inlineStr">
        <is>
          <t>MILL-RUN-01</t>
        </is>
      </c>
    </row>
    <row r="308">
      <c r="G308" s="2" t="inlineStr">
        <is>
          <t>2026-07-18</t>
        </is>
      </c>
      <c r="H308" s="2" t="inlineStr">
        <is>
          <t>SOYBEAN MEAL (ARG)</t>
        </is>
      </c>
      <c r="I308" s="4" t="n">
        <v>15.9872</v>
      </c>
      <c r="J308" s="2" t="inlineStr">
        <is>
          <t>MILL-RUN-01</t>
        </is>
      </c>
    </row>
    <row r="309">
      <c r="G309" s="2" t="inlineStr">
        <is>
          <t>2026-07-21</t>
        </is>
      </c>
      <c r="H309" s="2" t="inlineStr">
        <is>
          <t>SOYBEAN MEAL (ARG)</t>
        </is>
      </c>
      <c r="I309" s="4" t="n">
        <v>17.881</v>
      </c>
      <c r="J309" s="2" t="inlineStr">
        <is>
          <t>MILL-RUN-01</t>
        </is>
      </c>
    </row>
    <row r="310">
      <c r="G310" s="2" t="inlineStr">
        <is>
          <t>2026-07-23</t>
        </is>
      </c>
      <c r="H310" s="2" t="inlineStr">
        <is>
          <t>SOYBEAN MEAL (ARG)</t>
        </is>
      </c>
      <c r="I310" s="4" t="n">
        <v>9.515799999999999</v>
      </c>
      <c r="J310" s="2" t="inlineStr">
        <is>
          <t>MILL-RUN-01</t>
        </is>
      </c>
    </row>
    <row r="311">
      <c r="G311" s="2" t="inlineStr">
        <is>
          <t>2026-07-24</t>
        </is>
      </c>
      <c r="H311" s="2" t="inlineStr">
        <is>
          <t>SOYBEAN MEAL (ARG)</t>
        </is>
      </c>
      <c r="I311" s="4" t="n">
        <v>15.5542</v>
      </c>
      <c r="J311" s="2" t="inlineStr">
        <is>
          <t>MILL-RUN-01</t>
        </is>
      </c>
    </row>
    <row r="312">
      <c r="G312" s="2" t="inlineStr">
        <is>
          <t>2026-07-25</t>
        </is>
      </c>
      <c r="H312" s="2" t="inlineStr">
        <is>
          <t>SOYBEAN MEAL (ARG)</t>
        </is>
      </c>
      <c r="I312" s="4" t="n">
        <v>19.0004</v>
      </c>
      <c r="J312" s="2" t="inlineStr">
        <is>
          <t>MILL-RUN-01</t>
        </is>
      </c>
    </row>
    <row r="313">
      <c r="G313" s="2" t="inlineStr">
        <is>
          <t>2026-07-27</t>
        </is>
      </c>
      <c r="H313" s="2" t="inlineStr">
        <is>
          <t>SOYBEAN MEAL (ARG)</t>
        </is>
      </c>
      <c r="I313" s="4" t="n">
        <v>12.942</v>
      </c>
      <c r="J313" s="2" t="inlineStr">
        <is>
          <t>MILL-RUN-01</t>
        </is>
      </c>
    </row>
    <row r="314">
      <c r="G314" s="2" t="inlineStr">
        <is>
          <t>2026-07-30</t>
        </is>
      </c>
      <c r="H314" s="2" t="inlineStr">
        <is>
          <t>SOYBEAN MEAL (ARG)</t>
        </is>
      </c>
      <c r="I314" s="4" t="n">
        <v>6.3436</v>
      </c>
      <c r="J314" s="2" t="inlineStr">
        <is>
          <t>MILL-RUN-01</t>
        </is>
      </c>
    </row>
    <row r="315">
      <c r="G315" s="2" t="inlineStr">
        <is>
          <t>2026-07-31</t>
        </is>
      </c>
      <c r="H315" s="2" t="inlineStr">
        <is>
          <t>SOYBEAN MEAL (ARG)</t>
        </is>
      </c>
      <c r="I315" s="4" t="n">
        <v>27.8414</v>
      </c>
      <c r="J315" s="2" t="inlineStr">
        <is>
          <t>MILL-RUN-01</t>
        </is>
      </c>
    </row>
    <row r="316">
      <c r="G316" s="2" t="inlineStr">
        <is>
          <t>2026-01-02</t>
        </is>
      </c>
      <c r="H316" s="2" t="inlineStr">
        <is>
          <t>SOYBEAN FULL FAT</t>
        </is>
      </c>
      <c r="I316" s="4" t="n">
        <v>4.6006</v>
      </c>
      <c r="J316" s="2" t="inlineStr">
        <is>
          <t>MILL-RUN-01</t>
        </is>
      </c>
    </row>
    <row r="317">
      <c r="G317" s="2" t="inlineStr">
        <is>
          <t>2026-01-03</t>
        </is>
      </c>
      <c r="H317" s="2" t="inlineStr">
        <is>
          <t>SOYBEAN FULL FAT</t>
        </is>
      </c>
      <c r="I317" s="4" t="n">
        <v>6.1002</v>
      </c>
      <c r="J317" s="2" t="inlineStr">
        <is>
          <t>MILL-RUN-01</t>
        </is>
      </c>
    </row>
    <row r="318">
      <c r="G318" s="2" t="inlineStr">
        <is>
          <t>2026-01-05</t>
        </is>
      </c>
      <c r="H318" s="2" t="inlineStr">
        <is>
          <t>SOYBEAN FULL FAT</t>
        </is>
      </c>
      <c r="I318" s="4" t="n">
        <v>5.3996</v>
      </c>
      <c r="J318" s="2" t="inlineStr">
        <is>
          <t>MILL-RUN-01</t>
        </is>
      </c>
    </row>
    <row r="319">
      <c r="G319" s="2" t="inlineStr">
        <is>
          <t>2026-01-06</t>
        </is>
      </c>
      <c r="H319" s="2" t="inlineStr">
        <is>
          <t>SOYBEAN FULL FAT</t>
        </is>
      </c>
      <c r="I319" s="4" t="n">
        <v>3.9534</v>
      </c>
      <c r="J319" s="2" t="inlineStr">
        <is>
          <t>MILL-RUN-01</t>
        </is>
      </c>
    </row>
    <row r="320">
      <c r="G320" s="2" t="inlineStr">
        <is>
          <t>2026-01-07</t>
        </is>
      </c>
      <c r="H320" s="2" t="inlineStr">
        <is>
          <t>SOYBEAN FULL FAT</t>
        </is>
      </c>
      <c r="I320" s="4" t="n">
        <v>4.200699999999999</v>
      </c>
      <c r="J320" s="2" t="inlineStr">
        <is>
          <t>MILL-RUN-01</t>
        </is>
      </c>
    </row>
    <row r="321">
      <c r="G321" s="2" t="inlineStr">
        <is>
          <t>2026-01-08</t>
        </is>
      </c>
      <c r="H321" s="2" t="inlineStr">
        <is>
          <t>SOYBEAN FULL FAT</t>
        </is>
      </c>
      <c r="I321" s="4" t="n">
        <v>1.5015</v>
      </c>
      <c r="J321" s="2" t="inlineStr">
        <is>
          <t>MILL-RUN-01</t>
        </is>
      </c>
    </row>
    <row r="322">
      <c r="G322" s="2" t="inlineStr">
        <is>
          <t>2026-01-09</t>
        </is>
      </c>
      <c r="H322" s="2" t="inlineStr">
        <is>
          <t>SOYBEAN FULL FAT</t>
        </is>
      </c>
      <c r="I322" s="4" t="n">
        <v>1.999</v>
      </c>
      <c r="J322" s="2" t="inlineStr">
        <is>
          <t>MILL-RUN-01</t>
        </is>
      </c>
    </row>
    <row r="323">
      <c r="G323" s="2" t="inlineStr">
        <is>
          <t>2026-01-10</t>
        </is>
      </c>
      <c r="H323" s="2" t="inlineStr">
        <is>
          <t>SOYBEAN FULL FAT</t>
        </is>
      </c>
      <c r="I323" s="4" t="n">
        <v>1.1014</v>
      </c>
      <c r="J323" s="2" t="inlineStr">
        <is>
          <t>MILL-RUN-01</t>
        </is>
      </c>
    </row>
    <row r="324">
      <c r="G324" s="2" t="inlineStr">
        <is>
          <t>2026-01-12</t>
        </is>
      </c>
      <c r="H324" s="2" t="inlineStr">
        <is>
          <t>SOYBEAN FULL FAT</t>
        </is>
      </c>
      <c r="I324" s="4" t="n">
        <v>4.5988</v>
      </c>
      <c r="J324" s="2" t="inlineStr">
        <is>
          <t>MILL-RUN-01</t>
        </is>
      </c>
    </row>
    <row r="325">
      <c r="G325" s="2" t="inlineStr">
        <is>
          <t>2026-01-13</t>
        </is>
      </c>
      <c r="H325" s="2" t="inlineStr">
        <is>
          <t>SOYBEAN FULL FAT</t>
        </is>
      </c>
      <c r="I325" s="4" t="n">
        <v>5.881399999999999</v>
      </c>
      <c r="J325" s="2" t="inlineStr">
        <is>
          <t>MILL-RUN-01</t>
        </is>
      </c>
    </row>
    <row r="326">
      <c r="G326" s="2" t="inlineStr">
        <is>
          <t>2026-01-15</t>
        </is>
      </c>
      <c r="H326" s="2" t="inlineStr">
        <is>
          <t>SOYBEAN FULL FAT</t>
        </is>
      </c>
      <c r="I326" s="4" t="n">
        <v>4.5995</v>
      </c>
      <c r="J326" s="2" t="inlineStr">
        <is>
          <t>MILL-RUN-01</t>
        </is>
      </c>
    </row>
    <row r="327">
      <c r="G327" s="2" t="inlineStr">
        <is>
          <t>2026-01-16</t>
        </is>
      </c>
      <c r="H327" s="2" t="inlineStr">
        <is>
          <t>SOYBEAN FULL FAT</t>
        </is>
      </c>
      <c r="I327" s="4" t="n">
        <v>3.1328</v>
      </c>
      <c r="J327" s="2" t="inlineStr">
        <is>
          <t>MILL-RUN-01</t>
        </is>
      </c>
    </row>
    <row r="328">
      <c r="G328" s="2" t="inlineStr">
        <is>
          <t>2026-01-17</t>
        </is>
      </c>
      <c r="H328" s="2" t="inlineStr">
        <is>
          <t>SOYBEAN FULL FAT</t>
        </is>
      </c>
      <c r="I328" s="4" t="n">
        <v>1.2995</v>
      </c>
      <c r="J328" s="2" t="inlineStr">
        <is>
          <t>MILL-RUN-01</t>
        </is>
      </c>
    </row>
    <row r="329">
      <c r="G329" s="2" t="inlineStr">
        <is>
          <t>2026-01-19</t>
        </is>
      </c>
      <c r="H329" s="2" t="inlineStr">
        <is>
          <t>SOYBEAN FULL FAT</t>
        </is>
      </c>
      <c r="I329" s="4" t="n">
        <v>4.0018</v>
      </c>
      <c r="J329" s="2" t="inlineStr">
        <is>
          <t>MILL-RUN-01</t>
        </is>
      </c>
    </row>
    <row r="330">
      <c r="G330" s="2" t="inlineStr">
        <is>
          <t>2026-01-20</t>
        </is>
      </c>
      <c r="H330" s="2" t="inlineStr">
        <is>
          <t>SOYBEAN FULL FAT</t>
        </is>
      </c>
      <c r="I330" s="4" t="n">
        <v>4.0012</v>
      </c>
      <c r="J330" s="2" t="inlineStr">
        <is>
          <t>MILL-RUN-01</t>
        </is>
      </c>
    </row>
    <row r="331">
      <c r="G331" s="2" t="inlineStr">
        <is>
          <t>2026-01-21</t>
        </is>
      </c>
      <c r="H331" s="2" t="inlineStr">
        <is>
          <t>SOYBEAN FULL FAT</t>
        </is>
      </c>
      <c r="I331" s="4" t="n">
        <v>1.9291</v>
      </c>
      <c r="J331" s="2" t="inlineStr">
        <is>
          <t>MILL-RUN-01</t>
        </is>
      </c>
    </row>
    <row r="332">
      <c r="G332" s="2" t="inlineStr">
        <is>
          <t>2026-01-22</t>
        </is>
      </c>
      <c r="H332" s="2" t="inlineStr">
        <is>
          <t>SOYBEAN FULL FAT</t>
        </is>
      </c>
      <c r="I332" s="4" t="n">
        <v>2.0005</v>
      </c>
      <c r="J332" s="2" t="inlineStr">
        <is>
          <t>MILL-RUN-01</t>
        </is>
      </c>
    </row>
    <row r="333">
      <c r="G333" s="2" t="inlineStr">
        <is>
          <t>2026-01-23</t>
        </is>
      </c>
      <c r="H333" s="2" t="inlineStr">
        <is>
          <t>SOYBEAN FULL FAT</t>
        </is>
      </c>
      <c r="I333" s="4" t="n">
        <v>4.1214</v>
      </c>
      <c r="J333" s="2" t="inlineStr">
        <is>
          <t>MILL-RUN-01</t>
        </is>
      </c>
    </row>
    <row r="334">
      <c r="G334" s="2" t="inlineStr">
        <is>
          <t>2026-01-24</t>
        </is>
      </c>
      <c r="H334" s="2" t="inlineStr">
        <is>
          <t>SOYBEAN FULL FAT</t>
        </is>
      </c>
      <c r="I334" s="4" t="n">
        <v>1.2994</v>
      </c>
      <c r="J334" s="2" t="inlineStr">
        <is>
          <t>MILL-RUN-01</t>
        </is>
      </c>
    </row>
    <row r="335">
      <c r="G335" s="2" t="inlineStr">
        <is>
          <t>2026-01-26</t>
        </is>
      </c>
      <c r="H335" s="2" t="inlineStr">
        <is>
          <t>SOYBEAN FULL FAT</t>
        </is>
      </c>
      <c r="I335" s="4" t="n">
        <v>2.2016</v>
      </c>
      <c r="J335" s="2" t="inlineStr">
        <is>
          <t>MILL-RUN-01</t>
        </is>
      </c>
    </row>
    <row r="336">
      <c r="G336" s="2" t="inlineStr">
        <is>
          <t>2026-01-27</t>
        </is>
      </c>
      <c r="H336" s="2" t="inlineStr">
        <is>
          <t>SOYBEAN FULL FAT</t>
        </is>
      </c>
      <c r="I336" s="4" t="n">
        <v>5.5206</v>
      </c>
      <c r="J336" s="2" t="inlineStr">
        <is>
          <t>MILL-RUN-01</t>
        </is>
      </c>
    </row>
    <row r="337">
      <c r="G337" s="2" t="inlineStr">
        <is>
          <t>2026-01-28</t>
        </is>
      </c>
      <c r="H337" s="2" t="inlineStr">
        <is>
          <t>SOYBEAN FULL FAT</t>
        </is>
      </c>
      <c r="I337" s="4" t="n">
        <v>1.7006</v>
      </c>
      <c r="J337" s="2" t="inlineStr">
        <is>
          <t>MILL-RUN-01</t>
        </is>
      </c>
    </row>
    <row r="338">
      <c r="G338" s="2" t="inlineStr">
        <is>
          <t>2026-01-30</t>
        </is>
      </c>
      <c r="H338" s="2" t="inlineStr">
        <is>
          <t>SOYBEAN FULL FAT</t>
        </is>
      </c>
      <c r="I338" s="4" t="n">
        <v>1.2811</v>
      </c>
      <c r="J338" s="2" t="inlineStr">
        <is>
          <t>MILL-RUN-01</t>
        </is>
      </c>
    </row>
    <row r="339">
      <c r="G339" s="2" t="inlineStr">
        <is>
          <t>2026-01-31</t>
        </is>
      </c>
      <c r="H339" s="2" t="inlineStr">
        <is>
          <t>SOYBEAN FULL FAT</t>
        </is>
      </c>
      <c r="I339" s="4" t="n">
        <v>4.400600000000001</v>
      </c>
      <c r="J339" s="2" t="inlineStr">
        <is>
          <t>MILL-RUN-01</t>
        </is>
      </c>
    </row>
    <row r="340">
      <c r="G340" s="2" t="inlineStr">
        <is>
          <t>2026-02-03</t>
        </is>
      </c>
      <c r="H340" s="2" t="inlineStr">
        <is>
          <t>SOYBEAN FULL FAT</t>
        </is>
      </c>
      <c r="I340" s="4" t="n">
        <v>2.5798</v>
      </c>
      <c r="J340" s="2" t="inlineStr">
        <is>
          <t>MILL-RUN-01</t>
        </is>
      </c>
    </row>
    <row r="341">
      <c r="G341" s="2" t="inlineStr">
        <is>
          <t>2026-02-05</t>
        </is>
      </c>
      <c r="H341" s="2" t="inlineStr">
        <is>
          <t>SOYBEAN FULL FAT</t>
        </is>
      </c>
      <c r="I341" s="4" t="n">
        <v>3.7715</v>
      </c>
      <c r="J341" s="2" t="inlineStr">
        <is>
          <t>MILL-RUN-01</t>
        </is>
      </c>
    </row>
    <row r="342">
      <c r="G342" s="2" t="inlineStr">
        <is>
          <t>2026-02-06</t>
        </is>
      </c>
      <c r="H342" s="2" t="inlineStr">
        <is>
          <t>SOYBEAN FULL FAT</t>
        </is>
      </c>
      <c r="I342" s="4" t="n">
        <v>5.8448</v>
      </c>
      <c r="J342" s="2" t="inlineStr">
        <is>
          <t>MILL-RUN-01</t>
        </is>
      </c>
    </row>
    <row r="343">
      <c r="G343" s="2" t="inlineStr">
        <is>
          <t>2026-02-07</t>
        </is>
      </c>
      <c r="H343" s="2" t="inlineStr">
        <is>
          <t>SOYBEAN FULL FAT</t>
        </is>
      </c>
      <c r="I343" s="4" t="n">
        <v>3.9902</v>
      </c>
      <c r="J343" s="2" t="inlineStr">
        <is>
          <t>MILL-RUN-01</t>
        </is>
      </c>
    </row>
    <row r="344">
      <c r="G344" s="2" t="inlineStr">
        <is>
          <t>2026-02-09</t>
        </is>
      </c>
      <c r="H344" s="2" t="inlineStr">
        <is>
          <t>SOYBEAN FULL FAT</t>
        </is>
      </c>
      <c r="I344" s="4" t="n">
        <v>6.0018</v>
      </c>
      <c r="J344" s="2" t="inlineStr">
        <is>
          <t>MILL-RUN-01</t>
        </is>
      </c>
    </row>
    <row r="345">
      <c r="G345" s="2" t="inlineStr">
        <is>
          <t>2026-02-10</t>
        </is>
      </c>
      <c r="H345" s="2" t="inlineStr">
        <is>
          <t>SOYBEAN FULL FAT</t>
        </is>
      </c>
      <c r="I345" s="4" t="n">
        <v>2.5001</v>
      </c>
      <c r="J345" s="2" t="inlineStr">
        <is>
          <t>MILL-RUN-01</t>
        </is>
      </c>
    </row>
    <row r="346">
      <c r="G346" s="2" t="inlineStr">
        <is>
          <t>2026-02-11</t>
        </is>
      </c>
      <c r="H346" s="2" t="inlineStr">
        <is>
          <t>SOYBEAN FULL FAT</t>
        </is>
      </c>
      <c r="I346" s="4" t="n">
        <v>7.9816</v>
      </c>
      <c r="J346" s="2" t="inlineStr">
        <is>
          <t>MILL-RUN-01</t>
        </is>
      </c>
    </row>
    <row r="347">
      <c r="G347" s="2" t="inlineStr">
        <is>
          <t>2026-02-12</t>
        </is>
      </c>
      <c r="H347" s="2" t="inlineStr">
        <is>
          <t>SOYBEAN FULL FAT</t>
        </is>
      </c>
      <c r="I347" s="4" t="n">
        <v>9.1859</v>
      </c>
      <c r="J347" s="2" t="inlineStr">
        <is>
          <t>MILL-RUN-01</t>
        </is>
      </c>
    </row>
    <row r="348">
      <c r="G348" s="2" t="inlineStr">
        <is>
          <t>2026-02-13</t>
        </is>
      </c>
      <c r="H348" s="2" t="inlineStr">
        <is>
          <t>SOYBEAN FULL FAT</t>
        </is>
      </c>
      <c r="I348" s="4" t="n">
        <v>6.2511</v>
      </c>
      <c r="J348" s="2" t="inlineStr">
        <is>
          <t>MILL-RUN-01</t>
        </is>
      </c>
    </row>
    <row r="349">
      <c r="G349" s="2" t="inlineStr">
        <is>
          <t>2026-02-16</t>
        </is>
      </c>
      <c r="H349" s="2" t="inlineStr">
        <is>
          <t>SOYBEAN FULL FAT</t>
        </is>
      </c>
      <c r="I349" s="4" t="n">
        <v>0.7511</v>
      </c>
      <c r="J349" s="2" t="inlineStr">
        <is>
          <t>MILL-RUN-01</t>
        </is>
      </c>
    </row>
    <row r="350">
      <c r="G350" s="2" t="inlineStr">
        <is>
          <t>2026-02-19</t>
        </is>
      </c>
      <c r="H350" s="2" t="inlineStr">
        <is>
          <t>SOYBEAN FULL FAT</t>
        </is>
      </c>
      <c r="I350" s="4" t="n">
        <v>9.213700000000001</v>
      </c>
      <c r="J350" s="2" t="inlineStr">
        <is>
          <t>MILL-RUN-01</t>
        </is>
      </c>
    </row>
    <row r="351">
      <c r="G351" s="2" t="inlineStr">
        <is>
          <t>2026-02-20</t>
        </is>
      </c>
      <c r="H351" s="2" t="inlineStr">
        <is>
          <t>SOYBEAN FULL FAT</t>
        </is>
      </c>
      <c r="I351" s="4" t="n">
        <v>6.799300000000001</v>
      </c>
      <c r="J351" s="2" t="inlineStr">
        <is>
          <t>MILL-RUN-01</t>
        </is>
      </c>
    </row>
    <row r="352">
      <c r="G352" s="2" t="inlineStr">
        <is>
          <t>2026-02-21</t>
        </is>
      </c>
      <c r="H352" s="2" t="inlineStr">
        <is>
          <t>SOYBEAN FULL FAT</t>
        </is>
      </c>
      <c r="I352" s="4" t="n">
        <v>4.826</v>
      </c>
      <c r="J352" s="2" t="inlineStr">
        <is>
          <t>MILL-RUN-01</t>
        </is>
      </c>
    </row>
    <row r="353">
      <c r="G353" s="2" t="inlineStr">
        <is>
          <t>2026-02-23</t>
        </is>
      </c>
      <c r="H353" s="2" t="inlineStr">
        <is>
          <t>SOYBEAN FULL FAT</t>
        </is>
      </c>
      <c r="I353" s="4" t="n">
        <v>1.2999</v>
      </c>
      <c r="J353" s="2" t="inlineStr">
        <is>
          <t>MILL-RUN-01</t>
        </is>
      </c>
    </row>
    <row r="354">
      <c r="G354" s="2" t="inlineStr">
        <is>
          <t>2026-02-24</t>
        </is>
      </c>
      <c r="H354" s="2" t="inlineStr">
        <is>
          <t>SOYBEAN FULL FAT</t>
        </is>
      </c>
      <c r="I354" s="4" t="n">
        <v>6.459899999999999</v>
      </c>
      <c r="J354" s="2" t="inlineStr">
        <is>
          <t>MILL-RUN-01</t>
        </is>
      </c>
    </row>
    <row r="355">
      <c r="G355" s="2" t="inlineStr">
        <is>
          <t>2026-02-25</t>
        </is>
      </c>
      <c r="H355" s="2" t="inlineStr">
        <is>
          <t>SOYBEAN FULL FAT</t>
        </is>
      </c>
      <c r="I355" s="4" t="n">
        <v>1.8539</v>
      </c>
      <c r="J355" s="2" t="inlineStr">
        <is>
          <t>MILL-RUN-01</t>
        </is>
      </c>
    </row>
    <row r="356">
      <c r="G356" s="2" t="inlineStr">
        <is>
          <t>2026-02-26</t>
        </is>
      </c>
      <c r="H356" s="2" t="inlineStr">
        <is>
          <t>SOYBEAN FULL FAT</t>
        </is>
      </c>
      <c r="I356" s="4" t="n">
        <v>2.1706</v>
      </c>
      <c r="J356" s="2" t="inlineStr">
        <is>
          <t>MILL-RUN-01</t>
        </is>
      </c>
    </row>
    <row r="357">
      <c r="G357" s="2" t="inlineStr">
        <is>
          <t>2026-02-27</t>
        </is>
      </c>
      <c r="H357" s="2" t="inlineStr">
        <is>
          <t>SOYBEAN FULL FAT</t>
        </is>
      </c>
      <c r="I357" s="4" t="n">
        <v>1.2515</v>
      </c>
      <c r="J357" s="2" t="inlineStr">
        <is>
          <t>MILL-RUN-01</t>
        </is>
      </c>
    </row>
    <row r="358">
      <c r="G358" s="2" t="inlineStr">
        <is>
          <t>2026-03-02</t>
        </is>
      </c>
      <c r="H358" s="2" t="inlineStr">
        <is>
          <t>SOYBEAN FULL FAT</t>
        </is>
      </c>
      <c r="I358" s="4" t="n">
        <v>6.7692</v>
      </c>
      <c r="J358" s="2" t="inlineStr">
        <is>
          <t>MILL-RUN-01</t>
        </is>
      </c>
    </row>
    <row r="359">
      <c r="G359" s="2" t="inlineStr">
        <is>
          <t>2026-03-03</t>
        </is>
      </c>
      <c r="H359" s="2" t="inlineStr">
        <is>
          <t>SOYBEAN FULL FAT</t>
        </is>
      </c>
      <c r="I359" s="4" t="n">
        <v>9.9152</v>
      </c>
      <c r="J359" s="2" t="inlineStr">
        <is>
          <t>MILL-RUN-01</t>
        </is>
      </c>
    </row>
    <row r="360">
      <c r="G360" s="2" t="inlineStr">
        <is>
          <t>2026-03-04</t>
        </is>
      </c>
      <c r="H360" s="2" t="inlineStr">
        <is>
          <t>SOYBEAN FULL FAT</t>
        </is>
      </c>
      <c r="I360" s="4" t="n">
        <v>6.9714</v>
      </c>
      <c r="J360" s="2" t="inlineStr">
        <is>
          <t>MILL-RUN-01</t>
        </is>
      </c>
    </row>
    <row r="361">
      <c r="G361" s="2" t="inlineStr">
        <is>
          <t>2026-03-05</t>
        </is>
      </c>
      <c r="H361" s="2" t="inlineStr">
        <is>
          <t>SOYBEAN FULL FAT</t>
        </is>
      </c>
      <c r="I361" s="4" t="n">
        <v>0.3995</v>
      </c>
      <c r="J361" s="2" t="inlineStr">
        <is>
          <t>MILL-RUN-01</t>
        </is>
      </c>
    </row>
    <row r="362">
      <c r="G362" s="2" t="inlineStr">
        <is>
          <t>2026-03-06</t>
        </is>
      </c>
      <c r="H362" s="2" t="inlineStr">
        <is>
          <t>SOYBEAN FULL FAT</t>
        </is>
      </c>
      <c r="I362" s="4" t="n">
        <v>5.8471</v>
      </c>
      <c r="J362" s="2" t="inlineStr">
        <is>
          <t>MILL-RUN-01</t>
        </is>
      </c>
    </row>
    <row r="363">
      <c r="G363" s="2" t="inlineStr">
        <is>
          <t>2026-03-07</t>
        </is>
      </c>
      <c r="H363" s="2" t="inlineStr">
        <is>
          <t>SOYBEAN FULL FAT</t>
        </is>
      </c>
      <c r="I363" s="4" t="n">
        <v>2.7944</v>
      </c>
      <c r="J363" s="2" t="inlineStr">
        <is>
          <t>MILL-RUN-01</t>
        </is>
      </c>
    </row>
    <row r="364">
      <c r="G364" s="2" t="inlineStr">
        <is>
          <t>2026-03-09</t>
        </is>
      </c>
      <c r="H364" s="2" t="inlineStr">
        <is>
          <t>SOYBEAN FULL FAT</t>
        </is>
      </c>
      <c r="I364" s="4" t="n">
        <v>10.1712</v>
      </c>
      <c r="J364" s="2" t="inlineStr">
        <is>
          <t>MILL-RUN-01</t>
        </is>
      </c>
    </row>
    <row r="365">
      <c r="G365" s="2" t="inlineStr">
        <is>
          <t>2026-03-10</t>
        </is>
      </c>
      <c r="H365" s="2" t="inlineStr">
        <is>
          <t>SOYBEAN FULL FAT</t>
        </is>
      </c>
      <c r="I365" s="4" t="n">
        <v>0.5003</v>
      </c>
      <c r="J365" s="2" t="inlineStr">
        <is>
          <t>MILL-RUN-01</t>
        </is>
      </c>
    </row>
    <row r="366">
      <c r="G366" s="2" t="inlineStr">
        <is>
          <t>2026-03-13</t>
        </is>
      </c>
      <c r="H366" s="2" t="inlineStr">
        <is>
          <t>SOYBEAN FULL FAT</t>
        </is>
      </c>
      <c r="I366" s="4" t="n">
        <v>10.0013</v>
      </c>
      <c r="J366" s="2" t="inlineStr">
        <is>
          <t>MILL-RUN-01</t>
        </is>
      </c>
    </row>
    <row r="367">
      <c r="G367" s="2" t="inlineStr">
        <is>
          <t>2026-03-14</t>
        </is>
      </c>
      <c r="H367" s="2" t="inlineStr">
        <is>
          <t>SOYBEAN FULL FAT</t>
        </is>
      </c>
      <c r="I367" s="4" t="n">
        <v>5.4755</v>
      </c>
      <c r="J367" s="2" t="inlineStr">
        <is>
          <t>MILL-RUN-01</t>
        </is>
      </c>
    </row>
    <row r="368">
      <c r="G368" s="2" t="inlineStr">
        <is>
          <t>2026-03-16</t>
        </is>
      </c>
      <c r="H368" s="2" t="inlineStr">
        <is>
          <t>SOYBEAN FULL FAT</t>
        </is>
      </c>
      <c r="I368" s="4" t="n">
        <v>11.1827</v>
      </c>
      <c r="J368" s="2" t="inlineStr">
        <is>
          <t>MILL-RUN-01</t>
        </is>
      </c>
    </row>
    <row r="369">
      <c r="G369" s="2" t="inlineStr">
        <is>
          <t>2026-03-17</t>
        </is>
      </c>
      <c r="H369" s="2" t="inlineStr">
        <is>
          <t>SOYBEAN FULL FAT</t>
        </is>
      </c>
      <c r="I369" s="4" t="n">
        <v>3.7919</v>
      </c>
      <c r="J369" s="2" t="inlineStr">
        <is>
          <t>MILL-RUN-01</t>
        </is>
      </c>
    </row>
    <row r="370">
      <c r="G370" s="2" t="inlineStr">
        <is>
          <t>2026-03-18</t>
        </is>
      </c>
      <c r="H370" s="2" t="inlineStr">
        <is>
          <t>SOYBEAN FULL FAT</t>
        </is>
      </c>
      <c r="I370" s="4" t="n">
        <v>5.876399999999999</v>
      </c>
      <c r="J370" s="2" t="inlineStr">
        <is>
          <t>MILL-RUN-01</t>
        </is>
      </c>
    </row>
    <row r="371">
      <c r="G371" s="2" t="inlineStr">
        <is>
          <t>2026-03-19</t>
        </is>
      </c>
      <c r="H371" s="2" t="inlineStr">
        <is>
          <t>SOYBEAN FULL FAT</t>
        </is>
      </c>
      <c r="I371" s="4" t="n">
        <v>1.671</v>
      </c>
      <c r="J371" s="2" t="inlineStr">
        <is>
          <t>MILL-RUN-01</t>
        </is>
      </c>
    </row>
    <row r="372">
      <c r="G372" s="2" t="inlineStr">
        <is>
          <t>2026-03-24</t>
        </is>
      </c>
      <c r="H372" s="2" t="inlineStr">
        <is>
          <t>SOYBEAN FULL FAT</t>
        </is>
      </c>
      <c r="I372" s="4" t="n">
        <v>3.34</v>
      </c>
      <c r="J372" s="2" t="inlineStr">
        <is>
          <t>MILL-RUN-01</t>
        </is>
      </c>
    </row>
    <row r="373">
      <c r="G373" s="2" t="inlineStr">
        <is>
          <t>2026-03-25</t>
        </is>
      </c>
      <c r="H373" s="2" t="inlineStr">
        <is>
          <t>SOYBEAN FULL FAT</t>
        </is>
      </c>
      <c r="I373" s="4" t="n">
        <v>3.852</v>
      </c>
      <c r="J373" s="2" t="inlineStr">
        <is>
          <t>MILL-RUN-01</t>
        </is>
      </c>
    </row>
    <row r="374">
      <c r="G374" s="2" t="inlineStr">
        <is>
          <t>2026-03-26</t>
        </is>
      </c>
      <c r="H374" s="2" t="inlineStr">
        <is>
          <t>SOYBEAN FULL FAT</t>
        </is>
      </c>
      <c r="I374" s="4" t="n">
        <v>2.8464</v>
      </c>
      <c r="J374" s="2" t="inlineStr">
        <is>
          <t>MILL-RUN-01</t>
        </is>
      </c>
    </row>
    <row r="375">
      <c r="G375" s="2" t="inlineStr">
        <is>
          <t>2026-03-27</t>
        </is>
      </c>
      <c r="H375" s="2" t="inlineStr">
        <is>
          <t>SOYBEAN FULL FAT</t>
        </is>
      </c>
      <c r="I375" s="4" t="n">
        <v>6.784800000000001</v>
      </c>
      <c r="J375" s="2" t="inlineStr">
        <is>
          <t>MILL-RUN-01</t>
        </is>
      </c>
    </row>
    <row r="376">
      <c r="G376" s="2" t="inlineStr">
        <is>
          <t>2026-03-28</t>
        </is>
      </c>
      <c r="H376" s="2" t="inlineStr">
        <is>
          <t>SOYBEAN FULL FAT</t>
        </is>
      </c>
      <c r="I376" s="4" t="n">
        <v>5.0035</v>
      </c>
      <c r="J376" s="2" t="inlineStr">
        <is>
          <t>MILL-RUN-01</t>
        </is>
      </c>
    </row>
    <row r="377">
      <c r="G377" s="2" t="inlineStr">
        <is>
          <t>2026-03-30</t>
        </is>
      </c>
      <c r="H377" s="2" t="inlineStr">
        <is>
          <t>SOYBEAN FULL FAT</t>
        </is>
      </c>
      <c r="I377" s="4" t="n">
        <v>4.1893</v>
      </c>
      <c r="J377" s="2" t="inlineStr">
        <is>
          <t>MILL-RUN-01</t>
        </is>
      </c>
    </row>
    <row r="378">
      <c r="G378" s="2" t="inlineStr">
        <is>
          <t>2026-03-31</t>
        </is>
      </c>
      <c r="H378" s="2" t="inlineStr">
        <is>
          <t>SOYBEAN FULL FAT</t>
        </is>
      </c>
      <c r="I378" s="4" t="n">
        <v>1.2513</v>
      </c>
      <c r="J378" s="2" t="inlineStr">
        <is>
          <t>MILL-RUN-01</t>
        </is>
      </c>
    </row>
    <row r="379">
      <c r="G379" s="2" t="inlineStr">
        <is>
          <t>2026-04-01</t>
        </is>
      </c>
      <c r="H379" s="2" t="inlineStr">
        <is>
          <t>SOYBEAN FULL FAT</t>
        </is>
      </c>
      <c r="I379" s="4" t="n">
        <v>1.3306</v>
      </c>
      <c r="J379" s="2" t="inlineStr">
        <is>
          <t>MILL-RUN-01</t>
        </is>
      </c>
    </row>
    <row r="380">
      <c r="G380" s="2" t="inlineStr">
        <is>
          <t>2026-04-03</t>
        </is>
      </c>
      <c r="H380" s="2" t="inlineStr">
        <is>
          <t>SOYBEAN FULL FAT</t>
        </is>
      </c>
      <c r="I380" s="4" t="n">
        <v>6.077199999999999</v>
      </c>
      <c r="J380" s="2" t="inlineStr">
        <is>
          <t>MILL-RUN-01</t>
        </is>
      </c>
    </row>
    <row r="381">
      <c r="G381" s="2" t="inlineStr">
        <is>
          <t>2026-04-06</t>
        </is>
      </c>
      <c r="H381" s="2" t="inlineStr">
        <is>
          <t>SOYBEAN FULL FAT</t>
        </is>
      </c>
      <c r="I381" s="4" t="n">
        <v>7.4995</v>
      </c>
      <c r="J381" s="2" t="inlineStr">
        <is>
          <t>MILL-RUN-01</t>
        </is>
      </c>
    </row>
    <row r="382">
      <c r="G382" s="2" t="inlineStr">
        <is>
          <t>2026-04-07</t>
        </is>
      </c>
      <c r="H382" s="2" t="inlineStr">
        <is>
          <t>SOYBEAN FULL FAT</t>
        </is>
      </c>
      <c r="I382" s="4" t="n">
        <v>1.0206</v>
      </c>
      <c r="J382" s="2" t="inlineStr">
        <is>
          <t>MILL-RUN-01</t>
        </is>
      </c>
    </row>
    <row r="383">
      <c r="G383" s="2" t="inlineStr">
        <is>
          <t>2026-04-08</t>
        </is>
      </c>
      <c r="H383" s="2" t="inlineStr">
        <is>
          <t>SOYBEAN FULL FAT</t>
        </is>
      </c>
      <c r="I383" s="4" t="n">
        <v>5.8452</v>
      </c>
      <c r="J383" s="2" t="inlineStr">
        <is>
          <t>MILL-RUN-01</t>
        </is>
      </c>
    </row>
    <row r="384">
      <c r="G384" s="2" t="inlineStr">
        <is>
          <t>2026-04-09</t>
        </is>
      </c>
      <c r="H384" s="2" t="inlineStr">
        <is>
          <t>SOYBEAN FULL FAT</t>
        </is>
      </c>
      <c r="I384" s="4" t="n">
        <v>2.5054</v>
      </c>
      <c r="J384" s="2" t="inlineStr">
        <is>
          <t>MILL-RUN-01</t>
        </is>
      </c>
    </row>
    <row r="385">
      <c r="G385" s="2" t="inlineStr">
        <is>
          <t>2026-04-10</t>
        </is>
      </c>
      <c r="H385" s="2" t="inlineStr">
        <is>
          <t>SOYBEAN FULL FAT</t>
        </is>
      </c>
      <c r="I385" s="4" t="n">
        <v>2.2105</v>
      </c>
      <c r="J385" s="2" t="inlineStr">
        <is>
          <t>MILL-RUN-01</t>
        </is>
      </c>
    </row>
    <row r="386">
      <c r="G386" s="2" t="inlineStr">
        <is>
          <t>2026-04-11</t>
        </is>
      </c>
      <c r="H386" s="2" t="inlineStr">
        <is>
          <t>SOYBEAN FULL FAT</t>
        </is>
      </c>
      <c r="I386" s="4" t="n">
        <v>2.9197</v>
      </c>
      <c r="J386" s="2" t="inlineStr">
        <is>
          <t>MILL-RUN-01</t>
        </is>
      </c>
    </row>
    <row r="387">
      <c r="G387" s="2" t="inlineStr">
        <is>
          <t>2026-04-13</t>
        </is>
      </c>
      <c r="H387" s="2" t="inlineStr">
        <is>
          <t>SOYBEAN FULL FAT</t>
        </is>
      </c>
      <c r="I387" s="4" t="n">
        <v>2.5062</v>
      </c>
      <c r="J387" s="2" t="inlineStr">
        <is>
          <t>MILL-RUN-01</t>
        </is>
      </c>
    </row>
    <row r="388">
      <c r="G388" s="2" t="inlineStr">
        <is>
          <t>2026-04-14</t>
        </is>
      </c>
      <c r="H388" s="2" t="inlineStr">
        <is>
          <t>SOYBEAN FULL FAT</t>
        </is>
      </c>
      <c r="I388" s="4" t="n">
        <v>10.3457</v>
      </c>
      <c r="J388" s="2" t="inlineStr">
        <is>
          <t>MILL-RUN-01</t>
        </is>
      </c>
    </row>
    <row r="389">
      <c r="G389" s="2" t="inlineStr">
        <is>
          <t>2026-04-15</t>
        </is>
      </c>
      <c r="H389" s="2" t="inlineStr">
        <is>
          <t>SOYBEAN FULL FAT</t>
        </is>
      </c>
      <c r="I389" s="4" t="n">
        <v>3.2316</v>
      </c>
      <c r="J389" s="2" t="inlineStr">
        <is>
          <t>MILL-RUN-01</t>
        </is>
      </c>
    </row>
    <row r="390">
      <c r="G390" s="2" t="inlineStr">
        <is>
          <t>2026-04-16</t>
        </is>
      </c>
      <c r="H390" s="2" t="inlineStr">
        <is>
          <t>SOYBEAN FULL FAT</t>
        </is>
      </c>
      <c r="I390" s="4" t="n">
        <v>5.0095</v>
      </c>
      <c r="J390" s="2" t="inlineStr">
        <is>
          <t>MILL-RUN-01</t>
        </is>
      </c>
    </row>
    <row r="391">
      <c r="G391" s="2" t="inlineStr">
        <is>
          <t>2026-04-17</t>
        </is>
      </c>
      <c r="H391" s="2" t="inlineStr">
        <is>
          <t>SOYBEAN FULL FAT</t>
        </is>
      </c>
      <c r="I391" s="4" t="n">
        <v>2.8217</v>
      </c>
      <c r="J391" s="2" t="inlineStr">
        <is>
          <t>MILL-RUN-01</t>
        </is>
      </c>
    </row>
    <row r="392">
      <c r="G392" s="2" t="inlineStr">
        <is>
          <t>2026-04-18</t>
        </is>
      </c>
      <c r="H392" s="2" t="inlineStr">
        <is>
          <t>SOYBEAN FULL FAT</t>
        </is>
      </c>
      <c r="I392" s="4" t="n">
        <v>4.760800000000001</v>
      </c>
      <c r="J392" s="2" t="inlineStr">
        <is>
          <t>MILL-RUN-01</t>
        </is>
      </c>
    </row>
    <row r="393">
      <c r="G393" s="2" t="inlineStr">
        <is>
          <t>2026-04-20</t>
        </is>
      </c>
      <c r="H393" s="2" t="inlineStr">
        <is>
          <t>SOYBEAN FULL FAT</t>
        </is>
      </c>
      <c r="I393" s="4" t="n">
        <v>4.8358</v>
      </c>
      <c r="J393" s="2" t="inlineStr">
        <is>
          <t>MILL-RUN-01</t>
        </is>
      </c>
    </row>
    <row r="394">
      <c r="G394" s="2" t="inlineStr">
        <is>
          <t>2026-04-21</t>
        </is>
      </c>
      <c r="H394" s="2" t="inlineStr">
        <is>
          <t>SOYBEAN FULL FAT</t>
        </is>
      </c>
      <c r="I394" s="4" t="n">
        <v>4.0043</v>
      </c>
      <c r="J394" s="2" t="inlineStr">
        <is>
          <t>MILL-RUN-01</t>
        </is>
      </c>
    </row>
    <row r="395">
      <c r="G395" s="2" t="inlineStr">
        <is>
          <t>2026-04-23</t>
        </is>
      </c>
      <c r="H395" s="2" t="inlineStr">
        <is>
          <t>SOYBEAN FULL FAT</t>
        </is>
      </c>
      <c r="I395" s="4" t="n">
        <v>4.9937</v>
      </c>
      <c r="J395" s="2" t="inlineStr">
        <is>
          <t>MILL-RUN-01</t>
        </is>
      </c>
    </row>
    <row r="396">
      <c r="G396" s="2" t="inlineStr">
        <is>
          <t>2026-04-24</t>
        </is>
      </c>
      <c r="H396" s="2" t="inlineStr">
        <is>
          <t>SOYBEAN FULL FAT</t>
        </is>
      </c>
      <c r="I396" s="4" t="n">
        <v>4.6413</v>
      </c>
      <c r="J396" s="2" t="inlineStr">
        <is>
          <t>MILL-RUN-01</t>
        </is>
      </c>
    </row>
    <row r="397">
      <c r="G397" s="2" t="inlineStr">
        <is>
          <t>2026-04-25</t>
        </is>
      </c>
      <c r="H397" s="2" t="inlineStr">
        <is>
          <t>SOYBEAN FULL FAT</t>
        </is>
      </c>
      <c r="I397" s="4" t="n">
        <v>8.1807</v>
      </c>
      <c r="J397" s="2" t="inlineStr">
        <is>
          <t>MILL-RUN-01</t>
        </is>
      </c>
    </row>
    <row r="398">
      <c r="G398" s="2" t="inlineStr">
        <is>
          <t>2026-04-27</t>
        </is>
      </c>
      <c r="H398" s="2" t="inlineStr">
        <is>
          <t>SOYBEAN FULL FAT</t>
        </is>
      </c>
      <c r="I398" s="4" t="n">
        <v>5.5506</v>
      </c>
      <c r="J398" s="2" t="inlineStr">
        <is>
          <t>MILL-RUN-01</t>
        </is>
      </c>
    </row>
    <row r="399">
      <c r="G399" s="2" t="inlineStr">
        <is>
          <t>2026-04-28</t>
        </is>
      </c>
      <c r="H399" s="2" t="inlineStr">
        <is>
          <t>SOYBEAN FULL FAT</t>
        </is>
      </c>
      <c r="I399" s="4" t="n">
        <v>3.3702</v>
      </c>
      <c r="J399" s="2" t="inlineStr">
        <is>
          <t>MILL-RUN-01</t>
        </is>
      </c>
    </row>
    <row r="400">
      <c r="G400" s="2" t="inlineStr">
        <is>
          <t>2026-04-30</t>
        </is>
      </c>
      <c r="H400" s="2" t="inlineStr">
        <is>
          <t>SOYBEAN FULL FAT</t>
        </is>
      </c>
      <c r="I400" s="4" t="n">
        <v>0.7004</v>
      </c>
      <c r="J400" s="2" t="inlineStr">
        <is>
          <t>MILL-RUN-01</t>
        </is>
      </c>
    </row>
    <row r="401">
      <c r="G401" s="2" t="inlineStr">
        <is>
          <t>2026-05-02</t>
        </is>
      </c>
      <c r="H401" s="2" t="inlineStr">
        <is>
          <t>SOYBEAN FULL FAT</t>
        </is>
      </c>
      <c r="I401" s="4" t="n">
        <v>4.0015</v>
      </c>
      <c r="J401" s="2" t="inlineStr">
        <is>
          <t>MILL-RUN-01</t>
        </is>
      </c>
    </row>
    <row r="402">
      <c r="G402" s="2" t="inlineStr">
        <is>
          <t>2026-05-04</t>
        </is>
      </c>
      <c r="H402" s="2" t="inlineStr">
        <is>
          <t>SOYBEAN FULL FAT</t>
        </is>
      </c>
      <c r="I402" s="4" t="n">
        <v>8.2499</v>
      </c>
      <c r="J402" s="2" t="inlineStr">
        <is>
          <t>MILL-RUN-01</t>
        </is>
      </c>
    </row>
    <row r="403">
      <c r="G403" s="2" t="inlineStr">
        <is>
          <t>2026-05-06</t>
        </is>
      </c>
      <c r="H403" s="2" t="inlineStr">
        <is>
          <t>SOYBEAN FULL FAT</t>
        </is>
      </c>
      <c r="I403" s="4" t="n">
        <v>1.9014</v>
      </c>
      <c r="J403" s="2" t="inlineStr">
        <is>
          <t>MILL-RUN-01</t>
        </is>
      </c>
    </row>
    <row r="404">
      <c r="G404" s="2" t="inlineStr">
        <is>
          <t>2026-05-07</t>
        </is>
      </c>
      <c r="H404" s="2" t="inlineStr">
        <is>
          <t>SOYBEAN FULL FAT</t>
        </is>
      </c>
      <c r="I404" s="4" t="n">
        <v>4.1007</v>
      </c>
      <c r="J404" s="2" t="inlineStr">
        <is>
          <t>MILL-RUN-01</t>
        </is>
      </c>
    </row>
    <row r="405">
      <c r="G405" s="2" t="inlineStr">
        <is>
          <t>2026-05-08</t>
        </is>
      </c>
      <c r="H405" s="2" t="inlineStr">
        <is>
          <t>SOYBEAN FULL FAT</t>
        </is>
      </c>
      <c r="I405" s="4" t="n">
        <v>3.6003</v>
      </c>
      <c r="J405" s="2" t="inlineStr">
        <is>
          <t>MILL-RUN-01</t>
        </is>
      </c>
    </row>
    <row r="406">
      <c r="G406" s="2" t="inlineStr">
        <is>
          <t>2026-05-09</t>
        </is>
      </c>
      <c r="H406" s="2" t="inlineStr">
        <is>
          <t>SOYBEAN FULL FAT</t>
        </is>
      </c>
      <c r="I406" s="4" t="n">
        <v>0.5004999999999999</v>
      </c>
      <c r="J406" s="2" t="inlineStr">
        <is>
          <t>MILL-RUN-01</t>
        </is>
      </c>
    </row>
    <row r="407">
      <c r="G407" s="2" t="inlineStr">
        <is>
          <t>2026-05-11</t>
        </is>
      </c>
      <c r="H407" s="2" t="inlineStr">
        <is>
          <t>SOYBEAN FULL FAT</t>
        </is>
      </c>
      <c r="I407" s="4" t="n">
        <v>3.5002</v>
      </c>
      <c r="J407" s="2" t="inlineStr">
        <is>
          <t>MILL-RUN-01</t>
        </is>
      </c>
    </row>
    <row r="408">
      <c r="G408" s="2" t="inlineStr">
        <is>
          <t>2026-05-12</t>
        </is>
      </c>
      <c r="H408" s="2" t="inlineStr">
        <is>
          <t>SOYBEAN FULL FAT</t>
        </is>
      </c>
      <c r="I408" s="4" t="n">
        <v>7.2005</v>
      </c>
      <c r="J408" s="2" t="inlineStr">
        <is>
          <t>MILL-RUN-01</t>
        </is>
      </c>
    </row>
    <row r="409">
      <c r="G409" s="2" t="inlineStr">
        <is>
          <t>2026-05-13</t>
        </is>
      </c>
      <c r="H409" s="2" t="inlineStr">
        <is>
          <t>SOYBEAN FULL FAT</t>
        </is>
      </c>
      <c r="I409" s="4" t="n">
        <v>3.3501</v>
      </c>
      <c r="J409" s="2" t="inlineStr">
        <is>
          <t>MILL-RUN-01</t>
        </is>
      </c>
    </row>
    <row r="410">
      <c r="G410" s="2" t="inlineStr">
        <is>
          <t>2026-05-14</t>
        </is>
      </c>
      <c r="H410" s="2" t="inlineStr">
        <is>
          <t>SOYBEAN FULL FAT</t>
        </is>
      </c>
      <c r="I410" s="4" t="n">
        <v>0.4207</v>
      </c>
      <c r="J410" s="2" t="inlineStr">
        <is>
          <t>MILL-RUN-01</t>
        </is>
      </c>
    </row>
    <row r="411">
      <c r="G411" s="2" t="inlineStr">
        <is>
          <t>2026-05-15</t>
        </is>
      </c>
      <c r="H411" s="2" t="inlineStr">
        <is>
          <t>SOYBEAN FULL FAT</t>
        </is>
      </c>
      <c r="I411" s="4" t="n">
        <v>3.1993</v>
      </c>
      <c r="J411" s="2" t="inlineStr">
        <is>
          <t>MILL-RUN-01</t>
        </is>
      </c>
    </row>
    <row r="412">
      <c r="G412" s="2" t="inlineStr">
        <is>
          <t>2026-05-16</t>
        </is>
      </c>
      <c r="H412" s="2" t="inlineStr">
        <is>
          <t>SOYBEAN FULL FAT</t>
        </is>
      </c>
      <c r="I412" s="4" t="n">
        <v>3.0018</v>
      </c>
      <c r="J412" s="2" t="inlineStr">
        <is>
          <t>MILL-RUN-01</t>
        </is>
      </c>
    </row>
    <row r="413">
      <c r="G413" s="2" t="inlineStr">
        <is>
          <t>2026-05-18</t>
        </is>
      </c>
      <c r="H413" s="2" t="inlineStr">
        <is>
          <t>SOYBEAN FULL FAT</t>
        </is>
      </c>
      <c r="I413" s="4" t="n">
        <v>3.252</v>
      </c>
      <c r="J413" s="2" t="inlineStr">
        <is>
          <t>MILL-RUN-01</t>
        </is>
      </c>
    </row>
    <row r="414">
      <c r="G414" s="2" t="inlineStr">
        <is>
          <t>2026-05-19</t>
        </is>
      </c>
      <c r="H414" s="2" t="inlineStr">
        <is>
          <t>SOYBEAN FULL FAT</t>
        </is>
      </c>
      <c r="I414" s="4" t="n">
        <v>7.199199999999999</v>
      </c>
      <c r="J414" s="2" t="inlineStr">
        <is>
          <t>MILL-RUN-01</t>
        </is>
      </c>
    </row>
    <row r="415">
      <c r="G415" s="2" t="inlineStr">
        <is>
          <t>2026-05-20</t>
        </is>
      </c>
      <c r="H415" s="2" t="inlineStr">
        <is>
          <t>SOYBEAN FULL FAT</t>
        </is>
      </c>
      <c r="I415" s="4" t="n">
        <v>0.5006</v>
      </c>
      <c r="J415" s="2" t="inlineStr">
        <is>
          <t>MILL-RUN-01</t>
        </is>
      </c>
    </row>
    <row r="416">
      <c r="G416" s="2" t="inlineStr">
        <is>
          <t>2026-05-21</t>
        </is>
      </c>
      <c r="H416" s="2" t="inlineStr">
        <is>
          <t>SOYBEAN FULL FAT</t>
        </is>
      </c>
      <c r="I416" s="4" t="n">
        <v>0.5002</v>
      </c>
      <c r="J416" s="2" t="inlineStr">
        <is>
          <t>MILL-RUN-01</t>
        </is>
      </c>
    </row>
    <row r="417">
      <c r="G417" s="2" t="inlineStr">
        <is>
          <t>2026-05-22</t>
        </is>
      </c>
      <c r="H417" s="2" t="inlineStr">
        <is>
          <t>SOYBEAN FULL FAT</t>
        </is>
      </c>
      <c r="I417" s="4" t="n">
        <v>1.0815</v>
      </c>
      <c r="J417" s="2" t="inlineStr">
        <is>
          <t>MILL-RUN-01</t>
        </is>
      </c>
    </row>
    <row r="418">
      <c r="G418" s="2" t="inlineStr">
        <is>
          <t>2026-05-23</t>
        </is>
      </c>
      <c r="H418" s="2" t="inlineStr">
        <is>
          <t>SOYBEAN FULL FAT</t>
        </is>
      </c>
      <c r="I418" s="4" t="n">
        <v>2.4997</v>
      </c>
      <c r="J418" s="2" t="inlineStr">
        <is>
          <t>MILL-RUN-01</t>
        </is>
      </c>
    </row>
    <row r="419">
      <c r="G419" s="2" t="inlineStr">
        <is>
          <t>2026-05-25</t>
        </is>
      </c>
      <c r="H419" s="2" t="inlineStr">
        <is>
          <t>SOYBEAN FULL FAT</t>
        </is>
      </c>
      <c r="I419" s="4" t="n">
        <v>1.7001</v>
      </c>
      <c r="J419" s="2" t="inlineStr">
        <is>
          <t>MILL-RUN-01</t>
        </is>
      </c>
    </row>
    <row r="420">
      <c r="G420" s="2" t="inlineStr">
        <is>
          <t>2026-05-26</t>
        </is>
      </c>
      <c r="H420" s="2" t="inlineStr">
        <is>
          <t>SOYBEAN FULL FAT</t>
        </is>
      </c>
      <c r="I420" s="4" t="n">
        <v>4.499</v>
      </c>
      <c r="J420" s="2" t="inlineStr">
        <is>
          <t>MILL-RUN-01</t>
        </is>
      </c>
    </row>
    <row r="421">
      <c r="G421" s="2" t="inlineStr">
        <is>
          <t>2026-05-28</t>
        </is>
      </c>
      <c r="H421" s="2" t="inlineStr">
        <is>
          <t>SOYBEAN FULL FAT</t>
        </is>
      </c>
      <c r="I421" s="4" t="n">
        <v>0.7019</v>
      </c>
      <c r="J421" s="2" t="inlineStr">
        <is>
          <t>MILL-RUN-01</t>
        </is>
      </c>
    </row>
    <row r="422">
      <c r="G422" s="2" t="inlineStr">
        <is>
          <t>2026-05-29</t>
        </is>
      </c>
      <c r="H422" s="2" t="inlineStr">
        <is>
          <t>SOYBEAN FULL FAT</t>
        </is>
      </c>
      <c r="I422" s="4" t="n">
        <v>1.1996</v>
      </c>
      <c r="J422" s="2" t="inlineStr">
        <is>
          <t>MILL-RUN-01</t>
        </is>
      </c>
    </row>
    <row r="423">
      <c r="G423" s="2" t="inlineStr">
        <is>
          <t>2026-05-30</t>
        </is>
      </c>
      <c r="H423" s="2" t="inlineStr">
        <is>
          <t>SOYBEAN FULL FAT</t>
        </is>
      </c>
      <c r="I423" s="4" t="n">
        <v>0.2402</v>
      </c>
      <c r="J423" s="2" t="inlineStr">
        <is>
          <t>MILL-RUN-01</t>
        </is>
      </c>
    </row>
    <row r="424">
      <c r="G424" s="2" t="inlineStr">
        <is>
          <t>2026-06-02</t>
        </is>
      </c>
      <c r="H424" s="2" t="inlineStr">
        <is>
          <t>SOYBEAN FULL FAT</t>
        </is>
      </c>
      <c r="I424" s="4" t="n">
        <v>0.7998999999999999</v>
      </c>
      <c r="J424" s="2" t="inlineStr">
        <is>
          <t>MILL-RUN-01</t>
        </is>
      </c>
    </row>
    <row r="425">
      <c r="G425" s="2" t="inlineStr">
        <is>
          <t>2026-06-03</t>
        </is>
      </c>
      <c r="H425" s="2" t="inlineStr">
        <is>
          <t>SOYBEAN FULL FAT</t>
        </is>
      </c>
      <c r="I425" s="4" t="n">
        <v>1.0015</v>
      </c>
      <c r="J425" s="2" t="inlineStr">
        <is>
          <t>MILL-RUN-01</t>
        </is>
      </c>
    </row>
    <row r="426">
      <c r="G426" s="2" t="inlineStr">
        <is>
          <t>2026-06-04</t>
        </is>
      </c>
      <c r="H426" s="2" t="inlineStr">
        <is>
          <t>SOYBEAN FULL FAT</t>
        </is>
      </c>
      <c r="I426" s="4" t="n">
        <v>4.801</v>
      </c>
      <c r="J426" s="2" t="inlineStr">
        <is>
          <t>MILL-RUN-01</t>
        </is>
      </c>
    </row>
    <row r="427">
      <c r="G427" s="2" t="inlineStr">
        <is>
          <t>2026-06-05</t>
        </is>
      </c>
      <c r="H427" s="2" t="inlineStr">
        <is>
          <t>SOYBEAN FULL FAT</t>
        </is>
      </c>
      <c r="I427" s="4" t="n">
        <v>1.5005</v>
      </c>
      <c r="J427" s="2" t="inlineStr">
        <is>
          <t>MILL-RUN-01</t>
        </is>
      </c>
    </row>
    <row r="428">
      <c r="G428" s="2" t="inlineStr">
        <is>
          <t>2026-06-06</t>
        </is>
      </c>
      <c r="H428" s="2" t="inlineStr">
        <is>
          <t>SOYBEAN FULL FAT</t>
        </is>
      </c>
      <c r="I428" s="4" t="n">
        <v>2.8005</v>
      </c>
      <c r="J428" s="2" t="inlineStr">
        <is>
          <t>MILL-RUN-01</t>
        </is>
      </c>
    </row>
    <row r="429">
      <c r="G429" s="2" t="inlineStr">
        <is>
          <t>2026-06-08</t>
        </is>
      </c>
      <c r="H429" s="2" t="inlineStr">
        <is>
          <t>SOYBEAN FULL FAT</t>
        </is>
      </c>
      <c r="I429" s="4" t="n">
        <v>3.2008</v>
      </c>
      <c r="J429" s="2" t="inlineStr">
        <is>
          <t>MILL-RUN-01</t>
        </is>
      </c>
    </row>
    <row r="430">
      <c r="G430" s="2" t="inlineStr">
        <is>
          <t>2026-06-09</t>
        </is>
      </c>
      <c r="H430" s="2" t="inlineStr">
        <is>
          <t>SOYBEAN FULL FAT</t>
        </is>
      </c>
      <c r="I430" s="4" t="n">
        <v>3.0011</v>
      </c>
      <c r="J430" s="2" t="inlineStr">
        <is>
          <t>MILL-RUN-01</t>
        </is>
      </c>
    </row>
    <row r="431">
      <c r="G431" s="2" t="inlineStr">
        <is>
          <t>2026-06-11</t>
        </is>
      </c>
      <c r="H431" s="2" t="inlineStr">
        <is>
          <t>SOYBEAN FULL FAT</t>
        </is>
      </c>
      <c r="I431" s="4" t="n">
        <v>0.7998999999999999</v>
      </c>
      <c r="J431" s="2" t="inlineStr">
        <is>
          <t>MILL-RUN-01</t>
        </is>
      </c>
    </row>
    <row r="432">
      <c r="G432" s="2" t="inlineStr">
        <is>
          <t>2026-06-12</t>
        </is>
      </c>
      <c r="H432" s="2" t="inlineStr">
        <is>
          <t>SOYBEAN FULL FAT</t>
        </is>
      </c>
      <c r="I432" s="4" t="n">
        <v>5.3997</v>
      </c>
      <c r="J432" s="2" t="inlineStr">
        <is>
          <t>MILL-RUN-01</t>
        </is>
      </c>
    </row>
    <row r="433">
      <c r="G433" s="2" t="inlineStr">
        <is>
          <t>2026-06-13</t>
        </is>
      </c>
      <c r="H433" s="2" t="inlineStr">
        <is>
          <t>SOYBEAN FULL FAT</t>
        </is>
      </c>
      <c r="I433" s="4" t="n">
        <v>2.1017</v>
      </c>
      <c r="J433" s="2" t="inlineStr">
        <is>
          <t>MILL-RUN-01</t>
        </is>
      </c>
    </row>
    <row r="434">
      <c r="G434" s="2" t="inlineStr">
        <is>
          <t>2026-06-15</t>
        </is>
      </c>
      <c r="H434" s="2" t="inlineStr">
        <is>
          <t>SOYBEAN FULL FAT</t>
        </is>
      </c>
      <c r="I434" s="4" t="n">
        <v>2.6412</v>
      </c>
      <c r="J434" s="2" t="inlineStr">
        <is>
          <t>MILL-RUN-01</t>
        </is>
      </c>
    </row>
    <row r="435">
      <c r="G435" s="2" t="inlineStr">
        <is>
          <t>2026-06-16</t>
        </is>
      </c>
      <c r="H435" s="2" t="inlineStr">
        <is>
          <t>SOYBEAN FULL FAT</t>
        </is>
      </c>
      <c r="I435" s="4" t="n">
        <v>1.1993</v>
      </c>
      <c r="J435" s="2" t="inlineStr">
        <is>
          <t>MILL-RUN-01</t>
        </is>
      </c>
    </row>
    <row r="436">
      <c r="G436" s="2" t="inlineStr">
        <is>
          <t>2026-06-17</t>
        </is>
      </c>
      <c r="H436" s="2" t="inlineStr">
        <is>
          <t>SOYBEAN FULL FAT</t>
        </is>
      </c>
      <c r="I436" s="4" t="n">
        <v>0.6009</v>
      </c>
      <c r="J436" s="2" t="inlineStr">
        <is>
          <t>MILL-RUN-01</t>
        </is>
      </c>
    </row>
    <row r="437">
      <c r="G437" s="2" t="inlineStr">
        <is>
          <t>2026-06-19</t>
        </is>
      </c>
      <c r="H437" s="2" t="inlineStr">
        <is>
          <t>SOYBEAN FULL FAT</t>
        </is>
      </c>
      <c r="I437" s="4" t="n">
        <v>5.400300000000001</v>
      </c>
      <c r="J437" s="2" t="inlineStr">
        <is>
          <t>MILL-RUN-01</t>
        </is>
      </c>
    </row>
    <row r="438">
      <c r="G438" s="2" t="inlineStr">
        <is>
          <t>2026-06-20</t>
        </is>
      </c>
      <c r="H438" s="2" t="inlineStr">
        <is>
          <t>SOYBEAN FULL FAT</t>
        </is>
      </c>
      <c r="I438" s="4" t="n">
        <v>1.4003</v>
      </c>
      <c r="J438" s="2" t="inlineStr">
        <is>
          <t>MILL-RUN-01</t>
        </is>
      </c>
    </row>
    <row r="439">
      <c r="G439" s="2" t="inlineStr">
        <is>
          <t>2026-06-23</t>
        </is>
      </c>
      <c r="H439" s="2" t="inlineStr">
        <is>
          <t>SOYBEAN FULL FAT</t>
        </is>
      </c>
      <c r="I439" s="4" t="n">
        <v>1.401</v>
      </c>
      <c r="J439" s="2" t="inlineStr">
        <is>
          <t>MILL-RUN-01</t>
        </is>
      </c>
    </row>
    <row r="440">
      <c r="G440" s="2" t="inlineStr">
        <is>
          <t>2026-06-24</t>
        </is>
      </c>
      <c r="H440" s="2" t="inlineStr">
        <is>
          <t>SOYBEAN FULL FAT</t>
        </is>
      </c>
      <c r="I440" s="4" t="n">
        <v>1.4395</v>
      </c>
      <c r="J440" s="2" t="inlineStr">
        <is>
          <t>MILL-RUN-01</t>
        </is>
      </c>
    </row>
    <row r="441">
      <c r="G441" s="2" t="inlineStr">
        <is>
          <t>2026-06-25</t>
        </is>
      </c>
      <c r="H441" s="2" t="inlineStr">
        <is>
          <t>SOYBEAN FULL FAT</t>
        </is>
      </c>
      <c r="I441" s="4" t="n">
        <v>1.3998</v>
      </c>
      <c r="J441" s="2" t="inlineStr">
        <is>
          <t>MILL-RUN-01</t>
        </is>
      </c>
    </row>
    <row r="442">
      <c r="G442" s="2" t="inlineStr">
        <is>
          <t>2026-06-26</t>
        </is>
      </c>
      <c r="H442" s="2" t="inlineStr">
        <is>
          <t>SOYBEAN FULL FAT</t>
        </is>
      </c>
      <c r="I442" s="4" t="n">
        <v>7.4626</v>
      </c>
      <c r="J442" s="2" t="inlineStr">
        <is>
          <t>MILL-RUN-01</t>
        </is>
      </c>
    </row>
    <row r="443">
      <c r="G443" s="2" t="inlineStr">
        <is>
          <t>2026-06-27</t>
        </is>
      </c>
      <c r="H443" s="2" t="inlineStr">
        <is>
          <t>SOYBEAN FULL FAT</t>
        </is>
      </c>
      <c r="I443" s="4" t="n">
        <v>0.3004</v>
      </c>
      <c r="J443" s="2" t="inlineStr">
        <is>
          <t>MILL-RUN-01</t>
        </is>
      </c>
    </row>
    <row r="444">
      <c r="G444" s="2" t="inlineStr">
        <is>
          <t>2026-06-29</t>
        </is>
      </c>
      <c r="H444" s="2" t="inlineStr">
        <is>
          <t>SOYBEAN FULL FAT</t>
        </is>
      </c>
      <c r="I444" s="4" t="n">
        <v>4.2009</v>
      </c>
      <c r="J444" s="2" t="inlineStr">
        <is>
          <t>MILL-RUN-01</t>
        </is>
      </c>
    </row>
    <row r="445">
      <c r="G445" s="2" t="inlineStr">
        <is>
          <t>2026-06-30</t>
        </is>
      </c>
      <c r="H445" s="2" t="inlineStr">
        <is>
          <t>SOYBEAN FULL FAT</t>
        </is>
      </c>
      <c r="I445" s="4" t="n">
        <v>4.2015</v>
      </c>
      <c r="J445" s="2" t="inlineStr">
        <is>
          <t>MILL-RUN-01</t>
        </is>
      </c>
    </row>
    <row r="446">
      <c r="G446" s="2" t="inlineStr">
        <is>
          <t>2026-07-01</t>
        </is>
      </c>
      <c r="H446" s="2" t="inlineStr">
        <is>
          <t>SOYBEAN FULL FAT</t>
        </is>
      </c>
      <c r="I446" s="4" t="n">
        <v>0.2976</v>
      </c>
      <c r="J446" s="2" t="inlineStr">
        <is>
          <t>MILL-RUN-01</t>
        </is>
      </c>
    </row>
    <row r="447">
      <c r="G447" s="2" t="inlineStr">
        <is>
          <t>2026-07-02</t>
        </is>
      </c>
      <c r="H447" s="2" t="inlineStr">
        <is>
          <t>SOYBEAN FULL FAT</t>
        </is>
      </c>
      <c r="I447" s="4" t="n">
        <v>3.5009</v>
      </c>
      <c r="J447" s="2" t="inlineStr">
        <is>
          <t>MILL-RUN-01</t>
        </is>
      </c>
    </row>
    <row r="448">
      <c r="G448" s="2" t="inlineStr">
        <is>
          <t>2026-07-03</t>
        </is>
      </c>
      <c r="H448" s="2" t="inlineStr">
        <is>
          <t>SOYBEAN FULL FAT</t>
        </is>
      </c>
      <c r="I448" s="4" t="n">
        <v>2.7416</v>
      </c>
      <c r="J448" s="2" t="inlineStr">
        <is>
          <t>MILL-RUN-01</t>
        </is>
      </c>
    </row>
    <row r="449">
      <c r="G449" s="2" t="inlineStr">
        <is>
          <t>2026-07-04</t>
        </is>
      </c>
      <c r="H449" s="2" t="inlineStr">
        <is>
          <t>SOYBEAN FULL FAT</t>
        </is>
      </c>
      <c r="I449" s="4" t="n">
        <v>5.1004</v>
      </c>
      <c r="J449" s="2" t="inlineStr">
        <is>
          <t>MILL-RUN-01</t>
        </is>
      </c>
    </row>
    <row r="450">
      <c r="G450" s="2" t="inlineStr">
        <is>
          <t>2026-07-06</t>
        </is>
      </c>
      <c r="H450" s="2" t="inlineStr">
        <is>
          <t>SOYBEAN FULL FAT</t>
        </is>
      </c>
      <c r="I450" s="4" t="n">
        <v>1.2001</v>
      </c>
      <c r="J450" s="2" t="inlineStr">
        <is>
          <t>MILL-RUN-01</t>
        </is>
      </c>
    </row>
    <row r="451">
      <c r="G451" s="2" t="inlineStr">
        <is>
          <t>2026-07-07</t>
        </is>
      </c>
      <c r="H451" s="2" t="inlineStr">
        <is>
          <t>SOYBEAN FULL FAT</t>
        </is>
      </c>
      <c r="I451" s="4" t="n">
        <v>2.6013</v>
      </c>
      <c r="J451" s="2" t="inlineStr">
        <is>
          <t>MILL-RUN-01</t>
        </is>
      </c>
    </row>
    <row r="452">
      <c r="G452" s="2" t="inlineStr">
        <is>
          <t>2026-07-08</t>
        </is>
      </c>
      <c r="H452" s="2" t="inlineStr">
        <is>
          <t>SOYBEAN FULL FAT</t>
        </is>
      </c>
      <c r="I452" s="4" t="n">
        <v>1.4005</v>
      </c>
      <c r="J452" s="2" t="inlineStr">
        <is>
          <t>MILL-RUN-01</t>
        </is>
      </c>
    </row>
    <row r="453">
      <c r="G453" s="2" t="inlineStr">
        <is>
          <t>2026-07-09</t>
        </is>
      </c>
      <c r="H453" s="2" t="inlineStr">
        <is>
          <t>SOYBEAN FULL FAT</t>
        </is>
      </c>
      <c r="I453" s="4" t="n">
        <v>4.580100000000001</v>
      </c>
      <c r="J453" s="2" t="inlineStr">
        <is>
          <t>MILL-RUN-01</t>
        </is>
      </c>
    </row>
    <row r="454">
      <c r="G454" s="2" t="inlineStr">
        <is>
          <t>2026-07-10</t>
        </is>
      </c>
      <c r="H454" s="2" t="inlineStr">
        <is>
          <t>SOYBEAN FULL FAT</t>
        </is>
      </c>
      <c r="I454" s="4" t="n">
        <v>8.7507</v>
      </c>
      <c r="J454" s="2" t="inlineStr">
        <is>
          <t>MILL-RUN-01</t>
        </is>
      </c>
    </row>
    <row r="455">
      <c r="G455" s="2" t="inlineStr">
        <is>
          <t>2026-07-13</t>
        </is>
      </c>
      <c r="H455" s="2" t="inlineStr">
        <is>
          <t>SOYBEAN FULL FAT</t>
        </is>
      </c>
      <c r="I455" s="4" t="n">
        <v>1.7601</v>
      </c>
      <c r="J455" s="2" t="inlineStr">
        <is>
          <t>MILL-RUN-01</t>
        </is>
      </c>
    </row>
    <row r="456">
      <c r="G456" s="2" t="inlineStr">
        <is>
          <t>2026-07-14</t>
        </is>
      </c>
      <c r="H456" s="2" t="inlineStr">
        <is>
          <t>SOYBEAN FULL FAT</t>
        </is>
      </c>
      <c r="I456" s="4" t="n">
        <v>7.902600000000001</v>
      </c>
      <c r="J456" s="2" t="inlineStr">
        <is>
          <t>MILL-RUN-01</t>
        </is>
      </c>
    </row>
    <row r="457">
      <c r="G457" s="2" t="inlineStr">
        <is>
          <t>2026-07-15</t>
        </is>
      </c>
      <c r="H457" s="2" t="inlineStr">
        <is>
          <t>SOYBEAN FULL FAT</t>
        </is>
      </c>
      <c r="I457" s="4" t="n">
        <v>2.6959</v>
      </c>
      <c r="J457" s="2" t="inlineStr">
        <is>
          <t>MILL-RUN-01</t>
        </is>
      </c>
    </row>
    <row r="458">
      <c r="G458" s="2" t="inlineStr">
        <is>
          <t>2026-07-16</t>
        </is>
      </c>
      <c r="H458" s="2" t="inlineStr">
        <is>
          <t>SOYBEAN FULL FAT</t>
        </is>
      </c>
      <c r="I458" s="4" t="n">
        <v>5.0019</v>
      </c>
      <c r="J458" s="2" t="inlineStr">
        <is>
          <t>MILL-RUN-01</t>
        </is>
      </c>
    </row>
    <row r="459">
      <c r="G459" s="2" t="inlineStr">
        <is>
          <t>2026-07-18</t>
        </is>
      </c>
      <c r="H459" s="2" t="inlineStr">
        <is>
          <t>SOYBEAN FULL FAT</t>
        </is>
      </c>
      <c r="I459" s="4" t="n">
        <v>2.7005</v>
      </c>
      <c r="J459" s="2" t="inlineStr">
        <is>
          <t>MILL-RUN-01</t>
        </is>
      </c>
    </row>
    <row r="460">
      <c r="G460" s="2" t="inlineStr">
        <is>
          <t>2026-07-21</t>
        </is>
      </c>
      <c r="H460" s="2" t="inlineStr">
        <is>
          <t>SOYBEAN FULL FAT</t>
        </is>
      </c>
      <c r="I460" s="4" t="n">
        <v>4.1207</v>
      </c>
      <c r="J460" s="2" t="inlineStr">
        <is>
          <t>MILL-RUN-01</t>
        </is>
      </c>
    </row>
    <row r="461">
      <c r="G461" s="2" t="inlineStr">
        <is>
          <t>2026-07-23</t>
        </is>
      </c>
      <c r="H461" s="2" t="inlineStr">
        <is>
          <t>SOYBEAN FULL FAT</t>
        </is>
      </c>
      <c r="I461" s="4" t="n">
        <v>1.4997</v>
      </c>
      <c r="J461" s="2" t="inlineStr">
        <is>
          <t>MILL-RUN-01</t>
        </is>
      </c>
    </row>
    <row r="462">
      <c r="G462" s="2" t="inlineStr">
        <is>
          <t>2026-07-24</t>
        </is>
      </c>
      <c r="H462" s="2" t="inlineStr">
        <is>
          <t>SOYBEAN FULL FAT</t>
        </is>
      </c>
      <c r="I462" s="4" t="n">
        <v>1.6503</v>
      </c>
      <c r="J462" s="2" t="inlineStr">
        <is>
          <t>MILL-RUN-01</t>
        </is>
      </c>
    </row>
    <row r="463">
      <c r="G463" s="2" t="inlineStr">
        <is>
          <t>2026-07-25</t>
        </is>
      </c>
      <c r="H463" s="2" t="inlineStr">
        <is>
          <t>SOYBEAN FULL FAT</t>
        </is>
      </c>
      <c r="I463" s="4" t="n">
        <v>3.3007</v>
      </c>
      <c r="J463" s="2" t="inlineStr">
        <is>
          <t>MILL-RUN-01</t>
        </is>
      </c>
    </row>
    <row r="464">
      <c r="G464" s="2" t="inlineStr">
        <is>
          <t>2026-07-27</t>
        </is>
      </c>
      <c r="H464" s="2" t="inlineStr">
        <is>
          <t>SOYBEAN FULL FAT</t>
        </is>
      </c>
      <c r="I464" s="4" t="n">
        <v>4.2013</v>
      </c>
      <c r="J464" s="2" t="inlineStr">
        <is>
          <t>MILL-RUN-01</t>
        </is>
      </c>
    </row>
    <row r="465">
      <c r="G465" s="2" t="inlineStr">
        <is>
          <t>2026-07-30</t>
        </is>
      </c>
      <c r="H465" s="2" t="inlineStr">
        <is>
          <t>SOYBEAN FULL FAT</t>
        </is>
      </c>
      <c r="I465" s="4" t="n">
        <v>0.9995000000000001</v>
      </c>
      <c r="J465" s="2" t="inlineStr">
        <is>
          <t>MILL-RUN-01</t>
        </is>
      </c>
    </row>
    <row r="466">
      <c r="G466" s="2" t="inlineStr">
        <is>
          <t>2026-07-31</t>
        </is>
      </c>
      <c r="H466" s="2" t="inlineStr">
        <is>
          <t>SOYBEAN FULL FAT</t>
        </is>
      </c>
      <c r="I466" s="4" t="n">
        <v>4.301399999999999</v>
      </c>
      <c r="J466" s="2" t="inlineStr">
        <is>
          <t>MILL-RUN-01</t>
        </is>
      </c>
    </row>
    <row r="467">
      <c r="G467" s="2" t="inlineStr">
        <is>
          <t>2026-01-02</t>
        </is>
      </c>
      <c r="H467" s="2" t="inlineStr">
        <is>
          <t>WHEAT POLLARD</t>
        </is>
      </c>
      <c r="I467" s="4" t="n">
        <v>4.2011</v>
      </c>
      <c r="J467" s="2" t="inlineStr">
        <is>
          <t>MILL-RUN-01</t>
        </is>
      </c>
    </row>
    <row r="468">
      <c r="G468" s="2" t="inlineStr">
        <is>
          <t>2026-01-03</t>
        </is>
      </c>
      <c r="H468" s="2" t="inlineStr">
        <is>
          <t>WHEAT POLLARD</t>
        </is>
      </c>
      <c r="I468" s="4" t="n">
        <v>5.596</v>
      </c>
      <c r="J468" s="2" t="inlineStr">
        <is>
          <t>MILL-RUN-01</t>
        </is>
      </c>
    </row>
    <row r="469">
      <c r="G469" s="2" t="inlineStr">
        <is>
          <t>2026-01-05</t>
        </is>
      </c>
      <c r="H469" s="2" t="inlineStr">
        <is>
          <t>WHEAT POLLARD</t>
        </is>
      </c>
      <c r="I469" s="4" t="n">
        <v>2.4019</v>
      </c>
      <c r="J469" s="2" t="inlineStr">
        <is>
          <t>MILL-RUN-01</t>
        </is>
      </c>
    </row>
    <row r="470">
      <c r="G470" s="2" t="inlineStr">
        <is>
          <t>2026-01-06</t>
        </is>
      </c>
      <c r="H470" s="2" t="inlineStr">
        <is>
          <t>WHEAT POLLARD</t>
        </is>
      </c>
      <c r="I470" s="4" t="n">
        <v>3.7022</v>
      </c>
      <c r="J470" s="2" t="inlineStr">
        <is>
          <t>MILL-RUN-01</t>
        </is>
      </c>
    </row>
    <row r="471">
      <c r="G471" s="2" t="inlineStr">
        <is>
          <t>2026-01-07</t>
        </is>
      </c>
      <c r="H471" s="2" t="inlineStr">
        <is>
          <t>WHEAT POLLARD</t>
        </is>
      </c>
      <c r="I471" s="4" t="n">
        <v>3.6009</v>
      </c>
      <c r="J471" s="2" t="inlineStr">
        <is>
          <t>MILL-RUN-01</t>
        </is>
      </c>
    </row>
    <row r="472">
      <c r="G472" s="2" t="inlineStr">
        <is>
          <t>2026-01-08</t>
        </is>
      </c>
      <c r="H472" s="2" t="inlineStr">
        <is>
          <t>WHEAT POLLARD</t>
        </is>
      </c>
      <c r="I472" s="4" t="n">
        <v>1.5015</v>
      </c>
      <c r="J472" s="2" t="inlineStr">
        <is>
          <t>MILL-RUN-01</t>
        </is>
      </c>
    </row>
    <row r="473">
      <c r="G473" s="2" t="inlineStr">
        <is>
          <t>2026-01-09</t>
        </is>
      </c>
      <c r="H473" s="2" t="inlineStr">
        <is>
          <t>WHEAT POLLARD</t>
        </is>
      </c>
      <c r="I473" s="4" t="n">
        <v>2.0002</v>
      </c>
      <c r="J473" s="2" t="inlineStr">
        <is>
          <t>MILL-RUN-01</t>
        </is>
      </c>
    </row>
    <row r="474">
      <c r="G474" s="2" t="inlineStr">
        <is>
          <t>2026-01-10</t>
        </is>
      </c>
      <c r="H474" s="2" t="inlineStr">
        <is>
          <t>WHEAT POLLARD</t>
        </is>
      </c>
      <c r="I474" s="4" t="n">
        <v>0.5504</v>
      </c>
      <c r="J474" s="2" t="inlineStr">
        <is>
          <t>MILL-RUN-01</t>
        </is>
      </c>
    </row>
    <row r="475">
      <c r="G475" s="2" t="inlineStr">
        <is>
          <t>2026-01-12</t>
        </is>
      </c>
      <c r="H475" s="2" t="inlineStr">
        <is>
          <t>WHEAT POLLARD</t>
        </is>
      </c>
      <c r="I475" s="4" t="n">
        <v>3.8014</v>
      </c>
      <c r="J475" s="2" t="inlineStr">
        <is>
          <t>MILL-RUN-01</t>
        </is>
      </c>
    </row>
    <row r="476">
      <c r="G476" s="2" t="inlineStr">
        <is>
          <t>2026-01-13</t>
        </is>
      </c>
      <c r="H476" s="2" t="inlineStr">
        <is>
          <t>WHEAT POLLARD</t>
        </is>
      </c>
      <c r="I476" s="4" t="n">
        <v>5.320399999999999</v>
      </c>
      <c r="J476" s="2" t="inlineStr">
        <is>
          <t>MILL-RUN-01</t>
        </is>
      </c>
    </row>
    <row r="477">
      <c r="G477" s="2" t="inlineStr">
        <is>
          <t>2026-01-15</t>
        </is>
      </c>
      <c r="H477" s="2" t="inlineStr">
        <is>
          <t>WHEAT POLLARD</t>
        </is>
      </c>
      <c r="I477" s="4" t="n">
        <v>4.0521</v>
      </c>
      <c r="J477" s="2" t="inlineStr">
        <is>
          <t>MILL-RUN-01</t>
        </is>
      </c>
    </row>
    <row r="478">
      <c r="G478" s="2" t="inlineStr">
        <is>
          <t>2026-01-16</t>
        </is>
      </c>
      <c r="H478" s="2" t="inlineStr">
        <is>
          <t>WHEAT POLLARD</t>
        </is>
      </c>
      <c r="I478" s="4" t="n">
        <v>2.2807</v>
      </c>
      <c r="J478" s="2" t="inlineStr">
        <is>
          <t>MILL-RUN-01</t>
        </is>
      </c>
    </row>
    <row r="479">
      <c r="G479" s="2" t="inlineStr">
        <is>
          <t>2026-01-17</t>
        </is>
      </c>
      <c r="H479" s="2" t="inlineStr">
        <is>
          <t>WHEAT POLLARD</t>
        </is>
      </c>
      <c r="I479" s="4" t="n">
        <v>1.3009</v>
      </c>
      <c r="J479" s="2" t="inlineStr">
        <is>
          <t>MILL-RUN-01</t>
        </is>
      </c>
    </row>
    <row r="480">
      <c r="G480" s="2" t="inlineStr">
        <is>
          <t>2026-01-19</t>
        </is>
      </c>
      <c r="H480" s="2" t="inlineStr">
        <is>
          <t>WHEAT POLLARD</t>
        </is>
      </c>
      <c r="I480" s="4" t="n">
        <v>2.7509</v>
      </c>
      <c r="J480" s="2" t="inlineStr">
        <is>
          <t>MILL-RUN-01</t>
        </is>
      </c>
    </row>
    <row r="481">
      <c r="G481" s="2" t="inlineStr">
        <is>
          <t>2026-01-20</t>
        </is>
      </c>
      <c r="H481" s="2" t="inlineStr">
        <is>
          <t>WHEAT POLLARD</t>
        </is>
      </c>
      <c r="I481" s="4" t="n">
        <v>3.5009</v>
      </c>
      <c r="J481" s="2" t="inlineStr">
        <is>
          <t>MILL-RUN-01</t>
        </is>
      </c>
    </row>
    <row r="482">
      <c r="G482" s="2" t="inlineStr">
        <is>
          <t>2026-01-21</t>
        </is>
      </c>
      <c r="H482" s="2" t="inlineStr">
        <is>
          <t>WHEAT POLLARD</t>
        </is>
      </c>
      <c r="I482" s="4" t="n">
        <v>1.3416</v>
      </c>
      <c r="J482" s="2" t="inlineStr">
        <is>
          <t>MILL-RUN-01</t>
        </is>
      </c>
    </row>
    <row r="483">
      <c r="G483" s="2" t="inlineStr">
        <is>
          <t>2026-01-22</t>
        </is>
      </c>
      <c r="H483" s="2" t="inlineStr">
        <is>
          <t>WHEAT POLLARD</t>
        </is>
      </c>
      <c r="I483" s="4" t="n">
        <v>1.9998</v>
      </c>
      <c r="J483" s="2" t="inlineStr">
        <is>
          <t>MILL-RUN-01</t>
        </is>
      </c>
    </row>
    <row r="484">
      <c r="G484" s="2" t="inlineStr">
        <is>
          <t>2026-01-23</t>
        </is>
      </c>
      <c r="H484" s="2" t="inlineStr">
        <is>
          <t>WHEAT POLLARD</t>
        </is>
      </c>
      <c r="I484" s="4" t="n">
        <v>2.7816</v>
      </c>
      <c r="J484" s="2" t="inlineStr">
        <is>
          <t>MILL-RUN-01</t>
        </is>
      </c>
    </row>
    <row r="485">
      <c r="G485" s="2" t="inlineStr">
        <is>
          <t>2026-01-24</t>
        </is>
      </c>
      <c r="H485" s="2" t="inlineStr">
        <is>
          <t>WHEAT POLLARD</t>
        </is>
      </c>
      <c r="I485" s="4" t="n">
        <v>1.3002</v>
      </c>
      <c r="J485" s="2" t="inlineStr">
        <is>
          <t>MILL-RUN-01</t>
        </is>
      </c>
    </row>
    <row r="486">
      <c r="G486" s="2" t="inlineStr">
        <is>
          <t>2026-01-26</t>
        </is>
      </c>
      <c r="H486" s="2" t="inlineStr">
        <is>
          <t>WHEAT POLLARD</t>
        </is>
      </c>
      <c r="I486" s="4" t="n">
        <v>1.6012</v>
      </c>
      <c r="J486" s="2" t="inlineStr">
        <is>
          <t>MILL-RUN-01</t>
        </is>
      </c>
    </row>
    <row r="487">
      <c r="G487" s="2" t="inlineStr">
        <is>
          <t>2026-01-27</t>
        </is>
      </c>
      <c r="H487" s="2" t="inlineStr">
        <is>
          <t>WHEAT POLLARD</t>
        </is>
      </c>
      <c r="I487" s="4" t="n">
        <v>5.0825</v>
      </c>
      <c r="J487" s="2" t="inlineStr">
        <is>
          <t>MILL-RUN-01</t>
        </is>
      </c>
    </row>
    <row r="488">
      <c r="G488" s="2" t="inlineStr">
        <is>
          <t>2026-01-28</t>
        </is>
      </c>
      <c r="H488" s="2" t="inlineStr">
        <is>
          <t>WHEAT POLLARD</t>
        </is>
      </c>
      <c r="I488" s="4" t="n">
        <v>1.7008</v>
      </c>
      <c r="J488" s="2" t="inlineStr">
        <is>
          <t>MILL-RUN-01</t>
        </is>
      </c>
    </row>
    <row r="489">
      <c r="G489" s="2" t="inlineStr">
        <is>
          <t>2026-01-30</t>
        </is>
      </c>
      <c r="H489" s="2" t="inlineStr">
        <is>
          <t>WHEAT POLLARD</t>
        </is>
      </c>
      <c r="I489" s="4" t="n">
        <v>1.1206</v>
      </c>
      <c r="J489" s="2" t="inlineStr">
        <is>
          <t>MILL-RUN-01</t>
        </is>
      </c>
    </row>
    <row r="490">
      <c r="G490" s="2" t="inlineStr">
        <is>
          <t>2026-01-31</t>
        </is>
      </c>
      <c r="H490" s="2" t="inlineStr">
        <is>
          <t>WHEAT POLLARD</t>
        </is>
      </c>
      <c r="I490" s="4" t="n">
        <v>4.1017</v>
      </c>
      <c r="J490" s="2" t="inlineStr">
        <is>
          <t>MILL-RUN-01</t>
        </is>
      </c>
    </row>
    <row r="491">
      <c r="G491" s="2" t="inlineStr">
        <is>
          <t>2026-02-03</t>
        </is>
      </c>
      <c r="H491" s="2" t="inlineStr">
        <is>
          <t>WHEAT POLLARD</t>
        </is>
      </c>
      <c r="I491" s="4" t="n">
        <v>2.421</v>
      </c>
      <c r="J491" s="2" t="inlineStr">
        <is>
          <t>MILL-RUN-01</t>
        </is>
      </c>
    </row>
    <row r="492">
      <c r="G492" s="2" t="inlineStr">
        <is>
          <t>2026-02-05</t>
        </is>
      </c>
      <c r="H492" s="2" t="inlineStr">
        <is>
          <t>WHEAT POLLARD</t>
        </is>
      </c>
      <c r="I492" s="4" t="n">
        <v>1.8211</v>
      </c>
      <c r="J492" s="2" t="inlineStr">
        <is>
          <t>MILL-RUN-01</t>
        </is>
      </c>
    </row>
    <row r="493">
      <c r="G493" s="2" t="inlineStr">
        <is>
          <t>2026-02-06</t>
        </is>
      </c>
      <c r="H493" s="2" t="inlineStr">
        <is>
          <t>WHEAT POLLARD</t>
        </is>
      </c>
      <c r="I493" s="4" t="n">
        <v>0.9122</v>
      </c>
      <c r="J493" s="2" t="inlineStr">
        <is>
          <t>MILL-RUN-01</t>
        </is>
      </c>
    </row>
    <row r="494">
      <c r="G494" s="2" t="inlineStr">
        <is>
          <t>2026-02-07</t>
        </is>
      </c>
      <c r="H494" s="2" t="inlineStr">
        <is>
          <t>WHEAT POLLARD</t>
        </is>
      </c>
      <c r="I494" s="4" t="n">
        <v>0.6002999999999999</v>
      </c>
      <c r="J494" s="2" t="inlineStr">
        <is>
          <t>MILL-RUN-01</t>
        </is>
      </c>
    </row>
    <row r="495">
      <c r="G495" s="2" t="inlineStr">
        <is>
          <t>2026-02-09</t>
        </is>
      </c>
      <c r="H495" s="2" t="inlineStr">
        <is>
          <t>WHEAT POLLARD</t>
        </is>
      </c>
      <c r="I495" s="4" t="n">
        <v>6.0047</v>
      </c>
      <c r="J495" s="2" t="inlineStr">
        <is>
          <t>MILL-RUN-01</t>
        </is>
      </c>
    </row>
    <row r="496">
      <c r="G496" s="2" t="inlineStr">
        <is>
          <t>2026-02-10</t>
        </is>
      </c>
      <c r="H496" s="2" t="inlineStr">
        <is>
          <t>WHEAT POLLARD</t>
        </is>
      </c>
      <c r="I496" s="4" t="n">
        <v>2.4982</v>
      </c>
      <c r="J496" s="2" t="inlineStr">
        <is>
          <t>MILL-RUN-01</t>
        </is>
      </c>
    </row>
    <row r="497">
      <c r="G497" s="2" t="inlineStr">
        <is>
          <t>2026-02-11</t>
        </is>
      </c>
      <c r="H497" s="2" t="inlineStr">
        <is>
          <t>WHEAT POLLARD</t>
        </is>
      </c>
      <c r="I497" s="4" t="n">
        <v>1.2041</v>
      </c>
      <c r="J497" s="2" t="inlineStr">
        <is>
          <t>MILL-RUN-01</t>
        </is>
      </c>
    </row>
    <row r="498">
      <c r="G498" s="2" t="inlineStr">
        <is>
          <t>2026-02-12</t>
        </is>
      </c>
      <c r="H498" s="2" t="inlineStr">
        <is>
          <t>WHEAT POLLARD</t>
        </is>
      </c>
      <c r="I498" s="4" t="n">
        <v>1.4317</v>
      </c>
      <c r="J498" s="2" t="inlineStr">
        <is>
          <t>MILL-RUN-01</t>
        </is>
      </c>
    </row>
    <row r="499">
      <c r="G499" s="2" t="inlineStr">
        <is>
          <t>2026-02-13</t>
        </is>
      </c>
      <c r="H499" s="2" t="inlineStr">
        <is>
          <t>WHEAT POLLARD</t>
        </is>
      </c>
      <c r="I499" s="4" t="n">
        <v>6.9023</v>
      </c>
      <c r="J499" s="2" t="inlineStr">
        <is>
          <t>MILL-RUN-01</t>
        </is>
      </c>
    </row>
    <row r="500">
      <c r="G500" s="2" t="inlineStr">
        <is>
          <t>2026-02-16</t>
        </is>
      </c>
      <c r="H500" s="2" t="inlineStr">
        <is>
          <t>WHEAT POLLARD</t>
        </is>
      </c>
      <c r="I500" s="4" t="n">
        <v>1.5011</v>
      </c>
      <c r="J500" s="2" t="inlineStr">
        <is>
          <t>MILL-RUN-01</t>
        </is>
      </c>
    </row>
    <row r="501">
      <c r="G501" s="2" t="inlineStr">
        <is>
          <t>2026-02-19</t>
        </is>
      </c>
      <c r="H501" s="2" t="inlineStr">
        <is>
          <t>WHEAT POLLARD</t>
        </is>
      </c>
      <c r="I501" s="4" t="n">
        <v>3.7163</v>
      </c>
      <c r="J501" s="2" t="inlineStr">
        <is>
          <t>MILL-RUN-01</t>
        </is>
      </c>
    </row>
    <row r="502">
      <c r="G502" s="2" t="inlineStr">
        <is>
          <t>2026-02-20</t>
        </is>
      </c>
      <c r="H502" s="2" t="inlineStr">
        <is>
          <t>WHEAT POLLARD</t>
        </is>
      </c>
      <c r="I502" s="4" t="n">
        <v>0.9615</v>
      </c>
      <c r="J502" s="2" t="inlineStr">
        <is>
          <t>MILL-RUN-01</t>
        </is>
      </c>
    </row>
    <row r="503">
      <c r="G503" s="2" t="inlineStr">
        <is>
          <t>2026-02-21</t>
        </is>
      </c>
      <c r="H503" s="2" t="inlineStr">
        <is>
          <t>WHEAT POLLARD</t>
        </is>
      </c>
      <c r="I503" s="4" t="n">
        <v>1.9514</v>
      </c>
      <c r="J503" s="2" t="inlineStr">
        <is>
          <t>MILL-RUN-01</t>
        </is>
      </c>
    </row>
    <row r="504">
      <c r="G504" s="2" t="inlineStr">
        <is>
          <t>2026-02-23</t>
        </is>
      </c>
      <c r="H504" s="2" t="inlineStr">
        <is>
          <t>WHEAT POLLARD</t>
        </is>
      </c>
      <c r="I504" s="4" t="n">
        <v>1.3007</v>
      </c>
      <c r="J504" s="2" t="inlineStr">
        <is>
          <t>MILL-RUN-01</t>
        </is>
      </c>
    </row>
    <row r="505">
      <c r="G505" s="2" t="inlineStr">
        <is>
          <t>2026-02-24</t>
        </is>
      </c>
      <c r="H505" s="2" t="inlineStr">
        <is>
          <t>WHEAT POLLARD</t>
        </is>
      </c>
      <c r="I505" s="4" t="n">
        <v>0.9137999999999999</v>
      </c>
      <c r="J505" s="2" t="inlineStr">
        <is>
          <t>MILL-RUN-01</t>
        </is>
      </c>
    </row>
    <row r="506">
      <c r="G506" s="2" t="inlineStr">
        <is>
          <t>2026-02-25</t>
        </is>
      </c>
      <c r="H506" s="2" t="inlineStr">
        <is>
          <t>WHEAT POLLARD</t>
        </is>
      </c>
      <c r="I506" s="4" t="n">
        <v>0.9342999999999999</v>
      </c>
      <c r="J506" s="2" t="inlineStr">
        <is>
          <t>MILL-RUN-01</t>
        </is>
      </c>
    </row>
    <row r="507">
      <c r="G507" s="2" t="inlineStr">
        <is>
          <t>2026-02-26</t>
        </is>
      </c>
      <c r="H507" s="2" t="inlineStr">
        <is>
          <t>WHEAT POLLARD</t>
        </is>
      </c>
      <c r="I507" s="4" t="n">
        <v>0.3386</v>
      </c>
      <c r="J507" s="2" t="inlineStr">
        <is>
          <t>MILL-RUN-01</t>
        </is>
      </c>
    </row>
    <row r="508">
      <c r="G508" s="2" t="inlineStr">
        <is>
          <t>2026-02-27</t>
        </is>
      </c>
      <c r="H508" s="2" t="inlineStr">
        <is>
          <t>WHEAT POLLARD</t>
        </is>
      </c>
      <c r="I508" s="4" t="n">
        <v>2.5007</v>
      </c>
      <c r="J508" s="2" t="inlineStr">
        <is>
          <t>MILL-RUN-01</t>
        </is>
      </c>
    </row>
    <row r="509">
      <c r="G509" s="2" t="inlineStr">
        <is>
          <t>2026-03-02</t>
        </is>
      </c>
      <c r="H509" s="2" t="inlineStr">
        <is>
          <t>WHEAT POLLARD</t>
        </is>
      </c>
      <c r="I509" s="4" t="n">
        <v>0.9815</v>
      </c>
      <c r="J509" s="2" t="inlineStr">
        <is>
          <t>MILL-RUN-01</t>
        </is>
      </c>
    </row>
    <row r="510">
      <c r="G510" s="2" t="inlineStr">
        <is>
          <t>2026-03-03</t>
        </is>
      </c>
      <c r="H510" s="2" t="inlineStr">
        <is>
          <t>WHEAT POLLARD</t>
        </is>
      </c>
      <c r="I510" s="4" t="n">
        <v>1.4959</v>
      </c>
      <c r="J510" s="2" t="inlineStr">
        <is>
          <t>MILL-RUN-01</t>
        </is>
      </c>
    </row>
    <row r="511">
      <c r="G511" s="2" t="inlineStr">
        <is>
          <t>2026-03-04</t>
        </is>
      </c>
      <c r="H511" s="2" t="inlineStr">
        <is>
          <t>WHEAT POLLARD</t>
        </is>
      </c>
      <c r="I511" s="4" t="n">
        <v>0.986</v>
      </c>
      <c r="J511" s="2" t="inlineStr">
        <is>
          <t>MILL-RUN-01</t>
        </is>
      </c>
    </row>
    <row r="512">
      <c r="G512" s="2" t="inlineStr">
        <is>
          <t>2026-03-05</t>
        </is>
      </c>
      <c r="H512" s="2" t="inlineStr">
        <is>
          <t>WHEAT POLLARD</t>
        </is>
      </c>
      <c r="I512" s="4" t="n">
        <v>0.7998999999999999</v>
      </c>
      <c r="J512" s="2" t="inlineStr">
        <is>
          <t>MILL-RUN-01</t>
        </is>
      </c>
    </row>
    <row r="513">
      <c r="G513" s="2" t="inlineStr">
        <is>
          <t>2026-03-06</t>
        </is>
      </c>
      <c r="H513" s="2" t="inlineStr">
        <is>
          <t>WHEAT POLLARD</t>
        </is>
      </c>
      <c r="I513" s="4" t="n">
        <v>0.9116000000000001</v>
      </c>
      <c r="J513" s="2" t="inlineStr">
        <is>
          <t>MILL-RUN-01</t>
        </is>
      </c>
    </row>
    <row r="514">
      <c r="G514" s="2" t="inlineStr">
        <is>
          <t>2026-03-07</t>
        </is>
      </c>
      <c r="H514" s="2" t="inlineStr">
        <is>
          <t>WHEAT POLLARD</t>
        </is>
      </c>
      <c r="I514" s="4" t="n">
        <v>2.4455</v>
      </c>
      <c r="J514" s="2" t="inlineStr">
        <is>
          <t>MILL-RUN-01</t>
        </is>
      </c>
    </row>
    <row r="515">
      <c r="G515" s="2" t="inlineStr">
        <is>
          <t>2026-03-09</t>
        </is>
      </c>
      <c r="H515" s="2" t="inlineStr">
        <is>
          <t>WHEAT POLLARD</t>
        </is>
      </c>
      <c r="I515" s="4" t="n">
        <v>1.4504</v>
      </c>
      <c r="J515" s="2" t="inlineStr">
        <is>
          <t>MILL-RUN-01</t>
        </is>
      </c>
    </row>
    <row r="516">
      <c r="G516" s="2" t="inlineStr">
        <is>
          <t>2026-03-10</t>
        </is>
      </c>
      <c r="H516" s="2" t="inlineStr">
        <is>
          <t>WHEAT POLLARD</t>
        </is>
      </c>
      <c r="I516" s="4" t="n">
        <v>1.0008</v>
      </c>
      <c r="J516" s="2" t="inlineStr">
        <is>
          <t>MILL-RUN-01</t>
        </is>
      </c>
    </row>
    <row r="517">
      <c r="G517" s="2" t="inlineStr">
        <is>
          <t>2026-03-14</t>
        </is>
      </c>
      <c r="H517" s="2" t="inlineStr">
        <is>
          <t>WHEAT POLLARD</t>
        </is>
      </c>
      <c r="I517" s="4" t="n">
        <v>0.8016</v>
      </c>
      <c r="J517" s="2" t="inlineStr">
        <is>
          <t>MILL-RUN-01</t>
        </is>
      </c>
    </row>
    <row r="518">
      <c r="G518" s="2" t="inlineStr">
        <is>
          <t>2026-03-16</t>
        </is>
      </c>
      <c r="H518" s="2" t="inlineStr">
        <is>
          <t>WHEAT POLLARD</t>
        </is>
      </c>
      <c r="I518" s="4" t="n">
        <v>3.7191</v>
      </c>
      <c r="J518" s="2" t="inlineStr">
        <is>
          <t>MILL-RUN-01</t>
        </is>
      </c>
    </row>
    <row r="519">
      <c r="G519" s="2" t="inlineStr">
        <is>
          <t>2026-03-17</t>
        </is>
      </c>
      <c r="H519" s="2" t="inlineStr">
        <is>
          <t>WHEAT POLLARD</t>
        </is>
      </c>
      <c r="I519" s="4" t="n">
        <v>2.4212</v>
      </c>
      <c r="J519" s="2" t="inlineStr">
        <is>
          <t>MILL-RUN-01</t>
        </is>
      </c>
    </row>
    <row r="520">
      <c r="G520" s="2" t="inlineStr">
        <is>
          <t>2026-03-18</t>
        </is>
      </c>
      <c r="H520" s="2" t="inlineStr">
        <is>
          <t>WHEAT POLLARD</t>
        </is>
      </c>
      <c r="I520" s="4" t="n">
        <v>4.0523</v>
      </c>
      <c r="J520" s="2" t="inlineStr">
        <is>
          <t>MILL-RUN-01</t>
        </is>
      </c>
    </row>
    <row r="521">
      <c r="G521" s="2" t="inlineStr">
        <is>
          <t>2026-03-19</t>
        </is>
      </c>
      <c r="H521" s="2" t="inlineStr">
        <is>
          <t>WHEAT POLLARD</t>
        </is>
      </c>
      <c r="I521" s="4" t="n">
        <v>0.2612</v>
      </c>
      <c r="J521" s="2" t="inlineStr">
        <is>
          <t>MILL-RUN-01</t>
        </is>
      </c>
    </row>
    <row r="522">
      <c r="G522" s="2" t="inlineStr">
        <is>
          <t>2026-03-24</t>
        </is>
      </c>
      <c r="H522" s="2" t="inlineStr">
        <is>
          <t>WHEAT POLLARD</t>
        </is>
      </c>
      <c r="I522" s="4" t="n">
        <v>0.5203</v>
      </c>
      <c r="J522" s="2" t="inlineStr">
        <is>
          <t>MILL-RUN-01</t>
        </is>
      </c>
    </row>
    <row r="523">
      <c r="G523" s="2" t="inlineStr">
        <is>
          <t>2026-03-25</t>
        </is>
      </c>
      <c r="H523" s="2" t="inlineStr">
        <is>
          <t>WHEAT POLLARD</t>
        </is>
      </c>
      <c r="I523" s="4" t="n">
        <v>6.1226</v>
      </c>
      <c r="J523" s="2" t="inlineStr">
        <is>
          <t>MILL-RUN-01</t>
        </is>
      </c>
    </row>
    <row r="524">
      <c r="G524" s="2" t="inlineStr">
        <is>
          <t>2026-03-26</t>
        </is>
      </c>
      <c r="H524" s="2" t="inlineStr">
        <is>
          <t>WHEAT POLLARD</t>
        </is>
      </c>
      <c r="I524" s="4" t="n">
        <v>1.1613</v>
      </c>
      <c r="J524" s="2" t="inlineStr">
        <is>
          <t>MILL-RUN-01</t>
        </is>
      </c>
    </row>
    <row r="525">
      <c r="G525" s="2" t="inlineStr">
        <is>
          <t>2026-03-27</t>
        </is>
      </c>
      <c r="H525" s="2" t="inlineStr">
        <is>
          <t>WHEAT POLLARD</t>
        </is>
      </c>
      <c r="I525" s="4" t="n">
        <v>0.9727</v>
      </c>
      <c r="J525" s="2" t="inlineStr">
        <is>
          <t>MILL-RUN-01</t>
        </is>
      </c>
    </row>
    <row r="526">
      <c r="G526" s="2" t="inlineStr">
        <is>
          <t>2026-03-28</t>
        </is>
      </c>
      <c r="H526" s="2" t="inlineStr">
        <is>
          <t>WHEAT POLLARD</t>
        </is>
      </c>
      <c r="I526" s="4" t="n">
        <v>0.7686000000000001</v>
      </c>
      <c r="J526" s="2" t="inlineStr">
        <is>
          <t>MILL-RUN-01</t>
        </is>
      </c>
    </row>
    <row r="527">
      <c r="G527" s="2" t="inlineStr">
        <is>
          <t>2026-03-30</t>
        </is>
      </c>
      <c r="H527" s="2" t="inlineStr">
        <is>
          <t>WHEAT POLLARD</t>
        </is>
      </c>
      <c r="I527" s="4" t="n">
        <v>4.9624</v>
      </c>
      <c r="J527" s="2" t="inlineStr">
        <is>
          <t>MILL-RUN-01</t>
        </is>
      </c>
    </row>
    <row r="528">
      <c r="G528" s="2" t="inlineStr">
        <is>
          <t>2026-03-31</t>
        </is>
      </c>
      <c r="H528" s="2" t="inlineStr">
        <is>
          <t>WHEAT POLLARD</t>
        </is>
      </c>
      <c r="I528" s="4" t="n">
        <v>2.5006</v>
      </c>
      <c r="J528" s="2" t="inlineStr">
        <is>
          <t>MILL-RUN-01</t>
        </is>
      </c>
    </row>
    <row r="529">
      <c r="G529" s="2" t="inlineStr">
        <is>
          <t>2026-04-01</t>
        </is>
      </c>
      <c r="H529" s="2" t="inlineStr">
        <is>
          <t>WHEAT POLLARD</t>
        </is>
      </c>
      <c r="I529" s="4" t="n">
        <v>0.2007</v>
      </c>
      <c r="J529" s="2" t="inlineStr">
        <is>
          <t>MILL-RUN-01</t>
        </is>
      </c>
    </row>
    <row r="530">
      <c r="G530" s="2" t="inlineStr">
        <is>
          <t>2026-04-03</t>
        </is>
      </c>
      <c r="H530" s="2" t="inlineStr">
        <is>
          <t>WHEAT POLLARD</t>
        </is>
      </c>
      <c r="I530" s="4" t="n">
        <v>4.4523</v>
      </c>
      <c r="J530" s="2" t="inlineStr">
        <is>
          <t>MILL-RUN-01</t>
        </is>
      </c>
    </row>
    <row r="531">
      <c r="G531" s="2" t="inlineStr">
        <is>
          <t>2026-04-06</t>
        </is>
      </c>
      <c r="H531" s="2" t="inlineStr">
        <is>
          <t>WHEAT POLLARD</t>
        </is>
      </c>
      <c r="I531" s="4" t="n">
        <v>1.1569</v>
      </c>
      <c r="J531" s="2" t="inlineStr">
        <is>
          <t>MILL-RUN-01</t>
        </is>
      </c>
    </row>
    <row r="532">
      <c r="G532" s="2" t="inlineStr">
        <is>
          <t>2026-04-07</t>
        </is>
      </c>
      <c r="H532" s="2" t="inlineStr">
        <is>
          <t>WHEAT POLLARD</t>
        </is>
      </c>
      <c r="I532" s="4" t="n">
        <v>0.1445</v>
      </c>
      <c r="J532" s="2" t="inlineStr">
        <is>
          <t>MILL-RUN-01</t>
        </is>
      </c>
    </row>
    <row r="533">
      <c r="G533" s="2" t="inlineStr">
        <is>
          <t>2026-04-08</t>
        </is>
      </c>
      <c r="H533" s="2" t="inlineStr">
        <is>
          <t>WHEAT POLLARD</t>
        </is>
      </c>
      <c r="I533" s="4" t="n">
        <v>0.9117999999999999</v>
      </c>
      <c r="J533" s="2" t="inlineStr">
        <is>
          <t>MILL-RUN-01</t>
        </is>
      </c>
    </row>
    <row r="534">
      <c r="G534" s="2" t="inlineStr">
        <is>
          <t>2026-04-09</t>
        </is>
      </c>
      <c r="H534" s="2" t="inlineStr">
        <is>
          <t>WHEAT POLLARD</t>
        </is>
      </c>
      <c r="I534" s="4" t="n">
        <v>0.391</v>
      </c>
      <c r="J534" s="2" t="inlineStr">
        <is>
          <t>MILL-RUN-01</t>
        </is>
      </c>
    </row>
    <row r="535">
      <c r="G535" s="2" t="inlineStr">
        <is>
          <t>2026-04-10</t>
        </is>
      </c>
      <c r="H535" s="2" t="inlineStr">
        <is>
          <t>WHEAT POLLARD</t>
        </is>
      </c>
      <c r="I535" s="4" t="n">
        <v>0.3125</v>
      </c>
      <c r="J535" s="2" t="inlineStr">
        <is>
          <t>MILL-RUN-01</t>
        </is>
      </c>
    </row>
    <row r="536">
      <c r="G536" s="2" t="inlineStr">
        <is>
          <t>2026-04-11</t>
        </is>
      </c>
      <c r="H536" s="2" t="inlineStr">
        <is>
          <t>WHEAT POLLARD</t>
        </is>
      </c>
      <c r="I536" s="4" t="n">
        <v>2.7612</v>
      </c>
      <c r="J536" s="2" t="inlineStr">
        <is>
          <t>MILL-RUN-01</t>
        </is>
      </c>
    </row>
    <row r="537">
      <c r="G537" s="2" t="inlineStr">
        <is>
          <t>2026-04-13</t>
        </is>
      </c>
      <c r="H537" s="2" t="inlineStr">
        <is>
          <t>WHEAT POLLARD</t>
        </is>
      </c>
      <c r="I537" s="4" t="n">
        <v>0.3908</v>
      </c>
      <c r="J537" s="2" t="inlineStr">
        <is>
          <t>MILL-RUN-01</t>
        </is>
      </c>
    </row>
    <row r="538">
      <c r="G538" s="2" t="inlineStr">
        <is>
          <t>2026-04-14</t>
        </is>
      </c>
      <c r="H538" s="2" t="inlineStr">
        <is>
          <t>WHEAT POLLARD</t>
        </is>
      </c>
      <c r="I538" s="4" t="n">
        <v>1.6622</v>
      </c>
      <c r="J538" s="2" t="inlineStr">
        <is>
          <t>MILL-RUN-01</t>
        </is>
      </c>
    </row>
    <row r="539">
      <c r="G539" s="2" t="inlineStr">
        <is>
          <t>2026-04-15</t>
        </is>
      </c>
      <c r="H539" s="2" t="inlineStr">
        <is>
          <t>WHEAT POLLARD</t>
        </is>
      </c>
      <c r="I539" s="4" t="n">
        <v>0.4565</v>
      </c>
      <c r="J539" s="2" t="inlineStr">
        <is>
          <t>MILL-RUN-01</t>
        </is>
      </c>
    </row>
    <row r="540">
      <c r="G540" s="2" t="inlineStr">
        <is>
          <t>2026-04-16</t>
        </is>
      </c>
      <c r="H540" s="2" t="inlineStr">
        <is>
          <t>WHEAT POLLARD</t>
        </is>
      </c>
      <c r="I540" s="4" t="n">
        <v>0.7805</v>
      </c>
      <c r="J540" s="2" t="inlineStr">
        <is>
          <t>MILL-RUN-01</t>
        </is>
      </c>
    </row>
    <row r="541">
      <c r="G541" s="2" t="inlineStr">
        <is>
          <t>2026-04-17</t>
        </is>
      </c>
      <c r="H541" s="2" t="inlineStr">
        <is>
          <t>WHEAT POLLARD</t>
        </is>
      </c>
      <c r="I541" s="4" t="n">
        <v>2.5621</v>
      </c>
      <c r="J541" s="2" t="inlineStr">
        <is>
          <t>MILL-RUN-01</t>
        </is>
      </c>
    </row>
    <row r="542">
      <c r="G542" s="2" t="inlineStr">
        <is>
          <t>2026-04-18</t>
        </is>
      </c>
      <c r="H542" s="2" t="inlineStr">
        <is>
          <t>WHEAT POLLARD</t>
        </is>
      </c>
      <c r="I542" s="4" t="n">
        <v>0.6727000000000001</v>
      </c>
      <c r="J542" s="2" t="inlineStr">
        <is>
          <t>MILL-RUN-01</t>
        </is>
      </c>
    </row>
    <row r="543">
      <c r="G543" s="2" t="inlineStr">
        <is>
          <t>2026-04-20</t>
        </is>
      </c>
      <c r="H543" s="2" t="inlineStr">
        <is>
          <t>WHEAT POLLARD</t>
        </is>
      </c>
      <c r="I543" s="4" t="n">
        <v>2.5923</v>
      </c>
      <c r="J543" s="2" t="inlineStr">
        <is>
          <t>MILL-RUN-01</t>
        </is>
      </c>
    </row>
    <row r="544">
      <c r="G544" s="2" t="inlineStr">
        <is>
          <t>2026-04-21</t>
        </is>
      </c>
      <c r="H544" s="2" t="inlineStr">
        <is>
          <t>WHEAT POLLARD</t>
        </is>
      </c>
      <c r="I544" s="4" t="n">
        <v>3.3918</v>
      </c>
      <c r="J544" s="2" t="inlineStr">
        <is>
          <t>MILL-RUN-01</t>
        </is>
      </c>
    </row>
    <row r="545">
      <c r="G545" s="2" t="inlineStr">
        <is>
          <t>2026-04-23</t>
        </is>
      </c>
      <c r="H545" s="2" t="inlineStr">
        <is>
          <t>WHEAT POLLARD</t>
        </is>
      </c>
      <c r="I545" s="4" t="n">
        <v>3.8222</v>
      </c>
      <c r="J545" s="2" t="inlineStr">
        <is>
          <t>MILL-RUN-01</t>
        </is>
      </c>
    </row>
    <row r="546">
      <c r="G546" s="2" t="inlineStr">
        <is>
          <t>2026-04-24</t>
        </is>
      </c>
      <c r="H546" s="2" t="inlineStr">
        <is>
          <t>WHEAT POLLARD</t>
        </is>
      </c>
      <c r="I546" s="4" t="n">
        <v>4.0609</v>
      </c>
      <c r="J546" s="2" t="inlineStr">
        <is>
          <t>MILL-RUN-01</t>
        </is>
      </c>
    </row>
    <row r="547">
      <c r="G547" s="2" t="inlineStr">
        <is>
          <t>2026-04-25</t>
        </is>
      </c>
      <c r="H547" s="2" t="inlineStr">
        <is>
          <t>WHEAT POLLARD</t>
        </is>
      </c>
      <c r="I547" s="4" t="n">
        <v>2.2619</v>
      </c>
      <c r="J547" s="2" t="inlineStr">
        <is>
          <t>MILL-RUN-01</t>
        </is>
      </c>
    </row>
    <row r="548">
      <c r="G548" s="2" t="inlineStr">
        <is>
          <t>2026-04-27</t>
        </is>
      </c>
      <c r="H548" s="2" t="inlineStr">
        <is>
          <t>WHEAT POLLARD</t>
        </is>
      </c>
      <c r="I548" s="4" t="n">
        <v>7.354100000000001</v>
      </c>
      <c r="J548" s="2" t="inlineStr">
        <is>
          <t>MILL-RUN-01</t>
        </is>
      </c>
    </row>
    <row r="549">
      <c r="G549" s="2" t="inlineStr">
        <is>
          <t>2026-04-28</t>
        </is>
      </c>
      <c r="H549" s="2" t="inlineStr">
        <is>
          <t>WHEAT POLLARD</t>
        </is>
      </c>
      <c r="I549" s="4" t="n">
        <v>0.5013</v>
      </c>
      <c r="J549" s="2" t="inlineStr">
        <is>
          <t>MILL-RUN-01</t>
        </is>
      </c>
    </row>
    <row r="550">
      <c r="G550" s="2" t="inlineStr">
        <is>
          <t>2026-05-02</t>
        </is>
      </c>
      <c r="H550" s="2" t="inlineStr">
        <is>
          <t>WHEAT POLLARD</t>
        </is>
      </c>
      <c r="I550" s="4" t="n">
        <v>4.0012</v>
      </c>
      <c r="J550" s="2" t="inlineStr">
        <is>
          <t>MILL-RUN-01</t>
        </is>
      </c>
    </row>
    <row r="551">
      <c r="G551" s="2" t="inlineStr">
        <is>
          <t>2026-05-04</t>
        </is>
      </c>
      <c r="H551" s="2" t="inlineStr">
        <is>
          <t>WHEAT POLLARD</t>
        </is>
      </c>
      <c r="I551" s="4" t="n">
        <v>4.1029</v>
      </c>
      <c r="J551" s="2" t="inlineStr">
        <is>
          <t>MILL-RUN-01</t>
        </is>
      </c>
    </row>
    <row r="552">
      <c r="G552" s="2" t="inlineStr">
        <is>
          <t>2026-05-06</t>
        </is>
      </c>
      <c r="H552" s="2" t="inlineStr">
        <is>
          <t>WHEAT POLLARD</t>
        </is>
      </c>
      <c r="I552" s="4" t="n">
        <v>1.8988</v>
      </c>
      <c r="J552" s="2" t="inlineStr">
        <is>
          <t>MILL-RUN-01</t>
        </is>
      </c>
    </row>
    <row r="553">
      <c r="G553" s="2" t="inlineStr">
        <is>
          <t>2026-05-12</t>
        </is>
      </c>
      <c r="H553" s="2" t="inlineStr">
        <is>
          <t>WHEAT POLLARD</t>
        </is>
      </c>
      <c r="I553" s="4" t="n">
        <v>6.301699999999999</v>
      </c>
      <c r="J553" s="2" t="inlineStr">
        <is>
          <t>MILL-RUN-01</t>
        </is>
      </c>
    </row>
    <row r="554">
      <c r="G554" s="2" t="inlineStr">
        <is>
          <t>2026-05-13</t>
        </is>
      </c>
      <c r="H554" s="2" t="inlineStr">
        <is>
          <t>WHEAT POLLARD</t>
        </is>
      </c>
      <c r="I554" s="4" t="n">
        <v>2.3004</v>
      </c>
      <c r="J554" s="2" t="inlineStr">
        <is>
          <t>MILL-RUN-01</t>
        </is>
      </c>
    </row>
    <row r="555">
      <c r="G555" s="2" t="inlineStr">
        <is>
          <t>2026-05-14</t>
        </is>
      </c>
      <c r="H555" s="2" t="inlineStr">
        <is>
          <t>WHEAT POLLARD</t>
        </is>
      </c>
      <c r="I555" s="4" t="n">
        <v>0.2805</v>
      </c>
      <c r="J555" s="2" t="inlineStr">
        <is>
          <t>MILL-RUN-01</t>
        </is>
      </c>
    </row>
    <row r="556">
      <c r="G556" s="2" t="inlineStr">
        <is>
          <t>2026-05-15</t>
        </is>
      </c>
      <c r="H556" s="2" t="inlineStr">
        <is>
          <t>WHEAT POLLARD</t>
        </is>
      </c>
      <c r="I556" s="4" t="n">
        <v>2.8009</v>
      </c>
      <c r="J556" s="2" t="inlineStr">
        <is>
          <t>MILL-RUN-01</t>
        </is>
      </c>
    </row>
    <row r="557">
      <c r="G557" s="2" t="inlineStr">
        <is>
          <t>2026-05-18</t>
        </is>
      </c>
      <c r="H557" s="2" t="inlineStr">
        <is>
          <t>WHEAT POLLARD</t>
        </is>
      </c>
      <c r="I557" s="4" t="n">
        <v>1.5008</v>
      </c>
      <c r="J557" s="2" t="inlineStr">
        <is>
          <t>MILL-RUN-01</t>
        </is>
      </c>
    </row>
    <row r="558">
      <c r="G558" s="2" t="inlineStr">
        <is>
          <t>2026-05-19</t>
        </is>
      </c>
      <c r="H558" s="2" t="inlineStr">
        <is>
          <t>WHEAT POLLARD</t>
        </is>
      </c>
      <c r="I558" s="4" t="n">
        <v>6.3018</v>
      </c>
      <c r="J558" s="2" t="inlineStr">
        <is>
          <t>MILL-RUN-01</t>
        </is>
      </c>
    </row>
    <row r="559">
      <c r="G559" s="2" t="inlineStr">
        <is>
          <t>2026-05-22</t>
        </is>
      </c>
      <c r="H559" s="2" t="inlineStr">
        <is>
          <t>WHEAT POLLARD</t>
        </is>
      </c>
      <c r="I559" s="4" t="n">
        <v>0.7205</v>
      </c>
      <c r="J559" s="2" t="inlineStr">
        <is>
          <t>MILL-RUN-01</t>
        </is>
      </c>
    </row>
    <row r="560">
      <c r="G560" s="2" t="inlineStr">
        <is>
          <t>2026-05-30</t>
        </is>
      </c>
      <c r="H560" s="2" t="inlineStr">
        <is>
          <t>WHEAT POLLARD</t>
        </is>
      </c>
      <c r="I560" s="4" t="n">
        <v>1.0296</v>
      </c>
      <c r="J560" s="2" t="inlineStr">
        <is>
          <t>MILL-RUN-01</t>
        </is>
      </c>
    </row>
    <row r="561">
      <c r="G561" s="2" t="inlineStr">
        <is>
          <t>2026-06-06</t>
        </is>
      </c>
      <c r="H561" s="2" t="inlineStr">
        <is>
          <t>WHEAT POLLARD</t>
        </is>
      </c>
      <c r="I561" s="4" t="n">
        <v>0.6002999999999999</v>
      </c>
      <c r="J561" s="2" t="inlineStr">
        <is>
          <t>MILL-RUN-01</t>
        </is>
      </c>
    </row>
    <row r="562">
      <c r="G562" s="2" t="inlineStr">
        <is>
          <t>2026-06-12</t>
        </is>
      </c>
      <c r="H562" s="2" t="inlineStr">
        <is>
          <t>WHEAT POLLARD</t>
        </is>
      </c>
      <c r="I562" s="4" t="n">
        <v>0.6003999999999999</v>
      </c>
      <c r="J562" s="2" t="inlineStr">
        <is>
          <t>MILL-RUN-01</t>
        </is>
      </c>
    </row>
    <row r="563">
      <c r="G563" s="2" t="inlineStr">
        <is>
          <t>2026-07-06</t>
        </is>
      </c>
      <c r="H563" s="2" t="inlineStr">
        <is>
          <t>WHEAT POLLARD</t>
        </is>
      </c>
      <c r="I563" s="4" t="n">
        <v>0.8007000000000001</v>
      </c>
      <c r="J563" s="2" t="inlineStr">
        <is>
          <t>MILL-RUN-01</t>
        </is>
      </c>
    </row>
    <row r="564">
      <c r="G564" s="2" t="inlineStr">
        <is>
          <t>2026-07-10</t>
        </is>
      </c>
      <c r="H564" s="2" t="inlineStr">
        <is>
          <t>WHEAT POLLARD</t>
        </is>
      </c>
      <c r="I564" s="4" t="n">
        <v>0.6998</v>
      </c>
      <c r="J564" s="2" t="inlineStr">
        <is>
          <t>MILL-RUN-01</t>
        </is>
      </c>
    </row>
    <row r="565">
      <c r="G565" s="2" t="inlineStr">
        <is>
          <t>2026-07-29</t>
        </is>
      </c>
      <c r="H565" s="2" t="inlineStr">
        <is>
          <t>WHEAT POLLARD</t>
        </is>
      </c>
      <c r="I565" s="4" t="n">
        <v>27.35</v>
      </c>
      <c r="J565" s="2" t="inlineStr">
        <is>
          <t>MILL-RUN-01</t>
        </is>
      </c>
    </row>
    <row r="566">
      <c r="G566" s="2" t="inlineStr">
        <is>
          <t>2026-01-02</t>
        </is>
      </c>
      <c r="H566" s="2" t="inlineStr">
        <is>
          <t>MEAT AND BONE MEAL</t>
        </is>
      </c>
      <c r="I566" s="4" t="n">
        <v>1.1809</v>
      </c>
      <c r="J566" s="2" t="inlineStr">
        <is>
          <t>MILL-RUN-01</t>
        </is>
      </c>
    </row>
    <row r="567">
      <c r="G567" s="2" t="inlineStr">
        <is>
          <t>2026-01-03</t>
        </is>
      </c>
      <c r="H567" s="2" t="inlineStr">
        <is>
          <t>MEAT AND BONE MEAL</t>
        </is>
      </c>
      <c r="I567" s="4" t="n">
        <v>1.6145</v>
      </c>
      <c r="J567" s="2" t="inlineStr">
        <is>
          <t>MILL-RUN-01</t>
        </is>
      </c>
    </row>
    <row r="568">
      <c r="G568" s="2" t="inlineStr">
        <is>
          <t>2026-01-05</t>
        </is>
      </c>
      <c r="H568" s="2" t="inlineStr">
        <is>
          <t>MEAT AND BONE MEAL</t>
        </is>
      </c>
      <c r="I568" s="4" t="n">
        <v>2.4017</v>
      </c>
      <c r="J568" s="2" t="inlineStr">
        <is>
          <t>MILL-RUN-01</t>
        </is>
      </c>
    </row>
    <row r="569">
      <c r="G569" s="2" t="inlineStr">
        <is>
          <t>2026-01-06</t>
        </is>
      </c>
      <c r="H569" s="2" t="inlineStr">
        <is>
          <t>MEAT AND BONE MEAL</t>
        </is>
      </c>
      <c r="I569" s="4" t="n">
        <v>1.5993</v>
      </c>
      <c r="J569" s="2" t="inlineStr">
        <is>
          <t>MILL-RUN-01</t>
        </is>
      </c>
    </row>
    <row r="570">
      <c r="G570" s="2" t="inlineStr">
        <is>
          <t>2026-01-07</t>
        </is>
      </c>
      <c r="H570" s="2" t="inlineStr">
        <is>
          <t>MEAT AND BONE MEAL</t>
        </is>
      </c>
      <c r="I570" s="4" t="n">
        <v>1.5566</v>
      </c>
      <c r="J570" s="2" t="inlineStr">
        <is>
          <t>MILL-RUN-01</t>
        </is>
      </c>
    </row>
    <row r="571">
      <c r="G571" s="2" t="inlineStr">
        <is>
          <t>2026-01-08</t>
        </is>
      </c>
      <c r="H571" s="2" t="inlineStr">
        <is>
          <t>MEAT AND BONE MEAL</t>
        </is>
      </c>
      <c r="I571" s="4" t="n">
        <v>0.5982999999999999</v>
      </c>
      <c r="J571" s="2" t="inlineStr">
        <is>
          <t>MILL-RUN-01</t>
        </is>
      </c>
    </row>
    <row r="572">
      <c r="G572" s="2" t="inlineStr">
        <is>
          <t>2026-01-09</t>
        </is>
      </c>
      <c r="H572" s="2" t="inlineStr">
        <is>
          <t>MEAT AND BONE MEAL</t>
        </is>
      </c>
      <c r="I572" s="4" t="n">
        <v>0.8018999999999999</v>
      </c>
      <c r="J572" s="2" t="inlineStr">
        <is>
          <t>MILL-RUN-01</t>
        </is>
      </c>
    </row>
    <row r="573">
      <c r="G573" s="2" t="inlineStr">
        <is>
          <t>2026-01-10</t>
        </is>
      </c>
      <c r="H573" s="2" t="inlineStr">
        <is>
          <t>MEAT AND BONE MEAL</t>
        </is>
      </c>
      <c r="I573" s="4" t="n">
        <v>0.4391</v>
      </c>
      <c r="J573" s="2" t="inlineStr">
        <is>
          <t>MILL-RUN-01</t>
        </is>
      </c>
    </row>
    <row r="574">
      <c r="G574" s="2" t="inlineStr">
        <is>
          <t>2026-01-12</t>
        </is>
      </c>
      <c r="H574" s="2" t="inlineStr">
        <is>
          <t>MEAT AND BONE MEAL</t>
        </is>
      </c>
      <c r="I574" s="4" t="n">
        <v>1.3852</v>
      </c>
      <c r="J574" s="2" t="inlineStr">
        <is>
          <t>MILL-RUN-01</t>
        </is>
      </c>
    </row>
    <row r="575">
      <c r="G575" s="2" t="inlineStr">
        <is>
          <t>2026-01-13</t>
        </is>
      </c>
      <c r="H575" s="2" t="inlineStr">
        <is>
          <t>MEAT AND BONE MEAL</t>
        </is>
      </c>
      <c r="I575" s="4" t="n">
        <v>1.4295</v>
      </c>
      <c r="J575" s="2" t="inlineStr">
        <is>
          <t>MILL-RUN-01</t>
        </is>
      </c>
    </row>
    <row r="576">
      <c r="G576" s="2" t="inlineStr">
        <is>
          <t>2026-01-15</t>
        </is>
      </c>
      <c r="H576" s="2" t="inlineStr">
        <is>
          <t>MEAT AND BONE MEAL</t>
        </is>
      </c>
      <c r="I576" s="4" t="n">
        <v>1.3472</v>
      </c>
      <c r="J576" s="2" t="inlineStr">
        <is>
          <t>MILL-RUN-01</t>
        </is>
      </c>
    </row>
    <row r="577">
      <c r="G577" s="2" t="inlineStr">
        <is>
          <t>2026-01-16</t>
        </is>
      </c>
      <c r="H577" s="2" t="inlineStr">
        <is>
          <t>MEAT AND BONE MEAL</t>
        </is>
      </c>
      <c r="I577" s="4" t="n">
        <v>1.2808</v>
      </c>
      <c r="J577" s="2" t="inlineStr">
        <is>
          <t>MILL-RUN-01</t>
        </is>
      </c>
    </row>
    <row r="578">
      <c r="G578" s="2" t="inlineStr">
        <is>
          <t>2026-01-17</t>
        </is>
      </c>
      <c r="H578" s="2" t="inlineStr">
        <is>
          <t>MEAT AND BONE MEAL</t>
        </is>
      </c>
      <c r="I578" s="4" t="n">
        <v>0.5213</v>
      </c>
      <c r="J578" s="2" t="inlineStr">
        <is>
          <t>MILL-RUN-01</t>
        </is>
      </c>
    </row>
    <row r="579">
      <c r="G579" s="2" t="inlineStr">
        <is>
          <t>2026-01-19</t>
        </is>
      </c>
      <c r="H579" s="2" t="inlineStr">
        <is>
          <t>MEAT AND BONE MEAL</t>
        </is>
      </c>
      <c r="I579" s="4" t="n">
        <v>1.6388</v>
      </c>
      <c r="J579" s="2" t="inlineStr">
        <is>
          <t>MILL-RUN-01</t>
        </is>
      </c>
    </row>
    <row r="580">
      <c r="G580" s="2" t="inlineStr">
        <is>
          <t>2026-01-20</t>
        </is>
      </c>
      <c r="H580" s="2" t="inlineStr">
        <is>
          <t>MEAT AND BONE MEAL</t>
        </is>
      </c>
      <c r="I580" s="4" t="n">
        <v>0.7776000000000001</v>
      </c>
      <c r="J580" s="2" t="inlineStr">
        <is>
          <t>MILL-RUN-01</t>
        </is>
      </c>
    </row>
    <row r="581">
      <c r="G581" s="2" t="inlineStr">
        <is>
          <t>2026-01-21</t>
        </is>
      </c>
      <c r="H581" s="2" t="inlineStr">
        <is>
          <t>MEAT AND BONE MEAL</t>
        </is>
      </c>
      <c r="I581" s="4" t="n">
        <v>0.5768</v>
      </c>
      <c r="J581" s="2" t="inlineStr">
        <is>
          <t>MILL-RUN-01</t>
        </is>
      </c>
    </row>
    <row r="582">
      <c r="G582" s="2" t="inlineStr">
        <is>
          <t>2026-01-22</t>
        </is>
      </c>
      <c r="H582" s="2" t="inlineStr">
        <is>
          <t>MEAT AND BONE MEAL</t>
        </is>
      </c>
      <c r="I582" s="4" t="n">
        <v>0.8008</v>
      </c>
      <c r="J582" s="2" t="inlineStr">
        <is>
          <t>MILL-RUN-01</t>
        </is>
      </c>
    </row>
    <row r="583">
      <c r="G583" s="2" t="inlineStr">
        <is>
          <t>2026-01-23</t>
        </is>
      </c>
      <c r="H583" s="2" t="inlineStr">
        <is>
          <t>MEAT AND BONE MEAL</t>
        </is>
      </c>
      <c r="I583" s="4" t="n">
        <v>1.5212</v>
      </c>
      <c r="J583" s="2" t="inlineStr">
        <is>
          <t>MILL-RUN-01</t>
        </is>
      </c>
    </row>
    <row r="584">
      <c r="G584" s="2" t="inlineStr">
        <is>
          <t>2026-01-24</t>
        </is>
      </c>
      <c r="H584" s="2" t="inlineStr">
        <is>
          <t>MEAT AND BONE MEAL</t>
        </is>
      </c>
      <c r="I584" s="4" t="n">
        <v>0.5206000000000001</v>
      </c>
      <c r="J584" s="2" t="inlineStr">
        <is>
          <t>MILL-RUN-01</t>
        </is>
      </c>
    </row>
    <row r="585">
      <c r="G585" s="2" t="inlineStr">
        <is>
          <t>2026-01-26</t>
        </is>
      </c>
      <c r="H585" s="2" t="inlineStr">
        <is>
          <t>MEAT AND BONE MEAL</t>
        </is>
      </c>
      <c r="I585" s="4" t="n">
        <v>1.1208</v>
      </c>
      <c r="J585" s="2" t="inlineStr">
        <is>
          <t>MILL-RUN-01</t>
        </is>
      </c>
    </row>
    <row r="586">
      <c r="G586" s="2" t="inlineStr">
        <is>
          <t>2026-01-27</t>
        </is>
      </c>
      <c r="H586" s="2" t="inlineStr">
        <is>
          <t>MEAT AND BONE MEAL</t>
        </is>
      </c>
      <c r="I586" s="4" t="n">
        <v>1.4828</v>
      </c>
      <c r="J586" s="2" t="inlineStr">
        <is>
          <t>MILL-RUN-01</t>
        </is>
      </c>
    </row>
    <row r="587">
      <c r="G587" s="2" t="inlineStr">
        <is>
          <t>2026-01-28</t>
        </is>
      </c>
      <c r="H587" s="2" t="inlineStr">
        <is>
          <t>MEAT AND BONE MEAL</t>
        </is>
      </c>
      <c r="I587" s="4" t="n">
        <v>0.6797000000000001</v>
      </c>
      <c r="J587" s="2" t="inlineStr">
        <is>
          <t>MILL-RUN-01</t>
        </is>
      </c>
    </row>
    <row r="588">
      <c r="G588" s="2" t="inlineStr">
        <is>
          <t>2026-01-30</t>
        </is>
      </c>
      <c r="H588" s="2" t="inlineStr">
        <is>
          <t>MEAT AND BONE MEAL</t>
        </is>
      </c>
      <c r="I588" s="4" t="n">
        <v>0.2483</v>
      </c>
      <c r="J588" s="2" t="inlineStr">
        <is>
          <t>MILL-RUN-01</t>
        </is>
      </c>
    </row>
    <row r="589">
      <c r="G589" s="2" t="inlineStr">
        <is>
          <t>2026-01-31</t>
        </is>
      </c>
      <c r="H589" s="2" t="inlineStr">
        <is>
          <t>MEAT AND BONE MEAL</t>
        </is>
      </c>
      <c r="I589" s="4" t="n">
        <v>1.266</v>
      </c>
      <c r="J589" s="2" t="inlineStr">
        <is>
          <t>MILL-RUN-01</t>
        </is>
      </c>
    </row>
    <row r="590">
      <c r="G590" s="2" t="inlineStr">
        <is>
          <t>2026-02-03</t>
        </is>
      </c>
      <c r="H590" s="2" t="inlineStr">
        <is>
          <t>MEAT AND BONE MEAL</t>
        </is>
      </c>
      <c r="I590" s="4" t="n">
        <v>0.7677</v>
      </c>
      <c r="J590" s="2" t="inlineStr">
        <is>
          <t>MILL-RUN-01</t>
        </is>
      </c>
    </row>
    <row r="591">
      <c r="G591" s="2" t="inlineStr">
        <is>
          <t>2026-02-05</t>
        </is>
      </c>
      <c r="H591" s="2" t="inlineStr">
        <is>
          <t>MEAT AND BONE MEAL</t>
        </is>
      </c>
      <c r="I591" s="4" t="n">
        <v>1.5608</v>
      </c>
      <c r="J591" s="2" t="inlineStr">
        <is>
          <t>MILL-RUN-01</t>
        </is>
      </c>
    </row>
    <row r="592">
      <c r="G592" s="2" t="inlineStr">
        <is>
          <t>2026-02-07</t>
        </is>
      </c>
      <c r="H592" s="2" t="inlineStr">
        <is>
          <t>MEAT AND BONE MEAL</t>
        </is>
      </c>
      <c r="I592" s="4" t="n">
        <v>1.5001</v>
      </c>
      <c r="J592" s="2" t="inlineStr">
        <is>
          <t>MILL-RUN-01</t>
        </is>
      </c>
    </row>
    <row r="593">
      <c r="G593" s="2" t="inlineStr">
        <is>
          <t>2026-02-09</t>
        </is>
      </c>
      <c r="H593" s="2" t="inlineStr">
        <is>
          <t>MEAT AND BONE MEAL</t>
        </is>
      </c>
      <c r="I593" s="4" t="n">
        <v>2.4031</v>
      </c>
      <c r="J593" s="2" t="inlineStr">
        <is>
          <t>MILL-RUN-01</t>
        </is>
      </c>
    </row>
    <row r="594">
      <c r="G594" s="2" t="inlineStr">
        <is>
          <t>2026-02-10</t>
        </is>
      </c>
      <c r="H594" s="2" t="inlineStr">
        <is>
          <t>MEAT AND BONE MEAL</t>
        </is>
      </c>
      <c r="I594" s="4" t="n">
        <v>0.9997999999999999</v>
      </c>
      <c r="J594" s="2" t="inlineStr">
        <is>
          <t>MILL-RUN-01</t>
        </is>
      </c>
    </row>
    <row r="595">
      <c r="G595" s="2" t="inlineStr">
        <is>
          <t>2026-02-11</t>
        </is>
      </c>
      <c r="H595" s="2" t="inlineStr">
        <is>
          <t>MEAT AND BONE MEAL</t>
        </is>
      </c>
      <c r="I595" s="4" t="n">
        <v>3.0005</v>
      </c>
      <c r="J595" s="2" t="inlineStr">
        <is>
          <t>MILL-RUN-01</t>
        </is>
      </c>
    </row>
    <row r="596">
      <c r="G596" s="2" t="inlineStr">
        <is>
          <t>2026-02-13</t>
        </is>
      </c>
      <c r="H596" s="2" t="inlineStr">
        <is>
          <t>MEAT AND BONE MEAL</t>
        </is>
      </c>
      <c r="I596" s="4" t="n">
        <v>2.7608</v>
      </c>
      <c r="J596" s="2" t="inlineStr">
        <is>
          <t>MILL-RUN-01</t>
        </is>
      </c>
    </row>
    <row r="597">
      <c r="G597" s="2" t="inlineStr">
        <is>
          <t>2026-02-16</t>
        </is>
      </c>
      <c r="H597" s="2" t="inlineStr">
        <is>
          <t>MEAT AND BONE MEAL</t>
        </is>
      </c>
      <c r="I597" s="4" t="n">
        <v>0.6016</v>
      </c>
      <c r="J597" s="2" t="inlineStr">
        <is>
          <t>MILL-RUN-01</t>
        </is>
      </c>
    </row>
    <row r="598">
      <c r="G598" s="2" t="inlineStr">
        <is>
          <t>2026-02-19</t>
        </is>
      </c>
      <c r="H598" s="2" t="inlineStr">
        <is>
          <t>MEAT AND BONE MEAL</t>
        </is>
      </c>
      <c r="I598" s="4" t="n">
        <v>1.0796</v>
      </c>
      <c r="J598" s="2" t="inlineStr">
        <is>
          <t>MILL-RUN-01</t>
        </is>
      </c>
    </row>
    <row r="599">
      <c r="G599" s="2" t="inlineStr">
        <is>
          <t>2026-02-21</t>
        </is>
      </c>
      <c r="H599" s="2" t="inlineStr">
        <is>
          <t>MEAT AND BONE MEAL</t>
        </is>
      </c>
      <c r="I599" s="4" t="n">
        <v>0.5203</v>
      </c>
      <c r="J599" s="2" t="inlineStr">
        <is>
          <t>MILL-RUN-01</t>
        </is>
      </c>
    </row>
    <row r="600">
      <c r="G600" s="2" t="inlineStr">
        <is>
          <t>2026-02-23</t>
        </is>
      </c>
      <c r="H600" s="2" t="inlineStr">
        <is>
          <t>MEAT AND BONE MEAL</t>
        </is>
      </c>
      <c r="I600" s="4" t="n">
        <v>0.5197999999999999</v>
      </c>
      <c r="J600" s="2" t="inlineStr">
        <is>
          <t>MILL-RUN-01</t>
        </is>
      </c>
    </row>
    <row r="601">
      <c r="G601" s="2" t="inlineStr">
        <is>
          <t>2026-02-25</t>
        </is>
      </c>
      <c r="H601" s="2" t="inlineStr">
        <is>
          <t>MEAT AND BONE MEAL</t>
        </is>
      </c>
      <c r="I601" s="4" t="n">
        <v>0.28</v>
      </c>
      <c r="J601" s="2" t="inlineStr">
        <is>
          <t>MILL-RUN-01</t>
        </is>
      </c>
    </row>
    <row r="602">
      <c r="G602" s="2" t="inlineStr">
        <is>
          <t>2026-02-27</t>
        </is>
      </c>
      <c r="H602" s="2" t="inlineStr">
        <is>
          <t>MEAT AND BONE MEAL</t>
        </is>
      </c>
      <c r="I602" s="4" t="n">
        <v>1.0006</v>
      </c>
      <c r="J602" s="2" t="inlineStr">
        <is>
          <t>MILL-RUN-01</t>
        </is>
      </c>
    </row>
    <row r="603">
      <c r="G603" s="2" t="inlineStr">
        <is>
          <t>2026-03-05</t>
        </is>
      </c>
      <c r="H603" s="2" t="inlineStr">
        <is>
          <t>MEAT AND BONE MEAL</t>
        </is>
      </c>
      <c r="I603" s="4" t="n">
        <v>0.3207</v>
      </c>
      <c r="J603" s="2" t="inlineStr">
        <is>
          <t>MILL-RUN-01</t>
        </is>
      </c>
    </row>
    <row r="604">
      <c r="G604" s="2" t="inlineStr">
        <is>
          <t>2026-03-07</t>
        </is>
      </c>
      <c r="H604" s="2" t="inlineStr">
        <is>
          <t>MEAT AND BONE MEAL</t>
        </is>
      </c>
      <c r="I604" s="4" t="n">
        <v>0.5801000000000001</v>
      </c>
      <c r="J604" s="2" t="inlineStr">
        <is>
          <t>MILL-RUN-01</t>
        </is>
      </c>
    </row>
    <row r="605">
      <c r="G605" s="2" t="inlineStr">
        <is>
          <t>2026-03-09</t>
        </is>
      </c>
      <c r="H605" s="2" t="inlineStr">
        <is>
          <t>MEAT AND BONE MEAL</t>
        </is>
      </c>
      <c r="I605" s="4" t="n">
        <v>0.4998</v>
      </c>
      <c r="J605" s="2" t="inlineStr">
        <is>
          <t>MILL-RUN-01</t>
        </is>
      </c>
    </row>
    <row r="606">
      <c r="G606" s="2" t="inlineStr">
        <is>
          <t>2026-03-10</t>
        </is>
      </c>
      <c r="H606" s="2" t="inlineStr">
        <is>
          <t>MEAT AND BONE MEAL</t>
        </is>
      </c>
      <c r="I606" s="4" t="n">
        <v>0.2011</v>
      </c>
      <c r="J606" s="2" t="inlineStr">
        <is>
          <t>MILL-RUN-01</t>
        </is>
      </c>
    </row>
    <row r="607">
      <c r="G607" s="2" t="inlineStr">
        <is>
          <t>2026-03-13</t>
        </is>
      </c>
      <c r="H607" s="2" t="inlineStr">
        <is>
          <t>MEAT AND BONE MEAL</t>
        </is>
      </c>
      <c r="I607" s="4" t="n">
        <v>19.84</v>
      </c>
      <c r="J607" s="2" t="inlineStr">
        <is>
          <t>MILL-RUN-01</t>
        </is>
      </c>
    </row>
    <row r="608">
      <c r="G608" s="2" t="inlineStr">
        <is>
          <t>2026-03-14</t>
        </is>
      </c>
      <c r="H608" s="2" t="inlineStr">
        <is>
          <t>MEAT AND BONE MEAL</t>
        </is>
      </c>
      <c r="I608" s="4" t="n">
        <v>1.0989</v>
      </c>
      <c r="J608" s="2" t="inlineStr">
        <is>
          <t>MILL-RUN-01</t>
        </is>
      </c>
    </row>
    <row r="609">
      <c r="G609" s="2" t="inlineStr">
        <is>
          <t>2026-03-16</t>
        </is>
      </c>
      <c r="H609" s="2" t="inlineStr">
        <is>
          <t>MEAT AND BONE MEAL</t>
        </is>
      </c>
      <c r="I609" s="4" t="n">
        <v>0.4617</v>
      </c>
      <c r="J609" s="2" t="inlineStr">
        <is>
          <t>MILL-RUN-01</t>
        </is>
      </c>
    </row>
    <row r="610">
      <c r="G610" s="2" t="inlineStr">
        <is>
          <t>2026-03-17</t>
        </is>
      </c>
      <c r="H610" s="2" t="inlineStr">
        <is>
          <t>MEAT AND BONE MEAL</t>
        </is>
      </c>
      <c r="I610" s="4" t="n">
        <v>1.8509</v>
      </c>
      <c r="J610" s="2" t="inlineStr">
        <is>
          <t>MILL-RUN-01</t>
        </is>
      </c>
    </row>
    <row r="611">
      <c r="G611" s="2" t="inlineStr">
        <is>
          <t>2026-03-18</t>
        </is>
      </c>
      <c r="H611" s="2" t="inlineStr">
        <is>
          <t>MEAT AND BONE MEAL</t>
        </is>
      </c>
      <c r="I611" s="4" t="n">
        <v>0.6804</v>
      </c>
      <c r="J611" s="2" t="inlineStr">
        <is>
          <t>MILL-RUN-01</t>
        </is>
      </c>
    </row>
    <row r="612">
      <c r="G612" s="2" t="inlineStr">
        <is>
          <t>2026-03-25</t>
        </is>
      </c>
      <c r="H612" s="2" t="inlineStr">
        <is>
          <t>MEAT AND BONE MEAL</t>
        </is>
      </c>
      <c r="I612" s="4" t="n">
        <v>1.2003</v>
      </c>
      <c r="J612" s="2" t="inlineStr">
        <is>
          <t>MILL-RUN-01</t>
        </is>
      </c>
    </row>
    <row r="613">
      <c r="G613" s="2" t="inlineStr">
        <is>
          <t>2026-03-26</t>
        </is>
      </c>
      <c r="H613" s="2" t="inlineStr">
        <is>
          <t>MEAT AND BONE MEAL</t>
        </is>
      </c>
      <c r="I613" s="4" t="n">
        <v>0.9216</v>
      </c>
      <c r="J613" s="2" t="inlineStr">
        <is>
          <t>MILL-RUN-01</t>
        </is>
      </c>
    </row>
    <row r="614">
      <c r="G614" s="2" t="inlineStr">
        <is>
          <t>2026-03-28</t>
        </is>
      </c>
      <c r="H614" s="2" t="inlineStr">
        <is>
          <t>MEAT AND BONE MEAL</t>
        </is>
      </c>
      <c r="I614" s="4" t="n">
        <v>0.7491</v>
      </c>
      <c r="J614" s="2" t="inlineStr">
        <is>
          <t>MILL-RUN-01</t>
        </is>
      </c>
    </row>
    <row r="615">
      <c r="G615" s="2" t="inlineStr">
        <is>
          <t>2026-03-30</t>
        </is>
      </c>
      <c r="H615" s="2" t="inlineStr">
        <is>
          <t>MEAT AND BONE MEAL</t>
        </is>
      </c>
      <c r="I615" s="4" t="n">
        <v>1.5091</v>
      </c>
      <c r="J615" s="2" t="inlineStr">
        <is>
          <t>MILL-RUN-01</t>
        </is>
      </c>
    </row>
    <row r="616">
      <c r="G616" s="2" t="inlineStr">
        <is>
          <t>2026-03-31</t>
        </is>
      </c>
      <c r="H616" s="2" t="inlineStr">
        <is>
          <t>MEAT AND BONE MEAL</t>
        </is>
      </c>
      <c r="I616" s="4" t="n">
        <v>0.5016</v>
      </c>
      <c r="J616" s="2" t="inlineStr">
        <is>
          <t>MILL-RUN-01</t>
        </is>
      </c>
    </row>
    <row r="617">
      <c r="G617" s="2" t="inlineStr">
        <is>
          <t>2026-04-01</t>
        </is>
      </c>
      <c r="H617" s="2" t="inlineStr">
        <is>
          <t>MEAT AND BONE MEAL</t>
        </is>
      </c>
      <c r="I617" s="4" t="n">
        <v>0.5</v>
      </c>
      <c r="J617" s="2" t="inlineStr">
        <is>
          <t>MILL-RUN-01</t>
        </is>
      </c>
    </row>
    <row r="618">
      <c r="G618" s="2" t="inlineStr">
        <is>
          <t>2026-04-03</t>
        </is>
      </c>
      <c r="H618" s="2" t="inlineStr">
        <is>
          <t>MEAT AND BONE MEAL</t>
        </is>
      </c>
      <c r="I618" s="4" t="n">
        <v>1.5184</v>
      </c>
      <c r="J618" s="2" t="inlineStr">
        <is>
          <t>MILL-RUN-01</t>
        </is>
      </c>
    </row>
    <row r="619">
      <c r="G619" s="2" t="inlineStr">
        <is>
          <t>2026-04-06</t>
        </is>
      </c>
      <c r="H619" s="2" t="inlineStr">
        <is>
          <t>MEAT AND BONE MEAL</t>
        </is>
      </c>
      <c r="I619" s="4" t="n">
        <v>1.2513</v>
      </c>
      <c r="J619" s="2" t="inlineStr">
        <is>
          <t>MILL-RUN-01</t>
        </is>
      </c>
    </row>
    <row r="620">
      <c r="G620" s="2" t="inlineStr">
        <is>
          <t>2026-04-11</t>
        </is>
      </c>
      <c r="H620" s="2" t="inlineStr">
        <is>
          <t>MEAT AND BONE MEAL</t>
        </is>
      </c>
      <c r="I620" s="4" t="n">
        <v>0.4993</v>
      </c>
      <c r="J620" s="2" t="inlineStr">
        <is>
          <t>MILL-RUN-01</t>
        </is>
      </c>
    </row>
    <row r="621">
      <c r="G621" s="2" t="inlineStr">
        <is>
          <t>2026-04-14</t>
        </is>
      </c>
      <c r="H621" s="2" t="inlineStr">
        <is>
          <t>MEAT AND BONE MEAL</t>
        </is>
      </c>
      <c r="I621" s="4" t="n">
        <v>0.7514</v>
      </c>
      <c r="J621" s="2" t="inlineStr">
        <is>
          <t>MILL-RUN-01</t>
        </is>
      </c>
    </row>
    <row r="622">
      <c r="G622" s="2" t="inlineStr">
        <is>
          <t>2026-04-17</t>
        </is>
      </c>
      <c r="H622" s="2" t="inlineStr">
        <is>
          <t>MEAT AND BONE MEAL</t>
        </is>
      </c>
      <c r="I622" s="4" t="n">
        <v>0.4599</v>
      </c>
      <c r="J622" s="2" t="inlineStr">
        <is>
          <t>MILL-RUN-01</t>
        </is>
      </c>
    </row>
    <row r="623">
      <c r="G623" s="2" t="inlineStr">
        <is>
          <t>2026-04-20</t>
        </is>
      </c>
      <c r="H623" s="2" t="inlineStr">
        <is>
          <t>MEAT AND BONE MEAL</t>
        </is>
      </c>
      <c r="I623" s="4" t="n">
        <v>0.9013</v>
      </c>
      <c r="J623" s="2" t="inlineStr">
        <is>
          <t>MILL-RUN-01</t>
        </is>
      </c>
    </row>
    <row r="624">
      <c r="G624" s="2" t="inlineStr">
        <is>
          <t>2026-04-21</t>
        </is>
      </c>
      <c r="H624" s="2" t="inlineStr">
        <is>
          <t>MEAT AND BONE MEAL</t>
        </is>
      </c>
      <c r="I624" s="4" t="n">
        <v>0.5986</v>
      </c>
      <c r="J624" s="2" t="inlineStr">
        <is>
          <t>MILL-RUN-01</t>
        </is>
      </c>
    </row>
    <row r="625">
      <c r="G625" s="2" t="inlineStr">
        <is>
          <t>2026-04-23</t>
        </is>
      </c>
      <c r="H625" s="2" t="inlineStr">
        <is>
          <t>MEAT AND BONE MEAL</t>
        </is>
      </c>
      <c r="I625" s="4" t="n">
        <v>0.6604</v>
      </c>
      <c r="J625" s="2" t="inlineStr">
        <is>
          <t>MILL-RUN-01</t>
        </is>
      </c>
    </row>
    <row r="626">
      <c r="G626" s="2" t="inlineStr">
        <is>
          <t>2026-04-24</t>
        </is>
      </c>
      <c r="H626" s="2" t="inlineStr">
        <is>
          <t>MEAT AND BONE MEAL</t>
        </is>
      </c>
      <c r="I626" s="4" t="n">
        <v>0.8991</v>
      </c>
      <c r="J626" s="2" t="inlineStr">
        <is>
          <t>MILL-RUN-01</t>
        </is>
      </c>
    </row>
    <row r="627">
      <c r="G627" s="2" t="inlineStr">
        <is>
          <t>2026-04-25</t>
        </is>
      </c>
      <c r="H627" s="2" t="inlineStr">
        <is>
          <t>MEAT AND BONE MEAL</t>
        </is>
      </c>
      <c r="I627" s="4" t="n">
        <v>0.28</v>
      </c>
      <c r="J627" s="2" t="inlineStr">
        <is>
          <t>MILL-RUN-01</t>
        </is>
      </c>
    </row>
    <row r="628">
      <c r="G628" s="2" t="inlineStr">
        <is>
          <t>2026-04-27</t>
        </is>
      </c>
      <c r="H628" s="2" t="inlineStr">
        <is>
          <t>MEAT AND BONE MEAL</t>
        </is>
      </c>
      <c r="I628" s="4" t="n">
        <v>1.2607</v>
      </c>
      <c r="J628" s="2" t="inlineStr">
        <is>
          <t>MILL-RUN-01</t>
        </is>
      </c>
    </row>
    <row r="629">
      <c r="G629" s="2" t="inlineStr">
        <is>
          <t>2026-04-30</t>
        </is>
      </c>
      <c r="H629" s="2" t="inlineStr">
        <is>
          <t>MEAT AND BONE MEAL</t>
        </is>
      </c>
      <c r="I629" s="4" t="n">
        <v>0.3991</v>
      </c>
      <c r="J629" s="2" t="inlineStr">
        <is>
          <t>MILL-RUN-01</t>
        </is>
      </c>
    </row>
    <row r="630">
      <c r="G630" s="2" t="inlineStr">
        <is>
          <t>2026-05-04</t>
        </is>
      </c>
      <c r="H630" s="2" t="inlineStr">
        <is>
          <t>MEAT AND BONE MEAL</t>
        </is>
      </c>
      <c r="I630" s="4" t="n">
        <v>0.7763</v>
      </c>
      <c r="J630" s="2" t="inlineStr">
        <is>
          <t>MILL-RUN-01</t>
        </is>
      </c>
    </row>
    <row r="631">
      <c r="G631" s="2" t="inlineStr">
        <is>
          <t>2026-05-09</t>
        </is>
      </c>
      <c r="H631" s="2" t="inlineStr">
        <is>
          <t>MEAT AND BONE MEAL</t>
        </is>
      </c>
      <c r="I631" s="4" t="n">
        <v>0.201</v>
      </c>
      <c r="J631" s="2" t="inlineStr">
        <is>
          <t>MILL-RUN-01</t>
        </is>
      </c>
    </row>
    <row r="632">
      <c r="G632" s="2" t="inlineStr">
        <is>
          <t>2026-05-12</t>
        </is>
      </c>
      <c r="H632" s="2" t="inlineStr">
        <is>
          <t>MEAT AND BONE MEAL</t>
        </is>
      </c>
      <c r="I632" s="4" t="n">
        <v>1.3954</v>
      </c>
      <c r="J632" s="2" t="inlineStr">
        <is>
          <t>MILL-RUN-01</t>
        </is>
      </c>
    </row>
    <row r="633">
      <c r="G633" s="2" t="inlineStr">
        <is>
          <t>2026-05-13</t>
        </is>
      </c>
      <c r="H633" s="2" t="inlineStr">
        <is>
          <t>MEAT AND BONE MEAL</t>
        </is>
      </c>
      <c r="I633" s="4" t="n">
        <v>1.3397</v>
      </c>
      <c r="J633" s="2" t="inlineStr">
        <is>
          <t>MILL-RUN-01</t>
        </is>
      </c>
    </row>
    <row r="634">
      <c r="G634" s="2" t="inlineStr">
        <is>
          <t>2026-05-14</t>
        </is>
      </c>
      <c r="H634" s="2" t="inlineStr">
        <is>
          <t>MEAT AND BONE MEAL</t>
        </is>
      </c>
      <c r="I634" s="4" t="n">
        <v>1.0508</v>
      </c>
      <c r="J634" s="2" t="inlineStr">
        <is>
          <t>MILL-RUN-01</t>
        </is>
      </c>
    </row>
    <row r="635">
      <c r="G635" s="2" t="inlineStr">
        <is>
          <t>2026-05-15</t>
        </is>
      </c>
      <c r="H635" s="2" t="inlineStr">
        <is>
          <t>MEAT AND BONE MEAL</t>
        </is>
      </c>
      <c r="I635" s="4" t="n">
        <v>0.6207999999999999</v>
      </c>
      <c r="J635" s="2" t="inlineStr">
        <is>
          <t>MILL-RUN-01</t>
        </is>
      </c>
    </row>
    <row r="636">
      <c r="G636" s="2" t="inlineStr">
        <is>
          <t>2026-05-16</t>
        </is>
      </c>
      <c r="H636" s="2" t="inlineStr">
        <is>
          <t>MEAT AND BONE MEAL</t>
        </is>
      </c>
      <c r="I636" s="4" t="n">
        <v>19.58</v>
      </c>
      <c r="J636" s="2" t="inlineStr">
        <is>
          <t>MILL-RUN-01</t>
        </is>
      </c>
    </row>
    <row r="637">
      <c r="G637" s="2" t="inlineStr">
        <is>
          <t>2026-05-18</t>
        </is>
      </c>
      <c r="H637" s="2" t="inlineStr">
        <is>
          <t>MEAT AND BONE MEAL</t>
        </is>
      </c>
      <c r="I637" s="4" t="n">
        <v>0.2999</v>
      </c>
      <c r="J637" s="2" t="inlineStr">
        <is>
          <t>MILL-RUN-01</t>
        </is>
      </c>
    </row>
    <row r="638">
      <c r="G638" s="2" t="inlineStr">
        <is>
          <t>2026-05-19</t>
        </is>
      </c>
      <c r="H638" s="2" t="inlineStr">
        <is>
          <t>MEAT AND BONE MEAL</t>
        </is>
      </c>
      <c r="I638" s="4" t="n">
        <v>1.3962</v>
      </c>
      <c r="J638" s="2" t="inlineStr">
        <is>
          <t>MILL-RUN-01</t>
        </is>
      </c>
    </row>
    <row r="639">
      <c r="G639" s="2" t="inlineStr">
        <is>
          <t>2026-05-20</t>
        </is>
      </c>
      <c r="H639" s="2" t="inlineStr">
        <is>
          <t>MEAT AND BONE MEAL</t>
        </is>
      </c>
      <c r="I639" s="4" t="n">
        <v>0.2009</v>
      </c>
      <c r="J639" s="2" t="inlineStr">
        <is>
          <t>MILL-RUN-01</t>
        </is>
      </c>
    </row>
    <row r="640">
      <c r="G640" s="2" t="inlineStr">
        <is>
          <t>2026-05-22</t>
        </is>
      </c>
      <c r="H640" s="2" t="inlineStr">
        <is>
          <t>MEAT AND BONE MEAL</t>
        </is>
      </c>
      <c r="I640" s="4" t="n">
        <v>2.6993</v>
      </c>
      <c r="J640" s="2" t="inlineStr">
        <is>
          <t>MILL-RUN-01</t>
        </is>
      </c>
    </row>
    <row r="641">
      <c r="G641" s="2" t="inlineStr">
        <is>
          <t>2026-05-25</t>
        </is>
      </c>
      <c r="H641" s="2" t="inlineStr">
        <is>
          <t>MEAT AND BONE MEAL</t>
        </is>
      </c>
      <c r="I641" s="4" t="n">
        <v>0.2804</v>
      </c>
      <c r="J641" s="2" t="inlineStr">
        <is>
          <t>MILL-RUN-01</t>
        </is>
      </c>
    </row>
    <row r="642">
      <c r="G642" s="2" t="inlineStr">
        <is>
          <t>2026-05-26</t>
        </is>
      </c>
      <c r="H642" s="2" t="inlineStr">
        <is>
          <t>MEAT AND BONE MEAL</t>
        </is>
      </c>
      <c r="I642" s="4" t="n">
        <v>0.8997999999999999</v>
      </c>
      <c r="J642" s="2" t="inlineStr">
        <is>
          <t>MILL-RUN-01</t>
        </is>
      </c>
    </row>
    <row r="643">
      <c r="G643" s="2" t="inlineStr">
        <is>
          <t>2026-06-06</t>
        </is>
      </c>
      <c r="H643" s="2" t="inlineStr">
        <is>
          <t>MEAT AND BONE MEAL</t>
        </is>
      </c>
      <c r="I643" s="4" t="n">
        <v>2.2507</v>
      </c>
      <c r="J643" s="2" t="inlineStr">
        <is>
          <t>MILL-RUN-01</t>
        </is>
      </c>
    </row>
    <row r="644">
      <c r="G644" s="2" t="inlineStr">
        <is>
          <t>2026-06-12</t>
        </is>
      </c>
      <c r="H644" s="2" t="inlineStr">
        <is>
          <t>MEAT AND BONE MEAL</t>
        </is>
      </c>
      <c r="I644" s="4" t="n">
        <v>2.2495</v>
      </c>
      <c r="J644" s="2" t="inlineStr">
        <is>
          <t>MILL-RUN-01</t>
        </is>
      </c>
    </row>
    <row r="645">
      <c r="G645" s="2" t="inlineStr">
        <is>
          <t>2026-06-27</t>
        </is>
      </c>
      <c r="H645" s="2" t="inlineStr">
        <is>
          <t>MEAT AND BONE MEAL</t>
        </is>
      </c>
      <c r="I645" s="4" t="n">
        <v>0.1203</v>
      </c>
      <c r="J645" s="2" t="inlineStr">
        <is>
          <t>MILL-RUN-01</t>
        </is>
      </c>
    </row>
    <row r="646">
      <c r="G646" s="2" t="inlineStr">
        <is>
          <t>2026-07-06</t>
        </is>
      </c>
      <c r="H646" s="2" t="inlineStr">
        <is>
          <t>MEAT AND BONE MEAL</t>
        </is>
      </c>
      <c r="I646" s="4" t="n">
        <v>0.4401</v>
      </c>
      <c r="J646" s="2" t="inlineStr">
        <is>
          <t>MILL-RUN-01</t>
        </is>
      </c>
    </row>
    <row r="647">
      <c r="G647" s="2" t="inlineStr">
        <is>
          <t>2026-07-10</t>
        </is>
      </c>
      <c r="H647" s="2" t="inlineStr">
        <is>
          <t>MEAT AND BONE MEAL</t>
        </is>
      </c>
      <c r="I647" s="4" t="n">
        <v>0.1407</v>
      </c>
      <c r="J647" s="2" t="inlineStr">
        <is>
          <t>MILL-RUN-01</t>
        </is>
      </c>
    </row>
    <row r="648">
      <c r="G648" s="2" t="inlineStr">
        <is>
          <t>2026-07-14</t>
        </is>
      </c>
      <c r="H648" s="2" t="inlineStr">
        <is>
          <t>MEAT AND BONE MEAL</t>
        </is>
      </c>
      <c r="I648" s="4" t="n">
        <v>0.3192</v>
      </c>
      <c r="J648" s="2" t="inlineStr">
        <is>
          <t>MILL-RUN-01</t>
        </is>
      </c>
    </row>
    <row r="649">
      <c r="G649" s="2" t="inlineStr">
        <is>
          <t>2026-07-15</t>
        </is>
      </c>
      <c r="H649" s="2" t="inlineStr">
        <is>
          <t>MEAT AND BONE MEAL</t>
        </is>
      </c>
      <c r="I649" s="4" t="n">
        <v>12</v>
      </c>
      <c r="J649" s="2" t="inlineStr">
        <is>
          <t>MILL-RUN-01</t>
        </is>
      </c>
    </row>
    <row r="650">
      <c r="G650" s="2" t="inlineStr">
        <is>
          <t>2026-07-18</t>
        </is>
      </c>
      <c r="H650" s="2" t="inlineStr">
        <is>
          <t>MEAT AND BONE MEAL</t>
        </is>
      </c>
      <c r="I650" s="4" t="n">
        <v>0.3196</v>
      </c>
      <c r="J650" s="2" t="inlineStr">
        <is>
          <t>MILL-RUN-01</t>
        </is>
      </c>
    </row>
    <row r="651">
      <c r="G651" s="2" t="inlineStr">
        <is>
          <t>2026-07-24</t>
        </is>
      </c>
      <c r="H651" s="2" t="inlineStr">
        <is>
          <t>MEAT AND BONE MEAL</t>
        </is>
      </c>
      <c r="I651" s="4" t="n">
        <v>0.6016</v>
      </c>
      <c r="J651" s="2" t="inlineStr">
        <is>
          <t>MILL-RUN-01</t>
        </is>
      </c>
    </row>
    <row r="652">
      <c r="G652" s="2" t="inlineStr">
        <is>
          <t>2026-01-02</t>
        </is>
      </c>
      <c r="H652" s="2" t="inlineStr">
        <is>
          <t>CORN GLUTEN MEAL</t>
        </is>
      </c>
      <c r="I652" s="4" t="n">
        <v>1.5597</v>
      </c>
      <c r="J652" s="2" t="inlineStr">
        <is>
          <t>MILL-RUN-01</t>
        </is>
      </c>
    </row>
    <row r="653">
      <c r="G653" s="2" t="inlineStr">
        <is>
          <t>2026-01-03</t>
        </is>
      </c>
      <c r="H653" s="2" t="inlineStr">
        <is>
          <t>CORN GLUTEN MEAL</t>
        </is>
      </c>
      <c r="I653" s="4" t="n">
        <v>2.0902</v>
      </c>
      <c r="J653" s="2" t="inlineStr">
        <is>
          <t>MILL-RUN-01</t>
        </is>
      </c>
    </row>
    <row r="654">
      <c r="G654" s="2" t="inlineStr">
        <is>
          <t>2026-01-05</t>
        </is>
      </c>
      <c r="H654" s="2" t="inlineStr">
        <is>
          <t>CORN GLUTEN MEAL</t>
        </is>
      </c>
      <c r="I654" s="4" t="n">
        <v>2.3678</v>
      </c>
      <c r="J654" s="2" t="inlineStr">
        <is>
          <t>MILL-RUN-01</t>
        </is>
      </c>
    </row>
    <row r="655">
      <c r="G655" s="2" t="inlineStr">
        <is>
          <t>2026-01-06</t>
        </is>
      </c>
      <c r="H655" s="2" t="inlineStr">
        <is>
          <t>CORN GLUTEN MEAL</t>
        </is>
      </c>
      <c r="I655" s="4" t="n">
        <v>1.6</v>
      </c>
      <c r="J655" s="2" t="inlineStr">
        <is>
          <t>MILL-RUN-01</t>
        </is>
      </c>
    </row>
    <row r="656">
      <c r="G656" s="2" t="inlineStr">
        <is>
          <t>2026-01-07</t>
        </is>
      </c>
      <c r="H656" s="2" t="inlineStr">
        <is>
          <t>CORN GLUTEN MEAL</t>
        </is>
      </c>
      <c r="I656" s="4" t="n">
        <v>1.6543</v>
      </c>
      <c r="J656" s="2" t="inlineStr">
        <is>
          <t>MILL-RUN-01</t>
        </is>
      </c>
    </row>
    <row r="657">
      <c r="G657" s="2" t="inlineStr">
        <is>
          <t>2026-01-08</t>
        </is>
      </c>
      <c r="H657" s="2" t="inlineStr">
        <is>
          <t>CORN GLUTEN MEAL</t>
        </is>
      </c>
      <c r="I657" s="4" t="n">
        <v>0.5983999999999999</v>
      </c>
      <c r="J657" s="2" t="inlineStr">
        <is>
          <t>MILL-RUN-01</t>
        </is>
      </c>
    </row>
    <row r="658">
      <c r="G658" s="2" t="inlineStr">
        <is>
          <t>2026-01-09</t>
        </is>
      </c>
      <c r="H658" s="2" t="inlineStr">
        <is>
          <t>CORN GLUTEN MEAL</t>
        </is>
      </c>
      <c r="I658" s="4" t="n">
        <v>0.8014</v>
      </c>
      <c r="J658" s="2" t="inlineStr">
        <is>
          <t>MILL-RUN-01</t>
        </is>
      </c>
    </row>
    <row r="659">
      <c r="G659" s="2" t="inlineStr">
        <is>
          <t>2026-01-10</t>
        </is>
      </c>
      <c r="H659" s="2" t="inlineStr">
        <is>
          <t>CORN GLUTEN MEAL</t>
        </is>
      </c>
      <c r="I659" s="4" t="n">
        <v>0.4399</v>
      </c>
      <c r="J659" s="2" t="inlineStr">
        <is>
          <t>MILL-RUN-01</t>
        </is>
      </c>
    </row>
    <row r="660">
      <c r="G660" s="2" t="inlineStr">
        <is>
          <t>2026-01-12</t>
        </is>
      </c>
      <c r="H660" s="2" t="inlineStr">
        <is>
          <t>CORN GLUTEN MEAL</t>
        </is>
      </c>
      <c r="I660" s="4" t="n">
        <v>1.6294</v>
      </c>
      <c r="J660" s="2" t="inlineStr">
        <is>
          <t>MILL-RUN-01</t>
        </is>
      </c>
    </row>
    <row r="661">
      <c r="G661" s="2" t="inlineStr">
        <is>
          <t>2026-01-13</t>
        </is>
      </c>
      <c r="H661" s="2" t="inlineStr">
        <is>
          <t>CORN GLUTEN MEAL</t>
        </is>
      </c>
      <c r="I661" s="4" t="n">
        <v>1.9633</v>
      </c>
      <c r="J661" s="2" t="inlineStr">
        <is>
          <t>MILL-RUN-01</t>
        </is>
      </c>
    </row>
    <row r="662">
      <c r="G662" s="2" t="inlineStr">
        <is>
          <t>2026-01-15</t>
        </is>
      </c>
      <c r="H662" s="2" t="inlineStr">
        <is>
          <t>CORN GLUTEN MEAL</t>
        </is>
      </c>
      <c r="I662" s="4" t="n">
        <v>1.6298</v>
      </c>
      <c r="J662" s="2" t="inlineStr">
        <is>
          <t>MILL-RUN-01</t>
        </is>
      </c>
    </row>
    <row r="663">
      <c r="G663" s="2" t="inlineStr">
        <is>
          <t>2026-01-16</t>
        </is>
      </c>
      <c r="H663" s="2" t="inlineStr">
        <is>
          <t>CORN GLUTEN MEAL</t>
        </is>
      </c>
      <c r="I663" s="4" t="n">
        <v>1.2824</v>
      </c>
      <c r="J663" s="2" t="inlineStr">
        <is>
          <t>MILL-RUN-01</t>
        </is>
      </c>
    </row>
    <row r="664">
      <c r="G664" s="2" t="inlineStr">
        <is>
          <t>2026-01-17</t>
        </is>
      </c>
      <c r="H664" s="2" t="inlineStr">
        <is>
          <t>CORN GLUTEN MEAL</t>
        </is>
      </c>
      <c r="I664" s="4" t="n">
        <v>0.521</v>
      </c>
      <c r="J664" s="2" t="inlineStr">
        <is>
          <t>MILL-RUN-01</t>
        </is>
      </c>
    </row>
    <row r="665">
      <c r="G665" s="2" t="inlineStr">
        <is>
          <t>2026-01-19</t>
        </is>
      </c>
      <c r="H665" s="2" t="inlineStr">
        <is>
          <t>CORN GLUTEN MEAL</t>
        </is>
      </c>
      <c r="I665" s="4" t="n">
        <v>1.6401</v>
      </c>
      <c r="J665" s="2" t="inlineStr">
        <is>
          <t>MILL-RUN-01</t>
        </is>
      </c>
    </row>
    <row r="666">
      <c r="G666" s="2" t="inlineStr">
        <is>
          <t>2026-01-20</t>
        </is>
      </c>
      <c r="H666" s="2" t="inlineStr">
        <is>
          <t>CORN GLUTEN MEAL</t>
        </is>
      </c>
      <c r="I666" s="4" t="n">
        <v>1.25</v>
      </c>
      <c r="J666" s="2" t="inlineStr">
        <is>
          <t>MILL-RUN-01</t>
        </is>
      </c>
    </row>
    <row r="667">
      <c r="G667" s="2" t="inlineStr">
        <is>
          <t>2026-01-21</t>
        </is>
      </c>
      <c r="H667" s="2" t="inlineStr">
        <is>
          <t>CORN GLUTEN MEAL</t>
        </is>
      </c>
      <c r="I667" s="4" t="n">
        <v>0.7115</v>
      </c>
      <c r="J667" s="2" t="inlineStr">
        <is>
          <t>MILL-RUN-01</t>
        </is>
      </c>
    </row>
    <row r="668">
      <c r="G668" s="2" t="inlineStr">
        <is>
          <t>2026-01-22</t>
        </is>
      </c>
      <c r="H668" s="2" t="inlineStr">
        <is>
          <t>CORN GLUTEN MEAL</t>
        </is>
      </c>
      <c r="I668" s="4" t="n">
        <v>0.7965</v>
      </c>
      <c r="J668" s="2" t="inlineStr">
        <is>
          <t>MILL-RUN-01</t>
        </is>
      </c>
    </row>
    <row r="669">
      <c r="G669" s="2" t="inlineStr">
        <is>
          <t>2026-01-23</t>
        </is>
      </c>
      <c r="H669" s="2" t="inlineStr">
        <is>
          <t>CORN GLUTEN MEAL</t>
        </is>
      </c>
      <c r="I669" s="4" t="n">
        <v>1.4839</v>
      </c>
      <c r="J669" s="2" t="inlineStr">
        <is>
          <t>MILL-RUN-01</t>
        </is>
      </c>
    </row>
    <row r="670">
      <c r="G670" s="2" t="inlineStr">
        <is>
          <t>2026-01-24</t>
        </is>
      </c>
      <c r="H670" s="2" t="inlineStr">
        <is>
          <t>CORN GLUTEN MEAL</t>
        </is>
      </c>
      <c r="I670" s="4" t="n">
        <v>0.5189</v>
      </c>
      <c r="J670" s="2" t="inlineStr">
        <is>
          <t>MILL-RUN-01</t>
        </is>
      </c>
    </row>
    <row r="671">
      <c r="G671" s="2" t="inlineStr">
        <is>
          <t>2026-01-26</t>
        </is>
      </c>
      <c r="H671" s="2" t="inlineStr">
        <is>
          <t>CORN GLUTEN MEAL</t>
        </is>
      </c>
      <c r="I671" s="4" t="n">
        <v>0.8028</v>
      </c>
      <c r="J671" s="2" t="inlineStr">
        <is>
          <t>MILL-RUN-01</t>
        </is>
      </c>
    </row>
    <row r="672">
      <c r="G672" s="2" t="inlineStr">
        <is>
          <t>2026-01-27</t>
        </is>
      </c>
      <c r="H672" s="2" t="inlineStr">
        <is>
          <t>CORN GLUTEN MEAL</t>
        </is>
      </c>
      <c r="I672" s="4" t="n">
        <v>1.8994</v>
      </c>
      <c r="J672" s="2" t="inlineStr">
        <is>
          <t>MILL-RUN-01</t>
        </is>
      </c>
    </row>
    <row r="673">
      <c r="G673" s="2" t="inlineStr">
        <is>
          <t>2026-01-28</t>
        </is>
      </c>
      <c r="H673" s="2" t="inlineStr">
        <is>
          <t>CORN GLUTEN MEAL</t>
        </is>
      </c>
      <c r="I673" s="4" t="n">
        <v>0.6805</v>
      </c>
      <c r="J673" s="2" t="inlineStr">
        <is>
          <t>MILL-RUN-01</t>
        </is>
      </c>
    </row>
    <row r="674">
      <c r="G674" s="2" t="inlineStr">
        <is>
          <t>2026-01-30</t>
        </is>
      </c>
      <c r="H674" s="2" t="inlineStr">
        <is>
          <t>CORN GLUTEN MEAL</t>
        </is>
      </c>
      <c r="I674" s="4" t="n">
        <v>0.4009</v>
      </c>
      <c r="J674" s="2" t="inlineStr">
        <is>
          <t>MILL-RUN-01</t>
        </is>
      </c>
    </row>
    <row r="675">
      <c r="G675" s="2" t="inlineStr">
        <is>
          <t>2026-01-31</t>
        </is>
      </c>
      <c r="H675" s="2" t="inlineStr">
        <is>
          <t>CORN GLUTEN MEAL</t>
        </is>
      </c>
      <c r="I675" s="4" t="n">
        <v>1.5515</v>
      </c>
      <c r="J675" s="2" t="inlineStr">
        <is>
          <t>MILL-RUN-01</t>
        </is>
      </c>
    </row>
    <row r="676">
      <c r="G676" s="2" t="inlineStr">
        <is>
          <t>2026-02-03</t>
        </is>
      </c>
      <c r="H676" s="2" t="inlineStr">
        <is>
          <t>CORN GLUTEN MEAL</t>
        </is>
      </c>
      <c r="I676" s="4" t="n">
        <v>0.9197000000000001</v>
      </c>
      <c r="J676" s="2" t="inlineStr">
        <is>
          <t>MILL-RUN-01</t>
        </is>
      </c>
    </row>
    <row r="677">
      <c r="G677" s="2" t="inlineStr">
        <is>
          <t>2026-02-05</t>
        </is>
      </c>
      <c r="H677" s="2" t="inlineStr">
        <is>
          <t>CORN GLUTEN MEAL</t>
        </is>
      </c>
      <c r="I677" s="4" t="n">
        <v>1.5606</v>
      </c>
      <c r="J677" s="2" t="inlineStr">
        <is>
          <t>MILL-RUN-01</t>
        </is>
      </c>
    </row>
    <row r="678">
      <c r="G678" s="2" t="inlineStr">
        <is>
          <t>2026-02-06</t>
        </is>
      </c>
      <c r="H678" s="2" t="inlineStr">
        <is>
          <t>CORN GLUTEN MEAL</t>
        </is>
      </c>
      <c r="I678" s="4" t="n">
        <v>2.9416</v>
      </c>
      <c r="J678" s="2" t="inlineStr">
        <is>
          <t>MILL-RUN-01</t>
        </is>
      </c>
    </row>
    <row r="679">
      <c r="G679" s="2" t="inlineStr">
        <is>
          <t>2026-02-07</t>
        </is>
      </c>
      <c r="H679" s="2" t="inlineStr">
        <is>
          <t>CORN GLUTEN MEAL</t>
        </is>
      </c>
      <c r="I679" s="4" t="n">
        <v>1.6798</v>
      </c>
      <c r="J679" s="2" t="inlineStr">
        <is>
          <t>MILL-RUN-01</t>
        </is>
      </c>
    </row>
    <row r="680">
      <c r="G680" s="2" t="inlineStr">
        <is>
          <t>2026-02-09</t>
        </is>
      </c>
      <c r="H680" s="2" t="inlineStr">
        <is>
          <t>CORN GLUTEN MEAL</t>
        </is>
      </c>
      <c r="I680" s="4" t="n">
        <v>2.4014</v>
      </c>
      <c r="J680" s="2" t="inlineStr">
        <is>
          <t>MILL-RUN-01</t>
        </is>
      </c>
    </row>
    <row r="681">
      <c r="G681" s="2" t="inlineStr">
        <is>
          <t>2026-02-10</t>
        </is>
      </c>
      <c r="H681" s="2" t="inlineStr">
        <is>
          <t>CORN GLUTEN MEAL</t>
        </is>
      </c>
      <c r="I681" s="4" t="n">
        <v>1.0005</v>
      </c>
      <c r="J681" s="2" t="inlineStr">
        <is>
          <t>MILL-RUN-01</t>
        </is>
      </c>
    </row>
    <row r="682">
      <c r="G682" s="2" t="inlineStr">
        <is>
          <t>2026-02-11</t>
        </is>
      </c>
      <c r="H682" s="2" t="inlineStr">
        <is>
          <t>CORN GLUTEN MEAL</t>
        </is>
      </c>
      <c r="I682" s="4" t="n">
        <v>3.3575</v>
      </c>
      <c r="J682" s="2" t="inlineStr">
        <is>
          <t>MILL-RUN-01</t>
        </is>
      </c>
    </row>
    <row r="683">
      <c r="G683" s="2" t="inlineStr">
        <is>
          <t>2026-02-12</t>
        </is>
      </c>
      <c r="H683" s="2" t="inlineStr">
        <is>
          <t>CORN GLUTEN MEAL</t>
        </is>
      </c>
      <c r="I683" s="4" t="n">
        <v>4.6238</v>
      </c>
      <c r="J683" s="2" t="inlineStr">
        <is>
          <t>MILL-RUN-01</t>
        </is>
      </c>
    </row>
    <row r="684">
      <c r="G684" s="2" t="inlineStr">
        <is>
          <t>2026-02-13</t>
        </is>
      </c>
      <c r="H684" s="2" t="inlineStr">
        <is>
          <t>CORN GLUTEN MEAL</t>
        </is>
      </c>
      <c r="I684" s="4" t="n">
        <v>2.2424</v>
      </c>
      <c r="J684" s="2" t="inlineStr">
        <is>
          <t>MILL-RUN-01</t>
        </is>
      </c>
    </row>
    <row r="685">
      <c r="G685" s="2" t="inlineStr">
        <is>
          <t>2026-02-19</t>
        </is>
      </c>
      <c r="H685" s="2" t="inlineStr">
        <is>
          <t>CORN GLUTEN MEAL</t>
        </is>
      </c>
      <c r="I685" s="4" t="n">
        <v>4.3567</v>
      </c>
      <c r="J685" s="2" t="inlineStr">
        <is>
          <t>MILL-RUN-01</t>
        </is>
      </c>
    </row>
    <row r="686">
      <c r="G686" s="2" t="inlineStr">
        <is>
          <t>2026-02-20</t>
        </is>
      </c>
      <c r="H686" s="2" t="inlineStr">
        <is>
          <t>CORN GLUTEN MEAL</t>
        </is>
      </c>
      <c r="I686" s="4" t="n">
        <v>3.5994</v>
      </c>
      <c r="J686" s="2" t="inlineStr">
        <is>
          <t>MILL-RUN-01</t>
        </is>
      </c>
    </row>
    <row r="687">
      <c r="G687" s="2" t="inlineStr">
        <is>
          <t>2026-02-21</t>
        </is>
      </c>
      <c r="H687" s="2" t="inlineStr">
        <is>
          <t>CORN GLUTEN MEAL</t>
        </is>
      </c>
      <c r="I687" s="4" t="n">
        <v>2.1023</v>
      </c>
      <c r="J687" s="2" t="inlineStr">
        <is>
          <t>MILL-RUN-01</t>
        </is>
      </c>
    </row>
    <row r="688">
      <c r="G688" s="2" t="inlineStr">
        <is>
          <t>2026-02-23</t>
        </is>
      </c>
      <c r="H688" s="2" t="inlineStr">
        <is>
          <t>CORN GLUTEN MEAL</t>
        </is>
      </c>
      <c r="I688" s="4" t="n">
        <v>0.5171</v>
      </c>
      <c r="J688" s="2" t="inlineStr">
        <is>
          <t>MILL-RUN-01</t>
        </is>
      </c>
    </row>
    <row r="689">
      <c r="G689" s="2" t="inlineStr">
        <is>
          <t>2026-02-24</t>
        </is>
      </c>
      <c r="H689" s="2" t="inlineStr">
        <is>
          <t>CORN GLUTEN MEAL</t>
        </is>
      </c>
      <c r="I689" s="4" t="n">
        <v>3.4239</v>
      </c>
      <c r="J689" s="2" t="inlineStr">
        <is>
          <t>MILL-RUN-01</t>
        </is>
      </c>
    </row>
    <row r="690">
      <c r="G690" s="2" t="inlineStr">
        <is>
          <t>2026-02-25</t>
        </is>
      </c>
      <c r="H690" s="2" t="inlineStr">
        <is>
          <t>CORN GLUTEN MEAL</t>
        </is>
      </c>
      <c r="I690" s="4" t="n">
        <v>0.7532000000000001</v>
      </c>
      <c r="J690" s="2" t="inlineStr">
        <is>
          <t>MILL-RUN-01</t>
        </is>
      </c>
    </row>
    <row r="691">
      <c r="G691" s="2" t="inlineStr">
        <is>
          <t>2026-02-26</t>
        </is>
      </c>
      <c r="H691" s="2" t="inlineStr">
        <is>
          <t>CORN GLUTEN MEAL</t>
        </is>
      </c>
      <c r="I691" s="4" t="n">
        <v>1.0924</v>
      </c>
      <c r="J691" s="2" t="inlineStr">
        <is>
          <t>MILL-RUN-01</t>
        </is>
      </c>
    </row>
    <row r="692">
      <c r="G692" s="2" t="inlineStr">
        <is>
          <t>2026-03-02</t>
        </is>
      </c>
      <c r="H692" s="2" t="inlineStr">
        <is>
          <t>CORN GLUTEN MEAL</t>
        </is>
      </c>
      <c r="I692" s="4" t="n">
        <v>3.5428</v>
      </c>
      <c r="J692" s="2" t="inlineStr">
        <is>
          <t>MILL-RUN-01</t>
        </is>
      </c>
    </row>
    <row r="693">
      <c r="G693" s="2" t="inlineStr">
        <is>
          <t>2026-03-03</t>
        </is>
      </c>
      <c r="H693" s="2" t="inlineStr">
        <is>
          <t>CORN GLUTEN MEAL</t>
        </is>
      </c>
      <c r="I693" s="4" t="n">
        <v>5.0766</v>
      </c>
      <c r="J693" s="2" t="inlineStr">
        <is>
          <t>MILL-RUN-01</t>
        </is>
      </c>
    </row>
    <row r="694">
      <c r="G694" s="2" t="inlineStr">
        <is>
          <t>2026-03-04</t>
        </is>
      </c>
      <c r="H694" s="2" t="inlineStr">
        <is>
          <t>CORN GLUTEN MEAL</t>
        </is>
      </c>
      <c r="I694" s="4" t="n">
        <v>3.6925</v>
      </c>
      <c r="J694" s="2" t="inlineStr">
        <is>
          <t>MILL-RUN-01</t>
        </is>
      </c>
    </row>
    <row r="695">
      <c r="G695" s="2" t="inlineStr">
        <is>
          <t>2026-03-06</t>
        </is>
      </c>
      <c r="H695" s="2" t="inlineStr">
        <is>
          <t>CORN GLUTEN MEAL</t>
        </is>
      </c>
      <c r="I695" s="4" t="n">
        <v>2.9409</v>
      </c>
      <c r="J695" s="2" t="inlineStr">
        <is>
          <t>MILL-RUN-01</t>
        </is>
      </c>
    </row>
    <row r="696">
      <c r="G696" s="2" t="inlineStr">
        <is>
          <t>2026-03-07</t>
        </is>
      </c>
      <c r="H696" s="2" t="inlineStr">
        <is>
          <t>CORN GLUTEN MEAL</t>
        </is>
      </c>
      <c r="I696" s="4" t="n">
        <v>1.6394</v>
      </c>
      <c r="J696" s="2" t="inlineStr">
        <is>
          <t>MILL-RUN-01</t>
        </is>
      </c>
    </row>
    <row r="697">
      <c r="G697" s="2" t="inlineStr">
        <is>
          <t>2026-03-09</t>
        </is>
      </c>
      <c r="H697" s="2" t="inlineStr">
        <is>
          <t>CORN GLUTEN MEAL</t>
        </is>
      </c>
      <c r="I697" s="4" t="n">
        <v>5.240699999999999</v>
      </c>
      <c r="J697" s="2" t="inlineStr">
        <is>
          <t>MILL-RUN-01</t>
        </is>
      </c>
    </row>
    <row r="698">
      <c r="G698" s="2" t="inlineStr">
        <is>
          <t>2026-03-10</t>
        </is>
      </c>
      <c r="H698" s="2" t="inlineStr">
        <is>
          <t>CORN GLUTEN MEAL</t>
        </is>
      </c>
      <c r="I698" s="4" t="n">
        <v>0.4978</v>
      </c>
      <c r="J698" s="2" t="inlineStr">
        <is>
          <t>MILL-RUN-01</t>
        </is>
      </c>
    </row>
    <row r="699">
      <c r="G699" s="2" t="inlineStr">
        <is>
          <t>2026-03-14</t>
        </is>
      </c>
      <c r="H699" s="2" t="inlineStr">
        <is>
          <t>CORN GLUTEN MEAL</t>
        </is>
      </c>
      <c r="I699" s="4" t="n">
        <v>2.5857</v>
      </c>
      <c r="J699" s="2" t="inlineStr">
        <is>
          <t>MILL-RUN-01</t>
        </is>
      </c>
    </row>
    <row r="700">
      <c r="G700" s="2" t="inlineStr">
        <is>
          <t>2026-03-16</t>
        </is>
      </c>
      <c r="H700" s="2" t="inlineStr">
        <is>
          <t>CORN GLUTEN MEAL</t>
        </is>
      </c>
      <c r="I700" s="4" t="n">
        <v>6.458699999999999</v>
      </c>
      <c r="J700" s="2" t="inlineStr">
        <is>
          <t>MILL-RUN-01</t>
        </is>
      </c>
    </row>
    <row r="701">
      <c r="G701" s="2" t="inlineStr">
        <is>
          <t>2026-03-17</t>
        </is>
      </c>
      <c r="H701" s="2" t="inlineStr">
        <is>
          <t>CORN GLUTEN MEAL</t>
        </is>
      </c>
      <c r="I701" s="4" t="n">
        <v>1.1779</v>
      </c>
      <c r="J701" s="2" t="inlineStr">
        <is>
          <t>MILL-RUN-01</t>
        </is>
      </c>
    </row>
    <row r="702">
      <c r="G702" s="2" t="inlineStr">
        <is>
          <t>2026-03-18</t>
        </is>
      </c>
      <c r="H702" s="2" t="inlineStr">
        <is>
          <t>CORN GLUTEN MEAL</t>
        </is>
      </c>
      <c r="I702" s="4" t="n">
        <v>3.8017</v>
      </c>
      <c r="J702" s="2" t="inlineStr">
        <is>
          <t>MILL-RUN-01</t>
        </is>
      </c>
    </row>
    <row r="703">
      <c r="G703" s="2" t="inlineStr">
        <is>
          <t>2026-03-19</t>
        </is>
      </c>
      <c r="H703" s="2" t="inlineStr">
        <is>
          <t>CORN GLUTEN MEAL</t>
        </is>
      </c>
      <c r="I703" s="4" t="n">
        <v>0.8386</v>
      </c>
      <c r="J703" s="2" t="inlineStr">
        <is>
          <t>MILL-RUN-01</t>
        </is>
      </c>
    </row>
    <row r="704">
      <c r="G704" s="2" t="inlineStr">
        <is>
          <t>2026-03-24</t>
        </is>
      </c>
      <c r="H704" s="2" t="inlineStr">
        <is>
          <t>CORN GLUTEN MEAL</t>
        </is>
      </c>
      <c r="I704" s="4" t="n">
        <v>1.6826</v>
      </c>
      <c r="J704" s="2" t="inlineStr">
        <is>
          <t>MILL-RUN-01</t>
        </is>
      </c>
    </row>
    <row r="705">
      <c r="G705" s="2" t="inlineStr">
        <is>
          <t>2026-03-25</t>
        </is>
      </c>
      <c r="H705" s="2" t="inlineStr">
        <is>
          <t>CORN GLUTEN MEAL</t>
        </is>
      </c>
      <c r="I705" s="4" t="n">
        <v>3.4508</v>
      </c>
      <c r="J705" s="2" t="inlineStr">
        <is>
          <t>MILL-RUN-01</t>
        </is>
      </c>
    </row>
    <row r="706">
      <c r="G706" s="2" t="inlineStr">
        <is>
          <t>2026-03-26</t>
        </is>
      </c>
      <c r="H706" s="2" t="inlineStr">
        <is>
          <t>CORN GLUTEN MEAL</t>
        </is>
      </c>
      <c r="I706" s="4" t="n">
        <v>1.1215</v>
      </c>
      <c r="J706" s="2" t="inlineStr">
        <is>
          <t>MILL-RUN-01</t>
        </is>
      </c>
    </row>
    <row r="707">
      <c r="G707" s="2" t="inlineStr">
        <is>
          <t>2026-03-27</t>
        </is>
      </c>
      <c r="H707" s="2" t="inlineStr">
        <is>
          <t>CORN GLUTEN MEAL</t>
        </is>
      </c>
      <c r="I707" s="4" t="n">
        <v>3.5718</v>
      </c>
      <c r="J707" s="2" t="inlineStr">
        <is>
          <t>MILL-RUN-01</t>
        </is>
      </c>
    </row>
    <row r="708">
      <c r="G708" s="2" t="inlineStr">
        <is>
          <t>2026-03-28</t>
        </is>
      </c>
      <c r="H708" s="2" t="inlineStr">
        <is>
          <t>CORN GLUTEN MEAL</t>
        </is>
      </c>
      <c r="I708" s="4" t="n">
        <v>2.3516</v>
      </c>
      <c r="J708" s="2" t="inlineStr">
        <is>
          <t>MILL-RUN-01</t>
        </is>
      </c>
    </row>
    <row r="709">
      <c r="G709" s="2" t="inlineStr">
        <is>
          <t>2026-03-30</t>
        </is>
      </c>
      <c r="H709" s="2" t="inlineStr">
        <is>
          <t>CORN GLUTEN MEAL</t>
        </is>
      </c>
      <c r="I709" s="4" t="n">
        <v>0.948</v>
      </c>
      <c r="J709" s="2" t="inlineStr">
        <is>
          <t>MILL-RUN-01</t>
        </is>
      </c>
    </row>
    <row r="710">
      <c r="G710" s="2" t="inlineStr">
        <is>
          <t>2026-03-31</t>
        </is>
      </c>
      <c r="H710" s="2" t="inlineStr">
        <is>
          <t>CORN GLUTEN MEAL</t>
        </is>
      </c>
      <c r="I710" s="4" t="n">
        <v>1.2519</v>
      </c>
      <c r="J710" s="2" t="inlineStr">
        <is>
          <t>MILL-RUN-01</t>
        </is>
      </c>
    </row>
    <row r="711">
      <c r="G711" s="2" t="inlineStr">
        <is>
          <t>2026-04-01</t>
        </is>
      </c>
      <c r="H711" s="2" t="inlineStr">
        <is>
          <t>CORN GLUTEN MEAL</t>
        </is>
      </c>
      <c r="I711" s="4" t="n">
        <v>0.5574</v>
      </c>
      <c r="J711" s="2" t="inlineStr">
        <is>
          <t>MILL-RUN-01</t>
        </is>
      </c>
    </row>
    <row r="712">
      <c r="G712" s="2" t="inlineStr">
        <is>
          <t>2026-04-03</t>
        </is>
      </c>
      <c r="H712" s="2" t="inlineStr">
        <is>
          <t>CORN GLUTEN MEAL</t>
        </is>
      </c>
      <c r="I712" s="4" t="n">
        <v>2.1046</v>
      </c>
      <c r="J712" s="2" t="inlineStr">
        <is>
          <t>MILL-RUN-01</t>
        </is>
      </c>
    </row>
    <row r="713">
      <c r="G713" s="2" t="inlineStr">
        <is>
          <t>2026-04-06</t>
        </is>
      </c>
      <c r="H713" s="2" t="inlineStr">
        <is>
          <t>CORN GLUTEN MEAL</t>
        </is>
      </c>
      <c r="I713" s="4" t="n">
        <v>3.5128</v>
      </c>
      <c r="J713" s="2" t="inlineStr">
        <is>
          <t>MILL-RUN-01</t>
        </is>
      </c>
    </row>
    <row r="714">
      <c r="G714" s="2" t="inlineStr">
        <is>
          <t>2026-04-07</t>
        </is>
      </c>
      <c r="H714" s="2" t="inlineStr">
        <is>
          <t>CORN GLUTEN MEAL</t>
        </is>
      </c>
      <c r="I714" s="4" t="n">
        <v>0.5394</v>
      </c>
      <c r="J714" s="2" t="inlineStr">
        <is>
          <t>MILL-RUN-01</t>
        </is>
      </c>
    </row>
    <row r="715">
      <c r="G715" s="2" t="inlineStr">
        <is>
          <t>2026-04-08</t>
        </is>
      </c>
      <c r="H715" s="2" t="inlineStr">
        <is>
          <t>CORN GLUTEN MEAL</t>
        </is>
      </c>
      <c r="I715" s="4" t="n">
        <v>2.9399</v>
      </c>
      <c r="J715" s="2" t="inlineStr">
        <is>
          <t>MILL-RUN-01</t>
        </is>
      </c>
    </row>
    <row r="716">
      <c r="G716" s="2" t="inlineStr">
        <is>
          <t>2026-04-09</t>
        </is>
      </c>
      <c r="H716" s="2" t="inlineStr">
        <is>
          <t>CORN GLUTEN MEAL</t>
        </is>
      </c>
      <c r="I716" s="4" t="n">
        <v>1.2614</v>
      </c>
      <c r="J716" s="2" t="inlineStr">
        <is>
          <t>MILL-RUN-01</t>
        </is>
      </c>
    </row>
    <row r="717">
      <c r="G717" s="2" t="inlineStr">
        <is>
          <t>2026-04-10</t>
        </is>
      </c>
      <c r="H717" s="2" t="inlineStr">
        <is>
          <t>CORN GLUTEN MEAL</t>
        </is>
      </c>
      <c r="I717" s="4" t="n">
        <v>1.1718</v>
      </c>
      <c r="J717" s="2" t="inlineStr">
        <is>
          <t>MILL-RUN-01</t>
        </is>
      </c>
    </row>
    <row r="718">
      <c r="G718" s="2" t="inlineStr">
        <is>
          <t>2026-04-11</t>
        </is>
      </c>
      <c r="H718" s="2" t="inlineStr">
        <is>
          <t>CORN GLUTEN MEAL</t>
        </is>
      </c>
      <c r="I718" s="4" t="n">
        <v>2.0893</v>
      </c>
      <c r="J718" s="2" t="inlineStr">
        <is>
          <t>MILL-RUN-01</t>
        </is>
      </c>
    </row>
    <row r="719">
      <c r="G719" s="2" t="inlineStr">
        <is>
          <t>2026-04-13</t>
        </is>
      </c>
      <c r="H719" s="2" t="inlineStr">
        <is>
          <t>CORN GLUTEN MEAL</t>
        </is>
      </c>
      <c r="I719" s="4" t="n">
        <v>1.2604</v>
      </c>
      <c r="J719" s="2" t="inlineStr">
        <is>
          <t>MILL-RUN-01</t>
        </is>
      </c>
    </row>
    <row r="720">
      <c r="G720" s="2" t="inlineStr">
        <is>
          <t>2026-04-14</t>
        </is>
      </c>
      <c r="H720" s="2" t="inlineStr">
        <is>
          <t>CORN GLUTEN MEAL</t>
        </is>
      </c>
      <c r="I720" s="4" t="n">
        <v>5.2199</v>
      </c>
      <c r="J720" s="2" t="inlineStr">
        <is>
          <t>MILL-RUN-01</t>
        </is>
      </c>
    </row>
    <row r="721">
      <c r="G721" s="2" t="inlineStr">
        <is>
          <t>2026-04-15</t>
        </is>
      </c>
      <c r="H721" s="2" t="inlineStr">
        <is>
          <t>CORN GLUTEN MEAL</t>
        </is>
      </c>
      <c r="I721" s="4" t="n">
        <v>1.7092</v>
      </c>
      <c r="J721" s="2" t="inlineStr">
        <is>
          <t>MILL-RUN-01</t>
        </is>
      </c>
    </row>
    <row r="722">
      <c r="G722" s="2" t="inlineStr">
        <is>
          <t>2026-04-16</t>
        </is>
      </c>
      <c r="H722" s="2" t="inlineStr">
        <is>
          <t>CORN GLUTEN MEAL</t>
        </is>
      </c>
      <c r="I722" s="4" t="n">
        <v>2.521</v>
      </c>
      <c r="J722" s="2" t="inlineStr">
        <is>
          <t>MILL-RUN-01</t>
        </is>
      </c>
    </row>
    <row r="723">
      <c r="G723" s="2" t="inlineStr">
        <is>
          <t>2026-04-17</t>
        </is>
      </c>
      <c r="H723" s="2" t="inlineStr">
        <is>
          <t>CORN GLUTEN MEAL</t>
        </is>
      </c>
      <c r="I723" s="4" t="n">
        <v>1.9929</v>
      </c>
      <c r="J723" s="2" t="inlineStr">
        <is>
          <t>MILL-RUN-01</t>
        </is>
      </c>
    </row>
    <row r="724">
      <c r="G724" s="2" t="inlineStr">
        <is>
          <t>2026-04-18</t>
        </is>
      </c>
      <c r="H724" s="2" t="inlineStr">
        <is>
          <t>CORN GLUTEN MEAL</t>
        </is>
      </c>
      <c r="I724" s="4" t="n">
        <v>2.5178</v>
      </c>
      <c r="J724" s="2" t="inlineStr">
        <is>
          <t>MILL-RUN-01</t>
        </is>
      </c>
    </row>
    <row r="725">
      <c r="G725" s="2" t="inlineStr">
        <is>
          <t>2026-04-20</t>
        </is>
      </c>
      <c r="H725" s="2" t="inlineStr">
        <is>
          <t>CORN GLUTEN MEAL</t>
        </is>
      </c>
      <c r="I725" s="4" t="n">
        <v>2.8228</v>
      </c>
      <c r="J725" s="2" t="inlineStr">
        <is>
          <t>MILL-RUN-01</t>
        </is>
      </c>
    </row>
    <row r="726">
      <c r="G726" s="2" t="inlineStr">
        <is>
          <t>2026-04-21</t>
        </is>
      </c>
      <c r="H726" s="2" t="inlineStr">
        <is>
          <t>CORN GLUTEN MEAL</t>
        </is>
      </c>
      <c r="I726" s="4" t="n">
        <v>2.7608</v>
      </c>
      <c r="J726" s="2" t="inlineStr">
        <is>
          <t>MILL-RUN-01</t>
        </is>
      </c>
    </row>
    <row r="727">
      <c r="G727" s="2" t="inlineStr">
        <is>
          <t>2026-04-23</t>
        </is>
      </c>
      <c r="H727" s="2" t="inlineStr">
        <is>
          <t>CORN GLUTEN MEAL</t>
        </is>
      </c>
      <c r="I727" s="4" t="n">
        <v>3.3298</v>
      </c>
      <c r="J727" s="2" t="inlineStr">
        <is>
          <t>MILL-RUN-01</t>
        </is>
      </c>
    </row>
    <row r="728">
      <c r="G728" s="2" t="inlineStr">
        <is>
          <t>2026-04-24</t>
        </is>
      </c>
      <c r="H728" s="2" t="inlineStr">
        <is>
          <t>CORN GLUTEN MEAL</t>
        </is>
      </c>
      <c r="I728" s="4" t="n">
        <v>1.4485</v>
      </c>
      <c r="J728" s="2" t="inlineStr">
        <is>
          <t>MILL-RUN-01</t>
        </is>
      </c>
    </row>
    <row r="729">
      <c r="G729" s="2" t="inlineStr">
        <is>
          <t>2026-04-25</t>
        </is>
      </c>
      <c r="H729" s="2" t="inlineStr">
        <is>
          <t>CORN GLUTEN MEAL</t>
        </is>
      </c>
      <c r="I729" s="4" t="n">
        <v>3.9309</v>
      </c>
      <c r="J729" s="2" t="inlineStr">
        <is>
          <t>MILL-RUN-01</t>
        </is>
      </c>
    </row>
    <row r="730">
      <c r="G730" s="2" t="inlineStr">
        <is>
          <t>2026-04-27</t>
        </is>
      </c>
      <c r="H730" s="2" t="inlineStr">
        <is>
          <t>CORN GLUTEN MEAL</t>
        </is>
      </c>
      <c r="I730" s="4" t="n">
        <v>3.549</v>
      </c>
      <c r="J730" s="2" t="inlineStr">
        <is>
          <t>MILL-RUN-01</t>
        </is>
      </c>
    </row>
    <row r="731">
      <c r="G731" s="2" t="inlineStr">
        <is>
          <t>2026-04-28</t>
        </is>
      </c>
      <c r="H731" s="2" t="inlineStr">
        <is>
          <t>CORN GLUTEN MEAL</t>
        </is>
      </c>
      <c r="I731" s="4" t="n">
        <v>1.7402</v>
      </c>
      <c r="J731" s="2" t="inlineStr">
        <is>
          <t>MILL-RUN-01</t>
        </is>
      </c>
    </row>
    <row r="732">
      <c r="G732" s="2" t="inlineStr">
        <is>
          <t>2026-04-30</t>
        </is>
      </c>
      <c r="H732" s="2" t="inlineStr">
        <is>
          <t>CORN GLUTEN MEAL</t>
        </is>
      </c>
      <c r="I732" s="4" t="n">
        <v>0.3004</v>
      </c>
      <c r="J732" s="2" t="inlineStr">
        <is>
          <t>MILL-RUN-01</t>
        </is>
      </c>
    </row>
    <row r="733">
      <c r="G733" s="2" t="inlineStr">
        <is>
          <t>2026-05-02</t>
        </is>
      </c>
      <c r="H733" s="2" t="inlineStr">
        <is>
          <t>CORN GLUTEN MEAL</t>
        </is>
      </c>
      <c r="I733" s="4" t="n">
        <v>1.5613</v>
      </c>
      <c r="J733" s="2" t="inlineStr">
        <is>
          <t>MILL-RUN-01</t>
        </is>
      </c>
    </row>
    <row r="734">
      <c r="G734" s="2" t="inlineStr">
        <is>
          <t>2026-05-04</t>
        </is>
      </c>
      <c r="H734" s="2" t="inlineStr">
        <is>
          <t>CORN GLUTEN MEAL</t>
        </is>
      </c>
      <c r="I734" s="4" t="n">
        <v>3.5001</v>
      </c>
      <c r="J734" s="2" t="inlineStr">
        <is>
          <t>MILL-RUN-01</t>
        </is>
      </c>
    </row>
    <row r="735">
      <c r="G735" s="2" t="inlineStr">
        <is>
          <t>2026-05-06</t>
        </is>
      </c>
      <c r="H735" s="2" t="inlineStr">
        <is>
          <t>CORN GLUTEN MEAL</t>
        </is>
      </c>
      <c r="I735" s="4" t="n">
        <v>0.7411</v>
      </c>
      <c r="J735" s="2" t="inlineStr">
        <is>
          <t>MILL-RUN-01</t>
        </is>
      </c>
    </row>
    <row r="736">
      <c r="G736" s="2" t="inlineStr">
        <is>
          <t>2026-05-07</t>
        </is>
      </c>
      <c r="H736" s="2" t="inlineStr">
        <is>
          <t>CORN GLUTEN MEAL</t>
        </is>
      </c>
      <c r="I736" s="4" t="n">
        <v>1.6003</v>
      </c>
      <c r="J736" s="2" t="inlineStr">
        <is>
          <t>MILL-RUN-01</t>
        </is>
      </c>
    </row>
    <row r="737">
      <c r="G737" s="2" t="inlineStr">
        <is>
          <t>2026-05-08</t>
        </is>
      </c>
      <c r="H737" s="2" t="inlineStr">
        <is>
          <t>CORN GLUTEN MEAL</t>
        </is>
      </c>
      <c r="I737" s="4" t="n">
        <v>1.4066</v>
      </c>
      <c r="J737" s="2" t="inlineStr">
        <is>
          <t>MILL-RUN-01</t>
        </is>
      </c>
    </row>
    <row r="738">
      <c r="G738" s="2" t="inlineStr">
        <is>
          <t>2026-05-09</t>
        </is>
      </c>
      <c r="H738" s="2" t="inlineStr">
        <is>
          <t>CORN GLUTEN MEAL</t>
        </is>
      </c>
      <c r="I738" s="4" t="n">
        <v>0.1505</v>
      </c>
      <c r="J738" s="2" t="inlineStr">
        <is>
          <t>MILL-RUN-01</t>
        </is>
      </c>
    </row>
    <row r="739">
      <c r="G739" s="2" t="inlineStr">
        <is>
          <t>2026-05-11</t>
        </is>
      </c>
      <c r="H739" s="2" t="inlineStr">
        <is>
          <t>CORN GLUTEN MEAL</t>
        </is>
      </c>
      <c r="I739" s="4" t="n">
        <v>1.364</v>
      </c>
      <c r="J739" s="2" t="inlineStr">
        <is>
          <t>MILL-RUN-01</t>
        </is>
      </c>
    </row>
    <row r="740">
      <c r="G740" s="2" t="inlineStr">
        <is>
          <t>2026-05-12</t>
        </is>
      </c>
      <c r="H740" s="2" t="inlineStr">
        <is>
          <t>CORN GLUTEN MEAL</t>
        </is>
      </c>
      <c r="I740" s="4" t="n">
        <v>2.2516</v>
      </c>
      <c r="J740" s="2" t="inlineStr">
        <is>
          <t>MILL-RUN-01</t>
        </is>
      </c>
    </row>
    <row r="741">
      <c r="G741" s="2" t="inlineStr">
        <is>
          <t>2026-05-13</t>
        </is>
      </c>
      <c r="H741" s="2" t="inlineStr">
        <is>
          <t>CORN GLUTEN MEAL</t>
        </is>
      </c>
      <c r="I741" s="4" t="n">
        <v>1.8099</v>
      </c>
      <c r="J741" s="2" t="inlineStr">
        <is>
          <t>MILL-RUN-01</t>
        </is>
      </c>
    </row>
    <row r="742">
      <c r="G742" s="2" t="inlineStr">
        <is>
          <t>2026-05-15</t>
        </is>
      </c>
      <c r="H742" s="2" t="inlineStr">
        <is>
          <t>CORN GLUTEN MEAL</t>
        </is>
      </c>
      <c r="I742" s="4" t="n">
        <v>0.9997999999999999</v>
      </c>
      <c r="J742" s="2" t="inlineStr">
        <is>
          <t>MILL-RUN-01</t>
        </is>
      </c>
    </row>
    <row r="743">
      <c r="G743" s="2" t="inlineStr">
        <is>
          <t>2026-05-16</t>
        </is>
      </c>
      <c r="H743" s="2" t="inlineStr">
        <is>
          <t>CORN GLUTEN MEAL</t>
        </is>
      </c>
      <c r="I743" s="4" t="n">
        <v>1.1687</v>
      </c>
      <c r="J743" s="2" t="inlineStr">
        <is>
          <t>MILL-RUN-01</t>
        </is>
      </c>
    </row>
    <row r="744">
      <c r="G744" s="2" t="inlineStr">
        <is>
          <t>2026-05-18</t>
        </is>
      </c>
      <c r="H744" s="2" t="inlineStr">
        <is>
          <t>CORN GLUTEN MEAL</t>
        </is>
      </c>
      <c r="I744" s="4" t="n">
        <v>1.7263</v>
      </c>
      <c r="J744" s="2" t="inlineStr">
        <is>
          <t>MILL-RUN-01</t>
        </is>
      </c>
    </row>
    <row r="745">
      <c r="G745" s="2" t="inlineStr">
        <is>
          <t>2026-05-19</t>
        </is>
      </c>
      <c r="H745" s="2" t="inlineStr">
        <is>
          <t>CORN GLUTEN MEAL</t>
        </is>
      </c>
      <c r="I745" s="4" t="n">
        <v>2.2525</v>
      </c>
      <c r="J745" s="2" t="inlineStr">
        <is>
          <t>MILL-RUN-01</t>
        </is>
      </c>
    </row>
    <row r="746">
      <c r="G746" s="2" t="inlineStr">
        <is>
          <t>2026-05-20</t>
        </is>
      </c>
      <c r="H746" s="2" t="inlineStr">
        <is>
          <t>CORN GLUTEN MEAL</t>
        </is>
      </c>
      <c r="I746" s="4" t="n">
        <v>0.1499</v>
      </c>
      <c r="J746" s="2" t="inlineStr">
        <is>
          <t>MILL-RUN-01</t>
        </is>
      </c>
    </row>
    <row r="747">
      <c r="G747" s="2" t="inlineStr">
        <is>
          <t>2026-05-23</t>
        </is>
      </c>
      <c r="H747" s="2" t="inlineStr">
        <is>
          <t>CORN GLUTEN MEAL</t>
        </is>
      </c>
      <c r="I747" s="4" t="n">
        <v>0.9762999999999999</v>
      </c>
      <c r="J747" s="2" t="inlineStr">
        <is>
          <t>MILL-RUN-01</t>
        </is>
      </c>
    </row>
    <row r="748">
      <c r="G748" s="2" t="inlineStr">
        <is>
          <t>2026-05-25</t>
        </is>
      </c>
      <c r="H748" s="2" t="inlineStr">
        <is>
          <t>CORN GLUTEN MEAL</t>
        </is>
      </c>
      <c r="I748" s="4" t="n">
        <v>0.2101</v>
      </c>
      <c r="J748" s="2" t="inlineStr">
        <is>
          <t>MILL-RUN-01</t>
        </is>
      </c>
    </row>
    <row r="749">
      <c r="G749" s="2" t="inlineStr">
        <is>
          <t>2026-05-26</t>
        </is>
      </c>
      <c r="H749" s="2" t="inlineStr">
        <is>
          <t>CORN GLUTEN MEAL</t>
        </is>
      </c>
      <c r="I749" s="4" t="n">
        <v>1.2</v>
      </c>
      <c r="J749" s="2" t="inlineStr">
        <is>
          <t>MILL-RUN-01</t>
        </is>
      </c>
    </row>
    <row r="750">
      <c r="G750" s="2" t="inlineStr">
        <is>
          <t>2026-05-28</t>
        </is>
      </c>
      <c r="H750" s="2" t="inlineStr">
        <is>
          <t>CORN GLUTEN MEAL</t>
        </is>
      </c>
      <c r="I750" s="4" t="n">
        <v>0.2742</v>
      </c>
      <c r="J750" s="2" t="inlineStr">
        <is>
          <t>MILL-RUN-01</t>
        </is>
      </c>
    </row>
    <row r="751">
      <c r="G751" s="2" t="inlineStr">
        <is>
          <t>2026-06-02</t>
        </is>
      </c>
      <c r="H751" s="2" t="inlineStr">
        <is>
          <t>CORN GLUTEN MEAL</t>
        </is>
      </c>
      <c r="I751" s="4" t="n">
        <v>0.3121</v>
      </c>
      <c r="J751" s="2" t="inlineStr">
        <is>
          <t>MILL-RUN-01</t>
        </is>
      </c>
    </row>
    <row r="752">
      <c r="G752" s="2" t="inlineStr">
        <is>
          <t>2026-06-03</t>
        </is>
      </c>
      <c r="H752" s="2" t="inlineStr">
        <is>
          <t>CORN GLUTEN MEAL</t>
        </is>
      </c>
      <c r="I752" s="4" t="n">
        <v>0.3912</v>
      </c>
      <c r="J752" s="2" t="inlineStr">
        <is>
          <t>MILL-RUN-01</t>
        </is>
      </c>
    </row>
    <row r="753">
      <c r="G753" s="2" t="inlineStr">
        <is>
          <t>2026-06-04</t>
        </is>
      </c>
      <c r="H753" s="2" t="inlineStr">
        <is>
          <t>CORN GLUTEN MEAL</t>
        </is>
      </c>
      <c r="I753" s="4" t="n">
        <v>0.7792</v>
      </c>
      <c r="J753" s="2" t="inlineStr">
        <is>
          <t>MILL-RUN-01</t>
        </is>
      </c>
    </row>
    <row r="754">
      <c r="G754" s="2" t="inlineStr">
        <is>
          <t>2026-06-06</t>
        </is>
      </c>
      <c r="H754" s="2" t="inlineStr">
        <is>
          <t>CORN GLUTEN MEAL</t>
        </is>
      </c>
      <c r="I754" s="4" t="n">
        <v>0.7407999999999999</v>
      </c>
      <c r="J754" s="2" t="inlineStr">
        <is>
          <t>MILL-RUN-01</t>
        </is>
      </c>
    </row>
    <row r="755">
      <c r="G755" s="2" t="inlineStr">
        <is>
          <t>2026-06-08</t>
        </is>
      </c>
      <c r="H755" s="2" t="inlineStr">
        <is>
          <t>CORN GLUTEN MEAL</t>
        </is>
      </c>
      <c r="I755" s="4" t="n">
        <v>0.7807000000000001</v>
      </c>
      <c r="J755" s="2" t="inlineStr">
        <is>
          <t>MILL-RUN-01</t>
        </is>
      </c>
    </row>
    <row r="756">
      <c r="G756" s="2" t="inlineStr">
        <is>
          <t>2026-06-09</t>
        </is>
      </c>
      <c r="H756" s="2" t="inlineStr">
        <is>
          <t>CORN GLUTEN MEAL</t>
        </is>
      </c>
      <c r="I756" s="4" t="n">
        <v>1.1687</v>
      </c>
      <c r="J756" s="2" t="inlineStr">
        <is>
          <t>MILL-RUN-01</t>
        </is>
      </c>
    </row>
    <row r="757">
      <c r="G757" s="2" t="inlineStr">
        <is>
          <t>2026-06-12</t>
        </is>
      </c>
      <c r="H757" s="2" t="inlineStr">
        <is>
          <t>CORN GLUTEN MEAL</t>
        </is>
      </c>
      <c r="I757" s="4" t="n">
        <v>1.7559</v>
      </c>
      <c r="J757" s="2" t="inlineStr">
        <is>
          <t>MILL-RUN-01</t>
        </is>
      </c>
    </row>
    <row r="758">
      <c r="G758" s="2" t="inlineStr">
        <is>
          <t>2026-06-25</t>
        </is>
      </c>
      <c r="H758" s="2" t="inlineStr">
        <is>
          <t>CORN GLUTEN MEAL</t>
        </is>
      </c>
      <c r="I758" s="4" t="n">
        <v>0.2006</v>
      </c>
      <c r="J758" s="2" t="inlineStr">
        <is>
          <t>MILL-RUN-01</t>
        </is>
      </c>
    </row>
    <row r="759">
      <c r="G759" s="2" t="inlineStr">
        <is>
          <t>2026-06-26</t>
        </is>
      </c>
      <c r="H759" s="2" t="inlineStr">
        <is>
          <t>CORN GLUTEN MEAL</t>
        </is>
      </c>
      <c r="I759" s="4" t="n">
        <v>0.7938</v>
      </c>
      <c r="J759" s="2" t="inlineStr">
        <is>
          <t>MILL-RUN-01</t>
        </is>
      </c>
    </row>
    <row r="760">
      <c r="G760" s="2" t="inlineStr">
        <is>
          <t>2026-06-27</t>
        </is>
      </c>
      <c r="H760" s="2" t="inlineStr">
        <is>
          <t>CORN GLUTEN MEAL</t>
        </is>
      </c>
      <c r="I760" s="4" t="n">
        <v>90.59999999999999</v>
      </c>
      <c r="J760" s="2" t="inlineStr">
        <is>
          <t>MILL-RUN-01</t>
        </is>
      </c>
    </row>
    <row r="761">
      <c r="G761" s="2" t="inlineStr">
        <is>
          <t>2026-06-29</t>
        </is>
      </c>
      <c r="H761" s="2" t="inlineStr">
        <is>
          <t>CORN GLUTEN MEAL</t>
        </is>
      </c>
      <c r="I761" s="4" t="n">
        <v>0.6032000000000001</v>
      </c>
      <c r="J761" s="2" t="inlineStr">
        <is>
          <t>MILL-RUN-01</t>
        </is>
      </c>
    </row>
    <row r="762">
      <c r="G762" s="2" t="inlineStr">
        <is>
          <t>2026-06-30</t>
        </is>
      </c>
      <c r="H762" s="2" t="inlineStr">
        <is>
          <t>CORN GLUTEN MEAL</t>
        </is>
      </c>
      <c r="I762" s="4" t="n">
        <v>0.5995</v>
      </c>
      <c r="J762" s="2" t="inlineStr">
        <is>
          <t>MILL-RUN-01</t>
        </is>
      </c>
    </row>
    <row r="763">
      <c r="G763" s="2" t="inlineStr">
        <is>
          <t>2026-07-02</t>
        </is>
      </c>
      <c r="H763" s="2" t="inlineStr">
        <is>
          <t>CORN GLUTEN MEAL</t>
        </is>
      </c>
      <c r="I763" s="4" t="n">
        <v>0.5008</v>
      </c>
      <c r="J763" s="2" t="inlineStr">
        <is>
          <t>MILL-RUN-01</t>
        </is>
      </c>
    </row>
    <row r="764">
      <c r="G764" s="2" t="inlineStr">
        <is>
          <t>2026-07-03</t>
        </is>
      </c>
      <c r="H764" s="2" t="inlineStr">
        <is>
          <t>CORN GLUTEN MEAL</t>
        </is>
      </c>
      <c r="I764" s="4" t="n">
        <v>0.2201</v>
      </c>
      <c r="J764" s="2" t="inlineStr">
        <is>
          <t>MILL-RUN-01</t>
        </is>
      </c>
    </row>
    <row r="765">
      <c r="G765" s="2" t="inlineStr">
        <is>
          <t>2026-07-04</t>
        </is>
      </c>
      <c r="H765" s="2" t="inlineStr">
        <is>
          <t>CORN GLUTEN MEAL</t>
        </is>
      </c>
      <c r="I765" s="4" t="n">
        <v>0.7764</v>
      </c>
      <c r="J765" s="2" t="inlineStr">
        <is>
          <t>MILL-RUN-01</t>
        </is>
      </c>
    </row>
    <row r="766">
      <c r="G766" s="2" t="inlineStr">
        <is>
          <t>2026-07-06</t>
        </is>
      </c>
      <c r="H766" s="2" t="inlineStr">
        <is>
          <t>CORN GLUTEN MEAL</t>
        </is>
      </c>
      <c r="I766" s="4" t="n">
        <v>92.3</v>
      </c>
      <c r="J766" s="2" t="inlineStr">
        <is>
          <t>MILL-RUN-01</t>
        </is>
      </c>
    </row>
    <row r="767">
      <c r="G767" s="2" t="inlineStr">
        <is>
          <t>2026-07-07</t>
        </is>
      </c>
      <c r="H767" s="2" t="inlineStr">
        <is>
          <t>CORN GLUTEN MEAL</t>
        </is>
      </c>
      <c r="I767" s="4" t="n">
        <v>0.1999</v>
      </c>
      <c r="J767" s="2" t="inlineStr">
        <is>
          <t>MILL-RUN-01</t>
        </is>
      </c>
    </row>
    <row r="768">
      <c r="G768" s="2" t="inlineStr">
        <is>
          <t>2026-07-08</t>
        </is>
      </c>
      <c r="H768" s="2" t="inlineStr">
        <is>
          <t>CORN GLUTEN MEAL</t>
        </is>
      </c>
      <c r="I768" s="4" t="n">
        <v>0.199</v>
      </c>
      <c r="J768" s="2" t="inlineStr">
        <is>
          <t>MILL-RUN-01</t>
        </is>
      </c>
    </row>
    <row r="769">
      <c r="G769" s="2" t="inlineStr">
        <is>
          <t>2026-07-09</t>
        </is>
      </c>
      <c r="H769" s="2" t="inlineStr">
        <is>
          <t>CORN GLUTEN MEAL</t>
        </is>
      </c>
      <c r="I769" s="4" t="n">
        <v>0.5012</v>
      </c>
      <c r="J769" s="2" t="inlineStr">
        <is>
          <t>MILL-RUN-01</t>
        </is>
      </c>
    </row>
    <row r="770">
      <c r="G770" s="2" t="inlineStr">
        <is>
          <t>2026-07-10</t>
        </is>
      </c>
      <c r="H770" s="2" t="inlineStr">
        <is>
          <t>CORN GLUTEN MEAL</t>
        </is>
      </c>
      <c r="I770" s="4" t="n">
        <v>1.7543</v>
      </c>
      <c r="J770" s="2" t="inlineStr">
        <is>
          <t>MILL-RUN-01</t>
        </is>
      </c>
    </row>
    <row r="771">
      <c r="G771" s="2" t="inlineStr">
        <is>
          <t>2026-07-13</t>
        </is>
      </c>
      <c r="H771" s="2" t="inlineStr">
        <is>
          <t>CORN GLUTEN MEAL</t>
        </is>
      </c>
      <c r="I771" s="4" t="n">
        <v>0.1803</v>
      </c>
      <c r="J771" s="2" t="inlineStr">
        <is>
          <t>MILL-RUN-01</t>
        </is>
      </c>
    </row>
    <row r="772">
      <c r="G772" s="2" t="inlineStr">
        <is>
          <t>2026-07-14</t>
        </is>
      </c>
      <c r="H772" s="2" t="inlineStr">
        <is>
          <t>CORN GLUTEN MEAL</t>
        </is>
      </c>
      <c r="I772" s="4" t="n">
        <v>1.6267</v>
      </c>
      <c r="J772" s="2" t="inlineStr">
        <is>
          <t>MILL-RUN-01</t>
        </is>
      </c>
    </row>
    <row r="773">
      <c r="G773" s="2" t="inlineStr">
        <is>
          <t>2026-07-16</t>
        </is>
      </c>
      <c r="H773" s="2" t="inlineStr">
        <is>
          <t>CORN GLUTEN MEAL</t>
        </is>
      </c>
      <c r="I773" s="4" t="n">
        <v>0.9093</v>
      </c>
      <c r="J773" s="2" t="inlineStr">
        <is>
          <t>MILL-RUN-01</t>
        </is>
      </c>
    </row>
    <row r="774">
      <c r="G774" s="2" t="inlineStr">
        <is>
          <t>2026-07-18</t>
        </is>
      </c>
      <c r="H774" s="2" t="inlineStr">
        <is>
          <t>CORN GLUTEN MEAL</t>
        </is>
      </c>
      <c r="I774" s="4" t="n">
        <v>0.5548</v>
      </c>
      <c r="J774" s="2" t="inlineStr">
        <is>
          <t>MILL-RUN-01</t>
        </is>
      </c>
    </row>
    <row r="775">
      <c r="G775" s="2" t="inlineStr">
        <is>
          <t>2026-07-21</t>
        </is>
      </c>
      <c r="H775" s="2" t="inlineStr">
        <is>
          <t>CORN GLUTEN MEAL</t>
        </is>
      </c>
      <c r="I775" s="4" t="n">
        <v>0.2595</v>
      </c>
      <c r="J775" s="2" t="inlineStr">
        <is>
          <t>MILL-RUN-01</t>
        </is>
      </c>
    </row>
    <row r="776">
      <c r="G776" s="2" t="inlineStr">
        <is>
          <t>2026-07-23</t>
        </is>
      </c>
      <c r="H776" s="2" t="inlineStr">
        <is>
          <t>CORN GLUTEN MEAL</t>
        </is>
      </c>
      <c r="I776" s="4" t="n">
        <v>0.5848</v>
      </c>
      <c r="J776" s="2" t="inlineStr">
        <is>
          <t>MILL-RUN-01</t>
        </is>
      </c>
    </row>
    <row r="777">
      <c r="G777" s="2" t="inlineStr">
        <is>
          <t>2026-07-24</t>
        </is>
      </c>
      <c r="H777" s="2" t="inlineStr">
        <is>
          <t>CORN GLUTEN MEAL</t>
        </is>
      </c>
      <c r="I777" s="4" t="n">
        <v>0.3508</v>
      </c>
      <c r="J777" s="2" t="inlineStr">
        <is>
          <t>MILL-RUN-01</t>
        </is>
      </c>
    </row>
    <row r="778">
      <c r="G778" s="2" t="inlineStr">
        <is>
          <t>2026-07-27</t>
        </is>
      </c>
      <c r="H778" s="2" t="inlineStr">
        <is>
          <t>CORN GLUTEN MEAL</t>
        </is>
      </c>
      <c r="I778" s="4" t="n">
        <v>0.6008</v>
      </c>
      <c r="J778" s="2" t="inlineStr">
        <is>
          <t>MILL-RUN-01</t>
        </is>
      </c>
    </row>
    <row r="779">
      <c r="G779" s="2" t="inlineStr">
        <is>
          <t>2026-07-30</t>
        </is>
      </c>
      <c r="H779" s="2" t="inlineStr">
        <is>
          <t>CORN GLUTEN MEAL</t>
        </is>
      </c>
      <c r="I779" s="4" t="n">
        <v>0.3905</v>
      </c>
      <c r="J779" s="2" t="inlineStr">
        <is>
          <t>MILL-RUN-01</t>
        </is>
      </c>
    </row>
    <row r="780">
      <c r="G780" s="2" t="inlineStr">
        <is>
          <t>2026-07-31</t>
        </is>
      </c>
      <c r="H780" s="2" t="inlineStr">
        <is>
          <t>CORN GLUTEN MEAL</t>
        </is>
      </c>
      <c r="I780" s="4" t="n">
        <v>1.0943</v>
      </c>
      <c r="J780" s="2" t="inlineStr">
        <is>
          <t>MILL-RUN-01</t>
        </is>
      </c>
    </row>
    <row r="781">
      <c r="G781" s="2" t="inlineStr">
        <is>
          <t>2026-01-02</t>
        </is>
      </c>
      <c r="H781" s="2" t="inlineStr">
        <is>
          <t>MEGAFAT (HARUMI)</t>
        </is>
      </c>
      <c r="I781" s="4" t="n">
        <v>1.56</v>
      </c>
      <c r="J781" s="2" t="inlineStr">
        <is>
          <t>MILL-RUN-01</t>
        </is>
      </c>
    </row>
    <row r="782">
      <c r="G782" s="2" t="inlineStr">
        <is>
          <t>2026-01-03</t>
        </is>
      </c>
      <c r="H782" s="2" t="inlineStr">
        <is>
          <t>MEGAFAT (HARUMI)</t>
        </is>
      </c>
      <c r="I782" s="4" t="n">
        <v>2.09</v>
      </c>
      <c r="J782" s="2" t="inlineStr">
        <is>
          <t>MILL-RUN-01</t>
        </is>
      </c>
    </row>
    <row r="783">
      <c r="G783" s="2" t="inlineStr">
        <is>
          <t>2026-01-05</t>
        </is>
      </c>
      <c r="H783" s="2" t="inlineStr">
        <is>
          <t>MEGAFAT (HARUMI)</t>
        </is>
      </c>
      <c r="I783" s="4" t="n">
        <v>1.8002</v>
      </c>
      <c r="J783" s="2" t="inlineStr">
        <is>
          <t>MILL-RUN-01</t>
        </is>
      </c>
    </row>
    <row r="784">
      <c r="G784" s="2" t="inlineStr">
        <is>
          <t>2026-01-06</t>
        </is>
      </c>
      <c r="H784" s="2" t="inlineStr">
        <is>
          <t>MEGAFAT (HARUMI)</t>
        </is>
      </c>
      <c r="I784" s="4" t="n">
        <v>1.55</v>
      </c>
      <c r="J784" s="2" t="inlineStr">
        <is>
          <t>MILL-RUN-01</t>
        </is>
      </c>
    </row>
    <row r="785">
      <c r="G785" s="2" t="inlineStr">
        <is>
          <t>2026-01-07</t>
        </is>
      </c>
      <c r="H785" s="2" t="inlineStr">
        <is>
          <t>MEGAFAT (HARUMI)</t>
        </is>
      </c>
      <c r="I785" s="4" t="n">
        <v>1.55</v>
      </c>
      <c r="J785" s="2" t="inlineStr">
        <is>
          <t>MILL-RUN-01</t>
        </is>
      </c>
    </row>
    <row r="786">
      <c r="G786" s="2" t="inlineStr">
        <is>
          <t>2026-01-08</t>
        </is>
      </c>
      <c r="H786" s="2" t="inlineStr">
        <is>
          <t>MEGAFAT (HARUMI)</t>
        </is>
      </c>
      <c r="I786" s="4" t="n">
        <v>0.5999</v>
      </c>
      <c r="J786" s="2" t="inlineStr">
        <is>
          <t>MILL-RUN-01</t>
        </is>
      </c>
    </row>
    <row r="787">
      <c r="G787" s="2" t="inlineStr">
        <is>
          <t>2026-01-09</t>
        </is>
      </c>
      <c r="H787" s="2" t="inlineStr">
        <is>
          <t>MEGAFAT (HARUMI)</t>
        </is>
      </c>
      <c r="I787" s="4" t="n">
        <v>0.8</v>
      </c>
      <c r="J787" s="2" t="inlineStr">
        <is>
          <t>MILL-RUN-01</t>
        </is>
      </c>
    </row>
    <row r="788">
      <c r="G788" s="2" t="inlineStr">
        <is>
          <t>2026-01-10</t>
        </is>
      </c>
      <c r="H788" s="2" t="inlineStr">
        <is>
          <t>MEGAFAT (HARUMI)</t>
        </is>
      </c>
      <c r="I788" s="4" t="n">
        <v>0.286</v>
      </c>
      <c r="J788" s="2" t="inlineStr">
        <is>
          <t>MILL-RUN-01</t>
        </is>
      </c>
    </row>
    <row r="789">
      <c r="G789" s="2" t="inlineStr">
        <is>
          <t>2026-01-12</t>
        </is>
      </c>
      <c r="H789" s="2" t="inlineStr">
        <is>
          <t>MEGAFAT (HARUMI)</t>
        </is>
      </c>
      <c r="I789" s="4" t="n">
        <v>1.57</v>
      </c>
      <c r="J789" s="2" t="inlineStr">
        <is>
          <t>MILL-RUN-01</t>
        </is>
      </c>
    </row>
    <row r="790">
      <c r="G790" s="2" t="inlineStr">
        <is>
          <t>2026-01-13</t>
        </is>
      </c>
      <c r="H790" s="2" t="inlineStr">
        <is>
          <t>MEGAFAT (HARUMI)</t>
        </is>
      </c>
      <c r="I790" s="4" t="n">
        <v>1.96</v>
      </c>
      <c r="J790" s="2" t="inlineStr">
        <is>
          <t>MILL-RUN-01</t>
        </is>
      </c>
    </row>
    <row r="791">
      <c r="G791" s="2" t="inlineStr">
        <is>
          <t>2026-01-15</t>
        </is>
      </c>
      <c r="H791" s="2" t="inlineStr">
        <is>
          <t>MEGAFAT (HARUMI)</t>
        </is>
      </c>
      <c r="I791" s="4" t="n">
        <v>1.56</v>
      </c>
      <c r="J791" s="2" t="inlineStr">
        <is>
          <t>MILL-RUN-01</t>
        </is>
      </c>
    </row>
    <row r="792">
      <c r="G792" s="2" t="inlineStr">
        <is>
          <t>2026-01-16</t>
        </is>
      </c>
      <c r="H792" s="2" t="inlineStr">
        <is>
          <t>MEGAFAT (HARUMI)</t>
        </is>
      </c>
      <c r="I792" s="4" t="n">
        <v>1.0699</v>
      </c>
      <c r="J792" s="2" t="inlineStr">
        <is>
          <t>MILL-RUN-01</t>
        </is>
      </c>
    </row>
    <row r="793">
      <c r="G793" s="2" t="inlineStr">
        <is>
          <t>2026-01-17</t>
        </is>
      </c>
      <c r="H793" s="2" t="inlineStr">
        <is>
          <t>MEGAFAT (HARUMI)</t>
        </is>
      </c>
      <c r="I793" s="4" t="n">
        <v>0.52</v>
      </c>
      <c r="J793" s="2" t="inlineStr">
        <is>
          <t>MILL-RUN-01</t>
        </is>
      </c>
    </row>
    <row r="794">
      <c r="G794" s="2" t="inlineStr">
        <is>
          <t>2026-01-19</t>
        </is>
      </c>
      <c r="H794" s="2" t="inlineStr">
        <is>
          <t>MEGAFAT (HARUMI)</t>
        </is>
      </c>
      <c r="I794" s="4" t="n">
        <v>1.33</v>
      </c>
      <c r="J794" s="2" t="inlineStr">
        <is>
          <t>MILL-RUN-01</t>
        </is>
      </c>
    </row>
    <row r="795">
      <c r="G795" s="2" t="inlineStr">
        <is>
          <t>2026-01-20</t>
        </is>
      </c>
      <c r="H795" s="2" t="inlineStr">
        <is>
          <t>MEGAFAT (HARUMI)</t>
        </is>
      </c>
      <c r="I795" s="4" t="n">
        <v>1.25</v>
      </c>
      <c r="J795" s="2" t="inlineStr">
        <is>
          <t>MILL-RUN-01</t>
        </is>
      </c>
    </row>
    <row r="796">
      <c r="G796" s="2" t="inlineStr">
        <is>
          <t>2026-01-21</t>
        </is>
      </c>
      <c r="H796" s="2" t="inlineStr">
        <is>
          <t>MEGAFAT (HARUMI)</t>
        </is>
      </c>
      <c r="I796" s="4" t="n">
        <v>0.6201</v>
      </c>
      <c r="J796" s="2" t="inlineStr">
        <is>
          <t>MILL-RUN-01</t>
        </is>
      </c>
    </row>
    <row r="797">
      <c r="G797" s="2" t="inlineStr">
        <is>
          <t>2026-01-22</t>
        </is>
      </c>
      <c r="H797" s="2" t="inlineStr">
        <is>
          <t>MEGAFAT (HARUMI)</t>
        </is>
      </c>
      <c r="I797" s="4" t="n">
        <v>0.8</v>
      </c>
      <c r="J797" s="2" t="inlineStr">
        <is>
          <t>MILL-RUN-01</t>
        </is>
      </c>
    </row>
    <row r="798">
      <c r="G798" s="2" t="inlineStr">
        <is>
          <t>2026-01-23</t>
        </is>
      </c>
      <c r="H798" s="2" t="inlineStr">
        <is>
          <t>MEGAFAT (HARUMI)</t>
        </is>
      </c>
      <c r="I798" s="4" t="n">
        <v>1.172</v>
      </c>
      <c r="J798" s="2" t="inlineStr">
        <is>
          <t>MILL-RUN-01</t>
        </is>
      </c>
    </row>
    <row r="799">
      <c r="G799" s="2" t="inlineStr">
        <is>
          <t>2026-01-24</t>
        </is>
      </c>
      <c r="H799" s="2" t="inlineStr">
        <is>
          <t>MEGAFAT (HARUMI)</t>
        </is>
      </c>
      <c r="I799" s="4" t="n">
        <v>0.5201</v>
      </c>
      <c r="J799" s="2" t="inlineStr">
        <is>
          <t>MILL-RUN-01</t>
        </is>
      </c>
    </row>
    <row r="800">
      <c r="G800" s="2" t="inlineStr">
        <is>
          <t>2026-01-26</t>
        </is>
      </c>
      <c r="H800" s="2" t="inlineStr">
        <is>
          <t>MEGAFAT (HARUMI)</t>
        </is>
      </c>
      <c r="I800" s="4" t="n">
        <v>0.9202</v>
      </c>
      <c r="J800" s="2" t="inlineStr">
        <is>
          <t>MILL-RUN-01</t>
        </is>
      </c>
    </row>
    <row r="801">
      <c r="G801" s="2" t="inlineStr">
        <is>
          <t>2026-01-27</t>
        </is>
      </c>
      <c r="H801" s="2" t="inlineStr">
        <is>
          <t>MEGAFAT (HARUMI)</t>
        </is>
      </c>
      <c r="I801" s="4" t="n">
        <v>1.9</v>
      </c>
      <c r="J801" s="2" t="inlineStr">
        <is>
          <t>MILL-RUN-01</t>
        </is>
      </c>
    </row>
    <row r="802">
      <c r="G802" s="2" t="inlineStr">
        <is>
          <t>2026-01-28</t>
        </is>
      </c>
      <c r="H802" s="2" t="inlineStr">
        <is>
          <t>MEGAFAT (HARUMI)</t>
        </is>
      </c>
      <c r="I802" s="4" t="n">
        <v>0.68</v>
      </c>
      <c r="J802" s="2" t="inlineStr">
        <is>
          <t>MILL-RUN-01</t>
        </is>
      </c>
    </row>
    <row r="803">
      <c r="G803" s="2" t="inlineStr">
        <is>
          <t>2026-01-30</t>
        </is>
      </c>
      <c r="H803" s="2" t="inlineStr">
        <is>
          <t>MEGAFAT (HARUMI)</t>
        </is>
      </c>
      <c r="I803" s="4" t="n">
        <v>0.4</v>
      </c>
      <c r="J803" s="2" t="inlineStr">
        <is>
          <t>MILL-RUN-01</t>
        </is>
      </c>
    </row>
    <row r="804">
      <c r="G804" s="2" t="inlineStr">
        <is>
          <t>2026-01-31</t>
        </is>
      </c>
      <c r="H804" s="2" t="inlineStr">
        <is>
          <t>MEGAFAT (HARUMI)</t>
        </is>
      </c>
      <c r="I804" s="4" t="n">
        <v>1.55</v>
      </c>
      <c r="J804" s="2" t="inlineStr">
        <is>
          <t>MILL-RUN-01</t>
        </is>
      </c>
    </row>
    <row r="805">
      <c r="G805" s="2" t="inlineStr">
        <is>
          <t>2026-02-03</t>
        </is>
      </c>
      <c r="H805" s="2" t="inlineStr">
        <is>
          <t>MEGAFAT (HARUMI)</t>
        </is>
      </c>
      <c r="I805" s="4" t="n">
        <v>0.92</v>
      </c>
      <c r="J805" s="2" t="inlineStr">
        <is>
          <t>MILL-RUN-01</t>
        </is>
      </c>
    </row>
    <row r="806">
      <c r="G806" s="2" t="inlineStr">
        <is>
          <t>2026-02-05</t>
        </is>
      </c>
      <c r="H806" s="2" t="inlineStr">
        <is>
          <t>MEGAFAT (HARUMI)</t>
        </is>
      </c>
      <c r="I806" s="4" t="n">
        <v>1.0656</v>
      </c>
      <c r="J806" s="2" t="inlineStr">
        <is>
          <t>MILL-RUN-01</t>
        </is>
      </c>
    </row>
    <row r="807">
      <c r="G807" s="2" t="inlineStr">
        <is>
          <t>2026-02-06</t>
        </is>
      </c>
      <c r="H807" s="2" t="inlineStr">
        <is>
          <t>MEGAFAT (HARUMI)</t>
        </is>
      </c>
      <c r="I807" s="4" t="n">
        <v>1.4001</v>
      </c>
      <c r="J807" s="2" t="inlineStr">
        <is>
          <t>MILL-RUN-01</t>
        </is>
      </c>
    </row>
    <row r="808">
      <c r="G808" s="2" t="inlineStr">
        <is>
          <t>2026-02-07</t>
        </is>
      </c>
      <c r="H808" s="2" t="inlineStr">
        <is>
          <t>MEGAFAT (HARUMI)</t>
        </is>
      </c>
      <c r="I808" s="4" t="n">
        <v>0.9</v>
      </c>
      <c r="J808" s="2" t="inlineStr">
        <is>
          <t>MILL-RUN-01</t>
        </is>
      </c>
    </row>
    <row r="809">
      <c r="G809" s="2" t="inlineStr">
        <is>
          <t>2026-02-09</t>
        </is>
      </c>
      <c r="H809" s="2" t="inlineStr">
        <is>
          <t>MEGAFAT (HARUMI)</t>
        </is>
      </c>
      <c r="I809" s="4" t="n">
        <v>2.4</v>
      </c>
      <c r="J809" s="2" t="inlineStr">
        <is>
          <t>MILL-RUN-01</t>
        </is>
      </c>
    </row>
    <row r="810">
      <c r="G810" s="2" t="inlineStr">
        <is>
          <t>2026-02-10</t>
        </is>
      </c>
      <c r="H810" s="2" t="inlineStr">
        <is>
          <t>MEGAFAT (HARUMI)</t>
        </is>
      </c>
      <c r="I810" s="4" t="n">
        <v>1</v>
      </c>
      <c r="J810" s="2" t="inlineStr">
        <is>
          <t>MILL-RUN-01</t>
        </is>
      </c>
    </row>
    <row r="811">
      <c r="G811" s="2" t="inlineStr">
        <is>
          <t>2026-02-11</t>
        </is>
      </c>
      <c r="H811" s="2" t="inlineStr">
        <is>
          <t>MEGAFAT (HARUMI)</t>
        </is>
      </c>
      <c r="I811" s="4" t="n">
        <v>1.799</v>
      </c>
      <c r="J811" s="2" t="inlineStr">
        <is>
          <t>MILL-RUN-01</t>
        </is>
      </c>
    </row>
    <row r="812">
      <c r="G812" s="2" t="inlineStr">
        <is>
          <t>2026-02-12</t>
        </is>
      </c>
      <c r="H812" s="2" t="inlineStr">
        <is>
          <t>MEGAFAT (HARUMI)</t>
        </is>
      </c>
      <c r="I812" s="4" t="n">
        <v>2.2</v>
      </c>
      <c r="J812" s="2" t="inlineStr">
        <is>
          <t>MILL-RUN-01</t>
        </is>
      </c>
    </row>
    <row r="813">
      <c r="G813" s="2" t="inlineStr">
        <is>
          <t>2026-02-13</t>
        </is>
      </c>
      <c r="H813" s="2" t="inlineStr">
        <is>
          <t>MEGAFAT (HARUMI)</t>
        </is>
      </c>
      <c r="I813" s="4" t="n">
        <v>2.76</v>
      </c>
      <c r="J813" s="2" t="inlineStr">
        <is>
          <t>MILL-RUN-01</t>
        </is>
      </c>
    </row>
    <row r="814">
      <c r="G814" s="2" t="inlineStr">
        <is>
          <t>2026-02-16</t>
        </is>
      </c>
      <c r="H814" s="2" t="inlineStr">
        <is>
          <t>MEGAFAT (HARUMI)</t>
        </is>
      </c>
      <c r="I814" s="4" t="n">
        <v>0.6</v>
      </c>
      <c r="J814" s="2" t="inlineStr">
        <is>
          <t>MILL-RUN-01</t>
        </is>
      </c>
    </row>
    <row r="815">
      <c r="G815" s="2" t="inlineStr">
        <is>
          <t>2026-02-19</t>
        </is>
      </c>
      <c r="H815" s="2" t="inlineStr">
        <is>
          <t>MEGAFAT (HARUMI)</t>
        </is>
      </c>
      <c r="I815" s="4" t="n">
        <v>2.64</v>
      </c>
      <c r="J815" s="2" t="inlineStr">
        <is>
          <t>MILL-RUN-01</t>
        </is>
      </c>
    </row>
    <row r="816">
      <c r="G816" s="2" t="inlineStr">
        <is>
          <t>2026-02-20</t>
        </is>
      </c>
      <c r="H816" s="2" t="inlineStr">
        <is>
          <t>MEGAFAT (HARUMI)</t>
        </is>
      </c>
      <c r="I816" s="4" t="n">
        <v>1.56</v>
      </c>
      <c r="J816" s="2" t="inlineStr">
        <is>
          <t>MILL-RUN-01</t>
        </is>
      </c>
    </row>
    <row r="817">
      <c r="G817" s="2" t="inlineStr">
        <is>
          <t>2026-02-21</t>
        </is>
      </c>
      <c r="H817" s="2" t="inlineStr">
        <is>
          <t>MEGAFAT (HARUMI)</t>
        </is>
      </c>
      <c r="I817" s="4" t="n">
        <v>1.5198</v>
      </c>
      <c r="J817" s="2" t="inlineStr">
        <is>
          <t>MILL-RUN-01</t>
        </is>
      </c>
    </row>
    <row r="818">
      <c r="G818" s="2" t="inlineStr">
        <is>
          <t>2026-02-23</t>
        </is>
      </c>
      <c r="H818" s="2" t="inlineStr">
        <is>
          <t>MEGAFAT (HARUMI)</t>
        </is>
      </c>
      <c r="I818" s="4" t="n">
        <v>0.52</v>
      </c>
      <c r="J818" s="2" t="inlineStr">
        <is>
          <t>MILL-RUN-01</t>
        </is>
      </c>
    </row>
    <row r="819">
      <c r="G819" s="2" t="inlineStr">
        <is>
          <t>2026-02-24</t>
        </is>
      </c>
      <c r="H819" s="2" t="inlineStr">
        <is>
          <t>MEGAFAT (HARUMI)</t>
        </is>
      </c>
      <c r="I819" s="4" t="n">
        <v>1.482</v>
      </c>
      <c r="J819" s="2" t="inlineStr">
        <is>
          <t>MILL-RUN-01</t>
        </is>
      </c>
    </row>
    <row r="820">
      <c r="G820" s="2" t="inlineStr">
        <is>
          <t>2026-02-25</t>
        </is>
      </c>
      <c r="H820" s="2" t="inlineStr">
        <is>
          <t>MEGAFAT (HARUMI)</t>
        </is>
      </c>
      <c r="I820" s="4" t="n">
        <v>0.64</v>
      </c>
      <c r="J820" s="2" t="inlineStr">
        <is>
          <t>MILL-RUN-01</t>
        </is>
      </c>
    </row>
    <row r="821">
      <c r="G821" s="2" t="inlineStr">
        <is>
          <t>2026-02-26</t>
        </is>
      </c>
      <c r="H821" s="2" t="inlineStr">
        <is>
          <t>MEGAFAT (HARUMI)</t>
        </is>
      </c>
      <c r="I821" s="4" t="n">
        <v>0.5201</v>
      </c>
      <c r="J821" s="2" t="inlineStr">
        <is>
          <t>MILL-RUN-01</t>
        </is>
      </c>
    </row>
    <row r="822">
      <c r="G822" s="2" t="inlineStr">
        <is>
          <t>2026-02-27</t>
        </is>
      </c>
      <c r="H822" s="2" t="inlineStr">
        <is>
          <t>MEGAFAT (HARUMI)</t>
        </is>
      </c>
      <c r="I822" s="4" t="n">
        <v>1</v>
      </c>
      <c r="J822" s="2" t="inlineStr">
        <is>
          <t>MILL-RUN-01</t>
        </is>
      </c>
    </row>
    <row r="823">
      <c r="G823" s="2" t="inlineStr">
        <is>
          <t>2026-03-02</t>
        </is>
      </c>
      <c r="H823" s="2" t="inlineStr">
        <is>
          <t>MEGAFAT (HARUMI)</t>
        </is>
      </c>
      <c r="I823" s="4" t="n">
        <v>1.57</v>
      </c>
      <c r="J823" s="2" t="inlineStr">
        <is>
          <t>MILL-RUN-01</t>
        </is>
      </c>
    </row>
    <row r="824">
      <c r="G824" s="2" t="inlineStr">
        <is>
          <t>2026-03-03</t>
        </is>
      </c>
      <c r="H824" s="2" t="inlineStr">
        <is>
          <t>MEGAFAT (HARUMI)</t>
        </is>
      </c>
      <c r="I824" s="4" t="n">
        <v>2.3401</v>
      </c>
      <c r="J824" s="2" t="inlineStr">
        <is>
          <t>MILL-RUN-01</t>
        </is>
      </c>
    </row>
    <row r="825">
      <c r="G825" s="2" t="inlineStr">
        <is>
          <t>2026-03-04</t>
        </is>
      </c>
      <c r="H825" s="2" t="inlineStr">
        <is>
          <t>MEGAFAT (HARUMI)</t>
        </is>
      </c>
      <c r="I825" s="4" t="n">
        <v>1.5989</v>
      </c>
      <c r="J825" s="2" t="inlineStr">
        <is>
          <t>MILL-RUN-01</t>
        </is>
      </c>
    </row>
    <row r="826">
      <c r="G826" s="2" t="inlineStr">
        <is>
          <t>2026-03-05</t>
        </is>
      </c>
      <c r="H826" s="2" t="inlineStr">
        <is>
          <t>MEGAFAT (HARUMI)</t>
        </is>
      </c>
      <c r="I826" s="4" t="n">
        <v>0.3199</v>
      </c>
      <c r="J826" s="2" t="inlineStr">
        <is>
          <t>MILL-RUN-01</t>
        </is>
      </c>
    </row>
    <row r="827">
      <c r="G827" s="2" t="inlineStr">
        <is>
          <t>2026-03-06</t>
        </is>
      </c>
      <c r="H827" s="2" t="inlineStr">
        <is>
          <t>MEGAFAT (HARUMI)</t>
        </is>
      </c>
      <c r="I827" s="4" t="n">
        <v>1.3999</v>
      </c>
      <c r="J827" s="2" t="inlineStr">
        <is>
          <t>MILL-RUN-01</t>
        </is>
      </c>
    </row>
    <row r="828">
      <c r="G828" s="2" t="inlineStr">
        <is>
          <t>2026-03-07</t>
        </is>
      </c>
      <c r="H828" s="2" t="inlineStr">
        <is>
          <t>MEGAFAT (HARUMI)</t>
        </is>
      </c>
      <c r="I828" s="4" t="n">
        <v>1.4219</v>
      </c>
      <c r="J828" s="2" t="inlineStr">
        <is>
          <t>MILL-RUN-01</t>
        </is>
      </c>
    </row>
    <row r="829">
      <c r="G829" s="2" t="inlineStr">
        <is>
          <t>2026-03-09</t>
        </is>
      </c>
      <c r="H829" s="2" t="inlineStr">
        <is>
          <t>MEGAFAT (HARUMI)</t>
        </is>
      </c>
      <c r="I829" s="4" t="n">
        <v>2.328</v>
      </c>
      <c r="J829" s="2" t="inlineStr">
        <is>
          <t>MILL-RUN-01</t>
        </is>
      </c>
    </row>
    <row r="830">
      <c r="G830" s="2" t="inlineStr">
        <is>
          <t>2026-03-10</t>
        </is>
      </c>
      <c r="H830" s="2" t="inlineStr">
        <is>
          <t>MEGAFAT (HARUMI)</t>
        </is>
      </c>
      <c r="I830" s="4" t="n">
        <v>0.5</v>
      </c>
      <c r="J830" s="2" t="inlineStr">
        <is>
          <t>MILL-RUN-01</t>
        </is>
      </c>
    </row>
    <row r="831">
      <c r="G831" s="2" t="inlineStr">
        <is>
          <t>2026-03-13</t>
        </is>
      </c>
      <c r="H831" s="2" t="inlineStr">
        <is>
          <t>MEGAFAT (HARUMI)</t>
        </is>
      </c>
      <c r="I831" s="4" t="n">
        <v>2.5</v>
      </c>
      <c r="J831" s="2" t="inlineStr">
        <is>
          <t>MILL-RUN-01</t>
        </is>
      </c>
    </row>
    <row r="832">
      <c r="G832" s="2" t="inlineStr">
        <is>
          <t>2026-03-14</t>
        </is>
      </c>
      <c r="H832" s="2" t="inlineStr">
        <is>
          <t>MEGAFAT (HARUMI)</t>
        </is>
      </c>
      <c r="I832" s="4" t="n">
        <v>1.2449</v>
      </c>
      <c r="J832" s="2" t="inlineStr">
        <is>
          <t>MILL-RUN-01</t>
        </is>
      </c>
    </row>
    <row r="833">
      <c r="G833" s="2" t="inlineStr">
        <is>
          <t>2026-03-16</t>
        </is>
      </c>
      <c r="H833" s="2" t="inlineStr">
        <is>
          <t>MEGAFAT (HARUMI)</t>
        </is>
      </c>
      <c r="I833" s="4" t="n">
        <v>3.4509</v>
      </c>
      <c r="J833" s="2" t="inlineStr">
        <is>
          <t>MILL-RUN-01</t>
        </is>
      </c>
    </row>
    <row r="834">
      <c r="G834" s="2" t="inlineStr">
        <is>
          <t>2026-03-17</t>
        </is>
      </c>
      <c r="H834" s="2" t="inlineStr">
        <is>
          <t>MEGAFAT (HARUMI)</t>
        </is>
      </c>
      <c r="I834" s="4" t="n">
        <v>1.43</v>
      </c>
      <c r="J834" s="2" t="inlineStr">
        <is>
          <t>MILL-RUN-01</t>
        </is>
      </c>
    </row>
    <row r="835">
      <c r="G835" s="2" t="inlineStr">
        <is>
          <t>2026-03-18</t>
        </is>
      </c>
      <c r="H835" s="2" t="inlineStr">
        <is>
          <t>MEGAFAT (HARUMI)</t>
        </is>
      </c>
      <c r="I835" s="4" t="n">
        <v>2.7</v>
      </c>
      <c r="J835" s="2" t="inlineStr">
        <is>
          <t>MILL-RUN-01</t>
        </is>
      </c>
    </row>
    <row r="836">
      <c r="G836" s="2" t="inlineStr">
        <is>
          <t>2026-03-19</t>
        </is>
      </c>
      <c r="H836" s="2" t="inlineStr">
        <is>
          <t>MEGAFAT (HARUMI)</t>
        </is>
      </c>
      <c r="I836" s="4" t="n">
        <v>0.4001</v>
      </c>
      <c r="J836" s="2" t="inlineStr">
        <is>
          <t>MILL-RUN-01</t>
        </is>
      </c>
    </row>
    <row r="837">
      <c r="G837" s="2" t="inlineStr">
        <is>
          <t>2026-03-24</t>
        </is>
      </c>
      <c r="H837" s="2" t="inlineStr">
        <is>
          <t>MEGAFAT (HARUMI)</t>
        </is>
      </c>
      <c r="I837" s="4" t="n">
        <v>0.8</v>
      </c>
      <c r="J837" s="2" t="inlineStr">
        <is>
          <t>MILL-RUN-01</t>
        </is>
      </c>
    </row>
    <row r="838">
      <c r="G838" s="2" t="inlineStr">
        <is>
          <t>2026-03-25</t>
        </is>
      </c>
      <c r="H838" s="2" t="inlineStr">
        <is>
          <t>MEGAFAT (HARUMI)</t>
        </is>
      </c>
      <c r="I838" s="4" t="n">
        <v>3.195</v>
      </c>
      <c r="J838" s="2" t="inlineStr">
        <is>
          <t>MILL-RUN-01</t>
        </is>
      </c>
    </row>
    <row r="839">
      <c r="G839" s="2" t="inlineStr">
        <is>
          <t>2026-03-26</t>
        </is>
      </c>
      <c r="H839" s="2" t="inlineStr">
        <is>
          <t>MEGAFAT (HARUMI)</t>
        </is>
      </c>
      <c r="I839" s="4" t="n">
        <v>0.875</v>
      </c>
      <c r="J839" s="2" t="inlineStr">
        <is>
          <t>MILL-RUN-01</t>
        </is>
      </c>
    </row>
    <row r="840">
      <c r="G840" s="2" t="inlineStr">
        <is>
          <t>2026-03-27</t>
        </is>
      </c>
      <c r="H840" s="2" t="inlineStr">
        <is>
          <t>MEGAFAT (HARUMI)</t>
        </is>
      </c>
      <c r="I840" s="4" t="n">
        <v>1.565</v>
      </c>
      <c r="J840" s="2" t="inlineStr">
        <is>
          <t>MILL-RUN-01</t>
        </is>
      </c>
    </row>
    <row r="841">
      <c r="G841" s="2" t="inlineStr">
        <is>
          <t>2026-03-28</t>
        </is>
      </c>
      <c r="H841" s="2" t="inlineStr">
        <is>
          <t>MEGAFAT (HARUMI)</t>
        </is>
      </c>
      <c r="I841" s="4" t="n">
        <v>1.17</v>
      </c>
      <c r="J841" s="2" t="inlineStr">
        <is>
          <t>MILL-RUN-01</t>
        </is>
      </c>
    </row>
    <row r="842">
      <c r="G842" s="2" t="inlineStr">
        <is>
          <t>2026-03-30</t>
        </is>
      </c>
      <c r="H842" s="2" t="inlineStr">
        <is>
          <t>MEGAFAT (HARUMI)</t>
        </is>
      </c>
      <c r="I842" s="4" t="n">
        <v>1.87</v>
      </c>
      <c r="J842" s="2" t="inlineStr">
        <is>
          <t>MILL-RUN-01</t>
        </is>
      </c>
    </row>
    <row r="843">
      <c r="G843" s="2" t="inlineStr">
        <is>
          <t>2026-03-31</t>
        </is>
      </c>
      <c r="H843" s="2" t="inlineStr">
        <is>
          <t>MEGAFAT (HARUMI)</t>
        </is>
      </c>
      <c r="I843" s="4" t="n">
        <v>1.25</v>
      </c>
      <c r="J843" s="2" t="inlineStr">
        <is>
          <t>MILL-RUN-01</t>
        </is>
      </c>
    </row>
    <row r="844">
      <c r="G844" s="2" t="inlineStr">
        <is>
          <t>2026-04-01</t>
        </is>
      </c>
      <c r="H844" s="2" t="inlineStr">
        <is>
          <t>MEGAFAT (HARUMI)</t>
        </is>
      </c>
      <c r="I844" s="4" t="n">
        <v>0.3001</v>
      </c>
      <c r="J844" s="2" t="inlineStr">
        <is>
          <t>MILL-RUN-01</t>
        </is>
      </c>
    </row>
    <row r="845">
      <c r="G845" s="2" t="inlineStr">
        <is>
          <t>2026-04-03</t>
        </is>
      </c>
      <c r="H845" s="2" t="inlineStr">
        <is>
          <t>MEGAFAT (HARUMI)</t>
        </is>
      </c>
      <c r="I845" s="4" t="n">
        <v>2.52</v>
      </c>
      <c r="J845" s="2" t="inlineStr">
        <is>
          <t>MILL-RUN-01</t>
        </is>
      </c>
    </row>
    <row r="846">
      <c r="G846" s="2" t="inlineStr">
        <is>
          <t>2026-04-06</t>
        </is>
      </c>
      <c r="H846" s="2" t="inlineStr">
        <is>
          <t>MEGAFAT (HARUMI)</t>
        </is>
      </c>
      <c r="I846" s="4" t="n">
        <v>1.7491</v>
      </c>
      <c r="J846" s="2" t="inlineStr">
        <is>
          <t>MILL-RUN-01</t>
        </is>
      </c>
    </row>
    <row r="847">
      <c r="G847" s="2" t="inlineStr">
        <is>
          <t>2026-04-07</t>
        </is>
      </c>
      <c r="H847" s="2" t="inlineStr">
        <is>
          <t>MEGAFAT (HARUMI)</t>
        </is>
      </c>
      <c r="I847" s="4" t="n">
        <v>0.234</v>
      </c>
      <c r="J847" s="2" t="inlineStr">
        <is>
          <t>MILL-RUN-01</t>
        </is>
      </c>
    </row>
    <row r="848">
      <c r="G848" s="2" t="inlineStr">
        <is>
          <t>2026-04-08</t>
        </is>
      </c>
      <c r="H848" s="2" t="inlineStr">
        <is>
          <t>MEGAFAT (HARUMI)</t>
        </is>
      </c>
      <c r="I848" s="4" t="n">
        <v>1.399</v>
      </c>
      <c r="J848" s="2" t="inlineStr">
        <is>
          <t>MILL-RUN-01</t>
        </is>
      </c>
    </row>
    <row r="849">
      <c r="G849" s="2" t="inlineStr">
        <is>
          <t>2026-04-09</t>
        </is>
      </c>
      <c r="H849" s="2" t="inlineStr">
        <is>
          <t>MEGAFAT (HARUMI)</t>
        </is>
      </c>
      <c r="I849" s="4" t="n">
        <v>0.5999</v>
      </c>
      <c r="J849" s="2" t="inlineStr">
        <is>
          <t>MILL-RUN-01</t>
        </is>
      </c>
    </row>
    <row r="850">
      <c r="G850" s="2" t="inlineStr">
        <is>
          <t>2026-04-10</t>
        </is>
      </c>
      <c r="H850" s="2" t="inlineStr">
        <is>
          <t>MEGAFAT (HARUMI)</t>
        </is>
      </c>
      <c r="I850" s="4" t="n">
        <v>0.507</v>
      </c>
      <c r="J850" s="2" t="inlineStr">
        <is>
          <t>MILL-RUN-01</t>
        </is>
      </c>
    </row>
    <row r="851">
      <c r="G851" s="2" t="inlineStr">
        <is>
          <t>2026-04-11</t>
        </is>
      </c>
      <c r="H851" s="2" t="inlineStr">
        <is>
          <t>MEGAFAT (HARUMI)</t>
        </is>
      </c>
      <c r="I851" s="4" t="n">
        <v>1.05</v>
      </c>
      <c r="J851" s="2" t="inlineStr">
        <is>
          <t>MILL-RUN-01</t>
        </is>
      </c>
    </row>
    <row r="852">
      <c r="G852" s="2" t="inlineStr">
        <is>
          <t>2026-04-13</t>
        </is>
      </c>
      <c r="H852" s="2" t="inlineStr">
        <is>
          <t>MEGAFAT (HARUMI)</t>
        </is>
      </c>
      <c r="I852" s="4" t="n">
        <v>0.6</v>
      </c>
      <c r="J852" s="2" t="inlineStr">
        <is>
          <t>MILL-RUN-01</t>
        </is>
      </c>
    </row>
    <row r="853">
      <c r="G853" s="2" t="inlineStr">
        <is>
          <t>2026-04-14</t>
        </is>
      </c>
      <c r="H853" s="2" t="inlineStr">
        <is>
          <t>MEGAFAT (HARUMI)</t>
        </is>
      </c>
      <c r="I853" s="4" t="n">
        <v>2.4393</v>
      </c>
      <c r="J853" s="2" t="inlineStr">
        <is>
          <t>MILL-RUN-01</t>
        </is>
      </c>
    </row>
    <row r="854">
      <c r="G854" s="2" t="inlineStr">
        <is>
          <t>2026-04-15</t>
        </is>
      </c>
      <c r="H854" s="2" t="inlineStr">
        <is>
          <t>MEGAFAT (HARUMI)</t>
        </is>
      </c>
      <c r="I854" s="4" t="n">
        <v>0.7411</v>
      </c>
      <c r="J854" s="2" t="inlineStr">
        <is>
          <t>MILL-RUN-01</t>
        </is>
      </c>
    </row>
    <row r="855">
      <c r="G855" s="2" t="inlineStr">
        <is>
          <t>2026-04-16</t>
        </is>
      </c>
      <c r="H855" s="2" t="inlineStr">
        <is>
          <t>MEGAFAT (HARUMI)</t>
        </is>
      </c>
      <c r="I855" s="4" t="n">
        <v>1.2002</v>
      </c>
      <c r="J855" s="2" t="inlineStr">
        <is>
          <t>MILL-RUN-01</t>
        </is>
      </c>
    </row>
    <row r="856">
      <c r="G856" s="2" t="inlineStr">
        <is>
          <t>2026-04-17</t>
        </is>
      </c>
      <c r="H856" s="2" t="inlineStr">
        <is>
          <t>MEGAFAT (HARUMI)</t>
        </is>
      </c>
      <c r="I856" s="4" t="n">
        <v>1.6501</v>
      </c>
      <c r="J856" s="2" t="inlineStr">
        <is>
          <t>MILL-RUN-01</t>
        </is>
      </c>
    </row>
    <row r="857">
      <c r="G857" s="2" t="inlineStr">
        <is>
          <t>2026-04-18</t>
        </is>
      </c>
      <c r="H857" s="2" t="inlineStr">
        <is>
          <t>MEGAFAT (HARUMI)</t>
        </is>
      </c>
      <c r="I857" s="4" t="n">
        <v>1.0919</v>
      </c>
      <c r="J857" s="2" t="inlineStr">
        <is>
          <t>MILL-RUN-01</t>
        </is>
      </c>
    </row>
    <row r="858">
      <c r="G858" s="2" t="inlineStr">
        <is>
          <t>2026-04-20</t>
        </is>
      </c>
      <c r="H858" s="2" t="inlineStr">
        <is>
          <t>MEGAFAT (HARUMI)</t>
        </is>
      </c>
      <c r="I858" s="4" t="n">
        <v>1.9001</v>
      </c>
      <c r="J858" s="2" t="inlineStr">
        <is>
          <t>MILL-RUN-01</t>
        </is>
      </c>
    </row>
    <row r="859">
      <c r="G859" s="2" t="inlineStr">
        <is>
          <t>2026-04-21</t>
        </is>
      </c>
      <c r="H859" s="2" t="inlineStr">
        <is>
          <t>MEGAFAT (HARUMI)</t>
        </is>
      </c>
      <c r="I859" s="4" t="n">
        <v>2.1</v>
      </c>
      <c r="J859" s="2" t="inlineStr">
        <is>
          <t>MILL-RUN-01</t>
        </is>
      </c>
    </row>
    <row r="860">
      <c r="G860" s="2" t="inlineStr">
        <is>
          <t>2026-04-23</t>
        </is>
      </c>
      <c r="H860" s="2" t="inlineStr">
        <is>
          <t>MEGAFAT (HARUMI)</t>
        </is>
      </c>
      <c r="I860" s="4" t="n">
        <v>2.45</v>
      </c>
      <c r="J860" s="2" t="inlineStr">
        <is>
          <t>MILL-RUN-01</t>
        </is>
      </c>
    </row>
    <row r="861">
      <c r="G861" s="2" t="inlineStr">
        <is>
          <t>2026-04-24</t>
        </is>
      </c>
      <c r="H861" s="2" t="inlineStr">
        <is>
          <t>MEGAFAT (HARUMI)</t>
        </is>
      </c>
      <c r="I861" s="4" t="n">
        <v>1.4501</v>
      </c>
      <c r="J861" s="2" t="inlineStr">
        <is>
          <t>MILL-RUN-01</t>
        </is>
      </c>
    </row>
    <row r="862">
      <c r="G862" s="2" t="inlineStr">
        <is>
          <t>2026-04-25</t>
        </is>
      </c>
      <c r="H862" s="2" t="inlineStr">
        <is>
          <t>MEGAFAT (HARUMI)</t>
        </is>
      </c>
      <c r="I862" s="4" t="n">
        <v>2.0298</v>
      </c>
      <c r="J862" s="2" t="inlineStr">
        <is>
          <t>MILL-RUN-01</t>
        </is>
      </c>
    </row>
    <row r="863">
      <c r="G863" s="2" t="inlineStr">
        <is>
          <t>2026-04-27</t>
        </is>
      </c>
      <c r="H863" s="2" t="inlineStr">
        <is>
          <t>MEGAFAT (HARUMI)</t>
        </is>
      </c>
      <c r="I863" s="4" t="n">
        <v>3.612</v>
      </c>
      <c r="J863" s="2" t="inlineStr">
        <is>
          <t>MILL-RUN-01</t>
        </is>
      </c>
    </row>
    <row r="864">
      <c r="G864" s="2" t="inlineStr">
        <is>
          <t>2026-04-28</t>
        </is>
      </c>
      <c r="H864" s="2" t="inlineStr">
        <is>
          <t>MEGAFAT (HARUMI)</t>
        </is>
      </c>
      <c r="I864" s="4" t="n">
        <v>0.79</v>
      </c>
      <c r="J864" s="2" t="inlineStr">
        <is>
          <t>MILL-RUN-01</t>
        </is>
      </c>
    </row>
    <row r="865">
      <c r="G865" s="2" t="inlineStr">
        <is>
          <t>2026-04-30</t>
        </is>
      </c>
      <c r="H865" s="2" t="inlineStr">
        <is>
          <t>MEGAFAT (HARUMI)</t>
        </is>
      </c>
      <c r="I865" s="4" t="n">
        <v>0.1999</v>
      </c>
      <c r="J865" s="2" t="inlineStr">
        <is>
          <t>MILL-RUN-01</t>
        </is>
      </c>
    </row>
    <row r="866">
      <c r="G866" s="2" t="inlineStr">
        <is>
          <t>2026-05-02</t>
        </is>
      </c>
      <c r="H866" s="2" t="inlineStr">
        <is>
          <t>MEGAFAT (HARUMI)</t>
        </is>
      </c>
      <c r="I866" s="4" t="n">
        <v>1.8799</v>
      </c>
      <c r="J866" s="2" t="inlineStr">
        <is>
          <t>MILL-RUN-01</t>
        </is>
      </c>
    </row>
    <row r="867">
      <c r="G867" s="2" t="inlineStr">
        <is>
          <t>2026-05-04</t>
        </is>
      </c>
      <c r="H867" s="2" t="inlineStr">
        <is>
          <t>MEGAFAT (HARUMI)</t>
        </is>
      </c>
      <c r="I867" s="4" t="n">
        <v>2.2251</v>
      </c>
      <c r="J867" s="2" t="inlineStr">
        <is>
          <t>MILL-RUN-01</t>
        </is>
      </c>
    </row>
    <row r="868">
      <c r="G868" s="2" t="inlineStr">
        <is>
          <t>2026-05-06</t>
        </is>
      </c>
      <c r="H868" s="2" t="inlineStr">
        <is>
          <t>MEGAFAT (HARUMI)</t>
        </is>
      </c>
      <c r="I868" s="4" t="n">
        <v>0.893</v>
      </c>
      <c r="J868" s="2" t="inlineStr">
        <is>
          <t>MILL-RUN-01</t>
        </is>
      </c>
    </row>
    <row r="869">
      <c r="G869" s="2" t="inlineStr">
        <is>
          <t>2026-05-07</t>
        </is>
      </c>
      <c r="H869" s="2" t="inlineStr">
        <is>
          <t>MEGAFAT (HARUMI)</t>
        </is>
      </c>
      <c r="I869" s="4" t="n">
        <v>1.927</v>
      </c>
      <c r="J869" s="2" t="inlineStr">
        <is>
          <t>MILL-RUN-01</t>
        </is>
      </c>
    </row>
    <row r="870">
      <c r="G870" s="2" t="inlineStr">
        <is>
          <t>2026-05-08</t>
        </is>
      </c>
      <c r="H870" s="2" t="inlineStr">
        <is>
          <t>MEGAFAT (HARUMI)</t>
        </is>
      </c>
      <c r="I870" s="4" t="n">
        <v>1.692</v>
      </c>
      <c r="J870" s="2" t="inlineStr">
        <is>
          <t>MILL-RUN-01</t>
        </is>
      </c>
    </row>
    <row r="871">
      <c r="G871" s="2" t="inlineStr">
        <is>
          <t>2026-05-09</t>
        </is>
      </c>
      <c r="H871" s="2" t="inlineStr">
        <is>
          <t>MEGAFAT (HARUMI)</t>
        </is>
      </c>
      <c r="I871" s="4" t="n">
        <v>100</v>
      </c>
      <c r="J871" s="2" t="inlineStr">
        <is>
          <t>MILL-RUN-01</t>
        </is>
      </c>
    </row>
    <row r="872">
      <c r="G872" s="2" t="inlineStr">
        <is>
          <t>2026-05-11</t>
        </is>
      </c>
      <c r="H872" s="2" t="inlineStr">
        <is>
          <t>MEGAFAT (HARUMI)</t>
        </is>
      </c>
      <c r="I872" s="4" t="n">
        <v>1.645</v>
      </c>
      <c r="J872" s="2" t="inlineStr">
        <is>
          <t>MILL-RUN-01</t>
        </is>
      </c>
    </row>
    <row r="873">
      <c r="G873" s="2" t="inlineStr">
        <is>
          <t>2026-05-12</t>
        </is>
      </c>
      <c r="H873" s="2" t="inlineStr">
        <is>
          <t>MEGAFAT (HARUMI)</t>
        </is>
      </c>
      <c r="I873" s="4" t="n">
        <v>2.25</v>
      </c>
      <c r="J873" s="2" t="inlineStr">
        <is>
          <t>MILL-RUN-01</t>
        </is>
      </c>
    </row>
    <row r="874">
      <c r="G874" s="2" t="inlineStr">
        <is>
          <t>2026-05-13</t>
        </is>
      </c>
      <c r="H874" s="2" t="inlineStr">
        <is>
          <t>MEGAFAT (HARUMI)</t>
        </is>
      </c>
      <c r="I874" s="4" t="n">
        <v>1.5901</v>
      </c>
      <c r="J874" s="2" t="inlineStr">
        <is>
          <t>MILL-RUN-01</t>
        </is>
      </c>
    </row>
    <row r="875">
      <c r="G875" s="2" t="inlineStr">
        <is>
          <t>2026-05-14</t>
        </is>
      </c>
      <c r="H875" s="2" t="inlineStr">
        <is>
          <t>MEGAFAT (HARUMI)</t>
        </is>
      </c>
      <c r="I875" s="4" t="n">
        <v>0.1821</v>
      </c>
      <c r="J875" s="2" t="inlineStr">
        <is>
          <t>MILL-RUN-01</t>
        </is>
      </c>
    </row>
    <row r="876">
      <c r="G876" s="2" t="inlineStr">
        <is>
          <t>2026-05-15</t>
        </is>
      </c>
      <c r="H876" s="2" t="inlineStr">
        <is>
          <t>MEGAFAT (HARUMI)</t>
        </is>
      </c>
      <c r="I876" s="4" t="n">
        <v>0.9999</v>
      </c>
      <c r="J876" s="2" t="inlineStr">
        <is>
          <t>MILL-RUN-01</t>
        </is>
      </c>
    </row>
    <row r="877">
      <c r="G877" s="2" t="inlineStr">
        <is>
          <t>2026-05-16</t>
        </is>
      </c>
      <c r="H877" s="2" t="inlineStr">
        <is>
          <t>MEGAFAT (HARUMI)</t>
        </is>
      </c>
      <c r="I877" s="4" t="n">
        <v>1.4099</v>
      </c>
      <c r="J877" s="2" t="inlineStr">
        <is>
          <t>MILL-RUN-01</t>
        </is>
      </c>
    </row>
    <row r="878">
      <c r="G878" s="2" t="inlineStr">
        <is>
          <t>2026-05-18</t>
        </is>
      </c>
      <c r="H878" s="2" t="inlineStr">
        <is>
          <t>MEGAFAT (HARUMI)</t>
        </is>
      </c>
      <c r="I878" s="4" t="n">
        <v>1.925</v>
      </c>
      <c r="J878" s="2" t="inlineStr">
        <is>
          <t>MILL-RUN-01</t>
        </is>
      </c>
    </row>
    <row r="879">
      <c r="G879" s="2" t="inlineStr">
        <is>
          <t>2026-05-19</t>
        </is>
      </c>
      <c r="H879" s="2" t="inlineStr">
        <is>
          <t>MEGAFAT (HARUMI)</t>
        </is>
      </c>
      <c r="I879" s="4" t="n">
        <v>2.25</v>
      </c>
      <c r="J879" s="2" t="inlineStr">
        <is>
          <t>MILL-RUN-01</t>
        </is>
      </c>
    </row>
    <row r="880">
      <c r="G880" s="2" t="inlineStr">
        <is>
          <t>2026-05-20</t>
        </is>
      </c>
      <c r="H880" s="2" t="inlineStr">
        <is>
          <t>MEGAFAT (HARUMI)</t>
        </is>
      </c>
      <c r="I880" s="4" t="n">
        <v>100</v>
      </c>
      <c r="J880" s="2" t="inlineStr">
        <is>
          <t>MILL-RUN-01</t>
        </is>
      </c>
    </row>
    <row r="881">
      <c r="G881" s="2" t="inlineStr">
        <is>
          <t>2026-05-22</t>
        </is>
      </c>
      <c r="H881" s="2" t="inlineStr">
        <is>
          <t>MEGAFAT (HARUMI)</t>
        </is>
      </c>
      <c r="I881" s="4" t="n">
        <v>0.468</v>
      </c>
      <c r="J881" s="2" t="inlineStr">
        <is>
          <t>MILL-RUN-01</t>
        </is>
      </c>
    </row>
    <row r="882">
      <c r="G882" s="2" t="inlineStr">
        <is>
          <t>2026-05-23</t>
        </is>
      </c>
      <c r="H882" s="2" t="inlineStr">
        <is>
          <t>MEGAFAT (HARUMI)</t>
        </is>
      </c>
      <c r="I882" s="4" t="n">
        <v>1.1751</v>
      </c>
      <c r="J882" s="2" t="inlineStr">
        <is>
          <t>MILL-RUN-01</t>
        </is>
      </c>
    </row>
    <row r="883">
      <c r="G883" s="2" t="inlineStr">
        <is>
          <t>2026-05-25</t>
        </is>
      </c>
      <c r="H883" s="2" t="inlineStr">
        <is>
          <t>MEGAFAT (HARUMI)</t>
        </is>
      </c>
      <c r="I883" s="4" t="n">
        <v>0.14</v>
      </c>
      <c r="J883" s="2" t="inlineStr">
        <is>
          <t>MILL-RUN-01</t>
        </is>
      </c>
    </row>
    <row r="884">
      <c r="G884" s="2" t="inlineStr">
        <is>
          <t>2026-05-26</t>
        </is>
      </c>
      <c r="H884" s="2" t="inlineStr">
        <is>
          <t>MEGAFAT (HARUMI)</t>
        </is>
      </c>
      <c r="I884" s="4" t="n">
        <v>1.62</v>
      </c>
      <c r="J884" s="2" t="inlineStr">
        <is>
          <t>MILL-RUN-01</t>
        </is>
      </c>
    </row>
    <row r="885">
      <c r="G885" s="2" t="inlineStr">
        <is>
          <t>2026-05-28</t>
        </is>
      </c>
      <c r="H885" s="2" t="inlineStr">
        <is>
          <t>MEGAFAT (HARUMI)</t>
        </is>
      </c>
      <c r="I885" s="4" t="n">
        <v>0.329</v>
      </c>
      <c r="J885" s="2" t="inlineStr">
        <is>
          <t>MILL-RUN-01</t>
        </is>
      </c>
    </row>
    <row r="886">
      <c r="G886" s="2" t="inlineStr">
        <is>
          <t>2026-05-29</t>
        </is>
      </c>
      <c r="H886" s="2" t="inlineStr">
        <is>
          <t>MEGAFAT (HARUMI)</t>
        </is>
      </c>
      <c r="I886" s="4" t="n">
        <v>100</v>
      </c>
      <c r="J886" s="2" t="inlineStr">
        <is>
          <t>MILL-RUN-01</t>
        </is>
      </c>
    </row>
    <row r="887">
      <c r="G887" s="2" t="inlineStr">
        <is>
          <t>2026-05-30</t>
        </is>
      </c>
      <c r="H887" s="2" t="inlineStr">
        <is>
          <t>MEGAFAT (HARUMI)</t>
        </is>
      </c>
      <c r="I887" s="4" t="n">
        <v>20.1</v>
      </c>
      <c r="J887" s="2" t="inlineStr">
        <is>
          <t>MILL-RUN-01</t>
        </is>
      </c>
    </row>
    <row r="888">
      <c r="G888" s="2" t="inlineStr">
        <is>
          <t>2026-06-02</t>
        </is>
      </c>
      <c r="H888" s="2" t="inlineStr">
        <is>
          <t>MEGAFAT (HARUMI)</t>
        </is>
      </c>
      <c r="I888" s="4" t="n">
        <v>0.376</v>
      </c>
      <c r="J888" s="2" t="inlineStr">
        <is>
          <t>MILL-RUN-01</t>
        </is>
      </c>
    </row>
    <row r="889">
      <c r="G889" s="2" t="inlineStr">
        <is>
          <t>2026-06-03</t>
        </is>
      </c>
      <c r="H889" s="2" t="inlineStr">
        <is>
          <t>MEGAFAT (HARUMI)</t>
        </is>
      </c>
      <c r="I889" s="4" t="n">
        <v>0.4701</v>
      </c>
      <c r="J889" s="2" t="inlineStr">
        <is>
          <t>MILL-RUN-01</t>
        </is>
      </c>
    </row>
    <row r="890">
      <c r="G890" s="2" t="inlineStr">
        <is>
          <t>2026-06-04</t>
        </is>
      </c>
      <c r="H890" s="2" t="inlineStr">
        <is>
          <t>MEGAFAT (HARUMI)</t>
        </is>
      </c>
      <c r="I890" s="4" t="n">
        <v>1.0903</v>
      </c>
      <c r="J890" s="2" t="inlineStr">
        <is>
          <t>MILL-RUN-01</t>
        </is>
      </c>
    </row>
    <row r="891">
      <c r="G891" s="2" t="inlineStr">
        <is>
          <t>2026-06-06</t>
        </is>
      </c>
      <c r="H891" s="2" t="inlineStr">
        <is>
          <t>MEGAFAT (HARUMI)</t>
        </is>
      </c>
      <c r="I891" s="4" t="n">
        <v>1.283</v>
      </c>
      <c r="J891" s="2" t="inlineStr">
        <is>
          <t>MILL-RUN-01</t>
        </is>
      </c>
    </row>
    <row r="892">
      <c r="G892" s="2" t="inlineStr">
        <is>
          <t>2026-06-08</t>
        </is>
      </c>
      <c r="H892" s="2" t="inlineStr">
        <is>
          <t>MEGAFAT (HARUMI)</t>
        </is>
      </c>
      <c r="I892" s="4" t="n">
        <v>1.0401</v>
      </c>
      <c r="J892" s="2" t="inlineStr">
        <is>
          <t>MILL-RUN-01</t>
        </is>
      </c>
    </row>
    <row r="893">
      <c r="G893" s="2" t="inlineStr">
        <is>
          <t>2026-06-09</t>
        </is>
      </c>
      <c r="H893" s="2" t="inlineStr">
        <is>
          <t>MEGAFAT (HARUMI)</t>
        </is>
      </c>
      <c r="I893" s="4" t="n">
        <v>1.41</v>
      </c>
      <c r="J893" s="2" t="inlineStr">
        <is>
          <t>MILL-RUN-01</t>
        </is>
      </c>
    </row>
    <row r="894">
      <c r="G894" s="2" t="inlineStr">
        <is>
          <t>2026-06-11</t>
        </is>
      </c>
      <c r="H894" s="2" t="inlineStr">
        <is>
          <t>MEGAFAT (HARUMI)</t>
        </is>
      </c>
      <c r="I894" s="4" t="n">
        <v>50</v>
      </c>
      <c r="J894" s="2" t="inlineStr">
        <is>
          <t>MILL-RUN-01</t>
        </is>
      </c>
    </row>
    <row r="895">
      <c r="G895" s="2" t="inlineStr">
        <is>
          <t>2026-06-12</t>
        </is>
      </c>
      <c r="H895" s="2" t="inlineStr">
        <is>
          <t>MEGAFAT (HARUMI)</t>
        </is>
      </c>
      <c r="I895" s="4" t="n">
        <v>2.5049</v>
      </c>
      <c r="J895" s="2" t="inlineStr">
        <is>
          <t>MILL-RUN-01</t>
        </is>
      </c>
    </row>
    <row r="896">
      <c r="G896" s="2" t="inlineStr">
        <is>
          <t>2026-06-13</t>
        </is>
      </c>
      <c r="H896" s="2" t="inlineStr">
        <is>
          <t>MEGAFAT (HARUMI)</t>
        </is>
      </c>
      <c r="I896" s="4" t="n">
        <v>0.1501</v>
      </c>
      <c r="J896" s="2" t="inlineStr">
        <is>
          <t>MILL-RUN-01</t>
        </is>
      </c>
    </row>
    <row r="897">
      <c r="G897" s="2" t="inlineStr">
        <is>
          <t>2026-06-15</t>
        </is>
      </c>
      <c r="H897" s="2" t="inlineStr">
        <is>
          <t>MEGAFAT (HARUMI)</t>
        </is>
      </c>
      <c r="I897" s="4" t="n">
        <v>0.22</v>
      </c>
      <c r="J897" s="2" t="inlineStr">
        <is>
          <t>MILL-RUN-01</t>
        </is>
      </c>
    </row>
    <row r="898">
      <c r="G898" s="2" t="inlineStr">
        <is>
          <t>2026-06-16</t>
        </is>
      </c>
      <c r="H898" s="2" t="inlineStr">
        <is>
          <t>MEGAFAT (HARUMI)</t>
        </is>
      </c>
      <c r="I898" s="4" t="n">
        <v>100</v>
      </c>
      <c r="J898" s="2" t="inlineStr">
        <is>
          <t>MILL-RUN-01</t>
        </is>
      </c>
    </row>
    <row r="899">
      <c r="G899" s="2" t="inlineStr">
        <is>
          <t>2026-06-17</t>
        </is>
      </c>
      <c r="H899" s="2" t="inlineStr">
        <is>
          <t>MEGAFAT (HARUMI)</t>
        </is>
      </c>
      <c r="I899" s="4" t="n">
        <v>49.9</v>
      </c>
      <c r="J899" s="2" t="inlineStr">
        <is>
          <t>MILL-RUN-01</t>
        </is>
      </c>
    </row>
    <row r="900">
      <c r="G900" s="2" t="inlineStr">
        <is>
          <t>2026-06-19</t>
        </is>
      </c>
      <c r="H900" s="2" t="inlineStr">
        <is>
          <t>MEGAFAT (HARUMI)</t>
        </is>
      </c>
      <c r="I900" s="4" t="n">
        <v>0.45</v>
      </c>
      <c r="J900" s="2" t="inlineStr">
        <is>
          <t>MILL-RUN-01</t>
        </is>
      </c>
    </row>
    <row r="901">
      <c r="G901" s="2" t="inlineStr">
        <is>
          <t>2026-06-20</t>
        </is>
      </c>
      <c r="H901" s="2" t="inlineStr">
        <is>
          <t>MEGAFAT (HARUMI)</t>
        </is>
      </c>
      <c r="I901" s="4" t="n">
        <v>100</v>
      </c>
      <c r="J901" s="2" t="inlineStr">
        <is>
          <t>MILL-RUN-01</t>
        </is>
      </c>
    </row>
    <row r="902">
      <c r="G902" s="2" t="inlineStr">
        <is>
          <t>2026-06-23</t>
        </is>
      </c>
      <c r="H902" s="2" t="inlineStr">
        <is>
          <t>MEGAFAT (HARUMI)</t>
        </is>
      </c>
      <c r="I902" s="4" t="n">
        <v>100</v>
      </c>
      <c r="J902" s="2" t="inlineStr">
        <is>
          <t>MILL-RUN-01</t>
        </is>
      </c>
    </row>
    <row r="903">
      <c r="G903" s="2" t="inlineStr">
        <is>
          <t>2026-06-24</t>
        </is>
      </c>
      <c r="H903" s="2" t="inlineStr">
        <is>
          <t>MEGAFAT (HARUMI)</t>
        </is>
      </c>
      <c r="I903" s="4" t="n">
        <v>0.1199</v>
      </c>
      <c r="J903" s="2" t="inlineStr">
        <is>
          <t>MILL-RUN-01</t>
        </is>
      </c>
    </row>
    <row r="904">
      <c r="G904" s="2" t="inlineStr">
        <is>
          <t>2026-06-25</t>
        </is>
      </c>
      <c r="H904" s="2" t="inlineStr">
        <is>
          <t>MEGAFAT (HARUMI)</t>
        </is>
      </c>
      <c r="I904" s="4" t="n">
        <v>0.2001</v>
      </c>
      <c r="J904" s="2" t="inlineStr">
        <is>
          <t>MILL-RUN-01</t>
        </is>
      </c>
    </row>
    <row r="905">
      <c r="G905" s="2" t="inlineStr">
        <is>
          <t>2026-06-26</t>
        </is>
      </c>
      <c r="H905" s="2" t="inlineStr">
        <is>
          <t>MEGAFAT (HARUMI)</t>
        </is>
      </c>
      <c r="I905" s="4" t="n">
        <v>1.0649</v>
      </c>
      <c r="J905" s="2" t="inlineStr">
        <is>
          <t>MILL-RUN-01</t>
        </is>
      </c>
    </row>
    <row r="906">
      <c r="G906" s="2" t="inlineStr">
        <is>
          <t>2026-06-27</t>
        </is>
      </c>
      <c r="H906" s="2" t="inlineStr">
        <is>
          <t>MEGAFAT (HARUMI)</t>
        </is>
      </c>
      <c r="I906" s="4" t="n">
        <v>60</v>
      </c>
      <c r="J906" s="2" t="inlineStr">
        <is>
          <t>MILL-RUN-01</t>
        </is>
      </c>
    </row>
    <row r="907">
      <c r="G907" s="2" t="inlineStr">
        <is>
          <t>2026-06-29</t>
        </is>
      </c>
      <c r="H907" s="2" t="inlineStr">
        <is>
          <t>MEGAFAT (HARUMI)</t>
        </is>
      </c>
      <c r="I907" s="4" t="n">
        <v>0.6</v>
      </c>
      <c r="J907" s="2" t="inlineStr">
        <is>
          <t>MILL-RUN-01</t>
        </is>
      </c>
    </row>
    <row r="908">
      <c r="G908" s="2" t="inlineStr">
        <is>
          <t>2026-06-30</t>
        </is>
      </c>
      <c r="H908" s="2" t="inlineStr">
        <is>
          <t>MEGAFAT (HARUMI)</t>
        </is>
      </c>
      <c r="I908" s="4" t="n">
        <v>0.6</v>
      </c>
      <c r="J908" s="2" t="inlineStr">
        <is>
          <t>MILL-RUN-01</t>
        </is>
      </c>
    </row>
    <row r="909">
      <c r="G909" s="2" t="inlineStr">
        <is>
          <t>2026-07-02</t>
        </is>
      </c>
      <c r="H909" s="2" t="inlineStr">
        <is>
          <t>MEGAFAT (HARUMI)</t>
        </is>
      </c>
      <c r="I909" s="4" t="n">
        <v>0.5</v>
      </c>
      <c r="J909" s="2" t="inlineStr">
        <is>
          <t>MILL-RUN-01</t>
        </is>
      </c>
    </row>
    <row r="910">
      <c r="G910" s="2" t="inlineStr">
        <is>
          <t>2026-07-03</t>
        </is>
      </c>
      <c r="H910" s="2" t="inlineStr">
        <is>
          <t>MEGAFAT (HARUMI)</t>
        </is>
      </c>
      <c r="I910" s="4" t="n">
        <v>0.3203</v>
      </c>
      <c r="J910" s="2" t="inlineStr">
        <is>
          <t>MILL-RUN-01</t>
        </is>
      </c>
    </row>
    <row r="911">
      <c r="G911" s="2" t="inlineStr">
        <is>
          <t>2026-07-04</t>
        </is>
      </c>
      <c r="H911" s="2" t="inlineStr">
        <is>
          <t>MEGAFAT (HARUMI)</t>
        </is>
      </c>
      <c r="I911" s="4" t="n">
        <v>0.7938999999999999</v>
      </c>
      <c r="J911" s="2" t="inlineStr">
        <is>
          <t>MILL-RUN-01</t>
        </is>
      </c>
    </row>
    <row r="912">
      <c r="G912" s="2" t="inlineStr">
        <is>
          <t>2026-07-06</t>
        </is>
      </c>
      <c r="H912" s="2" t="inlineStr">
        <is>
          <t>MEGAFAT (HARUMI)</t>
        </is>
      </c>
      <c r="I912" s="4" t="n">
        <v>0.38</v>
      </c>
      <c r="J912" s="2" t="inlineStr">
        <is>
          <t>MILL-RUN-01</t>
        </is>
      </c>
    </row>
    <row r="913">
      <c r="G913" s="2" t="inlineStr">
        <is>
          <t>2026-07-07</t>
        </is>
      </c>
      <c r="H913" s="2" t="inlineStr">
        <is>
          <t>MEGAFAT (HARUMI)</t>
        </is>
      </c>
      <c r="I913" s="4" t="n">
        <v>0.2</v>
      </c>
      <c r="J913" s="2" t="inlineStr">
        <is>
          <t>MILL-RUN-01</t>
        </is>
      </c>
    </row>
    <row r="914">
      <c r="G914" s="2" t="inlineStr">
        <is>
          <t>2026-07-08</t>
        </is>
      </c>
      <c r="H914" s="2" t="inlineStr">
        <is>
          <t>MEGAFAT (HARUMI)</t>
        </is>
      </c>
      <c r="I914" s="4" t="n">
        <v>0.2</v>
      </c>
      <c r="J914" s="2" t="inlineStr">
        <is>
          <t>MILL-RUN-01</t>
        </is>
      </c>
    </row>
    <row r="915">
      <c r="G915" s="2" t="inlineStr">
        <is>
          <t>2026-07-09</t>
        </is>
      </c>
      <c r="H915" s="2" t="inlineStr">
        <is>
          <t>MEGAFAT (HARUMI)</t>
        </is>
      </c>
      <c r="I915" s="4" t="n">
        <v>0.59</v>
      </c>
      <c r="J915" s="2" t="inlineStr">
        <is>
          <t>MILL-RUN-01</t>
        </is>
      </c>
    </row>
    <row r="916">
      <c r="G916" s="2" t="inlineStr">
        <is>
          <t>2026-07-10</t>
        </is>
      </c>
      <c r="H916" s="2" t="inlineStr">
        <is>
          <t>MEGAFAT (HARUMI)</t>
        </is>
      </c>
      <c r="I916" s="4" t="n">
        <v>2.4419</v>
      </c>
      <c r="J916" s="2" t="inlineStr">
        <is>
          <t>MILL-RUN-01</t>
        </is>
      </c>
    </row>
    <row r="917">
      <c r="G917" s="2" t="inlineStr">
        <is>
          <t>2026-07-13</t>
        </is>
      </c>
      <c r="H917" s="2" t="inlineStr">
        <is>
          <t>MEGAFAT (HARUMI)</t>
        </is>
      </c>
      <c r="I917" s="4" t="n">
        <v>0.18</v>
      </c>
      <c r="J917" s="2" t="inlineStr">
        <is>
          <t>MILL-RUN-01</t>
        </is>
      </c>
    </row>
    <row r="918">
      <c r="G918" s="2" t="inlineStr">
        <is>
          <t>2026-07-14</t>
        </is>
      </c>
      <c r="H918" s="2" t="inlineStr">
        <is>
          <t>MEGAFAT (HARUMI)</t>
        </is>
      </c>
      <c r="I918" s="4" t="n">
        <v>1.665</v>
      </c>
      <c r="J918" s="2" t="inlineStr">
        <is>
          <t>MILL-RUN-01</t>
        </is>
      </c>
    </row>
    <row r="919">
      <c r="G919" s="2" t="inlineStr">
        <is>
          <t>2026-07-15</t>
        </is>
      </c>
      <c r="H919" s="2" t="inlineStr">
        <is>
          <t>MEGAFAT (HARUMI)</t>
        </is>
      </c>
      <c r="I919" s="4" t="n">
        <v>0.2</v>
      </c>
      <c r="J919" s="2" t="inlineStr">
        <is>
          <t>MILL-RUN-01</t>
        </is>
      </c>
    </row>
    <row r="920">
      <c r="G920" s="2" t="inlineStr">
        <is>
          <t>2026-07-16</t>
        </is>
      </c>
      <c r="H920" s="2" t="inlineStr">
        <is>
          <t>MEGAFAT (HARUMI)</t>
        </is>
      </c>
      <c r="I920" s="4" t="n">
        <v>0.9762999999999999</v>
      </c>
      <c r="J920" s="2" t="inlineStr">
        <is>
          <t>MILL-RUN-01</t>
        </is>
      </c>
    </row>
    <row r="921">
      <c r="G921" s="2" t="inlineStr">
        <is>
          <t>2026-07-17</t>
        </is>
      </c>
      <c r="H921" s="2" t="inlineStr">
        <is>
          <t>MEGAFAT (HARUMI)</t>
        </is>
      </c>
      <c r="I921" s="4" t="n">
        <v>0.1502</v>
      </c>
      <c r="J921" s="2" t="inlineStr">
        <is>
          <t>MILL-RUN-01</t>
        </is>
      </c>
    </row>
    <row r="922">
      <c r="G922" s="2" t="inlineStr">
        <is>
          <t>2026-07-18</t>
        </is>
      </c>
      <c r="H922" s="2" t="inlineStr">
        <is>
          <t>MEGAFAT (HARUMI)</t>
        </is>
      </c>
      <c r="I922" s="4" t="n">
        <v>0.586</v>
      </c>
      <c r="J922" s="2" t="inlineStr">
        <is>
          <t>MILL-RUN-01</t>
        </is>
      </c>
    </row>
    <row r="923">
      <c r="G923" s="2" t="inlineStr">
        <is>
          <t>2026-07-21</t>
        </is>
      </c>
      <c r="H923" s="2" t="inlineStr">
        <is>
          <t>MEGAFAT (HARUMI)</t>
        </is>
      </c>
      <c r="I923" s="4" t="n">
        <v>0.41</v>
      </c>
      <c r="J923" s="2" t="inlineStr">
        <is>
          <t>MILL-RUN-01</t>
        </is>
      </c>
    </row>
    <row r="924">
      <c r="G924" s="2" t="inlineStr">
        <is>
          <t>2026-07-23</t>
        </is>
      </c>
      <c r="H924" s="2" t="inlineStr">
        <is>
          <t>MEGAFAT (HARUMI)</t>
        </is>
      </c>
      <c r="I924" s="4" t="n">
        <v>0.705</v>
      </c>
      <c r="J924" s="2" t="inlineStr">
        <is>
          <t>MILL-RUN-01</t>
        </is>
      </c>
    </row>
    <row r="925">
      <c r="G925" s="2" t="inlineStr">
        <is>
          <t>2026-07-24</t>
        </is>
      </c>
      <c r="H925" s="2" t="inlineStr">
        <is>
          <t>MEGAFAT (HARUMI)</t>
        </is>
      </c>
      <c r="I925" s="4" t="n">
        <v>0.7679</v>
      </c>
      <c r="J925" s="2" t="inlineStr">
        <is>
          <t>MILL-RUN-01</t>
        </is>
      </c>
    </row>
    <row r="926">
      <c r="G926" s="2" t="inlineStr">
        <is>
          <t>2026-07-25</t>
        </is>
      </c>
      <c r="H926" s="2" t="inlineStr">
        <is>
          <t>MEGAFAT (HARUMI)</t>
        </is>
      </c>
      <c r="I926" s="4" t="n">
        <v>0.15</v>
      </c>
      <c r="J926" s="2" t="inlineStr">
        <is>
          <t>MILL-RUN-01</t>
        </is>
      </c>
    </row>
    <row r="927">
      <c r="G927" s="2" t="inlineStr">
        <is>
          <t>2026-07-27</t>
        </is>
      </c>
      <c r="H927" s="2" t="inlineStr">
        <is>
          <t>MEGAFAT (HARUMI)</t>
        </is>
      </c>
      <c r="I927" s="4" t="n">
        <v>0.5999</v>
      </c>
      <c r="J927" s="2" t="inlineStr">
        <is>
          <t>MILL-RUN-01</t>
        </is>
      </c>
    </row>
    <row r="928">
      <c r="G928" s="2" t="inlineStr">
        <is>
          <t>2026-07-30</t>
        </is>
      </c>
      <c r="H928" s="2" t="inlineStr">
        <is>
          <t>MEGAFAT (HARUMI)</t>
        </is>
      </c>
      <c r="I928" s="4" t="n">
        <v>0.47</v>
      </c>
      <c r="J928" s="2" t="inlineStr">
        <is>
          <t>MILL-RUN-01</t>
        </is>
      </c>
    </row>
    <row r="929">
      <c r="G929" s="2" t="inlineStr">
        <is>
          <t>2026-07-31</t>
        </is>
      </c>
      <c r="H929" s="2" t="inlineStr">
        <is>
          <t>MEGAFAT (HARUMI)</t>
        </is>
      </c>
      <c r="I929" s="4" t="n">
        <v>1.3161</v>
      </c>
      <c r="J929" s="2" t="inlineStr">
        <is>
          <t>MILL-RUN-01</t>
        </is>
      </c>
    </row>
    <row r="930">
      <c r="G930" s="2" t="inlineStr">
        <is>
          <t>2026-01-10</t>
        </is>
      </c>
      <c r="H930" s="2" t="inlineStr">
        <is>
          <t>DCP 18%</t>
        </is>
      </c>
      <c r="I930" s="4" t="n">
        <v>51</v>
      </c>
      <c r="J930" s="2" t="inlineStr">
        <is>
          <t>MILL-RUN-01</t>
        </is>
      </c>
    </row>
    <row r="931">
      <c r="G931" s="2" t="inlineStr">
        <is>
          <t>2026-01-16</t>
        </is>
      </c>
      <c r="H931" s="2" t="inlineStr">
        <is>
          <t>DCP 18%</t>
        </is>
      </c>
      <c r="I931" s="4" t="n">
        <v>75</v>
      </c>
      <c r="J931" s="2" t="inlineStr">
        <is>
          <t>MILL-RUN-01</t>
        </is>
      </c>
    </row>
    <row r="932">
      <c r="G932" s="2" t="inlineStr">
        <is>
          <t>2026-01-23</t>
        </is>
      </c>
      <c r="H932" s="2" t="inlineStr">
        <is>
          <t>DCP 18%</t>
        </is>
      </c>
      <c r="I932" s="4" t="n">
        <v>0.102</v>
      </c>
      <c r="J932" s="2" t="inlineStr">
        <is>
          <t>MILL-RUN-01</t>
        </is>
      </c>
    </row>
    <row r="933">
      <c r="G933" s="2" t="inlineStr">
        <is>
          <t>2026-02-03</t>
        </is>
      </c>
      <c r="H933" s="2" t="inlineStr">
        <is>
          <t>DCP 18%</t>
        </is>
      </c>
      <c r="I933" s="4" t="n">
        <v>32.5</v>
      </c>
      <c r="J933" s="2" t="inlineStr">
        <is>
          <t>MILL-RUN-01</t>
        </is>
      </c>
    </row>
    <row r="934">
      <c r="G934" s="2" t="inlineStr">
        <is>
          <t>2026-02-04</t>
        </is>
      </c>
      <c r="H934" s="2" t="inlineStr">
        <is>
          <t>DCP 18%</t>
        </is>
      </c>
      <c r="I934" s="4" t="n">
        <v>0.252</v>
      </c>
      <c r="J934" s="2" t="inlineStr">
        <is>
          <t>MILL-RUN-01</t>
        </is>
      </c>
    </row>
    <row r="935">
      <c r="G935" s="2" t="inlineStr">
        <is>
          <t>2026-02-07</t>
        </is>
      </c>
      <c r="H935" s="2" t="inlineStr">
        <is>
          <t>DCP 18%</t>
        </is>
      </c>
      <c r="I935" s="4" t="n">
        <v>1.5129</v>
      </c>
      <c r="J935" s="2" t="inlineStr">
        <is>
          <t>MILL-RUN-01</t>
        </is>
      </c>
    </row>
    <row r="936">
      <c r="G936" s="2" t="inlineStr">
        <is>
          <t>2026-02-11</t>
        </is>
      </c>
      <c r="H936" s="2" t="inlineStr">
        <is>
          <t>DCP 18%</t>
        </is>
      </c>
      <c r="I936" s="4" t="n">
        <v>0.3645</v>
      </c>
      <c r="J936" s="2" t="inlineStr">
        <is>
          <t>MILL-RUN-01</t>
        </is>
      </c>
    </row>
    <row r="937">
      <c r="G937" s="2" t="inlineStr">
        <is>
          <t>2026-02-13</t>
        </is>
      </c>
      <c r="H937" s="2" t="inlineStr">
        <is>
          <t>DCP 18%</t>
        </is>
      </c>
      <c r="I937" s="4" t="n">
        <v>2.1232</v>
      </c>
      <c r="J937" s="2" t="inlineStr">
        <is>
          <t>MILL-RUN-01</t>
        </is>
      </c>
    </row>
    <row r="938">
      <c r="G938" s="2" t="inlineStr">
        <is>
          <t>2026-02-16</t>
        </is>
      </c>
      <c r="H938" s="2" t="inlineStr">
        <is>
          <t>DCP 18%</t>
        </is>
      </c>
      <c r="I938" s="4" t="n">
        <v>67.5</v>
      </c>
      <c r="J938" s="2" t="inlineStr">
        <is>
          <t>MILL-RUN-01</t>
        </is>
      </c>
    </row>
    <row r="939">
      <c r="G939" s="2" t="inlineStr">
        <is>
          <t>2026-02-24</t>
        </is>
      </c>
      <c r="H939" s="2" t="inlineStr">
        <is>
          <t>DCP 18%</t>
        </is>
      </c>
      <c r="I939" s="4" t="n">
        <v>0.1415</v>
      </c>
      <c r="J939" s="2" t="inlineStr">
        <is>
          <t>MILL-RUN-01</t>
        </is>
      </c>
    </row>
    <row r="940">
      <c r="G940" s="2" t="inlineStr">
        <is>
          <t>2026-02-26</t>
        </is>
      </c>
      <c r="H940" s="2" t="inlineStr">
        <is>
          <t>DCP 18%</t>
        </is>
      </c>
      <c r="I940" s="4" t="n">
        <v>0.5514</v>
      </c>
      <c r="J940" s="2" t="inlineStr">
        <is>
          <t>MILL-RUN-01</t>
        </is>
      </c>
    </row>
    <row r="941">
      <c r="G941" s="2" t="inlineStr">
        <is>
          <t>2026-02-28</t>
        </is>
      </c>
      <c r="H941" s="2" t="inlineStr">
        <is>
          <t>DCP 18%</t>
        </is>
      </c>
      <c r="I941" s="4" t="n">
        <v>0.231</v>
      </c>
      <c r="J941" s="2" t="inlineStr">
        <is>
          <t>MILL-RUN-01</t>
        </is>
      </c>
    </row>
    <row r="942">
      <c r="G942" s="2" t="inlineStr">
        <is>
          <t>2026-03-07</t>
        </is>
      </c>
      <c r="H942" s="2" t="inlineStr">
        <is>
          <t>DCP 18%</t>
        </is>
      </c>
      <c r="I942" s="4" t="n">
        <v>3.1782</v>
      </c>
      <c r="J942" s="2" t="inlineStr">
        <is>
          <t>3178.7</t>
        </is>
      </c>
    </row>
    <row r="943">
      <c r="G943" s="2" t="inlineStr">
        <is>
          <t>2026-03-14</t>
        </is>
      </c>
      <c r="H943" s="2" t="inlineStr">
        <is>
          <t>DCP 18%</t>
        </is>
      </c>
      <c r="I943" s="4" t="n">
        <v>1.766</v>
      </c>
      <c r="J943" s="2" t="inlineStr">
        <is>
          <t>MILL-RUN-01</t>
        </is>
      </c>
    </row>
    <row r="944">
      <c r="G944" s="2" t="inlineStr">
        <is>
          <t>2026-03-19</t>
        </is>
      </c>
      <c r="H944" s="2" t="inlineStr">
        <is>
          <t>DCP 18%</t>
        </is>
      </c>
      <c r="I944" s="4" t="n">
        <v>0.234</v>
      </c>
      <c r="J944" s="2" t="inlineStr">
        <is>
          <t>MILL-RUN-01</t>
        </is>
      </c>
    </row>
    <row r="945">
      <c r="G945" s="2" t="inlineStr">
        <is>
          <t>2026-03-24</t>
        </is>
      </c>
      <c r="H945" s="2" t="inlineStr">
        <is>
          <t>DCP 18%</t>
        </is>
      </c>
      <c r="I945" s="4" t="n">
        <v>0.1215</v>
      </c>
      <c r="J945" s="2" t="inlineStr">
        <is>
          <t>MILL-RUN-01</t>
        </is>
      </c>
    </row>
    <row r="946">
      <c r="G946" s="2" t="inlineStr">
        <is>
          <t>2026-03-27</t>
        </is>
      </c>
      <c r="H946" s="2" t="inlineStr">
        <is>
          <t>DCP 18%</t>
        </is>
      </c>
      <c r="I946" s="4" t="n">
        <v>0.8954</v>
      </c>
      <c r="J946" s="2" t="inlineStr">
        <is>
          <t>MILL-RUN-01</t>
        </is>
      </c>
    </row>
    <row r="947">
      <c r="G947" s="2" t="inlineStr">
        <is>
          <t>2026-04-04</t>
        </is>
      </c>
      <c r="H947" s="2" t="inlineStr">
        <is>
          <t>DCP 18%</t>
        </is>
      </c>
      <c r="I947" s="4" t="n">
        <v>1.3471</v>
      </c>
      <c r="J947" s="2" t="inlineStr">
        <is>
          <t>MILL-RUN-01</t>
        </is>
      </c>
    </row>
    <row r="948">
      <c r="G948" s="2" t="inlineStr">
        <is>
          <t>2026-04-08</t>
        </is>
      </c>
      <c r="H948" s="2" t="inlineStr">
        <is>
          <t>DCP 18%</t>
        </is>
      </c>
      <c r="I948" s="4" t="n">
        <v>0.742</v>
      </c>
      <c r="J948" s="2" t="inlineStr">
        <is>
          <t>MILL-RUN-01</t>
        </is>
      </c>
    </row>
    <row r="949">
      <c r="G949" s="2" t="inlineStr">
        <is>
          <t>2026-04-10</t>
        </is>
      </c>
      <c r="H949" s="2" t="inlineStr">
        <is>
          <t>DCP 18%</t>
        </is>
      </c>
      <c r="I949" s="4" t="n">
        <v>1.495</v>
      </c>
      <c r="J949" s="2" t="inlineStr">
        <is>
          <t>MILL-RUN-01</t>
        </is>
      </c>
    </row>
    <row r="950">
      <c r="G950" s="2" t="inlineStr">
        <is>
          <t>2026-04-18</t>
        </is>
      </c>
      <c r="H950" s="2" t="inlineStr">
        <is>
          <t>DCP 18%</t>
        </is>
      </c>
      <c r="I950" s="4" t="n">
        <v>1.019</v>
      </c>
      <c r="J950" s="2" t="inlineStr">
        <is>
          <t>MILL-RUN-01</t>
        </is>
      </c>
    </row>
    <row r="951">
      <c r="G951" s="2" t="inlineStr">
        <is>
          <t>2026-04-20</t>
        </is>
      </c>
      <c r="H951" s="2" t="inlineStr">
        <is>
          <t>DCP 18%</t>
        </is>
      </c>
      <c r="I951" s="4" t="n">
        <v>0.798</v>
      </c>
      <c r="J951" s="2" t="inlineStr">
        <is>
          <t>MILL-RUN-01</t>
        </is>
      </c>
    </row>
    <row r="952">
      <c r="G952" s="2" t="inlineStr">
        <is>
          <t>2026-04-25</t>
        </is>
      </c>
      <c r="H952" s="2" t="inlineStr">
        <is>
          <t>DCP 18%</t>
        </is>
      </c>
      <c r="I952" s="4" t="n">
        <v>0.231</v>
      </c>
      <c r="J952" s="2" t="inlineStr">
        <is>
          <t>MILL-RUN-01</t>
        </is>
      </c>
    </row>
    <row r="953">
      <c r="G953" s="2" t="inlineStr">
        <is>
          <t>2026-04-27</t>
        </is>
      </c>
      <c r="H953" s="2" t="inlineStr">
        <is>
          <t>DCP 18%</t>
        </is>
      </c>
      <c r="I953" s="4" t="n">
        <v>27</v>
      </c>
      <c r="J953" s="2" t="inlineStr">
        <is>
          <t>MILL-RUN-01</t>
        </is>
      </c>
    </row>
    <row r="954">
      <c r="G954" s="2" t="inlineStr">
        <is>
          <t>2026-04-30</t>
        </is>
      </c>
      <c r="H954" s="2" t="inlineStr">
        <is>
          <t>DCP 18%</t>
        </is>
      </c>
      <c r="I954" s="4" t="n">
        <v>0.305</v>
      </c>
      <c r="J954" s="2" t="inlineStr">
        <is>
          <t>MILL-RUN-01</t>
        </is>
      </c>
    </row>
    <row r="955">
      <c r="G955" s="2" t="inlineStr">
        <is>
          <t>2026-05-08</t>
        </is>
      </c>
      <c r="H955" s="2" t="inlineStr">
        <is>
          <t>DCP 18%</t>
        </is>
      </c>
      <c r="I955" s="4" t="n">
        <v>15</v>
      </c>
      <c r="J955" s="2" t="inlineStr">
        <is>
          <t>MILL-RUN-01</t>
        </is>
      </c>
    </row>
    <row r="956">
      <c r="G956" s="2" t="inlineStr">
        <is>
          <t>2026-05-12</t>
        </is>
      </c>
      <c r="H956" s="2" t="inlineStr">
        <is>
          <t>DCP 18%</t>
        </is>
      </c>
      <c r="I956" s="4" t="n">
        <v>82</v>
      </c>
      <c r="J956" s="2" t="inlineStr">
        <is>
          <t>MILL-RUN-01</t>
        </is>
      </c>
    </row>
    <row r="957">
      <c r="G957" s="2" t="inlineStr">
        <is>
          <t>2026-05-15</t>
        </is>
      </c>
      <c r="H957" s="2" t="inlineStr">
        <is>
          <t>DCP 18%</t>
        </is>
      </c>
      <c r="I957" s="4" t="n">
        <v>15</v>
      </c>
      <c r="J957" s="2" t="inlineStr">
        <is>
          <t>MILL-RUN-01</t>
        </is>
      </c>
    </row>
    <row r="958">
      <c r="G958" s="2" t="inlineStr">
        <is>
          <t>2026-05-23</t>
        </is>
      </c>
      <c r="H958" s="2" t="inlineStr">
        <is>
          <t>DCP 18%</t>
        </is>
      </c>
      <c r="I958" s="4" t="n">
        <v>0.2355</v>
      </c>
      <c r="J958" s="2" t="inlineStr">
        <is>
          <t>MILL-RUN-01</t>
        </is>
      </c>
    </row>
    <row r="959">
      <c r="G959" s="2" t="inlineStr">
        <is>
          <t>2026-05-29</t>
        </is>
      </c>
      <c r="H959" s="2" t="inlineStr">
        <is>
          <t>DCP 18%</t>
        </is>
      </c>
      <c r="I959" s="4" t="n">
        <v>0.38875</v>
      </c>
      <c r="J959" s="2" t="inlineStr">
        <is>
          <t>MILL-RUN-01</t>
        </is>
      </c>
    </row>
    <row r="960">
      <c r="G960" s="2" t="inlineStr">
        <is>
          <t>2026-05-30</t>
        </is>
      </c>
      <c r="H960" s="2" t="inlineStr">
        <is>
          <t>DCP 18%</t>
        </is>
      </c>
      <c r="I960" s="4" t="n">
        <v>29.42</v>
      </c>
      <c r="J960" s="2" t="inlineStr">
        <is>
          <t>MILL-RUN-01</t>
        </is>
      </c>
    </row>
    <row r="961">
      <c r="G961" s="2" t="inlineStr">
        <is>
          <t>2026-06-04</t>
        </is>
      </c>
      <c r="H961" s="2" t="inlineStr">
        <is>
          <t>DCP 18%</t>
        </is>
      </c>
      <c r="I961" s="4" t="n">
        <v>0.2355</v>
      </c>
      <c r="J961" s="2" t="inlineStr">
        <is>
          <t>MILL-RUN-01</t>
        </is>
      </c>
    </row>
    <row r="962">
      <c r="G962" s="2" t="inlineStr">
        <is>
          <t>2026-06-05</t>
        </is>
      </c>
      <c r="H962" s="2" t="inlineStr">
        <is>
          <t>DCP 18%</t>
        </is>
      </c>
      <c r="I962" s="4" t="n">
        <v>0.721</v>
      </c>
      <c r="J962" s="2" t="inlineStr">
        <is>
          <t>MILL-RUN-01</t>
        </is>
      </c>
    </row>
    <row r="963">
      <c r="G963" s="2" t="inlineStr">
        <is>
          <t>2026-06-12</t>
        </is>
      </c>
      <c r="H963" s="2" t="inlineStr">
        <is>
          <t>DCP 18%</t>
        </is>
      </c>
      <c r="I963" s="4" t="n">
        <v>0.54113</v>
      </c>
      <c r="J963" s="2" t="inlineStr">
        <is>
          <t>MILL-RUN-01</t>
        </is>
      </c>
    </row>
    <row r="964">
      <c r="G964" s="2" t="inlineStr">
        <is>
          <t>2026-06-15</t>
        </is>
      </c>
      <c r="H964" s="2" t="inlineStr">
        <is>
          <t>DCP 18%</t>
        </is>
      </c>
      <c r="I964" s="4" t="n">
        <v>0.36775</v>
      </c>
      <c r="J964" s="2" t="inlineStr">
        <is>
          <t>MILL-RUN-01</t>
        </is>
      </c>
    </row>
    <row r="965">
      <c r="G965" s="2" t="inlineStr">
        <is>
          <t>2026-06-17</t>
        </is>
      </c>
      <c r="H965" s="2" t="inlineStr">
        <is>
          <t>DCP 18%</t>
        </is>
      </c>
      <c r="I965" s="4" t="n">
        <v>29.42</v>
      </c>
      <c r="J965" s="2" t="inlineStr">
        <is>
          <t>MILL-RUN-01</t>
        </is>
      </c>
    </row>
    <row r="966">
      <c r="G966" s="2" t="inlineStr">
        <is>
          <t>2026-06-22</t>
        </is>
      </c>
      <c r="H966" s="2" t="inlineStr">
        <is>
          <t>DCP 18%</t>
        </is>
      </c>
      <c r="I966" s="4" t="n">
        <v>43.06</v>
      </c>
      <c r="J966" s="2" t="inlineStr">
        <is>
          <t>MILL-RUN-01</t>
        </is>
      </c>
    </row>
    <row r="967">
      <c r="G967" s="2" t="inlineStr">
        <is>
          <t>2026-06-25</t>
        </is>
      </c>
      <c r="H967" s="2" t="inlineStr">
        <is>
          <t>DCP 18%</t>
        </is>
      </c>
      <c r="I967" s="4" t="n">
        <v>43.97</v>
      </c>
      <c r="J967" s="2" t="inlineStr">
        <is>
          <t>MILL-RUN-01</t>
        </is>
      </c>
    </row>
    <row r="968">
      <c r="G968" s="2" t="inlineStr">
        <is>
          <t>2026-06-26</t>
        </is>
      </c>
      <c r="H968" s="2" t="inlineStr">
        <is>
          <t>DCP 18%</t>
        </is>
      </c>
      <c r="I968" s="4" t="n">
        <v>0.36076</v>
      </c>
      <c r="J968" s="2" t="inlineStr">
        <is>
          <t>MILL-RUN-01</t>
        </is>
      </c>
    </row>
    <row r="969">
      <c r="G969" s="2" t="inlineStr">
        <is>
          <t>2026-06-27</t>
        </is>
      </c>
      <c r="H969" s="2" t="inlineStr">
        <is>
          <t>DCP 18%</t>
        </is>
      </c>
      <c r="I969" s="4" t="n">
        <v>0.35176</v>
      </c>
      <c r="J969" s="2" t="inlineStr">
        <is>
          <t>MILL-RUN-01</t>
        </is>
      </c>
    </row>
    <row r="970">
      <c r="G970" s="2" t="inlineStr">
        <is>
          <t>2026-07-03</t>
        </is>
      </c>
      <c r="H970" s="2" t="inlineStr">
        <is>
          <t>DCP 18%</t>
        </is>
      </c>
      <c r="I970" s="4" t="n">
        <v>9</v>
      </c>
      <c r="J970" s="2" t="inlineStr">
        <is>
          <t>MILL-RUN-01</t>
        </is>
      </c>
    </row>
    <row r="971">
      <c r="G971" s="2" t="inlineStr">
        <is>
          <t>2026-07-10</t>
        </is>
      </c>
      <c r="H971" s="2" t="inlineStr">
        <is>
          <t>DCP 18%</t>
        </is>
      </c>
      <c r="I971" s="4" t="n">
        <v>0.98134</v>
      </c>
      <c r="J971" s="2" t="inlineStr">
        <is>
          <t>MILL-RUN-01</t>
        </is>
      </c>
    </row>
    <row r="972">
      <c r="G972" s="2" t="inlineStr">
        <is>
          <t>2026-07-13</t>
        </is>
      </c>
      <c r="H972" s="2" t="inlineStr">
        <is>
          <t>DCP 18%</t>
        </is>
      </c>
      <c r="I972" s="4" t="n">
        <v>0.15859</v>
      </c>
      <c r="J972" s="2" t="inlineStr">
        <is>
          <t>MILL-RUN-01</t>
        </is>
      </c>
    </row>
    <row r="973">
      <c r="G973" s="2" t="inlineStr">
        <is>
          <t>2026-07-14</t>
        </is>
      </c>
      <c r="H973" s="2" t="inlineStr">
        <is>
          <t>DCP 18%</t>
        </is>
      </c>
      <c r="I973" s="4" t="n">
        <v>0.17588</v>
      </c>
      <c r="J973" s="2" t="inlineStr">
        <is>
          <t>MILL-RUN-01</t>
        </is>
      </c>
    </row>
    <row r="974">
      <c r="G974" s="2" t="inlineStr">
        <is>
          <t>2026-07-16</t>
        </is>
      </c>
      <c r="H974" s="2" t="inlineStr">
        <is>
          <t>DCP 18%</t>
        </is>
      </c>
      <c r="I974" s="4" t="n">
        <v>87.94</v>
      </c>
      <c r="J974" s="2" t="inlineStr">
        <is>
          <t>MILL-RUN-01</t>
        </is>
      </c>
    </row>
    <row r="975">
      <c r="G975" s="2" t="inlineStr">
        <is>
          <t>2026-07-17</t>
        </is>
      </c>
      <c r="H975" s="2" t="inlineStr">
        <is>
          <t>DCP 18%</t>
        </is>
      </c>
      <c r="I975" s="4" t="n">
        <v>0.9209200000000001</v>
      </c>
      <c r="J975" s="2" t="inlineStr">
        <is>
          <t>MILL-RUN-01</t>
        </is>
      </c>
    </row>
    <row r="976">
      <c r="G976" s="2" t="inlineStr">
        <is>
          <t>2026-07-20</t>
        </is>
      </c>
      <c r="H976" s="2" t="inlineStr">
        <is>
          <t>DCP 18%</t>
        </is>
      </c>
      <c r="I976" s="4" t="n">
        <v>0.11775</v>
      </c>
      <c r="J976" s="2" t="inlineStr">
        <is>
          <t>MILL-RUN-01</t>
        </is>
      </c>
    </row>
    <row r="977">
      <c r="G977" s="2" t="inlineStr">
        <is>
          <t>2026-07-24</t>
        </is>
      </c>
      <c r="H977" s="2" t="inlineStr">
        <is>
          <t>DCP 18%</t>
        </is>
      </c>
      <c r="I977" s="4" t="n">
        <v>0.56737</v>
      </c>
      <c r="J977" s="2" t="inlineStr">
        <is>
          <t>MILL-RUN-01</t>
        </is>
      </c>
    </row>
    <row r="978">
      <c r="G978" s="2" t="inlineStr">
        <is>
          <t>2026-07-27</t>
        </is>
      </c>
      <c r="H978" s="2" t="inlineStr">
        <is>
          <t>DCP 18%</t>
        </is>
      </c>
      <c r="I978" s="4" t="n">
        <v>70.34999999999999</v>
      </c>
      <c r="J978" s="2" t="inlineStr">
        <is>
          <t>MILL-RUN-01</t>
        </is>
      </c>
    </row>
    <row r="979">
      <c r="G979" s="2" t="inlineStr">
        <is>
          <t>2026-07-29</t>
        </is>
      </c>
      <c r="H979" s="2" t="inlineStr">
        <is>
          <t>DCP 18%</t>
        </is>
      </c>
      <c r="I979" s="4" t="n">
        <v>1.47679</v>
      </c>
      <c r="J979" s="2" t="inlineStr">
        <is>
          <t>NEED RAMESH REVISED THE HB EXCEL FILE</t>
        </is>
      </c>
    </row>
    <row r="980">
      <c r="G980" s="2" t="inlineStr">
        <is>
          <t>2026-07-31</t>
        </is>
      </c>
      <c r="H980" s="2" t="inlineStr">
        <is>
          <t>DCP 18%</t>
        </is>
      </c>
      <c r="I980" s="4" t="n">
        <v>0.5003500000000001</v>
      </c>
      <c r="J980" s="2" t="inlineStr">
        <is>
          <t>MILL-RUN-01</t>
        </is>
      </c>
    </row>
    <row r="981">
      <c r="G981" s="2" t="inlineStr">
        <is>
          <t>2026-08-04</t>
        </is>
      </c>
      <c r="H981" s="2" t="inlineStr">
        <is>
          <t>DCP 18%</t>
        </is>
      </c>
      <c r="I981" s="4" t="n">
        <v>61.56</v>
      </c>
      <c r="J981" s="2" t="inlineStr">
        <is>
          <t>MILL-RUN-01</t>
        </is>
      </c>
    </row>
    <row r="982">
      <c r="G982" s="2" t="inlineStr">
        <is>
          <t>2026-08-05</t>
        </is>
      </c>
      <c r="H982" s="2" t="inlineStr">
        <is>
          <t>DCP 18%</t>
        </is>
      </c>
      <c r="I982" s="4" t="n">
        <v>0.11747</v>
      </c>
      <c r="J982" s="2" t="inlineStr">
        <is>
          <t>MILL-RUN-01</t>
        </is>
      </c>
    </row>
    <row r="983">
      <c r="G983" s="2" t="inlineStr">
        <is>
          <t>2026-08-07</t>
        </is>
      </c>
      <c r="H983" s="2" t="inlineStr">
        <is>
          <t>DCP 18%</t>
        </is>
      </c>
      <c r="I983" s="4" t="n">
        <v>0.9743399999999999</v>
      </c>
      <c r="J983" s="2" t="inlineStr">
        <is>
          <t>MILL-RUN-01</t>
        </is>
      </c>
    </row>
    <row r="984">
      <c r="G984" s="2" t="inlineStr">
        <is>
          <t>2026-08-11</t>
        </is>
      </c>
      <c r="H984" s="2" t="inlineStr">
        <is>
          <t>DCP 18%</t>
        </is>
      </c>
      <c r="I984" s="4" t="n">
        <v>8.789999999999999</v>
      </c>
      <c r="J984" s="2" t="inlineStr">
        <is>
          <t>MILL-RUN-01</t>
        </is>
      </c>
    </row>
    <row r="985">
      <c r="G985" s="2" t="inlineStr">
        <is>
          <t>2026-08-12</t>
        </is>
      </c>
      <c r="H985" s="2" t="inlineStr">
        <is>
          <t>DCP 18%</t>
        </is>
      </c>
      <c r="I985" s="4" t="n">
        <v>63</v>
      </c>
      <c r="J985" s="2" t="inlineStr">
        <is>
          <t>MILL-RUN-01</t>
        </is>
      </c>
    </row>
    <row r="986">
      <c r="G986" s="2" t="inlineStr">
        <is>
          <t>2026-01-10</t>
        </is>
      </c>
      <c r="H986" s="2" t="inlineStr">
        <is>
          <t>LIMESTONE POWDER (HARUMI)</t>
        </is>
      </c>
      <c r="I986" s="4" t="n">
        <v>0.2006</v>
      </c>
      <c r="J986" s="2" t="inlineStr">
        <is>
          <t>MILL-RUN-01</t>
        </is>
      </c>
    </row>
    <row r="987">
      <c r="G987" s="2" t="inlineStr">
        <is>
          <t>2026-01-16</t>
        </is>
      </c>
      <c r="H987" s="2" t="inlineStr">
        <is>
          <t>LIMESTONE POWDER (HARUMI)</t>
        </is>
      </c>
      <c r="I987" s="4" t="n">
        <v>0.295</v>
      </c>
      <c r="J987" s="2" t="inlineStr">
        <is>
          <t>MILL-RUN-01</t>
        </is>
      </c>
    </row>
    <row r="988">
      <c r="G988" s="2" t="inlineStr">
        <is>
          <t>2026-01-23</t>
        </is>
      </c>
      <c r="H988" s="2" t="inlineStr">
        <is>
          <t>LIMESTONE POWDER (HARUMI)</t>
        </is>
      </c>
      <c r="I988" s="4" t="n">
        <v>0.4012</v>
      </c>
      <c r="J988" s="2" t="inlineStr">
        <is>
          <t>MILL-RUN-01</t>
        </is>
      </c>
    </row>
    <row r="989">
      <c r="G989" s="2" t="inlineStr">
        <is>
          <t>2026-02-07</t>
        </is>
      </c>
      <c r="H989" s="2" t="inlineStr">
        <is>
          <t>LIMESTONE POWDER (HARUMI)</t>
        </is>
      </c>
      <c r="I989" s="4" t="n">
        <v>2.7384</v>
      </c>
      <c r="J989" s="2" t="inlineStr">
        <is>
          <t>MILL-RUN-01</t>
        </is>
      </c>
    </row>
    <row r="990">
      <c r="G990" s="2" t="inlineStr">
        <is>
          <t>2026-02-11</t>
        </is>
      </c>
      <c r="H990" s="2" t="inlineStr">
        <is>
          <t>LIMESTONE POWDER (HARUMI)</t>
        </is>
      </c>
      <c r="I990" s="4" t="n">
        <v>23.4</v>
      </c>
      <c r="J990" s="2" t="inlineStr">
        <is>
          <t>MILL-RUN-01</t>
        </is>
      </c>
    </row>
    <row r="991">
      <c r="G991" s="2" t="inlineStr">
        <is>
          <t>2026-02-13</t>
        </is>
      </c>
      <c r="H991" s="2" t="inlineStr">
        <is>
          <t>LIMESTONE POWDER (HARUMI)</t>
        </is>
      </c>
      <c r="I991" s="4" t="n">
        <v>3.2274</v>
      </c>
      <c r="J991" s="2" t="inlineStr">
        <is>
          <t>MILL-RUN-01</t>
        </is>
      </c>
    </row>
    <row r="992">
      <c r="G992" s="2" t="inlineStr">
        <is>
          <t>2026-02-16</t>
        </is>
      </c>
      <c r="H992" s="2" t="inlineStr">
        <is>
          <t>LIMESTONE POWDER (HARUMI)</t>
        </is>
      </c>
      <c r="I992" s="4" t="n">
        <v>27</v>
      </c>
      <c r="J992" s="2" t="inlineStr">
        <is>
          <t>MILL-RUN-01</t>
        </is>
      </c>
    </row>
    <row r="993">
      <c r="G993" s="2" t="inlineStr">
        <is>
          <t>2026-02-24</t>
        </is>
      </c>
      <c r="H993" s="2" t="inlineStr">
        <is>
          <t>LIMESTONE POWDER (HARUMI)</t>
        </is>
      </c>
      <c r="I993" s="4" t="n">
        <v>0.1926</v>
      </c>
      <c r="J993" s="2" t="inlineStr">
        <is>
          <t>MILL-RUN-01</t>
        </is>
      </c>
    </row>
    <row r="994">
      <c r="G994" s="2" t="inlineStr">
        <is>
          <t>2026-02-27</t>
        </is>
      </c>
      <c r="H994" s="2" t="inlineStr">
        <is>
          <t>LIMESTONE POWDER (HARUMI)</t>
        </is>
      </c>
      <c r="I994" s="4" t="n">
        <v>0.705</v>
      </c>
      <c r="J994" s="2" t="inlineStr">
        <is>
          <t>MILL-RUN-01</t>
        </is>
      </c>
    </row>
    <row r="995">
      <c r="G995" s="2" t="inlineStr">
        <is>
          <t>2026-02-28</t>
        </is>
      </c>
      <c r="H995" s="2" t="inlineStr">
        <is>
          <t>LIMESTONE POWDER (HARUMI)</t>
        </is>
      </c>
      <c r="I995" s="4" t="n">
        <v>0.66</v>
      </c>
      <c r="J995" s="2" t="inlineStr">
        <is>
          <t>MILL-RUN-01</t>
        </is>
      </c>
    </row>
    <row r="996">
      <c r="G996" s="2" t="inlineStr">
        <is>
          <t>2026-03-03</t>
        </is>
      </c>
      <c r="H996" s="2" t="inlineStr">
        <is>
          <t>LIMESTONE POWDER (HARUMI)</t>
        </is>
      </c>
      <c r="I996" s="4" t="n">
        <v>3.003</v>
      </c>
      <c r="J996" s="2" t="inlineStr">
        <is>
          <t>MILL-RUN-01</t>
        </is>
      </c>
    </row>
    <row r="997">
      <c r="G997" s="2" t="inlineStr">
        <is>
          <t>2026-03-14</t>
        </is>
      </c>
      <c r="H997" s="2" t="inlineStr">
        <is>
          <t>LIMESTONE POWDER (HARUMI)</t>
        </is>
      </c>
      <c r="I997" s="4" t="n">
        <v>3.602</v>
      </c>
      <c r="J997" s="2" t="inlineStr">
        <is>
          <t>MILL-RUN-01</t>
        </is>
      </c>
    </row>
    <row r="998">
      <c r="G998" s="2" t="inlineStr">
        <is>
          <t>2026-03-19</t>
        </is>
      </c>
      <c r="H998" s="2" t="inlineStr">
        <is>
          <t>LIMESTONE POWDER (HARUMI)</t>
        </is>
      </c>
      <c r="I998" s="4" t="n">
        <v>0.494</v>
      </c>
      <c r="J998" s="2" t="inlineStr">
        <is>
          <t>MILL-RUN-01</t>
        </is>
      </c>
    </row>
    <row r="999">
      <c r="G999" s="2" t="inlineStr">
        <is>
          <t>2026-03-24</t>
        </is>
      </c>
      <c r="H999" s="2" t="inlineStr">
        <is>
          <t>LIMESTONE POWDER (HARUMI)</t>
        </is>
      </c>
      <c r="I999" s="4" t="n">
        <v>0.51</v>
      </c>
      <c r="J999" s="2" t="inlineStr">
        <is>
          <t>MILL-RUN-01</t>
        </is>
      </c>
    </row>
    <row r="1000">
      <c r="G1000" s="2" t="inlineStr">
        <is>
          <t>2026-03-27</t>
        </is>
      </c>
      <c r="H1000" s="2" t="inlineStr">
        <is>
          <t>LIMESTONE POWDER (HARUMI)</t>
        </is>
      </c>
      <c r="I1000" s="4" t="n">
        <v>1.7178</v>
      </c>
      <c r="J1000" s="2" t="inlineStr">
        <is>
          <t>MILL-RUN-01</t>
        </is>
      </c>
    </row>
    <row r="1001">
      <c r="G1001" s="2" t="inlineStr">
        <is>
          <t>2026-04-04</t>
        </is>
      </c>
      <c r="H1001" s="2" t="inlineStr">
        <is>
          <t>LIMESTONE POWDER (HARUMI)</t>
        </is>
      </c>
      <c r="I1001" s="4" t="n">
        <v>2.2624</v>
      </c>
      <c r="J1001" s="2" t="inlineStr">
        <is>
          <t>MILL-RUN-01</t>
        </is>
      </c>
    </row>
    <row r="1002">
      <c r="G1002" s="2" t="inlineStr">
        <is>
          <t>2026-04-08</t>
        </is>
      </c>
      <c r="H1002" s="2" t="inlineStr">
        <is>
          <t>LIMESTONE POWDER (HARUMI)</t>
        </is>
      </c>
      <c r="I1002" s="4" t="n">
        <v>1.126</v>
      </c>
      <c r="J1002" s="2" t="inlineStr">
        <is>
          <t>MILL-RUN-01</t>
        </is>
      </c>
    </row>
    <row r="1003">
      <c r="G1003" s="2" t="inlineStr">
        <is>
          <t>2026-04-10</t>
        </is>
      </c>
      <c r="H1003" s="2" t="inlineStr">
        <is>
          <t>LIMESTONE POWDER (HARUMI)</t>
        </is>
      </c>
      <c r="I1003" s="4" t="n">
        <v>2.2744</v>
      </c>
      <c r="J1003" s="2" t="inlineStr">
        <is>
          <t>MILL-RUN-01</t>
        </is>
      </c>
    </row>
    <row r="1004">
      <c r="G1004" s="2" t="inlineStr">
        <is>
          <t>2026-04-18</t>
        </is>
      </c>
      <c r="H1004" s="2" t="inlineStr">
        <is>
          <t>LIMESTONE POWDER (HARUMI)</t>
        </is>
      </c>
      <c r="I1004" s="4" t="n">
        <v>2.406</v>
      </c>
      <c r="J1004" s="2" t="inlineStr">
        <is>
          <t>MILL-RUN-01</t>
        </is>
      </c>
    </row>
    <row r="1005">
      <c r="G1005" s="2" t="inlineStr">
        <is>
          <t>2026-04-20</t>
        </is>
      </c>
      <c r="H1005" s="2" t="inlineStr">
        <is>
          <t>LIMESTONE POWDER (HARUMI)</t>
        </is>
      </c>
      <c r="I1005" s="4" t="n">
        <v>1.2</v>
      </c>
      <c r="J1005" s="2" t="inlineStr">
        <is>
          <t>MILL-RUN-01</t>
        </is>
      </c>
    </row>
    <row r="1006">
      <c r="G1006" s="2" t="inlineStr">
        <is>
          <t>2026-04-25</t>
        </is>
      </c>
      <c r="H1006" s="2" t="inlineStr">
        <is>
          <t>LIMESTONE POWDER (HARUMI)</t>
        </is>
      </c>
      <c r="I1006" s="4" t="n">
        <v>1.03492</v>
      </c>
      <c r="J1006" s="2" t="inlineStr">
        <is>
          <t>MILL-RUN-01</t>
        </is>
      </c>
    </row>
    <row r="1007">
      <c r="G1007" s="2" t="inlineStr">
        <is>
          <t>2026-04-27</t>
        </is>
      </c>
      <c r="H1007" s="2" t="inlineStr">
        <is>
          <t>LIMESTONE POWDER (HARUMI)</t>
        </is>
      </c>
      <c r="I1007" s="4" t="n">
        <v>0.15756</v>
      </c>
      <c r="J1007" s="2" t="inlineStr">
        <is>
          <t>MILL-RUN-01</t>
        </is>
      </c>
    </row>
    <row r="1008">
      <c r="G1008" s="2" t="inlineStr">
        <is>
          <t>2026-04-30</t>
        </is>
      </c>
      <c r="H1008" s="2" t="inlineStr">
        <is>
          <t>LIMESTONE POWDER (HARUMI)</t>
        </is>
      </c>
      <c r="I1008" s="4" t="n">
        <v>1.6456</v>
      </c>
      <c r="J1008" s="2" t="inlineStr">
        <is>
          <t>MILL-RUN-01</t>
        </is>
      </c>
    </row>
    <row r="1009">
      <c r="G1009" s="2" t="inlineStr">
        <is>
          <t>2026-05-06</t>
        </is>
      </c>
      <c r="H1009" s="2" t="inlineStr">
        <is>
          <t>LIMESTONE POWDER (HARUMI)</t>
        </is>
      </c>
      <c r="I1009" s="4" t="n">
        <v>0.5136000000000001</v>
      </c>
      <c r="J1009" s="2" t="inlineStr">
        <is>
          <t>MILL-RUN-01</t>
        </is>
      </c>
    </row>
    <row r="1010">
      <c r="G1010" s="2" t="inlineStr">
        <is>
          <t>2026-05-08</t>
        </is>
      </c>
      <c r="H1010" s="2" t="inlineStr">
        <is>
          <t>LIMESTONE POWDER (HARUMI)</t>
        </is>
      </c>
      <c r="I1010" s="4" t="n">
        <v>1.5426</v>
      </c>
      <c r="J1010" s="2" t="inlineStr">
        <is>
          <t>MILL-RUN-01</t>
        </is>
      </c>
    </row>
    <row r="1011">
      <c r="G1011" s="2" t="inlineStr">
        <is>
          <t>2026-05-12</t>
        </is>
      </c>
      <c r="H1011" s="2" t="inlineStr">
        <is>
          <t>LIMESTONE POWDER (HARUMI)</t>
        </is>
      </c>
      <c r="I1011" s="4" t="n">
        <v>0.20412</v>
      </c>
      <c r="J1011" s="2" t="inlineStr">
        <is>
          <t>MILL-RUN-01</t>
        </is>
      </c>
    </row>
    <row r="1012">
      <c r="G1012" s="2" t="inlineStr">
        <is>
          <t>2026-05-15</t>
        </is>
      </c>
      <c r="H1012" s="2" t="inlineStr">
        <is>
          <t>LIMESTONE POWDER (HARUMI)</t>
        </is>
      </c>
      <c r="I1012" s="4" t="n">
        <v>0.596</v>
      </c>
      <c r="J1012" s="2" t="inlineStr">
        <is>
          <t>MILL-RUN-01</t>
        </is>
      </c>
    </row>
    <row r="1013">
      <c r="G1013" s="2" t="inlineStr">
        <is>
          <t>2026-05-23</t>
        </is>
      </c>
      <c r="H1013" s="2" t="inlineStr">
        <is>
          <t>LIMESTONE POWDER (HARUMI)</t>
        </is>
      </c>
      <c r="I1013" s="4" t="n">
        <v>0.3136</v>
      </c>
      <c r="J1013" s="2" t="inlineStr">
        <is>
          <t>MILL-RUN-01</t>
        </is>
      </c>
    </row>
    <row r="1014">
      <c r="G1014" s="2" t="inlineStr">
        <is>
          <t>2026-05-29</t>
        </is>
      </c>
      <c r="H1014" s="2" t="inlineStr">
        <is>
          <t>LIMESTONE POWDER (HARUMI)</t>
        </is>
      </c>
      <c r="I1014" s="4" t="n">
        <v>1.20968</v>
      </c>
      <c r="J1014" s="2" t="inlineStr">
        <is>
          <t>MILL-RUN-01</t>
        </is>
      </c>
    </row>
    <row r="1015">
      <c r="G1015" s="2" t="inlineStr">
        <is>
          <t>2026-05-30</t>
        </is>
      </c>
      <c r="H1015" s="2" t="inlineStr">
        <is>
          <t>LIMESTONE POWDER (HARUMI)</t>
        </is>
      </c>
      <c r="I1015" s="4" t="n">
        <v>66.12</v>
      </c>
      <c r="J1015" s="2" t="inlineStr">
        <is>
          <t>MILL-RUN-01</t>
        </is>
      </c>
    </row>
    <row r="1016">
      <c r="G1016" s="2" t="inlineStr">
        <is>
          <t>2026-06-04</t>
        </is>
      </c>
      <c r="H1016" s="2" t="inlineStr">
        <is>
          <t>LIMESTONE POWDER (HARUMI)</t>
        </is>
      </c>
      <c r="I1016" s="4" t="n">
        <v>0.2494</v>
      </c>
      <c r="J1016" s="2" t="inlineStr">
        <is>
          <t>MILL-RUN-01</t>
        </is>
      </c>
    </row>
    <row r="1017">
      <c r="G1017" s="2" t="inlineStr">
        <is>
          <t>2026-06-05</t>
        </is>
      </c>
      <c r="H1017" s="2" t="inlineStr">
        <is>
          <t>LIMESTONE POWDER (HARUMI)</t>
        </is>
      </c>
      <c r="I1017" s="4" t="n">
        <v>1.88376</v>
      </c>
      <c r="J1017" s="2" t="inlineStr">
        <is>
          <t>MILL-RUN-01</t>
        </is>
      </c>
    </row>
    <row r="1018">
      <c r="G1018" s="2" t="inlineStr">
        <is>
          <t>2026-06-12</t>
        </is>
      </c>
      <c r="H1018" s="2" t="inlineStr">
        <is>
          <t>LIMESTONE POWDER (HARUMI)</t>
        </is>
      </c>
      <c r="I1018" s="4" t="n">
        <v>1.34299</v>
      </c>
      <c r="J1018" s="2" t="inlineStr">
        <is>
          <t>MILL-RUN-01</t>
        </is>
      </c>
    </row>
    <row r="1019">
      <c r="G1019" s="2" t="inlineStr">
        <is>
          <t>2026-06-15</t>
        </is>
      </c>
      <c r="H1019" s="2" t="inlineStr">
        <is>
          <t>LIMESTONE POWDER (HARUMI)</t>
        </is>
      </c>
      <c r="I1019" s="4" t="n">
        <v>0.4953</v>
      </c>
      <c r="J1019" s="2" t="inlineStr">
        <is>
          <t>MILL-RUN-01</t>
        </is>
      </c>
    </row>
    <row r="1020">
      <c r="G1020" s="2" t="inlineStr">
        <is>
          <t>2026-06-17</t>
        </is>
      </c>
      <c r="H1020" s="2" t="inlineStr">
        <is>
          <t>LIMESTONE POWDER (HARUMI)</t>
        </is>
      </c>
      <c r="I1020" s="4" t="n">
        <v>39.62</v>
      </c>
      <c r="J1020" s="2" t="inlineStr">
        <is>
          <t>MILL-RUN-01</t>
        </is>
      </c>
    </row>
    <row r="1021">
      <c r="G1021" s="2" t="inlineStr">
        <is>
          <t>2026-06-22</t>
        </is>
      </c>
      <c r="H1021" s="2" t="inlineStr">
        <is>
          <t>LIMESTONE POWDER (HARUMI)</t>
        </is>
      </c>
      <c r="I1021" s="4" t="n">
        <v>81.42</v>
      </c>
      <c r="J1021" s="2" t="inlineStr">
        <is>
          <t>MILL-RUN-01</t>
        </is>
      </c>
    </row>
    <row r="1022">
      <c r="G1022" s="2" t="inlineStr">
        <is>
          <t>2026-06-25</t>
        </is>
      </c>
      <c r="H1022" s="2" t="inlineStr">
        <is>
          <t>LIMESTONE POWDER (HARUMI)</t>
        </is>
      </c>
      <c r="I1022" s="4" t="n">
        <v>81.52</v>
      </c>
      <c r="J1022" s="2" t="inlineStr">
        <is>
          <t>MILL-RUN-01</t>
        </is>
      </c>
    </row>
    <row r="1023">
      <c r="G1023" s="2" t="inlineStr">
        <is>
          <t>2026-06-26</t>
        </is>
      </c>
      <c r="H1023" s="2" t="inlineStr">
        <is>
          <t>LIMESTONE POWDER (HARUMI)</t>
        </is>
      </c>
      <c r="I1023" s="4" t="n">
        <v>0.68864</v>
      </c>
      <c r="J1023" s="2" t="inlineStr">
        <is>
          <t>MILL-RUN-01</t>
        </is>
      </c>
    </row>
    <row r="1024">
      <c r="G1024" s="2" t="inlineStr">
        <is>
          <t>2026-06-27</t>
        </is>
      </c>
      <c r="H1024" s="2" t="inlineStr">
        <is>
          <t>LIMESTONE POWDER (HARUMI)</t>
        </is>
      </c>
      <c r="I1024" s="4" t="n">
        <v>1.30432</v>
      </c>
      <c r="J1024" s="2" t="inlineStr">
        <is>
          <t>MILL-RUN-01</t>
        </is>
      </c>
    </row>
    <row r="1025">
      <c r="G1025" s="2" t="inlineStr">
        <is>
          <t>2026-07-03</t>
        </is>
      </c>
      <c r="H1025" s="2" t="inlineStr">
        <is>
          <t>LIMESTONE POWDER (HARUMI)</t>
        </is>
      </c>
      <c r="I1025" s="4" t="n">
        <v>75</v>
      </c>
      <c r="J1025" s="2" t="inlineStr">
        <is>
          <t>MILL-RUN-01</t>
        </is>
      </c>
    </row>
    <row r="1026">
      <c r="G1026" s="2" t="inlineStr">
        <is>
          <t>2026-07-04</t>
        </is>
      </c>
      <c r="H1026" s="2" t="inlineStr">
        <is>
          <t>LIMESTONE POWDER (HARUMI)</t>
        </is>
      </c>
      <c r="I1026" s="4" t="n">
        <v>3.37394</v>
      </c>
      <c r="J1026" s="2" t="inlineStr">
        <is>
          <t>MILL-RUN-01</t>
        </is>
      </c>
    </row>
    <row r="1027">
      <c r="G1027" s="2" t="inlineStr">
        <is>
          <t>2026-07-06</t>
        </is>
      </c>
      <c r="H1027" s="2" t="inlineStr">
        <is>
          <t>LIMESTONE POWDER (HARUMI)</t>
        </is>
      </c>
      <c r="I1027" s="4" t="n">
        <v>0.1247</v>
      </c>
      <c r="J1027" s="2" t="inlineStr">
        <is>
          <t>MILL-RUN-01</t>
        </is>
      </c>
    </row>
    <row r="1028">
      <c r="G1028" s="2" t="inlineStr">
        <is>
          <t>2026-07-07</t>
        </is>
      </c>
      <c r="H1028" s="2" t="inlineStr">
        <is>
          <t>LIMESTONE POWDER (HARUMI)</t>
        </is>
      </c>
      <c r="I1028" s="4" t="n">
        <v>0.43214</v>
      </c>
      <c r="J1028" s="2" t="inlineStr">
        <is>
          <t>MILL-RUN-01</t>
        </is>
      </c>
    </row>
    <row r="1029">
      <c r="G1029" s="2" t="inlineStr">
        <is>
          <t>2026-07-09</t>
        </is>
      </c>
      <c r="H1029" s="2" t="inlineStr">
        <is>
          <t>LIMESTONE POWDER (HARUMI)</t>
        </is>
      </c>
      <c r="I1029" s="4" t="n">
        <v>99.06</v>
      </c>
      <c r="J1029" s="2" t="inlineStr">
        <is>
          <t>MILL-RUN-01</t>
        </is>
      </c>
    </row>
    <row r="1030">
      <c r="G1030" s="2" t="inlineStr">
        <is>
          <t>2026-07-10</t>
        </is>
      </c>
      <c r="H1030" s="2" t="inlineStr">
        <is>
          <t>LIMESTONE POWDER (HARUMI)</t>
        </is>
      </c>
      <c r="I1030" s="4" t="n">
        <v>2.01849</v>
      </c>
      <c r="J1030" s="2" t="inlineStr">
        <is>
          <t>MILL-RUN-01</t>
        </is>
      </c>
    </row>
    <row r="1031">
      <c r="G1031" s="2" t="inlineStr">
        <is>
          <t>2026-07-13</t>
        </is>
      </c>
      <c r="H1031" s="2" t="inlineStr">
        <is>
          <t>LIMESTONE POWDER (HARUMI)</t>
        </is>
      </c>
      <c r="I1031" s="4" t="n">
        <v>0.23786</v>
      </c>
      <c r="J1031" s="2" t="inlineStr">
        <is>
          <t>MILL-RUN-01</t>
        </is>
      </c>
    </row>
    <row r="1032">
      <c r="G1032" s="2" t="inlineStr">
        <is>
          <t>2026-07-16</t>
        </is>
      </c>
      <c r="H1032" s="2" t="inlineStr">
        <is>
          <t>LIMESTONE POWDER (HARUMI)</t>
        </is>
      </c>
      <c r="I1032" s="4" t="n">
        <v>0.16304</v>
      </c>
      <c r="J1032" s="2" t="inlineStr">
        <is>
          <t>MILL-RUN-01</t>
        </is>
      </c>
    </row>
    <row r="1033">
      <c r="G1033" s="2" t="inlineStr">
        <is>
          <t>2026-07-17</t>
        </is>
      </c>
      <c r="H1033" s="2" t="inlineStr">
        <is>
          <t>LIMESTONE POWDER (HARUMI)</t>
        </is>
      </c>
      <c r="I1033" s="4" t="n">
        <v>1.45243</v>
      </c>
      <c r="J1033" s="2" t="inlineStr">
        <is>
          <t>MILL-RUN-01</t>
        </is>
      </c>
    </row>
    <row r="1034">
      <c r="G1034" s="2" t="inlineStr">
        <is>
          <t>2026-07-20</t>
        </is>
      </c>
      <c r="H1034" s="2" t="inlineStr">
        <is>
          <t>LIMESTONE POWDER (HARUMI)</t>
        </is>
      </c>
      <c r="I1034" s="4" t="n">
        <v>0.1247</v>
      </c>
      <c r="J1034" s="2" t="inlineStr">
        <is>
          <t>MILL-RUN-01</t>
        </is>
      </c>
    </row>
    <row r="1035">
      <c r="G1035" s="2" t="inlineStr">
        <is>
          <t>2026-07-24</t>
        </is>
      </c>
      <c r="H1035" s="2" t="inlineStr">
        <is>
          <t>LIMESTONE POWDER (HARUMI)</t>
        </is>
      </c>
      <c r="I1035" s="4" t="n">
        <v>0.9594699999999998</v>
      </c>
      <c r="J1035" s="2" t="inlineStr">
        <is>
          <t>MILL-RUN-01</t>
        </is>
      </c>
    </row>
    <row r="1036">
      <c r="G1036" s="2" t="inlineStr">
        <is>
          <t>2026-07-27</t>
        </is>
      </c>
      <c r="H1036" s="2" t="inlineStr">
        <is>
          <t>LIMESTONE POWDER (HARUMI)</t>
        </is>
      </c>
      <c r="I1036" s="4" t="n">
        <v>0.13043</v>
      </c>
      <c r="J1036" s="2" t="inlineStr">
        <is>
          <t>MILL-RUN-01</t>
        </is>
      </c>
    </row>
    <row r="1037">
      <c r="G1037" s="2" t="inlineStr">
        <is>
          <t>2026-07-31</t>
        </is>
      </c>
      <c r="H1037" s="2" t="inlineStr">
        <is>
          <t>LIMESTONE POWDER (HARUMI)</t>
        </is>
      </c>
      <c r="I1037" s="4" t="n">
        <v>1.08582</v>
      </c>
      <c r="J1037" s="2" t="inlineStr">
        <is>
          <t>MILL-RUN-01</t>
        </is>
      </c>
    </row>
    <row r="1038">
      <c r="G1038" s="2" t="inlineStr">
        <is>
          <t>2026-02-06</t>
        </is>
      </c>
      <c r="H1038" s="2" t="inlineStr">
        <is>
          <t>INDUSTRY FLOUR</t>
        </is>
      </c>
      <c r="I1038" s="4" t="n">
        <v>3.5</v>
      </c>
      <c r="J1038" s="2" t="inlineStr">
        <is>
          <t>MILL-RUN-01</t>
        </is>
      </c>
    </row>
    <row r="1039">
      <c r="G1039" s="2" t="inlineStr">
        <is>
          <t>2026-02-07</t>
        </is>
      </c>
      <c r="H1039" s="2" t="inlineStr">
        <is>
          <t>INDUSTRY FLOUR</t>
        </is>
      </c>
      <c r="I1039" s="4" t="n">
        <v>2.0102</v>
      </c>
      <c r="J1039" s="2" t="inlineStr">
        <is>
          <t>MILL-RUN-01</t>
        </is>
      </c>
    </row>
    <row r="1040">
      <c r="G1040" s="2" t="inlineStr">
        <is>
          <t>2026-02-11</t>
        </is>
      </c>
      <c r="H1040" s="2" t="inlineStr">
        <is>
          <t>INDUSTRY FLOUR</t>
        </is>
      </c>
      <c r="I1040" s="4" t="n">
        <v>4.0225</v>
      </c>
      <c r="J1040" s="2" t="inlineStr">
        <is>
          <t>MILL-RUN-01</t>
        </is>
      </c>
    </row>
    <row r="1041">
      <c r="G1041" s="2" t="inlineStr">
        <is>
          <t>2026-02-12</t>
        </is>
      </c>
      <c r="H1041" s="2" t="inlineStr">
        <is>
          <t>INDUSTRY FLOUR</t>
        </is>
      </c>
      <c r="I1041" s="4" t="n">
        <v>5.5005</v>
      </c>
      <c r="J1041" s="2" t="inlineStr">
        <is>
          <t>MILL-RUN-01</t>
        </is>
      </c>
    </row>
    <row r="1042">
      <c r="G1042" s="2" t="inlineStr">
        <is>
          <t>2026-02-19</t>
        </is>
      </c>
      <c r="H1042" s="2" t="inlineStr">
        <is>
          <t>INDUSTRY FLOUR</t>
        </is>
      </c>
      <c r="I1042" s="4" t="n">
        <v>3.9016</v>
      </c>
      <c r="J1042" s="2" t="inlineStr">
        <is>
          <t>MILL-RUN-01</t>
        </is>
      </c>
    </row>
    <row r="1043">
      <c r="G1043" s="2" t="inlineStr">
        <is>
          <t>2026-02-20</t>
        </is>
      </c>
      <c r="H1043" s="2" t="inlineStr">
        <is>
          <t>INDUSTRY FLOUR</t>
        </is>
      </c>
      <c r="I1043" s="4" t="n">
        <v>4.0007</v>
      </c>
      <c r="J1043" s="2" t="inlineStr">
        <is>
          <t>MILL-RUN-01</t>
        </is>
      </c>
    </row>
    <row r="1044">
      <c r="G1044" s="2" t="inlineStr">
        <is>
          <t>2026-02-21</t>
        </is>
      </c>
      <c r="H1044" s="2" t="inlineStr">
        <is>
          <t>INDUSTRY FLOUR</t>
        </is>
      </c>
      <c r="I1044" s="4" t="n">
        <v>2.4998</v>
      </c>
      <c r="J1044" s="2" t="inlineStr">
        <is>
          <t>MILL-RUN-01</t>
        </is>
      </c>
    </row>
    <row r="1045">
      <c r="G1045" s="2" t="inlineStr">
        <is>
          <t>2026-02-24</t>
        </is>
      </c>
      <c r="H1045" s="2" t="inlineStr">
        <is>
          <t>INDUSTRY FLOUR</t>
        </is>
      </c>
      <c r="I1045" s="4" t="n">
        <v>3.8011</v>
      </c>
      <c r="J1045" s="2" t="inlineStr">
        <is>
          <t>MILL-RUN-01</t>
        </is>
      </c>
    </row>
    <row r="1046">
      <c r="G1046" s="2" t="inlineStr">
        <is>
          <t>2026-02-25</t>
        </is>
      </c>
      <c r="H1046" s="2" t="inlineStr">
        <is>
          <t>INDUSTRY FLOUR</t>
        </is>
      </c>
      <c r="I1046" s="4" t="n">
        <v>0.9007999999999999</v>
      </c>
      <c r="J1046" s="2" t="inlineStr">
        <is>
          <t>MILL-RUN-01</t>
        </is>
      </c>
    </row>
    <row r="1047">
      <c r="G1047" s="2" t="inlineStr">
        <is>
          <t>2026-02-26</t>
        </is>
      </c>
      <c r="H1047" s="2" t="inlineStr">
        <is>
          <t>INDUSTRY FLOUR</t>
        </is>
      </c>
      <c r="I1047" s="4" t="n">
        <v>1.3004</v>
      </c>
      <c r="J1047" s="2" t="inlineStr">
        <is>
          <t>MILL-RUN-01</t>
        </is>
      </c>
    </row>
    <row r="1048">
      <c r="G1048" s="2" t="inlineStr">
        <is>
          <t>2026-03-02</t>
        </is>
      </c>
      <c r="H1048" s="2" t="inlineStr">
        <is>
          <t>INDUSTRY FLOUR</t>
        </is>
      </c>
      <c r="I1048" s="4" t="n">
        <v>4.0005</v>
      </c>
      <c r="J1048" s="2" t="inlineStr">
        <is>
          <t>MILL-RUN-01</t>
        </is>
      </c>
    </row>
    <row r="1049">
      <c r="G1049" s="2" t="inlineStr">
        <is>
          <t>2026-03-03</t>
        </is>
      </c>
      <c r="H1049" s="2" t="inlineStr">
        <is>
          <t>INDUSTRY FLOUR</t>
        </is>
      </c>
      <c r="I1049" s="4" t="n">
        <v>5.9013</v>
      </c>
      <c r="J1049" s="2" t="inlineStr">
        <is>
          <t>MILL-RUN-01</t>
        </is>
      </c>
    </row>
    <row r="1050">
      <c r="G1050" s="2" t="inlineStr">
        <is>
          <t>2026-03-04</t>
        </is>
      </c>
      <c r="H1050" s="2" t="inlineStr">
        <is>
          <t>INDUSTRY FLOUR</t>
        </is>
      </c>
      <c r="I1050" s="4" t="n">
        <v>4.0913</v>
      </c>
      <c r="J1050" s="2" t="inlineStr">
        <is>
          <t>MILL-RUN-01</t>
        </is>
      </c>
    </row>
    <row r="1051">
      <c r="G1051" s="2" t="inlineStr">
        <is>
          <t>2026-03-06</t>
        </is>
      </c>
      <c r="H1051" s="2" t="inlineStr">
        <is>
          <t>INDUSTRY FLOUR</t>
        </is>
      </c>
      <c r="I1051" s="4" t="n">
        <v>3.5026</v>
      </c>
      <c r="J1051" s="2" t="inlineStr">
        <is>
          <t>MILL-RUN-01</t>
        </is>
      </c>
    </row>
    <row r="1052">
      <c r="G1052" s="2" t="inlineStr">
        <is>
          <t>2026-03-07</t>
        </is>
      </c>
      <c r="H1052" s="2" t="inlineStr">
        <is>
          <t>INDUSTRY FLOUR</t>
        </is>
      </c>
      <c r="I1052" s="4" t="n">
        <v>0.9994</v>
      </c>
      <c r="J1052" s="2" t="inlineStr">
        <is>
          <t>MILL-RUN-01</t>
        </is>
      </c>
    </row>
    <row r="1053">
      <c r="G1053" s="2" t="inlineStr">
        <is>
          <t>2026-03-09</t>
        </is>
      </c>
      <c r="H1053" s="2" t="inlineStr">
        <is>
          <t>INDUSTRY FLOUR</t>
        </is>
      </c>
      <c r="I1053" s="4" t="n">
        <v>5.8716</v>
      </c>
      <c r="J1053" s="2" t="inlineStr">
        <is>
          <t>MILL-RUN-01</t>
        </is>
      </c>
    </row>
    <row r="1054">
      <c r="G1054" s="2" t="inlineStr">
        <is>
          <t>2026-03-13</t>
        </is>
      </c>
      <c r="H1054" s="2" t="inlineStr">
        <is>
          <t>INDUSTRY FLOUR</t>
        </is>
      </c>
      <c r="I1054" s="4" t="n">
        <v>9.7005</v>
      </c>
      <c r="J1054" s="2" t="inlineStr">
        <is>
          <t>MILL-RUN-01</t>
        </is>
      </c>
    </row>
    <row r="1055">
      <c r="G1055" s="2" t="inlineStr">
        <is>
          <t>2026-03-14</t>
        </is>
      </c>
      <c r="H1055" s="2" t="inlineStr">
        <is>
          <t>INDUSTRY FLOUR</t>
        </is>
      </c>
      <c r="I1055" s="4" t="n">
        <v>2.9748</v>
      </c>
      <c r="J1055" s="2" t="inlineStr">
        <is>
          <t>MILL-RUN-01</t>
        </is>
      </c>
    </row>
    <row r="1056">
      <c r="G1056" s="2" t="inlineStr">
        <is>
          <t>2026-03-16</t>
        </is>
      </c>
      <c r="H1056" s="2" t="inlineStr">
        <is>
          <t>INDUSTRY FLOUR</t>
        </is>
      </c>
      <c r="I1056" s="4" t="n">
        <v>5.9</v>
      </c>
      <c r="J1056" s="2" t="inlineStr">
        <is>
          <t>MILL-RUN-01</t>
        </is>
      </c>
    </row>
    <row r="1057">
      <c r="G1057" s="2" t="inlineStr">
        <is>
          <t>2026-03-17</t>
        </is>
      </c>
      <c r="H1057" s="2" t="inlineStr">
        <is>
          <t>INDUSTRY FLOUR</t>
        </is>
      </c>
      <c r="I1057" s="4" t="n">
        <v>1.4086</v>
      </c>
      <c r="J1057" s="2" t="inlineStr">
        <is>
          <t>MILL-RUN-01</t>
        </is>
      </c>
    </row>
    <row r="1058">
      <c r="G1058" s="2" t="inlineStr">
        <is>
          <t>2026-03-18</t>
        </is>
      </c>
      <c r="H1058" s="2" t="inlineStr">
        <is>
          <t>INDUSTRY FLOUR</t>
        </is>
      </c>
      <c r="I1058" s="4" t="n">
        <v>2.5</v>
      </c>
      <c r="J1058" s="2" t="inlineStr">
        <is>
          <t>MILL-RUN-01</t>
        </is>
      </c>
    </row>
    <row r="1059">
      <c r="G1059" s="2" t="inlineStr">
        <is>
          <t>2026-03-19</t>
        </is>
      </c>
      <c r="H1059" s="2" t="inlineStr">
        <is>
          <t>INDUSTRY FLOUR</t>
        </is>
      </c>
      <c r="I1059" s="4" t="n">
        <v>1.0011</v>
      </c>
      <c r="J1059" s="2" t="inlineStr">
        <is>
          <t>MILL-RUN-01</t>
        </is>
      </c>
    </row>
    <row r="1060">
      <c r="G1060" s="2" t="inlineStr">
        <is>
          <t>2026-03-24</t>
        </is>
      </c>
      <c r="H1060" s="2" t="inlineStr">
        <is>
          <t>INDUSTRY FLOUR</t>
        </is>
      </c>
      <c r="I1060" s="4" t="n">
        <v>1.9992</v>
      </c>
      <c r="J1060" s="2" t="inlineStr">
        <is>
          <t>MILL-RUN-01</t>
        </is>
      </c>
    </row>
    <row r="1061">
      <c r="G1061" s="2" t="inlineStr">
        <is>
          <t>2026-03-25</t>
        </is>
      </c>
      <c r="H1061" s="2" t="inlineStr">
        <is>
          <t>INDUSTRY FLOUR</t>
        </is>
      </c>
      <c r="I1061" s="4" t="n">
        <v>0.5014</v>
      </c>
      <c r="J1061" s="2" t="inlineStr">
        <is>
          <t>MILL-RUN-01</t>
        </is>
      </c>
    </row>
    <row r="1062">
      <c r="G1062" s="2" t="inlineStr">
        <is>
          <t>2026-03-26</t>
        </is>
      </c>
      <c r="H1062" s="2" t="inlineStr">
        <is>
          <t>INDUSTRY FLOUR</t>
        </is>
      </c>
      <c r="I1062" s="4" t="n">
        <v>1.3044</v>
      </c>
      <c r="J1062" s="2" t="inlineStr">
        <is>
          <t>MILL-RUN-01</t>
        </is>
      </c>
    </row>
    <row r="1063">
      <c r="G1063" s="2" t="inlineStr">
        <is>
          <t>2026-03-27</t>
        </is>
      </c>
      <c r="H1063" s="2" t="inlineStr">
        <is>
          <t>INDUSTRY FLOUR</t>
        </is>
      </c>
      <c r="I1063" s="4" t="n">
        <v>4.0012</v>
      </c>
      <c r="J1063" s="2" t="inlineStr">
        <is>
          <t>MILL-RUN-01</t>
        </is>
      </c>
    </row>
    <row r="1064">
      <c r="G1064" s="2" t="inlineStr">
        <is>
          <t>2026-03-28</t>
        </is>
      </c>
      <c r="H1064" s="2" t="inlineStr">
        <is>
          <t>INDUSTRY FLOUR</t>
        </is>
      </c>
      <c r="I1064" s="4" t="n">
        <v>2.8048</v>
      </c>
      <c r="J1064" s="2" t="inlineStr">
        <is>
          <t>MILL-RUN-01</t>
        </is>
      </c>
    </row>
    <row r="1065">
      <c r="G1065" s="2" t="inlineStr">
        <is>
          <t>2026-04-01</t>
        </is>
      </c>
      <c r="H1065" s="2" t="inlineStr">
        <is>
          <t>INDUSTRY FLOUR</t>
        </is>
      </c>
      <c r="I1065" s="4" t="n">
        <v>0.6712</v>
      </c>
      <c r="J1065" s="2" t="inlineStr">
        <is>
          <t>MILL-RUN-01</t>
        </is>
      </c>
    </row>
    <row r="1066">
      <c r="G1066" s="2" t="inlineStr">
        <is>
          <t>2026-04-03</t>
        </is>
      </c>
      <c r="H1066" s="2" t="inlineStr">
        <is>
          <t>INDUSTRY FLOUR</t>
        </is>
      </c>
      <c r="I1066" s="4" t="n">
        <v>2.5006</v>
      </c>
      <c r="J1066" s="2" t="inlineStr">
        <is>
          <t>MILL-RUN-01</t>
        </is>
      </c>
    </row>
    <row r="1067">
      <c r="G1067" s="2" t="inlineStr">
        <is>
          <t>2026-04-06</t>
        </is>
      </c>
      <c r="H1067" s="2" t="inlineStr">
        <is>
          <t>INDUSTRY FLOUR</t>
        </is>
      </c>
      <c r="I1067" s="4" t="n">
        <v>4.177</v>
      </c>
      <c r="J1067" s="2" t="inlineStr">
        <is>
          <t>MILL-RUN-01</t>
        </is>
      </c>
    </row>
    <row r="1068">
      <c r="G1068" s="2" t="inlineStr">
        <is>
          <t>2026-04-07</t>
        </is>
      </c>
      <c r="H1068" s="2" t="inlineStr">
        <is>
          <t>INDUSTRY FLOUR</t>
        </is>
      </c>
      <c r="I1068" s="4" t="n">
        <v>0.6002000000000001</v>
      </c>
      <c r="J1068" s="2" t="inlineStr">
        <is>
          <t>MILL-RUN-01</t>
        </is>
      </c>
    </row>
    <row r="1069">
      <c r="G1069" s="2" t="inlineStr">
        <is>
          <t>2026-04-08</t>
        </is>
      </c>
      <c r="H1069" s="2" t="inlineStr">
        <is>
          <t>INDUSTRY FLOUR</t>
        </is>
      </c>
      <c r="I1069" s="4" t="n">
        <v>3.5013</v>
      </c>
      <c r="J1069" s="2" t="inlineStr">
        <is>
          <t>MILL-RUN-01</t>
        </is>
      </c>
    </row>
    <row r="1070">
      <c r="G1070" s="2" t="inlineStr">
        <is>
          <t>2026-04-09</t>
        </is>
      </c>
      <c r="H1070" s="2" t="inlineStr">
        <is>
          <t>INDUSTRY FLOUR</t>
        </is>
      </c>
      <c r="I1070" s="4" t="n">
        <v>1.5004</v>
      </c>
      <c r="J1070" s="2" t="inlineStr">
        <is>
          <t>MILL-RUN-01</t>
        </is>
      </c>
    </row>
    <row r="1071">
      <c r="G1071" s="2" t="inlineStr">
        <is>
          <t>2026-04-10</t>
        </is>
      </c>
      <c r="H1071" s="2" t="inlineStr">
        <is>
          <t>INDUSTRY FLOUR</t>
        </is>
      </c>
      <c r="I1071" s="4" t="n">
        <v>1.3008</v>
      </c>
      <c r="J1071" s="2" t="inlineStr">
        <is>
          <t>MILL-RUN-01</t>
        </is>
      </c>
    </row>
    <row r="1072">
      <c r="G1072" s="2" t="inlineStr">
        <is>
          <t>2026-04-11</t>
        </is>
      </c>
      <c r="H1072" s="2" t="inlineStr">
        <is>
          <t>INDUSTRY FLOUR</t>
        </is>
      </c>
      <c r="I1072" s="4" t="n">
        <v>1.0001</v>
      </c>
      <c r="J1072" s="2" t="inlineStr">
        <is>
          <t>MILL-RUN-01</t>
        </is>
      </c>
    </row>
    <row r="1073">
      <c r="G1073" s="2" t="inlineStr">
        <is>
          <t>2026-04-13</t>
        </is>
      </c>
      <c r="H1073" s="2" t="inlineStr">
        <is>
          <t>INDUSTRY FLOUR</t>
        </is>
      </c>
      <c r="I1073" s="4" t="n">
        <v>1.4999</v>
      </c>
      <c r="J1073" s="2" t="inlineStr">
        <is>
          <t>MILL-RUN-01</t>
        </is>
      </c>
    </row>
    <row r="1074">
      <c r="G1074" s="2" t="inlineStr">
        <is>
          <t>2026-04-14</t>
        </is>
      </c>
      <c r="H1074" s="2" t="inlineStr">
        <is>
          <t>INDUSTRY FLOUR</t>
        </is>
      </c>
      <c r="I1074" s="4" t="n">
        <v>6.0063</v>
      </c>
      <c r="J1074" s="2" t="inlineStr">
        <is>
          <t>MILL-RUN-01</t>
        </is>
      </c>
    </row>
    <row r="1075">
      <c r="G1075" s="2" t="inlineStr">
        <is>
          <t>2026-04-15</t>
        </is>
      </c>
      <c r="H1075" s="2" t="inlineStr">
        <is>
          <t>INDUSTRY FLOUR</t>
        </is>
      </c>
      <c r="I1075" s="4" t="n">
        <v>1.9005</v>
      </c>
      <c r="J1075" s="2" t="inlineStr">
        <is>
          <t>MILL-RUN-01</t>
        </is>
      </c>
    </row>
    <row r="1076">
      <c r="G1076" s="2" t="inlineStr">
        <is>
          <t>2026-04-16</t>
        </is>
      </c>
      <c r="H1076" s="2" t="inlineStr">
        <is>
          <t>INDUSTRY FLOUR</t>
        </is>
      </c>
      <c r="I1076" s="4" t="n">
        <v>3.0006</v>
      </c>
      <c r="J1076" s="2" t="inlineStr">
        <is>
          <t>MILL-RUN-01</t>
        </is>
      </c>
    </row>
    <row r="1077">
      <c r="G1077" s="2" t="inlineStr">
        <is>
          <t>2026-04-17</t>
        </is>
      </c>
      <c r="H1077" s="2" t="inlineStr">
        <is>
          <t>INDUSTRY FLOUR</t>
        </is>
      </c>
      <c r="I1077" s="4" t="n">
        <v>0.9997999999999999</v>
      </c>
      <c r="J1077" s="2" t="inlineStr">
        <is>
          <t>MILL-RUN-01</t>
        </is>
      </c>
    </row>
    <row r="1078">
      <c r="G1078" s="2" t="inlineStr">
        <is>
          <t>2026-04-18</t>
        </is>
      </c>
      <c r="H1078" s="2" t="inlineStr">
        <is>
          <t>INDUSTRY FLOUR</t>
        </is>
      </c>
      <c r="I1078" s="4" t="n">
        <v>2.7999</v>
      </c>
      <c r="J1078" s="2" t="inlineStr">
        <is>
          <t>MILL-RUN-01</t>
        </is>
      </c>
    </row>
    <row r="1079">
      <c r="G1079" s="2" t="inlineStr">
        <is>
          <t>2026-04-20</t>
        </is>
      </c>
      <c r="H1079" s="2" t="inlineStr">
        <is>
          <t>INDUSTRY FLOUR</t>
        </is>
      </c>
      <c r="I1079" s="4" t="n">
        <v>2.1686</v>
      </c>
      <c r="J1079" s="2" t="inlineStr">
        <is>
          <t>MILL-RUN-01</t>
        </is>
      </c>
    </row>
    <row r="1080">
      <c r="G1080" s="2" t="inlineStr">
        <is>
          <t>2026-04-21</t>
        </is>
      </c>
      <c r="H1080" s="2" t="inlineStr">
        <is>
          <t>INDUSTRY FLOUR</t>
        </is>
      </c>
      <c r="I1080" s="4" t="n">
        <v>1.5016</v>
      </c>
      <c r="J1080" s="2" t="inlineStr">
        <is>
          <t>MILL-RUN-01</t>
        </is>
      </c>
    </row>
    <row r="1081">
      <c r="G1081" s="2" t="inlineStr">
        <is>
          <t>2026-04-23</t>
        </is>
      </c>
      <c r="H1081" s="2" t="inlineStr">
        <is>
          <t>INDUSTRY FLOUR</t>
        </is>
      </c>
      <c r="I1081" s="4" t="n">
        <v>2.001</v>
      </c>
      <c r="J1081" s="2" t="inlineStr">
        <is>
          <t>MILL-RUN-01</t>
        </is>
      </c>
    </row>
    <row r="1082">
      <c r="G1082" s="2" t="inlineStr">
        <is>
          <t>2026-04-25</t>
        </is>
      </c>
      <c r="H1082" s="2" t="inlineStr">
        <is>
          <t>INDUSTRY FLOUR</t>
        </is>
      </c>
      <c r="I1082" s="4" t="n">
        <v>4.0012</v>
      </c>
      <c r="J1082" s="2" t="inlineStr">
        <is>
          <t>MILL-RUN-01</t>
        </is>
      </c>
    </row>
    <row r="1083">
      <c r="G1083" s="2" t="inlineStr">
        <is>
          <t>2026-04-28</t>
        </is>
      </c>
      <c r="H1083" s="2" t="inlineStr">
        <is>
          <t>INDUSTRY FLOUR</t>
        </is>
      </c>
      <c r="I1083" s="4" t="n">
        <v>2.0004</v>
      </c>
      <c r="J1083" s="2" t="inlineStr">
        <is>
          <t>MILL-RUN-01</t>
        </is>
      </c>
    </row>
    <row r="1084">
      <c r="G1084" s="2" t="inlineStr">
        <is>
          <t>2026-05-04</t>
        </is>
      </c>
      <c r="H1084" s="2" t="inlineStr">
        <is>
          <t>INDUSTRY FLOUR</t>
        </is>
      </c>
      <c r="I1084" s="4" t="n">
        <v>2.5013</v>
      </c>
      <c r="J1084" s="2" t="inlineStr">
        <is>
          <t>MILL-RUN-01</t>
        </is>
      </c>
    </row>
    <row r="1085">
      <c r="G1085" s="2" t="inlineStr">
        <is>
          <t>2026-05-21</t>
        </is>
      </c>
      <c r="H1085" s="2" t="inlineStr">
        <is>
          <t>INDUSTRY FLOUR</t>
        </is>
      </c>
      <c r="I1085" s="4" t="n">
        <v>0.2</v>
      </c>
      <c r="J1085" s="2" t="inlineStr">
        <is>
          <t>MILL-RUN-01</t>
        </is>
      </c>
    </row>
    <row r="1086">
      <c r="G1086" s="2" t="inlineStr">
        <is>
          <t>2026-05-25</t>
        </is>
      </c>
      <c r="H1086" s="2" t="inlineStr">
        <is>
          <t>INDUSTRY FLOUR</t>
        </is>
      </c>
      <c r="I1086" s="4" t="n">
        <v>0.3991</v>
      </c>
      <c r="J1086" s="2" t="inlineStr">
        <is>
          <t>MILL-RUN-01</t>
        </is>
      </c>
    </row>
    <row r="1087">
      <c r="G1087" s="2" t="inlineStr">
        <is>
          <t>2026-05-29</t>
        </is>
      </c>
      <c r="H1087" s="2" t="inlineStr">
        <is>
          <t>INDUSTRY FLOUR</t>
        </is>
      </c>
      <c r="I1087" s="4" t="n">
        <v>1.3546</v>
      </c>
      <c r="J1087" s="2" t="inlineStr">
        <is>
          <t>MILL-RUN-01</t>
        </is>
      </c>
    </row>
    <row r="1088">
      <c r="G1088" s="2" t="inlineStr">
        <is>
          <t>2026-05-30</t>
        </is>
      </c>
      <c r="H1088" s="2" t="inlineStr">
        <is>
          <t>INDUSTRY FLOUR</t>
        </is>
      </c>
      <c r="I1088" s="4" t="n">
        <v>79.40000000000001</v>
      </c>
      <c r="J1088" s="2" t="inlineStr">
        <is>
          <t>MILL-RUN-01</t>
        </is>
      </c>
    </row>
    <row r="1089">
      <c r="G1089" s="2" t="inlineStr">
        <is>
          <t>2026-06-04</t>
        </is>
      </c>
      <c r="H1089" s="2" t="inlineStr">
        <is>
          <t>INDUSTRY FLOUR</t>
        </is>
      </c>
      <c r="I1089" s="4" t="n">
        <v>1.0024</v>
      </c>
      <c r="J1089" s="2" t="inlineStr">
        <is>
          <t>MILL-RUN-01</t>
        </is>
      </c>
    </row>
    <row r="1090">
      <c r="G1090" s="2" t="inlineStr">
        <is>
          <t>2026-06-05</t>
        </is>
      </c>
      <c r="H1090" s="2" t="inlineStr">
        <is>
          <t>INDUSTRY FLOUR</t>
        </is>
      </c>
      <c r="I1090" s="4" t="n">
        <v>0.5988</v>
      </c>
      <c r="J1090" s="2" t="inlineStr">
        <is>
          <t>MILL-RUN-01</t>
        </is>
      </c>
    </row>
    <row r="1091">
      <c r="G1091" s="2" t="inlineStr">
        <is>
          <t>2026-06-08</t>
        </is>
      </c>
      <c r="H1091" s="2" t="inlineStr">
        <is>
          <t>INDUSTRY FLOUR</t>
        </is>
      </c>
      <c r="I1091" s="4" t="n">
        <v>0.3991</v>
      </c>
      <c r="J1091" s="2" t="inlineStr">
        <is>
          <t>MILL-RUN-01</t>
        </is>
      </c>
    </row>
    <row r="1092">
      <c r="G1092" s="2" t="inlineStr">
        <is>
          <t>2026-06-11</t>
        </is>
      </c>
      <c r="H1092" s="2" t="inlineStr">
        <is>
          <t>INDUSTRY FLOUR</t>
        </is>
      </c>
      <c r="I1092" s="4" t="n">
        <v>0.2798</v>
      </c>
      <c r="J1092" s="2" t="inlineStr">
        <is>
          <t>MILL-RUN-01</t>
        </is>
      </c>
    </row>
    <row r="1093">
      <c r="G1093" s="2" t="inlineStr">
        <is>
          <t>2026-06-13</t>
        </is>
      </c>
      <c r="H1093" s="2" t="inlineStr">
        <is>
          <t>INDUSTRY FLOUR</t>
        </is>
      </c>
      <c r="I1093" s="4" t="n">
        <v>0.7202999999999999</v>
      </c>
      <c r="J1093" s="2" t="inlineStr">
        <is>
          <t>MILL-RUN-01</t>
        </is>
      </c>
    </row>
    <row r="1094">
      <c r="G1094" s="2" t="inlineStr">
        <is>
          <t>2026-06-15</t>
        </is>
      </c>
      <c r="H1094" s="2" t="inlineStr">
        <is>
          <t>INDUSTRY FLOUR</t>
        </is>
      </c>
      <c r="I1094" s="4" t="n">
        <v>0.882</v>
      </c>
      <c r="J1094" s="2" t="inlineStr">
        <is>
          <t>MILL-RUN-01</t>
        </is>
      </c>
    </row>
    <row r="1095">
      <c r="G1095" s="2" t="inlineStr">
        <is>
          <t>2026-06-16</t>
        </is>
      </c>
      <c r="H1095" s="2" t="inlineStr">
        <is>
          <t>INDUSTRY FLOUR</t>
        </is>
      </c>
      <c r="I1095" s="4" t="n">
        <v>0.3997</v>
      </c>
      <c r="J1095" s="2" t="inlineStr">
        <is>
          <t>MILL-RUN-01</t>
        </is>
      </c>
    </row>
    <row r="1096">
      <c r="G1096" s="2" t="inlineStr">
        <is>
          <t>2026-06-17</t>
        </is>
      </c>
      <c r="H1096" s="2" t="inlineStr">
        <is>
          <t>INDUSTRY FLOUR</t>
        </is>
      </c>
      <c r="I1096" s="4" t="n">
        <v>0.1996</v>
      </c>
      <c r="J1096" s="2" t="inlineStr">
        <is>
          <t>MILL-RUN-01</t>
        </is>
      </c>
    </row>
    <row r="1097">
      <c r="G1097" s="2" t="inlineStr">
        <is>
          <t>2026-06-19</t>
        </is>
      </c>
      <c r="H1097" s="2" t="inlineStr">
        <is>
          <t>INDUSTRY FLOUR</t>
        </is>
      </c>
      <c r="I1097" s="4" t="n">
        <v>1.8008</v>
      </c>
      <c r="J1097" s="2" t="inlineStr">
        <is>
          <t>MILL-RUN-01</t>
        </is>
      </c>
    </row>
    <row r="1098">
      <c r="G1098" s="2" t="inlineStr">
        <is>
          <t>2026-06-20</t>
        </is>
      </c>
      <c r="H1098" s="2" t="inlineStr">
        <is>
          <t>INDUSTRY FLOUR</t>
        </is>
      </c>
      <c r="I1098" s="4" t="n">
        <v>0.3992</v>
      </c>
      <c r="J1098" s="2" t="inlineStr">
        <is>
          <t>MILL-RUN-01</t>
        </is>
      </c>
    </row>
    <row r="1099">
      <c r="G1099" s="2" t="inlineStr">
        <is>
          <t>2026-06-23</t>
        </is>
      </c>
      <c r="H1099" s="2" t="inlineStr">
        <is>
          <t>INDUSTRY FLOUR</t>
        </is>
      </c>
      <c r="I1099" s="4" t="n">
        <v>0.401</v>
      </c>
      <c r="J1099" s="2" t="inlineStr">
        <is>
          <t>MILL-RUN-01</t>
        </is>
      </c>
    </row>
    <row r="1100">
      <c r="G1100" s="2" t="inlineStr">
        <is>
          <t>2026-06-24</t>
        </is>
      </c>
      <c r="H1100" s="2" t="inlineStr">
        <is>
          <t>INDUSTRY FLOUR</t>
        </is>
      </c>
      <c r="I1100" s="4" t="n">
        <v>0.4806</v>
      </c>
      <c r="J1100" s="2" t="inlineStr">
        <is>
          <t>MILL-RUN-01</t>
        </is>
      </c>
    </row>
    <row r="1101">
      <c r="G1101" s="2" t="inlineStr">
        <is>
          <t>2026-06-25</t>
        </is>
      </c>
      <c r="H1101" s="2" t="inlineStr">
        <is>
          <t>INDUSTRY FLOUR</t>
        </is>
      </c>
      <c r="I1101" s="4" t="n">
        <v>0.3994</v>
      </c>
      <c r="J1101" s="2" t="inlineStr">
        <is>
          <t>MILL-RUN-01</t>
        </is>
      </c>
    </row>
    <row r="1102">
      <c r="G1102" s="2" t="inlineStr">
        <is>
          <t>2026-06-26</t>
        </is>
      </c>
      <c r="H1102" s="2" t="inlineStr">
        <is>
          <t>INDUSTRY FLOUR</t>
        </is>
      </c>
      <c r="I1102" s="4" t="n">
        <v>2.1215</v>
      </c>
      <c r="J1102" s="2" t="inlineStr">
        <is>
          <t>MILL-RUN-01</t>
        </is>
      </c>
    </row>
    <row r="1103">
      <c r="G1103" s="2" t="inlineStr">
        <is>
          <t>2026-06-28</t>
        </is>
      </c>
      <c r="H1103" s="2" t="inlineStr">
        <is>
          <t>INDUSTRY FLOUR</t>
        </is>
      </c>
      <c r="I1103" s="4" t="n">
        <v>0.5305</v>
      </c>
      <c r="J1103" s="2" t="inlineStr">
        <is>
          <t>MILL-RUN-01</t>
        </is>
      </c>
    </row>
    <row r="1104">
      <c r="G1104" s="2" t="inlineStr">
        <is>
          <t>2026-06-29</t>
        </is>
      </c>
      <c r="H1104" s="2" t="inlineStr">
        <is>
          <t>INDUSTRY FLOUR</t>
        </is>
      </c>
      <c r="I1104" s="4" t="n">
        <v>1.1987</v>
      </c>
      <c r="J1104" s="2" t="inlineStr">
        <is>
          <t>MILL-RUN-01</t>
        </is>
      </c>
    </row>
    <row r="1105">
      <c r="G1105" s="2" t="inlineStr">
        <is>
          <t>2026-06-30</t>
        </is>
      </c>
      <c r="H1105" s="2" t="inlineStr">
        <is>
          <t>INDUSTRY FLOUR</t>
        </is>
      </c>
      <c r="I1105" s="4" t="n">
        <v>1.2014</v>
      </c>
      <c r="J1105" s="2" t="inlineStr">
        <is>
          <t>MILL-RUN-01</t>
        </is>
      </c>
    </row>
    <row r="1106">
      <c r="G1106" s="2" t="inlineStr">
        <is>
          <t>2026-07-01</t>
        </is>
      </c>
      <c r="H1106" s="2" t="inlineStr">
        <is>
          <t>INDUSTRY FLOUR</t>
        </is>
      </c>
      <c r="I1106" s="4" t="n">
        <v>0.12</v>
      </c>
      <c r="J1106" s="2" t="inlineStr">
        <is>
          <t>MILL-RUN-01</t>
        </is>
      </c>
    </row>
    <row r="1107">
      <c r="G1107" s="2" t="inlineStr">
        <is>
          <t>2026-07-02</t>
        </is>
      </c>
      <c r="H1107" s="2" t="inlineStr">
        <is>
          <t>INDUSTRY FLOUR</t>
        </is>
      </c>
      <c r="I1107" s="4" t="n">
        <v>1.0002</v>
      </c>
      <c r="J1107" s="2" t="inlineStr">
        <is>
          <t>MILL-RUN-01</t>
        </is>
      </c>
    </row>
    <row r="1108">
      <c r="G1108" s="2" t="inlineStr">
        <is>
          <t>2026-07-03</t>
        </is>
      </c>
      <c r="H1108" s="2" t="inlineStr">
        <is>
          <t>INDUSTRY FLOUR</t>
        </is>
      </c>
      <c r="I1108" s="4" t="n">
        <v>0.839</v>
      </c>
      <c r="J1108" s="2" t="inlineStr">
        <is>
          <t>MILL-RUN-01</t>
        </is>
      </c>
    </row>
    <row r="1109">
      <c r="G1109" s="2" t="inlineStr">
        <is>
          <t>2026-07-04</t>
        </is>
      </c>
      <c r="H1109" s="2" t="inlineStr">
        <is>
          <t>INDUSTRY FLOUR</t>
        </is>
      </c>
      <c r="I1109" s="4" t="n">
        <v>1.4007</v>
      </c>
      <c r="J1109" s="2" t="inlineStr">
        <is>
          <t>MILL-RUN-01</t>
        </is>
      </c>
    </row>
    <row r="1110">
      <c r="G1110" s="2" t="inlineStr">
        <is>
          <t>2026-07-06</t>
        </is>
      </c>
      <c r="H1110" s="2" t="inlineStr">
        <is>
          <t>INDUSTRY FLOUR</t>
        </is>
      </c>
      <c r="I1110" s="4" t="n">
        <v>0.2001</v>
      </c>
      <c r="J1110" s="2" t="inlineStr">
        <is>
          <t>MILL-RUN-01</t>
        </is>
      </c>
    </row>
    <row r="1111">
      <c r="G1111" s="2" t="inlineStr">
        <is>
          <t>2026-07-07</t>
        </is>
      </c>
      <c r="H1111" s="2" t="inlineStr">
        <is>
          <t>INDUSTRY FLOUR</t>
        </is>
      </c>
      <c r="I1111" s="4" t="n">
        <v>0.8807</v>
      </c>
      <c r="J1111" s="2" t="inlineStr">
        <is>
          <t>MILL-RUN-01</t>
        </is>
      </c>
    </row>
    <row r="1112">
      <c r="G1112" s="2" t="inlineStr">
        <is>
          <t>2026-07-08</t>
        </is>
      </c>
      <c r="H1112" s="2" t="inlineStr">
        <is>
          <t>INDUSTRY FLOUR</t>
        </is>
      </c>
      <c r="I1112" s="4" t="n">
        <v>0.401</v>
      </c>
      <c r="J1112" s="2" t="inlineStr">
        <is>
          <t>MILL-RUN-01</t>
        </is>
      </c>
    </row>
    <row r="1113">
      <c r="G1113" s="2" t="inlineStr">
        <is>
          <t>2026-07-09</t>
        </is>
      </c>
      <c r="H1113" s="2" t="inlineStr">
        <is>
          <t>INDUSTRY FLOUR</t>
        </is>
      </c>
      <c r="I1113" s="4" t="n">
        <v>1.336</v>
      </c>
      <c r="J1113" s="2" t="inlineStr">
        <is>
          <t>MILL-RUN-01</t>
        </is>
      </c>
    </row>
    <row r="1114">
      <c r="G1114" s="2" t="inlineStr">
        <is>
          <t>2026-07-10</t>
        </is>
      </c>
      <c r="H1114" s="2" t="inlineStr">
        <is>
          <t>INDUSTRY FLOUR</t>
        </is>
      </c>
      <c r="I1114" s="4" t="n">
        <v>1.6006</v>
      </c>
      <c r="J1114" s="2" t="inlineStr">
        <is>
          <t>MILL-RUN-01</t>
        </is>
      </c>
    </row>
    <row r="1115">
      <c r="G1115" s="2" t="inlineStr">
        <is>
          <t>2026-07-13</t>
        </is>
      </c>
      <c r="H1115" s="2" t="inlineStr">
        <is>
          <t>INDUSTRY FLOUR</t>
        </is>
      </c>
      <c r="I1115" s="4" t="n">
        <v>0.5620000000000001</v>
      </c>
      <c r="J1115" s="2" t="inlineStr">
        <is>
          <t>MILL-RUN-01</t>
        </is>
      </c>
    </row>
    <row r="1116">
      <c r="G1116" s="2" t="inlineStr">
        <is>
          <t>2026-07-14</t>
        </is>
      </c>
      <c r="H1116" s="2" t="inlineStr">
        <is>
          <t>INDUSTRY FLOUR</t>
        </is>
      </c>
      <c r="I1116" s="4" t="n">
        <v>1.6</v>
      </c>
      <c r="J1116" s="2" t="inlineStr">
        <is>
          <t>MILL-RUN-01</t>
        </is>
      </c>
    </row>
    <row r="1117">
      <c r="G1117" s="2" t="inlineStr">
        <is>
          <t>2026-07-15</t>
        </is>
      </c>
      <c r="H1117" s="2" t="inlineStr">
        <is>
          <t>INDUSTRY FLOUR</t>
        </is>
      </c>
      <c r="I1117" s="4" t="n">
        <v>0.918</v>
      </c>
      <c r="J1117" s="2" t="inlineStr">
        <is>
          <t>MILL-RUN-01</t>
        </is>
      </c>
    </row>
    <row r="1118">
      <c r="G1118" s="2" t="inlineStr">
        <is>
          <t>2026-07-16</t>
        </is>
      </c>
      <c r="H1118" s="2" t="inlineStr">
        <is>
          <t>INDUSTRY FLOUR</t>
        </is>
      </c>
      <c r="I1118" s="4" t="n">
        <v>1.2036</v>
      </c>
      <c r="J1118" s="2" t="inlineStr">
        <is>
          <t>MILL-RUN-01</t>
        </is>
      </c>
    </row>
    <row r="1119">
      <c r="G1119" s="2" t="inlineStr">
        <is>
          <t>2026-07-21</t>
        </is>
      </c>
      <c r="H1119" s="2" t="inlineStr">
        <is>
          <t>INDUSTRY FLOUR</t>
        </is>
      </c>
      <c r="I1119" s="4" t="n">
        <v>0.4754</v>
      </c>
      <c r="J1119" s="2" t="inlineStr">
        <is>
          <t>MILL-RUN-01</t>
        </is>
      </c>
    </row>
    <row r="1120">
      <c r="G1120" s="2" t="inlineStr">
        <is>
          <t>2026-07-25</t>
        </is>
      </c>
      <c r="H1120" s="2" t="inlineStr">
        <is>
          <t>INDUSTRY FLOUR</t>
        </is>
      </c>
      <c r="I1120" s="4" t="n">
        <v>1.2</v>
      </c>
      <c r="J1120" s="2" t="inlineStr">
        <is>
          <t>MILL-RUN-01</t>
        </is>
      </c>
    </row>
    <row r="1121">
      <c r="G1121" s="2" t="inlineStr">
        <is>
          <t>2026-07-27</t>
        </is>
      </c>
      <c r="H1121" s="2" t="inlineStr">
        <is>
          <t>INDUSTRY FLOUR</t>
        </is>
      </c>
      <c r="I1121" s="4" t="n">
        <v>1.2041</v>
      </c>
      <c r="J1121" s="2" t="inlineStr">
        <is>
          <t>MILL-RUN-01</t>
        </is>
      </c>
    </row>
    <row r="1122">
      <c r="G1122" s="2" t="inlineStr">
        <is>
          <t>2026-07-30</t>
        </is>
      </c>
      <c r="H1122" s="2" t="inlineStr">
        <is>
          <t>INDUSTRY FLOUR</t>
        </is>
      </c>
      <c r="I1122" s="4" t="n">
        <v>0.7116</v>
      </c>
      <c r="J1122" s="2" t="inlineStr">
        <is>
          <t>MILL-RUN-01</t>
        </is>
      </c>
    </row>
    <row r="1123">
      <c r="G1123" s="2" t="inlineStr">
        <is>
          <t>2026-07-31</t>
        </is>
      </c>
      <c r="H1123" s="2" t="inlineStr">
        <is>
          <t>INDUSTRY FLOUR</t>
        </is>
      </c>
      <c r="I1123" s="4" t="n">
        <v>0.6001000000000001</v>
      </c>
      <c r="J1123" s="2" t="inlineStr">
        <is>
          <t>MILL-RUN-01</t>
        </is>
      </c>
    </row>
    <row r="1124">
      <c r="G1124" s="2" t="inlineStr">
        <is>
          <t>2026-01-05</t>
        </is>
      </c>
      <c r="H1124" s="2" t="inlineStr">
        <is>
          <t>RICE BRAN</t>
        </is>
      </c>
      <c r="I1124" s="4" t="n">
        <v>4.1978</v>
      </c>
      <c r="J1124" s="2" t="inlineStr">
        <is>
          <t>MILL-RUN-01</t>
        </is>
      </c>
    </row>
    <row r="1125">
      <c r="G1125" s="2" t="inlineStr">
        <is>
          <t>2026-01-06</t>
        </is>
      </c>
      <c r="H1125" s="2" t="inlineStr">
        <is>
          <t>RICE BRAN</t>
        </is>
      </c>
      <c r="I1125" s="4" t="n">
        <v>0.3518</v>
      </c>
      <c r="J1125" s="2" t="inlineStr">
        <is>
          <t>MILL-RUN-01</t>
        </is>
      </c>
    </row>
    <row r="1126">
      <c r="G1126" s="2" t="inlineStr">
        <is>
          <t>2026-01-07</t>
        </is>
      </c>
      <c r="H1126" s="2" t="inlineStr">
        <is>
          <t>RICE BRAN</t>
        </is>
      </c>
      <c r="I1126" s="4" t="n">
        <v>0.6996</v>
      </c>
      <c r="J1126" s="2" t="inlineStr">
        <is>
          <t>MILL-RUN-01</t>
        </is>
      </c>
    </row>
    <row r="1127">
      <c r="G1127" s="2" t="inlineStr">
        <is>
          <t>2026-01-12</t>
        </is>
      </c>
      <c r="H1127" s="2" t="inlineStr">
        <is>
          <t>RICE BRAN</t>
        </is>
      </c>
      <c r="I1127" s="4" t="n">
        <v>0.7004</v>
      </c>
      <c r="J1127" s="2" t="inlineStr">
        <is>
          <t>MILL-RUN-01</t>
        </is>
      </c>
    </row>
    <row r="1128">
      <c r="G1128" s="2" t="inlineStr">
        <is>
          <t>2026-01-16</t>
        </is>
      </c>
      <c r="H1128" s="2" t="inlineStr">
        <is>
          <t>RICE BRAN</t>
        </is>
      </c>
      <c r="I1128" s="4" t="n">
        <v>0.4892</v>
      </c>
      <c r="J1128" s="2" t="inlineStr">
        <is>
          <t>MILL-RUN-01</t>
        </is>
      </c>
    </row>
    <row r="1129">
      <c r="G1129" s="2" t="inlineStr">
        <is>
          <t>2026-01-19</t>
        </is>
      </c>
      <c r="H1129" s="2" t="inlineStr">
        <is>
          <t>RICE BRAN</t>
        </is>
      </c>
      <c r="I1129" s="4" t="n">
        <v>0.7002</v>
      </c>
      <c r="J1129" s="2" t="inlineStr">
        <is>
          <t>MILL-RUN-01</t>
        </is>
      </c>
    </row>
    <row r="1130">
      <c r="G1130" s="2" t="inlineStr">
        <is>
          <t>2026-01-21</t>
        </is>
      </c>
      <c r="H1130" s="2" t="inlineStr">
        <is>
          <t>RICE BRAN</t>
        </is>
      </c>
      <c r="I1130" s="4" t="n">
        <v>0.6294</v>
      </c>
      <c r="J1130" s="2" t="inlineStr">
        <is>
          <t>MILL-RUN-01</t>
        </is>
      </c>
    </row>
    <row r="1131">
      <c r="G1131" s="2" t="inlineStr">
        <is>
          <t>2026-01-26</t>
        </is>
      </c>
      <c r="H1131" s="2" t="inlineStr">
        <is>
          <t>RICE BRAN</t>
        </is>
      </c>
      <c r="I1131" s="4" t="n">
        <v>1.4</v>
      </c>
      <c r="J1131" s="2" t="inlineStr">
        <is>
          <t>MILL-RUN-01</t>
        </is>
      </c>
    </row>
    <row r="1132">
      <c r="G1132" s="2" t="inlineStr">
        <is>
          <t>2026-02-05</t>
        </is>
      </c>
      <c r="H1132" s="2" t="inlineStr">
        <is>
          <t>RICE BRAN</t>
        </is>
      </c>
      <c r="I1132" s="4" t="n">
        <v>0.9107999999999999</v>
      </c>
      <c r="J1132" s="2" t="inlineStr">
        <is>
          <t>MILL-RUN-01</t>
        </is>
      </c>
    </row>
    <row r="1133">
      <c r="G1133" s="2" t="inlineStr">
        <is>
          <t>2026-02-06</t>
        </is>
      </c>
      <c r="H1133" s="2" t="inlineStr">
        <is>
          <t>RICE BRAN</t>
        </is>
      </c>
      <c r="I1133" s="4" t="n">
        <v>2.8</v>
      </c>
      <c r="J1133" s="2" t="inlineStr">
        <is>
          <t>MILL-RUN-01</t>
        </is>
      </c>
    </row>
    <row r="1134">
      <c r="G1134" s="2" t="inlineStr">
        <is>
          <t>2026-02-07</t>
        </is>
      </c>
      <c r="H1134" s="2" t="inlineStr">
        <is>
          <t>RICE BRAN</t>
        </is>
      </c>
      <c r="I1134" s="4" t="n">
        <v>0.2116</v>
      </c>
      <c r="J1134" s="2" t="inlineStr">
        <is>
          <t>MILL-RUN-01</t>
        </is>
      </c>
    </row>
    <row r="1135">
      <c r="G1135" s="2" t="inlineStr">
        <is>
          <t>2026-02-11</t>
        </is>
      </c>
      <c r="H1135" s="2" t="inlineStr">
        <is>
          <t>RICE BRAN</t>
        </is>
      </c>
      <c r="I1135" s="4" t="n">
        <v>0.4214</v>
      </c>
      <c r="J1135" s="2" t="inlineStr">
        <is>
          <t>MILL-RUN-01</t>
        </is>
      </c>
    </row>
    <row r="1136">
      <c r="G1136" s="2" t="inlineStr">
        <is>
          <t>2026-02-12</t>
        </is>
      </c>
      <c r="H1136" s="2" t="inlineStr">
        <is>
          <t>RICE BRAN</t>
        </is>
      </c>
      <c r="I1136" s="4" t="n">
        <v>4.397399999999999</v>
      </c>
      <c r="J1136" s="2" t="inlineStr">
        <is>
          <t>MILL-RUN-01</t>
        </is>
      </c>
    </row>
    <row r="1137">
      <c r="G1137" s="2" t="inlineStr">
        <is>
          <t>2026-02-19</t>
        </is>
      </c>
      <c r="H1137" s="2" t="inlineStr">
        <is>
          <t>RICE BRAN</t>
        </is>
      </c>
      <c r="I1137" s="4" t="n">
        <v>3.1204</v>
      </c>
      <c r="J1137" s="2" t="inlineStr">
        <is>
          <t>MILL-RUN-01</t>
        </is>
      </c>
    </row>
    <row r="1138">
      <c r="G1138" s="2" t="inlineStr">
        <is>
          <t>2026-02-20</t>
        </is>
      </c>
      <c r="H1138" s="2" t="inlineStr">
        <is>
          <t>RICE BRAN</t>
        </is>
      </c>
      <c r="I1138" s="4" t="n">
        <v>3.1998</v>
      </c>
      <c r="J1138" s="2" t="inlineStr">
        <is>
          <t>MILL-RUN-01</t>
        </is>
      </c>
    </row>
    <row r="1139">
      <c r="G1139" s="2" t="inlineStr">
        <is>
          <t>2026-02-21</t>
        </is>
      </c>
      <c r="H1139" s="2" t="inlineStr">
        <is>
          <t>RICE BRAN</t>
        </is>
      </c>
      <c r="I1139" s="4" t="n">
        <v>1.9992</v>
      </c>
      <c r="J1139" s="2" t="inlineStr">
        <is>
          <t>MILL-RUN-01</t>
        </is>
      </c>
    </row>
    <row r="1140">
      <c r="G1140" s="2" t="inlineStr">
        <is>
          <t>2026-02-24</t>
        </is>
      </c>
      <c r="H1140" s="2" t="inlineStr">
        <is>
          <t>RICE BRAN</t>
        </is>
      </c>
      <c r="I1140" s="4" t="n">
        <v>3.04</v>
      </c>
      <c r="J1140" s="2" t="inlineStr">
        <is>
          <t>MILL-RUN-01</t>
        </is>
      </c>
    </row>
    <row r="1141">
      <c r="G1141" s="2" t="inlineStr">
        <is>
          <t>2026-02-25</t>
        </is>
      </c>
      <c r="H1141" s="2" t="inlineStr">
        <is>
          <t>RICE BRAN</t>
        </is>
      </c>
      <c r="I1141" s="4" t="n">
        <v>0.7206</v>
      </c>
      <c r="J1141" s="2" t="inlineStr">
        <is>
          <t>MILL-RUN-01</t>
        </is>
      </c>
    </row>
    <row r="1142">
      <c r="G1142" s="2" t="inlineStr">
        <is>
          <t>2026-02-26</t>
        </is>
      </c>
      <c r="H1142" s="2" t="inlineStr">
        <is>
          <t>RICE BRAN</t>
        </is>
      </c>
      <c r="I1142" s="4" t="n">
        <v>1.041</v>
      </c>
      <c r="J1142" s="2" t="inlineStr">
        <is>
          <t>MILL-RUN-01</t>
        </is>
      </c>
    </row>
    <row r="1143">
      <c r="G1143" s="2" t="inlineStr">
        <is>
          <t>2026-02-27</t>
        </is>
      </c>
      <c r="H1143" s="2" t="inlineStr">
        <is>
          <t>RICE BRAN</t>
        </is>
      </c>
      <c r="I1143" s="4" t="n">
        <v>0.3106</v>
      </c>
      <c r="J1143" s="2" t="inlineStr">
        <is>
          <t>MILL-RUN-01</t>
        </is>
      </c>
    </row>
    <row r="1144">
      <c r="G1144" s="2" t="inlineStr">
        <is>
          <t>2026-03-02</t>
        </is>
      </c>
      <c r="H1144" s="2" t="inlineStr">
        <is>
          <t>RICE BRAN</t>
        </is>
      </c>
      <c r="I1144" s="4" t="n">
        <v>3.1986</v>
      </c>
      <c r="J1144" s="2" t="inlineStr">
        <is>
          <t>MILL-RUN-01</t>
        </is>
      </c>
    </row>
    <row r="1145">
      <c r="G1145" s="2" t="inlineStr">
        <is>
          <t>2026-03-03</t>
        </is>
      </c>
      <c r="H1145" s="2" t="inlineStr">
        <is>
          <t>RICE BRAN</t>
        </is>
      </c>
      <c r="I1145" s="4" t="n">
        <v>4.719</v>
      </c>
      <c r="J1145" s="2" t="inlineStr">
        <is>
          <t>MILL-RUN-01</t>
        </is>
      </c>
    </row>
    <row r="1146">
      <c r="G1146" s="2" t="inlineStr">
        <is>
          <t>2026-03-04</t>
        </is>
      </c>
      <c r="H1146" s="2" t="inlineStr">
        <is>
          <t>RICE BRAN</t>
        </is>
      </c>
      <c r="I1146" s="4" t="n">
        <v>3.2128</v>
      </c>
      <c r="J1146" s="2" t="inlineStr">
        <is>
          <t>MILL-RUN-01</t>
        </is>
      </c>
    </row>
    <row r="1147">
      <c r="G1147" s="2" t="inlineStr">
        <is>
          <t>2026-03-06</t>
        </is>
      </c>
      <c r="H1147" s="2" t="inlineStr">
        <is>
          <t>RICE BRAN</t>
        </is>
      </c>
      <c r="I1147" s="4" t="n">
        <v>2.7998</v>
      </c>
      <c r="J1147" s="2" t="inlineStr">
        <is>
          <t>MILL-RUN-01</t>
        </is>
      </c>
    </row>
    <row r="1148">
      <c r="G1148" s="2" t="inlineStr">
        <is>
          <t>2026-03-07</t>
        </is>
      </c>
      <c r="H1148" s="2" t="inlineStr">
        <is>
          <t>RICE BRAN</t>
        </is>
      </c>
      <c r="I1148" s="4" t="n">
        <v>0.8024</v>
      </c>
      <c r="J1148" s="2" t="inlineStr">
        <is>
          <t>MILL-RUN-01</t>
        </is>
      </c>
    </row>
    <row r="1149">
      <c r="G1149" s="2" t="inlineStr">
        <is>
          <t>2026-03-09</t>
        </is>
      </c>
      <c r="H1149" s="2" t="inlineStr">
        <is>
          <t>RICE BRAN</t>
        </is>
      </c>
      <c r="I1149" s="4" t="n">
        <v>4.2278</v>
      </c>
      <c r="J1149" s="2" t="inlineStr">
        <is>
          <t>MILL-RUN-01</t>
        </is>
      </c>
    </row>
    <row r="1150">
      <c r="G1150" s="2" t="inlineStr">
        <is>
          <t>2026-03-13</t>
        </is>
      </c>
      <c r="H1150" s="2" t="inlineStr">
        <is>
          <t>RICE BRAN</t>
        </is>
      </c>
      <c r="I1150" s="4" t="n">
        <v>3.9998</v>
      </c>
      <c r="J1150" s="2" t="inlineStr">
        <is>
          <t>MILL-RUN-01</t>
        </is>
      </c>
    </row>
    <row r="1151">
      <c r="G1151" s="2" t="inlineStr">
        <is>
          <t>2026-03-14</t>
        </is>
      </c>
      <c r="H1151" s="2" t="inlineStr">
        <is>
          <t>RICE BRAN</t>
        </is>
      </c>
      <c r="I1151" s="4" t="n">
        <v>1.3544</v>
      </c>
      <c r="J1151" s="2" t="inlineStr">
        <is>
          <t>MILL-RUN-01</t>
        </is>
      </c>
    </row>
    <row r="1152">
      <c r="G1152" s="2" t="inlineStr">
        <is>
          <t>2026-03-16</t>
        </is>
      </c>
      <c r="H1152" s="2" t="inlineStr">
        <is>
          <t>RICE BRAN</t>
        </is>
      </c>
      <c r="I1152" s="4" t="n">
        <v>4.719600000000001</v>
      </c>
      <c r="J1152" s="2" t="inlineStr">
        <is>
          <t>MILL-RUN-01</t>
        </is>
      </c>
    </row>
    <row r="1153">
      <c r="G1153" s="2" t="inlineStr">
        <is>
          <t>2026-03-17</t>
        </is>
      </c>
      <c r="H1153" s="2" t="inlineStr">
        <is>
          <t>RICE BRAN</t>
        </is>
      </c>
      <c r="I1153" s="4" t="n">
        <v>0.147</v>
      </c>
      <c r="J1153" s="2" t="inlineStr">
        <is>
          <t>MILL-RUN-01</t>
        </is>
      </c>
    </row>
    <row r="1154">
      <c r="G1154" s="2" t="inlineStr">
        <is>
          <t>2026-03-18</t>
        </is>
      </c>
      <c r="H1154" s="2" t="inlineStr">
        <is>
          <t>RICE BRAN</t>
        </is>
      </c>
      <c r="I1154" s="4" t="n">
        <v>2</v>
      </c>
      <c r="J1154" s="2" t="inlineStr">
        <is>
          <t>MILL-RUN-01</t>
        </is>
      </c>
    </row>
    <row r="1155">
      <c r="G1155" s="2" t="inlineStr">
        <is>
          <t>2026-03-19</t>
        </is>
      </c>
      <c r="H1155" s="2" t="inlineStr">
        <is>
          <t>RICE BRAN</t>
        </is>
      </c>
      <c r="I1155" s="4" t="n">
        <v>0.8006</v>
      </c>
      <c r="J1155" s="2" t="inlineStr">
        <is>
          <t>MILL-RUN-01</t>
        </is>
      </c>
    </row>
    <row r="1156">
      <c r="G1156" s="2" t="inlineStr">
        <is>
          <t>2026-03-24</t>
        </is>
      </c>
      <c r="H1156" s="2" t="inlineStr">
        <is>
          <t>RICE BRAN</t>
        </is>
      </c>
      <c r="I1156" s="4" t="n">
        <v>1.5984</v>
      </c>
      <c r="J1156" s="2" t="inlineStr">
        <is>
          <t>MILL-RUN-01</t>
        </is>
      </c>
    </row>
    <row r="1157">
      <c r="G1157" s="2" t="inlineStr">
        <is>
          <t>2026-03-25</t>
        </is>
      </c>
      <c r="H1157" s="2" t="inlineStr">
        <is>
          <t>RICE BRAN</t>
        </is>
      </c>
      <c r="I1157" s="4" t="n">
        <v>0.4004</v>
      </c>
      <c r="J1157" s="2" t="inlineStr">
        <is>
          <t>MILL-RUN-01</t>
        </is>
      </c>
    </row>
    <row r="1158">
      <c r="G1158" s="2" t="inlineStr">
        <is>
          <t>2026-03-26</t>
        </is>
      </c>
      <c r="H1158" s="2" t="inlineStr">
        <is>
          <t>RICE BRAN</t>
        </is>
      </c>
      <c r="I1158" s="4" t="n">
        <v>0.485</v>
      </c>
      <c r="J1158" s="2" t="inlineStr">
        <is>
          <t>MILL-RUN-01</t>
        </is>
      </c>
    </row>
    <row r="1159">
      <c r="G1159" s="2" t="inlineStr">
        <is>
          <t>2026-03-27</t>
        </is>
      </c>
      <c r="H1159" s="2" t="inlineStr">
        <is>
          <t>RICE BRAN</t>
        </is>
      </c>
      <c r="I1159" s="4" t="n">
        <v>3.2008</v>
      </c>
      <c r="J1159" s="2" t="inlineStr">
        <is>
          <t>MILL-RUN-01</t>
        </is>
      </c>
    </row>
    <row r="1160">
      <c r="G1160" s="2" t="inlineStr">
        <is>
          <t>2026-03-28</t>
        </is>
      </c>
      <c r="H1160" s="2" t="inlineStr">
        <is>
          <t>RICE BRAN</t>
        </is>
      </c>
      <c r="I1160" s="4" t="n">
        <v>1.545</v>
      </c>
      <c r="J1160" s="2" t="inlineStr">
        <is>
          <t>MILL-RUN-01</t>
        </is>
      </c>
    </row>
    <row r="1161">
      <c r="G1161" s="2" t="inlineStr">
        <is>
          <t>2026-03-30</t>
        </is>
      </c>
      <c r="H1161" s="2" t="inlineStr">
        <is>
          <t>RICE BRAN</t>
        </is>
      </c>
      <c r="I1161" s="4" t="n">
        <v>29.6</v>
      </c>
      <c r="J1161" s="2" t="inlineStr">
        <is>
          <t>MILL-RUN-01</t>
        </is>
      </c>
    </row>
    <row r="1162">
      <c r="G1162" s="2" t="inlineStr">
        <is>
          <t>2026-04-01</t>
        </is>
      </c>
      <c r="H1162" s="2" t="inlineStr">
        <is>
          <t>RICE BRAN</t>
        </is>
      </c>
      <c r="I1162" s="4" t="n">
        <v>69</v>
      </c>
      <c r="J1162" s="2" t="inlineStr">
        <is>
          <t>MILL-RUN-01</t>
        </is>
      </c>
    </row>
    <row r="1163">
      <c r="G1163" s="2" t="inlineStr">
        <is>
          <t>2026-04-03</t>
        </is>
      </c>
      <c r="H1163" s="2" t="inlineStr">
        <is>
          <t>RICE BRAN</t>
        </is>
      </c>
      <c r="I1163" s="4" t="n">
        <v>2.001</v>
      </c>
      <c r="J1163" s="2" t="inlineStr">
        <is>
          <t>MILL-RUN-01</t>
        </is>
      </c>
    </row>
    <row r="1164">
      <c r="G1164" s="2" t="inlineStr">
        <is>
          <t>2026-04-06</t>
        </is>
      </c>
      <c r="H1164" s="2" t="inlineStr">
        <is>
          <t>RICE BRAN</t>
        </is>
      </c>
      <c r="I1164" s="4" t="n">
        <v>2.1686</v>
      </c>
      <c r="J1164" s="2" t="inlineStr">
        <is>
          <t>MILL-RUN-01</t>
        </is>
      </c>
    </row>
    <row r="1165">
      <c r="G1165" s="2" t="inlineStr">
        <is>
          <t>2026-04-07</t>
        </is>
      </c>
      <c r="H1165" s="2" t="inlineStr">
        <is>
          <t>RICE BRAN</t>
        </is>
      </c>
      <c r="I1165" s="4" t="n">
        <v>0.4792</v>
      </c>
      <c r="J1165" s="2" t="inlineStr">
        <is>
          <t>MILL-RUN-01</t>
        </is>
      </c>
    </row>
    <row r="1166">
      <c r="G1166" s="2" t="inlineStr">
        <is>
          <t>2026-04-08</t>
        </is>
      </c>
      <c r="H1166" s="2" t="inlineStr">
        <is>
          <t>RICE BRAN</t>
        </is>
      </c>
      <c r="I1166" s="4" t="n">
        <v>2.7996</v>
      </c>
      <c r="J1166" s="2" t="inlineStr">
        <is>
          <t>MILL-RUN-01</t>
        </is>
      </c>
    </row>
    <row r="1167">
      <c r="G1167" s="2" t="inlineStr">
        <is>
          <t>2026-04-09</t>
        </is>
      </c>
      <c r="H1167" s="2" t="inlineStr">
        <is>
          <t>RICE BRAN</t>
        </is>
      </c>
      <c r="I1167" s="4" t="n">
        <v>1.1994</v>
      </c>
      <c r="J1167" s="2" t="inlineStr">
        <is>
          <t>MILL-RUN-01</t>
        </is>
      </c>
    </row>
    <row r="1168">
      <c r="G1168" s="2" t="inlineStr">
        <is>
          <t>2026-04-10</t>
        </is>
      </c>
      <c r="H1168" s="2" t="inlineStr">
        <is>
          <t>RICE BRAN</t>
        </is>
      </c>
      <c r="I1168" s="4" t="n">
        <v>1.0412</v>
      </c>
      <c r="J1168" s="2" t="inlineStr">
        <is>
          <t>MILL-RUN-01</t>
        </is>
      </c>
    </row>
    <row r="1169">
      <c r="G1169" s="2" t="inlineStr">
        <is>
          <t>2026-04-11</t>
        </is>
      </c>
      <c r="H1169" s="2" t="inlineStr">
        <is>
          <t>RICE BRAN</t>
        </is>
      </c>
      <c r="I1169" s="4" t="n">
        <v>0.7994</v>
      </c>
      <c r="J1169" s="2" t="inlineStr">
        <is>
          <t>MILL-RUN-01</t>
        </is>
      </c>
    </row>
    <row r="1170">
      <c r="G1170" s="2" t="inlineStr">
        <is>
          <t>2026-04-13</t>
        </is>
      </c>
      <c r="H1170" s="2" t="inlineStr">
        <is>
          <t>RICE BRAN</t>
        </is>
      </c>
      <c r="I1170" s="4" t="n">
        <v>1.2004</v>
      </c>
      <c r="J1170" s="2" t="inlineStr">
        <is>
          <t>MILL-RUN-01</t>
        </is>
      </c>
    </row>
    <row r="1171">
      <c r="G1171" s="2" t="inlineStr">
        <is>
          <t>2026-04-14</t>
        </is>
      </c>
      <c r="H1171" s="2" t="inlineStr">
        <is>
          <t>RICE BRAN</t>
        </is>
      </c>
      <c r="I1171" s="4" t="n">
        <v>3.9996</v>
      </c>
      <c r="J1171" s="2" t="inlineStr">
        <is>
          <t>MILL-RUN-01</t>
        </is>
      </c>
    </row>
    <row r="1172">
      <c r="G1172" s="2" t="inlineStr">
        <is>
          <t>2026-04-15</t>
        </is>
      </c>
      <c r="H1172" s="2" t="inlineStr">
        <is>
          <t>RICE BRAN</t>
        </is>
      </c>
      <c r="I1172" s="4" t="n">
        <v>1.5206</v>
      </c>
      <c r="J1172" s="2" t="inlineStr">
        <is>
          <t>MILL-RUN-01</t>
        </is>
      </c>
    </row>
    <row r="1173">
      <c r="G1173" s="2" t="inlineStr">
        <is>
          <t>2026-04-16</t>
        </is>
      </c>
      <c r="H1173" s="2" t="inlineStr">
        <is>
          <t>RICE BRAN</t>
        </is>
      </c>
      <c r="I1173" s="4" t="n">
        <v>2.3998</v>
      </c>
      <c r="J1173" s="2" t="inlineStr">
        <is>
          <t>MILL-RUN-01</t>
        </is>
      </c>
    </row>
    <row r="1174">
      <c r="G1174" s="2" t="inlineStr">
        <is>
          <t>2026-04-17</t>
        </is>
      </c>
      <c r="H1174" s="2" t="inlineStr">
        <is>
          <t>RICE BRAN</t>
        </is>
      </c>
      <c r="I1174" s="4" t="n">
        <v>0.8012</v>
      </c>
      <c r="J1174" s="2" t="inlineStr">
        <is>
          <t>MILL-RUN-01</t>
        </is>
      </c>
    </row>
    <row r="1175">
      <c r="G1175" s="2" t="inlineStr">
        <is>
          <t>2026-04-18</t>
        </is>
      </c>
      <c r="H1175" s="2" t="inlineStr">
        <is>
          <t>RICE BRAN</t>
        </is>
      </c>
      <c r="I1175" s="4" t="n">
        <v>2.2372</v>
      </c>
      <c r="J1175" s="2" t="inlineStr">
        <is>
          <t>MILL-RUN-01</t>
        </is>
      </c>
    </row>
    <row r="1176">
      <c r="G1176" s="2" t="inlineStr">
        <is>
          <t>2026-04-20</t>
        </is>
      </c>
      <c r="H1176" s="2" t="inlineStr">
        <is>
          <t>RICE BRAN</t>
        </is>
      </c>
      <c r="I1176" s="4" t="n">
        <v>1.2714</v>
      </c>
      <c r="J1176" s="2" t="inlineStr">
        <is>
          <t>MILL-RUN-01</t>
        </is>
      </c>
    </row>
    <row r="1177">
      <c r="G1177" s="2" t="inlineStr">
        <is>
          <t>2026-04-21</t>
        </is>
      </c>
      <c r="H1177" s="2" t="inlineStr">
        <is>
          <t>RICE BRAN</t>
        </is>
      </c>
      <c r="I1177" s="4" t="n">
        <v>1.2006</v>
      </c>
      <c r="J1177" s="2" t="inlineStr">
        <is>
          <t>MILL-RUN-01</t>
        </is>
      </c>
    </row>
    <row r="1178">
      <c r="G1178" s="2" t="inlineStr">
        <is>
          <t>2026-04-23</t>
        </is>
      </c>
      <c r="H1178" s="2" t="inlineStr">
        <is>
          <t>RICE BRAN</t>
        </is>
      </c>
      <c r="I1178" s="4" t="n">
        <v>1.6</v>
      </c>
      <c r="J1178" s="2" t="inlineStr">
        <is>
          <t>MILL-RUN-01</t>
        </is>
      </c>
    </row>
    <row r="1179">
      <c r="G1179" s="2" t="inlineStr">
        <is>
          <t>2026-04-25</t>
        </is>
      </c>
      <c r="H1179" s="2" t="inlineStr">
        <is>
          <t>RICE BRAN</t>
        </is>
      </c>
      <c r="I1179" s="4" t="n">
        <v>3.1988</v>
      </c>
      <c r="J1179" s="2" t="inlineStr">
        <is>
          <t>MILL-RUN-01</t>
        </is>
      </c>
    </row>
    <row r="1180">
      <c r="G1180" s="2" t="inlineStr">
        <is>
          <t>2026-04-28</t>
        </is>
      </c>
      <c r="H1180" s="2" t="inlineStr">
        <is>
          <t>RICE BRAN</t>
        </is>
      </c>
      <c r="I1180" s="4" t="n">
        <v>1.602</v>
      </c>
      <c r="J1180" s="2" t="inlineStr">
        <is>
          <t>MILL-RUN-01</t>
        </is>
      </c>
    </row>
    <row r="1181">
      <c r="G1181" s="2" t="inlineStr">
        <is>
          <t>2026-04-30</t>
        </is>
      </c>
      <c r="H1181" s="2" t="inlineStr">
        <is>
          <t>RICE BRAN</t>
        </is>
      </c>
      <c r="I1181" s="4" t="n">
        <v>1.0004</v>
      </c>
      <c r="J1181" s="2" t="inlineStr">
        <is>
          <t>MILL-RUN-01</t>
        </is>
      </c>
    </row>
    <row r="1182">
      <c r="G1182" s="2" t="inlineStr">
        <is>
          <t>2026-05-04</t>
        </is>
      </c>
      <c r="H1182" s="2" t="inlineStr">
        <is>
          <t>RICE BRAN</t>
        </is>
      </c>
      <c r="I1182" s="4" t="n">
        <v>2.0011</v>
      </c>
      <c r="J1182" s="2" t="inlineStr">
        <is>
          <t>MILL-RUN-01</t>
        </is>
      </c>
    </row>
    <row r="1183">
      <c r="G1183" s="2" t="inlineStr">
        <is>
          <t>2026-05-09</t>
        </is>
      </c>
      <c r="H1183" s="2" t="inlineStr">
        <is>
          <t>RICE BRAN</t>
        </is>
      </c>
      <c r="I1183" s="4" t="n">
        <v>0.5004999999999999</v>
      </c>
      <c r="J1183" s="2" t="inlineStr">
        <is>
          <t>MILL-RUN-01</t>
        </is>
      </c>
    </row>
    <row r="1184">
      <c r="G1184" s="2" t="inlineStr">
        <is>
          <t>2026-05-13</t>
        </is>
      </c>
      <c r="H1184" s="2" t="inlineStr">
        <is>
          <t>RICE BRAN</t>
        </is>
      </c>
      <c r="I1184" s="4" t="n">
        <v>2.2009</v>
      </c>
      <c r="J1184" s="2" t="inlineStr">
        <is>
          <t>MILL-RUN-01</t>
        </is>
      </c>
    </row>
    <row r="1185">
      <c r="G1185" s="2" t="inlineStr">
        <is>
          <t>2026-05-20</t>
        </is>
      </c>
      <c r="H1185" s="2" t="inlineStr">
        <is>
          <t>RICE BRAN</t>
        </is>
      </c>
      <c r="I1185" s="4" t="n">
        <v>0.4998</v>
      </c>
      <c r="J1185" s="2" t="inlineStr">
        <is>
          <t>MILL-RUN-01</t>
        </is>
      </c>
    </row>
    <row r="1186">
      <c r="G1186" s="2" t="inlineStr">
        <is>
          <t>2026-05-25</t>
        </is>
      </c>
      <c r="H1186" s="2" t="inlineStr">
        <is>
          <t>RICE BRAN</t>
        </is>
      </c>
      <c r="I1186" s="4" t="n">
        <v>0.7012</v>
      </c>
      <c r="J1186" s="2" t="inlineStr">
        <is>
          <t>MILL-RUN-01</t>
        </is>
      </c>
    </row>
    <row r="1187">
      <c r="G1187" s="2" t="inlineStr">
        <is>
          <t>2026-05-26</t>
        </is>
      </c>
      <c r="H1187" s="2" t="inlineStr">
        <is>
          <t>RICE BRAN</t>
        </is>
      </c>
      <c r="I1187" s="4" t="n">
        <v>1.8011</v>
      </c>
      <c r="J1187" s="2" t="inlineStr">
        <is>
          <t>MILL-RUN-01</t>
        </is>
      </c>
    </row>
    <row r="1188">
      <c r="G1188" s="2" t="inlineStr">
        <is>
          <t>2026-06-27</t>
        </is>
      </c>
      <c r="H1188" s="2" t="inlineStr">
        <is>
          <t>RICE BRAN</t>
        </is>
      </c>
      <c r="I1188" s="4" t="n">
        <v>0.3005</v>
      </c>
      <c r="J1188" s="2" t="inlineStr">
        <is>
          <t>MILL-RUN-01</t>
        </is>
      </c>
    </row>
    <row r="1189">
      <c r="G1189" s="2" t="inlineStr">
        <is>
          <t>2026-07-06</t>
        </is>
      </c>
      <c r="H1189" s="2" t="inlineStr">
        <is>
          <t>RICE BRAN</t>
        </is>
      </c>
      <c r="I1189" s="4" t="n">
        <v>0.2998</v>
      </c>
      <c r="J1189" s="2" t="inlineStr">
        <is>
          <t>MILL-RUN-01</t>
        </is>
      </c>
    </row>
    <row r="1190">
      <c r="G1190" s="2" t="inlineStr">
        <is>
          <t>2026-07-14</t>
        </is>
      </c>
      <c r="H1190" s="2" t="inlineStr">
        <is>
          <t>RICE BRAN</t>
        </is>
      </c>
      <c r="I1190" s="4" t="n">
        <v>0.8005</v>
      </c>
      <c r="J1190" s="2" t="inlineStr">
        <is>
          <t>MILL-RUN-01</t>
        </is>
      </c>
    </row>
    <row r="1191">
      <c r="G1191" s="2" t="inlineStr">
        <is>
          <t>2026-07-18</t>
        </is>
      </c>
      <c r="H1191" s="2" t="inlineStr">
        <is>
          <t>RICE BRAN</t>
        </is>
      </c>
      <c r="I1191" s="4" t="n">
        <v>0.8002999999999999</v>
      </c>
      <c r="J1191" s="2" t="inlineStr">
        <is>
          <t>MILL-RUN-01</t>
        </is>
      </c>
    </row>
    <row r="1192">
      <c r="G1192" s="2" t="inlineStr">
        <is>
          <t>2026-07-24</t>
        </is>
      </c>
      <c r="H1192" s="2" t="inlineStr">
        <is>
          <t>RICE BRAN</t>
        </is>
      </c>
      <c r="I1192" s="4" t="n">
        <v>0.7516</v>
      </c>
      <c r="J1192" s="2" t="inlineStr">
        <is>
          <t>MILL-RUN-01</t>
        </is>
      </c>
    </row>
    <row r="1193">
      <c r="G1193" s="2" t="inlineStr">
        <is>
          <t>2026-07-29</t>
        </is>
      </c>
      <c r="H1193" s="2" t="inlineStr">
        <is>
          <t>RICE BRAN</t>
        </is>
      </c>
      <c r="I1193" s="4" t="n">
        <v>13.5</v>
      </c>
      <c r="J1193" s="2" t="inlineStr">
        <is>
          <t>MILL-RUN-01</t>
        </is>
      </c>
    </row>
    <row r="1194">
      <c r="G1194" s="2" t="inlineStr">
        <is>
          <t>2026-04-06</t>
        </is>
      </c>
      <c r="H1194" s="2" t="inlineStr">
        <is>
          <t>EP 200</t>
        </is>
      </c>
      <c r="I1194" s="4" t="n">
        <v>100</v>
      </c>
      <c r="J1194" s="2" t="inlineStr">
        <is>
          <t>MILL-RUN-01</t>
        </is>
      </c>
    </row>
    <row r="1195">
      <c r="G1195" s="2" t="inlineStr">
        <is>
          <t>2026-04-14</t>
        </is>
      </c>
      <c r="H1195" s="2" t="inlineStr">
        <is>
          <t>EP 200</t>
        </is>
      </c>
      <c r="I1195" s="4" t="n">
        <v>0.75</v>
      </c>
      <c r="J1195" s="2" t="inlineStr">
        <is>
          <t>MILL-RUN-01</t>
        </is>
      </c>
    </row>
    <row r="1196">
      <c r="G1196" s="2" t="inlineStr">
        <is>
          <t>2026-04-20</t>
        </is>
      </c>
      <c r="H1196" s="2" t="inlineStr">
        <is>
          <t>EP 200</t>
        </is>
      </c>
      <c r="I1196" s="4" t="n">
        <v>0.5</v>
      </c>
      <c r="J1196" s="2" t="inlineStr">
        <is>
          <t>MILL-RUN-01</t>
        </is>
      </c>
    </row>
    <row r="1197">
      <c r="G1197" s="2" t="inlineStr">
        <is>
          <t>2026-02-07</t>
        </is>
      </c>
      <c r="H1197" s="2" t="inlineStr">
        <is>
          <t>SOYTIDE</t>
        </is>
      </c>
      <c r="I1197" s="4" t="n">
        <v>1.5004</v>
      </c>
      <c r="J1197" s="2" t="inlineStr">
        <is>
          <t>MILL-RUN-01</t>
        </is>
      </c>
    </row>
    <row r="1198">
      <c r="G1198" s="2" t="inlineStr">
        <is>
          <t>2026-02-11</t>
        </is>
      </c>
      <c r="H1198" s="2" t="inlineStr">
        <is>
          <t>SOYTIDE</t>
        </is>
      </c>
      <c r="I1198" s="4" t="n">
        <v>3.0028</v>
      </c>
      <c r="J1198" s="2" t="inlineStr">
        <is>
          <t>MILL-RUN-01</t>
        </is>
      </c>
    </row>
    <row r="1199">
      <c r="G1199" s="2" t="inlineStr">
        <is>
          <t>2026-03-09</t>
        </is>
      </c>
      <c r="H1199" s="2" t="inlineStr">
        <is>
          <t>SOYTIDE</t>
        </is>
      </c>
      <c r="I1199" s="4" t="n">
        <v>0.4995</v>
      </c>
      <c r="J1199" s="2" t="inlineStr">
        <is>
          <t>MILL-RUN-01</t>
        </is>
      </c>
    </row>
    <row r="1200">
      <c r="G1200" s="2" t="inlineStr">
        <is>
          <t>2026-03-14</t>
        </is>
      </c>
      <c r="H1200" s="2" t="inlineStr">
        <is>
          <t>SOYTIDE</t>
        </is>
      </c>
      <c r="I1200" s="4" t="n">
        <v>1.15</v>
      </c>
      <c r="J1200" s="2" t="inlineStr">
        <is>
          <t>MILL-RUN-01</t>
        </is>
      </c>
    </row>
    <row r="1201">
      <c r="G1201" s="2" t="inlineStr">
        <is>
          <t>2026-03-17</t>
        </is>
      </c>
      <c r="H1201" s="2" t="inlineStr">
        <is>
          <t>SOYTIDE</t>
        </is>
      </c>
      <c r="I1201" s="4" t="n">
        <v>1.1</v>
      </c>
      <c r="J1201" s="2" t="inlineStr">
        <is>
          <t>MILL-RUN-01</t>
        </is>
      </c>
    </row>
    <row r="1202">
      <c r="G1202" s="2" t="inlineStr">
        <is>
          <t>2026-03-26</t>
        </is>
      </c>
      <c r="H1202" s="2" t="inlineStr">
        <is>
          <t>SOYTIDE</t>
        </is>
      </c>
      <c r="I1202" s="4" t="n">
        <v>0.6</v>
      </c>
      <c r="J1202" s="2" t="inlineStr">
        <is>
          <t>MILL-RUN-01</t>
        </is>
      </c>
    </row>
    <row r="1203">
      <c r="G1203" s="2" t="inlineStr">
        <is>
          <t>2026-03-28</t>
        </is>
      </c>
      <c r="H1203" s="2" t="inlineStr">
        <is>
          <t>SOYTIDE</t>
        </is>
      </c>
      <c r="I1203" s="4" t="n">
        <v>0.5</v>
      </c>
      <c r="J1203" s="2" t="inlineStr">
        <is>
          <t>MILL-RUN-01</t>
        </is>
      </c>
    </row>
    <row r="1204">
      <c r="G1204" s="2" t="inlineStr">
        <is>
          <t>2026-04-01</t>
        </is>
      </c>
      <c r="H1204" s="2" t="inlineStr">
        <is>
          <t>SOYTIDE</t>
        </is>
      </c>
      <c r="I1204" s="4" t="n">
        <v>0.5</v>
      </c>
      <c r="J1204" s="2" t="inlineStr">
        <is>
          <t>MILL-RUN-01</t>
        </is>
      </c>
    </row>
    <row r="1205">
      <c r="G1205" s="2" t="inlineStr">
        <is>
          <t>2026-04-06</t>
        </is>
      </c>
      <c r="H1205" s="2" t="inlineStr">
        <is>
          <t>SOYTIDE</t>
        </is>
      </c>
      <c r="I1205" s="4" t="n">
        <v>1.2</v>
      </c>
      <c r="J1205" s="2" t="inlineStr">
        <is>
          <t>MILL-RUN-01</t>
        </is>
      </c>
    </row>
    <row r="1206">
      <c r="G1206" s="2" t="inlineStr">
        <is>
          <t>2026-04-29</t>
        </is>
      </c>
      <c r="H1206" s="2" t="inlineStr">
        <is>
          <t>SOYTIDE</t>
        </is>
      </c>
      <c r="I1206" s="4" t="n">
        <v>0.1473</v>
      </c>
      <c r="J1206" s="2" t="inlineStr">
        <is>
          <t>MILL-RUN-01</t>
        </is>
      </c>
    </row>
    <row r="1207">
      <c r="G1207" s="2" t="inlineStr">
        <is>
          <t>2026-06-27</t>
        </is>
      </c>
      <c r="H1207" s="2" t="inlineStr">
        <is>
          <t>DCP 18% (HARUMI)</t>
        </is>
      </c>
      <c r="I1207" s="4" t="n">
        <v>0.35176</v>
      </c>
      <c r="J1207" s="2" t="inlineStr">
        <is>
          <t>MILL-RUN-01</t>
        </is>
      </c>
    </row>
    <row r="1208">
      <c r="G1208" s="2" t="inlineStr">
        <is>
          <t>2026-07-04</t>
        </is>
      </c>
      <c r="H1208" s="2" t="inlineStr">
        <is>
          <t>DCP 18% (HARUMI)</t>
        </is>
      </c>
      <c r="I1208" s="4" t="n">
        <v>1.89446</v>
      </c>
      <c r="J1208" s="2" t="inlineStr">
        <is>
          <t>MILL-RUN-01</t>
        </is>
      </c>
    </row>
    <row r="1209">
      <c r="G1209" s="2" t="inlineStr">
        <is>
          <t>2026-07-06</t>
        </is>
      </c>
      <c r="H1209" s="2" t="inlineStr">
        <is>
          <t>DCP 18% (HARUMI)</t>
        </is>
      </c>
      <c r="I1209" s="4" t="n">
        <v>0.11775</v>
      </c>
      <c r="J1209" s="2" t="inlineStr">
        <is>
          <t>MILL-RUN-01</t>
        </is>
      </c>
    </row>
    <row r="1210">
      <c r="G1210" s="2" t="inlineStr">
        <is>
          <t>2026-07-07</t>
        </is>
      </c>
      <c r="H1210" s="2" t="inlineStr">
        <is>
          <t>DCP 18% (HARUMI)</t>
        </is>
      </c>
      <c r="I1210" s="4" t="n">
        <v>0.35608</v>
      </c>
      <c r="J1210" s="2" t="inlineStr">
        <is>
          <t>MILL-RUN-01</t>
        </is>
      </c>
    </row>
    <row r="1211">
      <c r="G1211" s="2" t="inlineStr">
        <is>
          <t>2026-07-09</t>
        </is>
      </c>
      <c r="H1211" s="2" t="inlineStr">
        <is>
          <t>DCP 18% (HARUMI)</t>
        </is>
      </c>
      <c r="I1211" s="4" t="n">
        <v>73.55</v>
      </c>
      <c r="J1211" s="2" t="inlineStr">
        <is>
          <t>MILL-RUN-01</t>
        </is>
      </c>
    </row>
    <row r="1212">
      <c r="G1212" s="2" t="inlineStr">
        <is>
          <t>2026-07-10</t>
        </is>
      </c>
      <c r="H1212" s="2" t="inlineStr">
        <is>
          <t>DCP 18% (HARUMI)</t>
        </is>
      </c>
      <c r="I1212" s="4" t="n">
        <v>1.56974</v>
      </c>
      <c r="J1212" s="2" t="inlineStr">
        <is>
          <t>MILL-RUN-01</t>
        </is>
      </c>
    </row>
    <row r="1213">
      <c r="G1213" s="2" t="inlineStr">
        <is>
          <t>2026-02-11</t>
        </is>
      </c>
      <c r="H1213" s="2" t="inlineStr">
        <is>
          <t>PREMIX 1101 (20KG)</t>
        </is>
      </c>
      <c r="I1213" s="4" t="n">
        <v>0.52</v>
      </c>
      <c r="J1213" s="2" t="inlineStr">
        <is>
          <t>26</t>
        </is>
      </c>
    </row>
    <row r="1214">
      <c r="G1214" s="2" t="inlineStr">
        <is>
          <t>2026-02-14</t>
        </is>
      </c>
      <c r="H1214" s="2" t="inlineStr">
        <is>
          <t>PREMIX 1101 (20KG)</t>
        </is>
      </c>
      <c r="I1214" s="4" t="n">
        <v>0.6</v>
      </c>
      <c r="J1214" s="2" t="inlineStr">
        <is>
          <t>30</t>
        </is>
      </c>
    </row>
    <row r="1215">
      <c r="G1215" s="2" t="inlineStr">
        <is>
          <t>2026-02-16</t>
        </is>
      </c>
      <c r="H1215" s="2" t="inlineStr">
        <is>
          <t>PREMIX 1101 (20KG)</t>
        </is>
      </c>
      <c r="I1215" s="4" t="n">
        <v>0.52</v>
      </c>
      <c r="J1215" s="2" t="inlineStr">
        <is>
          <t>26</t>
        </is>
      </c>
    </row>
    <row r="1216">
      <c r="G1216" s="2" t="inlineStr">
        <is>
          <t>2026-02-24</t>
        </is>
      </c>
      <c r="H1216" s="2" t="inlineStr">
        <is>
          <t>PREMIX 1101 (20KG)</t>
        </is>
      </c>
      <c r="I1216" s="4" t="n">
        <v>0.28</v>
      </c>
      <c r="J1216" s="2" t="inlineStr">
        <is>
          <t>14</t>
        </is>
      </c>
    </row>
    <row r="1217">
      <c r="G1217" s="2" t="inlineStr">
        <is>
          <t>2026-02-28</t>
        </is>
      </c>
      <c r="H1217" s="2" t="inlineStr">
        <is>
          <t>PREMIX 1101 (20KG)</t>
        </is>
      </c>
      <c r="I1217" s="4" t="n">
        <v>1</v>
      </c>
      <c r="J1217" s="2" t="inlineStr">
        <is>
          <t>50</t>
        </is>
      </c>
    </row>
    <row r="1218">
      <c r="G1218" s="2" t="inlineStr">
        <is>
          <t>2026-03-05</t>
        </is>
      </c>
      <c r="H1218" s="2" t="inlineStr">
        <is>
          <t>PREMIX 1101 (20KG)</t>
        </is>
      </c>
      <c r="I1218" s="4" t="n">
        <v>0.32</v>
      </c>
      <c r="J1218" s="2" t="inlineStr">
        <is>
          <t>MILL-RUN-01</t>
        </is>
      </c>
    </row>
    <row r="1219">
      <c r="G1219" s="2" t="inlineStr">
        <is>
          <t>2026-03-07</t>
        </is>
      </c>
      <c r="H1219" s="2" t="inlineStr">
        <is>
          <t>PREMIX 1101 (20KG)</t>
        </is>
      </c>
      <c r="I1219" s="4" t="n">
        <v>0.28</v>
      </c>
      <c r="J1219" s="2" t="inlineStr">
        <is>
          <t>MILL-RUN-01</t>
        </is>
      </c>
    </row>
    <row r="1220">
      <c r="G1220" s="2" t="inlineStr">
        <is>
          <t>2026-03-14</t>
        </is>
      </c>
      <c r="H1220" s="2" t="inlineStr">
        <is>
          <t>PREMIX 1101 (20KG)</t>
        </is>
      </c>
      <c r="I1220" s="4" t="n">
        <v>0.8</v>
      </c>
      <c r="J1220" s="2" t="inlineStr">
        <is>
          <t>MILL-RUN-01</t>
        </is>
      </c>
    </row>
    <row r="1221">
      <c r="G1221" s="2" t="inlineStr">
        <is>
          <t>2026-03-27</t>
        </is>
      </c>
      <c r="H1221" s="2" t="inlineStr">
        <is>
          <t>PREMIX 1101 (20KG)</t>
        </is>
      </c>
      <c r="I1221" s="4" t="n">
        <v>1.24</v>
      </c>
      <c r="J1221" s="2" t="inlineStr">
        <is>
          <t>MILL-RUN-01</t>
        </is>
      </c>
    </row>
    <row r="1222">
      <c r="G1222" s="2" t="inlineStr">
        <is>
          <t>2026-04-04</t>
        </is>
      </c>
      <c r="H1222" s="2" t="inlineStr">
        <is>
          <t>PREMIX 1101 (20KG)</t>
        </is>
      </c>
      <c r="I1222" s="4" t="n">
        <v>1.52</v>
      </c>
      <c r="J1222" s="2" t="inlineStr">
        <is>
          <t>76</t>
        </is>
      </c>
    </row>
    <row r="1223">
      <c r="G1223" s="2" t="inlineStr">
        <is>
          <t>2026-04-10</t>
        </is>
      </c>
      <c r="H1223" s="2" t="inlineStr">
        <is>
          <t>PREMIX 1101 (20KG)</t>
        </is>
      </c>
      <c r="I1223" s="4" t="n">
        <v>0.32</v>
      </c>
      <c r="J1223" s="2" t="inlineStr">
        <is>
          <t>16</t>
        </is>
      </c>
    </row>
    <row r="1224">
      <c r="G1224" s="2" t="inlineStr">
        <is>
          <t>2026-06-10</t>
        </is>
      </c>
      <c r="H1224" s="2" t="inlineStr">
        <is>
          <t>PREMIX 1101 (20KG)</t>
        </is>
      </c>
      <c r="I1224" s="4" t="n">
        <v>2.98</v>
      </c>
      <c r="J1224" s="2" t="inlineStr">
        <is>
          <t>149</t>
        </is>
      </c>
    </row>
    <row r="1225">
      <c r="G1225" s="2" t="inlineStr">
        <is>
          <t>2026-07-24</t>
        </is>
      </c>
      <c r="H1225" s="2" t="inlineStr">
        <is>
          <t>PREMIX 1101 (20KG)</t>
        </is>
      </c>
      <c r="I1225" s="4" t="n">
        <v>0.62</v>
      </c>
      <c r="J1225" s="2" t="inlineStr">
        <is>
          <t>31</t>
        </is>
      </c>
    </row>
    <row r="1226">
      <c r="G1226" s="2" t="inlineStr">
        <is>
          <t>2026-08-05</t>
        </is>
      </c>
      <c r="H1226" s="2" t="inlineStr">
        <is>
          <t>PREMIX 1101 (20KG)</t>
        </is>
      </c>
      <c r="I1226" s="4" t="n">
        <v>0.52</v>
      </c>
      <c r="J1226" s="2" t="inlineStr">
        <is>
          <t>26</t>
        </is>
      </c>
    </row>
    <row r="1227">
      <c r="G1227" s="2" t="inlineStr">
        <is>
          <t>2026-03-07</t>
        </is>
      </c>
      <c r="H1227" s="2" t="inlineStr">
        <is>
          <t>PREMIX 1102 (20KG)</t>
        </is>
      </c>
      <c r="I1227" s="4" t="n">
        <v>0.4</v>
      </c>
      <c r="J1227" s="2" t="inlineStr">
        <is>
          <t>MILL-RUN-01</t>
        </is>
      </c>
    </row>
    <row r="1228">
      <c r="G1228" s="2" t="inlineStr">
        <is>
          <t>2026-03-14</t>
        </is>
      </c>
      <c r="H1228" s="2" t="inlineStr">
        <is>
          <t>PREMIX 1102 (20KG)</t>
        </is>
      </c>
      <c r="I1228" s="4" t="n">
        <v>3.76</v>
      </c>
      <c r="J1228" s="2" t="inlineStr">
        <is>
          <t>MILL-RUN-01</t>
        </is>
      </c>
    </row>
    <row r="1229">
      <c r="G1229" s="2" t="inlineStr">
        <is>
          <t>2026-03-19</t>
        </is>
      </c>
      <c r="H1229" s="2" t="inlineStr">
        <is>
          <t>PREMIX 1102 (20KG)</t>
        </is>
      </c>
      <c r="I1229" s="4" t="n">
        <v>0.52</v>
      </c>
      <c r="J1229" s="2" t="inlineStr">
        <is>
          <t>MILL-RUN-01</t>
        </is>
      </c>
    </row>
    <row r="1230">
      <c r="G1230" s="2" t="inlineStr">
        <is>
          <t>2026-03-24</t>
        </is>
      </c>
      <c r="H1230" s="2" t="inlineStr">
        <is>
          <t>PREMIX 1102 (20KG)</t>
        </is>
      </c>
      <c r="I1230" s="4" t="n">
        <v>1.28</v>
      </c>
      <c r="J1230" s="2" t="inlineStr">
        <is>
          <t>MILL-RUN-01</t>
        </is>
      </c>
    </row>
    <row r="1231">
      <c r="G1231" s="2" t="inlineStr">
        <is>
          <t>2026-03-27</t>
        </is>
      </c>
      <c r="H1231" s="2" t="inlineStr">
        <is>
          <t>PREMIX 1102 (20KG)</t>
        </is>
      </c>
      <c r="I1231" s="4" t="n">
        <v>2</v>
      </c>
      <c r="J1231" s="2" t="inlineStr">
        <is>
          <t>MILL-RUN-01</t>
        </is>
      </c>
    </row>
    <row r="1232">
      <c r="G1232" s="2" t="inlineStr">
        <is>
          <t>2026-04-18</t>
        </is>
      </c>
      <c r="H1232" s="2" t="inlineStr">
        <is>
          <t>PREMIX 1102 (20KG)</t>
        </is>
      </c>
      <c r="I1232" s="4" t="n">
        <v>3.2</v>
      </c>
      <c r="J1232" s="2" t="inlineStr">
        <is>
          <t>160</t>
        </is>
      </c>
    </row>
    <row r="1233">
      <c r="G1233" s="2" t="inlineStr">
        <is>
          <t>2026-04-25</t>
        </is>
      </c>
      <c r="H1233" s="2" t="inlineStr">
        <is>
          <t>PREMIX 1102 (20KG)</t>
        </is>
      </c>
      <c r="I1233" s="4" t="n">
        <v>1.96</v>
      </c>
      <c r="J1233" s="2" t="inlineStr">
        <is>
          <t>98</t>
        </is>
      </c>
    </row>
    <row r="1234">
      <c r="G1234" s="2" t="inlineStr">
        <is>
          <t>2026-04-30</t>
        </is>
      </c>
      <c r="H1234" s="2" t="inlineStr">
        <is>
          <t>PREMIX 1102 (20KG)</t>
        </is>
      </c>
      <c r="I1234" s="4" t="n">
        <v>1.2</v>
      </c>
      <c r="J1234" s="2" t="inlineStr">
        <is>
          <t>60</t>
        </is>
      </c>
    </row>
    <row r="1235">
      <c r="G1235" s="2" t="inlineStr">
        <is>
          <t>2026-05-15</t>
        </is>
      </c>
      <c r="H1235" s="2" t="inlineStr">
        <is>
          <t>PREMIX 1102 (20KG)</t>
        </is>
      </c>
      <c r="I1235" s="4" t="n">
        <v>0.6</v>
      </c>
      <c r="J1235" s="2" t="inlineStr">
        <is>
          <t>30</t>
        </is>
      </c>
    </row>
    <row r="1236">
      <c r="G1236" s="2" t="inlineStr">
        <is>
          <t>2026-06-10</t>
        </is>
      </c>
      <c r="H1236" s="2" t="inlineStr">
        <is>
          <t>PREMIX 1102 (20KG)</t>
        </is>
      </c>
      <c r="I1236" s="4" t="n">
        <v>4.08</v>
      </c>
      <c r="J1236" s="2" t="inlineStr">
        <is>
          <t>MILL-RUN-01</t>
        </is>
      </c>
    </row>
    <row r="1237">
      <c r="G1237" s="2" t="inlineStr">
        <is>
          <t>2026-01-03</t>
        </is>
      </c>
      <c r="H1237" s="2" t="inlineStr">
        <is>
          <t>PREMIX 1103 (20KG)</t>
        </is>
      </c>
      <c r="I1237" s="4" t="n">
        <v>2.4</v>
      </c>
      <c r="J1237" s="2" t="inlineStr">
        <is>
          <t>120</t>
        </is>
      </c>
    </row>
    <row r="1238">
      <c r="G1238" s="2" t="inlineStr">
        <is>
          <t>2026-01-10</t>
        </is>
      </c>
      <c r="H1238" s="2" t="inlineStr">
        <is>
          <t>PREMIX 1103 (20KG)</t>
        </is>
      </c>
      <c r="I1238" s="4" t="n">
        <v>1.2</v>
      </c>
      <c r="J1238" s="2" t="inlineStr">
        <is>
          <t>60</t>
        </is>
      </c>
    </row>
    <row r="1239">
      <c r="G1239" s="2" t="inlineStr">
        <is>
          <t>2026-01-16</t>
        </is>
      </c>
      <c r="H1239" s="2" t="inlineStr">
        <is>
          <t>PREMIX 1103 (20KG)</t>
        </is>
      </c>
      <c r="I1239" s="4" t="n">
        <v>1.2</v>
      </c>
      <c r="J1239" s="2" t="inlineStr">
        <is>
          <t>60</t>
        </is>
      </c>
    </row>
    <row r="1240">
      <c r="G1240" s="2" t="inlineStr">
        <is>
          <t>2026-01-23</t>
        </is>
      </c>
      <c r="H1240" s="2" t="inlineStr">
        <is>
          <t>PREMIX 1103 (20KG)</t>
        </is>
      </c>
      <c r="I1240" s="4" t="n">
        <v>1.72</v>
      </c>
      <c r="J1240" s="2" t="inlineStr">
        <is>
          <t>86</t>
        </is>
      </c>
    </row>
    <row r="1241">
      <c r="G1241" s="2" t="inlineStr">
        <is>
          <t>2026-01-30</t>
        </is>
      </c>
      <c r="H1241" s="2" t="inlineStr">
        <is>
          <t>PREMIX 1103 (20KG)</t>
        </is>
      </c>
      <c r="I1241" s="4" t="n">
        <v>1.2</v>
      </c>
      <c r="J1241" s="2" t="inlineStr">
        <is>
          <t>60</t>
        </is>
      </c>
    </row>
    <row r="1242">
      <c r="G1242" s="2" t="inlineStr">
        <is>
          <t>2026-03-27</t>
        </is>
      </c>
      <c r="H1242" s="2" t="inlineStr">
        <is>
          <t>PREMIX 1103 (20KG)</t>
        </is>
      </c>
      <c r="I1242" s="4" t="n">
        <v>0.44</v>
      </c>
      <c r="J1242" s="2" t="inlineStr">
        <is>
          <t>MILL-RUN-01</t>
        </is>
      </c>
    </row>
    <row r="1243">
      <c r="G1243" s="2" t="inlineStr">
        <is>
          <t>2026-04-25</t>
        </is>
      </c>
      <c r="H1243" s="2" t="inlineStr">
        <is>
          <t>PREMIX 1103 (20KG)</t>
        </is>
      </c>
      <c r="I1243" s="4" t="n">
        <v>1.52</v>
      </c>
      <c r="J1243" s="2" t="inlineStr">
        <is>
          <t>76</t>
        </is>
      </c>
    </row>
    <row r="1244">
      <c r="G1244" s="2" t="inlineStr">
        <is>
          <t>2026-04-30</t>
        </is>
      </c>
      <c r="H1244" s="2" t="inlineStr">
        <is>
          <t>PREMIX 1103 (20KG)</t>
        </is>
      </c>
      <c r="I1244" s="4" t="n">
        <v>1.2</v>
      </c>
      <c r="J1244" s="2" t="inlineStr">
        <is>
          <t>60</t>
        </is>
      </c>
    </row>
    <row r="1245">
      <c r="G1245" s="2" t="inlineStr">
        <is>
          <t>2026-05-08</t>
        </is>
      </c>
      <c r="H1245" s="2" t="inlineStr">
        <is>
          <t>PREMIX 1103 (20KG)</t>
        </is>
      </c>
      <c r="I1245" s="4" t="n">
        <v>2.08</v>
      </c>
      <c r="J1245" s="2" t="inlineStr">
        <is>
          <t>104</t>
        </is>
      </c>
    </row>
    <row r="1246">
      <c r="G1246" s="2" t="inlineStr">
        <is>
          <t>2026-05-15</t>
        </is>
      </c>
      <c r="H1246" s="2" t="inlineStr">
        <is>
          <t>PREMIX 1103 (20KG)</t>
        </is>
      </c>
      <c r="I1246" s="4" t="n">
        <v>2.24</v>
      </c>
      <c r="J1246" s="2" t="inlineStr">
        <is>
          <t>112</t>
        </is>
      </c>
    </row>
    <row r="1247">
      <c r="G1247" s="2" t="inlineStr">
        <is>
          <t>2026-05-23</t>
        </is>
      </c>
      <c r="H1247" s="2" t="inlineStr">
        <is>
          <t>PREMIX 1103 (20KG)</t>
        </is>
      </c>
      <c r="I1247" s="4" t="n">
        <v>1.2</v>
      </c>
      <c r="J1247" s="2" t="inlineStr">
        <is>
          <t>60</t>
        </is>
      </c>
    </row>
    <row r="1248">
      <c r="G1248" s="2" t="inlineStr">
        <is>
          <t>2026-05-29</t>
        </is>
      </c>
      <c r="H1248" s="2" t="inlineStr">
        <is>
          <t>PREMIX 1103 (20KG)</t>
        </is>
      </c>
      <c r="I1248" s="4" t="n">
        <v>0.8</v>
      </c>
      <c r="J1248" s="2" t="inlineStr">
        <is>
          <t>40</t>
        </is>
      </c>
    </row>
    <row r="1249">
      <c r="G1249" s="2" t="inlineStr">
        <is>
          <t>2026-05-15</t>
        </is>
      </c>
      <c r="H1249" s="2" t="inlineStr">
        <is>
          <t>PREMIX 311 (20KG)</t>
        </is>
      </c>
      <c r="I1249" s="4" t="n">
        <v>0.28</v>
      </c>
      <c r="J1249" s="2" t="inlineStr">
        <is>
          <t>14</t>
        </is>
      </c>
    </row>
    <row r="1250">
      <c r="G1250" s="2" t="inlineStr">
        <is>
          <t>2026-05-23</t>
        </is>
      </c>
      <c r="H1250" s="2" t="inlineStr">
        <is>
          <t>PREMIX 311 (20KG)</t>
        </is>
      </c>
      <c r="I1250" s="4" t="n">
        <v>0.72</v>
      </c>
      <c r="J1250" s="2" t="inlineStr">
        <is>
          <t>36</t>
        </is>
      </c>
    </row>
    <row r="1251">
      <c r="G1251" s="2" t="inlineStr">
        <is>
          <t>2026-06-05</t>
        </is>
      </c>
      <c r="H1251" s="2" t="inlineStr">
        <is>
          <t>PREMIX 311 (20KG)</t>
        </is>
      </c>
      <c r="I1251" s="4" t="n">
        <v>0.6</v>
      </c>
      <c r="J1251" s="2" t="inlineStr">
        <is>
          <t>30</t>
        </is>
      </c>
    </row>
    <row r="1252">
      <c r="G1252" s="2" t="inlineStr">
        <is>
          <t>2026-06-12</t>
        </is>
      </c>
      <c r="H1252" s="2" t="inlineStr">
        <is>
          <t>PREMIX 311 (20KG)</t>
        </is>
      </c>
      <c r="I1252" s="4" t="n">
        <v>0.6</v>
      </c>
      <c r="J1252" s="2" t="inlineStr">
        <is>
          <t>30</t>
        </is>
      </c>
    </row>
  </sheetData>
  <dataValidations count="1">
    <dataValidation sqref="D5:D253" showDropDown="0" showInputMessage="0" showErrorMessage="0" allowBlank="1" type="list">
      <formula1>=Formulation_Library!$A$4:$A$181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  <col width="12" customWidth="1" min="5" max="5"/>
    <col width="20" customWidth="1" min="6" max="6"/>
    <col width="18" customWidth="1" min="7" max="7"/>
    <col width="15" customWidth="1" min="8" max="8"/>
    <col width="12" customWidth="1" min="9" max="9"/>
  </cols>
  <sheetData>
    <row r="1">
      <c r="A1" s="1" t="inlineStr">
        <is>
          <t>Daily &amp; Monthly Raw Material Usage Reconciliation</t>
        </is>
      </c>
    </row>
    <row r="2"/>
    <row r="3">
      <c r="A3" s="5" t="inlineStr">
        <is>
          <t>Target Date:</t>
        </is>
      </c>
      <c r="B3" s="6" t="inlineStr">
        <is>
          <t>2026-01-02</t>
        </is>
      </c>
    </row>
    <row r="4">
      <c r="A4" s="5" t="inlineStr">
        <is>
          <t>Month Start Date:</t>
        </is>
      </c>
      <c r="B4" s="7">
        <f>EOMONTH(B3, -1) + 1</f>
        <v/>
      </c>
    </row>
    <row r="5"/>
    <row r="6">
      <c r="A6" s="3" t="inlineStr">
        <is>
          <t>Ingredient_Name</t>
        </is>
      </c>
      <c r="B6" s="3" t="inlineStr">
        <is>
          <t>Day Expected (MT)</t>
        </is>
      </c>
      <c r="C6" s="3" t="inlineStr">
        <is>
          <t>Day Actual (MT)</t>
        </is>
      </c>
      <c r="D6" s="3" t="inlineStr">
        <is>
          <t>Day Var (MT)</t>
        </is>
      </c>
      <c r="E6" s="3" t="inlineStr">
        <is>
          <t>Day Var %</t>
        </is>
      </c>
      <c r="F6" s="3" t="inlineStr">
        <is>
          <t>MTD Expected (MT)</t>
        </is>
      </c>
      <c r="G6" s="3" t="inlineStr">
        <is>
          <t>MTD Actual (MT)</t>
        </is>
      </c>
      <c r="H6" s="3" t="inlineStr">
        <is>
          <t>MTD Var (MT)</t>
        </is>
      </c>
      <c r="I6" s="3" t="inlineStr">
        <is>
          <t>MTD Var %</t>
        </is>
      </c>
    </row>
    <row r="7">
      <c r="A7" s="2" t="inlineStr">
        <is>
          <t>MAIZE/CORN</t>
        </is>
      </c>
      <c r="B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" s="4">
        <f>SUMIFS(tbl_Feedmill_Actuals[Actual_Used_MT], tbl_Feedmill_Actuals[Report_Date], $B$3, tbl_Feedmill_Actuals[Ingredient_Name], [@Ingredient_Name])</f>
        <v/>
      </c>
      <c r="D7" s="4">
        <f>[@[Day Actual (MT)]]-[@[Day Expected (MT)]]</f>
        <v/>
      </c>
      <c r="E7" s="8">
        <f>IFERROR([@[Day Var (MT)]]/[@[Day Expected (MT)]], 0)</f>
        <v/>
      </c>
      <c r="F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" s="4">
        <f>SUMIFS(tbl_Feedmill_Actuals[Actual_Used_MT], tbl_Feedmill_Actuals[Report_Date], "&gt;=" &amp; $B$4, tbl_Feedmill_Actuals[Report_Date], "&lt;=" &amp; $B$3, tbl_Feedmill_Actuals[Ingredient_Name], [@Ingredient_Name])</f>
        <v/>
      </c>
      <c r="H7" s="4">
        <f>[@[MTD Actual (MT)]]-[@[MTD Expected (MT)]]</f>
        <v/>
      </c>
      <c r="I7" s="8">
        <f>IFERROR([@[MTD Var (MT)]]/[@[MTD Expected (MT)]], 0)</f>
        <v/>
      </c>
    </row>
    <row r="8">
      <c r="A8" s="2" t="inlineStr">
        <is>
          <t>SOYBEAN MEAL (ARG)</t>
        </is>
      </c>
      <c r="B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8" s="4">
        <f>SUMIFS(tbl_Feedmill_Actuals[Actual_Used_MT], tbl_Feedmill_Actuals[Report_Date], $B$3, tbl_Feedmill_Actuals[Ingredient_Name], [@Ingredient_Name])</f>
        <v/>
      </c>
      <c r="D8" s="4">
        <f>[@[Day Actual (MT)]]-[@[Day Expected (MT)]]</f>
        <v/>
      </c>
      <c r="E8" s="8">
        <f>IFERROR([@[Day Var (MT)]]/[@[Day Expected (MT)]], 0)</f>
        <v/>
      </c>
      <c r="F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8" s="4">
        <f>SUMIFS(tbl_Feedmill_Actuals[Actual_Used_MT], tbl_Feedmill_Actuals[Report_Date], "&gt;=" &amp; $B$4, tbl_Feedmill_Actuals[Report_Date], "&lt;=" &amp; $B$3, tbl_Feedmill_Actuals[Ingredient_Name], [@Ingredient_Name])</f>
        <v/>
      </c>
      <c r="H8" s="4">
        <f>[@[MTD Actual (MT)]]-[@[MTD Expected (MT)]]</f>
        <v/>
      </c>
      <c r="I8" s="8">
        <f>IFERROR([@[MTD Var (MT)]]/[@[MTD Expected (MT)]], 0)</f>
        <v/>
      </c>
    </row>
    <row r="9">
      <c r="A9" s="2" t="inlineStr">
        <is>
          <t>SOYBEAN FULL FAT</t>
        </is>
      </c>
      <c r="B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9" s="4">
        <f>SUMIFS(tbl_Feedmill_Actuals[Actual_Used_MT], tbl_Feedmill_Actuals[Report_Date], $B$3, tbl_Feedmill_Actuals[Ingredient_Name], [@Ingredient_Name])</f>
        <v/>
      </c>
      <c r="D9" s="4">
        <f>[@[Day Actual (MT)]]-[@[Day Expected (MT)]]</f>
        <v/>
      </c>
      <c r="E9" s="8">
        <f>IFERROR([@[Day Var (MT)]]/[@[Day Expected (MT)]], 0)</f>
        <v/>
      </c>
      <c r="F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9" s="4">
        <f>SUMIFS(tbl_Feedmill_Actuals[Actual_Used_MT], tbl_Feedmill_Actuals[Report_Date], "&gt;=" &amp; $B$4, tbl_Feedmill_Actuals[Report_Date], "&lt;=" &amp; $B$3, tbl_Feedmill_Actuals[Ingredient_Name], [@Ingredient_Name])</f>
        <v/>
      </c>
      <c r="H9" s="4">
        <f>[@[MTD Actual (MT)]]-[@[MTD Expected (MT)]]</f>
        <v/>
      </c>
      <c r="I9" s="8">
        <f>IFERROR([@[MTD Var (MT)]]/[@[MTD Expected (MT)]], 0)</f>
        <v/>
      </c>
    </row>
    <row r="10">
      <c r="A10" s="2" t="inlineStr">
        <is>
          <t>WHEAT POLLARD</t>
        </is>
      </c>
      <c r="B1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0" s="4">
        <f>SUMIFS(tbl_Feedmill_Actuals[Actual_Used_MT], tbl_Feedmill_Actuals[Report_Date], $B$3, tbl_Feedmill_Actuals[Ingredient_Name], [@Ingredient_Name])</f>
        <v/>
      </c>
      <c r="D10" s="4">
        <f>[@[Day Actual (MT)]]-[@[Day Expected (MT)]]</f>
        <v/>
      </c>
      <c r="E10" s="8">
        <f>IFERROR([@[Day Var (MT)]]/[@[Day Expected (MT)]], 0)</f>
        <v/>
      </c>
      <c r="F1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0" s="4">
        <f>SUMIFS(tbl_Feedmill_Actuals[Actual_Used_MT], tbl_Feedmill_Actuals[Report_Date], "&gt;=" &amp; $B$4, tbl_Feedmill_Actuals[Report_Date], "&lt;=" &amp; $B$3, tbl_Feedmill_Actuals[Ingredient_Name], [@Ingredient_Name])</f>
        <v/>
      </c>
      <c r="H10" s="4">
        <f>[@[MTD Actual (MT)]]-[@[MTD Expected (MT)]]</f>
        <v/>
      </c>
      <c r="I10" s="8">
        <f>IFERROR([@[MTD Var (MT)]]/[@[MTD Expected (MT)]], 0)</f>
        <v/>
      </c>
    </row>
    <row r="11">
      <c r="A11" s="2" t="inlineStr">
        <is>
          <t>WHEAT</t>
        </is>
      </c>
      <c r="B1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1" s="4">
        <f>SUMIFS(tbl_Feedmill_Actuals[Actual_Used_MT], tbl_Feedmill_Actuals[Report_Date], $B$3, tbl_Feedmill_Actuals[Ingredient_Name], [@Ingredient_Name])</f>
        <v/>
      </c>
      <c r="D11" s="4">
        <f>[@[Day Actual (MT)]]-[@[Day Expected (MT)]]</f>
        <v/>
      </c>
      <c r="E11" s="8">
        <f>IFERROR([@[Day Var (MT)]]/[@[Day Expected (MT)]], 0)</f>
        <v/>
      </c>
      <c r="F1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1" s="4">
        <f>SUMIFS(tbl_Feedmill_Actuals[Actual_Used_MT], tbl_Feedmill_Actuals[Report_Date], "&gt;=" &amp; $B$4, tbl_Feedmill_Actuals[Report_Date], "&lt;=" &amp; $B$3, tbl_Feedmill_Actuals[Ingredient_Name], [@Ingredient_Name])</f>
        <v/>
      </c>
      <c r="H11" s="4">
        <f>[@[MTD Actual (MT)]]-[@[MTD Expected (MT)]]</f>
        <v/>
      </c>
      <c r="I11" s="8">
        <f>IFERROR([@[MTD Var (MT)]]/[@[MTD Expected (MT)]], 0)</f>
        <v/>
      </c>
    </row>
    <row r="12">
      <c r="A12" s="2" t="inlineStr">
        <is>
          <t>MEAT AND BONE MEAL</t>
        </is>
      </c>
      <c r="B1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2" s="4">
        <f>SUMIFS(tbl_Feedmill_Actuals[Actual_Used_MT], tbl_Feedmill_Actuals[Report_Date], $B$3, tbl_Feedmill_Actuals[Ingredient_Name], [@Ingredient_Name])</f>
        <v/>
      </c>
      <c r="D12" s="4">
        <f>[@[Day Actual (MT)]]-[@[Day Expected (MT)]]</f>
        <v/>
      </c>
      <c r="E12" s="8">
        <f>IFERROR([@[Day Var (MT)]]/[@[Day Expected (MT)]], 0)</f>
        <v/>
      </c>
      <c r="F1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2" s="4">
        <f>SUMIFS(tbl_Feedmill_Actuals[Actual_Used_MT], tbl_Feedmill_Actuals[Report_Date], "&gt;=" &amp; $B$4, tbl_Feedmill_Actuals[Report_Date], "&lt;=" &amp; $B$3, tbl_Feedmill_Actuals[Ingredient_Name], [@Ingredient_Name])</f>
        <v/>
      </c>
      <c r="H12" s="4">
        <f>[@[MTD Actual (MT)]]-[@[MTD Expected (MT)]]</f>
        <v/>
      </c>
      <c r="I12" s="8">
        <f>IFERROR([@[MTD Var (MT)]]/[@[MTD Expected (MT)]], 0)</f>
        <v/>
      </c>
    </row>
    <row r="13">
      <c r="A13" s="2" t="inlineStr">
        <is>
          <t>CORN GLUTEN MEAL</t>
        </is>
      </c>
      <c r="B1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3" s="4">
        <f>SUMIFS(tbl_Feedmill_Actuals[Actual_Used_MT], tbl_Feedmill_Actuals[Report_Date], $B$3, tbl_Feedmill_Actuals[Ingredient_Name], [@Ingredient_Name])</f>
        <v/>
      </c>
      <c r="D13" s="4">
        <f>[@[Day Actual (MT)]]-[@[Day Expected (MT)]]</f>
        <v/>
      </c>
      <c r="E13" s="8">
        <f>IFERROR([@[Day Var (MT)]]/[@[Day Expected (MT)]], 0)</f>
        <v/>
      </c>
      <c r="F1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3" s="4">
        <f>SUMIFS(tbl_Feedmill_Actuals[Actual_Used_MT], tbl_Feedmill_Actuals[Report_Date], "&gt;=" &amp; $B$4, tbl_Feedmill_Actuals[Report_Date], "&lt;=" &amp; $B$3, tbl_Feedmill_Actuals[Ingredient_Name], [@Ingredient_Name])</f>
        <v/>
      </c>
      <c r="H13" s="4">
        <f>[@[MTD Actual (MT)]]-[@[MTD Expected (MT)]]</f>
        <v/>
      </c>
      <c r="I13" s="8">
        <f>IFERROR([@[MTD Var (MT)]]/[@[MTD Expected (MT)]], 0)</f>
        <v/>
      </c>
    </row>
    <row r="14">
      <c r="A14" s="2" t="inlineStr">
        <is>
          <t>MEGAFAT (HARUMI)</t>
        </is>
      </c>
      <c r="B1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4" s="4">
        <f>SUMIFS(tbl_Feedmill_Actuals[Actual_Used_MT], tbl_Feedmill_Actuals[Report_Date], $B$3, tbl_Feedmill_Actuals[Ingredient_Name], [@Ingredient_Name])</f>
        <v/>
      </c>
      <c r="D14" s="4">
        <f>[@[Day Actual (MT)]]-[@[Day Expected (MT)]]</f>
        <v/>
      </c>
      <c r="E14" s="8">
        <f>IFERROR([@[Day Var (MT)]]/[@[Day Expected (MT)]], 0)</f>
        <v/>
      </c>
      <c r="F1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4" s="4">
        <f>SUMIFS(tbl_Feedmill_Actuals[Actual_Used_MT], tbl_Feedmill_Actuals[Report_Date], "&gt;=" &amp; $B$4, tbl_Feedmill_Actuals[Report_Date], "&lt;=" &amp; $B$3, tbl_Feedmill_Actuals[Ingredient_Name], [@Ingredient_Name])</f>
        <v/>
      </c>
      <c r="H14" s="4">
        <f>[@[MTD Actual (MT)]]-[@[MTD Expected (MT)]]</f>
        <v/>
      </c>
      <c r="I14" s="8">
        <f>IFERROR([@[MTD Var (MT)]]/[@[MTD Expected (MT)]], 0)</f>
        <v/>
      </c>
    </row>
    <row r="15">
      <c r="A15" s="2" t="inlineStr">
        <is>
          <t>DCP 18%</t>
        </is>
      </c>
      <c r="B1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5" s="4">
        <f>SUMIFS(tbl_Feedmill_Actuals[Actual_Used_MT], tbl_Feedmill_Actuals[Report_Date], $B$3, tbl_Feedmill_Actuals[Ingredient_Name], [@Ingredient_Name])</f>
        <v/>
      </c>
      <c r="D15" s="4">
        <f>[@[Day Actual (MT)]]-[@[Day Expected (MT)]]</f>
        <v/>
      </c>
      <c r="E15" s="8">
        <f>IFERROR([@[Day Var (MT)]]/[@[Day Expected (MT)]], 0)</f>
        <v/>
      </c>
      <c r="F1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5" s="4">
        <f>SUMIFS(tbl_Feedmill_Actuals[Actual_Used_MT], tbl_Feedmill_Actuals[Report_Date], "&gt;=" &amp; $B$4, tbl_Feedmill_Actuals[Report_Date], "&lt;=" &amp; $B$3, tbl_Feedmill_Actuals[Ingredient_Name], [@Ingredient_Name])</f>
        <v/>
      </c>
      <c r="H15" s="4">
        <f>[@[MTD Actual (MT)]]-[@[MTD Expected (MT)]]</f>
        <v/>
      </c>
      <c r="I15" s="8">
        <f>IFERROR([@[MTD Var (MT)]]/[@[MTD Expected (MT)]], 0)</f>
        <v/>
      </c>
    </row>
    <row r="16">
      <c r="A16" s="2" t="inlineStr">
        <is>
          <t>LIMESTONE POWDER (HARUMI)</t>
        </is>
      </c>
      <c r="B1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6" s="4">
        <f>SUMIFS(tbl_Feedmill_Actuals[Actual_Used_MT], tbl_Feedmill_Actuals[Report_Date], $B$3, tbl_Feedmill_Actuals[Ingredient_Name], [@Ingredient_Name])</f>
        <v/>
      </c>
      <c r="D16" s="4">
        <f>[@[Day Actual (MT)]]-[@[Day Expected (MT)]]</f>
        <v/>
      </c>
      <c r="E16" s="8">
        <f>IFERROR([@[Day Var (MT)]]/[@[Day Expected (MT)]], 0)</f>
        <v/>
      </c>
      <c r="F1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6" s="4">
        <f>SUMIFS(tbl_Feedmill_Actuals[Actual_Used_MT], tbl_Feedmill_Actuals[Report_Date], "&gt;=" &amp; $B$4, tbl_Feedmill_Actuals[Report_Date], "&lt;=" &amp; $B$3, tbl_Feedmill_Actuals[Ingredient_Name], [@Ingredient_Name])</f>
        <v/>
      </c>
      <c r="H16" s="4">
        <f>[@[MTD Actual (MT)]]-[@[MTD Expected (MT)]]</f>
        <v/>
      </c>
      <c r="I16" s="8">
        <f>IFERROR([@[MTD Var (MT)]]/[@[MTD Expected (MT)]], 0)</f>
        <v/>
      </c>
    </row>
    <row r="17">
      <c r="A17" s="2" t="inlineStr">
        <is>
          <t>CHOLINE CHLORIDE 60%</t>
        </is>
      </c>
      <c r="B1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7" s="4">
        <f>SUMIFS(tbl_Feedmill_Actuals[Actual_Used_MT], tbl_Feedmill_Actuals[Report_Date], $B$3, tbl_Feedmill_Actuals[Ingredient_Name], [@Ingredient_Name])</f>
        <v/>
      </c>
      <c r="D17" s="4">
        <f>[@[Day Actual (MT)]]-[@[Day Expected (MT)]]</f>
        <v/>
      </c>
      <c r="E17" s="8">
        <f>IFERROR([@[Day Var (MT)]]/[@[Day Expected (MT)]], 0)</f>
        <v/>
      </c>
      <c r="F1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7" s="4">
        <f>SUMIFS(tbl_Feedmill_Actuals[Actual_Used_MT], tbl_Feedmill_Actuals[Report_Date], "&gt;=" &amp; $B$4, tbl_Feedmill_Actuals[Report_Date], "&lt;=" &amp; $B$3, tbl_Feedmill_Actuals[Ingredient_Name], [@Ingredient_Name])</f>
        <v/>
      </c>
      <c r="H17" s="4">
        <f>[@[MTD Actual (MT)]]-[@[MTD Expected (MT)]]</f>
        <v/>
      </c>
      <c r="I17" s="8">
        <f>IFERROR([@[MTD Var (MT)]]/[@[MTD Expected (MT)]], 0)</f>
        <v/>
      </c>
    </row>
    <row r="18">
      <c r="A18" s="2" t="inlineStr">
        <is>
          <t>INDUSTRY FLOUR</t>
        </is>
      </c>
      <c r="B1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8" s="4">
        <f>SUMIFS(tbl_Feedmill_Actuals[Actual_Used_MT], tbl_Feedmill_Actuals[Report_Date], $B$3, tbl_Feedmill_Actuals[Ingredient_Name], [@Ingredient_Name])</f>
        <v/>
      </c>
      <c r="D18" s="4">
        <f>[@[Day Actual (MT)]]-[@[Day Expected (MT)]]</f>
        <v/>
      </c>
      <c r="E18" s="8">
        <f>IFERROR([@[Day Var (MT)]]/[@[Day Expected (MT)]], 0)</f>
        <v/>
      </c>
      <c r="F1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8" s="4">
        <f>SUMIFS(tbl_Feedmill_Actuals[Actual_Used_MT], tbl_Feedmill_Actuals[Report_Date], "&gt;=" &amp; $B$4, tbl_Feedmill_Actuals[Report_Date], "&lt;=" &amp; $B$3, tbl_Feedmill_Actuals[Ingredient_Name], [@Ingredient_Name])</f>
        <v/>
      </c>
      <c r="H18" s="4">
        <f>[@[MTD Actual (MT)]]-[@[MTD Expected (MT)]]</f>
        <v/>
      </c>
      <c r="I18" s="8">
        <f>IFERROR([@[MTD Var (MT)]]/[@[MTD Expected (MT)]], 0)</f>
        <v/>
      </c>
    </row>
    <row r="19">
      <c r="A19" s="2" t="inlineStr">
        <is>
          <t>RICE BRAN</t>
        </is>
      </c>
      <c r="B1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19" s="4">
        <f>SUMIFS(tbl_Feedmill_Actuals[Actual_Used_MT], tbl_Feedmill_Actuals[Report_Date], $B$3, tbl_Feedmill_Actuals[Ingredient_Name], [@Ingredient_Name])</f>
        <v/>
      </c>
      <c r="D19" s="4">
        <f>[@[Day Actual (MT)]]-[@[Day Expected (MT)]]</f>
        <v/>
      </c>
      <c r="E19" s="8">
        <f>IFERROR([@[Day Var (MT)]]/[@[Day Expected (MT)]], 0)</f>
        <v/>
      </c>
      <c r="F1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19" s="4">
        <f>SUMIFS(tbl_Feedmill_Actuals[Actual_Used_MT], tbl_Feedmill_Actuals[Report_Date], "&gt;=" &amp; $B$4, tbl_Feedmill_Actuals[Report_Date], "&lt;=" &amp; $B$3, tbl_Feedmill_Actuals[Ingredient_Name], [@Ingredient_Name])</f>
        <v/>
      </c>
      <c r="H19" s="4">
        <f>[@[MTD Actual (MT)]]-[@[MTD Expected (MT)]]</f>
        <v/>
      </c>
      <c r="I19" s="8">
        <f>IFERROR([@[MTD Var (MT)]]/[@[MTD Expected (MT)]], 0)</f>
        <v/>
      </c>
    </row>
    <row r="20">
      <c r="A20" s="2" t="inlineStr">
        <is>
          <t>EP 200</t>
        </is>
      </c>
      <c r="B2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0" s="4">
        <f>SUMIFS(tbl_Feedmill_Actuals[Actual_Used_MT], tbl_Feedmill_Actuals[Report_Date], $B$3, tbl_Feedmill_Actuals[Ingredient_Name], [@Ingredient_Name])</f>
        <v/>
      </c>
      <c r="D20" s="4">
        <f>[@[Day Actual (MT)]]-[@[Day Expected (MT)]]</f>
        <v/>
      </c>
      <c r="E20" s="8">
        <f>IFERROR([@[Day Var (MT)]]/[@[Day Expected (MT)]], 0)</f>
        <v/>
      </c>
      <c r="F2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0" s="4">
        <f>SUMIFS(tbl_Feedmill_Actuals[Actual_Used_MT], tbl_Feedmill_Actuals[Report_Date], "&gt;=" &amp; $B$4, tbl_Feedmill_Actuals[Report_Date], "&lt;=" &amp; $B$3, tbl_Feedmill_Actuals[Ingredient_Name], [@Ingredient_Name])</f>
        <v/>
      </c>
      <c r="H20" s="4">
        <f>[@[MTD Actual (MT)]]-[@[MTD Expected (MT)]]</f>
        <v/>
      </c>
      <c r="I20" s="8">
        <f>IFERROR([@[MTD Var (MT)]]/[@[MTD Expected (MT)]], 0)</f>
        <v/>
      </c>
    </row>
    <row r="21">
      <c r="A21" s="2" t="inlineStr">
        <is>
          <t>SOYTIDE</t>
        </is>
      </c>
      <c r="B2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1" s="4">
        <f>SUMIFS(tbl_Feedmill_Actuals[Actual_Used_MT], tbl_Feedmill_Actuals[Report_Date], $B$3, tbl_Feedmill_Actuals[Ingredient_Name], [@Ingredient_Name])</f>
        <v/>
      </c>
      <c r="D21" s="4">
        <f>[@[Day Actual (MT)]]-[@[Day Expected (MT)]]</f>
        <v/>
      </c>
      <c r="E21" s="8">
        <f>IFERROR([@[Day Var (MT)]]/[@[Day Expected (MT)]], 0)</f>
        <v/>
      </c>
      <c r="F2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1" s="4">
        <f>SUMIFS(tbl_Feedmill_Actuals[Actual_Used_MT], tbl_Feedmill_Actuals[Report_Date], "&gt;=" &amp; $B$4, tbl_Feedmill_Actuals[Report_Date], "&lt;=" &amp; $B$3, tbl_Feedmill_Actuals[Ingredient_Name], [@Ingredient_Name])</f>
        <v/>
      </c>
      <c r="H21" s="4">
        <f>[@[MTD Actual (MT)]]-[@[MTD Expected (MT)]]</f>
        <v/>
      </c>
      <c r="I21" s="8">
        <f>IFERROR([@[MTD Var (MT)]]/[@[MTD Expected (MT)]], 0)</f>
        <v/>
      </c>
    </row>
    <row r="22">
      <c r="A22" s="2" t="inlineStr">
        <is>
          <t>DCP 18% (HARUMI)</t>
        </is>
      </c>
      <c r="B2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2" s="4">
        <f>SUMIFS(tbl_Feedmill_Actuals[Actual_Used_MT], tbl_Feedmill_Actuals[Report_Date], $B$3, tbl_Feedmill_Actuals[Ingredient_Name], [@Ingredient_Name])</f>
        <v/>
      </c>
      <c r="D22" s="4">
        <f>[@[Day Actual (MT)]]-[@[Day Expected (MT)]]</f>
        <v/>
      </c>
      <c r="E22" s="8">
        <f>IFERROR([@[Day Var (MT)]]/[@[Day Expected (MT)]], 0)</f>
        <v/>
      </c>
      <c r="F2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2" s="4">
        <f>SUMIFS(tbl_Feedmill_Actuals[Actual_Used_MT], tbl_Feedmill_Actuals[Report_Date], "&gt;=" &amp; $B$4, tbl_Feedmill_Actuals[Report_Date], "&lt;=" &amp; $B$3, tbl_Feedmill_Actuals[Ingredient_Name], [@Ingredient_Name])</f>
        <v/>
      </c>
      <c r="H22" s="4">
        <f>[@[MTD Actual (MT)]]-[@[MTD Expected (MT)]]</f>
        <v/>
      </c>
      <c r="I22" s="8">
        <f>IFERROR([@[MTD Var (MT)]]/[@[MTD Expected (MT)]], 0)</f>
        <v/>
      </c>
    </row>
    <row r="23">
      <c r="A23" s="2" t="inlineStr">
        <is>
          <t>YENMIX 121 (20KG)</t>
        </is>
      </c>
      <c r="B2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3" s="4">
        <f>SUMIFS(tbl_Feedmill_Actuals[Actual_Used_MT], tbl_Feedmill_Actuals[Report_Date], $B$3, tbl_Feedmill_Actuals[Ingredient_Name], [@Ingredient_Name])</f>
        <v/>
      </c>
      <c r="D23" s="4">
        <f>[@[Day Actual (MT)]]-[@[Day Expected (MT)]]</f>
        <v/>
      </c>
      <c r="E23" s="8">
        <f>IFERROR([@[Day Var (MT)]]/[@[Day Expected (MT)]], 0)</f>
        <v/>
      </c>
      <c r="F2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3" s="4">
        <f>SUMIFS(tbl_Feedmill_Actuals[Actual_Used_MT], tbl_Feedmill_Actuals[Report_Date], "&gt;=" &amp; $B$4, tbl_Feedmill_Actuals[Report_Date], "&lt;=" &amp; $B$3, tbl_Feedmill_Actuals[Ingredient_Name], [@Ingredient_Name])</f>
        <v/>
      </c>
      <c r="H23" s="4">
        <f>[@[MTD Actual (MT)]]-[@[MTD Expected (MT)]]</f>
        <v/>
      </c>
      <c r="I23" s="8">
        <f>IFERROR([@[MTD Var (MT)]]/[@[MTD Expected (MT)]], 0)</f>
        <v/>
      </c>
    </row>
    <row r="24">
      <c r="A24" s="2" t="inlineStr">
        <is>
          <t>YENMIX 122 (19.50KG)</t>
        </is>
      </c>
      <c r="B2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4" s="4">
        <f>SUMIFS(tbl_Feedmill_Actuals[Actual_Used_MT], tbl_Feedmill_Actuals[Report_Date], $B$3, tbl_Feedmill_Actuals[Ingredient_Name], [@Ingredient_Name])</f>
        <v/>
      </c>
      <c r="D24" s="4">
        <f>[@[Day Actual (MT)]]-[@[Day Expected (MT)]]</f>
        <v/>
      </c>
      <c r="E24" s="8">
        <f>IFERROR([@[Day Var (MT)]]/[@[Day Expected (MT)]], 0)</f>
        <v/>
      </c>
      <c r="F2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4" s="4">
        <f>SUMIFS(tbl_Feedmill_Actuals[Actual_Used_MT], tbl_Feedmill_Actuals[Report_Date], "&gt;=" &amp; $B$4, tbl_Feedmill_Actuals[Report_Date], "&lt;=" &amp; $B$3, tbl_Feedmill_Actuals[Ingredient_Name], [@Ingredient_Name])</f>
        <v/>
      </c>
      <c r="H24" s="4">
        <f>[@[MTD Actual (MT)]]-[@[MTD Expected (MT)]]</f>
        <v/>
      </c>
      <c r="I24" s="8">
        <f>IFERROR([@[MTD Var (MT)]]/[@[MTD Expected (MT)]], 0)</f>
        <v/>
      </c>
    </row>
    <row r="25">
      <c r="A25" s="2" t="inlineStr">
        <is>
          <t>YENMIX 123 (18.90KG)</t>
        </is>
      </c>
      <c r="B2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5" s="4">
        <f>SUMIFS(tbl_Feedmill_Actuals[Actual_Used_MT], tbl_Feedmill_Actuals[Report_Date], $B$3, tbl_Feedmill_Actuals[Ingredient_Name], [@Ingredient_Name])</f>
        <v/>
      </c>
      <c r="D25" s="4">
        <f>[@[Day Actual (MT)]]-[@[Day Expected (MT)]]</f>
        <v/>
      </c>
      <c r="E25" s="8">
        <f>IFERROR([@[Day Var (MT)]]/[@[Day Expected (MT)]], 0)</f>
        <v/>
      </c>
      <c r="F2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5" s="4">
        <f>SUMIFS(tbl_Feedmill_Actuals[Actual_Used_MT], tbl_Feedmill_Actuals[Report_Date], "&gt;=" &amp; $B$4, tbl_Feedmill_Actuals[Report_Date], "&lt;=" &amp; $B$3, tbl_Feedmill_Actuals[Ingredient_Name], [@Ingredient_Name])</f>
        <v/>
      </c>
      <c r="H25" s="4">
        <f>[@[MTD Actual (MT)]]-[@[MTD Expected (MT)]]</f>
        <v/>
      </c>
      <c r="I25" s="8">
        <f>IFERROR([@[MTD Var (MT)]]/[@[MTD Expected (MT)]], 0)</f>
        <v/>
      </c>
    </row>
    <row r="26">
      <c r="A26" s="2" t="inlineStr">
        <is>
          <t>YENMIX 122 (20.50KG)</t>
        </is>
      </c>
      <c r="B2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6" s="4">
        <f>SUMIFS(tbl_Feedmill_Actuals[Actual_Used_MT], tbl_Feedmill_Actuals[Report_Date], $B$3, tbl_Feedmill_Actuals[Ingredient_Name], [@Ingredient_Name])</f>
        <v/>
      </c>
      <c r="D26" s="4">
        <f>[@[Day Actual (MT)]]-[@[Day Expected (MT)]]</f>
        <v/>
      </c>
      <c r="E26" s="8">
        <f>IFERROR([@[Day Var (MT)]]/[@[Day Expected (MT)]], 0)</f>
        <v/>
      </c>
      <c r="F2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6" s="4">
        <f>SUMIFS(tbl_Feedmill_Actuals[Actual_Used_MT], tbl_Feedmill_Actuals[Report_Date], "&gt;=" &amp; $B$4, tbl_Feedmill_Actuals[Report_Date], "&lt;=" &amp; $B$3, tbl_Feedmill_Actuals[Ingredient_Name], [@Ingredient_Name])</f>
        <v/>
      </c>
      <c r="H26" s="4">
        <f>[@[MTD Actual (MT)]]-[@[MTD Expected (MT)]]</f>
        <v/>
      </c>
      <c r="I26" s="8">
        <f>IFERROR([@[MTD Var (MT)]]/[@[MTD Expected (MT)]], 0)</f>
        <v/>
      </c>
    </row>
    <row r="27">
      <c r="A27" s="2" t="inlineStr">
        <is>
          <t>YENMIX 123 (20.00KG)</t>
        </is>
      </c>
      <c r="B2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7" s="4">
        <f>SUMIFS(tbl_Feedmill_Actuals[Actual_Used_MT], tbl_Feedmill_Actuals[Report_Date], $B$3, tbl_Feedmill_Actuals[Ingredient_Name], [@Ingredient_Name])</f>
        <v/>
      </c>
      <c r="D27" s="4">
        <f>[@[Day Actual (MT)]]-[@[Day Expected (MT)]]</f>
        <v/>
      </c>
      <c r="E27" s="8">
        <f>IFERROR([@[Day Var (MT)]]/[@[Day Expected (MT)]], 0)</f>
        <v/>
      </c>
      <c r="F2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7" s="4">
        <f>SUMIFS(tbl_Feedmill_Actuals[Actual_Used_MT], tbl_Feedmill_Actuals[Report_Date], "&gt;=" &amp; $B$4, tbl_Feedmill_Actuals[Report_Date], "&lt;=" &amp; $B$3, tbl_Feedmill_Actuals[Ingredient_Name], [@Ingredient_Name])</f>
        <v/>
      </c>
      <c r="H27" s="4">
        <f>[@[MTD Actual (MT)]]-[@[MTD Expected (MT)]]</f>
        <v/>
      </c>
      <c r="I27" s="8">
        <f>IFERROR([@[MTD Var (MT)]]/[@[MTD Expected (MT)]], 0)</f>
        <v/>
      </c>
    </row>
    <row r="28">
      <c r="A28" s="2" t="inlineStr">
        <is>
          <t>TOXISORB PREMIUM</t>
        </is>
      </c>
      <c r="B2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8" s="4">
        <f>SUMIFS(tbl_Feedmill_Actuals[Actual_Used_MT], tbl_Feedmill_Actuals[Report_Date], $B$3, tbl_Feedmill_Actuals[Ingredient_Name], [@Ingredient_Name])</f>
        <v/>
      </c>
      <c r="D28" s="4">
        <f>[@[Day Actual (MT)]]-[@[Day Expected (MT)]]</f>
        <v/>
      </c>
      <c r="E28" s="8">
        <f>IFERROR([@[Day Var (MT)]]/[@[Day Expected (MT)]], 0)</f>
        <v/>
      </c>
      <c r="F2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8" s="4">
        <f>SUMIFS(tbl_Feedmill_Actuals[Actual_Used_MT], tbl_Feedmill_Actuals[Report_Date], "&gt;=" &amp; $B$4, tbl_Feedmill_Actuals[Report_Date], "&lt;=" &amp; $B$3, tbl_Feedmill_Actuals[Ingredient_Name], [@Ingredient_Name])</f>
        <v/>
      </c>
      <c r="H28" s="4">
        <f>[@[MTD Actual (MT)]]-[@[MTD Expected (MT)]]</f>
        <v/>
      </c>
      <c r="I28" s="8">
        <f>IFERROR([@[MTD Var (MT)]]/[@[MTD Expected (MT)]], 0)</f>
        <v/>
      </c>
    </row>
    <row r="29">
      <c r="A29" s="2" t="inlineStr">
        <is>
          <t>SODIUM HUMATE 3.8% (HARUMI)</t>
        </is>
      </c>
      <c r="B2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29" s="4">
        <f>SUMIFS(tbl_Feedmill_Actuals[Actual_Used_MT], tbl_Feedmill_Actuals[Report_Date], $B$3, tbl_Feedmill_Actuals[Ingredient_Name], [@Ingredient_Name])</f>
        <v/>
      </c>
      <c r="D29" s="4">
        <f>[@[Day Actual (MT)]]-[@[Day Expected (MT)]]</f>
        <v/>
      </c>
      <c r="E29" s="8">
        <f>IFERROR([@[Day Var (MT)]]/[@[Day Expected (MT)]], 0)</f>
        <v/>
      </c>
      <c r="F2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29" s="4">
        <f>SUMIFS(tbl_Feedmill_Actuals[Actual_Used_MT], tbl_Feedmill_Actuals[Report_Date], "&gt;=" &amp; $B$4, tbl_Feedmill_Actuals[Report_Date], "&lt;=" &amp; $B$3, tbl_Feedmill_Actuals[Ingredient_Name], [@Ingredient_Name])</f>
        <v/>
      </c>
      <c r="H29" s="4">
        <f>[@[MTD Actual (MT)]]-[@[MTD Expected (MT)]]</f>
        <v/>
      </c>
      <c r="I29" s="8">
        <f>IFERROR([@[MTD Var (MT)]]/[@[MTD Expected (MT)]], 0)</f>
        <v/>
      </c>
    </row>
    <row r="30">
      <c r="A30" s="2" t="inlineStr">
        <is>
          <t>TOXIWALL</t>
        </is>
      </c>
      <c r="B3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0" s="4">
        <f>SUMIFS(tbl_Feedmill_Actuals[Actual_Used_MT], tbl_Feedmill_Actuals[Report_Date], $B$3, tbl_Feedmill_Actuals[Ingredient_Name], [@Ingredient_Name])</f>
        <v/>
      </c>
      <c r="D30" s="4">
        <f>[@[Day Actual (MT)]]-[@[Day Expected (MT)]]</f>
        <v/>
      </c>
      <c r="E30" s="8">
        <f>IFERROR([@[Day Var (MT)]]/[@[Day Expected (MT)]], 0)</f>
        <v/>
      </c>
      <c r="F3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0" s="4">
        <f>SUMIFS(tbl_Feedmill_Actuals[Actual_Used_MT], tbl_Feedmill_Actuals[Report_Date], "&gt;=" &amp; $B$4, tbl_Feedmill_Actuals[Report_Date], "&lt;=" &amp; $B$3, tbl_Feedmill_Actuals[Ingredient_Name], [@Ingredient_Name])</f>
        <v/>
      </c>
      <c r="H30" s="4">
        <f>[@[MTD Actual (MT)]]-[@[MTD Expected (MT)]]</f>
        <v/>
      </c>
      <c r="I30" s="8">
        <f>IFERROR([@[MTD Var (MT)]]/[@[MTD Expected (MT)]], 0)</f>
        <v/>
      </c>
    </row>
    <row r="31">
      <c r="A31" s="2" t="inlineStr">
        <is>
          <t>SODIUM BICARBONATE</t>
        </is>
      </c>
      <c r="B3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1" s="4">
        <f>SUMIFS(tbl_Feedmill_Actuals[Actual_Used_MT], tbl_Feedmill_Actuals[Report_Date], $B$3, tbl_Feedmill_Actuals[Ingredient_Name], [@Ingredient_Name])</f>
        <v/>
      </c>
      <c r="D31" s="4">
        <f>[@[Day Actual (MT)]]-[@[Day Expected (MT)]]</f>
        <v/>
      </c>
      <c r="E31" s="8">
        <f>IFERROR([@[Day Var (MT)]]/[@[Day Expected (MT)]], 0)</f>
        <v/>
      </c>
      <c r="F3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1" s="4">
        <f>SUMIFS(tbl_Feedmill_Actuals[Actual_Used_MT], tbl_Feedmill_Actuals[Report_Date], "&gt;=" &amp; $B$4, tbl_Feedmill_Actuals[Report_Date], "&lt;=" &amp; $B$3, tbl_Feedmill_Actuals[Ingredient_Name], [@Ingredient_Name])</f>
        <v/>
      </c>
      <c r="H31" s="4">
        <f>[@[MTD Actual (MT)]]-[@[MTD Expected (MT)]]</f>
        <v/>
      </c>
      <c r="I31" s="8">
        <f>IFERROR([@[MTD Var (MT)]]/[@[MTD Expected (MT)]], 0)</f>
        <v/>
      </c>
    </row>
    <row r="32">
      <c r="A32" s="2" t="inlineStr">
        <is>
          <t>BMD 10%</t>
        </is>
      </c>
      <c r="B3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2" s="4">
        <f>SUMIFS(tbl_Feedmill_Actuals[Actual_Used_MT], tbl_Feedmill_Actuals[Report_Date], $B$3, tbl_Feedmill_Actuals[Ingredient_Name], [@Ingredient_Name])</f>
        <v/>
      </c>
      <c r="D32" s="4">
        <f>[@[Day Actual (MT)]]-[@[Day Expected (MT)]]</f>
        <v/>
      </c>
      <c r="E32" s="8">
        <f>IFERROR([@[Day Var (MT)]]/[@[Day Expected (MT)]], 0)</f>
        <v/>
      </c>
      <c r="F3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2" s="4">
        <f>SUMIFS(tbl_Feedmill_Actuals[Actual_Used_MT], tbl_Feedmill_Actuals[Report_Date], "&gt;=" &amp; $B$4, tbl_Feedmill_Actuals[Report_Date], "&lt;=" &amp; $B$3, tbl_Feedmill_Actuals[Ingredient_Name], [@Ingredient_Name])</f>
        <v/>
      </c>
      <c r="H32" s="4">
        <f>[@[MTD Actual (MT)]]-[@[MTD Expected (MT)]]</f>
        <v/>
      </c>
      <c r="I32" s="8">
        <f>IFERROR([@[MTD Var (MT)]]/[@[MTD Expected (MT)]], 0)</f>
        <v/>
      </c>
    </row>
    <row r="33">
      <c r="A33" s="2" t="inlineStr">
        <is>
          <t>SALT (HARUMI)</t>
        </is>
      </c>
      <c r="B3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3" s="4">
        <f>SUMIFS(tbl_Feedmill_Actuals[Actual_Used_MT], tbl_Feedmill_Actuals[Report_Date], $B$3, tbl_Feedmill_Actuals[Ingredient_Name], [@Ingredient_Name])</f>
        <v/>
      </c>
      <c r="D33" s="4">
        <f>[@[Day Actual (MT)]]-[@[Day Expected (MT)]]</f>
        <v/>
      </c>
      <c r="E33" s="8">
        <f>IFERROR([@[Day Var (MT)]]/[@[Day Expected (MT)]], 0)</f>
        <v/>
      </c>
      <c r="F3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3" s="4">
        <f>SUMIFS(tbl_Feedmill_Actuals[Actual_Used_MT], tbl_Feedmill_Actuals[Report_Date], "&gt;=" &amp; $B$4, tbl_Feedmill_Actuals[Report_Date], "&lt;=" &amp; $B$3, tbl_Feedmill_Actuals[Ingredient_Name], [@Ingredient_Name])</f>
        <v/>
      </c>
      <c r="H33" s="4">
        <f>[@[MTD Actual (MT)]]-[@[MTD Expected (MT)]]</f>
        <v/>
      </c>
      <c r="I33" s="8">
        <f>IFERROR([@[MTD Var (MT)]]/[@[MTD Expected (MT)]], 0)</f>
        <v/>
      </c>
    </row>
    <row r="34">
      <c r="A34" s="2" t="inlineStr">
        <is>
          <t>VISTABET 91</t>
        </is>
      </c>
      <c r="B3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4" s="4">
        <f>SUMIFS(tbl_Feedmill_Actuals[Actual_Used_MT], tbl_Feedmill_Actuals[Report_Date], $B$3, tbl_Feedmill_Actuals[Ingredient_Name], [@Ingredient_Name])</f>
        <v/>
      </c>
      <c r="D34" s="4">
        <f>[@[Day Actual (MT)]]-[@[Day Expected (MT)]]</f>
        <v/>
      </c>
      <c r="E34" s="8">
        <f>IFERROR([@[Day Var (MT)]]/[@[Day Expected (MT)]], 0)</f>
        <v/>
      </c>
      <c r="F3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4" s="4">
        <f>SUMIFS(tbl_Feedmill_Actuals[Actual_Used_MT], tbl_Feedmill_Actuals[Report_Date], "&gt;=" &amp; $B$4, tbl_Feedmill_Actuals[Report_Date], "&lt;=" &amp; $B$3, tbl_Feedmill_Actuals[Ingredient_Name], [@Ingredient_Name])</f>
        <v/>
      </c>
      <c r="H34" s="4">
        <f>[@[MTD Actual (MT)]]-[@[MTD Expected (MT)]]</f>
        <v/>
      </c>
      <c r="I34" s="8">
        <f>IFERROR([@[MTD Var (MT)]]/[@[MTD Expected (MT)]], 0)</f>
        <v/>
      </c>
    </row>
    <row r="35">
      <c r="A35" s="2" t="inlineStr">
        <is>
          <t>BETAFIN</t>
        </is>
      </c>
      <c r="B3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5" s="4">
        <f>SUMIFS(tbl_Feedmill_Actuals[Actual_Used_MT], tbl_Feedmill_Actuals[Report_Date], $B$3, tbl_Feedmill_Actuals[Ingredient_Name], [@Ingredient_Name])</f>
        <v/>
      </c>
      <c r="D35" s="4">
        <f>[@[Day Actual (MT)]]-[@[Day Expected (MT)]]</f>
        <v/>
      </c>
      <c r="E35" s="8">
        <f>IFERROR([@[Day Var (MT)]]/[@[Day Expected (MT)]], 0)</f>
        <v/>
      </c>
      <c r="F3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5" s="4">
        <f>SUMIFS(tbl_Feedmill_Actuals[Actual_Used_MT], tbl_Feedmill_Actuals[Report_Date], "&gt;=" &amp; $B$4, tbl_Feedmill_Actuals[Report_Date], "&lt;=" &amp; $B$3, tbl_Feedmill_Actuals[Ingredient_Name], [@Ingredient_Name])</f>
        <v/>
      </c>
      <c r="H35" s="4">
        <f>[@[MTD Actual (MT)]]-[@[MTD Expected (MT)]]</f>
        <v/>
      </c>
      <c r="I35" s="8">
        <f>IFERROR([@[MTD Var (MT)]]/[@[MTD Expected (MT)]], 0)</f>
        <v/>
      </c>
    </row>
    <row r="36">
      <c r="A36" s="2" t="inlineStr">
        <is>
          <t>8101 TOP UP</t>
        </is>
      </c>
      <c r="B3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6" s="4">
        <f>SUMIFS(tbl_Feedmill_Actuals[Actual_Used_MT], tbl_Feedmill_Actuals[Report_Date], $B$3, tbl_Feedmill_Actuals[Ingredient_Name], [@Ingredient_Name])</f>
        <v/>
      </c>
      <c r="D36" s="4">
        <f>[@[Day Actual (MT)]]-[@[Day Expected (MT)]]</f>
        <v/>
      </c>
      <c r="E36" s="8">
        <f>IFERROR([@[Day Var (MT)]]/[@[Day Expected (MT)]], 0)</f>
        <v/>
      </c>
      <c r="F3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6" s="4">
        <f>SUMIFS(tbl_Feedmill_Actuals[Actual_Used_MT], tbl_Feedmill_Actuals[Report_Date], "&gt;=" &amp; $B$4, tbl_Feedmill_Actuals[Report_Date], "&lt;=" &amp; $B$3, tbl_Feedmill_Actuals[Ingredient_Name], [@Ingredient_Name])</f>
        <v/>
      </c>
      <c r="H36" s="4">
        <f>[@[MTD Actual (MT)]]-[@[MTD Expected (MT)]]</f>
        <v/>
      </c>
      <c r="I36" s="8">
        <f>IFERROR([@[MTD Var (MT)]]/[@[MTD Expected (MT)]], 0)</f>
        <v/>
      </c>
    </row>
    <row r="37">
      <c r="A37" s="2" t="inlineStr">
        <is>
          <t>NORPONIN X03 (8102 TOP UP)</t>
        </is>
      </c>
      <c r="B3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7" s="4">
        <f>SUMIFS(tbl_Feedmill_Actuals[Actual_Used_MT], tbl_Feedmill_Actuals[Report_Date], $B$3, tbl_Feedmill_Actuals[Ingredient_Name], [@Ingredient_Name])</f>
        <v/>
      </c>
      <c r="D37" s="4">
        <f>[@[Day Actual (MT)]]-[@[Day Expected (MT)]]</f>
        <v/>
      </c>
      <c r="E37" s="8">
        <f>IFERROR([@[Day Var (MT)]]/[@[Day Expected (MT)]], 0)</f>
        <v/>
      </c>
      <c r="F3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7" s="4">
        <f>SUMIFS(tbl_Feedmill_Actuals[Actual_Used_MT], tbl_Feedmill_Actuals[Report_Date], "&gt;=" &amp; $B$4, tbl_Feedmill_Actuals[Report_Date], "&lt;=" &amp; $B$3, tbl_Feedmill_Actuals[Ingredient_Name], [@Ingredient_Name])</f>
        <v/>
      </c>
      <c r="H37" s="4">
        <f>[@[MTD Actual (MT)]]-[@[MTD Expected (MT)]]</f>
        <v/>
      </c>
      <c r="I37" s="8">
        <f>IFERROR([@[MTD Var (MT)]]/[@[MTD Expected (MT)]], 0)</f>
        <v/>
      </c>
    </row>
    <row r="38">
      <c r="A38" s="2" t="inlineStr">
        <is>
          <t>8102 TOP UP (4KG)</t>
        </is>
      </c>
      <c r="B3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8" s="4">
        <f>SUMIFS(tbl_Feedmill_Actuals[Actual_Used_MT], tbl_Feedmill_Actuals[Report_Date], $B$3, tbl_Feedmill_Actuals[Ingredient_Name], [@Ingredient_Name])</f>
        <v/>
      </c>
      <c r="D38" s="4">
        <f>[@[Day Actual (MT)]]-[@[Day Expected (MT)]]</f>
        <v/>
      </c>
      <c r="E38" s="8">
        <f>IFERROR([@[Day Var (MT)]]/[@[Day Expected (MT)]], 0)</f>
        <v/>
      </c>
      <c r="F3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8" s="4">
        <f>SUMIFS(tbl_Feedmill_Actuals[Actual_Used_MT], tbl_Feedmill_Actuals[Report_Date], "&gt;=" &amp; $B$4, tbl_Feedmill_Actuals[Report_Date], "&lt;=" &amp; $B$3, tbl_Feedmill_Actuals[Ingredient_Name], [@Ingredient_Name])</f>
        <v/>
      </c>
      <c r="H38" s="4">
        <f>[@[MTD Actual (MT)]]-[@[MTD Expected (MT)]]</f>
        <v/>
      </c>
      <c r="I38" s="8">
        <f>IFERROR([@[MTD Var (MT)]]/[@[MTD Expected (MT)]], 0)</f>
        <v/>
      </c>
    </row>
    <row r="39">
      <c r="A39" s="2" t="inlineStr">
        <is>
          <t>8103 TOP UP (5KG)</t>
        </is>
      </c>
      <c r="B3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39" s="4">
        <f>SUMIFS(tbl_Feedmill_Actuals[Actual_Used_MT], tbl_Feedmill_Actuals[Report_Date], $B$3, tbl_Feedmill_Actuals[Ingredient_Name], [@Ingredient_Name])</f>
        <v/>
      </c>
      <c r="D39" s="4">
        <f>[@[Day Actual (MT)]]-[@[Day Expected (MT)]]</f>
        <v/>
      </c>
      <c r="E39" s="8">
        <f>IFERROR([@[Day Var (MT)]]/[@[Day Expected (MT)]], 0)</f>
        <v/>
      </c>
      <c r="F3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39" s="4">
        <f>SUMIFS(tbl_Feedmill_Actuals[Actual_Used_MT], tbl_Feedmill_Actuals[Report_Date], "&gt;=" &amp; $B$4, tbl_Feedmill_Actuals[Report_Date], "&lt;=" &amp; $B$3, tbl_Feedmill_Actuals[Ingredient_Name], [@Ingredient_Name])</f>
        <v/>
      </c>
      <c r="H39" s="4">
        <f>[@[MTD Actual (MT)]]-[@[MTD Expected (MT)]]</f>
        <v/>
      </c>
      <c r="I39" s="8">
        <f>IFERROR([@[MTD Var (MT)]]/[@[MTD Expected (MT)]], 0)</f>
        <v/>
      </c>
    </row>
    <row r="40">
      <c r="A40" s="2" t="inlineStr">
        <is>
          <t>L-ARGININE</t>
        </is>
      </c>
      <c r="B4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0" s="4">
        <f>SUMIFS(tbl_Feedmill_Actuals[Actual_Used_MT], tbl_Feedmill_Actuals[Report_Date], $B$3, tbl_Feedmill_Actuals[Ingredient_Name], [@Ingredient_Name])</f>
        <v/>
      </c>
      <c r="D40" s="4">
        <f>[@[Day Actual (MT)]]-[@[Day Expected (MT)]]</f>
        <v/>
      </c>
      <c r="E40" s="8">
        <f>IFERROR([@[Day Var (MT)]]/[@[Day Expected (MT)]], 0)</f>
        <v/>
      </c>
      <c r="F4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0" s="4">
        <f>SUMIFS(tbl_Feedmill_Actuals[Actual_Used_MT], tbl_Feedmill_Actuals[Report_Date], "&gt;=" &amp; $B$4, tbl_Feedmill_Actuals[Report_Date], "&lt;=" &amp; $B$3, tbl_Feedmill_Actuals[Ingredient_Name], [@Ingredient_Name])</f>
        <v/>
      </c>
      <c r="H40" s="4">
        <f>[@[MTD Actual (MT)]]-[@[MTD Expected (MT)]]</f>
        <v/>
      </c>
      <c r="I40" s="8">
        <f>IFERROR([@[MTD Var (MT)]]/[@[MTD Expected (MT)]], 0)</f>
        <v/>
      </c>
    </row>
    <row r="41">
      <c r="A41" s="2" t="inlineStr">
        <is>
          <t>DL-METHIONINE</t>
        </is>
      </c>
      <c r="B4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1" s="4">
        <f>SUMIFS(tbl_Feedmill_Actuals[Actual_Used_MT], tbl_Feedmill_Actuals[Report_Date], $B$3, tbl_Feedmill_Actuals[Ingredient_Name], [@Ingredient_Name])</f>
        <v/>
      </c>
      <c r="D41" s="4">
        <f>[@[Day Actual (MT)]]-[@[Day Expected (MT)]]</f>
        <v/>
      </c>
      <c r="E41" s="8">
        <f>IFERROR([@[Day Var (MT)]]/[@[Day Expected (MT)]], 0)</f>
        <v/>
      </c>
      <c r="F4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1" s="4">
        <f>SUMIFS(tbl_Feedmill_Actuals[Actual_Used_MT], tbl_Feedmill_Actuals[Report_Date], "&gt;=" &amp; $B$4, tbl_Feedmill_Actuals[Report_Date], "&lt;=" &amp; $B$3, tbl_Feedmill_Actuals[Ingredient_Name], [@Ingredient_Name])</f>
        <v/>
      </c>
      <c r="H41" s="4">
        <f>[@[MTD Actual (MT)]]-[@[MTD Expected (MT)]]</f>
        <v/>
      </c>
      <c r="I41" s="8">
        <f>IFERROR([@[MTD Var (MT)]]/[@[MTD Expected (MT)]], 0)</f>
        <v/>
      </c>
    </row>
    <row r="42">
      <c r="A42" s="2" t="inlineStr">
        <is>
          <t>L-THREONINE</t>
        </is>
      </c>
      <c r="B4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2" s="4">
        <f>SUMIFS(tbl_Feedmill_Actuals[Actual_Used_MT], tbl_Feedmill_Actuals[Report_Date], $B$3, tbl_Feedmill_Actuals[Ingredient_Name], [@Ingredient_Name])</f>
        <v/>
      </c>
      <c r="D42" s="4">
        <f>[@[Day Actual (MT)]]-[@[Day Expected (MT)]]</f>
        <v/>
      </c>
      <c r="E42" s="8">
        <f>IFERROR([@[Day Var (MT)]]/[@[Day Expected (MT)]], 0)</f>
        <v/>
      </c>
      <c r="F4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2" s="4">
        <f>SUMIFS(tbl_Feedmill_Actuals[Actual_Used_MT], tbl_Feedmill_Actuals[Report_Date], "&gt;=" &amp; $B$4, tbl_Feedmill_Actuals[Report_Date], "&lt;=" &amp; $B$3, tbl_Feedmill_Actuals[Ingredient_Name], [@Ingredient_Name])</f>
        <v/>
      </c>
      <c r="H42" s="4">
        <f>[@[MTD Actual (MT)]]-[@[MTD Expected (MT)]]</f>
        <v/>
      </c>
      <c r="I42" s="8">
        <f>IFERROR([@[MTD Var (MT)]]/[@[MTD Expected (MT)]], 0)</f>
        <v/>
      </c>
    </row>
    <row r="43">
      <c r="A43" s="2" t="inlineStr">
        <is>
          <t>L-LYSINE</t>
        </is>
      </c>
      <c r="B4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3" s="4">
        <f>SUMIFS(tbl_Feedmill_Actuals[Actual_Used_MT], tbl_Feedmill_Actuals[Report_Date], $B$3, tbl_Feedmill_Actuals[Ingredient_Name], [@Ingredient_Name])</f>
        <v/>
      </c>
      <c r="D43" s="4">
        <f>[@[Day Actual (MT)]]-[@[Day Expected (MT)]]</f>
        <v/>
      </c>
      <c r="E43" s="8">
        <f>IFERROR([@[Day Var (MT)]]/[@[Day Expected (MT)]], 0)</f>
        <v/>
      </c>
      <c r="F4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3" s="4">
        <f>SUMIFS(tbl_Feedmill_Actuals[Actual_Used_MT], tbl_Feedmill_Actuals[Report_Date], "&gt;=" &amp; $B$4, tbl_Feedmill_Actuals[Report_Date], "&lt;=" &amp; $B$3, tbl_Feedmill_Actuals[Ingredient_Name], [@Ingredient_Name])</f>
        <v/>
      </c>
      <c r="H43" s="4">
        <f>[@[MTD Actual (MT)]]-[@[MTD Expected (MT)]]</f>
        <v/>
      </c>
      <c r="I43" s="8">
        <f>IFERROR([@[MTD Var (MT)]]/[@[MTD Expected (MT)]], 0)</f>
        <v/>
      </c>
    </row>
    <row r="44">
      <c r="A44" s="2" t="inlineStr">
        <is>
          <t>FAECES DRY</t>
        </is>
      </c>
      <c r="B4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4" s="4">
        <f>SUMIFS(tbl_Feedmill_Actuals[Actual_Used_MT], tbl_Feedmill_Actuals[Report_Date], $B$3, tbl_Feedmill_Actuals[Ingredient_Name], [@Ingredient_Name])</f>
        <v/>
      </c>
      <c r="D44" s="4">
        <f>[@[Day Actual (MT)]]-[@[Day Expected (MT)]]</f>
        <v/>
      </c>
      <c r="E44" s="8">
        <f>IFERROR([@[Day Var (MT)]]/[@[Day Expected (MT)]], 0)</f>
        <v/>
      </c>
      <c r="F4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4" s="4">
        <f>SUMIFS(tbl_Feedmill_Actuals[Actual_Used_MT], tbl_Feedmill_Actuals[Report_Date], "&gt;=" &amp; $B$4, tbl_Feedmill_Actuals[Report_Date], "&lt;=" &amp; $B$3, tbl_Feedmill_Actuals[Ingredient_Name], [@Ingredient_Name])</f>
        <v/>
      </c>
      <c r="H44" s="4">
        <f>[@[MTD Actual (MT)]]-[@[MTD Expected (MT)]]</f>
        <v/>
      </c>
      <c r="I44" s="8">
        <f>IFERROR([@[MTD Var (MT)]]/[@[MTD Expected (MT)]], 0)</f>
        <v/>
      </c>
    </row>
    <row r="45">
      <c r="A45" s="2" t="inlineStr">
        <is>
          <t>ECOBIOL</t>
        </is>
      </c>
      <c r="B4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5" s="4">
        <f>SUMIFS(tbl_Feedmill_Actuals[Actual_Used_MT], tbl_Feedmill_Actuals[Report_Date], $B$3, tbl_Feedmill_Actuals[Ingredient_Name], [@Ingredient_Name])</f>
        <v/>
      </c>
      <c r="D45" s="4">
        <f>[@[Day Actual (MT)]]-[@[Day Expected (MT)]]</f>
        <v/>
      </c>
      <c r="E45" s="8">
        <f>IFERROR([@[Day Var (MT)]]/[@[Day Expected (MT)]], 0)</f>
        <v/>
      </c>
      <c r="F4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5" s="4">
        <f>SUMIFS(tbl_Feedmill_Actuals[Actual_Used_MT], tbl_Feedmill_Actuals[Report_Date], "&gt;=" &amp; $B$4, tbl_Feedmill_Actuals[Report_Date], "&lt;=" &amp; $B$3, tbl_Feedmill_Actuals[Ingredient_Name], [@Ingredient_Name])</f>
        <v/>
      </c>
      <c r="H45" s="4">
        <f>[@[MTD Actual (MT)]]-[@[MTD Expected (MT)]]</f>
        <v/>
      </c>
      <c r="I45" s="8">
        <f>IFERROR([@[MTD Var (MT)]]/[@[MTD Expected (MT)]], 0)</f>
        <v/>
      </c>
    </row>
    <row r="46">
      <c r="A46" s="2" t="inlineStr">
        <is>
          <t>MASTER CUBE (HARUMI)</t>
        </is>
      </c>
      <c r="B4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6" s="4">
        <f>SUMIFS(tbl_Feedmill_Actuals[Actual_Used_MT], tbl_Feedmill_Actuals[Report_Date], $B$3, tbl_Feedmill_Actuals[Ingredient_Name], [@Ingredient_Name])</f>
        <v/>
      </c>
      <c r="D46" s="4">
        <f>[@[Day Actual (MT)]]-[@[Day Expected (MT)]]</f>
        <v/>
      </c>
      <c r="E46" s="8">
        <f>IFERROR([@[Day Var (MT)]]/[@[Day Expected (MT)]], 0)</f>
        <v/>
      </c>
      <c r="F4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6" s="4">
        <f>SUMIFS(tbl_Feedmill_Actuals[Actual_Used_MT], tbl_Feedmill_Actuals[Report_Date], "&gt;=" &amp; $B$4, tbl_Feedmill_Actuals[Report_Date], "&lt;=" &amp; $B$3, tbl_Feedmill_Actuals[Ingredient_Name], [@Ingredient_Name])</f>
        <v/>
      </c>
      <c r="H46" s="4">
        <f>[@[MTD Actual (MT)]]-[@[MTD Expected (MT)]]</f>
        <v/>
      </c>
      <c r="I46" s="8">
        <f>IFERROR([@[MTD Var (MT)]]/[@[MTD Expected (MT)]], 0)</f>
        <v/>
      </c>
    </row>
    <row r="47">
      <c r="A47" s="2" t="inlineStr">
        <is>
          <t>QUANTUM GLO 4%</t>
        </is>
      </c>
      <c r="B4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7" s="4">
        <f>SUMIFS(tbl_Feedmill_Actuals[Actual_Used_MT], tbl_Feedmill_Actuals[Report_Date], $B$3, tbl_Feedmill_Actuals[Ingredient_Name], [@Ingredient_Name])</f>
        <v/>
      </c>
      <c r="D47" s="4">
        <f>[@[Day Actual (MT)]]-[@[Day Expected (MT)]]</f>
        <v/>
      </c>
      <c r="E47" s="8">
        <f>IFERROR([@[Day Var (MT)]]/[@[Day Expected (MT)]], 0)</f>
        <v/>
      </c>
      <c r="F4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7" s="4">
        <f>SUMIFS(tbl_Feedmill_Actuals[Actual_Used_MT], tbl_Feedmill_Actuals[Report_Date], "&gt;=" &amp; $B$4, tbl_Feedmill_Actuals[Report_Date], "&lt;=" &amp; $B$3, tbl_Feedmill_Actuals[Ingredient_Name], [@Ingredient_Name])</f>
        <v/>
      </c>
      <c r="H47" s="4">
        <f>[@[MTD Actual (MT)]]-[@[MTD Expected (MT)]]</f>
        <v/>
      </c>
      <c r="I47" s="8">
        <f>IFERROR([@[MTD Var (MT)]]/[@[MTD Expected (MT)]], 0)</f>
        <v/>
      </c>
    </row>
    <row r="48">
      <c r="A48" s="2" t="inlineStr">
        <is>
          <t>SALT</t>
        </is>
      </c>
      <c r="B4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8" s="4">
        <f>SUMIFS(tbl_Feedmill_Actuals[Actual_Used_MT], tbl_Feedmill_Actuals[Report_Date], $B$3, tbl_Feedmill_Actuals[Ingredient_Name], [@Ingredient_Name])</f>
        <v/>
      </c>
      <c r="D48" s="4">
        <f>[@[Day Actual (MT)]]-[@[Day Expected (MT)]]</f>
        <v/>
      </c>
      <c r="E48" s="8">
        <f>IFERROR([@[Day Var (MT)]]/[@[Day Expected (MT)]], 0)</f>
        <v/>
      </c>
      <c r="F4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8" s="4">
        <f>SUMIFS(tbl_Feedmill_Actuals[Actual_Used_MT], tbl_Feedmill_Actuals[Report_Date], "&gt;=" &amp; $B$4, tbl_Feedmill_Actuals[Report_Date], "&lt;=" &amp; $B$3, tbl_Feedmill_Actuals[Ingredient_Name], [@Ingredient_Name])</f>
        <v/>
      </c>
      <c r="H48" s="4">
        <f>[@[MTD Actual (MT)]]-[@[MTD Expected (MT)]]</f>
        <v/>
      </c>
      <c r="I48" s="8">
        <f>IFERROR([@[MTD Var (MT)]]/[@[MTD Expected (MT)]], 0)</f>
        <v/>
      </c>
    </row>
    <row r="49">
      <c r="A49" s="2" t="inlineStr">
        <is>
          <t>OC 200 - OXYTET 20%</t>
        </is>
      </c>
      <c r="B4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49" s="4">
        <f>SUMIFS(tbl_Feedmill_Actuals[Actual_Used_MT], tbl_Feedmill_Actuals[Report_Date], $B$3, tbl_Feedmill_Actuals[Ingredient_Name], [@Ingredient_Name])</f>
        <v/>
      </c>
      <c r="D49" s="4">
        <f>[@[Day Actual (MT)]]-[@[Day Expected (MT)]]</f>
        <v/>
      </c>
      <c r="E49" s="8">
        <f>IFERROR([@[Day Var (MT)]]/[@[Day Expected (MT)]], 0)</f>
        <v/>
      </c>
      <c r="F4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49" s="4">
        <f>SUMIFS(tbl_Feedmill_Actuals[Actual_Used_MT], tbl_Feedmill_Actuals[Report_Date], "&gt;=" &amp; $B$4, tbl_Feedmill_Actuals[Report_Date], "&lt;=" &amp; $B$3, tbl_Feedmill_Actuals[Ingredient_Name], [@Ingredient_Name])</f>
        <v/>
      </c>
      <c r="H49" s="4">
        <f>[@[MTD Actual (MT)]]-[@[MTD Expected (MT)]]</f>
        <v/>
      </c>
      <c r="I49" s="8">
        <f>IFERROR([@[MTD Var (MT)]]/[@[MTD Expected (MT)]], 0)</f>
        <v/>
      </c>
    </row>
    <row r="50">
      <c r="A50" s="2" t="inlineStr">
        <is>
          <t>PLAIN BAG 26" X 39" (50KG)</t>
        </is>
      </c>
      <c r="B5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0" s="4">
        <f>SUMIFS(tbl_Feedmill_Actuals[Actual_Used_MT], tbl_Feedmill_Actuals[Report_Date], $B$3, tbl_Feedmill_Actuals[Ingredient_Name], [@Ingredient_Name])</f>
        <v/>
      </c>
      <c r="D50" s="4">
        <f>[@[Day Actual (MT)]]-[@[Day Expected (MT)]]</f>
        <v/>
      </c>
      <c r="E50" s="8">
        <f>IFERROR([@[Day Var (MT)]]/[@[Day Expected (MT)]], 0)</f>
        <v/>
      </c>
      <c r="F5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0" s="4">
        <f>SUMIFS(tbl_Feedmill_Actuals[Actual_Used_MT], tbl_Feedmill_Actuals[Report_Date], "&gt;=" &amp; $B$4, tbl_Feedmill_Actuals[Report_Date], "&lt;=" &amp; $B$3, tbl_Feedmill_Actuals[Ingredient_Name], [@Ingredient_Name])</f>
        <v/>
      </c>
      <c r="H50" s="4">
        <f>[@[MTD Actual (MT)]]-[@[MTD Expected (MT)]]</f>
        <v/>
      </c>
      <c r="I50" s="8">
        <f>IFERROR([@[MTD Var (MT)]]/[@[MTD Expected (MT)]], 0)</f>
        <v/>
      </c>
    </row>
    <row r="51">
      <c r="A51" s="2" t="inlineStr">
        <is>
          <t>TOTAL</t>
        </is>
      </c>
      <c r="B5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1" s="4">
        <f>SUMIFS(tbl_Feedmill_Actuals[Actual_Used_MT], tbl_Feedmill_Actuals[Report_Date], $B$3, tbl_Feedmill_Actuals[Ingredient_Name], [@Ingredient_Name])</f>
        <v/>
      </c>
      <c r="D51" s="4">
        <f>[@[Day Actual (MT)]]-[@[Day Expected (MT)]]</f>
        <v/>
      </c>
      <c r="E51" s="8">
        <f>IFERROR([@[Day Var (MT)]]/[@[Day Expected (MT)]], 0)</f>
        <v/>
      </c>
      <c r="F5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1" s="4">
        <f>SUMIFS(tbl_Feedmill_Actuals[Actual_Used_MT], tbl_Feedmill_Actuals[Report_Date], "&gt;=" &amp; $B$4, tbl_Feedmill_Actuals[Report_Date], "&lt;=" &amp; $B$3, tbl_Feedmill_Actuals[Ingredient_Name], [@Ingredient_Name])</f>
        <v/>
      </c>
      <c r="H51" s="4">
        <f>[@[MTD Actual (MT)]]-[@[MTD Expected (MT)]]</f>
        <v/>
      </c>
      <c r="I51" s="8">
        <f>IFERROR([@[MTD Var (MT)]]/[@[MTD Expected (MT)]], 0)</f>
        <v/>
      </c>
    </row>
    <row r="52">
      <c r="A52" s="2" t="inlineStr">
        <is>
          <t>OC 200</t>
        </is>
      </c>
      <c r="B5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2" s="4">
        <f>SUMIFS(tbl_Feedmill_Actuals[Actual_Used_MT], tbl_Feedmill_Actuals[Report_Date], $B$3, tbl_Feedmill_Actuals[Ingredient_Name], [@Ingredient_Name])</f>
        <v/>
      </c>
      <c r="D52" s="4">
        <f>[@[Day Actual (MT)]]-[@[Day Expected (MT)]]</f>
        <v/>
      </c>
      <c r="E52" s="8">
        <f>IFERROR([@[Day Var (MT)]]/[@[Day Expected (MT)]], 0)</f>
        <v/>
      </c>
      <c r="F5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2" s="4">
        <f>SUMIFS(tbl_Feedmill_Actuals[Actual_Used_MT], tbl_Feedmill_Actuals[Report_Date], "&gt;=" &amp; $B$4, tbl_Feedmill_Actuals[Report_Date], "&lt;=" &amp; $B$3, tbl_Feedmill_Actuals[Ingredient_Name], [@Ingredient_Name])</f>
        <v/>
      </c>
      <c r="H52" s="4">
        <f>[@[MTD Actual (MT)]]-[@[MTD Expected (MT)]]</f>
        <v/>
      </c>
      <c r="I52" s="8">
        <f>IFERROR([@[MTD Var (MT)]]/[@[MTD Expected (MT)]], 0)</f>
        <v/>
      </c>
    </row>
    <row r="53">
      <c r="A53" s="2" t="inlineStr">
        <is>
          <t>L-VALINE</t>
        </is>
      </c>
      <c r="B5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3" s="4">
        <f>SUMIFS(tbl_Feedmill_Actuals[Actual_Used_MT], tbl_Feedmill_Actuals[Report_Date], $B$3, tbl_Feedmill_Actuals[Ingredient_Name], [@Ingredient_Name])</f>
        <v/>
      </c>
      <c r="D53" s="4">
        <f>[@[Day Actual (MT)]]-[@[Day Expected (MT)]]</f>
        <v/>
      </c>
      <c r="E53" s="8">
        <f>IFERROR([@[Day Var (MT)]]/[@[Day Expected (MT)]], 0)</f>
        <v/>
      </c>
      <c r="F5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3" s="4">
        <f>SUMIFS(tbl_Feedmill_Actuals[Actual_Used_MT], tbl_Feedmill_Actuals[Report_Date], "&gt;=" &amp; $B$4, tbl_Feedmill_Actuals[Report_Date], "&lt;=" &amp; $B$3, tbl_Feedmill_Actuals[Ingredient_Name], [@Ingredient_Name])</f>
        <v/>
      </c>
      <c r="H53" s="4">
        <f>[@[MTD Actual (MT)]]-[@[MTD Expected (MT)]]</f>
        <v/>
      </c>
      <c r="I53" s="8">
        <f>IFERROR([@[MTD Var (MT)]]/[@[MTD Expected (MT)]], 0)</f>
        <v/>
      </c>
    </row>
    <row r="54">
      <c r="A54" s="2" t="inlineStr">
        <is>
          <t>L-ISOLEUCINE</t>
        </is>
      </c>
      <c r="B5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4" s="4">
        <f>SUMIFS(tbl_Feedmill_Actuals[Actual_Used_MT], tbl_Feedmill_Actuals[Report_Date], $B$3, tbl_Feedmill_Actuals[Ingredient_Name], [@Ingredient_Name])</f>
        <v/>
      </c>
      <c r="D54" s="4">
        <f>[@[Day Actual (MT)]]-[@[Day Expected (MT)]]</f>
        <v/>
      </c>
      <c r="E54" s="8">
        <f>IFERROR([@[Day Var (MT)]]/[@[Day Expected (MT)]], 0)</f>
        <v/>
      </c>
      <c r="F5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4" s="4">
        <f>SUMIFS(tbl_Feedmill_Actuals[Actual_Used_MT], tbl_Feedmill_Actuals[Report_Date], "&gt;=" &amp; $B$4, tbl_Feedmill_Actuals[Report_Date], "&lt;=" &amp; $B$3, tbl_Feedmill_Actuals[Ingredient_Name], [@Ingredient_Name])</f>
        <v/>
      </c>
      <c r="H54" s="4">
        <f>[@[MTD Actual (MT)]]-[@[MTD Expected (MT)]]</f>
        <v/>
      </c>
      <c r="I54" s="8">
        <f>IFERROR([@[MTD Var (MT)]]/[@[MTD Expected (MT)]], 0)</f>
        <v/>
      </c>
    </row>
    <row r="55">
      <c r="A55" s="2" t="inlineStr">
        <is>
          <t>PREMIX 1101 (20KG)</t>
        </is>
      </c>
      <c r="B5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5" s="4">
        <f>SUMIFS(tbl_Feedmill_Actuals[Actual_Used_MT], tbl_Feedmill_Actuals[Report_Date], $B$3, tbl_Feedmill_Actuals[Ingredient_Name], [@Ingredient_Name])</f>
        <v/>
      </c>
      <c r="D55" s="4">
        <f>[@[Day Actual (MT)]]-[@[Day Expected (MT)]]</f>
        <v/>
      </c>
      <c r="E55" s="8">
        <f>IFERROR([@[Day Var (MT)]]/[@[Day Expected (MT)]], 0)</f>
        <v/>
      </c>
      <c r="F5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5" s="4">
        <f>SUMIFS(tbl_Feedmill_Actuals[Actual_Used_MT], tbl_Feedmill_Actuals[Report_Date], "&gt;=" &amp; $B$4, tbl_Feedmill_Actuals[Report_Date], "&lt;=" &amp; $B$3, tbl_Feedmill_Actuals[Ingredient_Name], [@Ingredient_Name])</f>
        <v/>
      </c>
      <c r="H55" s="4">
        <f>[@[MTD Actual (MT)]]-[@[MTD Expected (MT)]]</f>
        <v/>
      </c>
      <c r="I55" s="8">
        <f>IFERROR([@[MTD Var (MT)]]/[@[MTD Expected (MT)]], 0)</f>
        <v/>
      </c>
    </row>
    <row r="56">
      <c r="A56" s="2" t="inlineStr">
        <is>
          <t>PREMIX 1102 (20KG)</t>
        </is>
      </c>
      <c r="B5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6" s="4">
        <f>SUMIFS(tbl_Feedmill_Actuals[Actual_Used_MT], tbl_Feedmill_Actuals[Report_Date], $B$3, tbl_Feedmill_Actuals[Ingredient_Name], [@Ingredient_Name])</f>
        <v/>
      </c>
      <c r="D56" s="4">
        <f>[@[Day Actual (MT)]]-[@[Day Expected (MT)]]</f>
        <v/>
      </c>
      <c r="E56" s="8">
        <f>IFERROR([@[Day Var (MT)]]/[@[Day Expected (MT)]], 0)</f>
        <v/>
      </c>
      <c r="F5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6" s="4">
        <f>SUMIFS(tbl_Feedmill_Actuals[Actual_Used_MT], tbl_Feedmill_Actuals[Report_Date], "&gt;=" &amp; $B$4, tbl_Feedmill_Actuals[Report_Date], "&lt;=" &amp; $B$3, tbl_Feedmill_Actuals[Ingredient_Name], [@Ingredient_Name])</f>
        <v/>
      </c>
      <c r="H56" s="4">
        <f>[@[MTD Actual (MT)]]-[@[MTD Expected (MT)]]</f>
        <v/>
      </c>
      <c r="I56" s="8">
        <f>IFERROR([@[MTD Var (MT)]]/[@[MTD Expected (MT)]], 0)</f>
        <v/>
      </c>
    </row>
    <row r="57">
      <c r="A57" s="2" t="inlineStr">
        <is>
          <t>PREMIX 1103 (20KG)</t>
        </is>
      </c>
      <c r="B5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7" s="4">
        <f>SUMIFS(tbl_Feedmill_Actuals[Actual_Used_MT], tbl_Feedmill_Actuals[Report_Date], $B$3, tbl_Feedmill_Actuals[Ingredient_Name], [@Ingredient_Name])</f>
        <v/>
      </c>
      <c r="D57" s="4">
        <f>[@[Day Actual (MT)]]-[@[Day Expected (MT)]]</f>
        <v/>
      </c>
      <c r="E57" s="8">
        <f>IFERROR([@[Day Var (MT)]]/[@[Day Expected (MT)]], 0)</f>
        <v/>
      </c>
      <c r="F5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7" s="4">
        <f>SUMIFS(tbl_Feedmill_Actuals[Actual_Used_MT], tbl_Feedmill_Actuals[Report_Date], "&gt;=" &amp; $B$4, tbl_Feedmill_Actuals[Report_Date], "&lt;=" &amp; $B$3, tbl_Feedmill_Actuals[Ingredient_Name], [@Ingredient_Name])</f>
        <v/>
      </c>
      <c r="H57" s="4">
        <f>[@[MTD Actual (MT)]]-[@[MTD Expected (MT)]]</f>
        <v/>
      </c>
      <c r="I57" s="8">
        <f>IFERROR([@[MTD Var (MT)]]/[@[MTD Expected (MT)]], 0)</f>
        <v/>
      </c>
    </row>
    <row r="58">
      <c r="A58" s="2" t="inlineStr">
        <is>
          <t>PREMIX 311 (20KG)</t>
        </is>
      </c>
      <c r="B5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8" s="4">
        <f>SUMIFS(tbl_Feedmill_Actuals[Actual_Used_MT], tbl_Feedmill_Actuals[Report_Date], $B$3, tbl_Feedmill_Actuals[Ingredient_Name], [@Ingredient_Name])</f>
        <v/>
      </c>
      <c r="D58" s="4">
        <f>[@[Day Actual (MT)]]-[@[Day Expected (MT)]]</f>
        <v/>
      </c>
      <c r="E58" s="8">
        <f>IFERROR([@[Day Var (MT)]]/[@[Day Expected (MT)]], 0)</f>
        <v/>
      </c>
      <c r="F5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8" s="4">
        <f>SUMIFS(tbl_Feedmill_Actuals[Actual_Used_MT], tbl_Feedmill_Actuals[Report_Date], "&gt;=" &amp; $B$4, tbl_Feedmill_Actuals[Report_Date], "&lt;=" &amp; $B$3, tbl_Feedmill_Actuals[Ingredient_Name], [@Ingredient_Name])</f>
        <v/>
      </c>
      <c r="H58" s="4">
        <f>[@[MTD Actual (MT)]]-[@[MTD Expected (MT)]]</f>
        <v/>
      </c>
      <c r="I58" s="8">
        <f>IFERROR([@[MTD Var (MT)]]/[@[MTD Expected (MT)]], 0)</f>
        <v/>
      </c>
    </row>
    <row r="59">
      <c r="A59" s="2" t="inlineStr">
        <is>
          <t>PREMIX 312 (20KG)</t>
        </is>
      </c>
      <c r="B5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59" s="4">
        <f>SUMIFS(tbl_Feedmill_Actuals[Actual_Used_MT], tbl_Feedmill_Actuals[Report_Date], $B$3, tbl_Feedmill_Actuals[Ingredient_Name], [@Ingredient_Name])</f>
        <v/>
      </c>
      <c r="D59" s="4">
        <f>[@[Day Actual (MT)]]-[@[Day Expected (MT)]]</f>
        <v/>
      </c>
      <c r="E59" s="8">
        <f>IFERROR([@[Day Var (MT)]]/[@[Day Expected (MT)]], 0)</f>
        <v/>
      </c>
      <c r="F5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59" s="4">
        <f>SUMIFS(tbl_Feedmill_Actuals[Actual_Used_MT], tbl_Feedmill_Actuals[Report_Date], "&gt;=" &amp; $B$4, tbl_Feedmill_Actuals[Report_Date], "&lt;=" &amp; $B$3, tbl_Feedmill_Actuals[Ingredient_Name], [@Ingredient_Name])</f>
        <v/>
      </c>
      <c r="H59" s="4">
        <f>[@[MTD Actual (MT)]]-[@[MTD Expected (MT)]]</f>
        <v/>
      </c>
      <c r="I59" s="8">
        <f>IFERROR([@[MTD Var (MT)]]/[@[MTD Expected (MT)]], 0)</f>
        <v/>
      </c>
    </row>
    <row r="60">
      <c r="A60" s="2" t="inlineStr">
        <is>
          <t>PREMIX 8100 (20KG)</t>
        </is>
      </c>
      <c r="B6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0" s="4">
        <f>SUMIFS(tbl_Feedmill_Actuals[Actual_Used_MT], tbl_Feedmill_Actuals[Report_Date], $B$3, tbl_Feedmill_Actuals[Ingredient_Name], [@Ingredient_Name])</f>
        <v/>
      </c>
      <c r="D60" s="4">
        <f>[@[Day Actual (MT)]]-[@[Day Expected (MT)]]</f>
        <v/>
      </c>
      <c r="E60" s="8">
        <f>IFERROR([@[Day Var (MT)]]/[@[Day Expected (MT)]], 0)</f>
        <v/>
      </c>
      <c r="F6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0" s="4">
        <f>SUMIFS(tbl_Feedmill_Actuals[Actual_Used_MT], tbl_Feedmill_Actuals[Report_Date], "&gt;=" &amp; $B$4, tbl_Feedmill_Actuals[Report_Date], "&lt;=" &amp; $B$3, tbl_Feedmill_Actuals[Ingredient_Name], [@Ingredient_Name])</f>
        <v/>
      </c>
      <c r="H60" s="4">
        <f>[@[MTD Actual (MT)]]-[@[MTD Expected (MT)]]</f>
        <v/>
      </c>
      <c r="I60" s="8">
        <f>IFERROR([@[MTD Var (MT)]]/[@[MTD Expected (MT)]], 0)</f>
        <v/>
      </c>
    </row>
    <row r="61">
      <c r="A61" s="2" t="inlineStr">
        <is>
          <t>PREMIX 8101 (20KG)</t>
        </is>
      </c>
      <c r="B6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1" s="4">
        <f>SUMIFS(tbl_Feedmill_Actuals[Actual_Used_MT], tbl_Feedmill_Actuals[Report_Date], $B$3, tbl_Feedmill_Actuals[Ingredient_Name], [@Ingredient_Name])</f>
        <v/>
      </c>
      <c r="D61" s="4">
        <f>[@[Day Actual (MT)]]-[@[Day Expected (MT)]]</f>
        <v/>
      </c>
      <c r="E61" s="8">
        <f>IFERROR([@[Day Var (MT)]]/[@[Day Expected (MT)]], 0)</f>
        <v/>
      </c>
      <c r="F6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1" s="4">
        <f>SUMIFS(tbl_Feedmill_Actuals[Actual_Used_MT], tbl_Feedmill_Actuals[Report_Date], "&gt;=" &amp; $B$4, tbl_Feedmill_Actuals[Report_Date], "&lt;=" &amp; $B$3, tbl_Feedmill_Actuals[Ingredient_Name], [@Ingredient_Name])</f>
        <v/>
      </c>
      <c r="H61" s="4">
        <f>[@[MTD Actual (MT)]]-[@[MTD Expected (MT)]]</f>
        <v/>
      </c>
      <c r="I61" s="8">
        <f>IFERROR([@[MTD Var (MT)]]/[@[MTD Expected (MT)]], 0)</f>
        <v/>
      </c>
    </row>
    <row r="62">
      <c r="A62" s="2" t="inlineStr">
        <is>
          <t>PREMIX 8102 (20KG)</t>
        </is>
      </c>
      <c r="B6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2" s="4">
        <f>SUMIFS(tbl_Feedmill_Actuals[Actual_Used_MT], tbl_Feedmill_Actuals[Report_Date], $B$3, tbl_Feedmill_Actuals[Ingredient_Name], [@Ingredient_Name])</f>
        <v/>
      </c>
      <c r="D62" s="4">
        <f>[@[Day Actual (MT)]]-[@[Day Expected (MT)]]</f>
        <v/>
      </c>
      <c r="E62" s="8">
        <f>IFERROR([@[Day Var (MT)]]/[@[Day Expected (MT)]], 0)</f>
        <v/>
      </c>
      <c r="F6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2" s="4">
        <f>SUMIFS(tbl_Feedmill_Actuals[Actual_Used_MT], tbl_Feedmill_Actuals[Report_Date], "&gt;=" &amp; $B$4, tbl_Feedmill_Actuals[Report_Date], "&lt;=" &amp; $B$3, tbl_Feedmill_Actuals[Ingredient_Name], [@Ingredient_Name])</f>
        <v/>
      </c>
      <c r="H62" s="4">
        <f>[@[MTD Actual (MT)]]-[@[MTD Expected (MT)]]</f>
        <v/>
      </c>
      <c r="I62" s="8">
        <f>IFERROR([@[MTD Var (MT)]]/[@[MTD Expected (MT)]], 0)</f>
        <v/>
      </c>
    </row>
    <row r="63">
      <c r="A63" s="2" t="inlineStr">
        <is>
          <t>PREMIX 8103 (20KG)</t>
        </is>
      </c>
      <c r="B6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3" s="4">
        <f>SUMIFS(tbl_Feedmill_Actuals[Actual_Used_MT], tbl_Feedmill_Actuals[Report_Date], $B$3, tbl_Feedmill_Actuals[Ingredient_Name], [@Ingredient_Name])</f>
        <v/>
      </c>
      <c r="D63" s="4">
        <f>[@[Day Actual (MT)]]-[@[Day Expected (MT)]]</f>
        <v/>
      </c>
      <c r="E63" s="8">
        <f>IFERROR([@[Day Var (MT)]]/[@[Day Expected (MT)]], 0)</f>
        <v/>
      </c>
      <c r="F6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3" s="4">
        <f>SUMIFS(tbl_Feedmill_Actuals[Actual_Used_MT], tbl_Feedmill_Actuals[Report_Date], "&gt;=" &amp; $B$4, tbl_Feedmill_Actuals[Report_Date], "&lt;=" &amp; $B$3, tbl_Feedmill_Actuals[Ingredient_Name], [@Ingredient_Name])</f>
        <v/>
      </c>
      <c r="H63" s="4">
        <f>[@[MTD Actual (MT)]]-[@[MTD Expected (MT)]]</f>
        <v/>
      </c>
      <c r="I63" s="8">
        <f>IFERROR([@[MTD Var (MT)]]/[@[MTD Expected (MT)]], 0)</f>
        <v/>
      </c>
    </row>
    <row r="64">
      <c r="A64" s="2" t="inlineStr">
        <is>
          <t>PREMIX 8108 (20KG)</t>
        </is>
      </c>
      <c r="B6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4" s="4">
        <f>SUMIFS(tbl_Feedmill_Actuals[Actual_Used_MT], tbl_Feedmill_Actuals[Report_Date], $B$3, tbl_Feedmill_Actuals[Ingredient_Name], [@Ingredient_Name])</f>
        <v/>
      </c>
      <c r="D64" s="4">
        <f>[@[Day Actual (MT)]]-[@[Day Expected (MT)]]</f>
        <v/>
      </c>
      <c r="E64" s="8">
        <f>IFERROR([@[Day Var (MT)]]/[@[Day Expected (MT)]], 0)</f>
        <v/>
      </c>
      <c r="F6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4" s="4">
        <f>SUMIFS(tbl_Feedmill_Actuals[Actual_Used_MT], tbl_Feedmill_Actuals[Report_Date], "&gt;=" &amp; $B$4, tbl_Feedmill_Actuals[Report_Date], "&lt;=" &amp; $B$3, tbl_Feedmill_Actuals[Ingredient_Name], [@Ingredient_Name])</f>
        <v/>
      </c>
      <c r="H64" s="4">
        <f>[@[MTD Actual (MT)]]-[@[MTD Expected (MT)]]</f>
        <v/>
      </c>
      <c r="I64" s="8">
        <f>IFERROR([@[MTD Var (MT)]]/[@[MTD Expected (MT)]], 0)</f>
        <v/>
      </c>
    </row>
    <row r="65">
      <c r="A65" s="2" t="inlineStr">
        <is>
          <t>PREMIX 8109 (20KG)</t>
        </is>
      </c>
      <c r="B6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5" s="4">
        <f>SUMIFS(tbl_Feedmill_Actuals[Actual_Used_MT], tbl_Feedmill_Actuals[Report_Date], $B$3, tbl_Feedmill_Actuals[Ingredient_Name], [@Ingredient_Name])</f>
        <v/>
      </c>
      <c r="D65" s="4">
        <f>[@[Day Actual (MT)]]-[@[Day Expected (MT)]]</f>
        <v/>
      </c>
      <c r="E65" s="8">
        <f>IFERROR([@[Day Var (MT)]]/[@[Day Expected (MT)]], 0)</f>
        <v/>
      </c>
      <c r="F6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5" s="4">
        <f>SUMIFS(tbl_Feedmill_Actuals[Actual_Used_MT], tbl_Feedmill_Actuals[Report_Date], "&gt;=" &amp; $B$4, tbl_Feedmill_Actuals[Report_Date], "&lt;=" &amp; $B$3, tbl_Feedmill_Actuals[Ingredient_Name], [@Ingredient_Name])</f>
        <v/>
      </c>
      <c r="H65" s="4">
        <f>[@[MTD Actual (MT)]]-[@[MTD Expected (MT)]]</f>
        <v/>
      </c>
      <c r="I65" s="8">
        <f>IFERROR([@[MTD Var (MT)]]/[@[MTD Expected (MT)]], 0)</f>
        <v/>
      </c>
    </row>
    <row r="66">
      <c r="A66" s="2" t="inlineStr">
        <is>
          <t>ADDITIVE BROILER IMMUNE</t>
        </is>
      </c>
      <c r="B6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6" s="4">
        <f>SUMIFS(tbl_Feedmill_Actuals[Actual_Used_MT], tbl_Feedmill_Actuals[Report_Date], $B$3, tbl_Feedmill_Actuals[Ingredient_Name], [@Ingredient_Name])</f>
        <v/>
      </c>
      <c r="D66" s="4">
        <f>[@[Day Actual (MT)]]-[@[Day Expected (MT)]]</f>
        <v/>
      </c>
      <c r="E66" s="8">
        <f>IFERROR([@[Day Var (MT)]]/[@[Day Expected (MT)]], 0)</f>
        <v/>
      </c>
      <c r="F6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6" s="4">
        <f>SUMIFS(tbl_Feedmill_Actuals[Actual_Used_MT], tbl_Feedmill_Actuals[Report_Date], "&gt;=" &amp; $B$4, tbl_Feedmill_Actuals[Report_Date], "&lt;=" &amp; $B$3, tbl_Feedmill_Actuals[Ingredient_Name], [@Ingredient_Name])</f>
        <v/>
      </c>
      <c r="H66" s="4">
        <f>[@[MTD Actual (MT)]]-[@[MTD Expected (MT)]]</f>
        <v/>
      </c>
      <c r="I66" s="8">
        <f>IFERROR([@[MTD Var (MT)]]/[@[MTD Expected (MT)]], 0)</f>
        <v/>
      </c>
    </row>
    <row r="67">
      <c r="A67" s="2" t="inlineStr">
        <is>
          <t>1101 TOP UP (0.40KG)</t>
        </is>
      </c>
      <c r="B67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7" s="4">
        <f>SUMIFS(tbl_Feedmill_Actuals[Actual_Used_MT], tbl_Feedmill_Actuals[Report_Date], $B$3, tbl_Feedmill_Actuals[Ingredient_Name], [@Ingredient_Name])</f>
        <v/>
      </c>
      <c r="D67" s="4">
        <f>[@[Day Actual (MT)]]-[@[Day Expected (MT)]]</f>
        <v/>
      </c>
      <c r="E67" s="8">
        <f>IFERROR([@[Day Var (MT)]]/[@[Day Expected (MT)]], 0)</f>
        <v/>
      </c>
      <c r="F67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7" s="4">
        <f>SUMIFS(tbl_Feedmill_Actuals[Actual_Used_MT], tbl_Feedmill_Actuals[Report_Date], "&gt;=" &amp; $B$4, tbl_Feedmill_Actuals[Report_Date], "&lt;=" &amp; $B$3, tbl_Feedmill_Actuals[Ingredient_Name], [@Ingredient_Name])</f>
        <v/>
      </c>
      <c r="H67" s="4">
        <f>[@[MTD Actual (MT)]]-[@[MTD Expected (MT)]]</f>
        <v/>
      </c>
      <c r="I67" s="8">
        <f>IFERROR([@[MTD Var (MT)]]/[@[MTD Expected (MT)]], 0)</f>
        <v/>
      </c>
    </row>
    <row r="68">
      <c r="A68" s="2" t="inlineStr">
        <is>
          <t>1102 TOP UP (0.60KG)</t>
        </is>
      </c>
      <c r="B68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8" s="4">
        <f>SUMIFS(tbl_Feedmill_Actuals[Actual_Used_MT], tbl_Feedmill_Actuals[Report_Date], $B$3, tbl_Feedmill_Actuals[Ingredient_Name], [@Ingredient_Name])</f>
        <v/>
      </c>
      <c r="D68" s="4">
        <f>[@[Day Actual (MT)]]-[@[Day Expected (MT)]]</f>
        <v/>
      </c>
      <c r="E68" s="8">
        <f>IFERROR([@[Day Var (MT)]]/[@[Day Expected (MT)]], 0)</f>
        <v/>
      </c>
      <c r="F68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8" s="4">
        <f>SUMIFS(tbl_Feedmill_Actuals[Actual_Used_MT], tbl_Feedmill_Actuals[Report_Date], "&gt;=" &amp; $B$4, tbl_Feedmill_Actuals[Report_Date], "&lt;=" &amp; $B$3, tbl_Feedmill_Actuals[Ingredient_Name], [@Ingredient_Name])</f>
        <v/>
      </c>
      <c r="H68" s="4">
        <f>[@[MTD Actual (MT)]]-[@[MTD Expected (MT)]]</f>
        <v/>
      </c>
      <c r="I68" s="8">
        <f>IFERROR([@[MTD Var (MT)]]/[@[MTD Expected (MT)]], 0)</f>
        <v/>
      </c>
    </row>
    <row r="69">
      <c r="A69" s="2" t="inlineStr">
        <is>
          <t>1103 TOP UP (2.00KG)</t>
        </is>
      </c>
      <c r="B69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69" s="4">
        <f>SUMIFS(tbl_Feedmill_Actuals[Actual_Used_MT], tbl_Feedmill_Actuals[Report_Date], $B$3, tbl_Feedmill_Actuals[Ingredient_Name], [@Ingredient_Name])</f>
        <v/>
      </c>
      <c r="D69" s="4">
        <f>[@[Day Actual (MT)]]-[@[Day Expected (MT)]]</f>
        <v/>
      </c>
      <c r="E69" s="8">
        <f>IFERROR([@[Day Var (MT)]]/[@[Day Expected (MT)]], 0)</f>
        <v/>
      </c>
      <c r="F69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69" s="4">
        <f>SUMIFS(tbl_Feedmill_Actuals[Actual_Used_MT], tbl_Feedmill_Actuals[Report_Date], "&gt;=" &amp; $B$4, tbl_Feedmill_Actuals[Report_Date], "&lt;=" &amp; $B$3, tbl_Feedmill_Actuals[Ingredient_Name], [@Ingredient_Name])</f>
        <v/>
      </c>
      <c r="H69" s="4">
        <f>[@[MTD Actual (MT)]]-[@[MTD Expected (MT)]]</f>
        <v/>
      </c>
      <c r="I69" s="8">
        <f>IFERROR([@[MTD Var (MT)]]/[@[MTD Expected (MT)]], 0)</f>
        <v/>
      </c>
    </row>
    <row r="70">
      <c r="A70" s="2" t="inlineStr">
        <is>
          <t>WOVEN BAG (1101) - BLUE 50KG</t>
        </is>
      </c>
      <c r="B70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0" s="4">
        <f>SUMIFS(tbl_Feedmill_Actuals[Actual_Used_MT], tbl_Feedmill_Actuals[Report_Date], $B$3, tbl_Feedmill_Actuals[Ingredient_Name], [@Ingredient_Name])</f>
        <v/>
      </c>
      <c r="D70" s="4">
        <f>[@[Day Actual (MT)]]-[@[Day Expected (MT)]]</f>
        <v/>
      </c>
      <c r="E70" s="8">
        <f>IFERROR([@[Day Var (MT)]]/[@[Day Expected (MT)]], 0)</f>
        <v/>
      </c>
      <c r="F70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0" s="4">
        <f>SUMIFS(tbl_Feedmill_Actuals[Actual_Used_MT], tbl_Feedmill_Actuals[Report_Date], "&gt;=" &amp; $B$4, tbl_Feedmill_Actuals[Report_Date], "&lt;=" &amp; $B$3, tbl_Feedmill_Actuals[Ingredient_Name], [@Ingredient_Name])</f>
        <v/>
      </c>
      <c r="H70" s="4">
        <f>[@[MTD Actual (MT)]]-[@[MTD Expected (MT)]]</f>
        <v/>
      </c>
      <c r="I70" s="8">
        <f>IFERROR([@[MTD Var (MT)]]/[@[MTD Expected (MT)]], 0)</f>
        <v/>
      </c>
    </row>
    <row r="71">
      <c r="A71" s="2" t="inlineStr">
        <is>
          <t>WOVEN BAG (1102) - GREEN 50KG</t>
        </is>
      </c>
      <c r="B71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1" s="4">
        <f>SUMIFS(tbl_Feedmill_Actuals[Actual_Used_MT], tbl_Feedmill_Actuals[Report_Date], $B$3, tbl_Feedmill_Actuals[Ingredient_Name], [@Ingredient_Name])</f>
        <v/>
      </c>
      <c r="D71" s="4">
        <f>[@[Day Actual (MT)]]-[@[Day Expected (MT)]]</f>
        <v/>
      </c>
      <c r="E71" s="8">
        <f>IFERROR([@[Day Var (MT)]]/[@[Day Expected (MT)]], 0)</f>
        <v/>
      </c>
      <c r="F71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1" s="4">
        <f>SUMIFS(tbl_Feedmill_Actuals[Actual_Used_MT], tbl_Feedmill_Actuals[Report_Date], "&gt;=" &amp; $B$4, tbl_Feedmill_Actuals[Report_Date], "&lt;=" &amp; $B$3, tbl_Feedmill_Actuals[Ingredient_Name], [@Ingredient_Name])</f>
        <v/>
      </c>
      <c r="H71" s="4">
        <f>[@[MTD Actual (MT)]]-[@[MTD Expected (MT)]]</f>
        <v/>
      </c>
      <c r="I71" s="8">
        <f>IFERROR([@[MTD Var (MT)]]/[@[MTD Expected (MT)]], 0)</f>
        <v/>
      </c>
    </row>
    <row r="72">
      <c r="A72" s="2" t="inlineStr">
        <is>
          <t>WOVEN BAG (1103) - RED 50KG</t>
        </is>
      </c>
      <c r="B72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2" s="4">
        <f>SUMIFS(tbl_Feedmill_Actuals[Actual_Used_MT], tbl_Feedmill_Actuals[Report_Date], $B$3, tbl_Feedmill_Actuals[Ingredient_Name], [@Ingredient_Name])</f>
        <v/>
      </c>
      <c r="D72" s="4">
        <f>[@[Day Actual (MT)]]-[@[Day Expected (MT)]]</f>
        <v/>
      </c>
      <c r="E72" s="8">
        <f>IFERROR([@[Day Var (MT)]]/[@[Day Expected (MT)]], 0)</f>
        <v/>
      </c>
      <c r="F72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2" s="4">
        <f>SUMIFS(tbl_Feedmill_Actuals[Actual_Used_MT], tbl_Feedmill_Actuals[Report_Date], "&gt;=" &amp; $B$4, tbl_Feedmill_Actuals[Report_Date], "&lt;=" &amp; $B$3, tbl_Feedmill_Actuals[Ingredient_Name], [@Ingredient_Name])</f>
        <v/>
      </c>
      <c r="H72" s="4">
        <f>[@[MTD Actual (MT)]]-[@[MTD Expected (MT)]]</f>
        <v/>
      </c>
      <c r="I72" s="8">
        <f>IFERROR([@[MTD Var (MT)]]/[@[MTD Expected (MT)]], 0)</f>
        <v/>
      </c>
    </row>
    <row r="73">
      <c r="A73" s="2" t="inlineStr">
        <is>
          <t>WOVEN BAG (8101) - KHAKI 50KG</t>
        </is>
      </c>
      <c r="B73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3" s="4">
        <f>SUMIFS(tbl_Feedmill_Actuals[Actual_Used_MT], tbl_Feedmill_Actuals[Report_Date], $B$3, tbl_Feedmill_Actuals[Ingredient_Name], [@Ingredient_Name])</f>
        <v/>
      </c>
      <c r="D73" s="4">
        <f>[@[Day Actual (MT)]]-[@[Day Expected (MT)]]</f>
        <v/>
      </c>
      <c r="E73" s="8">
        <f>IFERROR([@[Day Var (MT)]]/[@[Day Expected (MT)]], 0)</f>
        <v/>
      </c>
      <c r="F73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3" s="4">
        <f>SUMIFS(tbl_Feedmill_Actuals[Actual_Used_MT], tbl_Feedmill_Actuals[Report_Date], "&gt;=" &amp; $B$4, tbl_Feedmill_Actuals[Report_Date], "&lt;=" &amp; $B$3, tbl_Feedmill_Actuals[Ingredient_Name], [@Ingredient_Name])</f>
        <v/>
      </c>
      <c r="H73" s="4">
        <f>[@[MTD Actual (MT)]]-[@[MTD Expected (MT)]]</f>
        <v/>
      </c>
      <c r="I73" s="8">
        <f>IFERROR([@[MTD Var (MT)]]/[@[MTD Expected (MT)]], 0)</f>
        <v/>
      </c>
    </row>
    <row r="74">
      <c r="A74" s="2" t="inlineStr">
        <is>
          <t>WOVEN BAG (8102) - SKY BLUE 50KG</t>
        </is>
      </c>
      <c r="B74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4" s="4">
        <f>SUMIFS(tbl_Feedmill_Actuals[Actual_Used_MT], tbl_Feedmill_Actuals[Report_Date], $B$3, tbl_Feedmill_Actuals[Ingredient_Name], [@Ingredient_Name])</f>
        <v/>
      </c>
      <c r="D74" s="4">
        <f>[@[Day Actual (MT)]]-[@[Day Expected (MT)]]</f>
        <v/>
      </c>
      <c r="E74" s="8">
        <f>IFERROR([@[Day Var (MT)]]/[@[Day Expected (MT)]], 0)</f>
        <v/>
      </c>
      <c r="F74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4" s="4">
        <f>SUMIFS(tbl_Feedmill_Actuals[Actual_Used_MT], tbl_Feedmill_Actuals[Report_Date], "&gt;=" &amp; $B$4, tbl_Feedmill_Actuals[Report_Date], "&lt;=" &amp; $B$3, tbl_Feedmill_Actuals[Ingredient_Name], [@Ingredient_Name])</f>
        <v/>
      </c>
      <c r="H74" s="4">
        <f>[@[MTD Actual (MT)]]-[@[MTD Expected (MT)]]</f>
        <v/>
      </c>
      <c r="I74" s="8">
        <f>IFERROR([@[MTD Var (MT)]]/[@[MTD Expected (MT)]], 0)</f>
        <v/>
      </c>
    </row>
    <row r="75">
      <c r="A75" s="2" t="inlineStr">
        <is>
          <t>WOVEN BAG (8103) - BROWN 50KG</t>
        </is>
      </c>
      <c r="B75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5" s="4">
        <f>SUMIFS(tbl_Feedmill_Actuals[Actual_Used_MT], tbl_Feedmill_Actuals[Report_Date], $B$3, tbl_Feedmill_Actuals[Ingredient_Name], [@Ingredient_Name])</f>
        <v/>
      </c>
      <c r="D75" s="4">
        <f>[@[Day Actual (MT)]]-[@[Day Expected (MT)]]</f>
        <v/>
      </c>
      <c r="E75" s="8">
        <f>IFERROR([@[Day Var (MT)]]/[@[Day Expected (MT)]], 0)</f>
        <v/>
      </c>
      <c r="F75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5" s="4">
        <f>SUMIFS(tbl_Feedmill_Actuals[Actual_Used_MT], tbl_Feedmill_Actuals[Report_Date], "&gt;=" &amp; $B$4, tbl_Feedmill_Actuals[Report_Date], "&lt;=" &amp; $B$3, tbl_Feedmill_Actuals[Ingredient_Name], [@Ingredient_Name])</f>
        <v/>
      </c>
      <c r="H75" s="4">
        <f>[@[MTD Actual (MT)]]-[@[MTD Expected (MT)]]</f>
        <v/>
      </c>
      <c r="I75" s="8">
        <f>IFERROR([@[MTD Var (MT)]]/[@[MTD Expected (MT)]], 0)</f>
        <v/>
      </c>
    </row>
    <row r="76">
      <c r="A76" s="2" t="inlineStr">
        <is>
          <t>PREMIX &amp; ADDITIVES</t>
        </is>
      </c>
      <c r="B76" s="4">
        <f>SUM(FILTER(tbl_Orders[Ordered_MT], tbl_Orders[Order_Date] = $B$3, 0) * XLOOKUP(FILTER(tbl_Orders[Formula_Key], tbl_Orders[Order_Date] = $B$3, "") &amp; "|" &amp; [@Ingredient_Name], tbl_Formulations[Helper_Key], tbl_Formulations[Inclusion_kg_per_MT], 0) / 1000)</f>
        <v/>
      </c>
      <c r="C76" s="4">
        <f>SUMIFS(tbl_Feedmill_Actuals[Actual_Used_MT], tbl_Feedmill_Actuals[Report_Date], $B$3, tbl_Feedmill_Actuals[Ingredient_Name], [@Ingredient_Name])</f>
        <v/>
      </c>
      <c r="D76" s="4">
        <f>[@[Day Actual (MT)]]-[@[Day Expected (MT)]]</f>
        <v/>
      </c>
      <c r="E76" s="8">
        <f>IFERROR([@[Day Var (MT)]]/[@[Day Expected (MT)]], 0)</f>
        <v/>
      </c>
      <c r="F76" s="4">
        <f>LET(in_range, (tbl_Orders[Order_Date] &gt;= $B$4) * (tbl_Orders[Order_Date] &lt;= $B$3), filtered_mt, FILTER(tbl_Orders[Ordered_MT], in_range, 0), filtered_keys, FILTER(tbl_Orders[Formula_Key], in_range, ""), SUM(filtered_mt * XLOOKUP(filtered_keys &amp; "|" &amp; [@Ingredient_Name], tbl_Formulations[Helper_Key], tbl_Formulations[Inclusion_kg_per_MT], 0) / 1000))</f>
        <v/>
      </c>
      <c r="G76" s="4">
        <f>SUMIFS(tbl_Feedmill_Actuals[Actual_Used_MT], tbl_Feedmill_Actuals[Report_Date], "&gt;=" &amp; $B$4, tbl_Feedmill_Actuals[Report_Date], "&lt;=" &amp; $B$3, tbl_Feedmill_Actuals[Ingredient_Name], [@Ingredient_Name])</f>
        <v/>
      </c>
      <c r="H76" s="4">
        <f>[@[MTD Actual (MT)]]-[@[MTD Expected (MT)]]</f>
        <v/>
      </c>
      <c r="I76" s="8">
        <f>IFERROR([@[MTD Var (MT)]]/[@[MTD Expected (MT)]],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0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21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9" t="inlineStr">
        <is>
          <t>FORMULA</t>
        </is>
      </c>
    </row>
    <row r="2">
      <c r="A2" s="9" t="inlineStr">
        <is>
          <t>1101 C (STARTER)</t>
        </is>
      </c>
      <c r="B2" s="9" t="n">
        <v>1</v>
      </c>
      <c r="D2" s="9" t="n">
        <v>2</v>
      </c>
      <c r="F2" s="9" t="n">
        <v>3</v>
      </c>
      <c r="H2" s="9" t="n">
        <v>4</v>
      </c>
      <c r="J2" s="9" t="n">
        <v>5</v>
      </c>
      <c r="L2" s="9" t="n">
        <v>6</v>
      </c>
      <c r="N2" s="9" t="n">
        <v>7</v>
      </c>
      <c r="P2" s="9" t="n">
        <v>8</v>
      </c>
      <c r="R2" s="9" t="n">
        <v>9</v>
      </c>
      <c r="T2" s="9" t="n">
        <v>10</v>
      </c>
      <c r="V2" s="9" t="n">
        <v>11</v>
      </c>
      <c r="X2" s="9" t="n">
        <v>12</v>
      </c>
      <c r="Z2" s="9" t="n">
        <v>13</v>
      </c>
      <c r="AB2" s="9" t="n">
        <v>14</v>
      </c>
      <c r="AD2" s="9" t="n">
        <v>15</v>
      </c>
    </row>
    <row r="3">
      <c r="B3" s="9" t="inlineStr">
        <is>
          <t>WS 1101 (251124)</t>
        </is>
      </c>
      <c r="D3" s="9" t="inlineStr">
        <is>
          <t>WS 1101 (220526)</t>
        </is>
      </c>
    </row>
    <row r="4">
      <c r="B4" s="9" t="inlineStr">
        <is>
          <t>N01309AY</t>
        </is>
      </c>
    </row>
    <row r="5">
      <c r="B5" s="9" t="inlineStr">
        <is>
          <t>%</t>
        </is>
      </c>
      <c r="C5" s="9" t="inlineStr">
        <is>
          <t>BATCH</t>
        </is>
      </c>
      <c r="D5" s="9" t="inlineStr">
        <is>
          <t>%</t>
        </is>
      </c>
      <c r="E5" s="9" t="inlineStr">
        <is>
          <t>BATCH</t>
        </is>
      </c>
      <c r="F5" s="9" t="inlineStr">
        <is>
          <t>%</t>
        </is>
      </c>
      <c r="G5" s="9" t="inlineStr">
        <is>
          <t>BATCH</t>
        </is>
      </c>
      <c r="H5" s="9" t="inlineStr">
        <is>
          <t>%</t>
        </is>
      </c>
      <c r="I5" s="9" t="inlineStr">
        <is>
          <t>BATCH</t>
        </is>
      </c>
      <c r="J5" s="9" t="inlineStr">
        <is>
          <t>%</t>
        </is>
      </c>
      <c r="K5" s="9" t="inlineStr">
        <is>
          <t>BATCH</t>
        </is>
      </c>
      <c r="L5" s="9" t="inlineStr">
        <is>
          <t>%</t>
        </is>
      </c>
      <c r="M5" s="9" t="inlineStr">
        <is>
          <t>BATCH</t>
        </is>
      </c>
      <c r="N5" s="9" t="inlineStr">
        <is>
          <t>%</t>
        </is>
      </c>
      <c r="O5" s="9" t="inlineStr">
        <is>
          <t>BATCH</t>
        </is>
      </c>
      <c r="P5" s="9" t="inlineStr">
        <is>
          <t>%</t>
        </is>
      </c>
      <c r="Q5" s="9" t="inlineStr">
        <is>
          <t>BATCH</t>
        </is>
      </c>
      <c r="R5" s="9" t="inlineStr">
        <is>
          <t>%</t>
        </is>
      </c>
      <c r="S5" s="9" t="inlineStr">
        <is>
          <t>BATCH</t>
        </is>
      </c>
      <c r="T5" s="9" t="inlineStr">
        <is>
          <t>%</t>
        </is>
      </c>
      <c r="U5" s="9" t="inlineStr">
        <is>
          <t>BATCH</t>
        </is>
      </c>
      <c r="V5" s="9" t="inlineStr">
        <is>
          <t>%</t>
        </is>
      </c>
      <c r="W5" s="9" t="inlineStr">
        <is>
          <t>BATCH</t>
        </is>
      </c>
      <c r="X5" s="9" t="inlineStr">
        <is>
          <t>%</t>
        </is>
      </c>
      <c r="Y5" s="9" t="inlineStr">
        <is>
          <t>BATCH</t>
        </is>
      </c>
      <c r="Z5" s="9" t="inlineStr">
        <is>
          <t>%</t>
        </is>
      </c>
      <c r="AA5" s="9" t="inlineStr">
        <is>
          <t>BATCH</t>
        </is>
      </c>
      <c r="AB5" s="9" t="inlineStr">
        <is>
          <t>%</t>
        </is>
      </c>
      <c r="AC5" s="9" t="inlineStr">
        <is>
          <t>BATCH</t>
        </is>
      </c>
      <c r="AD5" s="9" t="inlineStr">
        <is>
          <t>%</t>
        </is>
      </c>
      <c r="AE5" s="9" t="inlineStr">
        <is>
          <t>BATCH</t>
        </is>
      </c>
    </row>
    <row r="6">
      <c r="A6" s="9" t="inlineStr">
        <is>
          <t>MAIZE/CORN</t>
        </is>
      </c>
      <c r="B6" s="9" t="n">
        <v>53.51000000000001</v>
      </c>
      <c r="C6" s="9" t="n">
        <v>535.1</v>
      </c>
      <c r="D6" s="9" t="n">
        <v>56.84</v>
      </c>
      <c r="E6" s="9" t="n">
        <v>568.4</v>
      </c>
      <c r="G6" s="9" t="n">
        <v>0</v>
      </c>
      <c r="I6" s="9" t="n">
        <v>0</v>
      </c>
      <c r="K6" s="9" t="n">
        <v>0</v>
      </c>
      <c r="M6" s="9" t="n">
        <v>0</v>
      </c>
      <c r="O6" s="9" t="n">
        <v>0</v>
      </c>
      <c r="Q6" s="9" t="n">
        <v>0</v>
      </c>
      <c r="S6" s="9" t="n">
        <v>0</v>
      </c>
      <c r="U6" s="9" t="n">
        <v>0</v>
      </c>
      <c r="W6" s="9" t="n">
        <v>0</v>
      </c>
      <c r="Y6" s="9" t="n">
        <v>0</v>
      </c>
      <c r="AA6" s="9" t="n">
        <v>0</v>
      </c>
      <c r="AC6" s="9" t="n">
        <v>0</v>
      </c>
      <c r="AE6" s="9" t="n">
        <v>0</v>
      </c>
    </row>
    <row r="7">
      <c r="A7" s="9" t="inlineStr">
        <is>
          <t>SOYBEAN MEAL (ARG)</t>
        </is>
      </c>
      <c r="B7" s="9" t="n">
        <v>32.625</v>
      </c>
      <c r="C7" s="9" t="n">
        <v>326.25</v>
      </c>
      <c r="D7" s="9" t="n">
        <v>32.78</v>
      </c>
      <c r="E7" s="9" t="n">
        <v>327.8</v>
      </c>
      <c r="G7" s="9" t="n">
        <v>0</v>
      </c>
      <c r="I7" s="9" t="n">
        <v>0</v>
      </c>
      <c r="K7" s="9" t="n">
        <v>0</v>
      </c>
      <c r="M7" s="9" t="n">
        <v>0</v>
      </c>
      <c r="O7" s="9" t="n">
        <v>0</v>
      </c>
      <c r="Q7" s="9" t="n">
        <v>0</v>
      </c>
      <c r="S7" s="9" t="n">
        <v>0</v>
      </c>
      <c r="U7" s="9" t="n">
        <v>0</v>
      </c>
      <c r="W7" s="9" t="n">
        <v>0</v>
      </c>
      <c r="Y7" s="9" t="n">
        <v>0</v>
      </c>
      <c r="AA7" s="9" t="n">
        <v>0</v>
      </c>
      <c r="AC7" s="9" t="n">
        <v>0</v>
      </c>
      <c r="AE7" s="9" t="n">
        <v>0</v>
      </c>
    </row>
    <row r="8">
      <c r="A8" s="9" t="inlineStr">
        <is>
          <t>SOYBEAN FULL FAT</t>
        </is>
      </c>
      <c r="B8" s="9" t="n">
        <v>2.5</v>
      </c>
      <c r="C8" s="9" t="n">
        <v>25</v>
      </c>
      <c r="D8" s="9" t="n">
        <v>2.5</v>
      </c>
      <c r="E8" s="9" t="n">
        <v>25</v>
      </c>
      <c r="G8" s="9" t="n">
        <v>0</v>
      </c>
      <c r="I8" s="9" t="n">
        <v>0</v>
      </c>
      <c r="K8" s="9" t="n">
        <v>0</v>
      </c>
      <c r="M8" s="9" t="n">
        <v>0</v>
      </c>
      <c r="O8" s="9" t="n">
        <v>0</v>
      </c>
      <c r="Q8" s="9" t="n">
        <v>0</v>
      </c>
      <c r="S8" s="9" t="n">
        <v>0</v>
      </c>
      <c r="U8" s="9" t="n">
        <v>0</v>
      </c>
      <c r="W8" s="9" t="n">
        <v>0</v>
      </c>
      <c r="Y8" s="9" t="n">
        <v>0</v>
      </c>
      <c r="AA8" s="9" t="n">
        <v>0</v>
      </c>
      <c r="AC8" s="9" t="n">
        <v>0</v>
      </c>
      <c r="AE8" s="9" t="n">
        <v>0</v>
      </c>
    </row>
    <row r="9">
      <c r="A9" s="9" t="inlineStr">
        <is>
          <t>WHEAT POLLARD</t>
        </is>
      </c>
      <c r="B9" s="9" t="n">
        <v>5</v>
      </c>
      <c r="C9" s="9" t="n">
        <v>50</v>
      </c>
      <c r="E9" s="9" t="n">
        <v>0</v>
      </c>
      <c r="G9" s="9" t="n">
        <v>0</v>
      </c>
      <c r="I9" s="9" t="n">
        <v>0</v>
      </c>
      <c r="K9" s="9" t="n">
        <v>0</v>
      </c>
      <c r="M9" s="9" t="n">
        <v>0</v>
      </c>
      <c r="O9" s="9" t="n">
        <v>0</v>
      </c>
      <c r="Q9" s="9" t="n">
        <v>0</v>
      </c>
      <c r="S9" s="9" t="n">
        <v>0</v>
      </c>
      <c r="U9" s="9" t="n">
        <v>0</v>
      </c>
      <c r="W9" s="9" t="n">
        <v>0</v>
      </c>
      <c r="Y9" s="9" t="n">
        <v>0</v>
      </c>
      <c r="AA9" s="9" t="n">
        <v>0</v>
      </c>
      <c r="AC9" s="9" t="n">
        <v>0</v>
      </c>
      <c r="AE9" s="9" t="n">
        <v>0</v>
      </c>
    </row>
    <row r="10">
      <c r="A10" s="9" t="inlineStr">
        <is>
          <t>WHEAT</t>
        </is>
      </c>
      <c r="C10" s="9" t="n">
        <v>0</v>
      </c>
      <c r="E10" s="9" t="n">
        <v>0</v>
      </c>
      <c r="G10" s="9" t="n">
        <v>0</v>
      </c>
      <c r="I10" s="9" t="n">
        <v>0</v>
      </c>
      <c r="K10" s="9" t="n">
        <v>0</v>
      </c>
      <c r="M10" s="9" t="n">
        <v>0</v>
      </c>
      <c r="O10" s="9" t="n">
        <v>0</v>
      </c>
      <c r="Q10" s="9" t="n">
        <v>0</v>
      </c>
      <c r="S10" s="9" t="n">
        <v>0</v>
      </c>
      <c r="U10" s="9" t="n">
        <v>0</v>
      </c>
      <c r="W10" s="9" t="n">
        <v>0</v>
      </c>
      <c r="Y10" s="9" t="n">
        <v>0</v>
      </c>
      <c r="AA10" s="9" t="n">
        <v>0</v>
      </c>
      <c r="AC10" s="9" t="n">
        <v>0</v>
      </c>
      <c r="AE10" s="9" t="n">
        <v>0</v>
      </c>
    </row>
    <row r="11">
      <c r="A11" s="9" t="inlineStr">
        <is>
          <t>MEAT AND BONE MEAL</t>
        </is>
      </c>
      <c r="B11" s="9" t="n">
        <v>2</v>
      </c>
      <c r="C11" s="9" t="n">
        <v>20</v>
      </c>
      <c r="D11" s="9" t="n">
        <v>2.02</v>
      </c>
      <c r="E11" s="9" t="n">
        <v>20.2</v>
      </c>
      <c r="G11" s="9" t="n">
        <v>0</v>
      </c>
      <c r="I11" s="9" t="n">
        <v>0</v>
      </c>
      <c r="K11" s="9" t="n">
        <v>0</v>
      </c>
      <c r="M11" s="9" t="n">
        <v>0</v>
      </c>
      <c r="O11" s="9" t="n">
        <v>0</v>
      </c>
      <c r="Q11" s="9" t="n">
        <v>0</v>
      </c>
      <c r="S11" s="9" t="n">
        <v>0</v>
      </c>
      <c r="U11" s="9" t="n">
        <v>0</v>
      </c>
      <c r="W11" s="9" t="n">
        <v>0</v>
      </c>
      <c r="Y11" s="9" t="n">
        <v>0</v>
      </c>
      <c r="AA11" s="9" t="n">
        <v>0</v>
      </c>
      <c r="AC11" s="9" t="n">
        <v>0</v>
      </c>
      <c r="AE11" s="9" t="n">
        <v>0</v>
      </c>
    </row>
    <row r="12">
      <c r="A12" s="9" t="inlineStr">
        <is>
          <t>CORN GLUTEN MEAL</t>
        </is>
      </c>
      <c r="C12" s="9" t="n">
        <v>0</v>
      </c>
      <c r="E12" s="9" t="n">
        <v>0</v>
      </c>
      <c r="G12" s="9" t="n">
        <v>0</v>
      </c>
      <c r="I12" s="9" t="n">
        <v>0</v>
      </c>
      <c r="K12" s="9" t="n">
        <v>0</v>
      </c>
      <c r="M12" s="9" t="n">
        <v>0</v>
      </c>
      <c r="O12" s="9" t="n">
        <v>0</v>
      </c>
      <c r="Q12" s="9" t="n">
        <v>0</v>
      </c>
      <c r="S12" s="9" t="n">
        <v>0</v>
      </c>
      <c r="U12" s="9" t="n">
        <v>0</v>
      </c>
      <c r="W12" s="9" t="n">
        <v>0</v>
      </c>
      <c r="Y12" s="9" t="n">
        <v>0</v>
      </c>
      <c r="AA12" s="9" t="n">
        <v>0</v>
      </c>
      <c r="AC12" s="9" t="n">
        <v>0</v>
      </c>
      <c r="AE12" s="9" t="n">
        <v>0</v>
      </c>
    </row>
    <row r="13">
      <c r="A13" s="9" t="inlineStr">
        <is>
          <t>MEGAFAT (HARUMI)</t>
        </is>
      </c>
      <c r="B13" s="9" t="n">
        <v>2</v>
      </c>
      <c r="C13" s="9" t="n">
        <v>20</v>
      </c>
      <c r="D13" s="9" t="n">
        <v>1.15</v>
      </c>
      <c r="E13" s="9" t="n">
        <v>11.5</v>
      </c>
      <c r="G13" s="9" t="n">
        <v>0</v>
      </c>
      <c r="I13" s="9" t="n">
        <v>0</v>
      </c>
      <c r="K13" s="9" t="n">
        <v>0</v>
      </c>
      <c r="M13" s="9" t="n">
        <v>0</v>
      </c>
      <c r="O13" s="9" t="n">
        <v>0</v>
      </c>
      <c r="Q13" s="9" t="n">
        <v>0</v>
      </c>
      <c r="S13" s="9" t="n">
        <v>0</v>
      </c>
      <c r="U13" s="9" t="n">
        <v>0</v>
      </c>
      <c r="W13" s="9" t="n">
        <v>0</v>
      </c>
      <c r="Y13" s="9" t="n">
        <v>0</v>
      </c>
      <c r="AA13" s="9" t="n">
        <v>0</v>
      </c>
      <c r="AC13" s="9" t="n">
        <v>0</v>
      </c>
      <c r="AE13" s="9" t="n">
        <v>0</v>
      </c>
    </row>
    <row r="14">
      <c r="A14" s="9" t="inlineStr">
        <is>
          <t>DCP 18%</t>
        </is>
      </c>
      <c r="B14" s="9" t="n">
        <v>0.225</v>
      </c>
      <c r="C14" s="9" t="n">
        <v>2.25</v>
      </c>
      <c r="E14" s="9" t="n">
        <v>0</v>
      </c>
      <c r="G14" s="9" t="n">
        <v>0</v>
      </c>
      <c r="I14" s="9" t="n">
        <v>0</v>
      </c>
      <c r="K14" s="9" t="n">
        <v>0</v>
      </c>
      <c r="M14" s="9" t="n">
        <v>0</v>
      </c>
      <c r="O14" s="9" t="n">
        <v>0</v>
      </c>
      <c r="Q14" s="9" t="n">
        <v>0</v>
      </c>
      <c r="S14" s="9" t="n">
        <v>0</v>
      </c>
      <c r="U14" s="9" t="n">
        <v>0</v>
      </c>
      <c r="W14" s="9" t="n">
        <v>0</v>
      </c>
      <c r="Y14" s="9" t="n">
        <v>0</v>
      </c>
      <c r="AA14" s="9" t="n">
        <v>0</v>
      </c>
      <c r="AC14" s="9" t="n">
        <v>0</v>
      </c>
      <c r="AE14" s="9" t="n">
        <v>0</v>
      </c>
    </row>
    <row r="15">
      <c r="A15" s="9" t="inlineStr">
        <is>
          <t>LIMESTONE POWDER (HARUMI)</t>
        </is>
      </c>
      <c r="B15" s="9" t="n">
        <v>0.09</v>
      </c>
      <c r="C15" s="9" t="n">
        <v>0.9</v>
      </c>
      <c r="E15" s="9" t="n">
        <v>0</v>
      </c>
      <c r="G15" s="9" t="n">
        <v>0</v>
      </c>
      <c r="I15" s="9" t="n">
        <v>0</v>
      </c>
      <c r="K15" s="9" t="n">
        <v>0</v>
      </c>
      <c r="M15" s="9" t="n">
        <v>0</v>
      </c>
      <c r="O15" s="9" t="n">
        <v>0</v>
      </c>
      <c r="Q15" s="9" t="n">
        <v>0</v>
      </c>
      <c r="S15" s="9" t="n">
        <v>0</v>
      </c>
      <c r="U15" s="9" t="n">
        <v>0</v>
      </c>
      <c r="W15" s="9" t="n">
        <v>0</v>
      </c>
      <c r="Y15" s="9" t="n">
        <v>0</v>
      </c>
      <c r="AA15" s="9" t="n">
        <v>0</v>
      </c>
      <c r="AC15" s="9" t="n">
        <v>0</v>
      </c>
      <c r="AE15" s="9" t="n">
        <v>0</v>
      </c>
    </row>
    <row r="16">
      <c r="A16" s="9" t="inlineStr">
        <is>
          <t>CHOLINE CHLORIDE 60%</t>
        </is>
      </c>
      <c r="C16" s="9" t="n">
        <v>0</v>
      </c>
      <c r="E16" s="9" t="n">
        <v>0</v>
      </c>
      <c r="G16" s="9" t="n">
        <v>0</v>
      </c>
      <c r="I16" s="9" t="n">
        <v>0</v>
      </c>
      <c r="K16" s="9" t="n">
        <v>0</v>
      </c>
      <c r="M16" s="9" t="n">
        <v>0</v>
      </c>
      <c r="O16" s="9" t="n">
        <v>0</v>
      </c>
      <c r="Q16" s="9" t="n">
        <v>0</v>
      </c>
      <c r="S16" s="9" t="n">
        <v>0</v>
      </c>
      <c r="U16" s="9" t="n">
        <v>0</v>
      </c>
      <c r="W16" s="9" t="n">
        <v>0</v>
      </c>
      <c r="Y16" s="9" t="n">
        <v>0</v>
      </c>
      <c r="AA16" s="9" t="n">
        <v>0</v>
      </c>
      <c r="AC16" s="9" t="n">
        <v>0</v>
      </c>
      <c r="AE16" s="9" t="n">
        <v>0</v>
      </c>
    </row>
    <row r="17">
      <c r="A17" s="9" t="inlineStr">
        <is>
          <t>INDUSTRY FLOUR</t>
        </is>
      </c>
      <c r="C17" s="9" t="n">
        <v>0</v>
      </c>
      <c r="E17" s="9" t="n">
        <v>0</v>
      </c>
      <c r="G17" s="9" t="n">
        <v>0</v>
      </c>
      <c r="I17" s="9" t="n">
        <v>0</v>
      </c>
      <c r="K17" s="9" t="n">
        <v>0</v>
      </c>
      <c r="M17" s="9" t="n">
        <v>0</v>
      </c>
      <c r="O17" s="9" t="n">
        <v>0</v>
      </c>
      <c r="Q17" s="9" t="n">
        <v>0</v>
      </c>
      <c r="S17" s="9" t="n">
        <v>0</v>
      </c>
      <c r="U17" s="9" t="n">
        <v>0</v>
      </c>
      <c r="W17" s="9" t="n">
        <v>0</v>
      </c>
      <c r="Y17" s="9" t="n">
        <v>0</v>
      </c>
      <c r="AA17" s="9" t="n">
        <v>0</v>
      </c>
      <c r="AC17" s="9" t="n">
        <v>0</v>
      </c>
      <c r="AE17" s="9" t="n">
        <v>0</v>
      </c>
    </row>
    <row r="18">
      <c r="A18" s="9" t="inlineStr">
        <is>
          <t>RICE BRAN</t>
        </is>
      </c>
      <c r="C18" s="9" t="n">
        <v>0</v>
      </c>
      <c r="D18" s="9" t="n">
        <v>2.5</v>
      </c>
      <c r="E18" s="9" t="n">
        <v>25</v>
      </c>
      <c r="G18" s="9" t="n">
        <v>0</v>
      </c>
      <c r="I18" s="9" t="n">
        <v>0</v>
      </c>
      <c r="K18" s="9" t="n">
        <v>0</v>
      </c>
      <c r="M18" s="9" t="n">
        <v>0</v>
      </c>
      <c r="O18" s="9" t="n">
        <v>0</v>
      </c>
      <c r="Q18" s="9" t="n">
        <v>0</v>
      </c>
      <c r="S18" s="9" t="n">
        <v>0</v>
      </c>
      <c r="U18" s="9" t="n">
        <v>0</v>
      </c>
      <c r="W18" s="9" t="n">
        <v>0</v>
      </c>
      <c r="Y18" s="9" t="n">
        <v>0</v>
      </c>
      <c r="AA18" s="9" t="n">
        <v>0</v>
      </c>
      <c r="AC18" s="9" t="n">
        <v>0</v>
      </c>
      <c r="AE18" s="9" t="n">
        <v>0</v>
      </c>
    </row>
    <row r="19">
      <c r="A19" s="9" t="inlineStr">
        <is>
          <t>EP 200</t>
        </is>
      </c>
      <c r="C19" s="9" t="n">
        <v>0</v>
      </c>
      <c r="E19" s="9" t="n">
        <v>0</v>
      </c>
      <c r="G19" s="9" t="n">
        <v>0</v>
      </c>
      <c r="I19" s="9" t="n">
        <v>0</v>
      </c>
      <c r="K19" s="9" t="n">
        <v>0</v>
      </c>
      <c r="M19" s="9" t="n">
        <v>0</v>
      </c>
      <c r="O19" s="9" t="n">
        <v>0</v>
      </c>
      <c r="Q19" s="9" t="n">
        <v>0</v>
      </c>
      <c r="S19" s="9" t="n">
        <v>0</v>
      </c>
      <c r="U19" s="9" t="n">
        <v>0</v>
      </c>
      <c r="W19" s="9" t="n">
        <v>0</v>
      </c>
      <c r="Y19" s="9" t="n">
        <v>0</v>
      </c>
      <c r="AA19" s="9" t="n">
        <v>0</v>
      </c>
      <c r="AC19" s="9" t="n">
        <v>0</v>
      </c>
      <c r="AE19" s="9" t="n">
        <v>0</v>
      </c>
    </row>
    <row r="20">
      <c r="A20" s="9" t="inlineStr">
        <is>
          <t>SOYTIDE</t>
        </is>
      </c>
      <c r="C20" s="9" t="n">
        <v>0</v>
      </c>
      <c r="E20" s="9" t="n">
        <v>0</v>
      </c>
      <c r="G20" s="9" t="n">
        <v>0</v>
      </c>
      <c r="I20" s="9" t="n">
        <v>0</v>
      </c>
      <c r="K20" s="9" t="n">
        <v>0</v>
      </c>
      <c r="M20" s="9" t="n">
        <v>0</v>
      </c>
      <c r="O20" s="9" t="n">
        <v>0</v>
      </c>
      <c r="Q20" s="9" t="n">
        <v>0</v>
      </c>
      <c r="S20" s="9" t="n">
        <v>0</v>
      </c>
      <c r="U20" s="9" t="n">
        <v>0</v>
      </c>
      <c r="W20" s="9" t="n">
        <v>0</v>
      </c>
      <c r="Y20" s="9" t="n">
        <v>0</v>
      </c>
      <c r="AA20" s="9" t="n">
        <v>0</v>
      </c>
      <c r="AC20" s="9" t="n">
        <v>0</v>
      </c>
      <c r="AE20" s="9" t="n">
        <v>0</v>
      </c>
    </row>
    <row r="21">
      <c r="A21" s="9" t="inlineStr">
        <is>
          <t>DCP 18% (HARUMI)</t>
        </is>
      </c>
      <c r="C21" s="9" t="n">
        <v>0</v>
      </c>
      <c r="E21" s="9" t="n">
        <v>0</v>
      </c>
      <c r="G21" s="9" t="n">
        <v>0</v>
      </c>
      <c r="I21" s="9" t="n">
        <v>0</v>
      </c>
      <c r="K21" s="9" t="n">
        <v>0</v>
      </c>
      <c r="M21" s="9" t="n">
        <v>0</v>
      </c>
      <c r="O21" s="9" t="n">
        <v>0</v>
      </c>
      <c r="Q21" s="9" t="n">
        <v>0</v>
      </c>
      <c r="S21" s="9" t="n">
        <v>0</v>
      </c>
      <c r="U21" s="9" t="n">
        <v>0</v>
      </c>
      <c r="W21" s="9" t="n">
        <v>0</v>
      </c>
      <c r="Y21" s="9" t="n">
        <v>0</v>
      </c>
      <c r="AA21" s="9" t="n">
        <v>0</v>
      </c>
      <c r="AC21" s="9" t="n">
        <v>0</v>
      </c>
      <c r="AE21" s="9" t="n">
        <v>0</v>
      </c>
    </row>
    <row r="22">
      <c r="A22" s="9" t="n">
        <v>1</v>
      </c>
      <c r="C22" s="9" t="n">
        <v>0</v>
      </c>
      <c r="E22" s="9" t="n">
        <v>0</v>
      </c>
      <c r="G22" s="9" t="n">
        <v>0</v>
      </c>
      <c r="I22" s="9" t="n">
        <v>0</v>
      </c>
      <c r="K22" s="9" t="n">
        <v>0</v>
      </c>
      <c r="M22" s="9" t="n">
        <v>0</v>
      </c>
      <c r="O22" s="9" t="n">
        <v>0</v>
      </c>
      <c r="Q22" s="9" t="n">
        <v>0</v>
      </c>
      <c r="S22" s="9" t="n">
        <v>0</v>
      </c>
      <c r="U22" s="9" t="n">
        <v>0</v>
      </c>
      <c r="W22" s="9" t="n">
        <v>0</v>
      </c>
      <c r="Y22" s="9" t="n">
        <v>0</v>
      </c>
      <c r="AA22" s="9" t="n">
        <v>0</v>
      </c>
      <c r="AC22" s="9" t="n">
        <v>0</v>
      </c>
      <c r="AE22" s="9" t="n">
        <v>0</v>
      </c>
    </row>
    <row r="23">
      <c r="A23" s="9" t="n">
        <v>2</v>
      </c>
      <c r="C23" s="9" t="n">
        <v>0</v>
      </c>
      <c r="E23" s="9" t="n">
        <v>0</v>
      </c>
      <c r="G23" s="9" t="n">
        <v>0</v>
      </c>
      <c r="I23" s="9" t="n">
        <v>0</v>
      </c>
      <c r="K23" s="9" t="n">
        <v>0</v>
      </c>
      <c r="M23" s="9" t="n">
        <v>0</v>
      </c>
      <c r="O23" s="9" t="n">
        <v>0</v>
      </c>
      <c r="Q23" s="9" t="n">
        <v>0</v>
      </c>
      <c r="S23" s="9" t="n">
        <v>0</v>
      </c>
      <c r="U23" s="9" t="n">
        <v>0</v>
      </c>
      <c r="W23" s="9" t="n">
        <v>0</v>
      </c>
      <c r="Y23" s="9" t="n">
        <v>0</v>
      </c>
      <c r="AA23" s="9" t="n">
        <v>0</v>
      </c>
      <c r="AC23" s="9" t="n">
        <v>0</v>
      </c>
      <c r="AE23" s="9" t="n">
        <v>0</v>
      </c>
    </row>
    <row r="24">
      <c r="A24" s="9" t="n">
        <v>3</v>
      </c>
      <c r="C24" s="9" t="n">
        <v>0</v>
      </c>
      <c r="E24" s="9" t="n">
        <v>0</v>
      </c>
      <c r="G24" s="9" t="n">
        <v>0</v>
      </c>
      <c r="I24" s="9" t="n">
        <v>0</v>
      </c>
      <c r="K24" s="9" t="n">
        <v>0</v>
      </c>
      <c r="M24" s="9" t="n">
        <v>0</v>
      </c>
      <c r="O24" s="9" t="n">
        <v>0</v>
      </c>
      <c r="Q24" s="9" t="n">
        <v>0</v>
      </c>
      <c r="S24" s="9" t="n">
        <v>0</v>
      </c>
      <c r="U24" s="9" t="n">
        <v>0</v>
      </c>
      <c r="W24" s="9" t="n">
        <v>0</v>
      </c>
      <c r="Y24" s="9" t="n">
        <v>0</v>
      </c>
      <c r="AA24" s="9" t="n">
        <v>0</v>
      </c>
      <c r="AC24" s="9" t="n">
        <v>0</v>
      </c>
      <c r="AE24" s="9" t="n">
        <v>0</v>
      </c>
    </row>
    <row r="25">
      <c r="A25" s="9" t="inlineStr">
        <is>
          <t>PREMIX 1101 (20KG)</t>
        </is>
      </c>
      <c r="B25" s="9" t="n">
        <v>2</v>
      </c>
      <c r="C25" s="9" t="n">
        <v>20</v>
      </c>
      <c r="E25" s="9" t="n">
        <v>0</v>
      </c>
      <c r="G25" s="9" t="n">
        <v>0</v>
      </c>
      <c r="I25" s="9" t="n">
        <v>0</v>
      </c>
      <c r="K25" s="9" t="n">
        <v>0</v>
      </c>
      <c r="M25" s="9" t="n">
        <v>0</v>
      </c>
      <c r="O25" s="9" t="n">
        <v>0</v>
      </c>
      <c r="Q25" s="9" t="n">
        <v>0</v>
      </c>
      <c r="S25" s="9" t="n">
        <v>0</v>
      </c>
      <c r="U25" s="9" t="n">
        <v>0</v>
      </c>
      <c r="W25" s="9" t="n">
        <v>0</v>
      </c>
      <c r="Y25" s="9" t="n">
        <v>0</v>
      </c>
      <c r="AA25" s="9" t="n">
        <v>0</v>
      </c>
      <c r="AC25" s="9" t="n">
        <v>0</v>
      </c>
      <c r="AE25" s="9" t="n">
        <v>0</v>
      </c>
    </row>
    <row r="26">
      <c r="A26" s="9" t="inlineStr">
        <is>
          <t>PREMIX 1102 (20KG)</t>
        </is>
      </c>
      <c r="C26" s="9" t="n">
        <v>0</v>
      </c>
      <c r="E26" s="9" t="n">
        <v>0</v>
      </c>
      <c r="G26" s="9" t="n">
        <v>0</v>
      </c>
      <c r="I26" s="9" t="n">
        <v>0</v>
      </c>
      <c r="K26" s="9" t="n">
        <v>0</v>
      </c>
      <c r="M26" s="9" t="n">
        <v>0</v>
      </c>
      <c r="O26" s="9" t="n">
        <v>0</v>
      </c>
      <c r="Q26" s="9" t="n">
        <v>0</v>
      </c>
      <c r="S26" s="9" t="n">
        <v>0</v>
      </c>
      <c r="U26" s="9" t="n">
        <v>0</v>
      </c>
      <c r="W26" s="9" t="n">
        <v>0</v>
      </c>
      <c r="Y26" s="9" t="n">
        <v>0</v>
      </c>
      <c r="AA26" s="9" t="n">
        <v>0</v>
      </c>
      <c r="AC26" s="9" t="n">
        <v>0</v>
      </c>
      <c r="AE26" s="9" t="n">
        <v>0</v>
      </c>
    </row>
    <row r="27">
      <c r="A27" s="9" t="inlineStr">
        <is>
          <t>PREMIX 1103 (20KG)</t>
        </is>
      </c>
      <c r="C27" s="9" t="n">
        <v>0</v>
      </c>
      <c r="E27" s="9" t="n">
        <v>0</v>
      </c>
      <c r="G27" s="9" t="n">
        <v>0</v>
      </c>
      <c r="I27" s="9" t="n">
        <v>0</v>
      </c>
      <c r="K27" s="9" t="n">
        <v>0</v>
      </c>
      <c r="M27" s="9" t="n">
        <v>0</v>
      </c>
      <c r="O27" s="9" t="n">
        <v>0</v>
      </c>
      <c r="Q27" s="9" t="n">
        <v>0</v>
      </c>
      <c r="S27" s="9" t="n">
        <v>0</v>
      </c>
      <c r="U27" s="9" t="n">
        <v>0</v>
      </c>
      <c r="W27" s="9" t="n">
        <v>0</v>
      </c>
      <c r="Y27" s="9" t="n">
        <v>0</v>
      </c>
      <c r="AA27" s="9" t="n">
        <v>0</v>
      </c>
      <c r="AC27" s="9" t="n">
        <v>0</v>
      </c>
      <c r="AE27" s="9" t="n">
        <v>0</v>
      </c>
    </row>
    <row r="28">
      <c r="A28" s="9" t="inlineStr">
        <is>
          <t>PREMIX 311 (20KG)</t>
        </is>
      </c>
      <c r="C28" s="9" t="n">
        <v>0</v>
      </c>
      <c r="E28" s="9" t="n">
        <v>0</v>
      </c>
      <c r="G28" s="9" t="n">
        <v>0</v>
      </c>
      <c r="I28" s="9" t="n">
        <v>0</v>
      </c>
      <c r="K28" s="9" t="n">
        <v>0</v>
      </c>
      <c r="M28" s="9" t="n">
        <v>0</v>
      </c>
      <c r="O28" s="9" t="n">
        <v>0</v>
      </c>
      <c r="Q28" s="9" t="n">
        <v>0</v>
      </c>
      <c r="S28" s="9" t="n">
        <v>0</v>
      </c>
      <c r="U28" s="9" t="n">
        <v>0</v>
      </c>
      <c r="W28" s="9" t="n">
        <v>0</v>
      </c>
      <c r="Y28" s="9" t="n">
        <v>0</v>
      </c>
      <c r="AA28" s="9" t="n">
        <v>0</v>
      </c>
      <c r="AC28" s="9" t="n">
        <v>0</v>
      </c>
      <c r="AE28" s="9" t="n">
        <v>0</v>
      </c>
    </row>
    <row r="29">
      <c r="A29" s="9" t="inlineStr">
        <is>
          <t>PREMIX 312 (20KG)</t>
        </is>
      </c>
      <c r="C29" s="9" t="n">
        <v>0</v>
      </c>
      <c r="E29" s="9" t="n">
        <v>0</v>
      </c>
      <c r="G29" s="9" t="n">
        <v>0</v>
      </c>
      <c r="I29" s="9" t="n">
        <v>0</v>
      </c>
      <c r="K29" s="9" t="n">
        <v>0</v>
      </c>
      <c r="M29" s="9" t="n">
        <v>0</v>
      </c>
      <c r="O29" s="9" t="n">
        <v>0</v>
      </c>
      <c r="Q29" s="9" t="n">
        <v>0</v>
      </c>
      <c r="S29" s="9" t="n">
        <v>0</v>
      </c>
      <c r="U29" s="9" t="n">
        <v>0</v>
      </c>
      <c r="W29" s="9" t="n">
        <v>0</v>
      </c>
      <c r="Y29" s="9" t="n">
        <v>0</v>
      </c>
      <c r="AA29" s="9" t="n">
        <v>0</v>
      </c>
      <c r="AC29" s="9" t="n">
        <v>0</v>
      </c>
      <c r="AE29" s="9" t="n">
        <v>0</v>
      </c>
    </row>
    <row r="30">
      <c r="A30" s="9" t="n">
        <v>1</v>
      </c>
      <c r="C30" s="9" t="n">
        <v>0</v>
      </c>
      <c r="E30" s="9" t="n">
        <v>0</v>
      </c>
      <c r="G30" s="9" t="n">
        <v>0</v>
      </c>
      <c r="I30" s="9" t="n">
        <v>0</v>
      </c>
      <c r="K30" s="9" t="n">
        <v>0</v>
      </c>
      <c r="M30" s="9" t="n">
        <v>0</v>
      </c>
      <c r="O30" s="9" t="n">
        <v>0</v>
      </c>
      <c r="Q30" s="9" t="n">
        <v>0</v>
      </c>
      <c r="S30" s="9" t="n">
        <v>0</v>
      </c>
      <c r="U30" s="9" t="n">
        <v>0</v>
      </c>
      <c r="W30" s="9" t="n">
        <v>0</v>
      </c>
      <c r="Y30" s="9" t="n">
        <v>0</v>
      </c>
      <c r="AA30" s="9" t="n">
        <v>0</v>
      </c>
      <c r="AC30" s="9" t="n">
        <v>0</v>
      </c>
      <c r="AE30" s="9" t="n">
        <v>0</v>
      </c>
    </row>
    <row r="31">
      <c r="A31" s="9" t="inlineStr">
        <is>
          <t>PREMIX 8100 (20KG)</t>
        </is>
      </c>
      <c r="C31" s="9" t="n">
        <v>0</v>
      </c>
      <c r="E31" s="9" t="n">
        <v>0</v>
      </c>
      <c r="G31" s="9" t="n">
        <v>0</v>
      </c>
      <c r="I31" s="9" t="n">
        <v>0</v>
      </c>
      <c r="K31" s="9" t="n">
        <v>0</v>
      </c>
      <c r="M31" s="9" t="n">
        <v>0</v>
      </c>
      <c r="O31" s="9" t="n">
        <v>0</v>
      </c>
      <c r="Q31" s="9" t="n">
        <v>0</v>
      </c>
      <c r="S31" s="9" t="n">
        <v>0</v>
      </c>
      <c r="U31" s="9" t="n">
        <v>0</v>
      </c>
      <c r="W31" s="9" t="n">
        <v>0</v>
      </c>
      <c r="Y31" s="9" t="n">
        <v>0</v>
      </c>
      <c r="AA31" s="9" t="n">
        <v>0</v>
      </c>
      <c r="AC31" s="9" t="n">
        <v>0</v>
      </c>
      <c r="AE31" s="9" t="n">
        <v>0</v>
      </c>
    </row>
    <row r="32">
      <c r="A32" s="9" t="inlineStr">
        <is>
          <t>PREMIX 8101 (20KG)</t>
        </is>
      </c>
      <c r="C32" s="9" t="n">
        <v>0</v>
      </c>
      <c r="E32" s="9" t="n">
        <v>0</v>
      </c>
      <c r="G32" s="9" t="n">
        <v>0</v>
      </c>
      <c r="I32" s="9" t="n">
        <v>0</v>
      </c>
      <c r="K32" s="9" t="n">
        <v>0</v>
      </c>
      <c r="M32" s="9" t="n">
        <v>0</v>
      </c>
      <c r="O32" s="9" t="n">
        <v>0</v>
      </c>
      <c r="Q32" s="9" t="n">
        <v>0</v>
      </c>
      <c r="S32" s="9" t="n">
        <v>0</v>
      </c>
      <c r="U32" s="9" t="n">
        <v>0</v>
      </c>
      <c r="W32" s="9" t="n">
        <v>0</v>
      </c>
      <c r="Y32" s="9" t="n">
        <v>0</v>
      </c>
      <c r="AA32" s="9" t="n">
        <v>0</v>
      </c>
      <c r="AC32" s="9" t="n">
        <v>0</v>
      </c>
      <c r="AE32" s="9" t="n">
        <v>0</v>
      </c>
    </row>
    <row r="33">
      <c r="A33" s="9" t="inlineStr">
        <is>
          <t>PREMIX 8102 (20KG)</t>
        </is>
      </c>
      <c r="C33" s="9" t="n">
        <v>0</v>
      </c>
      <c r="E33" s="9" t="n">
        <v>0</v>
      </c>
      <c r="G33" s="9" t="n">
        <v>0</v>
      </c>
      <c r="I33" s="9" t="n">
        <v>0</v>
      </c>
      <c r="K33" s="9" t="n">
        <v>0</v>
      </c>
      <c r="M33" s="9" t="n">
        <v>0</v>
      </c>
      <c r="O33" s="9" t="n">
        <v>0</v>
      </c>
      <c r="Q33" s="9" t="n">
        <v>0</v>
      </c>
      <c r="S33" s="9" t="n">
        <v>0</v>
      </c>
      <c r="U33" s="9" t="n">
        <v>0</v>
      </c>
      <c r="W33" s="9" t="n">
        <v>0</v>
      </c>
      <c r="Y33" s="9" t="n">
        <v>0</v>
      </c>
      <c r="AA33" s="9" t="n">
        <v>0</v>
      </c>
      <c r="AC33" s="9" t="n">
        <v>0</v>
      </c>
      <c r="AE33" s="9" t="n">
        <v>0</v>
      </c>
    </row>
    <row r="34">
      <c r="A34" s="9" t="inlineStr">
        <is>
          <t>PREMIX 8103 (20KG)</t>
        </is>
      </c>
      <c r="C34" s="9" t="n">
        <v>0</v>
      </c>
      <c r="E34" s="9" t="n">
        <v>0</v>
      </c>
      <c r="G34" s="9" t="n">
        <v>0</v>
      </c>
      <c r="I34" s="9" t="n">
        <v>0</v>
      </c>
      <c r="K34" s="9" t="n">
        <v>0</v>
      </c>
      <c r="M34" s="9" t="n">
        <v>0</v>
      </c>
      <c r="O34" s="9" t="n">
        <v>0</v>
      </c>
      <c r="Q34" s="9" t="n">
        <v>0</v>
      </c>
      <c r="S34" s="9" t="n">
        <v>0</v>
      </c>
      <c r="U34" s="9" t="n">
        <v>0</v>
      </c>
      <c r="W34" s="9" t="n">
        <v>0</v>
      </c>
      <c r="Y34" s="9" t="n">
        <v>0</v>
      </c>
      <c r="AA34" s="9" t="n">
        <v>0</v>
      </c>
      <c r="AC34" s="9" t="n">
        <v>0</v>
      </c>
      <c r="AE34" s="9" t="n">
        <v>0</v>
      </c>
    </row>
    <row r="35">
      <c r="A35" s="9" t="inlineStr">
        <is>
          <t>PREMIX 8108 (20KG)</t>
        </is>
      </c>
      <c r="C35" s="9" t="n">
        <v>0</v>
      </c>
      <c r="E35" s="9" t="n">
        <v>0</v>
      </c>
      <c r="G35" s="9" t="n">
        <v>0</v>
      </c>
      <c r="I35" s="9" t="n">
        <v>0</v>
      </c>
      <c r="K35" s="9" t="n">
        <v>0</v>
      </c>
      <c r="M35" s="9" t="n">
        <v>0</v>
      </c>
      <c r="O35" s="9" t="n">
        <v>0</v>
      </c>
      <c r="Q35" s="9" t="n">
        <v>0</v>
      </c>
      <c r="S35" s="9" t="n">
        <v>0</v>
      </c>
      <c r="U35" s="9" t="n">
        <v>0</v>
      </c>
      <c r="W35" s="9" t="n">
        <v>0</v>
      </c>
      <c r="Y35" s="9" t="n">
        <v>0</v>
      </c>
      <c r="AA35" s="9" t="n">
        <v>0</v>
      </c>
      <c r="AC35" s="9" t="n">
        <v>0</v>
      </c>
      <c r="AE35" s="9" t="n">
        <v>0</v>
      </c>
    </row>
    <row r="36">
      <c r="A36" s="9" t="inlineStr">
        <is>
          <t>PREMIX 8109 (20KG)</t>
        </is>
      </c>
      <c r="C36" s="9" t="n">
        <v>0</v>
      </c>
      <c r="E36" s="9" t="n">
        <v>0</v>
      </c>
      <c r="G36" s="9" t="n">
        <v>0</v>
      </c>
      <c r="I36" s="9" t="n">
        <v>0</v>
      </c>
      <c r="K36" s="9" t="n">
        <v>0</v>
      </c>
      <c r="M36" s="9" t="n">
        <v>0</v>
      </c>
      <c r="O36" s="9" t="n">
        <v>0</v>
      </c>
      <c r="Q36" s="9" t="n">
        <v>0</v>
      </c>
      <c r="S36" s="9" t="n">
        <v>0</v>
      </c>
      <c r="U36" s="9" t="n">
        <v>0</v>
      </c>
      <c r="W36" s="9" t="n">
        <v>0</v>
      </c>
      <c r="Y36" s="9" t="n">
        <v>0</v>
      </c>
      <c r="AA36" s="9" t="n">
        <v>0</v>
      </c>
      <c r="AC36" s="9" t="n">
        <v>0</v>
      </c>
      <c r="AE36" s="9" t="n">
        <v>0</v>
      </c>
    </row>
    <row r="37">
      <c r="A37" s="9" t="inlineStr">
        <is>
          <t>YENMIX 121 (20KG)</t>
        </is>
      </c>
      <c r="C37" s="9" t="n">
        <v>0</v>
      </c>
      <c r="E37" s="9" t="n">
        <v>0</v>
      </c>
      <c r="G37" s="9" t="n">
        <v>0</v>
      </c>
      <c r="I37" s="9" t="n">
        <v>0</v>
      </c>
      <c r="K37" s="9" t="n">
        <v>0</v>
      </c>
      <c r="M37" s="9" t="n">
        <v>0</v>
      </c>
      <c r="O37" s="9" t="n">
        <v>0</v>
      </c>
      <c r="Q37" s="9" t="n">
        <v>0</v>
      </c>
      <c r="S37" s="9" t="n">
        <v>0</v>
      </c>
      <c r="U37" s="9" t="n">
        <v>0</v>
      </c>
      <c r="W37" s="9" t="n">
        <v>0</v>
      </c>
      <c r="Y37" s="9" t="n">
        <v>0</v>
      </c>
      <c r="AA37" s="9" t="n">
        <v>0</v>
      </c>
      <c r="AC37" s="9" t="n">
        <v>0</v>
      </c>
      <c r="AE37" s="9" t="n">
        <v>0</v>
      </c>
    </row>
    <row r="38">
      <c r="A38" s="9" t="inlineStr">
        <is>
          <t>YENMIX 122 (19.50KG)</t>
        </is>
      </c>
      <c r="C38" s="9" t="n">
        <v>0</v>
      </c>
      <c r="E38" s="9" t="n">
        <v>0</v>
      </c>
      <c r="G38" s="9" t="n">
        <v>0</v>
      </c>
      <c r="I38" s="9" t="n">
        <v>0</v>
      </c>
      <c r="K38" s="9" t="n">
        <v>0</v>
      </c>
      <c r="M38" s="9" t="n">
        <v>0</v>
      </c>
      <c r="O38" s="9" t="n">
        <v>0</v>
      </c>
      <c r="Q38" s="9" t="n">
        <v>0</v>
      </c>
      <c r="S38" s="9" t="n">
        <v>0</v>
      </c>
      <c r="U38" s="9" t="n">
        <v>0</v>
      </c>
      <c r="W38" s="9" t="n">
        <v>0</v>
      </c>
      <c r="Y38" s="9" t="n">
        <v>0</v>
      </c>
      <c r="AA38" s="9" t="n">
        <v>0</v>
      </c>
      <c r="AC38" s="9" t="n">
        <v>0</v>
      </c>
      <c r="AE38" s="9" t="n">
        <v>0</v>
      </c>
    </row>
    <row r="39">
      <c r="A39" s="9" t="inlineStr">
        <is>
          <t>YENMIX 123 (18.90KG)</t>
        </is>
      </c>
      <c r="C39" s="9" t="n">
        <v>0</v>
      </c>
      <c r="E39" s="9" t="n">
        <v>0</v>
      </c>
      <c r="G39" s="9" t="n">
        <v>0</v>
      </c>
      <c r="I39" s="9" t="n">
        <v>0</v>
      </c>
      <c r="K39" s="9" t="n">
        <v>0</v>
      </c>
      <c r="M39" s="9" t="n">
        <v>0</v>
      </c>
      <c r="O39" s="9" t="n">
        <v>0</v>
      </c>
      <c r="Q39" s="9" t="n">
        <v>0</v>
      </c>
      <c r="S39" s="9" t="n">
        <v>0</v>
      </c>
      <c r="U39" s="9" t="n">
        <v>0</v>
      </c>
      <c r="W39" s="9" t="n">
        <v>0</v>
      </c>
      <c r="Y39" s="9" t="n">
        <v>0</v>
      </c>
      <c r="AA39" s="9" t="n">
        <v>0</v>
      </c>
      <c r="AC39" s="9" t="n">
        <v>0</v>
      </c>
      <c r="AE39" s="9" t="n">
        <v>0</v>
      </c>
    </row>
    <row r="40">
      <c r="A40" s="9" t="inlineStr">
        <is>
          <t>YENMIX 122 (20.50KG)</t>
        </is>
      </c>
      <c r="C40" s="9" t="n">
        <v>0</v>
      </c>
      <c r="E40" s="9" t="n">
        <v>0</v>
      </c>
      <c r="G40" s="9" t="n">
        <v>0</v>
      </c>
      <c r="I40" s="9" t="n">
        <v>0</v>
      </c>
      <c r="K40" s="9" t="n">
        <v>0</v>
      </c>
      <c r="M40" s="9" t="n">
        <v>0</v>
      </c>
      <c r="O40" s="9" t="n">
        <v>0</v>
      </c>
      <c r="Q40" s="9" t="n">
        <v>0</v>
      </c>
      <c r="S40" s="9" t="n">
        <v>0</v>
      </c>
      <c r="U40" s="9" t="n">
        <v>0</v>
      </c>
      <c r="W40" s="9" t="n">
        <v>0</v>
      </c>
      <c r="Y40" s="9" t="n">
        <v>0</v>
      </c>
      <c r="AA40" s="9" t="n">
        <v>0</v>
      </c>
      <c r="AC40" s="9" t="n">
        <v>0</v>
      </c>
      <c r="AE40" s="9" t="n">
        <v>0</v>
      </c>
    </row>
    <row r="41">
      <c r="A41" s="9" t="inlineStr">
        <is>
          <t>YENMIX 123 (20.00KG)</t>
        </is>
      </c>
      <c r="C41" s="9" t="n">
        <v>0</v>
      </c>
      <c r="E41" s="9" t="n">
        <v>0</v>
      </c>
      <c r="G41" s="9" t="n">
        <v>0</v>
      </c>
      <c r="I41" s="9" t="n">
        <v>0</v>
      </c>
      <c r="K41" s="9" t="n">
        <v>0</v>
      </c>
      <c r="M41" s="9" t="n">
        <v>0</v>
      </c>
      <c r="O41" s="9" t="n">
        <v>0</v>
      </c>
      <c r="Q41" s="9" t="n">
        <v>0</v>
      </c>
      <c r="S41" s="9" t="n">
        <v>0</v>
      </c>
      <c r="U41" s="9" t="n">
        <v>0</v>
      </c>
      <c r="W41" s="9" t="n">
        <v>0</v>
      </c>
      <c r="Y41" s="9" t="n">
        <v>0</v>
      </c>
      <c r="AA41" s="9" t="n">
        <v>0</v>
      </c>
      <c r="AC41" s="9" t="n">
        <v>0</v>
      </c>
      <c r="AE41" s="9" t="n">
        <v>0</v>
      </c>
    </row>
    <row r="42">
      <c r="A42" s="9" t="n">
        <v>1</v>
      </c>
      <c r="C42" s="9" t="n">
        <v>0</v>
      </c>
      <c r="E42" s="9" t="n">
        <v>0</v>
      </c>
      <c r="G42" s="9" t="n">
        <v>0</v>
      </c>
      <c r="I42" s="9" t="n">
        <v>0</v>
      </c>
      <c r="K42" s="9" t="n">
        <v>0</v>
      </c>
      <c r="M42" s="9" t="n">
        <v>0</v>
      </c>
      <c r="O42" s="9" t="n">
        <v>0</v>
      </c>
      <c r="Q42" s="9" t="n">
        <v>0</v>
      </c>
      <c r="S42" s="9" t="n">
        <v>0</v>
      </c>
      <c r="U42" s="9" t="n">
        <v>0</v>
      </c>
      <c r="W42" s="9" t="n">
        <v>0</v>
      </c>
      <c r="Y42" s="9" t="n">
        <v>0</v>
      </c>
      <c r="AA42" s="9" t="n">
        <v>0</v>
      </c>
      <c r="AC42" s="9" t="n">
        <v>0</v>
      </c>
      <c r="AE42" s="9" t="n">
        <v>0</v>
      </c>
    </row>
    <row r="43">
      <c r="A43" s="9" t="n">
        <v>2</v>
      </c>
      <c r="C43" s="9" t="n">
        <v>0</v>
      </c>
      <c r="E43" s="9" t="n">
        <v>0</v>
      </c>
      <c r="G43" s="9" t="n">
        <v>0</v>
      </c>
      <c r="I43" s="9" t="n">
        <v>0</v>
      </c>
      <c r="K43" s="9" t="n">
        <v>0</v>
      </c>
      <c r="M43" s="9" t="n">
        <v>0</v>
      </c>
      <c r="O43" s="9" t="n">
        <v>0</v>
      </c>
      <c r="Q43" s="9" t="n">
        <v>0</v>
      </c>
      <c r="S43" s="9" t="n">
        <v>0</v>
      </c>
      <c r="U43" s="9" t="n">
        <v>0</v>
      </c>
      <c r="W43" s="9" t="n">
        <v>0</v>
      </c>
      <c r="Y43" s="9" t="n">
        <v>0</v>
      </c>
      <c r="AA43" s="9" t="n">
        <v>0</v>
      </c>
      <c r="AC43" s="9" t="n">
        <v>0</v>
      </c>
      <c r="AE43" s="9" t="n">
        <v>0</v>
      </c>
    </row>
    <row r="44">
      <c r="A44" s="9" t="n">
        <v>3</v>
      </c>
      <c r="C44" s="9" t="n">
        <v>0</v>
      </c>
      <c r="E44" s="9" t="n">
        <v>0</v>
      </c>
      <c r="G44" s="9" t="n">
        <v>0</v>
      </c>
      <c r="I44" s="9" t="n">
        <v>0</v>
      </c>
      <c r="K44" s="9" t="n">
        <v>0</v>
      </c>
      <c r="M44" s="9" t="n">
        <v>0</v>
      </c>
      <c r="O44" s="9" t="n">
        <v>0</v>
      </c>
      <c r="Q44" s="9" t="n">
        <v>0</v>
      </c>
      <c r="S44" s="9" t="n">
        <v>0</v>
      </c>
      <c r="U44" s="9" t="n">
        <v>0</v>
      </c>
      <c r="W44" s="9" t="n">
        <v>0</v>
      </c>
      <c r="Y44" s="9" t="n">
        <v>0</v>
      </c>
      <c r="AA44" s="9" t="n">
        <v>0</v>
      </c>
      <c r="AC44" s="9" t="n">
        <v>0</v>
      </c>
      <c r="AE44" s="9" t="n">
        <v>0</v>
      </c>
    </row>
    <row r="45">
      <c r="A45" s="9" t="inlineStr">
        <is>
          <t>TOXISORB PREMIUM</t>
        </is>
      </c>
      <c r="B45" s="9" t="n">
        <v>0.05</v>
      </c>
      <c r="C45" s="9" t="n">
        <v>0.5</v>
      </c>
      <c r="E45" s="9" t="n">
        <v>0</v>
      </c>
      <c r="G45" s="9" t="n">
        <v>0</v>
      </c>
      <c r="I45" s="9" t="n">
        <v>0</v>
      </c>
      <c r="K45" s="9" t="n">
        <v>0</v>
      </c>
      <c r="M45" s="9" t="n">
        <v>0</v>
      </c>
      <c r="O45" s="9" t="n">
        <v>0</v>
      </c>
      <c r="Q45" s="9" t="n">
        <v>0</v>
      </c>
      <c r="S45" s="9" t="n">
        <v>0</v>
      </c>
      <c r="U45" s="9" t="n">
        <v>0</v>
      </c>
      <c r="W45" s="9" t="n">
        <v>0</v>
      </c>
      <c r="Y45" s="9" t="n">
        <v>0</v>
      </c>
      <c r="AA45" s="9" t="n">
        <v>0</v>
      </c>
      <c r="AC45" s="9" t="n">
        <v>0</v>
      </c>
      <c r="AE45" s="9" t="n">
        <v>0</v>
      </c>
    </row>
    <row r="46">
      <c r="A46" s="9" t="inlineStr">
        <is>
          <t>SODIUM HUMATE 3.8% (HARUMI)</t>
        </is>
      </c>
      <c r="C46" s="9" t="n">
        <v>0</v>
      </c>
      <c r="E46" s="9" t="n">
        <v>0</v>
      </c>
      <c r="G46" s="9" t="n">
        <v>0</v>
      </c>
      <c r="I46" s="9" t="n">
        <v>0</v>
      </c>
      <c r="K46" s="9" t="n">
        <v>0</v>
      </c>
      <c r="M46" s="9" t="n">
        <v>0</v>
      </c>
      <c r="O46" s="9" t="n">
        <v>0</v>
      </c>
      <c r="Q46" s="9" t="n">
        <v>0</v>
      </c>
      <c r="S46" s="9" t="n">
        <v>0</v>
      </c>
      <c r="U46" s="9" t="n">
        <v>0</v>
      </c>
      <c r="W46" s="9" t="n">
        <v>0</v>
      </c>
      <c r="Y46" s="9" t="n">
        <v>0</v>
      </c>
      <c r="AA46" s="9" t="n">
        <v>0</v>
      </c>
      <c r="AC46" s="9" t="n">
        <v>0</v>
      </c>
      <c r="AE46" s="9" t="n">
        <v>0</v>
      </c>
    </row>
    <row r="47">
      <c r="A47" s="9" t="inlineStr">
        <is>
          <t>TOXIWALL</t>
        </is>
      </c>
      <c r="C47" s="9" t="n">
        <v>0</v>
      </c>
      <c r="E47" s="9" t="n">
        <v>0</v>
      </c>
      <c r="G47" s="9" t="n">
        <v>0</v>
      </c>
      <c r="I47" s="9" t="n">
        <v>0</v>
      </c>
      <c r="K47" s="9" t="n">
        <v>0</v>
      </c>
      <c r="M47" s="9" t="n">
        <v>0</v>
      </c>
      <c r="O47" s="9" t="n">
        <v>0</v>
      </c>
      <c r="Q47" s="9" t="n">
        <v>0</v>
      </c>
      <c r="S47" s="9" t="n">
        <v>0</v>
      </c>
      <c r="U47" s="9" t="n">
        <v>0</v>
      </c>
      <c r="W47" s="9" t="n">
        <v>0</v>
      </c>
      <c r="Y47" s="9" t="n">
        <v>0</v>
      </c>
      <c r="AA47" s="9" t="n">
        <v>0</v>
      </c>
      <c r="AC47" s="9" t="n">
        <v>0</v>
      </c>
      <c r="AE47" s="9" t="n">
        <v>0</v>
      </c>
    </row>
    <row r="48">
      <c r="A48" s="9" t="inlineStr">
        <is>
          <t>SODIUM BICARBONATE</t>
        </is>
      </c>
      <c r="C48" s="9" t="n">
        <v>0</v>
      </c>
      <c r="E48" s="9" t="n">
        <v>0</v>
      </c>
      <c r="G48" s="9" t="n">
        <v>0</v>
      </c>
      <c r="I48" s="9" t="n">
        <v>0</v>
      </c>
      <c r="K48" s="9" t="n">
        <v>0</v>
      </c>
      <c r="M48" s="9" t="n">
        <v>0</v>
      </c>
      <c r="O48" s="9" t="n">
        <v>0</v>
      </c>
      <c r="Q48" s="9" t="n">
        <v>0</v>
      </c>
      <c r="S48" s="9" t="n">
        <v>0</v>
      </c>
      <c r="U48" s="9" t="n">
        <v>0</v>
      </c>
      <c r="W48" s="9" t="n">
        <v>0</v>
      </c>
      <c r="Y48" s="9" t="n">
        <v>0</v>
      </c>
      <c r="AA48" s="9" t="n">
        <v>0</v>
      </c>
      <c r="AC48" s="9" t="n">
        <v>0</v>
      </c>
      <c r="AE48" s="9" t="n">
        <v>0</v>
      </c>
    </row>
    <row r="49">
      <c r="A49" s="9" t="inlineStr">
        <is>
          <t>BMD 10%</t>
        </is>
      </c>
      <c r="C49" s="9" t="n">
        <v>0</v>
      </c>
      <c r="E49" s="9" t="n">
        <v>0</v>
      </c>
      <c r="G49" s="9" t="n">
        <v>0</v>
      </c>
      <c r="I49" s="9" t="n">
        <v>0</v>
      </c>
      <c r="K49" s="9" t="n">
        <v>0</v>
      </c>
      <c r="M49" s="9" t="n">
        <v>0</v>
      </c>
      <c r="O49" s="9" t="n">
        <v>0</v>
      </c>
      <c r="Q49" s="9" t="n">
        <v>0</v>
      </c>
      <c r="S49" s="9" t="n">
        <v>0</v>
      </c>
      <c r="U49" s="9" t="n">
        <v>0</v>
      </c>
      <c r="W49" s="9" t="n">
        <v>0</v>
      </c>
      <c r="Y49" s="9" t="n">
        <v>0</v>
      </c>
      <c r="AA49" s="9" t="n">
        <v>0</v>
      </c>
      <c r="AC49" s="9" t="n">
        <v>0</v>
      </c>
      <c r="AE49" s="9" t="n">
        <v>0</v>
      </c>
    </row>
    <row r="50">
      <c r="A50" s="9" t="inlineStr">
        <is>
          <t>SALT (HARUMI)</t>
        </is>
      </c>
      <c r="C50" s="9" t="n">
        <v>0</v>
      </c>
      <c r="E50" s="9" t="n">
        <v>0</v>
      </c>
      <c r="G50" s="9" t="n">
        <v>0</v>
      </c>
      <c r="I50" s="9" t="n">
        <v>0</v>
      </c>
      <c r="K50" s="9" t="n">
        <v>0</v>
      </c>
      <c r="M50" s="9" t="n">
        <v>0</v>
      </c>
      <c r="O50" s="9" t="n">
        <v>0</v>
      </c>
      <c r="Q50" s="9" t="n">
        <v>0</v>
      </c>
      <c r="S50" s="9" t="n">
        <v>0</v>
      </c>
      <c r="U50" s="9" t="n">
        <v>0</v>
      </c>
      <c r="W50" s="9" t="n">
        <v>0</v>
      </c>
      <c r="Y50" s="9" t="n">
        <v>0</v>
      </c>
      <c r="AA50" s="9" t="n">
        <v>0</v>
      </c>
      <c r="AC50" s="9" t="n">
        <v>0</v>
      </c>
      <c r="AE50" s="9" t="n">
        <v>0</v>
      </c>
    </row>
    <row r="51">
      <c r="A51" s="9" t="inlineStr">
        <is>
          <t>VISTABET 91</t>
        </is>
      </c>
      <c r="C51" s="9" t="n">
        <v>0</v>
      </c>
      <c r="E51" s="9" t="n">
        <v>0</v>
      </c>
      <c r="G51" s="9" t="n">
        <v>0</v>
      </c>
      <c r="I51" s="9" t="n">
        <v>0</v>
      </c>
      <c r="K51" s="9" t="n">
        <v>0</v>
      </c>
      <c r="M51" s="9" t="n">
        <v>0</v>
      </c>
      <c r="O51" s="9" t="n">
        <v>0</v>
      </c>
      <c r="Q51" s="9" t="n">
        <v>0</v>
      </c>
      <c r="S51" s="9" t="n">
        <v>0</v>
      </c>
      <c r="U51" s="9" t="n">
        <v>0</v>
      </c>
      <c r="W51" s="9" t="n">
        <v>0</v>
      </c>
      <c r="Y51" s="9" t="n">
        <v>0</v>
      </c>
      <c r="AA51" s="9" t="n">
        <v>0</v>
      </c>
      <c r="AC51" s="9" t="n">
        <v>0</v>
      </c>
      <c r="AE51" s="9" t="n">
        <v>0</v>
      </c>
    </row>
    <row r="52">
      <c r="A52" s="9" t="inlineStr">
        <is>
          <t>BETAFIN</t>
        </is>
      </c>
      <c r="C52" s="9" t="n">
        <v>0</v>
      </c>
      <c r="E52" s="9" t="n">
        <v>0</v>
      </c>
      <c r="G52" s="9" t="n">
        <v>0</v>
      </c>
      <c r="I52" s="9" t="n">
        <v>0</v>
      </c>
      <c r="K52" s="9" t="n">
        <v>0</v>
      </c>
      <c r="M52" s="9" t="n">
        <v>0</v>
      </c>
      <c r="O52" s="9" t="n">
        <v>0</v>
      </c>
      <c r="Q52" s="9" t="n">
        <v>0</v>
      </c>
      <c r="S52" s="9" t="n">
        <v>0</v>
      </c>
      <c r="U52" s="9" t="n">
        <v>0</v>
      </c>
      <c r="W52" s="9" t="n">
        <v>0</v>
      </c>
      <c r="Y52" s="9" t="n">
        <v>0</v>
      </c>
      <c r="AA52" s="9" t="n">
        <v>0</v>
      </c>
      <c r="AC52" s="9" t="n">
        <v>0</v>
      </c>
      <c r="AE52" s="9" t="n">
        <v>0</v>
      </c>
    </row>
    <row r="53">
      <c r="A53" s="9" t="inlineStr">
        <is>
          <t>8101 TOP UP</t>
        </is>
      </c>
      <c r="C53" s="9" t="n">
        <v>0</v>
      </c>
      <c r="E53" s="9" t="n">
        <v>0</v>
      </c>
      <c r="G53" s="9" t="n">
        <v>0</v>
      </c>
      <c r="I53" s="9" t="n">
        <v>0</v>
      </c>
      <c r="K53" s="9" t="n">
        <v>0</v>
      </c>
      <c r="M53" s="9" t="n">
        <v>0</v>
      </c>
      <c r="O53" s="9" t="n">
        <v>0</v>
      </c>
      <c r="Q53" s="9" t="n">
        <v>0</v>
      </c>
      <c r="S53" s="9" t="n">
        <v>0</v>
      </c>
      <c r="U53" s="9" t="n">
        <v>0</v>
      </c>
      <c r="W53" s="9" t="n">
        <v>0</v>
      </c>
      <c r="Y53" s="9" t="n">
        <v>0</v>
      </c>
      <c r="AA53" s="9" t="n">
        <v>0</v>
      </c>
      <c r="AC53" s="9" t="n">
        <v>0</v>
      </c>
      <c r="AE53" s="9" t="n">
        <v>0</v>
      </c>
    </row>
    <row r="54">
      <c r="A54" s="9" t="inlineStr">
        <is>
          <t>NORPONIN X03 (8102 TOP UP)</t>
        </is>
      </c>
      <c r="C54" s="9" t="n">
        <v>0</v>
      </c>
      <c r="E54" s="9" t="n">
        <v>0</v>
      </c>
      <c r="G54" s="9" t="n">
        <v>0</v>
      </c>
      <c r="I54" s="9" t="n">
        <v>0</v>
      </c>
      <c r="K54" s="9" t="n">
        <v>0</v>
      </c>
      <c r="M54" s="9" t="n">
        <v>0</v>
      </c>
      <c r="O54" s="9" t="n">
        <v>0</v>
      </c>
      <c r="Q54" s="9" t="n">
        <v>0</v>
      </c>
      <c r="S54" s="9" t="n">
        <v>0</v>
      </c>
      <c r="U54" s="9" t="n">
        <v>0</v>
      </c>
      <c r="W54" s="9" t="n">
        <v>0</v>
      </c>
      <c r="Y54" s="9" t="n">
        <v>0</v>
      </c>
      <c r="AA54" s="9" t="n">
        <v>0</v>
      </c>
      <c r="AC54" s="9" t="n">
        <v>0</v>
      </c>
      <c r="AE54" s="9" t="n">
        <v>0</v>
      </c>
    </row>
    <row r="55">
      <c r="A55" s="9" t="inlineStr">
        <is>
          <t>8102 TOP UP (4KG)</t>
        </is>
      </c>
      <c r="C55" s="9" t="n">
        <v>0</v>
      </c>
      <c r="E55" s="9" t="n">
        <v>0</v>
      </c>
      <c r="G55" s="9" t="n">
        <v>0</v>
      </c>
      <c r="I55" s="9" t="n">
        <v>0</v>
      </c>
      <c r="K55" s="9" t="n">
        <v>0</v>
      </c>
      <c r="M55" s="9" t="n">
        <v>0</v>
      </c>
      <c r="O55" s="9" t="n">
        <v>0</v>
      </c>
      <c r="Q55" s="9" t="n">
        <v>0</v>
      </c>
      <c r="S55" s="9" t="n">
        <v>0</v>
      </c>
      <c r="U55" s="9" t="n">
        <v>0</v>
      </c>
      <c r="W55" s="9" t="n">
        <v>0</v>
      </c>
      <c r="Y55" s="9" t="n">
        <v>0</v>
      </c>
      <c r="AA55" s="9" t="n">
        <v>0</v>
      </c>
      <c r="AC55" s="9" t="n">
        <v>0</v>
      </c>
      <c r="AE55" s="9" t="n">
        <v>0</v>
      </c>
    </row>
    <row r="56">
      <c r="A56" s="9" t="inlineStr">
        <is>
          <t>8103 TOP UP (5KG)</t>
        </is>
      </c>
      <c r="C56" s="9" t="n">
        <v>0</v>
      </c>
      <c r="E56" s="9" t="n">
        <v>0</v>
      </c>
      <c r="G56" s="9" t="n">
        <v>0</v>
      </c>
      <c r="I56" s="9" t="n">
        <v>0</v>
      </c>
      <c r="K56" s="9" t="n">
        <v>0</v>
      </c>
      <c r="M56" s="9" t="n">
        <v>0</v>
      </c>
      <c r="O56" s="9" t="n">
        <v>0</v>
      </c>
      <c r="Q56" s="9" t="n">
        <v>0</v>
      </c>
      <c r="S56" s="9" t="n">
        <v>0</v>
      </c>
      <c r="U56" s="9" t="n">
        <v>0</v>
      </c>
      <c r="W56" s="9" t="n">
        <v>0</v>
      </c>
      <c r="Y56" s="9" t="n">
        <v>0</v>
      </c>
      <c r="AA56" s="9" t="n">
        <v>0</v>
      </c>
      <c r="AC56" s="9" t="n">
        <v>0</v>
      </c>
      <c r="AE56" s="9" t="n">
        <v>0</v>
      </c>
    </row>
    <row r="57">
      <c r="A57" s="9" t="inlineStr">
        <is>
          <t>L-ARGININE</t>
        </is>
      </c>
      <c r="C57" s="9" t="n">
        <v>0</v>
      </c>
      <c r="E57" s="9" t="n">
        <v>0</v>
      </c>
      <c r="G57" s="9" t="n">
        <v>0</v>
      </c>
      <c r="I57" s="9" t="n">
        <v>0</v>
      </c>
      <c r="K57" s="9" t="n">
        <v>0</v>
      </c>
      <c r="M57" s="9" t="n">
        <v>0</v>
      </c>
      <c r="O57" s="9" t="n">
        <v>0</v>
      </c>
      <c r="Q57" s="9" t="n">
        <v>0</v>
      </c>
      <c r="S57" s="9" t="n">
        <v>0</v>
      </c>
      <c r="U57" s="9" t="n">
        <v>0</v>
      </c>
      <c r="W57" s="9" t="n">
        <v>0</v>
      </c>
      <c r="Y57" s="9" t="n">
        <v>0</v>
      </c>
      <c r="AA57" s="9" t="n">
        <v>0</v>
      </c>
      <c r="AC57" s="9" t="n">
        <v>0</v>
      </c>
      <c r="AE57" s="9" t="n">
        <v>0</v>
      </c>
    </row>
    <row r="58">
      <c r="A58" s="9" t="inlineStr">
        <is>
          <t>DL-METHIONINE</t>
        </is>
      </c>
      <c r="C58" s="9" t="n">
        <v>0</v>
      </c>
      <c r="E58" s="9" t="n">
        <v>0</v>
      </c>
      <c r="G58" s="9" t="n">
        <v>0</v>
      </c>
      <c r="I58" s="9" t="n">
        <v>0</v>
      </c>
      <c r="K58" s="9" t="n">
        <v>0</v>
      </c>
      <c r="M58" s="9" t="n">
        <v>0</v>
      </c>
      <c r="O58" s="9" t="n">
        <v>0</v>
      </c>
      <c r="Q58" s="9" t="n">
        <v>0</v>
      </c>
      <c r="S58" s="9" t="n">
        <v>0</v>
      </c>
      <c r="U58" s="9" t="n">
        <v>0</v>
      </c>
      <c r="W58" s="9" t="n">
        <v>0</v>
      </c>
      <c r="Y58" s="9" t="n">
        <v>0</v>
      </c>
      <c r="AA58" s="9" t="n">
        <v>0</v>
      </c>
      <c r="AC58" s="9" t="n">
        <v>0</v>
      </c>
      <c r="AE58" s="9" t="n">
        <v>0</v>
      </c>
    </row>
    <row r="59">
      <c r="A59" s="9" t="inlineStr">
        <is>
          <t>L-THREONINE</t>
        </is>
      </c>
      <c r="C59" s="9" t="n">
        <v>0</v>
      </c>
      <c r="E59" s="9" t="n">
        <v>0</v>
      </c>
      <c r="G59" s="9" t="n">
        <v>0</v>
      </c>
      <c r="I59" s="9" t="n">
        <v>0</v>
      </c>
      <c r="K59" s="9" t="n">
        <v>0</v>
      </c>
      <c r="M59" s="9" t="n">
        <v>0</v>
      </c>
      <c r="O59" s="9" t="n">
        <v>0</v>
      </c>
      <c r="Q59" s="9" t="n">
        <v>0</v>
      </c>
      <c r="S59" s="9" t="n">
        <v>0</v>
      </c>
      <c r="U59" s="9" t="n">
        <v>0</v>
      </c>
      <c r="W59" s="9" t="n">
        <v>0</v>
      </c>
      <c r="Y59" s="9" t="n">
        <v>0</v>
      </c>
      <c r="AA59" s="9" t="n">
        <v>0</v>
      </c>
      <c r="AC59" s="9" t="n">
        <v>0</v>
      </c>
      <c r="AE59" s="9" t="n">
        <v>0</v>
      </c>
    </row>
    <row r="60">
      <c r="A60" s="9" t="inlineStr">
        <is>
          <t>L-LYSINE</t>
        </is>
      </c>
      <c r="C60" s="9" t="n">
        <v>0</v>
      </c>
      <c r="E60" s="9" t="n">
        <v>0</v>
      </c>
      <c r="G60" s="9" t="n">
        <v>0</v>
      </c>
      <c r="I60" s="9" t="n">
        <v>0</v>
      </c>
      <c r="K60" s="9" t="n">
        <v>0</v>
      </c>
      <c r="M60" s="9" t="n">
        <v>0</v>
      </c>
      <c r="O60" s="9" t="n">
        <v>0</v>
      </c>
      <c r="Q60" s="9" t="n">
        <v>0</v>
      </c>
      <c r="S60" s="9" t="n">
        <v>0</v>
      </c>
      <c r="U60" s="9" t="n">
        <v>0</v>
      </c>
      <c r="W60" s="9" t="n">
        <v>0</v>
      </c>
      <c r="Y60" s="9" t="n">
        <v>0</v>
      </c>
      <c r="AA60" s="9" t="n">
        <v>0</v>
      </c>
      <c r="AC60" s="9" t="n">
        <v>0</v>
      </c>
      <c r="AE60" s="9" t="n">
        <v>0</v>
      </c>
    </row>
    <row r="61">
      <c r="A61" s="9" t="inlineStr">
        <is>
          <t>FAECES DRY</t>
        </is>
      </c>
      <c r="C61" s="9" t="n">
        <v>0</v>
      </c>
      <c r="E61" s="9" t="n">
        <v>0</v>
      </c>
      <c r="G61" s="9" t="n">
        <v>0</v>
      </c>
      <c r="I61" s="9" t="n">
        <v>0</v>
      </c>
      <c r="K61" s="9" t="n">
        <v>0</v>
      </c>
      <c r="M61" s="9" t="n">
        <v>0</v>
      </c>
      <c r="O61" s="9" t="n">
        <v>0</v>
      </c>
      <c r="Q61" s="9" t="n">
        <v>0</v>
      </c>
      <c r="S61" s="9" t="n">
        <v>0</v>
      </c>
      <c r="U61" s="9" t="n">
        <v>0</v>
      </c>
      <c r="W61" s="9" t="n">
        <v>0</v>
      </c>
      <c r="Y61" s="9" t="n">
        <v>0</v>
      </c>
      <c r="AA61" s="9" t="n">
        <v>0</v>
      </c>
      <c r="AC61" s="9" t="n">
        <v>0</v>
      </c>
      <c r="AE61" s="9" t="n">
        <v>0</v>
      </c>
    </row>
    <row r="62">
      <c r="A62" s="9" t="inlineStr">
        <is>
          <t>ECOBIOL</t>
        </is>
      </c>
      <c r="C62" s="9" t="n">
        <v>0</v>
      </c>
      <c r="E62" s="9" t="n">
        <v>0</v>
      </c>
      <c r="G62" s="9" t="n">
        <v>0</v>
      </c>
      <c r="I62" s="9" t="n">
        <v>0</v>
      </c>
      <c r="K62" s="9" t="n">
        <v>0</v>
      </c>
      <c r="M62" s="9" t="n">
        <v>0</v>
      </c>
      <c r="O62" s="9" t="n">
        <v>0</v>
      </c>
      <c r="Q62" s="9" t="n">
        <v>0</v>
      </c>
      <c r="S62" s="9" t="n">
        <v>0</v>
      </c>
      <c r="U62" s="9" t="n">
        <v>0</v>
      </c>
      <c r="W62" s="9" t="n">
        <v>0</v>
      </c>
      <c r="Y62" s="9" t="n">
        <v>0</v>
      </c>
      <c r="AA62" s="9" t="n">
        <v>0</v>
      </c>
      <c r="AC62" s="9" t="n">
        <v>0</v>
      </c>
      <c r="AE62" s="9" t="n">
        <v>0</v>
      </c>
    </row>
    <row r="63">
      <c r="A63" s="9" t="inlineStr">
        <is>
          <t>ADDITIVE BROILER IMMUNE</t>
        </is>
      </c>
      <c r="C63" s="9" t="n">
        <v>0</v>
      </c>
      <c r="E63" s="9" t="n">
        <v>0</v>
      </c>
      <c r="G63" s="9" t="n">
        <v>0</v>
      </c>
      <c r="I63" s="9" t="n">
        <v>0</v>
      </c>
      <c r="K63" s="9" t="n">
        <v>0</v>
      </c>
      <c r="M63" s="9" t="n">
        <v>0</v>
      </c>
      <c r="O63" s="9" t="n">
        <v>0</v>
      </c>
      <c r="Q63" s="9" t="n">
        <v>0</v>
      </c>
      <c r="S63" s="9" t="n">
        <v>0</v>
      </c>
      <c r="U63" s="9" t="n">
        <v>0</v>
      </c>
      <c r="W63" s="9" t="n">
        <v>0</v>
      </c>
      <c r="Y63" s="9" t="n">
        <v>0</v>
      </c>
      <c r="AA63" s="9" t="n">
        <v>0</v>
      </c>
      <c r="AC63" s="9" t="n">
        <v>0</v>
      </c>
      <c r="AE63" s="9" t="n">
        <v>0</v>
      </c>
    </row>
    <row r="64">
      <c r="A64" s="9" t="inlineStr">
        <is>
          <t>MASTER CUBE (HARUMI)</t>
        </is>
      </c>
      <c r="C64" s="9" t="n">
        <v>0</v>
      </c>
      <c r="E64" s="9" t="n">
        <v>0</v>
      </c>
      <c r="G64" s="9" t="n">
        <v>0</v>
      </c>
      <c r="I64" s="9" t="n">
        <v>0</v>
      </c>
      <c r="K64" s="9" t="n">
        <v>0</v>
      </c>
      <c r="M64" s="9" t="n">
        <v>0</v>
      </c>
      <c r="O64" s="9" t="n">
        <v>0</v>
      </c>
      <c r="Q64" s="9" t="n">
        <v>0</v>
      </c>
      <c r="S64" s="9" t="n">
        <v>0</v>
      </c>
      <c r="U64" s="9" t="n">
        <v>0</v>
      </c>
      <c r="W64" s="9" t="n">
        <v>0</v>
      </c>
      <c r="Y64" s="9" t="n">
        <v>0</v>
      </c>
      <c r="AA64" s="9" t="n">
        <v>0</v>
      </c>
      <c r="AC64" s="9" t="n">
        <v>0</v>
      </c>
      <c r="AE64" s="9" t="n">
        <v>0</v>
      </c>
    </row>
    <row r="65">
      <c r="A65" s="9" t="inlineStr">
        <is>
          <t>1101 TOP UP (0.40KG)</t>
        </is>
      </c>
      <c r="C65" s="9" t="n">
        <v>0</v>
      </c>
      <c r="E65" s="9" t="n">
        <v>0</v>
      </c>
      <c r="G65" s="9" t="n">
        <v>0</v>
      </c>
      <c r="I65" s="9" t="n">
        <v>0</v>
      </c>
      <c r="K65" s="9" t="n">
        <v>0</v>
      </c>
      <c r="M65" s="9" t="n">
        <v>0</v>
      </c>
      <c r="O65" s="9" t="n">
        <v>0</v>
      </c>
      <c r="Q65" s="9" t="n">
        <v>0</v>
      </c>
      <c r="S65" s="9" t="n">
        <v>0</v>
      </c>
      <c r="U65" s="9" t="n">
        <v>0</v>
      </c>
      <c r="W65" s="9" t="n">
        <v>0</v>
      </c>
      <c r="Y65" s="9" t="n">
        <v>0</v>
      </c>
      <c r="AA65" s="9" t="n">
        <v>0</v>
      </c>
      <c r="AC65" s="9" t="n">
        <v>0</v>
      </c>
      <c r="AE65" s="9" t="n">
        <v>0</v>
      </c>
    </row>
    <row r="66">
      <c r="A66" s="9" t="inlineStr">
        <is>
          <t>1102 TOP UP (0.60KG)</t>
        </is>
      </c>
      <c r="C66" s="9" t="n">
        <v>0</v>
      </c>
      <c r="E66" s="9" t="n">
        <v>0</v>
      </c>
      <c r="G66" s="9" t="n">
        <v>0</v>
      </c>
      <c r="I66" s="9" t="n">
        <v>0</v>
      </c>
      <c r="K66" s="9" t="n">
        <v>0</v>
      </c>
      <c r="M66" s="9" t="n">
        <v>0</v>
      </c>
      <c r="O66" s="9" t="n">
        <v>0</v>
      </c>
      <c r="Q66" s="9" t="n">
        <v>0</v>
      </c>
      <c r="S66" s="9" t="n">
        <v>0</v>
      </c>
      <c r="U66" s="9" t="n">
        <v>0</v>
      </c>
      <c r="W66" s="9" t="n">
        <v>0</v>
      </c>
      <c r="Y66" s="9" t="n">
        <v>0</v>
      </c>
      <c r="AA66" s="9" t="n">
        <v>0</v>
      </c>
      <c r="AC66" s="9" t="n">
        <v>0</v>
      </c>
      <c r="AE66" s="9" t="n">
        <v>0</v>
      </c>
    </row>
    <row r="67">
      <c r="A67" s="9" t="inlineStr">
        <is>
          <t>1103 TOP UP (2.00KG)</t>
        </is>
      </c>
      <c r="C67" s="9" t="n">
        <v>0</v>
      </c>
      <c r="E67" s="9" t="n">
        <v>0</v>
      </c>
      <c r="G67" s="9" t="n">
        <v>0</v>
      </c>
      <c r="I67" s="9" t="n">
        <v>0</v>
      </c>
      <c r="K67" s="9" t="n">
        <v>0</v>
      </c>
      <c r="M67" s="9" t="n">
        <v>0</v>
      </c>
      <c r="O67" s="9" t="n">
        <v>0</v>
      </c>
      <c r="Q67" s="9" t="n">
        <v>0</v>
      </c>
      <c r="S67" s="9" t="n">
        <v>0</v>
      </c>
      <c r="U67" s="9" t="n">
        <v>0</v>
      </c>
      <c r="W67" s="9" t="n">
        <v>0</v>
      </c>
      <c r="Y67" s="9" t="n">
        <v>0</v>
      </c>
      <c r="AA67" s="9" t="n">
        <v>0</v>
      </c>
      <c r="AC67" s="9" t="n">
        <v>0</v>
      </c>
      <c r="AE67" s="9" t="n">
        <v>0</v>
      </c>
    </row>
    <row r="68">
      <c r="A68" s="9" t="inlineStr">
        <is>
          <t>QUANTUM GLO 4%</t>
        </is>
      </c>
      <c r="C68" s="9" t="n">
        <v>0</v>
      </c>
      <c r="E68" s="9" t="n">
        <v>0</v>
      </c>
      <c r="G68" s="9" t="n">
        <v>0</v>
      </c>
      <c r="I68" s="9" t="n">
        <v>0</v>
      </c>
      <c r="K68" s="9" t="n">
        <v>0</v>
      </c>
      <c r="M68" s="9" t="n">
        <v>0</v>
      </c>
      <c r="O68" s="9" t="n">
        <v>0</v>
      </c>
      <c r="Q68" s="9" t="n">
        <v>0</v>
      </c>
      <c r="S68" s="9" t="n">
        <v>0</v>
      </c>
      <c r="U68" s="9" t="n">
        <v>0</v>
      </c>
      <c r="W68" s="9" t="n">
        <v>0</v>
      </c>
      <c r="Y68" s="9" t="n">
        <v>0</v>
      </c>
      <c r="AA68" s="9" t="n">
        <v>0</v>
      </c>
      <c r="AC68" s="9" t="n">
        <v>0</v>
      </c>
      <c r="AE68" s="9" t="n">
        <v>0</v>
      </c>
    </row>
    <row r="69">
      <c r="A69" s="9" t="inlineStr">
        <is>
          <t>SALT</t>
        </is>
      </c>
      <c r="C69" s="9" t="n">
        <v>0</v>
      </c>
      <c r="E69" s="9" t="n">
        <v>0</v>
      </c>
      <c r="G69" s="9" t="n">
        <v>0</v>
      </c>
      <c r="I69" s="9" t="n">
        <v>0</v>
      </c>
      <c r="K69" s="9" t="n">
        <v>0</v>
      </c>
      <c r="M69" s="9" t="n">
        <v>0</v>
      </c>
      <c r="O69" s="9" t="n">
        <v>0</v>
      </c>
      <c r="Q69" s="9" t="n">
        <v>0</v>
      </c>
      <c r="S69" s="9" t="n">
        <v>0</v>
      </c>
      <c r="U69" s="9" t="n">
        <v>0</v>
      </c>
      <c r="W69" s="9" t="n">
        <v>0</v>
      </c>
      <c r="Y69" s="9" t="n">
        <v>0</v>
      </c>
      <c r="AA69" s="9" t="n">
        <v>0</v>
      </c>
      <c r="AC69" s="9" t="n">
        <v>0</v>
      </c>
      <c r="AE69" s="9" t="n">
        <v>0</v>
      </c>
    </row>
    <row r="70">
      <c r="A70" s="9" t="inlineStr">
        <is>
          <t>OC 200 - OXYTET 20%</t>
        </is>
      </c>
      <c r="C70" s="9" t="n">
        <v>0</v>
      </c>
      <c r="E70" s="9" t="n">
        <v>0</v>
      </c>
      <c r="G70" s="9" t="n">
        <v>0</v>
      </c>
      <c r="I70" s="9" t="n">
        <v>0</v>
      </c>
      <c r="K70" s="9" t="n">
        <v>0</v>
      </c>
      <c r="M70" s="9" t="n">
        <v>0</v>
      </c>
      <c r="O70" s="9" t="n">
        <v>0</v>
      </c>
      <c r="Q70" s="9" t="n">
        <v>0</v>
      </c>
      <c r="S70" s="9" t="n">
        <v>0</v>
      </c>
      <c r="U70" s="9" t="n">
        <v>0</v>
      </c>
      <c r="W70" s="9" t="n">
        <v>0</v>
      </c>
      <c r="Y70" s="9" t="n">
        <v>0</v>
      </c>
      <c r="AA70" s="9" t="n">
        <v>0</v>
      </c>
      <c r="AC70" s="9" t="n">
        <v>0</v>
      </c>
      <c r="AE70" s="9" t="n">
        <v>0</v>
      </c>
    </row>
    <row r="71">
      <c r="A71" s="9" t="n">
        <v>3</v>
      </c>
      <c r="C71" s="9" t="n">
        <v>0</v>
      </c>
      <c r="E71" s="9" t="n">
        <v>0</v>
      </c>
      <c r="G71" s="9" t="n">
        <v>0</v>
      </c>
      <c r="I71" s="9" t="n">
        <v>0</v>
      </c>
      <c r="K71" s="9" t="n">
        <v>0</v>
      </c>
      <c r="M71" s="9" t="n">
        <v>0</v>
      </c>
      <c r="O71" s="9" t="n">
        <v>0</v>
      </c>
      <c r="Q71" s="9" t="n">
        <v>0</v>
      </c>
      <c r="S71" s="9" t="n">
        <v>0</v>
      </c>
      <c r="U71" s="9" t="n">
        <v>0</v>
      </c>
      <c r="W71" s="9" t="n">
        <v>0</v>
      </c>
      <c r="Y71" s="9" t="n">
        <v>0</v>
      </c>
      <c r="AA71" s="9" t="n">
        <v>0</v>
      </c>
      <c r="AC71" s="9" t="n">
        <v>0</v>
      </c>
      <c r="AE71" s="9" t="n">
        <v>0</v>
      </c>
    </row>
    <row r="72">
      <c r="A72" s="9" t="n">
        <v>4</v>
      </c>
      <c r="C72" s="9" t="n">
        <v>0</v>
      </c>
      <c r="E72" s="9" t="n">
        <v>0</v>
      </c>
      <c r="G72" s="9" t="n">
        <v>0</v>
      </c>
      <c r="I72" s="9" t="n">
        <v>0</v>
      </c>
      <c r="K72" s="9" t="n">
        <v>0</v>
      </c>
      <c r="M72" s="9" t="n">
        <v>0</v>
      </c>
      <c r="O72" s="9" t="n">
        <v>0</v>
      </c>
      <c r="Q72" s="9" t="n">
        <v>0</v>
      </c>
      <c r="S72" s="9" t="n">
        <v>0</v>
      </c>
      <c r="U72" s="9" t="n">
        <v>0</v>
      </c>
      <c r="W72" s="9" t="n">
        <v>0</v>
      </c>
      <c r="Y72" s="9" t="n">
        <v>0</v>
      </c>
      <c r="AA72" s="9" t="n">
        <v>0</v>
      </c>
      <c r="AC72" s="9" t="n">
        <v>0</v>
      </c>
      <c r="AE72" s="9" t="n">
        <v>0</v>
      </c>
    </row>
    <row r="73">
      <c r="A73" s="9" t="inlineStr">
        <is>
          <t>WOVEN BAG (1101) - BLUE 50KG</t>
        </is>
      </c>
      <c r="C73" s="9" t="n">
        <v>0</v>
      </c>
      <c r="E73" s="9" t="n">
        <v>0</v>
      </c>
      <c r="G73" s="9" t="n">
        <v>0</v>
      </c>
      <c r="I73" s="9" t="n">
        <v>0</v>
      </c>
      <c r="K73" s="9" t="n">
        <v>0</v>
      </c>
      <c r="M73" s="9" t="n">
        <v>0</v>
      </c>
      <c r="O73" s="9" t="n">
        <v>0</v>
      </c>
      <c r="Q73" s="9" t="n">
        <v>0</v>
      </c>
      <c r="S73" s="9" t="n">
        <v>0</v>
      </c>
      <c r="U73" s="9" t="n">
        <v>0</v>
      </c>
      <c r="W73" s="9" t="n">
        <v>0</v>
      </c>
      <c r="Y73" s="9" t="n">
        <v>0</v>
      </c>
      <c r="AA73" s="9" t="n">
        <v>0</v>
      </c>
      <c r="AC73" s="9" t="n">
        <v>0</v>
      </c>
      <c r="AE73" s="9" t="n">
        <v>0</v>
      </c>
    </row>
    <row r="74">
      <c r="A74" s="9" t="inlineStr">
        <is>
          <t>WOVEN BAG (1102) - GREEN 50KG</t>
        </is>
      </c>
      <c r="C74" s="9" t="n">
        <v>0</v>
      </c>
      <c r="E74" s="9" t="n">
        <v>0</v>
      </c>
      <c r="G74" s="9" t="n">
        <v>0</v>
      </c>
      <c r="I74" s="9" t="n">
        <v>0</v>
      </c>
      <c r="K74" s="9" t="n">
        <v>0</v>
      </c>
      <c r="M74" s="9" t="n">
        <v>0</v>
      </c>
      <c r="O74" s="9" t="n">
        <v>0</v>
      </c>
      <c r="Q74" s="9" t="n">
        <v>0</v>
      </c>
      <c r="S74" s="9" t="n">
        <v>0</v>
      </c>
      <c r="U74" s="9" t="n">
        <v>0</v>
      </c>
      <c r="W74" s="9" t="n">
        <v>0</v>
      </c>
      <c r="Y74" s="9" t="n">
        <v>0</v>
      </c>
      <c r="AA74" s="9" t="n">
        <v>0</v>
      </c>
      <c r="AC74" s="9" t="n">
        <v>0</v>
      </c>
      <c r="AE74" s="9" t="n">
        <v>0</v>
      </c>
    </row>
    <row r="75">
      <c r="A75" s="9" t="inlineStr">
        <is>
          <t>WOVEN BAG (1103) - RED 50KG</t>
        </is>
      </c>
      <c r="C75" s="9" t="n">
        <v>0</v>
      </c>
      <c r="E75" s="9" t="n">
        <v>0</v>
      </c>
      <c r="G75" s="9" t="n">
        <v>0</v>
      </c>
      <c r="I75" s="9" t="n">
        <v>0</v>
      </c>
      <c r="K75" s="9" t="n">
        <v>0</v>
      </c>
      <c r="M75" s="9" t="n">
        <v>0</v>
      </c>
      <c r="O75" s="9" t="n">
        <v>0</v>
      </c>
      <c r="Q75" s="9" t="n">
        <v>0</v>
      </c>
      <c r="S75" s="9" t="n">
        <v>0</v>
      </c>
      <c r="U75" s="9" t="n">
        <v>0</v>
      </c>
      <c r="W75" s="9" t="n">
        <v>0</v>
      </c>
      <c r="Y75" s="9" t="n">
        <v>0</v>
      </c>
      <c r="AA75" s="9" t="n">
        <v>0</v>
      </c>
      <c r="AC75" s="9" t="n">
        <v>0</v>
      </c>
      <c r="AE75" s="9" t="n">
        <v>0</v>
      </c>
    </row>
    <row r="76">
      <c r="A76" s="9" t="inlineStr">
        <is>
          <t>PLAIN BAG 26" X 39" (50KG)</t>
        </is>
      </c>
      <c r="C76" s="9" t="n">
        <v>0</v>
      </c>
      <c r="E76" s="9" t="n">
        <v>0</v>
      </c>
      <c r="G76" s="9" t="n">
        <v>0</v>
      </c>
      <c r="I76" s="9" t="n">
        <v>0</v>
      </c>
      <c r="K76" s="9" t="n">
        <v>0</v>
      </c>
      <c r="M76" s="9" t="n">
        <v>0</v>
      </c>
      <c r="O76" s="9" t="n">
        <v>0</v>
      </c>
      <c r="Q76" s="9" t="n">
        <v>0</v>
      </c>
      <c r="S76" s="9" t="n">
        <v>0</v>
      </c>
      <c r="U76" s="9" t="n">
        <v>0</v>
      </c>
      <c r="W76" s="9" t="n">
        <v>0</v>
      </c>
      <c r="Y76" s="9" t="n">
        <v>0</v>
      </c>
      <c r="AA76" s="9" t="n">
        <v>0</v>
      </c>
      <c r="AC76" s="9" t="n">
        <v>0</v>
      </c>
      <c r="AE76" s="9" t="n">
        <v>0</v>
      </c>
    </row>
    <row r="77">
      <c r="A77" s="9" t="inlineStr">
        <is>
          <t>WOVEN BAG (8101) - KHAKI 50KG</t>
        </is>
      </c>
      <c r="C77" s="9" t="n">
        <v>0</v>
      </c>
      <c r="E77" s="9" t="n">
        <v>0</v>
      </c>
      <c r="G77" s="9" t="n">
        <v>0</v>
      </c>
      <c r="I77" s="9" t="n">
        <v>0</v>
      </c>
      <c r="K77" s="9" t="n">
        <v>0</v>
      </c>
      <c r="M77" s="9" t="n">
        <v>0</v>
      </c>
      <c r="O77" s="9" t="n">
        <v>0</v>
      </c>
      <c r="Q77" s="9" t="n">
        <v>0</v>
      </c>
      <c r="S77" s="9" t="n">
        <v>0</v>
      </c>
      <c r="U77" s="9" t="n">
        <v>0</v>
      </c>
      <c r="W77" s="9" t="n">
        <v>0</v>
      </c>
      <c r="Y77" s="9" t="n">
        <v>0</v>
      </c>
      <c r="AA77" s="9" t="n">
        <v>0</v>
      </c>
      <c r="AC77" s="9" t="n">
        <v>0</v>
      </c>
      <c r="AE77" s="9" t="n">
        <v>0</v>
      </c>
    </row>
    <row r="78">
      <c r="A78" s="9" t="inlineStr">
        <is>
          <t>WOVEN BAG (8102) - SKY BLUE 50KG</t>
        </is>
      </c>
      <c r="C78" s="9" t="n">
        <v>0</v>
      </c>
      <c r="E78" s="9" t="n">
        <v>0</v>
      </c>
      <c r="G78" s="9" t="n">
        <v>0</v>
      </c>
      <c r="I78" s="9" t="n">
        <v>0</v>
      </c>
      <c r="K78" s="9" t="n">
        <v>0</v>
      </c>
      <c r="M78" s="9" t="n">
        <v>0</v>
      </c>
      <c r="O78" s="9" t="n">
        <v>0</v>
      </c>
      <c r="Q78" s="9" t="n">
        <v>0</v>
      </c>
      <c r="S78" s="9" t="n">
        <v>0</v>
      </c>
      <c r="U78" s="9" t="n">
        <v>0</v>
      </c>
      <c r="W78" s="9" t="n">
        <v>0</v>
      </c>
      <c r="Y78" s="9" t="n">
        <v>0</v>
      </c>
      <c r="AA78" s="9" t="n">
        <v>0</v>
      </c>
      <c r="AC78" s="9" t="n">
        <v>0</v>
      </c>
      <c r="AE78" s="9" t="n">
        <v>0</v>
      </c>
    </row>
    <row r="79">
      <c r="A79" s="9" t="inlineStr">
        <is>
          <t>WOVEN BAG (8103) - BROWN 50KG</t>
        </is>
      </c>
      <c r="C79" s="9" t="n">
        <v>0</v>
      </c>
      <c r="E79" s="9" t="n">
        <v>0</v>
      </c>
      <c r="G79" s="9" t="n">
        <v>0</v>
      </c>
      <c r="I79" s="9" t="n">
        <v>0</v>
      </c>
      <c r="K79" s="9" t="n">
        <v>0</v>
      </c>
      <c r="M79" s="9" t="n">
        <v>0</v>
      </c>
      <c r="O79" s="9" t="n">
        <v>0</v>
      </c>
      <c r="Q79" s="9" t="n">
        <v>0</v>
      </c>
      <c r="S79" s="9" t="n">
        <v>0</v>
      </c>
      <c r="U79" s="9" t="n">
        <v>0</v>
      </c>
      <c r="W79" s="9" t="n">
        <v>0</v>
      </c>
      <c r="Y79" s="9" t="n">
        <v>0</v>
      </c>
      <c r="AA79" s="9" t="n">
        <v>0</v>
      </c>
      <c r="AC79" s="9" t="n">
        <v>0</v>
      </c>
      <c r="AE79" s="9" t="n">
        <v>0</v>
      </c>
    </row>
    <row r="80">
      <c r="A80" s="9" t="n">
        <v>1</v>
      </c>
      <c r="C80" s="9" t="n">
        <v>0</v>
      </c>
      <c r="E80" s="9" t="n">
        <v>0</v>
      </c>
      <c r="G80" s="9" t="n">
        <v>0</v>
      </c>
      <c r="I80" s="9" t="n">
        <v>0</v>
      </c>
      <c r="K80" s="9" t="n">
        <v>0</v>
      </c>
      <c r="M80" s="9" t="n">
        <v>0</v>
      </c>
      <c r="O80" s="9" t="n">
        <v>0</v>
      </c>
      <c r="Q80" s="9" t="n">
        <v>0</v>
      </c>
      <c r="S80" s="9" t="n">
        <v>0</v>
      </c>
      <c r="U80" s="9" t="n">
        <v>0</v>
      </c>
      <c r="W80" s="9" t="n">
        <v>0</v>
      </c>
      <c r="Y80" s="9" t="n">
        <v>0</v>
      </c>
      <c r="AA80" s="9" t="n">
        <v>0</v>
      </c>
      <c r="AC80" s="9" t="n">
        <v>0</v>
      </c>
      <c r="AE80" s="9" t="n">
        <v>0</v>
      </c>
    </row>
    <row r="81">
      <c r="A81" s="9" t="n">
        <v>2</v>
      </c>
      <c r="C81" s="9" t="n">
        <v>0</v>
      </c>
      <c r="E81" s="9" t="n">
        <v>0</v>
      </c>
      <c r="G81" s="9" t="n">
        <v>0</v>
      </c>
      <c r="I81" s="9" t="n">
        <v>0</v>
      </c>
      <c r="K81" s="9" t="n">
        <v>0</v>
      </c>
      <c r="M81" s="9" t="n">
        <v>0</v>
      </c>
      <c r="O81" s="9" t="n">
        <v>0</v>
      </c>
      <c r="Q81" s="9" t="n">
        <v>0</v>
      </c>
      <c r="S81" s="9" t="n">
        <v>0</v>
      </c>
      <c r="U81" s="9" t="n">
        <v>0</v>
      </c>
      <c r="W81" s="9" t="n">
        <v>0</v>
      </c>
      <c r="Y81" s="9" t="n">
        <v>0</v>
      </c>
      <c r="AA81" s="9" t="n">
        <v>0</v>
      </c>
      <c r="AC81" s="9" t="n">
        <v>0</v>
      </c>
      <c r="AE81" s="9" t="n">
        <v>0</v>
      </c>
    </row>
    <row r="82">
      <c r="A82" s="9" t="n">
        <v>3</v>
      </c>
      <c r="C82" s="9" t="n">
        <v>0</v>
      </c>
      <c r="E82" s="9" t="n">
        <v>0</v>
      </c>
      <c r="G82" s="9" t="n">
        <v>0</v>
      </c>
      <c r="I82" s="9" t="n">
        <v>0</v>
      </c>
      <c r="K82" s="9" t="n">
        <v>0</v>
      </c>
      <c r="M82" s="9" t="n">
        <v>0</v>
      </c>
      <c r="O82" s="9" t="n">
        <v>0</v>
      </c>
      <c r="Q82" s="9" t="n">
        <v>0</v>
      </c>
      <c r="S82" s="9" t="n">
        <v>0</v>
      </c>
      <c r="U82" s="9" t="n">
        <v>0</v>
      </c>
      <c r="W82" s="9" t="n">
        <v>0</v>
      </c>
      <c r="Y82" s="9" t="n">
        <v>0</v>
      </c>
      <c r="AA82" s="9" t="n">
        <v>0</v>
      </c>
      <c r="AC82" s="9" t="n">
        <v>0</v>
      </c>
      <c r="AE82" s="9" t="n">
        <v>0</v>
      </c>
    </row>
    <row r="83">
      <c r="A83" s="9" t="n">
        <v>4</v>
      </c>
      <c r="C83" s="9" t="n">
        <v>0</v>
      </c>
      <c r="E83" s="9" t="n">
        <v>0</v>
      </c>
      <c r="G83" s="9" t="n">
        <v>0</v>
      </c>
      <c r="I83" s="9" t="n">
        <v>0</v>
      </c>
      <c r="K83" s="9" t="n">
        <v>0</v>
      </c>
      <c r="M83" s="9" t="n">
        <v>0</v>
      </c>
      <c r="O83" s="9" t="n">
        <v>0</v>
      </c>
      <c r="Q83" s="9" t="n">
        <v>0</v>
      </c>
      <c r="S83" s="9" t="n">
        <v>0</v>
      </c>
      <c r="U83" s="9" t="n">
        <v>0</v>
      </c>
      <c r="W83" s="9" t="n">
        <v>0</v>
      </c>
      <c r="Y83" s="9" t="n">
        <v>0</v>
      </c>
      <c r="AA83" s="9" t="n">
        <v>0</v>
      </c>
      <c r="AC83" s="9" t="n">
        <v>0</v>
      </c>
      <c r="AE83" s="9" t="n">
        <v>0</v>
      </c>
    </row>
    <row r="84">
      <c r="A84" s="9" t="n">
        <v>5</v>
      </c>
      <c r="C84" s="9" t="n">
        <v>0</v>
      </c>
      <c r="E84" s="9" t="n">
        <v>0</v>
      </c>
      <c r="G84" s="9" t="n">
        <v>0</v>
      </c>
      <c r="I84" s="9" t="n">
        <v>0</v>
      </c>
      <c r="K84" s="9" t="n">
        <v>0</v>
      </c>
      <c r="M84" s="9" t="n">
        <v>0</v>
      </c>
      <c r="O84" s="9" t="n">
        <v>0</v>
      </c>
      <c r="Q84" s="9" t="n">
        <v>0</v>
      </c>
      <c r="S84" s="9" t="n">
        <v>0</v>
      </c>
      <c r="U84" s="9" t="n">
        <v>0</v>
      </c>
      <c r="W84" s="9" t="n">
        <v>0</v>
      </c>
      <c r="Y84" s="9" t="n">
        <v>0</v>
      </c>
      <c r="AA84" s="9" t="n">
        <v>0</v>
      </c>
      <c r="AC84" s="9" t="n">
        <v>0</v>
      </c>
      <c r="AE84" s="9" t="n">
        <v>0</v>
      </c>
    </row>
    <row r="85">
      <c r="A85" s="9" t="n">
        <v>6</v>
      </c>
      <c r="C85" s="9" t="n">
        <v>0</v>
      </c>
      <c r="E85" s="9" t="n">
        <v>0</v>
      </c>
      <c r="G85" s="9" t="n">
        <v>0</v>
      </c>
      <c r="I85" s="9" t="n">
        <v>0</v>
      </c>
      <c r="K85" s="9" t="n">
        <v>0</v>
      </c>
      <c r="M85" s="9" t="n">
        <v>0</v>
      </c>
      <c r="O85" s="9" t="n">
        <v>0</v>
      </c>
      <c r="Q85" s="9" t="n">
        <v>0</v>
      </c>
      <c r="S85" s="9" t="n">
        <v>0</v>
      </c>
      <c r="U85" s="9" t="n">
        <v>0</v>
      </c>
      <c r="W85" s="9" t="n">
        <v>0</v>
      </c>
      <c r="Y85" s="9" t="n">
        <v>0</v>
      </c>
      <c r="AA85" s="9" t="n">
        <v>0</v>
      </c>
      <c r="AC85" s="9" t="n">
        <v>0</v>
      </c>
      <c r="AE85" s="9" t="n">
        <v>0</v>
      </c>
    </row>
    <row r="86">
      <c r="A86" s="9" t="n">
        <v>7</v>
      </c>
      <c r="C86" s="9" t="n">
        <v>0</v>
      </c>
      <c r="E86" s="9" t="n">
        <v>0</v>
      </c>
      <c r="G86" s="9" t="n">
        <v>0</v>
      </c>
      <c r="I86" s="9" t="n">
        <v>0</v>
      </c>
      <c r="K86" s="9" t="n">
        <v>0</v>
      </c>
      <c r="M86" s="9" t="n">
        <v>0</v>
      </c>
      <c r="O86" s="9" t="n">
        <v>0</v>
      </c>
      <c r="Q86" s="9" t="n">
        <v>0</v>
      </c>
      <c r="S86" s="9" t="n">
        <v>0</v>
      </c>
      <c r="U86" s="9" t="n">
        <v>0</v>
      </c>
      <c r="W86" s="9" t="n">
        <v>0</v>
      </c>
      <c r="Y86" s="9" t="n">
        <v>0</v>
      </c>
      <c r="AA86" s="9" t="n">
        <v>0</v>
      </c>
      <c r="AC86" s="9" t="n">
        <v>0</v>
      </c>
      <c r="AE86" s="9" t="n">
        <v>0</v>
      </c>
    </row>
    <row r="87">
      <c r="A87" s="9" t="n">
        <v>8</v>
      </c>
      <c r="C87" s="9" t="n">
        <v>0</v>
      </c>
      <c r="E87" s="9" t="n">
        <v>0</v>
      </c>
      <c r="G87" s="9" t="n">
        <v>0</v>
      </c>
      <c r="I87" s="9" t="n">
        <v>0</v>
      </c>
      <c r="K87" s="9" t="n">
        <v>0</v>
      </c>
      <c r="M87" s="9" t="n">
        <v>0</v>
      </c>
      <c r="O87" s="9" t="n">
        <v>0</v>
      </c>
      <c r="Q87" s="9" t="n">
        <v>0</v>
      </c>
      <c r="S87" s="9" t="n">
        <v>0</v>
      </c>
      <c r="U87" s="9" t="n">
        <v>0</v>
      </c>
      <c r="W87" s="9" t="n">
        <v>0</v>
      </c>
      <c r="Y87" s="9" t="n">
        <v>0</v>
      </c>
      <c r="AA87" s="9" t="n">
        <v>0</v>
      </c>
      <c r="AC87" s="9" t="n">
        <v>0</v>
      </c>
      <c r="AE87" s="9" t="n">
        <v>0</v>
      </c>
    </row>
    <row r="88">
      <c r="A88" s="9" t="inlineStr">
        <is>
          <t>TOTAL</t>
        </is>
      </c>
      <c r="B88" s="9" t="n">
        <v>100</v>
      </c>
      <c r="C88" s="9" t="n">
        <v>1000</v>
      </c>
      <c r="D88" s="9" t="n">
        <v>97.79000000000001</v>
      </c>
      <c r="E88" s="9" t="n">
        <v>977.9000000000001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0</v>
      </c>
    </row>
    <row r="89"/>
    <row r="90">
      <c r="A90" s="9" t="inlineStr">
        <is>
          <t>1102 C/P (GROWER)</t>
        </is>
      </c>
      <c r="B90" s="9" t="n">
        <v>1</v>
      </c>
      <c r="D90" s="9" t="n">
        <v>2</v>
      </c>
      <c r="F90" s="9" t="n">
        <v>3</v>
      </c>
      <c r="H90" s="9" t="n">
        <v>4</v>
      </c>
      <c r="J90" s="9" t="n">
        <v>5</v>
      </c>
      <c r="L90" s="9" t="n">
        <v>6</v>
      </c>
      <c r="N90" s="9" t="n">
        <v>7</v>
      </c>
      <c r="P90" s="9" t="n">
        <v>8</v>
      </c>
      <c r="R90" s="9" t="n">
        <v>9</v>
      </c>
      <c r="T90" s="9" t="n">
        <v>10</v>
      </c>
      <c r="V90" s="9" t="n">
        <v>11</v>
      </c>
      <c r="X90" s="9" t="n">
        <v>12</v>
      </c>
      <c r="Z90" s="9" t="n">
        <v>13</v>
      </c>
      <c r="AB90" s="9" t="n">
        <v>14</v>
      </c>
      <c r="AD90" s="9" t="n">
        <v>15</v>
      </c>
    </row>
    <row r="91">
      <c r="B91" s="9" t="inlineStr">
        <is>
          <t>WS 1102 (290825)</t>
        </is>
      </c>
    </row>
    <row r="92">
      <c r="B92" s="9" t="inlineStr">
        <is>
          <t>N025-06</t>
        </is>
      </c>
    </row>
    <row r="93">
      <c r="B93" s="9" t="inlineStr">
        <is>
          <t>%</t>
        </is>
      </c>
      <c r="C93" s="9" t="inlineStr">
        <is>
          <t>BATCH</t>
        </is>
      </c>
      <c r="D93" s="9" t="inlineStr">
        <is>
          <t>%</t>
        </is>
      </c>
      <c r="E93" s="9" t="inlineStr">
        <is>
          <t>BATCH</t>
        </is>
      </c>
      <c r="F93" s="9" t="inlineStr">
        <is>
          <t>%</t>
        </is>
      </c>
      <c r="G93" s="9" t="inlineStr">
        <is>
          <t>BATCH</t>
        </is>
      </c>
      <c r="H93" s="9" t="inlineStr">
        <is>
          <t>%</t>
        </is>
      </c>
      <c r="I93" s="9" t="inlineStr">
        <is>
          <t>BATCH</t>
        </is>
      </c>
      <c r="J93" s="9" t="inlineStr">
        <is>
          <t>%</t>
        </is>
      </c>
      <c r="K93" s="9" t="inlineStr">
        <is>
          <t>BATCH</t>
        </is>
      </c>
      <c r="L93" s="9" t="inlineStr">
        <is>
          <t>%</t>
        </is>
      </c>
      <c r="M93" s="9" t="inlineStr">
        <is>
          <t>BATCH</t>
        </is>
      </c>
      <c r="N93" s="9" t="inlineStr">
        <is>
          <t>%</t>
        </is>
      </c>
      <c r="O93" s="9" t="inlineStr">
        <is>
          <t>BATCH</t>
        </is>
      </c>
      <c r="P93" s="9" t="inlineStr">
        <is>
          <t>%</t>
        </is>
      </c>
      <c r="Q93" s="9" t="inlineStr">
        <is>
          <t>BATCH</t>
        </is>
      </c>
      <c r="R93" s="9" t="inlineStr">
        <is>
          <t>%</t>
        </is>
      </c>
      <c r="S93" s="9" t="inlineStr">
        <is>
          <t>BATCH</t>
        </is>
      </c>
      <c r="T93" s="9" t="inlineStr">
        <is>
          <t>%</t>
        </is>
      </c>
      <c r="U93" s="9" t="inlineStr">
        <is>
          <t>BATCH</t>
        </is>
      </c>
      <c r="V93" s="9" t="inlineStr">
        <is>
          <t>%</t>
        </is>
      </c>
      <c r="W93" s="9" t="inlineStr">
        <is>
          <t>BATCH</t>
        </is>
      </c>
      <c r="X93" s="9" t="inlineStr">
        <is>
          <t>%</t>
        </is>
      </c>
      <c r="Y93" s="9" t="inlineStr">
        <is>
          <t>BATCH</t>
        </is>
      </c>
      <c r="Z93" s="9" t="inlineStr">
        <is>
          <t>%</t>
        </is>
      </c>
      <c r="AA93" s="9" t="inlineStr">
        <is>
          <t>BATCH</t>
        </is>
      </c>
      <c r="AB93" s="9" t="inlineStr">
        <is>
          <t>%</t>
        </is>
      </c>
      <c r="AC93" s="9" t="inlineStr">
        <is>
          <t>BATCH</t>
        </is>
      </c>
      <c r="AD93" s="9" t="inlineStr">
        <is>
          <t>%</t>
        </is>
      </c>
      <c r="AE93" s="9" t="inlineStr">
        <is>
          <t>BATCH</t>
        </is>
      </c>
    </row>
    <row r="94">
      <c r="A94" s="9" t="inlineStr">
        <is>
          <t>MAIZE/CORN</t>
        </is>
      </c>
      <c r="B94" s="9" t="n">
        <v>58.55</v>
      </c>
      <c r="C94" s="9" t="n">
        <v>585.5</v>
      </c>
      <c r="E94" s="9" t="n">
        <v>0</v>
      </c>
      <c r="G94" s="9" t="n">
        <v>0</v>
      </c>
      <c r="I94" s="9" t="n">
        <v>0</v>
      </c>
      <c r="K94" s="9" t="n">
        <v>0</v>
      </c>
      <c r="M94" s="9" t="n">
        <v>0</v>
      </c>
      <c r="O94" s="9" t="n">
        <v>0</v>
      </c>
      <c r="Q94" s="9" t="n">
        <v>0</v>
      </c>
      <c r="S94" s="9" t="n">
        <v>0</v>
      </c>
      <c r="U94" s="9" t="n">
        <v>0</v>
      </c>
      <c r="W94" s="9" t="n">
        <v>0</v>
      </c>
      <c r="Y94" s="9" t="n">
        <v>0</v>
      </c>
      <c r="AA94" s="9" t="n">
        <v>0</v>
      </c>
      <c r="AC94" s="9" t="n">
        <v>0</v>
      </c>
      <c r="AE94" s="9" t="n">
        <v>0</v>
      </c>
    </row>
    <row r="95">
      <c r="A95" s="9" t="inlineStr">
        <is>
          <t>SOYBEAN MEAL (ARG)</t>
        </is>
      </c>
      <c r="B95" s="9" t="n">
        <v>25.4</v>
      </c>
      <c r="C95" s="9" t="n">
        <v>254</v>
      </c>
      <c r="E95" s="9" t="n">
        <v>0</v>
      </c>
      <c r="G95" s="9" t="n">
        <v>0</v>
      </c>
      <c r="I95" s="9" t="n">
        <v>0</v>
      </c>
      <c r="K95" s="9" t="n">
        <v>0</v>
      </c>
      <c r="M95" s="9" t="n">
        <v>0</v>
      </c>
      <c r="O95" s="9" t="n">
        <v>0</v>
      </c>
      <c r="Q95" s="9" t="n">
        <v>0</v>
      </c>
      <c r="S95" s="9" t="n">
        <v>0</v>
      </c>
      <c r="U95" s="9" t="n">
        <v>0</v>
      </c>
      <c r="W95" s="9" t="n">
        <v>0</v>
      </c>
      <c r="Y95" s="9" t="n">
        <v>0</v>
      </c>
      <c r="AA95" s="9" t="n">
        <v>0</v>
      </c>
      <c r="AC95" s="9" t="n">
        <v>0</v>
      </c>
      <c r="AE95" s="9" t="n">
        <v>0</v>
      </c>
    </row>
    <row r="96">
      <c r="A96" s="9" t="inlineStr">
        <is>
          <t>SOYBEAN FULL FAT</t>
        </is>
      </c>
      <c r="B96" s="9" t="n">
        <v>2.5</v>
      </c>
      <c r="C96" s="9" t="n">
        <v>25</v>
      </c>
      <c r="E96" s="9" t="n">
        <v>0</v>
      </c>
      <c r="G96" s="9" t="n">
        <v>0</v>
      </c>
      <c r="I96" s="9" t="n">
        <v>0</v>
      </c>
      <c r="K96" s="9" t="n">
        <v>0</v>
      </c>
      <c r="M96" s="9" t="n">
        <v>0</v>
      </c>
      <c r="O96" s="9" t="n">
        <v>0</v>
      </c>
      <c r="Q96" s="9" t="n">
        <v>0</v>
      </c>
      <c r="S96" s="9" t="n">
        <v>0</v>
      </c>
      <c r="U96" s="9" t="n">
        <v>0</v>
      </c>
      <c r="W96" s="9" t="n">
        <v>0</v>
      </c>
      <c r="Y96" s="9" t="n">
        <v>0</v>
      </c>
      <c r="AA96" s="9" t="n">
        <v>0</v>
      </c>
      <c r="AC96" s="9" t="n">
        <v>0</v>
      </c>
      <c r="AE96" s="9" t="n">
        <v>0</v>
      </c>
    </row>
    <row r="97">
      <c r="A97" s="9" t="inlineStr">
        <is>
          <t>WHEAT POLLARD</t>
        </is>
      </c>
      <c r="B97" s="9" t="n">
        <v>5</v>
      </c>
      <c r="C97" s="9" t="n">
        <v>50</v>
      </c>
      <c r="E97" s="9" t="n">
        <v>0</v>
      </c>
      <c r="G97" s="9" t="n">
        <v>0</v>
      </c>
      <c r="I97" s="9" t="n">
        <v>0</v>
      </c>
      <c r="K97" s="9" t="n">
        <v>0</v>
      </c>
      <c r="M97" s="9" t="n">
        <v>0</v>
      </c>
      <c r="O97" s="9" t="n">
        <v>0</v>
      </c>
      <c r="Q97" s="9" t="n">
        <v>0</v>
      </c>
      <c r="S97" s="9" t="n">
        <v>0</v>
      </c>
      <c r="U97" s="9" t="n">
        <v>0</v>
      </c>
      <c r="W97" s="9" t="n">
        <v>0</v>
      </c>
      <c r="Y97" s="9" t="n">
        <v>0</v>
      </c>
      <c r="AA97" s="9" t="n">
        <v>0</v>
      </c>
      <c r="AC97" s="9" t="n">
        <v>0</v>
      </c>
      <c r="AE97" s="9" t="n">
        <v>0</v>
      </c>
    </row>
    <row r="98">
      <c r="A98" s="9" t="inlineStr">
        <is>
          <t>WHEAT</t>
        </is>
      </c>
      <c r="C98" s="9" t="n">
        <v>0</v>
      </c>
      <c r="E98" s="9" t="n">
        <v>0</v>
      </c>
      <c r="G98" s="9" t="n">
        <v>0</v>
      </c>
      <c r="I98" s="9" t="n">
        <v>0</v>
      </c>
      <c r="K98" s="9" t="n">
        <v>0</v>
      </c>
      <c r="M98" s="9" t="n">
        <v>0</v>
      </c>
      <c r="O98" s="9" t="n">
        <v>0</v>
      </c>
      <c r="Q98" s="9" t="n">
        <v>0</v>
      </c>
      <c r="S98" s="9" t="n">
        <v>0</v>
      </c>
      <c r="U98" s="9" t="n">
        <v>0</v>
      </c>
      <c r="W98" s="9" t="n">
        <v>0</v>
      </c>
      <c r="Y98" s="9" t="n">
        <v>0</v>
      </c>
      <c r="AA98" s="9" t="n">
        <v>0</v>
      </c>
      <c r="AC98" s="9" t="n">
        <v>0</v>
      </c>
      <c r="AE98" s="9" t="n">
        <v>0</v>
      </c>
    </row>
    <row r="99">
      <c r="A99" s="9" t="inlineStr">
        <is>
          <t>MEAT AND BONE MEAL</t>
        </is>
      </c>
      <c r="B99" s="9" t="n">
        <v>1</v>
      </c>
      <c r="C99" s="9" t="n">
        <v>10</v>
      </c>
      <c r="E99" s="9" t="n">
        <v>0</v>
      </c>
      <c r="G99" s="9" t="n">
        <v>0</v>
      </c>
      <c r="I99" s="9" t="n">
        <v>0</v>
      </c>
      <c r="K99" s="9" t="n">
        <v>0</v>
      </c>
      <c r="M99" s="9" t="n">
        <v>0</v>
      </c>
      <c r="O99" s="9" t="n">
        <v>0</v>
      </c>
      <c r="Q99" s="9" t="n">
        <v>0</v>
      </c>
      <c r="S99" s="9" t="n">
        <v>0</v>
      </c>
      <c r="U99" s="9" t="n">
        <v>0</v>
      </c>
      <c r="W99" s="9" t="n">
        <v>0</v>
      </c>
      <c r="Y99" s="9" t="n">
        <v>0</v>
      </c>
      <c r="AA99" s="9" t="n">
        <v>0</v>
      </c>
      <c r="AC99" s="9" t="n">
        <v>0</v>
      </c>
      <c r="AE99" s="9" t="n">
        <v>0</v>
      </c>
    </row>
    <row r="100">
      <c r="A100" s="9" t="inlineStr">
        <is>
          <t>CORN GLUTEN MEAL</t>
        </is>
      </c>
      <c r="B100" s="9" t="n">
        <v>2.5</v>
      </c>
      <c r="C100" s="9" t="n">
        <v>25</v>
      </c>
      <c r="E100" s="9" t="n">
        <v>0</v>
      </c>
      <c r="G100" s="9" t="n">
        <v>0</v>
      </c>
      <c r="I100" s="9" t="n">
        <v>0</v>
      </c>
      <c r="K100" s="9" t="n">
        <v>0</v>
      </c>
      <c r="M100" s="9" t="n">
        <v>0</v>
      </c>
      <c r="O100" s="9" t="n">
        <v>0</v>
      </c>
      <c r="Q100" s="9" t="n">
        <v>0</v>
      </c>
      <c r="S100" s="9" t="n">
        <v>0</v>
      </c>
      <c r="U100" s="9" t="n">
        <v>0</v>
      </c>
      <c r="W100" s="9" t="n">
        <v>0</v>
      </c>
      <c r="Y100" s="9" t="n">
        <v>0</v>
      </c>
      <c r="AA100" s="9" t="n">
        <v>0</v>
      </c>
      <c r="AC100" s="9" t="n">
        <v>0</v>
      </c>
      <c r="AE100" s="9" t="n">
        <v>0</v>
      </c>
    </row>
    <row r="101">
      <c r="A101" s="9" t="inlineStr">
        <is>
          <t>MEGAFAT (HARUMI)</t>
        </is>
      </c>
      <c r="B101" s="9" t="n">
        <v>2.5</v>
      </c>
      <c r="C101" s="9" t="n">
        <v>25</v>
      </c>
      <c r="E101" s="9" t="n">
        <v>0</v>
      </c>
      <c r="G101" s="9" t="n">
        <v>0</v>
      </c>
      <c r="I101" s="9" t="n">
        <v>0</v>
      </c>
      <c r="K101" s="9" t="n">
        <v>0</v>
      </c>
      <c r="M101" s="9" t="n">
        <v>0</v>
      </c>
      <c r="O101" s="9" t="n">
        <v>0</v>
      </c>
      <c r="Q101" s="9" t="n">
        <v>0</v>
      </c>
      <c r="S101" s="9" t="n">
        <v>0</v>
      </c>
      <c r="U101" s="9" t="n">
        <v>0</v>
      </c>
      <c r="W101" s="9" t="n">
        <v>0</v>
      </c>
      <c r="Y101" s="9" t="n">
        <v>0</v>
      </c>
      <c r="AA101" s="9" t="n">
        <v>0</v>
      </c>
      <c r="AC101" s="9" t="n">
        <v>0</v>
      </c>
      <c r="AE101" s="9" t="n">
        <v>0</v>
      </c>
    </row>
    <row r="102">
      <c r="A102" s="9" t="inlineStr">
        <is>
          <t>DCP 18%</t>
        </is>
      </c>
      <c r="C102" s="9" t="n">
        <v>0</v>
      </c>
      <c r="E102" s="9" t="n">
        <v>0</v>
      </c>
      <c r="G102" s="9" t="n">
        <v>0</v>
      </c>
      <c r="I102" s="9" t="n">
        <v>0</v>
      </c>
      <c r="K102" s="9" t="n">
        <v>0</v>
      </c>
      <c r="M102" s="9" t="n">
        <v>0</v>
      </c>
      <c r="O102" s="9" t="n">
        <v>0</v>
      </c>
      <c r="Q102" s="9" t="n">
        <v>0</v>
      </c>
      <c r="S102" s="9" t="n">
        <v>0</v>
      </c>
      <c r="U102" s="9" t="n">
        <v>0</v>
      </c>
      <c r="W102" s="9" t="n">
        <v>0</v>
      </c>
      <c r="Y102" s="9" t="n">
        <v>0</v>
      </c>
      <c r="AA102" s="9" t="n">
        <v>0</v>
      </c>
      <c r="AC102" s="9" t="n">
        <v>0</v>
      </c>
      <c r="AE102" s="9" t="n">
        <v>0</v>
      </c>
    </row>
    <row r="103">
      <c r="A103" s="9" t="inlineStr">
        <is>
          <t>LIMESTONE POWDER (HARUMI)</t>
        </is>
      </c>
      <c r="B103" s="9" t="n">
        <v>0.5</v>
      </c>
      <c r="C103" s="9" t="n">
        <v>5</v>
      </c>
      <c r="E103" s="9" t="n">
        <v>0</v>
      </c>
      <c r="G103" s="9" t="n">
        <v>0</v>
      </c>
      <c r="I103" s="9" t="n">
        <v>0</v>
      </c>
      <c r="K103" s="9" t="n">
        <v>0</v>
      </c>
      <c r="M103" s="9" t="n">
        <v>0</v>
      </c>
      <c r="O103" s="9" t="n">
        <v>0</v>
      </c>
      <c r="Q103" s="9" t="n">
        <v>0</v>
      </c>
      <c r="S103" s="9" t="n">
        <v>0</v>
      </c>
      <c r="U103" s="9" t="n">
        <v>0</v>
      </c>
      <c r="W103" s="9" t="n">
        <v>0</v>
      </c>
      <c r="Y103" s="9" t="n">
        <v>0</v>
      </c>
      <c r="AA103" s="9" t="n">
        <v>0</v>
      </c>
      <c r="AC103" s="9" t="n">
        <v>0</v>
      </c>
      <c r="AE103" s="9" t="n">
        <v>0</v>
      </c>
    </row>
    <row r="104">
      <c r="A104" s="9" t="inlineStr">
        <is>
          <t>CHOLINE CHLORIDE 60%</t>
        </is>
      </c>
      <c r="C104" s="9" t="n">
        <v>0</v>
      </c>
      <c r="E104" s="9" t="n">
        <v>0</v>
      </c>
      <c r="G104" s="9" t="n">
        <v>0</v>
      </c>
      <c r="I104" s="9" t="n">
        <v>0</v>
      </c>
      <c r="K104" s="9" t="n">
        <v>0</v>
      </c>
      <c r="M104" s="9" t="n">
        <v>0</v>
      </c>
      <c r="O104" s="9" t="n">
        <v>0</v>
      </c>
      <c r="Q104" s="9" t="n">
        <v>0</v>
      </c>
      <c r="S104" s="9" t="n">
        <v>0</v>
      </c>
      <c r="U104" s="9" t="n">
        <v>0</v>
      </c>
      <c r="W104" s="9" t="n">
        <v>0</v>
      </c>
      <c r="Y104" s="9" t="n">
        <v>0</v>
      </c>
      <c r="AA104" s="9" t="n">
        <v>0</v>
      </c>
      <c r="AC104" s="9" t="n">
        <v>0</v>
      </c>
      <c r="AE104" s="9" t="n">
        <v>0</v>
      </c>
    </row>
    <row r="105">
      <c r="A105" s="9" t="inlineStr">
        <is>
          <t>INDUSTRY FLOUR</t>
        </is>
      </c>
      <c r="C105" s="9" t="n">
        <v>0</v>
      </c>
      <c r="E105" s="9" t="n">
        <v>0</v>
      </c>
      <c r="G105" s="9" t="n">
        <v>0</v>
      </c>
      <c r="I105" s="9" t="n">
        <v>0</v>
      </c>
      <c r="K105" s="9" t="n">
        <v>0</v>
      </c>
      <c r="M105" s="9" t="n">
        <v>0</v>
      </c>
      <c r="O105" s="9" t="n">
        <v>0</v>
      </c>
      <c r="Q105" s="9" t="n">
        <v>0</v>
      </c>
      <c r="S105" s="9" t="n">
        <v>0</v>
      </c>
      <c r="U105" s="9" t="n">
        <v>0</v>
      </c>
      <c r="W105" s="9" t="n">
        <v>0</v>
      </c>
      <c r="Y105" s="9" t="n">
        <v>0</v>
      </c>
      <c r="AA105" s="9" t="n">
        <v>0</v>
      </c>
      <c r="AC105" s="9" t="n">
        <v>0</v>
      </c>
      <c r="AE105" s="9" t="n">
        <v>0</v>
      </c>
    </row>
    <row r="106">
      <c r="A106" s="9" t="inlineStr">
        <is>
          <t>RICE BRAN</t>
        </is>
      </c>
      <c r="C106" s="9" t="n">
        <v>0</v>
      </c>
      <c r="E106" s="9" t="n">
        <v>0</v>
      </c>
      <c r="G106" s="9" t="n">
        <v>0</v>
      </c>
      <c r="I106" s="9" t="n">
        <v>0</v>
      </c>
      <c r="K106" s="9" t="n">
        <v>0</v>
      </c>
      <c r="M106" s="9" t="n">
        <v>0</v>
      </c>
      <c r="O106" s="9" t="n">
        <v>0</v>
      </c>
      <c r="Q106" s="9" t="n">
        <v>0</v>
      </c>
      <c r="S106" s="9" t="n">
        <v>0</v>
      </c>
      <c r="U106" s="9" t="n">
        <v>0</v>
      </c>
      <c r="W106" s="9" t="n">
        <v>0</v>
      </c>
      <c r="Y106" s="9" t="n">
        <v>0</v>
      </c>
      <c r="AA106" s="9" t="n">
        <v>0</v>
      </c>
      <c r="AC106" s="9" t="n">
        <v>0</v>
      </c>
      <c r="AE106" s="9" t="n">
        <v>0</v>
      </c>
    </row>
    <row r="107">
      <c r="A107" s="9" t="inlineStr">
        <is>
          <t>EP 200</t>
        </is>
      </c>
      <c r="C107" s="9" t="n">
        <v>0</v>
      </c>
      <c r="E107" s="9" t="n">
        <v>0</v>
      </c>
      <c r="G107" s="9" t="n">
        <v>0</v>
      </c>
      <c r="I107" s="9" t="n">
        <v>0</v>
      </c>
      <c r="K107" s="9" t="n">
        <v>0</v>
      </c>
      <c r="M107" s="9" t="n">
        <v>0</v>
      </c>
      <c r="O107" s="9" t="n">
        <v>0</v>
      </c>
      <c r="Q107" s="9" t="n">
        <v>0</v>
      </c>
      <c r="S107" s="9" t="n">
        <v>0</v>
      </c>
      <c r="U107" s="9" t="n">
        <v>0</v>
      </c>
      <c r="W107" s="9" t="n">
        <v>0</v>
      </c>
      <c r="Y107" s="9" t="n">
        <v>0</v>
      </c>
      <c r="AA107" s="9" t="n">
        <v>0</v>
      </c>
      <c r="AC107" s="9" t="n">
        <v>0</v>
      </c>
      <c r="AE107" s="9" t="n">
        <v>0</v>
      </c>
    </row>
    <row r="108">
      <c r="A108" s="9" t="inlineStr">
        <is>
          <t>SOYTIDE</t>
        </is>
      </c>
      <c r="C108" s="9" t="n">
        <v>0</v>
      </c>
      <c r="E108" s="9" t="n">
        <v>0</v>
      </c>
      <c r="G108" s="9" t="n">
        <v>0</v>
      </c>
      <c r="I108" s="9" t="n">
        <v>0</v>
      </c>
      <c r="K108" s="9" t="n">
        <v>0</v>
      </c>
      <c r="M108" s="9" t="n">
        <v>0</v>
      </c>
      <c r="O108" s="9" t="n">
        <v>0</v>
      </c>
      <c r="Q108" s="9" t="n">
        <v>0</v>
      </c>
      <c r="S108" s="9" t="n">
        <v>0</v>
      </c>
      <c r="U108" s="9" t="n">
        <v>0</v>
      </c>
      <c r="W108" s="9" t="n">
        <v>0</v>
      </c>
      <c r="Y108" s="9" t="n">
        <v>0</v>
      </c>
      <c r="AA108" s="9" t="n">
        <v>0</v>
      </c>
      <c r="AC108" s="9" t="n">
        <v>0</v>
      </c>
      <c r="AE108" s="9" t="n">
        <v>0</v>
      </c>
    </row>
    <row r="109">
      <c r="A109" s="9" t="inlineStr">
        <is>
          <t>DCP 18% (HARUMI)</t>
        </is>
      </c>
      <c r="C109" s="9" t="n">
        <v>0</v>
      </c>
      <c r="E109" s="9" t="n">
        <v>0</v>
      </c>
      <c r="G109" s="9" t="n">
        <v>0</v>
      </c>
      <c r="I109" s="9" t="n">
        <v>0</v>
      </c>
      <c r="K109" s="9" t="n">
        <v>0</v>
      </c>
      <c r="M109" s="9" t="n">
        <v>0</v>
      </c>
      <c r="O109" s="9" t="n">
        <v>0</v>
      </c>
      <c r="Q109" s="9" t="n">
        <v>0</v>
      </c>
      <c r="S109" s="9" t="n">
        <v>0</v>
      </c>
      <c r="U109" s="9" t="n">
        <v>0</v>
      </c>
      <c r="W109" s="9" t="n">
        <v>0</v>
      </c>
      <c r="Y109" s="9" t="n">
        <v>0</v>
      </c>
      <c r="AA109" s="9" t="n">
        <v>0</v>
      </c>
      <c r="AC109" s="9" t="n">
        <v>0</v>
      </c>
      <c r="AE109" s="9" t="n">
        <v>0</v>
      </c>
    </row>
    <row r="110">
      <c r="A110" s="9" t="n">
        <v>1</v>
      </c>
      <c r="C110" s="9" t="n">
        <v>0</v>
      </c>
      <c r="E110" s="9" t="n">
        <v>0</v>
      </c>
      <c r="G110" s="9" t="n">
        <v>0</v>
      </c>
      <c r="I110" s="9" t="n">
        <v>0</v>
      </c>
      <c r="K110" s="9" t="n">
        <v>0</v>
      </c>
      <c r="M110" s="9" t="n">
        <v>0</v>
      </c>
      <c r="O110" s="9" t="n">
        <v>0</v>
      </c>
      <c r="Q110" s="9" t="n">
        <v>0</v>
      </c>
      <c r="S110" s="9" t="n">
        <v>0</v>
      </c>
      <c r="U110" s="9" t="n">
        <v>0</v>
      </c>
      <c r="W110" s="9" t="n">
        <v>0</v>
      </c>
      <c r="Y110" s="9" t="n">
        <v>0</v>
      </c>
      <c r="AA110" s="9" t="n">
        <v>0</v>
      </c>
      <c r="AC110" s="9" t="n">
        <v>0</v>
      </c>
      <c r="AE110" s="9" t="n">
        <v>0</v>
      </c>
    </row>
    <row r="111">
      <c r="A111" s="9" t="n">
        <v>2</v>
      </c>
      <c r="C111" s="9" t="n">
        <v>0</v>
      </c>
      <c r="E111" s="9" t="n">
        <v>0</v>
      </c>
      <c r="G111" s="9" t="n">
        <v>0</v>
      </c>
      <c r="I111" s="9" t="n">
        <v>0</v>
      </c>
      <c r="K111" s="9" t="n">
        <v>0</v>
      </c>
      <c r="M111" s="9" t="n">
        <v>0</v>
      </c>
      <c r="O111" s="9" t="n">
        <v>0</v>
      </c>
      <c r="Q111" s="9" t="n">
        <v>0</v>
      </c>
      <c r="S111" s="9" t="n">
        <v>0</v>
      </c>
      <c r="U111" s="9" t="n">
        <v>0</v>
      </c>
      <c r="W111" s="9" t="n">
        <v>0</v>
      </c>
      <c r="Y111" s="9" t="n">
        <v>0</v>
      </c>
      <c r="AA111" s="9" t="n">
        <v>0</v>
      </c>
      <c r="AC111" s="9" t="n">
        <v>0</v>
      </c>
      <c r="AE111" s="9" t="n">
        <v>0</v>
      </c>
    </row>
    <row r="112">
      <c r="A112" s="9" t="n">
        <v>3</v>
      </c>
      <c r="C112" s="9" t="n">
        <v>0</v>
      </c>
      <c r="E112" s="9" t="n">
        <v>0</v>
      </c>
      <c r="G112" s="9" t="n">
        <v>0</v>
      </c>
      <c r="I112" s="9" t="n">
        <v>0</v>
      </c>
      <c r="K112" s="9" t="n">
        <v>0</v>
      </c>
      <c r="M112" s="9" t="n">
        <v>0</v>
      </c>
      <c r="O112" s="9" t="n">
        <v>0</v>
      </c>
      <c r="Q112" s="9" t="n">
        <v>0</v>
      </c>
      <c r="S112" s="9" t="n">
        <v>0</v>
      </c>
      <c r="U112" s="9" t="n">
        <v>0</v>
      </c>
      <c r="W112" s="9" t="n">
        <v>0</v>
      </c>
      <c r="Y112" s="9" t="n">
        <v>0</v>
      </c>
      <c r="AA112" s="9" t="n">
        <v>0</v>
      </c>
      <c r="AC112" s="9" t="n">
        <v>0</v>
      </c>
      <c r="AE112" s="9" t="n">
        <v>0</v>
      </c>
    </row>
    <row r="113">
      <c r="A113" s="9" t="inlineStr">
        <is>
          <t>PREMIX 1101 (20KG)</t>
        </is>
      </c>
      <c r="C113" s="9" t="n">
        <v>0</v>
      </c>
      <c r="E113" s="9" t="n">
        <v>0</v>
      </c>
      <c r="G113" s="9" t="n">
        <v>0</v>
      </c>
      <c r="I113" s="9" t="n">
        <v>0</v>
      </c>
      <c r="K113" s="9" t="n">
        <v>0</v>
      </c>
      <c r="M113" s="9" t="n">
        <v>0</v>
      </c>
      <c r="O113" s="9" t="n">
        <v>0</v>
      </c>
      <c r="Q113" s="9" t="n">
        <v>0</v>
      </c>
      <c r="S113" s="9" t="n">
        <v>0</v>
      </c>
      <c r="U113" s="9" t="n">
        <v>0</v>
      </c>
      <c r="W113" s="9" t="n">
        <v>0</v>
      </c>
      <c r="Y113" s="9" t="n">
        <v>0</v>
      </c>
      <c r="AA113" s="9" t="n">
        <v>0</v>
      </c>
      <c r="AC113" s="9" t="n">
        <v>0</v>
      </c>
      <c r="AE113" s="9" t="n">
        <v>0</v>
      </c>
    </row>
    <row r="114">
      <c r="A114" s="9" t="inlineStr">
        <is>
          <t>PREMIX 1102 (20KG)</t>
        </is>
      </c>
      <c r="B114" s="9" t="n">
        <v>2</v>
      </c>
      <c r="C114" s="9" t="n">
        <v>20</v>
      </c>
      <c r="E114" s="9" t="n">
        <v>0</v>
      </c>
      <c r="G114" s="9" t="n">
        <v>0</v>
      </c>
      <c r="I114" s="9" t="n">
        <v>0</v>
      </c>
      <c r="K114" s="9" t="n">
        <v>0</v>
      </c>
      <c r="M114" s="9" t="n">
        <v>0</v>
      </c>
      <c r="O114" s="9" t="n">
        <v>0</v>
      </c>
      <c r="Q114" s="9" t="n">
        <v>0</v>
      </c>
      <c r="S114" s="9" t="n">
        <v>0</v>
      </c>
      <c r="U114" s="9" t="n">
        <v>0</v>
      </c>
      <c r="W114" s="9" t="n">
        <v>0</v>
      </c>
      <c r="Y114" s="9" t="n">
        <v>0</v>
      </c>
      <c r="AA114" s="9" t="n">
        <v>0</v>
      </c>
      <c r="AC114" s="9" t="n">
        <v>0</v>
      </c>
      <c r="AE114" s="9" t="n">
        <v>0</v>
      </c>
    </row>
    <row r="115">
      <c r="A115" s="9" t="inlineStr">
        <is>
          <t>PREMIX 1103 (20KG)</t>
        </is>
      </c>
      <c r="C115" s="9" t="n">
        <v>0</v>
      </c>
      <c r="E115" s="9" t="n">
        <v>0</v>
      </c>
      <c r="G115" s="9" t="n">
        <v>0</v>
      </c>
      <c r="I115" s="9" t="n">
        <v>0</v>
      </c>
      <c r="K115" s="9" t="n">
        <v>0</v>
      </c>
      <c r="M115" s="9" t="n">
        <v>0</v>
      </c>
      <c r="O115" s="9" t="n">
        <v>0</v>
      </c>
      <c r="Q115" s="9" t="n">
        <v>0</v>
      </c>
      <c r="S115" s="9" t="n">
        <v>0</v>
      </c>
      <c r="U115" s="9" t="n">
        <v>0</v>
      </c>
      <c r="W115" s="9" t="n">
        <v>0</v>
      </c>
      <c r="Y115" s="9" t="n">
        <v>0</v>
      </c>
      <c r="AA115" s="9" t="n">
        <v>0</v>
      </c>
      <c r="AC115" s="9" t="n">
        <v>0</v>
      </c>
      <c r="AE115" s="9" t="n">
        <v>0</v>
      </c>
    </row>
    <row r="116">
      <c r="A116" s="9" t="inlineStr">
        <is>
          <t>PREMIX 311 (20KG)</t>
        </is>
      </c>
      <c r="C116" s="9" t="n">
        <v>0</v>
      </c>
      <c r="E116" s="9" t="n">
        <v>0</v>
      </c>
      <c r="G116" s="9" t="n">
        <v>0</v>
      </c>
      <c r="I116" s="9" t="n">
        <v>0</v>
      </c>
      <c r="K116" s="9" t="n">
        <v>0</v>
      </c>
      <c r="M116" s="9" t="n">
        <v>0</v>
      </c>
      <c r="O116" s="9" t="n">
        <v>0</v>
      </c>
      <c r="Q116" s="9" t="n">
        <v>0</v>
      </c>
      <c r="S116" s="9" t="n">
        <v>0</v>
      </c>
      <c r="U116" s="9" t="n">
        <v>0</v>
      </c>
      <c r="W116" s="9" t="n">
        <v>0</v>
      </c>
      <c r="Y116" s="9" t="n">
        <v>0</v>
      </c>
      <c r="AA116" s="9" t="n">
        <v>0</v>
      </c>
      <c r="AC116" s="9" t="n">
        <v>0</v>
      </c>
      <c r="AE116" s="9" t="n">
        <v>0</v>
      </c>
    </row>
    <row r="117">
      <c r="A117" s="9" t="inlineStr">
        <is>
          <t>PREMIX 312 (20KG)</t>
        </is>
      </c>
      <c r="C117" s="9" t="n">
        <v>0</v>
      </c>
      <c r="E117" s="9" t="n">
        <v>0</v>
      </c>
      <c r="G117" s="9" t="n">
        <v>0</v>
      </c>
      <c r="I117" s="9" t="n">
        <v>0</v>
      </c>
      <c r="K117" s="9" t="n">
        <v>0</v>
      </c>
      <c r="M117" s="9" t="n">
        <v>0</v>
      </c>
      <c r="O117" s="9" t="n">
        <v>0</v>
      </c>
      <c r="Q117" s="9" t="n">
        <v>0</v>
      </c>
      <c r="S117" s="9" t="n">
        <v>0</v>
      </c>
      <c r="U117" s="9" t="n">
        <v>0</v>
      </c>
      <c r="W117" s="9" t="n">
        <v>0</v>
      </c>
      <c r="Y117" s="9" t="n">
        <v>0</v>
      </c>
      <c r="AA117" s="9" t="n">
        <v>0</v>
      </c>
      <c r="AC117" s="9" t="n">
        <v>0</v>
      </c>
      <c r="AE117" s="9" t="n">
        <v>0</v>
      </c>
    </row>
    <row r="118">
      <c r="A118" s="9" t="n">
        <v>1</v>
      </c>
      <c r="C118" s="9" t="n">
        <v>0</v>
      </c>
      <c r="E118" s="9" t="n">
        <v>0</v>
      </c>
      <c r="G118" s="9" t="n">
        <v>0</v>
      </c>
      <c r="I118" s="9" t="n">
        <v>0</v>
      </c>
      <c r="K118" s="9" t="n">
        <v>0</v>
      </c>
      <c r="M118" s="9" t="n">
        <v>0</v>
      </c>
      <c r="O118" s="9" t="n">
        <v>0</v>
      </c>
      <c r="Q118" s="9" t="n">
        <v>0</v>
      </c>
      <c r="S118" s="9" t="n">
        <v>0</v>
      </c>
      <c r="U118" s="9" t="n">
        <v>0</v>
      </c>
      <c r="W118" s="9" t="n">
        <v>0</v>
      </c>
      <c r="Y118" s="9" t="n">
        <v>0</v>
      </c>
      <c r="AA118" s="9" t="n">
        <v>0</v>
      </c>
      <c r="AC118" s="9" t="n">
        <v>0</v>
      </c>
      <c r="AE118" s="9" t="n">
        <v>0</v>
      </c>
    </row>
    <row r="119">
      <c r="A119" s="9" t="inlineStr">
        <is>
          <t>PREMIX 8100 (20KG)</t>
        </is>
      </c>
      <c r="C119" s="9" t="n">
        <v>0</v>
      </c>
      <c r="E119" s="9" t="n">
        <v>0</v>
      </c>
      <c r="G119" s="9" t="n">
        <v>0</v>
      </c>
      <c r="I119" s="9" t="n">
        <v>0</v>
      </c>
      <c r="K119" s="9" t="n">
        <v>0</v>
      </c>
      <c r="M119" s="9" t="n">
        <v>0</v>
      </c>
      <c r="O119" s="9" t="n">
        <v>0</v>
      </c>
      <c r="Q119" s="9" t="n">
        <v>0</v>
      </c>
      <c r="S119" s="9" t="n">
        <v>0</v>
      </c>
      <c r="U119" s="9" t="n">
        <v>0</v>
      </c>
      <c r="W119" s="9" t="n">
        <v>0</v>
      </c>
      <c r="Y119" s="9" t="n">
        <v>0</v>
      </c>
      <c r="AA119" s="9" t="n">
        <v>0</v>
      </c>
      <c r="AC119" s="9" t="n">
        <v>0</v>
      </c>
      <c r="AE119" s="9" t="n">
        <v>0</v>
      </c>
    </row>
    <row r="120">
      <c r="A120" s="9" t="inlineStr">
        <is>
          <t>PREMIX 8101 (20KG)</t>
        </is>
      </c>
      <c r="C120" s="9" t="n">
        <v>0</v>
      </c>
      <c r="E120" s="9" t="n">
        <v>0</v>
      </c>
      <c r="G120" s="9" t="n">
        <v>0</v>
      </c>
      <c r="I120" s="9" t="n">
        <v>0</v>
      </c>
      <c r="K120" s="9" t="n">
        <v>0</v>
      </c>
      <c r="M120" s="9" t="n">
        <v>0</v>
      </c>
      <c r="O120" s="9" t="n">
        <v>0</v>
      </c>
      <c r="Q120" s="9" t="n">
        <v>0</v>
      </c>
      <c r="S120" s="9" t="n">
        <v>0</v>
      </c>
      <c r="U120" s="9" t="n">
        <v>0</v>
      </c>
      <c r="W120" s="9" t="n">
        <v>0</v>
      </c>
      <c r="Y120" s="9" t="n">
        <v>0</v>
      </c>
      <c r="AA120" s="9" t="n">
        <v>0</v>
      </c>
      <c r="AC120" s="9" t="n">
        <v>0</v>
      </c>
      <c r="AE120" s="9" t="n">
        <v>0</v>
      </c>
    </row>
    <row r="121">
      <c r="A121" s="9" t="inlineStr">
        <is>
          <t>PREMIX 8102 (20KG)</t>
        </is>
      </c>
      <c r="C121" s="9" t="n">
        <v>0</v>
      </c>
      <c r="E121" s="9" t="n">
        <v>0</v>
      </c>
      <c r="G121" s="9" t="n">
        <v>0</v>
      </c>
      <c r="I121" s="9" t="n">
        <v>0</v>
      </c>
      <c r="K121" s="9" t="n">
        <v>0</v>
      </c>
      <c r="M121" s="9" t="n">
        <v>0</v>
      </c>
      <c r="O121" s="9" t="n">
        <v>0</v>
      </c>
      <c r="Q121" s="9" t="n">
        <v>0</v>
      </c>
      <c r="S121" s="9" t="n">
        <v>0</v>
      </c>
      <c r="U121" s="9" t="n">
        <v>0</v>
      </c>
      <c r="W121" s="9" t="n">
        <v>0</v>
      </c>
      <c r="Y121" s="9" t="n">
        <v>0</v>
      </c>
      <c r="AA121" s="9" t="n">
        <v>0</v>
      </c>
      <c r="AC121" s="9" t="n">
        <v>0</v>
      </c>
      <c r="AE121" s="9" t="n">
        <v>0</v>
      </c>
    </row>
    <row r="122">
      <c r="A122" s="9" t="inlineStr">
        <is>
          <t>PREMIX 8103 (20KG)</t>
        </is>
      </c>
      <c r="C122" s="9" t="n">
        <v>0</v>
      </c>
      <c r="E122" s="9" t="n">
        <v>0</v>
      </c>
      <c r="G122" s="9" t="n">
        <v>0</v>
      </c>
      <c r="I122" s="9" t="n">
        <v>0</v>
      </c>
      <c r="K122" s="9" t="n">
        <v>0</v>
      </c>
      <c r="M122" s="9" t="n">
        <v>0</v>
      </c>
      <c r="O122" s="9" t="n">
        <v>0</v>
      </c>
      <c r="Q122" s="9" t="n">
        <v>0</v>
      </c>
      <c r="S122" s="9" t="n">
        <v>0</v>
      </c>
      <c r="U122" s="9" t="n">
        <v>0</v>
      </c>
      <c r="W122" s="9" t="n">
        <v>0</v>
      </c>
      <c r="Y122" s="9" t="n">
        <v>0</v>
      </c>
      <c r="AA122" s="9" t="n">
        <v>0</v>
      </c>
      <c r="AC122" s="9" t="n">
        <v>0</v>
      </c>
      <c r="AE122" s="9" t="n">
        <v>0</v>
      </c>
    </row>
    <row r="123">
      <c r="A123" s="9" t="inlineStr">
        <is>
          <t>PREMIX 8108 (20KG)</t>
        </is>
      </c>
      <c r="C123" s="9" t="n">
        <v>0</v>
      </c>
      <c r="E123" s="9" t="n">
        <v>0</v>
      </c>
      <c r="G123" s="9" t="n">
        <v>0</v>
      </c>
      <c r="I123" s="9" t="n">
        <v>0</v>
      </c>
      <c r="K123" s="9" t="n">
        <v>0</v>
      </c>
      <c r="M123" s="9" t="n">
        <v>0</v>
      </c>
      <c r="O123" s="9" t="n">
        <v>0</v>
      </c>
      <c r="Q123" s="9" t="n">
        <v>0</v>
      </c>
      <c r="S123" s="9" t="n">
        <v>0</v>
      </c>
      <c r="U123" s="9" t="n">
        <v>0</v>
      </c>
      <c r="W123" s="9" t="n">
        <v>0</v>
      </c>
      <c r="Y123" s="9" t="n">
        <v>0</v>
      </c>
      <c r="AA123" s="9" t="n">
        <v>0</v>
      </c>
      <c r="AC123" s="9" t="n">
        <v>0</v>
      </c>
      <c r="AE123" s="9" t="n">
        <v>0</v>
      </c>
    </row>
    <row r="124">
      <c r="A124" s="9" t="inlineStr">
        <is>
          <t>PREMIX 8109 (20KG)</t>
        </is>
      </c>
      <c r="C124" s="9" t="n">
        <v>0</v>
      </c>
      <c r="E124" s="9" t="n">
        <v>0</v>
      </c>
      <c r="G124" s="9" t="n">
        <v>0</v>
      </c>
      <c r="I124" s="9" t="n">
        <v>0</v>
      </c>
      <c r="K124" s="9" t="n">
        <v>0</v>
      </c>
      <c r="M124" s="9" t="n">
        <v>0</v>
      </c>
      <c r="O124" s="9" t="n">
        <v>0</v>
      </c>
      <c r="Q124" s="9" t="n">
        <v>0</v>
      </c>
      <c r="S124" s="9" t="n">
        <v>0</v>
      </c>
      <c r="U124" s="9" t="n">
        <v>0</v>
      </c>
      <c r="W124" s="9" t="n">
        <v>0</v>
      </c>
      <c r="Y124" s="9" t="n">
        <v>0</v>
      </c>
      <c r="AA124" s="9" t="n">
        <v>0</v>
      </c>
      <c r="AC124" s="9" t="n">
        <v>0</v>
      </c>
      <c r="AE124" s="9" t="n">
        <v>0</v>
      </c>
    </row>
    <row r="125">
      <c r="A125" s="9" t="inlineStr">
        <is>
          <t>YENMIX 121 (20KG)</t>
        </is>
      </c>
      <c r="C125" s="9" t="n">
        <v>0</v>
      </c>
      <c r="E125" s="9" t="n">
        <v>0</v>
      </c>
      <c r="G125" s="9" t="n">
        <v>0</v>
      </c>
      <c r="I125" s="9" t="n">
        <v>0</v>
      </c>
      <c r="K125" s="9" t="n">
        <v>0</v>
      </c>
      <c r="M125" s="9" t="n">
        <v>0</v>
      </c>
      <c r="O125" s="9" t="n">
        <v>0</v>
      </c>
      <c r="Q125" s="9" t="n">
        <v>0</v>
      </c>
      <c r="S125" s="9" t="n">
        <v>0</v>
      </c>
      <c r="U125" s="9" t="n">
        <v>0</v>
      </c>
      <c r="W125" s="9" t="n">
        <v>0</v>
      </c>
      <c r="Y125" s="9" t="n">
        <v>0</v>
      </c>
      <c r="AA125" s="9" t="n">
        <v>0</v>
      </c>
      <c r="AC125" s="9" t="n">
        <v>0</v>
      </c>
      <c r="AE125" s="9" t="n">
        <v>0</v>
      </c>
    </row>
    <row r="126">
      <c r="A126" s="9" t="inlineStr">
        <is>
          <t>YENMIX 122 (19.50KG)</t>
        </is>
      </c>
      <c r="C126" s="9" t="n">
        <v>0</v>
      </c>
      <c r="E126" s="9" t="n">
        <v>0</v>
      </c>
      <c r="G126" s="9" t="n">
        <v>0</v>
      </c>
      <c r="I126" s="9" t="n">
        <v>0</v>
      </c>
      <c r="K126" s="9" t="n">
        <v>0</v>
      </c>
      <c r="M126" s="9" t="n">
        <v>0</v>
      </c>
      <c r="O126" s="9" t="n">
        <v>0</v>
      </c>
      <c r="Q126" s="9" t="n">
        <v>0</v>
      </c>
      <c r="S126" s="9" t="n">
        <v>0</v>
      </c>
      <c r="U126" s="9" t="n">
        <v>0</v>
      </c>
      <c r="W126" s="9" t="n">
        <v>0</v>
      </c>
      <c r="Y126" s="9" t="n">
        <v>0</v>
      </c>
      <c r="AA126" s="9" t="n">
        <v>0</v>
      </c>
      <c r="AC126" s="9" t="n">
        <v>0</v>
      </c>
      <c r="AE126" s="9" t="n">
        <v>0</v>
      </c>
    </row>
    <row r="127">
      <c r="A127" s="9" t="inlineStr">
        <is>
          <t>YENMIX 123 (18.90KG)</t>
        </is>
      </c>
      <c r="C127" s="9" t="n">
        <v>0</v>
      </c>
      <c r="E127" s="9" t="n">
        <v>0</v>
      </c>
      <c r="G127" s="9" t="n">
        <v>0</v>
      </c>
      <c r="I127" s="9" t="n">
        <v>0</v>
      </c>
      <c r="K127" s="9" t="n">
        <v>0</v>
      </c>
      <c r="M127" s="9" t="n">
        <v>0</v>
      </c>
      <c r="O127" s="9" t="n">
        <v>0</v>
      </c>
      <c r="Q127" s="9" t="n">
        <v>0</v>
      </c>
      <c r="S127" s="9" t="n">
        <v>0</v>
      </c>
      <c r="U127" s="9" t="n">
        <v>0</v>
      </c>
      <c r="W127" s="9" t="n">
        <v>0</v>
      </c>
      <c r="Y127" s="9" t="n">
        <v>0</v>
      </c>
      <c r="AA127" s="9" t="n">
        <v>0</v>
      </c>
      <c r="AC127" s="9" t="n">
        <v>0</v>
      </c>
      <c r="AE127" s="9" t="n">
        <v>0</v>
      </c>
    </row>
    <row r="128">
      <c r="A128" s="9" t="inlineStr">
        <is>
          <t>YENMIX 122 (20.50KG)</t>
        </is>
      </c>
      <c r="C128" s="9" t="n">
        <v>0</v>
      </c>
      <c r="E128" s="9" t="n">
        <v>0</v>
      </c>
      <c r="G128" s="9" t="n">
        <v>0</v>
      </c>
      <c r="I128" s="9" t="n">
        <v>0</v>
      </c>
      <c r="K128" s="9" t="n">
        <v>0</v>
      </c>
      <c r="M128" s="9" t="n">
        <v>0</v>
      </c>
      <c r="O128" s="9" t="n">
        <v>0</v>
      </c>
      <c r="Q128" s="9" t="n">
        <v>0</v>
      </c>
      <c r="S128" s="9" t="n">
        <v>0</v>
      </c>
      <c r="U128" s="9" t="n">
        <v>0</v>
      </c>
      <c r="W128" s="9" t="n">
        <v>0</v>
      </c>
      <c r="Y128" s="9" t="n">
        <v>0</v>
      </c>
      <c r="AA128" s="9" t="n">
        <v>0</v>
      </c>
      <c r="AC128" s="9" t="n">
        <v>0</v>
      </c>
      <c r="AE128" s="9" t="n">
        <v>0</v>
      </c>
    </row>
    <row r="129">
      <c r="A129" s="9" t="inlineStr">
        <is>
          <t>YENMIX 123 (20.00KG)</t>
        </is>
      </c>
      <c r="C129" s="9" t="n">
        <v>0</v>
      </c>
      <c r="E129" s="9" t="n">
        <v>0</v>
      </c>
      <c r="G129" s="9" t="n">
        <v>0</v>
      </c>
      <c r="I129" s="9" t="n">
        <v>0</v>
      </c>
      <c r="K129" s="9" t="n">
        <v>0</v>
      </c>
      <c r="M129" s="9" t="n">
        <v>0</v>
      </c>
      <c r="O129" s="9" t="n">
        <v>0</v>
      </c>
      <c r="Q129" s="9" t="n">
        <v>0</v>
      </c>
      <c r="S129" s="9" t="n">
        <v>0</v>
      </c>
      <c r="U129" s="9" t="n">
        <v>0</v>
      </c>
      <c r="W129" s="9" t="n">
        <v>0</v>
      </c>
      <c r="Y129" s="9" t="n">
        <v>0</v>
      </c>
      <c r="AA129" s="9" t="n">
        <v>0</v>
      </c>
      <c r="AC129" s="9" t="n">
        <v>0</v>
      </c>
      <c r="AE129" s="9" t="n">
        <v>0</v>
      </c>
    </row>
    <row r="130">
      <c r="A130" s="9" t="n">
        <v>1</v>
      </c>
      <c r="C130" s="9" t="n">
        <v>0</v>
      </c>
      <c r="E130" s="9" t="n">
        <v>0</v>
      </c>
      <c r="G130" s="9" t="n">
        <v>0</v>
      </c>
      <c r="I130" s="9" t="n">
        <v>0</v>
      </c>
      <c r="K130" s="9" t="n">
        <v>0</v>
      </c>
      <c r="M130" s="9" t="n">
        <v>0</v>
      </c>
      <c r="O130" s="9" t="n">
        <v>0</v>
      </c>
      <c r="Q130" s="9" t="n">
        <v>0</v>
      </c>
      <c r="S130" s="9" t="n">
        <v>0</v>
      </c>
      <c r="U130" s="9" t="n">
        <v>0</v>
      </c>
      <c r="W130" s="9" t="n">
        <v>0</v>
      </c>
      <c r="Y130" s="9" t="n">
        <v>0</v>
      </c>
      <c r="AA130" s="9" t="n">
        <v>0</v>
      </c>
      <c r="AC130" s="9" t="n">
        <v>0</v>
      </c>
      <c r="AE130" s="9" t="n">
        <v>0</v>
      </c>
    </row>
    <row r="131">
      <c r="A131" s="9" t="n">
        <v>2</v>
      </c>
      <c r="C131" s="9" t="n">
        <v>0</v>
      </c>
      <c r="E131" s="9" t="n">
        <v>0</v>
      </c>
      <c r="G131" s="9" t="n">
        <v>0</v>
      </c>
      <c r="I131" s="9" t="n">
        <v>0</v>
      </c>
      <c r="K131" s="9" t="n">
        <v>0</v>
      </c>
      <c r="M131" s="9" t="n">
        <v>0</v>
      </c>
      <c r="O131" s="9" t="n">
        <v>0</v>
      </c>
      <c r="Q131" s="9" t="n">
        <v>0</v>
      </c>
      <c r="S131" s="9" t="n">
        <v>0</v>
      </c>
      <c r="U131" s="9" t="n">
        <v>0</v>
      </c>
      <c r="W131" s="9" t="n">
        <v>0</v>
      </c>
      <c r="Y131" s="9" t="n">
        <v>0</v>
      </c>
      <c r="AA131" s="9" t="n">
        <v>0</v>
      </c>
      <c r="AC131" s="9" t="n">
        <v>0</v>
      </c>
      <c r="AE131" s="9" t="n">
        <v>0</v>
      </c>
    </row>
    <row r="132">
      <c r="A132" s="9" t="n">
        <v>3</v>
      </c>
      <c r="C132" s="9" t="n">
        <v>0</v>
      </c>
      <c r="E132" s="9" t="n">
        <v>0</v>
      </c>
      <c r="G132" s="9" t="n">
        <v>0</v>
      </c>
      <c r="I132" s="9" t="n">
        <v>0</v>
      </c>
      <c r="K132" s="9" t="n">
        <v>0</v>
      </c>
      <c r="M132" s="9" t="n">
        <v>0</v>
      </c>
      <c r="O132" s="9" t="n">
        <v>0</v>
      </c>
      <c r="Q132" s="9" t="n">
        <v>0</v>
      </c>
      <c r="S132" s="9" t="n">
        <v>0</v>
      </c>
      <c r="U132" s="9" t="n">
        <v>0</v>
      </c>
      <c r="W132" s="9" t="n">
        <v>0</v>
      </c>
      <c r="Y132" s="9" t="n">
        <v>0</v>
      </c>
      <c r="AA132" s="9" t="n">
        <v>0</v>
      </c>
      <c r="AC132" s="9" t="n">
        <v>0</v>
      </c>
      <c r="AE132" s="9" t="n">
        <v>0</v>
      </c>
    </row>
    <row r="133">
      <c r="A133" s="9" t="inlineStr">
        <is>
          <t>TOXISORB PREMIUM</t>
        </is>
      </c>
      <c r="B133" s="9" t="n">
        <v>0.05</v>
      </c>
      <c r="C133" s="9" t="n">
        <v>0.5</v>
      </c>
      <c r="E133" s="9" t="n">
        <v>0</v>
      </c>
      <c r="G133" s="9" t="n">
        <v>0</v>
      </c>
      <c r="I133" s="9" t="n">
        <v>0</v>
      </c>
      <c r="K133" s="9" t="n">
        <v>0</v>
      </c>
      <c r="M133" s="9" t="n">
        <v>0</v>
      </c>
      <c r="O133" s="9" t="n">
        <v>0</v>
      </c>
      <c r="Q133" s="9" t="n">
        <v>0</v>
      </c>
      <c r="S133" s="9" t="n">
        <v>0</v>
      </c>
      <c r="U133" s="9" t="n">
        <v>0</v>
      </c>
      <c r="W133" s="9" t="n">
        <v>0</v>
      </c>
      <c r="Y133" s="9" t="n">
        <v>0</v>
      </c>
      <c r="AA133" s="9" t="n">
        <v>0</v>
      </c>
      <c r="AC133" s="9" t="n">
        <v>0</v>
      </c>
      <c r="AE133" s="9" t="n">
        <v>0</v>
      </c>
    </row>
    <row r="134">
      <c r="A134" s="9" t="inlineStr">
        <is>
          <t>SODIUM HUMATE 3.8% (HARUMI)</t>
        </is>
      </c>
      <c r="C134" s="9" t="n">
        <v>0</v>
      </c>
      <c r="E134" s="9" t="n">
        <v>0</v>
      </c>
      <c r="G134" s="9" t="n">
        <v>0</v>
      </c>
      <c r="I134" s="9" t="n">
        <v>0</v>
      </c>
      <c r="K134" s="9" t="n">
        <v>0</v>
      </c>
      <c r="M134" s="9" t="n">
        <v>0</v>
      </c>
      <c r="O134" s="9" t="n">
        <v>0</v>
      </c>
      <c r="Q134" s="9" t="n">
        <v>0</v>
      </c>
      <c r="S134" s="9" t="n">
        <v>0</v>
      </c>
      <c r="U134" s="9" t="n">
        <v>0</v>
      </c>
      <c r="W134" s="9" t="n">
        <v>0</v>
      </c>
      <c r="Y134" s="9" t="n">
        <v>0</v>
      </c>
      <c r="AA134" s="9" t="n">
        <v>0</v>
      </c>
      <c r="AC134" s="9" t="n">
        <v>0</v>
      </c>
      <c r="AE134" s="9" t="n">
        <v>0</v>
      </c>
    </row>
    <row r="135">
      <c r="A135" s="9" t="inlineStr">
        <is>
          <t>TOXIWALL</t>
        </is>
      </c>
      <c r="C135" s="9" t="n">
        <v>0</v>
      </c>
      <c r="E135" s="9" t="n">
        <v>0</v>
      </c>
      <c r="G135" s="9" t="n">
        <v>0</v>
      </c>
      <c r="I135" s="9" t="n">
        <v>0</v>
      </c>
      <c r="K135" s="9" t="n">
        <v>0</v>
      </c>
      <c r="M135" s="9" t="n">
        <v>0</v>
      </c>
      <c r="O135" s="9" t="n">
        <v>0</v>
      </c>
      <c r="Q135" s="9" t="n">
        <v>0</v>
      </c>
      <c r="S135" s="9" t="n">
        <v>0</v>
      </c>
      <c r="U135" s="9" t="n">
        <v>0</v>
      </c>
      <c r="W135" s="9" t="n">
        <v>0</v>
      </c>
      <c r="Y135" s="9" t="n">
        <v>0</v>
      </c>
      <c r="AA135" s="9" t="n">
        <v>0</v>
      </c>
      <c r="AC135" s="9" t="n">
        <v>0</v>
      </c>
      <c r="AE135" s="9" t="n">
        <v>0</v>
      </c>
    </row>
    <row r="136">
      <c r="A136" s="9" t="inlineStr">
        <is>
          <t>SODIUM BICARBONATE</t>
        </is>
      </c>
      <c r="C136" s="9" t="n">
        <v>0</v>
      </c>
      <c r="E136" s="9" t="n">
        <v>0</v>
      </c>
      <c r="G136" s="9" t="n">
        <v>0</v>
      </c>
      <c r="I136" s="9" t="n">
        <v>0</v>
      </c>
      <c r="K136" s="9" t="n">
        <v>0</v>
      </c>
      <c r="M136" s="9" t="n">
        <v>0</v>
      </c>
      <c r="O136" s="9" t="n">
        <v>0</v>
      </c>
      <c r="Q136" s="9" t="n">
        <v>0</v>
      </c>
      <c r="S136" s="9" t="n">
        <v>0</v>
      </c>
      <c r="U136" s="9" t="n">
        <v>0</v>
      </c>
      <c r="W136" s="9" t="n">
        <v>0</v>
      </c>
      <c r="Y136" s="9" t="n">
        <v>0</v>
      </c>
      <c r="AA136" s="9" t="n">
        <v>0</v>
      </c>
      <c r="AC136" s="9" t="n">
        <v>0</v>
      </c>
      <c r="AE136" s="9" t="n">
        <v>0</v>
      </c>
    </row>
    <row r="137">
      <c r="A137" s="9" t="inlineStr">
        <is>
          <t>BMD 10%</t>
        </is>
      </c>
      <c r="C137" s="9" t="n">
        <v>0</v>
      </c>
      <c r="E137" s="9" t="n">
        <v>0</v>
      </c>
      <c r="G137" s="9" t="n">
        <v>0</v>
      </c>
      <c r="I137" s="9" t="n">
        <v>0</v>
      </c>
      <c r="K137" s="9" t="n">
        <v>0</v>
      </c>
      <c r="M137" s="9" t="n">
        <v>0</v>
      </c>
      <c r="O137" s="9" t="n">
        <v>0</v>
      </c>
      <c r="Q137" s="9" t="n">
        <v>0</v>
      </c>
      <c r="S137" s="9" t="n">
        <v>0</v>
      </c>
      <c r="U137" s="9" t="n">
        <v>0</v>
      </c>
      <c r="W137" s="9" t="n">
        <v>0</v>
      </c>
      <c r="Y137" s="9" t="n">
        <v>0</v>
      </c>
      <c r="AA137" s="9" t="n">
        <v>0</v>
      </c>
      <c r="AC137" s="9" t="n">
        <v>0</v>
      </c>
      <c r="AE137" s="9" t="n">
        <v>0</v>
      </c>
    </row>
    <row r="138">
      <c r="A138" s="9" t="inlineStr">
        <is>
          <t>SALT (HARUMI)</t>
        </is>
      </c>
      <c r="C138" s="9" t="n">
        <v>0</v>
      </c>
      <c r="E138" s="9" t="n">
        <v>0</v>
      </c>
      <c r="G138" s="9" t="n">
        <v>0</v>
      </c>
      <c r="I138" s="9" t="n">
        <v>0</v>
      </c>
      <c r="K138" s="9" t="n">
        <v>0</v>
      </c>
      <c r="M138" s="9" t="n">
        <v>0</v>
      </c>
      <c r="O138" s="9" t="n">
        <v>0</v>
      </c>
      <c r="Q138" s="9" t="n">
        <v>0</v>
      </c>
      <c r="S138" s="9" t="n">
        <v>0</v>
      </c>
      <c r="U138" s="9" t="n">
        <v>0</v>
      </c>
      <c r="W138" s="9" t="n">
        <v>0</v>
      </c>
      <c r="Y138" s="9" t="n">
        <v>0</v>
      </c>
      <c r="AA138" s="9" t="n">
        <v>0</v>
      </c>
      <c r="AC138" s="9" t="n">
        <v>0</v>
      </c>
      <c r="AE138" s="9" t="n">
        <v>0</v>
      </c>
    </row>
    <row r="139">
      <c r="A139" s="9" t="inlineStr">
        <is>
          <t>VISTABET 91</t>
        </is>
      </c>
      <c r="C139" s="9" t="n">
        <v>0</v>
      </c>
      <c r="E139" s="9" t="n">
        <v>0</v>
      </c>
      <c r="G139" s="9" t="n">
        <v>0</v>
      </c>
      <c r="I139" s="9" t="n">
        <v>0</v>
      </c>
      <c r="K139" s="9" t="n">
        <v>0</v>
      </c>
      <c r="M139" s="9" t="n">
        <v>0</v>
      </c>
      <c r="O139" s="9" t="n">
        <v>0</v>
      </c>
      <c r="Q139" s="9" t="n">
        <v>0</v>
      </c>
      <c r="S139" s="9" t="n">
        <v>0</v>
      </c>
      <c r="U139" s="9" t="n">
        <v>0</v>
      </c>
      <c r="W139" s="9" t="n">
        <v>0</v>
      </c>
      <c r="Y139" s="9" t="n">
        <v>0</v>
      </c>
      <c r="AA139" s="9" t="n">
        <v>0</v>
      </c>
      <c r="AC139" s="9" t="n">
        <v>0</v>
      </c>
      <c r="AE139" s="9" t="n">
        <v>0</v>
      </c>
    </row>
    <row r="140">
      <c r="A140" s="9" t="inlineStr">
        <is>
          <t>BETAFIN</t>
        </is>
      </c>
      <c r="C140" s="9" t="n">
        <v>0</v>
      </c>
      <c r="E140" s="9" t="n">
        <v>0</v>
      </c>
      <c r="G140" s="9" t="n">
        <v>0</v>
      </c>
      <c r="I140" s="9" t="n">
        <v>0</v>
      </c>
      <c r="K140" s="9" t="n">
        <v>0</v>
      </c>
      <c r="M140" s="9" t="n">
        <v>0</v>
      </c>
      <c r="O140" s="9" t="n">
        <v>0</v>
      </c>
      <c r="Q140" s="9" t="n">
        <v>0</v>
      </c>
      <c r="S140" s="9" t="n">
        <v>0</v>
      </c>
      <c r="U140" s="9" t="n">
        <v>0</v>
      </c>
      <c r="W140" s="9" t="n">
        <v>0</v>
      </c>
      <c r="Y140" s="9" t="n">
        <v>0</v>
      </c>
      <c r="AA140" s="9" t="n">
        <v>0</v>
      </c>
      <c r="AC140" s="9" t="n">
        <v>0</v>
      </c>
      <c r="AE140" s="9" t="n">
        <v>0</v>
      </c>
    </row>
    <row r="141">
      <c r="A141" s="9" t="inlineStr">
        <is>
          <t>8101 TOP UP</t>
        </is>
      </c>
      <c r="C141" s="9" t="n">
        <v>0</v>
      </c>
      <c r="E141" s="9" t="n">
        <v>0</v>
      </c>
      <c r="G141" s="9" t="n">
        <v>0</v>
      </c>
      <c r="I141" s="9" t="n">
        <v>0</v>
      </c>
      <c r="K141" s="9" t="n">
        <v>0</v>
      </c>
      <c r="M141" s="9" t="n">
        <v>0</v>
      </c>
      <c r="O141" s="9" t="n">
        <v>0</v>
      </c>
      <c r="Q141" s="9" t="n">
        <v>0</v>
      </c>
      <c r="S141" s="9" t="n">
        <v>0</v>
      </c>
      <c r="U141" s="9" t="n">
        <v>0</v>
      </c>
      <c r="W141" s="9" t="n">
        <v>0</v>
      </c>
      <c r="Y141" s="9" t="n">
        <v>0</v>
      </c>
      <c r="AA141" s="9" t="n">
        <v>0</v>
      </c>
      <c r="AC141" s="9" t="n">
        <v>0</v>
      </c>
      <c r="AE141" s="9" t="n">
        <v>0</v>
      </c>
    </row>
    <row r="142">
      <c r="A142" s="9" t="inlineStr">
        <is>
          <t>NORPONIN X03 (8102 TOP UP)</t>
        </is>
      </c>
      <c r="C142" s="9" t="n">
        <v>0</v>
      </c>
      <c r="E142" s="9" t="n">
        <v>0</v>
      </c>
      <c r="G142" s="9" t="n">
        <v>0</v>
      </c>
      <c r="I142" s="9" t="n">
        <v>0</v>
      </c>
      <c r="K142" s="9" t="n">
        <v>0</v>
      </c>
      <c r="M142" s="9" t="n">
        <v>0</v>
      </c>
      <c r="O142" s="9" t="n">
        <v>0</v>
      </c>
      <c r="Q142" s="9" t="n">
        <v>0</v>
      </c>
      <c r="S142" s="9" t="n">
        <v>0</v>
      </c>
      <c r="U142" s="9" t="n">
        <v>0</v>
      </c>
      <c r="W142" s="9" t="n">
        <v>0</v>
      </c>
      <c r="Y142" s="9" t="n">
        <v>0</v>
      </c>
      <c r="AA142" s="9" t="n">
        <v>0</v>
      </c>
      <c r="AC142" s="9" t="n">
        <v>0</v>
      </c>
      <c r="AE142" s="9" t="n">
        <v>0</v>
      </c>
    </row>
    <row r="143">
      <c r="A143" s="9" t="inlineStr">
        <is>
          <t>8102 TOP UP (4KG)</t>
        </is>
      </c>
      <c r="C143" s="9" t="n">
        <v>0</v>
      </c>
      <c r="E143" s="9" t="n">
        <v>0</v>
      </c>
      <c r="G143" s="9" t="n">
        <v>0</v>
      </c>
      <c r="I143" s="9" t="n">
        <v>0</v>
      </c>
      <c r="K143" s="9" t="n">
        <v>0</v>
      </c>
      <c r="M143" s="9" t="n">
        <v>0</v>
      </c>
      <c r="O143" s="9" t="n">
        <v>0</v>
      </c>
      <c r="Q143" s="9" t="n">
        <v>0</v>
      </c>
      <c r="S143" s="9" t="n">
        <v>0</v>
      </c>
      <c r="U143" s="9" t="n">
        <v>0</v>
      </c>
      <c r="W143" s="9" t="n">
        <v>0</v>
      </c>
      <c r="Y143" s="9" t="n">
        <v>0</v>
      </c>
      <c r="AA143" s="9" t="n">
        <v>0</v>
      </c>
      <c r="AC143" s="9" t="n">
        <v>0</v>
      </c>
      <c r="AE143" s="9" t="n">
        <v>0</v>
      </c>
    </row>
    <row r="144">
      <c r="A144" s="9" t="inlineStr">
        <is>
          <t>8103 TOP UP (5KG)</t>
        </is>
      </c>
      <c r="C144" s="9" t="n">
        <v>0</v>
      </c>
      <c r="E144" s="9" t="n">
        <v>0</v>
      </c>
      <c r="G144" s="9" t="n">
        <v>0</v>
      </c>
      <c r="I144" s="9" t="n">
        <v>0</v>
      </c>
      <c r="K144" s="9" t="n">
        <v>0</v>
      </c>
      <c r="M144" s="9" t="n">
        <v>0</v>
      </c>
      <c r="O144" s="9" t="n">
        <v>0</v>
      </c>
      <c r="Q144" s="9" t="n">
        <v>0</v>
      </c>
      <c r="S144" s="9" t="n">
        <v>0</v>
      </c>
      <c r="U144" s="9" t="n">
        <v>0</v>
      </c>
      <c r="W144" s="9" t="n">
        <v>0</v>
      </c>
      <c r="Y144" s="9" t="n">
        <v>0</v>
      </c>
      <c r="AA144" s="9" t="n">
        <v>0</v>
      </c>
      <c r="AC144" s="9" t="n">
        <v>0</v>
      </c>
      <c r="AE144" s="9" t="n">
        <v>0</v>
      </c>
    </row>
    <row r="145">
      <c r="A145" s="9" t="inlineStr">
        <is>
          <t>L-ARGININE</t>
        </is>
      </c>
      <c r="C145" s="9" t="n">
        <v>0</v>
      </c>
      <c r="E145" s="9" t="n">
        <v>0</v>
      </c>
      <c r="G145" s="9" t="n">
        <v>0</v>
      </c>
      <c r="I145" s="9" t="n">
        <v>0</v>
      </c>
      <c r="K145" s="9" t="n">
        <v>0</v>
      </c>
      <c r="M145" s="9" t="n">
        <v>0</v>
      </c>
      <c r="O145" s="9" t="n">
        <v>0</v>
      </c>
      <c r="Q145" s="9" t="n">
        <v>0</v>
      </c>
      <c r="S145" s="9" t="n">
        <v>0</v>
      </c>
      <c r="U145" s="9" t="n">
        <v>0</v>
      </c>
      <c r="W145" s="9" t="n">
        <v>0</v>
      </c>
      <c r="Y145" s="9" t="n">
        <v>0</v>
      </c>
      <c r="AA145" s="9" t="n">
        <v>0</v>
      </c>
      <c r="AC145" s="9" t="n">
        <v>0</v>
      </c>
      <c r="AE145" s="9" t="n">
        <v>0</v>
      </c>
    </row>
    <row r="146">
      <c r="A146" s="9" t="inlineStr">
        <is>
          <t>DL-METHIONINE</t>
        </is>
      </c>
      <c r="C146" s="9" t="n">
        <v>0</v>
      </c>
      <c r="E146" s="9" t="n">
        <v>0</v>
      </c>
      <c r="G146" s="9" t="n">
        <v>0</v>
      </c>
      <c r="I146" s="9" t="n">
        <v>0</v>
      </c>
      <c r="K146" s="9" t="n">
        <v>0</v>
      </c>
      <c r="M146" s="9" t="n">
        <v>0</v>
      </c>
      <c r="O146" s="9" t="n">
        <v>0</v>
      </c>
      <c r="Q146" s="9" t="n">
        <v>0</v>
      </c>
      <c r="S146" s="9" t="n">
        <v>0</v>
      </c>
      <c r="U146" s="9" t="n">
        <v>0</v>
      </c>
      <c r="W146" s="9" t="n">
        <v>0</v>
      </c>
      <c r="Y146" s="9" t="n">
        <v>0</v>
      </c>
      <c r="AA146" s="9" t="n">
        <v>0</v>
      </c>
      <c r="AC146" s="9" t="n">
        <v>0</v>
      </c>
      <c r="AE146" s="9" t="n">
        <v>0</v>
      </c>
    </row>
    <row r="147">
      <c r="A147" s="9" t="inlineStr">
        <is>
          <t>L-THREONINE</t>
        </is>
      </c>
      <c r="C147" s="9" t="n">
        <v>0</v>
      </c>
      <c r="E147" s="9" t="n">
        <v>0</v>
      </c>
      <c r="G147" s="9" t="n">
        <v>0</v>
      </c>
      <c r="I147" s="9" t="n">
        <v>0</v>
      </c>
      <c r="K147" s="9" t="n">
        <v>0</v>
      </c>
      <c r="M147" s="9" t="n">
        <v>0</v>
      </c>
      <c r="O147" s="9" t="n">
        <v>0</v>
      </c>
      <c r="Q147" s="9" t="n">
        <v>0</v>
      </c>
      <c r="S147" s="9" t="n">
        <v>0</v>
      </c>
      <c r="U147" s="9" t="n">
        <v>0</v>
      </c>
      <c r="W147" s="9" t="n">
        <v>0</v>
      </c>
      <c r="Y147" s="9" t="n">
        <v>0</v>
      </c>
      <c r="AA147" s="9" t="n">
        <v>0</v>
      </c>
      <c r="AC147" s="9" t="n">
        <v>0</v>
      </c>
      <c r="AE147" s="9" t="n">
        <v>0</v>
      </c>
    </row>
    <row r="148">
      <c r="A148" s="9" t="inlineStr">
        <is>
          <t>L-LYSINE</t>
        </is>
      </c>
      <c r="C148" s="9" t="n">
        <v>0</v>
      </c>
      <c r="E148" s="9" t="n">
        <v>0</v>
      </c>
      <c r="G148" s="9" t="n">
        <v>0</v>
      </c>
      <c r="I148" s="9" t="n">
        <v>0</v>
      </c>
      <c r="K148" s="9" t="n">
        <v>0</v>
      </c>
      <c r="M148" s="9" t="n">
        <v>0</v>
      </c>
      <c r="O148" s="9" t="n">
        <v>0</v>
      </c>
      <c r="Q148" s="9" t="n">
        <v>0</v>
      </c>
      <c r="S148" s="9" t="n">
        <v>0</v>
      </c>
      <c r="U148" s="9" t="n">
        <v>0</v>
      </c>
      <c r="W148" s="9" t="n">
        <v>0</v>
      </c>
      <c r="Y148" s="9" t="n">
        <v>0</v>
      </c>
      <c r="AA148" s="9" t="n">
        <v>0</v>
      </c>
      <c r="AC148" s="9" t="n">
        <v>0</v>
      </c>
      <c r="AE148" s="9" t="n">
        <v>0</v>
      </c>
    </row>
    <row r="149">
      <c r="A149" s="9" t="inlineStr">
        <is>
          <t>FAECES DRY</t>
        </is>
      </c>
      <c r="C149" s="9" t="n">
        <v>0</v>
      </c>
      <c r="E149" s="9" t="n">
        <v>0</v>
      </c>
      <c r="G149" s="9" t="n">
        <v>0</v>
      </c>
      <c r="I149" s="9" t="n">
        <v>0</v>
      </c>
      <c r="K149" s="9" t="n">
        <v>0</v>
      </c>
      <c r="M149" s="9" t="n">
        <v>0</v>
      </c>
      <c r="O149" s="9" t="n">
        <v>0</v>
      </c>
      <c r="Q149" s="9" t="n">
        <v>0</v>
      </c>
      <c r="S149" s="9" t="n">
        <v>0</v>
      </c>
      <c r="U149" s="9" t="n">
        <v>0</v>
      </c>
      <c r="W149" s="9" t="n">
        <v>0</v>
      </c>
      <c r="Y149" s="9" t="n">
        <v>0</v>
      </c>
      <c r="AA149" s="9" t="n">
        <v>0</v>
      </c>
      <c r="AC149" s="9" t="n">
        <v>0</v>
      </c>
      <c r="AE149" s="9" t="n">
        <v>0</v>
      </c>
    </row>
    <row r="150">
      <c r="A150" s="9" t="inlineStr">
        <is>
          <t>ECOBIOL</t>
        </is>
      </c>
      <c r="C150" s="9" t="n">
        <v>0</v>
      </c>
      <c r="E150" s="9" t="n">
        <v>0</v>
      </c>
      <c r="G150" s="9" t="n">
        <v>0</v>
      </c>
      <c r="I150" s="9" t="n">
        <v>0</v>
      </c>
      <c r="K150" s="9" t="n">
        <v>0</v>
      </c>
      <c r="M150" s="9" t="n">
        <v>0</v>
      </c>
      <c r="O150" s="9" t="n">
        <v>0</v>
      </c>
      <c r="Q150" s="9" t="n">
        <v>0</v>
      </c>
      <c r="S150" s="9" t="n">
        <v>0</v>
      </c>
      <c r="U150" s="9" t="n">
        <v>0</v>
      </c>
      <c r="W150" s="9" t="n">
        <v>0</v>
      </c>
      <c r="Y150" s="9" t="n">
        <v>0</v>
      </c>
      <c r="AA150" s="9" t="n">
        <v>0</v>
      </c>
      <c r="AC150" s="9" t="n">
        <v>0</v>
      </c>
      <c r="AE150" s="9" t="n">
        <v>0</v>
      </c>
    </row>
    <row r="151">
      <c r="A151" s="9" t="inlineStr">
        <is>
          <t>ADDITIVE BROILER IMMUNE</t>
        </is>
      </c>
      <c r="C151" s="9" t="n">
        <v>0</v>
      </c>
      <c r="E151" s="9" t="n">
        <v>0</v>
      </c>
      <c r="G151" s="9" t="n">
        <v>0</v>
      </c>
      <c r="I151" s="9" t="n">
        <v>0</v>
      </c>
      <c r="K151" s="9" t="n">
        <v>0</v>
      </c>
      <c r="M151" s="9" t="n">
        <v>0</v>
      </c>
      <c r="O151" s="9" t="n">
        <v>0</v>
      </c>
      <c r="Q151" s="9" t="n">
        <v>0</v>
      </c>
      <c r="S151" s="9" t="n">
        <v>0</v>
      </c>
      <c r="U151" s="9" t="n">
        <v>0</v>
      </c>
      <c r="W151" s="9" t="n">
        <v>0</v>
      </c>
      <c r="Y151" s="9" t="n">
        <v>0</v>
      </c>
      <c r="AA151" s="9" t="n">
        <v>0</v>
      </c>
      <c r="AC151" s="9" t="n">
        <v>0</v>
      </c>
      <c r="AE151" s="9" t="n">
        <v>0</v>
      </c>
    </row>
    <row r="152">
      <c r="A152" s="9" t="inlineStr">
        <is>
          <t>MASTER CUBE (HARUMI)</t>
        </is>
      </c>
      <c r="C152" s="9" t="n">
        <v>0</v>
      </c>
      <c r="E152" s="9" t="n">
        <v>0</v>
      </c>
      <c r="G152" s="9" t="n">
        <v>0</v>
      </c>
      <c r="I152" s="9" t="n">
        <v>0</v>
      </c>
      <c r="K152" s="9" t="n">
        <v>0</v>
      </c>
      <c r="M152" s="9" t="n">
        <v>0</v>
      </c>
      <c r="O152" s="9" t="n">
        <v>0</v>
      </c>
      <c r="Q152" s="9" t="n">
        <v>0</v>
      </c>
      <c r="S152" s="9" t="n">
        <v>0</v>
      </c>
      <c r="U152" s="9" t="n">
        <v>0</v>
      </c>
      <c r="W152" s="9" t="n">
        <v>0</v>
      </c>
      <c r="Y152" s="9" t="n">
        <v>0</v>
      </c>
      <c r="AA152" s="9" t="n">
        <v>0</v>
      </c>
      <c r="AC152" s="9" t="n">
        <v>0</v>
      </c>
      <c r="AE152" s="9" t="n">
        <v>0</v>
      </c>
    </row>
    <row r="153">
      <c r="A153" s="9" t="inlineStr">
        <is>
          <t>1101 TOP UP (0.40KG)</t>
        </is>
      </c>
      <c r="C153" s="9" t="n">
        <v>0</v>
      </c>
      <c r="E153" s="9" t="n">
        <v>0</v>
      </c>
      <c r="G153" s="9" t="n">
        <v>0</v>
      </c>
      <c r="I153" s="9" t="n">
        <v>0</v>
      </c>
      <c r="K153" s="9" t="n">
        <v>0</v>
      </c>
      <c r="M153" s="9" t="n">
        <v>0</v>
      </c>
      <c r="O153" s="9" t="n">
        <v>0</v>
      </c>
      <c r="Q153" s="9" t="n">
        <v>0</v>
      </c>
      <c r="S153" s="9" t="n">
        <v>0</v>
      </c>
      <c r="U153" s="9" t="n">
        <v>0</v>
      </c>
      <c r="W153" s="9" t="n">
        <v>0</v>
      </c>
      <c r="Y153" s="9" t="n">
        <v>0</v>
      </c>
      <c r="AA153" s="9" t="n">
        <v>0</v>
      </c>
      <c r="AC153" s="9" t="n">
        <v>0</v>
      </c>
      <c r="AE153" s="9" t="n">
        <v>0</v>
      </c>
    </row>
    <row r="154">
      <c r="A154" s="9" t="inlineStr">
        <is>
          <t>1102 TOP UP (0.60KG)</t>
        </is>
      </c>
      <c r="C154" s="9" t="n">
        <v>0</v>
      </c>
      <c r="E154" s="9" t="n">
        <v>0</v>
      </c>
      <c r="G154" s="9" t="n">
        <v>0</v>
      </c>
      <c r="I154" s="9" t="n">
        <v>0</v>
      </c>
      <c r="K154" s="9" t="n">
        <v>0</v>
      </c>
      <c r="M154" s="9" t="n">
        <v>0</v>
      </c>
      <c r="O154" s="9" t="n">
        <v>0</v>
      </c>
      <c r="Q154" s="9" t="n">
        <v>0</v>
      </c>
      <c r="S154" s="9" t="n">
        <v>0</v>
      </c>
      <c r="U154" s="9" t="n">
        <v>0</v>
      </c>
      <c r="W154" s="9" t="n">
        <v>0</v>
      </c>
      <c r="Y154" s="9" t="n">
        <v>0</v>
      </c>
      <c r="AA154" s="9" t="n">
        <v>0</v>
      </c>
      <c r="AC154" s="9" t="n">
        <v>0</v>
      </c>
      <c r="AE154" s="9" t="n">
        <v>0</v>
      </c>
    </row>
    <row r="155">
      <c r="A155" s="9" t="inlineStr">
        <is>
          <t>1103 TOP UP (2.00KG)</t>
        </is>
      </c>
      <c r="C155" s="9" t="n">
        <v>0</v>
      </c>
      <c r="E155" s="9" t="n">
        <v>0</v>
      </c>
      <c r="G155" s="9" t="n">
        <v>0</v>
      </c>
      <c r="I155" s="9" t="n">
        <v>0</v>
      </c>
      <c r="K155" s="9" t="n">
        <v>0</v>
      </c>
      <c r="M155" s="9" t="n">
        <v>0</v>
      </c>
      <c r="O155" s="9" t="n">
        <v>0</v>
      </c>
      <c r="Q155" s="9" t="n">
        <v>0</v>
      </c>
      <c r="S155" s="9" t="n">
        <v>0</v>
      </c>
      <c r="U155" s="9" t="n">
        <v>0</v>
      </c>
      <c r="W155" s="9" t="n">
        <v>0</v>
      </c>
      <c r="Y155" s="9" t="n">
        <v>0</v>
      </c>
      <c r="AA155" s="9" t="n">
        <v>0</v>
      </c>
      <c r="AC155" s="9" t="n">
        <v>0</v>
      </c>
      <c r="AE155" s="9" t="n">
        <v>0</v>
      </c>
    </row>
    <row r="156">
      <c r="A156" s="9" t="inlineStr">
        <is>
          <t>QUANTUM GLO 4%</t>
        </is>
      </c>
      <c r="C156" s="9" t="n">
        <v>0</v>
      </c>
      <c r="E156" s="9" t="n">
        <v>0</v>
      </c>
      <c r="G156" s="9" t="n">
        <v>0</v>
      </c>
      <c r="I156" s="9" t="n">
        <v>0</v>
      </c>
      <c r="K156" s="9" t="n">
        <v>0</v>
      </c>
      <c r="M156" s="9" t="n">
        <v>0</v>
      </c>
      <c r="O156" s="9" t="n">
        <v>0</v>
      </c>
      <c r="Q156" s="9" t="n">
        <v>0</v>
      </c>
      <c r="S156" s="9" t="n">
        <v>0</v>
      </c>
      <c r="U156" s="9" t="n">
        <v>0</v>
      </c>
      <c r="W156" s="9" t="n">
        <v>0</v>
      </c>
      <c r="Y156" s="9" t="n">
        <v>0</v>
      </c>
      <c r="AA156" s="9" t="n">
        <v>0</v>
      </c>
      <c r="AC156" s="9" t="n">
        <v>0</v>
      </c>
      <c r="AE156" s="9" t="n">
        <v>0</v>
      </c>
    </row>
    <row r="157">
      <c r="A157" s="9" t="inlineStr">
        <is>
          <t>SALT</t>
        </is>
      </c>
      <c r="C157" s="9" t="n">
        <v>0</v>
      </c>
      <c r="E157" s="9" t="n">
        <v>0</v>
      </c>
      <c r="G157" s="9" t="n">
        <v>0</v>
      </c>
      <c r="I157" s="9" t="n">
        <v>0</v>
      </c>
      <c r="K157" s="9" t="n">
        <v>0</v>
      </c>
      <c r="M157" s="9" t="n">
        <v>0</v>
      </c>
      <c r="O157" s="9" t="n">
        <v>0</v>
      </c>
      <c r="Q157" s="9" t="n">
        <v>0</v>
      </c>
      <c r="S157" s="9" t="n">
        <v>0</v>
      </c>
      <c r="U157" s="9" t="n">
        <v>0</v>
      </c>
      <c r="W157" s="9" t="n">
        <v>0</v>
      </c>
      <c r="Y157" s="9" t="n">
        <v>0</v>
      </c>
      <c r="AA157" s="9" t="n">
        <v>0</v>
      </c>
      <c r="AC157" s="9" t="n">
        <v>0</v>
      </c>
      <c r="AE157" s="9" t="n">
        <v>0</v>
      </c>
    </row>
    <row r="158">
      <c r="A158" s="9" t="inlineStr">
        <is>
          <t>OC 200 - OXYTET 20%</t>
        </is>
      </c>
      <c r="C158" s="9" t="n">
        <v>0</v>
      </c>
      <c r="E158" s="9" t="n">
        <v>0</v>
      </c>
      <c r="G158" s="9" t="n">
        <v>0</v>
      </c>
      <c r="I158" s="9" t="n">
        <v>0</v>
      </c>
      <c r="K158" s="9" t="n">
        <v>0</v>
      </c>
      <c r="M158" s="9" t="n">
        <v>0</v>
      </c>
      <c r="O158" s="9" t="n">
        <v>0</v>
      </c>
      <c r="Q158" s="9" t="n">
        <v>0</v>
      </c>
      <c r="S158" s="9" t="n">
        <v>0</v>
      </c>
      <c r="U158" s="9" t="n">
        <v>0</v>
      </c>
      <c r="W158" s="9" t="n">
        <v>0</v>
      </c>
      <c r="Y158" s="9" t="n">
        <v>0</v>
      </c>
      <c r="AA158" s="9" t="n">
        <v>0</v>
      </c>
      <c r="AC158" s="9" t="n">
        <v>0</v>
      </c>
      <c r="AE158" s="9" t="n">
        <v>0</v>
      </c>
    </row>
    <row r="159">
      <c r="A159" s="9" t="n">
        <v>3</v>
      </c>
      <c r="C159" s="9" t="n">
        <v>0</v>
      </c>
      <c r="E159" s="9" t="n">
        <v>0</v>
      </c>
      <c r="G159" s="9" t="n">
        <v>0</v>
      </c>
      <c r="I159" s="9" t="n">
        <v>0</v>
      </c>
      <c r="K159" s="9" t="n">
        <v>0</v>
      </c>
      <c r="M159" s="9" t="n">
        <v>0</v>
      </c>
      <c r="O159" s="9" t="n">
        <v>0</v>
      </c>
      <c r="Q159" s="9" t="n">
        <v>0</v>
      </c>
      <c r="S159" s="9" t="n">
        <v>0</v>
      </c>
      <c r="U159" s="9" t="n">
        <v>0</v>
      </c>
      <c r="W159" s="9" t="n">
        <v>0</v>
      </c>
      <c r="Y159" s="9" t="n">
        <v>0</v>
      </c>
      <c r="AA159" s="9" t="n">
        <v>0</v>
      </c>
      <c r="AC159" s="9" t="n">
        <v>0</v>
      </c>
      <c r="AE159" s="9" t="n">
        <v>0</v>
      </c>
    </row>
    <row r="160">
      <c r="A160" s="9" t="n">
        <v>4</v>
      </c>
      <c r="C160" s="9" t="n">
        <v>0</v>
      </c>
      <c r="E160" s="9" t="n">
        <v>0</v>
      </c>
      <c r="G160" s="9" t="n">
        <v>0</v>
      </c>
      <c r="I160" s="9" t="n">
        <v>0</v>
      </c>
      <c r="K160" s="9" t="n">
        <v>0</v>
      </c>
      <c r="M160" s="9" t="n">
        <v>0</v>
      </c>
      <c r="O160" s="9" t="n">
        <v>0</v>
      </c>
      <c r="Q160" s="9" t="n">
        <v>0</v>
      </c>
      <c r="S160" s="9" t="n">
        <v>0</v>
      </c>
      <c r="U160" s="9" t="n">
        <v>0</v>
      </c>
      <c r="W160" s="9" t="n">
        <v>0</v>
      </c>
      <c r="Y160" s="9" t="n">
        <v>0</v>
      </c>
      <c r="AA160" s="9" t="n">
        <v>0</v>
      </c>
      <c r="AC160" s="9" t="n">
        <v>0</v>
      </c>
      <c r="AE160" s="9" t="n">
        <v>0</v>
      </c>
    </row>
    <row r="161">
      <c r="A161" s="9" t="inlineStr">
        <is>
          <t>WOVEN BAG (1101) - BLUE 50KG</t>
        </is>
      </c>
      <c r="C161" s="9" t="n">
        <v>0</v>
      </c>
      <c r="E161" s="9" t="n">
        <v>0</v>
      </c>
      <c r="G161" s="9" t="n">
        <v>0</v>
      </c>
      <c r="I161" s="9" t="n">
        <v>0</v>
      </c>
      <c r="K161" s="9" t="n">
        <v>0</v>
      </c>
      <c r="M161" s="9" t="n">
        <v>0</v>
      </c>
      <c r="O161" s="9" t="n">
        <v>0</v>
      </c>
      <c r="Q161" s="9" t="n">
        <v>0</v>
      </c>
      <c r="S161" s="9" t="n">
        <v>0</v>
      </c>
      <c r="U161" s="9" t="n">
        <v>0</v>
      </c>
      <c r="W161" s="9" t="n">
        <v>0</v>
      </c>
      <c r="Y161" s="9" t="n">
        <v>0</v>
      </c>
      <c r="AA161" s="9" t="n">
        <v>0</v>
      </c>
      <c r="AC161" s="9" t="n">
        <v>0</v>
      </c>
      <c r="AE161" s="9" t="n">
        <v>0</v>
      </c>
    </row>
    <row r="162">
      <c r="A162" s="9" t="inlineStr">
        <is>
          <t>WOVEN BAG (1102) - GREEN 50KG</t>
        </is>
      </c>
      <c r="C162" s="9" t="n">
        <v>0</v>
      </c>
      <c r="E162" s="9" t="n">
        <v>0</v>
      </c>
      <c r="G162" s="9" t="n">
        <v>0</v>
      </c>
      <c r="I162" s="9" t="n">
        <v>0</v>
      </c>
      <c r="K162" s="9" t="n">
        <v>0</v>
      </c>
      <c r="M162" s="9" t="n">
        <v>0</v>
      </c>
      <c r="O162" s="9" t="n">
        <v>0</v>
      </c>
      <c r="Q162" s="9" t="n">
        <v>0</v>
      </c>
      <c r="S162" s="9" t="n">
        <v>0</v>
      </c>
      <c r="U162" s="9" t="n">
        <v>0</v>
      </c>
      <c r="W162" s="9" t="n">
        <v>0</v>
      </c>
      <c r="Y162" s="9" t="n">
        <v>0</v>
      </c>
      <c r="AA162" s="9" t="n">
        <v>0</v>
      </c>
      <c r="AC162" s="9" t="n">
        <v>0</v>
      </c>
      <c r="AE162" s="9" t="n">
        <v>0</v>
      </c>
    </row>
    <row r="163">
      <c r="A163" s="9" t="inlineStr">
        <is>
          <t>WOVEN BAG (1103) - RED 50KG</t>
        </is>
      </c>
      <c r="C163" s="9" t="n">
        <v>0</v>
      </c>
      <c r="E163" s="9" t="n">
        <v>0</v>
      </c>
      <c r="G163" s="9" t="n">
        <v>0</v>
      </c>
      <c r="I163" s="9" t="n">
        <v>0</v>
      </c>
      <c r="K163" s="9" t="n">
        <v>0</v>
      </c>
      <c r="M163" s="9" t="n">
        <v>0</v>
      </c>
      <c r="O163" s="9" t="n">
        <v>0</v>
      </c>
      <c r="Q163" s="9" t="n">
        <v>0</v>
      </c>
      <c r="S163" s="9" t="n">
        <v>0</v>
      </c>
      <c r="U163" s="9" t="n">
        <v>0</v>
      </c>
      <c r="W163" s="9" t="n">
        <v>0</v>
      </c>
      <c r="Y163" s="9" t="n">
        <v>0</v>
      </c>
      <c r="AA163" s="9" t="n">
        <v>0</v>
      </c>
      <c r="AC163" s="9" t="n">
        <v>0</v>
      </c>
      <c r="AE163" s="9" t="n">
        <v>0</v>
      </c>
    </row>
    <row r="164">
      <c r="A164" s="9" t="inlineStr">
        <is>
          <t>PLAIN BAG 26" X 39" (50KG)</t>
        </is>
      </c>
      <c r="C164" s="9" t="n">
        <v>0</v>
      </c>
      <c r="E164" s="9" t="n">
        <v>0</v>
      </c>
      <c r="G164" s="9" t="n">
        <v>0</v>
      </c>
      <c r="I164" s="9" t="n">
        <v>0</v>
      </c>
      <c r="K164" s="9" t="n">
        <v>0</v>
      </c>
      <c r="M164" s="9" t="n">
        <v>0</v>
      </c>
      <c r="O164" s="9" t="n">
        <v>0</v>
      </c>
      <c r="Q164" s="9" t="n">
        <v>0</v>
      </c>
      <c r="S164" s="9" t="n">
        <v>0</v>
      </c>
      <c r="U164" s="9" t="n">
        <v>0</v>
      </c>
      <c r="W164" s="9" t="n">
        <v>0</v>
      </c>
      <c r="Y164" s="9" t="n">
        <v>0</v>
      </c>
      <c r="AA164" s="9" t="n">
        <v>0</v>
      </c>
      <c r="AC164" s="9" t="n">
        <v>0</v>
      </c>
      <c r="AE164" s="9" t="n">
        <v>0</v>
      </c>
    </row>
    <row r="165">
      <c r="A165" s="9" t="inlineStr">
        <is>
          <t>WOVEN BAG (8101) - KHAKI 50KG</t>
        </is>
      </c>
      <c r="C165" s="9" t="n">
        <v>0</v>
      </c>
      <c r="E165" s="9" t="n">
        <v>0</v>
      </c>
      <c r="G165" s="9" t="n">
        <v>0</v>
      </c>
      <c r="I165" s="9" t="n">
        <v>0</v>
      </c>
      <c r="K165" s="9" t="n">
        <v>0</v>
      </c>
      <c r="M165" s="9" t="n">
        <v>0</v>
      </c>
      <c r="O165" s="9" t="n">
        <v>0</v>
      </c>
      <c r="Q165" s="9" t="n">
        <v>0</v>
      </c>
      <c r="S165" s="9" t="n">
        <v>0</v>
      </c>
      <c r="U165" s="9" t="n">
        <v>0</v>
      </c>
      <c r="W165" s="9" t="n">
        <v>0</v>
      </c>
      <c r="Y165" s="9" t="n">
        <v>0</v>
      </c>
      <c r="AA165" s="9" t="n">
        <v>0</v>
      </c>
      <c r="AC165" s="9" t="n">
        <v>0</v>
      </c>
      <c r="AE165" s="9" t="n">
        <v>0</v>
      </c>
    </row>
    <row r="166">
      <c r="A166" s="9" t="inlineStr">
        <is>
          <t>WOVEN BAG (8102) - SKY BLUE 50KG</t>
        </is>
      </c>
      <c r="C166" s="9" t="n">
        <v>0</v>
      </c>
      <c r="E166" s="9" t="n">
        <v>0</v>
      </c>
      <c r="G166" s="9" t="n">
        <v>0</v>
      </c>
      <c r="I166" s="9" t="n">
        <v>0</v>
      </c>
      <c r="K166" s="9" t="n">
        <v>0</v>
      </c>
      <c r="M166" s="9" t="n">
        <v>0</v>
      </c>
      <c r="O166" s="9" t="n">
        <v>0</v>
      </c>
      <c r="Q166" s="9" t="n">
        <v>0</v>
      </c>
      <c r="S166" s="9" t="n">
        <v>0</v>
      </c>
      <c r="U166" s="9" t="n">
        <v>0</v>
      </c>
      <c r="W166" s="9" t="n">
        <v>0</v>
      </c>
      <c r="Y166" s="9" t="n">
        <v>0</v>
      </c>
      <c r="AA166" s="9" t="n">
        <v>0</v>
      </c>
      <c r="AC166" s="9" t="n">
        <v>0</v>
      </c>
      <c r="AE166" s="9" t="n">
        <v>0</v>
      </c>
    </row>
    <row r="167">
      <c r="A167" s="9" t="inlineStr">
        <is>
          <t>WOVEN BAG (8103) - BROWN 50KG</t>
        </is>
      </c>
      <c r="C167" s="9" t="n">
        <v>0</v>
      </c>
      <c r="E167" s="9" t="n">
        <v>0</v>
      </c>
      <c r="G167" s="9" t="n">
        <v>0</v>
      </c>
      <c r="I167" s="9" t="n">
        <v>0</v>
      </c>
      <c r="K167" s="9" t="n">
        <v>0</v>
      </c>
      <c r="M167" s="9" t="n">
        <v>0</v>
      </c>
      <c r="O167" s="9" t="n">
        <v>0</v>
      </c>
      <c r="Q167" s="9" t="n">
        <v>0</v>
      </c>
      <c r="S167" s="9" t="n">
        <v>0</v>
      </c>
      <c r="U167" s="9" t="n">
        <v>0</v>
      </c>
      <c r="W167" s="9" t="n">
        <v>0</v>
      </c>
      <c r="Y167" s="9" t="n">
        <v>0</v>
      </c>
      <c r="AA167" s="9" t="n">
        <v>0</v>
      </c>
      <c r="AC167" s="9" t="n">
        <v>0</v>
      </c>
      <c r="AE167" s="9" t="n">
        <v>0</v>
      </c>
    </row>
    <row r="168">
      <c r="A168" s="9" t="n">
        <v>1</v>
      </c>
      <c r="C168" s="9" t="n">
        <v>0</v>
      </c>
      <c r="E168" s="9" t="n">
        <v>0</v>
      </c>
      <c r="G168" s="9" t="n">
        <v>0</v>
      </c>
      <c r="I168" s="9" t="n">
        <v>0</v>
      </c>
      <c r="K168" s="9" t="n">
        <v>0</v>
      </c>
      <c r="M168" s="9" t="n">
        <v>0</v>
      </c>
      <c r="O168" s="9" t="n">
        <v>0</v>
      </c>
      <c r="Q168" s="9" t="n">
        <v>0</v>
      </c>
      <c r="S168" s="9" t="n">
        <v>0</v>
      </c>
      <c r="U168" s="9" t="n">
        <v>0</v>
      </c>
      <c r="W168" s="9" t="n">
        <v>0</v>
      </c>
      <c r="Y168" s="9" t="n">
        <v>0</v>
      </c>
      <c r="AA168" s="9" t="n">
        <v>0</v>
      </c>
      <c r="AC168" s="9" t="n">
        <v>0</v>
      </c>
      <c r="AE168" s="9" t="n">
        <v>0</v>
      </c>
    </row>
    <row r="169">
      <c r="A169" s="9" t="n">
        <v>2</v>
      </c>
      <c r="C169" s="9" t="n">
        <v>0</v>
      </c>
      <c r="E169" s="9" t="n">
        <v>0</v>
      </c>
      <c r="G169" s="9" t="n">
        <v>0</v>
      </c>
      <c r="I169" s="9" t="n">
        <v>0</v>
      </c>
      <c r="K169" s="9" t="n">
        <v>0</v>
      </c>
      <c r="M169" s="9" t="n">
        <v>0</v>
      </c>
      <c r="O169" s="9" t="n">
        <v>0</v>
      </c>
      <c r="Q169" s="9" t="n">
        <v>0</v>
      </c>
      <c r="S169" s="9" t="n">
        <v>0</v>
      </c>
      <c r="U169" s="9" t="n">
        <v>0</v>
      </c>
      <c r="W169" s="9" t="n">
        <v>0</v>
      </c>
      <c r="Y169" s="9" t="n">
        <v>0</v>
      </c>
      <c r="AA169" s="9" t="n">
        <v>0</v>
      </c>
      <c r="AC169" s="9" t="n">
        <v>0</v>
      </c>
      <c r="AE169" s="9" t="n">
        <v>0</v>
      </c>
    </row>
    <row r="170">
      <c r="A170" s="9" t="n">
        <v>3</v>
      </c>
      <c r="C170" s="9" t="n">
        <v>0</v>
      </c>
      <c r="E170" s="9" t="n">
        <v>0</v>
      </c>
      <c r="G170" s="9" t="n">
        <v>0</v>
      </c>
      <c r="I170" s="9" t="n">
        <v>0</v>
      </c>
      <c r="K170" s="9" t="n">
        <v>0</v>
      </c>
      <c r="M170" s="9" t="n">
        <v>0</v>
      </c>
      <c r="O170" s="9" t="n">
        <v>0</v>
      </c>
      <c r="Q170" s="9" t="n">
        <v>0</v>
      </c>
      <c r="S170" s="9" t="n">
        <v>0</v>
      </c>
      <c r="U170" s="9" t="n">
        <v>0</v>
      </c>
      <c r="W170" s="9" t="n">
        <v>0</v>
      </c>
      <c r="Y170" s="9" t="n">
        <v>0</v>
      </c>
      <c r="AA170" s="9" t="n">
        <v>0</v>
      </c>
      <c r="AC170" s="9" t="n">
        <v>0</v>
      </c>
      <c r="AE170" s="9" t="n">
        <v>0</v>
      </c>
    </row>
    <row r="171">
      <c r="A171" s="9" t="n">
        <v>4</v>
      </c>
      <c r="C171" s="9" t="n">
        <v>0</v>
      </c>
      <c r="E171" s="9" t="n">
        <v>0</v>
      </c>
      <c r="G171" s="9" t="n">
        <v>0</v>
      </c>
      <c r="I171" s="9" t="n">
        <v>0</v>
      </c>
      <c r="K171" s="9" t="n">
        <v>0</v>
      </c>
      <c r="M171" s="9" t="n">
        <v>0</v>
      </c>
      <c r="O171" s="9" t="n">
        <v>0</v>
      </c>
      <c r="Q171" s="9" t="n">
        <v>0</v>
      </c>
      <c r="S171" s="9" t="n">
        <v>0</v>
      </c>
      <c r="U171" s="9" t="n">
        <v>0</v>
      </c>
      <c r="W171" s="9" t="n">
        <v>0</v>
      </c>
      <c r="Y171" s="9" t="n">
        <v>0</v>
      </c>
      <c r="AA171" s="9" t="n">
        <v>0</v>
      </c>
      <c r="AC171" s="9" t="n">
        <v>0</v>
      </c>
      <c r="AE171" s="9" t="n">
        <v>0</v>
      </c>
    </row>
    <row r="172">
      <c r="A172" s="9" t="n">
        <v>5</v>
      </c>
      <c r="C172" s="9" t="n">
        <v>0</v>
      </c>
      <c r="E172" s="9" t="n">
        <v>0</v>
      </c>
      <c r="G172" s="9" t="n">
        <v>0</v>
      </c>
      <c r="I172" s="9" t="n">
        <v>0</v>
      </c>
      <c r="K172" s="9" t="n">
        <v>0</v>
      </c>
      <c r="M172" s="9" t="n">
        <v>0</v>
      </c>
      <c r="O172" s="9" t="n">
        <v>0</v>
      </c>
      <c r="Q172" s="9" t="n">
        <v>0</v>
      </c>
      <c r="S172" s="9" t="n">
        <v>0</v>
      </c>
      <c r="U172" s="9" t="n">
        <v>0</v>
      </c>
      <c r="W172" s="9" t="n">
        <v>0</v>
      </c>
      <c r="Y172" s="9" t="n">
        <v>0</v>
      </c>
      <c r="AA172" s="9" t="n">
        <v>0</v>
      </c>
      <c r="AC172" s="9" t="n">
        <v>0</v>
      </c>
      <c r="AE172" s="9" t="n">
        <v>0</v>
      </c>
    </row>
    <row r="173">
      <c r="A173" s="9" t="n">
        <v>6</v>
      </c>
      <c r="C173" s="9" t="n">
        <v>0</v>
      </c>
      <c r="E173" s="9" t="n">
        <v>0</v>
      </c>
      <c r="G173" s="9" t="n">
        <v>0</v>
      </c>
      <c r="I173" s="9" t="n">
        <v>0</v>
      </c>
      <c r="K173" s="9" t="n">
        <v>0</v>
      </c>
      <c r="M173" s="9" t="n">
        <v>0</v>
      </c>
      <c r="O173" s="9" t="n">
        <v>0</v>
      </c>
      <c r="Q173" s="9" t="n">
        <v>0</v>
      </c>
      <c r="S173" s="9" t="n">
        <v>0</v>
      </c>
      <c r="U173" s="9" t="n">
        <v>0</v>
      </c>
      <c r="W173" s="9" t="n">
        <v>0</v>
      </c>
      <c r="Y173" s="9" t="n">
        <v>0</v>
      </c>
      <c r="AA173" s="9" t="n">
        <v>0</v>
      </c>
      <c r="AC173" s="9" t="n">
        <v>0</v>
      </c>
      <c r="AE173" s="9" t="n">
        <v>0</v>
      </c>
    </row>
    <row r="174">
      <c r="A174" s="9" t="n">
        <v>7</v>
      </c>
      <c r="C174" s="9" t="n">
        <v>0</v>
      </c>
      <c r="E174" s="9" t="n">
        <v>0</v>
      </c>
      <c r="G174" s="9" t="n">
        <v>0</v>
      </c>
      <c r="I174" s="9" t="n">
        <v>0</v>
      </c>
      <c r="K174" s="9" t="n">
        <v>0</v>
      </c>
      <c r="M174" s="9" t="n">
        <v>0</v>
      </c>
      <c r="O174" s="9" t="n">
        <v>0</v>
      </c>
      <c r="Q174" s="9" t="n">
        <v>0</v>
      </c>
      <c r="S174" s="9" t="n">
        <v>0</v>
      </c>
      <c r="U174" s="9" t="n">
        <v>0</v>
      </c>
      <c r="W174" s="9" t="n">
        <v>0</v>
      </c>
      <c r="Y174" s="9" t="n">
        <v>0</v>
      </c>
      <c r="AA174" s="9" t="n">
        <v>0</v>
      </c>
      <c r="AC174" s="9" t="n">
        <v>0</v>
      </c>
      <c r="AE174" s="9" t="n">
        <v>0</v>
      </c>
    </row>
    <row r="175">
      <c r="A175" s="9" t="n">
        <v>8</v>
      </c>
      <c r="C175" s="9" t="n">
        <v>0</v>
      </c>
      <c r="E175" s="9" t="n">
        <v>0</v>
      </c>
      <c r="G175" s="9" t="n">
        <v>0</v>
      </c>
      <c r="I175" s="9" t="n">
        <v>0</v>
      </c>
      <c r="K175" s="9" t="n">
        <v>0</v>
      </c>
      <c r="M175" s="9" t="n">
        <v>0</v>
      </c>
      <c r="O175" s="9" t="n">
        <v>0</v>
      </c>
      <c r="Q175" s="9" t="n">
        <v>0</v>
      </c>
      <c r="S175" s="9" t="n">
        <v>0</v>
      </c>
      <c r="U175" s="9" t="n">
        <v>0</v>
      </c>
      <c r="W175" s="9" t="n">
        <v>0</v>
      </c>
      <c r="Y175" s="9" t="n">
        <v>0</v>
      </c>
      <c r="AA175" s="9" t="n">
        <v>0</v>
      </c>
      <c r="AC175" s="9" t="n">
        <v>0</v>
      </c>
      <c r="AE175" s="9" t="n">
        <v>0</v>
      </c>
    </row>
    <row r="176">
      <c r="A176" s="9" t="inlineStr">
        <is>
          <t>TOTAL</t>
        </is>
      </c>
      <c r="B176" s="9" t="n">
        <v>99.99999999999999</v>
      </c>
      <c r="C176" s="9" t="n">
        <v>1000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  <c r="AA176" s="9" t="n">
        <v>0</v>
      </c>
      <c r="AB176" s="9" t="n">
        <v>0</v>
      </c>
      <c r="AC176" s="9" t="n">
        <v>0</v>
      </c>
      <c r="AD176" s="9" t="n">
        <v>0</v>
      </c>
      <c r="AE176" s="9" t="n">
        <v>0</v>
      </c>
    </row>
    <row r="177"/>
    <row r="178">
      <c r="A178" s="9" t="inlineStr">
        <is>
          <t>1103 P (FINISHER 1)</t>
        </is>
      </c>
      <c r="B178" s="9" t="n">
        <v>1</v>
      </c>
      <c r="D178" s="9" t="n">
        <v>2</v>
      </c>
      <c r="F178" s="9" t="n">
        <v>3</v>
      </c>
      <c r="H178" s="9" t="n">
        <v>4</v>
      </c>
      <c r="J178" s="9" t="n">
        <v>5</v>
      </c>
      <c r="L178" s="9" t="n">
        <v>6</v>
      </c>
      <c r="N178" s="9" t="n">
        <v>7</v>
      </c>
      <c r="P178" s="9" t="n">
        <v>8</v>
      </c>
      <c r="R178" s="9" t="n">
        <v>9</v>
      </c>
      <c r="T178" s="9" t="n">
        <v>10</v>
      </c>
      <c r="V178" s="9" t="n">
        <v>11</v>
      </c>
      <c r="X178" s="9" t="n">
        <v>12</v>
      </c>
      <c r="Z178" s="9" t="n">
        <v>13</v>
      </c>
      <c r="AB178" s="9" t="n">
        <v>14</v>
      </c>
      <c r="AD178" s="9" t="n">
        <v>15</v>
      </c>
    </row>
    <row r="179">
      <c r="B179" s="9" t="inlineStr">
        <is>
          <t>WS 1103 (290825)</t>
        </is>
      </c>
      <c r="D179" s="9" t="inlineStr">
        <is>
          <t>WS 1103 (220526)</t>
        </is>
      </c>
    </row>
    <row r="180">
      <c r="B180" s="9" t="inlineStr">
        <is>
          <t>N035-06</t>
        </is>
      </c>
      <c r="D180" s="9" t="inlineStr">
        <is>
          <t>WITH 1103 TOP UP</t>
        </is>
      </c>
    </row>
    <row r="181">
      <c r="B181" s="9" t="inlineStr">
        <is>
          <t>%</t>
        </is>
      </c>
      <c r="C181" s="9" t="inlineStr">
        <is>
          <t>BATCH</t>
        </is>
      </c>
      <c r="D181" s="9" t="inlineStr">
        <is>
          <t>%</t>
        </is>
      </c>
      <c r="E181" s="9" t="inlineStr">
        <is>
          <t>BATCH</t>
        </is>
      </c>
      <c r="F181" s="9" t="inlineStr">
        <is>
          <t>%</t>
        </is>
      </c>
      <c r="G181" s="9" t="inlineStr">
        <is>
          <t>BATCH</t>
        </is>
      </c>
      <c r="H181" s="9" t="inlineStr">
        <is>
          <t>%</t>
        </is>
      </c>
      <c r="I181" s="9" t="inlineStr">
        <is>
          <t>BATCH</t>
        </is>
      </c>
      <c r="J181" s="9" t="inlineStr">
        <is>
          <t>%</t>
        </is>
      </c>
      <c r="K181" s="9" t="inlineStr">
        <is>
          <t>BATCH</t>
        </is>
      </c>
      <c r="L181" s="9" t="inlineStr">
        <is>
          <t>%</t>
        </is>
      </c>
      <c r="M181" s="9" t="inlineStr">
        <is>
          <t>BATCH</t>
        </is>
      </c>
      <c r="N181" s="9" t="inlineStr">
        <is>
          <t>%</t>
        </is>
      </c>
      <c r="O181" s="9" t="inlineStr">
        <is>
          <t>BATCH</t>
        </is>
      </c>
      <c r="P181" s="9" t="inlineStr">
        <is>
          <t>%</t>
        </is>
      </c>
      <c r="Q181" s="9" t="inlineStr">
        <is>
          <t>BATCH</t>
        </is>
      </c>
      <c r="R181" s="9" t="inlineStr">
        <is>
          <t>%</t>
        </is>
      </c>
      <c r="S181" s="9" t="inlineStr">
        <is>
          <t>BATCH</t>
        </is>
      </c>
      <c r="T181" s="9" t="inlineStr">
        <is>
          <t>%</t>
        </is>
      </c>
      <c r="U181" s="9" t="inlineStr">
        <is>
          <t>BATCH</t>
        </is>
      </c>
      <c r="V181" s="9" t="inlineStr">
        <is>
          <t>%</t>
        </is>
      </c>
      <c r="W181" s="9" t="inlineStr">
        <is>
          <t>BATCH</t>
        </is>
      </c>
      <c r="X181" s="9" t="inlineStr">
        <is>
          <t>%</t>
        </is>
      </c>
      <c r="Y181" s="9" t="inlineStr">
        <is>
          <t>BATCH</t>
        </is>
      </c>
      <c r="Z181" s="9" t="inlineStr">
        <is>
          <t>%</t>
        </is>
      </c>
      <c r="AA181" s="9" t="inlineStr">
        <is>
          <t>BATCH</t>
        </is>
      </c>
      <c r="AB181" s="9" t="inlineStr">
        <is>
          <t>%</t>
        </is>
      </c>
      <c r="AC181" s="9" t="inlineStr">
        <is>
          <t>BATCH</t>
        </is>
      </c>
      <c r="AD181" s="9" t="inlineStr">
        <is>
          <t>%</t>
        </is>
      </c>
      <c r="AE181" s="9" t="inlineStr">
        <is>
          <t>BATCH</t>
        </is>
      </c>
    </row>
    <row r="182">
      <c r="A182" s="9" t="inlineStr">
        <is>
          <t>MAIZE/CORN</t>
        </is>
      </c>
      <c r="B182" s="9" t="n">
        <v>62.75</v>
      </c>
      <c r="C182" s="9" t="n">
        <v>627.5</v>
      </c>
      <c r="D182" s="9" t="n">
        <v>64.92</v>
      </c>
      <c r="E182" s="9" t="n">
        <v>649.2</v>
      </c>
      <c r="G182" s="9" t="n">
        <v>0</v>
      </c>
      <c r="I182" s="9" t="n">
        <v>0</v>
      </c>
      <c r="K182" s="9" t="n">
        <v>0</v>
      </c>
      <c r="M182" s="9" t="n">
        <v>0</v>
      </c>
      <c r="O182" s="9" t="n">
        <v>0</v>
      </c>
      <c r="Q182" s="9" t="n">
        <v>0</v>
      </c>
      <c r="S182" s="9" t="n">
        <v>0</v>
      </c>
      <c r="U182" s="9" t="n">
        <v>0</v>
      </c>
      <c r="W182" s="9" t="n">
        <v>0</v>
      </c>
      <c r="Y182" s="9" t="n">
        <v>0</v>
      </c>
      <c r="AA182" s="9" t="n">
        <v>0</v>
      </c>
      <c r="AC182" s="9" t="n">
        <v>0</v>
      </c>
      <c r="AE182" s="9" t="n">
        <v>0</v>
      </c>
    </row>
    <row r="183">
      <c r="A183" s="9" t="inlineStr">
        <is>
          <t>SOYBEAN MEAL (ARG)</t>
        </is>
      </c>
      <c r="B183" s="9" t="n">
        <v>13.65</v>
      </c>
      <c r="C183" s="9" t="n">
        <v>136.5</v>
      </c>
      <c r="D183" s="9" t="n">
        <v>16.155</v>
      </c>
      <c r="E183" s="9" t="n">
        <v>161.55</v>
      </c>
      <c r="G183" s="9" t="n">
        <v>0</v>
      </c>
      <c r="I183" s="9" t="n">
        <v>0</v>
      </c>
      <c r="K183" s="9" t="n">
        <v>0</v>
      </c>
      <c r="M183" s="9" t="n">
        <v>0</v>
      </c>
      <c r="O183" s="9" t="n">
        <v>0</v>
      </c>
      <c r="Q183" s="9" t="n">
        <v>0</v>
      </c>
      <c r="S183" s="9" t="n">
        <v>0</v>
      </c>
      <c r="U183" s="9" t="n">
        <v>0</v>
      </c>
      <c r="W183" s="9" t="n">
        <v>0</v>
      </c>
      <c r="Y183" s="9" t="n">
        <v>0</v>
      </c>
      <c r="AA183" s="9" t="n">
        <v>0</v>
      </c>
      <c r="AC183" s="9" t="n">
        <v>0</v>
      </c>
      <c r="AE183" s="9" t="n">
        <v>0</v>
      </c>
    </row>
    <row r="184">
      <c r="A184" s="9" t="inlineStr">
        <is>
          <t>SOYBEAN FULL FAT</t>
        </is>
      </c>
      <c r="B184" s="9" t="n">
        <v>8</v>
      </c>
      <c r="C184" s="9" t="n">
        <v>80</v>
      </c>
      <c r="D184" s="9" t="n">
        <v>7.5</v>
      </c>
      <c r="E184" s="9" t="n">
        <v>75</v>
      </c>
      <c r="G184" s="9" t="n">
        <v>0</v>
      </c>
      <c r="I184" s="9" t="n">
        <v>0</v>
      </c>
      <c r="K184" s="9" t="n">
        <v>0</v>
      </c>
      <c r="M184" s="9" t="n">
        <v>0</v>
      </c>
      <c r="O184" s="9" t="n">
        <v>0</v>
      </c>
      <c r="Q184" s="9" t="n">
        <v>0</v>
      </c>
      <c r="S184" s="9" t="n">
        <v>0</v>
      </c>
      <c r="U184" s="9" t="n">
        <v>0</v>
      </c>
      <c r="W184" s="9" t="n">
        <v>0</v>
      </c>
      <c r="Y184" s="9" t="n">
        <v>0</v>
      </c>
      <c r="AA184" s="9" t="n">
        <v>0</v>
      </c>
      <c r="AC184" s="9" t="n">
        <v>0</v>
      </c>
      <c r="AE184" s="9" t="n">
        <v>0</v>
      </c>
    </row>
    <row r="185">
      <c r="A185" s="9" t="inlineStr">
        <is>
          <t>WHEAT POLLARD</t>
        </is>
      </c>
      <c r="B185" s="9" t="n">
        <v>7</v>
      </c>
      <c r="C185" s="9" t="n">
        <v>70</v>
      </c>
      <c r="E185" s="9" t="n">
        <v>0</v>
      </c>
      <c r="G185" s="9" t="n">
        <v>0</v>
      </c>
      <c r="I185" s="9" t="n">
        <v>0</v>
      </c>
      <c r="K185" s="9" t="n">
        <v>0</v>
      </c>
      <c r="M185" s="9" t="n">
        <v>0</v>
      </c>
      <c r="O185" s="9" t="n">
        <v>0</v>
      </c>
      <c r="Q185" s="9" t="n">
        <v>0</v>
      </c>
      <c r="S185" s="9" t="n">
        <v>0</v>
      </c>
      <c r="U185" s="9" t="n">
        <v>0</v>
      </c>
      <c r="W185" s="9" t="n">
        <v>0</v>
      </c>
      <c r="Y185" s="9" t="n">
        <v>0</v>
      </c>
      <c r="AA185" s="9" t="n">
        <v>0</v>
      </c>
      <c r="AC185" s="9" t="n">
        <v>0</v>
      </c>
      <c r="AE185" s="9" t="n">
        <v>0</v>
      </c>
    </row>
    <row r="186">
      <c r="A186" s="9" t="inlineStr">
        <is>
          <t>WHEAT</t>
        </is>
      </c>
      <c r="C186" s="9" t="n">
        <v>0</v>
      </c>
      <c r="E186" s="9" t="n">
        <v>0</v>
      </c>
      <c r="G186" s="9" t="n">
        <v>0</v>
      </c>
      <c r="I186" s="9" t="n">
        <v>0</v>
      </c>
      <c r="K186" s="9" t="n">
        <v>0</v>
      </c>
      <c r="M186" s="9" t="n">
        <v>0</v>
      </c>
      <c r="O186" s="9" t="n">
        <v>0</v>
      </c>
      <c r="Q186" s="9" t="n">
        <v>0</v>
      </c>
      <c r="S186" s="9" t="n">
        <v>0</v>
      </c>
      <c r="U186" s="9" t="n">
        <v>0</v>
      </c>
      <c r="W186" s="9" t="n">
        <v>0</v>
      </c>
      <c r="Y186" s="9" t="n">
        <v>0</v>
      </c>
      <c r="AA186" s="9" t="n">
        <v>0</v>
      </c>
      <c r="AC186" s="9" t="n">
        <v>0</v>
      </c>
      <c r="AE186" s="9" t="n">
        <v>0</v>
      </c>
    </row>
    <row r="187">
      <c r="A187" s="9" t="inlineStr">
        <is>
          <t>MEAT AND BONE MEAL</t>
        </is>
      </c>
      <c r="B187" s="9" t="n">
        <v>1.55</v>
      </c>
      <c r="C187" s="9" t="n">
        <v>15.5</v>
      </c>
      <c r="D187" s="9" t="n">
        <v>1.5</v>
      </c>
      <c r="E187" s="9" t="n">
        <v>15</v>
      </c>
      <c r="G187" s="9" t="n">
        <v>0</v>
      </c>
      <c r="I187" s="9" t="n">
        <v>0</v>
      </c>
      <c r="K187" s="9" t="n">
        <v>0</v>
      </c>
      <c r="M187" s="9" t="n">
        <v>0</v>
      </c>
      <c r="O187" s="9" t="n">
        <v>0</v>
      </c>
      <c r="Q187" s="9" t="n">
        <v>0</v>
      </c>
      <c r="S187" s="9" t="n">
        <v>0</v>
      </c>
      <c r="U187" s="9" t="n">
        <v>0</v>
      </c>
      <c r="W187" s="9" t="n">
        <v>0</v>
      </c>
      <c r="Y187" s="9" t="n">
        <v>0</v>
      </c>
      <c r="AA187" s="9" t="n">
        <v>0</v>
      </c>
      <c r="AC187" s="9" t="n">
        <v>0</v>
      </c>
      <c r="AE187" s="9" t="n">
        <v>0</v>
      </c>
    </row>
    <row r="188">
      <c r="A188" s="9" t="inlineStr">
        <is>
          <t>CORN GLUTEN MEAL</t>
        </is>
      </c>
      <c r="B188" s="9" t="n">
        <v>2.5</v>
      </c>
      <c r="C188" s="9" t="n">
        <v>25</v>
      </c>
      <c r="D188" s="9" t="n">
        <v>2</v>
      </c>
      <c r="E188" s="9" t="n">
        <v>20</v>
      </c>
      <c r="G188" s="9" t="n">
        <v>0</v>
      </c>
      <c r="I188" s="9" t="n">
        <v>0</v>
      </c>
      <c r="K188" s="9" t="n">
        <v>0</v>
      </c>
      <c r="M188" s="9" t="n">
        <v>0</v>
      </c>
      <c r="O188" s="9" t="n">
        <v>0</v>
      </c>
      <c r="Q188" s="9" t="n">
        <v>0</v>
      </c>
      <c r="S188" s="9" t="n">
        <v>0</v>
      </c>
      <c r="U188" s="9" t="n">
        <v>0</v>
      </c>
      <c r="W188" s="9" t="n">
        <v>0</v>
      </c>
      <c r="Y188" s="9" t="n">
        <v>0</v>
      </c>
      <c r="AA188" s="9" t="n">
        <v>0</v>
      </c>
      <c r="AC188" s="9" t="n">
        <v>0</v>
      </c>
      <c r="AE188" s="9" t="n">
        <v>0</v>
      </c>
    </row>
    <row r="189">
      <c r="A189" s="9" t="inlineStr">
        <is>
          <t>MEGAFAT (HARUMI)</t>
        </is>
      </c>
      <c r="B189" s="9" t="n">
        <v>2.5</v>
      </c>
      <c r="C189" s="9" t="n">
        <v>25</v>
      </c>
      <c r="D189" s="9" t="n">
        <v>2.7</v>
      </c>
      <c r="E189" s="9" t="n">
        <v>27</v>
      </c>
      <c r="G189" s="9" t="n">
        <v>0</v>
      </c>
      <c r="I189" s="9" t="n">
        <v>0</v>
      </c>
      <c r="K189" s="9" t="n">
        <v>0</v>
      </c>
      <c r="M189" s="9" t="n">
        <v>0</v>
      </c>
      <c r="O189" s="9" t="n">
        <v>0</v>
      </c>
      <c r="Q189" s="9" t="n">
        <v>0</v>
      </c>
      <c r="S189" s="9" t="n">
        <v>0</v>
      </c>
      <c r="U189" s="9" t="n">
        <v>0</v>
      </c>
      <c r="W189" s="9" t="n">
        <v>0</v>
      </c>
      <c r="Y189" s="9" t="n">
        <v>0</v>
      </c>
      <c r="AA189" s="9" t="n">
        <v>0</v>
      </c>
      <c r="AC189" s="9" t="n">
        <v>0</v>
      </c>
      <c r="AE189" s="9" t="n">
        <v>0</v>
      </c>
    </row>
    <row r="190">
      <c r="A190" s="9" t="inlineStr">
        <is>
          <t>DCP 18%</t>
        </is>
      </c>
      <c r="C190" s="9" t="n">
        <v>0</v>
      </c>
      <c r="E190" s="9" t="n">
        <v>0</v>
      </c>
      <c r="G190" s="9" t="n">
        <v>0</v>
      </c>
      <c r="I190" s="9" t="n">
        <v>0</v>
      </c>
      <c r="K190" s="9" t="n">
        <v>0</v>
      </c>
      <c r="M190" s="9" t="n">
        <v>0</v>
      </c>
      <c r="O190" s="9" t="n">
        <v>0</v>
      </c>
      <c r="Q190" s="9" t="n">
        <v>0</v>
      </c>
      <c r="S190" s="9" t="n">
        <v>0</v>
      </c>
      <c r="U190" s="9" t="n">
        <v>0</v>
      </c>
      <c r="W190" s="9" t="n">
        <v>0</v>
      </c>
      <c r="Y190" s="9" t="n">
        <v>0</v>
      </c>
      <c r="AA190" s="9" t="n">
        <v>0</v>
      </c>
      <c r="AC190" s="9" t="n">
        <v>0</v>
      </c>
      <c r="AE190" s="9" t="n">
        <v>0</v>
      </c>
    </row>
    <row r="191">
      <c r="A191" s="9" t="inlineStr">
        <is>
          <t>LIMESTONE POWDER (HARUMI)</t>
        </is>
      </c>
      <c r="C191" s="9" t="n">
        <v>0</v>
      </c>
      <c r="D191" s="9" t="n">
        <v>0.025</v>
      </c>
      <c r="E191" s="9" t="n">
        <v>0.25</v>
      </c>
      <c r="G191" s="9" t="n">
        <v>0</v>
      </c>
      <c r="I191" s="9" t="n">
        <v>0</v>
      </c>
      <c r="K191" s="9" t="n">
        <v>0</v>
      </c>
      <c r="M191" s="9" t="n">
        <v>0</v>
      </c>
      <c r="O191" s="9" t="n">
        <v>0</v>
      </c>
      <c r="Q191" s="9" t="n">
        <v>0</v>
      </c>
      <c r="S191" s="9" t="n">
        <v>0</v>
      </c>
      <c r="U191" s="9" t="n">
        <v>0</v>
      </c>
      <c r="W191" s="9" t="n">
        <v>0</v>
      </c>
      <c r="Y191" s="9" t="n">
        <v>0</v>
      </c>
      <c r="AA191" s="9" t="n">
        <v>0</v>
      </c>
      <c r="AC191" s="9" t="n">
        <v>0</v>
      </c>
      <c r="AE191" s="9" t="n">
        <v>0</v>
      </c>
    </row>
    <row r="192">
      <c r="A192" s="9" t="inlineStr">
        <is>
          <t>CHOLINE CHLORIDE 60%</t>
        </is>
      </c>
      <c r="C192" s="9" t="n">
        <v>0</v>
      </c>
      <c r="E192" s="9" t="n">
        <v>0</v>
      </c>
      <c r="G192" s="9" t="n">
        <v>0</v>
      </c>
      <c r="I192" s="9" t="n">
        <v>0</v>
      </c>
      <c r="K192" s="9" t="n">
        <v>0</v>
      </c>
      <c r="M192" s="9" t="n">
        <v>0</v>
      </c>
      <c r="O192" s="9" t="n">
        <v>0</v>
      </c>
      <c r="Q192" s="9" t="n">
        <v>0</v>
      </c>
      <c r="S192" s="9" t="n">
        <v>0</v>
      </c>
      <c r="U192" s="9" t="n">
        <v>0</v>
      </c>
      <c r="W192" s="9" t="n">
        <v>0</v>
      </c>
      <c r="Y192" s="9" t="n">
        <v>0</v>
      </c>
      <c r="AA192" s="9" t="n">
        <v>0</v>
      </c>
      <c r="AC192" s="9" t="n">
        <v>0</v>
      </c>
      <c r="AE192" s="9" t="n">
        <v>0</v>
      </c>
    </row>
    <row r="193">
      <c r="A193" s="9" t="inlineStr">
        <is>
          <t>INDUSTRY FLOUR</t>
        </is>
      </c>
      <c r="C193" s="9" t="n">
        <v>0</v>
      </c>
      <c r="E193" s="9" t="n">
        <v>0</v>
      </c>
      <c r="G193" s="9" t="n">
        <v>0</v>
      </c>
      <c r="I193" s="9" t="n">
        <v>0</v>
      </c>
      <c r="K193" s="9" t="n">
        <v>0</v>
      </c>
      <c r="M193" s="9" t="n">
        <v>0</v>
      </c>
      <c r="O193" s="9" t="n">
        <v>0</v>
      </c>
      <c r="Q193" s="9" t="n">
        <v>0</v>
      </c>
      <c r="S193" s="9" t="n">
        <v>0</v>
      </c>
      <c r="U193" s="9" t="n">
        <v>0</v>
      </c>
      <c r="W193" s="9" t="n">
        <v>0</v>
      </c>
      <c r="Y193" s="9" t="n">
        <v>0</v>
      </c>
      <c r="AA193" s="9" t="n">
        <v>0</v>
      </c>
      <c r="AC193" s="9" t="n">
        <v>0</v>
      </c>
      <c r="AE193" s="9" t="n">
        <v>0</v>
      </c>
    </row>
    <row r="194">
      <c r="A194" s="9" t="inlineStr">
        <is>
          <t>RICE BRAN</t>
        </is>
      </c>
      <c r="C194" s="9" t="n">
        <v>0</v>
      </c>
      <c r="D194" s="9" t="n">
        <v>3</v>
      </c>
      <c r="E194" s="9" t="n">
        <v>30</v>
      </c>
      <c r="G194" s="9" t="n">
        <v>0</v>
      </c>
      <c r="I194" s="9" t="n">
        <v>0</v>
      </c>
      <c r="K194" s="9" t="n">
        <v>0</v>
      </c>
      <c r="M194" s="9" t="n">
        <v>0</v>
      </c>
      <c r="O194" s="9" t="n">
        <v>0</v>
      </c>
      <c r="Q194" s="9" t="n">
        <v>0</v>
      </c>
      <c r="S194" s="9" t="n">
        <v>0</v>
      </c>
      <c r="U194" s="9" t="n">
        <v>0</v>
      </c>
      <c r="W194" s="9" t="n">
        <v>0</v>
      </c>
      <c r="Y194" s="9" t="n">
        <v>0</v>
      </c>
      <c r="AA194" s="9" t="n">
        <v>0</v>
      </c>
      <c r="AC194" s="9" t="n">
        <v>0</v>
      </c>
      <c r="AE194" s="9" t="n">
        <v>0</v>
      </c>
    </row>
    <row r="195">
      <c r="A195" s="9" t="inlineStr">
        <is>
          <t>EP 200</t>
        </is>
      </c>
      <c r="C195" s="9" t="n">
        <v>0</v>
      </c>
      <c r="E195" s="9" t="n">
        <v>0</v>
      </c>
      <c r="G195" s="9" t="n">
        <v>0</v>
      </c>
      <c r="I195" s="9" t="n">
        <v>0</v>
      </c>
      <c r="K195" s="9" t="n">
        <v>0</v>
      </c>
      <c r="M195" s="9" t="n">
        <v>0</v>
      </c>
      <c r="O195" s="9" t="n">
        <v>0</v>
      </c>
      <c r="Q195" s="9" t="n">
        <v>0</v>
      </c>
      <c r="S195" s="9" t="n">
        <v>0</v>
      </c>
      <c r="U195" s="9" t="n">
        <v>0</v>
      </c>
      <c r="W195" s="9" t="n">
        <v>0</v>
      </c>
      <c r="Y195" s="9" t="n">
        <v>0</v>
      </c>
      <c r="AA195" s="9" t="n">
        <v>0</v>
      </c>
      <c r="AC195" s="9" t="n">
        <v>0</v>
      </c>
      <c r="AE195" s="9" t="n">
        <v>0</v>
      </c>
    </row>
    <row r="196">
      <c r="A196" s="9" t="inlineStr">
        <is>
          <t>SOYTIDE</t>
        </is>
      </c>
      <c r="C196" s="9" t="n">
        <v>0</v>
      </c>
      <c r="E196" s="9" t="n">
        <v>0</v>
      </c>
      <c r="G196" s="9" t="n">
        <v>0</v>
      </c>
      <c r="I196" s="9" t="n">
        <v>0</v>
      </c>
      <c r="K196" s="9" t="n">
        <v>0</v>
      </c>
      <c r="M196" s="9" t="n">
        <v>0</v>
      </c>
      <c r="O196" s="9" t="n">
        <v>0</v>
      </c>
      <c r="Q196" s="9" t="n">
        <v>0</v>
      </c>
      <c r="S196" s="9" t="n">
        <v>0</v>
      </c>
      <c r="U196" s="9" t="n">
        <v>0</v>
      </c>
      <c r="W196" s="9" t="n">
        <v>0</v>
      </c>
      <c r="Y196" s="9" t="n">
        <v>0</v>
      </c>
      <c r="AA196" s="9" t="n">
        <v>0</v>
      </c>
      <c r="AC196" s="9" t="n">
        <v>0</v>
      </c>
      <c r="AE196" s="9" t="n">
        <v>0</v>
      </c>
    </row>
    <row r="197">
      <c r="A197" s="9" t="inlineStr">
        <is>
          <t>DCP 18% (HARUMI)</t>
        </is>
      </c>
      <c r="C197" s="9" t="n">
        <v>0</v>
      </c>
      <c r="E197" s="9" t="n">
        <v>0</v>
      </c>
      <c r="G197" s="9" t="n">
        <v>0</v>
      </c>
      <c r="I197" s="9" t="n">
        <v>0</v>
      </c>
      <c r="K197" s="9" t="n">
        <v>0</v>
      </c>
      <c r="M197" s="9" t="n">
        <v>0</v>
      </c>
      <c r="O197" s="9" t="n">
        <v>0</v>
      </c>
      <c r="Q197" s="9" t="n">
        <v>0</v>
      </c>
      <c r="S197" s="9" t="n">
        <v>0</v>
      </c>
      <c r="U197" s="9" t="n">
        <v>0</v>
      </c>
      <c r="W197" s="9" t="n">
        <v>0</v>
      </c>
      <c r="Y197" s="9" t="n">
        <v>0</v>
      </c>
      <c r="AA197" s="9" t="n">
        <v>0</v>
      </c>
      <c r="AC197" s="9" t="n">
        <v>0</v>
      </c>
      <c r="AE197" s="9" t="n">
        <v>0</v>
      </c>
    </row>
    <row r="198">
      <c r="A198" s="9" t="n">
        <v>1</v>
      </c>
      <c r="C198" s="9" t="n">
        <v>0</v>
      </c>
      <c r="E198" s="9" t="n">
        <v>0</v>
      </c>
      <c r="G198" s="9" t="n">
        <v>0</v>
      </c>
      <c r="I198" s="9" t="n">
        <v>0</v>
      </c>
      <c r="K198" s="9" t="n">
        <v>0</v>
      </c>
      <c r="M198" s="9" t="n">
        <v>0</v>
      </c>
      <c r="O198" s="9" t="n">
        <v>0</v>
      </c>
      <c r="Q198" s="9" t="n">
        <v>0</v>
      </c>
      <c r="S198" s="9" t="n">
        <v>0</v>
      </c>
      <c r="U198" s="9" t="n">
        <v>0</v>
      </c>
      <c r="W198" s="9" t="n">
        <v>0</v>
      </c>
      <c r="Y198" s="9" t="n">
        <v>0</v>
      </c>
      <c r="AA198" s="9" t="n">
        <v>0</v>
      </c>
      <c r="AC198" s="9" t="n">
        <v>0</v>
      </c>
      <c r="AE198" s="9" t="n">
        <v>0</v>
      </c>
    </row>
    <row r="199">
      <c r="A199" s="9" t="n">
        <v>2</v>
      </c>
      <c r="C199" s="9" t="n">
        <v>0</v>
      </c>
      <c r="E199" s="9" t="n">
        <v>0</v>
      </c>
      <c r="G199" s="9" t="n">
        <v>0</v>
      </c>
      <c r="I199" s="9" t="n">
        <v>0</v>
      </c>
      <c r="K199" s="9" t="n">
        <v>0</v>
      </c>
      <c r="M199" s="9" t="n">
        <v>0</v>
      </c>
      <c r="O199" s="9" t="n">
        <v>0</v>
      </c>
      <c r="Q199" s="9" t="n">
        <v>0</v>
      </c>
      <c r="S199" s="9" t="n">
        <v>0</v>
      </c>
      <c r="U199" s="9" t="n">
        <v>0</v>
      </c>
      <c r="W199" s="9" t="n">
        <v>0</v>
      </c>
      <c r="Y199" s="9" t="n">
        <v>0</v>
      </c>
      <c r="AA199" s="9" t="n">
        <v>0</v>
      </c>
      <c r="AC199" s="9" t="n">
        <v>0</v>
      </c>
      <c r="AE199" s="9" t="n">
        <v>0</v>
      </c>
    </row>
    <row r="200">
      <c r="A200" s="9" t="n">
        <v>3</v>
      </c>
      <c r="C200" s="9" t="n">
        <v>0</v>
      </c>
      <c r="E200" s="9" t="n">
        <v>0</v>
      </c>
      <c r="G200" s="9" t="n">
        <v>0</v>
      </c>
      <c r="I200" s="9" t="n">
        <v>0</v>
      </c>
      <c r="K200" s="9" t="n">
        <v>0</v>
      </c>
      <c r="M200" s="9" t="n">
        <v>0</v>
      </c>
      <c r="O200" s="9" t="n">
        <v>0</v>
      </c>
      <c r="Q200" s="9" t="n">
        <v>0</v>
      </c>
      <c r="S200" s="9" t="n">
        <v>0</v>
      </c>
      <c r="U200" s="9" t="n">
        <v>0</v>
      </c>
      <c r="W200" s="9" t="n">
        <v>0</v>
      </c>
      <c r="Y200" s="9" t="n">
        <v>0</v>
      </c>
      <c r="AA200" s="9" t="n">
        <v>0</v>
      </c>
      <c r="AC200" s="9" t="n">
        <v>0</v>
      </c>
      <c r="AE200" s="9" t="n">
        <v>0</v>
      </c>
    </row>
    <row r="201">
      <c r="A201" s="9" t="inlineStr">
        <is>
          <t>PREMIX 1101 (20KG)</t>
        </is>
      </c>
      <c r="C201" s="9" t="n">
        <v>0</v>
      </c>
      <c r="E201" s="9" t="n">
        <v>0</v>
      </c>
      <c r="G201" s="9" t="n">
        <v>0</v>
      </c>
      <c r="I201" s="9" t="n">
        <v>0</v>
      </c>
      <c r="K201" s="9" t="n">
        <v>0</v>
      </c>
      <c r="M201" s="9" t="n">
        <v>0</v>
      </c>
      <c r="O201" s="9" t="n">
        <v>0</v>
      </c>
      <c r="Q201" s="9" t="n">
        <v>0</v>
      </c>
      <c r="S201" s="9" t="n">
        <v>0</v>
      </c>
      <c r="U201" s="9" t="n">
        <v>0</v>
      </c>
      <c r="W201" s="9" t="n">
        <v>0</v>
      </c>
      <c r="Y201" s="9" t="n">
        <v>0</v>
      </c>
      <c r="AA201" s="9" t="n">
        <v>0</v>
      </c>
      <c r="AC201" s="9" t="n">
        <v>0</v>
      </c>
      <c r="AE201" s="9" t="n">
        <v>0</v>
      </c>
    </row>
    <row r="202">
      <c r="A202" s="9" t="inlineStr">
        <is>
          <t>PREMIX 1102 (20KG)</t>
        </is>
      </c>
      <c r="C202" s="9" t="n">
        <v>0</v>
      </c>
      <c r="E202" s="9" t="n">
        <v>0</v>
      </c>
      <c r="G202" s="9" t="n">
        <v>0</v>
      </c>
      <c r="I202" s="9" t="n">
        <v>0</v>
      </c>
      <c r="K202" s="9" t="n">
        <v>0</v>
      </c>
      <c r="M202" s="9" t="n">
        <v>0</v>
      </c>
      <c r="O202" s="9" t="n">
        <v>0</v>
      </c>
      <c r="Q202" s="9" t="n">
        <v>0</v>
      </c>
      <c r="S202" s="9" t="n">
        <v>0</v>
      </c>
      <c r="U202" s="9" t="n">
        <v>0</v>
      </c>
      <c r="W202" s="9" t="n">
        <v>0</v>
      </c>
      <c r="Y202" s="9" t="n">
        <v>0</v>
      </c>
      <c r="AA202" s="9" t="n">
        <v>0</v>
      </c>
      <c r="AC202" s="9" t="n">
        <v>0</v>
      </c>
      <c r="AE202" s="9" t="n">
        <v>0</v>
      </c>
    </row>
    <row r="203">
      <c r="A203" s="9" t="inlineStr">
        <is>
          <t>PREMIX 1103 (20KG)</t>
        </is>
      </c>
      <c r="B203" s="9" t="n">
        <v>2</v>
      </c>
      <c r="C203" s="9" t="n">
        <v>20</v>
      </c>
      <c r="D203" s="9" t="n">
        <v>2</v>
      </c>
      <c r="E203" s="9" t="n">
        <v>20</v>
      </c>
      <c r="G203" s="9" t="n">
        <v>0</v>
      </c>
      <c r="I203" s="9" t="n">
        <v>0</v>
      </c>
      <c r="K203" s="9" t="n">
        <v>0</v>
      </c>
      <c r="M203" s="9" t="n">
        <v>0</v>
      </c>
      <c r="O203" s="9" t="n">
        <v>0</v>
      </c>
      <c r="Q203" s="9" t="n">
        <v>0</v>
      </c>
      <c r="S203" s="9" t="n">
        <v>0</v>
      </c>
      <c r="U203" s="9" t="n">
        <v>0</v>
      </c>
      <c r="W203" s="9" t="n">
        <v>0</v>
      </c>
      <c r="Y203" s="9" t="n">
        <v>0</v>
      </c>
      <c r="AA203" s="9" t="n">
        <v>0</v>
      </c>
      <c r="AC203" s="9" t="n">
        <v>0</v>
      </c>
      <c r="AE203" s="9" t="n">
        <v>0</v>
      </c>
    </row>
    <row r="204">
      <c r="A204" s="9" t="inlineStr">
        <is>
          <t>PREMIX 311 (20KG)</t>
        </is>
      </c>
      <c r="C204" s="9" t="n">
        <v>0</v>
      </c>
      <c r="E204" s="9" t="n">
        <v>0</v>
      </c>
      <c r="G204" s="9" t="n">
        <v>0</v>
      </c>
      <c r="I204" s="9" t="n">
        <v>0</v>
      </c>
      <c r="K204" s="9" t="n">
        <v>0</v>
      </c>
      <c r="M204" s="9" t="n">
        <v>0</v>
      </c>
      <c r="O204" s="9" t="n">
        <v>0</v>
      </c>
      <c r="Q204" s="9" t="n">
        <v>0</v>
      </c>
      <c r="S204" s="9" t="n">
        <v>0</v>
      </c>
      <c r="U204" s="9" t="n">
        <v>0</v>
      </c>
      <c r="W204" s="9" t="n">
        <v>0</v>
      </c>
      <c r="Y204" s="9" t="n">
        <v>0</v>
      </c>
      <c r="AA204" s="9" t="n">
        <v>0</v>
      </c>
      <c r="AC204" s="9" t="n">
        <v>0</v>
      </c>
      <c r="AE204" s="9" t="n">
        <v>0</v>
      </c>
    </row>
    <row r="205">
      <c r="A205" s="9" t="inlineStr">
        <is>
          <t>PREMIX 312 (20KG)</t>
        </is>
      </c>
      <c r="C205" s="9" t="n">
        <v>0</v>
      </c>
      <c r="E205" s="9" t="n">
        <v>0</v>
      </c>
      <c r="G205" s="9" t="n">
        <v>0</v>
      </c>
      <c r="I205" s="9" t="n">
        <v>0</v>
      </c>
      <c r="K205" s="9" t="n">
        <v>0</v>
      </c>
      <c r="M205" s="9" t="n">
        <v>0</v>
      </c>
      <c r="O205" s="9" t="n">
        <v>0</v>
      </c>
      <c r="Q205" s="9" t="n">
        <v>0</v>
      </c>
      <c r="S205" s="9" t="n">
        <v>0</v>
      </c>
      <c r="U205" s="9" t="n">
        <v>0</v>
      </c>
      <c r="W205" s="9" t="n">
        <v>0</v>
      </c>
      <c r="Y205" s="9" t="n">
        <v>0</v>
      </c>
      <c r="AA205" s="9" t="n">
        <v>0</v>
      </c>
      <c r="AC205" s="9" t="n">
        <v>0</v>
      </c>
      <c r="AE205" s="9" t="n">
        <v>0</v>
      </c>
    </row>
    <row r="206">
      <c r="A206" s="9" t="n">
        <v>1</v>
      </c>
      <c r="C206" s="9" t="n">
        <v>0</v>
      </c>
      <c r="E206" s="9" t="n">
        <v>0</v>
      </c>
      <c r="G206" s="9" t="n">
        <v>0</v>
      </c>
      <c r="I206" s="9" t="n">
        <v>0</v>
      </c>
      <c r="K206" s="9" t="n">
        <v>0</v>
      </c>
      <c r="M206" s="9" t="n">
        <v>0</v>
      </c>
      <c r="O206" s="9" t="n">
        <v>0</v>
      </c>
      <c r="Q206" s="9" t="n">
        <v>0</v>
      </c>
      <c r="S206" s="9" t="n">
        <v>0</v>
      </c>
      <c r="U206" s="9" t="n">
        <v>0</v>
      </c>
      <c r="W206" s="9" t="n">
        <v>0</v>
      </c>
      <c r="Y206" s="9" t="n">
        <v>0</v>
      </c>
      <c r="AA206" s="9" t="n">
        <v>0</v>
      </c>
      <c r="AC206" s="9" t="n">
        <v>0</v>
      </c>
      <c r="AE206" s="9" t="n">
        <v>0</v>
      </c>
    </row>
    <row r="207">
      <c r="A207" s="9" t="inlineStr">
        <is>
          <t>PREMIX 8100 (20KG)</t>
        </is>
      </c>
      <c r="C207" s="9" t="n">
        <v>0</v>
      </c>
      <c r="E207" s="9" t="n">
        <v>0</v>
      </c>
      <c r="G207" s="9" t="n">
        <v>0</v>
      </c>
      <c r="I207" s="9" t="n">
        <v>0</v>
      </c>
      <c r="K207" s="9" t="n">
        <v>0</v>
      </c>
      <c r="M207" s="9" t="n">
        <v>0</v>
      </c>
      <c r="O207" s="9" t="n">
        <v>0</v>
      </c>
      <c r="Q207" s="9" t="n">
        <v>0</v>
      </c>
      <c r="S207" s="9" t="n">
        <v>0</v>
      </c>
      <c r="U207" s="9" t="n">
        <v>0</v>
      </c>
      <c r="W207" s="9" t="n">
        <v>0</v>
      </c>
      <c r="Y207" s="9" t="n">
        <v>0</v>
      </c>
      <c r="AA207" s="9" t="n">
        <v>0</v>
      </c>
      <c r="AC207" s="9" t="n">
        <v>0</v>
      </c>
      <c r="AE207" s="9" t="n">
        <v>0</v>
      </c>
    </row>
    <row r="208">
      <c r="A208" s="9" t="inlineStr">
        <is>
          <t>PREMIX 8101 (20KG)</t>
        </is>
      </c>
      <c r="C208" s="9" t="n">
        <v>0</v>
      </c>
      <c r="E208" s="9" t="n">
        <v>0</v>
      </c>
      <c r="G208" s="9" t="n">
        <v>0</v>
      </c>
      <c r="I208" s="9" t="n">
        <v>0</v>
      </c>
      <c r="K208" s="9" t="n">
        <v>0</v>
      </c>
      <c r="M208" s="9" t="n">
        <v>0</v>
      </c>
      <c r="O208" s="9" t="n">
        <v>0</v>
      </c>
      <c r="Q208" s="9" t="n">
        <v>0</v>
      </c>
      <c r="S208" s="9" t="n">
        <v>0</v>
      </c>
      <c r="U208" s="9" t="n">
        <v>0</v>
      </c>
      <c r="W208" s="9" t="n">
        <v>0</v>
      </c>
      <c r="Y208" s="9" t="n">
        <v>0</v>
      </c>
      <c r="AA208" s="9" t="n">
        <v>0</v>
      </c>
      <c r="AC208" s="9" t="n">
        <v>0</v>
      </c>
      <c r="AE208" s="9" t="n">
        <v>0</v>
      </c>
    </row>
    <row r="209">
      <c r="A209" s="9" t="inlineStr">
        <is>
          <t>PREMIX 8102 (20KG)</t>
        </is>
      </c>
      <c r="C209" s="9" t="n">
        <v>0</v>
      </c>
      <c r="E209" s="9" t="n">
        <v>0</v>
      </c>
      <c r="G209" s="9" t="n">
        <v>0</v>
      </c>
      <c r="I209" s="9" t="n">
        <v>0</v>
      </c>
      <c r="K209" s="9" t="n">
        <v>0</v>
      </c>
      <c r="M209" s="9" t="n">
        <v>0</v>
      </c>
      <c r="O209" s="9" t="n">
        <v>0</v>
      </c>
      <c r="Q209" s="9" t="n">
        <v>0</v>
      </c>
      <c r="S209" s="9" t="n">
        <v>0</v>
      </c>
      <c r="U209" s="9" t="n">
        <v>0</v>
      </c>
      <c r="W209" s="9" t="n">
        <v>0</v>
      </c>
      <c r="Y209" s="9" t="n">
        <v>0</v>
      </c>
      <c r="AA209" s="9" t="n">
        <v>0</v>
      </c>
      <c r="AC209" s="9" t="n">
        <v>0</v>
      </c>
      <c r="AE209" s="9" t="n">
        <v>0</v>
      </c>
    </row>
    <row r="210">
      <c r="A210" s="9" t="inlineStr">
        <is>
          <t>PREMIX 8103 (20KG)</t>
        </is>
      </c>
      <c r="C210" s="9" t="n">
        <v>0</v>
      </c>
      <c r="E210" s="9" t="n">
        <v>0</v>
      </c>
      <c r="G210" s="9" t="n">
        <v>0</v>
      </c>
      <c r="I210" s="9" t="n">
        <v>0</v>
      </c>
      <c r="K210" s="9" t="n">
        <v>0</v>
      </c>
      <c r="M210" s="9" t="n">
        <v>0</v>
      </c>
      <c r="O210" s="9" t="n">
        <v>0</v>
      </c>
      <c r="Q210" s="9" t="n">
        <v>0</v>
      </c>
      <c r="S210" s="9" t="n">
        <v>0</v>
      </c>
      <c r="U210" s="9" t="n">
        <v>0</v>
      </c>
      <c r="W210" s="9" t="n">
        <v>0</v>
      </c>
      <c r="Y210" s="9" t="n">
        <v>0</v>
      </c>
      <c r="AA210" s="9" t="n">
        <v>0</v>
      </c>
      <c r="AC210" s="9" t="n">
        <v>0</v>
      </c>
      <c r="AE210" s="9" t="n">
        <v>0</v>
      </c>
    </row>
    <row r="211">
      <c r="A211" s="9" t="inlineStr">
        <is>
          <t>PREMIX 8108 (20KG)</t>
        </is>
      </c>
      <c r="C211" s="9" t="n">
        <v>0</v>
      </c>
      <c r="E211" s="9" t="n">
        <v>0</v>
      </c>
      <c r="G211" s="9" t="n">
        <v>0</v>
      </c>
      <c r="I211" s="9" t="n">
        <v>0</v>
      </c>
      <c r="K211" s="9" t="n">
        <v>0</v>
      </c>
      <c r="M211" s="9" t="n">
        <v>0</v>
      </c>
      <c r="O211" s="9" t="n">
        <v>0</v>
      </c>
      <c r="Q211" s="9" t="n">
        <v>0</v>
      </c>
      <c r="S211" s="9" t="n">
        <v>0</v>
      </c>
      <c r="U211" s="9" t="n">
        <v>0</v>
      </c>
      <c r="W211" s="9" t="n">
        <v>0</v>
      </c>
      <c r="Y211" s="9" t="n">
        <v>0</v>
      </c>
      <c r="AA211" s="9" t="n">
        <v>0</v>
      </c>
      <c r="AC211" s="9" t="n">
        <v>0</v>
      </c>
      <c r="AE211" s="9" t="n">
        <v>0</v>
      </c>
    </row>
    <row r="212">
      <c r="A212" s="9" t="inlineStr">
        <is>
          <t>PREMIX 8109 (20KG)</t>
        </is>
      </c>
      <c r="C212" s="9" t="n">
        <v>0</v>
      </c>
      <c r="E212" s="9" t="n">
        <v>0</v>
      </c>
      <c r="G212" s="9" t="n">
        <v>0</v>
      </c>
      <c r="I212" s="9" t="n">
        <v>0</v>
      </c>
      <c r="K212" s="9" t="n">
        <v>0</v>
      </c>
      <c r="M212" s="9" t="n">
        <v>0</v>
      </c>
      <c r="O212" s="9" t="n">
        <v>0</v>
      </c>
      <c r="Q212" s="9" t="n">
        <v>0</v>
      </c>
      <c r="S212" s="9" t="n">
        <v>0</v>
      </c>
      <c r="U212" s="9" t="n">
        <v>0</v>
      </c>
      <c r="W212" s="9" t="n">
        <v>0</v>
      </c>
      <c r="Y212" s="9" t="n">
        <v>0</v>
      </c>
      <c r="AA212" s="9" t="n">
        <v>0</v>
      </c>
      <c r="AC212" s="9" t="n">
        <v>0</v>
      </c>
      <c r="AE212" s="9" t="n">
        <v>0</v>
      </c>
    </row>
    <row r="213">
      <c r="A213" s="9" t="inlineStr">
        <is>
          <t>YENMIX 121 (20KG)</t>
        </is>
      </c>
      <c r="C213" s="9" t="n">
        <v>0</v>
      </c>
      <c r="E213" s="9" t="n">
        <v>0</v>
      </c>
      <c r="G213" s="9" t="n">
        <v>0</v>
      </c>
      <c r="I213" s="9" t="n">
        <v>0</v>
      </c>
      <c r="K213" s="9" t="n">
        <v>0</v>
      </c>
      <c r="M213" s="9" t="n">
        <v>0</v>
      </c>
      <c r="O213" s="9" t="n">
        <v>0</v>
      </c>
      <c r="Q213" s="9" t="n">
        <v>0</v>
      </c>
      <c r="S213" s="9" t="n">
        <v>0</v>
      </c>
      <c r="U213" s="9" t="n">
        <v>0</v>
      </c>
      <c r="W213" s="9" t="n">
        <v>0</v>
      </c>
      <c r="Y213" s="9" t="n">
        <v>0</v>
      </c>
      <c r="AA213" s="9" t="n">
        <v>0</v>
      </c>
      <c r="AC213" s="9" t="n">
        <v>0</v>
      </c>
      <c r="AE213" s="9" t="n">
        <v>0</v>
      </c>
    </row>
    <row r="214">
      <c r="A214" s="9" t="inlineStr">
        <is>
          <t>YENMIX 122 (19.50KG)</t>
        </is>
      </c>
      <c r="C214" s="9" t="n">
        <v>0</v>
      </c>
      <c r="E214" s="9" t="n">
        <v>0</v>
      </c>
      <c r="G214" s="9" t="n">
        <v>0</v>
      </c>
      <c r="I214" s="9" t="n">
        <v>0</v>
      </c>
      <c r="K214" s="9" t="n">
        <v>0</v>
      </c>
      <c r="M214" s="9" t="n">
        <v>0</v>
      </c>
      <c r="O214" s="9" t="n">
        <v>0</v>
      </c>
      <c r="Q214" s="9" t="n">
        <v>0</v>
      </c>
      <c r="S214" s="9" t="n">
        <v>0</v>
      </c>
      <c r="U214" s="9" t="n">
        <v>0</v>
      </c>
      <c r="W214" s="9" t="n">
        <v>0</v>
      </c>
      <c r="Y214" s="9" t="n">
        <v>0</v>
      </c>
      <c r="AA214" s="9" t="n">
        <v>0</v>
      </c>
      <c r="AC214" s="9" t="n">
        <v>0</v>
      </c>
      <c r="AE214" s="9" t="n">
        <v>0</v>
      </c>
    </row>
    <row r="215">
      <c r="A215" s="9" t="inlineStr">
        <is>
          <t>YENMIX 123 (18.90KG)</t>
        </is>
      </c>
      <c r="C215" s="9" t="n">
        <v>0</v>
      </c>
      <c r="E215" s="9" t="n">
        <v>0</v>
      </c>
      <c r="G215" s="9" t="n">
        <v>0</v>
      </c>
      <c r="I215" s="9" t="n">
        <v>0</v>
      </c>
      <c r="K215" s="9" t="n">
        <v>0</v>
      </c>
      <c r="M215" s="9" t="n">
        <v>0</v>
      </c>
      <c r="O215" s="9" t="n">
        <v>0</v>
      </c>
      <c r="Q215" s="9" t="n">
        <v>0</v>
      </c>
      <c r="S215" s="9" t="n">
        <v>0</v>
      </c>
      <c r="U215" s="9" t="n">
        <v>0</v>
      </c>
      <c r="W215" s="9" t="n">
        <v>0</v>
      </c>
      <c r="Y215" s="9" t="n">
        <v>0</v>
      </c>
      <c r="AA215" s="9" t="n">
        <v>0</v>
      </c>
      <c r="AC215" s="9" t="n">
        <v>0</v>
      </c>
      <c r="AE215" s="9" t="n">
        <v>0</v>
      </c>
    </row>
    <row r="216">
      <c r="A216" s="9" t="inlineStr">
        <is>
          <t>YENMIX 122 (20.50KG)</t>
        </is>
      </c>
      <c r="C216" s="9" t="n">
        <v>0</v>
      </c>
      <c r="E216" s="9" t="n">
        <v>0</v>
      </c>
      <c r="G216" s="9" t="n">
        <v>0</v>
      </c>
      <c r="I216" s="9" t="n">
        <v>0</v>
      </c>
      <c r="K216" s="9" t="n">
        <v>0</v>
      </c>
      <c r="M216" s="9" t="n">
        <v>0</v>
      </c>
      <c r="O216" s="9" t="n">
        <v>0</v>
      </c>
      <c r="Q216" s="9" t="n">
        <v>0</v>
      </c>
      <c r="S216" s="9" t="n">
        <v>0</v>
      </c>
      <c r="U216" s="9" t="n">
        <v>0</v>
      </c>
      <c r="W216" s="9" t="n">
        <v>0</v>
      </c>
      <c r="Y216" s="9" t="n">
        <v>0</v>
      </c>
      <c r="AA216" s="9" t="n">
        <v>0</v>
      </c>
      <c r="AC216" s="9" t="n">
        <v>0</v>
      </c>
      <c r="AE216" s="9" t="n">
        <v>0</v>
      </c>
    </row>
    <row r="217">
      <c r="A217" s="9" t="inlineStr">
        <is>
          <t>YENMIX 123 (20.00KG)</t>
        </is>
      </c>
      <c r="C217" s="9" t="n">
        <v>0</v>
      </c>
      <c r="E217" s="9" t="n">
        <v>0</v>
      </c>
      <c r="G217" s="9" t="n">
        <v>0</v>
      </c>
      <c r="I217" s="9" t="n">
        <v>0</v>
      </c>
      <c r="K217" s="9" t="n">
        <v>0</v>
      </c>
      <c r="M217" s="9" t="n">
        <v>0</v>
      </c>
      <c r="O217" s="9" t="n">
        <v>0</v>
      </c>
      <c r="Q217" s="9" t="n">
        <v>0</v>
      </c>
      <c r="S217" s="9" t="n">
        <v>0</v>
      </c>
      <c r="U217" s="9" t="n">
        <v>0</v>
      </c>
      <c r="W217" s="9" t="n">
        <v>0</v>
      </c>
      <c r="Y217" s="9" t="n">
        <v>0</v>
      </c>
      <c r="AA217" s="9" t="n">
        <v>0</v>
      </c>
      <c r="AC217" s="9" t="n">
        <v>0</v>
      </c>
      <c r="AE217" s="9" t="n">
        <v>0</v>
      </c>
    </row>
    <row r="218">
      <c r="A218" s="9" t="n">
        <v>1</v>
      </c>
      <c r="C218" s="9" t="n">
        <v>0</v>
      </c>
      <c r="E218" s="9" t="n">
        <v>0</v>
      </c>
      <c r="G218" s="9" t="n">
        <v>0</v>
      </c>
      <c r="I218" s="9" t="n">
        <v>0</v>
      </c>
      <c r="K218" s="9" t="n">
        <v>0</v>
      </c>
      <c r="M218" s="9" t="n">
        <v>0</v>
      </c>
      <c r="O218" s="9" t="n">
        <v>0</v>
      </c>
      <c r="Q218" s="9" t="n">
        <v>0</v>
      </c>
      <c r="S218" s="9" t="n">
        <v>0</v>
      </c>
      <c r="U218" s="9" t="n">
        <v>0</v>
      </c>
      <c r="W218" s="9" t="n">
        <v>0</v>
      </c>
      <c r="Y218" s="9" t="n">
        <v>0</v>
      </c>
      <c r="AA218" s="9" t="n">
        <v>0</v>
      </c>
      <c r="AC218" s="9" t="n">
        <v>0</v>
      </c>
      <c r="AE218" s="9" t="n">
        <v>0</v>
      </c>
    </row>
    <row r="219">
      <c r="A219" s="9" t="n">
        <v>2</v>
      </c>
      <c r="C219" s="9" t="n">
        <v>0</v>
      </c>
      <c r="E219" s="9" t="n">
        <v>0</v>
      </c>
      <c r="G219" s="9" t="n">
        <v>0</v>
      </c>
      <c r="I219" s="9" t="n">
        <v>0</v>
      </c>
      <c r="K219" s="9" t="n">
        <v>0</v>
      </c>
      <c r="M219" s="9" t="n">
        <v>0</v>
      </c>
      <c r="O219" s="9" t="n">
        <v>0</v>
      </c>
      <c r="Q219" s="9" t="n">
        <v>0</v>
      </c>
      <c r="S219" s="9" t="n">
        <v>0</v>
      </c>
      <c r="U219" s="9" t="n">
        <v>0</v>
      </c>
      <c r="W219" s="9" t="n">
        <v>0</v>
      </c>
      <c r="Y219" s="9" t="n">
        <v>0</v>
      </c>
      <c r="AA219" s="9" t="n">
        <v>0</v>
      </c>
      <c r="AC219" s="9" t="n">
        <v>0</v>
      </c>
      <c r="AE219" s="9" t="n">
        <v>0</v>
      </c>
    </row>
    <row r="220">
      <c r="A220" s="9" t="n">
        <v>3</v>
      </c>
      <c r="C220" s="9" t="n">
        <v>0</v>
      </c>
      <c r="E220" s="9" t="n">
        <v>0</v>
      </c>
      <c r="G220" s="9" t="n">
        <v>0</v>
      </c>
      <c r="I220" s="9" t="n">
        <v>0</v>
      </c>
      <c r="K220" s="9" t="n">
        <v>0</v>
      </c>
      <c r="M220" s="9" t="n">
        <v>0</v>
      </c>
      <c r="O220" s="9" t="n">
        <v>0</v>
      </c>
      <c r="Q220" s="9" t="n">
        <v>0</v>
      </c>
      <c r="S220" s="9" t="n">
        <v>0</v>
      </c>
      <c r="U220" s="9" t="n">
        <v>0</v>
      </c>
      <c r="W220" s="9" t="n">
        <v>0</v>
      </c>
      <c r="Y220" s="9" t="n">
        <v>0</v>
      </c>
      <c r="AA220" s="9" t="n">
        <v>0</v>
      </c>
      <c r="AC220" s="9" t="n">
        <v>0</v>
      </c>
      <c r="AE220" s="9" t="n">
        <v>0</v>
      </c>
    </row>
    <row r="221">
      <c r="A221" s="9" t="inlineStr">
        <is>
          <t>TOXISORB PREMIUM</t>
        </is>
      </c>
      <c r="B221" s="9" t="n">
        <v>0.05</v>
      </c>
      <c r="C221" s="9" t="n">
        <v>0.5</v>
      </c>
      <c r="E221" s="9" t="n">
        <v>0</v>
      </c>
      <c r="G221" s="9" t="n">
        <v>0</v>
      </c>
      <c r="I221" s="9" t="n">
        <v>0</v>
      </c>
      <c r="K221" s="9" t="n">
        <v>0</v>
      </c>
      <c r="M221" s="9" t="n">
        <v>0</v>
      </c>
      <c r="O221" s="9" t="n">
        <v>0</v>
      </c>
      <c r="Q221" s="9" t="n">
        <v>0</v>
      </c>
      <c r="S221" s="9" t="n">
        <v>0</v>
      </c>
      <c r="U221" s="9" t="n">
        <v>0</v>
      </c>
      <c r="W221" s="9" t="n">
        <v>0</v>
      </c>
      <c r="Y221" s="9" t="n">
        <v>0</v>
      </c>
      <c r="AA221" s="9" t="n">
        <v>0</v>
      </c>
      <c r="AC221" s="9" t="n">
        <v>0</v>
      </c>
      <c r="AE221" s="9" t="n">
        <v>0</v>
      </c>
    </row>
    <row r="222">
      <c r="A222" s="9" t="inlineStr">
        <is>
          <t>SODIUM HUMATE 3.8% (HARUMI)</t>
        </is>
      </c>
      <c r="C222" s="9" t="n">
        <v>0</v>
      </c>
      <c r="E222" s="9" t="n">
        <v>0</v>
      </c>
      <c r="G222" s="9" t="n">
        <v>0</v>
      </c>
      <c r="I222" s="9" t="n">
        <v>0</v>
      </c>
      <c r="K222" s="9" t="n">
        <v>0</v>
      </c>
      <c r="M222" s="9" t="n">
        <v>0</v>
      </c>
      <c r="O222" s="9" t="n">
        <v>0</v>
      </c>
      <c r="Q222" s="9" t="n">
        <v>0</v>
      </c>
      <c r="S222" s="9" t="n">
        <v>0</v>
      </c>
      <c r="U222" s="9" t="n">
        <v>0</v>
      </c>
      <c r="W222" s="9" t="n">
        <v>0</v>
      </c>
      <c r="Y222" s="9" t="n">
        <v>0</v>
      </c>
      <c r="AA222" s="9" t="n">
        <v>0</v>
      </c>
      <c r="AC222" s="9" t="n">
        <v>0</v>
      </c>
      <c r="AE222" s="9" t="n">
        <v>0</v>
      </c>
    </row>
    <row r="223">
      <c r="A223" s="9" t="inlineStr">
        <is>
          <t>TOXIWALL</t>
        </is>
      </c>
      <c r="C223" s="9" t="n">
        <v>0</v>
      </c>
      <c r="E223" s="9" t="n">
        <v>0</v>
      </c>
      <c r="G223" s="9" t="n">
        <v>0</v>
      </c>
      <c r="I223" s="9" t="n">
        <v>0</v>
      </c>
      <c r="K223" s="9" t="n">
        <v>0</v>
      </c>
      <c r="M223" s="9" t="n">
        <v>0</v>
      </c>
      <c r="O223" s="9" t="n">
        <v>0</v>
      </c>
      <c r="Q223" s="9" t="n">
        <v>0</v>
      </c>
      <c r="S223" s="9" t="n">
        <v>0</v>
      </c>
      <c r="U223" s="9" t="n">
        <v>0</v>
      </c>
      <c r="W223" s="9" t="n">
        <v>0</v>
      </c>
      <c r="Y223" s="9" t="n">
        <v>0</v>
      </c>
      <c r="AA223" s="9" t="n">
        <v>0</v>
      </c>
      <c r="AC223" s="9" t="n">
        <v>0</v>
      </c>
      <c r="AE223" s="9" t="n">
        <v>0</v>
      </c>
    </row>
    <row r="224">
      <c r="A224" s="9" t="inlineStr">
        <is>
          <t>SODIUM BICARBONATE</t>
        </is>
      </c>
      <c r="C224" s="9" t="n">
        <v>0</v>
      </c>
      <c r="E224" s="9" t="n">
        <v>0</v>
      </c>
      <c r="G224" s="9" t="n">
        <v>0</v>
      </c>
      <c r="I224" s="9" t="n">
        <v>0</v>
      </c>
      <c r="K224" s="9" t="n">
        <v>0</v>
      </c>
      <c r="M224" s="9" t="n">
        <v>0</v>
      </c>
      <c r="O224" s="9" t="n">
        <v>0</v>
      </c>
      <c r="Q224" s="9" t="n">
        <v>0</v>
      </c>
      <c r="S224" s="9" t="n">
        <v>0</v>
      </c>
      <c r="U224" s="9" t="n">
        <v>0</v>
      </c>
      <c r="W224" s="9" t="n">
        <v>0</v>
      </c>
      <c r="Y224" s="9" t="n">
        <v>0</v>
      </c>
      <c r="AA224" s="9" t="n">
        <v>0</v>
      </c>
      <c r="AC224" s="9" t="n">
        <v>0</v>
      </c>
      <c r="AE224" s="9" t="n">
        <v>0</v>
      </c>
    </row>
    <row r="225">
      <c r="A225" s="9" t="inlineStr">
        <is>
          <t>BMD 10%</t>
        </is>
      </c>
      <c r="C225" s="9" t="n">
        <v>0</v>
      </c>
      <c r="E225" s="9" t="n">
        <v>0</v>
      </c>
      <c r="G225" s="9" t="n">
        <v>0</v>
      </c>
      <c r="I225" s="9" t="n">
        <v>0</v>
      </c>
      <c r="K225" s="9" t="n">
        <v>0</v>
      </c>
      <c r="M225" s="9" t="n">
        <v>0</v>
      </c>
      <c r="O225" s="9" t="n">
        <v>0</v>
      </c>
      <c r="Q225" s="9" t="n">
        <v>0</v>
      </c>
      <c r="S225" s="9" t="n">
        <v>0</v>
      </c>
      <c r="U225" s="9" t="n">
        <v>0</v>
      </c>
      <c r="W225" s="9" t="n">
        <v>0</v>
      </c>
      <c r="Y225" s="9" t="n">
        <v>0</v>
      </c>
      <c r="AA225" s="9" t="n">
        <v>0</v>
      </c>
      <c r="AC225" s="9" t="n">
        <v>0</v>
      </c>
      <c r="AE225" s="9" t="n">
        <v>0</v>
      </c>
    </row>
    <row r="226">
      <c r="A226" s="9" t="inlineStr">
        <is>
          <t>SALT (HARUMI)</t>
        </is>
      </c>
      <c r="C226" s="9" t="n">
        <v>0</v>
      </c>
      <c r="E226" s="9" t="n">
        <v>0</v>
      </c>
      <c r="G226" s="9" t="n">
        <v>0</v>
      </c>
      <c r="I226" s="9" t="n">
        <v>0</v>
      </c>
      <c r="K226" s="9" t="n">
        <v>0</v>
      </c>
      <c r="M226" s="9" t="n">
        <v>0</v>
      </c>
      <c r="O226" s="9" t="n">
        <v>0</v>
      </c>
      <c r="Q226" s="9" t="n">
        <v>0</v>
      </c>
      <c r="S226" s="9" t="n">
        <v>0</v>
      </c>
      <c r="U226" s="9" t="n">
        <v>0</v>
      </c>
      <c r="W226" s="9" t="n">
        <v>0</v>
      </c>
      <c r="Y226" s="9" t="n">
        <v>0</v>
      </c>
      <c r="AA226" s="9" t="n">
        <v>0</v>
      </c>
      <c r="AC226" s="9" t="n">
        <v>0</v>
      </c>
      <c r="AE226" s="9" t="n">
        <v>0</v>
      </c>
    </row>
    <row r="227">
      <c r="A227" s="9" t="inlineStr">
        <is>
          <t>VISTABET 91</t>
        </is>
      </c>
      <c r="C227" s="9" t="n">
        <v>0</v>
      </c>
      <c r="E227" s="9" t="n">
        <v>0</v>
      </c>
      <c r="G227" s="9" t="n">
        <v>0</v>
      </c>
      <c r="I227" s="9" t="n">
        <v>0</v>
      </c>
      <c r="K227" s="9" t="n">
        <v>0</v>
      </c>
      <c r="M227" s="9" t="n">
        <v>0</v>
      </c>
      <c r="O227" s="9" t="n">
        <v>0</v>
      </c>
      <c r="Q227" s="9" t="n">
        <v>0</v>
      </c>
      <c r="S227" s="9" t="n">
        <v>0</v>
      </c>
      <c r="U227" s="9" t="n">
        <v>0</v>
      </c>
      <c r="W227" s="9" t="n">
        <v>0</v>
      </c>
      <c r="Y227" s="9" t="n">
        <v>0</v>
      </c>
      <c r="AA227" s="9" t="n">
        <v>0</v>
      </c>
      <c r="AC227" s="9" t="n">
        <v>0</v>
      </c>
      <c r="AE227" s="9" t="n">
        <v>0</v>
      </c>
    </row>
    <row r="228">
      <c r="A228" s="9" t="inlineStr">
        <is>
          <t>BETAFIN</t>
        </is>
      </c>
      <c r="C228" s="9" t="n">
        <v>0</v>
      </c>
      <c r="E228" s="9" t="n">
        <v>0</v>
      </c>
      <c r="G228" s="9" t="n">
        <v>0</v>
      </c>
      <c r="I228" s="9" t="n">
        <v>0</v>
      </c>
      <c r="K228" s="9" t="n">
        <v>0</v>
      </c>
      <c r="M228" s="9" t="n">
        <v>0</v>
      </c>
      <c r="O228" s="9" t="n">
        <v>0</v>
      </c>
      <c r="Q228" s="9" t="n">
        <v>0</v>
      </c>
      <c r="S228" s="9" t="n">
        <v>0</v>
      </c>
      <c r="U228" s="9" t="n">
        <v>0</v>
      </c>
      <c r="W228" s="9" t="n">
        <v>0</v>
      </c>
      <c r="Y228" s="9" t="n">
        <v>0</v>
      </c>
      <c r="AA228" s="9" t="n">
        <v>0</v>
      </c>
      <c r="AC228" s="9" t="n">
        <v>0</v>
      </c>
      <c r="AE228" s="9" t="n">
        <v>0</v>
      </c>
    </row>
    <row r="229">
      <c r="A229" s="9" t="inlineStr">
        <is>
          <t>8101 TOP UP</t>
        </is>
      </c>
      <c r="C229" s="9" t="n">
        <v>0</v>
      </c>
      <c r="E229" s="9" t="n">
        <v>0</v>
      </c>
      <c r="G229" s="9" t="n">
        <v>0</v>
      </c>
      <c r="I229" s="9" t="n">
        <v>0</v>
      </c>
      <c r="K229" s="9" t="n">
        <v>0</v>
      </c>
      <c r="M229" s="9" t="n">
        <v>0</v>
      </c>
      <c r="O229" s="9" t="n">
        <v>0</v>
      </c>
      <c r="Q229" s="9" t="n">
        <v>0</v>
      </c>
      <c r="S229" s="9" t="n">
        <v>0</v>
      </c>
      <c r="U229" s="9" t="n">
        <v>0</v>
      </c>
      <c r="W229" s="9" t="n">
        <v>0</v>
      </c>
      <c r="Y229" s="9" t="n">
        <v>0</v>
      </c>
      <c r="AA229" s="9" t="n">
        <v>0</v>
      </c>
      <c r="AC229" s="9" t="n">
        <v>0</v>
      </c>
      <c r="AE229" s="9" t="n">
        <v>0</v>
      </c>
    </row>
    <row r="230">
      <c r="A230" s="9" t="inlineStr">
        <is>
          <t>NORPONIN X03 (8102 TOP UP)</t>
        </is>
      </c>
      <c r="C230" s="9" t="n">
        <v>0</v>
      </c>
      <c r="E230" s="9" t="n">
        <v>0</v>
      </c>
      <c r="G230" s="9" t="n">
        <v>0</v>
      </c>
      <c r="I230" s="9" t="n">
        <v>0</v>
      </c>
      <c r="K230" s="9" t="n">
        <v>0</v>
      </c>
      <c r="M230" s="9" t="n">
        <v>0</v>
      </c>
      <c r="O230" s="9" t="n">
        <v>0</v>
      </c>
      <c r="Q230" s="9" t="n">
        <v>0</v>
      </c>
      <c r="S230" s="9" t="n">
        <v>0</v>
      </c>
      <c r="U230" s="9" t="n">
        <v>0</v>
      </c>
      <c r="W230" s="9" t="n">
        <v>0</v>
      </c>
      <c r="Y230" s="9" t="n">
        <v>0</v>
      </c>
      <c r="AA230" s="9" t="n">
        <v>0</v>
      </c>
      <c r="AC230" s="9" t="n">
        <v>0</v>
      </c>
      <c r="AE230" s="9" t="n">
        <v>0</v>
      </c>
    </row>
    <row r="231">
      <c r="A231" s="9" t="inlineStr">
        <is>
          <t>8102 TOP UP (4KG)</t>
        </is>
      </c>
      <c r="C231" s="9" t="n">
        <v>0</v>
      </c>
      <c r="E231" s="9" t="n">
        <v>0</v>
      </c>
      <c r="G231" s="9" t="n">
        <v>0</v>
      </c>
      <c r="I231" s="9" t="n">
        <v>0</v>
      </c>
      <c r="K231" s="9" t="n">
        <v>0</v>
      </c>
      <c r="M231" s="9" t="n">
        <v>0</v>
      </c>
      <c r="O231" s="9" t="n">
        <v>0</v>
      </c>
      <c r="Q231" s="9" t="n">
        <v>0</v>
      </c>
      <c r="S231" s="9" t="n">
        <v>0</v>
      </c>
      <c r="U231" s="9" t="n">
        <v>0</v>
      </c>
      <c r="W231" s="9" t="n">
        <v>0</v>
      </c>
      <c r="Y231" s="9" t="n">
        <v>0</v>
      </c>
      <c r="AA231" s="9" t="n">
        <v>0</v>
      </c>
      <c r="AC231" s="9" t="n">
        <v>0</v>
      </c>
      <c r="AE231" s="9" t="n">
        <v>0</v>
      </c>
    </row>
    <row r="232">
      <c r="A232" s="9" t="inlineStr">
        <is>
          <t>8103 TOP UP (5KG)</t>
        </is>
      </c>
      <c r="C232" s="9" t="n">
        <v>0</v>
      </c>
      <c r="E232" s="9" t="n">
        <v>0</v>
      </c>
      <c r="G232" s="9" t="n">
        <v>0</v>
      </c>
      <c r="I232" s="9" t="n">
        <v>0</v>
      </c>
      <c r="K232" s="9" t="n">
        <v>0</v>
      </c>
      <c r="M232" s="9" t="n">
        <v>0</v>
      </c>
      <c r="O232" s="9" t="n">
        <v>0</v>
      </c>
      <c r="Q232" s="9" t="n">
        <v>0</v>
      </c>
      <c r="S232" s="9" t="n">
        <v>0</v>
      </c>
      <c r="U232" s="9" t="n">
        <v>0</v>
      </c>
      <c r="W232" s="9" t="n">
        <v>0</v>
      </c>
      <c r="Y232" s="9" t="n">
        <v>0</v>
      </c>
      <c r="AA232" s="9" t="n">
        <v>0</v>
      </c>
      <c r="AC232" s="9" t="n">
        <v>0</v>
      </c>
      <c r="AE232" s="9" t="n">
        <v>0</v>
      </c>
    </row>
    <row r="233">
      <c r="A233" s="9" t="inlineStr">
        <is>
          <t>L-ARGININE</t>
        </is>
      </c>
      <c r="C233" s="9" t="n">
        <v>0</v>
      </c>
      <c r="E233" s="9" t="n">
        <v>0</v>
      </c>
      <c r="G233" s="9" t="n">
        <v>0</v>
      </c>
      <c r="I233" s="9" t="n">
        <v>0</v>
      </c>
      <c r="K233" s="9" t="n">
        <v>0</v>
      </c>
      <c r="M233" s="9" t="n">
        <v>0</v>
      </c>
      <c r="O233" s="9" t="n">
        <v>0</v>
      </c>
      <c r="Q233" s="9" t="n">
        <v>0</v>
      </c>
      <c r="S233" s="9" t="n">
        <v>0</v>
      </c>
      <c r="U233" s="9" t="n">
        <v>0</v>
      </c>
      <c r="W233" s="9" t="n">
        <v>0</v>
      </c>
      <c r="Y233" s="9" t="n">
        <v>0</v>
      </c>
      <c r="AA233" s="9" t="n">
        <v>0</v>
      </c>
      <c r="AC233" s="9" t="n">
        <v>0</v>
      </c>
      <c r="AE233" s="9" t="n">
        <v>0</v>
      </c>
    </row>
    <row r="234">
      <c r="A234" s="9" t="inlineStr">
        <is>
          <t>DL-METHIONINE</t>
        </is>
      </c>
      <c r="C234" s="9" t="n">
        <v>0</v>
      </c>
      <c r="E234" s="9" t="n">
        <v>0</v>
      </c>
      <c r="G234" s="9" t="n">
        <v>0</v>
      </c>
      <c r="I234" s="9" t="n">
        <v>0</v>
      </c>
      <c r="K234" s="9" t="n">
        <v>0</v>
      </c>
      <c r="M234" s="9" t="n">
        <v>0</v>
      </c>
      <c r="O234" s="9" t="n">
        <v>0</v>
      </c>
      <c r="Q234" s="9" t="n">
        <v>0</v>
      </c>
      <c r="S234" s="9" t="n">
        <v>0</v>
      </c>
      <c r="U234" s="9" t="n">
        <v>0</v>
      </c>
      <c r="W234" s="9" t="n">
        <v>0</v>
      </c>
      <c r="Y234" s="9" t="n">
        <v>0</v>
      </c>
      <c r="AA234" s="9" t="n">
        <v>0</v>
      </c>
      <c r="AC234" s="9" t="n">
        <v>0</v>
      </c>
      <c r="AE234" s="9" t="n">
        <v>0</v>
      </c>
    </row>
    <row r="235">
      <c r="A235" s="9" t="inlineStr">
        <is>
          <t>L-THREONINE</t>
        </is>
      </c>
      <c r="C235" s="9" t="n">
        <v>0</v>
      </c>
      <c r="E235" s="9" t="n">
        <v>0</v>
      </c>
      <c r="G235" s="9" t="n">
        <v>0</v>
      </c>
      <c r="I235" s="9" t="n">
        <v>0</v>
      </c>
      <c r="K235" s="9" t="n">
        <v>0</v>
      </c>
      <c r="M235" s="9" t="n">
        <v>0</v>
      </c>
      <c r="O235" s="9" t="n">
        <v>0</v>
      </c>
      <c r="Q235" s="9" t="n">
        <v>0</v>
      </c>
      <c r="S235" s="9" t="n">
        <v>0</v>
      </c>
      <c r="U235" s="9" t="n">
        <v>0</v>
      </c>
      <c r="W235" s="9" t="n">
        <v>0</v>
      </c>
      <c r="Y235" s="9" t="n">
        <v>0</v>
      </c>
      <c r="AA235" s="9" t="n">
        <v>0</v>
      </c>
      <c r="AC235" s="9" t="n">
        <v>0</v>
      </c>
      <c r="AE235" s="9" t="n">
        <v>0</v>
      </c>
    </row>
    <row r="236">
      <c r="A236" s="9" t="inlineStr">
        <is>
          <t>L-LYSINE</t>
        </is>
      </c>
      <c r="C236" s="9" t="n">
        <v>0</v>
      </c>
      <c r="E236" s="9" t="n">
        <v>0</v>
      </c>
      <c r="G236" s="9" t="n">
        <v>0</v>
      </c>
      <c r="I236" s="9" t="n">
        <v>0</v>
      </c>
      <c r="K236" s="9" t="n">
        <v>0</v>
      </c>
      <c r="M236" s="9" t="n">
        <v>0</v>
      </c>
      <c r="O236" s="9" t="n">
        <v>0</v>
      </c>
      <c r="Q236" s="9" t="n">
        <v>0</v>
      </c>
      <c r="S236" s="9" t="n">
        <v>0</v>
      </c>
      <c r="U236" s="9" t="n">
        <v>0</v>
      </c>
      <c r="W236" s="9" t="n">
        <v>0</v>
      </c>
      <c r="Y236" s="9" t="n">
        <v>0</v>
      </c>
      <c r="AA236" s="9" t="n">
        <v>0</v>
      </c>
      <c r="AC236" s="9" t="n">
        <v>0</v>
      </c>
      <c r="AE236" s="9" t="n">
        <v>0</v>
      </c>
    </row>
    <row r="237">
      <c r="A237" s="9" t="inlineStr">
        <is>
          <t>FAECES DRY</t>
        </is>
      </c>
      <c r="C237" s="9" t="n">
        <v>0</v>
      </c>
      <c r="E237" s="9" t="n">
        <v>0</v>
      </c>
      <c r="G237" s="9" t="n">
        <v>0</v>
      </c>
      <c r="I237" s="9" t="n">
        <v>0</v>
      </c>
      <c r="K237" s="9" t="n">
        <v>0</v>
      </c>
      <c r="M237" s="9" t="n">
        <v>0</v>
      </c>
      <c r="O237" s="9" t="n">
        <v>0</v>
      </c>
      <c r="Q237" s="9" t="n">
        <v>0</v>
      </c>
      <c r="S237" s="9" t="n">
        <v>0</v>
      </c>
      <c r="U237" s="9" t="n">
        <v>0</v>
      </c>
      <c r="W237" s="9" t="n">
        <v>0</v>
      </c>
      <c r="Y237" s="9" t="n">
        <v>0</v>
      </c>
      <c r="AA237" s="9" t="n">
        <v>0</v>
      </c>
      <c r="AC237" s="9" t="n">
        <v>0</v>
      </c>
      <c r="AE237" s="9" t="n">
        <v>0</v>
      </c>
    </row>
    <row r="238">
      <c r="A238" s="9" t="inlineStr">
        <is>
          <t>ECOBIOL</t>
        </is>
      </c>
      <c r="C238" s="9" t="n">
        <v>0</v>
      </c>
      <c r="E238" s="9" t="n">
        <v>0</v>
      </c>
      <c r="G238" s="9" t="n">
        <v>0</v>
      </c>
      <c r="I238" s="9" t="n">
        <v>0</v>
      </c>
      <c r="K238" s="9" t="n">
        <v>0</v>
      </c>
      <c r="M238" s="9" t="n">
        <v>0</v>
      </c>
      <c r="O238" s="9" t="n">
        <v>0</v>
      </c>
      <c r="Q238" s="9" t="n">
        <v>0</v>
      </c>
      <c r="S238" s="9" t="n">
        <v>0</v>
      </c>
      <c r="U238" s="9" t="n">
        <v>0</v>
      </c>
      <c r="W238" s="9" t="n">
        <v>0</v>
      </c>
      <c r="Y238" s="9" t="n">
        <v>0</v>
      </c>
      <c r="AA238" s="9" t="n">
        <v>0</v>
      </c>
      <c r="AC238" s="9" t="n">
        <v>0</v>
      </c>
      <c r="AE238" s="9" t="n">
        <v>0</v>
      </c>
    </row>
    <row r="239">
      <c r="A239" s="9" t="inlineStr">
        <is>
          <t>ADDITIVE BROILER IMMUNE</t>
        </is>
      </c>
      <c r="C239" s="9" t="n">
        <v>0</v>
      </c>
      <c r="E239" s="9" t="n">
        <v>0</v>
      </c>
      <c r="G239" s="9" t="n">
        <v>0</v>
      </c>
      <c r="I239" s="9" t="n">
        <v>0</v>
      </c>
      <c r="K239" s="9" t="n">
        <v>0</v>
      </c>
      <c r="M239" s="9" t="n">
        <v>0</v>
      </c>
      <c r="O239" s="9" t="n">
        <v>0</v>
      </c>
      <c r="Q239" s="9" t="n">
        <v>0</v>
      </c>
      <c r="S239" s="9" t="n">
        <v>0</v>
      </c>
      <c r="U239" s="9" t="n">
        <v>0</v>
      </c>
      <c r="W239" s="9" t="n">
        <v>0</v>
      </c>
      <c r="Y239" s="9" t="n">
        <v>0</v>
      </c>
      <c r="AA239" s="9" t="n">
        <v>0</v>
      </c>
      <c r="AC239" s="9" t="n">
        <v>0</v>
      </c>
      <c r="AE239" s="9" t="n">
        <v>0</v>
      </c>
    </row>
    <row r="240">
      <c r="A240" s="9" t="inlineStr">
        <is>
          <t>MASTER CUBE (HARUMI)</t>
        </is>
      </c>
      <c r="C240" s="9" t="n">
        <v>0</v>
      </c>
      <c r="E240" s="9" t="n">
        <v>0</v>
      </c>
      <c r="G240" s="9" t="n">
        <v>0</v>
      </c>
      <c r="I240" s="9" t="n">
        <v>0</v>
      </c>
      <c r="K240" s="9" t="n">
        <v>0</v>
      </c>
      <c r="M240" s="9" t="n">
        <v>0</v>
      </c>
      <c r="O240" s="9" t="n">
        <v>0</v>
      </c>
      <c r="Q240" s="9" t="n">
        <v>0</v>
      </c>
      <c r="S240" s="9" t="n">
        <v>0</v>
      </c>
      <c r="U240" s="9" t="n">
        <v>0</v>
      </c>
      <c r="W240" s="9" t="n">
        <v>0</v>
      </c>
      <c r="Y240" s="9" t="n">
        <v>0</v>
      </c>
      <c r="AA240" s="9" t="n">
        <v>0</v>
      </c>
      <c r="AC240" s="9" t="n">
        <v>0</v>
      </c>
      <c r="AE240" s="9" t="n">
        <v>0</v>
      </c>
    </row>
    <row r="241">
      <c r="A241" s="9" t="inlineStr">
        <is>
          <t>1101 TOP UP (0.40KG)</t>
        </is>
      </c>
      <c r="C241" s="9" t="n">
        <v>0</v>
      </c>
      <c r="E241" s="9" t="n">
        <v>0</v>
      </c>
      <c r="G241" s="9" t="n">
        <v>0</v>
      </c>
      <c r="I241" s="9" t="n">
        <v>0</v>
      </c>
      <c r="K241" s="9" t="n">
        <v>0</v>
      </c>
      <c r="M241" s="9" t="n">
        <v>0</v>
      </c>
      <c r="O241" s="9" t="n">
        <v>0</v>
      </c>
      <c r="Q241" s="9" t="n">
        <v>0</v>
      </c>
      <c r="S241" s="9" t="n">
        <v>0</v>
      </c>
      <c r="U241" s="9" t="n">
        <v>0</v>
      </c>
      <c r="W241" s="9" t="n">
        <v>0</v>
      </c>
      <c r="Y241" s="9" t="n">
        <v>0</v>
      </c>
      <c r="AA241" s="9" t="n">
        <v>0</v>
      </c>
      <c r="AC241" s="9" t="n">
        <v>0</v>
      </c>
      <c r="AE241" s="9" t="n">
        <v>0</v>
      </c>
    </row>
    <row r="242">
      <c r="A242" s="9" t="inlineStr">
        <is>
          <t>1102 TOP UP (0.60KG)</t>
        </is>
      </c>
      <c r="C242" s="9" t="n">
        <v>0</v>
      </c>
      <c r="E242" s="9" t="n">
        <v>0</v>
      </c>
      <c r="G242" s="9" t="n">
        <v>0</v>
      </c>
      <c r="I242" s="9" t="n">
        <v>0</v>
      </c>
      <c r="K242" s="9" t="n">
        <v>0</v>
      </c>
      <c r="M242" s="9" t="n">
        <v>0</v>
      </c>
      <c r="O242" s="9" t="n">
        <v>0</v>
      </c>
      <c r="Q242" s="9" t="n">
        <v>0</v>
      </c>
      <c r="S242" s="9" t="n">
        <v>0</v>
      </c>
      <c r="U242" s="9" t="n">
        <v>0</v>
      </c>
      <c r="W242" s="9" t="n">
        <v>0</v>
      </c>
      <c r="Y242" s="9" t="n">
        <v>0</v>
      </c>
      <c r="AA242" s="9" t="n">
        <v>0</v>
      </c>
      <c r="AC242" s="9" t="n">
        <v>0</v>
      </c>
      <c r="AE242" s="9" t="n">
        <v>0</v>
      </c>
    </row>
    <row r="243">
      <c r="A243" s="9" t="inlineStr">
        <is>
          <t>1103 TOP UP (2.00KG)</t>
        </is>
      </c>
      <c r="C243" s="9" t="n">
        <v>0</v>
      </c>
      <c r="D243" s="9" t="n">
        <v>0.2</v>
      </c>
      <c r="E243" s="9" t="n">
        <v>2</v>
      </c>
      <c r="G243" s="9" t="n">
        <v>0</v>
      </c>
      <c r="I243" s="9" t="n">
        <v>0</v>
      </c>
      <c r="K243" s="9" t="n">
        <v>0</v>
      </c>
      <c r="M243" s="9" t="n">
        <v>0</v>
      </c>
      <c r="O243" s="9" t="n">
        <v>0</v>
      </c>
      <c r="Q243" s="9" t="n">
        <v>0</v>
      </c>
      <c r="S243" s="9" t="n">
        <v>0</v>
      </c>
      <c r="U243" s="9" t="n">
        <v>0</v>
      </c>
      <c r="W243" s="9" t="n">
        <v>0</v>
      </c>
      <c r="Y243" s="9" t="n">
        <v>0</v>
      </c>
      <c r="AA243" s="9" t="n">
        <v>0</v>
      </c>
      <c r="AC243" s="9" t="n">
        <v>0</v>
      </c>
      <c r="AE243" s="9" t="n">
        <v>0</v>
      </c>
    </row>
    <row r="244">
      <c r="A244" s="9" t="inlineStr">
        <is>
          <t>QUANTUM GLO 4%</t>
        </is>
      </c>
      <c r="C244" s="9" t="n">
        <v>0</v>
      </c>
      <c r="E244" s="9" t="n">
        <v>0</v>
      </c>
      <c r="G244" s="9" t="n">
        <v>0</v>
      </c>
      <c r="I244" s="9" t="n">
        <v>0</v>
      </c>
      <c r="K244" s="9" t="n">
        <v>0</v>
      </c>
      <c r="M244" s="9" t="n">
        <v>0</v>
      </c>
      <c r="O244" s="9" t="n">
        <v>0</v>
      </c>
      <c r="Q244" s="9" t="n">
        <v>0</v>
      </c>
      <c r="S244" s="9" t="n">
        <v>0</v>
      </c>
      <c r="U244" s="9" t="n">
        <v>0</v>
      </c>
      <c r="W244" s="9" t="n">
        <v>0</v>
      </c>
      <c r="Y244" s="9" t="n">
        <v>0</v>
      </c>
      <c r="AA244" s="9" t="n">
        <v>0</v>
      </c>
      <c r="AC244" s="9" t="n">
        <v>0</v>
      </c>
      <c r="AE244" s="9" t="n">
        <v>0</v>
      </c>
    </row>
    <row r="245">
      <c r="A245" s="9" t="inlineStr">
        <is>
          <t>SALT</t>
        </is>
      </c>
      <c r="C245" s="9" t="n">
        <v>0</v>
      </c>
      <c r="E245" s="9" t="n">
        <v>0</v>
      </c>
      <c r="G245" s="9" t="n">
        <v>0</v>
      </c>
      <c r="I245" s="9" t="n">
        <v>0</v>
      </c>
      <c r="K245" s="9" t="n">
        <v>0</v>
      </c>
      <c r="M245" s="9" t="n">
        <v>0</v>
      </c>
      <c r="O245" s="9" t="n">
        <v>0</v>
      </c>
      <c r="Q245" s="9" t="n">
        <v>0</v>
      </c>
      <c r="S245" s="9" t="n">
        <v>0</v>
      </c>
      <c r="U245" s="9" t="n">
        <v>0</v>
      </c>
      <c r="W245" s="9" t="n">
        <v>0</v>
      </c>
      <c r="Y245" s="9" t="n">
        <v>0</v>
      </c>
      <c r="AA245" s="9" t="n">
        <v>0</v>
      </c>
      <c r="AC245" s="9" t="n">
        <v>0</v>
      </c>
      <c r="AE245" s="9" t="n">
        <v>0</v>
      </c>
    </row>
    <row r="246">
      <c r="A246" s="9" t="inlineStr">
        <is>
          <t>OC 200 - OXYTET 20%</t>
        </is>
      </c>
      <c r="C246" s="9" t="n">
        <v>0</v>
      </c>
      <c r="E246" s="9" t="n">
        <v>0</v>
      </c>
      <c r="G246" s="9" t="n">
        <v>0</v>
      </c>
      <c r="I246" s="9" t="n">
        <v>0</v>
      </c>
      <c r="K246" s="9" t="n">
        <v>0</v>
      </c>
      <c r="M246" s="9" t="n">
        <v>0</v>
      </c>
      <c r="O246" s="9" t="n">
        <v>0</v>
      </c>
      <c r="Q246" s="9" t="n">
        <v>0</v>
      </c>
      <c r="S246" s="9" t="n">
        <v>0</v>
      </c>
      <c r="U246" s="9" t="n">
        <v>0</v>
      </c>
      <c r="W246" s="9" t="n">
        <v>0</v>
      </c>
      <c r="Y246" s="9" t="n">
        <v>0</v>
      </c>
      <c r="AA246" s="9" t="n">
        <v>0</v>
      </c>
      <c r="AC246" s="9" t="n">
        <v>0</v>
      </c>
      <c r="AE246" s="9" t="n">
        <v>0</v>
      </c>
    </row>
    <row r="247">
      <c r="A247" s="9" t="n">
        <v>3</v>
      </c>
      <c r="C247" s="9" t="n">
        <v>0</v>
      </c>
      <c r="E247" s="9" t="n">
        <v>0</v>
      </c>
      <c r="G247" s="9" t="n">
        <v>0</v>
      </c>
      <c r="I247" s="9" t="n">
        <v>0</v>
      </c>
      <c r="K247" s="9" t="n">
        <v>0</v>
      </c>
      <c r="M247" s="9" t="n">
        <v>0</v>
      </c>
      <c r="O247" s="9" t="n">
        <v>0</v>
      </c>
      <c r="Q247" s="9" t="n">
        <v>0</v>
      </c>
      <c r="S247" s="9" t="n">
        <v>0</v>
      </c>
      <c r="U247" s="9" t="n">
        <v>0</v>
      </c>
      <c r="W247" s="9" t="n">
        <v>0</v>
      </c>
      <c r="Y247" s="9" t="n">
        <v>0</v>
      </c>
      <c r="AA247" s="9" t="n">
        <v>0</v>
      </c>
      <c r="AC247" s="9" t="n">
        <v>0</v>
      </c>
      <c r="AE247" s="9" t="n">
        <v>0</v>
      </c>
    </row>
    <row r="248">
      <c r="A248" s="9" t="n">
        <v>4</v>
      </c>
      <c r="C248" s="9" t="n">
        <v>0</v>
      </c>
      <c r="E248" s="9" t="n">
        <v>0</v>
      </c>
      <c r="G248" s="9" t="n">
        <v>0</v>
      </c>
      <c r="I248" s="9" t="n">
        <v>0</v>
      </c>
      <c r="K248" s="9" t="n">
        <v>0</v>
      </c>
      <c r="M248" s="9" t="n">
        <v>0</v>
      </c>
      <c r="O248" s="9" t="n">
        <v>0</v>
      </c>
      <c r="Q248" s="9" t="n">
        <v>0</v>
      </c>
      <c r="S248" s="9" t="n">
        <v>0</v>
      </c>
      <c r="U248" s="9" t="n">
        <v>0</v>
      </c>
      <c r="W248" s="9" t="n">
        <v>0</v>
      </c>
      <c r="Y248" s="9" t="n">
        <v>0</v>
      </c>
      <c r="AA248" s="9" t="n">
        <v>0</v>
      </c>
      <c r="AC248" s="9" t="n">
        <v>0</v>
      </c>
      <c r="AE248" s="9" t="n">
        <v>0</v>
      </c>
    </row>
    <row r="249">
      <c r="A249" s="9" t="inlineStr">
        <is>
          <t>WOVEN BAG (1101) - BLUE 50KG</t>
        </is>
      </c>
      <c r="C249" s="9" t="n">
        <v>0</v>
      </c>
      <c r="E249" s="9" t="n">
        <v>0</v>
      </c>
      <c r="G249" s="9" t="n">
        <v>0</v>
      </c>
      <c r="I249" s="9" t="n">
        <v>0</v>
      </c>
      <c r="K249" s="9" t="n">
        <v>0</v>
      </c>
      <c r="M249" s="9" t="n">
        <v>0</v>
      </c>
      <c r="O249" s="9" t="n">
        <v>0</v>
      </c>
      <c r="Q249" s="9" t="n">
        <v>0</v>
      </c>
      <c r="S249" s="9" t="n">
        <v>0</v>
      </c>
      <c r="U249" s="9" t="n">
        <v>0</v>
      </c>
      <c r="W249" s="9" t="n">
        <v>0</v>
      </c>
      <c r="Y249" s="9" t="n">
        <v>0</v>
      </c>
      <c r="AA249" s="9" t="n">
        <v>0</v>
      </c>
      <c r="AC249" s="9" t="n">
        <v>0</v>
      </c>
      <c r="AE249" s="9" t="n">
        <v>0</v>
      </c>
    </row>
    <row r="250">
      <c r="A250" s="9" t="inlineStr">
        <is>
          <t>WOVEN BAG (1102) - GREEN 50KG</t>
        </is>
      </c>
      <c r="C250" s="9" t="n">
        <v>0</v>
      </c>
      <c r="E250" s="9" t="n">
        <v>0</v>
      </c>
      <c r="G250" s="9" t="n">
        <v>0</v>
      </c>
      <c r="I250" s="9" t="n">
        <v>0</v>
      </c>
      <c r="K250" s="9" t="n">
        <v>0</v>
      </c>
      <c r="M250" s="9" t="n">
        <v>0</v>
      </c>
      <c r="O250" s="9" t="n">
        <v>0</v>
      </c>
      <c r="Q250" s="9" t="n">
        <v>0</v>
      </c>
      <c r="S250" s="9" t="n">
        <v>0</v>
      </c>
      <c r="U250" s="9" t="n">
        <v>0</v>
      </c>
      <c r="W250" s="9" t="n">
        <v>0</v>
      </c>
      <c r="Y250" s="9" t="n">
        <v>0</v>
      </c>
      <c r="AA250" s="9" t="n">
        <v>0</v>
      </c>
      <c r="AC250" s="9" t="n">
        <v>0</v>
      </c>
      <c r="AE250" s="9" t="n">
        <v>0</v>
      </c>
    </row>
    <row r="251">
      <c r="A251" s="9" t="inlineStr">
        <is>
          <t>WOVEN BAG (1103) - RED 50KG</t>
        </is>
      </c>
      <c r="C251" s="9" t="n">
        <v>0</v>
      </c>
      <c r="E251" s="9" t="n">
        <v>0</v>
      </c>
      <c r="G251" s="9" t="n">
        <v>0</v>
      </c>
      <c r="I251" s="9" t="n">
        <v>0</v>
      </c>
      <c r="K251" s="9" t="n">
        <v>0</v>
      </c>
      <c r="M251" s="9" t="n">
        <v>0</v>
      </c>
      <c r="O251" s="9" t="n">
        <v>0</v>
      </c>
      <c r="Q251" s="9" t="n">
        <v>0</v>
      </c>
      <c r="S251" s="9" t="n">
        <v>0</v>
      </c>
      <c r="U251" s="9" t="n">
        <v>0</v>
      </c>
      <c r="W251" s="9" t="n">
        <v>0</v>
      </c>
      <c r="Y251" s="9" t="n">
        <v>0</v>
      </c>
      <c r="AA251" s="9" t="n">
        <v>0</v>
      </c>
      <c r="AC251" s="9" t="n">
        <v>0</v>
      </c>
      <c r="AE251" s="9" t="n">
        <v>0</v>
      </c>
    </row>
    <row r="252">
      <c r="A252" s="9" t="inlineStr">
        <is>
          <t>PLAIN BAG 26" X 39" (50KG)</t>
        </is>
      </c>
      <c r="C252" s="9" t="n">
        <v>0</v>
      </c>
      <c r="E252" s="9" t="n">
        <v>0</v>
      </c>
      <c r="G252" s="9" t="n">
        <v>0</v>
      </c>
      <c r="I252" s="9" t="n">
        <v>0</v>
      </c>
      <c r="K252" s="9" t="n">
        <v>0</v>
      </c>
      <c r="M252" s="9" t="n">
        <v>0</v>
      </c>
      <c r="O252" s="9" t="n">
        <v>0</v>
      </c>
      <c r="Q252" s="9" t="n">
        <v>0</v>
      </c>
      <c r="S252" s="9" t="n">
        <v>0</v>
      </c>
      <c r="U252" s="9" t="n">
        <v>0</v>
      </c>
      <c r="W252" s="9" t="n">
        <v>0</v>
      </c>
      <c r="Y252" s="9" t="n">
        <v>0</v>
      </c>
      <c r="AA252" s="9" t="n">
        <v>0</v>
      </c>
      <c r="AC252" s="9" t="n">
        <v>0</v>
      </c>
      <c r="AE252" s="9" t="n">
        <v>0</v>
      </c>
    </row>
    <row r="253">
      <c r="A253" s="9" t="inlineStr">
        <is>
          <t>WOVEN BAG (8101) - KHAKI 50KG</t>
        </is>
      </c>
      <c r="C253" s="9" t="n">
        <v>0</v>
      </c>
      <c r="E253" s="9" t="n">
        <v>0</v>
      </c>
      <c r="G253" s="9" t="n">
        <v>0</v>
      </c>
      <c r="I253" s="9" t="n">
        <v>0</v>
      </c>
      <c r="K253" s="9" t="n">
        <v>0</v>
      </c>
      <c r="M253" s="9" t="n">
        <v>0</v>
      </c>
      <c r="O253" s="9" t="n">
        <v>0</v>
      </c>
      <c r="Q253" s="9" t="n">
        <v>0</v>
      </c>
      <c r="S253" s="9" t="n">
        <v>0</v>
      </c>
      <c r="U253" s="9" t="n">
        <v>0</v>
      </c>
      <c r="W253" s="9" t="n">
        <v>0</v>
      </c>
      <c r="Y253" s="9" t="n">
        <v>0</v>
      </c>
      <c r="AA253" s="9" t="n">
        <v>0</v>
      </c>
      <c r="AC253" s="9" t="n">
        <v>0</v>
      </c>
      <c r="AE253" s="9" t="n">
        <v>0</v>
      </c>
    </row>
    <row r="254">
      <c r="A254" s="9" t="inlineStr">
        <is>
          <t>WOVEN BAG (8102) - SKY BLUE 50KG</t>
        </is>
      </c>
      <c r="C254" s="9" t="n">
        <v>0</v>
      </c>
      <c r="E254" s="9" t="n">
        <v>0</v>
      </c>
      <c r="G254" s="9" t="n">
        <v>0</v>
      </c>
      <c r="I254" s="9" t="n">
        <v>0</v>
      </c>
      <c r="K254" s="9" t="n">
        <v>0</v>
      </c>
      <c r="M254" s="9" t="n">
        <v>0</v>
      </c>
      <c r="O254" s="9" t="n">
        <v>0</v>
      </c>
      <c r="Q254" s="9" t="n">
        <v>0</v>
      </c>
      <c r="S254" s="9" t="n">
        <v>0</v>
      </c>
      <c r="U254" s="9" t="n">
        <v>0</v>
      </c>
      <c r="W254" s="9" t="n">
        <v>0</v>
      </c>
      <c r="Y254" s="9" t="n">
        <v>0</v>
      </c>
      <c r="AA254" s="9" t="n">
        <v>0</v>
      </c>
      <c r="AC254" s="9" t="n">
        <v>0</v>
      </c>
      <c r="AE254" s="9" t="n">
        <v>0</v>
      </c>
    </row>
    <row r="255">
      <c r="A255" s="9" t="inlineStr">
        <is>
          <t>WOVEN BAG (8103) - BROWN 50KG</t>
        </is>
      </c>
      <c r="C255" s="9" t="n">
        <v>0</v>
      </c>
      <c r="E255" s="9" t="n">
        <v>0</v>
      </c>
      <c r="G255" s="9" t="n">
        <v>0</v>
      </c>
      <c r="I255" s="9" t="n">
        <v>0</v>
      </c>
      <c r="K255" s="9" t="n">
        <v>0</v>
      </c>
      <c r="M255" s="9" t="n">
        <v>0</v>
      </c>
      <c r="O255" s="9" t="n">
        <v>0</v>
      </c>
      <c r="Q255" s="9" t="n">
        <v>0</v>
      </c>
      <c r="S255" s="9" t="n">
        <v>0</v>
      </c>
      <c r="U255" s="9" t="n">
        <v>0</v>
      </c>
      <c r="W255" s="9" t="n">
        <v>0</v>
      </c>
      <c r="Y255" s="9" t="n">
        <v>0</v>
      </c>
      <c r="AA255" s="9" t="n">
        <v>0</v>
      </c>
      <c r="AC255" s="9" t="n">
        <v>0</v>
      </c>
      <c r="AE255" s="9" t="n">
        <v>0</v>
      </c>
    </row>
    <row r="256">
      <c r="A256" s="9" t="n">
        <v>1</v>
      </c>
      <c r="C256" s="9" t="n">
        <v>0</v>
      </c>
      <c r="E256" s="9" t="n">
        <v>0</v>
      </c>
      <c r="G256" s="9" t="n">
        <v>0</v>
      </c>
      <c r="I256" s="9" t="n">
        <v>0</v>
      </c>
      <c r="K256" s="9" t="n">
        <v>0</v>
      </c>
      <c r="M256" s="9" t="n">
        <v>0</v>
      </c>
      <c r="O256" s="9" t="n">
        <v>0</v>
      </c>
      <c r="Q256" s="9" t="n">
        <v>0</v>
      </c>
      <c r="S256" s="9" t="n">
        <v>0</v>
      </c>
      <c r="U256" s="9" t="n">
        <v>0</v>
      </c>
      <c r="W256" s="9" t="n">
        <v>0</v>
      </c>
      <c r="Y256" s="9" t="n">
        <v>0</v>
      </c>
      <c r="AA256" s="9" t="n">
        <v>0</v>
      </c>
      <c r="AC256" s="9" t="n">
        <v>0</v>
      </c>
      <c r="AE256" s="9" t="n">
        <v>0</v>
      </c>
    </row>
    <row r="257">
      <c r="A257" s="9" t="n">
        <v>2</v>
      </c>
      <c r="C257" s="9" t="n">
        <v>0</v>
      </c>
      <c r="E257" s="9" t="n">
        <v>0</v>
      </c>
      <c r="G257" s="9" t="n">
        <v>0</v>
      </c>
      <c r="I257" s="9" t="n">
        <v>0</v>
      </c>
      <c r="K257" s="9" t="n">
        <v>0</v>
      </c>
      <c r="M257" s="9" t="n">
        <v>0</v>
      </c>
      <c r="O257" s="9" t="n">
        <v>0</v>
      </c>
      <c r="Q257" s="9" t="n">
        <v>0</v>
      </c>
      <c r="S257" s="9" t="n">
        <v>0</v>
      </c>
      <c r="U257" s="9" t="n">
        <v>0</v>
      </c>
      <c r="W257" s="9" t="n">
        <v>0</v>
      </c>
      <c r="Y257" s="9" t="n">
        <v>0</v>
      </c>
      <c r="AA257" s="9" t="n">
        <v>0</v>
      </c>
      <c r="AC257" s="9" t="n">
        <v>0</v>
      </c>
      <c r="AE257" s="9" t="n">
        <v>0</v>
      </c>
    </row>
    <row r="258">
      <c r="A258" s="9" t="n">
        <v>3</v>
      </c>
      <c r="C258" s="9" t="n">
        <v>0</v>
      </c>
      <c r="E258" s="9" t="n">
        <v>0</v>
      </c>
      <c r="G258" s="9" t="n">
        <v>0</v>
      </c>
      <c r="I258" s="9" t="n">
        <v>0</v>
      </c>
      <c r="K258" s="9" t="n">
        <v>0</v>
      </c>
      <c r="M258" s="9" t="n">
        <v>0</v>
      </c>
      <c r="O258" s="9" t="n">
        <v>0</v>
      </c>
      <c r="Q258" s="9" t="n">
        <v>0</v>
      </c>
      <c r="S258" s="9" t="n">
        <v>0</v>
      </c>
      <c r="U258" s="9" t="n">
        <v>0</v>
      </c>
      <c r="W258" s="9" t="n">
        <v>0</v>
      </c>
      <c r="Y258" s="9" t="n">
        <v>0</v>
      </c>
      <c r="AA258" s="9" t="n">
        <v>0</v>
      </c>
      <c r="AC258" s="9" t="n">
        <v>0</v>
      </c>
      <c r="AE258" s="9" t="n">
        <v>0</v>
      </c>
    </row>
    <row r="259">
      <c r="A259" s="9" t="n">
        <v>4</v>
      </c>
      <c r="C259" s="9" t="n">
        <v>0</v>
      </c>
      <c r="E259" s="9" t="n">
        <v>0</v>
      </c>
      <c r="G259" s="9" t="n">
        <v>0</v>
      </c>
      <c r="I259" s="9" t="n">
        <v>0</v>
      </c>
      <c r="K259" s="9" t="n">
        <v>0</v>
      </c>
      <c r="M259" s="9" t="n">
        <v>0</v>
      </c>
      <c r="O259" s="9" t="n">
        <v>0</v>
      </c>
      <c r="Q259" s="9" t="n">
        <v>0</v>
      </c>
      <c r="S259" s="9" t="n">
        <v>0</v>
      </c>
      <c r="U259" s="9" t="n">
        <v>0</v>
      </c>
      <c r="W259" s="9" t="n">
        <v>0</v>
      </c>
      <c r="Y259" s="9" t="n">
        <v>0</v>
      </c>
      <c r="AA259" s="9" t="n">
        <v>0</v>
      </c>
      <c r="AC259" s="9" t="n">
        <v>0</v>
      </c>
      <c r="AE259" s="9" t="n">
        <v>0</v>
      </c>
    </row>
    <row r="260">
      <c r="A260" s="9" t="n">
        <v>5</v>
      </c>
      <c r="C260" s="9" t="n">
        <v>0</v>
      </c>
      <c r="E260" s="9" t="n">
        <v>0</v>
      </c>
      <c r="G260" s="9" t="n">
        <v>0</v>
      </c>
      <c r="I260" s="9" t="n">
        <v>0</v>
      </c>
      <c r="K260" s="9" t="n">
        <v>0</v>
      </c>
      <c r="M260" s="9" t="n">
        <v>0</v>
      </c>
      <c r="O260" s="9" t="n">
        <v>0</v>
      </c>
      <c r="Q260" s="9" t="n">
        <v>0</v>
      </c>
      <c r="S260" s="9" t="n">
        <v>0</v>
      </c>
      <c r="U260" s="9" t="n">
        <v>0</v>
      </c>
      <c r="W260" s="9" t="n">
        <v>0</v>
      </c>
      <c r="Y260" s="9" t="n">
        <v>0</v>
      </c>
      <c r="AA260" s="9" t="n">
        <v>0</v>
      </c>
      <c r="AC260" s="9" t="n">
        <v>0</v>
      </c>
      <c r="AE260" s="9" t="n">
        <v>0</v>
      </c>
    </row>
    <row r="261">
      <c r="A261" s="9" t="n">
        <v>6</v>
      </c>
      <c r="C261" s="9" t="n">
        <v>0</v>
      </c>
      <c r="E261" s="9" t="n">
        <v>0</v>
      </c>
      <c r="G261" s="9" t="n">
        <v>0</v>
      </c>
      <c r="I261" s="9" t="n">
        <v>0</v>
      </c>
      <c r="K261" s="9" t="n">
        <v>0</v>
      </c>
      <c r="M261" s="9" t="n">
        <v>0</v>
      </c>
      <c r="O261" s="9" t="n">
        <v>0</v>
      </c>
      <c r="Q261" s="9" t="n">
        <v>0</v>
      </c>
      <c r="S261" s="9" t="n">
        <v>0</v>
      </c>
      <c r="U261" s="9" t="n">
        <v>0</v>
      </c>
      <c r="W261" s="9" t="n">
        <v>0</v>
      </c>
      <c r="Y261" s="9" t="n">
        <v>0</v>
      </c>
      <c r="AA261" s="9" t="n">
        <v>0</v>
      </c>
      <c r="AC261" s="9" t="n">
        <v>0</v>
      </c>
      <c r="AE261" s="9" t="n">
        <v>0</v>
      </c>
    </row>
    <row r="262">
      <c r="A262" s="9" t="n">
        <v>7</v>
      </c>
      <c r="C262" s="9" t="n">
        <v>0</v>
      </c>
      <c r="E262" s="9" t="n">
        <v>0</v>
      </c>
      <c r="G262" s="9" t="n">
        <v>0</v>
      </c>
      <c r="I262" s="9" t="n">
        <v>0</v>
      </c>
      <c r="K262" s="9" t="n">
        <v>0</v>
      </c>
      <c r="M262" s="9" t="n">
        <v>0</v>
      </c>
      <c r="O262" s="9" t="n">
        <v>0</v>
      </c>
      <c r="Q262" s="9" t="n">
        <v>0</v>
      </c>
      <c r="S262" s="9" t="n">
        <v>0</v>
      </c>
      <c r="U262" s="9" t="n">
        <v>0</v>
      </c>
      <c r="W262" s="9" t="n">
        <v>0</v>
      </c>
      <c r="Y262" s="9" t="n">
        <v>0</v>
      </c>
      <c r="AA262" s="9" t="n">
        <v>0</v>
      </c>
      <c r="AC262" s="9" t="n">
        <v>0</v>
      </c>
      <c r="AE262" s="9" t="n">
        <v>0</v>
      </c>
    </row>
    <row r="263">
      <c r="A263" s="9" t="n">
        <v>8</v>
      </c>
      <c r="C263" s="9" t="n">
        <v>0</v>
      </c>
      <c r="E263" s="9" t="n">
        <v>0</v>
      </c>
      <c r="G263" s="9" t="n">
        <v>0</v>
      </c>
      <c r="I263" s="9" t="n">
        <v>0</v>
      </c>
      <c r="K263" s="9" t="n">
        <v>0</v>
      </c>
      <c r="M263" s="9" t="n">
        <v>0</v>
      </c>
      <c r="O263" s="9" t="n">
        <v>0</v>
      </c>
      <c r="Q263" s="9" t="n">
        <v>0</v>
      </c>
      <c r="S263" s="9" t="n">
        <v>0</v>
      </c>
      <c r="U263" s="9" t="n">
        <v>0</v>
      </c>
      <c r="W263" s="9" t="n">
        <v>0</v>
      </c>
      <c r="Y263" s="9" t="n">
        <v>0</v>
      </c>
      <c r="AA263" s="9" t="n">
        <v>0</v>
      </c>
      <c r="AC263" s="9" t="n">
        <v>0</v>
      </c>
      <c r="AE263" s="9" t="n">
        <v>0</v>
      </c>
    </row>
    <row r="264">
      <c r="A264" s="9" t="inlineStr">
        <is>
          <t>TOTAL</t>
        </is>
      </c>
      <c r="B264" s="9" t="n">
        <v>100</v>
      </c>
      <c r="C264" s="9" t="n">
        <v>1000</v>
      </c>
      <c r="D264" s="9" t="n">
        <v>100</v>
      </c>
      <c r="E264" s="9" t="n">
        <v>1000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</v>
      </c>
      <c r="AA264" s="9" t="n">
        <v>0</v>
      </c>
      <c r="AB264" s="9" t="n">
        <v>0</v>
      </c>
      <c r="AC264" s="9" t="n">
        <v>0</v>
      </c>
      <c r="AD264" s="9" t="n">
        <v>0</v>
      </c>
      <c r="AE264" s="9" t="n">
        <v>0</v>
      </c>
    </row>
    <row r="265"/>
    <row r="266">
      <c r="A266" s="9" t="inlineStr">
        <is>
          <t>1104 P (FINISHER 2)</t>
        </is>
      </c>
      <c r="B266" s="9" t="n">
        <v>1</v>
      </c>
      <c r="D266" s="9" t="n">
        <v>2</v>
      </c>
      <c r="F266" s="9" t="n">
        <v>3</v>
      </c>
      <c r="H266" s="9" t="n">
        <v>4</v>
      </c>
      <c r="J266" s="9" t="n">
        <v>5</v>
      </c>
      <c r="L266" s="9" t="n">
        <v>6</v>
      </c>
      <c r="N266" s="9" t="n">
        <v>7</v>
      </c>
      <c r="P266" s="9" t="n">
        <v>8</v>
      </c>
      <c r="R266" s="9" t="n">
        <v>9</v>
      </c>
      <c r="T266" s="9" t="n">
        <v>10</v>
      </c>
      <c r="V266" s="9" t="n">
        <v>11</v>
      </c>
      <c r="X266" s="9" t="n">
        <v>12</v>
      </c>
      <c r="Z266" s="9" t="n">
        <v>13</v>
      </c>
      <c r="AB266" s="9" t="n">
        <v>14</v>
      </c>
      <c r="AD266" s="9" t="n">
        <v>15</v>
      </c>
    </row>
    <row r="267"/>
    <row r="268"/>
    <row r="269">
      <c r="B269" s="9" t="inlineStr">
        <is>
          <t>%</t>
        </is>
      </c>
      <c r="C269" s="9" t="inlineStr">
        <is>
          <t>BATCH</t>
        </is>
      </c>
      <c r="D269" s="9" t="inlineStr">
        <is>
          <t>%</t>
        </is>
      </c>
      <c r="E269" s="9" t="inlineStr">
        <is>
          <t>BATCH</t>
        </is>
      </c>
      <c r="F269" s="9" t="inlineStr">
        <is>
          <t>%</t>
        </is>
      </c>
      <c r="G269" s="9" t="inlineStr">
        <is>
          <t>BATCH</t>
        </is>
      </c>
      <c r="H269" s="9" t="inlineStr">
        <is>
          <t>%</t>
        </is>
      </c>
      <c r="I269" s="9" t="inlineStr">
        <is>
          <t>BATCH</t>
        </is>
      </c>
      <c r="J269" s="9" t="inlineStr">
        <is>
          <t>%</t>
        </is>
      </c>
      <c r="K269" s="9" t="inlineStr">
        <is>
          <t>BATCH</t>
        </is>
      </c>
      <c r="L269" s="9" t="inlineStr">
        <is>
          <t>%</t>
        </is>
      </c>
      <c r="M269" s="9" t="inlineStr">
        <is>
          <t>BATCH</t>
        </is>
      </c>
      <c r="N269" s="9" t="inlineStr">
        <is>
          <t>%</t>
        </is>
      </c>
      <c r="O269" s="9" t="inlineStr">
        <is>
          <t>BATCH</t>
        </is>
      </c>
      <c r="P269" s="9" t="inlineStr">
        <is>
          <t>%</t>
        </is>
      </c>
      <c r="Q269" s="9" t="inlineStr">
        <is>
          <t>BATCH</t>
        </is>
      </c>
      <c r="R269" s="9" t="inlineStr">
        <is>
          <t>%</t>
        </is>
      </c>
      <c r="S269" s="9" t="inlineStr">
        <is>
          <t>BATCH</t>
        </is>
      </c>
      <c r="T269" s="9" t="inlineStr">
        <is>
          <t>%</t>
        </is>
      </c>
      <c r="U269" s="9" t="inlineStr">
        <is>
          <t>BATCH</t>
        </is>
      </c>
      <c r="V269" s="9" t="inlineStr">
        <is>
          <t>%</t>
        </is>
      </c>
      <c r="W269" s="9" t="inlineStr">
        <is>
          <t>BATCH</t>
        </is>
      </c>
      <c r="X269" s="9" t="inlineStr">
        <is>
          <t>%</t>
        </is>
      </c>
      <c r="Y269" s="9" t="inlineStr">
        <is>
          <t>BATCH</t>
        </is>
      </c>
      <c r="Z269" s="9" t="inlineStr">
        <is>
          <t>%</t>
        </is>
      </c>
      <c r="AA269" s="9" t="inlineStr">
        <is>
          <t>BATCH</t>
        </is>
      </c>
      <c r="AB269" s="9" t="inlineStr">
        <is>
          <t>%</t>
        </is>
      </c>
      <c r="AC269" s="9" t="inlineStr">
        <is>
          <t>BATCH</t>
        </is>
      </c>
      <c r="AD269" s="9" t="inlineStr">
        <is>
          <t>%</t>
        </is>
      </c>
      <c r="AE269" s="9" t="inlineStr">
        <is>
          <t>BATCH</t>
        </is>
      </c>
    </row>
    <row r="270">
      <c r="A270" s="9" t="inlineStr">
        <is>
          <t>MAIZE/CORN</t>
        </is>
      </c>
      <c r="C270" s="9" t="n">
        <v>0</v>
      </c>
      <c r="E270" s="9" t="n">
        <v>0</v>
      </c>
      <c r="G270" s="9" t="n">
        <v>0</v>
      </c>
      <c r="I270" s="9" t="n">
        <v>0</v>
      </c>
      <c r="K270" s="9" t="n">
        <v>0</v>
      </c>
      <c r="M270" s="9" t="n">
        <v>0</v>
      </c>
      <c r="O270" s="9" t="n">
        <v>0</v>
      </c>
      <c r="Q270" s="9" t="n">
        <v>0</v>
      </c>
      <c r="S270" s="9" t="n">
        <v>0</v>
      </c>
      <c r="U270" s="9" t="n">
        <v>0</v>
      </c>
      <c r="W270" s="9" t="n">
        <v>0</v>
      </c>
      <c r="Y270" s="9" t="n">
        <v>0</v>
      </c>
      <c r="AA270" s="9" t="n">
        <v>0</v>
      </c>
      <c r="AC270" s="9" t="n">
        <v>0</v>
      </c>
      <c r="AE270" s="9" t="n">
        <v>0</v>
      </c>
    </row>
    <row r="271">
      <c r="A271" s="9" t="inlineStr">
        <is>
          <t>SOYBEAN MEAL (ARG)</t>
        </is>
      </c>
      <c r="C271" s="9" t="n">
        <v>0</v>
      </c>
      <c r="E271" s="9" t="n">
        <v>0</v>
      </c>
      <c r="G271" s="9" t="n">
        <v>0</v>
      </c>
      <c r="I271" s="9" t="n">
        <v>0</v>
      </c>
      <c r="K271" s="9" t="n">
        <v>0</v>
      </c>
      <c r="M271" s="9" t="n">
        <v>0</v>
      </c>
      <c r="O271" s="9" t="n">
        <v>0</v>
      </c>
      <c r="Q271" s="9" t="n">
        <v>0</v>
      </c>
      <c r="S271" s="9" t="n">
        <v>0</v>
      </c>
      <c r="U271" s="9" t="n">
        <v>0</v>
      </c>
      <c r="W271" s="9" t="n">
        <v>0</v>
      </c>
      <c r="Y271" s="9" t="n">
        <v>0</v>
      </c>
      <c r="AA271" s="9" t="n">
        <v>0</v>
      </c>
      <c r="AC271" s="9" t="n">
        <v>0</v>
      </c>
      <c r="AE271" s="9" t="n">
        <v>0</v>
      </c>
    </row>
    <row r="272">
      <c r="A272" s="9" t="inlineStr">
        <is>
          <t>SOYBEAN FULL FAT</t>
        </is>
      </c>
      <c r="C272" s="9" t="n">
        <v>0</v>
      </c>
      <c r="E272" s="9" t="n">
        <v>0</v>
      </c>
      <c r="G272" s="9" t="n">
        <v>0</v>
      </c>
      <c r="I272" s="9" t="n">
        <v>0</v>
      </c>
      <c r="K272" s="9" t="n">
        <v>0</v>
      </c>
      <c r="M272" s="9" t="n">
        <v>0</v>
      </c>
      <c r="O272" s="9" t="n">
        <v>0</v>
      </c>
      <c r="Q272" s="9" t="n">
        <v>0</v>
      </c>
      <c r="S272" s="9" t="n">
        <v>0</v>
      </c>
      <c r="U272" s="9" t="n">
        <v>0</v>
      </c>
      <c r="W272" s="9" t="n">
        <v>0</v>
      </c>
      <c r="Y272" s="9" t="n">
        <v>0</v>
      </c>
      <c r="AA272" s="9" t="n">
        <v>0</v>
      </c>
      <c r="AC272" s="9" t="n">
        <v>0</v>
      </c>
      <c r="AE272" s="9" t="n">
        <v>0</v>
      </c>
    </row>
    <row r="273">
      <c r="A273" s="9" t="inlineStr">
        <is>
          <t>WHEAT POLLARD</t>
        </is>
      </c>
      <c r="C273" s="9" t="n">
        <v>0</v>
      </c>
      <c r="E273" s="9" t="n">
        <v>0</v>
      </c>
      <c r="G273" s="9" t="n">
        <v>0</v>
      </c>
      <c r="I273" s="9" t="n">
        <v>0</v>
      </c>
      <c r="K273" s="9" t="n">
        <v>0</v>
      </c>
      <c r="M273" s="9" t="n">
        <v>0</v>
      </c>
      <c r="O273" s="9" t="n">
        <v>0</v>
      </c>
      <c r="Q273" s="9" t="n">
        <v>0</v>
      </c>
      <c r="S273" s="9" t="n">
        <v>0</v>
      </c>
      <c r="U273" s="9" t="n">
        <v>0</v>
      </c>
      <c r="W273" s="9" t="n">
        <v>0</v>
      </c>
      <c r="Y273" s="9" t="n">
        <v>0</v>
      </c>
      <c r="AA273" s="9" t="n">
        <v>0</v>
      </c>
      <c r="AC273" s="9" t="n">
        <v>0</v>
      </c>
      <c r="AE273" s="9" t="n">
        <v>0</v>
      </c>
    </row>
    <row r="274">
      <c r="A274" s="9" t="inlineStr">
        <is>
          <t>WHEAT</t>
        </is>
      </c>
      <c r="C274" s="9" t="n">
        <v>0</v>
      </c>
      <c r="E274" s="9" t="n">
        <v>0</v>
      </c>
      <c r="G274" s="9" t="n">
        <v>0</v>
      </c>
      <c r="I274" s="9" t="n">
        <v>0</v>
      </c>
      <c r="K274" s="9" t="n">
        <v>0</v>
      </c>
      <c r="M274" s="9" t="n">
        <v>0</v>
      </c>
      <c r="O274" s="9" t="n">
        <v>0</v>
      </c>
      <c r="Q274" s="9" t="n">
        <v>0</v>
      </c>
      <c r="S274" s="9" t="n">
        <v>0</v>
      </c>
      <c r="U274" s="9" t="n">
        <v>0</v>
      </c>
      <c r="W274" s="9" t="n">
        <v>0</v>
      </c>
      <c r="Y274" s="9" t="n">
        <v>0</v>
      </c>
      <c r="AA274" s="9" t="n">
        <v>0</v>
      </c>
      <c r="AC274" s="9" t="n">
        <v>0</v>
      </c>
      <c r="AE274" s="9" t="n">
        <v>0</v>
      </c>
    </row>
    <row r="275">
      <c r="A275" s="9" t="inlineStr">
        <is>
          <t>MEAT AND BONE MEAL</t>
        </is>
      </c>
      <c r="C275" s="9" t="n">
        <v>0</v>
      </c>
      <c r="E275" s="9" t="n">
        <v>0</v>
      </c>
      <c r="G275" s="9" t="n">
        <v>0</v>
      </c>
      <c r="I275" s="9" t="n">
        <v>0</v>
      </c>
      <c r="K275" s="9" t="n">
        <v>0</v>
      </c>
      <c r="M275" s="9" t="n">
        <v>0</v>
      </c>
      <c r="O275" s="9" t="n">
        <v>0</v>
      </c>
      <c r="Q275" s="9" t="n">
        <v>0</v>
      </c>
      <c r="S275" s="9" t="n">
        <v>0</v>
      </c>
      <c r="U275" s="9" t="n">
        <v>0</v>
      </c>
      <c r="W275" s="9" t="n">
        <v>0</v>
      </c>
      <c r="Y275" s="9" t="n">
        <v>0</v>
      </c>
      <c r="AA275" s="9" t="n">
        <v>0</v>
      </c>
      <c r="AC275" s="9" t="n">
        <v>0</v>
      </c>
      <c r="AE275" s="9" t="n">
        <v>0</v>
      </c>
    </row>
    <row r="276">
      <c r="A276" s="9" t="inlineStr">
        <is>
          <t>CORN GLUTEN MEAL</t>
        </is>
      </c>
      <c r="C276" s="9" t="n">
        <v>0</v>
      </c>
      <c r="E276" s="9" t="n">
        <v>0</v>
      </c>
      <c r="G276" s="9" t="n">
        <v>0</v>
      </c>
      <c r="I276" s="9" t="n">
        <v>0</v>
      </c>
      <c r="K276" s="9" t="n">
        <v>0</v>
      </c>
      <c r="M276" s="9" t="n">
        <v>0</v>
      </c>
      <c r="O276" s="9" t="n">
        <v>0</v>
      </c>
      <c r="Q276" s="9" t="n">
        <v>0</v>
      </c>
      <c r="S276" s="9" t="n">
        <v>0</v>
      </c>
      <c r="U276" s="9" t="n">
        <v>0</v>
      </c>
      <c r="W276" s="9" t="n">
        <v>0</v>
      </c>
      <c r="Y276" s="9" t="n">
        <v>0</v>
      </c>
      <c r="AA276" s="9" t="n">
        <v>0</v>
      </c>
      <c r="AC276" s="9" t="n">
        <v>0</v>
      </c>
      <c r="AE276" s="9" t="n">
        <v>0</v>
      </c>
    </row>
    <row r="277">
      <c r="A277" s="9" t="inlineStr">
        <is>
          <t>MEGAFAT (HARUMI)</t>
        </is>
      </c>
      <c r="C277" s="9" t="n">
        <v>0</v>
      </c>
      <c r="E277" s="9" t="n">
        <v>0</v>
      </c>
      <c r="G277" s="9" t="n">
        <v>0</v>
      </c>
      <c r="I277" s="9" t="n">
        <v>0</v>
      </c>
      <c r="K277" s="9" t="n">
        <v>0</v>
      </c>
      <c r="M277" s="9" t="n">
        <v>0</v>
      </c>
      <c r="O277" s="9" t="n">
        <v>0</v>
      </c>
      <c r="Q277" s="9" t="n">
        <v>0</v>
      </c>
      <c r="S277" s="9" t="n">
        <v>0</v>
      </c>
      <c r="U277" s="9" t="n">
        <v>0</v>
      </c>
      <c r="W277" s="9" t="n">
        <v>0</v>
      </c>
      <c r="Y277" s="9" t="n">
        <v>0</v>
      </c>
      <c r="AA277" s="9" t="n">
        <v>0</v>
      </c>
      <c r="AC277" s="9" t="n">
        <v>0</v>
      </c>
      <c r="AE277" s="9" t="n">
        <v>0</v>
      </c>
    </row>
    <row r="278">
      <c r="A278" s="9" t="inlineStr">
        <is>
          <t>DCP 18%</t>
        </is>
      </c>
      <c r="C278" s="9" t="n">
        <v>0</v>
      </c>
      <c r="E278" s="9" t="n">
        <v>0</v>
      </c>
      <c r="G278" s="9" t="n">
        <v>0</v>
      </c>
      <c r="I278" s="9" t="n">
        <v>0</v>
      </c>
      <c r="K278" s="9" t="n">
        <v>0</v>
      </c>
      <c r="M278" s="9" t="n">
        <v>0</v>
      </c>
      <c r="O278" s="9" t="n">
        <v>0</v>
      </c>
      <c r="Q278" s="9" t="n">
        <v>0</v>
      </c>
      <c r="S278" s="9" t="n">
        <v>0</v>
      </c>
      <c r="U278" s="9" t="n">
        <v>0</v>
      </c>
      <c r="W278" s="9" t="n">
        <v>0</v>
      </c>
      <c r="Y278" s="9" t="n">
        <v>0</v>
      </c>
      <c r="AA278" s="9" t="n">
        <v>0</v>
      </c>
      <c r="AC278" s="9" t="n">
        <v>0</v>
      </c>
      <c r="AE278" s="9" t="n">
        <v>0</v>
      </c>
    </row>
    <row r="279">
      <c r="A279" s="9" t="inlineStr">
        <is>
          <t>LIMESTONE POWDER (HARUMI)</t>
        </is>
      </c>
      <c r="C279" s="9" t="n">
        <v>0</v>
      </c>
      <c r="E279" s="9" t="n">
        <v>0</v>
      </c>
      <c r="G279" s="9" t="n">
        <v>0</v>
      </c>
      <c r="I279" s="9" t="n">
        <v>0</v>
      </c>
      <c r="K279" s="9" t="n">
        <v>0</v>
      </c>
      <c r="M279" s="9" t="n">
        <v>0</v>
      </c>
      <c r="O279" s="9" t="n">
        <v>0</v>
      </c>
      <c r="Q279" s="9" t="n">
        <v>0</v>
      </c>
      <c r="S279" s="9" t="n">
        <v>0</v>
      </c>
      <c r="U279" s="9" t="n">
        <v>0</v>
      </c>
      <c r="W279" s="9" t="n">
        <v>0</v>
      </c>
      <c r="Y279" s="9" t="n">
        <v>0</v>
      </c>
      <c r="AA279" s="9" t="n">
        <v>0</v>
      </c>
      <c r="AC279" s="9" t="n">
        <v>0</v>
      </c>
      <c r="AE279" s="9" t="n">
        <v>0</v>
      </c>
    </row>
    <row r="280">
      <c r="A280" s="9" t="inlineStr">
        <is>
          <t>CHOLINE CHLORIDE 60%</t>
        </is>
      </c>
      <c r="C280" s="9" t="n">
        <v>0</v>
      </c>
      <c r="E280" s="9" t="n">
        <v>0</v>
      </c>
      <c r="G280" s="9" t="n">
        <v>0</v>
      </c>
      <c r="I280" s="9" t="n">
        <v>0</v>
      </c>
      <c r="K280" s="9" t="n">
        <v>0</v>
      </c>
      <c r="M280" s="9" t="n">
        <v>0</v>
      </c>
      <c r="O280" s="9" t="n">
        <v>0</v>
      </c>
      <c r="Q280" s="9" t="n">
        <v>0</v>
      </c>
      <c r="S280" s="9" t="n">
        <v>0</v>
      </c>
      <c r="U280" s="9" t="n">
        <v>0</v>
      </c>
      <c r="W280" s="9" t="n">
        <v>0</v>
      </c>
      <c r="Y280" s="9" t="n">
        <v>0</v>
      </c>
      <c r="AA280" s="9" t="n">
        <v>0</v>
      </c>
      <c r="AC280" s="9" t="n">
        <v>0</v>
      </c>
      <c r="AE280" s="9" t="n">
        <v>0</v>
      </c>
    </row>
    <row r="281">
      <c r="A281" s="9" t="inlineStr">
        <is>
          <t>INDUSTRY FLOUR</t>
        </is>
      </c>
      <c r="C281" s="9" t="n">
        <v>0</v>
      </c>
      <c r="E281" s="9" t="n">
        <v>0</v>
      </c>
      <c r="G281" s="9" t="n">
        <v>0</v>
      </c>
      <c r="I281" s="9" t="n">
        <v>0</v>
      </c>
      <c r="K281" s="9" t="n">
        <v>0</v>
      </c>
      <c r="M281" s="9" t="n">
        <v>0</v>
      </c>
      <c r="O281" s="9" t="n">
        <v>0</v>
      </c>
      <c r="Q281" s="9" t="n">
        <v>0</v>
      </c>
      <c r="S281" s="9" t="n">
        <v>0</v>
      </c>
      <c r="U281" s="9" t="n">
        <v>0</v>
      </c>
      <c r="W281" s="9" t="n">
        <v>0</v>
      </c>
      <c r="Y281" s="9" t="n">
        <v>0</v>
      </c>
      <c r="AA281" s="9" t="n">
        <v>0</v>
      </c>
      <c r="AC281" s="9" t="n">
        <v>0</v>
      </c>
      <c r="AE281" s="9" t="n">
        <v>0</v>
      </c>
    </row>
    <row r="282">
      <c r="A282" s="9" t="inlineStr">
        <is>
          <t>RICE BRAN</t>
        </is>
      </c>
      <c r="C282" s="9" t="n">
        <v>0</v>
      </c>
      <c r="E282" s="9" t="n">
        <v>0</v>
      </c>
      <c r="G282" s="9" t="n">
        <v>0</v>
      </c>
      <c r="I282" s="9" t="n">
        <v>0</v>
      </c>
      <c r="K282" s="9" t="n">
        <v>0</v>
      </c>
      <c r="M282" s="9" t="n">
        <v>0</v>
      </c>
      <c r="O282" s="9" t="n">
        <v>0</v>
      </c>
      <c r="Q282" s="9" t="n">
        <v>0</v>
      </c>
      <c r="S282" s="9" t="n">
        <v>0</v>
      </c>
      <c r="U282" s="9" t="n">
        <v>0</v>
      </c>
      <c r="W282" s="9" t="n">
        <v>0</v>
      </c>
      <c r="Y282" s="9" t="n">
        <v>0</v>
      </c>
      <c r="AA282" s="9" t="n">
        <v>0</v>
      </c>
      <c r="AC282" s="9" t="n">
        <v>0</v>
      </c>
      <c r="AE282" s="9" t="n">
        <v>0</v>
      </c>
    </row>
    <row r="283">
      <c r="A283" s="9" t="inlineStr">
        <is>
          <t>EP 200</t>
        </is>
      </c>
      <c r="C283" s="9" t="n">
        <v>0</v>
      </c>
      <c r="E283" s="9" t="n">
        <v>0</v>
      </c>
      <c r="G283" s="9" t="n">
        <v>0</v>
      </c>
      <c r="I283" s="9" t="n">
        <v>0</v>
      </c>
      <c r="K283" s="9" t="n">
        <v>0</v>
      </c>
      <c r="M283" s="9" t="n">
        <v>0</v>
      </c>
      <c r="O283" s="9" t="n">
        <v>0</v>
      </c>
      <c r="Q283" s="9" t="n">
        <v>0</v>
      </c>
      <c r="S283" s="9" t="n">
        <v>0</v>
      </c>
      <c r="U283" s="9" t="n">
        <v>0</v>
      </c>
      <c r="W283" s="9" t="n">
        <v>0</v>
      </c>
      <c r="Y283" s="9" t="n">
        <v>0</v>
      </c>
      <c r="AA283" s="9" t="n">
        <v>0</v>
      </c>
      <c r="AC283" s="9" t="n">
        <v>0</v>
      </c>
      <c r="AE283" s="9" t="n">
        <v>0</v>
      </c>
    </row>
    <row r="284">
      <c r="A284" s="9" t="inlineStr">
        <is>
          <t>SOYTIDE</t>
        </is>
      </c>
      <c r="C284" s="9" t="n">
        <v>0</v>
      </c>
      <c r="E284" s="9" t="n">
        <v>0</v>
      </c>
      <c r="G284" s="9" t="n">
        <v>0</v>
      </c>
      <c r="I284" s="9" t="n">
        <v>0</v>
      </c>
      <c r="K284" s="9" t="n">
        <v>0</v>
      </c>
      <c r="M284" s="9" t="n">
        <v>0</v>
      </c>
      <c r="O284" s="9" t="n">
        <v>0</v>
      </c>
      <c r="Q284" s="9" t="n">
        <v>0</v>
      </c>
      <c r="S284" s="9" t="n">
        <v>0</v>
      </c>
      <c r="U284" s="9" t="n">
        <v>0</v>
      </c>
      <c r="W284" s="9" t="n">
        <v>0</v>
      </c>
      <c r="Y284" s="9" t="n">
        <v>0</v>
      </c>
      <c r="AA284" s="9" t="n">
        <v>0</v>
      </c>
      <c r="AC284" s="9" t="n">
        <v>0</v>
      </c>
      <c r="AE284" s="9" t="n">
        <v>0</v>
      </c>
    </row>
    <row r="285">
      <c r="A285" s="9" t="inlineStr">
        <is>
          <t>DCP 18% (HARUMI)</t>
        </is>
      </c>
      <c r="C285" s="9" t="n">
        <v>0</v>
      </c>
      <c r="E285" s="9" t="n">
        <v>0</v>
      </c>
      <c r="G285" s="9" t="n">
        <v>0</v>
      </c>
      <c r="I285" s="9" t="n">
        <v>0</v>
      </c>
      <c r="K285" s="9" t="n">
        <v>0</v>
      </c>
      <c r="M285" s="9" t="n">
        <v>0</v>
      </c>
      <c r="O285" s="9" t="n">
        <v>0</v>
      </c>
      <c r="Q285" s="9" t="n">
        <v>0</v>
      </c>
      <c r="S285" s="9" t="n">
        <v>0</v>
      </c>
      <c r="U285" s="9" t="n">
        <v>0</v>
      </c>
      <c r="W285" s="9" t="n">
        <v>0</v>
      </c>
      <c r="Y285" s="9" t="n">
        <v>0</v>
      </c>
      <c r="AA285" s="9" t="n">
        <v>0</v>
      </c>
      <c r="AC285" s="9" t="n">
        <v>0</v>
      </c>
      <c r="AE285" s="9" t="n">
        <v>0</v>
      </c>
    </row>
    <row r="286">
      <c r="A286" s="9" t="n">
        <v>1</v>
      </c>
      <c r="C286" s="9" t="n">
        <v>0</v>
      </c>
      <c r="E286" s="9" t="n">
        <v>0</v>
      </c>
      <c r="G286" s="9" t="n">
        <v>0</v>
      </c>
      <c r="I286" s="9" t="n">
        <v>0</v>
      </c>
      <c r="K286" s="9" t="n">
        <v>0</v>
      </c>
      <c r="M286" s="9" t="n">
        <v>0</v>
      </c>
      <c r="O286" s="9" t="n">
        <v>0</v>
      </c>
      <c r="Q286" s="9" t="n">
        <v>0</v>
      </c>
      <c r="S286" s="9" t="n">
        <v>0</v>
      </c>
      <c r="U286" s="9" t="n">
        <v>0</v>
      </c>
      <c r="W286" s="9" t="n">
        <v>0</v>
      </c>
      <c r="Y286" s="9" t="n">
        <v>0</v>
      </c>
      <c r="AA286" s="9" t="n">
        <v>0</v>
      </c>
      <c r="AC286" s="9" t="n">
        <v>0</v>
      </c>
      <c r="AE286" s="9" t="n">
        <v>0</v>
      </c>
    </row>
    <row r="287">
      <c r="A287" s="9" t="n">
        <v>2</v>
      </c>
      <c r="C287" s="9" t="n">
        <v>0</v>
      </c>
      <c r="E287" s="9" t="n">
        <v>0</v>
      </c>
      <c r="G287" s="9" t="n">
        <v>0</v>
      </c>
      <c r="I287" s="9" t="n">
        <v>0</v>
      </c>
      <c r="K287" s="9" t="n">
        <v>0</v>
      </c>
      <c r="M287" s="9" t="n">
        <v>0</v>
      </c>
      <c r="O287" s="9" t="n">
        <v>0</v>
      </c>
      <c r="Q287" s="9" t="n">
        <v>0</v>
      </c>
      <c r="S287" s="9" t="n">
        <v>0</v>
      </c>
      <c r="U287" s="9" t="n">
        <v>0</v>
      </c>
      <c r="W287" s="9" t="n">
        <v>0</v>
      </c>
      <c r="Y287" s="9" t="n">
        <v>0</v>
      </c>
      <c r="AA287" s="9" t="n">
        <v>0</v>
      </c>
      <c r="AC287" s="9" t="n">
        <v>0</v>
      </c>
      <c r="AE287" s="9" t="n">
        <v>0</v>
      </c>
    </row>
    <row r="288">
      <c r="A288" s="9" t="n">
        <v>3</v>
      </c>
      <c r="C288" s="9" t="n">
        <v>0</v>
      </c>
      <c r="E288" s="9" t="n">
        <v>0</v>
      </c>
      <c r="G288" s="9" t="n">
        <v>0</v>
      </c>
      <c r="I288" s="9" t="n">
        <v>0</v>
      </c>
      <c r="K288" s="9" t="n">
        <v>0</v>
      </c>
      <c r="M288" s="9" t="n">
        <v>0</v>
      </c>
      <c r="O288" s="9" t="n">
        <v>0</v>
      </c>
      <c r="Q288" s="9" t="n">
        <v>0</v>
      </c>
      <c r="S288" s="9" t="n">
        <v>0</v>
      </c>
      <c r="U288" s="9" t="n">
        <v>0</v>
      </c>
      <c r="W288" s="9" t="n">
        <v>0</v>
      </c>
      <c r="Y288" s="9" t="n">
        <v>0</v>
      </c>
      <c r="AA288" s="9" t="n">
        <v>0</v>
      </c>
      <c r="AC288" s="9" t="n">
        <v>0</v>
      </c>
      <c r="AE288" s="9" t="n">
        <v>0</v>
      </c>
    </row>
    <row r="289">
      <c r="A289" s="9" t="inlineStr">
        <is>
          <t>PREMIX 1101 (20KG)</t>
        </is>
      </c>
      <c r="C289" s="9" t="n">
        <v>0</v>
      </c>
      <c r="E289" s="9" t="n">
        <v>0</v>
      </c>
      <c r="G289" s="9" t="n">
        <v>0</v>
      </c>
      <c r="I289" s="9" t="n">
        <v>0</v>
      </c>
      <c r="K289" s="9" t="n">
        <v>0</v>
      </c>
      <c r="M289" s="9" t="n">
        <v>0</v>
      </c>
      <c r="O289" s="9" t="n">
        <v>0</v>
      </c>
      <c r="Q289" s="9" t="n">
        <v>0</v>
      </c>
      <c r="S289" s="9" t="n">
        <v>0</v>
      </c>
      <c r="U289" s="9" t="n">
        <v>0</v>
      </c>
      <c r="W289" s="9" t="n">
        <v>0</v>
      </c>
      <c r="Y289" s="9" t="n">
        <v>0</v>
      </c>
      <c r="AA289" s="9" t="n">
        <v>0</v>
      </c>
      <c r="AC289" s="9" t="n">
        <v>0</v>
      </c>
      <c r="AE289" s="9" t="n">
        <v>0</v>
      </c>
    </row>
    <row r="290">
      <c r="A290" s="9" t="inlineStr">
        <is>
          <t>PREMIX 1102 (20KG)</t>
        </is>
      </c>
      <c r="C290" s="9" t="n">
        <v>0</v>
      </c>
      <c r="E290" s="9" t="n">
        <v>0</v>
      </c>
      <c r="G290" s="9" t="n">
        <v>0</v>
      </c>
      <c r="I290" s="9" t="n">
        <v>0</v>
      </c>
      <c r="K290" s="9" t="n">
        <v>0</v>
      </c>
      <c r="M290" s="9" t="n">
        <v>0</v>
      </c>
      <c r="O290" s="9" t="n">
        <v>0</v>
      </c>
      <c r="Q290" s="9" t="n">
        <v>0</v>
      </c>
      <c r="S290" s="9" t="n">
        <v>0</v>
      </c>
      <c r="U290" s="9" t="n">
        <v>0</v>
      </c>
      <c r="W290" s="9" t="n">
        <v>0</v>
      </c>
      <c r="Y290" s="9" t="n">
        <v>0</v>
      </c>
      <c r="AA290" s="9" t="n">
        <v>0</v>
      </c>
      <c r="AC290" s="9" t="n">
        <v>0</v>
      </c>
      <c r="AE290" s="9" t="n">
        <v>0</v>
      </c>
    </row>
    <row r="291">
      <c r="A291" s="9" t="inlineStr">
        <is>
          <t>PREMIX 1103 (20KG)</t>
        </is>
      </c>
      <c r="C291" s="9" t="n">
        <v>0</v>
      </c>
      <c r="E291" s="9" t="n">
        <v>0</v>
      </c>
      <c r="G291" s="9" t="n">
        <v>0</v>
      </c>
      <c r="I291" s="9" t="n">
        <v>0</v>
      </c>
      <c r="K291" s="9" t="n">
        <v>0</v>
      </c>
      <c r="M291" s="9" t="n">
        <v>0</v>
      </c>
      <c r="O291" s="9" t="n">
        <v>0</v>
      </c>
      <c r="Q291" s="9" t="n">
        <v>0</v>
      </c>
      <c r="S291" s="9" t="n">
        <v>0</v>
      </c>
      <c r="U291" s="9" t="n">
        <v>0</v>
      </c>
      <c r="W291" s="9" t="n">
        <v>0</v>
      </c>
      <c r="Y291" s="9" t="n">
        <v>0</v>
      </c>
      <c r="AA291" s="9" t="n">
        <v>0</v>
      </c>
      <c r="AC291" s="9" t="n">
        <v>0</v>
      </c>
      <c r="AE291" s="9" t="n">
        <v>0</v>
      </c>
    </row>
    <row r="292">
      <c r="A292" s="9" t="inlineStr">
        <is>
          <t>PREMIX 311 (20KG)</t>
        </is>
      </c>
      <c r="C292" s="9" t="n">
        <v>0</v>
      </c>
      <c r="E292" s="9" t="n">
        <v>0</v>
      </c>
      <c r="G292" s="9" t="n">
        <v>0</v>
      </c>
      <c r="I292" s="9" t="n">
        <v>0</v>
      </c>
      <c r="K292" s="9" t="n">
        <v>0</v>
      </c>
      <c r="M292" s="9" t="n">
        <v>0</v>
      </c>
      <c r="O292" s="9" t="n">
        <v>0</v>
      </c>
      <c r="Q292" s="9" t="n">
        <v>0</v>
      </c>
      <c r="S292" s="9" t="n">
        <v>0</v>
      </c>
      <c r="U292" s="9" t="n">
        <v>0</v>
      </c>
      <c r="W292" s="9" t="n">
        <v>0</v>
      </c>
      <c r="Y292" s="9" t="n">
        <v>0</v>
      </c>
      <c r="AA292" s="9" t="n">
        <v>0</v>
      </c>
      <c r="AC292" s="9" t="n">
        <v>0</v>
      </c>
      <c r="AE292" s="9" t="n">
        <v>0</v>
      </c>
    </row>
    <row r="293">
      <c r="A293" s="9" t="inlineStr">
        <is>
          <t>PREMIX 312 (20KG)</t>
        </is>
      </c>
      <c r="C293" s="9" t="n">
        <v>0</v>
      </c>
      <c r="E293" s="9" t="n">
        <v>0</v>
      </c>
      <c r="G293" s="9" t="n">
        <v>0</v>
      </c>
      <c r="I293" s="9" t="n">
        <v>0</v>
      </c>
      <c r="K293" s="9" t="n">
        <v>0</v>
      </c>
      <c r="M293" s="9" t="n">
        <v>0</v>
      </c>
      <c r="O293" s="9" t="n">
        <v>0</v>
      </c>
      <c r="Q293" s="9" t="n">
        <v>0</v>
      </c>
      <c r="S293" s="9" t="n">
        <v>0</v>
      </c>
      <c r="U293" s="9" t="n">
        <v>0</v>
      </c>
      <c r="W293" s="9" t="n">
        <v>0</v>
      </c>
      <c r="Y293" s="9" t="n">
        <v>0</v>
      </c>
      <c r="AA293" s="9" t="n">
        <v>0</v>
      </c>
      <c r="AC293" s="9" t="n">
        <v>0</v>
      </c>
      <c r="AE293" s="9" t="n">
        <v>0</v>
      </c>
    </row>
    <row r="294">
      <c r="A294" s="9" t="n">
        <v>1</v>
      </c>
      <c r="C294" s="9" t="n">
        <v>0</v>
      </c>
      <c r="E294" s="9" t="n">
        <v>0</v>
      </c>
      <c r="G294" s="9" t="n">
        <v>0</v>
      </c>
      <c r="I294" s="9" t="n">
        <v>0</v>
      </c>
      <c r="K294" s="9" t="n">
        <v>0</v>
      </c>
      <c r="M294" s="9" t="n">
        <v>0</v>
      </c>
      <c r="O294" s="9" t="n">
        <v>0</v>
      </c>
      <c r="Q294" s="9" t="n">
        <v>0</v>
      </c>
      <c r="S294" s="9" t="n">
        <v>0</v>
      </c>
      <c r="U294" s="9" t="n">
        <v>0</v>
      </c>
      <c r="W294" s="9" t="n">
        <v>0</v>
      </c>
      <c r="Y294" s="9" t="n">
        <v>0</v>
      </c>
      <c r="AA294" s="9" t="n">
        <v>0</v>
      </c>
      <c r="AC294" s="9" t="n">
        <v>0</v>
      </c>
      <c r="AE294" s="9" t="n">
        <v>0</v>
      </c>
    </row>
    <row r="295">
      <c r="A295" s="9" t="inlineStr">
        <is>
          <t>PREMIX 8100 (20KG)</t>
        </is>
      </c>
      <c r="C295" s="9" t="n">
        <v>0</v>
      </c>
      <c r="E295" s="9" t="n">
        <v>0</v>
      </c>
      <c r="G295" s="9" t="n">
        <v>0</v>
      </c>
      <c r="I295" s="9" t="n">
        <v>0</v>
      </c>
      <c r="K295" s="9" t="n">
        <v>0</v>
      </c>
      <c r="M295" s="9" t="n">
        <v>0</v>
      </c>
      <c r="O295" s="9" t="n">
        <v>0</v>
      </c>
      <c r="Q295" s="9" t="n">
        <v>0</v>
      </c>
      <c r="S295" s="9" t="n">
        <v>0</v>
      </c>
      <c r="U295" s="9" t="n">
        <v>0</v>
      </c>
      <c r="W295" s="9" t="n">
        <v>0</v>
      </c>
      <c r="Y295" s="9" t="n">
        <v>0</v>
      </c>
      <c r="AA295" s="9" t="n">
        <v>0</v>
      </c>
      <c r="AC295" s="9" t="n">
        <v>0</v>
      </c>
      <c r="AE295" s="9" t="n">
        <v>0</v>
      </c>
    </row>
    <row r="296">
      <c r="A296" s="9" t="inlineStr">
        <is>
          <t>PREMIX 8101 (20KG)</t>
        </is>
      </c>
      <c r="C296" s="9" t="n">
        <v>0</v>
      </c>
      <c r="E296" s="9" t="n">
        <v>0</v>
      </c>
      <c r="G296" s="9" t="n">
        <v>0</v>
      </c>
      <c r="I296" s="9" t="n">
        <v>0</v>
      </c>
      <c r="K296" s="9" t="n">
        <v>0</v>
      </c>
      <c r="M296" s="9" t="n">
        <v>0</v>
      </c>
      <c r="O296" s="9" t="n">
        <v>0</v>
      </c>
      <c r="Q296" s="9" t="n">
        <v>0</v>
      </c>
      <c r="S296" s="9" t="n">
        <v>0</v>
      </c>
      <c r="U296" s="9" t="n">
        <v>0</v>
      </c>
      <c r="W296" s="9" t="n">
        <v>0</v>
      </c>
      <c r="Y296" s="9" t="n">
        <v>0</v>
      </c>
      <c r="AA296" s="9" t="n">
        <v>0</v>
      </c>
      <c r="AC296" s="9" t="n">
        <v>0</v>
      </c>
      <c r="AE296" s="9" t="n">
        <v>0</v>
      </c>
    </row>
    <row r="297">
      <c r="A297" s="9" t="inlineStr">
        <is>
          <t>PREMIX 8102 (20KG)</t>
        </is>
      </c>
      <c r="C297" s="9" t="n">
        <v>0</v>
      </c>
      <c r="E297" s="9" t="n">
        <v>0</v>
      </c>
      <c r="G297" s="9" t="n">
        <v>0</v>
      </c>
      <c r="I297" s="9" t="n">
        <v>0</v>
      </c>
      <c r="K297" s="9" t="n">
        <v>0</v>
      </c>
      <c r="M297" s="9" t="n">
        <v>0</v>
      </c>
      <c r="O297" s="9" t="n">
        <v>0</v>
      </c>
      <c r="Q297" s="9" t="n">
        <v>0</v>
      </c>
      <c r="S297" s="9" t="n">
        <v>0</v>
      </c>
      <c r="U297" s="9" t="n">
        <v>0</v>
      </c>
      <c r="W297" s="9" t="n">
        <v>0</v>
      </c>
      <c r="Y297" s="9" t="n">
        <v>0</v>
      </c>
      <c r="AA297" s="9" t="n">
        <v>0</v>
      </c>
      <c r="AC297" s="9" t="n">
        <v>0</v>
      </c>
      <c r="AE297" s="9" t="n">
        <v>0</v>
      </c>
    </row>
    <row r="298">
      <c r="A298" s="9" t="inlineStr">
        <is>
          <t>PREMIX 8103 (20KG)</t>
        </is>
      </c>
      <c r="C298" s="9" t="n">
        <v>0</v>
      </c>
      <c r="E298" s="9" t="n">
        <v>0</v>
      </c>
      <c r="G298" s="9" t="n">
        <v>0</v>
      </c>
      <c r="I298" s="9" t="n">
        <v>0</v>
      </c>
      <c r="K298" s="9" t="n">
        <v>0</v>
      </c>
      <c r="M298" s="9" t="n">
        <v>0</v>
      </c>
      <c r="O298" s="9" t="n">
        <v>0</v>
      </c>
      <c r="Q298" s="9" t="n">
        <v>0</v>
      </c>
      <c r="S298" s="9" t="n">
        <v>0</v>
      </c>
      <c r="U298" s="9" t="n">
        <v>0</v>
      </c>
      <c r="W298" s="9" t="n">
        <v>0</v>
      </c>
      <c r="Y298" s="9" t="n">
        <v>0</v>
      </c>
      <c r="AA298" s="9" t="n">
        <v>0</v>
      </c>
      <c r="AC298" s="9" t="n">
        <v>0</v>
      </c>
      <c r="AE298" s="9" t="n">
        <v>0</v>
      </c>
    </row>
    <row r="299">
      <c r="A299" s="9" t="inlineStr">
        <is>
          <t>PREMIX 8108 (20KG)</t>
        </is>
      </c>
      <c r="C299" s="9" t="n">
        <v>0</v>
      </c>
      <c r="E299" s="9" t="n">
        <v>0</v>
      </c>
      <c r="G299" s="9" t="n">
        <v>0</v>
      </c>
      <c r="I299" s="9" t="n">
        <v>0</v>
      </c>
      <c r="K299" s="9" t="n">
        <v>0</v>
      </c>
      <c r="M299" s="9" t="n">
        <v>0</v>
      </c>
      <c r="O299" s="9" t="n">
        <v>0</v>
      </c>
      <c r="Q299" s="9" t="n">
        <v>0</v>
      </c>
      <c r="S299" s="9" t="n">
        <v>0</v>
      </c>
      <c r="U299" s="9" t="n">
        <v>0</v>
      </c>
      <c r="W299" s="9" t="n">
        <v>0</v>
      </c>
      <c r="Y299" s="9" t="n">
        <v>0</v>
      </c>
      <c r="AA299" s="9" t="n">
        <v>0</v>
      </c>
      <c r="AC299" s="9" t="n">
        <v>0</v>
      </c>
      <c r="AE299" s="9" t="n">
        <v>0</v>
      </c>
    </row>
    <row r="300">
      <c r="A300" s="9" t="inlineStr">
        <is>
          <t>PREMIX 8109 (20KG)</t>
        </is>
      </c>
      <c r="C300" s="9" t="n">
        <v>0</v>
      </c>
      <c r="E300" s="9" t="n">
        <v>0</v>
      </c>
      <c r="G300" s="9" t="n">
        <v>0</v>
      </c>
      <c r="I300" s="9" t="n">
        <v>0</v>
      </c>
      <c r="K300" s="9" t="n">
        <v>0</v>
      </c>
      <c r="M300" s="9" t="n">
        <v>0</v>
      </c>
      <c r="O300" s="9" t="n">
        <v>0</v>
      </c>
      <c r="Q300" s="9" t="n">
        <v>0</v>
      </c>
      <c r="S300" s="9" t="n">
        <v>0</v>
      </c>
      <c r="U300" s="9" t="n">
        <v>0</v>
      </c>
      <c r="W300" s="9" t="n">
        <v>0</v>
      </c>
      <c r="Y300" s="9" t="n">
        <v>0</v>
      </c>
      <c r="AA300" s="9" t="n">
        <v>0</v>
      </c>
      <c r="AC300" s="9" t="n">
        <v>0</v>
      </c>
      <c r="AE300" s="9" t="n">
        <v>0</v>
      </c>
    </row>
    <row r="301">
      <c r="A301" s="9" t="inlineStr">
        <is>
          <t>YENMIX 121 (20KG)</t>
        </is>
      </c>
      <c r="C301" s="9" t="n">
        <v>0</v>
      </c>
      <c r="E301" s="9" t="n">
        <v>0</v>
      </c>
      <c r="G301" s="9" t="n">
        <v>0</v>
      </c>
      <c r="I301" s="9" t="n">
        <v>0</v>
      </c>
      <c r="K301" s="9" t="n">
        <v>0</v>
      </c>
      <c r="M301" s="9" t="n">
        <v>0</v>
      </c>
      <c r="O301" s="9" t="n">
        <v>0</v>
      </c>
      <c r="Q301" s="9" t="n">
        <v>0</v>
      </c>
      <c r="S301" s="9" t="n">
        <v>0</v>
      </c>
      <c r="U301" s="9" t="n">
        <v>0</v>
      </c>
      <c r="W301" s="9" t="n">
        <v>0</v>
      </c>
      <c r="Y301" s="9" t="n">
        <v>0</v>
      </c>
      <c r="AA301" s="9" t="n">
        <v>0</v>
      </c>
      <c r="AC301" s="9" t="n">
        <v>0</v>
      </c>
      <c r="AE301" s="9" t="n">
        <v>0</v>
      </c>
    </row>
    <row r="302">
      <c r="A302" s="9" t="inlineStr">
        <is>
          <t>YENMIX 122 (19.50KG)</t>
        </is>
      </c>
      <c r="C302" s="9" t="n">
        <v>0</v>
      </c>
      <c r="E302" s="9" t="n">
        <v>0</v>
      </c>
      <c r="G302" s="9" t="n">
        <v>0</v>
      </c>
      <c r="I302" s="9" t="n">
        <v>0</v>
      </c>
      <c r="K302" s="9" t="n">
        <v>0</v>
      </c>
      <c r="M302" s="9" t="n">
        <v>0</v>
      </c>
      <c r="O302" s="9" t="n">
        <v>0</v>
      </c>
      <c r="Q302" s="9" t="n">
        <v>0</v>
      </c>
      <c r="S302" s="9" t="n">
        <v>0</v>
      </c>
      <c r="U302" s="9" t="n">
        <v>0</v>
      </c>
      <c r="W302" s="9" t="n">
        <v>0</v>
      </c>
      <c r="Y302" s="9" t="n">
        <v>0</v>
      </c>
      <c r="AA302" s="9" t="n">
        <v>0</v>
      </c>
      <c r="AC302" s="9" t="n">
        <v>0</v>
      </c>
      <c r="AE302" s="9" t="n">
        <v>0</v>
      </c>
    </row>
    <row r="303">
      <c r="A303" s="9" t="inlineStr">
        <is>
          <t>YENMIX 123 (18.90KG)</t>
        </is>
      </c>
      <c r="C303" s="9" t="n">
        <v>0</v>
      </c>
      <c r="E303" s="9" t="n">
        <v>0</v>
      </c>
      <c r="G303" s="9" t="n">
        <v>0</v>
      </c>
      <c r="I303" s="9" t="n">
        <v>0</v>
      </c>
      <c r="K303" s="9" t="n">
        <v>0</v>
      </c>
      <c r="M303" s="9" t="n">
        <v>0</v>
      </c>
      <c r="O303" s="9" t="n">
        <v>0</v>
      </c>
      <c r="Q303" s="9" t="n">
        <v>0</v>
      </c>
      <c r="S303" s="9" t="n">
        <v>0</v>
      </c>
      <c r="U303" s="9" t="n">
        <v>0</v>
      </c>
      <c r="W303" s="9" t="n">
        <v>0</v>
      </c>
      <c r="Y303" s="9" t="n">
        <v>0</v>
      </c>
      <c r="AA303" s="9" t="n">
        <v>0</v>
      </c>
      <c r="AC303" s="9" t="n">
        <v>0</v>
      </c>
      <c r="AE303" s="9" t="n">
        <v>0</v>
      </c>
    </row>
    <row r="304">
      <c r="A304" s="9" t="inlineStr">
        <is>
          <t>YENMIX 122 (20.50KG)</t>
        </is>
      </c>
      <c r="C304" s="9" t="n">
        <v>0</v>
      </c>
      <c r="E304" s="9" t="n">
        <v>0</v>
      </c>
      <c r="G304" s="9" t="n">
        <v>0</v>
      </c>
      <c r="I304" s="9" t="n">
        <v>0</v>
      </c>
      <c r="K304" s="9" t="n">
        <v>0</v>
      </c>
      <c r="M304" s="9" t="n">
        <v>0</v>
      </c>
      <c r="O304" s="9" t="n">
        <v>0</v>
      </c>
      <c r="Q304" s="9" t="n">
        <v>0</v>
      </c>
      <c r="S304" s="9" t="n">
        <v>0</v>
      </c>
      <c r="U304" s="9" t="n">
        <v>0</v>
      </c>
      <c r="W304" s="9" t="n">
        <v>0</v>
      </c>
      <c r="Y304" s="9" t="n">
        <v>0</v>
      </c>
      <c r="AA304" s="9" t="n">
        <v>0</v>
      </c>
      <c r="AC304" s="9" t="n">
        <v>0</v>
      </c>
      <c r="AE304" s="9" t="n">
        <v>0</v>
      </c>
    </row>
    <row r="305">
      <c r="A305" s="9" t="inlineStr">
        <is>
          <t>YENMIX 123 (20.00KG)</t>
        </is>
      </c>
      <c r="C305" s="9" t="n">
        <v>0</v>
      </c>
      <c r="E305" s="9" t="n">
        <v>0</v>
      </c>
      <c r="G305" s="9" t="n">
        <v>0</v>
      </c>
      <c r="I305" s="9" t="n">
        <v>0</v>
      </c>
      <c r="K305" s="9" t="n">
        <v>0</v>
      </c>
      <c r="M305" s="9" t="n">
        <v>0</v>
      </c>
      <c r="O305" s="9" t="n">
        <v>0</v>
      </c>
      <c r="Q305" s="9" t="n">
        <v>0</v>
      </c>
      <c r="S305" s="9" t="n">
        <v>0</v>
      </c>
      <c r="U305" s="9" t="n">
        <v>0</v>
      </c>
      <c r="W305" s="9" t="n">
        <v>0</v>
      </c>
      <c r="Y305" s="9" t="n">
        <v>0</v>
      </c>
      <c r="AA305" s="9" t="n">
        <v>0</v>
      </c>
      <c r="AC305" s="9" t="n">
        <v>0</v>
      </c>
      <c r="AE305" s="9" t="n">
        <v>0</v>
      </c>
    </row>
    <row r="306">
      <c r="A306" s="9" t="n">
        <v>1</v>
      </c>
      <c r="C306" s="9" t="n">
        <v>0</v>
      </c>
      <c r="E306" s="9" t="n">
        <v>0</v>
      </c>
      <c r="G306" s="9" t="n">
        <v>0</v>
      </c>
      <c r="I306" s="9" t="n">
        <v>0</v>
      </c>
      <c r="K306" s="9" t="n">
        <v>0</v>
      </c>
      <c r="M306" s="9" t="n">
        <v>0</v>
      </c>
      <c r="O306" s="9" t="n">
        <v>0</v>
      </c>
      <c r="Q306" s="9" t="n">
        <v>0</v>
      </c>
      <c r="S306" s="9" t="n">
        <v>0</v>
      </c>
      <c r="U306" s="9" t="n">
        <v>0</v>
      </c>
      <c r="W306" s="9" t="n">
        <v>0</v>
      </c>
      <c r="Y306" s="9" t="n">
        <v>0</v>
      </c>
      <c r="AA306" s="9" t="n">
        <v>0</v>
      </c>
      <c r="AC306" s="9" t="n">
        <v>0</v>
      </c>
      <c r="AE306" s="9" t="n">
        <v>0</v>
      </c>
    </row>
    <row r="307">
      <c r="A307" s="9" t="n">
        <v>2</v>
      </c>
      <c r="C307" s="9" t="n">
        <v>0</v>
      </c>
      <c r="E307" s="9" t="n">
        <v>0</v>
      </c>
      <c r="G307" s="9" t="n">
        <v>0</v>
      </c>
      <c r="I307" s="9" t="n">
        <v>0</v>
      </c>
      <c r="K307" s="9" t="n">
        <v>0</v>
      </c>
      <c r="M307" s="9" t="n">
        <v>0</v>
      </c>
      <c r="O307" s="9" t="n">
        <v>0</v>
      </c>
      <c r="Q307" s="9" t="n">
        <v>0</v>
      </c>
      <c r="S307" s="9" t="n">
        <v>0</v>
      </c>
      <c r="U307" s="9" t="n">
        <v>0</v>
      </c>
      <c r="W307" s="9" t="n">
        <v>0</v>
      </c>
      <c r="Y307" s="9" t="n">
        <v>0</v>
      </c>
      <c r="AA307" s="9" t="n">
        <v>0</v>
      </c>
      <c r="AC307" s="9" t="n">
        <v>0</v>
      </c>
      <c r="AE307" s="9" t="n">
        <v>0</v>
      </c>
    </row>
    <row r="308">
      <c r="A308" s="9" t="n">
        <v>3</v>
      </c>
      <c r="C308" s="9" t="n">
        <v>0</v>
      </c>
      <c r="E308" s="9" t="n">
        <v>0</v>
      </c>
      <c r="G308" s="9" t="n">
        <v>0</v>
      </c>
      <c r="I308" s="9" t="n">
        <v>0</v>
      </c>
      <c r="K308" s="9" t="n">
        <v>0</v>
      </c>
      <c r="M308" s="9" t="n">
        <v>0</v>
      </c>
      <c r="O308" s="9" t="n">
        <v>0</v>
      </c>
      <c r="Q308" s="9" t="n">
        <v>0</v>
      </c>
      <c r="S308" s="9" t="n">
        <v>0</v>
      </c>
      <c r="U308" s="9" t="n">
        <v>0</v>
      </c>
      <c r="W308" s="9" t="n">
        <v>0</v>
      </c>
      <c r="Y308" s="9" t="n">
        <v>0</v>
      </c>
      <c r="AA308" s="9" t="n">
        <v>0</v>
      </c>
      <c r="AC308" s="9" t="n">
        <v>0</v>
      </c>
      <c r="AE308" s="9" t="n">
        <v>0</v>
      </c>
    </row>
    <row r="309">
      <c r="A309" s="9" t="inlineStr">
        <is>
          <t>TOXISORB PREMIUM</t>
        </is>
      </c>
      <c r="C309" s="9" t="n">
        <v>0</v>
      </c>
      <c r="E309" s="9" t="n">
        <v>0</v>
      </c>
      <c r="G309" s="9" t="n">
        <v>0</v>
      </c>
      <c r="I309" s="9" t="n">
        <v>0</v>
      </c>
      <c r="K309" s="9" t="n">
        <v>0</v>
      </c>
      <c r="M309" s="9" t="n">
        <v>0</v>
      </c>
      <c r="O309" s="9" t="n">
        <v>0</v>
      </c>
      <c r="Q309" s="9" t="n">
        <v>0</v>
      </c>
      <c r="S309" s="9" t="n">
        <v>0</v>
      </c>
      <c r="U309" s="9" t="n">
        <v>0</v>
      </c>
      <c r="W309" s="9" t="n">
        <v>0</v>
      </c>
      <c r="Y309" s="9" t="n">
        <v>0</v>
      </c>
      <c r="AA309" s="9" t="n">
        <v>0</v>
      </c>
      <c r="AC309" s="9" t="n">
        <v>0</v>
      </c>
      <c r="AE309" s="9" t="n">
        <v>0</v>
      </c>
    </row>
    <row r="310">
      <c r="A310" s="9" t="inlineStr">
        <is>
          <t>SODIUM HUMATE 3.8% (HARUMI)</t>
        </is>
      </c>
      <c r="C310" s="9" t="n">
        <v>0</v>
      </c>
      <c r="E310" s="9" t="n">
        <v>0</v>
      </c>
      <c r="G310" s="9" t="n">
        <v>0</v>
      </c>
      <c r="I310" s="9" t="n">
        <v>0</v>
      </c>
      <c r="K310" s="9" t="n">
        <v>0</v>
      </c>
      <c r="M310" s="9" t="n">
        <v>0</v>
      </c>
      <c r="O310" s="9" t="n">
        <v>0</v>
      </c>
      <c r="Q310" s="9" t="n">
        <v>0</v>
      </c>
      <c r="S310" s="9" t="n">
        <v>0</v>
      </c>
      <c r="U310" s="9" t="n">
        <v>0</v>
      </c>
      <c r="W310" s="9" t="n">
        <v>0</v>
      </c>
      <c r="Y310" s="9" t="n">
        <v>0</v>
      </c>
      <c r="AA310" s="9" t="n">
        <v>0</v>
      </c>
      <c r="AC310" s="9" t="n">
        <v>0</v>
      </c>
      <c r="AE310" s="9" t="n">
        <v>0</v>
      </c>
    </row>
    <row r="311">
      <c r="A311" s="9" t="inlineStr">
        <is>
          <t>TOXIWALL</t>
        </is>
      </c>
      <c r="C311" s="9" t="n">
        <v>0</v>
      </c>
      <c r="E311" s="9" t="n">
        <v>0</v>
      </c>
      <c r="G311" s="9" t="n">
        <v>0</v>
      </c>
      <c r="I311" s="9" t="n">
        <v>0</v>
      </c>
      <c r="K311" s="9" t="n">
        <v>0</v>
      </c>
      <c r="M311" s="9" t="n">
        <v>0</v>
      </c>
      <c r="O311" s="9" t="n">
        <v>0</v>
      </c>
      <c r="Q311" s="9" t="n">
        <v>0</v>
      </c>
      <c r="S311" s="9" t="n">
        <v>0</v>
      </c>
      <c r="U311" s="9" t="n">
        <v>0</v>
      </c>
      <c r="W311" s="9" t="n">
        <v>0</v>
      </c>
      <c r="Y311" s="9" t="n">
        <v>0</v>
      </c>
      <c r="AA311" s="9" t="n">
        <v>0</v>
      </c>
      <c r="AC311" s="9" t="n">
        <v>0</v>
      </c>
      <c r="AE311" s="9" t="n">
        <v>0</v>
      </c>
    </row>
    <row r="312">
      <c r="A312" s="9" t="inlineStr">
        <is>
          <t>SODIUM BICARBONATE</t>
        </is>
      </c>
      <c r="C312" s="9" t="n">
        <v>0</v>
      </c>
      <c r="E312" s="9" t="n">
        <v>0</v>
      </c>
      <c r="G312" s="9" t="n">
        <v>0</v>
      </c>
      <c r="I312" s="9" t="n">
        <v>0</v>
      </c>
      <c r="K312" s="9" t="n">
        <v>0</v>
      </c>
      <c r="M312" s="9" t="n">
        <v>0</v>
      </c>
      <c r="O312" s="9" t="n">
        <v>0</v>
      </c>
      <c r="Q312" s="9" t="n">
        <v>0</v>
      </c>
      <c r="S312" s="9" t="n">
        <v>0</v>
      </c>
      <c r="U312" s="9" t="n">
        <v>0</v>
      </c>
      <c r="W312" s="9" t="n">
        <v>0</v>
      </c>
      <c r="Y312" s="9" t="n">
        <v>0</v>
      </c>
      <c r="AA312" s="9" t="n">
        <v>0</v>
      </c>
      <c r="AC312" s="9" t="n">
        <v>0</v>
      </c>
      <c r="AE312" s="9" t="n">
        <v>0</v>
      </c>
    </row>
    <row r="313">
      <c r="A313" s="9" t="inlineStr">
        <is>
          <t>BMD 10%</t>
        </is>
      </c>
      <c r="C313" s="9" t="n">
        <v>0</v>
      </c>
      <c r="E313" s="9" t="n">
        <v>0</v>
      </c>
      <c r="G313" s="9" t="n">
        <v>0</v>
      </c>
      <c r="I313" s="9" t="n">
        <v>0</v>
      </c>
      <c r="K313" s="9" t="n">
        <v>0</v>
      </c>
      <c r="M313" s="9" t="n">
        <v>0</v>
      </c>
      <c r="O313" s="9" t="n">
        <v>0</v>
      </c>
      <c r="Q313" s="9" t="n">
        <v>0</v>
      </c>
      <c r="S313" s="9" t="n">
        <v>0</v>
      </c>
      <c r="U313" s="9" t="n">
        <v>0</v>
      </c>
      <c r="W313" s="9" t="n">
        <v>0</v>
      </c>
      <c r="Y313" s="9" t="n">
        <v>0</v>
      </c>
      <c r="AA313" s="9" t="n">
        <v>0</v>
      </c>
      <c r="AC313" s="9" t="n">
        <v>0</v>
      </c>
      <c r="AE313" s="9" t="n">
        <v>0</v>
      </c>
    </row>
    <row r="314">
      <c r="A314" s="9" t="inlineStr">
        <is>
          <t>SALT (HARUMI)</t>
        </is>
      </c>
      <c r="C314" s="9" t="n">
        <v>0</v>
      </c>
      <c r="E314" s="9" t="n">
        <v>0</v>
      </c>
      <c r="G314" s="9" t="n">
        <v>0</v>
      </c>
      <c r="I314" s="9" t="n">
        <v>0</v>
      </c>
      <c r="K314" s="9" t="n">
        <v>0</v>
      </c>
      <c r="M314" s="9" t="n">
        <v>0</v>
      </c>
      <c r="O314" s="9" t="n">
        <v>0</v>
      </c>
      <c r="Q314" s="9" t="n">
        <v>0</v>
      </c>
      <c r="S314" s="9" t="n">
        <v>0</v>
      </c>
      <c r="U314" s="9" t="n">
        <v>0</v>
      </c>
      <c r="W314" s="9" t="n">
        <v>0</v>
      </c>
      <c r="Y314" s="9" t="n">
        <v>0</v>
      </c>
      <c r="AA314" s="9" t="n">
        <v>0</v>
      </c>
      <c r="AC314" s="9" t="n">
        <v>0</v>
      </c>
      <c r="AE314" s="9" t="n">
        <v>0</v>
      </c>
    </row>
    <row r="315">
      <c r="A315" s="9" t="inlineStr">
        <is>
          <t>VISTABET 91</t>
        </is>
      </c>
      <c r="C315" s="9" t="n">
        <v>0</v>
      </c>
      <c r="E315" s="9" t="n">
        <v>0</v>
      </c>
      <c r="G315" s="9" t="n">
        <v>0</v>
      </c>
      <c r="I315" s="9" t="n">
        <v>0</v>
      </c>
      <c r="K315" s="9" t="n">
        <v>0</v>
      </c>
      <c r="M315" s="9" t="n">
        <v>0</v>
      </c>
      <c r="O315" s="9" t="n">
        <v>0</v>
      </c>
      <c r="Q315" s="9" t="n">
        <v>0</v>
      </c>
      <c r="S315" s="9" t="n">
        <v>0</v>
      </c>
      <c r="U315" s="9" t="n">
        <v>0</v>
      </c>
      <c r="W315" s="9" t="n">
        <v>0</v>
      </c>
      <c r="Y315" s="9" t="n">
        <v>0</v>
      </c>
      <c r="AA315" s="9" t="n">
        <v>0</v>
      </c>
      <c r="AC315" s="9" t="n">
        <v>0</v>
      </c>
      <c r="AE315" s="9" t="n">
        <v>0</v>
      </c>
    </row>
    <row r="316">
      <c r="A316" s="9" t="inlineStr">
        <is>
          <t>BETAFIN</t>
        </is>
      </c>
      <c r="C316" s="9" t="n">
        <v>0</v>
      </c>
      <c r="E316" s="9" t="n">
        <v>0</v>
      </c>
      <c r="G316" s="9" t="n">
        <v>0</v>
      </c>
      <c r="I316" s="9" t="n">
        <v>0</v>
      </c>
      <c r="K316" s="9" t="n">
        <v>0</v>
      </c>
      <c r="M316" s="9" t="n">
        <v>0</v>
      </c>
      <c r="O316" s="9" t="n">
        <v>0</v>
      </c>
      <c r="Q316" s="9" t="n">
        <v>0</v>
      </c>
      <c r="S316" s="9" t="n">
        <v>0</v>
      </c>
      <c r="U316" s="9" t="n">
        <v>0</v>
      </c>
      <c r="W316" s="9" t="n">
        <v>0</v>
      </c>
      <c r="Y316" s="9" t="n">
        <v>0</v>
      </c>
      <c r="AA316" s="9" t="n">
        <v>0</v>
      </c>
      <c r="AC316" s="9" t="n">
        <v>0</v>
      </c>
      <c r="AE316" s="9" t="n">
        <v>0</v>
      </c>
    </row>
    <row r="317">
      <c r="A317" s="9" t="inlineStr">
        <is>
          <t>8101 TOP UP</t>
        </is>
      </c>
      <c r="C317" s="9" t="n">
        <v>0</v>
      </c>
      <c r="E317" s="9" t="n">
        <v>0</v>
      </c>
      <c r="G317" s="9" t="n">
        <v>0</v>
      </c>
      <c r="I317" s="9" t="n">
        <v>0</v>
      </c>
      <c r="K317" s="9" t="n">
        <v>0</v>
      </c>
      <c r="M317" s="9" t="n">
        <v>0</v>
      </c>
      <c r="O317" s="9" t="n">
        <v>0</v>
      </c>
      <c r="Q317" s="9" t="n">
        <v>0</v>
      </c>
      <c r="S317" s="9" t="n">
        <v>0</v>
      </c>
      <c r="U317" s="9" t="n">
        <v>0</v>
      </c>
      <c r="W317" s="9" t="n">
        <v>0</v>
      </c>
      <c r="Y317" s="9" t="n">
        <v>0</v>
      </c>
      <c r="AA317" s="9" t="n">
        <v>0</v>
      </c>
      <c r="AC317" s="9" t="n">
        <v>0</v>
      </c>
      <c r="AE317" s="9" t="n">
        <v>0</v>
      </c>
    </row>
    <row r="318">
      <c r="A318" s="9" t="inlineStr">
        <is>
          <t>NORPONIN X03 (8102 TOP UP)</t>
        </is>
      </c>
      <c r="C318" s="9" t="n">
        <v>0</v>
      </c>
      <c r="E318" s="9" t="n">
        <v>0</v>
      </c>
      <c r="G318" s="9" t="n">
        <v>0</v>
      </c>
      <c r="I318" s="9" t="n">
        <v>0</v>
      </c>
      <c r="K318" s="9" t="n">
        <v>0</v>
      </c>
      <c r="M318" s="9" t="n">
        <v>0</v>
      </c>
      <c r="O318" s="9" t="n">
        <v>0</v>
      </c>
      <c r="Q318" s="9" t="n">
        <v>0</v>
      </c>
      <c r="S318" s="9" t="n">
        <v>0</v>
      </c>
      <c r="U318" s="9" t="n">
        <v>0</v>
      </c>
      <c r="W318" s="9" t="n">
        <v>0</v>
      </c>
      <c r="Y318" s="9" t="n">
        <v>0</v>
      </c>
      <c r="AA318" s="9" t="n">
        <v>0</v>
      </c>
      <c r="AC318" s="9" t="n">
        <v>0</v>
      </c>
      <c r="AE318" s="9" t="n">
        <v>0</v>
      </c>
    </row>
    <row r="319">
      <c r="A319" s="9" t="inlineStr">
        <is>
          <t>8102 TOP UP (4KG)</t>
        </is>
      </c>
      <c r="C319" s="9" t="n">
        <v>0</v>
      </c>
      <c r="E319" s="9" t="n">
        <v>0</v>
      </c>
      <c r="G319" s="9" t="n">
        <v>0</v>
      </c>
      <c r="I319" s="9" t="n">
        <v>0</v>
      </c>
      <c r="K319" s="9" t="n">
        <v>0</v>
      </c>
      <c r="M319" s="9" t="n">
        <v>0</v>
      </c>
      <c r="O319" s="9" t="n">
        <v>0</v>
      </c>
      <c r="Q319" s="9" t="n">
        <v>0</v>
      </c>
      <c r="S319" s="9" t="n">
        <v>0</v>
      </c>
      <c r="U319" s="9" t="n">
        <v>0</v>
      </c>
      <c r="W319" s="9" t="n">
        <v>0</v>
      </c>
      <c r="Y319" s="9" t="n">
        <v>0</v>
      </c>
      <c r="AA319" s="9" t="n">
        <v>0</v>
      </c>
      <c r="AC319" s="9" t="n">
        <v>0</v>
      </c>
      <c r="AE319" s="9" t="n">
        <v>0</v>
      </c>
    </row>
    <row r="320">
      <c r="A320" s="9" t="inlineStr">
        <is>
          <t>8103 TOP UP (5KG)</t>
        </is>
      </c>
      <c r="C320" s="9" t="n">
        <v>0</v>
      </c>
      <c r="E320" s="9" t="n">
        <v>0</v>
      </c>
      <c r="G320" s="9" t="n">
        <v>0</v>
      </c>
      <c r="I320" s="9" t="n">
        <v>0</v>
      </c>
      <c r="K320" s="9" t="n">
        <v>0</v>
      </c>
      <c r="M320" s="9" t="n">
        <v>0</v>
      </c>
      <c r="O320" s="9" t="n">
        <v>0</v>
      </c>
      <c r="Q320" s="9" t="n">
        <v>0</v>
      </c>
      <c r="S320" s="9" t="n">
        <v>0</v>
      </c>
      <c r="U320" s="9" t="n">
        <v>0</v>
      </c>
      <c r="W320" s="9" t="n">
        <v>0</v>
      </c>
      <c r="Y320" s="9" t="n">
        <v>0</v>
      </c>
      <c r="AA320" s="9" t="n">
        <v>0</v>
      </c>
      <c r="AC320" s="9" t="n">
        <v>0</v>
      </c>
      <c r="AE320" s="9" t="n">
        <v>0</v>
      </c>
    </row>
    <row r="321">
      <c r="A321" s="9" t="inlineStr">
        <is>
          <t>L-ARGININE</t>
        </is>
      </c>
      <c r="C321" s="9" t="n">
        <v>0</v>
      </c>
      <c r="E321" s="9" t="n">
        <v>0</v>
      </c>
      <c r="G321" s="9" t="n">
        <v>0</v>
      </c>
      <c r="I321" s="9" t="n">
        <v>0</v>
      </c>
      <c r="K321" s="9" t="n">
        <v>0</v>
      </c>
      <c r="M321" s="9" t="n">
        <v>0</v>
      </c>
      <c r="O321" s="9" t="n">
        <v>0</v>
      </c>
      <c r="Q321" s="9" t="n">
        <v>0</v>
      </c>
      <c r="S321" s="9" t="n">
        <v>0</v>
      </c>
      <c r="U321" s="9" t="n">
        <v>0</v>
      </c>
      <c r="W321" s="9" t="n">
        <v>0</v>
      </c>
      <c r="Y321" s="9" t="n">
        <v>0</v>
      </c>
      <c r="AA321" s="9" t="n">
        <v>0</v>
      </c>
      <c r="AC321" s="9" t="n">
        <v>0</v>
      </c>
      <c r="AE321" s="9" t="n">
        <v>0</v>
      </c>
    </row>
    <row r="322">
      <c r="A322" s="9" t="inlineStr">
        <is>
          <t>DL-METHIONINE</t>
        </is>
      </c>
      <c r="C322" s="9" t="n">
        <v>0</v>
      </c>
      <c r="E322" s="9" t="n">
        <v>0</v>
      </c>
      <c r="G322" s="9" t="n">
        <v>0</v>
      </c>
      <c r="I322" s="9" t="n">
        <v>0</v>
      </c>
      <c r="K322" s="9" t="n">
        <v>0</v>
      </c>
      <c r="M322" s="9" t="n">
        <v>0</v>
      </c>
      <c r="O322" s="9" t="n">
        <v>0</v>
      </c>
      <c r="Q322" s="9" t="n">
        <v>0</v>
      </c>
      <c r="S322" s="9" t="n">
        <v>0</v>
      </c>
      <c r="U322" s="9" t="n">
        <v>0</v>
      </c>
      <c r="W322" s="9" t="n">
        <v>0</v>
      </c>
      <c r="Y322" s="9" t="n">
        <v>0</v>
      </c>
      <c r="AA322" s="9" t="n">
        <v>0</v>
      </c>
      <c r="AC322" s="9" t="n">
        <v>0</v>
      </c>
      <c r="AE322" s="9" t="n">
        <v>0</v>
      </c>
    </row>
    <row r="323">
      <c r="A323" s="9" t="inlineStr">
        <is>
          <t>L-THREONINE</t>
        </is>
      </c>
      <c r="C323" s="9" t="n">
        <v>0</v>
      </c>
      <c r="E323" s="9" t="n">
        <v>0</v>
      </c>
      <c r="G323" s="9" t="n">
        <v>0</v>
      </c>
      <c r="I323" s="9" t="n">
        <v>0</v>
      </c>
      <c r="K323" s="9" t="n">
        <v>0</v>
      </c>
      <c r="M323" s="9" t="n">
        <v>0</v>
      </c>
      <c r="O323" s="9" t="n">
        <v>0</v>
      </c>
      <c r="Q323" s="9" t="n">
        <v>0</v>
      </c>
      <c r="S323" s="9" t="n">
        <v>0</v>
      </c>
      <c r="U323" s="9" t="n">
        <v>0</v>
      </c>
      <c r="W323" s="9" t="n">
        <v>0</v>
      </c>
      <c r="Y323" s="9" t="n">
        <v>0</v>
      </c>
      <c r="AA323" s="9" t="n">
        <v>0</v>
      </c>
      <c r="AC323" s="9" t="n">
        <v>0</v>
      </c>
      <c r="AE323" s="9" t="n">
        <v>0</v>
      </c>
    </row>
    <row r="324">
      <c r="A324" s="9" t="inlineStr">
        <is>
          <t>L-LYSINE</t>
        </is>
      </c>
      <c r="C324" s="9" t="n">
        <v>0</v>
      </c>
      <c r="E324" s="9" t="n">
        <v>0</v>
      </c>
      <c r="G324" s="9" t="n">
        <v>0</v>
      </c>
      <c r="I324" s="9" t="n">
        <v>0</v>
      </c>
      <c r="K324" s="9" t="n">
        <v>0</v>
      </c>
      <c r="M324" s="9" t="n">
        <v>0</v>
      </c>
      <c r="O324" s="9" t="n">
        <v>0</v>
      </c>
      <c r="Q324" s="9" t="n">
        <v>0</v>
      </c>
      <c r="S324" s="9" t="n">
        <v>0</v>
      </c>
      <c r="U324" s="9" t="n">
        <v>0</v>
      </c>
      <c r="W324" s="9" t="n">
        <v>0</v>
      </c>
      <c r="Y324" s="9" t="n">
        <v>0</v>
      </c>
      <c r="AA324" s="9" t="n">
        <v>0</v>
      </c>
      <c r="AC324" s="9" t="n">
        <v>0</v>
      </c>
      <c r="AE324" s="9" t="n">
        <v>0</v>
      </c>
    </row>
    <row r="325">
      <c r="A325" s="9" t="inlineStr">
        <is>
          <t>FAECES DRY</t>
        </is>
      </c>
      <c r="C325" s="9" t="n">
        <v>0</v>
      </c>
      <c r="E325" s="9" t="n">
        <v>0</v>
      </c>
      <c r="G325" s="9" t="n">
        <v>0</v>
      </c>
      <c r="I325" s="9" t="n">
        <v>0</v>
      </c>
      <c r="K325" s="9" t="n">
        <v>0</v>
      </c>
      <c r="M325" s="9" t="n">
        <v>0</v>
      </c>
      <c r="O325" s="9" t="n">
        <v>0</v>
      </c>
      <c r="Q325" s="9" t="n">
        <v>0</v>
      </c>
      <c r="S325" s="9" t="n">
        <v>0</v>
      </c>
      <c r="U325" s="9" t="n">
        <v>0</v>
      </c>
      <c r="W325" s="9" t="n">
        <v>0</v>
      </c>
      <c r="Y325" s="9" t="n">
        <v>0</v>
      </c>
      <c r="AA325" s="9" t="n">
        <v>0</v>
      </c>
      <c r="AC325" s="9" t="n">
        <v>0</v>
      </c>
      <c r="AE325" s="9" t="n">
        <v>0</v>
      </c>
    </row>
    <row r="326">
      <c r="A326" s="9" t="inlineStr">
        <is>
          <t>ECOBIOL</t>
        </is>
      </c>
      <c r="C326" s="9" t="n">
        <v>0</v>
      </c>
      <c r="E326" s="9" t="n">
        <v>0</v>
      </c>
      <c r="G326" s="9" t="n">
        <v>0</v>
      </c>
      <c r="I326" s="9" t="n">
        <v>0</v>
      </c>
      <c r="K326" s="9" t="n">
        <v>0</v>
      </c>
      <c r="M326" s="9" t="n">
        <v>0</v>
      </c>
      <c r="O326" s="9" t="n">
        <v>0</v>
      </c>
      <c r="Q326" s="9" t="n">
        <v>0</v>
      </c>
      <c r="S326" s="9" t="n">
        <v>0</v>
      </c>
      <c r="U326" s="9" t="n">
        <v>0</v>
      </c>
      <c r="W326" s="9" t="n">
        <v>0</v>
      </c>
      <c r="Y326" s="9" t="n">
        <v>0</v>
      </c>
      <c r="AA326" s="9" t="n">
        <v>0</v>
      </c>
      <c r="AC326" s="9" t="n">
        <v>0</v>
      </c>
      <c r="AE326" s="9" t="n">
        <v>0</v>
      </c>
    </row>
    <row r="327">
      <c r="A327" s="9" t="inlineStr">
        <is>
          <t>ADDITIVE BROILER IMMUNE</t>
        </is>
      </c>
      <c r="C327" s="9" t="n">
        <v>0</v>
      </c>
      <c r="E327" s="9" t="n">
        <v>0</v>
      </c>
      <c r="G327" s="9" t="n">
        <v>0</v>
      </c>
      <c r="I327" s="9" t="n">
        <v>0</v>
      </c>
      <c r="K327" s="9" t="n">
        <v>0</v>
      </c>
      <c r="M327" s="9" t="n">
        <v>0</v>
      </c>
      <c r="O327" s="9" t="n">
        <v>0</v>
      </c>
      <c r="Q327" s="9" t="n">
        <v>0</v>
      </c>
      <c r="S327" s="9" t="n">
        <v>0</v>
      </c>
      <c r="U327" s="9" t="n">
        <v>0</v>
      </c>
      <c r="W327" s="9" t="n">
        <v>0</v>
      </c>
      <c r="Y327" s="9" t="n">
        <v>0</v>
      </c>
      <c r="AA327" s="9" t="n">
        <v>0</v>
      </c>
      <c r="AC327" s="9" t="n">
        <v>0</v>
      </c>
      <c r="AE327" s="9" t="n">
        <v>0</v>
      </c>
    </row>
    <row r="328">
      <c r="A328" s="9" t="inlineStr">
        <is>
          <t>MASTER CUBE (HARUMI)</t>
        </is>
      </c>
      <c r="C328" s="9" t="n">
        <v>0</v>
      </c>
      <c r="E328" s="9" t="n">
        <v>0</v>
      </c>
      <c r="G328" s="9" t="n">
        <v>0</v>
      </c>
      <c r="I328" s="9" t="n">
        <v>0</v>
      </c>
      <c r="K328" s="9" t="n">
        <v>0</v>
      </c>
      <c r="M328" s="9" t="n">
        <v>0</v>
      </c>
      <c r="O328" s="9" t="n">
        <v>0</v>
      </c>
      <c r="Q328" s="9" t="n">
        <v>0</v>
      </c>
      <c r="S328" s="9" t="n">
        <v>0</v>
      </c>
      <c r="U328" s="9" t="n">
        <v>0</v>
      </c>
      <c r="W328" s="9" t="n">
        <v>0</v>
      </c>
      <c r="Y328" s="9" t="n">
        <v>0</v>
      </c>
      <c r="AA328" s="9" t="n">
        <v>0</v>
      </c>
      <c r="AC328" s="9" t="n">
        <v>0</v>
      </c>
      <c r="AE328" s="9" t="n">
        <v>0</v>
      </c>
    </row>
    <row r="329">
      <c r="A329" s="9" t="inlineStr">
        <is>
          <t>1101 TOP UP (0.40KG)</t>
        </is>
      </c>
      <c r="C329" s="9" t="n">
        <v>0</v>
      </c>
      <c r="E329" s="9" t="n">
        <v>0</v>
      </c>
      <c r="G329" s="9" t="n">
        <v>0</v>
      </c>
      <c r="I329" s="9" t="n">
        <v>0</v>
      </c>
      <c r="K329" s="9" t="n">
        <v>0</v>
      </c>
      <c r="M329" s="9" t="n">
        <v>0</v>
      </c>
      <c r="O329" s="9" t="n">
        <v>0</v>
      </c>
      <c r="Q329" s="9" t="n">
        <v>0</v>
      </c>
      <c r="S329" s="9" t="n">
        <v>0</v>
      </c>
      <c r="U329" s="9" t="n">
        <v>0</v>
      </c>
      <c r="W329" s="9" t="n">
        <v>0</v>
      </c>
      <c r="Y329" s="9" t="n">
        <v>0</v>
      </c>
      <c r="AA329" s="9" t="n">
        <v>0</v>
      </c>
      <c r="AC329" s="9" t="n">
        <v>0</v>
      </c>
      <c r="AE329" s="9" t="n">
        <v>0</v>
      </c>
    </row>
    <row r="330">
      <c r="A330" s="9" t="inlineStr">
        <is>
          <t>1102 TOP UP (0.60KG)</t>
        </is>
      </c>
      <c r="C330" s="9" t="n">
        <v>0</v>
      </c>
      <c r="E330" s="9" t="n">
        <v>0</v>
      </c>
      <c r="G330" s="9" t="n">
        <v>0</v>
      </c>
      <c r="I330" s="9" t="n">
        <v>0</v>
      </c>
      <c r="K330" s="9" t="n">
        <v>0</v>
      </c>
      <c r="M330" s="9" t="n">
        <v>0</v>
      </c>
      <c r="O330" s="9" t="n">
        <v>0</v>
      </c>
      <c r="Q330" s="9" t="n">
        <v>0</v>
      </c>
      <c r="S330" s="9" t="n">
        <v>0</v>
      </c>
      <c r="U330" s="9" t="n">
        <v>0</v>
      </c>
      <c r="W330" s="9" t="n">
        <v>0</v>
      </c>
      <c r="Y330" s="9" t="n">
        <v>0</v>
      </c>
      <c r="AA330" s="9" t="n">
        <v>0</v>
      </c>
      <c r="AC330" s="9" t="n">
        <v>0</v>
      </c>
      <c r="AE330" s="9" t="n">
        <v>0</v>
      </c>
    </row>
    <row r="331">
      <c r="A331" s="9" t="inlineStr">
        <is>
          <t>1103 TOP UP (2.00KG)</t>
        </is>
      </c>
      <c r="C331" s="9" t="n">
        <v>0</v>
      </c>
      <c r="E331" s="9" t="n">
        <v>0</v>
      </c>
      <c r="G331" s="9" t="n">
        <v>0</v>
      </c>
      <c r="I331" s="9" t="n">
        <v>0</v>
      </c>
      <c r="K331" s="9" t="n">
        <v>0</v>
      </c>
      <c r="M331" s="9" t="n">
        <v>0</v>
      </c>
      <c r="O331" s="9" t="n">
        <v>0</v>
      </c>
      <c r="Q331" s="9" t="n">
        <v>0</v>
      </c>
      <c r="S331" s="9" t="n">
        <v>0</v>
      </c>
      <c r="U331" s="9" t="n">
        <v>0</v>
      </c>
      <c r="W331" s="9" t="n">
        <v>0</v>
      </c>
      <c r="Y331" s="9" t="n">
        <v>0</v>
      </c>
      <c r="AA331" s="9" t="n">
        <v>0</v>
      </c>
      <c r="AC331" s="9" t="n">
        <v>0</v>
      </c>
      <c r="AE331" s="9" t="n">
        <v>0</v>
      </c>
    </row>
    <row r="332">
      <c r="A332" s="9" t="inlineStr">
        <is>
          <t>QUANTUM GLO 4%</t>
        </is>
      </c>
      <c r="C332" s="9" t="n">
        <v>0</v>
      </c>
      <c r="E332" s="9" t="n">
        <v>0</v>
      </c>
      <c r="G332" s="9" t="n">
        <v>0</v>
      </c>
      <c r="I332" s="9" t="n">
        <v>0</v>
      </c>
      <c r="K332" s="9" t="n">
        <v>0</v>
      </c>
      <c r="M332" s="9" t="n">
        <v>0</v>
      </c>
      <c r="O332" s="9" t="n">
        <v>0</v>
      </c>
      <c r="Q332" s="9" t="n">
        <v>0</v>
      </c>
      <c r="S332" s="9" t="n">
        <v>0</v>
      </c>
      <c r="U332" s="9" t="n">
        <v>0</v>
      </c>
      <c r="W332" s="9" t="n">
        <v>0</v>
      </c>
      <c r="Y332" s="9" t="n">
        <v>0</v>
      </c>
      <c r="AA332" s="9" t="n">
        <v>0</v>
      </c>
      <c r="AC332" s="9" t="n">
        <v>0</v>
      </c>
      <c r="AE332" s="9" t="n">
        <v>0</v>
      </c>
    </row>
    <row r="333">
      <c r="A333" s="9" t="inlineStr">
        <is>
          <t>SALT</t>
        </is>
      </c>
      <c r="C333" s="9" t="n">
        <v>0</v>
      </c>
      <c r="E333" s="9" t="n">
        <v>0</v>
      </c>
      <c r="G333" s="9" t="n">
        <v>0</v>
      </c>
      <c r="I333" s="9" t="n">
        <v>0</v>
      </c>
      <c r="K333" s="9" t="n">
        <v>0</v>
      </c>
      <c r="M333" s="9" t="n">
        <v>0</v>
      </c>
      <c r="O333" s="9" t="n">
        <v>0</v>
      </c>
      <c r="Q333" s="9" t="n">
        <v>0</v>
      </c>
      <c r="S333" s="9" t="n">
        <v>0</v>
      </c>
      <c r="U333" s="9" t="n">
        <v>0</v>
      </c>
      <c r="W333" s="9" t="n">
        <v>0</v>
      </c>
      <c r="Y333" s="9" t="n">
        <v>0</v>
      </c>
      <c r="AA333" s="9" t="n">
        <v>0</v>
      </c>
      <c r="AC333" s="9" t="n">
        <v>0</v>
      </c>
      <c r="AE333" s="9" t="n">
        <v>0</v>
      </c>
    </row>
    <row r="334">
      <c r="A334" s="9" t="inlineStr">
        <is>
          <t>OC 200 - OXYTET 20%</t>
        </is>
      </c>
      <c r="C334" s="9" t="n">
        <v>0</v>
      </c>
      <c r="E334" s="9" t="n">
        <v>0</v>
      </c>
      <c r="G334" s="9" t="n">
        <v>0</v>
      </c>
      <c r="I334" s="9" t="n">
        <v>0</v>
      </c>
      <c r="K334" s="9" t="n">
        <v>0</v>
      </c>
      <c r="M334" s="9" t="n">
        <v>0</v>
      </c>
      <c r="O334" s="9" t="n">
        <v>0</v>
      </c>
      <c r="Q334" s="9" t="n">
        <v>0</v>
      </c>
      <c r="S334" s="9" t="n">
        <v>0</v>
      </c>
      <c r="U334" s="9" t="n">
        <v>0</v>
      </c>
      <c r="W334" s="9" t="n">
        <v>0</v>
      </c>
      <c r="Y334" s="9" t="n">
        <v>0</v>
      </c>
      <c r="AA334" s="9" t="n">
        <v>0</v>
      </c>
      <c r="AC334" s="9" t="n">
        <v>0</v>
      </c>
      <c r="AE334" s="9" t="n">
        <v>0</v>
      </c>
    </row>
    <row r="335">
      <c r="A335" s="9" t="n">
        <v>3</v>
      </c>
      <c r="C335" s="9" t="n">
        <v>0</v>
      </c>
      <c r="E335" s="9" t="n">
        <v>0</v>
      </c>
      <c r="G335" s="9" t="n">
        <v>0</v>
      </c>
      <c r="I335" s="9" t="n">
        <v>0</v>
      </c>
      <c r="K335" s="9" t="n">
        <v>0</v>
      </c>
      <c r="M335" s="9" t="n">
        <v>0</v>
      </c>
      <c r="O335" s="9" t="n">
        <v>0</v>
      </c>
      <c r="Q335" s="9" t="n">
        <v>0</v>
      </c>
      <c r="S335" s="9" t="n">
        <v>0</v>
      </c>
      <c r="U335" s="9" t="n">
        <v>0</v>
      </c>
      <c r="W335" s="9" t="n">
        <v>0</v>
      </c>
      <c r="Y335" s="9" t="n">
        <v>0</v>
      </c>
      <c r="AA335" s="9" t="n">
        <v>0</v>
      </c>
      <c r="AC335" s="9" t="n">
        <v>0</v>
      </c>
      <c r="AE335" s="9" t="n">
        <v>0</v>
      </c>
    </row>
    <row r="336">
      <c r="A336" s="9" t="n">
        <v>4</v>
      </c>
      <c r="C336" s="9" t="n">
        <v>0</v>
      </c>
      <c r="E336" s="9" t="n">
        <v>0</v>
      </c>
      <c r="G336" s="9" t="n">
        <v>0</v>
      </c>
      <c r="I336" s="9" t="n">
        <v>0</v>
      </c>
      <c r="K336" s="9" t="n">
        <v>0</v>
      </c>
      <c r="M336" s="9" t="n">
        <v>0</v>
      </c>
      <c r="O336" s="9" t="n">
        <v>0</v>
      </c>
      <c r="Q336" s="9" t="n">
        <v>0</v>
      </c>
      <c r="S336" s="9" t="n">
        <v>0</v>
      </c>
      <c r="U336" s="9" t="n">
        <v>0</v>
      </c>
      <c r="W336" s="9" t="n">
        <v>0</v>
      </c>
      <c r="Y336" s="9" t="n">
        <v>0</v>
      </c>
      <c r="AA336" s="9" t="n">
        <v>0</v>
      </c>
      <c r="AC336" s="9" t="n">
        <v>0</v>
      </c>
      <c r="AE336" s="9" t="n">
        <v>0</v>
      </c>
    </row>
    <row r="337">
      <c r="A337" s="9" t="inlineStr">
        <is>
          <t>WOVEN BAG (1101) - BLUE 50KG</t>
        </is>
      </c>
      <c r="C337" s="9" t="n">
        <v>0</v>
      </c>
      <c r="E337" s="9" t="n">
        <v>0</v>
      </c>
      <c r="G337" s="9" t="n">
        <v>0</v>
      </c>
      <c r="I337" s="9" t="n">
        <v>0</v>
      </c>
      <c r="K337" s="9" t="n">
        <v>0</v>
      </c>
      <c r="M337" s="9" t="n">
        <v>0</v>
      </c>
      <c r="O337" s="9" t="n">
        <v>0</v>
      </c>
      <c r="Q337" s="9" t="n">
        <v>0</v>
      </c>
      <c r="S337" s="9" t="n">
        <v>0</v>
      </c>
      <c r="U337" s="9" t="n">
        <v>0</v>
      </c>
      <c r="W337" s="9" t="n">
        <v>0</v>
      </c>
      <c r="Y337" s="9" t="n">
        <v>0</v>
      </c>
      <c r="AA337" s="9" t="n">
        <v>0</v>
      </c>
      <c r="AC337" s="9" t="n">
        <v>0</v>
      </c>
      <c r="AE337" s="9" t="n">
        <v>0</v>
      </c>
    </row>
    <row r="338">
      <c r="A338" s="9" t="inlineStr">
        <is>
          <t>WOVEN BAG (1102) - GREEN 50KG</t>
        </is>
      </c>
      <c r="C338" s="9" t="n">
        <v>0</v>
      </c>
      <c r="E338" s="9" t="n">
        <v>0</v>
      </c>
      <c r="G338" s="9" t="n">
        <v>0</v>
      </c>
      <c r="I338" s="9" t="n">
        <v>0</v>
      </c>
      <c r="K338" s="9" t="n">
        <v>0</v>
      </c>
      <c r="M338" s="9" t="n">
        <v>0</v>
      </c>
      <c r="O338" s="9" t="n">
        <v>0</v>
      </c>
      <c r="Q338" s="9" t="n">
        <v>0</v>
      </c>
      <c r="S338" s="9" t="n">
        <v>0</v>
      </c>
      <c r="U338" s="9" t="n">
        <v>0</v>
      </c>
      <c r="W338" s="9" t="n">
        <v>0</v>
      </c>
      <c r="Y338" s="9" t="n">
        <v>0</v>
      </c>
      <c r="AA338" s="9" t="n">
        <v>0</v>
      </c>
      <c r="AC338" s="9" t="n">
        <v>0</v>
      </c>
      <c r="AE338" s="9" t="n">
        <v>0</v>
      </c>
    </row>
    <row r="339">
      <c r="A339" s="9" t="inlineStr">
        <is>
          <t>WOVEN BAG (1103) - RED 50KG</t>
        </is>
      </c>
      <c r="C339" s="9" t="n">
        <v>0</v>
      </c>
      <c r="E339" s="9" t="n">
        <v>0</v>
      </c>
      <c r="G339" s="9" t="n">
        <v>0</v>
      </c>
      <c r="I339" s="9" t="n">
        <v>0</v>
      </c>
      <c r="K339" s="9" t="n">
        <v>0</v>
      </c>
      <c r="M339" s="9" t="n">
        <v>0</v>
      </c>
      <c r="O339" s="9" t="n">
        <v>0</v>
      </c>
      <c r="Q339" s="9" t="n">
        <v>0</v>
      </c>
      <c r="S339" s="9" t="n">
        <v>0</v>
      </c>
      <c r="U339" s="9" t="n">
        <v>0</v>
      </c>
      <c r="W339" s="9" t="n">
        <v>0</v>
      </c>
      <c r="Y339" s="9" t="n">
        <v>0</v>
      </c>
      <c r="AA339" s="9" t="n">
        <v>0</v>
      </c>
      <c r="AC339" s="9" t="n">
        <v>0</v>
      </c>
      <c r="AE339" s="9" t="n">
        <v>0</v>
      </c>
    </row>
    <row r="340">
      <c r="A340" s="9" t="inlineStr">
        <is>
          <t>PLAIN BAG 26" X 39" (50KG)</t>
        </is>
      </c>
      <c r="C340" s="9" t="n">
        <v>0</v>
      </c>
      <c r="E340" s="9" t="n">
        <v>0</v>
      </c>
      <c r="G340" s="9" t="n">
        <v>0</v>
      </c>
      <c r="I340" s="9" t="n">
        <v>0</v>
      </c>
      <c r="K340" s="9" t="n">
        <v>0</v>
      </c>
      <c r="M340" s="9" t="n">
        <v>0</v>
      </c>
      <c r="O340" s="9" t="n">
        <v>0</v>
      </c>
      <c r="Q340" s="9" t="n">
        <v>0</v>
      </c>
      <c r="S340" s="9" t="n">
        <v>0</v>
      </c>
      <c r="U340" s="9" t="n">
        <v>0</v>
      </c>
      <c r="W340" s="9" t="n">
        <v>0</v>
      </c>
      <c r="Y340" s="9" t="n">
        <v>0</v>
      </c>
      <c r="AA340" s="9" t="n">
        <v>0</v>
      </c>
      <c r="AC340" s="9" t="n">
        <v>0</v>
      </c>
      <c r="AE340" s="9" t="n">
        <v>0</v>
      </c>
    </row>
    <row r="341">
      <c r="A341" s="9" t="inlineStr">
        <is>
          <t>WOVEN BAG (8101) - KHAKI 50KG</t>
        </is>
      </c>
      <c r="C341" s="9" t="n">
        <v>0</v>
      </c>
      <c r="E341" s="9" t="n">
        <v>0</v>
      </c>
      <c r="G341" s="9" t="n">
        <v>0</v>
      </c>
      <c r="I341" s="9" t="n">
        <v>0</v>
      </c>
      <c r="K341" s="9" t="n">
        <v>0</v>
      </c>
      <c r="M341" s="9" t="n">
        <v>0</v>
      </c>
      <c r="O341" s="9" t="n">
        <v>0</v>
      </c>
      <c r="Q341" s="9" t="n">
        <v>0</v>
      </c>
      <c r="S341" s="9" t="n">
        <v>0</v>
      </c>
      <c r="U341" s="9" t="n">
        <v>0</v>
      </c>
      <c r="W341" s="9" t="n">
        <v>0</v>
      </c>
      <c r="Y341" s="9" t="n">
        <v>0</v>
      </c>
      <c r="AA341" s="9" t="n">
        <v>0</v>
      </c>
      <c r="AC341" s="9" t="n">
        <v>0</v>
      </c>
      <c r="AE341" s="9" t="n">
        <v>0</v>
      </c>
    </row>
    <row r="342">
      <c r="A342" s="9" t="inlineStr">
        <is>
          <t>WOVEN BAG (8102) - SKY BLUE 50KG</t>
        </is>
      </c>
      <c r="C342" s="9" t="n">
        <v>0</v>
      </c>
      <c r="E342" s="9" t="n">
        <v>0</v>
      </c>
      <c r="G342" s="9" t="n">
        <v>0</v>
      </c>
      <c r="I342" s="9" t="n">
        <v>0</v>
      </c>
      <c r="K342" s="9" t="n">
        <v>0</v>
      </c>
      <c r="M342" s="9" t="n">
        <v>0</v>
      </c>
      <c r="O342" s="9" t="n">
        <v>0</v>
      </c>
      <c r="Q342" s="9" t="n">
        <v>0</v>
      </c>
      <c r="S342" s="9" t="n">
        <v>0</v>
      </c>
      <c r="U342" s="9" t="n">
        <v>0</v>
      </c>
      <c r="W342" s="9" t="n">
        <v>0</v>
      </c>
      <c r="Y342" s="9" t="n">
        <v>0</v>
      </c>
      <c r="AA342" s="9" t="n">
        <v>0</v>
      </c>
      <c r="AC342" s="9" t="n">
        <v>0</v>
      </c>
      <c r="AE342" s="9" t="n">
        <v>0</v>
      </c>
    </row>
    <row r="343">
      <c r="A343" s="9" t="inlineStr">
        <is>
          <t>WOVEN BAG (8103) - BROWN 50KG</t>
        </is>
      </c>
      <c r="C343" s="9" t="n">
        <v>0</v>
      </c>
      <c r="E343" s="9" t="n">
        <v>0</v>
      </c>
      <c r="G343" s="9" t="n">
        <v>0</v>
      </c>
      <c r="I343" s="9" t="n">
        <v>0</v>
      </c>
      <c r="K343" s="9" t="n">
        <v>0</v>
      </c>
      <c r="M343" s="9" t="n">
        <v>0</v>
      </c>
      <c r="O343" s="9" t="n">
        <v>0</v>
      </c>
      <c r="Q343" s="9" t="n">
        <v>0</v>
      </c>
      <c r="S343" s="9" t="n">
        <v>0</v>
      </c>
      <c r="U343" s="9" t="n">
        <v>0</v>
      </c>
      <c r="W343" s="9" t="n">
        <v>0</v>
      </c>
      <c r="Y343" s="9" t="n">
        <v>0</v>
      </c>
      <c r="AA343" s="9" t="n">
        <v>0</v>
      </c>
      <c r="AC343" s="9" t="n">
        <v>0</v>
      </c>
      <c r="AE343" s="9" t="n">
        <v>0</v>
      </c>
    </row>
    <row r="344">
      <c r="A344" s="9" t="n">
        <v>1</v>
      </c>
      <c r="C344" s="9" t="n">
        <v>0</v>
      </c>
      <c r="E344" s="9" t="n">
        <v>0</v>
      </c>
      <c r="G344" s="9" t="n">
        <v>0</v>
      </c>
      <c r="I344" s="9" t="n">
        <v>0</v>
      </c>
      <c r="K344" s="9" t="n">
        <v>0</v>
      </c>
      <c r="M344" s="9" t="n">
        <v>0</v>
      </c>
      <c r="O344" s="9" t="n">
        <v>0</v>
      </c>
      <c r="Q344" s="9" t="n">
        <v>0</v>
      </c>
      <c r="S344" s="9" t="n">
        <v>0</v>
      </c>
      <c r="U344" s="9" t="n">
        <v>0</v>
      </c>
      <c r="W344" s="9" t="n">
        <v>0</v>
      </c>
      <c r="Y344" s="9" t="n">
        <v>0</v>
      </c>
      <c r="AA344" s="9" t="n">
        <v>0</v>
      </c>
      <c r="AC344" s="9" t="n">
        <v>0</v>
      </c>
      <c r="AE344" s="9" t="n">
        <v>0</v>
      </c>
    </row>
    <row r="345">
      <c r="A345" s="9" t="n">
        <v>2</v>
      </c>
      <c r="C345" s="9" t="n">
        <v>0</v>
      </c>
      <c r="E345" s="9" t="n">
        <v>0</v>
      </c>
      <c r="G345" s="9" t="n">
        <v>0</v>
      </c>
      <c r="I345" s="9" t="n">
        <v>0</v>
      </c>
      <c r="K345" s="9" t="n">
        <v>0</v>
      </c>
      <c r="M345" s="9" t="n">
        <v>0</v>
      </c>
      <c r="O345" s="9" t="n">
        <v>0</v>
      </c>
      <c r="Q345" s="9" t="n">
        <v>0</v>
      </c>
      <c r="S345" s="9" t="n">
        <v>0</v>
      </c>
      <c r="U345" s="9" t="n">
        <v>0</v>
      </c>
      <c r="W345" s="9" t="n">
        <v>0</v>
      </c>
      <c r="Y345" s="9" t="n">
        <v>0</v>
      </c>
      <c r="AA345" s="9" t="n">
        <v>0</v>
      </c>
      <c r="AC345" s="9" t="n">
        <v>0</v>
      </c>
      <c r="AE345" s="9" t="n">
        <v>0</v>
      </c>
    </row>
    <row r="346">
      <c r="A346" s="9" t="n">
        <v>3</v>
      </c>
      <c r="C346" s="9" t="n">
        <v>0</v>
      </c>
      <c r="E346" s="9" t="n">
        <v>0</v>
      </c>
      <c r="G346" s="9" t="n">
        <v>0</v>
      </c>
      <c r="I346" s="9" t="n">
        <v>0</v>
      </c>
      <c r="K346" s="9" t="n">
        <v>0</v>
      </c>
      <c r="M346" s="9" t="n">
        <v>0</v>
      </c>
      <c r="O346" s="9" t="n">
        <v>0</v>
      </c>
      <c r="Q346" s="9" t="n">
        <v>0</v>
      </c>
      <c r="S346" s="9" t="n">
        <v>0</v>
      </c>
      <c r="U346" s="9" t="n">
        <v>0</v>
      </c>
      <c r="W346" s="9" t="n">
        <v>0</v>
      </c>
      <c r="Y346" s="9" t="n">
        <v>0</v>
      </c>
      <c r="AA346" s="9" t="n">
        <v>0</v>
      </c>
      <c r="AC346" s="9" t="n">
        <v>0</v>
      </c>
      <c r="AE346" s="9" t="n">
        <v>0</v>
      </c>
    </row>
    <row r="347">
      <c r="A347" s="9" t="n">
        <v>4</v>
      </c>
      <c r="C347" s="9" t="n">
        <v>0</v>
      </c>
      <c r="E347" s="9" t="n">
        <v>0</v>
      </c>
      <c r="G347" s="9" t="n">
        <v>0</v>
      </c>
      <c r="I347" s="9" t="n">
        <v>0</v>
      </c>
      <c r="K347" s="9" t="n">
        <v>0</v>
      </c>
      <c r="M347" s="9" t="n">
        <v>0</v>
      </c>
      <c r="O347" s="9" t="n">
        <v>0</v>
      </c>
      <c r="Q347" s="9" t="n">
        <v>0</v>
      </c>
      <c r="S347" s="9" t="n">
        <v>0</v>
      </c>
      <c r="U347" s="9" t="n">
        <v>0</v>
      </c>
      <c r="W347" s="9" t="n">
        <v>0</v>
      </c>
      <c r="Y347" s="9" t="n">
        <v>0</v>
      </c>
      <c r="AA347" s="9" t="n">
        <v>0</v>
      </c>
      <c r="AC347" s="9" t="n">
        <v>0</v>
      </c>
      <c r="AE347" s="9" t="n">
        <v>0</v>
      </c>
    </row>
    <row r="348">
      <c r="A348" s="9" t="n">
        <v>5</v>
      </c>
      <c r="C348" s="9" t="n">
        <v>0</v>
      </c>
      <c r="E348" s="9" t="n">
        <v>0</v>
      </c>
      <c r="G348" s="9" t="n">
        <v>0</v>
      </c>
      <c r="I348" s="9" t="n">
        <v>0</v>
      </c>
      <c r="K348" s="9" t="n">
        <v>0</v>
      </c>
      <c r="M348" s="9" t="n">
        <v>0</v>
      </c>
      <c r="O348" s="9" t="n">
        <v>0</v>
      </c>
      <c r="Q348" s="9" t="n">
        <v>0</v>
      </c>
      <c r="S348" s="9" t="n">
        <v>0</v>
      </c>
      <c r="U348" s="9" t="n">
        <v>0</v>
      </c>
      <c r="W348" s="9" t="n">
        <v>0</v>
      </c>
      <c r="Y348" s="9" t="n">
        <v>0</v>
      </c>
      <c r="AA348" s="9" t="n">
        <v>0</v>
      </c>
      <c r="AC348" s="9" t="n">
        <v>0</v>
      </c>
      <c r="AE348" s="9" t="n">
        <v>0</v>
      </c>
    </row>
    <row r="349">
      <c r="A349" s="9" t="n">
        <v>6</v>
      </c>
      <c r="C349" s="9" t="n">
        <v>0</v>
      </c>
      <c r="E349" s="9" t="n">
        <v>0</v>
      </c>
      <c r="G349" s="9" t="n">
        <v>0</v>
      </c>
      <c r="I349" s="9" t="n">
        <v>0</v>
      </c>
      <c r="K349" s="9" t="n">
        <v>0</v>
      </c>
      <c r="M349" s="9" t="n">
        <v>0</v>
      </c>
      <c r="O349" s="9" t="n">
        <v>0</v>
      </c>
      <c r="Q349" s="9" t="n">
        <v>0</v>
      </c>
      <c r="S349" s="9" t="n">
        <v>0</v>
      </c>
      <c r="U349" s="9" t="n">
        <v>0</v>
      </c>
      <c r="W349" s="9" t="n">
        <v>0</v>
      </c>
      <c r="Y349" s="9" t="n">
        <v>0</v>
      </c>
      <c r="AA349" s="9" t="n">
        <v>0</v>
      </c>
      <c r="AC349" s="9" t="n">
        <v>0</v>
      </c>
      <c r="AE349" s="9" t="n">
        <v>0</v>
      </c>
    </row>
    <row r="350">
      <c r="A350" s="9" t="n">
        <v>7</v>
      </c>
      <c r="C350" s="9" t="n">
        <v>0</v>
      </c>
      <c r="E350" s="9" t="n">
        <v>0</v>
      </c>
      <c r="G350" s="9" t="n">
        <v>0</v>
      </c>
      <c r="I350" s="9" t="n">
        <v>0</v>
      </c>
      <c r="K350" s="9" t="n">
        <v>0</v>
      </c>
      <c r="M350" s="9" t="n">
        <v>0</v>
      </c>
      <c r="O350" s="9" t="n">
        <v>0</v>
      </c>
      <c r="Q350" s="9" t="n">
        <v>0</v>
      </c>
      <c r="S350" s="9" t="n">
        <v>0</v>
      </c>
      <c r="U350" s="9" t="n">
        <v>0</v>
      </c>
      <c r="W350" s="9" t="n">
        <v>0</v>
      </c>
      <c r="Y350" s="9" t="n">
        <v>0</v>
      </c>
      <c r="AA350" s="9" t="n">
        <v>0</v>
      </c>
      <c r="AC350" s="9" t="n">
        <v>0</v>
      </c>
      <c r="AE350" s="9" t="n">
        <v>0</v>
      </c>
    </row>
    <row r="351">
      <c r="A351" s="9" t="n">
        <v>8</v>
      </c>
      <c r="C351" s="9" t="n">
        <v>0</v>
      </c>
      <c r="E351" s="9" t="n">
        <v>0</v>
      </c>
      <c r="G351" s="9" t="n">
        <v>0</v>
      </c>
      <c r="I351" s="9" t="n">
        <v>0</v>
      </c>
      <c r="K351" s="9" t="n">
        <v>0</v>
      </c>
      <c r="M351" s="9" t="n">
        <v>0</v>
      </c>
      <c r="O351" s="9" t="n">
        <v>0</v>
      </c>
      <c r="Q351" s="9" t="n">
        <v>0</v>
      </c>
      <c r="S351" s="9" t="n">
        <v>0</v>
      </c>
      <c r="U351" s="9" t="n">
        <v>0</v>
      </c>
      <c r="W351" s="9" t="n">
        <v>0</v>
      </c>
      <c r="Y351" s="9" t="n">
        <v>0</v>
      </c>
      <c r="AA351" s="9" t="n">
        <v>0</v>
      </c>
      <c r="AC351" s="9" t="n">
        <v>0</v>
      </c>
      <c r="AE351" s="9" t="n">
        <v>0</v>
      </c>
    </row>
    <row r="352">
      <c r="A352" s="9" t="inlineStr">
        <is>
          <t>TOTAL</t>
        </is>
      </c>
      <c r="B352" s="9" t="n">
        <v>0</v>
      </c>
      <c r="C352" s="9" t="n">
        <v>0</v>
      </c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9" t="n">
        <v>0</v>
      </c>
      <c r="V352" s="9" t="n">
        <v>0</v>
      </c>
      <c r="W352" s="9" t="n">
        <v>0</v>
      </c>
      <c r="X352" s="9" t="n">
        <v>0</v>
      </c>
      <c r="Y352" s="9" t="n">
        <v>0</v>
      </c>
      <c r="Z352" s="9" t="n">
        <v>0</v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</row>
    <row r="353"/>
    <row r="354">
      <c r="A354" s="9" t="inlineStr">
        <is>
          <t>8100&amp;8101&amp;8102&amp;8103 (BROILER)</t>
        </is>
      </c>
      <c r="B354" s="9" t="n">
        <v>1</v>
      </c>
      <c r="D354" s="9" t="n">
        <v>2</v>
      </c>
      <c r="F354" s="9" t="n">
        <v>3</v>
      </c>
      <c r="H354" s="9" t="n">
        <v>4</v>
      </c>
      <c r="J354" s="9" t="n">
        <v>5</v>
      </c>
      <c r="L354" s="9" t="n">
        <v>6</v>
      </c>
      <c r="N354" s="9" t="n">
        <v>7</v>
      </c>
      <c r="P354" s="9" t="n">
        <v>8</v>
      </c>
      <c r="R354" s="9" t="n">
        <v>9</v>
      </c>
      <c r="T354" s="9" t="n">
        <v>10</v>
      </c>
      <c r="V354" s="9" t="n">
        <v>11</v>
      </c>
      <c r="X354" s="9" t="n">
        <v>12</v>
      </c>
      <c r="Z354" s="9" t="n">
        <v>13</v>
      </c>
      <c r="AB354" s="9" t="n">
        <v>14</v>
      </c>
      <c r="AD354" s="9" t="n">
        <v>15</v>
      </c>
    </row>
    <row r="355">
      <c r="B355" s="9" t="inlineStr">
        <is>
          <t>WS 8100 (290825)</t>
        </is>
      </c>
      <c r="D355" s="9" t="inlineStr">
        <is>
          <t>WS 8100 (280426)</t>
        </is>
      </c>
      <c r="H355" s="9" t="inlineStr">
        <is>
          <t>WS 8102 (290825)</t>
        </is>
      </c>
      <c r="J355" s="9" t="inlineStr">
        <is>
          <t>WS 8102 (121225)</t>
        </is>
      </c>
      <c r="L355" s="9" t="inlineStr">
        <is>
          <t>WS 8102 (020326)</t>
        </is>
      </c>
      <c r="N355" s="9" t="inlineStr">
        <is>
          <t>WS 8102 (020326)</t>
        </is>
      </c>
      <c r="P355" s="9" t="inlineStr">
        <is>
          <t>WS 8102 (060526)</t>
        </is>
      </c>
      <c r="R355" s="9" t="inlineStr">
        <is>
          <t>WS 8102 (060526)</t>
        </is>
      </c>
      <c r="T355" s="9" t="inlineStr">
        <is>
          <t>WS 8103 (070526)</t>
        </is>
      </c>
      <c r="V355" s="9" t="inlineStr">
        <is>
          <t>WS 8102 (070526)</t>
        </is>
      </c>
      <c r="X355" s="9" t="inlineStr">
        <is>
          <t>WS 8103 (061125)</t>
        </is>
      </c>
      <c r="Z355" s="9" t="inlineStr">
        <is>
          <t>WS 8103 (250226)</t>
        </is>
      </c>
      <c r="AB355" s="9" t="inlineStr">
        <is>
          <t>WS 8102 (080526)</t>
        </is>
      </c>
      <c r="AD355" s="9" t="inlineStr">
        <is>
          <t>WS 8109 (080526)</t>
        </is>
      </c>
    </row>
    <row r="356">
      <c r="B356" s="9" t="inlineStr">
        <is>
          <t>NR 14-04</t>
        </is>
      </c>
      <c r="H356" s="9" t="inlineStr">
        <is>
          <t>NR 24-04Z</t>
        </is>
      </c>
      <c r="J356" s="9" t="inlineStr">
        <is>
          <t>WITH BMD</t>
        </is>
      </c>
      <c r="L356" s="9" t="inlineStr">
        <is>
          <t>8102 Top Up&amp;PM 8108</t>
        </is>
      </c>
      <c r="N356" s="9" t="inlineStr">
        <is>
          <t>8102 Top Up&amp;PM 8102</t>
        </is>
      </c>
      <c r="P356" s="9" t="inlineStr">
        <is>
          <t>8102 Top Up&amp;PM 8102</t>
        </is>
      </c>
      <c r="R356" s="9" t="inlineStr">
        <is>
          <t>8102 Top Up&amp;PM 8108</t>
        </is>
      </c>
      <c r="T356" s="9" t="inlineStr">
        <is>
          <t>8103 Top Up&amp;PM 8103</t>
        </is>
      </c>
      <c r="V356" s="9" t="inlineStr">
        <is>
          <t>8103 Top Up&amp;PM 8109</t>
        </is>
      </c>
      <c r="X356" s="9" t="inlineStr">
        <is>
          <t xml:space="preserve">NR 34-04 </t>
        </is>
      </c>
      <c r="Z356" s="9" t="inlineStr">
        <is>
          <t xml:space="preserve">NR 34-04 </t>
        </is>
      </c>
      <c r="AB356" s="9" t="inlineStr">
        <is>
          <t>8102 TOP UP</t>
        </is>
      </c>
      <c r="AD356" s="9" t="inlineStr">
        <is>
          <t>8103 TOP UP</t>
        </is>
      </c>
    </row>
    <row r="357">
      <c r="B357" s="9" t="inlineStr">
        <is>
          <t>%</t>
        </is>
      </c>
      <c r="C357" s="9" t="inlineStr">
        <is>
          <t>BATCH</t>
        </is>
      </c>
      <c r="D357" s="9" t="inlineStr">
        <is>
          <t>%</t>
        </is>
      </c>
      <c r="E357" s="9" t="inlineStr">
        <is>
          <t>BATCH</t>
        </is>
      </c>
      <c r="F357" s="9" t="inlineStr">
        <is>
          <t>%</t>
        </is>
      </c>
      <c r="G357" s="9" t="inlineStr">
        <is>
          <t>BATCH</t>
        </is>
      </c>
      <c r="H357" s="9" t="inlineStr">
        <is>
          <t>%</t>
        </is>
      </c>
      <c r="I357" s="9" t="inlineStr">
        <is>
          <t>BATCH</t>
        </is>
      </c>
      <c r="J357" s="9" t="inlineStr">
        <is>
          <t>%</t>
        </is>
      </c>
      <c r="K357" s="9" t="inlineStr">
        <is>
          <t>BATCH</t>
        </is>
      </c>
      <c r="L357" s="9" t="inlineStr">
        <is>
          <t>%</t>
        </is>
      </c>
      <c r="M357" s="9" t="inlineStr">
        <is>
          <t>BATCH</t>
        </is>
      </c>
      <c r="N357" s="9" t="inlineStr">
        <is>
          <t>%</t>
        </is>
      </c>
      <c r="O357" s="9" t="inlineStr">
        <is>
          <t>BATCH</t>
        </is>
      </c>
      <c r="P357" s="9" t="inlineStr">
        <is>
          <t>%</t>
        </is>
      </c>
      <c r="Q357" s="9" t="inlineStr">
        <is>
          <t>BATCH</t>
        </is>
      </c>
      <c r="R357" s="9" t="inlineStr">
        <is>
          <t>%</t>
        </is>
      </c>
      <c r="S357" s="9" t="inlineStr">
        <is>
          <t>BATCH</t>
        </is>
      </c>
      <c r="T357" s="9" t="inlineStr">
        <is>
          <t>%</t>
        </is>
      </c>
      <c r="U357" s="9" t="inlineStr">
        <is>
          <t>BATCH</t>
        </is>
      </c>
      <c r="V357" s="9" t="inlineStr">
        <is>
          <t>%</t>
        </is>
      </c>
      <c r="W357" s="9" t="inlineStr">
        <is>
          <t>BATCH</t>
        </is>
      </c>
      <c r="X357" s="9" t="inlineStr">
        <is>
          <t>%</t>
        </is>
      </c>
      <c r="Y357" s="9" t="inlineStr">
        <is>
          <t>BATCH</t>
        </is>
      </c>
      <c r="Z357" s="9" t="inlineStr">
        <is>
          <t>%</t>
        </is>
      </c>
      <c r="AA357" s="9" t="inlineStr">
        <is>
          <t>BATCH</t>
        </is>
      </c>
      <c r="AB357" s="9" t="inlineStr">
        <is>
          <t>%</t>
        </is>
      </c>
      <c r="AC357" s="9" t="inlineStr">
        <is>
          <t>BATCH</t>
        </is>
      </c>
      <c r="AD357" s="9" t="inlineStr">
        <is>
          <t>%</t>
        </is>
      </c>
      <c r="AE357" s="9" t="inlineStr">
        <is>
          <t>BATCH</t>
        </is>
      </c>
    </row>
    <row r="358">
      <c r="A358" s="9" t="inlineStr">
        <is>
          <t>MAIZE/CORN</t>
        </is>
      </c>
      <c r="B358" s="9" t="n">
        <v>53.91</v>
      </c>
      <c r="C358" s="9" t="n">
        <v>539.1</v>
      </c>
      <c r="D358" s="9" t="n">
        <v>53.83200000000001</v>
      </c>
      <c r="E358" s="9" t="n">
        <v>538.3200000000002</v>
      </c>
      <c r="G358" s="9" t="n">
        <v>0</v>
      </c>
      <c r="H358" s="9" t="n">
        <v>53.75</v>
      </c>
      <c r="I358" s="9" t="n">
        <v>537.5</v>
      </c>
      <c r="J358" s="9" t="n">
        <v>53.65</v>
      </c>
      <c r="K358" s="9" t="n">
        <v>536.5</v>
      </c>
      <c r="L358" s="9" t="n">
        <v>50.638</v>
      </c>
      <c r="M358" s="9" t="n">
        <v>506.3799999999999</v>
      </c>
      <c r="N358" s="9" t="n">
        <v>50.638</v>
      </c>
      <c r="O358" s="9" t="n">
        <v>506.3799999999999</v>
      </c>
      <c r="P358" s="9" t="n">
        <v>55.638</v>
      </c>
      <c r="Q358" s="9" t="n">
        <v>556.38</v>
      </c>
      <c r="R358" s="9" t="n">
        <v>55.638</v>
      </c>
      <c r="S358" s="9" t="n">
        <v>556.38</v>
      </c>
      <c r="T358" s="9" t="n">
        <v>55.788</v>
      </c>
      <c r="U358" s="9" t="n">
        <v>557.8799999999999</v>
      </c>
      <c r="V358" s="9" t="n">
        <v>55.788</v>
      </c>
      <c r="W358" s="9" t="n">
        <v>557.8799999999999</v>
      </c>
      <c r="X358" s="9" t="n">
        <v>62.025</v>
      </c>
      <c r="Y358" s="9" t="n">
        <v>620.25</v>
      </c>
      <c r="Z358" s="9" t="n">
        <v>62.05</v>
      </c>
      <c r="AA358" s="9" t="n">
        <v>620.4999999999999</v>
      </c>
      <c r="AB358" s="9" t="n">
        <v>55.538</v>
      </c>
      <c r="AC358" s="9" t="n">
        <v>555.38</v>
      </c>
      <c r="AD358" s="9" t="n">
        <v>55.588</v>
      </c>
      <c r="AE358" s="9" t="n">
        <v>555.88</v>
      </c>
    </row>
    <row r="359">
      <c r="A359" s="9" t="inlineStr">
        <is>
          <t>SOYBEAN MEAL (ARG)</t>
        </is>
      </c>
      <c r="B359" s="9" t="n">
        <v>30.2</v>
      </c>
      <c r="C359" s="9" t="n">
        <v>302</v>
      </c>
      <c r="D359" s="9" t="n">
        <v>28.56</v>
      </c>
      <c r="E359" s="9" t="n">
        <v>285.6</v>
      </c>
      <c r="G359" s="9" t="n">
        <v>0</v>
      </c>
      <c r="H359" s="9" t="n">
        <v>27.9</v>
      </c>
      <c r="I359" s="9" t="n">
        <v>278.9999999999999</v>
      </c>
      <c r="J359" s="9" t="n">
        <v>27.9</v>
      </c>
      <c r="K359" s="9" t="n">
        <v>278.9999999999999</v>
      </c>
      <c r="L359" s="9" t="n">
        <v>31.72</v>
      </c>
      <c r="M359" s="9" t="n">
        <v>317.2</v>
      </c>
      <c r="N359" s="9" t="n">
        <v>31.72</v>
      </c>
      <c r="O359" s="9" t="n">
        <v>317.2</v>
      </c>
      <c r="P359" s="9" t="n">
        <v>31.72</v>
      </c>
      <c r="Q359" s="9" t="n">
        <v>317.2</v>
      </c>
      <c r="R359" s="9" t="n">
        <v>31.72</v>
      </c>
      <c r="S359" s="9" t="n">
        <v>317.2</v>
      </c>
      <c r="T359" s="9" t="n">
        <v>31.72</v>
      </c>
      <c r="U359" s="9" t="n">
        <v>317.2</v>
      </c>
      <c r="V359" s="9" t="n">
        <v>31.72</v>
      </c>
      <c r="W359" s="9" t="n">
        <v>317.2</v>
      </c>
      <c r="X359" s="9" t="n">
        <v>20.175</v>
      </c>
      <c r="Y359" s="9" t="n">
        <v>201.75</v>
      </c>
      <c r="Z359" s="9" t="n">
        <v>20.15</v>
      </c>
      <c r="AA359" s="9" t="n">
        <v>201.5</v>
      </c>
      <c r="AB359" s="9" t="n">
        <v>31.72</v>
      </c>
      <c r="AC359" s="9" t="n">
        <v>317.2</v>
      </c>
      <c r="AD359" s="9" t="n">
        <v>31.72</v>
      </c>
      <c r="AE359" s="9" t="n">
        <v>317.2</v>
      </c>
    </row>
    <row r="360">
      <c r="A360" s="9" t="inlineStr">
        <is>
          <t>SOYBEAN FULL FAT</t>
        </is>
      </c>
      <c r="B360" s="9" t="n">
        <v>5</v>
      </c>
      <c r="C360" s="9" t="n">
        <v>50</v>
      </c>
      <c r="D360" s="9" t="n">
        <v>5</v>
      </c>
      <c r="E360" s="9" t="n">
        <v>50</v>
      </c>
      <c r="G360" s="9" t="n">
        <v>0</v>
      </c>
      <c r="H360" s="9" t="n">
        <v>5</v>
      </c>
      <c r="I360" s="9" t="n">
        <v>50</v>
      </c>
      <c r="J360" s="9" t="n">
        <v>5</v>
      </c>
      <c r="K360" s="9" t="n">
        <v>50</v>
      </c>
      <c r="L360" s="9" t="n">
        <v>5</v>
      </c>
      <c r="M360" s="9" t="n">
        <v>50</v>
      </c>
      <c r="N360" s="9" t="n">
        <v>5</v>
      </c>
      <c r="O360" s="9" t="n">
        <v>50</v>
      </c>
      <c r="P360" s="9" t="n">
        <v>5</v>
      </c>
      <c r="Q360" s="9" t="n">
        <v>50</v>
      </c>
      <c r="R360" s="9" t="n">
        <v>5</v>
      </c>
      <c r="S360" s="9" t="n">
        <v>50</v>
      </c>
      <c r="T360" s="9" t="n">
        <v>5</v>
      </c>
      <c r="U360" s="9" t="n">
        <v>50</v>
      </c>
      <c r="V360" s="9" t="n">
        <v>5</v>
      </c>
      <c r="W360" s="9" t="n">
        <v>50</v>
      </c>
      <c r="X360" s="9" t="n">
        <v>4.5</v>
      </c>
      <c r="Y360" s="9" t="n">
        <v>45</v>
      </c>
      <c r="Z360" s="9" t="n">
        <v>4.5</v>
      </c>
      <c r="AA360" s="9" t="n">
        <v>45</v>
      </c>
      <c r="AB360" s="9" t="n">
        <v>5</v>
      </c>
      <c r="AC360" s="9" t="n">
        <v>50</v>
      </c>
      <c r="AD360" s="9" t="n">
        <v>5</v>
      </c>
      <c r="AE360" s="9" t="n">
        <v>50</v>
      </c>
    </row>
    <row r="361">
      <c r="A361" s="9" t="inlineStr">
        <is>
          <t>WHEAT POLLARD</t>
        </is>
      </c>
      <c r="B361" s="9" t="n">
        <v>2.5</v>
      </c>
      <c r="C361" s="9" t="n">
        <v>25</v>
      </c>
      <c r="E361" s="9" t="n">
        <v>0</v>
      </c>
      <c r="G361" s="9" t="n">
        <v>0</v>
      </c>
      <c r="H361" s="9" t="n">
        <v>5</v>
      </c>
      <c r="I361" s="9" t="n">
        <v>50</v>
      </c>
      <c r="J361" s="9" t="n">
        <v>5</v>
      </c>
      <c r="K361" s="9" t="n">
        <v>50</v>
      </c>
      <c r="L361" s="9" t="n">
        <v>5</v>
      </c>
      <c r="M361" s="9" t="n">
        <v>50</v>
      </c>
      <c r="N361" s="9" t="n">
        <v>5</v>
      </c>
      <c r="O361" s="9" t="n">
        <v>50</v>
      </c>
      <c r="Q361" s="9" t="n">
        <v>0</v>
      </c>
      <c r="S361" s="9" t="n">
        <v>0</v>
      </c>
      <c r="U361" s="9" t="n">
        <v>0</v>
      </c>
      <c r="W361" s="9" t="n">
        <v>0</v>
      </c>
      <c r="X361" s="9" t="n">
        <v>2</v>
      </c>
      <c r="Y361" s="9" t="n">
        <v>20</v>
      </c>
      <c r="Z361" s="9" t="n">
        <v>2</v>
      </c>
      <c r="AA361" s="9" t="n">
        <v>20</v>
      </c>
      <c r="AC361" s="9" t="n">
        <v>0</v>
      </c>
      <c r="AE361" s="9" t="n">
        <v>0</v>
      </c>
    </row>
    <row r="362">
      <c r="A362" s="9" t="inlineStr">
        <is>
          <t>WHEAT</t>
        </is>
      </c>
      <c r="C362" s="9" t="n">
        <v>0</v>
      </c>
      <c r="E362" s="9" t="n">
        <v>0</v>
      </c>
      <c r="G362" s="9" t="n">
        <v>0</v>
      </c>
      <c r="I362" s="9" t="n">
        <v>0</v>
      </c>
      <c r="K362" s="9" t="n">
        <v>0</v>
      </c>
      <c r="M362" s="9" t="n">
        <v>0</v>
      </c>
      <c r="O362" s="9" t="n">
        <v>0</v>
      </c>
      <c r="Q362" s="9" t="n">
        <v>0</v>
      </c>
      <c r="S362" s="9" t="n">
        <v>0</v>
      </c>
      <c r="U362" s="9" t="n">
        <v>0</v>
      </c>
      <c r="W362" s="9" t="n">
        <v>0</v>
      </c>
      <c r="Y362" s="9" t="n">
        <v>0</v>
      </c>
      <c r="AA362" s="9" t="n">
        <v>0</v>
      </c>
      <c r="AC362" s="9" t="n">
        <v>0</v>
      </c>
      <c r="AE362" s="9" t="n">
        <v>0</v>
      </c>
    </row>
    <row r="363">
      <c r="A363" s="9" t="inlineStr">
        <is>
          <t>MEAT AND BONE MEAL</t>
        </is>
      </c>
      <c r="B363" s="9" t="n">
        <v>2</v>
      </c>
      <c r="C363" s="9" t="n">
        <v>20</v>
      </c>
      <c r="D363" s="9" t="n">
        <v>2</v>
      </c>
      <c r="E363" s="9" t="n">
        <v>20</v>
      </c>
      <c r="G363" s="9" t="n">
        <v>0</v>
      </c>
      <c r="H363" s="9" t="n">
        <v>2</v>
      </c>
      <c r="I363" s="9" t="n">
        <v>20</v>
      </c>
      <c r="J363" s="9" t="n">
        <v>2</v>
      </c>
      <c r="K363" s="9" t="n">
        <v>20</v>
      </c>
      <c r="M363" s="9" t="n">
        <v>0</v>
      </c>
      <c r="O363" s="9" t="n">
        <v>0</v>
      </c>
      <c r="Q363" s="9" t="n">
        <v>0</v>
      </c>
      <c r="S363" s="9" t="n">
        <v>0</v>
      </c>
      <c r="U363" s="9" t="n">
        <v>0</v>
      </c>
      <c r="W363" s="9" t="n">
        <v>0</v>
      </c>
      <c r="X363" s="9" t="n">
        <v>2</v>
      </c>
      <c r="Y363" s="9" t="n">
        <v>20</v>
      </c>
      <c r="Z363" s="9" t="n">
        <v>2</v>
      </c>
      <c r="AA363" s="9" t="n">
        <v>20</v>
      </c>
      <c r="AC363" s="9" t="n">
        <v>0</v>
      </c>
      <c r="AE363" s="9" t="n">
        <v>0</v>
      </c>
    </row>
    <row r="364">
      <c r="A364" s="9" t="inlineStr">
        <is>
          <t>CORN GLUTEN MEAL</t>
        </is>
      </c>
      <c r="B364" s="9" t="n">
        <v>2</v>
      </c>
      <c r="C364" s="9" t="n">
        <v>20</v>
      </c>
      <c r="D364" s="9" t="n">
        <v>1.5</v>
      </c>
      <c r="E364" s="9" t="n">
        <v>15</v>
      </c>
      <c r="G364" s="9" t="n">
        <v>0</v>
      </c>
      <c r="H364" s="9" t="n">
        <v>2</v>
      </c>
      <c r="I364" s="9" t="n">
        <v>20</v>
      </c>
      <c r="J364" s="9" t="n">
        <v>2</v>
      </c>
      <c r="K364" s="9" t="n">
        <v>20</v>
      </c>
      <c r="L364" s="9" t="n">
        <v>1.95</v>
      </c>
      <c r="M364" s="9" t="n">
        <v>19.5</v>
      </c>
      <c r="N364" s="9" t="n">
        <v>1.95</v>
      </c>
      <c r="O364" s="9" t="n">
        <v>19.5</v>
      </c>
      <c r="P364" s="9" t="n">
        <v>1.95</v>
      </c>
      <c r="Q364" s="9" t="n">
        <v>19.5</v>
      </c>
      <c r="R364" s="9" t="n">
        <v>1.95</v>
      </c>
      <c r="S364" s="9" t="n">
        <v>19.5</v>
      </c>
      <c r="T364" s="9" t="n">
        <v>1.95</v>
      </c>
      <c r="U364" s="9" t="n">
        <v>19.5</v>
      </c>
      <c r="V364" s="9" t="n">
        <v>1.95</v>
      </c>
      <c r="W364" s="9" t="n">
        <v>19.5</v>
      </c>
      <c r="X364" s="9" t="n">
        <v>2</v>
      </c>
      <c r="Y364" s="9" t="n">
        <v>20</v>
      </c>
      <c r="Z364" s="9" t="n">
        <v>2</v>
      </c>
      <c r="AA364" s="9" t="n">
        <v>20</v>
      </c>
      <c r="AB364" s="9" t="n">
        <v>1.95</v>
      </c>
      <c r="AC364" s="9" t="n">
        <v>19.5</v>
      </c>
      <c r="AD364" s="9" t="n">
        <v>1.95</v>
      </c>
      <c r="AE364" s="9" t="n">
        <v>19.5</v>
      </c>
    </row>
    <row r="365">
      <c r="A365" s="9" t="inlineStr">
        <is>
          <t>MEGAFAT (HARUMI)</t>
        </is>
      </c>
      <c r="B365" s="9" t="n">
        <v>1.3</v>
      </c>
      <c r="C365" s="9" t="n">
        <v>13</v>
      </c>
      <c r="D365" s="9" t="n">
        <v>1</v>
      </c>
      <c r="E365" s="9" t="n">
        <v>10</v>
      </c>
      <c r="G365" s="9" t="n">
        <v>0</v>
      </c>
      <c r="H365" s="9" t="n">
        <v>2</v>
      </c>
      <c r="I365" s="9" t="n">
        <v>20</v>
      </c>
      <c r="J365" s="9" t="n">
        <v>2</v>
      </c>
      <c r="K365" s="9" t="n">
        <v>20</v>
      </c>
      <c r="L365" s="9" t="n">
        <v>2.35</v>
      </c>
      <c r="M365" s="9" t="n">
        <v>23.5</v>
      </c>
      <c r="N365" s="9" t="n">
        <v>2.35</v>
      </c>
      <c r="O365" s="9" t="n">
        <v>23.5</v>
      </c>
      <c r="P365" s="9" t="n">
        <v>2.35</v>
      </c>
      <c r="Q365" s="9" t="n">
        <v>23.5</v>
      </c>
      <c r="R365" s="9" t="n">
        <v>2.35</v>
      </c>
      <c r="S365" s="9" t="n">
        <v>23.5</v>
      </c>
      <c r="T365" s="9" t="n">
        <v>2.35</v>
      </c>
      <c r="U365" s="9" t="n">
        <v>23.5</v>
      </c>
      <c r="V365" s="9" t="n">
        <v>2.35</v>
      </c>
      <c r="W365" s="9" t="n">
        <v>23.5</v>
      </c>
      <c r="X365" s="9" t="n">
        <v>1.5</v>
      </c>
      <c r="Y365" s="9" t="n">
        <v>15</v>
      </c>
      <c r="Z365" s="9" t="n">
        <v>1.5</v>
      </c>
      <c r="AA365" s="9" t="n">
        <v>15</v>
      </c>
      <c r="AB365" s="9" t="n">
        <v>2.35</v>
      </c>
      <c r="AC365" s="9" t="n">
        <v>23.5</v>
      </c>
      <c r="AD365" s="9" t="n">
        <v>2.35</v>
      </c>
      <c r="AE365" s="9" t="n">
        <v>23.5</v>
      </c>
    </row>
    <row r="366">
      <c r="A366" s="9" t="inlineStr">
        <is>
          <t>DCP 18%</t>
        </is>
      </c>
      <c r="B366" s="9" t="n">
        <v>0.15</v>
      </c>
      <c r="C366" s="9" t="n">
        <v>1.5</v>
      </c>
      <c r="D366" s="9" t="n">
        <v>0.15</v>
      </c>
      <c r="E366" s="9" t="n">
        <v>1.5</v>
      </c>
      <c r="G366" s="9" t="n">
        <v>0</v>
      </c>
      <c r="I366" s="9" t="n">
        <v>0</v>
      </c>
      <c r="K366" s="9" t="n">
        <v>0</v>
      </c>
      <c r="M366" s="9" t="n">
        <v>0</v>
      </c>
      <c r="O366" s="9" t="n">
        <v>0</v>
      </c>
      <c r="Q366" s="9" t="n">
        <v>0</v>
      </c>
      <c r="S366" s="9" t="n">
        <v>0</v>
      </c>
      <c r="U366" s="9" t="n">
        <v>0</v>
      </c>
      <c r="W366" s="9" t="n">
        <v>0</v>
      </c>
      <c r="Y366" s="9" t="n">
        <v>0</v>
      </c>
      <c r="AA366" s="9" t="n">
        <v>0</v>
      </c>
      <c r="AC366" s="9" t="n">
        <v>0</v>
      </c>
      <c r="AE366" s="9" t="n">
        <v>0</v>
      </c>
    </row>
    <row r="367">
      <c r="A367" s="9" t="inlineStr">
        <is>
          <t>LIMESTONE POWDER (HARUMI)</t>
        </is>
      </c>
      <c r="B367" s="9" t="n">
        <v>0.5900000000000001</v>
      </c>
      <c r="C367" s="9" t="n">
        <v>5.9</v>
      </c>
      <c r="D367" s="9" t="n">
        <v>0.608</v>
      </c>
      <c r="E367" s="9" t="n">
        <v>6.079999999999999</v>
      </c>
      <c r="G367" s="9" t="n">
        <v>0</v>
      </c>
      <c r="I367" s="9" t="n">
        <v>0</v>
      </c>
      <c r="K367" s="9" t="n">
        <v>0</v>
      </c>
      <c r="L367" s="9" t="n">
        <v>0.642</v>
      </c>
      <c r="M367" s="9" t="n">
        <v>6.42</v>
      </c>
      <c r="N367" s="9" t="n">
        <v>0.642</v>
      </c>
      <c r="O367" s="9" t="n">
        <v>6.42</v>
      </c>
      <c r="P367" s="9" t="n">
        <v>0.642</v>
      </c>
      <c r="Q367" s="9" t="n">
        <v>6.42</v>
      </c>
      <c r="R367" s="9" t="n">
        <v>0.642</v>
      </c>
      <c r="S367" s="9" t="n">
        <v>6.42</v>
      </c>
      <c r="T367" s="9" t="n">
        <v>0.642</v>
      </c>
      <c r="U367" s="9" t="n">
        <v>6.42</v>
      </c>
      <c r="V367" s="9" t="n">
        <v>0.642</v>
      </c>
      <c r="W367" s="9" t="n">
        <v>6.42</v>
      </c>
      <c r="Y367" s="9" t="n">
        <v>0</v>
      </c>
      <c r="AA367" s="9" t="n">
        <v>0</v>
      </c>
      <c r="AB367" s="9" t="n">
        <v>0.642</v>
      </c>
      <c r="AC367" s="9" t="n">
        <v>6.42</v>
      </c>
      <c r="AD367" s="9" t="n">
        <v>0.642</v>
      </c>
      <c r="AE367" s="9" t="n">
        <v>6.42</v>
      </c>
    </row>
    <row r="368">
      <c r="A368" s="9" t="inlineStr">
        <is>
          <t>CHOLINE CHLORIDE 60%</t>
        </is>
      </c>
      <c r="C368" s="9" t="n">
        <v>0</v>
      </c>
      <c r="E368" s="9" t="n">
        <v>0</v>
      </c>
      <c r="G368" s="9" t="n">
        <v>0</v>
      </c>
      <c r="I368" s="9" t="n">
        <v>0</v>
      </c>
      <c r="K368" s="9" t="n">
        <v>0</v>
      </c>
      <c r="M368" s="9" t="n">
        <v>0</v>
      </c>
      <c r="O368" s="9" t="n">
        <v>0</v>
      </c>
      <c r="Q368" s="9" t="n">
        <v>0</v>
      </c>
      <c r="S368" s="9" t="n">
        <v>0</v>
      </c>
      <c r="U368" s="9" t="n">
        <v>0</v>
      </c>
      <c r="W368" s="9" t="n">
        <v>0</v>
      </c>
      <c r="Y368" s="9" t="n">
        <v>0</v>
      </c>
      <c r="AA368" s="9" t="n">
        <v>0</v>
      </c>
      <c r="AC368" s="9" t="n">
        <v>0</v>
      </c>
      <c r="AE368" s="9" t="n">
        <v>0</v>
      </c>
    </row>
    <row r="369">
      <c r="A369" s="9" t="inlineStr">
        <is>
          <t>INDUSTRY FLOUR</t>
        </is>
      </c>
      <c r="C369" s="9" t="n">
        <v>0</v>
      </c>
      <c r="E369" s="9" t="n">
        <v>0</v>
      </c>
      <c r="G369" s="9" t="n">
        <v>0</v>
      </c>
      <c r="I369" s="9" t="n">
        <v>0</v>
      </c>
      <c r="K369" s="9" t="n">
        <v>0</v>
      </c>
      <c r="M369" s="9" t="n">
        <v>0</v>
      </c>
      <c r="O369" s="9" t="n">
        <v>0</v>
      </c>
      <c r="Q369" s="9" t="n">
        <v>0</v>
      </c>
      <c r="S369" s="9" t="n">
        <v>0</v>
      </c>
      <c r="U369" s="9" t="n">
        <v>0</v>
      </c>
      <c r="W369" s="9" t="n">
        <v>0</v>
      </c>
      <c r="Y369" s="9" t="n">
        <v>0</v>
      </c>
      <c r="AA369" s="9" t="n">
        <v>0</v>
      </c>
      <c r="AC369" s="9" t="n">
        <v>0</v>
      </c>
      <c r="AE369" s="9" t="n">
        <v>0</v>
      </c>
    </row>
    <row r="370">
      <c r="A370" s="9" t="inlineStr">
        <is>
          <t>RICE BRAN</t>
        </is>
      </c>
      <c r="C370" s="9" t="n">
        <v>0</v>
      </c>
      <c r="D370" s="9" t="n">
        <v>5</v>
      </c>
      <c r="E370" s="9" t="n">
        <v>50</v>
      </c>
      <c r="G370" s="9" t="n">
        <v>0</v>
      </c>
      <c r="I370" s="9" t="n">
        <v>0</v>
      </c>
      <c r="K370" s="9" t="n">
        <v>0</v>
      </c>
      <c r="M370" s="9" t="n">
        <v>0</v>
      </c>
      <c r="O370" s="9" t="n">
        <v>0</v>
      </c>
      <c r="Q370" s="9" t="n">
        <v>0</v>
      </c>
      <c r="S370" s="9" t="n">
        <v>0</v>
      </c>
      <c r="U370" s="9" t="n">
        <v>0</v>
      </c>
      <c r="W370" s="9" t="n">
        <v>0</v>
      </c>
      <c r="X370" s="9" t="n">
        <v>3.5</v>
      </c>
      <c r="Y370" s="9" t="n">
        <v>35</v>
      </c>
      <c r="Z370" s="9" t="n">
        <v>3.5</v>
      </c>
      <c r="AA370" s="9" t="n">
        <v>35</v>
      </c>
      <c r="AC370" s="9" t="n">
        <v>0</v>
      </c>
      <c r="AE370" s="9" t="n">
        <v>0</v>
      </c>
    </row>
    <row r="371">
      <c r="A371" s="9" t="inlineStr">
        <is>
          <t>EP 200</t>
        </is>
      </c>
      <c r="C371" s="9" t="n">
        <v>0</v>
      </c>
      <c r="E371" s="9" t="n">
        <v>0</v>
      </c>
      <c r="G371" s="9" t="n">
        <v>0</v>
      </c>
      <c r="I371" s="9" t="n">
        <v>0</v>
      </c>
      <c r="K371" s="9" t="n">
        <v>0</v>
      </c>
      <c r="M371" s="9" t="n">
        <v>0</v>
      </c>
      <c r="O371" s="9" t="n">
        <v>0</v>
      </c>
      <c r="Q371" s="9" t="n">
        <v>0</v>
      </c>
      <c r="S371" s="9" t="n">
        <v>0</v>
      </c>
      <c r="U371" s="9" t="n">
        <v>0</v>
      </c>
      <c r="W371" s="9" t="n">
        <v>0</v>
      </c>
      <c r="Y371" s="9" t="n">
        <v>0</v>
      </c>
      <c r="AA371" s="9" t="n">
        <v>0</v>
      </c>
      <c r="AC371" s="9" t="n">
        <v>0</v>
      </c>
      <c r="AE371" s="9" t="n">
        <v>0</v>
      </c>
    </row>
    <row r="372">
      <c r="A372" s="9" t="inlineStr">
        <is>
          <t>SOYTIDE</t>
        </is>
      </c>
      <c r="C372" s="9" t="n">
        <v>0</v>
      </c>
      <c r="E372" s="9" t="n">
        <v>0</v>
      </c>
      <c r="G372" s="9" t="n">
        <v>0</v>
      </c>
      <c r="I372" s="9" t="n">
        <v>0</v>
      </c>
      <c r="K372" s="9" t="n">
        <v>0</v>
      </c>
      <c r="M372" s="9" t="n">
        <v>0</v>
      </c>
      <c r="O372" s="9" t="n">
        <v>0</v>
      </c>
      <c r="Q372" s="9" t="n">
        <v>0</v>
      </c>
      <c r="S372" s="9" t="n">
        <v>0</v>
      </c>
      <c r="U372" s="9" t="n">
        <v>0</v>
      </c>
      <c r="W372" s="9" t="n">
        <v>0</v>
      </c>
      <c r="Y372" s="9" t="n">
        <v>0</v>
      </c>
      <c r="AA372" s="9" t="n">
        <v>0</v>
      </c>
      <c r="AC372" s="9" t="n">
        <v>0</v>
      </c>
      <c r="AE372" s="9" t="n">
        <v>0</v>
      </c>
    </row>
    <row r="373">
      <c r="A373" s="9" t="inlineStr">
        <is>
          <t>DCP 18% (HARUMI)</t>
        </is>
      </c>
      <c r="C373" s="9" t="n">
        <v>0</v>
      </c>
      <c r="E373" s="9" t="n">
        <v>0</v>
      </c>
      <c r="G373" s="9" t="n">
        <v>0</v>
      </c>
      <c r="I373" s="9" t="n">
        <v>0</v>
      </c>
      <c r="K373" s="9" t="n">
        <v>0</v>
      </c>
      <c r="M373" s="9" t="n">
        <v>0</v>
      </c>
      <c r="O373" s="9" t="n">
        <v>0</v>
      </c>
      <c r="Q373" s="9" t="n">
        <v>0</v>
      </c>
      <c r="S373" s="9" t="n">
        <v>0</v>
      </c>
      <c r="U373" s="9" t="n">
        <v>0</v>
      </c>
      <c r="W373" s="9" t="n">
        <v>0</v>
      </c>
      <c r="Y373" s="9" t="n">
        <v>0</v>
      </c>
      <c r="AA373" s="9" t="n">
        <v>0</v>
      </c>
      <c r="AC373" s="9" t="n">
        <v>0</v>
      </c>
      <c r="AE373" s="9" t="n">
        <v>0</v>
      </c>
    </row>
    <row r="374">
      <c r="A374" s="9" t="n">
        <v>1</v>
      </c>
      <c r="C374" s="9" t="n">
        <v>0</v>
      </c>
      <c r="E374" s="9" t="n">
        <v>0</v>
      </c>
      <c r="G374" s="9" t="n">
        <v>0</v>
      </c>
      <c r="I374" s="9" t="n">
        <v>0</v>
      </c>
      <c r="K374" s="9" t="n">
        <v>0</v>
      </c>
      <c r="M374" s="9" t="n">
        <v>0</v>
      </c>
      <c r="O374" s="9" t="n">
        <v>0</v>
      </c>
      <c r="Q374" s="9" t="n">
        <v>0</v>
      </c>
      <c r="S374" s="9" t="n">
        <v>0</v>
      </c>
      <c r="U374" s="9" t="n">
        <v>0</v>
      </c>
      <c r="W374" s="9" t="n">
        <v>0</v>
      </c>
      <c r="Y374" s="9" t="n">
        <v>0</v>
      </c>
      <c r="AA374" s="9" t="n">
        <v>0</v>
      </c>
      <c r="AC374" s="9" t="n">
        <v>0</v>
      </c>
      <c r="AE374" s="9" t="n">
        <v>0</v>
      </c>
    </row>
    <row r="375">
      <c r="A375" s="9" t="n">
        <v>2</v>
      </c>
      <c r="C375" s="9" t="n">
        <v>0</v>
      </c>
      <c r="E375" s="9" t="n">
        <v>0</v>
      </c>
      <c r="G375" s="9" t="n">
        <v>0</v>
      </c>
      <c r="I375" s="9" t="n">
        <v>0</v>
      </c>
      <c r="K375" s="9" t="n">
        <v>0</v>
      </c>
      <c r="M375" s="9" t="n">
        <v>0</v>
      </c>
      <c r="O375" s="9" t="n">
        <v>0</v>
      </c>
      <c r="Q375" s="9" t="n">
        <v>0</v>
      </c>
      <c r="S375" s="9" t="n">
        <v>0</v>
      </c>
      <c r="U375" s="9" t="n">
        <v>0</v>
      </c>
      <c r="W375" s="9" t="n">
        <v>0</v>
      </c>
      <c r="Y375" s="9" t="n">
        <v>0</v>
      </c>
      <c r="AA375" s="9" t="n">
        <v>0</v>
      </c>
      <c r="AC375" s="9" t="n">
        <v>0</v>
      </c>
      <c r="AE375" s="9" t="n">
        <v>0</v>
      </c>
    </row>
    <row r="376">
      <c r="A376" s="9" t="n">
        <v>3</v>
      </c>
      <c r="C376" s="9" t="n">
        <v>0</v>
      </c>
      <c r="E376" s="9" t="n">
        <v>0</v>
      </c>
      <c r="G376" s="9" t="n">
        <v>0</v>
      </c>
      <c r="I376" s="9" t="n">
        <v>0</v>
      </c>
      <c r="K376" s="9" t="n">
        <v>0</v>
      </c>
      <c r="M376" s="9" t="n">
        <v>0</v>
      </c>
      <c r="O376" s="9" t="n">
        <v>0</v>
      </c>
      <c r="Q376" s="9" t="n">
        <v>0</v>
      </c>
      <c r="S376" s="9" t="n">
        <v>0</v>
      </c>
      <c r="U376" s="9" t="n">
        <v>0</v>
      </c>
      <c r="W376" s="9" t="n">
        <v>0</v>
      </c>
      <c r="Y376" s="9" t="n">
        <v>0</v>
      </c>
      <c r="AA376" s="9" t="n">
        <v>0</v>
      </c>
      <c r="AC376" s="9" t="n">
        <v>0</v>
      </c>
      <c r="AE376" s="9" t="n">
        <v>0</v>
      </c>
    </row>
    <row r="377">
      <c r="A377" s="9" t="inlineStr">
        <is>
          <t>PREMIX 1101 (20KG)</t>
        </is>
      </c>
      <c r="C377" s="9" t="n">
        <v>0</v>
      </c>
      <c r="E377" s="9" t="n">
        <v>0</v>
      </c>
      <c r="G377" s="9" t="n">
        <v>0</v>
      </c>
      <c r="I377" s="9" t="n">
        <v>0</v>
      </c>
      <c r="K377" s="9" t="n">
        <v>0</v>
      </c>
      <c r="M377" s="9" t="n">
        <v>0</v>
      </c>
      <c r="O377" s="9" t="n">
        <v>0</v>
      </c>
      <c r="Q377" s="9" t="n">
        <v>0</v>
      </c>
      <c r="S377" s="9" t="n">
        <v>0</v>
      </c>
      <c r="U377" s="9" t="n">
        <v>0</v>
      </c>
      <c r="W377" s="9" t="n">
        <v>0</v>
      </c>
      <c r="Y377" s="9" t="n">
        <v>0</v>
      </c>
      <c r="AA377" s="9" t="n">
        <v>0</v>
      </c>
      <c r="AC377" s="9" t="n">
        <v>0</v>
      </c>
      <c r="AE377" s="9" t="n">
        <v>0</v>
      </c>
    </row>
    <row r="378">
      <c r="A378" s="9" t="inlineStr">
        <is>
          <t>PREMIX 1102 (20KG)</t>
        </is>
      </c>
      <c r="C378" s="9" t="n">
        <v>0</v>
      </c>
      <c r="E378" s="9" t="n">
        <v>0</v>
      </c>
      <c r="G378" s="9" t="n">
        <v>0</v>
      </c>
      <c r="I378" s="9" t="n">
        <v>0</v>
      </c>
      <c r="K378" s="9" t="n">
        <v>0</v>
      </c>
      <c r="M378" s="9" t="n">
        <v>0</v>
      </c>
      <c r="O378" s="9" t="n">
        <v>0</v>
      </c>
      <c r="Q378" s="9" t="n">
        <v>0</v>
      </c>
      <c r="S378" s="9" t="n">
        <v>0</v>
      </c>
      <c r="U378" s="9" t="n">
        <v>0</v>
      </c>
      <c r="W378" s="9" t="n">
        <v>0</v>
      </c>
      <c r="Y378" s="9" t="n">
        <v>0</v>
      </c>
      <c r="AA378" s="9" t="n">
        <v>0</v>
      </c>
      <c r="AC378" s="9" t="n">
        <v>0</v>
      </c>
      <c r="AE378" s="9" t="n">
        <v>0</v>
      </c>
    </row>
    <row r="379">
      <c r="A379" s="9" t="inlineStr">
        <is>
          <t>PREMIX 1103 (20KG)</t>
        </is>
      </c>
      <c r="C379" s="9" t="n">
        <v>0</v>
      </c>
      <c r="E379" s="9" t="n">
        <v>0</v>
      </c>
      <c r="G379" s="9" t="n">
        <v>0</v>
      </c>
      <c r="I379" s="9" t="n">
        <v>0</v>
      </c>
      <c r="K379" s="9" t="n">
        <v>0</v>
      </c>
      <c r="M379" s="9" t="n">
        <v>0</v>
      </c>
      <c r="O379" s="9" t="n">
        <v>0</v>
      </c>
      <c r="Q379" s="9" t="n">
        <v>0</v>
      </c>
      <c r="S379" s="9" t="n">
        <v>0</v>
      </c>
      <c r="U379" s="9" t="n">
        <v>0</v>
      </c>
      <c r="W379" s="9" t="n">
        <v>0</v>
      </c>
      <c r="Y379" s="9" t="n">
        <v>0</v>
      </c>
      <c r="AA379" s="9" t="n">
        <v>0</v>
      </c>
      <c r="AC379" s="9" t="n">
        <v>0</v>
      </c>
      <c r="AE379" s="9" t="n">
        <v>0</v>
      </c>
    </row>
    <row r="380">
      <c r="A380" s="9" t="inlineStr">
        <is>
          <t>PREMIX 311 (20KG)</t>
        </is>
      </c>
      <c r="C380" s="9" t="n">
        <v>0</v>
      </c>
      <c r="E380" s="9" t="n">
        <v>0</v>
      </c>
      <c r="G380" s="9" t="n">
        <v>0</v>
      </c>
      <c r="I380" s="9" t="n">
        <v>0</v>
      </c>
      <c r="K380" s="9" t="n">
        <v>0</v>
      </c>
      <c r="M380" s="9" t="n">
        <v>0</v>
      </c>
      <c r="O380" s="9" t="n">
        <v>0</v>
      </c>
      <c r="Q380" s="9" t="n">
        <v>0</v>
      </c>
      <c r="S380" s="9" t="n">
        <v>0</v>
      </c>
      <c r="U380" s="9" t="n">
        <v>0</v>
      </c>
      <c r="W380" s="9" t="n">
        <v>0</v>
      </c>
      <c r="Y380" s="9" t="n">
        <v>0</v>
      </c>
      <c r="AA380" s="9" t="n">
        <v>0</v>
      </c>
      <c r="AC380" s="9" t="n">
        <v>0</v>
      </c>
      <c r="AE380" s="9" t="n">
        <v>0</v>
      </c>
    </row>
    <row r="381">
      <c r="A381" s="9" t="inlineStr">
        <is>
          <t>PREMIX 312 (20KG)</t>
        </is>
      </c>
      <c r="C381" s="9" t="n">
        <v>0</v>
      </c>
      <c r="E381" s="9" t="n">
        <v>0</v>
      </c>
      <c r="G381" s="9" t="n">
        <v>0</v>
      </c>
      <c r="I381" s="9" t="n">
        <v>0</v>
      </c>
      <c r="K381" s="9" t="n">
        <v>0</v>
      </c>
      <c r="M381" s="9" t="n">
        <v>0</v>
      </c>
      <c r="O381" s="9" t="n">
        <v>0</v>
      </c>
      <c r="Q381" s="9" t="n">
        <v>0</v>
      </c>
      <c r="S381" s="9" t="n">
        <v>0</v>
      </c>
      <c r="U381" s="9" t="n">
        <v>0</v>
      </c>
      <c r="W381" s="9" t="n">
        <v>0</v>
      </c>
      <c r="Y381" s="9" t="n">
        <v>0</v>
      </c>
      <c r="AA381" s="9" t="n">
        <v>0</v>
      </c>
      <c r="AC381" s="9" t="n">
        <v>0</v>
      </c>
      <c r="AE381" s="9" t="n">
        <v>0</v>
      </c>
    </row>
    <row r="382">
      <c r="A382" s="9" t="n">
        <v>1</v>
      </c>
      <c r="C382" s="9" t="n">
        <v>0</v>
      </c>
      <c r="E382" s="9" t="n">
        <v>0</v>
      </c>
      <c r="G382" s="9" t="n">
        <v>0</v>
      </c>
      <c r="I382" s="9" t="n">
        <v>0</v>
      </c>
      <c r="K382" s="9" t="n">
        <v>0</v>
      </c>
      <c r="M382" s="9" t="n">
        <v>0</v>
      </c>
      <c r="O382" s="9" t="n">
        <v>0</v>
      </c>
      <c r="Q382" s="9" t="n">
        <v>0</v>
      </c>
      <c r="S382" s="9" t="n">
        <v>0</v>
      </c>
      <c r="U382" s="9" t="n">
        <v>0</v>
      </c>
      <c r="W382" s="9" t="n">
        <v>0</v>
      </c>
      <c r="Y382" s="9" t="n">
        <v>0</v>
      </c>
      <c r="AA382" s="9" t="n">
        <v>0</v>
      </c>
      <c r="AC382" s="9" t="n">
        <v>0</v>
      </c>
      <c r="AE382" s="9" t="n">
        <v>0</v>
      </c>
    </row>
    <row r="383">
      <c r="A383" s="9" t="inlineStr">
        <is>
          <t>PREMIX 8100 (20KG)</t>
        </is>
      </c>
      <c r="B383" s="9" t="n">
        <v>2</v>
      </c>
      <c r="C383" s="9" t="n">
        <v>20</v>
      </c>
      <c r="D383" s="9" t="n">
        <v>2</v>
      </c>
      <c r="E383" s="9" t="n">
        <v>20</v>
      </c>
      <c r="G383" s="9" t="n">
        <v>0</v>
      </c>
      <c r="I383" s="9" t="n">
        <v>0</v>
      </c>
      <c r="K383" s="9" t="n">
        <v>0</v>
      </c>
      <c r="M383" s="9" t="n">
        <v>0</v>
      </c>
      <c r="O383" s="9" t="n">
        <v>0</v>
      </c>
      <c r="Q383" s="9" t="n">
        <v>0</v>
      </c>
      <c r="S383" s="9" t="n">
        <v>0</v>
      </c>
      <c r="U383" s="9" t="n">
        <v>0</v>
      </c>
      <c r="W383" s="9" t="n">
        <v>0</v>
      </c>
      <c r="Y383" s="9" t="n">
        <v>0</v>
      </c>
      <c r="AA383" s="9" t="n">
        <v>0</v>
      </c>
      <c r="AC383" s="9" t="n">
        <v>0</v>
      </c>
      <c r="AE383" s="9" t="n">
        <v>0</v>
      </c>
    </row>
    <row r="384">
      <c r="A384" s="9" t="inlineStr">
        <is>
          <t>PREMIX 8101 (20KG)</t>
        </is>
      </c>
      <c r="C384" s="9" t="n">
        <v>0</v>
      </c>
      <c r="E384" s="9" t="n">
        <v>0</v>
      </c>
      <c r="G384" s="9" t="n">
        <v>0</v>
      </c>
      <c r="I384" s="9" t="n">
        <v>0</v>
      </c>
      <c r="K384" s="9" t="n">
        <v>0</v>
      </c>
      <c r="M384" s="9" t="n">
        <v>0</v>
      </c>
      <c r="O384" s="9" t="n">
        <v>0</v>
      </c>
      <c r="Q384" s="9" t="n">
        <v>0</v>
      </c>
      <c r="S384" s="9" t="n">
        <v>0</v>
      </c>
      <c r="U384" s="9" t="n">
        <v>0</v>
      </c>
      <c r="W384" s="9" t="n">
        <v>0</v>
      </c>
      <c r="Y384" s="9" t="n">
        <v>0</v>
      </c>
      <c r="AA384" s="9" t="n">
        <v>0</v>
      </c>
      <c r="AC384" s="9" t="n">
        <v>0</v>
      </c>
      <c r="AE384" s="9" t="n">
        <v>0</v>
      </c>
    </row>
    <row r="385">
      <c r="A385" s="9" t="inlineStr">
        <is>
          <t>PREMIX 8102 (20KG)</t>
        </is>
      </c>
      <c r="C385" s="9" t="n">
        <v>0</v>
      </c>
      <c r="E385" s="9" t="n">
        <v>0</v>
      </c>
      <c r="G385" s="9" t="n">
        <v>0</v>
      </c>
      <c r="H385" s="9" t="n">
        <v>2</v>
      </c>
      <c r="I385" s="9" t="n">
        <v>20</v>
      </c>
      <c r="J385" s="9" t="n">
        <v>2</v>
      </c>
      <c r="K385" s="9" t="n">
        <v>20</v>
      </c>
      <c r="M385" s="9" t="n">
        <v>0</v>
      </c>
      <c r="N385" s="9" t="n">
        <v>2</v>
      </c>
      <c r="O385" s="9" t="n">
        <v>20</v>
      </c>
      <c r="P385" s="9" t="n">
        <v>2</v>
      </c>
      <c r="Q385" s="9" t="n">
        <v>20</v>
      </c>
      <c r="S385" s="9" t="n">
        <v>0</v>
      </c>
      <c r="U385" s="9" t="n">
        <v>0</v>
      </c>
      <c r="W385" s="9" t="n">
        <v>0</v>
      </c>
      <c r="Y385" s="9" t="n">
        <v>0</v>
      </c>
      <c r="AA385" s="9" t="n">
        <v>0</v>
      </c>
      <c r="AC385" s="9" t="n">
        <v>0</v>
      </c>
      <c r="AE385" s="9" t="n">
        <v>0</v>
      </c>
    </row>
    <row r="386">
      <c r="A386" s="9" t="inlineStr">
        <is>
          <t>PREMIX 8103 (20KG)</t>
        </is>
      </c>
      <c r="C386" s="9" t="n">
        <v>0</v>
      </c>
      <c r="E386" s="9" t="n">
        <v>0</v>
      </c>
      <c r="G386" s="9" t="n">
        <v>0</v>
      </c>
      <c r="I386" s="9" t="n">
        <v>0</v>
      </c>
      <c r="K386" s="9" t="n">
        <v>0</v>
      </c>
      <c r="M386" s="9" t="n">
        <v>0</v>
      </c>
      <c r="O386" s="9" t="n">
        <v>0</v>
      </c>
      <c r="Q386" s="9" t="n">
        <v>0</v>
      </c>
      <c r="S386" s="9" t="n">
        <v>0</v>
      </c>
      <c r="T386" s="9" t="n">
        <v>2</v>
      </c>
      <c r="U386" s="9" t="n">
        <v>20</v>
      </c>
      <c r="W386" s="9" t="n">
        <v>0</v>
      </c>
      <c r="X386" s="9" t="n">
        <v>2</v>
      </c>
      <c r="Y386" s="9" t="n">
        <v>20</v>
      </c>
      <c r="Z386" s="9" t="n">
        <v>2</v>
      </c>
      <c r="AA386" s="9" t="n">
        <v>20</v>
      </c>
      <c r="AC386" s="9" t="n">
        <v>0</v>
      </c>
      <c r="AE386" s="9" t="n">
        <v>0</v>
      </c>
    </row>
    <row r="387">
      <c r="A387" s="9" t="inlineStr">
        <is>
          <t>PREMIX 8108 (20KG)</t>
        </is>
      </c>
      <c r="C387" s="9" t="n">
        <v>0</v>
      </c>
      <c r="E387" s="9" t="n">
        <v>0</v>
      </c>
      <c r="G387" s="9" t="n">
        <v>0</v>
      </c>
      <c r="I387" s="9" t="n">
        <v>0</v>
      </c>
      <c r="K387" s="9" t="n">
        <v>0</v>
      </c>
      <c r="L387" s="9" t="n">
        <v>2</v>
      </c>
      <c r="M387" s="9" t="n">
        <v>20</v>
      </c>
      <c r="O387" s="9" t="n">
        <v>0</v>
      </c>
      <c r="Q387" s="9" t="n">
        <v>0</v>
      </c>
      <c r="R387" s="9" t="n">
        <v>2</v>
      </c>
      <c r="S387" s="9" t="n">
        <v>20</v>
      </c>
      <c r="U387" s="9" t="n">
        <v>0</v>
      </c>
      <c r="W387" s="9" t="n">
        <v>0</v>
      </c>
      <c r="Y387" s="9" t="n">
        <v>0</v>
      </c>
      <c r="AA387" s="9" t="n">
        <v>0</v>
      </c>
      <c r="AB387" s="9" t="n">
        <v>2</v>
      </c>
      <c r="AC387" s="9" t="n">
        <v>20</v>
      </c>
      <c r="AD387" s="9" t="n">
        <v>2</v>
      </c>
      <c r="AE387" s="9" t="n">
        <v>20</v>
      </c>
    </row>
    <row r="388">
      <c r="A388" s="9" t="inlineStr">
        <is>
          <t>PREMIX 8109 (20KG)</t>
        </is>
      </c>
      <c r="C388" s="9" t="n">
        <v>0</v>
      </c>
      <c r="E388" s="9" t="n">
        <v>0</v>
      </c>
      <c r="G388" s="9" t="n">
        <v>0</v>
      </c>
      <c r="I388" s="9" t="n">
        <v>0</v>
      </c>
      <c r="K388" s="9" t="n">
        <v>0</v>
      </c>
      <c r="M388" s="9" t="n">
        <v>0</v>
      </c>
      <c r="O388" s="9" t="n">
        <v>0</v>
      </c>
      <c r="Q388" s="9" t="n">
        <v>0</v>
      </c>
      <c r="S388" s="9" t="n">
        <v>0</v>
      </c>
      <c r="U388" s="9" t="n">
        <v>0</v>
      </c>
      <c r="V388" s="9" t="n">
        <v>2</v>
      </c>
      <c r="W388" s="9" t="n">
        <v>20</v>
      </c>
      <c r="Y388" s="9" t="n">
        <v>0</v>
      </c>
      <c r="AA388" s="9" t="n">
        <v>0</v>
      </c>
      <c r="AC388" s="9" t="n">
        <v>0</v>
      </c>
      <c r="AE388" s="9" t="n">
        <v>0</v>
      </c>
    </row>
    <row r="389">
      <c r="A389" s="9" t="inlineStr">
        <is>
          <t>YENMIX 121 (20KG)</t>
        </is>
      </c>
      <c r="C389" s="9" t="n">
        <v>0</v>
      </c>
      <c r="E389" s="9" t="n">
        <v>0</v>
      </c>
      <c r="G389" s="9" t="n">
        <v>0</v>
      </c>
      <c r="I389" s="9" t="n">
        <v>0</v>
      </c>
      <c r="K389" s="9" t="n">
        <v>0</v>
      </c>
      <c r="M389" s="9" t="n">
        <v>0</v>
      </c>
      <c r="O389" s="9" t="n">
        <v>0</v>
      </c>
      <c r="Q389" s="9" t="n">
        <v>0</v>
      </c>
      <c r="S389" s="9" t="n">
        <v>0</v>
      </c>
      <c r="U389" s="9" t="n">
        <v>0</v>
      </c>
      <c r="W389" s="9" t="n">
        <v>0</v>
      </c>
      <c r="Y389" s="9" t="n">
        <v>0</v>
      </c>
      <c r="AA389" s="9" t="n">
        <v>0</v>
      </c>
      <c r="AC389" s="9" t="n">
        <v>0</v>
      </c>
      <c r="AE389" s="9" t="n">
        <v>0</v>
      </c>
    </row>
    <row r="390">
      <c r="A390" s="9" t="inlineStr">
        <is>
          <t>YENMIX 122 (19.50KG)</t>
        </is>
      </c>
      <c r="C390" s="9" t="n">
        <v>0</v>
      </c>
      <c r="E390" s="9" t="n">
        <v>0</v>
      </c>
      <c r="G390" s="9" t="n">
        <v>0</v>
      </c>
      <c r="I390" s="9" t="n">
        <v>0</v>
      </c>
      <c r="K390" s="9" t="n">
        <v>0</v>
      </c>
      <c r="M390" s="9" t="n">
        <v>0</v>
      </c>
      <c r="O390" s="9" t="n">
        <v>0</v>
      </c>
      <c r="Q390" s="9" t="n">
        <v>0</v>
      </c>
      <c r="S390" s="9" t="n">
        <v>0</v>
      </c>
      <c r="U390" s="9" t="n">
        <v>0</v>
      </c>
      <c r="W390" s="9" t="n">
        <v>0</v>
      </c>
      <c r="Y390" s="9" t="n">
        <v>0</v>
      </c>
      <c r="AA390" s="9" t="n">
        <v>0</v>
      </c>
      <c r="AC390" s="9" t="n">
        <v>0</v>
      </c>
      <c r="AE390" s="9" t="n">
        <v>0</v>
      </c>
    </row>
    <row r="391">
      <c r="A391" s="9" t="inlineStr">
        <is>
          <t>YENMIX 123 (18.90KG)</t>
        </is>
      </c>
      <c r="C391" s="9" t="n">
        <v>0</v>
      </c>
      <c r="E391" s="9" t="n">
        <v>0</v>
      </c>
      <c r="G391" s="9" t="n">
        <v>0</v>
      </c>
      <c r="I391" s="9" t="n">
        <v>0</v>
      </c>
      <c r="K391" s="9" t="n">
        <v>0</v>
      </c>
      <c r="M391" s="9" t="n">
        <v>0</v>
      </c>
      <c r="O391" s="9" t="n">
        <v>0</v>
      </c>
      <c r="Q391" s="9" t="n">
        <v>0</v>
      </c>
      <c r="S391" s="9" t="n">
        <v>0</v>
      </c>
      <c r="U391" s="9" t="n">
        <v>0</v>
      </c>
      <c r="W391" s="9" t="n">
        <v>0</v>
      </c>
      <c r="Y391" s="9" t="n">
        <v>0</v>
      </c>
      <c r="AA391" s="9" t="n">
        <v>0</v>
      </c>
      <c r="AC391" s="9" t="n">
        <v>0</v>
      </c>
      <c r="AE391" s="9" t="n">
        <v>0</v>
      </c>
    </row>
    <row r="392">
      <c r="A392" s="9" t="inlineStr">
        <is>
          <t>YENMIX 122 (20.50KG)</t>
        </is>
      </c>
      <c r="C392" s="9" t="n">
        <v>0</v>
      </c>
      <c r="E392" s="9" t="n">
        <v>0</v>
      </c>
      <c r="G392" s="9" t="n">
        <v>0</v>
      </c>
      <c r="I392" s="9" t="n">
        <v>0</v>
      </c>
      <c r="K392" s="9" t="n">
        <v>0</v>
      </c>
      <c r="M392" s="9" t="n">
        <v>0</v>
      </c>
      <c r="O392" s="9" t="n">
        <v>0</v>
      </c>
      <c r="Q392" s="9" t="n">
        <v>0</v>
      </c>
      <c r="S392" s="9" t="n">
        <v>0</v>
      </c>
      <c r="U392" s="9" t="n">
        <v>0</v>
      </c>
      <c r="W392" s="9" t="n">
        <v>0</v>
      </c>
      <c r="Y392" s="9" t="n">
        <v>0</v>
      </c>
      <c r="AA392" s="9" t="n">
        <v>0</v>
      </c>
      <c r="AC392" s="9" t="n">
        <v>0</v>
      </c>
      <c r="AE392" s="9" t="n">
        <v>0</v>
      </c>
    </row>
    <row r="393">
      <c r="A393" s="9" t="inlineStr">
        <is>
          <t>YENMIX 123 (20.00KG)</t>
        </is>
      </c>
      <c r="C393" s="9" t="n">
        <v>0</v>
      </c>
      <c r="E393" s="9" t="n">
        <v>0</v>
      </c>
      <c r="G393" s="9" t="n">
        <v>0</v>
      </c>
      <c r="I393" s="9" t="n">
        <v>0</v>
      </c>
      <c r="K393" s="9" t="n">
        <v>0</v>
      </c>
      <c r="M393" s="9" t="n">
        <v>0</v>
      </c>
      <c r="O393" s="9" t="n">
        <v>0</v>
      </c>
      <c r="Q393" s="9" t="n">
        <v>0</v>
      </c>
      <c r="S393" s="9" t="n">
        <v>0</v>
      </c>
      <c r="U393" s="9" t="n">
        <v>0</v>
      </c>
      <c r="W393" s="9" t="n">
        <v>0</v>
      </c>
      <c r="Y393" s="9" t="n">
        <v>0</v>
      </c>
      <c r="AA393" s="9" t="n">
        <v>0</v>
      </c>
      <c r="AC393" s="9" t="n">
        <v>0</v>
      </c>
      <c r="AE393" s="9" t="n">
        <v>0</v>
      </c>
    </row>
    <row r="394">
      <c r="A394" s="9" t="n">
        <v>1</v>
      </c>
      <c r="C394" s="9" t="n">
        <v>0</v>
      </c>
      <c r="E394" s="9" t="n">
        <v>0</v>
      </c>
      <c r="G394" s="9" t="n">
        <v>0</v>
      </c>
      <c r="I394" s="9" t="n">
        <v>0</v>
      </c>
      <c r="K394" s="9" t="n">
        <v>0</v>
      </c>
      <c r="M394" s="9" t="n">
        <v>0</v>
      </c>
      <c r="O394" s="9" t="n">
        <v>0</v>
      </c>
      <c r="Q394" s="9" t="n">
        <v>0</v>
      </c>
      <c r="S394" s="9" t="n">
        <v>0</v>
      </c>
      <c r="U394" s="9" t="n">
        <v>0</v>
      </c>
      <c r="W394" s="9" t="n">
        <v>0</v>
      </c>
      <c r="Y394" s="9" t="n">
        <v>0</v>
      </c>
      <c r="AA394" s="9" t="n">
        <v>0</v>
      </c>
      <c r="AC394" s="9" t="n">
        <v>0</v>
      </c>
      <c r="AE394" s="9" t="n">
        <v>0</v>
      </c>
    </row>
    <row r="395">
      <c r="A395" s="9" t="n">
        <v>2</v>
      </c>
      <c r="C395" s="9" t="n">
        <v>0</v>
      </c>
      <c r="E395" s="9" t="n">
        <v>0</v>
      </c>
      <c r="G395" s="9" t="n">
        <v>0</v>
      </c>
      <c r="I395" s="9" t="n">
        <v>0</v>
      </c>
      <c r="K395" s="9" t="n">
        <v>0</v>
      </c>
      <c r="M395" s="9" t="n">
        <v>0</v>
      </c>
      <c r="O395" s="9" t="n">
        <v>0</v>
      </c>
      <c r="Q395" s="9" t="n">
        <v>0</v>
      </c>
      <c r="S395" s="9" t="n">
        <v>0</v>
      </c>
      <c r="U395" s="9" t="n">
        <v>0</v>
      </c>
      <c r="W395" s="9" t="n">
        <v>0</v>
      </c>
      <c r="Y395" s="9" t="n">
        <v>0</v>
      </c>
      <c r="AA395" s="9" t="n">
        <v>0</v>
      </c>
      <c r="AC395" s="9" t="n">
        <v>0</v>
      </c>
      <c r="AE395" s="9" t="n">
        <v>0</v>
      </c>
    </row>
    <row r="396">
      <c r="A396" s="9" t="n">
        <v>3</v>
      </c>
      <c r="C396" s="9" t="n">
        <v>0</v>
      </c>
      <c r="E396" s="9" t="n">
        <v>0</v>
      </c>
      <c r="G396" s="9" t="n">
        <v>0</v>
      </c>
      <c r="I396" s="9" t="n">
        <v>0</v>
      </c>
      <c r="K396" s="9" t="n">
        <v>0</v>
      </c>
      <c r="M396" s="9" t="n">
        <v>0</v>
      </c>
      <c r="O396" s="9" t="n">
        <v>0</v>
      </c>
      <c r="Q396" s="9" t="n">
        <v>0</v>
      </c>
      <c r="S396" s="9" t="n">
        <v>0</v>
      </c>
      <c r="U396" s="9" t="n">
        <v>0</v>
      </c>
      <c r="W396" s="9" t="n">
        <v>0</v>
      </c>
      <c r="Y396" s="9" t="n">
        <v>0</v>
      </c>
      <c r="AA396" s="9" t="n">
        <v>0</v>
      </c>
      <c r="AC396" s="9" t="n">
        <v>0</v>
      </c>
      <c r="AE396" s="9" t="n">
        <v>0</v>
      </c>
    </row>
    <row r="397">
      <c r="A397" s="9" t="inlineStr">
        <is>
          <t>TOXISORB PREMIUM</t>
        </is>
      </c>
      <c r="B397" s="9" t="n">
        <v>0.05</v>
      </c>
      <c r="C397" s="9" t="n">
        <v>0.5</v>
      </c>
      <c r="D397" s="9" t="n">
        <v>0.05</v>
      </c>
      <c r="E397" s="9" t="n">
        <v>0.5</v>
      </c>
      <c r="G397" s="9" t="n">
        <v>0</v>
      </c>
      <c r="H397" s="9" t="n">
        <v>0.05</v>
      </c>
      <c r="I397" s="9" t="n">
        <v>0.5</v>
      </c>
      <c r="J397" s="9" t="n">
        <v>0.05</v>
      </c>
      <c r="K397" s="9" t="n">
        <v>0.5</v>
      </c>
      <c r="M397" s="9" t="n">
        <v>0</v>
      </c>
      <c r="O397" s="9" t="n">
        <v>0</v>
      </c>
      <c r="Q397" s="9" t="n">
        <v>0</v>
      </c>
      <c r="S397" s="9" t="n">
        <v>0</v>
      </c>
      <c r="U397" s="9" t="n">
        <v>0</v>
      </c>
      <c r="W397" s="9" t="n">
        <v>0</v>
      </c>
      <c r="Y397" s="9" t="n">
        <v>0</v>
      </c>
      <c r="AA397" s="9" t="n">
        <v>0</v>
      </c>
      <c r="AC397" s="9" t="n">
        <v>0</v>
      </c>
      <c r="AE397" s="9" t="n">
        <v>0</v>
      </c>
    </row>
    <row r="398">
      <c r="A398" s="9" t="inlineStr">
        <is>
          <t>SODIUM HUMATE 3.8% (HARUMI)</t>
        </is>
      </c>
      <c r="B398" s="9" t="n">
        <v>0.3</v>
      </c>
      <c r="C398" s="9" t="n">
        <v>3</v>
      </c>
      <c r="D398" s="9" t="n">
        <v>0.3</v>
      </c>
      <c r="E398" s="9" t="n">
        <v>3</v>
      </c>
      <c r="G398" s="9" t="n">
        <v>0</v>
      </c>
      <c r="H398" s="9" t="n">
        <v>0.3</v>
      </c>
      <c r="I398" s="9" t="n">
        <v>3</v>
      </c>
      <c r="J398" s="9" t="n">
        <v>0.3</v>
      </c>
      <c r="K398" s="9" t="n">
        <v>3</v>
      </c>
      <c r="L398" s="9" t="n">
        <v>0.3</v>
      </c>
      <c r="M398" s="9" t="n">
        <v>3</v>
      </c>
      <c r="N398" s="9" t="n">
        <v>0.3</v>
      </c>
      <c r="O398" s="9" t="n">
        <v>3</v>
      </c>
      <c r="P398" s="9" t="n">
        <v>0.3</v>
      </c>
      <c r="Q398" s="9" t="n">
        <v>3</v>
      </c>
      <c r="R398" s="9" t="n">
        <v>0.3</v>
      </c>
      <c r="S398" s="9" t="n">
        <v>3</v>
      </c>
      <c r="T398" s="9" t="n">
        <v>0.3</v>
      </c>
      <c r="U398" s="9" t="n">
        <v>3</v>
      </c>
      <c r="V398" s="9" t="n">
        <v>0.3</v>
      </c>
      <c r="W398" s="9" t="n">
        <v>3</v>
      </c>
      <c r="X398" s="9" t="n">
        <v>0.3</v>
      </c>
      <c r="Y398" s="9" t="n">
        <v>3</v>
      </c>
      <c r="Z398" s="9" t="n">
        <v>0.3</v>
      </c>
      <c r="AA398" s="9" t="n">
        <v>3</v>
      </c>
      <c r="AB398" s="9" t="n">
        <v>0.3</v>
      </c>
      <c r="AC398" s="9" t="n">
        <v>3</v>
      </c>
      <c r="AD398" s="9" t="n">
        <v>0.3</v>
      </c>
      <c r="AE398" s="9" t="n">
        <v>3</v>
      </c>
    </row>
    <row r="399">
      <c r="A399" s="9" t="inlineStr">
        <is>
          <t>TOXIWALL</t>
        </is>
      </c>
      <c r="C399" s="9" t="n">
        <v>0</v>
      </c>
      <c r="E399" s="9" t="n">
        <v>0</v>
      </c>
      <c r="G399" s="9" t="n">
        <v>0</v>
      </c>
      <c r="I399" s="9" t="n">
        <v>0</v>
      </c>
      <c r="K399" s="9" t="n">
        <v>0</v>
      </c>
      <c r="M399" s="9" t="n">
        <v>0</v>
      </c>
      <c r="O399" s="9" t="n">
        <v>0</v>
      </c>
      <c r="Q399" s="9" t="n">
        <v>0</v>
      </c>
      <c r="S399" s="9" t="n">
        <v>0</v>
      </c>
      <c r="U399" s="9" t="n">
        <v>0</v>
      </c>
      <c r="W399" s="9" t="n">
        <v>0</v>
      </c>
      <c r="Y399" s="9" t="n">
        <v>0</v>
      </c>
      <c r="AA399" s="9" t="n">
        <v>0</v>
      </c>
      <c r="AC399" s="9" t="n">
        <v>0</v>
      </c>
      <c r="AE399" s="9" t="n">
        <v>0</v>
      </c>
    </row>
    <row r="400">
      <c r="A400" s="9" t="inlineStr">
        <is>
          <t>SODIUM BICARBONATE</t>
        </is>
      </c>
      <c r="C400" s="9" t="n">
        <v>0</v>
      </c>
      <c r="E400" s="9" t="n">
        <v>0</v>
      </c>
      <c r="G400" s="9" t="n">
        <v>0</v>
      </c>
      <c r="I400" s="9" t="n">
        <v>0</v>
      </c>
      <c r="K400" s="9" t="n">
        <v>0</v>
      </c>
      <c r="M400" s="9" t="n">
        <v>0</v>
      </c>
      <c r="O400" s="9" t="n">
        <v>0</v>
      </c>
      <c r="Q400" s="9" t="n">
        <v>0</v>
      </c>
      <c r="S400" s="9" t="n">
        <v>0</v>
      </c>
      <c r="U400" s="9" t="n">
        <v>0</v>
      </c>
      <c r="W400" s="9" t="n">
        <v>0</v>
      </c>
      <c r="Y400" s="9" t="n">
        <v>0</v>
      </c>
      <c r="AA400" s="9" t="n">
        <v>0</v>
      </c>
      <c r="AC400" s="9" t="n">
        <v>0</v>
      </c>
      <c r="AE400" s="9" t="n">
        <v>0</v>
      </c>
    </row>
    <row r="401">
      <c r="A401" s="9" t="inlineStr">
        <is>
          <t>BMD 10%</t>
        </is>
      </c>
      <c r="C401" s="9" t="n">
        <v>0</v>
      </c>
      <c r="E401" s="9" t="n">
        <v>0</v>
      </c>
      <c r="G401" s="9" t="n">
        <v>0</v>
      </c>
      <c r="I401" s="9" t="n">
        <v>0</v>
      </c>
      <c r="J401" s="9" t="n">
        <v>0.1</v>
      </c>
      <c r="K401" s="9" t="n">
        <v>1</v>
      </c>
      <c r="M401" s="9" t="n">
        <v>0</v>
      </c>
      <c r="O401" s="9" t="n">
        <v>0</v>
      </c>
      <c r="Q401" s="9" t="n">
        <v>0</v>
      </c>
      <c r="S401" s="9" t="n">
        <v>0</v>
      </c>
      <c r="U401" s="9" t="n">
        <v>0</v>
      </c>
      <c r="W401" s="9" t="n">
        <v>0</v>
      </c>
      <c r="Y401" s="9" t="n">
        <v>0</v>
      </c>
      <c r="AA401" s="9" t="n">
        <v>0</v>
      </c>
      <c r="AC401" s="9" t="n">
        <v>0</v>
      </c>
      <c r="AD401" s="9" t="n">
        <v>0.1</v>
      </c>
      <c r="AE401" s="9" t="n">
        <v>1</v>
      </c>
    </row>
    <row r="402">
      <c r="A402" s="9" t="inlineStr">
        <is>
          <t>SALT (HARUMI)</t>
        </is>
      </c>
      <c r="C402" s="9" t="n">
        <v>0</v>
      </c>
      <c r="E402" s="9" t="n">
        <v>0</v>
      </c>
      <c r="G402" s="9" t="n">
        <v>0</v>
      </c>
      <c r="I402" s="9" t="n">
        <v>0</v>
      </c>
      <c r="K402" s="9" t="n">
        <v>0</v>
      </c>
      <c r="M402" s="9" t="n">
        <v>0</v>
      </c>
      <c r="O402" s="9" t="n">
        <v>0</v>
      </c>
      <c r="Q402" s="9" t="n">
        <v>0</v>
      </c>
      <c r="S402" s="9" t="n">
        <v>0</v>
      </c>
      <c r="U402" s="9" t="n">
        <v>0</v>
      </c>
      <c r="W402" s="9" t="n">
        <v>0</v>
      </c>
      <c r="Y402" s="9" t="n">
        <v>0</v>
      </c>
      <c r="AA402" s="9" t="n">
        <v>0</v>
      </c>
      <c r="AC402" s="9" t="n">
        <v>0</v>
      </c>
      <c r="AE402" s="9" t="n">
        <v>0</v>
      </c>
    </row>
    <row r="403">
      <c r="A403" s="9" t="inlineStr">
        <is>
          <t>VISTABET 91</t>
        </is>
      </c>
      <c r="C403" s="9" t="n">
        <v>0</v>
      </c>
      <c r="E403" s="9" t="n">
        <v>0</v>
      </c>
      <c r="G403" s="9" t="n">
        <v>0</v>
      </c>
      <c r="I403" s="9" t="n">
        <v>0</v>
      </c>
      <c r="K403" s="9" t="n">
        <v>0</v>
      </c>
      <c r="M403" s="9" t="n">
        <v>0</v>
      </c>
      <c r="O403" s="9" t="n">
        <v>0</v>
      </c>
      <c r="Q403" s="9" t="n">
        <v>0</v>
      </c>
      <c r="S403" s="9" t="n">
        <v>0</v>
      </c>
      <c r="U403" s="9" t="n">
        <v>0</v>
      </c>
      <c r="W403" s="9" t="n">
        <v>0</v>
      </c>
      <c r="Y403" s="9" t="n">
        <v>0</v>
      </c>
      <c r="AA403" s="9" t="n">
        <v>0</v>
      </c>
      <c r="AB403" s="9" t="n">
        <v>0.1</v>
      </c>
      <c r="AC403" s="9" t="n">
        <v>1</v>
      </c>
      <c r="AD403" s="9" t="n">
        <v>0.1</v>
      </c>
      <c r="AE403" s="9" t="n">
        <v>1</v>
      </c>
    </row>
    <row r="404">
      <c r="A404" s="9" t="inlineStr">
        <is>
          <t>BETAFIN</t>
        </is>
      </c>
      <c r="C404" s="9" t="n">
        <v>0</v>
      </c>
      <c r="E404" s="9" t="n">
        <v>0</v>
      </c>
      <c r="G404" s="9" t="n">
        <v>0</v>
      </c>
      <c r="I404" s="9" t="n">
        <v>0</v>
      </c>
      <c r="K404" s="9" t="n">
        <v>0</v>
      </c>
      <c r="M404" s="9" t="n">
        <v>0</v>
      </c>
      <c r="O404" s="9" t="n">
        <v>0</v>
      </c>
      <c r="Q404" s="9" t="n">
        <v>0</v>
      </c>
      <c r="S404" s="9" t="n">
        <v>0</v>
      </c>
      <c r="U404" s="9" t="n">
        <v>0</v>
      </c>
      <c r="W404" s="9" t="n">
        <v>0</v>
      </c>
      <c r="Y404" s="9" t="n">
        <v>0</v>
      </c>
      <c r="AA404" s="9" t="n">
        <v>0</v>
      </c>
      <c r="AC404" s="9" t="n">
        <v>0</v>
      </c>
      <c r="AE404" s="9" t="n">
        <v>0</v>
      </c>
    </row>
    <row r="405">
      <c r="A405" s="9" t="inlineStr">
        <is>
          <t>8101 TOP UP</t>
        </is>
      </c>
      <c r="C405" s="9" t="n">
        <v>0</v>
      </c>
      <c r="E405" s="9" t="n">
        <v>0</v>
      </c>
      <c r="G405" s="9" t="n">
        <v>0</v>
      </c>
      <c r="I405" s="9" t="n">
        <v>0</v>
      </c>
      <c r="K405" s="9" t="n">
        <v>0</v>
      </c>
      <c r="M405" s="9" t="n">
        <v>0</v>
      </c>
      <c r="O405" s="9" t="n">
        <v>0</v>
      </c>
      <c r="Q405" s="9" t="n">
        <v>0</v>
      </c>
      <c r="S405" s="9" t="n">
        <v>0</v>
      </c>
      <c r="U405" s="9" t="n">
        <v>0</v>
      </c>
      <c r="W405" s="9" t="n">
        <v>0</v>
      </c>
      <c r="Y405" s="9" t="n">
        <v>0</v>
      </c>
      <c r="AA405" s="9" t="n">
        <v>0</v>
      </c>
      <c r="AC405" s="9" t="n">
        <v>0</v>
      </c>
      <c r="AE405" s="9" t="n">
        <v>0</v>
      </c>
    </row>
    <row r="406">
      <c r="A406" s="9" t="inlineStr">
        <is>
          <t>NORPONIN X03 (8102 TOP UP)</t>
        </is>
      </c>
      <c r="C406" s="9" t="n">
        <v>0</v>
      </c>
      <c r="E406" s="9" t="n">
        <v>0</v>
      </c>
      <c r="G406" s="9" t="n">
        <v>0</v>
      </c>
      <c r="I406" s="9" t="n">
        <v>0</v>
      </c>
      <c r="K406" s="9" t="n">
        <v>0</v>
      </c>
      <c r="M406" s="9" t="n">
        <v>0</v>
      </c>
      <c r="O406" s="9" t="n">
        <v>0</v>
      </c>
      <c r="Q406" s="9" t="n">
        <v>0</v>
      </c>
      <c r="S406" s="9" t="n">
        <v>0</v>
      </c>
      <c r="U406" s="9" t="n">
        <v>0</v>
      </c>
      <c r="W406" s="9" t="n">
        <v>0</v>
      </c>
      <c r="Y406" s="9" t="n">
        <v>0</v>
      </c>
      <c r="AA406" s="9" t="n">
        <v>0</v>
      </c>
      <c r="AC406" s="9" t="n">
        <v>0</v>
      </c>
      <c r="AE406" s="9" t="n">
        <v>0</v>
      </c>
    </row>
    <row r="407">
      <c r="A407" s="9" t="inlineStr">
        <is>
          <t>8102 TOP UP (4KG)</t>
        </is>
      </c>
      <c r="C407" s="9" t="n">
        <v>0</v>
      </c>
      <c r="E407" s="9" t="n">
        <v>0</v>
      </c>
      <c r="G407" s="9" t="n">
        <v>0</v>
      </c>
      <c r="I407" s="9" t="n">
        <v>0</v>
      </c>
      <c r="K407" s="9" t="n">
        <v>0</v>
      </c>
      <c r="L407" s="9" t="n">
        <v>0.4</v>
      </c>
      <c r="M407" s="9" t="n">
        <v>4</v>
      </c>
      <c r="N407" s="9" t="n">
        <v>0.4</v>
      </c>
      <c r="O407" s="9" t="n">
        <v>4</v>
      </c>
      <c r="P407" s="9" t="n">
        <v>0.4</v>
      </c>
      <c r="Q407" s="9" t="n">
        <v>4</v>
      </c>
      <c r="R407" s="9" t="n">
        <v>0.4</v>
      </c>
      <c r="S407" s="9" t="n">
        <v>4</v>
      </c>
      <c r="U407" s="9" t="n">
        <v>0</v>
      </c>
      <c r="W407" s="9" t="n">
        <v>0</v>
      </c>
      <c r="Y407" s="9" t="n">
        <v>0</v>
      </c>
      <c r="AA407" s="9" t="n">
        <v>0</v>
      </c>
      <c r="AB407" s="9" t="n">
        <v>0.4</v>
      </c>
      <c r="AC407" s="9" t="n">
        <v>4</v>
      </c>
      <c r="AE407" s="9" t="n">
        <v>0</v>
      </c>
    </row>
    <row r="408">
      <c r="A408" s="9" t="inlineStr">
        <is>
          <t>8103 TOP UP (5KG)</t>
        </is>
      </c>
      <c r="C408" s="9" t="n">
        <v>0</v>
      </c>
      <c r="E408" s="9" t="n">
        <v>0</v>
      </c>
      <c r="G408" s="9" t="n">
        <v>0</v>
      </c>
      <c r="I408" s="9" t="n">
        <v>0</v>
      </c>
      <c r="K408" s="9" t="n">
        <v>0</v>
      </c>
      <c r="M408" s="9" t="n">
        <v>0</v>
      </c>
      <c r="O408" s="9" t="n">
        <v>0</v>
      </c>
      <c r="Q408" s="9" t="n">
        <v>0</v>
      </c>
      <c r="S408" s="9" t="n">
        <v>0</v>
      </c>
      <c r="T408" s="9" t="n">
        <v>0.25</v>
      </c>
      <c r="U408" s="9" t="n">
        <v>2.5</v>
      </c>
      <c r="V408" s="9" t="n">
        <v>0.25</v>
      </c>
      <c r="W408" s="9" t="n">
        <v>2.5</v>
      </c>
      <c r="Y408" s="9" t="n">
        <v>0</v>
      </c>
      <c r="AA408" s="9" t="n">
        <v>0</v>
      </c>
      <c r="AC408" s="9" t="n">
        <v>0</v>
      </c>
      <c r="AD408" s="9" t="n">
        <v>0.25</v>
      </c>
      <c r="AE408" s="9" t="n">
        <v>2.5</v>
      </c>
    </row>
    <row r="409">
      <c r="A409" s="9" t="inlineStr">
        <is>
          <t>L-ARGININE</t>
        </is>
      </c>
      <c r="C409" s="9" t="n">
        <v>0</v>
      </c>
      <c r="E409" s="9" t="n">
        <v>0</v>
      </c>
      <c r="G409" s="9" t="n">
        <v>0</v>
      </c>
      <c r="I409" s="9" t="n">
        <v>0</v>
      </c>
      <c r="K409" s="9" t="n">
        <v>0</v>
      </c>
      <c r="M409" s="9" t="n">
        <v>0</v>
      </c>
      <c r="O409" s="9" t="n">
        <v>0</v>
      </c>
      <c r="Q409" s="9" t="n">
        <v>0</v>
      </c>
      <c r="S409" s="9" t="n">
        <v>0</v>
      </c>
      <c r="U409" s="9" t="n">
        <v>0</v>
      </c>
      <c r="W409" s="9" t="n">
        <v>0</v>
      </c>
      <c r="Y409" s="9" t="n">
        <v>0</v>
      </c>
      <c r="AA409" s="9" t="n">
        <v>0</v>
      </c>
      <c r="AC409" s="9" t="n">
        <v>0</v>
      </c>
      <c r="AE409" s="9" t="n">
        <v>0</v>
      </c>
    </row>
    <row r="410">
      <c r="A410" s="9" t="inlineStr">
        <is>
          <t>DL-METHIONINE</t>
        </is>
      </c>
      <c r="C410" s="9" t="n">
        <v>0</v>
      </c>
      <c r="E410" s="9" t="n">
        <v>0</v>
      </c>
      <c r="G410" s="9" t="n">
        <v>0</v>
      </c>
      <c r="I410" s="9" t="n">
        <v>0</v>
      </c>
      <c r="K410" s="9" t="n">
        <v>0</v>
      </c>
      <c r="M410" s="9" t="n">
        <v>0</v>
      </c>
      <c r="O410" s="9" t="n">
        <v>0</v>
      </c>
      <c r="Q410" s="9" t="n">
        <v>0</v>
      </c>
      <c r="S410" s="9" t="n">
        <v>0</v>
      </c>
      <c r="U410" s="9" t="n">
        <v>0</v>
      </c>
      <c r="W410" s="9" t="n">
        <v>0</v>
      </c>
      <c r="Y410" s="9" t="n">
        <v>0</v>
      </c>
      <c r="AA410" s="9" t="n">
        <v>0</v>
      </c>
      <c r="AC410" s="9" t="n">
        <v>0</v>
      </c>
      <c r="AE410" s="9" t="n">
        <v>0</v>
      </c>
    </row>
    <row r="411">
      <c r="A411" s="9" t="inlineStr">
        <is>
          <t>L-THREONINE</t>
        </is>
      </c>
      <c r="C411" s="9" t="n">
        <v>0</v>
      </c>
      <c r="E411" s="9" t="n">
        <v>0</v>
      </c>
      <c r="G411" s="9" t="n">
        <v>0</v>
      </c>
      <c r="I411" s="9" t="n">
        <v>0</v>
      </c>
      <c r="K411" s="9" t="n">
        <v>0</v>
      </c>
      <c r="M411" s="9" t="n">
        <v>0</v>
      </c>
      <c r="O411" s="9" t="n">
        <v>0</v>
      </c>
      <c r="Q411" s="9" t="n">
        <v>0</v>
      </c>
      <c r="S411" s="9" t="n">
        <v>0</v>
      </c>
      <c r="U411" s="9" t="n">
        <v>0</v>
      </c>
      <c r="W411" s="9" t="n">
        <v>0</v>
      </c>
      <c r="Y411" s="9" t="n">
        <v>0</v>
      </c>
      <c r="AA411" s="9" t="n">
        <v>0</v>
      </c>
      <c r="AC411" s="9" t="n">
        <v>0</v>
      </c>
      <c r="AE411" s="9" t="n">
        <v>0</v>
      </c>
    </row>
    <row r="412">
      <c r="A412" s="9" t="inlineStr">
        <is>
          <t>L-LYSINE</t>
        </is>
      </c>
      <c r="C412" s="9" t="n">
        <v>0</v>
      </c>
      <c r="E412" s="9" t="n">
        <v>0</v>
      </c>
      <c r="G412" s="9" t="n">
        <v>0</v>
      </c>
      <c r="I412" s="9" t="n">
        <v>0</v>
      </c>
      <c r="K412" s="9" t="n">
        <v>0</v>
      </c>
      <c r="M412" s="9" t="n">
        <v>0</v>
      </c>
      <c r="O412" s="9" t="n">
        <v>0</v>
      </c>
      <c r="Q412" s="9" t="n">
        <v>0</v>
      </c>
      <c r="S412" s="9" t="n">
        <v>0</v>
      </c>
      <c r="U412" s="9" t="n">
        <v>0</v>
      </c>
      <c r="W412" s="9" t="n">
        <v>0</v>
      </c>
      <c r="Y412" s="9" t="n">
        <v>0</v>
      </c>
      <c r="AA412" s="9" t="n">
        <v>0</v>
      </c>
      <c r="AC412" s="9" t="n">
        <v>0</v>
      </c>
      <c r="AE412" s="9" t="n">
        <v>0</v>
      </c>
    </row>
    <row r="413">
      <c r="A413" s="9" t="inlineStr">
        <is>
          <t>FAECES DRY</t>
        </is>
      </c>
      <c r="C413" s="9" t="n">
        <v>0</v>
      </c>
      <c r="E413" s="9" t="n">
        <v>0</v>
      </c>
      <c r="G413" s="9" t="n">
        <v>0</v>
      </c>
      <c r="I413" s="9" t="n">
        <v>0</v>
      </c>
      <c r="K413" s="9" t="n">
        <v>0</v>
      </c>
      <c r="M413" s="9" t="n">
        <v>0</v>
      </c>
      <c r="O413" s="9" t="n">
        <v>0</v>
      </c>
      <c r="Q413" s="9" t="n">
        <v>0</v>
      </c>
      <c r="S413" s="9" t="n">
        <v>0</v>
      </c>
      <c r="U413" s="9" t="n">
        <v>0</v>
      </c>
      <c r="W413" s="9" t="n">
        <v>0</v>
      </c>
      <c r="Y413" s="9" t="n">
        <v>0</v>
      </c>
      <c r="AA413" s="9" t="n">
        <v>0</v>
      </c>
      <c r="AC413" s="9" t="n">
        <v>0</v>
      </c>
      <c r="AE413" s="9" t="n">
        <v>0</v>
      </c>
    </row>
    <row r="414">
      <c r="A414" s="9" t="inlineStr">
        <is>
          <t>ECOBIOL</t>
        </is>
      </c>
      <c r="C414" s="9" t="n">
        <v>0</v>
      </c>
      <c r="E414" s="9" t="n">
        <v>0</v>
      </c>
      <c r="G414" s="9" t="n">
        <v>0</v>
      </c>
      <c r="I414" s="9" t="n">
        <v>0</v>
      </c>
      <c r="K414" s="9" t="n">
        <v>0</v>
      </c>
      <c r="M414" s="9" t="n">
        <v>0</v>
      </c>
      <c r="O414" s="9" t="n">
        <v>0</v>
      </c>
      <c r="Q414" s="9" t="n">
        <v>0</v>
      </c>
      <c r="S414" s="9" t="n">
        <v>0</v>
      </c>
      <c r="U414" s="9" t="n">
        <v>0</v>
      </c>
      <c r="W414" s="9" t="n">
        <v>0</v>
      </c>
      <c r="Y414" s="9" t="n">
        <v>0</v>
      </c>
      <c r="AA414" s="9" t="n">
        <v>0</v>
      </c>
      <c r="AC414" s="9" t="n">
        <v>0</v>
      </c>
      <c r="AE414" s="9" t="n">
        <v>0</v>
      </c>
    </row>
    <row r="415">
      <c r="A415" s="9" t="inlineStr">
        <is>
          <t>ADDITIVE BROILER IMMUNE</t>
        </is>
      </c>
      <c r="C415" s="9" t="n">
        <v>0</v>
      </c>
      <c r="E415" s="9" t="n">
        <v>0</v>
      </c>
      <c r="G415" s="9" t="n">
        <v>0</v>
      </c>
      <c r="I415" s="9" t="n">
        <v>0</v>
      </c>
      <c r="K415" s="9" t="n">
        <v>0</v>
      </c>
      <c r="M415" s="9" t="n">
        <v>0</v>
      </c>
      <c r="O415" s="9" t="n">
        <v>0</v>
      </c>
      <c r="Q415" s="9" t="n">
        <v>0</v>
      </c>
      <c r="S415" s="9" t="n">
        <v>0</v>
      </c>
      <c r="U415" s="9" t="n">
        <v>0</v>
      </c>
      <c r="W415" s="9" t="n">
        <v>0</v>
      </c>
      <c r="Y415" s="9" t="n">
        <v>0</v>
      </c>
      <c r="AA415" s="9" t="n">
        <v>0</v>
      </c>
      <c r="AC415" s="9" t="n">
        <v>0</v>
      </c>
      <c r="AE415" s="9" t="n">
        <v>0</v>
      </c>
    </row>
    <row r="416">
      <c r="A416" s="9" t="inlineStr">
        <is>
          <t>MASTER CUBE (HARUMI)</t>
        </is>
      </c>
      <c r="C416" s="9" t="n">
        <v>0</v>
      </c>
      <c r="E416" s="9" t="n">
        <v>0</v>
      </c>
      <c r="G416" s="9" t="n">
        <v>0</v>
      </c>
      <c r="I416" s="9" t="n">
        <v>0</v>
      </c>
      <c r="K416" s="9" t="n">
        <v>0</v>
      </c>
      <c r="M416" s="9" t="n">
        <v>0</v>
      </c>
      <c r="O416" s="9" t="n">
        <v>0</v>
      </c>
      <c r="Q416" s="9" t="n">
        <v>0</v>
      </c>
      <c r="S416" s="9" t="n">
        <v>0</v>
      </c>
      <c r="U416" s="9" t="n">
        <v>0</v>
      </c>
      <c r="W416" s="9" t="n">
        <v>0</v>
      </c>
      <c r="Y416" s="9" t="n">
        <v>0</v>
      </c>
      <c r="AA416" s="9" t="n">
        <v>0</v>
      </c>
      <c r="AC416" s="9" t="n">
        <v>0</v>
      </c>
      <c r="AE416" s="9" t="n">
        <v>0</v>
      </c>
    </row>
    <row r="417">
      <c r="A417" s="9" t="inlineStr">
        <is>
          <t>1101 TOP UP (0.40KG)</t>
        </is>
      </c>
      <c r="C417" s="9" t="n">
        <v>0</v>
      </c>
      <c r="E417" s="9" t="n">
        <v>0</v>
      </c>
      <c r="G417" s="9" t="n">
        <v>0</v>
      </c>
      <c r="I417" s="9" t="n">
        <v>0</v>
      </c>
      <c r="K417" s="9" t="n">
        <v>0</v>
      </c>
      <c r="M417" s="9" t="n">
        <v>0</v>
      </c>
      <c r="O417" s="9" t="n">
        <v>0</v>
      </c>
      <c r="Q417" s="9" t="n">
        <v>0</v>
      </c>
      <c r="S417" s="9" t="n">
        <v>0</v>
      </c>
      <c r="U417" s="9" t="n">
        <v>0</v>
      </c>
      <c r="W417" s="9" t="n">
        <v>0</v>
      </c>
      <c r="Y417" s="9" t="n">
        <v>0</v>
      </c>
      <c r="AA417" s="9" t="n">
        <v>0</v>
      </c>
      <c r="AC417" s="9" t="n">
        <v>0</v>
      </c>
      <c r="AE417" s="9" t="n">
        <v>0</v>
      </c>
    </row>
    <row r="418">
      <c r="A418" s="9" t="inlineStr">
        <is>
          <t>1102 TOP UP (0.60KG)</t>
        </is>
      </c>
      <c r="C418" s="9" t="n">
        <v>0</v>
      </c>
      <c r="E418" s="9" t="n">
        <v>0</v>
      </c>
      <c r="G418" s="9" t="n">
        <v>0</v>
      </c>
      <c r="I418" s="9" t="n">
        <v>0</v>
      </c>
      <c r="K418" s="9" t="n">
        <v>0</v>
      </c>
      <c r="M418" s="9" t="n">
        <v>0</v>
      </c>
      <c r="O418" s="9" t="n">
        <v>0</v>
      </c>
      <c r="Q418" s="9" t="n">
        <v>0</v>
      </c>
      <c r="S418" s="9" t="n">
        <v>0</v>
      </c>
      <c r="U418" s="9" t="n">
        <v>0</v>
      </c>
      <c r="W418" s="9" t="n">
        <v>0</v>
      </c>
      <c r="Y418" s="9" t="n">
        <v>0</v>
      </c>
      <c r="AA418" s="9" t="n">
        <v>0</v>
      </c>
      <c r="AC418" s="9" t="n">
        <v>0</v>
      </c>
      <c r="AE418" s="9" t="n">
        <v>0</v>
      </c>
    </row>
    <row r="419">
      <c r="A419" s="9" t="inlineStr">
        <is>
          <t>1103 TOP UP (2.00KG)</t>
        </is>
      </c>
      <c r="C419" s="9" t="n">
        <v>0</v>
      </c>
      <c r="E419" s="9" t="n">
        <v>0</v>
      </c>
      <c r="G419" s="9" t="n">
        <v>0</v>
      </c>
      <c r="I419" s="9" t="n">
        <v>0</v>
      </c>
      <c r="K419" s="9" t="n">
        <v>0</v>
      </c>
      <c r="M419" s="9" t="n">
        <v>0</v>
      </c>
      <c r="O419" s="9" t="n">
        <v>0</v>
      </c>
      <c r="Q419" s="9" t="n">
        <v>0</v>
      </c>
      <c r="S419" s="9" t="n">
        <v>0</v>
      </c>
      <c r="U419" s="9" t="n">
        <v>0</v>
      </c>
      <c r="W419" s="9" t="n">
        <v>0</v>
      </c>
      <c r="Y419" s="9" t="n">
        <v>0</v>
      </c>
      <c r="AA419" s="9" t="n">
        <v>0</v>
      </c>
      <c r="AC419" s="9" t="n">
        <v>0</v>
      </c>
      <c r="AE419" s="9" t="n">
        <v>0</v>
      </c>
    </row>
    <row r="420">
      <c r="A420" s="9" t="inlineStr">
        <is>
          <t>QUANTUM GLO 4%</t>
        </is>
      </c>
      <c r="C420" s="9" t="n">
        <v>0</v>
      </c>
      <c r="E420" s="9" t="n">
        <v>0</v>
      </c>
      <c r="G420" s="9" t="n">
        <v>0</v>
      </c>
      <c r="I420" s="9" t="n">
        <v>0</v>
      </c>
      <c r="K420" s="9" t="n">
        <v>0</v>
      </c>
      <c r="M420" s="9" t="n">
        <v>0</v>
      </c>
      <c r="O420" s="9" t="n">
        <v>0</v>
      </c>
      <c r="Q420" s="9" t="n">
        <v>0</v>
      </c>
      <c r="S420" s="9" t="n">
        <v>0</v>
      </c>
      <c r="U420" s="9" t="n">
        <v>0</v>
      </c>
      <c r="W420" s="9" t="n">
        <v>0</v>
      </c>
      <c r="Y420" s="9" t="n">
        <v>0</v>
      </c>
      <c r="AA420" s="9" t="n">
        <v>0</v>
      </c>
      <c r="AC420" s="9" t="n">
        <v>0</v>
      </c>
      <c r="AE420" s="9" t="n">
        <v>0</v>
      </c>
    </row>
    <row r="421">
      <c r="A421" s="9" t="inlineStr">
        <is>
          <t>SALT</t>
        </is>
      </c>
      <c r="C421" s="9" t="n">
        <v>0</v>
      </c>
      <c r="E421" s="9" t="n">
        <v>0</v>
      </c>
      <c r="G421" s="9" t="n">
        <v>0</v>
      </c>
      <c r="I421" s="9" t="n">
        <v>0</v>
      </c>
      <c r="K421" s="9" t="n">
        <v>0</v>
      </c>
      <c r="M421" s="9" t="n">
        <v>0</v>
      </c>
      <c r="O421" s="9" t="n">
        <v>0</v>
      </c>
      <c r="Q421" s="9" t="n">
        <v>0</v>
      </c>
      <c r="S421" s="9" t="n">
        <v>0</v>
      </c>
      <c r="U421" s="9" t="n">
        <v>0</v>
      </c>
      <c r="W421" s="9" t="n">
        <v>0</v>
      </c>
      <c r="Y421" s="9" t="n">
        <v>0</v>
      </c>
      <c r="AA421" s="9" t="n">
        <v>0</v>
      </c>
      <c r="AC421" s="9" t="n">
        <v>0</v>
      </c>
      <c r="AE421" s="9" t="n">
        <v>0</v>
      </c>
    </row>
    <row r="422">
      <c r="A422" s="9" t="inlineStr">
        <is>
          <t>OC 200 - OXYTET 20%</t>
        </is>
      </c>
      <c r="C422" s="9" t="n">
        <v>0</v>
      </c>
      <c r="E422" s="9" t="n">
        <v>0</v>
      </c>
      <c r="G422" s="9" t="n">
        <v>0</v>
      </c>
      <c r="I422" s="9" t="n">
        <v>0</v>
      </c>
      <c r="K422" s="9" t="n">
        <v>0</v>
      </c>
      <c r="M422" s="9" t="n">
        <v>0</v>
      </c>
      <c r="O422" s="9" t="n">
        <v>0</v>
      </c>
      <c r="Q422" s="9" t="n">
        <v>0</v>
      </c>
      <c r="S422" s="9" t="n">
        <v>0</v>
      </c>
      <c r="U422" s="9" t="n">
        <v>0</v>
      </c>
      <c r="W422" s="9" t="n">
        <v>0</v>
      </c>
      <c r="Y422" s="9" t="n">
        <v>0</v>
      </c>
      <c r="AA422" s="9" t="n">
        <v>0</v>
      </c>
      <c r="AC422" s="9" t="n">
        <v>0</v>
      </c>
      <c r="AE422" s="9" t="n">
        <v>0</v>
      </c>
    </row>
    <row r="423">
      <c r="A423" s="9" t="n">
        <v>3</v>
      </c>
      <c r="C423" s="9" t="n">
        <v>0</v>
      </c>
      <c r="E423" s="9" t="n">
        <v>0</v>
      </c>
      <c r="G423" s="9" t="n">
        <v>0</v>
      </c>
      <c r="I423" s="9" t="n">
        <v>0</v>
      </c>
      <c r="K423" s="9" t="n">
        <v>0</v>
      </c>
      <c r="M423" s="9" t="n">
        <v>0</v>
      </c>
      <c r="O423" s="9" t="n">
        <v>0</v>
      </c>
      <c r="Q423" s="9" t="n">
        <v>0</v>
      </c>
      <c r="S423" s="9" t="n">
        <v>0</v>
      </c>
      <c r="U423" s="9" t="n">
        <v>0</v>
      </c>
      <c r="W423" s="9" t="n">
        <v>0</v>
      </c>
      <c r="Y423" s="9" t="n">
        <v>0</v>
      </c>
      <c r="AA423" s="9" t="n">
        <v>0</v>
      </c>
      <c r="AC423" s="9" t="n">
        <v>0</v>
      </c>
      <c r="AE423" s="9" t="n">
        <v>0</v>
      </c>
    </row>
    <row r="424">
      <c r="A424" s="9" t="n">
        <v>4</v>
      </c>
      <c r="C424" s="9" t="n">
        <v>0</v>
      </c>
      <c r="E424" s="9" t="n">
        <v>0</v>
      </c>
      <c r="G424" s="9" t="n">
        <v>0</v>
      </c>
      <c r="I424" s="9" t="n">
        <v>0</v>
      </c>
      <c r="K424" s="9" t="n">
        <v>0</v>
      </c>
      <c r="M424" s="9" t="n">
        <v>0</v>
      </c>
      <c r="O424" s="9" t="n">
        <v>0</v>
      </c>
      <c r="Q424" s="9" t="n">
        <v>0</v>
      </c>
      <c r="S424" s="9" t="n">
        <v>0</v>
      </c>
      <c r="U424" s="9" t="n">
        <v>0</v>
      </c>
      <c r="W424" s="9" t="n">
        <v>0</v>
      </c>
      <c r="Y424" s="9" t="n">
        <v>0</v>
      </c>
      <c r="AA424" s="9" t="n">
        <v>0</v>
      </c>
      <c r="AC424" s="9" t="n">
        <v>0</v>
      </c>
      <c r="AE424" s="9" t="n">
        <v>0</v>
      </c>
    </row>
    <row r="425">
      <c r="A425" s="9" t="inlineStr">
        <is>
          <t>WOVEN BAG (1101) - BLUE 50KG</t>
        </is>
      </c>
      <c r="C425" s="9" t="n">
        <v>0</v>
      </c>
      <c r="E425" s="9" t="n">
        <v>0</v>
      </c>
      <c r="G425" s="9" t="n">
        <v>0</v>
      </c>
      <c r="I425" s="9" t="n">
        <v>0</v>
      </c>
      <c r="K425" s="9" t="n">
        <v>0</v>
      </c>
      <c r="M425" s="9" t="n">
        <v>0</v>
      </c>
      <c r="O425" s="9" t="n">
        <v>0</v>
      </c>
      <c r="Q425" s="9" t="n">
        <v>0</v>
      </c>
      <c r="S425" s="9" t="n">
        <v>0</v>
      </c>
      <c r="U425" s="9" t="n">
        <v>0</v>
      </c>
      <c r="W425" s="9" t="n">
        <v>0</v>
      </c>
      <c r="Y425" s="9" t="n">
        <v>0</v>
      </c>
      <c r="AA425" s="9" t="n">
        <v>0</v>
      </c>
      <c r="AC425" s="9" t="n">
        <v>0</v>
      </c>
      <c r="AE425" s="9" t="n">
        <v>0</v>
      </c>
    </row>
    <row r="426">
      <c r="A426" s="9" t="inlineStr">
        <is>
          <t>WOVEN BAG (1102) - GREEN 50KG</t>
        </is>
      </c>
      <c r="C426" s="9" t="n">
        <v>0</v>
      </c>
      <c r="E426" s="9" t="n">
        <v>0</v>
      </c>
      <c r="G426" s="9" t="n">
        <v>0</v>
      </c>
      <c r="I426" s="9" t="n">
        <v>0</v>
      </c>
      <c r="K426" s="9" t="n">
        <v>0</v>
      </c>
      <c r="M426" s="9" t="n">
        <v>0</v>
      </c>
      <c r="O426" s="9" t="n">
        <v>0</v>
      </c>
      <c r="Q426" s="9" t="n">
        <v>0</v>
      </c>
      <c r="S426" s="9" t="n">
        <v>0</v>
      </c>
      <c r="U426" s="9" t="n">
        <v>0</v>
      </c>
      <c r="W426" s="9" t="n">
        <v>0</v>
      </c>
      <c r="Y426" s="9" t="n">
        <v>0</v>
      </c>
      <c r="AA426" s="9" t="n">
        <v>0</v>
      </c>
      <c r="AC426" s="9" t="n">
        <v>0</v>
      </c>
      <c r="AE426" s="9" t="n">
        <v>0</v>
      </c>
    </row>
    <row r="427">
      <c r="A427" s="9" t="inlineStr">
        <is>
          <t>WOVEN BAG (1103) - RED 50KG</t>
        </is>
      </c>
      <c r="C427" s="9" t="n">
        <v>0</v>
      </c>
      <c r="E427" s="9" t="n">
        <v>0</v>
      </c>
      <c r="G427" s="9" t="n">
        <v>0</v>
      </c>
      <c r="I427" s="9" t="n">
        <v>0</v>
      </c>
      <c r="K427" s="9" t="n">
        <v>0</v>
      </c>
      <c r="M427" s="9" t="n">
        <v>0</v>
      </c>
      <c r="O427" s="9" t="n">
        <v>0</v>
      </c>
      <c r="Q427" s="9" t="n">
        <v>0</v>
      </c>
      <c r="S427" s="9" t="n">
        <v>0</v>
      </c>
      <c r="U427" s="9" t="n">
        <v>0</v>
      </c>
      <c r="W427" s="9" t="n">
        <v>0</v>
      </c>
      <c r="Y427" s="9" t="n">
        <v>0</v>
      </c>
      <c r="AA427" s="9" t="n">
        <v>0</v>
      </c>
      <c r="AC427" s="9" t="n">
        <v>0</v>
      </c>
      <c r="AE427" s="9" t="n">
        <v>0</v>
      </c>
    </row>
    <row r="428">
      <c r="A428" s="9" t="inlineStr">
        <is>
          <t>PLAIN BAG 26" X 39" (50KG)</t>
        </is>
      </c>
      <c r="C428" s="9" t="n">
        <v>0</v>
      </c>
      <c r="E428" s="9" t="n">
        <v>0</v>
      </c>
      <c r="G428" s="9" t="n">
        <v>0</v>
      </c>
      <c r="I428" s="9" t="n">
        <v>0</v>
      </c>
      <c r="K428" s="9" t="n">
        <v>0</v>
      </c>
      <c r="M428" s="9" t="n">
        <v>0</v>
      </c>
      <c r="O428" s="9" t="n">
        <v>0</v>
      </c>
      <c r="Q428" s="9" t="n">
        <v>0</v>
      </c>
      <c r="S428" s="9" t="n">
        <v>0</v>
      </c>
      <c r="U428" s="9" t="n">
        <v>0</v>
      </c>
      <c r="W428" s="9" t="n">
        <v>0</v>
      </c>
      <c r="Y428" s="9" t="n">
        <v>0</v>
      </c>
      <c r="AA428" s="9" t="n">
        <v>0</v>
      </c>
      <c r="AC428" s="9" t="n">
        <v>0</v>
      </c>
      <c r="AE428" s="9" t="n">
        <v>0</v>
      </c>
    </row>
    <row r="429">
      <c r="A429" s="9" t="inlineStr">
        <is>
          <t>WOVEN BAG (8101) - KHAKI 50KG</t>
        </is>
      </c>
      <c r="C429" s="9" t="n">
        <v>0</v>
      </c>
      <c r="E429" s="9" t="n">
        <v>0</v>
      </c>
      <c r="G429" s="9" t="n">
        <v>0</v>
      </c>
      <c r="I429" s="9" t="n">
        <v>0</v>
      </c>
      <c r="K429" s="9" t="n">
        <v>0</v>
      </c>
      <c r="M429" s="9" t="n">
        <v>0</v>
      </c>
      <c r="O429" s="9" t="n">
        <v>0</v>
      </c>
      <c r="Q429" s="9" t="n">
        <v>0</v>
      </c>
      <c r="S429" s="9" t="n">
        <v>0</v>
      </c>
      <c r="U429" s="9" t="n">
        <v>0</v>
      </c>
      <c r="W429" s="9" t="n">
        <v>0</v>
      </c>
      <c r="Y429" s="9" t="n">
        <v>0</v>
      </c>
      <c r="AA429" s="9" t="n">
        <v>0</v>
      </c>
      <c r="AC429" s="9" t="n">
        <v>0</v>
      </c>
      <c r="AE429" s="9" t="n">
        <v>0</v>
      </c>
    </row>
    <row r="430">
      <c r="A430" s="9" t="inlineStr">
        <is>
          <t>WOVEN BAG (8102) - SKY BLUE 50KG</t>
        </is>
      </c>
      <c r="C430" s="9" t="n">
        <v>0</v>
      </c>
      <c r="E430" s="9" t="n">
        <v>0</v>
      </c>
      <c r="G430" s="9" t="n">
        <v>0</v>
      </c>
      <c r="I430" s="9" t="n">
        <v>0</v>
      </c>
      <c r="K430" s="9" t="n">
        <v>0</v>
      </c>
      <c r="M430" s="9" t="n">
        <v>0</v>
      </c>
      <c r="O430" s="9" t="n">
        <v>0</v>
      </c>
      <c r="Q430" s="9" t="n">
        <v>0</v>
      </c>
      <c r="S430" s="9" t="n">
        <v>0</v>
      </c>
      <c r="U430" s="9" t="n">
        <v>0</v>
      </c>
      <c r="W430" s="9" t="n">
        <v>0</v>
      </c>
      <c r="Y430" s="9" t="n">
        <v>0</v>
      </c>
      <c r="AA430" s="9" t="n">
        <v>0</v>
      </c>
      <c r="AC430" s="9" t="n">
        <v>0</v>
      </c>
      <c r="AE430" s="9" t="n">
        <v>0</v>
      </c>
    </row>
    <row r="431">
      <c r="A431" s="9" t="inlineStr">
        <is>
          <t>WOVEN BAG (8103) - BROWN 50KG</t>
        </is>
      </c>
      <c r="C431" s="9" t="n">
        <v>0</v>
      </c>
      <c r="E431" s="9" t="n">
        <v>0</v>
      </c>
      <c r="G431" s="9" t="n">
        <v>0</v>
      </c>
      <c r="I431" s="9" t="n">
        <v>0</v>
      </c>
      <c r="K431" s="9" t="n">
        <v>0</v>
      </c>
      <c r="M431" s="9" t="n">
        <v>0</v>
      </c>
      <c r="O431" s="9" t="n">
        <v>0</v>
      </c>
      <c r="Q431" s="9" t="n">
        <v>0</v>
      </c>
      <c r="S431" s="9" t="n">
        <v>0</v>
      </c>
      <c r="U431" s="9" t="n">
        <v>0</v>
      </c>
      <c r="W431" s="9" t="n">
        <v>0</v>
      </c>
      <c r="Y431" s="9" t="n">
        <v>0</v>
      </c>
      <c r="AA431" s="9" t="n">
        <v>0</v>
      </c>
      <c r="AC431" s="9" t="n">
        <v>0</v>
      </c>
      <c r="AE431" s="9" t="n">
        <v>0</v>
      </c>
    </row>
    <row r="432">
      <c r="A432" s="9" t="n">
        <v>1</v>
      </c>
      <c r="C432" s="9" t="n">
        <v>0</v>
      </c>
      <c r="E432" s="9" t="n">
        <v>0</v>
      </c>
      <c r="G432" s="9" t="n">
        <v>0</v>
      </c>
      <c r="I432" s="9" t="n">
        <v>0</v>
      </c>
      <c r="K432" s="9" t="n">
        <v>0</v>
      </c>
      <c r="M432" s="9" t="n">
        <v>0</v>
      </c>
      <c r="O432" s="9" t="n">
        <v>0</v>
      </c>
      <c r="Q432" s="9" t="n">
        <v>0</v>
      </c>
      <c r="S432" s="9" t="n">
        <v>0</v>
      </c>
      <c r="U432" s="9" t="n">
        <v>0</v>
      </c>
      <c r="W432" s="9" t="n">
        <v>0</v>
      </c>
      <c r="Y432" s="9" t="n">
        <v>0</v>
      </c>
      <c r="AA432" s="9" t="n">
        <v>0</v>
      </c>
      <c r="AC432" s="9" t="n">
        <v>0</v>
      </c>
      <c r="AE432" s="9" t="n">
        <v>0</v>
      </c>
    </row>
    <row r="433">
      <c r="A433" s="9" t="n">
        <v>2</v>
      </c>
      <c r="C433" s="9" t="n">
        <v>0</v>
      </c>
      <c r="E433" s="9" t="n">
        <v>0</v>
      </c>
      <c r="G433" s="9" t="n">
        <v>0</v>
      </c>
      <c r="I433" s="9" t="n">
        <v>0</v>
      </c>
      <c r="K433" s="9" t="n">
        <v>0</v>
      </c>
      <c r="M433" s="9" t="n">
        <v>0</v>
      </c>
      <c r="O433" s="9" t="n">
        <v>0</v>
      </c>
      <c r="Q433" s="9" t="n">
        <v>0</v>
      </c>
      <c r="S433" s="9" t="n">
        <v>0</v>
      </c>
      <c r="U433" s="9" t="n">
        <v>0</v>
      </c>
      <c r="W433" s="9" t="n">
        <v>0</v>
      </c>
      <c r="Y433" s="9" t="n">
        <v>0</v>
      </c>
      <c r="AA433" s="9" t="n">
        <v>0</v>
      </c>
      <c r="AC433" s="9" t="n">
        <v>0</v>
      </c>
      <c r="AE433" s="9" t="n">
        <v>0</v>
      </c>
    </row>
    <row r="434">
      <c r="A434" s="9" t="n">
        <v>3</v>
      </c>
      <c r="C434" s="9" t="n">
        <v>0</v>
      </c>
      <c r="E434" s="9" t="n">
        <v>0</v>
      </c>
      <c r="G434" s="9" t="n">
        <v>0</v>
      </c>
      <c r="I434" s="9" t="n">
        <v>0</v>
      </c>
      <c r="K434" s="9" t="n">
        <v>0</v>
      </c>
      <c r="M434" s="9" t="n">
        <v>0</v>
      </c>
      <c r="O434" s="9" t="n">
        <v>0</v>
      </c>
      <c r="Q434" s="9" t="n">
        <v>0</v>
      </c>
      <c r="S434" s="9" t="n">
        <v>0</v>
      </c>
      <c r="U434" s="9" t="n">
        <v>0</v>
      </c>
      <c r="W434" s="9" t="n">
        <v>0</v>
      </c>
      <c r="Y434" s="9" t="n">
        <v>0</v>
      </c>
      <c r="AA434" s="9" t="n">
        <v>0</v>
      </c>
      <c r="AC434" s="9" t="n">
        <v>0</v>
      </c>
      <c r="AE434" s="9" t="n">
        <v>0</v>
      </c>
    </row>
    <row r="435">
      <c r="A435" s="9" t="n">
        <v>4</v>
      </c>
      <c r="C435" s="9" t="n">
        <v>0</v>
      </c>
      <c r="E435" s="9" t="n">
        <v>0</v>
      </c>
      <c r="G435" s="9" t="n">
        <v>0</v>
      </c>
      <c r="I435" s="9" t="n">
        <v>0</v>
      </c>
      <c r="K435" s="9" t="n">
        <v>0</v>
      </c>
      <c r="M435" s="9" t="n">
        <v>0</v>
      </c>
      <c r="O435" s="9" t="n">
        <v>0</v>
      </c>
      <c r="Q435" s="9" t="n">
        <v>0</v>
      </c>
      <c r="S435" s="9" t="n">
        <v>0</v>
      </c>
      <c r="U435" s="9" t="n">
        <v>0</v>
      </c>
      <c r="W435" s="9" t="n">
        <v>0</v>
      </c>
      <c r="Y435" s="9" t="n">
        <v>0</v>
      </c>
      <c r="AA435" s="9" t="n">
        <v>0</v>
      </c>
      <c r="AC435" s="9" t="n">
        <v>0</v>
      </c>
      <c r="AE435" s="9" t="n">
        <v>0</v>
      </c>
    </row>
    <row r="436">
      <c r="A436" s="9" t="n">
        <v>5</v>
      </c>
      <c r="C436" s="9" t="n">
        <v>0</v>
      </c>
      <c r="E436" s="9" t="n">
        <v>0</v>
      </c>
      <c r="G436" s="9" t="n">
        <v>0</v>
      </c>
      <c r="I436" s="9" t="n">
        <v>0</v>
      </c>
      <c r="K436" s="9" t="n">
        <v>0</v>
      </c>
      <c r="M436" s="9" t="n">
        <v>0</v>
      </c>
      <c r="O436" s="9" t="n">
        <v>0</v>
      </c>
      <c r="Q436" s="9" t="n">
        <v>0</v>
      </c>
      <c r="S436" s="9" t="n">
        <v>0</v>
      </c>
      <c r="U436" s="9" t="n">
        <v>0</v>
      </c>
      <c r="W436" s="9" t="n">
        <v>0</v>
      </c>
      <c r="Y436" s="9" t="n">
        <v>0</v>
      </c>
      <c r="AA436" s="9" t="n">
        <v>0</v>
      </c>
      <c r="AC436" s="9" t="n">
        <v>0</v>
      </c>
      <c r="AE436" s="9" t="n">
        <v>0</v>
      </c>
    </row>
    <row r="437">
      <c r="A437" s="9" t="n">
        <v>6</v>
      </c>
      <c r="C437" s="9" t="n">
        <v>0</v>
      </c>
      <c r="E437" s="9" t="n">
        <v>0</v>
      </c>
      <c r="G437" s="9" t="n">
        <v>0</v>
      </c>
      <c r="I437" s="9" t="n">
        <v>0</v>
      </c>
      <c r="K437" s="9" t="n">
        <v>0</v>
      </c>
      <c r="M437" s="9" t="n">
        <v>0</v>
      </c>
      <c r="O437" s="9" t="n">
        <v>0</v>
      </c>
      <c r="Q437" s="9" t="n">
        <v>0</v>
      </c>
      <c r="S437" s="9" t="n">
        <v>0</v>
      </c>
      <c r="U437" s="9" t="n">
        <v>0</v>
      </c>
      <c r="W437" s="9" t="n">
        <v>0</v>
      </c>
      <c r="Y437" s="9" t="n">
        <v>0</v>
      </c>
      <c r="AA437" s="9" t="n">
        <v>0</v>
      </c>
      <c r="AC437" s="9" t="n">
        <v>0</v>
      </c>
      <c r="AE437" s="9" t="n">
        <v>0</v>
      </c>
    </row>
    <row r="438">
      <c r="A438" s="9" t="n">
        <v>7</v>
      </c>
      <c r="C438" s="9" t="n">
        <v>0</v>
      </c>
      <c r="E438" s="9" t="n">
        <v>0</v>
      </c>
      <c r="G438" s="9" t="n">
        <v>0</v>
      </c>
      <c r="I438" s="9" t="n">
        <v>0</v>
      </c>
      <c r="K438" s="9" t="n">
        <v>0</v>
      </c>
      <c r="M438" s="9" t="n">
        <v>0</v>
      </c>
      <c r="O438" s="9" t="n">
        <v>0</v>
      </c>
      <c r="Q438" s="9" t="n">
        <v>0</v>
      </c>
      <c r="S438" s="9" t="n">
        <v>0</v>
      </c>
      <c r="U438" s="9" t="n">
        <v>0</v>
      </c>
      <c r="W438" s="9" t="n">
        <v>0</v>
      </c>
      <c r="Y438" s="9" t="n">
        <v>0</v>
      </c>
      <c r="AA438" s="9" t="n">
        <v>0</v>
      </c>
      <c r="AC438" s="9" t="n">
        <v>0</v>
      </c>
      <c r="AE438" s="9" t="n">
        <v>0</v>
      </c>
    </row>
    <row r="439">
      <c r="A439" s="9" t="n">
        <v>8</v>
      </c>
      <c r="C439" s="9" t="n">
        <v>0</v>
      </c>
      <c r="E439" s="9" t="n">
        <v>0</v>
      </c>
      <c r="G439" s="9" t="n">
        <v>0</v>
      </c>
      <c r="I439" s="9" t="n">
        <v>0</v>
      </c>
      <c r="K439" s="9" t="n">
        <v>0</v>
      </c>
      <c r="M439" s="9" t="n">
        <v>0</v>
      </c>
      <c r="O439" s="9" t="n">
        <v>0</v>
      </c>
      <c r="Q439" s="9" t="n">
        <v>0</v>
      </c>
      <c r="S439" s="9" t="n">
        <v>0</v>
      </c>
      <c r="U439" s="9" t="n">
        <v>0</v>
      </c>
      <c r="W439" s="9" t="n">
        <v>0</v>
      </c>
      <c r="Y439" s="9" t="n">
        <v>0</v>
      </c>
      <c r="AA439" s="9" t="n">
        <v>0</v>
      </c>
      <c r="AC439" s="9" t="n">
        <v>0</v>
      </c>
      <c r="AE439" s="9" t="n">
        <v>0</v>
      </c>
    </row>
    <row r="440">
      <c r="A440" s="9" t="inlineStr">
        <is>
          <t>TOTAL</t>
        </is>
      </c>
      <c r="B440" s="9" t="n">
        <v>100</v>
      </c>
      <c r="C440" s="9" t="n">
        <v>1000</v>
      </c>
      <c r="D440" s="9" t="n">
        <v>100</v>
      </c>
      <c r="E440" s="9" t="n">
        <v>1000</v>
      </c>
      <c r="F440" s="9" t="n">
        <v>0</v>
      </c>
      <c r="G440" s="9" t="n">
        <v>0</v>
      </c>
      <c r="H440" s="9" t="n">
        <v>100</v>
      </c>
      <c r="I440" s="9" t="n">
        <v>1000</v>
      </c>
      <c r="J440" s="9" t="n">
        <v>99.99999999999999</v>
      </c>
      <c r="K440" s="9" t="n">
        <v>1000</v>
      </c>
      <c r="L440" s="9" t="n">
        <v>100</v>
      </c>
      <c r="M440" s="9" t="n">
        <v>999.9999999999999</v>
      </c>
      <c r="N440" s="9" t="n">
        <v>100</v>
      </c>
      <c r="O440" s="9" t="n">
        <v>999.9999999999999</v>
      </c>
      <c r="P440" s="9" t="n">
        <v>100</v>
      </c>
      <c r="Q440" s="9" t="n">
        <v>999.9999999999999</v>
      </c>
      <c r="R440" s="9" t="n">
        <v>100</v>
      </c>
      <c r="S440" s="9" t="n">
        <v>999.9999999999999</v>
      </c>
      <c r="T440" s="9" t="n">
        <v>99.99999999999999</v>
      </c>
      <c r="U440" s="9" t="n">
        <v>999.9999999999999</v>
      </c>
      <c r="V440" s="9" t="n">
        <v>99.99999999999999</v>
      </c>
      <c r="W440" s="9" t="n">
        <v>999.9999999999999</v>
      </c>
      <c r="X440" s="9" t="n">
        <v>100</v>
      </c>
      <c r="Y440" s="9" t="n">
        <v>1000</v>
      </c>
      <c r="Z440" s="9" t="n">
        <v>99.99999999999999</v>
      </c>
      <c r="AA440" s="9" t="n">
        <v>999.9999999999999</v>
      </c>
      <c r="AB440" s="9" t="n">
        <v>99.99999999999999</v>
      </c>
      <c r="AC440" s="9" t="n">
        <v>999.9999999999999</v>
      </c>
      <c r="AD440" s="9" t="n">
        <v>99.99999999999997</v>
      </c>
      <c r="AE440" s="9" t="n">
        <v>999.9999999999999</v>
      </c>
    </row>
    <row r="441"/>
    <row r="442">
      <c r="A442" s="9" t="inlineStr">
        <is>
          <t>121 (BROILER), 311, 312</t>
        </is>
      </c>
      <c r="B442" s="9" t="n">
        <v>1</v>
      </c>
      <c r="D442" s="9" t="n">
        <v>2</v>
      </c>
      <c r="F442" s="9" t="n">
        <v>3</v>
      </c>
      <c r="H442" s="9" t="n">
        <v>4</v>
      </c>
      <c r="J442" s="9" t="n">
        <v>5</v>
      </c>
      <c r="L442" s="9" t="n">
        <v>6</v>
      </c>
      <c r="N442" s="9" t="n">
        <v>7</v>
      </c>
      <c r="P442" s="9" t="n">
        <v>8</v>
      </c>
      <c r="R442" s="9" t="n">
        <v>9</v>
      </c>
      <c r="T442" s="9" t="n">
        <v>10</v>
      </c>
      <c r="V442" s="9" t="n">
        <v>11</v>
      </c>
      <c r="X442" s="9" t="n">
        <v>12</v>
      </c>
      <c r="Z442" s="9" t="n">
        <v>13</v>
      </c>
      <c r="AB442" s="9" t="n">
        <v>14</v>
      </c>
      <c r="AD442" s="9" t="n">
        <v>15</v>
      </c>
    </row>
    <row r="443">
      <c r="B443" s="9" t="inlineStr">
        <is>
          <t>YH 121 (050226)</t>
        </is>
      </c>
      <c r="D443" s="9" t="inlineStr">
        <is>
          <t>YH 121 (190326)</t>
        </is>
      </c>
      <c r="F443" s="9" t="inlineStr">
        <is>
          <t>YH 121 (020426)</t>
        </is>
      </c>
      <c r="T443" s="9" t="inlineStr">
        <is>
          <t>311 (130526)</t>
        </is>
      </c>
      <c r="V443" s="9" t="inlineStr">
        <is>
          <t>312 (130526)</t>
        </is>
      </c>
    </row>
    <row r="444">
      <c r="B444" s="9" t="inlineStr">
        <is>
          <t>SOYTIDE&amp;TOXISORB</t>
        </is>
      </c>
      <c r="D444" s="9" t="inlineStr">
        <is>
          <t>SOYTIDE&amp;TOXIWALL</t>
        </is>
      </c>
      <c r="F444" s="9" t="inlineStr">
        <is>
          <t>EP 200&amp;TOXIWALL</t>
        </is>
      </c>
    </row>
    <row r="445">
      <c r="B445" s="9" t="inlineStr">
        <is>
          <t>%</t>
        </is>
      </c>
      <c r="C445" s="9" t="inlineStr">
        <is>
          <t>BATCH</t>
        </is>
      </c>
      <c r="D445" s="9" t="inlineStr">
        <is>
          <t>%</t>
        </is>
      </c>
      <c r="E445" s="9" t="inlineStr">
        <is>
          <t>BATCH</t>
        </is>
      </c>
      <c r="F445" s="9" t="inlineStr">
        <is>
          <t>%</t>
        </is>
      </c>
      <c r="G445" s="9" t="inlineStr">
        <is>
          <t>BATCH</t>
        </is>
      </c>
      <c r="H445" s="9" t="inlineStr">
        <is>
          <t>%</t>
        </is>
      </c>
      <c r="I445" s="9" t="inlineStr">
        <is>
          <t>BATCH</t>
        </is>
      </c>
      <c r="J445" s="9" t="inlineStr">
        <is>
          <t>%</t>
        </is>
      </c>
      <c r="K445" s="9" t="inlineStr">
        <is>
          <t>BATCH</t>
        </is>
      </c>
      <c r="L445" s="9" t="inlineStr">
        <is>
          <t>%</t>
        </is>
      </c>
      <c r="M445" s="9" t="inlineStr">
        <is>
          <t>BATCH</t>
        </is>
      </c>
      <c r="N445" s="9" t="inlineStr">
        <is>
          <t>%</t>
        </is>
      </c>
      <c r="O445" s="9" t="inlineStr">
        <is>
          <t>BATCH</t>
        </is>
      </c>
      <c r="P445" s="9" t="inlineStr">
        <is>
          <t>%</t>
        </is>
      </c>
      <c r="Q445" s="9" t="inlineStr">
        <is>
          <t>BATCH</t>
        </is>
      </c>
      <c r="R445" s="9" t="inlineStr">
        <is>
          <t>%</t>
        </is>
      </c>
      <c r="S445" s="9" t="inlineStr">
        <is>
          <t>BATCH</t>
        </is>
      </c>
      <c r="T445" s="9" t="inlineStr">
        <is>
          <t>%</t>
        </is>
      </c>
      <c r="U445" s="9" t="inlineStr">
        <is>
          <t>BATCH</t>
        </is>
      </c>
      <c r="V445" s="9" t="inlineStr">
        <is>
          <t>%</t>
        </is>
      </c>
      <c r="W445" s="9" t="inlineStr">
        <is>
          <t>BATCH</t>
        </is>
      </c>
      <c r="X445" s="9" t="inlineStr">
        <is>
          <t>%</t>
        </is>
      </c>
      <c r="Y445" s="9" t="inlineStr">
        <is>
          <t>BATCH</t>
        </is>
      </c>
      <c r="Z445" s="9" t="inlineStr">
        <is>
          <t>%</t>
        </is>
      </c>
      <c r="AA445" s="9" t="inlineStr">
        <is>
          <t>BATCH</t>
        </is>
      </c>
      <c r="AB445" s="9" t="inlineStr">
        <is>
          <t>%</t>
        </is>
      </c>
      <c r="AC445" s="9" t="inlineStr">
        <is>
          <t>BATCH</t>
        </is>
      </c>
      <c r="AD445" s="9" t="inlineStr">
        <is>
          <t>%</t>
        </is>
      </c>
      <c r="AE445" s="9" t="inlineStr">
        <is>
          <t>BATCH</t>
        </is>
      </c>
    </row>
    <row r="446">
      <c r="A446" s="9" t="inlineStr">
        <is>
          <t>MAIZE/CORN</t>
        </is>
      </c>
      <c r="B446" s="9" t="n">
        <v>51.55499999999999</v>
      </c>
      <c r="C446" s="9" t="n">
        <v>515.55</v>
      </c>
      <c r="D446" s="9" t="n">
        <v>51.65499999999999</v>
      </c>
      <c r="E446" s="9" t="n">
        <v>516.55</v>
      </c>
      <c r="F446" s="9" t="n">
        <v>51.90650000000001</v>
      </c>
      <c r="G446" s="9" t="n">
        <v>519.0650000000001</v>
      </c>
      <c r="I446" s="9" t="n">
        <v>0</v>
      </c>
      <c r="K446" s="9" t="n">
        <v>0</v>
      </c>
      <c r="M446" s="9" t="n">
        <v>0</v>
      </c>
      <c r="O446" s="9" t="n">
        <v>0</v>
      </c>
      <c r="Q446" s="9" t="n">
        <v>0</v>
      </c>
      <c r="S446" s="9" t="n">
        <v>0</v>
      </c>
      <c r="T446" s="9" t="n">
        <v>57.7</v>
      </c>
      <c r="U446" s="9" t="n">
        <v>577.0000000000001</v>
      </c>
      <c r="V446" s="9" t="n">
        <v>61.6</v>
      </c>
      <c r="W446" s="9" t="n">
        <v>616</v>
      </c>
      <c r="Y446" s="9" t="n">
        <v>0</v>
      </c>
      <c r="AA446" s="9" t="n">
        <v>0</v>
      </c>
      <c r="AC446" s="9" t="n">
        <v>0</v>
      </c>
      <c r="AE446" s="9" t="n">
        <v>0</v>
      </c>
    </row>
    <row r="447">
      <c r="A447" s="9" t="inlineStr">
        <is>
          <t>SOYBEAN MEAL (ARG)</t>
        </is>
      </c>
      <c r="B447" s="9" t="n">
        <v>23.85</v>
      </c>
      <c r="C447" s="9" t="n">
        <v>238.5</v>
      </c>
      <c r="D447" s="9" t="n">
        <v>23.85</v>
      </c>
      <c r="E447" s="9" t="n">
        <v>238.5</v>
      </c>
      <c r="F447" s="9" t="n">
        <v>23.2335</v>
      </c>
      <c r="G447" s="9" t="n">
        <v>232.335</v>
      </c>
      <c r="I447" s="9" t="n">
        <v>0</v>
      </c>
      <c r="K447" s="9" t="n">
        <v>0</v>
      </c>
      <c r="M447" s="9" t="n">
        <v>0</v>
      </c>
      <c r="O447" s="9" t="n">
        <v>0</v>
      </c>
      <c r="Q447" s="9" t="n">
        <v>0</v>
      </c>
      <c r="S447" s="9" t="n">
        <v>0</v>
      </c>
      <c r="T447" s="9" t="n">
        <v>25.7</v>
      </c>
      <c r="U447" s="9" t="n">
        <v>257</v>
      </c>
      <c r="V447" s="9" t="n">
        <v>20</v>
      </c>
      <c r="W447" s="9" t="n">
        <v>200</v>
      </c>
      <c r="Y447" s="9" t="n">
        <v>0</v>
      </c>
      <c r="AA447" s="9" t="n">
        <v>0</v>
      </c>
      <c r="AC447" s="9" t="n">
        <v>0</v>
      </c>
      <c r="AE447" s="9" t="n">
        <v>0</v>
      </c>
    </row>
    <row r="448">
      <c r="A448" s="9" t="inlineStr">
        <is>
          <t>SOYBEAN FULL FAT</t>
        </is>
      </c>
      <c r="B448" s="9" t="n">
        <v>6.65</v>
      </c>
      <c r="C448" s="9" t="n">
        <v>66.5</v>
      </c>
      <c r="D448" s="9" t="n">
        <v>6.65</v>
      </c>
      <c r="E448" s="9" t="n">
        <v>66.5</v>
      </c>
      <c r="F448" s="9" t="n">
        <v>6.666500000000001</v>
      </c>
      <c r="G448" s="9" t="n">
        <v>66.66500000000002</v>
      </c>
      <c r="I448" s="9" t="n">
        <v>0</v>
      </c>
      <c r="K448" s="9" t="n">
        <v>0</v>
      </c>
      <c r="M448" s="9" t="n">
        <v>0</v>
      </c>
      <c r="O448" s="9" t="n">
        <v>0</v>
      </c>
      <c r="Q448" s="9" t="n">
        <v>0</v>
      </c>
      <c r="S448" s="9" t="n">
        <v>0</v>
      </c>
      <c r="T448" s="9" t="n">
        <v>3</v>
      </c>
      <c r="U448" s="9" t="n">
        <v>30</v>
      </c>
      <c r="V448" s="9" t="n">
        <v>4</v>
      </c>
      <c r="W448" s="9" t="n">
        <v>40</v>
      </c>
      <c r="Y448" s="9" t="n">
        <v>0</v>
      </c>
      <c r="AA448" s="9" t="n">
        <v>0</v>
      </c>
      <c r="AC448" s="9" t="n">
        <v>0</v>
      </c>
      <c r="AE448" s="9" t="n">
        <v>0</v>
      </c>
    </row>
    <row r="449">
      <c r="A449" s="9" t="inlineStr">
        <is>
          <t>WHEAT POLLARD</t>
        </is>
      </c>
      <c r="B449" s="9" t="n">
        <v>1</v>
      </c>
      <c r="C449" s="9" t="n">
        <v>10</v>
      </c>
      <c r="D449" s="9" t="n">
        <v>1</v>
      </c>
      <c r="E449" s="9" t="n">
        <v>10</v>
      </c>
      <c r="F449" s="9" t="n">
        <v>1.2</v>
      </c>
      <c r="G449" s="9" t="n">
        <v>12</v>
      </c>
      <c r="I449" s="9" t="n">
        <v>0</v>
      </c>
      <c r="K449" s="9" t="n">
        <v>0</v>
      </c>
      <c r="M449" s="9" t="n">
        <v>0</v>
      </c>
      <c r="O449" s="9" t="n">
        <v>0</v>
      </c>
      <c r="Q449" s="9" t="n">
        <v>0</v>
      </c>
      <c r="S449" s="9" t="n">
        <v>0</v>
      </c>
      <c r="T449" s="9" t="n">
        <v>2</v>
      </c>
      <c r="U449" s="9" t="n">
        <v>20</v>
      </c>
      <c r="V449" s="9" t="n">
        <v>2</v>
      </c>
      <c r="W449" s="9" t="n">
        <v>20</v>
      </c>
      <c r="Y449" s="9" t="n">
        <v>0</v>
      </c>
      <c r="AA449" s="9" t="n">
        <v>0</v>
      </c>
      <c r="AC449" s="9" t="n">
        <v>0</v>
      </c>
      <c r="AE449" s="9" t="n">
        <v>0</v>
      </c>
    </row>
    <row r="450">
      <c r="A450" s="9" t="inlineStr">
        <is>
          <t>WHEAT</t>
        </is>
      </c>
      <c r="C450" s="9" t="n">
        <v>0</v>
      </c>
      <c r="E450" s="9" t="n">
        <v>0</v>
      </c>
      <c r="G450" s="9" t="n">
        <v>0</v>
      </c>
      <c r="I450" s="9" t="n">
        <v>0</v>
      </c>
      <c r="K450" s="9" t="n">
        <v>0</v>
      </c>
      <c r="M450" s="9" t="n">
        <v>0</v>
      </c>
      <c r="O450" s="9" t="n">
        <v>0</v>
      </c>
      <c r="Q450" s="9" t="n">
        <v>0</v>
      </c>
      <c r="S450" s="9" t="n">
        <v>0</v>
      </c>
      <c r="U450" s="9" t="n">
        <v>0</v>
      </c>
      <c r="W450" s="9" t="n">
        <v>0</v>
      </c>
      <c r="Y450" s="9" t="n">
        <v>0</v>
      </c>
      <c r="AA450" s="9" t="n">
        <v>0</v>
      </c>
      <c r="AC450" s="9" t="n">
        <v>0</v>
      </c>
      <c r="AE450" s="9" t="n">
        <v>0</v>
      </c>
    </row>
    <row r="451">
      <c r="A451" s="9" t="inlineStr">
        <is>
          <t>MEAT AND BONE MEAL</t>
        </is>
      </c>
      <c r="B451" s="9" t="n">
        <v>2.5</v>
      </c>
      <c r="C451" s="9" t="n">
        <v>25</v>
      </c>
      <c r="D451" s="9" t="n">
        <v>2.5</v>
      </c>
      <c r="E451" s="9" t="n">
        <v>25</v>
      </c>
      <c r="F451" s="9" t="n">
        <v>2.5</v>
      </c>
      <c r="G451" s="9" t="n">
        <v>25</v>
      </c>
      <c r="I451" s="9" t="n">
        <v>0</v>
      </c>
      <c r="K451" s="9" t="n">
        <v>0</v>
      </c>
      <c r="M451" s="9" t="n">
        <v>0</v>
      </c>
      <c r="O451" s="9" t="n">
        <v>0</v>
      </c>
      <c r="Q451" s="9" t="n">
        <v>0</v>
      </c>
      <c r="S451" s="9" t="n">
        <v>0</v>
      </c>
      <c r="T451" s="9" t="n">
        <v>7.5</v>
      </c>
      <c r="U451" s="9" t="n">
        <v>75</v>
      </c>
      <c r="V451" s="9" t="n">
        <v>6.5</v>
      </c>
      <c r="W451" s="9" t="n">
        <v>65</v>
      </c>
      <c r="Y451" s="9" t="n">
        <v>0</v>
      </c>
      <c r="AA451" s="9" t="n">
        <v>0</v>
      </c>
      <c r="AC451" s="9" t="n">
        <v>0</v>
      </c>
      <c r="AE451" s="9" t="n">
        <v>0</v>
      </c>
    </row>
    <row r="452">
      <c r="A452" s="9" t="inlineStr">
        <is>
          <t>CORN GLUTEN MEAL</t>
        </is>
      </c>
      <c r="B452" s="9" t="n">
        <v>2.8</v>
      </c>
      <c r="C452" s="9" t="n">
        <v>28</v>
      </c>
      <c r="D452" s="9" t="n">
        <v>2.8</v>
      </c>
      <c r="E452" s="9" t="n">
        <v>28</v>
      </c>
      <c r="F452" s="9" t="n">
        <v>3.4</v>
      </c>
      <c r="G452" s="9" t="n">
        <v>34</v>
      </c>
      <c r="I452" s="9" t="n">
        <v>0</v>
      </c>
      <c r="K452" s="9" t="n">
        <v>0</v>
      </c>
      <c r="M452" s="9" t="n">
        <v>0</v>
      </c>
      <c r="O452" s="9" t="n">
        <v>0</v>
      </c>
      <c r="Q452" s="9" t="n">
        <v>0</v>
      </c>
      <c r="S452" s="9" t="n">
        <v>0</v>
      </c>
      <c r="U452" s="9" t="n">
        <v>0</v>
      </c>
      <c r="V452" s="9" t="n">
        <v>1</v>
      </c>
      <c r="W452" s="9" t="n">
        <v>10</v>
      </c>
      <c r="Y452" s="9" t="n">
        <v>0</v>
      </c>
      <c r="AA452" s="9" t="n">
        <v>0</v>
      </c>
      <c r="AC452" s="9" t="n">
        <v>0</v>
      </c>
      <c r="AE452" s="9" t="n">
        <v>0</v>
      </c>
    </row>
    <row r="453">
      <c r="A453" s="9" t="inlineStr">
        <is>
          <t>MEGAFAT (HARUMI)</t>
        </is>
      </c>
      <c r="B453" s="9" t="n">
        <v>1.5</v>
      </c>
      <c r="C453" s="9" t="n">
        <v>15</v>
      </c>
      <c r="D453" s="9" t="n">
        <v>1.5</v>
      </c>
      <c r="E453" s="9" t="n">
        <v>15</v>
      </c>
      <c r="F453" s="9" t="n">
        <v>1.4665</v>
      </c>
      <c r="G453" s="9" t="n">
        <v>14.665</v>
      </c>
      <c r="I453" s="9" t="n">
        <v>0</v>
      </c>
      <c r="K453" s="9" t="n">
        <v>0</v>
      </c>
      <c r="M453" s="9" t="n">
        <v>0</v>
      </c>
      <c r="O453" s="9" t="n">
        <v>0</v>
      </c>
      <c r="Q453" s="9" t="n">
        <v>0</v>
      </c>
      <c r="S453" s="9" t="n">
        <v>0</v>
      </c>
      <c r="T453" s="9" t="n">
        <v>1.3</v>
      </c>
      <c r="U453" s="9" t="n">
        <v>13</v>
      </c>
      <c r="V453" s="9" t="n">
        <v>2.3</v>
      </c>
      <c r="W453" s="9" t="n">
        <v>23</v>
      </c>
      <c r="Y453" s="9" t="n">
        <v>0</v>
      </c>
      <c r="AA453" s="9" t="n">
        <v>0</v>
      </c>
      <c r="AC453" s="9" t="n">
        <v>0</v>
      </c>
      <c r="AE453" s="9" t="n">
        <v>0</v>
      </c>
    </row>
    <row r="454">
      <c r="A454" s="9" t="inlineStr">
        <is>
          <t>DCP 18%</t>
        </is>
      </c>
      <c r="B454" s="9" t="n">
        <v>0.45</v>
      </c>
      <c r="C454" s="9" t="n">
        <v>4.500000000000001</v>
      </c>
      <c r="D454" s="9" t="n">
        <v>0.45</v>
      </c>
      <c r="E454" s="9" t="n">
        <v>4.500000000000001</v>
      </c>
      <c r="F454" s="9" t="n">
        <v>0.4</v>
      </c>
      <c r="G454" s="9" t="n">
        <v>4</v>
      </c>
      <c r="I454" s="9" t="n">
        <v>0</v>
      </c>
      <c r="K454" s="9" t="n">
        <v>0</v>
      </c>
      <c r="M454" s="9" t="n">
        <v>0</v>
      </c>
      <c r="O454" s="9" t="n">
        <v>0</v>
      </c>
      <c r="Q454" s="9" t="n">
        <v>0</v>
      </c>
      <c r="S454" s="9" t="n">
        <v>0</v>
      </c>
      <c r="U454" s="9" t="n">
        <v>0</v>
      </c>
      <c r="W454" s="9" t="n">
        <v>0</v>
      </c>
      <c r="Y454" s="9" t="n">
        <v>0</v>
      </c>
      <c r="AA454" s="9" t="n">
        <v>0</v>
      </c>
      <c r="AC454" s="9" t="n">
        <v>0</v>
      </c>
      <c r="AE454" s="9" t="n">
        <v>0</v>
      </c>
    </row>
    <row r="455">
      <c r="A455" s="9" t="inlineStr">
        <is>
          <t>LIMESTONE POWDER (HARUMI)</t>
        </is>
      </c>
      <c r="B455" s="9" t="n">
        <v>0.7</v>
      </c>
      <c r="C455" s="9" t="n">
        <v>6.999999999999999</v>
      </c>
      <c r="D455" s="9" t="n">
        <v>0.7</v>
      </c>
      <c r="E455" s="9" t="n">
        <v>6.999999999999999</v>
      </c>
      <c r="F455" s="9" t="n">
        <v>0.7</v>
      </c>
      <c r="G455" s="9" t="n">
        <v>6.999999999999999</v>
      </c>
      <c r="I455" s="9" t="n">
        <v>0</v>
      </c>
      <c r="K455" s="9" t="n">
        <v>0</v>
      </c>
      <c r="M455" s="9" t="n">
        <v>0</v>
      </c>
      <c r="O455" s="9" t="n">
        <v>0</v>
      </c>
      <c r="Q455" s="9" t="n">
        <v>0</v>
      </c>
      <c r="S455" s="9" t="n">
        <v>0</v>
      </c>
      <c r="U455" s="9" t="n">
        <v>0</v>
      </c>
      <c r="W455" s="9" t="n">
        <v>0</v>
      </c>
      <c r="Y455" s="9" t="n">
        <v>0</v>
      </c>
      <c r="AA455" s="9" t="n">
        <v>0</v>
      </c>
      <c r="AC455" s="9" t="n">
        <v>0</v>
      </c>
      <c r="AE455" s="9" t="n">
        <v>0</v>
      </c>
    </row>
    <row r="456">
      <c r="A456" s="9" t="inlineStr">
        <is>
          <t>CHOLINE CHLORIDE 60%</t>
        </is>
      </c>
      <c r="C456" s="9" t="n">
        <v>0</v>
      </c>
      <c r="E456" s="9" t="n">
        <v>0</v>
      </c>
      <c r="G456" s="9" t="n">
        <v>0</v>
      </c>
      <c r="I456" s="9" t="n">
        <v>0</v>
      </c>
      <c r="K456" s="9" t="n">
        <v>0</v>
      </c>
      <c r="M456" s="9" t="n">
        <v>0</v>
      </c>
      <c r="O456" s="9" t="n">
        <v>0</v>
      </c>
      <c r="Q456" s="9" t="n">
        <v>0</v>
      </c>
      <c r="S456" s="9" t="n">
        <v>0</v>
      </c>
      <c r="U456" s="9" t="n">
        <v>0</v>
      </c>
      <c r="W456" s="9" t="n">
        <v>0</v>
      </c>
      <c r="Y456" s="9" t="n">
        <v>0</v>
      </c>
      <c r="AA456" s="9" t="n">
        <v>0</v>
      </c>
      <c r="AC456" s="9" t="n">
        <v>0</v>
      </c>
      <c r="AE456" s="9" t="n">
        <v>0</v>
      </c>
    </row>
    <row r="457">
      <c r="A457" s="9" t="inlineStr">
        <is>
          <t>INDUSTRY FLOUR</t>
        </is>
      </c>
      <c r="B457" s="9" t="n">
        <v>3.35</v>
      </c>
      <c r="C457" s="9" t="n">
        <v>33.5</v>
      </c>
      <c r="D457" s="9" t="n">
        <v>3.35</v>
      </c>
      <c r="E457" s="9" t="n">
        <v>33.5</v>
      </c>
      <c r="F457" s="9" t="n">
        <v>3.3335</v>
      </c>
      <c r="G457" s="9" t="n">
        <v>33.33499999999999</v>
      </c>
      <c r="I457" s="9" t="n">
        <v>0</v>
      </c>
      <c r="K457" s="9" t="n">
        <v>0</v>
      </c>
      <c r="M457" s="9" t="n">
        <v>0</v>
      </c>
      <c r="O457" s="9" t="n">
        <v>0</v>
      </c>
      <c r="Q457" s="9" t="n">
        <v>0</v>
      </c>
      <c r="S457" s="9" t="n">
        <v>0</v>
      </c>
      <c r="U457" s="9" t="n">
        <v>0</v>
      </c>
      <c r="W457" s="9" t="n">
        <v>0</v>
      </c>
      <c r="Y457" s="9" t="n">
        <v>0</v>
      </c>
      <c r="AA457" s="9" t="n">
        <v>0</v>
      </c>
      <c r="AC457" s="9" t="n">
        <v>0</v>
      </c>
      <c r="AE457" s="9" t="n">
        <v>0</v>
      </c>
    </row>
    <row r="458">
      <c r="A458" s="9" t="inlineStr">
        <is>
          <t>RICE BRAN</t>
        </is>
      </c>
      <c r="B458" s="9" t="n">
        <v>0.35</v>
      </c>
      <c r="C458" s="9" t="n">
        <v>3.5</v>
      </c>
      <c r="D458" s="9" t="n">
        <v>0.35</v>
      </c>
      <c r="E458" s="9" t="n">
        <v>3.5</v>
      </c>
      <c r="G458" s="9" t="n">
        <v>0</v>
      </c>
      <c r="I458" s="9" t="n">
        <v>0</v>
      </c>
      <c r="K458" s="9" t="n">
        <v>0</v>
      </c>
      <c r="M458" s="9" t="n">
        <v>0</v>
      </c>
      <c r="O458" s="9" t="n">
        <v>0</v>
      </c>
      <c r="Q458" s="9" t="n">
        <v>0</v>
      </c>
      <c r="S458" s="9" t="n">
        <v>0</v>
      </c>
      <c r="U458" s="9" t="n">
        <v>0</v>
      </c>
      <c r="W458" s="9" t="n">
        <v>0</v>
      </c>
      <c r="Y458" s="9" t="n">
        <v>0</v>
      </c>
      <c r="AA458" s="9" t="n">
        <v>0</v>
      </c>
      <c r="AC458" s="9" t="n">
        <v>0</v>
      </c>
      <c r="AE458" s="9" t="n">
        <v>0</v>
      </c>
    </row>
    <row r="459">
      <c r="A459" s="9" t="inlineStr">
        <is>
          <t>EP 200</t>
        </is>
      </c>
      <c r="C459" s="9" t="n">
        <v>0</v>
      </c>
      <c r="E459" s="9" t="n">
        <v>0</v>
      </c>
      <c r="F459" s="9" t="n">
        <v>2.5</v>
      </c>
      <c r="G459" s="9" t="n">
        <v>25</v>
      </c>
      <c r="I459" s="9" t="n">
        <v>0</v>
      </c>
      <c r="K459" s="9" t="n">
        <v>0</v>
      </c>
      <c r="M459" s="9" t="n">
        <v>0</v>
      </c>
      <c r="O459" s="9" t="n">
        <v>0</v>
      </c>
      <c r="Q459" s="9" t="n">
        <v>0</v>
      </c>
      <c r="S459" s="9" t="n">
        <v>0</v>
      </c>
      <c r="U459" s="9" t="n">
        <v>0</v>
      </c>
      <c r="W459" s="9" t="n">
        <v>0</v>
      </c>
      <c r="Y459" s="9" t="n">
        <v>0</v>
      </c>
      <c r="AA459" s="9" t="n">
        <v>0</v>
      </c>
      <c r="AC459" s="9" t="n">
        <v>0</v>
      </c>
      <c r="AE459" s="9" t="n">
        <v>0</v>
      </c>
    </row>
    <row r="460">
      <c r="A460" s="9" t="inlineStr">
        <is>
          <t>SOYTIDE</t>
        </is>
      </c>
      <c r="B460" s="9" t="n">
        <v>2.5</v>
      </c>
      <c r="C460" s="9" t="n">
        <v>25</v>
      </c>
      <c r="D460" s="9" t="n">
        <v>2.5</v>
      </c>
      <c r="E460" s="9" t="n">
        <v>25</v>
      </c>
      <c r="G460" s="9" t="n">
        <v>0</v>
      </c>
      <c r="I460" s="9" t="n">
        <v>0</v>
      </c>
      <c r="K460" s="9" t="n">
        <v>0</v>
      </c>
      <c r="M460" s="9" t="n">
        <v>0</v>
      </c>
      <c r="O460" s="9" t="n">
        <v>0</v>
      </c>
      <c r="Q460" s="9" t="n">
        <v>0</v>
      </c>
      <c r="S460" s="9" t="n">
        <v>0</v>
      </c>
      <c r="U460" s="9" t="n">
        <v>0</v>
      </c>
      <c r="W460" s="9" t="n">
        <v>0</v>
      </c>
      <c r="Y460" s="9" t="n">
        <v>0</v>
      </c>
      <c r="AA460" s="9" t="n">
        <v>0</v>
      </c>
      <c r="AC460" s="9" t="n">
        <v>0</v>
      </c>
      <c r="AE460" s="9" t="n">
        <v>0</v>
      </c>
    </row>
    <row r="461">
      <c r="A461" s="9" t="inlineStr">
        <is>
          <t>DCP 18% (HARUMI)</t>
        </is>
      </c>
      <c r="C461" s="9" t="n">
        <v>0</v>
      </c>
      <c r="E461" s="9" t="n">
        <v>0</v>
      </c>
      <c r="G461" s="9" t="n">
        <v>0</v>
      </c>
      <c r="I461" s="9" t="n">
        <v>0</v>
      </c>
      <c r="K461" s="9" t="n">
        <v>0</v>
      </c>
      <c r="M461" s="9" t="n">
        <v>0</v>
      </c>
      <c r="O461" s="9" t="n">
        <v>0</v>
      </c>
      <c r="Q461" s="9" t="n">
        <v>0</v>
      </c>
      <c r="S461" s="9" t="n">
        <v>0</v>
      </c>
      <c r="U461" s="9" t="n">
        <v>0</v>
      </c>
      <c r="W461" s="9" t="n">
        <v>0</v>
      </c>
      <c r="Y461" s="9" t="n">
        <v>0</v>
      </c>
      <c r="AA461" s="9" t="n">
        <v>0</v>
      </c>
      <c r="AC461" s="9" t="n">
        <v>0</v>
      </c>
      <c r="AE461" s="9" t="n">
        <v>0</v>
      </c>
    </row>
    <row r="462">
      <c r="A462" s="9" t="n">
        <v>1</v>
      </c>
      <c r="C462" s="9" t="n">
        <v>0</v>
      </c>
      <c r="E462" s="9" t="n">
        <v>0</v>
      </c>
      <c r="G462" s="9" t="n">
        <v>0</v>
      </c>
      <c r="I462" s="9" t="n">
        <v>0</v>
      </c>
      <c r="K462" s="9" t="n">
        <v>0</v>
      </c>
      <c r="M462" s="9" t="n">
        <v>0</v>
      </c>
      <c r="O462" s="9" t="n">
        <v>0</v>
      </c>
      <c r="Q462" s="9" t="n">
        <v>0</v>
      </c>
      <c r="S462" s="9" t="n">
        <v>0</v>
      </c>
      <c r="U462" s="9" t="n">
        <v>0</v>
      </c>
      <c r="W462" s="9" t="n">
        <v>0</v>
      </c>
      <c r="Y462" s="9" t="n">
        <v>0</v>
      </c>
      <c r="AA462" s="9" t="n">
        <v>0</v>
      </c>
      <c r="AC462" s="9" t="n">
        <v>0</v>
      </c>
      <c r="AE462" s="9" t="n">
        <v>0</v>
      </c>
    </row>
    <row r="463">
      <c r="A463" s="9" t="n">
        <v>2</v>
      </c>
      <c r="C463" s="9" t="n">
        <v>0</v>
      </c>
      <c r="E463" s="9" t="n">
        <v>0</v>
      </c>
      <c r="G463" s="9" t="n">
        <v>0</v>
      </c>
      <c r="I463" s="9" t="n">
        <v>0</v>
      </c>
      <c r="K463" s="9" t="n">
        <v>0</v>
      </c>
      <c r="M463" s="9" t="n">
        <v>0</v>
      </c>
      <c r="O463" s="9" t="n">
        <v>0</v>
      </c>
      <c r="Q463" s="9" t="n">
        <v>0</v>
      </c>
      <c r="S463" s="9" t="n">
        <v>0</v>
      </c>
      <c r="U463" s="9" t="n">
        <v>0</v>
      </c>
      <c r="W463" s="9" t="n">
        <v>0</v>
      </c>
      <c r="Y463" s="9" t="n">
        <v>0</v>
      </c>
      <c r="AA463" s="9" t="n">
        <v>0</v>
      </c>
      <c r="AC463" s="9" t="n">
        <v>0</v>
      </c>
      <c r="AE463" s="9" t="n">
        <v>0</v>
      </c>
    </row>
    <row r="464">
      <c r="A464" s="9" t="n">
        <v>3</v>
      </c>
      <c r="C464" s="9" t="n">
        <v>0</v>
      </c>
      <c r="E464" s="9" t="n">
        <v>0</v>
      </c>
      <c r="G464" s="9" t="n">
        <v>0</v>
      </c>
      <c r="I464" s="9" t="n">
        <v>0</v>
      </c>
      <c r="K464" s="9" t="n">
        <v>0</v>
      </c>
      <c r="M464" s="9" t="n">
        <v>0</v>
      </c>
      <c r="O464" s="9" t="n">
        <v>0</v>
      </c>
      <c r="Q464" s="9" t="n">
        <v>0</v>
      </c>
      <c r="S464" s="9" t="n">
        <v>0</v>
      </c>
      <c r="U464" s="9" t="n">
        <v>0</v>
      </c>
      <c r="W464" s="9" t="n">
        <v>0</v>
      </c>
      <c r="Y464" s="9" t="n">
        <v>0</v>
      </c>
      <c r="AA464" s="9" t="n">
        <v>0</v>
      </c>
      <c r="AC464" s="9" t="n">
        <v>0</v>
      </c>
      <c r="AE464" s="9" t="n">
        <v>0</v>
      </c>
    </row>
    <row r="465">
      <c r="A465" s="9" t="inlineStr">
        <is>
          <t>PREMIX 1101 (20KG)</t>
        </is>
      </c>
      <c r="C465" s="9" t="n">
        <v>0</v>
      </c>
      <c r="E465" s="9" t="n">
        <v>0</v>
      </c>
      <c r="G465" s="9" t="n">
        <v>0</v>
      </c>
      <c r="I465" s="9" t="n">
        <v>0</v>
      </c>
      <c r="K465" s="9" t="n">
        <v>0</v>
      </c>
      <c r="M465" s="9" t="n">
        <v>0</v>
      </c>
      <c r="O465" s="9" t="n">
        <v>0</v>
      </c>
      <c r="Q465" s="9" t="n">
        <v>0</v>
      </c>
      <c r="S465" s="9" t="n">
        <v>0</v>
      </c>
      <c r="U465" s="9" t="n">
        <v>0</v>
      </c>
      <c r="W465" s="9" t="n">
        <v>0</v>
      </c>
      <c r="Y465" s="9" t="n">
        <v>0</v>
      </c>
      <c r="AA465" s="9" t="n">
        <v>0</v>
      </c>
      <c r="AC465" s="9" t="n">
        <v>0</v>
      </c>
      <c r="AE465" s="9" t="n">
        <v>0</v>
      </c>
    </row>
    <row r="466">
      <c r="A466" s="9" t="inlineStr">
        <is>
          <t>PREMIX 1102 (20KG)</t>
        </is>
      </c>
      <c r="C466" s="9" t="n">
        <v>0</v>
      </c>
      <c r="E466" s="9" t="n">
        <v>0</v>
      </c>
      <c r="G466" s="9" t="n">
        <v>0</v>
      </c>
      <c r="I466" s="9" t="n">
        <v>0</v>
      </c>
      <c r="K466" s="9" t="n">
        <v>0</v>
      </c>
      <c r="M466" s="9" t="n">
        <v>0</v>
      </c>
      <c r="O466" s="9" t="n">
        <v>0</v>
      </c>
      <c r="Q466" s="9" t="n">
        <v>0</v>
      </c>
      <c r="S466" s="9" t="n">
        <v>0</v>
      </c>
      <c r="U466" s="9" t="n">
        <v>0</v>
      </c>
      <c r="W466" s="9" t="n">
        <v>0</v>
      </c>
      <c r="Y466" s="9" t="n">
        <v>0</v>
      </c>
      <c r="AA466" s="9" t="n">
        <v>0</v>
      </c>
      <c r="AC466" s="9" t="n">
        <v>0</v>
      </c>
      <c r="AE466" s="9" t="n">
        <v>0</v>
      </c>
    </row>
    <row r="467">
      <c r="A467" s="9" t="inlineStr">
        <is>
          <t>PREMIX 1103 (20KG)</t>
        </is>
      </c>
      <c r="C467" s="9" t="n">
        <v>0</v>
      </c>
      <c r="E467" s="9" t="n">
        <v>0</v>
      </c>
      <c r="G467" s="9" t="n">
        <v>0</v>
      </c>
      <c r="I467" s="9" t="n">
        <v>0</v>
      </c>
      <c r="K467" s="9" t="n">
        <v>0</v>
      </c>
      <c r="M467" s="9" t="n">
        <v>0</v>
      </c>
      <c r="O467" s="9" t="n">
        <v>0</v>
      </c>
      <c r="Q467" s="9" t="n">
        <v>0</v>
      </c>
      <c r="S467" s="9" t="n">
        <v>0</v>
      </c>
      <c r="U467" s="9" t="n">
        <v>0</v>
      </c>
      <c r="W467" s="9" t="n">
        <v>0</v>
      </c>
      <c r="Y467" s="9" t="n">
        <v>0</v>
      </c>
      <c r="AA467" s="9" t="n">
        <v>0</v>
      </c>
      <c r="AC467" s="9" t="n">
        <v>0</v>
      </c>
      <c r="AE467" s="9" t="n">
        <v>0</v>
      </c>
    </row>
    <row r="468">
      <c r="A468" s="9" t="inlineStr">
        <is>
          <t>PREMIX 311 (20KG)</t>
        </is>
      </c>
      <c r="C468" s="9" t="n">
        <v>0</v>
      </c>
      <c r="E468" s="9" t="n">
        <v>0</v>
      </c>
      <c r="G468" s="9" t="n">
        <v>0</v>
      </c>
      <c r="I468" s="9" t="n">
        <v>0</v>
      </c>
      <c r="K468" s="9" t="n">
        <v>0</v>
      </c>
      <c r="M468" s="9" t="n">
        <v>0</v>
      </c>
      <c r="O468" s="9" t="n">
        <v>0</v>
      </c>
      <c r="Q468" s="9" t="n">
        <v>0</v>
      </c>
      <c r="S468" s="9" t="n">
        <v>0</v>
      </c>
      <c r="T468" s="9" t="n">
        <v>2</v>
      </c>
      <c r="U468" s="9" t="n">
        <v>20</v>
      </c>
      <c r="W468" s="9" t="n">
        <v>0</v>
      </c>
      <c r="Y468" s="9" t="n">
        <v>0</v>
      </c>
      <c r="AA468" s="9" t="n">
        <v>0</v>
      </c>
      <c r="AC468" s="9" t="n">
        <v>0</v>
      </c>
      <c r="AE468" s="9" t="n">
        <v>0</v>
      </c>
    </row>
    <row r="469">
      <c r="A469" s="9" t="inlineStr">
        <is>
          <t>PREMIX 312 (20KG)</t>
        </is>
      </c>
      <c r="C469" s="9" t="n">
        <v>0</v>
      </c>
      <c r="E469" s="9" t="n">
        <v>0</v>
      </c>
      <c r="G469" s="9" t="n">
        <v>0</v>
      </c>
      <c r="I469" s="9" t="n">
        <v>0</v>
      </c>
      <c r="K469" s="9" t="n">
        <v>0</v>
      </c>
      <c r="M469" s="9" t="n">
        <v>0</v>
      </c>
      <c r="O469" s="9" t="n">
        <v>0</v>
      </c>
      <c r="Q469" s="9" t="n">
        <v>0</v>
      </c>
      <c r="S469" s="9" t="n">
        <v>0</v>
      </c>
      <c r="U469" s="9" t="n">
        <v>0</v>
      </c>
      <c r="V469" s="9" t="n">
        <v>2</v>
      </c>
      <c r="W469" s="9" t="n">
        <v>20</v>
      </c>
      <c r="Y469" s="9" t="n">
        <v>0</v>
      </c>
      <c r="AA469" s="9" t="n">
        <v>0</v>
      </c>
      <c r="AC469" s="9" t="n">
        <v>0</v>
      </c>
      <c r="AE469" s="9" t="n">
        <v>0</v>
      </c>
    </row>
    <row r="470">
      <c r="A470" s="9" t="n">
        <v>1</v>
      </c>
      <c r="C470" s="9" t="n">
        <v>0</v>
      </c>
      <c r="E470" s="9" t="n">
        <v>0</v>
      </c>
      <c r="G470" s="9" t="n">
        <v>0</v>
      </c>
      <c r="I470" s="9" t="n">
        <v>0</v>
      </c>
      <c r="K470" s="9" t="n">
        <v>0</v>
      </c>
      <c r="M470" s="9" t="n">
        <v>0</v>
      </c>
      <c r="O470" s="9" t="n">
        <v>0</v>
      </c>
      <c r="Q470" s="9" t="n">
        <v>0</v>
      </c>
      <c r="S470" s="9" t="n">
        <v>0</v>
      </c>
      <c r="U470" s="9" t="n">
        <v>0</v>
      </c>
      <c r="W470" s="9" t="n">
        <v>0</v>
      </c>
      <c r="Y470" s="9" t="n">
        <v>0</v>
      </c>
      <c r="AA470" s="9" t="n">
        <v>0</v>
      </c>
      <c r="AC470" s="9" t="n">
        <v>0</v>
      </c>
      <c r="AE470" s="9" t="n">
        <v>0</v>
      </c>
    </row>
    <row r="471">
      <c r="A471" s="9" t="inlineStr">
        <is>
          <t>PREMIX 8100 (20KG)</t>
        </is>
      </c>
      <c r="C471" s="9" t="n">
        <v>0</v>
      </c>
      <c r="E471" s="9" t="n">
        <v>0</v>
      </c>
      <c r="G471" s="9" t="n">
        <v>0</v>
      </c>
      <c r="I471" s="9" t="n">
        <v>0</v>
      </c>
      <c r="K471" s="9" t="n">
        <v>0</v>
      </c>
      <c r="M471" s="9" t="n">
        <v>0</v>
      </c>
      <c r="O471" s="9" t="n">
        <v>0</v>
      </c>
      <c r="Q471" s="9" t="n">
        <v>0</v>
      </c>
      <c r="S471" s="9" t="n">
        <v>0</v>
      </c>
      <c r="U471" s="9" t="n">
        <v>0</v>
      </c>
      <c r="W471" s="9" t="n">
        <v>0</v>
      </c>
      <c r="Y471" s="9" t="n">
        <v>0</v>
      </c>
      <c r="AA471" s="9" t="n">
        <v>0</v>
      </c>
      <c r="AC471" s="9" t="n">
        <v>0</v>
      </c>
      <c r="AE471" s="9" t="n">
        <v>0</v>
      </c>
    </row>
    <row r="472">
      <c r="A472" s="9" t="inlineStr">
        <is>
          <t>PREMIX 8101 (20KG)</t>
        </is>
      </c>
      <c r="C472" s="9" t="n">
        <v>0</v>
      </c>
      <c r="E472" s="9" t="n">
        <v>0</v>
      </c>
      <c r="G472" s="9" t="n">
        <v>0</v>
      </c>
      <c r="I472" s="9" t="n">
        <v>0</v>
      </c>
      <c r="K472" s="9" t="n">
        <v>0</v>
      </c>
      <c r="M472" s="9" t="n">
        <v>0</v>
      </c>
      <c r="O472" s="9" t="n">
        <v>0</v>
      </c>
      <c r="Q472" s="9" t="n">
        <v>0</v>
      </c>
      <c r="S472" s="9" t="n">
        <v>0</v>
      </c>
      <c r="U472" s="9" t="n">
        <v>0</v>
      </c>
      <c r="W472" s="9" t="n">
        <v>0</v>
      </c>
      <c r="Y472" s="9" t="n">
        <v>0</v>
      </c>
      <c r="AA472" s="9" t="n">
        <v>0</v>
      </c>
      <c r="AC472" s="9" t="n">
        <v>0</v>
      </c>
      <c r="AE472" s="9" t="n">
        <v>0</v>
      </c>
    </row>
    <row r="473">
      <c r="A473" s="9" t="inlineStr">
        <is>
          <t>PREMIX 8102 (20KG)</t>
        </is>
      </c>
      <c r="C473" s="9" t="n">
        <v>0</v>
      </c>
      <c r="E473" s="9" t="n">
        <v>0</v>
      </c>
      <c r="G473" s="9" t="n">
        <v>0</v>
      </c>
      <c r="I473" s="9" t="n">
        <v>0</v>
      </c>
      <c r="K473" s="9" t="n">
        <v>0</v>
      </c>
      <c r="M473" s="9" t="n">
        <v>0</v>
      </c>
      <c r="O473" s="9" t="n">
        <v>0</v>
      </c>
      <c r="Q473" s="9" t="n">
        <v>0</v>
      </c>
      <c r="S473" s="9" t="n">
        <v>0</v>
      </c>
      <c r="U473" s="9" t="n">
        <v>0</v>
      </c>
      <c r="W473" s="9" t="n">
        <v>0</v>
      </c>
      <c r="Y473" s="9" t="n">
        <v>0</v>
      </c>
      <c r="AA473" s="9" t="n">
        <v>0</v>
      </c>
      <c r="AC473" s="9" t="n">
        <v>0</v>
      </c>
      <c r="AE473" s="9" t="n">
        <v>0</v>
      </c>
    </row>
    <row r="474">
      <c r="A474" s="9" t="inlineStr">
        <is>
          <t>PREMIX 8103 (20KG)</t>
        </is>
      </c>
      <c r="C474" s="9" t="n">
        <v>0</v>
      </c>
      <c r="E474" s="9" t="n">
        <v>0</v>
      </c>
      <c r="G474" s="9" t="n">
        <v>0</v>
      </c>
      <c r="I474" s="9" t="n">
        <v>0</v>
      </c>
      <c r="K474" s="9" t="n">
        <v>0</v>
      </c>
      <c r="M474" s="9" t="n">
        <v>0</v>
      </c>
      <c r="O474" s="9" t="n">
        <v>0</v>
      </c>
      <c r="Q474" s="9" t="n">
        <v>0</v>
      </c>
      <c r="S474" s="9" t="n">
        <v>0</v>
      </c>
      <c r="U474" s="9" t="n">
        <v>0</v>
      </c>
      <c r="W474" s="9" t="n">
        <v>0</v>
      </c>
      <c r="Y474" s="9" t="n">
        <v>0</v>
      </c>
      <c r="AA474" s="9" t="n">
        <v>0</v>
      </c>
      <c r="AC474" s="9" t="n">
        <v>0</v>
      </c>
      <c r="AE474" s="9" t="n">
        <v>0</v>
      </c>
    </row>
    <row r="475">
      <c r="A475" s="9" t="inlineStr">
        <is>
          <t>PREMIX 8108 (20KG)</t>
        </is>
      </c>
      <c r="C475" s="9" t="n">
        <v>0</v>
      </c>
      <c r="E475" s="9" t="n">
        <v>0</v>
      </c>
      <c r="G475" s="9" t="n">
        <v>0</v>
      </c>
      <c r="I475" s="9" t="n">
        <v>0</v>
      </c>
      <c r="K475" s="9" t="n">
        <v>0</v>
      </c>
      <c r="M475" s="9" t="n">
        <v>0</v>
      </c>
      <c r="O475" s="9" t="n">
        <v>0</v>
      </c>
      <c r="Q475" s="9" t="n">
        <v>0</v>
      </c>
      <c r="S475" s="9" t="n">
        <v>0</v>
      </c>
      <c r="U475" s="9" t="n">
        <v>0</v>
      </c>
      <c r="W475" s="9" t="n">
        <v>0</v>
      </c>
      <c r="Y475" s="9" t="n">
        <v>0</v>
      </c>
      <c r="AA475" s="9" t="n">
        <v>0</v>
      </c>
      <c r="AC475" s="9" t="n">
        <v>0</v>
      </c>
      <c r="AE475" s="9" t="n">
        <v>0</v>
      </c>
    </row>
    <row r="476">
      <c r="A476" s="9" t="inlineStr">
        <is>
          <t>PREMIX 8109 (20KG)</t>
        </is>
      </c>
      <c r="C476" s="9" t="n">
        <v>0</v>
      </c>
      <c r="E476" s="9" t="n">
        <v>0</v>
      </c>
      <c r="G476" s="9" t="n">
        <v>0</v>
      </c>
      <c r="I476" s="9" t="n">
        <v>0</v>
      </c>
      <c r="K476" s="9" t="n">
        <v>0</v>
      </c>
      <c r="M476" s="9" t="n">
        <v>0</v>
      </c>
      <c r="O476" s="9" t="n">
        <v>0</v>
      </c>
      <c r="Q476" s="9" t="n">
        <v>0</v>
      </c>
      <c r="S476" s="9" t="n">
        <v>0</v>
      </c>
      <c r="U476" s="9" t="n">
        <v>0</v>
      </c>
      <c r="W476" s="9" t="n">
        <v>0</v>
      </c>
      <c r="Y476" s="9" t="n">
        <v>0</v>
      </c>
      <c r="AA476" s="9" t="n">
        <v>0</v>
      </c>
      <c r="AC476" s="9" t="n">
        <v>0</v>
      </c>
      <c r="AE476" s="9" t="n">
        <v>0</v>
      </c>
    </row>
    <row r="477">
      <c r="A477" s="9" t="inlineStr">
        <is>
          <t>YENMIX 121 (20KG)</t>
        </is>
      </c>
      <c r="B477" s="9" t="n">
        <v>2</v>
      </c>
      <c r="C477" s="9" t="n">
        <v>20</v>
      </c>
      <c r="D477" s="9" t="n">
        <v>2</v>
      </c>
      <c r="E477" s="9" t="n">
        <v>20</v>
      </c>
      <c r="F477" s="9" t="n">
        <v>2</v>
      </c>
      <c r="G477" s="9" t="n">
        <v>20</v>
      </c>
      <c r="I477" s="9" t="n">
        <v>0</v>
      </c>
      <c r="K477" s="9" t="n">
        <v>0</v>
      </c>
      <c r="M477" s="9" t="n">
        <v>0</v>
      </c>
      <c r="O477" s="9" t="n">
        <v>0</v>
      </c>
      <c r="Q477" s="9" t="n">
        <v>0</v>
      </c>
      <c r="S477" s="9" t="n">
        <v>0</v>
      </c>
      <c r="U477" s="9" t="n">
        <v>0</v>
      </c>
      <c r="W477" s="9" t="n">
        <v>0</v>
      </c>
      <c r="Y477" s="9" t="n">
        <v>0</v>
      </c>
      <c r="AA477" s="9" t="n">
        <v>0</v>
      </c>
      <c r="AC477" s="9" t="n">
        <v>0</v>
      </c>
      <c r="AE477" s="9" t="n">
        <v>0</v>
      </c>
    </row>
    <row r="478">
      <c r="A478" s="9" t="inlineStr">
        <is>
          <t>YENMIX 122 (19.50KG)</t>
        </is>
      </c>
      <c r="C478" s="9" t="n">
        <v>0</v>
      </c>
      <c r="E478" s="9" t="n">
        <v>0</v>
      </c>
      <c r="G478" s="9" t="n">
        <v>0</v>
      </c>
      <c r="I478" s="9" t="n">
        <v>0</v>
      </c>
      <c r="K478" s="9" t="n">
        <v>0</v>
      </c>
      <c r="M478" s="9" t="n">
        <v>0</v>
      </c>
      <c r="O478" s="9" t="n">
        <v>0</v>
      </c>
      <c r="Q478" s="9" t="n">
        <v>0</v>
      </c>
      <c r="S478" s="9" t="n">
        <v>0</v>
      </c>
      <c r="U478" s="9" t="n">
        <v>0</v>
      </c>
      <c r="W478" s="9" t="n">
        <v>0</v>
      </c>
      <c r="Y478" s="9" t="n">
        <v>0</v>
      </c>
      <c r="AA478" s="9" t="n">
        <v>0</v>
      </c>
      <c r="AC478" s="9" t="n">
        <v>0</v>
      </c>
      <c r="AE478" s="9" t="n">
        <v>0</v>
      </c>
    </row>
    <row r="479">
      <c r="A479" s="9" t="inlineStr">
        <is>
          <t>YENMIX 123 (18.90KG)</t>
        </is>
      </c>
      <c r="C479" s="9" t="n">
        <v>0</v>
      </c>
      <c r="E479" s="9" t="n">
        <v>0</v>
      </c>
      <c r="G479" s="9" t="n">
        <v>0</v>
      </c>
      <c r="I479" s="9" t="n">
        <v>0</v>
      </c>
      <c r="K479" s="9" t="n">
        <v>0</v>
      </c>
      <c r="M479" s="9" t="n">
        <v>0</v>
      </c>
      <c r="O479" s="9" t="n">
        <v>0</v>
      </c>
      <c r="Q479" s="9" t="n">
        <v>0</v>
      </c>
      <c r="S479" s="9" t="n">
        <v>0</v>
      </c>
      <c r="U479" s="9" t="n">
        <v>0</v>
      </c>
      <c r="W479" s="9" t="n">
        <v>0</v>
      </c>
      <c r="Y479" s="9" t="n">
        <v>0</v>
      </c>
      <c r="AA479" s="9" t="n">
        <v>0</v>
      </c>
      <c r="AC479" s="9" t="n">
        <v>0</v>
      </c>
      <c r="AE479" s="9" t="n">
        <v>0</v>
      </c>
    </row>
    <row r="480">
      <c r="A480" s="9" t="inlineStr">
        <is>
          <t>YENMIX 122 (20.50KG)</t>
        </is>
      </c>
      <c r="C480" s="9" t="n">
        <v>0</v>
      </c>
      <c r="E480" s="9" t="n">
        <v>0</v>
      </c>
      <c r="G480" s="9" t="n">
        <v>0</v>
      </c>
      <c r="I480" s="9" t="n">
        <v>0</v>
      </c>
      <c r="K480" s="9" t="n">
        <v>0</v>
      </c>
      <c r="M480" s="9" t="n">
        <v>0</v>
      </c>
      <c r="O480" s="9" t="n">
        <v>0</v>
      </c>
      <c r="Q480" s="9" t="n">
        <v>0</v>
      </c>
      <c r="S480" s="9" t="n">
        <v>0</v>
      </c>
      <c r="U480" s="9" t="n">
        <v>0</v>
      </c>
      <c r="W480" s="9" t="n">
        <v>0</v>
      </c>
      <c r="Y480" s="9" t="n">
        <v>0</v>
      </c>
      <c r="AA480" s="9" t="n">
        <v>0</v>
      </c>
      <c r="AC480" s="9" t="n">
        <v>0</v>
      </c>
      <c r="AE480" s="9" t="n">
        <v>0</v>
      </c>
    </row>
    <row r="481">
      <c r="A481" s="9" t="inlineStr">
        <is>
          <t>YENMIX 123 (20.00KG)</t>
        </is>
      </c>
      <c r="C481" s="9" t="n">
        <v>0</v>
      </c>
      <c r="E481" s="9" t="n">
        <v>0</v>
      </c>
      <c r="G481" s="9" t="n">
        <v>0</v>
      </c>
      <c r="I481" s="9" t="n">
        <v>0</v>
      </c>
      <c r="K481" s="9" t="n">
        <v>0</v>
      </c>
      <c r="M481" s="9" t="n">
        <v>0</v>
      </c>
      <c r="O481" s="9" t="n">
        <v>0</v>
      </c>
      <c r="Q481" s="9" t="n">
        <v>0</v>
      </c>
      <c r="S481" s="9" t="n">
        <v>0</v>
      </c>
      <c r="U481" s="9" t="n">
        <v>0</v>
      </c>
      <c r="W481" s="9" t="n">
        <v>0</v>
      </c>
      <c r="Y481" s="9" t="n">
        <v>0</v>
      </c>
      <c r="AA481" s="9" t="n">
        <v>0</v>
      </c>
      <c r="AC481" s="9" t="n">
        <v>0</v>
      </c>
      <c r="AE481" s="9" t="n">
        <v>0</v>
      </c>
    </row>
    <row r="482">
      <c r="A482" s="9" t="n">
        <v>1</v>
      </c>
      <c r="C482" s="9" t="n">
        <v>0</v>
      </c>
      <c r="E482" s="9" t="n">
        <v>0</v>
      </c>
      <c r="G482" s="9" t="n">
        <v>0</v>
      </c>
      <c r="I482" s="9" t="n">
        <v>0</v>
      </c>
      <c r="K482" s="9" t="n">
        <v>0</v>
      </c>
      <c r="M482" s="9" t="n">
        <v>0</v>
      </c>
      <c r="O482" s="9" t="n">
        <v>0</v>
      </c>
      <c r="Q482" s="9" t="n">
        <v>0</v>
      </c>
      <c r="S482" s="9" t="n">
        <v>0</v>
      </c>
      <c r="U482" s="9" t="n">
        <v>0</v>
      </c>
      <c r="W482" s="9" t="n">
        <v>0</v>
      </c>
      <c r="Y482" s="9" t="n">
        <v>0</v>
      </c>
      <c r="AA482" s="9" t="n">
        <v>0</v>
      </c>
      <c r="AC482" s="9" t="n">
        <v>0</v>
      </c>
      <c r="AE482" s="9" t="n">
        <v>0</v>
      </c>
    </row>
    <row r="483">
      <c r="A483" s="9" t="n">
        <v>2</v>
      </c>
      <c r="C483" s="9" t="n">
        <v>0</v>
      </c>
      <c r="E483" s="9" t="n">
        <v>0</v>
      </c>
      <c r="G483" s="9" t="n">
        <v>0</v>
      </c>
      <c r="I483" s="9" t="n">
        <v>0</v>
      </c>
      <c r="K483" s="9" t="n">
        <v>0</v>
      </c>
      <c r="M483" s="9" t="n">
        <v>0</v>
      </c>
      <c r="O483" s="9" t="n">
        <v>0</v>
      </c>
      <c r="Q483" s="9" t="n">
        <v>0</v>
      </c>
      <c r="S483" s="9" t="n">
        <v>0</v>
      </c>
      <c r="U483" s="9" t="n">
        <v>0</v>
      </c>
      <c r="W483" s="9" t="n">
        <v>0</v>
      </c>
      <c r="Y483" s="9" t="n">
        <v>0</v>
      </c>
      <c r="AA483" s="9" t="n">
        <v>0</v>
      </c>
      <c r="AC483" s="9" t="n">
        <v>0</v>
      </c>
      <c r="AE483" s="9" t="n">
        <v>0</v>
      </c>
    </row>
    <row r="484">
      <c r="A484" s="9" t="n">
        <v>3</v>
      </c>
      <c r="C484" s="9" t="n">
        <v>0</v>
      </c>
      <c r="E484" s="9" t="n">
        <v>0</v>
      </c>
      <c r="G484" s="9" t="n">
        <v>0</v>
      </c>
      <c r="I484" s="9" t="n">
        <v>0</v>
      </c>
      <c r="K484" s="9" t="n">
        <v>0</v>
      </c>
      <c r="M484" s="9" t="n">
        <v>0</v>
      </c>
      <c r="O484" s="9" t="n">
        <v>0</v>
      </c>
      <c r="Q484" s="9" t="n">
        <v>0</v>
      </c>
      <c r="S484" s="9" t="n">
        <v>0</v>
      </c>
      <c r="U484" s="9" t="n">
        <v>0</v>
      </c>
      <c r="W484" s="9" t="n">
        <v>0</v>
      </c>
      <c r="Y484" s="9" t="n">
        <v>0</v>
      </c>
      <c r="AA484" s="9" t="n">
        <v>0</v>
      </c>
      <c r="AC484" s="9" t="n">
        <v>0</v>
      </c>
      <c r="AE484" s="9" t="n">
        <v>0</v>
      </c>
    </row>
    <row r="485">
      <c r="A485" s="9" t="inlineStr">
        <is>
          <t>TOXISORB PREMIUM</t>
        </is>
      </c>
      <c r="B485" s="9" t="n">
        <v>0.2</v>
      </c>
      <c r="C485" s="9" t="n">
        <v>2</v>
      </c>
      <c r="E485" s="9" t="n">
        <v>0</v>
      </c>
      <c r="G485" s="9" t="n">
        <v>0</v>
      </c>
      <c r="I485" s="9" t="n">
        <v>0</v>
      </c>
      <c r="K485" s="9" t="n">
        <v>0</v>
      </c>
      <c r="M485" s="9" t="n">
        <v>0</v>
      </c>
      <c r="O485" s="9" t="n">
        <v>0</v>
      </c>
      <c r="Q485" s="9" t="n">
        <v>0</v>
      </c>
      <c r="S485" s="9" t="n">
        <v>0</v>
      </c>
      <c r="U485" s="9" t="n">
        <v>0</v>
      </c>
      <c r="W485" s="9" t="n">
        <v>0</v>
      </c>
      <c r="Y485" s="9" t="n">
        <v>0</v>
      </c>
      <c r="AA485" s="9" t="n">
        <v>0</v>
      </c>
      <c r="AC485" s="9" t="n">
        <v>0</v>
      </c>
      <c r="AE485" s="9" t="n">
        <v>0</v>
      </c>
    </row>
    <row r="486">
      <c r="A486" s="9" t="inlineStr">
        <is>
          <t>SODIUM HUMATE 3.8% (HARUMI)</t>
        </is>
      </c>
      <c r="B486" s="9" t="n">
        <v>0.3</v>
      </c>
      <c r="C486" s="9" t="n">
        <v>3</v>
      </c>
      <c r="D486" s="9" t="n">
        <v>0.3</v>
      </c>
      <c r="E486" s="9" t="n">
        <v>3</v>
      </c>
      <c r="F486" s="9" t="n">
        <v>0.3</v>
      </c>
      <c r="G486" s="9" t="n">
        <v>3</v>
      </c>
      <c r="I486" s="9" t="n">
        <v>0</v>
      </c>
      <c r="K486" s="9" t="n">
        <v>0</v>
      </c>
      <c r="M486" s="9" t="n">
        <v>0</v>
      </c>
      <c r="O486" s="9" t="n">
        <v>0</v>
      </c>
      <c r="Q486" s="9" t="n">
        <v>0</v>
      </c>
      <c r="S486" s="9" t="n">
        <v>0</v>
      </c>
      <c r="T486" s="9" t="n">
        <v>0.5</v>
      </c>
      <c r="U486" s="9" t="n">
        <v>5</v>
      </c>
      <c r="V486" s="9" t="n">
        <v>0.5</v>
      </c>
      <c r="W486" s="9" t="n">
        <v>5</v>
      </c>
      <c r="Y486" s="9" t="n">
        <v>0</v>
      </c>
      <c r="AA486" s="9" t="n">
        <v>0</v>
      </c>
      <c r="AC486" s="9" t="n">
        <v>0</v>
      </c>
      <c r="AE486" s="9" t="n">
        <v>0</v>
      </c>
    </row>
    <row r="487">
      <c r="A487" s="9" t="inlineStr">
        <is>
          <t>TOXIWALL</t>
        </is>
      </c>
      <c r="C487" s="9" t="n">
        <v>0</v>
      </c>
      <c r="D487" s="9" t="n">
        <v>0.1</v>
      </c>
      <c r="E487" s="9" t="n">
        <v>1</v>
      </c>
      <c r="F487" s="9" t="n">
        <v>0.1</v>
      </c>
      <c r="G487" s="9" t="n">
        <v>1</v>
      </c>
      <c r="I487" s="9" t="n">
        <v>0</v>
      </c>
      <c r="K487" s="9" t="n">
        <v>0</v>
      </c>
      <c r="M487" s="9" t="n">
        <v>0</v>
      </c>
      <c r="O487" s="9" t="n">
        <v>0</v>
      </c>
      <c r="Q487" s="9" t="n">
        <v>0</v>
      </c>
      <c r="S487" s="9" t="n">
        <v>0</v>
      </c>
      <c r="U487" s="9" t="n">
        <v>0</v>
      </c>
      <c r="W487" s="9" t="n">
        <v>0</v>
      </c>
      <c r="Y487" s="9" t="n">
        <v>0</v>
      </c>
      <c r="AA487" s="9" t="n">
        <v>0</v>
      </c>
      <c r="AC487" s="9" t="n">
        <v>0</v>
      </c>
      <c r="AE487" s="9" t="n">
        <v>0</v>
      </c>
    </row>
    <row r="488">
      <c r="A488" s="9" t="inlineStr">
        <is>
          <t>SODIUM BICARBONATE</t>
        </is>
      </c>
      <c r="B488" s="9" t="n">
        <v>0.02</v>
      </c>
      <c r="C488" s="9" t="n">
        <v>0.2</v>
      </c>
      <c r="D488" s="9" t="n">
        <v>0.02</v>
      </c>
      <c r="E488" s="9" t="n">
        <v>0.2</v>
      </c>
      <c r="F488" s="9" t="n">
        <v>0.02</v>
      </c>
      <c r="G488" s="9" t="n">
        <v>0.2</v>
      </c>
      <c r="I488" s="9" t="n">
        <v>0</v>
      </c>
      <c r="K488" s="9" t="n">
        <v>0</v>
      </c>
      <c r="M488" s="9" t="n">
        <v>0</v>
      </c>
      <c r="O488" s="9" t="n">
        <v>0</v>
      </c>
      <c r="Q488" s="9" t="n">
        <v>0</v>
      </c>
      <c r="S488" s="9" t="n">
        <v>0</v>
      </c>
      <c r="U488" s="9" t="n">
        <v>0</v>
      </c>
      <c r="W488" s="9" t="n">
        <v>0</v>
      </c>
      <c r="Y488" s="9" t="n">
        <v>0</v>
      </c>
      <c r="AA488" s="9" t="n">
        <v>0</v>
      </c>
      <c r="AC488" s="9" t="n">
        <v>0</v>
      </c>
      <c r="AE488" s="9" t="n">
        <v>0</v>
      </c>
    </row>
    <row r="489">
      <c r="A489" s="9" t="inlineStr">
        <is>
          <t>BMD 10%</t>
        </is>
      </c>
      <c r="C489" s="9" t="n">
        <v>0</v>
      </c>
      <c r="E489" s="9" t="n">
        <v>0</v>
      </c>
      <c r="G489" s="9" t="n">
        <v>0</v>
      </c>
      <c r="I489" s="9" t="n">
        <v>0</v>
      </c>
      <c r="K489" s="9" t="n">
        <v>0</v>
      </c>
      <c r="M489" s="9" t="n">
        <v>0</v>
      </c>
      <c r="O489" s="9" t="n">
        <v>0</v>
      </c>
      <c r="Q489" s="9" t="n">
        <v>0</v>
      </c>
      <c r="S489" s="9" t="n">
        <v>0</v>
      </c>
      <c r="U489" s="9" t="n">
        <v>0</v>
      </c>
      <c r="W489" s="9" t="n">
        <v>0</v>
      </c>
      <c r="Y489" s="9" t="n">
        <v>0</v>
      </c>
      <c r="AA489" s="9" t="n">
        <v>0</v>
      </c>
      <c r="AC489" s="9" t="n">
        <v>0</v>
      </c>
      <c r="AE489" s="9" t="n">
        <v>0</v>
      </c>
    </row>
    <row r="490">
      <c r="A490" s="9" t="inlineStr">
        <is>
          <t>SALT (HARUMI)</t>
        </is>
      </c>
      <c r="B490" s="9" t="n">
        <v>0.275</v>
      </c>
      <c r="C490" s="9" t="n">
        <v>2.75</v>
      </c>
      <c r="D490" s="9" t="n">
        <v>0.275</v>
      </c>
      <c r="E490" s="9" t="n">
        <v>2.75</v>
      </c>
      <c r="F490" s="9" t="n">
        <v>0.2735</v>
      </c>
      <c r="G490" s="9" t="n">
        <v>2.734999999999999</v>
      </c>
      <c r="I490" s="9" t="n">
        <v>0</v>
      </c>
      <c r="K490" s="9" t="n">
        <v>0</v>
      </c>
      <c r="M490" s="9" t="n">
        <v>0</v>
      </c>
      <c r="O490" s="9" t="n">
        <v>0</v>
      </c>
      <c r="Q490" s="9" t="n">
        <v>0</v>
      </c>
      <c r="S490" s="9" t="n">
        <v>0</v>
      </c>
      <c r="T490" s="9" t="n">
        <v>0.2</v>
      </c>
      <c r="U490" s="9" t="n">
        <v>2</v>
      </c>
      <c r="W490" s="9" t="n">
        <v>0</v>
      </c>
      <c r="Y490" s="9" t="n">
        <v>0</v>
      </c>
      <c r="AA490" s="9" t="n">
        <v>0</v>
      </c>
      <c r="AC490" s="9" t="n">
        <v>0</v>
      </c>
      <c r="AE490" s="9" t="n">
        <v>0</v>
      </c>
    </row>
    <row r="491">
      <c r="A491" s="9" t="inlineStr">
        <is>
          <t>VISTABET 91</t>
        </is>
      </c>
      <c r="C491" s="9" t="n">
        <v>0</v>
      </c>
      <c r="E491" s="9" t="n">
        <v>0</v>
      </c>
      <c r="G491" s="9" t="n">
        <v>0</v>
      </c>
      <c r="I491" s="9" t="n">
        <v>0</v>
      </c>
      <c r="K491" s="9" t="n">
        <v>0</v>
      </c>
      <c r="M491" s="9" t="n">
        <v>0</v>
      </c>
      <c r="O491" s="9" t="n">
        <v>0</v>
      </c>
      <c r="Q491" s="9" t="n">
        <v>0</v>
      </c>
      <c r="S491" s="9" t="n">
        <v>0</v>
      </c>
      <c r="U491" s="9" t="n">
        <v>0</v>
      </c>
      <c r="W491" s="9" t="n">
        <v>0</v>
      </c>
      <c r="Y491" s="9" t="n">
        <v>0</v>
      </c>
      <c r="AA491" s="9" t="n">
        <v>0</v>
      </c>
      <c r="AC491" s="9" t="n">
        <v>0</v>
      </c>
      <c r="AE491" s="9" t="n">
        <v>0</v>
      </c>
    </row>
    <row r="492">
      <c r="A492" s="9" t="inlineStr">
        <is>
          <t>BETAFIN</t>
        </is>
      </c>
      <c r="C492" s="9" t="n">
        <v>0</v>
      </c>
      <c r="E492" s="9" t="n">
        <v>0</v>
      </c>
      <c r="G492" s="9" t="n">
        <v>0</v>
      </c>
      <c r="I492" s="9" t="n">
        <v>0</v>
      </c>
      <c r="K492" s="9" t="n">
        <v>0</v>
      </c>
      <c r="M492" s="9" t="n">
        <v>0</v>
      </c>
      <c r="O492" s="9" t="n">
        <v>0</v>
      </c>
      <c r="Q492" s="9" t="n">
        <v>0</v>
      </c>
      <c r="S492" s="9" t="n">
        <v>0</v>
      </c>
      <c r="U492" s="9" t="n">
        <v>0</v>
      </c>
      <c r="W492" s="9" t="n">
        <v>0</v>
      </c>
      <c r="Y492" s="9" t="n">
        <v>0</v>
      </c>
      <c r="AA492" s="9" t="n">
        <v>0</v>
      </c>
      <c r="AC492" s="9" t="n">
        <v>0</v>
      </c>
      <c r="AE492" s="9" t="n">
        <v>0</v>
      </c>
    </row>
    <row r="493">
      <c r="A493" s="9" t="inlineStr">
        <is>
          <t>8101 TOP UP</t>
        </is>
      </c>
      <c r="C493" s="9" t="n">
        <v>0</v>
      </c>
      <c r="E493" s="9" t="n">
        <v>0</v>
      </c>
      <c r="G493" s="9" t="n">
        <v>0</v>
      </c>
      <c r="I493" s="9" t="n">
        <v>0</v>
      </c>
      <c r="K493" s="9" t="n">
        <v>0</v>
      </c>
      <c r="M493" s="9" t="n">
        <v>0</v>
      </c>
      <c r="O493" s="9" t="n">
        <v>0</v>
      </c>
      <c r="Q493" s="9" t="n">
        <v>0</v>
      </c>
      <c r="S493" s="9" t="n">
        <v>0</v>
      </c>
      <c r="U493" s="9" t="n">
        <v>0</v>
      </c>
      <c r="W493" s="9" t="n">
        <v>0</v>
      </c>
      <c r="Y493" s="9" t="n">
        <v>0</v>
      </c>
      <c r="AA493" s="9" t="n">
        <v>0</v>
      </c>
      <c r="AC493" s="9" t="n">
        <v>0</v>
      </c>
      <c r="AE493" s="9" t="n">
        <v>0</v>
      </c>
    </row>
    <row r="494">
      <c r="A494" s="9" t="inlineStr">
        <is>
          <t>NORPONIN X03 (8102 TOP UP)</t>
        </is>
      </c>
      <c r="C494" s="9" t="n">
        <v>0</v>
      </c>
      <c r="E494" s="9" t="n">
        <v>0</v>
      </c>
      <c r="G494" s="9" t="n">
        <v>0</v>
      </c>
      <c r="I494" s="9" t="n">
        <v>0</v>
      </c>
      <c r="K494" s="9" t="n">
        <v>0</v>
      </c>
      <c r="M494" s="9" t="n">
        <v>0</v>
      </c>
      <c r="O494" s="9" t="n">
        <v>0</v>
      </c>
      <c r="Q494" s="9" t="n">
        <v>0</v>
      </c>
      <c r="S494" s="9" t="n">
        <v>0</v>
      </c>
      <c r="U494" s="9" t="n">
        <v>0</v>
      </c>
      <c r="W494" s="9" t="n">
        <v>0</v>
      </c>
      <c r="Y494" s="9" t="n">
        <v>0</v>
      </c>
      <c r="AA494" s="9" t="n">
        <v>0</v>
      </c>
      <c r="AC494" s="9" t="n">
        <v>0</v>
      </c>
      <c r="AE494" s="9" t="n">
        <v>0</v>
      </c>
    </row>
    <row r="495">
      <c r="A495" s="9" t="inlineStr">
        <is>
          <t>8102 TOP UP (4KG)</t>
        </is>
      </c>
      <c r="C495" s="9" t="n">
        <v>0</v>
      </c>
      <c r="E495" s="9" t="n">
        <v>0</v>
      </c>
      <c r="G495" s="9" t="n">
        <v>0</v>
      </c>
      <c r="I495" s="9" t="n">
        <v>0</v>
      </c>
      <c r="K495" s="9" t="n">
        <v>0</v>
      </c>
      <c r="M495" s="9" t="n">
        <v>0</v>
      </c>
      <c r="O495" s="9" t="n">
        <v>0</v>
      </c>
      <c r="Q495" s="9" t="n">
        <v>0</v>
      </c>
      <c r="S495" s="9" t="n">
        <v>0</v>
      </c>
      <c r="U495" s="9" t="n">
        <v>0</v>
      </c>
      <c r="W495" s="9" t="n">
        <v>0</v>
      </c>
      <c r="Y495" s="9" t="n">
        <v>0</v>
      </c>
      <c r="AA495" s="9" t="n">
        <v>0</v>
      </c>
      <c r="AC495" s="9" t="n">
        <v>0</v>
      </c>
      <c r="AE495" s="9" t="n">
        <v>0</v>
      </c>
    </row>
    <row r="496">
      <c r="A496" s="9" t="inlineStr">
        <is>
          <t>8103 TOP UP (5KG)</t>
        </is>
      </c>
      <c r="C496" s="9" t="n">
        <v>0</v>
      </c>
      <c r="E496" s="9" t="n">
        <v>0</v>
      </c>
      <c r="G496" s="9" t="n">
        <v>0</v>
      </c>
      <c r="I496" s="9" t="n">
        <v>0</v>
      </c>
      <c r="K496" s="9" t="n">
        <v>0</v>
      </c>
      <c r="M496" s="9" t="n">
        <v>0</v>
      </c>
      <c r="O496" s="9" t="n">
        <v>0</v>
      </c>
      <c r="Q496" s="9" t="n">
        <v>0</v>
      </c>
      <c r="S496" s="9" t="n">
        <v>0</v>
      </c>
      <c r="U496" s="9" t="n">
        <v>0</v>
      </c>
      <c r="W496" s="9" t="n">
        <v>0</v>
      </c>
      <c r="Y496" s="9" t="n">
        <v>0</v>
      </c>
      <c r="AA496" s="9" t="n">
        <v>0</v>
      </c>
      <c r="AC496" s="9" t="n">
        <v>0</v>
      </c>
      <c r="AE496" s="9" t="n">
        <v>0</v>
      </c>
    </row>
    <row r="497">
      <c r="A497" s="9" t="inlineStr">
        <is>
          <t>L-ARGININE</t>
        </is>
      </c>
      <c r="C497" s="9" t="n">
        <v>0</v>
      </c>
      <c r="E497" s="9" t="n">
        <v>0</v>
      </c>
      <c r="G497" s="9" t="n">
        <v>0</v>
      </c>
      <c r="I497" s="9" t="n">
        <v>0</v>
      </c>
      <c r="K497" s="9" t="n">
        <v>0</v>
      </c>
      <c r="M497" s="9" t="n">
        <v>0</v>
      </c>
      <c r="O497" s="9" t="n">
        <v>0</v>
      </c>
      <c r="Q497" s="9" t="n">
        <v>0</v>
      </c>
      <c r="S497" s="9" t="n">
        <v>0</v>
      </c>
      <c r="U497" s="9" t="n">
        <v>0</v>
      </c>
      <c r="W497" s="9" t="n">
        <v>0</v>
      </c>
      <c r="Y497" s="9" t="n">
        <v>0</v>
      </c>
      <c r="AA497" s="9" t="n">
        <v>0</v>
      </c>
      <c r="AC497" s="9" t="n">
        <v>0</v>
      </c>
      <c r="AE497" s="9" t="n">
        <v>0</v>
      </c>
    </row>
    <row r="498">
      <c r="A498" s="9" t="inlineStr">
        <is>
          <t>DL-METHIONINE</t>
        </is>
      </c>
      <c r="C498" s="9" t="n">
        <v>0</v>
      </c>
      <c r="E498" s="9" t="n">
        <v>0</v>
      </c>
      <c r="G498" s="9" t="n">
        <v>0</v>
      </c>
      <c r="I498" s="9" t="n">
        <v>0</v>
      </c>
      <c r="K498" s="9" t="n">
        <v>0</v>
      </c>
      <c r="M498" s="9" t="n">
        <v>0</v>
      </c>
      <c r="O498" s="9" t="n">
        <v>0</v>
      </c>
      <c r="Q498" s="9" t="n">
        <v>0</v>
      </c>
      <c r="S498" s="9" t="n">
        <v>0</v>
      </c>
      <c r="U498" s="9" t="n">
        <v>0</v>
      </c>
      <c r="W498" s="9" t="n">
        <v>0</v>
      </c>
      <c r="Y498" s="9" t="n">
        <v>0</v>
      </c>
      <c r="AA498" s="9" t="n">
        <v>0</v>
      </c>
      <c r="AC498" s="9" t="n">
        <v>0</v>
      </c>
      <c r="AE498" s="9" t="n">
        <v>0</v>
      </c>
    </row>
    <row r="499">
      <c r="A499" s="9" t="inlineStr">
        <is>
          <t>L-THREONINE</t>
        </is>
      </c>
      <c r="C499" s="9" t="n">
        <v>0</v>
      </c>
      <c r="E499" s="9" t="n">
        <v>0</v>
      </c>
      <c r="G499" s="9" t="n">
        <v>0</v>
      </c>
      <c r="I499" s="9" t="n">
        <v>0</v>
      </c>
      <c r="K499" s="9" t="n">
        <v>0</v>
      </c>
      <c r="M499" s="9" t="n">
        <v>0</v>
      </c>
      <c r="O499" s="9" t="n">
        <v>0</v>
      </c>
      <c r="Q499" s="9" t="n">
        <v>0</v>
      </c>
      <c r="S499" s="9" t="n">
        <v>0</v>
      </c>
      <c r="U499" s="9" t="n">
        <v>0</v>
      </c>
      <c r="W499" s="9" t="n">
        <v>0</v>
      </c>
      <c r="Y499" s="9" t="n">
        <v>0</v>
      </c>
      <c r="AA499" s="9" t="n">
        <v>0</v>
      </c>
      <c r="AC499" s="9" t="n">
        <v>0</v>
      </c>
      <c r="AE499" s="9" t="n">
        <v>0</v>
      </c>
    </row>
    <row r="500">
      <c r="A500" s="9" t="inlineStr">
        <is>
          <t>L-LYSINE</t>
        </is>
      </c>
      <c r="C500" s="9" t="n">
        <v>0</v>
      </c>
      <c r="E500" s="9" t="n">
        <v>0</v>
      </c>
      <c r="G500" s="9" t="n">
        <v>0</v>
      </c>
      <c r="I500" s="9" t="n">
        <v>0</v>
      </c>
      <c r="K500" s="9" t="n">
        <v>0</v>
      </c>
      <c r="M500" s="9" t="n">
        <v>0</v>
      </c>
      <c r="O500" s="9" t="n">
        <v>0</v>
      </c>
      <c r="Q500" s="9" t="n">
        <v>0</v>
      </c>
      <c r="S500" s="9" t="n">
        <v>0</v>
      </c>
      <c r="U500" s="9" t="n">
        <v>0</v>
      </c>
      <c r="W500" s="9" t="n">
        <v>0</v>
      </c>
      <c r="Y500" s="9" t="n">
        <v>0</v>
      </c>
      <c r="AA500" s="9" t="n">
        <v>0</v>
      </c>
      <c r="AC500" s="9" t="n">
        <v>0</v>
      </c>
      <c r="AE500" s="9" t="n">
        <v>0</v>
      </c>
    </row>
    <row r="501">
      <c r="A501" s="9" t="inlineStr">
        <is>
          <t>FAECES DRY</t>
        </is>
      </c>
      <c r="C501" s="9" t="n">
        <v>0</v>
      </c>
      <c r="E501" s="9" t="n">
        <v>0</v>
      </c>
      <c r="G501" s="9" t="n">
        <v>0</v>
      </c>
      <c r="I501" s="9" t="n">
        <v>0</v>
      </c>
      <c r="K501" s="9" t="n">
        <v>0</v>
      </c>
      <c r="M501" s="9" t="n">
        <v>0</v>
      </c>
      <c r="O501" s="9" t="n">
        <v>0</v>
      </c>
      <c r="Q501" s="9" t="n">
        <v>0</v>
      </c>
      <c r="S501" s="9" t="n">
        <v>0</v>
      </c>
      <c r="U501" s="9" t="n">
        <v>0</v>
      </c>
      <c r="W501" s="9" t="n">
        <v>0</v>
      </c>
      <c r="Y501" s="9" t="n">
        <v>0</v>
      </c>
      <c r="AA501" s="9" t="n">
        <v>0</v>
      </c>
      <c r="AC501" s="9" t="n">
        <v>0</v>
      </c>
      <c r="AE501" s="9" t="n">
        <v>0</v>
      </c>
    </row>
    <row r="502">
      <c r="A502" s="9" t="inlineStr">
        <is>
          <t>ECOBIOL</t>
        </is>
      </c>
      <c r="C502" s="9" t="n">
        <v>0</v>
      </c>
      <c r="E502" s="9" t="n">
        <v>0</v>
      </c>
      <c r="G502" s="9" t="n">
        <v>0</v>
      </c>
      <c r="I502" s="9" t="n">
        <v>0</v>
      </c>
      <c r="K502" s="9" t="n">
        <v>0</v>
      </c>
      <c r="M502" s="9" t="n">
        <v>0</v>
      </c>
      <c r="O502" s="9" t="n">
        <v>0</v>
      </c>
      <c r="Q502" s="9" t="n">
        <v>0</v>
      </c>
      <c r="S502" s="9" t="n">
        <v>0</v>
      </c>
      <c r="U502" s="9" t="n">
        <v>0</v>
      </c>
      <c r="W502" s="9" t="n">
        <v>0</v>
      </c>
      <c r="Y502" s="9" t="n">
        <v>0</v>
      </c>
      <c r="AA502" s="9" t="n">
        <v>0</v>
      </c>
      <c r="AC502" s="9" t="n">
        <v>0</v>
      </c>
      <c r="AE502" s="9" t="n">
        <v>0</v>
      </c>
    </row>
    <row r="503">
      <c r="A503" s="9" t="inlineStr">
        <is>
          <t>ADDITIVE BROILER IMMUNE</t>
        </is>
      </c>
      <c r="C503" s="9" t="n">
        <v>0</v>
      </c>
      <c r="E503" s="9" t="n">
        <v>0</v>
      </c>
      <c r="G503" s="9" t="n">
        <v>0</v>
      </c>
      <c r="I503" s="9" t="n">
        <v>0</v>
      </c>
      <c r="K503" s="9" t="n">
        <v>0</v>
      </c>
      <c r="M503" s="9" t="n">
        <v>0</v>
      </c>
      <c r="O503" s="9" t="n">
        <v>0</v>
      </c>
      <c r="Q503" s="9" t="n">
        <v>0</v>
      </c>
      <c r="S503" s="9" t="n">
        <v>0</v>
      </c>
      <c r="U503" s="9" t="n">
        <v>0</v>
      </c>
      <c r="W503" s="9" t="n">
        <v>0</v>
      </c>
      <c r="Y503" s="9" t="n">
        <v>0</v>
      </c>
      <c r="AA503" s="9" t="n">
        <v>0</v>
      </c>
      <c r="AC503" s="9" t="n">
        <v>0</v>
      </c>
      <c r="AE503" s="9" t="n">
        <v>0</v>
      </c>
    </row>
    <row r="504">
      <c r="A504" s="9" t="inlineStr">
        <is>
          <t>MASTER CUBE (HARUMI)</t>
        </is>
      </c>
      <c r="C504" s="9" t="n">
        <v>0</v>
      </c>
      <c r="E504" s="9" t="n">
        <v>0</v>
      </c>
      <c r="G504" s="9" t="n">
        <v>0</v>
      </c>
      <c r="I504" s="9" t="n">
        <v>0</v>
      </c>
      <c r="K504" s="9" t="n">
        <v>0</v>
      </c>
      <c r="M504" s="9" t="n">
        <v>0</v>
      </c>
      <c r="O504" s="9" t="n">
        <v>0</v>
      </c>
      <c r="Q504" s="9" t="n">
        <v>0</v>
      </c>
      <c r="S504" s="9" t="n">
        <v>0</v>
      </c>
      <c r="T504" s="9" t="n">
        <v>0.1</v>
      </c>
      <c r="U504" s="9" t="n">
        <v>1</v>
      </c>
      <c r="V504" s="9" t="n">
        <v>0.1</v>
      </c>
      <c r="W504" s="9" t="n">
        <v>1</v>
      </c>
      <c r="Y504" s="9" t="n">
        <v>0</v>
      </c>
      <c r="AA504" s="9" t="n">
        <v>0</v>
      </c>
      <c r="AC504" s="9" t="n">
        <v>0</v>
      </c>
      <c r="AE504" s="9" t="n">
        <v>0</v>
      </c>
    </row>
    <row r="505">
      <c r="A505" s="9" t="inlineStr">
        <is>
          <t>1101 TOP UP (0.40KG)</t>
        </is>
      </c>
      <c r="C505" s="9" t="n">
        <v>0</v>
      </c>
      <c r="E505" s="9" t="n">
        <v>0</v>
      </c>
      <c r="G505" s="9" t="n">
        <v>0</v>
      </c>
      <c r="I505" s="9" t="n">
        <v>0</v>
      </c>
      <c r="K505" s="9" t="n">
        <v>0</v>
      </c>
      <c r="M505" s="9" t="n">
        <v>0</v>
      </c>
      <c r="O505" s="9" t="n">
        <v>0</v>
      </c>
      <c r="Q505" s="9" t="n">
        <v>0</v>
      </c>
      <c r="S505" s="9" t="n">
        <v>0</v>
      </c>
      <c r="U505" s="9" t="n">
        <v>0</v>
      </c>
      <c r="W505" s="9" t="n">
        <v>0</v>
      </c>
      <c r="Y505" s="9" t="n">
        <v>0</v>
      </c>
      <c r="AA505" s="9" t="n">
        <v>0</v>
      </c>
      <c r="AC505" s="9" t="n">
        <v>0</v>
      </c>
      <c r="AE505" s="9" t="n">
        <v>0</v>
      </c>
    </row>
    <row r="506">
      <c r="A506" s="9" t="inlineStr">
        <is>
          <t>1102 TOP UP (0.60KG)</t>
        </is>
      </c>
      <c r="C506" s="9" t="n">
        <v>0</v>
      </c>
      <c r="E506" s="9" t="n">
        <v>0</v>
      </c>
      <c r="G506" s="9" t="n">
        <v>0</v>
      </c>
      <c r="I506" s="9" t="n">
        <v>0</v>
      </c>
      <c r="K506" s="9" t="n">
        <v>0</v>
      </c>
      <c r="M506" s="9" t="n">
        <v>0</v>
      </c>
      <c r="O506" s="9" t="n">
        <v>0</v>
      </c>
      <c r="Q506" s="9" t="n">
        <v>0</v>
      </c>
      <c r="S506" s="9" t="n">
        <v>0</v>
      </c>
      <c r="U506" s="9" t="n">
        <v>0</v>
      </c>
      <c r="W506" s="9" t="n">
        <v>0</v>
      </c>
      <c r="Y506" s="9" t="n">
        <v>0</v>
      </c>
      <c r="AA506" s="9" t="n">
        <v>0</v>
      </c>
      <c r="AC506" s="9" t="n">
        <v>0</v>
      </c>
      <c r="AE506" s="9" t="n">
        <v>0</v>
      </c>
    </row>
    <row r="507">
      <c r="A507" s="9" t="inlineStr">
        <is>
          <t>1103 TOP UP (2.00KG)</t>
        </is>
      </c>
      <c r="C507" s="9" t="n">
        <v>0</v>
      </c>
      <c r="E507" s="9" t="n">
        <v>0</v>
      </c>
      <c r="G507" s="9" t="n">
        <v>0</v>
      </c>
      <c r="I507" s="9" t="n">
        <v>0</v>
      </c>
      <c r="K507" s="9" t="n">
        <v>0</v>
      </c>
      <c r="M507" s="9" t="n">
        <v>0</v>
      </c>
      <c r="O507" s="9" t="n">
        <v>0</v>
      </c>
      <c r="Q507" s="9" t="n">
        <v>0</v>
      </c>
      <c r="S507" s="9" t="n">
        <v>0</v>
      </c>
      <c r="U507" s="9" t="n">
        <v>0</v>
      </c>
      <c r="W507" s="9" t="n">
        <v>0</v>
      </c>
      <c r="Y507" s="9" t="n">
        <v>0</v>
      </c>
      <c r="AA507" s="9" t="n">
        <v>0</v>
      </c>
      <c r="AC507" s="9" t="n">
        <v>0</v>
      </c>
      <c r="AE507" s="9" t="n">
        <v>0</v>
      </c>
    </row>
    <row r="508">
      <c r="A508" s="9" t="inlineStr">
        <is>
          <t>QUANTUM GLO 4%</t>
        </is>
      </c>
      <c r="C508" s="9" t="n">
        <v>0</v>
      </c>
      <c r="E508" s="9" t="n">
        <v>0</v>
      </c>
      <c r="G508" s="9" t="n">
        <v>0</v>
      </c>
      <c r="I508" s="9" t="n">
        <v>0</v>
      </c>
      <c r="K508" s="9" t="n">
        <v>0</v>
      </c>
      <c r="M508" s="9" t="n">
        <v>0</v>
      </c>
      <c r="O508" s="9" t="n">
        <v>0</v>
      </c>
      <c r="Q508" s="9" t="n">
        <v>0</v>
      </c>
      <c r="S508" s="9" t="n">
        <v>0</v>
      </c>
      <c r="U508" s="9" t="n">
        <v>0</v>
      </c>
      <c r="W508" s="9" t="n">
        <v>0</v>
      </c>
      <c r="Y508" s="9" t="n">
        <v>0</v>
      </c>
      <c r="AA508" s="9" t="n">
        <v>0</v>
      </c>
      <c r="AC508" s="9" t="n">
        <v>0</v>
      </c>
      <c r="AE508" s="9" t="n">
        <v>0</v>
      </c>
    </row>
    <row r="509">
      <c r="A509" s="9" t="inlineStr">
        <is>
          <t>SALT</t>
        </is>
      </c>
      <c r="C509" s="9" t="n">
        <v>0</v>
      </c>
      <c r="E509" s="9" t="n">
        <v>0</v>
      </c>
      <c r="G509" s="9" t="n">
        <v>0</v>
      </c>
      <c r="I509" s="9" t="n">
        <v>0</v>
      </c>
      <c r="K509" s="9" t="n">
        <v>0</v>
      </c>
      <c r="M509" s="9" t="n">
        <v>0</v>
      </c>
      <c r="O509" s="9" t="n">
        <v>0</v>
      </c>
      <c r="Q509" s="9" t="n">
        <v>0</v>
      </c>
      <c r="S509" s="9" t="n">
        <v>0</v>
      </c>
      <c r="U509" s="9" t="n">
        <v>0</v>
      </c>
      <c r="W509" s="9" t="n">
        <v>0</v>
      </c>
      <c r="Y509" s="9" t="n">
        <v>0</v>
      </c>
      <c r="AA509" s="9" t="n">
        <v>0</v>
      </c>
      <c r="AC509" s="9" t="n">
        <v>0</v>
      </c>
      <c r="AE509" s="9" t="n">
        <v>0</v>
      </c>
    </row>
    <row r="510">
      <c r="A510" s="9" t="inlineStr">
        <is>
          <t>OC 200 - OXYTET 20%</t>
        </is>
      </c>
      <c r="C510" s="9" t="n">
        <v>0</v>
      </c>
      <c r="E510" s="9" t="n">
        <v>0</v>
      </c>
      <c r="G510" s="9" t="n">
        <v>0</v>
      </c>
      <c r="I510" s="9" t="n">
        <v>0</v>
      </c>
      <c r="K510" s="9" t="n">
        <v>0</v>
      </c>
      <c r="M510" s="9" t="n">
        <v>0</v>
      </c>
      <c r="O510" s="9" t="n">
        <v>0</v>
      </c>
      <c r="Q510" s="9" t="n">
        <v>0</v>
      </c>
      <c r="S510" s="9" t="n">
        <v>0</v>
      </c>
      <c r="U510" s="9" t="n">
        <v>0</v>
      </c>
      <c r="W510" s="9" t="n">
        <v>0</v>
      </c>
      <c r="Y510" s="9" t="n">
        <v>0</v>
      </c>
      <c r="AA510" s="9" t="n">
        <v>0</v>
      </c>
      <c r="AC510" s="9" t="n">
        <v>0</v>
      </c>
      <c r="AE510" s="9" t="n">
        <v>0</v>
      </c>
    </row>
    <row r="511">
      <c r="A511" s="9" t="n">
        <v>3</v>
      </c>
      <c r="C511" s="9" t="n">
        <v>0</v>
      </c>
      <c r="E511" s="9" t="n">
        <v>0</v>
      </c>
      <c r="G511" s="9" t="n">
        <v>0</v>
      </c>
      <c r="I511" s="9" t="n">
        <v>0</v>
      </c>
      <c r="K511" s="9" t="n">
        <v>0</v>
      </c>
      <c r="M511" s="9" t="n">
        <v>0</v>
      </c>
      <c r="O511" s="9" t="n">
        <v>0</v>
      </c>
      <c r="Q511" s="9" t="n">
        <v>0</v>
      </c>
      <c r="S511" s="9" t="n">
        <v>0</v>
      </c>
      <c r="U511" s="9" t="n">
        <v>0</v>
      </c>
      <c r="W511" s="9" t="n">
        <v>0</v>
      </c>
      <c r="Y511" s="9" t="n">
        <v>0</v>
      </c>
      <c r="AA511" s="9" t="n">
        <v>0</v>
      </c>
      <c r="AC511" s="9" t="n">
        <v>0</v>
      </c>
      <c r="AE511" s="9" t="n">
        <v>0</v>
      </c>
    </row>
    <row r="512">
      <c r="A512" s="9" t="n">
        <v>4</v>
      </c>
      <c r="C512" s="9" t="n">
        <v>0</v>
      </c>
      <c r="E512" s="9" t="n">
        <v>0</v>
      </c>
      <c r="G512" s="9" t="n">
        <v>0</v>
      </c>
      <c r="I512" s="9" t="n">
        <v>0</v>
      </c>
      <c r="K512" s="9" t="n">
        <v>0</v>
      </c>
      <c r="M512" s="9" t="n">
        <v>0</v>
      </c>
      <c r="O512" s="9" t="n">
        <v>0</v>
      </c>
      <c r="Q512" s="9" t="n">
        <v>0</v>
      </c>
      <c r="S512" s="9" t="n">
        <v>0</v>
      </c>
      <c r="U512" s="9" t="n">
        <v>0</v>
      </c>
      <c r="W512" s="9" t="n">
        <v>0</v>
      </c>
      <c r="Y512" s="9" t="n">
        <v>0</v>
      </c>
      <c r="AA512" s="9" t="n">
        <v>0</v>
      </c>
      <c r="AC512" s="9" t="n">
        <v>0</v>
      </c>
      <c r="AE512" s="9" t="n">
        <v>0</v>
      </c>
    </row>
    <row r="513">
      <c r="A513" s="9" t="inlineStr">
        <is>
          <t>WOVEN BAG (1101) - BLUE 50KG</t>
        </is>
      </c>
      <c r="C513" s="9" t="n">
        <v>0</v>
      </c>
      <c r="E513" s="9" t="n">
        <v>0</v>
      </c>
      <c r="G513" s="9" t="n">
        <v>0</v>
      </c>
      <c r="I513" s="9" t="n">
        <v>0</v>
      </c>
      <c r="K513" s="9" t="n">
        <v>0</v>
      </c>
      <c r="M513" s="9" t="n">
        <v>0</v>
      </c>
      <c r="O513" s="9" t="n">
        <v>0</v>
      </c>
      <c r="Q513" s="9" t="n">
        <v>0</v>
      </c>
      <c r="S513" s="9" t="n">
        <v>0</v>
      </c>
      <c r="U513" s="9" t="n">
        <v>0</v>
      </c>
      <c r="W513" s="9" t="n">
        <v>0</v>
      </c>
      <c r="Y513" s="9" t="n">
        <v>0</v>
      </c>
      <c r="AA513" s="9" t="n">
        <v>0</v>
      </c>
      <c r="AC513" s="9" t="n">
        <v>0</v>
      </c>
      <c r="AE513" s="9" t="n">
        <v>0</v>
      </c>
    </row>
    <row r="514">
      <c r="A514" s="9" t="inlineStr">
        <is>
          <t>WOVEN BAG (1102) - GREEN 50KG</t>
        </is>
      </c>
      <c r="C514" s="9" t="n">
        <v>0</v>
      </c>
      <c r="E514" s="9" t="n">
        <v>0</v>
      </c>
      <c r="G514" s="9" t="n">
        <v>0</v>
      </c>
      <c r="I514" s="9" t="n">
        <v>0</v>
      </c>
      <c r="K514" s="9" t="n">
        <v>0</v>
      </c>
      <c r="M514" s="9" t="n">
        <v>0</v>
      </c>
      <c r="O514" s="9" t="n">
        <v>0</v>
      </c>
      <c r="Q514" s="9" t="n">
        <v>0</v>
      </c>
      <c r="S514" s="9" t="n">
        <v>0</v>
      </c>
      <c r="U514" s="9" t="n">
        <v>0</v>
      </c>
      <c r="W514" s="9" t="n">
        <v>0</v>
      </c>
      <c r="Y514" s="9" t="n">
        <v>0</v>
      </c>
      <c r="AA514" s="9" t="n">
        <v>0</v>
      </c>
      <c r="AC514" s="9" t="n">
        <v>0</v>
      </c>
      <c r="AE514" s="9" t="n">
        <v>0</v>
      </c>
    </row>
    <row r="515">
      <c r="A515" s="9" t="inlineStr">
        <is>
          <t>WOVEN BAG (1103) - RED 50KG</t>
        </is>
      </c>
      <c r="C515" s="9" t="n">
        <v>0</v>
      </c>
      <c r="E515" s="9" t="n">
        <v>0</v>
      </c>
      <c r="G515" s="9" t="n">
        <v>0</v>
      </c>
      <c r="I515" s="9" t="n">
        <v>0</v>
      </c>
      <c r="K515" s="9" t="n">
        <v>0</v>
      </c>
      <c r="M515" s="9" t="n">
        <v>0</v>
      </c>
      <c r="O515" s="9" t="n">
        <v>0</v>
      </c>
      <c r="Q515" s="9" t="n">
        <v>0</v>
      </c>
      <c r="S515" s="9" t="n">
        <v>0</v>
      </c>
      <c r="U515" s="9" t="n">
        <v>0</v>
      </c>
      <c r="W515" s="9" t="n">
        <v>0</v>
      </c>
      <c r="Y515" s="9" t="n">
        <v>0</v>
      </c>
      <c r="AA515" s="9" t="n">
        <v>0</v>
      </c>
      <c r="AC515" s="9" t="n">
        <v>0</v>
      </c>
      <c r="AE515" s="9" t="n">
        <v>0</v>
      </c>
    </row>
    <row r="516">
      <c r="A516" s="9" t="inlineStr">
        <is>
          <t>PLAIN BAG 26" X 39" (50KG)</t>
        </is>
      </c>
      <c r="C516" s="9" t="n">
        <v>0</v>
      </c>
      <c r="E516" s="9" t="n">
        <v>0</v>
      </c>
      <c r="G516" s="9" t="n">
        <v>0</v>
      </c>
      <c r="I516" s="9" t="n">
        <v>0</v>
      </c>
      <c r="K516" s="9" t="n">
        <v>0</v>
      </c>
      <c r="M516" s="9" t="n">
        <v>0</v>
      </c>
      <c r="O516" s="9" t="n">
        <v>0</v>
      </c>
      <c r="Q516" s="9" t="n">
        <v>0</v>
      </c>
      <c r="S516" s="9" t="n">
        <v>0</v>
      </c>
      <c r="U516" s="9" t="n">
        <v>0</v>
      </c>
      <c r="W516" s="9" t="n">
        <v>0</v>
      </c>
      <c r="Y516" s="9" t="n">
        <v>0</v>
      </c>
      <c r="AA516" s="9" t="n">
        <v>0</v>
      </c>
      <c r="AC516" s="9" t="n">
        <v>0</v>
      </c>
      <c r="AE516" s="9" t="n">
        <v>0</v>
      </c>
    </row>
    <row r="517">
      <c r="A517" s="9" t="inlineStr">
        <is>
          <t>WOVEN BAG (8101) - KHAKI 50KG</t>
        </is>
      </c>
      <c r="C517" s="9" t="n">
        <v>0</v>
      </c>
      <c r="E517" s="9" t="n">
        <v>0</v>
      </c>
      <c r="G517" s="9" t="n">
        <v>0</v>
      </c>
      <c r="I517" s="9" t="n">
        <v>0</v>
      </c>
      <c r="K517" s="9" t="n">
        <v>0</v>
      </c>
      <c r="M517" s="9" t="n">
        <v>0</v>
      </c>
      <c r="O517" s="9" t="n">
        <v>0</v>
      </c>
      <c r="Q517" s="9" t="n">
        <v>0</v>
      </c>
      <c r="S517" s="9" t="n">
        <v>0</v>
      </c>
      <c r="U517" s="9" t="n">
        <v>0</v>
      </c>
      <c r="W517" s="9" t="n">
        <v>0</v>
      </c>
      <c r="Y517" s="9" t="n">
        <v>0</v>
      </c>
      <c r="AA517" s="9" t="n">
        <v>0</v>
      </c>
      <c r="AC517" s="9" t="n">
        <v>0</v>
      </c>
      <c r="AE517" s="9" t="n">
        <v>0</v>
      </c>
    </row>
    <row r="518">
      <c r="A518" s="9" t="inlineStr">
        <is>
          <t>WOVEN BAG (8102) - SKY BLUE 50KG</t>
        </is>
      </c>
      <c r="C518" s="9" t="n">
        <v>0</v>
      </c>
      <c r="E518" s="9" t="n">
        <v>0</v>
      </c>
      <c r="G518" s="9" t="n">
        <v>0</v>
      </c>
      <c r="I518" s="9" t="n">
        <v>0</v>
      </c>
      <c r="K518" s="9" t="n">
        <v>0</v>
      </c>
      <c r="M518" s="9" t="n">
        <v>0</v>
      </c>
      <c r="O518" s="9" t="n">
        <v>0</v>
      </c>
      <c r="Q518" s="9" t="n">
        <v>0</v>
      </c>
      <c r="S518" s="9" t="n">
        <v>0</v>
      </c>
      <c r="U518" s="9" t="n">
        <v>0</v>
      </c>
      <c r="W518" s="9" t="n">
        <v>0</v>
      </c>
      <c r="Y518" s="9" t="n">
        <v>0</v>
      </c>
      <c r="AA518" s="9" t="n">
        <v>0</v>
      </c>
      <c r="AC518" s="9" t="n">
        <v>0</v>
      </c>
      <c r="AE518" s="9" t="n">
        <v>0</v>
      </c>
    </row>
    <row r="519">
      <c r="A519" s="9" t="inlineStr">
        <is>
          <t>WOVEN BAG (8103) - BROWN 50KG</t>
        </is>
      </c>
      <c r="C519" s="9" t="n">
        <v>0</v>
      </c>
      <c r="E519" s="9" t="n">
        <v>0</v>
      </c>
      <c r="G519" s="9" t="n">
        <v>0</v>
      </c>
      <c r="I519" s="9" t="n">
        <v>0</v>
      </c>
      <c r="K519" s="9" t="n">
        <v>0</v>
      </c>
      <c r="M519" s="9" t="n">
        <v>0</v>
      </c>
      <c r="O519" s="9" t="n">
        <v>0</v>
      </c>
      <c r="Q519" s="9" t="n">
        <v>0</v>
      </c>
      <c r="S519" s="9" t="n">
        <v>0</v>
      </c>
      <c r="U519" s="9" t="n">
        <v>0</v>
      </c>
      <c r="W519" s="9" t="n">
        <v>0</v>
      </c>
      <c r="Y519" s="9" t="n">
        <v>0</v>
      </c>
      <c r="AA519" s="9" t="n">
        <v>0</v>
      </c>
      <c r="AC519" s="9" t="n">
        <v>0</v>
      </c>
      <c r="AE519" s="9" t="n">
        <v>0</v>
      </c>
    </row>
    <row r="520">
      <c r="A520" s="9" t="n">
        <v>1</v>
      </c>
      <c r="C520" s="9" t="n">
        <v>0</v>
      </c>
      <c r="E520" s="9" t="n">
        <v>0</v>
      </c>
      <c r="G520" s="9" t="n">
        <v>0</v>
      </c>
      <c r="I520" s="9" t="n">
        <v>0</v>
      </c>
      <c r="K520" s="9" t="n">
        <v>0</v>
      </c>
      <c r="M520" s="9" t="n">
        <v>0</v>
      </c>
      <c r="O520" s="9" t="n">
        <v>0</v>
      </c>
      <c r="Q520" s="9" t="n">
        <v>0</v>
      </c>
      <c r="S520" s="9" t="n">
        <v>0</v>
      </c>
      <c r="U520" s="9" t="n">
        <v>0</v>
      </c>
      <c r="W520" s="9" t="n">
        <v>0</v>
      </c>
      <c r="Y520" s="9" t="n">
        <v>0</v>
      </c>
      <c r="AA520" s="9" t="n">
        <v>0</v>
      </c>
      <c r="AC520" s="9" t="n">
        <v>0</v>
      </c>
      <c r="AE520" s="9" t="n">
        <v>0</v>
      </c>
    </row>
    <row r="521">
      <c r="A521" s="9" t="n">
        <v>2</v>
      </c>
      <c r="C521" s="9" t="n">
        <v>0</v>
      </c>
      <c r="E521" s="9" t="n">
        <v>0</v>
      </c>
      <c r="G521" s="9" t="n">
        <v>0</v>
      </c>
      <c r="I521" s="9" t="n">
        <v>0</v>
      </c>
      <c r="K521" s="9" t="n">
        <v>0</v>
      </c>
      <c r="M521" s="9" t="n">
        <v>0</v>
      </c>
      <c r="O521" s="9" t="n">
        <v>0</v>
      </c>
      <c r="Q521" s="9" t="n">
        <v>0</v>
      </c>
      <c r="S521" s="9" t="n">
        <v>0</v>
      </c>
      <c r="U521" s="9" t="n">
        <v>0</v>
      </c>
      <c r="W521" s="9" t="n">
        <v>0</v>
      </c>
      <c r="Y521" s="9" t="n">
        <v>0</v>
      </c>
      <c r="AA521" s="9" t="n">
        <v>0</v>
      </c>
      <c r="AC521" s="9" t="n">
        <v>0</v>
      </c>
      <c r="AE521" s="9" t="n">
        <v>0</v>
      </c>
    </row>
    <row r="522">
      <c r="A522" s="9" t="n">
        <v>3</v>
      </c>
      <c r="C522" s="9" t="n">
        <v>0</v>
      </c>
      <c r="E522" s="9" t="n">
        <v>0</v>
      </c>
      <c r="G522" s="9" t="n">
        <v>0</v>
      </c>
      <c r="I522" s="9" t="n">
        <v>0</v>
      </c>
      <c r="K522" s="9" t="n">
        <v>0</v>
      </c>
      <c r="M522" s="9" t="n">
        <v>0</v>
      </c>
      <c r="O522" s="9" t="n">
        <v>0</v>
      </c>
      <c r="Q522" s="9" t="n">
        <v>0</v>
      </c>
      <c r="S522" s="9" t="n">
        <v>0</v>
      </c>
      <c r="U522" s="9" t="n">
        <v>0</v>
      </c>
      <c r="W522" s="9" t="n">
        <v>0</v>
      </c>
      <c r="Y522" s="9" t="n">
        <v>0</v>
      </c>
      <c r="AA522" s="9" t="n">
        <v>0</v>
      </c>
      <c r="AC522" s="9" t="n">
        <v>0</v>
      </c>
      <c r="AE522" s="9" t="n">
        <v>0</v>
      </c>
    </row>
    <row r="523">
      <c r="A523" s="9" t="n">
        <v>4</v>
      </c>
      <c r="C523" s="9" t="n">
        <v>0</v>
      </c>
      <c r="E523" s="9" t="n">
        <v>0</v>
      </c>
      <c r="G523" s="9" t="n">
        <v>0</v>
      </c>
      <c r="I523" s="9" t="n">
        <v>0</v>
      </c>
      <c r="K523" s="9" t="n">
        <v>0</v>
      </c>
      <c r="M523" s="9" t="n">
        <v>0</v>
      </c>
      <c r="O523" s="9" t="n">
        <v>0</v>
      </c>
      <c r="Q523" s="9" t="n">
        <v>0</v>
      </c>
      <c r="S523" s="9" t="n">
        <v>0</v>
      </c>
      <c r="U523" s="9" t="n">
        <v>0</v>
      </c>
      <c r="W523" s="9" t="n">
        <v>0</v>
      </c>
      <c r="Y523" s="9" t="n">
        <v>0</v>
      </c>
      <c r="AA523" s="9" t="n">
        <v>0</v>
      </c>
      <c r="AC523" s="9" t="n">
        <v>0</v>
      </c>
      <c r="AE523" s="9" t="n">
        <v>0</v>
      </c>
    </row>
    <row r="524">
      <c r="A524" s="9" t="n">
        <v>5</v>
      </c>
      <c r="C524" s="9" t="n">
        <v>0</v>
      </c>
      <c r="E524" s="9" t="n">
        <v>0</v>
      </c>
      <c r="G524" s="9" t="n">
        <v>0</v>
      </c>
      <c r="I524" s="9" t="n">
        <v>0</v>
      </c>
      <c r="K524" s="9" t="n">
        <v>0</v>
      </c>
      <c r="M524" s="9" t="n">
        <v>0</v>
      </c>
      <c r="O524" s="9" t="n">
        <v>0</v>
      </c>
      <c r="Q524" s="9" t="n">
        <v>0</v>
      </c>
      <c r="S524" s="9" t="n">
        <v>0</v>
      </c>
      <c r="U524" s="9" t="n">
        <v>0</v>
      </c>
      <c r="W524" s="9" t="n">
        <v>0</v>
      </c>
      <c r="Y524" s="9" t="n">
        <v>0</v>
      </c>
      <c r="AA524" s="9" t="n">
        <v>0</v>
      </c>
      <c r="AC524" s="9" t="n">
        <v>0</v>
      </c>
      <c r="AE524" s="9" t="n">
        <v>0</v>
      </c>
    </row>
    <row r="525">
      <c r="A525" s="9" t="n">
        <v>6</v>
      </c>
      <c r="C525" s="9" t="n">
        <v>0</v>
      </c>
      <c r="E525" s="9" t="n">
        <v>0</v>
      </c>
      <c r="G525" s="9" t="n">
        <v>0</v>
      </c>
      <c r="I525" s="9" t="n">
        <v>0</v>
      </c>
      <c r="K525" s="9" t="n">
        <v>0</v>
      </c>
      <c r="M525" s="9" t="n">
        <v>0</v>
      </c>
      <c r="O525" s="9" t="n">
        <v>0</v>
      </c>
      <c r="Q525" s="9" t="n">
        <v>0</v>
      </c>
      <c r="S525" s="9" t="n">
        <v>0</v>
      </c>
      <c r="U525" s="9" t="n">
        <v>0</v>
      </c>
      <c r="W525" s="9" t="n">
        <v>0</v>
      </c>
      <c r="Y525" s="9" t="n">
        <v>0</v>
      </c>
      <c r="AA525" s="9" t="n">
        <v>0</v>
      </c>
      <c r="AC525" s="9" t="n">
        <v>0</v>
      </c>
      <c r="AE525" s="9" t="n">
        <v>0</v>
      </c>
    </row>
    <row r="526">
      <c r="A526" s="9" t="n">
        <v>7</v>
      </c>
      <c r="C526" s="9" t="n">
        <v>0</v>
      </c>
      <c r="E526" s="9" t="n">
        <v>0</v>
      </c>
      <c r="G526" s="9" t="n">
        <v>0</v>
      </c>
      <c r="I526" s="9" t="n">
        <v>0</v>
      </c>
      <c r="K526" s="9" t="n">
        <v>0</v>
      </c>
      <c r="M526" s="9" t="n">
        <v>0</v>
      </c>
      <c r="O526" s="9" t="n">
        <v>0</v>
      </c>
      <c r="Q526" s="9" t="n">
        <v>0</v>
      </c>
      <c r="S526" s="9" t="n">
        <v>0</v>
      </c>
      <c r="U526" s="9" t="n">
        <v>0</v>
      </c>
      <c r="W526" s="9" t="n">
        <v>0</v>
      </c>
      <c r="Y526" s="9" t="n">
        <v>0</v>
      </c>
      <c r="AA526" s="9" t="n">
        <v>0</v>
      </c>
      <c r="AC526" s="9" t="n">
        <v>0</v>
      </c>
      <c r="AE526" s="9" t="n">
        <v>0</v>
      </c>
    </row>
    <row r="527">
      <c r="A527" s="9" t="n">
        <v>8</v>
      </c>
      <c r="C527" s="9" t="n">
        <v>0</v>
      </c>
      <c r="E527" s="9" t="n">
        <v>0</v>
      </c>
      <c r="G527" s="9" t="n">
        <v>0</v>
      </c>
      <c r="I527" s="9" t="n">
        <v>0</v>
      </c>
      <c r="K527" s="9" t="n">
        <v>0</v>
      </c>
      <c r="M527" s="9" t="n">
        <v>0</v>
      </c>
      <c r="O527" s="9" t="n">
        <v>0</v>
      </c>
      <c r="Q527" s="9" t="n">
        <v>0</v>
      </c>
      <c r="S527" s="9" t="n">
        <v>0</v>
      </c>
      <c r="U527" s="9" t="n">
        <v>0</v>
      </c>
      <c r="W527" s="9" t="n">
        <v>0</v>
      </c>
      <c r="Y527" s="9" t="n">
        <v>0</v>
      </c>
      <c r="AA527" s="9" t="n">
        <v>0</v>
      </c>
      <c r="AC527" s="9" t="n">
        <v>0</v>
      </c>
      <c r="AE527" s="9" t="n">
        <v>0</v>
      </c>
    </row>
    <row r="528">
      <c r="A528" s="9" t="inlineStr">
        <is>
          <t>TOTAL</t>
        </is>
      </c>
      <c r="B528" s="9" t="n">
        <v>100</v>
      </c>
      <c r="C528" s="9" t="n">
        <v>1000</v>
      </c>
      <c r="D528" s="9" t="n">
        <v>99.99999999999999</v>
      </c>
      <c r="E528" s="9" t="n">
        <v>1000</v>
      </c>
      <c r="F528" s="9" t="n">
        <v>100</v>
      </c>
      <c r="G528" s="9" t="n">
        <v>1000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9" t="n">
        <v>0</v>
      </c>
      <c r="Q528" s="9" t="n">
        <v>0</v>
      </c>
      <c r="R528" s="9" t="n">
        <v>0</v>
      </c>
      <c r="S528" s="9" t="n">
        <v>0</v>
      </c>
      <c r="T528" s="9" t="n">
        <v>100</v>
      </c>
      <c r="U528" s="9" t="n">
        <v>1000</v>
      </c>
      <c r="V528" s="9" t="n">
        <v>99.99999999999999</v>
      </c>
      <c r="W528" s="9" t="n">
        <v>1000</v>
      </c>
      <c r="X528" s="9" t="n">
        <v>0</v>
      </c>
      <c r="Y528" s="9" t="n">
        <v>0</v>
      </c>
      <c r="Z528" s="9" t="n">
        <v>0</v>
      </c>
      <c r="AA528" s="9" t="n">
        <v>0</v>
      </c>
      <c r="AB528" s="9" t="n">
        <v>0</v>
      </c>
      <c r="AC528" s="9" t="n">
        <v>0</v>
      </c>
      <c r="AD528" s="9" t="n">
        <v>0</v>
      </c>
      <c r="AE528" s="9" t="n">
        <v>0</v>
      </c>
    </row>
    <row r="529"/>
    <row r="530">
      <c r="A530" s="9" t="inlineStr">
        <is>
          <t>122 (BROILER), 5201, 5202</t>
        </is>
      </c>
      <c r="B530" s="9" t="n">
        <v>1</v>
      </c>
      <c r="D530" s="9" t="n">
        <v>2</v>
      </c>
      <c r="F530" s="9" t="n">
        <v>3</v>
      </c>
      <c r="H530" s="9" t="n">
        <v>4</v>
      </c>
      <c r="J530" s="9" t="n">
        <v>5</v>
      </c>
      <c r="L530" s="9" t="n">
        <v>6</v>
      </c>
      <c r="N530" s="9" t="n">
        <v>7</v>
      </c>
      <c r="P530" s="9" t="n">
        <v>8</v>
      </c>
      <c r="R530" s="9" t="n">
        <v>9</v>
      </c>
      <c r="T530" s="9" t="n">
        <v>10</v>
      </c>
      <c r="V530" s="9" t="n">
        <v>11</v>
      </c>
      <c r="X530" s="9" t="n">
        <v>12</v>
      </c>
      <c r="Z530" s="9" t="n">
        <v>13</v>
      </c>
      <c r="AB530" s="9" t="n">
        <v>14</v>
      </c>
      <c r="AD530" s="9" t="n">
        <v>15</v>
      </c>
    </row>
    <row r="531">
      <c r="B531" s="9" t="inlineStr">
        <is>
          <t>YH 122 (050226)</t>
        </is>
      </c>
      <c r="D531" s="9" t="inlineStr">
        <is>
          <t>YH 122 (190326)</t>
        </is>
      </c>
      <c r="F531" s="9" t="inlineStr">
        <is>
          <t>YH 122 (200426)</t>
        </is>
      </c>
      <c r="N531" s="9" t="inlineStr">
        <is>
          <t>5201 (090426)</t>
        </is>
      </c>
      <c r="P531" s="9" t="inlineStr">
        <is>
          <t>5201 (090426)</t>
        </is>
      </c>
      <c r="T531" s="9" t="inlineStr">
        <is>
          <t>5202 (090426)</t>
        </is>
      </c>
      <c r="V531" s="9" t="inlineStr">
        <is>
          <t>5202 (090426)</t>
        </is>
      </c>
      <c r="Z531" s="9" t="inlineStr">
        <is>
          <t>5203 (090426)</t>
        </is>
      </c>
      <c r="AB531" s="9" t="inlineStr">
        <is>
          <t>5203 (090426)</t>
        </is>
      </c>
    </row>
    <row r="532">
      <c r="B532" s="9" t="inlineStr">
        <is>
          <t>WITH TOXISORB</t>
        </is>
      </c>
      <c r="D532" s="9" t="inlineStr">
        <is>
          <t>WITH TOXIWALL</t>
        </is>
      </c>
      <c r="F532" s="9" t="inlineStr">
        <is>
          <t>WITH TOXIWALL, YM 20.50kg</t>
        </is>
      </c>
      <c r="P532" s="9" t="inlineStr">
        <is>
          <t>REDUCE CORN FOR 2MT</t>
        </is>
      </c>
      <c r="V532" s="9" t="inlineStr">
        <is>
          <t>K20</t>
        </is>
      </c>
      <c r="Z532" s="9" t="inlineStr">
        <is>
          <t>ALREADY 2MT</t>
        </is>
      </c>
      <c r="AB532" s="9" t="inlineStr">
        <is>
          <t>K21</t>
        </is>
      </c>
    </row>
    <row r="533">
      <c r="B533" s="9" t="inlineStr">
        <is>
          <t>%</t>
        </is>
      </c>
      <c r="C533" s="9" t="inlineStr">
        <is>
          <t>BATCH</t>
        </is>
      </c>
      <c r="D533" s="9" t="inlineStr">
        <is>
          <t>%</t>
        </is>
      </c>
      <c r="E533" s="9" t="inlineStr">
        <is>
          <t>BATCH</t>
        </is>
      </c>
      <c r="F533" s="9" t="inlineStr">
        <is>
          <t>%</t>
        </is>
      </c>
      <c r="G533" s="9" t="inlineStr">
        <is>
          <t>BATCH</t>
        </is>
      </c>
      <c r="H533" s="9" t="inlineStr">
        <is>
          <t>%</t>
        </is>
      </c>
      <c r="I533" s="9" t="inlineStr">
        <is>
          <t>BATCH</t>
        </is>
      </c>
      <c r="J533" s="9" t="inlineStr">
        <is>
          <t>%</t>
        </is>
      </c>
      <c r="K533" s="9" t="inlineStr">
        <is>
          <t>BATCH</t>
        </is>
      </c>
      <c r="L533" s="9" t="inlineStr">
        <is>
          <t>%</t>
        </is>
      </c>
      <c r="M533" s="9" t="inlineStr">
        <is>
          <t>BATCH</t>
        </is>
      </c>
      <c r="N533" s="9" t="inlineStr">
        <is>
          <t>%</t>
        </is>
      </c>
      <c r="O533" s="9" t="inlineStr">
        <is>
          <t>BATCH</t>
        </is>
      </c>
      <c r="P533" s="9" t="inlineStr">
        <is>
          <t>%</t>
        </is>
      </c>
      <c r="Q533" s="9" t="inlineStr">
        <is>
          <t>BATCH</t>
        </is>
      </c>
      <c r="R533" s="9" t="inlineStr">
        <is>
          <t>%</t>
        </is>
      </c>
      <c r="S533" s="9" t="inlineStr">
        <is>
          <t>BATCH</t>
        </is>
      </c>
      <c r="T533" s="9" t="inlineStr">
        <is>
          <t>%</t>
        </is>
      </c>
      <c r="U533" s="9" t="inlineStr">
        <is>
          <t>BATCH</t>
        </is>
      </c>
      <c r="V533" s="9" t="inlineStr">
        <is>
          <t>%</t>
        </is>
      </c>
      <c r="W533" s="9" t="inlineStr">
        <is>
          <t>BATCH</t>
        </is>
      </c>
      <c r="X533" s="9" t="inlineStr">
        <is>
          <t>%</t>
        </is>
      </c>
      <c r="Y533" s="9" t="inlineStr">
        <is>
          <t>BATCH</t>
        </is>
      </c>
      <c r="Z533" s="9" t="inlineStr">
        <is>
          <t>%</t>
        </is>
      </c>
      <c r="AA533" s="9" t="inlineStr">
        <is>
          <t>BATCH</t>
        </is>
      </c>
      <c r="AB533" s="9" t="inlineStr">
        <is>
          <t>%</t>
        </is>
      </c>
      <c r="AC533" s="9" t="inlineStr">
        <is>
          <t>BATCH</t>
        </is>
      </c>
      <c r="AD533" s="9" t="inlineStr">
        <is>
          <t>%</t>
        </is>
      </c>
      <c r="AE533" s="9" t="inlineStr">
        <is>
          <t>BATCH</t>
        </is>
      </c>
    </row>
    <row r="534">
      <c r="A534" s="9" t="inlineStr">
        <is>
          <t>MAIZE/CORN</t>
        </is>
      </c>
      <c r="B534" s="9" t="n">
        <v>50.13500000000001</v>
      </c>
      <c r="C534" s="9" t="n">
        <v>501.3500000000001</v>
      </c>
      <c r="D534" s="9" t="n">
        <v>50.235</v>
      </c>
      <c r="E534" s="9" t="n">
        <v>502.35</v>
      </c>
      <c r="F534" s="9" t="n">
        <v>50.13500000000001</v>
      </c>
      <c r="G534" s="9" t="n">
        <v>501.3500000000001</v>
      </c>
      <c r="I534" s="9" t="n">
        <v>0</v>
      </c>
      <c r="K534" s="9" t="n">
        <v>0</v>
      </c>
      <c r="M534" s="9" t="n">
        <v>0</v>
      </c>
      <c r="N534" s="9" t="n">
        <v>52.485</v>
      </c>
      <c r="O534" s="9" t="n">
        <v>524.85</v>
      </c>
      <c r="P534" s="9" t="n">
        <v>51.125</v>
      </c>
      <c r="Q534" s="9" t="n">
        <v>511.25</v>
      </c>
      <c r="S534" s="9" t="n">
        <v>0</v>
      </c>
      <c r="T534" s="9" t="n">
        <v>54.5145</v>
      </c>
      <c r="U534" s="9" t="n">
        <v>545.145</v>
      </c>
      <c r="V534" s="9" t="n">
        <v>54.395</v>
      </c>
      <c r="W534" s="9" t="n">
        <v>543.95</v>
      </c>
      <c r="Y534" s="9" t="n">
        <v>0</v>
      </c>
      <c r="Z534" s="9" t="n">
        <v>61.44</v>
      </c>
      <c r="AA534" s="9" t="n">
        <v>614.4</v>
      </c>
      <c r="AB534" s="9" t="n">
        <v>60.67</v>
      </c>
      <c r="AC534" s="9" t="n">
        <v>606.7</v>
      </c>
      <c r="AE534" s="9" t="n">
        <v>0</v>
      </c>
    </row>
    <row r="535">
      <c r="A535" s="9" t="inlineStr">
        <is>
          <t>SOYBEAN MEAL (ARG)</t>
        </is>
      </c>
      <c r="B535" s="9" t="n">
        <v>20.5</v>
      </c>
      <c r="C535" s="9" t="n">
        <v>205</v>
      </c>
      <c r="D535" s="9" t="n">
        <v>20.5</v>
      </c>
      <c r="E535" s="9" t="n">
        <v>205</v>
      </c>
      <c r="F535" s="9" t="n">
        <v>20.5</v>
      </c>
      <c r="G535" s="9" t="n">
        <v>205</v>
      </c>
      <c r="I535" s="9" t="n">
        <v>0</v>
      </c>
      <c r="K535" s="9" t="n">
        <v>0</v>
      </c>
      <c r="M535" s="9" t="n">
        <v>0</v>
      </c>
      <c r="N535" s="9" t="n">
        <v>33.607</v>
      </c>
      <c r="O535" s="9" t="n">
        <v>336.07</v>
      </c>
      <c r="P535" s="9" t="n">
        <v>33.607</v>
      </c>
      <c r="Q535" s="9" t="n">
        <v>336.07</v>
      </c>
      <c r="S535" s="9" t="n">
        <v>0</v>
      </c>
      <c r="T535" s="9" t="n">
        <v>29.7485</v>
      </c>
      <c r="U535" s="9" t="n">
        <v>297.485</v>
      </c>
      <c r="V535" s="9" t="n">
        <v>29.75</v>
      </c>
      <c r="W535" s="9" t="n">
        <v>297.5</v>
      </c>
      <c r="Y535" s="9" t="n">
        <v>0</v>
      </c>
      <c r="Z535" s="9" t="n">
        <v>22.38</v>
      </c>
      <c r="AA535" s="9" t="n">
        <v>223.8</v>
      </c>
      <c r="AB535" s="9" t="n">
        <v>21.56</v>
      </c>
      <c r="AC535" s="9" t="n">
        <v>215.6</v>
      </c>
      <c r="AE535" s="9" t="n">
        <v>0</v>
      </c>
    </row>
    <row r="536">
      <c r="A536" s="9" t="inlineStr">
        <is>
          <t>SOYBEAN FULL FAT</t>
        </is>
      </c>
      <c r="B536" s="9" t="n">
        <v>8.35</v>
      </c>
      <c r="C536" s="9" t="n">
        <v>83.49999999999999</v>
      </c>
      <c r="D536" s="9" t="n">
        <v>8.35</v>
      </c>
      <c r="E536" s="9" t="n">
        <v>83.49999999999999</v>
      </c>
      <c r="F536" s="9" t="n">
        <v>8.35</v>
      </c>
      <c r="G536" s="9" t="n">
        <v>83.49999999999999</v>
      </c>
      <c r="I536" s="9" t="n">
        <v>0</v>
      </c>
      <c r="K536" s="9" t="n">
        <v>0</v>
      </c>
      <c r="M536" s="9" t="n">
        <v>0</v>
      </c>
      <c r="N536" s="9" t="n">
        <v>5</v>
      </c>
      <c r="O536" s="9" t="n">
        <v>50</v>
      </c>
      <c r="P536" s="9" t="n">
        <v>5</v>
      </c>
      <c r="Q536" s="9" t="n">
        <v>50</v>
      </c>
      <c r="S536" s="9" t="n">
        <v>0</v>
      </c>
      <c r="T536" s="9" t="n">
        <v>6</v>
      </c>
      <c r="U536" s="9" t="n">
        <v>60</v>
      </c>
      <c r="V536" s="9" t="n">
        <v>6</v>
      </c>
      <c r="W536" s="9" t="n">
        <v>60</v>
      </c>
      <c r="Y536" s="9" t="n">
        <v>0</v>
      </c>
      <c r="Z536" s="9" t="n">
        <v>7</v>
      </c>
      <c r="AA536" s="9" t="n">
        <v>70</v>
      </c>
      <c r="AB536" s="9" t="n">
        <v>7</v>
      </c>
      <c r="AC536" s="9" t="n">
        <v>70</v>
      </c>
      <c r="AE536" s="9" t="n">
        <v>0</v>
      </c>
    </row>
    <row r="537">
      <c r="A537" s="9" t="inlineStr">
        <is>
          <t>WHEAT POLLARD</t>
        </is>
      </c>
      <c r="B537" s="9" t="n">
        <v>1.3</v>
      </c>
      <c r="C537" s="9" t="n">
        <v>13</v>
      </c>
      <c r="D537" s="9" t="n">
        <v>1.3</v>
      </c>
      <c r="E537" s="9" t="n">
        <v>13</v>
      </c>
      <c r="F537" s="9" t="n">
        <v>1.3</v>
      </c>
      <c r="G537" s="9" t="n">
        <v>13</v>
      </c>
      <c r="I537" s="9" t="n">
        <v>0</v>
      </c>
      <c r="K537" s="9" t="n">
        <v>0</v>
      </c>
      <c r="M537" s="9" t="n">
        <v>0</v>
      </c>
      <c r="O537" s="9" t="n">
        <v>0</v>
      </c>
      <c r="Q537" s="9" t="n">
        <v>0</v>
      </c>
      <c r="S537" s="9" t="n">
        <v>0</v>
      </c>
      <c r="U537" s="9" t="n">
        <v>0</v>
      </c>
      <c r="W537" s="9" t="n">
        <v>0</v>
      </c>
      <c r="Y537" s="9" t="n">
        <v>0</v>
      </c>
      <c r="AA537" s="9" t="n">
        <v>0</v>
      </c>
      <c r="AC537" s="9" t="n">
        <v>0</v>
      </c>
      <c r="AE537" s="9" t="n">
        <v>0</v>
      </c>
    </row>
    <row r="538">
      <c r="A538" s="9" t="inlineStr">
        <is>
          <t>WHEAT</t>
        </is>
      </c>
      <c r="C538" s="9" t="n">
        <v>0</v>
      </c>
      <c r="E538" s="9" t="n">
        <v>0</v>
      </c>
      <c r="G538" s="9" t="n">
        <v>0</v>
      </c>
      <c r="I538" s="9" t="n">
        <v>0</v>
      </c>
      <c r="K538" s="9" t="n">
        <v>0</v>
      </c>
      <c r="M538" s="9" t="n">
        <v>0</v>
      </c>
      <c r="O538" s="9" t="n">
        <v>0</v>
      </c>
      <c r="Q538" s="9" t="n">
        <v>0</v>
      </c>
      <c r="S538" s="9" t="n">
        <v>0</v>
      </c>
      <c r="U538" s="9" t="n">
        <v>0</v>
      </c>
      <c r="W538" s="9" t="n">
        <v>0</v>
      </c>
      <c r="Y538" s="9" t="n">
        <v>0</v>
      </c>
      <c r="AA538" s="9" t="n">
        <v>0</v>
      </c>
      <c r="AC538" s="9" t="n">
        <v>0</v>
      </c>
      <c r="AE538" s="9" t="n">
        <v>0</v>
      </c>
    </row>
    <row r="539">
      <c r="A539" s="9" t="inlineStr">
        <is>
          <t>MEAT AND BONE MEAL</t>
        </is>
      </c>
      <c r="C539" s="9" t="n">
        <v>0</v>
      </c>
      <c r="E539" s="9" t="n">
        <v>0</v>
      </c>
      <c r="G539" s="9" t="n">
        <v>0</v>
      </c>
      <c r="I539" s="9" t="n">
        <v>0</v>
      </c>
      <c r="K539" s="9" t="n">
        <v>0</v>
      </c>
      <c r="M539" s="9" t="n">
        <v>0</v>
      </c>
      <c r="O539" s="9" t="n">
        <v>0</v>
      </c>
      <c r="Q539" s="9" t="n">
        <v>0</v>
      </c>
      <c r="S539" s="9" t="n">
        <v>0</v>
      </c>
      <c r="U539" s="9" t="n">
        <v>0</v>
      </c>
      <c r="W539" s="9" t="n">
        <v>0</v>
      </c>
      <c r="Y539" s="9" t="n">
        <v>0</v>
      </c>
      <c r="AA539" s="9" t="n">
        <v>0</v>
      </c>
      <c r="AC539" s="9" t="n">
        <v>0</v>
      </c>
      <c r="AE539" s="9" t="n">
        <v>0</v>
      </c>
    </row>
    <row r="540">
      <c r="A540" s="9" t="inlineStr">
        <is>
          <t>CORN GLUTEN MEAL</t>
        </is>
      </c>
      <c r="B540" s="9" t="n">
        <v>4.2</v>
      </c>
      <c r="C540" s="9" t="n">
        <v>42</v>
      </c>
      <c r="D540" s="9" t="n">
        <v>4.2</v>
      </c>
      <c r="E540" s="9" t="n">
        <v>42</v>
      </c>
      <c r="F540" s="9" t="n">
        <v>4.2</v>
      </c>
      <c r="G540" s="9" t="n">
        <v>42</v>
      </c>
      <c r="I540" s="9" t="n">
        <v>0</v>
      </c>
      <c r="K540" s="9" t="n">
        <v>0</v>
      </c>
      <c r="M540" s="9" t="n">
        <v>0</v>
      </c>
      <c r="O540" s="9" t="n">
        <v>0</v>
      </c>
      <c r="Q540" s="9" t="n">
        <v>0</v>
      </c>
      <c r="S540" s="9" t="n">
        <v>0</v>
      </c>
      <c r="U540" s="9" t="n">
        <v>0</v>
      </c>
      <c r="W540" s="9" t="n">
        <v>0</v>
      </c>
      <c r="Y540" s="9" t="n">
        <v>0</v>
      </c>
      <c r="Z540" s="9" t="n">
        <v>1</v>
      </c>
      <c r="AA540" s="9" t="n">
        <v>10</v>
      </c>
      <c r="AB540" s="9" t="n">
        <v>1</v>
      </c>
      <c r="AC540" s="9" t="n">
        <v>10</v>
      </c>
      <c r="AE540" s="9" t="n">
        <v>0</v>
      </c>
    </row>
    <row r="541">
      <c r="A541" s="9" t="inlineStr">
        <is>
          <t>MEGAFAT (HARUMI)</t>
        </is>
      </c>
      <c r="B541" s="9" t="n">
        <v>2</v>
      </c>
      <c r="C541" s="9" t="n">
        <v>20</v>
      </c>
      <c r="D541" s="9" t="n">
        <v>2</v>
      </c>
      <c r="E541" s="9" t="n">
        <v>20</v>
      </c>
      <c r="F541" s="9" t="n">
        <v>2</v>
      </c>
      <c r="G541" s="9" t="n">
        <v>20</v>
      </c>
      <c r="I541" s="9" t="n">
        <v>0</v>
      </c>
      <c r="K541" s="9" t="n">
        <v>0</v>
      </c>
      <c r="M541" s="9" t="n">
        <v>0</v>
      </c>
      <c r="O541" s="9" t="n">
        <v>0</v>
      </c>
      <c r="Q541" s="9" t="n">
        <v>0</v>
      </c>
      <c r="S541" s="9" t="n">
        <v>0</v>
      </c>
      <c r="T541" s="9" t="n">
        <v>0.5</v>
      </c>
      <c r="U541" s="9" t="n">
        <v>5</v>
      </c>
      <c r="V541" s="9" t="n">
        <v>0.5</v>
      </c>
      <c r="W541" s="9" t="n">
        <v>5</v>
      </c>
      <c r="Y541" s="9" t="n">
        <v>0</v>
      </c>
      <c r="Z541" s="9" t="n">
        <v>0.5</v>
      </c>
      <c r="AA541" s="9" t="n">
        <v>5</v>
      </c>
      <c r="AB541" s="9" t="n">
        <v>0.5</v>
      </c>
      <c r="AC541" s="9" t="n">
        <v>5</v>
      </c>
      <c r="AE541" s="9" t="n">
        <v>0</v>
      </c>
    </row>
    <row r="542">
      <c r="A542" s="9" t="inlineStr">
        <is>
          <t>DCP 18%</t>
        </is>
      </c>
      <c r="B542" s="9" t="n">
        <v>0.665</v>
      </c>
      <c r="C542" s="9" t="n">
        <v>6.65</v>
      </c>
      <c r="D542" s="9" t="n">
        <v>0.665</v>
      </c>
      <c r="E542" s="9" t="n">
        <v>6.65</v>
      </c>
      <c r="F542" s="9" t="n">
        <v>0.665</v>
      </c>
      <c r="G542" s="9" t="n">
        <v>6.65</v>
      </c>
      <c r="I542" s="9" t="n">
        <v>0</v>
      </c>
      <c r="K542" s="9" t="n">
        <v>0</v>
      </c>
      <c r="M542" s="9" t="n">
        <v>0</v>
      </c>
      <c r="N542" s="9" t="n">
        <v>1.1775</v>
      </c>
      <c r="O542" s="9" t="n">
        <v>11.775</v>
      </c>
      <c r="P542" s="9" t="n">
        <v>1.1775</v>
      </c>
      <c r="Q542" s="9" t="n">
        <v>11.775</v>
      </c>
      <c r="S542" s="9" t="n">
        <v>0</v>
      </c>
      <c r="T542" s="9" t="n">
        <v>0.7355</v>
      </c>
      <c r="U542" s="9" t="n">
        <v>7.355</v>
      </c>
      <c r="V542" s="9" t="n">
        <v>0.7355</v>
      </c>
      <c r="W542" s="9" t="n">
        <v>7.355</v>
      </c>
      <c r="Y542" s="9" t="n">
        <v>0</v>
      </c>
      <c r="Z542" s="9" t="n">
        <v>0.4305</v>
      </c>
      <c r="AA542" s="9" t="n">
        <v>4.305</v>
      </c>
      <c r="AB542" s="9" t="n">
        <v>0.4305</v>
      </c>
      <c r="AC542" s="9" t="n">
        <v>4.305</v>
      </c>
      <c r="AE542" s="9" t="n">
        <v>0</v>
      </c>
    </row>
    <row r="543">
      <c r="A543" s="9" t="inlineStr">
        <is>
          <t>LIMESTONE POWDER (HARUMI)</t>
        </is>
      </c>
      <c r="B543" s="9" t="n">
        <v>1</v>
      </c>
      <c r="C543" s="9" t="n">
        <v>10</v>
      </c>
      <c r="D543" s="9" t="n">
        <v>1</v>
      </c>
      <c r="E543" s="9" t="n">
        <v>10</v>
      </c>
      <c r="F543" s="9" t="n">
        <v>1</v>
      </c>
      <c r="G543" s="9" t="n">
        <v>10</v>
      </c>
      <c r="I543" s="9" t="n">
        <v>0</v>
      </c>
      <c r="K543" s="9" t="n">
        <v>0</v>
      </c>
      <c r="M543" s="9" t="n">
        <v>0</v>
      </c>
      <c r="O543" s="9" t="n">
        <v>0</v>
      </c>
      <c r="Q543" s="9" t="n">
        <v>0</v>
      </c>
      <c r="S543" s="9" t="n">
        <v>0</v>
      </c>
      <c r="U543" s="9" t="n">
        <v>0</v>
      </c>
      <c r="W543" s="9" t="n">
        <v>0</v>
      </c>
      <c r="Y543" s="9" t="n">
        <v>0</v>
      </c>
      <c r="AA543" s="9" t="n">
        <v>0</v>
      </c>
      <c r="AC543" s="9" t="n">
        <v>0</v>
      </c>
      <c r="AE543" s="9" t="n">
        <v>0</v>
      </c>
    </row>
    <row r="544">
      <c r="A544" s="9" t="inlineStr">
        <is>
          <t>CHOLINE CHLORIDE 60%</t>
        </is>
      </c>
      <c r="C544" s="9" t="n">
        <v>0</v>
      </c>
      <c r="E544" s="9" t="n">
        <v>0</v>
      </c>
      <c r="G544" s="9" t="n">
        <v>0</v>
      </c>
      <c r="I544" s="9" t="n">
        <v>0</v>
      </c>
      <c r="K544" s="9" t="n">
        <v>0</v>
      </c>
      <c r="M544" s="9" t="n">
        <v>0</v>
      </c>
      <c r="O544" s="9" t="n">
        <v>0</v>
      </c>
      <c r="Q544" s="9" t="n">
        <v>0</v>
      </c>
      <c r="S544" s="9" t="n">
        <v>0</v>
      </c>
      <c r="U544" s="9" t="n">
        <v>0</v>
      </c>
      <c r="W544" s="9" t="n">
        <v>0</v>
      </c>
      <c r="Y544" s="9" t="n">
        <v>0</v>
      </c>
      <c r="AA544" s="9" t="n">
        <v>0</v>
      </c>
      <c r="AC544" s="9" t="n">
        <v>0</v>
      </c>
      <c r="AE544" s="9" t="n">
        <v>0</v>
      </c>
    </row>
    <row r="545">
      <c r="A545" s="9" t="inlineStr">
        <is>
          <t>INDUSTRY FLOUR</t>
        </is>
      </c>
      <c r="B545" s="9" t="n">
        <v>5</v>
      </c>
      <c r="C545" s="9" t="n">
        <v>50</v>
      </c>
      <c r="D545" s="9" t="n">
        <v>5</v>
      </c>
      <c r="E545" s="9" t="n">
        <v>50</v>
      </c>
      <c r="F545" s="9" t="n">
        <v>5</v>
      </c>
      <c r="G545" s="9" t="n">
        <v>50</v>
      </c>
      <c r="I545" s="9" t="n">
        <v>0</v>
      </c>
      <c r="K545" s="9" t="n">
        <v>0</v>
      </c>
      <c r="M545" s="9" t="n">
        <v>0</v>
      </c>
      <c r="N545" s="9" t="n">
        <v>2</v>
      </c>
      <c r="O545" s="9" t="n">
        <v>20</v>
      </c>
      <c r="P545" s="9" t="n">
        <v>2</v>
      </c>
      <c r="Q545" s="9" t="n">
        <v>20</v>
      </c>
      <c r="S545" s="9" t="n">
        <v>0</v>
      </c>
      <c r="T545" s="9" t="n">
        <v>2</v>
      </c>
      <c r="U545" s="9" t="n">
        <v>20</v>
      </c>
      <c r="V545" s="9" t="n">
        <v>2</v>
      </c>
      <c r="W545" s="9" t="n">
        <v>20</v>
      </c>
      <c r="Y545" s="9" t="n">
        <v>0</v>
      </c>
      <c r="Z545" s="9" t="n">
        <v>2</v>
      </c>
      <c r="AA545" s="9" t="n">
        <v>20</v>
      </c>
      <c r="AB545" s="9" t="n">
        <v>2</v>
      </c>
      <c r="AC545" s="9" t="n">
        <v>20</v>
      </c>
      <c r="AE545" s="9" t="n">
        <v>0</v>
      </c>
    </row>
    <row r="546">
      <c r="A546" s="9" t="inlineStr">
        <is>
          <t>RICE BRAN</t>
        </is>
      </c>
      <c r="B546" s="9" t="n">
        <v>4</v>
      </c>
      <c r="C546" s="9" t="n">
        <v>40</v>
      </c>
      <c r="D546" s="9" t="n">
        <v>4</v>
      </c>
      <c r="E546" s="9" t="n">
        <v>40</v>
      </c>
      <c r="F546" s="9" t="n">
        <v>4</v>
      </c>
      <c r="G546" s="9" t="n">
        <v>40</v>
      </c>
      <c r="I546" s="9" t="n">
        <v>0</v>
      </c>
      <c r="K546" s="9" t="n">
        <v>0</v>
      </c>
      <c r="M546" s="9" t="n">
        <v>0</v>
      </c>
      <c r="O546" s="9" t="n">
        <v>0</v>
      </c>
      <c r="Q546" s="9" t="n">
        <v>0</v>
      </c>
      <c r="S546" s="9" t="n">
        <v>0</v>
      </c>
      <c r="U546" s="9" t="n">
        <v>0</v>
      </c>
      <c r="W546" s="9" t="n">
        <v>0</v>
      </c>
      <c r="Y546" s="9" t="n">
        <v>0</v>
      </c>
      <c r="AA546" s="9" t="n">
        <v>0</v>
      </c>
      <c r="AC546" s="9" t="n">
        <v>0</v>
      </c>
      <c r="AE546" s="9" t="n">
        <v>0</v>
      </c>
    </row>
    <row r="547">
      <c r="A547" s="9" t="inlineStr">
        <is>
          <t>EP 200</t>
        </is>
      </c>
      <c r="C547" s="9" t="n">
        <v>0</v>
      </c>
      <c r="E547" s="9" t="n">
        <v>0</v>
      </c>
      <c r="G547" s="9" t="n">
        <v>0</v>
      </c>
      <c r="I547" s="9" t="n">
        <v>0</v>
      </c>
      <c r="K547" s="9" t="n">
        <v>0</v>
      </c>
      <c r="M547" s="9" t="n">
        <v>0</v>
      </c>
      <c r="O547" s="9" t="n">
        <v>0</v>
      </c>
      <c r="Q547" s="9" t="n">
        <v>0</v>
      </c>
      <c r="S547" s="9" t="n">
        <v>0</v>
      </c>
      <c r="U547" s="9" t="n">
        <v>0</v>
      </c>
      <c r="W547" s="9" t="n">
        <v>0</v>
      </c>
      <c r="Y547" s="9" t="n">
        <v>0</v>
      </c>
      <c r="AA547" s="9" t="n">
        <v>0</v>
      </c>
      <c r="AC547" s="9" t="n">
        <v>0</v>
      </c>
      <c r="AE547" s="9" t="n">
        <v>0</v>
      </c>
    </row>
    <row r="548">
      <c r="A548" s="9" t="inlineStr">
        <is>
          <t>SOYTIDE</t>
        </is>
      </c>
      <c r="C548" s="9" t="n">
        <v>0</v>
      </c>
      <c r="E548" s="9" t="n">
        <v>0</v>
      </c>
      <c r="G548" s="9" t="n">
        <v>0</v>
      </c>
      <c r="I548" s="9" t="n">
        <v>0</v>
      </c>
      <c r="K548" s="9" t="n">
        <v>0</v>
      </c>
      <c r="M548" s="9" t="n">
        <v>0</v>
      </c>
      <c r="O548" s="9" t="n">
        <v>0</v>
      </c>
      <c r="Q548" s="9" t="n">
        <v>0</v>
      </c>
      <c r="S548" s="9" t="n">
        <v>0</v>
      </c>
      <c r="U548" s="9" t="n">
        <v>0</v>
      </c>
      <c r="W548" s="9" t="n">
        <v>0</v>
      </c>
      <c r="Y548" s="9" t="n">
        <v>0</v>
      </c>
      <c r="AA548" s="9" t="n">
        <v>0</v>
      </c>
      <c r="AC548" s="9" t="n">
        <v>0</v>
      </c>
      <c r="AE548" s="9" t="n">
        <v>0</v>
      </c>
    </row>
    <row r="549">
      <c r="A549" s="9" t="inlineStr">
        <is>
          <t>DCP 18% (HARUMI)</t>
        </is>
      </c>
      <c r="C549" s="9" t="n">
        <v>0</v>
      </c>
      <c r="E549" s="9" t="n">
        <v>0</v>
      </c>
      <c r="G549" s="9" t="n">
        <v>0</v>
      </c>
      <c r="I549" s="9" t="n">
        <v>0</v>
      </c>
      <c r="K549" s="9" t="n">
        <v>0</v>
      </c>
      <c r="M549" s="9" t="n">
        <v>0</v>
      </c>
      <c r="O549" s="9" t="n">
        <v>0</v>
      </c>
      <c r="Q549" s="9" t="n">
        <v>0</v>
      </c>
      <c r="S549" s="9" t="n">
        <v>0</v>
      </c>
      <c r="U549" s="9" t="n">
        <v>0</v>
      </c>
      <c r="W549" s="9" t="n">
        <v>0</v>
      </c>
      <c r="Y549" s="9" t="n">
        <v>0</v>
      </c>
      <c r="AA549" s="9" t="n">
        <v>0</v>
      </c>
      <c r="AC549" s="9" t="n">
        <v>0</v>
      </c>
      <c r="AE549" s="9" t="n">
        <v>0</v>
      </c>
    </row>
    <row r="550">
      <c r="A550" s="9" t="n">
        <v>1</v>
      </c>
      <c r="C550" s="9" t="n">
        <v>0</v>
      </c>
      <c r="E550" s="9" t="n">
        <v>0</v>
      </c>
      <c r="G550" s="9" t="n">
        <v>0</v>
      </c>
      <c r="I550" s="9" t="n">
        <v>0</v>
      </c>
      <c r="K550" s="9" t="n">
        <v>0</v>
      </c>
      <c r="M550" s="9" t="n">
        <v>0</v>
      </c>
      <c r="O550" s="9" t="n">
        <v>0</v>
      </c>
      <c r="Q550" s="9" t="n">
        <v>0</v>
      </c>
      <c r="S550" s="9" t="n">
        <v>0</v>
      </c>
      <c r="U550" s="9" t="n">
        <v>0</v>
      </c>
      <c r="W550" s="9" t="n">
        <v>0</v>
      </c>
      <c r="Y550" s="9" t="n">
        <v>0</v>
      </c>
      <c r="AA550" s="9" t="n">
        <v>0</v>
      </c>
      <c r="AC550" s="9" t="n">
        <v>0</v>
      </c>
      <c r="AE550" s="9" t="n">
        <v>0</v>
      </c>
    </row>
    <row r="551">
      <c r="A551" s="9" t="n">
        <v>2</v>
      </c>
      <c r="C551" s="9" t="n">
        <v>0</v>
      </c>
      <c r="E551" s="9" t="n">
        <v>0</v>
      </c>
      <c r="G551" s="9" t="n">
        <v>0</v>
      </c>
      <c r="I551" s="9" t="n">
        <v>0</v>
      </c>
      <c r="K551" s="9" t="n">
        <v>0</v>
      </c>
      <c r="M551" s="9" t="n">
        <v>0</v>
      </c>
      <c r="O551" s="9" t="n">
        <v>0</v>
      </c>
      <c r="Q551" s="9" t="n">
        <v>0</v>
      </c>
      <c r="S551" s="9" t="n">
        <v>0</v>
      </c>
      <c r="U551" s="9" t="n">
        <v>0</v>
      </c>
      <c r="W551" s="9" t="n">
        <v>0</v>
      </c>
      <c r="Y551" s="9" t="n">
        <v>0</v>
      </c>
      <c r="AA551" s="9" t="n">
        <v>0</v>
      </c>
      <c r="AC551" s="9" t="n">
        <v>0</v>
      </c>
      <c r="AE551" s="9" t="n">
        <v>0</v>
      </c>
    </row>
    <row r="552">
      <c r="A552" s="9" t="n">
        <v>3</v>
      </c>
      <c r="C552" s="9" t="n">
        <v>0</v>
      </c>
      <c r="E552" s="9" t="n">
        <v>0</v>
      </c>
      <c r="G552" s="9" t="n">
        <v>0</v>
      </c>
      <c r="I552" s="9" t="n">
        <v>0</v>
      </c>
      <c r="K552" s="9" t="n">
        <v>0</v>
      </c>
      <c r="M552" s="9" t="n">
        <v>0</v>
      </c>
      <c r="O552" s="9" t="n">
        <v>0</v>
      </c>
      <c r="Q552" s="9" t="n">
        <v>0</v>
      </c>
      <c r="S552" s="9" t="n">
        <v>0</v>
      </c>
      <c r="U552" s="9" t="n">
        <v>0</v>
      </c>
      <c r="W552" s="9" t="n">
        <v>0</v>
      </c>
      <c r="Y552" s="9" t="n">
        <v>0</v>
      </c>
      <c r="AA552" s="9" t="n">
        <v>0</v>
      </c>
      <c r="AC552" s="9" t="n">
        <v>0</v>
      </c>
      <c r="AE552" s="9" t="n">
        <v>0</v>
      </c>
    </row>
    <row r="553">
      <c r="A553" s="9" t="inlineStr">
        <is>
          <t>PREMIX 1101 (20KG)</t>
        </is>
      </c>
      <c r="C553" s="9" t="n">
        <v>0</v>
      </c>
      <c r="E553" s="9" t="n">
        <v>0</v>
      </c>
      <c r="G553" s="9" t="n">
        <v>0</v>
      </c>
      <c r="I553" s="9" t="n">
        <v>0</v>
      </c>
      <c r="K553" s="9" t="n">
        <v>0</v>
      </c>
      <c r="M553" s="9" t="n">
        <v>0</v>
      </c>
      <c r="O553" s="9" t="n">
        <v>0</v>
      </c>
      <c r="Q553" s="9" t="n">
        <v>0</v>
      </c>
      <c r="S553" s="9" t="n">
        <v>0</v>
      </c>
      <c r="U553" s="9" t="n">
        <v>0</v>
      </c>
      <c r="W553" s="9" t="n">
        <v>0</v>
      </c>
      <c r="Y553" s="9" t="n">
        <v>0</v>
      </c>
      <c r="AA553" s="9" t="n">
        <v>0</v>
      </c>
      <c r="AC553" s="9" t="n">
        <v>0</v>
      </c>
      <c r="AE553" s="9" t="n">
        <v>0</v>
      </c>
    </row>
    <row r="554">
      <c r="A554" s="9" t="inlineStr">
        <is>
          <t>PREMIX 1102 (20KG)</t>
        </is>
      </c>
      <c r="C554" s="9" t="n">
        <v>0</v>
      </c>
      <c r="E554" s="9" t="n">
        <v>0</v>
      </c>
      <c r="G554" s="9" t="n">
        <v>0</v>
      </c>
      <c r="I554" s="9" t="n">
        <v>0</v>
      </c>
      <c r="K554" s="9" t="n">
        <v>0</v>
      </c>
      <c r="M554" s="9" t="n">
        <v>0</v>
      </c>
      <c r="O554" s="9" t="n">
        <v>0</v>
      </c>
      <c r="Q554" s="9" t="n">
        <v>0</v>
      </c>
      <c r="S554" s="9" t="n">
        <v>0</v>
      </c>
      <c r="U554" s="9" t="n">
        <v>0</v>
      </c>
      <c r="W554" s="9" t="n">
        <v>0</v>
      </c>
      <c r="Y554" s="9" t="n">
        <v>0</v>
      </c>
      <c r="AA554" s="9" t="n">
        <v>0</v>
      </c>
      <c r="AC554" s="9" t="n">
        <v>0</v>
      </c>
      <c r="AE554" s="9" t="n">
        <v>0</v>
      </c>
    </row>
    <row r="555">
      <c r="A555" s="9" t="inlineStr">
        <is>
          <t>PREMIX 1103 (20KG)</t>
        </is>
      </c>
      <c r="C555" s="9" t="n">
        <v>0</v>
      </c>
      <c r="E555" s="9" t="n">
        <v>0</v>
      </c>
      <c r="G555" s="9" t="n">
        <v>0</v>
      </c>
      <c r="I555" s="9" t="n">
        <v>0</v>
      </c>
      <c r="K555" s="9" t="n">
        <v>0</v>
      </c>
      <c r="M555" s="9" t="n">
        <v>0</v>
      </c>
      <c r="O555" s="9" t="n">
        <v>0</v>
      </c>
      <c r="Q555" s="9" t="n">
        <v>0</v>
      </c>
      <c r="S555" s="9" t="n">
        <v>0</v>
      </c>
      <c r="U555" s="9" t="n">
        <v>0</v>
      </c>
      <c r="W555" s="9" t="n">
        <v>0</v>
      </c>
      <c r="Y555" s="9" t="n">
        <v>0</v>
      </c>
      <c r="AA555" s="9" t="n">
        <v>0</v>
      </c>
      <c r="AC555" s="9" t="n">
        <v>0</v>
      </c>
      <c r="AE555" s="9" t="n">
        <v>0</v>
      </c>
    </row>
    <row r="556">
      <c r="A556" s="9" t="inlineStr">
        <is>
          <t>PREMIX 311 (20KG)</t>
        </is>
      </c>
      <c r="C556" s="9" t="n">
        <v>0</v>
      </c>
      <c r="E556" s="9" t="n">
        <v>0</v>
      </c>
      <c r="G556" s="9" t="n">
        <v>0</v>
      </c>
      <c r="I556" s="9" t="n">
        <v>0</v>
      </c>
      <c r="K556" s="9" t="n">
        <v>0</v>
      </c>
      <c r="M556" s="9" t="n">
        <v>0</v>
      </c>
      <c r="O556" s="9" t="n">
        <v>0</v>
      </c>
      <c r="Q556" s="9" t="n">
        <v>0</v>
      </c>
      <c r="S556" s="9" t="n">
        <v>0</v>
      </c>
      <c r="U556" s="9" t="n">
        <v>0</v>
      </c>
      <c r="W556" s="9" t="n">
        <v>0</v>
      </c>
      <c r="Y556" s="9" t="n">
        <v>0</v>
      </c>
      <c r="AA556" s="9" t="n">
        <v>0</v>
      </c>
      <c r="AC556" s="9" t="n">
        <v>0</v>
      </c>
      <c r="AE556" s="9" t="n">
        <v>0</v>
      </c>
    </row>
    <row r="557">
      <c r="A557" s="9" t="inlineStr">
        <is>
          <t>PREMIX 312 (20KG)</t>
        </is>
      </c>
      <c r="C557" s="9" t="n">
        <v>0</v>
      </c>
      <c r="E557" s="9" t="n">
        <v>0</v>
      </c>
      <c r="G557" s="9" t="n">
        <v>0</v>
      </c>
      <c r="I557" s="9" t="n">
        <v>0</v>
      </c>
      <c r="K557" s="9" t="n">
        <v>0</v>
      </c>
      <c r="M557" s="9" t="n">
        <v>0</v>
      </c>
      <c r="O557" s="9" t="n">
        <v>0</v>
      </c>
      <c r="Q557" s="9" t="n">
        <v>0</v>
      </c>
      <c r="S557" s="9" t="n">
        <v>0</v>
      </c>
      <c r="U557" s="9" t="n">
        <v>0</v>
      </c>
      <c r="W557" s="9" t="n">
        <v>0</v>
      </c>
      <c r="Y557" s="9" t="n">
        <v>0</v>
      </c>
      <c r="AA557" s="9" t="n">
        <v>0</v>
      </c>
      <c r="AC557" s="9" t="n">
        <v>0</v>
      </c>
      <c r="AE557" s="9" t="n">
        <v>0</v>
      </c>
    </row>
    <row r="558">
      <c r="A558" s="9" t="n">
        <v>1</v>
      </c>
      <c r="C558" s="9" t="n">
        <v>0</v>
      </c>
      <c r="E558" s="9" t="n">
        <v>0</v>
      </c>
      <c r="G558" s="9" t="n">
        <v>0</v>
      </c>
      <c r="I558" s="9" t="n">
        <v>0</v>
      </c>
      <c r="K558" s="9" t="n">
        <v>0</v>
      </c>
      <c r="M558" s="9" t="n">
        <v>0</v>
      </c>
      <c r="O558" s="9" t="n">
        <v>0</v>
      </c>
      <c r="Q558" s="9" t="n">
        <v>0</v>
      </c>
      <c r="S558" s="9" t="n">
        <v>0</v>
      </c>
      <c r="U558" s="9" t="n">
        <v>0</v>
      </c>
      <c r="W558" s="9" t="n">
        <v>0</v>
      </c>
      <c r="Y558" s="9" t="n">
        <v>0</v>
      </c>
      <c r="AA558" s="9" t="n">
        <v>0</v>
      </c>
      <c r="AC558" s="9" t="n">
        <v>0</v>
      </c>
      <c r="AE558" s="9" t="n">
        <v>0</v>
      </c>
    </row>
    <row r="559">
      <c r="A559" s="9" t="inlineStr">
        <is>
          <t>PREMIX 8100 (20KG)</t>
        </is>
      </c>
      <c r="C559" s="9" t="n">
        <v>0</v>
      </c>
      <c r="E559" s="9" t="n">
        <v>0</v>
      </c>
      <c r="G559" s="9" t="n">
        <v>0</v>
      </c>
      <c r="I559" s="9" t="n">
        <v>0</v>
      </c>
      <c r="K559" s="9" t="n">
        <v>0</v>
      </c>
      <c r="M559" s="9" t="n">
        <v>0</v>
      </c>
      <c r="O559" s="9" t="n">
        <v>0</v>
      </c>
      <c r="Q559" s="9" t="n">
        <v>0</v>
      </c>
      <c r="S559" s="9" t="n">
        <v>0</v>
      </c>
      <c r="U559" s="9" t="n">
        <v>0</v>
      </c>
      <c r="W559" s="9" t="n">
        <v>0</v>
      </c>
      <c r="Y559" s="9" t="n">
        <v>0</v>
      </c>
      <c r="AA559" s="9" t="n">
        <v>0</v>
      </c>
      <c r="AC559" s="9" t="n">
        <v>0</v>
      </c>
      <c r="AE559" s="9" t="n">
        <v>0</v>
      </c>
    </row>
    <row r="560">
      <c r="A560" s="9" t="inlineStr">
        <is>
          <t>PREMIX 8101 (20KG)</t>
        </is>
      </c>
      <c r="C560" s="9" t="n">
        <v>0</v>
      </c>
      <c r="E560" s="9" t="n">
        <v>0</v>
      </c>
      <c r="G560" s="9" t="n">
        <v>0</v>
      </c>
      <c r="I560" s="9" t="n">
        <v>0</v>
      </c>
      <c r="K560" s="9" t="n">
        <v>0</v>
      </c>
      <c r="M560" s="9" t="n">
        <v>0</v>
      </c>
      <c r="O560" s="9" t="n">
        <v>0</v>
      </c>
      <c r="Q560" s="9" t="n">
        <v>0</v>
      </c>
      <c r="S560" s="9" t="n">
        <v>0</v>
      </c>
      <c r="U560" s="9" t="n">
        <v>0</v>
      </c>
      <c r="W560" s="9" t="n">
        <v>0</v>
      </c>
      <c r="Y560" s="9" t="n">
        <v>0</v>
      </c>
      <c r="AA560" s="9" t="n">
        <v>0</v>
      </c>
      <c r="AC560" s="9" t="n">
        <v>0</v>
      </c>
      <c r="AE560" s="9" t="n">
        <v>0</v>
      </c>
    </row>
    <row r="561">
      <c r="A561" s="9" t="inlineStr">
        <is>
          <t>PREMIX 8102 (20KG)</t>
        </is>
      </c>
      <c r="C561" s="9" t="n">
        <v>0</v>
      </c>
      <c r="E561" s="9" t="n">
        <v>0</v>
      </c>
      <c r="G561" s="9" t="n">
        <v>0</v>
      </c>
      <c r="I561" s="9" t="n">
        <v>0</v>
      </c>
      <c r="K561" s="9" t="n">
        <v>0</v>
      </c>
      <c r="M561" s="9" t="n">
        <v>0</v>
      </c>
      <c r="O561" s="9" t="n">
        <v>0</v>
      </c>
      <c r="Q561" s="9" t="n">
        <v>0</v>
      </c>
      <c r="S561" s="9" t="n">
        <v>0</v>
      </c>
      <c r="U561" s="9" t="n">
        <v>0</v>
      </c>
      <c r="W561" s="9" t="n">
        <v>0</v>
      </c>
      <c r="Y561" s="9" t="n">
        <v>0</v>
      </c>
      <c r="AA561" s="9" t="n">
        <v>0</v>
      </c>
      <c r="AC561" s="9" t="n">
        <v>0</v>
      </c>
      <c r="AE561" s="9" t="n">
        <v>0</v>
      </c>
    </row>
    <row r="562">
      <c r="A562" s="9" t="inlineStr">
        <is>
          <t>PREMIX 8103 (20KG)</t>
        </is>
      </c>
      <c r="C562" s="9" t="n">
        <v>0</v>
      </c>
      <c r="E562" s="9" t="n">
        <v>0</v>
      </c>
      <c r="G562" s="9" t="n">
        <v>0</v>
      </c>
      <c r="I562" s="9" t="n">
        <v>0</v>
      </c>
      <c r="K562" s="9" t="n">
        <v>0</v>
      </c>
      <c r="M562" s="9" t="n">
        <v>0</v>
      </c>
      <c r="O562" s="9" t="n">
        <v>0</v>
      </c>
      <c r="Q562" s="9" t="n">
        <v>0</v>
      </c>
      <c r="S562" s="9" t="n">
        <v>0</v>
      </c>
      <c r="U562" s="9" t="n">
        <v>0</v>
      </c>
      <c r="W562" s="9" t="n">
        <v>0</v>
      </c>
      <c r="Y562" s="9" t="n">
        <v>0</v>
      </c>
      <c r="AA562" s="9" t="n">
        <v>0</v>
      </c>
      <c r="AC562" s="9" t="n">
        <v>0</v>
      </c>
      <c r="AE562" s="9" t="n">
        <v>0</v>
      </c>
    </row>
    <row r="563">
      <c r="A563" s="9" t="inlineStr">
        <is>
          <t>PREMIX 8108 (20KG)</t>
        </is>
      </c>
      <c r="C563" s="9" t="n">
        <v>0</v>
      </c>
      <c r="E563" s="9" t="n">
        <v>0</v>
      </c>
      <c r="G563" s="9" t="n">
        <v>0</v>
      </c>
      <c r="I563" s="9" t="n">
        <v>0</v>
      </c>
      <c r="K563" s="9" t="n">
        <v>0</v>
      </c>
      <c r="M563" s="9" t="n">
        <v>0</v>
      </c>
      <c r="O563" s="9" t="n">
        <v>0</v>
      </c>
      <c r="Q563" s="9" t="n">
        <v>0</v>
      </c>
      <c r="S563" s="9" t="n">
        <v>0</v>
      </c>
      <c r="U563" s="9" t="n">
        <v>0</v>
      </c>
      <c r="W563" s="9" t="n">
        <v>0</v>
      </c>
      <c r="Y563" s="9" t="n">
        <v>0</v>
      </c>
      <c r="AA563" s="9" t="n">
        <v>0</v>
      </c>
      <c r="AC563" s="9" t="n">
        <v>0</v>
      </c>
      <c r="AE563" s="9" t="n">
        <v>0</v>
      </c>
    </row>
    <row r="564">
      <c r="A564" s="9" t="inlineStr">
        <is>
          <t>PREMIX 8109 (20KG)</t>
        </is>
      </c>
      <c r="C564" s="9" t="n">
        <v>0</v>
      </c>
      <c r="E564" s="9" t="n">
        <v>0</v>
      </c>
      <c r="G564" s="9" t="n">
        <v>0</v>
      </c>
      <c r="I564" s="9" t="n">
        <v>0</v>
      </c>
      <c r="K564" s="9" t="n">
        <v>0</v>
      </c>
      <c r="M564" s="9" t="n">
        <v>0</v>
      </c>
      <c r="O564" s="9" t="n">
        <v>0</v>
      </c>
      <c r="Q564" s="9" t="n">
        <v>0</v>
      </c>
      <c r="S564" s="9" t="n">
        <v>0</v>
      </c>
      <c r="U564" s="9" t="n">
        <v>0</v>
      </c>
      <c r="W564" s="9" t="n">
        <v>0</v>
      </c>
      <c r="Y564" s="9" t="n">
        <v>0</v>
      </c>
      <c r="AA564" s="9" t="n">
        <v>0</v>
      </c>
      <c r="AC564" s="9" t="n">
        <v>0</v>
      </c>
      <c r="AE564" s="9" t="n">
        <v>0</v>
      </c>
    </row>
    <row r="565">
      <c r="A565" s="9" t="inlineStr">
        <is>
          <t>YENMIX 121 (20KG)</t>
        </is>
      </c>
      <c r="C565" s="9" t="n">
        <v>0</v>
      </c>
      <c r="E565" s="9" t="n">
        <v>0</v>
      </c>
      <c r="G565" s="9" t="n">
        <v>0</v>
      </c>
      <c r="I565" s="9" t="n">
        <v>0</v>
      </c>
      <c r="K565" s="9" t="n">
        <v>0</v>
      </c>
      <c r="M565" s="9" t="n">
        <v>0</v>
      </c>
      <c r="O565" s="9" t="n">
        <v>0</v>
      </c>
      <c r="Q565" s="9" t="n">
        <v>0</v>
      </c>
      <c r="S565" s="9" t="n">
        <v>0</v>
      </c>
      <c r="U565" s="9" t="n">
        <v>0</v>
      </c>
      <c r="W565" s="9" t="n">
        <v>0</v>
      </c>
      <c r="Y565" s="9" t="n">
        <v>0</v>
      </c>
      <c r="AA565" s="9" t="n">
        <v>0</v>
      </c>
      <c r="AC565" s="9" t="n">
        <v>0</v>
      </c>
      <c r="AE565" s="9" t="n">
        <v>0</v>
      </c>
    </row>
    <row r="566">
      <c r="A566" s="9" t="inlineStr">
        <is>
          <t>YENMIX 122 (19.50KG)</t>
        </is>
      </c>
      <c r="B566" s="9" t="n">
        <v>1.95</v>
      </c>
      <c r="C566" s="9" t="n">
        <v>19.5</v>
      </c>
      <c r="D566" s="9" t="n">
        <v>1.95</v>
      </c>
      <c r="E566" s="9" t="n">
        <v>19.5</v>
      </c>
      <c r="G566" s="9" t="n">
        <v>0</v>
      </c>
      <c r="I566" s="9" t="n">
        <v>0</v>
      </c>
      <c r="K566" s="9" t="n">
        <v>0</v>
      </c>
      <c r="M566" s="9" t="n">
        <v>0</v>
      </c>
      <c r="O566" s="9" t="n">
        <v>0</v>
      </c>
      <c r="Q566" s="9" t="n">
        <v>0</v>
      </c>
      <c r="S566" s="9" t="n">
        <v>0</v>
      </c>
      <c r="U566" s="9" t="n">
        <v>0</v>
      </c>
      <c r="W566" s="9" t="n">
        <v>0</v>
      </c>
      <c r="Y566" s="9" t="n">
        <v>0</v>
      </c>
      <c r="AA566" s="9" t="n">
        <v>0</v>
      </c>
      <c r="AC566" s="9" t="n">
        <v>0</v>
      </c>
      <c r="AE566" s="9" t="n">
        <v>0</v>
      </c>
    </row>
    <row r="567">
      <c r="A567" s="9" t="inlineStr">
        <is>
          <t>YENMIX 123 (18.90KG)</t>
        </is>
      </c>
      <c r="C567" s="9" t="n">
        <v>0</v>
      </c>
      <c r="E567" s="9" t="n">
        <v>0</v>
      </c>
      <c r="G567" s="9" t="n">
        <v>0</v>
      </c>
      <c r="I567" s="9" t="n">
        <v>0</v>
      </c>
      <c r="K567" s="9" t="n">
        <v>0</v>
      </c>
      <c r="M567" s="9" t="n">
        <v>0</v>
      </c>
      <c r="O567" s="9" t="n">
        <v>0</v>
      </c>
      <c r="Q567" s="9" t="n">
        <v>0</v>
      </c>
      <c r="S567" s="9" t="n">
        <v>0</v>
      </c>
      <c r="U567" s="9" t="n">
        <v>0</v>
      </c>
      <c r="W567" s="9" t="n">
        <v>0</v>
      </c>
      <c r="Y567" s="9" t="n">
        <v>0</v>
      </c>
      <c r="AA567" s="9" t="n">
        <v>0</v>
      </c>
      <c r="AC567" s="9" t="n">
        <v>0</v>
      </c>
      <c r="AE567" s="9" t="n">
        <v>0</v>
      </c>
    </row>
    <row r="568">
      <c r="A568" s="9" t="inlineStr">
        <is>
          <t>YENMIX 122 (20.50KG)</t>
        </is>
      </c>
      <c r="C568" s="9" t="n">
        <v>0</v>
      </c>
      <c r="E568" s="9" t="n">
        <v>0</v>
      </c>
      <c r="F568" s="9" t="n">
        <v>2.05</v>
      </c>
      <c r="G568" s="9" t="n">
        <v>20.5</v>
      </c>
      <c r="I568" s="9" t="n">
        <v>0</v>
      </c>
      <c r="K568" s="9" t="n">
        <v>0</v>
      </c>
      <c r="M568" s="9" t="n">
        <v>0</v>
      </c>
      <c r="O568" s="9" t="n">
        <v>0</v>
      </c>
      <c r="Q568" s="9" t="n">
        <v>0</v>
      </c>
      <c r="S568" s="9" t="n">
        <v>0</v>
      </c>
      <c r="U568" s="9" t="n">
        <v>0</v>
      </c>
      <c r="W568" s="9" t="n">
        <v>0</v>
      </c>
      <c r="Y568" s="9" t="n">
        <v>0</v>
      </c>
      <c r="AA568" s="9" t="n">
        <v>0</v>
      </c>
      <c r="AC568" s="9" t="n">
        <v>0</v>
      </c>
      <c r="AE568" s="9" t="n">
        <v>0</v>
      </c>
    </row>
    <row r="569">
      <c r="A569" s="9" t="inlineStr">
        <is>
          <t>YENMIX 123 (20.00KG)</t>
        </is>
      </c>
      <c r="C569" s="9" t="n">
        <v>0</v>
      </c>
      <c r="E569" s="9" t="n">
        <v>0</v>
      </c>
      <c r="G569" s="9" t="n">
        <v>0</v>
      </c>
      <c r="I569" s="9" t="n">
        <v>0</v>
      </c>
      <c r="K569" s="9" t="n">
        <v>0</v>
      </c>
      <c r="M569" s="9" t="n">
        <v>0</v>
      </c>
      <c r="O569" s="9" t="n">
        <v>0</v>
      </c>
      <c r="Q569" s="9" t="n">
        <v>0</v>
      </c>
      <c r="S569" s="9" t="n">
        <v>0</v>
      </c>
      <c r="U569" s="9" t="n">
        <v>0</v>
      </c>
      <c r="W569" s="9" t="n">
        <v>0</v>
      </c>
      <c r="Y569" s="9" t="n">
        <v>0</v>
      </c>
      <c r="AA569" s="9" t="n">
        <v>0</v>
      </c>
      <c r="AC569" s="9" t="n">
        <v>0</v>
      </c>
      <c r="AE569" s="9" t="n">
        <v>0</v>
      </c>
    </row>
    <row r="570">
      <c r="A570" s="9" t="n">
        <v>1</v>
      </c>
      <c r="C570" s="9" t="n">
        <v>0</v>
      </c>
      <c r="E570" s="9" t="n">
        <v>0</v>
      </c>
      <c r="G570" s="9" t="n">
        <v>0</v>
      </c>
      <c r="I570" s="9" t="n">
        <v>0</v>
      </c>
      <c r="K570" s="9" t="n">
        <v>0</v>
      </c>
      <c r="M570" s="9" t="n">
        <v>0</v>
      </c>
      <c r="O570" s="9" t="n">
        <v>0</v>
      </c>
      <c r="Q570" s="9" t="n">
        <v>0</v>
      </c>
      <c r="S570" s="9" t="n">
        <v>0</v>
      </c>
      <c r="U570" s="9" t="n">
        <v>0</v>
      </c>
      <c r="W570" s="9" t="n">
        <v>0</v>
      </c>
      <c r="Y570" s="9" t="n">
        <v>0</v>
      </c>
      <c r="AA570" s="9" t="n">
        <v>0</v>
      </c>
      <c r="AC570" s="9" t="n">
        <v>0</v>
      </c>
      <c r="AE570" s="9" t="n">
        <v>0</v>
      </c>
    </row>
    <row r="571">
      <c r="A571" s="9" t="n">
        <v>2</v>
      </c>
      <c r="C571" s="9" t="n">
        <v>0</v>
      </c>
      <c r="E571" s="9" t="n">
        <v>0</v>
      </c>
      <c r="G571" s="9" t="n">
        <v>0</v>
      </c>
      <c r="I571" s="9" t="n">
        <v>0</v>
      </c>
      <c r="K571" s="9" t="n">
        <v>0</v>
      </c>
      <c r="M571" s="9" t="n">
        <v>0</v>
      </c>
      <c r="O571" s="9" t="n">
        <v>0</v>
      </c>
      <c r="Q571" s="9" t="n">
        <v>0</v>
      </c>
      <c r="S571" s="9" t="n">
        <v>0</v>
      </c>
      <c r="U571" s="9" t="n">
        <v>0</v>
      </c>
      <c r="W571" s="9" t="n">
        <v>0</v>
      </c>
      <c r="Y571" s="9" t="n">
        <v>0</v>
      </c>
      <c r="AA571" s="9" t="n">
        <v>0</v>
      </c>
      <c r="AC571" s="9" t="n">
        <v>0</v>
      </c>
      <c r="AE571" s="9" t="n">
        <v>0</v>
      </c>
    </row>
    <row r="572">
      <c r="A572" s="9" t="n">
        <v>3</v>
      </c>
      <c r="C572" s="9" t="n">
        <v>0</v>
      </c>
      <c r="E572" s="9" t="n">
        <v>0</v>
      </c>
      <c r="G572" s="9" t="n">
        <v>0</v>
      </c>
      <c r="I572" s="9" t="n">
        <v>0</v>
      </c>
      <c r="K572" s="9" t="n">
        <v>0</v>
      </c>
      <c r="M572" s="9" t="n">
        <v>0</v>
      </c>
      <c r="O572" s="9" t="n">
        <v>0</v>
      </c>
      <c r="Q572" s="9" t="n">
        <v>0</v>
      </c>
      <c r="S572" s="9" t="n">
        <v>0</v>
      </c>
      <c r="U572" s="9" t="n">
        <v>0</v>
      </c>
      <c r="W572" s="9" t="n">
        <v>0</v>
      </c>
      <c r="Y572" s="9" t="n">
        <v>0</v>
      </c>
      <c r="AA572" s="9" t="n">
        <v>0</v>
      </c>
      <c r="AC572" s="9" t="n">
        <v>0</v>
      </c>
      <c r="AE572" s="9" t="n">
        <v>0</v>
      </c>
    </row>
    <row r="573">
      <c r="A573" s="9" t="inlineStr">
        <is>
          <t>TOXISORB PREMIUM</t>
        </is>
      </c>
      <c r="B573" s="9" t="n">
        <v>0.2</v>
      </c>
      <c r="C573" s="9" t="n">
        <v>2</v>
      </c>
      <c r="E573" s="9" t="n">
        <v>0</v>
      </c>
      <c r="G573" s="9" t="n">
        <v>0</v>
      </c>
      <c r="I573" s="9" t="n">
        <v>0</v>
      </c>
      <c r="K573" s="9" t="n">
        <v>0</v>
      </c>
      <c r="M573" s="9" t="n">
        <v>0</v>
      </c>
      <c r="O573" s="9" t="n">
        <v>0</v>
      </c>
      <c r="Q573" s="9" t="n">
        <v>0</v>
      </c>
      <c r="S573" s="9" t="n">
        <v>0</v>
      </c>
      <c r="U573" s="9" t="n">
        <v>0</v>
      </c>
      <c r="W573" s="9" t="n">
        <v>0</v>
      </c>
      <c r="Y573" s="9" t="n">
        <v>0</v>
      </c>
      <c r="AA573" s="9" t="n">
        <v>0</v>
      </c>
      <c r="AC573" s="9" t="n">
        <v>0</v>
      </c>
      <c r="AE573" s="9" t="n">
        <v>0</v>
      </c>
    </row>
    <row r="574">
      <c r="A574" s="9" t="inlineStr">
        <is>
          <t>SODIUM HUMATE 3.8% (HARUMI)</t>
        </is>
      </c>
      <c r="B574" s="9" t="n">
        <v>0.3</v>
      </c>
      <c r="C574" s="9" t="n">
        <v>3</v>
      </c>
      <c r="D574" s="9" t="n">
        <v>0.3</v>
      </c>
      <c r="E574" s="9" t="n">
        <v>3</v>
      </c>
      <c r="F574" s="9" t="n">
        <v>0.3</v>
      </c>
      <c r="G574" s="9" t="n">
        <v>3</v>
      </c>
      <c r="I574" s="9" t="n">
        <v>0</v>
      </c>
      <c r="K574" s="9" t="n">
        <v>0</v>
      </c>
      <c r="M574" s="9" t="n">
        <v>0</v>
      </c>
      <c r="O574" s="9" t="n">
        <v>0</v>
      </c>
      <c r="Q574" s="9" t="n">
        <v>0</v>
      </c>
      <c r="S574" s="9" t="n">
        <v>0</v>
      </c>
      <c r="U574" s="9" t="n">
        <v>0</v>
      </c>
      <c r="W574" s="9" t="n">
        <v>0</v>
      </c>
      <c r="Y574" s="9" t="n">
        <v>0</v>
      </c>
      <c r="AA574" s="9" t="n">
        <v>0</v>
      </c>
      <c r="AC574" s="9" t="n">
        <v>0</v>
      </c>
      <c r="AE574" s="9" t="n">
        <v>0</v>
      </c>
    </row>
    <row r="575">
      <c r="A575" s="9" t="inlineStr">
        <is>
          <t>TOXIWALL</t>
        </is>
      </c>
      <c r="C575" s="9" t="n">
        <v>0</v>
      </c>
      <c r="D575" s="9" t="n">
        <v>0.1</v>
      </c>
      <c r="E575" s="9" t="n">
        <v>1</v>
      </c>
      <c r="F575" s="9" t="n">
        <v>0.1</v>
      </c>
      <c r="G575" s="9" t="n">
        <v>1</v>
      </c>
      <c r="I575" s="9" t="n">
        <v>0</v>
      </c>
      <c r="K575" s="9" t="n">
        <v>0</v>
      </c>
      <c r="M575" s="9" t="n">
        <v>0</v>
      </c>
      <c r="O575" s="9" t="n">
        <v>0</v>
      </c>
      <c r="Q575" s="9" t="n">
        <v>0</v>
      </c>
      <c r="S575" s="9" t="n">
        <v>0</v>
      </c>
      <c r="U575" s="9" t="n">
        <v>0</v>
      </c>
      <c r="W575" s="9" t="n">
        <v>0</v>
      </c>
      <c r="Y575" s="9" t="n">
        <v>0</v>
      </c>
      <c r="AA575" s="9" t="n">
        <v>0</v>
      </c>
      <c r="AC575" s="9" t="n">
        <v>0</v>
      </c>
      <c r="AE575" s="9" t="n">
        <v>0</v>
      </c>
    </row>
    <row r="576">
      <c r="A576" s="9" t="inlineStr">
        <is>
          <t>SODIUM BICARBONATE</t>
        </is>
      </c>
      <c r="B576" s="9" t="n">
        <v>0.12</v>
      </c>
      <c r="C576" s="9" t="n">
        <v>1.2</v>
      </c>
      <c r="D576" s="9" t="n">
        <v>0.12</v>
      </c>
      <c r="E576" s="9" t="n">
        <v>1.2</v>
      </c>
      <c r="F576" s="9" t="n">
        <v>0.12</v>
      </c>
      <c r="G576" s="9" t="n">
        <v>1.2</v>
      </c>
      <c r="I576" s="9" t="n">
        <v>0</v>
      </c>
      <c r="K576" s="9" t="n">
        <v>0</v>
      </c>
      <c r="M576" s="9" t="n">
        <v>0</v>
      </c>
      <c r="O576" s="9" t="n">
        <v>0</v>
      </c>
      <c r="Q576" s="9" t="n">
        <v>0</v>
      </c>
      <c r="S576" s="9" t="n">
        <v>0</v>
      </c>
      <c r="U576" s="9" t="n">
        <v>0</v>
      </c>
      <c r="W576" s="9" t="n">
        <v>0</v>
      </c>
      <c r="Y576" s="9" t="n">
        <v>0</v>
      </c>
      <c r="AA576" s="9" t="n">
        <v>0</v>
      </c>
      <c r="AC576" s="9" t="n">
        <v>0</v>
      </c>
      <c r="AE576" s="9" t="n">
        <v>0</v>
      </c>
    </row>
    <row r="577">
      <c r="A577" s="9" t="inlineStr">
        <is>
          <t>BMD 10%</t>
        </is>
      </c>
      <c r="C577" s="9" t="n">
        <v>0</v>
      </c>
      <c r="E577" s="9" t="n">
        <v>0</v>
      </c>
      <c r="G577" s="9" t="n">
        <v>0</v>
      </c>
      <c r="I577" s="9" t="n">
        <v>0</v>
      </c>
      <c r="K577" s="9" t="n">
        <v>0</v>
      </c>
      <c r="M577" s="9" t="n">
        <v>0</v>
      </c>
      <c r="O577" s="9" t="n">
        <v>0</v>
      </c>
      <c r="Q577" s="9" t="n">
        <v>0</v>
      </c>
      <c r="S577" s="9" t="n">
        <v>0</v>
      </c>
      <c r="U577" s="9" t="n">
        <v>0</v>
      </c>
      <c r="W577" s="9" t="n">
        <v>0</v>
      </c>
      <c r="Y577" s="9" t="n">
        <v>0</v>
      </c>
      <c r="AA577" s="9" t="n">
        <v>0</v>
      </c>
      <c r="AC577" s="9" t="n">
        <v>0</v>
      </c>
      <c r="AE577" s="9" t="n">
        <v>0</v>
      </c>
    </row>
    <row r="578">
      <c r="A578" s="9" t="inlineStr">
        <is>
          <t>SALT (HARUMI)</t>
        </is>
      </c>
      <c r="B578" s="9" t="n">
        <v>0.28</v>
      </c>
      <c r="C578" s="9" t="n">
        <v>2.799999999999999</v>
      </c>
      <c r="D578" s="9" t="n">
        <v>0.28</v>
      </c>
      <c r="E578" s="9" t="n">
        <v>2.799999999999999</v>
      </c>
      <c r="F578" s="9" t="n">
        <v>0.28</v>
      </c>
      <c r="G578" s="9" t="n">
        <v>2.799999999999999</v>
      </c>
      <c r="I578" s="9" t="n">
        <v>0</v>
      </c>
      <c r="K578" s="9" t="n">
        <v>0</v>
      </c>
      <c r="M578" s="9" t="n">
        <v>0</v>
      </c>
      <c r="O578" s="9" t="n">
        <v>0</v>
      </c>
      <c r="Q578" s="9" t="n">
        <v>0</v>
      </c>
      <c r="S578" s="9" t="n">
        <v>0</v>
      </c>
      <c r="U578" s="9" t="n">
        <v>0</v>
      </c>
      <c r="W578" s="9" t="n">
        <v>0</v>
      </c>
      <c r="Y578" s="9" t="n">
        <v>0</v>
      </c>
      <c r="AA578" s="9" t="n">
        <v>0</v>
      </c>
      <c r="AC578" s="9" t="n">
        <v>0</v>
      </c>
      <c r="AE578" s="9" t="n">
        <v>0</v>
      </c>
    </row>
    <row r="579">
      <c r="A579" s="9" t="inlineStr">
        <is>
          <t>VISTABET 91</t>
        </is>
      </c>
      <c r="C579" s="9" t="n">
        <v>0</v>
      </c>
      <c r="E579" s="9" t="n">
        <v>0</v>
      </c>
      <c r="G579" s="9" t="n">
        <v>0</v>
      </c>
      <c r="I579" s="9" t="n">
        <v>0</v>
      </c>
      <c r="K579" s="9" t="n">
        <v>0</v>
      </c>
      <c r="M579" s="9" t="n">
        <v>0</v>
      </c>
      <c r="O579" s="9" t="n">
        <v>0</v>
      </c>
      <c r="Q579" s="9" t="n">
        <v>0</v>
      </c>
      <c r="S579" s="9" t="n">
        <v>0</v>
      </c>
      <c r="U579" s="9" t="n">
        <v>0</v>
      </c>
      <c r="W579" s="9" t="n">
        <v>0</v>
      </c>
      <c r="Y579" s="9" t="n">
        <v>0</v>
      </c>
      <c r="AA579" s="9" t="n">
        <v>0</v>
      </c>
      <c r="AC579" s="9" t="n">
        <v>0</v>
      </c>
      <c r="AE579" s="9" t="n">
        <v>0</v>
      </c>
    </row>
    <row r="580">
      <c r="A580" s="9" t="inlineStr">
        <is>
          <t>BETAFIN</t>
        </is>
      </c>
      <c r="C580" s="9" t="n">
        <v>0</v>
      </c>
      <c r="E580" s="9" t="n">
        <v>0</v>
      </c>
      <c r="G580" s="9" t="n">
        <v>0</v>
      </c>
      <c r="I580" s="9" t="n">
        <v>0</v>
      </c>
      <c r="K580" s="9" t="n">
        <v>0</v>
      </c>
      <c r="M580" s="9" t="n">
        <v>0</v>
      </c>
      <c r="O580" s="9" t="n">
        <v>0</v>
      </c>
      <c r="Q580" s="9" t="n">
        <v>0</v>
      </c>
      <c r="S580" s="9" t="n">
        <v>0</v>
      </c>
      <c r="U580" s="9" t="n">
        <v>0</v>
      </c>
      <c r="W580" s="9" t="n">
        <v>0</v>
      </c>
      <c r="Y580" s="9" t="n">
        <v>0</v>
      </c>
      <c r="AA580" s="9" t="n">
        <v>0</v>
      </c>
      <c r="AC580" s="9" t="n">
        <v>0</v>
      </c>
      <c r="AE580" s="9" t="n">
        <v>0</v>
      </c>
    </row>
    <row r="581">
      <c r="A581" s="9" t="inlineStr">
        <is>
          <t>8101 TOP UP</t>
        </is>
      </c>
      <c r="C581" s="9" t="n">
        <v>0</v>
      </c>
      <c r="E581" s="9" t="n">
        <v>0</v>
      </c>
      <c r="G581" s="9" t="n">
        <v>0</v>
      </c>
      <c r="I581" s="9" t="n">
        <v>0</v>
      </c>
      <c r="K581" s="9" t="n">
        <v>0</v>
      </c>
      <c r="M581" s="9" t="n">
        <v>0</v>
      </c>
      <c r="O581" s="9" t="n">
        <v>0</v>
      </c>
      <c r="Q581" s="9" t="n">
        <v>0</v>
      </c>
      <c r="S581" s="9" t="n">
        <v>0</v>
      </c>
      <c r="U581" s="9" t="n">
        <v>0</v>
      </c>
      <c r="W581" s="9" t="n">
        <v>0</v>
      </c>
      <c r="Y581" s="9" t="n">
        <v>0</v>
      </c>
      <c r="AA581" s="9" t="n">
        <v>0</v>
      </c>
      <c r="AC581" s="9" t="n">
        <v>0</v>
      </c>
      <c r="AE581" s="9" t="n">
        <v>0</v>
      </c>
    </row>
    <row r="582">
      <c r="A582" s="9" t="inlineStr">
        <is>
          <t>NORPONIN X03 (8102 TOP UP)</t>
        </is>
      </c>
      <c r="C582" s="9" t="n">
        <v>0</v>
      </c>
      <c r="E582" s="9" t="n">
        <v>0</v>
      </c>
      <c r="G582" s="9" t="n">
        <v>0</v>
      </c>
      <c r="I582" s="9" t="n">
        <v>0</v>
      </c>
      <c r="K582" s="9" t="n">
        <v>0</v>
      </c>
      <c r="M582" s="9" t="n">
        <v>0</v>
      </c>
      <c r="O582" s="9" t="n">
        <v>0</v>
      </c>
      <c r="Q582" s="9" t="n">
        <v>0</v>
      </c>
      <c r="S582" s="9" t="n">
        <v>0</v>
      </c>
      <c r="U582" s="9" t="n">
        <v>0</v>
      </c>
      <c r="W582" s="9" t="n">
        <v>0</v>
      </c>
      <c r="Y582" s="9" t="n">
        <v>0</v>
      </c>
      <c r="AA582" s="9" t="n">
        <v>0</v>
      </c>
      <c r="AC582" s="9" t="n">
        <v>0</v>
      </c>
      <c r="AE582" s="9" t="n">
        <v>0</v>
      </c>
    </row>
    <row r="583">
      <c r="A583" s="9" t="inlineStr">
        <is>
          <t>8102 TOP UP (4KG)</t>
        </is>
      </c>
      <c r="C583" s="9" t="n">
        <v>0</v>
      </c>
      <c r="E583" s="9" t="n">
        <v>0</v>
      </c>
      <c r="G583" s="9" t="n">
        <v>0</v>
      </c>
      <c r="I583" s="9" t="n">
        <v>0</v>
      </c>
      <c r="K583" s="9" t="n">
        <v>0</v>
      </c>
      <c r="M583" s="9" t="n">
        <v>0</v>
      </c>
      <c r="O583" s="9" t="n">
        <v>0</v>
      </c>
      <c r="Q583" s="9" t="n">
        <v>0</v>
      </c>
      <c r="S583" s="9" t="n">
        <v>0</v>
      </c>
      <c r="U583" s="9" t="n">
        <v>0</v>
      </c>
      <c r="W583" s="9" t="n">
        <v>0</v>
      </c>
      <c r="Y583" s="9" t="n">
        <v>0</v>
      </c>
      <c r="AA583" s="9" t="n">
        <v>0</v>
      </c>
      <c r="AC583" s="9" t="n">
        <v>0</v>
      </c>
      <c r="AE583" s="9" t="n">
        <v>0</v>
      </c>
    </row>
    <row r="584">
      <c r="A584" s="9" t="inlineStr">
        <is>
          <t>8103 TOP UP (5KG)</t>
        </is>
      </c>
      <c r="C584" s="9" t="n">
        <v>0</v>
      </c>
      <c r="E584" s="9" t="n">
        <v>0</v>
      </c>
      <c r="G584" s="9" t="n">
        <v>0</v>
      </c>
      <c r="I584" s="9" t="n">
        <v>0</v>
      </c>
      <c r="K584" s="9" t="n">
        <v>0</v>
      </c>
      <c r="M584" s="9" t="n">
        <v>0</v>
      </c>
      <c r="O584" s="9" t="n">
        <v>0</v>
      </c>
      <c r="Q584" s="9" t="n">
        <v>0</v>
      </c>
      <c r="S584" s="9" t="n">
        <v>0</v>
      </c>
      <c r="U584" s="9" t="n">
        <v>0</v>
      </c>
      <c r="W584" s="9" t="n">
        <v>0</v>
      </c>
      <c r="Y584" s="9" t="n">
        <v>0</v>
      </c>
      <c r="AA584" s="9" t="n">
        <v>0</v>
      </c>
      <c r="AC584" s="9" t="n">
        <v>0</v>
      </c>
      <c r="AE584" s="9" t="n">
        <v>0</v>
      </c>
    </row>
    <row r="585">
      <c r="A585" s="9" t="inlineStr">
        <is>
          <t>L-ARGININE</t>
        </is>
      </c>
      <c r="C585" s="9" t="n">
        <v>0</v>
      </c>
      <c r="E585" s="9" t="n">
        <v>0</v>
      </c>
      <c r="G585" s="9" t="n">
        <v>0</v>
      </c>
      <c r="I585" s="9" t="n">
        <v>0</v>
      </c>
      <c r="K585" s="9" t="n">
        <v>0</v>
      </c>
      <c r="M585" s="9" t="n">
        <v>0</v>
      </c>
      <c r="O585" s="9" t="n">
        <v>0</v>
      </c>
      <c r="Q585" s="9" t="n">
        <v>0</v>
      </c>
      <c r="S585" s="9" t="n">
        <v>0</v>
      </c>
      <c r="U585" s="9" t="n">
        <v>0</v>
      </c>
      <c r="W585" s="9" t="n">
        <v>0</v>
      </c>
      <c r="Y585" s="9" t="n">
        <v>0</v>
      </c>
      <c r="AA585" s="9" t="n">
        <v>0</v>
      </c>
      <c r="AC585" s="9" t="n">
        <v>0</v>
      </c>
      <c r="AE585" s="9" t="n">
        <v>0</v>
      </c>
    </row>
    <row r="586">
      <c r="A586" s="9" t="inlineStr">
        <is>
          <t>DL-METHIONINE</t>
        </is>
      </c>
      <c r="C586" s="9" t="n">
        <v>0</v>
      </c>
      <c r="E586" s="9" t="n">
        <v>0</v>
      </c>
      <c r="G586" s="9" t="n">
        <v>0</v>
      </c>
      <c r="I586" s="9" t="n">
        <v>0</v>
      </c>
      <c r="K586" s="9" t="n">
        <v>0</v>
      </c>
      <c r="M586" s="9" t="n">
        <v>0</v>
      </c>
      <c r="O586" s="9" t="n">
        <v>0</v>
      </c>
      <c r="Q586" s="9" t="n">
        <v>0</v>
      </c>
      <c r="S586" s="9" t="n">
        <v>0</v>
      </c>
      <c r="U586" s="9" t="n">
        <v>0</v>
      </c>
      <c r="W586" s="9" t="n">
        <v>0</v>
      </c>
      <c r="Y586" s="9" t="n">
        <v>0</v>
      </c>
      <c r="AA586" s="9" t="n">
        <v>0</v>
      </c>
      <c r="AC586" s="9" t="n">
        <v>0</v>
      </c>
      <c r="AE586" s="9" t="n">
        <v>0</v>
      </c>
    </row>
    <row r="587">
      <c r="A587" s="9" t="inlineStr">
        <is>
          <t>L-THREONINE</t>
        </is>
      </c>
      <c r="C587" s="9" t="n">
        <v>0</v>
      </c>
      <c r="E587" s="9" t="n">
        <v>0</v>
      </c>
      <c r="G587" s="9" t="n">
        <v>0</v>
      </c>
      <c r="I587" s="9" t="n">
        <v>0</v>
      </c>
      <c r="K587" s="9" t="n">
        <v>0</v>
      </c>
      <c r="M587" s="9" t="n">
        <v>0</v>
      </c>
      <c r="O587" s="9" t="n">
        <v>0</v>
      </c>
      <c r="Q587" s="9" t="n">
        <v>0</v>
      </c>
      <c r="S587" s="9" t="n">
        <v>0</v>
      </c>
      <c r="U587" s="9" t="n">
        <v>0</v>
      </c>
      <c r="W587" s="9" t="n">
        <v>0</v>
      </c>
      <c r="Y587" s="9" t="n">
        <v>0</v>
      </c>
      <c r="AA587" s="9" t="n">
        <v>0</v>
      </c>
      <c r="AC587" s="9" t="n">
        <v>0</v>
      </c>
      <c r="AE587" s="9" t="n">
        <v>0</v>
      </c>
    </row>
    <row r="588">
      <c r="A588" s="9" t="inlineStr">
        <is>
          <t>L-LYSINE</t>
        </is>
      </c>
      <c r="C588" s="9" t="n">
        <v>0</v>
      </c>
      <c r="E588" s="9" t="n">
        <v>0</v>
      </c>
      <c r="G588" s="9" t="n">
        <v>0</v>
      </c>
      <c r="I588" s="9" t="n">
        <v>0</v>
      </c>
      <c r="K588" s="9" t="n">
        <v>0</v>
      </c>
      <c r="M588" s="9" t="n">
        <v>0</v>
      </c>
      <c r="O588" s="9" t="n">
        <v>0</v>
      </c>
      <c r="Q588" s="9" t="n">
        <v>0</v>
      </c>
      <c r="S588" s="9" t="n">
        <v>0</v>
      </c>
      <c r="U588" s="9" t="n">
        <v>0</v>
      </c>
      <c r="W588" s="9" t="n">
        <v>0</v>
      </c>
      <c r="Y588" s="9" t="n">
        <v>0</v>
      </c>
      <c r="AA588" s="9" t="n">
        <v>0</v>
      </c>
      <c r="AC588" s="9" t="n">
        <v>0</v>
      </c>
      <c r="AE588" s="9" t="n">
        <v>0</v>
      </c>
    </row>
    <row r="589">
      <c r="A589" s="9" t="inlineStr">
        <is>
          <t>FAECES DRY</t>
        </is>
      </c>
      <c r="C589" s="9" t="n">
        <v>0</v>
      </c>
      <c r="E589" s="9" t="n">
        <v>0</v>
      </c>
      <c r="G589" s="9" t="n">
        <v>0</v>
      </c>
      <c r="I589" s="9" t="n">
        <v>0</v>
      </c>
      <c r="K589" s="9" t="n">
        <v>0</v>
      </c>
      <c r="M589" s="9" t="n">
        <v>0</v>
      </c>
      <c r="O589" s="9" t="n">
        <v>0</v>
      </c>
      <c r="Q589" s="9" t="n">
        <v>0</v>
      </c>
      <c r="S589" s="9" t="n">
        <v>0</v>
      </c>
      <c r="U589" s="9" t="n">
        <v>0</v>
      </c>
      <c r="W589" s="9" t="n">
        <v>0</v>
      </c>
      <c r="Y589" s="9" t="n">
        <v>0</v>
      </c>
      <c r="AA589" s="9" t="n">
        <v>0</v>
      </c>
      <c r="AC589" s="9" t="n">
        <v>0</v>
      </c>
      <c r="AE589" s="9" t="n">
        <v>0</v>
      </c>
    </row>
    <row r="590">
      <c r="A590" s="9" t="inlineStr">
        <is>
          <t>ECOBIOL</t>
        </is>
      </c>
      <c r="C590" s="9" t="n">
        <v>0</v>
      </c>
      <c r="E590" s="9" t="n">
        <v>0</v>
      </c>
      <c r="G590" s="9" t="n">
        <v>0</v>
      </c>
      <c r="I590" s="9" t="n">
        <v>0</v>
      </c>
      <c r="K590" s="9" t="n">
        <v>0</v>
      </c>
      <c r="M590" s="9" t="n">
        <v>0</v>
      </c>
      <c r="O590" s="9" t="n">
        <v>0</v>
      </c>
      <c r="Q590" s="9" t="n">
        <v>0</v>
      </c>
      <c r="S590" s="9" t="n">
        <v>0</v>
      </c>
      <c r="U590" s="9" t="n">
        <v>0</v>
      </c>
      <c r="W590" s="9" t="n">
        <v>0</v>
      </c>
      <c r="Y590" s="9" t="n">
        <v>0</v>
      </c>
      <c r="AA590" s="9" t="n">
        <v>0</v>
      </c>
      <c r="AC590" s="9" t="n">
        <v>0</v>
      </c>
      <c r="AE590" s="9" t="n">
        <v>0</v>
      </c>
    </row>
    <row r="591">
      <c r="A591" s="9" t="inlineStr">
        <is>
          <t>ADDITIVE BROILER IMMUNE</t>
        </is>
      </c>
      <c r="C591" s="9" t="n">
        <v>0</v>
      </c>
      <c r="E591" s="9" t="n">
        <v>0</v>
      </c>
      <c r="G591" s="9" t="n">
        <v>0</v>
      </c>
      <c r="I591" s="9" t="n">
        <v>0</v>
      </c>
      <c r="K591" s="9" t="n">
        <v>0</v>
      </c>
      <c r="M591" s="9" t="n">
        <v>0</v>
      </c>
      <c r="O591" s="9" t="n">
        <v>0</v>
      </c>
      <c r="Q591" s="9" t="n">
        <v>0</v>
      </c>
      <c r="S591" s="9" t="n">
        <v>0</v>
      </c>
      <c r="U591" s="9" t="n">
        <v>0</v>
      </c>
      <c r="W591" s="9" t="n">
        <v>0</v>
      </c>
      <c r="Y591" s="9" t="n">
        <v>0</v>
      </c>
      <c r="AA591" s="9" t="n">
        <v>0</v>
      </c>
      <c r="AC591" s="9" t="n">
        <v>0</v>
      </c>
      <c r="AE591" s="9" t="n">
        <v>0</v>
      </c>
    </row>
    <row r="592">
      <c r="A592" s="9" t="inlineStr">
        <is>
          <t>MASTER CUBE (HARUMI)</t>
        </is>
      </c>
      <c r="C592" s="9" t="n">
        <v>0</v>
      </c>
      <c r="E592" s="9" t="n">
        <v>0</v>
      </c>
      <c r="G592" s="9" t="n">
        <v>0</v>
      </c>
      <c r="I592" s="9" t="n">
        <v>0</v>
      </c>
      <c r="K592" s="9" t="n">
        <v>0</v>
      </c>
      <c r="M592" s="9" t="n">
        <v>0</v>
      </c>
      <c r="O592" s="9" t="n">
        <v>0</v>
      </c>
      <c r="Q592" s="9" t="n">
        <v>0</v>
      </c>
      <c r="S592" s="9" t="n">
        <v>0</v>
      </c>
      <c r="U592" s="9" t="n">
        <v>0</v>
      </c>
      <c r="W592" s="9" t="n">
        <v>0</v>
      </c>
      <c r="Y592" s="9" t="n">
        <v>0</v>
      </c>
      <c r="AA592" s="9" t="n">
        <v>0</v>
      </c>
      <c r="AC592" s="9" t="n">
        <v>0</v>
      </c>
      <c r="AE592" s="9" t="n">
        <v>0</v>
      </c>
    </row>
    <row r="593">
      <c r="A593" s="9" t="inlineStr">
        <is>
          <t>1101 TOP UP (0.40KG)</t>
        </is>
      </c>
      <c r="C593" s="9" t="n">
        <v>0</v>
      </c>
      <c r="E593" s="9" t="n">
        <v>0</v>
      </c>
      <c r="G593" s="9" t="n">
        <v>0</v>
      </c>
      <c r="I593" s="9" t="n">
        <v>0</v>
      </c>
      <c r="K593" s="9" t="n">
        <v>0</v>
      </c>
      <c r="M593" s="9" t="n">
        <v>0</v>
      </c>
      <c r="O593" s="9" t="n">
        <v>0</v>
      </c>
      <c r="Q593" s="9" t="n">
        <v>0</v>
      </c>
      <c r="S593" s="9" t="n">
        <v>0</v>
      </c>
      <c r="U593" s="9" t="n">
        <v>0</v>
      </c>
      <c r="W593" s="9" t="n">
        <v>0</v>
      </c>
      <c r="Y593" s="9" t="n">
        <v>0</v>
      </c>
      <c r="AA593" s="9" t="n">
        <v>0</v>
      </c>
      <c r="AC593" s="9" t="n">
        <v>0</v>
      </c>
      <c r="AE593" s="9" t="n">
        <v>0</v>
      </c>
    </row>
    <row r="594">
      <c r="A594" s="9" t="inlineStr">
        <is>
          <t>1102 TOP UP (0.60KG)</t>
        </is>
      </c>
      <c r="C594" s="9" t="n">
        <v>0</v>
      </c>
      <c r="E594" s="9" t="n">
        <v>0</v>
      </c>
      <c r="G594" s="9" t="n">
        <v>0</v>
      </c>
      <c r="I594" s="9" t="n">
        <v>0</v>
      </c>
      <c r="K594" s="9" t="n">
        <v>0</v>
      </c>
      <c r="M594" s="9" t="n">
        <v>0</v>
      </c>
      <c r="O594" s="9" t="n">
        <v>0</v>
      </c>
      <c r="Q594" s="9" t="n">
        <v>0</v>
      </c>
      <c r="S594" s="9" t="n">
        <v>0</v>
      </c>
      <c r="U594" s="9" t="n">
        <v>0</v>
      </c>
      <c r="W594" s="9" t="n">
        <v>0</v>
      </c>
      <c r="Y594" s="9" t="n">
        <v>0</v>
      </c>
      <c r="AA594" s="9" t="n">
        <v>0</v>
      </c>
      <c r="AC594" s="9" t="n">
        <v>0</v>
      </c>
      <c r="AE594" s="9" t="n">
        <v>0</v>
      </c>
    </row>
    <row r="595">
      <c r="A595" s="9" t="inlineStr">
        <is>
          <t>1103 TOP UP (2.00KG)</t>
        </is>
      </c>
      <c r="C595" s="9" t="n">
        <v>0</v>
      </c>
      <c r="E595" s="9" t="n">
        <v>0</v>
      </c>
      <c r="G595" s="9" t="n">
        <v>0</v>
      </c>
      <c r="I595" s="9" t="n">
        <v>0</v>
      </c>
      <c r="K595" s="9" t="n">
        <v>0</v>
      </c>
      <c r="M595" s="9" t="n">
        <v>0</v>
      </c>
      <c r="O595" s="9" t="n">
        <v>0</v>
      </c>
      <c r="Q595" s="9" t="n">
        <v>0</v>
      </c>
      <c r="S595" s="9" t="n">
        <v>0</v>
      </c>
      <c r="U595" s="9" t="n">
        <v>0</v>
      </c>
      <c r="W595" s="9" t="n">
        <v>0</v>
      </c>
      <c r="Y595" s="9" t="n">
        <v>0</v>
      </c>
      <c r="AA595" s="9" t="n">
        <v>0</v>
      </c>
      <c r="AC595" s="9" t="n">
        <v>0</v>
      </c>
      <c r="AE595" s="9" t="n">
        <v>0</v>
      </c>
    </row>
    <row r="596">
      <c r="A596" s="9" t="inlineStr">
        <is>
          <t>QUANTUM GLO 4%</t>
        </is>
      </c>
      <c r="C596" s="9" t="n">
        <v>0</v>
      </c>
      <c r="E596" s="9" t="n">
        <v>0</v>
      </c>
      <c r="G596" s="9" t="n">
        <v>0</v>
      </c>
      <c r="I596" s="9" t="n">
        <v>0</v>
      </c>
      <c r="K596" s="9" t="n">
        <v>0</v>
      </c>
      <c r="M596" s="9" t="n">
        <v>0</v>
      </c>
      <c r="O596" s="9" t="n">
        <v>0</v>
      </c>
      <c r="Q596" s="9" t="n">
        <v>0</v>
      </c>
      <c r="S596" s="9" t="n">
        <v>0</v>
      </c>
      <c r="U596" s="9" t="n">
        <v>0</v>
      </c>
      <c r="W596" s="9" t="n">
        <v>0</v>
      </c>
      <c r="Y596" s="9" t="n">
        <v>0</v>
      </c>
      <c r="AA596" s="9" t="n">
        <v>0</v>
      </c>
      <c r="AC596" s="9" t="n">
        <v>0</v>
      </c>
      <c r="AE596" s="9" t="n">
        <v>0</v>
      </c>
    </row>
    <row r="597">
      <c r="A597" s="9" t="inlineStr">
        <is>
          <t>SALT</t>
        </is>
      </c>
      <c r="C597" s="9" t="n">
        <v>0</v>
      </c>
      <c r="E597" s="9" t="n">
        <v>0</v>
      </c>
      <c r="G597" s="9" t="n">
        <v>0</v>
      </c>
      <c r="I597" s="9" t="n">
        <v>0</v>
      </c>
      <c r="K597" s="9" t="n">
        <v>0</v>
      </c>
      <c r="M597" s="9" t="n">
        <v>0</v>
      </c>
      <c r="O597" s="9" t="n">
        <v>0</v>
      </c>
      <c r="Q597" s="9" t="n">
        <v>0</v>
      </c>
      <c r="S597" s="9" t="n">
        <v>0</v>
      </c>
      <c r="U597" s="9" t="n">
        <v>0</v>
      </c>
      <c r="W597" s="9" t="n">
        <v>0</v>
      </c>
      <c r="Y597" s="9" t="n">
        <v>0</v>
      </c>
      <c r="AA597" s="9" t="n">
        <v>0</v>
      </c>
      <c r="AC597" s="9" t="n">
        <v>0</v>
      </c>
      <c r="AE597" s="9" t="n">
        <v>0</v>
      </c>
    </row>
    <row r="598">
      <c r="A598" s="9" t="inlineStr">
        <is>
          <t>OC 200</t>
        </is>
      </c>
      <c r="C598" s="9" t="n">
        <v>0</v>
      </c>
      <c r="E598" s="9" t="n">
        <v>0</v>
      </c>
      <c r="G598" s="9" t="n">
        <v>0</v>
      </c>
      <c r="I598" s="9" t="n">
        <v>0</v>
      </c>
      <c r="K598" s="9" t="n">
        <v>0</v>
      </c>
      <c r="M598" s="9" t="n">
        <v>0</v>
      </c>
      <c r="O598" s="9" t="n">
        <v>0</v>
      </c>
      <c r="Q598" s="9" t="n">
        <v>0</v>
      </c>
      <c r="S598" s="9" t="n">
        <v>0</v>
      </c>
      <c r="U598" s="9" t="n">
        <v>0</v>
      </c>
      <c r="W598" s="9" t="n">
        <v>0</v>
      </c>
      <c r="Y598" s="9" t="n">
        <v>0</v>
      </c>
      <c r="AA598" s="9" t="n">
        <v>0</v>
      </c>
      <c r="AC598" s="9" t="n">
        <v>0</v>
      </c>
      <c r="AE598" s="9" t="n">
        <v>0</v>
      </c>
    </row>
    <row r="599">
      <c r="A599" s="9" t="n">
        <v>3</v>
      </c>
      <c r="C599" s="9" t="n">
        <v>0</v>
      </c>
      <c r="E599" s="9" t="n">
        <v>0</v>
      </c>
      <c r="G599" s="9" t="n">
        <v>0</v>
      </c>
      <c r="I599" s="9" t="n">
        <v>0</v>
      </c>
      <c r="K599" s="9" t="n">
        <v>0</v>
      </c>
      <c r="M599" s="9" t="n">
        <v>0</v>
      </c>
      <c r="O599" s="9" t="n">
        <v>0</v>
      </c>
      <c r="Q599" s="9" t="n">
        <v>0</v>
      </c>
      <c r="S599" s="9" t="n">
        <v>0</v>
      </c>
      <c r="U599" s="9" t="n">
        <v>0</v>
      </c>
      <c r="W599" s="9" t="n">
        <v>0</v>
      </c>
      <c r="Y599" s="9" t="n">
        <v>0</v>
      </c>
      <c r="AA599" s="9" t="n">
        <v>0</v>
      </c>
      <c r="AC599" s="9" t="n">
        <v>0</v>
      </c>
      <c r="AE599" s="9" t="n">
        <v>0</v>
      </c>
    </row>
    <row r="600">
      <c r="A600" s="9" t="n">
        <v>4</v>
      </c>
      <c r="C600" s="9" t="n">
        <v>0</v>
      </c>
      <c r="E600" s="9" t="n">
        <v>0</v>
      </c>
      <c r="G600" s="9" t="n">
        <v>0</v>
      </c>
      <c r="I600" s="9" t="n">
        <v>0</v>
      </c>
      <c r="K600" s="9" t="n">
        <v>0</v>
      </c>
      <c r="M600" s="9" t="n">
        <v>0</v>
      </c>
      <c r="O600" s="9" t="n">
        <v>0</v>
      </c>
      <c r="Q600" s="9" t="n">
        <v>0</v>
      </c>
      <c r="S600" s="9" t="n">
        <v>0</v>
      </c>
      <c r="U600" s="9" t="n">
        <v>0</v>
      </c>
      <c r="W600" s="9" t="n">
        <v>0</v>
      </c>
      <c r="Y600" s="9" t="n">
        <v>0</v>
      </c>
      <c r="AA600" s="9" t="n">
        <v>0</v>
      </c>
      <c r="AC600" s="9" t="n">
        <v>0</v>
      </c>
      <c r="AE600" s="9" t="n">
        <v>0</v>
      </c>
    </row>
    <row r="601">
      <c r="A601" s="9" t="inlineStr">
        <is>
          <t>WOVEN BAG (1101) - BLUE 50KG</t>
        </is>
      </c>
      <c r="C601" s="9" t="n">
        <v>0</v>
      </c>
      <c r="E601" s="9" t="n">
        <v>0</v>
      </c>
      <c r="G601" s="9" t="n">
        <v>0</v>
      </c>
      <c r="I601" s="9" t="n">
        <v>0</v>
      </c>
      <c r="K601" s="9" t="n">
        <v>0</v>
      </c>
      <c r="M601" s="9" t="n">
        <v>0</v>
      </c>
      <c r="O601" s="9" t="n">
        <v>0</v>
      </c>
      <c r="Q601" s="9" t="n">
        <v>0</v>
      </c>
      <c r="S601" s="9" t="n">
        <v>0</v>
      </c>
      <c r="U601" s="9" t="n">
        <v>0</v>
      </c>
      <c r="W601" s="9" t="n">
        <v>0</v>
      </c>
      <c r="Y601" s="9" t="n">
        <v>0</v>
      </c>
      <c r="AA601" s="9" t="n">
        <v>0</v>
      </c>
      <c r="AC601" s="9" t="n">
        <v>0</v>
      </c>
      <c r="AE601" s="9" t="n">
        <v>0</v>
      </c>
    </row>
    <row r="602">
      <c r="A602" s="9" t="inlineStr">
        <is>
          <t>WOVEN BAG (1102) - GREEN 50KG</t>
        </is>
      </c>
      <c r="C602" s="9" t="n">
        <v>0</v>
      </c>
      <c r="E602" s="9" t="n">
        <v>0</v>
      </c>
      <c r="G602" s="9" t="n">
        <v>0</v>
      </c>
      <c r="I602" s="9" t="n">
        <v>0</v>
      </c>
      <c r="K602" s="9" t="n">
        <v>0</v>
      </c>
      <c r="M602" s="9" t="n">
        <v>0</v>
      </c>
      <c r="O602" s="9" t="n">
        <v>0</v>
      </c>
      <c r="Q602" s="9" t="n">
        <v>0</v>
      </c>
      <c r="S602" s="9" t="n">
        <v>0</v>
      </c>
      <c r="U602" s="9" t="n">
        <v>0</v>
      </c>
      <c r="W602" s="9" t="n">
        <v>0</v>
      </c>
      <c r="Y602" s="9" t="n">
        <v>0</v>
      </c>
      <c r="AA602" s="9" t="n">
        <v>0</v>
      </c>
      <c r="AC602" s="9" t="n">
        <v>0</v>
      </c>
      <c r="AE602" s="9" t="n">
        <v>0</v>
      </c>
    </row>
    <row r="603">
      <c r="A603" s="9" t="inlineStr">
        <is>
          <t>WOVEN BAG (1103) - RED 50KG</t>
        </is>
      </c>
      <c r="C603" s="9" t="n">
        <v>0</v>
      </c>
      <c r="E603" s="9" t="n">
        <v>0</v>
      </c>
      <c r="G603" s="9" t="n">
        <v>0</v>
      </c>
      <c r="I603" s="9" t="n">
        <v>0</v>
      </c>
      <c r="K603" s="9" t="n">
        <v>0</v>
      </c>
      <c r="M603" s="9" t="n">
        <v>0</v>
      </c>
      <c r="O603" s="9" t="n">
        <v>0</v>
      </c>
      <c r="Q603" s="9" t="n">
        <v>0</v>
      </c>
      <c r="S603" s="9" t="n">
        <v>0</v>
      </c>
      <c r="U603" s="9" t="n">
        <v>0</v>
      </c>
      <c r="W603" s="9" t="n">
        <v>0</v>
      </c>
      <c r="Y603" s="9" t="n">
        <v>0</v>
      </c>
      <c r="AA603" s="9" t="n">
        <v>0</v>
      </c>
      <c r="AC603" s="9" t="n">
        <v>0</v>
      </c>
      <c r="AE603" s="9" t="n">
        <v>0</v>
      </c>
    </row>
    <row r="604">
      <c r="A604" s="9" t="inlineStr">
        <is>
          <t>PLAIN BAG 26" X 39" (50KG)</t>
        </is>
      </c>
      <c r="C604" s="9" t="n">
        <v>0</v>
      </c>
      <c r="E604" s="9" t="n">
        <v>0</v>
      </c>
      <c r="G604" s="9" t="n">
        <v>0</v>
      </c>
      <c r="I604" s="9" t="n">
        <v>0</v>
      </c>
      <c r="K604" s="9" t="n">
        <v>0</v>
      </c>
      <c r="M604" s="9" t="n">
        <v>0</v>
      </c>
      <c r="O604" s="9" t="n">
        <v>0</v>
      </c>
      <c r="Q604" s="9" t="n">
        <v>0</v>
      </c>
      <c r="S604" s="9" t="n">
        <v>0</v>
      </c>
      <c r="U604" s="9" t="n">
        <v>0</v>
      </c>
      <c r="W604" s="9" t="n">
        <v>0</v>
      </c>
      <c r="Y604" s="9" t="n">
        <v>0</v>
      </c>
      <c r="AA604" s="9" t="n">
        <v>0</v>
      </c>
      <c r="AC604" s="9" t="n">
        <v>0</v>
      </c>
      <c r="AE604" s="9" t="n">
        <v>0</v>
      </c>
    </row>
    <row r="605">
      <c r="A605" s="9" t="inlineStr">
        <is>
          <t>WOVEN BAG (8101) - KHAKI 50KG</t>
        </is>
      </c>
      <c r="C605" s="9" t="n">
        <v>0</v>
      </c>
      <c r="E605" s="9" t="n">
        <v>0</v>
      </c>
      <c r="G605" s="9" t="n">
        <v>0</v>
      </c>
      <c r="I605" s="9" t="n">
        <v>0</v>
      </c>
      <c r="K605" s="9" t="n">
        <v>0</v>
      </c>
      <c r="M605" s="9" t="n">
        <v>0</v>
      </c>
      <c r="O605" s="9" t="n">
        <v>0</v>
      </c>
      <c r="Q605" s="9" t="n">
        <v>0</v>
      </c>
      <c r="S605" s="9" t="n">
        <v>0</v>
      </c>
      <c r="U605" s="9" t="n">
        <v>0</v>
      </c>
      <c r="W605" s="9" t="n">
        <v>0</v>
      </c>
      <c r="Y605" s="9" t="n">
        <v>0</v>
      </c>
      <c r="AA605" s="9" t="n">
        <v>0</v>
      </c>
      <c r="AC605" s="9" t="n">
        <v>0</v>
      </c>
      <c r="AE605" s="9" t="n">
        <v>0</v>
      </c>
    </row>
    <row r="606">
      <c r="A606" s="9" t="inlineStr">
        <is>
          <t>WOVEN BAG (8102) - SKY BLUE 50KG</t>
        </is>
      </c>
      <c r="C606" s="9" t="n">
        <v>0</v>
      </c>
      <c r="E606" s="9" t="n">
        <v>0</v>
      </c>
      <c r="G606" s="9" t="n">
        <v>0</v>
      </c>
      <c r="I606" s="9" t="n">
        <v>0</v>
      </c>
      <c r="K606" s="9" t="n">
        <v>0</v>
      </c>
      <c r="M606" s="9" t="n">
        <v>0</v>
      </c>
      <c r="O606" s="9" t="n">
        <v>0</v>
      </c>
      <c r="Q606" s="9" t="n">
        <v>0</v>
      </c>
      <c r="S606" s="9" t="n">
        <v>0</v>
      </c>
      <c r="U606" s="9" t="n">
        <v>0</v>
      </c>
      <c r="W606" s="9" t="n">
        <v>0</v>
      </c>
      <c r="Y606" s="9" t="n">
        <v>0</v>
      </c>
      <c r="AA606" s="9" t="n">
        <v>0</v>
      </c>
      <c r="AC606" s="9" t="n">
        <v>0</v>
      </c>
      <c r="AE606" s="9" t="n">
        <v>0</v>
      </c>
    </row>
    <row r="607">
      <c r="A607" s="9" t="inlineStr">
        <is>
          <t>WOVEN BAG (8103) - BROWN 50KG</t>
        </is>
      </c>
      <c r="C607" s="9" t="n">
        <v>0</v>
      </c>
      <c r="E607" s="9" t="n">
        <v>0</v>
      </c>
      <c r="G607" s="9" t="n">
        <v>0</v>
      </c>
      <c r="I607" s="9" t="n">
        <v>0</v>
      </c>
      <c r="K607" s="9" t="n">
        <v>0</v>
      </c>
      <c r="M607" s="9" t="n">
        <v>0</v>
      </c>
      <c r="O607" s="9" t="n">
        <v>0</v>
      </c>
      <c r="Q607" s="9" t="n">
        <v>0</v>
      </c>
      <c r="S607" s="9" t="n">
        <v>0</v>
      </c>
      <c r="U607" s="9" t="n">
        <v>0</v>
      </c>
      <c r="W607" s="9" t="n">
        <v>0</v>
      </c>
      <c r="Y607" s="9" t="n">
        <v>0</v>
      </c>
      <c r="AA607" s="9" t="n">
        <v>0</v>
      </c>
      <c r="AC607" s="9" t="n">
        <v>0</v>
      </c>
      <c r="AE607" s="9" t="n">
        <v>0</v>
      </c>
    </row>
    <row r="608">
      <c r="A608" s="9" t="n">
        <v>1</v>
      </c>
      <c r="C608" s="9" t="n">
        <v>0</v>
      </c>
      <c r="E608" s="9" t="n">
        <v>0</v>
      </c>
      <c r="G608" s="9" t="n">
        <v>0</v>
      </c>
      <c r="I608" s="9" t="n">
        <v>0</v>
      </c>
      <c r="K608" s="9" t="n">
        <v>0</v>
      </c>
      <c r="M608" s="9" t="n">
        <v>0</v>
      </c>
      <c r="O608" s="9" t="n">
        <v>0</v>
      </c>
      <c r="Q608" s="9" t="n">
        <v>0</v>
      </c>
      <c r="S608" s="9" t="n">
        <v>0</v>
      </c>
      <c r="U608" s="9" t="n">
        <v>0</v>
      </c>
      <c r="W608" s="9" t="n">
        <v>0</v>
      </c>
      <c r="Y608" s="9" t="n">
        <v>0</v>
      </c>
      <c r="AA608" s="9" t="n">
        <v>0</v>
      </c>
      <c r="AC608" s="9" t="n">
        <v>0</v>
      </c>
      <c r="AE608" s="9" t="n">
        <v>0</v>
      </c>
    </row>
    <row r="609">
      <c r="A609" s="9" t="n">
        <v>2</v>
      </c>
      <c r="C609" s="9" t="n">
        <v>0</v>
      </c>
      <c r="E609" s="9" t="n">
        <v>0</v>
      </c>
      <c r="G609" s="9" t="n">
        <v>0</v>
      </c>
      <c r="I609" s="9" t="n">
        <v>0</v>
      </c>
      <c r="K609" s="9" t="n">
        <v>0</v>
      </c>
      <c r="M609" s="9" t="n">
        <v>0</v>
      </c>
      <c r="O609" s="9" t="n">
        <v>0</v>
      </c>
      <c r="Q609" s="9" t="n">
        <v>0</v>
      </c>
      <c r="S609" s="9" t="n">
        <v>0</v>
      </c>
      <c r="U609" s="9" t="n">
        <v>0</v>
      </c>
      <c r="W609" s="9" t="n">
        <v>0</v>
      </c>
      <c r="Y609" s="9" t="n">
        <v>0</v>
      </c>
      <c r="AA609" s="9" t="n">
        <v>0</v>
      </c>
      <c r="AC609" s="9" t="n">
        <v>0</v>
      </c>
      <c r="AE609" s="9" t="n">
        <v>0</v>
      </c>
    </row>
    <row r="610">
      <c r="A610" s="9" t="n">
        <v>3</v>
      </c>
      <c r="C610" s="9" t="n">
        <v>0</v>
      </c>
      <c r="E610" s="9" t="n">
        <v>0</v>
      </c>
      <c r="G610" s="9" t="n">
        <v>0</v>
      </c>
      <c r="I610" s="9" t="n">
        <v>0</v>
      </c>
      <c r="K610" s="9" t="n">
        <v>0</v>
      </c>
      <c r="M610" s="9" t="n">
        <v>0</v>
      </c>
      <c r="O610" s="9" t="n">
        <v>0</v>
      </c>
      <c r="Q610" s="9" t="n">
        <v>0</v>
      </c>
      <c r="S610" s="9" t="n">
        <v>0</v>
      </c>
      <c r="U610" s="9" t="n">
        <v>0</v>
      </c>
      <c r="W610" s="9" t="n">
        <v>0</v>
      </c>
      <c r="Y610" s="9" t="n">
        <v>0</v>
      </c>
      <c r="AA610" s="9" t="n">
        <v>0</v>
      </c>
      <c r="AC610" s="9" t="n">
        <v>0</v>
      </c>
      <c r="AE610" s="9" t="n">
        <v>0</v>
      </c>
    </row>
    <row r="611">
      <c r="A611" s="9" t="n">
        <v>4</v>
      </c>
      <c r="C611" s="9" t="n">
        <v>0</v>
      </c>
      <c r="E611" s="9" t="n">
        <v>0</v>
      </c>
      <c r="G611" s="9" t="n">
        <v>0</v>
      </c>
      <c r="I611" s="9" t="n">
        <v>0</v>
      </c>
      <c r="K611" s="9" t="n">
        <v>0</v>
      </c>
      <c r="M611" s="9" t="n">
        <v>0</v>
      </c>
      <c r="O611" s="9" t="n">
        <v>0</v>
      </c>
      <c r="Q611" s="9" t="n">
        <v>0</v>
      </c>
      <c r="S611" s="9" t="n">
        <v>0</v>
      </c>
      <c r="U611" s="9" t="n">
        <v>0</v>
      </c>
      <c r="W611" s="9" t="n">
        <v>0</v>
      </c>
      <c r="Y611" s="9" t="n">
        <v>0</v>
      </c>
      <c r="AA611" s="9" t="n">
        <v>0</v>
      </c>
      <c r="AC611" s="9" t="n">
        <v>0</v>
      </c>
      <c r="AE611" s="9" t="n">
        <v>0</v>
      </c>
    </row>
    <row r="612">
      <c r="A612" s="9" t="n">
        <v>5</v>
      </c>
      <c r="C612" s="9" t="n">
        <v>0</v>
      </c>
      <c r="E612" s="9" t="n">
        <v>0</v>
      </c>
      <c r="G612" s="9" t="n">
        <v>0</v>
      </c>
      <c r="I612" s="9" t="n">
        <v>0</v>
      </c>
      <c r="K612" s="9" t="n">
        <v>0</v>
      </c>
      <c r="M612" s="9" t="n">
        <v>0</v>
      </c>
      <c r="O612" s="9" t="n">
        <v>0</v>
      </c>
      <c r="Q612" s="9" t="n">
        <v>0</v>
      </c>
      <c r="S612" s="9" t="n">
        <v>0</v>
      </c>
      <c r="U612" s="9" t="n">
        <v>0</v>
      </c>
      <c r="W612" s="9" t="n">
        <v>0</v>
      </c>
      <c r="Y612" s="9" t="n">
        <v>0</v>
      </c>
      <c r="AA612" s="9" t="n">
        <v>0</v>
      </c>
      <c r="AC612" s="9" t="n">
        <v>0</v>
      </c>
      <c r="AE612" s="9" t="n">
        <v>0</v>
      </c>
    </row>
    <row r="613">
      <c r="A613" s="9" t="n">
        <v>6</v>
      </c>
      <c r="C613" s="9" t="n">
        <v>0</v>
      </c>
      <c r="E613" s="9" t="n">
        <v>0</v>
      </c>
      <c r="G613" s="9" t="n">
        <v>0</v>
      </c>
      <c r="I613" s="9" t="n">
        <v>0</v>
      </c>
      <c r="K613" s="9" t="n">
        <v>0</v>
      </c>
      <c r="M613" s="9" t="n">
        <v>0</v>
      </c>
      <c r="O613" s="9" t="n">
        <v>0</v>
      </c>
      <c r="Q613" s="9" t="n">
        <v>0</v>
      </c>
      <c r="S613" s="9" t="n">
        <v>0</v>
      </c>
      <c r="U613" s="9" t="n">
        <v>0</v>
      </c>
      <c r="W613" s="9" t="n">
        <v>0</v>
      </c>
      <c r="Y613" s="9" t="n">
        <v>0</v>
      </c>
      <c r="AA613" s="9" t="n">
        <v>0</v>
      </c>
      <c r="AC613" s="9" t="n">
        <v>0</v>
      </c>
      <c r="AE613" s="9" t="n">
        <v>0</v>
      </c>
    </row>
    <row r="614">
      <c r="A614" s="9" t="n">
        <v>7</v>
      </c>
      <c r="C614" s="9" t="n">
        <v>0</v>
      </c>
      <c r="E614" s="9" t="n">
        <v>0</v>
      </c>
      <c r="G614" s="9" t="n">
        <v>0</v>
      </c>
      <c r="I614" s="9" t="n">
        <v>0</v>
      </c>
      <c r="K614" s="9" t="n">
        <v>0</v>
      </c>
      <c r="M614" s="9" t="n">
        <v>0</v>
      </c>
      <c r="O614" s="9" t="n">
        <v>0</v>
      </c>
      <c r="Q614" s="9" t="n">
        <v>0</v>
      </c>
      <c r="S614" s="9" t="n">
        <v>0</v>
      </c>
      <c r="U614" s="9" t="n">
        <v>0</v>
      </c>
      <c r="W614" s="9" t="n">
        <v>0</v>
      </c>
      <c r="Y614" s="9" t="n">
        <v>0</v>
      </c>
      <c r="AA614" s="9" t="n">
        <v>0</v>
      </c>
      <c r="AC614" s="9" t="n">
        <v>0</v>
      </c>
      <c r="AE614" s="9" t="n">
        <v>0</v>
      </c>
    </row>
    <row r="615">
      <c r="A615" s="9" t="n">
        <v>8</v>
      </c>
      <c r="C615" s="9" t="n">
        <v>0</v>
      </c>
      <c r="E615" s="9" t="n">
        <v>0</v>
      </c>
      <c r="G615" s="9" t="n">
        <v>0</v>
      </c>
      <c r="I615" s="9" t="n">
        <v>0</v>
      </c>
      <c r="K615" s="9" t="n">
        <v>0</v>
      </c>
      <c r="M615" s="9" t="n">
        <v>0</v>
      </c>
      <c r="O615" s="9" t="n">
        <v>0</v>
      </c>
      <c r="Q615" s="9" t="n">
        <v>0</v>
      </c>
      <c r="S615" s="9" t="n">
        <v>0</v>
      </c>
      <c r="U615" s="9" t="n">
        <v>0</v>
      </c>
      <c r="W615" s="9" t="n">
        <v>0</v>
      </c>
      <c r="Y615" s="9" t="n">
        <v>0</v>
      </c>
      <c r="AA615" s="9" t="n">
        <v>0</v>
      </c>
      <c r="AC615" s="9" t="n">
        <v>0</v>
      </c>
      <c r="AE615" s="9" t="n">
        <v>0</v>
      </c>
    </row>
    <row r="616">
      <c r="A616" s="9" t="inlineStr">
        <is>
          <t>TOTAL</t>
        </is>
      </c>
      <c r="B616" s="9" t="n">
        <v>100</v>
      </c>
      <c r="C616" s="9" t="n">
        <v>1000</v>
      </c>
      <c r="D616" s="9" t="n">
        <v>100</v>
      </c>
      <c r="E616" s="9" t="n">
        <v>999.9999999999999</v>
      </c>
      <c r="F616" s="9" t="n">
        <v>100</v>
      </c>
      <c r="G616" s="9" t="n">
        <v>1000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94.26949999999999</v>
      </c>
      <c r="O616" s="9" t="n">
        <v>942.6950000000001</v>
      </c>
      <c r="P616" s="9" t="n">
        <v>92.90949999999999</v>
      </c>
      <c r="Q616" s="9" t="n">
        <v>929.0949999999999</v>
      </c>
      <c r="R616" s="9" t="n">
        <v>0</v>
      </c>
      <c r="S616" s="9" t="n">
        <v>0</v>
      </c>
      <c r="T616" s="9" t="n">
        <v>93.49850000000001</v>
      </c>
      <c r="U616" s="9" t="n">
        <v>934.985</v>
      </c>
      <c r="V616" s="9" t="n">
        <v>93.38050000000001</v>
      </c>
      <c r="W616" s="9" t="n">
        <v>933.8050000000001</v>
      </c>
      <c r="X616" s="9" t="n">
        <v>0</v>
      </c>
      <c r="Y616" s="9" t="n">
        <v>0</v>
      </c>
      <c r="Z616" s="9" t="n">
        <v>94.75049999999999</v>
      </c>
      <c r="AA616" s="9" t="n">
        <v>947.505</v>
      </c>
      <c r="AB616" s="9" t="n">
        <v>93.1605</v>
      </c>
      <c r="AC616" s="9" t="n">
        <v>931.605</v>
      </c>
      <c r="AD616" s="9" t="n">
        <v>0</v>
      </c>
      <c r="AE616" s="9" t="n">
        <v>0</v>
      </c>
    </row>
    <row r="617"/>
    <row r="618">
      <c r="A618" s="9" t="inlineStr">
        <is>
          <t>123 (BROILER)</t>
        </is>
      </c>
      <c r="B618" s="9" t="n">
        <v>1</v>
      </c>
      <c r="D618" s="9" t="n">
        <v>2</v>
      </c>
      <c r="F618" s="9" t="n">
        <v>3</v>
      </c>
      <c r="H618" s="9" t="n">
        <v>4</v>
      </c>
      <c r="J618" s="9" t="n">
        <v>5</v>
      </c>
      <c r="L618" s="9" t="n">
        <v>6</v>
      </c>
      <c r="N618" s="9" t="n">
        <v>7</v>
      </c>
      <c r="P618" s="9" t="n">
        <v>8</v>
      </c>
      <c r="R618" s="9" t="n">
        <v>9</v>
      </c>
      <c r="T618" s="9" t="n">
        <v>10</v>
      </c>
      <c r="V618" s="9" t="n">
        <v>11</v>
      </c>
      <c r="X618" s="9" t="n">
        <v>12</v>
      </c>
      <c r="Z618" s="9" t="n">
        <v>13</v>
      </c>
      <c r="AB618" s="9" t="n">
        <v>14</v>
      </c>
      <c r="AD618" s="9" t="n">
        <v>15</v>
      </c>
    </row>
    <row r="619">
      <c r="B619" s="9" t="inlineStr">
        <is>
          <t>YH 123 (050226)</t>
        </is>
      </c>
      <c r="D619" s="9" t="inlineStr">
        <is>
          <t>YH 123 (130326)</t>
        </is>
      </c>
      <c r="F619" s="9" t="inlineStr">
        <is>
          <t>YH 123 (190326)</t>
        </is>
      </c>
      <c r="H619" s="9" t="inlineStr">
        <is>
          <t>YH 123 (200426)</t>
        </is>
      </c>
    </row>
    <row r="620">
      <c r="B620" s="9" t="inlineStr">
        <is>
          <t>WITH TOXISORB</t>
        </is>
      </c>
      <c r="D620" s="9" t="inlineStr">
        <is>
          <t>WITHOUT WHEAT POLLARD</t>
        </is>
      </c>
      <c r="F620" s="9" t="inlineStr">
        <is>
          <t>WITH TOXIWALL</t>
        </is>
      </c>
      <c r="H620" s="9" t="inlineStr">
        <is>
          <t>WITH TOXIWALL, YM 20.00kg</t>
        </is>
      </c>
    </row>
    <row r="621">
      <c r="B621" s="9" t="inlineStr">
        <is>
          <t>%</t>
        </is>
      </c>
      <c r="C621" s="9" t="inlineStr">
        <is>
          <t>BATCH</t>
        </is>
      </c>
      <c r="D621" s="9" t="inlineStr">
        <is>
          <t>%</t>
        </is>
      </c>
      <c r="E621" s="9" t="inlineStr">
        <is>
          <t>BATCH</t>
        </is>
      </c>
      <c r="F621" s="9" t="inlineStr">
        <is>
          <t>%</t>
        </is>
      </c>
      <c r="G621" s="9" t="inlineStr">
        <is>
          <t>BATCH</t>
        </is>
      </c>
      <c r="H621" s="9" t="inlineStr">
        <is>
          <t>%</t>
        </is>
      </c>
      <c r="I621" s="9" t="inlineStr">
        <is>
          <t>BATCH</t>
        </is>
      </c>
      <c r="J621" s="9" t="inlineStr">
        <is>
          <t>%</t>
        </is>
      </c>
      <c r="K621" s="9" t="inlineStr">
        <is>
          <t>BATCH</t>
        </is>
      </c>
      <c r="L621" s="9" t="inlineStr">
        <is>
          <t>%</t>
        </is>
      </c>
      <c r="M621" s="9" t="inlineStr">
        <is>
          <t>BATCH</t>
        </is>
      </c>
      <c r="N621" s="9" t="inlineStr">
        <is>
          <t>%</t>
        </is>
      </c>
      <c r="O621" s="9" t="inlineStr">
        <is>
          <t>BATCH</t>
        </is>
      </c>
      <c r="P621" s="9" t="inlineStr">
        <is>
          <t>%</t>
        </is>
      </c>
      <c r="Q621" s="9" t="inlineStr">
        <is>
          <t>BATCH</t>
        </is>
      </c>
      <c r="R621" s="9" t="inlineStr">
        <is>
          <t>%</t>
        </is>
      </c>
      <c r="S621" s="9" t="inlineStr">
        <is>
          <t>BATCH</t>
        </is>
      </c>
      <c r="T621" s="9" t="inlineStr">
        <is>
          <t>%</t>
        </is>
      </c>
      <c r="U621" s="9" t="inlineStr">
        <is>
          <t>BATCH</t>
        </is>
      </c>
      <c r="V621" s="9" t="inlineStr">
        <is>
          <t>%</t>
        </is>
      </c>
      <c r="W621" s="9" t="inlineStr">
        <is>
          <t>BATCH</t>
        </is>
      </c>
      <c r="X621" s="9" t="inlineStr">
        <is>
          <t>%</t>
        </is>
      </c>
      <c r="Y621" s="9" t="inlineStr">
        <is>
          <t>BATCH</t>
        </is>
      </c>
      <c r="Z621" s="9" t="inlineStr">
        <is>
          <t>%</t>
        </is>
      </c>
      <c r="AA621" s="9" t="inlineStr">
        <is>
          <t>BATCH</t>
        </is>
      </c>
      <c r="AB621" s="9" t="inlineStr">
        <is>
          <t>%</t>
        </is>
      </c>
      <c r="AC621" s="9" t="inlineStr">
        <is>
          <t>BATCH</t>
        </is>
      </c>
      <c r="AD621" s="9" t="inlineStr">
        <is>
          <t>%</t>
        </is>
      </c>
      <c r="AE621" s="9" t="inlineStr">
        <is>
          <t>BATCH</t>
        </is>
      </c>
    </row>
    <row r="622">
      <c r="A622" s="9" t="inlineStr">
        <is>
          <t>MAIZE/CORN</t>
        </is>
      </c>
      <c r="B622" s="9" t="n">
        <v>53.46</v>
      </c>
      <c r="C622" s="9" t="n">
        <v>534.5999999999999</v>
      </c>
      <c r="D622" s="9" t="n">
        <v>50.10299999999999</v>
      </c>
      <c r="E622" s="9" t="n">
        <v>501.03</v>
      </c>
      <c r="F622" s="9" t="n">
        <v>53.56</v>
      </c>
      <c r="G622" s="9" t="n">
        <v>535.6</v>
      </c>
      <c r="H622" s="9" t="n">
        <v>53.45</v>
      </c>
      <c r="I622" s="9" t="n">
        <v>534.5</v>
      </c>
      <c r="K622" s="9" t="n">
        <v>0</v>
      </c>
      <c r="M622" s="9" t="n">
        <v>0</v>
      </c>
      <c r="O622" s="9" t="n">
        <v>0</v>
      </c>
      <c r="Q622" s="9" t="n">
        <v>0</v>
      </c>
      <c r="S622" s="9" t="n">
        <v>0</v>
      </c>
      <c r="U622" s="9" t="n">
        <v>0</v>
      </c>
      <c r="W622" s="9" t="n">
        <v>0</v>
      </c>
      <c r="Y622" s="9" t="n">
        <v>0</v>
      </c>
      <c r="AA622" s="9" t="n">
        <v>0</v>
      </c>
      <c r="AC622" s="9" t="n">
        <v>0</v>
      </c>
      <c r="AE622" s="9" t="n">
        <v>0</v>
      </c>
    </row>
    <row r="623">
      <c r="A623" s="9" t="inlineStr">
        <is>
          <t>SOYBEAN MEAL (ARG)</t>
        </is>
      </c>
      <c r="B623" s="9" t="n">
        <v>17.15</v>
      </c>
      <c r="C623" s="9" t="n">
        <v>171.5</v>
      </c>
      <c r="D623" s="9" t="n">
        <v>19.5</v>
      </c>
      <c r="E623" s="9" t="n">
        <v>195</v>
      </c>
      <c r="F623" s="9" t="n">
        <v>17.15</v>
      </c>
      <c r="G623" s="9" t="n">
        <v>171.5</v>
      </c>
      <c r="H623" s="9" t="n">
        <v>17.15</v>
      </c>
      <c r="I623" s="9" t="n">
        <v>171.5</v>
      </c>
      <c r="K623" s="9" t="n">
        <v>0</v>
      </c>
      <c r="M623" s="9" t="n">
        <v>0</v>
      </c>
      <c r="O623" s="9" t="n">
        <v>0</v>
      </c>
      <c r="Q623" s="9" t="n">
        <v>0</v>
      </c>
      <c r="S623" s="9" t="n">
        <v>0</v>
      </c>
      <c r="U623" s="9" t="n">
        <v>0</v>
      </c>
      <c r="W623" s="9" t="n">
        <v>0</v>
      </c>
      <c r="Y623" s="9" t="n">
        <v>0</v>
      </c>
      <c r="AA623" s="9" t="n">
        <v>0</v>
      </c>
      <c r="AC623" s="9" t="n">
        <v>0</v>
      </c>
      <c r="AE623" s="9" t="n">
        <v>0</v>
      </c>
    </row>
    <row r="624">
      <c r="A624" s="9" t="inlineStr">
        <is>
          <t>SOYBEAN FULL FAT</t>
        </is>
      </c>
      <c r="B624" s="9" t="n">
        <v>8.5</v>
      </c>
      <c r="C624" s="9" t="n">
        <v>85</v>
      </c>
      <c r="D624" s="9" t="n">
        <v>10</v>
      </c>
      <c r="E624" s="9" t="n">
        <v>100</v>
      </c>
      <c r="F624" s="9" t="n">
        <v>8.5</v>
      </c>
      <c r="G624" s="9" t="n">
        <v>85</v>
      </c>
      <c r="H624" s="9" t="n">
        <v>8.5</v>
      </c>
      <c r="I624" s="9" t="n">
        <v>85</v>
      </c>
      <c r="K624" s="9" t="n">
        <v>0</v>
      </c>
      <c r="M624" s="9" t="n">
        <v>0</v>
      </c>
      <c r="O624" s="9" t="n">
        <v>0</v>
      </c>
      <c r="Q624" s="9" t="n">
        <v>0</v>
      </c>
      <c r="S624" s="9" t="n">
        <v>0</v>
      </c>
      <c r="U624" s="9" t="n">
        <v>0</v>
      </c>
      <c r="W624" s="9" t="n">
        <v>0</v>
      </c>
      <c r="Y624" s="9" t="n">
        <v>0</v>
      </c>
      <c r="AA624" s="9" t="n">
        <v>0</v>
      </c>
      <c r="AC624" s="9" t="n">
        <v>0</v>
      </c>
      <c r="AE624" s="9" t="n">
        <v>0</v>
      </c>
    </row>
    <row r="625">
      <c r="A625" s="9" t="inlineStr">
        <is>
          <t>WHEAT POLLARD</t>
        </is>
      </c>
      <c r="B625" s="9" t="n">
        <v>1.2</v>
      </c>
      <c r="C625" s="9" t="n">
        <v>12</v>
      </c>
      <c r="E625" s="9" t="n">
        <v>0</v>
      </c>
      <c r="F625" s="9" t="n">
        <v>1.2</v>
      </c>
      <c r="G625" s="9" t="n">
        <v>12</v>
      </c>
      <c r="H625" s="9" t="n">
        <v>1.2</v>
      </c>
      <c r="I625" s="9" t="n">
        <v>12</v>
      </c>
      <c r="K625" s="9" t="n">
        <v>0</v>
      </c>
      <c r="M625" s="9" t="n">
        <v>0</v>
      </c>
      <c r="O625" s="9" t="n">
        <v>0</v>
      </c>
      <c r="Q625" s="9" t="n">
        <v>0</v>
      </c>
      <c r="S625" s="9" t="n">
        <v>0</v>
      </c>
      <c r="U625" s="9" t="n">
        <v>0</v>
      </c>
      <c r="W625" s="9" t="n">
        <v>0</v>
      </c>
      <c r="Y625" s="9" t="n">
        <v>0</v>
      </c>
      <c r="AA625" s="9" t="n">
        <v>0</v>
      </c>
      <c r="AC625" s="9" t="n">
        <v>0</v>
      </c>
      <c r="AE625" s="9" t="n">
        <v>0</v>
      </c>
    </row>
    <row r="626">
      <c r="A626" s="9" t="inlineStr">
        <is>
          <t>WHEAT</t>
        </is>
      </c>
      <c r="C626" s="9" t="n">
        <v>0</v>
      </c>
      <c r="E626" s="9" t="n">
        <v>0</v>
      </c>
      <c r="G626" s="9" t="n">
        <v>0</v>
      </c>
      <c r="I626" s="9" t="n">
        <v>0</v>
      </c>
      <c r="K626" s="9" t="n">
        <v>0</v>
      </c>
      <c r="M626" s="9" t="n">
        <v>0</v>
      </c>
      <c r="O626" s="9" t="n">
        <v>0</v>
      </c>
      <c r="Q626" s="9" t="n">
        <v>0</v>
      </c>
      <c r="S626" s="9" t="n">
        <v>0</v>
      </c>
      <c r="U626" s="9" t="n">
        <v>0</v>
      </c>
      <c r="W626" s="9" t="n">
        <v>0</v>
      </c>
      <c r="Y626" s="9" t="n">
        <v>0</v>
      </c>
      <c r="AA626" s="9" t="n">
        <v>0</v>
      </c>
      <c r="AC626" s="9" t="n">
        <v>0</v>
      </c>
      <c r="AE626" s="9" t="n">
        <v>0</v>
      </c>
    </row>
    <row r="627">
      <c r="A627" s="9" t="inlineStr">
        <is>
          <t>MEAT AND BONE MEAL</t>
        </is>
      </c>
      <c r="C627" s="9" t="n">
        <v>0</v>
      </c>
      <c r="E627" s="9" t="n">
        <v>0</v>
      </c>
      <c r="G627" s="9" t="n">
        <v>0</v>
      </c>
      <c r="I627" s="9" t="n">
        <v>0</v>
      </c>
      <c r="K627" s="9" t="n">
        <v>0</v>
      </c>
      <c r="M627" s="9" t="n">
        <v>0</v>
      </c>
      <c r="O627" s="9" t="n">
        <v>0</v>
      </c>
      <c r="Q627" s="9" t="n">
        <v>0</v>
      </c>
      <c r="S627" s="9" t="n">
        <v>0</v>
      </c>
      <c r="U627" s="9" t="n">
        <v>0</v>
      </c>
      <c r="W627" s="9" t="n">
        <v>0</v>
      </c>
      <c r="Y627" s="9" t="n">
        <v>0</v>
      </c>
      <c r="AA627" s="9" t="n">
        <v>0</v>
      </c>
      <c r="AC627" s="9" t="n">
        <v>0</v>
      </c>
      <c r="AE627" s="9" t="n">
        <v>0</v>
      </c>
    </row>
    <row r="628">
      <c r="A628" s="9" t="inlineStr">
        <is>
          <t>CORN GLUTEN MEAL</t>
        </is>
      </c>
      <c r="B628" s="9" t="n">
        <v>4.5</v>
      </c>
      <c r="C628" s="9" t="n">
        <v>45</v>
      </c>
      <c r="E628" s="9" t="n">
        <v>0</v>
      </c>
      <c r="F628" s="9" t="n">
        <v>4.5</v>
      </c>
      <c r="G628" s="9" t="n">
        <v>45</v>
      </c>
      <c r="H628" s="9" t="n">
        <v>4.5</v>
      </c>
      <c r="I628" s="9" t="n">
        <v>45</v>
      </c>
      <c r="K628" s="9" t="n">
        <v>0</v>
      </c>
      <c r="M628" s="9" t="n">
        <v>0</v>
      </c>
      <c r="O628" s="9" t="n">
        <v>0</v>
      </c>
      <c r="Q628" s="9" t="n">
        <v>0</v>
      </c>
      <c r="S628" s="9" t="n">
        <v>0</v>
      </c>
      <c r="U628" s="9" t="n">
        <v>0</v>
      </c>
      <c r="W628" s="9" t="n">
        <v>0</v>
      </c>
      <c r="Y628" s="9" t="n">
        <v>0</v>
      </c>
      <c r="AA628" s="9" t="n">
        <v>0</v>
      </c>
      <c r="AC628" s="9" t="n">
        <v>0</v>
      </c>
      <c r="AE628" s="9" t="n">
        <v>0</v>
      </c>
    </row>
    <row r="629">
      <c r="A629" s="9" t="inlineStr">
        <is>
          <t>MEGAFAT (HARUMI)</t>
        </is>
      </c>
      <c r="B629" s="9" t="n">
        <v>1.95</v>
      </c>
      <c r="C629" s="9" t="n">
        <v>19.5</v>
      </c>
      <c r="D629" s="9" t="n">
        <v>2.5</v>
      </c>
      <c r="E629" s="9" t="n">
        <v>25</v>
      </c>
      <c r="F629" s="9" t="n">
        <v>1.95</v>
      </c>
      <c r="G629" s="9" t="n">
        <v>19.5</v>
      </c>
      <c r="H629" s="9" t="n">
        <v>1.95</v>
      </c>
      <c r="I629" s="9" t="n">
        <v>19.5</v>
      </c>
      <c r="K629" s="9" t="n">
        <v>0</v>
      </c>
      <c r="M629" s="9" t="n">
        <v>0</v>
      </c>
      <c r="O629" s="9" t="n">
        <v>0</v>
      </c>
      <c r="Q629" s="9" t="n">
        <v>0</v>
      </c>
      <c r="S629" s="9" t="n">
        <v>0</v>
      </c>
      <c r="U629" s="9" t="n">
        <v>0</v>
      </c>
      <c r="W629" s="9" t="n">
        <v>0</v>
      </c>
      <c r="Y629" s="9" t="n">
        <v>0</v>
      </c>
      <c r="AA629" s="9" t="n">
        <v>0</v>
      </c>
      <c r="AC629" s="9" t="n">
        <v>0</v>
      </c>
      <c r="AE629" s="9" t="n">
        <v>0</v>
      </c>
    </row>
    <row r="630">
      <c r="A630" s="9" t="inlineStr">
        <is>
          <t>DCP 18%</t>
        </is>
      </c>
      <c r="B630" s="9" t="n">
        <v>0.55</v>
      </c>
      <c r="C630" s="9" t="n">
        <v>5.500000000000001</v>
      </c>
      <c r="D630" s="9" t="n">
        <v>0.55</v>
      </c>
      <c r="E630" s="9" t="n">
        <v>5.500000000000001</v>
      </c>
      <c r="F630" s="9" t="n">
        <v>0.55</v>
      </c>
      <c r="G630" s="9" t="n">
        <v>5.500000000000001</v>
      </c>
      <c r="H630" s="9" t="n">
        <v>0.55</v>
      </c>
      <c r="I630" s="9" t="n">
        <v>5.500000000000001</v>
      </c>
      <c r="K630" s="9" t="n">
        <v>0</v>
      </c>
      <c r="M630" s="9" t="n">
        <v>0</v>
      </c>
      <c r="O630" s="9" t="n">
        <v>0</v>
      </c>
      <c r="Q630" s="9" t="n">
        <v>0</v>
      </c>
      <c r="S630" s="9" t="n">
        <v>0</v>
      </c>
      <c r="U630" s="9" t="n">
        <v>0</v>
      </c>
      <c r="W630" s="9" t="n">
        <v>0</v>
      </c>
      <c r="Y630" s="9" t="n">
        <v>0</v>
      </c>
      <c r="AA630" s="9" t="n">
        <v>0</v>
      </c>
      <c r="AC630" s="9" t="n">
        <v>0</v>
      </c>
      <c r="AE630" s="9" t="n">
        <v>0</v>
      </c>
    </row>
    <row r="631">
      <c r="A631" s="9" t="inlineStr">
        <is>
          <t>LIMESTONE POWDER (HARUMI)</t>
        </is>
      </c>
      <c r="B631" s="9" t="n">
        <v>0.9</v>
      </c>
      <c r="C631" s="9" t="n">
        <v>9.000000000000002</v>
      </c>
      <c r="D631" s="9" t="n">
        <v>0.9</v>
      </c>
      <c r="E631" s="9" t="n">
        <v>9.000000000000002</v>
      </c>
      <c r="F631" s="9" t="n">
        <v>0.9</v>
      </c>
      <c r="G631" s="9" t="n">
        <v>9.000000000000002</v>
      </c>
      <c r="H631" s="9" t="n">
        <v>0.9</v>
      </c>
      <c r="I631" s="9" t="n">
        <v>9.000000000000002</v>
      </c>
      <c r="K631" s="9" t="n">
        <v>0</v>
      </c>
      <c r="M631" s="9" t="n">
        <v>0</v>
      </c>
      <c r="O631" s="9" t="n">
        <v>0</v>
      </c>
      <c r="Q631" s="9" t="n">
        <v>0</v>
      </c>
      <c r="S631" s="9" t="n">
        <v>0</v>
      </c>
      <c r="U631" s="9" t="n">
        <v>0</v>
      </c>
      <c r="W631" s="9" t="n">
        <v>0</v>
      </c>
      <c r="Y631" s="9" t="n">
        <v>0</v>
      </c>
      <c r="AA631" s="9" t="n">
        <v>0</v>
      </c>
      <c r="AC631" s="9" t="n">
        <v>0</v>
      </c>
      <c r="AE631" s="9" t="n">
        <v>0</v>
      </c>
    </row>
    <row r="632">
      <c r="A632" s="9" t="inlineStr">
        <is>
          <t>CHOLINE CHLORIDE 60%</t>
        </is>
      </c>
      <c r="C632" s="9" t="n">
        <v>0</v>
      </c>
      <c r="E632" s="9" t="n">
        <v>0</v>
      </c>
      <c r="G632" s="9" t="n">
        <v>0</v>
      </c>
      <c r="I632" s="9" t="n">
        <v>0</v>
      </c>
      <c r="K632" s="9" t="n">
        <v>0</v>
      </c>
      <c r="M632" s="9" t="n">
        <v>0</v>
      </c>
      <c r="O632" s="9" t="n">
        <v>0</v>
      </c>
      <c r="Q632" s="9" t="n">
        <v>0</v>
      </c>
      <c r="S632" s="9" t="n">
        <v>0</v>
      </c>
      <c r="U632" s="9" t="n">
        <v>0</v>
      </c>
      <c r="W632" s="9" t="n">
        <v>0</v>
      </c>
      <c r="Y632" s="9" t="n">
        <v>0</v>
      </c>
      <c r="AA632" s="9" t="n">
        <v>0</v>
      </c>
      <c r="AC632" s="9" t="n">
        <v>0</v>
      </c>
      <c r="AE632" s="9" t="n">
        <v>0</v>
      </c>
    </row>
    <row r="633">
      <c r="A633" s="9" t="inlineStr">
        <is>
          <t>INDUSTRY FLOUR</t>
        </is>
      </c>
      <c r="B633" s="9" t="n">
        <v>5</v>
      </c>
      <c r="C633" s="9" t="n">
        <v>50</v>
      </c>
      <c r="D633" s="9" t="n">
        <v>9.699999999999999</v>
      </c>
      <c r="E633" s="9" t="n">
        <v>96.99999999999999</v>
      </c>
      <c r="F633" s="9" t="n">
        <v>5</v>
      </c>
      <c r="G633" s="9" t="n">
        <v>50</v>
      </c>
      <c r="H633" s="9" t="n">
        <v>5</v>
      </c>
      <c r="I633" s="9" t="n">
        <v>50</v>
      </c>
      <c r="K633" s="9" t="n">
        <v>0</v>
      </c>
      <c r="M633" s="9" t="n">
        <v>0</v>
      </c>
      <c r="O633" s="9" t="n">
        <v>0</v>
      </c>
      <c r="Q633" s="9" t="n">
        <v>0</v>
      </c>
      <c r="S633" s="9" t="n">
        <v>0</v>
      </c>
      <c r="U633" s="9" t="n">
        <v>0</v>
      </c>
      <c r="W633" s="9" t="n">
        <v>0</v>
      </c>
      <c r="Y633" s="9" t="n">
        <v>0</v>
      </c>
      <c r="AA633" s="9" t="n">
        <v>0</v>
      </c>
      <c r="AC633" s="9" t="n">
        <v>0</v>
      </c>
      <c r="AE633" s="9" t="n">
        <v>0</v>
      </c>
    </row>
    <row r="634">
      <c r="A634" s="9" t="inlineStr">
        <is>
          <t>RICE BRAN</t>
        </is>
      </c>
      <c r="B634" s="9" t="n">
        <v>4</v>
      </c>
      <c r="C634" s="9" t="n">
        <v>40</v>
      </c>
      <c r="D634" s="9" t="n">
        <v>4</v>
      </c>
      <c r="E634" s="9" t="n">
        <v>40</v>
      </c>
      <c r="F634" s="9" t="n">
        <v>4</v>
      </c>
      <c r="G634" s="9" t="n">
        <v>40</v>
      </c>
      <c r="H634" s="9" t="n">
        <v>4</v>
      </c>
      <c r="I634" s="9" t="n">
        <v>40</v>
      </c>
      <c r="K634" s="9" t="n">
        <v>0</v>
      </c>
      <c r="M634" s="9" t="n">
        <v>0</v>
      </c>
      <c r="O634" s="9" t="n">
        <v>0</v>
      </c>
      <c r="Q634" s="9" t="n">
        <v>0</v>
      </c>
      <c r="S634" s="9" t="n">
        <v>0</v>
      </c>
      <c r="U634" s="9" t="n">
        <v>0</v>
      </c>
      <c r="W634" s="9" t="n">
        <v>0</v>
      </c>
      <c r="Y634" s="9" t="n">
        <v>0</v>
      </c>
      <c r="AA634" s="9" t="n">
        <v>0</v>
      </c>
      <c r="AC634" s="9" t="n">
        <v>0</v>
      </c>
      <c r="AE634" s="9" t="n">
        <v>0</v>
      </c>
    </row>
    <row r="635">
      <c r="A635" s="9" t="inlineStr">
        <is>
          <t>EP 200</t>
        </is>
      </c>
      <c r="C635" s="9" t="n">
        <v>0</v>
      </c>
      <c r="E635" s="9" t="n">
        <v>0</v>
      </c>
      <c r="G635" s="9" t="n">
        <v>0</v>
      </c>
      <c r="I635" s="9" t="n">
        <v>0</v>
      </c>
      <c r="K635" s="9" t="n">
        <v>0</v>
      </c>
      <c r="M635" s="9" t="n">
        <v>0</v>
      </c>
      <c r="O635" s="9" t="n">
        <v>0</v>
      </c>
      <c r="Q635" s="9" t="n">
        <v>0</v>
      </c>
      <c r="S635" s="9" t="n">
        <v>0</v>
      </c>
      <c r="U635" s="9" t="n">
        <v>0</v>
      </c>
      <c r="W635" s="9" t="n">
        <v>0</v>
      </c>
      <c r="Y635" s="9" t="n">
        <v>0</v>
      </c>
      <c r="AA635" s="9" t="n">
        <v>0</v>
      </c>
      <c r="AC635" s="9" t="n">
        <v>0</v>
      </c>
      <c r="AE635" s="9" t="n">
        <v>0</v>
      </c>
    </row>
    <row r="636">
      <c r="A636" s="9" t="inlineStr">
        <is>
          <t>SOYTIDE</t>
        </is>
      </c>
      <c r="C636" s="9" t="n">
        <v>0</v>
      </c>
      <c r="E636" s="9" t="n">
        <v>0</v>
      </c>
      <c r="G636" s="9" t="n">
        <v>0</v>
      </c>
      <c r="I636" s="9" t="n">
        <v>0</v>
      </c>
      <c r="K636" s="9" t="n">
        <v>0</v>
      </c>
      <c r="M636" s="9" t="n">
        <v>0</v>
      </c>
      <c r="O636" s="9" t="n">
        <v>0</v>
      </c>
      <c r="Q636" s="9" t="n">
        <v>0</v>
      </c>
      <c r="S636" s="9" t="n">
        <v>0</v>
      </c>
      <c r="U636" s="9" t="n">
        <v>0</v>
      </c>
      <c r="W636" s="9" t="n">
        <v>0</v>
      </c>
      <c r="Y636" s="9" t="n">
        <v>0</v>
      </c>
      <c r="AA636" s="9" t="n">
        <v>0</v>
      </c>
      <c r="AC636" s="9" t="n">
        <v>0</v>
      </c>
      <c r="AE636" s="9" t="n">
        <v>0</v>
      </c>
    </row>
    <row r="637">
      <c r="A637" s="9" t="inlineStr">
        <is>
          <t>DCP 18% (HARUMI)</t>
        </is>
      </c>
      <c r="C637" s="9" t="n">
        <v>0</v>
      </c>
      <c r="E637" s="9" t="n">
        <v>0</v>
      </c>
      <c r="G637" s="9" t="n">
        <v>0</v>
      </c>
      <c r="I637" s="9" t="n">
        <v>0</v>
      </c>
      <c r="K637" s="9" t="n">
        <v>0</v>
      </c>
      <c r="M637" s="9" t="n">
        <v>0</v>
      </c>
      <c r="O637" s="9" t="n">
        <v>0</v>
      </c>
      <c r="Q637" s="9" t="n">
        <v>0</v>
      </c>
      <c r="S637" s="9" t="n">
        <v>0</v>
      </c>
      <c r="U637" s="9" t="n">
        <v>0</v>
      </c>
      <c r="W637" s="9" t="n">
        <v>0</v>
      </c>
      <c r="Y637" s="9" t="n">
        <v>0</v>
      </c>
      <c r="AA637" s="9" t="n">
        <v>0</v>
      </c>
      <c r="AC637" s="9" t="n">
        <v>0</v>
      </c>
      <c r="AE637" s="9" t="n">
        <v>0</v>
      </c>
    </row>
    <row r="638">
      <c r="A638" s="9" t="n">
        <v>1</v>
      </c>
      <c r="C638" s="9" t="n">
        <v>0</v>
      </c>
      <c r="E638" s="9" t="n">
        <v>0</v>
      </c>
      <c r="G638" s="9" t="n">
        <v>0</v>
      </c>
      <c r="I638" s="9" t="n">
        <v>0</v>
      </c>
      <c r="K638" s="9" t="n">
        <v>0</v>
      </c>
      <c r="M638" s="9" t="n">
        <v>0</v>
      </c>
      <c r="O638" s="9" t="n">
        <v>0</v>
      </c>
      <c r="Q638" s="9" t="n">
        <v>0</v>
      </c>
      <c r="S638" s="9" t="n">
        <v>0</v>
      </c>
      <c r="U638" s="9" t="n">
        <v>0</v>
      </c>
      <c r="W638" s="9" t="n">
        <v>0</v>
      </c>
      <c r="Y638" s="9" t="n">
        <v>0</v>
      </c>
      <c r="AA638" s="9" t="n">
        <v>0</v>
      </c>
      <c r="AC638" s="9" t="n">
        <v>0</v>
      </c>
      <c r="AE638" s="9" t="n">
        <v>0</v>
      </c>
    </row>
    <row r="639">
      <c r="A639" s="9" t="n">
        <v>2</v>
      </c>
      <c r="C639" s="9" t="n">
        <v>0</v>
      </c>
      <c r="E639" s="9" t="n">
        <v>0</v>
      </c>
      <c r="G639" s="9" t="n">
        <v>0</v>
      </c>
      <c r="I639" s="9" t="n">
        <v>0</v>
      </c>
      <c r="K639" s="9" t="n">
        <v>0</v>
      </c>
      <c r="M639" s="9" t="n">
        <v>0</v>
      </c>
      <c r="O639" s="9" t="n">
        <v>0</v>
      </c>
      <c r="Q639" s="9" t="n">
        <v>0</v>
      </c>
      <c r="S639" s="9" t="n">
        <v>0</v>
      </c>
      <c r="U639" s="9" t="n">
        <v>0</v>
      </c>
      <c r="W639" s="9" t="n">
        <v>0</v>
      </c>
      <c r="Y639" s="9" t="n">
        <v>0</v>
      </c>
      <c r="AA639" s="9" t="n">
        <v>0</v>
      </c>
      <c r="AC639" s="9" t="n">
        <v>0</v>
      </c>
      <c r="AE639" s="9" t="n">
        <v>0</v>
      </c>
    </row>
    <row r="640">
      <c r="A640" s="9" t="n">
        <v>3</v>
      </c>
      <c r="C640" s="9" t="n">
        <v>0</v>
      </c>
      <c r="E640" s="9" t="n">
        <v>0</v>
      </c>
      <c r="G640" s="9" t="n">
        <v>0</v>
      </c>
      <c r="I640" s="9" t="n">
        <v>0</v>
      </c>
      <c r="K640" s="9" t="n">
        <v>0</v>
      </c>
      <c r="M640" s="9" t="n">
        <v>0</v>
      </c>
      <c r="O640" s="9" t="n">
        <v>0</v>
      </c>
      <c r="Q640" s="9" t="n">
        <v>0</v>
      </c>
      <c r="S640" s="9" t="n">
        <v>0</v>
      </c>
      <c r="U640" s="9" t="n">
        <v>0</v>
      </c>
      <c r="W640" s="9" t="n">
        <v>0</v>
      </c>
      <c r="Y640" s="9" t="n">
        <v>0</v>
      </c>
      <c r="AA640" s="9" t="n">
        <v>0</v>
      </c>
      <c r="AC640" s="9" t="n">
        <v>0</v>
      </c>
      <c r="AE640" s="9" t="n">
        <v>0</v>
      </c>
    </row>
    <row r="641">
      <c r="A641" s="9" t="inlineStr">
        <is>
          <t>PREMIX 1101 (20KG)</t>
        </is>
      </c>
      <c r="C641" s="9" t="n">
        <v>0</v>
      </c>
      <c r="E641" s="9" t="n">
        <v>0</v>
      </c>
      <c r="G641" s="9" t="n">
        <v>0</v>
      </c>
      <c r="I641" s="9" t="n">
        <v>0</v>
      </c>
      <c r="K641" s="9" t="n">
        <v>0</v>
      </c>
      <c r="M641" s="9" t="n">
        <v>0</v>
      </c>
      <c r="O641" s="9" t="n">
        <v>0</v>
      </c>
      <c r="Q641" s="9" t="n">
        <v>0</v>
      </c>
      <c r="S641" s="9" t="n">
        <v>0</v>
      </c>
      <c r="U641" s="9" t="n">
        <v>0</v>
      </c>
      <c r="W641" s="9" t="n">
        <v>0</v>
      </c>
      <c r="Y641" s="9" t="n">
        <v>0</v>
      </c>
      <c r="AA641" s="9" t="n">
        <v>0</v>
      </c>
      <c r="AC641" s="9" t="n">
        <v>0</v>
      </c>
      <c r="AE641" s="9" t="n">
        <v>0</v>
      </c>
    </row>
    <row r="642">
      <c r="A642" s="9" t="inlineStr">
        <is>
          <t>PREMIX 1102 (20KG)</t>
        </is>
      </c>
      <c r="C642" s="9" t="n">
        <v>0</v>
      </c>
      <c r="E642" s="9" t="n">
        <v>0</v>
      </c>
      <c r="G642" s="9" t="n">
        <v>0</v>
      </c>
      <c r="I642" s="9" t="n">
        <v>0</v>
      </c>
      <c r="K642" s="9" t="n">
        <v>0</v>
      </c>
      <c r="M642" s="9" t="n">
        <v>0</v>
      </c>
      <c r="O642" s="9" t="n">
        <v>0</v>
      </c>
      <c r="Q642" s="9" t="n">
        <v>0</v>
      </c>
      <c r="S642" s="9" t="n">
        <v>0</v>
      </c>
      <c r="U642" s="9" t="n">
        <v>0</v>
      </c>
      <c r="W642" s="9" t="n">
        <v>0</v>
      </c>
      <c r="Y642" s="9" t="n">
        <v>0</v>
      </c>
      <c r="AA642" s="9" t="n">
        <v>0</v>
      </c>
      <c r="AC642" s="9" t="n">
        <v>0</v>
      </c>
      <c r="AE642" s="9" t="n">
        <v>0</v>
      </c>
    </row>
    <row r="643">
      <c r="A643" s="9" t="inlineStr">
        <is>
          <t>PREMIX 1103 (20KG)</t>
        </is>
      </c>
      <c r="C643" s="9" t="n">
        <v>0</v>
      </c>
      <c r="E643" s="9" t="n">
        <v>0</v>
      </c>
      <c r="G643" s="9" t="n">
        <v>0</v>
      </c>
      <c r="I643" s="9" t="n">
        <v>0</v>
      </c>
      <c r="K643" s="9" t="n">
        <v>0</v>
      </c>
      <c r="M643" s="9" t="n">
        <v>0</v>
      </c>
      <c r="O643" s="9" t="n">
        <v>0</v>
      </c>
      <c r="Q643" s="9" t="n">
        <v>0</v>
      </c>
      <c r="S643" s="9" t="n">
        <v>0</v>
      </c>
      <c r="U643" s="9" t="n">
        <v>0</v>
      </c>
      <c r="W643" s="9" t="n">
        <v>0</v>
      </c>
      <c r="Y643" s="9" t="n">
        <v>0</v>
      </c>
      <c r="AA643" s="9" t="n">
        <v>0</v>
      </c>
      <c r="AC643" s="9" t="n">
        <v>0</v>
      </c>
      <c r="AE643" s="9" t="n">
        <v>0</v>
      </c>
    </row>
    <row r="644">
      <c r="A644" s="9" t="inlineStr">
        <is>
          <t>PREMIX 311 (20KG)</t>
        </is>
      </c>
      <c r="C644" s="9" t="n">
        <v>0</v>
      </c>
      <c r="E644" s="9" t="n">
        <v>0</v>
      </c>
      <c r="G644" s="9" t="n">
        <v>0</v>
      </c>
      <c r="I644" s="9" t="n">
        <v>0</v>
      </c>
      <c r="K644" s="9" t="n">
        <v>0</v>
      </c>
      <c r="M644" s="9" t="n">
        <v>0</v>
      </c>
      <c r="O644" s="9" t="n">
        <v>0</v>
      </c>
      <c r="Q644" s="9" t="n">
        <v>0</v>
      </c>
      <c r="S644" s="9" t="n">
        <v>0</v>
      </c>
      <c r="U644" s="9" t="n">
        <v>0</v>
      </c>
      <c r="W644" s="9" t="n">
        <v>0</v>
      </c>
      <c r="Y644" s="9" t="n">
        <v>0</v>
      </c>
      <c r="AA644" s="9" t="n">
        <v>0</v>
      </c>
      <c r="AC644" s="9" t="n">
        <v>0</v>
      </c>
      <c r="AE644" s="9" t="n">
        <v>0</v>
      </c>
    </row>
    <row r="645">
      <c r="A645" s="9" t="inlineStr">
        <is>
          <t>PREMIX 312 (20KG)</t>
        </is>
      </c>
      <c r="C645" s="9" t="n">
        <v>0</v>
      </c>
      <c r="E645" s="9" t="n">
        <v>0</v>
      </c>
      <c r="G645" s="9" t="n">
        <v>0</v>
      </c>
      <c r="I645" s="9" t="n">
        <v>0</v>
      </c>
      <c r="K645" s="9" t="n">
        <v>0</v>
      </c>
      <c r="M645" s="9" t="n">
        <v>0</v>
      </c>
      <c r="O645" s="9" t="n">
        <v>0</v>
      </c>
      <c r="Q645" s="9" t="n">
        <v>0</v>
      </c>
      <c r="S645" s="9" t="n">
        <v>0</v>
      </c>
      <c r="U645" s="9" t="n">
        <v>0</v>
      </c>
      <c r="W645" s="9" t="n">
        <v>0</v>
      </c>
      <c r="Y645" s="9" t="n">
        <v>0</v>
      </c>
      <c r="AA645" s="9" t="n">
        <v>0</v>
      </c>
      <c r="AC645" s="9" t="n">
        <v>0</v>
      </c>
      <c r="AE645" s="9" t="n">
        <v>0</v>
      </c>
    </row>
    <row r="646">
      <c r="A646" s="9" t="n">
        <v>1</v>
      </c>
      <c r="C646" s="9" t="n">
        <v>0</v>
      </c>
      <c r="E646" s="9" t="n">
        <v>0</v>
      </c>
      <c r="G646" s="9" t="n">
        <v>0</v>
      </c>
      <c r="I646" s="9" t="n">
        <v>0</v>
      </c>
      <c r="K646" s="9" t="n">
        <v>0</v>
      </c>
      <c r="M646" s="9" t="n">
        <v>0</v>
      </c>
      <c r="O646" s="9" t="n">
        <v>0</v>
      </c>
      <c r="Q646" s="9" t="n">
        <v>0</v>
      </c>
      <c r="S646" s="9" t="n">
        <v>0</v>
      </c>
      <c r="U646" s="9" t="n">
        <v>0</v>
      </c>
      <c r="W646" s="9" t="n">
        <v>0</v>
      </c>
      <c r="Y646" s="9" t="n">
        <v>0</v>
      </c>
      <c r="AA646" s="9" t="n">
        <v>0</v>
      </c>
      <c r="AC646" s="9" t="n">
        <v>0</v>
      </c>
      <c r="AE646" s="9" t="n">
        <v>0</v>
      </c>
    </row>
    <row r="647">
      <c r="A647" s="9" t="inlineStr">
        <is>
          <t>PREMIX 8100 (20KG)</t>
        </is>
      </c>
      <c r="C647" s="9" t="n">
        <v>0</v>
      </c>
      <c r="E647" s="9" t="n">
        <v>0</v>
      </c>
      <c r="G647" s="9" t="n">
        <v>0</v>
      </c>
      <c r="I647" s="9" t="n">
        <v>0</v>
      </c>
      <c r="K647" s="9" t="n">
        <v>0</v>
      </c>
      <c r="M647" s="9" t="n">
        <v>0</v>
      </c>
      <c r="O647" s="9" t="n">
        <v>0</v>
      </c>
      <c r="Q647" s="9" t="n">
        <v>0</v>
      </c>
      <c r="S647" s="9" t="n">
        <v>0</v>
      </c>
      <c r="U647" s="9" t="n">
        <v>0</v>
      </c>
      <c r="W647" s="9" t="n">
        <v>0</v>
      </c>
      <c r="Y647" s="9" t="n">
        <v>0</v>
      </c>
      <c r="AA647" s="9" t="n">
        <v>0</v>
      </c>
      <c r="AC647" s="9" t="n">
        <v>0</v>
      </c>
      <c r="AE647" s="9" t="n">
        <v>0</v>
      </c>
    </row>
    <row r="648">
      <c r="A648" s="9" t="inlineStr">
        <is>
          <t>PREMIX 8101 (20KG)</t>
        </is>
      </c>
      <c r="C648" s="9" t="n">
        <v>0</v>
      </c>
      <c r="E648" s="9" t="n">
        <v>0</v>
      </c>
      <c r="G648" s="9" t="n">
        <v>0</v>
      </c>
      <c r="I648" s="9" t="n">
        <v>0</v>
      </c>
      <c r="K648" s="9" t="n">
        <v>0</v>
      </c>
      <c r="M648" s="9" t="n">
        <v>0</v>
      </c>
      <c r="O648" s="9" t="n">
        <v>0</v>
      </c>
      <c r="Q648" s="9" t="n">
        <v>0</v>
      </c>
      <c r="S648" s="9" t="n">
        <v>0</v>
      </c>
      <c r="U648" s="9" t="n">
        <v>0</v>
      </c>
      <c r="W648" s="9" t="n">
        <v>0</v>
      </c>
      <c r="Y648" s="9" t="n">
        <v>0</v>
      </c>
      <c r="AA648" s="9" t="n">
        <v>0</v>
      </c>
      <c r="AC648" s="9" t="n">
        <v>0</v>
      </c>
      <c r="AE648" s="9" t="n">
        <v>0</v>
      </c>
    </row>
    <row r="649">
      <c r="A649" s="9" t="inlineStr">
        <is>
          <t>PREMIX 8102 (20KG)</t>
        </is>
      </c>
      <c r="C649" s="9" t="n">
        <v>0</v>
      </c>
      <c r="E649" s="9" t="n">
        <v>0</v>
      </c>
      <c r="G649" s="9" t="n">
        <v>0</v>
      </c>
      <c r="I649" s="9" t="n">
        <v>0</v>
      </c>
      <c r="K649" s="9" t="n">
        <v>0</v>
      </c>
      <c r="M649" s="9" t="n">
        <v>0</v>
      </c>
      <c r="O649" s="9" t="n">
        <v>0</v>
      </c>
      <c r="Q649" s="9" t="n">
        <v>0</v>
      </c>
      <c r="S649" s="9" t="n">
        <v>0</v>
      </c>
      <c r="U649" s="9" t="n">
        <v>0</v>
      </c>
      <c r="W649" s="9" t="n">
        <v>0</v>
      </c>
      <c r="Y649" s="9" t="n">
        <v>0</v>
      </c>
      <c r="AA649" s="9" t="n">
        <v>0</v>
      </c>
      <c r="AC649" s="9" t="n">
        <v>0</v>
      </c>
      <c r="AE649" s="9" t="n">
        <v>0</v>
      </c>
    </row>
    <row r="650">
      <c r="A650" s="9" t="inlineStr">
        <is>
          <t>PREMIX 8103 (20KG)</t>
        </is>
      </c>
      <c r="C650" s="9" t="n">
        <v>0</v>
      </c>
      <c r="E650" s="9" t="n">
        <v>0</v>
      </c>
      <c r="G650" s="9" t="n">
        <v>0</v>
      </c>
      <c r="I650" s="9" t="n">
        <v>0</v>
      </c>
      <c r="K650" s="9" t="n">
        <v>0</v>
      </c>
      <c r="M650" s="9" t="n">
        <v>0</v>
      </c>
      <c r="O650" s="9" t="n">
        <v>0</v>
      </c>
      <c r="Q650" s="9" t="n">
        <v>0</v>
      </c>
      <c r="S650" s="9" t="n">
        <v>0</v>
      </c>
      <c r="U650" s="9" t="n">
        <v>0</v>
      </c>
      <c r="W650" s="9" t="n">
        <v>0</v>
      </c>
      <c r="Y650" s="9" t="n">
        <v>0</v>
      </c>
      <c r="AA650" s="9" t="n">
        <v>0</v>
      </c>
      <c r="AC650" s="9" t="n">
        <v>0</v>
      </c>
      <c r="AE650" s="9" t="n">
        <v>0</v>
      </c>
    </row>
    <row r="651">
      <c r="A651" s="9" t="inlineStr">
        <is>
          <t>PREMIX 8108 (20KG)</t>
        </is>
      </c>
      <c r="C651" s="9" t="n">
        <v>0</v>
      </c>
      <c r="E651" s="9" t="n">
        <v>0</v>
      </c>
      <c r="G651" s="9" t="n">
        <v>0</v>
      </c>
      <c r="I651" s="9" t="n">
        <v>0</v>
      </c>
      <c r="K651" s="9" t="n">
        <v>0</v>
      </c>
      <c r="M651" s="9" t="n">
        <v>0</v>
      </c>
      <c r="O651" s="9" t="n">
        <v>0</v>
      </c>
      <c r="Q651" s="9" t="n">
        <v>0</v>
      </c>
      <c r="S651" s="9" t="n">
        <v>0</v>
      </c>
      <c r="U651" s="9" t="n">
        <v>0</v>
      </c>
      <c r="W651" s="9" t="n">
        <v>0</v>
      </c>
      <c r="Y651" s="9" t="n">
        <v>0</v>
      </c>
      <c r="AA651" s="9" t="n">
        <v>0</v>
      </c>
      <c r="AC651" s="9" t="n">
        <v>0</v>
      </c>
      <c r="AE651" s="9" t="n">
        <v>0</v>
      </c>
    </row>
    <row r="652">
      <c r="A652" s="9" t="inlineStr">
        <is>
          <t>PREMIX 8109 (20KG)</t>
        </is>
      </c>
      <c r="C652" s="9" t="n">
        <v>0</v>
      </c>
      <c r="E652" s="9" t="n">
        <v>0</v>
      </c>
      <c r="G652" s="9" t="n">
        <v>0</v>
      </c>
      <c r="I652" s="9" t="n">
        <v>0</v>
      </c>
      <c r="K652" s="9" t="n">
        <v>0</v>
      </c>
      <c r="M652" s="9" t="n">
        <v>0</v>
      </c>
      <c r="O652" s="9" t="n">
        <v>0</v>
      </c>
      <c r="Q652" s="9" t="n">
        <v>0</v>
      </c>
      <c r="S652" s="9" t="n">
        <v>0</v>
      </c>
      <c r="U652" s="9" t="n">
        <v>0</v>
      </c>
      <c r="W652" s="9" t="n">
        <v>0</v>
      </c>
      <c r="Y652" s="9" t="n">
        <v>0</v>
      </c>
      <c r="AA652" s="9" t="n">
        <v>0</v>
      </c>
      <c r="AC652" s="9" t="n">
        <v>0</v>
      </c>
      <c r="AE652" s="9" t="n">
        <v>0</v>
      </c>
    </row>
    <row r="653">
      <c r="A653" s="9" t="inlineStr">
        <is>
          <t>YENMIX 121 (20KG)</t>
        </is>
      </c>
      <c r="C653" s="9" t="n">
        <v>0</v>
      </c>
      <c r="E653" s="9" t="n">
        <v>0</v>
      </c>
      <c r="G653" s="9" t="n">
        <v>0</v>
      </c>
      <c r="I653" s="9" t="n">
        <v>0</v>
      </c>
      <c r="K653" s="9" t="n">
        <v>0</v>
      </c>
      <c r="M653" s="9" t="n">
        <v>0</v>
      </c>
      <c r="O653" s="9" t="n">
        <v>0</v>
      </c>
      <c r="Q653" s="9" t="n">
        <v>0</v>
      </c>
      <c r="S653" s="9" t="n">
        <v>0</v>
      </c>
      <c r="U653" s="9" t="n">
        <v>0</v>
      </c>
      <c r="W653" s="9" t="n">
        <v>0</v>
      </c>
      <c r="Y653" s="9" t="n">
        <v>0</v>
      </c>
      <c r="AA653" s="9" t="n">
        <v>0</v>
      </c>
      <c r="AC653" s="9" t="n">
        <v>0</v>
      </c>
      <c r="AE653" s="9" t="n">
        <v>0</v>
      </c>
    </row>
    <row r="654">
      <c r="A654" s="9" t="inlineStr">
        <is>
          <t>YENMIX 122 (19.50KG)</t>
        </is>
      </c>
      <c r="C654" s="9" t="n">
        <v>0</v>
      </c>
      <c r="E654" s="9" t="n">
        <v>0</v>
      </c>
      <c r="G654" s="9" t="n">
        <v>0</v>
      </c>
      <c r="I654" s="9" t="n">
        <v>0</v>
      </c>
      <c r="K654" s="9" t="n">
        <v>0</v>
      </c>
      <c r="M654" s="9" t="n">
        <v>0</v>
      </c>
      <c r="O654" s="9" t="n">
        <v>0</v>
      </c>
      <c r="Q654" s="9" t="n">
        <v>0</v>
      </c>
      <c r="S654" s="9" t="n">
        <v>0</v>
      </c>
      <c r="U654" s="9" t="n">
        <v>0</v>
      </c>
      <c r="W654" s="9" t="n">
        <v>0</v>
      </c>
      <c r="Y654" s="9" t="n">
        <v>0</v>
      </c>
      <c r="AA654" s="9" t="n">
        <v>0</v>
      </c>
      <c r="AC654" s="9" t="n">
        <v>0</v>
      </c>
      <c r="AE654" s="9" t="n">
        <v>0</v>
      </c>
    </row>
    <row r="655">
      <c r="A655" s="9" t="inlineStr">
        <is>
          <t>YENMIX 123 (18.90KG)</t>
        </is>
      </c>
      <c r="B655" s="9" t="n">
        <v>1.89</v>
      </c>
      <c r="C655" s="9" t="n">
        <v>18.9</v>
      </c>
      <c r="D655" s="9" t="n">
        <v>1.89</v>
      </c>
      <c r="E655" s="9" t="n">
        <v>18.9</v>
      </c>
      <c r="F655" s="9" t="n">
        <v>1.89</v>
      </c>
      <c r="G655" s="9" t="n">
        <v>18.9</v>
      </c>
      <c r="I655" s="9" t="n">
        <v>0</v>
      </c>
      <c r="K655" s="9" t="n">
        <v>0</v>
      </c>
      <c r="M655" s="9" t="n">
        <v>0</v>
      </c>
      <c r="O655" s="9" t="n">
        <v>0</v>
      </c>
      <c r="Q655" s="9" t="n">
        <v>0</v>
      </c>
      <c r="S655" s="9" t="n">
        <v>0</v>
      </c>
      <c r="U655" s="9" t="n">
        <v>0</v>
      </c>
      <c r="W655" s="9" t="n">
        <v>0</v>
      </c>
      <c r="Y655" s="9" t="n">
        <v>0</v>
      </c>
      <c r="AA655" s="9" t="n">
        <v>0</v>
      </c>
      <c r="AC655" s="9" t="n">
        <v>0</v>
      </c>
      <c r="AE655" s="9" t="n">
        <v>0</v>
      </c>
    </row>
    <row r="656">
      <c r="A656" s="9" t="inlineStr">
        <is>
          <t>YENMIX 122 (20.50KG)</t>
        </is>
      </c>
      <c r="C656" s="9" t="n">
        <v>0</v>
      </c>
      <c r="E656" s="9" t="n">
        <v>0</v>
      </c>
      <c r="G656" s="9" t="n">
        <v>0</v>
      </c>
      <c r="I656" s="9" t="n">
        <v>0</v>
      </c>
      <c r="K656" s="9" t="n">
        <v>0</v>
      </c>
      <c r="M656" s="9" t="n">
        <v>0</v>
      </c>
      <c r="O656" s="9" t="n">
        <v>0</v>
      </c>
      <c r="Q656" s="9" t="n">
        <v>0</v>
      </c>
      <c r="S656" s="9" t="n">
        <v>0</v>
      </c>
      <c r="U656" s="9" t="n">
        <v>0</v>
      </c>
      <c r="W656" s="9" t="n">
        <v>0</v>
      </c>
      <c r="Y656" s="9" t="n">
        <v>0</v>
      </c>
      <c r="AA656" s="9" t="n">
        <v>0</v>
      </c>
      <c r="AC656" s="9" t="n">
        <v>0</v>
      </c>
      <c r="AE656" s="9" t="n">
        <v>0</v>
      </c>
    </row>
    <row r="657">
      <c r="A657" s="9" t="inlineStr">
        <is>
          <t>YENMIX 123 (20.00KG)</t>
        </is>
      </c>
      <c r="C657" s="9" t="n">
        <v>0</v>
      </c>
      <c r="E657" s="9" t="n">
        <v>0</v>
      </c>
      <c r="G657" s="9" t="n">
        <v>0</v>
      </c>
      <c r="H657" s="9" t="n">
        <v>2</v>
      </c>
      <c r="I657" s="9" t="n">
        <v>20</v>
      </c>
      <c r="K657" s="9" t="n">
        <v>0</v>
      </c>
      <c r="M657" s="9" t="n">
        <v>0</v>
      </c>
      <c r="O657" s="9" t="n">
        <v>0</v>
      </c>
      <c r="Q657" s="9" t="n">
        <v>0</v>
      </c>
      <c r="S657" s="9" t="n">
        <v>0</v>
      </c>
      <c r="U657" s="9" t="n">
        <v>0</v>
      </c>
      <c r="W657" s="9" t="n">
        <v>0</v>
      </c>
      <c r="Y657" s="9" t="n">
        <v>0</v>
      </c>
      <c r="AA657" s="9" t="n">
        <v>0</v>
      </c>
      <c r="AC657" s="9" t="n">
        <v>0</v>
      </c>
      <c r="AE657" s="9" t="n">
        <v>0</v>
      </c>
    </row>
    <row r="658">
      <c r="A658" s="9" t="n">
        <v>1</v>
      </c>
      <c r="C658" s="9" t="n">
        <v>0</v>
      </c>
      <c r="E658" s="9" t="n">
        <v>0</v>
      </c>
      <c r="G658" s="9" t="n">
        <v>0</v>
      </c>
      <c r="I658" s="9" t="n">
        <v>0</v>
      </c>
      <c r="K658" s="9" t="n">
        <v>0</v>
      </c>
      <c r="M658" s="9" t="n">
        <v>0</v>
      </c>
      <c r="O658" s="9" t="n">
        <v>0</v>
      </c>
      <c r="Q658" s="9" t="n">
        <v>0</v>
      </c>
      <c r="S658" s="9" t="n">
        <v>0</v>
      </c>
      <c r="U658" s="9" t="n">
        <v>0</v>
      </c>
      <c r="W658" s="9" t="n">
        <v>0</v>
      </c>
      <c r="Y658" s="9" t="n">
        <v>0</v>
      </c>
      <c r="AA658" s="9" t="n">
        <v>0</v>
      </c>
      <c r="AC658" s="9" t="n">
        <v>0</v>
      </c>
      <c r="AE658" s="9" t="n">
        <v>0</v>
      </c>
    </row>
    <row r="659">
      <c r="A659" s="9" t="n">
        <v>2</v>
      </c>
      <c r="C659" s="9" t="n">
        <v>0</v>
      </c>
      <c r="E659" s="9" t="n">
        <v>0</v>
      </c>
      <c r="G659" s="9" t="n">
        <v>0</v>
      </c>
      <c r="I659" s="9" t="n">
        <v>0</v>
      </c>
      <c r="K659" s="9" t="n">
        <v>0</v>
      </c>
      <c r="M659" s="9" t="n">
        <v>0</v>
      </c>
      <c r="O659" s="9" t="n">
        <v>0</v>
      </c>
      <c r="Q659" s="9" t="n">
        <v>0</v>
      </c>
      <c r="S659" s="9" t="n">
        <v>0</v>
      </c>
      <c r="U659" s="9" t="n">
        <v>0</v>
      </c>
      <c r="W659" s="9" t="n">
        <v>0</v>
      </c>
      <c r="Y659" s="9" t="n">
        <v>0</v>
      </c>
      <c r="AA659" s="9" t="n">
        <v>0</v>
      </c>
      <c r="AC659" s="9" t="n">
        <v>0</v>
      </c>
      <c r="AE659" s="9" t="n">
        <v>0</v>
      </c>
    </row>
    <row r="660">
      <c r="A660" s="9" t="n">
        <v>3</v>
      </c>
      <c r="C660" s="9" t="n">
        <v>0</v>
      </c>
      <c r="E660" s="9" t="n">
        <v>0</v>
      </c>
      <c r="G660" s="9" t="n">
        <v>0</v>
      </c>
      <c r="I660" s="9" t="n">
        <v>0</v>
      </c>
      <c r="K660" s="9" t="n">
        <v>0</v>
      </c>
      <c r="M660" s="9" t="n">
        <v>0</v>
      </c>
      <c r="O660" s="9" t="n">
        <v>0</v>
      </c>
      <c r="Q660" s="9" t="n">
        <v>0</v>
      </c>
      <c r="S660" s="9" t="n">
        <v>0</v>
      </c>
      <c r="U660" s="9" t="n">
        <v>0</v>
      </c>
      <c r="W660" s="9" t="n">
        <v>0</v>
      </c>
      <c r="Y660" s="9" t="n">
        <v>0</v>
      </c>
      <c r="AA660" s="9" t="n">
        <v>0</v>
      </c>
      <c r="AC660" s="9" t="n">
        <v>0</v>
      </c>
      <c r="AE660" s="9" t="n">
        <v>0</v>
      </c>
    </row>
    <row r="661">
      <c r="A661" s="9" t="inlineStr">
        <is>
          <t>TOXISORB PREMIUM</t>
        </is>
      </c>
      <c r="B661" s="9" t="n">
        <v>0.2</v>
      </c>
      <c r="C661" s="9" t="n">
        <v>2</v>
      </c>
      <c r="E661" s="9" t="n">
        <v>0</v>
      </c>
      <c r="G661" s="9" t="n">
        <v>0</v>
      </c>
      <c r="I661" s="9" t="n">
        <v>0</v>
      </c>
      <c r="K661" s="9" t="n">
        <v>0</v>
      </c>
      <c r="M661" s="9" t="n">
        <v>0</v>
      </c>
      <c r="O661" s="9" t="n">
        <v>0</v>
      </c>
      <c r="Q661" s="9" t="n">
        <v>0</v>
      </c>
      <c r="S661" s="9" t="n">
        <v>0</v>
      </c>
      <c r="U661" s="9" t="n">
        <v>0</v>
      </c>
      <c r="W661" s="9" t="n">
        <v>0</v>
      </c>
      <c r="Y661" s="9" t="n">
        <v>0</v>
      </c>
      <c r="AA661" s="9" t="n">
        <v>0</v>
      </c>
      <c r="AC661" s="9" t="n">
        <v>0</v>
      </c>
      <c r="AE661" s="9" t="n">
        <v>0</v>
      </c>
    </row>
    <row r="662">
      <c r="A662" s="9" t="inlineStr">
        <is>
          <t>SODIUM HUMATE 3.8% (HARUMI)</t>
        </is>
      </c>
      <c r="B662" s="9" t="n">
        <v>0.3</v>
      </c>
      <c r="C662" s="9" t="n">
        <v>3</v>
      </c>
      <c r="D662" s="9" t="n">
        <v>0.3</v>
      </c>
      <c r="E662" s="9" t="n">
        <v>3</v>
      </c>
      <c r="F662" s="9" t="n">
        <v>0.3</v>
      </c>
      <c r="G662" s="9" t="n">
        <v>3</v>
      </c>
      <c r="H662" s="9" t="n">
        <v>0.3</v>
      </c>
      <c r="I662" s="9" t="n">
        <v>3</v>
      </c>
      <c r="K662" s="9" t="n">
        <v>0</v>
      </c>
      <c r="M662" s="9" t="n">
        <v>0</v>
      </c>
      <c r="O662" s="9" t="n">
        <v>0</v>
      </c>
      <c r="Q662" s="9" t="n">
        <v>0</v>
      </c>
      <c r="S662" s="9" t="n">
        <v>0</v>
      </c>
      <c r="U662" s="9" t="n">
        <v>0</v>
      </c>
      <c r="W662" s="9" t="n">
        <v>0</v>
      </c>
      <c r="Y662" s="9" t="n">
        <v>0</v>
      </c>
      <c r="AA662" s="9" t="n">
        <v>0</v>
      </c>
      <c r="AC662" s="9" t="n">
        <v>0</v>
      </c>
      <c r="AE662" s="9" t="n">
        <v>0</v>
      </c>
    </row>
    <row r="663">
      <c r="A663" s="9" t="inlineStr">
        <is>
          <t>TOXIWALL</t>
        </is>
      </c>
      <c r="C663" s="9" t="n">
        <v>0</v>
      </c>
      <c r="D663" s="9" t="n">
        <v>0.05</v>
      </c>
      <c r="E663" s="9" t="n">
        <v>0.5</v>
      </c>
      <c r="F663" s="9" t="n">
        <v>0.1</v>
      </c>
      <c r="G663" s="9" t="n">
        <v>1</v>
      </c>
      <c r="H663" s="9" t="n">
        <v>0.1</v>
      </c>
      <c r="I663" s="9" t="n">
        <v>1</v>
      </c>
      <c r="K663" s="9" t="n">
        <v>0</v>
      </c>
      <c r="M663" s="9" t="n">
        <v>0</v>
      </c>
      <c r="O663" s="9" t="n">
        <v>0</v>
      </c>
      <c r="Q663" s="9" t="n">
        <v>0</v>
      </c>
      <c r="S663" s="9" t="n">
        <v>0</v>
      </c>
      <c r="U663" s="9" t="n">
        <v>0</v>
      </c>
      <c r="W663" s="9" t="n">
        <v>0</v>
      </c>
      <c r="Y663" s="9" t="n">
        <v>0</v>
      </c>
      <c r="AA663" s="9" t="n">
        <v>0</v>
      </c>
      <c r="AC663" s="9" t="n">
        <v>0</v>
      </c>
      <c r="AE663" s="9" t="n">
        <v>0</v>
      </c>
    </row>
    <row r="664">
      <c r="A664" s="9" t="inlineStr">
        <is>
          <t>SODIUM BICARBONATE</t>
        </is>
      </c>
      <c r="B664" s="9" t="n">
        <v>0.12</v>
      </c>
      <c r="C664" s="9" t="n">
        <v>1.2</v>
      </c>
      <c r="D664" s="9" t="n">
        <v>0.115</v>
      </c>
      <c r="E664" s="9" t="n">
        <v>1.15</v>
      </c>
      <c r="F664" s="9" t="n">
        <v>0.12</v>
      </c>
      <c r="G664" s="9" t="n">
        <v>1.2</v>
      </c>
      <c r="H664" s="9" t="n">
        <v>0.12</v>
      </c>
      <c r="I664" s="9" t="n">
        <v>1.2</v>
      </c>
      <c r="K664" s="9" t="n">
        <v>0</v>
      </c>
      <c r="M664" s="9" t="n">
        <v>0</v>
      </c>
      <c r="O664" s="9" t="n">
        <v>0</v>
      </c>
      <c r="Q664" s="9" t="n">
        <v>0</v>
      </c>
      <c r="S664" s="9" t="n">
        <v>0</v>
      </c>
      <c r="U664" s="9" t="n">
        <v>0</v>
      </c>
      <c r="W664" s="9" t="n">
        <v>0</v>
      </c>
      <c r="Y664" s="9" t="n">
        <v>0</v>
      </c>
      <c r="AA664" s="9" t="n">
        <v>0</v>
      </c>
      <c r="AC664" s="9" t="n">
        <v>0</v>
      </c>
      <c r="AE664" s="9" t="n">
        <v>0</v>
      </c>
    </row>
    <row r="665">
      <c r="A665" s="9" t="inlineStr">
        <is>
          <t>BMD 10%</t>
        </is>
      </c>
      <c r="C665" s="9" t="n">
        <v>0</v>
      </c>
      <c r="E665" s="9" t="n">
        <v>0</v>
      </c>
      <c r="G665" s="9" t="n">
        <v>0</v>
      </c>
      <c r="I665" s="9" t="n">
        <v>0</v>
      </c>
      <c r="K665" s="9" t="n">
        <v>0</v>
      </c>
      <c r="M665" s="9" t="n">
        <v>0</v>
      </c>
      <c r="O665" s="9" t="n">
        <v>0</v>
      </c>
      <c r="Q665" s="9" t="n">
        <v>0</v>
      </c>
      <c r="S665" s="9" t="n">
        <v>0</v>
      </c>
      <c r="U665" s="9" t="n">
        <v>0</v>
      </c>
      <c r="W665" s="9" t="n">
        <v>0</v>
      </c>
      <c r="Y665" s="9" t="n">
        <v>0</v>
      </c>
      <c r="AA665" s="9" t="n">
        <v>0</v>
      </c>
      <c r="AC665" s="9" t="n">
        <v>0</v>
      </c>
      <c r="AE665" s="9" t="n">
        <v>0</v>
      </c>
    </row>
    <row r="666">
      <c r="A666" s="9" t="inlineStr">
        <is>
          <t>SALT (HARUMI)</t>
        </is>
      </c>
      <c r="B666" s="9" t="n">
        <v>0.28</v>
      </c>
      <c r="C666" s="9" t="n">
        <v>2.799999999999999</v>
      </c>
      <c r="D666" s="9" t="n">
        <v>0.275</v>
      </c>
      <c r="E666" s="9" t="n">
        <v>2.75</v>
      </c>
      <c r="F666" s="9" t="n">
        <v>0.28</v>
      </c>
      <c r="G666" s="9" t="n">
        <v>2.799999999999999</v>
      </c>
      <c r="H666" s="9" t="n">
        <v>0.28</v>
      </c>
      <c r="I666" s="9" t="n">
        <v>2.799999999999999</v>
      </c>
      <c r="K666" s="9" t="n">
        <v>0</v>
      </c>
      <c r="M666" s="9" t="n">
        <v>0</v>
      </c>
      <c r="O666" s="9" t="n">
        <v>0</v>
      </c>
      <c r="Q666" s="9" t="n">
        <v>0</v>
      </c>
      <c r="S666" s="9" t="n">
        <v>0</v>
      </c>
      <c r="U666" s="9" t="n">
        <v>0</v>
      </c>
      <c r="W666" s="9" t="n">
        <v>0</v>
      </c>
      <c r="Y666" s="9" t="n">
        <v>0</v>
      </c>
      <c r="AA666" s="9" t="n">
        <v>0</v>
      </c>
      <c r="AC666" s="9" t="n">
        <v>0</v>
      </c>
      <c r="AE666" s="9" t="n">
        <v>0</v>
      </c>
    </row>
    <row r="667">
      <c r="A667" s="9" t="inlineStr">
        <is>
          <t>VISTABET 91</t>
        </is>
      </c>
      <c r="C667" s="9" t="n">
        <v>0</v>
      </c>
      <c r="E667" s="9" t="n">
        <v>0</v>
      </c>
      <c r="G667" s="9" t="n">
        <v>0</v>
      </c>
      <c r="I667" s="9" t="n">
        <v>0</v>
      </c>
      <c r="K667" s="9" t="n">
        <v>0</v>
      </c>
      <c r="M667" s="9" t="n">
        <v>0</v>
      </c>
      <c r="O667" s="9" t="n">
        <v>0</v>
      </c>
      <c r="Q667" s="9" t="n">
        <v>0</v>
      </c>
      <c r="S667" s="9" t="n">
        <v>0</v>
      </c>
      <c r="U667" s="9" t="n">
        <v>0</v>
      </c>
      <c r="W667" s="9" t="n">
        <v>0</v>
      </c>
      <c r="Y667" s="9" t="n">
        <v>0</v>
      </c>
      <c r="AA667" s="9" t="n">
        <v>0</v>
      </c>
      <c r="AC667" s="9" t="n">
        <v>0</v>
      </c>
      <c r="AE667" s="9" t="n">
        <v>0</v>
      </c>
    </row>
    <row r="668">
      <c r="A668" s="9" t="inlineStr">
        <is>
          <t>BETAFIN</t>
        </is>
      </c>
      <c r="C668" s="9" t="n">
        <v>0</v>
      </c>
      <c r="E668" s="9" t="n">
        <v>0</v>
      </c>
      <c r="G668" s="9" t="n">
        <v>0</v>
      </c>
      <c r="I668" s="9" t="n">
        <v>0</v>
      </c>
      <c r="K668" s="9" t="n">
        <v>0</v>
      </c>
      <c r="M668" s="9" t="n">
        <v>0</v>
      </c>
      <c r="O668" s="9" t="n">
        <v>0</v>
      </c>
      <c r="Q668" s="9" t="n">
        <v>0</v>
      </c>
      <c r="S668" s="9" t="n">
        <v>0</v>
      </c>
      <c r="U668" s="9" t="n">
        <v>0</v>
      </c>
      <c r="W668" s="9" t="n">
        <v>0</v>
      </c>
      <c r="Y668" s="9" t="n">
        <v>0</v>
      </c>
      <c r="AA668" s="9" t="n">
        <v>0</v>
      </c>
      <c r="AC668" s="9" t="n">
        <v>0</v>
      </c>
      <c r="AE668" s="9" t="n">
        <v>0</v>
      </c>
    </row>
    <row r="669">
      <c r="A669" s="9" t="inlineStr">
        <is>
          <t>8101 TOP UP</t>
        </is>
      </c>
      <c r="C669" s="9" t="n">
        <v>0</v>
      </c>
      <c r="E669" s="9" t="n">
        <v>0</v>
      </c>
      <c r="G669" s="9" t="n">
        <v>0</v>
      </c>
      <c r="I669" s="9" t="n">
        <v>0</v>
      </c>
      <c r="K669" s="9" t="n">
        <v>0</v>
      </c>
      <c r="M669" s="9" t="n">
        <v>0</v>
      </c>
      <c r="O669" s="9" t="n">
        <v>0</v>
      </c>
      <c r="Q669" s="9" t="n">
        <v>0</v>
      </c>
      <c r="S669" s="9" t="n">
        <v>0</v>
      </c>
      <c r="U669" s="9" t="n">
        <v>0</v>
      </c>
      <c r="W669" s="9" t="n">
        <v>0</v>
      </c>
      <c r="Y669" s="9" t="n">
        <v>0</v>
      </c>
      <c r="AA669" s="9" t="n">
        <v>0</v>
      </c>
      <c r="AC669" s="9" t="n">
        <v>0</v>
      </c>
      <c r="AE669" s="9" t="n">
        <v>0</v>
      </c>
    </row>
    <row r="670">
      <c r="A670" s="9" t="inlineStr">
        <is>
          <t>NORPONIN X03 (8102 TOP UP)</t>
        </is>
      </c>
      <c r="C670" s="9" t="n">
        <v>0</v>
      </c>
      <c r="E670" s="9" t="n">
        <v>0</v>
      </c>
      <c r="G670" s="9" t="n">
        <v>0</v>
      </c>
      <c r="I670" s="9" t="n">
        <v>0</v>
      </c>
      <c r="K670" s="9" t="n">
        <v>0</v>
      </c>
      <c r="M670" s="9" t="n">
        <v>0</v>
      </c>
      <c r="O670" s="9" t="n">
        <v>0</v>
      </c>
      <c r="Q670" s="9" t="n">
        <v>0</v>
      </c>
      <c r="S670" s="9" t="n">
        <v>0</v>
      </c>
      <c r="U670" s="9" t="n">
        <v>0</v>
      </c>
      <c r="W670" s="9" t="n">
        <v>0</v>
      </c>
      <c r="Y670" s="9" t="n">
        <v>0</v>
      </c>
      <c r="AA670" s="9" t="n">
        <v>0</v>
      </c>
      <c r="AC670" s="9" t="n">
        <v>0</v>
      </c>
      <c r="AE670" s="9" t="n">
        <v>0</v>
      </c>
    </row>
    <row r="671">
      <c r="A671" s="9" t="inlineStr">
        <is>
          <t>8102 TOP UP (4KG)</t>
        </is>
      </c>
      <c r="C671" s="9" t="n">
        <v>0</v>
      </c>
      <c r="E671" s="9" t="n">
        <v>0</v>
      </c>
      <c r="G671" s="9" t="n">
        <v>0</v>
      </c>
      <c r="I671" s="9" t="n">
        <v>0</v>
      </c>
      <c r="K671" s="9" t="n">
        <v>0</v>
      </c>
      <c r="M671" s="9" t="n">
        <v>0</v>
      </c>
      <c r="O671" s="9" t="n">
        <v>0</v>
      </c>
      <c r="Q671" s="9" t="n">
        <v>0</v>
      </c>
      <c r="S671" s="9" t="n">
        <v>0</v>
      </c>
      <c r="U671" s="9" t="n">
        <v>0</v>
      </c>
      <c r="W671" s="9" t="n">
        <v>0</v>
      </c>
      <c r="Y671" s="9" t="n">
        <v>0</v>
      </c>
      <c r="AA671" s="9" t="n">
        <v>0</v>
      </c>
      <c r="AC671" s="9" t="n">
        <v>0</v>
      </c>
      <c r="AE671" s="9" t="n">
        <v>0</v>
      </c>
    </row>
    <row r="672">
      <c r="A672" s="9" t="inlineStr">
        <is>
          <t>8103 TOP UP (5KG)</t>
        </is>
      </c>
      <c r="C672" s="9" t="n">
        <v>0</v>
      </c>
      <c r="E672" s="9" t="n">
        <v>0</v>
      </c>
      <c r="G672" s="9" t="n">
        <v>0</v>
      </c>
      <c r="I672" s="9" t="n">
        <v>0</v>
      </c>
      <c r="K672" s="9" t="n">
        <v>0</v>
      </c>
      <c r="M672" s="9" t="n">
        <v>0</v>
      </c>
      <c r="O672" s="9" t="n">
        <v>0</v>
      </c>
      <c r="Q672" s="9" t="n">
        <v>0</v>
      </c>
      <c r="S672" s="9" t="n">
        <v>0</v>
      </c>
      <c r="U672" s="9" t="n">
        <v>0</v>
      </c>
      <c r="W672" s="9" t="n">
        <v>0</v>
      </c>
      <c r="Y672" s="9" t="n">
        <v>0</v>
      </c>
      <c r="AA672" s="9" t="n">
        <v>0</v>
      </c>
      <c r="AC672" s="9" t="n">
        <v>0</v>
      </c>
      <c r="AE672" s="9" t="n">
        <v>0</v>
      </c>
    </row>
    <row r="673">
      <c r="A673" s="9" t="inlineStr">
        <is>
          <t>L-ARGININE</t>
        </is>
      </c>
      <c r="C673" s="9" t="n">
        <v>0</v>
      </c>
      <c r="E673" s="9" t="n">
        <v>0</v>
      </c>
      <c r="G673" s="9" t="n">
        <v>0</v>
      </c>
      <c r="I673" s="9" t="n">
        <v>0</v>
      </c>
      <c r="K673" s="9" t="n">
        <v>0</v>
      </c>
      <c r="M673" s="9" t="n">
        <v>0</v>
      </c>
      <c r="O673" s="9" t="n">
        <v>0</v>
      </c>
      <c r="Q673" s="9" t="n">
        <v>0</v>
      </c>
      <c r="S673" s="9" t="n">
        <v>0</v>
      </c>
      <c r="U673" s="9" t="n">
        <v>0</v>
      </c>
      <c r="W673" s="9" t="n">
        <v>0</v>
      </c>
      <c r="Y673" s="9" t="n">
        <v>0</v>
      </c>
      <c r="AA673" s="9" t="n">
        <v>0</v>
      </c>
      <c r="AC673" s="9" t="n">
        <v>0</v>
      </c>
      <c r="AE673" s="9" t="n">
        <v>0</v>
      </c>
    </row>
    <row r="674">
      <c r="A674" s="9" t="inlineStr">
        <is>
          <t>DL-METHIONINE</t>
        </is>
      </c>
      <c r="C674" s="9" t="n">
        <v>0</v>
      </c>
      <c r="D674" s="9" t="n">
        <v>0.05</v>
      </c>
      <c r="E674" s="9" t="n">
        <v>0.5</v>
      </c>
      <c r="G674" s="9" t="n">
        <v>0</v>
      </c>
      <c r="I674" s="9" t="n">
        <v>0</v>
      </c>
      <c r="K674" s="9" t="n">
        <v>0</v>
      </c>
      <c r="M674" s="9" t="n">
        <v>0</v>
      </c>
      <c r="O674" s="9" t="n">
        <v>0</v>
      </c>
      <c r="Q674" s="9" t="n">
        <v>0</v>
      </c>
      <c r="S674" s="9" t="n">
        <v>0</v>
      </c>
      <c r="U674" s="9" t="n">
        <v>0</v>
      </c>
      <c r="W674" s="9" t="n">
        <v>0</v>
      </c>
      <c r="Y674" s="9" t="n">
        <v>0</v>
      </c>
      <c r="AA674" s="9" t="n">
        <v>0</v>
      </c>
      <c r="AC674" s="9" t="n">
        <v>0</v>
      </c>
      <c r="AE674" s="9" t="n">
        <v>0</v>
      </c>
    </row>
    <row r="675">
      <c r="A675" s="9" t="inlineStr">
        <is>
          <t>L-THREONINE</t>
        </is>
      </c>
      <c r="C675" s="9" t="n">
        <v>0</v>
      </c>
      <c r="D675" s="9" t="n">
        <v>0.017</v>
      </c>
      <c r="E675" s="9" t="n">
        <v>0.17</v>
      </c>
      <c r="G675" s="9" t="n">
        <v>0</v>
      </c>
      <c r="I675" s="9" t="n">
        <v>0</v>
      </c>
      <c r="K675" s="9" t="n">
        <v>0</v>
      </c>
      <c r="M675" s="9" t="n">
        <v>0</v>
      </c>
      <c r="O675" s="9" t="n">
        <v>0</v>
      </c>
      <c r="Q675" s="9" t="n">
        <v>0</v>
      </c>
      <c r="S675" s="9" t="n">
        <v>0</v>
      </c>
      <c r="U675" s="9" t="n">
        <v>0</v>
      </c>
      <c r="W675" s="9" t="n">
        <v>0</v>
      </c>
      <c r="Y675" s="9" t="n">
        <v>0</v>
      </c>
      <c r="AA675" s="9" t="n">
        <v>0</v>
      </c>
      <c r="AC675" s="9" t="n">
        <v>0</v>
      </c>
      <c r="AE675" s="9" t="n">
        <v>0</v>
      </c>
    </row>
    <row r="676">
      <c r="A676" s="9" t="inlineStr">
        <is>
          <t>L-LYSINE</t>
        </is>
      </c>
      <c r="C676" s="9" t="n">
        <v>0</v>
      </c>
      <c r="E676" s="9" t="n">
        <v>0</v>
      </c>
      <c r="G676" s="9" t="n">
        <v>0</v>
      </c>
      <c r="I676" s="9" t="n">
        <v>0</v>
      </c>
      <c r="K676" s="9" t="n">
        <v>0</v>
      </c>
      <c r="M676" s="9" t="n">
        <v>0</v>
      </c>
      <c r="O676" s="9" t="n">
        <v>0</v>
      </c>
      <c r="Q676" s="9" t="n">
        <v>0</v>
      </c>
      <c r="S676" s="9" t="n">
        <v>0</v>
      </c>
      <c r="U676" s="9" t="n">
        <v>0</v>
      </c>
      <c r="W676" s="9" t="n">
        <v>0</v>
      </c>
      <c r="Y676" s="9" t="n">
        <v>0</v>
      </c>
      <c r="AA676" s="9" t="n">
        <v>0</v>
      </c>
      <c r="AC676" s="9" t="n">
        <v>0</v>
      </c>
      <c r="AE676" s="9" t="n">
        <v>0</v>
      </c>
    </row>
    <row r="677">
      <c r="A677" s="9" t="inlineStr">
        <is>
          <t>FAECES DRY</t>
        </is>
      </c>
      <c r="C677" s="9" t="n">
        <v>0</v>
      </c>
      <c r="E677" s="9" t="n">
        <v>0</v>
      </c>
      <c r="G677" s="9" t="n">
        <v>0</v>
      </c>
      <c r="I677" s="9" t="n">
        <v>0</v>
      </c>
      <c r="K677" s="9" t="n">
        <v>0</v>
      </c>
      <c r="M677" s="9" t="n">
        <v>0</v>
      </c>
      <c r="O677" s="9" t="n">
        <v>0</v>
      </c>
      <c r="Q677" s="9" t="n">
        <v>0</v>
      </c>
      <c r="S677" s="9" t="n">
        <v>0</v>
      </c>
      <c r="U677" s="9" t="n">
        <v>0</v>
      </c>
      <c r="W677" s="9" t="n">
        <v>0</v>
      </c>
      <c r="Y677" s="9" t="n">
        <v>0</v>
      </c>
      <c r="AA677" s="9" t="n">
        <v>0</v>
      </c>
      <c r="AC677" s="9" t="n">
        <v>0</v>
      </c>
      <c r="AE677" s="9" t="n">
        <v>0</v>
      </c>
    </row>
    <row r="678">
      <c r="A678" s="9" t="inlineStr">
        <is>
          <t>ECOBIOL</t>
        </is>
      </c>
      <c r="C678" s="9" t="n">
        <v>0</v>
      </c>
      <c r="E678" s="9" t="n">
        <v>0</v>
      </c>
      <c r="G678" s="9" t="n">
        <v>0</v>
      </c>
      <c r="I678" s="9" t="n">
        <v>0</v>
      </c>
      <c r="K678" s="9" t="n">
        <v>0</v>
      </c>
      <c r="M678" s="9" t="n">
        <v>0</v>
      </c>
      <c r="O678" s="9" t="n">
        <v>0</v>
      </c>
      <c r="Q678" s="9" t="n">
        <v>0</v>
      </c>
      <c r="S678" s="9" t="n">
        <v>0</v>
      </c>
      <c r="U678" s="9" t="n">
        <v>0</v>
      </c>
      <c r="W678" s="9" t="n">
        <v>0</v>
      </c>
      <c r="Y678" s="9" t="n">
        <v>0</v>
      </c>
      <c r="AA678" s="9" t="n">
        <v>0</v>
      </c>
      <c r="AC678" s="9" t="n">
        <v>0</v>
      </c>
      <c r="AE678" s="9" t="n">
        <v>0</v>
      </c>
    </row>
    <row r="679">
      <c r="A679" s="9" t="inlineStr">
        <is>
          <t>ADDITIVE BROILER IMMUNE</t>
        </is>
      </c>
      <c r="C679" s="9" t="n">
        <v>0</v>
      </c>
      <c r="E679" s="9" t="n">
        <v>0</v>
      </c>
      <c r="G679" s="9" t="n">
        <v>0</v>
      </c>
      <c r="I679" s="9" t="n">
        <v>0</v>
      </c>
      <c r="K679" s="9" t="n">
        <v>0</v>
      </c>
      <c r="M679" s="9" t="n">
        <v>0</v>
      </c>
      <c r="O679" s="9" t="n">
        <v>0</v>
      </c>
      <c r="Q679" s="9" t="n">
        <v>0</v>
      </c>
      <c r="S679" s="9" t="n">
        <v>0</v>
      </c>
      <c r="U679" s="9" t="n">
        <v>0</v>
      </c>
      <c r="W679" s="9" t="n">
        <v>0</v>
      </c>
      <c r="Y679" s="9" t="n">
        <v>0</v>
      </c>
      <c r="AA679" s="9" t="n">
        <v>0</v>
      </c>
      <c r="AC679" s="9" t="n">
        <v>0</v>
      </c>
      <c r="AE679" s="9" t="n">
        <v>0</v>
      </c>
    </row>
    <row r="680">
      <c r="A680" s="9" t="inlineStr">
        <is>
          <t>L-VALINE</t>
        </is>
      </c>
      <c r="C680" s="9" t="n">
        <v>0</v>
      </c>
      <c r="D680" s="9" t="n">
        <v>0.03</v>
      </c>
      <c r="E680" s="9" t="n">
        <v>0.3</v>
      </c>
      <c r="G680" s="9" t="n">
        <v>0</v>
      </c>
      <c r="I680" s="9" t="n">
        <v>0</v>
      </c>
      <c r="K680" s="9" t="n">
        <v>0</v>
      </c>
      <c r="M680" s="9" t="n">
        <v>0</v>
      </c>
      <c r="O680" s="9" t="n">
        <v>0</v>
      </c>
      <c r="Q680" s="9" t="n">
        <v>0</v>
      </c>
      <c r="S680" s="9" t="n">
        <v>0</v>
      </c>
      <c r="U680" s="9" t="n">
        <v>0</v>
      </c>
      <c r="W680" s="9" t="n">
        <v>0</v>
      </c>
      <c r="Y680" s="9" t="n">
        <v>0</v>
      </c>
      <c r="AA680" s="9" t="n">
        <v>0</v>
      </c>
      <c r="AC680" s="9" t="n">
        <v>0</v>
      </c>
      <c r="AE680" s="9" t="n">
        <v>0</v>
      </c>
    </row>
    <row r="681">
      <c r="A681" s="9" t="inlineStr">
        <is>
          <t>L-ISOLEUCINE</t>
        </is>
      </c>
      <c r="C681" s="9" t="n">
        <v>0</v>
      </c>
      <c r="D681" s="9" t="n">
        <v>0.02</v>
      </c>
      <c r="E681" s="9" t="n">
        <v>0.2</v>
      </c>
      <c r="G681" s="9" t="n">
        <v>0</v>
      </c>
      <c r="I681" s="9" t="n">
        <v>0</v>
      </c>
      <c r="K681" s="9" t="n">
        <v>0</v>
      </c>
      <c r="M681" s="9" t="n">
        <v>0</v>
      </c>
      <c r="O681" s="9" t="n">
        <v>0</v>
      </c>
      <c r="Q681" s="9" t="n">
        <v>0</v>
      </c>
      <c r="S681" s="9" t="n">
        <v>0</v>
      </c>
      <c r="U681" s="9" t="n">
        <v>0</v>
      </c>
      <c r="W681" s="9" t="n">
        <v>0</v>
      </c>
      <c r="Y681" s="9" t="n">
        <v>0</v>
      </c>
      <c r="AA681" s="9" t="n">
        <v>0</v>
      </c>
      <c r="AC681" s="9" t="n">
        <v>0</v>
      </c>
      <c r="AE681" s="9" t="n">
        <v>0</v>
      </c>
    </row>
    <row r="682">
      <c r="A682" s="9" t="inlineStr">
        <is>
          <t>1102 TOP UP (0.60KG)</t>
        </is>
      </c>
      <c r="C682" s="9" t="n">
        <v>0</v>
      </c>
      <c r="E682" s="9" t="n">
        <v>0</v>
      </c>
      <c r="G682" s="9" t="n">
        <v>0</v>
      </c>
      <c r="I682" s="9" t="n">
        <v>0</v>
      </c>
      <c r="K682" s="9" t="n">
        <v>0</v>
      </c>
      <c r="M682" s="9" t="n">
        <v>0</v>
      </c>
      <c r="O682" s="9" t="n">
        <v>0</v>
      </c>
      <c r="Q682" s="9" t="n">
        <v>0</v>
      </c>
      <c r="S682" s="9" t="n">
        <v>0</v>
      </c>
      <c r="U682" s="9" t="n">
        <v>0</v>
      </c>
      <c r="W682" s="9" t="n">
        <v>0</v>
      </c>
      <c r="Y682" s="9" t="n">
        <v>0</v>
      </c>
      <c r="AA682" s="9" t="n">
        <v>0</v>
      </c>
      <c r="AC682" s="9" t="n">
        <v>0</v>
      </c>
      <c r="AE682" s="9" t="n">
        <v>0</v>
      </c>
    </row>
    <row r="683">
      <c r="A683" s="9" t="inlineStr">
        <is>
          <t>1103 TOP UP (2.00KG)</t>
        </is>
      </c>
      <c r="C683" s="9" t="n">
        <v>0</v>
      </c>
      <c r="E683" s="9" t="n">
        <v>0</v>
      </c>
      <c r="G683" s="9" t="n">
        <v>0</v>
      </c>
      <c r="I683" s="9" t="n">
        <v>0</v>
      </c>
      <c r="K683" s="9" t="n">
        <v>0</v>
      </c>
      <c r="M683" s="9" t="n">
        <v>0</v>
      </c>
      <c r="O683" s="9" t="n">
        <v>0</v>
      </c>
      <c r="Q683" s="9" t="n">
        <v>0</v>
      </c>
      <c r="S683" s="9" t="n">
        <v>0</v>
      </c>
      <c r="U683" s="9" t="n">
        <v>0</v>
      </c>
      <c r="W683" s="9" t="n">
        <v>0</v>
      </c>
      <c r="Y683" s="9" t="n">
        <v>0</v>
      </c>
      <c r="AA683" s="9" t="n">
        <v>0</v>
      </c>
      <c r="AC683" s="9" t="n">
        <v>0</v>
      </c>
      <c r="AE683" s="9" t="n">
        <v>0</v>
      </c>
    </row>
    <row r="684">
      <c r="A684" s="9" t="inlineStr">
        <is>
          <t>QUANTUM GLO 4%</t>
        </is>
      </c>
      <c r="C684" s="9" t="n">
        <v>0</v>
      </c>
      <c r="E684" s="9" t="n">
        <v>0</v>
      </c>
      <c r="G684" s="9" t="n">
        <v>0</v>
      </c>
      <c r="I684" s="9" t="n">
        <v>0</v>
      </c>
      <c r="K684" s="9" t="n">
        <v>0</v>
      </c>
      <c r="M684" s="9" t="n">
        <v>0</v>
      </c>
      <c r="O684" s="9" t="n">
        <v>0</v>
      </c>
      <c r="Q684" s="9" t="n">
        <v>0</v>
      </c>
      <c r="S684" s="9" t="n">
        <v>0</v>
      </c>
      <c r="U684" s="9" t="n">
        <v>0</v>
      </c>
      <c r="W684" s="9" t="n">
        <v>0</v>
      </c>
      <c r="Y684" s="9" t="n">
        <v>0</v>
      </c>
      <c r="AA684" s="9" t="n">
        <v>0</v>
      </c>
      <c r="AC684" s="9" t="n">
        <v>0</v>
      </c>
      <c r="AE684" s="9" t="n">
        <v>0</v>
      </c>
    </row>
    <row r="685">
      <c r="A685" s="9" t="inlineStr">
        <is>
          <t>SALT</t>
        </is>
      </c>
      <c r="C685" s="9" t="n">
        <v>0</v>
      </c>
      <c r="E685" s="9" t="n">
        <v>0</v>
      </c>
      <c r="G685" s="9" t="n">
        <v>0</v>
      </c>
      <c r="I685" s="9" t="n">
        <v>0</v>
      </c>
      <c r="K685" s="9" t="n">
        <v>0</v>
      </c>
      <c r="M685" s="9" t="n">
        <v>0</v>
      </c>
      <c r="O685" s="9" t="n">
        <v>0</v>
      </c>
      <c r="Q685" s="9" t="n">
        <v>0</v>
      </c>
      <c r="S685" s="9" t="n">
        <v>0</v>
      </c>
      <c r="U685" s="9" t="n">
        <v>0</v>
      </c>
      <c r="W685" s="9" t="n">
        <v>0</v>
      </c>
      <c r="Y685" s="9" t="n">
        <v>0</v>
      </c>
      <c r="AA685" s="9" t="n">
        <v>0</v>
      </c>
      <c r="AC685" s="9" t="n">
        <v>0</v>
      </c>
      <c r="AE685" s="9" t="n">
        <v>0</v>
      </c>
    </row>
    <row r="686">
      <c r="A686" s="9" t="inlineStr">
        <is>
          <t>OC 200 - OXYTET 20%</t>
        </is>
      </c>
      <c r="C686" s="9" t="n">
        <v>0</v>
      </c>
      <c r="E686" s="9" t="n">
        <v>0</v>
      </c>
      <c r="G686" s="9" t="n">
        <v>0</v>
      </c>
      <c r="I686" s="9" t="n">
        <v>0</v>
      </c>
      <c r="K686" s="9" t="n">
        <v>0</v>
      </c>
      <c r="M686" s="9" t="n">
        <v>0</v>
      </c>
      <c r="O686" s="9" t="n">
        <v>0</v>
      </c>
      <c r="Q686" s="9" t="n">
        <v>0</v>
      </c>
      <c r="S686" s="9" t="n">
        <v>0</v>
      </c>
      <c r="U686" s="9" t="n">
        <v>0</v>
      </c>
      <c r="W686" s="9" t="n">
        <v>0</v>
      </c>
      <c r="Y686" s="9" t="n">
        <v>0</v>
      </c>
      <c r="AA686" s="9" t="n">
        <v>0</v>
      </c>
      <c r="AC686" s="9" t="n">
        <v>0</v>
      </c>
      <c r="AE686" s="9" t="n">
        <v>0</v>
      </c>
    </row>
    <row r="687">
      <c r="A687" s="9" t="n">
        <v>3</v>
      </c>
      <c r="C687" s="9" t="n">
        <v>0</v>
      </c>
      <c r="E687" s="9" t="n">
        <v>0</v>
      </c>
      <c r="G687" s="9" t="n">
        <v>0</v>
      </c>
      <c r="I687" s="9" t="n">
        <v>0</v>
      </c>
      <c r="K687" s="9" t="n">
        <v>0</v>
      </c>
      <c r="M687" s="9" t="n">
        <v>0</v>
      </c>
      <c r="O687" s="9" t="n">
        <v>0</v>
      </c>
      <c r="Q687" s="9" t="n">
        <v>0</v>
      </c>
      <c r="S687" s="9" t="n">
        <v>0</v>
      </c>
      <c r="U687" s="9" t="n">
        <v>0</v>
      </c>
      <c r="W687" s="9" t="n">
        <v>0</v>
      </c>
      <c r="Y687" s="9" t="n">
        <v>0</v>
      </c>
      <c r="AA687" s="9" t="n">
        <v>0</v>
      </c>
      <c r="AC687" s="9" t="n">
        <v>0</v>
      </c>
      <c r="AE687" s="9" t="n">
        <v>0</v>
      </c>
    </row>
    <row r="688">
      <c r="A688" s="9" t="n">
        <v>4</v>
      </c>
      <c r="C688" s="9" t="n">
        <v>0</v>
      </c>
      <c r="E688" s="9" t="n">
        <v>0</v>
      </c>
      <c r="G688" s="9" t="n">
        <v>0</v>
      </c>
      <c r="I688" s="9" t="n">
        <v>0</v>
      </c>
      <c r="K688" s="9" t="n">
        <v>0</v>
      </c>
      <c r="M688" s="9" t="n">
        <v>0</v>
      </c>
      <c r="O688" s="9" t="n">
        <v>0</v>
      </c>
      <c r="Q688" s="9" t="n">
        <v>0</v>
      </c>
      <c r="S688" s="9" t="n">
        <v>0</v>
      </c>
      <c r="U688" s="9" t="n">
        <v>0</v>
      </c>
      <c r="W688" s="9" t="n">
        <v>0</v>
      </c>
      <c r="Y688" s="9" t="n">
        <v>0</v>
      </c>
      <c r="AA688" s="9" t="n">
        <v>0</v>
      </c>
      <c r="AC688" s="9" t="n">
        <v>0</v>
      </c>
      <c r="AE688" s="9" t="n">
        <v>0</v>
      </c>
    </row>
    <row r="689">
      <c r="A689" s="9" t="inlineStr">
        <is>
          <t>WOVEN BAG (1101) - BLUE 50KG</t>
        </is>
      </c>
      <c r="C689" s="9" t="n">
        <v>0</v>
      </c>
      <c r="E689" s="9" t="n">
        <v>0</v>
      </c>
      <c r="G689" s="9" t="n">
        <v>0</v>
      </c>
      <c r="I689" s="9" t="n">
        <v>0</v>
      </c>
      <c r="K689" s="9" t="n">
        <v>0</v>
      </c>
      <c r="M689" s="9" t="n">
        <v>0</v>
      </c>
      <c r="O689" s="9" t="n">
        <v>0</v>
      </c>
      <c r="Q689" s="9" t="n">
        <v>0</v>
      </c>
      <c r="S689" s="9" t="n">
        <v>0</v>
      </c>
      <c r="U689" s="9" t="n">
        <v>0</v>
      </c>
      <c r="W689" s="9" t="n">
        <v>0</v>
      </c>
      <c r="Y689" s="9" t="n">
        <v>0</v>
      </c>
      <c r="AA689" s="9" t="n">
        <v>0</v>
      </c>
      <c r="AC689" s="9" t="n">
        <v>0</v>
      </c>
      <c r="AE689" s="9" t="n">
        <v>0</v>
      </c>
    </row>
    <row r="690">
      <c r="A690" s="9" t="inlineStr">
        <is>
          <t>WOVEN BAG (1102) - GREEN 50KG</t>
        </is>
      </c>
      <c r="C690" s="9" t="n">
        <v>0</v>
      </c>
      <c r="E690" s="9" t="n">
        <v>0</v>
      </c>
      <c r="G690" s="9" t="n">
        <v>0</v>
      </c>
      <c r="I690" s="9" t="n">
        <v>0</v>
      </c>
      <c r="K690" s="9" t="n">
        <v>0</v>
      </c>
      <c r="M690" s="9" t="n">
        <v>0</v>
      </c>
      <c r="O690" s="9" t="n">
        <v>0</v>
      </c>
      <c r="Q690" s="9" t="n">
        <v>0</v>
      </c>
      <c r="S690" s="9" t="n">
        <v>0</v>
      </c>
      <c r="U690" s="9" t="n">
        <v>0</v>
      </c>
      <c r="W690" s="9" t="n">
        <v>0</v>
      </c>
      <c r="Y690" s="9" t="n">
        <v>0</v>
      </c>
      <c r="AA690" s="9" t="n">
        <v>0</v>
      </c>
      <c r="AC690" s="9" t="n">
        <v>0</v>
      </c>
      <c r="AE690" s="9" t="n">
        <v>0</v>
      </c>
    </row>
    <row r="691">
      <c r="A691" s="9" t="inlineStr">
        <is>
          <t>WOVEN BAG (1103) - RED 50KG</t>
        </is>
      </c>
      <c r="C691" s="9" t="n">
        <v>0</v>
      </c>
      <c r="E691" s="9" t="n">
        <v>0</v>
      </c>
      <c r="G691" s="9" t="n">
        <v>0</v>
      </c>
      <c r="I691" s="9" t="n">
        <v>0</v>
      </c>
      <c r="K691" s="9" t="n">
        <v>0</v>
      </c>
      <c r="M691" s="9" t="n">
        <v>0</v>
      </c>
      <c r="O691" s="9" t="n">
        <v>0</v>
      </c>
      <c r="Q691" s="9" t="n">
        <v>0</v>
      </c>
      <c r="S691" s="9" t="n">
        <v>0</v>
      </c>
      <c r="U691" s="9" t="n">
        <v>0</v>
      </c>
      <c r="W691" s="9" t="n">
        <v>0</v>
      </c>
      <c r="Y691" s="9" t="n">
        <v>0</v>
      </c>
      <c r="AA691" s="9" t="n">
        <v>0</v>
      </c>
      <c r="AC691" s="9" t="n">
        <v>0</v>
      </c>
      <c r="AE691" s="9" t="n">
        <v>0</v>
      </c>
    </row>
    <row r="692">
      <c r="A692" s="9" t="inlineStr">
        <is>
          <t>PLAIN BAG 26" X 39" (50KG)</t>
        </is>
      </c>
      <c r="C692" s="9" t="n">
        <v>0</v>
      </c>
      <c r="E692" s="9" t="n">
        <v>0</v>
      </c>
      <c r="G692" s="9" t="n">
        <v>0</v>
      </c>
      <c r="I692" s="9" t="n">
        <v>0</v>
      </c>
      <c r="K692" s="9" t="n">
        <v>0</v>
      </c>
      <c r="M692" s="9" t="n">
        <v>0</v>
      </c>
      <c r="O692" s="9" t="n">
        <v>0</v>
      </c>
      <c r="Q692" s="9" t="n">
        <v>0</v>
      </c>
      <c r="S692" s="9" t="n">
        <v>0</v>
      </c>
      <c r="U692" s="9" t="n">
        <v>0</v>
      </c>
      <c r="W692" s="9" t="n">
        <v>0</v>
      </c>
      <c r="Y692" s="9" t="n">
        <v>0</v>
      </c>
      <c r="AA692" s="9" t="n">
        <v>0</v>
      </c>
      <c r="AC692" s="9" t="n">
        <v>0</v>
      </c>
      <c r="AE692" s="9" t="n">
        <v>0</v>
      </c>
    </row>
    <row r="693">
      <c r="A693" s="9" t="inlineStr">
        <is>
          <t>WOVEN BAG (8101) - KHAKI 50KG</t>
        </is>
      </c>
      <c r="C693" s="9" t="n">
        <v>0</v>
      </c>
      <c r="E693" s="9" t="n">
        <v>0</v>
      </c>
      <c r="G693" s="9" t="n">
        <v>0</v>
      </c>
      <c r="I693" s="9" t="n">
        <v>0</v>
      </c>
      <c r="K693" s="9" t="n">
        <v>0</v>
      </c>
      <c r="M693" s="9" t="n">
        <v>0</v>
      </c>
      <c r="O693" s="9" t="n">
        <v>0</v>
      </c>
      <c r="Q693" s="9" t="n">
        <v>0</v>
      </c>
      <c r="S693" s="9" t="n">
        <v>0</v>
      </c>
      <c r="U693" s="9" t="n">
        <v>0</v>
      </c>
      <c r="W693" s="9" t="n">
        <v>0</v>
      </c>
      <c r="Y693" s="9" t="n">
        <v>0</v>
      </c>
      <c r="AA693" s="9" t="n">
        <v>0</v>
      </c>
      <c r="AC693" s="9" t="n">
        <v>0</v>
      </c>
      <c r="AE693" s="9" t="n">
        <v>0</v>
      </c>
    </row>
    <row r="694">
      <c r="A694" s="9" t="inlineStr">
        <is>
          <t>WOVEN BAG (8102) - SKY BLUE 50KG</t>
        </is>
      </c>
      <c r="C694" s="9" t="n">
        <v>0</v>
      </c>
      <c r="E694" s="9" t="n">
        <v>0</v>
      </c>
      <c r="G694" s="9" t="n">
        <v>0</v>
      </c>
      <c r="I694" s="9" t="n">
        <v>0</v>
      </c>
      <c r="K694" s="9" t="n">
        <v>0</v>
      </c>
      <c r="M694" s="9" t="n">
        <v>0</v>
      </c>
      <c r="O694" s="9" t="n">
        <v>0</v>
      </c>
      <c r="Q694" s="9" t="n">
        <v>0</v>
      </c>
      <c r="S694" s="9" t="n">
        <v>0</v>
      </c>
      <c r="U694" s="9" t="n">
        <v>0</v>
      </c>
      <c r="W694" s="9" t="n">
        <v>0</v>
      </c>
      <c r="Y694" s="9" t="n">
        <v>0</v>
      </c>
      <c r="AA694" s="9" t="n">
        <v>0</v>
      </c>
      <c r="AC694" s="9" t="n">
        <v>0</v>
      </c>
      <c r="AE694" s="9" t="n">
        <v>0</v>
      </c>
    </row>
    <row r="695">
      <c r="A695" s="9" t="inlineStr">
        <is>
          <t>WOVEN BAG (8103) - BROWN 50KG</t>
        </is>
      </c>
      <c r="C695" s="9" t="n">
        <v>0</v>
      </c>
      <c r="E695" s="9" t="n">
        <v>0</v>
      </c>
      <c r="G695" s="9" t="n">
        <v>0</v>
      </c>
      <c r="I695" s="9" t="n">
        <v>0</v>
      </c>
      <c r="K695" s="9" t="n">
        <v>0</v>
      </c>
      <c r="M695" s="9" t="n">
        <v>0</v>
      </c>
      <c r="O695" s="9" t="n">
        <v>0</v>
      </c>
      <c r="Q695" s="9" t="n">
        <v>0</v>
      </c>
      <c r="S695" s="9" t="n">
        <v>0</v>
      </c>
      <c r="U695" s="9" t="n">
        <v>0</v>
      </c>
      <c r="W695" s="9" t="n">
        <v>0</v>
      </c>
      <c r="Y695" s="9" t="n">
        <v>0</v>
      </c>
      <c r="AA695" s="9" t="n">
        <v>0</v>
      </c>
      <c r="AC695" s="9" t="n">
        <v>0</v>
      </c>
      <c r="AE695" s="9" t="n">
        <v>0</v>
      </c>
    </row>
    <row r="696">
      <c r="A696" s="9" t="n">
        <v>1</v>
      </c>
      <c r="C696" s="9" t="n">
        <v>0</v>
      </c>
      <c r="E696" s="9" t="n">
        <v>0</v>
      </c>
      <c r="G696" s="9" t="n">
        <v>0</v>
      </c>
      <c r="I696" s="9" t="n">
        <v>0</v>
      </c>
      <c r="K696" s="9" t="n">
        <v>0</v>
      </c>
      <c r="M696" s="9" t="n">
        <v>0</v>
      </c>
      <c r="O696" s="9" t="n">
        <v>0</v>
      </c>
      <c r="Q696" s="9" t="n">
        <v>0</v>
      </c>
      <c r="S696" s="9" t="n">
        <v>0</v>
      </c>
      <c r="U696" s="9" t="n">
        <v>0</v>
      </c>
      <c r="W696" s="9" t="n">
        <v>0</v>
      </c>
      <c r="Y696" s="9" t="n">
        <v>0</v>
      </c>
      <c r="AA696" s="9" t="n">
        <v>0</v>
      </c>
      <c r="AC696" s="9" t="n">
        <v>0</v>
      </c>
      <c r="AE696" s="9" t="n">
        <v>0</v>
      </c>
    </row>
    <row r="697">
      <c r="A697" s="9" t="n">
        <v>2</v>
      </c>
      <c r="C697" s="9" t="n">
        <v>0</v>
      </c>
      <c r="E697" s="9" t="n">
        <v>0</v>
      </c>
      <c r="G697" s="9" t="n">
        <v>0</v>
      </c>
      <c r="I697" s="9" t="n">
        <v>0</v>
      </c>
      <c r="K697" s="9" t="n">
        <v>0</v>
      </c>
      <c r="M697" s="9" t="n">
        <v>0</v>
      </c>
      <c r="O697" s="9" t="n">
        <v>0</v>
      </c>
      <c r="Q697" s="9" t="n">
        <v>0</v>
      </c>
      <c r="S697" s="9" t="n">
        <v>0</v>
      </c>
      <c r="U697" s="9" t="n">
        <v>0</v>
      </c>
      <c r="W697" s="9" t="n">
        <v>0</v>
      </c>
      <c r="Y697" s="9" t="n">
        <v>0</v>
      </c>
      <c r="AA697" s="9" t="n">
        <v>0</v>
      </c>
      <c r="AC697" s="9" t="n">
        <v>0</v>
      </c>
      <c r="AE697" s="9" t="n">
        <v>0</v>
      </c>
    </row>
    <row r="698">
      <c r="A698" s="9" t="n">
        <v>3</v>
      </c>
      <c r="C698" s="9" t="n">
        <v>0</v>
      </c>
      <c r="E698" s="9" t="n">
        <v>0</v>
      </c>
      <c r="G698" s="9" t="n">
        <v>0</v>
      </c>
      <c r="I698" s="9" t="n">
        <v>0</v>
      </c>
      <c r="K698" s="9" t="n">
        <v>0</v>
      </c>
      <c r="M698" s="9" t="n">
        <v>0</v>
      </c>
      <c r="O698" s="9" t="n">
        <v>0</v>
      </c>
      <c r="Q698" s="9" t="n">
        <v>0</v>
      </c>
      <c r="S698" s="9" t="n">
        <v>0</v>
      </c>
      <c r="U698" s="9" t="n">
        <v>0</v>
      </c>
      <c r="W698" s="9" t="n">
        <v>0</v>
      </c>
      <c r="Y698" s="9" t="n">
        <v>0</v>
      </c>
      <c r="AA698" s="9" t="n">
        <v>0</v>
      </c>
      <c r="AC698" s="9" t="n">
        <v>0</v>
      </c>
      <c r="AE698" s="9" t="n">
        <v>0</v>
      </c>
    </row>
    <row r="699">
      <c r="A699" s="9" t="n">
        <v>4</v>
      </c>
      <c r="C699" s="9" t="n">
        <v>0</v>
      </c>
      <c r="E699" s="9" t="n">
        <v>0</v>
      </c>
      <c r="G699" s="9" t="n">
        <v>0</v>
      </c>
      <c r="I699" s="9" t="n">
        <v>0</v>
      </c>
      <c r="K699" s="9" t="n">
        <v>0</v>
      </c>
      <c r="M699" s="9" t="n">
        <v>0</v>
      </c>
      <c r="O699" s="9" t="n">
        <v>0</v>
      </c>
      <c r="Q699" s="9" t="n">
        <v>0</v>
      </c>
      <c r="S699" s="9" t="n">
        <v>0</v>
      </c>
      <c r="U699" s="9" t="n">
        <v>0</v>
      </c>
      <c r="W699" s="9" t="n">
        <v>0</v>
      </c>
      <c r="Y699" s="9" t="n">
        <v>0</v>
      </c>
      <c r="AA699" s="9" t="n">
        <v>0</v>
      </c>
      <c r="AC699" s="9" t="n">
        <v>0</v>
      </c>
      <c r="AE699" s="9" t="n">
        <v>0</v>
      </c>
    </row>
    <row r="700">
      <c r="A700" s="9" t="n">
        <v>5</v>
      </c>
      <c r="C700" s="9" t="n">
        <v>0</v>
      </c>
      <c r="E700" s="9" t="n">
        <v>0</v>
      </c>
      <c r="G700" s="9" t="n">
        <v>0</v>
      </c>
      <c r="I700" s="9" t="n">
        <v>0</v>
      </c>
      <c r="K700" s="9" t="n">
        <v>0</v>
      </c>
      <c r="M700" s="9" t="n">
        <v>0</v>
      </c>
      <c r="O700" s="9" t="n">
        <v>0</v>
      </c>
      <c r="Q700" s="9" t="n">
        <v>0</v>
      </c>
      <c r="S700" s="9" t="n">
        <v>0</v>
      </c>
      <c r="U700" s="9" t="n">
        <v>0</v>
      </c>
      <c r="W700" s="9" t="n">
        <v>0</v>
      </c>
      <c r="Y700" s="9" t="n">
        <v>0</v>
      </c>
      <c r="AA700" s="9" t="n">
        <v>0</v>
      </c>
      <c r="AC700" s="9" t="n">
        <v>0</v>
      </c>
      <c r="AE700" s="9" t="n">
        <v>0</v>
      </c>
    </row>
    <row r="701">
      <c r="A701" s="9" t="n">
        <v>6</v>
      </c>
      <c r="C701" s="9" t="n">
        <v>0</v>
      </c>
      <c r="E701" s="9" t="n">
        <v>0</v>
      </c>
      <c r="G701" s="9" t="n">
        <v>0</v>
      </c>
      <c r="I701" s="9" t="n">
        <v>0</v>
      </c>
      <c r="K701" s="9" t="n">
        <v>0</v>
      </c>
      <c r="M701" s="9" t="n">
        <v>0</v>
      </c>
      <c r="O701" s="9" t="n">
        <v>0</v>
      </c>
      <c r="Q701" s="9" t="n">
        <v>0</v>
      </c>
      <c r="S701" s="9" t="n">
        <v>0</v>
      </c>
      <c r="U701" s="9" t="n">
        <v>0</v>
      </c>
      <c r="W701" s="9" t="n">
        <v>0</v>
      </c>
      <c r="Y701" s="9" t="n">
        <v>0</v>
      </c>
      <c r="AA701" s="9" t="n">
        <v>0</v>
      </c>
      <c r="AC701" s="9" t="n">
        <v>0</v>
      </c>
      <c r="AE701" s="9" t="n">
        <v>0</v>
      </c>
    </row>
    <row r="702">
      <c r="A702" s="9" t="n">
        <v>7</v>
      </c>
      <c r="C702" s="9" t="n">
        <v>0</v>
      </c>
      <c r="E702" s="9" t="n">
        <v>0</v>
      </c>
      <c r="G702" s="9" t="n">
        <v>0</v>
      </c>
      <c r="I702" s="9" t="n">
        <v>0</v>
      </c>
      <c r="K702" s="9" t="n">
        <v>0</v>
      </c>
      <c r="M702" s="9" t="n">
        <v>0</v>
      </c>
      <c r="O702" s="9" t="n">
        <v>0</v>
      </c>
      <c r="Q702" s="9" t="n">
        <v>0</v>
      </c>
      <c r="S702" s="9" t="n">
        <v>0</v>
      </c>
      <c r="U702" s="9" t="n">
        <v>0</v>
      </c>
      <c r="W702" s="9" t="n">
        <v>0</v>
      </c>
      <c r="Y702" s="9" t="n">
        <v>0</v>
      </c>
      <c r="AA702" s="9" t="n">
        <v>0</v>
      </c>
      <c r="AC702" s="9" t="n">
        <v>0</v>
      </c>
      <c r="AE702" s="9" t="n">
        <v>0</v>
      </c>
    </row>
    <row r="703">
      <c r="A703" s="9" t="n">
        <v>8</v>
      </c>
      <c r="C703" s="9" t="n">
        <v>0</v>
      </c>
      <c r="E703" s="9" t="n">
        <v>0</v>
      </c>
      <c r="G703" s="9" t="n">
        <v>0</v>
      </c>
      <c r="I703" s="9" t="n">
        <v>0</v>
      </c>
      <c r="K703" s="9" t="n">
        <v>0</v>
      </c>
      <c r="M703" s="9" t="n">
        <v>0</v>
      </c>
      <c r="O703" s="9" t="n">
        <v>0</v>
      </c>
      <c r="Q703" s="9" t="n">
        <v>0</v>
      </c>
      <c r="S703" s="9" t="n">
        <v>0</v>
      </c>
      <c r="U703" s="9" t="n">
        <v>0</v>
      </c>
      <c r="W703" s="9" t="n">
        <v>0</v>
      </c>
      <c r="Y703" s="9" t="n">
        <v>0</v>
      </c>
      <c r="AA703" s="9" t="n">
        <v>0</v>
      </c>
      <c r="AC703" s="9" t="n">
        <v>0</v>
      </c>
      <c r="AE703" s="9" t="n">
        <v>0</v>
      </c>
    </row>
    <row r="704">
      <c r="A704" s="9" t="inlineStr">
        <is>
          <t>TOTAL</t>
        </is>
      </c>
      <c r="B704" s="9" t="n">
        <v>100</v>
      </c>
      <c r="C704" s="9" t="n">
        <v>999.9999999999999</v>
      </c>
      <c r="D704" s="9" t="n">
        <v>99.99999999999999</v>
      </c>
      <c r="E704" s="9" t="n">
        <v>999.9999999999999</v>
      </c>
      <c r="F704" s="9" t="n">
        <v>100</v>
      </c>
      <c r="G704" s="9" t="n">
        <v>1000</v>
      </c>
      <c r="H704" s="9" t="n">
        <v>100</v>
      </c>
      <c r="I704" s="9" t="n">
        <v>1000</v>
      </c>
      <c r="J704" s="9" t="n">
        <v>0</v>
      </c>
      <c r="K704" s="9" t="n">
        <v>0</v>
      </c>
      <c r="L704" s="9" t="n">
        <v>0</v>
      </c>
      <c r="M704" s="9" t="n">
        <v>0</v>
      </c>
      <c r="N704" s="9" t="n">
        <v>0</v>
      </c>
      <c r="O704" s="9" t="n">
        <v>0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0</v>
      </c>
      <c r="U704" s="9" t="n">
        <v>0</v>
      </c>
      <c r="V704" s="9" t="n">
        <v>0</v>
      </c>
      <c r="W704" s="9" t="n">
        <v>0</v>
      </c>
      <c r="X704" s="9" t="n">
        <v>0</v>
      </c>
      <c r="Y704" s="9" t="n">
        <v>0</v>
      </c>
      <c r="Z704" s="9" t="n">
        <v>0</v>
      </c>
      <c r="AA704" s="9" t="n">
        <v>0</v>
      </c>
      <c r="AB704" s="9" t="n">
        <v>0</v>
      </c>
      <c r="AC704" s="9" t="n">
        <v>0</v>
      </c>
      <c r="AD704" s="9" t="n">
        <v>0</v>
      </c>
      <c r="AE704" s="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X4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22" customWidth="1" min="34" max="34"/>
    <col width="19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2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32" customWidth="1" min="66" max="66"/>
    <col width="19" customWidth="1" min="67" max="67"/>
    <col width="12" customWidth="1" min="68" max="68"/>
    <col width="19" customWidth="1" min="69" max="69"/>
    <col width="19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19" customWidth="1" min="77" max="77"/>
    <col width="19" customWidth="1" min="78" max="78"/>
    <col width="19" customWidth="1" min="79" max="79"/>
    <col width="19" customWidth="1" min="80" max="80"/>
    <col width="12" customWidth="1" min="81" max="81"/>
    <col width="26" customWidth="1" min="82" max="82"/>
    <col width="19" customWidth="1" min="83" max="83"/>
    <col width="18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5" customWidth="1" min="91" max="91"/>
    <col width="15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28" customWidth="1" min="98" max="98"/>
    <col width="18" customWidth="1" min="99" max="99"/>
    <col width="28" customWidth="1" min="100" max="100"/>
    <col width="12" customWidth="1" min="101" max="101"/>
    <col width="12" customWidth="1" min="102" max="102"/>
    <col width="12" customWidth="1" min="103" max="103"/>
    <col width="16" customWidth="1" min="104" max="104"/>
    <col width="22" customWidth="1" min="105" max="105"/>
    <col width="12" customWidth="1" min="106" max="106"/>
    <col width="16" customWidth="1" min="107" max="107"/>
    <col width="16" customWidth="1" min="108" max="108"/>
    <col width="12" customWidth="1" min="109" max="109"/>
    <col width="16" customWidth="1" min="110" max="110"/>
    <col width="16" customWidth="1" min="111" max="111"/>
    <col width="12" customWidth="1" min="112" max="112"/>
    <col width="12" customWidth="1" min="113" max="113"/>
    <col width="18" customWidth="1" min="114" max="114"/>
    <col width="24" customWidth="1" min="115" max="115"/>
    <col width="18" customWidth="1" min="116" max="116"/>
    <col width="28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35" customWidth="1" min="131" max="131"/>
    <col width="21" customWidth="1" min="132" max="132"/>
    <col width="20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20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22" customWidth="1" min="164" max="164"/>
    <col width="21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22" customWidth="1" min="180" max="180"/>
    <col width="20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32" customWidth="1" min="196" max="196"/>
    <col width="20" customWidth="1" min="197" max="197"/>
    <col width="12" customWidth="1" min="198" max="198"/>
    <col width="21" customWidth="1" min="199" max="199"/>
    <col width="21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12" customWidth="1" min="207" max="207"/>
    <col width="21" customWidth="1" min="208" max="208"/>
    <col width="14" customWidth="1" min="209" max="209"/>
    <col width="14" customWidth="1" min="210" max="210"/>
    <col width="12" customWidth="1" min="211" max="211"/>
    <col width="26" customWidth="1" min="212" max="212"/>
    <col width="21" customWidth="1" min="213" max="213"/>
    <col width="21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21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28" customWidth="1" min="228" max="228"/>
    <col width="21" customWidth="1" min="229" max="229"/>
    <col width="28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2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21" customWidth="1" min="240" max="240"/>
    <col width="12" customWidth="1" min="241" max="241"/>
    <col width="12" customWidth="1" min="242" max="242"/>
    <col width="12" customWidth="1" min="243" max="243"/>
    <col width="21" customWidth="1" min="244" max="244"/>
    <col width="24" customWidth="1" min="245" max="245"/>
    <col width="21" customWidth="1" min="246" max="246"/>
    <col width="28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</cols>
  <sheetData>
    <row r="1">
      <c r="B1" s="9" t="inlineStr">
        <is>
          <t>MT</t>
        </is>
      </c>
    </row>
    <row r="2">
      <c r="B2" s="9" t="inlineStr">
        <is>
          <t>1101 C (STARTER)</t>
        </is>
      </c>
      <c r="R2" s="9" t="inlineStr">
        <is>
          <t>1102 C/P (GROWER)</t>
        </is>
      </c>
      <c r="AH2" s="9" t="inlineStr">
        <is>
          <t>1103 P (FINISHER 1)</t>
        </is>
      </c>
      <c r="AX2" s="9" t="inlineStr">
        <is>
          <t>1104 P (FINISHER 2)</t>
        </is>
      </c>
      <c r="BN2" s="9" t="inlineStr">
        <is>
          <t>8100&amp;8101&amp;8102&amp;8103 (BROILER)</t>
        </is>
      </c>
      <c r="CD2" s="9" t="inlineStr">
        <is>
          <t>121 (BROILER), 311, 312</t>
        </is>
      </c>
      <c r="CT2" s="9" t="inlineStr">
        <is>
          <t>122 (BROILER), 5201, 5202</t>
        </is>
      </c>
      <c r="DJ2" s="9" t="inlineStr">
        <is>
          <t>123 (BROILER)</t>
        </is>
      </c>
      <c r="EA2" s="9" t="inlineStr">
        <is>
          <t>RAW_M</t>
        </is>
      </c>
      <c r="EB2" s="9" t="inlineStr">
        <is>
          <t>1101 C (STARTER)</t>
        </is>
      </c>
      <c r="ER2" s="9" t="inlineStr">
        <is>
          <t>1102 C/P (GROWER)</t>
        </is>
      </c>
      <c r="FH2" s="9" t="inlineStr">
        <is>
          <t>1103 P (FINISHER 1)</t>
        </is>
      </c>
      <c r="FX2" s="9" t="inlineStr">
        <is>
          <t>1104 P (FINISHER 2)</t>
        </is>
      </c>
      <c r="GN2" s="9" t="inlineStr">
        <is>
          <t>8100&amp;8101&amp;8102&amp;8103 (BROILER)</t>
        </is>
      </c>
      <c r="HD2" s="9" t="inlineStr">
        <is>
          <t>121 (BROILER), 311, 312</t>
        </is>
      </c>
      <c r="HT2" s="9" t="inlineStr">
        <is>
          <t>122 (BROILER), 5201, 5202</t>
        </is>
      </c>
      <c r="IJ2" s="9" t="inlineStr">
        <is>
          <t>123 (BROILER)</t>
        </is>
      </c>
    </row>
    <row r="3">
      <c r="B3" s="9" t="inlineStr">
        <is>
          <t>WS 1101 (251124)</t>
        </is>
      </c>
      <c r="C3" s="9" t="inlineStr">
        <is>
          <t>WS 1101 (220526)</t>
        </is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R3" s="9" t="inlineStr">
        <is>
          <t>WS 1102 (290825)</t>
        </is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H3" s="9" t="inlineStr">
        <is>
          <t>WS 1103 (290825)</t>
        </is>
      </c>
      <c r="AI3" s="9" t="inlineStr">
        <is>
          <t>WS 1103 (220526)</t>
        </is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s="9" t="n">
        <v>0</v>
      </c>
      <c r="AS3" s="9" t="n">
        <v>0</v>
      </c>
      <c r="AT3" s="9" t="n">
        <v>0</v>
      </c>
      <c r="AU3" s="9" t="n">
        <v>0</v>
      </c>
      <c r="AV3" s="9" t="n">
        <v>0</v>
      </c>
      <c r="AX3" s="9" t="n">
        <v>0</v>
      </c>
      <c r="AY3" s="9" t="n">
        <v>0</v>
      </c>
      <c r="AZ3" s="9" t="n">
        <v>0</v>
      </c>
      <c r="BA3" s="9" t="n">
        <v>0</v>
      </c>
      <c r="BB3" s="9" t="n">
        <v>0</v>
      </c>
      <c r="BC3" s="9" t="n">
        <v>0</v>
      </c>
      <c r="BD3" s="9" t="n">
        <v>0</v>
      </c>
      <c r="BE3" s="9" t="n">
        <v>0</v>
      </c>
      <c r="BF3" s="9" t="n">
        <v>0</v>
      </c>
      <c r="BG3" s="9" t="n">
        <v>0</v>
      </c>
      <c r="BH3" s="9" t="n">
        <v>0</v>
      </c>
      <c r="BI3" s="9" t="n">
        <v>0</v>
      </c>
      <c r="BJ3" s="9" t="n">
        <v>0</v>
      </c>
      <c r="BK3" s="9" t="n">
        <v>0</v>
      </c>
      <c r="BL3" s="9" t="n">
        <v>0</v>
      </c>
      <c r="BN3" s="9" t="inlineStr">
        <is>
          <t>WS 8100 (290825)</t>
        </is>
      </c>
      <c r="BO3" s="9" t="inlineStr">
        <is>
          <t>WS 8100 (280426)</t>
        </is>
      </c>
      <c r="BP3" s="9" t="n">
        <v>0</v>
      </c>
      <c r="BQ3" s="9" t="inlineStr">
        <is>
          <t>WS 8102 (290825)</t>
        </is>
      </c>
      <c r="BR3" s="9" t="inlineStr">
        <is>
          <t>WS 8102 (121225)</t>
        </is>
      </c>
      <c r="BS3" s="9" t="inlineStr">
        <is>
          <t>WS 8102 (020326)</t>
        </is>
      </c>
      <c r="BT3" s="9" t="inlineStr">
        <is>
          <t>WS 8102 (020326)</t>
        </is>
      </c>
      <c r="BU3" s="9" t="inlineStr">
        <is>
          <t>WS 8102 (060526)</t>
        </is>
      </c>
      <c r="BV3" s="9" t="inlineStr">
        <is>
          <t>WS 8102 (060526)</t>
        </is>
      </c>
      <c r="BW3" s="9" t="inlineStr">
        <is>
          <t>WS 8103 (070526)</t>
        </is>
      </c>
      <c r="BX3" s="9" t="inlineStr">
        <is>
          <t>WS 8102 (070526)</t>
        </is>
      </c>
      <c r="BY3" s="9" t="inlineStr">
        <is>
          <t>WS 8103 (061125)</t>
        </is>
      </c>
      <c r="BZ3" s="9" t="inlineStr">
        <is>
          <t>WS 8103 (250226)</t>
        </is>
      </c>
      <c r="CA3" s="9" t="inlineStr">
        <is>
          <t>WS 8102 (080526)</t>
        </is>
      </c>
      <c r="CB3" s="9" t="inlineStr">
        <is>
          <t>WS 8109 (080526)</t>
        </is>
      </c>
      <c r="CD3" s="9" t="inlineStr">
        <is>
          <t>YH 121 (050226)</t>
        </is>
      </c>
      <c r="CE3" s="9" t="inlineStr">
        <is>
          <t>YH 121 (190326)</t>
        </is>
      </c>
      <c r="CF3" s="9" t="inlineStr">
        <is>
          <t>YH 121 (020426)</t>
        </is>
      </c>
      <c r="CG3" s="9" t="n">
        <v>0</v>
      </c>
      <c r="CH3" s="9" t="n">
        <v>0</v>
      </c>
      <c r="CI3" s="9" t="n">
        <v>0</v>
      </c>
      <c r="CJ3" s="9" t="n">
        <v>0</v>
      </c>
      <c r="CK3" s="9" t="n">
        <v>0</v>
      </c>
      <c r="CL3" s="9" t="n">
        <v>0</v>
      </c>
      <c r="CM3" s="9" t="inlineStr">
        <is>
          <t>311 (130526)</t>
        </is>
      </c>
      <c r="CN3" s="9" t="inlineStr">
        <is>
          <t>312 (130526)</t>
        </is>
      </c>
      <c r="CO3" s="9" t="n">
        <v>0</v>
      </c>
      <c r="CP3" s="9" t="n">
        <v>0</v>
      </c>
      <c r="CQ3" s="9" t="n">
        <v>0</v>
      </c>
      <c r="CR3" s="9" t="n">
        <v>0</v>
      </c>
      <c r="CT3" s="9" t="inlineStr">
        <is>
          <t>YH 122 (050226)</t>
        </is>
      </c>
      <c r="CU3" s="9" t="inlineStr">
        <is>
          <t>YH 122 (190326)</t>
        </is>
      </c>
      <c r="CV3" s="9" t="inlineStr">
        <is>
          <t>YH 122 (200426)</t>
        </is>
      </c>
      <c r="CW3" s="9" t="n">
        <v>0</v>
      </c>
      <c r="CX3" s="9" t="n">
        <v>0</v>
      </c>
      <c r="CY3" s="9" t="n">
        <v>0</v>
      </c>
      <c r="CZ3" s="9" t="inlineStr">
        <is>
          <t>5201 (090426)</t>
        </is>
      </c>
      <c r="DA3" s="9" t="inlineStr">
        <is>
          <t>5201 (090426)</t>
        </is>
      </c>
      <c r="DB3" s="9" t="n">
        <v>0</v>
      </c>
      <c r="DC3" s="9" t="inlineStr">
        <is>
          <t>5202 (090426)</t>
        </is>
      </c>
      <c r="DD3" s="9" t="inlineStr">
        <is>
          <t>5202 (090426)</t>
        </is>
      </c>
      <c r="DE3" s="9" t="n">
        <v>0</v>
      </c>
      <c r="DF3" s="9" t="inlineStr">
        <is>
          <t>5203 (090426)</t>
        </is>
      </c>
      <c r="DG3" s="9" t="inlineStr">
        <is>
          <t>5203 (090426)</t>
        </is>
      </c>
      <c r="DH3" s="9" t="n">
        <v>0</v>
      </c>
      <c r="DJ3" s="9" t="inlineStr">
        <is>
          <t>YH 123 (050226)</t>
        </is>
      </c>
      <c r="DK3" s="9" t="inlineStr">
        <is>
          <t>YH 123 (130326)</t>
        </is>
      </c>
      <c r="DL3" s="9" t="inlineStr">
        <is>
          <t>YH 123 (190326)</t>
        </is>
      </c>
      <c r="DM3" s="9" t="inlineStr">
        <is>
          <t>YH 123 (200426)</t>
        </is>
      </c>
      <c r="DN3" s="9" t="n">
        <v>0</v>
      </c>
      <c r="DO3" s="9" t="n">
        <v>0</v>
      </c>
      <c r="DP3" s="9" t="n">
        <v>0</v>
      </c>
      <c r="DQ3" s="9" t="n">
        <v>0</v>
      </c>
      <c r="DR3" s="9" t="n">
        <v>0</v>
      </c>
      <c r="DS3" s="9" t="n">
        <v>0</v>
      </c>
      <c r="DT3" s="9" t="n">
        <v>0</v>
      </c>
      <c r="DU3" s="9" t="n">
        <v>0</v>
      </c>
      <c r="DV3" s="9" t="n">
        <v>0</v>
      </c>
      <c r="DW3" s="9" t="n">
        <v>0</v>
      </c>
      <c r="DX3" s="9" t="n">
        <v>0</v>
      </c>
    </row>
    <row r="4">
      <c r="A4" s="9" t="inlineStr">
        <is>
          <t>JANUARY</t>
        </is>
      </c>
      <c r="B4" s="9" t="inlineStr">
        <is>
          <t>N01309AY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R4" s="9" t="inlineStr">
        <is>
          <t>N025-06</t>
        </is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H4" s="9" t="inlineStr">
        <is>
          <t>N035-06</t>
        </is>
      </c>
      <c r="AI4" s="9" t="inlineStr">
        <is>
          <t>WITH 1103 TOP UP</t>
        </is>
      </c>
      <c r="AJ4" s="9" t="n">
        <v>0</v>
      </c>
      <c r="AK4" s="9" t="n">
        <v>0</v>
      </c>
      <c r="AL4" s="9" t="n">
        <v>0</v>
      </c>
      <c r="AM4" s="9" t="n">
        <v>0</v>
      </c>
      <c r="AN4" s="9" t="n">
        <v>0</v>
      </c>
      <c r="AO4" s="9" t="n">
        <v>0</v>
      </c>
      <c r="AP4" s="9" t="n">
        <v>0</v>
      </c>
      <c r="AQ4" s="9" t="n">
        <v>0</v>
      </c>
      <c r="AR4" s="9" t="n">
        <v>0</v>
      </c>
      <c r="AS4" s="9" t="n">
        <v>0</v>
      </c>
      <c r="AT4" s="9" t="n">
        <v>0</v>
      </c>
      <c r="AU4" s="9" t="n">
        <v>0</v>
      </c>
      <c r="AV4" s="9" t="n">
        <v>0</v>
      </c>
      <c r="AX4" s="9" t="n">
        <v>0</v>
      </c>
      <c r="AY4" s="9" t="n">
        <v>0</v>
      </c>
      <c r="AZ4" s="9" t="n">
        <v>0</v>
      </c>
      <c r="BA4" s="9" t="n">
        <v>0</v>
      </c>
      <c r="BB4" s="9" t="n">
        <v>0</v>
      </c>
      <c r="BC4" s="9" t="n">
        <v>0</v>
      </c>
      <c r="BD4" s="9" t="n">
        <v>0</v>
      </c>
      <c r="BE4" s="9" t="n">
        <v>0</v>
      </c>
      <c r="BF4" s="9" t="n">
        <v>0</v>
      </c>
      <c r="BG4" s="9" t="n">
        <v>0</v>
      </c>
      <c r="BH4" s="9" t="n">
        <v>0</v>
      </c>
      <c r="BI4" s="9" t="n">
        <v>0</v>
      </c>
      <c r="BJ4" s="9" t="n">
        <v>0</v>
      </c>
      <c r="BK4" s="9" t="n">
        <v>0</v>
      </c>
      <c r="BL4" s="9" t="n">
        <v>0</v>
      </c>
      <c r="BN4" s="9" t="inlineStr">
        <is>
          <t>NR 14-04</t>
        </is>
      </c>
      <c r="BO4" s="9" t="n">
        <v>0</v>
      </c>
      <c r="BP4" s="9" t="n">
        <v>0</v>
      </c>
      <c r="BQ4" s="9" t="inlineStr">
        <is>
          <t>NR 24-04Z</t>
        </is>
      </c>
      <c r="BR4" s="9" t="inlineStr">
        <is>
          <t>WITH BMD</t>
        </is>
      </c>
      <c r="BS4" s="9" t="inlineStr">
        <is>
          <t>8102 Top Up&amp;PM 8108</t>
        </is>
      </c>
      <c r="BT4" s="9" t="inlineStr">
        <is>
          <t>8102 Top Up&amp;PM 8102</t>
        </is>
      </c>
      <c r="BU4" s="9" t="inlineStr">
        <is>
          <t>8102 Top Up&amp;PM 8102</t>
        </is>
      </c>
      <c r="BV4" s="9" t="inlineStr">
        <is>
          <t>8102 Top Up&amp;PM 8108</t>
        </is>
      </c>
      <c r="BW4" s="9" t="inlineStr">
        <is>
          <t>8103 Top Up&amp;PM 8103</t>
        </is>
      </c>
      <c r="BX4" s="9" t="inlineStr">
        <is>
          <t>8103 Top Up&amp;PM 8109</t>
        </is>
      </c>
      <c r="BY4" s="9" t="inlineStr">
        <is>
          <t xml:space="preserve">NR 34-04 </t>
        </is>
      </c>
      <c r="BZ4" s="9" t="inlineStr">
        <is>
          <t xml:space="preserve">NR 34-04 </t>
        </is>
      </c>
      <c r="CA4" s="9" t="inlineStr">
        <is>
          <t>8102 TOP UP</t>
        </is>
      </c>
      <c r="CB4" s="9" t="inlineStr">
        <is>
          <t>8103 TOP UP</t>
        </is>
      </c>
      <c r="CD4" s="9" t="inlineStr">
        <is>
          <t>SOYTIDE&amp;TOXISORB</t>
        </is>
      </c>
      <c r="CE4" s="9" t="inlineStr">
        <is>
          <t>SOYTIDE&amp;TOXIWALL</t>
        </is>
      </c>
      <c r="CF4" s="9" t="inlineStr">
        <is>
          <t>EP 200&amp;TOXIWALL</t>
        </is>
      </c>
      <c r="CG4" s="9" t="n">
        <v>0</v>
      </c>
      <c r="CH4" s="9" t="n">
        <v>0</v>
      </c>
      <c r="CI4" s="9" t="n">
        <v>0</v>
      </c>
      <c r="CJ4" s="9" t="n">
        <v>0</v>
      </c>
      <c r="CK4" s="9" t="n">
        <v>0</v>
      </c>
      <c r="CL4" s="9" t="n">
        <v>0</v>
      </c>
      <c r="CM4" s="9" t="n">
        <v>0</v>
      </c>
      <c r="CN4" s="9" t="n">
        <v>0</v>
      </c>
      <c r="CO4" s="9" t="n">
        <v>0</v>
      </c>
      <c r="CP4" s="9" t="n">
        <v>0</v>
      </c>
      <c r="CQ4" s="9" t="n">
        <v>0</v>
      </c>
      <c r="CR4" s="9" t="n">
        <v>0</v>
      </c>
      <c r="CT4" s="9" t="inlineStr">
        <is>
          <t>WITH TOXISORB</t>
        </is>
      </c>
      <c r="CU4" s="9" t="inlineStr">
        <is>
          <t>WITH TOXIWALL</t>
        </is>
      </c>
      <c r="CV4" s="9" t="inlineStr">
        <is>
          <t>WITH TOXIWALL, YM 20.50kg</t>
        </is>
      </c>
      <c r="CW4" s="9" t="n">
        <v>0</v>
      </c>
      <c r="CX4" s="9" t="n">
        <v>0</v>
      </c>
      <c r="CY4" s="9" t="n">
        <v>0</v>
      </c>
      <c r="CZ4" s="9" t="n">
        <v>0</v>
      </c>
      <c r="DA4" s="9" t="inlineStr">
        <is>
          <t>REDUCE CORN FOR 2MT</t>
        </is>
      </c>
      <c r="DB4" s="9" t="n">
        <v>0</v>
      </c>
      <c r="DC4" s="9" t="n">
        <v>0</v>
      </c>
      <c r="DD4" s="9" t="inlineStr">
        <is>
          <t>K20</t>
        </is>
      </c>
      <c r="DE4" s="9" t="n">
        <v>0</v>
      </c>
      <c r="DF4" s="9" t="inlineStr">
        <is>
          <t>ALREADY 2MT</t>
        </is>
      </c>
      <c r="DG4" s="9" t="inlineStr">
        <is>
          <t>K21</t>
        </is>
      </c>
      <c r="DH4" s="9" t="n">
        <v>0</v>
      </c>
      <c r="DJ4" s="9" t="inlineStr">
        <is>
          <t>WITH TOXISORB</t>
        </is>
      </c>
      <c r="DK4" s="9" t="inlineStr">
        <is>
          <t>WITHOUT WHEAT POLLARD</t>
        </is>
      </c>
      <c r="DL4" s="9" t="inlineStr">
        <is>
          <t>WITH TOXIWALL</t>
        </is>
      </c>
      <c r="DM4" s="9" t="inlineStr">
        <is>
          <t>WITH TOXIWALL, YM 20.00kg</t>
        </is>
      </c>
      <c r="DN4" s="9" t="n">
        <v>0</v>
      </c>
      <c r="DO4" s="9" t="n">
        <v>0</v>
      </c>
      <c r="DP4" s="9" t="n">
        <v>0</v>
      </c>
      <c r="DQ4" s="9" t="n">
        <v>0</v>
      </c>
      <c r="DR4" s="9" t="n">
        <v>0</v>
      </c>
      <c r="DS4" s="9" t="n">
        <v>0</v>
      </c>
      <c r="DT4" s="9" t="n">
        <v>0</v>
      </c>
      <c r="DU4" s="9" t="n">
        <v>0</v>
      </c>
      <c r="DV4" s="9" t="n">
        <v>0</v>
      </c>
      <c r="DW4" s="9" t="n">
        <v>0</v>
      </c>
      <c r="DX4" s="9" t="n">
        <v>0</v>
      </c>
    </row>
    <row r="5">
      <c r="A5" s="10" t="n">
        <v>46023</v>
      </c>
      <c r="EB5" s="9" t="inlineStr">
        <is>
          <t>N01309AY</t>
        </is>
      </c>
      <c r="EC5" s="9" t="n">
        <v>0</v>
      </c>
      <c r="ED5" s="9" t="n">
        <v>0</v>
      </c>
      <c r="EE5" s="9" t="n">
        <v>0</v>
      </c>
      <c r="EF5" s="9" t="n">
        <v>0</v>
      </c>
      <c r="EG5" s="9" t="n">
        <v>0</v>
      </c>
      <c r="EH5" s="9" t="n">
        <v>0</v>
      </c>
      <c r="EI5" s="9" t="n">
        <v>0</v>
      </c>
      <c r="EJ5" s="9" t="n">
        <v>0</v>
      </c>
      <c r="EK5" s="9" t="n">
        <v>0</v>
      </c>
      <c r="EL5" s="9" t="n">
        <v>0</v>
      </c>
      <c r="EM5" s="9" t="n">
        <v>0</v>
      </c>
      <c r="EN5" s="9" t="n">
        <v>0</v>
      </c>
      <c r="EO5" s="9" t="n">
        <v>0</v>
      </c>
      <c r="EP5" s="9" t="n">
        <v>0</v>
      </c>
      <c r="ER5" s="9" t="inlineStr">
        <is>
          <t>N025-06</t>
        </is>
      </c>
      <c r="ES5" s="9" t="n">
        <v>0</v>
      </c>
      <c r="ET5" s="9" t="n">
        <v>0</v>
      </c>
      <c r="EU5" s="9" t="n">
        <v>0</v>
      </c>
      <c r="EV5" s="9" t="n">
        <v>0</v>
      </c>
      <c r="EW5" s="9" t="n">
        <v>0</v>
      </c>
      <c r="EX5" s="9" t="n">
        <v>0</v>
      </c>
      <c r="EY5" s="9" t="n">
        <v>0</v>
      </c>
      <c r="EZ5" s="9" t="n">
        <v>0</v>
      </c>
      <c r="FA5" s="9" t="n">
        <v>0</v>
      </c>
      <c r="FB5" s="9" t="n">
        <v>0</v>
      </c>
      <c r="FC5" s="9" t="n">
        <v>0</v>
      </c>
      <c r="FD5" s="9" t="n">
        <v>0</v>
      </c>
      <c r="FE5" s="9" t="n">
        <v>0</v>
      </c>
      <c r="FF5" s="9" t="n">
        <v>0</v>
      </c>
      <c r="FH5" s="9" t="inlineStr">
        <is>
          <t>N035-06</t>
        </is>
      </c>
      <c r="FI5" s="9" t="inlineStr">
        <is>
          <t>WITH 1103 TOP UP</t>
        </is>
      </c>
      <c r="FJ5" s="9" t="n">
        <v>0</v>
      </c>
      <c r="FK5" s="9" t="n">
        <v>0</v>
      </c>
      <c r="FL5" s="9" t="n">
        <v>0</v>
      </c>
      <c r="FM5" s="9" t="n">
        <v>0</v>
      </c>
      <c r="FN5" s="9" t="n">
        <v>0</v>
      </c>
      <c r="FO5" s="9" t="n">
        <v>0</v>
      </c>
      <c r="FP5" s="9" t="n">
        <v>0</v>
      </c>
      <c r="FQ5" s="9" t="n">
        <v>0</v>
      </c>
      <c r="FR5" s="9" t="n">
        <v>0</v>
      </c>
      <c r="FS5" s="9" t="n">
        <v>0</v>
      </c>
      <c r="FT5" s="9" t="n">
        <v>0</v>
      </c>
      <c r="FU5" s="9" t="n">
        <v>0</v>
      </c>
      <c r="FV5" s="9" t="n">
        <v>0</v>
      </c>
      <c r="FX5" s="9" t="n">
        <v>0</v>
      </c>
      <c r="FY5" s="9" t="n">
        <v>0</v>
      </c>
      <c r="FZ5" s="9" t="n">
        <v>0</v>
      </c>
      <c r="GA5" s="9" t="n">
        <v>0</v>
      </c>
      <c r="GB5" s="9" t="n">
        <v>0</v>
      </c>
      <c r="GC5" s="9" t="n">
        <v>0</v>
      </c>
      <c r="GD5" s="9" t="n">
        <v>0</v>
      </c>
      <c r="GE5" s="9" t="n">
        <v>0</v>
      </c>
      <c r="GF5" s="9" t="n">
        <v>0</v>
      </c>
      <c r="GG5" s="9" t="n">
        <v>0</v>
      </c>
      <c r="GH5" s="9" t="n">
        <v>0</v>
      </c>
      <c r="GI5" s="9" t="n">
        <v>0</v>
      </c>
      <c r="GJ5" s="9" t="n">
        <v>0</v>
      </c>
      <c r="GK5" s="9" t="n">
        <v>0</v>
      </c>
      <c r="GL5" s="9" t="n">
        <v>0</v>
      </c>
      <c r="GN5" s="9" t="inlineStr">
        <is>
          <t>NR 14-04</t>
        </is>
      </c>
      <c r="GO5" s="9" t="n">
        <v>0</v>
      </c>
      <c r="GP5" s="9" t="n">
        <v>0</v>
      </c>
      <c r="GQ5" s="9" t="inlineStr">
        <is>
          <t>NR 24-04Z</t>
        </is>
      </c>
      <c r="GR5" s="9" t="inlineStr">
        <is>
          <t>WITH BMD</t>
        </is>
      </c>
      <c r="GS5" s="9" t="inlineStr">
        <is>
          <t>8102 Top Up&amp;PM 8108</t>
        </is>
      </c>
      <c r="GT5" s="9" t="inlineStr">
        <is>
          <t>8102 Top Up&amp;PM 8102</t>
        </is>
      </c>
      <c r="GU5" s="9" t="inlineStr">
        <is>
          <t>8102 Top Up&amp;PM 8102</t>
        </is>
      </c>
      <c r="GV5" s="9" t="inlineStr">
        <is>
          <t>8102 Top Up&amp;PM 8108</t>
        </is>
      </c>
      <c r="GW5" s="9" t="inlineStr">
        <is>
          <t>8103 Top Up&amp;PM 8103</t>
        </is>
      </c>
      <c r="GX5" s="9" t="inlineStr">
        <is>
          <t>8103 Top Up&amp;PM 8109</t>
        </is>
      </c>
      <c r="GY5" s="9" t="inlineStr">
        <is>
          <t xml:space="preserve">NR 34-04 </t>
        </is>
      </c>
      <c r="GZ5" s="9" t="inlineStr">
        <is>
          <t xml:space="preserve">NR 34-04 </t>
        </is>
      </c>
      <c r="HA5" s="9" t="inlineStr">
        <is>
          <t>8102 TOP UP</t>
        </is>
      </c>
      <c r="HB5" s="9" t="inlineStr">
        <is>
          <t>8103 TOP UP</t>
        </is>
      </c>
      <c r="HD5" s="9" t="inlineStr">
        <is>
          <t>SOYTIDE&amp;TOXISORB</t>
        </is>
      </c>
      <c r="HE5" s="9" t="inlineStr">
        <is>
          <t>SOYTIDE&amp;TOXIWALL</t>
        </is>
      </c>
      <c r="HF5" s="9" t="inlineStr">
        <is>
          <t>EP 200&amp;TOXIWALL</t>
        </is>
      </c>
      <c r="HG5" s="9" t="n">
        <v>0</v>
      </c>
      <c r="HH5" s="9" t="n">
        <v>0</v>
      </c>
      <c r="HI5" s="9" t="n">
        <v>0</v>
      </c>
      <c r="HJ5" s="9" t="n">
        <v>0</v>
      </c>
      <c r="HK5" s="9" t="n">
        <v>0</v>
      </c>
      <c r="HL5" s="9" t="n">
        <v>0</v>
      </c>
      <c r="HM5" s="9" t="n">
        <v>0</v>
      </c>
      <c r="HN5" s="9" t="n">
        <v>0</v>
      </c>
      <c r="HO5" s="9" t="n">
        <v>0</v>
      </c>
      <c r="HP5" s="9" t="n">
        <v>0</v>
      </c>
      <c r="HQ5" s="9" t="n">
        <v>0</v>
      </c>
      <c r="HR5" s="9" t="n">
        <v>0</v>
      </c>
      <c r="HT5" s="9" t="inlineStr">
        <is>
          <t>WITH TOXISORB</t>
        </is>
      </c>
      <c r="HU5" s="9" t="inlineStr">
        <is>
          <t>WITH TOXIWALL</t>
        </is>
      </c>
      <c r="HV5" s="9" t="inlineStr">
        <is>
          <t>WITH TOXIWALL, YM 20.50kg</t>
        </is>
      </c>
      <c r="HW5" s="9" t="n">
        <v>0</v>
      </c>
      <c r="HX5" s="9" t="n">
        <v>0</v>
      </c>
      <c r="HY5" s="9" t="n">
        <v>0</v>
      </c>
      <c r="HZ5" s="9" t="n">
        <v>0</v>
      </c>
      <c r="IA5" s="9" t="inlineStr">
        <is>
          <t>REDUCE CORN FOR 2MT</t>
        </is>
      </c>
      <c r="IB5" s="9" t="n">
        <v>0</v>
      </c>
      <c r="IC5" s="9" t="n">
        <v>0</v>
      </c>
      <c r="ID5" s="9" t="inlineStr">
        <is>
          <t>K20</t>
        </is>
      </c>
      <c r="IE5" s="9" t="n">
        <v>0</v>
      </c>
      <c r="IF5" s="9" t="inlineStr">
        <is>
          <t>ALREADY 2MT</t>
        </is>
      </c>
      <c r="IG5" s="9" t="inlineStr">
        <is>
          <t>K21</t>
        </is>
      </c>
      <c r="IH5" s="9" t="n">
        <v>0</v>
      </c>
      <c r="IJ5" s="9" t="inlineStr">
        <is>
          <t>WITH TOXISORB</t>
        </is>
      </c>
      <c r="IK5" s="9" t="inlineStr">
        <is>
          <t>WITHOUT WHEAT POLLARD</t>
        </is>
      </c>
      <c r="IL5" s="9" t="inlineStr">
        <is>
          <t>WITH TOXIWALL</t>
        </is>
      </c>
      <c r="IM5" s="9" t="inlineStr">
        <is>
          <t>WITH TOXIWALL, YM 20.00kg</t>
        </is>
      </c>
      <c r="IN5" s="9" t="n">
        <v>0</v>
      </c>
      <c r="IO5" s="9" t="n">
        <v>0</v>
      </c>
      <c r="IP5" s="9" t="n">
        <v>0</v>
      </c>
      <c r="IQ5" s="9" t="n">
        <v>0</v>
      </c>
      <c r="IR5" s="9" t="n">
        <v>0</v>
      </c>
      <c r="IS5" s="9" t="n">
        <v>0</v>
      </c>
      <c r="IT5" s="9" t="n">
        <v>0</v>
      </c>
      <c r="IU5" s="9" t="n">
        <v>0</v>
      </c>
      <c r="IV5" s="9" t="n">
        <v>0</v>
      </c>
      <c r="IW5" s="9" t="n">
        <v>0</v>
      </c>
      <c r="IX5" s="9" t="n">
        <v>0</v>
      </c>
    </row>
    <row r="6">
      <c r="A6" s="10" t="n">
        <v>46024</v>
      </c>
      <c r="AH6" s="9" t="n">
        <v>40</v>
      </c>
      <c r="BQ6" s="9" t="n">
        <v>28</v>
      </c>
    </row>
    <row r="7">
      <c r="A7" s="10" t="n">
        <v>46025</v>
      </c>
      <c r="AH7" s="9" t="n">
        <v>50</v>
      </c>
      <c r="BQ7" s="9" t="n">
        <v>12</v>
      </c>
      <c r="BR7" s="9" t="n">
        <v>30</v>
      </c>
      <c r="EA7" s="9" t="inlineStr">
        <is>
          <t>MAIZE/CORN</t>
        </is>
      </c>
      <c r="EB7" s="9" t="n">
        <v>535.1</v>
      </c>
      <c r="EC7" s="9" t="n">
        <v>568.4</v>
      </c>
      <c r="ED7" s="9" t="n">
        <v>0</v>
      </c>
      <c r="EE7" s="9" t="n">
        <v>0</v>
      </c>
      <c r="EF7" s="9" t="n">
        <v>0</v>
      </c>
      <c r="EG7" s="9" t="n">
        <v>0</v>
      </c>
      <c r="EH7" s="9" t="n">
        <v>0</v>
      </c>
      <c r="EI7" s="9" t="n">
        <v>0</v>
      </c>
      <c r="EJ7" s="9" t="n">
        <v>0</v>
      </c>
      <c r="EK7" s="9" t="n">
        <v>0</v>
      </c>
      <c r="EL7" s="9" t="n">
        <v>0</v>
      </c>
      <c r="EM7" s="9" t="n">
        <v>0</v>
      </c>
      <c r="EN7" s="9" t="n">
        <v>0</v>
      </c>
      <c r="EO7" s="9" t="n">
        <v>0</v>
      </c>
      <c r="EP7" s="9" t="n">
        <v>0</v>
      </c>
      <c r="ER7" s="9" t="n">
        <v>585.5</v>
      </c>
      <c r="ES7" s="9" t="n">
        <v>0</v>
      </c>
      <c r="ET7" s="9" t="n">
        <v>0</v>
      </c>
      <c r="EU7" s="9" t="n">
        <v>0</v>
      </c>
      <c r="EV7" s="9" t="n">
        <v>0</v>
      </c>
      <c r="EW7" s="9" t="n">
        <v>0</v>
      </c>
      <c r="EX7" s="9" t="n">
        <v>0</v>
      </c>
      <c r="EY7" s="9" t="n">
        <v>0</v>
      </c>
      <c r="EZ7" s="9" t="n">
        <v>0</v>
      </c>
      <c r="FA7" s="9" t="n">
        <v>0</v>
      </c>
      <c r="FB7" s="9" t="n">
        <v>0</v>
      </c>
      <c r="FC7" s="9" t="n">
        <v>0</v>
      </c>
      <c r="FD7" s="9" t="n">
        <v>0</v>
      </c>
      <c r="FE7" s="9" t="n">
        <v>0</v>
      </c>
      <c r="FF7" s="9" t="n">
        <v>0</v>
      </c>
      <c r="FH7" s="9" t="n">
        <v>627.5</v>
      </c>
      <c r="FI7" s="9" t="n">
        <v>649.2</v>
      </c>
      <c r="FJ7" s="9" t="n">
        <v>0</v>
      </c>
      <c r="FK7" s="9" t="n">
        <v>0</v>
      </c>
      <c r="FL7" s="9" t="n">
        <v>0</v>
      </c>
      <c r="FM7" s="9" t="n">
        <v>0</v>
      </c>
      <c r="FN7" s="9" t="n">
        <v>0</v>
      </c>
      <c r="FO7" s="9" t="n">
        <v>0</v>
      </c>
      <c r="FP7" s="9" t="n">
        <v>0</v>
      </c>
      <c r="FQ7" s="9" t="n">
        <v>0</v>
      </c>
      <c r="FR7" s="9" t="n">
        <v>0</v>
      </c>
      <c r="FS7" s="9" t="n">
        <v>0</v>
      </c>
      <c r="FT7" s="9" t="n">
        <v>0</v>
      </c>
      <c r="FU7" s="9" t="n">
        <v>0</v>
      </c>
      <c r="FV7" s="9" t="n">
        <v>0</v>
      </c>
      <c r="FX7" s="9" t="n">
        <v>0</v>
      </c>
      <c r="FY7" s="9" t="n">
        <v>0</v>
      </c>
      <c r="FZ7" s="9" t="n">
        <v>0</v>
      </c>
      <c r="GA7" s="9" t="n">
        <v>0</v>
      </c>
      <c r="GB7" s="9" t="n">
        <v>0</v>
      </c>
      <c r="GC7" s="9" t="n">
        <v>0</v>
      </c>
      <c r="GD7" s="9" t="n">
        <v>0</v>
      </c>
      <c r="GE7" s="9" t="n">
        <v>0</v>
      </c>
      <c r="GF7" s="9" t="n">
        <v>0</v>
      </c>
      <c r="GG7" s="9" t="n">
        <v>0</v>
      </c>
      <c r="GH7" s="9" t="n">
        <v>0</v>
      </c>
      <c r="GI7" s="9" t="n">
        <v>0</v>
      </c>
      <c r="GJ7" s="9" t="n">
        <v>0</v>
      </c>
      <c r="GK7" s="9" t="n">
        <v>0</v>
      </c>
      <c r="GL7" s="9" t="n">
        <v>0</v>
      </c>
      <c r="GN7" s="9" t="n">
        <v>539.1</v>
      </c>
      <c r="GO7" s="9" t="n">
        <v>538.3200000000002</v>
      </c>
      <c r="GP7" s="9" t="n">
        <v>0</v>
      </c>
      <c r="GQ7" s="9" t="n">
        <v>537.5</v>
      </c>
      <c r="GR7" s="9" t="n">
        <v>536.5</v>
      </c>
      <c r="GS7" s="9" t="n">
        <v>506.3799999999999</v>
      </c>
      <c r="GT7" s="9" t="n">
        <v>506.3799999999999</v>
      </c>
      <c r="GU7" s="9" t="n">
        <v>556.38</v>
      </c>
      <c r="GV7" s="9" t="n">
        <v>556.38</v>
      </c>
      <c r="GW7" s="9" t="n">
        <v>557.8799999999999</v>
      </c>
      <c r="GX7" s="9" t="n">
        <v>557.8799999999999</v>
      </c>
      <c r="GY7" s="9" t="n">
        <v>620.25</v>
      </c>
      <c r="GZ7" s="9" t="n">
        <v>620.4999999999999</v>
      </c>
      <c r="HA7" s="9" t="n">
        <v>555.38</v>
      </c>
      <c r="HB7" s="9" t="n">
        <v>555.88</v>
      </c>
      <c r="HD7" s="9" t="n">
        <v>515.55</v>
      </c>
      <c r="HE7" s="9" t="n">
        <v>516.55</v>
      </c>
      <c r="HF7" s="9" t="n">
        <v>519.0650000000001</v>
      </c>
      <c r="HG7" s="9" t="n">
        <v>0</v>
      </c>
      <c r="HH7" s="9" t="n">
        <v>0</v>
      </c>
      <c r="HI7" s="9" t="n">
        <v>0</v>
      </c>
      <c r="HJ7" s="9" t="n">
        <v>0</v>
      </c>
      <c r="HK7" s="9" t="n">
        <v>0</v>
      </c>
      <c r="HL7" s="9" t="n">
        <v>0</v>
      </c>
      <c r="HM7" s="9" t="n">
        <v>577.0000000000001</v>
      </c>
      <c r="HN7" s="9" t="n">
        <v>616</v>
      </c>
      <c r="HO7" s="9" t="n">
        <v>0</v>
      </c>
      <c r="HP7" s="9" t="n">
        <v>0</v>
      </c>
      <c r="HQ7" s="9" t="n">
        <v>0</v>
      </c>
      <c r="HR7" s="9" t="n">
        <v>0</v>
      </c>
      <c r="HT7" s="9" t="n">
        <v>501.3500000000001</v>
      </c>
      <c r="HU7" s="9" t="n">
        <v>502.35</v>
      </c>
      <c r="HV7" s="9" t="n">
        <v>501.3500000000001</v>
      </c>
      <c r="HW7" s="9" t="n">
        <v>0</v>
      </c>
      <c r="HX7" s="9" t="n">
        <v>0</v>
      </c>
      <c r="HY7" s="9" t="n">
        <v>0</v>
      </c>
      <c r="HZ7" s="9" t="n">
        <v>524.85</v>
      </c>
      <c r="IA7" s="9" t="n">
        <v>511.25</v>
      </c>
      <c r="IB7" s="9" t="n">
        <v>0</v>
      </c>
      <c r="IC7" s="9" t="n">
        <v>545.145</v>
      </c>
      <c r="ID7" s="9" t="n">
        <v>543.95</v>
      </c>
      <c r="IE7" s="9" t="n">
        <v>0</v>
      </c>
      <c r="IF7" s="9" t="n">
        <v>614.4</v>
      </c>
      <c r="IG7" s="9" t="n">
        <v>606.7</v>
      </c>
      <c r="IH7" s="9" t="n">
        <v>0</v>
      </c>
      <c r="IJ7" s="9" t="n">
        <v>534.5999999999999</v>
      </c>
      <c r="IK7" s="9" t="n">
        <v>501.03</v>
      </c>
      <c r="IL7" s="9" t="n">
        <v>535.6</v>
      </c>
      <c r="IM7" s="9" t="n">
        <v>534.5</v>
      </c>
      <c r="IN7" s="9" t="n">
        <v>0</v>
      </c>
      <c r="IO7" s="9" t="n">
        <v>0</v>
      </c>
      <c r="IP7" s="9" t="n">
        <v>0</v>
      </c>
      <c r="IQ7" s="9" t="n">
        <v>0</v>
      </c>
      <c r="IR7" s="9" t="n">
        <v>0</v>
      </c>
      <c r="IS7" s="9" t="n">
        <v>0</v>
      </c>
      <c r="IT7" s="9" t="n">
        <v>0</v>
      </c>
      <c r="IU7" s="9" t="n">
        <v>0</v>
      </c>
      <c r="IV7" s="9" t="n">
        <v>0</v>
      </c>
      <c r="IW7" s="9" t="n">
        <v>0</v>
      </c>
      <c r="IX7" s="9" t="n">
        <v>0</v>
      </c>
    </row>
    <row r="8">
      <c r="A8" s="10" t="n">
        <v>46026</v>
      </c>
      <c r="EA8" s="9" t="inlineStr">
        <is>
          <t>SOYBEAN MEAL (ARG)</t>
        </is>
      </c>
      <c r="EB8" s="9" t="n">
        <v>326.25</v>
      </c>
      <c r="EC8" s="9" t="n">
        <v>327.8</v>
      </c>
      <c r="ED8" s="9" t="n">
        <v>0</v>
      </c>
      <c r="EE8" s="9" t="n">
        <v>0</v>
      </c>
      <c r="EF8" s="9" t="n">
        <v>0</v>
      </c>
      <c r="EG8" s="9" t="n">
        <v>0</v>
      </c>
      <c r="EH8" s="9" t="n">
        <v>0</v>
      </c>
      <c r="EI8" s="9" t="n">
        <v>0</v>
      </c>
      <c r="EJ8" s="9" t="n">
        <v>0</v>
      </c>
      <c r="EK8" s="9" t="n">
        <v>0</v>
      </c>
      <c r="EL8" s="9" t="n">
        <v>0</v>
      </c>
      <c r="EM8" s="9" t="n">
        <v>0</v>
      </c>
      <c r="EN8" s="9" t="n">
        <v>0</v>
      </c>
      <c r="EO8" s="9" t="n">
        <v>0</v>
      </c>
      <c r="EP8" s="9" t="n">
        <v>0</v>
      </c>
      <c r="ER8" s="9" t="n">
        <v>254</v>
      </c>
      <c r="ES8" s="9" t="n">
        <v>0</v>
      </c>
      <c r="ET8" s="9" t="n">
        <v>0</v>
      </c>
      <c r="EU8" s="9" t="n">
        <v>0</v>
      </c>
      <c r="EV8" s="9" t="n">
        <v>0</v>
      </c>
      <c r="EW8" s="9" t="n">
        <v>0</v>
      </c>
      <c r="EX8" s="9" t="n">
        <v>0</v>
      </c>
      <c r="EY8" s="9" t="n">
        <v>0</v>
      </c>
      <c r="EZ8" s="9" t="n">
        <v>0</v>
      </c>
      <c r="FA8" s="9" t="n">
        <v>0</v>
      </c>
      <c r="FB8" s="9" t="n">
        <v>0</v>
      </c>
      <c r="FC8" s="9" t="n">
        <v>0</v>
      </c>
      <c r="FD8" s="9" t="n">
        <v>0</v>
      </c>
      <c r="FE8" s="9" t="n">
        <v>0</v>
      </c>
      <c r="FF8" s="9" t="n">
        <v>0</v>
      </c>
      <c r="FH8" s="9" t="n">
        <v>136.5</v>
      </c>
      <c r="FI8" s="9" t="n">
        <v>161.55</v>
      </c>
      <c r="FJ8" s="9" t="n">
        <v>0</v>
      </c>
      <c r="FK8" s="9" t="n">
        <v>0</v>
      </c>
      <c r="FL8" s="9" t="n">
        <v>0</v>
      </c>
      <c r="FM8" s="9" t="n">
        <v>0</v>
      </c>
      <c r="FN8" s="9" t="n">
        <v>0</v>
      </c>
      <c r="FO8" s="9" t="n">
        <v>0</v>
      </c>
      <c r="FP8" s="9" t="n">
        <v>0</v>
      </c>
      <c r="FQ8" s="9" t="n">
        <v>0</v>
      </c>
      <c r="FR8" s="9" t="n">
        <v>0</v>
      </c>
      <c r="FS8" s="9" t="n">
        <v>0</v>
      </c>
      <c r="FT8" s="9" t="n">
        <v>0</v>
      </c>
      <c r="FU8" s="9" t="n">
        <v>0</v>
      </c>
      <c r="FV8" s="9" t="n">
        <v>0</v>
      </c>
      <c r="FX8" s="9" t="n">
        <v>0</v>
      </c>
      <c r="FY8" s="9" t="n">
        <v>0</v>
      </c>
      <c r="FZ8" s="9" t="n">
        <v>0</v>
      </c>
      <c r="GA8" s="9" t="n">
        <v>0</v>
      </c>
      <c r="GB8" s="9" t="n">
        <v>0</v>
      </c>
      <c r="GC8" s="9" t="n">
        <v>0</v>
      </c>
      <c r="GD8" s="9" t="n">
        <v>0</v>
      </c>
      <c r="GE8" s="9" t="n">
        <v>0</v>
      </c>
      <c r="GF8" s="9" t="n">
        <v>0</v>
      </c>
      <c r="GG8" s="9" t="n">
        <v>0</v>
      </c>
      <c r="GH8" s="9" t="n">
        <v>0</v>
      </c>
      <c r="GI8" s="9" t="n">
        <v>0</v>
      </c>
      <c r="GJ8" s="9" t="n">
        <v>0</v>
      </c>
      <c r="GK8" s="9" t="n">
        <v>0</v>
      </c>
      <c r="GL8" s="9" t="n">
        <v>0</v>
      </c>
      <c r="GN8" s="9" t="n">
        <v>302</v>
      </c>
      <c r="GO8" s="9" t="n">
        <v>285.6</v>
      </c>
      <c r="GP8" s="9" t="n">
        <v>0</v>
      </c>
      <c r="GQ8" s="9" t="n">
        <v>278.9999999999999</v>
      </c>
      <c r="GR8" s="9" t="n">
        <v>278.9999999999999</v>
      </c>
      <c r="GS8" s="9" t="n">
        <v>317.2</v>
      </c>
      <c r="GT8" s="9" t="n">
        <v>317.2</v>
      </c>
      <c r="GU8" s="9" t="n">
        <v>317.2</v>
      </c>
      <c r="GV8" s="9" t="n">
        <v>317.2</v>
      </c>
      <c r="GW8" s="9" t="n">
        <v>317.2</v>
      </c>
      <c r="GX8" s="9" t="n">
        <v>317.2</v>
      </c>
      <c r="GY8" s="9" t="n">
        <v>201.75</v>
      </c>
      <c r="GZ8" s="9" t="n">
        <v>201.5</v>
      </c>
      <c r="HA8" s="9" t="n">
        <v>317.2</v>
      </c>
      <c r="HB8" s="9" t="n">
        <v>317.2</v>
      </c>
      <c r="HD8" s="9" t="n">
        <v>238.5</v>
      </c>
      <c r="HE8" s="9" t="n">
        <v>238.5</v>
      </c>
      <c r="HF8" s="9" t="n">
        <v>232.335</v>
      </c>
      <c r="HG8" s="9" t="n">
        <v>0</v>
      </c>
      <c r="HH8" s="9" t="n">
        <v>0</v>
      </c>
      <c r="HI8" s="9" t="n">
        <v>0</v>
      </c>
      <c r="HJ8" s="9" t="n">
        <v>0</v>
      </c>
      <c r="HK8" s="9" t="n">
        <v>0</v>
      </c>
      <c r="HL8" s="9" t="n">
        <v>0</v>
      </c>
      <c r="HM8" s="9" t="n">
        <v>257</v>
      </c>
      <c r="HN8" s="9" t="n">
        <v>200</v>
      </c>
      <c r="HO8" s="9" t="n">
        <v>0</v>
      </c>
      <c r="HP8" s="9" t="n">
        <v>0</v>
      </c>
      <c r="HQ8" s="9" t="n">
        <v>0</v>
      </c>
      <c r="HR8" s="9" t="n">
        <v>0</v>
      </c>
      <c r="HT8" s="9" t="n">
        <v>205</v>
      </c>
      <c r="HU8" s="9" t="n">
        <v>205</v>
      </c>
      <c r="HV8" s="9" t="n">
        <v>205</v>
      </c>
      <c r="HW8" s="9" t="n">
        <v>0</v>
      </c>
      <c r="HX8" s="9" t="n">
        <v>0</v>
      </c>
      <c r="HY8" s="9" t="n">
        <v>0</v>
      </c>
      <c r="HZ8" s="9" t="n">
        <v>336.07</v>
      </c>
      <c r="IA8" s="9" t="n">
        <v>336.07</v>
      </c>
      <c r="IB8" s="9" t="n">
        <v>0</v>
      </c>
      <c r="IC8" s="9" t="n">
        <v>297.485</v>
      </c>
      <c r="ID8" s="9" t="n">
        <v>297.5</v>
      </c>
      <c r="IE8" s="9" t="n">
        <v>0</v>
      </c>
      <c r="IF8" s="9" t="n">
        <v>223.8</v>
      </c>
      <c r="IG8" s="9" t="n">
        <v>215.6</v>
      </c>
      <c r="IH8" s="9" t="n">
        <v>0</v>
      </c>
      <c r="IJ8" s="9" t="n">
        <v>171.5</v>
      </c>
      <c r="IK8" s="9" t="n">
        <v>195</v>
      </c>
      <c r="IL8" s="9" t="n">
        <v>171.5</v>
      </c>
      <c r="IM8" s="9" t="n">
        <v>171.5</v>
      </c>
      <c r="IN8" s="9" t="n">
        <v>0</v>
      </c>
      <c r="IO8" s="9" t="n">
        <v>0</v>
      </c>
      <c r="IP8" s="9" t="n">
        <v>0</v>
      </c>
      <c r="IQ8" s="9" t="n">
        <v>0</v>
      </c>
      <c r="IR8" s="9" t="n">
        <v>0</v>
      </c>
      <c r="IS8" s="9" t="n">
        <v>0</v>
      </c>
      <c r="IT8" s="9" t="n">
        <v>0</v>
      </c>
      <c r="IU8" s="9" t="n">
        <v>0</v>
      </c>
      <c r="IV8" s="9" t="n">
        <v>0</v>
      </c>
      <c r="IW8" s="9" t="n">
        <v>0</v>
      </c>
      <c r="IX8" s="9" t="n">
        <v>0</v>
      </c>
    </row>
    <row r="9">
      <c r="A9" s="10" t="n">
        <v>46027</v>
      </c>
      <c r="BY9" s="9" t="n">
        <v>120</v>
      </c>
      <c r="EA9" s="9" t="inlineStr">
        <is>
          <t>SOYBEAN FULL FAT</t>
        </is>
      </c>
      <c r="EB9" s="9" t="n">
        <v>25</v>
      </c>
      <c r="EC9" s="9" t="n">
        <v>25</v>
      </c>
      <c r="ED9" s="9" t="n">
        <v>0</v>
      </c>
      <c r="EE9" s="9" t="n">
        <v>0</v>
      </c>
      <c r="EF9" s="9" t="n">
        <v>0</v>
      </c>
      <c r="EG9" s="9" t="n">
        <v>0</v>
      </c>
      <c r="EH9" s="9" t="n">
        <v>0</v>
      </c>
      <c r="EI9" s="9" t="n">
        <v>0</v>
      </c>
      <c r="EJ9" s="9" t="n">
        <v>0</v>
      </c>
      <c r="EK9" s="9" t="n">
        <v>0</v>
      </c>
      <c r="EL9" s="9" t="n">
        <v>0</v>
      </c>
      <c r="EM9" s="9" t="n">
        <v>0</v>
      </c>
      <c r="EN9" s="9" t="n">
        <v>0</v>
      </c>
      <c r="EO9" s="9" t="n">
        <v>0</v>
      </c>
      <c r="EP9" s="9" t="n">
        <v>0</v>
      </c>
      <c r="ER9" s="9" t="n">
        <v>25</v>
      </c>
      <c r="ES9" s="9" t="n">
        <v>0</v>
      </c>
      <c r="ET9" s="9" t="n">
        <v>0</v>
      </c>
      <c r="EU9" s="9" t="n">
        <v>0</v>
      </c>
      <c r="EV9" s="9" t="n">
        <v>0</v>
      </c>
      <c r="EW9" s="9" t="n">
        <v>0</v>
      </c>
      <c r="EX9" s="9" t="n">
        <v>0</v>
      </c>
      <c r="EY9" s="9" t="n">
        <v>0</v>
      </c>
      <c r="EZ9" s="9" t="n">
        <v>0</v>
      </c>
      <c r="FA9" s="9" t="n">
        <v>0</v>
      </c>
      <c r="FB9" s="9" t="n">
        <v>0</v>
      </c>
      <c r="FC9" s="9" t="n">
        <v>0</v>
      </c>
      <c r="FD9" s="9" t="n">
        <v>0</v>
      </c>
      <c r="FE9" s="9" t="n">
        <v>0</v>
      </c>
      <c r="FF9" s="9" t="n">
        <v>0</v>
      </c>
      <c r="FH9" s="9" t="n">
        <v>80</v>
      </c>
      <c r="FI9" s="9" t="n">
        <v>75</v>
      </c>
      <c r="FJ9" s="9" t="n">
        <v>0</v>
      </c>
      <c r="FK9" s="9" t="n">
        <v>0</v>
      </c>
      <c r="FL9" s="9" t="n">
        <v>0</v>
      </c>
      <c r="FM9" s="9" t="n">
        <v>0</v>
      </c>
      <c r="FN9" s="9" t="n">
        <v>0</v>
      </c>
      <c r="FO9" s="9" t="n">
        <v>0</v>
      </c>
      <c r="FP9" s="9" t="n">
        <v>0</v>
      </c>
      <c r="FQ9" s="9" t="n">
        <v>0</v>
      </c>
      <c r="FR9" s="9" t="n">
        <v>0</v>
      </c>
      <c r="FS9" s="9" t="n">
        <v>0</v>
      </c>
      <c r="FT9" s="9" t="n">
        <v>0</v>
      </c>
      <c r="FU9" s="9" t="n">
        <v>0</v>
      </c>
      <c r="FV9" s="9" t="n">
        <v>0</v>
      </c>
      <c r="FX9" s="9" t="n">
        <v>0</v>
      </c>
      <c r="FY9" s="9" t="n">
        <v>0</v>
      </c>
      <c r="FZ9" s="9" t="n">
        <v>0</v>
      </c>
      <c r="GA9" s="9" t="n">
        <v>0</v>
      </c>
      <c r="GB9" s="9" t="n">
        <v>0</v>
      </c>
      <c r="GC9" s="9" t="n">
        <v>0</v>
      </c>
      <c r="GD9" s="9" t="n">
        <v>0</v>
      </c>
      <c r="GE9" s="9" t="n">
        <v>0</v>
      </c>
      <c r="GF9" s="9" t="n">
        <v>0</v>
      </c>
      <c r="GG9" s="9" t="n">
        <v>0</v>
      </c>
      <c r="GH9" s="9" t="n">
        <v>0</v>
      </c>
      <c r="GI9" s="9" t="n">
        <v>0</v>
      </c>
      <c r="GJ9" s="9" t="n">
        <v>0</v>
      </c>
      <c r="GK9" s="9" t="n">
        <v>0</v>
      </c>
      <c r="GL9" s="9" t="n">
        <v>0</v>
      </c>
      <c r="GN9" s="9" t="n">
        <v>50</v>
      </c>
      <c r="GO9" s="9" t="n">
        <v>50</v>
      </c>
      <c r="GP9" s="9" t="n">
        <v>0</v>
      </c>
      <c r="GQ9" s="9" t="n">
        <v>50</v>
      </c>
      <c r="GR9" s="9" t="n">
        <v>50</v>
      </c>
      <c r="GS9" s="9" t="n">
        <v>50</v>
      </c>
      <c r="GT9" s="9" t="n">
        <v>50</v>
      </c>
      <c r="GU9" s="9" t="n">
        <v>50</v>
      </c>
      <c r="GV9" s="9" t="n">
        <v>50</v>
      </c>
      <c r="GW9" s="9" t="n">
        <v>50</v>
      </c>
      <c r="GX9" s="9" t="n">
        <v>50</v>
      </c>
      <c r="GY9" s="9" t="n">
        <v>45</v>
      </c>
      <c r="GZ9" s="9" t="n">
        <v>45</v>
      </c>
      <c r="HA9" s="9" t="n">
        <v>50</v>
      </c>
      <c r="HB9" s="9" t="n">
        <v>50</v>
      </c>
      <c r="HD9" s="9" t="n">
        <v>66.5</v>
      </c>
      <c r="HE9" s="9" t="n">
        <v>66.5</v>
      </c>
      <c r="HF9" s="9" t="n">
        <v>66.66500000000002</v>
      </c>
      <c r="HG9" s="9" t="n">
        <v>0</v>
      </c>
      <c r="HH9" s="9" t="n">
        <v>0</v>
      </c>
      <c r="HI9" s="9" t="n">
        <v>0</v>
      </c>
      <c r="HJ9" s="9" t="n">
        <v>0</v>
      </c>
      <c r="HK9" s="9" t="n">
        <v>0</v>
      </c>
      <c r="HL9" s="9" t="n">
        <v>0</v>
      </c>
      <c r="HM9" s="9" t="n">
        <v>30</v>
      </c>
      <c r="HN9" s="9" t="n">
        <v>40</v>
      </c>
      <c r="HO9" s="9" t="n">
        <v>0</v>
      </c>
      <c r="HP9" s="9" t="n">
        <v>0</v>
      </c>
      <c r="HQ9" s="9" t="n">
        <v>0</v>
      </c>
      <c r="HR9" s="9" t="n">
        <v>0</v>
      </c>
      <c r="HT9" s="9" t="n">
        <v>83.49999999999999</v>
      </c>
      <c r="HU9" s="9" t="n">
        <v>83.49999999999999</v>
      </c>
      <c r="HV9" s="9" t="n">
        <v>83.49999999999999</v>
      </c>
      <c r="HW9" s="9" t="n">
        <v>0</v>
      </c>
      <c r="HX9" s="9" t="n">
        <v>0</v>
      </c>
      <c r="HY9" s="9" t="n">
        <v>0</v>
      </c>
      <c r="HZ9" s="9" t="n">
        <v>50</v>
      </c>
      <c r="IA9" s="9" t="n">
        <v>50</v>
      </c>
      <c r="IB9" s="9" t="n">
        <v>0</v>
      </c>
      <c r="IC9" s="9" t="n">
        <v>60</v>
      </c>
      <c r="ID9" s="9" t="n">
        <v>60</v>
      </c>
      <c r="IE9" s="9" t="n">
        <v>0</v>
      </c>
      <c r="IF9" s="9" t="n">
        <v>70</v>
      </c>
      <c r="IG9" s="9" t="n">
        <v>70</v>
      </c>
      <c r="IH9" s="9" t="n">
        <v>0</v>
      </c>
      <c r="IJ9" s="9" t="n">
        <v>85</v>
      </c>
      <c r="IK9" s="9" t="n">
        <v>100</v>
      </c>
      <c r="IL9" s="9" t="n">
        <v>85</v>
      </c>
      <c r="IM9" s="9" t="n">
        <v>85</v>
      </c>
      <c r="IN9" s="9" t="n">
        <v>0</v>
      </c>
      <c r="IO9" s="9" t="n">
        <v>0</v>
      </c>
      <c r="IP9" s="9" t="n">
        <v>0</v>
      </c>
      <c r="IQ9" s="9" t="n">
        <v>0</v>
      </c>
      <c r="IR9" s="9" t="n">
        <v>0</v>
      </c>
      <c r="IS9" s="9" t="n">
        <v>0</v>
      </c>
      <c r="IT9" s="9" t="n">
        <v>0</v>
      </c>
      <c r="IU9" s="9" t="n">
        <v>0</v>
      </c>
      <c r="IV9" s="9" t="n">
        <v>0</v>
      </c>
      <c r="IW9" s="9" t="n">
        <v>0</v>
      </c>
      <c r="IX9" s="9" t="n">
        <v>0</v>
      </c>
    </row>
    <row r="10">
      <c r="A10" s="10" t="n">
        <v>46028</v>
      </c>
      <c r="BR10" s="9" t="n">
        <v>70</v>
      </c>
      <c r="BY10" s="9" t="n">
        <v>10</v>
      </c>
      <c r="EA10" s="9" t="inlineStr">
        <is>
          <t>WHEAT POLLARD</t>
        </is>
      </c>
      <c r="EB10" s="9" t="n">
        <v>50</v>
      </c>
      <c r="EC10" s="9" t="n">
        <v>0</v>
      </c>
      <c r="ED10" s="9" t="n">
        <v>0</v>
      </c>
      <c r="EE10" s="9" t="n">
        <v>0</v>
      </c>
      <c r="EF10" s="9" t="n">
        <v>0</v>
      </c>
      <c r="EG10" s="9" t="n">
        <v>0</v>
      </c>
      <c r="EH10" s="9" t="n">
        <v>0</v>
      </c>
      <c r="EI10" s="9" t="n">
        <v>0</v>
      </c>
      <c r="EJ10" s="9" t="n">
        <v>0</v>
      </c>
      <c r="EK10" s="9" t="n">
        <v>0</v>
      </c>
      <c r="EL10" s="9" t="n">
        <v>0</v>
      </c>
      <c r="EM10" s="9" t="n">
        <v>0</v>
      </c>
      <c r="EN10" s="9" t="n">
        <v>0</v>
      </c>
      <c r="EO10" s="9" t="n">
        <v>0</v>
      </c>
      <c r="EP10" s="9" t="n">
        <v>0</v>
      </c>
      <c r="ER10" s="9" t="n">
        <v>50</v>
      </c>
      <c r="ES10" s="9" t="n">
        <v>0</v>
      </c>
      <c r="ET10" s="9" t="n">
        <v>0</v>
      </c>
      <c r="EU10" s="9" t="n">
        <v>0</v>
      </c>
      <c r="EV10" s="9" t="n">
        <v>0</v>
      </c>
      <c r="EW10" s="9" t="n">
        <v>0</v>
      </c>
      <c r="EX10" s="9" t="n">
        <v>0</v>
      </c>
      <c r="EY10" s="9" t="n">
        <v>0</v>
      </c>
      <c r="EZ10" s="9" t="n">
        <v>0</v>
      </c>
      <c r="FA10" s="9" t="n">
        <v>0</v>
      </c>
      <c r="FB10" s="9" t="n">
        <v>0</v>
      </c>
      <c r="FC10" s="9" t="n">
        <v>0</v>
      </c>
      <c r="FD10" s="9" t="n">
        <v>0</v>
      </c>
      <c r="FE10" s="9" t="n">
        <v>0</v>
      </c>
      <c r="FF10" s="9" t="n">
        <v>0</v>
      </c>
      <c r="FH10" s="9" t="n">
        <v>70</v>
      </c>
      <c r="FI10" s="9" t="n">
        <v>0</v>
      </c>
      <c r="FJ10" s="9" t="n">
        <v>0</v>
      </c>
      <c r="FK10" s="9" t="n">
        <v>0</v>
      </c>
      <c r="FL10" s="9" t="n">
        <v>0</v>
      </c>
      <c r="FM10" s="9" t="n">
        <v>0</v>
      </c>
      <c r="FN10" s="9" t="n">
        <v>0</v>
      </c>
      <c r="FO10" s="9" t="n">
        <v>0</v>
      </c>
      <c r="FP10" s="9" t="n">
        <v>0</v>
      </c>
      <c r="FQ10" s="9" t="n">
        <v>0</v>
      </c>
      <c r="FR10" s="9" t="n">
        <v>0</v>
      </c>
      <c r="FS10" s="9" t="n">
        <v>0</v>
      </c>
      <c r="FT10" s="9" t="n">
        <v>0</v>
      </c>
      <c r="FU10" s="9" t="n">
        <v>0</v>
      </c>
      <c r="FV10" s="9" t="n">
        <v>0</v>
      </c>
      <c r="FX10" s="9" t="n">
        <v>0</v>
      </c>
      <c r="FY10" s="9" t="n">
        <v>0</v>
      </c>
      <c r="FZ10" s="9" t="n">
        <v>0</v>
      </c>
      <c r="GA10" s="9" t="n">
        <v>0</v>
      </c>
      <c r="GB10" s="9" t="n">
        <v>0</v>
      </c>
      <c r="GC10" s="9" t="n">
        <v>0</v>
      </c>
      <c r="GD10" s="9" t="n">
        <v>0</v>
      </c>
      <c r="GE10" s="9" t="n">
        <v>0</v>
      </c>
      <c r="GF10" s="9" t="n">
        <v>0</v>
      </c>
      <c r="GG10" s="9" t="n">
        <v>0</v>
      </c>
      <c r="GH10" s="9" t="n">
        <v>0</v>
      </c>
      <c r="GI10" s="9" t="n">
        <v>0</v>
      </c>
      <c r="GJ10" s="9" t="n">
        <v>0</v>
      </c>
      <c r="GK10" s="9" t="n">
        <v>0</v>
      </c>
      <c r="GL10" s="9" t="n">
        <v>0</v>
      </c>
      <c r="GN10" s="9" t="n">
        <v>25</v>
      </c>
      <c r="GO10" s="9" t="n">
        <v>0</v>
      </c>
      <c r="GP10" s="9" t="n">
        <v>0</v>
      </c>
      <c r="GQ10" s="9" t="n">
        <v>50</v>
      </c>
      <c r="GR10" s="9" t="n">
        <v>50</v>
      </c>
      <c r="GS10" s="9" t="n">
        <v>50</v>
      </c>
      <c r="GT10" s="9" t="n">
        <v>50</v>
      </c>
      <c r="GU10" s="9" t="n">
        <v>0</v>
      </c>
      <c r="GV10" s="9" t="n">
        <v>0</v>
      </c>
      <c r="GW10" s="9" t="n">
        <v>0</v>
      </c>
      <c r="GX10" s="9" t="n">
        <v>0</v>
      </c>
      <c r="GY10" s="9" t="n">
        <v>20</v>
      </c>
      <c r="GZ10" s="9" t="n">
        <v>20</v>
      </c>
      <c r="HA10" s="9" t="n">
        <v>0</v>
      </c>
      <c r="HB10" s="9" t="n">
        <v>0</v>
      </c>
      <c r="HD10" s="9" t="n">
        <v>10</v>
      </c>
      <c r="HE10" s="9" t="n">
        <v>10</v>
      </c>
      <c r="HF10" s="9" t="n">
        <v>12</v>
      </c>
      <c r="HG10" s="9" t="n">
        <v>0</v>
      </c>
      <c r="HH10" s="9" t="n">
        <v>0</v>
      </c>
      <c r="HI10" s="9" t="n">
        <v>0</v>
      </c>
      <c r="HJ10" s="9" t="n">
        <v>0</v>
      </c>
      <c r="HK10" s="9" t="n">
        <v>0</v>
      </c>
      <c r="HL10" s="9" t="n">
        <v>0</v>
      </c>
      <c r="HM10" s="9" t="n">
        <v>20</v>
      </c>
      <c r="HN10" s="9" t="n">
        <v>20</v>
      </c>
      <c r="HO10" s="9" t="n">
        <v>0</v>
      </c>
      <c r="HP10" s="9" t="n">
        <v>0</v>
      </c>
      <c r="HQ10" s="9" t="n">
        <v>0</v>
      </c>
      <c r="HR10" s="9" t="n">
        <v>0</v>
      </c>
      <c r="HT10" s="9" t="n">
        <v>13</v>
      </c>
      <c r="HU10" s="9" t="n">
        <v>13</v>
      </c>
      <c r="HV10" s="9" t="n">
        <v>13</v>
      </c>
      <c r="HW10" s="9" t="n">
        <v>0</v>
      </c>
      <c r="HX10" s="9" t="n">
        <v>0</v>
      </c>
      <c r="HY10" s="9" t="n">
        <v>0</v>
      </c>
      <c r="HZ10" s="9" t="n">
        <v>0</v>
      </c>
      <c r="IA10" s="9" t="n">
        <v>0</v>
      </c>
      <c r="IB10" s="9" t="n">
        <v>0</v>
      </c>
      <c r="IC10" s="9" t="n">
        <v>0</v>
      </c>
      <c r="ID10" s="9" t="n">
        <v>0</v>
      </c>
      <c r="IE10" s="9" t="n">
        <v>0</v>
      </c>
      <c r="IF10" s="9" t="n">
        <v>0</v>
      </c>
      <c r="IG10" s="9" t="n">
        <v>0</v>
      </c>
      <c r="IH10" s="9" t="n">
        <v>0</v>
      </c>
      <c r="IJ10" s="9" t="n">
        <v>12</v>
      </c>
      <c r="IK10" s="9" t="n">
        <v>0</v>
      </c>
      <c r="IL10" s="9" t="n">
        <v>12</v>
      </c>
      <c r="IM10" s="9" t="n">
        <v>12</v>
      </c>
      <c r="IN10" s="9" t="n">
        <v>0</v>
      </c>
      <c r="IO10" s="9" t="n">
        <v>0</v>
      </c>
      <c r="IP10" s="9" t="n">
        <v>0</v>
      </c>
      <c r="IQ10" s="9" t="n">
        <v>0</v>
      </c>
      <c r="IR10" s="9" t="n">
        <v>0</v>
      </c>
      <c r="IS10" s="9" t="n">
        <v>0</v>
      </c>
      <c r="IT10" s="9" t="n">
        <v>0</v>
      </c>
      <c r="IU10" s="9" t="n">
        <v>0</v>
      </c>
      <c r="IV10" s="9" t="n">
        <v>0</v>
      </c>
      <c r="IW10" s="9" t="n">
        <v>0</v>
      </c>
      <c r="IX10" s="9" t="n">
        <v>0</v>
      </c>
    </row>
    <row r="11">
      <c r="A11" s="10" t="n">
        <v>46029</v>
      </c>
      <c r="AH11" s="9" t="n">
        <v>10</v>
      </c>
      <c r="BR11" s="9" t="n">
        <v>50</v>
      </c>
      <c r="BY11" s="9" t="n">
        <v>20</v>
      </c>
      <c r="EA11" s="9" t="inlineStr">
        <is>
          <t>WHEAT</t>
        </is>
      </c>
      <c r="EB11" s="9" t="n">
        <v>0</v>
      </c>
      <c r="EC11" s="9" t="n">
        <v>0</v>
      </c>
      <c r="ED11" s="9" t="n">
        <v>0</v>
      </c>
      <c r="EE11" s="9" t="n">
        <v>0</v>
      </c>
      <c r="EF11" s="9" t="n">
        <v>0</v>
      </c>
      <c r="EG11" s="9" t="n">
        <v>0</v>
      </c>
      <c r="EH11" s="9" t="n">
        <v>0</v>
      </c>
      <c r="EI11" s="9" t="n">
        <v>0</v>
      </c>
      <c r="EJ11" s="9" t="n">
        <v>0</v>
      </c>
      <c r="EK11" s="9" t="n">
        <v>0</v>
      </c>
      <c r="EL11" s="9" t="n">
        <v>0</v>
      </c>
      <c r="EM11" s="9" t="n">
        <v>0</v>
      </c>
      <c r="EN11" s="9" t="n">
        <v>0</v>
      </c>
      <c r="EO11" s="9" t="n">
        <v>0</v>
      </c>
      <c r="EP11" s="9" t="n">
        <v>0</v>
      </c>
      <c r="ER11" s="9" t="n">
        <v>0</v>
      </c>
      <c r="ES11" s="9" t="n">
        <v>0</v>
      </c>
      <c r="ET11" s="9" t="n">
        <v>0</v>
      </c>
      <c r="EU11" s="9" t="n">
        <v>0</v>
      </c>
      <c r="EV11" s="9" t="n">
        <v>0</v>
      </c>
      <c r="EW11" s="9" t="n">
        <v>0</v>
      </c>
      <c r="EX11" s="9" t="n">
        <v>0</v>
      </c>
      <c r="EY11" s="9" t="n">
        <v>0</v>
      </c>
      <c r="EZ11" s="9" t="n">
        <v>0</v>
      </c>
      <c r="FA11" s="9" t="n">
        <v>0</v>
      </c>
      <c r="FB11" s="9" t="n">
        <v>0</v>
      </c>
      <c r="FC11" s="9" t="n">
        <v>0</v>
      </c>
      <c r="FD11" s="9" t="n">
        <v>0</v>
      </c>
      <c r="FE11" s="9" t="n">
        <v>0</v>
      </c>
      <c r="FF11" s="9" t="n">
        <v>0</v>
      </c>
      <c r="FH11" s="9" t="n">
        <v>0</v>
      </c>
      <c r="FI11" s="9" t="n">
        <v>0</v>
      </c>
      <c r="FJ11" s="9" t="n">
        <v>0</v>
      </c>
      <c r="FK11" s="9" t="n">
        <v>0</v>
      </c>
      <c r="FL11" s="9" t="n">
        <v>0</v>
      </c>
      <c r="FM11" s="9" t="n">
        <v>0</v>
      </c>
      <c r="FN11" s="9" t="n">
        <v>0</v>
      </c>
      <c r="FO11" s="9" t="n">
        <v>0</v>
      </c>
      <c r="FP11" s="9" t="n">
        <v>0</v>
      </c>
      <c r="FQ11" s="9" t="n">
        <v>0</v>
      </c>
      <c r="FR11" s="9" t="n">
        <v>0</v>
      </c>
      <c r="FS11" s="9" t="n">
        <v>0</v>
      </c>
      <c r="FT11" s="9" t="n">
        <v>0</v>
      </c>
      <c r="FU11" s="9" t="n">
        <v>0</v>
      </c>
      <c r="FV11" s="9" t="n">
        <v>0</v>
      </c>
      <c r="FX11" s="9" t="n">
        <v>0</v>
      </c>
      <c r="FY11" s="9" t="n">
        <v>0</v>
      </c>
      <c r="FZ11" s="9" t="n">
        <v>0</v>
      </c>
      <c r="GA11" s="9" t="n">
        <v>0</v>
      </c>
      <c r="GB11" s="9" t="n">
        <v>0</v>
      </c>
      <c r="GC11" s="9" t="n">
        <v>0</v>
      </c>
      <c r="GD11" s="9" t="n">
        <v>0</v>
      </c>
      <c r="GE11" s="9" t="n">
        <v>0</v>
      </c>
      <c r="GF11" s="9" t="n">
        <v>0</v>
      </c>
      <c r="GG11" s="9" t="n">
        <v>0</v>
      </c>
      <c r="GH11" s="9" t="n">
        <v>0</v>
      </c>
      <c r="GI11" s="9" t="n">
        <v>0</v>
      </c>
      <c r="GJ11" s="9" t="n">
        <v>0</v>
      </c>
      <c r="GK11" s="9" t="n">
        <v>0</v>
      </c>
      <c r="GL11" s="9" t="n">
        <v>0</v>
      </c>
      <c r="GN11" s="9" t="n">
        <v>0</v>
      </c>
      <c r="GO11" s="9" t="n">
        <v>0</v>
      </c>
      <c r="GP11" s="9" t="n">
        <v>0</v>
      </c>
      <c r="GQ11" s="9" t="n">
        <v>0</v>
      </c>
      <c r="GR11" s="9" t="n">
        <v>0</v>
      </c>
      <c r="GS11" s="9" t="n">
        <v>0</v>
      </c>
      <c r="GT11" s="9" t="n">
        <v>0</v>
      </c>
      <c r="GU11" s="9" t="n">
        <v>0</v>
      </c>
      <c r="GV11" s="9" t="n">
        <v>0</v>
      </c>
      <c r="GW11" s="9" t="n">
        <v>0</v>
      </c>
      <c r="GX11" s="9" t="n">
        <v>0</v>
      </c>
      <c r="GY11" s="9" t="n">
        <v>0</v>
      </c>
      <c r="GZ11" s="9" t="n">
        <v>0</v>
      </c>
      <c r="HA11" s="9" t="n">
        <v>0</v>
      </c>
      <c r="HB11" s="9" t="n">
        <v>0</v>
      </c>
      <c r="HD11" s="9" t="n">
        <v>0</v>
      </c>
      <c r="HE11" s="9" t="n">
        <v>0</v>
      </c>
      <c r="HF11" s="9" t="n">
        <v>0</v>
      </c>
      <c r="HG11" s="9" t="n">
        <v>0</v>
      </c>
      <c r="HH11" s="9" t="n">
        <v>0</v>
      </c>
      <c r="HI11" s="9" t="n">
        <v>0</v>
      </c>
      <c r="HJ11" s="9" t="n">
        <v>0</v>
      </c>
      <c r="HK11" s="9" t="n">
        <v>0</v>
      </c>
      <c r="HL11" s="9" t="n">
        <v>0</v>
      </c>
      <c r="HM11" s="9" t="n">
        <v>0</v>
      </c>
      <c r="HN11" s="9" t="n">
        <v>0</v>
      </c>
      <c r="HO11" s="9" t="n">
        <v>0</v>
      </c>
      <c r="HP11" s="9" t="n">
        <v>0</v>
      </c>
      <c r="HQ11" s="9" t="n">
        <v>0</v>
      </c>
      <c r="HR11" s="9" t="n">
        <v>0</v>
      </c>
      <c r="HT11" s="9" t="n">
        <v>0</v>
      </c>
      <c r="HU11" s="9" t="n">
        <v>0</v>
      </c>
      <c r="HV11" s="9" t="n">
        <v>0</v>
      </c>
      <c r="HW11" s="9" t="n">
        <v>0</v>
      </c>
      <c r="HX11" s="9" t="n">
        <v>0</v>
      </c>
      <c r="HY11" s="9" t="n">
        <v>0</v>
      </c>
      <c r="HZ11" s="9" t="n">
        <v>0</v>
      </c>
      <c r="IA11" s="9" t="n">
        <v>0</v>
      </c>
      <c r="IB11" s="9" t="n">
        <v>0</v>
      </c>
      <c r="IC11" s="9" t="n">
        <v>0</v>
      </c>
      <c r="ID11" s="9" t="n">
        <v>0</v>
      </c>
      <c r="IE11" s="9" t="n">
        <v>0</v>
      </c>
      <c r="IF11" s="9" t="n">
        <v>0</v>
      </c>
      <c r="IG11" s="9" t="n">
        <v>0</v>
      </c>
      <c r="IH11" s="9" t="n">
        <v>0</v>
      </c>
      <c r="IJ11" s="9" t="n">
        <v>0</v>
      </c>
      <c r="IK11" s="9" t="n">
        <v>0</v>
      </c>
      <c r="IL11" s="9" t="n">
        <v>0</v>
      </c>
      <c r="IM11" s="9" t="n">
        <v>0</v>
      </c>
      <c r="IN11" s="9" t="n">
        <v>0</v>
      </c>
      <c r="IO11" s="9" t="n">
        <v>0</v>
      </c>
      <c r="IP11" s="9" t="n">
        <v>0</v>
      </c>
      <c r="IQ11" s="9" t="n">
        <v>0</v>
      </c>
      <c r="IR11" s="9" t="n">
        <v>0</v>
      </c>
      <c r="IS11" s="9" t="n">
        <v>0</v>
      </c>
      <c r="IT11" s="9" t="n">
        <v>0</v>
      </c>
      <c r="IU11" s="9" t="n">
        <v>0</v>
      </c>
      <c r="IV11" s="9" t="n">
        <v>0</v>
      </c>
      <c r="IW11" s="9" t="n">
        <v>0</v>
      </c>
      <c r="IX11" s="9" t="n">
        <v>0</v>
      </c>
    </row>
    <row r="12">
      <c r="A12" s="10" t="n">
        <v>46030</v>
      </c>
      <c r="BR12" s="9" t="n">
        <v>30</v>
      </c>
      <c r="EA12" s="9" t="inlineStr">
        <is>
          <t>MEAT AND BONE MEAL</t>
        </is>
      </c>
      <c r="EB12" s="9" t="n">
        <v>20</v>
      </c>
      <c r="EC12" s="9" t="n">
        <v>20.2</v>
      </c>
      <c r="ED12" s="9" t="n">
        <v>0</v>
      </c>
      <c r="EE12" s="9" t="n">
        <v>0</v>
      </c>
      <c r="EF12" s="9" t="n">
        <v>0</v>
      </c>
      <c r="EG12" s="9" t="n">
        <v>0</v>
      </c>
      <c r="EH12" s="9" t="n">
        <v>0</v>
      </c>
      <c r="EI12" s="9" t="n">
        <v>0</v>
      </c>
      <c r="EJ12" s="9" t="n">
        <v>0</v>
      </c>
      <c r="EK12" s="9" t="n">
        <v>0</v>
      </c>
      <c r="EL12" s="9" t="n">
        <v>0</v>
      </c>
      <c r="EM12" s="9" t="n">
        <v>0</v>
      </c>
      <c r="EN12" s="9" t="n">
        <v>0</v>
      </c>
      <c r="EO12" s="9" t="n">
        <v>0</v>
      </c>
      <c r="EP12" s="9" t="n">
        <v>0</v>
      </c>
      <c r="ER12" s="9" t="n">
        <v>10</v>
      </c>
      <c r="ES12" s="9" t="n">
        <v>0</v>
      </c>
      <c r="ET12" s="9" t="n">
        <v>0</v>
      </c>
      <c r="EU12" s="9" t="n">
        <v>0</v>
      </c>
      <c r="EV12" s="9" t="n">
        <v>0</v>
      </c>
      <c r="EW12" s="9" t="n">
        <v>0</v>
      </c>
      <c r="EX12" s="9" t="n">
        <v>0</v>
      </c>
      <c r="EY12" s="9" t="n">
        <v>0</v>
      </c>
      <c r="EZ12" s="9" t="n">
        <v>0</v>
      </c>
      <c r="FA12" s="9" t="n">
        <v>0</v>
      </c>
      <c r="FB12" s="9" t="n">
        <v>0</v>
      </c>
      <c r="FC12" s="9" t="n">
        <v>0</v>
      </c>
      <c r="FD12" s="9" t="n">
        <v>0</v>
      </c>
      <c r="FE12" s="9" t="n">
        <v>0</v>
      </c>
      <c r="FF12" s="9" t="n">
        <v>0</v>
      </c>
      <c r="FH12" s="9" t="n">
        <v>15.5</v>
      </c>
      <c r="FI12" s="9" t="n">
        <v>15</v>
      </c>
      <c r="FJ12" s="9" t="n">
        <v>0</v>
      </c>
      <c r="FK12" s="9" t="n">
        <v>0</v>
      </c>
      <c r="FL12" s="9" t="n">
        <v>0</v>
      </c>
      <c r="FM12" s="9" t="n">
        <v>0</v>
      </c>
      <c r="FN12" s="9" t="n">
        <v>0</v>
      </c>
      <c r="FO12" s="9" t="n">
        <v>0</v>
      </c>
      <c r="FP12" s="9" t="n">
        <v>0</v>
      </c>
      <c r="FQ12" s="9" t="n">
        <v>0</v>
      </c>
      <c r="FR12" s="9" t="n">
        <v>0</v>
      </c>
      <c r="FS12" s="9" t="n">
        <v>0</v>
      </c>
      <c r="FT12" s="9" t="n">
        <v>0</v>
      </c>
      <c r="FU12" s="9" t="n">
        <v>0</v>
      </c>
      <c r="FV12" s="9" t="n">
        <v>0</v>
      </c>
      <c r="FX12" s="9" t="n">
        <v>0</v>
      </c>
      <c r="FY12" s="9" t="n">
        <v>0</v>
      </c>
      <c r="FZ12" s="9" t="n">
        <v>0</v>
      </c>
      <c r="GA12" s="9" t="n">
        <v>0</v>
      </c>
      <c r="GB12" s="9" t="n">
        <v>0</v>
      </c>
      <c r="GC12" s="9" t="n">
        <v>0</v>
      </c>
      <c r="GD12" s="9" t="n">
        <v>0</v>
      </c>
      <c r="GE12" s="9" t="n">
        <v>0</v>
      </c>
      <c r="GF12" s="9" t="n">
        <v>0</v>
      </c>
      <c r="GG12" s="9" t="n">
        <v>0</v>
      </c>
      <c r="GH12" s="9" t="n">
        <v>0</v>
      </c>
      <c r="GI12" s="9" t="n">
        <v>0</v>
      </c>
      <c r="GJ12" s="9" t="n">
        <v>0</v>
      </c>
      <c r="GK12" s="9" t="n">
        <v>0</v>
      </c>
      <c r="GL12" s="9" t="n">
        <v>0</v>
      </c>
      <c r="GN12" s="9" t="n">
        <v>20</v>
      </c>
      <c r="GO12" s="9" t="n">
        <v>20</v>
      </c>
      <c r="GP12" s="9" t="n">
        <v>0</v>
      </c>
      <c r="GQ12" s="9" t="n">
        <v>20</v>
      </c>
      <c r="GR12" s="9" t="n">
        <v>20</v>
      </c>
      <c r="GS12" s="9" t="n">
        <v>0</v>
      </c>
      <c r="GT12" s="9" t="n">
        <v>0</v>
      </c>
      <c r="GU12" s="9" t="n">
        <v>0</v>
      </c>
      <c r="GV12" s="9" t="n">
        <v>0</v>
      </c>
      <c r="GW12" s="9" t="n">
        <v>0</v>
      </c>
      <c r="GX12" s="9" t="n">
        <v>0</v>
      </c>
      <c r="GY12" s="9" t="n">
        <v>20</v>
      </c>
      <c r="GZ12" s="9" t="n">
        <v>20</v>
      </c>
      <c r="HA12" s="9" t="n">
        <v>0</v>
      </c>
      <c r="HB12" s="9" t="n">
        <v>0</v>
      </c>
      <c r="HD12" s="9" t="n">
        <v>25</v>
      </c>
      <c r="HE12" s="9" t="n">
        <v>25</v>
      </c>
      <c r="HF12" s="9" t="n">
        <v>25</v>
      </c>
      <c r="HG12" s="9" t="n">
        <v>0</v>
      </c>
      <c r="HH12" s="9" t="n">
        <v>0</v>
      </c>
      <c r="HI12" s="9" t="n">
        <v>0</v>
      </c>
      <c r="HJ12" s="9" t="n">
        <v>0</v>
      </c>
      <c r="HK12" s="9" t="n">
        <v>0</v>
      </c>
      <c r="HL12" s="9" t="n">
        <v>0</v>
      </c>
      <c r="HM12" s="9" t="n">
        <v>75</v>
      </c>
      <c r="HN12" s="9" t="n">
        <v>65</v>
      </c>
      <c r="HO12" s="9" t="n">
        <v>0</v>
      </c>
      <c r="HP12" s="9" t="n">
        <v>0</v>
      </c>
      <c r="HQ12" s="9" t="n">
        <v>0</v>
      </c>
      <c r="HR12" s="9" t="n">
        <v>0</v>
      </c>
      <c r="HT12" s="9" t="n">
        <v>0</v>
      </c>
      <c r="HU12" s="9" t="n">
        <v>0</v>
      </c>
      <c r="HV12" s="9" t="n">
        <v>0</v>
      </c>
      <c r="HW12" s="9" t="n">
        <v>0</v>
      </c>
      <c r="HX12" s="9" t="n">
        <v>0</v>
      </c>
      <c r="HY12" s="9" t="n">
        <v>0</v>
      </c>
      <c r="HZ12" s="9" t="n">
        <v>0</v>
      </c>
      <c r="IA12" s="9" t="n">
        <v>0</v>
      </c>
      <c r="IB12" s="9" t="n">
        <v>0</v>
      </c>
      <c r="IC12" s="9" t="n">
        <v>0</v>
      </c>
      <c r="ID12" s="9" t="n">
        <v>0</v>
      </c>
      <c r="IE12" s="9" t="n">
        <v>0</v>
      </c>
      <c r="IF12" s="9" t="n">
        <v>0</v>
      </c>
      <c r="IG12" s="9" t="n">
        <v>0</v>
      </c>
      <c r="IH12" s="9" t="n">
        <v>0</v>
      </c>
      <c r="IJ12" s="9" t="n">
        <v>0</v>
      </c>
      <c r="IK12" s="9" t="n">
        <v>0</v>
      </c>
      <c r="IL12" s="9" t="n">
        <v>0</v>
      </c>
      <c r="IM12" s="9" t="n">
        <v>0</v>
      </c>
      <c r="IN12" s="9" t="n">
        <v>0</v>
      </c>
      <c r="IO12" s="9" t="n">
        <v>0</v>
      </c>
      <c r="IP12" s="9" t="n">
        <v>0</v>
      </c>
      <c r="IQ12" s="9" t="n">
        <v>0</v>
      </c>
      <c r="IR12" s="9" t="n">
        <v>0</v>
      </c>
      <c r="IS12" s="9" t="n">
        <v>0</v>
      </c>
      <c r="IT12" s="9" t="n">
        <v>0</v>
      </c>
      <c r="IU12" s="9" t="n">
        <v>0</v>
      </c>
      <c r="IV12" s="9" t="n">
        <v>0</v>
      </c>
      <c r="IW12" s="9" t="n">
        <v>0</v>
      </c>
      <c r="IX12" s="9" t="n">
        <v>0</v>
      </c>
    </row>
    <row r="13">
      <c r="A13" s="10" t="n">
        <v>46031</v>
      </c>
      <c r="BR13" s="9" t="n">
        <v>40</v>
      </c>
      <c r="EA13" s="9" t="inlineStr">
        <is>
          <t>CORN GLUTEN MEAL</t>
        </is>
      </c>
      <c r="EB13" s="9" t="n">
        <v>0</v>
      </c>
      <c r="EC13" s="9" t="n">
        <v>0</v>
      </c>
      <c r="ED13" s="9" t="n">
        <v>0</v>
      </c>
      <c r="EE13" s="9" t="n">
        <v>0</v>
      </c>
      <c r="EF13" s="9" t="n">
        <v>0</v>
      </c>
      <c r="EG13" s="9" t="n">
        <v>0</v>
      </c>
      <c r="EH13" s="9" t="n">
        <v>0</v>
      </c>
      <c r="EI13" s="9" t="n">
        <v>0</v>
      </c>
      <c r="EJ13" s="9" t="n">
        <v>0</v>
      </c>
      <c r="EK13" s="9" t="n">
        <v>0</v>
      </c>
      <c r="EL13" s="9" t="n">
        <v>0</v>
      </c>
      <c r="EM13" s="9" t="n">
        <v>0</v>
      </c>
      <c r="EN13" s="9" t="n">
        <v>0</v>
      </c>
      <c r="EO13" s="9" t="n">
        <v>0</v>
      </c>
      <c r="EP13" s="9" t="n">
        <v>0</v>
      </c>
      <c r="ER13" s="9" t="n">
        <v>25</v>
      </c>
      <c r="ES13" s="9" t="n">
        <v>0</v>
      </c>
      <c r="ET13" s="9" t="n">
        <v>0</v>
      </c>
      <c r="EU13" s="9" t="n">
        <v>0</v>
      </c>
      <c r="EV13" s="9" t="n">
        <v>0</v>
      </c>
      <c r="EW13" s="9" t="n">
        <v>0</v>
      </c>
      <c r="EX13" s="9" t="n">
        <v>0</v>
      </c>
      <c r="EY13" s="9" t="n">
        <v>0</v>
      </c>
      <c r="EZ13" s="9" t="n">
        <v>0</v>
      </c>
      <c r="FA13" s="9" t="n">
        <v>0</v>
      </c>
      <c r="FB13" s="9" t="n">
        <v>0</v>
      </c>
      <c r="FC13" s="9" t="n">
        <v>0</v>
      </c>
      <c r="FD13" s="9" t="n">
        <v>0</v>
      </c>
      <c r="FE13" s="9" t="n">
        <v>0</v>
      </c>
      <c r="FF13" s="9" t="n">
        <v>0</v>
      </c>
      <c r="FH13" s="9" t="n">
        <v>25</v>
      </c>
      <c r="FI13" s="9" t="n">
        <v>20</v>
      </c>
      <c r="FJ13" s="9" t="n">
        <v>0</v>
      </c>
      <c r="FK13" s="9" t="n">
        <v>0</v>
      </c>
      <c r="FL13" s="9" t="n">
        <v>0</v>
      </c>
      <c r="FM13" s="9" t="n">
        <v>0</v>
      </c>
      <c r="FN13" s="9" t="n">
        <v>0</v>
      </c>
      <c r="FO13" s="9" t="n">
        <v>0</v>
      </c>
      <c r="FP13" s="9" t="n">
        <v>0</v>
      </c>
      <c r="FQ13" s="9" t="n">
        <v>0</v>
      </c>
      <c r="FR13" s="9" t="n">
        <v>0</v>
      </c>
      <c r="FS13" s="9" t="n">
        <v>0</v>
      </c>
      <c r="FT13" s="9" t="n">
        <v>0</v>
      </c>
      <c r="FU13" s="9" t="n">
        <v>0</v>
      </c>
      <c r="FV13" s="9" t="n">
        <v>0</v>
      </c>
      <c r="FX13" s="9" t="n">
        <v>0</v>
      </c>
      <c r="FY13" s="9" t="n">
        <v>0</v>
      </c>
      <c r="FZ13" s="9" t="n">
        <v>0</v>
      </c>
      <c r="GA13" s="9" t="n">
        <v>0</v>
      </c>
      <c r="GB13" s="9" t="n">
        <v>0</v>
      </c>
      <c r="GC13" s="9" t="n">
        <v>0</v>
      </c>
      <c r="GD13" s="9" t="n">
        <v>0</v>
      </c>
      <c r="GE13" s="9" t="n">
        <v>0</v>
      </c>
      <c r="GF13" s="9" t="n">
        <v>0</v>
      </c>
      <c r="GG13" s="9" t="n">
        <v>0</v>
      </c>
      <c r="GH13" s="9" t="n">
        <v>0</v>
      </c>
      <c r="GI13" s="9" t="n">
        <v>0</v>
      </c>
      <c r="GJ13" s="9" t="n">
        <v>0</v>
      </c>
      <c r="GK13" s="9" t="n">
        <v>0</v>
      </c>
      <c r="GL13" s="9" t="n">
        <v>0</v>
      </c>
      <c r="GN13" s="9" t="n">
        <v>20</v>
      </c>
      <c r="GO13" s="9" t="n">
        <v>15</v>
      </c>
      <c r="GP13" s="9" t="n">
        <v>0</v>
      </c>
      <c r="GQ13" s="9" t="n">
        <v>20</v>
      </c>
      <c r="GR13" s="9" t="n">
        <v>20</v>
      </c>
      <c r="GS13" s="9" t="n">
        <v>19.5</v>
      </c>
      <c r="GT13" s="9" t="n">
        <v>19.5</v>
      </c>
      <c r="GU13" s="9" t="n">
        <v>19.5</v>
      </c>
      <c r="GV13" s="9" t="n">
        <v>19.5</v>
      </c>
      <c r="GW13" s="9" t="n">
        <v>19.5</v>
      </c>
      <c r="GX13" s="9" t="n">
        <v>19.5</v>
      </c>
      <c r="GY13" s="9" t="n">
        <v>20</v>
      </c>
      <c r="GZ13" s="9" t="n">
        <v>20</v>
      </c>
      <c r="HA13" s="9" t="n">
        <v>19.5</v>
      </c>
      <c r="HB13" s="9" t="n">
        <v>19.5</v>
      </c>
      <c r="HD13" s="9" t="n">
        <v>28</v>
      </c>
      <c r="HE13" s="9" t="n">
        <v>28</v>
      </c>
      <c r="HF13" s="9" t="n">
        <v>34</v>
      </c>
      <c r="HG13" s="9" t="n">
        <v>0</v>
      </c>
      <c r="HH13" s="9" t="n">
        <v>0</v>
      </c>
      <c r="HI13" s="9" t="n">
        <v>0</v>
      </c>
      <c r="HJ13" s="9" t="n">
        <v>0</v>
      </c>
      <c r="HK13" s="9" t="n">
        <v>0</v>
      </c>
      <c r="HL13" s="9" t="n">
        <v>0</v>
      </c>
      <c r="HM13" s="9" t="n">
        <v>0</v>
      </c>
      <c r="HN13" s="9" t="n">
        <v>10</v>
      </c>
      <c r="HO13" s="9" t="n">
        <v>0</v>
      </c>
      <c r="HP13" s="9" t="n">
        <v>0</v>
      </c>
      <c r="HQ13" s="9" t="n">
        <v>0</v>
      </c>
      <c r="HR13" s="9" t="n">
        <v>0</v>
      </c>
      <c r="HT13" s="9" t="n">
        <v>42</v>
      </c>
      <c r="HU13" s="9" t="n">
        <v>42</v>
      </c>
      <c r="HV13" s="9" t="n">
        <v>42</v>
      </c>
      <c r="HW13" s="9" t="n">
        <v>0</v>
      </c>
      <c r="HX13" s="9" t="n">
        <v>0</v>
      </c>
      <c r="HY13" s="9" t="n">
        <v>0</v>
      </c>
      <c r="HZ13" s="9" t="n">
        <v>0</v>
      </c>
      <c r="IA13" s="9" t="n">
        <v>0</v>
      </c>
      <c r="IB13" s="9" t="n">
        <v>0</v>
      </c>
      <c r="IC13" s="9" t="n">
        <v>0</v>
      </c>
      <c r="ID13" s="9" t="n">
        <v>0</v>
      </c>
      <c r="IE13" s="9" t="n">
        <v>0</v>
      </c>
      <c r="IF13" s="9" t="n">
        <v>10</v>
      </c>
      <c r="IG13" s="9" t="n">
        <v>10</v>
      </c>
      <c r="IH13" s="9" t="n">
        <v>0</v>
      </c>
      <c r="IJ13" s="9" t="n">
        <v>45</v>
      </c>
      <c r="IK13" s="9" t="n">
        <v>0</v>
      </c>
      <c r="IL13" s="9" t="n">
        <v>45</v>
      </c>
      <c r="IM13" s="9" t="n">
        <v>45</v>
      </c>
      <c r="IN13" s="9" t="n">
        <v>0</v>
      </c>
      <c r="IO13" s="9" t="n">
        <v>0</v>
      </c>
      <c r="IP13" s="9" t="n">
        <v>0</v>
      </c>
      <c r="IQ13" s="9" t="n">
        <v>0</v>
      </c>
      <c r="IR13" s="9" t="n">
        <v>0</v>
      </c>
      <c r="IS13" s="9" t="n">
        <v>0</v>
      </c>
      <c r="IT13" s="9" t="n">
        <v>0</v>
      </c>
      <c r="IU13" s="9" t="n">
        <v>0</v>
      </c>
      <c r="IV13" s="9" t="n">
        <v>0</v>
      </c>
      <c r="IW13" s="9" t="n">
        <v>0</v>
      </c>
      <c r="IX13" s="9" t="n">
        <v>0</v>
      </c>
    </row>
    <row r="14">
      <c r="A14" s="10" t="n">
        <v>46032</v>
      </c>
      <c r="BN14" s="9" t="n">
        <v>22</v>
      </c>
      <c r="EA14" s="9" t="inlineStr">
        <is>
          <t>MEGAFAT (HARUMI)</t>
        </is>
      </c>
      <c r="EB14" s="9" t="n">
        <v>20</v>
      </c>
      <c r="EC14" s="9" t="n">
        <v>11.5</v>
      </c>
      <c r="ED14" s="9" t="n">
        <v>0</v>
      </c>
      <c r="EE14" s="9" t="n">
        <v>0</v>
      </c>
      <c r="EF14" s="9" t="n">
        <v>0</v>
      </c>
      <c r="EG14" s="9" t="n">
        <v>0</v>
      </c>
      <c r="EH14" s="9" t="n">
        <v>0</v>
      </c>
      <c r="EI14" s="9" t="n">
        <v>0</v>
      </c>
      <c r="EJ14" s="9" t="n">
        <v>0</v>
      </c>
      <c r="EK14" s="9" t="n">
        <v>0</v>
      </c>
      <c r="EL14" s="9" t="n">
        <v>0</v>
      </c>
      <c r="EM14" s="9" t="n">
        <v>0</v>
      </c>
      <c r="EN14" s="9" t="n">
        <v>0</v>
      </c>
      <c r="EO14" s="9" t="n">
        <v>0</v>
      </c>
      <c r="EP14" s="9" t="n">
        <v>0</v>
      </c>
      <c r="ER14" s="9" t="n">
        <v>25</v>
      </c>
      <c r="ES14" s="9" t="n">
        <v>0</v>
      </c>
      <c r="ET14" s="9" t="n">
        <v>0</v>
      </c>
      <c r="EU14" s="9" t="n">
        <v>0</v>
      </c>
      <c r="EV14" s="9" t="n">
        <v>0</v>
      </c>
      <c r="EW14" s="9" t="n">
        <v>0</v>
      </c>
      <c r="EX14" s="9" t="n">
        <v>0</v>
      </c>
      <c r="EY14" s="9" t="n">
        <v>0</v>
      </c>
      <c r="EZ14" s="9" t="n">
        <v>0</v>
      </c>
      <c r="FA14" s="9" t="n">
        <v>0</v>
      </c>
      <c r="FB14" s="9" t="n">
        <v>0</v>
      </c>
      <c r="FC14" s="9" t="n">
        <v>0</v>
      </c>
      <c r="FD14" s="9" t="n">
        <v>0</v>
      </c>
      <c r="FE14" s="9" t="n">
        <v>0</v>
      </c>
      <c r="FF14" s="9" t="n">
        <v>0</v>
      </c>
      <c r="FH14" s="9" t="n">
        <v>25</v>
      </c>
      <c r="FI14" s="9" t="n">
        <v>27</v>
      </c>
      <c r="FJ14" s="9" t="n">
        <v>0</v>
      </c>
      <c r="FK14" s="9" t="n">
        <v>0</v>
      </c>
      <c r="FL14" s="9" t="n">
        <v>0</v>
      </c>
      <c r="FM14" s="9" t="n">
        <v>0</v>
      </c>
      <c r="FN14" s="9" t="n">
        <v>0</v>
      </c>
      <c r="FO14" s="9" t="n">
        <v>0</v>
      </c>
      <c r="FP14" s="9" t="n">
        <v>0</v>
      </c>
      <c r="FQ14" s="9" t="n">
        <v>0</v>
      </c>
      <c r="FR14" s="9" t="n">
        <v>0</v>
      </c>
      <c r="FS14" s="9" t="n">
        <v>0</v>
      </c>
      <c r="FT14" s="9" t="n">
        <v>0</v>
      </c>
      <c r="FU14" s="9" t="n">
        <v>0</v>
      </c>
      <c r="FV14" s="9" t="n">
        <v>0</v>
      </c>
      <c r="FX14" s="9" t="n">
        <v>0</v>
      </c>
      <c r="FY14" s="9" t="n">
        <v>0</v>
      </c>
      <c r="FZ14" s="9" t="n">
        <v>0</v>
      </c>
      <c r="GA14" s="9" t="n">
        <v>0</v>
      </c>
      <c r="GB14" s="9" t="n">
        <v>0</v>
      </c>
      <c r="GC14" s="9" t="n">
        <v>0</v>
      </c>
      <c r="GD14" s="9" t="n">
        <v>0</v>
      </c>
      <c r="GE14" s="9" t="n">
        <v>0</v>
      </c>
      <c r="GF14" s="9" t="n">
        <v>0</v>
      </c>
      <c r="GG14" s="9" t="n">
        <v>0</v>
      </c>
      <c r="GH14" s="9" t="n">
        <v>0</v>
      </c>
      <c r="GI14" s="9" t="n">
        <v>0</v>
      </c>
      <c r="GJ14" s="9" t="n">
        <v>0</v>
      </c>
      <c r="GK14" s="9" t="n">
        <v>0</v>
      </c>
      <c r="GL14" s="9" t="n">
        <v>0</v>
      </c>
      <c r="GN14" s="9" t="n">
        <v>13</v>
      </c>
      <c r="GO14" s="9" t="n">
        <v>10</v>
      </c>
      <c r="GP14" s="9" t="n">
        <v>0</v>
      </c>
      <c r="GQ14" s="9" t="n">
        <v>20</v>
      </c>
      <c r="GR14" s="9" t="n">
        <v>20</v>
      </c>
      <c r="GS14" s="9" t="n">
        <v>23.5</v>
      </c>
      <c r="GT14" s="9" t="n">
        <v>23.5</v>
      </c>
      <c r="GU14" s="9" t="n">
        <v>23.5</v>
      </c>
      <c r="GV14" s="9" t="n">
        <v>23.5</v>
      </c>
      <c r="GW14" s="9" t="n">
        <v>23.5</v>
      </c>
      <c r="GX14" s="9" t="n">
        <v>23.5</v>
      </c>
      <c r="GY14" s="9" t="n">
        <v>15</v>
      </c>
      <c r="GZ14" s="9" t="n">
        <v>15</v>
      </c>
      <c r="HA14" s="9" t="n">
        <v>23.5</v>
      </c>
      <c r="HB14" s="9" t="n">
        <v>23.5</v>
      </c>
      <c r="HD14" s="9" t="n">
        <v>15</v>
      </c>
      <c r="HE14" s="9" t="n">
        <v>15</v>
      </c>
      <c r="HF14" s="9" t="n">
        <v>14.665</v>
      </c>
      <c r="HG14" s="9" t="n">
        <v>0</v>
      </c>
      <c r="HH14" s="9" t="n">
        <v>0</v>
      </c>
      <c r="HI14" s="9" t="n">
        <v>0</v>
      </c>
      <c r="HJ14" s="9" t="n">
        <v>0</v>
      </c>
      <c r="HK14" s="9" t="n">
        <v>0</v>
      </c>
      <c r="HL14" s="9" t="n">
        <v>0</v>
      </c>
      <c r="HM14" s="9" t="n">
        <v>13</v>
      </c>
      <c r="HN14" s="9" t="n">
        <v>23</v>
      </c>
      <c r="HO14" s="9" t="n">
        <v>0</v>
      </c>
      <c r="HP14" s="9" t="n">
        <v>0</v>
      </c>
      <c r="HQ14" s="9" t="n">
        <v>0</v>
      </c>
      <c r="HR14" s="9" t="n">
        <v>0</v>
      </c>
      <c r="HT14" s="9" t="n">
        <v>20</v>
      </c>
      <c r="HU14" s="9" t="n">
        <v>20</v>
      </c>
      <c r="HV14" s="9" t="n">
        <v>20</v>
      </c>
      <c r="HW14" s="9" t="n">
        <v>0</v>
      </c>
      <c r="HX14" s="9" t="n">
        <v>0</v>
      </c>
      <c r="HY14" s="9" t="n">
        <v>0</v>
      </c>
      <c r="HZ14" s="9" t="n">
        <v>0</v>
      </c>
      <c r="IA14" s="9" t="n">
        <v>0</v>
      </c>
      <c r="IB14" s="9" t="n">
        <v>0</v>
      </c>
      <c r="IC14" s="9" t="n">
        <v>5</v>
      </c>
      <c r="ID14" s="9" t="n">
        <v>5</v>
      </c>
      <c r="IE14" s="9" t="n">
        <v>0</v>
      </c>
      <c r="IF14" s="9" t="n">
        <v>5</v>
      </c>
      <c r="IG14" s="9" t="n">
        <v>5</v>
      </c>
      <c r="IH14" s="9" t="n">
        <v>0</v>
      </c>
      <c r="IJ14" s="9" t="n">
        <v>19.5</v>
      </c>
      <c r="IK14" s="9" t="n">
        <v>25</v>
      </c>
      <c r="IL14" s="9" t="n">
        <v>19.5</v>
      </c>
      <c r="IM14" s="9" t="n">
        <v>19.5</v>
      </c>
      <c r="IN14" s="9" t="n">
        <v>0</v>
      </c>
      <c r="IO14" s="9" t="n">
        <v>0</v>
      </c>
      <c r="IP14" s="9" t="n">
        <v>0</v>
      </c>
      <c r="IQ14" s="9" t="n">
        <v>0</v>
      </c>
      <c r="IR14" s="9" t="n">
        <v>0</v>
      </c>
      <c r="IS14" s="9" t="n">
        <v>0</v>
      </c>
      <c r="IT14" s="9" t="n">
        <v>0</v>
      </c>
      <c r="IU14" s="9" t="n">
        <v>0</v>
      </c>
      <c r="IV14" s="9" t="n">
        <v>0</v>
      </c>
      <c r="IW14" s="9" t="n">
        <v>0</v>
      </c>
      <c r="IX14" s="9" t="n">
        <v>0</v>
      </c>
    </row>
    <row r="15">
      <c r="A15" s="10" t="n">
        <v>46033</v>
      </c>
      <c r="EA15" s="9" t="inlineStr">
        <is>
          <t>DCP 18%</t>
        </is>
      </c>
      <c r="EB15" s="9" t="n">
        <v>2.25</v>
      </c>
      <c r="EC15" s="9" t="n">
        <v>0</v>
      </c>
      <c r="ED15" s="9" t="n">
        <v>0</v>
      </c>
      <c r="EE15" s="9" t="n">
        <v>0</v>
      </c>
      <c r="EF15" s="9" t="n">
        <v>0</v>
      </c>
      <c r="EG15" s="9" t="n">
        <v>0</v>
      </c>
      <c r="EH15" s="9" t="n">
        <v>0</v>
      </c>
      <c r="EI15" s="9" t="n">
        <v>0</v>
      </c>
      <c r="EJ15" s="9" t="n">
        <v>0</v>
      </c>
      <c r="EK15" s="9" t="n">
        <v>0</v>
      </c>
      <c r="EL15" s="9" t="n">
        <v>0</v>
      </c>
      <c r="EM15" s="9" t="n">
        <v>0</v>
      </c>
      <c r="EN15" s="9" t="n">
        <v>0</v>
      </c>
      <c r="EO15" s="9" t="n">
        <v>0</v>
      </c>
      <c r="EP15" s="9" t="n">
        <v>0</v>
      </c>
      <c r="ER15" s="9" t="n">
        <v>0</v>
      </c>
      <c r="ES15" s="9" t="n">
        <v>0</v>
      </c>
      <c r="ET15" s="9" t="n">
        <v>0</v>
      </c>
      <c r="EU15" s="9" t="n">
        <v>0</v>
      </c>
      <c r="EV15" s="9" t="n">
        <v>0</v>
      </c>
      <c r="EW15" s="9" t="n">
        <v>0</v>
      </c>
      <c r="EX15" s="9" t="n">
        <v>0</v>
      </c>
      <c r="EY15" s="9" t="n">
        <v>0</v>
      </c>
      <c r="EZ15" s="9" t="n">
        <v>0</v>
      </c>
      <c r="FA15" s="9" t="n">
        <v>0</v>
      </c>
      <c r="FB15" s="9" t="n">
        <v>0</v>
      </c>
      <c r="FC15" s="9" t="n">
        <v>0</v>
      </c>
      <c r="FD15" s="9" t="n">
        <v>0</v>
      </c>
      <c r="FE15" s="9" t="n">
        <v>0</v>
      </c>
      <c r="FF15" s="9" t="n">
        <v>0</v>
      </c>
      <c r="FH15" s="9" t="n">
        <v>0</v>
      </c>
      <c r="FI15" s="9" t="n">
        <v>0</v>
      </c>
      <c r="FJ15" s="9" t="n">
        <v>0</v>
      </c>
      <c r="FK15" s="9" t="n">
        <v>0</v>
      </c>
      <c r="FL15" s="9" t="n">
        <v>0</v>
      </c>
      <c r="FM15" s="9" t="n">
        <v>0</v>
      </c>
      <c r="FN15" s="9" t="n">
        <v>0</v>
      </c>
      <c r="FO15" s="9" t="n">
        <v>0</v>
      </c>
      <c r="FP15" s="9" t="n">
        <v>0</v>
      </c>
      <c r="FQ15" s="9" t="n">
        <v>0</v>
      </c>
      <c r="FR15" s="9" t="n">
        <v>0</v>
      </c>
      <c r="FS15" s="9" t="n">
        <v>0</v>
      </c>
      <c r="FT15" s="9" t="n">
        <v>0</v>
      </c>
      <c r="FU15" s="9" t="n">
        <v>0</v>
      </c>
      <c r="FV15" s="9" t="n">
        <v>0</v>
      </c>
      <c r="FX15" s="9" t="n">
        <v>0</v>
      </c>
      <c r="FY15" s="9" t="n">
        <v>0</v>
      </c>
      <c r="FZ15" s="9" t="n">
        <v>0</v>
      </c>
      <c r="GA15" s="9" t="n">
        <v>0</v>
      </c>
      <c r="GB15" s="9" t="n">
        <v>0</v>
      </c>
      <c r="GC15" s="9" t="n">
        <v>0</v>
      </c>
      <c r="GD15" s="9" t="n">
        <v>0</v>
      </c>
      <c r="GE15" s="9" t="n">
        <v>0</v>
      </c>
      <c r="GF15" s="9" t="n">
        <v>0</v>
      </c>
      <c r="GG15" s="9" t="n">
        <v>0</v>
      </c>
      <c r="GH15" s="9" t="n">
        <v>0</v>
      </c>
      <c r="GI15" s="9" t="n">
        <v>0</v>
      </c>
      <c r="GJ15" s="9" t="n">
        <v>0</v>
      </c>
      <c r="GK15" s="9" t="n">
        <v>0</v>
      </c>
      <c r="GL15" s="9" t="n">
        <v>0</v>
      </c>
      <c r="GN15" s="9" t="n">
        <v>1.5</v>
      </c>
      <c r="GO15" s="9" t="n">
        <v>1.5</v>
      </c>
      <c r="GP15" s="9" t="n">
        <v>0</v>
      </c>
      <c r="GQ15" s="9" t="n">
        <v>0</v>
      </c>
      <c r="GR15" s="9" t="n">
        <v>0</v>
      </c>
      <c r="GS15" s="9" t="n">
        <v>0</v>
      </c>
      <c r="GT15" s="9" t="n">
        <v>0</v>
      </c>
      <c r="GU15" s="9" t="n">
        <v>0</v>
      </c>
      <c r="GV15" s="9" t="n">
        <v>0</v>
      </c>
      <c r="GW15" s="9" t="n">
        <v>0</v>
      </c>
      <c r="GX15" s="9" t="n">
        <v>0</v>
      </c>
      <c r="GY15" s="9" t="n">
        <v>0</v>
      </c>
      <c r="GZ15" s="9" t="n">
        <v>0</v>
      </c>
      <c r="HA15" s="9" t="n">
        <v>0</v>
      </c>
      <c r="HB15" s="9" t="n">
        <v>0</v>
      </c>
      <c r="HD15" s="9" t="n">
        <v>4.500000000000001</v>
      </c>
      <c r="HE15" s="9" t="n">
        <v>4.500000000000001</v>
      </c>
      <c r="HF15" s="9" t="n">
        <v>4</v>
      </c>
      <c r="HG15" s="9" t="n">
        <v>0</v>
      </c>
      <c r="HH15" s="9" t="n">
        <v>0</v>
      </c>
      <c r="HI15" s="9" t="n">
        <v>0</v>
      </c>
      <c r="HJ15" s="9" t="n">
        <v>0</v>
      </c>
      <c r="HK15" s="9" t="n">
        <v>0</v>
      </c>
      <c r="HL15" s="9" t="n">
        <v>0</v>
      </c>
      <c r="HM15" s="9" t="n">
        <v>0</v>
      </c>
      <c r="HN15" s="9" t="n">
        <v>0</v>
      </c>
      <c r="HO15" s="9" t="n">
        <v>0</v>
      </c>
      <c r="HP15" s="9" t="n">
        <v>0</v>
      </c>
      <c r="HQ15" s="9" t="n">
        <v>0</v>
      </c>
      <c r="HR15" s="9" t="n">
        <v>0</v>
      </c>
      <c r="HT15" s="9" t="n">
        <v>6.65</v>
      </c>
      <c r="HU15" s="9" t="n">
        <v>6.65</v>
      </c>
      <c r="HV15" s="9" t="n">
        <v>6.65</v>
      </c>
      <c r="HW15" s="9" t="n">
        <v>0</v>
      </c>
      <c r="HX15" s="9" t="n">
        <v>0</v>
      </c>
      <c r="HY15" s="9" t="n">
        <v>0</v>
      </c>
      <c r="HZ15" s="9" t="n">
        <v>11.775</v>
      </c>
      <c r="IA15" s="9" t="n">
        <v>11.775</v>
      </c>
      <c r="IB15" s="9" t="n">
        <v>0</v>
      </c>
      <c r="IC15" s="9" t="n">
        <v>7.355</v>
      </c>
      <c r="ID15" s="9" t="n">
        <v>7.355</v>
      </c>
      <c r="IE15" s="9" t="n">
        <v>0</v>
      </c>
      <c r="IF15" s="9" t="n">
        <v>4.305</v>
      </c>
      <c r="IG15" s="9" t="n">
        <v>4.305</v>
      </c>
      <c r="IH15" s="9" t="n">
        <v>0</v>
      </c>
      <c r="IJ15" s="9" t="n">
        <v>5.500000000000001</v>
      </c>
      <c r="IK15" s="9" t="n">
        <v>5.500000000000001</v>
      </c>
      <c r="IL15" s="9" t="n">
        <v>5.500000000000001</v>
      </c>
      <c r="IM15" s="9" t="n">
        <v>5.500000000000001</v>
      </c>
      <c r="IN15" s="9" t="n">
        <v>0</v>
      </c>
      <c r="IO15" s="9" t="n">
        <v>0</v>
      </c>
      <c r="IP15" s="9" t="n">
        <v>0</v>
      </c>
      <c r="IQ15" s="9" t="n">
        <v>0</v>
      </c>
      <c r="IR15" s="9" t="n">
        <v>0</v>
      </c>
      <c r="IS15" s="9" t="n">
        <v>0</v>
      </c>
      <c r="IT15" s="9" t="n">
        <v>0</v>
      </c>
      <c r="IU15" s="9" t="n">
        <v>0</v>
      </c>
      <c r="IV15" s="9" t="n">
        <v>0</v>
      </c>
      <c r="IW15" s="9" t="n">
        <v>0</v>
      </c>
      <c r="IX15" s="9" t="n">
        <v>0</v>
      </c>
    </row>
    <row r="16">
      <c r="A16" s="10" t="n">
        <v>46034</v>
      </c>
      <c r="AH16" s="9" t="n">
        <v>30</v>
      </c>
      <c r="BR16" s="9" t="n">
        <v>26</v>
      </c>
      <c r="BY16" s="9" t="n">
        <v>20</v>
      </c>
      <c r="EA16" s="9" t="inlineStr">
        <is>
          <t>LIMESTONE POWDER (HARUMI)</t>
        </is>
      </c>
      <c r="EB16" s="9" t="n">
        <v>0.9</v>
      </c>
      <c r="EC16" s="9" t="n">
        <v>0</v>
      </c>
      <c r="ED16" s="9" t="n">
        <v>0</v>
      </c>
      <c r="EE16" s="9" t="n">
        <v>0</v>
      </c>
      <c r="EF16" s="9" t="n">
        <v>0</v>
      </c>
      <c r="EG16" s="9" t="n">
        <v>0</v>
      </c>
      <c r="EH16" s="9" t="n">
        <v>0</v>
      </c>
      <c r="EI16" s="9" t="n">
        <v>0</v>
      </c>
      <c r="EJ16" s="9" t="n">
        <v>0</v>
      </c>
      <c r="EK16" s="9" t="n">
        <v>0</v>
      </c>
      <c r="EL16" s="9" t="n">
        <v>0</v>
      </c>
      <c r="EM16" s="9" t="n">
        <v>0</v>
      </c>
      <c r="EN16" s="9" t="n">
        <v>0</v>
      </c>
      <c r="EO16" s="9" t="n">
        <v>0</v>
      </c>
      <c r="EP16" s="9" t="n">
        <v>0</v>
      </c>
      <c r="ER16" s="9" t="n">
        <v>5</v>
      </c>
      <c r="ES16" s="9" t="n">
        <v>0</v>
      </c>
      <c r="ET16" s="9" t="n">
        <v>0</v>
      </c>
      <c r="EU16" s="9" t="n">
        <v>0</v>
      </c>
      <c r="EV16" s="9" t="n">
        <v>0</v>
      </c>
      <c r="EW16" s="9" t="n">
        <v>0</v>
      </c>
      <c r="EX16" s="9" t="n">
        <v>0</v>
      </c>
      <c r="EY16" s="9" t="n">
        <v>0</v>
      </c>
      <c r="EZ16" s="9" t="n">
        <v>0</v>
      </c>
      <c r="FA16" s="9" t="n">
        <v>0</v>
      </c>
      <c r="FB16" s="9" t="n">
        <v>0</v>
      </c>
      <c r="FC16" s="9" t="n">
        <v>0</v>
      </c>
      <c r="FD16" s="9" t="n">
        <v>0</v>
      </c>
      <c r="FE16" s="9" t="n">
        <v>0</v>
      </c>
      <c r="FF16" s="9" t="n">
        <v>0</v>
      </c>
      <c r="FH16" s="9" t="n">
        <v>0</v>
      </c>
      <c r="FI16" s="9" t="n">
        <v>0.25</v>
      </c>
      <c r="FJ16" s="9" t="n">
        <v>0</v>
      </c>
      <c r="FK16" s="9" t="n">
        <v>0</v>
      </c>
      <c r="FL16" s="9" t="n">
        <v>0</v>
      </c>
      <c r="FM16" s="9" t="n">
        <v>0</v>
      </c>
      <c r="FN16" s="9" t="n">
        <v>0</v>
      </c>
      <c r="FO16" s="9" t="n">
        <v>0</v>
      </c>
      <c r="FP16" s="9" t="n">
        <v>0</v>
      </c>
      <c r="FQ16" s="9" t="n">
        <v>0</v>
      </c>
      <c r="FR16" s="9" t="n">
        <v>0</v>
      </c>
      <c r="FS16" s="9" t="n">
        <v>0</v>
      </c>
      <c r="FT16" s="9" t="n">
        <v>0</v>
      </c>
      <c r="FU16" s="9" t="n">
        <v>0</v>
      </c>
      <c r="FV16" s="9" t="n">
        <v>0</v>
      </c>
      <c r="FX16" s="9" t="n">
        <v>0</v>
      </c>
      <c r="FY16" s="9" t="n">
        <v>0</v>
      </c>
      <c r="FZ16" s="9" t="n">
        <v>0</v>
      </c>
      <c r="GA16" s="9" t="n">
        <v>0</v>
      </c>
      <c r="GB16" s="9" t="n">
        <v>0</v>
      </c>
      <c r="GC16" s="9" t="n">
        <v>0</v>
      </c>
      <c r="GD16" s="9" t="n">
        <v>0</v>
      </c>
      <c r="GE16" s="9" t="n">
        <v>0</v>
      </c>
      <c r="GF16" s="9" t="n">
        <v>0</v>
      </c>
      <c r="GG16" s="9" t="n">
        <v>0</v>
      </c>
      <c r="GH16" s="9" t="n">
        <v>0</v>
      </c>
      <c r="GI16" s="9" t="n">
        <v>0</v>
      </c>
      <c r="GJ16" s="9" t="n">
        <v>0</v>
      </c>
      <c r="GK16" s="9" t="n">
        <v>0</v>
      </c>
      <c r="GL16" s="9" t="n">
        <v>0</v>
      </c>
      <c r="GN16" s="9" t="n">
        <v>5.9</v>
      </c>
      <c r="GO16" s="9" t="n">
        <v>6.079999999999999</v>
      </c>
      <c r="GP16" s="9" t="n">
        <v>0</v>
      </c>
      <c r="GQ16" s="9" t="n">
        <v>0</v>
      </c>
      <c r="GR16" s="9" t="n">
        <v>0</v>
      </c>
      <c r="GS16" s="9" t="n">
        <v>6.42</v>
      </c>
      <c r="GT16" s="9" t="n">
        <v>6.42</v>
      </c>
      <c r="GU16" s="9" t="n">
        <v>6.42</v>
      </c>
      <c r="GV16" s="9" t="n">
        <v>6.42</v>
      </c>
      <c r="GW16" s="9" t="n">
        <v>6.42</v>
      </c>
      <c r="GX16" s="9" t="n">
        <v>6.42</v>
      </c>
      <c r="GY16" s="9" t="n">
        <v>0</v>
      </c>
      <c r="GZ16" s="9" t="n">
        <v>0</v>
      </c>
      <c r="HA16" s="9" t="n">
        <v>6.42</v>
      </c>
      <c r="HB16" s="9" t="n">
        <v>6.42</v>
      </c>
      <c r="HD16" s="9" t="n">
        <v>6.999999999999999</v>
      </c>
      <c r="HE16" s="9" t="n">
        <v>6.999999999999999</v>
      </c>
      <c r="HF16" s="9" t="n">
        <v>6.999999999999999</v>
      </c>
      <c r="HG16" s="9" t="n">
        <v>0</v>
      </c>
      <c r="HH16" s="9" t="n">
        <v>0</v>
      </c>
      <c r="HI16" s="9" t="n">
        <v>0</v>
      </c>
      <c r="HJ16" s="9" t="n">
        <v>0</v>
      </c>
      <c r="HK16" s="9" t="n">
        <v>0</v>
      </c>
      <c r="HL16" s="9" t="n">
        <v>0</v>
      </c>
      <c r="HM16" s="9" t="n">
        <v>0</v>
      </c>
      <c r="HN16" s="9" t="n">
        <v>0</v>
      </c>
      <c r="HO16" s="9" t="n">
        <v>0</v>
      </c>
      <c r="HP16" s="9" t="n">
        <v>0</v>
      </c>
      <c r="HQ16" s="9" t="n">
        <v>0</v>
      </c>
      <c r="HR16" s="9" t="n">
        <v>0</v>
      </c>
      <c r="HT16" s="9" t="n">
        <v>10</v>
      </c>
      <c r="HU16" s="9" t="n">
        <v>10</v>
      </c>
      <c r="HV16" s="9" t="n">
        <v>10</v>
      </c>
      <c r="HW16" s="9" t="n">
        <v>0</v>
      </c>
      <c r="HX16" s="9" t="n">
        <v>0</v>
      </c>
      <c r="HY16" s="9" t="n">
        <v>0</v>
      </c>
      <c r="HZ16" s="9" t="n">
        <v>0</v>
      </c>
      <c r="IA16" s="9" t="n">
        <v>0</v>
      </c>
      <c r="IB16" s="9" t="n">
        <v>0</v>
      </c>
      <c r="IC16" s="9" t="n">
        <v>0</v>
      </c>
      <c r="ID16" s="9" t="n">
        <v>0</v>
      </c>
      <c r="IE16" s="9" t="n">
        <v>0</v>
      </c>
      <c r="IF16" s="9" t="n">
        <v>0</v>
      </c>
      <c r="IG16" s="9" t="n">
        <v>0</v>
      </c>
      <c r="IH16" s="9" t="n">
        <v>0</v>
      </c>
      <c r="IJ16" s="9" t="n">
        <v>9.000000000000002</v>
      </c>
      <c r="IK16" s="9" t="n">
        <v>9.000000000000002</v>
      </c>
      <c r="IL16" s="9" t="n">
        <v>9.000000000000002</v>
      </c>
      <c r="IM16" s="9" t="n">
        <v>9.000000000000002</v>
      </c>
      <c r="IN16" s="9" t="n">
        <v>0</v>
      </c>
      <c r="IO16" s="9" t="n">
        <v>0</v>
      </c>
      <c r="IP16" s="9" t="n">
        <v>0</v>
      </c>
      <c r="IQ16" s="9" t="n">
        <v>0</v>
      </c>
      <c r="IR16" s="9" t="n">
        <v>0</v>
      </c>
      <c r="IS16" s="9" t="n">
        <v>0</v>
      </c>
      <c r="IT16" s="9" t="n">
        <v>0</v>
      </c>
      <c r="IU16" s="9" t="n">
        <v>0</v>
      </c>
      <c r="IV16" s="9" t="n">
        <v>0</v>
      </c>
      <c r="IW16" s="9" t="n">
        <v>0</v>
      </c>
      <c r="IX16" s="9" t="n">
        <v>0</v>
      </c>
    </row>
    <row r="17">
      <c r="A17" s="10" t="n">
        <v>46035</v>
      </c>
      <c r="AH17" s="9" t="n">
        <v>56</v>
      </c>
      <c r="BR17" s="9" t="n">
        <v>28</v>
      </c>
      <c r="EA17" s="9" t="inlineStr">
        <is>
          <t>CHOLINE CHLORIDE 60%</t>
        </is>
      </c>
      <c r="EB17" s="9" t="n">
        <v>0</v>
      </c>
      <c r="EC17" s="9" t="n">
        <v>0</v>
      </c>
      <c r="ED17" s="9" t="n">
        <v>0</v>
      </c>
      <c r="EE17" s="9" t="n">
        <v>0</v>
      </c>
      <c r="EF17" s="9" t="n">
        <v>0</v>
      </c>
      <c r="EG17" s="9" t="n">
        <v>0</v>
      </c>
      <c r="EH17" s="9" t="n">
        <v>0</v>
      </c>
      <c r="EI17" s="9" t="n">
        <v>0</v>
      </c>
      <c r="EJ17" s="9" t="n">
        <v>0</v>
      </c>
      <c r="EK17" s="9" t="n">
        <v>0</v>
      </c>
      <c r="EL17" s="9" t="n">
        <v>0</v>
      </c>
      <c r="EM17" s="9" t="n">
        <v>0</v>
      </c>
      <c r="EN17" s="9" t="n">
        <v>0</v>
      </c>
      <c r="EO17" s="9" t="n">
        <v>0</v>
      </c>
      <c r="EP17" s="9" t="n">
        <v>0</v>
      </c>
      <c r="ER17" s="9" t="n">
        <v>0</v>
      </c>
      <c r="ES17" s="9" t="n">
        <v>0</v>
      </c>
      <c r="ET17" s="9" t="n">
        <v>0</v>
      </c>
      <c r="EU17" s="9" t="n">
        <v>0</v>
      </c>
      <c r="EV17" s="9" t="n">
        <v>0</v>
      </c>
      <c r="EW17" s="9" t="n">
        <v>0</v>
      </c>
      <c r="EX17" s="9" t="n">
        <v>0</v>
      </c>
      <c r="EY17" s="9" t="n">
        <v>0</v>
      </c>
      <c r="EZ17" s="9" t="n">
        <v>0</v>
      </c>
      <c r="FA17" s="9" t="n">
        <v>0</v>
      </c>
      <c r="FB17" s="9" t="n">
        <v>0</v>
      </c>
      <c r="FC17" s="9" t="n">
        <v>0</v>
      </c>
      <c r="FD17" s="9" t="n">
        <v>0</v>
      </c>
      <c r="FE17" s="9" t="n">
        <v>0</v>
      </c>
      <c r="FF17" s="9" t="n">
        <v>0</v>
      </c>
      <c r="FH17" s="9" t="n">
        <v>0</v>
      </c>
      <c r="FI17" s="9" t="n">
        <v>0</v>
      </c>
      <c r="FJ17" s="9" t="n">
        <v>0</v>
      </c>
      <c r="FK17" s="9" t="n">
        <v>0</v>
      </c>
      <c r="FL17" s="9" t="n">
        <v>0</v>
      </c>
      <c r="FM17" s="9" t="n">
        <v>0</v>
      </c>
      <c r="FN17" s="9" t="n">
        <v>0</v>
      </c>
      <c r="FO17" s="9" t="n">
        <v>0</v>
      </c>
      <c r="FP17" s="9" t="n">
        <v>0</v>
      </c>
      <c r="FQ17" s="9" t="n">
        <v>0</v>
      </c>
      <c r="FR17" s="9" t="n">
        <v>0</v>
      </c>
      <c r="FS17" s="9" t="n">
        <v>0</v>
      </c>
      <c r="FT17" s="9" t="n">
        <v>0</v>
      </c>
      <c r="FU17" s="9" t="n">
        <v>0</v>
      </c>
      <c r="FV17" s="9" t="n">
        <v>0</v>
      </c>
      <c r="FX17" s="9" t="n">
        <v>0</v>
      </c>
      <c r="FY17" s="9" t="n">
        <v>0</v>
      </c>
      <c r="FZ17" s="9" t="n">
        <v>0</v>
      </c>
      <c r="GA17" s="9" t="n">
        <v>0</v>
      </c>
      <c r="GB17" s="9" t="n">
        <v>0</v>
      </c>
      <c r="GC17" s="9" t="n">
        <v>0</v>
      </c>
      <c r="GD17" s="9" t="n">
        <v>0</v>
      </c>
      <c r="GE17" s="9" t="n">
        <v>0</v>
      </c>
      <c r="GF17" s="9" t="n">
        <v>0</v>
      </c>
      <c r="GG17" s="9" t="n">
        <v>0</v>
      </c>
      <c r="GH17" s="9" t="n">
        <v>0</v>
      </c>
      <c r="GI17" s="9" t="n">
        <v>0</v>
      </c>
      <c r="GJ17" s="9" t="n">
        <v>0</v>
      </c>
      <c r="GK17" s="9" t="n">
        <v>0</v>
      </c>
      <c r="GL17" s="9" t="n">
        <v>0</v>
      </c>
      <c r="GN17" s="9" t="n">
        <v>0</v>
      </c>
      <c r="GO17" s="9" t="n">
        <v>0</v>
      </c>
      <c r="GP17" s="9" t="n">
        <v>0</v>
      </c>
      <c r="GQ17" s="9" t="n">
        <v>0</v>
      </c>
      <c r="GR17" s="9" t="n">
        <v>0</v>
      </c>
      <c r="GS17" s="9" t="n">
        <v>0</v>
      </c>
      <c r="GT17" s="9" t="n">
        <v>0</v>
      </c>
      <c r="GU17" s="9" t="n">
        <v>0</v>
      </c>
      <c r="GV17" s="9" t="n">
        <v>0</v>
      </c>
      <c r="GW17" s="9" t="n">
        <v>0</v>
      </c>
      <c r="GX17" s="9" t="n">
        <v>0</v>
      </c>
      <c r="GY17" s="9" t="n">
        <v>0</v>
      </c>
      <c r="GZ17" s="9" t="n">
        <v>0</v>
      </c>
      <c r="HA17" s="9" t="n">
        <v>0</v>
      </c>
      <c r="HB17" s="9" t="n">
        <v>0</v>
      </c>
      <c r="HD17" s="9" t="n">
        <v>0</v>
      </c>
      <c r="HE17" s="9" t="n">
        <v>0</v>
      </c>
      <c r="HF17" s="9" t="n">
        <v>0</v>
      </c>
      <c r="HG17" s="9" t="n">
        <v>0</v>
      </c>
      <c r="HH17" s="9" t="n">
        <v>0</v>
      </c>
      <c r="HI17" s="9" t="n">
        <v>0</v>
      </c>
      <c r="HJ17" s="9" t="n">
        <v>0</v>
      </c>
      <c r="HK17" s="9" t="n">
        <v>0</v>
      </c>
      <c r="HL17" s="9" t="n">
        <v>0</v>
      </c>
      <c r="HM17" s="9" t="n">
        <v>0</v>
      </c>
      <c r="HN17" s="9" t="n">
        <v>0</v>
      </c>
      <c r="HO17" s="9" t="n">
        <v>0</v>
      </c>
      <c r="HP17" s="9" t="n">
        <v>0</v>
      </c>
      <c r="HQ17" s="9" t="n">
        <v>0</v>
      </c>
      <c r="HR17" s="9" t="n">
        <v>0</v>
      </c>
      <c r="HT17" s="9" t="n">
        <v>0</v>
      </c>
      <c r="HU17" s="9" t="n">
        <v>0</v>
      </c>
      <c r="HV17" s="9" t="n">
        <v>0</v>
      </c>
      <c r="HW17" s="9" t="n">
        <v>0</v>
      </c>
      <c r="HX17" s="9" t="n">
        <v>0</v>
      </c>
      <c r="HY17" s="9" t="n">
        <v>0</v>
      </c>
      <c r="HZ17" s="9" t="n">
        <v>0</v>
      </c>
      <c r="IA17" s="9" t="n">
        <v>0</v>
      </c>
      <c r="IB17" s="9" t="n">
        <v>0</v>
      </c>
      <c r="IC17" s="9" t="n">
        <v>0</v>
      </c>
      <c r="ID17" s="9" t="n">
        <v>0</v>
      </c>
      <c r="IE17" s="9" t="n">
        <v>0</v>
      </c>
      <c r="IF17" s="9" t="n">
        <v>0</v>
      </c>
      <c r="IG17" s="9" t="n">
        <v>0</v>
      </c>
      <c r="IH17" s="9" t="n">
        <v>0</v>
      </c>
      <c r="IJ17" s="9" t="n">
        <v>0</v>
      </c>
      <c r="IK17" s="9" t="n">
        <v>0</v>
      </c>
      <c r="IL17" s="9" t="n">
        <v>0</v>
      </c>
      <c r="IM17" s="9" t="n">
        <v>0</v>
      </c>
      <c r="IN17" s="9" t="n">
        <v>0</v>
      </c>
      <c r="IO17" s="9" t="n">
        <v>0</v>
      </c>
      <c r="IP17" s="9" t="n">
        <v>0</v>
      </c>
      <c r="IQ17" s="9" t="n">
        <v>0</v>
      </c>
      <c r="IR17" s="9" t="n">
        <v>0</v>
      </c>
      <c r="IS17" s="9" t="n">
        <v>0</v>
      </c>
      <c r="IT17" s="9" t="n">
        <v>0</v>
      </c>
      <c r="IU17" s="9" t="n">
        <v>0</v>
      </c>
      <c r="IV17" s="9" t="n">
        <v>0</v>
      </c>
      <c r="IW17" s="9" t="n">
        <v>0</v>
      </c>
      <c r="IX17" s="9" t="n">
        <v>0</v>
      </c>
    </row>
    <row r="18">
      <c r="A18" s="10" t="n">
        <v>46036</v>
      </c>
      <c r="EA18" s="9" t="inlineStr">
        <is>
          <t>INDUSTRY FLOUR</t>
        </is>
      </c>
      <c r="EB18" s="9" t="n">
        <v>0</v>
      </c>
      <c r="EC18" s="9" t="n">
        <v>0</v>
      </c>
      <c r="ED18" s="9" t="n">
        <v>0</v>
      </c>
      <c r="EE18" s="9" t="n">
        <v>0</v>
      </c>
      <c r="EF18" s="9" t="n">
        <v>0</v>
      </c>
      <c r="EG18" s="9" t="n">
        <v>0</v>
      </c>
      <c r="EH18" s="9" t="n">
        <v>0</v>
      </c>
      <c r="EI18" s="9" t="n">
        <v>0</v>
      </c>
      <c r="EJ18" s="9" t="n">
        <v>0</v>
      </c>
      <c r="EK18" s="9" t="n">
        <v>0</v>
      </c>
      <c r="EL18" s="9" t="n">
        <v>0</v>
      </c>
      <c r="EM18" s="9" t="n">
        <v>0</v>
      </c>
      <c r="EN18" s="9" t="n">
        <v>0</v>
      </c>
      <c r="EO18" s="9" t="n">
        <v>0</v>
      </c>
      <c r="EP18" s="9" t="n">
        <v>0</v>
      </c>
      <c r="ER18" s="9" t="n">
        <v>0</v>
      </c>
      <c r="ES18" s="9" t="n">
        <v>0</v>
      </c>
      <c r="ET18" s="9" t="n">
        <v>0</v>
      </c>
      <c r="EU18" s="9" t="n">
        <v>0</v>
      </c>
      <c r="EV18" s="9" t="n">
        <v>0</v>
      </c>
      <c r="EW18" s="9" t="n">
        <v>0</v>
      </c>
      <c r="EX18" s="9" t="n">
        <v>0</v>
      </c>
      <c r="EY18" s="9" t="n">
        <v>0</v>
      </c>
      <c r="EZ18" s="9" t="n">
        <v>0</v>
      </c>
      <c r="FA18" s="9" t="n">
        <v>0</v>
      </c>
      <c r="FB18" s="9" t="n">
        <v>0</v>
      </c>
      <c r="FC18" s="9" t="n">
        <v>0</v>
      </c>
      <c r="FD18" s="9" t="n">
        <v>0</v>
      </c>
      <c r="FE18" s="9" t="n">
        <v>0</v>
      </c>
      <c r="FF18" s="9" t="n">
        <v>0</v>
      </c>
      <c r="FH18" s="9" t="n">
        <v>0</v>
      </c>
      <c r="FI18" s="9" t="n">
        <v>0</v>
      </c>
      <c r="FJ18" s="9" t="n">
        <v>0</v>
      </c>
      <c r="FK18" s="9" t="n">
        <v>0</v>
      </c>
      <c r="FL18" s="9" t="n">
        <v>0</v>
      </c>
      <c r="FM18" s="9" t="n">
        <v>0</v>
      </c>
      <c r="FN18" s="9" t="n">
        <v>0</v>
      </c>
      <c r="FO18" s="9" t="n">
        <v>0</v>
      </c>
      <c r="FP18" s="9" t="n">
        <v>0</v>
      </c>
      <c r="FQ18" s="9" t="n">
        <v>0</v>
      </c>
      <c r="FR18" s="9" t="n">
        <v>0</v>
      </c>
      <c r="FS18" s="9" t="n">
        <v>0</v>
      </c>
      <c r="FT18" s="9" t="n">
        <v>0</v>
      </c>
      <c r="FU18" s="9" t="n">
        <v>0</v>
      </c>
      <c r="FV18" s="9" t="n">
        <v>0</v>
      </c>
      <c r="FX18" s="9" t="n">
        <v>0</v>
      </c>
      <c r="FY18" s="9" t="n">
        <v>0</v>
      </c>
      <c r="FZ18" s="9" t="n">
        <v>0</v>
      </c>
      <c r="GA18" s="9" t="n">
        <v>0</v>
      </c>
      <c r="GB18" s="9" t="n">
        <v>0</v>
      </c>
      <c r="GC18" s="9" t="n">
        <v>0</v>
      </c>
      <c r="GD18" s="9" t="n">
        <v>0</v>
      </c>
      <c r="GE18" s="9" t="n">
        <v>0</v>
      </c>
      <c r="GF18" s="9" t="n">
        <v>0</v>
      </c>
      <c r="GG18" s="9" t="n">
        <v>0</v>
      </c>
      <c r="GH18" s="9" t="n">
        <v>0</v>
      </c>
      <c r="GI18" s="9" t="n">
        <v>0</v>
      </c>
      <c r="GJ18" s="9" t="n">
        <v>0</v>
      </c>
      <c r="GK18" s="9" t="n">
        <v>0</v>
      </c>
      <c r="GL18" s="9" t="n">
        <v>0</v>
      </c>
      <c r="GN18" s="9" t="n">
        <v>0</v>
      </c>
      <c r="GO18" s="9" t="n">
        <v>0</v>
      </c>
      <c r="GP18" s="9" t="n">
        <v>0</v>
      </c>
      <c r="GQ18" s="9" t="n">
        <v>0</v>
      </c>
      <c r="GR18" s="9" t="n">
        <v>0</v>
      </c>
      <c r="GS18" s="9" t="n">
        <v>0</v>
      </c>
      <c r="GT18" s="9" t="n">
        <v>0</v>
      </c>
      <c r="GU18" s="9" t="n">
        <v>0</v>
      </c>
      <c r="GV18" s="9" t="n">
        <v>0</v>
      </c>
      <c r="GW18" s="9" t="n">
        <v>0</v>
      </c>
      <c r="GX18" s="9" t="n">
        <v>0</v>
      </c>
      <c r="GY18" s="9" t="n">
        <v>0</v>
      </c>
      <c r="GZ18" s="9" t="n">
        <v>0</v>
      </c>
      <c r="HA18" s="9" t="n">
        <v>0</v>
      </c>
      <c r="HB18" s="9" t="n">
        <v>0</v>
      </c>
      <c r="HD18" s="9" t="n">
        <v>33.5</v>
      </c>
      <c r="HE18" s="9" t="n">
        <v>33.5</v>
      </c>
      <c r="HF18" s="9" t="n">
        <v>33.33499999999999</v>
      </c>
      <c r="HG18" s="9" t="n">
        <v>0</v>
      </c>
      <c r="HH18" s="9" t="n">
        <v>0</v>
      </c>
      <c r="HI18" s="9" t="n">
        <v>0</v>
      </c>
      <c r="HJ18" s="9" t="n">
        <v>0</v>
      </c>
      <c r="HK18" s="9" t="n">
        <v>0</v>
      </c>
      <c r="HL18" s="9" t="n">
        <v>0</v>
      </c>
      <c r="HM18" s="9" t="n">
        <v>0</v>
      </c>
      <c r="HN18" s="9" t="n">
        <v>0</v>
      </c>
      <c r="HO18" s="9" t="n">
        <v>0</v>
      </c>
      <c r="HP18" s="9" t="n">
        <v>0</v>
      </c>
      <c r="HQ18" s="9" t="n">
        <v>0</v>
      </c>
      <c r="HR18" s="9" t="n">
        <v>0</v>
      </c>
      <c r="HT18" s="9" t="n">
        <v>50</v>
      </c>
      <c r="HU18" s="9" t="n">
        <v>50</v>
      </c>
      <c r="HV18" s="9" t="n">
        <v>50</v>
      </c>
      <c r="HW18" s="9" t="n">
        <v>0</v>
      </c>
      <c r="HX18" s="9" t="n">
        <v>0</v>
      </c>
      <c r="HY18" s="9" t="n">
        <v>0</v>
      </c>
      <c r="HZ18" s="9" t="n">
        <v>20</v>
      </c>
      <c r="IA18" s="9" t="n">
        <v>20</v>
      </c>
      <c r="IB18" s="9" t="n">
        <v>0</v>
      </c>
      <c r="IC18" s="9" t="n">
        <v>20</v>
      </c>
      <c r="ID18" s="9" t="n">
        <v>20</v>
      </c>
      <c r="IE18" s="9" t="n">
        <v>0</v>
      </c>
      <c r="IF18" s="9" t="n">
        <v>20</v>
      </c>
      <c r="IG18" s="9" t="n">
        <v>20</v>
      </c>
      <c r="IH18" s="9" t="n">
        <v>0</v>
      </c>
      <c r="IJ18" s="9" t="n">
        <v>50</v>
      </c>
      <c r="IK18" s="9" t="n">
        <v>96.99999999999999</v>
      </c>
      <c r="IL18" s="9" t="n">
        <v>50</v>
      </c>
      <c r="IM18" s="9" t="n">
        <v>50</v>
      </c>
      <c r="IN18" s="9" t="n">
        <v>0</v>
      </c>
      <c r="IO18" s="9" t="n">
        <v>0</v>
      </c>
      <c r="IP18" s="9" t="n">
        <v>0</v>
      </c>
      <c r="IQ18" s="9" t="n">
        <v>0</v>
      </c>
      <c r="IR18" s="9" t="n">
        <v>0</v>
      </c>
      <c r="IS18" s="9" t="n">
        <v>0</v>
      </c>
      <c r="IT18" s="9" t="n">
        <v>0</v>
      </c>
      <c r="IU18" s="9" t="n">
        <v>0</v>
      </c>
      <c r="IV18" s="9" t="n">
        <v>0</v>
      </c>
      <c r="IW18" s="9" t="n">
        <v>0</v>
      </c>
      <c r="IX18" s="9" t="n">
        <v>0</v>
      </c>
    </row>
    <row r="19">
      <c r="A19" s="10" t="n">
        <v>46037</v>
      </c>
      <c r="AH19" s="9" t="n">
        <v>30</v>
      </c>
      <c r="BN19" s="9" t="n">
        <v>10</v>
      </c>
      <c r="BQ19" s="9" t="n">
        <v>18</v>
      </c>
      <c r="BR19" s="9" t="n">
        <v>16</v>
      </c>
      <c r="EA19" s="9" t="inlineStr">
        <is>
          <t>RICE BRAN</t>
        </is>
      </c>
      <c r="EB19" s="9" t="n">
        <v>0</v>
      </c>
      <c r="EC19" s="9" t="n">
        <v>25</v>
      </c>
      <c r="ED19" s="9" t="n">
        <v>0</v>
      </c>
      <c r="EE19" s="9" t="n">
        <v>0</v>
      </c>
      <c r="EF19" s="9" t="n">
        <v>0</v>
      </c>
      <c r="EG19" s="9" t="n">
        <v>0</v>
      </c>
      <c r="EH19" s="9" t="n">
        <v>0</v>
      </c>
      <c r="EI19" s="9" t="n">
        <v>0</v>
      </c>
      <c r="EJ19" s="9" t="n">
        <v>0</v>
      </c>
      <c r="EK19" s="9" t="n">
        <v>0</v>
      </c>
      <c r="EL19" s="9" t="n">
        <v>0</v>
      </c>
      <c r="EM19" s="9" t="n">
        <v>0</v>
      </c>
      <c r="EN19" s="9" t="n">
        <v>0</v>
      </c>
      <c r="EO19" s="9" t="n">
        <v>0</v>
      </c>
      <c r="EP19" s="9" t="n">
        <v>0</v>
      </c>
      <c r="ER19" s="9" t="n">
        <v>0</v>
      </c>
      <c r="ES19" s="9" t="n">
        <v>0</v>
      </c>
      <c r="ET19" s="9" t="n">
        <v>0</v>
      </c>
      <c r="EU19" s="9" t="n">
        <v>0</v>
      </c>
      <c r="EV19" s="9" t="n">
        <v>0</v>
      </c>
      <c r="EW19" s="9" t="n">
        <v>0</v>
      </c>
      <c r="EX19" s="9" t="n">
        <v>0</v>
      </c>
      <c r="EY19" s="9" t="n">
        <v>0</v>
      </c>
      <c r="EZ19" s="9" t="n">
        <v>0</v>
      </c>
      <c r="FA19" s="9" t="n">
        <v>0</v>
      </c>
      <c r="FB19" s="9" t="n">
        <v>0</v>
      </c>
      <c r="FC19" s="9" t="n">
        <v>0</v>
      </c>
      <c r="FD19" s="9" t="n">
        <v>0</v>
      </c>
      <c r="FE19" s="9" t="n">
        <v>0</v>
      </c>
      <c r="FF19" s="9" t="n">
        <v>0</v>
      </c>
      <c r="FH19" s="9" t="n">
        <v>0</v>
      </c>
      <c r="FI19" s="9" t="n">
        <v>30</v>
      </c>
      <c r="FJ19" s="9" t="n">
        <v>0</v>
      </c>
      <c r="FK19" s="9" t="n">
        <v>0</v>
      </c>
      <c r="FL19" s="9" t="n">
        <v>0</v>
      </c>
      <c r="FM19" s="9" t="n">
        <v>0</v>
      </c>
      <c r="FN19" s="9" t="n">
        <v>0</v>
      </c>
      <c r="FO19" s="9" t="n">
        <v>0</v>
      </c>
      <c r="FP19" s="9" t="n">
        <v>0</v>
      </c>
      <c r="FQ19" s="9" t="n">
        <v>0</v>
      </c>
      <c r="FR19" s="9" t="n">
        <v>0</v>
      </c>
      <c r="FS19" s="9" t="n">
        <v>0</v>
      </c>
      <c r="FT19" s="9" t="n">
        <v>0</v>
      </c>
      <c r="FU19" s="9" t="n">
        <v>0</v>
      </c>
      <c r="FV19" s="9" t="n">
        <v>0</v>
      </c>
      <c r="FX19" s="9" t="n">
        <v>0</v>
      </c>
      <c r="FY19" s="9" t="n">
        <v>0</v>
      </c>
      <c r="FZ19" s="9" t="n">
        <v>0</v>
      </c>
      <c r="GA19" s="9" t="n">
        <v>0</v>
      </c>
      <c r="GB19" s="9" t="n">
        <v>0</v>
      </c>
      <c r="GC19" s="9" t="n">
        <v>0</v>
      </c>
      <c r="GD19" s="9" t="n">
        <v>0</v>
      </c>
      <c r="GE19" s="9" t="n">
        <v>0</v>
      </c>
      <c r="GF19" s="9" t="n">
        <v>0</v>
      </c>
      <c r="GG19" s="9" t="n">
        <v>0</v>
      </c>
      <c r="GH19" s="9" t="n">
        <v>0</v>
      </c>
      <c r="GI19" s="9" t="n">
        <v>0</v>
      </c>
      <c r="GJ19" s="9" t="n">
        <v>0</v>
      </c>
      <c r="GK19" s="9" t="n">
        <v>0</v>
      </c>
      <c r="GL19" s="9" t="n">
        <v>0</v>
      </c>
      <c r="GN19" s="9" t="n">
        <v>0</v>
      </c>
      <c r="GO19" s="9" t="n">
        <v>50</v>
      </c>
      <c r="GP19" s="9" t="n">
        <v>0</v>
      </c>
      <c r="GQ19" s="9" t="n">
        <v>0</v>
      </c>
      <c r="GR19" s="9" t="n">
        <v>0</v>
      </c>
      <c r="GS19" s="9" t="n">
        <v>0</v>
      </c>
      <c r="GT19" s="9" t="n">
        <v>0</v>
      </c>
      <c r="GU19" s="9" t="n">
        <v>0</v>
      </c>
      <c r="GV19" s="9" t="n">
        <v>0</v>
      </c>
      <c r="GW19" s="9" t="n">
        <v>0</v>
      </c>
      <c r="GX19" s="9" t="n">
        <v>0</v>
      </c>
      <c r="GY19" s="9" t="n">
        <v>35</v>
      </c>
      <c r="GZ19" s="9" t="n">
        <v>35</v>
      </c>
      <c r="HA19" s="9" t="n">
        <v>0</v>
      </c>
      <c r="HB19" s="9" t="n">
        <v>0</v>
      </c>
      <c r="HD19" s="9" t="n">
        <v>3.5</v>
      </c>
      <c r="HE19" s="9" t="n">
        <v>3.5</v>
      </c>
      <c r="HF19" s="9" t="n">
        <v>0</v>
      </c>
      <c r="HG19" s="9" t="n">
        <v>0</v>
      </c>
      <c r="HH19" s="9" t="n">
        <v>0</v>
      </c>
      <c r="HI19" s="9" t="n">
        <v>0</v>
      </c>
      <c r="HJ19" s="9" t="n">
        <v>0</v>
      </c>
      <c r="HK19" s="9" t="n">
        <v>0</v>
      </c>
      <c r="HL19" s="9" t="n">
        <v>0</v>
      </c>
      <c r="HM19" s="9" t="n">
        <v>0</v>
      </c>
      <c r="HN19" s="9" t="n">
        <v>0</v>
      </c>
      <c r="HO19" s="9" t="n">
        <v>0</v>
      </c>
      <c r="HP19" s="9" t="n">
        <v>0</v>
      </c>
      <c r="HQ19" s="9" t="n">
        <v>0</v>
      </c>
      <c r="HR19" s="9" t="n">
        <v>0</v>
      </c>
      <c r="HT19" s="9" t="n">
        <v>40</v>
      </c>
      <c r="HU19" s="9" t="n">
        <v>40</v>
      </c>
      <c r="HV19" s="9" t="n">
        <v>40</v>
      </c>
      <c r="HW19" s="9" t="n">
        <v>0</v>
      </c>
      <c r="HX19" s="9" t="n">
        <v>0</v>
      </c>
      <c r="HY19" s="9" t="n">
        <v>0</v>
      </c>
      <c r="HZ19" s="9" t="n">
        <v>0</v>
      </c>
      <c r="IA19" s="9" t="n">
        <v>0</v>
      </c>
      <c r="IB19" s="9" t="n">
        <v>0</v>
      </c>
      <c r="IC19" s="9" t="n">
        <v>0</v>
      </c>
      <c r="ID19" s="9" t="n">
        <v>0</v>
      </c>
      <c r="IE19" s="9" t="n">
        <v>0</v>
      </c>
      <c r="IF19" s="9" t="n">
        <v>0</v>
      </c>
      <c r="IG19" s="9" t="n">
        <v>0</v>
      </c>
      <c r="IH19" s="9" t="n">
        <v>0</v>
      </c>
      <c r="IJ19" s="9" t="n">
        <v>40</v>
      </c>
      <c r="IK19" s="9" t="n">
        <v>40</v>
      </c>
      <c r="IL19" s="9" t="n">
        <v>40</v>
      </c>
      <c r="IM19" s="9" t="n">
        <v>40</v>
      </c>
      <c r="IN19" s="9" t="n">
        <v>0</v>
      </c>
      <c r="IO19" s="9" t="n">
        <v>0</v>
      </c>
      <c r="IP19" s="9" t="n">
        <v>0</v>
      </c>
      <c r="IQ19" s="9" t="n">
        <v>0</v>
      </c>
      <c r="IR19" s="9" t="n">
        <v>0</v>
      </c>
      <c r="IS19" s="9" t="n">
        <v>0</v>
      </c>
      <c r="IT19" s="9" t="n">
        <v>0</v>
      </c>
      <c r="IU19" s="9" t="n">
        <v>0</v>
      </c>
      <c r="IV19" s="9" t="n">
        <v>0</v>
      </c>
      <c r="IW19" s="9" t="n">
        <v>0</v>
      </c>
      <c r="IX19" s="9" t="n">
        <v>0</v>
      </c>
    </row>
    <row r="20">
      <c r="A20" s="10" t="n">
        <v>46038</v>
      </c>
      <c r="BN20" s="9" t="n">
        <v>20</v>
      </c>
      <c r="BQ20" s="9" t="n">
        <v>10</v>
      </c>
      <c r="BR20" s="9" t="n">
        <v>20</v>
      </c>
      <c r="BY20" s="9" t="n">
        <v>14</v>
      </c>
      <c r="EA20" s="9" t="inlineStr">
        <is>
          <t>EP 200</t>
        </is>
      </c>
      <c r="EB20" s="9" t="n">
        <v>0</v>
      </c>
      <c r="EC20" s="9" t="n">
        <v>0</v>
      </c>
      <c r="ED20" s="9" t="n">
        <v>0</v>
      </c>
      <c r="EE20" s="9" t="n">
        <v>0</v>
      </c>
      <c r="EF20" s="9" t="n">
        <v>0</v>
      </c>
      <c r="EG20" s="9" t="n">
        <v>0</v>
      </c>
      <c r="EH20" s="9" t="n">
        <v>0</v>
      </c>
      <c r="EI20" s="9" t="n">
        <v>0</v>
      </c>
      <c r="EJ20" s="9" t="n">
        <v>0</v>
      </c>
      <c r="EK20" s="9" t="n">
        <v>0</v>
      </c>
      <c r="EL20" s="9" t="n">
        <v>0</v>
      </c>
      <c r="EM20" s="9" t="n">
        <v>0</v>
      </c>
      <c r="EN20" s="9" t="n">
        <v>0</v>
      </c>
      <c r="EO20" s="9" t="n">
        <v>0</v>
      </c>
      <c r="EP20" s="9" t="n">
        <v>0</v>
      </c>
      <c r="ER20" s="9" t="n">
        <v>0</v>
      </c>
      <c r="ES20" s="9" t="n">
        <v>0</v>
      </c>
      <c r="ET20" s="9" t="n">
        <v>0</v>
      </c>
      <c r="EU20" s="9" t="n">
        <v>0</v>
      </c>
      <c r="EV20" s="9" t="n">
        <v>0</v>
      </c>
      <c r="EW20" s="9" t="n">
        <v>0</v>
      </c>
      <c r="EX20" s="9" t="n">
        <v>0</v>
      </c>
      <c r="EY20" s="9" t="n">
        <v>0</v>
      </c>
      <c r="EZ20" s="9" t="n">
        <v>0</v>
      </c>
      <c r="FA20" s="9" t="n">
        <v>0</v>
      </c>
      <c r="FB20" s="9" t="n">
        <v>0</v>
      </c>
      <c r="FC20" s="9" t="n">
        <v>0</v>
      </c>
      <c r="FD20" s="9" t="n">
        <v>0</v>
      </c>
      <c r="FE20" s="9" t="n">
        <v>0</v>
      </c>
      <c r="FF20" s="9" t="n">
        <v>0</v>
      </c>
      <c r="FH20" s="9" t="n">
        <v>0</v>
      </c>
      <c r="FI20" s="9" t="n">
        <v>0</v>
      </c>
      <c r="FJ20" s="9" t="n">
        <v>0</v>
      </c>
      <c r="FK20" s="9" t="n">
        <v>0</v>
      </c>
      <c r="FL20" s="9" t="n">
        <v>0</v>
      </c>
      <c r="FM20" s="9" t="n">
        <v>0</v>
      </c>
      <c r="FN20" s="9" t="n">
        <v>0</v>
      </c>
      <c r="FO20" s="9" t="n">
        <v>0</v>
      </c>
      <c r="FP20" s="9" t="n">
        <v>0</v>
      </c>
      <c r="FQ20" s="9" t="n">
        <v>0</v>
      </c>
      <c r="FR20" s="9" t="n">
        <v>0</v>
      </c>
      <c r="FS20" s="9" t="n">
        <v>0</v>
      </c>
      <c r="FT20" s="9" t="n">
        <v>0</v>
      </c>
      <c r="FU20" s="9" t="n">
        <v>0</v>
      </c>
      <c r="FV20" s="9" t="n">
        <v>0</v>
      </c>
      <c r="FX20" s="9" t="n">
        <v>0</v>
      </c>
      <c r="FY20" s="9" t="n">
        <v>0</v>
      </c>
      <c r="FZ20" s="9" t="n">
        <v>0</v>
      </c>
      <c r="GA20" s="9" t="n">
        <v>0</v>
      </c>
      <c r="GB20" s="9" t="n">
        <v>0</v>
      </c>
      <c r="GC20" s="9" t="n">
        <v>0</v>
      </c>
      <c r="GD20" s="9" t="n">
        <v>0</v>
      </c>
      <c r="GE20" s="9" t="n">
        <v>0</v>
      </c>
      <c r="GF20" s="9" t="n">
        <v>0</v>
      </c>
      <c r="GG20" s="9" t="n">
        <v>0</v>
      </c>
      <c r="GH20" s="9" t="n">
        <v>0</v>
      </c>
      <c r="GI20" s="9" t="n">
        <v>0</v>
      </c>
      <c r="GJ20" s="9" t="n">
        <v>0</v>
      </c>
      <c r="GK20" s="9" t="n">
        <v>0</v>
      </c>
      <c r="GL20" s="9" t="n">
        <v>0</v>
      </c>
      <c r="GN20" s="9" t="n">
        <v>0</v>
      </c>
      <c r="GO20" s="9" t="n">
        <v>0</v>
      </c>
      <c r="GP20" s="9" t="n">
        <v>0</v>
      </c>
      <c r="GQ20" s="9" t="n">
        <v>0</v>
      </c>
      <c r="GR20" s="9" t="n">
        <v>0</v>
      </c>
      <c r="GS20" s="9" t="n">
        <v>0</v>
      </c>
      <c r="GT20" s="9" t="n">
        <v>0</v>
      </c>
      <c r="GU20" s="9" t="n">
        <v>0</v>
      </c>
      <c r="GV20" s="9" t="n">
        <v>0</v>
      </c>
      <c r="GW20" s="9" t="n">
        <v>0</v>
      </c>
      <c r="GX20" s="9" t="n">
        <v>0</v>
      </c>
      <c r="GY20" s="9" t="n">
        <v>0</v>
      </c>
      <c r="GZ20" s="9" t="n">
        <v>0</v>
      </c>
      <c r="HA20" s="9" t="n">
        <v>0</v>
      </c>
      <c r="HB20" s="9" t="n">
        <v>0</v>
      </c>
      <c r="HD20" s="9" t="n">
        <v>0</v>
      </c>
      <c r="HE20" s="9" t="n">
        <v>0</v>
      </c>
      <c r="HF20" s="9" t="n">
        <v>25</v>
      </c>
      <c r="HG20" s="9" t="n">
        <v>0</v>
      </c>
      <c r="HH20" s="9" t="n">
        <v>0</v>
      </c>
      <c r="HI20" s="9" t="n">
        <v>0</v>
      </c>
      <c r="HJ20" s="9" t="n">
        <v>0</v>
      </c>
      <c r="HK20" s="9" t="n">
        <v>0</v>
      </c>
      <c r="HL20" s="9" t="n">
        <v>0</v>
      </c>
      <c r="HM20" s="9" t="n">
        <v>0</v>
      </c>
      <c r="HN20" s="9" t="n">
        <v>0</v>
      </c>
      <c r="HO20" s="9" t="n">
        <v>0</v>
      </c>
      <c r="HP20" s="9" t="n">
        <v>0</v>
      </c>
      <c r="HQ20" s="9" t="n">
        <v>0</v>
      </c>
      <c r="HR20" s="9" t="n">
        <v>0</v>
      </c>
      <c r="HT20" s="9" t="n">
        <v>0</v>
      </c>
      <c r="HU20" s="9" t="n">
        <v>0</v>
      </c>
      <c r="HV20" s="9" t="n">
        <v>0</v>
      </c>
      <c r="HW20" s="9" t="n">
        <v>0</v>
      </c>
      <c r="HX20" s="9" t="n">
        <v>0</v>
      </c>
      <c r="HY20" s="9" t="n">
        <v>0</v>
      </c>
      <c r="HZ20" s="9" t="n">
        <v>0</v>
      </c>
      <c r="IA20" s="9" t="n">
        <v>0</v>
      </c>
      <c r="IB20" s="9" t="n">
        <v>0</v>
      </c>
      <c r="IC20" s="9" t="n">
        <v>0</v>
      </c>
      <c r="ID20" s="9" t="n">
        <v>0</v>
      </c>
      <c r="IE20" s="9" t="n">
        <v>0</v>
      </c>
      <c r="IF20" s="9" t="n">
        <v>0</v>
      </c>
      <c r="IG20" s="9" t="n">
        <v>0</v>
      </c>
      <c r="IH20" s="9" t="n">
        <v>0</v>
      </c>
      <c r="IJ20" s="9" t="n">
        <v>0</v>
      </c>
      <c r="IK20" s="9" t="n">
        <v>0</v>
      </c>
      <c r="IL20" s="9" t="n">
        <v>0</v>
      </c>
      <c r="IM20" s="9" t="n">
        <v>0</v>
      </c>
      <c r="IN20" s="9" t="n">
        <v>0</v>
      </c>
      <c r="IO20" s="9" t="n">
        <v>0</v>
      </c>
      <c r="IP20" s="9" t="n">
        <v>0</v>
      </c>
      <c r="IQ20" s="9" t="n">
        <v>0</v>
      </c>
      <c r="IR20" s="9" t="n">
        <v>0</v>
      </c>
      <c r="IS20" s="9" t="n">
        <v>0</v>
      </c>
      <c r="IT20" s="9" t="n">
        <v>0</v>
      </c>
      <c r="IU20" s="9" t="n">
        <v>0</v>
      </c>
      <c r="IV20" s="9" t="n">
        <v>0</v>
      </c>
      <c r="IW20" s="9" t="n">
        <v>0</v>
      </c>
      <c r="IX20" s="9" t="n">
        <v>0</v>
      </c>
    </row>
    <row r="21">
      <c r="A21" s="10" t="n">
        <v>46039</v>
      </c>
      <c r="BQ21" s="9" t="n">
        <v>26</v>
      </c>
      <c r="EA21" s="9" t="inlineStr">
        <is>
          <t>SOYTIDE</t>
        </is>
      </c>
      <c r="EB21" s="9" t="n">
        <v>0</v>
      </c>
      <c r="EC21" s="9" t="n">
        <v>0</v>
      </c>
      <c r="ED21" s="9" t="n">
        <v>0</v>
      </c>
      <c r="EE21" s="9" t="n">
        <v>0</v>
      </c>
      <c r="EF21" s="9" t="n">
        <v>0</v>
      </c>
      <c r="EG21" s="9" t="n">
        <v>0</v>
      </c>
      <c r="EH21" s="9" t="n">
        <v>0</v>
      </c>
      <c r="EI21" s="9" t="n">
        <v>0</v>
      </c>
      <c r="EJ21" s="9" t="n">
        <v>0</v>
      </c>
      <c r="EK21" s="9" t="n">
        <v>0</v>
      </c>
      <c r="EL21" s="9" t="n">
        <v>0</v>
      </c>
      <c r="EM21" s="9" t="n">
        <v>0</v>
      </c>
      <c r="EN21" s="9" t="n">
        <v>0</v>
      </c>
      <c r="EO21" s="9" t="n">
        <v>0</v>
      </c>
      <c r="EP21" s="9" t="n">
        <v>0</v>
      </c>
      <c r="ER21" s="9" t="n">
        <v>0</v>
      </c>
      <c r="ES21" s="9" t="n">
        <v>0</v>
      </c>
      <c r="ET21" s="9" t="n">
        <v>0</v>
      </c>
      <c r="EU21" s="9" t="n">
        <v>0</v>
      </c>
      <c r="EV21" s="9" t="n">
        <v>0</v>
      </c>
      <c r="EW21" s="9" t="n">
        <v>0</v>
      </c>
      <c r="EX21" s="9" t="n">
        <v>0</v>
      </c>
      <c r="EY21" s="9" t="n">
        <v>0</v>
      </c>
      <c r="EZ21" s="9" t="n">
        <v>0</v>
      </c>
      <c r="FA21" s="9" t="n">
        <v>0</v>
      </c>
      <c r="FB21" s="9" t="n">
        <v>0</v>
      </c>
      <c r="FC21" s="9" t="n">
        <v>0</v>
      </c>
      <c r="FD21" s="9" t="n">
        <v>0</v>
      </c>
      <c r="FE21" s="9" t="n">
        <v>0</v>
      </c>
      <c r="FF21" s="9" t="n">
        <v>0</v>
      </c>
      <c r="FH21" s="9" t="n">
        <v>0</v>
      </c>
      <c r="FI21" s="9" t="n">
        <v>0</v>
      </c>
      <c r="FJ21" s="9" t="n">
        <v>0</v>
      </c>
      <c r="FK21" s="9" t="n">
        <v>0</v>
      </c>
      <c r="FL21" s="9" t="n">
        <v>0</v>
      </c>
      <c r="FM21" s="9" t="n">
        <v>0</v>
      </c>
      <c r="FN21" s="9" t="n">
        <v>0</v>
      </c>
      <c r="FO21" s="9" t="n">
        <v>0</v>
      </c>
      <c r="FP21" s="9" t="n">
        <v>0</v>
      </c>
      <c r="FQ21" s="9" t="n">
        <v>0</v>
      </c>
      <c r="FR21" s="9" t="n">
        <v>0</v>
      </c>
      <c r="FS21" s="9" t="n">
        <v>0</v>
      </c>
      <c r="FT21" s="9" t="n">
        <v>0</v>
      </c>
      <c r="FU21" s="9" t="n">
        <v>0</v>
      </c>
      <c r="FV21" s="9" t="n">
        <v>0</v>
      </c>
      <c r="FX21" s="9" t="n">
        <v>0</v>
      </c>
      <c r="FY21" s="9" t="n">
        <v>0</v>
      </c>
      <c r="FZ21" s="9" t="n">
        <v>0</v>
      </c>
      <c r="GA21" s="9" t="n">
        <v>0</v>
      </c>
      <c r="GB21" s="9" t="n">
        <v>0</v>
      </c>
      <c r="GC21" s="9" t="n">
        <v>0</v>
      </c>
      <c r="GD21" s="9" t="n">
        <v>0</v>
      </c>
      <c r="GE21" s="9" t="n">
        <v>0</v>
      </c>
      <c r="GF21" s="9" t="n">
        <v>0</v>
      </c>
      <c r="GG21" s="9" t="n">
        <v>0</v>
      </c>
      <c r="GH21" s="9" t="n">
        <v>0</v>
      </c>
      <c r="GI21" s="9" t="n">
        <v>0</v>
      </c>
      <c r="GJ21" s="9" t="n">
        <v>0</v>
      </c>
      <c r="GK21" s="9" t="n">
        <v>0</v>
      </c>
      <c r="GL21" s="9" t="n">
        <v>0</v>
      </c>
      <c r="GN21" s="9" t="n">
        <v>0</v>
      </c>
      <c r="GO21" s="9" t="n">
        <v>0</v>
      </c>
      <c r="GP21" s="9" t="n">
        <v>0</v>
      </c>
      <c r="GQ21" s="9" t="n">
        <v>0</v>
      </c>
      <c r="GR21" s="9" t="n">
        <v>0</v>
      </c>
      <c r="GS21" s="9" t="n">
        <v>0</v>
      </c>
      <c r="GT21" s="9" t="n">
        <v>0</v>
      </c>
      <c r="GU21" s="9" t="n">
        <v>0</v>
      </c>
      <c r="GV21" s="9" t="n">
        <v>0</v>
      </c>
      <c r="GW21" s="9" t="n">
        <v>0</v>
      </c>
      <c r="GX21" s="9" t="n">
        <v>0</v>
      </c>
      <c r="GY21" s="9" t="n">
        <v>0</v>
      </c>
      <c r="GZ21" s="9" t="n">
        <v>0</v>
      </c>
      <c r="HA21" s="9" t="n">
        <v>0</v>
      </c>
      <c r="HB21" s="9" t="n">
        <v>0</v>
      </c>
      <c r="HD21" s="9" t="n">
        <v>25</v>
      </c>
      <c r="HE21" s="9" t="n">
        <v>25</v>
      </c>
      <c r="HF21" s="9" t="n">
        <v>0</v>
      </c>
      <c r="HG21" s="9" t="n">
        <v>0</v>
      </c>
      <c r="HH21" s="9" t="n">
        <v>0</v>
      </c>
      <c r="HI21" s="9" t="n">
        <v>0</v>
      </c>
      <c r="HJ21" s="9" t="n">
        <v>0</v>
      </c>
      <c r="HK21" s="9" t="n">
        <v>0</v>
      </c>
      <c r="HL21" s="9" t="n">
        <v>0</v>
      </c>
      <c r="HM21" s="9" t="n">
        <v>0</v>
      </c>
      <c r="HN21" s="9" t="n">
        <v>0</v>
      </c>
      <c r="HO21" s="9" t="n">
        <v>0</v>
      </c>
      <c r="HP21" s="9" t="n">
        <v>0</v>
      </c>
      <c r="HQ21" s="9" t="n">
        <v>0</v>
      </c>
      <c r="HR21" s="9" t="n">
        <v>0</v>
      </c>
      <c r="HT21" s="9" t="n">
        <v>0</v>
      </c>
      <c r="HU21" s="9" t="n">
        <v>0</v>
      </c>
      <c r="HV21" s="9" t="n">
        <v>0</v>
      </c>
      <c r="HW21" s="9" t="n">
        <v>0</v>
      </c>
      <c r="HX21" s="9" t="n">
        <v>0</v>
      </c>
      <c r="HY21" s="9" t="n">
        <v>0</v>
      </c>
      <c r="HZ21" s="9" t="n">
        <v>0</v>
      </c>
      <c r="IA21" s="9" t="n">
        <v>0</v>
      </c>
      <c r="IB21" s="9" t="n">
        <v>0</v>
      </c>
      <c r="IC21" s="9" t="n">
        <v>0</v>
      </c>
      <c r="ID21" s="9" t="n">
        <v>0</v>
      </c>
      <c r="IE21" s="9" t="n">
        <v>0</v>
      </c>
      <c r="IF21" s="9" t="n">
        <v>0</v>
      </c>
      <c r="IG21" s="9" t="n">
        <v>0</v>
      </c>
      <c r="IH21" s="9" t="n">
        <v>0</v>
      </c>
      <c r="IJ21" s="9" t="n">
        <v>0</v>
      </c>
      <c r="IK21" s="9" t="n">
        <v>0</v>
      </c>
      <c r="IL21" s="9" t="n">
        <v>0</v>
      </c>
      <c r="IM21" s="9" t="n">
        <v>0</v>
      </c>
      <c r="IN21" s="9" t="n">
        <v>0</v>
      </c>
      <c r="IO21" s="9" t="n">
        <v>0</v>
      </c>
      <c r="IP21" s="9" t="n">
        <v>0</v>
      </c>
      <c r="IQ21" s="9" t="n">
        <v>0</v>
      </c>
      <c r="IR21" s="9" t="n">
        <v>0</v>
      </c>
      <c r="IS21" s="9" t="n">
        <v>0</v>
      </c>
      <c r="IT21" s="9" t="n">
        <v>0</v>
      </c>
      <c r="IU21" s="9" t="n">
        <v>0</v>
      </c>
      <c r="IV21" s="9" t="n">
        <v>0</v>
      </c>
      <c r="IW21" s="9" t="n">
        <v>0</v>
      </c>
      <c r="IX21" s="9" t="n">
        <v>0</v>
      </c>
    </row>
    <row r="22">
      <c r="A22" s="10" t="n">
        <v>46040</v>
      </c>
      <c r="EA22" s="9" t="inlineStr">
        <is>
          <t>DCP 18% (HARUMI)</t>
        </is>
      </c>
      <c r="EB22" s="9" t="n">
        <v>0</v>
      </c>
      <c r="EC22" s="9" t="n">
        <v>0</v>
      </c>
      <c r="ED22" s="9" t="n">
        <v>0</v>
      </c>
      <c r="EE22" s="9" t="n">
        <v>0</v>
      </c>
      <c r="EF22" s="9" t="n">
        <v>0</v>
      </c>
      <c r="EG22" s="9" t="n">
        <v>0</v>
      </c>
      <c r="EH22" s="9" t="n">
        <v>0</v>
      </c>
      <c r="EI22" s="9" t="n">
        <v>0</v>
      </c>
      <c r="EJ22" s="9" t="n">
        <v>0</v>
      </c>
      <c r="EK22" s="9" t="n">
        <v>0</v>
      </c>
      <c r="EL22" s="9" t="n">
        <v>0</v>
      </c>
      <c r="EM22" s="9" t="n">
        <v>0</v>
      </c>
      <c r="EN22" s="9" t="n">
        <v>0</v>
      </c>
      <c r="EO22" s="9" t="n">
        <v>0</v>
      </c>
      <c r="EP22" s="9" t="n">
        <v>0</v>
      </c>
      <c r="ER22" s="9" t="n">
        <v>0</v>
      </c>
      <c r="ES22" s="9" t="n">
        <v>0</v>
      </c>
      <c r="ET22" s="9" t="n">
        <v>0</v>
      </c>
      <c r="EU22" s="9" t="n">
        <v>0</v>
      </c>
      <c r="EV22" s="9" t="n">
        <v>0</v>
      </c>
      <c r="EW22" s="9" t="n">
        <v>0</v>
      </c>
      <c r="EX22" s="9" t="n">
        <v>0</v>
      </c>
      <c r="EY22" s="9" t="n">
        <v>0</v>
      </c>
      <c r="EZ22" s="9" t="n">
        <v>0</v>
      </c>
      <c r="FA22" s="9" t="n">
        <v>0</v>
      </c>
      <c r="FB22" s="9" t="n">
        <v>0</v>
      </c>
      <c r="FC22" s="9" t="n">
        <v>0</v>
      </c>
      <c r="FD22" s="9" t="n">
        <v>0</v>
      </c>
      <c r="FE22" s="9" t="n">
        <v>0</v>
      </c>
      <c r="FF22" s="9" t="n">
        <v>0</v>
      </c>
      <c r="FH22" s="9" t="n">
        <v>0</v>
      </c>
      <c r="FI22" s="9" t="n">
        <v>0</v>
      </c>
      <c r="FJ22" s="9" t="n">
        <v>0</v>
      </c>
      <c r="FK22" s="9" t="n">
        <v>0</v>
      </c>
      <c r="FL22" s="9" t="n">
        <v>0</v>
      </c>
      <c r="FM22" s="9" t="n">
        <v>0</v>
      </c>
      <c r="FN22" s="9" t="n">
        <v>0</v>
      </c>
      <c r="FO22" s="9" t="n">
        <v>0</v>
      </c>
      <c r="FP22" s="9" t="n">
        <v>0</v>
      </c>
      <c r="FQ22" s="9" t="n">
        <v>0</v>
      </c>
      <c r="FR22" s="9" t="n">
        <v>0</v>
      </c>
      <c r="FS22" s="9" t="n">
        <v>0</v>
      </c>
      <c r="FT22" s="9" t="n">
        <v>0</v>
      </c>
      <c r="FU22" s="9" t="n">
        <v>0</v>
      </c>
      <c r="FV22" s="9" t="n">
        <v>0</v>
      </c>
      <c r="FX22" s="9" t="n">
        <v>0</v>
      </c>
      <c r="FY22" s="9" t="n">
        <v>0</v>
      </c>
      <c r="FZ22" s="9" t="n">
        <v>0</v>
      </c>
      <c r="GA22" s="9" t="n">
        <v>0</v>
      </c>
      <c r="GB22" s="9" t="n">
        <v>0</v>
      </c>
      <c r="GC22" s="9" t="n">
        <v>0</v>
      </c>
      <c r="GD22" s="9" t="n">
        <v>0</v>
      </c>
      <c r="GE22" s="9" t="n">
        <v>0</v>
      </c>
      <c r="GF22" s="9" t="n">
        <v>0</v>
      </c>
      <c r="GG22" s="9" t="n">
        <v>0</v>
      </c>
      <c r="GH22" s="9" t="n">
        <v>0</v>
      </c>
      <c r="GI22" s="9" t="n">
        <v>0</v>
      </c>
      <c r="GJ22" s="9" t="n">
        <v>0</v>
      </c>
      <c r="GK22" s="9" t="n">
        <v>0</v>
      </c>
      <c r="GL22" s="9" t="n">
        <v>0</v>
      </c>
      <c r="GN22" s="9" t="n">
        <v>0</v>
      </c>
      <c r="GO22" s="9" t="n">
        <v>0</v>
      </c>
      <c r="GP22" s="9" t="n">
        <v>0</v>
      </c>
      <c r="GQ22" s="9" t="n">
        <v>0</v>
      </c>
      <c r="GR22" s="9" t="n">
        <v>0</v>
      </c>
      <c r="GS22" s="9" t="n">
        <v>0</v>
      </c>
      <c r="GT22" s="9" t="n">
        <v>0</v>
      </c>
      <c r="GU22" s="9" t="n">
        <v>0</v>
      </c>
      <c r="GV22" s="9" t="n">
        <v>0</v>
      </c>
      <c r="GW22" s="9" t="n">
        <v>0</v>
      </c>
      <c r="GX22" s="9" t="n">
        <v>0</v>
      </c>
      <c r="GY22" s="9" t="n">
        <v>0</v>
      </c>
      <c r="GZ22" s="9" t="n">
        <v>0</v>
      </c>
      <c r="HA22" s="9" t="n">
        <v>0</v>
      </c>
      <c r="HB22" s="9" t="n">
        <v>0</v>
      </c>
      <c r="HD22" s="9" t="n">
        <v>0</v>
      </c>
      <c r="HE22" s="9" t="n">
        <v>0</v>
      </c>
      <c r="HF22" s="9" t="n">
        <v>0</v>
      </c>
      <c r="HG22" s="9" t="n">
        <v>0</v>
      </c>
      <c r="HH22" s="9" t="n">
        <v>0</v>
      </c>
      <c r="HI22" s="9" t="n">
        <v>0</v>
      </c>
      <c r="HJ22" s="9" t="n">
        <v>0</v>
      </c>
      <c r="HK22" s="9" t="n">
        <v>0</v>
      </c>
      <c r="HL22" s="9" t="n">
        <v>0</v>
      </c>
      <c r="HM22" s="9" t="n">
        <v>0</v>
      </c>
      <c r="HN22" s="9" t="n">
        <v>0</v>
      </c>
      <c r="HO22" s="9" t="n">
        <v>0</v>
      </c>
      <c r="HP22" s="9" t="n">
        <v>0</v>
      </c>
      <c r="HQ22" s="9" t="n">
        <v>0</v>
      </c>
      <c r="HR22" s="9" t="n">
        <v>0</v>
      </c>
      <c r="HT22" s="9" t="n">
        <v>0</v>
      </c>
      <c r="HU22" s="9" t="n">
        <v>0</v>
      </c>
      <c r="HV22" s="9" t="n">
        <v>0</v>
      </c>
      <c r="HW22" s="9" t="n">
        <v>0</v>
      </c>
      <c r="HX22" s="9" t="n">
        <v>0</v>
      </c>
      <c r="HY22" s="9" t="n">
        <v>0</v>
      </c>
      <c r="HZ22" s="9" t="n">
        <v>0</v>
      </c>
      <c r="IA22" s="9" t="n">
        <v>0</v>
      </c>
      <c r="IB22" s="9" t="n">
        <v>0</v>
      </c>
      <c r="IC22" s="9" t="n">
        <v>0</v>
      </c>
      <c r="ID22" s="9" t="n">
        <v>0</v>
      </c>
      <c r="IE22" s="9" t="n">
        <v>0</v>
      </c>
      <c r="IF22" s="9" t="n">
        <v>0</v>
      </c>
      <c r="IG22" s="9" t="n">
        <v>0</v>
      </c>
      <c r="IH22" s="9" t="n">
        <v>0</v>
      </c>
      <c r="IJ22" s="9" t="n">
        <v>0</v>
      </c>
      <c r="IK22" s="9" t="n">
        <v>0</v>
      </c>
      <c r="IL22" s="9" t="n">
        <v>0</v>
      </c>
      <c r="IM22" s="9" t="n">
        <v>0</v>
      </c>
      <c r="IN22" s="9" t="n">
        <v>0</v>
      </c>
      <c r="IO22" s="9" t="n">
        <v>0</v>
      </c>
      <c r="IP22" s="9" t="n">
        <v>0</v>
      </c>
      <c r="IQ22" s="9" t="n">
        <v>0</v>
      </c>
      <c r="IR22" s="9" t="n">
        <v>0</v>
      </c>
      <c r="IS22" s="9" t="n">
        <v>0</v>
      </c>
      <c r="IT22" s="9" t="n">
        <v>0</v>
      </c>
      <c r="IU22" s="9" t="n">
        <v>0</v>
      </c>
      <c r="IV22" s="9" t="n">
        <v>0</v>
      </c>
      <c r="IW22" s="9" t="n">
        <v>0</v>
      </c>
      <c r="IX22" s="9" t="n">
        <v>0</v>
      </c>
    </row>
    <row r="23">
      <c r="A23" s="10" t="n">
        <v>46041</v>
      </c>
      <c r="BN23" s="9" t="n">
        <v>30</v>
      </c>
      <c r="BQ23" s="9" t="n">
        <v>32</v>
      </c>
      <c r="BY23" s="9" t="n">
        <v>20</v>
      </c>
      <c r="EA23" s="9" t="n">
        <v>1</v>
      </c>
      <c r="EB23" s="9" t="n">
        <v>0</v>
      </c>
      <c r="EC23" s="9" t="n">
        <v>0</v>
      </c>
      <c r="ED23" s="9" t="n">
        <v>0</v>
      </c>
      <c r="EE23" s="9" t="n">
        <v>0</v>
      </c>
      <c r="EF23" s="9" t="n">
        <v>0</v>
      </c>
      <c r="EG23" s="9" t="n">
        <v>0</v>
      </c>
      <c r="EH23" s="9" t="n">
        <v>0</v>
      </c>
      <c r="EI23" s="9" t="n">
        <v>0</v>
      </c>
      <c r="EJ23" s="9" t="n">
        <v>0</v>
      </c>
      <c r="EK23" s="9" t="n">
        <v>0</v>
      </c>
      <c r="EL23" s="9" t="n">
        <v>0</v>
      </c>
      <c r="EM23" s="9" t="n">
        <v>0</v>
      </c>
      <c r="EN23" s="9" t="n">
        <v>0</v>
      </c>
      <c r="EO23" s="9" t="n">
        <v>0</v>
      </c>
      <c r="EP23" s="9" t="n">
        <v>0</v>
      </c>
      <c r="ER23" s="9" t="n">
        <v>0</v>
      </c>
      <c r="ES23" s="9" t="n">
        <v>0</v>
      </c>
      <c r="ET23" s="9" t="n">
        <v>0</v>
      </c>
      <c r="EU23" s="9" t="n">
        <v>0</v>
      </c>
      <c r="EV23" s="9" t="n">
        <v>0</v>
      </c>
      <c r="EW23" s="9" t="n">
        <v>0</v>
      </c>
      <c r="EX23" s="9" t="n">
        <v>0</v>
      </c>
      <c r="EY23" s="9" t="n">
        <v>0</v>
      </c>
      <c r="EZ23" s="9" t="n">
        <v>0</v>
      </c>
      <c r="FA23" s="9" t="n">
        <v>0</v>
      </c>
      <c r="FB23" s="9" t="n">
        <v>0</v>
      </c>
      <c r="FC23" s="9" t="n">
        <v>0</v>
      </c>
      <c r="FD23" s="9" t="n">
        <v>0</v>
      </c>
      <c r="FE23" s="9" t="n">
        <v>0</v>
      </c>
      <c r="FF23" s="9" t="n">
        <v>0</v>
      </c>
      <c r="FH23" s="9" t="n">
        <v>0</v>
      </c>
      <c r="FI23" s="9" t="n">
        <v>0</v>
      </c>
      <c r="FJ23" s="9" t="n">
        <v>0</v>
      </c>
      <c r="FK23" s="9" t="n">
        <v>0</v>
      </c>
      <c r="FL23" s="9" t="n">
        <v>0</v>
      </c>
      <c r="FM23" s="9" t="n">
        <v>0</v>
      </c>
      <c r="FN23" s="9" t="n">
        <v>0</v>
      </c>
      <c r="FO23" s="9" t="n">
        <v>0</v>
      </c>
      <c r="FP23" s="9" t="n">
        <v>0</v>
      </c>
      <c r="FQ23" s="9" t="n">
        <v>0</v>
      </c>
      <c r="FR23" s="9" t="n">
        <v>0</v>
      </c>
      <c r="FS23" s="9" t="n">
        <v>0</v>
      </c>
      <c r="FT23" s="9" t="n">
        <v>0</v>
      </c>
      <c r="FU23" s="9" t="n">
        <v>0</v>
      </c>
      <c r="FV23" s="9" t="n">
        <v>0</v>
      </c>
      <c r="FX23" s="9" t="n">
        <v>0</v>
      </c>
      <c r="FY23" s="9" t="n">
        <v>0</v>
      </c>
      <c r="FZ23" s="9" t="n">
        <v>0</v>
      </c>
      <c r="GA23" s="9" t="n">
        <v>0</v>
      </c>
      <c r="GB23" s="9" t="n">
        <v>0</v>
      </c>
      <c r="GC23" s="9" t="n">
        <v>0</v>
      </c>
      <c r="GD23" s="9" t="n">
        <v>0</v>
      </c>
      <c r="GE23" s="9" t="n">
        <v>0</v>
      </c>
      <c r="GF23" s="9" t="n">
        <v>0</v>
      </c>
      <c r="GG23" s="9" t="n">
        <v>0</v>
      </c>
      <c r="GH23" s="9" t="n">
        <v>0</v>
      </c>
      <c r="GI23" s="9" t="n">
        <v>0</v>
      </c>
      <c r="GJ23" s="9" t="n">
        <v>0</v>
      </c>
      <c r="GK23" s="9" t="n">
        <v>0</v>
      </c>
      <c r="GL23" s="9" t="n">
        <v>0</v>
      </c>
      <c r="GN23" s="9" t="n">
        <v>0</v>
      </c>
      <c r="GO23" s="9" t="n">
        <v>0</v>
      </c>
      <c r="GP23" s="9" t="n">
        <v>0</v>
      </c>
      <c r="GQ23" s="9" t="n">
        <v>0</v>
      </c>
      <c r="GR23" s="9" t="n">
        <v>0</v>
      </c>
      <c r="GS23" s="9" t="n">
        <v>0</v>
      </c>
      <c r="GT23" s="9" t="n">
        <v>0</v>
      </c>
      <c r="GU23" s="9" t="n">
        <v>0</v>
      </c>
      <c r="GV23" s="9" t="n">
        <v>0</v>
      </c>
      <c r="GW23" s="9" t="n">
        <v>0</v>
      </c>
      <c r="GX23" s="9" t="n">
        <v>0</v>
      </c>
      <c r="GY23" s="9" t="n">
        <v>0</v>
      </c>
      <c r="GZ23" s="9" t="n">
        <v>0</v>
      </c>
      <c r="HA23" s="9" t="n">
        <v>0</v>
      </c>
      <c r="HB23" s="9" t="n">
        <v>0</v>
      </c>
      <c r="HD23" s="9" t="n">
        <v>0</v>
      </c>
      <c r="HE23" s="9" t="n">
        <v>0</v>
      </c>
      <c r="HF23" s="9" t="n">
        <v>0</v>
      </c>
      <c r="HG23" s="9" t="n">
        <v>0</v>
      </c>
      <c r="HH23" s="9" t="n">
        <v>0</v>
      </c>
      <c r="HI23" s="9" t="n">
        <v>0</v>
      </c>
      <c r="HJ23" s="9" t="n">
        <v>0</v>
      </c>
      <c r="HK23" s="9" t="n">
        <v>0</v>
      </c>
      <c r="HL23" s="9" t="n">
        <v>0</v>
      </c>
      <c r="HM23" s="9" t="n">
        <v>0</v>
      </c>
      <c r="HN23" s="9" t="n">
        <v>0</v>
      </c>
      <c r="HO23" s="9" t="n">
        <v>0</v>
      </c>
      <c r="HP23" s="9" t="n">
        <v>0</v>
      </c>
      <c r="HQ23" s="9" t="n">
        <v>0</v>
      </c>
      <c r="HR23" s="9" t="n">
        <v>0</v>
      </c>
      <c r="HT23" s="9" t="n">
        <v>0</v>
      </c>
      <c r="HU23" s="9" t="n">
        <v>0</v>
      </c>
      <c r="HV23" s="9" t="n">
        <v>0</v>
      </c>
      <c r="HW23" s="9" t="n">
        <v>0</v>
      </c>
      <c r="HX23" s="9" t="n">
        <v>0</v>
      </c>
      <c r="HY23" s="9" t="n">
        <v>0</v>
      </c>
      <c r="HZ23" s="9" t="n">
        <v>0</v>
      </c>
      <c r="IA23" s="9" t="n">
        <v>0</v>
      </c>
      <c r="IB23" s="9" t="n">
        <v>0</v>
      </c>
      <c r="IC23" s="9" t="n">
        <v>0</v>
      </c>
      <c r="ID23" s="9" t="n">
        <v>0</v>
      </c>
      <c r="IE23" s="9" t="n">
        <v>0</v>
      </c>
      <c r="IF23" s="9" t="n">
        <v>0</v>
      </c>
      <c r="IG23" s="9" t="n">
        <v>0</v>
      </c>
      <c r="IH23" s="9" t="n">
        <v>0</v>
      </c>
      <c r="IJ23" s="9" t="n">
        <v>0</v>
      </c>
      <c r="IK23" s="9" t="n">
        <v>0</v>
      </c>
      <c r="IL23" s="9" t="n">
        <v>0</v>
      </c>
      <c r="IM23" s="9" t="n">
        <v>0</v>
      </c>
      <c r="IN23" s="9" t="n">
        <v>0</v>
      </c>
      <c r="IO23" s="9" t="n">
        <v>0</v>
      </c>
      <c r="IP23" s="9" t="n">
        <v>0</v>
      </c>
      <c r="IQ23" s="9" t="n">
        <v>0</v>
      </c>
      <c r="IR23" s="9" t="n">
        <v>0</v>
      </c>
      <c r="IS23" s="9" t="n">
        <v>0</v>
      </c>
      <c r="IT23" s="9" t="n">
        <v>0</v>
      </c>
      <c r="IU23" s="9" t="n">
        <v>0</v>
      </c>
      <c r="IV23" s="9" t="n">
        <v>0</v>
      </c>
      <c r="IW23" s="9" t="n">
        <v>0</v>
      </c>
      <c r="IX23" s="9" t="n">
        <v>0</v>
      </c>
    </row>
    <row r="24">
      <c r="A24" s="10" t="n">
        <v>46042</v>
      </c>
      <c r="AH24" s="9" t="n">
        <v>50</v>
      </c>
      <c r="EA24" s="9" t="n">
        <v>2</v>
      </c>
      <c r="EB24" s="9" t="n">
        <v>0</v>
      </c>
      <c r="EC24" s="9" t="n">
        <v>0</v>
      </c>
      <c r="ED24" s="9" t="n">
        <v>0</v>
      </c>
      <c r="EE24" s="9" t="n">
        <v>0</v>
      </c>
      <c r="EF24" s="9" t="n">
        <v>0</v>
      </c>
      <c r="EG24" s="9" t="n">
        <v>0</v>
      </c>
      <c r="EH24" s="9" t="n">
        <v>0</v>
      </c>
      <c r="EI24" s="9" t="n">
        <v>0</v>
      </c>
      <c r="EJ24" s="9" t="n">
        <v>0</v>
      </c>
      <c r="EK24" s="9" t="n">
        <v>0</v>
      </c>
      <c r="EL24" s="9" t="n">
        <v>0</v>
      </c>
      <c r="EM24" s="9" t="n">
        <v>0</v>
      </c>
      <c r="EN24" s="9" t="n">
        <v>0</v>
      </c>
      <c r="EO24" s="9" t="n">
        <v>0</v>
      </c>
      <c r="EP24" s="9" t="n">
        <v>0</v>
      </c>
      <c r="ER24" s="9" t="n">
        <v>0</v>
      </c>
      <c r="ES24" s="9" t="n">
        <v>0</v>
      </c>
      <c r="ET24" s="9" t="n">
        <v>0</v>
      </c>
      <c r="EU24" s="9" t="n">
        <v>0</v>
      </c>
      <c r="EV24" s="9" t="n">
        <v>0</v>
      </c>
      <c r="EW24" s="9" t="n">
        <v>0</v>
      </c>
      <c r="EX24" s="9" t="n">
        <v>0</v>
      </c>
      <c r="EY24" s="9" t="n">
        <v>0</v>
      </c>
      <c r="EZ24" s="9" t="n">
        <v>0</v>
      </c>
      <c r="FA24" s="9" t="n">
        <v>0</v>
      </c>
      <c r="FB24" s="9" t="n">
        <v>0</v>
      </c>
      <c r="FC24" s="9" t="n">
        <v>0</v>
      </c>
      <c r="FD24" s="9" t="n">
        <v>0</v>
      </c>
      <c r="FE24" s="9" t="n">
        <v>0</v>
      </c>
      <c r="FF24" s="9" t="n">
        <v>0</v>
      </c>
      <c r="FH24" s="9" t="n">
        <v>0</v>
      </c>
      <c r="FI24" s="9" t="n">
        <v>0</v>
      </c>
      <c r="FJ24" s="9" t="n">
        <v>0</v>
      </c>
      <c r="FK24" s="9" t="n">
        <v>0</v>
      </c>
      <c r="FL24" s="9" t="n">
        <v>0</v>
      </c>
      <c r="FM24" s="9" t="n">
        <v>0</v>
      </c>
      <c r="FN24" s="9" t="n">
        <v>0</v>
      </c>
      <c r="FO24" s="9" t="n">
        <v>0</v>
      </c>
      <c r="FP24" s="9" t="n">
        <v>0</v>
      </c>
      <c r="FQ24" s="9" t="n">
        <v>0</v>
      </c>
      <c r="FR24" s="9" t="n">
        <v>0</v>
      </c>
      <c r="FS24" s="9" t="n">
        <v>0</v>
      </c>
      <c r="FT24" s="9" t="n">
        <v>0</v>
      </c>
      <c r="FU24" s="9" t="n">
        <v>0</v>
      </c>
      <c r="FV24" s="9" t="n">
        <v>0</v>
      </c>
      <c r="FX24" s="9" t="n">
        <v>0</v>
      </c>
      <c r="FY24" s="9" t="n">
        <v>0</v>
      </c>
      <c r="FZ24" s="9" t="n">
        <v>0</v>
      </c>
      <c r="GA24" s="9" t="n">
        <v>0</v>
      </c>
      <c r="GB24" s="9" t="n">
        <v>0</v>
      </c>
      <c r="GC24" s="9" t="n">
        <v>0</v>
      </c>
      <c r="GD24" s="9" t="n">
        <v>0</v>
      </c>
      <c r="GE24" s="9" t="n">
        <v>0</v>
      </c>
      <c r="GF24" s="9" t="n">
        <v>0</v>
      </c>
      <c r="GG24" s="9" t="n">
        <v>0</v>
      </c>
      <c r="GH24" s="9" t="n">
        <v>0</v>
      </c>
      <c r="GI24" s="9" t="n">
        <v>0</v>
      </c>
      <c r="GJ24" s="9" t="n">
        <v>0</v>
      </c>
      <c r="GK24" s="9" t="n">
        <v>0</v>
      </c>
      <c r="GL24" s="9" t="n">
        <v>0</v>
      </c>
      <c r="GN24" s="9" t="n">
        <v>0</v>
      </c>
      <c r="GO24" s="9" t="n">
        <v>0</v>
      </c>
      <c r="GP24" s="9" t="n">
        <v>0</v>
      </c>
      <c r="GQ24" s="9" t="n">
        <v>0</v>
      </c>
      <c r="GR24" s="9" t="n">
        <v>0</v>
      </c>
      <c r="GS24" s="9" t="n">
        <v>0</v>
      </c>
      <c r="GT24" s="9" t="n">
        <v>0</v>
      </c>
      <c r="GU24" s="9" t="n">
        <v>0</v>
      </c>
      <c r="GV24" s="9" t="n">
        <v>0</v>
      </c>
      <c r="GW24" s="9" t="n">
        <v>0</v>
      </c>
      <c r="GX24" s="9" t="n">
        <v>0</v>
      </c>
      <c r="GY24" s="9" t="n">
        <v>0</v>
      </c>
      <c r="GZ24" s="9" t="n">
        <v>0</v>
      </c>
      <c r="HA24" s="9" t="n">
        <v>0</v>
      </c>
      <c r="HB24" s="9" t="n">
        <v>0</v>
      </c>
      <c r="HD24" s="9" t="n">
        <v>0</v>
      </c>
      <c r="HE24" s="9" t="n">
        <v>0</v>
      </c>
      <c r="HF24" s="9" t="n">
        <v>0</v>
      </c>
      <c r="HG24" s="9" t="n">
        <v>0</v>
      </c>
      <c r="HH24" s="9" t="n">
        <v>0</v>
      </c>
      <c r="HI24" s="9" t="n">
        <v>0</v>
      </c>
      <c r="HJ24" s="9" t="n">
        <v>0</v>
      </c>
      <c r="HK24" s="9" t="n">
        <v>0</v>
      </c>
      <c r="HL24" s="9" t="n">
        <v>0</v>
      </c>
      <c r="HM24" s="9" t="n">
        <v>0</v>
      </c>
      <c r="HN24" s="9" t="n">
        <v>0</v>
      </c>
      <c r="HO24" s="9" t="n">
        <v>0</v>
      </c>
      <c r="HP24" s="9" t="n">
        <v>0</v>
      </c>
      <c r="HQ24" s="9" t="n">
        <v>0</v>
      </c>
      <c r="HR24" s="9" t="n">
        <v>0</v>
      </c>
      <c r="HT24" s="9" t="n">
        <v>0</v>
      </c>
      <c r="HU24" s="9" t="n">
        <v>0</v>
      </c>
      <c r="HV24" s="9" t="n">
        <v>0</v>
      </c>
      <c r="HW24" s="9" t="n">
        <v>0</v>
      </c>
      <c r="HX24" s="9" t="n">
        <v>0</v>
      </c>
      <c r="HY24" s="9" t="n">
        <v>0</v>
      </c>
      <c r="HZ24" s="9" t="n">
        <v>0</v>
      </c>
      <c r="IA24" s="9" t="n">
        <v>0</v>
      </c>
      <c r="IB24" s="9" t="n">
        <v>0</v>
      </c>
      <c r="IC24" s="9" t="n">
        <v>0</v>
      </c>
      <c r="ID24" s="9" t="n">
        <v>0</v>
      </c>
      <c r="IE24" s="9" t="n">
        <v>0</v>
      </c>
      <c r="IF24" s="9" t="n">
        <v>0</v>
      </c>
      <c r="IG24" s="9" t="n">
        <v>0</v>
      </c>
      <c r="IH24" s="9" t="n">
        <v>0</v>
      </c>
      <c r="IJ24" s="9" t="n">
        <v>0</v>
      </c>
      <c r="IK24" s="9" t="n">
        <v>0</v>
      </c>
      <c r="IL24" s="9" t="n">
        <v>0</v>
      </c>
      <c r="IM24" s="9" t="n">
        <v>0</v>
      </c>
      <c r="IN24" s="9" t="n">
        <v>0</v>
      </c>
      <c r="IO24" s="9" t="n">
        <v>0</v>
      </c>
      <c r="IP24" s="9" t="n">
        <v>0</v>
      </c>
      <c r="IQ24" s="9" t="n">
        <v>0</v>
      </c>
      <c r="IR24" s="9" t="n">
        <v>0</v>
      </c>
      <c r="IS24" s="9" t="n">
        <v>0</v>
      </c>
      <c r="IT24" s="9" t="n">
        <v>0</v>
      </c>
      <c r="IU24" s="9" t="n">
        <v>0</v>
      </c>
      <c r="IV24" s="9" t="n">
        <v>0</v>
      </c>
      <c r="IW24" s="9" t="n">
        <v>0</v>
      </c>
      <c r="IX24" s="9" t="n">
        <v>0</v>
      </c>
    </row>
    <row r="25">
      <c r="A25" s="10" t="n">
        <v>46043</v>
      </c>
      <c r="AH25" s="9" t="n">
        <v>14</v>
      </c>
      <c r="BY25" s="9" t="n">
        <v>18</v>
      </c>
      <c r="EA25" s="9" t="n">
        <v>3</v>
      </c>
      <c r="EB25" s="9" t="n">
        <v>0</v>
      </c>
      <c r="EC25" s="9" t="n">
        <v>0</v>
      </c>
      <c r="ED25" s="9" t="n">
        <v>0</v>
      </c>
      <c r="EE25" s="9" t="n">
        <v>0</v>
      </c>
      <c r="EF25" s="9" t="n">
        <v>0</v>
      </c>
      <c r="EG25" s="9" t="n">
        <v>0</v>
      </c>
      <c r="EH25" s="9" t="n">
        <v>0</v>
      </c>
      <c r="EI25" s="9" t="n">
        <v>0</v>
      </c>
      <c r="EJ25" s="9" t="n">
        <v>0</v>
      </c>
      <c r="EK25" s="9" t="n">
        <v>0</v>
      </c>
      <c r="EL25" s="9" t="n">
        <v>0</v>
      </c>
      <c r="EM25" s="9" t="n">
        <v>0</v>
      </c>
      <c r="EN25" s="9" t="n">
        <v>0</v>
      </c>
      <c r="EO25" s="9" t="n">
        <v>0</v>
      </c>
      <c r="EP25" s="9" t="n">
        <v>0</v>
      </c>
      <c r="ER25" s="9" t="n">
        <v>0</v>
      </c>
      <c r="ES25" s="9" t="n">
        <v>0</v>
      </c>
      <c r="ET25" s="9" t="n">
        <v>0</v>
      </c>
      <c r="EU25" s="9" t="n">
        <v>0</v>
      </c>
      <c r="EV25" s="9" t="n">
        <v>0</v>
      </c>
      <c r="EW25" s="9" t="n">
        <v>0</v>
      </c>
      <c r="EX25" s="9" t="n">
        <v>0</v>
      </c>
      <c r="EY25" s="9" t="n">
        <v>0</v>
      </c>
      <c r="EZ25" s="9" t="n">
        <v>0</v>
      </c>
      <c r="FA25" s="9" t="n">
        <v>0</v>
      </c>
      <c r="FB25" s="9" t="n">
        <v>0</v>
      </c>
      <c r="FC25" s="9" t="n">
        <v>0</v>
      </c>
      <c r="FD25" s="9" t="n">
        <v>0</v>
      </c>
      <c r="FE25" s="9" t="n">
        <v>0</v>
      </c>
      <c r="FF25" s="9" t="n">
        <v>0</v>
      </c>
      <c r="FH25" s="9" t="n">
        <v>0</v>
      </c>
      <c r="FI25" s="9" t="n">
        <v>0</v>
      </c>
      <c r="FJ25" s="9" t="n">
        <v>0</v>
      </c>
      <c r="FK25" s="9" t="n">
        <v>0</v>
      </c>
      <c r="FL25" s="9" t="n">
        <v>0</v>
      </c>
      <c r="FM25" s="9" t="n">
        <v>0</v>
      </c>
      <c r="FN25" s="9" t="n">
        <v>0</v>
      </c>
      <c r="FO25" s="9" t="n">
        <v>0</v>
      </c>
      <c r="FP25" s="9" t="n">
        <v>0</v>
      </c>
      <c r="FQ25" s="9" t="n">
        <v>0</v>
      </c>
      <c r="FR25" s="9" t="n">
        <v>0</v>
      </c>
      <c r="FS25" s="9" t="n">
        <v>0</v>
      </c>
      <c r="FT25" s="9" t="n">
        <v>0</v>
      </c>
      <c r="FU25" s="9" t="n">
        <v>0</v>
      </c>
      <c r="FV25" s="9" t="n">
        <v>0</v>
      </c>
      <c r="FX25" s="9" t="n">
        <v>0</v>
      </c>
      <c r="FY25" s="9" t="n">
        <v>0</v>
      </c>
      <c r="FZ25" s="9" t="n">
        <v>0</v>
      </c>
      <c r="GA25" s="9" t="n">
        <v>0</v>
      </c>
      <c r="GB25" s="9" t="n">
        <v>0</v>
      </c>
      <c r="GC25" s="9" t="n">
        <v>0</v>
      </c>
      <c r="GD25" s="9" t="n">
        <v>0</v>
      </c>
      <c r="GE25" s="9" t="n">
        <v>0</v>
      </c>
      <c r="GF25" s="9" t="n">
        <v>0</v>
      </c>
      <c r="GG25" s="9" t="n">
        <v>0</v>
      </c>
      <c r="GH25" s="9" t="n">
        <v>0</v>
      </c>
      <c r="GI25" s="9" t="n">
        <v>0</v>
      </c>
      <c r="GJ25" s="9" t="n">
        <v>0</v>
      </c>
      <c r="GK25" s="9" t="n">
        <v>0</v>
      </c>
      <c r="GL25" s="9" t="n">
        <v>0</v>
      </c>
      <c r="GN25" s="9" t="n">
        <v>0</v>
      </c>
      <c r="GO25" s="9" t="n">
        <v>0</v>
      </c>
      <c r="GP25" s="9" t="n">
        <v>0</v>
      </c>
      <c r="GQ25" s="9" t="n">
        <v>0</v>
      </c>
      <c r="GR25" s="9" t="n">
        <v>0</v>
      </c>
      <c r="GS25" s="9" t="n">
        <v>0</v>
      </c>
      <c r="GT25" s="9" t="n">
        <v>0</v>
      </c>
      <c r="GU25" s="9" t="n">
        <v>0</v>
      </c>
      <c r="GV25" s="9" t="n">
        <v>0</v>
      </c>
      <c r="GW25" s="9" t="n">
        <v>0</v>
      </c>
      <c r="GX25" s="9" t="n">
        <v>0</v>
      </c>
      <c r="GY25" s="9" t="n">
        <v>0</v>
      </c>
      <c r="GZ25" s="9" t="n">
        <v>0</v>
      </c>
      <c r="HA25" s="9" t="n">
        <v>0</v>
      </c>
      <c r="HB25" s="9" t="n">
        <v>0</v>
      </c>
      <c r="HD25" s="9" t="n">
        <v>0</v>
      </c>
      <c r="HE25" s="9" t="n">
        <v>0</v>
      </c>
      <c r="HF25" s="9" t="n">
        <v>0</v>
      </c>
      <c r="HG25" s="9" t="n">
        <v>0</v>
      </c>
      <c r="HH25" s="9" t="n">
        <v>0</v>
      </c>
      <c r="HI25" s="9" t="n">
        <v>0</v>
      </c>
      <c r="HJ25" s="9" t="n">
        <v>0</v>
      </c>
      <c r="HK25" s="9" t="n">
        <v>0</v>
      </c>
      <c r="HL25" s="9" t="n">
        <v>0</v>
      </c>
      <c r="HM25" s="9" t="n">
        <v>0</v>
      </c>
      <c r="HN25" s="9" t="n">
        <v>0</v>
      </c>
      <c r="HO25" s="9" t="n">
        <v>0</v>
      </c>
      <c r="HP25" s="9" t="n">
        <v>0</v>
      </c>
      <c r="HQ25" s="9" t="n">
        <v>0</v>
      </c>
      <c r="HR25" s="9" t="n">
        <v>0</v>
      </c>
      <c r="HT25" s="9" t="n">
        <v>0</v>
      </c>
      <c r="HU25" s="9" t="n">
        <v>0</v>
      </c>
      <c r="HV25" s="9" t="n">
        <v>0</v>
      </c>
      <c r="HW25" s="9" t="n">
        <v>0</v>
      </c>
      <c r="HX25" s="9" t="n">
        <v>0</v>
      </c>
      <c r="HY25" s="9" t="n">
        <v>0</v>
      </c>
      <c r="HZ25" s="9" t="n">
        <v>0</v>
      </c>
      <c r="IA25" s="9" t="n">
        <v>0</v>
      </c>
      <c r="IB25" s="9" t="n">
        <v>0</v>
      </c>
      <c r="IC25" s="9" t="n">
        <v>0</v>
      </c>
      <c r="ID25" s="9" t="n">
        <v>0</v>
      </c>
      <c r="IE25" s="9" t="n">
        <v>0</v>
      </c>
      <c r="IF25" s="9" t="n">
        <v>0</v>
      </c>
      <c r="IG25" s="9" t="n">
        <v>0</v>
      </c>
      <c r="IH25" s="9" t="n">
        <v>0</v>
      </c>
      <c r="IJ25" s="9" t="n">
        <v>0</v>
      </c>
      <c r="IK25" s="9" t="n">
        <v>0</v>
      </c>
      <c r="IL25" s="9" t="n">
        <v>0</v>
      </c>
      <c r="IM25" s="9" t="n">
        <v>0</v>
      </c>
      <c r="IN25" s="9" t="n">
        <v>0</v>
      </c>
      <c r="IO25" s="9" t="n">
        <v>0</v>
      </c>
      <c r="IP25" s="9" t="n">
        <v>0</v>
      </c>
      <c r="IQ25" s="9" t="n">
        <v>0</v>
      </c>
      <c r="IR25" s="9" t="n">
        <v>0</v>
      </c>
      <c r="IS25" s="9" t="n">
        <v>0</v>
      </c>
      <c r="IT25" s="9" t="n">
        <v>0</v>
      </c>
      <c r="IU25" s="9" t="n">
        <v>0</v>
      </c>
      <c r="IV25" s="9" t="n">
        <v>0</v>
      </c>
      <c r="IW25" s="9" t="n">
        <v>0</v>
      </c>
      <c r="IX25" s="9" t="n">
        <v>0</v>
      </c>
    </row>
    <row r="26">
      <c r="A26" s="10" t="n">
        <v>46044</v>
      </c>
      <c r="BQ26" s="9" t="n">
        <v>40</v>
      </c>
      <c r="EA26" s="9" t="inlineStr">
        <is>
          <t>PREMIX 1101 (20KG)</t>
        </is>
      </c>
      <c r="EB26" s="9" t="n">
        <v>20</v>
      </c>
      <c r="EC26" s="9" t="n">
        <v>0</v>
      </c>
      <c r="ED26" s="9" t="n">
        <v>0</v>
      </c>
      <c r="EE26" s="9" t="n">
        <v>0</v>
      </c>
      <c r="EF26" s="9" t="n">
        <v>0</v>
      </c>
      <c r="EG26" s="9" t="n">
        <v>0</v>
      </c>
      <c r="EH26" s="9" t="n">
        <v>0</v>
      </c>
      <c r="EI26" s="9" t="n">
        <v>0</v>
      </c>
      <c r="EJ26" s="9" t="n">
        <v>0</v>
      </c>
      <c r="EK26" s="9" t="n">
        <v>0</v>
      </c>
      <c r="EL26" s="9" t="n">
        <v>0</v>
      </c>
      <c r="EM26" s="9" t="n">
        <v>0</v>
      </c>
      <c r="EN26" s="9" t="n">
        <v>0</v>
      </c>
      <c r="EO26" s="9" t="n">
        <v>0</v>
      </c>
      <c r="EP26" s="9" t="n">
        <v>0</v>
      </c>
      <c r="ER26" s="9" t="n">
        <v>0</v>
      </c>
      <c r="ES26" s="9" t="n">
        <v>0</v>
      </c>
      <c r="ET26" s="9" t="n">
        <v>0</v>
      </c>
      <c r="EU26" s="9" t="n">
        <v>0</v>
      </c>
      <c r="EV26" s="9" t="n">
        <v>0</v>
      </c>
      <c r="EW26" s="9" t="n">
        <v>0</v>
      </c>
      <c r="EX26" s="9" t="n">
        <v>0</v>
      </c>
      <c r="EY26" s="9" t="n">
        <v>0</v>
      </c>
      <c r="EZ26" s="9" t="n">
        <v>0</v>
      </c>
      <c r="FA26" s="9" t="n">
        <v>0</v>
      </c>
      <c r="FB26" s="9" t="n">
        <v>0</v>
      </c>
      <c r="FC26" s="9" t="n">
        <v>0</v>
      </c>
      <c r="FD26" s="9" t="n">
        <v>0</v>
      </c>
      <c r="FE26" s="9" t="n">
        <v>0</v>
      </c>
      <c r="FF26" s="9" t="n">
        <v>0</v>
      </c>
      <c r="FH26" s="9" t="n">
        <v>0</v>
      </c>
      <c r="FI26" s="9" t="n">
        <v>0</v>
      </c>
      <c r="FJ26" s="9" t="n">
        <v>0</v>
      </c>
      <c r="FK26" s="9" t="n">
        <v>0</v>
      </c>
      <c r="FL26" s="9" t="n">
        <v>0</v>
      </c>
      <c r="FM26" s="9" t="n">
        <v>0</v>
      </c>
      <c r="FN26" s="9" t="n">
        <v>0</v>
      </c>
      <c r="FO26" s="9" t="n">
        <v>0</v>
      </c>
      <c r="FP26" s="9" t="n">
        <v>0</v>
      </c>
      <c r="FQ26" s="9" t="n">
        <v>0</v>
      </c>
      <c r="FR26" s="9" t="n">
        <v>0</v>
      </c>
      <c r="FS26" s="9" t="n">
        <v>0</v>
      </c>
      <c r="FT26" s="9" t="n">
        <v>0</v>
      </c>
      <c r="FU26" s="9" t="n">
        <v>0</v>
      </c>
      <c r="FV26" s="9" t="n">
        <v>0</v>
      </c>
      <c r="FX26" s="9" t="n">
        <v>0</v>
      </c>
      <c r="FY26" s="9" t="n">
        <v>0</v>
      </c>
      <c r="FZ26" s="9" t="n">
        <v>0</v>
      </c>
      <c r="GA26" s="9" t="n">
        <v>0</v>
      </c>
      <c r="GB26" s="9" t="n">
        <v>0</v>
      </c>
      <c r="GC26" s="9" t="n">
        <v>0</v>
      </c>
      <c r="GD26" s="9" t="n">
        <v>0</v>
      </c>
      <c r="GE26" s="9" t="n">
        <v>0</v>
      </c>
      <c r="GF26" s="9" t="n">
        <v>0</v>
      </c>
      <c r="GG26" s="9" t="n">
        <v>0</v>
      </c>
      <c r="GH26" s="9" t="n">
        <v>0</v>
      </c>
      <c r="GI26" s="9" t="n">
        <v>0</v>
      </c>
      <c r="GJ26" s="9" t="n">
        <v>0</v>
      </c>
      <c r="GK26" s="9" t="n">
        <v>0</v>
      </c>
      <c r="GL26" s="9" t="n">
        <v>0</v>
      </c>
      <c r="GN26" s="9" t="n">
        <v>0</v>
      </c>
      <c r="GO26" s="9" t="n">
        <v>0</v>
      </c>
      <c r="GP26" s="9" t="n">
        <v>0</v>
      </c>
      <c r="GQ26" s="9" t="n">
        <v>0</v>
      </c>
      <c r="GR26" s="9" t="n">
        <v>0</v>
      </c>
      <c r="GS26" s="9" t="n">
        <v>0</v>
      </c>
      <c r="GT26" s="9" t="n">
        <v>0</v>
      </c>
      <c r="GU26" s="9" t="n">
        <v>0</v>
      </c>
      <c r="GV26" s="9" t="n">
        <v>0</v>
      </c>
      <c r="GW26" s="9" t="n">
        <v>0</v>
      </c>
      <c r="GX26" s="9" t="n">
        <v>0</v>
      </c>
      <c r="GY26" s="9" t="n">
        <v>0</v>
      </c>
      <c r="GZ26" s="9" t="n">
        <v>0</v>
      </c>
      <c r="HA26" s="9" t="n">
        <v>0</v>
      </c>
      <c r="HB26" s="9" t="n">
        <v>0</v>
      </c>
      <c r="HD26" s="9" t="n">
        <v>0</v>
      </c>
      <c r="HE26" s="9" t="n">
        <v>0</v>
      </c>
      <c r="HF26" s="9" t="n">
        <v>0</v>
      </c>
      <c r="HG26" s="9" t="n">
        <v>0</v>
      </c>
      <c r="HH26" s="9" t="n">
        <v>0</v>
      </c>
      <c r="HI26" s="9" t="n">
        <v>0</v>
      </c>
      <c r="HJ26" s="9" t="n">
        <v>0</v>
      </c>
      <c r="HK26" s="9" t="n">
        <v>0</v>
      </c>
      <c r="HL26" s="9" t="n">
        <v>0</v>
      </c>
      <c r="HM26" s="9" t="n">
        <v>0</v>
      </c>
      <c r="HN26" s="9" t="n">
        <v>0</v>
      </c>
      <c r="HO26" s="9" t="n">
        <v>0</v>
      </c>
      <c r="HP26" s="9" t="n">
        <v>0</v>
      </c>
      <c r="HQ26" s="9" t="n">
        <v>0</v>
      </c>
      <c r="HR26" s="9" t="n">
        <v>0</v>
      </c>
      <c r="HT26" s="9" t="n">
        <v>0</v>
      </c>
      <c r="HU26" s="9" t="n">
        <v>0</v>
      </c>
      <c r="HV26" s="9" t="n">
        <v>0</v>
      </c>
      <c r="HW26" s="9" t="n">
        <v>0</v>
      </c>
      <c r="HX26" s="9" t="n">
        <v>0</v>
      </c>
      <c r="HY26" s="9" t="n">
        <v>0</v>
      </c>
      <c r="HZ26" s="9" t="n">
        <v>0</v>
      </c>
      <c r="IA26" s="9" t="n">
        <v>0</v>
      </c>
      <c r="IB26" s="9" t="n">
        <v>0</v>
      </c>
      <c r="IC26" s="9" t="n">
        <v>0</v>
      </c>
      <c r="ID26" s="9" t="n">
        <v>0</v>
      </c>
      <c r="IE26" s="9" t="n">
        <v>0</v>
      </c>
      <c r="IF26" s="9" t="n">
        <v>0</v>
      </c>
      <c r="IG26" s="9" t="n">
        <v>0</v>
      </c>
      <c r="IH26" s="9" t="n">
        <v>0</v>
      </c>
      <c r="IJ26" s="9" t="n">
        <v>0</v>
      </c>
      <c r="IK26" s="9" t="n">
        <v>0</v>
      </c>
      <c r="IL26" s="9" t="n">
        <v>0</v>
      </c>
      <c r="IM26" s="9" t="n">
        <v>0</v>
      </c>
      <c r="IN26" s="9" t="n">
        <v>0</v>
      </c>
      <c r="IO26" s="9" t="n">
        <v>0</v>
      </c>
      <c r="IP26" s="9" t="n">
        <v>0</v>
      </c>
      <c r="IQ26" s="9" t="n">
        <v>0</v>
      </c>
      <c r="IR26" s="9" t="n">
        <v>0</v>
      </c>
      <c r="IS26" s="9" t="n">
        <v>0</v>
      </c>
      <c r="IT26" s="9" t="n">
        <v>0</v>
      </c>
      <c r="IU26" s="9" t="n">
        <v>0</v>
      </c>
      <c r="IV26" s="9" t="n">
        <v>0</v>
      </c>
      <c r="IW26" s="9" t="n">
        <v>0</v>
      </c>
      <c r="IX26" s="9" t="n">
        <v>0</v>
      </c>
    </row>
    <row r="27">
      <c r="A27" s="10" t="n">
        <v>46045</v>
      </c>
      <c r="AH27" s="9" t="n">
        <v>24</v>
      </c>
      <c r="BN27" s="9" t="n">
        <v>44</v>
      </c>
      <c r="EA27" s="9" t="inlineStr">
        <is>
          <t>PREMIX 1102 (20KG)</t>
        </is>
      </c>
      <c r="EB27" s="9" t="n">
        <v>0</v>
      </c>
      <c r="EC27" s="9" t="n">
        <v>0</v>
      </c>
      <c r="ED27" s="9" t="n">
        <v>0</v>
      </c>
      <c r="EE27" s="9" t="n">
        <v>0</v>
      </c>
      <c r="EF27" s="9" t="n">
        <v>0</v>
      </c>
      <c r="EG27" s="9" t="n">
        <v>0</v>
      </c>
      <c r="EH27" s="9" t="n">
        <v>0</v>
      </c>
      <c r="EI27" s="9" t="n">
        <v>0</v>
      </c>
      <c r="EJ27" s="9" t="n">
        <v>0</v>
      </c>
      <c r="EK27" s="9" t="n">
        <v>0</v>
      </c>
      <c r="EL27" s="9" t="n">
        <v>0</v>
      </c>
      <c r="EM27" s="9" t="n">
        <v>0</v>
      </c>
      <c r="EN27" s="9" t="n">
        <v>0</v>
      </c>
      <c r="EO27" s="9" t="n">
        <v>0</v>
      </c>
      <c r="EP27" s="9" t="n">
        <v>0</v>
      </c>
      <c r="ER27" s="9" t="n">
        <v>20</v>
      </c>
      <c r="ES27" s="9" t="n">
        <v>0</v>
      </c>
      <c r="ET27" s="9" t="n">
        <v>0</v>
      </c>
      <c r="EU27" s="9" t="n">
        <v>0</v>
      </c>
      <c r="EV27" s="9" t="n">
        <v>0</v>
      </c>
      <c r="EW27" s="9" t="n">
        <v>0</v>
      </c>
      <c r="EX27" s="9" t="n">
        <v>0</v>
      </c>
      <c r="EY27" s="9" t="n">
        <v>0</v>
      </c>
      <c r="EZ27" s="9" t="n">
        <v>0</v>
      </c>
      <c r="FA27" s="9" t="n">
        <v>0</v>
      </c>
      <c r="FB27" s="9" t="n">
        <v>0</v>
      </c>
      <c r="FC27" s="9" t="n">
        <v>0</v>
      </c>
      <c r="FD27" s="9" t="n">
        <v>0</v>
      </c>
      <c r="FE27" s="9" t="n">
        <v>0</v>
      </c>
      <c r="FF27" s="9" t="n">
        <v>0</v>
      </c>
      <c r="FH27" s="9" t="n">
        <v>0</v>
      </c>
      <c r="FI27" s="9" t="n">
        <v>0</v>
      </c>
      <c r="FJ27" s="9" t="n">
        <v>0</v>
      </c>
      <c r="FK27" s="9" t="n">
        <v>0</v>
      </c>
      <c r="FL27" s="9" t="n">
        <v>0</v>
      </c>
      <c r="FM27" s="9" t="n">
        <v>0</v>
      </c>
      <c r="FN27" s="9" t="n">
        <v>0</v>
      </c>
      <c r="FO27" s="9" t="n">
        <v>0</v>
      </c>
      <c r="FP27" s="9" t="n">
        <v>0</v>
      </c>
      <c r="FQ27" s="9" t="n">
        <v>0</v>
      </c>
      <c r="FR27" s="9" t="n">
        <v>0</v>
      </c>
      <c r="FS27" s="9" t="n">
        <v>0</v>
      </c>
      <c r="FT27" s="9" t="n">
        <v>0</v>
      </c>
      <c r="FU27" s="9" t="n">
        <v>0</v>
      </c>
      <c r="FV27" s="9" t="n">
        <v>0</v>
      </c>
      <c r="FX27" s="9" t="n">
        <v>0</v>
      </c>
      <c r="FY27" s="9" t="n">
        <v>0</v>
      </c>
      <c r="FZ27" s="9" t="n">
        <v>0</v>
      </c>
      <c r="GA27" s="9" t="n">
        <v>0</v>
      </c>
      <c r="GB27" s="9" t="n">
        <v>0</v>
      </c>
      <c r="GC27" s="9" t="n">
        <v>0</v>
      </c>
      <c r="GD27" s="9" t="n">
        <v>0</v>
      </c>
      <c r="GE27" s="9" t="n">
        <v>0</v>
      </c>
      <c r="GF27" s="9" t="n">
        <v>0</v>
      </c>
      <c r="GG27" s="9" t="n">
        <v>0</v>
      </c>
      <c r="GH27" s="9" t="n">
        <v>0</v>
      </c>
      <c r="GI27" s="9" t="n">
        <v>0</v>
      </c>
      <c r="GJ27" s="9" t="n">
        <v>0</v>
      </c>
      <c r="GK27" s="9" t="n">
        <v>0</v>
      </c>
      <c r="GL27" s="9" t="n">
        <v>0</v>
      </c>
      <c r="GN27" s="9" t="n">
        <v>0</v>
      </c>
      <c r="GO27" s="9" t="n">
        <v>0</v>
      </c>
      <c r="GP27" s="9" t="n">
        <v>0</v>
      </c>
      <c r="GQ27" s="9" t="n">
        <v>0</v>
      </c>
      <c r="GR27" s="9" t="n">
        <v>0</v>
      </c>
      <c r="GS27" s="9" t="n">
        <v>0</v>
      </c>
      <c r="GT27" s="9" t="n">
        <v>0</v>
      </c>
      <c r="GU27" s="9" t="n">
        <v>0</v>
      </c>
      <c r="GV27" s="9" t="n">
        <v>0</v>
      </c>
      <c r="GW27" s="9" t="n">
        <v>0</v>
      </c>
      <c r="GX27" s="9" t="n">
        <v>0</v>
      </c>
      <c r="GY27" s="9" t="n">
        <v>0</v>
      </c>
      <c r="GZ27" s="9" t="n">
        <v>0</v>
      </c>
      <c r="HA27" s="9" t="n">
        <v>0</v>
      </c>
      <c r="HB27" s="9" t="n">
        <v>0</v>
      </c>
      <c r="HD27" s="9" t="n">
        <v>0</v>
      </c>
      <c r="HE27" s="9" t="n">
        <v>0</v>
      </c>
      <c r="HF27" s="9" t="n">
        <v>0</v>
      </c>
      <c r="HG27" s="9" t="n">
        <v>0</v>
      </c>
      <c r="HH27" s="9" t="n">
        <v>0</v>
      </c>
      <c r="HI27" s="9" t="n">
        <v>0</v>
      </c>
      <c r="HJ27" s="9" t="n">
        <v>0</v>
      </c>
      <c r="HK27" s="9" t="n">
        <v>0</v>
      </c>
      <c r="HL27" s="9" t="n">
        <v>0</v>
      </c>
      <c r="HM27" s="9" t="n">
        <v>0</v>
      </c>
      <c r="HN27" s="9" t="n">
        <v>0</v>
      </c>
      <c r="HO27" s="9" t="n">
        <v>0</v>
      </c>
      <c r="HP27" s="9" t="n">
        <v>0</v>
      </c>
      <c r="HQ27" s="9" t="n">
        <v>0</v>
      </c>
      <c r="HR27" s="9" t="n">
        <v>0</v>
      </c>
      <c r="HT27" s="9" t="n">
        <v>0</v>
      </c>
      <c r="HU27" s="9" t="n">
        <v>0</v>
      </c>
      <c r="HV27" s="9" t="n">
        <v>0</v>
      </c>
      <c r="HW27" s="9" t="n">
        <v>0</v>
      </c>
      <c r="HX27" s="9" t="n">
        <v>0</v>
      </c>
      <c r="HY27" s="9" t="n">
        <v>0</v>
      </c>
      <c r="HZ27" s="9" t="n">
        <v>0</v>
      </c>
      <c r="IA27" s="9" t="n">
        <v>0</v>
      </c>
      <c r="IB27" s="9" t="n">
        <v>0</v>
      </c>
      <c r="IC27" s="9" t="n">
        <v>0</v>
      </c>
      <c r="ID27" s="9" t="n">
        <v>0</v>
      </c>
      <c r="IE27" s="9" t="n">
        <v>0</v>
      </c>
      <c r="IF27" s="9" t="n">
        <v>0</v>
      </c>
      <c r="IG27" s="9" t="n">
        <v>0</v>
      </c>
      <c r="IH27" s="9" t="n">
        <v>0</v>
      </c>
      <c r="IJ27" s="9" t="n">
        <v>0</v>
      </c>
      <c r="IK27" s="9" t="n">
        <v>0</v>
      </c>
      <c r="IL27" s="9" t="n">
        <v>0</v>
      </c>
      <c r="IM27" s="9" t="n">
        <v>0</v>
      </c>
      <c r="IN27" s="9" t="n">
        <v>0</v>
      </c>
      <c r="IO27" s="9" t="n">
        <v>0</v>
      </c>
      <c r="IP27" s="9" t="n">
        <v>0</v>
      </c>
      <c r="IQ27" s="9" t="n">
        <v>0</v>
      </c>
      <c r="IR27" s="9" t="n">
        <v>0</v>
      </c>
      <c r="IS27" s="9" t="n">
        <v>0</v>
      </c>
      <c r="IT27" s="9" t="n">
        <v>0</v>
      </c>
      <c r="IU27" s="9" t="n">
        <v>0</v>
      </c>
      <c r="IV27" s="9" t="n">
        <v>0</v>
      </c>
      <c r="IW27" s="9" t="n">
        <v>0</v>
      </c>
      <c r="IX27" s="9" t="n">
        <v>0</v>
      </c>
    </row>
    <row r="28">
      <c r="A28" s="10" t="n">
        <v>46046</v>
      </c>
      <c r="BQ28" s="9" t="n">
        <v>26</v>
      </c>
      <c r="EA28" s="9" t="inlineStr">
        <is>
          <t>PREMIX 1103 (20KG)</t>
        </is>
      </c>
      <c r="EB28" s="9" t="n">
        <v>0</v>
      </c>
      <c r="EC28" s="9" t="n">
        <v>0</v>
      </c>
      <c r="ED28" s="9" t="n">
        <v>0</v>
      </c>
      <c r="EE28" s="9" t="n">
        <v>0</v>
      </c>
      <c r="EF28" s="9" t="n">
        <v>0</v>
      </c>
      <c r="EG28" s="9" t="n">
        <v>0</v>
      </c>
      <c r="EH28" s="9" t="n">
        <v>0</v>
      </c>
      <c r="EI28" s="9" t="n">
        <v>0</v>
      </c>
      <c r="EJ28" s="9" t="n">
        <v>0</v>
      </c>
      <c r="EK28" s="9" t="n">
        <v>0</v>
      </c>
      <c r="EL28" s="9" t="n">
        <v>0</v>
      </c>
      <c r="EM28" s="9" t="n">
        <v>0</v>
      </c>
      <c r="EN28" s="9" t="n">
        <v>0</v>
      </c>
      <c r="EO28" s="9" t="n">
        <v>0</v>
      </c>
      <c r="EP28" s="9" t="n">
        <v>0</v>
      </c>
      <c r="ER28" s="9" t="n">
        <v>0</v>
      </c>
      <c r="ES28" s="9" t="n">
        <v>0</v>
      </c>
      <c r="ET28" s="9" t="n">
        <v>0</v>
      </c>
      <c r="EU28" s="9" t="n">
        <v>0</v>
      </c>
      <c r="EV28" s="9" t="n">
        <v>0</v>
      </c>
      <c r="EW28" s="9" t="n">
        <v>0</v>
      </c>
      <c r="EX28" s="9" t="n">
        <v>0</v>
      </c>
      <c r="EY28" s="9" t="n">
        <v>0</v>
      </c>
      <c r="EZ28" s="9" t="n">
        <v>0</v>
      </c>
      <c r="FA28" s="9" t="n">
        <v>0</v>
      </c>
      <c r="FB28" s="9" t="n">
        <v>0</v>
      </c>
      <c r="FC28" s="9" t="n">
        <v>0</v>
      </c>
      <c r="FD28" s="9" t="n">
        <v>0</v>
      </c>
      <c r="FE28" s="9" t="n">
        <v>0</v>
      </c>
      <c r="FF28" s="9" t="n">
        <v>0</v>
      </c>
      <c r="FH28" s="9" t="n">
        <v>20</v>
      </c>
      <c r="FI28" s="9" t="n">
        <v>20</v>
      </c>
      <c r="FJ28" s="9" t="n">
        <v>0</v>
      </c>
      <c r="FK28" s="9" t="n">
        <v>0</v>
      </c>
      <c r="FL28" s="9" t="n">
        <v>0</v>
      </c>
      <c r="FM28" s="9" t="n">
        <v>0</v>
      </c>
      <c r="FN28" s="9" t="n">
        <v>0</v>
      </c>
      <c r="FO28" s="9" t="n">
        <v>0</v>
      </c>
      <c r="FP28" s="9" t="n">
        <v>0</v>
      </c>
      <c r="FQ28" s="9" t="n">
        <v>0</v>
      </c>
      <c r="FR28" s="9" t="n">
        <v>0</v>
      </c>
      <c r="FS28" s="9" t="n">
        <v>0</v>
      </c>
      <c r="FT28" s="9" t="n">
        <v>0</v>
      </c>
      <c r="FU28" s="9" t="n">
        <v>0</v>
      </c>
      <c r="FV28" s="9" t="n">
        <v>0</v>
      </c>
      <c r="FX28" s="9" t="n">
        <v>0</v>
      </c>
      <c r="FY28" s="9" t="n">
        <v>0</v>
      </c>
      <c r="FZ28" s="9" t="n">
        <v>0</v>
      </c>
      <c r="GA28" s="9" t="n">
        <v>0</v>
      </c>
      <c r="GB28" s="9" t="n">
        <v>0</v>
      </c>
      <c r="GC28" s="9" t="n">
        <v>0</v>
      </c>
      <c r="GD28" s="9" t="n">
        <v>0</v>
      </c>
      <c r="GE28" s="9" t="n">
        <v>0</v>
      </c>
      <c r="GF28" s="9" t="n">
        <v>0</v>
      </c>
      <c r="GG28" s="9" t="n">
        <v>0</v>
      </c>
      <c r="GH28" s="9" t="n">
        <v>0</v>
      </c>
      <c r="GI28" s="9" t="n">
        <v>0</v>
      </c>
      <c r="GJ28" s="9" t="n">
        <v>0</v>
      </c>
      <c r="GK28" s="9" t="n">
        <v>0</v>
      </c>
      <c r="GL28" s="9" t="n">
        <v>0</v>
      </c>
      <c r="GN28" s="9" t="n">
        <v>0</v>
      </c>
      <c r="GO28" s="9" t="n">
        <v>0</v>
      </c>
      <c r="GP28" s="9" t="n">
        <v>0</v>
      </c>
      <c r="GQ28" s="9" t="n">
        <v>0</v>
      </c>
      <c r="GR28" s="9" t="n">
        <v>0</v>
      </c>
      <c r="GS28" s="9" t="n">
        <v>0</v>
      </c>
      <c r="GT28" s="9" t="n">
        <v>0</v>
      </c>
      <c r="GU28" s="9" t="n">
        <v>0</v>
      </c>
      <c r="GV28" s="9" t="n">
        <v>0</v>
      </c>
      <c r="GW28" s="9" t="n">
        <v>0</v>
      </c>
      <c r="GX28" s="9" t="n">
        <v>0</v>
      </c>
      <c r="GY28" s="9" t="n">
        <v>0</v>
      </c>
      <c r="GZ28" s="9" t="n">
        <v>0</v>
      </c>
      <c r="HA28" s="9" t="n">
        <v>0</v>
      </c>
      <c r="HB28" s="9" t="n">
        <v>0</v>
      </c>
      <c r="HD28" s="9" t="n">
        <v>0</v>
      </c>
      <c r="HE28" s="9" t="n">
        <v>0</v>
      </c>
      <c r="HF28" s="9" t="n">
        <v>0</v>
      </c>
      <c r="HG28" s="9" t="n">
        <v>0</v>
      </c>
      <c r="HH28" s="9" t="n">
        <v>0</v>
      </c>
      <c r="HI28" s="9" t="n">
        <v>0</v>
      </c>
      <c r="HJ28" s="9" t="n">
        <v>0</v>
      </c>
      <c r="HK28" s="9" t="n">
        <v>0</v>
      </c>
      <c r="HL28" s="9" t="n">
        <v>0</v>
      </c>
      <c r="HM28" s="9" t="n">
        <v>0</v>
      </c>
      <c r="HN28" s="9" t="n">
        <v>0</v>
      </c>
      <c r="HO28" s="9" t="n">
        <v>0</v>
      </c>
      <c r="HP28" s="9" t="n">
        <v>0</v>
      </c>
      <c r="HQ28" s="9" t="n">
        <v>0</v>
      </c>
      <c r="HR28" s="9" t="n">
        <v>0</v>
      </c>
      <c r="HT28" s="9" t="n">
        <v>0</v>
      </c>
      <c r="HU28" s="9" t="n">
        <v>0</v>
      </c>
      <c r="HV28" s="9" t="n">
        <v>0</v>
      </c>
      <c r="HW28" s="9" t="n">
        <v>0</v>
      </c>
      <c r="HX28" s="9" t="n">
        <v>0</v>
      </c>
      <c r="HY28" s="9" t="n">
        <v>0</v>
      </c>
      <c r="HZ28" s="9" t="n">
        <v>0</v>
      </c>
      <c r="IA28" s="9" t="n">
        <v>0</v>
      </c>
      <c r="IB28" s="9" t="n">
        <v>0</v>
      </c>
      <c r="IC28" s="9" t="n">
        <v>0</v>
      </c>
      <c r="ID28" s="9" t="n">
        <v>0</v>
      </c>
      <c r="IE28" s="9" t="n">
        <v>0</v>
      </c>
      <c r="IF28" s="9" t="n">
        <v>0</v>
      </c>
      <c r="IG28" s="9" t="n">
        <v>0</v>
      </c>
      <c r="IH28" s="9" t="n">
        <v>0</v>
      </c>
      <c r="IJ28" s="9" t="n">
        <v>0</v>
      </c>
      <c r="IK28" s="9" t="n">
        <v>0</v>
      </c>
      <c r="IL28" s="9" t="n">
        <v>0</v>
      </c>
      <c r="IM28" s="9" t="n">
        <v>0</v>
      </c>
      <c r="IN28" s="9" t="n">
        <v>0</v>
      </c>
      <c r="IO28" s="9" t="n">
        <v>0</v>
      </c>
      <c r="IP28" s="9" t="n">
        <v>0</v>
      </c>
      <c r="IQ28" s="9" t="n">
        <v>0</v>
      </c>
      <c r="IR28" s="9" t="n">
        <v>0</v>
      </c>
      <c r="IS28" s="9" t="n">
        <v>0</v>
      </c>
      <c r="IT28" s="9" t="n">
        <v>0</v>
      </c>
      <c r="IU28" s="9" t="n">
        <v>0</v>
      </c>
      <c r="IV28" s="9" t="n">
        <v>0</v>
      </c>
      <c r="IW28" s="9" t="n">
        <v>0</v>
      </c>
      <c r="IX28" s="9" t="n">
        <v>0</v>
      </c>
    </row>
    <row r="29">
      <c r="A29" s="10" t="n">
        <v>46047</v>
      </c>
      <c r="EA29" s="9" t="inlineStr">
        <is>
          <t>PREMIX 311 (20KG)</t>
        </is>
      </c>
      <c r="EB29" s="9" t="n">
        <v>0</v>
      </c>
      <c r="EC29" s="9" t="n">
        <v>0</v>
      </c>
      <c r="ED29" s="9" t="n">
        <v>0</v>
      </c>
      <c r="EE29" s="9" t="n">
        <v>0</v>
      </c>
      <c r="EF29" s="9" t="n">
        <v>0</v>
      </c>
      <c r="EG29" s="9" t="n">
        <v>0</v>
      </c>
      <c r="EH29" s="9" t="n">
        <v>0</v>
      </c>
      <c r="EI29" s="9" t="n">
        <v>0</v>
      </c>
      <c r="EJ29" s="9" t="n">
        <v>0</v>
      </c>
      <c r="EK29" s="9" t="n">
        <v>0</v>
      </c>
      <c r="EL29" s="9" t="n">
        <v>0</v>
      </c>
      <c r="EM29" s="9" t="n">
        <v>0</v>
      </c>
      <c r="EN29" s="9" t="n">
        <v>0</v>
      </c>
      <c r="EO29" s="9" t="n">
        <v>0</v>
      </c>
      <c r="EP29" s="9" t="n">
        <v>0</v>
      </c>
      <c r="ER29" s="9" t="n">
        <v>0</v>
      </c>
      <c r="ES29" s="9" t="n">
        <v>0</v>
      </c>
      <c r="ET29" s="9" t="n">
        <v>0</v>
      </c>
      <c r="EU29" s="9" t="n">
        <v>0</v>
      </c>
      <c r="EV29" s="9" t="n">
        <v>0</v>
      </c>
      <c r="EW29" s="9" t="n">
        <v>0</v>
      </c>
      <c r="EX29" s="9" t="n">
        <v>0</v>
      </c>
      <c r="EY29" s="9" t="n">
        <v>0</v>
      </c>
      <c r="EZ29" s="9" t="n">
        <v>0</v>
      </c>
      <c r="FA29" s="9" t="n">
        <v>0</v>
      </c>
      <c r="FB29" s="9" t="n">
        <v>0</v>
      </c>
      <c r="FC29" s="9" t="n">
        <v>0</v>
      </c>
      <c r="FD29" s="9" t="n">
        <v>0</v>
      </c>
      <c r="FE29" s="9" t="n">
        <v>0</v>
      </c>
      <c r="FF29" s="9" t="n">
        <v>0</v>
      </c>
      <c r="FH29" s="9" t="n">
        <v>0</v>
      </c>
      <c r="FI29" s="9" t="n">
        <v>0</v>
      </c>
      <c r="FJ29" s="9" t="n">
        <v>0</v>
      </c>
      <c r="FK29" s="9" t="n">
        <v>0</v>
      </c>
      <c r="FL29" s="9" t="n">
        <v>0</v>
      </c>
      <c r="FM29" s="9" t="n">
        <v>0</v>
      </c>
      <c r="FN29" s="9" t="n">
        <v>0</v>
      </c>
      <c r="FO29" s="9" t="n">
        <v>0</v>
      </c>
      <c r="FP29" s="9" t="n">
        <v>0</v>
      </c>
      <c r="FQ29" s="9" t="n">
        <v>0</v>
      </c>
      <c r="FR29" s="9" t="n">
        <v>0</v>
      </c>
      <c r="FS29" s="9" t="n">
        <v>0</v>
      </c>
      <c r="FT29" s="9" t="n">
        <v>0</v>
      </c>
      <c r="FU29" s="9" t="n">
        <v>0</v>
      </c>
      <c r="FV29" s="9" t="n">
        <v>0</v>
      </c>
      <c r="FX29" s="9" t="n">
        <v>0</v>
      </c>
      <c r="FY29" s="9" t="n">
        <v>0</v>
      </c>
      <c r="FZ29" s="9" t="n">
        <v>0</v>
      </c>
      <c r="GA29" s="9" t="n">
        <v>0</v>
      </c>
      <c r="GB29" s="9" t="n">
        <v>0</v>
      </c>
      <c r="GC29" s="9" t="n">
        <v>0</v>
      </c>
      <c r="GD29" s="9" t="n">
        <v>0</v>
      </c>
      <c r="GE29" s="9" t="n">
        <v>0</v>
      </c>
      <c r="GF29" s="9" t="n">
        <v>0</v>
      </c>
      <c r="GG29" s="9" t="n">
        <v>0</v>
      </c>
      <c r="GH29" s="9" t="n">
        <v>0</v>
      </c>
      <c r="GI29" s="9" t="n">
        <v>0</v>
      </c>
      <c r="GJ29" s="9" t="n">
        <v>0</v>
      </c>
      <c r="GK29" s="9" t="n">
        <v>0</v>
      </c>
      <c r="GL29" s="9" t="n">
        <v>0</v>
      </c>
      <c r="GN29" s="9" t="n">
        <v>0</v>
      </c>
      <c r="GO29" s="9" t="n">
        <v>0</v>
      </c>
      <c r="GP29" s="9" t="n">
        <v>0</v>
      </c>
      <c r="GQ29" s="9" t="n">
        <v>0</v>
      </c>
      <c r="GR29" s="9" t="n">
        <v>0</v>
      </c>
      <c r="GS29" s="9" t="n">
        <v>0</v>
      </c>
      <c r="GT29" s="9" t="n">
        <v>0</v>
      </c>
      <c r="GU29" s="9" t="n">
        <v>0</v>
      </c>
      <c r="GV29" s="9" t="n">
        <v>0</v>
      </c>
      <c r="GW29" s="9" t="n">
        <v>0</v>
      </c>
      <c r="GX29" s="9" t="n">
        <v>0</v>
      </c>
      <c r="GY29" s="9" t="n">
        <v>0</v>
      </c>
      <c r="GZ29" s="9" t="n">
        <v>0</v>
      </c>
      <c r="HA29" s="9" t="n">
        <v>0</v>
      </c>
      <c r="HB29" s="9" t="n">
        <v>0</v>
      </c>
      <c r="HD29" s="9" t="n">
        <v>0</v>
      </c>
      <c r="HE29" s="9" t="n">
        <v>0</v>
      </c>
      <c r="HF29" s="9" t="n">
        <v>0</v>
      </c>
      <c r="HG29" s="9" t="n">
        <v>0</v>
      </c>
      <c r="HH29" s="9" t="n">
        <v>0</v>
      </c>
      <c r="HI29" s="9" t="n">
        <v>0</v>
      </c>
      <c r="HJ29" s="9" t="n">
        <v>0</v>
      </c>
      <c r="HK29" s="9" t="n">
        <v>0</v>
      </c>
      <c r="HL29" s="9" t="n">
        <v>0</v>
      </c>
      <c r="HM29" s="9" t="n">
        <v>20</v>
      </c>
      <c r="HN29" s="9" t="n">
        <v>0</v>
      </c>
      <c r="HO29" s="9" t="n">
        <v>0</v>
      </c>
      <c r="HP29" s="9" t="n">
        <v>0</v>
      </c>
      <c r="HQ29" s="9" t="n">
        <v>0</v>
      </c>
      <c r="HR29" s="9" t="n">
        <v>0</v>
      </c>
      <c r="HT29" s="9" t="n">
        <v>0</v>
      </c>
      <c r="HU29" s="9" t="n">
        <v>0</v>
      </c>
      <c r="HV29" s="9" t="n">
        <v>0</v>
      </c>
      <c r="HW29" s="9" t="n">
        <v>0</v>
      </c>
      <c r="HX29" s="9" t="n">
        <v>0</v>
      </c>
      <c r="HY29" s="9" t="n">
        <v>0</v>
      </c>
      <c r="HZ29" s="9" t="n">
        <v>0</v>
      </c>
      <c r="IA29" s="9" t="n">
        <v>0</v>
      </c>
      <c r="IB29" s="9" t="n">
        <v>0</v>
      </c>
      <c r="IC29" s="9" t="n">
        <v>0</v>
      </c>
      <c r="ID29" s="9" t="n">
        <v>0</v>
      </c>
      <c r="IE29" s="9" t="n">
        <v>0</v>
      </c>
      <c r="IF29" s="9" t="n">
        <v>0</v>
      </c>
      <c r="IG29" s="9" t="n">
        <v>0</v>
      </c>
      <c r="IH29" s="9" t="n">
        <v>0</v>
      </c>
      <c r="IJ29" s="9" t="n">
        <v>0</v>
      </c>
      <c r="IK29" s="9" t="n">
        <v>0</v>
      </c>
      <c r="IL29" s="9" t="n">
        <v>0</v>
      </c>
      <c r="IM29" s="9" t="n">
        <v>0</v>
      </c>
      <c r="IN29" s="9" t="n">
        <v>0</v>
      </c>
      <c r="IO29" s="9" t="n">
        <v>0</v>
      </c>
      <c r="IP29" s="9" t="n">
        <v>0</v>
      </c>
      <c r="IQ29" s="9" t="n">
        <v>0</v>
      </c>
      <c r="IR29" s="9" t="n">
        <v>0</v>
      </c>
      <c r="IS29" s="9" t="n">
        <v>0</v>
      </c>
      <c r="IT29" s="9" t="n">
        <v>0</v>
      </c>
      <c r="IU29" s="9" t="n">
        <v>0</v>
      </c>
      <c r="IV29" s="9" t="n">
        <v>0</v>
      </c>
      <c r="IW29" s="9" t="n">
        <v>0</v>
      </c>
      <c r="IX29" s="9" t="n">
        <v>0</v>
      </c>
    </row>
    <row r="30">
      <c r="A30" s="10" t="n">
        <v>46048</v>
      </c>
      <c r="B30" s="9" t="n">
        <v>16</v>
      </c>
      <c r="BY30" s="9" t="n">
        <v>40</v>
      </c>
      <c r="EA30" s="9" t="inlineStr">
        <is>
          <t>PREMIX 312 (20KG)</t>
        </is>
      </c>
      <c r="EB30" s="9" t="n">
        <v>0</v>
      </c>
      <c r="EC30" s="9" t="n">
        <v>0</v>
      </c>
      <c r="ED30" s="9" t="n">
        <v>0</v>
      </c>
      <c r="EE30" s="9" t="n">
        <v>0</v>
      </c>
      <c r="EF30" s="9" t="n">
        <v>0</v>
      </c>
      <c r="EG30" s="9" t="n">
        <v>0</v>
      </c>
      <c r="EH30" s="9" t="n">
        <v>0</v>
      </c>
      <c r="EI30" s="9" t="n">
        <v>0</v>
      </c>
      <c r="EJ30" s="9" t="n">
        <v>0</v>
      </c>
      <c r="EK30" s="9" t="n">
        <v>0</v>
      </c>
      <c r="EL30" s="9" t="n">
        <v>0</v>
      </c>
      <c r="EM30" s="9" t="n">
        <v>0</v>
      </c>
      <c r="EN30" s="9" t="n">
        <v>0</v>
      </c>
      <c r="EO30" s="9" t="n">
        <v>0</v>
      </c>
      <c r="EP30" s="9" t="n">
        <v>0</v>
      </c>
      <c r="ER30" s="9" t="n">
        <v>0</v>
      </c>
      <c r="ES30" s="9" t="n">
        <v>0</v>
      </c>
      <c r="ET30" s="9" t="n">
        <v>0</v>
      </c>
      <c r="EU30" s="9" t="n">
        <v>0</v>
      </c>
      <c r="EV30" s="9" t="n">
        <v>0</v>
      </c>
      <c r="EW30" s="9" t="n">
        <v>0</v>
      </c>
      <c r="EX30" s="9" t="n">
        <v>0</v>
      </c>
      <c r="EY30" s="9" t="n">
        <v>0</v>
      </c>
      <c r="EZ30" s="9" t="n">
        <v>0</v>
      </c>
      <c r="FA30" s="9" t="n">
        <v>0</v>
      </c>
      <c r="FB30" s="9" t="n">
        <v>0</v>
      </c>
      <c r="FC30" s="9" t="n">
        <v>0</v>
      </c>
      <c r="FD30" s="9" t="n">
        <v>0</v>
      </c>
      <c r="FE30" s="9" t="n">
        <v>0</v>
      </c>
      <c r="FF30" s="9" t="n">
        <v>0</v>
      </c>
      <c r="FH30" s="9" t="n">
        <v>0</v>
      </c>
      <c r="FI30" s="9" t="n">
        <v>0</v>
      </c>
      <c r="FJ30" s="9" t="n">
        <v>0</v>
      </c>
      <c r="FK30" s="9" t="n">
        <v>0</v>
      </c>
      <c r="FL30" s="9" t="n">
        <v>0</v>
      </c>
      <c r="FM30" s="9" t="n">
        <v>0</v>
      </c>
      <c r="FN30" s="9" t="n">
        <v>0</v>
      </c>
      <c r="FO30" s="9" t="n">
        <v>0</v>
      </c>
      <c r="FP30" s="9" t="n">
        <v>0</v>
      </c>
      <c r="FQ30" s="9" t="n">
        <v>0</v>
      </c>
      <c r="FR30" s="9" t="n">
        <v>0</v>
      </c>
      <c r="FS30" s="9" t="n">
        <v>0</v>
      </c>
      <c r="FT30" s="9" t="n">
        <v>0</v>
      </c>
      <c r="FU30" s="9" t="n">
        <v>0</v>
      </c>
      <c r="FV30" s="9" t="n">
        <v>0</v>
      </c>
      <c r="FX30" s="9" t="n">
        <v>0</v>
      </c>
      <c r="FY30" s="9" t="n">
        <v>0</v>
      </c>
      <c r="FZ30" s="9" t="n">
        <v>0</v>
      </c>
      <c r="GA30" s="9" t="n">
        <v>0</v>
      </c>
      <c r="GB30" s="9" t="n">
        <v>0</v>
      </c>
      <c r="GC30" s="9" t="n">
        <v>0</v>
      </c>
      <c r="GD30" s="9" t="n">
        <v>0</v>
      </c>
      <c r="GE30" s="9" t="n">
        <v>0</v>
      </c>
      <c r="GF30" s="9" t="n">
        <v>0</v>
      </c>
      <c r="GG30" s="9" t="n">
        <v>0</v>
      </c>
      <c r="GH30" s="9" t="n">
        <v>0</v>
      </c>
      <c r="GI30" s="9" t="n">
        <v>0</v>
      </c>
      <c r="GJ30" s="9" t="n">
        <v>0</v>
      </c>
      <c r="GK30" s="9" t="n">
        <v>0</v>
      </c>
      <c r="GL30" s="9" t="n">
        <v>0</v>
      </c>
      <c r="GN30" s="9" t="n">
        <v>0</v>
      </c>
      <c r="GO30" s="9" t="n">
        <v>0</v>
      </c>
      <c r="GP30" s="9" t="n">
        <v>0</v>
      </c>
      <c r="GQ30" s="9" t="n">
        <v>0</v>
      </c>
      <c r="GR30" s="9" t="n">
        <v>0</v>
      </c>
      <c r="GS30" s="9" t="n">
        <v>0</v>
      </c>
      <c r="GT30" s="9" t="n">
        <v>0</v>
      </c>
      <c r="GU30" s="9" t="n">
        <v>0</v>
      </c>
      <c r="GV30" s="9" t="n">
        <v>0</v>
      </c>
      <c r="GW30" s="9" t="n">
        <v>0</v>
      </c>
      <c r="GX30" s="9" t="n">
        <v>0</v>
      </c>
      <c r="GY30" s="9" t="n">
        <v>0</v>
      </c>
      <c r="GZ30" s="9" t="n">
        <v>0</v>
      </c>
      <c r="HA30" s="9" t="n">
        <v>0</v>
      </c>
      <c r="HB30" s="9" t="n">
        <v>0</v>
      </c>
      <c r="HD30" s="9" t="n">
        <v>0</v>
      </c>
      <c r="HE30" s="9" t="n">
        <v>0</v>
      </c>
      <c r="HF30" s="9" t="n">
        <v>0</v>
      </c>
      <c r="HG30" s="9" t="n">
        <v>0</v>
      </c>
      <c r="HH30" s="9" t="n">
        <v>0</v>
      </c>
      <c r="HI30" s="9" t="n">
        <v>0</v>
      </c>
      <c r="HJ30" s="9" t="n">
        <v>0</v>
      </c>
      <c r="HK30" s="9" t="n">
        <v>0</v>
      </c>
      <c r="HL30" s="9" t="n">
        <v>0</v>
      </c>
      <c r="HM30" s="9" t="n">
        <v>0</v>
      </c>
      <c r="HN30" s="9" t="n">
        <v>20</v>
      </c>
      <c r="HO30" s="9" t="n">
        <v>0</v>
      </c>
      <c r="HP30" s="9" t="n">
        <v>0</v>
      </c>
      <c r="HQ30" s="9" t="n">
        <v>0</v>
      </c>
      <c r="HR30" s="9" t="n">
        <v>0</v>
      </c>
      <c r="HT30" s="9" t="n">
        <v>0</v>
      </c>
      <c r="HU30" s="9" t="n">
        <v>0</v>
      </c>
      <c r="HV30" s="9" t="n">
        <v>0</v>
      </c>
      <c r="HW30" s="9" t="n">
        <v>0</v>
      </c>
      <c r="HX30" s="9" t="n">
        <v>0</v>
      </c>
      <c r="HY30" s="9" t="n">
        <v>0</v>
      </c>
      <c r="HZ30" s="9" t="n">
        <v>0</v>
      </c>
      <c r="IA30" s="9" t="n">
        <v>0</v>
      </c>
      <c r="IB30" s="9" t="n">
        <v>0</v>
      </c>
      <c r="IC30" s="9" t="n">
        <v>0</v>
      </c>
      <c r="ID30" s="9" t="n">
        <v>0</v>
      </c>
      <c r="IE30" s="9" t="n">
        <v>0</v>
      </c>
      <c r="IF30" s="9" t="n">
        <v>0</v>
      </c>
      <c r="IG30" s="9" t="n">
        <v>0</v>
      </c>
      <c r="IH30" s="9" t="n">
        <v>0</v>
      </c>
      <c r="IJ30" s="9" t="n">
        <v>0</v>
      </c>
      <c r="IK30" s="9" t="n">
        <v>0</v>
      </c>
      <c r="IL30" s="9" t="n">
        <v>0</v>
      </c>
      <c r="IM30" s="9" t="n">
        <v>0</v>
      </c>
      <c r="IN30" s="9" t="n">
        <v>0</v>
      </c>
      <c r="IO30" s="9" t="n">
        <v>0</v>
      </c>
      <c r="IP30" s="9" t="n">
        <v>0</v>
      </c>
      <c r="IQ30" s="9" t="n">
        <v>0</v>
      </c>
      <c r="IR30" s="9" t="n">
        <v>0</v>
      </c>
      <c r="IS30" s="9" t="n">
        <v>0</v>
      </c>
      <c r="IT30" s="9" t="n">
        <v>0</v>
      </c>
      <c r="IU30" s="9" t="n">
        <v>0</v>
      </c>
      <c r="IV30" s="9" t="n">
        <v>0</v>
      </c>
      <c r="IW30" s="9" t="n">
        <v>0</v>
      </c>
      <c r="IX30" s="9" t="n">
        <v>0</v>
      </c>
    </row>
    <row r="31">
      <c r="A31" s="10" t="n">
        <v>46049</v>
      </c>
      <c r="AH31" s="9" t="n">
        <v>44</v>
      </c>
      <c r="BQ31" s="9" t="n">
        <v>40</v>
      </c>
      <c r="EA31" s="9" t="n">
        <v>1</v>
      </c>
      <c r="EB31" s="9" t="n">
        <v>0</v>
      </c>
      <c r="EC31" s="9" t="n">
        <v>0</v>
      </c>
      <c r="ED31" s="9" t="n">
        <v>0</v>
      </c>
      <c r="EE31" s="9" t="n">
        <v>0</v>
      </c>
      <c r="EF31" s="9" t="n">
        <v>0</v>
      </c>
      <c r="EG31" s="9" t="n">
        <v>0</v>
      </c>
      <c r="EH31" s="9" t="n">
        <v>0</v>
      </c>
      <c r="EI31" s="9" t="n">
        <v>0</v>
      </c>
      <c r="EJ31" s="9" t="n">
        <v>0</v>
      </c>
      <c r="EK31" s="9" t="n">
        <v>0</v>
      </c>
      <c r="EL31" s="9" t="n">
        <v>0</v>
      </c>
      <c r="EM31" s="9" t="n">
        <v>0</v>
      </c>
      <c r="EN31" s="9" t="n">
        <v>0</v>
      </c>
      <c r="EO31" s="9" t="n">
        <v>0</v>
      </c>
      <c r="EP31" s="9" t="n">
        <v>0</v>
      </c>
      <c r="ER31" s="9" t="n">
        <v>0</v>
      </c>
      <c r="ES31" s="9" t="n">
        <v>0</v>
      </c>
      <c r="ET31" s="9" t="n">
        <v>0</v>
      </c>
      <c r="EU31" s="9" t="n">
        <v>0</v>
      </c>
      <c r="EV31" s="9" t="n">
        <v>0</v>
      </c>
      <c r="EW31" s="9" t="n">
        <v>0</v>
      </c>
      <c r="EX31" s="9" t="n">
        <v>0</v>
      </c>
      <c r="EY31" s="9" t="n">
        <v>0</v>
      </c>
      <c r="EZ31" s="9" t="n">
        <v>0</v>
      </c>
      <c r="FA31" s="9" t="n">
        <v>0</v>
      </c>
      <c r="FB31" s="9" t="n">
        <v>0</v>
      </c>
      <c r="FC31" s="9" t="n">
        <v>0</v>
      </c>
      <c r="FD31" s="9" t="n">
        <v>0</v>
      </c>
      <c r="FE31" s="9" t="n">
        <v>0</v>
      </c>
      <c r="FF31" s="9" t="n">
        <v>0</v>
      </c>
      <c r="FH31" s="9" t="n">
        <v>0</v>
      </c>
      <c r="FI31" s="9" t="n">
        <v>0</v>
      </c>
      <c r="FJ31" s="9" t="n">
        <v>0</v>
      </c>
      <c r="FK31" s="9" t="n">
        <v>0</v>
      </c>
      <c r="FL31" s="9" t="n">
        <v>0</v>
      </c>
      <c r="FM31" s="9" t="n">
        <v>0</v>
      </c>
      <c r="FN31" s="9" t="n">
        <v>0</v>
      </c>
      <c r="FO31" s="9" t="n">
        <v>0</v>
      </c>
      <c r="FP31" s="9" t="n">
        <v>0</v>
      </c>
      <c r="FQ31" s="9" t="n">
        <v>0</v>
      </c>
      <c r="FR31" s="9" t="n">
        <v>0</v>
      </c>
      <c r="FS31" s="9" t="n">
        <v>0</v>
      </c>
      <c r="FT31" s="9" t="n">
        <v>0</v>
      </c>
      <c r="FU31" s="9" t="n">
        <v>0</v>
      </c>
      <c r="FV31" s="9" t="n">
        <v>0</v>
      </c>
      <c r="FX31" s="9" t="n">
        <v>0</v>
      </c>
      <c r="FY31" s="9" t="n">
        <v>0</v>
      </c>
      <c r="FZ31" s="9" t="n">
        <v>0</v>
      </c>
      <c r="GA31" s="9" t="n">
        <v>0</v>
      </c>
      <c r="GB31" s="9" t="n">
        <v>0</v>
      </c>
      <c r="GC31" s="9" t="n">
        <v>0</v>
      </c>
      <c r="GD31" s="9" t="n">
        <v>0</v>
      </c>
      <c r="GE31" s="9" t="n">
        <v>0</v>
      </c>
      <c r="GF31" s="9" t="n">
        <v>0</v>
      </c>
      <c r="GG31" s="9" t="n">
        <v>0</v>
      </c>
      <c r="GH31" s="9" t="n">
        <v>0</v>
      </c>
      <c r="GI31" s="9" t="n">
        <v>0</v>
      </c>
      <c r="GJ31" s="9" t="n">
        <v>0</v>
      </c>
      <c r="GK31" s="9" t="n">
        <v>0</v>
      </c>
      <c r="GL31" s="9" t="n">
        <v>0</v>
      </c>
      <c r="GN31" s="9" t="n">
        <v>0</v>
      </c>
      <c r="GO31" s="9" t="n">
        <v>0</v>
      </c>
      <c r="GP31" s="9" t="n">
        <v>0</v>
      </c>
      <c r="GQ31" s="9" t="n">
        <v>0</v>
      </c>
      <c r="GR31" s="9" t="n">
        <v>0</v>
      </c>
      <c r="GS31" s="9" t="n">
        <v>0</v>
      </c>
      <c r="GT31" s="9" t="n">
        <v>0</v>
      </c>
      <c r="GU31" s="9" t="n">
        <v>0</v>
      </c>
      <c r="GV31" s="9" t="n">
        <v>0</v>
      </c>
      <c r="GW31" s="9" t="n">
        <v>0</v>
      </c>
      <c r="GX31" s="9" t="n">
        <v>0</v>
      </c>
      <c r="GY31" s="9" t="n">
        <v>0</v>
      </c>
      <c r="GZ31" s="9" t="n">
        <v>0</v>
      </c>
      <c r="HA31" s="9" t="n">
        <v>0</v>
      </c>
      <c r="HB31" s="9" t="n">
        <v>0</v>
      </c>
      <c r="HD31" s="9" t="n">
        <v>0</v>
      </c>
      <c r="HE31" s="9" t="n">
        <v>0</v>
      </c>
      <c r="HF31" s="9" t="n">
        <v>0</v>
      </c>
      <c r="HG31" s="9" t="n">
        <v>0</v>
      </c>
      <c r="HH31" s="9" t="n">
        <v>0</v>
      </c>
      <c r="HI31" s="9" t="n">
        <v>0</v>
      </c>
      <c r="HJ31" s="9" t="n">
        <v>0</v>
      </c>
      <c r="HK31" s="9" t="n">
        <v>0</v>
      </c>
      <c r="HL31" s="9" t="n">
        <v>0</v>
      </c>
      <c r="HM31" s="9" t="n">
        <v>0</v>
      </c>
      <c r="HN31" s="9" t="n">
        <v>0</v>
      </c>
      <c r="HO31" s="9" t="n">
        <v>0</v>
      </c>
      <c r="HP31" s="9" t="n">
        <v>0</v>
      </c>
      <c r="HQ31" s="9" t="n">
        <v>0</v>
      </c>
      <c r="HR31" s="9" t="n">
        <v>0</v>
      </c>
      <c r="HT31" s="9" t="n">
        <v>0</v>
      </c>
      <c r="HU31" s="9" t="n">
        <v>0</v>
      </c>
      <c r="HV31" s="9" t="n">
        <v>0</v>
      </c>
      <c r="HW31" s="9" t="n">
        <v>0</v>
      </c>
      <c r="HX31" s="9" t="n">
        <v>0</v>
      </c>
      <c r="HY31" s="9" t="n">
        <v>0</v>
      </c>
      <c r="HZ31" s="9" t="n">
        <v>0</v>
      </c>
      <c r="IA31" s="9" t="n">
        <v>0</v>
      </c>
      <c r="IB31" s="9" t="n">
        <v>0</v>
      </c>
      <c r="IC31" s="9" t="n">
        <v>0</v>
      </c>
      <c r="ID31" s="9" t="n">
        <v>0</v>
      </c>
      <c r="IE31" s="9" t="n">
        <v>0</v>
      </c>
      <c r="IF31" s="9" t="n">
        <v>0</v>
      </c>
      <c r="IG31" s="9" t="n">
        <v>0</v>
      </c>
      <c r="IH31" s="9" t="n">
        <v>0</v>
      </c>
      <c r="IJ31" s="9" t="n">
        <v>0</v>
      </c>
      <c r="IK31" s="9" t="n">
        <v>0</v>
      </c>
      <c r="IL31" s="9" t="n">
        <v>0</v>
      </c>
      <c r="IM31" s="9" t="n">
        <v>0</v>
      </c>
      <c r="IN31" s="9" t="n">
        <v>0</v>
      </c>
      <c r="IO31" s="9" t="n">
        <v>0</v>
      </c>
      <c r="IP31" s="9" t="n">
        <v>0</v>
      </c>
      <c r="IQ31" s="9" t="n">
        <v>0</v>
      </c>
      <c r="IR31" s="9" t="n">
        <v>0</v>
      </c>
      <c r="IS31" s="9" t="n">
        <v>0</v>
      </c>
      <c r="IT31" s="9" t="n">
        <v>0</v>
      </c>
      <c r="IU31" s="9" t="n">
        <v>0</v>
      </c>
      <c r="IV31" s="9" t="n">
        <v>0</v>
      </c>
      <c r="IW31" s="9" t="n">
        <v>0</v>
      </c>
      <c r="IX31" s="9" t="n">
        <v>0</v>
      </c>
    </row>
    <row r="32">
      <c r="A32" s="10" t="n">
        <v>46050</v>
      </c>
      <c r="BQ32" s="9" t="n">
        <v>14</v>
      </c>
      <c r="BR32" s="9" t="n">
        <v>20</v>
      </c>
      <c r="EA32" s="9" t="inlineStr">
        <is>
          <t>PREMIX 8100 (20KG)</t>
        </is>
      </c>
      <c r="EB32" s="9" t="n">
        <v>0</v>
      </c>
      <c r="EC32" s="9" t="n">
        <v>0</v>
      </c>
      <c r="ED32" s="9" t="n">
        <v>0</v>
      </c>
      <c r="EE32" s="9" t="n">
        <v>0</v>
      </c>
      <c r="EF32" s="9" t="n">
        <v>0</v>
      </c>
      <c r="EG32" s="9" t="n">
        <v>0</v>
      </c>
      <c r="EH32" s="9" t="n">
        <v>0</v>
      </c>
      <c r="EI32" s="9" t="n">
        <v>0</v>
      </c>
      <c r="EJ32" s="9" t="n">
        <v>0</v>
      </c>
      <c r="EK32" s="9" t="n">
        <v>0</v>
      </c>
      <c r="EL32" s="9" t="n">
        <v>0</v>
      </c>
      <c r="EM32" s="9" t="n">
        <v>0</v>
      </c>
      <c r="EN32" s="9" t="n">
        <v>0</v>
      </c>
      <c r="EO32" s="9" t="n">
        <v>0</v>
      </c>
      <c r="EP32" s="9" t="n">
        <v>0</v>
      </c>
      <c r="ER32" s="9" t="n">
        <v>0</v>
      </c>
      <c r="ES32" s="9" t="n">
        <v>0</v>
      </c>
      <c r="ET32" s="9" t="n">
        <v>0</v>
      </c>
      <c r="EU32" s="9" t="n">
        <v>0</v>
      </c>
      <c r="EV32" s="9" t="n">
        <v>0</v>
      </c>
      <c r="EW32" s="9" t="n">
        <v>0</v>
      </c>
      <c r="EX32" s="9" t="n">
        <v>0</v>
      </c>
      <c r="EY32" s="9" t="n">
        <v>0</v>
      </c>
      <c r="EZ32" s="9" t="n">
        <v>0</v>
      </c>
      <c r="FA32" s="9" t="n">
        <v>0</v>
      </c>
      <c r="FB32" s="9" t="n">
        <v>0</v>
      </c>
      <c r="FC32" s="9" t="n">
        <v>0</v>
      </c>
      <c r="FD32" s="9" t="n">
        <v>0</v>
      </c>
      <c r="FE32" s="9" t="n">
        <v>0</v>
      </c>
      <c r="FF32" s="9" t="n">
        <v>0</v>
      </c>
      <c r="FH32" s="9" t="n">
        <v>0</v>
      </c>
      <c r="FI32" s="9" t="n">
        <v>0</v>
      </c>
      <c r="FJ32" s="9" t="n">
        <v>0</v>
      </c>
      <c r="FK32" s="9" t="n">
        <v>0</v>
      </c>
      <c r="FL32" s="9" t="n">
        <v>0</v>
      </c>
      <c r="FM32" s="9" t="n">
        <v>0</v>
      </c>
      <c r="FN32" s="9" t="n">
        <v>0</v>
      </c>
      <c r="FO32" s="9" t="n">
        <v>0</v>
      </c>
      <c r="FP32" s="9" t="n">
        <v>0</v>
      </c>
      <c r="FQ32" s="9" t="n">
        <v>0</v>
      </c>
      <c r="FR32" s="9" t="n">
        <v>0</v>
      </c>
      <c r="FS32" s="9" t="n">
        <v>0</v>
      </c>
      <c r="FT32" s="9" t="n">
        <v>0</v>
      </c>
      <c r="FU32" s="9" t="n">
        <v>0</v>
      </c>
      <c r="FV32" s="9" t="n">
        <v>0</v>
      </c>
      <c r="FX32" s="9" t="n">
        <v>0</v>
      </c>
      <c r="FY32" s="9" t="n">
        <v>0</v>
      </c>
      <c r="FZ32" s="9" t="n">
        <v>0</v>
      </c>
      <c r="GA32" s="9" t="n">
        <v>0</v>
      </c>
      <c r="GB32" s="9" t="n">
        <v>0</v>
      </c>
      <c r="GC32" s="9" t="n">
        <v>0</v>
      </c>
      <c r="GD32" s="9" t="n">
        <v>0</v>
      </c>
      <c r="GE32" s="9" t="n">
        <v>0</v>
      </c>
      <c r="GF32" s="9" t="n">
        <v>0</v>
      </c>
      <c r="GG32" s="9" t="n">
        <v>0</v>
      </c>
      <c r="GH32" s="9" t="n">
        <v>0</v>
      </c>
      <c r="GI32" s="9" t="n">
        <v>0</v>
      </c>
      <c r="GJ32" s="9" t="n">
        <v>0</v>
      </c>
      <c r="GK32" s="9" t="n">
        <v>0</v>
      </c>
      <c r="GL32" s="9" t="n">
        <v>0</v>
      </c>
      <c r="GN32" s="9" t="n">
        <v>20</v>
      </c>
      <c r="GO32" s="9" t="n">
        <v>20</v>
      </c>
      <c r="GP32" s="9" t="n">
        <v>0</v>
      </c>
      <c r="GQ32" s="9" t="n">
        <v>0</v>
      </c>
      <c r="GR32" s="9" t="n">
        <v>0</v>
      </c>
      <c r="GS32" s="9" t="n">
        <v>0</v>
      </c>
      <c r="GT32" s="9" t="n">
        <v>0</v>
      </c>
      <c r="GU32" s="9" t="n">
        <v>0</v>
      </c>
      <c r="GV32" s="9" t="n">
        <v>0</v>
      </c>
      <c r="GW32" s="9" t="n">
        <v>0</v>
      </c>
      <c r="GX32" s="9" t="n">
        <v>0</v>
      </c>
      <c r="GY32" s="9" t="n">
        <v>0</v>
      </c>
      <c r="GZ32" s="9" t="n">
        <v>0</v>
      </c>
      <c r="HA32" s="9" t="n">
        <v>0</v>
      </c>
      <c r="HB32" s="9" t="n">
        <v>0</v>
      </c>
      <c r="HD32" s="9" t="n">
        <v>0</v>
      </c>
      <c r="HE32" s="9" t="n">
        <v>0</v>
      </c>
      <c r="HF32" s="9" t="n">
        <v>0</v>
      </c>
      <c r="HG32" s="9" t="n">
        <v>0</v>
      </c>
      <c r="HH32" s="9" t="n">
        <v>0</v>
      </c>
      <c r="HI32" s="9" t="n">
        <v>0</v>
      </c>
      <c r="HJ32" s="9" t="n">
        <v>0</v>
      </c>
      <c r="HK32" s="9" t="n">
        <v>0</v>
      </c>
      <c r="HL32" s="9" t="n">
        <v>0</v>
      </c>
      <c r="HM32" s="9" t="n">
        <v>0</v>
      </c>
      <c r="HN32" s="9" t="n">
        <v>0</v>
      </c>
      <c r="HO32" s="9" t="n">
        <v>0</v>
      </c>
      <c r="HP32" s="9" t="n">
        <v>0</v>
      </c>
      <c r="HQ32" s="9" t="n">
        <v>0</v>
      </c>
      <c r="HR32" s="9" t="n">
        <v>0</v>
      </c>
      <c r="HT32" s="9" t="n">
        <v>0</v>
      </c>
      <c r="HU32" s="9" t="n">
        <v>0</v>
      </c>
      <c r="HV32" s="9" t="n">
        <v>0</v>
      </c>
      <c r="HW32" s="9" t="n">
        <v>0</v>
      </c>
      <c r="HX32" s="9" t="n">
        <v>0</v>
      </c>
      <c r="HY32" s="9" t="n">
        <v>0</v>
      </c>
      <c r="HZ32" s="9" t="n">
        <v>0</v>
      </c>
      <c r="IA32" s="9" t="n">
        <v>0</v>
      </c>
      <c r="IB32" s="9" t="n">
        <v>0</v>
      </c>
      <c r="IC32" s="9" t="n">
        <v>0</v>
      </c>
      <c r="ID32" s="9" t="n">
        <v>0</v>
      </c>
      <c r="IE32" s="9" t="n">
        <v>0</v>
      </c>
      <c r="IF32" s="9" t="n">
        <v>0</v>
      </c>
      <c r="IG32" s="9" t="n">
        <v>0</v>
      </c>
      <c r="IH32" s="9" t="n">
        <v>0</v>
      </c>
      <c r="IJ32" s="9" t="n">
        <v>0</v>
      </c>
      <c r="IK32" s="9" t="n">
        <v>0</v>
      </c>
      <c r="IL32" s="9" t="n">
        <v>0</v>
      </c>
      <c r="IM32" s="9" t="n">
        <v>0</v>
      </c>
      <c r="IN32" s="9" t="n">
        <v>0</v>
      </c>
      <c r="IO32" s="9" t="n">
        <v>0</v>
      </c>
      <c r="IP32" s="9" t="n">
        <v>0</v>
      </c>
      <c r="IQ32" s="9" t="n">
        <v>0</v>
      </c>
      <c r="IR32" s="9" t="n">
        <v>0</v>
      </c>
      <c r="IS32" s="9" t="n">
        <v>0</v>
      </c>
      <c r="IT32" s="9" t="n">
        <v>0</v>
      </c>
      <c r="IU32" s="9" t="n">
        <v>0</v>
      </c>
      <c r="IV32" s="9" t="n">
        <v>0</v>
      </c>
      <c r="IW32" s="9" t="n">
        <v>0</v>
      </c>
      <c r="IX32" s="9" t="n">
        <v>0</v>
      </c>
    </row>
    <row r="33">
      <c r="A33" s="10" t="n">
        <v>46051</v>
      </c>
      <c r="EA33" s="9" t="inlineStr">
        <is>
          <t>PREMIX 8101 (20KG)</t>
        </is>
      </c>
      <c r="EB33" s="9" t="n">
        <v>0</v>
      </c>
      <c r="EC33" s="9" t="n">
        <v>0</v>
      </c>
      <c r="ED33" s="9" t="n">
        <v>0</v>
      </c>
      <c r="EE33" s="9" t="n">
        <v>0</v>
      </c>
      <c r="EF33" s="9" t="n">
        <v>0</v>
      </c>
      <c r="EG33" s="9" t="n">
        <v>0</v>
      </c>
      <c r="EH33" s="9" t="n">
        <v>0</v>
      </c>
      <c r="EI33" s="9" t="n">
        <v>0</v>
      </c>
      <c r="EJ33" s="9" t="n">
        <v>0</v>
      </c>
      <c r="EK33" s="9" t="n">
        <v>0</v>
      </c>
      <c r="EL33" s="9" t="n">
        <v>0</v>
      </c>
      <c r="EM33" s="9" t="n">
        <v>0</v>
      </c>
      <c r="EN33" s="9" t="n">
        <v>0</v>
      </c>
      <c r="EO33" s="9" t="n">
        <v>0</v>
      </c>
      <c r="EP33" s="9" t="n">
        <v>0</v>
      </c>
      <c r="ER33" s="9" t="n">
        <v>0</v>
      </c>
      <c r="ES33" s="9" t="n">
        <v>0</v>
      </c>
      <c r="ET33" s="9" t="n">
        <v>0</v>
      </c>
      <c r="EU33" s="9" t="n">
        <v>0</v>
      </c>
      <c r="EV33" s="9" t="n">
        <v>0</v>
      </c>
      <c r="EW33" s="9" t="n">
        <v>0</v>
      </c>
      <c r="EX33" s="9" t="n">
        <v>0</v>
      </c>
      <c r="EY33" s="9" t="n">
        <v>0</v>
      </c>
      <c r="EZ33" s="9" t="n">
        <v>0</v>
      </c>
      <c r="FA33" s="9" t="n">
        <v>0</v>
      </c>
      <c r="FB33" s="9" t="n">
        <v>0</v>
      </c>
      <c r="FC33" s="9" t="n">
        <v>0</v>
      </c>
      <c r="FD33" s="9" t="n">
        <v>0</v>
      </c>
      <c r="FE33" s="9" t="n">
        <v>0</v>
      </c>
      <c r="FF33" s="9" t="n">
        <v>0</v>
      </c>
      <c r="FH33" s="9" t="n">
        <v>0</v>
      </c>
      <c r="FI33" s="9" t="n">
        <v>0</v>
      </c>
      <c r="FJ33" s="9" t="n">
        <v>0</v>
      </c>
      <c r="FK33" s="9" t="n">
        <v>0</v>
      </c>
      <c r="FL33" s="9" t="n">
        <v>0</v>
      </c>
      <c r="FM33" s="9" t="n">
        <v>0</v>
      </c>
      <c r="FN33" s="9" t="n">
        <v>0</v>
      </c>
      <c r="FO33" s="9" t="n">
        <v>0</v>
      </c>
      <c r="FP33" s="9" t="n">
        <v>0</v>
      </c>
      <c r="FQ33" s="9" t="n">
        <v>0</v>
      </c>
      <c r="FR33" s="9" t="n">
        <v>0</v>
      </c>
      <c r="FS33" s="9" t="n">
        <v>0</v>
      </c>
      <c r="FT33" s="9" t="n">
        <v>0</v>
      </c>
      <c r="FU33" s="9" t="n">
        <v>0</v>
      </c>
      <c r="FV33" s="9" t="n">
        <v>0</v>
      </c>
      <c r="FX33" s="9" t="n">
        <v>0</v>
      </c>
      <c r="FY33" s="9" t="n">
        <v>0</v>
      </c>
      <c r="FZ33" s="9" t="n">
        <v>0</v>
      </c>
      <c r="GA33" s="9" t="n">
        <v>0</v>
      </c>
      <c r="GB33" s="9" t="n">
        <v>0</v>
      </c>
      <c r="GC33" s="9" t="n">
        <v>0</v>
      </c>
      <c r="GD33" s="9" t="n">
        <v>0</v>
      </c>
      <c r="GE33" s="9" t="n">
        <v>0</v>
      </c>
      <c r="GF33" s="9" t="n">
        <v>0</v>
      </c>
      <c r="GG33" s="9" t="n">
        <v>0</v>
      </c>
      <c r="GH33" s="9" t="n">
        <v>0</v>
      </c>
      <c r="GI33" s="9" t="n">
        <v>0</v>
      </c>
      <c r="GJ33" s="9" t="n">
        <v>0</v>
      </c>
      <c r="GK33" s="9" t="n">
        <v>0</v>
      </c>
      <c r="GL33" s="9" t="n">
        <v>0</v>
      </c>
      <c r="GN33" s="9" t="n">
        <v>0</v>
      </c>
      <c r="GO33" s="9" t="n">
        <v>0</v>
      </c>
      <c r="GP33" s="9" t="n">
        <v>0</v>
      </c>
      <c r="GQ33" s="9" t="n">
        <v>0</v>
      </c>
      <c r="GR33" s="9" t="n">
        <v>0</v>
      </c>
      <c r="GS33" s="9" t="n">
        <v>0</v>
      </c>
      <c r="GT33" s="9" t="n">
        <v>0</v>
      </c>
      <c r="GU33" s="9" t="n">
        <v>0</v>
      </c>
      <c r="GV33" s="9" t="n">
        <v>0</v>
      </c>
      <c r="GW33" s="9" t="n">
        <v>0</v>
      </c>
      <c r="GX33" s="9" t="n">
        <v>0</v>
      </c>
      <c r="GY33" s="9" t="n">
        <v>0</v>
      </c>
      <c r="GZ33" s="9" t="n">
        <v>0</v>
      </c>
      <c r="HA33" s="9" t="n">
        <v>0</v>
      </c>
      <c r="HB33" s="9" t="n">
        <v>0</v>
      </c>
      <c r="HD33" s="9" t="n">
        <v>0</v>
      </c>
      <c r="HE33" s="9" t="n">
        <v>0</v>
      </c>
      <c r="HF33" s="9" t="n">
        <v>0</v>
      </c>
      <c r="HG33" s="9" t="n">
        <v>0</v>
      </c>
      <c r="HH33" s="9" t="n">
        <v>0</v>
      </c>
      <c r="HI33" s="9" t="n">
        <v>0</v>
      </c>
      <c r="HJ33" s="9" t="n">
        <v>0</v>
      </c>
      <c r="HK33" s="9" t="n">
        <v>0</v>
      </c>
      <c r="HL33" s="9" t="n">
        <v>0</v>
      </c>
      <c r="HM33" s="9" t="n">
        <v>0</v>
      </c>
      <c r="HN33" s="9" t="n">
        <v>0</v>
      </c>
      <c r="HO33" s="9" t="n">
        <v>0</v>
      </c>
      <c r="HP33" s="9" t="n">
        <v>0</v>
      </c>
      <c r="HQ33" s="9" t="n">
        <v>0</v>
      </c>
      <c r="HR33" s="9" t="n">
        <v>0</v>
      </c>
      <c r="HT33" s="9" t="n">
        <v>0</v>
      </c>
      <c r="HU33" s="9" t="n">
        <v>0</v>
      </c>
      <c r="HV33" s="9" t="n">
        <v>0</v>
      </c>
      <c r="HW33" s="9" t="n">
        <v>0</v>
      </c>
      <c r="HX33" s="9" t="n">
        <v>0</v>
      </c>
      <c r="HY33" s="9" t="n">
        <v>0</v>
      </c>
      <c r="HZ33" s="9" t="n">
        <v>0</v>
      </c>
      <c r="IA33" s="9" t="n">
        <v>0</v>
      </c>
      <c r="IB33" s="9" t="n">
        <v>0</v>
      </c>
      <c r="IC33" s="9" t="n">
        <v>0</v>
      </c>
      <c r="ID33" s="9" t="n">
        <v>0</v>
      </c>
      <c r="IE33" s="9" t="n">
        <v>0</v>
      </c>
      <c r="IF33" s="9" t="n">
        <v>0</v>
      </c>
      <c r="IG33" s="9" t="n">
        <v>0</v>
      </c>
      <c r="IH33" s="9" t="n">
        <v>0</v>
      </c>
      <c r="IJ33" s="9" t="n">
        <v>0</v>
      </c>
      <c r="IK33" s="9" t="n">
        <v>0</v>
      </c>
      <c r="IL33" s="9" t="n">
        <v>0</v>
      </c>
      <c r="IM33" s="9" t="n">
        <v>0</v>
      </c>
      <c r="IN33" s="9" t="n">
        <v>0</v>
      </c>
      <c r="IO33" s="9" t="n">
        <v>0</v>
      </c>
      <c r="IP33" s="9" t="n">
        <v>0</v>
      </c>
      <c r="IQ33" s="9" t="n">
        <v>0</v>
      </c>
      <c r="IR33" s="9" t="n">
        <v>0</v>
      </c>
      <c r="IS33" s="9" t="n">
        <v>0</v>
      </c>
      <c r="IT33" s="9" t="n">
        <v>0</v>
      </c>
      <c r="IU33" s="9" t="n">
        <v>0</v>
      </c>
      <c r="IV33" s="9" t="n">
        <v>0</v>
      </c>
      <c r="IW33" s="9" t="n">
        <v>0</v>
      </c>
      <c r="IX33" s="9" t="n">
        <v>0</v>
      </c>
    </row>
    <row r="34">
      <c r="A34" s="10" t="n">
        <v>46052</v>
      </c>
      <c r="AH34" s="9" t="n">
        <v>16</v>
      </c>
      <c r="EA34" s="9" t="inlineStr">
        <is>
          <t>PREMIX 8102 (20KG)</t>
        </is>
      </c>
      <c r="EB34" s="9" t="n">
        <v>0</v>
      </c>
      <c r="EC34" s="9" t="n">
        <v>0</v>
      </c>
      <c r="ED34" s="9" t="n">
        <v>0</v>
      </c>
      <c r="EE34" s="9" t="n">
        <v>0</v>
      </c>
      <c r="EF34" s="9" t="n">
        <v>0</v>
      </c>
      <c r="EG34" s="9" t="n">
        <v>0</v>
      </c>
      <c r="EH34" s="9" t="n">
        <v>0</v>
      </c>
      <c r="EI34" s="9" t="n">
        <v>0</v>
      </c>
      <c r="EJ34" s="9" t="n">
        <v>0</v>
      </c>
      <c r="EK34" s="9" t="n">
        <v>0</v>
      </c>
      <c r="EL34" s="9" t="n">
        <v>0</v>
      </c>
      <c r="EM34" s="9" t="n">
        <v>0</v>
      </c>
      <c r="EN34" s="9" t="n">
        <v>0</v>
      </c>
      <c r="EO34" s="9" t="n">
        <v>0</v>
      </c>
      <c r="EP34" s="9" t="n">
        <v>0</v>
      </c>
      <c r="ER34" s="9" t="n">
        <v>0</v>
      </c>
      <c r="ES34" s="9" t="n">
        <v>0</v>
      </c>
      <c r="ET34" s="9" t="n">
        <v>0</v>
      </c>
      <c r="EU34" s="9" t="n">
        <v>0</v>
      </c>
      <c r="EV34" s="9" t="n">
        <v>0</v>
      </c>
      <c r="EW34" s="9" t="n">
        <v>0</v>
      </c>
      <c r="EX34" s="9" t="n">
        <v>0</v>
      </c>
      <c r="EY34" s="9" t="n">
        <v>0</v>
      </c>
      <c r="EZ34" s="9" t="n">
        <v>0</v>
      </c>
      <c r="FA34" s="9" t="n">
        <v>0</v>
      </c>
      <c r="FB34" s="9" t="n">
        <v>0</v>
      </c>
      <c r="FC34" s="9" t="n">
        <v>0</v>
      </c>
      <c r="FD34" s="9" t="n">
        <v>0</v>
      </c>
      <c r="FE34" s="9" t="n">
        <v>0</v>
      </c>
      <c r="FF34" s="9" t="n">
        <v>0</v>
      </c>
      <c r="FH34" s="9" t="n">
        <v>0</v>
      </c>
      <c r="FI34" s="9" t="n">
        <v>0</v>
      </c>
      <c r="FJ34" s="9" t="n">
        <v>0</v>
      </c>
      <c r="FK34" s="9" t="n">
        <v>0</v>
      </c>
      <c r="FL34" s="9" t="n">
        <v>0</v>
      </c>
      <c r="FM34" s="9" t="n">
        <v>0</v>
      </c>
      <c r="FN34" s="9" t="n">
        <v>0</v>
      </c>
      <c r="FO34" s="9" t="n">
        <v>0</v>
      </c>
      <c r="FP34" s="9" t="n">
        <v>0</v>
      </c>
      <c r="FQ34" s="9" t="n">
        <v>0</v>
      </c>
      <c r="FR34" s="9" t="n">
        <v>0</v>
      </c>
      <c r="FS34" s="9" t="n">
        <v>0</v>
      </c>
      <c r="FT34" s="9" t="n">
        <v>0</v>
      </c>
      <c r="FU34" s="9" t="n">
        <v>0</v>
      </c>
      <c r="FV34" s="9" t="n">
        <v>0</v>
      </c>
      <c r="FX34" s="9" t="n">
        <v>0</v>
      </c>
      <c r="FY34" s="9" t="n">
        <v>0</v>
      </c>
      <c r="FZ34" s="9" t="n">
        <v>0</v>
      </c>
      <c r="GA34" s="9" t="n">
        <v>0</v>
      </c>
      <c r="GB34" s="9" t="n">
        <v>0</v>
      </c>
      <c r="GC34" s="9" t="n">
        <v>0</v>
      </c>
      <c r="GD34" s="9" t="n">
        <v>0</v>
      </c>
      <c r="GE34" s="9" t="n">
        <v>0</v>
      </c>
      <c r="GF34" s="9" t="n">
        <v>0</v>
      </c>
      <c r="GG34" s="9" t="n">
        <v>0</v>
      </c>
      <c r="GH34" s="9" t="n">
        <v>0</v>
      </c>
      <c r="GI34" s="9" t="n">
        <v>0</v>
      </c>
      <c r="GJ34" s="9" t="n">
        <v>0</v>
      </c>
      <c r="GK34" s="9" t="n">
        <v>0</v>
      </c>
      <c r="GL34" s="9" t="n">
        <v>0</v>
      </c>
      <c r="GN34" s="9" t="n">
        <v>0</v>
      </c>
      <c r="GO34" s="9" t="n">
        <v>0</v>
      </c>
      <c r="GP34" s="9" t="n">
        <v>0</v>
      </c>
      <c r="GQ34" s="9" t="n">
        <v>20</v>
      </c>
      <c r="GR34" s="9" t="n">
        <v>20</v>
      </c>
      <c r="GS34" s="9" t="n">
        <v>0</v>
      </c>
      <c r="GT34" s="9" t="n">
        <v>20</v>
      </c>
      <c r="GU34" s="9" t="n">
        <v>20</v>
      </c>
      <c r="GV34" s="9" t="n">
        <v>0</v>
      </c>
      <c r="GW34" s="9" t="n">
        <v>0</v>
      </c>
      <c r="GX34" s="9" t="n">
        <v>0</v>
      </c>
      <c r="GY34" s="9" t="n">
        <v>0</v>
      </c>
      <c r="GZ34" s="9" t="n">
        <v>0</v>
      </c>
      <c r="HA34" s="9" t="n">
        <v>0</v>
      </c>
      <c r="HB34" s="9" t="n">
        <v>0</v>
      </c>
      <c r="HD34" s="9" t="n">
        <v>0</v>
      </c>
      <c r="HE34" s="9" t="n">
        <v>0</v>
      </c>
      <c r="HF34" s="9" t="n">
        <v>0</v>
      </c>
      <c r="HG34" s="9" t="n">
        <v>0</v>
      </c>
      <c r="HH34" s="9" t="n">
        <v>0</v>
      </c>
      <c r="HI34" s="9" t="n">
        <v>0</v>
      </c>
      <c r="HJ34" s="9" t="n">
        <v>0</v>
      </c>
      <c r="HK34" s="9" t="n">
        <v>0</v>
      </c>
      <c r="HL34" s="9" t="n">
        <v>0</v>
      </c>
      <c r="HM34" s="9" t="n">
        <v>0</v>
      </c>
      <c r="HN34" s="9" t="n">
        <v>0</v>
      </c>
      <c r="HO34" s="9" t="n">
        <v>0</v>
      </c>
      <c r="HP34" s="9" t="n">
        <v>0</v>
      </c>
      <c r="HQ34" s="9" t="n">
        <v>0</v>
      </c>
      <c r="HR34" s="9" t="n">
        <v>0</v>
      </c>
      <c r="HT34" s="9" t="n">
        <v>0</v>
      </c>
      <c r="HU34" s="9" t="n">
        <v>0</v>
      </c>
      <c r="HV34" s="9" t="n">
        <v>0</v>
      </c>
      <c r="HW34" s="9" t="n">
        <v>0</v>
      </c>
      <c r="HX34" s="9" t="n">
        <v>0</v>
      </c>
      <c r="HY34" s="9" t="n">
        <v>0</v>
      </c>
      <c r="HZ34" s="9" t="n">
        <v>0</v>
      </c>
      <c r="IA34" s="9" t="n">
        <v>0</v>
      </c>
      <c r="IB34" s="9" t="n">
        <v>0</v>
      </c>
      <c r="IC34" s="9" t="n">
        <v>0</v>
      </c>
      <c r="ID34" s="9" t="n">
        <v>0</v>
      </c>
      <c r="IE34" s="9" t="n">
        <v>0</v>
      </c>
      <c r="IF34" s="9" t="n">
        <v>0</v>
      </c>
      <c r="IG34" s="9" t="n">
        <v>0</v>
      </c>
      <c r="IH34" s="9" t="n">
        <v>0</v>
      </c>
      <c r="IJ34" s="9" t="n">
        <v>0</v>
      </c>
      <c r="IK34" s="9" t="n">
        <v>0</v>
      </c>
      <c r="IL34" s="9" t="n">
        <v>0</v>
      </c>
      <c r="IM34" s="9" t="n">
        <v>0</v>
      </c>
      <c r="IN34" s="9" t="n">
        <v>0</v>
      </c>
      <c r="IO34" s="9" t="n">
        <v>0</v>
      </c>
      <c r="IP34" s="9" t="n">
        <v>0</v>
      </c>
      <c r="IQ34" s="9" t="n">
        <v>0</v>
      </c>
      <c r="IR34" s="9" t="n">
        <v>0</v>
      </c>
      <c r="IS34" s="9" t="n">
        <v>0</v>
      </c>
      <c r="IT34" s="9" t="n">
        <v>0</v>
      </c>
      <c r="IU34" s="9" t="n">
        <v>0</v>
      </c>
      <c r="IV34" s="9" t="n">
        <v>0</v>
      </c>
      <c r="IW34" s="9" t="n">
        <v>0</v>
      </c>
      <c r="IX34" s="9" t="n">
        <v>0</v>
      </c>
    </row>
    <row r="35">
      <c r="A35" s="10" t="n">
        <v>46053</v>
      </c>
      <c r="AH35" s="9" t="n">
        <v>30</v>
      </c>
      <c r="BQ35" s="9" t="n">
        <v>40</v>
      </c>
      <c r="EA35" s="9" t="inlineStr">
        <is>
          <t>PREMIX 8103 (20KG)</t>
        </is>
      </c>
      <c r="EB35" s="9" t="n">
        <v>0</v>
      </c>
      <c r="EC35" s="9" t="n">
        <v>0</v>
      </c>
      <c r="ED35" s="9" t="n">
        <v>0</v>
      </c>
      <c r="EE35" s="9" t="n">
        <v>0</v>
      </c>
      <c r="EF35" s="9" t="n">
        <v>0</v>
      </c>
      <c r="EG35" s="9" t="n">
        <v>0</v>
      </c>
      <c r="EH35" s="9" t="n">
        <v>0</v>
      </c>
      <c r="EI35" s="9" t="n">
        <v>0</v>
      </c>
      <c r="EJ35" s="9" t="n">
        <v>0</v>
      </c>
      <c r="EK35" s="9" t="n">
        <v>0</v>
      </c>
      <c r="EL35" s="9" t="n">
        <v>0</v>
      </c>
      <c r="EM35" s="9" t="n">
        <v>0</v>
      </c>
      <c r="EN35" s="9" t="n">
        <v>0</v>
      </c>
      <c r="EO35" s="9" t="n">
        <v>0</v>
      </c>
      <c r="EP35" s="9" t="n">
        <v>0</v>
      </c>
      <c r="ER35" s="9" t="n">
        <v>0</v>
      </c>
      <c r="ES35" s="9" t="n">
        <v>0</v>
      </c>
      <c r="ET35" s="9" t="n">
        <v>0</v>
      </c>
      <c r="EU35" s="9" t="n">
        <v>0</v>
      </c>
      <c r="EV35" s="9" t="n">
        <v>0</v>
      </c>
      <c r="EW35" s="9" t="n">
        <v>0</v>
      </c>
      <c r="EX35" s="9" t="n">
        <v>0</v>
      </c>
      <c r="EY35" s="9" t="n">
        <v>0</v>
      </c>
      <c r="EZ35" s="9" t="n">
        <v>0</v>
      </c>
      <c r="FA35" s="9" t="n">
        <v>0</v>
      </c>
      <c r="FB35" s="9" t="n">
        <v>0</v>
      </c>
      <c r="FC35" s="9" t="n">
        <v>0</v>
      </c>
      <c r="FD35" s="9" t="n">
        <v>0</v>
      </c>
      <c r="FE35" s="9" t="n">
        <v>0</v>
      </c>
      <c r="FF35" s="9" t="n">
        <v>0</v>
      </c>
      <c r="FH35" s="9" t="n">
        <v>0</v>
      </c>
      <c r="FI35" s="9" t="n">
        <v>0</v>
      </c>
      <c r="FJ35" s="9" t="n">
        <v>0</v>
      </c>
      <c r="FK35" s="9" t="n">
        <v>0</v>
      </c>
      <c r="FL35" s="9" t="n">
        <v>0</v>
      </c>
      <c r="FM35" s="9" t="n">
        <v>0</v>
      </c>
      <c r="FN35" s="9" t="n">
        <v>0</v>
      </c>
      <c r="FO35" s="9" t="n">
        <v>0</v>
      </c>
      <c r="FP35" s="9" t="n">
        <v>0</v>
      </c>
      <c r="FQ35" s="9" t="n">
        <v>0</v>
      </c>
      <c r="FR35" s="9" t="n">
        <v>0</v>
      </c>
      <c r="FS35" s="9" t="n">
        <v>0</v>
      </c>
      <c r="FT35" s="9" t="n">
        <v>0</v>
      </c>
      <c r="FU35" s="9" t="n">
        <v>0</v>
      </c>
      <c r="FV35" s="9" t="n">
        <v>0</v>
      </c>
      <c r="FX35" s="9" t="n">
        <v>0</v>
      </c>
      <c r="FY35" s="9" t="n">
        <v>0</v>
      </c>
      <c r="FZ35" s="9" t="n">
        <v>0</v>
      </c>
      <c r="GA35" s="9" t="n">
        <v>0</v>
      </c>
      <c r="GB35" s="9" t="n">
        <v>0</v>
      </c>
      <c r="GC35" s="9" t="n">
        <v>0</v>
      </c>
      <c r="GD35" s="9" t="n">
        <v>0</v>
      </c>
      <c r="GE35" s="9" t="n">
        <v>0</v>
      </c>
      <c r="GF35" s="9" t="n">
        <v>0</v>
      </c>
      <c r="GG35" s="9" t="n">
        <v>0</v>
      </c>
      <c r="GH35" s="9" t="n">
        <v>0</v>
      </c>
      <c r="GI35" s="9" t="n">
        <v>0</v>
      </c>
      <c r="GJ35" s="9" t="n">
        <v>0</v>
      </c>
      <c r="GK35" s="9" t="n">
        <v>0</v>
      </c>
      <c r="GL35" s="9" t="n">
        <v>0</v>
      </c>
      <c r="GN35" s="9" t="n">
        <v>0</v>
      </c>
      <c r="GO35" s="9" t="n">
        <v>0</v>
      </c>
      <c r="GP35" s="9" t="n">
        <v>0</v>
      </c>
      <c r="GQ35" s="9" t="n">
        <v>0</v>
      </c>
      <c r="GR35" s="9" t="n">
        <v>0</v>
      </c>
      <c r="GS35" s="9" t="n">
        <v>0</v>
      </c>
      <c r="GT35" s="9" t="n">
        <v>0</v>
      </c>
      <c r="GU35" s="9" t="n">
        <v>0</v>
      </c>
      <c r="GV35" s="9" t="n">
        <v>0</v>
      </c>
      <c r="GW35" s="9" t="n">
        <v>20</v>
      </c>
      <c r="GX35" s="9" t="n">
        <v>0</v>
      </c>
      <c r="GY35" s="9" t="n">
        <v>20</v>
      </c>
      <c r="GZ35" s="9" t="n">
        <v>20</v>
      </c>
      <c r="HA35" s="9" t="n">
        <v>0</v>
      </c>
      <c r="HB35" s="9" t="n">
        <v>0</v>
      </c>
      <c r="HD35" s="9" t="n">
        <v>0</v>
      </c>
      <c r="HE35" s="9" t="n">
        <v>0</v>
      </c>
      <c r="HF35" s="9" t="n">
        <v>0</v>
      </c>
      <c r="HG35" s="9" t="n">
        <v>0</v>
      </c>
      <c r="HH35" s="9" t="n">
        <v>0</v>
      </c>
      <c r="HI35" s="9" t="n">
        <v>0</v>
      </c>
      <c r="HJ35" s="9" t="n">
        <v>0</v>
      </c>
      <c r="HK35" s="9" t="n">
        <v>0</v>
      </c>
      <c r="HL35" s="9" t="n">
        <v>0</v>
      </c>
      <c r="HM35" s="9" t="n">
        <v>0</v>
      </c>
      <c r="HN35" s="9" t="n">
        <v>0</v>
      </c>
      <c r="HO35" s="9" t="n">
        <v>0</v>
      </c>
      <c r="HP35" s="9" t="n">
        <v>0</v>
      </c>
      <c r="HQ35" s="9" t="n">
        <v>0</v>
      </c>
      <c r="HR35" s="9" t="n">
        <v>0</v>
      </c>
      <c r="HT35" s="9" t="n">
        <v>0</v>
      </c>
      <c r="HU35" s="9" t="n">
        <v>0</v>
      </c>
      <c r="HV35" s="9" t="n">
        <v>0</v>
      </c>
      <c r="HW35" s="9" t="n">
        <v>0</v>
      </c>
      <c r="HX35" s="9" t="n">
        <v>0</v>
      </c>
      <c r="HY35" s="9" t="n">
        <v>0</v>
      </c>
      <c r="HZ35" s="9" t="n">
        <v>0</v>
      </c>
      <c r="IA35" s="9" t="n">
        <v>0</v>
      </c>
      <c r="IB35" s="9" t="n">
        <v>0</v>
      </c>
      <c r="IC35" s="9" t="n">
        <v>0</v>
      </c>
      <c r="ID35" s="9" t="n">
        <v>0</v>
      </c>
      <c r="IE35" s="9" t="n">
        <v>0</v>
      </c>
      <c r="IF35" s="9" t="n">
        <v>0</v>
      </c>
      <c r="IG35" s="9" t="n">
        <v>0</v>
      </c>
      <c r="IH35" s="9" t="n">
        <v>0</v>
      </c>
      <c r="IJ35" s="9" t="n">
        <v>0</v>
      </c>
      <c r="IK35" s="9" t="n">
        <v>0</v>
      </c>
      <c r="IL35" s="9" t="n">
        <v>0</v>
      </c>
      <c r="IM35" s="9" t="n">
        <v>0</v>
      </c>
      <c r="IN35" s="9" t="n">
        <v>0</v>
      </c>
      <c r="IO35" s="9" t="n">
        <v>0</v>
      </c>
      <c r="IP35" s="9" t="n">
        <v>0</v>
      </c>
      <c r="IQ35" s="9" t="n">
        <v>0</v>
      </c>
      <c r="IR35" s="9" t="n">
        <v>0</v>
      </c>
      <c r="IS35" s="9" t="n">
        <v>0</v>
      </c>
      <c r="IT35" s="9" t="n">
        <v>0</v>
      </c>
      <c r="IU35" s="9" t="n">
        <v>0</v>
      </c>
      <c r="IV35" s="9" t="n">
        <v>0</v>
      </c>
      <c r="IW35" s="9" t="n">
        <v>0</v>
      </c>
      <c r="IX35" s="9" t="n">
        <v>0</v>
      </c>
    </row>
    <row r="36">
      <c r="EA36" s="9" t="inlineStr">
        <is>
          <t>PREMIX 8108 (20KG)</t>
        </is>
      </c>
      <c r="EB36" s="9" t="n">
        <v>0</v>
      </c>
      <c r="EC36" s="9" t="n">
        <v>0</v>
      </c>
      <c r="ED36" s="9" t="n">
        <v>0</v>
      </c>
      <c r="EE36" s="9" t="n">
        <v>0</v>
      </c>
      <c r="EF36" s="9" t="n">
        <v>0</v>
      </c>
      <c r="EG36" s="9" t="n">
        <v>0</v>
      </c>
      <c r="EH36" s="9" t="n">
        <v>0</v>
      </c>
      <c r="EI36" s="9" t="n">
        <v>0</v>
      </c>
      <c r="EJ36" s="9" t="n">
        <v>0</v>
      </c>
      <c r="EK36" s="9" t="n">
        <v>0</v>
      </c>
      <c r="EL36" s="9" t="n">
        <v>0</v>
      </c>
      <c r="EM36" s="9" t="n">
        <v>0</v>
      </c>
      <c r="EN36" s="9" t="n">
        <v>0</v>
      </c>
      <c r="EO36" s="9" t="n">
        <v>0</v>
      </c>
      <c r="EP36" s="9" t="n">
        <v>0</v>
      </c>
      <c r="ER36" s="9" t="n">
        <v>0</v>
      </c>
      <c r="ES36" s="9" t="n">
        <v>0</v>
      </c>
      <c r="ET36" s="9" t="n">
        <v>0</v>
      </c>
      <c r="EU36" s="9" t="n">
        <v>0</v>
      </c>
      <c r="EV36" s="9" t="n">
        <v>0</v>
      </c>
      <c r="EW36" s="9" t="n">
        <v>0</v>
      </c>
      <c r="EX36" s="9" t="n">
        <v>0</v>
      </c>
      <c r="EY36" s="9" t="n">
        <v>0</v>
      </c>
      <c r="EZ36" s="9" t="n">
        <v>0</v>
      </c>
      <c r="FA36" s="9" t="n">
        <v>0</v>
      </c>
      <c r="FB36" s="9" t="n">
        <v>0</v>
      </c>
      <c r="FC36" s="9" t="n">
        <v>0</v>
      </c>
      <c r="FD36" s="9" t="n">
        <v>0</v>
      </c>
      <c r="FE36" s="9" t="n">
        <v>0</v>
      </c>
      <c r="FF36" s="9" t="n">
        <v>0</v>
      </c>
      <c r="FH36" s="9" t="n">
        <v>0</v>
      </c>
      <c r="FI36" s="9" t="n">
        <v>0</v>
      </c>
      <c r="FJ36" s="9" t="n">
        <v>0</v>
      </c>
      <c r="FK36" s="9" t="n">
        <v>0</v>
      </c>
      <c r="FL36" s="9" t="n">
        <v>0</v>
      </c>
      <c r="FM36" s="9" t="n">
        <v>0</v>
      </c>
      <c r="FN36" s="9" t="n">
        <v>0</v>
      </c>
      <c r="FO36" s="9" t="n">
        <v>0</v>
      </c>
      <c r="FP36" s="9" t="n">
        <v>0</v>
      </c>
      <c r="FQ36" s="9" t="n">
        <v>0</v>
      </c>
      <c r="FR36" s="9" t="n">
        <v>0</v>
      </c>
      <c r="FS36" s="9" t="n">
        <v>0</v>
      </c>
      <c r="FT36" s="9" t="n">
        <v>0</v>
      </c>
      <c r="FU36" s="9" t="n">
        <v>0</v>
      </c>
      <c r="FV36" s="9" t="n">
        <v>0</v>
      </c>
      <c r="FX36" s="9" t="n">
        <v>0</v>
      </c>
      <c r="FY36" s="9" t="n">
        <v>0</v>
      </c>
      <c r="FZ36" s="9" t="n">
        <v>0</v>
      </c>
      <c r="GA36" s="9" t="n">
        <v>0</v>
      </c>
      <c r="GB36" s="9" t="n">
        <v>0</v>
      </c>
      <c r="GC36" s="9" t="n">
        <v>0</v>
      </c>
      <c r="GD36" s="9" t="n">
        <v>0</v>
      </c>
      <c r="GE36" s="9" t="n">
        <v>0</v>
      </c>
      <c r="GF36" s="9" t="n">
        <v>0</v>
      </c>
      <c r="GG36" s="9" t="n">
        <v>0</v>
      </c>
      <c r="GH36" s="9" t="n">
        <v>0</v>
      </c>
      <c r="GI36" s="9" t="n">
        <v>0</v>
      </c>
      <c r="GJ36" s="9" t="n">
        <v>0</v>
      </c>
      <c r="GK36" s="9" t="n">
        <v>0</v>
      </c>
      <c r="GL36" s="9" t="n">
        <v>0</v>
      </c>
      <c r="GN36" s="9" t="n">
        <v>0</v>
      </c>
      <c r="GO36" s="9" t="n">
        <v>0</v>
      </c>
      <c r="GP36" s="9" t="n">
        <v>0</v>
      </c>
      <c r="GQ36" s="9" t="n">
        <v>0</v>
      </c>
      <c r="GR36" s="9" t="n">
        <v>0</v>
      </c>
      <c r="GS36" s="9" t="n">
        <v>20</v>
      </c>
      <c r="GT36" s="9" t="n">
        <v>0</v>
      </c>
      <c r="GU36" s="9" t="n">
        <v>0</v>
      </c>
      <c r="GV36" s="9" t="n">
        <v>20</v>
      </c>
      <c r="GW36" s="9" t="n">
        <v>0</v>
      </c>
      <c r="GX36" s="9" t="n">
        <v>0</v>
      </c>
      <c r="GY36" s="9" t="n">
        <v>0</v>
      </c>
      <c r="GZ36" s="9" t="n">
        <v>0</v>
      </c>
      <c r="HA36" s="9" t="n">
        <v>20</v>
      </c>
      <c r="HB36" s="9" t="n">
        <v>20</v>
      </c>
      <c r="HD36" s="9" t="n">
        <v>0</v>
      </c>
      <c r="HE36" s="9" t="n">
        <v>0</v>
      </c>
      <c r="HF36" s="9" t="n">
        <v>0</v>
      </c>
      <c r="HG36" s="9" t="n">
        <v>0</v>
      </c>
      <c r="HH36" s="9" t="n">
        <v>0</v>
      </c>
      <c r="HI36" s="9" t="n">
        <v>0</v>
      </c>
      <c r="HJ36" s="9" t="n">
        <v>0</v>
      </c>
      <c r="HK36" s="9" t="n">
        <v>0</v>
      </c>
      <c r="HL36" s="9" t="n">
        <v>0</v>
      </c>
      <c r="HM36" s="9" t="n">
        <v>0</v>
      </c>
      <c r="HN36" s="9" t="n">
        <v>0</v>
      </c>
      <c r="HO36" s="9" t="n">
        <v>0</v>
      </c>
      <c r="HP36" s="9" t="n">
        <v>0</v>
      </c>
      <c r="HQ36" s="9" t="n">
        <v>0</v>
      </c>
      <c r="HR36" s="9" t="n">
        <v>0</v>
      </c>
      <c r="HT36" s="9" t="n">
        <v>0</v>
      </c>
      <c r="HU36" s="9" t="n">
        <v>0</v>
      </c>
      <c r="HV36" s="9" t="n">
        <v>0</v>
      </c>
      <c r="HW36" s="9" t="n">
        <v>0</v>
      </c>
      <c r="HX36" s="9" t="n">
        <v>0</v>
      </c>
      <c r="HY36" s="9" t="n">
        <v>0</v>
      </c>
      <c r="HZ36" s="9" t="n">
        <v>0</v>
      </c>
      <c r="IA36" s="9" t="n">
        <v>0</v>
      </c>
      <c r="IB36" s="9" t="n">
        <v>0</v>
      </c>
      <c r="IC36" s="9" t="n">
        <v>0</v>
      </c>
      <c r="ID36" s="9" t="n">
        <v>0</v>
      </c>
      <c r="IE36" s="9" t="n">
        <v>0</v>
      </c>
      <c r="IF36" s="9" t="n">
        <v>0</v>
      </c>
      <c r="IG36" s="9" t="n">
        <v>0</v>
      </c>
      <c r="IH36" s="9" t="n">
        <v>0</v>
      </c>
      <c r="IJ36" s="9" t="n">
        <v>0</v>
      </c>
      <c r="IK36" s="9" t="n">
        <v>0</v>
      </c>
      <c r="IL36" s="9" t="n">
        <v>0</v>
      </c>
      <c r="IM36" s="9" t="n">
        <v>0</v>
      </c>
      <c r="IN36" s="9" t="n">
        <v>0</v>
      </c>
      <c r="IO36" s="9" t="n">
        <v>0</v>
      </c>
      <c r="IP36" s="9" t="n">
        <v>0</v>
      </c>
      <c r="IQ36" s="9" t="n">
        <v>0</v>
      </c>
      <c r="IR36" s="9" t="n">
        <v>0</v>
      </c>
      <c r="IS36" s="9" t="n">
        <v>0</v>
      </c>
      <c r="IT36" s="9" t="n">
        <v>0</v>
      </c>
      <c r="IU36" s="9" t="n">
        <v>0</v>
      </c>
      <c r="IV36" s="9" t="n">
        <v>0</v>
      </c>
      <c r="IW36" s="9" t="n">
        <v>0</v>
      </c>
      <c r="IX36" s="9" t="n">
        <v>0</v>
      </c>
    </row>
    <row r="37">
      <c r="EA37" s="9" t="inlineStr">
        <is>
          <t>PREMIX 8109 (20KG)</t>
        </is>
      </c>
      <c r="EB37" s="9" t="n">
        <v>0</v>
      </c>
      <c r="EC37" s="9" t="n">
        <v>0</v>
      </c>
      <c r="ED37" s="9" t="n">
        <v>0</v>
      </c>
      <c r="EE37" s="9" t="n">
        <v>0</v>
      </c>
      <c r="EF37" s="9" t="n">
        <v>0</v>
      </c>
      <c r="EG37" s="9" t="n">
        <v>0</v>
      </c>
      <c r="EH37" s="9" t="n">
        <v>0</v>
      </c>
      <c r="EI37" s="9" t="n">
        <v>0</v>
      </c>
      <c r="EJ37" s="9" t="n">
        <v>0</v>
      </c>
      <c r="EK37" s="9" t="n">
        <v>0</v>
      </c>
      <c r="EL37" s="9" t="n">
        <v>0</v>
      </c>
      <c r="EM37" s="9" t="n">
        <v>0</v>
      </c>
      <c r="EN37" s="9" t="n">
        <v>0</v>
      </c>
      <c r="EO37" s="9" t="n">
        <v>0</v>
      </c>
      <c r="EP37" s="9" t="n">
        <v>0</v>
      </c>
      <c r="ER37" s="9" t="n">
        <v>0</v>
      </c>
      <c r="ES37" s="9" t="n">
        <v>0</v>
      </c>
      <c r="ET37" s="9" t="n">
        <v>0</v>
      </c>
      <c r="EU37" s="9" t="n">
        <v>0</v>
      </c>
      <c r="EV37" s="9" t="n">
        <v>0</v>
      </c>
      <c r="EW37" s="9" t="n">
        <v>0</v>
      </c>
      <c r="EX37" s="9" t="n">
        <v>0</v>
      </c>
      <c r="EY37" s="9" t="n">
        <v>0</v>
      </c>
      <c r="EZ37" s="9" t="n">
        <v>0</v>
      </c>
      <c r="FA37" s="9" t="n">
        <v>0</v>
      </c>
      <c r="FB37" s="9" t="n">
        <v>0</v>
      </c>
      <c r="FC37" s="9" t="n">
        <v>0</v>
      </c>
      <c r="FD37" s="9" t="n">
        <v>0</v>
      </c>
      <c r="FE37" s="9" t="n">
        <v>0</v>
      </c>
      <c r="FF37" s="9" t="n">
        <v>0</v>
      </c>
      <c r="FH37" s="9" t="n">
        <v>0</v>
      </c>
      <c r="FI37" s="9" t="n">
        <v>0</v>
      </c>
      <c r="FJ37" s="9" t="n">
        <v>0</v>
      </c>
      <c r="FK37" s="9" t="n">
        <v>0</v>
      </c>
      <c r="FL37" s="9" t="n">
        <v>0</v>
      </c>
      <c r="FM37" s="9" t="n">
        <v>0</v>
      </c>
      <c r="FN37" s="9" t="n">
        <v>0</v>
      </c>
      <c r="FO37" s="9" t="n">
        <v>0</v>
      </c>
      <c r="FP37" s="9" t="n">
        <v>0</v>
      </c>
      <c r="FQ37" s="9" t="n">
        <v>0</v>
      </c>
      <c r="FR37" s="9" t="n">
        <v>0</v>
      </c>
      <c r="FS37" s="9" t="n">
        <v>0</v>
      </c>
      <c r="FT37" s="9" t="n">
        <v>0</v>
      </c>
      <c r="FU37" s="9" t="n">
        <v>0</v>
      </c>
      <c r="FV37" s="9" t="n">
        <v>0</v>
      </c>
      <c r="FX37" s="9" t="n">
        <v>0</v>
      </c>
      <c r="FY37" s="9" t="n">
        <v>0</v>
      </c>
      <c r="FZ37" s="9" t="n">
        <v>0</v>
      </c>
      <c r="GA37" s="9" t="n">
        <v>0</v>
      </c>
      <c r="GB37" s="9" t="n">
        <v>0</v>
      </c>
      <c r="GC37" s="9" t="n">
        <v>0</v>
      </c>
      <c r="GD37" s="9" t="n">
        <v>0</v>
      </c>
      <c r="GE37" s="9" t="n">
        <v>0</v>
      </c>
      <c r="GF37" s="9" t="n">
        <v>0</v>
      </c>
      <c r="GG37" s="9" t="n">
        <v>0</v>
      </c>
      <c r="GH37" s="9" t="n">
        <v>0</v>
      </c>
      <c r="GI37" s="9" t="n">
        <v>0</v>
      </c>
      <c r="GJ37" s="9" t="n">
        <v>0</v>
      </c>
      <c r="GK37" s="9" t="n">
        <v>0</v>
      </c>
      <c r="GL37" s="9" t="n">
        <v>0</v>
      </c>
      <c r="GN37" s="9" t="n">
        <v>0</v>
      </c>
      <c r="GO37" s="9" t="n">
        <v>0</v>
      </c>
      <c r="GP37" s="9" t="n">
        <v>0</v>
      </c>
      <c r="GQ37" s="9" t="n">
        <v>0</v>
      </c>
      <c r="GR37" s="9" t="n">
        <v>0</v>
      </c>
      <c r="GS37" s="9" t="n">
        <v>0</v>
      </c>
      <c r="GT37" s="9" t="n">
        <v>0</v>
      </c>
      <c r="GU37" s="9" t="n">
        <v>0</v>
      </c>
      <c r="GV37" s="9" t="n">
        <v>0</v>
      </c>
      <c r="GW37" s="9" t="n">
        <v>0</v>
      </c>
      <c r="GX37" s="9" t="n">
        <v>20</v>
      </c>
      <c r="GY37" s="9" t="n">
        <v>0</v>
      </c>
      <c r="GZ37" s="9" t="n">
        <v>0</v>
      </c>
      <c r="HA37" s="9" t="n">
        <v>0</v>
      </c>
      <c r="HB37" s="9" t="n">
        <v>0</v>
      </c>
      <c r="HD37" s="9" t="n">
        <v>0</v>
      </c>
      <c r="HE37" s="9" t="n">
        <v>0</v>
      </c>
      <c r="HF37" s="9" t="n">
        <v>0</v>
      </c>
      <c r="HG37" s="9" t="n">
        <v>0</v>
      </c>
      <c r="HH37" s="9" t="n">
        <v>0</v>
      </c>
      <c r="HI37" s="9" t="n">
        <v>0</v>
      </c>
      <c r="HJ37" s="9" t="n">
        <v>0</v>
      </c>
      <c r="HK37" s="9" t="n">
        <v>0</v>
      </c>
      <c r="HL37" s="9" t="n">
        <v>0</v>
      </c>
      <c r="HM37" s="9" t="n">
        <v>0</v>
      </c>
      <c r="HN37" s="9" t="n">
        <v>0</v>
      </c>
      <c r="HO37" s="9" t="n">
        <v>0</v>
      </c>
      <c r="HP37" s="9" t="n">
        <v>0</v>
      </c>
      <c r="HQ37" s="9" t="n">
        <v>0</v>
      </c>
      <c r="HR37" s="9" t="n">
        <v>0</v>
      </c>
      <c r="HT37" s="9" t="n">
        <v>0</v>
      </c>
      <c r="HU37" s="9" t="n">
        <v>0</v>
      </c>
      <c r="HV37" s="9" t="n">
        <v>0</v>
      </c>
      <c r="HW37" s="9" t="n">
        <v>0</v>
      </c>
      <c r="HX37" s="9" t="n">
        <v>0</v>
      </c>
      <c r="HY37" s="9" t="n">
        <v>0</v>
      </c>
      <c r="HZ37" s="9" t="n">
        <v>0</v>
      </c>
      <c r="IA37" s="9" t="n">
        <v>0</v>
      </c>
      <c r="IB37" s="9" t="n">
        <v>0</v>
      </c>
      <c r="IC37" s="9" t="n">
        <v>0</v>
      </c>
      <c r="ID37" s="9" t="n">
        <v>0</v>
      </c>
      <c r="IE37" s="9" t="n">
        <v>0</v>
      </c>
      <c r="IF37" s="9" t="n">
        <v>0</v>
      </c>
      <c r="IG37" s="9" t="n">
        <v>0</v>
      </c>
      <c r="IH37" s="9" t="n">
        <v>0</v>
      </c>
      <c r="IJ37" s="9" t="n">
        <v>0</v>
      </c>
      <c r="IK37" s="9" t="n">
        <v>0</v>
      </c>
      <c r="IL37" s="9" t="n">
        <v>0</v>
      </c>
      <c r="IM37" s="9" t="n">
        <v>0</v>
      </c>
      <c r="IN37" s="9" t="n">
        <v>0</v>
      </c>
      <c r="IO37" s="9" t="n">
        <v>0</v>
      </c>
      <c r="IP37" s="9" t="n">
        <v>0</v>
      </c>
      <c r="IQ37" s="9" t="n">
        <v>0</v>
      </c>
      <c r="IR37" s="9" t="n">
        <v>0</v>
      </c>
      <c r="IS37" s="9" t="n">
        <v>0</v>
      </c>
      <c r="IT37" s="9" t="n">
        <v>0</v>
      </c>
      <c r="IU37" s="9" t="n">
        <v>0</v>
      </c>
      <c r="IV37" s="9" t="n">
        <v>0</v>
      </c>
      <c r="IW37" s="9" t="n">
        <v>0</v>
      </c>
      <c r="IX37" s="9" t="n">
        <v>0</v>
      </c>
    </row>
    <row r="38">
      <c r="EA38" s="9" t="inlineStr">
        <is>
          <t>YENMIX 121 (20KG)</t>
        </is>
      </c>
      <c r="EB38" s="9" t="n">
        <v>0</v>
      </c>
      <c r="EC38" s="9" t="n">
        <v>0</v>
      </c>
      <c r="ED38" s="9" t="n">
        <v>0</v>
      </c>
      <c r="EE38" s="9" t="n">
        <v>0</v>
      </c>
      <c r="EF38" s="9" t="n">
        <v>0</v>
      </c>
      <c r="EG38" s="9" t="n">
        <v>0</v>
      </c>
      <c r="EH38" s="9" t="n">
        <v>0</v>
      </c>
      <c r="EI38" s="9" t="n">
        <v>0</v>
      </c>
      <c r="EJ38" s="9" t="n">
        <v>0</v>
      </c>
      <c r="EK38" s="9" t="n">
        <v>0</v>
      </c>
      <c r="EL38" s="9" t="n">
        <v>0</v>
      </c>
      <c r="EM38" s="9" t="n">
        <v>0</v>
      </c>
      <c r="EN38" s="9" t="n">
        <v>0</v>
      </c>
      <c r="EO38" s="9" t="n">
        <v>0</v>
      </c>
      <c r="EP38" s="9" t="n">
        <v>0</v>
      </c>
      <c r="ER38" s="9" t="n">
        <v>0</v>
      </c>
      <c r="ES38" s="9" t="n">
        <v>0</v>
      </c>
      <c r="ET38" s="9" t="n">
        <v>0</v>
      </c>
      <c r="EU38" s="9" t="n">
        <v>0</v>
      </c>
      <c r="EV38" s="9" t="n">
        <v>0</v>
      </c>
      <c r="EW38" s="9" t="n">
        <v>0</v>
      </c>
      <c r="EX38" s="9" t="n">
        <v>0</v>
      </c>
      <c r="EY38" s="9" t="n">
        <v>0</v>
      </c>
      <c r="EZ38" s="9" t="n">
        <v>0</v>
      </c>
      <c r="FA38" s="9" t="n">
        <v>0</v>
      </c>
      <c r="FB38" s="9" t="n">
        <v>0</v>
      </c>
      <c r="FC38" s="9" t="n">
        <v>0</v>
      </c>
      <c r="FD38" s="9" t="n">
        <v>0</v>
      </c>
      <c r="FE38" s="9" t="n">
        <v>0</v>
      </c>
      <c r="FF38" s="9" t="n">
        <v>0</v>
      </c>
      <c r="FH38" s="9" t="n">
        <v>0</v>
      </c>
      <c r="FI38" s="9" t="n">
        <v>0</v>
      </c>
      <c r="FJ38" s="9" t="n">
        <v>0</v>
      </c>
      <c r="FK38" s="9" t="n">
        <v>0</v>
      </c>
      <c r="FL38" s="9" t="n">
        <v>0</v>
      </c>
      <c r="FM38" s="9" t="n">
        <v>0</v>
      </c>
      <c r="FN38" s="9" t="n">
        <v>0</v>
      </c>
      <c r="FO38" s="9" t="n">
        <v>0</v>
      </c>
      <c r="FP38" s="9" t="n">
        <v>0</v>
      </c>
      <c r="FQ38" s="9" t="n">
        <v>0</v>
      </c>
      <c r="FR38" s="9" t="n">
        <v>0</v>
      </c>
      <c r="FS38" s="9" t="n">
        <v>0</v>
      </c>
      <c r="FT38" s="9" t="n">
        <v>0</v>
      </c>
      <c r="FU38" s="9" t="n">
        <v>0</v>
      </c>
      <c r="FV38" s="9" t="n">
        <v>0</v>
      </c>
      <c r="FX38" s="9" t="n">
        <v>0</v>
      </c>
      <c r="FY38" s="9" t="n">
        <v>0</v>
      </c>
      <c r="FZ38" s="9" t="n">
        <v>0</v>
      </c>
      <c r="GA38" s="9" t="n">
        <v>0</v>
      </c>
      <c r="GB38" s="9" t="n">
        <v>0</v>
      </c>
      <c r="GC38" s="9" t="n">
        <v>0</v>
      </c>
      <c r="GD38" s="9" t="n">
        <v>0</v>
      </c>
      <c r="GE38" s="9" t="n">
        <v>0</v>
      </c>
      <c r="GF38" s="9" t="n">
        <v>0</v>
      </c>
      <c r="GG38" s="9" t="n">
        <v>0</v>
      </c>
      <c r="GH38" s="9" t="n">
        <v>0</v>
      </c>
      <c r="GI38" s="9" t="n">
        <v>0</v>
      </c>
      <c r="GJ38" s="9" t="n">
        <v>0</v>
      </c>
      <c r="GK38" s="9" t="n">
        <v>0</v>
      </c>
      <c r="GL38" s="9" t="n">
        <v>0</v>
      </c>
      <c r="GN38" s="9" t="n">
        <v>0</v>
      </c>
      <c r="GO38" s="9" t="n">
        <v>0</v>
      </c>
      <c r="GP38" s="9" t="n">
        <v>0</v>
      </c>
      <c r="GQ38" s="9" t="n">
        <v>0</v>
      </c>
      <c r="GR38" s="9" t="n">
        <v>0</v>
      </c>
      <c r="GS38" s="9" t="n">
        <v>0</v>
      </c>
      <c r="GT38" s="9" t="n">
        <v>0</v>
      </c>
      <c r="GU38" s="9" t="n">
        <v>0</v>
      </c>
      <c r="GV38" s="9" t="n">
        <v>0</v>
      </c>
      <c r="GW38" s="9" t="n">
        <v>0</v>
      </c>
      <c r="GX38" s="9" t="n">
        <v>0</v>
      </c>
      <c r="GY38" s="9" t="n">
        <v>0</v>
      </c>
      <c r="GZ38" s="9" t="n">
        <v>0</v>
      </c>
      <c r="HA38" s="9" t="n">
        <v>0</v>
      </c>
      <c r="HB38" s="9" t="n">
        <v>0</v>
      </c>
      <c r="HD38" s="9" t="n">
        <v>20</v>
      </c>
      <c r="HE38" s="9" t="n">
        <v>20</v>
      </c>
      <c r="HF38" s="9" t="n">
        <v>20</v>
      </c>
      <c r="HG38" s="9" t="n">
        <v>0</v>
      </c>
      <c r="HH38" s="9" t="n">
        <v>0</v>
      </c>
      <c r="HI38" s="9" t="n">
        <v>0</v>
      </c>
      <c r="HJ38" s="9" t="n">
        <v>0</v>
      </c>
      <c r="HK38" s="9" t="n">
        <v>0</v>
      </c>
      <c r="HL38" s="9" t="n">
        <v>0</v>
      </c>
      <c r="HM38" s="9" t="n">
        <v>0</v>
      </c>
      <c r="HN38" s="9" t="n">
        <v>0</v>
      </c>
      <c r="HO38" s="9" t="n">
        <v>0</v>
      </c>
      <c r="HP38" s="9" t="n">
        <v>0</v>
      </c>
      <c r="HQ38" s="9" t="n">
        <v>0</v>
      </c>
      <c r="HR38" s="9" t="n">
        <v>0</v>
      </c>
      <c r="HT38" s="9" t="n">
        <v>0</v>
      </c>
      <c r="HU38" s="9" t="n">
        <v>0</v>
      </c>
      <c r="HV38" s="9" t="n">
        <v>0</v>
      </c>
      <c r="HW38" s="9" t="n">
        <v>0</v>
      </c>
      <c r="HX38" s="9" t="n">
        <v>0</v>
      </c>
      <c r="HY38" s="9" t="n">
        <v>0</v>
      </c>
      <c r="HZ38" s="9" t="n">
        <v>0</v>
      </c>
      <c r="IA38" s="9" t="n">
        <v>0</v>
      </c>
      <c r="IB38" s="9" t="n">
        <v>0</v>
      </c>
      <c r="IC38" s="9" t="n">
        <v>0</v>
      </c>
      <c r="ID38" s="9" t="n">
        <v>0</v>
      </c>
      <c r="IE38" s="9" t="n">
        <v>0</v>
      </c>
      <c r="IF38" s="9" t="n">
        <v>0</v>
      </c>
      <c r="IG38" s="9" t="n">
        <v>0</v>
      </c>
      <c r="IH38" s="9" t="n">
        <v>0</v>
      </c>
      <c r="IJ38" s="9" t="n">
        <v>0</v>
      </c>
      <c r="IK38" s="9" t="n">
        <v>0</v>
      </c>
      <c r="IL38" s="9" t="n">
        <v>0</v>
      </c>
      <c r="IM38" s="9" t="n">
        <v>0</v>
      </c>
      <c r="IN38" s="9" t="n">
        <v>0</v>
      </c>
      <c r="IO38" s="9" t="n">
        <v>0</v>
      </c>
      <c r="IP38" s="9" t="n">
        <v>0</v>
      </c>
      <c r="IQ38" s="9" t="n">
        <v>0</v>
      </c>
      <c r="IR38" s="9" t="n">
        <v>0</v>
      </c>
      <c r="IS38" s="9" t="n">
        <v>0</v>
      </c>
      <c r="IT38" s="9" t="n">
        <v>0</v>
      </c>
      <c r="IU38" s="9" t="n">
        <v>0</v>
      </c>
      <c r="IV38" s="9" t="n">
        <v>0</v>
      </c>
      <c r="IW38" s="9" t="n">
        <v>0</v>
      </c>
      <c r="IX38" s="9" t="n">
        <v>0</v>
      </c>
    </row>
    <row r="39">
      <c r="EA39" s="9" t="inlineStr">
        <is>
          <t>YENMIX 122 (19.50KG)</t>
        </is>
      </c>
      <c r="EB39" s="9" t="n">
        <v>0</v>
      </c>
      <c r="EC39" s="9" t="n">
        <v>0</v>
      </c>
      <c r="ED39" s="9" t="n">
        <v>0</v>
      </c>
      <c r="EE39" s="9" t="n">
        <v>0</v>
      </c>
      <c r="EF39" s="9" t="n">
        <v>0</v>
      </c>
      <c r="EG39" s="9" t="n">
        <v>0</v>
      </c>
      <c r="EH39" s="9" t="n">
        <v>0</v>
      </c>
      <c r="EI39" s="9" t="n">
        <v>0</v>
      </c>
      <c r="EJ39" s="9" t="n">
        <v>0</v>
      </c>
      <c r="EK39" s="9" t="n">
        <v>0</v>
      </c>
      <c r="EL39" s="9" t="n">
        <v>0</v>
      </c>
      <c r="EM39" s="9" t="n">
        <v>0</v>
      </c>
      <c r="EN39" s="9" t="n">
        <v>0</v>
      </c>
      <c r="EO39" s="9" t="n">
        <v>0</v>
      </c>
      <c r="EP39" s="9" t="n">
        <v>0</v>
      </c>
      <c r="ER39" s="9" t="n">
        <v>0</v>
      </c>
      <c r="ES39" s="9" t="n">
        <v>0</v>
      </c>
      <c r="ET39" s="9" t="n">
        <v>0</v>
      </c>
      <c r="EU39" s="9" t="n">
        <v>0</v>
      </c>
      <c r="EV39" s="9" t="n">
        <v>0</v>
      </c>
      <c r="EW39" s="9" t="n">
        <v>0</v>
      </c>
      <c r="EX39" s="9" t="n">
        <v>0</v>
      </c>
      <c r="EY39" s="9" t="n">
        <v>0</v>
      </c>
      <c r="EZ39" s="9" t="n">
        <v>0</v>
      </c>
      <c r="FA39" s="9" t="n">
        <v>0</v>
      </c>
      <c r="FB39" s="9" t="n">
        <v>0</v>
      </c>
      <c r="FC39" s="9" t="n">
        <v>0</v>
      </c>
      <c r="FD39" s="9" t="n">
        <v>0</v>
      </c>
      <c r="FE39" s="9" t="n">
        <v>0</v>
      </c>
      <c r="FF39" s="9" t="n">
        <v>0</v>
      </c>
      <c r="FH39" s="9" t="n">
        <v>0</v>
      </c>
      <c r="FI39" s="9" t="n">
        <v>0</v>
      </c>
      <c r="FJ39" s="9" t="n">
        <v>0</v>
      </c>
      <c r="FK39" s="9" t="n">
        <v>0</v>
      </c>
      <c r="FL39" s="9" t="n">
        <v>0</v>
      </c>
      <c r="FM39" s="9" t="n">
        <v>0</v>
      </c>
      <c r="FN39" s="9" t="n">
        <v>0</v>
      </c>
      <c r="FO39" s="9" t="n">
        <v>0</v>
      </c>
      <c r="FP39" s="9" t="n">
        <v>0</v>
      </c>
      <c r="FQ39" s="9" t="n">
        <v>0</v>
      </c>
      <c r="FR39" s="9" t="n">
        <v>0</v>
      </c>
      <c r="FS39" s="9" t="n">
        <v>0</v>
      </c>
      <c r="FT39" s="9" t="n">
        <v>0</v>
      </c>
      <c r="FU39" s="9" t="n">
        <v>0</v>
      </c>
      <c r="FV39" s="9" t="n">
        <v>0</v>
      </c>
      <c r="FX39" s="9" t="n">
        <v>0</v>
      </c>
      <c r="FY39" s="9" t="n">
        <v>0</v>
      </c>
      <c r="FZ39" s="9" t="n">
        <v>0</v>
      </c>
      <c r="GA39" s="9" t="n">
        <v>0</v>
      </c>
      <c r="GB39" s="9" t="n">
        <v>0</v>
      </c>
      <c r="GC39" s="9" t="n">
        <v>0</v>
      </c>
      <c r="GD39" s="9" t="n">
        <v>0</v>
      </c>
      <c r="GE39" s="9" t="n">
        <v>0</v>
      </c>
      <c r="GF39" s="9" t="n">
        <v>0</v>
      </c>
      <c r="GG39" s="9" t="n">
        <v>0</v>
      </c>
      <c r="GH39" s="9" t="n">
        <v>0</v>
      </c>
      <c r="GI39" s="9" t="n">
        <v>0</v>
      </c>
      <c r="GJ39" s="9" t="n">
        <v>0</v>
      </c>
      <c r="GK39" s="9" t="n">
        <v>0</v>
      </c>
      <c r="GL39" s="9" t="n">
        <v>0</v>
      </c>
      <c r="GN39" s="9" t="n">
        <v>0</v>
      </c>
      <c r="GO39" s="9" t="n">
        <v>0</v>
      </c>
      <c r="GP39" s="9" t="n">
        <v>0</v>
      </c>
      <c r="GQ39" s="9" t="n">
        <v>0</v>
      </c>
      <c r="GR39" s="9" t="n">
        <v>0</v>
      </c>
      <c r="GS39" s="9" t="n">
        <v>0</v>
      </c>
      <c r="GT39" s="9" t="n">
        <v>0</v>
      </c>
      <c r="GU39" s="9" t="n">
        <v>0</v>
      </c>
      <c r="GV39" s="9" t="n">
        <v>0</v>
      </c>
      <c r="GW39" s="9" t="n">
        <v>0</v>
      </c>
      <c r="GX39" s="9" t="n">
        <v>0</v>
      </c>
      <c r="GY39" s="9" t="n">
        <v>0</v>
      </c>
      <c r="GZ39" s="9" t="n">
        <v>0</v>
      </c>
      <c r="HA39" s="9" t="n">
        <v>0</v>
      </c>
      <c r="HB39" s="9" t="n">
        <v>0</v>
      </c>
      <c r="HD39" s="9" t="n">
        <v>0</v>
      </c>
      <c r="HE39" s="9" t="n">
        <v>0</v>
      </c>
      <c r="HF39" s="9" t="n">
        <v>0</v>
      </c>
      <c r="HG39" s="9" t="n">
        <v>0</v>
      </c>
      <c r="HH39" s="9" t="n">
        <v>0</v>
      </c>
      <c r="HI39" s="9" t="n">
        <v>0</v>
      </c>
      <c r="HJ39" s="9" t="n">
        <v>0</v>
      </c>
      <c r="HK39" s="9" t="n">
        <v>0</v>
      </c>
      <c r="HL39" s="9" t="n">
        <v>0</v>
      </c>
      <c r="HM39" s="9" t="n">
        <v>0</v>
      </c>
      <c r="HN39" s="9" t="n">
        <v>0</v>
      </c>
      <c r="HO39" s="9" t="n">
        <v>0</v>
      </c>
      <c r="HP39" s="9" t="n">
        <v>0</v>
      </c>
      <c r="HQ39" s="9" t="n">
        <v>0</v>
      </c>
      <c r="HR39" s="9" t="n">
        <v>0</v>
      </c>
      <c r="HT39" s="9" t="n">
        <v>19.5</v>
      </c>
      <c r="HU39" s="9" t="n">
        <v>19.5</v>
      </c>
      <c r="HV39" s="9" t="n">
        <v>0</v>
      </c>
      <c r="HW39" s="9" t="n">
        <v>0</v>
      </c>
      <c r="HX39" s="9" t="n">
        <v>0</v>
      </c>
      <c r="HY39" s="9" t="n">
        <v>0</v>
      </c>
      <c r="HZ39" s="9" t="n">
        <v>0</v>
      </c>
      <c r="IA39" s="9" t="n">
        <v>0</v>
      </c>
      <c r="IB39" s="9" t="n">
        <v>0</v>
      </c>
      <c r="IC39" s="9" t="n">
        <v>0</v>
      </c>
      <c r="ID39" s="9" t="n">
        <v>0</v>
      </c>
      <c r="IE39" s="9" t="n">
        <v>0</v>
      </c>
      <c r="IF39" s="9" t="n">
        <v>0</v>
      </c>
      <c r="IG39" s="9" t="n">
        <v>0</v>
      </c>
      <c r="IH39" s="9" t="n">
        <v>0</v>
      </c>
      <c r="IJ39" s="9" t="n">
        <v>0</v>
      </c>
      <c r="IK39" s="9" t="n">
        <v>0</v>
      </c>
      <c r="IL39" s="9" t="n">
        <v>0</v>
      </c>
      <c r="IM39" s="9" t="n">
        <v>0</v>
      </c>
      <c r="IN39" s="9" t="n">
        <v>0</v>
      </c>
      <c r="IO39" s="9" t="n">
        <v>0</v>
      </c>
      <c r="IP39" s="9" t="n">
        <v>0</v>
      </c>
      <c r="IQ39" s="9" t="n">
        <v>0</v>
      </c>
      <c r="IR39" s="9" t="n">
        <v>0</v>
      </c>
      <c r="IS39" s="9" t="n">
        <v>0</v>
      </c>
      <c r="IT39" s="9" t="n">
        <v>0</v>
      </c>
      <c r="IU39" s="9" t="n">
        <v>0</v>
      </c>
      <c r="IV39" s="9" t="n">
        <v>0</v>
      </c>
      <c r="IW39" s="9" t="n">
        <v>0</v>
      </c>
      <c r="IX39" s="9" t="n">
        <v>0</v>
      </c>
    </row>
    <row r="40">
      <c r="EA40" s="9" t="inlineStr">
        <is>
          <t>YENMIX 123 (18.90KG)</t>
        </is>
      </c>
      <c r="EB40" s="9" t="n">
        <v>0</v>
      </c>
      <c r="EC40" s="9" t="n">
        <v>0</v>
      </c>
      <c r="ED40" s="9" t="n">
        <v>0</v>
      </c>
      <c r="EE40" s="9" t="n">
        <v>0</v>
      </c>
      <c r="EF40" s="9" t="n">
        <v>0</v>
      </c>
      <c r="EG40" s="9" t="n">
        <v>0</v>
      </c>
      <c r="EH40" s="9" t="n">
        <v>0</v>
      </c>
      <c r="EI40" s="9" t="n">
        <v>0</v>
      </c>
      <c r="EJ40" s="9" t="n">
        <v>0</v>
      </c>
      <c r="EK40" s="9" t="n">
        <v>0</v>
      </c>
      <c r="EL40" s="9" t="n">
        <v>0</v>
      </c>
      <c r="EM40" s="9" t="n">
        <v>0</v>
      </c>
      <c r="EN40" s="9" t="n">
        <v>0</v>
      </c>
      <c r="EO40" s="9" t="n">
        <v>0</v>
      </c>
      <c r="EP40" s="9" t="n">
        <v>0</v>
      </c>
      <c r="ER40" s="9" t="n">
        <v>0</v>
      </c>
      <c r="ES40" s="9" t="n">
        <v>0</v>
      </c>
      <c r="ET40" s="9" t="n">
        <v>0</v>
      </c>
      <c r="EU40" s="9" t="n">
        <v>0</v>
      </c>
      <c r="EV40" s="9" t="n">
        <v>0</v>
      </c>
      <c r="EW40" s="9" t="n">
        <v>0</v>
      </c>
      <c r="EX40" s="9" t="n">
        <v>0</v>
      </c>
      <c r="EY40" s="9" t="n">
        <v>0</v>
      </c>
      <c r="EZ40" s="9" t="n">
        <v>0</v>
      </c>
      <c r="FA40" s="9" t="n">
        <v>0</v>
      </c>
      <c r="FB40" s="9" t="n">
        <v>0</v>
      </c>
      <c r="FC40" s="9" t="n">
        <v>0</v>
      </c>
      <c r="FD40" s="9" t="n">
        <v>0</v>
      </c>
      <c r="FE40" s="9" t="n">
        <v>0</v>
      </c>
      <c r="FF40" s="9" t="n">
        <v>0</v>
      </c>
      <c r="FH40" s="9" t="n">
        <v>0</v>
      </c>
      <c r="FI40" s="9" t="n">
        <v>0</v>
      </c>
      <c r="FJ40" s="9" t="n">
        <v>0</v>
      </c>
      <c r="FK40" s="9" t="n">
        <v>0</v>
      </c>
      <c r="FL40" s="9" t="n">
        <v>0</v>
      </c>
      <c r="FM40" s="9" t="n">
        <v>0</v>
      </c>
      <c r="FN40" s="9" t="n">
        <v>0</v>
      </c>
      <c r="FO40" s="9" t="n">
        <v>0</v>
      </c>
      <c r="FP40" s="9" t="n">
        <v>0</v>
      </c>
      <c r="FQ40" s="9" t="n">
        <v>0</v>
      </c>
      <c r="FR40" s="9" t="n">
        <v>0</v>
      </c>
      <c r="FS40" s="9" t="n">
        <v>0</v>
      </c>
      <c r="FT40" s="9" t="n">
        <v>0</v>
      </c>
      <c r="FU40" s="9" t="n">
        <v>0</v>
      </c>
      <c r="FV40" s="9" t="n">
        <v>0</v>
      </c>
      <c r="FX40" s="9" t="n">
        <v>0</v>
      </c>
      <c r="FY40" s="9" t="n">
        <v>0</v>
      </c>
      <c r="FZ40" s="9" t="n">
        <v>0</v>
      </c>
      <c r="GA40" s="9" t="n">
        <v>0</v>
      </c>
      <c r="GB40" s="9" t="n">
        <v>0</v>
      </c>
      <c r="GC40" s="9" t="n">
        <v>0</v>
      </c>
      <c r="GD40" s="9" t="n">
        <v>0</v>
      </c>
      <c r="GE40" s="9" t="n">
        <v>0</v>
      </c>
      <c r="GF40" s="9" t="n">
        <v>0</v>
      </c>
      <c r="GG40" s="9" t="n">
        <v>0</v>
      </c>
      <c r="GH40" s="9" t="n">
        <v>0</v>
      </c>
      <c r="GI40" s="9" t="n">
        <v>0</v>
      </c>
      <c r="GJ40" s="9" t="n">
        <v>0</v>
      </c>
      <c r="GK40" s="9" t="n">
        <v>0</v>
      </c>
      <c r="GL40" s="9" t="n">
        <v>0</v>
      </c>
      <c r="GN40" s="9" t="n">
        <v>0</v>
      </c>
      <c r="GO40" s="9" t="n">
        <v>0</v>
      </c>
      <c r="GP40" s="9" t="n">
        <v>0</v>
      </c>
      <c r="GQ40" s="9" t="n">
        <v>0</v>
      </c>
      <c r="GR40" s="9" t="n">
        <v>0</v>
      </c>
      <c r="GS40" s="9" t="n">
        <v>0</v>
      </c>
      <c r="GT40" s="9" t="n">
        <v>0</v>
      </c>
      <c r="GU40" s="9" t="n">
        <v>0</v>
      </c>
      <c r="GV40" s="9" t="n">
        <v>0</v>
      </c>
      <c r="GW40" s="9" t="n">
        <v>0</v>
      </c>
      <c r="GX40" s="9" t="n">
        <v>0</v>
      </c>
      <c r="GY40" s="9" t="n">
        <v>0</v>
      </c>
      <c r="GZ40" s="9" t="n">
        <v>0</v>
      </c>
      <c r="HA40" s="9" t="n">
        <v>0</v>
      </c>
      <c r="HB40" s="9" t="n">
        <v>0</v>
      </c>
      <c r="HD40" s="9" t="n">
        <v>0</v>
      </c>
      <c r="HE40" s="9" t="n">
        <v>0</v>
      </c>
      <c r="HF40" s="9" t="n">
        <v>0</v>
      </c>
      <c r="HG40" s="9" t="n">
        <v>0</v>
      </c>
      <c r="HH40" s="9" t="n">
        <v>0</v>
      </c>
      <c r="HI40" s="9" t="n">
        <v>0</v>
      </c>
      <c r="HJ40" s="9" t="n">
        <v>0</v>
      </c>
      <c r="HK40" s="9" t="n">
        <v>0</v>
      </c>
      <c r="HL40" s="9" t="n">
        <v>0</v>
      </c>
      <c r="HM40" s="9" t="n">
        <v>0</v>
      </c>
      <c r="HN40" s="9" t="n">
        <v>0</v>
      </c>
      <c r="HO40" s="9" t="n">
        <v>0</v>
      </c>
      <c r="HP40" s="9" t="n">
        <v>0</v>
      </c>
      <c r="HQ40" s="9" t="n">
        <v>0</v>
      </c>
      <c r="HR40" s="9" t="n">
        <v>0</v>
      </c>
      <c r="HT40" s="9" t="n">
        <v>0</v>
      </c>
      <c r="HU40" s="9" t="n">
        <v>0</v>
      </c>
      <c r="HV40" s="9" t="n">
        <v>0</v>
      </c>
      <c r="HW40" s="9" t="n">
        <v>0</v>
      </c>
      <c r="HX40" s="9" t="n">
        <v>0</v>
      </c>
      <c r="HY40" s="9" t="n">
        <v>0</v>
      </c>
      <c r="HZ40" s="9" t="n">
        <v>0</v>
      </c>
      <c r="IA40" s="9" t="n">
        <v>0</v>
      </c>
      <c r="IB40" s="9" t="n">
        <v>0</v>
      </c>
      <c r="IC40" s="9" t="n">
        <v>0</v>
      </c>
      <c r="ID40" s="9" t="n">
        <v>0</v>
      </c>
      <c r="IE40" s="9" t="n">
        <v>0</v>
      </c>
      <c r="IF40" s="9" t="n">
        <v>0</v>
      </c>
      <c r="IG40" s="9" t="n">
        <v>0</v>
      </c>
      <c r="IH40" s="9" t="n">
        <v>0</v>
      </c>
      <c r="IJ40" s="9" t="n">
        <v>18.9</v>
      </c>
      <c r="IK40" s="9" t="n">
        <v>18.9</v>
      </c>
      <c r="IL40" s="9" t="n">
        <v>18.9</v>
      </c>
      <c r="IM40" s="9" t="n">
        <v>0</v>
      </c>
      <c r="IN40" s="9" t="n">
        <v>0</v>
      </c>
      <c r="IO40" s="9" t="n">
        <v>0</v>
      </c>
      <c r="IP40" s="9" t="n">
        <v>0</v>
      </c>
      <c r="IQ40" s="9" t="n">
        <v>0</v>
      </c>
      <c r="IR40" s="9" t="n">
        <v>0</v>
      </c>
      <c r="IS40" s="9" t="n">
        <v>0</v>
      </c>
      <c r="IT40" s="9" t="n">
        <v>0</v>
      </c>
      <c r="IU40" s="9" t="n">
        <v>0</v>
      </c>
      <c r="IV40" s="9" t="n">
        <v>0</v>
      </c>
      <c r="IW40" s="9" t="n">
        <v>0</v>
      </c>
      <c r="IX40" s="9" t="n">
        <v>0</v>
      </c>
    </row>
    <row r="41">
      <c r="EA41" s="9" t="inlineStr">
        <is>
          <t>YENMIX 122 (20.50KG)</t>
        </is>
      </c>
      <c r="EB41" s="9" t="n">
        <v>0</v>
      </c>
      <c r="EC41" s="9" t="n">
        <v>0</v>
      </c>
      <c r="ED41" s="9" t="n">
        <v>0</v>
      </c>
      <c r="EE41" s="9" t="n">
        <v>0</v>
      </c>
      <c r="EF41" s="9" t="n">
        <v>0</v>
      </c>
      <c r="EG41" s="9" t="n">
        <v>0</v>
      </c>
      <c r="EH41" s="9" t="n">
        <v>0</v>
      </c>
      <c r="EI41" s="9" t="n">
        <v>0</v>
      </c>
      <c r="EJ41" s="9" t="n">
        <v>0</v>
      </c>
      <c r="EK41" s="9" t="n">
        <v>0</v>
      </c>
      <c r="EL41" s="9" t="n">
        <v>0</v>
      </c>
      <c r="EM41" s="9" t="n">
        <v>0</v>
      </c>
      <c r="EN41" s="9" t="n">
        <v>0</v>
      </c>
      <c r="EO41" s="9" t="n">
        <v>0</v>
      </c>
      <c r="EP41" s="9" t="n">
        <v>0</v>
      </c>
      <c r="ER41" s="9" t="n">
        <v>0</v>
      </c>
      <c r="ES41" s="9" t="n">
        <v>0</v>
      </c>
      <c r="ET41" s="9" t="n">
        <v>0</v>
      </c>
      <c r="EU41" s="9" t="n">
        <v>0</v>
      </c>
      <c r="EV41" s="9" t="n">
        <v>0</v>
      </c>
      <c r="EW41" s="9" t="n">
        <v>0</v>
      </c>
      <c r="EX41" s="9" t="n">
        <v>0</v>
      </c>
      <c r="EY41" s="9" t="n">
        <v>0</v>
      </c>
      <c r="EZ41" s="9" t="n">
        <v>0</v>
      </c>
      <c r="FA41" s="9" t="n">
        <v>0</v>
      </c>
      <c r="FB41" s="9" t="n">
        <v>0</v>
      </c>
      <c r="FC41" s="9" t="n">
        <v>0</v>
      </c>
      <c r="FD41" s="9" t="n">
        <v>0</v>
      </c>
      <c r="FE41" s="9" t="n">
        <v>0</v>
      </c>
      <c r="FF41" s="9" t="n">
        <v>0</v>
      </c>
      <c r="FH41" s="9" t="n">
        <v>0</v>
      </c>
      <c r="FI41" s="9" t="n">
        <v>0</v>
      </c>
      <c r="FJ41" s="9" t="n">
        <v>0</v>
      </c>
      <c r="FK41" s="9" t="n">
        <v>0</v>
      </c>
      <c r="FL41" s="9" t="n">
        <v>0</v>
      </c>
      <c r="FM41" s="9" t="n">
        <v>0</v>
      </c>
      <c r="FN41" s="9" t="n">
        <v>0</v>
      </c>
      <c r="FO41" s="9" t="n">
        <v>0</v>
      </c>
      <c r="FP41" s="9" t="n">
        <v>0</v>
      </c>
      <c r="FQ41" s="9" t="n">
        <v>0</v>
      </c>
      <c r="FR41" s="9" t="n">
        <v>0</v>
      </c>
      <c r="FS41" s="9" t="n">
        <v>0</v>
      </c>
      <c r="FT41" s="9" t="n">
        <v>0</v>
      </c>
      <c r="FU41" s="9" t="n">
        <v>0</v>
      </c>
      <c r="FV41" s="9" t="n">
        <v>0</v>
      </c>
      <c r="FX41" s="9" t="n">
        <v>0</v>
      </c>
      <c r="FY41" s="9" t="n">
        <v>0</v>
      </c>
      <c r="FZ41" s="9" t="n">
        <v>0</v>
      </c>
      <c r="GA41" s="9" t="n">
        <v>0</v>
      </c>
      <c r="GB41" s="9" t="n">
        <v>0</v>
      </c>
      <c r="GC41" s="9" t="n">
        <v>0</v>
      </c>
      <c r="GD41" s="9" t="n">
        <v>0</v>
      </c>
      <c r="GE41" s="9" t="n">
        <v>0</v>
      </c>
      <c r="GF41" s="9" t="n">
        <v>0</v>
      </c>
      <c r="GG41" s="9" t="n">
        <v>0</v>
      </c>
      <c r="GH41" s="9" t="n">
        <v>0</v>
      </c>
      <c r="GI41" s="9" t="n">
        <v>0</v>
      </c>
      <c r="GJ41" s="9" t="n">
        <v>0</v>
      </c>
      <c r="GK41" s="9" t="n">
        <v>0</v>
      </c>
      <c r="GL41" s="9" t="n">
        <v>0</v>
      </c>
      <c r="GN41" s="9" t="n">
        <v>0</v>
      </c>
      <c r="GO41" s="9" t="n">
        <v>0</v>
      </c>
      <c r="GP41" s="9" t="n">
        <v>0</v>
      </c>
      <c r="GQ41" s="9" t="n">
        <v>0</v>
      </c>
      <c r="GR41" s="9" t="n">
        <v>0</v>
      </c>
      <c r="GS41" s="9" t="n">
        <v>0</v>
      </c>
      <c r="GT41" s="9" t="n">
        <v>0</v>
      </c>
      <c r="GU41" s="9" t="n">
        <v>0</v>
      </c>
      <c r="GV41" s="9" t="n">
        <v>0</v>
      </c>
      <c r="GW41" s="9" t="n">
        <v>0</v>
      </c>
      <c r="GX41" s="9" t="n">
        <v>0</v>
      </c>
      <c r="GY41" s="9" t="n">
        <v>0</v>
      </c>
      <c r="GZ41" s="9" t="n">
        <v>0</v>
      </c>
      <c r="HA41" s="9" t="n">
        <v>0</v>
      </c>
      <c r="HB41" s="9" t="n">
        <v>0</v>
      </c>
      <c r="HD41" s="9" t="n">
        <v>0</v>
      </c>
      <c r="HE41" s="9" t="n">
        <v>0</v>
      </c>
      <c r="HF41" s="9" t="n">
        <v>0</v>
      </c>
      <c r="HG41" s="9" t="n">
        <v>0</v>
      </c>
      <c r="HH41" s="9" t="n">
        <v>0</v>
      </c>
      <c r="HI41" s="9" t="n">
        <v>0</v>
      </c>
      <c r="HJ41" s="9" t="n">
        <v>0</v>
      </c>
      <c r="HK41" s="9" t="n">
        <v>0</v>
      </c>
      <c r="HL41" s="9" t="n">
        <v>0</v>
      </c>
      <c r="HM41" s="9" t="n">
        <v>0</v>
      </c>
      <c r="HN41" s="9" t="n">
        <v>0</v>
      </c>
      <c r="HO41" s="9" t="n">
        <v>0</v>
      </c>
      <c r="HP41" s="9" t="n">
        <v>0</v>
      </c>
      <c r="HQ41" s="9" t="n">
        <v>0</v>
      </c>
      <c r="HR41" s="9" t="n">
        <v>0</v>
      </c>
      <c r="HT41" s="9" t="n">
        <v>0</v>
      </c>
      <c r="HU41" s="9" t="n">
        <v>0</v>
      </c>
      <c r="HV41" s="9" t="n">
        <v>20.5</v>
      </c>
      <c r="HW41" s="9" t="n">
        <v>0</v>
      </c>
      <c r="HX41" s="9" t="n">
        <v>0</v>
      </c>
      <c r="HY41" s="9" t="n">
        <v>0</v>
      </c>
      <c r="HZ41" s="9" t="n">
        <v>0</v>
      </c>
      <c r="IA41" s="9" t="n">
        <v>0</v>
      </c>
      <c r="IB41" s="9" t="n">
        <v>0</v>
      </c>
      <c r="IC41" s="9" t="n">
        <v>0</v>
      </c>
      <c r="ID41" s="9" t="n">
        <v>0</v>
      </c>
      <c r="IE41" s="9" t="n">
        <v>0</v>
      </c>
      <c r="IF41" s="9" t="n">
        <v>0</v>
      </c>
      <c r="IG41" s="9" t="n">
        <v>0</v>
      </c>
      <c r="IH41" s="9" t="n">
        <v>0</v>
      </c>
      <c r="IJ41" s="9" t="n">
        <v>0</v>
      </c>
      <c r="IK41" s="9" t="n">
        <v>0</v>
      </c>
      <c r="IL41" s="9" t="n">
        <v>0</v>
      </c>
      <c r="IM41" s="9" t="n">
        <v>0</v>
      </c>
      <c r="IN41" s="9" t="n">
        <v>0</v>
      </c>
      <c r="IO41" s="9" t="n">
        <v>0</v>
      </c>
      <c r="IP41" s="9" t="n">
        <v>0</v>
      </c>
      <c r="IQ41" s="9" t="n">
        <v>0</v>
      </c>
      <c r="IR41" s="9" t="n">
        <v>0</v>
      </c>
      <c r="IS41" s="9" t="n">
        <v>0</v>
      </c>
      <c r="IT41" s="9" t="n">
        <v>0</v>
      </c>
      <c r="IU41" s="9" t="n">
        <v>0</v>
      </c>
      <c r="IV41" s="9" t="n">
        <v>0</v>
      </c>
      <c r="IW41" s="9" t="n">
        <v>0</v>
      </c>
      <c r="IX41" s="9" t="n">
        <v>0</v>
      </c>
    </row>
    <row r="42">
      <c r="EA42" s="9" t="inlineStr">
        <is>
          <t>YENMIX 123 (20.00KG)</t>
        </is>
      </c>
      <c r="EB42" s="9" t="n">
        <v>0</v>
      </c>
      <c r="EC42" s="9" t="n">
        <v>0</v>
      </c>
      <c r="ED42" s="9" t="n">
        <v>0</v>
      </c>
      <c r="EE42" s="9" t="n">
        <v>0</v>
      </c>
      <c r="EF42" s="9" t="n">
        <v>0</v>
      </c>
      <c r="EG42" s="9" t="n">
        <v>0</v>
      </c>
      <c r="EH42" s="9" t="n">
        <v>0</v>
      </c>
      <c r="EI42" s="9" t="n">
        <v>0</v>
      </c>
      <c r="EJ42" s="9" t="n">
        <v>0</v>
      </c>
      <c r="EK42" s="9" t="n">
        <v>0</v>
      </c>
      <c r="EL42" s="9" t="n">
        <v>0</v>
      </c>
      <c r="EM42" s="9" t="n">
        <v>0</v>
      </c>
      <c r="EN42" s="9" t="n">
        <v>0</v>
      </c>
      <c r="EO42" s="9" t="n">
        <v>0</v>
      </c>
      <c r="EP42" s="9" t="n">
        <v>0</v>
      </c>
      <c r="ER42" s="9" t="n">
        <v>0</v>
      </c>
      <c r="ES42" s="9" t="n">
        <v>0</v>
      </c>
      <c r="ET42" s="9" t="n">
        <v>0</v>
      </c>
      <c r="EU42" s="9" t="n">
        <v>0</v>
      </c>
      <c r="EV42" s="9" t="n">
        <v>0</v>
      </c>
      <c r="EW42" s="9" t="n">
        <v>0</v>
      </c>
      <c r="EX42" s="9" t="n">
        <v>0</v>
      </c>
      <c r="EY42" s="9" t="n">
        <v>0</v>
      </c>
      <c r="EZ42" s="9" t="n">
        <v>0</v>
      </c>
      <c r="FA42" s="9" t="n">
        <v>0</v>
      </c>
      <c r="FB42" s="9" t="n">
        <v>0</v>
      </c>
      <c r="FC42" s="9" t="n">
        <v>0</v>
      </c>
      <c r="FD42" s="9" t="n">
        <v>0</v>
      </c>
      <c r="FE42" s="9" t="n">
        <v>0</v>
      </c>
      <c r="FF42" s="9" t="n">
        <v>0</v>
      </c>
      <c r="FH42" s="9" t="n">
        <v>0</v>
      </c>
      <c r="FI42" s="9" t="n">
        <v>0</v>
      </c>
      <c r="FJ42" s="9" t="n">
        <v>0</v>
      </c>
      <c r="FK42" s="9" t="n">
        <v>0</v>
      </c>
      <c r="FL42" s="9" t="n">
        <v>0</v>
      </c>
      <c r="FM42" s="9" t="n">
        <v>0</v>
      </c>
      <c r="FN42" s="9" t="n">
        <v>0</v>
      </c>
      <c r="FO42" s="9" t="n">
        <v>0</v>
      </c>
      <c r="FP42" s="9" t="n">
        <v>0</v>
      </c>
      <c r="FQ42" s="9" t="n">
        <v>0</v>
      </c>
      <c r="FR42" s="9" t="n">
        <v>0</v>
      </c>
      <c r="FS42" s="9" t="n">
        <v>0</v>
      </c>
      <c r="FT42" s="9" t="n">
        <v>0</v>
      </c>
      <c r="FU42" s="9" t="n">
        <v>0</v>
      </c>
      <c r="FV42" s="9" t="n">
        <v>0</v>
      </c>
      <c r="FX42" s="9" t="n">
        <v>0</v>
      </c>
      <c r="FY42" s="9" t="n">
        <v>0</v>
      </c>
      <c r="FZ42" s="9" t="n">
        <v>0</v>
      </c>
      <c r="GA42" s="9" t="n">
        <v>0</v>
      </c>
      <c r="GB42" s="9" t="n">
        <v>0</v>
      </c>
      <c r="GC42" s="9" t="n">
        <v>0</v>
      </c>
      <c r="GD42" s="9" t="n">
        <v>0</v>
      </c>
      <c r="GE42" s="9" t="n">
        <v>0</v>
      </c>
      <c r="GF42" s="9" t="n">
        <v>0</v>
      </c>
      <c r="GG42" s="9" t="n">
        <v>0</v>
      </c>
      <c r="GH42" s="9" t="n">
        <v>0</v>
      </c>
      <c r="GI42" s="9" t="n">
        <v>0</v>
      </c>
      <c r="GJ42" s="9" t="n">
        <v>0</v>
      </c>
      <c r="GK42" s="9" t="n">
        <v>0</v>
      </c>
      <c r="GL42" s="9" t="n">
        <v>0</v>
      </c>
      <c r="GN42" s="9" t="n">
        <v>0</v>
      </c>
      <c r="GO42" s="9" t="n">
        <v>0</v>
      </c>
      <c r="GP42" s="9" t="n">
        <v>0</v>
      </c>
      <c r="GQ42" s="9" t="n">
        <v>0</v>
      </c>
      <c r="GR42" s="9" t="n">
        <v>0</v>
      </c>
      <c r="GS42" s="9" t="n">
        <v>0</v>
      </c>
      <c r="GT42" s="9" t="n">
        <v>0</v>
      </c>
      <c r="GU42" s="9" t="n">
        <v>0</v>
      </c>
      <c r="GV42" s="9" t="n">
        <v>0</v>
      </c>
      <c r="GW42" s="9" t="n">
        <v>0</v>
      </c>
      <c r="GX42" s="9" t="n">
        <v>0</v>
      </c>
      <c r="GY42" s="9" t="n">
        <v>0</v>
      </c>
      <c r="GZ42" s="9" t="n">
        <v>0</v>
      </c>
      <c r="HA42" s="9" t="n">
        <v>0</v>
      </c>
      <c r="HB42" s="9" t="n">
        <v>0</v>
      </c>
      <c r="HD42" s="9" t="n">
        <v>0</v>
      </c>
      <c r="HE42" s="9" t="n">
        <v>0</v>
      </c>
      <c r="HF42" s="9" t="n">
        <v>0</v>
      </c>
      <c r="HG42" s="9" t="n">
        <v>0</v>
      </c>
      <c r="HH42" s="9" t="n">
        <v>0</v>
      </c>
      <c r="HI42" s="9" t="n">
        <v>0</v>
      </c>
      <c r="HJ42" s="9" t="n">
        <v>0</v>
      </c>
      <c r="HK42" s="9" t="n">
        <v>0</v>
      </c>
      <c r="HL42" s="9" t="n">
        <v>0</v>
      </c>
      <c r="HM42" s="9" t="n">
        <v>0</v>
      </c>
      <c r="HN42" s="9" t="n">
        <v>0</v>
      </c>
      <c r="HO42" s="9" t="n">
        <v>0</v>
      </c>
      <c r="HP42" s="9" t="n">
        <v>0</v>
      </c>
      <c r="HQ42" s="9" t="n">
        <v>0</v>
      </c>
      <c r="HR42" s="9" t="n">
        <v>0</v>
      </c>
      <c r="HT42" s="9" t="n">
        <v>0</v>
      </c>
      <c r="HU42" s="9" t="n">
        <v>0</v>
      </c>
      <c r="HV42" s="9" t="n">
        <v>0</v>
      </c>
      <c r="HW42" s="9" t="n">
        <v>0</v>
      </c>
      <c r="HX42" s="9" t="n">
        <v>0</v>
      </c>
      <c r="HY42" s="9" t="n">
        <v>0</v>
      </c>
      <c r="HZ42" s="9" t="n">
        <v>0</v>
      </c>
      <c r="IA42" s="9" t="n">
        <v>0</v>
      </c>
      <c r="IB42" s="9" t="n">
        <v>0</v>
      </c>
      <c r="IC42" s="9" t="n">
        <v>0</v>
      </c>
      <c r="ID42" s="9" t="n">
        <v>0</v>
      </c>
      <c r="IE42" s="9" t="n">
        <v>0</v>
      </c>
      <c r="IF42" s="9" t="n">
        <v>0</v>
      </c>
      <c r="IG42" s="9" t="n">
        <v>0</v>
      </c>
      <c r="IH42" s="9" t="n">
        <v>0</v>
      </c>
      <c r="IJ42" s="9" t="n">
        <v>0</v>
      </c>
      <c r="IK42" s="9" t="n">
        <v>0</v>
      </c>
      <c r="IL42" s="9" t="n">
        <v>0</v>
      </c>
      <c r="IM42" s="9" t="n">
        <v>20</v>
      </c>
      <c r="IN42" s="9" t="n">
        <v>0</v>
      </c>
      <c r="IO42" s="9" t="n">
        <v>0</v>
      </c>
      <c r="IP42" s="9" t="n">
        <v>0</v>
      </c>
      <c r="IQ42" s="9" t="n">
        <v>0</v>
      </c>
      <c r="IR42" s="9" t="n">
        <v>0</v>
      </c>
      <c r="IS42" s="9" t="n">
        <v>0</v>
      </c>
      <c r="IT42" s="9" t="n">
        <v>0</v>
      </c>
      <c r="IU42" s="9" t="n">
        <v>0</v>
      </c>
      <c r="IV42" s="9" t="n">
        <v>0</v>
      </c>
      <c r="IW42" s="9" t="n">
        <v>0</v>
      </c>
      <c r="IX42" s="9" t="n">
        <v>0</v>
      </c>
    </row>
    <row r="43">
      <c r="EA43" s="9" t="n">
        <v>1</v>
      </c>
      <c r="EB43" s="9" t="n">
        <v>0</v>
      </c>
      <c r="EC43" s="9" t="n">
        <v>0</v>
      </c>
      <c r="ED43" s="9" t="n">
        <v>0</v>
      </c>
      <c r="EE43" s="9" t="n">
        <v>0</v>
      </c>
      <c r="EF43" s="9" t="n">
        <v>0</v>
      </c>
      <c r="EG43" s="9" t="n">
        <v>0</v>
      </c>
      <c r="EH43" s="9" t="n">
        <v>0</v>
      </c>
      <c r="EI43" s="9" t="n">
        <v>0</v>
      </c>
      <c r="EJ43" s="9" t="n">
        <v>0</v>
      </c>
      <c r="EK43" s="9" t="n">
        <v>0</v>
      </c>
      <c r="EL43" s="9" t="n">
        <v>0</v>
      </c>
      <c r="EM43" s="9" t="n">
        <v>0</v>
      </c>
      <c r="EN43" s="9" t="n">
        <v>0</v>
      </c>
      <c r="EO43" s="9" t="n">
        <v>0</v>
      </c>
      <c r="EP43" s="9" t="n">
        <v>0</v>
      </c>
      <c r="ER43" s="9" t="n">
        <v>0</v>
      </c>
      <c r="ES43" s="9" t="n">
        <v>0</v>
      </c>
      <c r="ET43" s="9" t="n">
        <v>0</v>
      </c>
      <c r="EU43" s="9" t="n">
        <v>0</v>
      </c>
      <c r="EV43" s="9" t="n">
        <v>0</v>
      </c>
      <c r="EW43" s="9" t="n">
        <v>0</v>
      </c>
      <c r="EX43" s="9" t="n">
        <v>0</v>
      </c>
      <c r="EY43" s="9" t="n">
        <v>0</v>
      </c>
      <c r="EZ43" s="9" t="n">
        <v>0</v>
      </c>
      <c r="FA43" s="9" t="n">
        <v>0</v>
      </c>
      <c r="FB43" s="9" t="n">
        <v>0</v>
      </c>
      <c r="FC43" s="9" t="n">
        <v>0</v>
      </c>
      <c r="FD43" s="9" t="n">
        <v>0</v>
      </c>
      <c r="FE43" s="9" t="n">
        <v>0</v>
      </c>
      <c r="FF43" s="9" t="n">
        <v>0</v>
      </c>
      <c r="FH43" s="9" t="n">
        <v>0</v>
      </c>
      <c r="FI43" s="9" t="n">
        <v>0</v>
      </c>
      <c r="FJ43" s="9" t="n">
        <v>0</v>
      </c>
      <c r="FK43" s="9" t="n">
        <v>0</v>
      </c>
      <c r="FL43" s="9" t="n">
        <v>0</v>
      </c>
      <c r="FM43" s="9" t="n">
        <v>0</v>
      </c>
      <c r="FN43" s="9" t="n">
        <v>0</v>
      </c>
      <c r="FO43" s="9" t="n">
        <v>0</v>
      </c>
      <c r="FP43" s="9" t="n">
        <v>0</v>
      </c>
      <c r="FQ43" s="9" t="n">
        <v>0</v>
      </c>
      <c r="FR43" s="9" t="n">
        <v>0</v>
      </c>
      <c r="FS43" s="9" t="n">
        <v>0</v>
      </c>
      <c r="FT43" s="9" t="n">
        <v>0</v>
      </c>
      <c r="FU43" s="9" t="n">
        <v>0</v>
      </c>
      <c r="FV43" s="9" t="n">
        <v>0</v>
      </c>
      <c r="FX43" s="9" t="n">
        <v>0</v>
      </c>
      <c r="FY43" s="9" t="n">
        <v>0</v>
      </c>
      <c r="FZ43" s="9" t="n">
        <v>0</v>
      </c>
      <c r="GA43" s="9" t="n">
        <v>0</v>
      </c>
      <c r="GB43" s="9" t="n">
        <v>0</v>
      </c>
      <c r="GC43" s="9" t="n">
        <v>0</v>
      </c>
      <c r="GD43" s="9" t="n">
        <v>0</v>
      </c>
      <c r="GE43" s="9" t="n">
        <v>0</v>
      </c>
      <c r="GF43" s="9" t="n">
        <v>0</v>
      </c>
      <c r="GG43" s="9" t="n">
        <v>0</v>
      </c>
      <c r="GH43" s="9" t="n">
        <v>0</v>
      </c>
      <c r="GI43" s="9" t="n">
        <v>0</v>
      </c>
      <c r="GJ43" s="9" t="n">
        <v>0</v>
      </c>
      <c r="GK43" s="9" t="n">
        <v>0</v>
      </c>
      <c r="GL43" s="9" t="n">
        <v>0</v>
      </c>
      <c r="GN43" s="9" t="n">
        <v>0</v>
      </c>
      <c r="GO43" s="9" t="n">
        <v>0</v>
      </c>
      <c r="GP43" s="9" t="n">
        <v>0</v>
      </c>
      <c r="GQ43" s="9" t="n">
        <v>0</v>
      </c>
      <c r="GR43" s="9" t="n">
        <v>0</v>
      </c>
      <c r="GS43" s="9" t="n">
        <v>0</v>
      </c>
      <c r="GT43" s="9" t="n">
        <v>0</v>
      </c>
      <c r="GU43" s="9" t="n">
        <v>0</v>
      </c>
      <c r="GV43" s="9" t="n">
        <v>0</v>
      </c>
      <c r="GW43" s="9" t="n">
        <v>0</v>
      </c>
      <c r="GX43" s="9" t="n">
        <v>0</v>
      </c>
      <c r="GY43" s="9" t="n">
        <v>0</v>
      </c>
      <c r="GZ43" s="9" t="n">
        <v>0</v>
      </c>
      <c r="HA43" s="9" t="n">
        <v>0</v>
      </c>
      <c r="HB43" s="9" t="n">
        <v>0</v>
      </c>
      <c r="HD43" s="9" t="n">
        <v>0</v>
      </c>
      <c r="HE43" s="9" t="n">
        <v>0</v>
      </c>
      <c r="HF43" s="9" t="n">
        <v>0</v>
      </c>
      <c r="HG43" s="9" t="n">
        <v>0</v>
      </c>
      <c r="HH43" s="9" t="n">
        <v>0</v>
      </c>
      <c r="HI43" s="9" t="n">
        <v>0</v>
      </c>
      <c r="HJ43" s="9" t="n">
        <v>0</v>
      </c>
      <c r="HK43" s="9" t="n">
        <v>0</v>
      </c>
      <c r="HL43" s="9" t="n">
        <v>0</v>
      </c>
      <c r="HM43" s="9" t="n">
        <v>0</v>
      </c>
      <c r="HN43" s="9" t="n">
        <v>0</v>
      </c>
      <c r="HO43" s="9" t="n">
        <v>0</v>
      </c>
      <c r="HP43" s="9" t="n">
        <v>0</v>
      </c>
      <c r="HQ43" s="9" t="n">
        <v>0</v>
      </c>
      <c r="HR43" s="9" t="n">
        <v>0</v>
      </c>
      <c r="HT43" s="9" t="n">
        <v>0</v>
      </c>
      <c r="HU43" s="9" t="n">
        <v>0</v>
      </c>
      <c r="HV43" s="9" t="n">
        <v>0</v>
      </c>
      <c r="HW43" s="9" t="n">
        <v>0</v>
      </c>
      <c r="HX43" s="9" t="n">
        <v>0</v>
      </c>
      <c r="HY43" s="9" t="n">
        <v>0</v>
      </c>
      <c r="HZ43" s="9" t="n">
        <v>0</v>
      </c>
      <c r="IA43" s="9" t="n">
        <v>0</v>
      </c>
      <c r="IB43" s="9" t="n">
        <v>0</v>
      </c>
      <c r="IC43" s="9" t="n">
        <v>0</v>
      </c>
      <c r="ID43" s="9" t="n">
        <v>0</v>
      </c>
      <c r="IE43" s="9" t="n">
        <v>0</v>
      </c>
      <c r="IF43" s="9" t="n">
        <v>0</v>
      </c>
      <c r="IG43" s="9" t="n">
        <v>0</v>
      </c>
      <c r="IH43" s="9" t="n">
        <v>0</v>
      </c>
      <c r="IJ43" s="9" t="n">
        <v>0</v>
      </c>
      <c r="IK43" s="9" t="n">
        <v>0</v>
      </c>
      <c r="IL43" s="9" t="n">
        <v>0</v>
      </c>
      <c r="IM43" s="9" t="n">
        <v>0</v>
      </c>
      <c r="IN43" s="9" t="n">
        <v>0</v>
      </c>
      <c r="IO43" s="9" t="n">
        <v>0</v>
      </c>
      <c r="IP43" s="9" t="n">
        <v>0</v>
      </c>
      <c r="IQ43" s="9" t="n">
        <v>0</v>
      </c>
      <c r="IR43" s="9" t="n">
        <v>0</v>
      </c>
      <c r="IS43" s="9" t="n">
        <v>0</v>
      </c>
      <c r="IT43" s="9" t="n">
        <v>0</v>
      </c>
      <c r="IU43" s="9" t="n">
        <v>0</v>
      </c>
      <c r="IV43" s="9" t="n">
        <v>0</v>
      </c>
      <c r="IW43" s="9" t="n">
        <v>0</v>
      </c>
      <c r="IX43" s="9" t="n">
        <v>0</v>
      </c>
    </row>
    <row r="44">
      <c r="EA44" s="9" t="n">
        <v>2</v>
      </c>
      <c r="EB44" s="9" t="n">
        <v>0</v>
      </c>
      <c r="EC44" s="9" t="n">
        <v>0</v>
      </c>
      <c r="ED44" s="9" t="n">
        <v>0</v>
      </c>
      <c r="EE44" s="9" t="n">
        <v>0</v>
      </c>
      <c r="EF44" s="9" t="n">
        <v>0</v>
      </c>
      <c r="EG44" s="9" t="n">
        <v>0</v>
      </c>
      <c r="EH44" s="9" t="n">
        <v>0</v>
      </c>
      <c r="EI44" s="9" t="n">
        <v>0</v>
      </c>
      <c r="EJ44" s="9" t="n">
        <v>0</v>
      </c>
      <c r="EK44" s="9" t="n">
        <v>0</v>
      </c>
      <c r="EL44" s="9" t="n">
        <v>0</v>
      </c>
      <c r="EM44" s="9" t="n">
        <v>0</v>
      </c>
      <c r="EN44" s="9" t="n">
        <v>0</v>
      </c>
      <c r="EO44" s="9" t="n">
        <v>0</v>
      </c>
      <c r="EP44" s="9" t="n">
        <v>0</v>
      </c>
      <c r="ER44" s="9" t="n">
        <v>0</v>
      </c>
      <c r="ES44" s="9" t="n">
        <v>0</v>
      </c>
      <c r="ET44" s="9" t="n">
        <v>0</v>
      </c>
      <c r="EU44" s="9" t="n">
        <v>0</v>
      </c>
      <c r="EV44" s="9" t="n">
        <v>0</v>
      </c>
      <c r="EW44" s="9" t="n">
        <v>0</v>
      </c>
      <c r="EX44" s="9" t="n">
        <v>0</v>
      </c>
      <c r="EY44" s="9" t="n">
        <v>0</v>
      </c>
      <c r="EZ44" s="9" t="n">
        <v>0</v>
      </c>
      <c r="FA44" s="9" t="n">
        <v>0</v>
      </c>
      <c r="FB44" s="9" t="n">
        <v>0</v>
      </c>
      <c r="FC44" s="9" t="n">
        <v>0</v>
      </c>
      <c r="FD44" s="9" t="n">
        <v>0</v>
      </c>
      <c r="FE44" s="9" t="n">
        <v>0</v>
      </c>
      <c r="FF44" s="9" t="n">
        <v>0</v>
      </c>
      <c r="FH44" s="9" t="n">
        <v>0</v>
      </c>
      <c r="FI44" s="9" t="n">
        <v>0</v>
      </c>
      <c r="FJ44" s="9" t="n">
        <v>0</v>
      </c>
      <c r="FK44" s="9" t="n">
        <v>0</v>
      </c>
      <c r="FL44" s="9" t="n">
        <v>0</v>
      </c>
      <c r="FM44" s="9" t="n">
        <v>0</v>
      </c>
      <c r="FN44" s="9" t="n">
        <v>0</v>
      </c>
      <c r="FO44" s="9" t="n">
        <v>0</v>
      </c>
      <c r="FP44" s="9" t="n">
        <v>0</v>
      </c>
      <c r="FQ44" s="9" t="n">
        <v>0</v>
      </c>
      <c r="FR44" s="9" t="n">
        <v>0</v>
      </c>
      <c r="FS44" s="9" t="n">
        <v>0</v>
      </c>
      <c r="FT44" s="9" t="n">
        <v>0</v>
      </c>
      <c r="FU44" s="9" t="n">
        <v>0</v>
      </c>
      <c r="FV44" s="9" t="n">
        <v>0</v>
      </c>
      <c r="FX44" s="9" t="n">
        <v>0</v>
      </c>
      <c r="FY44" s="9" t="n">
        <v>0</v>
      </c>
      <c r="FZ44" s="9" t="n">
        <v>0</v>
      </c>
      <c r="GA44" s="9" t="n">
        <v>0</v>
      </c>
      <c r="GB44" s="9" t="n">
        <v>0</v>
      </c>
      <c r="GC44" s="9" t="n">
        <v>0</v>
      </c>
      <c r="GD44" s="9" t="n">
        <v>0</v>
      </c>
      <c r="GE44" s="9" t="n">
        <v>0</v>
      </c>
      <c r="GF44" s="9" t="n">
        <v>0</v>
      </c>
      <c r="GG44" s="9" t="n">
        <v>0</v>
      </c>
      <c r="GH44" s="9" t="n">
        <v>0</v>
      </c>
      <c r="GI44" s="9" t="n">
        <v>0</v>
      </c>
      <c r="GJ44" s="9" t="n">
        <v>0</v>
      </c>
      <c r="GK44" s="9" t="n">
        <v>0</v>
      </c>
      <c r="GL44" s="9" t="n">
        <v>0</v>
      </c>
      <c r="GN44" s="9" t="n">
        <v>0</v>
      </c>
      <c r="GO44" s="9" t="n">
        <v>0</v>
      </c>
      <c r="GP44" s="9" t="n">
        <v>0</v>
      </c>
      <c r="GQ44" s="9" t="n">
        <v>0</v>
      </c>
      <c r="GR44" s="9" t="n">
        <v>0</v>
      </c>
      <c r="GS44" s="9" t="n">
        <v>0</v>
      </c>
      <c r="GT44" s="9" t="n">
        <v>0</v>
      </c>
      <c r="GU44" s="9" t="n">
        <v>0</v>
      </c>
      <c r="GV44" s="9" t="n">
        <v>0</v>
      </c>
      <c r="GW44" s="9" t="n">
        <v>0</v>
      </c>
      <c r="GX44" s="9" t="n">
        <v>0</v>
      </c>
      <c r="GY44" s="9" t="n">
        <v>0</v>
      </c>
      <c r="GZ44" s="9" t="n">
        <v>0</v>
      </c>
      <c r="HA44" s="9" t="n">
        <v>0</v>
      </c>
      <c r="HB44" s="9" t="n">
        <v>0</v>
      </c>
      <c r="HD44" s="9" t="n">
        <v>0</v>
      </c>
      <c r="HE44" s="9" t="n">
        <v>0</v>
      </c>
      <c r="HF44" s="9" t="n">
        <v>0</v>
      </c>
      <c r="HG44" s="9" t="n">
        <v>0</v>
      </c>
      <c r="HH44" s="9" t="n">
        <v>0</v>
      </c>
      <c r="HI44" s="9" t="n">
        <v>0</v>
      </c>
      <c r="HJ44" s="9" t="n">
        <v>0</v>
      </c>
      <c r="HK44" s="9" t="n">
        <v>0</v>
      </c>
      <c r="HL44" s="9" t="n">
        <v>0</v>
      </c>
      <c r="HM44" s="9" t="n">
        <v>0</v>
      </c>
      <c r="HN44" s="9" t="n">
        <v>0</v>
      </c>
      <c r="HO44" s="9" t="n">
        <v>0</v>
      </c>
      <c r="HP44" s="9" t="n">
        <v>0</v>
      </c>
      <c r="HQ44" s="9" t="n">
        <v>0</v>
      </c>
      <c r="HR44" s="9" t="n">
        <v>0</v>
      </c>
      <c r="HT44" s="9" t="n">
        <v>0</v>
      </c>
      <c r="HU44" s="9" t="n">
        <v>0</v>
      </c>
      <c r="HV44" s="9" t="n">
        <v>0</v>
      </c>
      <c r="HW44" s="9" t="n">
        <v>0</v>
      </c>
      <c r="HX44" s="9" t="n">
        <v>0</v>
      </c>
      <c r="HY44" s="9" t="n">
        <v>0</v>
      </c>
      <c r="HZ44" s="9" t="n">
        <v>0</v>
      </c>
      <c r="IA44" s="9" t="n">
        <v>0</v>
      </c>
      <c r="IB44" s="9" t="n">
        <v>0</v>
      </c>
      <c r="IC44" s="9" t="n">
        <v>0</v>
      </c>
      <c r="ID44" s="9" t="n">
        <v>0</v>
      </c>
      <c r="IE44" s="9" t="n">
        <v>0</v>
      </c>
      <c r="IF44" s="9" t="n">
        <v>0</v>
      </c>
      <c r="IG44" s="9" t="n">
        <v>0</v>
      </c>
      <c r="IH44" s="9" t="n">
        <v>0</v>
      </c>
      <c r="IJ44" s="9" t="n">
        <v>0</v>
      </c>
      <c r="IK44" s="9" t="n">
        <v>0</v>
      </c>
      <c r="IL44" s="9" t="n">
        <v>0</v>
      </c>
      <c r="IM44" s="9" t="n">
        <v>0</v>
      </c>
      <c r="IN44" s="9" t="n">
        <v>0</v>
      </c>
      <c r="IO44" s="9" t="n">
        <v>0</v>
      </c>
      <c r="IP44" s="9" t="n">
        <v>0</v>
      </c>
      <c r="IQ44" s="9" t="n">
        <v>0</v>
      </c>
      <c r="IR44" s="9" t="n">
        <v>0</v>
      </c>
      <c r="IS44" s="9" t="n">
        <v>0</v>
      </c>
      <c r="IT44" s="9" t="n">
        <v>0</v>
      </c>
      <c r="IU44" s="9" t="n">
        <v>0</v>
      </c>
      <c r="IV44" s="9" t="n">
        <v>0</v>
      </c>
      <c r="IW44" s="9" t="n">
        <v>0</v>
      </c>
      <c r="IX44" s="9" t="n">
        <v>0</v>
      </c>
    </row>
    <row r="45">
      <c r="EA45" s="9" t="n">
        <v>3</v>
      </c>
      <c r="EB45" s="9" t="n">
        <v>0</v>
      </c>
      <c r="EC45" s="9" t="n">
        <v>0</v>
      </c>
      <c r="ED45" s="9" t="n">
        <v>0</v>
      </c>
      <c r="EE45" s="9" t="n">
        <v>0</v>
      </c>
      <c r="EF45" s="9" t="n">
        <v>0</v>
      </c>
      <c r="EG45" s="9" t="n">
        <v>0</v>
      </c>
      <c r="EH45" s="9" t="n">
        <v>0</v>
      </c>
      <c r="EI45" s="9" t="n">
        <v>0</v>
      </c>
      <c r="EJ45" s="9" t="n">
        <v>0</v>
      </c>
      <c r="EK45" s="9" t="n">
        <v>0</v>
      </c>
      <c r="EL45" s="9" t="n">
        <v>0</v>
      </c>
      <c r="EM45" s="9" t="n">
        <v>0</v>
      </c>
      <c r="EN45" s="9" t="n">
        <v>0</v>
      </c>
      <c r="EO45" s="9" t="n">
        <v>0</v>
      </c>
      <c r="EP45" s="9" t="n">
        <v>0</v>
      </c>
      <c r="ER45" s="9" t="n">
        <v>0</v>
      </c>
      <c r="ES45" s="9" t="n">
        <v>0</v>
      </c>
      <c r="ET45" s="9" t="n">
        <v>0</v>
      </c>
      <c r="EU45" s="9" t="n">
        <v>0</v>
      </c>
      <c r="EV45" s="9" t="n">
        <v>0</v>
      </c>
      <c r="EW45" s="9" t="n">
        <v>0</v>
      </c>
      <c r="EX45" s="9" t="n">
        <v>0</v>
      </c>
      <c r="EY45" s="9" t="n">
        <v>0</v>
      </c>
      <c r="EZ45" s="9" t="n">
        <v>0</v>
      </c>
      <c r="FA45" s="9" t="n">
        <v>0</v>
      </c>
      <c r="FB45" s="9" t="n">
        <v>0</v>
      </c>
      <c r="FC45" s="9" t="n">
        <v>0</v>
      </c>
      <c r="FD45" s="9" t="n">
        <v>0</v>
      </c>
      <c r="FE45" s="9" t="n">
        <v>0</v>
      </c>
      <c r="FF45" s="9" t="n">
        <v>0</v>
      </c>
      <c r="FH45" s="9" t="n">
        <v>0</v>
      </c>
      <c r="FI45" s="9" t="n">
        <v>0</v>
      </c>
      <c r="FJ45" s="9" t="n">
        <v>0</v>
      </c>
      <c r="FK45" s="9" t="n">
        <v>0</v>
      </c>
      <c r="FL45" s="9" t="n">
        <v>0</v>
      </c>
      <c r="FM45" s="9" t="n">
        <v>0</v>
      </c>
      <c r="FN45" s="9" t="n">
        <v>0</v>
      </c>
      <c r="FO45" s="9" t="n">
        <v>0</v>
      </c>
      <c r="FP45" s="9" t="n">
        <v>0</v>
      </c>
      <c r="FQ45" s="9" t="n">
        <v>0</v>
      </c>
      <c r="FR45" s="9" t="n">
        <v>0</v>
      </c>
      <c r="FS45" s="9" t="n">
        <v>0</v>
      </c>
      <c r="FT45" s="9" t="n">
        <v>0</v>
      </c>
      <c r="FU45" s="9" t="n">
        <v>0</v>
      </c>
      <c r="FV45" s="9" t="n">
        <v>0</v>
      </c>
      <c r="FX45" s="9" t="n">
        <v>0</v>
      </c>
      <c r="FY45" s="9" t="n">
        <v>0</v>
      </c>
      <c r="FZ45" s="9" t="n">
        <v>0</v>
      </c>
      <c r="GA45" s="9" t="n">
        <v>0</v>
      </c>
      <c r="GB45" s="9" t="n">
        <v>0</v>
      </c>
      <c r="GC45" s="9" t="n">
        <v>0</v>
      </c>
      <c r="GD45" s="9" t="n">
        <v>0</v>
      </c>
      <c r="GE45" s="9" t="n">
        <v>0</v>
      </c>
      <c r="GF45" s="9" t="n">
        <v>0</v>
      </c>
      <c r="GG45" s="9" t="n">
        <v>0</v>
      </c>
      <c r="GH45" s="9" t="n">
        <v>0</v>
      </c>
      <c r="GI45" s="9" t="n">
        <v>0</v>
      </c>
      <c r="GJ45" s="9" t="n">
        <v>0</v>
      </c>
      <c r="GK45" s="9" t="n">
        <v>0</v>
      </c>
      <c r="GL45" s="9" t="n">
        <v>0</v>
      </c>
      <c r="GN45" s="9" t="n">
        <v>0</v>
      </c>
      <c r="GO45" s="9" t="n">
        <v>0</v>
      </c>
      <c r="GP45" s="9" t="n">
        <v>0</v>
      </c>
      <c r="GQ45" s="9" t="n">
        <v>0</v>
      </c>
      <c r="GR45" s="9" t="n">
        <v>0</v>
      </c>
      <c r="GS45" s="9" t="n">
        <v>0</v>
      </c>
      <c r="GT45" s="9" t="n">
        <v>0</v>
      </c>
      <c r="GU45" s="9" t="n">
        <v>0</v>
      </c>
      <c r="GV45" s="9" t="n">
        <v>0</v>
      </c>
      <c r="GW45" s="9" t="n">
        <v>0</v>
      </c>
      <c r="GX45" s="9" t="n">
        <v>0</v>
      </c>
      <c r="GY45" s="9" t="n">
        <v>0</v>
      </c>
      <c r="GZ45" s="9" t="n">
        <v>0</v>
      </c>
      <c r="HA45" s="9" t="n">
        <v>0</v>
      </c>
      <c r="HB45" s="9" t="n">
        <v>0</v>
      </c>
      <c r="HD45" s="9" t="n">
        <v>0</v>
      </c>
      <c r="HE45" s="9" t="n">
        <v>0</v>
      </c>
      <c r="HF45" s="9" t="n">
        <v>0</v>
      </c>
      <c r="HG45" s="9" t="n">
        <v>0</v>
      </c>
      <c r="HH45" s="9" t="n">
        <v>0</v>
      </c>
      <c r="HI45" s="9" t="n">
        <v>0</v>
      </c>
      <c r="HJ45" s="9" t="n">
        <v>0</v>
      </c>
      <c r="HK45" s="9" t="n">
        <v>0</v>
      </c>
      <c r="HL45" s="9" t="n">
        <v>0</v>
      </c>
      <c r="HM45" s="9" t="n">
        <v>0</v>
      </c>
      <c r="HN45" s="9" t="n">
        <v>0</v>
      </c>
      <c r="HO45" s="9" t="n">
        <v>0</v>
      </c>
      <c r="HP45" s="9" t="n">
        <v>0</v>
      </c>
      <c r="HQ45" s="9" t="n">
        <v>0</v>
      </c>
      <c r="HR45" s="9" t="n">
        <v>0</v>
      </c>
      <c r="HT45" s="9" t="n">
        <v>0</v>
      </c>
      <c r="HU45" s="9" t="n">
        <v>0</v>
      </c>
      <c r="HV45" s="9" t="n">
        <v>0</v>
      </c>
      <c r="HW45" s="9" t="n">
        <v>0</v>
      </c>
      <c r="HX45" s="9" t="n">
        <v>0</v>
      </c>
      <c r="HY45" s="9" t="n">
        <v>0</v>
      </c>
      <c r="HZ45" s="9" t="n">
        <v>0</v>
      </c>
      <c r="IA45" s="9" t="n">
        <v>0</v>
      </c>
      <c r="IB45" s="9" t="n">
        <v>0</v>
      </c>
      <c r="IC45" s="9" t="n">
        <v>0</v>
      </c>
      <c r="ID45" s="9" t="n">
        <v>0</v>
      </c>
      <c r="IE45" s="9" t="n">
        <v>0</v>
      </c>
      <c r="IF45" s="9" t="n">
        <v>0</v>
      </c>
      <c r="IG45" s="9" t="n">
        <v>0</v>
      </c>
      <c r="IH45" s="9" t="n">
        <v>0</v>
      </c>
      <c r="IJ45" s="9" t="n">
        <v>0</v>
      </c>
      <c r="IK45" s="9" t="n">
        <v>0</v>
      </c>
      <c r="IL45" s="9" t="n">
        <v>0</v>
      </c>
      <c r="IM45" s="9" t="n">
        <v>0</v>
      </c>
      <c r="IN45" s="9" t="n">
        <v>0</v>
      </c>
      <c r="IO45" s="9" t="n">
        <v>0</v>
      </c>
      <c r="IP45" s="9" t="n">
        <v>0</v>
      </c>
      <c r="IQ45" s="9" t="n">
        <v>0</v>
      </c>
      <c r="IR45" s="9" t="n">
        <v>0</v>
      </c>
      <c r="IS45" s="9" t="n">
        <v>0</v>
      </c>
      <c r="IT45" s="9" t="n">
        <v>0</v>
      </c>
      <c r="IU45" s="9" t="n">
        <v>0</v>
      </c>
      <c r="IV45" s="9" t="n">
        <v>0</v>
      </c>
      <c r="IW45" s="9" t="n">
        <v>0</v>
      </c>
      <c r="IX45" s="9" t="n">
        <v>0</v>
      </c>
    </row>
    <row r="46">
      <c r="EA46" s="9" t="inlineStr">
        <is>
          <t>TOXISORB PREMIUM</t>
        </is>
      </c>
      <c r="EB46" s="9" t="n">
        <v>0.5</v>
      </c>
      <c r="EC46" s="9" t="n">
        <v>0</v>
      </c>
      <c r="ED46" s="9" t="n">
        <v>0</v>
      </c>
      <c r="EE46" s="9" t="n">
        <v>0</v>
      </c>
      <c r="EF46" s="9" t="n">
        <v>0</v>
      </c>
      <c r="EG46" s="9" t="n">
        <v>0</v>
      </c>
      <c r="EH46" s="9" t="n">
        <v>0</v>
      </c>
      <c r="EI46" s="9" t="n">
        <v>0</v>
      </c>
      <c r="EJ46" s="9" t="n">
        <v>0</v>
      </c>
      <c r="EK46" s="9" t="n">
        <v>0</v>
      </c>
      <c r="EL46" s="9" t="n">
        <v>0</v>
      </c>
      <c r="EM46" s="9" t="n">
        <v>0</v>
      </c>
      <c r="EN46" s="9" t="n">
        <v>0</v>
      </c>
      <c r="EO46" s="9" t="n">
        <v>0</v>
      </c>
      <c r="EP46" s="9" t="n">
        <v>0</v>
      </c>
      <c r="ER46" s="9" t="n">
        <v>0.5</v>
      </c>
      <c r="ES46" s="9" t="n">
        <v>0</v>
      </c>
      <c r="ET46" s="9" t="n">
        <v>0</v>
      </c>
      <c r="EU46" s="9" t="n">
        <v>0</v>
      </c>
      <c r="EV46" s="9" t="n">
        <v>0</v>
      </c>
      <c r="EW46" s="9" t="n">
        <v>0</v>
      </c>
      <c r="EX46" s="9" t="n">
        <v>0</v>
      </c>
      <c r="EY46" s="9" t="n">
        <v>0</v>
      </c>
      <c r="EZ46" s="9" t="n">
        <v>0</v>
      </c>
      <c r="FA46" s="9" t="n">
        <v>0</v>
      </c>
      <c r="FB46" s="9" t="n">
        <v>0</v>
      </c>
      <c r="FC46" s="9" t="n">
        <v>0</v>
      </c>
      <c r="FD46" s="9" t="n">
        <v>0</v>
      </c>
      <c r="FE46" s="9" t="n">
        <v>0</v>
      </c>
      <c r="FF46" s="9" t="n">
        <v>0</v>
      </c>
      <c r="FH46" s="9" t="n">
        <v>0.5</v>
      </c>
      <c r="FI46" s="9" t="n">
        <v>0</v>
      </c>
      <c r="FJ46" s="9" t="n">
        <v>0</v>
      </c>
      <c r="FK46" s="9" t="n">
        <v>0</v>
      </c>
      <c r="FL46" s="9" t="n">
        <v>0</v>
      </c>
      <c r="FM46" s="9" t="n">
        <v>0</v>
      </c>
      <c r="FN46" s="9" t="n">
        <v>0</v>
      </c>
      <c r="FO46" s="9" t="n">
        <v>0</v>
      </c>
      <c r="FP46" s="9" t="n">
        <v>0</v>
      </c>
      <c r="FQ46" s="9" t="n">
        <v>0</v>
      </c>
      <c r="FR46" s="9" t="n">
        <v>0</v>
      </c>
      <c r="FS46" s="9" t="n">
        <v>0</v>
      </c>
      <c r="FT46" s="9" t="n">
        <v>0</v>
      </c>
      <c r="FU46" s="9" t="n">
        <v>0</v>
      </c>
      <c r="FV46" s="9" t="n">
        <v>0</v>
      </c>
      <c r="FX46" s="9" t="n">
        <v>0</v>
      </c>
      <c r="FY46" s="9" t="n">
        <v>0</v>
      </c>
      <c r="FZ46" s="9" t="n">
        <v>0</v>
      </c>
      <c r="GA46" s="9" t="n">
        <v>0</v>
      </c>
      <c r="GB46" s="9" t="n">
        <v>0</v>
      </c>
      <c r="GC46" s="9" t="n">
        <v>0</v>
      </c>
      <c r="GD46" s="9" t="n">
        <v>0</v>
      </c>
      <c r="GE46" s="9" t="n">
        <v>0</v>
      </c>
      <c r="GF46" s="9" t="n">
        <v>0</v>
      </c>
      <c r="GG46" s="9" t="n">
        <v>0</v>
      </c>
      <c r="GH46" s="9" t="n">
        <v>0</v>
      </c>
      <c r="GI46" s="9" t="n">
        <v>0</v>
      </c>
      <c r="GJ46" s="9" t="n">
        <v>0</v>
      </c>
      <c r="GK46" s="9" t="n">
        <v>0</v>
      </c>
      <c r="GL46" s="9" t="n">
        <v>0</v>
      </c>
      <c r="GN46" s="9" t="n">
        <v>0.5</v>
      </c>
      <c r="GO46" s="9" t="n">
        <v>0.5</v>
      </c>
      <c r="GP46" s="9" t="n">
        <v>0</v>
      </c>
      <c r="GQ46" s="9" t="n">
        <v>0.5</v>
      </c>
      <c r="GR46" s="9" t="n">
        <v>0.5</v>
      </c>
      <c r="GS46" s="9" t="n">
        <v>0</v>
      </c>
      <c r="GT46" s="9" t="n">
        <v>0</v>
      </c>
      <c r="GU46" s="9" t="n">
        <v>0</v>
      </c>
      <c r="GV46" s="9" t="n">
        <v>0</v>
      </c>
      <c r="GW46" s="9" t="n">
        <v>0</v>
      </c>
      <c r="GX46" s="9" t="n">
        <v>0</v>
      </c>
      <c r="GY46" s="9" t="n">
        <v>0</v>
      </c>
      <c r="GZ46" s="9" t="n">
        <v>0</v>
      </c>
      <c r="HA46" s="9" t="n">
        <v>0</v>
      </c>
      <c r="HB46" s="9" t="n">
        <v>0</v>
      </c>
      <c r="HD46" s="9" t="n">
        <v>2</v>
      </c>
      <c r="HE46" s="9" t="n">
        <v>0</v>
      </c>
      <c r="HF46" s="9" t="n">
        <v>0</v>
      </c>
      <c r="HG46" s="9" t="n">
        <v>0</v>
      </c>
      <c r="HH46" s="9" t="n">
        <v>0</v>
      </c>
      <c r="HI46" s="9" t="n">
        <v>0</v>
      </c>
      <c r="HJ46" s="9" t="n">
        <v>0</v>
      </c>
      <c r="HK46" s="9" t="n">
        <v>0</v>
      </c>
      <c r="HL46" s="9" t="n">
        <v>0</v>
      </c>
      <c r="HM46" s="9" t="n">
        <v>0</v>
      </c>
      <c r="HN46" s="9" t="n">
        <v>0</v>
      </c>
      <c r="HO46" s="9" t="n">
        <v>0</v>
      </c>
      <c r="HP46" s="9" t="n">
        <v>0</v>
      </c>
      <c r="HQ46" s="9" t="n">
        <v>0</v>
      </c>
      <c r="HR46" s="9" t="n">
        <v>0</v>
      </c>
      <c r="HT46" s="9" t="n">
        <v>2</v>
      </c>
      <c r="HU46" s="9" t="n">
        <v>0</v>
      </c>
      <c r="HV46" s="9" t="n">
        <v>0</v>
      </c>
      <c r="HW46" s="9" t="n">
        <v>0</v>
      </c>
      <c r="HX46" s="9" t="n">
        <v>0</v>
      </c>
      <c r="HY46" s="9" t="n">
        <v>0</v>
      </c>
      <c r="HZ46" s="9" t="n">
        <v>0</v>
      </c>
      <c r="IA46" s="9" t="n">
        <v>0</v>
      </c>
      <c r="IB46" s="9" t="n">
        <v>0</v>
      </c>
      <c r="IC46" s="9" t="n">
        <v>0</v>
      </c>
      <c r="ID46" s="9" t="n">
        <v>0</v>
      </c>
      <c r="IE46" s="9" t="n">
        <v>0</v>
      </c>
      <c r="IF46" s="9" t="n">
        <v>0</v>
      </c>
      <c r="IG46" s="9" t="n">
        <v>0</v>
      </c>
      <c r="IH46" s="9" t="n">
        <v>0</v>
      </c>
      <c r="IJ46" s="9" t="n">
        <v>2</v>
      </c>
      <c r="IK46" s="9" t="n">
        <v>0</v>
      </c>
      <c r="IL46" s="9" t="n">
        <v>0</v>
      </c>
      <c r="IM46" s="9" t="n">
        <v>0</v>
      </c>
      <c r="IN46" s="9" t="n">
        <v>0</v>
      </c>
      <c r="IO46" s="9" t="n">
        <v>0</v>
      </c>
      <c r="IP46" s="9" t="n">
        <v>0</v>
      </c>
      <c r="IQ46" s="9" t="n">
        <v>0</v>
      </c>
      <c r="IR46" s="9" t="n">
        <v>0</v>
      </c>
      <c r="IS46" s="9" t="n">
        <v>0</v>
      </c>
      <c r="IT46" s="9" t="n">
        <v>0</v>
      </c>
      <c r="IU46" s="9" t="n">
        <v>0</v>
      </c>
      <c r="IV46" s="9" t="n">
        <v>0</v>
      </c>
      <c r="IW46" s="9" t="n">
        <v>0</v>
      </c>
      <c r="IX46" s="9" t="n">
        <v>0</v>
      </c>
    </row>
    <row r="47">
      <c r="EA47" s="9" t="inlineStr">
        <is>
          <t>SODIUM HUMATE 3.8% (HARUMI)</t>
        </is>
      </c>
      <c r="EB47" s="9" t="n">
        <v>0</v>
      </c>
      <c r="EC47" s="9" t="n">
        <v>0</v>
      </c>
      <c r="ED47" s="9" t="n">
        <v>0</v>
      </c>
      <c r="EE47" s="9" t="n">
        <v>0</v>
      </c>
      <c r="EF47" s="9" t="n">
        <v>0</v>
      </c>
      <c r="EG47" s="9" t="n">
        <v>0</v>
      </c>
      <c r="EH47" s="9" t="n">
        <v>0</v>
      </c>
      <c r="EI47" s="9" t="n">
        <v>0</v>
      </c>
      <c r="EJ47" s="9" t="n">
        <v>0</v>
      </c>
      <c r="EK47" s="9" t="n">
        <v>0</v>
      </c>
      <c r="EL47" s="9" t="n">
        <v>0</v>
      </c>
      <c r="EM47" s="9" t="n">
        <v>0</v>
      </c>
      <c r="EN47" s="9" t="n">
        <v>0</v>
      </c>
      <c r="EO47" s="9" t="n">
        <v>0</v>
      </c>
      <c r="EP47" s="9" t="n">
        <v>0</v>
      </c>
      <c r="ER47" s="9" t="n">
        <v>0</v>
      </c>
      <c r="ES47" s="9" t="n">
        <v>0</v>
      </c>
      <c r="ET47" s="9" t="n">
        <v>0</v>
      </c>
      <c r="EU47" s="9" t="n">
        <v>0</v>
      </c>
      <c r="EV47" s="9" t="n">
        <v>0</v>
      </c>
      <c r="EW47" s="9" t="n">
        <v>0</v>
      </c>
      <c r="EX47" s="9" t="n">
        <v>0</v>
      </c>
      <c r="EY47" s="9" t="n">
        <v>0</v>
      </c>
      <c r="EZ47" s="9" t="n">
        <v>0</v>
      </c>
      <c r="FA47" s="9" t="n">
        <v>0</v>
      </c>
      <c r="FB47" s="9" t="n">
        <v>0</v>
      </c>
      <c r="FC47" s="9" t="n">
        <v>0</v>
      </c>
      <c r="FD47" s="9" t="n">
        <v>0</v>
      </c>
      <c r="FE47" s="9" t="n">
        <v>0</v>
      </c>
      <c r="FF47" s="9" t="n">
        <v>0</v>
      </c>
      <c r="FH47" s="9" t="n">
        <v>0</v>
      </c>
      <c r="FI47" s="9" t="n">
        <v>0</v>
      </c>
      <c r="FJ47" s="9" t="n">
        <v>0</v>
      </c>
      <c r="FK47" s="9" t="n">
        <v>0</v>
      </c>
      <c r="FL47" s="9" t="n">
        <v>0</v>
      </c>
      <c r="FM47" s="9" t="n">
        <v>0</v>
      </c>
      <c r="FN47" s="9" t="n">
        <v>0</v>
      </c>
      <c r="FO47" s="9" t="n">
        <v>0</v>
      </c>
      <c r="FP47" s="9" t="n">
        <v>0</v>
      </c>
      <c r="FQ47" s="9" t="n">
        <v>0</v>
      </c>
      <c r="FR47" s="9" t="n">
        <v>0</v>
      </c>
      <c r="FS47" s="9" t="n">
        <v>0</v>
      </c>
      <c r="FT47" s="9" t="n">
        <v>0</v>
      </c>
      <c r="FU47" s="9" t="n">
        <v>0</v>
      </c>
      <c r="FV47" s="9" t="n">
        <v>0</v>
      </c>
      <c r="FX47" s="9" t="n">
        <v>0</v>
      </c>
      <c r="FY47" s="9" t="n">
        <v>0</v>
      </c>
      <c r="FZ47" s="9" t="n">
        <v>0</v>
      </c>
      <c r="GA47" s="9" t="n">
        <v>0</v>
      </c>
      <c r="GB47" s="9" t="n">
        <v>0</v>
      </c>
      <c r="GC47" s="9" t="n">
        <v>0</v>
      </c>
      <c r="GD47" s="9" t="n">
        <v>0</v>
      </c>
      <c r="GE47" s="9" t="n">
        <v>0</v>
      </c>
      <c r="GF47" s="9" t="n">
        <v>0</v>
      </c>
      <c r="GG47" s="9" t="n">
        <v>0</v>
      </c>
      <c r="GH47" s="9" t="n">
        <v>0</v>
      </c>
      <c r="GI47" s="9" t="n">
        <v>0</v>
      </c>
      <c r="GJ47" s="9" t="n">
        <v>0</v>
      </c>
      <c r="GK47" s="9" t="n">
        <v>0</v>
      </c>
      <c r="GL47" s="9" t="n">
        <v>0</v>
      </c>
      <c r="GN47" s="9" t="n">
        <v>3</v>
      </c>
      <c r="GO47" s="9" t="n">
        <v>3</v>
      </c>
      <c r="GP47" s="9" t="n">
        <v>0</v>
      </c>
      <c r="GQ47" s="9" t="n">
        <v>3</v>
      </c>
      <c r="GR47" s="9" t="n">
        <v>3</v>
      </c>
      <c r="GS47" s="9" t="n">
        <v>3</v>
      </c>
      <c r="GT47" s="9" t="n">
        <v>3</v>
      </c>
      <c r="GU47" s="9" t="n">
        <v>3</v>
      </c>
      <c r="GV47" s="9" t="n">
        <v>3</v>
      </c>
      <c r="GW47" s="9" t="n">
        <v>3</v>
      </c>
      <c r="GX47" s="9" t="n">
        <v>3</v>
      </c>
      <c r="GY47" s="9" t="n">
        <v>3</v>
      </c>
      <c r="GZ47" s="9" t="n">
        <v>3</v>
      </c>
      <c r="HA47" s="9" t="n">
        <v>3</v>
      </c>
      <c r="HB47" s="9" t="n">
        <v>3</v>
      </c>
      <c r="HD47" s="9" t="n">
        <v>3</v>
      </c>
      <c r="HE47" s="9" t="n">
        <v>3</v>
      </c>
      <c r="HF47" s="9" t="n">
        <v>3</v>
      </c>
      <c r="HG47" s="9" t="n">
        <v>0</v>
      </c>
      <c r="HH47" s="9" t="n">
        <v>0</v>
      </c>
      <c r="HI47" s="9" t="n">
        <v>0</v>
      </c>
      <c r="HJ47" s="9" t="n">
        <v>0</v>
      </c>
      <c r="HK47" s="9" t="n">
        <v>0</v>
      </c>
      <c r="HL47" s="9" t="n">
        <v>0</v>
      </c>
      <c r="HM47" s="9" t="n">
        <v>5</v>
      </c>
      <c r="HN47" s="9" t="n">
        <v>5</v>
      </c>
      <c r="HO47" s="9" t="n">
        <v>0</v>
      </c>
      <c r="HP47" s="9" t="n">
        <v>0</v>
      </c>
      <c r="HQ47" s="9" t="n">
        <v>0</v>
      </c>
      <c r="HR47" s="9" t="n">
        <v>0</v>
      </c>
      <c r="HT47" s="9" t="n">
        <v>3</v>
      </c>
      <c r="HU47" s="9" t="n">
        <v>3</v>
      </c>
      <c r="HV47" s="9" t="n">
        <v>3</v>
      </c>
      <c r="HW47" s="9" t="n">
        <v>0</v>
      </c>
      <c r="HX47" s="9" t="n">
        <v>0</v>
      </c>
      <c r="HY47" s="9" t="n">
        <v>0</v>
      </c>
      <c r="HZ47" s="9" t="n">
        <v>0</v>
      </c>
      <c r="IA47" s="9" t="n">
        <v>0</v>
      </c>
      <c r="IB47" s="9" t="n">
        <v>0</v>
      </c>
      <c r="IC47" s="9" t="n">
        <v>0</v>
      </c>
      <c r="ID47" s="9" t="n">
        <v>0</v>
      </c>
      <c r="IE47" s="9" t="n">
        <v>0</v>
      </c>
      <c r="IF47" s="9" t="n">
        <v>0</v>
      </c>
      <c r="IG47" s="9" t="n">
        <v>0</v>
      </c>
      <c r="IH47" s="9" t="n">
        <v>0</v>
      </c>
      <c r="IJ47" s="9" t="n">
        <v>3</v>
      </c>
      <c r="IK47" s="9" t="n">
        <v>3</v>
      </c>
      <c r="IL47" s="9" t="n">
        <v>3</v>
      </c>
      <c r="IM47" s="9" t="n">
        <v>3</v>
      </c>
      <c r="IN47" s="9" t="n">
        <v>0</v>
      </c>
      <c r="IO47" s="9" t="n">
        <v>0</v>
      </c>
      <c r="IP47" s="9" t="n">
        <v>0</v>
      </c>
      <c r="IQ47" s="9" t="n">
        <v>0</v>
      </c>
      <c r="IR47" s="9" t="n">
        <v>0</v>
      </c>
      <c r="IS47" s="9" t="n">
        <v>0</v>
      </c>
      <c r="IT47" s="9" t="n">
        <v>0</v>
      </c>
      <c r="IU47" s="9" t="n">
        <v>0</v>
      </c>
      <c r="IV47" s="9" t="n">
        <v>0</v>
      </c>
      <c r="IW47" s="9" t="n">
        <v>0</v>
      </c>
      <c r="IX47" s="9" t="n">
        <v>0</v>
      </c>
    </row>
    <row r="48">
      <c r="EA48" s="9" t="inlineStr">
        <is>
          <t>TOXIWALL</t>
        </is>
      </c>
      <c r="EB48" s="9" t="n">
        <v>0</v>
      </c>
      <c r="EC48" s="9" t="n">
        <v>0</v>
      </c>
      <c r="ED48" s="9" t="n">
        <v>0</v>
      </c>
      <c r="EE48" s="9" t="n">
        <v>0</v>
      </c>
      <c r="EF48" s="9" t="n">
        <v>0</v>
      </c>
      <c r="EG48" s="9" t="n">
        <v>0</v>
      </c>
      <c r="EH48" s="9" t="n">
        <v>0</v>
      </c>
      <c r="EI48" s="9" t="n">
        <v>0</v>
      </c>
      <c r="EJ48" s="9" t="n">
        <v>0</v>
      </c>
      <c r="EK48" s="9" t="n">
        <v>0</v>
      </c>
      <c r="EL48" s="9" t="n">
        <v>0</v>
      </c>
      <c r="EM48" s="9" t="n">
        <v>0</v>
      </c>
      <c r="EN48" s="9" t="n">
        <v>0</v>
      </c>
      <c r="EO48" s="9" t="n">
        <v>0</v>
      </c>
      <c r="EP48" s="9" t="n">
        <v>0</v>
      </c>
      <c r="ER48" s="9" t="n">
        <v>0</v>
      </c>
      <c r="ES48" s="9" t="n">
        <v>0</v>
      </c>
      <c r="ET48" s="9" t="n">
        <v>0</v>
      </c>
      <c r="EU48" s="9" t="n">
        <v>0</v>
      </c>
      <c r="EV48" s="9" t="n">
        <v>0</v>
      </c>
      <c r="EW48" s="9" t="n">
        <v>0</v>
      </c>
      <c r="EX48" s="9" t="n">
        <v>0</v>
      </c>
      <c r="EY48" s="9" t="n">
        <v>0</v>
      </c>
      <c r="EZ48" s="9" t="n">
        <v>0</v>
      </c>
      <c r="FA48" s="9" t="n">
        <v>0</v>
      </c>
      <c r="FB48" s="9" t="n">
        <v>0</v>
      </c>
      <c r="FC48" s="9" t="n">
        <v>0</v>
      </c>
      <c r="FD48" s="9" t="n">
        <v>0</v>
      </c>
      <c r="FE48" s="9" t="n">
        <v>0</v>
      </c>
      <c r="FF48" s="9" t="n">
        <v>0</v>
      </c>
      <c r="FH48" s="9" t="n">
        <v>0</v>
      </c>
      <c r="FI48" s="9" t="n">
        <v>0</v>
      </c>
      <c r="FJ48" s="9" t="n">
        <v>0</v>
      </c>
      <c r="FK48" s="9" t="n">
        <v>0</v>
      </c>
      <c r="FL48" s="9" t="n">
        <v>0</v>
      </c>
      <c r="FM48" s="9" t="n">
        <v>0</v>
      </c>
      <c r="FN48" s="9" t="n">
        <v>0</v>
      </c>
      <c r="FO48" s="9" t="n">
        <v>0</v>
      </c>
      <c r="FP48" s="9" t="n">
        <v>0</v>
      </c>
      <c r="FQ48" s="9" t="n">
        <v>0</v>
      </c>
      <c r="FR48" s="9" t="n">
        <v>0</v>
      </c>
      <c r="FS48" s="9" t="n">
        <v>0</v>
      </c>
      <c r="FT48" s="9" t="n">
        <v>0</v>
      </c>
      <c r="FU48" s="9" t="n">
        <v>0</v>
      </c>
      <c r="FV48" s="9" t="n">
        <v>0</v>
      </c>
      <c r="FX48" s="9" t="n">
        <v>0</v>
      </c>
      <c r="FY48" s="9" t="n">
        <v>0</v>
      </c>
      <c r="FZ48" s="9" t="n">
        <v>0</v>
      </c>
      <c r="GA48" s="9" t="n">
        <v>0</v>
      </c>
      <c r="GB48" s="9" t="n">
        <v>0</v>
      </c>
      <c r="GC48" s="9" t="n">
        <v>0</v>
      </c>
      <c r="GD48" s="9" t="n">
        <v>0</v>
      </c>
      <c r="GE48" s="9" t="n">
        <v>0</v>
      </c>
      <c r="GF48" s="9" t="n">
        <v>0</v>
      </c>
      <c r="GG48" s="9" t="n">
        <v>0</v>
      </c>
      <c r="GH48" s="9" t="n">
        <v>0</v>
      </c>
      <c r="GI48" s="9" t="n">
        <v>0</v>
      </c>
      <c r="GJ48" s="9" t="n">
        <v>0</v>
      </c>
      <c r="GK48" s="9" t="n">
        <v>0</v>
      </c>
      <c r="GL48" s="9" t="n">
        <v>0</v>
      </c>
      <c r="GN48" s="9" t="n">
        <v>0</v>
      </c>
      <c r="GO48" s="9" t="n">
        <v>0</v>
      </c>
      <c r="GP48" s="9" t="n">
        <v>0</v>
      </c>
      <c r="GQ48" s="9" t="n">
        <v>0</v>
      </c>
      <c r="GR48" s="9" t="n">
        <v>0</v>
      </c>
      <c r="GS48" s="9" t="n">
        <v>0</v>
      </c>
      <c r="GT48" s="9" t="n">
        <v>0</v>
      </c>
      <c r="GU48" s="9" t="n">
        <v>0</v>
      </c>
      <c r="GV48" s="9" t="n">
        <v>0</v>
      </c>
      <c r="GW48" s="9" t="n">
        <v>0</v>
      </c>
      <c r="GX48" s="9" t="n">
        <v>0</v>
      </c>
      <c r="GY48" s="9" t="n">
        <v>0</v>
      </c>
      <c r="GZ48" s="9" t="n">
        <v>0</v>
      </c>
      <c r="HA48" s="9" t="n">
        <v>0</v>
      </c>
      <c r="HB48" s="9" t="n">
        <v>0</v>
      </c>
      <c r="HD48" s="9" t="n">
        <v>0</v>
      </c>
      <c r="HE48" s="9" t="n">
        <v>1</v>
      </c>
      <c r="HF48" s="9" t="n">
        <v>1</v>
      </c>
      <c r="HG48" s="9" t="n">
        <v>0</v>
      </c>
      <c r="HH48" s="9" t="n">
        <v>0</v>
      </c>
      <c r="HI48" s="9" t="n">
        <v>0</v>
      </c>
      <c r="HJ48" s="9" t="n">
        <v>0</v>
      </c>
      <c r="HK48" s="9" t="n">
        <v>0</v>
      </c>
      <c r="HL48" s="9" t="n">
        <v>0</v>
      </c>
      <c r="HM48" s="9" t="n">
        <v>0</v>
      </c>
      <c r="HN48" s="9" t="n">
        <v>0</v>
      </c>
      <c r="HO48" s="9" t="n">
        <v>0</v>
      </c>
      <c r="HP48" s="9" t="n">
        <v>0</v>
      </c>
      <c r="HQ48" s="9" t="n">
        <v>0</v>
      </c>
      <c r="HR48" s="9" t="n">
        <v>0</v>
      </c>
      <c r="HT48" s="9" t="n">
        <v>0</v>
      </c>
      <c r="HU48" s="9" t="n">
        <v>1</v>
      </c>
      <c r="HV48" s="9" t="n">
        <v>1</v>
      </c>
      <c r="HW48" s="9" t="n">
        <v>0</v>
      </c>
      <c r="HX48" s="9" t="n">
        <v>0</v>
      </c>
      <c r="HY48" s="9" t="n">
        <v>0</v>
      </c>
      <c r="HZ48" s="9" t="n">
        <v>0</v>
      </c>
      <c r="IA48" s="9" t="n">
        <v>0</v>
      </c>
      <c r="IB48" s="9" t="n">
        <v>0</v>
      </c>
      <c r="IC48" s="9" t="n">
        <v>0</v>
      </c>
      <c r="ID48" s="9" t="n">
        <v>0</v>
      </c>
      <c r="IE48" s="9" t="n">
        <v>0</v>
      </c>
      <c r="IF48" s="9" t="n">
        <v>0</v>
      </c>
      <c r="IG48" s="9" t="n">
        <v>0</v>
      </c>
      <c r="IH48" s="9" t="n">
        <v>0</v>
      </c>
      <c r="IJ48" s="9" t="n">
        <v>0</v>
      </c>
      <c r="IK48" s="9" t="n">
        <v>0.5</v>
      </c>
      <c r="IL48" s="9" t="n">
        <v>1</v>
      </c>
      <c r="IM48" s="9" t="n">
        <v>1</v>
      </c>
      <c r="IN48" s="9" t="n">
        <v>0</v>
      </c>
      <c r="IO48" s="9" t="n">
        <v>0</v>
      </c>
      <c r="IP48" s="9" t="n">
        <v>0</v>
      </c>
      <c r="IQ48" s="9" t="n">
        <v>0</v>
      </c>
      <c r="IR48" s="9" t="n">
        <v>0</v>
      </c>
      <c r="IS48" s="9" t="n">
        <v>0</v>
      </c>
      <c r="IT48" s="9" t="n">
        <v>0</v>
      </c>
      <c r="IU48" s="9" t="n">
        <v>0</v>
      </c>
      <c r="IV48" s="9" t="n">
        <v>0</v>
      </c>
      <c r="IW48" s="9" t="n">
        <v>0</v>
      </c>
      <c r="IX48" s="9" t="n">
        <v>0</v>
      </c>
    </row>
    <row r="49">
      <c r="EA49" s="9" t="inlineStr">
        <is>
          <t>SODIUM BICARBONATE</t>
        </is>
      </c>
      <c r="EB49" s="9" t="n">
        <v>0</v>
      </c>
      <c r="EC49" s="9" t="n">
        <v>0</v>
      </c>
      <c r="ED49" s="9" t="n">
        <v>0</v>
      </c>
      <c r="EE49" s="9" t="n">
        <v>0</v>
      </c>
      <c r="EF49" s="9" t="n">
        <v>0</v>
      </c>
      <c r="EG49" s="9" t="n">
        <v>0</v>
      </c>
      <c r="EH49" s="9" t="n">
        <v>0</v>
      </c>
      <c r="EI49" s="9" t="n">
        <v>0</v>
      </c>
      <c r="EJ49" s="9" t="n">
        <v>0</v>
      </c>
      <c r="EK49" s="9" t="n">
        <v>0</v>
      </c>
      <c r="EL49" s="9" t="n">
        <v>0</v>
      </c>
      <c r="EM49" s="9" t="n">
        <v>0</v>
      </c>
      <c r="EN49" s="9" t="n">
        <v>0</v>
      </c>
      <c r="EO49" s="9" t="n">
        <v>0</v>
      </c>
      <c r="EP49" s="9" t="n">
        <v>0</v>
      </c>
      <c r="ER49" s="9" t="n">
        <v>0</v>
      </c>
      <c r="ES49" s="9" t="n">
        <v>0</v>
      </c>
      <c r="ET49" s="9" t="n">
        <v>0</v>
      </c>
      <c r="EU49" s="9" t="n">
        <v>0</v>
      </c>
      <c r="EV49" s="9" t="n">
        <v>0</v>
      </c>
      <c r="EW49" s="9" t="n">
        <v>0</v>
      </c>
      <c r="EX49" s="9" t="n">
        <v>0</v>
      </c>
      <c r="EY49" s="9" t="n">
        <v>0</v>
      </c>
      <c r="EZ49" s="9" t="n">
        <v>0</v>
      </c>
      <c r="FA49" s="9" t="n">
        <v>0</v>
      </c>
      <c r="FB49" s="9" t="n">
        <v>0</v>
      </c>
      <c r="FC49" s="9" t="n">
        <v>0</v>
      </c>
      <c r="FD49" s="9" t="n">
        <v>0</v>
      </c>
      <c r="FE49" s="9" t="n">
        <v>0</v>
      </c>
      <c r="FF49" s="9" t="n">
        <v>0</v>
      </c>
      <c r="FH49" s="9" t="n">
        <v>0</v>
      </c>
      <c r="FI49" s="9" t="n">
        <v>0</v>
      </c>
      <c r="FJ49" s="9" t="n">
        <v>0</v>
      </c>
      <c r="FK49" s="9" t="n">
        <v>0</v>
      </c>
      <c r="FL49" s="9" t="n">
        <v>0</v>
      </c>
      <c r="FM49" s="9" t="n">
        <v>0</v>
      </c>
      <c r="FN49" s="9" t="n">
        <v>0</v>
      </c>
      <c r="FO49" s="9" t="n">
        <v>0</v>
      </c>
      <c r="FP49" s="9" t="n">
        <v>0</v>
      </c>
      <c r="FQ49" s="9" t="n">
        <v>0</v>
      </c>
      <c r="FR49" s="9" t="n">
        <v>0</v>
      </c>
      <c r="FS49" s="9" t="n">
        <v>0</v>
      </c>
      <c r="FT49" s="9" t="n">
        <v>0</v>
      </c>
      <c r="FU49" s="9" t="n">
        <v>0</v>
      </c>
      <c r="FV49" s="9" t="n">
        <v>0</v>
      </c>
      <c r="FX49" s="9" t="n">
        <v>0</v>
      </c>
      <c r="FY49" s="9" t="n">
        <v>0</v>
      </c>
      <c r="FZ49" s="9" t="n">
        <v>0</v>
      </c>
      <c r="GA49" s="9" t="n">
        <v>0</v>
      </c>
      <c r="GB49" s="9" t="n">
        <v>0</v>
      </c>
      <c r="GC49" s="9" t="n">
        <v>0</v>
      </c>
      <c r="GD49" s="9" t="n">
        <v>0</v>
      </c>
      <c r="GE49" s="9" t="n">
        <v>0</v>
      </c>
      <c r="GF49" s="9" t="n">
        <v>0</v>
      </c>
      <c r="GG49" s="9" t="n">
        <v>0</v>
      </c>
      <c r="GH49" s="9" t="n">
        <v>0</v>
      </c>
      <c r="GI49" s="9" t="n">
        <v>0</v>
      </c>
      <c r="GJ49" s="9" t="n">
        <v>0</v>
      </c>
      <c r="GK49" s="9" t="n">
        <v>0</v>
      </c>
      <c r="GL49" s="9" t="n">
        <v>0</v>
      </c>
      <c r="GN49" s="9" t="n">
        <v>0</v>
      </c>
      <c r="GO49" s="9" t="n">
        <v>0</v>
      </c>
      <c r="GP49" s="9" t="n">
        <v>0</v>
      </c>
      <c r="GQ49" s="9" t="n">
        <v>0</v>
      </c>
      <c r="GR49" s="9" t="n">
        <v>0</v>
      </c>
      <c r="GS49" s="9" t="n">
        <v>0</v>
      </c>
      <c r="GT49" s="9" t="n">
        <v>0</v>
      </c>
      <c r="GU49" s="9" t="n">
        <v>0</v>
      </c>
      <c r="GV49" s="9" t="n">
        <v>0</v>
      </c>
      <c r="GW49" s="9" t="n">
        <v>0</v>
      </c>
      <c r="GX49" s="9" t="n">
        <v>0</v>
      </c>
      <c r="GY49" s="9" t="n">
        <v>0</v>
      </c>
      <c r="GZ49" s="9" t="n">
        <v>0</v>
      </c>
      <c r="HA49" s="9" t="n">
        <v>0</v>
      </c>
      <c r="HB49" s="9" t="n">
        <v>0</v>
      </c>
      <c r="HD49" s="9" t="n">
        <v>0.2</v>
      </c>
      <c r="HE49" s="9" t="n">
        <v>0.2</v>
      </c>
      <c r="HF49" s="9" t="n">
        <v>0.2</v>
      </c>
      <c r="HG49" s="9" t="n">
        <v>0</v>
      </c>
      <c r="HH49" s="9" t="n">
        <v>0</v>
      </c>
      <c r="HI49" s="9" t="n">
        <v>0</v>
      </c>
      <c r="HJ49" s="9" t="n">
        <v>0</v>
      </c>
      <c r="HK49" s="9" t="n">
        <v>0</v>
      </c>
      <c r="HL49" s="9" t="n">
        <v>0</v>
      </c>
      <c r="HM49" s="9" t="n">
        <v>0</v>
      </c>
      <c r="HN49" s="9" t="n">
        <v>0</v>
      </c>
      <c r="HO49" s="9" t="n">
        <v>0</v>
      </c>
      <c r="HP49" s="9" t="n">
        <v>0</v>
      </c>
      <c r="HQ49" s="9" t="n">
        <v>0</v>
      </c>
      <c r="HR49" s="9" t="n">
        <v>0</v>
      </c>
      <c r="HT49" s="9" t="n">
        <v>1.2</v>
      </c>
      <c r="HU49" s="9" t="n">
        <v>1.2</v>
      </c>
      <c r="HV49" s="9" t="n">
        <v>1.2</v>
      </c>
      <c r="HW49" s="9" t="n">
        <v>0</v>
      </c>
      <c r="HX49" s="9" t="n">
        <v>0</v>
      </c>
      <c r="HY49" s="9" t="n">
        <v>0</v>
      </c>
      <c r="HZ49" s="9" t="n">
        <v>0</v>
      </c>
      <c r="IA49" s="9" t="n">
        <v>0</v>
      </c>
      <c r="IB49" s="9" t="n">
        <v>0</v>
      </c>
      <c r="IC49" s="9" t="n">
        <v>0</v>
      </c>
      <c r="ID49" s="9" t="n">
        <v>0</v>
      </c>
      <c r="IE49" s="9" t="n">
        <v>0</v>
      </c>
      <c r="IF49" s="9" t="n">
        <v>0</v>
      </c>
      <c r="IG49" s="9" t="n">
        <v>0</v>
      </c>
      <c r="IH49" s="9" t="n">
        <v>0</v>
      </c>
      <c r="IJ49" s="9" t="n">
        <v>1.2</v>
      </c>
      <c r="IK49" s="9" t="n">
        <v>1.15</v>
      </c>
      <c r="IL49" s="9" t="n">
        <v>1.2</v>
      </c>
      <c r="IM49" s="9" t="n">
        <v>1.2</v>
      </c>
      <c r="IN49" s="9" t="n">
        <v>0</v>
      </c>
      <c r="IO49" s="9" t="n">
        <v>0</v>
      </c>
      <c r="IP49" s="9" t="n">
        <v>0</v>
      </c>
      <c r="IQ49" s="9" t="n">
        <v>0</v>
      </c>
      <c r="IR49" s="9" t="n">
        <v>0</v>
      </c>
      <c r="IS49" s="9" t="n">
        <v>0</v>
      </c>
      <c r="IT49" s="9" t="n">
        <v>0</v>
      </c>
      <c r="IU49" s="9" t="n">
        <v>0</v>
      </c>
      <c r="IV49" s="9" t="n">
        <v>0</v>
      </c>
      <c r="IW49" s="9" t="n">
        <v>0</v>
      </c>
      <c r="IX49" s="9" t="n">
        <v>0</v>
      </c>
    </row>
    <row r="50">
      <c r="EA50" s="9" t="inlineStr">
        <is>
          <t>BMD 10%</t>
        </is>
      </c>
      <c r="EB50" s="9" t="n">
        <v>0</v>
      </c>
      <c r="EC50" s="9" t="n">
        <v>0</v>
      </c>
      <c r="ED50" s="9" t="n">
        <v>0</v>
      </c>
      <c r="EE50" s="9" t="n">
        <v>0</v>
      </c>
      <c r="EF50" s="9" t="n">
        <v>0</v>
      </c>
      <c r="EG50" s="9" t="n">
        <v>0</v>
      </c>
      <c r="EH50" s="9" t="n">
        <v>0</v>
      </c>
      <c r="EI50" s="9" t="n">
        <v>0</v>
      </c>
      <c r="EJ50" s="9" t="n">
        <v>0</v>
      </c>
      <c r="EK50" s="9" t="n">
        <v>0</v>
      </c>
      <c r="EL50" s="9" t="n">
        <v>0</v>
      </c>
      <c r="EM50" s="9" t="n">
        <v>0</v>
      </c>
      <c r="EN50" s="9" t="n">
        <v>0</v>
      </c>
      <c r="EO50" s="9" t="n">
        <v>0</v>
      </c>
      <c r="EP50" s="9" t="n">
        <v>0</v>
      </c>
      <c r="ER50" s="9" t="n">
        <v>0</v>
      </c>
      <c r="ES50" s="9" t="n">
        <v>0</v>
      </c>
      <c r="ET50" s="9" t="n">
        <v>0</v>
      </c>
      <c r="EU50" s="9" t="n">
        <v>0</v>
      </c>
      <c r="EV50" s="9" t="n">
        <v>0</v>
      </c>
      <c r="EW50" s="9" t="n">
        <v>0</v>
      </c>
      <c r="EX50" s="9" t="n">
        <v>0</v>
      </c>
      <c r="EY50" s="9" t="n">
        <v>0</v>
      </c>
      <c r="EZ50" s="9" t="n">
        <v>0</v>
      </c>
      <c r="FA50" s="9" t="n">
        <v>0</v>
      </c>
      <c r="FB50" s="9" t="n">
        <v>0</v>
      </c>
      <c r="FC50" s="9" t="n">
        <v>0</v>
      </c>
      <c r="FD50" s="9" t="n">
        <v>0</v>
      </c>
      <c r="FE50" s="9" t="n">
        <v>0</v>
      </c>
      <c r="FF50" s="9" t="n">
        <v>0</v>
      </c>
      <c r="FH50" s="9" t="n">
        <v>0</v>
      </c>
      <c r="FI50" s="9" t="n">
        <v>0</v>
      </c>
      <c r="FJ50" s="9" t="n">
        <v>0</v>
      </c>
      <c r="FK50" s="9" t="n">
        <v>0</v>
      </c>
      <c r="FL50" s="9" t="n">
        <v>0</v>
      </c>
      <c r="FM50" s="9" t="n">
        <v>0</v>
      </c>
      <c r="FN50" s="9" t="n">
        <v>0</v>
      </c>
      <c r="FO50" s="9" t="n">
        <v>0</v>
      </c>
      <c r="FP50" s="9" t="n">
        <v>0</v>
      </c>
      <c r="FQ50" s="9" t="n">
        <v>0</v>
      </c>
      <c r="FR50" s="9" t="n">
        <v>0</v>
      </c>
      <c r="FS50" s="9" t="n">
        <v>0</v>
      </c>
      <c r="FT50" s="9" t="n">
        <v>0</v>
      </c>
      <c r="FU50" s="9" t="n">
        <v>0</v>
      </c>
      <c r="FV50" s="9" t="n">
        <v>0</v>
      </c>
      <c r="FX50" s="9" t="n">
        <v>0</v>
      </c>
      <c r="FY50" s="9" t="n">
        <v>0</v>
      </c>
      <c r="FZ50" s="9" t="n">
        <v>0</v>
      </c>
      <c r="GA50" s="9" t="n">
        <v>0</v>
      </c>
      <c r="GB50" s="9" t="n">
        <v>0</v>
      </c>
      <c r="GC50" s="9" t="n">
        <v>0</v>
      </c>
      <c r="GD50" s="9" t="n">
        <v>0</v>
      </c>
      <c r="GE50" s="9" t="n">
        <v>0</v>
      </c>
      <c r="GF50" s="9" t="n">
        <v>0</v>
      </c>
      <c r="GG50" s="9" t="n">
        <v>0</v>
      </c>
      <c r="GH50" s="9" t="n">
        <v>0</v>
      </c>
      <c r="GI50" s="9" t="n">
        <v>0</v>
      </c>
      <c r="GJ50" s="9" t="n">
        <v>0</v>
      </c>
      <c r="GK50" s="9" t="n">
        <v>0</v>
      </c>
      <c r="GL50" s="9" t="n">
        <v>0</v>
      </c>
      <c r="GN50" s="9" t="n">
        <v>0</v>
      </c>
      <c r="GO50" s="9" t="n">
        <v>0</v>
      </c>
      <c r="GP50" s="9" t="n">
        <v>0</v>
      </c>
      <c r="GQ50" s="9" t="n">
        <v>0</v>
      </c>
      <c r="GR50" s="9" t="n">
        <v>1</v>
      </c>
      <c r="GS50" s="9" t="n">
        <v>0</v>
      </c>
      <c r="GT50" s="9" t="n">
        <v>0</v>
      </c>
      <c r="GU50" s="9" t="n">
        <v>0</v>
      </c>
      <c r="GV50" s="9" t="n">
        <v>0</v>
      </c>
      <c r="GW50" s="9" t="n">
        <v>0</v>
      </c>
      <c r="GX50" s="9" t="n">
        <v>0</v>
      </c>
      <c r="GY50" s="9" t="n">
        <v>0</v>
      </c>
      <c r="GZ50" s="9" t="n">
        <v>0</v>
      </c>
      <c r="HA50" s="9" t="n">
        <v>0</v>
      </c>
      <c r="HB50" s="9" t="n">
        <v>1</v>
      </c>
      <c r="HD50" s="9" t="n">
        <v>0</v>
      </c>
      <c r="HE50" s="9" t="n">
        <v>0</v>
      </c>
      <c r="HF50" s="9" t="n">
        <v>0</v>
      </c>
      <c r="HG50" s="9" t="n">
        <v>0</v>
      </c>
      <c r="HH50" s="9" t="n">
        <v>0</v>
      </c>
      <c r="HI50" s="9" t="n">
        <v>0</v>
      </c>
      <c r="HJ50" s="9" t="n">
        <v>0</v>
      </c>
      <c r="HK50" s="9" t="n">
        <v>0</v>
      </c>
      <c r="HL50" s="9" t="n">
        <v>0</v>
      </c>
      <c r="HM50" s="9" t="n">
        <v>0</v>
      </c>
      <c r="HN50" s="9" t="n">
        <v>0</v>
      </c>
      <c r="HO50" s="9" t="n">
        <v>0</v>
      </c>
      <c r="HP50" s="9" t="n">
        <v>0</v>
      </c>
      <c r="HQ50" s="9" t="n">
        <v>0</v>
      </c>
      <c r="HR50" s="9" t="n">
        <v>0</v>
      </c>
      <c r="HT50" s="9" t="n">
        <v>0</v>
      </c>
      <c r="HU50" s="9" t="n">
        <v>0</v>
      </c>
      <c r="HV50" s="9" t="n">
        <v>0</v>
      </c>
      <c r="HW50" s="9" t="n">
        <v>0</v>
      </c>
      <c r="HX50" s="9" t="n">
        <v>0</v>
      </c>
      <c r="HY50" s="9" t="n">
        <v>0</v>
      </c>
      <c r="HZ50" s="9" t="n">
        <v>0</v>
      </c>
      <c r="IA50" s="9" t="n">
        <v>0</v>
      </c>
      <c r="IB50" s="9" t="n">
        <v>0</v>
      </c>
      <c r="IC50" s="9" t="n">
        <v>0</v>
      </c>
      <c r="ID50" s="9" t="n">
        <v>0</v>
      </c>
      <c r="IE50" s="9" t="n">
        <v>0</v>
      </c>
      <c r="IF50" s="9" t="n">
        <v>0</v>
      </c>
      <c r="IG50" s="9" t="n">
        <v>0</v>
      </c>
      <c r="IH50" s="9" t="n">
        <v>0</v>
      </c>
      <c r="IJ50" s="9" t="n">
        <v>0</v>
      </c>
      <c r="IK50" s="9" t="n">
        <v>0</v>
      </c>
      <c r="IL50" s="9" t="n">
        <v>0</v>
      </c>
      <c r="IM50" s="9" t="n">
        <v>0</v>
      </c>
      <c r="IN50" s="9" t="n">
        <v>0</v>
      </c>
      <c r="IO50" s="9" t="n">
        <v>0</v>
      </c>
      <c r="IP50" s="9" t="n">
        <v>0</v>
      </c>
      <c r="IQ50" s="9" t="n">
        <v>0</v>
      </c>
      <c r="IR50" s="9" t="n">
        <v>0</v>
      </c>
      <c r="IS50" s="9" t="n">
        <v>0</v>
      </c>
      <c r="IT50" s="9" t="n">
        <v>0</v>
      </c>
      <c r="IU50" s="9" t="n">
        <v>0</v>
      </c>
      <c r="IV50" s="9" t="n">
        <v>0</v>
      </c>
      <c r="IW50" s="9" t="n">
        <v>0</v>
      </c>
      <c r="IX50" s="9" t="n">
        <v>0</v>
      </c>
    </row>
    <row r="51">
      <c r="EA51" s="9" t="inlineStr">
        <is>
          <t>SALT (HARUMI)</t>
        </is>
      </c>
      <c r="EB51" s="9" t="n">
        <v>0</v>
      </c>
      <c r="EC51" s="9" t="n">
        <v>0</v>
      </c>
      <c r="ED51" s="9" t="n">
        <v>0</v>
      </c>
      <c r="EE51" s="9" t="n">
        <v>0</v>
      </c>
      <c r="EF51" s="9" t="n">
        <v>0</v>
      </c>
      <c r="EG51" s="9" t="n">
        <v>0</v>
      </c>
      <c r="EH51" s="9" t="n">
        <v>0</v>
      </c>
      <c r="EI51" s="9" t="n">
        <v>0</v>
      </c>
      <c r="EJ51" s="9" t="n">
        <v>0</v>
      </c>
      <c r="EK51" s="9" t="n">
        <v>0</v>
      </c>
      <c r="EL51" s="9" t="n">
        <v>0</v>
      </c>
      <c r="EM51" s="9" t="n">
        <v>0</v>
      </c>
      <c r="EN51" s="9" t="n">
        <v>0</v>
      </c>
      <c r="EO51" s="9" t="n">
        <v>0</v>
      </c>
      <c r="EP51" s="9" t="n">
        <v>0</v>
      </c>
      <c r="ER51" s="9" t="n">
        <v>0</v>
      </c>
      <c r="ES51" s="9" t="n">
        <v>0</v>
      </c>
      <c r="ET51" s="9" t="n">
        <v>0</v>
      </c>
      <c r="EU51" s="9" t="n">
        <v>0</v>
      </c>
      <c r="EV51" s="9" t="n">
        <v>0</v>
      </c>
      <c r="EW51" s="9" t="n">
        <v>0</v>
      </c>
      <c r="EX51" s="9" t="n">
        <v>0</v>
      </c>
      <c r="EY51" s="9" t="n">
        <v>0</v>
      </c>
      <c r="EZ51" s="9" t="n">
        <v>0</v>
      </c>
      <c r="FA51" s="9" t="n">
        <v>0</v>
      </c>
      <c r="FB51" s="9" t="n">
        <v>0</v>
      </c>
      <c r="FC51" s="9" t="n">
        <v>0</v>
      </c>
      <c r="FD51" s="9" t="n">
        <v>0</v>
      </c>
      <c r="FE51" s="9" t="n">
        <v>0</v>
      </c>
      <c r="FF51" s="9" t="n">
        <v>0</v>
      </c>
      <c r="FH51" s="9" t="n">
        <v>0</v>
      </c>
      <c r="FI51" s="9" t="n">
        <v>0</v>
      </c>
      <c r="FJ51" s="9" t="n">
        <v>0</v>
      </c>
      <c r="FK51" s="9" t="n">
        <v>0</v>
      </c>
      <c r="FL51" s="9" t="n">
        <v>0</v>
      </c>
      <c r="FM51" s="9" t="n">
        <v>0</v>
      </c>
      <c r="FN51" s="9" t="n">
        <v>0</v>
      </c>
      <c r="FO51" s="9" t="n">
        <v>0</v>
      </c>
      <c r="FP51" s="9" t="n">
        <v>0</v>
      </c>
      <c r="FQ51" s="9" t="n">
        <v>0</v>
      </c>
      <c r="FR51" s="9" t="n">
        <v>0</v>
      </c>
      <c r="FS51" s="9" t="n">
        <v>0</v>
      </c>
      <c r="FT51" s="9" t="n">
        <v>0</v>
      </c>
      <c r="FU51" s="9" t="n">
        <v>0</v>
      </c>
      <c r="FV51" s="9" t="n">
        <v>0</v>
      </c>
      <c r="FX51" s="9" t="n">
        <v>0</v>
      </c>
      <c r="FY51" s="9" t="n">
        <v>0</v>
      </c>
      <c r="FZ51" s="9" t="n">
        <v>0</v>
      </c>
      <c r="GA51" s="9" t="n">
        <v>0</v>
      </c>
      <c r="GB51" s="9" t="n">
        <v>0</v>
      </c>
      <c r="GC51" s="9" t="n">
        <v>0</v>
      </c>
      <c r="GD51" s="9" t="n">
        <v>0</v>
      </c>
      <c r="GE51" s="9" t="n">
        <v>0</v>
      </c>
      <c r="GF51" s="9" t="n">
        <v>0</v>
      </c>
      <c r="GG51" s="9" t="n">
        <v>0</v>
      </c>
      <c r="GH51" s="9" t="n">
        <v>0</v>
      </c>
      <c r="GI51" s="9" t="n">
        <v>0</v>
      </c>
      <c r="GJ51" s="9" t="n">
        <v>0</v>
      </c>
      <c r="GK51" s="9" t="n">
        <v>0</v>
      </c>
      <c r="GL51" s="9" t="n">
        <v>0</v>
      </c>
      <c r="GN51" s="9" t="n">
        <v>0</v>
      </c>
      <c r="GO51" s="9" t="n">
        <v>0</v>
      </c>
      <c r="GP51" s="9" t="n">
        <v>0</v>
      </c>
      <c r="GQ51" s="9" t="n">
        <v>0</v>
      </c>
      <c r="GR51" s="9" t="n">
        <v>0</v>
      </c>
      <c r="GS51" s="9" t="n">
        <v>0</v>
      </c>
      <c r="GT51" s="9" t="n">
        <v>0</v>
      </c>
      <c r="GU51" s="9" t="n">
        <v>0</v>
      </c>
      <c r="GV51" s="9" t="n">
        <v>0</v>
      </c>
      <c r="GW51" s="9" t="n">
        <v>0</v>
      </c>
      <c r="GX51" s="9" t="n">
        <v>0</v>
      </c>
      <c r="GY51" s="9" t="n">
        <v>0</v>
      </c>
      <c r="GZ51" s="9" t="n">
        <v>0</v>
      </c>
      <c r="HA51" s="9" t="n">
        <v>0</v>
      </c>
      <c r="HB51" s="9" t="n">
        <v>0</v>
      </c>
      <c r="HD51" s="9" t="n">
        <v>2.75</v>
      </c>
      <c r="HE51" s="9" t="n">
        <v>2.75</v>
      </c>
      <c r="HF51" s="9" t="n">
        <v>2.734999999999999</v>
      </c>
      <c r="HG51" s="9" t="n">
        <v>0</v>
      </c>
      <c r="HH51" s="9" t="n">
        <v>0</v>
      </c>
      <c r="HI51" s="9" t="n">
        <v>0</v>
      </c>
      <c r="HJ51" s="9" t="n">
        <v>0</v>
      </c>
      <c r="HK51" s="9" t="n">
        <v>0</v>
      </c>
      <c r="HL51" s="9" t="n">
        <v>0</v>
      </c>
      <c r="HM51" s="9" t="n">
        <v>2</v>
      </c>
      <c r="HN51" s="9" t="n">
        <v>0</v>
      </c>
      <c r="HO51" s="9" t="n">
        <v>0</v>
      </c>
      <c r="HP51" s="9" t="n">
        <v>0</v>
      </c>
      <c r="HQ51" s="9" t="n">
        <v>0</v>
      </c>
      <c r="HR51" s="9" t="n">
        <v>0</v>
      </c>
      <c r="HT51" s="9" t="n">
        <v>2.799999999999999</v>
      </c>
      <c r="HU51" s="9" t="n">
        <v>2.799999999999999</v>
      </c>
      <c r="HV51" s="9" t="n">
        <v>2.799999999999999</v>
      </c>
      <c r="HW51" s="9" t="n">
        <v>0</v>
      </c>
      <c r="HX51" s="9" t="n">
        <v>0</v>
      </c>
      <c r="HY51" s="9" t="n">
        <v>0</v>
      </c>
      <c r="HZ51" s="9" t="n">
        <v>0</v>
      </c>
      <c r="IA51" s="9" t="n">
        <v>0</v>
      </c>
      <c r="IB51" s="9" t="n">
        <v>0</v>
      </c>
      <c r="IC51" s="9" t="n">
        <v>0</v>
      </c>
      <c r="ID51" s="9" t="n">
        <v>0</v>
      </c>
      <c r="IE51" s="9" t="n">
        <v>0</v>
      </c>
      <c r="IF51" s="9" t="n">
        <v>0</v>
      </c>
      <c r="IG51" s="9" t="n">
        <v>0</v>
      </c>
      <c r="IH51" s="9" t="n">
        <v>0</v>
      </c>
      <c r="IJ51" s="9" t="n">
        <v>2.799999999999999</v>
      </c>
      <c r="IK51" s="9" t="n">
        <v>2.75</v>
      </c>
      <c r="IL51" s="9" t="n">
        <v>2.799999999999999</v>
      </c>
      <c r="IM51" s="9" t="n">
        <v>2.799999999999999</v>
      </c>
      <c r="IN51" s="9" t="n">
        <v>0</v>
      </c>
      <c r="IO51" s="9" t="n">
        <v>0</v>
      </c>
      <c r="IP51" s="9" t="n">
        <v>0</v>
      </c>
      <c r="IQ51" s="9" t="n">
        <v>0</v>
      </c>
      <c r="IR51" s="9" t="n">
        <v>0</v>
      </c>
      <c r="IS51" s="9" t="n">
        <v>0</v>
      </c>
      <c r="IT51" s="9" t="n">
        <v>0</v>
      </c>
      <c r="IU51" s="9" t="n">
        <v>0</v>
      </c>
      <c r="IV51" s="9" t="n">
        <v>0</v>
      </c>
      <c r="IW51" s="9" t="n">
        <v>0</v>
      </c>
      <c r="IX51" s="9" t="n">
        <v>0</v>
      </c>
    </row>
    <row r="52">
      <c r="EA52" s="9" t="inlineStr">
        <is>
          <t>VISTABET 91</t>
        </is>
      </c>
      <c r="EB52" s="9" t="n">
        <v>0</v>
      </c>
      <c r="EC52" s="9" t="n">
        <v>0</v>
      </c>
      <c r="ED52" s="9" t="n">
        <v>0</v>
      </c>
      <c r="EE52" s="9" t="n">
        <v>0</v>
      </c>
      <c r="EF52" s="9" t="n">
        <v>0</v>
      </c>
      <c r="EG52" s="9" t="n">
        <v>0</v>
      </c>
      <c r="EH52" s="9" t="n">
        <v>0</v>
      </c>
      <c r="EI52" s="9" t="n">
        <v>0</v>
      </c>
      <c r="EJ52" s="9" t="n">
        <v>0</v>
      </c>
      <c r="EK52" s="9" t="n">
        <v>0</v>
      </c>
      <c r="EL52" s="9" t="n">
        <v>0</v>
      </c>
      <c r="EM52" s="9" t="n">
        <v>0</v>
      </c>
      <c r="EN52" s="9" t="n">
        <v>0</v>
      </c>
      <c r="EO52" s="9" t="n">
        <v>0</v>
      </c>
      <c r="EP52" s="9" t="n">
        <v>0</v>
      </c>
      <c r="ER52" s="9" t="n">
        <v>0</v>
      </c>
      <c r="ES52" s="9" t="n">
        <v>0</v>
      </c>
      <c r="ET52" s="9" t="n">
        <v>0</v>
      </c>
      <c r="EU52" s="9" t="n">
        <v>0</v>
      </c>
      <c r="EV52" s="9" t="n">
        <v>0</v>
      </c>
      <c r="EW52" s="9" t="n">
        <v>0</v>
      </c>
      <c r="EX52" s="9" t="n">
        <v>0</v>
      </c>
      <c r="EY52" s="9" t="n">
        <v>0</v>
      </c>
      <c r="EZ52" s="9" t="n">
        <v>0</v>
      </c>
      <c r="FA52" s="9" t="n">
        <v>0</v>
      </c>
      <c r="FB52" s="9" t="n">
        <v>0</v>
      </c>
      <c r="FC52" s="9" t="n">
        <v>0</v>
      </c>
      <c r="FD52" s="9" t="n">
        <v>0</v>
      </c>
      <c r="FE52" s="9" t="n">
        <v>0</v>
      </c>
      <c r="FF52" s="9" t="n">
        <v>0</v>
      </c>
      <c r="FH52" s="9" t="n">
        <v>0</v>
      </c>
      <c r="FI52" s="9" t="n">
        <v>0</v>
      </c>
      <c r="FJ52" s="9" t="n">
        <v>0</v>
      </c>
      <c r="FK52" s="9" t="n">
        <v>0</v>
      </c>
      <c r="FL52" s="9" t="n">
        <v>0</v>
      </c>
      <c r="FM52" s="9" t="n">
        <v>0</v>
      </c>
      <c r="FN52" s="9" t="n">
        <v>0</v>
      </c>
      <c r="FO52" s="9" t="n">
        <v>0</v>
      </c>
      <c r="FP52" s="9" t="n">
        <v>0</v>
      </c>
      <c r="FQ52" s="9" t="n">
        <v>0</v>
      </c>
      <c r="FR52" s="9" t="n">
        <v>0</v>
      </c>
      <c r="FS52" s="9" t="n">
        <v>0</v>
      </c>
      <c r="FT52" s="9" t="n">
        <v>0</v>
      </c>
      <c r="FU52" s="9" t="n">
        <v>0</v>
      </c>
      <c r="FV52" s="9" t="n">
        <v>0</v>
      </c>
      <c r="FX52" s="9" t="n">
        <v>0</v>
      </c>
      <c r="FY52" s="9" t="n">
        <v>0</v>
      </c>
      <c r="FZ52" s="9" t="n">
        <v>0</v>
      </c>
      <c r="GA52" s="9" t="n">
        <v>0</v>
      </c>
      <c r="GB52" s="9" t="n">
        <v>0</v>
      </c>
      <c r="GC52" s="9" t="n">
        <v>0</v>
      </c>
      <c r="GD52" s="9" t="n">
        <v>0</v>
      </c>
      <c r="GE52" s="9" t="n">
        <v>0</v>
      </c>
      <c r="GF52" s="9" t="n">
        <v>0</v>
      </c>
      <c r="GG52" s="9" t="n">
        <v>0</v>
      </c>
      <c r="GH52" s="9" t="n">
        <v>0</v>
      </c>
      <c r="GI52" s="9" t="n">
        <v>0</v>
      </c>
      <c r="GJ52" s="9" t="n">
        <v>0</v>
      </c>
      <c r="GK52" s="9" t="n">
        <v>0</v>
      </c>
      <c r="GL52" s="9" t="n">
        <v>0</v>
      </c>
      <c r="GN52" s="9" t="n">
        <v>0</v>
      </c>
      <c r="GO52" s="9" t="n">
        <v>0</v>
      </c>
      <c r="GP52" s="9" t="n">
        <v>0</v>
      </c>
      <c r="GQ52" s="9" t="n">
        <v>0</v>
      </c>
      <c r="GR52" s="9" t="n">
        <v>0</v>
      </c>
      <c r="GS52" s="9" t="n">
        <v>0</v>
      </c>
      <c r="GT52" s="9" t="n">
        <v>0</v>
      </c>
      <c r="GU52" s="9" t="n">
        <v>0</v>
      </c>
      <c r="GV52" s="9" t="n">
        <v>0</v>
      </c>
      <c r="GW52" s="9" t="n">
        <v>0</v>
      </c>
      <c r="GX52" s="9" t="n">
        <v>0</v>
      </c>
      <c r="GY52" s="9" t="n">
        <v>0</v>
      </c>
      <c r="GZ52" s="9" t="n">
        <v>0</v>
      </c>
      <c r="HA52" s="9" t="n">
        <v>1</v>
      </c>
      <c r="HB52" s="9" t="n">
        <v>1</v>
      </c>
      <c r="HD52" s="9" t="n">
        <v>0</v>
      </c>
      <c r="HE52" s="9" t="n">
        <v>0</v>
      </c>
      <c r="HF52" s="9" t="n">
        <v>0</v>
      </c>
      <c r="HG52" s="9" t="n">
        <v>0</v>
      </c>
      <c r="HH52" s="9" t="n">
        <v>0</v>
      </c>
      <c r="HI52" s="9" t="n">
        <v>0</v>
      </c>
      <c r="HJ52" s="9" t="n">
        <v>0</v>
      </c>
      <c r="HK52" s="9" t="n">
        <v>0</v>
      </c>
      <c r="HL52" s="9" t="n">
        <v>0</v>
      </c>
      <c r="HM52" s="9" t="n">
        <v>0</v>
      </c>
      <c r="HN52" s="9" t="n">
        <v>0</v>
      </c>
      <c r="HO52" s="9" t="n">
        <v>0</v>
      </c>
      <c r="HP52" s="9" t="n">
        <v>0</v>
      </c>
      <c r="HQ52" s="9" t="n">
        <v>0</v>
      </c>
      <c r="HR52" s="9" t="n">
        <v>0</v>
      </c>
      <c r="HT52" s="9" t="n">
        <v>0</v>
      </c>
      <c r="HU52" s="9" t="n">
        <v>0</v>
      </c>
      <c r="HV52" s="9" t="n">
        <v>0</v>
      </c>
      <c r="HW52" s="9" t="n">
        <v>0</v>
      </c>
      <c r="HX52" s="9" t="n">
        <v>0</v>
      </c>
      <c r="HY52" s="9" t="n">
        <v>0</v>
      </c>
      <c r="HZ52" s="9" t="n">
        <v>0</v>
      </c>
      <c r="IA52" s="9" t="n">
        <v>0</v>
      </c>
      <c r="IB52" s="9" t="n">
        <v>0</v>
      </c>
      <c r="IC52" s="9" t="n">
        <v>0</v>
      </c>
      <c r="ID52" s="9" t="n">
        <v>0</v>
      </c>
      <c r="IE52" s="9" t="n">
        <v>0</v>
      </c>
      <c r="IF52" s="9" t="n">
        <v>0</v>
      </c>
      <c r="IG52" s="9" t="n">
        <v>0</v>
      </c>
      <c r="IH52" s="9" t="n">
        <v>0</v>
      </c>
      <c r="IJ52" s="9" t="n">
        <v>0</v>
      </c>
      <c r="IK52" s="9" t="n">
        <v>0</v>
      </c>
      <c r="IL52" s="9" t="n">
        <v>0</v>
      </c>
      <c r="IM52" s="9" t="n">
        <v>0</v>
      </c>
      <c r="IN52" s="9" t="n">
        <v>0</v>
      </c>
      <c r="IO52" s="9" t="n">
        <v>0</v>
      </c>
      <c r="IP52" s="9" t="n">
        <v>0</v>
      </c>
      <c r="IQ52" s="9" t="n">
        <v>0</v>
      </c>
      <c r="IR52" s="9" t="n">
        <v>0</v>
      </c>
      <c r="IS52" s="9" t="n">
        <v>0</v>
      </c>
      <c r="IT52" s="9" t="n">
        <v>0</v>
      </c>
      <c r="IU52" s="9" t="n">
        <v>0</v>
      </c>
      <c r="IV52" s="9" t="n">
        <v>0</v>
      </c>
      <c r="IW52" s="9" t="n">
        <v>0</v>
      </c>
      <c r="IX52" s="9" t="n">
        <v>0</v>
      </c>
    </row>
    <row r="53">
      <c r="B53" s="9" t="inlineStr">
        <is>
          <t>WS 1101 (251124)</t>
        </is>
      </c>
      <c r="C53" s="9" t="inlineStr">
        <is>
          <t>WS 1101 (220526)</t>
        </is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R53" s="9" t="inlineStr">
        <is>
          <t>WS 1102 (290825)</t>
        </is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H53" s="9" t="inlineStr">
        <is>
          <t>WS 1103 (290825)</t>
        </is>
      </c>
      <c r="AI53" s="9" t="inlineStr">
        <is>
          <t>WS 1103 (220526)</t>
        </is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s="9" t="n">
        <v>0</v>
      </c>
      <c r="AS53" s="9" t="n">
        <v>0</v>
      </c>
      <c r="AT53" s="9" t="n">
        <v>0</v>
      </c>
      <c r="AU53" s="9" t="n">
        <v>0</v>
      </c>
      <c r="AV53" s="9" t="n">
        <v>0</v>
      </c>
      <c r="AX53" s="9" t="n">
        <v>0</v>
      </c>
      <c r="AY53" s="9" t="n">
        <v>0</v>
      </c>
      <c r="AZ53" s="9" t="n">
        <v>0</v>
      </c>
      <c r="BA53" s="9" t="n">
        <v>0</v>
      </c>
      <c r="BB53" s="9" t="n">
        <v>0</v>
      </c>
      <c r="BC53" s="9" t="n">
        <v>0</v>
      </c>
      <c r="BD53" s="9" t="n">
        <v>0</v>
      </c>
      <c r="BE53" s="9" t="n">
        <v>0</v>
      </c>
      <c r="BF53" s="9" t="n">
        <v>0</v>
      </c>
      <c r="BG53" s="9" t="n">
        <v>0</v>
      </c>
      <c r="BH53" s="9" t="n">
        <v>0</v>
      </c>
      <c r="BI53" s="9" t="n">
        <v>0</v>
      </c>
      <c r="BJ53" s="9" t="n">
        <v>0</v>
      </c>
      <c r="BK53" s="9" t="n">
        <v>0</v>
      </c>
      <c r="BL53" s="9" t="n">
        <v>0</v>
      </c>
      <c r="BN53" s="9" t="inlineStr">
        <is>
          <t>WS 8100 (290825)</t>
        </is>
      </c>
      <c r="BO53" s="9" t="inlineStr">
        <is>
          <t>WS 8100 (280426)</t>
        </is>
      </c>
      <c r="BP53" s="9" t="n">
        <v>0</v>
      </c>
      <c r="BQ53" s="9" t="inlineStr">
        <is>
          <t>WS 8102 (290825)</t>
        </is>
      </c>
      <c r="BR53" s="9" t="inlineStr">
        <is>
          <t>WS 8102 (121225)</t>
        </is>
      </c>
      <c r="BS53" s="9" t="inlineStr">
        <is>
          <t>WS 8102 (020326)</t>
        </is>
      </c>
      <c r="BT53" s="9" t="inlineStr">
        <is>
          <t>WS 8102 (020326)</t>
        </is>
      </c>
      <c r="BU53" s="9" t="inlineStr">
        <is>
          <t>WS 8102 (060526)</t>
        </is>
      </c>
      <c r="BV53" s="9" t="inlineStr">
        <is>
          <t>WS 8102 (060526)</t>
        </is>
      </c>
      <c r="BW53" s="9" t="inlineStr">
        <is>
          <t>WS 8103 (070526)</t>
        </is>
      </c>
      <c r="BX53" s="9" t="inlineStr">
        <is>
          <t>WS 8102 (070526)</t>
        </is>
      </c>
      <c r="BY53" s="9" t="inlineStr">
        <is>
          <t>WS 8103 (061125)</t>
        </is>
      </c>
      <c r="BZ53" s="9" t="inlineStr">
        <is>
          <t>WS 8103 (250226)</t>
        </is>
      </c>
      <c r="CA53" s="9" t="inlineStr">
        <is>
          <t>WS 8102 (080526)</t>
        </is>
      </c>
      <c r="CB53" s="9" t="inlineStr">
        <is>
          <t>WS 8109 (080526)</t>
        </is>
      </c>
      <c r="CD53" s="9" t="inlineStr">
        <is>
          <t>YH 121 (050226)</t>
        </is>
      </c>
      <c r="CE53" s="9" t="inlineStr">
        <is>
          <t>YH 121 (190326)</t>
        </is>
      </c>
      <c r="CF53" s="9" t="inlineStr">
        <is>
          <t>YH 121 (020426)</t>
        </is>
      </c>
      <c r="CG53" s="9" t="n">
        <v>0</v>
      </c>
      <c r="CH53" s="9" t="n">
        <v>0</v>
      </c>
      <c r="CI53" s="9" t="n">
        <v>0</v>
      </c>
      <c r="CJ53" s="9" t="n">
        <v>0</v>
      </c>
      <c r="CK53" s="9" t="n">
        <v>0</v>
      </c>
      <c r="CL53" s="9" t="n">
        <v>0</v>
      </c>
      <c r="CM53" s="9" t="inlineStr">
        <is>
          <t>311 (130526)</t>
        </is>
      </c>
      <c r="CN53" s="9" t="inlineStr">
        <is>
          <t>312 (130526)</t>
        </is>
      </c>
      <c r="CO53" s="9" t="n">
        <v>0</v>
      </c>
      <c r="CP53" s="9" t="n">
        <v>0</v>
      </c>
      <c r="CQ53" s="9" t="n">
        <v>0</v>
      </c>
      <c r="CR53" s="9" t="n">
        <v>0</v>
      </c>
      <c r="CT53" s="9" t="inlineStr">
        <is>
          <t>YH 122 (050226)</t>
        </is>
      </c>
      <c r="CU53" s="9" t="inlineStr">
        <is>
          <t>YH 122 (190326)</t>
        </is>
      </c>
      <c r="CV53" s="9" t="inlineStr">
        <is>
          <t>YH 122 (200426)</t>
        </is>
      </c>
      <c r="CW53" s="9" t="n">
        <v>0</v>
      </c>
      <c r="CX53" s="9" t="n">
        <v>0</v>
      </c>
      <c r="CY53" s="9" t="n">
        <v>0</v>
      </c>
      <c r="CZ53" s="9" t="inlineStr">
        <is>
          <t>5201 (090426)</t>
        </is>
      </c>
      <c r="DA53" s="9" t="inlineStr">
        <is>
          <t>5201 (090426)</t>
        </is>
      </c>
      <c r="DB53" s="9" t="n">
        <v>0</v>
      </c>
      <c r="DC53" s="9" t="inlineStr">
        <is>
          <t>5202 (090426)</t>
        </is>
      </c>
      <c r="DD53" s="9" t="inlineStr">
        <is>
          <t>5202 (090426)</t>
        </is>
      </c>
      <c r="DE53" s="9" t="n">
        <v>0</v>
      </c>
      <c r="DF53" s="9" t="inlineStr">
        <is>
          <t>5203 (090426)</t>
        </is>
      </c>
      <c r="DG53" s="9" t="inlineStr">
        <is>
          <t>5203 (090426)</t>
        </is>
      </c>
      <c r="DH53" s="9" t="n">
        <v>0</v>
      </c>
      <c r="DJ53" s="9" t="inlineStr">
        <is>
          <t>YH 123 (050226)</t>
        </is>
      </c>
      <c r="DK53" s="9" t="inlineStr">
        <is>
          <t>YH 123 (130326)</t>
        </is>
      </c>
      <c r="DL53" s="9" t="inlineStr">
        <is>
          <t>YH 123 (190326)</t>
        </is>
      </c>
      <c r="DM53" s="9" t="inlineStr">
        <is>
          <t>YH 123 (200426)</t>
        </is>
      </c>
      <c r="DN53" s="9" t="n">
        <v>0</v>
      </c>
      <c r="DO53" s="9" t="n">
        <v>0</v>
      </c>
      <c r="DP53" s="9" t="n">
        <v>0</v>
      </c>
      <c r="DQ53" s="9" t="n">
        <v>0</v>
      </c>
      <c r="DR53" s="9" t="n">
        <v>0</v>
      </c>
      <c r="DS53" s="9" t="n">
        <v>0</v>
      </c>
      <c r="DT53" s="9" t="n">
        <v>0</v>
      </c>
      <c r="DU53" s="9" t="n">
        <v>0</v>
      </c>
      <c r="DV53" s="9" t="n">
        <v>0</v>
      </c>
      <c r="DW53" s="9" t="n">
        <v>0</v>
      </c>
      <c r="DX53" s="9" t="n">
        <v>0</v>
      </c>
      <c r="EA53" s="9" t="inlineStr">
        <is>
          <t>BETAFIN</t>
        </is>
      </c>
      <c r="EB53" s="9" t="n">
        <v>0</v>
      </c>
      <c r="EC53" s="9" t="n">
        <v>0</v>
      </c>
      <c r="ED53" s="9" t="n">
        <v>0</v>
      </c>
      <c r="EE53" s="9" t="n">
        <v>0</v>
      </c>
      <c r="EF53" s="9" t="n">
        <v>0</v>
      </c>
      <c r="EG53" s="9" t="n">
        <v>0</v>
      </c>
      <c r="EH53" s="9" t="n">
        <v>0</v>
      </c>
      <c r="EI53" s="9" t="n">
        <v>0</v>
      </c>
      <c r="EJ53" s="9" t="n">
        <v>0</v>
      </c>
      <c r="EK53" s="9" t="n">
        <v>0</v>
      </c>
      <c r="EL53" s="9" t="n">
        <v>0</v>
      </c>
      <c r="EM53" s="9" t="n">
        <v>0</v>
      </c>
      <c r="EN53" s="9" t="n">
        <v>0</v>
      </c>
      <c r="EO53" s="9" t="n">
        <v>0</v>
      </c>
      <c r="EP53" s="9" t="n">
        <v>0</v>
      </c>
      <c r="ER53" s="9" t="n">
        <v>0</v>
      </c>
      <c r="ES53" s="9" t="n">
        <v>0</v>
      </c>
      <c r="ET53" s="9" t="n">
        <v>0</v>
      </c>
      <c r="EU53" s="9" t="n">
        <v>0</v>
      </c>
      <c r="EV53" s="9" t="n">
        <v>0</v>
      </c>
      <c r="EW53" s="9" t="n">
        <v>0</v>
      </c>
      <c r="EX53" s="9" t="n">
        <v>0</v>
      </c>
      <c r="EY53" s="9" t="n">
        <v>0</v>
      </c>
      <c r="EZ53" s="9" t="n">
        <v>0</v>
      </c>
      <c r="FA53" s="9" t="n">
        <v>0</v>
      </c>
      <c r="FB53" s="9" t="n">
        <v>0</v>
      </c>
      <c r="FC53" s="9" t="n">
        <v>0</v>
      </c>
      <c r="FD53" s="9" t="n">
        <v>0</v>
      </c>
      <c r="FE53" s="9" t="n">
        <v>0</v>
      </c>
      <c r="FF53" s="9" t="n">
        <v>0</v>
      </c>
      <c r="FH53" s="9" t="n">
        <v>0</v>
      </c>
      <c r="FI53" s="9" t="n">
        <v>0</v>
      </c>
      <c r="FJ53" s="9" t="n">
        <v>0</v>
      </c>
      <c r="FK53" s="9" t="n">
        <v>0</v>
      </c>
      <c r="FL53" s="9" t="n">
        <v>0</v>
      </c>
      <c r="FM53" s="9" t="n">
        <v>0</v>
      </c>
      <c r="FN53" s="9" t="n">
        <v>0</v>
      </c>
      <c r="FO53" s="9" t="n">
        <v>0</v>
      </c>
      <c r="FP53" s="9" t="n">
        <v>0</v>
      </c>
      <c r="FQ53" s="9" t="n">
        <v>0</v>
      </c>
      <c r="FR53" s="9" t="n">
        <v>0</v>
      </c>
      <c r="FS53" s="9" t="n">
        <v>0</v>
      </c>
      <c r="FT53" s="9" t="n">
        <v>0</v>
      </c>
      <c r="FU53" s="9" t="n">
        <v>0</v>
      </c>
      <c r="FV53" s="9" t="n">
        <v>0</v>
      </c>
      <c r="FX53" s="9" t="n">
        <v>0</v>
      </c>
      <c r="FY53" s="9" t="n">
        <v>0</v>
      </c>
      <c r="FZ53" s="9" t="n">
        <v>0</v>
      </c>
      <c r="GA53" s="9" t="n">
        <v>0</v>
      </c>
      <c r="GB53" s="9" t="n">
        <v>0</v>
      </c>
      <c r="GC53" s="9" t="n">
        <v>0</v>
      </c>
      <c r="GD53" s="9" t="n">
        <v>0</v>
      </c>
      <c r="GE53" s="9" t="n">
        <v>0</v>
      </c>
      <c r="GF53" s="9" t="n">
        <v>0</v>
      </c>
      <c r="GG53" s="9" t="n">
        <v>0</v>
      </c>
      <c r="GH53" s="9" t="n">
        <v>0</v>
      </c>
      <c r="GI53" s="9" t="n">
        <v>0</v>
      </c>
      <c r="GJ53" s="9" t="n">
        <v>0</v>
      </c>
      <c r="GK53" s="9" t="n">
        <v>0</v>
      </c>
      <c r="GL53" s="9" t="n">
        <v>0</v>
      </c>
      <c r="GN53" s="9" t="n">
        <v>0</v>
      </c>
      <c r="GO53" s="9" t="n">
        <v>0</v>
      </c>
      <c r="GP53" s="9" t="n">
        <v>0</v>
      </c>
      <c r="GQ53" s="9" t="n">
        <v>0</v>
      </c>
      <c r="GR53" s="9" t="n">
        <v>0</v>
      </c>
      <c r="GS53" s="9" t="n">
        <v>0</v>
      </c>
      <c r="GT53" s="9" t="n">
        <v>0</v>
      </c>
      <c r="GU53" s="9" t="n">
        <v>0</v>
      </c>
      <c r="GV53" s="9" t="n">
        <v>0</v>
      </c>
      <c r="GW53" s="9" t="n">
        <v>0</v>
      </c>
      <c r="GX53" s="9" t="n">
        <v>0</v>
      </c>
      <c r="GY53" s="9" t="n">
        <v>0</v>
      </c>
      <c r="GZ53" s="9" t="n">
        <v>0</v>
      </c>
      <c r="HA53" s="9" t="n">
        <v>0</v>
      </c>
      <c r="HB53" s="9" t="n">
        <v>0</v>
      </c>
      <c r="HD53" s="9" t="n">
        <v>0</v>
      </c>
      <c r="HE53" s="9" t="n">
        <v>0</v>
      </c>
      <c r="HF53" s="9" t="n">
        <v>0</v>
      </c>
      <c r="HG53" s="9" t="n">
        <v>0</v>
      </c>
      <c r="HH53" s="9" t="n">
        <v>0</v>
      </c>
      <c r="HI53" s="9" t="n">
        <v>0</v>
      </c>
      <c r="HJ53" s="9" t="n">
        <v>0</v>
      </c>
      <c r="HK53" s="9" t="n">
        <v>0</v>
      </c>
      <c r="HL53" s="9" t="n">
        <v>0</v>
      </c>
      <c r="HM53" s="9" t="n">
        <v>0</v>
      </c>
      <c r="HN53" s="9" t="n">
        <v>0</v>
      </c>
      <c r="HO53" s="9" t="n">
        <v>0</v>
      </c>
      <c r="HP53" s="9" t="n">
        <v>0</v>
      </c>
      <c r="HQ53" s="9" t="n">
        <v>0</v>
      </c>
      <c r="HR53" s="9" t="n">
        <v>0</v>
      </c>
      <c r="HT53" s="9" t="n">
        <v>0</v>
      </c>
      <c r="HU53" s="9" t="n">
        <v>0</v>
      </c>
      <c r="HV53" s="9" t="n">
        <v>0</v>
      </c>
      <c r="HW53" s="9" t="n">
        <v>0</v>
      </c>
      <c r="HX53" s="9" t="n">
        <v>0</v>
      </c>
      <c r="HY53" s="9" t="n">
        <v>0</v>
      </c>
      <c r="HZ53" s="9" t="n">
        <v>0</v>
      </c>
      <c r="IA53" s="9" t="n">
        <v>0</v>
      </c>
      <c r="IB53" s="9" t="n">
        <v>0</v>
      </c>
      <c r="IC53" s="9" t="n">
        <v>0</v>
      </c>
      <c r="ID53" s="9" t="n">
        <v>0</v>
      </c>
      <c r="IE53" s="9" t="n">
        <v>0</v>
      </c>
      <c r="IF53" s="9" t="n">
        <v>0</v>
      </c>
      <c r="IG53" s="9" t="n">
        <v>0</v>
      </c>
      <c r="IH53" s="9" t="n">
        <v>0</v>
      </c>
      <c r="IJ53" s="9" t="n">
        <v>0</v>
      </c>
      <c r="IK53" s="9" t="n">
        <v>0</v>
      </c>
      <c r="IL53" s="9" t="n">
        <v>0</v>
      </c>
      <c r="IM53" s="9" t="n">
        <v>0</v>
      </c>
      <c r="IN53" s="9" t="n">
        <v>0</v>
      </c>
      <c r="IO53" s="9" t="n">
        <v>0</v>
      </c>
      <c r="IP53" s="9" t="n">
        <v>0</v>
      </c>
      <c r="IQ53" s="9" t="n">
        <v>0</v>
      </c>
      <c r="IR53" s="9" t="n">
        <v>0</v>
      </c>
      <c r="IS53" s="9" t="n">
        <v>0</v>
      </c>
      <c r="IT53" s="9" t="n">
        <v>0</v>
      </c>
      <c r="IU53" s="9" t="n">
        <v>0</v>
      </c>
      <c r="IV53" s="9" t="n">
        <v>0</v>
      </c>
      <c r="IW53" s="9" t="n">
        <v>0</v>
      </c>
      <c r="IX53" s="9" t="n">
        <v>0</v>
      </c>
    </row>
    <row r="54">
      <c r="A54" s="9" t="inlineStr">
        <is>
          <t>FEBRUARY</t>
        </is>
      </c>
      <c r="B54" s="9" t="inlineStr">
        <is>
          <t>N01309AY</t>
        </is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R54" s="9" t="inlineStr">
        <is>
          <t>N025-06</t>
        </is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H54" s="9" t="inlineStr">
        <is>
          <t>N035-06</t>
        </is>
      </c>
      <c r="AI54" s="9" t="inlineStr">
        <is>
          <t>WITH 1103 TOP UP</t>
        </is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0</v>
      </c>
      <c r="AQ54" s="9" t="n">
        <v>0</v>
      </c>
      <c r="AR54" s="9" t="n">
        <v>0</v>
      </c>
      <c r="AS54" s="9" t="n">
        <v>0</v>
      </c>
      <c r="AT54" s="9" t="n">
        <v>0</v>
      </c>
      <c r="AU54" s="9" t="n">
        <v>0</v>
      </c>
      <c r="AV54" s="9" t="n">
        <v>0</v>
      </c>
      <c r="AX54" s="9" t="n">
        <v>0</v>
      </c>
      <c r="AY54" s="9" t="n">
        <v>0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</v>
      </c>
      <c r="BE54" s="9" t="n">
        <v>0</v>
      </c>
      <c r="BF54" s="9" t="n">
        <v>0</v>
      </c>
      <c r="BG54" s="9" t="n">
        <v>0</v>
      </c>
      <c r="BH54" s="9" t="n">
        <v>0</v>
      </c>
      <c r="BI54" s="9" t="n">
        <v>0</v>
      </c>
      <c r="BJ54" s="9" t="n">
        <v>0</v>
      </c>
      <c r="BK54" s="9" t="n">
        <v>0</v>
      </c>
      <c r="BL54" s="9" t="n">
        <v>0</v>
      </c>
      <c r="BN54" s="9" t="inlineStr">
        <is>
          <t>NR 14-04</t>
        </is>
      </c>
      <c r="BO54" s="9" t="n">
        <v>0</v>
      </c>
      <c r="BP54" s="9" t="n">
        <v>0</v>
      </c>
      <c r="BQ54" s="9" t="inlineStr">
        <is>
          <t>NR 24-04Z</t>
        </is>
      </c>
      <c r="BR54" s="9" t="inlineStr">
        <is>
          <t>WITH BMD</t>
        </is>
      </c>
      <c r="BS54" s="9" t="inlineStr">
        <is>
          <t>8102 Top Up&amp;PM 8108</t>
        </is>
      </c>
      <c r="BT54" s="9" t="inlineStr">
        <is>
          <t>8102 Top Up&amp;PM 8102</t>
        </is>
      </c>
      <c r="BU54" s="9" t="inlineStr">
        <is>
          <t>8102 Top Up&amp;PM 8102</t>
        </is>
      </c>
      <c r="BV54" s="9" t="inlineStr">
        <is>
          <t>8102 Top Up&amp;PM 8108</t>
        </is>
      </c>
      <c r="BW54" s="9" t="inlineStr">
        <is>
          <t>8103 Top Up&amp;PM 8103</t>
        </is>
      </c>
      <c r="BX54" s="9" t="inlineStr">
        <is>
          <t>8103 Top Up&amp;PM 8109</t>
        </is>
      </c>
      <c r="BY54" s="9" t="inlineStr">
        <is>
          <t xml:space="preserve">NR 34-04 </t>
        </is>
      </c>
      <c r="BZ54" s="9" t="inlineStr">
        <is>
          <t xml:space="preserve">NR 34-04 </t>
        </is>
      </c>
      <c r="CA54" s="9" t="inlineStr">
        <is>
          <t>8102 TOP UP</t>
        </is>
      </c>
      <c r="CB54" s="9" t="inlineStr">
        <is>
          <t>8103 TOP UP</t>
        </is>
      </c>
      <c r="CD54" s="9" t="inlineStr">
        <is>
          <t>SOYTIDE&amp;TOXISORB</t>
        </is>
      </c>
      <c r="CE54" s="9" t="inlineStr">
        <is>
          <t>SOYTIDE&amp;TOXIWALL</t>
        </is>
      </c>
      <c r="CF54" s="9" t="inlineStr">
        <is>
          <t>EP 200&amp;TOXIWALL</t>
        </is>
      </c>
      <c r="CG54" s="9" t="n">
        <v>0</v>
      </c>
      <c r="CH54" s="9" t="n">
        <v>0</v>
      </c>
      <c r="CI54" s="9" t="n">
        <v>0</v>
      </c>
      <c r="CJ54" s="9" t="n">
        <v>0</v>
      </c>
      <c r="CK54" s="9" t="n">
        <v>0</v>
      </c>
      <c r="CL54" s="9" t="n">
        <v>0</v>
      </c>
      <c r="CM54" s="9" t="n">
        <v>0</v>
      </c>
      <c r="CN54" s="9" t="n">
        <v>0</v>
      </c>
      <c r="CO54" s="9" t="n">
        <v>0</v>
      </c>
      <c r="CP54" s="9" t="n">
        <v>0</v>
      </c>
      <c r="CQ54" s="9" t="n">
        <v>0</v>
      </c>
      <c r="CR54" s="9" t="n">
        <v>0</v>
      </c>
      <c r="CT54" s="9" t="inlineStr">
        <is>
          <t>WITH TOXISORB</t>
        </is>
      </c>
      <c r="CU54" s="9" t="inlineStr">
        <is>
          <t>WITH TOXIWALL</t>
        </is>
      </c>
      <c r="CV54" s="9" t="inlineStr">
        <is>
          <t>WITH TOXIWALL, YM 20.50kg</t>
        </is>
      </c>
      <c r="CW54" s="9" t="n">
        <v>0</v>
      </c>
      <c r="CX54" s="9" t="n">
        <v>0</v>
      </c>
      <c r="CY54" s="9" t="n">
        <v>0</v>
      </c>
      <c r="CZ54" s="9" t="n">
        <v>0</v>
      </c>
      <c r="DA54" s="9" t="inlineStr">
        <is>
          <t>REDUCE CORN FOR 2MT</t>
        </is>
      </c>
      <c r="DB54" s="9" t="n">
        <v>0</v>
      </c>
      <c r="DC54" s="9" t="n">
        <v>0</v>
      </c>
      <c r="DD54" s="9" t="inlineStr">
        <is>
          <t>K20</t>
        </is>
      </c>
      <c r="DE54" s="9" t="n">
        <v>0</v>
      </c>
      <c r="DF54" s="9" t="inlineStr">
        <is>
          <t>ALREADY 2MT</t>
        </is>
      </c>
      <c r="DG54" s="9" t="inlineStr">
        <is>
          <t>K21</t>
        </is>
      </c>
      <c r="DH54" s="9" t="n">
        <v>0</v>
      </c>
      <c r="DJ54" s="9" t="inlineStr">
        <is>
          <t>WITH TOXISORB</t>
        </is>
      </c>
      <c r="DK54" s="9" t="inlineStr">
        <is>
          <t>WITHOUT WHEAT POLLARD</t>
        </is>
      </c>
      <c r="DL54" s="9" t="inlineStr">
        <is>
          <t>WITH TOXIWALL</t>
        </is>
      </c>
      <c r="DM54" s="9" t="inlineStr">
        <is>
          <t>WITH TOXIWALL, YM 20.00kg</t>
        </is>
      </c>
      <c r="DN54" s="9" t="n">
        <v>0</v>
      </c>
      <c r="DO54" s="9" t="n">
        <v>0</v>
      </c>
      <c r="DP54" s="9" t="n">
        <v>0</v>
      </c>
      <c r="DQ54" s="9" t="n">
        <v>0</v>
      </c>
      <c r="DR54" s="9" t="n">
        <v>0</v>
      </c>
      <c r="DS54" s="9" t="n">
        <v>0</v>
      </c>
      <c r="DT54" s="9" t="n">
        <v>0</v>
      </c>
      <c r="DU54" s="9" t="n">
        <v>0</v>
      </c>
      <c r="DV54" s="9" t="n">
        <v>0</v>
      </c>
      <c r="DW54" s="9" t="n">
        <v>0</v>
      </c>
      <c r="DX54" s="9" t="n">
        <v>0</v>
      </c>
      <c r="EA54" s="9" t="inlineStr">
        <is>
          <t>8101 TOP UP</t>
        </is>
      </c>
      <c r="EB54" s="9" t="n">
        <v>0</v>
      </c>
      <c r="EC54" s="9" t="n">
        <v>0</v>
      </c>
      <c r="ED54" s="9" t="n">
        <v>0</v>
      </c>
      <c r="EE54" s="9" t="n">
        <v>0</v>
      </c>
      <c r="EF54" s="9" t="n">
        <v>0</v>
      </c>
      <c r="EG54" s="9" t="n">
        <v>0</v>
      </c>
      <c r="EH54" s="9" t="n">
        <v>0</v>
      </c>
      <c r="EI54" s="9" t="n">
        <v>0</v>
      </c>
      <c r="EJ54" s="9" t="n">
        <v>0</v>
      </c>
      <c r="EK54" s="9" t="n">
        <v>0</v>
      </c>
      <c r="EL54" s="9" t="n">
        <v>0</v>
      </c>
      <c r="EM54" s="9" t="n">
        <v>0</v>
      </c>
      <c r="EN54" s="9" t="n">
        <v>0</v>
      </c>
      <c r="EO54" s="9" t="n">
        <v>0</v>
      </c>
      <c r="EP54" s="9" t="n">
        <v>0</v>
      </c>
      <c r="ER54" s="9" t="n">
        <v>0</v>
      </c>
      <c r="ES54" s="9" t="n">
        <v>0</v>
      </c>
      <c r="ET54" s="9" t="n">
        <v>0</v>
      </c>
      <c r="EU54" s="9" t="n">
        <v>0</v>
      </c>
      <c r="EV54" s="9" t="n">
        <v>0</v>
      </c>
      <c r="EW54" s="9" t="n">
        <v>0</v>
      </c>
      <c r="EX54" s="9" t="n">
        <v>0</v>
      </c>
      <c r="EY54" s="9" t="n">
        <v>0</v>
      </c>
      <c r="EZ54" s="9" t="n">
        <v>0</v>
      </c>
      <c r="FA54" s="9" t="n">
        <v>0</v>
      </c>
      <c r="FB54" s="9" t="n">
        <v>0</v>
      </c>
      <c r="FC54" s="9" t="n">
        <v>0</v>
      </c>
      <c r="FD54" s="9" t="n">
        <v>0</v>
      </c>
      <c r="FE54" s="9" t="n">
        <v>0</v>
      </c>
      <c r="FF54" s="9" t="n">
        <v>0</v>
      </c>
      <c r="FH54" s="9" t="n">
        <v>0</v>
      </c>
      <c r="FI54" s="9" t="n">
        <v>0</v>
      </c>
      <c r="FJ54" s="9" t="n">
        <v>0</v>
      </c>
      <c r="FK54" s="9" t="n">
        <v>0</v>
      </c>
      <c r="FL54" s="9" t="n">
        <v>0</v>
      </c>
      <c r="FM54" s="9" t="n">
        <v>0</v>
      </c>
      <c r="FN54" s="9" t="n">
        <v>0</v>
      </c>
      <c r="FO54" s="9" t="n">
        <v>0</v>
      </c>
      <c r="FP54" s="9" t="n">
        <v>0</v>
      </c>
      <c r="FQ54" s="9" t="n">
        <v>0</v>
      </c>
      <c r="FR54" s="9" t="n">
        <v>0</v>
      </c>
      <c r="FS54" s="9" t="n">
        <v>0</v>
      </c>
      <c r="FT54" s="9" t="n">
        <v>0</v>
      </c>
      <c r="FU54" s="9" t="n">
        <v>0</v>
      </c>
      <c r="FV54" s="9" t="n">
        <v>0</v>
      </c>
      <c r="FX54" s="9" t="n">
        <v>0</v>
      </c>
      <c r="FY54" s="9" t="n">
        <v>0</v>
      </c>
      <c r="FZ54" s="9" t="n">
        <v>0</v>
      </c>
      <c r="GA54" s="9" t="n">
        <v>0</v>
      </c>
      <c r="GB54" s="9" t="n">
        <v>0</v>
      </c>
      <c r="GC54" s="9" t="n">
        <v>0</v>
      </c>
      <c r="GD54" s="9" t="n">
        <v>0</v>
      </c>
      <c r="GE54" s="9" t="n">
        <v>0</v>
      </c>
      <c r="GF54" s="9" t="n">
        <v>0</v>
      </c>
      <c r="GG54" s="9" t="n">
        <v>0</v>
      </c>
      <c r="GH54" s="9" t="n">
        <v>0</v>
      </c>
      <c r="GI54" s="9" t="n">
        <v>0</v>
      </c>
      <c r="GJ54" s="9" t="n">
        <v>0</v>
      </c>
      <c r="GK54" s="9" t="n">
        <v>0</v>
      </c>
      <c r="GL54" s="9" t="n">
        <v>0</v>
      </c>
      <c r="GN54" s="9" t="n">
        <v>0</v>
      </c>
      <c r="GO54" s="9" t="n">
        <v>0</v>
      </c>
      <c r="GP54" s="9" t="n">
        <v>0</v>
      </c>
      <c r="GQ54" s="9" t="n">
        <v>0</v>
      </c>
      <c r="GR54" s="9" t="n">
        <v>0</v>
      </c>
      <c r="GS54" s="9" t="n">
        <v>0</v>
      </c>
      <c r="GT54" s="9" t="n">
        <v>0</v>
      </c>
      <c r="GU54" s="9" t="n">
        <v>0</v>
      </c>
      <c r="GV54" s="9" t="n">
        <v>0</v>
      </c>
      <c r="GW54" s="9" t="n">
        <v>0</v>
      </c>
      <c r="GX54" s="9" t="n">
        <v>0</v>
      </c>
      <c r="GY54" s="9" t="n">
        <v>0</v>
      </c>
      <c r="GZ54" s="9" t="n">
        <v>0</v>
      </c>
      <c r="HA54" s="9" t="n">
        <v>0</v>
      </c>
      <c r="HB54" s="9" t="n">
        <v>0</v>
      </c>
      <c r="HD54" s="9" t="n">
        <v>0</v>
      </c>
      <c r="HE54" s="9" t="n">
        <v>0</v>
      </c>
      <c r="HF54" s="9" t="n">
        <v>0</v>
      </c>
      <c r="HG54" s="9" t="n">
        <v>0</v>
      </c>
      <c r="HH54" s="9" t="n">
        <v>0</v>
      </c>
      <c r="HI54" s="9" t="n">
        <v>0</v>
      </c>
      <c r="HJ54" s="9" t="n">
        <v>0</v>
      </c>
      <c r="HK54" s="9" t="n">
        <v>0</v>
      </c>
      <c r="HL54" s="9" t="n">
        <v>0</v>
      </c>
      <c r="HM54" s="9" t="n">
        <v>0</v>
      </c>
      <c r="HN54" s="9" t="n">
        <v>0</v>
      </c>
      <c r="HO54" s="9" t="n">
        <v>0</v>
      </c>
      <c r="HP54" s="9" t="n">
        <v>0</v>
      </c>
      <c r="HQ54" s="9" t="n">
        <v>0</v>
      </c>
      <c r="HR54" s="9" t="n">
        <v>0</v>
      </c>
      <c r="HT54" s="9" t="n">
        <v>0</v>
      </c>
      <c r="HU54" s="9" t="n">
        <v>0</v>
      </c>
      <c r="HV54" s="9" t="n">
        <v>0</v>
      </c>
      <c r="HW54" s="9" t="n">
        <v>0</v>
      </c>
      <c r="HX54" s="9" t="n">
        <v>0</v>
      </c>
      <c r="HY54" s="9" t="n">
        <v>0</v>
      </c>
      <c r="HZ54" s="9" t="n">
        <v>0</v>
      </c>
      <c r="IA54" s="9" t="n">
        <v>0</v>
      </c>
      <c r="IB54" s="9" t="n">
        <v>0</v>
      </c>
      <c r="IC54" s="9" t="n">
        <v>0</v>
      </c>
      <c r="ID54" s="9" t="n">
        <v>0</v>
      </c>
      <c r="IE54" s="9" t="n">
        <v>0</v>
      </c>
      <c r="IF54" s="9" t="n">
        <v>0</v>
      </c>
      <c r="IG54" s="9" t="n">
        <v>0</v>
      </c>
      <c r="IH54" s="9" t="n">
        <v>0</v>
      </c>
      <c r="IJ54" s="9" t="n">
        <v>0</v>
      </c>
      <c r="IK54" s="9" t="n">
        <v>0</v>
      </c>
      <c r="IL54" s="9" t="n">
        <v>0</v>
      </c>
      <c r="IM54" s="9" t="n">
        <v>0</v>
      </c>
      <c r="IN54" s="9" t="n">
        <v>0</v>
      </c>
      <c r="IO54" s="9" t="n">
        <v>0</v>
      </c>
      <c r="IP54" s="9" t="n">
        <v>0</v>
      </c>
      <c r="IQ54" s="9" t="n">
        <v>0</v>
      </c>
      <c r="IR54" s="9" t="n">
        <v>0</v>
      </c>
      <c r="IS54" s="9" t="n">
        <v>0</v>
      </c>
      <c r="IT54" s="9" t="n">
        <v>0</v>
      </c>
      <c r="IU54" s="9" t="n">
        <v>0</v>
      </c>
      <c r="IV54" s="9" t="n">
        <v>0</v>
      </c>
      <c r="IW54" s="9" t="n">
        <v>0</v>
      </c>
      <c r="IX54" s="9" t="n">
        <v>0</v>
      </c>
    </row>
    <row r="55">
      <c r="A55" s="10" t="n">
        <v>46054</v>
      </c>
      <c r="EA55" s="9" t="inlineStr">
        <is>
          <t>NORPONIN X03 (8102 TOP UP)</t>
        </is>
      </c>
      <c r="EB55" s="9" t="n">
        <v>0</v>
      </c>
      <c r="EC55" s="9" t="n">
        <v>0</v>
      </c>
      <c r="ED55" s="9" t="n">
        <v>0</v>
      </c>
      <c r="EE55" s="9" t="n">
        <v>0</v>
      </c>
      <c r="EF55" s="9" t="n">
        <v>0</v>
      </c>
      <c r="EG55" s="9" t="n">
        <v>0</v>
      </c>
      <c r="EH55" s="9" t="n">
        <v>0</v>
      </c>
      <c r="EI55" s="9" t="n">
        <v>0</v>
      </c>
      <c r="EJ55" s="9" t="n">
        <v>0</v>
      </c>
      <c r="EK55" s="9" t="n">
        <v>0</v>
      </c>
      <c r="EL55" s="9" t="n">
        <v>0</v>
      </c>
      <c r="EM55" s="9" t="n">
        <v>0</v>
      </c>
      <c r="EN55" s="9" t="n">
        <v>0</v>
      </c>
      <c r="EO55" s="9" t="n">
        <v>0</v>
      </c>
      <c r="EP55" s="9" t="n">
        <v>0</v>
      </c>
      <c r="ER55" s="9" t="n">
        <v>0</v>
      </c>
      <c r="ES55" s="9" t="n">
        <v>0</v>
      </c>
      <c r="ET55" s="9" t="n">
        <v>0</v>
      </c>
      <c r="EU55" s="9" t="n">
        <v>0</v>
      </c>
      <c r="EV55" s="9" t="n">
        <v>0</v>
      </c>
      <c r="EW55" s="9" t="n">
        <v>0</v>
      </c>
      <c r="EX55" s="9" t="n">
        <v>0</v>
      </c>
      <c r="EY55" s="9" t="n">
        <v>0</v>
      </c>
      <c r="EZ55" s="9" t="n">
        <v>0</v>
      </c>
      <c r="FA55" s="9" t="n">
        <v>0</v>
      </c>
      <c r="FB55" s="9" t="n">
        <v>0</v>
      </c>
      <c r="FC55" s="9" t="n">
        <v>0</v>
      </c>
      <c r="FD55" s="9" t="n">
        <v>0</v>
      </c>
      <c r="FE55" s="9" t="n">
        <v>0</v>
      </c>
      <c r="FF55" s="9" t="n">
        <v>0</v>
      </c>
      <c r="FH55" s="9" t="n">
        <v>0</v>
      </c>
      <c r="FI55" s="9" t="n">
        <v>0</v>
      </c>
      <c r="FJ55" s="9" t="n">
        <v>0</v>
      </c>
      <c r="FK55" s="9" t="n">
        <v>0</v>
      </c>
      <c r="FL55" s="9" t="n">
        <v>0</v>
      </c>
      <c r="FM55" s="9" t="n">
        <v>0</v>
      </c>
      <c r="FN55" s="9" t="n">
        <v>0</v>
      </c>
      <c r="FO55" s="9" t="n">
        <v>0</v>
      </c>
      <c r="FP55" s="9" t="n">
        <v>0</v>
      </c>
      <c r="FQ55" s="9" t="n">
        <v>0</v>
      </c>
      <c r="FR55" s="9" t="n">
        <v>0</v>
      </c>
      <c r="FS55" s="9" t="n">
        <v>0</v>
      </c>
      <c r="FT55" s="9" t="n">
        <v>0</v>
      </c>
      <c r="FU55" s="9" t="n">
        <v>0</v>
      </c>
      <c r="FV55" s="9" t="n">
        <v>0</v>
      </c>
      <c r="FX55" s="9" t="n">
        <v>0</v>
      </c>
      <c r="FY55" s="9" t="n">
        <v>0</v>
      </c>
      <c r="FZ55" s="9" t="n">
        <v>0</v>
      </c>
      <c r="GA55" s="9" t="n">
        <v>0</v>
      </c>
      <c r="GB55" s="9" t="n">
        <v>0</v>
      </c>
      <c r="GC55" s="9" t="n">
        <v>0</v>
      </c>
      <c r="GD55" s="9" t="n">
        <v>0</v>
      </c>
      <c r="GE55" s="9" t="n">
        <v>0</v>
      </c>
      <c r="GF55" s="9" t="n">
        <v>0</v>
      </c>
      <c r="GG55" s="9" t="n">
        <v>0</v>
      </c>
      <c r="GH55" s="9" t="n">
        <v>0</v>
      </c>
      <c r="GI55" s="9" t="n">
        <v>0</v>
      </c>
      <c r="GJ55" s="9" t="n">
        <v>0</v>
      </c>
      <c r="GK55" s="9" t="n">
        <v>0</v>
      </c>
      <c r="GL55" s="9" t="n">
        <v>0</v>
      </c>
      <c r="GN55" s="9" t="n">
        <v>0</v>
      </c>
      <c r="GO55" s="9" t="n">
        <v>0</v>
      </c>
      <c r="GP55" s="9" t="n">
        <v>0</v>
      </c>
      <c r="GQ55" s="9" t="n">
        <v>0</v>
      </c>
      <c r="GR55" s="9" t="n">
        <v>0</v>
      </c>
      <c r="GS55" s="9" t="n">
        <v>0</v>
      </c>
      <c r="GT55" s="9" t="n">
        <v>0</v>
      </c>
      <c r="GU55" s="9" t="n">
        <v>0</v>
      </c>
      <c r="GV55" s="9" t="n">
        <v>0</v>
      </c>
      <c r="GW55" s="9" t="n">
        <v>0</v>
      </c>
      <c r="GX55" s="9" t="n">
        <v>0</v>
      </c>
      <c r="GY55" s="9" t="n">
        <v>0</v>
      </c>
      <c r="GZ55" s="9" t="n">
        <v>0</v>
      </c>
      <c r="HA55" s="9" t="n">
        <v>0</v>
      </c>
      <c r="HB55" s="9" t="n">
        <v>0</v>
      </c>
      <c r="HD55" s="9" t="n">
        <v>0</v>
      </c>
      <c r="HE55" s="9" t="n">
        <v>0</v>
      </c>
      <c r="HF55" s="9" t="n">
        <v>0</v>
      </c>
      <c r="HG55" s="9" t="n">
        <v>0</v>
      </c>
      <c r="HH55" s="9" t="n">
        <v>0</v>
      </c>
      <c r="HI55" s="9" t="n">
        <v>0</v>
      </c>
      <c r="HJ55" s="9" t="n">
        <v>0</v>
      </c>
      <c r="HK55" s="9" t="n">
        <v>0</v>
      </c>
      <c r="HL55" s="9" t="n">
        <v>0</v>
      </c>
      <c r="HM55" s="9" t="n">
        <v>0</v>
      </c>
      <c r="HN55" s="9" t="n">
        <v>0</v>
      </c>
      <c r="HO55" s="9" t="n">
        <v>0</v>
      </c>
      <c r="HP55" s="9" t="n">
        <v>0</v>
      </c>
      <c r="HQ55" s="9" t="n">
        <v>0</v>
      </c>
      <c r="HR55" s="9" t="n">
        <v>0</v>
      </c>
      <c r="HT55" s="9" t="n">
        <v>0</v>
      </c>
      <c r="HU55" s="9" t="n">
        <v>0</v>
      </c>
      <c r="HV55" s="9" t="n">
        <v>0</v>
      </c>
      <c r="HW55" s="9" t="n">
        <v>0</v>
      </c>
      <c r="HX55" s="9" t="n">
        <v>0</v>
      </c>
      <c r="HY55" s="9" t="n">
        <v>0</v>
      </c>
      <c r="HZ55" s="9" t="n">
        <v>0</v>
      </c>
      <c r="IA55" s="9" t="n">
        <v>0</v>
      </c>
      <c r="IB55" s="9" t="n">
        <v>0</v>
      </c>
      <c r="IC55" s="9" t="n">
        <v>0</v>
      </c>
      <c r="ID55" s="9" t="n">
        <v>0</v>
      </c>
      <c r="IE55" s="9" t="n">
        <v>0</v>
      </c>
      <c r="IF55" s="9" t="n">
        <v>0</v>
      </c>
      <c r="IG55" s="9" t="n">
        <v>0</v>
      </c>
      <c r="IH55" s="9" t="n">
        <v>0</v>
      </c>
      <c r="IJ55" s="9" t="n">
        <v>0</v>
      </c>
      <c r="IK55" s="9" t="n">
        <v>0</v>
      </c>
      <c r="IL55" s="9" t="n">
        <v>0</v>
      </c>
      <c r="IM55" s="9" t="n">
        <v>0</v>
      </c>
      <c r="IN55" s="9" t="n">
        <v>0</v>
      </c>
      <c r="IO55" s="9" t="n">
        <v>0</v>
      </c>
      <c r="IP55" s="9" t="n">
        <v>0</v>
      </c>
      <c r="IQ55" s="9" t="n">
        <v>0</v>
      </c>
      <c r="IR55" s="9" t="n">
        <v>0</v>
      </c>
      <c r="IS55" s="9" t="n">
        <v>0</v>
      </c>
      <c r="IT55" s="9" t="n">
        <v>0</v>
      </c>
      <c r="IU55" s="9" t="n">
        <v>0</v>
      </c>
      <c r="IV55" s="9" t="n">
        <v>0</v>
      </c>
      <c r="IW55" s="9" t="n">
        <v>0</v>
      </c>
      <c r="IX55" s="9" t="n">
        <v>0</v>
      </c>
    </row>
    <row r="56">
      <c r="A56" s="10" t="n">
        <v>46055</v>
      </c>
      <c r="EA56" s="9" t="inlineStr">
        <is>
          <t>8102 TOP UP (4KG)</t>
        </is>
      </c>
      <c r="EB56" s="9" t="n">
        <v>0</v>
      </c>
      <c r="EC56" s="9" t="n">
        <v>0</v>
      </c>
      <c r="ED56" s="9" t="n">
        <v>0</v>
      </c>
      <c r="EE56" s="9" t="n">
        <v>0</v>
      </c>
      <c r="EF56" s="9" t="n">
        <v>0</v>
      </c>
      <c r="EG56" s="9" t="n">
        <v>0</v>
      </c>
      <c r="EH56" s="9" t="n">
        <v>0</v>
      </c>
      <c r="EI56" s="9" t="n">
        <v>0</v>
      </c>
      <c r="EJ56" s="9" t="n">
        <v>0</v>
      </c>
      <c r="EK56" s="9" t="n">
        <v>0</v>
      </c>
      <c r="EL56" s="9" t="n">
        <v>0</v>
      </c>
      <c r="EM56" s="9" t="n">
        <v>0</v>
      </c>
      <c r="EN56" s="9" t="n">
        <v>0</v>
      </c>
      <c r="EO56" s="9" t="n">
        <v>0</v>
      </c>
      <c r="EP56" s="9" t="n">
        <v>0</v>
      </c>
      <c r="ER56" s="9" t="n">
        <v>0</v>
      </c>
      <c r="ES56" s="9" t="n">
        <v>0</v>
      </c>
      <c r="ET56" s="9" t="n">
        <v>0</v>
      </c>
      <c r="EU56" s="9" t="n">
        <v>0</v>
      </c>
      <c r="EV56" s="9" t="n">
        <v>0</v>
      </c>
      <c r="EW56" s="9" t="n">
        <v>0</v>
      </c>
      <c r="EX56" s="9" t="n">
        <v>0</v>
      </c>
      <c r="EY56" s="9" t="n">
        <v>0</v>
      </c>
      <c r="EZ56" s="9" t="n">
        <v>0</v>
      </c>
      <c r="FA56" s="9" t="n">
        <v>0</v>
      </c>
      <c r="FB56" s="9" t="n">
        <v>0</v>
      </c>
      <c r="FC56" s="9" t="n">
        <v>0</v>
      </c>
      <c r="FD56" s="9" t="n">
        <v>0</v>
      </c>
      <c r="FE56" s="9" t="n">
        <v>0</v>
      </c>
      <c r="FF56" s="9" t="n">
        <v>0</v>
      </c>
      <c r="FH56" s="9" t="n">
        <v>0</v>
      </c>
      <c r="FI56" s="9" t="n">
        <v>0</v>
      </c>
      <c r="FJ56" s="9" t="n">
        <v>0</v>
      </c>
      <c r="FK56" s="9" t="n">
        <v>0</v>
      </c>
      <c r="FL56" s="9" t="n">
        <v>0</v>
      </c>
      <c r="FM56" s="9" t="n">
        <v>0</v>
      </c>
      <c r="FN56" s="9" t="n">
        <v>0</v>
      </c>
      <c r="FO56" s="9" t="n">
        <v>0</v>
      </c>
      <c r="FP56" s="9" t="n">
        <v>0</v>
      </c>
      <c r="FQ56" s="9" t="n">
        <v>0</v>
      </c>
      <c r="FR56" s="9" t="n">
        <v>0</v>
      </c>
      <c r="FS56" s="9" t="n">
        <v>0</v>
      </c>
      <c r="FT56" s="9" t="n">
        <v>0</v>
      </c>
      <c r="FU56" s="9" t="n">
        <v>0</v>
      </c>
      <c r="FV56" s="9" t="n">
        <v>0</v>
      </c>
      <c r="FX56" s="9" t="n">
        <v>0</v>
      </c>
      <c r="FY56" s="9" t="n">
        <v>0</v>
      </c>
      <c r="FZ56" s="9" t="n">
        <v>0</v>
      </c>
      <c r="GA56" s="9" t="n">
        <v>0</v>
      </c>
      <c r="GB56" s="9" t="n">
        <v>0</v>
      </c>
      <c r="GC56" s="9" t="n">
        <v>0</v>
      </c>
      <c r="GD56" s="9" t="n">
        <v>0</v>
      </c>
      <c r="GE56" s="9" t="n">
        <v>0</v>
      </c>
      <c r="GF56" s="9" t="n">
        <v>0</v>
      </c>
      <c r="GG56" s="9" t="n">
        <v>0</v>
      </c>
      <c r="GH56" s="9" t="n">
        <v>0</v>
      </c>
      <c r="GI56" s="9" t="n">
        <v>0</v>
      </c>
      <c r="GJ56" s="9" t="n">
        <v>0</v>
      </c>
      <c r="GK56" s="9" t="n">
        <v>0</v>
      </c>
      <c r="GL56" s="9" t="n">
        <v>0</v>
      </c>
      <c r="GN56" s="9" t="n">
        <v>0</v>
      </c>
      <c r="GO56" s="9" t="n">
        <v>0</v>
      </c>
      <c r="GP56" s="9" t="n">
        <v>0</v>
      </c>
      <c r="GQ56" s="9" t="n">
        <v>0</v>
      </c>
      <c r="GR56" s="9" t="n">
        <v>0</v>
      </c>
      <c r="GS56" s="9" t="n">
        <v>4</v>
      </c>
      <c r="GT56" s="9" t="n">
        <v>4</v>
      </c>
      <c r="GU56" s="9" t="n">
        <v>4</v>
      </c>
      <c r="GV56" s="9" t="n">
        <v>4</v>
      </c>
      <c r="GW56" s="9" t="n">
        <v>0</v>
      </c>
      <c r="GX56" s="9" t="n">
        <v>0</v>
      </c>
      <c r="GY56" s="9" t="n">
        <v>0</v>
      </c>
      <c r="GZ56" s="9" t="n">
        <v>0</v>
      </c>
      <c r="HA56" s="9" t="n">
        <v>4</v>
      </c>
      <c r="HB56" s="9" t="n">
        <v>0</v>
      </c>
      <c r="HD56" s="9" t="n">
        <v>0</v>
      </c>
      <c r="HE56" s="9" t="n">
        <v>0</v>
      </c>
      <c r="HF56" s="9" t="n">
        <v>0</v>
      </c>
      <c r="HG56" s="9" t="n">
        <v>0</v>
      </c>
      <c r="HH56" s="9" t="n">
        <v>0</v>
      </c>
      <c r="HI56" s="9" t="n">
        <v>0</v>
      </c>
      <c r="HJ56" s="9" t="n">
        <v>0</v>
      </c>
      <c r="HK56" s="9" t="n">
        <v>0</v>
      </c>
      <c r="HL56" s="9" t="n">
        <v>0</v>
      </c>
      <c r="HM56" s="9" t="n">
        <v>0</v>
      </c>
      <c r="HN56" s="9" t="n">
        <v>0</v>
      </c>
      <c r="HO56" s="9" t="n">
        <v>0</v>
      </c>
      <c r="HP56" s="9" t="n">
        <v>0</v>
      </c>
      <c r="HQ56" s="9" t="n">
        <v>0</v>
      </c>
      <c r="HR56" s="9" t="n">
        <v>0</v>
      </c>
      <c r="HT56" s="9" t="n">
        <v>0</v>
      </c>
      <c r="HU56" s="9" t="n">
        <v>0</v>
      </c>
      <c r="HV56" s="9" t="n">
        <v>0</v>
      </c>
      <c r="HW56" s="9" t="n">
        <v>0</v>
      </c>
      <c r="HX56" s="9" t="n">
        <v>0</v>
      </c>
      <c r="HY56" s="9" t="n">
        <v>0</v>
      </c>
      <c r="HZ56" s="9" t="n">
        <v>0</v>
      </c>
      <c r="IA56" s="9" t="n">
        <v>0</v>
      </c>
      <c r="IB56" s="9" t="n">
        <v>0</v>
      </c>
      <c r="IC56" s="9" t="n">
        <v>0</v>
      </c>
      <c r="ID56" s="9" t="n">
        <v>0</v>
      </c>
      <c r="IE56" s="9" t="n">
        <v>0</v>
      </c>
      <c r="IF56" s="9" t="n">
        <v>0</v>
      </c>
      <c r="IG56" s="9" t="n">
        <v>0</v>
      </c>
      <c r="IH56" s="9" t="n">
        <v>0</v>
      </c>
      <c r="IJ56" s="9" t="n">
        <v>0</v>
      </c>
      <c r="IK56" s="9" t="n">
        <v>0</v>
      </c>
      <c r="IL56" s="9" t="n">
        <v>0</v>
      </c>
      <c r="IM56" s="9" t="n">
        <v>0</v>
      </c>
      <c r="IN56" s="9" t="n">
        <v>0</v>
      </c>
      <c r="IO56" s="9" t="n">
        <v>0</v>
      </c>
      <c r="IP56" s="9" t="n">
        <v>0</v>
      </c>
      <c r="IQ56" s="9" t="n">
        <v>0</v>
      </c>
      <c r="IR56" s="9" t="n">
        <v>0</v>
      </c>
      <c r="IS56" s="9" t="n">
        <v>0</v>
      </c>
      <c r="IT56" s="9" t="n">
        <v>0</v>
      </c>
      <c r="IU56" s="9" t="n">
        <v>0</v>
      </c>
      <c r="IV56" s="9" t="n">
        <v>0</v>
      </c>
      <c r="IW56" s="9" t="n">
        <v>0</v>
      </c>
      <c r="IX56" s="9" t="n">
        <v>0</v>
      </c>
    </row>
    <row r="57">
      <c r="A57" s="10" t="n">
        <v>46056</v>
      </c>
      <c r="AH57" s="9" t="n">
        <v>16</v>
      </c>
      <c r="BQ57" s="9" t="n">
        <v>26</v>
      </c>
      <c r="EA57" s="9" t="inlineStr">
        <is>
          <t>8103 TOP UP (5KG)</t>
        </is>
      </c>
      <c r="EB57" s="9" t="n">
        <v>0</v>
      </c>
      <c r="EC57" s="9" t="n">
        <v>0</v>
      </c>
      <c r="ED57" s="9" t="n">
        <v>0</v>
      </c>
      <c r="EE57" s="9" t="n">
        <v>0</v>
      </c>
      <c r="EF57" s="9" t="n">
        <v>0</v>
      </c>
      <c r="EG57" s="9" t="n">
        <v>0</v>
      </c>
      <c r="EH57" s="9" t="n">
        <v>0</v>
      </c>
      <c r="EI57" s="9" t="n">
        <v>0</v>
      </c>
      <c r="EJ57" s="9" t="n">
        <v>0</v>
      </c>
      <c r="EK57" s="9" t="n">
        <v>0</v>
      </c>
      <c r="EL57" s="9" t="n">
        <v>0</v>
      </c>
      <c r="EM57" s="9" t="n">
        <v>0</v>
      </c>
      <c r="EN57" s="9" t="n">
        <v>0</v>
      </c>
      <c r="EO57" s="9" t="n">
        <v>0</v>
      </c>
      <c r="EP57" s="9" t="n">
        <v>0</v>
      </c>
      <c r="ER57" s="9" t="n">
        <v>0</v>
      </c>
      <c r="ES57" s="9" t="n">
        <v>0</v>
      </c>
      <c r="ET57" s="9" t="n">
        <v>0</v>
      </c>
      <c r="EU57" s="9" t="n">
        <v>0</v>
      </c>
      <c r="EV57" s="9" t="n">
        <v>0</v>
      </c>
      <c r="EW57" s="9" t="n">
        <v>0</v>
      </c>
      <c r="EX57" s="9" t="n">
        <v>0</v>
      </c>
      <c r="EY57" s="9" t="n">
        <v>0</v>
      </c>
      <c r="EZ57" s="9" t="n">
        <v>0</v>
      </c>
      <c r="FA57" s="9" t="n">
        <v>0</v>
      </c>
      <c r="FB57" s="9" t="n">
        <v>0</v>
      </c>
      <c r="FC57" s="9" t="n">
        <v>0</v>
      </c>
      <c r="FD57" s="9" t="n">
        <v>0</v>
      </c>
      <c r="FE57" s="9" t="n">
        <v>0</v>
      </c>
      <c r="FF57" s="9" t="n">
        <v>0</v>
      </c>
      <c r="FH57" s="9" t="n">
        <v>0</v>
      </c>
      <c r="FI57" s="9" t="n">
        <v>0</v>
      </c>
      <c r="FJ57" s="9" t="n">
        <v>0</v>
      </c>
      <c r="FK57" s="9" t="n">
        <v>0</v>
      </c>
      <c r="FL57" s="9" t="n">
        <v>0</v>
      </c>
      <c r="FM57" s="9" t="n">
        <v>0</v>
      </c>
      <c r="FN57" s="9" t="n">
        <v>0</v>
      </c>
      <c r="FO57" s="9" t="n">
        <v>0</v>
      </c>
      <c r="FP57" s="9" t="n">
        <v>0</v>
      </c>
      <c r="FQ57" s="9" t="n">
        <v>0</v>
      </c>
      <c r="FR57" s="9" t="n">
        <v>0</v>
      </c>
      <c r="FS57" s="9" t="n">
        <v>0</v>
      </c>
      <c r="FT57" s="9" t="n">
        <v>0</v>
      </c>
      <c r="FU57" s="9" t="n">
        <v>0</v>
      </c>
      <c r="FV57" s="9" t="n">
        <v>0</v>
      </c>
      <c r="FX57" s="9" t="n">
        <v>0</v>
      </c>
      <c r="FY57" s="9" t="n">
        <v>0</v>
      </c>
      <c r="FZ57" s="9" t="n">
        <v>0</v>
      </c>
      <c r="GA57" s="9" t="n">
        <v>0</v>
      </c>
      <c r="GB57" s="9" t="n">
        <v>0</v>
      </c>
      <c r="GC57" s="9" t="n">
        <v>0</v>
      </c>
      <c r="GD57" s="9" t="n">
        <v>0</v>
      </c>
      <c r="GE57" s="9" t="n">
        <v>0</v>
      </c>
      <c r="GF57" s="9" t="n">
        <v>0</v>
      </c>
      <c r="GG57" s="9" t="n">
        <v>0</v>
      </c>
      <c r="GH57" s="9" t="n">
        <v>0</v>
      </c>
      <c r="GI57" s="9" t="n">
        <v>0</v>
      </c>
      <c r="GJ57" s="9" t="n">
        <v>0</v>
      </c>
      <c r="GK57" s="9" t="n">
        <v>0</v>
      </c>
      <c r="GL57" s="9" t="n">
        <v>0</v>
      </c>
      <c r="GN57" s="9" t="n">
        <v>0</v>
      </c>
      <c r="GO57" s="9" t="n">
        <v>0</v>
      </c>
      <c r="GP57" s="9" t="n">
        <v>0</v>
      </c>
      <c r="GQ57" s="9" t="n">
        <v>0</v>
      </c>
      <c r="GR57" s="9" t="n">
        <v>0</v>
      </c>
      <c r="GS57" s="9" t="n">
        <v>0</v>
      </c>
      <c r="GT57" s="9" t="n">
        <v>0</v>
      </c>
      <c r="GU57" s="9" t="n">
        <v>0</v>
      </c>
      <c r="GV57" s="9" t="n">
        <v>0</v>
      </c>
      <c r="GW57" s="9" t="n">
        <v>2.5</v>
      </c>
      <c r="GX57" s="9" t="n">
        <v>2.5</v>
      </c>
      <c r="GY57" s="9" t="n">
        <v>0</v>
      </c>
      <c r="GZ57" s="9" t="n">
        <v>0</v>
      </c>
      <c r="HA57" s="9" t="n">
        <v>0</v>
      </c>
      <c r="HB57" s="9" t="n">
        <v>2.5</v>
      </c>
      <c r="HD57" s="9" t="n">
        <v>0</v>
      </c>
      <c r="HE57" s="9" t="n">
        <v>0</v>
      </c>
      <c r="HF57" s="9" t="n">
        <v>0</v>
      </c>
      <c r="HG57" s="9" t="n">
        <v>0</v>
      </c>
      <c r="HH57" s="9" t="n">
        <v>0</v>
      </c>
      <c r="HI57" s="9" t="n">
        <v>0</v>
      </c>
      <c r="HJ57" s="9" t="n">
        <v>0</v>
      </c>
      <c r="HK57" s="9" t="n">
        <v>0</v>
      </c>
      <c r="HL57" s="9" t="n">
        <v>0</v>
      </c>
      <c r="HM57" s="9" t="n">
        <v>0</v>
      </c>
      <c r="HN57" s="9" t="n">
        <v>0</v>
      </c>
      <c r="HO57" s="9" t="n">
        <v>0</v>
      </c>
      <c r="HP57" s="9" t="n">
        <v>0</v>
      </c>
      <c r="HQ57" s="9" t="n">
        <v>0</v>
      </c>
      <c r="HR57" s="9" t="n">
        <v>0</v>
      </c>
      <c r="HT57" s="9" t="n">
        <v>0</v>
      </c>
      <c r="HU57" s="9" t="n">
        <v>0</v>
      </c>
      <c r="HV57" s="9" t="n">
        <v>0</v>
      </c>
      <c r="HW57" s="9" t="n">
        <v>0</v>
      </c>
      <c r="HX57" s="9" t="n">
        <v>0</v>
      </c>
      <c r="HY57" s="9" t="n">
        <v>0</v>
      </c>
      <c r="HZ57" s="9" t="n">
        <v>0</v>
      </c>
      <c r="IA57" s="9" t="n">
        <v>0</v>
      </c>
      <c r="IB57" s="9" t="n">
        <v>0</v>
      </c>
      <c r="IC57" s="9" t="n">
        <v>0</v>
      </c>
      <c r="ID57" s="9" t="n">
        <v>0</v>
      </c>
      <c r="IE57" s="9" t="n">
        <v>0</v>
      </c>
      <c r="IF57" s="9" t="n">
        <v>0</v>
      </c>
      <c r="IG57" s="9" t="n">
        <v>0</v>
      </c>
      <c r="IH57" s="9" t="n">
        <v>0</v>
      </c>
      <c r="IJ57" s="9" t="n">
        <v>0</v>
      </c>
      <c r="IK57" s="9" t="n">
        <v>0</v>
      </c>
      <c r="IL57" s="9" t="n">
        <v>0</v>
      </c>
      <c r="IM57" s="9" t="n">
        <v>0</v>
      </c>
      <c r="IN57" s="9" t="n">
        <v>0</v>
      </c>
      <c r="IO57" s="9" t="n">
        <v>0</v>
      </c>
      <c r="IP57" s="9" t="n">
        <v>0</v>
      </c>
      <c r="IQ57" s="9" t="n">
        <v>0</v>
      </c>
      <c r="IR57" s="9" t="n">
        <v>0</v>
      </c>
      <c r="IS57" s="9" t="n">
        <v>0</v>
      </c>
      <c r="IT57" s="9" t="n">
        <v>0</v>
      </c>
      <c r="IU57" s="9" t="n">
        <v>0</v>
      </c>
      <c r="IV57" s="9" t="n">
        <v>0</v>
      </c>
      <c r="IW57" s="9" t="n">
        <v>0</v>
      </c>
      <c r="IX57" s="9" t="n">
        <v>0</v>
      </c>
    </row>
    <row r="58">
      <c r="A58" s="10" t="n">
        <v>46057</v>
      </c>
      <c r="EA58" s="9" t="inlineStr">
        <is>
          <t>L-ARGININE</t>
        </is>
      </c>
      <c r="EB58" s="9" t="n">
        <v>0</v>
      </c>
      <c r="EC58" s="9" t="n">
        <v>0</v>
      </c>
      <c r="ED58" s="9" t="n">
        <v>0</v>
      </c>
      <c r="EE58" s="9" t="n">
        <v>0</v>
      </c>
      <c r="EF58" s="9" t="n">
        <v>0</v>
      </c>
      <c r="EG58" s="9" t="n">
        <v>0</v>
      </c>
      <c r="EH58" s="9" t="n">
        <v>0</v>
      </c>
      <c r="EI58" s="9" t="n">
        <v>0</v>
      </c>
      <c r="EJ58" s="9" t="n">
        <v>0</v>
      </c>
      <c r="EK58" s="9" t="n">
        <v>0</v>
      </c>
      <c r="EL58" s="9" t="n">
        <v>0</v>
      </c>
      <c r="EM58" s="9" t="n">
        <v>0</v>
      </c>
      <c r="EN58" s="9" t="n">
        <v>0</v>
      </c>
      <c r="EO58" s="9" t="n">
        <v>0</v>
      </c>
      <c r="EP58" s="9" t="n">
        <v>0</v>
      </c>
      <c r="ER58" s="9" t="n">
        <v>0</v>
      </c>
      <c r="ES58" s="9" t="n">
        <v>0</v>
      </c>
      <c r="ET58" s="9" t="n">
        <v>0</v>
      </c>
      <c r="EU58" s="9" t="n">
        <v>0</v>
      </c>
      <c r="EV58" s="9" t="n">
        <v>0</v>
      </c>
      <c r="EW58" s="9" t="n">
        <v>0</v>
      </c>
      <c r="EX58" s="9" t="n">
        <v>0</v>
      </c>
      <c r="EY58" s="9" t="n">
        <v>0</v>
      </c>
      <c r="EZ58" s="9" t="n">
        <v>0</v>
      </c>
      <c r="FA58" s="9" t="n">
        <v>0</v>
      </c>
      <c r="FB58" s="9" t="n">
        <v>0</v>
      </c>
      <c r="FC58" s="9" t="n">
        <v>0</v>
      </c>
      <c r="FD58" s="9" t="n">
        <v>0</v>
      </c>
      <c r="FE58" s="9" t="n">
        <v>0</v>
      </c>
      <c r="FF58" s="9" t="n">
        <v>0</v>
      </c>
      <c r="FH58" s="9" t="n">
        <v>0</v>
      </c>
      <c r="FI58" s="9" t="n">
        <v>0</v>
      </c>
      <c r="FJ58" s="9" t="n">
        <v>0</v>
      </c>
      <c r="FK58" s="9" t="n">
        <v>0</v>
      </c>
      <c r="FL58" s="9" t="n">
        <v>0</v>
      </c>
      <c r="FM58" s="9" t="n">
        <v>0</v>
      </c>
      <c r="FN58" s="9" t="n">
        <v>0</v>
      </c>
      <c r="FO58" s="9" t="n">
        <v>0</v>
      </c>
      <c r="FP58" s="9" t="n">
        <v>0</v>
      </c>
      <c r="FQ58" s="9" t="n">
        <v>0</v>
      </c>
      <c r="FR58" s="9" t="n">
        <v>0</v>
      </c>
      <c r="FS58" s="9" t="n">
        <v>0</v>
      </c>
      <c r="FT58" s="9" t="n">
        <v>0</v>
      </c>
      <c r="FU58" s="9" t="n">
        <v>0</v>
      </c>
      <c r="FV58" s="9" t="n">
        <v>0</v>
      </c>
      <c r="FX58" s="9" t="n">
        <v>0</v>
      </c>
      <c r="FY58" s="9" t="n">
        <v>0</v>
      </c>
      <c r="FZ58" s="9" t="n">
        <v>0</v>
      </c>
      <c r="GA58" s="9" t="n">
        <v>0</v>
      </c>
      <c r="GB58" s="9" t="n">
        <v>0</v>
      </c>
      <c r="GC58" s="9" t="n">
        <v>0</v>
      </c>
      <c r="GD58" s="9" t="n">
        <v>0</v>
      </c>
      <c r="GE58" s="9" t="n">
        <v>0</v>
      </c>
      <c r="GF58" s="9" t="n">
        <v>0</v>
      </c>
      <c r="GG58" s="9" t="n">
        <v>0</v>
      </c>
      <c r="GH58" s="9" t="n">
        <v>0</v>
      </c>
      <c r="GI58" s="9" t="n">
        <v>0</v>
      </c>
      <c r="GJ58" s="9" t="n">
        <v>0</v>
      </c>
      <c r="GK58" s="9" t="n">
        <v>0</v>
      </c>
      <c r="GL58" s="9" t="n">
        <v>0</v>
      </c>
      <c r="GN58" s="9" t="n">
        <v>0</v>
      </c>
      <c r="GO58" s="9" t="n">
        <v>0</v>
      </c>
      <c r="GP58" s="9" t="n">
        <v>0</v>
      </c>
      <c r="GQ58" s="9" t="n">
        <v>0</v>
      </c>
      <c r="GR58" s="9" t="n">
        <v>0</v>
      </c>
      <c r="GS58" s="9" t="n">
        <v>0</v>
      </c>
      <c r="GT58" s="9" t="n">
        <v>0</v>
      </c>
      <c r="GU58" s="9" t="n">
        <v>0</v>
      </c>
      <c r="GV58" s="9" t="n">
        <v>0</v>
      </c>
      <c r="GW58" s="9" t="n">
        <v>0</v>
      </c>
      <c r="GX58" s="9" t="n">
        <v>0</v>
      </c>
      <c r="GY58" s="9" t="n">
        <v>0</v>
      </c>
      <c r="GZ58" s="9" t="n">
        <v>0</v>
      </c>
      <c r="HA58" s="9" t="n">
        <v>0</v>
      </c>
      <c r="HB58" s="9" t="n">
        <v>0</v>
      </c>
      <c r="HD58" s="9" t="n">
        <v>0</v>
      </c>
      <c r="HE58" s="9" t="n">
        <v>0</v>
      </c>
      <c r="HF58" s="9" t="n">
        <v>0</v>
      </c>
      <c r="HG58" s="9" t="n">
        <v>0</v>
      </c>
      <c r="HH58" s="9" t="n">
        <v>0</v>
      </c>
      <c r="HI58" s="9" t="n">
        <v>0</v>
      </c>
      <c r="HJ58" s="9" t="n">
        <v>0</v>
      </c>
      <c r="HK58" s="9" t="n">
        <v>0</v>
      </c>
      <c r="HL58" s="9" t="n">
        <v>0</v>
      </c>
      <c r="HM58" s="9" t="n">
        <v>0</v>
      </c>
      <c r="HN58" s="9" t="n">
        <v>0</v>
      </c>
      <c r="HO58" s="9" t="n">
        <v>0</v>
      </c>
      <c r="HP58" s="9" t="n">
        <v>0</v>
      </c>
      <c r="HQ58" s="9" t="n">
        <v>0</v>
      </c>
      <c r="HR58" s="9" t="n">
        <v>0</v>
      </c>
      <c r="HT58" s="9" t="n">
        <v>0</v>
      </c>
      <c r="HU58" s="9" t="n">
        <v>0</v>
      </c>
      <c r="HV58" s="9" t="n">
        <v>0</v>
      </c>
      <c r="HW58" s="9" t="n">
        <v>0</v>
      </c>
      <c r="HX58" s="9" t="n">
        <v>0</v>
      </c>
      <c r="HY58" s="9" t="n">
        <v>0</v>
      </c>
      <c r="HZ58" s="9" t="n">
        <v>0</v>
      </c>
      <c r="IA58" s="9" t="n">
        <v>0</v>
      </c>
      <c r="IB58" s="9" t="n">
        <v>0</v>
      </c>
      <c r="IC58" s="9" t="n">
        <v>0</v>
      </c>
      <c r="ID58" s="9" t="n">
        <v>0</v>
      </c>
      <c r="IE58" s="9" t="n">
        <v>0</v>
      </c>
      <c r="IF58" s="9" t="n">
        <v>0</v>
      </c>
      <c r="IG58" s="9" t="n">
        <v>0</v>
      </c>
      <c r="IH58" s="9" t="n">
        <v>0</v>
      </c>
      <c r="IJ58" s="9" t="n">
        <v>0</v>
      </c>
      <c r="IK58" s="9" t="n">
        <v>0</v>
      </c>
      <c r="IL58" s="9" t="n">
        <v>0</v>
      </c>
      <c r="IM58" s="9" t="n">
        <v>0</v>
      </c>
      <c r="IN58" s="9" t="n">
        <v>0</v>
      </c>
      <c r="IO58" s="9" t="n">
        <v>0</v>
      </c>
      <c r="IP58" s="9" t="n">
        <v>0</v>
      </c>
      <c r="IQ58" s="9" t="n">
        <v>0</v>
      </c>
      <c r="IR58" s="9" t="n">
        <v>0</v>
      </c>
      <c r="IS58" s="9" t="n">
        <v>0</v>
      </c>
      <c r="IT58" s="9" t="n">
        <v>0</v>
      </c>
      <c r="IU58" s="9" t="n">
        <v>0</v>
      </c>
      <c r="IV58" s="9" t="n">
        <v>0</v>
      </c>
      <c r="IW58" s="9" t="n">
        <v>0</v>
      </c>
      <c r="IX58" s="9" t="n">
        <v>0</v>
      </c>
    </row>
    <row r="59">
      <c r="A59" s="10" t="n">
        <v>46058</v>
      </c>
      <c r="BN59" s="9" t="n">
        <v>52</v>
      </c>
      <c r="BZ59" s="9" t="n">
        <v>26</v>
      </c>
      <c r="EA59" s="9" t="inlineStr">
        <is>
          <t>DL-METHIONINE</t>
        </is>
      </c>
      <c r="EB59" s="9" t="n">
        <v>0</v>
      </c>
      <c r="EC59" s="9" t="n">
        <v>0</v>
      </c>
      <c r="ED59" s="9" t="n">
        <v>0</v>
      </c>
      <c r="EE59" s="9" t="n">
        <v>0</v>
      </c>
      <c r="EF59" s="9" t="n">
        <v>0</v>
      </c>
      <c r="EG59" s="9" t="n">
        <v>0</v>
      </c>
      <c r="EH59" s="9" t="n">
        <v>0</v>
      </c>
      <c r="EI59" s="9" t="n">
        <v>0</v>
      </c>
      <c r="EJ59" s="9" t="n">
        <v>0</v>
      </c>
      <c r="EK59" s="9" t="n">
        <v>0</v>
      </c>
      <c r="EL59" s="9" t="n">
        <v>0</v>
      </c>
      <c r="EM59" s="9" t="n">
        <v>0</v>
      </c>
      <c r="EN59" s="9" t="n">
        <v>0</v>
      </c>
      <c r="EO59" s="9" t="n">
        <v>0</v>
      </c>
      <c r="EP59" s="9" t="n">
        <v>0</v>
      </c>
      <c r="ER59" s="9" t="n">
        <v>0</v>
      </c>
      <c r="ES59" s="9" t="n">
        <v>0</v>
      </c>
      <c r="ET59" s="9" t="n">
        <v>0</v>
      </c>
      <c r="EU59" s="9" t="n">
        <v>0</v>
      </c>
      <c r="EV59" s="9" t="n">
        <v>0</v>
      </c>
      <c r="EW59" s="9" t="n">
        <v>0</v>
      </c>
      <c r="EX59" s="9" t="n">
        <v>0</v>
      </c>
      <c r="EY59" s="9" t="n">
        <v>0</v>
      </c>
      <c r="EZ59" s="9" t="n">
        <v>0</v>
      </c>
      <c r="FA59" s="9" t="n">
        <v>0</v>
      </c>
      <c r="FB59" s="9" t="n">
        <v>0</v>
      </c>
      <c r="FC59" s="9" t="n">
        <v>0</v>
      </c>
      <c r="FD59" s="9" t="n">
        <v>0</v>
      </c>
      <c r="FE59" s="9" t="n">
        <v>0</v>
      </c>
      <c r="FF59" s="9" t="n">
        <v>0</v>
      </c>
      <c r="FH59" s="9" t="n">
        <v>0</v>
      </c>
      <c r="FI59" s="9" t="n">
        <v>0</v>
      </c>
      <c r="FJ59" s="9" t="n">
        <v>0</v>
      </c>
      <c r="FK59" s="9" t="n">
        <v>0</v>
      </c>
      <c r="FL59" s="9" t="n">
        <v>0</v>
      </c>
      <c r="FM59" s="9" t="n">
        <v>0</v>
      </c>
      <c r="FN59" s="9" t="n">
        <v>0</v>
      </c>
      <c r="FO59" s="9" t="n">
        <v>0</v>
      </c>
      <c r="FP59" s="9" t="n">
        <v>0</v>
      </c>
      <c r="FQ59" s="9" t="n">
        <v>0</v>
      </c>
      <c r="FR59" s="9" t="n">
        <v>0</v>
      </c>
      <c r="FS59" s="9" t="n">
        <v>0</v>
      </c>
      <c r="FT59" s="9" t="n">
        <v>0</v>
      </c>
      <c r="FU59" s="9" t="n">
        <v>0</v>
      </c>
      <c r="FV59" s="9" t="n">
        <v>0</v>
      </c>
      <c r="FX59" s="9" t="n">
        <v>0</v>
      </c>
      <c r="FY59" s="9" t="n">
        <v>0</v>
      </c>
      <c r="FZ59" s="9" t="n">
        <v>0</v>
      </c>
      <c r="GA59" s="9" t="n">
        <v>0</v>
      </c>
      <c r="GB59" s="9" t="n">
        <v>0</v>
      </c>
      <c r="GC59" s="9" t="n">
        <v>0</v>
      </c>
      <c r="GD59" s="9" t="n">
        <v>0</v>
      </c>
      <c r="GE59" s="9" t="n">
        <v>0</v>
      </c>
      <c r="GF59" s="9" t="n">
        <v>0</v>
      </c>
      <c r="GG59" s="9" t="n">
        <v>0</v>
      </c>
      <c r="GH59" s="9" t="n">
        <v>0</v>
      </c>
      <c r="GI59" s="9" t="n">
        <v>0</v>
      </c>
      <c r="GJ59" s="9" t="n">
        <v>0</v>
      </c>
      <c r="GK59" s="9" t="n">
        <v>0</v>
      </c>
      <c r="GL59" s="9" t="n">
        <v>0</v>
      </c>
      <c r="GN59" s="9" t="n">
        <v>0</v>
      </c>
      <c r="GO59" s="9" t="n">
        <v>0</v>
      </c>
      <c r="GP59" s="9" t="n">
        <v>0</v>
      </c>
      <c r="GQ59" s="9" t="n">
        <v>0</v>
      </c>
      <c r="GR59" s="9" t="n">
        <v>0</v>
      </c>
      <c r="GS59" s="9" t="n">
        <v>0</v>
      </c>
      <c r="GT59" s="9" t="n">
        <v>0</v>
      </c>
      <c r="GU59" s="9" t="n">
        <v>0</v>
      </c>
      <c r="GV59" s="9" t="n">
        <v>0</v>
      </c>
      <c r="GW59" s="9" t="n">
        <v>0</v>
      </c>
      <c r="GX59" s="9" t="n">
        <v>0</v>
      </c>
      <c r="GY59" s="9" t="n">
        <v>0</v>
      </c>
      <c r="GZ59" s="9" t="n">
        <v>0</v>
      </c>
      <c r="HA59" s="9" t="n">
        <v>0</v>
      </c>
      <c r="HB59" s="9" t="n">
        <v>0</v>
      </c>
      <c r="HD59" s="9" t="n">
        <v>0</v>
      </c>
      <c r="HE59" s="9" t="n">
        <v>0</v>
      </c>
      <c r="HF59" s="9" t="n">
        <v>0</v>
      </c>
      <c r="HG59" s="9" t="n">
        <v>0</v>
      </c>
      <c r="HH59" s="9" t="n">
        <v>0</v>
      </c>
      <c r="HI59" s="9" t="n">
        <v>0</v>
      </c>
      <c r="HJ59" s="9" t="n">
        <v>0</v>
      </c>
      <c r="HK59" s="9" t="n">
        <v>0</v>
      </c>
      <c r="HL59" s="9" t="n">
        <v>0</v>
      </c>
      <c r="HM59" s="9" t="n">
        <v>0</v>
      </c>
      <c r="HN59" s="9" t="n">
        <v>0</v>
      </c>
      <c r="HO59" s="9" t="n">
        <v>0</v>
      </c>
      <c r="HP59" s="9" t="n">
        <v>0</v>
      </c>
      <c r="HQ59" s="9" t="n">
        <v>0</v>
      </c>
      <c r="HR59" s="9" t="n">
        <v>0</v>
      </c>
      <c r="HT59" s="9" t="n">
        <v>0</v>
      </c>
      <c r="HU59" s="9" t="n">
        <v>0</v>
      </c>
      <c r="HV59" s="9" t="n">
        <v>0</v>
      </c>
      <c r="HW59" s="9" t="n">
        <v>0</v>
      </c>
      <c r="HX59" s="9" t="n">
        <v>0</v>
      </c>
      <c r="HY59" s="9" t="n">
        <v>0</v>
      </c>
      <c r="HZ59" s="9" t="n">
        <v>0</v>
      </c>
      <c r="IA59" s="9" t="n">
        <v>0</v>
      </c>
      <c r="IB59" s="9" t="n">
        <v>0</v>
      </c>
      <c r="IC59" s="9" t="n">
        <v>0</v>
      </c>
      <c r="ID59" s="9" t="n">
        <v>0</v>
      </c>
      <c r="IE59" s="9" t="n">
        <v>0</v>
      </c>
      <c r="IF59" s="9" t="n">
        <v>0</v>
      </c>
      <c r="IG59" s="9" t="n">
        <v>0</v>
      </c>
      <c r="IH59" s="9" t="n">
        <v>0</v>
      </c>
      <c r="IJ59" s="9" t="n">
        <v>0</v>
      </c>
      <c r="IK59" s="9" t="n">
        <v>0.5</v>
      </c>
      <c r="IL59" s="9" t="n">
        <v>0</v>
      </c>
      <c r="IM59" s="9" t="n">
        <v>0</v>
      </c>
      <c r="IN59" s="9" t="n">
        <v>0</v>
      </c>
      <c r="IO59" s="9" t="n">
        <v>0</v>
      </c>
      <c r="IP59" s="9" t="n">
        <v>0</v>
      </c>
      <c r="IQ59" s="9" t="n">
        <v>0</v>
      </c>
      <c r="IR59" s="9" t="n">
        <v>0</v>
      </c>
      <c r="IS59" s="9" t="n">
        <v>0</v>
      </c>
      <c r="IT59" s="9" t="n">
        <v>0</v>
      </c>
      <c r="IU59" s="9" t="n">
        <v>0</v>
      </c>
      <c r="IV59" s="9" t="n">
        <v>0</v>
      </c>
      <c r="IW59" s="9" t="n">
        <v>0</v>
      </c>
      <c r="IX59" s="9" t="n">
        <v>0</v>
      </c>
    </row>
    <row r="60">
      <c r="A60" s="10" t="n">
        <v>46059</v>
      </c>
      <c r="CT60" s="9" t="n">
        <v>70</v>
      </c>
      <c r="EA60" s="9" t="inlineStr">
        <is>
          <t>L-THREONINE</t>
        </is>
      </c>
      <c r="EB60" s="9" t="n">
        <v>0</v>
      </c>
      <c r="EC60" s="9" t="n">
        <v>0</v>
      </c>
      <c r="ED60" s="9" t="n">
        <v>0</v>
      </c>
      <c r="EE60" s="9" t="n">
        <v>0</v>
      </c>
      <c r="EF60" s="9" t="n">
        <v>0</v>
      </c>
      <c r="EG60" s="9" t="n">
        <v>0</v>
      </c>
      <c r="EH60" s="9" t="n">
        <v>0</v>
      </c>
      <c r="EI60" s="9" t="n">
        <v>0</v>
      </c>
      <c r="EJ60" s="9" t="n">
        <v>0</v>
      </c>
      <c r="EK60" s="9" t="n">
        <v>0</v>
      </c>
      <c r="EL60" s="9" t="n">
        <v>0</v>
      </c>
      <c r="EM60" s="9" t="n">
        <v>0</v>
      </c>
      <c r="EN60" s="9" t="n">
        <v>0</v>
      </c>
      <c r="EO60" s="9" t="n">
        <v>0</v>
      </c>
      <c r="EP60" s="9" t="n">
        <v>0</v>
      </c>
      <c r="ER60" s="9" t="n">
        <v>0</v>
      </c>
      <c r="ES60" s="9" t="n">
        <v>0</v>
      </c>
      <c r="ET60" s="9" t="n">
        <v>0</v>
      </c>
      <c r="EU60" s="9" t="n">
        <v>0</v>
      </c>
      <c r="EV60" s="9" t="n">
        <v>0</v>
      </c>
      <c r="EW60" s="9" t="n">
        <v>0</v>
      </c>
      <c r="EX60" s="9" t="n">
        <v>0</v>
      </c>
      <c r="EY60" s="9" t="n">
        <v>0</v>
      </c>
      <c r="EZ60" s="9" t="n">
        <v>0</v>
      </c>
      <c r="FA60" s="9" t="n">
        <v>0</v>
      </c>
      <c r="FB60" s="9" t="n">
        <v>0</v>
      </c>
      <c r="FC60" s="9" t="n">
        <v>0</v>
      </c>
      <c r="FD60" s="9" t="n">
        <v>0</v>
      </c>
      <c r="FE60" s="9" t="n">
        <v>0</v>
      </c>
      <c r="FF60" s="9" t="n">
        <v>0</v>
      </c>
      <c r="FH60" s="9" t="n">
        <v>0</v>
      </c>
      <c r="FI60" s="9" t="n">
        <v>0</v>
      </c>
      <c r="FJ60" s="9" t="n">
        <v>0</v>
      </c>
      <c r="FK60" s="9" t="n">
        <v>0</v>
      </c>
      <c r="FL60" s="9" t="n">
        <v>0</v>
      </c>
      <c r="FM60" s="9" t="n">
        <v>0</v>
      </c>
      <c r="FN60" s="9" t="n">
        <v>0</v>
      </c>
      <c r="FO60" s="9" t="n">
        <v>0</v>
      </c>
      <c r="FP60" s="9" t="n">
        <v>0</v>
      </c>
      <c r="FQ60" s="9" t="n">
        <v>0</v>
      </c>
      <c r="FR60" s="9" t="n">
        <v>0</v>
      </c>
      <c r="FS60" s="9" t="n">
        <v>0</v>
      </c>
      <c r="FT60" s="9" t="n">
        <v>0</v>
      </c>
      <c r="FU60" s="9" t="n">
        <v>0</v>
      </c>
      <c r="FV60" s="9" t="n">
        <v>0</v>
      </c>
      <c r="FX60" s="9" t="n">
        <v>0</v>
      </c>
      <c r="FY60" s="9" t="n">
        <v>0</v>
      </c>
      <c r="FZ60" s="9" t="n">
        <v>0</v>
      </c>
      <c r="GA60" s="9" t="n">
        <v>0</v>
      </c>
      <c r="GB60" s="9" t="n">
        <v>0</v>
      </c>
      <c r="GC60" s="9" t="n">
        <v>0</v>
      </c>
      <c r="GD60" s="9" t="n">
        <v>0</v>
      </c>
      <c r="GE60" s="9" t="n">
        <v>0</v>
      </c>
      <c r="GF60" s="9" t="n">
        <v>0</v>
      </c>
      <c r="GG60" s="9" t="n">
        <v>0</v>
      </c>
      <c r="GH60" s="9" t="n">
        <v>0</v>
      </c>
      <c r="GI60" s="9" t="n">
        <v>0</v>
      </c>
      <c r="GJ60" s="9" t="n">
        <v>0</v>
      </c>
      <c r="GK60" s="9" t="n">
        <v>0</v>
      </c>
      <c r="GL60" s="9" t="n">
        <v>0</v>
      </c>
      <c r="GN60" s="9" t="n">
        <v>0</v>
      </c>
      <c r="GO60" s="9" t="n">
        <v>0</v>
      </c>
      <c r="GP60" s="9" t="n">
        <v>0</v>
      </c>
      <c r="GQ60" s="9" t="n">
        <v>0</v>
      </c>
      <c r="GR60" s="9" t="n">
        <v>0</v>
      </c>
      <c r="GS60" s="9" t="n">
        <v>0</v>
      </c>
      <c r="GT60" s="9" t="n">
        <v>0</v>
      </c>
      <c r="GU60" s="9" t="n">
        <v>0</v>
      </c>
      <c r="GV60" s="9" t="n">
        <v>0</v>
      </c>
      <c r="GW60" s="9" t="n">
        <v>0</v>
      </c>
      <c r="GX60" s="9" t="n">
        <v>0</v>
      </c>
      <c r="GY60" s="9" t="n">
        <v>0</v>
      </c>
      <c r="GZ60" s="9" t="n">
        <v>0</v>
      </c>
      <c r="HA60" s="9" t="n">
        <v>0</v>
      </c>
      <c r="HB60" s="9" t="n">
        <v>0</v>
      </c>
      <c r="HD60" s="9" t="n">
        <v>0</v>
      </c>
      <c r="HE60" s="9" t="n">
        <v>0</v>
      </c>
      <c r="HF60" s="9" t="n">
        <v>0</v>
      </c>
      <c r="HG60" s="9" t="n">
        <v>0</v>
      </c>
      <c r="HH60" s="9" t="n">
        <v>0</v>
      </c>
      <c r="HI60" s="9" t="n">
        <v>0</v>
      </c>
      <c r="HJ60" s="9" t="n">
        <v>0</v>
      </c>
      <c r="HK60" s="9" t="n">
        <v>0</v>
      </c>
      <c r="HL60" s="9" t="n">
        <v>0</v>
      </c>
      <c r="HM60" s="9" t="n">
        <v>0</v>
      </c>
      <c r="HN60" s="9" t="n">
        <v>0</v>
      </c>
      <c r="HO60" s="9" t="n">
        <v>0</v>
      </c>
      <c r="HP60" s="9" t="n">
        <v>0</v>
      </c>
      <c r="HQ60" s="9" t="n">
        <v>0</v>
      </c>
      <c r="HR60" s="9" t="n">
        <v>0</v>
      </c>
      <c r="HT60" s="9" t="n">
        <v>0</v>
      </c>
      <c r="HU60" s="9" t="n">
        <v>0</v>
      </c>
      <c r="HV60" s="9" t="n">
        <v>0</v>
      </c>
      <c r="HW60" s="9" t="n">
        <v>0</v>
      </c>
      <c r="HX60" s="9" t="n">
        <v>0</v>
      </c>
      <c r="HY60" s="9" t="n">
        <v>0</v>
      </c>
      <c r="HZ60" s="9" t="n">
        <v>0</v>
      </c>
      <c r="IA60" s="9" t="n">
        <v>0</v>
      </c>
      <c r="IB60" s="9" t="n">
        <v>0</v>
      </c>
      <c r="IC60" s="9" t="n">
        <v>0</v>
      </c>
      <c r="ID60" s="9" t="n">
        <v>0</v>
      </c>
      <c r="IE60" s="9" t="n">
        <v>0</v>
      </c>
      <c r="IF60" s="9" t="n">
        <v>0</v>
      </c>
      <c r="IG60" s="9" t="n">
        <v>0</v>
      </c>
      <c r="IH60" s="9" t="n">
        <v>0</v>
      </c>
      <c r="IJ60" s="9" t="n">
        <v>0</v>
      </c>
      <c r="IK60" s="9" t="n">
        <v>0.17</v>
      </c>
      <c r="IL60" s="9" t="n">
        <v>0</v>
      </c>
      <c r="IM60" s="9" t="n">
        <v>0</v>
      </c>
      <c r="IN60" s="9" t="n">
        <v>0</v>
      </c>
      <c r="IO60" s="9" t="n">
        <v>0</v>
      </c>
      <c r="IP60" s="9" t="n">
        <v>0</v>
      </c>
      <c r="IQ60" s="9" t="n">
        <v>0</v>
      </c>
      <c r="IR60" s="9" t="n">
        <v>0</v>
      </c>
      <c r="IS60" s="9" t="n">
        <v>0</v>
      </c>
      <c r="IT60" s="9" t="n">
        <v>0</v>
      </c>
      <c r="IU60" s="9" t="n">
        <v>0</v>
      </c>
      <c r="IV60" s="9" t="n">
        <v>0</v>
      </c>
      <c r="IW60" s="9" t="n">
        <v>0</v>
      </c>
      <c r="IX60" s="9" t="n">
        <v>0</v>
      </c>
    </row>
    <row r="61">
      <c r="A61" s="10" t="n">
        <v>46060</v>
      </c>
      <c r="CD61" s="9" t="n">
        <v>60</v>
      </c>
      <c r="EA61" s="9" t="inlineStr">
        <is>
          <t>L-LYSINE</t>
        </is>
      </c>
      <c r="EB61" s="9" t="n">
        <v>0</v>
      </c>
      <c r="EC61" s="9" t="n">
        <v>0</v>
      </c>
      <c r="ED61" s="9" t="n">
        <v>0</v>
      </c>
      <c r="EE61" s="9" t="n">
        <v>0</v>
      </c>
      <c r="EF61" s="9" t="n">
        <v>0</v>
      </c>
      <c r="EG61" s="9" t="n">
        <v>0</v>
      </c>
      <c r="EH61" s="9" t="n">
        <v>0</v>
      </c>
      <c r="EI61" s="9" t="n">
        <v>0</v>
      </c>
      <c r="EJ61" s="9" t="n">
        <v>0</v>
      </c>
      <c r="EK61" s="9" t="n">
        <v>0</v>
      </c>
      <c r="EL61" s="9" t="n">
        <v>0</v>
      </c>
      <c r="EM61" s="9" t="n">
        <v>0</v>
      </c>
      <c r="EN61" s="9" t="n">
        <v>0</v>
      </c>
      <c r="EO61" s="9" t="n">
        <v>0</v>
      </c>
      <c r="EP61" s="9" t="n">
        <v>0</v>
      </c>
      <c r="ER61" s="9" t="n">
        <v>0</v>
      </c>
      <c r="ES61" s="9" t="n">
        <v>0</v>
      </c>
      <c r="ET61" s="9" t="n">
        <v>0</v>
      </c>
      <c r="EU61" s="9" t="n">
        <v>0</v>
      </c>
      <c r="EV61" s="9" t="n">
        <v>0</v>
      </c>
      <c r="EW61" s="9" t="n">
        <v>0</v>
      </c>
      <c r="EX61" s="9" t="n">
        <v>0</v>
      </c>
      <c r="EY61" s="9" t="n">
        <v>0</v>
      </c>
      <c r="EZ61" s="9" t="n">
        <v>0</v>
      </c>
      <c r="FA61" s="9" t="n">
        <v>0</v>
      </c>
      <c r="FB61" s="9" t="n">
        <v>0</v>
      </c>
      <c r="FC61" s="9" t="n">
        <v>0</v>
      </c>
      <c r="FD61" s="9" t="n">
        <v>0</v>
      </c>
      <c r="FE61" s="9" t="n">
        <v>0</v>
      </c>
      <c r="FF61" s="9" t="n">
        <v>0</v>
      </c>
      <c r="FH61" s="9" t="n">
        <v>0</v>
      </c>
      <c r="FI61" s="9" t="n">
        <v>0</v>
      </c>
      <c r="FJ61" s="9" t="n">
        <v>0</v>
      </c>
      <c r="FK61" s="9" t="n">
        <v>0</v>
      </c>
      <c r="FL61" s="9" t="n">
        <v>0</v>
      </c>
      <c r="FM61" s="9" t="n">
        <v>0</v>
      </c>
      <c r="FN61" s="9" t="n">
        <v>0</v>
      </c>
      <c r="FO61" s="9" t="n">
        <v>0</v>
      </c>
      <c r="FP61" s="9" t="n">
        <v>0</v>
      </c>
      <c r="FQ61" s="9" t="n">
        <v>0</v>
      </c>
      <c r="FR61" s="9" t="n">
        <v>0</v>
      </c>
      <c r="FS61" s="9" t="n">
        <v>0</v>
      </c>
      <c r="FT61" s="9" t="n">
        <v>0</v>
      </c>
      <c r="FU61" s="9" t="n">
        <v>0</v>
      </c>
      <c r="FV61" s="9" t="n">
        <v>0</v>
      </c>
      <c r="FX61" s="9" t="n">
        <v>0</v>
      </c>
      <c r="FY61" s="9" t="n">
        <v>0</v>
      </c>
      <c r="FZ61" s="9" t="n">
        <v>0</v>
      </c>
      <c r="GA61" s="9" t="n">
        <v>0</v>
      </c>
      <c r="GB61" s="9" t="n">
        <v>0</v>
      </c>
      <c r="GC61" s="9" t="n">
        <v>0</v>
      </c>
      <c r="GD61" s="9" t="n">
        <v>0</v>
      </c>
      <c r="GE61" s="9" t="n">
        <v>0</v>
      </c>
      <c r="GF61" s="9" t="n">
        <v>0</v>
      </c>
      <c r="GG61" s="9" t="n">
        <v>0</v>
      </c>
      <c r="GH61" s="9" t="n">
        <v>0</v>
      </c>
      <c r="GI61" s="9" t="n">
        <v>0</v>
      </c>
      <c r="GJ61" s="9" t="n">
        <v>0</v>
      </c>
      <c r="GK61" s="9" t="n">
        <v>0</v>
      </c>
      <c r="GL61" s="9" t="n">
        <v>0</v>
      </c>
      <c r="GN61" s="9" t="n">
        <v>0</v>
      </c>
      <c r="GO61" s="9" t="n">
        <v>0</v>
      </c>
      <c r="GP61" s="9" t="n">
        <v>0</v>
      </c>
      <c r="GQ61" s="9" t="n">
        <v>0</v>
      </c>
      <c r="GR61" s="9" t="n">
        <v>0</v>
      </c>
      <c r="GS61" s="9" t="n">
        <v>0</v>
      </c>
      <c r="GT61" s="9" t="n">
        <v>0</v>
      </c>
      <c r="GU61" s="9" t="n">
        <v>0</v>
      </c>
      <c r="GV61" s="9" t="n">
        <v>0</v>
      </c>
      <c r="GW61" s="9" t="n">
        <v>0</v>
      </c>
      <c r="GX61" s="9" t="n">
        <v>0</v>
      </c>
      <c r="GY61" s="9" t="n">
        <v>0</v>
      </c>
      <c r="GZ61" s="9" t="n">
        <v>0</v>
      </c>
      <c r="HA61" s="9" t="n">
        <v>0</v>
      </c>
      <c r="HB61" s="9" t="n">
        <v>0</v>
      </c>
      <c r="HD61" s="9" t="n">
        <v>0</v>
      </c>
      <c r="HE61" s="9" t="n">
        <v>0</v>
      </c>
      <c r="HF61" s="9" t="n">
        <v>0</v>
      </c>
      <c r="HG61" s="9" t="n">
        <v>0</v>
      </c>
      <c r="HH61" s="9" t="n">
        <v>0</v>
      </c>
      <c r="HI61" s="9" t="n">
        <v>0</v>
      </c>
      <c r="HJ61" s="9" t="n">
        <v>0</v>
      </c>
      <c r="HK61" s="9" t="n">
        <v>0</v>
      </c>
      <c r="HL61" s="9" t="n">
        <v>0</v>
      </c>
      <c r="HM61" s="9" t="n">
        <v>0</v>
      </c>
      <c r="HN61" s="9" t="n">
        <v>0</v>
      </c>
      <c r="HO61" s="9" t="n">
        <v>0</v>
      </c>
      <c r="HP61" s="9" t="n">
        <v>0</v>
      </c>
      <c r="HQ61" s="9" t="n">
        <v>0</v>
      </c>
      <c r="HR61" s="9" t="n">
        <v>0</v>
      </c>
      <c r="HT61" s="9" t="n">
        <v>0</v>
      </c>
      <c r="HU61" s="9" t="n">
        <v>0</v>
      </c>
      <c r="HV61" s="9" t="n">
        <v>0</v>
      </c>
      <c r="HW61" s="9" t="n">
        <v>0</v>
      </c>
      <c r="HX61" s="9" t="n">
        <v>0</v>
      </c>
      <c r="HY61" s="9" t="n">
        <v>0</v>
      </c>
      <c r="HZ61" s="9" t="n">
        <v>0</v>
      </c>
      <c r="IA61" s="9" t="n">
        <v>0</v>
      </c>
      <c r="IB61" s="9" t="n">
        <v>0</v>
      </c>
      <c r="IC61" s="9" t="n">
        <v>0</v>
      </c>
      <c r="ID61" s="9" t="n">
        <v>0</v>
      </c>
      <c r="IE61" s="9" t="n">
        <v>0</v>
      </c>
      <c r="IF61" s="9" t="n">
        <v>0</v>
      </c>
      <c r="IG61" s="9" t="n">
        <v>0</v>
      </c>
      <c r="IH61" s="9" t="n">
        <v>0</v>
      </c>
      <c r="IJ61" s="9" t="n">
        <v>0</v>
      </c>
      <c r="IK61" s="9" t="n">
        <v>0</v>
      </c>
      <c r="IL61" s="9" t="n">
        <v>0</v>
      </c>
      <c r="IM61" s="9" t="n">
        <v>0</v>
      </c>
      <c r="IN61" s="9" t="n">
        <v>0</v>
      </c>
      <c r="IO61" s="9" t="n">
        <v>0</v>
      </c>
      <c r="IP61" s="9" t="n">
        <v>0</v>
      </c>
      <c r="IQ61" s="9" t="n">
        <v>0</v>
      </c>
      <c r="IR61" s="9" t="n">
        <v>0</v>
      </c>
      <c r="IS61" s="9" t="n">
        <v>0</v>
      </c>
      <c r="IT61" s="9" t="n">
        <v>0</v>
      </c>
      <c r="IU61" s="9" t="n">
        <v>0</v>
      </c>
      <c r="IV61" s="9" t="n">
        <v>0</v>
      </c>
      <c r="IW61" s="9" t="n">
        <v>0</v>
      </c>
      <c r="IX61" s="9" t="n">
        <v>0</v>
      </c>
    </row>
    <row r="62">
      <c r="A62" s="10" t="n">
        <v>46061</v>
      </c>
      <c r="EA62" s="9" t="inlineStr">
        <is>
          <t>FAECES DRY</t>
        </is>
      </c>
      <c r="EB62" s="9" t="n">
        <v>0</v>
      </c>
      <c r="EC62" s="9" t="n">
        <v>0</v>
      </c>
      <c r="ED62" s="9" t="n">
        <v>0</v>
      </c>
      <c r="EE62" s="9" t="n">
        <v>0</v>
      </c>
      <c r="EF62" s="9" t="n">
        <v>0</v>
      </c>
      <c r="EG62" s="9" t="n">
        <v>0</v>
      </c>
      <c r="EH62" s="9" t="n">
        <v>0</v>
      </c>
      <c r="EI62" s="9" t="n">
        <v>0</v>
      </c>
      <c r="EJ62" s="9" t="n">
        <v>0</v>
      </c>
      <c r="EK62" s="9" t="n">
        <v>0</v>
      </c>
      <c r="EL62" s="9" t="n">
        <v>0</v>
      </c>
      <c r="EM62" s="9" t="n">
        <v>0</v>
      </c>
      <c r="EN62" s="9" t="n">
        <v>0</v>
      </c>
      <c r="EO62" s="9" t="n">
        <v>0</v>
      </c>
      <c r="EP62" s="9" t="n">
        <v>0</v>
      </c>
      <c r="ER62" s="9" t="n">
        <v>0</v>
      </c>
      <c r="ES62" s="9" t="n">
        <v>0</v>
      </c>
      <c r="ET62" s="9" t="n">
        <v>0</v>
      </c>
      <c r="EU62" s="9" t="n">
        <v>0</v>
      </c>
      <c r="EV62" s="9" t="n">
        <v>0</v>
      </c>
      <c r="EW62" s="9" t="n">
        <v>0</v>
      </c>
      <c r="EX62" s="9" t="n">
        <v>0</v>
      </c>
      <c r="EY62" s="9" t="n">
        <v>0</v>
      </c>
      <c r="EZ62" s="9" t="n">
        <v>0</v>
      </c>
      <c r="FA62" s="9" t="n">
        <v>0</v>
      </c>
      <c r="FB62" s="9" t="n">
        <v>0</v>
      </c>
      <c r="FC62" s="9" t="n">
        <v>0</v>
      </c>
      <c r="FD62" s="9" t="n">
        <v>0</v>
      </c>
      <c r="FE62" s="9" t="n">
        <v>0</v>
      </c>
      <c r="FF62" s="9" t="n">
        <v>0</v>
      </c>
      <c r="FH62" s="9" t="n">
        <v>0</v>
      </c>
      <c r="FI62" s="9" t="n">
        <v>0</v>
      </c>
      <c r="FJ62" s="9" t="n">
        <v>0</v>
      </c>
      <c r="FK62" s="9" t="n">
        <v>0</v>
      </c>
      <c r="FL62" s="9" t="n">
        <v>0</v>
      </c>
      <c r="FM62" s="9" t="n">
        <v>0</v>
      </c>
      <c r="FN62" s="9" t="n">
        <v>0</v>
      </c>
      <c r="FO62" s="9" t="n">
        <v>0</v>
      </c>
      <c r="FP62" s="9" t="n">
        <v>0</v>
      </c>
      <c r="FQ62" s="9" t="n">
        <v>0</v>
      </c>
      <c r="FR62" s="9" t="n">
        <v>0</v>
      </c>
      <c r="FS62" s="9" t="n">
        <v>0</v>
      </c>
      <c r="FT62" s="9" t="n">
        <v>0</v>
      </c>
      <c r="FU62" s="9" t="n">
        <v>0</v>
      </c>
      <c r="FV62" s="9" t="n">
        <v>0</v>
      </c>
      <c r="FX62" s="9" t="n">
        <v>0</v>
      </c>
      <c r="FY62" s="9" t="n">
        <v>0</v>
      </c>
      <c r="FZ62" s="9" t="n">
        <v>0</v>
      </c>
      <c r="GA62" s="9" t="n">
        <v>0</v>
      </c>
      <c r="GB62" s="9" t="n">
        <v>0</v>
      </c>
      <c r="GC62" s="9" t="n">
        <v>0</v>
      </c>
      <c r="GD62" s="9" t="n">
        <v>0</v>
      </c>
      <c r="GE62" s="9" t="n">
        <v>0</v>
      </c>
      <c r="GF62" s="9" t="n">
        <v>0</v>
      </c>
      <c r="GG62" s="9" t="n">
        <v>0</v>
      </c>
      <c r="GH62" s="9" t="n">
        <v>0</v>
      </c>
      <c r="GI62" s="9" t="n">
        <v>0</v>
      </c>
      <c r="GJ62" s="9" t="n">
        <v>0</v>
      </c>
      <c r="GK62" s="9" t="n">
        <v>0</v>
      </c>
      <c r="GL62" s="9" t="n">
        <v>0</v>
      </c>
      <c r="GN62" s="9" t="n">
        <v>0</v>
      </c>
      <c r="GO62" s="9" t="n">
        <v>0</v>
      </c>
      <c r="GP62" s="9" t="n">
        <v>0</v>
      </c>
      <c r="GQ62" s="9" t="n">
        <v>0</v>
      </c>
      <c r="GR62" s="9" t="n">
        <v>0</v>
      </c>
      <c r="GS62" s="9" t="n">
        <v>0</v>
      </c>
      <c r="GT62" s="9" t="n">
        <v>0</v>
      </c>
      <c r="GU62" s="9" t="n">
        <v>0</v>
      </c>
      <c r="GV62" s="9" t="n">
        <v>0</v>
      </c>
      <c r="GW62" s="9" t="n">
        <v>0</v>
      </c>
      <c r="GX62" s="9" t="n">
        <v>0</v>
      </c>
      <c r="GY62" s="9" t="n">
        <v>0</v>
      </c>
      <c r="GZ62" s="9" t="n">
        <v>0</v>
      </c>
      <c r="HA62" s="9" t="n">
        <v>0</v>
      </c>
      <c r="HB62" s="9" t="n">
        <v>0</v>
      </c>
      <c r="HD62" s="9" t="n">
        <v>0</v>
      </c>
      <c r="HE62" s="9" t="n">
        <v>0</v>
      </c>
      <c r="HF62" s="9" t="n">
        <v>0</v>
      </c>
      <c r="HG62" s="9" t="n">
        <v>0</v>
      </c>
      <c r="HH62" s="9" t="n">
        <v>0</v>
      </c>
      <c r="HI62" s="9" t="n">
        <v>0</v>
      </c>
      <c r="HJ62" s="9" t="n">
        <v>0</v>
      </c>
      <c r="HK62" s="9" t="n">
        <v>0</v>
      </c>
      <c r="HL62" s="9" t="n">
        <v>0</v>
      </c>
      <c r="HM62" s="9" t="n">
        <v>0</v>
      </c>
      <c r="HN62" s="9" t="n">
        <v>0</v>
      </c>
      <c r="HO62" s="9" t="n">
        <v>0</v>
      </c>
      <c r="HP62" s="9" t="n">
        <v>0</v>
      </c>
      <c r="HQ62" s="9" t="n">
        <v>0</v>
      </c>
      <c r="HR62" s="9" t="n">
        <v>0</v>
      </c>
      <c r="HT62" s="9" t="n">
        <v>0</v>
      </c>
      <c r="HU62" s="9" t="n">
        <v>0</v>
      </c>
      <c r="HV62" s="9" t="n">
        <v>0</v>
      </c>
      <c r="HW62" s="9" t="n">
        <v>0</v>
      </c>
      <c r="HX62" s="9" t="n">
        <v>0</v>
      </c>
      <c r="HY62" s="9" t="n">
        <v>0</v>
      </c>
      <c r="HZ62" s="9" t="n">
        <v>0</v>
      </c>
      <c r="IA62" s="9" t="n">
        <v>0</v>
      </c>
      <c r="IB62" s="9" t="n">
        <v>0</v>
      </c>
      <c r="IC62" s="9" t="n">
        <v>0</v>
      </c>
      <c r="ID62" s="9" t="n">
        <v>0</v>
      </c>
      <c r="IE62" s="9" t="n">
        <v>0</v>
      </c>
      <c r="IF62" s="9" t="n">
        <v>0</v>
      </c>
      <c r="IG62" s="9" t="n">
        <v>0</v>
      </c>
      <c r="IH62" s="9" t="n">
        <v>0</v>
      </c>
      <c r="IJ62" s="9" t="n">
        <v>0</v>
      </c>
      <c r="IK62" s="9" t="n">
        <v>0</v>
      </c>
      <c r="IL62" s="9" t="n">
        <v>0</v>
      </c>
      <c r="IM62" s="9" t="n">
        <v>0</v>
      </c>
      <c r="IN62" s="9" t="n">
        <v>0</v>
      </c>
      <c r="IO62" s="9" t="n">
        <v>0</v>
      </c>
      <c r="IP62" s="9" t="n">
        <v>0</v>
      </c>
      <c r="IQ62" s="9" t="n">
        <v>0</v>
      </c>
      <c r="IR62" s="9" t="n">
        <v>0</v>
      </c>
      <c r="IS62" s="9" t="n">
        <v>0</v>
      </c>
      <c r="IT62" s="9" t="n">
        <v>0</v>
      </c>
      <c r="IU62" s="9" t="n">
        <v>0</v>
      </c>
      <c r="IV62" s="9" t="n">
        <v>0</v>
      </c>
      <c r="IW62" s="9" t="n">
        <v>0</v>
      </c>
      <c r="IX62" s="9" t="n">
        <v>0</v>
      </c>
    </row>
    <row r="63">
      <c r="A63" s="10" t="n">
        <v>46062</v>
      </c>
      <c r="BQ63" s="9" t="n">
        <v>120</v>
      </c>
      <c r="EA63" s="9" t="inlineStr">
        <is>
          <t>ECOBIOL</t>
        </is>
      </c>
      <c r="EB63" s="9" t="n">
        <v>0</v>
      </c>
      <c r="EC63" s="9" t="n">
        <v>0</v>
      </c>
      <c r="ED63" s="9" t="n">
        <v>0</v>
      </c>
      <c r="EE63" s="9" t="n">
        <v>0</v>
      </c>
      <c r="EF63" s="9" t="n">
        <v>0</v>
      </c>
      <c r="EG63" s="9" t="n">
        <v>0</v>
      </c>
      <c r="EH63" s="9" t="n">
        <v>0</v>
      </c>
      <c r="EI63" s="9" t="n">
        <v>0</v>
      </c>
      <c r="EJ63" s="9" t="n">
        <v>0</v>
      </c>
      <c r="EK63" s="9" t="n">
        <v>0</v>
      </c>
      <c r="EL63" s="9" t="n">
        <v>0</v>
      </c>
      <c r="EM63" s="9" t="n">
        <v>0</v>
      </c>
      <c r="EN63" s="9" t="n">
        <v>0</v>
      </c>
      <c r="EO63" s="9" t="n">
        <v>0</v>
      </c>
      <c r="EP63" s="9" t="n">
        <v>0</v>
      </c>
      <c r="ER63" s="9" t="n">
        <v>0</v>
      </c>
      <c r="ES63" s="9" t="n">
        <v>0</v>
      </c>
      <c r="ET63" s="9" t="n">
        <v>0</v>
      </c>
      <c r="EU63" s="9" t="n">
        <v>0</v>
      </c>
      <c r="EV63" s="9" t="n">
        <v>0</v>
      </c>
      <c r="EW63" s="9" t="n">
        <v>0</v>
      </c>
      <c r="EX63" s="9" t="n">
        <v>0</v>
      </c>
      <c r="EY63" s="9" t="n">
        <v>0</v>
      </c>
      <c r="EZ63" s="9" t="n">
        <v>0</v>
      </c>
      <c r="FA63" s="9" t="n">
        <v>0</v>
      </c>
      <c r="FB63" s="9" t="n">
        <v>0</v>
      </c>
      <c r="FC63" s="9" t="n">
        <v>0</v>
      </c>
      <c r="FD63" s="9" t="n">
        <v>0</v>
      </c>
      <c r="FE63" s="9" t="n">
        <v>0</v>
      </c>
      <c r="FF63" s="9" t="n">
        <v>0</v>
      </c>
      <c r="FH63" s="9" t="n">
        <v>0</v>
      </c>
      <c r="FI63" s="9" t="n">
        <v>0</v>
      </c>
      <c r="FJ63" s="9" t="n">
        <v>0</v>
      </c>
      <c r="FK63" s="9" t="n">
        <v>0</v>
      </c>
      <c r="FL63" s="9" t="n">
        <v>0</v>
      </c>
      <c r="FM63" s="9" t="n">
        <v>0</v>
      </c>
      <c r="FN63" s="9" t="n">
        <v>0</v>
      </c>
      <c r="FO63" s="9" t="n">
        <v>0</v>
      </c>
      <c r="FP63" s="9" t="n">
        <v>0</v>
      </c>
      <c r="FQ63" s="9" t="n">
        <v>0</v>
      </c>
      <c r="FR63" s="9" t="n">
        <v>0</v>
      </c>
      <c r="FS63" s="9" t="n">
        <v>0</v>
      </c>
      <c r="FT63" s="9" t="n">
        <v>0</v>
      </c>
      <c r="FU63" s="9" t="n">
        <v>0</v>
      </c>
      <c r="FV63" s="9" t="n">
        <v>0</v>
      </c>
      <c r="FX63" s="9" t="n">
        <v>0</v>
      </c>
      <c r="FY63" s="9" t="n">
        <v>0</v>
      </c>
      <c r="FZ63" s="9" t="n">
        <v>0</v>
      </c>
      <c r="GA63" s="9" t="n">
        <v>0</v>
      </c>
      <c r="GB63" s="9" t="n">
        <v>0</v>
      </c>
      <c r="GC63" s="9" t="n">
        <v>0</v>
      </c>
      <c r="GD63" s="9" t="n">
        <v>0</v>
      </c>
      <c r="GE63" s="9" t="n">
        <v>0</v>
      </c>
      <c r="GF63" s="9" t="n">
        <v>0</v>
      </c>
      <c r="GG63" s="9" t="n">
        <v>0</v>
      </c>
      <c r="GH63" s="9" t="n">
        <v>0</v>
      </c>
      <c r="GI63" s="9" t="n">
        <v>0</v>
      </c>
      <c r="GJ63" s="9" t="n">
        <v>0</v>
      </c>
      <c r="GK63" s="9" t="n">
        <v>0</v>
      </c>
      <c r="GL63" s="9" t="n">
        <v>0</v>
      </c>
      <c r="GN63" s="9" t="n">
        <v>0</v>
      </c>
      <c r="GO63" s="9" t="n">
        <v>0</v>
      </c>
      <c r="GP63" s="9" t="n">
        <v>0</v>
      </c>
      <c r="GQ63" s="9" t="n">
        <v>0</v>
      </c>
      <c r="GR63" s="9" t="n">
        <v>0</v>
      </c>
      <c r="GS63" s="9" t="n">
        <v>0</v>
      </c>
      <c r="GT63" s="9" t="n">
        <v>0</v>
      </c>
      <c r="GU63" s="9" t="n">
        <v>0</v>
      </c>
      <c r="GV63" s="9" t="n">
        <v>0</v>
      </c>
      <c r="GW63" s="9" t="n">
        <v>0</v>
      </c>
      <c r="GX63" s="9" t="n">
        <v>0</v>
      </c>
      <c r="GY63" s="9" t="n">
        <v>0</v>
      </c>
      <c r="GZ63" s="9" t="n">
        <v>0</v>
      </c>
      <c r="HA63" s="9" t="n">
        <v>0</v>
      </c>
      <c r="HB63" s="9" t="n">
        <v>0</v>
      </c>
      <c r="HD63" s="9" t="n">
        <v>0</v>
      </c>
      <c r="HE63" s="9" t="n">
        <v>0</v>
      </c>
      <c r="HF63" s="9" t="n">
        <v>0</v>
      </c>
      <c r="HG63" s="9" t="n">
        <v>0</v>
      </c>
      <c r="HH63" s="9" t="n">
        <v>0</v>
      </c>
      <c r="HI63" s="9" t="n">
        <v>0</v>
      </c>
      <c r="HJ63" s="9" t="n">
        <v>0</v>
      </c>
      <c r="HK63" s="9" t="n">
        <v>0</v>
      </c>
      <c r="HL63" s="9" t="n">
        <v>0</v>
      </c>
      <c r="HM63" s="9" t="n">
        <v>0</v>
      </c>
      <c r="HN63" s="9" t="n">
        <v>0</v>
      </c>
      <c r="HO63" s="9" t="n">
        <v>0</v>
      </c>
      <c r="HP63" s="9" t="n">
        <v>0</v>
      </c>
      <c r="HQ63" s="9" t="n">
        <v>0</v>
      </c>
      <c r="HR63" s="9" t="n">
        <v>0</v>
      </c>
      <c r="HT63" s="9" t="n">
        <v>0</v>
      </c>
      <c r="HU63" s="9" t="n">
        <v>0</v>
      </c>
      <c r="HV63" s="9" t="n">
        <v>0</v>
      </c>
      <c r="HW63" s="9" t="n">
        <v>0</v>
      </c>
      <c r="HX63" s="9" t="n">
        <v>0</v>
      </c>
      <c r="HY63" s="9" t="n">
        <v>0</v>
      </c>
      <c r="HZ63" s="9" t="n">
        <v>0</v>
      </c>
      <c r="IA63" s="9" t="n">
        <v>0</v>
      </c>
      <c r="IB63" s="9" t="n">
        <v>0</v>
      </c>
      <c r="IC63" s="9" t="n">
        <v>0</v>
      </c>
      <c r="ID63" s="9" t="n">
        <v>0</v>
      </c>
      <c r="IE63" s="9" t="n">
        <v>0</v>
      </c>
      <c r="IF63" s="9" t="n">
        <v>0</v>
      </c>
      <c r="IG63" s="9" t="n">
        <v>0</v>
      </c>
      <c r="IH63" s="9" t="n">
        <v>0</v>
      </c>
      <c r="IJ63" s="9" t="n">
        <v>0</v>
      </c>
      <c r="IK63" s="9" t="n">
        <v>0</v>
      </c>
      <c r="IL63" s="9" t="n">
        <v>0</v>
      </c>
      <c r="IM63" s="9" t="n">
        <v>0</v>
      </c>
      <c r="IN63" s="9" t="n">
        <v>0</v>
      </c>
      <c r="IO63" s="9" t="n">
        <v>0</v>
      </c>
      <c r="IP63" s="9" t="n">
        <v>0</v>
      </c>
      <c r="IQ63" s="9" t="n">
        <v>0</v>
      </c>
      <c r="IR63" s="9" t="n">
        <v>0</v>
      </c>
      <c r="IS63" s="9" t="n">
        <v>0</v>
      </c>
      <c r="IT63" s="9" t="n">
        <v>0</v>
      </c>
      <c r="IU63" s="9" t="n">
        <v>0</v>
      </c>
      <c r="IV63" s="9" t="n">
        <v>0</v>
      </c>
      <c r="IW63" s="9" t="n">
        <v>0</v>
      </c>
      <c r="IX63" s="9" t="n">
        <v>0</v>
      </c>
    </row>
    <row r="64">
      <c r="A64" s="10" t="n">
        <v>46063</v>
      </c>
      <c r="BQ64" s="9" t="n">
        <v>50</v>
      </c>
      <c r="EA64" s="9" t="inlineStr">
        <is>
          <t>ADDITIVE BROILER IMMUNE</t>
        </is>
      </c>
      <c r="EB64" s="9" t="n">
        <v>0</v>
      </c>
      <c r="EC64" s="9" t="n">
        <v>0</v>
      </c>
      <c r="ED64" s="9" t="n">
        <v>0</v>
      </c>
      <c r="EE64" s="9" t="n">
        <v>0</v>
      </c>
      <c r="EF64" s="9" t="n">
        <v>0</v>
      </c>
      <c r="EG64" s="9" t="n">
        <v>0</v>
      </c>
      <c r="EH64" s="9" t="n">
        <v>0</v>
      </c>
      <c r="EI64" s="9" t="n">
        <v>0</v>
      </c>
      <c r="EJ64" s="9" t="n">
        <v>0</v>
      </c>
      <c r="EK64" s="9" t="n">
        <v>0</v>
      </c>
      <c r="EL64" s="9" t="n">
        <v>0</v>
      </c>
      <c r="EM64" s="9" t="n">
        <v>0</v>
      </c>
      <c r="EN64" s="9" t="n">
        <v>0</v>
      </c>
      <c r="EO64" s="9" t="n">
        <v>0</v>
      </c>
      <c r="EP64" s="9" t="n">
        <v>0</v>
      </c>
      <c r="ER64" s="9" t="n">
        <v>0</v>
      </c>
      <c r="ES64" s="9" t="n">
        <v>0</v>
      </c>
      <c r="ET64" s="9" t="n">
        <v>0</v>
      </c>
      <c r="EU64" s="9" t="n">
        <v>0</v>
      </c>
      <c r="EV64" s="9" t="n">
        <v>0</v>
      </c>
      <c r="EW64" s="9" t="n">
        <v>0</v>
      </c>
      <c r="EX64" s="9" t="n">
        <v>0</v>
      </c>
      <c r="EY64" s="9" t="n">
        <v>0</v>
      </c>
      <c r="EZ64" s="9" t="n">
        <v>0</v>
      </c>
      <c r="FA64" s="9" t="n">
        <v>0</v>
      </c>
      <c r="FB64" s="9" t="n">
        <v>0</v>
      </c>
      <c r="FC64" s="9" t="n">
        <v>0</v>
      </c>
      <c r="FD64" s="9" t="n">
        <v>0</v>
      </c>
      <c r="FE64" s="9" t="n">
        <v>0</v>
      </c>
      <c r="FF64" s="9" t="n">
        <v>0</v>
      </c>
      <c r="FH64" s="9" t="n">
        <v>0</v>
      </c>
      <c r="FI64" s="9" t="n">
        <v>0</v>
      </c>
      <c r="FJ64" s="9" t="n">
        <v>0</v>
      </c>
      <c r="FK64" s="9" t="n">
        <v>0</v>
      </c>
      <c r="FL64" s="9" t="n">
        <v>0</v>
      </c>
      <c r="FM64" s="9" t="n">
        <v>0</v>
      </c>
      <c r="FN64" s="9" t="n">
        <v>0</v>
      </c>
      <c r="FO64" s="9" t="n">
        <v>0</v>
      </c>
      <c r="FP64" s="9" t="n">
        <v>0</v>
      </c>
      <c r="FQ64" s="9" t="n">
        <v>0</v>
      </c>
      <c r="FR64" s="9" t="n">
        <v>0</v>
      </c>
      <c r="FS64" s="9" t="n">
        <v>0</v>
      </c>
      <c r="FT64" s="9" t="n">
        <v>0</v>
      </c>
      <c r="FU64" s="9" t="n">
        <v>0</v>
      </c>
      <c r="FV64" s="9" t="n">
        <v>0</v>
      </c>
      <c r="FX64" s="9" t="n">
        <v>0</v>
      </c>
      <c r="FY64" s="9" t="n">
        <v>0</v>
      </c>
      <c r="FZ64" s="9" t="n">
        <v>0</v>
      </c>
      <c r="GA64" s="9" t="n">
        <v>0</v>
      </c>
      <c r="GB64" s="9" t="n">
        <v>0</v>
      </c>
      <c r="GC64" s="9" t="n">
        <v>0</v>
      </c>
      <c r="GD64" s="9" t="n">
        <v>0</v>
      </c>
      <c r="GE64" s="9" t="n">
        <v>0</v>
      </c>
      <c r="GF64" s="9" t="n">
        <v>0</v>
      </c>
      <c r="GG64" s="9" t="n">
        <v>0</v>
      </c>
      <c r="GH64" s="9" t="n">
        <v>0</v>
      </c>
      <c r="GI64" s="9" t="n">
        <v>0</v>
      </c>
      <c r="GJ64" s="9" t="n">
        <v>0</v>
      </c>
      <c r="GK64" s="9" t="n">
        <v>0</v>
      </c>
      <c r="GL64" s="9" t="n">
        <v>0</v>
      </c>
      <c r="GN64" s="9" t="n">
        <v>0</v>
      </c>
      <c r="GO64" s="9" t="n">
        <v>0</v>
      </c>
      <c r="GP64" s="9" t="n">
        <v>0</v>
      </c>
      <c r="GQ64" s="9" t="n">
        <v>0</v>
      </c>
      <c r="GR64" s="9" t="n">
        <v>0</v>
      </c>
      <c r="GS64" s="9" t="n">
        <v>0</v>
      </c>
      <c r="GT64" s="9" t="n">
        <v>0</v>
      </c>
      <c r="GU64" s="9" t="n">
        <v>0</v>
      </c>
      <c r="GV64" s="9" t="n">
        <v>0</v>
      </c>
      <c r="GW64" s="9" t="n">
        <v>0</v>
      </c>
      <c r="GX64" s="9" t="n">
        <v>0</v>
      </c>
      <c r="GY64" s="9" t="n">
        <v>0</v>
      </c>
      <c r="GZ64" s="9" t="n">
        <v>0</v>
      </c>
      <c r="HA64" s="9" t="n">
        <v>0</v>
      </c>
      <c r="HB64" s="9" t="n">
        <v>0</v>
      </c>
      <c r="HD64" s="9" t="n">
        <v>0</v>
      </c>
      <c r="HE64" s="9" t="n">
        <v>0</v>
      </c>
      <c r="HF64" s="9" t="n">
        <v>0</v>
      </c>
      <c r="HG64" s="9" t="n">
        <v>0</v>
      </c>
      <c r="HH64" s="9" t="n">
        <v>0</v>
      </c>
      <c r="HI64" s="9" t="n">
        <v>0</v>
      </c>
      <c r="HJ64" s="9" t="n">
        <v>0</v>
      </c>
      <c r="HK64" s="9" t="n">
        <v>0</v>
      </c>
      <c r="HL64" s="9" t="n">
        <v>0</v>
      </c>
      <c r="HM64" s="9" t="n">
        <v>0</v>
      </c>
      <c r="HN64" s="9" t="n">
        <v>0</v>
      </c>
      <c r="HO64" s="9" t="n">
        <v>0</v>
      </c>
      <c r="HP64" s="9" t="n">
        <v>0</v>
      </c>
      <c r="HQ64" s="9" t="n">
        <v>0</v>
      </c>
      <c r="HR64" s="9" t="n">
        <v>0</v>
      </c>
      <c r="HT64" s="9" t="n">
        <v>0</v>
      </c>
      <c r="HU64" s="9" t="n">
        <v>0</v>
      </c>
      <c r="HV64" s="9" t="n">
        <v>0</v>
      </c>
      <c r="HW64" s="9" t="n">
        <v>0</v>
      </c>
      <c r="HX64" s="9" t="n">
        <v>0</v>
      </c>
      <c r="HY64" s="9" t="n">
        <v>0</v>
      </c>
      <c r="HZ64" s="9" t="n">
        <v>0</v>
      </c>
      <c r="IA64" s="9" t="n">
        <v>0</v>
      </c>
      <c r="IB64" s="9" t="n">
        <v>0</v>
      </c>
      <c r="IC64" s="9" t="n">
        <v>0</v>
      </c>
      <c r="ID64" s="9" t="n">
        <v>0</v>
      </c>
      <c r="IE64" s="9" t="n">
        <v>0</v>
      </c>
      <c r="IF64" s="9" t="n">
        <v>0</v>
      </c>
      <c r="IG64" s="9" t="n">
        <v>0</v>
      </c>
      <c r="IH64" s="9" t="n">
        <v>0</v>
      </c>
      <c r="IJ64" s="9" t="n">
        <v>0</v>
      </c>
      <c r="IK64" s="9" t="n">
        <v>0</v>
      </c>
      <c r="IL64" s="9" t="n">
        <v>0</v>
      </c>
      <c r="IM64" s="9" t="n">
        <v>0</v>
      </c>
      <c r="IN64" s="9" t="n">
        <v>0</v>
      </c>
      <c r="IO64" s="9" t="n">
        <v>0</v>
      </c>
      <c r="IP64" s="9" t="n">
        <v>0</v>
      </c>
      <c r="IQ64" s="9" t="n">
        <v>0</v>
      </c>
      <c r="IR64" s="9" t="n">
        <v>0</v>
      </c>
      <c r="IS64" s="9" t="n">
        <v>0</v>
      </c>
      <c r="IT64" s="9" t="n">
        <v>0</v>
      </c>
      <c r="IU64" s="9" t="n">
        <v>0</v>
      </c>
      <c r="IV64" s="9" t="n">
        <v>0</v>
      </c>
      <c r="IW64" s="9" t="n">
        <v>0</v>
      </c>
      <c r="IX64" s="9" t="n">
        <v>0</v>
      </c>
    </row>
    <row r="65">
      <c r="A65" s="10" t="n">
        <v>46064</v>
      </c>
      <c r="CD65" s="9" t="n">
        <v>120</v>
      </c>
      <c r="EA65" s="9" t="inlineStr">
        <is>
          <t>MASTER CUBE (HARUMI)</t>
        </is>
      </c>
      <c r="EB65" s="9" t="n">
        <v>0</v>
      </c>
      <c r="EC65" s="9" t="n">
        <v>0</v>
      </c>
      <c r="ED65" s="9" t="n">
        <v>0</v>
      </c>
      <c r="EE65" s="9" t="n">
        <v>0</v>
      </c>
      <c r="EF65" s="9" t="n">
        <v>0</v>
      </c>
      <c r="EG65" s="9" t="n">
        <v>0</v>
      </c>
      <c r="EH65" s="9" t="n">
        <v>0</v>
      </c>
      <c r="EI65" s="9" t="n">
        <v>0</v>
      </c>
      <c r="EJ65" s="9" t="n">
        <v>0</v>
      </c>
      <c r="EK65" s="9" t="n">
        <v>0</v>
      </c>
      <c r="EL65" s="9" t="n">
        <v>0</v>
      </c>
      <c r="EM65" s="9" t="n">
        <v>0</v>
      </c>
      <c r="EN65" s="9" t="n">
        <v>0</v>
      </c>
      <c r="EO65" s="9" t="n">
        <v>0</v>
      </c>
      <c r="EP65" s="9" t="n">
        <v>0</v>
      </c>
      <c r="ER65" s="9" t="n">
        <v>0</v>
      </c>
      <c r="ES65" s="9" t="n">
        <v>0</v>
      </c>
      <c r="ET65" s="9" t="n">
        <v>0</v>
      </c>
      <c r="EU65" s="9" t="n">
        <v>0</v>
      </c>
      <c r="EV65" s="9" t="n">
        <v>0</v>
      </c>
      <c r="EW65" s="9" t="n">
        <v>0</v>
      </c>
      <c r="EX65" s="9" t="n">
        <v>0</v>
      </c>
      <c r="EY65" s="9" t="n">
        <v>0</v>
      </c>
      <c r="EZ65" s="9" t="n">
        <v>0</v>
      </c>
      <c r="FA65" s="9" t="n">
        <v>0</v>
      </c>
      <c r="FB65" s="9" t="n">
        <v>0</v>
      </c>
      <c r="FC65" s="9" t="n">
        <v>0</v>
      </c>
      <c r="FD65" s="9" t="n">
        <v>0</v>
      </c>
      <c r="FE65" s="9" t="n">
        <v>0</v>
      </c>
      <c r="FF65" s="9" t="n">
        <v>0</v>
      </c>
      <c r="FH65" s="9" t="n">
        <v>0</v>
      </c>
      <c r="FI65" s="9" t="n">
        <v>0</v>
      </c>
      <c r="FJ65" s="9" t="n">
        <v>0</v>
      </c>
      <c r="FK65" s="9" t="n">
        <v>0</v>
      </c>
      <c r="FL65" s="9" t="n">
        <v>0</v>
      </c>
      <c r="FM65" s="9" t="n">
        <v>0</v>
      </c>
      <c r="FN65" s="9" t="n">
        <v>0</v>
      </c>
      <c r="FO65" s="9" t="n">
        <v>0</v>
      </c>
      <c r="FP65" s="9" t="n">
        <v>0</v>
      </c>
      <c r="FQ65" s="9" t="n">
        <v>0</v>
      </c>
      <c r="FR65" s="9" t="n">
        <v>0</v>
      </c>
      <c r="FS65" s="9" t="n">
        <v>0</v>
      </c>
      <c r="FT65" s="9" t="n">
        <v>0</v>
      </c>
      <c r="FU65" s="9" t="n">
        <v>0</v>
      </c>
      <c r="FV65" s="9" t="n">
        <v>0</v>
      </c>
      <c r="FX65" s="9" t="n">
        <v>0</v>
      </c>
      <c r="FY65" s="9" t="n">
        <v>0</v>
      </c>
      <c r="FZ65" s="9" t="n">
        <v>0</v>
      </c>
      <c r="GA65" s="9" t="n">
        <v>0</v>
      </c>
      <c r="GB65" s="9" t="n">
        <v>0</v>
      </c>
      <c r="GC65" s="9" t="n">
        <v>0</v>
      </c>
      <c r="GD65" s="9" t="n">
        <v>0</v>
      </c>
      <c r="GE65" s="9" t="n">
        <v>0</v>
      </c>
      <c r="GF65" s="9" t="n">
        <v>0</v>
      </c>
      <c r="GG65" s="9" t="n">
        <v>0</v>
      </c>
      <c r="GH65" s="9" t="n">
        <v>0</v>
      </c>
      <c r="GI65" s="9" t="n">
        <v>0</v>
      </c>
      <c r="GJ65" s="9" t="n">
        <v>0</v>
      </c>
      <c r="GK65" s="9" t="n">
        <v>0</v>
      </c>
      <c r="GL65" s="9" t="n">
        <v>0</v>
      </c>
      <c r="GN65" s="9" t="n">
        <v>0</v>
      </c>
      <c r="GO65" s="9" t="n">
        <v>0</v>
      </c>
      <c r="GP65" s="9" t="n">
        <v>0</v>
      </c>
      <c r="GQ65" s="9" t="n">
        <v>0</v>
      </c>
      <c r="GR65" s="9" t="n">
        <v>0</v>
      </c>
      <c r="GS65" s="9" t="n">
        <v>0</v>
      </c>
      <c r="GT65" s="9" t="n">
        <v>0</v>
      </c>
      <c r="GU65" s="9" t="n">
        <v>0</v>
      </c>
      <c r="GV65" s="9" t="n">
        <v>0</v>
      </c>
      <c r="GW65" s="9" t="n">
        <v>0</v>
      </c>
      <c r="GX65" s="9" t="n">
        <v>0</v>
      </c>
      <c r="GY65" s="9" t="n">
        <v>0</v>
      </c>
      <c r="GZ65" s="9" t="n">
        <v>0</v>
      </c>
      <c r="HA65" s="9" t="n">
        <v>0</v>
      </c>
      <c r="HB65" s="9" t="n">
        <v>0</v>
      </c>
      <c r="HD65" s="9" t="n">
        <v>0</v>
      </c>
      <c r="HE65" s="9" t="n">
        <v>0</v>
      </c>
      <c r="HF65" s="9" t="n">
        <v>0</v>
      </c>
      <c r="HG65" s="9" t="n">
        <v>0</v>
      </c>
      <c r="HH65" s="9" t="n">
        <v>0</v>
      </c>
      <c r="HI65" s="9" t="n">
        <v>0</v>
      </c>
      <c r="HJ65" s="9" t="n">
        <v>0</v>
      </c>
      <c r="HK65" s="9" t="n">
        <v>0</v>
      </c>
      <c r="HL65" s="9" t="n">
        <v>0</v>
      </c>
      <c r="HM65" s="9" t="n">
        <v>1</v>
      </c>
      <c r="HN65" s="9" t="n">
        <v>1</v>
      </c>
      <c r="HO65" s="9" t="n">
        <v>0</v>
      </c>
      <c r="HP65" s="9" t="n">
        <v>0</v>
      </c>
      <c r="HQ65" s="9" t="n">
        <v>0</v>
      </c>
      <c r="HR65" s="9" t="n">
        <v>0</v>
      </c>
      <c r="HT65" s="9" t="n">
        <v>0</v>
      </c>
      <c r="HU65" s="9" t="n">
        <v>0</v>
      </c>
      <c r="HV65" s="9" t="n">
        <v>0</v>
      </c>
      <c r="HW65" s="9" t="n">
        <v>0</v>
      </c>
      <c r="HX65" s="9" t="n">
        <v>0</v>
      </c>
      <c r="HY65" s="9" t="n">
        <v>0</v>
      </c>
      <c r="HZ65" s="9" t="n">
        <v>0</v>
      </c>
      <c r="IA65" s="9" t="n">
        <v>0</v>
      </c>
      <c r="IB65" s="9" t="n">
        <v>0</v>
      </c>
      <c r="IC65" s="9" t="n">
        <v>0</v>
      </c>
      <c r="ID65" s="9" t="n">
        <v>0</v>
      </c>
      <c r="IE65" s="9" t="n">
        <v>0</v>
      </c>
      <c r="IF65" s="9" t="n">
        <v>0</v>
      </c>
      <c r="IG65" s="9" t="n">
        <v>0</v>
      </c>
      <c r="IH65" s="9" t="n">
        <v>0</v>
      </c>
      <c r="IJ65" s="9" t="n">
        <v>0</v>
      </c>
      <c r="IK65" s="9" t="n">
        <v>0.3</v>
      </c>
      <c r="IL65" s="9" t="n">
        <v>0</v>
      </c>
      <c r="IM65" s="9" t="n">
        <v>0</v>
      </c>
      <c r="IN65" s="9" t="n">
        <v>0</v>
      </c>
      <c r="IO65" s="9" t="n">
        <v>0</v>
      </c>
      <c r="IP65" s="9" t="n">
        <v>0</v>
      </c>
      <c r="IQ65" s="9" t="n">
        <v>0</v>
      </c>
      <c r="IR65" s="9" t="n">
        <v>0</v>
      </c>
      <c r="IS65" s="9" t="n">
        <v>0</v>
      </c>
      <c r="IT65" s="9" t="n">
        <v>0</v>
      </c>
      <c r="IU65" s="9" t="n">
        <v>0</v>
      </c>
      <c r="IV65" s="9" t="n">
        <v>0</v>
      </c>
      <c r="IW65" s="9" t="n">
        <v>0</v>
      </c>
      <c r="IX65" s="9" t="n">
        <v>0</v>
      </c>
    </row>
    <row r="66">
      <c r="A66" s="10" t="n">
        <v>46065</v>
      </c>
      <c r="CT66" s="9" t="n">
        <v>110</v>
      </c>
      <c r="EA66" s="9" t="inlineStr">
        <is>
          <t>1101 TOP UP (0.40KG)</t>
        </is>
      </c>
      <c r="EB66" s="9" t="n">
        <v>0</v>
      </c>
      <c r="EC66" s="9" t="n">
        <v>0</v>
      </c>
      <c r="ED66" s="9" t="n">
        <v>0</v>
      </c>
      <c r="EE66" s="9" t="n">
        <v>0</v>
      </c>
      <c r="EF66" s="9" t="n">
        <v>0</v>
      </c>
      <c r="EG66" s="9" t="n">
        <v>0</v>
      </c>
      <c r="EH66" s="9" t="n">
        <v>0</v>
      </c>
      <c r="EI66" s="9" t="n">
        <v>0</v>
      </c>
      <c r="EJ66" s="9" t="n">
        <v>0</v>
      </c>
      <c r="EK66" s="9" t="n">
        <v>0</v>
      </c>
      <c r="EL66" s="9" t="n">
        <v>0</v>
      </c>
      <c r="EM66" s="9" t="n">
        <v>0</v>
      </c>
      <c r="EN66" s="9" t="n">
        <v>0</v>
      </c>
      <c r="EO66" s="9" t="n">
        <v>0</v>
      </c>
      <c r="EP66" s="9" t="n">
        <v>0</v>
      </c>
      <c r="ER66" s="9" t="n">
        <v>0</v>
      </c>
      <c r="ES66" s="9" t="n">
        <v>0</v>
      </c>
      <c r="ET66" s="9" t="n">
        <v>0</v>
      </c>
      <c r="EU66" s="9" t="n">
        <v>0</v>
      </c>
      <c r="EV66" s="9" t="n">
        <v>0</v>
      </c>
      <c r="EW66" s="9" t="n">
        <v>0</v>
      </c>
      <c r="EX66" s="9" t="n">
        <v>0</v>
      </c>
      <c r="EY66" s="9" t="n">
        <v>0</v>
      </c>
      <c r="EZ66" s="9" t="n">
        <v>0</v>
      </c>
      <c r="FA66" s="9" t="n">
        <v>0</v>
      </c>
      <c r="FB66" s="9" t="n">
        <v>0</v>
      </c>
      <c r="FC66" s="9" t="n">
        <v>0</v>
      </c>
      <c r="FD66" s="9" t="n">
        <v>0</v>
      </c>
      <c r="FE66" s="9" t="n">
        <v>0</v>
      </c>
      <c r="FF66" s="9" t="n">
        <v>0</v>
      </c>
      <c r="FH66" s="9" t="n">
        <v>0</v>
      </c>
      <c r="FI66" s="9" t="n">
        <v>0</v>
      </c>
      <c r="FJ66" s="9" t="n">
        <v>0</v>
      </c>
      <c r="FK66" s="9" t="n">
        <v>0</v>
      </c>
      <c r="FL66" s="9" t="n">
        <v>0</v>
      </c>
      <c r="FM66" s="9" t="n">
        <v>0</v>
      </c>
      <c r="FN66" s="9" t="n">
        <v>0</v>
      </c>
      <c r="FO66" s="9" t="n">
        <v>0</v>
      </c>
      <c r="FP66" s="9" t="n">
        <v>0</v>
      </c>
      <c r="FQ66" s="9" t="n">
        <v>0</v>
      </c>
      <c r="FR66" s="9" t="n">
        <v>0</v>
      </c>
      <c r="FS66" s="9" t="n">
        <v>0</v>
      </c>
      <c r="FT66" s="9" t="n">
        <v>0</v>
      </c>
      <c r="FU66" s="9" t="n">
        <v>0</v>
      </c>
      <c r="FV66" s="9" t="n">
        <v>0</v>
      </c>
      <c r="FX66" s="9" t="n">
        <v>0</v>
      </c>
      <c r="FY66" s="9" t="n">
        <v>0</v>
      </c>
      <c r="FZ66" s="9" t="n">
        <v>0</v>
      </c>
      <c r="GA66" s="9" t="n">
        <v>0</v>
      </c>
      <c r="GB66" s="9" t="n">
        <v>0</v>
      </c>
      <c r="GC66" s="9" t="n">
        <v>0</v>
      </c>
      <c r="GD66" s="9" t="n">
        <v>0</v>
      </c>
      <c r="GE66" s="9" t="n">
        <v>0</v>
      </c>
      <c r="GF66" s="9" t="n">
        <v>0</v>
      </c>
      <c r="GG66" s="9" t="n">
        <v>0</v>
      </c>
      <c r="GH66" s="9" t="n">
        <v>0</v>
      </c>
      <c r="GI66" s="9" t="n">
        <v>0</v>
      </c>
      <c r="GJ66" s="9" t="n">
        <v>0</v>
      </c>
      <c r="GK66" s="9" t="n">
        <v>0</v>
      </c>
      <c r="GL66" s="9" t="n">
        <v>0</v>
      </c>
      <c r="GN66" s="9" t="n">
        <v>0</v>
      </c>
      <c r="GO66" s="9" t="n">
        <v>0</v>
      </c>
      <c r="GP66" s="9" t="n">
        <v>0</v>
      </c>
      <c r="GQ66" s="9" t="n">
        <v>0</v>
      </c>
      <c r="GR66" s="9" t="n">
        <v>0</v>
      </c>
      <c r="GS66" s="9" t="n">
        <v>0</v>
      </c>
      <c r="GT66" s="9" t="n">
        <v>0</v>
      </c>
      <c r="GU66" s="9" t="n">
        <v>0</v>
      </c>
      <c r="GV66" s="9" t="n">
        <v>0</v>
      </c>
      <c r="GW66" s="9" t="n">
        <v>0</v>
      </c>
      <c r="GX66" s="9" t="n">
        <v>0</v>
      </c>
      <c r="GY66" s="9" t="n">
        <v>0</v>
      </c>
      <c r="GZ66" s="9" t="n">
        <v>0</v>
      </c>
      <c r="HA66" s="9" t="n">
        <v>0</v>
      </c>
      <c r="HB66" s="9" t="n">
        <v>0</v>
      </c>
      <c r="HD66" s="9" t="n">
        <v>0</v>
      </c>
      <c r="HE66" s="9" t="n">
        <v>0</v>
      </c>
      <c r="HF66" s="9" t="n">
        <v>0</v>
      </c>
      <c r="HG66" s="9" t="n">
        <v>0</v>
      </c>
      <c r="HH66" s="9" t="n">
        <v>0</v>
      </c>
      <c r="HI66" s="9" t="n">
        <v>0</v>
      </c>
      <c r="HJ66" s="9" t="n">
        <v>0</v>
      </c>
      <c r="HK66" s="9" t="n">
        <v>0</v>
      </c>
      <c r="HL66" s="9" t="n">
        <v>0</v>
      </c>
      <c r="HM66" s="9" t="n">
        <v>0</v>
      </c>
      <c r="HN66" s="9" t="n">
        <v>0</v>
      </c>
      <c r="HO66" s="9" t="n">
        <v>0</v>
      </c>
      <c r="HP66" s="9" t="n">
        <v>0</v>
      </c>
      <c r="HQ66" s="9" t="n">
        <v>0</v>
      </c>
      <c r="HR66" s="9" t="n">
        <v>0</v>
      </c>
      <c r="HT66" s="9" t="n">
        <v>0</v>
      </c>
      <c r="HU66" s="9" t="n">
        <v>0</v>
      </c>
      <c r="HV66" s="9" t="n">
        <v>0</v>
      </c>
      <c r="HW66" s="9" t="n">
        <v>0</v>
      </c>
      <c r="HX66" s="9" t="n">
        <v>0</v>
      </c>
      <c r="HY66" s="9" t="n">
        <v>0</v>
      </c>
      <c r="HZ66" s="9" t="n">
        <v>0</v>
      </c>
      <c r="IA66" s="9" t="n">
        <v>0</v>
      </c>
      <c r="IB66" s="9" t="n">
        <v>0</v>
      </c>
      <c r="IC66" s="9" t="n">
        <v>0</v>
      </c>
      <c r="ID66" s="9" t="n">
        <v>0</v>
      </c>
      <c r="IE66" s="9" t="n">
        <v>0</v>
      </c>
      <c r="IF66" s="9" t="n">
        <v>0</v>
      </c>
      <c r="IG66" s="9" t="n">
        <v>0</v>
      </c>
      <c r="IH66" s="9" t="n">
        <v>0</v>
      </c>
      <c r="IJ66" s="9" t="n">
        <v>0</v>
      </c>
      <c r="IK66" s="9" t="n">
        <v>0.2</v>
      </c>
      <c r="IL66" s="9" t="n">
        <v>0</v>
      </c>
      <c r="IM66" s="9" t="n">
        <v>0</v>
      </c>
      <c r="IN66" s="9" t="n">
        <v>0</v>
      </c>
      <c r="IO66" s="9" t="n">
        <v>0</v>
      </c>
      <c r="IP66" s="9" t="n">
        <v>0</v>
      </c>
      <c r="IQ66" s="9" t="n">
        <v>0</v>
      </c>
      <c r="IR66" s="9" t="n">
        <v>0</v>
      </c>
      <c r="IS66" s="9" t="n">
        <v>0</v>
      </c>
      <c r="IT66" s="9" t="n">
        <v>0</v>
      </c>
      <c r="IU66" s="9" t="n">
        <v>0</v>
      </c>
      <c r="IV66" s="9" t="n">
        <v>0</v>
      </c>
      <c r="IW66" s="9" t="n">
        <v>0</v>
      </c>
      <c r="IX66" s="9" t="n">
        <v>0</v>
      </c>
    </row>
    <row r="67">
      <c r="A67" s="10" t="n">
        <v>46066</v>
      </c>
      <c r="B67" s="9" t="n">
        <v>26</v>
      </c>
      <c r="BQ67" s="9" t="n">
        <v>112</v>
      </c>
      <c r="EA67" s="9" t="inlineStr">
        <is>
          <t>1102 TOP UP (0.60KG)</t>
        </is>
      </c>
      <c r="EB67" s="9" t="n">
        <v>0</v>
      </c>
      <c r="EC67" s="9" t="n">
        <v>0</v>
      </c>
      <c r="ED67" s="9" t="n">
        <v>0</v>
      </c>
      <c r="EE67" s="9" t="n">
        <v>0</v>
      </c>
      <c r="EF67" s="9" t="n">
        <v>0</v>
      </c>
      <c r="EG67" s="9" t="n">
        <v>0</v>
      </c>
      <c r="EH67" s="9" t="n">
        <v>0</v>
      </c>
      <c r="EI67" s="9" t="n">
        <v>0</v>
      </c>
      <c r="EJ67" s="9" t="n">
        <v>0</v>
      </c>
      <c r="EK67" s="9" t="n">
        <v>0</v>
      </c>
      <c r="EL67" s="9" t="n">
        <v>0</v>
      </c>
      <c r="EM67" s="9" t="n">
        <v>0</v>
      </c>
      <c r="EN67" s="9" t="n">
        <v>0</v>
      </c>
      <c r="EO67" s="9" t="n">
        <v>0</v>
      </c>
      <c r="EP67" s="9" t="n">
        <v>0</v>
      </c>
      <c r="ER67" s="9" t="n">
        <v>0</v>
      </c>
      <c r="ES67" s="9" t="n">
        <v>0</v>
      </c>
      <c r="ET67" s="9" t="n">
        <v>0</v>
      </c>
      <c r="EU67" s="9" t="n">
        <v>0</v>
      </c>
      <c r="EV67" s="9" t="n">
        <v>0</v>
      </c>
      <c r="EW67" s="9" t="n">
        <v>0</v>
      </c>
      <c r="EX67" s="9" t="n">
        <v>0</v>
      </c>
      <c r="EY67" s="9" t="n">
        <v>0</v>
      </c>
      <c r="EZ67" s="9" t="n">
        <v>0</v>
      </c>
      <c r="FA67" s="9" t="n">
        <v>0</v>
      </c>
      <c r="FB67" s="9" t="n">
        <v>0</v>
      </c>
      <c r="FC67" s="9" t="n">
        <v>0</v>
      </c>
      <c r="FD67" s="9" t="n">
        <v>0</v>
      </c>
      <c r="FE67" s="9" t="n">
        <v>0</v>
      </c>
      <c r="FF67" s="9" t="n">
        <v>0</v>
      </c>
      <c r="FH67" s="9" t="n">
        <v>0</v>
      </c>
      <c r="FI67" s="9" t="n">
        <v>0</v>
      </c>
      <c r="FJ67" s="9" t="n">
        <v>0</v>
      </c>
      <c r="FK67" s="9" t="n">
        <v>0</v>
      </c>
      <c r="FL67" s="9" t="n">
        <v>0</v>
      </c>
      <c r="FM67" s="9" t="n">
        <v>0</v>
      </c>
      <c r="FN67" s="9" t="n">
        <v>0</v>
      </c>
      <c r="FO67" s="9" t="n">
        <v>0</v>
      </c>
      <c r="FP67" s="9" t="n">
        <v>0</v>
      </c>
      <c r="FQ67" s="9" t="n">
        <v>0</v>
      </c>
      <c r="FR67" s="9" t="n">
        <v>0</v>
      </c>
      <c r="FS67" s="9" t="n">
        <v>0</v>
      </c>
      <c r="FT67" s="9" t="n">
        <v>0</v>
      </c>
      <c r="FU67" s="9" t="n">
        <v>0</v>
      </c>
      <c r="FV67" s="9" t="n">
        <v>0</v>
      </c>
      <c r="FX67" s="9" t="n">
        <v>0</v>
      </c>
      <c r="FY67" s="9" t="n">
        <v>0</v>
      </c>
      <c r="FZ67" s="9" t="n">
        <v>0</v>
      </c>
      <c r="GA67" s="9" t="n">
        <v>0</v>
      </c>
      <c r="GB67" s="9" t="n">
        <v>0</v>
      </c>
      <c r="GC67" s="9" t="n">
        <v>0</v>
      </c>
      <c r="GD67" s="9" t="n">
        <v>0</v>
      </c>
      <c r="GE67" s="9" t="n">
        <v>0</v>
      </c>
      <c r="GF67" s="9" t="n">
        <v>0</v>
      </c>
      <c r="GG67" s="9" t="n">
        <v>0</v>
      </c>
      <c r="GH67" s="9" t="n">
        <v>0</v>
      </c>
      <c r="GI67" s="9" t="n">
        <v>0</v>
      </c>
      <c r="GJ67" s="9" t="n">
        <v>0</v>
      </c>
      <c r="GK67" s="9" t="n">
        <v>0</v>
      </c>
      <c r="GL67" s="9" t="n">
        <v>0</v>
      </c>
      <c r="GN67" s="9" t="n">
        <v>0</v>
      </c>
      <c r="GO67" s="9" t="n">
        <v>0</v>
      </c>
      <c r="GP67" s="9" t="n">
        <v>0</v>
      </c>
      <c r="GQ67" s="9" t="n">
        <v>0</v>
      </c>
      <c r="GR67" s="9" t="n">
        <v>0</v>
      </c>
      <c r="GS67" s="9" t="n">
        <v>0</v>
      </c>
      <c r="GT67" s="9" t="n">
        <v>0</v>
      </c>
      <c r="GU67" s="9" t="n">
        <v>0</v>
      </c>
      <c r="GV67" s="9" t="n">
        <v>0</v>
      </c>
      <c r="GW67" s="9" t="n">
        <v>0</v>
      </c>
      <c r="GX67" s="9" t="n">
        <v>0</v>
      </c>
      <c r="GY67" s="9" t="n">
        <v>0</v>
      </c>
      <c r="GZ67" s="9" t="n">
        <v>0</v>
      </c>
      <c r="HA67" s="9" t="n">
        <v>0</v>
      </c>
      <c r="HB67" s="9" t="n">
        <v>0</v>
      </c>
      <c r="HD67" s="9" t="n">
        <v>0</v>
      </c>
      <c r="HE67" s="9" t="n">
        <v>0</v>
      </c>
      <c r="HF67" s="9" t="n">
        <v>0</v>
      </c>
      <c r="HG67" s="9" t="n">
        <v>0</v>
      </c>
      <c r="HH67" s="9" t="n">
        <v>0</v>
      </c>
      <c r="HI67" s="9" t="n">
        <v>0</v>
      </c>
      <c r="HJ67" s="9" t="n">
        <v>0</v>
      </c>
      <c r="HK67" s="9" t="n">
        <v>0</v>
      </c>
      <c r="HL67" s="9" t="n">
        <v>0</v>
      </c>
      <c r="HM67" s="9" t="n">
        <v>0</v>
      </c>
      <c r="HN67" s="9" t="n">
        <v>0</v>
      </c>
      <c r="HO67" s="9" t="n">
        <v>0</v>
      </c>
      <c r="HP67" s="9" t="n">
        <v>0</v>
      </c>
      <c r="HQ67" s="9" t="n">
        <v>0</v>
      </c>
      <c r="HR67" s="9" t="n">
        <v>0</v>
      </c>
      <c r="HT67" s="9" t="n">
        <v>0</v>
      </c>
      <c r="HU67" s="9" t="n">
        <v>0</v>
      </c>
      <c r="HV67" s="9" t="n">
        <v>0</v>
      </c>
      <c r="HW67" s="9" t="n">
        <v>0</v>
      </c>
      <c r="HX67" s="9" t="n">
        <v>0</v>
      </c>
      <c r="HY67" s="9" t="n">
        <v>0</v>
      </c>
      <c r="HZ67" s="9" t="n">
        <v>0</v>
      </c>
      <c r="IA67" s="9" t="n">
        <v>0</v>
      </c>
      <c r="IB67" s="9" t="n">
        <v>0</v>
      </c>
      <c r="IC67" s="9" t="n">
        <v>0</v>
      </c>
      <c r="ID67" s="9" t="n">
        <v>0</v>
      </c>
      <c r="IE67" s="9" t="n">
        <v>0</v>
      </c>
      <c r="IF67" s="9" t="n">
        <v>0</v>
      </c>
      <c r="IG67" s="9" t="n">
        <v>0</v>
      </c>
      <c r="IH67" s="9" t="n">
        <v>0</v>
      </c>
      <c r="IJ67" s="9" t="n">
        <v>0</v>
      </c>
      <c r="IK67" s="9" t="n">
        <v>0</v>
      </c>
      <c r="IL67" s="9" t="n">
        <v>0</v>
      </c>
      <c r="IM67" s="9" t="n">
        <v>0</v>
      </c>
      <c r="IN67" s="9" t="n">
        <v>0</v>
      </c>
      <c r="IO67" s="9" t="n">
        <v>0</v>
      </c>
      <c r="IP67" s="9" t="n">
        <v>0</v>
      </c>
      <c r="IQ67" s="9" t="n">
        <v>0</v>
      </c>
      <c r="IR67" s="9" t="n">
        <v>0</v>
      </c>
      <c r="IS67" s="9" t="n">
        <v>0</v>
      </c>
      <c r="IT67" s="9" t="n">
        <v>0</v>
      </c>
      <c r="IU67" s="9" t="n">
        <v>0</v>
      </c>
      <c r="IV67" s="9" t="n">
        <v>0</v>
      </c>
      <c r="IW67" s="9" t="n">
        <v>0</v>
      </c>
      <c r="IX67" s="9" t="n">
        <v>0</v>
      </c>
    </row>
    <row r="68">
      <c r="A68" s="10" t="n">
        <v>46067</v>
      </c>
      <c r="EA68" s="9" t="inlineStr">
        <is>
          <t>1103 TOP UP (2.00KG)</t>
        </is>
      </c>
      <c r="EB68" s="9" t="n">
        <v>0</v>
      </c>
      <c r="EC68" s="9" t="n">
        <v>0</v>
      </c>
      <c r="ED68" s="9" t="n">
        <v>0</v>
      </c>
      <c r="EE68" s="9" t="n">
        <v>0</v>
      </c>
      <c r="EF68" s="9" t="n">
        <v>0</v>
      </c>
      <c r="EG68" s="9" t="n">
        <v>0</v>
      </c>
      <c r="EH68" s="9" t="n">
        <v>0</v>
      </c>
      <c r="EI68" s="9" t="n">
        <v>0</v>
      </c>
      <c r="EJ68" s="9" t="n">
        <v>0</v>
      </c>
      <c r="EK68" s="9" t="n">
        <v>0</v>
      </c>
      <c r="EL68" s="9" t="n">
        <v>0</v>
      </c>
      <c r="EM68" s="9" t="n">
        <v>0</v>
      </c>
      <c r="EN68" s="9" t="n">
        <v>0</v>
      </c>
      <c r="EO68" s="9" t="n">
        <v>0</v>
      </c>
      <c r="EP68" s="9" t="n">
        <v>0</v>
      </c>
      <c r="ER68" s="9" t="n">
        <v>0</v>
      </c>
      <c r="ES68" s="9" t="n">
        <v>0</v>
      </c>
      <c r="ET68" s="9" t="n">
        <v>0</v>
      </c>
      <c r="EU68" s="9" t="n">
        <v>0</v>
      </c>
      <c r="EV68" s="9" t="n">
        <v>0</v>
      </c>
      <c r="EW68" s="9" t="n">
        <v>0</v>
      </c>
      <c r="EX68" s="9" t="n">
        <v>0</v>
      </c>
      <c r="EY68" s="9" t="n">
        <v>0</v>
      </c>
      <c r="EZ68" s="9" t="n">
        <v>0</v>
      </c>
      <c r="FA68" s="9" t="n">
        <v>0</v>
      </c>
      <c r="FB68" s="9" t="n">
        <v>0</v>
      </c>
      <c r="FC68" s="9" t="n">
        <v>0</v>
      </c>
      <c r="FD68" s="9" t="n">
        <v>0</v>
      </c>
      <c r="FE68" s="9" t="n">
        <v>0</v>
      </c>
      <c r="FF68" s="9" t="n">
        <v>0</v>
      </c>
      <c r="FH68" s="9" t="n">
        <v>0</v>
      </c>
      <c r="FI68" s="9" t="n">
        <v>2</v>
      </c>
      <c r="FJ68" s="9" t="n">
        <v>0</v>
      </c>
      <c r="FK68" s="9" t="n">
        <v>0</v>
      </c>
      <c r="FL68" s="9" t="n">
        <v>0</v>
      </c>
      <c r="FM68" s="9" t="n">
        <v>0</v>
      </c>
      <c r="FN68" s="9" t="n">
        <v>0</v>
      </c>
      <c r="FO68" s="9" t="n">
        <v>0</v>
      </c>
      <c r="FP68" s="9" t="n">
        <v>0</v>
      </c>
      <c r="FQ68" s="9" t="n">
        <v>0</v>
      </c>
      <c r="FR68" s="9" t="n">
        <v>0</v>
      </c>
      <c r="FS68" s="9" t="n">
        <v>0</v>
      </c>
      <c r="FT68" s="9" t="n">
        <v>0</v>
      </c>
      <c r="FU68" s="9" t="n">
        <v>0</v>
      </c>
      <c r="FV68" s="9" t="n">
        <v>0</v>
      </c>
      <c r="FX68" s="9" t="n">
        <v>0</v>
      </c>
      <c r="FY68" s="9" t="n">
        <v>0</v>
      </c>
      <c r="FZ68" s="9" t="n">
        <v>0</v>
      </c>
      <c r="GA68" s="9" t="n">
        <v>0</v>
      </c>
      <c r="GB68" s="9" t="n">
        <v>0</v>
      </c>
      <c r="GC68" s="9" t="n">
        <v>0</v>
      </c>
      <c r="GD68" s="9" t="n">
        <v>0</v>
      </c>
      <c r="GE68" s="9" t="n">
        <v>0</v>
      </c>
      <c r="GF68" s="9" t="n">
        <v>0</v>
      </c>
      <c r="GG68" s="9" t="n">
        <v>0</v>
      </c>
      <c r="GH68" s="9" t="n">
        <v>0</v>
      </c>
      <c r="GI68" s="9" t="n">
        <v>0</v>
      </c>
      <c r="GJ68" s="9" t="n">
        <v>0</v>
      </c>
      <c r="GK68" s="9" t="n">
        <v>0</v>
      </c>
      <c r="GL68" s="9" t="n">
        <v>0</v>
      </c>
      <c r="GN68" s="9" t="n">
        <v>0</v>
      </c>
      <c r="GO68" s="9" t="n">
        <v>0</v>
      </c>
      <c r="GP68" s="9" t="n">
        <v>0</v>
      </c>
      <c r="GQ68" s="9" t="n">
        <v>0</v>
      </c>
      <c r="GR68" s="9" t="n">
        <v>0</v>
      </c>
      <c r="GS68" s="9" t="n">
        <v>0</v>
      </c>
      <c r="GT68" s="9" t="n">
        <v>0</v>
      </c>
      <c r="GU68" s="9" t="n">
        <v>0</v>
      </c>
      <c r="GV68" s="9" t="n">
        <v>0</v>
      </c>
      <c r="GW68" s="9" t="n">
        <v>0</v>
      </c>
      <c r="GX68" s="9" t="n">
        <v>0</v>
      </c>
      <c r="GY68" s="9" t="n">
        <v>0</v>
      </c>
      <c r="GZ68" s="9" t="n">
        <v>0</v>
      </c>
      <c r="HA68" s="9" t="n">
        <v>0</v>
      </c>
      <c r="HB68" s="9" t="n">
        <v>0</v>
      </c>
      <c r="HD68" s="9" t="n">
        <v>0</v>
      </c>
      <c r="HE68" s="9" t="n">
        <v>0</v>
      </c>
      <c r="HF68" s="9" t="n">
        <v>0</v>
      </c>
      <c r="HG68" s="9" t="n">
        <v>0</v>
      </c>
      <c r="HH68" s="9" t="n">
        <v>0</v>
      </c>
      <c r="HI68" s="9" t="n">
        <v>0</v>
      </c>
      <c r="HJ68" s="9" t="n">
        <v>0</v>
      </c>
      <c r="HK68" s="9" t="n">
        <v>0</v>
      </c>
      <c r="HL68" s="9" t="n">
        <v>0</v>
      </c>
      <c r="HM68" s="9" t="n">
        <v>0</v>
      </c>
      <c r="HN68" s="9" t="n">
        <v>0</v>
      </c>
      <c r="HO68" s="9" t="n">
        <v>0</v>
      </c>
      <c r="HP68" s="9" t="n">
        <v>0</v>
      </c>
      <c r="HQ68" s="9" t="n">
        <v>0</v>
      </c>
      <c r="HR68" s="9" t="n">
        <v>0</v>
      </c>
      <c r="HT68" s="9" t="n">
        <v>0</v>
      </c>
      <c r="HU68" s="9" t="n">
        <v>0</v>
      </c>
      <c r="HV68" s="9" t="n">
        <v>0</v>
      </c>
      <c r="HW68" s="9" t="n">
        <v>0</v>
      </c>
      <c r="HX68" s="9" t="n">
        <v>0</v>
      </c>
      <c r="HY68" s="9" t="n">
        <v>0</v>
      </c>
      <c r="HZ68" s="9" t="n">
        <v>0</v>
      </c>
      <c r="IA68" s="9" t="n">
        <v>0</v>
      </c>
      <c r="IB68" s="9" t="n">
        <v>0</v>
      </c>
      <c r="IC68" s="9" t="n">
        <v>0</v>
      </c>
      <c r="ID68" s="9" t="n">
        <v>0</v>
      </c>
      <c r="IE68" s="9" t="n">
        <v>0</v>
      </c>
      <c r="IF68" s="9" t="n">
        <v>0</v>
      </c>
      <c r="IG68" s="9" t="n">
        <v>0</v>
      </c>
      <c r="IH68" s="9" t="n">
        <v>0</v>
      </c>
      <c r="IJ68" s="9" t="n">
        <v>0</v>
      </c>
      <c r="IK68" s="9" t="n">
        <v>0</v>
      </c>
      <c r="IL68" s="9" t="n">
        <v>0</v>
      </c>
      <c r="IM68" s="9" t="n">
        <v>0</v>
      </c>
      <c r="IN68" s="9" t="n">
        <v>0</v>
      </c>
      <c r="IO68" s="9" t="n">
        <v>0</v>
      </c>
      <c r="IP68" s="9" t="n">
        <v>0</v>
      </c>
      <c r="IQ68" s="9" t="n">
        <v>0</v>
      </c>
      <c r="IR68" s="9" t="n">
        <v>0</v>
      </c>
      <c r="IS68" s="9" t="n">
        <v>0</v>
      </c>
      <c r="IT68" s="9" t="n">
        <v>0</v>
      </c>
      <c r="IU68" s="9" t="n">
        <v>0</v>
      </c>
      <c r="IV68" s="9" t="n">
        <v>0</v>
      </c>
      <c r="IW68" s="9" t="n">
        <v>0</v>
      </c>
      <c r="IX68" s="9" t="n">
        <v>0</v>
      </c>
    </row>
    <row r="69">
      <c r="A69" s="10" t="n">
        <v>46068</v>
      </c>
      <c r="EA69" s="9" t="inlineStr">
        <is>
          <t>QUANTUM GLO 4%</t>
        </is>
      </c>
      <c r="EB69" s="9" t="n">
        <v>0</v>
      </c>
      <c r="EC69" s="9" t="n">
        <v>0</v>
      </c>
      <c r="ED69" s="9" t="n">
        <v>0</v>
      </c>
      <c r="EE69" s="9" t="n">
        <v>0</v>
      </c>
      <c r="EF69" s="9" t="n">
        <v>0</v>
      </c>
      <c r="EG69" s="9" t="n">
        <v>0</v>
      </c>
      <c r="EH69" s="9" t="n">
        <v>0</v>
      </c>
      <c r="EI69" s="9" t="n">
        <v>0</v>
      </c>
      <c r="EJ69" s="9" t="n">
        <v>0</v>
      </c>
      <c r="EK69" s="9" t="n">
        <v>0</v>
      </c>
      <c r="EL69" s="9" t="n">
        <v>0</v>
      </c>
      <c r="EM69" s="9" t="n">
        <v>0</v>
      </c>
      <c r="EN69" s="9" t="n">
        <v>0</v>
      </c>
      <c r="EO69" s="9" t="n">
        <v>0</v>
      </c>
      <c r="EP69" s="9" t="n">
        <v>0</v>
      </c>
      <c r="ER69" s="9" t="n">
        <v>0</v>
      </c>
      <c r="ES69" s="9" t="n">
        <v>0</v>
      </c>
      <c r="ET69" s="9" t="n">
        <v>0</v>
      </c>
      <c r="EU69" s="9" t="n">
        <v>0</v>
      </c>
      <c r="EV69" s="9" t="n">
        <v>0</v>
      </c>
      <c r="EW69" s="9" t="n">
        <v>0</v>
      </c>
      <c r="EX69" s="9" t="n">
        <v>0</v>
      </c>
      <c r="EY69" s="9" t="n">
        <v>0</v>
      </c>
      <c r="EZ69" s="9" t="n">
        <v>0</v>
      </c>
      <c r="FA69" s="9" t="n">
        <v>0</v>
      </c>
      <c r="FB69" s="9" t="n">
        <v>0</v>
      </c>
      <c r="FC69" s="9" t="n">
        <v>0</v>
      </c>
      <c r="FD69" s="9" t="n">
        <v>0</v>
      </c>
      <c r="FE69" s="9" t="n">
        <v>0</v>
      </c>
      <c r="FF69" s="9" t="n">
        <v>0</v>
      </c>
      <c r="FH69" s="9" t="n">
        <v>0</v>
      </c>
      <c r="FI69" s="9" t="n">
        <v>0</v>
      </c>
      <c r="FJ69" s="9" t="n">
        <v>0</v>
      </c>
      <c r="FK69" s="9" t="n">
        <v>0</v>
      </c>
      <c r="FL69" s="9" t="n">
        <v>0</v>
      </c>
      <c r="FM69" s="9" t="n">
        <v>0</v>
      </c>
      <c r="FN69" s="9" t="n">
        <v>0</v>
      </c>
      <c r="FO69" s="9" t="n">
        <v>0</v>
      </c>
      <c r="FP69" s="9" t="n">
        <v>0</v>
      </c>
      <c r="FQ69" s="9" t="n">
        <v>0</v>
      </c>
      <c r="FR69" s="9" t="n">
        <v>0</v>
      </c>
      <c r="FS69" s="9" t="n">
        <v>0</v>
      </c>
      <c r="FT69" s="9" t="n">
        <v>0</v>
      </c>
      <c r="FU69" s="9" t="n">
        <v>0</v>
      </c>
      <c r="FV69" s="9" t="n">
        <v>0</v>
      </c>
      <c r="FX69" s="9" t="n">
        <v>0</v>
      </c>
      <c r="FY69" s="9" t="n">
        <v>0</v>
      </c>
      <c r="FZ69" s="9" t="n">
        <v>0</v>
      </c>
      <c r="GA69" s="9" t="n">
        <v>0</v>
      </c>
      <c r="GB69" s="9" t="n">
        <v>0</v>
      </c>
      <c r="GC69" s="9" t="n">
        <v>0</v>
      </c>
      <c r="GD69" s="9" t="n">
        <v>0</v>
      </c>
      <c r="GE69" s="9" t="n">
        <v>0</v>
      </c>
      <c r="GF69" s="9" t="n">
        <v>0</v>
      </c>
      <c r="GG69" s="9" t="n">
        <v>0</v>
      </c>
      <c r="GH69" s="9" t="n">
        <v>0</v>
      </c>
      <c r="GI69" s="9" t="n">
        <v>0</v>
      </c>
      <c r="GJ69" s="9" t="n">
        <v>0</v>
      </c>
      <c r="GK69" s="9" t="n">
        <v>0</v>
      </c>
      <c r="GL69" s="9" t="n">
        <v>0</v>
      </c>
      <c r="GN69" s="9" t="n">
        <v>0</v>
      </c>
      <c r="GO69" s="9" t="n">
        <v>0</v>
      </c>
      <c r="GP69" s="9" t="n">
        <v>0</v>
      </c>
      <c r="GQ69" s="9" t="n">
        <v>0</v>
      </c>
      <c r="GR69" s="9" t="n">
        <v>0</v>
      </c>
      <c r="GS69" s="9" t="n">
        <v>0</v>
      </c>
      <c r="GT69" s="9" t="n">
        <v>0</v>
      </c>
      <c r="GU69" s="9" t="n">
        <v>0</v>
      </c>
      <c r="GV69" s="9" t="n">
        <v>0</v>
      </c>
      <c r="GW69" s="9" t="n">
        <v>0</v>
      </c>
      <c r="GX69" s="9" t="n">
        <v>0</v>
      </c>
      <c r="GY69" s="9" t="n">
        <v>0</v>
      </c>
      <c r="GZ69" s="9" t="n">
        <v>0</v>
      </c>
      <c r="HA69" s="9" t="n">
        <v>0</v>
      </c>
      <c r="HB69" s="9" t="n">
        <v>0</v>
      </c>
      <c r="HD69" s="9" t="n">
        <v>0</v>
      </c>
      <c r="HE69" s="9" t="n">
        <v>0</v>
      </c>
      <c r="HF69" s="9" t="n">
        <v>0</v>
      </c>
      <c r="HG69" s="9" t="n">
        <v>0</v>
      </c>
      <c r="HH69" s="9" t="n">
        <v>0</v>
      </c>
      <c r="HI69" s="9" t="n">
        <v>0</v>
      </c>
      <c r="HJ69" s="9" t="n">
        <v>0</v>
      </c>
      <c r="HK69" s="9" t="n">
        <v>0</v>
      </c>
      <c r="HL69" s="9" t="n">
        <v>0</v>
      </c>
      <c r="HM69" s="9" t="n">
        <v>0</v>
      </c>
      <c r="HN69" s="9" t="n">
        <v>0</v>
      </c>
      <c r="HO69" s="9" t="n">
        <v>0</v>
      </c>
      <c r="HP69" s="9" t="n">
        <v>0</v>
      </c>
      <c r="HQ69" s="9" t="n">
        <v>0</v>
      </c>
      <c r="HR69" s="9" t="n">
        <v>0</v>
      </c>
      <c r="HT69" s="9" t="n">
        <v>0</v>
      </c>
      <c r="HU69" s="9" t="n">
        <v>0</v>
      </c>
      <c r="HV69" s="9" t="n">
        <v>0</v>
      </c>
      <c r="HW69" s="9" t="n">
        <v>0</v>
      </c>
      <c r="HX69" s="9" t="n">
        <v>0</v>
      </c>
      <c r="HY69" s="9" t="n">
        <v>0</v>
      </c>
      <c r="HZ69" s="9" t="n">
        <v>0</v>
      </c>
      <c r="IA69" s="9" t="n">
        <v>0</v>
      </c>
      <c r="IB69" s="9" t="n">
        <v>0</v>
      </c>
      <c r="IC69" s="9" t="n">
        <v>0</v>
      </c>
      <c r="ID69" s="9" t="n">
        <v>0</v>
      </c>
      <c r="IE69" s="9" t="n">
        <v>0</v>
      </c>
      <c r="IF69" s="9" t="n">
        <v>0</v>
      </c>
      <c r="IG69" s="9" t="n">
        <v>0</v>
      </c>
      <c r="IH69" s="9" t="n">
        <v>0</v>
      </c>
      <c r="IJ69" s="9" t="n">
        <v>0</v>
      </c>
      <c r="IK69" s="9" t="n">
        <v>0</v>
      </c>
      <c r="IL69" s="9" t="n">
        <v>0</v>
      </c>
      <c r="IM69" s="9" t="n">
        <v>0</v>
      </c>
      <c r="IN69" s="9" t="n">
        <v>0</v>
      </c>
      <c r="IO69" s="9" t="n">
        <v>0</v>
      </c>
      <c r="IP69" s="9" t="n">
        <v>0</v>
      </c>
      <c r="IQ69" s="9" t="n">
        <v>0</v>
      </c>
      <c r="IR69" s="9" t="n">
        <v>0</v>
      </c>
      <c r="IS69" s="9" t="n">
        <v>0</v>
      </c>
      <c r="IT69" s="9" t="n">
        <v>0</v>
      </c>
      <c r="IU69" s="9" t="n">
        <v>0</v>
      </c>
      <c r="IV69" s="9" t="n">
        <v>0</v>
      </c>
      <c r="IW69" s="9" t="n">
        <v>0</v>
      </c>
      <c r="IX69" s="9" t="n">
        <v>0</v>
      </c>
    </row>
    <row r="70">
      <c r="A70" s="10" t="n">
        <v>46069</v>
      </c>
      <c r="B70" s="9" t="n">
        <v>30</v>
      </c>
      <c r="EA70" s="9" t="inlineStr">
        <is>
          <t>SALT</t>
        </is>
      </c>
      <c r="EB70" s="9" t="n">
        <v>0</v>
      </c>
      <c r="EC70" s="9" t="n">
        <v>0</v>
      </c>
      <c r="ED70" s="9" t="n">
        <v>0</v>
      </c>
      <c r="EE70" s="9" t="n">
        <v>0</v>
      </c>
      <c r="EF70" s="9" t="n">
        <v>0</v>
      </c>
      <c r="EG70" s="9" t="n">
        <v>0</v>
      </c>
      <c r="EH70" s="9" t="n">
        <v>0</v>
      </c>
      <c r="EI70" s="9" t="n">
        <v>0</v>
      </c>
      <c r="EJ70" s="9" t="n">
        <v>0</v>
      </c>
      <c r="EK70" s="9" t="n">
        <v>0</v>
      </c>
      <c r="EL70" s="9" t="n">
        <v>0</v>
      </c>
      <c r="EM70" s="9" t="n">
        <v>0</v>
      </c>
      <c r="EN70" s="9" t="n">
        <v>0</v>
      </c>
      <c r="EO70" s="9" t="n">
        <v>0</v>
      </c>
      <c r="EP70" s="9" t="n">
        <v>0</v>
      </c>
      <c r="ER70" s="9" t="n">
        <v>0</v>
      </c>
      <c r="ES70" s="9" t="n">
        <v>0</v>
      </c>
      <c r="ET70" s="9" t="n">
        <v>0</v>
      </c>
      <c r="EU70" s="9" t="n">
        <v>0</v>
      </c>
      <c r="EV70" s="9" t="n">
        <v>0</v>
      </c>
      <c r="EW70" s="9" t="n">
        <v>0</v>
      </c>
      <c r="EX70" s="9" t="n">
        <v>0</v>
      </c>
      <c r="EY70" s="9" t="n">
        <v>0</v>
      </c>
      <c r="EZ70" s="9" t="n">
        <v>0</v>
      </c>
      <c r="FA70" s="9" t="n">
        <v>0</v>
      </c>
      <c r="FB70" s="9" t="n">
        <v>0</v>
      </c>
      <c r="FC70" s="9" t="n">
        <v>0</v>
      </c>
      <c r="FD70" s="9" t="n">
        <v>0</v>
      </c>
      <c r="FE70" s="9" t="n">
        <v>0</v>
      </c>
      <c r="FF70" s="9" t="n">
        <v>0</v>
      </c>
      <c r="FH70" s="9" t="n">
        <v>0</v>
      </c>
      <c r="FI70" s="9" t="n">
        <v>0</v>
      </c>
      <c r="FJ70" s="9" t="n">
        <v>0</v>
      </c>
      <c r="FK70" s="9" t="n">
        <v>0</v>
      </c>
      <c r="FL70" s="9" t="n">
        <v>0</v>
      </c>
      <c r="FM70" s="9" t="n">
        <v>0</v>
      </c>
      <c r="FN70" s="9" t="n">
        <v>0</v>
      </c>
      <c r="FO70" s="9" t="n">
        <v>0</v>
      </c>
      <c r="FP70" s="9" t="n">
        <v>0</v>
      </c>
      <c r="FQ70" s="9" t="n">
        <v>0</v>
      </c>
      <c r="FR70" s="9" t="n">
        <v>0</v>
      </c>
      <c r="FS70" s="9" t="n">
        <v>0</v>
      </c>
      <c r="FT70" s="9" t="n">
        <v>0</v>
      </c>
      <c r="FU70" s="9" t="n">
        <v>0</v>
      </c>
      <c r="FV70" s="9" t="n">
        <v>0</v>
      </c>
      <c r="FX70" s="9" t="n">
        <v>0</v>
      </c>
      <c r="FY70" s="9" t="n">
        <v>0</v>
      </c>
      <c r="FZ70" s="9" t="n">
        <v>0</v>
      </c>
      <c r="GA70" s="9" t="n">
        <v>0</v>
      </c>
      <c r="GB70" s="9" t="n">
        <v>0</v>
      </c>
      <c r="GC70" s="9" t="n">
        <v>0</v>
      </c>
      <c r="GD70" s="9" t="n">
        <v>0</v>
      </c>
      <c r="GE70" s="9" t="n">
        <v>0</v>
      </c>
      <c r="GF70" s="9" t="n">
        <v>0</v>
      </c>
      <c r="GG70" s="9" t="n">
        <v>0</v>
      </c>
      <c r="GH70" s="9" t="n">
        <v>0</v>
      </c>
      <c r="GI70" s="9" t="n">
        <v>0</v>
      </c>
      <c r="GJ70" s="9" t="n">
        <v>0</v>
      </c>
      <c r="GK70" s="9" t="n">
        <v>0</v>
      </c>
      <c r="GL70" s="9" t="n">
        <v>0</v>
      </c>
      <c r="GN70" s="9" t="n">
        <v>0</v>
      </c>
      <c r="GO70" s="9" t="n">
        <v>0</v>
      </c>
      <c r="GP70" s="9" t="n">
        <v>0</v>
      </c>
      <c r="GQ70" s="9" t="n">
        <v>0</v>
      </c>
      <c r="GR70" s="9" t="n">
        <v>0</v>
      </c>
      <c r="GS70" s="9" t="n">
        <v>0</v>
      </c>
      <c r="GT70" s="9" t="n">
        <v>0</v>
      </c>
      <c r="GU70" s="9" t="n">
        <v>0</v>
      </c>
      <c r="GV70" s="9" t="n">
        <v>0</v>
      </c>
      <c r="GW70" s="9" t="n">
        <v>0</v>
      </c>
      <c r="GX70" s="9" t="n">
        <v>0</v>
      </c>
      <c r="GY70" s="9" t="n">
        <v>0</v>
      </c>
      <c r="GZ70" s="9" t="n">
        <v>0</v>
      </c>
      <c r="HA70" s="9" t="n">
        <v>0</v>
      </c>
      <c r="HB70" s="9" t="n">
        <v>0</v>
      </c>
      <c r="HD70" s="9" t="n">
        <v>0</v>
      </c>
      <c r="HE70" s="9" t="n">
        <v>0</v>
      </c>
      <c r="HF70" s="9" t="n">
        <v>0</v>
      </c>
      <c r="HG70" s="9" t="n">
        <v>0</v>
      </c>
      <c r="HH70" s="9" t="n">
        <v>0</v>
      </c>
      <c r="HI70" s="9" t="n">
        <v>0</v>
      </c>
      <c r="HJ70" s="9" t="n">
        <v>0</v>
      </c>
      <c r="HK70" s="9" t="n">
        <v>0</v>
      </c>
      <c r="HL70" s="9" t="n">
        <v>0</v>
      </c>
      <c r="HM70" s="9" t="n">
        <v>0</v>
      </c>
      <c r="HN70" s="9" t="n">
        <v>0</v>
      </c>
      <c r="HO70" s="9" t="n">
        <v>0</v>
      </c>
      <c r="HP70" s="9" t="n">
        <v>0</v>
      </c>
      <c r="HQ70" s="9" t="n">
        <v>0</v>
      </c>
      <c r="HR70" s="9" t="n">
        <v>0</v>
      </c>
      <c r="HT70" s="9" t="n">
        <v>0</v>
      </c>
      <c r="HU70" s="9" t="n">
        <v>0</v>
      </c>
      <c r="HV70" s="9" t="n">
        <v>0</v>
      </c>
      <c r="HW70" s="9" t="n">
        <v>0</v>
      </c>
      <c r="HX70" s="9" t="n">
        <v>0</v>
      </c>
      <c r="HY70" s="9" t="n">
        <v>0</v>
      </c>
      <c r="HZ70" s="9" t="n">
        <v>0</v>
      </c>
      <c r="IA70" s="9" t="n">
        <v>0</v>
      </c>
      <c r="IB70" s="9" t="n">
        <v>0</v>
      </c>
      <c r="IC70" s="9" t="n">
        <v>0</v>
      </c>
      <c r="ID70" s="9" t="n">
        <v>0</v>
      </c>
      <c r="IE70" s="9" t="n">
        <v>0</v>
      </c>
      <c r="IF70" s="9" t="n">
        <v>0</v>
      </c>
      <c r="IG70" s="9" t="n">
        <v>0</v>
      </c>
      <c r="IH70" s="9" t="n">
        <v>0</v>
      </c>
      <c r="IJ70" s="9" t="n">
        <v>0</v>
      </c>
      <c r="IK70" s="9" t="n">
        <v>0</v>
      </c>
      <c r="IL70" s="9" t="n">
        <v>0</v>
      </c>
      <c r="IM70" s="9" t="n">
        <v>0</v>
      </c>
      <c r="IN70" s="9" t="n">
        <v>0</v>
      </c>
      <c r="IO70" s="9" t="n">
        <v>0</v>
      </c>
      <c r="IP70" s="9" t="n">
        <v>0</v>
      </c>
      <c r="IQ70" s="9" t="n">
        <v>0</v>
      </c>
      <c r="IR70" s="9" t="n">
        <v>0</v>
      </c>
      <c r="IS70" s="9" t="n">
        <v>0</v>
      </c>
      <c r="IT70" s="9" t="n">
        <v>0</v>
      </c>
      <c r="IU70" s="9" t="n">
        <v>0</v>
      </c>
      <c r="IV70" s="9" t="n">
        <v>0</v>
      </c>
      <c r="IW70" s="9" t="n">
        <v>0</v>
      </c>
      <c r="IX70" s="9" t="n">
        <v>0</v>
      </c>
    </row>
    <row r="71">
      <c r="A71" s="10" t="n">
        <v>46070</v>
      </c>
      <c r="EA71" s="9" t="inlineStr">
        <is>
          <t>OC 200 - OXYTET 20%</t>
        </is>
      </c>
      <c r="EB71" s="9" t="n">
        <v>0</v>
      </c>
      <c r="EC71" s="9" t="n">
        <v>0</v>
      </c>
      <c r="ED71" s="9" t="n">
        <v>0</v>
      </c>
      <c r="EE71" s="9" t="n">
        <v>0</v>
      </c>
      <c r="EF71" s="9" t="n">
        <v>0</v>
      </c>
      <c r="EG71" s="9" t="n">
        <v>0</v>
      </c>
      <c r="EH71" s="9" t="n">
        <v>0</v>
      </c>
      <c r="EI71" s="9" t="n">
        <v>0</v>
      </c>
      <c r="EJ71" s="9" t="n">
        <v>0</v>
      </c>
      <c r="EK71" s="9" t="n">
        <v>0</v>
      </c>
      <c r="EL71" s="9" t="n">
        <v>0</v>
      </c>
      <c r="EM71" s="9" t="n">
        <v>0</v>
      </c>
      <c r="EN71" s="9" t="n">
        <v>0</v>
      </c>
      <c r="EO71" s="9" t="n">
        <v>0</v>
      </c>
      <c r="EP71" s="9" t="n">
        <v>0</v>
      </c>
      <c r="ER71" s="9" t="n">
        <v>0</v>
      </c>
      <c r="ES71" s="9" t="n">
        <v>0</v>
      </c>
      <c r="ET71" s="9" t="n">
        <v>0</v>
      </c>
      <c r="EU71" s="9" t="n">
        <v>0</v>
      </c>
      <c r="EV71" s="9" t="n">
        <v>0</v>
      </c>
      <c r="EW71" s="9" t="n">
        <v>0</v>
      </c>
      <c r="EX71" s="9" t="n">
        <v>0</v>
      </c>
      <c r="EY71" s="9" t="n">
        <v>0</v>
      </c>
      <c r="EZ71" s="9" t="n">
        <v>0</v>
      </c>
      <c r="FA71" s="9" t="n">
        <v>0</v>
      </c>
      <c r="FB71" s="9" t="n">
        <v>0</v>
      </c>
      <c r="FC71" s="9" t="n">
        <v>0</v>
      </c>
      <c r="FD71" s="9" t="n">
        <v>0</v>
      </c>
      <c r="FE71" s="9" t="n">
        <v>0</v>
      </c>
      <c r="FF71" s="9" t="n">
        <v>0</v>
      </c>
      <c r="FH71" s="9" t="n">
        <v>0</v>
      </c>
      <c r="FI71" s="9" t="n">
        <v>0</v>
      </c>
      <c r="FJ71" s="9" t="n">
        <v>0</v>
      </c>
      <c r="FK71" s="9" t="n">
        <v>0</v>
      </c>
      <c r="FL71" s="9" t="n">
        <v>0</v>
      </c>
      <c r="FM71" s="9" t="n">
        <v>0</v>
      </c>
      <c r="FN71" s="9" t="n">
        <v>0</v>
      </c>
      <c r="FO71" s="9" t="n">
        <v>0</v>
      </c>
      <c r="FP71" s="9" t="n">
        <v>0</v>
      </c>
      <c r="FQ71" s="9" t="n">
        <v>0</v>
      </c>
      <c r="FR71" s="9" t="n">
        <v>0</v>
      </c>
      <c r="FS71" s="9" t="n">
        <v>0</v>
      </c>
      <c r="FT71" s="9" t="n">
        <v>0</v>
      </c>
      <c r="FU71" s="9" t="n">
        <v>0</v>
      </c>
      <c r="FV71" s="9" t="n">
        <v>0</v>
      </c>
      <c r="FX71" s="9" t="n">
        <v>0</v>
      </c>
      <c r="FY71" s="9" t="n">
        <v>0</v>
      </c>
      <c r="FZ71" s="9" t="n">
        <v>0</v>
      </c>
      <c r="GA71" s="9" t="n">
        <v>0</v>
      </c>
      <c r="GB71" s="9" t="n">
        <v>0</v>
      </c>
      <c r="GC71" s="9" t="n">
        <v>0</v>
      </c>
      <c r="GD71" s="9" t="n">
        <v>0</v>
      </c>
      <c r="GE71" s="9" t="n">
        <v>0</v>
      </c>
      <c r="GF71" s="9" t="n">
        <v>0</v>
      </c>
      <c r="GG71" s="9" t="n">
        <v>0</v>
      </c>
      <c r="GH71" s="9" t="n">
        <v>0</v>
      </c>
      <c r="GI71" s="9" t="n">
        <v>0</v>
      </c>
      <c r="GJ71" s="9" t="n">
        <v>0</v>
      </c>
      <c r="GK71" s="9" t="n">
        <v>0</v>
      </c>
      <c r="GL71" s="9" t="n">
        <v>0</v>
      </c>
      <c r="GN71" s="9" t="n">
        <v>0</v>
      </c>
      <c r="GO71" s="9" t="n">
        <v>0</v>
      </c>
      <c r="GP71" s="9" t="n">
        <v>0</v>
      </c>
      <c r="GQ71" s="9" t="n">
        <v>0</v>
      </c>
      <c r="GR71" s="9" t="n">
        <v>0</v>
      </c>
      <c r="GS71" s="9" t="n">
        <v>0</v>
      </c>
      <c r="GT71" s="9" t="n">
        <v>0</v>
      </c>
      <c r="GU71" s="9" t="n">
        <v>0</v>
      </c>
      <c r="GV71" s="9" t="n">
        <v>0</v>
      </c>
      <c r="GW71" s="9" t="n">
        <v>0</v>
      </c>
      <c r="GX71" s="9" t="n">
        <v>0</v>
      </c>
      <c r="GY71" s="9" t="n">
        <v>0</v>
      </c>
      <c r="GZ71" s="9" t="n">
        <v>0</v>
      </c>
      <c r="HA71" s="9" t="n">
        <v>0</v>
      </c>
      <c r="HB71" s="9" t="n">
        <v>0</v>
      </c>
      <c r="HD71" s="9" t="n">
        <v>0</v>
      </c>
      <c r="HE71" s="9" t="n">
        <v>0</v>
      </c>
      <c r="HF71" s="9" t="n">
        <v>0</v>
      </c>
      <c r="HG71" s="9" t="n">
        <v>0</v>
      </c>
      <c r="HH71" s="9" t="n">
        <v>0</v>
      </c>
      <c r="HI71" s="9" t="n">
        <v>0</v>
      </c>
      <c r="HJ71" s="9" t="n">
        <v>0</v>
      </c>
      <c r="HK71" s="9" t="n">
        <v>0</v>
      </c>
      <c r="HL71" s="9" t="n">
        <v>0</v>
      </c>
      <c r="HM71" s="9" t="n">
        <v>0</v>
      </c>
      <c r="HN71" s="9" t="n">
        <v>0</v>
      </c>
      <c r="HO71" s="9" t="n">
        <v>0</v>
      </c>
      <c r="HP71" s="9" t="n">
        <v>0</v>
      </c>
      <c r="HQ71" s="9" t="n">
        <v>0</v>
      </c>
      <c r="HR71" s="9" t="n">
        <v>0</v>
      </c>
      <c r="HT71" s="9" t="n">
        <v>0</v>
      </c>
      <c r="HU71" s="9" t="n">
        <v>0</v>
      </c>
      <c r="HV71" s="9" t="n">
        <v>0</v>
      </c>
      <c r="HW71" s="9" t="n">
        <v>0</v>
      </c>
      <c r="HX71" s="9" t="n">
        <v>0</v>
      </c>
      <c r="HY71" s="9" t="n">
        <v>0</v>
      </c>
      <c r="HZ71" s="9" t="n">
        <v>0</v>
      </c>
      <c r="IA71" s="9" t="n">
        <v>0</v>
      </c>
      <c r="IB71" s="9" t="n">
        <v>0</v>
      </c>
      <c r="IC71" s="9" t="n">
        <v>0</v>
      </c>
      <c r="ID71" s="9" t="n">
        <v>0</v>
      </c>
      <c r="IE71" s="9" t="n">
        <v>0</v>
      </c>
      <c r="IF71" s="9" t="n">
        <v>0</v>
      </c>
      <c r="IG71" s="9" t="n">
        <v>0</v>
      </c>
      <c r="IH71" s="9" t="n">
        <v>0</v>
      </c>
      <c r="IJ71" s="9" t="n">
        <v>0</v>
      </c>
      <c r="IK71" s="9" t="n">
        <v>0</v>
      </c>
      <c r="IL71" s="9" t="n">
        <v>0</v>
      </c>
      <c r="IM71" s="9" t="n">
        <v>0</v>
      </c>
      <c r="IN71" s="9" t="n">
        <v>0</v>
      </c>
      <c r="IO71" s="9" t="n">
        <v>0</v>
      </c>
      <c r="IP71" s="9" t="n">
        <v>0</v>
      </c>
      <c r="IQ71" s="9" t="n">
        <v>0</v>
      </c>
      <c r="IR71" s="9" t="n">
        <v>0</v>
      </c>
      <c r="IS71" s="9" t="n">
        <v>0</v>
      </c>
      <c r="IT71" s="9" t="n">
        <v>0</v>
      </c>
      <c r="IU71" s="9" t="n">
        <v>0</v>
      </c>
      <c r="IV71" s="9" t="n">
        <v>0</v>
      </c>
      <c r="IW71" s="9" t="n">
        <v>0</v>
      </c>
      <c r="IX71" s="9" t="n">
        <v>0</v>
      </c>
    </row>
    <row r="72">
      <c r="A72" s="10" t="n">
        <v>46071</v>
      </c>
      <c r="EA72" s="9" t="n">
        <v>3</v>
      </c>
      <c r="EB72" s="9" t="n">
        <v>0</v>
      </c>
      <c r="EC72" s="9" t="n">
        <v>0</v>
      </c>
      <c r="ED72" s="9" t="n">
        <v>0</v>
      </c>
      <c r="EE72" s="9" t="n">
        <v>0</v>
      </c>
      <c r="EF72" s="9" t="n">
        <v>0</v>
      </c>
      <c r="EG72" s="9" t="n">
        <v>0</v>
      </c>
      <c r="EH72" s="9" t="n">
        <v>0</v>
      </c>
      <c r="EI72" s="9" t="n">
        <v>0</v>
      </c>
      <c r="EJ72" s="9" t="n">
        <v>0</v>
      </c>
      <c r="EK72" s="9" t="n">
        <v>0</v>
      </c>
      <c r="EL72" s="9" t="n">
        <v>0</v>
      </c>
      <c r="EM72" s="9" t="n">
        <v>0</v>
      </c>
      <c r="EN72" s="9" t="n">
        <v>0</v>
      </c>
      <c r="EO72" s="9" t="n">
        <v>0</v>
      </c>
      <c r="EP72" s="9" t="n">
        <v>0</v>
      </c>
      <c r="ER72" s="9" t="n">
        <v>0</v>
      </c>
      <c r="ES72" s="9" t="n">
        <v>0</v>
      </c>
      <c r="ET72" s="9" t="n">
        <v>0</v>
      </c>
      <c r="EU72" s="9" t="n">
        <v>0</v>
      </c>
      <c r="EV72" s="9" t="n">
        <v>0</v>
      </c>
      <c r="EW72" s="9" t="n">
        <v>0</v>
      </c>
      <c r="EX72" s="9" t="n">
        <v>0</v>
      </c>
      <c r="EY72" s="9" t="n">
        <v>0</v>
      </c>
      <c r="EZ72" s="9" t="n">
        <v>0</v>
      </c>
      <c r="FA72" s="9" t="n">
        <v>0</v>
      </c>
      <c r="FB72" s="9" t="n">
        <v>0</v>
      </c>
      <c r="FC72" s="9" t="n">
        <v>0</v>
      </c>
      <c r="FD72" s="9" t="n">
        <v>0</v>
      </c>
      <c r="FE72" s="9" t="n">
        <v>0</v>
      </c>
      <c r="FF72" s="9" t="n">
        <v>0</v>
      </c>
      <c r="FH72" s="9" t="n">
        <v>0</v>
      </c>
      <c r="FI72" s="9" t="n">
        <v>0</v>
      </c>
      <c r="FJ72" s="9" t="n">
        <v>0</v>
      </c>
      <c r="FK72" s="9" t="n">
        <v>0</v>
      </c>
      <c r="FL72" s="9" t="n">
        <v>0</v>
      </c>
      <c r="FM72" s="9" t="n">
        <v>0</v>
      </c>
      <c r="FN72" s="9" t="n">
        <v>0</v>
      </c>
      <c r="FO72" s="9" t="n">
        <v>0</v>
      </c>
      <c r="FP72" s="9" t="n">
        <v>0</v>
      </c>
      <c r="FQ72" s="9" t="n">
        <v>0</v>
      </c>
      <c r="FR72" s="9" t="n">
        <v>0</v>
      </c>
      <c r="FS72" s="9" t="n">
        <v>0</v>
      </c>
      <c r="FT72" s="9" t="n">
        <v>0</v>
      </c>
      <c r="FU72" s="9" t="n">
        <v>0</v>
      </c>
      <c r="FV72" s="9" t="n">
        <v>0</v>
      </c>
      <c r="FX72" s="9" t="n">
        <v>0</v>
      </c>
      <c r="FY72" s="9" t="n">
        <v>0</v>
      </c>
      <c r="FZ72" s="9" t="n">
        <v>0</v>
      </c>
      <c r="GA72" s="9" t="n">
        <v>0</v>
      </c>
      <c r="GB72" s="9" t="n">
        <v>0</v>
      </c>
      <c r="GC72" s="9" t="n">
        <v>0</v>
      </c>
      <c r="GD72" s="9" t="n">
        <v>0</v>
      </c>
      <c r="GE72" s="9" t="n">
        <v>0</v>
      </c>
      <c r="GF72" s="9" t="n">
        <v>0</v>
      </c>
      <c r="GG72" s="9" t="n">
        <v>0</v>
      </c>
      <c r="GH72" s="9" t="n">
        <v>0</v>
      </c>
      <c r="GI72" s="9" t="n">
        <v>0</v>
      </c>
      <c r="GJ72" s="9" t="n">
        <v>0</v>
      </c>
      <c r="GK72" s="9" t="n">
        <v>0</v>
      </c>
      <c r="GL72" s="9" t="n">
        <v>0</v>
      </c>
      <c r="GN72" s="9" t="n">
        <v>0</v>
      </c>
      <c r="GO72" s="9" t="n">
        <v>0</v>
      </c>
      <c r="GP72" s="9" t="n">
        <v>0</v>
      </c>
      <c r="GQ72" s="9" t="n">
        <v>0</v>
      </c>
      <c r="GR72" s="9" t="n">
        <v>0</v>
      </c>
      <c r="GS72" s="9" t="n">
        <v>0</v>
      </c>
      <c r="GT72" s="9" t="n">
        <v>0</v>
      </c>
      <c r="GU72" s="9" t="n">
        <v>0</v>
      </c>
      <c r="GV72" s="9" t="n">
        <v>0</v>
      </c>
      <c r="GW72" s="9" t="n">
        <v>0</v>
      </c>
      <c r="GX72" s="9" t="n">
        <v>0</v>
      </c>
      <c r="GY72" s="9" t="n">
        <v>0</v>
      </c>
      <c r="GZ72" s="9" t="n">
        <v>0</v>
      </c>
      <c r="HA72" s="9" t="n">
        <v>0</v>
      </c>
      <c r="HB72" s="9" t="n">
        <v>0</v>
      </c>
      <c r="HD72" s="9" t="n">
        <v>0</v>
      </c>
      <c r="HE72" s="9" t="n">
        <v>0</v>
      </c>
      <c r="HF72" s="9" t="n">
        <v>0</v>
      </c>
      <c r="HG72" s="9" t="n">
        <v>0</v>
      </c>
      <c r="HH72" s="9" t="n">
        <v>0</v>
      </c>
      <c r="HI72" s="9" t="n">
        <v>0</v>
      </c>
      <c r="HJ72" s="9" t="n">
        <v>0</v>
      </c>
      <c r="HK72" s="9" t="n">
        <v>0</v>
      </c>
      <c r="HL72" s="9" t="n">
        <v>0</v>
      </c>
      <c r="HM72" s="9" t="n">
        <v>0</v>
      </c>
      <c r="HN72" s="9" t="n">
        <v>0</v>
      </c>
      <c r="HO72" s="9" t="n">
        <v>0</v>
      </c>
      <c r="HP72" s="9" t="n">
        <v>0</v>
      </c>
      <c r="HQ72" s="9" t="n">
        <v>0</v>
      </c>
      <c r="HR72" s="9" t="n">
        <v>0</v>
      </c>
      <c r="HT72" s="9" t="n">
        <v>0</v>
      </c>
      <c r="HU72" s="9" t="n">
        <v>0</v>
      </c>
      <c r="HV72" s="9" t="n">
        <v>0</v>
      </c>
      <c r="HW72" s="9" t="n">
        <v>0</v>
      </c>
      <c r="HX72" s="9" t="n">
        <v>0</v>
      </c>
      <c r="HY72" s="9" t="n">
        <v>0</v>
      </c>
      <c r="HZ72" s="9" t="n">
        <v>0</v>
      </c>
      <c r="IA72" s="9" t="n">
        <v>0</v>
      </c>
      <c r="IB72" s="9" t="n">
        <v>0</v>
      </c>
      <c r="IC72" s="9" t="n">
        <v>0</v>
      </c>
      <c r="ID72" s="9" t="n">
        <v>0</v>
      </c>
      <c r="IE72" s="9" t="n">
        <v>0</v>
      </c>
      <c r="IF72" s="9" t="n">
        <v>0</v>
      </c>
      <c r="IG72" s="9" t="n">
        <v>0</v>
      </c>
      <c r="IH72" s="9" t="n">
        <v>0</v>
      </c>
      <c r="IJ72" s="9" t="n">
        <v>0</v>
      </c>
      <c r="IK72" s="9" t="n">
        <v>0</v>
      </c>
      <c r="IL72" s="9" t="n">
        <v>0</v>
      </c>
      <c r="IM72" s="9" t="n">
        <v>0</v>
      </c>
      <c r="IN72" s="9" t="n">
        <v>0</v>
      </c>
      <c r="IO72" s="9" t="n">
        <v>0</v>
      </c>
      <c r="IP72" s="9" t="n">
        <v>0</v>
      </c>
      <c r="IQ72" s="9" t="n">
        <v>0</v>
      </c>
      <c r="IR72" s="9" t="n">
        <v>0</v>
      </c>
      <c r="IS72" s="9" t="n">
        <v>0</v>
      </c>
      <c r="IT72" s="9" t="n">
        <v>0</v>
      </c>
      <c r="IU72" s="9" t="n">
        <v>0</v>
      </c>
      <c r="IV72" s="9" t="n">
        <v>0</v>
      </c>
      <c r="IW72" s="9" t="n">
        <v>0</v>
      </c>
      <c r="IX72" s="9" t="n">
        <v>0</v>
      </c>
    </row>
    <row r="73">
      <c r="A73" s="10" t="n">
        <v>46072</v>
      </c>
      <c r="BQ73" s="9" t="n">
        <v>54</v>
      </c>
      <c r="CT73" s="9" t="n">
        <v>78</v>
      </c>
      <c r="EA73" s="9" t="n">
        <v>4</v>
      </c>
      <c r="EB73" s="9" t="n">
        <v>0</v>
      </c>
      <c r="EC73" s="9" t="n">
        <v>0</v>
      </c>
      <c r="ED73" s="9" t="n">
        <v>0</v>
      </c>
      <c r="EE73" s="9" t="n">
        <v>0</v>
      </c>
      <c r="EF73" s="9" t="n">
        <v>0</v>
      </c>
      <c r="EG73" s="9" t="n">
        <v>0</v>
      </c>
      <c r="EH73" s="9" t="n">
        <v>0</v>
      </c>
      <c r="EI73" s="9" t="n">
        <v>0</v>
      </c>
      <c r="EJ73" s="9" t="n">
        <v>0</v>
      </c>
      <c r="EK73" s="9" t="n">
        <v>0</v>
      </c>
      <c r="EL73" s="9" t="n">
        <v>0</v>
      </c>
      <c r="EM73" s="9" t="n">
        <v>0</v>
      </c>
      <c r="EN73" s="9" t="n">
        <v>0</v>
      </c>
      <c r="EO73" s="9" t="n">
        <v>0</v>
      </c>
      <c r="EP73" s="9" t="n">
        <v>0</v>
      </c>
      <c r="ER73" s="9" t="n">
        <v>0</v>
      </c>
      <c r="ES73" s="9" t="n">
        <v>0</v>
      </c>
      <c r="ET73" s="9" t="n">
        <v>0</v>
      </c>
      <c r="EU73" s="9" t="n">
        <v>0</v>
      </c>
      <c r="EV73" s="9" t="n">
        <v>0</v>
      </c>
      <c r="EW73" s="9" t="n">
        <v>0</v>
      </c>
      <c r="EX73" s="9" t="n">
        <v>0</v>
      </c>
      <c r="EY73" s="9" t="n">
        <v>0</v>
      </c>
      <c r="EZ73" s="9" t="n">
        <v>0</v>
      </c>
      <c r="FA73" s="9" t="n">
        <v>0</v>
      </c>
      <c r="FB73" s="9" t="n">
        <v>0</v>
      </c>
      <c r="FC73" s="9" t="n">
        <v>0</v>
      </c>
      <c r="FD73" s="9" t="n">
        <v>0</v>
      </c>
      <c r="FE73" s="9" t="n">
        <v>0</v>
      </c>
      <c r="FF73" s="9" t="n">
        <v>0</v>
      </c>
      <c r="FH73" s="9" t="n">
        <v>0</v>
      </c>
      <c r="FI73" s="9" t="n">
        <v>0</v>
      </c>
      <c r="FJ73" s="9" t="n">
        <v>0</v>
      </c>
      <c r="FK73" s="9" t="n">
        <v>0</v>
      </c>
      <c r="FL73" s="9" t="n">
        <v>0</v>
      </c>
      <c r="FM73" s="9" t="n">
        <v>0</v>
      </c>
      <c r="FN73" s="9" t="n">
        <v>0</v>
      </c>
      <c r="FO73" s="9" t="n">
        <v>0</v>
      </c>
      <c r="FP73" s="9" t="n">
        <v>0</v>
      </c>
      <c r="FQ73" s="9" t="n">
        <v>0</v>
      </c>
      <c r="FR73" s="9" t="n">
        <v>0</v>
      </c>
      <c r="FS73" s="9" t="n">
        <v>0</v>
      </c>
      <c r="FT73" s="9" t="n">
        <v>0</v>
      </c>
      <c r="FU73" s="9" t="n">
        <v>0</v>
      </c>
      <c r="FV73" s="9" t="n">
        <v>0</v>
      </c>
      <c r="FX73" s="9" t="n">
        <v>0</v>
      </c>
      <c r="FY73" s="9" t="n">
        <v>0</v>
      </c>
      <c r="FZ73" s="9" t="n">
        <v>0</v>
      </c>
      <c r="GA73" s="9" t="n">
        <v>0</v>
      </c>
      <c r="GB73" s="9" t="n">
        <v>0</v>
      </c>
      <c r="GC73" s="9" t="n">
        <v>0</v>
      </c>
      <c r="GD73" s="9" t="n">
        <v>0</v>
      </c>
      <c r="GE73" s="9" t="n">
        <v>0</v>
      </c>
      <c r="GF73" s="9" t="n">
        <v>0</v>
      </c>
      <c r="GG73" s="9" t="n">
        <v>0</v>
      </c>
      <c r="GH73" s="9" t="n">
        <v>0</v>
      </c>
      <c r="GI73" s="9" t="n">
        <v>0</v>
      </c>
      <c r="GJ73" s="9" t="n">
        <v>0</v>
      </c>
      <c r="GK73" s="9" t="n">
        <v>0</v>
      </c>
      <c r="GL73" s="9" t="n">
        <v>0</v>
      </c>
      <c r="GN73" s="9" t="n">
        <v>0</v>
      </c>
      <c r="GO73" s="9" t="n">
        <v>0</v>
      </c>
      <c r="GP73" s="9" t="n">
        <v>0</v>
      </c>
      <c r="GQ73" s="9" t="n">
        <v>0</v>
      </c>
      <c r="GR73" s="9" t="n">
        <v>0</v>
      </c>
      <c r="GS73" s="9" t="n">
        <v>0</v>
      </c>
      <c r="GT73" s="9" t="n">
        <v>0</v>
      </c>
      <c r="GU73" s="9" t="n">
        <v>0</v>
      </c>
      <c r="GV73" s="9" t="n">
        <v>0</v>
      </c>
      <c r="GW73" s="9" t="n">
        <v>0</v>
      </c>
      <c r="GX73" s="9" t="n">
        <v>0</v>
      </c>
      <c r="GY73" s="9" t="n">
        <v>0</v>
      </c>
      <c r="GZ73" s="9" t="n">
        <v>0</v>
      </c>
      <c r="HA73" s="9" t="n">
        <v>0</v>
      </c>
      <c r="HB73" s="9" t="n">
        <v>0</v>
      </c>
      <c r="HD73" s="9" t="n">
        <v>0</v>
      </c>
      <c r="HE73" s="9" t="n">
        <v>0</v>
      </c>
      <c r="HF73" s="9" t="n">
        <v>0</v>
      </c>
      <c r="HG73" s="9" t="n">
        <v>0</v>
      </c>
      <c r="HH73" s="9" t="n">
        <v>0</v>
      </c>
      <c r="HI73" s="9" t="n">
        <v>0</v>
      </c>
      <c r="HJ73" s="9" t="n">
        <v>0</v>
      </c>
      <c r="HK73" s="9" t="n">
        <v>0</v>
      </c>
      <c r="HL73" s="9" t="n">
        <v>0</v>
      </c>
      <c r="HM73" s="9" t="n">
        <v>0</v>
      </c>
      <c r="HN73" s="9" t="n">
        <v>0</v>
      </c>
      <c r="HO73" s="9" t="n">
        <v>0</v>
      </c>
      <c r="HP73" s="9" t="n">
        <v>0</v>
      </c>
      <c r="HQ73" s="9" t="n">
        <v>0</v>
      </c>
      <c r="HR73" s="9" t="n">
        <v>0</v>
      </c>
      <c r="HT73" s="9" t="n">
        <v>0</v>
      </c>
      <c r="HU73" s="9" t="n">
        <v>0</v>
      </c>
      <c r="HV73" s="9" t="n">
        <v>0</v>
      </c>
      <c r="HW73" s="9" t="n">
        <v>0</v>
      </c>
      <c r="HX73" s="9" t="n">
        <v>0</v>
      </c>
      <c r="HY73" s="9" t="n">
        <v>0</v>
      </c>
      <c r="HZ73" s="9" t="n">
        <v>0</v>
      </c>
      <c r="IA73" s="9" t="n">
        <v>0</v>
      </c>
      <c r="IB73" s="9" t="n">
        <v>0</v>
      </c>
      <c r="IC73" s="9" t="n">
        <v>0</v>
      </c>
      <c r="ID73" s="9" t="n">
        <v>0</v>
      </c>
      <c r="IE73" s="9" t="n">
        <v>0</v>
      </c>
      <c r="IF73" s="9" t="n">
        <v>0</v>
      </c>
      <c r="IG73" s="9" t="n">
        <v>0</v>
      </c>
      <c r="IH73" s="9" t="n">
        <v>0</v>
      </c>
      <c r="IJ73" s="9" t="n">
        <v>0</v>
      </c>
      <c r="IK73" s="9" t="n">
        <v>0</v>
      </c>
      <c r="IL73" s="9" t="n">
        <v>0</v>
      </c>
      <c r="IM73" s="9" t="n">
        <v>0</v>
      </c>
      <c r="IN73" s="9" t="n">
        <v>0</v>
      </c>
      <c r="IO73" s="9" t="n">
        <v>0</v>
      </c>
      <c r="IP73" s="9" t="n">
        <v>0</v>
      </c>
      <c r="IQ73" s="9" t="n">
        <v>0</v>
      </c>
      <c r="IR73" s="9" t="n">
        <v>0</v>
      </c>
      <c r="IS73" s="9" t="n">
        <v>0</v>
      </c>
      <c r="IT73" s="9" t="n">
        <v>0</v>
      </c>
      <c r="IU73" s="9" t="n">
        <v>0</v>
      </c>
      <c r="IV73" s="9" t="n">
        <v>0</v>
      </c>
      <c r="IW73" s="9" t="n">
        <v>0</v>
      </c>
      <c r="IX73" s="9" t="n">
        <v>0</v>
      </c>
    </row>
    <row r="74">
      <c r="A74" s="10" t="n">
        <v>46073</v>
      </c>
      <c r="DJ74" s="9" t="n">
        <v>80</v>
      </c>
      <c r="EA74" s="9" t="inlineStr">
        <is>
          <t>WOVEN BAG (1101) - BLUE 50KG</t>
        </is>
      </c>
      <c r="EB74" s="9" t="n">
        <v>0</v>
      </c>
      <c r="EC74" s="9" t="n">
        <v>0</v>
      </c>
      <c r="ED74" s="9" t="n">
        <v>0</v>
      </c>
      <c r="EE74" s="9" t="n">
        <v>0</v>
      </c>
      <c r="EF74" s="9" t="n">
        <v>0</v>
      </c>
      <c r="EG74" s="9" t="n">
        <v>0</v>
      </c>
      <c r="EH74" s="9" t="n">
        <v>0</v>
      </c>
      <c r="EI74" s="9" t="n">
        <v>0</v>
      </c>
      <c r="EJ74" s="9" t="n">
        <v>0</v>
      </c>
      <c r="EK74" s="9" t="n">
        <v>0</v>
      </c>
      <c r="EL74" s="9" t="n">
        <v>0</v>
      </c>
      <c r="EM74" s="9" t="n">
        <v>0</v>
      </c>
      <c r="EN74" s="9" t="n">
        <v>0</v>
      </c>
      <c r="EO74" s="9" t="n">
        <v>0</v>
      </c>
      <c r="EP74" s="9" t="n">
        <v>0</v>
      </c>
      <c r="ER74" s="9" t="n">
        <v>0</v>
      </c>
      <c r="ES74" s="9" t="n">
        <v>0</v>
      </c>
      <c r="ET74" s="9" t="n">
        <v>0</v>
      </c>
      <c r="EU74" s="9" t="n">
        <v>0</v>
      </c>
      <c r="EV74" s="9" t="n">
        <v>0</v>
      </c>
      <c r="EW74" s="9" t="n">
        <v>0</v>
      </c>
      <c r="EX74" s="9" t="n">
        <v>0</v>
      </c>
      <c r="EY74" s="9" t="n">
        <v>0</v>
      </c>
      <c r="EZ74" s="9" t="n">
        <v>0</v>
      </c>
      <c r="FA74" s="9" t="n">
        <v>0</v>
      </c>
      <c r="FB74" s="9" t="n">
        <v>0</v>
      </c>
      <c r="FC74" s="9" t="n">
        <v>0</v>
      </c>
      <c r="FD74" s="9" t="n">
        <v>0</v>
      </c>
      <c r="FE74" s="9" t="n">
        <v>0</v>
      </c>
      <c r="FF74" s="9" t="n">
        <v>0</v>
      </c>
      <c r="FH74" s="9" t="n">
        <v>0</v>
      </c>
      <c r="FI74" s="9" t="n">
        <v>0</v>
      </c>
      <c r="FJ74" s="9" t="n">
        <v>0</v>
      </c>
      <c r="FK74" s="9" t="n">
        <v>0</v>
      </c>
      <c r="FL74" s="9" t="n">
        <v>0</v>
      </c>
      <c r="FM74" s="9" t="n">
        <v>0</v>
      </c>
      <c r="FN74" s="9" t="n">
        <v>0</v>
      </c>
      <c r="FO74" s="9" t="n">
        <v>0</v>
      </c>
      <c r="FP74" s="9" t="n">
        <v>0</v>
      </c>
      <c r="FQ74" s="9" t="n">
        <v>0</v>
      </c>
      <c r="FR74" s="9" t="n">
        <v>0</v>
      </c>
      <c r="FS74" s="9" t="n">
        <v>0</v>
      </c>
      <c r="FT74" s="9" t="n">
        <v>0</v>
      </c>
      <c r="FU74" s="9" t="n">
        <v>0</v>
      </c>
      <c r="FV74" s="9" t="n">
        <v>0</v>
      </c>
      <c r="FX74" s="9" t="n">
        <v>0</v>
      </c>
      <c r="FY74" s="9" t="n">
        <v>0</v>
      </c>
      <c r="FZ74" s="9" t="n">
        <v>0</v>
      </c>
      <c r="GA74" s="9" t="n">
        <v>0</v>
      </c>
      <c r="GB74" s="9" t="n">
        <v>0</v>
      </c>
      <c r="GC74" s="9" t="n">
        <v>0</v>
      </c>
      <c r="GD74" s="9" t="n">
        <v>0</v>
      </c>
      <c r="GE74" s="9" t="n">
        <v>0</v>
      </c>
      <c r="GF74" s="9" t="n">
        <v>0</v>
      </c>
      <c r="GG74" s="9" t="n">
        <v>0</v>
      </c>
      <c r="GH74" s="9" t="n">
        <v>0</v>
      </c>
      <c r="GI74" s="9" t="n">
        <v>0</v>
      </c>
      <c r="GJ74" s="9" t="n">
        <v>0</v>
      </c>
      <c r="GK74" s="9" t="n">
        <v>0</v>
      </c>
      <c r="GL74" s="9" t="n">
        <v>0</v>
      </c>
      <c r="GN74" s="9" t="n">
        <v>0</v>
      </c>
      <c r="GO74" s="9" t="n">
        <v>0</v>
      </c>
      <c r="GP74" s="9" t="n">
        <v>0</v>
      </c>
      <c r="GQ74" s="9" t="n">
        <v>0</v>
      </c>
      <c r="GR74" s="9" t="n">
        <v>0</v>
      </c>
      <c r="GS74" s="9" t="n">
        <v>0</v>
      </c>
      <c r="GT74" s="9" t="n">
        <v>0</v>
      </c>
      <c r="GU74" s="9" t="n">
        <v>0</v>
      </c>
      <c r="GV74" s="9" t="n">
        <v>0</v>
      </c>
      <c r="GW74" s="9" t="n">
        <v>0</v>
      </c>
      <c r="GX74" s="9" t="n">
        <v>0</v>
      </c>
      <c r="GY74" s="9" t="n">
        <v>0</v>
      </c>
      <c r="GZ74" s="9" t="n">
        <v>0</v>
      </c>
      <c r="HA74" s="9" t="n">
        <v>0</v>
      </c>
      <c r="HB74" s="9" t="n">
        <v>0</v>
      </c>
      <c r="HD74" s="9" t="n">
        <v>0</v>
      </c>
      <c r="HE74" s="9" t="n">
        <v>0</v>
      </c>
      <c r="HF74" s="9" t="n">
        <v>0</v>
      </c>
      <c r="HG74" s="9" t="n">
        <v>0</v>
      </c>
      <c r="HH74" s="9" t="n">
        <v>0</v>
      </c>
      <c r="HI74" s="9" t="n">
        <v>0</v>
      </c>
      <c r="HJ74" s="9" t="n">
        <v>0</v>
      </c>
      <c r="HK74" s="9" t="n">
        <v>0</v>
      </c>
      <c r="HL74" s="9" t="n">
        <v>0</v>
      </c>
      <c r="HM74" s="9" t="n">
        <v>0</v>
      </c>
      <c r="HN74" s="9" t="n">
        <v>0</v>
      </c>
      <c r="HO74" s="9" t="n">
        <v>0</v>
      </c>
      <c r="HP74" s="9" t="n">
        <v>0</v>
      </c>
      <c r="HQ74" s="9" t="n">
        <v>0</v>
      </c>
      <c r="HR74" s="9" t="n">
        <v>0</v>
      </c>
      <c r="HT74" s="9" t="n">
        <v>0</v>
      </c>
      <c r="HU74" s="9" t="n">
        <v>0</v>
      </c>
      <c r="HV74" s="9" t="n">
        <v>0</v>
      </c>
      <c r="HW74" s="9" t="n">
        <v>0</v>
      </c>
      <c r="HX74" s="9" t="n">
        <v>0</v>
      </c>
      <c r="HY74" s="9" t="n">
        <v>0</v>
      </c>
      <c r="HZ74" s="9" t="n">
        <v>0</v>
      </c>
      <c r="IA74" s="9" t="n">
        <v>0</v>
      </c>
      <c r="IB74" s="9" t="n">
        <v>0</v>
      </c>
      <c r="IC74" s="9" t="n">
        <v>0</v>
      </c>
      <c r="ID74" s="9" t="n">
        <v>0</v>
      </c>
      <c r="IE74" s="9" t="n">
        <v>0</v>
      </c>
      <c r="IF74" s="9" t="n">
        <v>0</v>
      </c>
      <c r="IG74" s="9" t="n">
        <v>0</v>
      </c>
      <c r="IH74" s="9" t="n">
        <v>0</v>
      </c>
      <c r="IJ74" s="9" t="n">
        <v>0</v>
      </c>
      <c r="IK74" s="9" t="n">
        <v>0</v>
      </c>
      <c r="IL74" s="9" t="n">
        <v>0</v>
      </c>
      <c r="IM74" s="9" t="n">
        <v>0</v>
      </c>
      <c r="IN74" s="9" t="n">
        <v>0</v>
      </c>
      <c r="IO74" s="9" t="n">
        <v>0</v>
      </c>
      <c r="IP74" s="9" t="n">
        <v>0</v>
      </c>
      <c r="IQ74" s="9" t="n">
        <v>0</v>
      </c>
      <c r="IR74" s="9" t="n">
        <v>0</v>
      </c>
      <c r="IS74" s="9" t="n">
        <v>0</v>
      </c>
      <c r="IT74" s="9" t="n">
        <v>0</v>
      </c>
      <c r="IU74" s="9" t="n">
        <v>0</v>
      </c>
      <c r="IV74" s="9" t="n">
        <v>0</v>
      </c>
      <c r="IW74" s="9" t="n">
        <v>0</v>
      </c>
      <c r="IX74" s="9" t="n">
        <v>0</v>
      </c>
    </row>
    <row r="75">
      <c r="A75" s="10" t="n">
        <v>46074</v>
      </c>
      <c r="B75" s="9" t="n">
        <v>26</v>
      </c>
      <c r="CT75" s="9" t="n">
        <v>50</v>
      </c>
      <c r="EA75" s="9" t="inlineStr">
        <is>
          <t>WOVEN BAG (1102) - GREEN 50KG</t>
        </is>
      </c>
      <c r="EB75" s="9" t="n">
        <v>0</v>
      </c>
      <c r="EC75" s="9" t="n">
        <v>0</v>
      </c>
      <c r="ED75" s="9" t="n">
        <v>0</v>
      </c>
      <c r="EE75" s="9" t="n">
        <v>0</v>
      </c>
      <c r="EF75" s="9" t="n">
        <v>0</v>
      </c>
      <c r="EG75" s="9" t="n">
        <v>0</v>
      </c>
      <c r="EH75" s="9" t="n">
        <v>0</v>
      </c>
      <c r="EI75" s="9" t="n">
        <v>0</v>
      </c>
      <c r="EJ75" s="9" t="n">
        <v>0</v>
      </c>
      <c r="EK75" s="9" t="n">
        <v>0</v>
      </c>
      <c r="EL75" s="9" t="n">
        <v>0</v>
      </c>
      <c r="EM75" s="9" t="n">
        <v>0</v>
      </c>
      <c r="EN75" s="9" t="n">
        <v>0</v>
      </c>
      <c r="EO75" s="9" t="n">
        <v>0</v>
      </c>
      <c r="EP75" s="9" t="n">
        <v>0</v>
      </c>
      <c r="ER75" s="9" t="n">
        <v>0</v>
      </c>
      <c r="ES75" s="9" t="n">
        <v>0</v>
      </c>
      <c r="ET75" s="9" t="n">
        <v>0</v>
      </c>
      <c r="EU75" s="9" t="n">
        <v>0</v>
      </c>
      <c r="EV75" s="9" t="n">
        <v>0</v>
      </c>
      <c r="EW75" s="9" t="n">
        <v>0</v>
      </c>
      <c r="EX75" s="9" t="n">
        <v>0</v>
      </c>
      <c r="EY75" s="9" t="n">
        <v>0</v>
      </c>
      <c r="EZ75" s="9" t="n">
        <v>0</v>
      </c>
      <c r="FA75" s="9" t="n">
        <v>0</v>
      </c>
      <c r="FB75" s="9" t="n">
        <v>0</v>
      </c>
      <c r="FC75" s="9" t="n">
        <v>0</v>
      </c>
      <c r="FD75" s="9" t="n">
        <v>0</v>
      </c>
      <c r="FE75" s="9" t="n">
        <v>0</v>
      </c>
      <c r="FF75" s="9" t="n">
        <v>0</v>
      </c>
      <c r="FH75" s="9" t="n">
        <v>0</v>
      </c>
      <c r="FI75" s="9" t="n">
        <v>0</v>
      </c>
      <c r="FJ75" s="9" t="n">
        <v>0</v>
      </c>
      <c r="FK75" s="9" t="n">
        <v>0</v>
      </c>
      <c r="FL75" s="9" t="n">
        <v>0</v>
      </c>
      <c r="FM75" s="9" t="n">
        <v>0</v>
      </c>
      <c r="FN75" s="9" t="n">
        <v>0</v>
      </c>
      <c r="FO75" s="9" t="n">
        <v>0</v>
      </c>
      <c r="FP75" s="9" t="n">
        <v>0</v>
      </c>
      <c r="FQ75" s="9" t="n">
        <v>0</v>
      </c>
      <c r="FR75" s="9" t="n">
        <v>0</v>
      </c>
      <c r="FS75" s="9" t="n">
        <v>0</v>
      </c>
      <c r="FT75" s="9" t="n">
        <v>0</v>
      </c>
      <c r="FU75" s="9" t="n">
        <v>0</v>
      </c>
      <c r="FV75" s="9" t="n">
        <v>0</v>
      </c>
      <c r="FX75" s="9" t="n">
        <v>0</v>
      </c>
      <c r="FY75" s="9" t="n">
        <v>0</v>
      </c>
      <c r="FZ75" s="9" t="n">
        <v>0</v>
      </c>
      <c r="GA75" s="9" t="n">
        <v>0</v>
      </c>
      <c r="GB75" s="9" t="n">
        <v>0</v>
      </c>
      <c r="GC75" s="9" t="n">
        <v>0</v>
      </c>
      <c r="GD75" s="9" t="n">
        <v>0</v>
      </c>
      <c r="GE75" s="9" t="n">
        <v>0</v>
      </c>
      <c r="GF75" s="9" t="n">
        <v>0</v>
      </c>
      <c r="GG75" s="9" t="n">
        <v>0</v>
      </c>
      <c r="GH75" s="9" t="n">
        <v>0</v>
      </c>
      <c r="GI75" s="9" t="n">
        <v>0</v>
      </c>
      <c r="GJ75" s="9" t="n">
        <v>0</v>
      </c>
      <c r="GK75" s="9" t="n">
        <v>0</v>
      </c>
      <c r="GL75" s="9" t="n">
        <v>0</v>
      </c>
      <c r="GN75" s="9" t="n">
        <v>0</v>
      </c>
      <c r="GO75" s="9" t="n">
        <v>0</v>
      </c>
      <c r="GP75" s="9" t="n">
        <v>0</v>
      </c>
      <c r="GQ75" s="9" t="n">
        <v>0</v>
      </c>
      <c r="GR75" s="9" t="n">
        <v>0</v>
      </c>
      <c r="GS75" s="9" t="n">
        <v>0</v>
      </c>
      <c r="GT75" s="9" t="n">
        <v>0</v>
      </c>
      <c r="GU75" s="9" t="n">
        <v>0</v>
      </c>
      <c r="GV75" s="9" t="n">
        <v>0</v>
      </c>
      <c r="GW75" s="9" t="n">
        <v>0</v>
      </c>
      <c r="GX75" s="9" t="n">
        <v>0</v>
      </c>
      <c r="GY75" s="9" t="n">
        <v>0</v>
      </c>
      <c r="GZ75" s="9" t="n">
        <v>0</v>
      </c>
      <c r="HA75" s="9" t="n">
        <v>0</v>
      </c>
      <c r="HB75" s="9" t="n">
        <v>0</v>
      </c>
      <c r="HD75" s="9" t="n">
        <v>0</v>
      </c>
      <c r="HE75" s="9" t="n">
        <v>0</v>
      </c>
      <c r="HF75" s="9" t="n">
        <v>0</v>
      </c>
      <c r="HG75" s="9" t="n">
        <v>0</v>
      </c>
      <c r="HH75" s="9" t="n">
        <v>0</v>
      </c>
      <c r="HI75" s="9" t="n">
        <v>0</v>
      </c>
      <c r="HJ75" s="9" t="n">
        <v>0</v>
      </c>
      <c r="HK75" s="9" t="n">
        <v>0</v>
      </c>
      <c r="HL75" s="9" t="n">
        <v>0</v>
      </c>
      <c r="HM75" s="9" t="n">
        <v>0</v>
      </c>
      <c r="HN75" s="9" t="n">
        <v>0</v>
      </c>
      <c r="HO75" s="9" t="n">
        <v>0</v>
      </c>
      <c r="HP75" s="9" t="n">
        <v>0</v>
      </c>
      <c r="HQ75" s="9" t="n">
        <v>0</v>
      </c>
      <c r="HR75" s="9" t="n">
        <v>0</v>
      </c>
      <c r="HT75" s="9" t="n">
        <v>0</v>
      </c>
      <c r="HU75" s="9" t="n">
        <v>0</v>
      </c>
      <c r="HV75" s="9" t="n">
        <v>0</v>
      </c>
      <c r="HW75" s="9" t="n">
        <v>0</v>
      </c>
      <c r="HX75" s="9" t="n">
        <v>0</v>
      </c>
      <c r="HY75" s="9" t="n">
        <v>0</v>
      </c>
      <c r="HZ75" s="9" t="n">
        <v>0</v>
      </c>
      <c r="IA75" s="9" t="n">
        <v>0</v>
      </c>
      <c r="IB75" s="9" t="n">
        <v>0</v>
      </c>
      <c r="IC75" s="9" t="n">
        <v>0</v>
      </c>
      <c r="ID75" s="9" t="n">
        <v>0</v>
      </c>
      <c r="IE75" s="9" t="n">
        <v>0</v>
      </c>
      <c r="IF75" s="9" t="n">
        <v>0</v>
      </c>
      <c r="IG75" s="9" t="n">
        <v>0</v>
      </c>
      <c r="IH75" s="9" t="n">
        <v>0</v>
      </c>
      <c r="IJ75" s="9" t="n">
        <v>0</v>
      </c>
      <c r="IK75" s="9" t="n">
        <v>0</v>
      </c>
      <c r="IL75" s="9" t="n">
        <v>0</v>
      </c>
      <c r="IM75" s="9" t="n">
        <v>0</v>
      </c>
      <c r="IN75" s="9" t="n">
        <v>0</v>
      </c>
      <c r="IO75" s="9" t="n">
        <v>0</v>
      </c>
      <c r="IP75" s="9" t="n">
        <v>0</v>
      </c>
      <c r="IQ75" s="9" t="n">
        <v>0</v>
      </c>
      <c r="IR75" s="9" t="n">
        <v>0</v>
      </c>
      <c r="IS75" s="9" t="n">
        <v>0</v>
      </c>
      <c r="IT75" s="9" t="n">
        <v>0</v>
      </c>
      <c r="IU75" s="9" t="n">
        <v>0</v>
      </c>
      <c r="IV75" s="9" t="n">
        <v>0</v>
      </c>
      <c r="IW75" s="9" t="n">
        <v>0</v>
      </c>
      <c r="IX75" s="9" t="n">
        <v>0</v>
      </c>
    </row>
    <row r="76">
      <c r="A76" s="10" t="n">
        <v>46075</v>
      </c>
      <c r="EA76" s="9" t="inlineStr">
        <is>
          <t>WOVEN BAG (1103) - RED 50KG</t>
        </is>
      </c>
      <c r="EB76" s="9" t="n">
        <v>0</v>
      </c>
      <c r="EC76" s="9" t="n">
        <v>0</v>
      </c>
      <c r="ED76" s="9" t="n">
        <v>0</v>
      </c>
      <c r="EE76" s="9" t="n">
        <v>0</v>
      </c>
      <c r="EF76" s="9" t="n">
        <v>0</v>
      </c>
      <c r="EG76" s="9" t="n">
        <v>0</v>
      </c>
      <c r="EH76" s="9" t="n">
        <v>0</v>
      </c>
      <c r="EI76" s="9" t="n">
        <v>0</v>
      </c>
      <c r="EJ76" s="9" t="n">
        <v>0</v>
      </c>
      <c r="EK76" s="9" t="n">
        <v>0</v>
      </c>
      <c r="EL76" s="9" t="n">
        <v>0</v>
      </c>
      <c r="EM76" s="9" t="n">
        <v>0</v>
      </c>
      <c r="EN76" s="9" t="n">
        <v>0</v>
      </c>
      <c r="EO76" s="9" t="n">
        <v>0</v>
      </c>
      <c r="EP76" s="9" t="n">
        <v>0</v>
      </c>
      <c r="ER76" s="9" t="n">
        <v>0</v>
      </c>
      <c r="ES76" s="9" t="n">
        <v>0</v>
      </c>
      <c r="ET76" s="9" t="n">
        <v>0</v>
      </c>
      <c r="EU76" s="9" t="n">
        <v>0</v>
      </c>
      <c r="EV76" s="9" t="n">
        <v>0</v>
      </c>
      <c r="EW76" s="9" t="n">
        <v>0</v>
      </c>
      <c r="EX76" s="9" t="n">
        <v>0</v>
      </c>
      <c r="EY76" s="9" t="n">
        <v>0</v>
      </c>
      <c r="EZ76" s="9" t="n">
        <v>0</v>
      </c>
      <c r="FA76" s="9" t="n">
        <v>0</v>
      </c>
      <c r="FB76" s="9" t="n">
        <v>0</v>
      </c>
      <c r="FC76" s="9" t="n">
        <v>0</v>
      </c>
      <c r="FD76" s="9" t="n">
        <v>0</v>
      </c>
      <c r="FE76" s="9" t="n">
        <v>0</v>
      </c>
      <c r="FF76" s="9" t="n">
        <v>0</v>
      </c>
      <c r="FH76" s="9" t="n">
        <v>0</v>
      </c>
      <c r="FI76" s="9" t="n">
        <v>0</v>
      </c>
      <c r="FJ76" s="9" t="n">
        <v>0</v>
      </c>
      <c r="FK76" s="9" t="n">
        <v>0</v>
      </c>
      <c r="FL76" s="9" t="n">
        <v>0</v>
      </c>
      <c r="FM76" s="9" t="n">
        <v>0</v>
      </c>
      <c r="FN76" s="9" t="n">
        <v>0</v>
      </c>
      <c r="FO76" s="9" t="n">
        <v>0</v>
      </c>
      <c r="FP76" s="9" t="n">
        <v>0</v>
      </c>
      <c r="FQ76" s="9" t="n">
        <v>0</v>
      </c>
      <c r="FR76" s="9" t="n">
        <v>0</v>
      </c>
      <c r="FS76" s="9" t="n">
        <v>0</v>
      </c>
      <c r="FT76" s="9" t="n">
        <v>0</v>
      </c>
      <c r="FU76" s="9" t="n">
        <v>0</v>
      </c>
      <c r="FV76" s="9" t="n">
        <v>0</v>
      </c>
      <c r="FX76" s="9" t="n">
        <v>0</v>
      </c>
      <c r="FY76" s="9" t="n">
        <v>0</v>
      </c>
      <c r="FZ76" s="9" t="n">
        <v>0</v>
      </c>
      <c r="GA76" s="9" t="n">
        <v>0</v>
      </c>
      <c r="GB76" s="9" t="n">
        <v>0</v>
      </c>
      <c r="GC76" s="9" t="n">
        <v>0</v>
      </c>
      <c r="GD76" s="9" t="n">
        <v>0</v>
      </c>
      <c r="GE76" s="9" t="n">
        <v>0</v>
      </c>
      <c r="GF76" s="9" t="n">
        <v>0</v>
      </c>
      <c r="GG76" s="9" t="n">
        <v>0</v>
      </c>
      <c r="GH76" s="9" t="n">
        <v>0</v>
      </c>
      <c r="GI76" s="9" t="n">
        <v>0</v>
      </c>
      <c r="GJ76" s="9" t="n">
        <v>0</v>
      </c>
      <c r="GK76" s="9" t="n">
        <v>0</v>
      </c>
      <c r="GL76" s="9" t="n">
        <v>0</v>
      </c>
      <c r="GN76" s="9" t="n">
        <v>0</v>
      </c>
      <c r="GO76" s="9" t="n">
        <v>0</v>
      </c>
      <c r="GP76" s="9" t="n">
        <v>0</v>
      </c>
      <c r="GQ76" s="9" t="n">
        <v>0</v>
      </c>
      <c r="GR76" s="9" t="n">
        <v>0</v>
      </c>
      <c r="GS76" s="9" t="n">
        <v>0</v>
      </c>
      <c r="GT76" s="9" t="n">
        <v>0</v>
      </c>
      <c r="GU76" s="9" t="n">
        <v>0</v>
      </c>
      <c r="GV76" s="9" t="n">
        <v>0</v>
      </c>
      <c r="GW76" s="9" t="n">
        <v>0</v>
      </c>
      <c r="GX76" s="9" t="n">
        <v>0</v>
      </c>
      <c r="GY76" s="9" t="n">
        <v>0</v>
      </c>
      <c r="GZ76" s="9" t="n">
        <v>0</v>
      </c>
      <c r="HA76" s="9" t="n">
        <v>0</v>
      </c>
      <c r="HB76" s="9" t="n">
        <v>0</v>
      </c>
      <c r="HD76" s="9" t="n">
        <v>0</v>
      </c>
      <c r="HE76" s="9" t="n">
        <v>0</v>
      </c>
      <c r="HF76" s="9" t="n">
        <v>0</v>
      </c>
      <c r="HG76" s="9" t="n">
        <v>0</v>
      </c>
      <c r="HH76" s="9" t="n">
        <v>0</v>
      </c>
      <c r="HI76" s="9" t="n">
        <v>0</v>
      </c>
      <c r="HJ76" s="9" t="n">
        <v>0</v>
      </c>
      <c r="HK76" s="9" t="n">
        <v>0</v>
      </c>
      <c r="HL76" s="9" t="n">
        <v>0</v>
      </c>
      <c r="HM76" s="9" t="n">
        <v>0</v>
      </c>
      <c r="HN76" s="9" t="n">
        <v>0</v>
      </c>
      <c r="HO76" s="9" t="n">
        <v>0</v>
      </c>
      <c r="HP76" s="9" t="n">
        <v>0</v>
      </c>
      <c r="HQ76" s="9" t="n">
        <v>0</v>
      </c>
      <c r="HR76" s="9" t="n">
        <v>0</v>
      </c>
      <c r="HT76" s="9" t="n">
        <v>0</v>
      </c>
      <c r="HU76" s="9" t="n">
        <v>0</v>
      </c>
      <c r="HV76" s="9" t="n">
        <v>0</v>
      </c>
      <c r="HW76" s="9" t="n">
        <v>0</v>
      </c>
      <c r="HX76" s="9" t="n">
        <v>0</v>
      </c>
      <c r="HY76" s="9" t="n">
        <v>0</v>
      </c>
      <c r="HZ76" s="9" t="n">
        <v>0</v>
      </c>
      <c r="IA76" s="9" t="n">
        <v>0</v>
      </c>
      <c r="IB76" s="9" t="n">
        <v>0</v>
      </c>
      <c r="IC76" s="9" t="n">
        <v>0</v>
      </c>
      <c r="ID76" s="9" t="n">
        <v>0</v>
      </c>
      <c r="IE76" s="9" t="n">
        <v>0</v>
      </c>
      <c r="IF76" s="9" t="n">
        <v>0</v>
      </c>
      <c r="IG76" s="9" t="n">
        <v>0</v>
      </c>
      <c r="IH76" s="9" t="n">
        <v>0</v>
      </c>
      <c r="IJ76" s="9" t="n">
        <v>0</v>
      </c>
      <c r="IK76" s="9" t="n">
        <v>0</v>
      </c>
      <c r="IL76" s="9" t="n">
        <v>0</v>
      </c>
      <c r="IM76" s="9" t="n">
        <v>0</v>
      </c>
      <c r="IN76" s="9" t="n">
        <v>0</v>
      </c>
      <c r="IO76" s="9" t="n">
        <v>0</v>
      </c>
      <c r="IP76" s="9" t="n">
        <v>0</v>
      </c>
      <c r="IQ76" s="9" t="n">
        <v>0</v>
      </c>
      <c r="IR76" s="9" t="n">
        <v>0</v>
      </c>
      <c r="IS76" s="9" t="n">
        <v>0</v>
      </c>
      <c r="IT76" s="9" t="n">
        <v>0</v>
      </c>
      <c r="IU76" s="9" t="n">
        <v>0</v>
      </c>
      <c r="IV76" s="9" t="n">
        <v>0</v>
      </c>
      <c r="IW76" s="9" t="n">
        <v>0</v>
      </c>
      <c r="IX76" s="9" t="n">
        <v>0</v>
      </c>
    </row>
    <row r="77">
      <c r="A77" s="10" t="n">
        <v>46076</v>
      </c>
      <c r="BQ77" s="9" t="n">
        <v>26</v>
      </c>
      <c r="EA77" s="9" t="inlineStr">
        <is>
          <t>PLAIN BAG 26" X 39" (50KG)</t>
        </is>
      </c>
      <c r="EB77" s="9" t="n">
        <v>0</v>
      </c>
      <c r="EC77" s="9" t="n">
        <v>0</v>
      </c>
      <c r="ED77" s="9" t="n">
        <v>0</v>
      </c>
      <c r="EE77" s="9" t="n">
        <v>0</v>
      </c>
      <c r="EF77" s="9" t="n">
        <v>0</v>
      </c>
      <c r="EG77" s="9" t="n">
        <v>0</v>
      </c>
      <c r="EH77" s="9" t="n">
        <v>0</v>
      </c>
      <c r="EI77" s="9" t="n">
        <v>0</v>
      </c>
      <c r="EJ77" s="9" t="n">
        <v>0</v>
      </c>
      <c r="EK77" s="9" t="n">
        <v>0</v>
      </c>
      <c r="EL77" s="9" t="n">
        <v>0</v>
      </c>
      <c r="EM77" s="9" t="n">
        <v>0</v>
      </c>
      <c r="EN77" s="9" t="n">
        <v>0</v>
      </c>
      <c r="EO77" s="9" t="n">
        <v>0</v>
      </c>
      <c r="EP77" s="9" t="n">
        <v>0</v>
      </c>
      <c r="ER77" s="9" t="n">
        <v>0</v>
      </c>
      <c r="ES77" s="9" t="n">
        <v>0</v>
      </c>
      <c r="ET77" s="9" t="n">
        <v>0</v>
      </c>
      <c r="EU77" s="9" t="n">
        <v>0</v>
      </c>
      <c r="EV77" s="9" t="n">
        <v>0</v>
      </c>
      <c r="EW77" s="9" t="n">
        <v>0</v>
      </c>
      <c r="EX77" s="9" t="n">
        <v>0</v>
      </c>
      <c r="EY77" s="9" t="n">
        <v>0</v>
      </c>
      <c r="EZ77" s="9" t="n">
        <v>0</v>
      </c>
      <c r="FA77" s="9" t="n">
        <v>0</v>
      </c>
      <c r="FB77" s="9" t="n">
        <v>0</v>
      </c>
      <c r="FC77" s="9" t="n">
        <v>0</v>
      </c>
      <c r="FD77" s="9" t="n">
        <v>0</v>
      </c>
      <c r="FE77" s="9" t="n">
        <v>0</v>
      </c>
      <c r="FF77" s="9" t="n">
        <v>0</v>
      </c>
      <c r="FH77" s="9" t="n">
        <v>0</v>
      </c>
      <c r="FI77" s="9" t="n">
        <v>0</v>
      </c>
      <c r="FJ77" s="9" t="n">
        <v>0</v>
      </c>
      <c r="FK77" s="9" t="n">
        <v>0</v>
      </c>
      <c r="FL77" s="9" t="n">
        <v>0</v>
      </c>
      <c r="FM77" s="9" t="n">
        <v>0</v>
      </c>
      <c r="FN77" s="9" t="n">
        <v>0</v>
      </c>
      <c r="FO77" s="9" t="n">
        <v>0</v>
      </c>
      <c r="FP77" s="9" t="n">
        <v>0</v>
      </c>
      <c r="FQ77" s="9" t="n">
        <v>0</v>
      </c>
      <c r="FR77" s="9" t="n">
        <v>0</v>
      </c>
      <c r="FS77" s="9" t="n">
        <v>0</v>
      </c>
      <c r="FT77" s="9" t="n">
        <v>0</v>
      </c>
      <c r="FU77" s="9" t="n">
        <v>0</v>
      </c>
      <c r="FV77" s="9" t="n">
        <v>0</v>
      </c>
      <c r="FX77" s="9" t="n">
        <v>0</v>
      </c>
      <c r="FY77" s="9" t="n">
        <v>0</v>
      </c>
      <c r="FZ77" s="9" t="n">
        <v>0</v>
      </c>
      <c r="GA77" s="9" t="n">
        <v>0</v>
      </c>
      <c r="GB77" s="9" t="n">
        <v>0</v>
      </c>
      <c r="GC77" s="9" t="n">
        <v>0</v>
      </c>
      <c r="GD77" s="9" t="n">
        <v>0</v>
      </c>
      <c r="GE77" s="9" t="n">
        <v>0</v>
      </c>
      <c r="GF77" s="9" t="n">
        <v>0</v>
      </c>
      <c r="GG77" s="9" t="n">
        <v>0</v>
      </c>
      <c r="GH77" s="9" t="n">
        <v>0</v>
      </c>
      <c r="GI77" s="9" t="n">
        <v>0</v>
      </c>
      <c r="GJ77" s="9" t="n">
        <v>0</v>
      </c>
      <c r="GK77" s="9" t="n">
        <v>0</v>
      </c>
      <c r="GL77" s="9" t="n">
        <v>0</v>
      </c>
      <c r="GN77" s="9" t="n">
        <v>0</v>
      </c>
      <c r="GO77" s="9" t="n">
        <v>0</v>
      </c>
      <c r="GP77" s="9" t="n">
        <v>0</v>
      </c>
      <c r="GQ77" s="9" t="n">
        <v>0</v>
      </c>
      <c r="GR77" s="9" t="n">
        <v>0</v>
      </c>
      <c r="GS77" s="9" t="n">
        <v>0</v>
      </c>
      <c r="GT77" s="9" t="n">
        <v>0</v>
      </c>
      <c r="GU77" s="9" t="n">
        <v>0</v>
      </c>
      <c r="GV77" s="9" t="n">
        <v>0</v>
      </c>
      <c r="GW77" s="9" t="n">
        <v>0</v>
      </c>
      <c r="GX77" s="9" t="n">
        <v>0</v>
      </c>
      <c r="GY77" s="9" t="n">
        <v>0</v>
      </c>
      <c r="GZ77" s="9" t="n">
        <v>0</v>
      </c>
      <c r="HA77" s="9" t="n">
        <v>0</v>
      </c>
      <c r="HB77" s="9" t="n">
        <v>0</v>
      </c>
      <c r="HD77" s="9" t="n">
        <v>0</v>
      </c>
      <c r="HE77" s="9" t="n">
        <v>0</v>
      </c>
      <c r="HF77" s="9" t="n">
        <v>0</v>
      </c>
      <c r="HG77" s="9" t="n">
        <v>0</v>
      </c>
      <c r="HH77" s="9" t="n">
        <v>0</v>
      </c>
      <c r="HI77" s="9" t="n">
        <v>0</v>
      </c>
      <c r="HJ77" s="9" t="n">
        <v>0</v>
      </c>
      <c r="HK77" s="9" t="n">
        <v>0</v>
      </c>
      <c r="HL77" s="9" t="n">
        <v>0</v>
      </c>
      <c r="HM77" s="9" t="n">
        <v>0</v>
      </c>
      <c r="HN77" s="9" t="n">
        <v>0</v>
      </c>
      <c r="HO77" s="9" t="n">
        <v>0</v>
      </c>
      <c r="HP77" s="9" t="n">
        <v>0</v>
      </c>
      <c r="HQ77" s="9" t="n">
        <v>0</v>
      </c>
      <c r="HR77" s="9" t="n">
        <v>0</v>
      </c>
      <c r="HT77" s="9" t="n">
        <v>0</v>
      </c>
      <c r="HU77" s="9" t="n">
        <v>0</v>
      </c>
      <c r="HV77" s="9" t="n">
        <v>0</v>
      </c>
      <c r="HW77" s="9" t="n">
        <v>0</v>
      </c>
      <c r="HX77" s="9" t="n">
        <v>0</v>
      </c>
      <c r="HY77" s="9" t="n">
        <v>0</v>
      </c>
      <c r="HZ77" s="9" t="n">
        <v>0</v>
      </c>
      <c r="IA77" s="9" t="n">
        <v>0</v>
      </c>
      <c r="IB77" s="9" t="n">
        <v>0</v>
      </c>
      <c r="IC77" s="9" t="n">
        <v>0</v>
      </c>
      <c r="ID77" s="9" t="n">
        <v>0</v>
      </c>
      <c r="IE77" s="9" t="n">
        <v>0</v>
      </c>
      <c r="IF77" s="9" t="n">
        <v>0</v>
      </c>
      <c r="IG77" s="9" t="n">
        <v>0</v>
      </c>
      <c r="IH77" s="9" t="n">
        <v>0</v>
      </c>
      <c r="IJ77" s="9" t="n">
        <v>0</v>
      </c>
      <c r="IK77" s="9" t="n">
        <v>0</v>
      </c>
      <c r="IL77" s="9" t="n">
        <v>0</v>
      </c>
      <c r="IM77" s="9" t="n">
        <v>0</v>
      </c>
      <c r="IN77" s="9" t="n">
        <v>0</v>
      </c>
      <c r="IO77" s="9" t="n">
        <v>0</v>
      </c>
      <c r="IP77" s="9" t="n">
        <v>0</v>
      </c>
      <c r="IQ77" s="9" t="n">
        <v>0</v>
      </c>
      <c r="IR77" s="9" t="n">
        <v>0</v>
      </c>
      <c r="IS77" s="9" t="n">
        <v>0</v>
      </c>
      <c r="IT77" s="9" t="n">
        <v>0</v>
      </c>
      <c r="IU77" s="9" t="n">
        <v>0</v>
      </c>
      <c r="IV77" s="9" t="n">
        <v>0</v>
      </c>
      <c r="IW77" s="9" t="n">
        <v>0</v>
      </c>
      <c r="IX77" s="9" t="n">
        <v>0</v>
      </c>
    </row>
    <row r="78">
      <c r="A78" s="10" t="n">
        <v>46077</v>
      </c>
      <c r="DJ78" s="9" t="n">
        <v>76</v>
      </c>
      <c r="EA78" s="9" t="inlineStr">
        <is>
          <t>WOVEN BAG (8101) - KHAKI 50KG</t>
        </is>
      </c>
      <c r="EB78" s="9" t="n">
        <v>0</v>
      </c>
      <c r="EC78" s="9" t="n">
        <v>0</v>
      </c>
      <c r="ED78" s="9" t="n">
        <v>0</v>
      </c>
      <c r="EE78" s="9" t="n">
        <v>0</v>
      </c>
      <c r="EF78" s="9" t="n">
        <v>0</v>
      </c>
      <c r="EG78" s="9" t="n">
        <v>0</v>
      </c>
      <c r="EH78" s="9" t="n">
        <v>0</v>
      </c>
      <c r="EI78" s="9" t="n">
        <v>0</v>
      </c>
      <c r="EJ78" s="9" t="n">
        <v>0</v>
      </c>
      <c r="EK78" s="9" t="n">
        <v>0</v>
      </c>
      <c r="EL78" s="9" t="n">
        <v>0</v>
      </c>
      <c r="EM78" s="9" t="n">
        <v>0</v>
      </c>
      <c r="EN78" s="9" t="n">
        <v>0</v>
      </c>
      <c r="EO78" s="9" t="n">
        <v>0</v>
      </c>
      <c r="EP78" s="9" t="n">
        <v>0</v>
      </c>
      <c r="ER78" s="9" t="n">
        <v>0</v>
      </c>
      <c r="ES78" s="9" t="n">
        <v>0</v>
      </c>
      <c r="ET78" s="9" t="n">
        <v>0</v>
      </c>
      <c r="EU78" s="9" t="n">
        <v>0</v>
      </c>
      <c r="EV78" s="9" t="n">
        <v>0</v>
      </c>
      <c r="EW78" s="9" t="n">
        <v>0</v>
      </c>
      <c r="EX78" s="9" t="n">
        <v>0</v>
      </c>
      <c r="EY78" s="9" t="n">
        <v>0</v>
      </c>
      <c r="EZ78" s="9" t="n">
        <v>0</v>
      </c>
      <c r="FA78" s="9" t="n">
        <v>0</v>
      </c>
      <c r="FB78" s="9" t="n">
        <v>0</v>
      </c>
      <c r="FC78" s="9" t="n">
        <v>0</v>
      </c>
      <c r="FD78" s="9" t="n">
        <v>0</v>
      </c>
      <c r="FE78" s="9" t="n">
        <v>0</v>
      </c>
      <c r="FF78" s="9" t="n">
        <v>0</v>
      </c>
      <c r="FH78" s="9" t="n">
        <v>0</v>
      </c>
      <c r="FI78" s="9" t="n">
        <v>0</v>
      </c>
      <c r="FJ78" s="9" t="n">
        <v>0</v>
      </c>
      <c r="FK78" s="9" t="n">
        <v>0</v>
      </c>
      <c r="FL78" s="9" t="n">
        <v>0</v>
      </c>
      <c r="FM78" s="9" t="n">
        <v>0</v>
      </c>
      <c r="FN78" s="9" t="n">
        <v>0</v>
      </c>
      <c r="FO78" s="9" t="n">
        <v>0</v>
      </c>
      <c r="FP78" s="9" t="n">
        <v>0</v>
      </c>
      <c r="FQ78" s="9" t="n">
        <v>0</v>
      </c>
      <c r="FR78" s="9" t="n">
        <v>0</v>
      </c>
      <c r="FS78" s="9" t="n">
        <v>0</v>
      </c>
      <c r="FT78" s="9" t="n">
        <v>0</v>
      </c>
      <c r="FU78" s="9" t="n">
        <v>0</v>
      </c>
      <c r="FV78" s="9" t="n">
        <v>0</v>
      </c>
      <c r="FX78" s="9" t="n">
        <v>0</v>
      </c>
      <c r="FY78" s="9" t="n">
        <v>0</v>
      </c>
      <c r="FZ78" s="9" t="n">
        <v>0</v>
      </c>
      <c r="GA78" s="9" t="n">
        <v>0</v>
      </c>
      <c r="GB78" s="9" t="n">
        <v>0</v>
      </c>
      <c r="GC78" s="9" t="n">
        <v>0</v>
      </c>
      <c r="GD78" s="9" t="n">
        <v>0</v>
      </c>
      <c r="GE78" s="9" t="n">
        <v>0</v>
      </c>
      <c r="GF78" s="9" t="n">
        <v>0</v>
      </c>
      <c r="GG78" s="9" t="n">
        <v>0</v>
      </c>
      <c r="GH78" s="9" t="n">
        <v>0</v>
      </c>
      <c r="GI78" s="9" t="n">
        <v>0</v>
      </c>
      <c r="GJ78" s="9" t="n">
        <v>0</v>
      </c>
      <c r="GK78" s="9" t="n">
        <v>0</v>
      </c>
      <c r="GL78" s="9" t="n">
        <v>0</v>
      </c>
      <c r="GN78" s="9" t="n">
        <v>0</v>
      </c>
      <c r="GO78" s="9" t="n">
        <v>0</v>
      </c>
      <c r="GP78" s="9" t="n">
        <v>0</v>
      </c>
      <c r="GQ78" s="9" t="n">
        <v>0</v>
      </c>
      <c r="GR78" s="9" t="n">
        <v>0</v>
      </c>
      <c r="GS78" s="9" t="n">
        <v>0</v>
      </c>
      <c r="GT78" s="9" t="n">
        <v>0</v>
      </c>
      <c r="GU78" s="9" t="n">
        <v>0</v>
      </c>
      <c r="GV78" s="9" t="n">
        <v>0</v>
      </c>
      <c r="GW78" s="9" t="n">
        <v>0</v>
      </c>
      <c r="GX78" s="9" t="n">
        <v>0</v>
      </c>
      <c r="GY78" s="9" t="n">
        <v>0</v>
      </c>
      <c r="GZ78" s="9" t="n">
        <v>0</v>
      </c>
      <c r="HA78" s="9" t="n">
        <v>0</v>
      </c>
      <c r="HB78" s="9" t="n">
        <v>0</v>
      </c>
      <c r="HD78" s="9" t="n">
        <v>0</v>
      </c>
      <c r="HE78" s="9" t="n">
        <v>0</v>
      </c>
      <c r="HF78" s="9" t="n">
        <v>0</v>
      </c>
      <c r="HG78" s="9" t="n">
        <v>0</v>
      </c>
      <c r="HH78" s="9" t="n">
        <v>0</v>
      </c>
      <c r="HI78" s="9" t="n">
        <v>0</v>
      </c>
      <c r="HJ78" s="9" t="n">
        <v>0</v>
      </c>
      <c r="HK78" s="9" t="n">
        <v>0</v>
      </c>
      <c r="HL78" s="9" t="n">
        <v>0</v>
      </c>
      <c r="HM78" s="9" t="n">
        <v>0</v>
      </c>
      <c r="HN78" s="9" t="n">
        <v>0</v>
      </c>
      <c r="HO78" s="9" t="n">
        <v>0</v>
      </c>
      <c r="HP78" s="9" t="n">
        <v>0</v>
      </c>
      <c r="HQ78" s="9" t="n">
        <v>0</v>
      </c>
      <c r="HR78" s="9" t="n">
        <v>0</v>
      </c>
      <c r="HT78" s="9" t="n">
        <v>0</v>
      </c>
      <c r="HU78" s="9" t="n">
        <v>0</v>
      </c>
      <c r="HV78" s="9" t="n">
        <v>0</v>
      </c>
      <c r="HW78" s="9" t="n">
        <v>0</v>
      </c>
      <c r="HX78" s="9" t="n">
        <v>0</v>
      </c>
      <c r="HY78" s="9" t="n">
        <v>0</v>
      </c>
      <c r="HZ78" s="9" t="n">
        <v>0</v>
      </c>
      <c r="IA78" s="9" t="n">
        <v>0</v>
      </c>
      <c r="IB78" s="9" t="n">
        <v>0</v>
      </c>
      <c r="IC78" s="9" t="n">
        <v>0</v>
      </c>
      <c r="ID78" s="9" t="n">
        <v>0</v>
      </c>
      <c r="IE78" s="9" t="n">
        <v>0</v>
      </c>
      <c r="IF78" s="9" t="n">
        <v>0</v>
      </c>
      <c r="IG78" s="9" t="n">
        <v>0</v>
      </c>
      <c r="IH78" s="9" t="n">
        <v>0</v>
      </c>
      <c r="IJ78" s="9" t="n">
        <v>0</v>
      </c>
      <c r="IK78" s="9" t="n">
        <v>0</v>
      </c>
      <c r="IL78" s="9" t="n">
        <v>0</v>
      </c>
      <c r="IM78" s="9" t="n">
        <v>0</v>
      </c>
      <c r="IN78" s="9" t="n">
        <v>0</v>
      </c>
      <c r="IO78" s="9" t="n">
        <v>0</v>
      </c>
      <c r="IP78" s="9" t="n">
        <v>0</v>
      </c>
      <c r="IQ78" s="9" t="n">
        <v>0</v>
      </c>
      <c r="IR78" s="9" t="n">
        <v>0</v>
      </c>
      <c r="IS78" s="9" t="n">
        <v>0</v>
      </c>
      <c r="IT78" s="9" t="n">
        <v>0</v>
      </c>
      <c r="IU78" s="9" t="n">
        <v>0</v>
      </c>
      <c r="IV78" s="9" t="n">
        <v>0</v>
      </c>
      <c r="IW78" s="9" t="n">
        <v>0</v>
      </c>
      <c r="IX78" s="9" t="n">
        <v>0</v>
      </c>
    </row>
    <row r="79">
      <c r="A79" s="10" t="n">
        <v>46078</v>
      </c>
      <c r="B79" s="9" t="n">
        <v>14</v>
      </c>
      <c r="CT79" s="9" t="n">
        <v>18</v>
      </c>
      <c r="EA79" s="9" t="inlineStr">
        <is>
          <t>WOVEN BAG (8102) - SKY BLUE 50KG</t>
        </is>
      </c>
      <c r="EB79" s="9" t="n">
        <v>0</v>
      </c>
      <c r="EC79" s="9" t="n">
        <v>0</v>
      </c>
      <c r="ED79" s="9" t="n">
        <v>0</v>
      </c>
      <c r="EE79" s="9" t="n">
        <v>0</v>
      </c>
      <c r="EF79" s="9" t="n">
        <v>0</v>
      </c>
      <c r="EG79" s="9" t="n">
        <v>0</v>
      </c>
      <c r="EH79" s="9" t="n">
        <v>0</v>
      </c>
      <c r="EI79" s="9" t="n">
        <v>0</v>
      </c>
      <c r="EJ79" s="9" t="n">
        <v>0</v>
      </c>
      <c r="EK79" s="9" t="n">
        <v>0</v>
      </c>
      <c r="EL79" s="9" t="n">
        <v>0</v>
      </c>
      <c r="EM79" s="9" t="n">
        <v>0</v>
      </c>
      <c r="EN79" s="9" t="n">
        <v>0</v>
      </c>
      <c r="EO79" s="9" t="n">
        <v>0</v>
      </c>
      <c r="EP79" s="9" t="n">
        <v>0</v>
      </c>
      <c r="ER79" s="9" t="n">
        <v>0</v>
      </c>
      <c r="ES79" s="9" t="n">
        <v>0</v>
      </c>
      <c r="ET79" s="9" t="n">
        <v>0</v>
      </c>
      <c r="EU79" s="9" t="n">
        <v>0</v>
      </c>
      <c r="EV79" s="9" t="n">
        <v>0</v>
      </c>
      <c r="EW79" s="9" t="n">
        <v>0</v>
      </c>
      <c r="EX79" s="9" t="n">
        <v>0</v>
      </c>
      <c r="EY79" s="9" t="n">
        <v>0</v>
      </c>
      <c r="EZ79" s="9" t="n">
        <v>0</v>
      </c>
      <c r="FA79" s="9" t="n">
        <v>0</v>
      </c>
      <c r="FB79" s="9" t="n">
        <v>0</v>
      </c>
      <c r="FC79" s="9" t="n">
        <v>0</v>
      </c>
      <c r="FD79" s="9" t="n">
        <v>0</v>
      </c>
      <c r="FE79" s="9" t="n">
        <v>0</v>
      </c>
      <c r="FF79" s="9" t="n">
        <v>0</v>
      </c>
      <c r="FH79" s="9" t="n">
        <v>0</v>
      </c>
      <c r="FI79" s="9" t="n">
        <v>0</v>
      </c>
      <c r="FJ79" s="9" t="n">
        <v>0</v>
      </c>
      <c r="FK79" s="9" t="n">
        <v>0</v>
      </c>
      <c r="FL79" s="9" t="n">
        <v>0</v>
      </c>
      <c r="FM79" s="9" t="n">
        <v>0</v>
      </c>
      <c r="FN79" s="9" t="n">
        <v>0</v>
      </c>
      <c r="FO79" s="9" t="n">
        <v>0</v>
      </c>
      <c r="FP79" s="9" t="n">
        <v>0</v>
      </c>
      <c r="FQ79" s="9" t="n">
        <v>0</v>
      </c>
      <c r="FR79" s="9" t="n">
        <v>0</v>
      </c>
      <c r="FS79" s="9" t="n">
        <v>0</v>
      </c>
      <c r="FT79" s="9" t="n">
        <v>0</v>
      </c>
      <c r="FU79" s="9" t="n">
        <v>0</v>
      </c>
      <c r="FV79" s="9" t="n">
        <v>0</v>
      </c>
      <c r="FX79" s="9" t="n">
        <v>0</v>
      </c>
      <c r="FY79" s="9" t="n">
        <v>0</v>
      </c>
      <c r="FZ79" s="9" t="n">
        <v>0</v>
      </c>
      <c r="GA79" s="9" t="n">
        <v>0</v>
      </c>
      <c r="GB79" s="9" t="n">
        <v>0</v>
      </c>
      <c r="GC79" s="9" t="n">
        <v>0</v>
      </c>
      <c r="GD79" s="9" t="n">
        <v>0</v>
      </c>
      <c r="GE79" s="9" t="n">
        <v>0</v>
      </c>
      <c r="GF79" s="9" t="n">
        <v>0</v>
      </c>
      <c r="GG79" s="9" t="n">
        <v>0</v>
      </c>
      <c r="GH79" s="9" t="n">
        <v>0</v>
      </c>
      <c r="GI79" s="9" t="n">
        <v>0</v>
      </c>
      <c r="GJ79" s="9" t="n">
        <v>0</v>
      </c>
      <c r="GK79" s="9" t="n">
        <v>0</v>
      </c>
      <c r="GL79" s="9" t="n">
        <v>0</v>
      </c>
      <c r="GN79" s="9" t="n">
        <v>0</v>
      </c>
      <c r="GO79" s="9" t="n">
        <v>0</v>
      </c>
      <c r="GP79" s="9" t="n">
        <v>0</v>
      </c>
      <c r="GQ79" s="9" t="n">
        <v>0</v>
      </c>
      <c r="GR79" s="9" t="n">
        <v>0</v>
      </c>
      <c r="GS79" s="9" t="n">
        <v>0</v>
      </c>
      <c r="GT79" s="9" t="n">
        <v>0</v>
      </c>
      <c r="GU79" s="9" t="n">
        <v>0</v>
      </c>
      <c r="GV79" s="9" t="n">
        <v>0</v>
      </c>
      <c r="GW79" s="9" t="n">
        <v>0</v>
      </c>
      <c r="GX79" s="9" t="n">
        <v>0</v>
      </c>
      <c r="GY79" s="9" t="n">
        <v>0</v>
      </c>
      <c r="GZ79" s="9" t="n">
        <v>0</v>
      </c>
      <c r="HA79" s="9" t="n">
        <v>0</v>
      </c>
      <c r="HB79" s="9" t="n">
        <v>0</v>
      </c>
      <c r="HD79" s="9" t="n">
        <v>0</v>
      </c>
      <c r="HE79" s="9" t="n">
        <v>0</v>
      </c>
      <c r="HF79" s="9" t="n">
        <v>0</v>
      </c>
      <c r="HG79" s="9" t="n">
        <v>0</v>
      </c>
      <c r="HH79" s="9" t="n">
        <v>0</v>
      </c>
      <c r="HI79" s="9" t="n">
        <v>0</v>
      </c>
      <c r="HJ79" s="9" t="n">
        <v>0</v>
      </c>
      <c r="HK79" s="9" t="n">
        <v>0</v>
      </c>
      <c r="HL79" s="9" t="n">
        <v>0</v>
      </c>
      <c r="HM79" s="9" t="n">
        <v>0</v>
      </c>
      <c r="HN79" s="9" t="n">
        <v>0</v>
      </c>
      <c r="HO79" s="9" t="n">
        <v>0</v>
      </c>
      <c r="HP79" s="9" t="n">
        <v>0</v>
      </c>
      <c r="HQ79" s="9" t="n">
        <v>0</v>
      </c>
      <c r="HR79" s="9" t="n">
        <v>0</v>
      </c>
      <c r="HT79" s="9" t="n">
        <v>0</v>
      </c>
      <c r="HU79" s="9" t="n">
        <v>0</v>
      </c>
      <c r="HV79" s="9" t="n">
        <v>0</v>
      </c>
      <c r="HW79" s="9" t="n">
        <v>0</v>
      </c>
      <c r="HX79" s="9" t="n">
        <v>0</v>
      </c>
      <c r="HY79" s="9" t="n">
        <v>0</v>
      </c>
      <c r="HZ79" s="9" t="n">
        <v>0</v>
      </c>
      <c r="IA79" s="9" t="n">
        <v>0</v>
      </c>
      <c r="IB79" s="9" t="n">
        <v>0</v>
      </c>
      <c r="IC79" s="9" t="n">
        <v>0</v>
      </c>
      <c r="ID79" s="9" t="n">
        <v>0</v>
      </c>
      <c r="IE79" s="9" t="n">
        <v>0</v>
      </c>
      <c r="IF79" s="9" t="n">
        <v>0</v>
      </c>
      <c r="IG79" s="9" t="n">
        <v>0</v>
      </c>
      <c r="IH79" s="9" t="n">
        <v>0</v>
      </c>
      <c r="IJ79" s="9" t="n">
        <v>0</v>
      </c>
      <c r="IK79" s="9" t="n">
        <v>0</v>
      </c>
      <c r="IL79" s="9" t="n">
        <v>0</v>
      </c>
      <c r="IM79" s="9" t="n">
        <v>0</v>
      </c>
      <c r="IN79" s="9" t="n">
        <v>0</v>
      </c>
      <c r="IO79" s="9" t="n">
        <v>0</v>
      </c>
      <c r="IP79" s="9" t="n">
        <v>0</v>
      </c>
      <c r="IQ79" s="9" t="n">
        <v>0</v>
      </c>
      <c r="IR79" s="9" t="n">
        <v>0</v>
      </c>
      <c r="IS79" s="9" t="n">
        <v>0</v>
      </c>
      <c r="IT79" s="9" t="n">
        <v>0</v>
      </c>
      <c r="IU79" s="9" t="n">
        <v>0</v>
      </c>
      <c r="IV79" s="9" t="n">
        <v>0</v>
      </c>
      <c r="IW79" s="9" t="n">
        <v>0</v>
      </c>
      <c r="IX79" s="9" t="n">
        <v>0</v>
      </c>
    </row>
    <row r="80">
      <c r="A80" s="10" t="n">
        <v>46079</v>
      </c>
      <c r="CT80" s="9" t="n">
        <v>26</v>
      </c>
      <c r="EA80" s="9" t="inlineStr">
        <is>
          <t>WOVEN BAG (8103) - BROWN 50KG</t>
        </is>
      </c>
      <c r="EB80" s="9" t="n">
        <v>0</v>
      </c>
      <c r="EC80" s="9" t="n">
        <v>0</v>
      </c>
      <c r="ED80" s="9" t="n">
        <v>0</v>
      </c>
      <c r="EE80" s="9" t="n">
        <v>0</v>
      </c>
      <c r="EF80" s="9" t="n">
        <v>0</v>
      </c>
      <c r="EG80" s="9" t="n">
        <v>0</v>
      </c>
      <c r="EH80" s="9" t="n">
        <v>0</v>
      </c>
      <c r="EI80" s="9" t="n">
        <v>0</v>
      </c>
      <c r="EJ80" s="9" t="n">
        <v>0</v>
      </c>
      <c r="EK80" s="9" t="n">
        <v>0</v>
      </c>
      <c r="EL80" s="9" t="n">
        <v>0</v>
      </c>
      <c r="EM80" s="9" t="n">
        <v>0</v>
      </c>
      <c r="EN80" s="9" t="n">
        <v>0</v>
      </c>
      <c r="EO80" s="9" t="n">
        <v>0</v>
      </c>
      <c r="EP80" s="9" t="n">
        <v>0</v>
      </c>
      <c r="ER80" s="9" t="n">
        <v>0</v>
      </c>
      <c r="ES80" s="9" t="n">
        <v>0</v>
      </c>
      <c r="ET80" s="9" t="n">
        <v>0</v>
      </c>
      <c r="EU80" s="9" t="n">
        <v>0</v>
      </c>
      <c r="EV80" s="9" t="n">
        <v>0</v>
      </c>
      <c r="EW80" s="9" t="n">
        <v>0</v>
      </c>
      <c r="EX80" s="9" t="n">
        <v>0</v>
      </c>
      <c r="EY80" s="9" t="n">
        <v>0</v>
      </c>
      <c r="EZ80" s="9" t="n">
        <v>0</v>
      </c>
      <c r="FA80" s="9" t="n">
        <v>0</v>
      </c>
      <c r="FB80" s="9" t="n">
        <v>0</v>
      </c>
      <c r="FC80" s="9" t="n">
        <v>0</v>
      </c>
      <c r="FD80" s="9" t="n">
        <v>0</v>
      </c>
      <c r="FE80" s="9" t="n">
        <v>0</v>
      </c>
      <c r="FF80" s="9" t="n">
        <v>0</v>
      </c>
      <c r="FH80" s="9" t="n">
        <v>0</v>
      </c>
      <c r="FI80" s="9" t="n">
        <v>0</v>
      </c>
      <c r="FJ80" s="9" t="n">
        <v>0</v>
      </c>
      <c r="FK80" s="9" t="n">
        <v>0</v>
      </c>
      <c r="FL80" s="9" t="n">
        <v>0</v>
      </c>
      <c r="FM80" s="9" t="n">
        <v>0</v>
      </c>
      <c r="FN80" s="9" t="n">
        <v>0</v>
      </c>
      <c r="FO80" s="9" t="n">
        <v>0</v>
      </c>
      <c r="FP80" s="9" t="n">
        <v>0</v>
      </c>
      <c r="FQ80" s="9" t="n">
        <v>0</v>
      </c>
      <c r="FR80" s="9" t="n">
        <v>0</v>
      </c>
      <c r="FS80" s="9" t="n">
        <v>0</v>
      </c>
      <c r="FT80" s="9" t="n">
        <v>0</v>
      </c>
      <c r="FU80" s="9" t="n">
        <v>0</v>
      </c>
      <c r="FV80" s="9" t="n">
        <v>0</v>
      </c>
      <c r="FX80" s="9" t="n">
        <v>0</v>
      </c>
      <c r="FY80" s="9" t="n">
        <v>0</v>
      </c>
      <c r="FZ80" s="9" t="n">
        <v>0</v>
      </c>
      <c r="GA80" s="9" t="n">
        <v>0</v>
      </c>
      <c r="GB80" s="9" t="n">
        <v>0</v>
      </c>
      <c r="GC80" s="9" t="n">
        <v>0</v>
      </c>
      <c r="GD80" s="9" t="n">
        <v>0</v>
      </c>
      <c r="GE80" s="9" t="n">
        <v>0</v>
      </c>
      <c r="GF80" s="9" t="n">
        <v>0</v>
      </c>
      <c r="GG80" s="9" t="n">
        <v>0</v>
      </c>
      <c r="GH80" s="9" t="n">
        <v>0</v>
      </c>
      <c r="GI80" s="9" t="n">
        <v>0</v>
      </c>
      <c r="GJ80" s="9" t="n">
        <v>0</v>
      </c>
      <c r="GK80" s="9" t="n">
        <v>0</v>
      </c>
      <c r="GL80" s="9" t="n">
        <v>0</v>
      </c>
      <c r="GN80" s="9" t="n">
        <v>0</v>
      </c>
      <c r="GO80" s="9" t="n">
        <v>0</v>
      </c>
      <c r="GP80" s="9" t="n">
        <v>0</v>
      </c>
      <c r="GQ80" s="9" t="n">
        <v>0</v>
      </c>
      <c r="GR80" s="9" t="n">
        <v>0</v>
      </c>
      <c r="GS80" s="9" t="n">
        <v>0</v>
      </c>
      <c r="GT80" s="9" t="n">
        <v>0</v>
      </c>
      <c r="GU80" s="9" t="n">
        <v>0</v>
      </c>
      <c r="GV80" s="9" t="n">
        <v>0</v>
      </c>
      <c r="GW80" s="9" t="n">
        <v>0</v>
      </c>
      <c r="GX80" s="9" t="n">
        <v>0</v>
      </c>
      <c r="GY80" s="9" t="n">
        <v>0</v>
      </c>
      <c r="GZ80" s="9" t="n">
        <v>0</v>
      </c>
      <c r="HA80" s="9" t="n">
        <v>0</v>
      </c>
      <c r="HB80" s="9" t="n">
        <v>0</v>
      </c>
      <c r="HD80" s="9" t="n">
        <v>0</v>
      </c>
      <c r="HE80" s="9" t="n">
        <v>0</v>
      </c>
      <c r="HF80" s="9" t="n">
        <v>0</v>
      </c>
      <c r="HG80" s="9" t="n">
        <v>0</v>
      </c>
      <c r="HH80" s="9" t="n">
        <v>0</v>
      </c>
      <c r="HI80" s="9" t="n">
        <v>0</v>
      </c>
      <c r="HJ80" s="9" t="n">
        <v>0</v>
      </c>
      <c r="HK80" s="9" t="n">
        <v>0</v>
      </c>
      <c r="HL80" s="9" t="n">
        <v>0</v>
      </c>
      <c r="HM80" s="9" t="n">
        <v>0</v>
      </c>
      <c r="HN80" s="9" t="n">
        <v>0</v>
      </c>
      <c r="HO80" s="9" t="n">
        <v>0</v>
      </c>
      <c r="HP80" s="9" t="n">
        <v>0</v>
      </c>
      <c r="HQ80" s="9" t="n">
        <v>0</v>
      </c>
      <c r="HR80" s="9" t="n">
        <v>0</v>
      </c>
      <c r="HT80" s="9" t="n">
        <v>0</v>
      </c>
      <c r="HU80" s="9" t="n">
        <v>0</v>
      </c>
      <c r="HV80" s="9" t="n">
        <v>0</v>
      </c>
      <c r="HW80" s="9" t="n">
        <v>0</v>
      </c>
      <c r="HX80" s="9" t="n">
        <v>0</v>
      </c>
      <c r="HY80" s="9" t="n">
        <v>0</v>
      </c>
      <c r="HZ80" s="9" t="n">
        <v>0</v>
      </c>
      <c r="IA80" s="9" t="n">
        <v>0</v>
      </c>
      <c r="IB80" s="9" t="n">
        <v>0</v>
      </c>
      <c r="IC80" s="9" t="n">
        <v>0</v>
      </c>
      <c r="ID80" s="9" t="n">
        <v>0</v>
      </c>
      <c r="IE80" s="9" t="n">
        <v>0</v>
      </c>
      <c r="IF80" s="9" t="n">
        <v>0</v>
      </c>
      <c r="IG80" s="9" t="n">
        <v>0</v>
      </c>
      <c r="IH80" s="9" t="n">
        <v>0</v>
      </c>
      <c r="IJ80" s="9" t="n">
        <v>0</v>
      </c>
      <c r="IK80" s="9" t="n">
        <v>0</v>
      </c>
      <c r="IL80" s="9" t="n">
        <v>0</v>
      </c>
      <c r="IM80" s="9" t="n">
        <v>0</v>
      </c>
      <c r="IN80" s="9" t="n">
        <v>0</v>
      </c>
      <c r="IO80" s="9" t="n">
        <v>0</v>
      </c>
      <c r="IP80" s="9" t="n">
        <v>0</v>
      </c>
      <c r="IQ80" s="9" t="n">
        <v>0</v>
      </c>
      <c r="IR80" s="9" t="n">
        <v>0</v>
      </c>
      <c r="IS80" s="9" t="n">
        <v>0</v>
      </c>
      <c r="IT80" s="9" t="n">
        <v>0</v>
      </c>
      <c r="IU80" s="9" t="n">
        <v>0</v>
      </c>
      <c r="IV80" s="9" t="n">
        <v>0</v>
      </c>
      <c r="IW80" s="9" t="n">
        <v>0</v>
      </c>
      <c r="IX80" s="9" t="n">
        <v>0</v>
      </c>
    </row>
    <row r="81">
      <c r="A81" s="10" t="n">
        <v>46080</v>
      </c>
      <c r="B81" s="9" t="n">
        <v>50</v>
      </c>
      <c r="EA81" s="9" t="n">
        <v>1</v>
      </c>
      <c r="EB81" s="9" t="n">
        <v>0</v>
      </c>
      <c r="EC81" s="9" t="n">
        <v>0</v>
      </c>
      <c r="ED81" s="9" t="n">
        <v>0</v>
      </c>
      <c r="EE81" s="9" t="n">
        <v>0</v>
      </c>
      <c r="EF81" s="9" t="n">
        <v>0</v>
      </c>
      <c r="EG81" s="9" t="n">
        <v>0</v>
      </c>
      <c r="EH81" s="9" t="n">
        <v>0</v>
      </c>
      <c r="EI81" s="9" t="n">
        <v>0</v>
      </c>
      <c r="EJ81" s="9" t="n">
        <v>0</v>
      </c>
      <c r="EK81" s="9" t="n">
        <v>0</v>
      </c>
      <c r="EL81" s="9" t="n">
        <v>0</v>
      </c>
      <c r="EM81" s="9" t="n">
        <v>0</v>
      </c>
      <c r="EN81" s="9" t="n">
        <v>0</v>
      </c>
      <c r="EO81" s="9" t="n">
        <v>0</v>
      </c>
      <c r="EP81" s="9" t="n">
        <v>0</v>
      </c>
      <c r="ER81" s="9" t="n">
        <v>0</v>
      </c>
      <c r="ES81" s="9" t="n">
        <v>0</v>
      </c>
      <c r="ET81" s="9" t="n">
        <v>0</v>
      </c>
      <c r="EU81" s="9" t="n">
        <v>0</v>
      </c>
      <c r="EV81" s="9" t="n">
        <v>0</v>
      </c>
      <c r="EW81" s="9" t="n">
        <v>0</v>
      </c>
      <c r="EX81" s="9" t="n">
        <v>0</v>
      </c>
      <c r="EY81" s="9" t="n">
        <v>0</v>
      </c>
      <c r="EZ81" s="9" t="n">
        <v>0</v>
      </c>
      <c r="FA81" s="9" t="n">
        <v>0</v>
      </c>
      <c r="FB81" s="9" t="n">
        <v>0</v>
      </c>
      <c r="FC81" s="9" t="n">
        <v>0</v>
      </c>
      <c r="FD81" s="9" t="n">
        <v>0</v>
      </c>
      <c r="FE81" s="9" t="n">
        <v>0</v>
      </c>
      <c r="FF81" s="9" t="n">
        <v>0</v>
      </c>
      <c r="FH81" s="9" t="n">
        <v>0</v>
      </c>
      <c r="FI81" s="9" t="n">
        <v>0</v>
      </c>
      <c r="FJ81" s="9" t="n">
        <v>0</v>
      </c>
      <c r="FK81" s="9" t="n">
        <v>0</v>
      </c>
      <c r="FL81" s="9" t="n">
        <v>0</v>
      </c>
      <c r="FM81" s="9" t="n">
        <v>0</v>
      </c>
      <c r="FN81" s="9" t="n">
        <v>0</v>
      </c>
      <c r="FO81" s="9" t="n">
        <v>0</v>
      </c>
      <c r="FP81" s="9" t="n">
        <v>0</v>
      </c>
      <c r="FQ81" s="9" t="n">
        <v>0</v>
      </c>
      <c r="FR81" s="9" t="n">
        <v>0</v>
      </c>
      <c r="FS81" s="9" t="n">
        <v>0</v>
      </c>
      <c r="FT81" s="9" t="n">
        <v>0</v>
      </c>
      <c r="FU81" s="9" t="n">
        <v>0</v>
      </c>
      <c r="FV81" s="9" t="n">
        <v>0</v>
      </c>
      <c r="FX81" s="9" t="n">
        <v>0</v>
      </c>
      <c r="FY81" s="9" t="n">
        <v>0</v>
      </c>
      <c r="FZ81" s="9" t="n">
        <v>0</v>
      </c>
      <c r="GA81" s="9" t="n">
        <v>0</v>
      </c>
      <c r="GB81" s="9" t="n">
        <v>0</v>
      </c>
      <c r="GC81" s="9" t="n">
        <v>0</v>
      </c>
      <c r="GD81" s="9" t="n">
        <v>0</v>
      </c>
      <c r="GE81" s="9" t="n">
        <v>0</v>
      </c>
      <c r="GF81" s="9" t="n">
        <v>0</v>
      </c>
      <c r="GG81" s="9" t="n">
        <v>0</v>
      </c>
      <c r="GH81" s="9" t="n">
        <v>0</v>
      </c>
      <c r="GI81" s="9" t="n">
        <v>0</v>
      </c>
      <c r="GJ81" s="9" t="n">
        <v>0</v>
      </c>
      <c r="GK81" s="9" t="n">
        <v>0</v>
      </c>
      <c r="GL81" s="9" t="n">
        <v>0</v>
      </c>
      <c r="GN81" s="9" t="n">
        <v>0</v>
      </c>
      <c r="GO81" s="9" t="n">
        <v>0</v>
      </c>
      <c r="GP81" s="9" t="n">
        <v>0</v>
      </c>
      <c r="GQ81" s="9" t="n">
        <v>0</v>
      </c>
      <c r="GR81" s="9" t="n">
        <v>0</v>
      </c>
      <c r="GS81" s="9" t="n">
        <v>0</v>
      </c>
      <c r="GT81" s="9" t="n">
        <v>0</v>
      </c>
      <c r="GU81" s="9" t="n">
        <v>0</v>
      </c>
      <c r="GV81" s="9" t="n">
        <v>0</v>
      </c>
      <c r="GW81" s="9" t="n">
        <v>0</v>
      </c>
      <c r="GX81" s="9" t="n">
        <v>0</v>
      </c>
      <c r="GY81" s="9" t="n">
        <v>0</v>
      </c>
      <c r="GZ81" s="9" t="n">
        <v>0</v>
      </c>
      <c r="HA81" s="9" t="n">
        <v>0</v>
      </c>
      <c r="HB81" s="9" t="n">
        <v>0</v>
      </c>
      <c r="HD81" s="9" t="n">
        <v>0</v>
      </c>
      <c r="HE81" s="9" t="n">
        <v>0</v>
      </c>
      <c r="HF81" s="9" t="n">
        <v>0</v>
      </c>
      <c r="HG81" s="9" t="n">
        <v>0</v>
      </c>
      <c r="HH81" s="9" t="n">
        <v>0</v>
      </c>
      <c r="HI81" s="9" t="n">
        <v>0</v>
      </c>
      <c r="HJ81" s="9" t="n">
        <v>0</v>
      </c>
      <c r="HK81" s="9" t="n">
        <v>0</v>
      </c>
      <c r="HL81" s="9" t="n">
        <v>0</v>
      </c>
      <c r="HM81" s="9" t="n">
        <v>0</v>
      </c>
      <c r="HN81" s="9" t="n">
        <v>0</v>
      </c>
      <c r="HO81" s="9" t="n">
        <v>0</v>
      </c>
      <c r="HP81" s="9" t="n">
        <v>0</v>
      </c>
      <c r="HQ81" s="9" t="n">
        <v>0</v>
      </c>
      <c r="HR81" s="9" t="n">
        <v>0</v>
      </c>
      <c r="HT81" s="9" t="n">
        <v>0</v>
      </c>
      <c r="HU81" s="9" t="n">
        <v>0</v>
      </c>
      <c r="HV81" s="9" t="n">
        <v>0</v>
      </c>
      <c r="HW81" s="9" t="n">
        <v>0</v>
      </c>
      <c r="HX81" s="9" t="n">
        <v>0</v>
      </c>
      <c r="HY81" s="9" t="n">
        <v>0</v>
      </c>
      <c r="HZ81" s="9" t="n">
        <v>0</v>
      </c>
      <c r="IA81" s="9" t="n">
        <v>0</v>
      </c>
      <c r="IB81" s="9" t="n">
        <v>0</v>
      </c>
      <c r="IC81" s="9" t="n">
        <v>0</v>
      </c>
      <c r="ID81" s="9" t="n">
        <v>0</v>
      </c>
      <c r="IE81" s="9" t="n">
        <v>0</v>
      </c>
      <c r="IF81" s="9" t="n">
        <v>0</v>
      </c>
      <c r="IG81" s="9" t="n">
        <v>0</v>
      </c>
      <c r="IH81" s="9" t="n">
        <v>0</v>
      </c>
      <c r="IJ81" s="9" t="n">
        <v>0</v>
      </c>
      <c r="IK81" s="9" t="n">
        <v>0</v>
      </c>
      <c r="IL81" s="9" t="n">
        <v>0</v>
      </c>
      <c r="IM81" s="9" t="n">
        <v>0</v>
      </c>
      <c r="IN81" s="9" t="n">
        <v>0</v>
      </c>
      <c r="IO81" s="9" t="n">
        <v>0</v>
      </c>
      <c r="IP81" s="9" t="n">
        <v>0</v>
      </c>
      <c r="IQ81" s="9" t="n">
        <v>0</v>
      </c>
      <c r="IR81" s="9" t="n">
        <v>0</v>
      </c>
      <c r="IS81" s="9" t="n">
        <v>0</v>
      </c>
      <c r="IT81" s="9" t="n">
        <v>0</v>
      </c>
      <c r="IU81" s="9" t="n">
        <v>0</v>
      </c>
      <c r="IV81" s="9" t="n">
        <v>0</v>
      </c>
      <c r="IW81" s="9" t="n">
        <v>0</v>
      </c>
      <c r="IX81" s="9" t="n">
        <v>0</v>
      </c>
    </row>
    <row r="82">
      <c r="A82" s="10" t="n">
        <v>46081</v>
      </c>
      <c r="EA82" s="9" t="n">
        <v>2</v>
      </c>
      <c r="EB82" s="9" t="n">
        <v>0</v>
      </c>
      <c r="EC82" s="9" t="n">
        <v>0</v>
      </c>
      <c r="ED82" s="9" t="n">
        <v>0</v>
      </c>
      <c r="EE82" s="9" t="n">
        <v>0</v>
      </c>
      <c r="EF82" s="9" t="n">
        <v>0</v>
      </c>
      <c r="EG82" s="9" t="n">
        <v>0</v>
      </c>
      <c r="EH82" s="9" t="n">
        <v>0</v>
      </c>
      <c r="EI82" s="9" t="n">
        <v>0</v>
      </c>
      <c r="EJ82" s="9" t="n">
        <v>0</v>
      </c>
      <c r="EK82" s="9" t="n">
        <v>0</v>
      </c>
      <c r="EL82" s="9" t="n">
        <v>0</v>
      </c>
      <c r="EM82" s="9" t="n">
        <v>0</v>
      </c>
      <c r="EN82" s="9" t="n">
        <v>0</v>
      </c>
      <c r="EO82" s="9" t="n">
        <v>0</v>
      </c>
      <c r="EP82" s="9" t="n">
        <v>0</v>
      </c>
      <c r="ER82" s="9" t="n">
        <v>0</v>
      </c>
      <c r="ES82" s="9" t="n">
        <v>0</v>
      </c>
      <c r="ET82" s="9" t="n">
        <v>0</v>
      </c>
      <c r="EU82" s="9" t="n">
        <v>0</v>
      </c>
      <c r="EV82" s="9" t="n">
        <v>0</v>
      </c>
      <c r="EW82" s="9" t="n">
        <v>0</v>
      </c>
      <c r="EX82" s="9" t="n">
        <v>0</v>
      </c>
      <c r="EY82" s="9" t="n">
        <v>0</v>
      </c>
      <c r="EZ82" s="9" t="n">
        <v>0</v>
      </c>
      <c r="FA82" s="9" t="n">
        <v>0</v>
      </c>
      <c r="FB82" s="9" t="n">
        <v>0</v>
      </c>
      <c r="FC82" s="9" t="n">
        <v>0</v>
      </c>
      <c r="FD82" s="9" t="n">
        <v>0</v>
      </c>
      <c r="FE82" s="9" t="n">
        <v>0</v>
      </c>
      <c r="FF82" s="9" t="n">
        <v>0</v>
      </c>
      <c r="FH82" s="9" t="n">
        <v>0</v>
      </c>
      <c r="FI82" s="9" t="n">
        <v>0</v>
      </c>
      <c r="FJ82" s="9" t="n">
        <v>0</v>
      </c>
      <c r="FK82" s="9" t="n">
        <v>0</v>
      </c>
      <c r="FL82" s="9" t="n">
        <v>0</v>
      </c>
      <c r="FM82" s="9" t="n">
        <v>0</v>
      </c>
      <c r="FN82" s="9" t="n">
        <v>0</v>
      </c>
      <c r="FO82" s="9" t="n">
        <v>0</v>
      </c>
      <c r="FP82" s="9" t="n">
        <v>0</v>
      </c>
      <c r="FQ82" s="9" t="n">
        <v>0</v>
      </c>
      <c r="FR82" s="9" t="n">
        <v>0</v>
      </c>
      <c r="FS82" s="9" t="n">
        <v>0</v>
      </c>
      <c r="FT82" s="9" t="n">
        <v>0</v>
      </c>
      <c r="FU82" s="9" t="n">
        <v>0</v>
      </c>
      <c r="FV82" s="9" t="n">
        <v>0</v>
      </c>
      <c r="FX82" s="9" t="n">
        <v>0</v>
      </c>
      <c r="FY82" s="9" t="n">
        <v>0</v>
      </c>
      <c r="FZ82" s="9" t="n">
        <v>0</v>
      </c>
      <c r="GA82" s="9" t="n">
        <v>0</v>
      </c>
      <c r="GB82" s="9" t="n">
        <v>0</v>
      </c>
      <c r="GC82" s="9" t="n">
        <v>0</v>
      </c>
      <c r="GD82" s="9" t="n">
        <v>0</v>
      </c>
      <c r="GE82" s="9" t="n">
        <v>0</v>
      </c>
      <c r="GF82" s="9" t="n">
        <v>0</v>
      </c>
      <c r="GG82" s="9" t="n">
        <v>0</v>
      </c>
      <c r="GH82" s="9" t="n">
        <v>0</v>
      </c>
      <c r="GI82" s="9" t="n">
        <v>0</v>
      </c>
      <c r="GJ82" s="9" t="n">
        <v>0</v>
      </c>
      <c r="GK82" s="9" t="n">
        <v>0</v>
      </c>
      <c r="GL82" s="9" t="n">
        <v>0</v>
      </c>
      <c r="GN82" s="9" t="n">
        <v>0</v>
      </c>
      <c r="GO82" s="9" t="n">
        <v>0</v>
      </c>
      <c r="GP82" s="9" t="n">
        <v>0</v>
      </c>
      <c r="GQ82" s="9" t="n">
        <v>0</v>
      </c>
      <c r="GR82" s="9" t="n">
        <v>0</v>
      </c>
      <c r="GS82" s="9" t="n">
        <v>0</v>
      </c>
      <c r="GT82" s="9" t="n">
        <v>0</v>
      </c>
      <c r="GU82" s="9" t="n">
        <v>0</v>
      </c>
      <c r="GV82" s="9" t="n">
        <v>0</v>
      </c>
      <c r="GW82" s="9" t="n">
        <v>0</v>
      </c>
      <c r="GX82" s="9" t="n">
        <v>0</v>
      </c>
      <c r="GY82" s="9" t="n">
        <v>0</v>
      </c>
      <c r="GZ82" s="9" t="n">
        <v>0</v>
      </c>
      <c r="HA82" s="9" t="n">
        <v>0</v>
      </c>
      <c r="HB82" s="9" t="n">
        <v>0</v>
      </c>
      <c r="HD82" s="9" t="n">
        <v>0</v>
      </c>
      <c r="HE82" s="9" t="n">
        <v>0</v>
      </c>
      <c r="HF82" s="9" t="n">
        <v>0</v>
      </c>
      <c r="HG82" s="9" t="n">
        <v>0</v>
      </c>
      <c r="HH82" s="9" t="n">
        <v>0</v>
      </c>
      <c r="HI82" s="9" t="n">
        <v>0</v>
      </c>
      <c r="HJ82" s="9" t="n">
        <v>0</v>
      </c>
      <c r="HK82" s="9" t="n">
        <v>0</v>
      </c>
      <c r="HL82" s="9" t="n">
        <v>0</v>
      </c>
      <c r="HM82" s="9" t="n">
        <v>0</v>
      </c>
      <c r="HN82" s="9" t="n">
        <v>0</v>
      </c>
      <c r="HO82" s="9" t="n">
        <v>0</v>
      </c>
      <c r="HP82" s="9" t="n">
        <v>0</v>
      </c>
      <c r="HQ82" s="9" t="n">
        <v>0</v>
      </c>
      <c r="HR82" s="9" t="n">
        <v>0</v>
      </c>
      <c r="HT82" s="9" t="n">
        <v>0</v>
      </c>
      <c r="HU82" s="9" t="n">
        <v>0</v>
      </c>
      <c r="HV82" s="9" t="n">
        <v>0</v>
      </c>
      <c r="HW82" s="9" t="n">
        <v>0</v>
      </c>
      <c r="HX82" s="9" t="n">
        <v>0</v>
      </c>
      <c r="HY82" s="9" t="n">
        <v>0</v>
      </c>
      <c r="HZ82" s="9" t="n">
        <v>0</v>
      </c>
      <c r="IA82" s="9" t="n">
        <v>0</v>
      </c>
      <c r="IB82" s="9" t="n">
        <v>0</v>
      </c>
      <c r="IC82" s="9" t="n">
        <v>0</v>
      </c>
      <c r="ID82" s="9" t="n">
        <v>0</v>
      </c>
      <c r="IE82" s="9" t="n">
        <v>0</v>
      </c>
      <c r="IF82" s="9" t="n">
        <v>0</v>
      </c>
      <c r="IG82" s="9" t="n">
        <v>0</v>
      </c>
      <c r="IH82" s="9" t="n">
        <v>0</v>
      </c>
      <c r="IJ82" s="9" t="n">
        <v>0</v>
      </c>
      <c r="IK82" s="9" t="n">
        <v>0</v>
      </c>
      <c r="IL82" s="9" t="n">
        <v>0</v>
      </c>
      <c r="IM82" s="9" t="n">
        <v>0</v>
      </c>
      <c r="IN82" s="9" t="n">
        <v>0</v>
      </c>
      <c r="IO82" s="9" t="n">
        <v>0</v>
      </c>
      <c r="IP82" s="9" t="n">
        <v>0</v>
      </c>
      <c r="IQ82" s="9" t="n">
        <v>0</v>
      </c>
      <c r="IR82" s="9" t="n">
        <v>0</v>
      </c>
      <c r="IS82" s="9" t="n">
        <v>0</v>
      </c>
      <c r="IT82" s="9" t="n">
        <v>0</v>
      </c>
      <c r="IU82" s="9" t="n">
        <v>0</v>
      </c>
      <c r="IV82" s="9" t="n">
        <v>0</v>
      </c>
      <c r="IW82" s="9" t="n">
        <v>0</v>
      </c>
      <c r="IX82" s="9" t="n">
        <v>0</v>
      </c>
    </row>
    <row r="83">
      <c r="EA83" s="9" t="n">
        <v>3</v>
      </c>
      <c r="EB83" s="9" t="n">
        <v>0</v>
      </c>
      <c r="EC83" s="9" t="n">
        <v>0</v>
      </c>
      <c r="ED83" s="9" t="n">
        <v>0</v>
      </c>
      <c r="EE83" s="9" t="n">
        <v>0</v>
      </c>
      <c r="EF83" s="9" t="n">
        <v>0</v>
      </c>
      <c r="EG83" s="9" t="n">
        <v>0</v>
      </c>
      <c r="EH83" s="9" t="n">
        <v>0</v>
      </c>
      <c r="EI83" s="9" t="n">
        <v>0</v>
      </c>
      <c r="EJ83" s="9" t="n">
        <v>0</v>
      </c>
      <c r="EK83" s="9" t="n">
        <v>0</v>
      </c>
      <c r="EL83" s="9" t="n">
        <v>0</v>
      </c>
      <c r="EM83" s="9" t="n">
        <v>0</v>
      </c>
      <c r="EN83" s="9" t="n">
        <v>0</v>
      </c>
      <c r="EO83" s="9" t="n">
        <v>0</v>
      </c>
      <c r="EP83" s="9" t="n">
        <v>0</v>
      </c>
      <c r="ER83" s="9" t="n">
        <v>0</v>
      </c>
      <c r="ES83" s="9" t="n">
        <v>0</v>
      </c>
      <c r="ET83" s="9" t="n">
        <v>0</v>
      </c>
      <c r="EU83" s="9" t="n">
        <v>0</v>
      </c>
      <c r="EV83" s="9" t="n">
        <v>0</v>
      </c>
      <c r="EW83" s="9" t="n">
        <v>0</v>
      </c>
      <c r="EX83" s="9" t="n">
        <v>0</v>
      </c>
      <c r="EY83" s="9" t="n">
        <v>0</v>
      </c>
      <c r="EZ83" s="9" t="n">
        <v>0</v>
      </c>
      <c r="FA83" s="9" t="n">
        <v>0</v>
      </c>
      <c r="FB83" s="9" t="n">
        <v>0</v>
      </c>
      <c r="FC83" s="9" t="n">
        <v>0</v>
      </c>
      <c r="FD83" s="9" t="n">
        <v>0</v>
      </c>
      <c r="FE83" s="9" t="n">
        <v>0</v>
      </c>
      <c r="FF83" s="9" t="n">
        <v>0</v>
      </c>
      <c r="FH83" s="9" t="n">
        <v>0</v>
      </c>
      <c r="FI83" s="9" t="n">
        <v>0</v>
      </c>
      <c r="FJ83" s="9" t="n">
        <v>0</v>
      </c>
      <c r="FK83" s="9" t="n">
        <v>0</v>
      </c>
      <c r="FL83" s="9" t="n">
        <v>0</v>
      </c>
      <c r="FM83" s="9" t="n">
        <v>0</v>
      </c>
      <c r="FN83" s="9" t="n">
        <v>0</v>
      </c>
      <c r="FO83" s="9" t="n">
        <v>0</v>
      </c>
      <c r="FP83" s="9" t="n">
        <v>0</v>
      </c>
      <c r="FQ83" s="9" t="n">
        <v>0</v>
      </c>
      <c r="FR83" s="9" t="n">
        <v>0</v>
      </c>
      <c r="FS83" s="9" t="n">
        <v>0</v>
      </c>
      <c r="FT83" s="9" t="n">
        <v>0</v>
      </c>
      <c r="FU83" s="9" t="n">
        <v>0</v>
      </c>
      <c r="FV83" s="9" t="n">
        <v>0</v>
      </c>
      <c r="FX83" s="9" t="n">
        <v>0</v>
      </c>
      <c r="FY83" s="9" t="n">
        <v>0</v>
      </c>
      <c r="FZ83" s="9" t="n">
        <v>0</v>
      </c>
      <c r="GA83" s="9" t="n">
        <v>0</v>
      </c>
      <c r="GB83" s="9" t="n">
        <v>0</v>
      </c>
      <c r="GC83" s="9" t="n">
        <v>0</v>
      </c>
      <c r="GD83" s="9" t="n">
        <v>0</v>
      </c>
      <c r="GE83" s="9" t="n">
        <v>0</v>
      </c>
      <c r="GF83" s="9" t="n">
        <v>0</v>
      </c>
      <c r="GG83" s="9" t="n">
        <v>0</v>
      </c>
      <c r="GH83" s="9" t="n">
        <v>0</v>
      </c>
      <c r="GI83" s="9" t="n">
        <v>0</v>
      </c>
      <c r="GJ83" s="9" t="n">
        <v>0</v>
      </c>
      <c r="GK83" s="9" t="n">
        <v>0</v>
      </c>
      <c r="GL83" s="9" t="n">
        <v>0</v>
      </c>
      <c r="GN83" s="9" t="n">
        <v>0</v>
      </c>
      <c r="GO83" s="9" t="n">
        <v>0</v>
      </c>
      <c r="GP83" s="9" t="n">
        <v>0</v>
      </c>
      <c r="GQ83" s="9" t="n">
        <v>0</v>
      </c>
      <c r="GR83" s="9" t="n">
        <v>0</v>
      </c>
      <c r="GS83" s="9" t="n">
        <v>0</v>
      </c>
      <c r="GT83" s="9" t="n">
        <v>0</v>
      </c>
      <c r="GU83" s="9" t="n">
        <v>0</v>
      </c>
      <c r="GV83" s="9" t="n">
        <v>0</v>
      </c>
      <c r="GW83" s="9" t="n">
        <v>0</v>
      </c>
      <c r="GX83" s="9" t="n">
        <v>0</v>
      </c>
      <c r="GY83" s="9" t="n">
        <v>0</v>
      </c>
      <c r="GZ83" s="9" t="n">
        <v>0</v>
      </c>
      <c r="HA83" s="9" t="n">
        <v>0</v>
      </c>
      <c r="HB83" s="9" t="n">
        <v>0</v>
      </c>
      <c r="HD83" s="9" t="n">
        <v>0</v>
      </c>
      <c r="HE83" s="9" t="n">
        <v>0</v>
      </c>
      <c r="HF83" s="9" t="n">
        <v>0</v>
      </c>
      <c r="HG83" s="9" t="n">
        <v>0</v>
      </c>
      <c r="HH83" s="9" t="n">
        <v>0</v>
      </c>
      <c r="HI83" s="9" t="n">
        <v>0</v>
      </c>
      <c r="HJ83" s="9" t="n">
        <v>0</v>
      </c>
      <c r="HK83" s="9" t="n">
        <v>0</v>
      </c>
      <c r="HL83" s="9" t="n">
        <v>0</v>
      </c>
      <c r="HM83" s="9" t="n">
        <v>0</v>
      </c>
      <c r="HN83" s="9" t="n">
        <v>0</v>
      </c>
      <c r="HO83" s="9" t="n">
        <v>0</v>
      </c>
      <c r="HP83" s="9" t="n">
        <v>0</v>
      </c>
      <c r="HQ83" s="9" t="n">
        <v>0</v>
      </c>
      <c r="HR83" s="9" t="n">
        <v>0</v>
      </c>
      <c r="HT83" s="9" t="n">
        <v>0</v>
      </c>
      <c r="HU83" s="9" t="n">
        <v>0</v>
      </c>
      <c r="HV83" s="9" t="n">
        <v>0</v>
      </c>
      <c r="HW83" s="9" t="n">
        <v>0</v>
      </c>
      <c r="HX83" s="9" t="n">
        <v>0</v>
      </c>
      <c r="HY83" s="9" t="n">
        <v>0</v>
      </c>
      <c r="HZ83" s="9" t="n">
        <v>0</v>
      </c>
      <c r="IA83" s="9" t="n">
        <v>0</v>
      </c>
      <c r="IB83" s="9" t="n">
        <v>0</v>
      </c>
      <c r="IC83" s="9" t="n">
        <v>0</v>
      </c>
      <c r="ID83" s="9" t="n">
        <v>0</v>
      </c>
      <c r="IE83" s="9" t="n">
        <v>0</v>
      </c>
      <c r="IF83" s="9" t="n">
        <v>0</v>
      </c>
      <c r="IG83" s="9" t="n">
        <v>0</v>
      </c>
      <c r="IH83" s="9" t="n">
        <v>0</v>
      </c>
      <c r="IJ83" s="9" t="n">
        <v>0</v>
      </c>
      <c r="IK83" s="9" t="n">
        <v>0</v>
      </c>
      <c r="IL83" s="9" t="n">
        <v>0</v>
      </c>
      <c r="IM83" s="9" t="n">
        <v>0</v>
      </c>
      <c r="IN83" s="9" t="n">
        <v>0</v>
      </c>
      <c r="IO83" s="9" t="n">
        <v>0</v>
      </c>
      <c r="IP83" s="9" t="n">
        <v>0</v>
      </c>
      <c r="IQ83" s="9" t="n">
        <v>0</v>
      </c>
      <c r="IR83" s="9" t="n">
        <v>0</v>
      </c>
      <c r="IS83" s="9" t="n">
        <v>0</v>
      </c>
      <c r="IT83" s="9" t="n">
        <v>0</v>
      </c>
      <c r="IU83" s="9" t="n">
        <v>0</v>
      </c>
      <c r="IV83" s="9" t="n">
        <v>0</v>
      </c>
      <c r="IW83" s="9" t="n">
        <v>0</v>
      </c>
      <c r="IX83" s="9" t="n">
        <v>0</v>
      </c>
    </row>
    <row r="84">
      <c r="EA84" s="9" t="n">
        <v>4</v>
      </c>
      <c r="EB84" s="9" t="n">
        <v>0</v>
      </c>
      <c r="EC84" s="9" t="n">
        <v>0</v>
      </c>
      <c r="ED84" s="9" t="n">
        <v>0</v>
      </c>
      <c r="EE84" s="9" t="n">
        <v>0</v>
      </c>
      <c r="EF84" s="9" t="n">
        <v>0</v>
      </c>
      <c r="EG84" s="9" t="n">
        <v>0</v>
      </c>
      <c r="EH84" s="9" t="n">
        <v>0</v>
      </c>
      <c r="EI84" s="9" t="n">
        <v>0</v>
      </c>
      <c r="EJ84" s="9" t="n">
        <v>0</v>
      </c>
      <c r="EK84" s="9" t="n">
        <v>0</v>
      </c>
      <c r="EL84" s="9" t="n">
        <v>0</v>
      </c>
      <c r="EM84" s="9" t="n">
        <v>0</v>
      </c>
      <c r="EN84" s="9" t="n">
        <v>0</v>
      </c>
      <c r="EO84" s="9" t="n">
        <v>0</v>
      </c>
      <c r="EP84" s="9" t="n">
        <v>0</v>
      </c>
      <c r="ER84" s="9" t="n">
        <v>0</v>
      </c>
      <c r="ES84" s="9" t="n">
        <v>0</v>
      </c>
      <c r="ET84" s="9" t="n">
        <v>0</v>
      </c>
      <c r="EU84" s="9" t="n">
        <v>0</v>
      </c>
      <c r="EV84" s="9" t="n">
        <v>0</v>
      </c>
      <c r="EW84" s="9" t="n">
        <v>0</v>
      </c>
      <c r="EX84" s="9" t="n">
        <v>0</v>
      </c>
      <c r="EY84" s="9" t="n">
        <v>0</v>
      </c>
      <c r="EZ84" s="9" t="n">
        <v>0</v>
      </c>
      <c r="FA84" s="9" t="n">
        <v>0</v>
      </c>
      <c r="FB84" s="9" t="n">
        <v>0</v>
      </c>
      <c r="FC84" s="9" t="n">
        <v>0</v>
      </c>
      <c r="FD84" s="9" t="n">
        <v>0</v>
      </c>
      <c r="FE84" s="9" t="n">
        <v>0</v>
      </c>
      <c r="FF84" s="9" t="n">
        <v>0</v>
      </c>
      <c r="FH84" s="9" t="n">
        <v>0</v>
      </c>
      <c r="FI84" s="9" t="n">
        <v>0</v>
      </c>
      <c r="FJ84" s="9" t="n">
        <v>0</v>
      </c>
      <c r="FK84" s="9" t="n">
        <v>0</v>
      </c>
      <c r="FL84" s="9" t="n">
        <v>0</v>
      </c>
      <c r="FM84" s="9" t="n">
        <v>0</v>
      </c>
      <c r="FN84" s="9" t="n">
        <v>0</v>
      </c>
      <c r="FO84" s="9" t="n">
        <v>0</v>
      </c>
      <c r="FP84" s="9" t="n">
        <v>0</v>
      </c>
      <c r="FQ84" s="9" t="n">
        <v>0</v>
      </c>
      <c r="FR84" s="9" t="n">
        <v>0</v>
      </c>
      <c r="FS84" s="9" t="n">
        <v>0</v>
      </c>
      <c r="FT84" s="9" t="n">
        <v>0</v>
      </c>
      <c r="FU84" s="9" t="n">
        <v>0</v>
      </c>
      <c r="FV84" s="9" t="n">
        <v>0</v>
      </c>
      <c r="FX84" s="9" t="n">
        <v>0</v>
      </c>
      <c r="FY84" s="9" t="n">
        <v>0</v>
      </c>
      <c r="FZ84" s="9" t="n">
        <v>0</v>
      </c>
      <c r="GA84" s="9" t="n">
        <v>0</v>
      </c>
      <c r="GB84" s="9" t="n">
        <v>0</v>
      </c>
      <c r="GC84" s="9" t="n">
        <v>0</v>
      </c>
      <c r="GD84" s="9" t="n">
        <v>0</v>
      </c>
      <c r="GE84" s="9" t="n">
        <v>0</v>
      </c>
      <c r="GF84" s="9" t="n">
        <v>0</v>
      </c>
      <c r="GG84" s="9" t="n">
        <v>0</v>
      </c>
      <c r="GH84" s="9" t="n">
        <v>0</v>
      </c>
      <c r="GI84" s="9" t="n">
        <v>0</v>
      </c>
      <c r="GJ84" s="9" t="n">
        <v>0</v>
      </c>
      <c r="GK84" s="9" t="n">
        <v>0</v>
      </c>
      <c r="GL84" s="9" t="n">
        <v>0</v>
      </c>
      <c r="GN84" s="9" t="n">
        <v>0</v>
      </c>
      <c r="GO84" s="9" t="n">
        <v>0</v>
      </c>
      <c r="GP84" s="9" t="n">
        <v>0</v>
      </c>
      <c r="GQ84" s="9" t="n">
        <v>0</v>
      </c>
      <c r="GR84" s="9" t="n">
        <v>0</v>
      </c>
      <c r="GS84" s="9" t="n">
        <v>0</v>
      </c>
      <c r="GT84" s="9" t="n">
        <v>0</v>
      </c>
      <c r="GU84" s="9" t="n">
        <v>0</v>
      </c>
      <c r="GV84" s="9" t="n">
        <v>0</v>
      </c>
      <c r="GW84" s="9" t="n">
        <v>0</v>
      </c>
      <c r="GX84" s="9" t="n">
        <v>0</v>
      </c>
      <c r="GY84" s="9" t="n">
        <v>0</v>
      </c>
      <c r="GZ84" s="9" t="n">
        <v>0</v>
      </c>
      <c r="HA84" s="9" t="n">
        <v>0</v>
      </c>
      <c r="HB84" s="9" t="n">
        <v>0</v>
      </c>
      <c r="HD84" s="9" t="n">
        <v>0</v>
      </c>
      <c r="HE84" s="9" t="n">
        <v>0</v>
      </c>
      <c r="HF84" s="9" t="n">
        <v>0</v>
      </c>
      <c r="HG84" s="9" t="n">
        <v>0</v>
      </c>
      <c r="HH84" s="9" t="n">
        <v>0</v>
      </c>
      <c r="HI84" s="9" t="n">
        <v>0</v>
      </c>
      <c r="HJ84" s="9" t="n">
        <v>0</v>
      </c>
      <c r="HK84" s="9" t="n">
        <v>0</v>
      </c>
      <c r="HL84" s="9" t="n">
        <v>0</v>
      </c>
      <c r="HM84" s="9" t="n">
        <v>0</v>
      </c>
      <c r="HN84" s="9" t="n">
        <v>0</v>
      </c>
      <c r="HO84" s="9" t="n">
        <v>0</v>
      </c>
      <c r="HP84" s="9" t="n">
        <v>0</v>
      </c>
      <c r="HQ84" s="9" t="n">
        <v>0</v>
      </c>
      <c r="HR84" s="9" t="n">
        <v>0</v>
      </c>
      <c r="HT84" s="9" t="n">
        <v>0</v>
      </c>
      <c r="HU84" s="9" t="n">
        <v>0</v>
      </c>
      <c r="HV84" s="9" t="n">
        <v>0</v>
      </c>
      <c r="HW84" s="9" t="n">
        <v>0</v>
      </c>
      <c r="HX84" s="9" t="n">
        <v>0</v>
      </c>
      <c r="HY84" s="9" t="n">
        <v>0</v>
      </c>
      <c r="HZ84" s="9" t="n">
        <v>0</v>
      </c>
      <c r="IA84" s="9" t="n">
        <v>0</v>
      </c>
      <c r="IB84" s="9" t="n">
        <v>0</v>
      </c>
      <c r="IC84" s="9" t="n">
        <v>0</v>
      </c>
      <c r="ID84" s="9" t="n">
        <v>0</v>
      </c>
      <c r="IE84" s="9" t="n">
        <v>0</v>
      </c>
      <c r="IF84" s="9" t="n">
        <v>0</v>
      </c>
      <c r="IG84" s="9" t="n">
        <v>0</v>
      </c>
      <c r="IH84" s="9" t="n">
        <v>0</v>
      </c>
      <c r="IJ84" s="9" t="n">
        <v>0</v>
      </c>
      <c r="IK84" s="9" t="n">
        <v>0</v>
      </c>
      <c r="IL84" s="9" t="n">
        <v>0</v>
      </c>
      <c r="IM84" s="9" t="n">
        <v>0</v>
      </c>
      <c r="IN84" s="9" t="n">
        <v>0</v>
      </c>
      <c r="IO84" s="9" t="n">
        <v>0</v>
      </c>
      <c r="IP84" s="9" t="n">
        <v>0</v>
      </c>
      <c r="IQ84" s="9" t="n">
        <v>0</v>
      </c>
      <c r="IR84" s="9" t="n">
        <v>0</v>
      </c>
      <c r="IS84" s="9" t="n">
        <v>0</v>
      </c>
      <c r="IT84" s="9" t="n">
        <v>0</v>
      </c>
      <c r="IU84" s="9" t="n">
        <v>0</v>
      </c>
      <c r="IV84" s="9" t="n">
        <v>0</v>
      </c>
      <c r="IW84" s="9" t="n">
        <v>0</v>
      </c>
      <c r="IX84" s="9" t="n">
        <v>0</v>
      </c>
    </row>
    <row r="85">
      <c r="B85" s="9" t="inlineStr">
        <is>
          <t>WS 1101 (251124)</t>
        </is>
      </c>
      <c r="C85" s="9" t="inlineStr">
        <is>
          <t>WS 1101 (220526)</t>
        </is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R85" s="9" t="inlineStr">
        <is>
          <t>WS 1102 (290825)</t>
        </is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  <c r="AH85" s="9" t="inlineStr">
        <is>
          <t>WS 1103 (290825)</t>
        </is>
      </c>
      <c r="AI85" s="9" t="inlineStr">
        <is>
          <t>WS 1103 (220526)</t>
        </is>
      </c>
      <c r="AJ85" s="9" t="n">
        <v>0</v>
      </c>
      <c r="AK85" s="9" t="n">
        <v>0</v>
      </c>
      <c r="AL85" s="9" t="n">
        <v>0</v>
      </c>
      <c r="AM85" s="9" t="n">
        <v>0</v>
      </c>
      <c r="AN85" s="9" t="n">
        <v>0</v>
      </c>
      <c r="AO85" s="9" t="n">
        <v>0</v>
      </c>
      <c r="AP85" s="9" t="n">
        <v>0</v>
      </c>
      <c r="AQ85" s="9" t="n">
        <v>0</v>
      </c>
      <c r="AR85" s="9" t="n">
        <v>0</v>
      </c>
      <c r="AS85" s="9" t="n">
        <v>0</v>
      </c>
      <c r="AT85" s="9" t="n">
        <v>0</v>
      </c>
      <c r="AU85" s="9" t="n">
        <v>0</v>
      </c>
      <c r="AV85" s="9" t="n">
        <v>0</v>
      </c>
      <c r="AX85" s="9" t="n">
        <v>0</v>
      </c>
      <c r="AY85" s="9" t="n">
        <v>0</v>
      </c>
      <c r="AZ85" s="9" t="n">
        <v>0</v>
      </c>
      <c r="BA85" s="9" t="n">
        <v>0</v>
      </c>
      <c r="BB85" s="9" t="n">
        <v>0</v>
      </c>
      <c r="BC85" s="9" t="n">
        <v>0</v>
      </c>
      <c r="BD85" s="9" t="n">
        <v>0</v>
      </c>
      <c r="BE85" s="9" t="n">
        <v>0</v>
      </c>
      <c r="BF85" s="9" t="n">
        <v>0</v>
      </c>
      <c r="BG85" s="9" t="n">
        <v>0</v>
      </c>
      <c r="BH85" s="9" t="n">
        <v>0</v>
      </c>
      <c r="BI85" s="9" t="n">
        <v>0</v>
      </c>
      <c r="BJ85" s="9" t="n">
        <v>0</v>
      </c>
      <c r="BK85" s="9" t="n">
        <v>0</v>
      </c>
      <c r="BL85" s="9" t="n">
        <v>0</v>
      </c>
      <c r="BN85" s="9" t="inlineStr">
        <is>
          <t>WS 8100 (290825)</t>
        </is>
      </c>
      <c r="BO85" s="9" t="inlineStr">
        <is>
          <t>WS 8100 (280426)</t>
        </is>
      </c>
      <c r="BP85" s="9" t="n">
        <v>0</v>
      </c>
      <c r="BQ85" s="9" t="inlineStr">
        <is>
          <t>WS 8102 (290825)</t>
        </is>
      </c>
      <c r="BR85" s="9" t="inlineStr">
        <is>
          <t>WS 8102 (121225)</t>
        </is>
      </c>
      <c r="BS85" s="9" t="inlineStr">
        <is>
          <t>WS 8102 (020326)</t>
        </is>
      </c>
      <c r="BT85" s="9" t="inlineStr">
        <is>
          <t>WS 8102 (020326)</t>
        </is>
      </c>
      <c r="BU85" s="9" t="inlineStr">
        <is>
          <t>WS 8102 (060526)</t>
        </is>
      </c>
      <c r="BV85" s="9" t="inlineStr">
        <is>
          <t>WS 8102 (060526)</t>
        </is>
      </c>
      <c r="BW85" s="9" t="inlineStr">
        <is>
          <t>WS 8103 (070526)</t>
        </is>
      </c>
      <c r="BX85" s="9" t="inlineStr">
        <is>
          <t>WS 8102 (070526)</t>
        </is>
      </c>
      <c r="BY85" s="9" t="inlineStr">
        <is>
          <t>WS 8103 (061125)</t>
        </is>
      </c>
      <c r="BZ85" s="9" t="inlineStr">
        <is>
          <t>WS 8103 (250226)</t>
        </is>
      </c>
      <c r="CA85" s="9" t="inlineStr">
        <is>
          <t>WS 8102 (080526)</t>
        </is>
      </c>
      <c r="CB85" s="9" t="inlineStr">
        <is>
          <t>WS 8109 (080526)</t>
        </is>
      </c>
      <c r="CD85" s="9" t="inlineStr">
        <is>
          <t>YH 121 (050226)</t>
        </is>
      </c>
      <c r="CE85" s="9" t="inlineStr">
        <is>
          <t>YH 121 (190326)</t>
        </is>
      </c>
      <c r="CF85" s="9" t="inlineStr">
        <is>
          <t>YH 121 (020426)</t>
        </is>
      </c>
      <c r="CG85" s="9" t="n">
        <v>0</v>
      </c>
      <c r="CH85" s="9" t="n">
        <v>0</v>
      </c>
      <c r="CI85" s="9" t="n">
        <v>0</v>
      </c>
      <c r="CJ85" s="9" t="n">
        <v>0</v>
      </c>
      <c r="CK85" s="9" t="n">
        <v>0</v>
      </c>
      <c r="CL85" s="9" t="n">
        <v>0</v>
      </c>
      <c r="CM85" s="9" t="inlineStr">
        <is>
          <t>311 (130526)</t>
        </is>
      </c>
      <c r="CN85" s="9" t="inlineStr">
        <is>
          <t>312 (130526)</t>
        </is>
      </c>
      <c r="CO85" s="9" t="n">
        <v>0</v>
      </c>
      <c r="CP85" s="9" t="n">
        <v>0</v>
      </c>
      <c r="CQ85" s="9" t="n">
        <v>0</v>
      </c>
      <c r="CR85" s="9" t="n">
        <v>0</v>
      </c>
      <c r="CT85" s="9" t="inlineStr">
        <is>
          <t>YH 122 (050226)</t>
        </is>
      </c>
      <c r="CU85" s="9" t="inlineStr">
        <is>
          <t>YH 122 (190326)</t>
        </is>
      </c>
      <c r="CV85" s="9" t="inlineStr">
        <is>
          <t>YH 122 (200426)</t>
        </is>
      </c>
      <c r="CW85" s="9" t="n">
        <v>0</v>
      </c>
      <c r="CX85" s="9" t="n">
        <v>0</v>
      </c>
      <c r="CY85" s="9" t="n">
        <v>0</v>
      </c>
      <c r="CZ85" s="9" t="inlineStr">
        <is>
          <t>5201 (090426)</t>
        </is>
      </c>
      <c r="DA85" s="9" t="inlineStr">
        <is>
          <t>5201 (090426)</t>
        </is>
      </c>
      <c r="DB85" s="9" t="n">
        <v>0</v>
      </c>
      <c r="DC85" s="9" t="inlineStr">
        <is>
          <t>5202 (090426)</t>
        </is>
      </c>
      <c r="DD85" s="9" t="inlineStr">
        <is>
          <t>5202 (090426)</t>
        </is>
      </c>
      <c r="DE85" s="9" t="n">
        <v>0</v>
      </c>
      <c r="DF85" s="9" t="inlineStr">
        <is>
          <t>5203 (090426)</t>
        </is>
      </c>
      <c r="DG85" s="9" t="inlineStr">
        <is>
          <t>5203 (090426)</t>
        </is>
      </c>
      <c r="DH85" s="9" t="n">
        <v>0</v>
      </c>
      <c r="DJ85" s="9" t="inlineStr">
        <is>
          <t>YH 123 (050226)</t>
        </is>
      </c>
      <c r="DK85" s="9" t="inlineStr">
        <is>
          <t>YH 123 (130326)</t>
        </is>
      </c>
      <c r="DL85" s="9" t="inlineStr">
        <is>
          <t>YH 123 (190326)</t>
        </is>
      </c>
      <c r="DM85" s="9" t="inlineStr">
        <is>
          <t>YH 123 (200426)</t>
        </is>
      </c>
      <c r="DN85" s="9" t="n">
        <v>0</v>
      </c>
      <c r="DO85" s="9" t="n">
        <v>0</v>
      </c>
      <c r="DP85" s="9" t="n">
        <v>0</v>
      </c>
      <c r="DQ85" s="9" t="n">
        <v>0</v>
      </c>
      <c r="DR85" s="9" t="n">
        <v>0</v>
      </c>
      <c r="DS85" s="9" t="n">
        <v>0</v>
      </c>
      <c r="DT85" s="9" t="n">
        <v>0</v>
      </c>
      <c r="DU85" s="9" t="n">
        <v>0</v>
      </c>
      <c r="DV85" s="9" t="n">
        <v>0</v>
      </c>
      <c r="DW85" s="9" t="n">
        <v>0</v>
      </c>
      <c r="DX85" s="9" t="n">
        <v>0</v>
      </c>
      <c r="EA85" s="9" t="n">
        <v>5</v>
      </c>
      <c r="EB85" s="9" t="n">
        <v>0</v>
      </c>
      <c r="EC85" s="9" t="n">
        <v>0</v>
      </c>
      <c r="ED85" s="9" t="n">
        <v>0</v>
      </c>
      <c r="EE85" s="9" t="n">
        <v>0</v>
      </c>
      <c r="EF85" s="9" t="n">
        <v>0</v>
      </c>
      <c r="EG85" s="9" t="n">
        <v>0</v>
      </c>
      <c r="EH85" s="9" t="n">
        <v>0</v>
      </c>
      <c r="EI85" s="9" t="n">
        <v>0</v>
      </c>
      <c r="EJ85" s="9" t="n">
        <v>0</v>
      </c>
      <c r="EK85" s="9" t="n">
        <v>0</v>
      </c>
      <c r="EL85" s="9" t="n">
        <v>0</v>
      </c>
      <c r="EM85" s="9" t="n">
        <v>0</v>
      </c>
      <c r="EN85" s="9" t="n">
        <v>0</v>
      </c>
      <c r="EO85" s="9" t="n">
        <v>0</v>
      </c>
      <c r="EP85" s="9" t="n">
        <v>0</v>
      </c>
      <c r="ER85" s="9" t="n">
        <v>0</v>
      </c>
      <c r="ES85" s="9" t="n">
        <v>0</v>
      </c>
      <c r="ET85" s="9" t="n">
        <v>0</v>
      </c>
      <c r="EU85" s="9" t="n">
        <v>0</v>
      </c>
      <c r="EV85" s="9" t="n">
        <v>0</v>
      </c>
      <c r="EW85" s="9" t="n">
        <v>0</v>
      </c>
      <c r="EX85" s="9" t="n">
        <v>0</v>
      </c>
      <c r="EY85" s="9" t="n">
        <v>0</v>
      </c>
      <c r="EZ85" s="9" t="n">
        <v>0</v>
      </c>
      <c r="FA85" s="9" t="n">
        <v>0</v>
      </c>
      <c r="FB85" s="9" t="n">
        <v>0</v>
      </c>
      <c r="FC85" s="9" t="n">
        <v>0</v>
      </c>
      <c r="FD85" s="9" t="n">
        <v>0</v>
      </c>
      <c r="FE85" s="9" t="n">
        <v>0</v>
      </c>
      <c r="FF85" s="9" t="n">
        <v>0</v>
      </c>
      <c r="FH85" s="9" t="n">
        <v>0</v>
      </c>
      <c r="FI85" s="9" t="n">
        <v>0</v>
      </c>
      <c r="FJ85" s="9" t="n">
        <v>0</v>
      </c>
      <c r="FK85" s="9" t="n">
        <v>0</v>
      </c>
      <c r="FL85" s="9" t="n">
        <v>0</v>
      </c>
      <c r="FM85" s="9" t="n">
        <v>0</v>
      </c>
      <c r="FN85" s="9" t="n">
        <v>0</v>
      </c>
      <c r="FO85" s="9" t="n">
        <v>0</v>
      </c>
      <c r="FP85" s="9" t="n">
        <v>0</v>
      </c>
      <c r="FQ85" s="9" t="n">
        <v>0</v>
      </c>
      <c r="FR85" s="9" t="n">
        <v>0</v>
      </c>
      <c r="FS85" s="9" t="n">
        <v>0</v>
      </c>
      <c r="FT85" s="9" t="n">
        <v>0</v>
      </c>
      <c r="FU85" s="9" t="n">
        <v>0</v>
      </c>
      <c r="FV85" s="9" t="n">
        <v>0</v>
      </c>
      <c r="FX85" s="9" t="n">
        <v>0</v>
      </c>
      <c r="FY85" s="9" t="n">
        <v>0</v>
      </c>
      <c r="FZ85" s="9" t="n">
        <v>0</v>
      </c>
      <c r="GA85" s="9" t="n">
        <v>0</v>
      </c>
      <c r="GB85" s="9" t="n">
        <v>0</v>
      </c>
      <c r="GC85" s="9" t="n">
        <v>0</v>
      </c>
      <c r="GD85" s="9" t="n">
        <v>0</v>
      </c>
      <c r="GE85" s="9" t="n">
        <v>0</v>
      </c>
      <c r="GF85" s="9" t="n">
        <v>0</v>
      </c>
      <c r="GG85" s="9" t="n">
        <v>0</v>
      </c>
      <c r="GH85" s="9" t="n">
        <v>0</v>
      </c>
      <c r="GI85" s="9" t="n">
        <v>0</v>
      </c>
      <c r="GJ85" s="9" t="n">
        <v>0</v>
      </c>
      <c r="GK85" s="9" t="n">
        <v>0</v>
      </c>
      <c r="GL85" s="9" t="n">
        <v>0</v>
      </c>
      <c r="GN85" s="9" t="n">
        <v>0</v>
      </c>
      <c r="GO85" s="9" t="n">
        <v>0</v>
      </c>
      <c r="GP85" s="9" t="n">
        <v>0</v>
      </c>
      <c r="GQ85" s="9" t="n">
        <v>0</v>
      </c>
      <c r="GR85" s="9" t="n">
        <v>0</v>
      </c>
      <c r="GS85" s="9" t="n">
        <v>0</v>
      </c>
      <c r="GT85" s="9" t="n">
        <v>0</v>
      </c>
      <c r="GU85" s="9" t="n">
        <v>0</v>
      </c>
      <c r="GV85" s="9" t="n">
        <v>0</v>
      </c>
      <c r="GW85" s="9" t="n">
        <v>0</v>
      </c>
      <c r="GX85" s="9" t="n">
        <v>0</v>
      </c>
      <c r="GY85" s="9" t="n">
        <v>0</v>
      </c>
      <c r="GZ85" s="9" t="n">
        <v>0</v>
      </c>
      <c r="HA85" s="9" t="n">
        <v>0</v>
      </c>
      <c r="HB85" s="9" t="n">
        <v>0</v>
      </c>
      <c r="HD85" s="9" t="n">
        <v>0</v>
      </c>
      <c r="HE85" s="9" t="n">
        <v>0</v>
      </c>
      <c r="HF85" s="9" t="n">
        <v>0</v>
      </c>
      <c r="HG85" s="9" t="n">
        <v>0</v>
      </c>
      <c r="HH85" s="9" t="n">
        <v>0</v>
      </c>
      <c r="HI85" s="9" t="n">
        <v>0</v>
      </c>
      <c r="HJ85" s="9" t="n">
        <v>0</v>
      </c>
      <c r="HK85" s="9" t="n">
        <v>0</v>
      </c>
      <c r="HL85" s="9" t="n">
        <v>0</v>
      </c>
      <c r="HM85" s="9" t="n">
        <v>0</v>
      </c>
      <c r="HN85" s="9" t="n">
        <v>0</v>
      </c>
      <c r="HO85" s="9" t="n">
        <v>0</v>
      </c>
      <c r="HP85" s="9" t="n">
        <v>0</v>
      </c>
      <c r="HQ85" s="9" t="n">
        <v>0</v>
      </c>
      <c r="HR85" s="9" t="n">
        <v>0</v>
      </c>
      <c r="HT85" s="9" t="n">
        <v>0</v>
      </c>
      <c r="HU85" s="9" t="n">
        <v>0</v>
      </c>
      <c r="HV85" s="9" t="n">
        <v>0</v>
      </c>
      <c r="HW85" s="9" t="n">
        <v>0</v>
      </c>
      <c r="HX85" s="9" t="n">
        <v>0</v>
      </c>
      <c r="HY85" s="9" t="n">
        <v>0</v>
      </c>
      <c r="HZ85" s="9" t="n">
        <v>0</v>
      </c>
      <c r="IA85" s="9" t="n">
        <v>0</v>
      </c>
      <c r="IB85" s="9" t="n">
        <v>0</v>
      </c>
      <c r="IC85" s="9" t="n">
        <v>0</v>
      </c>
      <c r="ID85" s="9" t="n">
        <v>0</v>
      </c>
      <c r="IE85" s="9" t="n">
        <v>0</v>
      </c>
      <c r="IF85" s="9" t="n">
        <v>0</v>
      </c>
      <c r="IG85" s="9" t="n">
        <v>0</v>
      </c>
      <c r="IH85" s="9" t="n">
        <v>0</v>
      </c>
      <c r="IJ85" s="9" t="n">
        <v>0</v>
      </c>
      <c r="IK85" s="9" t="n">
        <v>0</v>
      </c>
      <c r="IL85" s="9" t="n">
        <v>0</v>
      </c>
      <c r="IM85" s="9" t="n">
        <v>0</v>
      </c>
      <c r="IN85" s="9" t="n">
        <v>0</v>
      </c>
      <c r="IO85" s="9" t="n">
        <v>0</v>
      </c>
      <c r="IP85" s="9" t="n">
        <v>0</v>
      </c>
      <c r="IQ85" s="9" t="n">
        <v>0</v>
      </c>
      <c r="IR85" s="9" t="n">
        <v>0</v>
      </c>
      <c r="IS85" s="9" t="n">
        <v>0</v>
      </c>
      <c r="IT85" s="9" t="n">
        <v>0</v>
      </c>
      <c r="IU85" s="9" t="n">
        <v>0</v>
      </c>
      <c r="IV85" s="9" t="n">
        <v>0</v>
      </c>
      <c r="IW85" s="9" t="n">
        <v>0</v>
      </c>
      <c r="IX85" s="9" t="n">
        <v>0</v>
      </c>
    </row>
    <row r="86">
      <c r="A86" s="9" t="inlineStr">
        <is>
          <t>MARCH</t>
        </is>
      </c>
      <c r="B86" s="9" t="inlineStr">
        <is>
          <t>N01309AY</t>
        </is>
      </c>
      <c r="C86" s="9" t="n">
        <v>0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R86" s="9" t="inlineStr">
        <is>
          <t>N025-06</t>
        </is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H86" s="9" t="inlineStr">
        <is>
          <t>N035-06</t>
        </is>
      </c>
      <c r="AI86" s="9" t="inlineStr">
        <is>
          <t>WITH 1103 TOP UP</t>
        </is>
      </c>
      <c r="AJ86" s="9" t="n">
        <v>0</v>
      </c>
      <c r="AK86" s="9" t="n">
        <v>0</v>
      </c>
      <c r="AL86" s="9" t="n">
        <v>0</v>
      </c>
      <c r="AM86" s="9" t="n">
        <v>0</v>
      </c>
      <c r="AN86" s="9" t="n">
        <v>0</v>
      </c>
      <c r="AO86" s="9" t="n">
        <v>0</v>
      </c>
      <c r="AP86" s="9" t="n">
        <v>0</v>
      </c>
      <c r="AQ86" s="9" t="n">
        <v>0</v>
      </c>
      <c r="AR86" s="9" t="n">
        <v>0</v>
      </c>
      <c r="AS86" s="9" t="n">
        <v>0</v>
      </c>
      <c r="AT86" s="9" t="n">
        <v>0</v>
      </c>
      <c r="AU86" s="9" t="n">
        <v>0</v>
      </c>
      <c r="AV86" s="9" t="n">
        <v>0</v>
      </c>
      <c r="AX86" s="9" t="n">
        <v>0</v>
      </c>
      <c r="AY86" s="9" t="n">
        <v>0</v>
      </c>
      <c r="AZ86" s="9" t="n">
        <v>0</v>
      </c>
      <c r="BA86" s="9" t="n">
        <v>0</v>
      </c>
      <c r="BB86" s="9" t="n">
        <v>0</v>
      </c>
      <c r="BC86" s="9" t="n">
        <v>0</v>
      </c>
      <c r="BD86" s="9" t="n">
        <v>0</v>
      </c>
      <c r="BE86" s="9" t="n">
        <v>0</v>
      </c>
      <c r="BF86" s="9" t="n">
        <v>0</v>
      </c>
      <c r="BG86" s="9" t="n">
        <v>0</v>
      </c>
      <c r="BH86" s="9" t="n">
        <v>0</v>
      </c>
      <c r="BI86" s="9" t="n">
        <v>0</v>
      </c>
      <c r="BJ86" s="9" t="n">
        <v>0</v>
      </c>
      <c r="BK86" s="9" t="n">
        <v>0</v>
      </c>
      <c r="BL86" s="9" t="n">
        <v>0</v>
      </c>
      <c r="BN86" s="9" t="inlineStr">
        <is>
          <t>NR 14-04</t>
        </is>
      </c>
      <c r="BO86" s="9" t="n">
        <v>0</v>
      </c>
      <c r="BP86" s="9" t="n">
        <v>0</v>
      </c>
      <c r="BQ86" s="9" t="inlineStr">
        <is>
          <t>NR 24-04Z</t>
        </is>
      </c>
      <c r="BR86" s="9" t="inlineStr">
        <is>
          <t>WITH BMD</t>
        </is>
      </c>
      <c r="BS86" s="9" t="inlineStr">
        <is>
          <t>8102 Top Up&amp;PM 8108</t>
        </is>
      </c>
      <c r="BT86" s="9" t="inlineStr">
        <is>
          <t>8102 Top Up&amp;PM 8102</t>
        </is>
      </c>
      <c r="BU86" s="9" t="inlineStr">
        <is>
          <t>8102 Top Up&amp;PM 8102</t>
        </is>
      </c>
      <c r="BV86" s="9" t="inlineStr">
        <is>
          <t>8102 Top Up&amp;PM 8108</t>
        </is>
      </c>
      <c r="BW86" s="9" t="inlineStr">
        <is>
          <t>8103 Top Up&amp;PM 8103</t>
        </is>
      </c>
      <c r="BX86" s="9" t="inlineStr">
        <is>
          <t>8103 Top Up&amp;PM 8109</t>
        </is>
      </c>
      <c r="BY86" s="9" t="inlineStr">
        <is>
          <t xml:space="preserve">NR 34-04 </t>
        </is>
      </c>
      <c r="BZ86" s="9" t="inlineStr">
        <is>
          <t xml:space="preserve">NR 34-04 </t>
        </is>
      </c>
      <c r="CA86" s="9" t="inlineStr">
        <is>
          <t>8102 TOP UP</t>
        </is>
      </c>
      <c r="CB86" s="9" t="inlineStr">
        <is>
          <t>8103 TOP UP</t>
        </is>
      </c>
      <c r="CD86" s="9" t="inlineStr">
        <is>
          <t>SOYTIDE&amp;TOXISORB</t>
        </is>
      </c>
      <c r="CE86" s="9" t="inlineStr">
        <is>
          <t>SOYTIDE&amp;TOXIWALL</t>
        </is>
      </c>
      <c r="CF86" s="9" t="inlineStr">
        <is>
          <t>EP 200&amp;TOXIWALL</t>
        </is>
      </c>
      <c r="CG86" s="9" t="n">
        <v>0</v>
      </c>
      <c r="CH86" s="9" t="n">
        <v>0</v>
      </c>
      <c r="CI86" s="9" t="n">
        <v>0</v>
      </c>
      <c r="CJ86" s="9" t="n">
        <v>0</v>
      </c>
      <c r="CK86" s="9" t="n">
        <v>0</v>
      </c>
      <c r="CL86" s="9" t="n">
        <v>0</v>
      </c>
      <c r="CM86" s="9" t="n">
        <v>0</v>
      </c>
      <c r="CN86" s="9" t="n">
        <v>0</v>
      </c>
      <c r="CO86" s="9" t="n">
        <v>0</v>
      </c>
      <c r="CP86" s="9" t="n">
        <v>0</v>
      </c>
      <c r="CQ86" s="9" t="n">
        <v>0</v>
      </c>
      <c r="CR86" s="9" t="n">
        <v>0</v>
      </c>
      <c r="CT86" s="9" t="inlineStr">
        <is>
          <t>WITH TOXISORB</t>
        </is>
      </c>
      <c r="CU86" s="9" t="inlineStr">
        <is>
          <t>WITH TOXIWALL</t>
        </is>
      </c>
      <c r="CV86" s="9" t="inlineStr">
        <is>
          <t>WITH TOXIWALL, YM 20.50kg</t>
        </is>
      </c>
      <c r="CW86" s="9" t="n">
        <v>0</v>
      </c>
      <c r="CX86" s="9" t="n">
        <v>0</v>
      </c>
      <c r="CY86" s="9" t="n">
        <v>0</v>
      </c>
      <c r="CZ86" s="9" t="n">
        <v>0</v>
      </c>
      <c r="DA86" s="9" t="inlineStr">
        <is>
          <t>REDUCE CORN FOR 2MT</t>
        </is>
      </c>
      <c r="DB86" s="9" t="n">
        <v>0</v>
      </c>
      <c r="DC86" s="9" t="n">
        <v>0</v>
      </c>
      <c r="DD86" s="9" t="inlineStr">
        <is>
          <t>K20</t>
        </is>
      </c>
      <c r="DE86" s="9" t="n">
        <v>0</v>
      </c>
      <c r="DF86" s="9" t="inlineStr">
        <is>
          <t>ALREADY 2MT</t>
        </is>
      </c>
      <c r="DG86" s="9" t="inlineStr">
        <is>
          <t>K21</t>
        </is>
      </c>
      <c r="DH86" s="9" t="n">
        <v>0</v>
      </c>
      <c r="DJ86" s="9" t="inlineStr">
        <is>
          <t>WITH TOXISORB</t>
        </is>
      </c>
      <c r="DK86" s="9" t="inlineStr">
        <is>
          <t>WITHOUT WHEAT POLLARD</t>
        </is>
      </c>
      <c r="DL86" s="9" t="inlineStr">
        <is>
          <t>WITH TOXIWALL</t>
        </is>
      </c>
      <c r="DM86" s="9" t="inlineStr">
        <is>
          <t>WITH TOXIWALL, YM 20.00kg</t>
        </is>
      </c>
      <c r="DN86" s="9" t="n">
        <v>0</v>
      </c>
      <c r="DO86" s="9" t="n">
        <v>0</v>
      </c>
      <c r="DP86" s="9" t="n">
        <v>0</v>
      </c>
      <c r="DQ86" s="9" t="n">
        <v>0</v>
      </c>
      <c r="DR86" s="9" t="n">
        <v>0</v>
      </c>
      <c r="DS86" s="9" t="n">
        <v>0</v>
      </c>
      <c r="DT86" s="9" t="n">
        <v>0</v>
      </c>
      <c r="DU86" s="9" t="n">
        <v>0</v>
      </c>
      <c r="DV86" s="9" t="n">
        <v>0</v>
      </c>
      <c r="DW86" s="9" t="n">
        <v>0</v>
      </c>
      <c r="DX86" s="9" t="n">
        <v>0</v>
      </c>
      <c r="EA86" s="9" t="n">
        <v>6</v>
      </c>
      <c r="EB86" s="9" t="n">
        <v>0</v>
      </c>
      <c r="EC86" s="9" t="n">
        <v>0</v>
      </c>
      <c r="ED86" s="9" t="n">
        <v>0</v>
      </c>
      <c r="EE86" s="9" t="n">
        <v>0</v>
      </c>
      <c r="EF86" s="9" t="n">
        <v>0</v>
      </c>
      <c r="EG86" s="9" t="n">
        <v>0</v>
      </c>
      <c r="EH86" s="9" t="n">
        <v>0</v>
      </c>
      <c r="EI86" s="9" t="n">
        <v>0</v>
      </c>
      <c r="EJ86" s="9" t="n">
        <v>0</v>
      </c>
      <c r="EK86" s="9" t="n">
        <v>0</v>
      </c>
      <c r="EL86" s="9" t="n">
        <v>0</v>
      </c>
      <c r="EM86" s="9" t="n">
        <v>0</v>
      </c>
      <c r="EN86" s="9" t="n">
        <v>0</v>
      </c>
      <c r="EO86" s="9" t="n">
        <v>0</v>
      </c>
      <c r="EP86" s="9" t="n">
        <v>0</v>
      </c>
      <c r="ER86" s="9" t="n">
        <v>0</v>
      </c>
      <c r="ES86" s="9" t="n">
        <v>0</v>
      </c>
      <c r="ET86" s="9" t="n">
        <v>0</v>
      </c>
      <c r="EU86" s="9" t="n">
        <v>0</v>
      </c>
      <c r="EV86" s="9" t="n">
        <v>0</v>
      </c>
      <c r="EW86" s="9" t="n">
        <v>0</v>
      </c>
      <c r="EX86" s="9" t="n">
        <v>0</v>
      </c>
      <c r="EY86" s="9" t="n">
        <v>0</v>
      </c>
      <c r="EZ86" s="9" t="n">
        <v>0</v>
      </c>
      <c r="FA86" s="9" t="n">
        <v>0</v>
      </c>
      <c r="FB86" s="9" t="n">
        <v>0</v>
      </c>
      <c r="FC86" s="9" t="n">
        <v>0</v>
      </c>
      <c r="FD86" s="9" t="n">
        <v>0</v>
      </c>
      <c r="FE86" s="9" t="n">
        <v>0</v>
      </c>
      <c r="FF86" s="9" t="n">
        <v>0</v>
      </c>
      <c r="FH86" s="9" t="n">
        <v>0</v>
      </c>
      <c r="FI86" s="9" t="n">
        <v>0</v>
      </c>
      <c r="FJ86" s="9" t="n">
        <v>0</v>
      </c>
      <c r="FK86" s="9" t="n">
        <v>0</v>
      </c>
      <c r="FL86" s="9" t="n">
        <v>0</v>
      </c>
      <c r="FM86" s="9" t="n">
        <v>0</v>
      </c>
      <c r="FN86" s="9" t="n">
        <v>0</v>
      </c>
      <c r="FO86" s="9" t="n">
        <v>0</v>
      </c>
      <c r="FP86" s="9" t="n">
        <v>0</v>
      </c>
      <c r="FQ86" s="9" t="n">
        <v>0</v>
      </c>
      <c r="FR86" s="9" t="n">
        <v>0</v>
      </c>
      <c r="FS86" s="9" t="n">
        <v>0</v>
      </c>
      <c r="FT86" s="9" t="n">
        <v>0</v>
      </c>
      <c r="FU86" s="9" t="n">
        <v>0</v>
      </c>
      <c r="FV86" s="9" t="n">
        <v>0</v>
      </c>
      <c r="FX86" s="9" t="n">
        <v>0</v>
      </c>
      <c r="FY86" s="9" t="n">
        <v>0</v>
      </c>
      <c r="FZ86" s="9" t="n">
        <v>0</v>
      </c>
      <c r="GA86" s="9" t="n">
        <v>0</v>
      </c>
      <c r="GB86" s="9" t="n">
        <v>0</v>
      </c>
      <c r="GC86" s="9" t="n">
        <v>0</v>
      </c>
      <c r="GD86" s="9" t="n">
        <v>0</v>
      </c>
      <c r="GE86" s="9" t="n">
        <v>0</v>
      </c>
      <c r="GF86" s="9" t="n">
        <v>0</v>
      </c>
      <c r="GG86" s="9" t="n">
        <v>0</v>
      </c>
      <c r="GH86" s="9" t="n">
        <v>0</v>
      </c>
      <c r="GI86" s="9" t="n">
        <v>0</v>
      </c>
      <c r="GJ86" s="9" t="n">
        <v>0</v>
      </c>
      <c r="GK86" s="9" t="n">
        <v>0</v>
      </c>
      <c r="GL86" s="9" t="n">
        <v>0</v>
      </c>
      <c r="GN86" s="9" t="n">
        <v>0</v>
      </c>
      <c r="GO86" s="9" t="n">
        <v>0</v>
      </c>
      <c r="GP86" s="9" t="n">
        <v>0</v>
      </c>
      <c r="GQ86" s="9" t="n">
        <v>0</v>
      </c>
      <c r="GR86" s="9" t="n">
        <v>0</v>
      </c>
      <c r="GS86" s="9" t="n">
        <v>0</v>
      </c>
      <c r="GT86" s="9" t="n">
        <v>0</v>
      </c>
      <c r="GU86" s="9" t="n">
        <v>0</v>
      </c>
      <c r="GV86" s="9" t="n">
        <v>0</v>
      </c>
      <c r="GW86" s="9" t="n">
        <v>0</v>
      </c>
      <c r="GX86" s="9" t="n">
        <v>0</v>
      </c>
      <c r="GY86" s="9" t="n">
        <v>0</v>
      </c>
      <c r="GZ86" s="9" t="n">
        <v>0</v>
      </c>
      <c r="HA86" s="9" t="n">
        <v>0</v>
      </c>
      <c r="HB86" s="9" t="n">
        <v>0</v>
      </c>
      <c r="HD86" s="9" t="n">
        <v>0</v>
      </c>
      <c r="HE86" s="9" t="n">
        <v>0</v>
      </c>
      <c r="HF86" s="9" t="n">
        <v>0</v>
      </c>
      <c r="HG86" s="9" t="n">
        <v>0</v>
      </c>
      <c r="HH86" s="9" t="n">
        <v>0</v>
      </c>
      <c r="HI86" s="9" t="n">
        <v>0</v>
      </c>
      <c r="HJ86" s="9" t="n">
        <v>0</v>
      </c>
      <c r="HK86" s="9" t="n">
        <v>0</v>
      </c>
      <c r="HL86" s="9" t="n">
        <v>0</v>
      </c>
      <c r="HM86" s="9" t="n">
        <v>0</v>
      </c>
      <c r="HN86" s="9" t="n">
        <v>0</v>
      </c>
      <c r="HO86" s="9" t="n">
        <v>0</v>
      </c>
      <c r="HP86" s="9" t="n">
        <v>0</v>
      </c>
      <c r="HQ86" s="9" t="n">
        <v>0</v>
      </c>
      <c r="HR86" s="9" t="n">
        <v>0</v>
      </c>
      <c r="HT86" s="9" t="n">
        <v>0</v>
      </c>
      <c r="HU86" s="9" t="n">
        <v>0</v>
      </c>
      <c r="HV86" s="9" t="n">
        <v>0</v>
      </c>
      <c r="HW86" s="9" t="n">
        <v>0</v>
      </c>
      <c r="HX86" s="9" t="n">
        <v>0</v>
      </c>
      <c r="HY86" s="9" t="n">
        <v>0</v>
      </c>
      <c r="HZ86" s="9" t="n">
        <v>0</v>
      </c>
      <c r="IA86" s="9" t="n">
        <v>0</v>
      </c>
      <c r="IB86" s="9" t="n">
        <v>0</v>
      </c>
      <c r="IC86" s="9" t="n">
        <v>0</v>
      </c>
      <c r="ID86" s="9" t="n">
        <v>0</v>
      </c>
      <c r="IE86" s="9" t="n">
        <v>0</v>
      </c>
      <c r="IF86" s="9" t="n">
        <v>0</v>
      </c>
      <c r="IG86" s="9" t="n">
        <v>0</v>
      </c>
      <c r="IH86" s="9" t="n">
        <v>0</v>
      </c>
      <c r="IJ86" s="9" t="n">
        <v>0</v>
      </c>
      <c r="IK86" s="9" t="n">
        <v>0</v>
      </c>
      <c r="IL86" s="9" t="n">
        <v>0</v>
      </c>
      <c r="IM86" s="9" t="n">
        <v>0</v>
      </c>
      <c r="IN86" s="9" t="n">
        <v>0</v>
      </c>
      <c r="IO86" s="9" t="n">
        <v>0</v>
      </c>
      <c r="IP86" s="9" t="n">
        <v>0</v>
      </c>
      <c r="IQ86" s="9" t="n">
        <v>0</v>
      </c>
      <c r="IR86" s="9" t="n">
        <v>0</v>
      </c>
      <c r="IS86" s="9" t="n">
        <v>0</v>
      </c>
      <c r="IT86" s="9" t="n">
        <v>0</v>
      </c>
      <c r="IU86" s="9" t="n">
        <v>0</v>
      </c>
      <c r="IV86" s="9" t="n">
        <v>0</v>
      </c>
      <c r="IW86" s="9" t="n">
        <v>0</v>
      </c>
      <c r="IX86" s="9" t="n">
        <v>0</v>
      </c>
    </row>
    <row r="87">
      <c r="A87" s="10" t="n">
        <v>46082</v>
      </c>
      <c r="EA87" s="9" t="n">
        <v>7</v>
      </c>
      <c r="EB87" s="9" t="n">
        <v>0</v>
      </c>
      <c r="EC87" s="9" t="n">
        <v>0</v>
      </c>
      <c r="ED87" s="9" t="n">
        <v>0</v>
      </c>
      <c r="EE87" s="9" t="n">
        <v>0</v>
      </c>
      <c r="EF87" s="9" t="n">
        <v>0</v>
      </c>
      <c r="EG87" s="9" t="n">
        <v>0</v>
      </c>
      <c r="EH87" s="9" t="n">
        <v>0</v>
      </c>
      <c r="EI87" s="9" t="n">
        <v>0</v>
      </c>
      <c r="EJ87" s="9" t="n">
        <v>0</v>
      </c>
      <c r="EK87" s="9" t="n">
        <v>0</v>
      </c>
      <c r="EL87" s="9" t="n">
        <v>0</v>
      </c>
      <c r="EM87" s="9" t="n">
        <v>0</v>
      </c>
      <c r="EN87" s="9" t="n">
        <v>0</v>
      </c>
      <c r="EO87" s="9" t="n">
        <v>0</v>
      </c>
      <c r="EP87" s="9" t="n">
        <v>0</v>
      </c>
      <c r="ER87" s="9" t="n">
        <v>0</v>
      </c>
      <c r="ES87" s="9" t="n">
        <v>0</v>
      </c>
      <c r="ET87" s="9" t="n">
        <v>0</v>
      </c>
      <c r="EU87" s="9" t="n">
        <v>0</v>
      </c>
      <c r="EV87" s="9" t="n">
        <v>0</v>
      </c>
      <c r="EW87" s="9" t="n">
        <v>0</v>
      </c>
      <c r="EX87" s="9" t="n">
        <v>0</v>
      </c>
      <c r="EY87" s="9" t="n">
        <v>0</v>
      </c>
      <c r="EZ87" s="9" t="n">
        <v>0</v>
      </c>
      <c r="FA87" s="9" t="n">
        <v>0</v>
      </c>
      <c r="FB87" s="9" t="n">
        <v>0</v>
      </c>
      <c r="FC87" s="9" t="n">
        <v>0</v>
      </c>
      <c r="FD87" s="9" t="n">
        <v>0</v>
      </c>
      <c r="FE87" s="9" t="n">
        <v>0</v>
      </c>
      <c r="FF87" s="9" t="n">
        <v>0</v>
      </c>
      <c r="FH87" s="9" t="n">
        <v>0</v>
      </c>
      <c r="FI87" s="9" t="n">
        <v>0</v>
      </c>
      <c r="FJ87" s="9" t="n">
        <v>0</v>
      </c>
      <c r="FK87" s="9" t="n">
        <v>0</v>
      </c>
      <c r="FL87" s="9" t="n">
        <v>0</v>
      </c>
      <c r="FM87" s="9" t="n">
        <v>0</v>
      </c>
      <c r="FN87" s="9" t="n">
        <v>0</v>
      </c>
      <c r="FO87" s="9" t="n">
        <v>0</v>
      </c>
      <c r="FP87" s="9" t="n">
        <v>0</v>
      </c>
      <c r="FQ87" s="9" t="n">
        <v>0</v>
      </c>
      <c r="FR87" s="9" t="n">
        <v>0</v>
      </c>
      <c r="FS87" s="9" t="n">
        <v>0</v>
      </c>
      <c r="FT87" s="9" t="n">
        <v>0</v>
      </c>
      <c r="FU87" s="9" t="n">
        <v>0</v>
      </c>
      <c r="FV87" s="9" t="n">
        <v>0</v>
      </c>
      <c r="FX87" s="9" t="n">
        <v>0</v>
      </c>
      <c r="FY87" s="9" t="n">
        <v>0</v>
      </c>
      <c r="FZ87" s="9" t="n">
        <v>0</v>
      </c>
      <c r="GA87" s="9" t="n">
        <v>0</v>
      </c>
      <c r="GB87" s="9" t="n">
        <v>0</v>
      </c>
      <c r="GC87" s="9" t="n">
        <v>0</v>
      </c>
      <c r="GD87" s="9" t="n">
        <v>0</v>
      </c>
      <c r="GE87" s="9" t="n">
        <v>0</v>
      </c>
      <c r="GF87" s="9" t="n">
        <v>0</v>
      </c>
      <c r="GG87" s="9" t="n">
        <v>0</v>
      </c>
      <c r="GH87" s="9" t="n">
        <v>0</v>
      </c>
      <c r="GI87" s="9" t="n">
        <v>0</v>
      </c>
      <c r="GJ87" s="9" t="n">
        <v>0</v>
      </c>
      <c r="GK87" s="9" t="n">
        <v>0</v>
      </c>
      <c r="GL87" s="9" t="n">
        <v>0</v>
      </c>
      <c r="GN87" s="9" t="n">
        <v>0</v>
      </c>
      <c r="GO87" s="9" t="n">
        <v>0</v>
      </c>
      <c r="GP87" s="9" t="n">
        <v>0</v>
      </c>
      <c r="GQ87" s="9" t="n">
        <v>0</v>
      </c>
      <c r="GR87" s="9" t="n">
        <v>0</v>
      </c>
      <c r="GS87" s="9" t="n">
        <v>0</v>
      </c>
      <c r="GT87" s="9" t="n">
        <v>0</v>
      </c>
      <c r="GU87" s="9" t="n">
        <v>0</v>
      </c>
      <c r="GV87" s="9" t="n">
        <v>0</v>
      </c>
      <c r="GW87" s="9" t="n">
        <v>0</v>
      </c>
      <c r="GX87" s="9" t="n">
        <v>0</v>
      </c>
      <c r="GY87" s="9" t="n">
        <v>0</v>
      </c>
      <c r="GZ87" s="9" t="n">
        <v>0</v>
      </c>
      <c r="HA87" s="9" t="n">
        <v>0</v>
      </c>
      <c r="HB87" s="9" t="n">
        <v>0</v>
      </c>
      <c r="HD87" s="9" t="n">
        <v>0</v>
      </c>
      <c r="HE87" s="9" t="n">
        <v>0</v>
      </c>
      <c r="HF87" s="9" t="n">
        <v>0</v>
      </c>
      <c r="HG87" s="9" t="n">
        <v>0</v>
      </c>
      <c r="HH87" s="9" t="n">
        <v>0</v>
      </c>
      <c r="HI87" s="9" t="n">
        <v>0</v>
      </c>
      <c r="HJ87" s="9" t="n">
        <v>0</v>
      </c>
      <c r="HK87" s="9" t="n">
        <v>0</v>
      </c>
      <c r="HL87" s="9" t="n">
        <v>0</v>
      </c>
      <c r="HM87" s="9" t="n">
        <v>0</v>
      </c>
      <c r="HN87" s="9" t="n">
        <v>0</v>
      </c>
      <c r="HO87" s="9" t="n">
        <v>0</v>
      </c>
      <c r="HP87" s="9" t="n">
        <v>0</v>
      </c>
      <c r="HQ87" s="9" t="n">
        <v>0</v>
      </c>
      <c r="HR87" s="9" t="n">
        <v>0</v>
      </c>
      <c r="HT87" s="9" t="n">
        <v>0</v>
      </c>
      <c r="HU87" s="9" t="n">
        <v>0</v>
      </c>
      <c r="HV87" s="9" t="n">
        <v>0</v>
      </c>
      <c r="HW87" s="9" t="n">
        <v>0</v>
      </c>
      <c r="HX87" s="9" t="n">
        <v>0</v>
      </c>
      <c r="HY87" s="9" t="n">
        <v>0</v>
      </c>
      <c r="HZ87" s="9" t="n">
        <v>0</v>
      </c>
      <c r="IA87" s="9" t="n">
        <v>0</v>
      </c>
      <c r="IB87" s="9" t="n">
        <v>0</v>
      </c>
      <c r="IC87" s="9" t="n">
        <v>0</v>
      </c>
      <c r="ID87" s="9" t="n">
        <v>0</v>
      </c>
      <c r="IE87" s="9" t="n">
        <v>0</v>
      </c>
      <c r="IF87" s="9" t="n">
        <v>0</v>
      </c>
      <c r="IG87" s="9" t="n">
        <v>0</v>
      </c>
      <c r="IH87" s="9" t="n">
        <v>0</v>
      </c>
      <c r="IJ87" s="9" t="n">
        <v>0</v>
      </c>
      <c r="IK87" s="9" t="n">
        <v>0</v>
      </c>
      <c r="IL87" s="9" t="n">
        <v>0</v>
      </c>
      <c r="IM87" s="9" t="n">
        <v>0</v>
      </c>
      <c r="IN87" s="9" t="n">
        <v>0</v>
      </c>
      <c r="IO87" s="9" t="n">
        <v>0</v>
      </c>
      <c r="IP87" s="9" t="n">
        <v>0</v>
      </c>
      <c r="IQ87" s="9" t="n">
        <v>0</v>
      </c>
      <c r="IR87" s="9" t="n">
        <v>0</v>
      </c>
      <c r="IS87" s="9" t="n">
        <v>0</v>
      </c>
      <c r="IT87" s="9" t="n">
        <v>0</v>
      </c>
      <c r="IU87" s="9" t="n">
        <v>0</v>
      </c>
      <c r="IV87" s="9" t="n">
        <v>0</v>
      </c>
      <c r="IW87" s="9" t="n">
        <v>0</v>
      </c>
      <c r="IX87" s="9" t="n">
        <v>0</v>
      </c>
    </row>
    <row r="88">
      <c r="A88" s="10" t="n">
        <v>46083</v>
      </c>
      <c r="CT88" s="9" t="n">
        <v>20</v>
      </c>
      <c r="DJ88" s="9" t="n">
        <v>60</v>
      </c>
      <c r="EA88" s="9" t="n">
        <v>8</v>
      </c>
      <c r="EB88" s="9" t="n">
        <v>0</v>
      </c>
      <c r="EC88" s="9" t="n">
        <v>0</v>
      </c>
      <c r="ED88" s="9" t="n">
        <v>0</v>
      </c>
      <c r="EE88" s="9" t="n">
        <v>0</v>
      </c>
      <c r="EF88" s="9" t="n">
        <v>0</v>
      </c>
      <c r="EG88" s="9" t="n">
        <v>0</v>
      </c>
      <c r="EH88" s="9" t="n">
        <v>0</v>
      </c>
      <c r="EI88" s="9" t="n">
        <v>0</v>
      </c>
      <c r="EJ88" s="9" t="n">
        <v>0</v>
      </c>
      <c r="EK88" s="9" t="n">
        <v>0</v>
      </c>
      <c r="EL88" s="9" t="n">
        <v>0</v>
      </c>
      <c r="EM88" s="9" t="n">
        <v>0</v>
      </c>
      <c r="EN88" s="9" t="n">
        <v>0</v>
      </c>
      <c r="EO88" s="9" t="n">
        <v>0</v>
      </c>
      <c r="EP88" s="9" t="n">
        <v>0</v>
      </c>
      <c r="ER88" s="9" t="n">
        <v>0</v>
      </c>
      <c r="ES88" s="9" t="n">
        <v>0</v>
      </c>
      <c r="ET88" s="9" t="n">
        <v>0</v>
      </c>
      <c r="EU88" s="9" t="n">
        <v>0</v>
      </c>
      <c r="EV88" s="9" t="n">
        <v>0</v>
      </c>
      <c r="EW88" s="9" t="n">
        <v>0</v>
      </c>
      <c r="EX88" s="9" t="n">
        <v>0</v>
      </c>
      <c r="EY88" s="9" t="n">
        <v>0</v>
      </c>
      <c r="EZ88" s="9" t="n">
        <v>0</v>
      </c>
      <c r="FA88" s="9" t="n">
        <v>0</v>
      </c>
      <c r="FB88" s="9" t="n">
        <v>0</v>
      </c>
      <c r="FC88" s="9" t="n">
        <v>0</v>
      </c>
      <c r="FD88" s="9" t="n">
        <v>0</v>
      </c>
      <c r="FE88" s="9" t="n">
        <v>0</v>
      </c>
      <c r="FF88" s="9" t="n">
        <v>0</v>
      </c>
      <c r="FH88" s="9" t="n">
        <v>0</v>
      </c>
      <c r="FI88" s="9" t="n">
        <v>0</v>
      </c>
      <c r="FJ88" s="9" t="n">
        <v>0</v>
      </c>
      <c r="FK88" s="9" t="n">
        <v>0</v>
      </c>
      <c r="FL88" s="9" t="n">
        <v>0</v>
      </c>
      <c r="FM88" s="9" t="n">
        <v>0</v>
      </c>
      <c r="FN88" s="9" t="n">
        <v>0</v>
      </c>
      <c r="FO88" s="9" t="n">
        <v>0</v>
      </c>
      <c r="FP88" s="9" t="n">
        <v>0</v>
      </c>
      <c r="FQ88" s="9" t="n">
        <v>0</v>
      </c>
      <c r="FR88" s="9" t="n">
        <v>0</v>
      </c>
      <c r="FS88" s="9" t="n">
        <v>0</v>
      </c>
      <c r="FT88" s="9" t="n">
        <v>0</v>
      </c>
      <c r="FU88" s="9" t="n">
        <v>0</v>
      </c>
      <c r="FV88" s="9" t="n">
        <v>0</v>
      </c>
      <c r="FX88" s="9" t="n">
        <v>0</v>
      </c>
      <c r="FY88" s="9" t="n">
        <v>0</v>
      </c>
      <c r="FZ88" s="9" t="n">
        <v>0</v>
      </c>
      <c r="GA88" s="9" t="n">
        <v>0</v>
      </c>
      <c r="GB88" s="9" t="n">
        <v>0</v>
      </c>
      <c r="GC88" s="9" t="n">
        <v>0</v>
      </c>
      <c r="GD88" s="9" t="n">
        <v>0</v>
      </c>
      <c r="GE88" s="9" t="n">
        <v>0</v>
      </c>
      <c r="GF88" s="9" t="n">
        <v>0</v>
      </c>
      <c r="GG88" s="9" t="n">
        <v>0</v>
      </c>
      <c r="GH88" s="9" t="n">
        <v>0</v>
      </c>
      <c r="GI88" s="9" t="n">
        <v>0</v>
      </c>
      <c r="GJ88" s="9" t="n">
        <v>0</v>
      </c>
      <c r="GK88" s="9" t="n">
        <v>0</v>
      </c>
      <c r="GL88" s="9" t="n">
        <v>0</v>
      </c>
      <c r="GN88" s="9" t="n">
        <v>0</v>
      </c>
      <c r="GO88" s="9" t="n">
        <v>0</v>
      </c>
      <c r="GP88" s="9" t="n">
        <v>0</v>
      </c>
      <c r="GQ88" s="9" t="n">
        <v>0</v>
      </c>
      <c r="GR88" s="9" t="n">
        <v>0</v>
      </c>
      <c r="GS88" s="9" t="n">
        <v>0</v>
      </c>
      <c r="GT88" s="9" t="n">
        <v>0</v>
      </c>
      <c r="GU88" s="9" t="n">
        <v>0</v>
      </c>
      <c r="GV88" s="9" t="n">
        <v>0</v>
      </c>
      <c r="GW88" s="9" t="n">
        <v>0</v>
      </c>
      <c r="GX88" s="9" t="n">
        <v>0</v>
      </c>
      <c r="GY88" s="9" t="n">
        <v>0</v>
      </c>
      <c r="GZ88" s="9" t="n">
        <v>0</v>
      </c>
      <c r="HA88" s="9" t="n">
        <v>0</v>
      </c>
      <c r="HB88" s="9" t="n">
        <v>0</v>
      </c>
      <c r="HD88" s="9" t="n">
        <v>0</v>
      </c>
      <c r="HE88" s="9" t="n">
        <v>0</v>
      </c>
      <c r="HF88" s="9" t="n">
        <v>0</v>
      </c>
      <c r="HG88" s="9" t="n">
        <v>0</v>
      </c>
      <c r="HH88" s="9" t="n">
        <v>0</v>
      </c>
      <c r="HI88" s="9" t="n">
        <v>0</v>
      </c>
      <c r="HJ88" s="9" t="n">
        <v>0</v>
      </c>
      <c r="HK88" s="9" t="n">
        <v>0</v>
      </c>
      <c r="HL88" s="9" t="n">
        <v>0</v>
      </c>
      <c r="HM88" s="9" t="n">
        <v>0</v>
      </c>
      <c r="HN88" s="9" t="n">
        <v>0</v>
      </c>
      <c r="HO88" s="9" t="n">
        <v>0</v>
      </c>
      <c r="HP88" s="9" t="n">
        <v>0</v>
      </c>
      <c r="HQ88" s="9" t="n">
        <v>0</v>
      </c>
      <c r="HR88" s="9" t="n">
        <v>0</v>
      </c>
      <c r="HT88" s="9" t="n">
        <v>0</v>
      </c>
      <c r="HU88" s="9" t="n">
        <v>0</v>
      </c>
      <c r="HV88" s="9" t="n">
        <v>0</v>
      </c>
      <c r="HW88" s="9" t="n">
        <v>0</v>
      </c>
      <c r="HX88" s="9" t="n">
        <v>0</v>
      </c>
      <c r="HY88" s="9" t="n">
        <v>0</v>
      </c>
      <c r="HZ88" s="9" t="n">
        <v>0</v>
      </c>
      <c r="IA88" s="9" t="n">
        <v>0</v>
      </c>
      <c r="IB88" s="9" t="n">
        <v>0</v>
      </c>
      <c r="IC88" s="9" t="n">
        <v>0</v>
      </c>
      <c r="ID88" s="9" t="n">
        <v>0</v>
      </c>
      <c r="IE88" s="9" t="n">
        <v>0</v>
      </c>
      <c r="IF88" s="9" t="n">
        <v>0</v>
      </c>
      <c r="IG88" s="9" t="n">
        <v>0</v>
      </c>
      <c r="IH88" s="9" t="n">
        <v>0</v>
      </c>
      <c r="IJ88" s="9" t="n">
        <v>0</v>
      </c>
      <c r="IK88" s="9" t="n">
        <v>0</v>
      </c>
      <c r="IL88" s="9" t="n">
        <v>0</v>
      </c>
      <c r="IM88" s="9" t="n">
        <v>0</v>
      </c>
      <c r="IN88" s="9" t="n">
        <v>0</v>
      </c>
      <c r="IO88" s="9" t="n">
        <v>0</v>
      </c>
      <c r="IP88" s="9" t="n">
        <v>0</v>
      </c>
      <c r="IQ88" s="9" t="n">
        <v>0</v>
      </c>
      <c r="IR88" s="9" t="n">
        <v>0</v>
      </c>
      <c r="IS88" s="9" t="n">
        <v>0</v>
      </c>
      <c r="IT88" s="9" t="n">
        <v>0</v>
      </c>
      <c r="IU88" s="9" t="n">
        <v>0</v>
      </c>
      <c r="IV88" s="9" t="n">
        <v>0</v>
      </c>
      <c r="IW88" s="9" t="n">
        <v>0</v>
      </c>
      <c r="IX88" s="9" t="n">
        <v>0</v>
      </c>
    </row>
    <row r="89">
      <c r="A89" s="10" t="n">
        <v>46084</v>
      </c>
      <c r="CT89" s="9" t="n">
        <v>78</v>
      </c>
      <c r="DJ89" s="9" t="n">
        <v>40</v>
      </c>
      <c r="EA89" s="9" t="inlineStr">
        <is>
          <t>TOTAL</t>
        </is>
      </c>
      <c r="EB89" s="9" t="n">
        <v>1000</v>
      </c>
      <c r="EC89" s="9" t="n">
        <v>977.9000000000001</v>
      </c>
      <c r="ED89" s="9" t="n">
        <v>0</v>
      </c>
      <c r="EE89" s="9" t="n">
        <v>0</v>
      </c>
      <c r="EF89" s="9" t="n">
        <v>0</v>
      </c>
      <c r="EG89" s="9" t="n">
        <v>0</v>
      </c>
      <c r="EH89" s="9" t="n">
        <v>0</v>
      </c>
      <c r="EI89" s="9" t="n">
        <v>0</v>
      </c>
      <c r="EJ89" s="9" t="n">
        <v>0</v>
      </c>
      <c r="EK89" s="9" t="n">
        <v>0</v>
      </c>
      <c r="EL89" s="9" t="n">
        <v>0</v>
      </c>
      <c r="EM89" s="9" t="n">
        <v>0</v>
      </c>
      <c r="EN89" s="9" t="n">
        <v>0</v>
      </c>
      <c r="EO89" s="9" t="n">
        <v>0</v>
      </c>
      <c r="EP89" s="9" t="n">
        <v>0</v>
      </c>
      <c r="ER89" s="9" t="n">
        <v>1000</v>
      </c>
      <c r="ES89" s="9" t="n">
        <v>0</v>
      </c>
      <c r="ET89" s="9" t="n">
        <v>0</v>
      </c>
      <c r="EU89" s="9" t="n">
        <v>0</v>
      </c>
      <c r="EV89" s="9" t="n">
        <v>0</v>
      </c>
      <c r="EW89" s="9" t="n">
        <v>0</v>
      </c>
      <c r="EX89" s="9" t="n">
        <v>0</v>
      </c>
      <c r="EY89" s="9" t="n">
        <v>0</v>
      </c>
      <c r="EZ89" s="9" t="n">
        <v>0</v>
      </c>
      <c r="FA89" s="9" t="n">
        <v>0</v>
      </c>
      <c r="FB89" s="9" t="n">
        <v>0</v>
      </c>
      <c r="FC89" s="9" t="n">
        <v>0</v>
      </c>
      <c r="FD89" s="9" t="n">
        <v>0</v>
      </c>
      <c r="FE89" s="9" t="n">
        <v>0</v>
      </c>
      <c r="FF89" s="9" t="n">
        <v>0</v>
      </c>
      <c r="FH89" s="9" t="n">
        <v>1000</v>
      </c>
      <c r="FI89" s="9" t="n">
        <v>977.9000000000001</v>
      </c>
      <c r="FJ89" s="9" t="n">
        <v>0</v>
      </c>
      <c r="FK89" s="9" t="n">
        <v>0</v>
      </c>
      <c r="FL89" s="9" t="n">
        <v>0</v>
      </c>
      <c r="FM89" s="9" t="n">
        <v>0</v>
      </c>
      <c r="FN89" s="9" t="n">
        <v>0</v>
      </c>
      <c r="FO89" s="9" t="n">
        <v>0</v>
      </c>
      <c r="FP89" s="9" t="n">
        <v>0</v>
      </c>
      <c r="FQ89" s="9" t="n">
        <v>0</v>
      </c>
      <c r="FR89" s="9" t="n">
        <v>0</v>
      </c>
      <c r="FS89" s="9" t="n">
        <v>0</v>
      </c>
      <c r="FT89" s="9" t="n">
        <v>0</v>
      </c>
      <c r="FU89" s="9" t="n">
        <v>0</v>
      </c>
      <c r="FV89" s="9" t="n">
        <v>0</v>
      </c>
      <c r="FX89" s="9" t="n">
        <v>1000</v>
      </c>
      <c r="FY89" s="9" t="n">
        <v>977.9000000000001</v>
      </c>
      <c r="FZ89" s="9" t="n">
        <v>0</v>
      </c>
      <c r="GA89" s="9" t="n">
        <v>0</v>
      </c>
      <c r="GB89" s="9" t="n">
        <v>0</v>
      </c>
      <c r="GC89" s="9" t="n">
        <v>0</v>
      </c>
      <c r="GD89" s="9" t="n">
        <v>0</v>
      </c>
      <c r="GE89" s="9" t="n">
        <v>0</v>
      </c>
      <c r="GF89" s="9" t="n">
        <v>0</v>
      </c>
      <c r="GG89" s="9" t="n">
        <v>0</v>
      </c>
      <c r="GH89" s="9" t="n">
        <v>0</v>
      </c>
      <c r="GI89" s="9" t="n">
        <v>0</v>
      </c>
      <c r="GJ89" s="9" t="n">
        <v>0</v>
      </c>
      <c r="GK89" s="9" t="n">
        <v>0</v>
      </c>
      <c r="GL89" s="9" t="n">
        <v>0</v>
      </c>
      <c r="GN89" s="9" t="n">
        <v>1000</v>
      </c>
      <c r="GO89" s="9" t="n">
        <v>977.9000000000001</v>
      </c>
      <c r="GP89" s="9" t="n">
        <v>0</v>
      </c>
      <c r="GQ89" s="9" t="n">
        <v>0</v>
      </c>
      <c r="GR89" s="9" t="n">
        <v>0</v>
      </c>
      <c r="GS89" s="9" t="n">
        <v>0</v>
      </c>
      <c r="GT89" s="9" t="n">
        <v>0</v>
      </c>
      <c r="GU89" s="9" t="n">
        <v>0</v>
      </c>
      <c r="GV89" s="9" t="n">
        <v>0</v>
      </c>
      <c r="GW89" s="9" t="n">
        <v>0</v>
      </c>
      <c r="GX89" s="9" t="n">
        <v>0</v>
      </c>
      <c r="GY89" s="9" t="n">
        <v>0</v>
      </c>
      <c r="GZ89" s="9" t="n">
        <v>0</v>
      </c>
      <c r="HA89" s="9" t="n">
        <v>0</v>
      </c>
      <c r="HB89" s="9" t="n">
        <v>0</v>
      </c>
      <c r="HD89" s="9" t="n">
        <v>1000</v>
      </c>
      <c r="HE89" s="9" t="n">
        <v>977.9000000000001</v>
      </c>
      <c r="HF89" s="9" t="n">
        <v>0</v>
      </c>
      <c r="HG89" s="9" t="n">
        <v>0</v>
      </c>
      <c r="HH89" s="9" t="n">
        <v>0</v>
      </c>
      <c r="HI89" s="9" t="n">
        <v>0</v>
      </c>
      <c r="HJ89" s="9" t="n">
        <v>0</v>
      </c>
      <c r="HK89" s="9" t="n">
        <v>0</v>
      </c>
      <c r="HL89" s="9" t="n">
        <v>0</v>
      </c>
      <c r="HM89" s="9" t="n">
        <v>0</v>
      </c>
      <c r="HN89" s="9" t="n">
        <v>0</v>
      </c>
      <c r="HO89" s="9" t="n">
        <v>0</v>
      </c>
      <c r="HP89" s="9" t="n">
        <v>0</v>
      </c>
      <c r="HQ89" s="9" t="n">
        <v>0</v>
      </c>
      <c r="HR89" s="9" t="n">
        <v>0</v>
      </c>
      <c r="HT89" s="9" t="n">
        <v>1000</v>
      </c>
      <c r="HU89" s="9" t="n">
        <v>977.9000000000001</v>
      </c>
      <c r="HV89" s="9" t="n">
        <v>0</v>
      </c>
      <c r="HW89" s="9" t="n">
        <v>0</v>
      </c>
      <c r="HX89" s="9" t="n">
        <v>0</v>
      </c>
      <c r="HY89" s="9" t="n">
        <v>0</v>
      </c>
      <c r="HZ89" s="9" t="n">
        <v>0</v>
      </c>
      <c r="IA89" s="9" t="n">
        <v>0</v>
      </c>
      <c r="IB89" s="9" t="n">
        <v>0</v>
      </c>
      <c r="IC89" s="9" t="n">
        <v>0</v>
      </c>
      <c r="ID89" s="9" t="n">
        <v>0</v>
      </c>
      <c r="IE89" s="9" t="n">
        <v>0</v>
      </c>
      <c r="IF89" s="9" t="n">
        <v>0</v>
      </c>
      <c r="IG89" s="9" t="n">
        <v>0</v>
      </c>
      <c r="IH89" s="9" t="n">
        <v>0</v>
      </c>
      <c r="IJ89" s="9" t="n">
        <v>1000</v>
      </c>
      <c r="IK89" s="9" t="n">
        <v>977.9000000000001</v>
      </c>
      <c r="IL89" s="9" t="n">
        <v>0</v>
      </c>
      <c r="IM89" s="9" t="n">
        <v>0</v>
      </c>
      <c r="IN89" s="9" t="n">
        <v>0</v>
      </c>
      <c r="IO89" s="9" t="n">
        <v>0</v>
      </c>
      <c r="IP89" s="9" t="n">
        <v>0</v>
      </c>
      <c r="IQ89" s="9" t="n">
        <v>0</v>
      </c>
      <c r="IR89" s="9" t="n">
        <v>0</v>
      </c>
      <c r="IS89" s="9" t="n">
        <v>0</v>
      </c>
      <c r="IT89" s="9" t="n">
        <v>0</v>
      </c>
      <c r="IU89" s="9" t="n">
        <v>0</v>
      </c>
      <c r="IV89" s="9" t="n">
        <v>0</v>
      </c>
      <c r="IW89" s="9" t="n">
        <v>0</v>
      </c>
      <c r="IX89" s="9" t="n">
        <v>0</v>
      </c>
    </row>
    <row r="90">
      <c r="A90" s="10" t="n">
        <v>46085</v>
      </c>
      <c r="DJ90" s="9" t="n">
        <v>82</v>
      </c>
    </row>
    <row r="91">
      <c r="A91" s="10" t="n">
        <v>46086</v>
      </c>
      <c r="B91" s="9" t="n">
        <v>16</v>
      </c>
    </row>
    <row r="92">
      <c r="A92" s="10" t="n">
        <v>46087</v>
      </c>
      <c r="CT92" s="9" t="n">
        <v>70</v>
      </c>
    </row>
    <row r="93">
      <c r="A93" s="10" t="n">
        <v>46088</v>
      </c>
      <c r="B93" s="9" t="n">
        <v>14</v>
      </c>
      <c r="R93" s="9" t="n">
        <v>30</v>
      </c>
      <c r="CT93" s="9" t="n">
        <v>4</v>
      </c>
      <c r="DJ93" s="9" t="n">
        <v>16</v>
      </c>
    </row>
    <row r="94">
      <c r="A94" s="10" t="n">
        <v>46089</v>
      </c>
    </row>
    <row r="95">
      <c r="A95" s="10" t="n">
        <v>46090</v>
      </c>
      <c r="CD95" s="9" t="n">
        <v>20</v>
      </c>
      <c r="DJ95" s="9" t="n">
        <v>104</v>
      </c>
    </row>
    <row r="96">
      <c r="A96" s="10" t="n">
        <v>46091</v>
      </c>
      <c r="R96" s="9" t="n">
        <v>20</v>
      </c>
    </row>
    <row r="97">
      <c r="A97" s="10" t="n">
        <v>46092</v>
      </c>
    </row>
    <row r="98">
      <c r="A98" s="10" t="n">
        <v>46093</v>
      </c>
    </row>
    <row r="99">
      <c r="A99" s="10" t="n">
        <v>46094</v>
      </c>
      <c r="DK99" s="9" t="n">
        <v>100</v>
      </c>
    </row>
    <row r="100">
      <c r="A100" s="10" t="n">
        <v>46095</v>
      </c>
      <c r="CD100" s="9" t="n">
        <v>44</v>
      </c>
      <c r="DJ100" s="9" t="n">
        <v>30</v>
      </c>
    </row>
    <row r="101">
      <c r="A101" s="10" t="n">
        <v>46096</v>
      </c>
    </row>
    <row r="102">
      <c r="A102" s="10" t="n">
        <v>46097</v>
      </c>
      <c r="R102" s="9" t="n">
        <v>46</v>
      </c>
      <c r="DJ102" s="9" t="n">
        <v>118</v>
      </c>
    </row>
    <row r="103">
      <c r="A103" s="10" t="n">
        <v>46098</v>
      </c>
      <c r="B103" s="9" t="n">
        <v>40</v>
      </c>
      <c r="CD103" s="9" t="n">
        <v>42</v>
      </c>
    </row>
    <row r="104">
      <c r="A104" s="10" t="n">
        <v>46099</v>
      </c>
      <c r="R104" s="9" t="n">
        <v>68</v>
      </c>
      <c r="CT104" s="9" t="n">
        <v>50</v>
      </c>
    </row>
    <row r="105">
      <c r="A105" s="10" t="n">
        <v>46100</v>
      </c>
      <c r="CT105" s="9" t="n">
        <v>20</v>
      </c>
    </row>
    <row r="106">
      <c r="A106" s="10" t="n">
        <v>46101</v>
      </c>
    </row>
    <row r="107">
      <c r="A107" s="10" t="n">
        <v>46102</v>
      </c>
    </row>
    <row r="108">
      <c r="A108" s="10" t="n">
        <v>46103</v>
      </c>
    </row>
    <row r="109">
      <c r="A109" s="10" t="n">
        <v>46104</v>
      </c>
    </row>
    <row r="110">
      <c r="A110" s="10" t="n">
        <v>46105</v>
      </c>
      <c r="CT110" s="9" t="n">
        <v>40</v>
      </c>
    </row>
    <row r="111">
      <c r="A111" s="10" t="n">
        <v>46106</v>
      </c>
      <c r="R111" s="9" t="n">
        <v>120</v>
      </c>
      <c r="DJ111" s="9" t="n">
        <v>10</v>
      </c>
    </row>
    <row r="112">
      <c r="A112" s="10" t="n">
        <v>46107</v>
      </c>
      <c r="B112" s="9" t="n">
        <v>16</v>
      </c>
      <c r="CD112" s="9" t="n">
        <v>24</v>
      </c>
      <c r="DJ112" s="9" t="n">
        <v>10</v>
      </c>
    </row>
    <row r="113">
      <c r="A113" s="10" t="n">
        <v>46108</v>
      </c>
      <c r="CT113" s="9" t="n">
        <v>10</v>
      </c>
      <c r="DJ113" s="9" t="n">
        <v>70</v>
      </c>
    </row>
    <row r="114">
      <c r="A114" s="10" t="n">
        <v>46109</v>
      </c>
      <c r="CD114" s="9" t="n">
        <v>30</v>
      </c>
      <c r="CT114" s="9" t="n">
        <v>36</v>
      </c>
    </row>
    <row r="115">
      <c r="A115" s="10" t="n">
        <v>46110</v>
      </c>
    </row>
    <row r="116">
      <c r="A116" s="10" t="n">
        <v>46111</v>
      </c>
      <c r="B116" s="9" t="n">
        <v>46</v>
      </c>
      <c r="AH116" s="9" t="n">
        <v>38</v>
      </c>
    </row>
    <row r="117">
      <c r="A117" s="10" t="n">
        <v>46112</v>
      </c>
      <c r="R117" s="9" t="n">
        <v>50</v>
      </c>
    </row>
    <row r="118"/>
    <row r="119">
      <c r="B119" s="9" t="inlineStr">
        <is>
          <t>WS 1101 (251124)</t>
        </is>
      </c>
      <c r="C119" s="9" t="inlineStr">
        <is>
          <t>WS 1101 (220526)</t>
        </is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R119" s="9" t="inlineStr">
        <is>
          <t>WS 1102 (290825)</t>
        </is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  <c r="AH119" s="9" t="inlineStr">
        <is>
          <t>WS 1103 (290825)</t>
        </is>
      </c>
      <c r="AI119" s="9" t="inlineStr">
        <is>
          <t>WS 1103 (220526)</t>
        </is>
      </c>
      <c r="AJ119" s="9" t="n">
        <v>0</v>
      </c>
      <c r="AK119" s="9" t="n">
        <v>0</v>
      </c>
      <c r="AL119" s="9" t="n">
        <v>0</v>
      </c>
      <c r="AM119" s="9" t="n">
        <v>0</v>
      </c>
      <c r="AN119" s="9" t="n">
        <v>0</v>
      </c>
      <c r="AO119" s="9" t="n">
        <v>0</v>
      </c>
      <c r="AP119" s="9" t="n">
        <v>0</v>
      </c>
      <c r="AQ119" s="9" t="n">
        <v>0</v>
      </c>
      <c r="AR119" s="9" t="n">
        <v>0</v>
      </c>
      <c r="AS119" s="9" t="n">
        <v>0</v>
      </c>
      <c r="AT119" s="9" t="n">
        <v>0</v>
      </c>
      <c r="AU119" s="9" t="n">
        <v>0</v>
      </c>
      <c r="AV119" s="9" t="n">
        <v>0</v>
      </c>
      <c r="AX119" s="9" t="n">
        <v>0</v>
      </c>
      <c r="AY119" s="9" t="n">
        <v>0</v>
      </c>
      <c r="AZ119" s="9" t="n">
        <v>0</v>
      </c>
      <c r="BA119" s="9" t="n">
        <v>0</v>
      </c>
      <c r="BB119" s="9" t="n">
        <v>0</v>
      </c>
      <c r="BC119" s="9" t="n">
        <v>0</v>
      </c>
      <c r="BD119" s="9" t="n">
        <v>0</v>
      </c>
      <c r="BE119" s="9" t="n">
        <v>0</v>
      </c>
      <c r="BF119" s="9" t="n">
        <v>0</v>
      </c>
      <c r="BG119" s="9" t="n">
        <v>0</v>
      </c>
      <c r="BH119" s="9" t="n">
        <v>0</v>
      </c>
      <c r="BI119" s="9" t="n">
        <v>0</v>
      </c>
      <c r="BJ119" s="9" t="n">
        <v>0</v>
      </c>
      <c r="BK119" s="9" t="n">
        <v>0</v>
      </c>
      <c r="BL119" s="9" t="n">
        <v>0</v>
      </c>
      <c r="BN119" s="9" t="inlineStr">
        <is>
          <t>WS 8100 (290825)</t>
        </is>
      </c>
      <c r="BO119" s="9" t="inlineStr">
        <is>
          <t>WS 8100 (280426)</t>
        </is>
      </c>
      <c r="BP119" s="9" t="n">
        <v>0</v>
      </c>
      <c r="BQ119" s="9" t="inlineStr">
        <is>
          <t>WS 8102 (290825)</t>
        </is>
      </c>
      <c r="BR119" s="9" t="inlineStr">
        <is>
          <t>WS 8102 (121225)</t>
        </is>
      </c>
      <c r="BS119" s="9" t="inlineStr">
        <is>
          <t>WS 8102 (020326)</t>
        </is>
      </c>
      <c r="BT119" s="9" t="inlineStr">
        <is>
          <t>WS 8102 (020326)</t>
        </is>
      </c>
      <c r="BU119" s="9" t="inlineStr">
        <is>
          <t>WS 8102 (060526)</t>
        </is>
      </c>
      <c r="BV119" s="9" t="inlineStr">
        <is>
          <t>WS 8102 (060526)</t>
        </is>
      </c>
      <c r="BW119" s="9" t="inlineStr">
        <is>
          <t>WS 8103 (070526)</t>
        </is>
      </c>
      <c r="BX119" s="9" t="inlineStr">
        <is>
          <t>WS 8102 (070526)</t>
        </is>
      </c>
      <c r="BY119" s="9" t="inlineStr">
        <is>
          <t>WS 8103 (061125)</t>
        </is>
      </c>
      <c r="BZ119" s="9" t="inlineStr">
        <is>
          <t>WS 8103 (250226)</t>
        </is>
      </c>
      <c r="CA119" s="9" t="inlineStr">
        <is>
          <t>WS 8102 (080526)</t>
        </is>
      </c>
      <c r="CB119" s="9" t="inlineStr">
        <is>
          <t>WS 8109 (080526)</t>
        </is>
      </c>
      <c r="CD119" s="9" t="inlineStr">
        <is>
          <t>YH 121 (050226)</t>
        </is>
      </c>
      <c r="CE119" s="9" t="inlineStr">
        <is>
          <t>YH 121 (190326)</t>
        </is>
      </c>
      <c r="CF119" s="9" t="inlineStr">
        <is>
          <t>YH 121 (020426)</t>
        </is>
      </c>
      <c r="CG119" s="9" t="n">
        <v>0</v>
      </c>
      <c r="CH119" s="9" t="n">
        <v>0</v>
      </c>
      <c r="CI119" s="9" t="n">
        <v>0</v>
      </c>
      <c r="CJ119" s="9" t="n">
        <v>0</v>
      </c>
      <c r="CK119" s="9" t="n">
        <v>0</v>
      </c>
      <c r="CL119" s="9" t="n">
        <v>0</v>
      </c>
      <c r="CM119" s="9" t="inlineStr">
        <is>
          <t>311 (130526)</t>
        </is>
      </c>
      <c r="CN119" s="9" t="inlineStr">
        <is>
          <t>312 (130526)</t>
        </is>
      </c>
      <c r="CO119" s="9" t="n">
        <v>0</v>
      </c>
      <c r="CP119" s="9" t="n">
        <v>0</v>
      </c>
      <c r="CQ119" s="9" t="n">
        <v>0</v>
      </c>
      <c r="CR119" s="9" t="n">
        <v>0</v>
      </c>
      <c r="CT119" s="9" t="inlineStr">
        <is>
          <t>YH 122 (050226)</t>
        </is>
      </c>
      <c r="CU119" s="9" t="inlineStr">
        <is>
          <t>YH 122 (190326)</t>
        </is>
      </c>
      <c r="CV119" s="9" t="inlineStr">
        <is>
          <t>YH 122 (200426)</t>
        </is>
      </c>
      <c r="CW119" s="9" t="n">
        <v>0</v>
      </c>
      <c r="CX119" s="9" t="n">
        <v>0</v>
      </c>
      <c r="CY119" s="9" t="n">
        <v>0</v>
      </c>
      <c r="CZ119" s="9" t="inlineStr">
        <is>
          <t>5201 (090426)</t>
        </is>
      </c>
      <c r="DA119" s="9" t="inlineStr">
        <is>
          <t>5201 (090426)</t>
        </is>
      </c>
      <c r="DB119" s="9" t="n">
        <v>0</v>
      </c>
      <c r="DC119" s="9" t="inlineStr">
        <is>
          <t>5202 (090426)</t>
        </is>
      </c>
      <c r="DD119" s="9" t="inlineStr">
        <is>
          <t>5202 (090426)</t>
        </is>
      </c>
      <c r="DE119" s="9" t="n">
        <v>0</v>
      </c>
      <c r="DF119" s="9" t="inlineStr">
        <is>
          <t>5203 (090426)</t>
        </is>
      </c>
      <c r="DG119" s="9" t="inlineStr">
        <is>
          <t>5203 (090426)</t>
        </is>
      </c>
      <c r="DH119" s="9" t="n">
        <v>0</v>
      </c>
      <c r="DJ119" s="9" t="inlineStr">
        <is>
          <t>YH 123 (050226)</t>
        </is>
      </c>
      <c r="DK119" s="9" t="inlineStr">
        <is>
          <t>YH 123 (130326)</t>
        </is>
      </c>
      <c r="DL119" s="9" t="inlineStr">
        <is>
          <t>YH 123 (190326)</t>
        </is>
      </c>
      <c r="DM119" s="9" t="inlineStr">
        <is>
          <t>YH 123 (200426)</t>
        </is>
      </c>
      <c r="DN119" s="9" t="n">
        <v>0</v>
      </c>
      <c r="DO119" s="9" t="n">
        <v>0</v>
      </c>
      <c r="DP119" s="9" t="n">
        <v>0</v>
      </c>
      <c r="DQ119" s="9" t="n">
        <v>0</v>
      </c>
      <c r="DR119" s="9" t="n">
        <v>0</v>
      </c>
      <c r="DS119" s="9" t="n">
        <v>0</v>
      </c>
      <c r="DT119" s="9" t="n">
        <v>0</v>
      </c>
      <c r="DU119" s="9" t="n">
        <v>0</v>
      </c>
      <c r="DV119" s="9" t="n">
        <v>0</v>
      </c>
      <c r="DW119" s="9" t="n">
        <v>0</v>
      </c>
      <c r="DX119" s="9" t="n">
        <v>0</v>
      </c>
    </row>
    <row r="120">
      <c r="A120" s="9" t="inlineStr">
        <is>
          <t>APRIL</t>
        </is>
      </c>
      <c r="B120" s="9" t="inlineStr">
        <is>
          <t>N01309AY</t>
        </is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R120" s="9" t="inlineStr">
        <is>
          <t>N025-06</t>
        </is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0</v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H120" s="9" t="inlineStr">
        <is>
          <t>N035-06</t>
        </is>
      </c>
      <c r="AI120" s="9" t="inlineStr">
        <is>
          <t>WITH 1103 TOP UP</t>
        </is>
      </c>
      <c r="AJ120" s="9" t="n">
        <v>0</v>
      </c>
      <c r="AK120" s="9" t="n">
        <v>0</v>
      </c>
      <c r="AL120" s="9" t="n">
        <v>0</v>
      </c>
      <c r="AM120" s="9" t="n">
        <v>0</v>
      </c>
      <c r="AN120" s="9" t="n">
        <v>0</v>
      </c>
      <c r="AO120" s="9" t="n">
        <v>0</v>
      </c>
      <c r="AP120" s="9" t="n">
        <v>0</v>
      </c>
      <c r="AQ120" s="9" t="n">
        <v>0</v>
      </c>
      <c r="AR120" s="9" t="n">
        <v>0</v>
      </c>
      <c r="AS120" s="9" t="n">
        <v>0</v>
      </c>
      <c r="AT120" s="9" t="n">
        <v>0</v>
      </c>
      <c r="AU120" s="9" t="n">
        <v>0</v>
      </c>
      <c r="AV120" s="9" t="n">
        <v>0</v>
      </c>
      <c r="AX120" s="9" t="n">
        <v>0</v>
      </c>
      <c r="AY120" s="9" t="n">
        <v>0</v>
      </c>
      <c r="AZ120" s="9" t="n">
        <v>0</v>
      </c>
      <c r="BA120" s="9" t="n">
        <v>0</v>
      </c>
      <c r="BB120" s="9" t="n">
        <v>0</v>
      </c>
      <c r="BC120" s="9" t="n">
        <v>0</v>
      </c>
      <c r="BD120" s="9" t="n">
        <v>0</v>
      </c>
      <c r="BE120" s="9" t="n">
        <v>0</v>
      </c>
      <c r="BF120" s="9" t="n">
        <v>0</v>
      </c>
      <c r="BG120" s="9" t="n">
        <v>0</v>
      </c>
      <c r="BH120" s="9" t="n">
        <v>0</v>
      </c>
      <c r="BI120" s="9" t="n">
        <v>0</v>
      </c>
      <c r="BJ120" s="9" t="n">
        <v>0</v>
      </c>
      <c r="BK120" s="9" t="n">
        <v>0</v>
      </c>
      <c r="BL120" s="9" t="n">
        <v>0</v>
      </c>
      <c r="BN120" s="9" t="inlineStr">
        <is>
          <t>NR 14-04</t>
        </is>
      </c>
      <c r="BO120" s="9" t="n">
        <v>0</v>
      </c>
      <c r="BP120" s="9" t="n">
        <v>0</v>
      </c>
      <c r="BQ120" s="9" t="inlineStr">
        <is>
          <t>NR 24-04Z</t>
        </is>
      </c>
      <c r="BR120" s="9" t="inlineStr">
        <is>
          <t>WITH BMD</t>
        </is>
      </c>
      <c r="BS120" s="9" t="inlineStr">
        <is>
          <t>8102 Top Up&amp;PM 8108</t>
        </is>
      </c>
      <c r="BT120" s="9" t="inlineStr">
        <is>
          <t>8102 Top Up&amp;PM 8102</t>
        </is>
      </c>
      <c r="BU120" s="9" t="inlineStr">
        <is>
          <t>8102 Top Up&amp;PM 8102</t>
        </is>
      </c>
      <c r="BV120" s="9" t="inlineStr">
        <is>
          <t>8102 Top Up&amp;PM 8108</t>
        </is>
      </c>
      <c r="BW120" s="9" t="inlineStr">
        <is>
          <t>8103 Top Up&amp;PM 8103</t>
        </is>
      </c>
      <c r="BX120" s="9" t="inlineStr">
        <is>
          <t>8103 Top Up&amp;PM 8109</t>
        </is>
      </c>
      <c r="BY120" s="9" t="inlineStr">
        <is>
          <t xml:space="preserve">NR 34-04 </t>
        </is>
      </c>
      <c r="BZ120" s="9" t="inlineStr">
        <is>
          <t xml:space="preserve">NR 34-04 </t>
        </is>
      </c>
      <c r="CA120" s="9" t="inlineStr">
        <is>
          <t>8102 TOP UP</t>
        </is>
      </c>
      <c r="CB120" s="9" t="inlineStr">
        <is>
          <t>8103 TOP UP</t>
        </is>
      </c>
      <c r="CD120" s="9" t="inlineStr">
        <is>
          <t>SOYTIDE&amp;TOXISORB</t>
        </is>
      </c>
      <c r="CE120" s="9" t="inlineStr">
        <is>
          <t>SOYTIDE&amp;TOXIWALL</t>
        </is>
      </c>
      <c r="CF120" s="9" t="inlineStr">
        <is>
          <t>EP 200&amp;TOXIWALL</t>
        </is>
      </c>
      <c r="CG120" s="9" t="n">
        <v>0</v>
      </c>
      <c r="CH120" s="9" t="n">
        <v>0</v>
      </c>
      <c r="CI120" s="9" t="n">
        <v>0</v>
      </c>
      <c r="CJ120" s="9" t="n">
        <v>0</v>
      </c>
      <c r="CK120" s="9" t="n">
        <v>0</v>
      </c>
      <c r="CL120" s="9" t="n">
        <v>0</v>
      </c>
      <c r="CM120" s="9" t="n">
        <v>0</v>
      </c>
      <c r="CN120" s="9" t="n">
        <v>0</v>
      </c>
      <c r="CO120" s="9" t="n">
        <v>0</v>
      </c>
      <c r="CP120" s="9" t="n">
        <v>0</v>
      </c>
      <c r="CQ120" s="9" t="n">
        <v>0</v>
      </c>
      <c r="CR120" s="9" t="n">
        <v>0</v>
      </c>
      <c r="CT120" s="9" t="inlineStr">
        <is>
          <t>WITH TOXISORB</t>
        </is>
      </c>
      <c r="CU120" s="9" t="inlineStr">
        <is>
          <t>WITH TOXIWALL</t>
        </is>
      </c>
      <c r="CV120" s="9" t="inlineStr">
        <is>
          <t>WITH TOXIWALL, YM 20.50kg</t>
        </is>
      </c>
      <c r="CW120" s="9" t="n">
        <v>0</v>
      </c>
      <c r="CX120" s="9" t="n">
        <v>0</v>
      </c>
      <c r="CY120" s="9" t="n">
        <v>0</v>
      </c>
      <c r="CZ120" s="9" t="n">
        <v>0</v>
      </c>
      <c r="DA120" s="9" t="inlineStr">
        <is>
          <t>REDUCE CORN FOR 2MT</t>
        </is>
      </c>
      <c r="DB120" s="9" t="n">
        <v>0</v>
      </c>
      <c r="DC120" s="9" t="n">
        <v>0</v>
      </c>
      <c r="DD120" s="9" t="inlineStr">
        <is>
          <t>K20</t>
        </is>
      </c>
      <c r="DE120" s="9" t="n">
        <v>0</v>
      </c>
      <c r="DF120" s="9" t="inlineStr">
        <is>
          <t>ALREADY 2MT</t>
        </is>
      </c>
      <c r="DG120" s="9" t="inlineStr">
        <is>
          <t>K21</t>
        </is>
      </c>
      <c r="DH120" s="9" t="n">
        <v>0</v>
      </c>
      <c r="DJ120" s="9" t="inlineStr">
        <is>
          <t>WITH TOXISORB</t>
        </is>
      </c>
      <c r="DK120" s="9" t="inlineStr">
        <is>
          <t>WITHOUT WHEAT POLLARD</t>
        </is>
      </c>
      <c r="DL120" s="9" t="inlineStr">
        <is>
          <t>WITH TOXIWALL</t>
        </is>
      </c>
      <c r="DM120" s="9" t="inlineStr">
        <is>
          <t>WITH TOXIWALL, YM 20.00kg</t>
        </is>
      </c>
      <c r="DN120" s="9" t="n">
        <v>0</v>
      </c>
      <c r="DO120" s="9" t="n">
        <v>0</v>
      </c>
      <c r="DP120" s="9" t="n">
        <v>0</v>
      </c>
      <c r="DQ120" s="9" t="n">
        <v>0</v>
      </c>
      <c r="DR120" s="9" t="n">
        <v>0</v>
      </c>
      <c r="DS120" s="9" t="n">
        <v>0</v>
      </c>
      <c r="DT120" s="9" t="n">
        <v>0</v>
      </c>
      <c r="DU120" s="9" t="n">
        <v>0</v>
      </c>
      <c r="DV120" s="9" t="n">
        <v>0</v>
      </c>
      <c r="DW120" s="9" t="n">
        <v>0</v>
      </c>
      <c r="DX120" s="9" t="n">
        <v>0</v>
      </c>
    </row>
    <row r="121">
      <c r="A121" s="10" t="n">
        <v>46113</v>
      </c>
      <c r="CD121" s="9" t="n">
        <v>20</v>
      </c>
    </row>
    <row r="122">
      <c r="A122" s="10" t="n">
        <v>46114</v>
      </c>
    </row>
    <row r="123">
      <c r="A123" s="10" t="n">
        <v>46115</v>
      </c>
      <c r="B123" s="9" t="n">
        <v>76</v>
      </c>
      <c r="CT123" s="9" t="n">
        <v>20</v>
      </c>
      <c r="CU123" s="9" t="n">
        <v>30</v>
      </c>
    </row>
    <row r="124">
      <c r="A124" s="10" t="n">
        <v>46116</v>
      </c>
    </row>
    <row r="125">
      <c r="A125" s="10" t="n">
        <v>46117</v>
      </c>
    </row>
    <row r="126">
      <c r="A126" s="10" t="n">
        <v>46118</v>
      </c>
      <c r="CD126" s="9" t="n">
        <v>16</v>
      </c>
      <c r="CE126" s="9" t="n">
        <v>32</v>
      </c>
      <c r="CF126" s="9" t="n">
        <v>2</v>
      </c>
      <c r="CU126" s="9" t="n">
        <v>50</v>
      </c>
    </row>
    <row r="127">
      <c r="A127" s="10" t="n">
        <v>46119</v>
      </c>
      <c r="DJ127" s="9" t="n">
        <v>12</v>
      </c>
    </row>
    <row r="128">
      <c r="A128" s="10" t="n">
        <v>46120</v>
      </c>
      <c r="CU128" s="9" t="n">
        <v>70</v>
      </c>
    </row>
    <row r="129">
      <c r="A129" s="10" t="n">
        <v>46121</v>
      </c>
      <c r="CU129" s="9" t="n">
        <v>30</v>
      </c>
    </row>
    <row r="130">
      <c r="A130" s="10" t="n">
        <v>46122</v>
      </c>
      <c r="DL130" s="9" t="n">
        <v>26</v>
      </c>
    </row>
    <row r="131">
      <c r="A131" s="10" t="n">
        <v>46123</v>
      </c>
      <c r="R131" s="9" t="n">
        <v>50</v>
      </c>
      <c r="CU131" s="9" t="n">
        <v>20</v>
      </c>
    </row>
    <row r="132">
      <c r="A132" s="10" t="n">
        <v>46124</v>
      </c>
    </row>
    <row r="133">
      <c r="A133" s="10" t="n">
        <v>46125</v>
      </c>
      <c r="CU133" s="9" t="n">
        <v>30</v>
      </c>
    </row>
    <row r="134">
      <c r="A134" s="10" t="n">
        <v>46126</v>
      </c>
      <c r="CF134" s="9" t="n">
        <v>30</v>
      </c>
      <c r="CU134" s="9" t="n">
        <v>100</v>
      </c>
    </row>
    <row r="135">
      <c r="A135" s="10" t="n">
        <v>46127</v>
      </c>
      <c r="DL135" s="9" t="n">
        <v>38</v>
      </c>
    </row>
    <row r="136">
      <c r="A136" s="10" t="n">
        <v>46128</v>
      </c>
      <c r="CU136" s="9" t="n">
        <v>60</v>
      </c>
    </row>
    <row r="137">
      <c r="A137" s="10" t="n">
        <v>46129</v>
      </c>
      <c r="R137" s="9" t="n">
        <v>46</v>
      </c>
      <c r="CU137" s="9" t="n">
        <v>20</v>
      </c>
    </row>
    <row r="138">
      <c r="A138" s="10" t="n">
        <v>46130</v>
      </c>
      <c r="DL138" s="9" t="n">
        <v>56</v>
      </c>
    </row>
    <row r="139">
      <c r="A139" s="10" t="n">
        <v>46131</v>
      </c>
    </row>
    <row r="140">
      <c r="A140" s="10" t="n">
        <v>46132</v>
      </c>
      <c r="R140" s="9" t="n">
        <v>40</v>
      </c>
      <c r="CE140" s="9" t="n">
        <v>20</v>
      </c>
      <c r="CU140" s="9" t="n">
        <v>30</v>
      </c>
    </row>
    <row r="141">
      <c r="A141" s="10" t="n">
        <v>46133</v>
      </c>
      <c r="R141" s="9" t="n">
        <v>60</v>
      </c>
      <c r="CU141" s="9" t="n">
        <v>30</v>
      </c>
    </row>
    <row r="142">
      <c r="A142" s="10" t="n">
        <v>46134</v>
      </c>
    </row>
    <row r="143">
      <c r="A143" s="10" t="n">
        <v>46135</v>
      </c>
      <c r="R143" s="9" t="n">
        <v>66</v>
      </c>
      <c r="CU143" s="9" t="n">
        <v>24</v>
      </c>
      <c r="CV143" s="9" t="n">
        <v>16</v>
      </c>
    </row>
    <row r="144">
      <c r="A144" s="10" t="n">
        <v>46136</v>
      </c>
      <c r="AH144" s="9" t="n">
        <v>58</v>
      </c>
    </row>
    <row r="145">
      <c r="A145" s="10" t="n">
        <v>46137</v>
      </c>
      <c r="AH145" s="9" t="n">
        <v>18</v>
      </c>
      <c r="CV145" s="9" t="n">
        <v>40</v>
      </c>
      <c r="DL145" s="9" t="n">
        <v>40</v>
      </c>
    </row>
    <row r="146">
      <c r="A146" s="10" t="n">
        <v>46138</v>
      </c>
    </row>
    <row r="147">
      <c r="A147" s="10" t="n">
        <v>46139</v>
      </c>
      <c r="R147" s="9" t="n">
        <v>90</v>
      </c>
      <c r="BN147" s="9" t="n">
        <v>18</v>
      </c>
      <c r="BS147" s="9" t="n">
        <v>48</v>
      </c>
    </row>
    <row r="148">
      <c r="A148" s="10" t="n">
        <v>46140</v>
      </c>
      <c r="CV148" s="9" t="n">
        <v>20</v>
      </c>
      <c r="DL148" s="9" t="n">
        <v>20</v>
      </c>
    </row>
    <row r="149">
      <c r="A149" s="10" t="n">
        <v>46141</v>
      </c>
    </row>
    <row r="150">
      <c r="A150" s="10" t="n">
        <v>46142</v>
      </c>
      <c r="BO150" s="9" t="n">
        <v>20</v>
      </c>
    </row>
    <row r="151"/>
    <row r="152">
      <c r="B152" s="9" t="inlineStr">
        <is>
          <t>WS 1101 (251124)</t>
        </is>
      </c>
      <c r="C152" s="9" t="inlineStr">
        <is>
          <t>WS 1101 (220526)</t>
        </is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R152" s="9" t="inlineStr">
        <is>
          <t>WS 1102 (290825)</t>
        </is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  <c r="AA152" s="9" t="n">
        <v>0</v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H152" s="9" t="inlineStr">
        <is>
          <t>WS 1103 (290825)</t>
        </is>
      </c>
      <c r="AI152" s="9" t="inlineStr">
        <is>
          <t>WS 1103 (220526)</t>
        </is>
      </c>
      <c r="AJ152" s="9" t="n">
        <v>0</v>
      </c>
      <c r="AK152" s="9" t="n">
        <v>0</v>
      </c>
      <c r="AL152" s="9" t="n">
        <v>0</v>
      </c>
      <c r="AM152" s="9" t="n">
        <v>0</v>
      </c>
      <c r="AN152" s="9" t="n">
        <v>0</v>
      </c>
      <c r="AO152" s="9" t="n">
        <v>0</v>
      </c>
      <c r="AP152" s="9" t="n">
        <v>0</v>
      </c>
      <c r="AQ152" s="9" t="n">
        <v>0</v>
      </c>
      <c r="AR152" s="9" t="n">
        <v>0</v>
      </c>
      <c r="AS152" s="9" t="n">
        <v>0</v>
      </c>
      <c r="AT152" s="9" t="n">
        <v>0</v>
      </c>
      <c r="AU152" s="9" t="n">
        <v>0</v>
      </c>
      <c r="AV152" s="9" t="n">
        <v>0</v>
      </c>
      <c r="AX152" s="9" t="n">
        <v>0</v>
      </c>
      <c r="AY152" s="9" t="n">
        <v>0</v>
      </c>
      <c r="AZ152" s="9" t="n">
        <v>0</v>
      </c>
      <c r="BA152" s="9" t="n">
        <v>0</v>
      </c>
      <c r="BB152" s="9" t="n">
        <v>0</v>
      </c>
      <c r="BC152" s="9" t="n">
        <v>0</v>
      </c>
      <c r="BD152" s="9" t="n">
        <v>0</v>
      </c>
      <c r="BE152" s="9" t="n">
        <v>0</v>
      </c>
      <c r="BF152" s="9" t="n">
        <v>0</v>
      </c>
      <c r="BG152" s="9" t="n">
        <v>0</v>
      </c>
      <c r="BH152" s="9" t="n">
        <v>0</v>
      </c>
      <c r="BI152" s="9" t="n">
        <v>0</v>
      </c>
      <c r="BJ152" s="9" t="n">
        <v>0</v>
      </c>
      <c r="BK152" s="9" t="n">
        <v>0</v>
      </c>
      <c r="BL152" s="9" t="n">
        <v>0</v>
      </c>
      <c r="BN152" s="9" t="inlineStr">
        <is>
          <t>WS 8100 (290825)</t>
        </is>
      </c>
      <c r="BO152" s="9" t="inlineStr">
        <is>
          <t>WS 8100 (280426)</t>
        </is>
      </c>
      <c r="BP152" s="9" t="n">
        <v>0</v>
      </c>
      <c r="BQ152" s="9" t="inlineStr">
        <is>
          <t>WS 8102 (290825)</t>
        </is>
      </c>
      <c r="BR152" s="9" t="inlineStr">
        <is>
          <t>WS 8102 (121225)</t>
        </is>
      </c>
      <c r="BS152" s="9" t="inlineStr">
        <is>
          <t>WS 8102 (020326)</t>
        </is>
      </c>
      <c r="BT152" s="9" t="inlineStr">
        <is>
          <t>WS 8102 (020326)</t>
        </is>
      </c>
      <c r="BU152" s="9" t="inlineStr">
        <is>
          <t>WS 8102 (060526)</t>
        </is>
      </c>
      <c r="BV152" s="9" t="inlineStr">
        <is>
          <t>WS 8102 (060526)</t>
        </is>
      </c>
      <c r="BW152" s="9" t="inlineStr">
        <is>
          <t>WS 8103 (070526)</t>
        </is>
      </c>
      <c r="BX152" s="9" t="inlineStr">
        <is>
          <t>WS 8102 (070526)</t>
        </is>
      </c>
      <c r="BY152" s="9" t="inlineStr">
        <is>
          <t>WS 8103 (061125)</t>
        </is>
      </c>
      <c r="BZ152" s="9" t="inlineStr">
        <is>
          <t>WS 8103 (250226)</t>
        </is>
      </c>
      <c r="CA152" s="9" t="inlineStr">
        <is>
          <t>WS 8102 (080526)</t>
        </is>
      </c>
      <c r="CB152" s="9" t="inlineStr">
        <is>
          <t>WS 8109 (080526)</t>
        </is>
      </c>
      <c r="CD152" s="9" t="inlineStr">
        <is>
          <t>YH 121 (050226)</t>
        </is>
      </c>
      <c r="CE152" s="9" t="inlineStr">
        <is>
          <t>YH 121 (190326)</t>
        </is>
      </c>
      <c r="CF152" s="9" t="inlineStr">
        <is>
          <t>YH 121 (020426)</t>
        </is>
      </c>
      <c r="CG152" s="9" t="n">
        <v>0</v>
      </c>
      <c r="CH152" s="9" t="n">
        <v>0</v>
      </c>
      <c r="CI152" s="9" t="n">
        <v>0</v>
      </c>
      <c r="CJ152" s="9" t="n">
        <v>0</v>
      </c>
      <c r="CK152" s="9" t="n">
        <v>0</v>
      </c>
      <c r="CL152" s="9" t="n">
        <v>0</v>
      </c>
      <c r="CM152" s="9" t="inlineStr">
        <is>
          <t>311 (130526)</t>
        </is>
      </c>
      <c r="CN152" s="9" t="inlineStr">
        <is>
          <t>312 (130526)</t>
        </is>
      </c>
      <c r="CO152" s="9" t="n">
        <v>0</v>
      </c>
      <c r="CP152" s="9" t="n">
        <v>0</v>
      </c>
      <c r="CQ152" s="9" t="n">
        <v>0</v>
      </c>
      <c r="CR152" s="9" t="n">
        <v>0</v>
      </c>
      <c r="CT152" s="9" t="inlineStr">
        <is>
          <t>YH 122 (050226)</t>
        </is>
      </c>
      <c r="CU152" s="9" t="inlineStr">
        <is>
          <t>YH 122 (190326)</t>
        </is>
      </c>
      <c r="CV152" s="9" t="inlineStr">
        <is>
          <t>YH 122 (200426)</t>
        </is>
      </c>
      <c r="CW152" s="9" t="n">
        <v>0</v>
      </c>
      <c r="CX152" s="9" t="n">
        <v>0</v>
      </c>
      <c r="CY152" s="9" t="n">
        <v>0</v>
      </c>
      <c r="CZ152" s="9" t="inlineStr">
        <is>
          <t>5201 (090426)</t>
        </is>
      </c>
      <c r="DA152" s="9" t="inlineStr">
        <is>
          <t>5201 (090426)</t>
        </is>
      </c>
      <c r="DB152" s="9" t="n">
        <v>0</v>
      </c>
      <c r="DC152" s="9" t="inlineStr">
        <is>
          <t>5202 (090426)</t>
        </is>
      </c>
      <c r="DD152" s="9" t="inlineStr">
        <is>
          <t>5202 (090426)</t>
        </is>
      </c>
      <c r="DE152" s="9" t="n">
        <v>0</v>
      </c>
      <c r="DF152" s="9" t="inlineStr">
        <is>
          <t>5203 (090426)</t>
        </is>
      </c>
      <c r="DG152" s="9" t="inlineStr">
        <is>
          <t>5203 (090426)</t>
        </is>
      </c>
      <c r="DH152" s="9" t="n">
        <v>0</v>
      </c>
      <c r="DJ152" s="9" t="inlineStr">
        <is>
          <t>YH 123 (050226)</t>
        </is>
      </c>
      <c r="DK152" s="9" t="inlineStr">
        <is>
          <t>YH 123 (130326)</t>
        </is>
      </c>
      <c r="DL152" s="9" t="inlineStr">
        <is>
          <t>YH 123 (190326)</t>
        </is>
      </c>
      <c r="DM152" s="9" t="inlineStr">
        <is>
          <t>YH 123 (200426)</t>
        </is>
      </c>
      <c r="DN152" s="9" t="n">
        <v>0</v>
      </c>
      <c r="DO152" s="9" t="n">
        <v>0</v>
      </c>
      <c r="DP152" s="9" t="n">
        <v>0</v>
      </c>
      <c r="DQ152" s="9" t="n">
        <v>0</v>
      </c>
      <c r="DR152" s="9" t="n">
        <v>0</v>
      </c>
      <c r="DS152" s="9" t="n">
        <v>0</v>
      </c>
      <c r="DT152" s="9" t="n">
        <v>0</v>
      </c>
      <c r="DU152" s="9" t="n">
        <v>0</v>
      </c>
      <c r="DV152" s="9" t="n">
        <v>0</v>
      </c>
      <c r="DW152" s="9" t="n">
        <v>0</v>
      </c>
      <c r="DX152" s="9" t="n">
        <v>0</v>
      </c>
    </row>
    <row r="153">
      <c r="A153" s="9" t="inlineStr">
        <is>
          <t>MAY</t>
        </is>
      </c>
      <c r="B153" s="9" t="inlineStr">
        <is>
          <t>N01309AY</t>
        </is>
      </c>
      <c r="C153" s="9" t="n">
        <v>0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R153" s="9" t="inlineStr">
        <is>
          <t>N025-06</t>
        </is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0</v>
      </c>
      <c r="AA153" s="9" t="n">
        <v>0</v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H153" s="9" t="inlineStr">
        <is>
          <t>N035-06</t>
        </is>
      </c>
      <c r="AI153" s="9" t="inlineStr">
        <is>
          <t>WITH 1103 TOP UP</t>
        </is>
      </c>
      <c r="AJ153" s="9" t="n">
        <v>0</v>
      </c>
      <c r="AK153" s="9" t="n">
        <v>0</v>
      </c>
      <c r="AL153" s="9" t="n">
        <v>0</v>
      </c>
      <c r="AM153" s="9" t="n">
        <v>0</v>
      </c>
      <c r="AN153" s="9" t="n">
        <v>0</v>
      </c>
      <c r="AO153" s="9" t="n">
        <v>0</v>
      </c>
      <c r="AP153" s="9" t="n">
        <v>0</v>
      </c>
      <c r="AQ153" s="9" t="n">
        <v>0</v>
      </c>
      <c r="AR153" s="9" t="n">
        <v>0</v>
      </c>
      <c r="AS153" s="9" t="n">
        <v>0</v>
      </c>
      <c r="AT153" s="9" t="n">
        <v>0</v>
      </c>
      <c r="AU153" s="9" t="n">
        <v>0</v>
      </c>
      <c r="AV153" s="9" t="n">
        <v>0</v>
      </c>
      <c r="AX153" s="9" t="n">
        <v>0</v>
      </c>
      <c r="AY153" s="9" t="n">
        <v>0</v>
      </c>
      <c r="AZ153" s="9" t="n">
        <v>0</v>
      </c>
      <c r="BA153" s="9" t="n">
        <v>0</v>
      </c>
      <c r="BB153" s="9" t="n">
        <v>0</v>
      </c>
      <c r="BC153" s="9" t="n">
        <v>0</v>
      </c>
      <c r="BD153" s="9" t="n">
        <v>0</v>
      </c>
      <c r="BE153" s="9" t="n">
        <v>0</v>
      </c>
      <c r="BF153" s="9" t="n">
        <v>0</v>
      </c>
      <c r="BG153" s="9" t="n">
        <v>0</v>
      </c>
      <c r="BH153" s="9" t="n">
        <v>0</v>
      </c>
      <c r="BI153" s="9" t="n">
        <v>0</v>
      </c>
      <c r="BJ153" s="9" t="n">
        <v>0</v>
      </c>
      <c r="BK153" s="9" t="n">
        <v>0</v>
      </c>
      <c r="BL153" s="9" t="n">
        <v>0</v>
      </c>
      <c r="BN153" s="9" t="inlineStr">
        <is>
          <t>NR 14-04</t>
        </is>
      </c>
      <c r="BO153" s="9" t="n">
        <v>0</v>
      </c>
      <c r="BP153" s="9" t="n">
        <v>0</v>
      </c>
      <c r="BQ153" s="9" t="inlineStr">
        <is>
          <t>NR 24-04Z</t>
        </is>
      </c>
      <c r="BR153" s="9" t="inlineStr">
        <is>
          <t>WITH BMD</t>
        </is>
      </c>
      <c r="BS153" s="9" t="inlineStr">
        <is>
          <t>8102 Top Up&amp;PM 8108</t>
        </is>
      </c>
      <c r="BT153" s="9" t="inlineStr">
        <is>
          <t>8102 Top Up&amp;PM 8102</t>
        </is>
      </c>
      <c r="BU153" s="9" t="inlineStr">
        <is>
          <t>8102 Top Up&amp;PM 8102</t>
        </is>
      </c>
      <c r="BV153" s="9" t="inlineStr">
        <is>
          <t>8102 Top Up&amp;PM 8108</t>
        </is>
      </c>
      <c r="BW153" s="9" t="inlineStr">
        <is>
          <t>8103 Top Up&amp;PM 8103</t>
        </is>
      </c>
      <c r="BX153" s="9" t="inlineStr">
        <is>
          <t>8103 Top Up&amp;PM 8109</t>
        </is>
      </c>
      <c r="BY153" s="9" t="inlineStr">
        <is>
          <t xml:space="preserve">NR 34-04 </t>
        </is>
      </c>
      <c r="BZ153" s="9" t="inlineStr">
        <is>
          <t xml:space="preserve">NR 34-04 </t>
        </is>
      </c>
      <c r="CA153" s="9" t="inlineStr">
        <is>
          <t>8102 TOP UP</t>
        </is>
      </c>
      <c r="CB153" s="9" t="inlineStr">
        <is>
          <t>8103 TOP UP</t>
        </is>
      </c>
      <c r="CD153" s="9" t="inlineStr">
        <is>
          <t>SOYTIDE&amp;TOXISORB</t>
        </is>
      </c>
      <c r="CE153" s="9" t="inlineStr">
        <is>
          <t>SOYTIDE&amp;TOXIWALL</t>
        </is>
      </c>
      <c r="CF153" s="9" t="inlineStr">
        <is>
          <t>EP 200&amp;TOXIWALL</t>
        </is>
      </c>
      <c r="CG153" s="9" t="n">
        <v>0</v>
      </c>
      <c r="CH153" s="9" t="n">
        <v>0</v>
      </c>
      <c r="CI153" s="9" t="n">
        <v>0</v>
      </c>
      <c r="CJ153" s="9" t="n">
        <v>0</v>
      </c>
      <c r="CK153" s="9" t="n">
        <v>0</v>
      </c>
      <c r="CL153" s="9" t="n">
        <v>0</v>
      </c>
      <c r="CM153" s="9" t="n">
        <v>0</v>
      </c>
      <c r="CN153" s="9" t="n">
        <v>0</v>
      </c>
      <c r="CO153" s="9" t="n">
        <v>0</v>
      </c>
      <c r="CP153" s="9" t="n">
        <v>0</v>
      </c>
      <c r="CQ153" s="9" t="n">
        <v>0</v>
      </c>
      <c r="CR153" s="9" t="n">
        <v>0</v>
      </c>
      <c r="CT153" s="9" t="inlineStr">
        <is>
          <t>WITH TOXISORB</t>
        </is>
      </c>
      <c r="CU153" s="9" t="inlineStr">
        <is>
          <t>WITH TOXIWALL</t>
        </is>
      </c>
      <c r="CV153" s="9" t="inlineStr">
        <is>
          <t>WITH TOXIWALL, YM 20.50kg</t>
        </is>
      </c>
      <c r="CW153" s="9" t="n">
        <v>0</v>
      </c>
      <c r="CX153" s="9" t="n">
        <v>0</v>
      </c>
      <c r="CY153" s="9" t="n">
        <v>0</v>
      </c>
      <c r="CZ153" s="9" t="n">
        <v>0</v>
      </c>
      <c r="DA153" s="9" t="inlineStr">
        <is>
          <t>REDUCE CORN FOR 2MT</t>
        </is>
      </c>
      <c r="DB153" s="9" t="n">
        <v>0</v>
      </c>
      <c r="DC153" s="9" t="n">
        <v>0</v>
      </c>
      <c r="DD153" s="9" t="inlineStr">
        <is>
          <t>K20</t>
        </is>
      </c>
      <c r="DE153" s="9" t="n">
        <v>0</v>
      </c>
      <c r="DF153" s="9" t="inlineStr">
        <is>
          <t>ALREADY 2MT</t>
        </is>
      </c>
      <c r="DG153" s="9" t="inlineStr">
        <is>
          <t>K21</t>
        </is>
      </c>
      <c r="DH153" s="9" t="n">
        <v>0</v>
      </c>
      <c r="DJ153" s="9" t="inlineStr">
        <is>
          <t>WITH TOXISORB</t>
        </is>
      </c>
      <c r="DK153" s="9" t="inlineStr">
        <is>
          <t>WITHOUT WHEAT POLLARD</t>
        </is>
      </c>
      <c r="DL153" s="9" t="inlineStr">
        <is>
          <t>WITH TOXIWALL</t>
        </is>
      </c>
      <c r="DM153" s="9" t="inlineStr">
        <is>
          <t>WITH TOXIWALL, YM 20.00kg</t>
        </is>
      </c>
      <c r="DN153" s="9" t="n">
        <v>0</v>
      </c>
      <c r="DO153" s="9" t="n">
        <v>0</v>
      </c>
      <c r="DP153" s="9" t="n">
        <v>0</v>
      </c>
      <c r="DQ153" s="9" t="n">
        <v>0</v>
      </c>
      <c r="DR153" s="9" t="n">
        <v>0</v>
      </c>
      <c r="DS153" s="9" t="n">
        <v>0</v>
      </c>
      <c r="DT153" s="9" t="n">
        <v>0</v>
      </c>
      <c r="DU153" s="9" t="n">
        <v>0</v>
      </c>
      <c r="DV153" s="9" t="n">
        <v>0</v>
      </c>
      <c r="DW153" s="9" t="n">
        <v>0</v>
      </c>
      <c r="DX153" s="9" t="n">
        <v>0</v>
      </c>
    </row>
    <row r="154">
      <c r="A154" s="10" t="n">
        <v>46143</v>
      </c>
    </row>
    <row r="155">
      <c r="A155" s="10" t="n">
        <v>46144</v>
      </c>
      <c r="BS155" s="9" t="n">
        <v>80</v>
      </c>
    </row>
    <row r="156">
      <c r="A156" s="10" t="n">
        <v>46145</v>
      </c>
    </row>
    <row r="157">
      <c r="A157" s="10" t="n">
        <v>46146</v>
      </c>
      <c r="AH157" s="9" t="n">
        <v>50</v>
      </c>
      <c r="DL157" s="9" t="n">
        <v>50</v>
      </c>
    </row>
    <row r="158">
      <c r="A158" s="10" t="n">
        <v>46147</v>
      </c>
    </row>
    <row r="159">
      <c r="A159" s="10" t="n">
        <v>46148</v>
      </c>
      <c r="BS159" s="9" t="n">
        <v>38</v>
      </c>
    </row>
    <row r="160">
      <c r="A160" s="10" t="n">
        <v>46149</v>
      </c>
      <c r="BV160" s="9" t="n">
        <v>82</v>
      </c>
    </row>
    <row r="161">
      <c r="A161" s="10" t="n">
        <v>46150</v>
      </c>
      <c r="BV161" s="9" t="n">
        <v>18</v>
      </c>
      <c r="CB161" s="9" t="n">
        <v>54</v>
      </c>
    </row>
    <row r="162">
      <c r="A162" s="10" t="n">
        <v>46151</v>
      </c>
      <c r="BO162" s="9" t="n">
        <v>10</v>
      </c>
    </row>
    <row r="163">
      <c r="A163" s="10" t="n">
        <v>46152</v>
      </c>
    </row>
    <row r="164">
      <c r="A164" s="10" t="n">
        <v>46153</v>
      </c>
      <c r="BX164" s="9" t="n">
        <v>20</v>
      </c>
      <c r="CB164" s="9" t="n">
        <v>50</v>
      </c>
    </row>
    <row r="165">
      <c r="A165" s="10" t="n">
        <v>46154</v>
      </c>
      <c r="AH165" s="9" t="n">
        <v>90</v>
      </c>
    </row>
    <row r="166">
      <c r="A166" s="10" t="n">
        <v>46155</v>
      </c>
      <c r="R166" s="9" t="n">
        <v>46</v>
      </c>
      <c r="BO166" s="9" t="n">
        <v>44</v>
      </c>
    </row>
    <row r="167">
      <c r="A167" s="10" t="n">
        <v>46156</v>
      </c>
      <c r="CM167" s="9" t="n">
        <v>14</v>
      </c>
    </row>
    <row r="168">
      <c r="A168" s="10" t="n">
        <v>46157</v>
      </c>
      <c r="AH168" s="9" t="n">
        <v>40</v>
      </c>
    </row>
    <row r="169">
      <c r="A169" s="10" t="n">
        <v>46158</v>
      </c>
      <c r="BX169" s="9" t="n">
        <v>60</v>
      </c>
    </row>
    <row r="170">
      <c r="A170" s="10" t="n">
        <v>46159</v>
      </c>
    </row>
    <row r="171">
      <c r="A171" s="10" t="n">
        <v>46160</v>
      </c>
      <c r="R171" s="9" t="n">
        <v>30</v>
      </c>
      <c r="BX171" s="9" t="n">
        <v>50</v>
      </c>
    </row>
    <row r="172">
      <c r="A172" s="10" t="n">
        <v>46161</v>
      </c>
      <c r="AH172" s="9" t="n">
        <v>90</v>
      </c>
    </row>
    <row r="173">
      <c r="A173" s="10" t="n">
        <v>46162</v>
      </c>
      <c r="BO173" s="9" t="n">
        <v>10</v>
      </c>
    </row>
    <row r="174">
      <c r="A174" s="10" t="n">
        <v>46163</v>
      </c>
      <c r="CZ174" s="9" t="n">
        <v>10</v>
      </c>
    </row>
    <row r="175">
      <c r="A175" s="10" t="n">
        <v>46164</v>
      </c>
      <c r="CM175" s="9" t="n">
        <v>36</v>
      </c>
    </row>
    <row r="176">
      <c r="A176" s="10" t="n">
        <v>46165</v>
      </c>
      <c r="BX176" s="9" t="n">
        <v>50</v>
      </c>
    </row>
    <row r="177">
      <c r="A177" s="10" t="n">
        <v>46166</v>
      </c>
    </row>
    <row r="178">
      <c r="A178" s="10" t="n">
        <v>46167</v>
      </c>
      <c r="BO178" s="9" t="n">
        <v>14</v>
      </c>
      <c r="CZ178" s="9" t="n">
        <v>20</v>
      </c>
    </row>
    <row r="179">
      <c r="A179" s="10" t="n">
        <v>46168</v>
      </c>
      <c r="AI179" s="9" t="n">
        <v>60</v>
      </c>
    </row>
    <row r="180">
      <c r="A180" s="10" t="n">
        <v>46169</v>
      </c>
    </row>
    <row r="181">
      <c r="A181" s="10" t="n">
        <v>46170</v>
      </c>
      <c r="BX181" s="9" t="n">
        <v>14</v>
      </c>
    </row>
    <row r="182">
      <c r="A182" s="10" t="n">
        <v>46171</v>
      </c>
      <c r="DC182" s="9" t="n">
        <v>20</v>
      </c>
    </row>
    <row r="183">
      <c r="A183" s="10" t="n">
        <v>46172</v>
      </c>
      <c r="DC183" s="9" t="n">
        <v>4</v>
      </c>
    </row>
    <row r="184">
      <c r="A184" s="10" t="n">
        <v>46173</v>
      </c>
    </row>
    <row r="185"/>
    <row r="186">
      <c r="B186" s="9" t="inlineStr">
        <is>
          <t>WS 1101 (251124)</t>
        </is>
      </c>
      <c r="C186" s="9" t="inlineStr">
        <is>
          <t>WS 1101 (220526)</t>
        </is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R186" s="9" t="inlineStr">
        <is>
          <t>WS 1102 (290825)</t>
        </is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9" t="n">
        <v>0</v>
      </c>
      <c r="AB186" s="9" t="n">
        <v>0</v>
      </c>
      <c r="AC186" s="9" t="n">
        <v>0</v>
      </c>
      <c r="AD186" s="9" t="n">
        <v>0</v>
      </c>
      <c r="AE186" s="9" t="n">
        <v>0</v>
      </c>
      <c r="AF186" s="9" t="n">
        <v>0</v>
      </c>
      <c r="AH186" s="9" t="inlineStr">
        <is>
          <t>WS 1103 (290825)</t>
        </is>
      </c>
      <c r="AI186" s="9" t="inlineStr">
        <is>
          <t>WS 1103 (220526)</t>
        </is>
      </c>
      <c r="AJ186" s="9" t="n">
        <v>0</v>
      </c>
      <c r="AK186" s="9" t="n">
        <v>0</v>
      </c>
      <c r="AL186" s="9" t="n">
        <v>0</v>
      </c>
      <c r="AM186" s="9" t="n">
        <v>0</v>
      </c>
      <c r="AN186" s="9" t="n">
        <v>0</v>
      </c>
      <c r="AO186" s="9" t="n">
        <v>0</v>
      </c>
      <c r="AP186" s="9" t="n">
        <v>0</v>
      </c>
      <c r="AQ186" s="9" t="n">
        <v>0</v>
      </c>
      <c r="AR186" s="9" t="n">
        <v>0</v>
      </c>
      <c r="AS186" s="9" t="n">
        <v>0</v>
      </c>
      <c r="AT186" s="9" t="n">
        <v>0</v>
      </c>
      <c r="AU186" s="9" t="n">
        <v>0</v>
      </c>
      <c r="AV186" s="9" t="n">
        <v>0</v>
      </c>
      <c r="AX186" s="9" t="n">
        <v>0</v>
      </c>
      <c r="AY186" s="9" t="n">
        <v>0</v>
      </c>
      <c r="AZ186" s="9" t="n">
        <v>0</v>
      </c>
      <c r="BA186" s="9" t="n">
        <v>0</v>
      </c>
      <c r="BB186" s="9" t="n">
        <v>0</v>
      </c>
      <c r="BC186" s="9" t="n">
        <v>0</v>
      </c>
      <c r="BD186" s="9" t="n">
        <v>0</v>
      </c>
      <c r="BE186" s="9" t="n">
        <v>0</v>
      </c>
      <c r="BF186" s="9" t="n">
        <v>0</v>
      </c>
      <c r="BG186" s="9" t="n">
        <v>0</v>
      </c>
      <c r="BH186" s="9" t="n">
        <v>0</v>
      </c>
      <c r="BI186" s="9" t="n">
        <v>0</v>
      </c>
      <c r="BJ186" s="9" t="n">
        <v>0</v>
      </c>
      <c r="BK186" s="9" t="n">
        <v>0</v>
      </c>
      <c r="BL186" s="9" t="n">
        <v>0</v>
      </c>
      <c r="BN186" s="9" t="inlineStr">
        <is>
          <t>WS 8100 (290825)</t>
        </is>
      </c>
      <c r="BO186" s="9" t="inlineStr">
        <is>
          <t>WS 8100 (280426)</t>
        </is>
      </c>
      <c r="BP186" s="9" t="n">
        <v>0</v>
      </c>
      <c r="BQ186" s="9" t="inlineStr">
        <is>
          <t>WS 8102 (290825)</t>
        </is>
      </c>
      <c r="BR186" s="9" t="inlineStr">
        <is>
          <t>WS 8102 (121225)</t>
        </is>
      </c>
      <c r="BS186" s="9" t="inlineStr">
        <is>
          <t>WS 8102 (020326)</t>
        </is>
      </c>
      <c r="BT186" s="9" t="inlineStr">
        <is>
          <t>WS 8102 (020326)</t>
        </is>
      </c>
      <c r="BU186" s="9" t="inlineStr">
        <is>
          <t>WS 8102 (060526)</t>
        </is>
      </c>
      <c r="BV186" s="9" t="inlineStr">
        <is>
          <t>WS 8102 (060526)</t>
        </is>
      </c>
      <c r="BW186" s="9" t="inlineStr">
        <is>
          <t>WS 8103 (070526)</t>
        </is>
      </c>
      <c r="BX186" s="9" t="inlineStr">
        <is>
          <t>WS 8102 (070526)</t>
        </is>
      </c>
      <c r="BY186" s="9" t="inlineStr">
        <is>
          <t>WS 8103 (061125)</t>
        </is>
      </c>
      <c r="BZ186" s="9" t="inlineStr">
        <is>
          <t>WS 8103 (250226)</t>
        </is>
      </c>
      <c r="CA186" s="9" t="inlineStr">
        <is>
          <t>WS 8102 (080526)</t>
        </is>
      </c>
      <c r="CB186" s="9" t="inlineStr">
        <is>
          <t>WS 8109 (080526)</t>
        </is>
      </c>
      <c r="CD186" s="9" t="inlineStr">
        <is>
          <t>YH 121 (050226)</t>
        </is>
      </c>
      <c r="CE186" s="9" t="inlineStr">
        <is>
          <t>YH 121 (190326)</t>
        </is>
      </c>
      <c r="CF186" s="9" t="inlineStr">
        <is>
          <t>YH 121 (020426)</t>
        </is>
      </c>
      <c r="CG186" s="9" t="n">
        <v>0</v>
      </c>
      <c r="CH186" s="9" t="n">
        <v>0</v>
      </c>
      <c r="CI186" s="9" t="n">
        <v>0</v>
      </c>
      <c r="CJ186" s="9" t="n">
        <v>0</v>
      </c>
      <c r="CK186" s="9" t="n">
        <v>0</v>
      </c>
      <c r="CL186" s="9" t="n">
        <v>0</v>
      </c>
      <c r="CM186" s="9" t="inlineStr">
        <is>
          <t>311 (130526)</t>
        </is>
      </c>
      <c r="CN186" s="9" t="inlineStr">
        <is>
          <t>312 (130526)</t>
        </is>
      </c>
      <c r="CO186" s="9" t="n">
        <v>0</v>
      </c>
      <c r="CP186" s="9" t="n">
        <v>0</v>
      </c>
      <c r="CQ186" s="9" t="n">
        <v>0</v>
      </c>
      <c r="CR186" s="9" t="n">
        <v>0</v>
      </c>
      <c r="CT186" s="9" t="inlineStr">
        <is>
          <t>YH 122 (050226)</t>
        </is>
      </c>
      <c r="CU186" s="9" t="inlineStr">
        <is>
          <t>YH 122 (190326)</t>
        </is>
      </c>
      <c r="CV186" s="9" t="inlineStr">
        <is>
          <t>YH 122 (200426)</t>
        </is>
      </c>
      <c r="CW186" s="9" t="n">
        <v>0</v>
      </c>
      <c r="CX186" s="9" t="n">
        <v>0</v>
      </c>
      <c r="CY186" s="9" t="n">
        <v>0</v>
      </c>
      <c r="CZ186" s="9" t="inlineStr">
        <is>
          <t>5201 (090426)</t>
        </is>
      </c>
      <c r="DA186" s="9" t="inlineStr">
        <is>
          <t>5201 (090426)</t>
        </is>
      </c>
      <c r="DB186" s="9" t="n">
        <v>0</v>
      </c>
      <c r="DC186" s="9" t="inlineStr">
        <is>
          <t>5202 (090426)</t>
        </is>
      </c>
      <c r="DD186" s="9" t="inlineStr">
        <is>
          <t>5202 (090426)</t>
        </is>
      </c>
      <c r="DE186" s="9" t="n">
        <v>0</v>
      </c>
      <c r="DF186" s="9" t="inlineStr">
        <is>
          <t>5203 (090426)</t>
        </is>
      </c>
      <c r="DG186" s="9" t="inlineStr">
        <is>
          <t>5203 (090426)</t>
        </is>
      </c>
      <c r="DH186" s="9" t="n">
        <v>0</v>
      </c>
      <c r="DJ186" s="9" t="inlineStr">
        <is>
          <t>YH 123 (050226)</t>
        </is>
      </c>
      <c r="DK186" s="9" t="inlineStr">
        <is>
          <t>YH 123 (130326)</t>
        </is>
      </c>
      <c r="DL186" s="9" t="inlineStr">
        <is>
          <t>YH 123 (190326)</t>
        </is>
      </c>
      <c r="DM186" s="9" t="inlineStr">
        <is>
          <t>YH 123 (200426)</t>
        </is>
      </c>
      <c r="DN186" s="9" t="n">
        <v>0</v>
      </c>
      <c r="DO186" s="9" t="n">
        <v>0</v>
      </c>
      <c r="DP186" s="9" t="n">
        <v>0</v>
      </c>
      <c r="DQ186" s="9" t="n">
        <v>0</v>
      </c>
      <c r="DR186" s="9" t="n">
        <v>0</v>
      </c>
      <c r="DS186" s="9" t="n">
        <v>0</v>
      </c>
      <c r="DT186" s="9" t="n">
        <v>0</v>
      </c>
      <c r="DU186" s="9" t="n">
        <v>0</v>
      </c>
      <c r="DV186" s="9" t="n">
        <v>0</v>
      </c>
      <c r="DW186" s="9" t="n">
        <v>0</v>
      </c>
      <c r="DX186" s="9" t="n">
        <v>0</v>
      </c>
    </row>
    <row r="187">
      <c r="A187" s="9" t="inlineStr">
        <is>
          <t>JUNE</t>
        </is>
      </c>
      <c r="B187" s="9" t="inlineStr">
        <is>
          <t>N01309AY</t>
        </is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R187" s="9" t="inlineStr">
        <is>
          <t>N025-06</t>
        </is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  <c r="AA187" s="9" t="n">
        <v>0</v>
      </c>
      <c r="AB187" s="9" t="n">
        <v>0</v>
      </c>
      <c r="AC187" s="9" t="n">
        <v>0</v>
      </c>
      <c r="AD187" s="9" t="n">
        <v>0</v>
      </c>
      <c r="AE187" s="9" t="n">
        <v>0</v>
      </c>
      <c r="AF187" s="9" t="n">
        <v>0</v>
      </c>
      <c r="AH187" s="9" t="inlineStr">
        <is>
          <t>N035-06</t>
        </is>
      </c>
      <c r="AI187" s="9" t="inlineStr">
        <is>
          <t>WITH 1103 TOP UP</t>
        </is>
      </c>
      <c r="AJ187" s="9" t="n">
        <v>0</v>
      </c>
      <c r="AK187" s="9" t="n">
        <v>0</v>
      </c>
      <c r="AL187" s="9" t="n">
        <v>0</v>
      </c>
      <c r="AM187" s="9" t="n">
        <v>0</v>
      </c>
      <c r="AN187" s="9" t="n">
        <v>0</v>
      </c>
      <c r="AO187" s="9" t="n">
        <v>0</v>
      </c>
      <c r="AP187" s="9" t="n">
        <v>0</v>
      </c>
      <c r="AQ187" s="9" t="n">
        <v>0</v>
      </c>
      <c r="AR187" s="9" t="n">
        <v>0</v>
      </c>
      <c r="AS187" s="9" t="n">
        <v>0</v>
      </c>
      <c r="AT187" s="9" t="n">
        <v>0</v>
      </c>
      <c r="AU187" s="9" t="n">
        <v>0</v>
      </c>
      <c r="AV187" s="9" t="n">
        <v>0</v>
      </c>
      <c r="AX187" s="9" t="n">
        <v>0</v>
      </c>
      <c r="AY187" s="9" t="n">
        <v>0</v>
      </c>
      <c r="AZ187" s="9" t="n">
        <v>0</v>
      </c>
      <c r="BA187" s="9" t="n">
        <v>0</v>
      </c>
      <c r="BB187" s="9" t="n">
        <v>0</v>
      </c>
      <c r="BC187" s="9" t="n">
        <v>0</v>
      </c>
      <c r="BD187" s="9" t="n">
        <v>0</v>
      </c>
      <c r="BE187" s="9" t="n">
        <v>0</v>
      </c>
      <c r="BF187" s="9" t="n">
        <v>0</v>
      </c>
      <c r="BG187" s="9" t="n">
        <v>0</v>
      </c>
      <c r="BH187" s="9" t="n">
        <v>0</v>
      </c>
      <c r="BI187" s="9" t="n">
        <v>0</v>
      </c>
      <c r="BJ187" s="9" t="n">
        <v>0</v>
      </c>
      <c r="BK187" s="9" t="n">
        <v>0</v>
      </c>
      <c r="BL187" s="9" t="n">
        <v>0</v>
      </c>
      <c r="BN187" s="9" t="inlineStr">
        <is>
          <t>NR 14-04</t>
        </is>
      </c>
      <c r="BO187" s="9" t="n">
        <v>0</v>
      </c>
      <c r="BP187" s="9" t="n">
        <v>0</v>
      </c>
      <c r="BQ187" s="9" t="inlineStr">
        <is>
          <t>NR 24-04Z</t>
        </is>
      </c>
      <c r="BR187" s="9" t="inlineStr">
        <is>
          <t>WITH BMD</t>
        </is>
      </c>
      <c r="BS187" s="9" t="inlineStr">
        <is>
          <t>8102 Top Up&amp;PM 8108</t>
        </is>
      </c>
      <c r="BT187" s="9" t="inlineStr">
        <is>
          <t>8102 Top Up&amp;PM 8102</t>
        </is>
      </c>
      <c r="BU187" s="9" t="inlineStr">
        <is>
          <t>8102 Top Up&amp;PM 8102</t>
        </is>
      </c>
      <c r="BV187" s="9" t="inlineStr">
        <is>
          <t>8102 Top Up&amp;PM 8108</t>
        </is>
      </c>
      <c r="BW187" s="9" t="inlineStr">
        <is>
          <t>8103 Top Up&amp;PM 8103</t>
        </is>
      </c>
      <c r="BX187" s="9" t="inlineStr">
        <is>
          <t>8103 Top Up&amp;PM 8109</t>
        </is>
      </c>
      <c r="BY187" s="9" t="inlineStr">
        <is>
          <t xml:space="preserve">NR 34-04 </t>
        </is>
      </c>
      <c r="BZ187" s="9" t="inlineStr">
        <is>
          <t xml:space="preserve">NR 34-04 </t>
        </is>
      </c>
      <c r="CA187" s="9" t="inlineStr">
        <is>
          <t>8102 TOP UP</t>
        </is>
      </c>
      <c r="CB187" s="9" t="inlineStr">
        <is>
          <t>8103 TOP UP</t>
        </is>
      </c>
      <c r="CD187" s="9" t="inlineStr">
        <is>
          <t>SOYTIDE&amp;TOXISORB</t>
        </is>
      </c>
      <c r="CE187" s="9" t="inlineStr">
        <is>
          <t>SOYTIDE&amp;TOXIWALL</t>
        </is>
      </c>
      <c r="CF187" s="9" t="inlineStr">
        <is>
          <t>EP 200&amp;TOXIWALL</t>
        </is>
      </c>
      <c r="CG187" s="9" t="n">
        <v>0</v>
      </c>
      <c r="CH187" s="9" t="n">
        <v>0</v>
      </c>
      <c r="CI187" s="9" t="n">
        <v>0</v>
      </c>
      <c r="CJ187" s="9" t="n">
        <v>0</v>
      </c>
      <c r="CK187" s="9" t="n">
        <v>0</v>
      </c>
      <c r="CL187" s="9" t="n">
        <v>0</v>
      </c>
      <c r="CM187" s="9" t="n">
        <v>0</v>
      </c>
      <c r="CN187" s="9" t="n">
        <v>0</v>
      </c>
      <c r="CO187" s="9" t="n">
        <v>0</v>
      </c>
      <c r="CP187" s="9" t="n">
        <v>0</v>
      </c>
      <c r="CQ187" s="9" t="n">
        <v>0</v>
      </c>
      <c r="CR187" s="9" t="n">
        <v>0</v>
      </c>
      <c r="CT187" s="9" t="inlineStr">
        <is>
          <t>WITH TOXISORB</t>
        </is>
      </c>
      <c r="CU187" s="9" t="inlineStr">
        <is>
          <t>WITH TOXIWALL</t>
        </is>
      </c>
      <c r="CV187" s="9" t="inlineStr">
        <is>
          <t>WITH TOXIWALL, YM 20.50kg</t>
        </is>
      </c>
      <c r="CW187" s="9" t="n">
        <v>0</v>
      </c>
      <c r="CX187" s="9" t="n">
        <v>0</v>
      </c>
      <c r="CY187" s="9" t="n">
        <v>0</v>
      </c>
      <c r="CZ187" s="9" t="n">
        <v>0</v>
      </c>
      <c r="DA187" s="9" t="inlineStr">
        <is>
          <t>REDUCE CORN FOR 2MT</t>
        </is>
      </c>
      <c r="DB187" s="9" t="n">
        <v>0</v>
      </c>
      <c r="DC187" s="9" t="n">
        <v>0</v>
      </c>
      <c r="DD187" s="9" t="inlineStr">
        <is>
          <t>K20</t>
        </is>
      </c>
      <c r="DE187" s="9" t="n">
        <v>0</v>
      </c>
      <c r="DF187" s="9" t="inlineStr">
        <is>
          <t>ALREADY 2MT</t>
        </is>
      </c>
      <c r="DG187" s="9" t="inlineStr">
        <is>
          <t>K21</t>
        </is>
      </c>
      <c r="DH187" s="9" t="n">
        <v>0</v>
      </c>
      <c r="DJ187" s="9" t="inlineStr">
        <is>
          <t>WITH TOXISORB</t>
        </is>
      </c>
      <c r="DK187" s="9" t="inlineStr">
        <is>
          <t>WITHOUT WHEAT POLLARD</t>
        </is>
      </c>
      <c r="DL187" s="9" t="inlineStr">
        <is>
          <t>WITH TOXIWALL</t>
        </is>
      </c>
      <c r="DM187" s="9" t="inlineStr">
        <is>
          <t>WITH TOXIWALL, YM 20.00kg</t>
        </is>
      </c>
      <c r="DN187" s="9" t="n">
        <v>0</v>
      </c>
      <c r="DO187" s="9" t="n">
        <v>0</v>
      </c>
      <c r="DP187" s="9" t="n">
        <v>0</v>
      </c>
      <c r="DQ187" s="9" t="n">
        <v>0</v>
      </c>
      <c r="DR187" s="9" t="n">
        <v>0</v>
      </c>
      <c r="DS187" s="9" t="n">
        <v>0</v>
      </c>
      <c r="DT187" s="9" t="n">
        <v>0</v>
      </c>
      <c r="DU187" s="9" t="n">
        <v>0</v>
      </c>
      <c r="DV187" s="9" t="n">
        <v>0</v>
      </c>
      <c r="DW187" s="9" t="n">
        <v>0</v>
      </c>
      <c r="DX187" s="9" t="n">
        <v>0</v>
      </c>
    </row>
    <row r="188">
      <c r="A188" s="10" t="n">
        <v>46174</v>
      </c>
    </row>
    <row r="189">
      <c r="A189" s="10" t="n">
        <v>46175</v>
      </c>
      <c r="BX189" s="9" t="n">
        <v>16</v>
      </c>
    </row>
    <row r="190">
      <c r="A190" s="10" t="n">
        <v>46176</v>
      </c>
      <c r="BX190" s="9" t="n">
        <v>20</v>
      </c>
    </row>
    <row r="191">
      <c r="A191" s="10" t="n">
        <v>46177</v>
      </c>
      <c r="BX191" s="9" t="n">
        <v>40</v>
      </c>
      <c r="DA191" s="9" t="n">
        <v>20</v>
      </c>
      <c r="DC191" s="9" t="n">
        <v>30</v>
      </c>
    </row>
    <row r="192">
      <c r="A192" s="10" t="n">
        <v>46178</v>
      </c>
      <c r="DA192" s="9" t="n">
        <v>30</v>
      </c>
    </row>
    <row r="193">
      <c r="A193" s="10" t="n">
        <v>46179</v>
      </c>
      <c r="BX193" s="9" t="n">
        <v>38</v>
      </c>
      <c r="CM193" s="9" t="n">
        <v>30</v>
      </c>
    </row>
    <row r="194">
      <c r="A194" s="10" t="n">
        <v>46180</v>
      </c>
    </row>
    <row r="195">
      <c r="A195" s="10" t="n">
        <v>46181</v>
      </c>
      <c r="BX195" s="9" t="n">
        <v>40</v>
      </c>
      <c r="DC195" s="9" t="n">
        <v>20</v>
      </c>
    </row>
    <row r="196">
      <c r="A196" s="10" t="n">
        <v>46182</v>
      </c>
      <c r="BX196" s="9" t="n">
        <v>60</v>
      </c>
    </row>
    <row r="197">
      <c r="A197" s="10" t="n">
        <v>46183</v>
      </c>
    </row>
    <row r="198">
      <c r="A198" s="10" t="n">
        <v>46184</v>
      </c>
      <c r="DA198" s="9" t="n">
        <v>4</v>
      </c>
      <c r="DC198" s="9" t="n">
        <v>10</v>
      </c>
    </row>
    <row r="199">
      <c r="A199" s="10" t="n">
        <v>46185</v>
      </c>
      <c r="BX199" s="9" t="n">
        <v>90</v>
      </c>
      <c r="CM199" s="9" t="n">
        <v>30</v>
      </c>
    </row>
    <row r="200">
      <c r="A200" s="10" t="n">
        <v>46186</v>
      </c>
      <c r="DA200" s="9" t="n">
        <v>6</v>
      </c>
      <c r="DC200" s="9" t="n">
        <v>30</v>
      </c>
    </row>
    <row r="201">
      <c r="A201" s="10" t="n">
        <v>46187</v>
      </c>
    </row>
    <row r="202">
      <c r="A202" s="10" t="n">
        <v>46188</v>
      </c>
      <c r="DC202" s="9" t="n">
        <v>44</v>
      </c>
    </row>
    <row r="203">
      <c r="A203" s="10" t="n">
        <v>46189</v>
      </c>
      <c r="DC203" s="9" t="n">
        <v>20</v>
      </c>
    </row>
    <row r="204">
      <c r="A204" s="10" t="n">
        <v>46190</v>
      </c>
      <c r="DC204" s="9" t="n">
        <v>10</v>
      </c>
    </row>
    <row r="205">
      <c r="A205" s="10" t="n">
        <v>46191</v>
      </c>
    </row>
    <row r="206">
      <c r="A206" s="10" t="n">
        <v>46192</v>
      </c>
      <c r="DC206" s="9" t="n">
        <v>90</v>
      </c>
    </row>
    <row r="207">
      <c r="A207" s="10" t="n">
        <v>46193</v>
      </c>
      <c r="DF207" s="9" t="n">
        <v>20</v>
      </c>
    </row>
    <row r="208">
      <c r="A208" s="10" t="n">
        <v>46194</v>
      </c>
    </row>
    <row r="209">
      <c r="A209" s="10" t="n">
        <v>46195</v>
      </c>
    </row>
    <row r="210">
      <c r="A210" s="10" t="n">
        <v>46196</v>
      </c>
      <c r="DF210" s="9" t="n">
        <v>20</v>
      </c>
    </row>
    <row r="211">
      <c r="A211" s="10" t="n">
        <v>46197</v>
      </c>
      <c r="DD211" s="9" t="n">
        <v>24</v>
      </c>
    </row>
    <row r="212">
      <c r="A212" s="10" t="n">
        <v>46198</v>
      </c>
      <c r="DG212" s="9" t="n">
        <v>20</v>
      </c>
    </row>
    <row r="213">
      <c r="A213" s="10" t="n">
        <v>46199</v>
      </c>
      <c r="BX213" s="9" t="n">
        <v>10</v>
      </c>
      <c r="DD213" s="9" t="n">
        <v>46</v>
      </c>
      <c r="DG213" s="9" t="n">
        <v>60</v>
      </c>
    </row>
    <row r="214">
      <c r="A214" s="10" t="n">
        <v>46200</v>
      </c>
      <c r="BO214" s="9" t="n">
        <v>6</v>
      </c>
    </row>
    <row r="215">
      <c r="A215" s="10" t="n">
        <v>46201</v>
      </c>
    </row>
    <row r="216">
      <c r="A216" s="10" t="n">
        <v>46202</v>
      </c>
      <c r="DG216" s="9" t="n">
        <v>60</v>
      </c>
    </row>
    <row r="217">
      <c r="A217" s="10" t="n">
        <v>46203</v>
      </c>
      <c r="DG217" s="9" t="n">
        <v>60</v>
      </c>
    </row>
    <row r="218"/>
    <row r="219">
      <c r="B219" s="9" t="inlineStr">
        <is>
          <t>WS 1101 (251124)</t>
        </is>
      </c>
      <c r="C219" s="9" t="inlineStr">
        <is>
          <t>WS1101
(220526)</t>
        </is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9" t="n">
        <v>0</v>
      </c>
      <c r="R219" s="9" t="inlineStr">
        <is>
          <t>WS 1102 (290825)</t>
        </is>
      </c>
      <c r="S219" s="9" t="n">
        <v>0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0</v>
      </c>
      <c r="Y219" s="9" t="n">
        <v>0</v>
      </c>
      <c r="Z219" s="9" t="n">
        <v>0</v>
      </c>
      <c r="AA219" s="9" t="n">
        <v>0</v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0</v>
      </c>
      <c r="AH219" s="9" t="inlineStr">
        <is>
          <t>WS 1103 (290825)</t>
        </is>
      </c>
      <c r="AI219" s="9" t="inlineStr">
        <is>
          <t>WS 1103 (220526)</t>
        </is>
      </c>
      <c r="AJ219" s="9" t="n">
        <v>0</v>
      </c>
      <c r="AK219" s="9" t="n">
        <v>0</v>
      </c>
      <c r="AL219" s="9" t="n">
        <v>0</v>
      </c>
      <c r="AM219" s="9" t="n">
        <v>0</v>
      </c>
      <c r="AN219" s="9" t="n">
        <v>0</v>
      </c>
      <c r="AO219" s="9" t="n">
        <v>0</v>
      </c>
      <c r="AP219" s="9" t="n">
        <v>0</v>
      </c>
      <c r="AQ219" s="9" t="n">
        <v>0</v>
      </c>
      <c r="AR219" s="9" t="n">
        <v>0</v>
      </c>
      <c r="AS219" s="9" t="n">
        <v>0</v>
      </c>
      <c r="AT219" s="9" t="n">
        <v>0</v>
      </c>
      <c r="AU219" s="9" t="n">
        <v>0</v>
      </c>
      <c r="AV219" s="9" t="n">
        <v>0</v>
      </c>
      <c r="AX219" s="9" t="n">
        <v>0</v>
      </c>
      <c r="AY219" s="9" t="n">
        <v>0</v>
      </c>
      <c r="AZ219" s="9" t="n">
        <v>0</v>
      </c>
      <c r="BA219" s="9" t="n">
        <v>0</v>
      </c>
      <c r="BB219" s="9" t="n">
        <v>0</v>
      </c>
      <c r="BC219" s="9" t="n">
        <v>0</v>
      </c>
      <c r="BD219" s="9" t="n">
        <v>0</v>
      </c>
      <c r="BE219" s="9" t="n">
        <v>0</v>
      </c>
      <c r="BF219" s="9" t="n">
        <v>0</v>
      </c>
      <c r="BG219" s="9" t="n">
        <v>0</v>
      </c>
      <c r="BH219" s="9" t="n">
        <v>0</v>
      </c>
      <c r="BI219" s="9" t="n">
        <v>0</v>
      </c>
      <c r="BJ219" s="9" t="n">
        <v>0</v>
      </c>
      <c r="BK219" s="9" t="n">
        <v>0</v>
      </c>
      <c r="BL219" s="9" t="n">
        <v>0</v>
      </c>
      <c r="BN219" s="9" t="inlineStr">
        <is>
          <t>WS 8100 (290825)</t>
        </is>
      </c>
      <c r="BO219" s="9" t="inlineStr">
        <is>
          <t>WS 8100 (280426)</t>
        </is>
      </c>
      <c r="BP219" s="9" t="inlineStr">
        <is>
          <t>WS 8102 
(230726)</t>
        </is>
      </c>
      <c r="BQ219" s="9" t="inlineStr">
        <is>
          <t>WS 8102 (290825)</t>
        </is>
      </c>
      <c r="BR219" s="9" t="inlineStr">
        <is>
          <t>WS 8102 (121225)</t>
        </is>
      </c>
      <c r="BS219" s="9" t="inlineStr">
        <is>
          <t>WS 8102 (020326)</t>
        </is>
      </c>
      <c r="BT219" s="9" t="inlineStr">
        <is>
          <t>WS 8102 (020326)</t>
        </is>
      </c>
      <c r="BU219" s="9" t="inlineStr">
        <is>
          <t>WS 8102 (060526)</t>
        </is>
      </c>
      <c r="BV219" s="9" t="inlineStr">
        <is>
          <t>WS 8102 (060526)</t>
        </is>
      </c>
      <c r="BW219" s="9" t="inlineStr">
        <is>
          <t>WS 8103 (070526)</t>
        </is>
      </c>
      <c r="BX219" s="9" t="inlineStr">
        <is>
          <t>WS 8102 (070526)</t>
        </is>
      </c>
      <c r="BY219" s="9" t="inlineStr">
        <is>
          <t>WS 8103 (061125)</t>
        </is>
      </c>
      <c r="BZ219" s="9" t="inlineStr">
        <is>
          <t>WS 8103 (250226)</t>
        </is>
      </c>
      <c r="CA219" s="9" t="inlineStr">
        <is>
          <t>WS 8102 (080526)</t>
        </is>
      </c>
      <c r="CB219" s="9" t="inlineStr">
        <is>
          <t>WS 8109 (080526)</t>
        </is>
      </c>
      <c r="CD219" s="9" t="inlineStr">
        <is>
          <t>YH 121 (050226)</t>
        </is>
      </c>
      <c r="CE219" s="9" t="inlineStr">
        <is>
          <t>YH 121 (190326)</t>
        </is>
      </c>
      <c r="CF219" s="9" t="inlineStr">
        <is>
          <t>YH 121 (020426)</t>
        </is>
      </c>
      <c r="CG219" s="9" t="n">
        <v>0</v>
      </c>
      <c r="CH219" s="9" t="n">
        <v>0</v>
      </c>
      <c r="CI219" s="9" t="n">
        <v>0</v>
      </c>
      <c r="CJ219" s="9" t="n">
        <v>0</v>
      </c>
      <c r="CK219" s="9" t="n">
        <v>0</v>
      </c>
      <c r="CL219" s="9" t="n">
        <v>0</v>
      </c>
      <c r="CM219" s="9" t="inlineStr">
        <is>
          <t>311 (130526)</t>
        </is>
      </c>
      <c r="CN219" s="9" t="inlineStr">
        <is>
          <t>312 (130526)</t>
        </is>
      </c>
      <c r="CO219" s="9" t="n">
        <v>0</v>
      </c>
      <c r="CP219" s="9" t="n">
        <v>0</v>
      </c>
      <c r="CQ219" s="9" t="n">
        <v>0</v>
      </c>
      <c r="CR219" s="9" t="n">
        <v>0</v>
      </c>
      <c r="CT219" s="9" t="inlineStr">
        <is>
          <t>YH 122 (050226)</t>
        </is>
      </c>
      <c r="CU219" s="9" t="inlineStr">
        <is>
          <t>YH 122 (190326)</t>
        </is>
      </c>
      <c r="CV219" s="9" t="inlineStr">
        <is>
          <t>YH 122 (200426)</t>
        </is>
      </c>
      <c r="CW219" s="9" t="n">
        <v>0</v>
      </c>
      <c r="CX219" s="9" t="n">
        <v>0</v>
      </c>
      <c r="CY219" s="9" t="n">
        <v>0</v>
      </c>
      <c r="CZ219" s="9" t="inlineStr">
        <is>
          <t>5201 (090426)</t>
        </is>
      </c>
      <c r="DA219" s="9" t="inlineStr">
        <is>
          <t>5201 (090426)</t>
        </is>
      </c>
      <c r="DB219" s="9" t="n">
        <v>0</v>
      </c>
      <c r="DC219" s="9" t="inlineStr">
        <is>
          <t>5202 (090426)</t>
        </is>
      </c>
      <c r="DD219" s="9" t="inlineStr">
        <is>
          <t>5202 (090426)</t>
        </is>
      </c>
      <c r="DE219" s="9" t="n">
        <v>0</v>
      </c>
      <c r="DF219" s="9" t="inlineStr">
        <is>
          <t>5203 (090426)</t>
        </is>
      </c>
      <c r="DG219" s="9" t="inlineStr">
        <is>
          <t>5203 (090426)</t>
        </is>
      </c>
      <c r="DH219" s="9" t="inlineStr">
        <is>
          <t>5203 (240626)</t>
        </is>
      </c>
      <c r="DJ219" s="9" t="inlineStr">
        <is>
          <t>YH 123 (050226)</t>
        </is>
      </c>
      <c r="DK219" s="9" t="inlineStr">
        <is>
          <t>YH 123 (130326)</t>
        </is>
      </c>
      <c r="DL219" s="9" t="inlineStr">
        <is>
          <t>YH 123 (190326)</t>
        </is>
      </c>
      <c r="DM219" s="9" t="inlineStr">
        <is>
          <t>YH 123 (200426)</t>
        </is>
      </c>
      <c r="DN219" s="9" t="n">
        <v>0</v>
      </c>
      <c r="DO219" s="9" t="n">
        <v>0</v>
      </c>
      <c r="DP219" s="9" t="n">
        <v>0</v>
      </c>
      <c r="DQ219" s="9" t="n">
        <v>0</v>
      </c>
      <c r="DR219" s="9" t="n">
        <v>0</v>
      </c>
      <c r="DS219" s="9" t="n">
        <v>0</v>
      </c>
      <c r="DT219" s="9" t="n">
        <v>0</v>
      </c>
      <c r="DU219" s="9" t="n">
        <v>0</v>
      </c>
      <c r="DV219" s="9" t="n">
        <v>0</v>
      </c>
      <c r="DW219" s="9" t="n">
        <v>0</v>
      </c>
      <c r="DX219" s="9" t="n">
        <v>0</v>
      </c>
    </row>
    <row r="220">
      <c r="A220" s="9" t="inlineStr">
        <is>
          <t>JULY</t>
        </is>
      </c>
      <c r="B220" s="9" t="inlineStr">
        <is>
          <t>N01309AY</t>
        </is>
      </c>
      <c r="C220" s="9" t="n">
        <v>0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R220" s="9" t="inlineStr">
        <is>
          <t>N025-06</t>
        </is>
      </c>
      <c r="S220" s="9" t="n">
        <v>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H220" s="9" t="inlineStr">
        <is>
          <t>N035-06</t>
        </is>
      </c>
      <c r="AI220" s="9" t="inlineStr">
        <is>
          <t>WITH 1103 TOP UP</t>
        </is>
      </c>
      <c r="AJ220" s="9" t="n">
        <v>0</v>
      </c>
      <c r="AK220" s="9" t="n">
        <v>0</v>
      </c>
      <c r="AL220" s="9" t="n">
        <v>0</v>
      </c>
      <c r="AM220" s="9" t="n">
        <v>0</v>
      </c>
      <c r="AN220" s="9" t="n">
        <v>0</v>
      </c>
      <c r="AO220" s="9" t="n">
        <v>0</v>
      </c>
      <c r="AP220" s="9" t="n">
        <v>0</v>
      </c>
      <c r="AQ220" s="9" t="n">
        <v>0</v>
      </c>
      <c r="AR220" s="9" t="n">
        <v>0</v>
      </c>
      <c r="AS220" s="9" t="n">
        <v>0</v>
      </c>
      <c r="AT220" s="9" t="n">
        <v>0</v>
      </c>
      <c r="AU220" s="9" t="n">
        <v>0</v>
      </c>
      <c r="AV220" s="9" t="n">
        <v>0</v>
      </c>
      <c r="AX220" s="9" t="n">
        <v>0</v>
      </c>
      <c r="AY220" s="9" t="n">
        <v>0</v>
      </c>
      <c r="AZ220" s="9" t="n">
        <v>0</v>
      </c>
      <c r="BA220" s="9" t="n">
        <v>0</v>
      </c>
      <c r="BB220" s="9" t="n">
        <v>0</v>
      </c>
      <c r="BC220" s="9" t="n">
        <v>0</v>
      </c>
      <c r="BD220" s="9" t="n">
        <v>0</v>
      </c>
      <c r="BE220" s="9" t="n">
        <v>0</v>
      </c>
      <c r="BF220" s="9" t="n">
        <v>0</v>
      </c>
      <c r="BG220" s="9" t="n">
        <v>0</v>
      </c>
      <c r="BH220" s="9" t="n">
        <v>0</v>
      </c>
      <c r="BI220" s="9" t="n">
        <v>0</v>
      </c>
      <c r="BJ220" s="9" t="n">
        <v>0</v>
      </c>
      <c r="BK220" s="9" t="n">
        <v>0</v>
      </c>
      <c r="BL220" s="9" t="n">
        <v>0</v>
      </c>
      <c r="BN220" s="9" t="inlineStr">
        <is>
          <t>NR 14-04</t>
        </is>
      </c>
      <c r="BO220" s="9" t="n">
        <v>0</v>
      </c>
      <c r="BP220" s="9" t="n">
        <v>0</v>
      </c>
      <c r="BQ220" s="9" t="inlineStr">
        <is>
          <t>NR 24-04Z</t>
        </is>
      </c>
      <c r="BR220" s="9" t="inlineStr">
        <is>
          <t>WITH BMD</t>
        </is>
      </c>
      <c r="BS220" s="9" t="inlineStr">
        <is>
          <t>8102 Top Up&amp;PM 8108</t>
        </is>
      </c>
      <c r="BT220" s="9" t="inlineStr">
        <is>
          <t>8102 Top Up&amp;PM 8102</t>
        </is>
      </c>
      <c r="BU220" s="9" t="inlineStr">
        <is>
          <t>8102 Top Up&amp;PM 8102</t>
        </is>
      </c>
      <c r="BV220" s="9" t="inlineStr">
        <is>
          <t>8102 Top Up&amp;PM 8108</t>
        </is>
      </c>
      <c r="BW220" s="9" t="inlineStr">
        <is>
          <t>8103 Top Up&amp;PM 8103</t>
        </is>
      </c>
      <c r="BX220" s="9" t="inlineStr">
        <is>
          <t>8103 Top Up&amp;PM 8109</t>
        </is>
      </c>
      <c r="BY220" s="9" t="inlineStr">
        <is>
          <t xml:space="preserve">NR 34-04 </t>
        </is>
      </c>
      <c r="BZ220" s="9" t="inlineStr">
        <is>
          <t xml:space="preserve">NR 34-04 </t>
        </is>
      </c>
      <c r="CA220" s="9" t="inlineStr">
        <is>
          <t>8102 TOP UP</t>
        </is>
      </c>
      <c r="CB220" s="9" t="inlineStr">
        <is>
          <t>8103 TOP UP</t>
        </is>
      </c>
      <c r="CD220" s="9" t="inlineStr">
        <is>
          <t>SOYTIDE&amp;TOXISORB</t>
        </is>
      </c>
      <c r="CE220" s="9" t="inlineStr">
        <is>
          <t>SOYTIDE&amp;TOXIWALL</t>
        </is>
      </c>
      <c r="CF220" s="9" t="inlineStr">
        <is>
          <t>EP 200&amp;TOXIWALL</t>
        </is>
      </c>
      <c r="CG220" s="9" t="n">
        <v>0</v>
      </c>
      <c r="CH220" s="9" t="n">
        <v>0</v>
      </c>
      <c r="CI220" s="9" t="n">
        <v>0</v>
      </c>
      <c r="CJ220" s="9" t="n">
        <v>0</v>
      </c>
      <c r="CK220" s="9" t="n">
        <v>0</v>
      </c>
      <c r="CL220" s="9" t="n">
        <v>0</v>
      </c>
      <c r="CM220" s="9" t="n">
        <v>0</v>
      </c>
      <c r="CN220" s="9" t="n">
        <v>0</v>
      </c>
      <c r="CO220" s="9" t="n">
        <v>0</v>
      </c>
      <c r="CP220" s="9" t="n">
        <v>0</v>
      </c>
      <c r="CQ220" s="9" t="n">
        <v>0</v>
      </c>
      <c r="CR220" s="9" t="n">
        <v>0</v>
      </c>
      <c r="CT220" s="9" t="inlineStr">
        <is>
          <t>WITH TOXISORB</t>
        </is>
      </c>
      <c r="CU220" s="9" t="inlineStr">
        <is>
          <t>WITH TOXIWALL</t>
        </is>
      </c>
      <c r="CV220" s="9" t="inlineStr">
        <is>
          <t>WITH TOXIWALL, YM 20.50kg</t>
        </is>
      </c>
      <c r="CW220" s="9" t="n">
        <v>0</v>
      </c>
      <c r="CX220" s="9" t="n">
        <v>0</v>
      </c>
      <c r="CY220" s="9" t="n">
        <v>0</v>
      </c>
      <c r="CZ220" s="9" t="n">
        <v>0</v>
      </c>
      <c r="DA220" s="9" t="inlineStr">
        <is>
          <t>REDUCE CORN FOR 2MT</t>
        </is>
      </c>
      <c r="DB220" s="9" t="n">
        <v>0</v>
      </c>
      <c r="DC220" s="9" t="n">
        <v>0</v>
      </c>
      <c r="DD220" s="9" t="inlineStr">
        <is>
          <t>K20</t>
        </is>
      </c>
      <c r="DE220" s="9" t="n">
        <v>0</v>
      </c>
      <c r="DF220" s="9" t="inlineStr">
        <is>
          <t>ALREADY 2MT</t>
        </is>
      </c>
      <c r="DG220" s="9" t="inlineStr">
        <is>
          <t>K21</t>
        </is>
      </c>
      <c r="DH220" s="9" t="inlineStr">
        <is>
          <t>k21</t>
        </is>
      </c>
      <c r="DJ220" s="9" t="inlineStr">
        <is>
          <t>WITH TOXISORB</t>
        </is>
      </c>
      <c r="DK220" s="9" t="inlineStr">
        <is>
          <t>WITHOUT WHEAT POLLARD</t>
        </is>
      </c>
      <c r="DL220" s="9" t="inlineStr">
        <is>
          <t>WITH TOXIWALL</t>
        </is>
      </c>
      <c r="DM220" s="9" t="inlineStr">
        <is>
          <t>WITH TOXIWALL, YM 20.00kg</t>
        </is>
      </c>
      <c r="DN220" s="9" t="n">
        <v>0</v>
      </c>
      <c r="DO220" s="9" t="n">
        <v>0</v>
      </c>
      <c r="DP220" s="9" t="n">
        <v>0</v>
      </c>
      <c r="DQ220" s="9" t="n">
        <v>0</v>
      </c>
      <c r="DR220" s="9" t="n">
        <v>0</v>
      </c>
      <c r="DS220" s="9" t="n">
        <v>0</v>
      </c>
      <c r="DT220" s="9" t="n">
        <v>0</v>
      </c>
      <c r="DU220" s="9" t="n">
        <v>0</v>
      </c>
      <c r="DV220" s="9" t="n">
        <v>0</v>
      </c>
      <c r="DW220" s="9" t="n">
        <v>0</v>
      </c>
      <c r="DX220" s="9" t="n">
        <v>0</v>
      </c>
    </row>
    <row r="221">
      <c r="A221" s="10" t="n">
        <v>46204</v>
      </c>
      <c r="DD221" s="9" t="n">
        <v>6</v>
      </c>
    </row>
    <row r="222">
      <c r="A222" s="10" t="n">
        <v>46205</v>
      </c>
      <c r="DH222" s="9" t="n">
        <v>50</v>
      </c>
    </row>
    <row r="223">
      <c r="A223" s="10" t="n">
        <v>46206</v>
      </c>
      <c r="DG223" s="9" t="n">
        <v>22</v>
      </c>
      <c r="DH223" s="9" t="n">
        <v>22</v>
      </c>
    </row>
    <row r="224">
      <c r="A224" s="10" t="n">
        <v>46207</v>
      </c>
      <c r="BX224" s="9" t="n">
        <v>4</v>
      </c>
      <c r="DH224" s="9" t="n">
        <v>70</v>
      </c>
    </row>
    <row r="225">
      <c r="A225" s="10" t="n">
        <v>46208</v>
      </c>
      <c r="AW225" s="9" t="inlineStr">
        <is>
          <t>            </t>
        </is>
      </c>
    </row>
    <row r="226">
      <c r="A226" s="10" t="n">
        <v>46209</v>
      </c>
      <c r="B226" s="9" t="n">
        <v>16</v>
      </c>
      <c r="BO226" s="9" t="n">
        <v>6</v>
      </c>
      <c r="DA226" s="9" t="n">
        <v>10</v>
      </c>
    </row>
    <row r="227">
      <c r="A227" s="10" t="n">
        <v>46210</v>
      </c>
      <c r="DA227" s="9" t="n">
        <v>24</v>
      </c>
      <c r="DH227" s="9" t="n">
        <v>20</v>
      </c>
    </row>
    <row r="228">
      <c r="A228" s="10" t="n">
        <v>46211</v>
      </c>
      <c r="DH228" s="9" t="n">
        <v>20</v>
      </c>
    </row>
    <row r="229">
      <c r="A229" s="10" t="n">
        <v>46212</v>
      </c>
      <c r="DD229" s="9" t="n">
        <v>18</v>
      </c>
      <c r="DH229" s="9" t="n">
        <v>50</v>
      </c>
    </row>
    <row r="230">
      <c r="A230" s="10" t="n">
        <v>46213</v>
      </c>
      <c r="R230" s="9" t="n">
        <v>14</v>
      </c>
      <c r="BX230" s="9" t="n">
        <v>72</v>
      </c>
      <c r="DD230" s="9" t="n">
        <v>80</v>
      </c>
    </row>
    <row r="231">
      <c r="A231" s="10" t="n">
        <v>46214</v>
      </c>
    </row>
    <row r="232">
      <c r="A232" s="10" t="n">
        <v>46215</v>
      </c>
    </row>
    <row r="233">
      <c r="A233" s="10" t="n">
        <v>46216</v>
      </c>
      <c r="DA233" s="9" t="n">
        <v>10</v>
      </c>
      <c r="DH233" s="9" t="n">
        <v>18</v>
      </c>
    </row>
    <row r="234">
      <c r="A234" s="10" t="n">
        <v>46217</v>
      </c>
      <c r="BO234" s="9" t="n">
        <v>16</v>
      </c>
      <c r="BX234" s="9" t="n">
        <v>30</v>
      </c>
      <c r="DH234" s="9" t="n">
        <v>80</v>
      </c>
    </row>
    <row r="235">
      <c r="A235" s="10" t="n">
        <v>46218</v>
      </c>
      <c r="DA235" s="9" t="n">
        <v>6</v>
      </c>
      <c r="DD235" s="9" t="n">
        <v>40</v>
      </c>
    </row>
    <row r="236">
      <c r="A236" s="10" t="n">
        <v>46219</v>
      </c>
      <c r="BX236" s="9" t="n">
        <v>16</v>
      </c>
      <c r="DH236" s="9" t="n">
        <v>60</v>
      </c>
    </row>
    <row r="237">
      <c r="A237" s="10" t="n">
        <v>46220</v>
      </c>
      <c r="DD237" s="9" t="n">
        <v>30</v>
      </c>
    </row>
    <row r="238">
      <c r="A238" s="10" t="n">
        <v>46221</v>
      </c>
      <c r="BO238" s="9" t="n">
        <v>16</v>
      </c>
      <c r="BU238" s="9" t="n">
        <v>12</v>
      </c>
      <c r="BX238" s="9" t="n">
        <v>4</v>
      </c>
      <c r="DA238" s="9" t="n">
        <v>10</v>
      </c>
      <c r="DD238" s="9" t="n">
        <v>10</v>
      </c>
    </row>
    <row r="239">
      <c r="A239" s="10" t="n">
        <v>46222</v>
      </c>
    </row>
    <row r="240">
      <c r="A240" s="10" t="n">
        <v>46223</v>
      </c>
    </row>
    <row r="241">
      <c r="A241" s="10" t="n">
        <v>46224</v>
      </c>
      <c r="DA241" s="9" t="n">
        <v>10</v>
      </c>
      <c r="DD241" s="9" t="n">
        <v>30</v>
      </c>
      <c r="DH241" s="9" t="n">
        <v>26</v>
      </c>
    </row>
    <row r="242">
      <c r="A242" s="10" t="n">
        <v>46225</v>
      </c>
    </row>
    <row r="243">
      <c r="A243" s="10" t="n">
        <v>46226</v>
      </c>
      <c r="BU243" s="9" t="n">
        <v>30</v>
      </c>
    </row>
    <row r="244">
      <c r="A244" s="10" t="n">
        <v>46227</v>
      </c>
      <c r="C244" s="9" t="n">
        <v>30</v>
      </c>
      <c r="BP244" s="9" t="n">
        <v>18</v>
      </c>
    </row>
    <row r="245">
      <c r="A245" s="10" t="n">
        <v>46228</v>
      </c>
      <c r="DA245" s="9" t="n">
        <v>30</v>
      </c>
      <c r="DD245" s="9" t="n">
        <v>30</v>
      </c>
    </row>
    <row r="246">
      <c r="A246" s="10" t="n">
        <v>46229</v>
      </c>
    </row>
    <row r="247">
      <c r="A247" s="10" t="n">
        <v>46230</v>
      </c>
      <c r="DH247" s="9" t="n">
        <v>60</v>
      </c>
    </row>
    <row r="248">
      <c r="A248" s="10" t="n">
        <v>46231</v>
      </c>
    </row>
    <row r="249">
      <c r="A249" s="10" t="n">
        <v>46232</v>
      </c>
    </row>
    <row r="250">
      <c r="A250" s="10" t="n">
        <v>46233</v>
      </c>
    </row>
    <row r="251">
      <c r="A251" s="10" t="n">
        <v>46234</v>
      </c>
    </row>
    <row r="252"/>
    <row r="253">
      <c r="A253" s="9">
        <f>'VAC &amp; MED'!C254</f>
        <v/>
      </c>
      <c r="B253" s="9" t="inlineStr">
        <is>
          <t>WS 1101 (251124)</t>
        </is>
      </c>
      <c r="C253" s="9">
        <f>FORMULA!$D$3</f>
        <v/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R253" s="9" t="inlineStr">
        <is>
          <t>WS 1102 (290825)</t>
        </is>
      </c>
      <c r="S253" s="9" t="inlineStr">
        <is>
          <t>WS 1102
(220526)</t>
        </is>
      </c>
      <c r="T253" s="9" t="n">
        <v>0</v>
      </c>
      <c r="U253" s="9" t="n">
        <v>0</v>
      </c>
      <c r="V253" s="9" t="n">
        <v>0</v>
      </c>
      <c r="W253" s="9" t="n">
        <v>0</v>
      </c>
      <c r="X253" s="9" t="n">
        <v>0</v>
      </c>
      <c r="Y253" s="9" t="n">
        <v>0</v>
      </c>
      <c r="Z253" s="9" t="n">
        <v>0</v>
      </c>
      <c r="AA253" s="9" t="n">
        <v>0</v>
      </c>
      <c r="AB253" s="9" t="n">
        <v>0</v>
      </c>
      <c r="AC253" s="9" t="n">
        <v>0</v>
      </c>
      <c r="AD253" s="9" t="n">
        <v>0</v>
      </c>
      <c r="AE253" s="9" t="n">
        <v>0</v>
      </c>
      <c r="AF253" s="9" t="n">
        <v>0</v>
      </c>
      <c r="AH253" s="9" t="inlineStr">
        <is>
          <t>WS 1103 (290825)</t>
        </is>
      </c>
      <c r="AI253" s="9" t="inlineStr">
        <is>
          <t>WS 1103 (220526)</t>
        </is>
      </c>
      <c r="AJ253" s="9" t="n">
        <v>0</v>
      </c>
      <c r="AK253" s="9" t="n">
        <v>0</v>
      </c>
      <c r="AL253" s="9" t="n">
        <v>0</v>
      </c>
      <c r="AM253" s="9" t="n">
        <v>0</v>
      </c>
      <c r="AN253" s="9" t="n">
        <v>0</v>
      </c>
      <c r="AO253" s="9" t="n">
        <v>0</v>
      </c>
      <c r="AP253" s="9" t="n">
        <v>0</v>
      </c>
      <c r="AQ253" s="9" t="n">
        <v>0</v>
      </c>
      <c r="AR253" s="9" t="n">
        <v>0</v>
      </c>
      <c r="AS253" s="9" t="n">
        <v>0</v>
      </c>
      <c r="AT253" s="9" t="n">
        <v>0</v>
      </c>
      <c r="AU253" s="9" t="n">
        <v>0</v>
      </c>
      <c r="AV253" s="9" t="n">
        <v>0</v>
      </c>
      <c r="AX253" s="9" t="n">
        <v>0</v>
      </c>
      <c r="AY253" s="9" t="n">
        <v>0</v>
      </c>
      <c r="AZ253" s="9" t="n">
        <v>0</v>
      </c>
      <c r="BA253" s="9" t="n">
        <v>0</v>
      </c>
      <c r="BB253" s="9" t="n">
        <v>0</v>
      </c>
      <c r="BC253" s="9" t="n">
        <v>0</v>
      </c>
      <c r="BD253" s="9" t="n">
        <v>0</v>
      </c>
      <c r="BE253" s="9" t="n">
        <v>0</v>
      </c>
      <c r="BF253" s="9" t="n">
        <v>0</v>
      </c>
      <c r="BG253" s="9" t="n">
        <v>0</v>
      </c>
      <c r="BH253" s="9" t="n">
        <v>0</v>
      </c>
      <c r="BI253" s="9" t="n">
        <v>0</v>
      </c>
      <c r="BJ253" s="9" t="n">
        <v>0</v>
      </c>
      <c r="BK253" s="9" t="n">
        <v>0</v>
      </c>
      <c r="BL253" s="9" t="n">
        <v>0</v>
      </c>
      <c r="BN253" s="9" t="inlineStr">
        <is>
          <t>WS 8100 (290825)</t>
        </is>
      </c>
      <c r="BO253" s="9" t="inlineStr">
        <is>
          <t>WS 8100 (280426)</t>
        </is>
      </c>
      <c r="BP253" s="9" t="inlineStr">
        <is>
          <t>W 8102 (230726)</t>
        </is>
      </c>
      <c r="BQ253" s="9" t="inlineStr">
        <is>
          <t>WS 8102 (290825)</t>
        </is>
      </c>
      <c r="BR253" s="9" t="inlineStr">
        <is>
          <t>WS 8102 (121225)</t>
        </is>
      </c>
      <c r="BS253" s="9" t="inlineStr">
        <is>
          <t>WS 8102 (020326)</t>
        </is>
      </c>
      <c r="BT253" s="9" t="inlineStr">
        <is>
          <t>WS 8102 (020326)</t>
        </is>
      </c>
      <c r="BU253" s="9" t="inlineStr">
        <is>
          <t>WS 8102 (060526)</t>
        </is>
      </c>
      <c r="BV253" s="9" t="inlineStr">
        <is>
          <t>WS 8102 (060526)</t>
        </is>
      </c>
      <c r="BW253" s="9" t="inlineStr">
        <is>
          <t>WS 8103 (070526)</t>
        </is>
      </c>
      <c r="BX253" s="9" t="inlineStr">
        <is>
          <t>WS 8102 (070526)</t>
        </is>
      </c>
      <c r="BY253" s="9" t="inlineStr">
        <is>
          <t>WS 8103 (061125)</t>
        </is>
      </c>
      <c r="BZ253" s="9" t="inlineStr">
        <is>
          <t>WS 8103 (250226)</t>
        </is>
      </c>
      <c r="CA253" s="9" t="inlineStr">
        <is>
          <t>WS 8102 (080526)</t>
        </is>
      </c>
      <c r="CB253" s="9" t="inlineStr">
        <is>
          <t>WS 8109 (080526)</t>
        </is>
      </c>
      <c r="CD253" s="9" t="inlineStr">
        <is>
          <t>YH 121 (050226)</t>
        </is>
      </c>
      <c r="CE253" s="9" t="inlineStr">
        <is>
          <t>YH 121 (190326)</t>
        </is>
      </c>
      <c r="CF253" s="9" t="inlineStr">
        <is>
          <t>YH 121 (020426)</t>
        </is>
      </c>
      <c r="CG253" s="9" t="n">
        <v>0</v>
      </c>
      <c r="CH253" s="9" t="n">
        <v>0</v>
      </c>
      <c r="CI253" s="9" t="n">
        <v>0</v>
      </c>
      <c r="CJ253" s="9" t="n">
        <v>0</v>
      </c>
      <c r="CK253" s="9" t="n">
        <v>0</v>
      </c>
      <c r="CL253" s="9" t="n">
        <v>0</v>
      </c>
      <c r="CM253" s="9" t="inlineStr">
        <is>
          <t>311 (130526)</t>
        </is>
      </c>
      <c r="CN253" s="9" t="inlineStr">
        <is>
          <t>312 (130526)</t>
        </is>
      </c>
      <c r="CO253" s="9" t="n">
        <v>0</v>
      </c>
      <c r="CP253" s="9" t="n">
        <v>0</v>
      </c>
      <c r="CQ253" s="9" t="n">
        <v>0</v>
      </c>
      <c r="CR253" s="9" t="n">
        <v>0</v>
      </c>
      <c r="CT253" s="9" t="inlineStr">
        <is>
          <t>YH 122 (050226)</t>
        </is>
      </c>
      <c r="CU253" s="9" t="inlineStr">
        <is>
          <t>YH 122 (190326)</t>
        </is>
      </c>
      <c r="CV253" s="9" t="inlineStr">
        <is>
          <t>YH 122 (200426)</t>
        </is>
      </c>
      <c r="CW253" s="9" t="n">
        <v>0</v>
      </c>
      <c r="CX253" s="9" t="n">
        <v>0</v>
      </c>
      <c r="CY253" s="9" t="n">
        <v>0</v>
      </c>
      <c r="CZ253" s="9" t="inlineStr">
        <is>
          <t>5201 (090426)</t>
        </is>
      </c>
      <c r="DA253" s="9" t="inlineStr">
        <is>
          <t>5201 (090426)</t>
        </is>
      </c>
      <c r="DB253" s="9" t="n">
        <v>0</v>
      </c>
      <c r="DC253" s="9" t="inlineStr">
        <is>
          <t>5202 (090426)</t>
        </is>
      </c>
      <c r="DD253" s="9" t="inlineStr">
        <is>
          <t>5202 (090426)</t>
        </is>
      </c>
      <c r="DE253" s="9" t="n">
        <v>0</v>
      </c>
      <c r="DF253" s="9" t="inlineStr">
        <is>
          <t>5203 (090426)</t>
        </is>
      </c>
      <c r="DG253" s="9" t="inlineStr">
        <is>
          <t>5203 (090426)</t>
        </is>
      </c>
      <c r="DH253" s="9" t="inlineStr">
        <is>
          <t>5203 (240626)</t>
        </is>
      </c>
      <c r="DJ253" s="9" t="inlineStr">
        <is>
          <t>YH 123 (050226)</t>
        </is>
      </c>
      <c r="DK253" s="9" t="inlineStr">
        <is>
          <t>YH 123 (130326)</t>
        </is>
      </c>
      <c r="DL253" s="9" t="inlineStr">
        <is>
          <t>YH 123 (190326)</t>
        </is>
      </c>
      <c r="DM253" s="9" t="inlineStr">
        <is>
          <t>YH 123 (200426)</t>
        </is>
      </c>
      <c r="DN253" s="9" t="n">
        <v>0</v>
      </c>
      <c r="DO253" s="9" t="n">
        <v>0</v>
      </c>
      <c r="DP253" s="9" t="n">
        <v>0</v>
      </c>
      <c r="DQ253" s="9" t="n">
        <v>0</v>
      </c>
      <c r="DR253" s="9" t="n">
        <v>0</v>
      </c>
      <c r="DS253" s="9" t="n">
        <v>0</v>
      </c>
      <c r="DT253" s="9" t="n">
        <v>0</v>
      </c>
      <c r="DU253" s="9" t="n">
        <v>0</v>
      </c>
      <c r="DV253" s="9" t="n">
        <v>0</v>
      </c>
      <c r="DW253" s="9" t="n">
        <v>0</v>
      </c>
      <c r="DX253" s="9" t="n">
        <v>0</v>
      </c>
    </row>
    <row r="254">
      <c r="A254" s="9" t="inlineStr">
        <is>
          <t>AUGUST</t>
        </is>
      </c>
      <c r="B254" s="9" t="inlineStr">
        <is>
          <t>N01309AY</t>
        </is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R254" s="9" t="inlineStr">
        <is>
          <t>N025-06</t>
        </is>
      </c>
      <c r="S254" s="9" t="n">
        <v>0</v>
      </c>
      <c r="T254" s="9" t="n">
        <v>0</v>
      </c>
      <c r="U254" s="9" t="n">
        <v>0</v>
      </c>
      <c r="V254" s="9" t="n">
        <v>0</v>
      </c>
      <c r="W254" s="9" t="n">
        <v>0</v>
      </c>
      <c r="X254" s="9" t="n">
        <v>0</v>
      </c>
      <c r="Y254" s="9" t="n">
        <v>0</v>
      </c>
      <c r="Z254" s="9" t="n">
        <v>0</v>
      </c>
      <c r="AA254" s="9" t="n">
        <v>0</v>
      </c>
      <c r="AB254" s="9" t="n">
        <v>0</v>
      </c>
      <c r="AC254" s="9" t="n">
        <v>0</v>
      </c>
      <c r="AD254" s="9" t="n">
        <v>0</v>
      </c>
      <c r="AE254" s="9" t="n">
        <v>0</v>
      </c>
      <c r="AF254" s="9" t="n">
        <v>0</v>
      </c>
      <c r="AH254" s="9" t="inlineStr">
        <is>
          <t>N035-06</t>
        </is>
      </c>
      <c r="AI254" s="9" t="inlineStr">
        <is>
          <t>WITH 1103 TOP UP</t>
        </is>
      </c>
      <c r="AJ254" s="9" t="n">
        <v>0</v>
      </c>
      <c r="AK254" s="9" t="n">
        <v>0</v>
      </c>
      <c r="AL254" s="9" t="n">
        <v>0</v>
      </c>
      <c r="AM254" s="9" t="n">
        <v>0</v>
      </c>
      <c r="AN254" s="9" t="n">
        <v>0</v>
      </c>
      <c r="AO254" s="9" t="n">
        <v>0</v>
      </c>
      <c r="AP254" s="9" t="n">
        <v>0</v>
      </c>
      <c r="AQ254" s="9" t="n">
        <v>0</v>
      </c>
      <c r="AR254" s="9" t="n">
        <v>0</v>
      </c>
      <c r="AS254" s="9" t="n">
        <v>0</v>
      </c>
      <c r="AT254" s="9" t="n">
        <v>0</v>
      </c>
      <c r="AU254" s="9" t="n">
        <v>0</v>
      </c>
      <c r="AV254" s="9" t="n">
        <v>0</v>
      </c>
      <c r="AX254" s="9" t="n">
        <v>0</v>
      </c>
      <c r="AY254" s="9" t="n">
        <v>0</v>
      </c>
      <c r="AZ254" s="9" t="n">
        <v>0</v>
      </c>
      <c r="BA254" s="9" t="n">
        <v>0</v>
      </c>
      <c r="BB254" s="9" t="n">
        <v>0</v>
      </c>
      <c r="BC254" s="9" t="n">
        <v>0</v>
      </c>
      <c r="BD254" s="9" t="n">
        <v>0</v>
      </c>
      <c r="BE254" s="9" t="n">
        <v>0</v>
      </c>
      <c r="BF254" s="9" t="n">
        <v>0</v>
      </c>
      <c r="BG254" s="9" t="n">
        <v>0</v>
      </c>
      <c r="BH254" s="9" t="n">
        <v>0</v>
      </c>
      <c r="BI254" s="9" t="n">
        <v>0</v>
      </c>
      <c r="BJ254" s="9" t="n">
        <v>0</v>
      </c>
      <c r="BK254" s="9" t="n">
        <v>0</v>
      </c>
      <c r="BL254" s="9" t="n">
        <v>0</v>
      </c>
      <c r="BN254" s="9" t="inlineStr">
        <is>
          <t>NR 14-04</t>
        </is>
      </c>
      <c r="BO254" s="9" t="n">
        <v>0</v>
      </c>
      <c r="BP254" s="9" t="n">
        <v>0</v>
      </c>
      <c r="BQ254" s="9" t="inlineStr">
        <is>
          <t>NR 24-04Z</t>
        </is>
      </c>
      <c r="BR254" s="9" t="inlineStr">
        <is>
          <t>WITH BMD</t>
        </is>
      </c>
      <c r="BS254" s="9" t="inlineStr">
        <is>
          <t>8102 Top Up&amp;PM 8108</t>
        </is>
      </c>
      <c r="BT254" s="9" t="inlineStr">
        <is>
          <t>8102 Top Up&amp;PM 8102</t>
        </is>
      </c>
      <c r="BU254" s="9" t="inlineStr">
        <is>
          <t>8102 Top Up&amp;PM 8102</t>
        </is>
      </c>
      <c r="BV254" s="9" t="inlineStr">
        <is>
          <t>8102 Top Up&amp;PM 8108</t>
        </is>
      </c>
      <c r="BW254" s="9" t="inlineStr">
        <is>
          <t>8103 Top Up&amp;PM 8103</t>
        </is>
      </c>
      <c r="BX254" s="9" t="inlineStr">
        <is>
          <t>8103 Top Up&amp;PM 8109</t>
        </is>
      </c>
      <c r="BY254" s="9" t="inlineStr">
        <is>
          <t xml:space="preserve">NR 34-04 </t>
        </is>
      </c>
      <c r="BZ254" s="9" t="inlineStr">
        <is>
          <t xml:space="preserve">NR 34-04 </t>
        </is>
      </c>
      <c r="CA254" s="9" t="inlineStr">
        <is>
          <t>8102 TOP UP</t>
        </is>
      </c>
      <c r="CB254" s="9" t="inlineStr">
        <is>
          <t>8103 TOP UP</t>
        </is>
      </c>
      <c r="CD254" s="9" t="inlineStr">
        <is>
          <t>SOYTIDE&amp;TOXISORB</t>
        </is>
      </c>
      <c r="CE254" s="9" t="inlineStr">
        <is>
          <t>SOYTIDE&amp;TOXIWALL</t>
        </is>
      </c>
      <c r="CF254" s="9" t="inlineStr">
        <is>
          <t>EP 200&amp;TOXIWALL</t>
        </is>
      </c>
      <c r="CG254" s="9" t="n">
        <v>0</v>
      </c>
      <c r="CH254" s="9" t="n">
        <v>0</v>
      </c>
      <c r="CI254" s="9" t="n">
        <v>0</v>
      </c>
      <c r="CJ254" s="9" t="n">
        <v>0</v>
      </c>
      <c r="CK254" s="9" t="n">
        <v>0</v>
      </c>
      <c r="CL254" s="9" t="n">
        <v>0</v>
      </c>
      <c r="CM254" s="9" t="n">
        <v>0</v>
      </c>
      <c r="CN254" s="9" t="n">
        <v>0</v>
      </c>
      <c r="CO254" s="9" t="n">
        <v>0</v>
      </c>
      <c r="CP254" s="9" t="n">
        <v>0</v>
      </c>
      <c r="CQ254" s="9" t="n">
        <v>0</v>
      </c>
      <c r="CR254" s="9" t="n">
        <v>0</v>
      </c>
      <c r="CT254" s="9" t="inlineStr">
        <is>
          <t>WITH TOXISORB</t>
        </is>
      </c>
      <c r="CU254" s="9" t="inlineStr">
        <is>
          <t>WITH TOXIWALL</t>
        </is>
      </c>
      <c r="CV254" s="9" t="inlineStr">
        <is>
          <t>WITH TOXIWALL, YM 20.50kg</t>
        </is>
      </c>
      <c r="CW254" s="9" t="n">
        <v>0</v>
      </c>
      <c r="CX254" s="9" t="n">
        <v>0</v>
      </c>
      <c r="CY254" s="9" t="n">
        <v>0</v>
      </c>
      <c r="CZ254" s="9" t="n">
        <v>0</v>
      </c>
      <c r="DA254" s="9" t="inlineStr">
        <is>
          <t>REDUCE CORN FOR 2MT</t>
        </is>
      </c>
      <c r="DB254" s="9" t="n">
        <v>0</v>
      </c>
      <c r="DC254" s="9" t="n">
        <v>0</v>
      </c>
      <c r="DD254" s="9" t="inlineStr">
        <is>
          <t>K20</t>
        </is>
      </c>
      <c r="DE254" s="9" t="n">
        <v>0</v>
      </c>
      <c r="DF254" s="9" t="inlineStr">
        <is>
          <t>ALREADY 2MT</t>
        </is>
      </c>
      <c r="DG254" s="9" t="inlineStr">
        <is>
          <t>K21</t>
        </is>
      </c>
      <c r="DH254" s="9" t="inlineStr">
        <is>
          <t>K21</t>
        </is>
      </c>
      <c r="DJ254" s="9" t="inlineStr">
        <is>
          <t>WITH TOXISORB</t>
        </is>
      </c>
      <c r="DK254" s="9" t="inlineStr">
        <is>
          <t>WITHOUT WHEAT POLLARD</t>
        </is>
      </c>
      <c r="DL254" s="9" t="inlineStr">
        <is>
          <t>WITH TOXIWALL</t>
        </is>
      </c>
      <c r="DM254" s="9" t="inlineStr">
        <is>
          <t>WITH TOXIWALL, YM 20.00kg</t>
        </is>
      </c>
      <c r="DN254" s="9" t="n">
        <v>0</v>
      </c>
      <c r="DO254" s="9" t="n">
        <v>0</v>
      </c>
      <c r="DP254" s="9" t="n">
        <v>0</v>
      </c>
      <c r="DQ254" s="9" t="n">
        <v>0</v>
      </c>
      <c r="DR254" s="9" t="n">
        <v>0</v>
      </c>
      <c r="DS254" s="9" t="n">
        <v>0</v>
      </c>
      <c r="DT254" s="9" t="n">
        <v>0</v>
      </c>
      <c r="DU254" s="9" t="n">
        <v>0</v>
      </c>
      <c r="DV254" s="9" t="n">
        <v>0</v>
      </c>
      <c r="DW254" s="9" t="n">
        <v>0</v>
      </c>
      <c r="DX254" s="9" t="n">
        <v>0</v>
      </c>
    </row>
    <row r="255">
      <c r="A255" s="10" t="n">
        <v>46235</v>
      </c>
      <c r="CA255" s="9" t="n">
        <v>1</v>
      </c>
    </row>
    <row r="256">
      <c r="A256" s="10" t="n">
        <v>46236</v>
      </c>
    </row>
    <row r="257">
      <c r="A257" s="10" t="n">
        <v>46237</v>
      </c>
      <c r="BP257" s="9" t="n">
        <v>40</v>
      </c>
      <c r="DD257" s="9" t="n">
        <v>20</v>
      </c>
    </row>
    <row r="258">
      <c r="A258" s="10" t="n">
        <v>46238</v>
      </c>
      <c r="C258" s="9" t="n">
        <v>26</v>
      </c>
      <c r="DH258" s="9" t="n">
        <v>32</v>
      </c>
    </row>
    <row r="259">
      <c r="A259" s="10" t="n">
        <v>46239</v>
      </c>
      <c r="BO259" s="9" t="n">
        <v>10</v>
      </c>
    </row>
    <row r="260">
      <c r="A260" s="10" t="n">
        <v>46240</v>
      </c>
      <c r="BP260" s="9" t="n">
        <v>40</v>
      </c>
    </row>
    <row r="261">
      <c r="A261" s="10" t="n">
        <v>46241</v>
      </c>
      <c r="BP261" s="9" t="n">
        <v>50</v>
      </c>
      <c r="DD261" s="9" t="n">
        <v>30</v>
      </c>
    </row>
    <row r="262">
      <c r="A262" s="10" t="n">
        <v>46242</v>
      </c>
      <c r="BO262" s="9" t="n">
        <v>26</v>
      </c>
      <c r="DD262" s="9" t="n">
        <v>30</v>
      </c>
      <c r="DH262" s="9" t="n">
        <v>34</v>
      </c>
    </row>
    <row r="263">
      <c r="A263" s="10" t="n">
        <v>46243</v>
      </c>
    </row>
    <row r="264">
      <c r="A264" s="10" t="n">
        <v>46244</v>
      </c>
    </row>
    <row r="265">
      <c r="A265" s="10" t="n">
        <v>46245</v>
      </c>
      <c r="BP265" s="9" t="n">
        <v>36</v>
      </c>
      <c r="DD265" s="9" t="n">
        <v>30</v>
      </c>
      <c r="DH265" s="9" t="n">
        <v>10</v>
      </c>
    </row>
    <row r="266">
      <c r="A266" s="10" t="n">
        <v>46246</v>
      </c>
      <c r="BO266" s="9" t="n">
        <v>8</v>
      </c>
      <c r="BP266" s="9" t="n">
        <v>26</v>
      </c>
    </row>
    <row r="267">
      <c r="A267" s="10" t="n">
        <v>46247</v>
      </c>
      <c r="B267" s="9" t="n">
        <v>20</v>
      </c>
      <c r="BP267" s="9" t="n">
        <v>60</v>
      </c>
    </row>
    <row r="268">
      <c r="A268" s="10" t="n">
        <v>46248</v>
      </c>
      <c r="DD268" s="9" t="n">
        <v>20</v>
      </c>
      <c r="DH268" s="9" t="n">
        <v>46</v>
      </c>
    </row>
    <row r="269">
      <c r="A269" s="10" t="n">
        <v>46249</v>
      </c>
      <c r="DH269" s="9" t="n">
        <v>30</v>
      </c>
    </row>
    <row r="270">
      <c r="A270" s="10" t="n">
        <v>46250</v>
      </c>
    </row>
    <row r="271">
      <c r="A271" s="10" t="n">
        <v>46251</v>
      </c>
    </row>
    <row r="272">
      <c r="A272" s="10" t="n">
        <v>46252</v>
      </c>
      <c r="BP272" s="9" t="n">
        <v>40</v>
      </c>
      <c r="DH272" s="9" t="n">
        <v>22</v>
      </c>
    </row>
    <row r="273">
      <c r="A273" s="10" t="n">
        <v>46253</v>
      </c>
      <c r="S273" s="9" t="n">
        <v>20</v>
      </c>
      <c r="AI273" s="9" t="n">
        <v>30</v>
      </c>
    </row>
    <row r="274">
      <c r="A274" s="10" t="n">
        <v>46254</v>
      </c>
      <c r="DH274" s="9" t="n">
        <v>38</v>
      </c>
    </row>
    <row r="275">
      <c r="A275" s="10" t="n">
        <v>46255</v>
      </c>
    </row>
    <row r="276">
      <c r="A276" s="10" t="n">
        <v>46256</v>
      </c>
    </row>
    <row r="277">
      <c r="A277" s="10" t="n">
        <v>46257</v>
      </c>
    </row>
    <row r="278">
      <c r="A278" s="10" t="n">
        <v>46258</v>
      </c>
    </row>
    <row r="279">
      <c r="A279" s="10" t="n">
        <v>46259</v>
      </c>
    </row>
    <row r="280">
      <c r="A280" s="10" t="n">
        <v>46260</v>
      </c>
    </row>
    <row r="281">
      <c r="A281" s="10" t="n">
        <v>46261</v>
      </c>
    </row>
    <row r="282">
      <c r="A282" s="10" t="n">
        <v>46262</v>
      </c>
    </row>
    <row r="283">
      <c r="A283" s="10" t="n">
        <v>46263</v>
      </c>
    </row>
    <row r="284">
      <c r="A284" s="10" t="n">
        <v>46264</v>
      </c>
    </row>
    <row r="285">
      <c r="A285" s="10" t="n">
        <v>46265</v>
      </c>
    </row>
    <row r="286"/>
    <row r="287">
      <c r="B287" s="9" t="inlineStr">
        <is>
          <t>WS 1101 (251124)</t>
        </is>
      </c>
      <c r="C287" s="9" t="inlineStr">
        <is>
          <t>WS 1101 (220526)</t>
        </is>
      </c>
      <c r="D287" s="9" t="n">
        <v>0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0</v>
      </c>
      <c r="P287" s="9" t="n">
        <v>0</v>
      </c>
      <c r="R287" s="9" t="inlineStr">
        <is>
          <t>WS 1102 (290825)</t>
        </is>
      </c>
      <c r="S287" s="9" t="n">
        <v>0</v>
      </c>
      <c r="T287" s="9" t="n">
        <v>0</v>
      </c>
      <c r="U287" s="9" t="n">
        <v>0</v>
      </c>
      <c r="V287" s="9" t="n">
        <v>0</v>
      </c>
      <c r="W287" s="9" t="n">
        <v>0</v>
      </c>
      <c r="X287" s="9" t="n">
        <v>0</v>
      </c>
      <c r="Y287" s="9" t="n">
        <v>0</v>
      </c>
      <c r="Z287" s="9" t="n">
        <v>0</v>
      </c>
      <c r="AA287" s="9" t="n">
        <v>0</v>
      </c>
      <c r="AB287" s="9" t="n">
        <v>0</v>
      </c>
      <c r="AC287" s="9" t="n">
        <v>0</v>
      </c>
      <c r="AD287" s="9" t="n">
        <v>0</v>
      </c>
      <c r="AE287" s="9" t="n">
        <v>0</v>
      </c>
      <c r="AF287" s="9" t="n">
        <v>0</v>
      </c>
      <c r="AH287" s="9" t="inlineStr">
        <is>
          <t>WS 1103 (290825)</t>
        </is>
      </c>
      <c r="AI287" s="9" t="inlineStr">
        <is>
          <t>WS 1103 (220526)</t>
        </is>
      </c>
      <c r="AJ287" s="9" t="n">
        <v>0</v>
      </c>
      <c r="AK287" s="9" t="n">
        <v>0</v>
      </c>
      <c r="AL287" s="9" t="n">
        <v>0</v>
      </c>
      <c r="AM287" s="9" t="n">
        <v>0</v>
      </c>
      <c r="AN287" s="9" t="n">
        <v>0</v>
      </c>
      <c r="AO287" s="9" t="n">
        <v>0</v>
      </c>
      <c r="AP287" s="9" t="n">
        <v>0</v>
      </c>
      <c r="AQ287" s="9" t="n">
        <v>0</v>
      </c>
      <c r="AR287" s="9" t="n">
        <v>0</v>
      </c>
      <c r="AS287" s="9" t="n">
        <v>0</v>
      </c>
      <c r="AT287" s="9" t="n">
        <v>0</v>
      </c>
      <c r="AU287" s="9" t="n">
        <v>0</v>
      </c>
      <c r="AV287" s="9" t="n">
        <v>0</v>
      </c>
      <c r="AX287" s="9" t="n">
        <v>0</v>
      </c>
      <c r="AY287" s="9" t="n">
        <v>0</v>
      </c>
      <c r="AZ287" s="9" t="n">
        <v>0</v>
      </c>
      <c r="BA287" s="9" t="n">
        <v>0</v>
      </c>
      <c r="BB287" s="9" t="n">
        <v>0</v>
      </c>
      <c r="BC287" s="9" t="n">
        <v>0</v>
      </c>
      <c r="BD287" s="9" t="n">
        <v>0</v>
      </c>
      <c r="BE287" s="9" t="n">
        <v>0</v>
      </c>
      <c r="BF287" s="9" t="n">
        <v>0</v>
      </c>
      <c r="BG287" s="9" t="n">
        <v>0</v>
      </c>
      <c r="BH287" s="9" t="n">
        <v>0</v>
      </c>
      <c r="BI287" s="9" t="n">
        <v>0</v>
      </c>
      <c r="BJ287" s="9" t="n">
        <v>0</v>
      </c>
      <c r="BK287" s="9" t="n">
        <v>0</v>
      </c>
      <c r="BL287" s="9" t="n">
        <v>0</v>
      </c>
      <c r="BN287" s="9" t="inlineStr">
        <is>
          <t>WS 8100 (290825)</t>
        </is>
      </c>
      <c r="BO287" s="9" t="inlineStr">
        <is>
          <t>WS 8100 (280426)</t>
        </is>
      </c>
      <c r="BP287" s="9" t="n">
        <v>0</v>
      </c>
      <c r="BQ287" s="9" t="inlineStr">
        <is>
          <t>WS 8102 (290825)</t>
        </is>
      </c>
      <c r="BR287" s="9" t="inlineStr">
        <is>
          <t>WS 8102 (121225)</t>
        </is>
      </c>
      <c r="BS287" s="9" t="inlineStr">
        <is>
          <t>WS 8102 (020326)</t>
        </is>
      </c>
      <c r="BT287" s="9" t="inlineStr">
        <is>
          <t>WS 8102 (020326)</t>
        </is>
      </c>
      <c r="BU287" s="9" t="inlineStr">
        <is>
          <t>WS 8102 (060526)</t>
        </is>
      </c>
      <c r="BV287" s="9" t="inlineStr">
        <is>
          <t>WS 8102 (060526)</t>
        </is>
      </c>
      <c r="BW287" s="9" t="inlineStr">
        <is>
          <t>WS 8103 (070526)</t>
        </is>
      </c>
      <c r="BX287" s="9" t="inlineStr">
        <is>
          <t>WS 8102 (070526)</t>
        </is>
      </c>
      <c r="BY287" s="9" t="inlineStr">
        <is>
          <t>WS 8103 (061125)</t>
        </is>
      </c>
      <c r="BZ287" s="9" t="inlineStr">
        <is>
          <t>WS 8103 (250226)</t>
        </is>
      </c>
      <c r="CA287" s="9" t="inlineStr">
        <is>
          <t>WS 8102 (080526)</t>
        </is>
      </c>
      <c r="CB287" s="9" t="inlineStr">
        <is>
          <t>WS 8109 (080526)</t>
        </is>
      </c>
      <c r="CD287" s="9" t="inlineStr">
        <is>
          <t>YH 121 (050226)</t>
        </is>
      </c>
      <c r="CE287" s="9" t="inlineStr">
        <is>
          <t>YH 121 (190326)</t>
        </is>
      </c>
      <c r="CF287" s="9" t="inlineStr">
        <is>
          <t>YH 121 (020426)</t>
        </is>
      </c>
      <c r="CG287" s="9" t="n">
        <v>0</v>
      </c>
      <c r="CH287" s="9" t="n">
        <v>0</v>
      </c>
      <c r="CI287" s="9" t="n">
        <v>0</v>
      </c>
      <c r="CJ287" s="9" t="n">
        <v>0</v>
      </c>
      <c r="CK287" s="9" t="n">
        <v>0</v>
      </c>
      <c r="CL287" s="9" t="n">
        <v>0</v>
      </c>
      <c r="CM287" s="9" t="inlineStr">
        <is>
          <t>311 (130526)</t>
        </is>
      </c>
      <c r="CN287" s="9" t="inlineStr">
        <is>
          <t>312 (130526)</t>
        </is>
      </c>
      <c r="CO287" s="9" t="n">
        <v>0</v>
      </c>
      <c r="CP287" s="9" t="n">
        <v>0</v>
      </c>
      <c r="CQ287" s="9" t="n">
        <v>0</v>
      </c>
      <c r="CR287" s="9" t="n">
        <v>0</v>
      </c>
      <c r="CT287" s="9" t="inlineStr">
        <is>
          <t>YH 122 (050226)</t>
        </is>
      </c>
      <c r="CU287" s="9" t="inlineStr">
        <is>
          <t>YH 122 (190326)</t>
        </is>
      </c>
      <c r="CV287" s="9" t="inlineStr">
        <is>
          <t>YH 122 (200426)</t>
        </is>
      </c>
      <c r="CW287" s="9" t="n">
        <v>0</v>
      </c>
      <c r="CX287" s="9" t="n">
        <v>0</v>
      </c>
      <c r="CY287" s="9" t="n">
        <v>0</v>
      </c>
      <c r="CZ287" s="9" t="inlineStr">
        <is>
          <t>5201 (090426)</t>
        </is>
      </c>
      <c r="DA287" s="9" t="inlineStr">
        <is>
          <t>5201 (090426)</t>
        </is>
      </c>
      <c r="DB287" s="9" t="n">
        <v>0</v>
      </c>
      <c r="DC287" s="9" t="inlineStr">
        <is>
          <t>5202 (090426)</t>
        </is>
      </c>
      <c r="DD287" s="9" t="inlineStr">
        <is>
          <t>5202 (090426)</t>
        </is>
      </c>
      <c r="DE287" s="9" t="n">
        <v>0</v>
      </c>
      <c r="DF287" s="9" t="inlineStr">
        <is>
          <t>5203 (090426)</t>
        </is>
      </c>
      <c r="DG287" s="9" t="inlineStr">
        <is>
          <t>5203 (090426)</t>
        </is>
      </c>
      <c r="DH287" s="9" t="n">
        <v>0</v>
      </c>
      <c r="DJ287" s="9" t="inlineStr">
        <is>
          <t>YH 123 (050226)</t>
        </is>
      </c>
      <c r="DK287" s="9" t="inlineStr">
        <is>
          <t>YH 123 (130326)</t>
        </is>
      </c>
      <c r="DL287" s="9" t="inlineStr">
        <is>
          <t>YH 123 (190326)</t>
        </is>
      </c>
      <c r="DM287" s="9" t="inlineStr">
        <is>
          <t>YH 123 (200426)</t>
        </is>
      </c>
      <c r="DN287" s="9" t="n">
        <v>0</v>
      </c>
      <c r="DO287" s="9" t="n">
        <v>0</v>
      </c>
      <c r="DP287" s="9" t="n">
        <v>0</v>
      </c>
      <c r="DQ287" s="9" t="n">
        <v>0</v>
      </c>
      <c r="DR287" s="9" t="n">
        <v>0</v>
      </c>
      <c r="DS287" s="9" t="n">
        <v>0</v>
      </c>
      <c r="DT287" s="9" t="n">
        <v>0</v>
      </c>
      <c r="DU287" s="9" t="n">
        <v>0</v>
      </c>
      <c r="DV287" s="9" t="n">
        <v>0</v>
      </c>
      <c r="DW287" s="9" t="n">
        <v>0</v>
      </c>
      <c r="DX287" s="9" t="n">
        <v>0</v>
      </c>
    </row>
    <row r="288">
      <c r="A288" s="9" t="inlineStr">
        <is>
          <t>SEPTEMBER</t>
        </is>
      </c>
      <c r="B288" s="9" t="inlineStr">
        <is>
          <t>N01309AY</t>
        </is>
      </c>
      <c r="C288" s="9" t="n">
        <v>0</v>
      </c>
      <c r="D288" s="9" t="n">
        <v>0</v>
      </c>
      <c r="E288" s="9" t="n">
        <v>0</v>
      </c>
      <c r="F288" s="9" t="n">
        <v>0</v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R288" s="9" t="inlineStr">
        <is>
          <t>N025-06</t>
        </is>
      </c>
      <c r="S288" s="9" t="n">
        <v>0</v>
      </c>
      <c r="T288" s="9" t="n">
        <v>0</v>
      </c>
      <c r="U288" s="9" t="n">
        <v>0</v>
      </c>
      <c r="V288" s="9" t="n">
        <v>0</v>
      </c>
      <c r="W288" s="9" t="n">
        <v>0</v>
      </c>
      <c r="X288" s="9" t="n">
        <v>0</v>
      </c>
      <c r="Y288" s="9" t="n">
        <v>0</v>
      </c>
      <c r="Z288" s="9" t="n">
        <v>0</v>
      </c>
      <c r="AA288" s="9" t="n">
        <v>0</v>
      </c>
      <c r="AB288" s="9" t="n">
        <v>0</v>
      </c>
      <c r="AC288" s="9" t="n">
        <v>0</v>
      </c>
      <c r="AD288" s="9" t="n">
        <v>0</v>
      </c>
      <c r="AE288" s="9" t="n">
        <v>0</v>
      </c>
      <c r="AF288" s="9" t="n">
        <v>0</v>
      </c>
      <c r="AH288" s="9" t="inlineStr">
        <is>
          <t>N035-06</t>
        </is>
      </c>
      <c r="AI288" s="9" t="inlineStr">
        <is>
          <t>WITH 1103 TOP UP</t>
        </is>
      </c>
      <c r="AJ288" s="9" t="n">
        <v>0</v>
      </c>
      <c r="AK288" s="9" t="n">
        <v>0</v>
      </c>
      <c r="AL288" s="9" t="n">
        <v>0</v>
      </c>
      <c r="AM288" s="9" t="n">
        <v>0</v>
      </c>
      <c r="AN288" s="9" t="n">
        <v>0</v>
      </c>
      <c r="AO288" s="9" t="n">
        <v>0</v>
      </c>
      <c r="AP288" s="9" t="n">
        <v>0</v>
      </c>
      <c r="AQ288" s="9" t="n">
        <v>0</v>
      </c>
      <c r="AR288" s="9" t="n">
        <v>0</v>
      </c>
      <c r="AS288" s="9" t="n">
        <v>0</v>
      </c>
      <c r="AT288" s="9" t="n">
        <v>0</v>
      </c>
      <c r="AU288" s="9" t="n">
        <v>0</v>
      </c>
      <c r="AV288" s="9" t="n">
        <v>0</v>
      </c>
      <c r="AX288" s="9" t="n">
        <v>0</v>
      </c>
      <c r="AY288" s="9" t="n">
        <v>0</v>
      </c>
      <c r="AZ288" s="9" t="n">
        <v>0</v>
      </c>
      <c r="BA288" s="9" t="n">
        <v>0</v>
      </c>
      <c r="BB288" s="9" t="n">
        <v>0</v>
      </c>
      <c r="BC288" s="9" t="n">
        <v>0</v>
      </c>
      <c r="BD288" s="9" t="n">
        <v>0</v>
      </c>
      <c r="BE288" s="9" t="n">
        <v>0</v>
      </c>
      <c r="BF288" s="9" t="n">
        <v>0</v>
      </c>
      <c r="BG288" s="9" t="n">
        <v>0</v>
      </c>
      <c r="BH288" s="9" t="n">
        <v>0</v>
      </c>
      <c r="BI288" s="9" t="n">
        <v>0</v>
      </c>
      <c r="BJ288" s="9" t="n">
        <v>0</v>
      </c>
      <c r="BK288" s="9" t="n">
        <v>0</v>
      </c>
      <c r="BL288" s="9" t="n">
        <v>0</v>
      </c>
      <c r="BN288" s="9" t="inlineStr">
        <is>
          <t>NR 14-04</t>
        </is>
      </c>
      <c r="BO288" s="9" t="n">
        <v>0</v>
      </c>
      <c r="BP288" s="9" t="n">
        <v>0</v>
      </c>
      <c r="BQ288" s="9" t="inlineStr">
        <is>
          <t>NR 24-04Z</t>
        </is>
      </c>
      <c r="BR288" s="9" t="inlineStr">
        <is>
          <t>WITH BMD</t>
        </is>
      </c>
      <c r="BS288" s="9" t="inlineStr">
        <is>
          <t>8102 Top Up&amp;PM 8108</t>
        </is>
      </c>
      <c r="BT288" s="9" t="inlineStr">
        <is>
          <t>8102 Top Up&amp;PM 8102</t>
        </is>
      </c>
      <c r="BU288" s="9" t="inlineStr">
        <is>
          <t>8102 Top Up&amp;PM 8102</t>
        </is>
      </c>
      <c r="BV288" s="9" t="inlineStr">
        <is>
          <t>8102 Top Up&amp;PM 8108</t>
        </is>
      </c>
      <c r="BW288" s="9" t="inlineStr">
        <is>
          <t>8103 Top Up&amp;PM 8103</t>
        </is>
      </c>
      <c r="BX288" s="9" t="inlineStr">
        <is>
          <t>8103 Top Up&amp;PM 8109</t>
        </is>
      </c>
      <c r="BY288" s="9" t="inlineStr">
        <is>
          <t xml:space="preserve">NR 34-04 </t>
        </is>
      </c>
      <c r="BZ288" s="9" t="inlineStr">
        <is>
          <t xml:space="preserve">NR 34-04 </t>
        </is>
      </c>
      <c r="CA288" s="9" t="inlineStr">
        <is>
          <t>8102 TOP UP</t>
        </is>
      </c>
      <c r="CB288" s="9" t="inlineStr">
        <is>
          <t>8103 TOP UP</t>
        </is>
      </c>
      <c r="CD288" s="9" t="inlineStr">
        <is>
          <t>SOYTIDE&amp;TOXISORB</t>
        </is>
      </c>
      <c r="CE288" s="9" t="inlineStr">
        <is>
          <t>SOYTIDE&amp;TOXIWALL</t>
        </is>
      </c>
      <c r="CF288" s="9" t="inlineStr">
        <is>
          <t>EP 200&amp;TOXIWALL</t>
        </is>
      </c>
      <c r="CG288" s="9" t="n">
        <v>0</v>
      </c>
      <c r="CH288" s="9" t="n">
        <v>0</v>
      </c>
      <c r="CI288" s="9" t="n">
        <v>0</v>
      </c>
      <c r="CJ288" s="9" t="n">
        <v>0</v>
      </c>
      <c r="CK288" s="9" t="n">
        <v>0</v>
      </c>
      <c r="CL288" s="9" t="n">
        <v>0</v>
      </c>
      <c r="CM288" s="9" t="n">
        <v>0</v>
      </c>
      <c r="CN288" s="9" t="n">
        <v>0</v>
      </c>
      <c r="CO288" s="9" t="n">
        <v>0</v>
      </c>
      <c r="CP288" s="9" t="n">
        <v>0</v>
      </c>
      <c r="CQ288" s="9" t="n">
        <v>0</v>
      </c>
      <c r="CR288" s="9" t="n">
        <v>0</v>
      </c>
      <c r="CT288" s="9" t="inlineStr">
        <is>
          <t>WITH TOXISORB</t>
        </is>
      </c>
      <c r="CU288" s="9" t="inlineStr">
        <is>
          <t>WITH TOXIWALL</t>
        </is>
      </c>
      <c r="CV288" s="9" t="inlineStr">
        <is>
          <t>WITH TOXIWALL, YM 20.50kg</t>
        </is>
      </c>
      <c r="CW288" s="9" t="n">
        <v>0</v>
      </c>
      <c r="CX288" s="9" t="n">
        <v>0</v>
      </c>
      <c r="CY288" s="9" t="n">
        <v>0</v>
      </c>
      <c r="CZ288" s="9" t="n">
        <v>0</v>
      </c>
      <c r="DA288" s="9" t="inlineStr">
        <is>
          <t>REDUCE CORN FOR 2MT</t>
        </is>
      </c>
      <c r="DB288" s="9" t="n">
        <v>0</v>
      </c>
      <c r="DC288" s="9" t="n">
        <v>0</v>
      </c>
      <c r="DD288" s="9" t="inlineStr">
        <is>
          <t>K20</t>
        </is>
      </c>
      <c r="DE288" s="9" t="n">
        <v>0</v>
      </c>
      <c r="DF288" s="9" t="inlineStr">
        <is>
          <t>ALREADY 2MT</t>
        </is>
      </c>
      <c r="DG288" s="9" t="inlineStr">
        <is>
          <t>K21</t>
        </is>
      </c>
      <c r="DH288" s="9" t="n">
        <v>0</v>
      </c>
      <c r="DJ288" s="9" t="inlineStr">
        <is>
          <t>WITH TOXISORB</t>
        </is>
      </c>
      <c r="DK288" s="9" t="inlineStr">
        <is>
          <t>WITHOUT WHEAT POLLARD</t>
        </is>
      </c>
      <c r="DL288" s="9" t="inlineStr">
        <is>
          <t>WITH TOXIWALL</t>
        </is>
      </c>
      <c r="DM288" s="9" t="inlineStr">
        <is>
          <t>WITH TOXIWALL, YM 20.00kg</t>
        </is>
      </c>
      <c r="DN288" s="9" t="n">
        <v>0</v>
      </c>
      <c r="DO288" s="9" t="n">
        <v>0</v>
      </c>
      <c r="DP288" s="9" t="n">
        <v>0</v>
      </c>
      <c r="DQ288" s="9" t="n">
        <v>0</v>
      </c>
      <c r="DR288" s="9" t="n">
        <v>0</v>
      </c>
      <c r="DS288" s="9" t="n">
        <v>0</v>
      </c>
      <c r="DT288" s="9" t="n">
        <v>0</v>
      </c>
      <c r="DU288" s="9" t="n">
        <v>0</v>
      </c>
      <c r="DV288" s="9" t="n">
        <v>0</v>
      </c>
      <c r="DW288" s="9" t="n">
        <v>0</v>
      </c>
      <c r="DX288" s="9" t="n">
        <v>0</v>
      </c>
    </row>
    <row r="289">
      <c r="A289" s="10" t="n">
        <v>46266</v>
      </c>
    </row>
    <row r="290">
      <c r="A290" s="10" t="n">
        <v>46267</v>
      </c>
    </row>
    <row r="291">
      <c r="A291" s="10" t="n">
        <v>46268</v>
      </c>
    </row>
    <row r="292">
      <c r="A292" s="10" t="n">
        <v>46269</v>
      </c>
    </row>
    <row r="293">
      <c r="A293" s="10" t="n">
        <v>46270</v>
      </c>
    </row>
    <row r="294">
      <c r="A294" s="10" t="n">
        <v>46271</v>
      </c>
    </row>
    <row r="295">
      <c r="A295" s="10" t="n">
        <v>46272</v>
      </c>
    </row>
    <row r="296">
      <c r="A296" s="10" t="n">
        <v>46273</v>
      </c>
    </row>
    <row r="297">
      <c r="A297" s="10" t="n">
        <v>46274</v>
      </c>
    </row>
    <row r="298">
      <c r="A298" s="10" t="n">
        <v>46275</v>
      </c>
    </row>
    <row r="299">
      <c r="A299" s="10" t="n">
        <v>46276</v>
      </c>
    </row>
    <row r="300">
      <c r="A300" s="10" t="n">
        <v>46277</v>
      </c>
    </row>
    <row r="301">
      <c r="A301" s="10" t="n">
        <v>46278</v>
      </c>
    </row>
    <row r="302">
      <c r="A302" s="10" t="n">
        <v>46279</v>
      </c>
    </row>
    <row r="303">
      <c r="A303" s="10" t="n">
        <v>46280</v>
      </c>
    </row>
    <row r="304">
      <c r="A304" s="10" t="n">
        <v>46281</v>
      </c>
    </row>
    <row r="305">
      <c r="A305" s="10" t="n">
        <v>46282</v>
      </c>
    </row>
    <row r="306">
      <c r="A306" s="10" t="n">
        <v>46283</v>
      </c>
    </row>
    <row r="307">
      <c r="A307" s="10" t="n">
        <v>46284</v>
      </c>
    </row>
    <row r="308">
      <c r="A308" s="10" t="n">
        <v>46285</v>
      </c>
    </row>
    <row r="309">
      <c r="A309" s="10" t="n">
        <v>46286</v>
      </c>
    </row>
    <row r="310">
      <c r="A310" s="10" t="n">
        <v>46287</v>
      </c>
    </row>
    <row r="311">
      <c r="A311" s="10" t="n">
        <v>46288</v>
      </c>
    </row>
    <row r="312">
      <c r="A312" s="10" t="n">
        <v>46289</v>
      </c>
    </row>
    <row r="313">
      <c r="A313" s="10" t="n">
        <v>46290</v>
      </c>
    </row>
    <row r="314">
      <c r="A314" s="10" t="n">
        <v>46291</v>
      </c>
    </row>
    <row r="315">
      <c r="A315" s="10" t="n">
        <v>46292</v>
      </c>
    </row>
    <row r="316">
      <c r="A316" s="10" t="n">
        <v>46293</v>
      </c>
    </row>
    <row r="317">
      <c r="A317" s="10" t="n">
        <v>46294</v>
      </c>
    </row>
    <row r="318">
      <c r="A318" s="10" t="n">
        <v>46295</v>
      </c>
    </row>
    <row r="319"/>
    <row r="320">
      <c r="B320" s="9" t="inlineStr">
        <is>
          <t>WS 1101 (251124)</t>
        </is>
      </c>
      <c r="C320" s="9" t="inlineStr">
        <is>
          <t>WS 1101 (220526)</t>
        </is>
      </c>
      <c r="D320" s="9" t="n">
        <v>0</v>
      </c>
      <c r="E320" s="9" t="n">
        <v>0</v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R320" s="9" t="inlineStr">
        <is>
          <t>WS 1102 (290825)</t>
        </is>
      </c>
      <c r="S320" s="9" t="n">
        <v>0</v>
      </c>
      <c r="T320" s="9" t="n">
        <v>0</v>
      </c>
      <c r="U320" s="9" t="n">
        <v>0</v>
      </c>
      <c r="V320" s="9" t="n">
        <v>0</v>
      </c>
      <c r="W320" s="9" t="n">
        <v>0</v>
      </c>
      <c r="X320" s="9" t="n">
        <v>0</v>
      </c>
      <c r="Y320" s="9" t="n">
        <v>0</v>
      </c>
      <c r="Z320" s="9" t="n">
        <v>0</v>
      </c>
      <c r="AA320" s="9" t="n">
        <v>0</v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0</v>
      </c>
      <c r="AH320" s="9" t="inlineStr">
        <is>
          <t>WS 1103 (290825)</t>
        </is>
      </c>
      <c r="AI320" s="9" t="inlineStr">
        <is>
          <t>WS 1103 (220526)</t>
        </is>
      </c>
      <c r="AJ320" s="9" t="n">
        <v>0</v>
      </c>
      <c r="AK320" s="9" t="n">
        <v>0</v>
      </c>
      <c r="AL320" s="9" t="n">
        <v>0</v>
      </c>
      <c r="AM320" s="9" t="n">
        <v>0</v>
      </c>
      <c r="AN320" s="9" t="n">
        <v>0</v>
      </c>
      <c r="AO320" s="9" t="n">
        <v>0</v>
      </c>
      <c r="AP320" s="9" t="n">
        <v>0</v>
      </c>
      <c r="AQ320" s="9" t="n">
        <v>0</v>
      </c>
      <c r="AR320" s="9" t="n">
        <v>0</v>
      </c>
      <c r="AS320" s="9" t="n">
        <v>0</v>
      </c>
      <c r="AT320" s="9" t="n">
        <v>0</v>
      </c>
      <c r="AU320" s="9" t="n">
        <v>0</v>
      </c>
      <c r="AV320" s="9" t="n">
        <v>0</v>
      </c>
      <c r="AX320" s="9" t="n">
        <v>0</v>
      </c>
      <c r="AY320" s="9" t="n">
        <v>0</v>
      </c>
      <c r="AZ320" s="9" t="n">
        <v>0</v>
      </c>
      <c r="BA320" s="9" t="n">
        <v>0</v>
      </c>
      <c r="BB320" s="9" t="n">
        <v>0</v>
      </c>
      <c r="BC320" s="9" t="n">
        <v>0</v>
      </c>
      <c r="BD320" s="9" t="n">
        <v>0</v>
      </c>
      <c r="BE320" s="9" t="n">
        <v>0</v>
      </c>
      <c r="BF320" s="9" t="n">
        <v>0</v>
      </c>
      <c r="BG320" s="9" t="n">
        <v>0</v>
      </c>
      <c r="BH320" s="9" t="n">
        <v>0</v>
      </c>
      <c r="BI320" s="9" t="n">
        <v>0</v>
      </c>
      <c r="BJ320" s="9" t="n">
        <v>0</v>
      </c>
      <c r="BK320" s="9" t="n">
        <v>0</v>
      </c>
      <c r="BL320" s="9" t="n">
        <v>0</v>
      </c>
      <c r="BN320" s="9" t="inlineStr">
        <is>
          <t>WS 8100 (290825)</t>
        </is>
      </c>
      <c r="BO320" s="9" t="inlineStr">
        <is>
          <t>WS 8100 (280426)</t>
        </is>
      </c>
      <c r="BP320" s="9" t="n">
        <v>0</v>
      </c>
      <c r="BQ320" s="9" t="inlineStr">
        <is>
          <t>WS 8102 (290825)</t>
        </is>
      </c>
      <c r="BR320" s="9" t="inlineStr">
        <is>
          <t>WS 8102 (121225)</t>
        </is>
      </c>
      <c r="BS320" s="9" t="inlineStr">
        <is>
          <t>WS 8102 (020326)</t>
        </is>
      </c>
      <c r="BT320" s="9" t="inlineStr">
        <is>
          <t>WS 8102 (020326)</t>
        </is>
      </c>
      <c r="BU320" s="9" t="inlineStr">
        <is>
          <t>WS 8102 (060526)</t>
        </is>
      </c>
      <c r="BV320" s="9" t="inlineStr">
        <is>
          <t>WS 8102 (060526)</t>
        </is>
      </c>
      <c r="BW320" s="9" t="inlineStr">
        <is>
          <t>WS 8103 (070526)</t>
        </is>
      </c>
      <c r="BX320" s="9" t="inlineStr">
        <is>
          <t>WS 8102 (070526)</t>
        </is>
      </c>
      <c r="BY320" s="9" t="inlineStr">
        <is>
          <t>WS 8103 (061125)</t>
        </is>
      </c>
      <c r="BZ320" s="9" t="inlineStr">
        <is>
          <t>WS 8103 (250226)</t>
        </is>
      </c>
      <c r="CA320" s="9" t="inlineStr">
        <is>
          <t>WS 8102 (080526)</t>
        </is>
      </c>
      <c r="CB320" s="9" t="inlineStr">
        <is>
          <t>WS 8109 (080526)</t>
        </is>
      </c>
      <c r="CD320" s="9" t="inlineStr">
        <is>
          <t>YH 121 (050226)</t>
        </is>
      </c>
      <c r="CE320" s="9" t="inlineStr">
        <is>
          <t>YH 121 (190326)</t>
        </is>
      </c>
      <c r="CF320" s="9" t="inlineStr">
        <is>
          <t>YH 121 (020426)</t>
        </is>
      </c>
      <c r="CG320" s="9" t="n">
        <v>0</v>
      </c>
      <c r="CH320" s="9" t="n">
        <v>0</v>
      </c>
      <c r="CI320" s="9" t="n">
        <v>0</v>
      </c>
      <c r="CJ320" s="9" t="n">
        <v>0</v>
      </c>
      <c r="CK320" s="9" t="n">
        <v>0</v>
      </c>
      <c r="CL320" s="9" t="n">
        <v>0</v>
      </c>
      <c r="CM320" s="9" t="inlineStr">
        <is>
          <t>311 (130526)</t>
        </is>
      </c>
      <c r="CN320" s="9" t="inlineStr">
        <is>
          <t>312 (130526)</t>
        </is>
      </c>
      <c r="CO320" s="9" t="n">
        <v>0</v>
      </c>
      <c r="CP320" s="9" t="n">
        <v>0</v>
      </c>
      <c r="CQ320" s="9" t="n">
        <v>0</v>
      </c>
      <c r="CR320" s="9" t="n">
        <v>0</v>
      </c>
      <c r="CT320" s="9" t="inlineStr">
        <is>
          <t>YH 122 (050226)</t>
        </is>
      </c>
      <c r="CU320" s="9" t="inlineStr">
        <is>
          <t>YH 122 (190326)</t>
        </is>
      </c>
      <c r="CV320" s="9" t="inlineStr">
        <is>
          <t>YH 122 (200426)</t>
        </is>
      </c>
      <c r="CW320" s="9" t="n">
        <v>0</v>
      </c>
      <c r="CX320" s="9" t="n">
        <v>0</v>
      </c>
      <c r="CY320" s="9" t="n">
        <v>0</v>
      </c>
      <c r="CZ320" s="9" t="inlineStr">
        <is>
          <t>5201 (090426)</t>
        </is>
      </c>
      <c r="DA320" s="9" t="inlineStr">
        <is>
          <t>5201 (090426)</t>
        </is>
      </c>
      <c r="DB320" s="9" t="n">
        <v>0</v>
      </c>
      <c r="DC320" s="9" t="inlineStr">
        <is>
          <t>5202 (090426)</t>
        </is>
      </c>
      <c r="DD320" s="9" t="inlineStr">
        <is>
          <t>5202 (090426)</t>
        </is>
      </c>
      <c r="DE320" s="9" t="n">
        <v>0</v>
      </c>
      <c r="DF320" s="9" t="inlineStr">
        <is>
          <t>5203 (090426)</t>
        </is>
      </c>
      <c r="DG320" s="9" t="inlineStr">
        <is>
          <t>5203 (090426)</t>
        </is>
      </c>
      <c r="DH320" s="9" t="n">
        <v>0</v>
      </c>
      <c r="DJ320" s="9" t="inlineStr">
        <is>
          <t>YH 123 (050226)</t>
        </is>
      </c>
      <c r="DK320" s="9" t="inlineStr">
        <is>
          <t>YH 123 (130326)</t>
        </is>
      </c>
      <c r="DL320" s="9" t="inlineStr">
        <is>
          <t>YH 123 (190326)</t>
        </is>
      </c>
      <c r="DM320" s="9" t="inlineStr">
        <is>
          <t>YH 123 (200426)</t>
        </is>
      </c>
      <c r="DN320" s="9" t="n">
        <v>0</v>
      </c>
      <c r="DO320" s="9" t="n">
        <v>0</v>
      </c>
      <c r="DP320" s="9" t="n">
        <v>0</v>
      </c>
      <c r="DQ320" s="9" t="n">
        <v>0</v>
      </c>
      <c r="DR320" s="9" t="n">
        <v>0</v>
      </c>
      <c r="DS320" s="9" t="n">
        <v>0</v>
      </c>
      <c r="DT320" s="9" t="n">
        <v>0</v>
      </c>
      <c r="DU320" s="9" t="n">
        <v>0</v>
      </c>
      <c r="DV320" s="9" t="n">
        <v>0</v>
      </c>
      <c r="DW320" s="9" t="n">
        <v>0</v>
      </c>
      <c r="DX320" s="9" t="n">
        <v>0</v>
      </c>
    </row>
    <row r="321">
      <c r="A321" s="9" t="inlineStr">
        <is>
          <t>OCTOBER</t>
        </is>
      </c>
      <c r="B321" s="9" t="inlineStr">
        <is>
          <t>N01309AY</t>
        </is>
      </c>
      <c r="C321" s="9" t="n">
        <v>0</v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9" t="n">
        <v>0</v>
      </c>
      <c r="R321" s="9" t="inlineStr">
        <is>
          <t>N025-06</t>
        </is>
      </c>
      <c r="S321" s="9" t="n">
        <v>0</v>
      </c>
      <c r="T321" s="9" t="n">
        <v>0</v>
      </c>
      <c r="U321" s="9" t="n">
        <v>0</v>
      </c>
      <c r="V321" s="9" t="n">
        <v>0</v>
      </c>
      <c r="W321" s="9" t="n">
        <v>0</v>
      </c>
      <c r="X321" s="9" t="n">
        <v>0</v>
      </c>
      <c r="Y321" s="9" t="n">
        <v>0</v>
      </c>
      <c r="Z321" s="9" t="n">
        <v>0</v>
      </c>
      <c r="AA321" s="9" t="n">
        <v>0</v>
      </c>
      <c r="AB321" s="9" t="n">
        <v>0</v>
      </c>
      <c r="AC321" s="9" t="n">
        <v>0</v>
      </c>
      <c r="AD321" s="9" t="n">
        <v>0</v>
      </c>
      <c r="AE321" s="9" t="n">
        <v>0</v>
      </c>
      <c r="AF321" s="9" t="n">
        <v>0</v>
      </c>
      <c r="AH321" s="9" t="inlineStr">
        <is>
          <t>N035-06</t>
        </is>
      </c>
      <c r="AI321" s="9" t="inlineStr">
        <is>
          <t>WITH 1103 TOP UP</t>
        </is>
      </c>
      <c r="AJ321" s="9" t="n">
        <v>0</v>
      </c>
      <c r="AK321" s="9" t="n">
        <v>0</v>
      </c>
      <c r="AL321" s="9" t="n">
        <v>0</v>
      </c>
      <c r="AM321" s="9" t="n">
        <v>0</v>
      </c>
      <c r="AN321" s="9" t="n">
        <v>0</v>
      </c>
      <c r="AO321" s="9" t="n">
        <v>0</v>
      </c>
      <c r="AP321" s="9" t="n">
        <v>0</v>
      </c>
      <c r="AQ321" s="9" t="n">
        <v>0</v>
      </c>
      <c r="AR321" s="9" t="n">
        <v>0</v>
      </c>
      <c r="AS321" s="9" t="n">
        <v>0</v>
      </c>
      <c r="AT321" s="9" t="n">
        <v>0</v>
      </c>
      <c r="AU321" s="9" t="n">
        <v>0</v>
      </c>
      <c r="AV321" s="9" t="n">
        <v>0</v>
      </c>
      <c r="AX321" s="9" t="n">
        <v>0</v>
      </c>
      <c r="AY321" s="9" t="n">
        <v>0</v>
      </c>
      <c r="AZ321" s="9" t="n">
        <v>0</v>
      </c>
      <c r="BA321" s="9" t="n">
        <v>0</v>
      </c>
      <c r="BB321" s="9" t="n">
        <v>0</v>
      </c>
      <c r="BC321" s="9" t="n">
        <v>0</v>
      </c>
      <c r="BD321" s="9" t="n">
        <v>0</v>
      </c>
      <c r="BE321" s="9" t="n">
        <v>0</v>
      </c>
      <c r="BF321" s="9" t="n">
        <v>0</v>
      </c>
      <c r="BG321" s="9" t="n">
        <v>0</v>
      </c>
      <c r="BH321" s="9" t="n">
        <v>0</v>
      </c>
      <c r="BI321" s="9" t="n">
        <v>0</v>
      </c>
      <c r="BJ321" s="9" t="n">
        <v>0</v>
      </c>
      <c r="BK321" s="9" t="n">
        <v>0</v>
      </c>
      <c r="BL321" s="9" t="n">
        <v>0</v>
      </c>
      <c r="BN321" s="9" t="inlineStr">
        <is>
          <t>NR 14-04</t>
        </is>
      </c>
      <c r="BO321" s="9" t="n">
        <v>0</v>
      </c>
      <c r="BP321" s="9" t="n">
        <v>0</v>
      </c>
      <c r="BQ321" s="9" t="inlineStr">
        <is>
          <t>NR 24-04Z</t>
        </is>
      </c>
      <c r="BR321" s="9" t="inlineStr">
        <is>
          <t>WITH BMD</t>
        </is>
      </c>
      <c r="BS321" s="9" t="inlineStr">
        <is>
          <t>8102 Top Up&amp;PM 8108</t>
        </is>
      </c>
      <c r="BT321" s="9" t="inlineStr">
        <is>
          <t>8102 Top Up&amp;PM 8102</t>
        </is>
      </c>
      <c r="BU321" s="9" t="inlineStr">
        <is>
          <t>8102 Top Up&amp;PM 8102</t>
        </is>
      </c>
      <c r="BV321" s="9" t="inlineStr">
        <is>
          <t>8102 Top Up&amp;PM 8108</t>
        </is>
      </c>
      <c r="BW321" s="9" t="inlineStr">
        <is>
          <t>8103 Top Up&amp;PM 8103</t>
        </is>
      </c>
      <c r="BX321" s="9" t="inlineStr">
        <is>
          <t>8103 Top Up&amp;PM 8109</t>
        </is>
      </c>
      <c r="BY321" s="9" t="inlineStr">
        <is>
          <t xml:space="preserve">NR 34-04 </t>
        </is>
      </c>
      <c r="BZ321" s="9" t="inlineStr">
        <is>
          <t xml:space="preserve">NR 34-04 </t>
        </is>
      </c>
      <c r="CA321" s="9" t="inlineStr">
        <is>
          <t>8102 TOP UP</t>
        </is>
      </c>
      <c r="CB321" s="9" t="inlineStr">
        <is>
          <t>8103 TOP UP</t>
        </is>
      </c>
      <c r="CD321" s="9" t="inlineStr">
        <is>
          <t>SOYTIDE&amp;TOXISORB</t>
        </is>
      </c>
      <c r="CE321" s="9" t="inlineStr">
        <is>
          <t>SOYTIDE&amp;TOXIWALL</t>
        </is>
      </c>
      <c r="CF321" s="9" t="inlineStr">
        <is>
          <t>EP 200&amp;TOXIWALL</t>
        </is>
      </c>
      <c r="CG321" s="9" t="n">
        <v>0</v>
      </c>
      <c r="CH321" s="9" t="n">
        <v>0</v>
      </c>
      <c r="CI321" s="9" t="n">
        <v>0</v>
      </c>
      <c r="CJ321" s="9" t="n">
        <v>0</v>
      </c>
      <c r="CK321" s="9" t="n">
        <v>0</v>
      </c>
      <c r="CL321" s="9" t="n">
        <v>0</v>
      </c>
      <c r="CM321" s="9" t="n">
        <v>0</v>
      </c>
      <c r="CN321" s="9" t="n">
        <v>0</v>
      </c>
      <c r="CO321" s="9" t="n">
        <v>0</v>
      </c>
      <c r="CP321" s="9" t="n">
        <v>0</v>
      </c>
      <c r="CQ321" s="9" t="n">
        <v>0</v>
      </c>
      <c r="CR321" s="9" t="n">
        <v>0</v>
      </c>
      <c r="CT321" s="9" t="inlineStr">
        <is>
          <t>WITH TOXISORB</t>
        </is>
      </c>
      <c r="CU321" s="9" t="inlineStr">
        <is>
          <t>WITH TOXIWALL</t>
        </is>
      </c>
      <c r="CV321" s="9" t="inlineStr">
        <is>
          <t>WITH TOXIWALL, YM 20.50kg</t>
        </is>
      </c>
      <c r="CW321" s="9" t="n">
        <v>0</v>
      </c>
      <c r="CX321" s="9" t="n">
        <v>0</v>
      </c>
      <c r="CY321" s="9" t="n">
        <v>0</v>
      </c>
      <c r="CZ321" s="9" t="n">
        <v>0</v>
      </c>
      <c r="DA321" s="9" t="inlineStr">
        <is>
          <t>REDUCE CORN FOR 2MT</t>
        </is>
      </c>
      <c r="DB321" s="9" t="n">
        <v>0</v>
      </c>
      <c r="DC321" s="9" t="n">
        <v>0</v>
      </c>
      <c r="DD321" s="9" t="inlineStr">
        <is>
          <t>K20</t>
        </is>
      </c>
      <c r="DE321" s="9" t="n">
        <v>0</v>
      </c>
      <c r="DF321" s="9" t="inlineStr">
        <is>
          <t>ALREADY 2MT</t>
        </is>
      </c>
      <c r="DG321" s="9" t="inlineStr">
        <is>
          <t>K21</t>
        </is>
      </c>
      <c r="DH321" s="9" t="n">
        <v>0</v>
      </c>
      <c r="DJ321" s="9" t="inlineStr">
        <is>
          <t>WITH TOXISORB</t>
        </is>
      </c>
      <c r="DK321" s="9" t="inlineStr">
        <is>
          <t>WITHOUT WHEAT POLLARD</t>
        </is>
      </c>
      <c r="DL321" s="9" t="inlineStr">
        <is>
          <t>WITH TOXIWALL</t>
        </is>
      </c>
      <c r="DM321" s="9" t="inlineStr">
        <is>
          <t>WITH TOXIWALL, YM 20.00kg</t>
        </is>
      </c>
      <c r="DN321" s="9" t="n">
        <v>0</v>
      </c>
      <c r="DO321" s="9" t="n">
        <v>0</v>
      </c>
      <c r="DP321" s="9" t="n">
        <v>0</v>
      </c>
      <c r="DQ321" s="9" t="n">
        <v>0</v>
      </c>
      <c r="DR321" s="9" t="n">
        <v>0</v>
      </c>
      <c r="DS321" s="9" t="n">
        <v>0</v>
      </c>
      <c r="DT321" s="9" t="n">
        <v>0</v>
      </c>
      <c r="DU321" s="9" t="n">
        <v>0</v>
      </c>
      <c r="DV321" s="9" t="n">
        <v>0</v>
      </c>
      <c r="DW321" s="9" t="n">
        <v>0</v>
      </c>
      <c r="DX321" s="9" t="n">
        <v>0</v>
      </c>
    </row>
    <row r="322">
      <c r="A322" s="10" t="n">
        <v>46296</v>
      </c>
    </row>
    <row r="323">
      <c r="A323" s="10" t="n">
        <v>46297</v>
      </c>
    </row>
    <row r="324">
      <c r="A324" s="10" t="n">
        <v>46298</v>
      </c>
    </row>
    <row r="325">
      <c r="A325" s="10" t="n">
        <v>46299</v>
      </c>
    </row>
    <row r="326">
      <c r="A326" s="10" t="n">
        <v>46300</v>
      </c>
    </row>
    <row r="327">
      <c r="A327" s="10" t="n">
        <v>46301</v>
      </c>
    </row>
    <row r="328">
      <c r="A328" s="10" t="n">
        <v>46302</v>
      </c>
    </row>
    <row r="329">
      <c r="A329" s="10" t="n">
        <v>46303</v>
      </c>
    </row>
    <row r="330">
      <c r="A330" s="10" t="n">
        <v>46304</v>
      </c>
    </row>
    <row r="331">
      <c r="A331" s="10" t="n">
        <v>46305</v>
      </c>
    </row>
    <row r="332">
      <c r="A332" s="10" t="n">
        <v>46306</v>
      </c>
    </row>
    <row r="333">
      <c r="A333" s="10" t="n">
        <v>46307</v>
      </c>
    </row>
    <row r="334">
      <c r="A334" s="10" t="n">
        <v>46308</v>
      </c>
    </row>
    <row r="335">
      <c r="A335" s="10" t="n">
        <v>46309</v>
      </c>
    </row>
    <row r="336">
      <c r="A336" s="10" t="n">
        <v>46310</v>
      </c>
    </row>
    <row r="337">
      <c r="A337" s="10" t="n">
        <v>46311</v>
      </c>
    </row>
    <row r="338">
      <c r="A338" s="10" t="n">
        <v>46312</v>
      </c>
    </row>
    <row r="339">
      <c r="A339" s="10" t="n">
        <v>46313</v>
      </c>
    </row>
    <row r="340">
      <c r="A340" s="10" t="n">
        <v>46314</v>
      </c>
    </row>
    <row r="341">
      <c r="A341" s="10" t="n">
        <v>46315</v>
      </c>
    </row>
    <row r="342">
      <c r="A342" s="10" t="n">
        <v>46316</v>
      </c>
    </row>
    <row r="343">
      <c r="A343" s="10" t="n">
        <v>46317</v>
      </c>
    </row>
    <row r="344">
      <c r="A344" s="10" t="n">
        <v>46318</v>
      </c>
    </row>
    <row r="345">
      <c r="A345" s="10" t="n">
        <v>46319</v>
      </c>
    </row>
    <row r="346">
      <c r="A346" s="10" t="n">
        <v>46320</v>
      </c>
    </row>
    <row r="347">
      <c r="A347" s="10" t="n">
        <v>46321</v>
      </c>
    </row>
    <row r="348">
      <c r="A348" s="10" t="n">
        <v>46322</v>
      </c>
    </row>
    <row r="349">
      <c r="A349" s="10" t="n">
        <v>46323</v>
      </c>
    </row>
    <row r="350">
      <c r="A350" s="10" t="n">
        <v>46324</v>
      </c>
    </row>
    <row r="351">
      <c r="A351" s="10" t="n">
        <v>46325</v>
      </c>
    </row>
    <row r="352">
      <c r="A352" s="10" t="n">
        <v>46326</v>
      </c>
    </row>
    <row r="353"/>
    <row r="354">
      <c r="B354" s="9" t="inlineStr">
        <is>
          <t>WS 1101 (251124)</t>
        </is>
      </c>
      <c r="C354" s="9" t="inlineStr">
        <is>
          <t>WS 1101 (220526)</t>
        </is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R354" s="9" t="inlineStr">
        <is>
          <t>WS 1102 (290825)</t>
        </is>
      </c>
      <c r="S354" s="9" t="n">
        <v>0</v>
      </c>
      <c r="T354" s="9" t="n">
        <v>0</v>
      </c>
      <c r="U354" s="9" t="n">
        <v>0</v>
      </c>
      <c r="V354" s="9" t="n">
        <v>0</v>
      </c>
      <c r="W354" s="9" t="n">
        <v>0</v>
      </c>
      <c r="X354" s="9" t="n">
        <v>0</v>
      </c>
      <c r="Y354" s="9" t="n">
        <v>0</v>
      </c>
      <c r="Z354" s="9" t="n">
        <v>0</v>
      </c>
      <c r="AA354" s="9" t="n">
        <v>0</v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H354" s="9" t="inlineStr">
        <is>
          <t>WS 1103 (290825)</t>
        </is>
      </c>
      <c r="AI354" s="9" t="inlineStr">
        <is>
          <t>WS 1103 (220526)</t>
        </is>
      </c>
      <c r="AJ354" s="9" t="n">
        <v>0</v>
      </c>
      <c r="AK354" s="9" t="n">
        <v>0</v>
      </c>
      <c r="AL354" s="9" t="n">
        <v>0</v>
      </c>
      <c r="AM354" s="9" t="n">
        <v>0</v>
      </c>
      <c r="AN354" s="9" t="n">
        <v>0</v>
      </c>
      <c r="AO354" s="9" t="n">
        <v>0</v>
      </c>
      <c r="AP354" s="9" t="n">
        <v>0</v>
      </c>
      <c r="AQ354" s="9" t="n">
        <v>0</v>
      </c>
      <c r="AR354" s="9" t="n">
        <v>0</v>
      </c>
      <c r="AS354" s="9" t="n">
        <v>0</v>
      </c>
      <c r="AT354" s="9" t="n">
        <v>0</v>
      </c>
      <c r="AU354" s="9" t="n">
        <v>0</v>
      </c>
      <c r="AV354" s="9" t="n">
        <v>0</v>
      </c>
      <c r="AX354" s="9" t="n">
        <v>0</v>
      </c>
      <c r="AY354" s="9" t="n">
        <v>0</v>
      </c>
      <c r="AZ354" s="9" t="n">
        <v>0</v>
      </c>
      <c r="BA354" s="9" t="n">
        <v>0</v>
      </c>
      <c r="BB354" s="9" t="n">
        <v>0</v>
      </c>
      <c r="BC354" s="9" t="n">
        <v>0</v>
      </c>
      <c r="BD354" s="9" t="n">
        <v>0</v>
      </c>
      <c r="BE354" s="9" t="n">
        <v>0</v>
      </c>
      <c r="BF354" s="9" t="n">
        <v>0</v>
      </c>
      <c r="BG354" s="9" t="n">
        <v>0</v>
      </c>
      <c r="BH354" s="9" t="n">
        <v>0</v>
      </c>
      <c r="BI354" s="9" t="n">
        <v>0</v>
      </c>
      <c r="BJ354" s="9" t="n">
        <v>0</v>
      </c>
      <c r="BK354" s="9" t="n">
        <v>0</v>
      </c>
      <c r="BL354" s="9" t="n">
        <v>0</v>
      </c>
      <c r="BN354" s="9" t="inlineStr">
        <is>
          <t>WS 8100 (290825)</t>
        </is>
      </c>
      <c r="BO354" s="9" t="inlineStr">
        <is>
          <t>WS 8100 (280426)</t>
        </is>
      </c>
      <c r="BP354" s="9" t="n">
        <v>0</v>
      </c>
      <c r="BQ354" s="9" t="inlineStr">
        <is>
          <t>WS 8102 (290825)</t>
        </is>
      </c>
      <c r="BR354" s="9" t="inlineStr">
        <is>
          <t>WS 8102 (121225)</t>
        </is>
      </c>
      <c r="BS354" s="9" t="inlineStr">
        <is>
          <t>WS 8102 (020326)</t>
        </is>
      </c>
      <c r="BT354" s="9" t="inlineStr">
        <is>
          <t>WS 8102 (020326)</t>
        </is>
      </c>
      <c r="BU354" s="9" t="inlineStr">
        <is>
          <t>WS 8102 (060526)</t>
        </is>
      </c>
      <c r="BV354" s="9" t="inlineStr">
        <is>
          <t>WS 8102 (060526)</t>
        </is>
      </c>
      <c r="BW354" s="9" t="inlineStr">
        <is>
          <t>WS 8103 (070526)</t>
        </is>
      </c>
      <c r="BX354" s="9" t="inlineStr">
        <is>
          <t>WS 8102 (070526)</t>
        </is>
      </c>
      <c r="BY354" s="9" t="inlineStr">
        <is>
          <t>WS 8103 (061125)</t>
        </is>
      </c>
      <c r="BZ354" s="9" t="inlineStr">
        <is>
          <t>WS 8103 (250226)</t>
        </is>
      </c>
      <c r="CA354" s="9" t="inlineStr">
        <is>
          <t>WS 8102 (080526)</t>
        </is>
      </c>
      <c r="CB354" s="9" t="inlineStr">
        <is>
          <t>WS 8109 (080526)</t>
        </is>
      </c>
      <c r="CD354" s="9" t="inlineStr">
        <is>
          <t>YH 121 (050226)</t>
        </is>
      </c>
      <c r="CE354" s="9" t="inlineStr">
        <is>
          <t>YH 121 (190326)</t>
        </is>
      </c>
      <c r="CF354" s="9" t="inlineStr">
        <is>
          <t>YH 121 (020426)</t>
        </is>
      </c>
      <c r="CG354" s="9" t="n">
        <v>0</v>
      </c>
      <c r="CH354" s="9" t="n">
        <v>0</v>
      </c>
      <c r="CI354" s="9" t="n">
        <v>0</v>
      </c>
      <c r="CJ354" s="9" t="n">
        <v>0</v>
      </c>
      <c r="CK354" s="9" t="n">
        <v>0</v>
      </c>
      <c r="CL354" s="9" t="n">
        <v>0</v>
      </c>
      <c r="CM354" s="9" t="inlineStr">
        <is>
          <t>311 (130526)</t>
        </is>
      </c>
      <c r="CN354" s="9" t="inlineStr">
        <is>
          <t>312 (130526)</t>
        </is>
      </c>
      <c r="CO354" s="9" t="n">
        <v>0</v>
      </c>
      <c r="CP354" s="9" t="n">
        <v>0</v>
      </c>
      <c r="CQ354" s="9" t="n">
        <v>0</v>
      </c>
      <c r="CR354" s="9" t="n">
        <v>0</v>
      </c>
      <c r="CT354" s="9" t="inlineStr">
        <is>
          <t>YH 122 (050226)</t>
        </is>
      </c>
      <c r="CU354" s="9" t="inlineStr">
        <is>
          <t>YH 122 (190326)</t>
        </is>
      </c>
      <c r="CV354" s="9" t="inlineStr">
        <is>
          <t>YH 122 (200426)</t>
        </is>
      </c>
      <c r="CW354" s="9" t="n">
        <v>0</v>
      </c>
      <c r="CX354" s="9" t="n">
        <v>0</v>
      </c>
      <c r="CY354" s="9" t="n">
        <v>0</v>
      </c>
      <c r="CZ354" s="9" t="inlineStr">
        <is>
          <t>5201 (090426)</t>
        </is>
      </c>
      <c r="DA354" s="9" t="inlineStr">
        <is>
          <t>5201 (090426)</t>
        </is>
      </c>
      <c r="DB354" s="9" t="n">
        <v>0</v>
      </c>
      <c r="DC354" s="9" t="inlineStr">
        <is>
          <t>5202 (090426)</t>
        </is>
      </c>
      <c r="DD354" s="9" t="inlineStr">
        <is>
          <t>5202 (090426)</t>
        </is>
      </c>
      <c r="DE354" s="9" t="n">
        <v>0</v>
      </c>
      <c r="DF354" s="9" t="inlineStr">
        <is>
          <t>5203 (090426)</t>
        </is>
      </c>
      <c r="DG354" s="9" t="inlineStr">
        <is>
          <t>5203 (090426)</t>
        </is>
      </c>
      <c r="DH354" s="9" t="n">
        <v>0</v>
      </c>
      <c r="DJ354" s="9" t="inlineStr">
        <is>
          <t>YH 123 (050226)</t>
        </is>
      </c>
      <c r="DK354" s="9" t="inlineStr">
        <is>
          <t>YH 123 (130326)</t>
        </is>
      </c>
      <c r="DL354" s="9" t="inlineStr">
        <is>
          <t>YH 123 (190326)</t>
        </is>
      </c>
      <c r="DM354" s="9" t="inlineStr">
        <is>
          <t>YH 123 (200426)</t>
        </is>
      </c>
      <c r="DN354" s="9" t="n">
        <v>0</v>
      </c>
      <c r="DO354" s="9" t="n">
        <v>0</v>
      </c>
      <c r="DP354" s="9" t="n">
        <v>0</v>
      </c>
      <c r="DQ354" s="9" t="n">
        <v>0</v>
      </c>
      <c r="DR354" s="9" t="n">
        <v>0</v>
      </c>
      <c r="DS354" s="9" t="n">
        <v>0</v>
      </c>
      <c r="DT354" s="9" t="n">
        <v>0</v>
      </c>
      <c r="DU354" s="9" t="n">
        <v>0</v>
      </c>
      <c r="DV354" s="9" t="n">
        <v>0</v>
      </c>
      <c r="DW354" s="9" t="n">
        <v>0</v>
      </c>
      <c r="DX354" s="9" t="n">
        <v>0</v>
      </c>
    </row>
    <row r="355">
      <c r="A355" s="9" t="inlineStr">
        <is>
          <t>NOVEMBER</t>
        </is>
      </c>
      <c r="B355" s="9" t="inlineStr">
        <is>
          <t>N01309AY</t>
        </is>
      </c>
      <c r="C355" s="9" t="n">
        <v>0</v>
      </c>
      <c r="D355" s="9" t="n">
        <v>0</v>
      </c>
      <c r="E355" s="9" t="n">
        <v>0</v>
      </c>
      <c r="F355" s="9" t="n">
        <v>0</v>
      </c>
      <c r="G355" s="9" t="n">
        <v>0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9" t="n">
        <v>0</v>
      </c>
      <c r="R355" s="9" t="inlineStr">
        <is>
          <t>N025-06</t>
        </is>
      </c>
      <c r="S355" s="9" t="n">
        <v>0</v>
      </c>
      <c r="T355" s="9" t="n">
        <v>0</v>
      </c>
      <c r="U355" s="9" t="n">
        <v>0</v>
      </c>
      <c r="V355" s="9" t="n">
        <v>0</v>
      </c>
      <c r="W355" s="9" t="n">
        <v>0</v>
      </c>
      <c r="X355" s="9" t="n">
        <v>0</v>
      </c>
      <c r="Y355" s="9" t="n">
        <v>0</v>
      </c>
      <c r="Z355" s="9" t="n">
        <v>0</v>
      </c>
      <c r="AA355" s="9" t="n">
        <v>0</v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</v>
      </c>
      <c r="AH355" s="9" t="inlineStr">
        <is>
          <t>N035-06</t>
        </is>
      </c>
      <c r="AI355" s="9" t="inlineStr">
        <is>
          <t>WITH 1103 TOP UP</t>
        </is>
      </c>
      <c r="AJ355" s="9" t="n">
        <v>0</v>
      </c>
      <c r="AK355" s="9" t="n">
        <v>0</v>
      </c>
      <c r="AL355" s="9" t="n">
        <v>0</v>
      </c>
      <c r="AM355" s="9" t="n">
        <v>0</v>
      </c>
      <c r="AN355" s="9" t="n">
        <v>0</v>
      </c>
      <c r="AO355" s="9" t="n">
        <v>0</v>
      </c>
      <c r="AP355" s="9" t="n">
        <v>0</v>
      </c>
      <c r="AQ355" s="9" t="n">
        <v>0</v>
      </c>
      <c r="AR355" s="9" t="n">
        <v>0</v>
      </c>
      <c r="AS355" s="9" t="n">
        <v>0</v>
      </c>
      <c r="AT355" s="9" t="n">
        <v>0</v>
      </c>
      <c r="AU355" s="9" t="n">
        <v>0</v>
      </c>
      <c r="AV355" s="9" t="n">
        <v>0</v>
      </c>
      <c r="AX355" s="9" t="n">
        <v>0</v>
      </c>
      <c r="AY355" s="9" t="n">
        <v>0</v>
      </c>
      <c r="AZ355" s="9" t="n">
        <v>0</v>
      </c>
      <c r="BA355" s="9" t="n">
        <v>0</v>
      </c>
      <c r="BB355" s="9" t="n">
        <v>0</v>
      </c>
      <c r="BC355" s="9" t="n">
        <v>0</v>
      </c>
      <c r="BD355" s="9" t="n">
        <v>0</v>
      </c>
      <c r="BE355" s="9" t="n">
        <v>0</v>
      </c>
      <c r="BF355" s="9" t="n">
        <v>0</v>
      </c>
      <c r="BG355" s="9" t="n">
        <v>0</v>
      </c>
      <c r="BH355" s="9" t="n">
        <v>0</v>
      </c>
      <c r="BI355" s="9" t="n">
        <v>0</v>
      </c>
      <c r="BJ355" s="9" t="n">
        <v>0</v>
      </c>
      <c r="BK355" s="9" t="n">
        <v>0</v>
      </c>
      <c r="BL355" s="9" t="n">
        <v>0</v>
      </c>
      <c r="BN355" s="9" t="inlineStr">
        <is>
          <t>NR 14-04</t>
        </is>
      </c>
      <c r="BO355" s="9" t="n">
        <v>0</v>
      </c>
      <c r="BP355" s="9" t="n">
        <v>0</v>
      </c>
      <c r="BQ355" s="9" t="inlineStr">
        <is>
          <t>NR 24-04Z</t>
        </is>
      </c>
      <c r="BR355" s="9" t="inlineStr">
        <is>
          <t>WITH BMD</t>
        </is>
      </c>
      <c r="BS355" s="9" t="inlineStr">
        <is>
          <t>8102 Top Up&amp;PM 8108</t>
        </is>
      </c>
      <c r="BT355" s="9" t="inlineStr">
        <is>
          <t>8102 Top Up&amp;PM 8102</t>
        </is>
      </c>
      <c r="BU355" s="9" t="inlineStr">
        <is>
          <t>8102 Top Up&amp;PM 8102</t>
        </is>
      </c>
      <c r="BV355" s="9" t="inlineStr">
        <is>
          <t>8102 Top Up&amp;PM 8108</t>
        </is>
      </c>
      <c r="BW355" s="9" t="inlineStr">
        <is>
          <t>8103 Top Up&amp;PM 8103</t>
        </is>
      </c>
      <c r="BX355" s="9" t="inlineStr">
        <is>
          <t>8103 Top Up&amp;PM 8109</t>
        </is>
      </c>
      <c r="BY355" s="9" t="inlineStr">
        <is>
          <t xml:space="preserve">NR 34-04 </t>
        </is>
      </c>
      <c r="BZ355" s="9" t="inlineStr">
        <is>
          <t xml:space="preserve">NR 34-04 </t>
        </is>
      </c>
      <c r="CA355" s="9" t="inlineStr">
        <is>
          <t>8102 TOP UP</t>
        </is>
      </c>
      <c r="CB355" s="9" t="inlineStr">
        <is>
          <t>8103 TOP UP</t>
        </is>
      </c>
      <c r="CD355" s="9" t="inlineStr">
        <is>
          <t>SOYTIDE&amp;TOXISORB</t>
        </is>
      </c>
      <c r="CE355" s="9" t="inlineStr">
        <is>
          <t>SOYTIDE&amp;TOXIWALL</t>
        </is>
      </c>
      <c r="CF355" s="9" t="inlineStr">
        <is>
          <t>EP 200&amp;TOXIWALL</t>
        </is>
      </c>
      <c r="CG355" s="9" t="n">
        <v>0</v>
      </c>
      <c r="CH355" s="9" t="n">
        <v>0</v>
      </c>
      <c r="CI355" s="9" t="n">
        <v>0</v>
      </c>
      <c r="CJ355" s="9" t="n">
        <v>0</v>
      </c>
      <c r="CK355" s="9" t="n">
        <v>0</v>
      </c>
      <c r="CL355" s="9" t="n">
        <v>0</v>
      </c>
      <c r="CM355" s="9" t="n">
        <v>0</v>
      </c>
      <c r="CN355" s="9" t="n">
        <v>0</v>
      </c>
      <c r="CO355" s="9" t="n">
        <v>0</v>
      </c>
      <c r="CP355" s="9" t="n">
        <v>0</v>
      </c>
      <c r="CQ355" s="9" t="n">
        <v>0</v>
      </c>
      <c r="CR355" s="9" t="n">
        <v>0</v>
      </c>
      <c r="CT355" s="9" t="inlineStr">
        <is>
          <t>WITH TOXISORB</t>
        </is>
      </c>
      <c r="CU355" s="9" t="inlineStr">
        <is>
          <t>WITH TOXIWALL</t>
        </is>
      </c>
      <c r="CV355" s="9" t="inlineStr">
        <is>
          <t>WITH TOXIWALL, YM 20.50kg</t>
        </is>
      </c>
      <c r="CW355" s="9" t="n">
        <v>0</v>
      </c>
      <c r="CX355" s="9" t="n">
        <v>0</v>
      </c>
      <c r="CY355" s="9" t="n">
        <v>0</v>
      </c>
      <c r="CZ355" s="9" t="n">
        <v>0</v>
      </c>
      <c r="DA355" s="9" t="inlineStr">
        <is>
          <t>REDUCE CORN FOR 2MT</t>
        </is>
      </c>
      <c r="DB355" s="9" t="n">
        <v>0</v>
      </c>
      <c r="DC355" s="9" t="n">
        <v>0</v>
      </c>
      <c r="DD355" s="9" t="inlineStr">
        <is>
          <t>K20</t>
        </is>
      </c>
      <c r="DE355" s="9" t="n">
        <v>0</v>
      </c>
      <c r="DF355" s="9" t="inlineStr">
        <is>
          <t>ALREADY 2MT</t>
        </is>
      </c>
      <c r="DG355" s="9" t="inlineStr">
        <is>
          <t>K21</t>
        </is>
      </c>
      <c r="DH355" s="9" t="n">
        <v>0</v>
      </c>
      <c r="DJ355" s="9" t="inlineStr">
        <is>
          <t>WITH TOXISORB</t>
        </is>
      </c>
      <c r="DK355" s="9" t="inlineStr">
        <is>
          <t>WITHOUT WHEAT POLLARD</t>
        </is>
      </c>
      <c r="DL355" s="9" t="inlineStr">
        <is>
          <t>WITH TOXIWALL</t>
        </is>
      </c>
      <c r="DM355" s="9" t="inlineStr">
        <is>
          <t>WITH TOXIWALL, YM 20.00kg</t>
        </is>
      </c>
      <c r="DN355" s="9" t="n">
        <v>0</v>
      </c>
      <c r="DO355" s="9" t="n">
        <v>0</v>
      </c>
      <c r="DP355" s="9" t="n">
        <v>0</v>
      </c>
      <c r="DQ355" s="9" t="n">
        <v>0</v>
      </c>
      <c r="DR355" s="9" t="n">
        <v>0</v>
      </c>
      <c r="DS355" s="9" t="n">
        <v>0</v>
      </c>
      <c r="DT355" s="9" t="n">
        <v>0</v>
      </c>
      <c r="DU355" s="9" t="n">
        <v>0</v>
      </c>
      <c r="DV355" s="9" t="n">
        <v>0</v>
      </c>
      <c r="DW355" s="9" t="n">
        <v>0</v>
      </c>
      <c r="DX355" s="9" t="n">
        <v>0</v>
      </c>
    </row>
    <row r="356">
      <c r="A356" s="10" t="n">
        <v>46327</v>
      </c>
    </row>
    <row r="357">
      <c r="A357" s="10" t="n">
        <v>46328</v>
      </c>
    </row>
    <row r="358">
      <c r="A358" s="10" t="n">
        <v>46329</v>
      </c>
    </row>
    <row r="359">
      <c r="A359" s="10" t="n">
        <v>46330</v>
      </c>
    </row>
    <row r="360">
      <c r="A360" s="10" t="n">
        <v>46331</v>
      </c>
    </row>
    <row r="361">
      <c r="A361" s="10" t="n">
        <v>46332</v>
      </c>
    </row>
    <row r="362">
      <c r="A362" s="10" t="n">
        <v>46333</v>
      </c>
    </row>
    <row r="363">
      <c r="A363" s="10" t="n">
        <v>46334</v>
      </c>
    </row>
    <row r="364">
      <c r="A364" s="10" t="n">
        <v>46335</v>
      </c>
    </row>
    <row r="365">
      <c r="A365" s="10" t="n">
        <v>46336</v>
      </c>
    </row>
    <row r="366">
      <c r="A366" s="10" t="n">
        <v>46337</v>
      </c>
    </row>
    <row r="367">
      <c r="A367" s="10" t="n">
        <v>46338</v>
      </c>
    </row>
    <row r="368">
      <c r="A368" s="10" t="n">
        <v>46339</v>
      </c>
    </row>
    <row r="369">
      <c r="A369" s="10" t="n">
        <v>46340</v>
      </c>
    </row>
    <row r="370">
      <c r="A370" s="10" t="n">
        <v>46341</v>
      </c>
    </row>
    <row r="371">
      <c r="A371" s="10" t="n">
        <v>46342</v>
      </c>
    </row>
    <row r="372">
      <c r="A372" s="10" t="n">
        <v>46343</v>
      </c>
    </row>
    <row r="373">
      <c r="A373" s="10" t="n">
        <v>46344</v>
      </c>
    </row>
    <row r="374">
      <c r="A374" s="10" t="n">
        <v>46345</v>
      </c>
    </row>
    <row r="375">
      <c r="A375" s="10" t="n">
        <v>46346</v>
      </c>
    </row>
    <row r="376">
      <c r="A376" s="10" t="n">
        <v>46347</v>
      </c>
    </row>
    <row r="377">
      <c r="A377" s="10" t="n">
        <v>46348</v>
      </c>
    </row>
    <row r="378">
      <c r="A378" s="10" t="n">
        <v>46349</v>
      </c>
    </row>
    <row r="379">
      <c r="A379" s="10" t="n">
        <v>46350</v>
      </c>
    </row>
    <row r="380">
      <c r="A380" s="10" t="n">
        <v>46351</v>
      </c>
    </row>
    <row r="381">
      <c r="A381" s="10" t="n">
        <v>46352</v>
      </c>
    </row>
    <row r="382">
      <c r="A382" s="10" t="n">
        <v>46353</v>
      </c>
    </row>
    <row r="383">
      <c r="A383" s="10" t="n">
        <v>46354</v>
      </c>
    </row>
    <row r="384">
      <c r="A384" s="10" t="n">
        <v>46355</v>
      </c>
    </row>
    <row r="385">
      <c r="A385" s="10" t="n">
        <v>46356</v>
      </c>
    </row>
    <row r="386"/>
    <row r="387">
      <c r="B387" s="9" t="inlineStr">
        <is>
          <t>WS 1101 (251124)</t>
        </is>
      </c>
      <c r="C387" s="9" t="inlineStr">
        <is>
          <t>WS 1101 (220526)</t>
        </is>
      </c>
      <c r="D387" s="9" t="n">
        <v>0</v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0</v>
      </c>
      <c r="O387" s="9" t="n">
        <v>0</v>
      </c>
      <c r="P387" s="9" t="n">
        <v>0</v>
      </c>
      <c r="R387" s="9" t="inlineStr">
        <is>
          <t>WS 1102 (290825)</t>
        </is>
      </c>
      <c r="S387" s="9" t="n">
        <v>0</v>
      </c>
      <c r="T387" s="9" t="n">
        <v>0</v>
      </c>
      <c r="U387" s="9" t="n">
        <v>0</v>
      </c>
      <c r="V387" s="9" t="n">
        <v>0</v>
      </c>
      <c r="W387" s="9" t="n">
        <v>0</v>
      </c>
      <c r="X387" s="9" t="n">
        <v>0</v>
      </c>
      <c r="Y387" s="9" t="n">
        <v>0</v>
      </c>
      <c r="Z387" s="9" t="n">
        <v>0</v>
      </c>
      <c r="AA387" s="9" t="n">
        <v>0</v>
      </c>
      <c r="AB387" s="9" t="n">
        <v>0</v>
      </c>
      <c r="AC387" s="9" t="n">
        <v>0</v>
      </c>
      <c r="AD387" s="9" t="n">
        <v>0</v>
      </c>
      <c r="AE387" s="9" t="n">
        <v>0</v>
      </c>
      <c r="AF387" s="9" t="n">
        <v>0</v>
      </c>
      <c r="AH387" s="9" t="inlineStr">
        <is>
          <t>WS 1103 (290825)</t>
        </is>
      </c>
      <c r="AI387" s="9" t="inlineStr">
        <is>
          <t>WS 1103 (220526)</t>
        </is>
      </c>
      <c r="AJ387" s="9" t="n">
        <v>0</v>
      </c>
      <c r="AK387" s="9" t="n">
        <v>0</v>
      </c>
      <c r="AL387" s="9" t="n">
        <v>0</v>
      </c>
      <c r="AM387" s="9" t="n">
        <v>0</v>
      </c>
      <c r="AN387" s="9" t="n">
        <v>0</v>
      </c>
      <c r="AO387" s="9" t="n">
        <v>0</v>
      </c>
      <c r="AP387" s="9" t="n">
        <v>0</v>
      </c>
      <c r="AQ387" s="9" t="n">
        <v>0</v>
      </c>
      <c r="AR387" s="9" t="n">
        <v>0</v>
      </c>
      <c r="AS387" s="9" t="n">
        <v>0</v>
      </c>
      <c r="AT387" s="9" t="n">
        <v>0</v>
      </c>
      <c r="AU387" s="9" t="n">
        <v>0</v>
      </c>
      <c r="AV387" s="9" t="n">
        <v>0</v>
      </c>
      <c r="AX387" s="9" t="n">
        <v>0</v>
      </c>
      <c r="AY387" s="9" t="n">
        <v>0</v>
      </c>
      <c r="AZ387" s="9" t="n">
        <v>0</v>
      </c>
      <c r="BA387" s="9" t="n">
        <v>0</v>
      </c>
      <c r="BB387" s="9" t="n">
        <v>0</v>
      </c>
      <c r="BC387" s="9" t="n">
        <v>0</v>
      </c>
      <c r="BD387" s="9" t="n">
        <v>0</v>
      </c>
      <c r="BE387" s="9" t="n">
        <v>0</v>
      </c>
      <c r="BF387" s="9" t="n">
        <v>0</v>
      </c>
      <c r="BG387" s="9" t="n">
        <v>0</v>
      </c>
      <c r="BH387" s="9" t="n">
        <v>0</v>
      </c>
      <c r="BI387" s="9" t="n">
        <v>0</v>
      </c>
      <c r="BJ387" s="9" t="n">
        <v>0</v>
      </c>
      <c r="BK387" s="9" t="n">
        <v>0</v>
      </c>
      <c r="BL387" s="9" t="n">
        <v>0</v>
      </c>
      <c r="BN387" s="9" t="inlineStr">
        <is>
          <t>WS 8100 (290825)</t>
        </is>
      </c>
      <c r="BO387" s="9" t="inlineStr">
        <is>
          <t>WS 8100 (280426)</t>
        </is>
      </c>
      <c r="BP387" s="9" t="n">
        <v>0</v>
      </c>
      <c r="BQ387" s="9" t="inlineStr">
        <is>
          <t>WS 8102 (290825)</t>
        </is>
      </c>
      <c r="BR387" s="9" t="inlineStr">
        <is>
          <t>WS 8102 (121225)</t>
        </is>
      </c>
      <c r="BS387" s="9" t="inlineStr">
        <is>
          <t>WS 8102 (020326)</t>
        </is>
      </c>
      <c r="BT387" s="9" t="inlineStr">
        <is>
          <t>WS 8102 (020326)</t>
        </is>
      </c>
      <c r="BU387" s="9" t="inlineStr">
        <is>
          <t>WS 8102 (060526)</t>
        </is>
      </c>
      <c r="BV387" s="9" t="inlineStr">
        <is>
          <t>WS 8102 (060526)</t>
        </is>
      </c>
      <c r="BW387" s="9" t="inlineStr">
        <is>
          <t>WS 8103 (070526)</t>
        </is>
      </c>
      <c r="BX387" s="9" t="inlineStr">
        <is>
          <t>WS 8102 (070526)</t>
        </is>
      </c>
      <c r="BY387" s="9" t="inlineStr">
        <is>
          <t>WS 8103 (061125)</t>
        </is>
      </c>
      <c r="BZ387" s="9" t="inlineStr">
        <is>
          <t>WS 8103 (250226)</t>
        </is>
      </c>
      <c r="CA387" s="9" t="inlineStr">
        <is>
          <t>WS 8102 (080526)</t>
        </is>
      </c>
      <c r="CB387" s="9" t="inlineStr">
        <is>
          <t>WS 8109 (080526)</t>
        </is>
      </c>
      <c r="CD387" s="9" t="inlineStr">
        <is>
          <t>YH 121 (050226)</t>
        </is>
      </c>
      <c r="CE387" s="9" t="inlineStr">
        <is>
          <t>YH 121 (190326)</t>
        </is>
      </c>
      <c r="CF387" s="9" t="inlineStr">
        <is>
          <t>YH 121 (020426)</t>
        </is>
      </c>
      <c r="CG387" s="9" t="n">
        <v>0</v>
      </c>
      <c r="CH387" s="9" t="n">
        <v>0</v>
      </c>
      <c r="CI387" s="9" t="n">
        <v>0</v>
      </c>
      <c r="CJ387" s="9" t="n">
        <v>0</v>
      </c>
      <c r="CK387" s="9" t="n">
        <v>0</v>
      </c>
      <c r="CL387" s="9" t="n">
        <v>0</v>
      </c>
      <c r="CM387" s="9" t="inlineStr">
        <is>
          <t>311 (130526)</t>
        </is>
      </c>
      <c r="CN387" s="9" t="inlineStr">
        <is>
          <t>312 (130526)</t>
        </is>
      </c>
      <c r="CO387" s="9" t="n">
        <v>0</v>
      </c>
      <c r="CP387" s="9" t="n">
        <v>0</v>
      </c>
      <c r="CQ387" s="9" t="n">
        <v>0</v>
      </c>
      <c r="CR387" s="9" t="n">
        <v>0</v>
      </c>
      <c r="CT387" s="9" t="inlineStr">
        <is>
          <t>YH 122 (050226)</t>
        </is>
      </c>
      <c r="CU387" s="9" t="inlineStr">
        <is>
          <t>YH 122 (190326)</t>
        </is>
      </c>
      <c r="CV387" s="9" t="inlineStr">
        <is>
          <t>YH 122 (200426)</t>
        </is>
      </c>
      <c r="CW387" s="9" t="n">
        <v>0</v>
      </c>
      <c r="CX387" s="9" t="n">
        <v>0</v>
      </c>
      <c r="CY387" s="9" t="n">
        <v>0</v>
      </c>
      <c r="CZ387" s="9" t="inlineStr">
        <is>
          <t>5201 (090426)</t>
        </is>
      </c>
      <c r="DA387" s="9" t="inlineStr">
        <is>
          <t>5201 (090426)</t>
        </is>
      </c>
      <c r="DB387" s="9" t="n">
        <v>0</v>
      </c>
      <c r="DC387" s="9" t="inlineStr">
        <is>
          <t>5202 (090426)</t>
        </is>
      </c>
      <c r="DD387" s="9" t="inlineStr">
        <is>
          <t>5202 (090426)</t>
        </is>
      </c>
      <c r="DE387" s="9" t="n">
        <v>0</v>
      </c>
      <c r="DF387" s="9" t="inlineStr">
        <is>
          <t>5203 (090426)</t>
        </is>
      </c>
      <c r="DG387" s="9" t="inlineStr">
        <is>
          <t>5203 (090426)</t>
        </is>
      </c>
      <c r="DH387" s="9" t="n">
        <v>0</v>
      </c>
      <c r="DJ387" s="9" t="inlineStr">
        <is>
          <t>YH 123 (050226)</t>
        </is>
      </c>
      <c r="DK387" s="9" t="inlineStr">
        <is>
          <t>YH 123 (130326)</t>
        </is>
      </c>
      <c r="DL387" s="9" t="inlineStr">
        <is>
          <t>YH 123 (190326)</t>
        </is>
      </c>
      <c r="DM387" s="9" t="inlineStr">
        <is>
          <t>YH 123 (200426)</t>
        </is>
      </c>
      <c r="DN387" s="9" t="n">
        <v>0</v>
      </c>
      <c r="DO387" s="9" t="n">
        <v>0</v>
      </c>
      <c r="DP387" s="9" t="n">
        <v>0</v>
      </c>
      <c r="DQ387" s="9" t="n">
        <v>0</v>
      </c>
      <c r="DR387" s="9" t="n">
        <v>0</v>
      </c>
      <c r="DS387" s="9" t="n">
        <v>0</v>
      </c>
      <c r="DT387" s="9" t="n">
        <v>0</v>
      </c>
      <c r="DU387" s="9" t="n">
        <v>0</v>
      </c>
      <c r="DV387" s="9" t="n">
        <v>0</v>
      </c>
      <c r="DW387" s="9" t="n">
        <v>0</v>
      </c>
      <c r="DX387" s="9" t="n">
        <v>0</v>
      </c>
    </row>
    <row r="388">
      <c r="A388" s="9" t="inlineStr">
        <is>
          <t>DECEMBER</t>
        </is>
      </c>
      <c r="B388" s="9" t="inlineStr">
        <is>
          <t>N01309AY</t>
        </is>
      </c>
      <c r="C388" s="9" t="n">
        <v>0</v>
      </c>
      <c r="D388" s="9" t="n">
        <v>0</v>
      </c>
      <c r="E388" s="9" t="n">
        <v>0</v>
      </c>
      <c r="F388" s="9" t="n">
        <v>0</v>
      </c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R388" s="9" t="inlineStr">
        <is>
          <t>N025-06</t>
        </is>
      </c>
      <c r="S388" s="9" t="n">
        <v>0</v>
      </c>
      <c r="T388" s="9" t="n">
        <v>0</v>
      </c>
      <c r="U388" s="9" t="n">
        <v>0</v>
      </c>
      <c r="V388" s="9" t="n">
        <v>0</v>
      </c>
      <c r="W388" s="9" t="n">
        <v>0</v>
      </c>
      <c r="X388" s="9" t="n">
        <v>0</v>
      </c>
      <c r="Y388" s="9" t="n">
        <v>0</v>
      </c>
      <c r="Z388" s="9" t="n">
        <v>0</v>
      </c>
      <c r="AA388" s="9" t="n">
        <v>0</v>
      </c>
      <c r="AB388" s="9" t="n">
        <v>0</v>
      </c>
      <c r="AC388" s="9" t="n">
        <v>0</v>
      </c>
      <c r="AD388" s="9" t="n">
        <v>0</v>
      </c>
      <c r="AE388" s="9" t="n">
        <v>0</v>
      </c>
      <c r="AF388" s="9" t="n">
        <v>0</v>
      </c>
      <c r="AH388" s="9" t="inlineStr">
        <is>
          <t>N035-06</t>
        </is>
      </c>
      <c r="AI388" s="9" t="inlineStr">
        <is>
          <t>WITH 1103 TOP UP</t>
        </is>
      </c>
      <c r="AJ388" s="9" t="n">
        <v>0</v>
      </c>
      <c r="AK388" s="9" t="n">
        <v>0</v>
      </c>
      <c r="AL388" s="9" t="n">
        <v>0</v>
      </c>
      <c r="AM388" s="9" t="n">
        <v>0</v>
      </c>
      <c r="AN388" s="9" t="n">
        <v>0</v>
      </c>
      <c r="AO388" s="9" t="n">
        <v>0</v>
      </c>
      <c r="AP388" s="9" t="n">
        <v>0</v>
      </c>
      <c r="AQ388" s="9" t="n">
        <v>0</v>
      </c>
      <c r="AR388" s="9" t="n">
        <v>0</v>
      </c>
      <c r="AS388" s="9" t="n">
        <v>0</v>
      </c>
      <c r="AT388" s="9" t="n">
        <v>0</v>
      </c>
      <c r="AU388" s="9" t="n">
        <v>0</v>
      </c>
      <c r="AV388" s="9" t="n">
        <v>0</v>
      </c>
      <c r="AX388" s="9" t="n">
        <v>0</v>
      </c>
      <c r="AY388" s="9" t="n">
        <v>0</v>
      </c>
      <c r="AZ388" s="9" t="n">
        <v>0</v>
      </c>
      <c r="BA388" s="9" t="n">
        <v>0</v>
      </c>
      <c r="BB388" s="9" t="n">
        <v>0</v>
      </c>
      <c r="BC388" s="9" t="n">
        <v>0</v>
      </c>
      <c r="BD388" s="9" t="n">
        <v>0</v>
      </c>
      <c r="BE388" s="9" t="n">
        <v>0</v>
      </c>
      <c r="BF388" s="9" t="n">
        <v>0</v>
      </c>
      <c r="BG388" s="9" t="n">
        <v>0</v>
      </c>
      <c r="BH388" s="9" t="n">
        <v>0</v>
      </c>
      <c r="BI388" s="9" t="n">
        <v>0</v>
      </c>
      <c r="BJ388" s="9" t="n">
        <v>0</v>
      </c>
      <c r="BK388" s="9" t="n">
        <v>0</v>
      </c>
      <c r="BL388" s="9" t="n">
        <v>0</v>
      </c>
      <c r="BN388" s="9" t="inlineStr">
        <is>
          <t>NR 14-04</t>
        </is>
      </c>
      <c r="BO388" s="9" t="n">
        <v>0</v>
      </c>
      <c r="BP388" s="9" t="n">
        <v>0</v>
      </c>
      <c r="BQ388" s="9" t="inlineStr">
        <is>
          <t>NR 24-04Z</t>
        </is>
      </c>
      <c r="BR388" s="9" t="inlineStr">
        <is>
          <t>WITH BMD</t>
        </is>
      </c>
      <c r="BS388" s="9" t="inlineStr">
        <is>
          <t>8102 Top Up&amp;PM 8108</t>
        </is>
      </c>
      <c r="BT388" s="9" t="inlineStr">
        <is>
          <t>8102 Top Up&amp;PM 8102</t>
        </is>
      </c>
      <c r="BU388" s="9" t="inlineStr">
        <is>
          <t>8102 Top Up&amp;PM 8102</t>
        </is>
      </c>
      <c r="BV388" s="9" t="inlineStr">
        <is>
          <t>8102 Top Up&amp;PM 8108</t>
        </is>
      </c>
      <c r="BW388" s="9" t="inlineStr">
        <is>
          <t>8103 Top Up&amp;PM 8103</t>
        </is>
      </c>
      <c r="BX388" s="9" t="inlineStr">
        <is>
          <t>8103 Top Up&amp;PM 8109</t>
        </is>
      </c>
      <c r="BY388" s="9" t="inlineStr">
        <is>
          <t xml:space="preserve">NR 34-04 </t>
        </is>
      </c>
      <c r="BZ388" s="9" t="inlineStr">
        <is>
          <t xml:space="preserve">NR 34-04 </t>
        </is>
      </c>
      <c r="CA388" s="9" t="inlineStr">
        <is>
          <t>8102 TOP UP</t>
        </is>
      </c>
      <c r="CB388" s="9" t="inlineStr">
        <is>
          <t>8103 TOP UP</t>
        </is>
      </c>
      <c r="CD388" s="9" t="inlineStr">
        <is>
          <t>SOYTIDE&amp;TOXISORB</t>
        </is>
      </c>
      <c r="CE388" s="9" t="inlineStr">
        <is>
          <t>SOYTIDE&amp;TOXIWALL</t>
        </is>
      </c>
      <c r="CF388" s="9" t="inlineStr">
        <is>
          <t>EP 200&amp;TOXIWALL</t>
        </is>
      </c>
      <c r="CG388" s="9" t="n">
        <v>0</v>
      </c>
      <c r="CH388" s="9" t="n">
        <v>0</v>
      </c>
      <c r="CI388" s="9" t="n">
        <v>0</v>
      </c>
      <c r="CJ388" s="9" t="n">
        <v>0</v>
      </c>
      <c r="CK388" s="9" t="n">
        <v>0</v>
      </c>
      <c r="CL388" s="9" t="n">
        <v>0</v>
      </c>
      <c r="CM388" s="9" t="n">
        <v>0</v>
      </c>
      <c r="CN388" s="9" t="n">
        <v>0</v>
      </c>
      <c r="CO388" s="9" t="n">
        <v>0</v>
      </c>
      <c r="CP388" s="9" t="n">
        <v>0</v>
      </c>
      <c r="CQ388" s="9" t="n">
        <v>0</v>
      </c>
      <c r="CR388" s="9" t="n">
        <v>0</v>
      </c>
      <c r="CT388" s="9" t="inlineStr">
        <is>
          <t>WITH TOXISORB</t>
        </is>
      </c>
      <c r="CU388" s="9" t="inlineStr">
        <is>
          <t>WITH TOXIWALL</t>
        </is>
      </c>
      <c r="CV388" s="9" t="inlineStr">
        <is>
          <t>WITH TOXIWALL, YM 20.50kg</t>
        </is>
      </c>
      <c r="CW388" s="9" t="n">
        <v>0</v>
      </c>
      <c r="CX388" s="9" t="n">
        <v>0</v>
      </c>
      <c r="CY388" s="9" t="n">
        <v>0</v>
      </c>
      <c r="CZ388" s="9" t="n">
        <v>0</v>
      </c>
      <c r="DA388" s="9" t="inlineStr">
        <is>
          <t>REDUCE CORN FOR 2MT</t>
        </is>
      </c>
      <c r="DB388" s="9" t="n">
        <v>0</v>
      </c>
      <c r="DC388" s="9" t="n">
        <v>0</v>
      </c>
      <c r="DD388" s="9" t="inlineStr">
        <is>
          <t>K20</t>
        </is>
      </c>
      <c r="DE388" s="9" t="n">
        <v>0</v>
      </c>
      <c r="DF388" s="9" t="inlineStr">
        <is>
          <t>ALREADY 2MT</t>
        </is>
      </c>
      <c r="DG388" s="9" t="inlineStr">
        <is>
          <t>K21</t>
        </is>
      </c>
      <c r="DH388" s="9" t="n">
        <v>0</v>
      </c>
      <c r="DJ388" s="9" t="inlineStr">
        <is>
          <t>WITH TOXISORB</t>
        </is>
      </c>
      <c r="DK388" s="9" t="inlineStr">
        <is>
          <t>WITHOUT WHEAT POLLARD</t>
        </is>
      </c>
      <c r="DL388" s="9" t="inlineStr">
        <is>
          <t>WITH TOXIWALL</t>
        </is>
      </c>
      <c r="DM388" s="9" t="inlineStr">
        <is>
          <t>WITH TOXIWALL, YM 20.00kg</t>
        </is>
      </c>
      <c r="DN388" s="9" t="n">
        <v>0</v>
      </c>
      <c r="DO388" s="9" t="n">
        <v>0</v>
      </c>
      <c r="DP388" s="9" t="n">
        <v>0</v>
      </c>
      <c r="DQ388" s="9" t="n">
        <v>0</v>
      </c>
      <c r="DR388" s="9" t="n">
        <v>0</v>
      </c>
      <c r="DS388" s="9" t="n">
        <v>0</v>
      </c>
      <c r="DT388" s="9" t="n">
        <v>0</v>
      </c>
      <c r="DU388" s="9" t="n">
        <v>0</v>
      </c>
      <c r="DV388" s="9" t="n">
        <v>0</v>
      </c>
      <c r="DW388" s="9" t="n">
        <v>0</v>
      </c>
      <c r="DX388" s="9" t="n">
        <v>0</v>
      </c>
    </row>
    <row r="389">
      <c r="A389" s="10" t="n">
        <v>46357</v>
      </c>
    </row>
    <row r="390">
      <c r="A390" s="10" t="n">
        <v>46358</v>
      </c>
    </row>
    <row r="391">
      <c r="A391" s="10" t="n">
        <v>46359</v>
      </c>
    </row>
    <row r="392">
      <c r="A392" s="10" t="n">
        <v>46360</v>
      </c>
    </row>
    <row r="393">
      <c r="A393" s="10" t="n">
        <v>46361</v>
      </c>
    </row>
    <row r="394">
      <c r="A394" s="10" t="n">
        <v>46362</v>
      </c>
    </row>
    <row r="395">
      <c r="A395" s="10" t="n">
        <v>46363</v>
      </c>
    </row>
    <row r="396">
      <c r="A396" s="10" t="n">
        <v>46364</v>
      </c>
    </row>
    <row r="397">
      <c r="A397" s="10" t="n">
        <v>46365</v>
      </c>
    </row>
    <row r="398">
      <c r="A398" s="10" t="n">
        <v>46366</v>
      </c>
    </row>
    <row r="399">
      <c r="A399" s="10" t="n">
        <v>46367</v>
      </c>
    </row>
    <row r="400">
      <c r="A400" s="10" t="n">
        <v>46368</v>
      </c>
    </row>
    <row r="401">
      <c r="A401" s="10" t="n">
        <v>46369</v>
      </c>
    </row>
    <row r="402">
      <c r="A402" s="10" t="n">
        <v>46370</v>
      </c>
    </row>
    <row r="403">
      <c r="A403" s="10" t="n">
        <v>46371</v>
      </c>
    </row>
    <row r="404">
      <c r="A404" s="10" t="n">
        <v>46372</v>
      </c>
    </row>
    <row r="405">
      <c r="A405" s="10" t="n">
        <v>46373</v>
      </c>
    </row>
    <row r="406">
      <c r="A406" s="10" t="n">
        <v>46374</v>
      </c>
    </row>
    <row r="407">
      <c r="A407" s="10" t="n">
        <v>46375</v>
      </c>
    </row>
    <row r="408">
      <c r="A408" s="10" t="n">
        <v>46376</v>
      </c>
    </row>
    <row r="409">
      <c r="A409" s="10" t="n">
        <v>46377</v>
      </c>
    </row>
    <row r="410">
      <c r="A410" s="10" t="n">
        <v>46378</v>
      </c>
    </row>
    <row r="411">
      <c r="A411" s="10" t="n">
        <v>46379</v>
      </c>
    </row>
    <row r="412">
      <c r="A412" s="10" t="n">
        <v>46380</v>
      </c>
    </row>
    <row r="413">
      <c r="A413" s="10" t="n">
        <v>46381</v>
      </c>
    </row>
    <row r="414">
      <c r="A414" s="10" t="n">
        <v>46382</v>
      </c>
    </row>
    <row r="415">
      <c r="A415" s="10" t="n">
        <v>46383</v>
      </c>
    </row>
    <row r="416">
      <c r="A416" s="10" t="n">
        <v>46384</v>
      </c>
    </row>
    <row r="417">
      <c r="A417" s="10" t="n">
        <v>46385</v>
      </c>
    </row>
    <row r="418">
      <c r="A418" s="10" t="n">
        <v>46386</v>
      </c>
    </row>
    <row r="419">
      <c r="A419" s="10" t="n">
        <v>46387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L42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2" customWidth="1" min="4" max="4"/>
    <col width="21" customWidth="1" min="5" max="5"/>
    <col width="12" customWidth="1" min="6" max="6"/>
    <col width="22" customWidth="1" min="7" max="7"/>
    <col width="21" customWidth="1" min="8" max="8"/>
    <col width="40" customWidth="1" min="9" max="9"/>
    <col width="12" customWidth="1" min="10" max="10"/>
    <col width="21" customWidth="1" min="11" max="11"/>
    <col width="22" customWidth="1" min="12" max="12"/>
    <col width="12" customWidth="1" min="13" max="13"/>
    <col width="21" customWidth="1" min="14" max="14"/>
    <col width="21" customWidth="1" min="15" max="15"/>
    <col width="22" customWidth="1" min="16" max="16"/>
    <col width="21" customWidth="1" min="17" max="17"/>
    <col width="12" customWidth="1" min="18" max="18"/>
    <col width="12" customWidth="1" min="19" max="19"/>
    <col width="19" customWidth="1" min="20" max="20"/>
    <col width="22" customWidth="1" min="21" max="21"/>
    <col width="12" customWidth="1" min="22" max="22"/>
    <col width="21" customWidth="1" min="23" max="23"/>
    <col width="20" customWidth="1" min="24" max="24"/>
    <col width="23" customWidth="1" min="25" max="25"/>
    <col width="21" customWidth="1" min="26" max="26"/>
    <col width="12" customWidth="1" min="27" max="27"/>
    <col width="12" customWidth="1" min="28" max="28"/>
    <col width="16" customWidth="1" min="29" max="29"/>
    <col width="22" customWidth="1" min="30" max="30"/>
    <col width="12" customWidth="1" min="31" max="31"/>
    <col width="21" customWidth="1" min="32" max="32"/>
    <col width="12" customWidth="1" min="33" max="33"/>
    <col width="23" customWidth="1" min="34" max="34"/>
    <col width="21" customWidth="1" min="35" max="35"/>
    <col width="12" customWidth="1" min="36" max="36"/>
    <col width="12" customWidth="1" min="37" max="37"/>
    <col width="12" customWidth="1" min="38" max="38"/>
    <col width="22" customWidth="1" min="39" max="39"/>
    <col width="12" customWidth="1" min="40" max="40"/>
    <col width="12" customWidth="1" min="41" max="41"/>
    <col width="12" customWidth="1" min="42" max="42"/>
    <col width="13" customWidth="1" min="43" max="43"/>
    <col width="12" customWidth="1" min="44" max="44"/>
    <col width="12" customWidth="1" min="45" max="45"/>
    <col width="12" customWidth="1" min="46" max="46"/>
    <col width="21" customWidth="1" min="47" max="47"/>
    <col width="22" customWidth="1" min="48" max="48"/>
    <col width="12" customWidth="1" min="49" max="49"/>
    <col width="12" customWidth="1" min="50" max="50"/>
    <col width="21" customWidth="1" min="51" max="51"/>
    <col width="23" customWidth="1" min="52" max="52"/>
    <col width="21" customWidth="1" min="53" max="53"/>
    <col width="12" customWidth="1" min="54" max="54"/>
    <col width="12" customWidth="1" min="55" max="55"/>
    <col width="19" customWidth="1" min="56" max="56"/>
    <col width="22" customWidth="1" min="57" max="57"/>
    <col width="12" customWidth="1" min="58" max="58"/>
    <col width="21" customWidth="1" min="59" max="59"/>
    <col width="21" customWidth="1" min="60" max="60"/>
    <col width="23" customWidth="1" min="61" max="61"/>
    <col width="21" customWidth="1" min="62" max="62"/>
    <col width="12" customWidth="1" min="63" max="63"/>
    <col width="12" customWidth="1" min="64" max="64"/>
    <col width="19" customWidth="1" min="65" max="65"/>
    <col width="22" customWidth="1" min="66" max="66"/>
    <col width="21" customWidth="1" min="67" max="67"/>
    <col width="21" customWidth="1" min="68" max="68"/>
    <col width="21" customWidth="1" min="69" max="69"/>
    <col width="23" customWidth="1" min="70" max="70"/>
    <col width="12" customWidth="1" min="71" max="71"/>
    <col width="12" customWidth="1" min="72" max="72"/>
    <col width="12" customWidth="1" min="73" max="73"/>
    <col width="12" customWidth="1" min="74" max="74"/>
    <col width="22" customWidth="1" min="75" max="75"/>
    <col width="12" customWidth="1" min="76" max="76"/>
    <col width="21" customWidth="1" min="77" max="77"/>
    <col width="12" customWidth="1" min="78" max="78"/>
    <col width="21" customWidth="1" min="79" max="79"/>
    <col width="20" customWidth="1" min="80" max="80"/>
    <col width="12" customWidth="1" min="81" max="81"/>
    <col width="12" customWidth="1" min="82" max="82"/>
    <col width="28" customWidth="1" min="83" max="83"/>
    <col width="22" customWidth="1" min="84" max="84"/>
    <col width="20" customWidth="1" min="85" max="85"/>
    <col width="21" customWidth="1" min="86" max="86"/>
    <col width="20" customWidth="1" min="87" max="87"/>
    <col width="22" customWidth="1" min="88" max="88"/>
    <col width="12" customWidth="1" min="89" max="89"/>
    <col width="12" customWidth="1" min="90" max="90"/>
    <col width="12" customWidth="1" min="91" max="91"/>
    <col width="23" customWidth="1" min="92" max="92"/>
    <col width="22" customWidth="1" min="93" max="93"/>
    <col width="12" customWidth="1" min="94" max="94"/>
    <col width="12" customWidth="1" min="95" max="95"/>
    <col width="12" customWidth="1" min="96" max="96"/>
    <col width="13" customWidth="1" min="97" max="97"/>
    <col width="12" customWidth="1" min="98" max="98"/>
    <col width="12" customWidth="1" min="99" max="99"/>
    <col width="12" customWidth="1" min="100" max="100"/>
    <col width="17" customWidth="1" min="101" max="101"/>
    <col width="22" customWidth="1" min="102" max="102"/>
    <col width="12" customWidth="1" min="103" max="103"/>
    <col width="20" customWidth="1" min="104" max="104"/>
    <col width="12" customWidth="1" min="105" max="105"/>
    <col width="23" customWidth="1" min="106" max="106"/>
    <col width="21" customWidth="1" min="107" max="107"/>
    <col width="12" customWidth="1" min="108" max="108"/>
    <col width="12" customWidth="1" min="109" max="109"/>
    <col width="12" customWidth="1" min="110" max="110"/>
    <col width="22" customWidth="1" min="111" max="111"/>
    <col width="12" customWidth="1" min="112" max="112"/>
    <col width="21" customWidth="1" min="113" max="113"/>
    <col width="12" customWidth="1" min="114" max="114"/>
    <col width="23" customWidth="1" min="115" max="115"/>
    <col width="26" customWidth="1" min="116" max="116"/>
    <col width="12" customWidth="1" min="117" max="117"/>
    <col width="12" customWidth="1" min="118" max="118"/>
    <col width="12" customWidth="1" min="119" max="119"/>
    <col width="22" customWidth="1" min="120" max="120"/>
    <col width="12" customWidth="1" min="121" max="121"/>
    <col width="12" customWidth="1" min="122" max="122"/>
    <col width="12" customWidth="1" min="123" max="123"/>
    <col width="13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22" customWidth="1" min="129" max="129"/>
    <col width="12" customWidth="1" min="130" max="130"/>
    <col width="12" customWidth="1" min="131" max="131"/>
    <col width="20" customWidth="1" min="132" max="132"/>
    <col width="23" customWidth="1" min="133" max="133"/>
    <col width="12" customWidth="1" min="134" max="134"/>
    <col width="12" customWidth="1" min="135" max="135"/>
    <col width="12" customWidth="1" min="136" max="136"/>
    <col width="19" customWidth="1" min="137" max="137"/>
    <col width="22" customWidth="1" min="138" max="138"/>
    <col width="12" customWidth="1" min="139" max="139"/>
    <col width="12" customWidth="1" min="140" max="140"/>
    <col width="12" customWidth="1" min="141" max="141"/>
    <col width="13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22" customWidth="1" min="147" max="147"/>
    <col width="12" customWidth="1" min="148" max="148"/>
    <col width="12" customWidth="1" min="149" max="149"/>
    <col width="12" customWidth="1" min="150" max="150"/>
    <col width="13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22" customWidth="1" min="156" max="156"/>
    <col width="12" customWidth="1" min="157" max="157"/>
    <col width="12" customWidth="1" min="158" max="158"/>
    <col width="12" customWidth="1" min="159" max="159"/>
    <col width="13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22" customWidth="1" min="165" max="165"/>
    <col width="12" customWidth="1" min="166" max="166"/>
    <col width="12" customWidth="1" min="167" max="167"/>
    <col width="12" customWidth="1" min="168" max="168"/>
    <col width="13" customWidth="1" min="169" max="169"/>
    <col width="12" customWidth="1" min="170" max="170"/>
    <col width="12" customWidth="1" min="171" max="171"/>
    <col width="12" customWidth="1" min="172" max="172"/>
    <col width="21" customWidth="1" min="173" max="173"/>
    <col width="22" customWidth="1" min="174" max="174"/>
    <col width="12" customWidth="1" min="175" max="175"/>
    <col width="12" customWidth="1" min="176" max="176"/>
    <col width="12" customWidth="1" min="177" max="177"/>
    <col width="13" customWidth="1" min="178" max="178"/>
    <col width="12" customWidth="1" min="179" max="179"/>
    <col width="12" customWidth="1" min="180" max="180"/>
    <col width="12" customWidth="1" min="181" max="181"/>
    <col width="21" customWidth="1" min="182" max="182"/>
    <col width="22" customWidth="1" min="183" max="183"/>
    <col width="12" customWidth="1" min="184" max="184"/>
    <col width="12" customWidth="1" min="185" max="185"/>
    <col width="12" customWidth="1" min="186" max="186"/>
    <col width="13" customWidth="1" min="187" max="187"/>
    <col width="12" customWidth="1" min="188" max="188"/>
    <col width="12" customWidth="1" min="189" max="189"/>
    <col width="12" customWidth="1" min="190" max="190"/>
    <col width="21" customWidth="1" min="191" max="191"/>
    <col width="22" customWidth="1" min="192" max="192"/>
    <col width="12" customWidth="1" min="193" max="193"/>
    <col width="12" customWidth="1" min="194" max="194"/>
    <col width="12" customWidth="1" min="195" max="195"/>
    <col width="13" customWidth="1" min="196" max="196"/>
    <col width="12" customWidth="1" min="197" max="197"/>
    <col width="12" customWidth="1" min="198" max="198"/>
    <col width="12" customWidth="1" min="199" max="199"/>
    <col width="20" customWidth="1" min="200" max="200"/>
    <col width="22" customWidth="1" min="201" max="201"/>
    <col width="12" customWidth="1" min="202" max="202"/>
    <col width="12" customWidth="1" min="203" max="203"/>
    <col width="12" customWidth="1" min="204" max="204"/>
    <col width="13" customWidth="1" min="205" max="205"/>
    <col width="12" customWidth="1" min="206" max="206"/>
    <col width="12" customWidth="1" min="207" max="207"/>
    <col width="12" customWidth="1" min="208" max="208"/>
    <col width="20" customWidth="1" min="209" max="209"/>
    <col width="22" customWidth="1" min="210" max="210"/>
    <col width="12" customWidth="1" min="211" max="211"/>
    <col width="12" customWidth="1" min="212" max="212"/>
    <col width="12" customWidth="1" min="213" max="213"/>
    <col width="13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2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21" customWidth="1" min="228" max="228"/>
    <col width="22" customWidth="1" min="229" max="229"/>
    <col width="12" customWidth="1" min="230" max="230"/>
    <col width="12" customWidth="1" min="231" max="231"/>
    <col width="12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21" customWidth="1" min="237" max="237"/>
    <col width="22" customWidth="1" min="238" max="238"/>
    <col width="12" customWidth="1" min="239" max="239"/>
    <col width="12" customWidth="1" min="240" max="240"/>
    <col width="12" customWidth="1" min="241" max="241"/>
    <col width="13" customWidth="1" min="242" max="242"/>
    <col width="12" customWidth="1" min="243" max="243"/>
    <col width="12" customWidth="1" min="244" max="244"/>
    <col width="12" customWidth="1" min="245" max="245"/>
    <col width="21" customWidth="1" min="246" max="246"/>
    <col width="22" customWidth="1" min="247" max="247"/>
    <col width="12" customWidth="1" min="248" max="248"/>
    <col width="12" customWidth="1" min="249" max="249"/>
    <col width="12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21" customWidth="1" min="255" max="255"/>
    <col width="22" customWidth="1" min="256" max="256"/>
    <col width="12" customWidth="1" min="257" max="257"/>
    <col width="12" customWidth="1" min="258" max="258"/>
    <col width="12" customWidth="1" min="259" max="259"/>
    <col width="13" customWidth="1" min="260" max="260"/>
    <col width="12" customWidth="1" min="261" max="261"/>
    <col width="12" customWidth="1" min="262" max="262"/>
    <col width="12" customWidth="1" min="263" max="263"/>
    <col width="21" customWidth="1" min="264" max="264"/>
    <col width="22" customWidth="1" min="265" max="265"/>
    <col width="12" customWidth="1" min="266" max="266"/>
    <col width="12" customWidth="1" min="267" max="267"/>
    <col width="12" customWidth="1" min="268" max="268"/>
    <col width="13" customWidth="1" min="269" max="269"/>
    <col width="12" customWidth="1" min="270" max="270"/>
    <col width="12" customWidth="1" min="271" max="271"/>
    <col width="12" customWidth="1" min="272" max="272"/>
    <col width="21" customWidth="1" min="273" max="273"/>
    <col width="22" customWidth="1" min="274" max="274"/>
    <col width="12" customWidth="1" min="275" max="275"/>
    <col width="12" customWidth="1" min="276" max="276"/>
    <col width="12" customWidth="1" min="277" max="277"/>
    <col width="13" customWidth="1" min="278" max="278"/>
    <col width="12" customWidth="1" min="279" max="279"/>
    <col width="12" customWidth="1" min="280" max="280"/>
    <col width="12" customWidth="1" min="281" max="281"/>
    <col width="20" customWidth="1" min="282" max="282"/>
    <col width="22" customWidth="1" min="283" max="283"/>
    <col width="12" customWidth="1" min="284" max="284"/>
    <col width="12" customWidth="1" min="285" max="285"/>
    <col width="12" customWidth="1" min="286" max="286"/>
    <col width="13" customWidth="1" min="287" max="287"/>
    <col width="12" customWidth="1" min="288" max="288"/>
    <col width="12" customWidth="1" min="289" max="289"/>
    <col width="12" customWidth="1" min="290" max="290"/>
    <col width="23" customWidth="1" min="291" max="291"/>
    <col width="22" customWidth="1" min="292" max="292"/>
    <col width="12" customWidth="1" min="293" max="293"/>
    <col width="12" customWidth="1" min="294" max="294"/>
    <col width="12" customWidth="1" min="295" max="295"/>
    <col width="13" customWidth="1" min="296" max="296"/>
    <col width="12" customWidth="1" min="297" max="297"/>
    <col width="12" customWidth="1" min="298" max="298"/>
    <col width="12" customWidth="1" min="299" max="299"/>
    <col width="23" customWidth="1" min="300" max="300"/>
    <col width="22" customWidth="1" min="301" max="301"/>
    <col width="21" customWidth="1" min="302" max="302"/>
    <col width="21" customWidth="1" min="303" max="303"/>
    <col width="21" customWidth="1" min="304" max="304"/>
    <col width="22" customWidth="1" min="305" max="305"/>
    <col width="20" customWidth="1" min="306" max="306"/>
    <col width="21" customWidth="1" min="307" max="307"/>
    <col width="12" customWidth="1" min="308" max="308"/>
    <col width="23" customWidth="1" min="309" max="309"/>
    <col width="22" customWidth="1" min="310" max="310"/>
    <col width="12" customWidth="1" min="311" max="311"/>
    <col width="12" customWidth="1" min="312" max="312"/>
    <col width="12" customWidth="1" min="313" max="313"/>
    <col width="13" customWidth="1" min="314" max="314"/>
    <col width="12" customWidth="1" min="315" max="315"/>
    <col width="12" customWidth="1" min="316" max="316"/>
    <col width="12" customWidth="1" min="317" max="317"/>
    <col width="23" customWidth="1" min="318" max="318"/>
    <col width="22" customWidth="1" min="319" max="319"/>
    <col width="12" customWidth="1" min="320" max="320"/>
    <col width="12" customWidth="1" min="321" max="321"/>
    <col width="12" customWidth="1" min="322" max="322"/>
    <col width="13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22" customWidth="1" min="328" max="328"/>
    <col width="12" customWidth="1" min="329" max="329"/>
    <col width="12" customWidth="1" min="330" max="330"/>
    <col width="12" customWidth="1" min="331" max="331"/>
    <col width="13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22" customWidth="1" min="337" max="337"/>
    <col width="12" customWidth="1" min="338" max="338"/>
    <col width="12" customWidth="1" min="339" max="339"/>
    <col width="12" customWidth="1" min="340" max="340"/>
    <col width="13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22" customWidth="1" min="346" max="346"/>
    <col width="12" customWidth="1" min="347" max="347"/>
    <col width="12" customWidth="1" min="348" max="348"/>
    <col width="12" customWidth="1" min="349" max="349"/>
    <col width="13" customWidth="1" min="350" max="350"/>
    <col width="12" customWidth="1" min="351" max="351"/>
    <col width="12" customWidth="1" min="352" max="352"/>
    <col width="12" customWidth="1" min="353" max="353"/>
    <col width="19" customWidth="1" min="354" max="354"/>
    <col width="22" customWidth="1" min="355" max="355"/>
    <col width="12" customWidth="1" min="356" max="356"/>
    <col width="12" customWidth="1" min="357" max="357"/>
    <col width="12" customWidth="1" min="358" max="358"/>
    <col width="13" customWidth="1" min="359" max="359"/>
    <col width="12" customWidth="1" min="360" max="360"/>
    <col width="12" customWidth="1" min="361" max="361"/>
    <col width="12" customWidth="1" min="362" max="362"/>
    <col width="30" customWidth="1" min="363" max="363"/>
    <col width="22" customWidth="1" min="364" max="364"/>
    <col width="12" customWidth="1" min="365" max="365"/>
    <col width="12" customWidth="1" min="366" max="366"/>
    <col width="12" customWidth="1" min="367" max="367"/>
    <col width="13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22" customWidth="1" min="373" max="373"/>
    <col width="12" customWidth="1" min="374" max="374"/>
    <col width="12" customWidth="1" min="375" max="375"/>
    <col width="12" customWidth="1" min="376" max="376"/>
    <col width="13" customWidth="1" min="377" max="377"/>
    <col width="12" customWidth="1" min="378" max="378"/>
    <col width="12" customWidth="1" min="379" max="379"/>
    <col width="12" customWidth="1" min="380" max="380"/>
    <col width="21" customWidth="1" min="381" max="381"/>
    <col width="22" customWidth="1" min="382" max="382"/>
    <col width="12" customWidth="1" min="383" max="383"/>
    <col width="21" customWidth="1" min="384" max="384"/>
    <col width="12" customWidth="1" min="385" max="385"/>
    <col width="21" customWidth="1" min="386" max="386"/>
    <col width="21" customWidth="1" min="387" max="387"/>
    <col width="12" customWidth="1" min="388" max="388"/>
    <col width="12" customWidth="1" min="389" max="389"/>
    <col width="12" customWidth="1" min="390" max="390"/>
    <col width="22" customWidth="1" min="391" max="391"/>
    <col width="12" customWidth="1" min="392" max="392"/>
    <col width="12" customWidth="1" min="393" max="393"/>
    <col width="12" customWidth="1" min="394" max="394"/>
    <col width="13" customWidth="1" min="395" max="395"/>
    <col width="20" customWidth="1" min="396" max="396"/>
    <col width="12" customWidth="1" min="397" max="397"/>
    <col width="12" customWidth="1" min="398" max="398"/>
    <col width="16" customWidth="1" min="399" max="399"/>
    <col width="22" customWidth="1" min="400" max="400"/>
    <col width="21" customWidth="1" min="401" max="401"/>
    <col width="21" customWidth="1" min="402" max="402"/>
    <col width="21" customWidth="1" min="403" max="403"/>
    <col width="22" customWidth="1" min="404" max="404"/>
    <col width="12" customWidth="1" min="405" max="405"/>
    <col width="12" customWidth="1" min="406" max="406"/>
    <col width="12" customWidth="1" min="407" max="407"/>
    <col width="14" customWidth="1" min="408" max="408"/>
    <col width="22" customWidth="1" min="409" max="409"/>
    <col width="12" customWidth="1" min="410" max="410"/>
    <col width="12" customWidth="1" min="411" max="411"/>
    <col width="12" customWidth="1" min="412" max="412"/>
    <col width="13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22" customWidth="1" min="418" max="418"/>
    <col width="12" customWidth="1" min="419" max="419"/>
    <col width="12" customWidth="1" min="420" max="420"/>
    <col width="12" customWidth="1" min="421" max="421"/>
    <col width="13" customWidth="1" min="422" max="422"/>
    <col width="12" customWidth="1" min="423" max="423"/>
    <col width="12" customWidth="1" min="424" max="424"/>
    <col width="12" customWidth="1" min="425" max="425"/>
    <col width="14" customWidth="1" min="426" max="426"/>
    <col width="22" customWidth="1" min="427" max="427"/>
    <col width="12" customWidth="1" min="428" max="428"/>
    <col width="12" customWidth="1" min="429" max="429"/>
    <col width="12" customWidth="1" min="430" max="430"/>
    <col width="13" customWidth="1" min="431" max="431"/>
    <col width="12" customWidth="1" min="432" max="432"/>
    <col width="12" customWidth="1" min="433" max="433"/>
    <col width="12" customWidth="1" min="434" max="434"/>
    <col width="29" customWidth="1" min="435" max="435"/>
    <col width="22" customWidth="1" min="436" max="436"/>
    <col width="12" customWidth="1" min="437" max="437"/>
    <col width="12" customWidth="1" min="438" max="438"/>
    <col width="12" customWidth="1" min="439" max="439"/>
    <col width="13" customWidth="1" min="440" max="440"/>
    <col width="21" customWidth="1" min="441" max="441"/>
    <col width="12" customWidth="1" min="442" max="442"/>
    <col width="12" customWidth="1" min="443" max="443"/>
    <col width="20" customWidth="1" min="444" max="444"/>
    <col width="22" customWidth="1" min="445" max="445"/>
    <col width="12" customWidth="1" min="446" max="446"/>
    <col width="12" customWidth="1" min="447" max="447"/>
    <col width="12" customWidth="1" min="448" max="448"/>
    <col width="13" customWidth="1" min="449" max="449"/>
    <col width="12" customWidth="1" min="450" max="450"/>
    <col width="12" customWidth="1" min="451" max="451"/>
    <col width="12" customWidth="1" min="452" max="452"/>
    <col width="20" customWidth="1" min="453" max="453"/>
    <col width="22" customWidth="1" min="454" max="454"/>
    <col width="12" customWidth="1" min="455" max="455"/>
    <col width="12" customWidth="1" min="456" max="456"/>
    <col width="12" customWidth="1" min="457" max="457"/>
    <col width="13" customWidth="1" min="458" max="458"/>
    <col width="12" customWidth="1" min="459" max="459"/>
    <col width="12" customWidth="1" min="460" max="460"/>
    <col width="12" customWidth="1" min="461" max="461"/>
    <col width="13" customWidth="1" min="462" max="462"/>
    <col width="22" customWidth="1" min="463" max="463"/>
    <col width="12" customWidth="1" min="464" max="464"/>
    <col width="12" customWidth="1" min="465" max="465"/>
    <col width="12" customWidth="1" min="466" max="466"/>
    <col width="13" customWidth="1" min="467" max="467"/>
    <col width="12" customWidth="1" min="468" max="468"/>
    <col width="12" customWidth="1" min="469" max="469"/>
    <col width="12" customWidth="1" min="470" max="470"/>
    <col width="16" customWidth="1" min="471" max="471"/>
    <col width="22" customWidth="1" min="472" max="472"/>
    <col width="12" customWidth="1" min="473" max="473"/>
    <col width="12" customWidth="1" min="474" max="474"/>
    <col width="12" customWidth="1" min="475" max="475"/>
    <col width="13" customWidth="1" min="476" max="476"/>
    <col width="21" customWidth="1" min="477" max="477"/>
    <col width="12" customWidth="1" min="478" max="478"/>
    <col width="12" customWidth="1" min="479" max="479"/>
    <col width="14" customWidth="1" min="480" max="480"/>
    <col width="22" customWidth="1" min="481" max="481"/>
    <col width="12" customWidth="1" min="482" max="482"/>
    <col width="12" customWidth="1" min="483" max="483"/>
    <col width="12" customWidth="1" min="484" max="484"/>
    <col width="13" customWidth="1" min="485" max="485"/>
    <col width="21" customWidth="1" min="486" max="486"/>
    <col width="12" customWidth="1" min="487" max="487"/>
    <col width="12" customWidth="1" min="488" max="488"/>
    <col width="12" customWidth="1" min="489" max="489"/>
    <col width="22" customWidth="1" min="490" max="490"/>
    <col width="12" customWidth="1" min="491" max="491"/>
    <col width="12" customWidth="1" min="492" max="492"/>
    <col width="12" customWidth="1" min="493" max="493"/>
    <col width="13" customWidth="1" min="494" max="494"/>
    <col width="12" customWidth="1" min="495" max="495"/>
    <col width="12" customWidth="1" min="496" max="496"/>
    <col width="12" customWidth="1" min="497" max="497"/>
    <col width="13" customWidth="1" min="498" max="498"/>
    <col width="22" customWidth="1" min="499" max="499"/>
    <col width="12" customWidth="1" min="500" max="500"/>
    <col width="12" customWidth="1" min="501" max="501"/>
    <col width="12" customWidth="1" min="502" max="502"/>
    <col width="13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22" customWidth="1" min="508" max="508"/>
    <col width="12" customWidth="1" min="509" max="509"/>
    <col width="12" customWidth="1" min="510" max="510"/>
    <col width="12" customWidth="1" min="511" max="511"/>
    <col width="13" customWidth="1" min="512" max="512"/>
    <col width="12" customWidth="1" min="513" max="513"/>
    <col width="12" customWidth="1" min="514" max="514"/>
    <col width="12" customWidth="1" min="515" max="515"/>
    <col width="26" customWidth="1" min="516" max="516"/>
    <col width="22" customWidth="1" min="517" max="517"/>
    <col width="12" customWidth="1" min="518" max="518"/>
    <col width="12" customWidth="1" min="519" max="519"/>
    <col width="12" customWidth="1" min="520" max="520"/>
    <col width="13" customWidth="1" min="521" max="521"/>
    <col width="12" customWidth="1" min="522" max="522"/>
    <col width="12" customWidth="1" min="523" max="523"/>
    <col width="12" customWidth="1" min="524" max="524"/>
    <col width="23" customWidth="1" min="525" max="525"/>
    <col width="22" customWidth="1" min="526" max="526"/>
    <col width="12" customWidth="1" min="527" max="527"/>
    <col width="12" customWidth="1" min="528" max="528"/>
    <col width="12" customWidth="1" min="529" max="529"/>
    <col width="13" customWidth="1" min="530" max="530"/>
    <col width="12" customWidth="1" min="531" max="531"/>
    <col width="12" customWidth="1" min="532" max="532"/>
    <col width="12" customWidth="1" min="533" max="533"/>
    <col width="23" customWidth="1" min="534" max="534"/>
    <col width="22" customWidth="1" min="535" max="535"/>
    <col width="12" customWidth="1" min="536" max="536"/>
    <col width="12" customWidth="1" min="537" max="537"/>
    <col width="12" customWidth="1" min="538" max="538"/>
    <col width="13" customWidth="1" min="539" max="539"/>
    <col width="12" customWidth="1" min="540" max="540"/>
    <col width="12" customWidth="1" min="541" max="541"/>
    <col width="12" customWidth="1" min="542" max="542"/>
    <col width="23" customWidth="1" min="543" max="543"/>
    <col width="22" customWidth="1" min="544" max="544"/>
    <col width="12" customWidth="1" min="545" max="545"/>
    <col width="12" customWidth="1" min="546" max="546"/>
    <col width="12" customWidth="1" min="547" max="547"/>
    <col width="13" customWidth="1" min="548" max="548"/>
    <col width="12" customWidth="1" min="549" max="549"/>
    <col width="12" customWidth="1" min="550" max="550"/>
    <col width="12" customWidth="1" min="551" max="551"/>
    <col width="23" customWidth="1" min="552" max="552"/>
    <col width="22" customWidth="1" min="553" max="553"/>
    <col width="12" customWidth="1" min="554" max="554"/>
    <col width="12" customWidth="1" min="555" max="555"/>
    <col width="12" customWidth="1" min="556" max="556"/>
    <col width="13" customWidth="1" min="557" max="557"/>
    <col width="12" customWidth="1" min="558" max="558"/>
    <col width="12" customWidth="1" min="559" max="559"/>
    <col width="12" customWidth="1" min="560" max="560"/>
    <col width="17" customWidth="1" min="561" max="561"/>
    <col width="22" customWidth="1" min="562" max="562"/>
    <col width="12" customWidth="1" min="563" max="563"/>
    <col width="12" customWidth="1" min="564" max="564"/>
    <col width="12" customWidth="1" min="565" max="565"/>
    <col width="13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22" customWidth="1" min="571" max="571"/>
    <col width="12" customWidth="1" min="572" max="572"/>
    <col width="12" customWidth="1" min="573" max="573"/>
    <col width="12" customWidth="1" min="574" max="574"/>
    <col width="13" customWidth="1" min="575" max="575"/>
    <col width="22" customWidth="1" min="576" max="576"/>
    <col width="12" customWidth="1" min="577" max="577"/>
    <col width="12" customWidth="1" min="578" max="578"/>
    <col width="22" customWidth="1" min="579" max="579"/>
    <col width="22" customWidth="1" min="580" max="580"/>
    <col width="12" customWidth="1" min="581" max="581"/>
    <col width="12" customWidth="1" min="582" max="582"/>
    <col width="12" customWidth="1" min="583" max="583"/>
    <col width="13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22" customWidth="1" min="589" max="589"/>
    <col width="12" customWidth="1" min="590" max="590"/>
    <col width="12" customWidth="1" min="591" max="591"/>
    <col width="12" customWidth="1" min="592" max="592"/>
    <col width="13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22" customWidth="1" min="598" max="598"/>
    <col width="12" customWidth="1" min="599" max="599"/>
    <col width="12" customWidth="1" min="600" max="600"/>
    <col width="12" customWidth="1" min="601" max="601"/>
    <col width="13" customWidth="1" min="602" max="602"/>
    <col width="12" customWidth="1" min="603" max="603"/>
    <col width="12" customWidth="1" min="604" max="604"/>
    <col width="12" customWidth="1" min="605" max="605"/>
    <col width="31" customWidth="1" min="606" max="606"/>
    <col width="22" customWidth="1" min="607" max="607"/>
    <col width="12" customWidth="1" min="608" max="608"/>
    <col width="12" customWidth="1" min="609" max="609"/>
    <col width="12" customWidth="1" min="610" max="610"/>
    <col width="13" customWidth="1" min="611" max="611"/>
    <col width="12" customWidth="1" min="612" max="612"/>
    <col width="12" customWidth="1" min="613" max="613"/>
    <col width="12" customWidth="1" min="614" max="614"/>
    <col width="32" customWidth="1" min="615" max="615"/>
    <col width="22" customWidth="1" min="616" max="616"/>
    <col width="12" customWidth="1" min="617" max="617"/>
    <col width="12" customWidth="1" min="618" max="618"/>
    <col width="12" customWidth="1" min="619" max="619"/>
    <col width="13" customWidth="1" min="620" max="620"/>
    <col width="12" customWidth="1" min="621" max="621"/>
    <col width="12" customWidth="1" min="622" max="622"/>
    <col width="12" customWidth="1" min="623" max="623"/>
    <col width="30" customWidth="1" min="624" max="624"/>
    <col width="22" customWidth="1" min="625" max="625"/>
    <col width="12" customWidth="1" min="626" max="626"/>
    <col width="12" customWidth="1" min="627" max="627"/>
    <col width="12" customWidth="1" min="628" max="628"/>
    <col width="13" customWidth="1" min="629" max="629"/>
    <col width="12" customWidth="1" min="630" max="630"/>
    <col width="12" customWidth="1" min="631" max="631"/>
    <col width="12" customWidth="1" min="632" max="632"/>
    <col width="29" customWidth="1" min="633" max="633"/>
    <col width="22" customWidth="1" min="634" max="634"/>
    <col width="12" customWidth="1" min="635" max="635"/>
    <col width="12" customWidth="1" min="636" max="636"/>
    <col width="12" customWidth="1" min="637" max="637"/>
    <col width="13" customWidth="1" min="638" max="638"/>
    <col width="12" customWidth="1" min="639" max="639"/>
    <col width="12" customWidth="1" min="640" max="640"/>
    <col width="12" customWidth="1" min="641" max="641"/>
    <col width="32" customWidth="1" min="642" max="642"/>
    <col width="22" customWidth="1" min="643" max="643"/>
    <col width="12" customWidth="1" min="644" max="644"/>
    <col width="12" customWidth="1" min="645" max="645"/>
    <col width="12" customWidth="1" min="646" max="646"/>
    <col width="13" customWidth="1" min="647" max="647"/>
    <col width="12" customWidth="1" min="648" max="648"/>
    <col width="12" customWidth="1" min="649" max="649"/>
    <col width="12" customWidth="1" min="650" max="650"/>
    <col width="35" customWidth="1" min="651" max="651"/>
    <col width="22" customWidth="1" min="652" max="652"/>
    <col width="12" customWidth="1" min="653" max="653"/>
    <col width="12" customWidth="1" min="654" max="654"/>
    <col width="12" customWidth="1" min="655" max="655"/>
    <col width="13" customWidth="1" min="656" max="656"/>
    <col width="12" customWidth="1" min="657" max="657"/>
    <col width="12" customWidth="1" min="658" max="658"/>
    <col width="12" customWidth="1" min="659" max="659"/>
    <col width="32" customWidth="1" min="660" max="660"/>
    <col width="22" customWidth="1" min="661" max="661"/>
    <col width="12" customWidth="1" min="662" max="662"/>
    <col width="12" customWidth="1" min="663" max="663"/>
    <col width="12" customWidth="1" min="664" max="664"/>
    <col width="13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22" customWidth="1" min="670" max="670"/>
    <col width="12" customWidth="1" min="671" max="671"/>
    <col width="12" customWidth="1" min="672" max="672"/>
    <col width="12" customWidth="1" min="673" max="673"/>
    <col width="13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22" customWidth="1" min="679" max="679"/>
    <col width="12" customWidth="1" min="680" max="680"/>
    <col width="12" customWidth="1" min="681" max="681"/>
    <col width="12" customWidth="1" min="682" max="682"/>
    <col width="13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22" customWidth="1" min="688" max="688"/>
    <col width="12" customWidth="1" min="689" max="689"/>
    <col width="12" customWidth="1" min="690" max="690"/>
    <col width="12" customWidth="1" min="691" max="691"/>
    <col width="13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22" customWidth="1" min="697" max="697"/>
    <col width="12" customWidth="1" min="698" max="698"/>
    <col width="12" customWidth="1" min="699" max="699"/>
    <col width="12" customWidth="1" min="700" max="700"/>
    <col width="13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22" customWidth="1" min="706" max="706"/>
    <col width="12" customWidth="1" min="707" max="707"/>
    <col width="12" customWidth="1" min="708" max="708"/>
    <col width="12" customWidth="1" min="709" max="709"/>
    <col width="13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22" customWidth="1" min="715" max="715"/>
    <col width="12" customWidth="1" min="716" max="716"/>
    <col width="12" customWidth="1" min="717" max="717"/>
    <col width="12" customWidth="1" min="718" max="718"/>
    <col width="13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22" customWidth="1" min="724" max="724"/>
    <col width="12" customWidth="1" min="725" max="725"/>
    <col width="12" customWidth="1" min="726" max="726"/>
    <col width="12" customWidth="1" min="727" max="727"/>
    <col width="13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22" customWidth="1" min="733" max="733"/>
    <col width="12" customWidth="1" min="734" max="734"/>
    <col width="12" customWidth="1" min="735" max="735"/>
    <col width="12" customWidth="1" min="736" max="736"/>
    <col width="13" customWidth="1" min="737" max="737"/>
    <col width="12" customWidth="1" min="738" max="738"/>
    <col width="12" customWidth="1" min="739" max="739"/>
    <col width="12" customWidth="1" min="740" max="740"/>
  </cols>
  <sheetData>
    <row r="1">
      <c r="A1" s="9" t="inlineStr">
        <is>
          <t xml:space="preserve">VAC &amp; MED </t>
        </is>
      </c>
      <c r="HS1" s="9" t="inlineStr">
        <is>
          <t>EXTRA</t>
        </is>
      </c>
    </row>
    <row r="2">
      <c r="B2" s="9" t="inlineStr">
        <is>
          <t>MAIZE/CORN</t>
        </is>
      </c>
      <c r="K2" s="9" t="inlineStr">
        <is>
          <t>SOYBEAN MEAL (ARG)</t>
        </is>
      </c>
      <c r="T2" s="9" t="inlineStr">
        <is>
          <t>SOYBEAN FULL FAT</t>
        </is>
      </c>
      <c r="AC2" s="9" t="inlineStr">
        <is>
          <t>WHEAT POLLARD</t>
        </is>
      </c>
      <c r="AL2" s="9" t="inlineStr">
        <is>
          <t>WHEAT</t>
        </is>
      </c>
      <c r="AU2" s="9" t="inlineStr">
        <is>
          <t>MEAT AND BONE MEAL</t>
        </is>
      </c>
      <c r="BD2" s="9" t="inlineStr">
        <is>
          <t>CORN GLUTEN MEAL</t>
        </is>
      </c>
      <c r="BM2" s="9" t="inlineStr">
        <is>
          <t>MEGAFAT (HARUMI)</t>
        </is>
      </c>
      <c r="BV2" s="9" t="inlineStr">
        <is>
          <t>DCP 18%</t>
        </is>
      </c>
      <c r="CE2" s="9" t="inlineStr">
        <is>
          <t>LIMESTONE POWDER (HARUMI)</t>
        </is>
      </c>
      <c r="CN2" s="9" t="inlineStr">
        <is>
          <t>CHOLINE CHLORIDE 60%</t>
        </is>
      </c>
      <c r="CW2" s="9" t="inlineStr">
        <is>
          <t>INDUSTRY FLOUR</t>
        </is>
      </c>
      <c r="DF2" s="9" t="inlineStr">
        <is>
          <t>RICE BRAN</t>
        </is>
      </c>
      <c r="DO2" s="9" t="inlineStr">
        <is>
          <t>EP 200</t>
        </is>
      </c>
      <c r="DX2" s="9" t="inlineStr">
        <is>
          <t>SOYTIDE</t>
        </is>
      </c>
      <c r="EG2" s="9" t="inlineStr">
        <is>
          <t>DCP 18% (HARUMI)</t>
        </is>
      </c>
      <c r="EP2" s="9" t="n">
        <v>1</v>
      </c>
      <c r="EY2" s="9" t="n">
        <v>2</v>
      </c>
      <c r="FH2" s="9" t="n">
        <v>3</v>
      </c>
      <c r="FQ2" s="9" t="inlineStr">
        <is>
          <t>PREMIX 1101 (20KG)</t>
        </is>
      </c>
      <c r="FZ2" s="9" t="inlineStr">
        <is>
          <t>PREMIX 1102 (20KG)</t>
        </is>
      </c>
      <c r="GI2" s="9" t="inlineStr">
        <is>
          <t>PREMIX 1103 (20KG)</t>
        </is>
      </c>
      <c r="GR2" s="9" t="inlineStr">
        <is>
          <t>PREMIX 311 (20KG)</t>
        </is>
      </c>
      <c r="HA2" s="9" t="inlineStr">
        <is>
          <t>PREMIX 312 (20KG)</t>
        </is>
      </c>
      <c r="HJ2" s="9" t="n">
        <v>1</v>
      </c>
      <c r="HT2" s="9" t="inlineStr">
        <is>
          <t>PREMIX 8100 (20KG)</t>
        </is>
      </c>
      <c r="IC2" s="9" t="inlineStr">
        <is>
          <t>PREMIX 8101 (20KG)</t>
        </is>
      </c>
      <c r="IL2" s="9" t="inlineStr">
        <is>
          <t>PREMIX 8102 (20KG)</t>
        </is>
      </c>
      <c r="IU2" s="9" t="inlineStr">
        <is>
          <t>PREMIX 8103 (20KG)</t>
        </is>
      </c>
      <c r="JD2" s="9" t="inlineStr">
        <is>
          <t>PREMIX 8108 (20KG)</t>
        </is>
      </c>
      <c r="JM2" s="9" t="inlineStr">
        <is>
          <t>PREMIX 8109 (20KG)</t>
        </is>
      </c>
      <c r="JV2" s="9" t="inlineStr">
        <is>
          <t>YENMIX 121 (20KG)</t>
        </is>
      </c>
      <c r="KE2" s="9" t="inlineStr">
        <is>
          <t>YENMIX 122 (19.50KG)</t>
        </is>
      </c>
      <c r="KN2" s="9" t="inlineStr">
        <is>
          <t>YENMIX 123 (18.90KG)</t>
        </is>
      </c>
      <c r="KW2" s="9" t="inlineStr">
        <is>
          <t>YENMIX 122 (20.50KG)</t>
        </is>
      </c>
      <c r="LF2" s="9" t="inlineStr">
        <is>
          <t>YENMIX 123 (20.00KG)</t>
        </is>
      </c>
      <c r="LO2" s="9" t="n">
        <v>1</v>
      </c>
      <c r="LX2" s="9" t="n">
        <v>2</v>
      </c>
      <c r="MG2" s="9" t="n">
        <v>3</v>
      </c>
      <c r="MP2" s="9" t="inlineStr">
        <is>
          <t>TOXISORB PREMIUM</t>
        </is>
      </c>
      <c r="MY2" s="9" t="inlineStr">
        <is>
          <t>SODIUM HUMATE 3.8% (HARUMI)</t>
        </is>
      </c>
      <c r="NH2" s="9" t="inlineStr">
        <is>
          <t>TOXIWALL</t>
        </is>
      </c>
      <c r="NQ2" s="9" t="inlineStr">
        <is>
          <t>SODIUM BICARBONATE</t>
        </is>
      </c>
      <c r="NZ2" s="9" t="inlineStr">
        <is>
          <t>BMD 10%</t>
        </is>
      </c>
      <c r="OI2" s="9" t="inlineStr">
        <is>
          <t>SALT (HARUMI)</t>
        </is>
      </c>
      <c r="OR2" s="9" t="inlineStr">
        <is>
          <t>VISTABET 91</t>
        </is>
      </c>
      <c r="PA2" s="9" t="inlineStr">
        <is>
          <t>BETAFIN</t>
        </is>
      </c>
      <c r="PJ2" s="9" t="inlineStr">
        <is>
          <t>8101 TOP UP</t>
        </is>
      </c>
      <c r="PS2" s="9" t="inlineStr">
        <is>
          <t>NORPONIN X03 (8102 TOP UP)</t>
        </is>
      </c>
      <c r="QB2" s="9" t="inlineStr">
        <is>
          <t>8102 TOP UP (4KG)</t>
        </is>
      </c>
      <c r="QI2" s="9" t="n">
        <v>56</v>
      </c>
      <c r="QK2" s="9" t="inlineStr">
        <is>
          <t>8103 TOP UP (5KG)</t>
        </is>
      </c>
      <c r="QR2" s="9" t="n">
        <v>57</v>
      </c>
      <c r="QT2" s="9" t="inlineStr">
        <is>
          <t>L-ARGININE</t>
        </is>
      </c>
      <c r="RA2" s="9" t="n">
        <v>58</v>
      </c>
      <c r="RC2" s="9" t="inlineStr">
        <is>
          <t>DL-METHIONINE</t>
        </is>
      </c>
      <c r="RJ2" s="9" t="n">
        <v>59</v>
      </c>
      <c r="RL2" s="9" t="inlineStr">
        <is>
          <t>L-THREONINE</t>
        </is>
      </c>
      <c r="RS2" s="9" t="n">
        <v>60</v>
      </c>
      <c r="RU2" s="9" t="inlineStr">
        <is>
          <t>L-LYSINE</t>
        </is>
      </c>
      <c r="SB2" s="9" t="n">
        <v>61</v>
      </c>
      <c r="SD2" s="9" t="inlineStr">
        <is>
          <t>FAECES DRY</t>
        </is>
      </c>
      <c r="SK2" s="9" t="n">
        <v>62</v>
      </c>
      <c r="SM2" s="9" t="inlineStr">
        <is>
          <t>ECOBIOL</t>
        </is>
      </c>
      <c r="ST2" s="9" t="n">
        <v>63</v>
      </c>
      <c r="SV2" s="9" t="inlineStr">
        <is>
          <t>ADDITIVE BROILER IMMUNE</t>
        </is>
      </c>
      <c r="TC2" s="9" t="n">
        <v>64</v>
      </c>
      <c r="TE2" s="9" t="inlineStr">
        <is>
          <t>MASTER CUBE (HARUMI)</t>
        </is>
      </c>
      <c r="TL2" s="9" t="n">
        <v>65</v>
      </c>
      <c r="TN2" s="9" t="inlineStr">
        <is>
          <t>1101 TOP UP (0.40KG)</t>
        </is>
      </c>
      <c r="TU2" s="9" t="n">
        <v>66</v>
      </c>
      <c r="TW2" s="9" t="inlineStr">
        <is>
          <t>1102 TOP UP (0.60KG)</t>
        </is>
      </c>
      <c r="UD2" s="9" t="n">
        <v>67</v>
      </c>
      <c r="UF2" s="9" t="inlineStr">
        <is>
          <t>1103 TOP UP (2.00KG)</t>
        </is>
      </c>
      <c r="UM2" s="9" t="n">
        <v>68</v>
      </c>
      <c r="UO2" s="9" t="inlineStr">
        <is>
          <t>QUANTUM GLO 4%</t>
        </is>
      </c>
      <c r="UV2" s="9" t="n">
        <v>69</v>
      </c>
      <c r="UX2" s="9" t="inlineStr">
        <is>
          <t>SALT</t>
        </is>
      </c>
      <c r="VE2" s="9" t="n">
        <v>70</v>
      </c>
      <c r="VG2" s="9" t="inlineStr">
        <is>
          <t>OC 200 - OXYTET 20%</t>
        </is>
      </c>
      <c r="VN2" s="9" t="n">
        <v>71</v>
      </c>
      <c r="VP2" s="9" t="n">
        <v>3</v>
      </c>
      <c r="VW2" s="9" t="n">
        <v>72</v>
      </c>
      <c r="VY2" s="9" t="n">
        <v>4</v>
      </c>
      <c r="WF2" s="9" t="n">
        <v>73</v>
      </c>
      <c r="WH2" s="9" t="inlineStr">
        <is>
          <t>WOVEN BAG (1101) - BLUE 50KG</t>
        </is>
      </c>
      <c r="WO2" s="9" t="n">
        <v>74</v>
      </c>
      <c r="WQ2" s="9" t="inlineStr">
        <is>
          <t>WOVEN BAG (1102) - GREEN 50KG</t>
        </is>
      </c>
      <c r="WX2" s="9" t="n">
        <v>75</v>
      </c>
      <c r="WZ2" s="9" t="inlineStr">
        <is>
          <t>WOVEN BAG (1103) - RED 50KG</t>
        </is>
      </c>
      <c r="XG2" s="9" t="n">
        <v>76</v>
      </c>
      <c r="XI2" s="9" t="inlineStr">
        <is>
          <t>PLAIN BAG 26" X 39" (50KG)</t>
        </is>
      </c>
      <c r="XP2" s="9" t="n">
        <v>77</v>
      </c>
      <c r="XR2" s="9" t="inlineStr">
        <is>
          <t>WOVEN BAG (8101) - KHAKI 50KG</t>
        </is>
      </c>
      <c r="XY2" s="9" t="n">
        <v>78</v>
      </c>
      <c r="YA2" s="9" t="inlineStr">
        <is>
          <t>WOVEN BAG (8102) - SKY BLUE 50KG</t>
        </is>
      </c>
      <c r="YH2" s="9" t="n">
        <v>79</v>
      </c>
      <c r="YJ2" s="9" t="inlineStr">
        <is>
          <t>WOVEN BAG (8103) - BROWN 50KG</t>
        </is>
      </c>
      <c r="YQ2" s="9" t="n">
        <v>80</v>
      </c>
      <c r="YS2" s="9" t="n">
        <v>1</v>
      </c>
      <c r="YZ2" s="9" t="n">
        <v>81</v>
      </c>
      <c r="ZB2" s="9" t="n">
        <v>2</v>
      </c>
      <c r="ZI2" s="9" t="n">
        <v>82</v>
      </c>
      <c r="ZK2" s="9" t="n">
        <v>3</v>
      </c>
      <c r="ZR2" s="9" t="n">
        <v>83</v>
      </c>
      <c r="ZT2" s="9" t="n">
        <v>4</v>
      </c>
      <c r="AAA2" s="9" t="n">
        <v>84</v>
      </c>
      <c r="AAC2" s="9" t="n">
        <v>5</v>
      </c>
      <c r="AAJ2" s="9" t="n">
        <v>85</v>
      </c>
      <c r="AAL2" s="9" t="n">
        <v>6</v>
      </c>
      <c r="AAS2" s="9" t="n">
        <v>86</v>
      </c>
      <c r="AAU2" s="9" t="n">
        <v>7</v>
      </c>
      <c r="ABB2" s="9" t="n">
        <v>87</v>
      </c>
      <c r="ABD2" s="9" t="n">
        <v>8</v>
      </c>
      <c r="ABK2" s="9" t="n">
        <v>88</v>
      </c>
    </row>
    <row r="3">
      <c r="A3" s="9" t="inlineStr">
        <is>
          <t>JAN</t>
        </is>
      </c>
      <c r="C3" s="9" t="inlineStr">
        <is>
          <t>JANUARY</t>
        </is>
      </c>
      <c r="J3" s="9" t="inlineStr">
        <is>
          <t>JAN</t>
        </is>
      </c>
      <c r="L3" s="9" t="inlineStr">
        <is>
          <t>JANUARY</t>
        </is>
      </c>
      <c r="S3" s="9" t="inlineStr">
        <is>
          <t>JAN</t>
        </is>
      </c>
      <c r="U3" s="9" t="inlineStr">
        <is>
          <t>JANUARY</t>
        </is>
      </c>
      <c r="AB3" s="9" t="inlineStr">
        <is>
          <t>JAN</t>
        </is>
      </c>
      <c r="AD3" s="9" t="inlineStr">
        <is>
          <t>JANUARY</t>
        </is>
      </c>
      <c r="AK3" s="9" t="inlineStr">
        <is>
          <t>JAN</t>
        </is>
      </c>
      <c r="AM3" s="9" t="inlineStr">
        <is>
          <t>JANUARY</t>
        </is>
      </c>
      <c r="AT3" s="9" t="inlineStr">
        <is>
          <t>JAN</t>
        </is>
      </c>
      <c r="AV3" s="9" t="inlineStr">
        <is>
          <t>JANUARY</t>
        </is>
      </c>
      <c r="BC3" s="9" t="inlineStr">
        <is>
          <t>JAN</t>
        </is>
      </c>
      <c r="BE3" s="9" t="inlineStr">
        <is>
          <t>JANUARY</t>
        </is>
      </c>
      <c r="BL3" s="9" t="inlineStr">
        <is>
          <t>JAN</t>
        </is>
      </c>
      <c r="BN3" s="9" t="inlineStr">
        <is>
          <t>JANUARY</t>
        </is>
      </c>
      <c r="BU3" s="9" t="inlineStr">
        <is>
          <t>JAN</t>
        </is>
      </c>
      <c r="BW3" s="9" t="inlineStr">
        <is>
          <t>JANUARY</t>
        </is>
      </c>
      <c r="CD3" s="9" t="inlineStr">
        <is>
          <t>JAN</t>
        </is>
      </c>
      <c r="CF3" s="9" t="inlineStr">
        <is>
          <t>JANUARY</t>
        </is>
      </c>
      <c r="CM3" s="9" t="inlineStr">
        <is>
          <t>JAN</t>
        </is>
      </c>
      <c r="CO3" s="9" t="inlineStr">
        <is>
          <t>JANUARY</t>
        </is>
      </c>
      <c r="CV3" s="9" t="inlineStr">
        <is>
          <t>JAN</t>
        </is>
      </c>
      <c r="CX3" s="9" t="inlineStr">
        <is>
          <t>JANUARY</t>
        </is>
      </c>
      <c r="DE3" s="9" t="inlineStr">
        <is>
          <t>JAN</t>
        </is>
      </c>
      <c r="DG3" s="9" t="inlineStr">
        <is>
          <t>JANUARY</t>
        </is>
      </c>
      <c r="DN3" s="9" t="inlineStr">
        <is>
          <t>JAN</t>
        </is>
      </c>
      <c r="DP3" s="9" t="inlineStr">
        <is>
          <t>JANUARY</t>
        </is>
      </c>
      <c r="DW3" s="9" t="inlineStr">
        <is>
          <t>JAN</t>
        </is>
      </c>
      <c r="DY3" s="9" t="inlineStr">
        <is>
          <t>JANUARY</t>
        </is>
      </c>
      <c r="EF3" s="9" t="inlineStr">
        <is>
          <t>JAN</t>
        </is>
      </c>
      <c r="EH3" s="9" t="inlineStr">
        <is>
          <t>JANUARY</t>
        </is>
      </c>
      <c r="EO3" s="9" t="inlineStr">
        <is>
          <t>JAN</t>
        </is>
      </c>
      <c r="EQ3" s="9" t="inlineStr">
        <is>
          <t>JANUARY</t>
        </is>
      </c>
      <c r="EX3" s="9" t="inlineStr">
        <is>
          <t>JAN</t>
        </is>
      </c>
      <c r="EZ3" s="9" t="inlineStr">
        <is>
          <t>JANUARY</t>
        </is>
      </c>
      <c r="FG3" s="9" t="inlineStr">
        <is>
          <t>JAN</t>
        </is>
      </c>
      <c r="FI3" s="9" t="inlineStr">
        <is>
          <t>JANUARY</t>
        </is>
      </c>
      <c r="FP3" s="9" t="inlineStr">
        <is>
          <t>JAN</t>
        </is>
      </c>
      <c r="FR3" s="9" t="inlineStr">
        <is>
          <t>JANUARY</t>
        </is>
      </c>
      <c r="FY3" s="9" t="inlineStr">
        <is>
          <t>JAN</t>
        </is>
      </c>
      <c r="GA3" s="9" t="inlineStr">
        <is>
          <t>JANUARY</t>
        </is>
      </c>
      <c r="GH3" s="9" t="inlineStr">
        <is>
          <t>JAN</t>
        </is>
      </c>
      <c r="GJ3" s="9" t="inlineStr">
        <is>
          <t>JANUARY</t>
        </is>
      </c>
      <c r="GQ3" s="9" t="inlineStr">
        <is>
          <t>JAN</t>
        </is>
      </c>
      <c r="GS3" s="9" t="inlineStr">
        <is>
          <t>JANUARY</t>
        </is>
      </c>
      <c r="GZ3" s="9" t="inlineStr">
        <is>
          <t>JAN</t>
        </is>
      </c>
      <c r="HB3" s="9" t="inlineStr">
        <is>
          <t>JANUARY</t>
        </is>
      </c>
      <c r="HI3" s="9" t="inlineStr">
        <is>
          <t>JAN</t>
        </is>
      </c>
      <c r="HK3" s="9" t="inlineStr">
        <is>
          <t>JANUARY</t>
        </is>
      </c>
      <c r="HS3" s="9" t="inlineStr">
        <is>
          <t>JAN</t>
        </is>
      </c>
      <c r="HU3" s="9" t="inlineStr">
        <is>
          <t>JANUARY</t>
        </is>
      </c>
      <c r="IB3" s="9" t="inlineStr">
        <is>
          <t>JAN</t>
        </is>
      </c>
      <c r="ID3" s="9" t="inlineStr">
        <is>
          <t>JANUARY</t>
        </is>
      </c>
      <c r="IK3" s="9" t="inlineStr">
        <is>
          <t>JAN</t>
        </is>
      </c>
      <c r="IM3" s="9" t="inlineStr">
        <is>
          <t>JANUARY</t>
        </is>
      </c>
      <c r="IT3" s="9" t="inlineStr">
        <is>
          <t>JAN</t>
        </is>
      </c>
      <c r="IV3" s="9" t="inlineStr">
        <is>
          <t>JANUARY</t>
        </is>
      </c>
      <c r="JC3" s="9" t="inlineStr">
        <is>
          <t>JAN</t>
        </is>
      </c>
      <c r="JE3" s="9" t="inlineStr">
        <is>
          <t>JANUARY</t>
        </is>
      </c>
      <c r="JL3" s="9" t="inlineStr">
        <is>
          <t>JAN</t>
        </is>
      </c>
      <c r="JN3" s="9" t="inlineStr">
        <is>
          <t>JANUARY</t>
        </is>
      </c>
      <c r="JU3" s="9" t="inlineStr">
        <is>
          <t>JAN</t>
        </is>
      </c>
      <c r="JW3" s="9" t="inlineStr">
        <is>
          <t>JANUARY</t>
        </is>
      </c>
      <c r="KD3" s="9" t="inlineStr">
        <is>
          <t>JAN</t>
        </is>
      </c>
      <c r="KF3" s="9" t="inlineStr">
        <is>
          <t>JANUARY</t>
        </is>
      </c>
      <c r="KM3" s="9" t="inlineStr">
        <is>
          <t>JAN</t>
        </is>
      </c>
      <c r="KO3" s="9" t="inlineStr">
        <is>
          <t>JANUARY</t>
        </is>
      </c>
      <c r="KV3" s="9" t="inlineStr">
        <is>
          <t>JAN</t>
        </is>
      </c>
      <c r="KX3" s="9" t="inlineStr">
        <is>
          <t>JANUARY</t>
        </is>
      </c>
      <c r="LE3" s="9" t="inlineStr">
        <is>
          <t>JAN</t>
        </is>
      </c>
      <c r="LG3" s="9" t="inlineStr">
        <is>
          <t>JANUARY</t>
        </is>
      </c>
      <c r="LN3" s="9" t="inlineStr">
        <is>
          <t>JAN</t>
        </is>
      </c>
      <c r="LP3" s="9" t="inlineStr">
        <is>
          <t>JANUARY</t>
        </is>
      </c>
      <c r="LW3" s="9" t="inlineStr">
        <is>
          <t>JAN</t>
        </is>
      </c>
      <c r="LY3" s="9" t="inlineStr">
        <is>
          <t>JANUARY</t>
        </is>
      </c>
      <c r="MF3" s="9" t="inlineStr">
        <is>
          <t>JAN</t>
        </is>
      </c>
      <c r="MH3" s="9" t="inlineStr">
        <is>
          <t>JANUARY</t>
        </is>
      </c>
      <c r="MO3" s="9" t="inlineStr">
        <is>
          <t>JAN</t>
        </is>
      </c>
      <c r="MQ3" s="9" t="inlineStr">
        <is>
          <t>JANUARY</t>
        </is>
      </c>
      <c r="MX3" s="9" t="inlineStr">
        <is>
          <t>JAN</t>
        </is>
      </c>
      <c r="MZ3" s="9" t="inlineStr">
        <is>
          <t>JANUARY</t>
        </is>
      </c>
      <c r="NG3" s="9" t="inlineStr">
        <is>
          <t>JAN</t>
        </is>
      </c>
      <c r="NI3" s="9" t="inlineStr">
        <is>
          <t>JANUARY</t>
        </is>
      </c>
      <c r="NP3" s="9" t="inlineStr">
        <is>
          <t>JAN</t>
        </is>
      </c>
      <c r="NR3" s="9" t="inlineStr">
        <is>
          <t>JANUARY</t>
        </is>
      </c>
      <c r="NY3" s="9" t="inlineStr">
        <is>
          <t>JAN</t>
        </is>
      </c>
      <c r="OA3" s="9" t="inlineStr">
        <is>
          <t>JANUARY</t>
        </is>
      </c>
      <c r="OH3" s="9" t="inlineStr">
        <is>
          <t>JAN</t>
        </is>
      </c>
      <c r="OJ3" s="9" t="inlineStr">
        <is>
          <t>JANUARY</t>
        </is>
      </c>
      <c r="OQ3" s="9" t="inlineStr">
        <is>
          <t>JAN</t>
        </is>
      </c>
      <c r="OS3" s="9" t="inlineStr">
        <is>
          <t>JANUARY</t>
        </is>
      </c>
      <c r="OZ3" s="9" t="inlineStr">
        <is>
          <t>JAN</t>
        </is>
      </c>
      <c r="PB3" s="9" t="inlineStr">
        <is>
          <t>JANUARY</t>
        </is>
      </c>
      <c r="PI3" s="9" t="inlineStr">
        <is>
          <t>JAN</t>
        </is>
      </c>
      <c r="PK3" s="9" t="inlineStr">
        <is>
          <t>JANUARY</t>
        </is>
      </c>
      <c r="PR3" s="9" t="inlineStr">
        <is>
          <t>JAN</t>
        </is>
      </c>
      <c r="PT3" s="9" t="inlineStr">
        <is>
          <t>JANUARY</t>
        </is>
      </c>
      <c r="QA3" s="9" t="inlineStr">
        <is>
          <t>JAN</t>
        </is>
      </c>
      <c r="QC3" s="9" t="inlineStr">
        <is>
          <t>JANUARY</t>
        </is>
      </c>
      <c r="QJ3" s="9" t="inlineStr">
        <is>
          <t>JAN</t>
        </is>
      </c>
      <c r="QL3" s="9" t="inlineStr">
        <is>
          <t>JANUARY</t>
        </is>
      </c>
      <c r="QS3" s="9" t="inlineStr">
        <is>
          <t>JAN</t>
        </is>
      </c>
      <c r="QU3" s="9" t="inlineStr">
        <is>
          <t>JANUARY</t>
        </is>
      </c>
      <c r="RB3" s="9" t="inlineStr">
        <is>
          <t>JAN</t>
        </is>
      </c>
      <c r="RD3" s="9" t="inlineStr">
        <is>
          <t>JANUARY</t>
        </is>
      </c>
      <c r="RK3" s="9" t="inlineStr">
        <is>
          <t>JAN</t>
        </is>
      </c>
      <c r="RM3" s="9" t="inlineStr">
        <is>
          <t>JANUARY</t>
        </is>
      </c>
      <c r="RT3" s="9" t="inlineStr">
        <is>
          <t>JAN</t>
        </is>
      </c>
      <c r="RV3" s="9" t="inlineStr">
        <is>
          <t>JANUARY</t>
        </is>
      </c>
      <c r="SC3" s="9" t="inlineStr">
        <is>
          <t>JAN</t>
        </is>
      </c>
      <c r="SE3" s="9" t="inlineStr">
        <is>
          <t>JANUARY</t>
        </is>
      </c>
      <c r="SL3" s="9" t="inlineStr">
        <is>
          <t>JAN</t>
        </is>
      </c>
      <c r="SN3" s="9" t="inlineStr">
        <is>
          <t>JANUARY</t>
        </is>
      </c>
      <c r="SU3" s="9" t="inlineStr">
        <is>
          <t>JAN</t>
        </is>
      </c>
      <c r="SW3" s="9" t="inlineStr">
        <is>
          <t>JANUARY</t>
        </is>
      </c>
      <c r="TD3" s="9" t="inlineStr">
        <is>
          <t>JAN</t>
        </is>
      </c>
      <c r="TF3" s="9" t="inlineStr">
        <is>
          <t>JANUARY</t>
        </is>
      </c>
      <c r="TM3" s="9" t="inlineStr">
        <is>
          <t>JAN</t>
        </is>
      </c>
      <c r="TO3" s="9" t="inlineStr">
        <is>
          <t>JANUARY</t>
        </is>
      </c>
      <c r="TV3" s="9" t="inlineStr">
        <is>
          <t>JAN</t>
        </is>
      </c>
      <c r="TX3" s="9" t="inlineStr">
        <is>
          <t>JANUARY</t>
        </is>
      </c>
      <c r="UE3" s="9" t="inlineStr">
        <is>
          <t>JAN</t>
        </is>
      </c>
      <c r="UG3" s="9" t="inlineStr">
        <is>
          <t>JANUARY</t>
        </is>
      </c>
      <c r="UN3" s="9" t="inlineStr">
        <is>
          <t>JAN</t>
        </is>
      </c>
      <c r="UP3" s="9" t="inlineStr">
        <is>
          <t>JANUARY</t>
        </is>
      </c>
      <c r="UW3" s="9" t="inlineStr">
        <is>
          <t>JAN</t>
        </is>
      </c>
      <c r="UY3" s="9" t="inlineStr">
        <is>
          <t>JANUARY</t>
        </is>
      </c>
      <c r="VF3" s="9" t="inlineStr">
        <is>
          <t>JAN</t>
        </is>
      </c>
      <c r="VH3" s="9" t="inlineStr">
        <is>
          <t>JANUARY</t>
        </is>
      </c>
      <c r="VO3" s="9" t="inlineStr">
        <is>
          <t>JAN</t>
        </is>
      </c>
      <c r="VQ3" s="9" t="inlineStr">
        <is>
          <t>JANUARY</t>
        </is>
      </c>
      <c r="VX3" s="9" t="inlineStr">
        <is>
          <t>JAN</t>
        </is>
      </c>
      <c r="VZ3" s="9" t="inlineStr">
        <is>
          <t>JANUARY</t>
        </is>
      </c>
      <c r="WG3" s="9" t="inlineStr">
        <is>
          <t>JAN</t>
        </is>
      </c>
      <c r="WI3" s="9" t="inlineStr">
        <is>
          <t>JANUARY</t>
        </is>
      </c>
      <c r="WP3" s="9" t="inlineStr">
        <is>
          <t>JAN</t>
        </is>
      </c>
      <c r="WR3" s="9" t="inlineStr">
        <is>
          <t>JANUARY</t>
        </is>
      </c>
      <c r="WY3" s="9" t="inlineStr">
        <is>
          <t>JAN</t>
        </is>
      </c>
      <c r="XA3" s="9" t="inlineStr">
        <is>
          <t>JANUARY</t>
        </is>
      </c>
      <c r="XH3" s="9" t="inlineStr">
        <is>
          <t>JAN</t>
        </is>
      </c>
      <c r="XJ3" s="9" t="inlineStr">
        <is>
          <t>JANUARY</t>
        </is>
      </c>
      <c r="XQ3" s="9" t="inlineStr">
        <is>
          <t>JAN</t>
        </is>
      </c>
      <c r="XS3" s="9" t="inlineStr">
        <is>
          <t>JANUARY</t>
        </is>
      </c>
      <c r="XZ3" s="9" t="inlineStr">
        <is>
          <t>JAN</t>
        </is>
      </c>
      <c r="YB3" s="9" t="inlineStr">
        <is>
          <t>JANUARY</t>
        </is>
      </c>
      <c r="YI3" s="9" t="inlineStr">
        <is>
          <t>JAN</t>
        </is>
      </c>
      <c r="YK3" s="9" t="inlineStr">
        <is>
          <t>JANUARY</t>
        </is>
      </c>
      <c r="YR3" s="9" t="inlineStr">
        <is>
          <t>JAN</t>
        </is>
      </c>
      <c r="YT3" s="9" t="inlineStr">
        <is>
          <t>JANUARY</t>
        </is>
      </c>
      <c r="ZA3" s="9" t="inlineStr">
        <is>
          <t>JAN</t>
        </is>
      </c>
      <c r="ZC3" s="9" t="inlineStr">
        <is>
          <t>JANUARY</t>
        </is>
      </c>
      <c r="ZJ3" s="9" t="inlineStr">
        <is>
          <t>JAN</t>
        </is>
      </c>
      <c r="ZL3" s="9" t="inlineStr">
        <is>
          <t>JANUARY</t>
        </is>
      </c>
      <c r="ZS3" s="9" t="inlineStr">
        <is>
          <t>JAN</t>
        </is>
      </c>
      <c r="ZU3" s="9" t="inlineStr">
        <is>
          <t>JANUARY</t>
        </is>
      </c>
      <c r="AAB3" s="9" t="inlineStr">
        <is>
          <t>JAN</t>
        </is>
      </c>
      <c r="AAD3" s="9" t="inlineStr">
        <is>
          <t>JANUARY</t>
        </is>
      </c>
      <c r="AAK3" s="9" t="inlineStr">
        <is>
          <t>JAN</t>
        </is>
      </c>
      <c r="AAM3" s="9" t="inlineStr">
        <is>
          <t>JANUARY</t>
        </is>
      </c>
      <c r="AAT3" s="9" t="inlineStr">
        <is>
          <t>JAN</t>
        </is>
      </c>
      <c r="AAV3" s="9" t="inlineStr">
        <is>
          <t>JANUARY</t>
        </is>
      </c>
      <c r="ABC3" s="9" t="inlineStr">
        <is>
          <t>JAN</t>
        </is>
      </c>
      <c r="ABE3" s="9" t="inlineStr">
        <is>
          <t>JANUARY</t>
        </is>
      </c>
      <c r="ABL3" s="9" t="inlineStr">
        <is>
          <t>JAN</t>
        </is>
      </c>
    </row>
    <row r="4">
      <c r="C4" s="9" t="inlineStr">
        <is>
          <t>Date</t>
        </is>
      </c>
      <c r="D4" s="9" t="inlineStr">
        <is>
          <t>Intake</t>
        </is>
      </c>
      <c r="E4" s="9" t="inlineStr">
        <is>
          <t>Usage</t>
        </is>
      </c>
      <c r="F4" s="9" t="inlineStr">
        <is>
          <t>Actual</t>
        </is>
      </c>
      <c r="G4" s="9" t="inlineStr">
        <is>
          <t>Adjustment</t>
        </is>
      </c>
      <c r="H4" s="9" t="inlineStr">
        <is>
          <t>Balance</t>
        </is>
      </c>
      <c r="I4" s="9" t="inlineStr">
        <is>
          <t>Remarks</t>
        </is>
      </c>
      <c r="L4" s="9" t="inlineStr">
        <is>
          <t>Date</t>
        </is>
      </c>
      <c r="M4" s="9" t="inlineStr">
        <is>
          <t>Intake</t>
        </is>
      </c>
      <c r="N4" s="9" t="inlineStr">
        <is>
          <t>Usage</t>
        </is>
      </c>
      <c r="O4" s="9" t="inlineStr">
        <is>
          <t>Actual</t>
        </is>
      </c>
      <c r="P4" s="9" t="inlineStr">
        <is>
          <t>Adjustment</t>
        </is>
      </c>
      <c r="Q4" s="9" t="inlineStr">
        <is>
          <t>Balance</t>
        </is>
      </c>
      <c r="R4" s="9" t="inlineStr">
        <is>
          <t>Remarks</t>
        </is>
      </c>
      <c r="U4" s="9" t="inlineStr">
        <is>
          <t>Date</t>
        </is>
      </c>
      <c r="V4" s="9" t="inlineStr">
        <is>
          <t>Intake</t>
        </is>
      </c>
      <c r="W4" s="9" t="inlineStr">
        <is>
          <t>Usage</t>
        </is>
      </c>
      <c r="X4" s="9" t="inlineStr">
        <is>
          <t>Actual</t>
        </is>
      </c>
      <c r="Y4" s="9" t="inlineStr">
        <is>
          <t>Adjustment</t>
        </is>
      </c>
      <c r="Z4" s="9" t="inlineStr">
        <is>
          <t>Balance</t>
        </is>
      </c>
      <c r="AA4" s="9" t="inlineStr">
        <is>
          <t>Remarks</t>
        </is>
      </c>
      <c r="AD4" s="9" t="inlineStr">
        <is>
          <t>Date</t>
        </is>
      </c>
      <c r="AE4" s="9" t="inlineStr">
        <is>
          <t>Intake</t>
        </is>
      </c>
      <c r="AF4" s="9" t="inlineStr">
        <is>
          <t>Usage</t>
        </is>
      </c>
      <c r="AG4" s="9" t="inlineStr">
        <is>
          <t>Actual</t>
        </is>
      </c>
      <c r="AH4" s="9" t="inlineStr">
        <is>
          <t>Adjustment</t>
        </is>
      </c>
      <c r="AI4" s="9" t="inlineStr">
        <is>
          <t>Balance</t>
        </is>
      </c>
      <c r="AJ4" s="9" t="inlineStr">
        <is>
          <t>Remarks</t>
        </is>
      </c>
      <c r="AM4" s="9" t="inlineStr">
        <is>
          <t>Date</t>
        </is>
      </c>
      <c r="AN4" s="9" t="inlineStr">
        <is>
          <t>Intake</t>
        </is>
      </c>
      <c r="AO4" s="9" t="inlineStr">
        <is>
          <t>Usage</t>
        </is>
      </c>
      <c r="AP4" s="9" t="inlineStr">
        <is>
          <t>Actual</t>
        </is>
      </c>
      <c r="AQ4" s="9" t="inlineStr">
        <is>
          <t>Adjustment</t>
        </is>
      </c>
      <c r="AR4" s="9" t="inlineStr">
        <is>
          <t>Balance</t>
        </is>
      </c>
      <c r="AS4" s="9" t="inlineStr">
        <is>
          <t>Remarks</t>
        </is>
      </c>
      <c r="AV4" s="9" t="inlineStr">
        <is>
          <t>Date</t>
        </is>
      </c>
      <c r="AW4" s="9" t="inlineStr">
        <is>
          <t>Intake</t>
        </is>
      </c>
      <c r="AX4" s="9" t="inlineStr">
        <is>
          <t>Usage</t>
        </is>
      </c>
      <c r="AY4" s="9" t="inlineStr">
        <is>
          <t>Actual</t>
        </is>
      </c>
      <c r="AZ4" s="9" t="inlineStr">
        <is>
          <t>Adjustment</t>
        </is>
      </c>
      <c r="BA4" s="9" t="inlineStr">
        <is>
          <t>Balance</t>
        </is>
      </c>
      <c r="BB4" s="9" t="inlineStr">
        <is>
          <t>Remarks</t>
        </is>
      </c>
      <c r="BE4" s="9" t="inlineStr">
        <is>
          <t>Date</t>
        </is>
      </c>
      <c r="BF4" s="9" t="inlineStr">
        <is>
          <t>Intake</t>
        </is>
      </c>
      <c r="BG4" s="9" t="inlineStr">
        <is>
          <t>Usage</t>
        </is>
      </c>
      <c r="BH4" s="9" t="inlineStr">
        <is>
          <t>Actual</t>
        </is>
      </c>
      <c r="BI4" s="9" t="inlineStr">
        <is>
          <t>Adjustment</t>
        </is>
      </c>
      <c r="BJ4" s="9" t="inlineStr">
        <is>
          <t>Balance</t>
        </is>
      </c>
      <c r="BK4" s="9" t="inlineStr">
        <is>
          <t>Remarks</t>
        </is>
      </c>
      <c r="BN4" s="9" t="inlineStr">
        <is>
          <t>Date</t>
        </is>
      </c>
      <c r="BO4" s="9" t="inlineStr">
        <is>
          <t>Intake</t>
        </is>
      </c>
      <c r="BP4" s="9" t="inlineStr">
        <is>
          <t>Usage</t>
        </is>
      </c>
      <c r="BQ4" s="9" t="inlineStr">
        <is>
          <t>Actual</t>
        </is>
      </c>
      <c r="BR4" s="9" t="inlineStr">
        <is>
          <t>Adjustment</t>
        </is>
      </c>
      <c r="BS4" s="9" t="inlineStr">
        <is>
          <t>Balance</t>
        </is>
      </c>
      <c r="BT4" s="9" t="inlineStr">
        <is>
          <t>Remarks</t>
        </is>
      </c>
      <c r="BW4" s="9" t="inlineStr">
        <is>
          <t>Date</t>
        </is>
      </c>
      <c r="BX4" s="9" t="inlineStr">
        <is>
          <t>Intake</t>
        </is>
      </c>
      <c r="BY4" s="9" t="inlineStr">
        <is>
          <t>Usage</t>
        </is>
      </c>
      <c r="BZ4" s="9" t="inlineStr">
        <is>
          <t>Actual</t>
        </is>
      </c>
      <c r="CA4" s="9" t="inlineStr">
        <is>
          <t>Adjustment</t>
        </is>
      </c>
      <c r="CB4" s="9" t="inlineStr">
        <is>
          <t>Balance</t>
        </is>
      </c>
      <c r="CC4" s="9" t="inlineStr">
        <is>
          <t>Remarks</t>
        </is>
      </c>
      <c r="CF4" s="9" t="inlineStr">
        <is>
          <t>Date</t>
        </is>
      </c>
      <c r="CG4" s="9" t="inlineStr">
        <is>
          <t>Intake</t>
        </is>
      </c>
      <c r="CH4" s="9" t="inlineStr">
        <is>
          <t>Usage</t>
        </is>
      </c>
      <c r="CI4" s="9" t="inlineStr">
        <is>
          <t>Actual</t>
        </is>
      </c>
      <c r="CJ4" s="9" t="inlineStr">
        <is>
          <t>Adjustment</t>
        </is>
      </c>
      <c r="CK4" s="9" t="inlineStr">
        <is>
          <t>Balance</t>
        </is>
      </c>
      <c r="CL4" s="9" t="inlineStr">
        <is>
          <t>Remarks</t>
        </is>
      </c>
      <c r="CO4" s="9" t="inlineStr">
        <is>
          <t>Date</t>
        </is>
      </c>
      <c r="CP4" s="9" t="inlineStr">
        <is>
          <t>Intake</t>
        </is>
      </c>
      <c r="CQ4" s="9" t="inlineStr">
        <is>
          <t>Usage</t>
        </is>
      </c>
      <c r="CR4" s="9" t="inlineStr">
        <is>
          <t>Actual</t>
        </is>
      </c>
      <c r="CS4" s="9" t="inlineStr">
        <is>
          <t>Adjustment</t>
        </is>
      </c>
      <c r="CT4" s="9" t="inlineStr">
        <is>
          <t>Balance</t>
        </is>
      </c>
      <c r="CU4" s="9" t="inlineStr">
        <is>
          <t>Remarks</t>
        </is>
      </c>
      <c r="CX4" s="9" t="inlineStr">
        <is>
          <t>Date</t>
        </is>
      </c>
      <c r="CY4" s="9" t="inlineStr">
        <is>
          <t>Intake</t>
        </is>
      </c>
      <c r="CZ4" s="9" t="inlineStr">
        <is>
          <t>Usage</t>
        </is>
      </c>
      <c r="DA4" s="9" t="inlineStr">
        <is>
          <t>Actual</t>
        </is>
      </c>
      <c r="DB4" s="9" t="inlineStr">
        <is>
          <t>Adjustment</t>
        </is>
      </c>
      <c r="DC4" s="9" t="inlineStr">
        <is>
          <t>Balance</t>
        </is>
      </c>
      <c r="DD4" s="9" t="inlineStr">
        <is>
          <t>Remarks</t>
        </is>
      </c>
      <c r="DG4" s="9" t="inlineStr">
        <is>
          <t>Date</t>
        </is>
      </c>
      <c r="DH4" s="9" t="inlineStr">
        <is>
          <t>Intake</t>
        </is>
      </c>
      <c r="DI4" s="9" t="inlineStr">
        <is>
          <t>Usage</t>
        </is>
      </c>
      <c r="DJ4" s="9" t="inlineStr">
        <is>
          <t>Actual</t>
        </is>
      </c>
      <c r="DK4" s="9" t="inlineStr">
        <is>
          <t>Adjustment</t>
        </is>
      </c>
      <c r="DL4" s="9" t="inlineStr">
        <is>
          <t>Balance</t>
        </is>
      </c>
      <c r="DM4" s="9" t="inlineStr">
        <is>
          <t>Remarks</t>
        </is>
      </c>
      <c r="DP4" s="9" t="inlineStr">
        <is>
          <t>Date</t>
        </is>
      </c>
      <c r="DQ4" s="9" t="inlineStr">
        <is>
          <t>Intake</t>
        </is>
      </c>
      <c r="DR4" s="9" t="inlineStr">
        <is>
          <t>Usage</t>
        </is>
      </c>
      <c r="DS4" s="9" t="inlineStr">
        <is>
          <t>Actual</t>
        </is>
      </c>
      <c r="DT4" s="9" t="inlineStr">
        <is>
          <t>Adjustment</t>
        </is>
      </c>
      <c r="DU4" s="9" t="inlineStr">
        <is>
          <t>Balance</t>
        </is>
      </c>
      <c r="DV4" s="9" t="inlineStr">
        <is>
          <t>Remarks</t>
        </is>
      </c>
      <c r="DY4" s="9" t="inlineStr">
        <is>
          <t>Date</t>
        </is>
      </c>
      <c r="DZ4" s="9" t="inlineStr">
        <is>
          <t>Intake</t>
        </is>
      </c>
      <c r="EA4" s="9" t="inlineStr">
        <is>
          <t>Usage</t>
        </is>
      </c>
      <c r="EB4" s="9" t="inlineStr">
        <is>
          <t>Actual</t>
        </is>
      </c>
      <c r="EC4" s="9" t="inlineStr">
        <is>
          <t>Adjustment</t>
        </is>
      </c>
      <c r="ED4" s="9" t="inlineStr">
        <is>
          <t>Balance</t>
        </is>
      </c>
      <c r="EE4" s="9" t="inlineStr">
        <is>
          <t>Remarks</t>
        </is>
      </c>
      <c r="EH4" s="9" t="inlineStr">
        <is>
          <t>Date</t>
        </is>
      </c>
      <c r="EI4" s="9" t="inlineStr">
        <is>
          <t>Intake</t>
        </is>
      </c>
      <c r="EJ4" s="9" t="inlineStr">
        <is>
          <t>Usage</t>
        </is>
      </c>
      <c r="EK4" s="9" t="inlineStr">
        <is>
          <t>Actual</t>
        </is>
      </c>
      <c r="EL4" s="9" t="inlineStr">
        <is>
          <t>Adjustment</t>
        </is>
      </c>
      <c r="EM4" s="9" t="inlineStr">
        <is>
          <t>Balance</t>
        </is>
      </c>
      <c r="EN4" s="9" t="inlineStr">
        <is>
          <t>Remarks</t>
        </is>
      </c>
      <c r="EQ4" s="9" t="inlineStr">
        <is>
          <t>Date</t>
        </is>
      </c>
      <c r="ER4" s="9" t="inlineStr">
        <is>
          <t>Intake</t>
        </is>
      </c>
      <c r="ES4" s="9" t="inlineStr">
        <is>
          <t>Usage</t>
        </is>
      </c>
      <c r="ET4" s="9" t="inlineStr">
        <is>
          <t>Actual</t>
        </is>
      </c>
      <c r="EU4" s="9" t="inlineStr">
        <is>
          <t>Adjustment</t>
        </is>
      </c>
      <c r="EV4" s="9" t="inlineStr">
        <is>
          <t>Balance</t>
        </is>
      </c>
      <c r="EW4" s="9" t="inlineStr">
        <is>
          <t>Remarks</t>
        </is>
      </c>
      <c r="EZ4" s="9" t="inlineStr">
        <is>
          <t>Date</t>
        </is>
      </c>
      <c r="FA4" s="9" t="inlineStr">
        <is>
          <t>Intake</t>
        </is>
      </c>
      <c r="FB4" s="9" t="inlineStr">
        <is>
          <t>Usage</t>
        </is>
      </c>
      <c r="FC4" s="9" t="inlineStr">
        <is>
          <t>Actual</t>
        </is>
      </c>
      <c r="FD4" s="9" t="inlineStr">
        <is>
          <t>Adjustment</t>
        </is>
      </c>
      <c r="FE4" s="9" t="inlineStr">
        <is>
          <t>Balance</t>
        </is>
      </c>
      <c r="FF4" s="9" t="inlineStr">
        <is>
          <t>Remarks</t>
        </is>
      </c>
      <c r="FI4" s="9" t="inlineStr">
        <is>
          <t>Date</t>
        </is>
      </c>
      <c r="FJ4" s="9" t="inlineStr">
        <is>
          <t>Intake</t>
        </is>
      </c>
      <c r="FK4" s="9" t="inlineStr">
        <is>
          <t>Usage</t>
        </is>
      </c>
      <c r="FL4" s="9" t="inlineStr">
        <is>
          <t>Actual</t>
        </is>
      </c>
      <c r="FM4" s="9" t="inlineStr">
        <is>
          <t>Adjustment</t>
        </is>
      </c>
      <c r="FN4" s="9" t="inlineStr">
        <is>
          <t>Balance</t>
        </is>
      </c>
      <c r="FO4" s="9" t="inlineStr">
        <is>
          <t>Remarks</t>
        </is>
      </c>
      <c r="FR4" s="9" t="inlineStr">
        <is>
          <t>Date</t>
        </is>
      </c>
      <c r="FS4" s="9" t="inlineStr">
        <is>
          <t>Intake</t>
        </is>
      </c>
      <c r="FT4" s="9" t="inlineStr">
        <is>
          <t>Usage</t>
        </is>
      </c>
      <c r="FU4" s="9" t="inlineStr">
        <is>
          <t>Actual</t>
        </is>
      </c>
      <c r="FV4" s="9" t="inlineStr">
        <is>
          <t>Adjustment</t>
        </is>
      </c>
      <c r="FW4" s="9" t="inlineStr">
        <is>
          <t>Balance</t>
        </is>
      </c>
      <c r="FX4" s="9" t="inlineStr">
        <is>
          <t>Remarks</t>
        </is>
      </c>
      <c r="GA4" s="9" t="inlineStr">
        <is>
          <t>Date</t>
        </is>
      </c>
      <c r="GB4" s="9" t="inlineStr">
        <is>
          <t>Intake</t>
        </is>
      </c>
      <c r="GC4" s="9" t="inlineStr">
        <is>
          <t>Usage</t>
        </is>
      </c>
      <c r="GD4" s="9" t="inlineStr">
        <is>
          <t>Actual</t>
        </is>
      </c>
      <c r="GE4" s="9" t="inlineStr">
        <is>
          <t>Adjustment</t>
        </is>
      </c>
      <c r="GF4" s="9" t="inlineStr">
        <is>
          <t>Balance</t>
        </is>
      </c>
      <c r="GG4" s="9" t="inlineStr">
        <is>
          <t>Remarks</t>
        </is>
      </c>
      <c r="GJ4" s="9" t="inlineStr">
        <is>
          <t>Date</t>
        </is>
      </c>
      <c r="GK4" s="9" t="inlineStr">
        <is>
          <t>Intake</t>
        </is>
      </c>
      <c r="GL4" s="9" t="inlineStr">
        <is>
          <t>Usage</t>
        </is>
      </c>
      <c r="GM4" s="9" t="inlineStr">
        <is>
          <t>Actual</t>
        </is>
      </c>
      <c r="GN4" s="9" t="inlineStr">
        <is>
          <t>Adjustment</t>
        </is>
      </c>
      <c r="GO4" s="9" t="inlineStr">
        <is>
          <t>Balance</t>
        </is>
      </c>
      <c r="GP4" s="9" t="inlineStr">
        <is>
          <t>Remarks</t>
        </is>
      </c>
      <c r="GS4" s="9" t="inlineStr">
        <is>
          <t>Date</t>
        </is>
      </c>
      <c r="GT4" s="9" t="inlineStr">
        <is>
          <t>Intake</t>
        </is>
      </c>
      <c r="GU4" s="9" t="inlineStr">
        <is>
          <t>Usage</t>
        </is>
      </c>
      <c r="GV4" s="9" t="inlineStr">
        <is>
          <t>Actual</t>
        </is>
      </c>
      <c r="GW4" s="9" t="inlineStr">
        <is>
          <t>Adjustment</t>
        </is>
      </c>
      <c r="GX4" s="9" t="inlineStr">
        <is>
          <t>Balance</t>
        </is>
      </c>
      <c r="GY4" s="9" t="inlineStr">
        <is>
          <t>Remarks</t>
        </is>
      </c>
      <c r="HB4" s="9" t="inlineStr">
        <is>
          <t>Date</t>
        </is>
      </c>
      <c r="HC4" s="9" t="inlineStr">
        <is>
          <t>Intake</t>
        </is>
      </c>
      <c r="HD4" s="9" t="inlineStr">
        <is>
          <t>Usage</t>
        </is>
      </c>
      <c r="HE4" s="9" t="inlineStr">
        <is>
          <t>Actual</t>
        </is>
      </c>
      <c r="HF4" s="9" t="inlineStr">
        <is>
          <t>Adjustment</t>
        </is>
      </c>
      <c r="HG4" s="9" t="inlineStr">
        <is>
          <t>Balance</t>
        </is>
      </c>
      <c r="HH4" s="9" t="inlineStr">
        <is>
          <t>Remarks</t>
        </is>
      </c>
      <c r="HK4" s="9" t="inlineStr">
        <is>
          <t>Date</t>
        </is>
      </c>
      <c r="HL4" s="9" t="inlineStr">
        <is>
          <t>Intake</t>
        </is>
      </c>
      <c r="HM4" s="9" t="inlineStr">
        <is>
          <t>Usage</t>
        </is>
      </c>
      <c r="HN4" s="9" t="inlineStr">
        <is>
          <t>Actual</t>
        </is>
      </c>
      <c r="HO4" s="9" t="inlineStr">
        <is>
          <t>Adjustment</t>
        </is>
      </c>
      <c r="HP4" s="9" t="inlineStr">
        <is>
          <t>Balance</t>
        </is>
      </c>
      <c r="HQ4" s="9" t="inlineStr">
        <is>
          <t>Remarks</t>
        </is>
      </c>
      <c r="HU4" s="9" t="inlineStr">
        <is>
          <t>Date</t>
        </is>
      </c>
      <c r="HV4" s="9" t="inlineStr">
        <is>
          <t>Intake</t>
        </is>
      </c>
      <c r="HW4" s="9" t="inlineStr">
        <is>
          <t>Usage</t>
        </is>
      </c>
      <c r="HX4" s="9" t="inlineStr">
        <is>
          <t>Actual</t>
        </is>
      </c>
      <c r="HY4" s="9" t="inlineStr">
        <is>
          <t>Adjustment</t>
        </is>
      </c>
      <c r="HZ4" s="9" t="inlineStr">
        <is>
          <t>Balance</t>
        </is>
      </c>
      <c r="IA4" s="9" t="inlineStr">
        <is>
          <t>Remarks</t>
        </is>
      </c>
      <c r="ID4" s="9" t="inlineStr">
        <is>
          <t>Date</t>
        </is>
      </c>
      <c r="IE4" s="9" t="inlineStr">
        <is>
          <t>Intake</t>
        </is>
      </c>
      <c r="IF4" s="9" t="inlineStr">
        <is>
          <t>Usage</t>
        </is>
      </c>
      <c r="IG4" s="9" t="inlineStr">
        <is>
          <t>Actual</t>
        </is>
      </c>
      <c r="IH4" s="9" t="inlineStr">
        <is>
          <t>Adjustment</t>
        </is>
      </c>
      <c r="II4" s="9" t="inlineStr">
        <is>
          <t>Balance</t>
        </is>
      </c>
      <c r="IJ4" s="9" t="inlineStr">
        <is>
          <t>Remarks</t>
        </is>
      </c>
      <c r="IM4" s="9" t="inlineStr">
        <is>
          <t>Date</t>
        </is>
      </c>
      <c r="IN4" s="9" t="inlineStr">
        <is>
          <t>Intake</t>
        </is>
      </c>
      <c r="IO4" s="9" t="inlineStr">
        <is>
          <t>Usage</t>
        </is>
      </c>
      <c r="IP4" s="9" t="inlineStr">
        <is>
          <t>Actual</t>
        </is>
      </c>
      <c r="IQ4" s="9" t="inlineStr">
        <is>
          <t>Adjustment</t>
        </is>
      </c>
      <c r="IR4" s="9" t="inlineStr">
        <is>
          <t>Balance</t>
        </is>
      </c>
      <c r="IS4" s="9" t="inlineStr">
        <is>
          <t>Remarks</t>
        </is>
      </c>
      <c r="IV4" s="9" t="inlineStr">
        <is>
          <t>Date</t>
        </is>
      </c>
      <c r="IW4" s="9" t="inlineStr">
        <is>
          <t>Intake</t>
        </is>
      </c>
      <c r="IX4" s="9" t="inlineStr">
        <is>
          <t>Usage</t>
        </is>
      </c>
      <c r="IY4" s="9" t="inlineStr">
        <is>
          <t>Actual</t>
        </is>
      </c>
      <c r="IZ4" s="9" t="inlineStr">
        <is>
          <t>Adjustment</t>
        </is>
      </c>
      <c r="JA4" s="9" t="inlineStr">
        <is>
          <t>Balance</t>
        </is>
      </c>
      <c r="JB4" s="9" t="inlineStr">
        <is>
          <t>Remarks</t>
        </is>
      </c>
      <c r="JE4" s="9" t="inlineStr">
        <is>
          <t>Date</t>
        </is>
      </c>
      <c r="JF4" s="9" t="inlineStr">
        <is>
          <t>Intake</t>
        </is>
      </c>
      <c r="JG4" s="9" t="inlineStr">
        <is>
          <t>Usage</t>
        </is>
      </c>
      <c r="JH4" s="9" t="inlineStr">
        <is>
          <t>Actual</t>
        </is>
      </c>
      <c r="JI4" s="9" t="inlineStr">
        <is>
          <t>Adjustment</t>
        </is>
      </c>
      <c r="JJ4" s="9" t="inlineStr">
        <is>
          <t>Balance</t>
        </is>
      </c>
      <c r="JK4" s="9" t="inlineStr">
        <is>
          <t>Remarks</t>
        </is>
      </c>
      <c r="JN4" s="9" t="inlineStr">
        <is>
          <t>Date</t>
        </is>
      </c>
      <c r="JO4" s="9" t="inlineStr">
        <is>
          <t>Intake</t>
        </is>
      </c>
      <c r="JP4" s="9" t="inlineStr">
        <is>
          <t>Usage</t>
        </is>
      </c>
      <c r="JQ4" s="9" t="inlineStr">
        <is>
          <t>Actual</t>
        </is>
      </c>
      <c r="JR4" s="9" t="inlineStr">
        <is>
          <t>Adjustment</t>
        </is>
      </c>
      <c r="JS4" s="9" t="inlineStr">
        <is>
          <t>Balance</t>
        </is>
      </c>
      <c r="JT4" s="9" t="inlineStr">
        <is>
          <t>Remarks</t>
        </is>
      </c>
      <c r="JW4" s="9" t="inlineStr">
        <is>
          <t>Date</t>
        </is>
      </c>
      <c r="JX4" s="9" t="inlineStr">
        <is>
          <t>Intake</t>
        </is>
      </c>
      <c r="JY4" s="9" t="inlineStr">
        <is>
          <t>Usage</t>
        </is>
      </c>
      <c r="JZ4" s="9" t="inlineStr">
        <is>
          <t>Actual</t>
        </is>
      </c>
      <c r="KA4" s="9" t="inlineStr">
        <is>
          <t>Adjustment</t>
        </is>
      </c>
      <c r="KB4" s="9" t="inlineStr">
        <is>
          <t>Balance</t>
        </is>
      </c>
      <c r="KC4" s="9" t="inlineStr">
        <is>
          <t>Remarks</t>
        </is>
      </c>
      <c r="KF4" s="9" t="inlineStr">
        <is>
          <t>Date</t>
        </is>
      </c>
      <c r="KG4" s="9" t="inlineStr">
        <is>
          <t>Intake</t>
        </is>
      </c>
      <c r="KH4" s="9" t="inlineStr">
        <is>
          <t>Usage</t>
        </is>
      </c>
      <c r="KI4" s="9" t="inlineStr">
        <is>
          <t>Actual</t>
        </is>
      </c>
      <c r="KJ4" s="9" t="inlineStr">
        <is>
          <t>Adjustment</t>
        </is>
      </c>
      <c r="KK4" s="9" t="inlineStr">
        <is>
          <t>Balance</t>
        </is>
      </c>
      <c r="KL4" s="9" t="inlineStr">
        <is>
          <t>Remarks</t>
        </is>
      </c>
      <c r="KO4" s="9" t="inlineStr">
        <is>
          <t>Date</t>
        </is>
      </c>
      <c r="KP4" s="9" t="inlineStr">
        <is>
          <t>Intake</t>
        </is>
      </c>
      <c r="KQ4" s="9" t="inlineStr">
        <is>
          <t>Usage</t>
        </is>
      </c>
      <c r="KR4" s="9" t="inlineStr">
        <is>
          <t>Actual</t>
        </is>
      </c>
      <c r="KS4" s="9" t="inlineStr">
        <is>
          <t>Adjustment</t>
        </is>
      </c>
      <c r="KT4" s="9" t="inlineStr">
        <is>
          <t>Balance</t>
        </is>
      </c>
      <c r="KU4" s="9" t="inlineStr">
        <is>
          <t>Remarks</t>
        </is>
      </c>
      <c r="KX4" s="9" t="inlineStr">
        <is>
          <t>Date</t>
        </is>
      </c>
      <c r="KY4" s="9" t="inlineStr">
        <is>
          <t>Intake</t>
        </is>
      </c>
      <c r="KZ4" s="9" t="inlineStr">
        <is>
          <t>Usage</t>
        </is>
      </c>
      <c r="LA4" s="9" t="inlineStr">
        <is>
          <t>Actual</t>
        </is>
      </c>
      <c r="LB4" s="9" t="inlineStr">
        <is>
          <t>Adjustment</t>
        </is>
      </c>
      <c r="LC4" s="9" t="inlineStr">
        <is>
          <t>Balance</t>
        </is>
      </c>
      <c r="LD4" s="9" t="inlineStr">
        <is>
          <t>Remarks</t>
        </is>
      </c>
      <c r="LG4" s="9" t="inlineStr">
        <is>
          <t>Date</t>
        </is>
      </c>
      <c r="LH4" s="9" t="inlineStr">
        <is>
          <t>Intake</t>
        </is>
      </c>
      <c r="LI4" s="9" t="inlineStr">
        <is>
          <t>Usage</t>
        </is>
      </c>
      <c r="LJ4" s="9" t="inlineStr">
        <is>
          <t>Actual</t>
        </is>
      </c>
      <c r="LK4" s="9" t="inlineStr">
        <is>
          <t>Adjustment</t>
        </is>
      </c>
      <c r="LL4" s="9" t="inlineStr">
        <is>
          <t>Balance</t>
        </is>
      </c>
      <c r="LM4" s="9" t="inlineStr">
        <is>
          <t>Remarks</t>
        </is>
      </c>
      <c r="LP4" s="9" t="inlineStr">
        <is>
          <t>Date</t>
        </is>
      </c>
      <c r="LQ4" s="9" t="inlineStr">
        <is>
          <t>Intake</t>
        </is>
      </c>
      <c r="LR4" s="9" t="inlineStr">
        <is>
          <t>Usage</t>
        </is>
      </c>
      <c r="LS4" s="9" t="inlineStr">
        <is>
          <t>Actual</t>
        </is>
      </c>
      <c r="LT4" s="9" t="inlineStr">
        <is>
          <t>Adjustment</t>
        </is>
      </c>
      <c r="LU4" s="9" t="inlineStr">
        <is>
          <t>Balance</t>
        </is>
      </c>
      <c r="LV4" s="9" t="inlineStr">
        <is>
          <t>Remarks</t>
        </is>
      </c>
      <c r="LY4" s="9" t="inlineStr">
        <is>
          <t>Date</t>
        </is>
      </c>
      <c r="LZ4" s="9" t="inlineStr">
        <is>
          <t>Intake</t>
        </is>
      </c>
      <c r="MA4" s="9" t="inlineStr">
        <is>
          <t>Usage</t>
        </is>
      </c>
      <c r="MB4" s="9" t="inlineStr">
        <is>
          <t>Actual</t>
        </is>
      </c>
      <c r="MC4" s="9" t="inlineStr">
        <is>
          <t>Adjustment</t>
        </is>
      </c>
      <c r="MD4" s="9" t="inlineStr">
        <is>
          <t>Balance</t>
        </is>
      </c>
      <c r="ME4" s="9" t="inlineStr">
        <is>
          <t>Remarks</t>
        </is>
      </c>
      <c r="MH4" s="9" t="inlineStr">
        <is>
          <t>Date</t>
        </is>
      </c>
      <c r="MI4" s="9" t="inlineStr">
        <is>
          <t>Intake</t>
        </is>
      </c>
      <c r="MJ4" s="9" t="inlineStr">
        <is>
          <t>Usage</t>
        </is>
      </c>
      <c r="MK4" s="9" t="inlineStr">
        <is>
          <t>Actual</t>
        </is>
      </c>
      <c r="ML4" s="9" t="inlineStr">
        <is>
          <t>Adjustment</t>
        </is>
      </c>
      <c r="MM4" s="9" t="inlineStr">
        <is>
          <t>Balance</t>
        </is>
      </c>
      <c r="MN4" s="9" t="inlineStr">
        <is>
          <t>Remarks</t>
        </is>
      </c>
      <c r="MQ4" s="9" t="inlineStr">
        <is>
          <t>Date</t>
        </is>
      </c>
      <c r="MR4" s="9" t="inlineStr">
        <is>
          <t>Intake</t>
        </is>
      </c>
      <c r="MS4" s="9" t="inlineStr">
        <is>
          <t>Usage</t>
        </is>
      </c>
      <c r="MT4" s="9" t="inlineStr">
        <is>
          <t>Actual</t>
        </is>
      </c>
      <c r="MU4" s="9" t="inlineStr">
        <is>
          <t>Adjustment</t>
        </is>
      </c>
      <c r="MV4" s="9" t="inlineStr">
        <is>
          <t>Balance</t>
        </is>
      </c>
      <c r="MW4" s="9" t="inlineStr">
        <is>
          <t>Remarks</t>
        </is>
      </c>
      <c r="MZ4" s="9" t="inlineStr">
        <is>
          <t>Date</t>
        </is>
      </c>
      <c r="NA4" s="9" t="inlineStr">
        <is>
          <t>Intake</t>
        </is>
      </c>
      <c r="NB4" s="9" t="inlineStr">
        <is>
          <t>Usage</t>
        </is>
      </c>
      <c r="NC4" s="9" t="inlineStr">
        <is>
          <t>Actual</t>
        </is>
      </c>
      <c r="ND4" s="9" t="inlineStr">
        <is>
          <t>Adjustment</t>
        </is>
      </c>
      <c r="NE4" s="9" t="inlineStr">
        <is>
          <t>Balance</t>
        </is>
      </c>
      <c r="NF4" s="9" t="inlineStr">
        <is>
          <t>Remarks</t>
        </is>
      </c>
      <c r="NI4" s="9" t="inlineStr">
        <is>
          <t>Date</t>
        </is>
      </c>
      <c r="NJ4" s="9" t="inlineStr">
        <is>
          <t>Intake</t>
        </is>
      </c>
      <c r="NK4" s="9" t="inlineStr">
        <is>
          <t>Usage</t>
        </is>
      </c>
      <c r="NL4" s="9" t="inlineStr">
        <is>
          <t>Actual</t>
        </is>
      </c>
      <c r="NM4" s="9" t="inlineStr">
        <is>
          <t>Adjustment</t>
        </is>
      </c>
      <c r="NN4" s="9" t="inlineStr">
        <is>
          <t>Balance</t>
        </is>
      </c>
      <c r="NO4" s="9" t="inlineStr">
        <is>
          <t>Remarks</t>
        </is>
      </c>
      <c r="NR4" s="9" t="inlineStr">
        <is>
          <t>Date</t>
        </is>
      </c>
      <c r="NS4" s="9" t="inlineStr">
        <is>
          <t>Intake</t>
        </is>
      </c>
      <c r="NT4" s="9" t="inlineStr">
        <is>
          <t>Usage</t>
        </is>
      </c>
      <c r="NU4" s="9" t="inlineStr">
        <is>
          <t>Actual</t>
        </is>
      </c>
      <c r="NV4" s="9" t="inlineStr">
        <is>
          <t>Adjustment</t>
        </is>
      </c>
      <c r="NW4" s="9" t="inlineStr">
        <is>
          <t>Balance</t>
        </is>
      </c>
      <c r="NX4" s="9" t="inlineStr">
        <is>
          <t>Remarks</t>
        </is>
      </c>
      <c r="OA4" s="9" t="inlineStr">
        <is>
          <t>Date</t>
        </is>
      </c>
      <c r="OB4" s="9" t="inlineStr">
        <is>
          <t>Intake</t>
        </is>
      </c>
      <c r="OC4" s="9" t="inlineStr">
        <is>
          <t>Usage</t>
        </is>
      </c>
      <c r="OD4" s="9" t="inlineStr">
        <is>
          <t>Actual</t>
        </is>
      </c>
      <c r="OE4" s="9" t="inlineStr">
        <is>
          <t>Adjustment</t>
        </is>
      </c>
      <c r="OF4" s="9" t="inlineStr">
        <is>
          <t>Balance</t>
        </is>
      </c>
      <c r="OG4" s="9" t="inlineStr">
        <is>
          <t>Remarks</t>
        </is>
      </c>
      <c r="OJ4" s="9" t="inlineStr">
        <is>
          <t>Date</t>
        </is>
      </c>
      <c r="OK4" s="9" t="inlineStr">
        <is>
          <t>Intake</t>
        </is>
      </c>
      <c r="OL4" s="9" t="inlineStr">
        <is>
          <t>Usage</t>
        </is>
      </c>
      <c r="OM4" s="9" t="inlineStr">
        <is>
          <t>Actual</t>
        </is>
      </c>
      <c r="ON4" s="9" t="inlineStr">
        <is>
          <t>Adjustment</t>
        </is>
      </c>
      <c r="OO4" s="9" t="inlineStr">
        <is>
          <t>Balance</t>
        </is>
      </c>
      <c r="OP4" s="9" t="inlineStr">
        <is>
          <t>Remarks</t>
        </is>
      </c>
      <c r="OS4" s="9" t="inlineStr">
        <is>
          <t>Date</t>
        </is>
      </c>
      <c r="OT4" s="9" t="inlineStr">
        <is>
          <t>Intake</t>
        </is>
      </c>
      <c r="OU4" s="9" t="inlineStr">
        <is>
          <t>Usage</t>
        </is>
      </c>
      <c r="OV4" s="9" t="inlineStr">
        <is>
          <t>Actual</t>
        </is>
      </c>
      <c r="OW4" s="9" t="inlineStr">
        <is>
          <t>Adjustment</t>
        </is>
      </c>
      <c r="OX4" s="9" t="inlineStr">
        <is>
          <t>Balance</t>
        </is>
      </c>
      <c r="OY4" s="9" t="inlineStr">
        <is>
          <t>Remarks</t>
        </is>
      </c>
      <c r="PB4" s="9" t="inlineStr">
        <is>
          <t>Date</t>
        </is>
      </c>
      <c r="PC4" s="9" t="inlineStr">
        <is>
          <t>Intake</t>
        </is>
      </c>
      <c r="PD4" s="9" t="inlineStr">
        <is>
          <t>Usage</t>
        </is>
      </c>
      <c r="PE4" s="9" t="inlineStr">
        <is>
          <t>Actual</t>
        </is>
      </c>
      <c r="PF4" s="9" t="inlineStr">
        <is>
          <t>Adjustment</t>
        </is>
      </c>
      <c r="PG4" s="9" t="inlineStr">
        <is>
          <t>Balance</t>
        </is>
      </c>
      <c r="PH4" s="9" t="inlineStr">
        <is>
          <t>Remarks</t>
        </is>
      </c>
      <c r="PK4" s="9" t="inlineStr">
        <is>
          <t>Date</t>
        </is>
      </c>
      <c r="PL4" s="9" t="inlineStr">
        <is>
          <t>Intake</t>
        </is>
      </c>
      <c r="PM4" s="9" t="inlineStr">
        <is>
          <t>Usage</t>
        </is>
      </c>
      <c r="PN4" s="9" t="inlineStr">
        <is>
          <t>Actual</t>
        </is>
      </c>
      <c r="PO4" s="9" t="inlineStr">
        <is>
          <t>Adjustment</t>
        </is>
      </c>
      <c r="PP4" s="9" t="inlineStr">
        <is>
          <t>Balance</t>
        </is>
      </c>
      <c r="PQ4" s="9" t="inlineStr">
        <is>
          <t>Remarks</t>
        </is>
      </c>
      <c r="PT4" s="9" t="inlineStr">
        <is>
          <t>Date</t>
        </is>
      </c>
      <c r="PU4" s="9" t="inlineStr">
        <is>
          <t>Intake</t>
        </is>
      </c>
      <c r="PV4" s="9" t="inlineStr">
        <is>
          <t>Usage</t>
        </is>
      </c>
      <c r="PW4" s="9" t="inlineStr">
        <is>
          <t>Actual</t>
        </is>
      </c>
      <c r="PX4" s="9" t="inlineStr">
        <is>
          <t>Adjustment</t>
        </is>
      </c>
      <c r="PY4" s="9" t="inlineStr">
        <is>
          <t>Balance</t>
        </is>
      </c>
      <c r="PZ4" s="9" t="inlineStr">
        <is>
          <t>Remarks</t>
        </is>
      </c>
      <c r="QC4" s="9" t="inlineStr">
        <is>
          <t>Date</t>
        </is>
      </c>
      <c r="QD4" s="9" t="inlineStr">
        <is>
          <t>Intake</t>
        </is>
      </c>
      <c r="QE4" s="9" t="inlineStr">
        <is>
          <t>Usage</t>
        </is>
      </c>
      <c r="QF4" s="9" t="inlineStr">
        <is>
          <t>Actual</t>
        </is>
      </c>
      <c r="QG4" s="9" t="inlineStr">
        <is>
          <t>Adjustment</t>
        </is>
      </c>
      <c r="QH4" s="9" t="inlineStr">
        <is>
          <t>Balance</t>
        </is>
      </c>
      <c r="QI4" s="9" t="inlineStr">
        <is>
          <t>Remarks</t>
        </is>
      </c>
      <c r="QL4" s="9" t="inlineStr">
        <is>
          <t>Date</t>
        </is>
      </c>
      <c r="QM4" s="9" t="inlineStr">
        <is>
          <t>Intake</t>
        </is>
      </c>
      <c r="QN4" s="9" t="inlineStr">
        <is>
          <t>Usage</t>
        </is>
      </c>
      <c r="QO4" s="9" t="inlineStr">
        <is>
          <t>Actual</t>
        </is>
      </c>
      <c r="QP4" s="9" t="inlineStr">
        <is>
          <t>Adjustment</t>
        </is>
      </c>
      <c r="QQ4" s="9" t="inlineStr">
        <is>
          <t>Balance</t>
        </is>
      </c>
      <c r="QR4" s="9" t="inlineStr">
        <is>
          <t>Remarks</t>
        </is>
      </c>
      <c r="QU4" s="9" t="inlineStr">
        <is>
          <t>Date</t>
        </is>
      </c>
      <c r="QV4" s="9" t="inlineStr">
        <is>
          <t>Intake</t>
        </is>
      </c>
      <c r="QW4" s="9" t="inlineStr">
        <is>
          <t>Usage</t>
        </is>
      </c>
      <c r="QX4" s="9" t="inlineStr">
        <is>
          <t>Actual</t>
        </is>
      </c>
      <c r="QY4" s="9" t="inlineStr">
        <is>
          <t>Adjustment</t>
        </is>
      </c>
      <c r="QZ4" s="9" t="inlineStr">
        <is>
          <t>Balance</t>
        </is>
      </c>
      <c r="RA4" s="9" t="inlineStr">
        <is>
          <t>Remarks</t>
        </is>
      </c>
      <c r="RD4" s="9" t="inlineStr">
        <is>
          <t>Date</t>
        </is>
      </c>
      <c r="RE4" s="9" t="inlineStr">
        <is>
          <t>Intake</t>
        </is>
      </c>
      <c r="RF4" s="9" t="inlineStr">
        <is>
          <t>Usage</t>
        </is>
      </c>
      <c r="RG4" s="9" t="inlineStr">
        <is>
          <t>Actual</t>
        </is>
      </c>
      <c r="RH4" s="9" t="inlineStr">
        <is>
          <t>Adjustment</t>
        </is>
      </c>
      <c r="RI4" s="9" t="inlineStr">
        <is>
          <t>Balance</t>
        </is>
      </c>
      <c r="RJ4" s="9" t="inlineStr">
        <is>
          <t>Remarks</t>
        </is>
      </c>
      <c r="RM4" s="9" t="inlineStr">
        <is>
          <t>Date</t>
        </is>
      </c>
      <c r="RN4" s="9" t="inlineStr">
        <is>
          <t>Intake</t>
        </is>
      </c>
      <c r="RO4" s="9" t="inlineStr">
        <is>
          <t>Usage</t>
        </is>
      </c>
      <c r="RP4" s="9" t="inlineStr">
        <is>
          <t>Actual</t>
        </is>
      </c>
      <c r="RQ4" s="9" t="inlineStr">
        <is>
          <t>Adjustment</t>
        </is>
      </c>
      <c r="RR4" s="9" t="inlineStr">
        <is>
          <t>Balance</t>
        </is>
      </c>
      <c r="RS4" s="9" t="inlineStr">
        <is>
          <t>Remarks</t>
        </is>
      </c>
      <c r="RV4" s="9" t="inlineStr">
        <is>
          <t>Date</t>
        </is>
      </c>
      <c r="RW4" s="9" t="inlineStr">
        <is>
          <t>Intake</t>
        </is>
      </c>
      <c r="RX4" s="9" t="inlineStr">
        <is>
          <t>Usage</t>
        </is>
      </c>
      <c r="RY4" s="9" t="inlineStr">
        <is>
          <t>Actual</t>
        </is>
      </c>
      <c r="RZ4" s="9" t="inlineStr">
        <is>
          <t>Adjustment</t>
        </is>
      </c>
      <c r="SA4" s="9" t="inlineStr">
        <is>
          <t>Balance</t>
        </is>
      </c>
      <c r="SB4" s="9" t="inlineStr">
        <is>
          <t>Remarks</t>
        </is>
      </c>
      <c r="SE4" s="9" t="inlineStr">
        <is>
          <t>Date</t>
        </is>
      </c>
      <c r="SF4" s="9" t="inlineStr">
        <is>
          <t>Intake</t>
        </is>
      </c>
      <c r="SG4" s="9" t="inlineStr">
        <is>
          <t>Usage</t>
        </is>
      </c>
      <c r="SH4" s="9" t="inlineStr">
        <is>
          <t>Actual</t>
        </is>
      </c>
      <c r="SI4" s="9" t="inlineStr">
        <is>
          <t>Adjustment</t>
        </is>
      </c>
      <c r="SJ4" s="9" t="inlineStr">
        <is>
          <t>Balance</t>
        </is>
      </c>
      <c r="SK4" s="9" t="inlineStr">
        <is>
          <t>Remarks</t>
        </is>
      </c>
      <c r="SN4" s="9" t="inlineStr">
        <is>
          <t>Date</t>
        </is>
      </c>
      <c r="SO4" s="9" t="inlineStr">
        <is>
          <t>Intake</t>
        </is>
      </c>
      <c r="SP4" s="9" t="inlineStr">
        <is>
          <t>Usage</t>
        </is>
      </c>
      <c r="SQ4" s="9" t="inlineStr">
        <is>
          <t>Actual</t>
        </is>
      </c>
      <c r="SR4" s="9" t="inlineStr">
        <is>
          <t>Adjustment</t>
        </is>
      </c>
      <c r="SS4" s="9" t="inlineStr">
        <is>
          <t>Balance</t>
        </is>
      </c>
      <c r="ST4" s="9" t="inlineStr">
        <is>
          <t>Remarks</t>
        </is>
      </c>
      <c r="SW4" s="9" t="inlineStr">
        <is>
          <t>Date</t>
        </is>
      </c>
      <c r="SX4" s="9" t="inlineStr">
        <is>
          <t>Intake</t>
        </is>
      </c>
      <c r="SY4" s="9" t="inlineStr">
        <is>
          <t>Usage</t>
        </is>
      </c>
      <c r="SZ4" s="9" t="inlineStr">
        <is>
          <t>Actual</t>
        </is>
      </c>
      <c r="TA4" s="9" t="inlineStr">
        <is>
          <t>Adjustment</t>
        </is>
      </c>
      <c r="TB4" s="9" t="inlineStr">
        <is>
          <t>Balance</t>
        </is>
      </c>
      <c r="TC4" s="9" t="inlineStr">
        <is>
          <t>Remarks</t>
        </is>
      </c>
      <c r="TF4" s="9" t="inlineStr">
        <is>
          <t>Date</t>
        </is>
      </c>
      <c r="TG4" s="9" t="inlineStr">
        <is>
          <t>Intake</t>
        </is>
      </c>
      <c r="TH4" s="9" t="inlineStr">
        <is>
          <t>Usage</t>
        </is>
      </c>
      <c r="TI4" s="9" t="inlineStr">
        <is>
          <t>Actual</t>
        </is>
      </c>
      <c r="TJ4" s="9" t="inlineStr">
        <is>
          <t>Adjustment</t>
        </is>
      </c>
      <c r="TK4" s="9" t="inlineStr">
        <is>
          <t>Balance</t>
        </is>
      </c>
      <c r="TL4" s="9" t="inlineStr">
        <is>
          <t>Remarks</t>
        </is>
      </c>
      <c r="TO4" s="9" t="inlineStr">
        <is>
          <t>Date</t>
        </is>
      </c>
      <c r="TP4" s="9" t="inlineStr">
        <is>
          <t>Intake</t>
        </is>
      </c>
      <c r="TQ4" s="9" t="inlineStr">
        <is>
          <t>Usage</t>
        </is>
      </c>
      <c r="TR4" s="9" t="inlineStr">
        <is>
          <t>Actual</t>
        </is>
      </c>
      <c r="TS4" s="9" t="inlineStr">
        <is>
          <t>Adjustment</t>
        </is>
      </c>
      <c r="TT4" s="9" t="inlineStr">
        <is>
          <t>Balance</t>
        </is>
      </c>
      <c r="TU4" s="9" t="inlineStr">
        <is>
          <t>Remarks</t>
        </is>
      </c>
      <c r="TX4" s="9" t="inlineStr">
        <is>
          <t>Date</t>
        </is>
      </c>
      <c r="TY4" s="9" t="inlineStr">
        <is>
          <t>Intake</t>
        </is>
      </c>
      <c r="TZ4" s="9" t="inlineStr">
        <is>
          <t>Usage</t>
        </is>
      </c>
      <c r="UA4" s="9" t="inlineStr">
        <is>
          <t>Actual</t>
        </is>
      </c>
      <c r="UB4" s="9" t="inlineStr">
        <is>
          <t>Adjustment</t>
        </is>
      </c>
      <c r="UC4" s="9" t="inlineStr">
        <is>
          <t>Balance</t>
        </is>
      </c>
      <c r="UD4" s="9" t="inlineStr">
        <is>
          <t>Remarks</t>
        </is>
      </c>
      <c r="UG4" s="9" t="inlineStr">
        <is>
          <t>Date</t>
        </is>
      </c>
      <c r="UH4" s="9" t="inlineStr">
        <is>
          <t>Intake</t>
        </is>
      </c>
      <c r="UI4" s="9" t="inlineStr">
        <is>
          <t>Usage</t>
        </is>
      </c>
      <c r="UJ4" s="9" t="inlineStr">
        <is>
          <t>Actual</t>
        </is>
      </c>
      <c r="UK4" s="9" t="inlineStr">
        <is>
          <t>Adjustment</t>
        </is>
      </c>
      <c r="UL4" s="9" t="inlineStr">
        <is>
          <t>Balance</t>
        </is>
      </c>
      <c r="UM4" s="9" t="inlineStr">
        <is>
          <t>Remarks</t>
        </is>
      </c>
      <c r="UP4" s="9" t="inlineStr">
        <is>
          <t>Date</t>
        </is>
      </c>
      <c r="UQ4" s="9" t="inlineStr">
        <is>
          <t>Intake</t>
        </is>
      </c>
      <c r="UR4" s="9" t="inlineStr">
        <is>
          <t>Usage</t>
        </is>
      </c>
      <c r="US4" s="9" t="inlineStr">
        <is>
          <t>Actual</t>
        </is>
      </c>
      <c r="UT4" s="9" t="inlineStr">
        <is>
          <t>Adjustment</t>
        </is>
      </c>
      <c r="UU4" s="9" t="inlineStr">
        <is>
          <t>Balance</t>
        </is>
      </c>
      <c r="UV4" s="9" t="inlineStr">
        <is>
          <t>Remarks</t>
        </is>
      </c>
      <c r="UY4" s="9" t="inlineStr">
        <is>
          <t>Date</t>
        </is>
      </c>
      <c r="UZ4" s="9" t="inlineStr">
        <is>
          <t>Intake</t>
        </is>
      </c>
      <c r="VA4" s="9" t="inlineStr">
        <is>
          <t>Usage</t>
        </is>
      </c>
      <c r="VB4" s="9" t="inlineStr">
        <is>
          <t>Actual</t>
        </is>
      </c>
      <c r="VC4" s="9" t="inlineStr">
        <is>
          <t>Adjustment</t>
        </is>
      </c>
      <c r="VD4" s="9" t="inlineStr">
        <is>
          <t>Balance</t>
        </is>
      </c>
      <c r="VE4" s="9" t="inlineStr">
        <is>
          <t>Remarks</t>
        </is>
      </c>
      <c r="VH4" s="9" t="inlineStr">
        <is>
          <t>Date</t>
        </is>
      </c>
      <c r="VI4" s="9" t="inlineStr">
        <is>
          <t>Intake</t>
        </is>
      </c>
      <c r="VJ4" s="9" t="inlineStr">
        <is>
          <t>Usage</t>
        </is>
      </c>
      <c r="VK4" s="9" t="inlineStr">
        <is>
          <t>Actual</t>
        </is>
      </c>
      <c r="VL4" s="9" t="inlineStr">
        <is>
          <t>Adjustment</t>
        </is>
      </c>
      <c r="VM4" s="9" t="inlineStr">
        <is>
          <t>Balance</t>
        </is>
      </c>
      <c r="VN4" s="9" t="inlineStr">
        <is>
          <t>Remarks</t>
        </is>
      </c>
      <c r="VQ4" s="9" t="inlineStr">
        <is>
          <t>Date</t>
        </is>
      </c>
      <c r="VR4" s="9" t="inlineStr">
        <is>
          <t>Intake</t>
        </is>
      </c>
      <c r="VS4" s="9" t="inlineStr">
        <is>
          <t>Usage</t>
        </is>
      </c>
      <c r="VT4" s="9" t="inlineStr">
        <is>
          <t>Actual</t>
        </is>
      </c>
      <c r="VU4" s="9" t="inlineStr">
        <is>
          <t>Adjustment</t>
        </is>
      </c>
      <c r="VV4" s="9" t="inlineStr">
        <is>
          <t>Balance</t>
        </is>
      </c>
      <c r="VW4" s="9" t="inlineStr">
        <is>
          <t>Remarks</t>
        </is>
      </c>
      <c r="VZ4" s="9" t="inlineStr">
        <is>
          <t>Date</t>
        </is>
      </c>
      <c r="WA4" s="9" t="inlineStr">
        <is>
          <t>Intake</t>
        </is>
      </c>
      <c r="WB4" s="9" t="inlineStr">
        <is>
          <t>Usage</t>
        </is>
      </c>
      <c r="WC4" s="9" t="inlineStr">
        <is>
          <t>Actual</t>
        </is>
      </c>
      <c r="WD4" s="9" t="inlineStr">
        <is>
          <t>Adjustment</t>
        </is>
      </c>
      <c r="WE4" s="9" t="inlineStr">
        <is>
          <t>Balance</t>
        </is>
      </c>
      <c r="WF4" s="9" t="inlineStr">
        <is>
          <t>Remarks</t>
        </is>
      </c>
      <c r="WI4" s="9" t="inlineStr">
        <is>
          <t>Date</t>
        </is>
      </c>
      <c r="WJ4" s="9" t="inlineStr">
        <is>
          <t>Intake</t>
        </is>
      </c>
      <c r="WK4" s="9" t="inlineStr">
        <is>
          <t>Usage</t>
        </is>
      </c>
      <c r="WL4" s="9" t="inlineStr">
        <is>
          <t>Actual</t>
        </is>
      </c>
      <c r="WM4" s="9" t="inlineStr">
        <is>
          <t>Adjustment</t>
        </is>
      </c>
      <c r="WN4" s="9" t="inlineStr">
        <is>
          <t>Balance</t>
        </is>
      </c>
      <c r="WO4" s="9" t="inlineStr">
        <is>
          <t>Remarks</t>
        </is>
      </c>
      <c r="WR4" s="9" t="inlineStr">
        <is>
          <t>Date</t>
        </is>
      </c>
      <c r="WS4" s="9" t="inlineStr">
        <is>
          <t>Intake</t>
        </is>
      </c>
      <c r="WT4" s="9" t="inlineStr">
        <is>
          <t>Usage</t>
        </is>
      </c>
      <c r="WU4" s="9" t="inlineStr">
        <is>
          <t>Actual</t>
        </is>
      </c>
      <c r="WV4" s="9" t="inlineStr">
        <is>
          <t>Adjustment</t>
        </is>
      </c>
      <c r="WW4" s="9" t="inlineStr">
        <is>
          <t>Balance</t>
        </is>
      </c>
      <c r="WX4" s="9" t="inlineStr">
        <is>
          <t>Remarks</t>
        </is>
      </c>
      <c r="XA4" s="9" t="inlineStr">
        <is>
          <t>Date</t>
        </is>
      </c>
      <c r="XB4" s="9" t="inlineStr">
        <is>
          <t>Intake</t>
        </is>
      </c>
      <c r="XC4" s="9" t="inlineStr">
        <is>
          <t>Usage</t>
        </is>
      </c>
      <c r="XD4" s="9" t="inlineStr">
        <is>
          <t>Actual</t>
        </is>
      </c>
      <c r="XE4" s="9" t="inlineStr">
        <is>
          <t>Adjustment</t>
        </is>
      </c>
      <c r="XF4" s="9" t="inlineStr">
        <is>
          <t>Balance</t>
        </is>
      </c>
      <c r="XG4" s="9" t="inlineStr">
        <is>
          <t>Remarks</t>
        </is>
      </c>
      <c r="XJ4" s="9" t="inlineStr">
        <is>
          <t>Date</t>
        </is>
      </c>
      <c r="XK4" s="9" t="inlineStr">
        <is>
          <t>Intake</t>
        </is>
      </c>
      <c r="XL4" s="9" t="inlineStr">
        <is>
          <t>Usage</t>
        </is>
      </c>
      <c r="XM4" s="9" t="inlineStr">
        <is>
          <t>Actual</t>
        </is>
      </c>
      <c r="XN4" s="9" t="inlineStr">
        <is>
          <t>Adjustment</t>
        </is>
      </c>
      <c r="XO4" s="9" t="inlineStr">
        <is>
          <t>Balance</t>
        </is>
      </c>
      <c r="XP4" s="9" t="inlineStr">
        <is>
          <t>Remarks</t>
        </is>
      </c>
      <c r="XS4" s="9" t="inlineStr">
        <is>
          <t>Date</t>
        </is>
      </c>
      <c r="XT4" s="9" t="inlineStr">
        <is>
          <t>Intake</t>
        </is>
      </c>
      <c r="XU4" s="9" t="inlineStr">
        <is>
          <t>Usage</t>
        </is>
      </c>
      <c r="XV4" s="9" t="inlineStr">
        <is>
          <t>Actual</t>
        </is>
      </c>
      <c r="XW4" s="9" t="inlineStr">
        <is>
          <t>Adjustment</t>
        </is>
      </c>
      <c r="XX4" s="9" t="inlineStr">
        <is>
          <t>Balance</t>
        </is>
      </c>
      <c r="XY4" s="9" t="inlineStr">
        <is>
          <t>Remarks</t>
        </is>
      </c>
      <c r="YB4" s="9" t="inlineStr">
        <is>
          <t>Date</t>
        </is>
      </c>
      <c r="YC4" s="9" t="inlineStr">
        <is>
          <t>Intake</t>
        </is>
      </c>
      <c r="YD4" s="9" t="inlineStr">
        <is>
          <t>Usage</t>
        </is>
      </c>
      <c r="YE4" s="9" t="inlineStr">
        <is>
          <t>Actual</t>
        </is>
      </c>
      <c r="YF4" s="9" t="inlineStr">
        <is>
          <t>Adjustment</t>
        </is>
      </c>
      <c r="YG4" s="9" t="inlineStr">
        <is>
          <t>Balance</t>
        </is>
      </c>
      <c r="YH4" s="9" t="inlineStr">
        <is>
          <t>Remarks</t>
        </is>
      </c>
      <c r="YK4" s="9" t="inlineStr">
        <is>
          <t>Date</t>
        </is>
      </c>
      <c r="YL4" s="9" t="inlineStr">
        <is>
          <t>Intake</t>
        </is>
      </c>
      <c r="YM4" s="9" t="inlineStr">
        <is>
          <t>Usage</t>
        </is>
      </c>
      <c r="YN4" s="9" t="inlineStr">
        <is>
          <t>Actual</t>
        </is>
      </c>
      <c r="YO4" s="9" t="inlineStr">
        <is>
          <t>Adjustment</t>
        </is>
      </c>
      <c r="YP4" s="9" t="inlineStr">
        <is>
          <t>Balance</t>
        </is>
      </c>
      <c r="YQ4" s="9" t="inlineStr">
        <is>
          <t>Remarks</t>
        </is>
      </c>
      <c r="YT4" s="9" t="inlineStr">
        <is>
          <t>Date</t>
        </is>
      </c>
      <c r="YU4" s="9" t="inlineStr">
        <is>
          <t>Intake</t>
        </is>
      </c>
      <c r="YV4" s="9" t="inlineStr">
        <is>
          <t>Usage</t>
        </is>
      </c>
      <c r="YW4" s="9" t="inlineStr">
        <is>
          <t>Actual</t>
        </is>
      </c>
      <c r="YX4" s="9" t="inlineStr">
        <is>
          <t>Adjustment</t>
        </is>
      </c>
      <c r="YY4" s="9" t="inlineStr">
        <is>
          <t>Balance</t>
        </is>
      </c>
      <c r="YZ4" s="9" t="inlineStr">
        <is>
          <t>Remarks</t>
        </is>
      </c>
      <c r="ZC4" s="9" t="inlineStr">
        <is>
          <t>Date</t>
        </is>
      </c>
      <c r="ZD4" s="9" t="inlineStr">
        <is>
          <t>Intake</t>
        </is>
      </c>
      <c r="ZE4" s="9" t="inlineStr">
        <is>
          <t>Usage</t>
        </is>
      </c>
      <c r="ZF4" s="9" t="inlineStr">
        <is>
          <t>Actual</t>
        </is>
      </c>
      <c r="ZG4" s="9" t="inlineStr">
        <is>
          <t>Adjustment</t>
        </is>
      </c>
      <c r="ZH4" s="9" t="inlineStr">
        <is>
          <t>Balance</t>
        </is>
      </c>
      <c r="ZI4" s="9" t="inlineStr">
        <is>
          <t>Remarks</t>
        </is>
      </c>
      <c r="ZL4" s="9" t="inlineStr">
        <is>
          <t>Date</t>
        </is>
      </c>
      <c r="ZM4" s="9" t="inlineStr">
        <is>
          <t>Intake</t>
        </is>
      </c>
      <c r="ZN4" s="9" t="inlineStr">
        <is>
          <t>Usage</t>
        </is>
      </c>
      <c r="ZO4" s="9" t="inlineStr">
        <is>
          <t>Actual</t>
        </is>
      </c>
      <c r="ZP4" s="9" t="inlineStr">
        <is>
          <t>Adjustment</t>
        </is>
      </c>
      <c r="ZQ4" s="9" t="inlineStr">
        <is>
          <t>Balance</t>
        </is>
      </c>
      <c r="ZR4" s="9" t="inlineStr">
        <is>
          <t>Remarks</t>
        </is>
      </c>
      <c r="ZU4" s="9" t="inlineStr">
        <is>
          <t>Date</t>
        </is>
      </c>
      <c r="ZV4" s="9" t="inlineStr">
        <is>
          <t>Intake</t>
        </is>
      </c>
      <c r="ZW4" s="9" t="inlineStr">
        <is>
          <t>Usage</t>
        </is>
      </c>
      <c r="ZX4" s="9" t="inlineStr">
        <is>
          <t>Actual</t>
        </is>
      </c>
      <c r="ZY4" s="9" t="inlineStr">
        <is>
          <t>Adjustment</t>
        </is>
      </c>
      <c r="ZZ4" s="9" t="inlineStr">
        <is>
          <t>Balance</t>
        </is>
      </c>
      <c r="AAA4" s="9" t="inlineStr">
        <is>
          <t>Remarks</t>
        </is>
      </c>
      <c r="AAD4" s="9" t="inlineStr">
        <is>
          <t>Date</t>
        </is>
      </c>
      <c r="AAE4" s="9" t="inlineStr">
        <is>
          <t>Intake</t>
        </is>
      </c>
      <c r="AAF4" s="9" t="inlineStr">
        <is>
          <t>Usage</t>
        </is>
      </c>
      <c r="AAG4" s="9" t="inlineStr">
        <is>
          <t>Actual</t>
        </is>
      </c>
      <c r="AAH4" s="9" t="inlineStr">
        <is>
          <t>Adjustment</t>
        </is>
      </c>
      <c r="AAI4" s="9" t="inlineStr">
        <is>
          <t>Balance</t>
        </is>
      </c>
      <c r="AAJ4" s="9" t="inlineStr">
        <is>
          <t>Remarks</t>
        </is>
      </c>
      <c r="AAM4" s="9" t="inlineStr">
        <is>
          <t>Date</t>
        </is>
      </c>
      <c r="AAN4" s="9" t="inlineStr">
        <is>
          <t>Intake</t>
        </is>
      </c>
      <c r="AAO4" s="9" t="inlineStr">
        <is>
          <t>Usage</t>
        </is>
      </c>
      <c r="AAP4" s="9" t="inlineStr">
        <is>
          <t>Actual</t>
        </is>
      </c>
      <c r="AAQ4" s="9" t="inlineStr">
        <is>
          <t>Adjustment</t>
        </is>
      </c>
      <c r="AAR4" s="9" t="inlineStr">
        <is>
          <t>Balance</t>
        </is>
      </c>
      <c r="AAS4" s="9" t="inlineStr">
        <is>
          <t>Remarks</t>
        </is>
      </c>
      <c r="AAV4" s="9" t="inlineStr">
        <is>
          <t>Date</t>
        </is>
      </c>
      <c r="AAW4" s="9" t="inlineStr">
        <is>
          <t>Intake</t>
        </is>
      </c>
      <c r="AAX4" s="9" t="inlineStr">
        <is>
          <t>Usage</t>
        </is>
      </c>
      <c r="AAY4" s="9" t="inlineStr">
        <is>
          <t>Actual</t>
        </is>
      </c>
      <c r="AAZ4" s="9" t="inlineStr">
        <is>
          <t>Adjustment</t>
        </is>
      </c>
      <c r="ABA4" s="9" t="inlineStr">
        <is>
          <t>Balance</t>
        </is>
      </c>
      <c r="ABB4" s="9" t="inlineStr">
        <is>
          <t>Remarks</t>
        </is>
      </c>
      <c r="ABE4" s="9" t="inlineStr">
        <is>
          <t>Date</t>
        </is>
      </c>
      <c r="ABF4" s="9" t="inlineStr">
        <is>
          <t>Intake</t>
        </is>
      </c>
      <c r="ABG4" s="9" t="inlineStr">
        <is>
          <t>Usage</t>
        </is>
      </c>
      <c r="ABH4" s="9" t="inlineStr">
        <is>
          <t>Actual</t>
        </is>
      </c>
      <c r="ABI4" s="9" t="inlineStr">
        <is>
          <t>Adjustment</t>
        </is>
      </c>
      <c r="ABJ4" s="9" t="inlineStr">
        <is>
          <t>Balance</t>
        </is>
      </c>
      <c r="ABK4" s="9" t="inlineStr">
        <is>
          <t>Remarks</t>
        </is>
      </c>
    </row>
    <row r="5">
      <c r="C5" s="9" t="inlineStr">
        <is>
          <t>BALANCE</t>
        </is>
      </c>
      <c r="E5" s="9" t="inlineStr">
        <is>
          <t>-</t>
        </is>
      </c>
      <c r="G5" s="9" t="inlineStr">
        <is>
          <t>-</t>
        </is>
      </c>
      <c r="H5" s="9" t="n">
        <v>47850.2</v>
      </c>
      <c r="L5" s="9" t="inlineStr">
        <is>
          <t>BALANCE</t>
        </is>
      </c>
      <c r="M5" s="9" t="inlineStr">
        <is>
          <t>-</t>
        </is>
      </c>
      <c r="N5" s="9" t="inlineStr">
        <is>
          <t>-</t>
        </is>
      </c>
      <c r="O5" s="9" t="inlineStr">
        <is>
          <t>-</t>
        </is>
      </c>
      <c r="Q5" s="9" t="n">
        <v>8696.200000000001</v>
      </c>
      <c r="U5" s="9" t="inlineStr">
        <is>
          <t>BALANCE</t>
        </is>
      </c>
      <c r="V5" s="9" t="inlineStr">
        <is>
          <t>-</t>
        </is>
      </c>
      <c r="W5" s="9" t="inlineStr">
        <is>
          <t>-</t>
        </is>
      </c>
      <c r="X5" s="9" t="inlineStr">
        <is>
          <t>-</t>
        </is>
      </c>
      <c r="Y5" s="9" t="inlineStr">
        <is>
          <t>-</t>
        </is>
      </c>
      <c r="Z5" s="9" t="n">
        <v>40371.3</v>
      </c>
      <c r="AD5" s="9" t="inlineStr">
        <is>
          <t>BALANCE</t>
        </is>
      </c>
      <c r="AE5" s="9" t="inlineStr">
        <is>
          <t>-</t>
        </is>
      </c>
      <c r="AF5" s="9" t="inlineStr">
        <is>
          <t>-</t>
        </is>
      </c>
      <c r="AG5" s="9" t="inlineStr">
        <is>
          <t>-</t>
        </is>
      </c>
      <c r="AH5" s="9" t="inlineStr">
        <is>
          <t>-</t>
        </is>
      </c>
      <c r="AI5" s="9" t="n">
        <v>33793.70000000001</v>
      </c>
      <c r="AM5" s="9" t="inlineStr">
        <is>
          <t>BALANCE</t>
        </is>
      </c>
      <c r="AN5" s="9" t="inlineStr">
        <is>
          <t>-</t>
        </is>
      </c>
      <c r="AO5" s="9" t="inlineStr">
        <is>
          <t>-</t>
        </is>
      </c>
      <c r="AP5" s="9" t="inlineStr">
        <is>
          <t>-</t>
        </is>
      </c>
      <c r="AQ5" s="9" t="inlineStr">
        <is>
          <t>-</t>
        </is>
      </c>
      <c r="AV5" s="9" t="inlineStr">
        <is>
          <t>BALANCE</t>
        </is>
      </c>
      <c r="AW5" s="9" t="inlineStr">
        <is>
          <t>-</t>
        </is>
      </c>
      <c r="AX5" s="9" t="inlineStr">
        <is>
          <t>-</t>
        </is>
      </c>
      <c r="AY5" s="9" t="inlineStr">
        <is>
          <t>-</t>
        </is>
      </c>
      <c r="AZ5" s="9" t="inlineStr">
        <is>
          <t>-</t>
        </is>
      </c>
      <c r="BA5" s="9" t="n">
        <v>29510.09999999999</v>
      </c>
      <c r="BE5" s="9" t="inlineStr">
        <is>
          <t>BALANCE</t>
        </is>
      </c>
      <c r="BF5" s="9" t="inlineStr">
        <is>
          <t>-</t>
        </is>
      </c>
      <c r="BG5" s="9" t="inlineStr">
        <is>
          <t>-</t>
        </is>
      </c>
      <c r="BH5" s="9" t="inlineStr">
        <is>
          <t>-</t>
        </is>
      </c>
      <c r="BI5" s="9" t="inlineStr">
        <is>
          <t>-</t>
        </is>
      </c>
      <c r="BJ5" s="9" t="n">
        <v>6360.000000000007</v>
      </c>
      <c r="BN5" s="9" t="inlineStr">
        <is>
          <t>BALANCE</t>
        </is>
      </c>
      <c r="BO5" s="9" t="inlineStr">
        <is>
          <t>-</t>
        </is>
      </c>
      <c r="BP5" s="9" t="inlineStr">
        <is>
          <t>-</t>
        </is>
      </c>
      <c r="BQ5" s="9" t="inlineStr">
        <is>
          <t>-</t>
        </is>
      </c>
      <c r="BR5" s="9" t="inlineStr">
        <is>
          <t>-</t>
        </is>
      </c>
      <c r="BW5" s="9" t="inlineStr">
        <is>
          <t>BALANCE</t>
        </is>
      </c>
      <c r="BX5" s="9" t="inlineStr">
        <is>
          <t>-</t>
        </is>
      </c>
      <c r="BY5" s="9" t="inlineStr">
        <is>
          <t>-</t>
        </is>
      </c>
      <c r="BZ5" s="9" t="inlineStr">
        <is>
          <t>-</t>
        </is>
      </c>
      <c r="CA5" s="9" t="inlineStr">
        <is>
          <t>-</t>
        </is>
      </c>
      <c r="CB5" s="9" t="n">
        <v>512.5</v>
      </c>
      <c r="CF5" s="9" t="inlineStr">
        <is>
          <t>BALANCE</t>
        </is>
      </c>
      <c r="CG5" s="9" t="inlineStr">
        <is>
          <t>-</t>
        </is>
      </c>
      <c r="CH5" s="9" t="inlineStr">
        <is>
          <t>-</t>
        </is>
      </c>
      <c r="CI5" s="9" t="inlineStr">
        <is>
          <t>-</t>
        </is>
      </c>
      <c r="CJ5" s="9" t="inlineStr">
        <is>
          <t>-</t>
        </is>
      </c>
      <c r="CO5" s="9" t="inlineStr">
        <is>
          <t>BALANCE</t>
        </is>
      </c>
      <c r="CP5" s="9" t="inlineStr">
        <is>
          <t>-</t>
        </is>
      </c>
      <c r="CQ5" s="9" t="inlineStr">
        <is>
          <t>-</t>
        </is>
      </c>
      <c r="CR5" s="9" t="inlineStr">
        <is>
          <t>-</t>
        </is>
      </c>
      <c r="CS5" s="9" t="inlineStr">
        <is>
          <t>-</t>
        </is>
      </c>
      <c r="CX5" s="9" t="inlineStr">
        <is>
          <t>BALANCE</t>
        </is>
      </c>
      <c r="CY5" s="9" t="inlineStr">
        <is>
          <t>-</t>
        </is>
      </c>
      <c r="CZ5" s="9" t="inlineStr">
        <is>
          <t>-</t>
        </is>
      </c>
      <c r="DA5" s="9" t="inlineStr">
        <is>
          <t>-</t>
        </is>
      </c>
      <c r="DB5" s="9" t="inlineStr">
        <is>
          <t>-</t>
        </is>
      </c>
      <c r="DC5" s="9" t="n">
        <v>0</v>
      </c>
      <c r="DG5" s="9" t="inlineStr">
        <is>
          <t>BALANCE</t>
        </is>
      </c>
      <c r="DH5" s="9" t="inlineStr">
        <is>
          <t>-</t>
        </is>
      </c>
      <c r="DI5" s="9" t="inlineStr">
        <is>
          <t>-</t>
        </is>
      </c>
      <c r="DJ5" s="9" t="inlineStr">
        <is>
          <t>-</t>
        </is>
      </c>
      <c r="DK5" s="9" t="inlineStr">
        <is>
          <t>-</t>
        </is>
      </c>
      <c r="DL5" s="9" t="n">
        <v>31341.2</v>
      </c>
      <c r="DP5" s="9" t="inlineStr">
        <is>
          <t>BALANCE</t>
        </is>
      </c>
      <c r="DQ5" s="9" t="inlineStr">
        <is>
          <t>-</t>
        </is>
      </c>
      <c r="DR5" s="9" t="inlineStr">
        <is>
          <t>-</t>
        </is>
      </c>
      <c r="DS5" s="9" t="inlineStr">
        <is>
          <t>-</t>
        </is>
      </c>
      <c r="DT5" s="9" t="inlineStr">
        <is>
          <t>-</t>
        </is>
      </c>
      <c r="DU5" s="9" t="n">
        <v>0</v>
      </c>
      <c r="DY5" s="9" t="inlineStr">
        <is>
          <t>BALANCE</t>
        </is>
      </c>
      <c r="DZ5" s="9" t="inlineStr">
        <is>
          <t>-</t>
        </is>
      </c>
      <c r="EA5" s="9" t="inlineStr">
        <is>
          <t>-</t>
        </is>
      </c>
      <c r="EB5" s="9" t="inlineStr">
        <is>
          <t>-</t>
        </is>
      </c>
      <c r="EC5" s="9" t="inlineStr">
        <is>
          <t>-</t>
        </is>
      </c>
      <c r="ED5" s="9" t="n">
        <v>0</v>
      </c>
      <c r="EH5" s="9" t="inlineStr">
        <is>
          <t>BALANCE</t>
        </is>
      </c>
      <c r="EI5" s="9" t="inlineStr">
        <is>
          <t>-</t>
        </is>
      </c>
      <c r="EJ5" s="9" t="inlineStr">
        <is>
          <t>-</t>
        </is>
      </c>
      <c r="EK5" s="9" t="inlineStr">
        <is>
          <t>-</t>
        </is>
      </c>
      <c r="EL5" s="9" t="inlineStr">
        <is>
          <t>-</t>
        </is>
      </c>
      <c r="EQ5" s="9" t="inlineStr">
        <is>
          <t>BALANCE</t>
        </is>
      </c>
      <c r="ER5" s="9" t="inlineStr">
        <is>
          <t>-</t>
        </is>
      </c>
      <c r="ES5" s="9" t="inlineStr">
        <is>
          <t>-</t>
        </is>
      </c>
      <c r="ET5" s="9" t="inlineStr">
        <is>
          <t>-</t>
        </is>
      </c>
      <c r="EU5" s="9" t="inlineStr">
        <is>
          <t>-</t>
        </is>
      </c>
      <c r="EZ5" s="9" t="inlineStr">
        <is>
          <t>BALANCE</t>
        </is>
      </c>
      <c r="FA5" s="9" t="inlineStr">
        <is>
          <t>-</t>
        </is>
      </c>
      <c r="FB5" s="9" t="inlineStr">
        <is>
          <t>-</t>
        </is>
      </c>
      <c r="FC5" s="9" t="inlineStr">
        <is>
          <t>-</t>
        </is>
      </c>
      <c r="FD5" s="9" t="inlineStr">
        <is>
          <t>-</t>
        </is>
      </c>
      <c r="FI5" s="9" t="inlineStr">
        <is>
          <t>BALANCE</t>
        </is>
      </c>
      <c r="FJ5" s="9" t="inlineStr">
        <is>
          <t>-</t>
        </is>
      </c>
      <c r="FK5" s="9" t="inlineStr">
        <is>
          <t>-</t>
        </is>
      </c>
      <c r="FL5" s="9" t="inlineStr">
        <is>
          <t>-</t>
        </is>
      </c>
      <c r="FM5" s="9" t="inlineStr">
        <is>
          <t>-</t>
        </is>
      </c>
      <c r="FR5" s="9" t="inlineStr">
        <is>
          <t>BALANCE</t>
        </is>
      </c>
      <c r="FS5" s="9" t="inlineStr">
        <is>
          <t>-</t>
        </is>
      </c>
      <c r="FT5" s="9" t="inlineStr">
        <is>
          <t>-</t>
        </is>
      </c>
      <c r="FU5" s="9" t="inlineStr">
        <is>
          <t>-</t>
        </is>
      </c>
      <c r="FV5" s="9" t="inlineStr">
        <is>
          <t>-</t>
        </is>
      </c>
      <c r="FW5" s="9" t="n">
        <v>3540</v>
      </c>
      <c r="FX5" s="9" t="n">
        <v>177</v>
      </c>
      <c r="FY5" s="9" t="inlineStr">
        <is>
          <t>bags</t>
        </is>
      </c>
      <c r="GA5" s="9" t="inlineStr">
        <is>
          <t>BALANCE</t>
        </is>
      </c>
      <c r="GB5" s="9" t="inlineStr">
        <is>
          <t>-</t>
        </is>
      </c>
      <c r="GC5" s="9" t="inlineStr">
        <is>
          <t>-</t>
        </is>
      </c>
      <c r="GD5" s="9" t="inlineStr">
        <is>
          <t>-</t>
        </is>
      </c>
      <c r="GE5" s="9" t="inlineStr">
        <is>
          <t>-</t>
        </is>
      </c>
      <c r="GF5" s="9" t="n">
        <v>1960</v>
      </c>
      <c r="GG5" s="9" t="n">
        <v>98</v>
      </c>
      <c r="GH5" s="9" t="inlineStr">
        <is>
          <t>bags</t>
        </is>
      </c>
      <c r="GJ5" s="9" t="inlineStr">
        <is>
          <t>BALANCE</t>
        </is>
      </c>
      <c r="GK5" s="9" t="inlineStr">
        <is>
          <t>-</t>
        </is>
      </c>
      <c r="GL5" s="9" t="inlineStr">
        <is>
          <t>-</t>
        </is>
      </c>
      <c r="GM5" s="9" t="inlineStr">
        <is>
          <t>-</t>
        </is>
      </c>
      <c r="GN5" s="9" t="inlineStr">
        <is>
          <t>-</t>
        </is>
      </c>
      <c r="GO5" s="9" t="n">
        <v>2960</v>
      </c>
      <c r="GP5" s="9" t="n">
        <v>148</v>
      </c>
      <c r="GQ5" s="9" t="inlineStr">
        <is>
          <t>bags</t>
        </is>
      </c>
      <c r="GS5" s="9" t="inlineStr">
        <is>
          <t>BALANCE</t>
        </is>
      </c>
      <c r="GT5" s="9" t="inlineStr">
        <is>
          <t>-</t>
        </is>
      </c>
      <c r="GU5" s="9" t="inlineStr">
        <is>
          <t>-</t>
        </is>
      </c>
      <c r="GV5" s="9" t="inlineStr">
        <is>
          <t>-</t>
        </is>
      </c>
      <c r="GW5" s="9" t="inlineStr">
        <is>
          <t>-</t>
        </is>
      </c>
      <c r="HB5" s="9" t="inlineStr">
        <is>
          <t>BALANCE</t>
        </is>
      </c>
      <c r="HC5" s="9" t="inlineStr">
        <is>
          <t>-</t>
        </is>
      </c>
      <c r="HD5" s="9" t="inlineStr">
        <is>
          <t>-</t>
        </is>
      </c>
      <c r="HE5" s="9" t="inlineStr">
        <is>
          <t>-</t>
        </is>
      </c>
      <c r="HF5" s="9" t="inlineStr">
        <is>
          <t>-</t>
        </is>
      </c>
      <c r="HK5" s="9" t="inlineStr">
        <is>
          <t>BALANCE</t>
        </is>
      </c>
      <c r="HL5" s="9" t="inlineStr">
        <is>
          <t>-</t>
        </is>
      </c>
      <c r="HM5" s="9" t="inlineStr">
        <is>
          <t>-</t>
        </is>
      </c>
      <c r="HN5" s="9" t="inlineStr">
        <is>
          <t>-</t>
        </is>
      </c>
      <c r="HO5" s="9" t="inlineStr">
        <is>
          <t>-</t>
        </is>
      </c>
      <c r="HU5" s="9" t="inlineStr">
        <is>
          <t>BALANCE</t>
        </is>
      </c>
      <c r="HV5" s="9" t="inlineStr">
        <is>
          <t>-</t>
        </is>
      </c>
      <c r="HW5" s="9" t="inlineStr">
        <is>
          <t>-</t>
        </is>
      </c>
      <c r="HX5" s="9" t="inlineStr">
        <is>
          <t>-</t>
        </is>
      </c>
      <c r="HY5" s="9" t="inlineStr">
        <is>
          <t>-</t>
        </is>
      </c>
      <c r="HZ5" s="9" t="n">
        <v>3980</v>
      </c>
      <c r="IA5" s="9" t="n">
        <v>199</v>
      </c>
      <c r="IB5" s="9" t="inlineStr">
        <is>
          <t>bags</t>
        </is>
      </c>
      <c r="ID5" s="9" t="inlineStr">
        <is>
          <t>BALANCE</t>
        </is>
      </c>
      <c r="IE5" s="9" t="inlineStr">
        <is>
          <t>-</t>
        </is>
      </c>
      <c r="IF5" s="9" t="inlineStr">
        <is>
          <t>-</t>
        </is>
      </c>
      <c r="IG5" s="9" t="inlineStr">
        <is>
          <t>-</t>
        </is>
      </c>
      <c r="IH5" s="9" t="inlineStr">
        <is>
          <t>-</t>
        </is>
      </c>
      <c r="II5" s="9" t="n">
        <v>2960</v>
      </c>
      <c r="IJ5" s="9" t="n">
        <v>148</v>
      </c>
      <c r="IK5" s="9" t="inlineStr">
        <is>
          <t>bags</t>
        </is>
      </c>
      <c r="IM5" s="9" t="inlineStr">
        <is>
          <t>BALANCE</t>
        </is>
      </c>
      <c r="IN5" s="9" t="inlineStr">
        <is>
          <t>-</t>
        </is>
      </c>
      <c r="IO5" s="9" t="inlineStr">
        <is>
          <t>-</t>
        </is>
      </c>
      <c r="IP5" s="9" t="inlineStr">
        <is>
          <t>-</t>
        </is>
      </c>
      <c r="IQ5" s="9" t="inlineStr">
        <is>
          <t>-</t>
        </is>
      </c>
      <c r="IR5" s="9" t="n">
        <v>2040</v>
      </c>
      <c r="IS5" s="9" t="n">
        <v>102</v>
      </c>
      <c r="IT5" s="9" t="inlineStr">
        <is>
          <t>bags</t>
        </is>
      </c>
      <c r="IV5" s="9" t="inlineStr">
        <is>
          <t>BALANCE</t>
        </is>
      </c>
      <c r="IW5" s="9" t="inlineStr">
        <is>
          <t>-</t>
        </is>
      </c>
      <c r="IX5" s="9" t="inlineStr">
        <is>
          <t>-</t>
        </is>
      </c>
      <c r="IY5" s="9" t="inlineStr">
        <is>
          <t>-</t>
        </is>
      </c>
      <c r="IZ5" s="9" t="inlineStr">
        <is>
          <t>-</t>
        </is>
      </c>
      <c r="JA5" s="9" t="n">
        <v>7520</v>
      </c>
      <c r="JB5" s="9" t="n">
        <v>376</v>
      </c>
      <c r="JC5" s="9" t="inlineStr">
        <is>
          <t>bags</t>
        </is>
      </c>
      <c r="JE5" s="9" t="inlineStr">
        <is>
          <t>BALANCE</t>
        </is>
      </c>
      <c r="JF5" s="9" t="inlineStr">
        <is>
          <t>-</t>
        </is>
      </c>
      <c r="JG5" s="9" t="inlineStr">
        <is>
          <t>-</t>
        </is>
      </c>
      <c r="JH5" s="9" t="inlineStr">
        <is>
          <t>-</t>
        </is>
      </c>
      <c r="JI5" s="9" t="inlineStr">
        <is>
          <t>-</t>
        </is>
      </c>
      <c r="JJ5" s="9" t="n">
        <v>6800</v>
      </c>
      <c r="JK5" s="9" t="n">
        <v>340</v>
      </c>
      <c r="JL5" s="9" t="inlineStr">
        <is>
          <t>bags</t>
        </is>
      </c>
      <c r="JN5" s="9" t="inlineStr">
        <is>
          <t>BALANCE</t>
        </is>
      </c>
      <c r="JO5" s="9" t="inlineStr">
        <is>
          <t>-</t>
        </is>
      </c>
      <c r="JP5" s="9" t="inlineStr">
        <is>
          <t>-</t>
        </is>
      </c>
      <c r="JQ5" s="9" t="inlineStr">
        <is>
          <t>-</t>
        </is>
      </c>
      <c r="JR5" s="9" t="inlineStr">
        <is>
          <t>-</t>
        </is>
      </c>
      <c r="JS5" s="9" t="n">
        <v>4400</v>
      </c>
      <c r="JT5" s="9" t="n">
        <v>220</v>
      </c>
      <c r="JU5" s="9" t="inlineStr">
        <is>
          <t>bags</t>
        </is>
      </c>
      <c r="JW5" s="9" t="inlineStr">
        <is>
          <t>BALANCE</t>
        </is>
      </c>
      <c r="JX5" s="9" t="inlineStr">
        <is>
          <t>-</t>
        </is>
      </c>
      <c r="JY5" s="9" t="inlineStr">
        <is>
          <t>-</t>
        </is>
      </c>
      <c r="JZ5" s="9" t="inlineStr">
        <is>
          <t>-</t>
        </is>
      </c>
      <c r="KA5" s="9" t="inlineStr">
        <is>
          <t>-</t>
        </is>
      </c>
      <c r="KB5" s="9" t="n">
        <v>0</v>
      </c>
      <c r="KF5" s="9" t="inlineStr">
        <is>
          <t>BALANCE</t>
        </is>
      </c>
      <c r="KG5" s="9" t="inlineStr">
        <is>
          <t>-</t>
        </is>
      </c>
      <c r="KH5" s="9" t="inlineStr">
        <is>
          <t>-</t>
        </is>
      </c>
      <c r="KI5" s="9" t="inlineStr">
        <is>
          <t>-</t>
        </is>
      </c>
      <c r="KJ5" s="9" t="inlineStr">
        <is>
          <t>-</t>
        </is>
      </c>
      <c r="KK5" s="9" t="n">
        <v>0</v>
      </c>
      <c r="KO5" s="9" t="inlineStr">
        <is>
          <t>BALANCE</t>
        </is>
      </c>
      <c r="KP5" s="9" t="inlineStr">
        <is>
          <t>-</t>
        </is>
      </c>
      <c r="KQ5" s="9" t="inlineStr">
        <is>
          <t>-</t>
        </is>
      </c>
      <c r="KR5" s="9" t="inlineStr">
        <is>
          <t>-</t>
        </is>
      </c>
      <c r="KS5" s="9" t="inlineStr">
        <is>
          <t>-</t>
        </is>
      </c>
      <c r="KT5" s="9" t="n">
        <v>0</v>
      </c>
      <c r="KX5" s="9" t="inlineStr">
        <is>
          <t>BALANCE</t>
        </is>
      </c>
      <c r="KY5" s="9" t="inlineStr">
        <is>
          <t>-</t>
        </is>
      </c>
      <c r="KZ5" s="9" t="inlineStr">
        <is>
          <t>-</t>
        </is>
      </c>
      <c r="LA5" s="9" t="inlineStr">
        <is>
          <t>-</t>
        </is>
      </c>
      <c r="LB5" s="9" t="inlineStr">
        <is>
          <t>-</t>
        </is>
      </c>
      <c r="LC5" s="9" t="n">
        <v>0</v>
      </c>
      <c r="LG5" s="9" t="inlineStr">
        <is>
          <t>BALANCE</t>
        </is>
      </c>
      <c r="LH5" s="9" t="inlineStr">
        <is>
          <t>-</t>
        </is>
      </c>
      <c r="LI5" s="9" t="inlineStr">
        <is>
          <t>-</t>
        </is>
      </c>
      <c r="LJ5" s="9" t="inlineStr">
        <is>
          <t>-</t>
        </is>
      </c>
      <c r="LK5" s="9" t="inlineStr">
        <is>
          <t>-</t>
        </is>
      </c>
      <c r="LL5" s="9" t="n">
        <v>0</v>
      </c>
      <c r="LP5" s="9" t="inlineStr">
        <is>
          <t>BALANCE</t>
        </is>
      </c>
      <c r="LQ5" s="9" t="inlineStr">
        <is>
          <t>-</t>
        </is>
      </c>
      <c r="LR5" s="9" t="inlineStr">
        <is>
          <t>-</t>
        </is>
      </c>
      <c r="LS5" s="9" t="inlineStr">
        <is>
          <t>-</t>
        </is>
      </c>
      <c r="LT5" s="9" t="inlineStr">
        <is>
          <t>-</t>
        </is>
      </c>
      <c r="LY5" s="9" t="inlineStr">
        <is>
          <t>BALANCE</t>
        </is>
      </c>
      <c r="LZ5" s="9" t="inlineStr">
        <is>
          <t>-</t>
        </is>
      </c>
      <c r="MA5" s="9" t="inlineStr">
        <is>
          <t>-</t>
        </is>
      </c>
      <c r="MB5" s="9" t="inlineStr">
        <is>
          <t>-</t>
        </is>
      </c>
      <c r="MC5" s="9" t="inlineStr">
        <is>
          <t>-</t>
        </is>
      </c>
      <c r="MH5" s="9" t="inlineStr">
        <is>
          <t>BALANCE</t>
        </is>
      </c>
      <c r="MI5" s="9" t="inlineStr">
        <is>
          <t>-</t>
        </is>
      </c>
      <c r="MJ5" s="9" t="inlineStr">
        <is>
          <t>-</t>
        </is>
      </c>
      <c r="MK5" s="9" t="inlineStr">
        <is>
          <t>-</t>
        </is>
      </c>
      <c r="ML5" s="9" t="inlineStr">
        <is>
          <t>-</t>
        </is>
      </c>
      <c r="MQ5" s="9" t="inlineStr">
        <is>
          <t>BALANCE</t>
        </is>
      </c>
      <c r="MR5" s="9" t="inlineStr">
        <is>
          <t>-</t>
        </is>
      </c>
      <c r="MS5" s="9" t="inlineStr">
        <is>
          <t>-</t>
        </is>
      </c>
      <c r="MT5" s="9" t="inlineStr">
        <is>
          <t>-</t>
        </is>
      </c>
      <c r="MU5" s="9" t="inlineStr">
        <is>
          <t>-</t>
        </is>
      </c>
      <c r="MV5" s="9" t="n">
        <v>1531</v>
      </c>
      <c r="MZ5" s="9" t="inlineStr">
        <is>
          <t>BALANCE</t>
        </is>
      </c>
      <c r="NA5" s="9" t="inlineStr">
        <is>
          <t>-</t>
        </is>
      </c>
      <c r="NB5" s="9" t="inlineStr">
        <is>
          <t>-</t>
        </is>
      </c>
      <c r="NC5" s="9" t="inlineStr">
        <is>
          <t>-</t>
        </is>
      </c>
      <c r="ND5" s="9" t="inlineStr">
        <is>
          <t>-</t>
        </is>
      </c>
      <c r="NE5" s="9" t="n">
        <v>0</v>
      </c>
      <c r="NI5" s="9" t="inlineStr">
        <is>
          <t>BALANCE</t>
        </is>
      </c>
      <c r="NJ5" s="9" t="inlineStr">
        <is>
          <t>-</t>
        </is>
      </c>
      <c r="NK5" s="9" t="inlineStr">
        <is>
          <t>-</t>
        </is>
      </c>
      <c r="NL5" s="9" t="inlineStr">
        <is>
          <t>-</t>
        </is>
      </c>
      <c r="NM5" s="9" t="inlineStr">
        <is>
          <t>-</t>
        </is>
      </c>
      <c r="NN5" s="9" t="n">
        <v>0</v>
      </c>
      <c r="NR5" s="9" t="inlineStr">
        <is>
          <t>BALANCE</t>
        </is>
      </c>
      <c r="NS5" s="9" t="inlineStr">
        <is>
          <t>-</t>
        </is>
      </c>
      <c r="NT5" s="9" t="inlineStr">
        <is>
          <t>-</t>
        </is>
      </c>
      <c r="NU5" s="9" t="inlineStr">
        <is>
          <t>-</t>
        </is>
      </c>
      <c r="NV5" s="9" t="inlineStr">
        <is>
          <t>-</t>
        </is>
      </c>
      <c r="NW5" s="9" t="n">
        <v>0</v>
      </c>
      <c r="OA5" s="9" t="inlineStr">
        <is>
          <t>BALANCE</t>
        </is>
      </c>
      <c r="OB5" s="9" t="inlineStr">
        <is>
          <t>-</t>
        </is>
      </c>
      <c r="OC5" s="9" t="inlineStr">
        <is>
          <t>-</t>
        </is>
      </c>
      <c r="OD5" s="9" t="inlineStr">
        <is>
          <t>-</t>
        </is>
      </c>
      <c r="OE5" s="9" t="inlineStr">
        <is>
          <t>-</t>
        </is>
      </c>
      <c r="OF5" s="9" t="n">
        <v>35.19999999999999</v>
      </c>
      <c r="OJ5" s="9" t="inlineStr">
        <is>
          <t>BALANCE</t>
        </is>
      </c>
      <c r="OK5" s="9" t="inlineStr">
        <is>
          <t>-</t>
        </is>
      </c>
      <c r="OL5" s="9" t="inlineStr">
        <is>
          <t>-</t>
        </is>
      </c>
      <c r="OM5" s="9" t="inlineStr">
        <is>
          <t>-</t>
        </is>
      </c>
      <c r="ON5" s="9" t="inlineStr">
        <is>
          <t>-</t>
        </is>
      </c>
      <c r="OS5" s="9" t="inlineStr">
        <is>
          <t>BALANCE</t>
        </is>
      </c>
      <c r="OT5" s="9" t="inlineStr">
        <is>
          <t>-</t>
        </is>
      </c>
      <c r="OU5" s="9" t="inlineStr">
        <is>
          <t>-</t>
        </is>
      </c>
      <c r="OV5" s="9" t="inlineStr">
        <is>
          <t>-</t>
        </is>
      </c>
      <c r="OW5" s="9" t="inlineStr">
        <is>
          <t>-</t>
        </is>
      </c>
      <c r="OX5" s="9" t="n">
        <v>349</v>
      </c>
      <c r="PB5" s="9" t="inlineStr">
        <is>
          <t>BALANCE</t>
        </is>
      </c>
      <c r="PC5" s="9" t="inlineStr">
        <is>
          <t>-</t>
        </is>
      </c>
      <c r="PD5" s="9" t="inlineStr">
        <is>
          <t>-</t>
        </is>
      </c>
      <c r="PE5" s="9" t="inlineStr">
        <is>
          <t>-</t>
        </is>
      </c>
      <c r="PF5" s="9" t="inlineStr">
        <is>
          <t>-</t>
        </is>
      </c>
      <c r="PG5" s="9" t="n">
        <v>0</v>
      </c>
      <c r="PK5" s="9" t="inlineStr">
        <is>
          <t>BALANCE</t>
        </is>
      </c>
      <c r="PL5" s="9" t="inlineStr">
        <is>
          <t>-</t>
        </is>
      </c>
      <c r="PM5" s="9" t="inlineStr">
        <is>
          <t>-</t>
        </is>
      </c>
      <c r="PN5" s="9" t="inlineStr">
        <is>
          <t>-</t>
        </is>
      </c>
      <c r="PO5" s="9" t="inlineStr">
        <is>
          <t>-</t>
        </is>
      </c>
      <c r="PP5" s="9" t="n">
        <v>160</v>
      </c>
      <c r="PT5" s="9" t="inlineStr">
        <is>
          <t>BALANCE</t>
        </is>
      </c>
      <c r="PU5" s="9" t="inlineStr">
        <is>
          <t>-</t>
        </is>
      </c>
      <c r="PV5" s="9" t="inlineStr">
        <is>
          <t>-</t>
        </is>
      </c>
      <c r="PW5" s="9" t="inlineStr">
        <is>
          <t>-</t>
        </is>
      </c>
      <c r="PX5" s="9" t="inlineStr">
        <is>
          <t>-</t>
        </is>
      </c>
      <c r="PY5" s="9" t="n">
        <v>13.96000000000004</v>
      </c>
      <c r="QC5" s="9" t="inlineStr">
        <is>
          <t>BALANCE</t>
        </is>
      </c>
      <c r="QD5" s="9" t="inlineStr">
        <is>
          <t>-</t>
        </is>
      </c>
      <c r="QE5" s="9" t="inlineStr">
        <is>
          <t>-</t>
        </is>
      </c>
      <c r="QF5" s="9" t="inlineStr">
        <is>
          <t>-</t>
        </is>
      </c>
      <c r="QG5" s="9" t="inlineStr">
        <is>
          <t>-</t>
        </is>
      </c>
      <c r="QL5" s="9" t="inlineStr">
        <is>
          <t>BALANCE</t>
        </is>
      </c>
      <c r="QM5" s="9" t="inlineStr">
        <is>
          <t>-</t>
        </is>
      </c>
      <c r="QN5" s="9" t="inlineStr">
        <is>
          <t>-</t>
        </is>
      </c>
      <c r="QO5" s="9" t="inlineStr">
        <is>
          <t>-</t>
        </is>
      </c>
      <c r="QP5" s="9" t="inlineStr">
        <is>
          <t>-</t>
        </is>
      </c>
      <c r="QQ5" s="9" t="n">
        <v>0</v>
      </c>
      <c r="QU5" s="9" t="inlineStr">
        <is>
          <t>BALANCE</t>
        </is>
      </c>
      <c r="QV5" s="9" t="inlineStr">
        <is>
          <t>-</t>
        </is>
      </c>
      <c r="QW5" s="9" t="inlineStr">
        <is>
          <t>-</t>
        </is>
      </c>
      <c r="QX5" s="9" t="inlineStr">
        <is>
          <t>-</t>
        </is>
      </c>
      <c r="QY5" s="9" t="inlineStr">
        <is>
          <t>-</t>
        </is>
      </c>
      <c r="QZ5" s="9" t="n">
        <v>207.6</v>
      </c>
      <c r="RD5" s="9" t="inlineStr">
        <is>
          <t>BALANCE</t>
        </is>
      </c>
      <c r="RE5" s="9" t="inlineStr">
        <is>
          <t>-</t>
        </is>
      </c>
      <c r="RF5" s="9" t="inlineStr">
        <is>
          <t>-</t>
        </is>
      </c>
      <c r="RG5" s="9" t="inlineStr">
        <is>
          <t>-</t>
        </is>
      </c>
      <c r="RH5" s="9" t="inlineStr">
        <is>
          <t>-</t>
        </is>
      </c>
      <c r="RI5" s="9" t="n">
        <v>201.8</v>
      </c>
      <c r="RM5" s="9" t="inlineStr">
        <is>
          <t>BALANCE</t>
        </is>
      </c>
      <c r="RN5" s="9" t="inlineStr">
        <is>
          <t>-</t>
        </is>
      </c>
      <c r="RO5" s="9" t="inlineStr">
        <is>
          <t>-</t>
        </is>
      </c>
      <c r="RP5" s="9" t="inlineStr">
        <is>
          <t>-</t>
        </is>
      </c>
      <c r="RQ5" s="9" t="inlineStr">
        <is>
          <t>-</t>
        </is>
      </c>
      <c r="RR5" s="9" t="n">
        <v>22.72</v>
      </c>
      <c r="RV5" s="9" t="inlineStr">
        <is>
          <t>BALANCE</t>
        </is>
      </c>
      <c r="RW5" s="9" t="inlineStr">
        <is>
          <t>-</t>
        </is>
      </c>
      <c r="RX5" s="9" t="inlineStr">
        <is>
          <t>-</t>
        </is>
      </c>
      <c r="RY5" s="9" t="inlineStr">
        <is>
          <t>-</t>
        </is>
      </c>
      <c r="RZ5" s="9" t="inlineStr">
        <is>
          <t>-</t>
        </is>
      </c>
      <c r="SA5" s="9" t="n">
        <v>0</v>
      </c>
      <c r="SE5" s="9" t="inlineStr">
        <is>
          <t>BALANCE</t>
        </is>
      </c>
      <c r="SF5" s="9" t="inlineStr">
        <is>
          <t>-</t>
        </is>
      </c>
      <c r="SG5" s="9" t="inlineStr">
        <is>
          <t>-</t>
        </is>
      </c>
      <c r="SH5" s="9" t="inlineStr">
        <is>
          <t>-</t>
        </is>
      </c>
      <c r="SI5" s="9" t="inlineStr">
        <is>
          <t>-</t>
        </is>
      </c>
      <c r="SJ5" s="9" t="n">
        <v>0</v>
      </c>
      <c r="SN5" s="9" t="inlineStr">
        <is>
          <t>BALANCE</t>
        </is>
      </c>
      <c r="SO5" s="9" t="inlineStr">
        <is>
          <t>-</t>
        </is>
      </c>
      <c r="SP5" s="9" t="inlineStr">
        <is>
          <t>-</t>
        </is>
      </c>
      <c r="SQ5" s="9" t="inlineStr">
        <is>
          <t>-</t>
        </is>
      </c>
      <c r="SR5" s="9" t="inlineStr">
        <is>
          <t>-</t>
        </is>
      </c>
      <c r="SW5" s="9" t="inlineStr">
        <is>
          <t>BALANCE</t>
        </is>
      </c>
      <c r="SX5" s="9" t="inlineStr">
        <is>
          <t>-</t>
        </is>
      </c>
      <c r="SY5" s="9" t="inlineStr">
        <is>
          <t>-</t>
        </is>
      </c>
      <c r="SZ5" s="9" t="inlineStr">
        <is>
          <t>-</t>
        </is>
      </c>
      <c r="TA5" s="9" t="inlineStr">
        <is>
          <t>-</t>
        </is>
      </c>
      <c r="TF5" s="9" t="inlineStr">
        <is>
          <t>BALANCE</t>
        </is>
      </c>
      <c r="TG5" s="9" t="inlineStr">
        <is>
          <t>-</t>
        </is>
      </c>
      <c r="TH5" s="9" t="inlineStr">
        <is>
          <t>-</t>
        </is>
      </c>
      <c r="TI5" s="9" t="inlineStr">
        <is>
          <t>-</t>
        </is>
      </c>
      <c r="TJ5" s="9" t="inlineStr">
        <is>
          <t>-</t>
        </is>
      </c>
      <c r="TO5" s="9" t="inlineStr">
        <is>
          <t>BALANCE</t>
        </is>
      </c>
      <c r="TP5" s="9" t="inlineStr">
        <is>
          <t>-</t>
        </is>
      </c>
      <c r="TQ5" s="9" t="inlineStr">
        <is>
          <t>-</t>
        </is>
      </c>
      <c r="TR5" s="9" t="inlineStr">
        <is>
          <t>-</t>
        </is>
      </c>
      <c r="TS5" s="9" t="inlineStr">
        <is>
          <t>-</t>
        </is>
      </c>
      <c r="TX5" s="9" t="inlineStr">
        <is>
          <t>BALANCE</t>
        </is>
      </c>
      <c r="TY5" s="9" t="inlineStr">
        <is>
          <t>-</t>
        </is>
      </c>
      <c r="TZ5" s="9" t="inlineStr">
        <is>
          <t>-</t>
        </is>
      </c>
      <c r="UA5" s="9" t="inlineStr">
        <is>
          <t>-</t>
        </is>
      </c>
      <c r="UB5" s="9" t="inlineStr">
        <is>
          <t>-</t>
        </is>
      </c>
      <c r="UG5" s="9" t="inlineStr">
        <is>
          <t>BALANCE</t>
        </is>
      </c>
      <c r="UH5" s="9" t="inlineStr">
        <is>
          <t>-</t>
        </is>
      </c>
      <c r="UI5" s="9" t="inlineStr">
        <is>
          <t>-</t>
        </is>
      </c>
      <c r="UJ5" s="9" t="inlineStr">
        <is>
          <t>-</t>
        </is>
      </c>
      <c r="UK5" s="9" t="inlineStr">
        <is>
          <t>-</t>
        </is>
      </c>
      <c r="UP5" s="9" t="inlineStr">
        <is>
          <t>BALANCE</t>
        </is>
      </c>
      <c r="UQ5" s="9" t="inlineStr">
        <is>
          <t>-</t>
        </is>
      </c>
      <c r="UR5" s="9" t="inlineStr">
        <is>
          <t>-</t>
        </is>
      </c>
      <c r="US5" s="9" t="inlineStr">
        <is>
          <t>-</t>
        </is>
      </c>
      <c r="UT5" s="9" t="inlineStr">
        <is>
          <t>-</t>
        </is>
      </c>
      <c r="UY5" s="9" t="inlineStr">
        <is>
          <t>BALANCE</t>
        </is>
      </c>
      <c r="UZ5" s="9" t="inlineStr">
        <is>
          <t>-</t>
        </is>
      </c>
      <c r="VA5" s="9" t="inlineStr">
        <is>
          <t>-</t>
        </is>
      </c>
      <c r="VB5" s="9" t="inlineStr">
        <is>
          <t>-</t>
        </is>
      </c>
      <c r="VC5" s="9" t="inlineStr">
        <is>
          <t>-</t>
        </is>
      </c>
      <c r="VD5" s="9" t="n">
        <v>-319.6</v>
      </c>
      <c r="VH5" s="9" t="inlineStr">
        <is>
          <t>BALANCE</t>
        </is>
      </c>
      <c r="VI5" s="9" t="inlineStr">
        <is>
          <t>-</t>
        </is>
      </c>
      <c r="VJ5" s="9" t="inlineStr">
        <is>
          <t>-</t>
        </is>
      </c>
      <c r="VK5" s="9" t="inlineStr">
        <is>
          <t>-</t>
        </is>
      </c>
      <c r="VL5" s="9" t="inlineStr">
        <is>
          <t>-</t>
        </is>
      </c>
      <c r="VQ5" s="9" t="inlineStr">
        <is>
          <t>BALANCE</t>
        </is>
      </c>
      <c r="VR5" s="9" t="inlineStr">
        <is>
          <t>-</t>
        </is>
      </c>
      <c r="VS5" s="9" t="inlineStr">
        <is>
          <t>-</t>
        </is>
      </c>
      <c r="VT5" s="9" t="inlineStr">
        <is>
          <t>-</t>
        </is>
      </c>
      <c r="VU5" s="9" t="inlineStr">
        <is>
          <t>-</t>
        </is>
      </c>
      <c r="VZ5" s="9" t="inlineStr">
        <is>
          <t>BALANCE</t>
        </is>
      </c>
      <c r="WA5" s="9" t="inlineStr">
        <is>
          <t>-</t>
        </is>
      </c>
      <c r="WB5" s="9" t="inlineStr">
        <is>
          <t>-</t>
        </is>
      </c>
      <c r="WC5" s="9" t="inlineStr">
        <is>
          <t>-</t>
        </is>
      </c>
      <c r="WD5" s="9" t="inlineStr">
        <is>
          <t>-</t>
        </is>
      </c>
      <c r="WI5" s="9" t="inlineStr">
        <is>
          <t>BALANCE</t>
        </is>
      </c>
      <c r="WJ5" s="9" t="inlineStr">
        <is>
          <t>-</t>
        </is>
      </c>
      <c r="WK5" s="9" t="inlineStr">
        <is>
          <t>-</t>
        </is>
      </c>
      <c r="WL5" s="9" t="inlineStr">
        <is>
          <t>-</t>
        </is>
      </c>
      <c r="WM5" s="9" t="inlineStr">
        <is>
          <t>-</t>
        </is>
      </c>
      <c r="WN5" s="9" t="n">
        <v>5877</v>
      </c>
      <c r="WR5" s="9" t="inlineStr">
        <is>
          <t>BALANCE</t>
        </is>
      </c>
      <c r="WS5" s="9" t="inlineStr">
        <is>
          <t>-</t>
        </is>
      </c>
      <c r="WT5" s="9" t="inlineStr">
        <is>
          <t>-</t>
        </is>
      </c>
      <c r="WU5" s="9" t="inlineStr">
        <is>
          <t>-</t>
        </is>
      </c>
      <c r="WV5" s="9" t="inlineStr">
        <is>
          <t>-</t>
        </is>
      </c>
      <c r="WW5" s="9" t="n">
        <v>5267</v>
      </c>
      <c r="XA5" s="9" t="inlineStr">
        <is>
          <t>BALANCE</t>
        </is>
      </c>
      <c r="XB5" s="9" t="inlineStr">
        <is>
          <t>-</t>
        </is>
      </c>
      <c r="XC5" s="9" t="inlineStr">
        <is>
          <t>-</t>
        </is>
      </c>
      <c r="XD5" s="9" t="inlineStr">
        <is>
          <t>-</t>
        </is>
      </c>
      <c r="XE5" s="9" t="inlineStr">
        <is>
          <t>-</t>
        </is>
      </c>
      <c r="XF5" s="9" t="n">
        <v>4457</v>
      </c>
      <c r="XJ5" s="9" t="inlineStr">
        <is>
          <t>BALANCE</t>
        </is>
      </c>
      <c r="XK5" s="9" t="inlineStr">
        <is>
          <t>-</t>
        </is>
      </c>
      <c r="XL5" s="9" t="inlineStr">
        <is>
          <t>-</t>
        </is>
      </c>
      <c r="XM5" s="9" t="inlineStr">
        <is>
          <t>-</t>
        </is>
      </c>
      <c r="XN5" s="9" t="inlineStr">
        <is>
          <t>-</t>
        </is>
      </c>
      <c r="XO5" s="9" t="n">
        <v>6772</v>
      </c>
      <c r="XS5" s="9" t="inlineStr">
        <is>
          <t>BALANCE</t>
        </is>
      </c>
      <c r="XT5" s="9" t="inlineStr">
        <is>
          <t>-</t>
        </is>
      </c>
      <c r="XU5" s="9" t="inlineStr">
        <is>
          <t>-</t>
        </is>
      </c>
      <c r="XV5" s="9" t="inlineStr">
        <is>
          <t>-</t>
        </is>
      </c>
      <c r="XW5" s="9" t="inlineStr">
        <is>
          <t>-</t>
        </is>
      </c>
      <c r="XX5" s="9" t="n">
        <v>1901</v>
      </c>
      <c r="YB5" s="9" t="inlineStr">
        <is>
          <t>BALANCE</t>
        </is>
      </c>
      <c r="YC5" s="9" t="inlineStr">
        <is>
          <t>-</t>
        </is>
      </c>
      <c r="YD5" s="9" t="inlineStr">
        <is>
          <t>-</t>
        </is>
      </c>
      <c r="YE5" s="9" t="inlineStr">
        <is>
          <t>-</t>
        </is>
      </c>
      <c r="YF5" s="9" t="inlineStr">
        <is>
          <t>-</t>
        </is>
      </c>
      <c r="YG5" s="9" t="n">
        <v>4175</v>
      </c>
      <c r="YK5" s="9" t="inlineStr">
        <is>
          <t>BALANCE</t>
        </is>
      </c>
      <c r="YL5" s="9" t="inlineStr">
        <is>
          <t>-</t>
        </is>
      </c>
      <c r="YM5" s="9" t="inlineStr">
        <is>
          <t>-</t>
        </is>
      </c>
      <c r="YN5" s="9" t="inlineStr">
        <is>
          <t>-</t>
        </is>
      </c>
      <c r="YO5" s="9" t="inlineStr">
        <is>
          <t>-</t>
        </is>
      </c>
      <c r="YP5" s="9" t="n">
        <v>0</v>
      </c>
      <c r="YT5" s="9" t="inlineStr">
        <is>
          <t>BALANCE</t>
        </is>
      </c>
      <c r="YU5" s="9" t="inlineStr">
        <is>
          <t>-</t>
        </is>
      </c>
      <c r="YV5" s="9" t="inlineStr">
        <is>
          <t>-</t>
        </is>
      </c>
      <c r="YW5" s="9" t="inlineStr">
        <is>
          <t>-</t>
        </is>
      </c>
      <c r="YX5" s="9" t="inlineStr">
        <is>
          <t>-</t>
        </is>
      </c>
      <c r="ZC5" s="9" t="inlineStr">
        <is>
          <t>BALANCE</t>
        </is>
      </c>
      <c r="ZD5" s="9" t="inlineStr">
        <is>
          <t>-</t>
        </is>
      </c>
      <c r="ZE5" s="9" t="inlineStr">
        <is>
          <t>-</t>
        </is>
      </c>
      <c r="ZF5" s="9" t="inlineStr">
        <is>
          <t>-</t>
        </is>
      </c>
      <c r="ZG5" s="9" t="inlineStr">
        <is>
          <t>-</t>
        </is>
      </c>
      <c r="ZL5" s="9" t="inlineStr">
        <is>
          <t>BALANCE</t>
        </is>
      </c>
      <c r="ZM5" s="9" t="inlineStr">
        <is>
          <t>-</t>
        </is>
      </c>
      <c r="ZN5" s="9" t="inlineStr">
        <is>
          <t>-</t>
        </is>
      </c>
      <c r="ZO5" s="9" t="inlineStr">
        <is>
          <t>-</t>
        </is>
      </c>
      <c r="ZP5" s="9" t="inlineStr">
        <is>
          <t>-</t>
        </is>
      </c>
      <c r="ZU5" s="9" t="inlineStr">
        <is>
          <t>BALANCE</t>
        </is>
      </c>
      <c r="ZV5" s="9" t="inlineStr">
        <is>
          <t>-</t>
        </is>
      </c>
      <c r="ZW5" s="9" t="inlineStr">
        <is>
          <t>-</t>
        </is>
      </c>
      <c r="ZX5" s="9" t="inlineStr">
        <is>
          <t>-</t>
        </is>
      </c>
      <c r="ZY5" s="9" t="inlineStr">
        <is>
          <t>-</t>
        </is>
      </c>
      <c r="AAD5" s="9" t="inlineStr">
        <is>
          <t>BALANCE</t>
        </is>
      </c>
      <c r="AAE5" s="9" t="inlineStr">
        <is>
          <t>-</t>
        </is>
      </c>
      <c r="AAF5" s="9" t="inlineStr">
        <is>
          <t>-</t>
        </is>
      </c>
      <c r="AAG5" s="9" t="inlineStr">
        <is>
          <t>-</t>
        </is>
      </c>
      <c r="AAH5" s="9" t="inlineStr">
        <is>
          <t>-</t>
        </is>
      </c>
      <c r="AAM5" s="9" t="inlineStr">
        <is>
          <t>BALANCE</t>
        </is>
      </c>
      <c r="AAN5" s="9" t="inlineStr">
        <is>
          <t>-</t>
        </is>
      </c>
      <c r="AAO5" s="9" t="inlineStr">
        <is>
          <t>-</t>
        </is>
      </c>
      <c r="AAP5" s="9" t="inlineStr">
        <is>
          <t>-</t>
        </is>
      </c>
      <c r="AAQ5" s="9" t="inlineStr">
        <is>
          <t>-</t>
        </is>
      </c>
      <c r="AAV5" s="9" t="inlineStr">
        <is>
          <t>BALANCE</t>
        </is>
      </c>
      <c r="AAW5" s="9" t="inlineStr">
        <is>
          <t>-</t>
        </is>
      </c>
      <c r="AAX5" s="9" t="inlineStr">
        <is>
          <t>-</t>
        </is>
      </c>
      <c r="AAY5" s="9" t="inlineStr">
        <is>
          <t>-</t>
        </is>
      </c>
      <c r="AAZ5" s="9" t="inlineStr">
        <is>
          <t>-</t>
        </is>
      </c>
      <c r="ABE5" s="9" t="inlineStr">
        <is>
          <t>BALANCE</t>
        </is>
      </c>
      <c r="ABF5" s="9" t="inlineStr">
        <is>
          <t>-</t>
        </is>
      </c>
      <c r="ABG5" s="9" t="inlineStr">
        <is>
          <t>-</t>
        </is>
      </c>
      <c r="ABH5" s="9" t="inlineStr">
        <is>
          <t>-</t>
        </is>
      </c>
      <c r="ABI5" s="9" t="inlineStr">
        <is>
          <t>-</t>
        </is>
      </c>
    </row>
    <row r="6">
      <c r="C6" s="10" t="n">
        <v>46023</v>
      </c>
      <c r="E6" s="9" t="n">
        <v>0</v>
      </c>
      <c r="G6" s="9" t="n">
        <v>0</v>
      </c>
      <c r="H6" s="9" t="n">
        <v>47850.2</v>
      </c>
      <c r="L6" s="10" t="n">
        <v>46023</v>
      </c>
      <c r="N6" s="9" t="n">
        <v>0</v>
      </c>
      <c r="P6" s="9" t="n">
        <v>0</v>
      </c>
      <c r="Q6" s="9" t="n">
        <v>8696.200000000001</v>
      </c>
      <c r="U6" s="10" t="n">
        <v>46023</v>
      </c>
      <c r="W6" s="9" t="n">
        <v>0</v>
      </c>
      <c r="Y6" s="9" t="n">
        <v>0</v>
      </c>
      <c r="Z6" s="9" t="n">
        <v>40371.3</v>
      </c>
      <c r="AD6" s="10" t="n">
        <v>46023</v>
      </c>
      <c r="AF6" s="9" t="n">
        <v>0</v>
      </c>
      <c r="AH6" s="9" t="n">
        <v>0</v>
      </c>
      <c r="AI6" s="9" t="n">
        <v>33793.70000000001</v>
      </c>
      <c r="AM6" s="10" t="n">
        <v>46023</v>
      </c>
      <c r="AO6" s="9" t="n">
        <v>0</v>
      </c>
      <c r="AQ6" s="9" t="n">
        <v>0</v>
      </c>
      <c r="AR6" s="9" t="n">
        <v>0</v>
      </c>
      <c r="AV6" s="10" t="n">
        <v>46023</v>
      </c>
      <c r="AX6" s="9" t="n">
        <v>0</v>
      </c>
      <c r="AZ6" s="9" t="n">
        <v>0</v>
      </c>
      <c r="BA6" s="9" t="n">
        <v>29510.09999999999</v>
      </c>
      <c r="BE6" s="10" t="n">
        <v>46023</v>
      </c>
      <c r="BG6" s="9" t="n">
        <v>0</v>
      </c>
      <c r="BI6" s="9" t="n">
        <v>0</v>
      </c>
      <c r="BJ6" s="9" t="n">
        <v>6360.000000000007</v>
      </c>
      <c r="BN6" s="10" t="n">
        <v>46023</v>
      </c>
      <c r="BP6" s="9" t="n">
        <v>0</v>
      </c>
      <c r="BR6" s="9" t="n">
        <v>0</v>
      </c>
      <c r="BS6" s="9" t="n">
        <v>0</v>
      </c>
      <c r="BW6" s="10" t="n">
        <v>46023</v>
      </c>
      <c r="BY6" s="9" t="n">
        <v>0</v>
      </c>
      <c r="CA6" s="9" t="n">
        <v>0</v>
      </c>
      <c r="CB6" s="9" t="n">
        <v>512.5</v>
      </c>
      <c r="CF6" s="10" t="n">
        <v>46023</v>
      </c>
      <c r="CH6" s="9" t="n">
        <v>0</v>
      </c>
      <c r="CJ6" s="9" t="n">
        <v>0</v>
      </c>
      <c r="CK6" s="9" t="n">
        <v>0</v>
      </c>
      <c r="CO6" s="10" t="n">
        <v>46023</v>
      </c>
      <c r="CQ6" s="9" t="n">
        <v>0</v>
      </c>
      <c r="CS6" s="9" t="n">
        <v>0</v>
      </c>
      <c r="CT6" s="9" t="n">
        <v>0</v>
      </c>
      <c r="CX6" s="10" t="n">
        <v>46023</v>
      </c>
      <c r="CZ6" s="9" t="n">
        <v>0</v>
      </c>
      <c r="DB6" s="9" t="n">
        <v>0</v>
      </c>
      <c r="DC6" s="9" t="n">
        <v>0</v>
      </c>
      <c r="DG6" s="10" t="n">
        <v>46023</v>
      </c>
      <c r="DI6" s="9" t="n">
        <v>0</v>
      </c>
      <c r="DK6" s="9" t="n">
        <v>0</v>
      </c>
      <c r="DL6" s="9" t="n">
        <v>31341.2</v>
      </c>
      <c r="DP6" s="10" t="n">
        <v>46023</v>
      </c>
      <c r="DR6" s="9" t="n">
        <v>0</v>
      </c>
      <c r="DT6" s="9" t="n">
        <v>0</v>
      </c>
      <c r="DU6" s="9" t="n">
        <v>0</v>
      </c>
      <c r="DY6" s="10" t="n">
        <v>46023</v>
      </c>
      <c r="EA6" s="9" t="n">
        <v>0</v>
      </c>
      <c r="EC6" s="9" t="n">
        <v>0</v>
      </c>
      <c r="ED6" s="9" t="n">
        <v>0</v>
      </c>
      <c r="EH6" s="10" t="n">
        <v>46023</v>
      </c>
      <c r="EJ6" s="9" t="n">
        <v>0</v>
      </c>
      <c r="EL6" s="9" t="n">
        <v>0</v>
      </c>
      <c r="EM6" s="9" t="n">
        <v>0</v>
      </c>
      <c r="EQ6" s="10" t="n">
        <v>46023</v>
      </c>
      <c r="ES6" s="9" t="n">
        <v>0</v>
      </c>
      <c r="EU6" s="9" t="n">
        <v>0</v>
      </c>
      <c r="EV6" s="9" t="n">
        <v>0</v>
      </c>
      <c r="EZ6" s="10" t="n">
        <v>46023</v>
      </c>
      <c r="FB6" s="9" t="n">
        <v>0</v>
      </c>
      <c r="FD6" s="9" t="n">
        <v>0</v>
      </c>
      <c r="FE6" s="9" t="n">
        <v>0</v>
      </c>
      <c r="FI6" s="10" t="n">
        <v>46023</v>
      </c>
      <c r="FK6" s="9" t="n">
        <v>0</v>
      </c>
      <c r="FM6" s="9" t="n">
        <v>0</v>
      </c>
      <c r="FN6" s="9" t="n">
        <v>0</v>
      </c>
      <c r="FR6" s="10" t="n">
        <v>46023</v>
      </c>
      <c r="FT6" s="9" t="n">
        <v>0</v>
      </c>
      <c r="FV6" s="9" t="n">
        <v>0</v>
      </c>
      <c r="FW6" s="9" t="n">
        <v>3540</v>
      </c>
      <c r="GA6" s="10" t="n">
        <v>46023</v>
      </c>
      <c r="GC6" s="9" t="n">
        <v>0</v>
      </c>
      <c r="GE6" s="9" t="n">
        <v>0</v>
      </c>
      <c r="GF6" s="9" t="n">
        <v>1960</v>
      </c>
      <c r="GJ6" s="10" t="n">
        <v>46023</v>
      </c>
      <c r="GL6" s="9" t="n">
        <v>0</v>
      </c>
      <c r="GN6" s="9" t="n">
        <v>0</v>
      </c>
      <c r="GO6" s="9" t="n">
        <v>2960</v>
      </c>
      <c r="GS6" s="10" t="n">
        <v>46023</v>
      </c>
      <c r="GU6" s="9" t="n">
        <v>0</v>
      </c>
      <c r="GW6" s="9" t="n">
        <v>0</v>
      </c>
      <c r="GX6" s="9" t="n">
        <v>0</v>
      </c>
      <c r="HB6" s="10" t="n">
        <v>46023</v>
      </c>
      <c r="HD6" s="9" t="n">
        <v>0</v>
      </c>
      <c r="HF6" s="9" t="n">
        <v>0</v>
      </c>
      <c r="HG6" s="9" t="n">
        <v>0</v>
      </c>
      <c r="HK6" s="10" t="n">
        <v>46023</v>
      </c>
      <c r="HM6" s="9" t="n">
        <v>0</v>
      </c>
      <c r="HO6" s="9" t="n">
        <v>0</v>
      </c>
      <c r="HP6" s="9" t="n">
        <v>0</v>
      </c>
      <c r="HU6" s="10" t="n">
        <v>46023</v>
      </c>
      <c r="HW6" s="9" t="n">
        <v>0</v>
      </c>
      <c r="HY6" s="9" t="n">
        <v>0</v>
      </c>
      <c r="HZ6" s="9" t="n">
        <v>3980</v>
      </c>
      <c r="ID6" s="10" t="n">
        <v>46023</v>
      </c>
      <c r="IF6" s="9" t="n">
        <v>0</v>
      </c>
      <c r="IH6" s="9" t="n">
        <v>0</v>
      </c>
      <c r="II6" s="9" t="n">
        <v>2960</v>
      </c>
      <c r="IM6" s="10" t="n">
        <v>46023</v>
      </c>
      <c r="IO6" s="9" t="n">
        <v>0</v>
      </c>
      <c r="IQ6" s="9" t="n">
        <v>0</v>
      </c>
      <c r="IR6" s="9" t="n">
        <v>2040</v>
      </c>
      <c r="IV6" s="10" t="n">
        <v>46023</v>
      </c>
      <c r="IX6" s="9" t="n">
        <v>0</v>
      </c>
      <c r="IZ6" s="9" t="n">
        <v>0</v>
      </c>
      <c r="JA6" s="9" t="n">
        <v>7520</v>
      </c>
      <c r="JE6" s="10" t="n">
        <v>46023</v>
      </c>
      <c r="JG6" s="9" t="n">
        <v>0</v>
      </c>
      <c r="JI6" s="9" t="n">
        <v>0</v>
      </c>
      <c r="JJ6" s="9" t="n">
        <v>6800</v>
      </c>
      <c r="JN6" s="10" t="n">
        <v>46023</v>
      </c>
      <c r="JP6" s="9" t="n">
        <v>0</v>
      </c>
      <c r="JR6" s="9" t="n">
        <v>0</v>
      </c>
      <c r="JS6" s="9" t="n">
        <v>4400</v>
      </c>
      <c r="JW6" s="10" t="n">
        <v>46023</v>
      </c>
      <c r="JY6" s="9" t="n">
        <v>0</v>
      </c>
      <c r="KA6" s="9" t="n">
        <v>0</v>
      </c>
      <c r="KB6" s="9" t="n">
        <v>0</v>
      </c>
      <c r="KF6" s="10" t="n">
        <v>46023</v>
      </c>
      <c r="KH6" s="9" t="n">
        <v>0</v>
      </c>
      <c r="KJ6" s="9" t="n">
        <v>0</v>
      </c>
      <c r="KK6" s="9" t="n">
        <v>0</v>
      </c>
      <c r="KO6" s="10" t="n">
        <v>46023</v>
      </c>
      <c r="KQ6" s="9" t="n">
        <v>0</v>
      </c>
      <c r="KS6" s="9" t="n">
        <v>0</v>
      </c>
      <c r="KT6" s="9" t="n">
        <v>0</v>
      </c>
      <c r="KX6" s="10" t="n">
        <v>46023</v>
      </c>
      <c r="KZ6" s="9" t="n">
        <v>0</v>
      </c>
      <c r="LB6" s="9" t="n">
        <v>0</v>
      </c>
      <c r="LC6" s="9" t="n">
        <v>0</v>
      </c>
      <c r="LG6" s="10" t="n">
        <v>46023</v>
      </c>
      <c r="LI6" s="9" t="n">
        <v>0</v>
      </c>
      <c r="LK6" s="9" t="n">
        <v>0</v>
      </c>
      <c r="LL6" s="9" t="n">
        <v>0</v>
      </c>
      <c r="LP6" s="10" t="n">
        <v>46023</v>
      </c>
      <c r="LR6" s="9" t="n">
        <v>0</v>
      </c>
      <c r="LT6" s="9" t="n">
        <v>0</v>
      </c>
      <c r="LU6" s="9" t="n">
        <v>0</v>
      </c>
      <c r="LY6" s="10" t="n">
        <v>46023</v>
      </c>
      <c r="MA6" s="9" t="n">
        <v>0</v>
      </c>
      <c r="MC6" s="9" t="n">
        <v>0</v>
      </c>
      <c r="MD6" s="9" t="n">
        <v>0</v>
      </c>
      <c r="MH6" s="10" t="n">
        <v>46023</v>
      </c>
      <c r="MJ6" s="9" t="n">
        <v>0</v>
      </c>
      <c r="ML6" s="9" t="n">
        <v>0</v>
      </c>
      <c r="MM6" s="9" t="n">
        <v>0</v>
      </c>
      <c r="MQ6" s="10" t="n">
        <v>46023</v>
      </c>
      <c r="MS6" s="9" t="n">
        <v>0</v>
      </c>
      <c r="MU6" s="9" t="n">
        <v>0</v>
      </c>
      <c r="MV6" s="9" t="n">
        <v>1531</v>
      </c>
      <c r="MZ6" s="10" t="n">
        <v>46023</v>
      </c>
      <c r="NB6" s="9" t="n">
        <v>0</v>
      </c>
      <c r="ND6" s="9" t="n">
        <v>0</v>
      </c>
      <c r="NE6" s="9" t="n">
        <v>0</v>
      </c>
      <c r="NI6" s="10" t="n">
        <v>46023</v>
      </c>
      <c r="NK6" s="9" t="n">
        <v>0</v>
      </c>
      <c r="NM6" s="9" t="n">
        <v>0</v>
      </c>
      <c r="NN6" s="9" t="n">
        <v>0</v>
      </c>
      <c r="NR6" s="10" t="n">
        <v>46023</v>
      </c>
      <c r="NT6" s="9" t="n">
        <v>0</v>
      </c>
      <c r="NV6" s="9" t="n">
        <v>0</v>
      </c>
      <c r="NW6" s="9" t="n">
        <v>0</v>
      </c>
      <c r="OA6" s="10" t="n">
        <v>46023</v>
      </c>
      <c r="OC6" s="9" t="n">
        <v>0</v>
      </c>
      <c r="OE6" s="9" t="n">
        <v>0</v>
      </c>
      <c r="OF6" s="9" t="n">
        <v>35.19999999999999</v>
      </c>
      <c r="OJ6" s="10" t="n">
        <v>46023</v>
      </c>
      <c r="OL6" s="9" t="n">
        <v>0</v>
      </c>
      <c r="ON6" s="9" t="n">
        <v>0</v>
      </c>
      <c r="OO6" s="9" t="n">
        <v>0</v>
      </c>
      <c r="OS6" s="10" t="n">
        <v>46023</v>
      </c>
      <c r="OU6" s="9" t="n">
        <v>0</v>
      </c>
      <c r="OW6" s="9" t="n">
        <v>0</v>
      </c>
      <c r="OX6" s="9" t="n">
        <v>349</v>
      </c>
      <c r="PB6" s="10" t="n">
        <v>46023</v>
      </c>
      <c r="PD6" s="9" t="n">
        <v>0</v>
      </c>
      <c r="PF6" s="9" t="n">
        <v>0</v>
      </c>
      <c r="PG6" s="9" t="n">
        <v>0</v>
      </c>
      <c r="PK6" s="10" t="n">
        <v>46023</v>
      </c>
      <c r="PM6" s="9" t="n">
        <v>0</v>
      </c>
      <c r="PO6" s="9" t="n">
        <v>0</v>
      </c>
      <c r="PP6" s="9" t="n">
        <v>160</v>
      </c>
      <c r="PT6" s="10" t="n">
        <v>46023</v>
      </c>
      <c r="PV6" s="9" t="n">
        <v>0</v>
      </c>
      <c r="PX6" s="9" t="n">
        <v>0</v>
      </c>
      <c r="PY6" s="9" t="n">
        <v>13.96000000000004</v>
      </c>
      <c r="QC6" s="10" t="n">
        <v>46023</v>
      </c>
      <c r="QE6" s="9" t="n">
        <v>0</v>
      </c>
      <c r="QG6" s="9" t="n">
        <v>0</v>
      </c>
      <c r="QH6" s="9" t="n">
        <v>0</v>
      </c>
      <c r="QL6" s="10" t="n">
        <v>46023</v>
      </c>
      <c r="QN6" s="9" t="n">
        <v>0</v>
      </c>
      <c r="QP6" s="9" t="n">
        <v>0</v>
      </c>
      <c r="QQ6" s="9" t="n">
        <v>0</v>
      </c>
      <c r="QU6" s="10" t="n">
        <v>46023</v>
      </c>
      <c r="QW6" s="9" t="n">
        <v>0</v>
      </c>
      <c r="QY6" s="9" t="n">
        <v>0</v>
      </c>
      <c r="QZ6" s="9" t="n">
        <v>207.6</v>
      </c>
      <c r="RD6" s="10" t="n">
        <v>46023</v>
      </c>
      <c r="RF6" s="9" t="n">
        <v>0</v>
      </c>
      <c r="RH6" s="9" t="n">
        <v>0</v>
      </c>
      <c r="RI6" s="9" t="n">
        <v>201.8</v>
      </c>
      <c r="RM6" s="10" t="n">
        <v>46023</v>
      </c>
      <c r="RO6" s="9" t="n">
        <v>0</v>
      </c>
      <c r="RQ6" s="9" t="n">
        <v>0</v>
      </c>
      <c r="RR6" s="9" t="n">
        <v>22.72</v>
      </c>
      <c r="RV6" s="10" t="n">
        <v>46023</v>
      </c>
      <c r="RX6" s="9" t="n">
        <v>0</v>
      </c>
      <c r="RZ6" s="9" t="n">
        <v>0</v>
      </c>
      <c r="SA6" s="9" t="n">
        <v>0</v>
      </c>
      <c r="SE6" s="10" t="n">
        <v>46023</v>
      </c>
      <c r="SG6" s="9" t="n">
        <v>0</v>
      </c>
      <c r="SI6" s="9" t="n">
        <v>0</v>
      </c>
      <c r="SJ6" s="9" t="n">
        <v>0</v>
      </c>
      <c r="SN6" s="10" t="n">
        <v>46023</v>
      </c>
      <c r="SP6" s="9" t="n">
        <v>0</v>
      </c>
      <c r="SR6" s="9" t="n">
        <v>0</v>
      </c>
      <c r="SS6" s="9" t="n">
        <v>0</v>
      </c>
      <c r="SW6" s="10" t="n">
        <v>46023</v>
      </c>
      <c r="SY6" s="9" t="n">
        <v>0</v>
      </c>
      <c r="TA6" s="9" t="n">
        <v>0</v>
      </c>
      <c r="TB6" s="9" t="n">
        <v>0</v>
      </c>
      <c r="TF6" s="10" t="n">
        <v>46023</v>
      </c>
      <c r="TH6" s="9" t="n">
        <v>0</v>
      </c>
      <c r="TJ6" s="9" t="n">
        <v>0</v>
      </c>
      <c r="TK6" s="9" t="n">
        <v>0</v>
      </c>
      <c r="TO6" s="10" t="n">
        <v>46023</v>
      </c>
      <c r="TQ6" s="9" t="n">
        <v>0</v>
      </c>
      <c r="TS6" s="9" t="n">
        <v>0</v>
      </c>
      <c r="TT6" s="9" t="n">
        <v>0</v>
      </c>
      <c r="TX6" s="10" t="n">
        <v>46023</v>
      </c>
      <c r="TZ6" s="9" t="n">
        <v>0</v>
      </c>
      <c r="UB6" s="9" t="n">
        <v>0</v>
      </c>
      <c r="UC6" s="9" t="n">
        <v>0</v>
      </c>
      <c r="UG6" s="10" t="n">
        <v>46023</v>
      </c>
      <c r="UI6" s="9" t="n">
        <v>0</v>
      </c>
      <c r="UK6" s="9" t="n">
        <v>0</v>
      </c>
      <c r="UL6" s="9" t="n">
        <v>0</v>
      </c>
      <c r="UP6" s="10" t="n">
        <v>46023</v>
      </c>
      <c r="UR6" s="9" t="n">
        <v>0</v>
      </c>
      <c r="UT6" s="9" t="n">
        <v>0</v>
      </c>
      <c r="UU6" s="9" t="n">
        <v>0</v>
      </c>
      <c r="UY6" s="10" t="n">
        <v>46023</v>
      </c>
      <c r="VA6" s="9" t="n">
        <v>0</v>
      </c>
      <c r="VC6" s="9" t="n">
        <v>0</v>
      </c>
      <c r="VD6" s="9" t="n">
        <v>-319.6</v>
      </c>
      <c r="VH6" s="10" t="n">
        <v>46023</v>
      </c>
      <c r="VJ6" s="9" t="n">
        <v>0</v>
      </c>
      <c r="VL6" s="9" t="n">
        <v>0</v>
      </c>
      <c r="VM6" s="9" t="n">
        <v>0</v>
      </c>
      <c r="VQ6" s="10" t="n">
        <v>46023</v>
      </c>
      <c r="VS6" s="9" t="n">
        <v>0</v>
      </c>
      <c r="VU6" s="9" t="n">
        <v>0</v>
      </c>
      <c r="VV6" s="9" t="n">
        <v>0</v>
      </c>
      <c r="VZ6" s="10" t="n">
        <v>46023</v>
      </c>
      <c r="WB6" s="9" t="n">
        <v>0</v>
      </c>
      <c r="WD6" s="9" t="n">
        <v>0</v>
      </c>
      <c r="WE6" s="9" t="n">
        <v>0</v>
      </c>
      <c r="WI6" s="10" t="n">
        <v>46023</v>
      </c>
      <c r="WK6" s="9" t="n">
        <v>0</v>
      </c>
      <c r="WM6" s="9" t="n">
        <v>0</v>
      </c>
      <c r="WN6" s="9" t="n">
        <v>5877</v>
      </c>
      <c r="WR6" s="10" t="n">
        <v>46023</v>
      </c>
      <c r="WT6" s="9" t="n">
        <v>0</v>
      </c>
      <c r="WV6" s="9" t="n">
        <v>0</v>
      </c>
      <c r="WW6" s="9" t="n">
        <v>5267</v>
      </c>
      <c r="XA6" s="10" t="n">
        <v>46023</v>
      </c>
      <c r="XC6" s="9" t="n">
        <v>0</v>
      </c>
      <c r="XE6" s="9" t="n">
        <v>0</v>
      </c>
      <c r="XF6" s="9" t="n">
        <v>4457</v>
      </c>
      <c r="XJ6" s="10" t="n">
        <v>46023</v>
      </c>
      <c r="XL6" s="9" t="n">
        <v>0</v>
      </c>
      <c r="XN6" s="9" t="n">
        <v>0</v>
      </c>
      <c r="XO6" s="9" t="n">
        <v>6772</v>
      </c>
      <c r="XS6" s="10" t="n">
        <v>46023</v>
      </c>
      <c r="XU6" s="9" t="n">
        <v>0</v>
      </c>
      <c r="XW6" s="9" t="n">
        <v>0</v>
      </c>
      <c r="XX6" s="9" t="n">
        <v>1901</v>
      </c>
      <c r="YB6" s="10" t="n">
        <v>46023</v>
      </c>
      <c r="YD6" s="9" t="n">
        <v>0</v>
      </c>
      <c r="YF6" s="9" t="n">
        <v>0</v>
      </c>
      <c r="YG6" s="9" t="n">
        <v>4175</v>
      </c>
      <c r="YK6" s="10" t="n">
        <v>46023</v>
      </c>
      <c r="YM6" s="9" t="n">
        <v>0</v>
      </c>
      <c r="YO6" s="9" t="n">
        <v>0</v>
      </c>
      <c r="YP6" s="9" t="n">
        <v>0</v>
      </c>
      <c r="YT6" s="10" t="n">
        <v>46023</v>
      </c>
      <c r="YV6" s="9" t="n">
        <v>0</v>
      </c>
      <c r="YX6" s="9" t="n">
        <v>0</v>
      </c>
      <c r="YY6" s="9" t="n">
        <v>0</v>
      </c>
      <c r="ZC6" s="10" t="n">
        <v>46023</v>
      </c>
      <c r="ZE6" s="9" t="n">
        <v>0</v>
      </c>
      <c r="ZG6" s="9" t="n">
        <v>0</v>
      </c>
      <c r="ZH6" s="9" t="n">
        <v>0</v>
      </c>
      <c r="ZL6" s="10" t="n">
        <v>46023</v>
      </c>
      <c r="ZN6" s="9" t="n">
        <v>0</v>
      </c>
      <c r="ZP6" s="9" t="n">
        <v>0</v>
      </c>
      <c r="ZQ6" s="9" t="n">
        <v>0</v>
      </c>
      <c r="ZU6" s="10" t="n">
        <v>46023</v>
      </c>
      <c r="ZW6" s="9" t="n">
        <v>0</v>
      </c>
      <c r="ZY6" s="9" t="n">
        <v>0</v>
      </c>
      <c r="ZZ6" s="9" t="n">
        <v>0</v>
      </c>
      <c r="AAD6" s="10" t="n">
        <v>46023</v>
      </c>
      <c r="AAF6" s="9" t="n">
        <v>0</v>
      </c>
      <c r="AAH6" s="9" t="n">
        <v>0</v>
      </c>
      <c r="AAI6" s="9" t="n">
        <v>0</v>
      </c>
      <c r="AAM6" s="10" t="n">
        <v>46023</v>
      </c>
      <c r="AAO6" s="9" t="n">
        <v>0</v>
      </c>
      <c r="AAQ6" s="9" t="n">
        <v>0</v>
      </c>
      <c r="AAR6" s="9" t="n">
        <v>0</v>
      </c>
      <c r="AAV6" s="10" t="n">
        <v>46023</v>
      </c>
      <c r="AAX6" s="9" t="n">
        <v>0</v>
      </c>
      <c r="AAZ6" s="9" t="n">
        <v>0</v>
      </c>
      <c r="ABA6" s="9" t="n">
        <v>0</v>
      </c>
      <c r="ABE6" s="10" t="n">
        <v>46023</v>
      </c>
      <c r="ABG6" s="9" t="n">
        <v>0</v>
      </c>
      <c r="ABI6" s="9" t="n">
        <v>0</v>
      </c>
      <c r="ABJ6" s="9" t="n">
        <v>0</v>
      </c>
    </row>
    <row r="7">
      <c r="B7" s="9" t="n">
        <v>68</v>
      </c>
      <c r="C7" s="10" t="n">
        <v>46024</v>
      </c>
      <c r="D7" s="9" t="n">
        <v>72330</v>
      </c>
      <c r="E7" s="9" t="n">
        <v>40150</v>
      </c>
      <c r="F7" s="9" t="n">
        <v>40145.8</v>
      </c>
      <c r="G7" s="9" t="n">
        <v>4.19999999999709</v>
      </c>
      <c r="H7" s="9" t="n">
        <v>80034.39999999999</v>
      </c>
      <c r="I7" s="9" t="inlineStr">
        <is>
          <t>8102 28mt, 1103 40mt</t>
        </is>
      </c>
      <c r="L7" s="10" t="n">
        <v>46024</v>
      </c>
      <c r="N7" s="9" t="n">
        <v>13272</v>
      </c>
      <c r="O7" s="9" t="n">
        <v>13264.6</v>
      </c>
      <c r="P7" s="9" t="n">
        <v>7.399999999999636</v>
      </c>
      <c r="Q7" s="9" t="n">
        <v>-4568.399999999998</v>
      </c>
      <c r="U7" s="10" t="n">
        <v>46024</v>
      </c>
      <c r="W7" s="9" t="n">
        <v>4600</v>
      </c>
      <c r="X7" s="9" t="n">
        <v>4600.6</v>
      </c>
      <c r="Y7" s="9" t="n">
        <v>-0.6000000000003638</v>
      </c>
      <c r="Z7" s="9" t="n">
        <v>35770.7</v>
      </c>
      <c r="AD7" s="10" t="n">
        <v>46024</v>
      </c>
      <c r="AF7" s="9" t="n">
        <v>4200</v>
      </c>
      <c r="AG7" s="9" t="n">
        <v>4201.1</v>
      </c>
      <c r="AH7" s="9" t="n">
        <v>-1.100000000000364</v>
      </c>
      <c r="AI7" s="9" t="n">
        <v>29592.60000000001</v>
      </c>
      <c r="AM7" s="10" t="n">
        <v>46024</v>
      </c>
      <c r="AO7" s="9" t="n">
        <v>0</v>
      </c>
      <c r="AQ7" s="9" t="n">
        <v>0</v>
      </c>
      <c r="AR7" s="9" t="n">
        <v>0</v>
      </c>
      <c r="AV7" s="10" t="n">
        <v>46024</v>
      </c>
      <c r="AX7" s="9" t="n">
        <v>1180</v>
      </c>
      <c r="AY7" s="9" t="n">
        <v>1180.9</v>
      </c>
      <c r="AZ7" s="9" t="n">
        <v>-0.9000000000000909</v>
      </c>
      <c r="BA7" s="9" t="n">
        <v>28329.19999999999</v>
      </c>
      <c r="BE7" s="10" t="n">
        <v>46024</v>
      </c>
      <c r="BG7" s="9" t="n">
        <v>1560</v>
      </c>
      <c r="BH7" s="9" t="n">
        <v>1559.7</v>
      </c>
      <c r="BI7" s="9" t="n">
        <v>0.2999999999999545</v>
      </c>
      <c r="BJ7" s="9" t="n">
        <v>4800.300000000007</v>
      </c>
      <c r="BN7" s="10" t="n">
        <v>46024</v>
      </c>
      <c r="BO7" s="9" t="n">
        <v>1560</v>
      </c>
      <c r="BP7" s="9" t="n">
        <v>1560</v>
      </c>
      <c r="BQ7" s="9" t="n">
        <v>1560</v>
      </c>
      <c r="BR7" s="9" t="n">
        <v>0</v>
      </c>
      <c r="BS7" s="9" t="n">
        <v>0</v>
      </c>
      <c r="BW7" s="10" t="n">
        <v>46024</v>
      </c>
      <c r="BY7" s="9" t="n">
        <v>0</v>
      </c>
      <c r="CA7" s="9" t="n">
        <v>0</v>
      </c>
      <c r="CB7" s="9" t="n">
        <v>512.5</v>
      </c>
      <c r="CF7" s="10" t="n">
        <v>46024</v>
      </c>
      <c r="CH7" s="9" t="n">
        <v>0</v>
      </c>
      <c r="CJ7" s="9" t="n">
        <v>0</v>
      </c>
      <c r="CK7" s="9" t="n">
        <v>0</v>
      </c>
      <c r="CO7" s="10" t="n">
        <v>46024</v>
      </c>
      <c r="CQ7" s="9" t="n">
        <v>0</v>
      </c>
      <c r="CS7" s="9" t="n">
        <v>0</v>
      </c>
      <c r="CT7" s="9" t="n">
        <v>0</v>
      </c>
      <c r="CX7" s="10" t="n">
        <v>46024</v>
      </c>
      <c r="CZ7" s="9" t="n">
        <v>0</v>
      </c>
      <c r="DB7" s="9" t="n">
        <v>0</v>
      </c>
      <c r="DC7" s="9" t="n">
        <v>0</v>
      </c>
      <c r="DG7" s="10" t="n">
        <v>46024</v>
      </c>
      <c r="DI7" s="9" t="n">
        <v>0</v>
      </c>
      <c r="DK7" s="9" t="n">
        <v>0</v>
      </c>
      <c r="DL7" s="9" t="n">
        <v>31341.2</v>
      </c>
      <c r="DP7" s="10" t="n">
        <v>46024</v>
      </c>
      <c r="DR7" s="9" t="n">
        <v>0</v>
      </c>
      <c r="DT7" s="9" t="n">
        <v>0</v>
      </c>
      <c r="DU7" s="9" t="n">
        <v>0</v>
      </c>
      <c r="DY7" s="10" t="n">
        <v>46024</v>
      </c>
      <c r="EA7" s="9" t="n">
        <v>0</v>
      </c>
      <c r="EC7" s="9" t="n">
        <v>0</v>
      </c>
      <c r="ED7" s="9" t="n">
        <v>0</v>
      </c>
      <c r="EH7" s="10" t="n">
        <v>46024</v>
      </c>
      <c r="EJ7" s="9" t="n">
        <v>0</v>
      </c>
      <c r="EL7" s="9" t="n">
        <v>0</v>
      </c>
      <c r="EM7" s="9" t="n">
        <v>0</v>
      </c>
      <c r="EQ7" s="10" t="n">
        <v>46024</v>
      </c>
      <c r="ES7" s="9" t="n">
        <v>0</v>
      </c>
      <c r="EU7" s="9" t="n">
        <v>0</v>
      </c>
      <c r="EV7" s="9" t="n">
        <v>0</v>
      </c>
      <c r="EZ7" s="10" t="n">
        <v>46024</v>
      </c>
      <c r="FB7" s="9" t="n">
        <v>0</v>
      </c>
      <c r="FD7" s="9" t="n">
        <v>0</v>
      </c>
      <c r="FE7" s="9" t="n">
        <v>0</v>
      </c>
      <c r="FI7" s="10" t="n">
        <v>46024</v>
      </c>
      <c r="FK7" s="9" t="n">
        <v>0</v>
      </c>
      <c r="FM7" s="9" t="n">
        <v>0</v>
      </c>
      <c r="FN7" s="9" t="n">
        <v>0</v>
      </c>
      <c r="FR7" s="10" t="n">
        <v>46024</v>
      </c>
      <c r="FT7" s="9" t="n">
        <v>0</v>
      </c>
      <c r="FV7" s="9" t="n">
        <v>0</v>
      </c>
      <c r="FW7" s="9" t="n">
        <v>3540</v>
      </c>
      <c r="GA7" s="10" t="n">
        <v>46024</v>
      </c>
      <c r="GC7" s="9" t="n">
        <v>0</v>
      </c>
      <c r="GE7" s="9" t="n">
        <v>0</v>
      </c>
      <c r="GF7" s="9" t="n">
        <v>1960</v>
      </c>
      <c r="GJ7" s="10" t="n">
        <v>46024</v>
      </c>
      <c r="GL7" s="9" t="n">
        <v>800</v>
      </c>
      <c r="GN7" s="9" t="n">
        <v>800</v>
      </c>
      <c r="GO7" s="9" t="n">
        <v>2960</v>
      </c>
      <c r="GS7" s="10" t="n">
        <v>46024</v>
      </c>
      <c r="GU7" s="9" t="n">
        <v>0</v>
      </c>
      <c r="GW7" s="9" t="n">
        <v>0</v>
      </c>
      <c r="GX7" s="9" t="n">
        <v>0</v>
      </c>
      <c r="HB7" s="10" t="n">
        <v>46024</v>
      </c>
      <c r="HD7" s="9" t="n">
        <v>0</v>
      </c>
      <c r="HF7" s="9" t="n">
        <v>0</v>
      </c>
      <c r="HG7" s="9" t="n">
        <v>0</v>
      </c>
      <c r="HK7" s="10" t="n">
        <v>46024</v>
      </c>
      <c r="HM7" s="9" t="n">
        <v>0</v>
      </c>
      <c r="HO7" s="9" t="n">
        <v>0</v>
      </c>
      <c r="HP7" s="9" t="n">
        <v>0</v>
      </c>
      <c r="HU7" s="10" t="n">
        <v>46024</v>
      </c>
      <c r="HW7" s="9" t="n">
        <v>0</v>
      </c>
      <c r="HY7" s="9" t="n">
        <v>0</v>
      </c>
      <c r="HZ7" s="9" t="n">
        <v>3980</v>
      </c>
      <c r="ID7" s="10" t="n">
        <v>46024</v>
      </c>
      <c r="IF7" s="9" t="n">
        <v>0</v>
      </c>
      <c r="IH7" s="9" t="n">
        <v>0</v>
      </c>
      <c r="II7" s="9" t="n">
        <v>2960</v>
      </c>
      <c r="IM7" s="10" t="n">
        <v>46024</v>
      </c>
      <c r="IO7" s="9" t="n">
        <v>560</v>
      </c>
      <c r="IQ7" s="9" t="n">
        <v>560</v>
      </c>
      <c r="IR7" s="9" t="n">
        <v>2040</v>
      </c>
      <c r="IV7" s="10" t="n">
        <v>46024</v>
      </c>
      <c r="IX7" s="9" t="n">
        <v>0</v>
      </c>
      <c r="IZ7" s="9" t="n">
        <v>0</v>
      </c>
      <c r="JA7" s="9" t="n">
        <v>7520</v>
      </c>
      <c r="JE7" s="10" t="n">
        <v>46024</v>
      </c>
      <c r="JG7" s="9" t="n">
        <v>0</v>
      </c>
      <c r="JI7" s="9" t="n">
        <v>0</v>
      </c>
      <c r="JJ7" s="9" t="n">
        <v>6800</v>
      </c>
      <c r="JN7" s="10" t="n">
        <v>46024</v>
      </c>
      <c r="JP7" s="9" t="n">
        <v>0</v>
      </c>
      <c r="JR7" s="9" t="n">
        <v>0</v>
      </c>
      <c r="JS7" s="9" t="n">
        <v>4400</v>
      </c>
      <c r="JW7" s="10" t="n">
        <v>46024</v>
      </c>
      <c r="JY7" s="9" t="n">
        <v>0</v>
      </c>
      <c r="KA7" s="9" t="n">
        <v>0</v>
      </c>
      <c r="KB7" s="9" t="n">
        <v>0</v>
      </c>
      <c r="KF7" s="10" t="n">
        <v>46024</v>
      </c>
      <c r="KH7" s="9" t="n">
        <v>0</v>
      </c>
      <c r="KJ7" s="9" t="n">
        <v>0</v>
      </c>
      <c r="KK7" s="9" t="n">
        <v>0</v>
      </c>
      <c r="KO7" s="10" t="n">
        <v>46024</v>
      </c>
      <c r="KQ7" s="9" t="n">
        <v>0</v>
      </c>
      <c r="KS7" s="9" t="n">
        <v>0</v>
      </c>
      <c r="KT7" s="9" t="n">
        <v>0</v>
      </c>
      <c r="KX7" s="10" t="n">
        <v>46024</v>
      </c>
      <c r="KZ7" s="9" t="n">
        <v>0</v>
      </c>
      <c r="LB7" s="9" t="n">
        <v>0</v>
      </c>
      <c r="LC7" s="9" t="n">
        <v>0</v>
      </c>
      <c r="LG7" s="10" t="n">
        <v>46024</v>
      </c>
      <c r="LI7" s="9" t="n">
        <v>0</v>
      </c>
      <c r="LK7" s="9" t="n">
        <v>0</v>
      </c>
      <c r="LL7" s="9" t="n">
        <v>0</v>
      </c>
      <c r="LP7" s="10" t="n">
        <v>46024</v>
      </c>
      <c r="LR7" s="9" t="n">
        <v>0</v>
      </c>
      <c r="LT7" s="9" t="n">
        <v>0</v>
      </c>
      <c r="LU7" s="9" t="n">
        <v>0</v>
      </c>
      <c r="LY7" s="10" t="n">
        <v>46024</v>
      </c>
      <c r="MA7" s="9" t="n">
        <v>0</v>
      </c>
      <c r="MC7" s="9" t="n">
        <v>0</v>
      </c>
      <c r="MD7" s="9" t="n">
        <v>0</v>
      </c>
      <c r="MH7" s="10" t="n">
        <v>46024</v>
      </c>
      <c r="MJ7" s="9" t="n">
        <v>0</v>
      </c>
      <c r="ML7" s="9" t="n">
        <v>0</v>
      </c>
      <c r="MM7" s="9" t="n">
        <v>0</v>
      </c>
      <c r="MQ7" s="10" t="n">
        <v>46024</v>
      </c>
      <c r="MS7" s="9" t="n">
        <v>34</v>
      </c>
      <c r="MU7" s="9" t="n">
        <v>34</v>
      </c>
      <c r="MV7" s="9" t="n">
        <v>1531</v>
      </c>
      <c r="MZ7" s="10" t="n">
        <v>46024</v>
      </c>
      <c r="NB7" s="9" t="n">
        <v>84</v>
      </c>
      <c r="ND7" s="9" t="n">
        <v>84</v>
      </c>
      <c r="NE7" s="9" t="n">
        <v>0</v>
      </c>
      <c r="NI7" s="10" t="n">
        <v>46024</v>
      </c>
      <c r="NK7" s="9" t="n">
        <v>0</v>
      </c>
      <c r="NM7" s="9" t="n">
        <v>0</v>
      </c>
      <c r="NN7" s="9" t="n">
        <v>0</v>
      </c>
      <c r="NR7" s="10" t="n">
        <v>46024</v>
      </c>
      <c r="NT7" s="9" t="n">
        <v>0</v>
      </c>
      <c r="NV7" s="9" t="n">
        <v>0</v>
      </c>
      <c r="NW7" s="9" t="n">
        <v>0</v>
      </c>
      <c r="OA7" s="10" t="n">
        <v>46024</v>
      </c>
      <c r="OC7" s="9" t="n">
        <v>0</v>
      </c>
      <c r="OE7" s="9" t="n">
        <v>0</v>
      </c>
      <c r="OF7" s="9" t="n">
        <v>35.19999999999999</v>
      </c>
      <c r="OJ7" s="10" t="n">
        <v>46024</v>
      </c>
      <c r="OL7" s="9" t="n">
        <v>0</v>
      </c>
      <c r="ON7" s="9" t="n">
        <v>0</v>
      </c>
      <c r="OO7" s="9" t="n">
        <v>0</v>
      </c>
      <c r="OS7" s="10" t="n">
        <v>46024</v>
      </c>
      <c r="OU7" s="9" t="n">
        <v>0</v>
      </c>
      <c r="OW7" s="9" t="n">
        <v>0</v>
      </c>
      <c r="OX7" s="9" t="n">
        <v>349</v>
      </c>
      <c r="PB7" s="10" t="n">
        <v>46024</v>
      </c>
      <c r="PD7" s="9" t="n">
        <v>0</v>
      </c>
      <c r="PF7" s="9" t="n">
        <v>0</v>
      </c>
      <c r="PG7" s="9" t="n">
        <v>0</v>
      </c>
      <c r="PK7" s="10" t="n">
        <v>46024</v>
      </c>
      <c r="PM7" s="9" t="n">
        <v>0</v>
      </c>
      <c r="PO7" s="9" t="n">
        <v>0</v>
      </c>
      <c r="PP7" s="9" t="n">
        <v>160</v>
      </c>
      <c r="PT7" s="10" t="n">
        <v>46024</v>
      </c>
      <c r="PV7" s="9" t="n">
        <v>0</v>
      </c>
      <c r="PX7" s="9" t="n">
        <v>0</v>
      </c>
      <c r="PY7" s="9" t="n">
        <v>13.96000000000004</v>
      </c>
      <c r="QC7" s="10" t="n">
        <v>46024</v>
      </c>
      <c r="QE7" s="9" t="n">
        <v>0</v>
      </c>
      <c r="QG7" s="9" t="n">
        <v>0</v>
      </c>
      <c r="QH7" s="9" t="n">
        <v>0</v>
      </c>
      <c r="QL7" s="10" t="n">
        <v>46024</v>
      </c>
      <c r="QN7" s="9" t="n">
        <v>0</v>
      </c>
      <c r="QP7" s="9" t="n">
        <v>0</v>
      </c>
      <c r="QQ7" s="9" t="n">
        <v>0</v>
      </c>
      <c r="QU7" s="10" t="n">
        <v>46024</v>
      </c>
      <c r="QW7" s="9" t="n">
        <v>0</v>
      </c>
      <c r="QY7" s="9" t="n">
        <v>0</v>
      </c>
      <c r="QZ7" s="9" t="n">
        <v>207.6</v>
      </c>
      <c r="RD7" s="10" t="n">
        <v>46024</v>
      </c>
      <c r="RF7" s="9" t="n">
        <v>0</v>
      </c>
      <c r="RH7" s="9" t="n">
        <v>0</v>
      </c>
      <c r="RI7" s="9" t="n">
        <v>201.8</v>
      </c>
      <c r="RM7" s="10" t="n">
        <v>46024</v>
      </c>
      <c r="RO7" s="9" t="n">
        <v>0</v>
      </c>
      <c r="RQ7" s="9" t="n">
        <v>0</v>
      </c>
      <c r="RR7" s="9" t="n">
        <v>22.72</v>
      </c>
      <c r="RV7" s="10" t="n">
        <v>46024</v>
      </c>
      <c r="RX7" s="9" t="n">
        <v>0</v>
      </c>
      <c r="RZ7" s="9" t="n">
        <v>0</v>
      </c>
      <c r="SA7" s="9" t="n">
        <v>0</v>
      </c>
      <c r="SE7" s="10" t="n">
        <v>46024</v>
      </c>
      <c r="SG7" s="9" t="n">
        <v>0</v>
      </c>
      <c r="SI7" s="9" t="n">
        <v>0</v>
      </c>
      <c r="SJ7" s="9" t="n">
        <v>0</v>
      </c>
      <c r="SN7" s="10" t="n">
        <v>46024</v>
      </c>
      <c r="SP7" s="9" t="n">
        <v>0</v>
      </c>
      <c r="SR7" s="9" t="n">
        <v>0</v>
      </c>
      <c r="SS7" s="9" t="n">
        <v>0</v>
      </c>
      <c r="SW7" s="10" t="n">
        <v>46024</v>
      </c>
      <c r="SY7" s="9" t="n">
        <v>0</v>
      </c>
      <c r="TA7" s="9" t="n">
        <v>0</v>
      </c>
      <c r="TB7" s="9" t="n">
        <v>0</v>
      </c>
      <c r="TF7" s="10" t="n">
        <v>46024</v>
      </c>
      <c r="TH7" s="9" t="n">
        <v>0</v>
      </c>
      <c r="TJ7" s="9" t="n">
        <v>0</v>
      </c>
      <c r="TK7" s="9" t="n">
        <v>0</v>
      </c>
      <c r="TO7" s="10" t="n">
        <v>46024</v>
      </c>
      <c r="TQ7" s="9" t="n">
        <v>0</v>
      </c>
      <c r="TS7" s="9" t="n">
        <v>0</v>
      </c>
      <c r="TT7" s="9" t="n">
        <v>0</v>
      </c>
      <c r="TX7" s="10" t="n">
        <v>46024</v>
      </c>
      <c r="TZ7" s="9" t="n">
        <v>0</v>
      </c>
      <c r="UB7" s="9" t="n">
        <v>0</v>
      </c>
      <c r="UC7" s="9" t="n">
        <v>0</v>
      </c>
      <c r="UG7" s="10" t="n">
        <v>46024</v>
      </c>
      <c r="UI7" s="9" t="n">
        <v>0</v>
      </c>
      <c r="UK7" s="9" t="n">
        <v>0</v>
      </c>
      <c r="UL7" s="9" t="n">
        <v>0</v>
      </c>
      <c r="UP7" s="10" t="n">
        <v>46024</v>
      </c>
      <c r="UR7" s="9" t="n">
        <v>0</v>
      </c>
      <c r="UT7" s="9" t="n">
        <v>0</v>
      </c>
      <c r="UU7" s="9" t="n">
        <v>0</v>
      </c>
      <c r="UY7" s="10" t="n">
        <v>46024</v>
      </c>
      <c r="VA7" s="9" t="n">
        <v>0</v>
      </c>
      <c r="VC7" s="9" t="n">
        <v>0</v>
      </c>
      <c r="VD7" s="9" t="n">
        <v>-319.6</v>
      </c>
      <c r="VH7" s="10" t="n">
        <v>46024</v>
      </c>
      <c r="VJ7" s="9" t="n">
        <v>0</v>
      </c>
      <c r="VL7" s="9" t="n">
        <v>0</v>
      </c>
      <c r="VM7" s="9" t="n">
        <v>0</v>
      </c>
      <c r="VQ7" s="10" t="n">
        <v>46024</v>
      </c>
      <c r="VS7" s="9" t="n">
        <v>0</v>
      </c>
      <c r="VU7" s="9" t="n">
        <v>0</v>
      </c>
      <c r="VV7" s="9" t="n">
        <v>0</v>
      </c>
      <c r="VZ7" s="10" t="n">
        <v>46024</v>
      </c>
      <c r="WB7" s="9" t="n">
        <v>0</v>
      </c>
      <c r="WD7" s="9" t="n">
        <v>0</v>
      </c>
      <c r="WE7" s="9" t="n">
        <v>0</v>
      </c>
      <c r="WI7" s="10" t="n">
        <v>46024</v>
      </c>
      <c r="WK7" s="9" t="n">
        <v>0</v>
      </c>
      <c r="WM7" s="9" t="n">
        <v>0</v>
      </c>
      <c r="WN7" s="9" t="n">
        <v>5877</v>
      </c>
      <c r="WR7" s="10" t="n">
        <v>46024</v>
      </c>
      <c r="WT7" s="9" t="n">
        <v>0</v>
      </c>
      <c r="WV7" s="9" t="n">
        <v>0</v>
      </c>
      <c r="WW7" s="9" t="n">
        <v>5267</v>
      </c>
      <c r="XA7" s="10" t="n">
        <v>46024</v>
      </c>
      <c r="XC7" s="9" t="n">
        <v>0</v>
      </c>
      <c r="XD7" s="9" t="n">
        <v>792</v>
      </c>
      <c r="XE7" s="9" t="n">
        <v>-792</v>
      </c>
      <c r="XF7" s="9" t="n">
        <v>3665</v>
      </c>
      <c r="XJ7" s="10" t="n">
        <v>46024</v>
      </c>
      <c r="XL7" s="9" t="n">
        <v>0</v>
      </c>
      <c r="XN7" s="9" t="n">
        <v>0</v>
      </c>
      <c r="XO7" s="9" t="n">
        <v>6772</v>
      </c>
      <c r="XS7" s="10" t="n">
        <v>46024</v>
      </c>
      <c r="XU7" s="9" t="n">
        <v>0</v>
      </c>
      <c r="XW7" s="9" t="n">
        <v>0</v>
      </c>
      <c r="XX7" s="9" t="n">
        <v>1901</v>
      </c>
      <c r="YB7" s="10" t="n">
        <v>46024</v>
      </c>
      <c r="YD7" s="9" t="n">
        <v>0</v>
      </c>
      <c r="YF7" s="9" t="n">
        <v>0</v>
      </c>
      <c r="YG7" s="9" t="n">
        <v>4175</v>
      </c>
      <c r="YK7" s="10" t="n">
        <v>46024</v>
      </c>
      <c r="YM7" s="9" t="n">
        <v>0</v>
      </c>
      <c r="YO7" s="9" t="n">
        <v>0</v>
      </c>
      <c r="YP7" s="9" t="n">
        <v>0</v>
      </c>
      <c r="YT7" s="10" t="n">
        <v>46024</v>
      </c>
      <c r="YV7" s="9" t="n">
        <v>0</v>
      </c>
      <c r="YX7" s="9" t="n">
        <v>0</v>
      </c>
      <c r="YY7" s="9" t="n">
        <v>0</v>
      </c>
      <c r="ZC7" s="10" t="n">
        <v>46024</v>
      </c>
      <c r="ZE7" s="9" t="n">
        <v>0</v>
      </c>
      <c r="ZG7" s="9" t="n">
        <v>0</v>
      </c>
      <c r="ZH7" s="9" t="n">
        <v>0</v>
      </c>
      <c r="ZL7" s="10" t="n">
        <v>46024</v>
      </c>
      <c r="ZN7" s="9" t="n">
        <v>0</v>
      </c>
      <c r="ZP7" s="9" t="n">
        <v>0</v>
      </c>
      <c r="ZQ7" s="9" t="n">
        <v>0</v>
      </c>
      <c r="ZU7" s="10" t="n">
        <v>46024</v>
      </c>
      <c r="ZW7" s="9" t="n">
        <v>0</v>
      </c>
      <c r="ZY7" s="9" t="n">
        <v>0</v>
      </c>
      <c r="ZZ7" s="9" t="n">
        <v>0</v>
      </c>
      <c r="AAD7" s="10" t="n">
        <v>46024</v>
      </c>
      <c r="AAF7" s="9" t="n">
        <v>0</v>
      </c>
      <c r="AAH7" s="9" t="n">
        <v>0</v>
      </c>
      <c r="AAI7" s="9" t="n">
        <v>0</v>
      </c>
      <c r="AAM7" s="10" t="n">
        <v>46024</v>
      </c>
      <c r="AAO7" s="9" t="n">
        <v>0</v>
      </c>
      <c r="AAQ7" s="9" t="n">
        <v>0</v>
      </c>
      <c r="AAR7" s="9" t="n">
        <v>0</v>
      </c>
      <c r="AAV7" s="10" t="n">
        <v>46024</v>
      </c>
      <c r="AAX7" s="9" t="n">
        <v>0</v>
      </c>
      <c r="AAZ7" s="9" t="n">
        <v>0</v>
      </c>
      <c r="ABA7" s="9" t="n">
        <v>0</v>
      </c>
      <c r="ABE7" s="10" t="n">
        <v>46024</v>
      </c>
      <c r="ABG7" s="9" t="n">
        <v>0</v>
      </c>
      <c r="ABI7" s="9" t="n">
        <v>0</v>
      </c>
      <c r="ABJ7" s="9" t="n">
        <v>0</v>
      </c>
    </row>
    <row r="8">
      <c r="B8" s="9" t="n">
        <v>92</v>
      </c>
      <c r="C8" s="10" t="n">
        <v>46025</v>
      </c>
      <c r="D8" s="9" t="n">
        <v>39220</v>
      </c>
      <c r="E8" s="9" t="n">
        <v>53920</v>
      </c>
      <c r="F8" s="9" t="n">
        <v>53923</v>
      </c>
      <c r="G8" s="9" t="n">
        <v>-3</v>
      </c>
      <c r="H8" s="9" t="n">
        <v>65331.39999999999</v>
      </c>
      <c r="I8" s="9" t="inlineStr">
        <is>
          <t>8102 12mt, 8102 30mt, 1103 50mt</t>
        </is>
      </c>
      <c r="L8" s="10" t="n">
        <v>46025</v>
      </c>
      <c r="M8" s="9" t="n">
        <v>28530</v>
      </c>
      <c r="N8" s="9" t="n">
        <v>18543</v>
      </c>
      <c r="O8" s="9" t="n">
        <v>18547</v>
      </c>
      <c r="P8" s="9" t="n">
        <v>-4</v>
      </c>
      <c r="Q8" s="9" t="n">
        <v>5414.600000000002</v>
      </c>
      <c r="U8" s="10" t="n">
        <v>46025</v>
      </c>
      <c r="W8" s="9" t="n">
        <v>6100</v>
      </c>
      <c r="X8" s="9" t="n">
        <v>6100.2</v>
      </c>
      <c r="Y8" s="9" t="n">
        <v>-0.1999999999998181</v>
      </c>
      <c r="Z8" s="9" t="n">
        <v>29670.5</v>
      </c>
      <c r="AD8" s="10" t="n">
        <v>46025</v>
      </c>
      <c r="AF8" s="9" t="n">
        <v>5600</v>
      </c>
      <c r="AG8" s="9" t="n">
        <v>5596</v>
      </c>
      <c r="AH8" s="9" t="n">
        <v>4</v>
      </c>
      <c r="AI8" s="9" t="n">
        <v>23996.60000000001</v>
      </c>
      <c r="AM8" s="10" t="n">
        <v>46025</v>
      </c>
      <c r="AO8" s="9" t="n">
        <v>0</v>
      </c>
      <c r="AQ8" s="9" t="n">
        <v>0</v>
      </c>
      <c r="AR8" s="9" t="n">
        <v>0</v>
      </c>
      <c r="AV8" s="10" t="n">
        <v>46025</v>
      </c>
      <c r="AX8" s="9" t="n">
        <v>1615</v>
      </c>
      <c r="AY8" s="9" t="n">
        <v>1614.5</v>
      </c>
      <c r="AZ8" s="9" t="n">
        <v>0.5</v>
      </c>
      <c r="BA8" s="9" t="n">
        <v>26714.69999999999</v>
      </c>
      <c r="BE8" s="10" t="n">
        <v>46025</v>
      </c>
      <c r="BG8" s="9" t="n">
        <v>2090</v>
      </c>
      <c r="BH8" s="9" t="n">
        <v>2090.2</v>
      </c>
      <c r="BI8" s="9" t="n">
        <v>-0.1999999999998181</v>
      </c>
      <c r="BJ8" s="9" t="n">
        <v>2710.100000000008</v>
      </c>
      <c r="BN8" s="10" t="n">
        <v>46025</v>
      </c>
      <c r="BO8" s="9" t="n">
        <v>2090</v>
      </c>
      <c r="BP8" s="9" t="n">
        <v>2090</v>
      </c>
      <c r="BQ8" s="9" t="n">
        <v>2090</v>
      </c>
      <c r="BR8" s="9" t="n">
        <v>0</v>
      </c>
      <c r="BS8" s="9" t="n">
        <v>0</v>
      </c>
      <c r="BW8" s="10" t="n">
        <v>46025</v>
      </c>
      <c r="BY8" s="9" t="n">
        <v>0</v>
      </c>
      <c r="CA8" s="9" t="n">
        <v>0</v>
      </c>
      <c r="CB8" s="9" t="n">
        <v>512.5</v>
      </c>
      <c r="CF8" s="10" t="n">
        <v>46025</v>
      </c>
      <c r="CH8" s="9" t="n">
        <v>0</v>
      </c>
      <c r="CJ8" s="9" t="n">
        <v>0</v>
      </c>
      <c r="CK8" s="9" t="n">
        <v>0</v>
      </c>
      <c r="CO8" s="10" t="n">
        <v>46025</v>
      </c>
      <c r="CQ8" s="9" t="n">
        <v>0</v>
      </c>
      <c r="CS8" s="9" t="n">
        <v>0</v>
      </c>
      <c r="CT8" s="9" t="n">
        <v>0</v>
      </c>
      <c r="CX8" s="10" t="n">
        <v>46025</v>
      </c>
      <c r="CZ8" s="9" t="n">
        <v>0</v>
      </c>
      <c r="DB8" s="9" t="n">
        <v>0</v>
      </c>
      <c r="DC8" s="9" t="n">
        <v>0</v>
      </c>
      <c r="DG8" s="10" t="n">
        <v>46025</v>
      </c>
      <c r="DI8" s="9" t="n">
        <v>0</v>
      </c>
      <c r="DK8" s="9" t="n">
        <v>0</v>
      </c>
      <c r="DL8" s="9" t="n">
        <v>31341.2</v>
      </c>
      <c r="DP8" s="10" t="n">
        <v>46025</v>
      </c>
      <c r="DR8" s="9" t="n">
        <v>0</v>
      </c>
      <c r="DT8" s="9" t="n">
        <v>0</v>
      </c>
      <c r="DU8" s="9" t="n">
        <v>0</v>
      </c>
      <c r="DY8" s="10" t="n">
        <v>46025</v>
      </c>
      <c r="EA8" s="9" t="n">
        <v>0</v>
      </c>
      <c r="EC8" s="9" t="n">
        <v>0</v>
      </c>
      <c r="ED8" s="9" t="n">
        <v>0</v>
      </c>
      <c r="EH8" s="10" t="n">
        <v>46025</v>
      </c>
      <c r="EJ8" s="9" t="n">
        <v>0</v>
      </c>
      <c r="EL8" s="9" t="n">
        <v>0</v>
      </c>
      <c r="EM8" s="9" t="n">
        <v>0</v>
      </c>
      <c r="EQ8" s="10" t="n">
        <v>46025</v>
      </c>
      <c r="ES8" s="9" t="n">
        <v>0</v>
      </c>
      <c r="EU8" s="9" t="n">
        <v>0</v>
      </c>
      <c r="EV8" s="9" t="n">
        <v>0</v>
      </c>
      <c r="EZ8" s="10" t="n">
        <v>46025</v>
      </c>
      <c r="FB8" s="9" t="n">
        <v>0</v>
      </c>
      <c r="FD8" s="9" t="n">
        <v>0</v>
      </c>
      <c r="FE8" s="9" t="n">
        <v>0</v>
      </c>
      <c r="FI8" s="10" t="n">
        <v>46025</v>
      </c>
      <c r="FK8" s="9" t="n">
        <v>0</v>
      </c>
      <c r="FM8" s="9" t="n">
        <v>0</v>
      </c>
      <c r="FN8" s="9" t="n">
        <v>0</v>
      </c>
      <c r="FR8" s="10" t="n">
        <v>46025</v>
      </c>
      <c r="FT8" s="9" t="n">
        <v>0</v>
      </c>
      <c r="FV8" s="9" t="n">
        <v>0</v>
      </c>
      <c r="FW8" s="9" t="n">
        <v>3540</v>
      </c>
      <c r="GA8" s="10" t="n">
        <v>46025</v>
      </c>
      <c r="GC8" s="9" t="n">
        <v>0</v>
      </c>
      <c r="GE8" s="9" t="n">
        <v>0</v>
      </c>
      <c r="GF8" s="9" t="n">
        <v>1960</v>
      </c>
      <c r="GJ8" s="10" t="n">
        <v>46025</v>
      </c>
      <c r="GL8" s="9" t="n">
        <v>1000</v>
      </c>
      <c r="GM8" s="9" t="n">
        <v>2400</v>
      </c>
      <c r="GN8" s="9" t="n">
        <v>-1400</v>
      </c>
      <c r="GO8" s="9" t="n">
        <v>560</v>
      </c>
      <c r="GP8" s="9" t="n">
        <v>120</v>
      </c>
      <c r="GQ8" s="9" t="inlineStr">
        <is>
          <t>bags</t>
        </is>
      </c>
      <c r="GS8" s="10" t="n">
        <v>46025</v>
      </c>
      <c r="GU8" s="9" t="n">
        <v>0</v>
      </c>
      <c r="GW8" s="9" t="n">
        <v>0</v>
      </c>
      <c r="GX8" s="9" t="n">
        <v>0</v>
      </c>
      <c r="HB8" s="10" t="n">
        <v>46025</v>
      </c>
      <c r="HD8" s="9" t="n">
        <v>0</v>
      </c>
      <c r="HF8" s="9" t="n">
        <v>0</v>
      </c>
      <c r="HG8" s="9" t="n">
        <v>0</v>
      </c>
      <c r="HK8" s="10" t="n">
        <v>46025</v>
      </c>
      <c r="HM8" s="9" t="n">
        <v>0</v>
      </c>
      <c r="HO8" s="9" t="n">
        <v>0</v>
      </c>
      <c r="HP8" s="9" t="n">
        <v>0</v>
      </c>
      <c r="HU8" s="10" t="n">
        <v>46025</v>
      </c>
      <c r="HW8" s="9" t="n">
        <v>0</v>
      </c>
      <c r="HY8" s="9" t="n">
        <v>0</v>
      </c>
      <c r="HZ8" s="9" t="n">
        <v>3980</v>
      </c>
      <c r="ID8" s="10" t="n">
        <v>46025</v>
      </c>
      <c r="IF8" s="9" t="n">
        <v>0</v>
      </c>
      <c r="IH8" s="9" t="n">
        <v>0</v>
      </c>
      <c r="II8" s="9" t="n">
        <v>2960</v>
      </c>
      <c r="IM8" s="10" t="n">
        <v>46025</v>
      </c>
      <c r="IO8" s="9" t="n">
        <v>840</v>
      </c>
      <c r="IP8" s="9" t="n">
        <v>800</v>
      </c>
      <c r="IQ8" s="9" t="n">
        <v>40</v>
      </c>
      <c r="IR8" s="9" t="n">
        <v>1240</v>
      </c>
      <c r="IS8" s="9" t="n">
        <v>40</v>
      </c>
      <c r="IT8" s="9" t="inlineStr">
        <is>
          <t>bags</t>
        </is>
      </c>
      <c r="IV8" s="10" t="n">
        <v>46025</v>
      </c>
      <c r="IX8" s="9" t="n">
        <v>0</v>
      </c>
      <c r="IY8" s="9" t="n">
        <v>3600</v>
      </c>
      <c r="IZ8" s="9" t="n">
        <v>-3600</v>
      </c>
      <c r="JA8" s="9" t="n">
        <v>3920</v>
      </c>
      <c r="JE8" s="10" t="n">
        <v>46025</v>
      </c>
      <c r="JG8" s="9" t="n">
        <v>0</v>
      </c>
      <c r="JI8" s="9" t="n">
        <v>0</v>
      </c>
      <c r="JJ8" s="9" t="n">
        <v>6800</v>
      </c>
      <c r="JN8" s="10" t="n">
        <v>46025</v>
      </c>
      <c r="JP8" s="9" t="n">
        <v>0</v>
      </c>
      <c r="JR8" s="9" t="n">
        <v>0</v>
      </c>
      <c r="JS8" s="9" t="n">
        <v>4400</v>
      </c>
      <c r="JW8" s="10" t="n">
        <v>46025</v>
      </c>
      <c r="JY8" s="9" t="n">
        <v>0</v>
      </c>
      <c r="KA8" s="9" t="n">
        <v>0</v>
      </c>
      <c r="KB8" s="9" t="n">
        <v>0</v>
      </c>
      <c r="KF8" s="10" t="n">
        <v>46025</v>
      </c>
      <c r="KH8" s="9" t="n">
        <v>0</v>
      </c>
      <c r="KJ8" s="9" t="n">
        <v>0</v>
      </c>
      <c r="KK8" s="9" t="n">
        <v>0</v>
      </c>
      <c r="KO8" s="10" t="n">
        <v>46025</v>
      </c>
      <c r="KQ8" s="9" t="n">
        <v>0</v>
      </c>
      <c r="KS8" s="9" t="n">
        <v>0</v>
      </c>
      <c r="KT8" s="9" t="n">
        <v>0</v>
      </c>
      <c r="KX8" s="10" t="n">
        <v>46025</v>
      </c>
      <c r="KZ8" s="9" t="n">
        <v>0</v>
      </c>
      <c r="LB8" s="9" t="n">
        <v>0</v>
      </c>
      <c r="LC8" s="9" t="n">
        <v>0</v>
      </c>
      <c r="LG8" s="10" t="n">
        <v>46025</v>
      </c>
      <c r="LI8" s="9" t="n">
        <v>0</v>
      </c>
      <c r="LK8" s="9" t="n">
        <v>0</v>
      </c>
      <c r="LL8" s="9" t="n">
        <v>0</v>
      </c>
      <c r="LP8" s="10" t="n">
        <v>46025</v>
      </c>
      <c r="LR8" s="9" t="n">
        <v>0</v>
      </c>
      <c r="LT8" s="9" t="n">
        <v>0</v>
      </c>
      <c r="LU8" s="9" t="n">
        <v>0</v>
      </c>
      <c r="LY8" s="10" t="n">
        <v>46025</v>
      </c>
      <c r="MA8" s="9" t="n">
        <v>0</v>
      </c>
      <c r="MC8" s="9" t="n">
        <v>0</v>
      </c>
      <c r="MD8" s="9" t="n">
        <v>0</v>
      </c>
      <c r="MH8" s="10" t="n">
        <v>46025</v>
      </c>
      <c r="MJ8" s="9" t="n">
        <v>0</v>
      </c>
      <c r="ML8" s="9" t="n">
        <v>0</v>
      </c>
      <c r="MM8" s="9" t="n">
        <v>0</v>
      </c>
      <c r="MQ8" s="10" t="n">
        <v>46025</v>
      </c>
      <c r="MS8" s="9" t="n">
        <v>46</v>
      </c>
      <c r="MT8" s="9" t="n">
        <v>160</v>
      </c>
      <c r="MU8" s="9" t="n">
        <v>-114</v>
      </c>
      <c r="MV8" s="9" t="n">
        <v>1371</v>
      </c>
      <c r="MZ8" s="10" t="n">
        <v>46025</v>
      </c>
      <c r="NA8" s="9" t="n">
        <v>1140</v>
      </c>
      <c r="NB8" s="9" t="n">
        <v>126</v>
      </c>
      <c r="NC8" s="9" t="n">
        <v>1140</v>
      </c>
      <c r="ND8" s="9" t="n">
        <v>-1014</v>
      </c>
      <c r="NE8" s="9" t="n">
        <v>0</v>
      </c>
      <c r="NI8" s="10" t="n">
        <v>46025</v>
      </c>
      <c r="NK8" s="9" t="n">
        <v>0</v>
      </c>
      <c r="NM8" s="9" t="n">
        <v>0</v>
      </c>
      <c r="NN8" s="9" t="n">
        <v>0</v>
      </c>
      <c r="NR8" s="10" t="n">
        <v>46025</v>
      </c>
      <c r="NT8" s="9" t="n">
        <v>0</v>
      </c>
      <c r="NV8" s="9" t="n">
        <v>0</v>
      </c>
      <c r="NW8" s="9" t="n">
        <v>0</v>
      </c>
      <c r="OA8" s="10" t="n">
        <v>46025</v>
      </c>
      <c r="OC8" s="9" t="n">
        <v>30</v>
      </c>
      <c r="OD8" s="9" t="n">
        <v>200</v>
      </c>
      <c r="OE8" s="9" t="n">
        <v>-170</v>
      </c>
      <c r="OF8" s="9" t="n">
        <v>-164.8</v>
      </c>
      <c r="OJ8" s="10" t="n">
        <v>46025</v>
      </c>
      <c r="OL8" s="9" t="n">
        <v>0</v>
      </c>
      <c r="ON8" s="9" t="n">
        <v>0</v>
      </c>
      <c r="OO8" s="9" t="n">
        <v>0</v>
      </c>
      <c r="OS8" s="10" t="n">
        <v>46025</v>
      </c>
      <c r="OU8" s="9" t="n">
        <v>0</v>
      </c>
      <c r="OV8" s="9" t="n">
        <v>282</v>
      </c>
      <c r="OW8" s="9" t="n">
        <v>-282</v>
      </c>
      <c r="OX8" s="9" t="n">
        <v>67</v>
      </c>
      <c r="PB8" s="10" t="n">
        <v>46025</v>
      </c>
      <c r="PC8" s="9" t="n">
        <v>98</v>
      </c>
      <c r="PD8" s="9" t="n">
        <v>0</v>
      </c>
      <c r="PE8" s="9" t="n">
        <v>98</v>
      </c>
      <c r="PF8" s="9" t="n">
        <v>-98</v>
      </c>
      <c r="PG8" s="9" t="n">
        <v>0</v>
      </c>
      <c r="PK8" s="10" t="n">
        <v>46025</v>
      </c>
      <c r="PM8" s="9" t="n">
        <v>0</v>
      </c>
      <c r="PO8" s="9" t="n">
        <v>0</v>
      </c>
      <c r="PP8" s="9" t="n">
        <v>160</v>
      </c>
      <c r="PT8" s="10" t="n">
        <v>46025</v>
      </c>
      <c r="PV8" s="9" t="n">
        <v>0</v>
      </c>
      <c r="PX8" s="9" t="n">
        <v>0</v>
      </c>
      <c r="PY8" s="9" t="n">
        <v>13.96000000000004</v>
      </c>
      <c r="QC8" s="10" t="n">
        <v>46025</v>
      </c>
      <c r="QE8" s="9" t="n">
        <v>0</v>
      </c>
      <c r="QG8" s="9" t="n">
        <v>0</v>
      </c>
      <c r="QH8" s="9" t="n">
        <v>0</v>
      </c>
      <c r="QL8" s="10" t="n">
        <v>46025</v>
      </c>
      <c r="QN8" s="9" t="n">
        <v>0</v>
      </c>
      <c r="QP8" s="9" t="n">
        <v>0</v>
      </c>
      <c r="QQ8" s="9" t="n">
        <v>0</v>
      </c>
      <c r="QU8" s="10" t="n">
        <v>46025</v>
      </c>
      <c r="QW8" s="9" t="n">
        <v>0</v>
      </c>
      <c r="QY8" s="9" t="n">
        <v>0</v>
      </c>
      <c r="QZ8" s="9" t="n">
        <v>207.6</v>
      </c>
      <c r="RD8" s="10" t="n">
        <v>46025</v>
      </c>
      <c r="RF8" s="9" t="n">
        <v>0</v>
      </c>
      <c r="RH8" s="9" t="n">
        <v>0</v>
      </c>
      <c r="RI8" s="9" t="n">
        <v>201.8</v>
      </c>
      <c r="RM8" s="10" t="n">
        <v>46025</v>
      </c>
      <c r="RO8" s="9" t="n">
        <v>0</v>
      </c>
      <c r="RQ8" s="9" t="n">
        <v>0</v>
      </c>
      <c r="RR8" s="9" t="n">
        <v>22.72</v>
      </c>
      <c r="RV8" s="10" t="n">
        <v>46025</v>
      </c>
      <c r="RX8" s="9" t="n">
        <v>0</v>
      </c>
      <c r="RZ8" s="9" t="n">
        <v>0</v>
      </c>
      <c r="SA8" s="9" t="n">
        <v>0</v>
      </c>
      <c r="SE8" s="10" t="n">
        <v>46025</v>
      </c>
      <c r="SG8" s="9" t="n">
        <v>0</v>
      </c>
      <c r="SI8" s="9" t="n">
        <v>0</v>
      </c>
      <c r="SJ8" s="9" t="n">
        <v>0</v>
      </c>
      <c r="SN8" s="10" t="n">
        <v>46025</v>
      </c>
      <c r="SP8" s="9" t="n">
        <v>0</v>
      </c>
      <c r="SR8" s="9" t="n">
        <v>0</v>
      </c>
      <c r="SS8" s="9" t="n">
        <v>0</v>
      </c>
      <c r="SW8" s="10" t="n">
        <v>46025</v>
      </c>
      <c r="SY8" s="9" t="n">
        <v>0</v>
      </c>
      <c r="TA8" s="9" t="n">
        <v>0</v>
      </c>
      <c r="TB8" s="9" t="n">
        <v>0</v>
      </c>
      <c r="TF8" s="10" t="n">
        <v>46025</v>
      </c>
      <c r="TH8" s="9" t="n">
        <v>0</v>
      </c>
      <c r="TJ8" s="9" t="n">
        <v>0</v>
      </c>
      <c r="TK8" s="9" t="n">
        <v>0</v>
      </c>
      <c r="TO8" s="10" t="n">
        <v>46025</v>
      </c>
      <c r="TQ8" s="9" t="n">
        <v>0</v>
      </c>
      <c r="TS8" s="9" t="n">
        <v>0</v>
      </c>
      <c r="TT8" s="9" t="n">
        <v>0</v>
      </c>
      <c r="TX8" s="10" t="n">
        <v>46025</v>
      </c>
      <c r="TZ8" s="9" t="n">
        <v>0</v>
      </c>
      <c r="UB8" s="9" t="n">
        <v>0</v>
      </c>
      <c r="UC8" s="9" t="n">
        <v>0</v>
      </c>
      <c r="UG8" s="10" t="n">
        <v>46025</v>
      </c>
      <c r="UI8" s="9" t="n">
        <v>0</v>
      </c>
      <c r="UK8" s="9" t="n">
        <v>0</v>
      </c>
      <c r="UL8" s="9" t="n">
        <v>0</v>
      </c>
      <c r="UP8" s="10" t="n">
        <v>46025</v>
      </c>
      <c r="UR8" s="9" t="n">
        <v>0</v>
      </c>
      <c r="UT8" s="9" t="n">
        <v>0</v>
      </c>
      <c r="UU8" s="9" t="n">
        <v>0</v>
      </c>
      <c r="UY8" s="10" t="n">
        <v>46025</v>
      </c>
      <c r="VA8" s="9" t="n">
        <v>0</v>
      </c>
      <c r="VC8" s="9" t="n">
        <v>0</v>
      </c>
      <c r="VD8" s="9" t="n">
        <v>-319.6</v>
      </c>
      <c r="VH8" s="10" t="n">
        <v>46025</v>
      </c>
      <c r="VJ8" s="9" t="n">
        <v>0</v>
      </c>
      <c r="VL8" s="9" t="n">
        <v>0</v>
      </c>
      <c r="VM8" s="9" t="n">
        <v>0</v>
      </c>
      <c r="VQ8" s="10" t="n">
        <v>46025</v>
      </c>
      <c r="VS8" s="9" t="n">
        <v>0</v>
      </c>
      <c r="VU8" s="9" t="n">
        <v>0</v>
      </c>
      <c r="VV8" s="9" t="n">
        <v>0</v>
      </c>
      <c r="VZ8" s="10" t="n">
        <v>46025</v>
      </c>
      <c r="WB8" s="9" t="n">
        <v>0</v>
      </c>
      <c r="WD8" s="9" t="n">
        <v>0</v>
      </c>
      <c r="WE8" s="9" t="n">
        <v>0</v>
      </c>
      <c r="WI8" s="10" t="n">
        <v>46025</v>
      </c>
      <c r="WK8" s="9" t="n">
        <v>0</v>
      </c>
      <c r="WM8" s="9" t="n">
        <v>0</v>
      </c>
      <c r="WN8" s="9" t="n">
        <v>5877</v>
      </c>
      <c r="WR8" s="10" t="n">
        <v>46025</v>
      </c>
      <c r="WT8" s="9" t="n">
        <v>0</v>
      </c>
      <c r="WV8" s="9" t="n">
        <v>0</v>
      </c>
      <c r="WW8" s="9" t="n">
        <v>5267</v>
      </c>
      <c r="XA8" s="10" t="n">
        <v>46025</v>
      </c>
      <c r="XC8" s="9" t="n">
        <v>0</v>
      </c>
      <c r="XD8" s="9" t="n">
        <v>1026</v>
      </c>
      <c r="XE8" s="9" t="n">
        <v>-1026</v>
      </c>
      <c r="XF8" s="9" t="n">
        <v>2639</v>
      </c>
      <c r="XJ8" s="10" t="n">
        <v>46025</v>
      </c>
      <c r="XL8" s="9" t="n">
        <v>0</v>
      </c>
      <c r="XN8" s="9" t="n">
        <v>0</v>
      </c>
      <c r="XO8" s="9" t="n">
        <v>6772</v>
      </c>
      <c r="XS8" s="10" t="n">
        <v>46025</v>
      </c>
      <c r="XU8" s="9" t="n">
        <v>0</v>
      </c>
      <c r="XW8" s="9" t="n">
        <v>0</v>
      </c>
      <c r="XX8" s="9" t="n">
        <v>1901</v>
      </c>
      <c r="YB8" s="10" t="n">
        <v>46025</v>
      </c>
      <c r="YD8" s="9" t="n">
        <v>0</v>
      </c>
      <c r="YF8" s="9" t="n">
        <v>0</v>
      </c>
      <c r="YG8" s="9" t="n">
        <v>4175</v>
      </c>
      <c r="YK8" s="10" t="n">
        <v>46025</v>
      </c>
      <c r="YM8" s="9" t="n">
        <v>0</v>
      </c>
      <c r="YO8" s="9" t="n">
        <v>0</v>
      </c>
      <c r="YP8" s="9" t="n">
        <v>0</v>
      </c>
      <c r="YT8" s="10" t="n">
        <v>46025</v>
      </c>
      <c r="YV8" s="9" t="n">
        <v>0</v>
      </c>
      <c r="YX8" s="9" t="n">
        <v>0</v>
      </c>
      <c r="YY8" s="9" t="n">
        <v>0</v>
      </c>
      <c r="ZC8" s="10" t="n">
        <v>46025</v>
      </c>
      <c r="ZE8" s="9" t="n">
        <v>0</v>
      </c>
      <c r="ZG8" s="9" t="n">
        <v>0</v>
      </c>
      <c r="ZH8" s="9" t="n">
        <v>0</v>
      </c>
      <c r="ZL8" s="10" t="n">
        <v>46025</v>
      </c>
      <c r="ZN8" s="9" t="n">
        <v>0</v>
      </c>
      <c r="ZP8" s="9" t="n">
        <v>0</v>
      </c>
      <c r="ZQ8" s="9" t="n">
        <v>0</v>
      </c>
      <c r="ZU8" s="10" t="n">
        <v>46025</v>
      </c>
      <c r="ZW8" s="9" t="n">
        <v>0</v>
      </c>
      <c r="ZY8" s="9" t="n">
        <v>0</v>
      </c>
      <c r="ZZ8" s="9" t="n">
        <v>0</v>
      </c>
      <c r="AAD8" s="10" t="n">
        <v>46025</v>
      </c>
      <c r="AAF8" s="9" t="n">
        <v>0</v>
      </c>
      <c r="AAH8" s="9" t="n">
        <v>0</v>
      </c>
      <c r="AAI8" s="9" t="n">
        <v>0</v>
      </c>
      <c r="AAM8" s="10" t="n">
        <v>46025</v>
      </c>
      <c r="AAO8" s="9" t="n">
        <v>0</v>
      </c>
      <c r="AAQ8" s="9" t="n">
        <v>0</v>
      </c>
      <c r="AAR8" s="9" t="n">
        <v>0</v>
      </c>
      <c r="AAV8" s="10" t="n">
        <v>46025</v>
      </c>
      <c r="AAX8" s="9" t="n">
        <v>0</v>
      </c>
      <c r="AAZ8" s="9" t="n">
        <v>0</v>
      </c>
      <c r="ABA8" s="9" t="n">
        <v>0</v>
      </c>
      <c r="ABE8" s="10" t="n">
        <v>46025</v>
      </c>
      <c r="ABG8" s="9" t="n">
        <v>0</v>
      </c>
      <c r="ABI8" s="9" t="n">
        <v>0</v>
      </c>
      <c r="ABJ8" s="9" t="n">
        <v>0</v>
      </c>
    </row>
    <row r="9">
      <c r="C9" s="10" t="n">
        <v>46026</v>
      </c>
      <c r="E9" s="9" t="n">
        <v>0</v>
      </c>
      <c r="G9" s="9" t="n">
        <v>0</v>
      </c>
      <c r="H9" s="9" t="n">
        <v>65331.39999999999</v>
      </c>
      <c r="L9" s="10" t="n">
        <v>46026</v>
      </c>
      <c r="N9" s="9" t="n">
        <v>0</v>
      </c>
      <c r="P9" s="9" t="n">
        <v>0</v>
      </c>
      <c r="Q9" s="9" t="n">
        <v>5414.600000000002</v>
      </c>
      <c r="U9" s="10" t="n">
        <v>46026</v>
      </c>
      <c r="W9" s="9" t="n">
        <v>0</v>
      </c>
      <c r="Y9" s="9" t="n">
        <v>0</v>
      </c>
      <c r="Z9" s="9" t="n">
        <v>29670.5</v>
      </c>
      <c r="AD9" s="10" t="n">
        <v>46026</v>
      </c>
      <c r="AF9" s="9" t="n">
        <v>0</v>
      </c>
      <c r="AH9" s="9" t="n">
        <v>0</v>
      </c>
      <c r="AI9" s="9" t="n">
        <v>23996.60000000001</v>
      </c>
      <c r="AM9" s="10" t="n">
        <v>46026</v>
      </c>
      <c r="AO9" s="9" t="n">
        <v>0</v>
      </c>
      <c r="AQ9" s="9" t="n">
        <v>0</v>
      </c>
      <c r="AR9" s="9" t="n">
        <v>0</v>
      </c>
      <c r="AV9" s="10" t="n">
        <v>46026</v>
      </c>
      <c r="AX9" s="9" t="n">
        <v>0</v>
      </c>
      <c r="AZ9" s="9" t="n">
        <v>0</v>
      </c>
      <c r="BA9" s="9" t="n">
        <v>26714.69999999999</v>
      </c>
      <c r="BE9" s="10" t="n">
        <v>46026</v>
      </c>
      <c r="BG9" s="9" t="n">
        <v>0</v>
      </c>
      <c r="BI9" s="9" t="n">
        <v>0</v>
      </c>
      <c r="BJ9" s="9" t="n">
        <v>2710.100000000008</v>
      </c>
      <c r="BN9" s="10" t="n">
        <v>46026</v>
      </c>
      <c r="BP9" s="9" t="n">
        <v>0</v>
      </c>
      <c r="BR9" s="9" t="n">
        <v>0</v>
      </c>
      <c r="BS9" s="9" t="n">
        <v>0</v>
      </c>
      <c r="BW9" s="10" t="n">
        <v>46026</v>
      </c>
      <c r="BY9" s="9" t="n">
        <v>0</v>
      </c>
      <c r="CA9" s="9" t="n">
        <v>0</v>
      </c>
      <c r="CB9" s="9" t="n">
        <v>512.5</v>
      </c>
      <c r="CF9" s="10" t="n">
        <v>46026</v>
      </c>
      <c r="CH9" s="9" t="n">
        <v>0</v>
      </c>
      <c r="CJ9" s="9" t="n">
        <v>0</v>
      </c>
      <c r="CK9" s="9" t="n">
        <v>0</v>
      </c>
      <c r="CO9" s="10" t="n">
        <v>46026</v>
      </c>
      <c r="CQ9" s="9" t="n">
        <v>0</v>
      </c>
      <c r="CS9" s="9" t="n">
        <v>0</v>
      </c>
      <c r="CT9" s="9" t="n">
        <v>0</v>
      </c>
      <c r="CX9" s="10" t="n">
        <v>46026</v>
      </c>
      <c r="CZ9" s="9" t="n">
        <v>0</v>
      </c>
      <c r="DB9" s="9" t="n">
        <v>0</v>
      </c>
      <c r="DC9" s="9" t="n">
        <v>0</v>
      </c>
      <c r="DG9" s="10" t="n">
        <v>46026</v>
      </c>
      <c r="DI9" s="9" t="n">
        <v>0</v>
      </c>
      <c r="DK9" s="9" t="n">
        <v>0</v>
      </c>
      <c r="DL9" s="9" t="n">
        <v>31341.2</v>
      </c>
      <c r="DP9" s="10" t="n">
        <v>46026</v>
      </c>
      <c r="DR9" s="9" t="n">
        <v>0</v>
      </c>
      <c r="DT9" s="9" t="n">
        <v>0</v>
      </c>
      <c r="DU9" s="9" t="n">
        <v>0</v>
      </c>
      <c r="DY9" s="10" t="n">
        <v>46026</v>
      </c>
      <c r="EA9" s="9" t="n">
        <v>0</v>
      </c>
      <c r="EC9" s="9" t="n">
        <v>0</v>
      </c>
      <c r="ED9" s="9" t="n">
        <v>0</v>
      </c>
      <c r="EH9" s="10" t="n">
        <v>46026</v>
      </c>
      <c r="EJ9" s="9" t="n">
        <v>0</v>
      </c>
      <c r="EL9" s="9" t="n">
        <v>0</v>
      </c>
      <c r="EM9" s="9" t="n">
        <v>0</v>
      </c>
      <c r="EQ9" s="10" t="n">
        <v>46026</v>
      </c>
      <c r="ES9" s="9" t="n">
        <v>0</v>
      </c>
      <c r="EU9" s="9" t="n">
        <v>0</v>
      </c>
      <c r="EV9" s="9" t="n">
        <v>0</v>
      </c>
      <c r="EZ9" s="10" t="n">
        <v>46026</v>
      </c>
      <c r="FB9" s="9" t="n">
        <v>0</v>
      </c>
      <c r="FD9" s="9" t="n">
        <v>0</v>
      </c>
      <c r="FE9" s="9" t="n">
        <v>0</v>
      </c>
      <c r="FI9" s="10" t="n">
        <v>46026</v>
      </c>
      <c r="FK9" s="9" t="n">
        <v>0</v>
      </c>
      <c r="FM9" s="9" t="n">
        <v>0</v>
      </c>
      <c r="FN9" s="9" t="n">
        <v>0</v>
      </c>
      <c r="FR9" s="10" t="n">
        <v>46026</v>
      </c>
      <c r="FT9" s="9" t="n">
        <v>0</v>
      </c>
      <c r="FV9" s="9" t="n">
        <v>0</v>
      </c>
      <c r="FW9" s="9" t="n">
        <v>3540</v>
      </c>
      <c r="GA9" s="10" t="n">
        <v>46026</v>
      </c>
      <c r="GC9" s="9" t="n">
        <v>0</v>
      </c>
      <c r="GE9" s="9" t="n">
        <v>0</v>
      </c>
      <c r="GF9" s="9" t="n">
        <v>1960</v>
      </c>
      <c r="GJ9" s="10" t="n">
        <v>46026</v>
      </c>
      <c r="GL9" s="9" t="n">
        <v>0</v>
      </c>
      <c r="GN9" s="9" t="n">
        <v>0</v>
      </c>
      <c r="GO9" s="9" t="n">
        <v>560</v>
      </c>
      <c r="GS9" s="10" t="n">
        <v>46026</v>
      </c>
      <c r="GU9" s="9" t="n">
        <v>0</v>
      </c>
      <c r="GW9" s="9" t="n">
        <v>0</v>
      </c>
      <c r="GX9" s="9" t="n">
        <v>0</v>
      </c>
      <c r="HB9" s="10" t="n">
        <v>46026</v>
      </c>
      <c r="HD9" s="9" t="n">
        <v>0</v>
      </c>
      <c r="HF9" s="9" t="n">
        <v>0</v>
      </c>
      <c r="HG9" s="9" t="n">
        <v>0</v>
      </c>
      <c r="HK9" s="10" t="n">
        <v>46026</v>
      </c>
      <c r="HM9" s="9" t="n">
        <v>0</v>
      </c>
      <c r="HO9" s="9" t="n">
        <v>0</v>
      </c>
      <c r="HP9" s="9" t="n">
        <v>0</v>
      </c>
      <c r="HU9" s="10" t="n">
        <v>46026</v>
      </c>
      <c r="HW9" s="9" t="n">
        <v>0</v>
      </c>
      <c r="HY9" s="9" t="n">
        <v>0</v>
      </c>
      <c r="HZ9" s="9" t="n">
        <v>3980</v>
      </c>
      <c r="ID9" s="10" t="n">
        <v>46026</v>
      </c>
      <c r="IF9" s="9" t="n">
        <v>0</v>
      </c>
      <c r="IH9" s="9" t="n">
        <v>0</v>
      </c>
      <c r="II9" s="9" t="n">
        <v>2960</v>
      </c>
      <c r="IM9" s="10" t="n">
        <v>46026</v>
      </c>
      <c r="IO9" s="9" t="n">
        <v>0</v>
      </c>
      <c r="IQ9" s="9" t="n">
        <v>0</v>
      </c>
      <c r="IR9" s="9" t="n">
        <v>1240</v>
      </c>
      <c r="IV9" s="10" t="n">
        <v>46026</v>
      </c>
      <c r="IX9" s="9" t="n">
        <v>0</v>
      </c>
      <c r="IZ9" s="9" t="n">
        <v>0</v>
      </c>
      <c r="JA9" s="9" t="n">
        <v>3920</v>
      </c>
      <c r="JE9" s="10" t="n">
        <v>46026</v>
      </c>
      <c r="JG9" s="9" t="n">
        <v>0</v>
      </c>
      <c r="JI9" s="9" t="n">
        <v>0</v>
      </c>
      <c r="JJ9" s="9" t="n">
        <v>6800</v>
      </c>
      <c r="JN9" s="10" t="n">
        <v>46026</v>
      </c>
      <c r="JP9" s="9" t="n">
        <v>0</v>
      </c>
      <c r="JR9" s="9" t="n">
        <v>0</v>
      </c>
      <c r="JS9" s="9" t="n">
        <v>4400</v>
      </c>
      <c r="JW9" s="10" t="n">
        <v>46026</v>
      </c>
      <c r="JY9" s="9" t="n">
        <v>0</v>
      </c>
      <c r="KA9" s="9" t="n">
        <v>0</v>
      </c>
      <c r="KB9" s="9" t="n">
        <v>0</v>
      </c>
      <c r="KF9" s="10" t="n">
        <v>46026</v>
      </c>
      <c r="KH9" s="9" t="n">
        <v>0</v>
      </c>
      <c r="KJ9" s="9" t="n">
        <v>0</v>
      </c>
      <c r="KK9" s="9" t="n">
        <v>0</v>
      </c>
      <c r="KO9" s="10" t="n">
        <v>46026</v>
      </c>
      <c r="KQ9" s="9" t="n">
        <v>0</v>
      </c>
      <c r="KS9" s="9" t="n">
        <v>0</v>
      </c>
      <c r="KT9" s="9" t="n">
        <v>0</v>
      </c>
      <c r="KX9" s="10" t="n">
        <v>46026</v>
      </c>
      <c r="KZ9" s="9" t="n">
        <v>0</v>
      </c>
      <c r="LB9" s="9" t="n">
        <v>0</v>
      </c>
      <c r="LC9" s="9" t="n">
        <v>0</v>
      </c>
      <c r="LG9" s="10" t="n">
        <v>46026</v>
      </c>
      <c r="LI9" s="9" t="n">
        <v>0</v>
      </c>
      <c r="LK9" s="9" t="n">
        <v>0</v>
      </c>
      <c r="LL9" s="9" t="n">
        <v>0</v>
      </c>
      <c r="LP9" s="10" t="n">
        <v>46026</v>
      </c>
      <c r="LR9" s="9" t="n">
        <v>0</v>
      </c>
      <c r="LT9" s="9" t="n">
        <v>0</v>
      </c>
      <c r="LU9" s="9" t="n">
        <v>0</v>
      </c>
      <c r="LY9" s="10" t="n">
        <v>46026</v>
      </c>
      <c r="MA9" s="9" t="n">
        <v>0</v>
      </c>
      <c r="MC9" s="9" t="n">
        <v>0</v>
      </c>
      <c r="MD9" s="9" t="n">
        <v>0</v>
      </c>
      <c r="MH9" s="10" t="n">
        <v>46026</v>
      </c>
      <c r="MJ9" s="9" t="n">
        <v>0</v>
      </c>
      <c r="ML9" s="9" t="n">
        <v>0</v>
      </c>
      <c r="MM9" s="9" t="n">
        <v>0</v>
      </c>
      <c r="MQ9" s="10" t="n">
        <v>46026</v>
      </c>
      <c r="MS9" s="9" t="n">
        <v>0</v>
      </c>
      <c r="MU9" s="9" t="n">
        <v>0</v>
      </c>
      <c r="MV9" s="9" t="n">
        <v>1371</v>
      </c>
      <c r="MZ9" s="10" t="n">
        <v>46026</v>
      </c>
      <c r="NB9" s="9" t="n">
        <v>0</v>
      </c>
      <c r="ND9" s="9" t="n">
        <v>0</v>
      </c>
      <c r="NE9" s="9" t="n">
        <v>0</v>
      </c>
      <c r="NI9" s="10" t="n">
        <v>46026</v>
      </c>
      <c r="NK9" s="9" t="n">
        <v>0</v>
      </c>
      <c r="NM9" s="9" t="n">
        <v>0</v>
      </c>
      <c r="NN9" s="9" t="n">
        <v>0</v>
      </c>
      <c r="NR9" s="10" t="n">
        <v>46026</v>
      </c>
      <c r="NT9" s="9" t="n">
        <v>0</v>
      </c>
      <c r="NV9" s="9" t="n">
        <v>0</v>
      </c>
      <c r="NW9" s="9" t="n">
        <v>0</v>
      </c>
      <c r="OA9" s="10" t="n">
        <v>46026</v>
      </c>
      <c r="OC9" s="9" t="n">
        <v>0</v>
      </c>
      <c r="OE9" s="9" t="n">
        <v>0</v>
      </c>
      <c r="OF9" s="9" t="n">
        <v>-164.8</v>
      </c>
      <c r="OJ9" s="10" t="n">
        <v>46026</v>
      </c>
      <c r="OL9" s="9" t="n">
        <v>0</v>
      </c>
      <c r="ON9" s="9" t="n">
        <v>0</v>
      </c>
      <c r="OO9" s="9" t="n">
        <v>0</v>
      </c>
      <c r="OS9" s="10" t="n">
        <v>46026</v>
      </c>
      <c r="OU9" s="9" t="n">
        <v>0</v>
      </c>
      <c r="OW9" s="9" t="n">
        <v>0</v>
      </c>
      <c r="OX9" s="9" t="n">
        <v>67</v>
      </c>
      <c r="PB9" s="10" t="n">
        <v>46026</v>
      </c>
      <c r="PD9" s="9" t="n">
        <v>0</v>
      </c>
      <c r="PF9" s="9" t="n">
        <v>0</v>
      </c>
      <c r="PG9" s="9" t="n">
        <v>0</v>
      </c>
      <c r="PK9" s="10" t="n">
        <v>46026</v>
      </c>
      <c r="PM9" s="9" t="n">
        <v>0</v>
      </c>
      <c r="PO9" s="9" t="n">
        <v>0</v>
      </c>
      <c r="PP9" s="9" t="n">
        <v>160</v>
      </c>
      <c r="PT9" s="10" t="n">
        <v>46026</v>
      </c>
      <c r="PV9" s="9" t="n">
        <v>0</v>
      </c>
      <c r="PX9" s="9" t="n">
        <v>0</v>
      </c>
      <c r="PY9" s="9" t="n">
        <v>13.96000000000004</v>
      </c>
      <c r="QC9" s="10" t="n">
        <v>46026</v>
      </c>
      <c r="QE9" s="9" t="n">
        <v>0</v>
      </c>
      <c r="QG9" s="9" t="n">
        <v>0</v>
      </c>
      <c r="QH9" s="9" t="n">
        <v>0</v>
      </c>
      <c r="QL9" s="10" t="n">
        <v>46026</v>
      </c>
      <c r="QN9" s="9" t="n">
        <v>0</v>
      </c>
      <c r="QP9" s="9" t="n">
        <v>0</v>
      </c>
      <c r="QQ9" s="9" t="n">
        <v>0</v>
      </c>
      <c r="QU9" s="10" t="n">
        <v>46026</v>
      </c>
      <c r="QW9" s="9" t="n">
        <v>0</v>
      </c>
      <c r="QY9" s="9" t="n">
        <v>0</v>
      </c>
      <c r="QZ9" s="9" t="n">
        <v>207.6</v>
      </c>
      <c r="RD9" s="10" t="n">
        <v>46026</v>
      </c>
      <c r="RF9" s="9" t="n">
        <v>0</v>
      </c>
      <c r="RH9" s="9" t="n">
        <v>0</v>
      </c>
      <c r="RI9" s="9" t="n">
        <v>201.8</v>
      </c>
      <c r="RM9" s="10" t="n">
        <v>46026</v>
      </c>
      <c r="RO9" s="9" t="n">
        <v>0</v>
      </c>
      <c r="RQ9" s="9" t="n">
        <v>0</v>
      </c>
      <c r="RR9" s="9" t="n">
        <v>22.72</v>
      </c>
      <c r="RV9" s="10" t="n">
        <v>46026</v>
      </c>
      <c r="RX9" s="9" t="n">
        <v>0</v>
      </c>
      <c r="RZ9" s="9" t="n">
        <v>0</v>
      </c>
      <c r="SA9" s="9" t="n">
        <v>0</v>
      </c>
      <c r="SE9" s="10" t="n">
        <v>46026</v>
      </c>
      <c r="SG9" s="9" t="n">
        <v>0</v>
      </c>
      <c r="SI9" s="9" t="n">
        <v>0</v>
      </c>
      <c r="SJ9" s="9" t="n">
        <v>0</v>
      </c>
      <c r="SN9" s="10" t="n">
        <v>46026</v>
      </c>
      <c r="SP9" s="9" t="n">
        <v>0</v>
      </c>
      <c r="SR9" s="9" t="n">
        <v>0</v>
      </c>
      <c r="SS9" s="9" t="n">
        <v>0</v>
      </c>
      <c r="SW9" s="10" t="n">
        <v>46026</v>
      </c>
      <c r="SY9" s="9" t="n">
        <v>0</v>
      </c>
      <c r="TA9" s="9" t="n">
        <v>0</v>
      </c>
      <c r="TB9" s="9" t="n">
        <v>0</v>
      </c>
      <c r="TF9" s="10" t="n">
        <v>46026</v>
      </c>
      <c r="TH9" s="9" t="n">
        <v>0</v>
      </c>
      <c r="TJ9" s="9" t="n">
        <v>0</v>
      </c>
      <c r="TK9" s="9" t="n">
        <v>0</v>
      </c>
      <c r="TO9" s="10" t="n">
        <v>46026</v>
      </c>
      <c r="TQ9" s="9" t="n">
        <v>0</v>
      </c>
      <c r="TS9" s="9" t="n">
        <v>0</v>
      </c>
      <c r="TT9" s="9" t="n">
        <v>0</v>
      </c>
      <c r="TX9" s="10" t="n">
        <v>46026</v>
      </c>
      <c r="TZ9" s="9" t="n">
        <v>0</v>
      </c>
      <c r="UB9" s="9" t="n">
        <v>0</v>
      </c>
      <c r="UC9" s="9" t="n">
        <v>0</v>
      </c>
      <c r="UG9" s="10" t="n">
        <v>46026</v>
      </c>
      <c r="UI9" s="9" t="n">
        <v>0</v>
      </c>
      <c r="UK9" s="9" t="n">
        <v>0</v>
      </c>
      <c r="UL9" s="9" t="n">
        <v>0</v>
      </c>
      <c r="UP9" s="10" t="n">
        <v>46026</v>
      </c>
      <c r="UR9" s="9" t="n">
        <v>0</v>
      </c>
      <c r="UT9" s="9" t="n">
        <v>0</v>
      </c>
      <c r="UU9" s="9" t="n">
        <v>0</v>
      </c>
      <c r="UY9" s="10" t="n">
        <v>46026</v>
      </c>
      <c r="VA9" s="9" t="n">
        <v>0</v>
      </c>
      <c r="VC9" s="9" t="n">
        <v>0</v>
      </c>
      <c r="VD9" s="9" t="n">
        <v>-319.6</v>
      </c>
      <c r="VH9" s="10" t="n">
        <v>46026</v>
      </c>
      <c r="VJ9" s="9" t="n">
        <v>0</v>
      </c>
      <c r="VL9" s="9" t="n">
        <v>0</v>
      </c>
      <c r="VM9" s="9" t="n">
        <v>0</v>
      </c>
      <c r="VQ9" s="10" t="n">
        <v>46026</v>
      </c>
      <c r="VS9" s="9" t="n">
        <v>0</v>
      </c>
      <c r="VU9" s="9" t="n">
        <v>0</v>
      </c>
      <c r="VV9" s="9" t="n">
        <v>0</v>
      </c>
      <c r="VZ9" s="10" t="n">
        <v>46026</v>
      </c>
      <c r="WB9" s="9" t="n">
        <v>0</v>
      </c>
      <c r="WD9" s="9" t="n">
        <v>0</v>
      </c>
      <c r="WE9" s="9" t="n">
        <v>0</v>
      </c>
      <c r="WI9" s="10" t="n">
        <v>46026</v>
      </c>
      <c r="WK9" s="9" t="n">
        <v>0</v>
      </c>
      <c r="WM9" s="9" t="n">
        <v>0</v>
      </c>
      <c r="WN9" s="9" t="n">
        <v>5877</v>
      </c>
      <c r="WR9" s="10" t="n">
        <v>46026</v>
      </c>
      <c r="WT9" s="9" t="n">
        <v>0</v>
      </c>
      <c r="WV9" s="9" t="n">
        <v>0</v>
      </c>
      <c r="WW9" s="9" t="n">
        <v>5267</v>
      </c>
      <c r="XA9" s="10" t="n">
        <v>46026</v>
      </c>
      <c r="XC9" s="9" t="n">
        <v>0</v>
      </c>
      <c r="XE9" s="9" t="n">
        <v>0</v>
      </c>
      <c r="XF9" s="9" t="n">
        <v>2639</v>
      </c>
      <c r="XJ9" s="10" t="n">
        <v>46026</v>
      </c>
      <c r="XL9" s="9" t="n">
        <v>0</v>
      </c>
      <c r="XN9" s="9" t="n">
        <v>0</v>
      </c>
      <c r="XO9" s="9" t="n">
        <v>6772</v>
      </c>
      <c r="XS9" s="10" t="n">
        <v>46026</v>
      </c>
      <c r="XU9" s="9" t="n">
        <v>0</v>
      </c>
      <c r="XW9" s="9" t="n">
        <v>0</v>
      </c>
      <c r="XX9" s="9" t="n">
        <v>1901</v>
      </c>
      <c r="YB9" s="10" t="n">
        <v>46026</v>
      </c>
      <c r="YD9" s="9" t="n">
        <v>0</v>
      </c>
      <c r="YF9" s="9" t="n">
        <v>0</v>
      </c>
      <c r="YG9" s="9" t="n">
        <v>4175</v>
      </c>
      <c r="YK9" s="10" t="n">
        <v>46026</v>
      </c>
      <c r="YM9" s="9" t="n">
        <v>0</v>
      </c>
      <c r="YO9" s="9" t="n">
        <v>0</v>
      </c>
      <c r="YP9" s="9" t="n">
        <v>0</v>
      </c>
      <c r="YT9" s="10" t="n">
        <v>46026</v>
      </c>
      <c r="YV9" s="9" t="n">
        <v>0</v>
      </c>
      <c r="YX9" s="9" t="n">
        <v>0</v>
      </c>
      <c r="YY9" s="9" t="n">
        <v>0</v>
      </c>
      <c r="ZC9" s="10" t="n">
        <v>46026</v>
      </c>
      <c r="ZE9" s="9" t="n">
        <v>0</v>
      </c>
      <c r="ZG9" s="9" t="n">
        <v>0</v>
      </c>
      <c r="ZH9" s="9" t="n">
        <v>0</v>
      </c>
      <c r="ZL9" s="10" t="n">
        <v>46026</v>
      </c>
      <c r="ZN9" s="9" t="n">
        <v>0</v>
      </c>
      <c r="ZP9" s="9" t="n">
        <v>0</v>
      </c>
      <c r="ZQ9" s="9" t="n">
        <v>0</v>
      </c>
      <c r="ZU9" s="10" t="n">
        <v>46026</v>
      </c>
      <c r="ZW9" s="9" t="n">
        <v>0</v>
      </c>
      <c r="ZY9" s="9" t="n">
        <v>0</v>
      </c>
      <c r="ZZ9" s="9" t="n">
        <v>0</v>
      </c>
      <c r="AAD9" s="10" t="n">
        <v>46026</v>
      </c>
      <c r="AAF9" s="9" t="n">
        <v>0</v>
      </c>
      <c r="AAH9" s="9" t="n">
        <v>0</v>
      </c>
      <c r="AAI9" s="9" t="n">
        <v>0</v>
      </c>
      <c r="AAM9" s="10" t="n">
        <v>46026</v>
      </c>
      <c r="AAO9" s="9" t="n">
        <v>0</v>
      </c>
      <c r="AAQ9" s="9" t="n">
        <v>0</v>
      </c>
      <c r="AAR9" s="9" t="n">
        <v>0</v>
      </c>
      <c r="AAV9" s="10" t="n">
        <v>46026</v>
      </c>
      <c r="AAX9" s="9" t="n">
        <v>0</v>
      </c>
      <c r="AAZ9" s="9" t="n">
        <v>0</v>
      </c>
      <c r="ABA9" s="9" t="n">
        <v>0</v>
      </c>
      <c r="ABE9" s="10" t="n">
        <v>46026</v>
      </c>
      <c r="ABG9" s="9" t="n">
        <v>0</v>
      </c>
      <c r="ABI9" s="9" t="n">
        <v>0</v>
      </c>
      <c r="ABJ9" s="9" t="n">
        <v>0</v>
      </c>
    </row>
    <row r="10">
      <c r="B10" s="9" t="n">
        <v>120</v>
      </c>
      <c r="C10" s="10" t="n">
        <v>46027</v>
      </c>
      <c r="D10" s="9" t="n">
        <v>68040</v>
      </c>
      <c r="E10" s="9" t="n">
        <v>74430</v>
      </c>
      <c r="F10" s="9" t="n">
        <v>74428.2</v>
      </c>
      <c r="G10" s="9" t="n">
        <v>1.80000000000291</v>
      </c>
      <c r="H10" s="9" t="n">
        <v>58943.2</v>
      </c>
      <c r="I10" s="9" t="inlineStr">
        <is>
          <t>8103 120mt</t>
        </is>
      </c>
      <c r="L10" s="10" t="n">
        <v>46027</v>
      </c>
      <c r="M10" s="9" t="n">
        <v>53660</v>
      </c>
      <c r="N10" s="9" t="n">
        <v>24210</v>
      </c>
      <c r="O10" s="9" t="n">
        <v>24212</v>
      </c>
      <c r="P10" s="9" t="n">
        <v>-2</v>
      </c>
      <c r="Q10" s="9" t="n">
        <v>34862.60000000001</v>
      </c>
      <c r="U10" s="10" t="n">
        <v>46027</v>
      </c>
      <c r="W10" s="9" t="n">
        <v>5400</v>
      </c>
      <c r="X10" s="9" t="n">
        <v>5399.6</v>
      </c>
      <c r="Y10" s="9" t="n">
        <v>0.3999999999996362</v>
      </c>
      <c r="Z10" s="9" t="n">
        <v>24270.89999999999</v>
      </c>
      <c r="AD10" s="10" t="n">
        <v>46027</v>
      </c>
      <c r="AF10" s="9" t="n">
        <v>2400</v>
      </c>
      <c r="AG10" s="9" t="n">
        <v>2401.9</v>
      </c>
      <c r="AH10" s="9" t="n">
        <v>-1.900000000000091</v>
      </c>
      <c r="AI10" s="9" t="n">
        <v>21594.70000000001</v>
      </c>
      <c r="AM10" s="10" t="n">
        <v>46027</v>
      </c>
      <c r="AO10" s="9" t="n">
        <v>0</v>
      </c>
      <c r="AQ10" s="9" t="n">
        <v>0</v>
      </c>
      <c r="AR10" s="9" t="n">
        <v>0</v>
      </c>
      <c r="AV10" s="10" t="n">
        <v>46027</v>
      </c>
      <c r="AX10" s="9" t="n">
        <v>2400</v>
      </c>
      <c r="AY10" s="9" t="n">
        <v>2401.7</v>
      </c>
      <c r="AZ10" s="9" t="n">
        <v>-1.699999999999818</v>
      </c>
      <c r="BA10" s="9" t="n">
        <v>24312.99999999999</v>
      </c>
      <c r="BE10" s="10" t="n">
        <v>46027</v>
      </c>
      <c r="BG10" s="9" t="n">
        <v>2400</v>
      </c>
      <c r="BH10" s="9" t="n">
        <v>2367.8</v>
      </c>
      <c r="BI10" s="9" t="n">
        <v>32.19999999999982</v>
      </c>
      <c r="BJ10" s="9" t="n">
        <v>342.3000000000075</v>
      </c>
      <c r="BN10" s="10" t="n">
        <v>46027</v>
      </c>
      <c r="BO10" s="9" t="n">
        <v>1800.2</v>
      </c>
      <c r="BP10" s="9" t="n">
        <v>1800</v>
      </c>
      <c r="BQ10" s="9" t="n">
        <v>1800.2</v>
      </c>
      <c r="BR10" s="9" t="n">
        <v>-0.2000000000000455</v>
      </c>
      <c r="BS10" s="9" t="n">
        <v>0</v>
      </c>
      <c r="BW10" s="10" t="n">
        <v>46027</v>
      </c>
      <c r="BY10" s="9" t="n">
        <v>0</v>
      </c>
      <c r="CA10" s="9" t="n">
        <v>0</v>
      </c>
      <c r="CB10" s="9" t="n">
        <v>512.5</v>
      </c>
      <c r="CF10" s="10" t="n">
        <v>46027</v>
      </c>
      <c r="CH10" s="9" t="n">
        <v>0</v>
      </c>
      <c r="CJ10" s="9" t="n">
        <v>0</v>
      </c>
      <c r="CK10" s="9" t="n">
        <v>0</v>
      </c>
      <c r="CO10" s="10" t="n">
        <v>46027</v>
      </c>
      <c r="CQ10" s="9" t="n">
        <v>0</v>
      </c>
      <c r="CS10" s="9" t="n">
        <v>0</v>
      </c>
      <c r="CT10" s="9" t="n">
        <v>0</v>
      </c>
      <c r="CX10" s="10" t="n">
        <v>46027</v>
      </c>
      <c r="CZ10" s="9" t="n">
        <v>0</v>
      </c>
      <c r="DB10" s="9" t="n">
        <v>0</v>
      </c>
      <c r="DC10" s="9" t="n">
        <v>0</v>
      </c>
      <c r="DG10" s="10" t="n">
        <v>46027</v>
      </c>
      <c r="DI10" s="9" t="n">
        <v>4200</v>
      </c>
      <c r="DJ10" s="9" t="n">
        <v>4197.8</v>
      </c>
      <c r="DK10" s="9" t="n">
        <v>2.199999999999818</v>
      </c>
      <c r="DL10" s="9" t="n">
        <v>27143.4</v>
      </c>
      <c r="DP10" s="10" t="n">
        <v>46027</v>
      </c>
      <c r="DR10" s="9" t="n">
        <v>0</v>
      </c>
      <c r="DT10" s="9" t="n">
        <v>0</v>
      </c>
      <c r="DU10" s="9" t="n">
        <v>0</v>
      </c>
      <c r="DY10" s="10" t="n">
        <v>46027</v>
      </c>
      <c r="EA10" s="9" t="n">
        <v>0</v>
      </c>
      <c r="EC10" s="9" t="n">
        <v>0</v>
      </c>
      <c r="ED10" s="9" t="n">
        <v>0</v>
      </c>
      <c r="EH10" s="10" t="n">
        <v>46027</v>
      </c>
      <c r="EJ10" s="9" t="n">
        <v>0</v>
      </c>
      <c r="EL10" s="9" t="n">
        <v>0</v>
      </c>
      <c r="EM10" s="9" t="n">
        <v>0</v>
      </c>
      <c r="EQ10" s="10" t="n">
        <v>46027</v>
      </c>
      <c r="ES10" s="9" t="n">
        <v>0</v>
      </c>
      <c r="EU10" s="9" t="n">
        <v>0</v>
      </c>
      <c r="EV10" s="9" t="n">
        <v>0</v>
      </c>
      <c r="EZ10" s="10" t="n">
        <v>46027</v>
      </c>
      <c r="FB10" s="9" t="n">
        <v>0</v>
      </c>
      <c r="FD10" s="9" t="n">
        <v>0</v>
      </c>
      <c r="FE10" s="9" t="n">
        <v>0</v>
      </c>
      <c r="FI10" s="10" t="n">
        <v>46027</v>
      </c>
      <c r="FK10" s="9" t="n">
        <v>0</v>
      </c>
      <c r="FM10" s="9" t="n">
        <v>0</v>
      </c>
      <c r="FN10" s="9" t="n">
        <v>0</v>
      </c>
      <c r="FR10" s="10" t="n">
        <v>46027</v>
      </c>
      <c r="FT10" s="9" t="n">
        <v>0</v>
      </c>
      <c r="FV10" s="9" t="n">
        <v>0</v>
      </c>
      <c r="FW10" s="9" t="n">
        <v>3540</v>
      </c>
      <c r="GA10" s="10" t="n">
        <v>46027</v>
      </c>
      <c r="GC10" s="9" t="n">
        <v>0</v>
      </c>
      <c r="GE10" s="9" t="n">
        <v>0</v>
      </c>
      <c r="GF10" s="9" t="n">
        <v>1960</v>
      </c>
      <c r="GJ10" s="10" t="n">
        <v>46027</v>
      </c>
      <c r="GL10" s="9" t="n">
        <v>0</v>
      </c>
      <c r="GN10" s="9" t="n">
        <v>0</v>
      </c>
      <c r="GO10" s="9" t="n">
        <v>560</v>
      </c>
      <c r="GS10" s="10" t="n">
        <v>46027</v>
      </c>
      <c r="GU10" s="9" t="n">
        <v>0</v>
      </c>
      <c r="GW10" s="9" t="n">
        <v>0</v>
      </c>
      <c r="GX10" s="9" t="n">
        <v>0</v>
      </c>
      <c r="HB10" s="10" t="n">
        <v>46027</v>
      </c>
      <c r="HD10" s="9" t="n">
        <v>0</v>
      </c>
      <c r="HF10" s="9" t="n">
        <v>0</v>
      </c>
      <c r="HG10" s="9" t="n">
        <v>0</v>
      </c>
      <c r="HK10" s="10" t="n">
        <v>46027</v>
      </c>
      <c r="HM10" s="9" t="n">
        <v>0</v>
      </c>
      <c r="HO10" s="9" t="n">
        <v>0</v>
      </c>
      <c r="HP10" s="9" t="n">
        <v>0</v>
      </c>
      <c r="HU10" s="10" t="n">
        <v>46027</v>
      </c>
      <c r="HW10" s="9" t="n">
        <v>0</v>
      </c>
      <c r="HY10" s="9" t="n">
        <v>0</v>
      </c>
      <c r="HZ10" s="9" t="n">
        <v>3980</v>
      </c>
      <c r="ID10" s="10" t="n">
        <v>46027</v>
      </c>
      <c r="IF10" s="9" t="n">
        <v>0</v>
      </c>
      <c r="IH10" s="9" t="n">
        <v>0</v>
      </c>
      <c r="II10" s="9" t="n">
        <v>2960</v>
      </c>
      <c r="IM10" s="10" t="n">
        <v>46027</v>
      </c>
      <c r="IO10" s="9" t="n">
        <v>0</v>
      </c>
      <c r="IQ10" s="9" t="n">
        <v>0</v>
      </c>
      <c r="IR10" s="9" t="n">
        <v>1240</v>
      </c>
      <c r="IV10" s="10" t="n">
        <v>46027</v>
      </c>
      <c r="IX10" s="9" t="n">
        <v>2400</v>
      </c>
      <c r="IZ10" s="9" t="n">
        <v>2400</v>
      </c>
      <c r="JA10" s="9" t="n">
        <v>3920</v>
      </c>
      <c r="JE10" s="10" t="n">
        <v>46027</v>
      </c>
      <c r="JG10" s="9" t="n">
        <v>0</v>
      </c>
      <c r="JI10" s="9" t="n">
        <v>0</v>
      </c>
      <c r="JJ10" s="9" t="n">
        <v>6800</v>
      </c>
      <c r="JN10" s="10" t="n">
        <v>46027</v>
      </c>
      <c r="JP10" s="9" t="n">
        <v>0</v>
      </c>
      <c r="JR10" s="9" t="n">
        <v>0</v>
      </c>
      <c r="JS10" s="9" t="n">
        <v>4400</v>
      </c>
      <c r="JW10" s="10" t="n">
        <v>46027</v>
      </c>
      <c r="JY10" s="9" t="n">
        <v>0</v>
      </c>
      <c r="KA10" s="9" t="n">
        <v>0</v>
      </c>
      <c r="KB10" s="9" t="n">
        <v>0</v>
      </c>
      <c r="KF10" s="10" t="n">
        <v>46027</v>
      </c>
      <c r="KH10" s="9" t="n">
        <v>0</v>
      </c>
      <c r="KJ10" s="9" t="n">
        <v>0</v>
      </c>
      <c r="KK10" s="9" t="n">
        <v>0</v>
      </c>
      <c r="KO10" s="10" t="n">
        <v>46027</v>
      </c>
      <c r="KQ10" s="9" t="n">
        <v>0</v>
      </c>
      <c r="KS10" s="9" t="n">
        <v>0</v>
      </c>
      <c r="KT10" s="9" t="n">
        <v>0</v>
      </c>
      <c r="KX10" s="10" t="n">
        <v>46027</v>
      </c>
      <c r="KZ10" s="9" t="n">
        <v>0</v>
      </c>
      <c r="LB10" s="9" t="n">
        <v>0</v>
      </c>
      <c r="LC10" s="9" t="n">
        <v>0</v>
      </c>
      <c r="LG10" s="10" t="n">
        <v>46027</v>
      </c>
      <c r="LI10" s="9" t="n">
        <v>0</v>
      </c>
      <c r="LK10" s="9" t="n">
        <v>0</v>
      </c>
      <c r="LL10" s="9" t="n">
        <v>0</v>
      </c>
      <c r="LP10" s="10" t="n">
        <v>46027</v>
      </c>
      <c r="LR10" s="9" t="n">
        <v>0</v>
      </c>
      <c r="LT10" s="9" t="n">
        <v>0</v>
      </c>
      <c r="LU10" s="9" t="n">
        <v>0</v>
      </c>
      <c r="LY10" s="10" t="n">
        <v>46027</v>
      </c>
      <c r="MA10" s="9" t="n">
        <v>0</v>
      </c>
      <c r="MC10" s="9" t="n">
        <v>0</v>
      </c>
      <c r="MD10" s="9" t="n">
        <v>0</v>
      </c>
      <c r="MH10" s="10" t="n">
        <v>46027</v>
      </c>
      <c r="MJ10" s="9" t="n">
        <v>0</v>
      </c>
      <c r="ML10" s="9" t="n">
        <v>0</v>
      </c>
      <c r="MM10" s="9" t="n">
        <v>0</v>
      </c>
      <c r="MQ10" s="10" t="n">
        <v>46027</v>
      </c>
      <c r="MS10" s="9" t="n">
        <v>0</v>
      </c>
      <c r="MU10" s="9" t="n">
        <v>0</v>
      </c>
      <c r="MV10" s="9" t="n">
        <v>1371</v>
      </c>
      <c r="MZ10" s="10" t="n">
        <v>46027</v>
      </c>
      <c r="NB10" s="9" t="n">
        <v>360</v>
      </c>
      <c r="ND10" s="9" t="n">
        <v>360</v>
      </c>
      <c r="NE10" s="9" t="n">
        <v>0</v>
      </c>
      <c r="NI10" s="10" t="n">
        <v>46027</v>
      </c>
      <c r="NK10" s="9" t="n">
        <v>0</v>
      </c>
      <c r="NM10" s="9" t="n">
        <v>0</v>
      </c>
      <c r="NN10" s="9" t="n">
        <v>0</v>
      </c>
      <c r="NR10" s="10" t="n">
        <v>46027</v>
      </c>
      <c r="NT10" s="9" t="n">
        <v>0</v>
      </c>
      <c r="NV10" s="9" t="n">
        <v>0</v>
      </c>
      <c r="NW10" s="9" t="n">
        <v>0</v>
      </c>
      <c r="OA10" s="10" t="n">
        <v>46027</v>
      </c>
      <c r="OB10" s="9" t="n">
        <v>500</v>
      </c>
      <c r="OC10" s="9" t="n">
        <v>0</v>
      </c>
      <c r="OE10" s="9" t="n">
        <v>0</v>
      </c>
      <c r="OF10" s="9" t="n">
        <v>335.2</v>
      </c>
      <c r="OJ10" s="10" t="n">
        <v>46027</v>
      </c>
      <c r="OL10" s="9" t="n">
        <v>0</v>
      </c>
      <c r="ON10" s="9" t="n">
        <v>0</v>
      </c>
      <c r="OO10" s="9" t="n">
        <v>0</v>
      </c>
      <c r="OS10" s="10" t="n">
        <v>46027</v>
      </c>
      <c r="OU10" s="9" t="n">
        <v>0</v>
      </c>
      <c r="OW10" s="9" t="n">
        <v>0</v>
      </c>
      <c r="OX10" s="9" t="n">
        <v>67</v>
      </c>
      <c r="PB10" s="10" t="n">
        <v>46027</v>
      </c>
      <c r="PC10" s="9" t="n">
        <v>240</v>
      </c>
      <c r="PD10" s="9" t="n">
        <v>0</v>
      </c>
      <c r="PE10" s="9" t="n">
        <v>240</v>
      </c>
      <c r="PF10" s="9" t="n">
        <v>-240</v>
      </c>
      <c r="PG10" s="9" t="n">
        <v>0</v>
      </c>
      <c r="PK10" s="10" t="n">
        <v>46027</v>
      </c>
      <c r="PM10" s="9" t="n">
        <v>0</v>
      </c>
      <c r="PO10" s="9" t="n">
        <v>0</v>
      </c>
      <c r="PP10" s="9" t="n">
        <v>160</v>
      </c>
      <c r="PT10" s="10" t="n">
        <v>46027</v>
      </c>
      <c r="PV10" s="9" t="n">
        <v>0</v>
      </c>
      <c r="PX10" s="9" t="n">
        <v>0</v>
      </c>
      <c r="PY10" s="9" t="n">
        <v>13.96000000000004</v>
      </c>
      <c r="QC10" s="10" t="n">
        <v>46027</v>
      </c>
      <c r="QE10" s="9" t="n">
        <v>0</v>
      </c>
      <c r="QG10" s="9" t="n">
        <v>0</v>
      </c>
      <c r="QH10" s="9" t="n">
        <v>0</v>
      </c>
      <c r="QL10" s="10" t="n">
        <v>46027</v>
      </c>
      <c r="QN10" s="9" t="n">
        <v>0</v>
      </c>
      <c r="QP10" s="9" t="n">
        <v>0</v>
      </c>
      <c r="QQ10" s="9" t="n">
        <v>0</v>
      </c>
      <c r="QU10" s="10" t="n">
        <v>46027</v>
      </c>
      <c r="QW10" s="9" t="n">
        <v>0</v>
      </c>
      <c r="QY10" s="9" t="n">
        <v>0</v>
      </c>
      <c r="QZ10" s="9" t="n">
        <v>207.6</v>
      </c>
      <c r="RD10" s="10" t="n">
        <v>46027</v>
      </c>
      <c r="RF10" s="9" t="n">
        <v>0</v>
      </c>
      <c r="RH10" s="9" t="n">
        <v>0</v>
      </c>
      <c r="RI10" s="9" t="n">
        <v>201.8</v>
      </c>
      <c r="RM10" s="10" t="n">
        <v>46027</v>
      </c>
      <c r="RO10" s="9" t="n">
        <v>0</v>
      </c>
      <c r="RQ10" s="9" t="n">
        <v>0</v>
      </c>
      <c r="RR10" s="9" t="n">
        <v>22.72</v>
      </c>
      <c r="RV10" s="10" t="n">
        <v>46027</v>
      </c>
      <c r="RX10" s="9" t="n">
        <v>0</v>
      </c>
      <c r="RZ10" s="9" t="n">
        <v>0</v>
      </c>
      <c r="SA10" s="9" t="n">
        <v>0</v>
      </c>
      <c r="SE10" s="10" t="n">
        <v>46027</v>
      </c>
      <c r="SG10" s="9" t="n">
        <v>0</v>
      </c>
      <c r="SI10" s="9" t="n">
        <v>0</v>
      </c>
      <c r="SJ10" s="9" t="n">
        <v>0</v>
      </c>
      <c r="SN10" s="10" t="n">
        <v>46027</v>
      </c>
      <c r="SP10" s="9" t="n">
        <v>0</v>
      </c>
      <c r="SR10" s="9" t="n">
        <v>0</v>
      </c>
      <c r="SS10" s="9" t="n">
        <v>0</v>
      </c>
      <c r="SW10" s="10" t="n">
        <v>46027</v>
      </c>
      <c r="SY10" s="9" t="n">
        <v>0</v>
      </c>
      <c r="TA10" s="9" t="n">
        <v>0</v>
      </c>
      <c r="TB10" s="9" t="n">
        <v>0</v>
      </c>
      <c r="TF10" s="10" t="n">
        <v>46027</v>
      </c>
      <c r="TH10" s="9" t="n">
        <v>0</v>
      </c>
      <c r="TJ10" s="9" t="n">
        <v>0</v>
      </c>
      <c r="TK10" s="9" t="n">
        <v>0</v>
      </c>
      <c r="TO10" s="10" t="n">
        <v>46027</v>
      </c>
      <c r="TQ10" s="9" t="n">
        <v>0</v>
      </c>
      <c r="TS10" s="9" t="n">
        <v>0</v>
      </c>
      <c r="TT10" s="9" t="n">
        <v>0</v>
      </c>
      <c r="TX10" s="10" t="n">
        <v>46027</v>
      </c>
      <c r="TZ10" s="9" t="n">
        <v>0</v>
      </c>
      <c r="UB10" s="9" t="n">
        <v>0</v>
      </c>
      <c r="UC10" s="9" t="n">
        <v>0</v>
      </c>
      <c r="UG10" s="10" t="n">
        <v>46027</v>
      </c>
      <c r="UI10" s="9" t="n">
        <v>0</v>
      </c>
      <c r="UK10" s="9" t="n">
        <v>0</v>
      </c>
      <c r="UL10" s="9" t="n">
        <v>0</v>
      </c>
      <c r="UP10" s="10" t="n">
        <v>46027</v>
      </c>
      <c r="UR10" s="9" t="n">
        <v>0</v>
      </c>
      <c r="UT10" s="9" t="n">
        <v>0</v>
      </c>
      <c r="UU10" s="9" t="n">
        <v>0</v>
      </c>
      <c r="UY10" s="10" t="n">
        <v>46027</v>
      </c>
      <c r="VA10" s="9" t="n">
        <v>0</v>
      </c>
      <c r="VC10" s="9" t="n">
        <v>0</v>
      </c>
      <c r="VD10" s="9" t="n">
        <v>-319.6</v>
      </c>
      <c r="VH10" s="10" t="n">
        <v>46027</v>
      </c>
      <c r="VJ10" s="9" t="n">
        <v>0</v>
      </c>
      <c r="VL10" s="9" t="n">
        <v>0</v>
      </c>
      <c r="VM10" s="9" t="n">
        <v>0</v>
      </c>
      <c r="VQ10" s="10" t="n">
        <v>46027</v>
      </c>
      <c r="VS10" s="9" t="n">
        <v>0</v>
      </c>
      <c r="VU10" s="9" t="n">
        <v>0</v>
      </c>
      <c r="VV10" s="9" t="n">
        <v>0</v>
      </c>
      <c r="VZ10" s="10" t="n">
        <v>46027</v>
      </c>
      <c r="WB10" s="9" t="n">
        <v>0</v>
      </c>
      <c r="WD10" s="9" t="n">
        <v>0</v>
      </c>
      <c r="WE10" s="9" t="n">
        <v>0</v>
      </c>
      <c r="WI10" s="10" t="n">
        <v>46027</v>
      </c>
      <c r="WK10" s="9" t="n">
        <v>0</v>
      </c>
      <c r="WM10" s="9" t="n">
        <v>0</v>
      </c>
      <c r="WN10" s="9" t="n">
        <v>5877</v>
      </c>
      <c r="WR10" s="10" t="n">
        <v>46027</v>
      </c>
      <c r="WT10" s="9" t="n">
        <v>0</v>
      </c>
      <c r="WV10" s="9" t="n">
        <v>0</v>
      </c>
      <c r="WW10" s="9" t="n">
        <v>5267</v>
      </c>
      <c r="XA10" s="10" t="n">
        <v>46027</v>
      </c>
      <c r="XC10" s="9" t="n">
        <v>0</v>
      </c>
      <c r="XE10" s="9" t="n">
        <v>0</v>
      </c>
      <c r="XF10" s="9" t="n">
        <v>2639</v>
      </c>
      <c r="XJ10" s="10" t="n">
        <v>46027</v>
      </c>
      <c r="XL10" s="9" t="n">
        <v>0</v>
      </c>
      <c r="XN10" s="9" t="n">
        <v>0</v>
      </c>
      <c r="XO10" s="9" t="n">
        <v>6772</v>
      </c>
      <c r="XS10" s="10" t="n">
        <v>46027</v>
      </c>
      <c r="XU10" s="9" t="n">
        <v>0</v>
      </c>
      <c r="XW10" s="9" t="n">
        <v>0</v>
      </c>
      <c r="XX10" s="9" t="n">
        <v>1901</v>
      </c>
      <c r="YB10" s="10" t="n">
        <v>46027</v>
      </c>
      <c r="YD10" s="9" t="n">
        <v>0</v>
      </c>
      <c r="YF10" s="9" t="n">
        <v>0</v>
      </c>
      <c r="YG10" s="9" t="n">
        <v>4175</v>
      </c>
      <c r="YK10" s="10" t="n">
        <v>46027</v>
      </c>
      <c r="YM10" s="9" t="n">
        <v>0</v>
      </c>
      <c r="YO10" s="9" t="n">
        <v>0</v>
      </c>
      <c r="YP10" s="9" t="n">
        <v>0</v>
      </c>
      <c r="YT10" s="10" t="n">
        <v>46027</v>
      </c>
      <c r="YV10" s="9" t="n">
        <v>0</v>
      </c>
      <c r="YX10" s="9" t="n">
        <v>0</v>
      </c>
      <c r="YY10" s="9" t="n">
        <v>0</v>
      </c>
      <c r="ZC10" s="10" t="n">
        <v>46027</v>
      </c>
      <c r="ZE10" s="9" t="n">
        <v>0</v>
      </c>
      <c r="ZG10" s="9" t="n">
        <v>0</v>
      </c>
      <c r="ZH10" s="9" t="n">
        <v>0</v>
      </c>
      <c r="ZL10" s="10" t="n">
        <v>46027</v>
      </c>
      <c r="ZN10" s="9" t="n">
        <v>0</v>
      </c>
      <c r="ZP10" s="9" t="n">
        <v>0</v>
      </c>
      <c r="ZQ10" s="9" t="n">
        <v>0</v>
      </c>
      <c r="ZU10" s="10" t="n">
        <v>46027</v>
      </c>
      <c r="ZW10" s="9" t="n">
        <v>0</v>
      </c>
      <c r="ZY10" s="9" t="n">
        <v>0</v>
      </c>
      <c r="ZZ10" s="9" t="n">
        <v>0</v>
      </c>
      <c r="AAD10" s="10" t="n">
        <v>46027</v>
      </c>
      <c r="AAF10" s="9" t="n">
        <v>0</v>
      </c>
      <c r="AAH10" s="9" t="n">
        <v>0</v>
      </c>
      <c r="AAI10" s="9" t="n">
        <v>0</v>
      </c>
      <c r="AAM10" s="10" t="n">
        <v>46027</v>
      </c>
      <c r="AAO10" s="9" t="n">
        <v>0</v>
      </c>
      <c r="AAQ10" s="9" t="n">
        <v>0</v>
      </c>
      <c r="AAR10" s="9" t="n">
        <v>0</v>
      </c>
      <c r="AAV10" s="10" t="n">
        <v>46027</v>
      </c>
      <c r="AAX10" s="9" t="n">
        <v>0</v>
      </c>
      <c r="AAZ10" s="9" t="n">
        <v>0</v>
      </c>
      <c r="ABA10" s="9" t="n">
        <v>0</v>
      </c>
      <c r="ABE10" s="10" t="n">
        <v>46027</v>
      </c>
      <c r="ABG10" s="9" t="n">
        <v>0</v>
      </c>
      <c r="ABI10" s="9" t="n">
        <v>0</v>
      </c>
      <c r="ABJ10" s="9" t="n">
        <v>0</v>
      </c>
    </row>
    <row r="11">
      <c r="B11" s="9" t="n">
        <v>80</v>
      </c>
      <c r="C11" s="10" t="n">
        <v>46028</v>
      </c>
      <c r="D11" s="9" t="n">
        <v>21800</v>
      </c>
      <c r="E11" s="9" t="n">
        <v>43757.5</v>
      </c>
      <c r="F11" s="9" t="n">
        <v>43764.2</v>
      </c>
      <c r="G11" s="9" t="n">
        <v>-6.69999999999709</v>
      </c>
      <c r="H11" s="9" t="n">
        <v>36979</v>
      </c>
      <c r="I11" s="9" t="inlineStr">
        <is>
          <t>8102 70mt, 8103 10mt</t>
        </is>
      </c>
      <c r="L11" s="10" t="n">
        <v>46028</v>
      </c>
      <c r="N11" s="9" t="n">
        <v>21547.5</v>
      </c>
      <c r="O11" s="9" t="n">
        <v>21540.2</v>
      </c>
      <c r="P11" s="9" t="n">
        <v>7.299999999995634</v>
      </c>
      <c r="Q11" s="9" t="n">
        <v>13322.40000000001</v>
      </c>
      <c r="U11" s="10" t="n">
        <v>46028</v>
      </c>
      <c r="W11" s="9" t="n">
        <v>3950</v>
      </c>
      <c r="X11" s="9" t="n">
        <v>3953.4</v>
      </c>
      <c r="Y11" s="9" t="n">
        <v>-3.400000000000091</v>
      </c>
      <c r="Z11" s="9" t="n">
        <v>20317.49999999999</v>
      </c>
      <c r="AD11" s="10" t="n">
        <v>46028</v>
      </c>
      <c r="AF11" s="9" t="n">
        <v>3700</v>
      </c>
      <c r="AG11" s="9" t="n">
        <v>3702.2</v>
      </c>
      <c r="AH11" s="9" t="n">
        <v>-2.199999999999818</v>
      </c>
      <c r="AI11" s="9" t="n">
        <v>17892.50000000001</v>
      </c>
      <c r="AM11" s="10" t="n">
        <v>46028</v>
      </c>
      <c r="AO11" s="9" t="n">
        <v>0</v>
      </c>
      <c r="AQ11" s="9" t="n">
        <v>0</v>
      </c>
      <c r="AR11" s="9" t="n">
        <v>0</v>
      </c>
      <c r="AV11" s="10" t="n">
        <v>46028</v>
      </c>
      <c r="AX11" s="9" t="n">
        <v>1600</v>
      </c>
      <c r="AY11" s="9" t="n">
        <v>1599.3</v>
      </c>
      <c r="AZ11" s="9" t="n">
        <v>0.7000000000000455</v>
      </c>
      <c r="BA11" s="9" t="n">
        <v>22713.69999999999</v>
      </c>
      <c r="BE11" s="10" t="n">
        <v>46028</v>
      </c>
      <c r="BF11" s="9" t="n">
        <v>22000</v>
      </c>
      <c r="BG11" s="9" t="n">
        <v>1600</v>
      </c>
      <c r="BH11" s="9" t="n">
        <v>1600</v>
      </c>
      <c r="BI11" s="9" t="n">
        <v>0</v>
      </c>
      <c r="BJ11" s="9" t="n">
        <v>20742.30000000001</v>
      </c>
      <c r="BN11" s="10" t="n">
        <v>46028</v>
      </c>
      <c r="BO11" s="9" t="n">
        <v>1550</v>
      </c>
      <c r="BP11" s="9" t="n">
        <v>1550</v>
      </c>
      <c r="BQ11" s="9" t="n">
        <v>1550</v>
      </c>
      <c r="BR11" s="9" t="n">
        <v>0</v>
      </c>
      <c r="BS11" s="9" t="n">
        <v>0</v>
      </c>
      <c r="BW11" s="10" t="n">
        <v>46028</v>
      </c>
      <c r="BY11" s="9" t="n">
        <v>0</v>
      </c>
      <c r="CA11" s="9" t="n">
        <v>0</v>
      </c>
      <c r="CB11" s="9" t="n">
        <v>512.5</v>
      </c>
      <c r="CF11" s="10" t="n">
        <v>46028</v>
      </c>
      <c r="CH11" s="9" t="n">
        <v>0</v>
      </c>
      <c r="CJ11" s="9" t="n">
        <v>0</v>
      </c>
      <c r="CK11" s="9" t="n">
        <v>0</v>
      </c>
      <c r="CO11" s="10" t="n">
        <v>46028</v>
      </c>
      <c r="CQ11" s="9" t="n">
        <v>0</v>
      </c>
      <c r="CS11" s="9" t="n">
        <v>0</v>
      </c>
      <c r="CT11" s="9" t="n">
        <v>0</v>
      </c>
      <c r="CX11" s="10" t="n">
        <v>46028</v>
      </c>
      <c r="CZ11" s="9" t="n">
        <v>0</v>
      </c>
      <c r="DB11" s="9" t="n">
        <v>0</v>
      </c>
      <c r="DC11" s="9" t="n">
        <v>0</v>
      </c>
      <c r="DG11" s="10" t="n">
        <v>46028</v>
      </c>
      <c r="DI11" s="9" t="n">
        <v>350</v>
      </c>
      <c r="DJ11" s="9" t="n">
        <v>351.8</v>
      </c>
      <c r="DK11" s="9" t="n">
        <v>-1.800000000000011</v>
      </c>
      <c r="DL11" s="9" t="n">
        <v>26791.6</v>
      </c>
      <c r="DP11" s="10" t="n">
        <v>46028</v>
      </c>
      <c r="DR11" s="9" t="n">
        <v>0</v>
      </c>
      <c r="DT11" s="9" t="n">
        <v>0</v>
      </c>
      <c r="DU11" s="9" t="n">
        <v>0</v>
      </c>
      <c r="DY11" s="10" t="n">
        <v>46028</v>
      </c>
      <c r="EA11" s="9" t="n">
        <v>0</v>
      </c>
      <c r="EC11" s="9" t="n">
        <v>0</v>
      </c>
      <c r="ED11" s="9" t="n">
        <v>0</v>
      </c>
      <c r="EH11" s="10" t="n">
        <v>46028</v>
      </c>
      <c r="EJ11" s="9" t="n">
        <v>0</v>
      </c>
      <c r="EL11" s="9" t="n">
        <v>0</v>
      </c>
      <c r="EM11" s="9" t="n">
        <v>0</v>
      </c>
      <c r="EQ11" s="10" t="n">
        <v>46028</v>
      </c>
      <c r="ES11" s="9" t="n">
        <v>0</v>
      </c>
      <c r="EU11" s="9" t="n">
        <v>0</v>
      </c>
      <c r="EV11" s="9" t="n">
        <v>0</v>
      </c>
      <c r="EZ11" s="10" t="n">
        <v>46028</v>
      </c>
      <c r="FB11" s="9" t="n">
        <v>0</v>
      </c>
      <c r="FD11" s="9" t="n">
        <v>0</v>
      </c>
      <c r="FE11" s="9" t="n">
        <v>0</v>
      </c>
      <c r="FI11" s="10" t="n">
        <v>46028</v>
      </c>
      <c r="FK11" s="9" t="n">
        <v>0</v>
      </c>
      <c r="FM11" s="9" t="n">
        <v>0</v>
      </c>
      <c r="FN11" s="9" t="n">
        <v>0</v>
      </c>
      <c r="FR11" s="10" t="n">
        <v>46028</v>
      </c>
      <c r="FT11" s="9" t="n">
        <v>0</v>
      </c>
      <c r="FV11" s="9" t="n">
        <v>0</v>
      </c>
      <c r="FW11" s="9" t="n">
        <v>3540</v>
      </c>
      <c r="GA11" s="10" t="n">
        <v>46028</v>
      </c>
      <c r="GC11" s="9" t="n">
        <v>0</v>
      </c>
      <c r="GE11" s="9" t="n">
        <v>0</v>
      </c>
      <c r="GF11" s="9" t="n">
        <v>1960</v>
      </c>
      <c r="GJ11" s="10" t="n">
        <v>46028</v>
      </c>
      <c r="GL11" s="9" t="n">
        <v>0</v>
      </c>
      <c r="GN11" s="9" t="n">
        <v>0</v>
      </c>
      <c r="GO11" s="9" t="n">
        <v>560</v>
      </c>
      <c r="GS11" s="10" t="n">
        <v>46028</v>
      </c>
      <c r="GU11" s="9" t="n">
        <v>0</v>
      </c>
      <c r="GW11" s="9" t="n">
        <v>0</v>
      </c>
      <c r="GX11" s="9" t="n">
        <v>0</v>
      </c>
      <c r="HB11" s="10" t="n">
        <v>46028</v>
      </c>
      <c r="HD11" s="9" t="n">
        <v>0</v>
      </c>
      <c r="HF11" s="9" t="n">
        <v>0</v>
      </c>
      <c r="HG11" s="9" t="n">
        <v>0</v>
      </c>
      <c r="HK11" s="10" t="n">
        <v>46028</v>
      </c>
      <c r="HM11" s="9" t="n">
        <v>0</v>
      </c>
      <c r="HO11" s="9" t="n">
        <v>0</v>
      </c>
      <c r="HP11" s="9" t="n">
        <v>0</v>
      </c>
      <c r="HU11" s="10" t="n">
        <v>46028</v>
      </c>
      <c r="HW11" s="9" t="n">
        <v>0</v>
      </c>
      <c r="HY11" s="9" t="n">
        <v>0</v>
      </c>
      <c r="HZ11" s="9" t="n">
        <v>3980</v>
      </c>
      <c r="ID11" s="10" t="n">
        <v>46028</v>
      </c>
      <c r="IF11" s="9" t="n">
        <v>0</v>
      </c>
      <c r="IH11" s="9" t="n">
        <v>0</v>
      </c>
      <c r="II11" s="9" t="n">
        <v>2960</v>
      </c>
      <c r="IM11" s="10" t="n">
        <v>46028</v>
      </c>
      <c r="IO11" s="9" t="n">
        <v>1400</v>
      </c>
      <c r="IQ11" s="9" t="n">
        <v>1400</v>
      </c>
      <c r="IR11" s="9" t="n">
        <v>1240</v>
      </c>
      <c r="IV11" s="10" t="n">
        <v>46028</v>
      </c>
      <c r="IX11" s="9" t="n">
        <v>200</v>
      </c>
      <c r="IZ11" s="9" t="n">
        <v>200</v>
      </c>
      <c r="JA11" s="9" t="n">
        <v>3920</v>
      </c>
      <c r="JE11" s="10" t="n">
        <v>46028</v>
      </c>
      <c r="JG11" s="9" t="n">
        <v>0</v>
      </c>
      <c r="JI11" s="9" t="n">
        <v>0</v>
      </c>
      <c r="JJ11" s="9" t="n">
        <v>6800</v>
      </c>
      <c r="JN11" s="10" t="n">
        <v>46028</v>
      </c>
      <c r="JP11" s="9" t="n">
        <v>0</v>
      </c>
      <c r="JR11" s="9" t="n">
        <v>0</v>
      </c>
      <c r="JS11" s="9" t="n">
        <v>4400</v>
      </c>
      <c r="JW11" s="10" t="n">
        <v>46028</v>
      </c>
      <c r="JY11" s="9" t="n">
        <v>0</v>
      </c>
      <c r="KA11" s="9" t="n">
        <v>0</v>
      </c>
      <c r="KB11" s="9" t="n">
        <v>0</v>
      </c>
      <c r="KF11" s="10" t="n">
        <v>46028</v>
      </c>
      <c r="KH11" s="9" t="n">
        <v>0</v>
      </c>
      <c r="KJ11" s="9" t="n">
        <v>0</v>
      </c>
      <c r="KK11" s="9" t="n">
        <v>0</v>
      </c>
      <c r="KO11" s="10" t="n">
        <v>46028</v>
      </c>
      <c r="KQ11" s="9" t="n">
        <v>0</v>
      </c>
      <c r="KS11" s="9" t="n">
        <v>0</v>
      </c>
      <c r="KT11" s="9" t="n">
        <v>0</v>
      </c>
      <c r="KX11" s="10" t="n">
        <v>46028</v>
      </c>
      <c r="KZ11" s="9" t="n">
        <v>0</v>
      </c>
      <c r="LB11" s="9" t="n">
        <v>0</v>
      </c>
      <c r="LC11" s="9" t="n">
        <v>0</v>
      </c>
      <c r="LG11" s="10" t="n">
        <v>46028</v>
      </c>
      <c r="LI11" s="9" t="n">
        <v>0</v>
      </c>
      <c r="LK11" s="9" t="n">
        <v>0</v>
      </c>
      <c r="LL11" s="9" t="n">
        <v>0</v>
      </c>
      <c r="LP11" s="10" t="n">
        <v>46028</v>
      </c>
      <c r="LR11" s="9" t="n">
        <v>0</v>
      </c>
      <c r="LT11" s="9" t="n">
        <v>0</v>
      </c>
      <c r="LU11" s="9" t="n">
        <v>0</v>
      </c>
      <c r="LY11" s="10" t="n">
        <v>46028</v>
      </c>
      <c r="MA11" s="9" t="n">
        <v>0</v>
      </c>
      <c r="MC11" s="9" t="n">
        <v>0</v>
      </c>
      <c r="MD11" s="9" t="n">
        <v>0</v>
      </c>
      <c r="MH11" s="10" t="n">
        <v>46028</v>
      </c>
      <c r="MJ11" s="9" t="n">
        <v>0</v>
      </c>
      <c r="ML11" s="9" t="n">
        <v>0</v>
      </c>
      <c r="MM11" s="9" t="n">
        <v>0</v>
      </c>
      <c r="MQ11" s="10" t="n">
        <v>46028</v>
      </c>
      <c r="MS11" s="9" t="n">
        <v>35</v>
      </c>
      <c r="MU11" s="9" t="n">
        <v>35</v>
      </c>
      <c r="MV11" s="9" t="n">
        <v>1371</v>
      </c>
      <c r="MZ11" s="10" t="n">
        <v>46028</v>
      </c>
      <c r="NB11" s="9" t="n">
        <v>240</v>
      </c>
      <c r="ND11" s="9" t="n">
        <v>240</v>
      </c>
      <c r="NE11" s="9" t="n">
        <v>0</v>
      </c>
      <c r="NI11" s="10" t="n">
        <v>46028</v>
      </c>
      <c r="NK11" s="9" t="n">
        <v>0</v>
      </c>
      <c r="NM11" s="9" t="n">
        <v>0</v>
      </c>
      <c r="NN11" s="9" t="n">
        <v>0</v>
      </c>
      <c r="NR11" s="10" t="n">
        <v>46028</v>
      </c>
      <c r="NT11" s="9" t="n">
        <v>0</v>
      </c>
      <c r="NV11" s="9" t="n">
        <v>0</v>
      </c>
      <c r="NW11" s="9" t="n">
        <v>0</v>
      </c>
      <c r="OA11" s="10" t="n">
        <v>46028</v>
      </c>
      <c r="OC11" s="9" t="n">
        <v>70</v>
      </c>
      <c r="OE11" s="9" t="n">
        <v>70</v>
      </c>
      <c r="OF11" s="9" t="n">
        <v>335.2</v>
      </c>
      <c r="OJ11" s="10" t="n">
        <v>46028</v>
      </c>
      <c r="OL11" s="9" t="n">
        <v>0</v>
      </c>
      <c r="ON11" s="9" t="n">
        <v>0</v>
      </c>
      <c r="OO11" s="9" t="n">
        <v>0</v>
      </c>
      <c r="OS11" s="10" t="n">
        <v>46028</v>
      </c>
      <c r="OU11" s="9" t="n">
        <v>0</v>
      </c>
      <c r="OW11" s="9" t="n">
        <v>0</v>
      </c>
      <c r="OX11" s="9" t="n">
        <v>67</v>
      </c>
      <c r="PB11" s="10" t="n">
        <v>46028</v>
      </c>
      <c r="PD11" s="9" t="n">
        <v>0</v>
      </c>
      <c r="PF11" s="9" t="n">
        <v>0</v>
      </c>
      <c r="PG11" s="9" t="n">
        <v>0</v>
      </c>
      <c r="PK11" s="10" t="n">
        <v>46028</v>
      </c>
      <c r="PM11" s="9" t="n">
        <v>0</v>
      </c>
      <c r="PO11" s="9" t="n">
        <v>0</v>
      </c>
      <c r="PP11" s="9" t="n">
        <v>160</v>
      </c>
      <c r="PT11" s="10" t="n">
        <v>46028</v>
      </c>
      <c r="PV11" s="9" t="n">
        <v>0</v>
      </c>
      <c r="PX11" s="9" t="n">
        <v>0</v>
      </c>
      <c r="PY11" s="9" t="n">
        <v>13.96000000000004</v>
      </c>
      <c r="QC11" s="10" t="n">
        <v>46028</v>
      </c>
      <c r="QE11" s="9" t="n">
        <v>0</v>
      </c>
      <c r="QG11" s="9" t="n">
        <v>0</v>
      </c>
      <c r="QH11" s="9" t="n">
        <v>0</v>
      </c>
      <c r="QL11" s="10" t="n">
        <v>46028</v>
      </c>
      <c r="QN11" s="9" t="n">
        <v>0</v>
      </c>
      <c r="QP11" s="9" t="n">
        <v>0</v>
      </c>
      <c r="QQ11" s="9" t="n">
        <v>0</v>
      </c>
      <c r="QU11" s="10" t="n">
        <v>46028</v>
      </c>
      <c r="QW11" s="9" t="n">
        <v>0</v>
      </c>
      <c r="QY11" s="9" t="n">
        <v>0</v>
      </c>
      <c r="QZ11" s="9" t="n">
        <v>207.6</v>
      </c>
      <c r="RD11" s="10" t="n">
        <v>46028</v>
      </c>
      <c r="RF11" s="9" t="n">
        <v>0</v>
      </c>
      <c r="RH11" s="9" t="n">
        <v>0</v>
      </c>
      <c r="RI11" s="9" t="n">
        <v>201.8</v>
      </c>
      <c r="RM11" s="10" t="n">
        <v>46028</v>
      </c>
      <c r="RO11" s="9" t="n">
        <v>0</v>
      </c>
      <c r="RQ11" s="9" t="n">
        <v>0</v>
      </c>
      <c r="RR11" s="9" t="n">
        <v>22.72</v>
      </c>
      <c r="RV11" s="10" t="n">
        <v>46028</v>
      </c>
      <c r="RX11" s="9" t="n">
        <v>0</v>
      </c>
      <c r="RZ11" s="9" t="n">
        <v>0</v>
      </c>
      <c r="SA11" s="9" t="n">
        <v>0</v>
      </c>
      <c r="SE11" s="10" t="n">
        <v>46028</v>
      </c>
      <c r="SG11" s="9" t="n">
        <v>0</v>
      </c>
      <c r="SI11" s="9" t="n">
        <v>0</v>
      </c>
      <c r="SJ11" s="9" t="n">
        <v>0</v>
      </c>
      <c r="SN11" s="10" t="n">
        <v>46028</v>
      </c>
      <c r="SP11" s="9" t="n">
        <v>0</v>
      </c>
      <c r="SR11" s="9" t="n">
        <v>0</v>
      </c>
      <c r="SS11" s="9" t="n">
        <v>0</v>
      </c>
      <c r="SW11" s="10" t="n">
        <v>46028</v>
      </c>
      <c r="SY11" s="9" t="n">
        <v>0</v>
      </c>
      <c r="TA11" s="9" t="n">
        <v>0</v>
      </c>
      <c r="TB11" s="9" t="n">
        <v>0</v>
      </c>
      <c r="TF11" s="10" t="n">
        <v>46028</v>
      </c>
      <c r="TH11" s="9" t="n">
        <v>0</v>
      </c>
      <c r="TJ11" s="9" t="n">
        <v>0</v>
      </c>
      <c r="TK11" s="9" t="n">
        <v>0</v>
      </c>
      <c r="TO11" s="10" t="n">
        <v>46028</v>
      </c>
      <c r="TQ11" s="9" t="n">
        <v>0</v>
      </c>
      <c r="TS11" s="9" t="n">
        <v>0</v>
      </c>
      <c r="TT11" s="9" t="n">
        <v>0</v>
      </c>
      <c r="TX11" s="10" t="n">
        <v>46028</v>
      </c>
      <c r="TZ11" s="9" t="n">
        <v>0</v>
      </c>
      <c r="UB11" s="9" t="n">
        <v>0</v>
      </c>
      <c r="UC11" s="9" t="n">
        <v>0</v>
      </c>
      <c r="UG11" s="10" t="n">
        <v>46028</v>
      </c>
      <c r="UI11" s="9" t="n">
        <v>0</v>
      </c>
      <c r="UK11" s="9" t="n">
        <v>0</v>
      </c>
      <c r="UL11" s="9" t="n">
        <v>0</v>
      </c>
      <c r="UP11" s="10" t="n">
        <v>46028</v>
      </c>
      <c r="UR11" s="9" t="n">
        <v>0</v>
      </c>
      <c r="UT11" s="9" t="n">
        <v>0</v>
      </c>
      <c r="UU11" s="9" t="n">
        <v>0</v>
      </c>
      <c r="UY11" s="10" t="n">
        <v>46028</v>
      </c>
      <c r="VA11" s="9" t="n">
        <v>0</v>
      </c>
      <c r="VC11" s="9" t="n">
        <v>0</v>
      </c>
      <c r="VD11" s="9" t="n">
        <v>-319.6</v>
      </c>
      <c r="VH11" s="10" t="n">
        <v>46028</v>
      </c>
      <c r="VJ11" s="9" t="n">
        <v>0</v>
      </c>
      <c r="VL11" s="9" t="n">
        <v>0</v>
      </c>
      <c r="VM11" s="9" t="n">
        <v>0</v>
      </c>
      <c r="VQ11" s="10" t="n">
        <v>46028</v>
      </c>
      <c r="VS11" s="9" t="n">
        <v>0</v>
      </c>
      <c r="VU11" s="9" t="n">
        <v>0</v>
      </c>
      <c r="VV11" s="9" t="n">
        <v>0</v>
      </c>
      <c r="VZ11" s="10" t="n">
        <v>46028</v>
      </c>
      <c r="WB11" s="9" t="n">
        <v>0</v>
      </c>
      <c r="WD11" s="9" t="n">
        <v>0</v>
      </c>
      <c r="WE11" s="9" t="n">
        <v>0</v>
      </c>
      <c r="WI11" s="10" t="n">
        <v>46028</v>
      </c>
      <c r="WK11" s="9" t="n">
        <v>0</v>
      </c>
      <c r="WM11" s="9" t="n">
        <v>0</v>
      </c>
      <c r="WN11" s="9" t="n">
        <v>5877</v>
      </c>
      <c r="WR11" s="10" t="n">
        <v>46028</v>
      </c>
      <c r="WT11" s="9" t="n">
        <v>0</v>
      </c>
      <c r="WV11" s="9" t="n">
        <v>0</v>
      </c>
      <c r="WW11" s="9" t="n">
        <v>5267</v>
      </c>
      <c r="XA11" s="10" t="n">
        <v>46028</v>
      </c>
      <c r="XC11" s="9" t="n">
        <v>0</v>
      </c>
      <c r="XE11" s="9" t="n">
        <v>0</v>
      </c>
      <c r="XF11" s="9" t="n">
        <v>2639</v>
      </c>
      <c r="XJ11" s="10" t="n">
        <v>46028</v>
      </c>
      <c r="XL11" s="9" t="n">
        <v>0</v>
      </c>
      <c r="XN11" s="9" t="n">
        <v>0</v>
      </c>
      <c r="XO11" s="9" t="n">
        <v>6772</v>
      </c>
      <c r="XS11" s="10" t="n">
        <v>46028</v>
      </c>
      <c r="XU11" s="9" t="n">
        <v>0</v>
      </c>
      <c r="XW11" s="9" t="n">
        <v>0</v>
      </c>
      <c r="XX11" s="9" t="n">
        <v>1901</v>
      </c>
      <c r="YB11" s="10" t="n">
        <v>46028</v>
      </c>
      <c r="YD11" s="9" t="n">
        <v>0</v>
      </c>
      <c r="YF11" s="9" t="n">
        <v>0</v>
      </c>
      <c r="YG11" s="9" t="n">
        <v>4175</v>
      </c>
      <c r="YK11" s="10" t="n">
        <v>46028</v>
      </c>
      <c r="YM11" s="9" t="n">
        <v>0</v>
      </c>
      <c r="YO11" s="9" t="n">
        <v>0</v>
      </c>
      <c r="YP11" s="9" t="n">
        <v>0</v>
      </c>
      <c r="YT11" s="10" t="n">
        <v>46028</v>
      </c>
      <c r="YV11" s="9" t="n">
        <v>0</v>
      </c>
      <c r="YX11" s="9" t="n">
        <v>0</v>
      </c>
      <c r="YY11" s="9" t="n">
        <v>0</v>
      </c>
      <c r="ZC11" s="10" t="n">
        <v>46028</v>
      </c>
      <c r="ZE11" s="9" t="n">
        <v>0</v>
      </c>
      <c r="ZG11" s="9" t="n">
        <v>0</v>
      </c>
      <c r="ZH11" s="9" t="n">
        <v>0</v>
      </c>
      <c r="ZL11" s="10" t="n">
        <v>46028</v>
      </c>
      <c r="ZN11" s="9" t="n">
        <v>0</v>
      </c>
      <c r="ZP11" s="9" t="n">
        <v>0</v>
      </c>
      <c r="ZQ11" s="9" t="n">
        <v>0</v>
      </c>
      <c r="ZU11" s="10" t="n">
        <v>46028</v>
      </c>
      <c r="ZW11" s="9" t="n">
        <v>0</v>
      </c>
      <c r="ZY11" s="9" t="n">
        <v>0</v>
      </c>
      <c r="ZZ11" s="9" t="n">
        <v>0</v>
      </c>
      <c r="AAD11" s="10" t="n">
        <v>46028</v>
      </c>
      <c r="AAF11" s="9" t="n">
        <v>0</v>
      </c>
      <c r="AAH11" s="9" t="n">
        <v>0</v>
      </c>
      <c r="AAI11" s="9" t="n">
        <v>0</v>
      </c>
      <c r="AAM11" s="10" t="n">
        <v>46028</v>
      </c>
      <c r="AAO11" s="9" t="n">
        <v>0</v>
      </c>
      <c r="AAQ11" s="9" t="n">
        <v>0</v>
      </c>
      <c r="AAR11" s="9" t="n">
        <v>0</v>
      </c>
      <c r="AAV11" s="10" t="n">
        <v>46028</v>
      </c>
      <c r="AAX11" s="9" t="n">
        <v>0</v>
      </c>
      <c r="AAZ11" s="9" t="n">
        <v>0</v>
      </c>
      <c r="ABA11" s="9" t="n">
        <v>0</v>
      </c>
      <c r="ABE11" s="10" t="n">
        <v>46028</v>
      </c>
      <c r="ABG11" s="9" t="n">
        <v>0</v>
      </c>
      <c r="ABI11" s="9" t="n">
        <v>0</v>
      </c>
      <c r="ABJ11" s="9" t="n">
        <v>0</v>
      </c>
    </row>
    <row r="12">
      <c r="B12" s="9" t="n">
        <v>80</v>
      </c>
      <c r="C12" s="10" t="n">
        <v>46029</v>
      </c>
      <c r="D12" s="9" t="n">
        <v>44960</v>
      </c>
      <c r="E12" s="9" t="n">
        <v>45505</v>
      </c>
      <c r="F12" s="9" t="n">
        <v>45501</v>
      </c>
      <c r="G12" s="9" t="n">
        <v>4</v>
      </c>
      <c r="H12" s="9" t="n">
        <v>36438</v>
      </c>
      <c r="I12" s="9" t="inlineStr">
        <is>
          <t>8102 50mt, 8103 20mt, 1103 10mt</t>
        </is>
      </c>
      <c r="L12" s="10" t="n">
        <v>46029</v>
      </c>
      <c r="N12" s="9" t="n">
        <v>19350</v>
      </c>
      <c r="O12" s="9" t="n">
        <v>19348.6</v>
      </c>
      <c r="P12" s="9" t="n">
        <v>1.399999999997817</v>
      </c>
      <c r="Q12" s="9" t="n">
        <v>-6026.199999999993</v>
      </c>
      <c r="U12" s="10" t="n">
        <v>46029</v>
      </c>
      <c r="W12" s="9" t="n">
        <v>4200</v>
      </c>
      <c r="X12" s="9" t="n">
        <v>4200.7</v>
      </c>
      <c r="Y12" s="9" t="n">
        <v>-0.6999999999998181</v>
      </c>
      <c r="Z12" s="9" t="n">
        <v>16116.79999999999</v>
      </c>
      <c r="AD12" s="10" t="n">
        <v>46029</v>
      </c>
      <c r="AF12" s="9" t="n">
        <v>3600</v>
      </c>
      <c r="AG12" s="9" t="n">
        <v>3600.9</v>
      </c>
      <c r="AH12" s="9" t="n">
        <v>-0.9000000000000909</v>
      </c>
      <c r="AI12" s="9" t="n">
        <v>14291.60000000001</v>
      </c>
      <c r="AM12" s="10" t="n">
        <v>46029</v>
      </c>
      <c r="AO12" s="9" t="n">
        <v>0</v>
      </c>
      <c r="AQ12" s="9" t="n">
        <v>0</v>
      </c>
      <c r="AR12" s="9" t="n">
        <v>0</v>
      </c>
      <c r="AV12" s="10" t="n">
        <v>46029</v>
      </c>
      <c r="AX12" s="9" t="n">
        <v>1555</v>
      </c>
      <c r="AY12" s="9" t="n">
        <v>1556.6</v>
      </c>
      <c r="AZ12" s="9" t="n">
        <v>-1.599999999999909</v>
      </c>
      <c r="BA12" s="9" t="n">
        <v>21157.09999999999</v>
      </c>
      <c r="BE12" s="10" t="n">
        <v>46029</v>
      </c>
      <c r="BG12" s="9" t="n">
        <v>1650</v>
      </c>
      <c r="BH12" s="9" t="n">
        <v>1654.3</v>
      </c>
      <c r="BI12" s="9" t="n">
        <v>-4.299999999999955</v>
      </c>
      <c r="BJ12" s="9" t="n">
        <v>19088.00000000001</v>
      </c>
      <c r="BN12" s="10" t="n">
        <v>46029</v>
      </c>
      <c r="BO12" s="9" t="n">
        <v>1550</v>
      </c>
      <c r="BP12" s="9" t="n">
        <v>1550</v>
      </c>
      <c r="BQ12" s="9" t="n">
        <v>1550</v>
      </c>
      <c r="BR12" s="9" t="n">
        <v>0</v>
      </c>
      <c r="BS12" s="9" t="n">
        <v>0</v>
      </c>
      <c r="BW12" s="10" t="n">
        <v>46029</v>
      </c>
      <c r="BX12" s="9" t="n">
        <v>3000</v>
      </c>
      <c r="BY12" s="9" t="n">
        <v>0</v>
      </c>
      <c r="CA12" s="9" t="n">
        <v>0</v>
      </c>
      <c r="CB12" s="9" t="n">
        <v>3512.5</v>
      </c>
      <c r="CF12" s="10" t="n">
        <v>46029</v>
      </c>
      <c r="CH12" s="9" t="n">
        <v>0</v>
      </c>
      <c r="CJ12" s="9" t="n">
        <v>0</v>
      </c>
      <c r="CK12" s="9" t="n">
        <v>0</v>
      </c>
      <c r="CO12" s="10" t="n">
        <v>46029</v>
      </c>
      <c r="CQ12" s="9" t="n">
        <v>0</v>
      </c>
      <c r="CS12" s="9" t="n">
        <v>0</v>
      </c>
      <c r="CT12" s="9" t="n">
        <v>0</v>
      </c>
      <c r="CX12" s="10" t="n">
        <v>46029</v>
      </c>
      <c r="CZ12" s="9" t="n">
        <v>0</v>
      </c>
      <c r="DB12" s="9" t="n">
        <v>0</v>
      </c>
      <c r="DC12" s="9" t="n">
        <v>0</v>
      </c>
      <c r="DG12" s="10" t="n">
        <v>46029</v>
      </c>
      <c r="DI12" s="9" t="n">
        <v>700</v>
      </c>
      <c r="DJ12" s="9" t="n">
        <v>699.6</v>
      </c>
      <c r="DK12" s="9" t="n">
        <v>0.3999999999999773</v>
      </c>
      <c r="DL12" s="9" t="n">
        <v>26092</v>
      </c>
      <c r="DP12" s="10" t="n">
        <v>46029</v>
      </c>
      <c r="DR12" s="9" t="n">
        <v>0</v>
      </c>
      <c r="DT12" s="9" t="n">
        <v>0</v>
      </c>
      <c r="DU12" s="9" t="n">
        <v>0</v>
      </c>
      <c r="DY12" s="10" t="n">
        <v>46029</v>
      </c>
      <c r="EA12" s="9" t="n">
        <v>0</v>
      </c>
      <c r="EC12" s="9" t="n">
        <v>0</v>
      </c>
      <c r="ED12" s="9" t="n">
        <v>0</v>
      </c>
      <c r="EH12" s="10" t="n">
        <v>46029</v>
      </c>
      <c r="EJ12" s="9" t="n">
        <v>0</v>
      </c>
      <c r="EL12" s="9" t="n">
        <v>0</v>
      </c>
      <c r="EM12" s="9" t="n">
        <v>0</v>
      </c>
      <c r="EQ12" s="10" t="n">
        <v>46029</v>
      </c>
      <c r="ES12" s="9" t="n">
        <v>0</v>
      </c>
      <c r="EU12" s="9" t="n">
        <v>0</v>
      </c>
      <c r="EV12" s="9" t="n">
        <v>0</v>
      </c>
      <c r="EZ12" s="10" t="n">
        <v>46029</v>
      </c>
      <c r="FB12" s="9" t="n">
        <v>0</v>
      </c>
      <c r="FD12" s="9" t="n">
        <v>0</v>
      </c>
      <c r="FE12" s="9" t="n">
        <v>0</v>
      </c>
      <c r="FI12" s="10" t="n">
        <v>46029</v>
      </c>
      <c r="FK12" s="9" t="n">
        <v>0</v>
      </c>
      <c r="FM12" s="9" t="n">
        <v>0</v>
      </c>
      <c r="FN12" s="9" t="n">
        <v>0</v>
      </c>
      <c r="FR12" s="10" t="n">
        <v>46029</v>
      </c>
      <c r="FT12" s="9" t="n">
        <v>0</v>
      </c>
      <c r="FV12" s="9" t="n">
        <v>0</v>
      </c>
      <c r="FW12" s="9" t="n">
        <v>3540</v>
      </c>
      <c r="GA12" s="10" t="n">
        <v>46029</v>
      </c>
      <c r="GC12" s="9" t="n">
        <v>0</v>
      </c>
      <c r="GE12" s="9" t="n">
        <v>0</v>
      </c>
      <c r="GF12" s="9" t="n">
        <v>1960</v>
      </c>
      <c r="GJ12" s="10" t="n">
        <v>46029</v>
      </c>
      <c r="GK12" s="9" t="n">
        <v>4000</v>
      </c>
      <c r="GL12" s="9" t="n">
        <v>200</v>
      </c>
      <c r="GN12" s="9" t="n">
        <v>200</v>
      </c>
      <c r="GO12" s="9" t="n">
        <v>4560</v>
      </c>
      <c r="GS12" s="10" t="n">
        <v>46029</v>
      </c>
      <c r="GU12" s="9" t="n">
        <v>0</v>
      </c>
      <c r="GW12" s="9" t="n">
        <v>0</v>
      </c>
      <c r="GX12" s="9" t="n">
        <v>0</v>
      </c>
      <c r="HB12" s="10" t="n">
        <v>46029</v>
      </c>
      <c r="HD12" s="9" t="n">
        <v>0</v>
      </c>
      <c r="HF12" s="9" t="n">
        <v>0</v>
      </c>
      <c r="HG12" s="9" t="n">
        <v>0</v>
      </c>
      <c r="HK12" s="10" t="n">
        <v>46029</v>
      </c>
      <c r="HM12" s="9" t="n">
        <v>0</v>
      </c>
      <c r="HO12" s="9" t="n">
        <v>0</v>
      </c>
      <c r="HP12" s="9" t="n">
        <v>0</v>
      </c>
      <c r="HU12" s="10" t="n">
        <v>46029</v>
      </c>
      <c r="HV12" s="9" t="n">
        <v>500</v>
      </c>
      <c r="HW12" s="9" t="n">
        <v>0</v>
      </c>
      <c r="HY12" s="9" t="n">
        <v>0</v>
      </c>
      <c r="HZ12" s="9" t="n">
        <v>4480</v>
      </c>
      <c r="ID12" s="10" t="n">
        <v>46029</v>
      </c>
      <c r="IE12" s="9" t="n">
        <v>2140</v>
      </c>
      <c r="IF12" s="9" t="n">
        <v>0</v>
      </c>
      <c r="IH12" s="9" t="n">
        <v>0</v>
      </c>
      <c r="II12" s="9" t="n">
        <v>5100</v>
      </c>
      <c r="IM12" s="10" t="n">
        <v>46029</v>
      </c>
      <c r="IN12" s="9" t="n">
        <v>12520</v>
      </c>
      <c r="IO12" s="9" t="n">
        <v>1000</v>
      </c>
      <c r="IQ12" s="9" t="n">
        <v>1000</v>
      </c>
      <c r="IR12" s="9" t="n">
        <v>13760</v>
      </c>
      <c r="IV12" s="10" t="n">
        <v>46029</v>
      </c>
      <c r="IX12" s="9" t="n">
        <v>400</v>
      </c>
      <c r="IZ12" s="9" t="n">
        <v>400</v>
      </c>
      <c r="JA12" s="9" t="n">
        <v>3920</v>
      </c>
      <c r="JE12" s="10" t="n">
        <v>46029</v>
      </c>
      <c r="JG12" s="9" t="n">
        <v>0</v>
      </c>
      <c r="JI12" s="9" t="n">
        <v>0</v>
      </c>
      <c r="JJ12" s="9" t="n">
        <v>6800</v>
      </c>
      <c r="JN12" s="10" t="n">
        <v>46029</v>
      </c>
      <c r="JP12" s="9" t="n">
        <v>0</v>
      </c>
      <c r="JR12" s="9" t="n">
        <v>0</v>
      </c>
      <c r="JS12" s="9" t="n">
        <v>4400</v>
      </c>
      <c r="JW12" s="10" t="n">
        <v>46029</v>
      </c>
      <c r="JY12" s="9" t="n">
        <v>0</v>
      </c>
      <c r="KA12" s="9" t="n">
        <v>0</v>
      </c>
      <c r="KB12" s="9" t="n">
        <v>0</v>
      </c>
      <c r="KF12" s="10" t="n">
        <v>46029</v>
      </c>
      <c r="KH12" s="9" t="n">
        <v>0</v>
      </c>
      <c r="KJ12" s="9" t="n">
        <v>0</v>
      </c>
      <c r="KK12" s="9" t="n">
        <v>0</v>
      </c>
      <c r="KO12" s="10" t="n">
        <v>46029</v>
      </c>
      <c r="KQ12" s="9" t="n">
        <v>0</v>
      </c>
      <c r="KS12" s="9" t="n">
        <v>0</v>
      </c>
      <c r="KT12" s="9" t="n">
        <v>0</v>
      </c>
      <c r="KX12" s="10" t="n">
        <v>46029</v>
      </c>
      <c r="KZ12" s="9" t="n">
        <v>0</v>
      </c>
      <c r="LB12" s="9" t="n">
        <v>0</v>
      </c>
      <c r="LC12" s="9" t="n">
        <v>0</v>
      </c>
      <c r="LG12" s="10" t="n">
        <v>46029</v>
      </c>
      <c r="LI12" s="9" t="n">
        <v>0</v>
      </c>
      <c r="LK12" s="9" t="n">
        <v>0</v>
      </c>
      <c r="LL12" s="9" t="n">
        <v>0</v>
      </c>
      <c r="LP12" s="10" t="n">
        <v>46029</v>
      </c>
      <c r="LR12" s="9" t="n">
        <v>0</v>
      </c>
      <c r="LT12" s="9" t="n">
        <v>0</v>
      </c>
      <c r="LU12" s="9" t="n">
        <v>0</v>
      </c>
      <c r="LY12" s="10" t="n">
        <v>46029</v>
      </c>
      <c r="MA12" s="9" t="n">
        <v>0</v>
      </c>
      <c r="MC12" s="9" t="n">
        <v>0</v>
      </c>
      <c r="MD12" s="9" t="n">
        <v>0</v>
      </c>
      <c r="MH12" s="10" t="n">
        <v>46029</v>
      </c>
      <c r="MJ12" s="9" t="n">
        <v>0</v>
      </c>
      <c r="ML12" s="9" t="n">
        <v>0</v>
      </c>
      <c r="MM12" s="9" t="n">
        <v>0</v>
      </c>
      <c r="MQ12" s="10" t="n">
        <v>46029</v>
      </c>
      <c r="MS12" s="9" t="n">
        <v>30</v>
      </c>
      <c r="MU12" s="9" t="n">
        <v>30</v>
      </c>
      <c r="MV12" s="9" t="n">
        <v>1371</v>
      </c>
      <c r="MZ12" s="10" t="n">
        <v>46029</v>
      </c>
      <c r="NB12" s="9" t="n">
        <v>210</v>
      </c>
      <c r="ND12" s="9" t="n">
        <v>210</v>
      </c>
      <c r="NE12" s="9" t="n">
        <v>0</v>
      </c>
      <c r="NI12" s="10" t="n">
        <v>46029</v>
      </c>
      <c r="NK12" s="9" t="n">
        <v>0</v>
      </c>
      <c r="NM12" s="9" t="n">
        <v>0</v>
      </c>
      <c r="NN12" s="9" t="n">
        <v>0</v>
      </c>
      <c r="NR12" s="10" t="n">
        <v>46029</v>
      </c>
      <c r="NT12" s="9" t="n">
        <v>0</v>
      </c>
      <c r="NV12" s="9" t="n">
        <v>0</v>
      </c>
      <c r="NW12" s="9" t="n">
        <v>0</v>
      </c>
      <c r="OA12" s="10" t="n">
        <v>46029</v>
      </c>
      <c r="OB12" s="9" t="n">
        <v>1600</v>
      </c>
      <c r="OC12" s="9" t="n">
        <v>50</v>
      </c>
      <c r="OE12" s="9" t="n">
        <v>50</v>
      </c>
      <c r="OF12" s="9" t="n">
        <v>1935.2</v>
      </c>
      <c r="OJ12" s="10" t="n">
        <v>46029</v>
      </c>
      <c r="OL12" s="9" t="n">
        <v>0</v>
      </c>
      <c r="ON12" s="9" t="n">
        <v>0</v>
      </c>
      <c r="OO12" s="9" t="n">
        <v>0</v>
      </c>
      <c r="OS12" s="10" t="n">
        <v>46029</v>
      </c>
      <c r="OU12" s="9" t="n">
        <v>0</v>
      </c>
      <c r="OW12" s="9" t="n">
        <v>0</v>
      </c>
      <c r="OX12" s="9" t="n">
        <v>67</v>
      </c>
      <c r="PB12" s="10" t="n">
        <v>46029</v>
      </c>
      <c r="PD12" s="9" t="n">
        <v>0</v>
      </c>
      <c r="PF12" s="9" t="n">
        <v>0</v>
      </c>
      <c r="PG12" s="9" t="n">
        <v>0</v>
      </c>
      <c r="PK12" s="10" t="n">
        <v>46029</v>
      </c>
      <c r="PM12" s="9" t="n">
        <v>0</v>
      </c>
      <c r="PO12" s="9" t="n">
        <v>0</v>
      </c>
      <c r="PP12" s="9" t="n">
        <v>160</v>
      </c>
      <c r="PT12" s="10" t="n">
        <v>46029</v>
      </c>
      <c r="PV12" s="9" t="n">
        <v>0</v>
      </c>
      <c r="PX12" s="9" t="n">
        <v>0</v>
      </c>
      <c r="PY12" s="9" t="n">
        <v>13.96000000000004</v>
      </c>
      <c r="QC12" s="10" t="n">
        <v>46029</v>
      </c>
      <c r="QE12" s="9" t="n">
        <v>0</v>
      </c>
      <c r="QG12" s="9" t="n">
        <v>0</v>
      </c>
      <c r="QH12" s="9" t="n">
        <v>0</v>
      </c>
      <c r="QL12" s="10" t="n">
        <v>46029</v>
      </c>
      <c r="QN12" s="9" t="n">
        <v>0</v>
      </c>
      <c r="QP12" s="9" t="n">
        <v>0</v>
      </c>
      <c r="QQ12" s="9" t="n">
        <v>0</v>
      </c>
      <c r="QU12" s="10" t="n">
        <v>46029</v>
      </c>
      <c r="QW12" s="9" t="n">
        <v>0</v>
      </c>
      <c r="QY12" s="9" t="n">
        <v>0</v>
      </c>
      <c r="QZ12" s="9" t="n">
        <v>207.6</v>
      </c>
      <c r="RD12" s="10" t="n">
        <v>46029</v>
      </c>
      <c r="RF12" s="9" t="n">
        <v>0</v>
      </c>
      <c r="RH12" s="9" t="n">
        <v>0</v>
      </c>
      <c r="RI12" s="9" t="n">
        <v>201.8</v>
      </c>
      <c r="RM12" s="10" t="n">
        <v>46029</v>
      </c>
      <c r="RO12" s="9" t="n">
        <v>0</v>
      </c>
      <c r="RQ12" s="9" t="n">
        <v>0</v>
      </c>
      <c r="RR12" s="9" t="n">
        <v>22.72</v>
      </c>
      <c r="RV12" s="10" t="n">
        <v>46029</v>
      </c>
      <c r="RX12" s="9" t="n">
        <v>0</v>
      </c>
      <c r="RZ12" s="9" t="n">
        <v>0</v>
      </c>
      <c r="SA12" s="9" t="n">
        <v>0</v>
      </c>
      <c r="SE12" s="10" t="n">
        <v>46029</v>
      </c>
      <c r="SG12" s="9" t="n">
        <v>0</v>
      </c>
      <c r="SI12" s="9" t="n">
        <v>0</v>
      </c>
      <c r="SJ12" s="9" t="n">
        <v>0</v>
      </c>
      <c r="SN12" s="10" t="n">
        <v>46029</v>
      </c>
      <c r="SP12" s="9" t="n">
        <v>0</v>
      </c>
      <c r="SR12" s="9" t="n">
        <v>0</v>
      </c>
      <c r="SS12" s="9" t="n">
        <v>0</v>
      </c>
      <c r="SW12" s="10" t="n">
        <v>46029</v>
      </c>
      <c r="SY12" s="9" t="n">
        <v>0</v>
      </c>
      <c r="TA12" s="9" t="n">
        <v>0</v>
      </c>
      <c r="TB12" s="9" t="n">
        <v>0</v>
      </c>
      <c r="TF12" s="10" t="n">
        <v>46029</v>
      </c>
      <c r="TH12" s="9" t="n">
        <v>0</v>
      </c>
      <c r="TJ12" s="9" t="n">
        <v>0</v>
      </c>
      <c r="TK12" s="9" t="n">
        <v>0</v>
      </c>
      <c r="TO12" s="10" t="n">
        <v>46029</v>
      </c>
      <c r="TQ12" s="9" t="n">
        <v>0</v>
      </c>
      <c r="TS12" s="9" t="n">
        <v>0</v>
      </c>
      <c r="TT12" s="9" t="n">
        <v>0</v>
      </c>
      <c r="TX12" s="10" t="n">
        <v>46029</v>
      </c>
      <c r="TZ12" s="9" t="n">
        <v>0</v>
      </c>
      <c r="UB12" s="9" t="n">
        <v>0</v>
      </c>
      <c r="UC12" s="9" t="n">
        <v>0</v>
      </c>
      <c r="UG12" s="10" t="n">
        <v>46029</v>
      </c>
      <c r="UI12" s="9" t="n">
        <v>0</v>
      </c>
      <c r="UK12" s="9" t="n">
        <v>0</v>
      </c>
      <c r="UL12" s="9" t="n">
        <v>0</v>
      </c>
      <c r="UP12" s="10" t="n">
        <v>46029</v>
      </c>
      <c r="UR12" s="9" t="n">
        <v>0</v>
      </c>
      <c r="UT12" s="9" t="n">
        <v>0</v>
      </c>
      <c r="UU12" s="9" t="n">
        <v>0</v>
      </c>
      <c r="UY12" s="10" t="n">
        <v>46029</v>
      </c>
      <c r="VA12" s="9" t="n">
        <v>0</v>
      </c>
      <c r="VC12" s="9" t="n">
        <v>0</v>
      </c>
      <c r="VD12" s="9" t="n">
        <v>-319.6</v>
      </c>
      <c r="VH12" s="10" t="n">
        <v>46029</v>
      </c>
      <c r="VJ12" s="9" t="n">
        <v>0</v>
      </c>
      <c r="VL12" s="9" t="n">
        <v>0</v>
      </c>
      <c r="VM12" s="9" t="n">
        <v>0</v>
      </c>
      <c r="VQ12" s="10" t="n">
        <v>46029</v>
      </c>
      <c r="VS12" s="9" t="n">
        <v>0</v>
      </c>
      <c r="VU12" s="9" t="n">
        <v>0</v>
      </c>
      <c r="VV12" s="9" t="n">
        <v>0</v>
      </c>
      <c r="VZ12" s="10" t="n">
        <v>46029</v>
      </c>
      <c r="WB12" s="9" t="n">
        <v>0</v>
      </c>
      <c r="WD12" s="9" t="n">
        <v>0</v>
      </c>
      <c r="WE12" s="9" t="n">
        <v>0</v>
      </c>
      <c r="WI12" s="10" t="n">
        <v>46029</v>
      </c>
      <c r="WK12" s="9" t="n">
        <v>0</v>
      </c>
      <c r="WM12" s="9" t="n">
        <v>0</v>
      </c>
      <c r="WN12" s="9" t="n">
        <v>5877</v>
      </c>
      <c r="WR12" s="10" t="n">
        <v>46029</v>
      </c>
      <c r="WT12" s="9" t="n">
        <v>0</v>
      </c>
      <c r="WV12" s="9" t="n">
        <v>0</v>
      </c>
      <c r="WW12" s="9" t="n">
        <v>5267</v>
      </c>
      <c r="XA12" s="10" t="n">
        <v>46029</v>
      </c>
      <c r="XC12" s="9" t="n">
        <v>0</v>
      </c>
      <c r="XD12" s="9" t="n">
        <v>193</v>
      </c>
      <c r="XE12" s="9" t="n">
        <v>-193</v>
      </c>
      <c r="XF12" s="9" t="n">
        <v>2446</v>
      </c>
      <c r="XJ12" s="10" t="n">
        <v>46029</v>
      </c>
      <c r="XL12" s="9" t="n">
        <v>0</v>
      </c>
      <c r="XN12" s="9" t="n">
        <v>0</v>
      </c>
      <c r="XO12" s="9" t="n">
        <v>6772</v>
      </c>
      <c r="XS12" s="10" t="n">
        <v>46029</v>
      </c>
      <c r="XU12" s="9" t="n">
        <v>0</v>
      </c>
      <c r="XW12" s="9" t="n">
        <v>0</v>
      </c>
      <c r="XX12" s="9" t="n">
        <v>1901</v>
      </c>
      <c r="YB12" s="10" t="n">
        <v>46029</v>
      </c>
      <c r="YD12" s="9" t="n">
        <v>0</v>
      </c>
      <c r="YF12" s="9" t="n">
        <v>0</v>
      </c>
      <c r="YG12" s="9" t="n">
        <v>4175</v>
      </c>
      <c r="YK12" s="10" t="n">
        <v>46029</v>
      </c>
      <c r="YM12" s="9" t="n">
        <v>0</v>
      </c>
      <c r="YO12" s="9" t="n">
        <v>0</v>
      </c>
      <c r="YP12" s="9" t="n">
        <v>0</v>
      </c>
      <c r="YT12" s="10" t="n">
        <v>46029</v>
      </c>
      <c r="YV12" s="9" t="n">
        <v>0</v>
      </c>
      <c r="YX12" s="9" t="n">
        <v>0</v>
      </c>
      <c r="YY12" s="9" t="n">
        <v>0</v>
      </c>
      <c r="ZC12" s="10" t="n">
        <v>46029</v>
      </c>
      <c r="ZE12" s="9" t="n">
        <v>0</v>
      </c>
      <c r="ZG12" s="9" t="n">
        <v>0</v>
      </c>
      <c r="ZH12" s="9" t="n">
        <v>0</v>
      </c>
      <c r="ZL12" s="10" t="n">
        <v>46029</v>
      </c>
      <c r="ZN12" s="9" t="n">
        <v>0</v>
      </c>
      <c r="ZP12" s="9" t="n">
        <v>0</v>
      </c>
      <c r="ZQ12" s="9" t="n">
        <v>0</v>
      </c>
      <c r="ZU12" s="10" t="n">
        <v>46029</v>
      </c>
      <c r="ZW12" s="9" t="n">
        <v>0</v>
      </c>
      <c r="ZY12" s="9" t="n">
        <v>0</v>
      </c>
      <c r="ZZ12" s="9" t="n">
        <v>0</v>
      </c>
      <c r="AAD12" s="10" t="n">
        <v>46029</v>
      </c>
      <c r="AAF12" s="9" t="n">
        <v>0</v>
      </c>
      <c r="AAH12" s="9" t="n">
        <v>0</v>
      </c>
      <c r="AAI12" s="9" t="n">
        <v>0</v>
      </c>
      <c r="AAM12" s="10" t="n">
        <v>46029</v>
      </c>
      <c r="AAO12" s="9" t="n">
        <v>0</v>
      </c>
      <c r="AAQ12" s="9" t="n">
        <v>0</v>
      </c>
      <c r="AAR12" s="9" t="n">
        <v>0</v>
      </c>
      <c r="AAV12" s="10" t="n">
        <v>46029</v>
      </c>
      <c r="AAX12" s="9" t="n">
        <v>0</v>
      </c>
      <c r="AAZ12" s="9" t="n">
        <v>0</v>
      </c>
      <c r="ABA12" s="9" t="n">
        <v>0</v>
      </c>
      <c r="ABE12" s="10" t="n">
        <v>46029</v>
      </c>
      <c r="ABG12" s="9" t="n">
        <v>0</v>
      </c>
      <c r="ABI12" s="9" t="n">
        <v>0</v>
      </c>
      <c r="ABJ12" s="9" t="n">
        <v>0</v>
      </c>
    </row>
    <row r="13">
      <c r="B13" s="9" t="n">
        <v>30</v>
      </c>
      <c r="C13" s="10" t="n">
        <v>46030</v>
      </c>
      <c r="D13" s="9" t="n">
        <v>45780</v>
      </c>
      <c r="E13" s="9" t="n">
        <v>16095</v>
      </c>
      <c r="F13" s="9" t="n">
        <v>16096.2</v>
      </c>
      <c r="G13" s="9" t="n">
        <v>-1.200000000000728</v>
      </c>
      <c r="H13" s="9" t="n">
        <v>66121.8</v>
      </c>
      <c r="I13" s="9" t="inlineStr">
        <is>
          <t>8102 30mt</t>
        </is>
      </c>
      <c r="L13" s="10" t="n">
        <v>46030</v>
      </c>
      <c r="M13" s="9" t="n">
        <v>28130</v>
      </c>
      <c r="N13" s="9" t="n">
        <v>8369.999999999998</v>
      </c>
      <c r="O13" s="9" t="n">
        <v>8366</v>
      </c>
      <c r="P13" s="9" t="n">
        <v>3.999999999998181</v>
      </c>
      <c r="Q13" s="9" t="n">
        <v>13737.80000000001</v>
      </c>
      <c r="U13" s="10" t="n">
        <v>46030</v>
      </c>
      <c r="W13" s="9" t="n">
        <v>1500</v>
      </c>
      <c r="X13" s="9" t="n">
        <v>1501.5</v>
      </c>
      <c r="Y13" s="9" t="n">
        <v>-1.5</v>
      </c>
      <c r="Z13" s="9" t="n">
        <v>14615.29999999999</v>
      </c>
      <c r="AD13" s="10" t="n">
        <v>46030</v>
      </c>
      <c r="AF13" s="9" t="n">
        <v>1500</v>
      </c>
      <c r="AG13" s="9" t="n">
        <v>1501.5</v>
      </c>
      <c r="AH13" s="9" t="n">
        <v>-1.5</v>
      </c>
      <c r="AI13" s="9" t="n">
        <v>12790.10000000001</v>
      </c>
      <c r="AM13" s="10" t="n">
        <v>46030</v>
      </c>
      <c r="AO13" s="9" t="n">
        <v>0</v>
      </c>
      <c r="AQ13" s="9" t="n">
        <v>0</v>
      </c>
      <c r="AR13" s="9" t="n">
        <v>0</v>
      </c>
      <c r="AV13" s="10" t="n">
        <v>46030</v>
      </c>
      <c r="AX13" s="9" t="n">
        <v>600</v>
      </c>
      <c r="AY13" s="9" t="n">
        <v>598.3</v>
      </c>
      <c r="AZ13" s="9" t="n">
        <v>1.700000000000045</v>
      </c>
      <c r="BA13" s="9" t="n">
        <v>20558.79999999999</v>
      </c>
      <c r="BE13" s="10" t="n">
        <v>46030</v>
      </c>
      <c r="BG13" s="9" t="n">
        <v>600</v>
      </c>
      <c r="BH13" s="9" t="n">
        <v>598.4</v>
      </c>
      <c r="BI13" s="9" t="n">
        <v>1.600000000000023</v>
      </c>
      <c r="BJ13" s="9" t="n">
        <v>18489.60000000001</v>
      </c>
      <c r="BN13" s="10" t="n">
        <v>46030</v>
      </c>
      <c r="BO13" s="9" t="n">
        <v>599.9</v>
      </c>
      <c r="BP13" s="9" t="n">
        <v>600</v>
      </c>
      <c r="BQ13" s="9" t="n">
        <v>599.9</v>
      </c>
      <c r="BR13" s="9" t="n">
        <v>0.1000000000000227</v>
      </c>
      <c r="BS13" s="9" t="n">
        <v>0</v>
      </c>
      <c r="BW13" s="10" t="n">
        <v>46030</v>
      </c>
      <c r="BY13" s="9" t="n">
        <v>0</v>
      </c>
      <c r="CA13" s="9" t="n">
        <v>0</v>
      </c>
      <c r="CB13" s="9" t="n">
        <v>3512.5</v>
      </c>
      <c r="CF13" s="10" t="n">
        <v>46030</v>
      </c>
      <c r="CH13" s="9" t="n">
        <v>0</v>
      </c>
      <c r="CJ13" s="9" t="n">
        <v>0</v>
      </c>
      <c r="CK13" s="9" t="n">
        <v>0</v>
      </c>
      <c r="CO13" s="10" t="n">
        <v>46030</v>
      </c>
      <c r="CQ13" s="9" t="n">
        <v>0</v>
      </c>
      <c r="CS13" s="9" t="n">
        <v>0</v>
      </c>
      <c r="CT13" s="9" t="n">
        <v>0</v>
      </c>
      <c r="CX13" s="10" t="n">
        <v>46030</v>
      </c>
      <c r="CZ13" s="9" t="n">
        <v>0</v>
      </c>
      <c r="DB13" s="9" t="n">
        <v>0</v>
      </c>
      <c r="DC13" s="9" t="n">
        <v>0</v>
      </c>
      <c r="DG13" s="10" t="n">
        <v>46030</v>
      </c>
      <c r="DI13" s="9" t="n">
        <v>0</v>
      </c>
      <c r="DK13" s="9" t="n">
        <v>0</v>
      </c>
      <c r="DL13" s="9" t="n">
        <v>26092</v>
      </c>
      <c r="DP13" s="10" t="n">
        <v>46030</v>
      </c>
      <c r="DR13" s="9" t="n">
        <v>0</v>
      </c>
      <c r="DT13" s="9" t="n">
        <v>0</v>
      </c>
      <c r="DU13" s="9" t="n">
        <v>0</v>
      </c>
      <c r="DY13" s="10" t="n">
        <v>46030</v>
      </c>
      <c r="EA13" s="9" t="n">
        <v>0</v>
      </c>
      <c r="EC13" s="9" t="n">
        <v>0</v>
      </c>
      <c r="ED13" s="9" t="n">
        <v>0</v>
      </c>
      <c r="EH13" s="10" t="n">
        <v>46030</v>
      </c>
      <c r="EJ13" s="9" t="n">
        <v>0</v>
      </c>
      <c r="EL13" s="9" t="n">
        <v>0</v>
      </c>
      <c r="EM13" s="9" t="n">
        <v>0</v>
      </c>
      <c r="EQ13" s="10" t="n">
        <v>46030</v>
      </c>
      <c r="ES13" s="9" t="n">
        <v>0</v>
      </c>
      <c r="EU13" s="9" t="n">
        <v>0</v>
      </c>
      <c r="EV13" s="9" t="n">
        <v>0</v>
      </c>
      <c r="EZ13" s="10" t="n">
        <v>46030</v>
      </c>
      <c r="FB13" s="9" t="n">
        <v>0</v>
      </c>
      <c r="FD13" s="9" t="n">
        <v>0</v>
      </c>
      <c r="FE13" s="9" t="n">
        <v>0</v>
      </c>
      <c r="FI13" s="10" t="n">
        <v>46030</v>
      </c>
      <c r="FK13" s="9" t="n">
        <v>0</v>
      </c>
      <c r="FM13" s="9" t="n">
        <v>0</v>
      </c>
      <c r="FN13" s="9" t="n">
        <v>0</v>
      </c>
      <c r="FR13" s="10" t="n">
        <v>46030</v>
      </c>
      <c r="FT13" s="9" t="n">
        <v>0</v>
      </c>
      <c r="FV13" s="9" t="n">
        <v>0</v>
      </c>
      <c r="FW13" s="9" t="n">
        <v>3540</v>
      </c>
      <c r="GA13" s="10" t="n">
        <v>46030</v>
      </c>
      <c r="GC13" s="9" t="n">
        <v>0</v>
      </c>
      <c r="GE13" s="9" t="n">
        <v>0</v>
      </c>
      <c r="GF13" s="9" t="n">
        <v>1960</v>
      </c>
      <c r="GJ13" s="10" t="n">
        <v>46030</v>
      </c>
      <c r="GL13" s="9" t="n">
        <v>0</v>
      </c>
      <c r="GN13" s="9" t="n">
        <v>0</v>
      </c>
      <c r="GO13" s="9" t="n">
        <v>4560</v>
      </c>
      <c r="GS13" s="10" t="n">
        <v>46030</v>
      </c>
      <c r="GU13" s="9" t="n">
        <v>0</v>
      </c>
      <c r="GW13" s="9" t="n">
        <v>0</v>
      </c>
      <c r="GX13" s="9" t="n">
        <v>0</v>
      </c>
      <c r="HB13" s="10" t="n">
        <v>46030</v>
      </c>
      <c r="HD13" s="9" t="n">
        <v>0</v>
      </c>
      <c r="HF13" s="9" t="n">
        <v>0</v>
      </c>
      <c r="HG13" s="9" t="n">
        <v>0</v>
      </c>
      <c r="HK13" s="10" t="n">
        <v>46030</v>
      </c>
      <c r="HM13" s="9" t="n">
        <v>0</v>
      </c>
      <c r="HO13" s="9" t="n">
        <v>0</v>
      </c>
      <c r="HP13" s="9" t="n">
        <v>0</v>
      </c>
      <c r="HU13" s="10" t="n">
        <v>46030</v>
      </c>
      <c r="HW13" s="9" t="n">
        <v>0</v>
      </c>
      <c r="HY13" s="9" t="n">
        <v>0</v>
      </c>
      <c r="HZ13" s="9" t="n">
        <v>4480</v>
      </c>
      <c r="ID13" s="10" t="n">
        <v>46030</v>
      </c>
      <c r="IF13" s="9" t="n">
        <v>0</v>
      </c>
      <c r="IH13" s="9" t="n">
        <v>0</v>
      </c>
      <c r="II13" s="9" t="n">
        <v>5100</v>
      </c>
      <c r="IM13" s="10" t="n">
        <v>46030</v>
      </c>
      <c r="IO13" s="9" t="n">
        <v>600</v>
      </c>
      <c r="IQ13" s="9" t="n">
        <v>600</v>
      </c>
      <c r="IR13" s="9" t="n">
        <v>13760</v>
      </c>
      <c r="IV13" s="10" t="n">
        <v>46030</v>
      </c>
      <c r="IX13" s="9" t="n">
        <v>0</v>
      </c>
      <c r="IZ13" s="9" t="n">
        <v>0</v>
      </c>
      <c r="JA13" s="9" t="n">
        <v>3920</v>
      </c>
      <c r="JE13" s="10" t="n">
        <v>46030</v>
      </c>
      <c r="JG13" s="9" t="n">
        <v>0</v>
      </c>
      <c r="JI13" s="9" t="n">
        <v>0</v>
      </c>
      <c r="JJ13" s="9" t="n">
        <v>6800</v>
      </c>
      <c r="JN13" s="10" t="n">
        <v>46030</v>
      </c>
      <c r="JP13" s="9" t="n">
        <v>0</v>
      </c>
      <c r="JR13" s="9" t="n">
        <v>0</v>
      </c>
      <c r="JS13" s="9" t="n">
        <v>4400</v>
      </c>
      <c r="JW13" s="10" t="n">
        <v>46030</v>
      </c>
      <c r="JY13" s="9" t="n">
        <v>0</v>
      </c>
      <c r="KA13" s="9" t="n">
        <v>0</v>
      </c>
      <c r="KB13" s="9" t="n">
        <v>0</v>
      </c>
      <c r="KF13" s="10" t="n">
        <v>46030</v>
      </c>
      <c r="KH13" s="9" t="n">
        <v>0</v>
      </c>
      <c r="KJ13" s="9" t="n">
        <v>0</v>
      </c>
      <c r="KK13" s="9" t="n">
        <v>0</v>
      </c>
      <c r="KO13" s="10" t="n">
        <v>46030</v>
      </c>
      <c r="KQ13" s="9" t="n">
        <v>0</v>
      </c>
      <c r="KS13" s="9" t="n">
        <v>0</v>
      </c>
      <c r="KT13" s="9" t="n">
        <v>0</v>
      </c>
      <c r="KX13" s="10" t="n">
        <v>46030</v>
      </c>
      <c r="KZ13" s="9" t="n">
        <v>0</v>
      </c>
      <c r="LB13" s="9" t="n">
        <v>0</v>
      </c>
      <c r="LC13" s="9" t="n">
        <v>0</v>
      </c>
      <c r="LG13" s="10" t="n">
        <v>46030</v>
      </c>
      <c r="LI13" s="9" t="n">
        <v>0</v>
      </c>
      <c r="LK13" s="9" t="n">
        <v>0</v>
      </c>
      <c r="LL13" s="9" t="n">
        <v>0</v>
      </c>
      <c r="LP13" s="10" t="n">
        <v>46030</v>
      </c>
      <c r="LR13" s="9" t="n">
        <v>0</v>
      </c>
      <c r="LT13" s="9" t="n">
        <v>0</v>
      </c>
      <c r="LU13" s="9" t="n">
        <v>0</v>
      </c>
      <c r="LY13" s="10" t="n">
        <v>46030</v>
      </c>
      <c r="MA13" s="9" t="n">
        <v>0</v>
      </c>
      <c r="MC13" s="9" t="n">
        <v>0</v>
      </c>
      <c r="MD13" s="9" t="n">
        <v>0</v>
      </c>
      <c r="MH13" s="10" t="n">
        <v>46030</v>
      </c>
      <c r="MJ13" s="9" t="n">
        <v>0</v>
      </c>
      <c r="ML13" s="9" t="n">
        <v>0</v>
      </c>
      <c r="MM13" s="9" t="n">
        <v>0</v>
      </c>
      <c r="MQ13" s="10" t="n">
        <v>46030</v>
      </c>
      <c r="MS13" s="9" t="n">
        <v>15</v>
      </c>
      <c r="MU13" s="9" t="n">
        <v>15</v>
      </c>
      <c r="MV13" s="9" t="n">
        <v>1371</v>
      </c>
      <c r="MZ13" s="10" t="n">
        <v>46030</v>
      </c>
      <c r="NB13" s="9" t="n">
        <v>90</v>
      </c>
      <c r="ND13" s="9" t="n">
        <v>90</v>
      </c>
      <c r="NE13" s="9" t="n">
        <v>0</v>
      </c>
      <c r="NI13" s="10" t="n">
        <v>46030</v>
      </c>
      <c r="NK13" s="9" t="n">
        <v>0</v>
      </c>
      <c r="NM13" s="9" t="n">
        <v>0</v>
      </c>
      <c r="NN13" s="9" t="n">
        <v>0</v>
      </c>
      <c r="NR13" s="10" t="n">
        <v>46030</v>
      </c>
      <c r="NT13" s="9" t="n">
        <v>0</v>
      </c>
      <c r="NV13" s="9" t="n">
        <v>0</v>
      </c>
      <c r="NW13" s="9" t="n">
        <v>0</v>
      </c>
      <c r="OA13" s="10" t="n">
        <v>46030</v>
      </c>
      <c r="OC13" s="9" t="n">
        <v>30</v>
      </c>
      <c r="OE13" s="9" t="n">
        <v>30</v>
      </c>
      <c r="OF13" s="9" t="n">
        <v>1935.2</v>
      </c>
      <c r="OJ13" s="10" t="n">
        <v>46030</v>
      </c>
      <c r="OL13" s="9" t="n">
        <v>0</v>
      </c>
      <c r="ON13" s="9" t="n">
        <v>0</v>
      </c>
      <c r="OO13" s="9" t="n">
        <v>0</v>
      </c>
      <c r="OS13" s="10" t="n">
        <v>46030</v>
      </c>
      <c r="OU13" s="9" t="n">
        <v>0</v>
      </c>
      <c r="OW13" s="9" t="n">
        <v>0</v>
      </c>
      <c r="OX13" s="9" t="n">
        <v>67</v>
      </c>
      <c r="PB13" s="10" t="n">
        <v>46030</v>
      </c>
      <c r="PD13" s="9" t="n">
        <v>0</v>
      </c>
      <c r="PF13" s="9" t="n">
        <v>0</v>
      </c>
      <c r="PG13" s="9" t="n">
        <v>0</v>
      </c>
      <c r="PK13" s="10" t="n">
        <v>46030</v>
      </c>
      <c r="PM13" s="9" t="n">
        <v>0</v>
      </c>
      <c r="PO13" s="9" t="n">
        <v>0</v>
      </c>
      <c r="PP13" s="9" t="n">
        <v>160</v>
      </c>
      <c r="PT13" s="10" t="n">
        <v>46030</v>
      </c>
      <c r="PV13" s="9" t="n">
        <v>0</v>
      </c>
      <c r="PX13" s="9" t="n">
        <v>0</v>
      </c>
      <c r="PY13" s="9" t="n">
        <v>13.96000000000004</v>
      </c>
      <c r="QC13" s="10" t="n">
        <v>46030</v>
      </c>
      <c r="QE13" s="9" t="n">
        <v>0</v>
      </c>
      <c r="QG13" s="9" t="n">
        <v>0</v>
      </c>
      <c r="QH13" s="9" t="n">
        <v>0</v>
      </c>
      <c r="QL13" s="10" t="n">
        <v>46030</v>
      </c>
      <c r="QN13" s="9" t="n">
        <v>0</v>
      </c>
      <c r="QP13" s="9" t="n">
        <v>0</v>
      </c>
      <c r="QQ13" s="9" t="n">
        <v>0</v>
      </c>
      <c r="QU13" s="10" t="n">
        <v>46030</v>
      </c>
      <c r="QW13" s="9" t="n">
        <v>0</v>
      </c>
      <c r="QY13" s="9" t="n">
        <v>0</v>
      </c>
      <c r="QZ13" s="9" t="n">
        <v>207.6</v>
      </c>
      <c r="RD13" s="10" t="n">
        <v>46030</v>
      </c>
      <c r="RF13" s="9" t="n">
        <v>0</v>
      </c>
      <c r="RH13" s="9" t="n">
        <v>0</v>
      </c>
      <c r="RI13" s="9" t="n">
        <v>201.8</v>
      </c>
      <c r="RM13" s="10" t="n">
        <v>46030</v>
      </c>
      <c r="RO13" s="9" t="n">
        <v>0</v>
      </c>
      <c r="RQ13" s="9" t="n">
        <v>0</v>
      </c>
      <c r="RR13" s="9" t="n">
        <v>22.72</v>
      </c>
      <c r="RV13" s="10" t="n">
        <v>46030</v>
      </c>
      <c r="RX13" s="9" t="n">
        <v>0</v>
      </c>
      <c r="RZ13" s="9" t="n">
        <v>0</v>
      </c>
      <c r="SA13" s="9" t="n">
        <v>0</v>
      </c>
      <c r="SE13" s="10" t="n">
        <v>46030</v>
      </c>
      <c r="SG13" s="9" t="n">
        <v>0</v>
      </c>
      <c r="SI13" s="9" t="n">
        <v>0</v>
      </c>
      <c r="SJ13" s="9" t="n">
        <v>0</v>
      </c>
      <c r="SN13" s="10" t="n">
        <v>46030</v>
      </c>
      <c r="SP13" s="9" t="n">
        <v>0</v>
      </c>
      <c r="SR13" s="9" t="n">
        <v>0</v>
      </c>
      <c r="SS13" s="9" t="n">
        <v>0</v>
      </c>
      <c r="SW13" s="10" t="n">
        <v>46030</v>
      </c>
      <c r="SY13" s="9" t="n">
        <v>0</v>
      </c>
      <c r="TA13" s="9" t="n">
        <v>0</v>
      </c>
      <c r="TB13" s="9" t="n">
        <v>0</v>
      </c>
      <c r="TF13" s="10" t="n">
        <v>46030</v>
      </c>
      <c r="TH13" s="9" t="n">
        <v>0</v>
      </c>
      <c r="TJ13" s="9" t="n">
        <v>0</v>
      </c>
      <c r="TK13" s="9" t="n">
        <v>0</v>
      </c>
      <c r="TO13" s="10" t="n">
        <v>46030</v>
      </c>
      <c r="TQ13" s="9" t="n">
        <v>0</v>
      </c>
      <c r="TS13" s="9" t="n">
        <v>0</v>
      </c>
      <c r="TT13" s="9" t="n">
        <v>0</v>
      </c>
      <c r="TX13" s="10" t="n">
        <v>46030</v>
      </c>
      <c r="TZ13" s="9" t="n">
        <v>0</v>
      </c>
      <c r="UB13" s="9" t="n">
        <v>0</v>
      </c>
      <c r="UC13" s="9" t="n">
        <v>0</v>
      </c>
      <c r="UG13" s="10" t="n">
        <v>46030</v>
      </c>
      <c r="UI13" s="9" t="n">
        <v>0</v>
      </c>
      <c r="UK13" s="9" t="n">
        <v>0</v>
      </c>
      <c r="UL13" s="9" t="n">
        <v>0</v>
      </c>
      <c r="UP13" s="10" t="n">
        <v>46030</v>
      </c>
      <c r="UR13" s="9" t="n">
        <v>0</v>
      </c>
      <c r="UT13" s="9" t="n">
        <v>0</v>
      </c>
      <c r="UU13" s="9" t="n">
        <v>0</v>
      </c>
      <c r="UY13" s="10" t="n">
        <v>46030</v>
      </c>
      <c r="VA13" s="9" t="n">
        <v>0</v>
      </c>
      <c r="VC13" s="9" t="n">
        <v>0</v>
      </c>
      <c r="VD13" s="9" t="n">
        <v>-319.6</v>
      </c>
      <c r="VH13" s="10" t="n">
        <v>46030</v>
      </c>
      <c r="VJ13" s="9" t="n">
        <v>0</v>
      </c>
      <c r="VL13" s="9" t="n">
        <v>0</v>
      </c>
      <c r="VM13" s="9" t="n">
        <v>0</v>
      </c>
      <c r="VQ13" s="10" t="n">
        <v>46030</v>
      </c>
      <c r="VS13" s="9" t="n">
        <v>0</v>
      </c>
      <c r="VU13" s="9" t="n">
        <v>0</v>
      </c>
      <c r="VV13" s="9" t="n">
        <v>0</v>
      </c>
      <c r="VZ13" s="10" t="n">
        <v>46030</v>
      </c>
      <c r="WB13" s="9" t="n">
        <v>0</v>
      </c>
      <c r="WD13" s="9" t="n">
        <v>0</v>
      </c>
      <c r="WE13" s="9" t="n">
        <v>0</v>
      </c>
      <c r="WI13" s="10" t="n">
        <v>46030</v>
      </c>
      <c r="WK13" s="9" t="n">
        <v>0</v>
      </c>
      <c r="WM13" s="9" t="n">
        <v>0</v>
      </c>
      <c r="WN13" s="9" t="n">
        <v>5877</v>
      </c>
      <c r="WR13" s="10" t="n">
        <v>46030</v>
      </c>
      <c r="WT13" s="9" t="n">
        <v>0</v>
      </c>
      <c r="WV13" s="9" t="n">
        <v>0</v>
      </c>
      <c r="WW13" s="9" t="n">
        <v>5267</v>
      </c>
      <c r="XA13" s="10" t="n">
        <v>46030</v>
      </c>
      <c r="XC13" s="9" t="n">
        <v>0</v>
      </c>
      <c r="XE13" s="9" t="n">
        <v>0</v>
      </c>
      <c r="XF13" s="9" t="n">
        <v>2446</v>
      </c>
      <c r="XJ13" s="10" t="n">
        <v>46030</v>
      </c>
      <c r="XL13" s="9" t="n">
        <v>0</v>
      </c>
      <c r="XN13" s="9" t="n">
        <v>0</v>
      </c>
      <c r="XO13" s="9" t="n">
        <v>6772</v>
      </c>
      <c r="XS13" s="10" t="n">
        <v>46030</v>
      </c>
      <c r="XU13" s="9" t="n">
        <v>0</v>
      </c>
      <c r="XW13" s="9" t="n">
        <v>0</v>
      </c>
      <c r="XX13" s="9" t="n">
        <v>1901</v>
      </c>
      <c r="YB13" s="10" t="n">
        <v>46030</v>
      </c>
      <c r="YD13" s="9" t="n">
        <v>0</v>
      </c>
      <c r="YF13" s="9" t="n">
        <v>0</v>
      </c>
      <c r="YG13" s="9" t="n">
        <v>4175</v>
      </c>
      <c r="YK13" s="10" t="n">
        <v>46030</v>
      </c>
      <c r="YM13" s="9" t="n">
        <v>0</v>
      </c>
      <c r="YO13" s="9" t="n">
        <v>0</v>
      </c>
      <c r="YP13" s="9" t="n">
        <v>0</v>
      </c>
      <c r="YT13" s="10" t="n">
        <v>46030</v>
      </c>
      <c r="YV13" s="9" t="n">
        <v>0</v>
      </c>
      <c r="YX13" s="9" t="n">
        <v>0</v>
      </c>
      <c r="YY13" s="9" t="n">
        <v>0</v>
      </c>
      <c r="ZC13" s="10" t="n">
        <v>46030</v>
      </c>
      <c r="ZE13" s="9" t="n">
        <v>0</v>
      </c>
      <c r="ZG13" s="9" t="n">
        <v>0</v>
      </c>
      <c r="ZH13" s="9" t="n">
        <v>0</v>
      </c>
      <c r="ZL13" s="10" t="n">
        <v>46030</v>
      </c>
      <c r="ZN13" s="9" t="n">
        <v>0</v>
      </c>
      <c r="ZP13" s="9" t="n">
        <v>0</v>
      </c>
      <c r="ZQ13" s="9" t="n">
        <v>0</v>
      </c>
      <c r="ZU13" s="10" t="n">
        <v>46030</v>
      </c>
      <c r="ZW13" s="9" t="n">
        <v>0</v>
      </c>
      <c r="ZY13" s="9" t="n">
        <v>0</v>
      </c>
      <c r="ZZ13" s="9" t="n">
        <v>0</v>
      </c>
      <c r="AAD13" s="10" t="n">
        <v>46030</v>
      </c>
      <c r="AAF13" s="9" t="n">
        <v>0</v>
      </c>
      <c r="AAH13" s="9" t="n">
        <v>0</v>
      </c>
      <c r="AAI13" s="9" t="n">
        <v>0</v>
      </c>
      <c r="AAM13" s="10" t="n">
        <v>46030</v>
      </c>
      <c r="AAO13" s="9" t="n">
        <v>0</v>
      </c>
      <c r="AAQ13" s="9" t="n">
        <v>0</v>
      </c>
      <c r="AAR13" s="9" t="n">
        <v>0</v>
      </c>
      <c r="AAV13" s="10" t="n">
        <v>46030</v>
      </c>
      <c r="AAX13" s="9" t="n">
        <v>0</v>
      </c>
      <c r="AAZ13" s="9" t="n">
        <v>0</v>
      </c>
      <c r="ABA13" s="9" t="n">
        <v>0</v>
      </c>
      <c r="ABE13" s="10" t="n">
        <v>46030</v>
      </c>
      <c r="ABG13" s="9" t="n">
        <v>0</v>
      </c>
      <c r="ABI13" s="9" t="n">
        <v>0</v>
      </c>
      <c r="ABJ13" s="9" t="n">
        <v>0</v>
      </c>
    </row>
    <row r="14">
      <c r="B14" s="9" t="n">
        <v>40</v>
      </c>
      <c r="C14" s="10" t="n">
        <v>46031</v>
      </c>
      <c r="E14" s="9" t="n">
        <v>21460</v>
      </c>
      <c r="F14" s="9" t="n">
        <v>21454.6</v>
      </c>
      <c r="G14" s="9" t="n">
        <v>5.400000000001455</v>
      </c>
      <c r="H14" s="9" t="n">
        <v>44667.2</v>
      </c>
      <c r="I14" s="9" t="inlineStr">
        <is>
          <t>8102 40mt</t>
        </is>
      </c>
      <c r="L14" s="10" t="n">
        <v>46031</v>
      </c>
      <c r="N14" s="9" t="n">
        <v>11160</v>
      </c>
      <c r="O14" s="9" t="n">
        <v>11159.6</v>
      </c>
      <c r="P14" s="9" t="n">
        <v>0.3999999999978172</v>
      </c>
      <c r="Q14" s="9" t="n">
        <v>2578.200000000006</v>
      </c>
      <c r="U14" s="10" t="n">
        <v>46031</v>
      </c>
      <c r="V14" s="9" t="n">
        <v>30120</v>
      </c>
      <c r="W14" s="9" t="n">
        <v>2000</v>
      </c>
      <c r="X14" s="9" t="n">
        <v>1999</v>
      </c>
      <c r="Y14" s="9" t="n">
        <v>1</v>
      </c>
      <c r="Z14" s="9" t="n">
        <v>42736.29999999999</v>
      </c>
      <c r="AD14" s="10" t="n">
        <v>46031</v>
      </c>
      <c r="AF14" s="9" t="n">
        <v>2000</v>
      </c>
      <c r="AG14" s="9" t="n">
        <v>2000.2</v>
      </c>
      <c r="AH14" s="9" t="n">
        <v>-0.2000000000000455</v>
      </c>
      <c r="AI14" s="9" t="n">
        <v>10789.90000000001</v>
      </c>
      <c r="AM14" s="10" t="n">
        <v>46031</v>
      </c>
      <c r="AO14" s="9" t="n">
        <v>0</v>
      </c>
      <c r="AQ14" s="9" t="n">
        <v>0</v>
      </c>
      <c r="AR14" s="9" t="n">
        <v>0</v>
      </c>
      <c r="AV14" s="10" t="n">
        <v>46031</v>
      </c>
      <c r="AX14" s="9" t="n">
        <v>800</v>
      </c>
      <c r="AY14" s="9" t="n">
        <v>801.9</v>
      </c>
      <c r="AZ14" s="9" t="n">
        <v>-1.899999999999977</v>
      </c>
      <c r="BA14" s="9" t="n">
        <v>19756.89999999999</v>
      </c>
      <c r="BE14" s="10" t="n">
        <v>46031</v>
      </c>
      <c r="BG14" s="9" t="n">
        <v>800</v>
      </c>
      <c r="BH14" s="9" t="n">
        <v>801.4</v>
      </c>
      <c r="BI14" s="9" t="n">
        <v>-1.399999999999977</v>
      </c>
      <c r="BJ14" s="9" t="n">
        <v>17688.2</v>
      </c>
      <c r="BN14" s="10" t="n">
        <v>46031</v>
      </c>
      <c r="BO14" s="9" t="n">
        <v>800</v>
      </c>
      <c r="BP14" s="9" t="n">
        <v>800</v>
      </c>
      <c r="BQ14" s="9" t="n">
        <v>800</v>
      </c>
      <c r="BR14" s="9" t="n">
        <v>0</v>
      </c>
      <c r="BS14" s="9" t="n">
        <v>0</v>
      </c>
      <c r="BW14" s="10" t="n">
        <v>46031</v>
      </c>
      <c r="BY14" s="9" t="n">
        <v>0</v>
      </c>
      <c r="CA14" s="9" t="n">
        <v>0</v>
      </c>
      <c r="CB14" s="9" t="n">
        <v>3512.5</v>
      </c>
      <c r="CF14" s="10" t="n">
        <v>46031</v>
      </c>
      <c r="CH14" s="9" t="n">
        <v>0</v>
      </c>
      <c r="CJ14" s="9" t="n">
        <v>0</v>
      </c>
      <c r="CK14" s="9" t="n">
        <v>0</v>
      </c>
      <c r="CO14" s="10" t="n">
        <v>46031</v>
      </c>
      <c r="CQ14" s="9" t="n">
        <v>0</v>
      </c>
      <c r="CS14" s="9" t="n">
        <v>0</v>
      </c>
      <c r="CT14" s="9" t="n">
        <v>0</v>
      </c>
      <c r="CX14" s="10" t="n">
        <v>46031</v>
      </c>
      <c r="CZ14" s="9" t="n">
        <v>0</v>
      </c>
      <c r="DB14" s="9" t="n">
        <v>0</v>
      </c>
      <c r="DC14" s="9" t="n">
        <v>0</v>
      </c>
      <c r="DG14" s="10" t="n">
        <v>46031</v>
      </c>
      <c r="DI14" s="9" t="n">
        <v>0</v>
      </c>
      <c r="DK14" s="9" t="n">
        <v>0</v>
      </c>
      <c r="DL14" s="9" t="n">
        <v>26092</v>
      </c>
      <c r="DP14" s="10" t="n">
        <v>46031</v>
      </c>
      <c r="DR14" s="9" t="n">
        <v>0</v>
      </c>
      <c r="DT14" s="9" t="n">
        <v>0</v>
      </c>
      <c r="DU14" s="9" t="n">
        <v>0</v>
      </c>
      <c r="DY14" s="10" t="n">
        <v>46031</v>
      </c>
      <c r="EA14" s="9" t="n">
        <v>0</v>
      </c>
      <c r="EC14" s="9" t="n">
        <v>0</v>
      </c>
      <c r="ED14" s="9" t="n">
        <v>0</v>
      </c>
      <c r="EH14" s="10" t="n">
        <v>46031</v>
      </c>
      <c r="EJ14" s="9" t="n">
        <v>0</v>
      </c>
      <c r="EL14" s="9" t="n">
        <v>0</v>
      </c>
      <c r="EM14" s="9" t="n">
        <v>0</v>
      </c>
      <c r="EQ14" s="10" t="n">
        <v>46031</v>
      </c>
      <c r="ES14" s="9" t="n">
        <v>0</v>
      </c>
      <c r="EU14" s="9" t="n">
        <v>0</v>
      </c>
      <c r="EV14" s="9" t="n">
        <v>0</v>
      </c>
      <c r="EZ14" s="10" t="n">
        <v>46031</v>
      </c>
      <c r="FB14" s="9" t="n">
        <v>0</v>
      </c>
      <c r="FD14" s="9" t="n">
        <v>0</v>
      </c>
      <c r="FE14" s="9" t="n">
        <v>0</v>
      </c>
      <c r="FI14" s="10" t="n">
        <v>46031</v>
      </c>
      <c r="FK14" s="9" t="n">
        <v>0</v>
      </c>
      <c r="FM14" s="9" t="n">
        <v>0</v>
      </c>
      <c r="FN14" s="9" t="n">
        <v>0</v>
      </c>
      <c r="FR14" s="10" t="n">
        <v>46031</v>
      </c>
      <c r="FT14" s="9" t="n">
        <v>0</v>
      </c>
      <c r="FV14" s="9" t="n">
        <v>0</v>
      </c>
      <c r="FW14" s="9" t="n">
        <v>3540</v>
      </c>
      <c r="GA14" s="10" t="n">
        <v>46031</v>
      </c>
      <c r="GC14" s="9" t="n">
        <v>0</v>
      </c>
      <c r="GE14" s="9" t="n">
        <v>0</v>
      </c>
      <c r="GF14" s="9" t="n">
        <v>1960</v>
      </c>
      <c r="GJ14" s="10" t="n">
        <v>46031</v>
      </c>
      <c r="GK14" s="9" t="n">
        <v>3000</v>
      </c>
      <c r="GL14" s="9" t="n">
        <v>0</v>
      </c>
      <c r="GN14" s="9" t="n">
        <v>0</v>
      </c>
      <c r="GO14" s="9" t="n">
        <v>7560</v>
      </c>
      <c r="GS14" s="10" t="n">
        <v>46031</v>
      </c>
      <c r="GU14" s="9" t="n">
        <v>0</v>
      </c>
      <c r="GW14" s="9" t="n">
        <v>0</v>
      </c>
      <c r="GX14" s="9" t="n">
        <v>0</v>
      </c>
      <c r="HB14" s="10" t="n">
        <v>46031</v>
      </c>
      <c r="HD14" s="9" t="n">
        <v>0</v>
      </c>
      <c r="HF14" s="9" t="n">
        <v>0</v>
      </c>
      <c r="HG14" s="9" t="n">
        <v>0</v>
      </c>
      <c r="HK14" s="10" t="n">
        <v>46031</v>
      </c>
      <c r="HM14" s="9" t="n">
        <v>0</v>
      </c>
      <c r="HO14" s="9" t="n">
        <v>0</v>
      </c>
      <c r="HP14" s="9" t="n">
        <v>0</v>
      </c>
      <c r="HU14" s="10" t="n">
        <v>46031</v>
      </c>
      <c r="HW14" s="9" t="n">
        <v>0</v>
      </c>
      <c r="HY14" s="9" t="n">
        <v>0</v>
      </c>
      <c r="HZ14" s="9" t="n">
        <v>4480</v>
      </c>
      <c r="ID14" s="10" t="n">
        <v>46031</v>
      </c>
      <c r="IF14" s="9" t="n">
        <v>0</v>
      </c>
      <c r="IH14" s="9" t="n">
        <v>0</v>
      </c>
      <c r="II14" s="9" t="n">
        <v>5100</v>
      </c>
      <c r="IM14" s="10" t="n">
        <v>46031</v>
      </c>
      <c r="IO14" s="9" t="n">
        <v>800</v>
      </c>
      <c r="IQ14" s="9" t="n">
        <v>800</v>
      </c>
      <c r="IR14" s="9" t="n">
        <v>13760</v>
      </c>
      <c r="IV14" s="10" t="n">
        <v>46031</v>
      </c>
      <c r="IW14" s="9" t="n">
        <v>2000</v>
      </c>
      <c r="IX14" s="9" t="n">
        <v>0</v>
      </c>
      <c r="IZ14" s="9" t="n">
        <v>0</v>
      </c>
      <c r="JA14" s="9" t="n">
        <v>5920</v>
      </c>
      <c r="JE14" s="10" t="n">
        <v>46031</v>
      </c>
      <c r="JG14" s="9" t="n">
        <v>0</v>
      </c>
      <c r="JI14" s="9" t="n">
        <v>0</v>
      </c>
      <c r="JJ14" s="9" t="n">
        <v>6800</v>
      </c>
      <c r="JN14" s="10" t="n">
        <v>46031</v>
      </c>
      <c r="JO14" s="9" t="n">
        <v>1000</v>
      </c>
      <c r="JP14" s="9" t="n">
        <v>0</v>
      </c>
      <c r="JR14" s="9" t="n">
        <v>0</v>
      </c>
      <c r="JS14" s="9" t="n">
        <v>5400</v>
      </c>
      <c r="JW14" s="10" t="n">
        <v>46031</v>
      </c>
      <c r="JY14" s="9" t="n">
        <v>0</v>
      </c>
      <c r="KA14" s="9" t="n">
        <v>0</v>
      </c>
      <c r="KB14" s="9" t="n">
        <v>0</v>
      </c>
      <c r="KF14" s="10" t="n">
        <v>46031</v>
      </c>
      <c r="KH14" s="9" t="n">
        <v>0</v>
      </c>
      <c r="KJ14" s="9" t="n">
        <v>0</v>
      </c>
      <c r="KK14" s="9" t="n">
        <v>0</v>
      </c>
      <c r="KO14" s="10" t="n">
        <v>46031</v>
      </c>
      <c r="KQ14" s="9" t="n">
        <v>0</v>
      </c>
      <c r="KS14" s="9" t="n">
        <v>0</v>
      </c>
      <c r="KT14" s="9" t="n">
        <v>0</v>
      </c>
      <c r="KX14" s="10" t="n">
        <v>46031</v>
      </c>
      <c r="KZ14" s="9" t="n">
        <v>0</v>
      </c>
      <c r="LB14" s="9" t="n">
        <v>0</v>
      </c>
      <c r="LC14" s="9" t="n">
        <v>0</v>
      </c>
      <c r="LG14" s="10" t="n">
        <v>46031</v>
      </c>
      <c r="LI14" s="9" t="n">
        <v>0</v>
      </c>
      <c r="LK14" s="9" t="n">
        <v>0</v>
      </c>
      <c r="LL14" s="9" t="n">
        <v>0</v>
      </c>
      <c r="LP14" s="10" t="n">
        <v>46031</v>
      </c>
      <c r="LR14" s="9" t="n">
        <v>0</v>
      </c>
      <c r="LT14" s="9" t="n">
        <v>0</v>
      </c>
      <c r="LU14" s="9" t="n">
        <v>0</v>
      </c>
      <c r="LY14" s="10" t="n">
        <v>46031</v>
      </c>
      <c r="MA14" s="9" t="n">
        <v>0</v>
      </c>
      <c r="MC14" s="9" t="n">
        <v>0</v>
      </c>
      <c r="MD14" s="9" t="n">
        <v>0</v>
      </c>
      <c r="MH14" s="10" t="n">
        <v>46031</v>
      </c>
      <c r="MJ14" s="9" t="n">
        <v>0</v>
      </c>
      <c r="ML14" s="9" t="n">
        <v>0</v>
      </c>
      <c r="MM14" s="9" t="n">
        <v>0</v>
      </c>
      <c r="MQ14" s="10" t="n">
        <v>46031</v>
      </c>
      <c r="MS14" s="9" t="n">
        <v>20</v>
      </c>
      <c r="MU14" s="9" t="n">
        <v>20</v>
      </c>
      <c r="MV14" s="9" t="n">
        <v>1371</v>
      </c>
      <c r="MZ14" s="10" t="n">
        <v>46031</v>
      </c>
      <c r="NB14" s="9" t="n">
        <v>120</v>
      </c>
      <c r="ND14" s="9" t="n">
        <v>120</v>
      </c>
      <c r="NE14" s="9" t="n">
        <v>0</v>
      </c>
      <c r="NI14" s="10" t="n">
        <v>46031</v>
      </c>
      <c r="NK14" s="9" t="n">
        <v>0</v>
      </c>
      <c r="NM14" s="9" t="n">
        <v>0</v>
      </c>
      <c r="NN14" s="9" t="n">
        <v>0</v>
      </c>
      <c r="NR14" s="10" t="n">
        <v>46031</v>
      </c>
      <c r="NT14" s="9" t="n">
        <v>0</v>
      </c>
      <c r="NV14" s="9" t="n">
        <v>0</v>
      </c>
      <c r="NW14" s="9" t="n">
        <v>0</v>
      </c>
      <c r="OA14" s="10" t="n">
        <v>46031</v>
      </c>
      <c r="OC14" s="9" t="n">
        <v>40</v>
      </c>
      <c r="OE14" s="9" t="n">
        <v>40</v>
      </c>
      <c r="OF14" s="9" t="n">
        <v>1935.2</v>
      </c>
      <c r="OJ14" s="10" t="n">
        <v>46031</v>
      </c>
      <c r="OL14" s="9" t="n">
        <v>0</v>
      </c>
      <c r="ON14" s="9" t="n">
        <v>0</v>
      </c>
      <c r="OO14" s="9" t="n">
        <v>0</v>
      </c>
      <c r="OS14" s="10" t="n">
        <v>46031</v>
      </c>
      <c r="OU14" s="9" t="n">
        <v>0</v>
      </c>
      <c r="OW14" s="9" t="n">
        <v>0</v>
      </c>
      <c r="OX14" s="9" t="n">
        <v>67</v>
      </c>
      <c r="PB14" s="10" t="n">
        <v>46031</v>
      </c>
      <c r="PD14" s="9" t="n">
        <v>0</v>
      </c>
      <c r="PF14" s="9" t="n">
        <v>0</v>
      </c>
      <c r="PG14" s="9" t="n">
        <v>0</v>
      </c>
      <c r="PK14" s="10" t="n">
        <v>46031</v>
      </c>
      <c r="PM14" s="9" t="n">
        <v>0</v>
      </c>
      <c r="PO14" s="9" t="n">
        <v>0</v>
      </c>
      <c r="PP14" s="9" t="n">
        <v>160</v>
      </c>
      <c r="PT14" s="10" t="n">
        <v>46031</v>
      </c>
      <c r="PV14" s="9" t="n">
        <v>0</v>
      </c>
      <c r="PX14" s="9" t="n">
        <v>0</v>
      </c>
      <c r="PY14" s="9" t="n">
        <v>13.96000000000004</v>
      </c>
      <c r="QC14" s="10" t="n">
        <v>46031</v>
      </c>
      <c r="QE14" s="9" t="n">
        <v>0</v>
      </c>
      <c r="QG14" s="9" t="n">
        <v>0</v>
      </c>
      <c r="QH14" s="9" t="n">
        <v>0</v>
      </c>
      <c r="QL14" s="10" t="n">
        <v>46031</v>
      </c>
      <c r="QN14" s="9" t="n">
        <v>0</v>
      </c>
      <c r="QP14" s="9" t="n">
        <v>0</v>
      </c>
      <c r="QQ14" s="9" t="n">
        <v>0</v>
      </c>
      <c r="QU14" s="10" t="n">
        <v>46031</v>
      </c>
      <c r="QW14" s="9" t="n">
        <v>0</v>
      </c>
      <c r="QY14" s="9" t="n">
        <v>0</v>
      </c>
      <c r="QZ14" s="9" t="n">
        <v>207.6</v>
      </c>
      <c r="RD14" s="10" t="n">
        <v>46031</v>
      </c>
      <c r="RF14" s="9" t="n">
        <v>0</v>
      </c>
      <c r="RH14" s="9" t="n">
        <v>0</v>
      </c>
      <c r="RI14" s="9" t="n">
        <v>201.8</v>
      </c>
      <c r="RM14" s="10" t="n">
        <v>46031</v>
      </c>
      <c r="RO14" s="9" t="n">
        <v>0</v>
      </c>
      <c r="RQ14" s="9" t="n">
        <v>0</v>
      </c>
      <c r="RR14" s="9" t="n">
        <v>22.72</v>
      </c>
      <c r="RV14" s="10" t="n">
        <v>46031</v>
      </c>
      <c r="RX14" s="9" t="n">
        <v>0</v>
      </c>
      <c r="RZ14" s="9" t="n">
        <v>0</v>
      </c>
      <c r="SA14" s="9" t="n">
        <v>0</v>
      </c>
      <c r="SE14" s="10" t="n">
        <v>46031</v>
      </c>
      <c r="SG14" s="9" t="n">
        <v>0</v>
      </c>
      <c r="SI14" s="9" t="n">
        <v>0</v>
      </c>
      <c r="SJ14" s="9" t="n">
        <v>0</v>
      </c>
      <c r="SN14" s="10" t="n">
        <v>46031</v>
      </c>
      <c r="SP14" s="9" t="n">
        <v>0</v>
      </c>
      <c r="SR14" s="9" t="n">
        <v>0</v>
      </c>
      <c r="SS14" s="9" t="n">
        <v>0</v>
      </c>
      <c r="SW14" s="10" t="n">
        <v>46031</v>
      </c>
      <c r="SY14" s="9" t="n">
        <v>0</v>
      </c>
      <c r="TA14" s="9" t="n">
        <v>0</v>
      </c>
      <c r="TB14" s="9" t="n">
        <v>0</v>
      </c>
      <c r="TF14" s="10" t="n">
        <v>46031</v>
      </c>
      <c r="TH14" s="9" t="n">
        <v>0</v>
      </c>
      <c r="TJ14" s="9" t="n">
        <v>0</v>
      </c>
      <c r="TK14" s="9" t="n">
        <v>0</v>
      </c>
      <c r="TO14" s="10" t="n">
        <v>46031</v>
      </c>
      <c r="TQ14" s="9" t="n">
        <v>0</v>
      </c>
      <c r="TS14" s="9" t="n">
        <v>0</v>
      </c>
      <c r="TT14" s="9" t="n">
        <v>0</v>
      </c>
      <c r="TX14" s="10" t="n">
        <v>46031</v>
      </c>
      <c r="TZ14" s="9" t="n">
        <v>0</v>
      </c>
      <c r="UB14" s="9" t="n">
        <v>0</v>
      </c>
      <c r="UC14" s="9" t="n">
        <v>0</v>
      </c>
      <c r="UG14" s="10" t="n">
        <v>46031</v>
      </c>
      <c r="UI14" s="9" t="n">
        <v>0</v>
      </c>
      <c r="UK14" s="9" t="n">
        <v>0</v>
      </c>
      <c r="UL14" s="9" t="n">
        <v>0</v>
      </c>
      <c r="UP14" s="10" t="n">
        <v>46031</v>
      </c>
      <c r="UR14" s="9" t="n">
        <v>0</v>
      </c>
      <c r="UT14" s="9" t="n">
        <v>0</v>
      </c>
      <c r="UU14" s="9" t="n">
        <v>0</v>
      </c>
      <c r="UY14" s="10" t="n">
        <v>46031</v>
      </c>
      <c r="VA14" s="9" t="n">
        <v>0</v>
      </c>
      <c r="VC14" s="9" t="n">
        <v>0</v>
      </c>
      <c r="VD14" s="9" t="n">
        <v>-319.6</v>
      </c>
      <c r="VH14" s="10" t="n">
        <v>46031</v>
      </c>
      <c r="VJ14" s="9" t="n">
        <v>0</v>
      </c>
      <c r="VL14" s="9" t="n">
        <v>0</v>
      </c>
      <c r="VM14" s="9" t="n">
        <v>0</v>
      </c>
      <c r="VQ14" s="10" t="n">
        <v>46031</v>
      </c>
      <c r="VS14" s="9" t="n">
        <v>0</v>
      </c>
      <c r="VU14" s="9" t="n">
        <v>0</v>
      </c>
      <c r="VV14" s="9" t="n">
        <v>0</v>
      </c>
      <c r="VZ14" s="10" t="n">
        <v>46031</v>
      </c>
      <c r="WB14" s="9" t="n">
        <v>0</v>
      </c>
      <c r="WD14" s="9" t="n">
        <v>0</v>
      </c>
      <c r="WE14" s="9" t="n">
        <v>0</v>
      </c>
      <c r="WI14" s="10" t="n">
        <v>46031</v>
      </c>
      <c r="WK14" s="9" t="n">
        <v>0</v>
      </c>
      <c r="WM14" s="9" t="n">
        <v>0</v>
      </c>
      <c r="WN14" s="9" t="n">
        <v>5877</v>
      </c>
      <c r="WR14" s="10" t="n">
        <v>46031</v>
      </c>
      <c r="WT14" s="9" t="n">
        <v>0</v>
      </c>
      <c r="WV14" s="9" t="n">
        <v>0</v>
      </c>
      <c r="WW14" s="9" t="n">
        <v>5267</v>
      </c>
      <c r="XA14" s="10" t="n">
        <v>46031</v>
      </c>
      <c r="XC14" s="9" t="n">
        <v>0</v>
      </c>
      <c r="XE14" s="9" t="n">
        <v>0</v>
      </c>
      <c r="XF14" s="9" t="n">
        <v>2446</v>
      </c>
      <c r="XJ14" s="10" t="n">
        <v>46031</v>
      </c>
      <c r="XL14" s="9" t="n">
        <v>0</v>
      </c>
      <c r="XN14" s="9" t="n">
        <v>0</v>
      </c>
      <c r="XO14" s="9" t="n">
        <v>6772</v>
      </c>
      <c r="XS14" s="10" t="n">
        <v>46031</v>
      </c>
      <c r="XU14" s="9" t="n">
        <v>0</v>
      </c>
      <c r="XW14" s="9" t="n">
        <v>0</v>
      </c>
      <c r="XX14" s="9" t="n">
        <v>1901</v>
      </c>
      <c r="YB14" s="10" t="n">
        <v>46031</v>
      </c>
      <c r="YD14" s="9" t="n">
        <v>0</v>
      </c>
      <c r="YF14" s="9" t="n">
        <v>0</v>
      </c>
      <c r="YG14" s="9" t="n">
        <v>4175</v>
      </c>
      <c r="YK14" s="10" t="n">
        <v>46031</v>
      </c>
      <c r="YM14" s="9" t="n">
        <v>0</v>
      </c>
      <c r="YO14" s="9" t="n">
        <v>0</v>
      </c>
      <c r="YP14" s="9" t="n">
        <v>0</v>
      </c>
      <c r="YT14" s="10" t="n">
        <v>46031</v>
      </c>
      <c r="YV14" s="9" t="n">
        <v>0</v>
      </c>
      <c r="YX14" s="9" t="n">
        <v>0</v>
      </c>
      <c r="YY14" s="9" t="n">
        <v>0</v>
      </c>
      <c r="ZC14" s="10" t="n">
        <v>46031</v>
      </c>
      <c r="ZE14" s="9" t="n">
        <v>0</v>
      </c>
      <c r="ZG14" s="9" t="n">
        <v>0</v>
      </c>
      <c r="ZH14" s="9" t="n">
        <v>0</v>
      </c>
      <c r="ZL14" s="10" t="n">
        <v>46031</v>
      </c>
      <c r="ZN14" s="9" t="n">
        <v>0</v>
      </c>
      <c r="ZP14" s="9" t="n">
        <v>0</v>
      </c>
      <c r="ZQ14" s="9" t="n">
        <v>0</v>
      </c>
      <c r="ZU14" s="10" t="n">
        <v>46031</v>
      </c>
      <c r="ZW14" s="9" t="n">
        <v>0</v>
      </c>
      <c r="ZY14" s="9" t="n">
        <v>0</v>
      </c>
      <c r="ZZ14" s="9" t="n">
        <v>0</v>
      </c>
      <c r="AAD14" s="10" t="n">
        <v>46031</v>
      </c>
      <c r="AAF14" s="9" t="n">
        <v>0</v>
      </c>
      <c r="AAH14" s="9" t="n">
        <v>0</v>
      </c>
      <c r="AAI14" s="9" t="n">
        <v>0</v>
      </c>
      <c r="AAM14" s="10" t="n">
        <v>46031</v>
      </c>
      <c r="AAO14" s="9" t="n">
        <v>0</v>
      </c>
      <c r="AAQ14" s="9" t="n">
        <v>0</v>
      </c>
      <c r="AAR14" s="9" t="n">
        <v>0</v>
      </c>
      <c r="AAV14" s="10" t="n">
        <v>46031</v>
      </c>
      <c r="AAX14" s="9" t="n">
        <v>0</v>
      </c>
      <c r="AAZ14" s="9" t="n">
        <v>0</v>
      </c>
      <c r="ABA14" s="9" t="n">
        <v>0</v>
      </c>
      <c r="ABE14" s="10" t="n">
        <v>46031</v>
      </c>
      <c r="ABG14" s="9" t="n">
        <v>0</v>
      </c>
      <c r="ABI14" s="9" t="n">
        <v>0</v>
      </c>
      <c r="ABJ14" s="9" t="n">
        <v>0</v>
      </c>
    </row>
    <row r="15">
      <c r="B15" s="9" t="n">
        <v>22</v>
      </c>
      <c r="C15" s="10" t="n">
        <v>46032</v>
      </c>
      <c r="E15" s="9" t="n">
        <v>11860.2</v>
      </c>
      <c r="F15" s="9" t="n">
        <v>11859.2</v>
      </c>
      <c r="G15" s="9" t="n">
        <v>1</v>
      </c>
      <c r="H15" s="9" t="n">
        <v>32808</v>
      </c>
      <c r="I15" s="9" t="inlineStr">
        <is>
          <t>8100 22mt</t>
        </is>
      </c>
      <c r="L15" s="10" t="n">
        <v>46032</v>
      </c>
      <c r="N15" s="9" t="n">
        <v>6644</v>
      </c>
      <c r="O15" s="9" t="n">
        <v>6644.6</v>
      </c>
      <c r="P15" s="9" t="n">
        <v>-0.6000000000003638</v>
      </c>
      <c r="Q15" s="9" t="n">
        <v>-4066.399999999994</v>
      </c>
      <c r="U15" s="10" t="n">
        <v>46032</v>
      </c>
      <c r="W15" s="9" t="n">
        <v>1100</v>
      </c>
      <c r="X15" s="9" t="n">
        <v>1101.4</v>
      </c>
      <c r="Y15" s="9" t="n">
        <v>-1.400000000000091</v>
      </c>
      <c r="Z15" s="9" t="n">
        <v>41634.89999999999</v>
      </c>
      <c r="AD15" s="10" t="n">
        <v>46032</v>
      </c>
      <c r="AE15" s="9" t="n">
        <v>28480</v>
      </c>
      <c r="AF15" s="9" t="n">
        <v>550</v>
      </c>
      <c r="AG15" s="9" t="n">
        <v>550.4</v>
      </c>
      <c r="AH15" s="9" t="n">
        <v>-0.3999999999999773</v>
      </c>
      <c r="AI15" s="9" t="n">
        <v>38719.50000000001</v>
      </c>
      <c r="AM15" s="10" t="n">
        <v>46032</v>
      </c>
      <c r="AO15" s="9" t="n">
        <v>0</v>
      </c>
      <c r="AQ15" s="9" t="n">
        <v>0</v>
      </c>
      <c r="AR15" s="9" t="n">
        <v>0</v>
      </c>
      <c r="AV15" s="10" t="n">
        <v>46032</v>
      </c>
      <c r="AX15" s="9" t="n">
        <v>440</v>
      </c>
      <c r="AY15" s="9" t="n">
        <v>439.1</v>
      </c>
      <c r="AZ15" s="9" t="n">
        <v>0.8999999999999773</v>
      </c>
      <c r="BA15" s="9" t="n">
        <v>19317.79999999999</v>
      </c>
      <c r="BE15" s="10" t="n">
        <v>46032</v>
      </c>
      <c r="BG15" s="9" t="n">
        <v>440</v>
      </c>
      <c r="BH15" s="9" t="n">
        <v>439.9</v>
      </c>
      <c r="BI15" s="9" t="n">
        <v>0.1000000000000227</v>
      </c>
      <c r="BJ15" s="9" t="n">
        <v>17248.3</v>
      </c>
      <c r="BN15" s="10" t="n">
        <v>46032</v>
      </c>
      <c r="BO15" s="9" t="n">
        <v>286</v>
      </c>
      <c r="BP15" s="9" t="n">
        <v>286.0000000000001</v>
      </c>
      <c r="BQ15" s="9" t="n">
        <v>286</v>
      </c>
      <c r="BR15" s="9" t="n">
        <v>0</v>
      </c>
      <c r="BS15" s="9" t="n">
        <v>0</v>
      </c>
      <c r="BW15" s="10" t="n">
        <v>46032</v>
      </c>
      <c r="BY15" s="9" t="n">
        <v>33</v>
      </c>
      <c r="BZ15" s="9" t="n">
        <v>51</v>
      </c>
      <c r="CA15" s="9" t="n">
        <v>-18</v>
      </c>
      <c r="CB15" s="9" t="n">
        <v>3461.5</v>
      </c>
      <c r="CF15" s="10" t="n">
        <v>46032</v>
      </c>
      <c r="CG15" s="9" t="n">
        <v>200.6</v>
      </c>
      <c r="CH15" s="9" t="n">
        <v>129.8</v>
      </c>
      <c r="CI15" s="9" t="n">
        <v>200.6</v>
      </c>
      <c r="CJ15" s="9" t="n">
        <v>-70.79999999999998</v>
      </c>
      <c r="CK15" s="9" t="n">
        <v>0</v>
      </c>
      <c r="CO15" s="10" t="n">
        <v>46032</v>
      </c>
      <c r="CQ15" s="9" t="n">
        <v>0</v>
      </c>
      <c r="CS15" s="9" t="n">
        <v>0</v>
      </c>
      <c r="CT15" s="9" t="n">
        <v>0</v>
      </c>
      <c r="CX15" s="10" t="n">
        <v>46032</v>
      </c>
      <c r="CZ15" s="9" t="n">
        <v>0</v>
      </c>
      <c r="DB15" s="9" t="n">
        <v>0</v>
      </c>
      <c r="DC15" s="9" t="n">
        <v>0</v>
      </c>
      <c r="DG15" s="10" t="n">
        <v>46032</v>
      </c>
      <c r="DI15" s="9" t="n">
        <v>0</v>
      </c>
      <c r="DK15" s="9" t="n">
        <v>0</v>
      </c>
      <c r="DL15" s="9" t="n">
        <v>26092</v>
      </c>
      <c r="DP15" s="10" t="n">
        <v>46032</v>
      </c>
      <c r="DR15" s="9" t="n">
        <v>0</v>
      </c>
      <c r="DT15" s="9" t="n">
        <v>0</v>
      </c>
      <c r="DU15" s="9" t="n">
        <v>0</v>
      </c>
      <c r="DY15" s="10" t="n">
        <v>46032</v>
      </c>
      <c r="EA15" s="9" t="n">
        <v>0</v>
      </c>
      <c r="EC15" s="9" t="n">
        <v>0</v>
      </c>
      <c r="ED15" s="9" t="n">
        <v>0</v>
      </c>
      <c r="EH15" s="10" t="n">
        <v>46032</v>
      </c>
      <c r="EJ15" s="9" t="n">
        <v>0</v>
      </c>
      <c r="EL15" s="9" t="n">
        <v>0</v>
      </c>
      <c r="EM15" s="9" t="n">
        <v>0</v>
      </c>
      <c r="EQ15" s="10" t="n">
        <v>46032</v>
      </c>
      <c r="ES15" s="9" t="n">
        <v>0</v>
      </c>
      <c r="EU15" s="9" t="n">
        <v>0</v>
      </c>
      <c r="EV15" s="9" t="n">
        <v>0</v>
      </c>
      <c r="EZ15" s="10" t="n">
        <v>46032</v>
      </c>
      <c r="FB15" s="9" t="n">
        <v>0</v>
      </c>
      <c r="FD15" s="9" t="n">
        <v>0</v>
      </c>
      <c r="FE15" s="9" t="n">
        <v>0</v>
      </c>
      <c r="FI15" s="10" t="n">
        <v>46032</v>
      </c>
      <c r="FK15" s="9" t="n">
        <v>0</v>
      </c>
      <c r="FM15" s="9" t="n">
        <v>0</v>
      </c>
      <c r="FN15" s="9" t="n">
        <v>0</v>
      </c>
      <c r="FR15" s="10" t="n">
        <v>46032</v>
      </c>
      <c r="FT15" s="9" t="n">
        <v>0</v>
      </c>
      <c r="FV15" s="9" t="n">
        <v>0</v>
      </c>
      <c r="FW15" s="9" t="n">
        <v>3540</v>
      </c>
      <c r="GA15" s="10" t="n">
        <v>46032</v>
      </c>
      <c r="GC15" s="9" t="n">
        <v>0</v>
      </c>
      <c r="GE15" s="9" t="n">
        <v>0</v>
      </c>
      <c r="GF15" s="9" t="n">
        <v>1960</v>
      </c>
      <c r="GJ15" s="10" t="n">
        <v>46032</v>
      </c>
      <c r="GL15" s="9" t="n">
        <v>0</v>
      </c>
      <c r="GM15" s="9" t="n">
        <v>1200</v>
      </c>
      <c r="GN15" s="9" t="n">
        <v>-1200</v>
      </c>
      <c r="GO15" s="9" t="n">
        <v>6360</v>
      </c>
      <c r="GP15" s="9" t="n">
        <v>60</v>
      </c>
      <c r="GQ15" s="9" t="inlineStr">
        <is>
          <t>bags</t>
        </is>
      </c>
      <c r="GS15" s="10" t="n">
        <v>46032</v>
      </c>
      <c r="GU15" s="9" t="n">
        <v>0</v>
      </c>
      <c r="GW15" s="9" t="n">
        <v>0</v>
      </c>
      <c r="GX15" s="9" t="n">
        <v>0</v>
      </c>
      <c r="HB15" s="10" t="n">
        <v>46032</v>
      </c>
      <c r="HD15" s="9" t="n">
        <v>0</v>
      </c>
      <c r="HF15" s="9" t="n">
        <v>0</v>
      </c>
      <c r="HG15" s="9" t="n">
        <v>0</v>
      </c>
      <c r="HK15" s="10" t="n">
        <v>46032</v>
      </c>
      <c r="HM15" s="9" t="n">
        <v>0</v>
      </c>
      <c r="HO15" s="9" t="n">
        <v>0</v>
      </c>
      <c r="HP15" s="9" t="n">
        <v>0</v>
      </c>
      <c r="HU15" s="10" t="n">
        <v>46032</v>
      </c>
      <c r="HW15" s="9" t="n">
        <v>440</v>
      </c>
      <c r="HX15" s="9" t="n">
        <v>680</v>
      </c>
      <c r="HY15" s="9" t="n">
        <v>-240</v>
      </c>
      <c r="HZ15" s="9" t="n">
        <v>3800</v>
      </c>
      <c r="IA15" s="9" t="n">
        <v>34</v>
      </c>
      <c r="IB15" s="9" t="inlineStr">
        <is>
          <t>bags</t>
        </is>
      </c>
      <c r="ID15" s="10" t="n">
        <v>46032</v>
      </c>
      <c r="IF15" s="9" t="n">
        <v>0</v>
      </c>
      <c r="IH15" s="9" t="n">
        <v>0</v>
      </c>
      <c r="II15" s="9" t="n">
        <v>5100</v>
      </c>
      <c r="IM15" s="10" t="n">
        <v>46032</v>
      </c>
      <c r="IO15" s="9" t="n">
        <v>0</v>
      </c>
      <c r="IP15" s="9" t="n">
        <v>2520</v>
      </c>
      <c r="IQ15" s="9" t="n">
        <v>-2520</v>
      </c>
      <c r="IR15" s="9" t="n">
        <v>11240</v>
      </c>
      <c r="IS15" s="9" t="n">
        <v>126</v>
      </c>
      <c r="IT15" s="9" t="inlineStr">
        <is>
          <t>bags</t>
        </is>
      </c>
      <c r="IV15" s="10" t="n">
        <v>46032</v>
      </c>
      <c r="IX15" s="9" t="n">
        <v>0</v>
      </c>
      <c r="IY15" s="9" t="n">
        <v>1600</v>
      </c>
      <c r="IZ15" s="9" t="n">
        <v>-1600</v>
      </c>
      <c r="JA15" s="9" t="n">
        <v>4320</v>
      </c>
      <c r="JB15" s="9" t="n">
        <v>80</v>
      </c>
      <c r="JC15" s="9" t="inlineStr">
        <is>
          <t>bags</t>
        </is>
      </c>
      <c r="JE15" s="10" t="n">
        <v>46032</v>
      </c>
      <c r="JG15" s="9" t="n">
        <v>0</v>
      </c>
      <c r="JI15" s="9" t="n">
        <v>0</v>
      </c>
      <c r="JJ15" s="9" t="n">
        <v>6800</v>
      </c>
      <c r="JN15" s="10" t="n">
        <v>46032</v>
      </c>
      <c r="JP15" s="9" t="n">
        <v>0</v>
      </c>
      <c r="JR15" s="9" t="n">
        <v>0</v>
      </c>
      <c r="JS15" s="9" t="n">
        <v>5400</v>
      </c>
      <c r="JW15" s="10" t="n">
        <v>46032</v>
      </c>
      <c r="JY15" s="9" t="n">
        <v>0</v>
      </c>
      <c r="KA15" s="9" t="n">
        <v>0</v>
      </c>
      <c r="KB15" s="9" t="n">
        <v>0</v>
      </c>
      <c r="KF15" s="10" t="n">
        <v>46032</v>
      </c>
      <c r="KH15" s="9" t="n">
        <v>0</v>
      </c>
      <c r="KJ15" s="9" t="n">
        <v>0</v>
      </c>
      <c r="KK15" s="9" t="n">
        <v>0</v>
      </c>
      <c r="KO15" s="10" t="n">
        <v>46032</v>
      </c>
      <c r="KQ15" s="9" t="n">
        <v>0</v>
      </c>
      <c r="KS15" s="9" t="n">
        <v>0</v>
      </c>
      <c r="KT15" s="9" t="n">
        <v>0</v>
      </c>
      <c r="KX15" s="10" t="n">
        <v>46032</v>
      </c>
      <c r="KZ15" s="9" t="n">
        <v>0</v>
      </c>
      <c r="LB15" s="9" t="n">
        <v>0</v>
      </c>
      <c r="LC15" s="9" t="n">
        <v>0</v>
      </c>
      <c r="LG15" s="10" t="n">
        <v>46032</v>
      </c>
      <c r="LI15" s="9" t="n">
        <v>0</v>
      </c>
      <c r="LK15" s="9" t="n">
        <v>0</v>
      </c>
      <c r="LL15" s="9" t="n">
        <v>0</v>
      </c>
      <c r="LP15" s="10" t="n">
        <v>46032</v>
      </c>
      <c r="LR15" s="9" t="n">
        <v>0</v>
      </c>
      <c r="LT15" s="9" t="n">
        <v>0</v>
      </c>
      <c r="LU15" s="9" t="n">
        <v>0</v>
      </c>
      <c r="LY15" s="10" t="n">
        <v>46032</v>
      </c>
      <c r="MA15" s="9" t="n">
        <v>0</v>
      </c>
      <c r="MC15" s="9" t="n">
        <v>0</v>
      </c>
      <c r="MD15" s="9" t="n">
        <v>0</v>
      </c>
      <c r="MH15" s="10" t="n">
        <v>46032</v>
      </c>
      <c r="MJ15" s="9" t="n">
        <v>0</v>
      </c>
      <c r="ML15" s="9" t="n">
        <v>0</v>
      </c>
      <c r="MM15" s="9" t="n">
        <v>0</v>
      </c>
      <c r="MQ15" s="10" t="n">
        <v>46032</v>
      </c>
      <c r="MS15" s="9" t="n">
        <v>11</v>
      </c>
      <c r="MT15" s="9" t="n">
        <v>65</v>
      </c>
      <c r="MU15" s="9" t="n">
        <v>-54</v>
      </c>
      <c r="MV15" s="9" t="n">
        <v>1306</v>
      </c>
      <c r="MZ15" s="10" t="n">
        <v>46032</v>
      </c>
      <c r="NA15" s="9" t="n">
        <v>450</v>
      </c>
      <c r="NB15" s="9" t="n">
        <v>66</v>
      </c>
      <c r="NC15" s="9" t="n">
        <v>450</v>
      </c>
      <c r="ND15" s="9" t="n">
        <v>-384</v>
      </c>
      <c r="NE15" s="9" t="n">
        <v>0</v>
      </c>
      <c r="NI15" s="10" t="n">
        <v>46032</v>
      </c>
      <c r="NK15" s="9" t="n">
        <v>0</v>
      </c>
      <c r="NM15" s="9" t="n">
        <v>0</v>
      </c>
      <c r="NN15" s="9" t="n">
        <v>0</v>
      </c>
      <c r="NR15" s="10" t="n">
        <v>46032</v>
      </c>
      <c r="NT15" s="9" t="n">
        <v>0</v>
      </c>
      <c r="NV15" s="9" t="n">
        <v>0</v>
      </c>
      <c r="NW15" s="9" t="n">
        <v>0</v>
      </c>
      <c r="OA15" s="10" t="n">
        <v>46032</v>
      </c>
      <c r="OB15" s="9" t="n">
        <v>1.3</v>
      </c>
      <c r="OC15" s="9" t="n">
        <v>0</v>
      </c>
      <c r="OD15" s="9" t="n">
        <v>206</v>
      </c>
      <c r="OE15" s="9" t="n">
        <v>-206</v>
      </c>
      <c r="OF15" s="9" t="n">
        <v>1730.5</v>
      </c>
      <c r="OJ15" s="10" t="n">
        <v>46032</v>
      </c>
      <c r="OL15" s="9" t="n">
        <v>0</v>
      </c>
      <c r="ON15" s="9" t="n">
        <v>0</v>
      </c>
      <c r="OO15" s="9" t="n">
        <v>0</v>
      </c>
      <c r="OS15" s="10" t="n">
        <v>46032</v>
      </c>
      <c r="OU15" s="9" t="n">
        <v>0</v>
      </c>
      <c r="OW15" s="9" t="n">
        <v>0</v>
      </c>
      <c r="OX15" s="9" t="n">
        <v>67</v>
      </c>
      <c r="PB15" s="10" t="n">
        <v>46032</v>
      </c>
      <c r="PD15" s="9" t="n">
        <v>0</v>
      </c>
      <c r="PF15" s="9" t="n">
        <v>0</v>
      </c>
      <c r="PG15" s="9" t="n">
        <v>0</v>
      </c>
      <c r="PK15" s="10" t="n">
        <v>46032</v>
      </c>
      <c r="PM15" s="9" t="n">
        <v>0</v>
      </c>
      <c r="PO15" s="9" t="n">
        <v>0</v>
      </c>
      <c r="PP15" s="9" t="n">
        <v>160</v>
      </c>
      <c r="PT15" s="10" t="n">
        <v>46032</v>
      </c>
      <c r="PV15" s="9" t="n">
        <v>0</v>
      </c>
      <c r="PX15" s="9" t="n">
        <v>0</v>
      </c>
      <c r="PY15" s="9" t="n">
        <v>13.96000000000004</v>
      </c>
      <c r="QC15" s="10" t="n">
        <v>46032</v>
      </c>
      <c r="QE15" s="9" t="n">
        <v>0</v>
      </c>
      <c r="QG15" s="9" t="n">
        <v>0</v>
      </c>
      <c r="QH15" s="9" t="n">
        <v>0</v>
      </c>
      <c r="QL15" s="10" t="n">
        <v>46032</v>
      </c>
      <c r="QN15" s="9" t="n">
        <v>0</v>
      </c>
      <c r="QP15" s="9" t="n">
        <v>0</v>
      </c>
      <c r="QQ15" s="9" t="n">
        <v>0</v>
      </c>
      <c r="QU15" s="10" t="n">
        <v>46032</v>
      </c>
      <c r="QW15" s="9" t="n">
        <v>0</v>
      </c>
      <c r="QY15" s="9" t="n">
        <v>0</v>
      </c>
      <c r="QZ15" s="9" t="n">
        <v>207.6</v>
      </c>
      <c r="RD15" s="10" t="n">
        <v>46032</v>
      </c>
      <c r="RF15" s="9" t="n">
        <v>0</v>
      </c>
      <c r="RH15" s="9" t="n">
        <v>0</v>
      </c>
      <c r="RI15" s="9" t="n">
        <v>201.8</v>
      </c>
      <c r="RM15" s="10" t="n">
        <v>46032</v>
      </c>
      <c r="RO15" s="9" t="n">
        <v>0</v>
      </c>
      <c r="RQ15" s="9" t="n">
        <v>0</v>
      </c>
      <c r="RR15" s="9" t="n">
        <v>22.72</v>
      </c>
      <c r="RV15" s="10" t="n">
        <v>46032</v>
      </c>
      <c r="RX15" s="9" t="n">
        <v>0</v>
      </c>
      <c r="RZ15" s="9" t="n">
        <v>0</v>
      </c>
      <c r="SA15" s="9" t="n">
        <v>0</v>
      </c>
      <c r="SE15" s="10" t="n">
        <v>46032</v>
      </c>
      <c r="SG15" s="9" t="n">
        <v>0</v>
      </c>
      <c r="SI15" s="9" t="n">
        <v>0</v>
      </c>
      <c r="SJ15" s="9" t="n">
        <v>0</v>
      </c>
      <c r="SN15" s="10" t="n">
        <v>46032</v>
      </c>
      <c r="SP15" s="9" t="n">
        <v>0</v>
      </c>
      <c r="SR15" s="9" t="n">
        <v>0</v>
      </c>
      <c r="SS15" s="9" t="n">
        <v>0</v>
      </c>
      <c r="SW15" s="10" t="n">
        <v>46032</v>
      </c>
      <c r="SY15" s="9" t="n">
        <v>0</v>
      </c>
      <c r="TA15" s="9" t="n">
        <v>0</v>
      </c>
      <c r="TB15" s="9" t="n">
        <v>0</v>
      </c>
      <c r="TF15" s="10" t="n">
        <v>46032</v>
      </c>
      <c r="TH15" s="9" t="n">
        <v>0</v>
      </c>
      <c r="TJ15" s="9" t="n">
        <v>0</v>
      </c>
      <c r="TK15" s="9" t="n">
        <v>0</v>
      </c>
      <c r="TO15" s="10" t="n">
        <v>46032</v>
      </c>
      <c r="TQ15" s="9" t="n">
        <v>0</v>
      </c>
      <c r="TS15" s="9" t="n">
        <v>0</v>
      </c>
      <c r="TT15" s="9" t="n">
        <v>0</v>
      </c>
      <c r="TX15" s="10" t="n">
        <v>46032</v>
      </c>
      <c r="TZ15" s="9" t="n">
        <v>0</v>
      </c>
      <c r="UB15" s="9" t="n">
        <v>0</v>
      </c>
      <c r="UC15" s="9" t="n">
        <v>0</v>
      </c>
      <c r="UG15" s="10" t="n">
        <v>46032</v>
      </c>
      <c r="UI15" s="9" t="n">
        <v>0</v>
      </c>
      <c r="UK15" s="9" t="n">
        <v>0</v>
      </c>
      <c r="UL15" s="9" t="n">
        <v>0</v>
      </c>
      <c r="UP15" s="10" t="n">
        <v>46032</v>
      </c>
      <c r="UR15" s="9" t="n">
        <v>0</v>
      </c>
      <c r="UT15" s="9" t="n">
        <v>0</v>
      </c>
      <c r="UU15" s="9" t="n">
        <v>0</v>
      </c>
      <c r="UY15" s="10" t="n">
        <v>46032</v>
      </c>
      <c r="VA15" s="9" t="n">
        <v>0</v>
      </c>
      <c r="VC15" s="9" t="n">
        <v>0</v>
      </c>
      <c r="VD15" s="9" t="n">
        <v>-319.6</v>
      </c>
      <c r="VH15" s="10" t="n">
        <v>46032</v>
      </c>
      <c r="VJ15" s="9" t="n">
        <v>0</v>
      </c>
      <c r="VL15" s="9" t="n">
        <v>0</v>
      </c>
      <c r="VM15" s="9" t="n">
        <v>0</v>
      </c>
      <c r="VQ15" s="10" t="n">
        <v>46032</v>
      </c>
      <c r="VS15" s="9" t="n">
        <v>0</v>
      </c>
      <c r="VU15" s="9" t="n">
        <v>0</v>
      </c>
      <c r="VV15" s="9" t="n">
        <v>0</v>
      </c>
      <c r="VZ15" s="10" t="n">
        <v>46032</v>
      </c>
      <c r="WB15" s="9" t="n">
        <v>0</v>
      </c>
      <c r="WD15" s="9" t="n">
        <v>0</v>
      </c>
      <c r="WE15" s="9" t="n">
        <v>0</v>
      </c>
      <c r="WI15" s="10" t="n">
        <v>46032</v>
      </c>
      <c r="WK15" s="9" t="n">
        <v>0</v>
      </c>
      <c r="WM15" s="9" t="n">
        <v>0</v>
      </c>
      <c r="WN15" s="9" t="n">
        <v>5877</v>
      </c>
      <c r="WR15" s="10" t="n">
        <v>46032</v>
      </c>
      <c r="WT15" s="9" t="n">
        <v>0</v>
      </c>
      <c r="WV15" s="9" t="n">
        <v>0</v>
      </c>
      <c r="WW15" s="9" t="n">
        <v>5267</v>
      </c>
      <c r="XA15" s="10" t="n">
        <v>46032</v>
      </c>
      <c r="XC15" s="9" t="n">
        <v>0</v>
      </c>
      <c r="XE15" s="9" t="n">
        <v>0</v>
      </c>
      <c r="XF15" s="9" t="n">
        <v>2446</v>
      </c>
      <c r="XJ15" s="10" t="n">
        <v>46032</v>
      </c>
      <c r="XL15" s="9" t="n">
        <v>0</v>
      </c>
      <c r="XM15" s="9" t="n">
        <v>422</v>
      </c>
      <c r="XN15" s="9" t="n">
        <v>-422</v>
      </c>
      <c r="XO15" s="9" t="n">
        <v>6350</v>
      </c>
      <c r="XS15" s="10" t="n">
        <v>46032</v>
      </c>
      <c r="XU15" s="9" t="n">
        <v>0</v>
      </c>
      <c r="XW15" s="9" t="n">
        <v>0</v>
      </c>
      <c r="XX15" s="9" t="n">
        <v>1901</v>
      </c>
      <c r="YB15" s="10" t="n">
        <v>46032</v>
      </c>
      <c r="YD15" s="9" t="n">
        <v>0</v>
      </c>
      <c r="YF15" s="9" t="n">
        <v>0</v>
      </c>
      <c r="YG15" s="9" t="n">
        <v>4175</v>
      </c>
      <c r="YK15" s="10" t="n">
        <v>46032</v>
      </c>
      <c r="YM15" s="9" t="n">
        <v>0</v>
      </c>
      <c r="YO15" s="9" t="n">
        <v>0</v>
      </c>
      <c r="YP15" s="9" t="n">
        <v>0</v>
      </c>
      <c r="YT15" s="10" t="n">
        <v>46032</v>
      </c>
      <c r="YV15" s="9" t="n">
        <v>0</v>
      </c>
      <c r="YX15" s="9" t="n">
        <v>0</v>
      </c>
      <c r="YY15" s="9" t="n">
        <v>0</v>
      </c>
      <c r="ZC15" s="10" t="n">
        <v>46032</v>
      </c>
      <c r="ZE15" s="9" t="n">
        <v>0</v>
      </c>
      <c r="ZG15" s="9" t="n">
        <v>0</v>
      </c>
      <c r="ZH15" s="9" t="n">
        <v>0</v>
      </c>
      <c r="ZL15" s="10" t="n">
        <v>46032</v>
      </c>
      <c r="ZN15" s="9" t="n">
        <v>0</v>
      </c>
      <c r="ZP15" s="9" t="n">
        <v>0</v>
      </c>
      <c r="ZQ15" s="9" t="n">
        <v>0</v>
      </c>
      <c r="ZU15" s="10" t="n">
        <v>46032</v>
      </c>
      <c r="ZW15" s="9" t="n">
        <v>0</v>
      </c>
      <c r="ZY15" s="9" t="n">
        <v>0</v>
      </c>
      <c r="ZZ15" s="9" t="n">
        <v>0</v>
      </c>
      <c r="AAD15" s="10" t="n">
        <v>46032</v>
      </c>
      <c r="AAF15" s="9" t="n">
        <v>0</v>
      </c>
      <c r="AAH15" s="9" t="n">
        <v>0</v>
      </c>
      <c r="AAI15" s="9" t="n">
        <v>0</v>
      </c>
      <c r="AAM15" s="10" t="n">
        <v>46032</v>
      </c>
      <c r="AAO15" s="9" t="n">
        <v>0</v>
      </c>
      <c r="AAQ15" s="9" t="n">
        <v>0</v>
      </c>
      <c r="AAR15" s="9" t="n">
        <v>0</v>
      </c>
      <c r="AAV15" s="10" t="n">
        <v>46032</v>
      </c>
      <c r="AAX15" s="9" t="n">
        <v>0</v>
      </c>
      <c r="AAZ15" s="9" t="n">
        <v>0</v>
      </c>
      <c r="ABA15" s="9" t="n">
        <v>0</v>
      </c>
      <c r="ABE15" s="10" t="n">
        <v>46032</v>
      </c>
      <c r="ABG15" s="9" t="n">
        <v>0</v>
      </c>
      <c r="ABI15" s="9" t="n">
        <v>0</v>
      </c>
      <c r="ABJ15" s="9" t="n">
        <v>0</v>
      </c>
    </row>
    <row r="16">
      <c r="C16" s="10" t="n">
        <v>46033</v>
      </c>
      <c r="E16" s="9" t="n">
        <v>0</v>
      </c>
      <c r="G16" s="9" t="n">
        <v>0</v>
      </c>
      <c r="H16" s="9" t="n">
        <v>32808</v>
      </c>
      <c r="L16" s="10" t="n">
        <v>46033</v>
      </c>
      <c r="N16" s="9" t="n">
        <v>0</v>
      </c>
      <c r="P16" s="9" t="n">
        <v>0</v>
      </c>
      <c r="Q16" s="9" t="n">
        <v>-4066.399999999994</v>
      </c>
      <c r="U16" s="10" t="n">
        <v>46033</v>
      </c>
      <c r="W16" s="9" t="n">
        <v>0</v>
      </c>
      <c r="Y16" s="9" t="n">
        <v>0</v>
      </c>
      <c r="Z16" s="9" t="n">
        <v>41634.89999999999</v>
      </c>
      <c r="AD16" s="10" t="n">
        <v>46033</v>
      </c>
      <c r="AF16" s="9" t="n">
        <v>0</v>
      </c>
      <c r="AH16" s="9" t="n">
        <v>0</v>
      </c>
      <c r="AI16" s="9" t="n">
        <v>38719.50000000001</v>
      </c>
      <c r="AM16" s="10" t="n">
        <v>46033</v>
      </c>
      <c r="AO16" s="9" t="n">
        <v>0</v>
      </c>
      <c r="AQ16" s="9" t="n">
        <v>0</v>
      </c>
      <c r="AR16" s="9" t="n">
        <v>0</v>
      </c>
      <c r="AV16" s="10" t="n">
        <v>46033</v>
      </c>
      <c r="AX16" s="9" t="n">
        <v>0</v>
      </c>
      <c r="AZ16" s="9" t="n">
        <v>0</v>
      </c>
      <c r="BA16" s="9" t="n">
        <v>19317.79999999999</v>
      </c>
      <c r="BE16" s="10" t="n">
        <v>46033</v>
      </c>
      <c r="BG16" s="9" t="n">
        <v>0</v>
      </c>
      <c r="BI16" s="9" t="n">
        <v>0</v>
      </c>
      <c r="BJ16" s="9" t="n">
        <v>17248.3</v>
      </c>
      <c r="BN16" s="10" t="n">
        <v>46033</v>
      </c>
      <c r="BP16" s="9" t="n">
        <v>0</v>
      </c>
      <c r="BR16" s="9" t="n">
        <v>0</v>
      </c>
      <c r="BS16" s="9" t="n">
        <v>0</v>
      </c>
      <c r="BW16" s="10" t="n">
        <v>46033</v>
      </c>
      <c r="BY16" s="9" t="n">
        <v>0</v>
      </c>
      <c r="CA16" s="9" t="n">
        <v>0</v>
      </c>
      <c r="CB16" s="9" t="n">
        <v>3461.5</v>
      </c>
      <c r="CF16" s="10" t="n">
        <v>46033</v>
      </c>
      <c r="CH16" s="9" t="n">
        <v>0</v>
      </c>
      <c r="CJ16" s="9" t="n">
        <v>0</v>
      </c>
      <c r="CK16" s="9" t="n">
        <v>0</v>
      </c>
      <c r="CO16" s="10" t="n">
        <v>46033</v>
      </c>
      <c r="CQ16" s="9" t="n">
        <v>0</v>
      </c>
      <c r="CS16" s="9" t="n">
        <v>0</v>
      </c>
      <c r="CT16" s="9" t="n">
        <v>0</v>
      </c>
      <c r="CX16" s="10" t="n">
        <v>46033</v>
      </c>
      <c r="CZ16" s="9" t="n">
        <v>0</v>
      </c>
      <c r="DB16" s="9" t="n">
        <v>0</v>
      </c>
      <c r="DC16" s="9" t="n">
        <v>0</v>
      </c>
      <c r="DG16" s="10" t="n">
        <v>46033</v>
      </c>
      <c r="DI16" s="9" t="n">
        <v>0</v>
      </c>
      <c r="DK16" s="9" t="n">
        <v>0</v>
      </c>
      <c r="DL16" s="9" t="n">
        <v>26092</v>
      </c>
      <c r="DP16" s="10" t="n">
        <v>46033</v>
      </c>
      <c r="DR16" s="9" t="n">
        <v>0</v>
      </c>
      <c r="DT16" s="9" t="n">
        <v>0</v>
      </c>
      <c r="DU16" s="9" t="n">
        <v>0</v>
      </c>
      <c r="DY16" s="10" t="n">
        <v>46033</v>
      </c>
      <c r="EA16" s="9" t="n">
        <v>0</v>
      </c>
      <c r="EC16" s="9" t="n">
        <v>0</v>
      </c>
      <c r="ED16" s="9" t="n">
        <v>0</v>
      </c>
      <c r="EH16" s="10" t="n">
        <v>46033</v>
      </c>
      <c r="EJ16" s="9" t="n">
        <v>0</v>
      </c>
      <c r="EL16" s="9" t="n">
        <v>0</v>
      </c>
      <c r="EM16" s="9" t="n">
        <v>0</v>
      </c>
      <c r="EQ16" s="10" t="n">
        <v>46033</v>
      </c>
      <c r="ES16" s="9" t="n">
        <v>0</v>
      </c>
      <c r="EU16" s="9" t="n">
        <v>0</v>
      </c>
      <c r="EV16" s="9" t="n">
        <v>0</v>
      </c>
      <c r="EZ16" s="10" t="n">
        <v>46033</v>
      </c>
      <c r="FB16" s="9" t="n">
        <v>0</v>
      </c>
      <c r="FD16" s="9" t="n">
        <v>0</v>
      </c>
      <c r="FE16" s="9" t="n">
        <v>0</v>
      </c>
      <c r="FI16" s="10" t="n">
        <v>46033</v>
      </c>
      <c r="FK16" s="9" t="n">
        <v>0</v>
      </c>
      <c r="FM16" s="9" t="n">
        <v>0</v>
      </c>
      <c r="FN16" s="9" t="n">
        <v>0</v>
      </c>
      <c r="FR16" s="10" t="n">
        <v>46033</v>
      </c>
      <c r="FT16" s="9" t="n">
        <v>0</v>
      </c>
      <c r="FV16" s="9" t="n">
        <v>0</v>
      </c>
      <c r="FW16" s="9" t="n">
        <v>3540</v>
      </c>
      <c r="GA16" s="10" t="n">
        <v>46033</v>
      </c>
      <c r="GC16" s="9" t="n">
        <v>0</v>
      </c>
      <c r="GE16" s="9" t="n">
        <v>0</v>
      </c>
      <c r="GF16" s="9" t="n">
        <v>1960</v>
      </c>
      <c r="GJ16" s="10" t="n">
        <v>46033</v>
      </c>
      <c r="GL16" s="9" t="n">
        <v>0</v>
      </c>
      <c r="GN16" s="9" t="n">
        <v>0</v>
      </c>
      <c r="GO16" s="9" t="n">
        <v>6360</v>
      </c>
      <c r="GS16" s="10" t="n">
        <v>46033</v>
      </c>
      <c r="GU16" s="9" t="n">
        <v>0</v>
      </c>
      <c r="GW16" s="9" t="n">
        <v>0</v>
      </c>
      <c r="GX16" s="9" t="n">
        <v>0</v>
      </c>
      <c r="HB16" s="10" t="n">
        <v>46033</v>
      </c>
      <c r="HD16" s="9" t="n">
        <v>0</v>
      </c>
      <c r="HF16" s="9" t="n">
        <v>0</v>
      </c>
      <c r="HG16" s="9" t="n">
        <v>0</v>
      </c>
      <c r="HK16" s="10" t="n">
        <v>46033</v>
      </c>
      <c r="HM16" s="9" t="n">
        <v>0</v>
      </c>
      <c r="HO16" s="9" t="n">
        <v>0</v>
      </c>
      <c r="HP16" s="9" t="n">
        <v>0</v>
      </c>
      <c r="HU16" s="10" t="n">
        <v>46033</v>
      </c>
      <c r="HW16" s="9" t="n">
        <v>0</v>
      </c>
      <c r="HY16" s="9" t="n">
        <v>0</v>
      </c>
      <c r="HZ16" s="9" t="n">
        <v>3800</v>
      </c>
      <c r="ID16" s="10" t="n">
        <v>46033</v>
      </c>
      <c r="IF16" s="9" t="n">
        <v>0</v>
      </c>
      <c r="IH16" s="9" t="n">
        <v>0</v>
      </c>
      <c r="II16" s="9" t="n">
        <v>5100</v>
      </c>
      <c r="IM16" s="10" t="n">
        <v>46033</v>
      </c>
      <c r="IO16" s="9" t="n">
        <v>0</v>
      </c>
      <c r="IQ16" s="9" t="n">
        <v>0</v>
      </c>
      <c r="IR16" s="9" t="n">
        <v>11240</v>
      </c>
      <c r="IV16" s="10" t="n">
        <v>46033</v>
      </c>
      <c r="IX16" s="9" t="n">
        <v>0</v>
      </c>
      <c r="IY16" s="9" t="n">
        <v>1200</v>
      </c>
      <c r="IZ16" s="9" t="n">
        <v>-1200</v>
      </c>
      <c r="JA16" s="9" t="n">
        <v>3120</v>
      </c>
      <c r="JE16" s="10" t="n">
        <v>46033</v>
      </c>
      <c r="JG16" s="9" t="n">
        <v>0</v>
      </c>
      <c r="JI16" s="9" t="n">
        <v>0</v>
      </c>
      <c r="JJ16" s="9" t="n">
        <v>6800</v>
      </c>
      <c r="JN16" s="10" t="n">
        <v>46033</v>
      </c>
      <c r="JP16" s="9" t="n">
        <v>0</v>
      </c>
      <c r="JR16" s="9" t="n">
        <v>0</v>
      </c>
      <c r="JS16" s="9" t="n">
        <v>5400</v>
      </c>
      <c r="JW16" s="10" t="n">
        <v>46033</v>
      </c>
      <c r="JY16" s="9" t="n">
        <v>0</v>
      </c>
      <c r="KA16" s="9" t="n">
        <v>0</v>
      </c>
      <c r="KB16" s="9" t="n">
        <v>0</v>
      </c>
      <c r="KF16" s="10" t="n">
        <v>46033</v>
      </c>
      <c r="KH16" s="9" t="n">
        <v>0</v>
      </c>
      <c r="KJ16" s="9" t="n">
        <v>0</v>
      </c>
      <c r="KK16" s="9" t="n">
        <v>0</v>
      </c>
      <c r="KO16" s="10" t="n">
        <v>46033</v>
      </c>
      <c r="KQ16" s="9" t="n">
        <v>0</v>
      </c>
      <c r="KS16" s="9" t="n">
        <v>0</v>
      </c>
      <c r="KT16" s="9" t="n">
        <v>0</v>
      </c>
      <c r="KX16" s="10" t="n">
        <v>46033</v>
      </c>
      <c r="KZ16" s="9" t="n">
        <v>0</v>
      </c>
      <c r="LB16" s="9" t="n">
        <v>0</v>
      </c>
      <c r="LC16" s="9" t="n">
        <v>0</v>
      </c>
      <c r="LG16" s="10" t="n">
        <v>46033</v>
      </c>
      <c r="LI16" s="9" t="n">
        <v>0</v>
      </c>
      <c r="LK16" s="9" t="n">
        <v>0</v>
      </c>
      <c r="LL16" s="9" t="n">
        <v>0</v>
      </c>
      <c r="LP16" s="10" t="n">
        <v>46033</v>
      </c>
      <c r="LR16" s="9" t="n">
        <v>0</v>
      </c>
      <c r="LT16" s="9" t="n">
        <v>0</v>
      </c>
      <c r="LU16" s="9" t="n">
        <v>0</v>
      </c>
      <c r="LY16" s="10" t="n">
        <v>46033</v>
      </c>
      <c r="MA16" s="9" t="n">
        <v>0</v>
      </c>
      <c r="MC16" s="9" t="n">
        <v>0</v>
      </c>
      <c r="MD16" s="9" t="n">
        <v>0</v>
      </c>
      <c r="MH16" s="10" t="n">
        <v>46033</v>
      </c>
      <c r="MJ16" s="9" t="n">
        <v>0</v>
      </c>
      <c r="ML16" s="9" t="n">
        <v>0</v>
      </c>
      <c r="MM16" s="9" t="n">
        <v>0</v>
      </c>
      <c r="MQ16" s="10" t="n">
        <v>46033</v>
      </c>
      <c r="MS16" s="9" t="n">
        <v>0</v>
      </c>
      <c r="MU16" s="9" t="n">
        <v>0</v>
      </c>
      <c r="MV16" s="9" t="n">
        <v>1306</v>
      </c>
      <c r="MZ16" s="10" t="n">
        <v>46033</v>
      </c>
      <c r="NB16" s="9" t="n">
        <v>0</v>
      </c>
      <c r="ND16" s="9" t="n">
        <v>0</v>
      </c>
      <c r="NE16" s="9" t="n">
        <v>0</v>
      </c>
      <c r="NI16" s="10" t="n">
        <v>46033</v>
      </c>
      <c r="NK16" s="9" t="n">
        <v>0</v>
      </c>
      <c r="NM16" s="9" t="n">
        <v>0</v>
      </c>
      <c r="NN16" s="9" t="n">
        <v>0</v>
      </c>
      <c r="NR16" s="10" t="n">
        <v>46033</v>
      </c>
      <c r="NT16" s="9" t="n">
        <v>0</v>
      </c>
      <c r="NV16" s="9" t="n">
        <v>0</v>
      </c>
      <c r="NW16" s="9" t="n">
        <v>0</v>
      </c>
      <c r="OA16" s="10" t="n">
        <v>46033</v>
      </c>
      <c r="OC16" s="9" t="n">
        <v>0</v>
      </c>
      <c r="OE16" s="9" t="n">
        <v>0</v>
      </c>
      <c r="OF16" s="9" t="n">
        <v>1730.5</v>
      </c>
      <c r="OJ16" s="10" t="n">
        <v>46033</v>
      </c>
      <c r="OL16" s="9" t="n">
        <v>0</v>
      </c>
      <c r="ON16" s="9" t="n">
        <v>0</v>
      </c>
      <c r="OO16" s="9" t="n">
        <v>0</v>
      </c>
      <c r="OS16" s="10" t="n">
        <v>46033</v>
      </c>
      <c r="OU16" s="9" t="n">
        <v>0</v>
      </c>
      <c r="OW16" s="9" t="n">
        <v>0</v>
      </c>
      <c r="OX16" s="9" t="n">
        <v>67</v>
      </c>
      <c r="PB16" s="10" t="n">
        <v>46033</v>
      </c>
      <c r="PD16" s="9" t="n">
        <v>0</v>
      </c>
      <c r="PF16" s="9" t="n">
        <v>0</v>
      </c>
      <c r="PG16" s="9" t="n">
        <v>0</v>
      </c>
      <c r="PK16" s="10" t="n">
        <v>46033</v>
      </c>
      <c r="PM16" s="9" t="n">
        <v>0</v>
      </c>
      <c r="PO16" s="9" t="n">
        <v>0</v>
      </c>
      <c r="PP16" s="9" t="n">
        <v>160</v>
      </c>
      <c r="PT16" s="10" t="n">
        <v>46033</v>
      </c>
      <c r="PV16" s="9" t="n">
        <v>0</v>
      </c>
      <c r="PX16" s="9" t="n">
        <v>0</v>
      </c>
      <c r="PY16" s="9" t="n">
        <v>13.96000000000004</v>
      </c>
      <c r="QC16" s="10" t="n">
        <v>46033</v>
      </c>
      <c r="QE16" s="9" t="n">
        <v>0</v>
      </c>
      <c r="QG16" s="9" t="n">
        <v>0</v>
      </c>
      <c r="QH16" s="9" t="n">
        <v>0</v>
      </c>
      <c r="QL16" s="10" t="n">
        <v>46033</v>
      </c>
      <c r="QN16" s="9" t="n">
        <v>0</v>
      </c>
      <c r="QP16" s="9" t="n">
        <v>0</v>
      </c>
      <c r="QQ16" s="9" t="n">
        <v>0</v>
      </c>
      <c r="QU16" s="10" t="n">
        <v>46033</v>
      </c>
      <c r="QW16" s="9" t="n">
        <v>0</v>
      </c>
      <c r="QY16" s="9" t="n">
        <v>0</v>
      </c>
      <c r="QZ16" s="9" t="n">
        <v>207.6</v>
      </c>
      <c r="RD16" s="10" t="n">
        <v>46033</v>
      </c>
      <c r="RF16" s="9" t="n">
        <v>0</v>
      </c>
      <c r="RH16" s="9" t="n">
        <v>0</v>
      </c>
      <c r="RI16" s="9" t="n">
        <v>201.8</v>
      </c>
      <c r="RM16" s="10" t="n">
        <v>46033</v>
      </c>
      <c r="RO16" s="9" t="n">
        <v>0</v>
      </c>
      <c r="RQ16" s="9" t="n">
        <v>0</v>
      </c>
      <c r="RR16" s="9" t="n">
        <v>22.72</v>
      </c>
      <c r="RV16" s="10" t="n">
        <v>46033</v>
      </c>
      <c r="RX16" s="9" t="n">
        <v>0</v>
      </c>
      <c r="RZ16" s="9" t="n">
        <v>0</v>
      </c>
      <c r="SA16" s="9" t="n">
        <v>0</v>
      </c>
      <c r="SE16" s="10" t="n">
        <v>46033</v>
      </c>
      <c r="SG16" s="9" t="n">
        <v>0</v>
      </c>
      <c r="SI16" s="9" t="n">
        <v>0</v>
      </c>
      <c r="SJ16" s="9" t="n">
        <v>0</v>
      </c>
      <c r="SN16" s="10" t="n">
        <v>46033</v>
      </c>
      <c r="SP16" s="9" t="n">
        <v>0</v>
      </c>
      <c r="SR16" s="9" t="n">
        <v>0</v>
      </c>
      <c r="SS16" s="9" t="n">
        <v>0</v>
      </c>
      <c r="SW16" s="10" t="n">
        <v>46033</v>
      </c>
      <c r="SY16" s="9" t="n">
        <v>0</v>
      </c>
      <c r="TA16" s="9" t="n">
        <v>0</v>
      </c>
      <c r="TB16" s="9" t="n">
        <v>0</v>
      </c>
      <c r="TF16" s="10" t="n">
        <v>46033</v>
      </c>
      <c r="TH16" s="9" t="n">
        <v>0</v>
      </c>
      <c r="TJ16" s="9" t="n">
        <v>0</v>
      </c>
      <c r="TK16" s="9" t="n">
        <v>0</v>
      </c>
      <c r="TO16" s="10" t="n">
        <v>46033</v>
      </c>
      <c r="TQ16" s="9" t="n">
        <v>0</v>
      </c>
      <c r="TS16" s="9" t="n">
        <v>0</v>
      </c>
      <c r="TT16" s="9" t="n">
        <v>0</v>
      </c>
      <c r="TX16" s="10" t="n">
        <v>46033</v>
      </c>
      <c r="TZ16" s="9" t="n">
        <v>0</v>
      </c>
      <c r="UB16" s="9" t="n">
        <v>0</v>
      </c>
      <c r="UC16" s="9" t="n">
        <v>0</v>
      </c>
      <c r="UG16" s="10" t="n">
        <v>46033</v>
      </c>
      <c r="UI16" s="9" t="n">
        <v>0</v>
      </c>
      <c r="UK16" s="9" t="n">
        <v>0</v>
      </c>
      <c r="UL16" s="9" t="n">
        <v>0</v>
      </c>
      <c r="UP16" s="10" t="n">
        <v>46033</v>
      </c>
      <c r="UR16" s="9" t="n">
        <v>0</v>
      </c>
      <c r="UT16" s="9" t="n">
        <v>0</v>
      </c>
      <c r="UU16" s="9" t="n">
        <v>0</v>
      </c>
      <c r="UY16" s="10" t="n">
        <v>46033</v>
      </c>
      <c r="VA16" s="9" t="n">
        <v>0</v>
      </c>
      <c r="VC16" s="9" t="n">
        <v>0</v>
      </c>
      <c r="VD16" s="9" t="n">
        <v>-319.6</v>
      </c>
      <c r="VH16" s="10" t="n">
        <v>46033</v>
      </c>
      <c r="VJ16" s="9" t="n">
        <v>0</v>
      </c>
      <c r="VL16" s="9" t="n">
        <v>0</v>
      </c>
      <c r="VM16" s="9" t="n">
        <v>0</v>
      </c>
      <c r="VQ16" s="10" t="n">
        <v>46033</v>
      </c>
      <c r="VS16" s="9" t="n">
        <v>0</v>
      </c>
      <c r="VU16" s="9" t="n">
        <v>0</v>
      </c>
      <c r="VV16" s="9" t="n">
        <v>0</v>
      </c>
      <c r="VZ16" s="10" t="n">
        <v>46033</v>
      </c>
      <c r="WB16" s="9" t="n">
        <v>0</v>
      </c>
      <c r="WD16" s="9" t="n">
        <v>0</v>
      </c>
      <c r="WE16" s="9" t="n">
        <v>0</v>
      </c>
      <c r="WI16" s="10" t="n">
        <v>46033</v>
      </c>
      <c r="WK16" s="9" t="n">
        <v>0</v>
      </c>
      <c r="WM16" s="9" t="n">
        <v>0</v>
      </c>
      <c r="WN16" s="9" t="n">
        <v>5877</v>
      </c>
      <c r="WR16" s="10" t="n">
        <v>46033</v>
      </c>
      <c r="WT16" s="9" t="n">
        <v>0</v>
      </c>
      <c r="WV16" s="9" t="n">
        <v>0</v>
      </c>
      <c r="WW16" s="9" t="n">
        <v>5267</v>
      </c>
      <c r="XA16" s="10" t="n">
        <v>46033</v>
      </c>
      <c r="XC16" s="9" t="n">
        <v>0</v>
      </c>
      <c r="XE16" s="9" t="n">
        <v>0</v>
      </c>
      <c r="XF16" s="9" t="n">
        <v>2446</v>
      </c>
      <c r="XJ16" s="10" t="n">
        <v>46033</v>
      </c>
      <c r="XL16" s="9" t="n">
        <v>0</v>
      </c>
      <c r="XN16" s="9" t="n">
        <v>0</v>
      </c>
      <c r="XO16" s="9" t="n">
        <v>6350</v>
      </c>
      <c r="XS16" s="10" t="n">
        <v>46033</v>
      </c>
      <c r="XU16" s="9" t="n">
        <v>0</v>
      </c>
      <c r="XW16" s="9" t="n">
        <v>0</v>
      </c>
      <c r="XX16" s="9" t="n">
        <v>1901</v>
      </c>
      <c r="YB16" s="10" t="n">
        <v>46033</v>
      </c>
      <c r="YD16" s="9" t="n">
        <v>0</v>
      </c>
      <c r="YF16" s="9" t="n">
        <v>0</v>
      </c>
      <c r="YG16" s="9" t="n">
        <v>4175</v>
      </c>
      <c r="YK16" s="10" t="n">
        <v>46033</v>
      </c>
      <c r="YM16" s="9" t="n">
        <v>0</v>
      </c>
      <c r="YO16" s="9" t="n">
        <v>0</v>
      </c>
      <c r="YP16" s="9" t="n">
        <v>0</v>
      </c>
      <c r="YT16" s="10" t="n">
        <v>46033</v>
      </c>
      <c r="YV16" s="9" t="n">
        <v>0</v>
      </c>
      <c r="YX16" s="9" t="n">
        <v>0</v>
      </c>
      <c r="YY16" s="9" t="n">
        <v>0</v>
      </c>
      <c r="ZC16" s="10" t="n">
        <v>46033</v>
      </c>
      <c r="ZE16" s="9" t="n">
        <v>0</v>
      </c>
      <c r="ZG16" s="9" t="n">
        <v>0</v>
      </c>
      <c r="ZH16" s="9" t="n">
        <v>0</v>
      </c>
      <c r="ZL16" s="10" t="n">
        <v>46033</v>
      </c>
      <c r="ZN16" s="9" t="n">
        <v>0</v>
      </c>
      <c r="ZP16" s="9" t="n">
        <v>0</v>
      </c>
      <c r="ZQ16" s="9" t="n">
        <v>0</v>
      </c>
      <c r="ZU16" s="10" t="n">
        <v>46033</v>
      </c>
      <c r="ZW16" s="9" t="n">
        <v>0</v>
      </c>
      <c r="ZY16" s="9" t="n">
        <v>0</v>
      </c>
      <c r="ZZ16" s="9" t="n">
        <v>0</v>
      </c>
      <c r="AAD16" s="10" t="n">
        <v>46033</v>
      </c>
      <c r="AAF16" s="9" t="n">
        <v>0</v>
      </c>
      <c r="AAH16" s="9" t="n">
        <v>0</v>
      </c>
      <c r="AAI16" s="9" t="n">
        <v>0</v>
      </c>
      <c r="AAM16" s="10" t="n">
        <v>46033</v>
      </c>
      <c r="AAO16" s="9" t="n">
        <v>0</v>
      </c>
      <c r="AAQ16" s="9" t="n">
        <v>0</v>
      </c>
      <c r="AAR16" s="9" t="n">
        <v>0</v>
      </c>
      <c r="AAV16" s="10" t="n">
        <v>46033</v>
      </c>
      <c r="AAX16" s="9" t="n">
        <v>0</v>
      </c>
      <c r="AAZ16" s="9" t="n">
        <v>0</v>
      </c>
      <c r="ABA16" s="9" t="n">
        <v>0</v>
      </c>
      <c r="ABE16" s="10" t="n">
        <v>46033</v>
      </c>
      <c r="ABG16" s="9" t="n">
        <v>0</v>
      </c>
      <c r="ABI16" s="9" t="n">
        <v>0</v>
      </c>
      <c r="ABJ16" s="9" t="n">
        <v>0</v>
      </c>
    </row>
    <row r="17">
      <c r="B17" s="9" t="n">
        <v>76</v>
      </c>
      <c r="C17" s="10" t="n">
        <v>46034</v>
      </c>
      <c r="D17" s="9" t="n">
        <v>44880</v>
      </c>
      <c r="E17" s="9" t="n">
        <v>45179</v>
      </c>
      <c r="F17" s="9" t="n">
        <v>45181.4</v>
      </c>
      <c r="G17" s="9" t="n">
        <v>-2.400000000001455</v>
      </c>
      <c r="H17" s="9" t="n">
        <v>32506.6</v>
      </c>
      <c r="I17" s="9" t="inlineStr">
        <is>
          <t>8102 26mt, 8103 20mt, 1103 30mt</t>
        </is>
      </c>
      <c r="L17" s="10" t="n">
        <v>46034</v>
      </c>
      <c r="M17" s="9" t="n">
        <v>27900</v>
      </c>
      <c r="N17" s="9" t="n">
        <v>15384</v>
      </c>
      <c r="O17" s="9" t="n">
        <v>15379.8</v>
      </c>
      <c r="P17" s="9" t="n">
        <v>4.199999999998909</v>
      </c>
      <c r="Q17" s="9" t="n">
        <v>8453.800000000007</v>
      </c>
      <c r="U17" s="10" t="n">
        <v>46034</v>
      </c>
      <c r="W17" s="9" t="n">
        <v>4600</v>
      </c>
      <c r="X17" s="9" t="n">
        <v>4598.8</v>
      </c>
      <c r="Y17" s="9" t="n">
        <v>1.199999999999818</v>
      </c>
      <c r="Z17" s="9" t="n">
        <v>37036.09999999998</v>
      </c>
      <c r="AD17" s="10" t="n">
        <v>46034</v>
      </c>
      <c r="AF17" s="9" t="n">
        <v>3800</v>
      </c>
      <c r="AG17" s="9" t="n">
        <v>3801.4</v>
      </c>
      <c r="AH17" s="9" t="n">
        <v>-1.400000000000091</v>
      </c>
      <c r="AI17" s="9" t="n">
        <v>34918.10000000001</v>
      </c>
      <c r="AM17" s="10" t="n">
        <v>46034</v>
      </c>
      <c r="AO17" s="9" t="n">
        <v>0</v>
      </c>
      <c r="AQ17" s="9" t="n">
        <v>0</v>
      </c>
      <c r="AR17" s="9" t="n">
        <v>0</v>
      </c>
      <c r="AV17" s="10" t="n">
        <v>46034</v>
      </c>
      <c r="AX17" s="9" t="n">
        <v>1385</v>
      </c>
      <c r="AY17" s="9" t="n">
        <v>1385.2</v>
      </c>
      <c r="AZ17" s="9" t="n">
        <v>-0.2000000000000455</v>
      </c>
      <c r="BA17" s="9" t="n">
        <v>17932.59999999999</v>
      </c>
      <c r="BE17" s="10" t="n">
        <v>46034</v>
      </c>
      <c r="BG17" s="9" t="n">
        <v>1670</v>
      </c>
      <c r="BH17" s="9" t="n">
        <v>1629.4</v>
      </c>
      <c r="BI17" s="9" t="n">
        <v>40.59999999999991</v>
      </c>
      <c r="BJ17" s="9" t="n">
        <v>15618.9</v>
      </c>
      <c r="BN17" s="10" t="n">
        <v>46034</v>
      </c>
      <c r="BO17" s="9" t="n">
        <v>1570</v>
      </c>
      <c r="BP17" s="9" t="n">
        <v>1570</v>
      </c>
      <c r="BQ17" s="9" t="n">
        <v>1570</v>
      </c>
      <c r="BR17" s="9" t="n">
        <v>0</v>
      </c>
      <c r="BS17" s="9" t="n">
        <v>0</v>
      </c>
      <c r="BW17" s="10" t="n">
        <v>46034</v>
      </c>
      <c r="BY17" s="9" t="n">
        <v>0</v>
      </c>
      <c r="CA17" s="9" t="n">
        <v>0</v>
      </c>
      <c r="CB17" s="9" t="n">
        <v>3461.5</v>
      </c>
      <c r="CF17" s="10" t="n">
        <v>46034</v>
      </c>
      <c r="CH17" s="9" t="n">
        <v>0</v>
      </c>
      <c r="CJ17" s="9" t="n">
        <v>0</v>
      </c>
      <c r="CK17" s="9" t="n">
        <v>0</v>
      </c>
      <c r="CO17" s="10" t="n">
        <v>46034</v>
      </c>
      <c r="CQ17" s="9" t="n">
        <v>0</v>
      </c>
      <c r="CS17" s="9" t="n">
        <v>0</v>
      </c>
      <c r="CT17" s="9" t="n">
        <v>0</v>
      </c>
      <c r="CX17" s="10" t="n">
        <v>46034</v>
      </c>
      <c r="CZ17" s="9" t="n">
        <v>0</v>
      </c>
      <c r="DB17" s="9" t="n">
        <v>0</v>
      </c>
      <c r="DC17" s="9" t="n">
        <v>0</v>
      </c>
      <c r="DG17" s="10" t="n">
        <v>46034</v>
      </c>
      <c r="DI17" s="9" t="n">
        <v>700</v>
      </c>
      <c r="DJ17" s="9" t="n">
        <v>700.4</v>
      </c>
      <c r="DK17" s="9" t="n">
        <v>-0.3999999999999773</v>
      </c>
      <c r="DL17" s="9" t="n">
        <v>25391.6</v>
      </c>
      <c r="DP17" s="10" t="n">
        <v>46034</v>
      </c>
      <c r="DR17" s="9" t="n">
        <v>0</v>
      </c>
      <c r="DT17" s="9" t="n">
        <v>0</v>
      </c>
      <c r="DU17" s="9" t="n">
        <v>0</v>
      </c>
      <c r="DY17" s="10" t="n">
        <v>46034</v>
      </c>
      <c r="EA17" s="9" t="n">
        <v>0</v>
      </c>
      <c r="EC17" s="9" t="n">
        <v>0</v>
      </c>
      <c r="ED17" s="9" t="n">
        <v>0</v>
      </c>
      <c r="EH17" s="10" t="n">
        <v>46034</v>
      </c>
      <c r="EJ17" s="9" t="n">
        <v>0</v>
      </c>
      <c r="EL17" s="9" t="n">
        <v>0</v>
      </c>
      <c r="EM17" s="9" t="n">
        <v>0</v>
      </c>
      <c r="EQ17" s="10" t="n">
        <v>46034</v>
      </c>
      <c r="ES17" s="9" t="n">
        <v>0</v>
      </c>
      <c r="EU17" s="9" t="n">
        <v>0</v>
      </c>
      <c r="EV17" s="9" t="n">
        <v>0</v>
      </c>
      <c r="EZ17" s="10" t="n">
        <v>46034</v>
      </c>
      <c r="FB17" s="9" t="n">
        <v>0</v>
      </c>
      <c r="FD17" s="9" t="n">
        <v>0</v>
      </c>
      <c r="FE17" s="9" t="n">
        <v>0</v>
      </c>
      <c r="FI17" s="10" t="n">
        <v>46034</v>
      </c>
      <c r="FK17" s="9" t="n">
        <v>0</v>
      </c>
      <c r="FM17" s="9" t="n">
        <v>0</v>
      </c>
      <c r="FN17" s="9" t="n">
        <v>0</v>
      </c>
      <c r="FR17" s="10" t="n">
        <v>46034</v>
      </c>
      <c r="FT17" s="9" t="n">
        <v>0</v>
      </c>
      <c r="FV17" s="9" t="n">
        <v>0</v>
      </c>
      <c r="FW17" s="9" t="n">
        <v>3540</v>
      </c>
      <c r="GA17" s="10" t="n">
        <v>46034</v>
      </c>
      <c r="GC17" s="9" t="n">
        <v>0</v>
      </c>
      <c r="GE17" s="9" t="n">
        <v>0</v>
      </c>
      <c r="GF17" s="9" t="n">
        <v>1960</v>
      </c>
      <c r="GJ17" s="10" t="n">
        <v>46034</v>
      </c>
      <c r="GL17" s="9" t="n">
        <v>600</v>
      </c>
      <c r="GN17" s="9" t="n">
        <v>600</v>
      </c>
      <c r="GO17" s="9" t="n">
        <v>6360</v>
      </c>
      <c r="GS17" s="10" t="n">
        <v>46034</v>
      </c>
      <c r="GU17" s="9" t="n">
        <v>0</v>
      </c>
      <c r="GW17" s="9" t="n">
        <v>0</v>
      </c>
      <c r="GX17" s="9" t="n">
        <v>0</v>
      </c>
      <c r="HB17" s="10" t="n">
        <v>46034</v>
      </c>
      <c r="HD17" s="9" t="n">
        <v>0</v>
      </c>
      <c r="HF17" s="9" t="n">
        <v>0</v>
      </c>
      <c r="HG17" s="9" t="n">
        <v>0</v>
      </c>
      <c r="HK17" s="10" t="n">
        <v>46034</v>
      </c>
      <c r="HM17" s="9" t="n">
        <v>0</v>
      </c>
      <c r="HO17" s="9" t="n">
        <v>0</v>
      </c>
      <c r="HP17" s="9" t="n">
        <v>0</v>
      </c>
      <c r="HU17" s="10" t="n">
        <v>46034</v>
      </c>
      <c r="HW17" s="9" t="n">
        <v>0</v>
      </c>
      <c r="HY17" s="9" t="n">
        <v>0</v>
      </c>
      <c r="HZ17" s="9" t="n">
        <v>3800</v>
      </c>
      <c r="ID17" s="10" t="n">
        <v>46034</v>
      </c>
      <c r="IF17" s="9" t="n">
        <v>0</v>
      </c>
      <c r="IH17" s="9" t="n">
        <v>0</v>
      </c>
      <c r="II17" s="9" t="n">
        <v>5100</v>
      </c>
      <c r="IM17" s="10" t="n">
        <v>46034</v>
      </c>
      <c r="IO17" s="9" t="n">
        <v>520</v>
      </c>
      <c r="IQ17" s="9" t="n">
        <v>520</v>
      </c>
      <c r="IR17" s="9" t="n">
        <v>11240</v>
      </c>
      <c r="IV17" s="10" t="n">
        <v>46034</v>
      </c>
      <c r="IX17" s="9" t="n">
        <v>400</v>
      </c>
      <c r="IZ17" s="9" t="n">
        <v>400</v>
      </c>
      <c r="JA17" s="9" t="n">
        <v>3120</v>
      </c>
      <c r="JE17" s="10" t="n">
        <v>46034</v>
      </c>
      <c r="JG17" s="9" t="n">
        <v>0</v>
      </c>
      <c r="JI17" s="9" t="n">
        <v>0</v>
      </c>
      <c r="JJ17" s="9" t="n">
        <v>6800</v>
      </c>
      <c r="JN17" s="10" t="n">
        <v>46034</v>
      </c>
      <c r="JP17" s="9" t="n">
        <v>0</v>
      </c>
      <c r="JR17" s="9" t="n">
        <v>0</v>
      </c>
      <c r="JS17" s="9" t="n">
        <v>5400</v>
      </c>
      <c r="JW17" s="10" t="n">
        <v>46034</v>
      </c>
      <c r="JY17" s="9" t="n">
        <v>0</v>
      </c>
      <c r="KA17" s="9" t="n">
        <v>0</v>
      </c>
      <c r="KB17" s="9" t="n">
        <v>0</v>
      </c>
      <c r="KF17" s="10" t="n">
        <v>46034</v>
      </c>
      <c r="KH17" s="9" t="n">
        <v>0</v>
      </c>
      <c r="KJ17" s="9" t="n">
        <v>0</v>
      </c>
      <c r="KK17" s="9" t="n">
        <v>0</v>
      </c>
      <c r="KO17" s="10" t="n">
        <v>46034</v>
      </c>
      <c r="KQ17" s="9" t="n">
        <v>0</v>
      </c>
      <c r="KS17" s="9" t="n">
        <v>0</v>
      </c>
      <c r="KT17" s="9" t="n">
        <v>0</v>
      </c>
      <c r="KX17" s="10" t="n">
        <v>46034</v>
      </c>
      <c r="KZ17" s="9" t="n">
        <v>0</v>
      </c>
      <c r="LB17" s="9" t="n">
        <v>0</v>
      </c>
      <c r="LC17" s="9" t="n">
        <v>0</v>
      </c>
      <c r="LG17" s="10" t="n">
        <v>46034</v>
      </c>
      <c r="LI17" s="9" t="n">
        <v>0</v>
      </c>
      <c r="LK17" s="9" t="n">
        <v>0</v>
      </c>
      <c r="LL17" s="9" t="n">
        <v>0</v>
      </c>
      <c r="LP17" s="10" t="n">
        <v>46034</v>
      </c>
      <c r="LR17" s="9" t="n">
        <v>0</v>
      </c>
      <c r="LT17" s="9" t="n">
        <v>0</v>
      </c>
      <c r="LU17" s="9" t="n">
        <v>0</v>
      </c>
      <c r="LY17" s="10" t="n">
        <v>46034</v>
      </c>
      <c r="MA17" s="9" t="n">
        <v>0</v>
      </c>
      <c r="MC17" s="9" t="n">
        <v>0</v>
      </c>
      <c r="MD17" s="9" t="n">
        <v>0</v>
      </c>
      <c r="MH17" s="10" t="n">
        <v>46034</v>
      </c>
      <c r="MJ17" s="9" t="n">
        <v>0</v>
      </c>
      <c r="ML17" s="9" t="n">
        <v>0</v>
      </c>
      <c r="MM17" s="9" t="n">
        <v>0</v>
      </c>
      <c r="MQ17" s="10" t="n">
        <v>46034</v>
      </c>
      <c r="MS17" s="9" t="n">
        <v>28</v>
      </c>
      <c r="MT17" s="9" t="n">
        <v>25</v>
      </c>
      <c r="MU17" s="9" t="n">
        <v>3</v>
      </c>
      <c r="MV17" s="9" t="n">
        <v>1281</v>
      </c>
      <c r="MZ17" s="10" t="n">
        <v>46034</v>
      </c>
      <c r="NA17" s="9" t="n">
        <v>150</v>
      </c>
      <c r="NB17" s="9" t="n">
        <v>138</v>
      </c>
      <c r="NC17" s="9" t="n">
        <v>150</v>
      </c>
      <c r="ND17" s="9" t="n">
        <v>-12</v>
      </c>
      <c r="NE17" s="9" t="n">
        <v>0</v>
      </c>
      <c r="NI17" s="10" t="n">
        <v>46034</v>
      </c>
      <c r="NK17" s="9" t="n">
        <v>0</v>
      </c>
      <c r="NM17" s="9" t="n">
        <v>0</v>
      </c>
      <c r="NN17" s="9" t="n">
        <v>0</v>
      </c>
      <c r="NR17" s="10" t="n">
        <v>46034</v>
      </c>
      <c r="NT17" s="9" t="n">
        <v>0</v>
      </c>
      <c r="NV17" s="9" t="n">
        <v>0</v>
      </c>
      <c r="NW17" s="9" t="n">
        <v>0</v>
      </c>
      <c r="OA17" s="10" t="n">
        <v>46034</v>
      </c>
      <c r="OC17" s="9" t="n">
        <v>26</v>
      </c>
      <c r="OD17" s="9" t="n">
        <v>50</v>
      </c>
      <c r="OE17" s="9" t="n">
        <v>-24</v>
      </c>
      <c r="OF17" s="9" t="n">
        <v>1680.5</v>
      </c>
      <c r="OJ17" s="10" t="n">
        <v>46034</v>
      </c>
      <c r="OL17" s="9" t="n">
        <v>0</v>
      </c>
      <c r="ON17" s="9" t="n">
        <v>0</v>
      </c>
      <c r="OO17" s="9" t="n">
        <v>0</v>
      </c>
      <c r="OS17" s="10" t="n">
        <v>46034</v>
      </c>
      <c r="OU17" s="9" t="n">
        <v>0</v>
      </c>
      <c r="OW17" s="9" t="n">
        <v>0</v>
      </c>
      <c r="OX17" s="9" t="n">
        <v>67</v>
      </c>
      <c r="PB17" s="10" t="n">
        <v>46034</v>
      </c>
      <c r="PC17" s="9" t="n">
        <v>50</v>
      </c>
      <c r="PD17" s="9" t="n">
        <v>0</v>
      </c>
      <c r="PE17" s="9" t="n">
        <v>50</v>
      </c>
      <c r="PF17" s="9" t="n">
        <v>-50</v>
      </c>
      <c r="PG17" s="9" t="n">
        <v>0</v>
      </c>
      <c r="PK17" s="10" t="n">
        <v>46034</v>
      </c>
      <c r="PM17" s="9" t="n">
        <v>0</v>
      </c>
      <c r="PO17" s="9" t="n">
        <v>0</v>
      </c>
      <c r="PP17" s="9" t="n">
        <v>160</v>
      </c>
      <c r="PT17" s="10" t="n">
        <v>46034</v>
      </c>
      <c r="PV17" s="9" t="n">
        <v>0</v>
      </c>
      <c r="PX17" s="9" t="n">
        <v>0</v>
      </c>
      <c r="PY17" s="9" t="n">
        <v>13.96000000000004</v>
      </c>
      <c r="QC17" s="10" t="n">
        <v>46034</v>
      </c>
      <c r="QE17" s="9" t="n">
        <v>0</v>
      </c>
      <c r="QG17" s="9" t="n">
        <v>0</v>
      </c>
      <c r="QH17" s="9" t="n">
        <v>0</v>
      </c>
      <c r="QL17" s="10" t="n">
        <v>46034</v>
      </c>
      <c r="QN17" s="9" t="n">
        <v>0</v>
      </c>
      <c r="QP17" s="9" t="n">
        <v>0</v>
      </c>
      <c r="QQ17" s="9" t="n">
        <v>0</v>
      </c>
      <c r="QU17" s="10" t="n">
        <v>46034</v>
      </c>
      <c r="QW17" s="9" t="n">
        <v>0</v>
      </c>
      <c r="QY17" s="9" t="n">
        <v>0</v>
      </c>
      <c r="QZ17" s="9" t="n">
        <v>207.6</v>
      </c>
      <c r="RD17" s="10" t="n">
        <v>46034</v>
      </c>
      <c r="RF17" s="9" t="n">
        <v>0</v>
      </c>
      <c r="RH17" s="9" t="n">
        <v>0</v>
      </c>
      <c r="RI17" s="9" t="n">
        <v>201.8</v>
      </c>
      <c r="RM17" s="10" t="n">
        <v>46034</v>
      </c>
      <c r="RO17" s="9" t="n">
        <v>0</v>
      </c>
      <c r="RQ17" s="9" t="n">
        <v>0</v>
      </c>
      <c r="RR17" s="9" t="n">
        <v>22.72</v>
      </c>
      <c r="RV17" s="10" t="n">
        <v>46034</v>
      </c>
      <c r="RX17" s="9" t="n">
        <v>0</v>
      </c>
      <c r="RZ17" s="9" t="n">
        <v>0</v>
      </c>
      <c r="SA17" s="9" t="n">
        <v>0</v>
      </c>
      <c r="SE17" s="10" t="n">
        <v>46034</v>
      </c>
      <c r="SG17" s="9" t="n">
        <v>0</v>
      </c>
      <c r="SI17" s="9" t="n">
        <v>0</v>
      </c>
      <c r="SJ17" s="9" t="n">
        <v>0</v>
      </c>
      <c r="SN17" s="10" t="n">
        <v>46034</v>
      </c>
      <c r="SP17" s="9" t="n">
        <v>0</v>
      </c>
      <c r="SR17" s="9" t="n">
        <v>0</v>
      </c>
      <c r="SS17" s="9" t="n">
        <v>0</v>
      </c>
      <c r="SW17" s="10" t="n">
        <v>46034</v>
      </c>
      <c r="SY17" s="9" t="n">
        <v>0</v>
      </c>
      <c r="TA17" s="9" t="n">
        <v>0</v>
      </c>
      <c r="TB17" s="9" t="n">
        <v>0</v>
      </c>
      <c r="TF17" s="10" t="n">
        <v>46034</v>
      </c>
      <c r="TH17" s="9" t="n">
        <v>0</v>
      </c>
      <c r="TJ17" s="9" t="n">
        <v>0</v>
      </c>
      <c r="TK17" s="9" t="n">
        <v>0</v>
      </c>
      <c r="TO17" s="10" t="n">
        <v>46034</v>
      </c>
      <c r="TQ17" s="9" t="n">
        <v>0</v>
      </c>
      <c r="TS17" s="9" t="n">
        <v>0</v>
      </c>
      <c r="TT17" s="9" t="n">
        <v>0</v>
      </c>
      <c r="TX17" s="10" t="n">
        <v>46034</v>
      </c>
      <c r="TZ17" s="9" t="n">
        <v>0</v>
      </c>
      <c r="UB17" s="9" t="n">
        <v>0</v>
      </c>
      <c r="UC17" s="9" t="n">
        <v>0</v>
      </c>
      <c r="UG17" s="10" t="n">
        <v>46034</v>
      </c>
      <c r="UI17" s="9" t="n">
        <v>0</v>
      </c>
      <c r="UK17" s="9" t="n">
        <v>0</v>
      </c>
      <c r="UL17" s="9" t="n">
        <v>0</v>
      </c>
      <c r="UP17" s="10" t="n">
        <v>46034</v>
      </c>
      <c r="UR17" s="9" t="n">
        <v>0</v>
      </c>
      <c r="UT17" s="9" t="n">
        <v>0</v>
      </c>
      <c r="UU17" s="9" t="n">
        <v>0</v>
      </c>
      <c r="UY17" s="10" t="n">
        <v>46034</v>
      </c>
      <c r="VA17" s="9" t="n">
        <v>0</v>
      </c>
      <c r="VC17" s="9" t="n">
        <v>0</v>
      </c>
      <c r="VD17" s="9" t="n">
        <v>-319.6</v>
      </c>
      <c r="VH17" s="10" t="n">
        <v>46034</v>
      </c>
      <c r="VJ17" s="9" t="n">
        <v>0</v>
      </c>
      <c r="VL17" s="9" t="n">
        <v>0</v>
      </c>
      <c r="VM17" s="9" t="n">
        <v>0</v>
      </c>
      <c r="VQ17" s="10" t="n">
        <v>46034</v>
      </c>
      <c r="VS17" s="9" t="n">
        <v>0</v>
      </c>
      <c r="VU17" s="9" t="n">
        <v>0</v>
      </c>
      <c r="VV17" s="9" t="n">
        <v>0</v>
      </c>
      <c r="VZ17" s="10" t="n">
        <v>46034</v>
      </c>
      <c r="WB17" s="9" t="n">
        <v>0</v>
      </c>
      <c r="WD17" s="9" t="n">
        <v>0</v>
      </c>
      <c r="WE17" s="9" t="n">
        <v>0</v>
      </c>
      <c r="WI17" s="10" t="n">
        <v>46034</v>
      </c>
      <c r="WK17" s="9" t="n">
        <v>0</v>
      </c>
      <c r="WM17" s="9" t="n">
        <v>0</v>
      </c>
      <c r="WN17" s="9" t="n">
        <v>5877</v>
      </c>
      <c r="WR17" s="10" t="n">
        <v>46034</v>
      </c>
      <c r="WT17" s="9" t="n">
        <v>0</v>
      </c>
      <c r="WV17" s="9" t="n">
        <v>0</v>
      </c>
      <c r="WW17" s="9" t="n">
        <v>5267</v>
      </c>
      <c r="XA17" s="10" t="n">
        <v>46034</v>
      </c>
      <c r="XC17" s="9" t="n">
        <v>0</v>
      </c>
      <c r="XD17" s="9" t="n">
        <v>604</v>
      </c>
      <c r="XE17" s="9" t="n">
        <v>-604</v>
      </c>
      <c r="XF17" s="9" t="n">
        <v>1842</v>
      </c>
      <c r="XJ17" s="10" t="n">
        <v>46034</v>
      </c>
      <c r="XL17" s="9" t="n">
        <v>0</v>
      </c>
      <c r="XN17" s="9" t="n">
        <v>0</v>
      </c>
      <c r="XO17" s="9" t="n">
        <v>6350</v>
      </c>
      <c r="XS17" s="10" t="n">
        <v>46034</v>
      </c>
      <c r="XU17" s="9" t="n">
        <v>0</v>
      </c>
      <c r="XW17" s="9" t="n">
        <v>0</v>
      </c>
      <c r="XX17" s="9" t="n">
        <v>1901</v>
      </c>
      <c r="YB17" s="10" t="n">
        <v>46034</v>
      </c>
      <c r="YD17" s="9" t="n">
        <v>0</v>
      </c>
      <c r="YF17" s="9" t="n">
        <v>0</v>
      </c>
      <c r="YG17" s="9" t="n">
        <v>4175</v>
      </c>
      <c r="YK17" s="10" t="n">
        <v>46034</v>
      </c>
      <c r="YM17" s="9" t="n">
        <v>0</v>
      </c>
      <c r="YO17" s="9" t="n">
        <v>0</v>
      </c>
      <c r="YP17" s="9" t="n">
        <v>0</v>
      </c>
      <c r="YT17" s="10" t="n">
        <v>46034</v>
      </c>
      <c r="YV17" s="9" t="n">
        <v>0</v>
      </c>
      <c r="YX17" s="9" t="n">
        <v>0</v>
      </c>
      <c r="YY17" s="9" t="n">
        <v>0</v>
      </c>
      <c r="ZC17" s="10" t="n">
        <v>46034</v>
      </c>
      <c r="ZE17" s="9" t="n">
        <v>0</v>
      </c>
      <c r="ZG17" s="9" t="n">
        <v>0</v>
      </c>
      <c r="ZH17" s="9" t="n">
        <v>0</v>
      </c>
      <c r="ZL17" s="10" t="n">
        <v>46034</v>
      </c>
      <c r="ZN17" s="9" t="n">
        <v>0</v>
      </c>
      <c r="ZP17" s="9" t="n">
        <v>0</v>
      </c>
      <c r="ZQ17" s="9" t="n">
        <v>0</v>
      </c>
      <c r="ZU17" s="10" t="n">
        <v>46034</v>
      </c>
      <c r="ZW17" s="9" t="n">
        <v>0</v>
      </c>
      <c r="ZY17" s="9" t="n">
        <v>0</v>
      </c>
      <c r="ZZ17" s="9" t="n">
        <v>0</v>
      </c>
      <c r="AAD17" s="10" t="n">
        <v>46034</v>
      </c>
      <c r="AAF17" s="9" t="n">
        <v>0</v>
      </c>
      <c r="AAH17" s="9" t="n">
        <v>0</v>
      </c>
      <c r="AAI17" s="9" t="n">
        <v>0</v>
      </c>
      <c r="AAM17" s="10" t="n">
        <v>46034</v>
      </c>
      <c r="AAO17" s="9" t="n">
        <v>0</v>
      </c>
      <c r="AAQ17" s="9" t="n">
        <v>0</v>
      </c>
      <c r="AAR17" s="9" t="n">
        <v>0</v>
      </c>
      <c r="AAV17" s="10" t="n">
        <v>46034</v>
      </c>
      <c r="AAX17" s="9" t="n">
        <v>0</v>
      </c>
      <c r="AAZ17" s="9" t="n">
        <v>0</v>
      </c>
      <c r="ABA17" s="9" t="n">
        <v>0</v>
      </c>
      <c r="ABE17" s="10" t="n">
        <v>46034</v>
      </c>
      <c r="ABG17" s="9" t="n">
        <v>0</v>
      </c>
      <c r="ABI17" s="9" t="n">
        <v>0</v>
      </c>
      <c r="ABJ17" s="9" t="n">
        <v>0</v>
      </c>
    </row>
    <row r="18">
      <c r="B18" s="9" t="n">
        <v>84</v>
      </c>
      <c r="C18" s="10" t="n">
        <v>46035</v>
      </c>
      <c r="D18" s="9" t="n">
        <v>98580</v>
      </c>
      <c r="E18" s="9" t="n">
        <v>50162</v>
      </c>
      <c r="F18" s="9" t="n">
        <v>50167.2</v>
      </c>
      <c r="G18" s="9" t="n">
        <v>-5.19999999999709</v>
      </c>
      <c r="H18" s="9" t="n">
        <v>80919.40000000001</v>
      </c>
      <c r="I18" s="9" t="inlineStr">
        <is>
          <t>8102 28mt, 1103 56mt</t>
        </is>
      </c>
      <c r="L18" s="10" t="n">
        <v>46035</v>
      </c>
      <c r="N18" s="9" t="n">
        <v>15456</v>
      </c>
      <c r="O18" s="9" t="n">
        <v>15456.4</v>
      </c>
      <c r="P18" s="9" t="n">
        <v>-0.4000000000014552</v>
      </c>
      <c r="Q18" s="9" t="n">
        <v>-7002.599999999993</v>
      </c>
      <c r="U18" s="10" t="n">
        <v>46035</v>
      </c>
      <c r="W18" s="9" t="n">
        <v>5880</v>
      </c>
      <c r="X18" s="9" t="n">
        <v>5881.4</v>
      </c>
      <c r="Y18" s="9" t="n">
        <v>-1.399999999999636</v>
      </c>
      <c r="Z18" s="9" t="n">
        <v>31154.69999999998</v>
      </c>
      <c r="AD18" s="10" t="n">
        <v>46035</v>
      </c>
      <c r="AF18" s="9" t="n">
        <v>5320</v>
      </c>
      <c r="AG18" s="9" t="n">
        <v>5320.4</v>
      </c>
      <c r="AH18" s="9" t="n">
        <v>-0.3999999999996362</v>
      </c>
      <c r="AI18" s="9" t="n">
        <v>29597.7</v>
      </c>
      <c r="AM18" s="10" t="n">
        <v>46035</v>
      </c>
      <c r="AO18" s="9" t="n">
        <v>0</v>
      </c>
      <c r="AQ18" s="9" t="n">
        <v>0</v>
      </c>
      <c r="AR18" s="9" t="n">
        <v>0</v>
      </c>
      <c r="AV18" s="10" t="n">
        <v>46035</v>
      </c>
      <c r="AX18" s="9" t="n">
        <v>1428</v>
      </c>
      <c r="AY18" s="9" t="n">
        <v>1429.5</v>
      </c>
      <c r="AZ18" s="9" t="n">
        <v>-1.5</v>
      </c>
      <c r="BA18" s="9" t="n">
        <v>16503.09999999999</v>
      </c>
      <c r="BE18" s="10" t="n">
        <v>46035</v>
      </c>
      <c r="BG18" s="9" t="n">
        <v>1960</v>
      </c>
      <c r="BH18" s="9" t="n">
        <v>1963.3</v>
      </c>
      <c r="BI18" s="9" t="n">
        <v>-3.299999999999955</v>
      </c>
      <c r="BJ18" s="9" t="n">
        <v>13655.6</v>
      </c>
      <c r="BN18" s="10" t="n">
        <v>46035</v>
      </c>
      <c r="BO18" s="9" t="n">
        <v>1960</v>
      </c>
      <c r="BP18" s="9" t="n">
        <v>1960</v>
      </c>
      <c r="BQ18" s="9" t="n">
        <v>1960</v>
      </c>
      <c r="BR18" s="9" t="n">
        <v>0</v>
      </c>
      <c r="BS18" s="9" t="n">
        <v>0</v>
      </c>
      <c r="BW18" s="10" t="n">
        <v>46035</v>
      </c>
      <c r="BY18" s="9" t="n">
        <v>0</v>
      </c>
      <c r="CA18" s="9" t="n">
        <v>0</v>
      </c>
      <c r="CB18" s="9" t="n">
        <v>3461.5</v>
      </c>
      <c r="CF18" s="10" t="n">
        <v>46035</v>
      </c>
      <c r="CH18" s="9" t="n">
        <v>0</v>
      </c>
      <c r="CJ18" s="9" t="n">
        <v>0</v>
      </c>
      <c r="CK18" s="9" t="n">
        <v>0</v>
      </c>
      <c r="CO18" s="10" t="n">
        <v>46035</v>
      </c>
      <c r="CQ18" s="9" t="n">
        <v>0</v>
      </c>
      <c r="CS18" s="9" t="n">
        <v>0</v>
      </c>
      <c r="CT18" s="9" t="n">
        <v>0</v>
      </c>
      <c r="CX18" s="10" t="n">
        <v>46035</v>
      </c>
      <c r="CZ18" s="9" t="n">
        <v>0</v>
      </c>
      <c r="DB18" s="9" t="n">
        <v>0</v>
      </c>
      <c r="DC18" s="9" t="n">
        <v>0</v>
      </c>
      <c r="DG18" s="10" t="n">
        <v>46035</v>
      </c>
      <c r="DI18" s="9" t="n">
        <v>0</v>
      </c>
      <c r="DK18" s="9" t="n">
        <v>0</v>
      </c>
      <c r="DL18" s="9" t="n">
        <v>25391.6</v>
      </c>
      <c r="DP18" s="10" t="n">
        <v>46035</v>
      </c>
      <c r="DR18" s="9" t="n">
        <v>0</v>
      </c>
      <c r="DT18" s="9" t="n">
        <v>0</v>
      </c>
      <c r="DU18" s="9" t="n">
        <v>0</v>
      </c>
      <c r="DY18" s="10" t="n">
        <v>46035</v>
      </c>
      <c r="EA18" s="9" t="n">
        <v>0</v>
      </c>
      <c r="EC18" s="9" t="n">
        <v>0</v>
      </c>
      <c r="ED18" s="9" t="n">
        <v>0</v>
      </c>
      <c r="EH18" s="10" t="n">
        <v>46035</v>
      </c>
      <c r="EJ18" s="9" t="n">
        <v>0</v>
      </c>
      <c r="EL18" s="9" t="n">
        <v>0</v>
      </c>
      <c r="EM18" s="9" t="n">
        <v>0</v>
      </c>
      <c r="EQ18" s="10" t="n">
        <v>46035</v>
      </c>
      <c r="ES18" s="9" t="n">
        <v>0</v>
      </c>
      <c r="EU18" s="9" t="n">
        <v>0</v>
      </c>
      <c r="EV18" s="9" t="n">
        <v>0</v>
      </c>
      <c r="EZ18" s="10" t="n">
        <v>46035</v>
      </c>
      <c r="FB18" s="9" t="n">
        <v>0</v>
      </c>
      <c r="FD18" s="9" t="n">
        <v>0</v>
      </c>
      <c r="FE18" s="9" t="n">
        <v>0</v>
      </c>
      <c r="FI18" s="10" t="n">
        <v>46035</v>
      </c>
      <c r="FK18" s="9" t="n">
        <v>0</v>
      </c>
      <c r="FM18" s="9" t="n">
        <v>0</v>
      </c>
      <c r="FN18" s="9" t="n">
        <v>0</v>
      </c>
      <c r="FR18" s="10" t="n">
        <v>46035</v>
      </c>
      <c r="FT18" s="9" t="n">
        <v>0</v>
      </c>
      <c r="FV18" s="9" t="n">
        <v>0</v>
      </c>
      <c r="FW18" s="9" t="n">
        <v>3540</v>
      </c>
      <c r="GA18" s="10" t="n">
        <v>46035</v>
      </c>
      <c r="GC18" s="9" t="n">
        <v>0</v>
      </c>
      <c r="GE18" s="9" t="n">
        <v>0</v>
      </c>
      <c r="GF18" s="9" t="n">
        <v>1960</v>
      </c>
      <c r="GJ18" s="10" t="n">
        <v>46035</v>
      </c>
      <c r="GL18" s="9" t="n">
        <v>1120</v>
      </c>
      <c r="GN18" s="9" t="n">
        <v>1120</v>
      </c>
      <c r="GO18" s="9" t="n">
        <v>6360</v>
      </c>
      <c r="GS18" s="10" t="n">
        <v>46035</v>
      </c>
      <c r="GU18" s="9" t="n">
        <v>0</v>
      </c>
      <c r="GW18" s="9" t="n">
        <v>0</v>
      </c>
      <c r="GX18" s="9" t="n">
        <v>0</v>
      </c>
      <c r="HB18" s="10" t="n">
        <v>46035</v>
      </c>
      <c r="HD18" s="9" t="n">
        <v>0</v>
      </c>
      <c r="HF18" s="9" t="n">
        <v>0</v>
      </c>
      <c r="HG18" s="9" t="n">
        <v>0</v>
      </c>
      <c r="HK18" s="10" t="n">
        <v>46035</v>
      </c>
      <c r="HM18" s="9" t="n">
        <v>0</v>
      </c>
      <c r="HO18" s="9" t="n">
        <v>0</v>
      </c>
      <c r="HP18" s="9" t="n">
        <v>0</v>
      </c>
      <c r="HU18" s="10" t="n">
        <v>46035</v>
      </c>
      <c r="HW18" s="9" t="n">
        <v>0</v>
      </c>
      <c r="HY18" s="9" t="n">
        <v>0</v>
      </c>
      <c r="HZ18" s="9" t="n">
        <v>3800</v>
      </c>
      <c r="ID18" s="10" t="n">
        <v>46035</v>
      </c>
      <c r="IF18" s="9" t="n">
        <v>0</v>
      </c>
      <c r="IH18" s="9" t="n">
        <v>0</v>
      </c>
      <c r="II18" s="9" t="n">
        <v>5100</v>
      </c>
      <c r="IM18" s="10" t="n">
        <v>46035</v>
      </c>
      <c r="IO18" s="9" t="n">
        <v>560</v>
      </c>
      <c r="IP18" s="9" t="n">
        <v>1000</v>
      </c>
      <c r="IQ18" s="9" t="n">
        <v>-440</v>
      </c>
      <c r="IR18" s="9" t="n">
        <v>10240</v>
      </c>
      <c r="IS18" s="9" t="n">
        <v>50</v>
      </c>
      <c r="IT18" s="9" t="inlineStr">
        <is>
          <t>bags</t>
        </is>
      </c>
      <c r="IV18" s="10" t="n">
        <v>46035</v>
      </c>
      <c r="IX18" s="9" t="n">
        <v>0</v>
      </c>
      <c r="IZ18" s="9" t="n">
        <v>0</v>
      </c>
      <c r="JA18" s="9" t="n">
        <v>3120</v>
      </c>
      <c r="JE18" s="10" t="n">
        <v>46035</v>
      </c>
      <c r="JG18" s="9" t="n">
        <v>0</v>
      </c>
      <c r="JI18" s="9" t="n">
        <v>0</v>
      </c>
      <c r="JJ18" s="9" t="n">
        <v>6800</v>
      </c>
      <c r="JN18" s="10" t="n">
        <v>46035</v>
      </c>
      <c r="JP18" s="9" t="n">
        <v>0</v>
      </c>
      <c r="JR18" s="9" t="n">
        <v>0</v>
      </c>
      <c r="JS18" s="9" t="n">
        <v>5400</v>
      </c>
      <c r="JW18" s="10" t="n">
        <v>46035</v>
      </c>
      <c r="JY18" s="9" t="n">
        <v>0</v>
      </c>
      <c r="KA18" s="9" t="n">
        <v>0</v>
      </c>
      <c r="KB18" s="9" t="n">
        <v>0</v>
      </c>
      <c r="KF18" s="10" t="n">
        <v>46035</v>
      </c>
      <c r="KH18" s="9" t="n">
        <v>0</v>
      </c>
      <c r="KJ18" s="9" t="n">
        <v>0</v>
      </c>
      <c r="KK18" s="9" t="n">
        <v>0</v>
      </c>
      <c r="KO18" s="10" t="n">
        <v>46035</v>
      </c>
      <c r="KQ18" s="9" t="n">
        <v>0</v>
      </c>
      <c r="KS18" s="9" t="n">
        <v>0</v>
      </c>
      <c r="KT18" s="9" t="n">
        <v>0</v>
      </c>
      <c r="KX18" s="10" t="n">
        <v>46035</v>
      </c>
      <c r="KZ18" s="9" t="n">
        <v>0</v>
      </c>
      <c r="LB18" s="9" t="n">
        <v>0</v>
      </c>
      <c r="LC18" s="9" t="n">
        <v>0</v>
      </c>
      <c r="LG18" s="10" t="n">
        <v>46035</v>
      </c>
      <c r="LI18" s="9" t="n">
        <v>0</v>
      </c>
      <c r="LK18" s="9" t="n">
        <v>0</v>
      </c>
      <c r="LL18" s="9" t="n">
        <v>0</v>
      </c>
      <c r="LP18" s="10" t="n">
        <v>46035</v>
      </c>
      <c r="LR18" s="9" t="n">
        <v>0</v>
      </c>
      <c r="LT18" s="9" t="n">
        <v>0</v>
      </c>
      <c r="LU18" s="9" t="n">
        <v>0</v>
      </c>
      <c r="LY18" s="10" t="n">
        <v>46035</v>
      </c>
      <c r="MA18" s="9" t="n">
        <v>0</v>
      </c>
      <c r="MC18" s="9" t="n">
        <v>0</v>
      </c>
      <c r="MD18" s="9" t="n">
        <v>0</v>
      </c>
      <c r="MH18" s="10" t="n">
        <v>46035</v>
      </c>
      <c r="MJ18" s="9" t="n">
        <v>0</v>
      </c>
      <c r="ML18" s="9" t="n">
        <v>0</v>
      </c>
      <c r="MM18" s="9" t="n">
        <v>0</v>
      </c>
      <c r="MQ18" s="10" t="n">
        <v>46035</v>
      </c>
      <c r="MS18" s="9" t="n">
        <v>42</v>
      </c>
      <c r="MU18" s="9" t="n">
        <v>42</v>
      </c>
      <c r="MV18" s="9" t="n">
        <v>1281</v>
      </c>
      <c r="MZ18" s="10" t="n">
        <v>46035</v>
      </c>
      <c r="NB18" s="9" t="n">
        <v>84</v>
      </c>
      <c r="ND18" s="9" t="n">
        <v>84</v>
      </c>
      <c r="NE18" s="9" t="n">
        <v>0</v>
      </c>
      <c r="NI18" s="10" t="n">
        <v>46035</v>
      </c>
      <c r="NK18" s="9" t="n">
        <v>0</v>
      </c>
      <c r="NM18" s="9" t="n">
        <v>0</v>
      </c>
      <c r="NN18" s="9" t="n">
        <v>0</v>
      </c>
      <c r="NR18" s="10" t="n">
        <v>46035</v>
      </c>
      <c r="NT18" s="9" t="n">
        <v>0</v>
      </c>
      <c r="NV18" s="9" t="n">
        <v>0</v>
      </c>
      <c r="NW18" s="9" t="n">
        <v>0</v>
      </c>
      <c r="OA18" s="10" t="n">
        <v>46035</v>
      </c>
      <c r="OC18" s="9" t="n">
        <v>28</v>
      </c>
      <c r="OE18" s="9" t="n">
        <v>28</v>
      </c>
      <c r="OF18" s="9" t="n">
        <v>1680.5</v>
      </c>
      <c r="OJ18" s="10" t="n">
        <v>46035</v>
      </c>
      <c r="OL18" s="9" t="n">
        <v>0</v>
      </c>
      <c r="ON18" s="9" t="n">
        <v>0</v>
      </c>
      <c r="OO18" s="9" t="n">
        <v>0</v>
      </c>
      <c r="OS18" s="10" t="n">
        <v>46035</v>
      </c>
      <c r="OU18" s="9" t="n">
        <v>0</v>
      </c>
      <c r="OW18" s="9" t="n">
        <v>0</v>
      </c>
      <c r="OX18" s="9" t="n">
        <v>67</v>
      </c>
      <c r="PB18" s="10" t="n">
        <v>46035</v>
      </c>
      <c r="PD18" s="9" t="n">
        <v>0</v>
      </c>
      <c r="PF18" s="9" t="n">
        <v>0</v>
      </c>
      <c r="PG18" s="9" t="n">
        <v>0</v>
      </c>
      <c r="PK18" s="10" t="n">
        <v>46035</v>
      </c>
      <c r="PM18" s="9" t="n">
        <v>0</v>
      </c>
      <c r="PO18" s="9" t="n">
        <v>0</v>
      </c>
      <c r="PP18" s="9" t="n">
        <v>160</v>
      </c>
      <c r="PT18" s="10" t="n">
        <v>46035</v>
      </c>
      <c r="PV18" s="9" t="n">
        <v>0</v>
      </c>
      <c r="PX18" s="9" t="n">
        <v>0</v>
      </c>
      <c r="PY18" s="9" t="n">
        <v>13.96000000000004</v>
      </c>
      <c r="QC18" s="10" t="n">
        <v>46035</v>
      </c>
      <c r="QE18" s="9" t="n">
        <v>0</v>
      </c>
      <c r="QG18" s="9" t="n">
        <v>0</v>
      </c>
      <c r="QH18" s="9" t="n">
        <v>0</v>
      </c>
      <c r="QL18" s="10" t="n">
        <v>46035</v>
      </c>
      <c r="QN18" s="9" t="n">
        <v>0</v>
      </c>
      <c r="QP18" s="9" t="n">
        <v>0</v>
      </c>
      <c r="QQ18" s="9" t="n">
        <v>0</v>
      </c>
      <c r="QU18" s="10" t="n">
        <v>46035</v>
      </c>
      <c r="QW18" s="9" t="n">
        <v>0</v>
      </c>
      <c r="QY18" s="9" t="n">
        <v>0</v>
      </c>
      <c r="QZ18" s="9" t="n">
        <v>207.6</v>
      </c>
      <c r="RD18" s="10" t="n">
        <v>46035</v>
      </c>
      <c r="RF18" s="9" t="n">
        <v>0</v>
      </c>
      <c r="RH18" s="9" t="n">
        <v>0</v>
      </c>
      <c r="RI18" s="9" t="n">
        <v>201.8</v>
      </c>
      <c r="RM18" s="10" t="n">
        <v>46035</v>
      </c>
      <c r="RO18" s="9" t="n">
        <v>0</v>
      </c>
      <c r="RQ18" s="9" t="n">
        <v>0</v>
      </c>
      <c r="RR18" s="9" t="n">
        <v>22.72</v>
      </c>
      <c r="RV18" s="10" t="n">
        <v>46035</v>
      </c>
      <c r="RX18" s="9" t="n">
        <v>0</v>
      </c>
      <c r="RZ18" s="9" t="n">
        <v>0</v>
      </c>
      <c r="SA18" s="9" t="n">
        <v>0</v>
      </c>
      <c r="SE18" s="10" t="n">
        <v>46035</v>
      </c>
      <c r="SG18" s="9" t="n">
        <v>0</v>
      </c>
      <c r="SI18" s="9" t="n">
        <v>0</v>
      </c>
      <c r="SJ18" s="9" t="n">
        <v>0</v>
      </c>
      <c r="SN18" s="10" t="n">
        <v>46035</v>
      </c>
      <c r="SP18" s="9" t="n">
        <v>0</v>
      </c>
      <c r="SR18" s="9" t="n">
        <v>0</v>
      </c>
      <c r="SS18" s="9" t="n">
        <v>0</v>
      </c>
      <c r="SW18" s="10" t="n">
        <v>46035</v>
      </c>
      <c r="SY18" s="9" t="n">
        <v>0</v>
      </c>
      <c r="TA18" s="9" t="n">
        <v>0</v>
      </c>
      <c r="TB18" s="9" t="n">
        <v>0</v>
      </c>
      <c r="TF18" s="10" t="n">
        <v>46035</v>
      </c>
      <c r="TH18" s="9" t="n">
        <v>0</v>
      </c>
      <c r="TJ18" s="9" t="n">
        <v>0</v>
      </c>
      <c r="TK18" s="9" t="n">
        <v>0</v>
      </c>
      <c r="TO18" s="10" t="n">
        <v>46035</v>
      </c>
      <c r="TQ18" s="9" t="n">
        <v>0</v>
      </c>
      <c r="TS18" s="9" t="n">
        <v>0</v>
      </c>
      <c r="TT18" s="9" t="n">
        <v>0</v>
      </c>
      <c r="TX18" s="10" t="n">
        <v>46035</v>
      </c>
      <c r="TZ18" s="9" t="n">
        <v>0</v>
      </c>
      <c r="UB18" s="9" t="n">
        <v>0</v>
      </c>
      <c r="UC18" s="9" t="n">
        <v>0</v>
      </c>
      <c r="UG18" s="10" t="n">
        <v>46035</v>
      </c>
      <c r="UI18" s="9" t="n">
        <v>0</v>
      </c>
      <c r="UK18" s="9" t="n">
        <v>0</v>
      </c>
      <c r="UL18" s="9" t="n">
        <v>0</v>
      </c>
      <c r="UP18" s="10" t="n">
        <v>46035</v>
      </c>
      <c r="UR18" s="9" t="n">
        <v>0</v>
      </c>
      <c r="UT18" s="9" t="n">
        <v>0</v>
      </c>
      <c r="UU18" s="9" t="n">
        <v>0</v>
      </c>
      <c r="UY18" s="10" t="n">
        <v>46035</v>
      </c>
      <c r="VA18" s="9" t="n">
        <v>0</v>
      </c>
      <c r="VC18" s="9" t="n">
        <v>0</v>
      </c>
      <c r="VD18" s="9" t="n">
        <v>-319.6</v>
      </c>
      <c r="VH18" s="10" t="n">
        <v>46035</v>
      </c>
      <c r="VJ18" s="9" t="n">
        <v>0</v>
      </c>
      <c r="VL18" s="9" t="n">
        <v>0</v>
      </c>
      <c r="VM18" s="9" t="n">
        <v>0</v>
      </c>
      <c r="VQ18" s="10" t="n">
        <v>46035</v>
      </c>
      <c r="VS18" s="9" t="n">
        <v>0</v>
      </c>
      <c r="VU18" s="9" t="n">
        <v>0</v>
      </c>
      <c r="VV18" s="9" t="n">
        <v>0</v>
      </c>
      <c r="VZ18" s="10" t="n">
        <v>46035</v>
      </c>
      <c r="WB18" s="9" t="n">
        <v>0</v>
      </c>
      <c r="WD18" s="9" t="n">
        <v>0</v>
      </c>
      <c r="WE18" s="9" t="n">
        <v>0</v>
      </c>
      <c r="WI18" s="10" t="n">
        <v>46035</v>
      </c>
      <c r="WK18" s="9" t="n">
        <v>0</v>
      </c>
      <c r="WM18" s="9" t="n">
        <v>0</v>
      </c>
      <c r="WN18" s="9" t="n">
        <v>5877</v>
      </c>
      <c r="WR18" s="10" t="n">
        <v>46035</v>
      </c>
      <c r="WT18" s="9" t="n">
        <v>0</v>
      </c>
      <c r="WV18" s="9" t="n">
        <v>0</v>
      </c>
      <c r="WW18" s="9" t="n">
        <v>5267</v>
      </c>
      <c r="XA18" s="10" t="n">
        <v>46035</v>
      </c>
      <c r="XC18" s="9" t="n">
        <v>0</v>
      </c>
      <c r="XD18" s="9" t="n">
        <v>1123</v>
      </c>
      <c r="XE18" s="9" t="n">
        <v>-1123</v>
      </c>
      <c r="XF18" s="9" t="n">
        <v>719</v>
      </c>
      <c r="XJ18" s="10" t="n">
        <v>46035</v>
      </c>
      <c r="XL18" s="9" t="n">
        <v>0</v>
      </c>
      <c r="XN18" s="9" t="n">
        <v>0</v>
      </c>
      <c r="XO18" s="9" t="n">
        <v>6350</v>
      </c>
      <c r="XS18" s="10" t="n">
        <v>46035</v>
      </c>
      <c r="XU18" s="9" t="n">
        <v>0</v>
      </c>
      <c r="XW18" s="9" t="n">
        <v>0</v>
      </c>
      <c r="XX18" s="9" t="n">
        <v>1901</v>
      </c>
      <c r="YB18" s="10" t="n">
        <v>46035</v>
      </c>
      <c r="YD18" s="9" t="n">
        <v>0</v>
      </c>
      <c r="YF18" s="9" t="n">
        <v>0</v>
      </c>
      <c r="YG18" s="9" t="n">
        <v>4175</v>
      </c>
      <c r="YK18" s="10" t="n">
        <v>46035</v>
      </c>
      <c r="YM18" s="9" t="n">
        <v>0</v>
      </c>
      <c r="YO18" s="9" t="n">
        <v>0</v>
      </c>
      <c r="YP18" s="9" t="n">
        <v>0</v>
      </c>
      <c r="YT18" s="10" t="n">
        <v>46035</v>
      </c>
      <c r="YV18" s="9" t="n">
        <v>0</v>
      </c>
      <c r="YX18" s="9" t="n">
        <v>0</v>
      </c>
      <c r="YY18" s="9" t="n">
        <v>0</v>
      </c>
      <c r="ZC18" s="10" t="n">
        <v>46035</v>
      </c>
      <c r="ZE18" s="9" t="n">
        <v>0</v>
      </c>
      <c r="ZG18" s="9" t="n">
        <v>0</v>
      </c>
      <c r="ZH18" s="9" t="n">
        <v>0</v>
      </c>
      <c r="ZL18" s="10" t="n">
        <v>46035</v>
      </c>
      <c r="ZN18" s="9" t="n">
        <v>0</v>
      </c>
      <c r="ZP18" s="9" t="n">
        <v>0</v>
      </c>
      <c r="ZQ18" s="9" t="n">
        <v>0</v>
      </c>
      <c r="ZU18" s="10" t="n">
        <v>46035</v>
      </c>
      <c r="ZW18" s="9" t="n">
        <v>0</v>
      </c>
      <c r="ZY18" s="9" t="n">
        <v>0</v>
      </c>
      <c r="ZZ18" s="9" t="n">
        <v>0</v>
      </c>
      <c r="AAD18" s="10" t="n">
        <v>46035</v>
      </c>
      <c r="AAF18" s="9" t="n">
        <v>0</v>
      </c>
      <c r="AAH18" s="9" t="n">
        <v>0</v>
      </c>
      <c r="AAI18" s="9" t="n">
        <v>0</v>
      </c>
      <c r="AAM18" s="10" t="n">
        <v>46035</v>
      </c>
      <c r="AAO18" s="9" t="n">
        <v>0</v>
      </c>
      <c r="AAQ18" s="9" t="n">
        <v>0</v>
      </c>
      <c r="AAR18" s="9" t="n">
        <v>0</v>
      </c>
      <c r="AAV18" s="10" t="n">
        <v>46035</v>
      </c>
      <c r="AAX18" s="9" t="n">
        <v>0</v>
      </c>
      <c r="AAZ18" s="9" t="n">
        <v>0</v>
      </c>
      <c r="ABA18" s="9" t="n">
        <v>0</v>
      </c>
      <c r="ABE18" s="10" t="n">
        <v>46035</v>
      </c>
      <c r="ABG18" s="9" t="n">
        <v>0</v>
      </c>
      <c r="ABI18" s="9" t="n">
        <v>0</v>
      </c>
      <c r="ABJ18" s="9" t="n">
        <v>0</v>
      </c>
    </row>
    <row r="19">
      <c r="C19" s="10" t="n">
        <v>46036</v>
      </c>
      <c r="E19" s="9" t="n">
        <v>0</v>
      </c>
      <c r="G19" s="9" t="n">
        <v>0</v>
      </c>
      <c r="H19" s="9" t="n">
        <v>80919.40000000001</v>
      </c>
      <c r="L19" s="10" t="n">
        <v>46036</v>
      </c>
      <c r="N19" s="9" t="n">
        <v>0</v>
      </c>
      <c r="P19" s="9" t="n">
        <v>0</v>
      </c>
      <c r="Q19" s="9" t="n">
        <v>-7002.599999999993</v>
      </c>
      <c r="U19" s="10" t="n">
        <v>46036</v>
      </c>
      <c r="W19" s="9" t="n">
        <v>0</v>
      </c>
      <c r="Y19" s="9" t="n">
        <v>0</v>
      </c>
      <c r="Z19" s="9" t="n">
        <v>31154.69999999998</v>
      </c>
      <c r="AD19" s="10" t="n">
        <v>46036</v>
      </c>
      <c r="AF19" s="9" t="n">
        <v>0</v>
      </c>
      <c r="AH19" s="9" t="n">
        <v>0</v>
      </c>
      <c r="AI19" s="9" t="n">
        <v>29597.7</v>
      </c>
      <c r="AM19" s="10" t="n">
        <v>46036</v>
      </c>
      <c r="AO19" s="9" t="n">
        <v>0</v>
      </c>
      <c r="AQ19" s="9" t="n">
        <v>0</v>
      </c>
      <c r="AR19" s="9" t="n">
        <v>0</v>
      </c>
      <c r="AV19" s="10" t="n">
        <v>46036</v>
      </c>
      <c r="AX19" s="9" t="n">
        <v>0</v>
      </c>
      <c r="AZ19" s="9" t="n">
        <v>0</v>
      </c>
      <c r="BA19" s="9" t="n">
        <v>16503.09999999999</v>
      </c>
      <c r="BE19" s="10" t="n">
        <v>46036</v>
      </c>
      <c r="BG19" s="9" t="n">
        <v>0</v>
      </c>
      <c r="BI19" s="9" t="n">
        <v>0</v>
      </c>
      <c r="BJ19" s="9" t="n">
        <v>13655.6</v>
      </c>
      <c r="BN19" s="10" t="n">
        <v>46036</v>
      </c>
      <c r="BP19" s="9" t="n">
        <v>0</v>
      </c>
      <c r="BR19" s="9" t="n">
        <v>0</v>
      </c>
      <c r="BS19" s="9" t="n">
        <v>0</v>
      </c>
      <c r="BW19" s="10" t="n">
        <v>46036</v>
      </c>
      <c r="BY19" s="9" t="n">
        <v>0</v>
      </c>
      <c r="CA19" s="9" t="n">
        <v>0</v>
      </c>
      <c r="CB19" s="9" t="n">
        <v>3461.5</v>
      </c>
      <c r="CF19" s="10" t="n">
        <v>46036</v>
      </c>
      <c r="CH19" s="9" t="n">
        <v>0</v>
      </c>
      <c r="CJ19" s="9" t="n">
        <v>0</v>
      </c>
      <c r="CK19" s="9" t="n">
        <v>0</v>
      </c>
      <c r="CO19" s="10" t="n">
        <v>46036</v>
      </c>
      <c r="CQ19" s="9" t="n">
        <v>0</v>
      </c>
      <c r="CS19" s="9" t="n">
        <v>0</v>
      </c>
      <c r="CT19" s="9" t="n">
        <v>0</v>
      </c>
      <c r="CX19" s="10" t="n">
        <v>46036</v>
      </c>
      <c r="CZ19" s="9" t="n">
        <v>0</v>
      </c>
      <c r="DB19" s="9" t="n">
        <v>0</v>
      </c>
      <c r="DC19" s="9" t="n">
        <v>0</v>
      </c>
      <c r="DG19" s="10" t="n">
        <v>46036</v>
      </c>
      <c r="DI19" s="9" t="n">
        <v>0</v>
      </c>
      <c r="DK19" s="9" t="n">
        <v>0</v>
      </c>
      <c r="DL19" s="9" t="n">
        <v>25391.6</v>
      </c>
      <c r="DP19" s="10" t="n">
        <v>46036</v>
      </c>
      <c r="DR19" s="9" t="n">
        <v>0</v>
      </c>
      <c r="DT19" s="9" t="n">
        <v>0</v>
      </c>
      <c r="DU19" s="9" t="n">
        <v>0</v>
      </c>
      <c r="DY19" s="10" t="n">
        <v>46036</v>
      </c>
      <c r="EA19" s="9" t="n">
        <v>0</v>
      </c>
      <c r="EC19" s="9" t="n">
        <v>0</v>
      </c>
      <c r="ED19" s="9" t="n">
        <v>0</v>
      </c>
      <c r="EH19" s="10" t="n">
        <v>46036</v>
      </c>
      <c r="EJ19" s="9" t="n">
        <v>0</v>
      </c>
      <c r="EL19" s="9" t="n">
        <v>0</v>
      </c>
      <c r="EM19" s="9" t="n">
        <v>0</v>
      </c>
      <c r="EQ19" s="10" t="n">
        <v>46036</v>
      </c>
      <c r="ES19" s="9" t="n">
        <v>0</v>
      </c>
      <c r="EU19" s="9" t="n">
        <v>0</v>
      </c>
      <c r="EV19" s="9" t="n">
        <v>0</v>
      </c>
      <c r="EZ19" s="10" t="n">
        <v>46036</v>
      </c>
      <c r="FB19" s="9" t="n">
        <v>0</v>
      </c>
      <c r="FD19" s="9" t="n">
        <v>0</v>
      </c>
      <c r="FE19" s="9" t="n">
        <v>0</v>
      </c>
      <c r="FI19" s="10" t="n">
        <v>46036</v>
      </c>
      <c r="FK19" s="9" t="n">
        <v>0</v>
      </c>
      <c r="FM19" s="9" t="n">
        <v>0</v>
      </c>
      <c r="FN19" s="9" t="n">
        <v>0</v>
      </c>
      <c r="FR19" s="10" t="n">
        <v>46036</v>
      </c>
      <c r="FT19" s="9" t="n">
        <v>0</v>
      </c>
      <c r="FV19" s="9" t="n">
        <v>0</v>
      </c>
      <c r="FW19" s="9" t="n">
        <v>3540</v>
      </c>
      <c r="GA19" s="10" t="n">
        <v>46036</v>
      </c>
      <c r="GC19" s="9" t="n">
        <v>0</v>
      </c>
      <c r="GE19" s="9" t="n">
        <v>0</v>
      </c>
      <c r="GF19" s="9" t="n">
        <v>1960</v>
      </c>
      <c r="GJ19" s="10" t="n">
        <v>46036</v>
      </c>
      <c r="GL19" s="9" t="n">
        <v>0</v>
      </c>
      <c r="GN19" s="9" t="n">
        <v>0</v>
      </c>
      <c r="GO19" s="9" t="n">
        <v>6360</v>
      </c>
      <c r="GS19" s="10" t="n">
        <v>46036</v>
      </c>
      <c r="GU19" s="9" t="n">
        <v>0</v>
      </c>
      <c r="GW19" s="9" t="n">
        <v>0</v>
      </c>
      <c r="GX19" s="9" t="n">
        <v>0</v>
      </c>
      <c r="HB19" s="10" t="n">
        <v>46036</v>
      </c>
      <c r="HD19" s="9" t="n">
        <v>0</v>
      </c>
      <c r="HF19" s="9" t="n">
        <v>0</v>
      </c>
      <c r="HG19" s="9" t="n">
        <v>0</v>
      </c>
      <c r="HK19" s="10" t="n">
        <v>46036</v>
      </c>
      <c r="HM19" s="9" t="n">
        <v>0</v>
      </c>
      <c r="HO19" s="9" t="n">
        <v>0</v>
      </c>
      <c r="HP19" s="9" t="n">
        <v>0</v>
      </c>
      <c r="HU19" s="10" t="n">
        <v>46036</v>
      </c>
      <c r="HW19" s="9" t="n">
        <v>0</v>
      </c>
      <c r="HY19" s="9" t="n">
        <v>0</v>
      </c>
      <c r="HZ19" s="9" t="n">
        <v>3800</v>
      </c>
      <c r="ID19" s="10" t="n">
        <v>46036</v>
      </c>
      <c r="IF19" s="9" t="n">
        <v>0</v>
      </c>
      <c r="IH19" s="9" t="n">
        <v>0</v>
      </c>
      <c r="II19" s="9" t="n">
        <v>5100</v>
      </c>
      <c r="IM19" s="10" t="n">
        <v>46036</v>
      </c>
      <c r="IO19" s="9" t="n">
        <v>0</v>
      </c>
      <c r="IQ19" s="9" t="n">
        <v>0</v>
      </c>
      <c r="IR19" s="9" t="n">
        <v>10240</v>
      </c>
      <c r="IV19" s="10" t="n">
        <v>46036</v>
      </c>
      <c r="IX19" s="9" t="n">
        <v>0</v>
      </c>
      <c r="IZ19" s="9" t="n">
        <v>0</v>
      </c>
      <c r="JA19" s="9" t="n">
        <v>3120</v>
      </c>
      <c r="JE19" s="10" t="n">
        <v>46036</v>
      </c>
      <c r="JG19" s="9" t="n">
        <v>0</v>
      </c>
      <c r="JI19" s="9" t="n">
        <v>0</v>
      </c>
      <c r="JJ19" s="9" t="n">
        <v>6800</v>
      </c>
      <c r="JN19" s="10" t="n">
        <v>46036</v>
      </c>
      <c r="JP19" s="9" t="n">
        <v>0</v>
      </c>
      <c r="JR19" s="9" t="n">
        <v>0</v>
      </c>
      <c r="JS19" s="9" t="n">
        <v>5400</v>
      </c>
      <c r="JW19" s="10" t="n">
        <v>46036</v>
      </c>
      <c r="JY19" s="9" t="n">
        <v>0</v>
      </c>
      <c r="KA19" s="9" t="n">
        <v>0</v>
      </c>
      <c r="KB19" s="9" t="n">
        <v>0</v>
      </c>
      <c r="KF19" s="10" t="n">
        <v>46036</v>
      </c>
      <c r="KH19" s="9" t="n">
        <v>0</v>
      </c>
      <c r="KJ19" s="9" t="n">
        <v>0</v>
      </c>
      <c r="KK19" s="9" t="n">
        <v>0</v>
      </c>
      <c r="KO19" s="10" t="n">
        <v>46036</v>
      </c>
      <c r="KQ19" s="9" t="n">
        <v>0</v>
      </c>
      <c r="KS19" s="9" t="n">
        <v>0</v>
      </c>
      <c r="KT19" s="9" t="n">
        <v>0</v>
      </c>
      <c r="KX19" s="10" t="n">
        <v>46036</v>
      </c>
      <c r="KZ19" s="9" t="n">
        <v>0</v>
      </c>
      <c r="LB19" s="9" t="n">
        <v>0</v>
      </c>
      <c r="LC19" s="9" t="n">
        <v>0</v>
      </c>
      <c r="LG19" s="10" t="n">
        <v>46036</v>
      </c>
      <c r="LI19" s="9" t="n">
        <v>0</v>
      </c>
      <c r="LK19" s="9" t="n">
        <v>0</v>
      </c>
      <c r="LL19" s="9" t="n">
        <v>0</v>
      </c>
      <c r="LP19" s="10" t="n">
        <v>46036</v>
      </c>
      <c r="LR19" s="9" t="n">
        <v>0</v>
      </c>
      <c r="LT19" s="9" t="n">
        <v>0</v>
      </c>
      <c r="LU19" s="9" t="n">
        <v>0</v>
      </c>
      <c r="LY19" s="10" t="n">
        <v>46036</v>
      </c>
      <c r="MA19" s="9" t="n">
        <v>0</v>
      </c>
      <c r="MC19" s="9" t="n">
        <v>0</v>
      </c>
      <c r="MD19" s="9" t="n">
        <v>0</v>
      </c>
      <c r="MH19" s="10" t="n">
        <v>46036</v>
      </c>
      <c r="MJ19" s="9" t="n">
        <v>0</v>
      </c>
      <c r="ML19" s="9" t="n">
        <v>0</v>
      </c>
      <c r="MM19" s="9" t="n">
        <v>0</v>
      </c>
      <c r="MQ19" s="10" t="n">
        <v>46036</v>
      </c>
      <c r="MS19" s="9" t="n">
        <v>0</v>
      </c>
      <c r="MU19" s="9" t="n">
        <v>0</v>
      </c>
      <c r="MV19" s="9" t="n">
        <v>1281</v>
      </c>
      <c r="MZ19" s="10" t="n">
        <v>46036</v>
      </c>
      <c r="NB19" s="9" t="n">
        <v>0</v>
      </c>
      <c r="ND19" s="9" t="n">
        <v>0</v>
      </c>
      <c r="NE19" s="9" t="n">
        <v>0</v>
      </c>
      <c r="NI19" s="10" t="n">
        <v>46036</v>
      </c>
      <c r="NK19" s="9" t="n">
        <v>0</v>
      </c>
      <c r="NM19" s="9" t="n">
        <v>0</v>
      </c>
      <c r="NN19" s="9" t="n">
        <v>0</v>
      </c>
      <c r="NR19" s="10" t="n">
        <v>46036</v>
      </c>
      <c r="NT19" s="9" t="n">
        <v>0</v>
      </c>
      <c r="NV19" s="9" t="n">
        <v>0</v>
      </c>
      <c r="NW19" s="9" t="n">
        <v>0</v>
      </c>
      <c r="OA19" s="10" t="n">
        <v>46036</v>
      </c>
      <c r="OC19" s="9" t="n">
        <v>0</v>
      </c>
      <c r="OE19" s="9" t="n">
        <v>0</v>
      </c>
      <c r="OF19" s="9" t="n">
        <v>1680.5</v>
      </c>
      <c r="OJ19" s="10" t="n">
        <v>46036</v>
      </c>
      <c r="OL19" s="9" t="n">
        <v>0</v>
      </c>
      <c r="ON19" s="9" t="n">
        <v>0</v>
      </c>
      <c r="OO19" s="9" t="n">
        <v>0</v>
      </c>
      <c r="OS19" s="10" t="n">
        <v>46036</v>
      </c>
      <c r="OU19" s="9" t="n">
        <v>0</v>
      </c>
      <c r="OW19" s="9" t="n">
        <v>0</v>
      </c>
      <c r="OX19" s="9" t="n">
        <v>67</v>
      </c>
      <c r="PB19" s="10" t="n">
        <v>46036</v>
      </c>
      <c r="PD19" s="9" t="n">
        <v>0</v>
      </c>
      <c r="PF19" s="9" t="n">
        <v>0</v>
      </c>
      <c r="PG19" s="9" t="n">
        <v>0</v>
      </c>
      <c r="PK19" s="10" t="n">
        <v>46036</v>
      </c>
      <c r="PM19" s="9" t="n">
        <v>0</v>
      </c>
      <c r="PO19" s="9" t="n">
        <v>0</v>
      </c>
      <c r="PP19" s="9" t="n">
        <v>160</v>
      </c>
      <c r="PT19" s="10" t="n">
        <v>46036</v>
      </c>
      <c r="PV19" s="9" t="n">
        <v>0</v>
      </c>
      <c r="PX19" s="9" t="n">
        <v>0</v>
      </c>
      <c r="PY19" s="9" t="n">
        <v>13.96000000000004</v>
      </c>
      <c r="QC19" s="10" t="n">
        <v>46036</v>
      </c>
      <c r="QE19" s="9" t="n">
        <v>0</v>
      </c>
      <c r="QG19" s="9" t="n">
        <v>0</v>
      </c>
      <c r="QH19" s="9" t="n">
        <v>0</v>
      </c>
      <c r="QL19" s="10" t="n">
        <v>46036</v>
      </c>
      <c r="QN19" s="9" t="n">
        <v>0</v>
      </c>
      <c r="QP19" s="9" t="n">
        <v>0</v>
      </c>
      <c r="QQ19" s="9" t="n">
        <v>0</v>
      </c>
      <c r="QU19" s="10" t="n">
        <v>46036</v>
      </c>
      <c r="QW19" s="9" t="n">
        <v>0</v>
      </c>
      <c r="QY19" s="9" t="n">
        <v>0</v>
      </c>
      <c r="QZ19" s="9" t="n">
        <v>207.6</v>
      </c>
      <c r="RD19" s="10" t="n">
        <v>46036</v>
      </c>
      <c r="RF19" s="9" t="n">
        <v>0</v>
      </c>
      <c r="RH19" s="9" t="n">
        <v>0</v>
      </c>
      <c r="RI19" s="9" t="n">
        <v>201.8</v>
      </c>
      <c r="RM19" s="10" t="n">
        <v>46036</v>
      </c>
      <c r="RO19" s="9" t="n">
        <v>0</v>
      </c>
      <c r="RQ19" s="9" t="n">
        <v>0</v>
      </c>
      <c r="RR19" s="9" t="n">
        <v>22.72</v>
      </c>
      <c r="RV19" s="10" t="n">
        <v>46036</v>
      </c>
      <c r="RX19" s="9" t="n">
        <v>0</v>
      </c>
      <c r="RZ19" s="9" t="n">
        <v>0</v>
      </c>
      <c r="SA19" s="9" t="n">
        <v>0</v>
      </c>
      <c r="SE19" s="10" t="n">
        <v>46036</v>
      </c>
      <c r="SG19" s="9" t="n">
        <v>0</v>
      </c>
      <c r="SI19" s="9" t="n">
        <v>0</v>
      </c>
      <c r="SJ19" s="9" t="n">
        <v>0</v>
      </c>
      <c r="SN19" s="10" t="n">
        <v>46036</v>
      </c>
      <c r="SP19" s="9" t="n">
        <v>0</v>
      </c>
      <c r="SR19" s="9" t="n">
        <v>0</v>
      </c>
      <c r="SS19" s="9" t="n">
        <v>0</v>
      </c>
      <c r="SW19" s="10" t="n">
        <v>46036</v>
      </c>
      <c r="SY19" s="9" t="n">
        <v>0</v>
      </c>
      <c r="TA19" s="9" t="n">
        <v>0</v>
      </c>
      <c r="TB19" s="9" t="n">
        <v>0</v>
      </c>
      <c r="TF19" s="10" t="n">
        <v>46036</v>
      </c>
      <c r="TH19" s="9" t="n">
        <v>0</v>
      </c>
      <c r="TJ19" s="9" t="n">
        <v>0</v>
      </c>
      <c r="TK19" s="9" t="n">
        <v>0</v>
      </c>
      <c r="TO19" s="10" t="n">
        <v>46036</v>
      </c>
      <c r="TQ19" s="9" t="n">
        <v>0</v>
      </c>
      <c r="TS19" s="9" t="n">
        <v>0</v>
      </c>
      <c r="TT19" s="9" t="n">
        <v>0</v>
      </c>
      <c r="TX19" s="10" t="n">
        <v>46036</v>
      </c>
      <c r="TZ19" s="9" t="n">
        <v>0</v>
      </c>
      <c r="UB19" s="9" t="n">
        <v>0</v>
      </c>
      <c r="UC19" s="9" t="n">
        <v>0</v>
      </c>
      <c r="UG19" s="10" t="n">
        <v>46036</v>
      </c>
      <c r="UI19" s="9" t="n">
        <v>0</v>
      </c>
      <c r="UK19" s="9" t="n">
        <v>0</v>
      </c>
      <c r="UL19" s="9" t="n">
        <v>0</v>
      </c>
      <c r="UP19" s="10" t="n">
        <v>46036</v>
      </c>
      <c r="UR19" s="9" t="n">
        <v>0</v>
      </c>
      <c r="UT19" s="9" t="n">
        <v>0</v>
      </c>
      <c r="UU19" s="9" t="n">
        <v>0</v>
      </c>
      <c r="UY19" s="10" t="n">
        <v>46036</v>
      </c>
      <c r="VA19" s="9" t="n">
        <v>0</v>
      </c>
      <c r="VC19" s="9" t="n">
        <v>0</v>
      </c>
      <c r="VD19" s="9" t="n">
        <v>-319.6</v>
      </c>
      <c r="VH19" s="10" t="n">
        <v>46036</v>
      </c>
      <c r="VJ19" s="9" t="n">
        <v>0</v>
      </c>
      <c r="VL19" s="9" t="n">
        <v>0</v>
      </c>
      <c r="VM19" s="9" t="n">
        <v>0</v>
      </c>
      <c r="VQ19" s="10" t="n">
        <v>46036</v>
      </c>
      <c r="VS19" s="9" t="n">
        <v>0</v>
      </c>
      <c r="VU19" s="9" t="n">
        <v>0</v>
      </c>
      <c r="VV19" s="9" t="n">
        <v>0</v>
      </c>
      <c r="VZ19" s="10" t="n">
        <v>46036</v>
      </c>
      <c r="WB19" s="9" t="n">
        <v>0</v>
      </c>
      <c r="WD19" s="9" t="n">
        <v>0</v>
      </c>
      <c r="WE19" s="9" t="n">
        <v>0</v>
      </c>
      <c r="WI19" s="10" t="n">
        <v>46036</v>
      </c>
      <c r="WK19" s="9" t="n">
        <v>0</v>
      </c>
      <c r="WM19" s="9" t="n">
        <v>0</v>
      </c>
      <c r="WN19" s="9" t="n">
        <v>5877</v>
      </c>
      <c r="WR19" s="10" t="n">
        <v>46036</v>
      </c>
      <c r="WT19" s="9" t="n">
        <v>0</v>
      </c>
      <c r="WV19" s="9" t="n">
        <v>0</v>
      </c>
      <c r="WW19" s="9" t="n">
        <v>5267</v>
      </c>
      <c r="XA19" s="10" t="n">
        <v>46036</v>
      </c>
      <c r="XC19" s="9" t="n">
        <v>0</v>
      </c>
      <c r="XE19" s="9" t="n">
        <v>0</v>
      </c>
      <c r="XF19" s="9" t="n">
        <v>719</v>
      </c>
      <c r="XJ19" s="10" t="n">
        <v>46036</v>
      </c>
      <c r="XL19" s="9" t="n">
        <v>0</v>
      </c>
      <c r="XN19" s="9" t="n">
        <v>0</v>
      </c>
      <c r="XO19" s="9" t="n">
        <v>6350</v>
      </c>
      <c r="XS19" s="10" t="n">
        <v>46036</v>
      </c>
      <c r="XU19" s="9" t="n">
        <v>0</v>
      </c>
      <c r="XW19" s="9" t="n">
        <v>0</v>
      </c>
      <c r="XX19" s="9" t="n">
        <v>1901</v>
      </c>
      <c r="YB19" s="10" t="n">
        <v>46036</v>
      </c>
      <c r="YD19" s="9" t="n">
        <v>0</v>
      </c>
      <c r="YF19" s="9" t="n">
        <v>0</v>
      </c>
      <c r="YG19" s="9" t="n">
        <v>4175</v>
      </c>
      <c r="YK19" s="10" t="n">
        <v>46036</v>
      </c>
      <c r="YM19" s="9" t="n">
        <v>0</v>
      </c>
      <c r="YO19" s="9" t="n">
        <v>0</v>
      </c>
      <c r="YP19" s="9" t="n">
        <v>0</v>
      </c>
      <c r="YT19" s="10" t="n">
        <v>46036</v>
      </c>
      <c r="YV19" s="9" t="n">
        <v>0</v>
      </c>
      <c r="YX19" s="9" t="n">
        <v>0</v>
      </c>
      <c r="YY19" s="9" t="n">
        <v>0</v>
      </c>
      <c r="ZC19" s="10" t="n">
        <v>46036</v>
      </c>
      <c r="ZE19" s="9" t="n">
        <v>0</v>
      </c>
      <c r="ZG19" s="9" t="n">
        <v>0</v>
      </c>
      <c r="ZH19" s="9" t="n">
        <v>0</v>
      </c>
      <c r="ZL19" s="10" t="n">
        <v>46036</v>
      </c>
      <c r="ZN19" s="9" t="n">
        <v>0</v>
      </c>
      <c r="ZP19" s="9" t="n">
        <v>0</v>
      </c>
      <c r="ZQ19" s="9" t="n">
        <v>0</v>
      </c>
      <c r="ZU19" s="10" t="n">
        <v>46036</v>
      </c>
      <c r="ZW19" s="9" t="n">
        <v>0</v>
      </c>
      <c r="ZY19" s="9" t="n">
        <v>0</v>
      </c>
      <c r="ZZ19" s="9" t="n">
        <v>0</v>
      </c>
      <c r="AAD19" s="10" t="n">
        <v>46036</v>
      </c>
      <c r="AAF19" s="9" t="n">
        <v>0</v>
      </c>
      <c r="AAH19" s="9" t="n">
        <v>0</v>
      </c>
      <c r="AAI19" s="9" t="n">
        <v>0</v>
      </c>
      <c r="AAM19" s="10" t="n">
        <v>46036</v>
      </c>
      <c r="AAO19" s="9" t="n">
        <v>0</v>
      </c>
      <c r="AAQ19" s="9" t="n">
        <v>0</v>
      </c>
      <c r="AAR19" s="9" t="n">
        <v>0</v>
      </c>
      <c r="AAV19" s="10" t="n">
        <v>46036</v>
      </c>
      <c r="AAX19" s="9" t="n">
        <v>0</v>
      </c>
      <c r="AAZ19" s="9" t="n">
        <v>0</v>
      </c>
      <c r="ABA19" s="9" t="n">
        <v>0</v>
      </c>
      <c r="ABE19" s="10" t="n">
        <v>46036</v>
      </c>
      <c r="ABG19" s="9" t="n">
        <v>0</v>
      </c>
      <c r="ABI19" s="9" t="n">
        <v>0</v>
      </c>
      <c r="ABJ19" s="9" t="n">
        <v>0</v>
      </c>
    </row>
    <row r="20">
      <c r="B20" s="9" t="n">
        <v>74</v>
      </c>
      <c r="C20" s="10" t="n">
        <v>46037</v>
      </c>
      <c r="E20" s="9" t="n">
        <v>42475</v>
      </c>
      <c r="F20" s="9" t="n">
        <v>42476.8</v>
      </c>
      <c r="G20" s="9" t="n">
        <v>-1.80000000000291</v>
      </c>
      <c r="H20" s="9" t="n">
        <v>38442.60000000001</v>
      </c>
      <c r="I20" s="9" t="inlineStr">
        <is>
          <t>8100 10mt, 8102 18mt, 8102 16mt, 1103 30mt</t>
        </is>
      </c>
      <c r="L20" s="10" t="n">
        <v>46037</v>
      </c>
      <c r="M20" s="9" t="n">
        <v>28230</v>
      </c>
      <c r="N20" s="9" t="n">
        <v>16601</v>
      </c>
      <c r="O20" s="9" t="n">
        <v>16605.8</v>
      </c>
      <c r="P20" s="9" t="n">
        <v>-4.799999999999272</v>
      </c>
      <c r="Q20" s="9" t="n">
        <v>4621.600000000009</v>
      </c>
      <c r="U20" s="10" t="n">
        <v>46037</v>
      </c>
      <c r="W20" s="9" t="n">
        <v>4600</v>
      </c>
      <c r="X20" s="9" t="n">
        <v>4599.5</v>
      </c>
      <c r="Y20" s="9" t="n">
        <v>0.5</v>
      </c>
      <c r="Z20" s="9" t="n">
        <v>26555.19999999998</v>
      </c>
      <c r="AD20" s="10" t="n">
        <v>46037</v>
      </c>
      <c r="AF20" s="9" t="n">
        <v>4050</v>
      </c>
      <c r="AG20" s="9" t="n">
        <v>4052.1</v>
      </c>
      <c r="AH20" s="9" t="n">
        <v>-2.099999999999909</v>
      </c>
      <c r="AI20" s="9" t="n">
        <v>25545.60000000001</v>
      </c>
      <c r="AM20" s="10" t="n">
        <v>46037</v>
      </c>
      <c r="AO20" s="9" t="n">
        <v>0</v>
      </c>
      <c r="AQ20" s="9" t="n">
        <v>0</v>
      </c>
      <c r="AR20" s="9" t="n">
        <v>0</v>
      </c>
      <c r="AV20" s="10" t="n">
        <v>46037</v>
      </c>
      <c r="AX20" s="9" t="n">
        <v>1345</v>
      </c>
      <c r="AY20" s="9" t="n">
        <v>1347.2</v>
      </c>
      <c r="AZ20" s="9" t="n">
        <v>-2.200000000000045</v>
      </c>
      <c r="BA20" s="9" t="n">
        <v>15155.89999999999</v>
      </c>
      <c r="BE20" s="10" t="n">
        <v>46037</v>
      </c>
      <c r="BG20" s="9" t="n">
        <v>1630</v>
      </c>
      <c r="BH20" s="9" t="n">
        <v>1629.8</v>
      </c>
      <c r="BI20" s="9" t="n">
        <v>0.2000000000000455</v>
      </c>
      <c r="BJ20" s="9" t="n">
        <v>12025.8</v>
      </c>
      <c r="BN20" s="10" t="n">
        <v>46037</v>
      </c>
      <c r="BO20" s="9" t="n">
        <v>1560</v>
      </c>
      <c r="BP20" s="9" t="n">
        <v>1560</v>
      </c>
      <c r="BQ20" s="9" t="n">
        <v>1560</v>
      </c>
      <c r="BR20" s="9" t="n">
        <v>0</v>
      </c>
      <c r="BS20" s="9" t="n">
        <v>0</v>
      </c>
      <c r="BW20" s="10" t="n">
        <v>46037</v>
      </c>
      <c r="BY20" s="9" t="n">
        <v>15</v>
      </c>
      <c r="CA20" s="9" t="n">
        <v>15</v>
      </c>
      <c r="CB20" s="9" t="n">
        <v>3461.5</v>
      </c>
      <c r="CF20" s="10" t="n">
        <v>46037</v>
      </c>
      <c r="CH20" s="9" t="n">
        <v>59</v>
      </c>
      <c r="CJ20" s="9" t="n">
        <v>59</v>
      </c>
      <c r="CK20" s="9" t="n">
        <v>0</v>
      </c>
      <c r="CO20" s="10" t="n">
        <v>46037</v>
      </c>
      <c r="CQ20" s="9" t="n">
        <v>0</v>
      </c>
      <c r="CS20" s="9" t="n">
        <v>0</v>
      </c>
      <c r="CT20" s="9" t="n">
        <v>0</v>
      </c>
      <c r="CX20" s="10" t="n">
        <v>46037</v>
      </c>
      <c r="CZ20" s="9" t="n">
        <v>0</v>
      </c>
      <c r="DB20" s="9" t="n">
        <v>0</v>
      </c>
      <c r="DC20" s="9" t="n">
        <v>0</v>
      </c>
      <c r="DG20" s="10" t="n">
        <v>46037</v>
      </c>
      <c r="DI20" s="9" t="n">
        <v>0</v>
      </c>
      <c r="DK20" s="9" t="n">
        <v>0</v>
      </c>
      <c r="DL20" s="9" t="n">
        <v>25391.6</v>
      </c>
      <c r="DP20" s="10" t="n">
        <v>46037</v>
      </c>
      <c r="DR20" s="9" t="n">
        <v>0</v>
      </c>
      <c r="DT20" s="9" t="n">
        <v>0</v>
      </c>
      <c r="DU20" s="9" t="n">
        <v>0</v>
      </c>
      <c r="DY20" s="10" t="n">
        <v>46037</v>
      </c>
      <c r="EA20" s="9" t="n">
        <v>0</v>
      </c>
      <c r="EC20" s="9" t="n">
        <v>0</v>
      </c>
      <c r="ED20" s="9" t="n">
        <v>0</v>
      </c>
      <c r="EH20" s="10" t="n">
        <v>46037</v>
      </c>
      <c r="EJ20" s="9" t="n">
        <v>0</v>
      </c>
      <c r="EL20" s="9" t="n">
        <v>0</v>
      </c>
      <c r="EM20" s="9" t="n">
        <v>0</v>
      </c>
      <c r="EQ20" s="10" t="n">
        <v>46037</v>
      </c>
      <c r="ES20" s="9" t="n">
        <v>0</v>
      </c>
      <c r="EU20" s="9" t="n">
        <v>0</v>
      </c>
      <c r="EV20" s="9" t="n">
        <v>0</v>
      </c>
      <c r="EZ20" s="10" t="n">
        <v>46037</v>
      </c>
      <c r="FB20" s="9" t="n">
        <v>0</v>
      </c>
      <c r="FD20" s="9" t="n">
        <v>0</v>
      </c>
      <c r="FE20" s="9" t="n">
        <v>0</v>
      </c>
      <c r="FI20" s="10" t="n">
        <v>46037</v>
      </c>
      <c r="FK20" s="9" t="n">
        <v>0</v>
      </c>
      <c r="FM20" s="9" t="n">
        <v>0</v>
      </c>
      <c r="FN20" s="9" t="n">
        <v>0</v>
      </c>
      <c r="FR20" s="10" t="n">
        <v>46037</v>
      </c>
      <c r="FT20" s="9" t="n">
        <v>0</v>
      </c>
      <c r="FV20" s="9" t="n">
        <v>0</v>
      </c>
      <c r="FW20" s="9" t="n">
        <v>3540</v>
      </c>
      <c r="GA20" s="10" t="n">
        <v>46037</v>
      </c>
      <c r="GC20" s="9" t="n">
        <v>0</v>
      </c>
      <c r="GE20" s="9" t="n">
        <v>0</v>
      </c>
      <c r="GF20" s="9" t="n">
        <v>1960</v>
      </c>
      <c r="GJ20" s="10" t="n">
        <v>46037</v>
      </c>
      <c r="GK20" s="9" t="n">
        <v>1000</v>
      </c>
      <c r="GL20" s="9" t="n">
        <v>600</v>
      </c>
      <c r="GN20" s="9" t="n">
        <v>600</v>
      </c>
      <c r="GO20" s="9" t="n">
        <v>7360</v>
      </c>
      <c r="GS20" s="10" t="n">
        <v>46037</v>
      </c>
      <c r="GU20" s="9" t="n">
        <v>0</v>
      </c>
      <c r="GW20" s="9" t="n">
        <v>0</v>
      </c>
      <c r="GX20" s="9" t="n">
        <v>0</v>
      </c>
      <c r="HB20" s="10" t="n">
        <v>46037</v>
      </c>
      <c r="HD20" s="9" t="n">
        <v>0</v>
      </c>
      <c r="HF20" s="9" t="n">
        <v>0</v>
      </c>
      <c r="HG20" s="9" t="n">
        <v>0</v>
      </c>
      <c r="HK20" s="10" t="n">
        <v>46037</v>
      </c>
      <c r="HM20" s="9" t="n">
        <v>0</v>
      </c>
      <c r="HO20" s="9" t="n">
        <v>0</v>
      </c>
      <c r="HP20" s="9" t="n">
        <v>0</v>
      </c>
      <c r="HU20" s="10" t="n">
        <v>46037</v>
      </c>
      <c r="HW20" s="9" t="n">
        <v>200</v>
      </c>
      <c r="HX20" s="9" t="n">
        <v>1000</v>
      </c>
      <c r="HY20" s="9" t="n">
        <v>-800</v>
      </c>
      <c r="HZ20" s="9" t="n">
        <v>2800</v>
      </c>
      <c r="IA20" s="9" t="n">
        <v>50</v>
      </c>
      <c r="IB20" s="9" t="inlineStr">
        <is>
          <t>bags</t>
        </is>
      </c>
      <c r="ID20" s="10" t="n">
        <v>46037</v>
      </c>
      <c r="IF20" s="9" t="n">
        <v>0</v>
      </c>
      <c r="IH20" s="9" t="n">
        <v>0</v>
      </c>
      <c r="II20" s="9" t="n">
        <v>5100</v>
      </c>
      <c r="IM20" s="10" t="n">
        <v>46037</v>
      </c>
      <c r="IN20" s="9" t="n">
        <v>6000</v>
      </c>
      <c r="IO20" s="9" t="n">
        <v>680</v>
      </c>
      <c r="IQ20" s="9" t="n">
        <v>680</v>
      </c>
      <c r="IR20" s="9" t="n">
        <v>16240</v>
      </c>
      <c r="IV20" s="10" t="n">
        <v>46037</v>
      </c>
      <c r="IW20" s="9" t="n">
        <v>2000</v>
      </c>
      <c r="IX20" s="9" t="n">
        <v>0</v>
      </c>
      <c r="IZ20" s="9" t="n">
        <v>0</v>
      </c>
      <c r="JA20" s="9" t="n">
        <v>5120</v>
      </c>
      <c r="JE20" s="10" t="n">
        <v>46037</v>
      </c>
      <c r="JG20" s="9" t="n">
        <v>0</v>
      </c>
      <c r="JI20" s="9" t="n">
        <v>0</v>
      </c>
      <c r="JJ20" s="9" t="n">
        <v>6800</v>
      </c>
      <c r="JN20" s="10" t="n">
        <v>46037</v>
      </c>
      <c r="JP20" s="9" t="n">
        <v>0</v>
      </c>
      <c r="JR20" s="9" t="n">
        <v>0</v>
      </c>
      <c r="JS20" s="9" t="n">
        <v>5400</v>
      </c>
      <c r="JW20" s="10" t="n">
        <v>46037</v>
      </c>
      <c r="JY20" s="9" t="n">
        <v>0</v>
      </c>
      <c r="KA20" s="9" t="n">
        <v>0</v>
      </c>
      <c r="KB20" s="9" t="n">
        <v>0</v>
      </c>
      <c r="KF20" s="10" t="n">
        <v>46037</v>
      </c>
      <c r="KH20" s="9" t="n">
        <v>0</v>
      </c>
      <c r="KJ20" s="9" t="n">
        <v>0</v>
      </c>
      <c r="KK20" s="9" t="n">
        <v>0</v>
      </c>
      <c r="KO20" s="10" t="n">
        <v>46037</v>
      </c>
      <c r="KQ20" s="9" t="n">
        <v>0</v>
      </c>
      <c r="KS20" s="9" t="n">
        <v>0</v>
      </c>
      <c r="KT20" s="9" t="n">
        <v>0</v>
      </c>
      <c r="KX20" s="10" t="n">
        <v>46037</v>
      </c>
      <c r="KZ20" s="9" t="n">
        <v>0</v>
      </c>
      <c r="LB20" s="9" t="n">
        <v>0</v>
      </c>
      <c r="LC20" s="9" t="n">
        <v>0</v>
      </c>
      <c r="LG20" s="10" t="n">
        <v>46037</v>
      </c>
      <c r="LI20" s="9" t="n">
        <v>0</v>
      </c>
      <c r="LK20" s="9" t="n">
        <v>0</v>
      </c>
      <c r="LL20" s="9" t="n">
        <v>0</v>
      </c>
      <c r="LP20" s="10" t="n">
        <v>46037</v>
      </c>
      <c r="LR20" s="9" t="n">
        <v>0</v>
      </c>
      <c r="LT20" s="9" t="n">
        <v>0</v>
      </c>
      <c r="LU20" s="9" t="n">
        <v>0</v>
      </c>
      <c r="LY20" s="10" t="n">
        <v>46037</v>
      </c>
      <c r="MA20" s="9" t="n">
        <v>0</v>
      </c>
      <c r="MC20" s="9" t="n">
        <v>0</v>
      </c>
      <c r="MD20" s="9" t="n">
        <v>0</v>
      </c>
      <c r="MH20" s="10" t="n">
        <v>46037</v>
      </c>
      <c r="MJ20" s="9" t="n">
        <v>0</v>
      </c>
      <c r="ML20" s="9" t="n">
        <v>0</v>
      </c>
      <c r="MM20" s="9" t="n">
        <v>0</v>
      </c>
      <c r="MQ20" s="10" t="n">
        <v>46037</v>
      </c>
      <c r="MS20" s="9" t="n">
        <v>37</v>
      </c>
      <c r="MU20" s="9" t="n">
        <v>37</v>
      </c>
      <c r="MV20" s="9" t="n">
        <v>1281</v>
      </c>
      <c r="MZ20" s="10" t="n">
        <v>46037</v>
      </c>
      <c r="NB20" s="9" t="n">
        <v>132</v>
      </c>
      <c r="ND20" s="9" t="n">
        <v>132</v>
      </c>
      <c r="NE20" s="9" t="n">
        <v>0</v>
      </c>
      <c r="NI20" s="10" t="n">
        <v>46037</v>
      </c>
      <c r="NK20" s="9" t="n">
        <v>0</v>
      </c>
      <c r="NM20" s="9" t="n">
        <v>0</v>
      </c>
      <c r="NN20" s="9" t="n">
        <v>0</v>
      </c>
      <c r="NR20" s="10" t="n">
        <v>46037</v>
      </c>
      <c r="NT20" s="9" t="n">
        <v>0</v>
      </c>
      <c r="NV20" s="9" t="n">
        <v>0</v>
      </c>
      <c r="NW20" s="9" t="n">
        <v>0</v>
      </c>
      <c r="OA20" s="10" t="n">
        <v>46037</v>
      </c>
      <c r="OC20" s="9" t="n">
        <v>16</v>
      </c>
      <c r="OE20" s="9" t="n">
        <v>16</v>
      </c>
      <c r="OF20" s="9" t="n">
        <v>1680.5</v>
      </c>
      <c r="OJ20" s="10" t="n">
        <v>46037</v>
      </c>
      <c r="OL20" s="9" t="n">
        <v>0</v>
      </c>
      <c r="ON20" s="9" t="n">
        <v>0</v>
      </c>
      <c r="OO20" s="9" t="n">
        <v>0</v>
      </c>
      <c r="OS20" s="10" t="n">
        <v>46037</v>
      </c>
      <c r="OU20" s="9" t="n">
        <v>0</v>
      </c>
      <c r="OW20" s="9" t="n">
        <v>0</v>
      </c>
      <c r="OX20" s="9" t="n">
        <v>67</v>
      </c>
      <c r="PB20" s="10" t="n">
        <v>46037</v>
      </c>
      <c r="PD20" s="9" t="n">
        <v>0</v>
      </c>
      <c r="PF20" s="9" t="n">
        <v>0</v>
      </c>
      <c r="PG20" s="9" t="n">
        <v>0</v>
      </c>
      <c r="PK20" s="10" t="n">
        <v>46037</v>
      </c>
      <c r="PM20" s="9" t="n">
        <v>0</v>
      </c>
      <c r="PO20" s="9" t="n">
        <v>0</v>
      </c>
      <c r="PP20" s="9" t="n">
        <v>160</v>
      </c>
      <c r="PT20" s="10" t="n">
        <v>46037</v>
      </c>
      <c r="PV20" s="9" t="n">
        <v>0</v>
      </c>
      <c r="PX20" s="9" t="n">
        <v>0</v>
      </c>
      <c r="PY20" s="9" t="n">
        <v>13.96000000000004</v>
      </c>
      <c r="QC20" s="10" t="n">
        <v>46037</v>
      </c>
      <c r="QE20" s="9" t="n">
        <v>0</v>
      </c>
      <c r="QG20" s="9" t="n">
        <v>0</v>
      </c>
      <c r="QH20" s="9" t="n">
        <v>0</v>
      </c>
      <c r="QL20" s="10" t="n">
        <v>46037</v>
      </c>
      <c r="QN20" s="9" t="n">
        <v>0</v>
      </c>
      <c r="QP20" s="9" t="n">
        <v>0</v>
      </c>
      <c r="QQ20" s="9" t="n">
        <v>0</v>
      </c>
      <c r="QU20" s="10" t="n">
        <v>46037</v>
      </c>
      <c r="QW20" s="9" t="n">
        <v>0</v>
      </c>
      <c r="QY20" s="9" t="n">
        <v>0</v>
      </c>
      <c r="QZ20" s="9" t="n">
        <v>207.6</v>
      </c>
      <c r="RD20" s="10" t="n">
        <v>46037</v>
      </c>
      <c r="RF20" s="9" t="n">
        <v>0</v>
      </c>
      <c r="RH20" s="9" t="n">
        <v>0</v>
      </c>
      <c r="RI20" s="9" t="n">
        <v>201.8</v>
      </c>
      <c r="RM20" s="10" t="n">
        <v>46037</v>
      </c>
      <c r="RO20" s="9" t="n">
        <v>0</v>
      </c>
      <c r="RQ20" s="9" t="n">
        <v>0</v>
      </c>
      <c r="RR20" s="9" t="n">
        <v>22.72</v>
      </c>
      <c r="RV20" s="10" t="n">
        <v>46037</v>
      </c>
      <c r="RX20" s="9" t="n">
        <v>0</v>
      </c>
      <c r="RZ20" s="9" t="n">
        <v>0</v>
      </c>
      <c r="SA20" s="9" t="n">
        <v>0</v>
      </c>
      <c r="SE20" s="10" t="n">
        <v>46037</v>
      </c>
      <c r="SG20" s="9" t="n">
        <v>0</v>
      </c>
      <c r="SI20" s="9" t="n">
        <v>0</v>
      </c>
      <c r="SJ20" s="9" t="n">
        <v>0</v>
      </c>
      <c r="SN20" s="10" t="n">
        <v>46037</v>
      </c>
      <c r="SP20" s="9" t="n">
        <v>0</v>
      </c>
      <c r="SR20" s="9" t="n">
        <v>0</v>
      </c>
      <c r="SS20" s="9" t="n">
        <v>0</v>
      </c>
      <c r="SW20" s="10" t="n">
        <v>46037</v>
      </c>
      <c r="SY20" s="9" t="n">
        <v>0</v>
      </c>
      <c r="TA20" s="9" t="n">
        <v>0</v>
      </c>
      <c r="TB20" s="9" t="n">
        <v>0</v>
      </c>
      <c r="TF20" s="10" t="n">
        <v>46037</v>
      </c>
      <c r="TH20" s="9" t="n">
        <v>0</v>
      </c>
      <c r="TJ20" s="9" t="n">
        <v>0</v>
      </c>
      <c r="TK20" s="9" t="n">
        <v>0</v>
      </c>
      <c r="TO20" s="10" t="n">
        <v>46037</v>
      </c>
      <c r="TQ20" s="9" t="n">
        <v>0</v>
      </c>
      <c r="TS20" s="9" t="n">
        <v>0</v>
      </c>
      <c r="TT20" s="9" t="n">
        <v>0</v>
      </c>
      <c r="TX20" s="10" t="n">
        <v>46037</v>
      </c>
      <c r="TZ20" s="9" t="n">
        <v>0</v>
      </c>
      <c r="UB20" s="9" t="n">
        <v>0</v>
      </c>
      <c r="UC20" s="9" t="n">
        <v>0</v>
      </c>
      <c r="UG20" s="10" t="n">
        <v>46037</v>
      </c>
      <c r="UI20" s="9" t="n">
        <v>0</v>
      </c>
      <c r="UK20" s="9" t="n">
        <v>0</v>
      </c>
      <c r="UL20" s="9" t="n">
        <v>0</v>
      </c>
      <c r="UP20" s="10" t="n">
        <v>46037</v>
      </c>
      <c r="UR20" s="9" t="n">
        <v>0</v>
      </c>
      <c r="UT20" s="9" t="n">
        <v>0</v>
      </c>
      <c r="UU20" s="9" t="n">
        <v>0</v>
      </c>
      <c r="UY20" s="10" t="n">
        <v>46037</v>
      </c>
      <c r="VA20" s="9" t="n">
        <v>0</v>
      </c>
      <c r="VC20" s="9" t="n">
        <v>0</v>
      </c>
      <c r="VD20" s="9" t="n">
        <v>-319.6</v>
      </c>
      <c r="VH20" s="10" t="n">
        <v>46037</v>
      </c>
      <c r="VJ20" s="9" t="n">
        <v>0</v>
      </c>
      <c r="VL20" s="9" t="n">
        <v>0</v>
      </c>
      <c r="VM20" s="9" t="n">
        <v>0</v>
      </c>
      <c r="VQ20" s="10" t="n">
        <v>46037</v>
      </c>
      <c r="VS20" s="9" t="n">
        <v>0</v>
      </c>
      <c r="VU20" s="9" t="n">
        <v>0</v>
      </c>
      <c r="VV20" s="9" t="n">
        <v>0</v>
      </c>
      <c r="VZ20" s="10" t="n">
        <v>46037</v>
      </c>
      <c r="WB20" s="9" t="n">
        <v>0</v>
      </c>
      <c r="WD20" s="9" t="n">
        <v>0</v>
      </c>
      <c r="WE20" s="9" t="n">
        <v>0</v>
      </c>
      <c r="WI20" s="10" t="n">
        <v>46037</v>
      </c>
      <c r="WK20" s="9" t="n">
        <v>0</v>
      </c>
      <c r="WM20" s="9" t="n">
        <v>0</v>
      </c>
      <c r="WN20" s="9" t="n">
        <v>5877</v>
      </c>
      <c r="WR20" s="10" t="n">
        <v>46037</v>
      </c>
      <c r="WT20" s="9" t="n">
        <v>0</v>
      </c>
      <c r="WV20" s="9" t="n">
        <v>0</v>
      </c>
      <c r="WW20" s="9" t="n">
        <v>5267</v>
      </c>
      <c r="XA20" s="10" t="n">
        <v>46037</v>
      </c>
      <c r="XC20" s="9" t="n">
        <v>0</v>
      </c>
      <c r="XD20" s="9" t="n">
        <v>601</v>
      </c>
      <c r="XE20" s="9" t="n">
        <v>-601</v>
      </c>
      <c r="XF20" s="9" t="n">
        <v>118</v>
      </c>
      <c r="XJ20" s="10" t="n">
        <v>46037</v>
      </c>
      <c r="XL20" s="9" t="n">
        <v>0</v>
      </c>
      <c r="XM20" s="9" t="n">
        <v>224</v>
      </c>
      <c r="XN20" s="9" t="n">
        <v>-224</v>
      </c>
      <c r="XO20" s="9" t="n">
        <v>6126</v>
      </c>
      <c r="XS20" s="10" t="n">
        <v>46037</v>
      </c>
      <c r="XU20" s="9" t="n">
        <v>0</v>
      </c>
      <c r="XW20" s="9" t="n">
        <v>0</v>
      </c>
      <c r="XX20" s="9" t="n">
        <v>1901</v>
      </c>
      <c r="YB20" s="10" t="n">
        <v>46037</v>
      </c>
      <c r="YD20" s="9" t="n">
        <v>0</v>
      </c>
      <c r="YE20" s="9" t="n">
        <v>681</v>
      </c>
      <c r="YF20" s="9" t="n">
        <v>-681</v>
      </c>
      <c r="YG20" s="9" t="n">
        <v>3494</v>
      </c>
      <c r="YK20" s="10" t="n">
        <v>46037</v>
      </c>
      <c r="YM20" s="9" t="n">
        <v>0</v>
      </c>
      <c r="YO20" s="9" t="n">
        <v>0</v>
      </c>
      <c r="YP20" s="9" t="n">
        <v>0</v>
      </c>
      <c r="YT20" s="10" t="n">
        <v>46037</v>
      </c>
      <c r="YV20" s="9" t="n">
        <v>0</v>
      </c>
      <c r="YX20" s="9" t="n">
        <v>0</v>
      </c>
      <c r="YY20" s="9" t="n">
        <v>0</v>
      </c>
      <c r="ZC20" s="10" t="n">
        <v>46037</v>
      </c>
      <c r="ZE20" s="9" t="n">
        <v>0</v>
      </c>
      <c r="ZG20" s="9" t="n">
        <v>0</v>
      </c>
      <c r="ZH20" s="9" t="n">
        <v>0</v>
      </c>
      <c r="ZL20" s="10" t="n">
        <v>46037</v>
      </c>
      <c r="ZN20" s="9" t="n">
        <v>0</v>
      </c>
      <c r="ZP20" s="9" t="n">
        <v>0</v>
      </c>
      <c r="ZQ20" s="9" t="n">
        <v>0</v>
      </c>
      <c r="ZU20" s="10" t="n">
        <v>46037</v>
      </c>
      <c r="ZW20" s="9" t="n">
        <v>0</v>
      </c>
      <c r="ZY20" s="9" t="n">
        <v>0</v>
      </c>
      <c r="ZZ20" s="9" t="n">
        <v>0</v>
      </c>
      <c r="AAD20" s="10" t="n">
        <v>46037</v>
      </c>
      <c r="AAF20" s="9" t="n">
        <v>0</v>
      </c>
      <c r="AAH20" s="9" t="n">
        <v>0</v>
      </c>
      <c r="AAI20" s="9" t="n">
        <v>0</v>
      </c>
      <c r="AAM20" s="10" t="n">
        <v>46037</v>
      </c>
      <c r="AAO20" s="9" t="n">
        <v>0</v>
      </c>
      <c r="AAQ20" s="9" t="n">
        <v>0</v>
      </c>
      <c r="AAR20" s="9" t="n">
        <v>0</v>
      </c>
      <c r="AAV20" s="10" t="n">
        <v>46037</v>
      </c>
      <c r="AAX20" s="9" t="n">
        <v>0</v>
      </c>
      <c r="AAZ20" s="9" t="n">
        <v>0</v>
      </c>
      <c r="ABA20" s="9" t="n">
        <v>0</v>
      </c>
      <c r="ABE20" s="10" t="n">
        <v>46037</v>
      </c>
      <c r="ABG20" s="9" t="n">
        <v>0</v>
      </c>
      <c r="ABI20" s="9" t="n">
        <v>0</v>
      </c>
      <c r="ABJ20" s="9" t="n">
        <v>0</v>
      </c>
    </row>
    <row r="21">
      <c r="B21" s="9" t="n">
        <v>64</v>
      </c>
      <c r="C21" s="10" t="n">
        <v>46038</v>
      </c>
      <c r="D21" s="9" t="n">
        <v>33680</v>
      </c>
      <c r="E21" s="9" t="n">
        <v>35570.5</v>
      </c>
      <c r="F21" s="9" t="n">
        <v>35568.6</v>
      </c>
      <c r="G21" s="9" t="n">
        <v>1.900000000001455</v>
      </c>
      <c r="H21" s="9" t="n">
        <v>36554.00000000001</v>
      </c>
      <c r="I21" s="9" t="inlineStr">
        <is>
          <t>8100 20mt, 8102 10mt, 8102 20mt, 8103 14mt</t>
        </is>
      </c>
      <c r="L21" s="10" t="n">
        <v>46038</v>
      </c>
      <c r="M21" s="9" t="n">
        <v>26690</v>
      </c>
      <c r="N21" s="9" t="n">
        <v>17234.5</v>
      </c>
      <c r="O21" s="9" t="n">
        <v>17236.2</v>
      </c>
      <c r="P21" s="9" t="n">
        <v>-1.700000000000728</v>
      </c>
      <c r="Q21" s="9" t="n">
        <v>14075.40000000001</v>
      </c>
      <c r="U21" s="10" t="n">
        <v>46038</v>
      </c>
      <c r="V21" s="9" t="n">
        <v>30140</v>
      </c>
      <c r="W21" s="9" t="n">
        <v>3130</v>
      </c>
      <c r="X21" s="9" t="n">
        <v>3132.8</v>
      </c>
      <c r="Y21" s="9" t="n">
        <v>-2.800000000000182</v>
      </c>
      <c r="Z21" s="9" t="n">
        <v>53562.39999999998</v>
      </c>
      <c r="AD21" s="10" t="n">
        <v>46038</v>
      </c>
      <c r="AF21" s="9" t="n">
        <v>2280</v>
      </c>
      <c r="AG21" s="9" t="n">
        <v>2280.7</v>
      </c>
      <c r="AH21" s="9" t="n">
        <v>-0.6999999999998181</v>
      </c>
      <c r="AI21" s="9" t="n">
        <v>23264.90000000001</v>
      </c>
      <c r="AM21" s="10" t="n">
        <v>46038</v>
      </c>
      <c r="AO21" s="9" t="n">
        <v>0</v>
      </c>
      <c r="AQ21" s="9" t="n">
        <v>0</v>
      </c>
      <c r="AR21" s="9" t="n">
        <v>0</v>
      </c>
      <c r="AV21" s="10" t="n">
        <v>46038</v>
      </c>
      <c r="AX21" s="9" t="n">
        <v>1280</v>
      </c>
      <c r="AY21" s="9" t="n">
        <v>1280.8</v>
      </c>
      <c r="AZ21" s="9" t="n">
        <v>-0.7999999999999545</v>
      </c>
      <c r="BA21" s="9" t="n">
        <v>13875.09999999999</v>
      </c>
      <c r="BE21" s="10" t="n">
        <v>46038</v>
      </c>
      <c r="BG21" s="9" t="n">
        <v>1280</v>
      </c>
      <c r="BH21" s="9" t="n">
        <v>1282.4</v>
      </c>
      <c r="BI21" s="9" t="n">
        <v>-2.400000000000091</v>
      </c>
      <c r="BJ21" s="9" t="n">
        <v>10743.40000000001</v>
      </c>
      <c r="BN21" s="10" t="n">
        <v>46038</v>
      </c>
      <c r="BO21" s="9" t="n">
        <v>1069.9</v>
      </c>
      <c r="BP21" s="9" t="n">
        <v>1070</v>
      </c>
      <c r="BQ21" s="9" t="n">
        <v>1069.9</v>
      </c>
      <c r="BR21" s="9" t="n">
        <v>0.09999999999990905</v>
      </c>
      <c r="BS21" s="9" t="n">
        <v>0</v>
      </c>
      <c r="BW21" s="10" t="n">
        <v>46038</v>
      </c>
      <c r="BY21" s="9" t="n">
        <v>30</v>
      </c>
      <c r="BZ21" s="9" t="n">
        <v>75</v>
      </c>
      <c r="CA21" s="9" t="n">
        <v>-45</v>
      </c>
      <c r="CB21" s="9" t="n">
        <v>3386.5</v>
      </c>
      <c r="CF21" s="10" t="n">
        <v>46038</v>
      </c>
      <c r="CG21" s="9" t="n">
        <v>295</v>
      </c>
      <c r="CH21" s="9" t="n">
        <v>118</v>
      </c>
      <c r="CI21" s="9" t="n">
        <v>295</v>
      </c>
      <c r="CJ21" s="9" t="n">
        <v>-177</v>
      </c>
      <c r="CK21" s="9" t="n">
        <v>0</v>
      </c>
      <c r="CO21" s="10" t="n">
        <v>46038</v>
      </c>
      <c r="CQ21" s="9" t="n">
        <v>0</v>
      </c>
      <c r="CS21" s="9" t="n">
        <v>0</v>
      </c>
      <c r="CT21" s="9" t="n">
        <v>0</v>
      </c>
      <c r="CX21" s="10" t="n">
        <v>46038</v>
      </c>
      <c r="CZ21" s="9" t="n">
        <v>0</v>
      </c>
      <c r="DB21" s="9" t="n">
        <v>0</v>
      </c>
      <c r="DC21" s="9" t="n">
        <v>0</v>
      </c>
      <c r="DG21" s="10" t="n">
        <v>46038</v>
      </c>
      <c r="DI21" s="9" t="n">
        <v>490</v>
      </c>
      <c r="DJ21" s="9" t="n">
        <v>489.2</v>
      </c>
      <c r="DK21" s="9" t="n">
        <v>0.8000000000000114</v>
      </c>
      <c r="DL21" s="9" t="n">
        <v>24902.4</v>
      </c>
      <c r="DP21" s="10" t="n">
        <v>46038</v>
      </c>
      <c r="DR21" s="9" t="n">
        <v>0</v>
      </c>
      <c r="DT21" s="9" t="n">
        <v>0</v>
      </c>
      <c r="DU21" s="9" t="n">
        <v>0</v>
      </c>
      <c r="DY21" s="10" t="n">
        <v>46038</v>
      </c>
      <c r="EA21" s="9" t="n">
        <v>0</v>
      </c>
      <c r="EC21" s="9" t="n">
        <v>0</v>
      </c>
      <c r="ED21" s="9" t="n">
        <v>0</v>
      </c>
      <c r="EH21" s="10" t="n">
        <v>46038</v>
      </c>
      <c r="EJ21" s="9" t="n">
        <v>0</v>
      </c>
      <c r="EL21" s="9" t="n">
        <v>0</v>
      </c>
      <c r="EM21" s="9" t="n">
        <v>0</v>
      </c>
      <c r="EQ21" s="10" t="n">
        <v>46038</v>
      </c>
      <c r="ES21" s="9" t="n">
        <v>0</v>
      </c>
      <c r="EU21" s="9" t="n">
        <v>0</v>
      </c>
      <c r="EV21" s="9" t="n">
        <v>0</v>
      </c>
      <c r="EZ21" s="10" t="n">
        <v>46038</v>
      </c>
      <c r="FB21" s="9" t="n">
        <v>0</v>
      </c>
      <c r="FD21" s="9" t="n">
        <v>0</v>
      </c>
      <c r="FE21" s="9" t="n">
        <v>0</v>
      </c>
      <c r="FI21" s="10" t="n">
        <v>46038</v>
      </c>
      <c r="FK21" s="9" t="n">
        <v>0</v>
      </c>
      <c r="FM21" s="9" t="n">
        <v>0</v>
      </c>
      <c r="FN21" s="9" t="n">
        <v>0</v>
      </c>
      <c r="FR21" s="10" t="n">
        <v>46038</v>
      </c>
      <c r="FT21" s="9" t="n">
        <v>0</v>
      </c>
      <c r="FV21" s="9" t="n">
        <v>0</v>
      </c>
      <c r="FW21" s="9" t="n">
        <v>3540</v>
      </c>
      <c r="GA21" s="10" t="n">
        <v>46038</v>
      </c>
      <c r="GC21" s="9" t="n">
        <v>0</v>
      </c>
      <c r="GE21" s="9" t="n">
        <v>0</v>
      </c>
      <c r="GF21" s="9" t="n">
        <v>1960</v>
      </c>
      <c r="GJ21" s="10" t="n">
        <v>46038</v>
      </c>
      <c r="GL21" s="9" t="n">
        <v>0</v>
      </c>
      <c r="GM21" s="9" t="n">
        <v>1200</v>
      </c>
      <c r="GN21" s="9" t="n">
        <v>-1200</v>
      </c>
      <c r="GO21" s="9" t="n">
        <v>6160</v>
      </c>
      <c r="GP21" s="9" t="n">
        <v>60</v>
      </c>
      <c r="GQ21" s="9" t="inlineStr">
        <is>
          <t>bags</t>
        </is>
      </c>
      <c r="GS21" s="10" t="n">
        <v>46038</v>
      </c>
      <c r="GU21" s="9" t="n">
        <v>0</v>
      </c>
      <c r="GW21" s="9" t="n">
        <v>0</v>
      </c>
      <c r="GX21" s="9" t="n">
        <v>0</v>
      </c>
      <c r="HB21" s="10" t="n">
        <v>46038</v>
      </c>
      <c r="HD21" s="9" t="n">
        <v>0</v>
      </c>
      <c r="HF21" s="9" t="n">
        <v>0</v>
      </c>
      <c r="HG21" s="9" t="n">
        <v>0</v>
      </c>
      <c r="HK21" s="10" t="n">
        <v>46038</v>
      </c>
      <c r="HM21" s="9" t="n">
        <v>0</v>
      </c>
      <c r="HO21" s="9" t="n">
        <v>0</v>
      </c>
      <c r="HP21" s="9" t="n">
        <v>0</v>
      </c>
      <c r="HU21" s="10" t="n">
        <v>46038</v>
      </c>
      <c r="HW21" s="9" t="n">
        <v>400</v>
      </c>
      <c r="HY21" s="9" t="n">
        <v>400</v>
      </c>
      <c r="HZ21" s="9" t="n">
        <v>2800</v>
      </c>
      <c r="ID21" s="10" t="n">
        <v>46038</v>
      </c>
      <c r="IF21" s="9" t="n">
        <v>0</v>
      </c>
      <c r="IH21" s="9" t="n">
        <v>0</v>
      </c>
      <c r="II21" s="9" t="n">
        <v>5100</v>
      </c>
      <c r="IM21" s="10" t="n">
        <v>46038</v>
      </c>
      <c r="IO21" s="9" t="n">
        <v>600</v>
      </c>
      <c r="IP21" s="9" t="n">
        <v>1200</v>
      </c>
      <c r="IQ21" s="9" t="n">
        <v>-600</v>
      </c>
      <c r="IR21" s="9" t="n">
        <v>15040</v>
      </c>
      <c r="IS21" s="9" t="n">
        <v>60</v>
      </c>
      <c r="IT21" s="9" t="inlineStr">
        <is>
          <t>bags</t>
        </is>
      </c>
      <c r="IV21" s="10" t="n">
        <v>46038</v>
      </c>
      <c r="IX21" s="9" t="n">
        <v>280</v>
      </c>
      <c r="IZ21" s="9" t="n">
        <v>280</v>
      </c>
      <c r="JA21" s="9" t="n">
        <v>5120</v>
      </c>
      <c r="JE21" s="10" t="n">
        <v>46038</v>
      </c>
      <c r="JG21" s="9" t="n">
        <v>0</v>
      </c>
      <c r="JI21" s="9" t="n">
        <v>0</v>
      </c>
      <c r="JJ21" s="9" t="n">
        <v>6800</v>
      </c>
      <c r="JN21" s="10" t="n">
        <v>46038</v>
      </c>
      <c r="JP21" s="9" t="n">
        <v>0</v>
      </c>
      <c r="JR21" s="9" t="n">
        <v>0</v>
      </c>
      <c r="JS21" s="9" t="n">
        <v>5400</v>
      </c>
      <c r="JW21" s="10" t="n">
        <v>46038</v>
      </c>
      <c r="JY21" s="9" t="n">
        <v>0</v>
      </c>
      <c r="KA21" s="9" t="n">
        <v>0</v>
      </c>
      <c r="KB21" s="9" t="n">
        <v>0</v>
      </c>
      <c r="KF21" s="10" t="n">
        <v>46038</v>
      </c>
      <c r="KH21" s="9" t="n">
        <v>0</v>
      </c>
      <c r="KJ21" s="9" t="n">
        <v>0</v>
      </c>
      <c r="KK21" s="9" t="n">
        <v>0</v>
      </c>
      <c r="KO21" s="10" t="n">
        <v>46038</v>
      </c>
      <c r="KQ21" s="9" t="n">
        <v>0</v>
      </c>
      <c r="KS21" s="9" t="n">
        <v>0</v>
      </c>
      <c r="KT21" s="9" t="n">
        <v>0</v>
      </c>
      <c r="KX21" s="10" t="n">
        <v>46038</v>
      </c>
      <c r="KZ21" s="9" t="n">
        <v>0</v>
      </c>
      <c r="LB21" s="9" t="n">
        <v>0</v>
      </c>
      <c r="LC21" s="9" t="n">
        <v>0</v>
      </c>
      <c r="LG21" s="10" t="n">
        <v>46038</v>
      </c>
      <c r="LI21" s="9" t="n">
        <v>0</v>
      </c>
      <c r="LK21" s="9" t="n">
        <v>0</v>
      </c>
      <c r="LL21" s="9" t="n">
        <v>0</v>
      </c>
      <c r="LP21" s="10" t="n">
        <v>46038</v>
      </c>
      <c r="LR21" s="9" t="n">
        <v>0</v>
      </c>
      <c r="LT21" s="9" t="n">
        <v>0</v>
      </c>
      <c r="LU21" s="9" t="n">
        <v>0</v>
      </c>
      <c r="LY21" s="10" t="n">
        <v>46038</v>
      </c>
      <c r="MA21" s="9" t="n">
        <v>0</v>
      </c>
      <c r="MC21" s="9" t="n">
        <v>0</v>
      </c>
      <c r="MD21" s="9" t="n">
        <v>0</v>
      </c>
      <c r="MH21" s="10" t="n">
        <v>46038</v>
      </c>
      <c r="MJ21" s="9" t="n">
        <v>0</v>
      </c>
      <c r="ML21" s="9" t="n">
        <v>0</v>
      </c>
      <c r="MM21" s="9" t="n">
        <v>0</v>
      </c>
      <c r="MQ21" s="10" t="n">
        <v>46038</v>
      </c>
      <c r="MS21" s="9" t="n">
        <v>25</v>
      </c>
      <c r="MT21" s="9" t="n">
        <v>85</v>
      </c>
      <c r="MU21" s="9" t="n">
        <v>-60</v>
      </c>
      <c r="MV21" s="9" t="n">
        <v>1196</v>
      </c>
      <c r="MZ21" s="10" t="n">
        <v>46038</v>
      </c>
      <c r="NA21" s="9" t="n">
        <v>330</v>
      </c>
      <c r="NB21" s="9" t="n">
        <v>192</v>
      </c>
      <c r="NC21" s="9" t="n">
        <v>330</v>
      </c>
      <c r="ND21" s="9" t="n">
        <v>-138</v>
      </c>
      <c r="NE21" s="9" t="n">
        <v>0</v>
      </c>
      <c r="NI21" s="10" t="n">
        <v>46038</v>
      </c>
      <c r="NK21" s="9" t="n">
        <v>0</v>
      </c>
      <c r="NM21" s="9" t="n">
        <v>0</v>
      </c>
      <c r="NN21" s="9" t="n">
        <v>0</v>
      </c>
      <c r="NR21" s="10" t="n">
        <v>46038</v>
      </c>
      <c r="NT21" s="9" t="n">
        <v>0</v>
      </c>
      <c r="NV21" s="9" t="n">
        <v>0</v>
      </c>
      <c r="NW21" s="9" t="n">
        <v>0</v>
      </c>
      <c r="OA21" s="10" t="n">
        <v>46038</v>
      </c>
      <c r="OC21" s="9" t="n">
        <v>20</v>
      </c>
      <c r="OE21" s="9" t="n">
        <v>20</v>
      </c>
      <c r="OF21" s="9" t="n">
        <v>1680.5</v>
      </c>
      <c r="OJ21" s="10" t="n">
        <v>46038</v>
      </c>
      <c r="OL21" s="9" t="n">
        <v>0</v>
      </c>
      <c r="ON21" s="9" t="n">
        <v>0</v>
      </c>
      <c r="OO21" s="9" t="n">
        <v>0</v>
      </c>
      <c r="OS21" s="10" t="n">
        <v>46038</v>
      </c>
      <c r="OU21" s="9" t="n">
        <v>0</v>
      </c>
      <c r="OW21" s="9" t="n">
        <v>0</v>
      </c>
      <c r="OX21" s="9" t="n">
        <v>67</v>
      </c>
      <c r="PB21" s="10" t="n">
        <v>46038</v>
      </c>
      <c r="PC21" s="9" t="n">
        <v>110</v>
      </c>
      <c r="PD21" s="9" t="n">
        <v>0</v>
      </c>
      <c r="PE21" s="9" t="n">
        <v>110</v>
      </c>
      <c r="PF21" s="9" t="n">
        <v>-110</v>
      </c>
      <c r="PG21" s="9" t="n">
        <v>0</v>
      </c>
      <c r="PK21" s="10" t="n">
        <v>46038</v>
      </c>
      <c r="PM21" s="9" t="n">
        <v>0</v>
      </c>
      <c r="PO21" s="9" t="n">
        <v>0</v>
      </c>
      <c r="PP21" s="9" t="n">
        <v>160</v>
      </c>
      <c r="PT21" s="10" t="n">
        <v>46038</v>
      </c>
      <c r="PV21" s="9" t="n">
        <v>0</v>
      </c>
      <c r="PX21" s="9" t="n">
        <v>0</v>
      </c>
      <c r="PY21" s="9" t="n">
        <v>13.96000000000004</v>
      </c>
      <c r="QC21" s="10" t="n">
        <v>46038</v>
      </c>
      <c r="QE21" s="9" t="n">
        <v>0</v>
      </c>
      <c r="QG21" s="9" t="n">
        <v>0</v>
      </c>
      <c r="QH21" s="9" t="n">
        <v>0</v>
      </c>
      <c r="QL21" s="10" t="n">
        <v>46038</v>
      </c>
      <c r="QN21" s="9" t="n">
        <v>0</v>
      </c>
      <c r="QP21" s="9" t="n">
        <v>0</v>
      </c>
      <c r="QQ21" s="9" t="n">
        <v>0</v>
      </c>
      <c r="QU21" s="10" t="n">
        <v>46038</v>
      </c>
      <c r="QW21" s="9" t="n">
        <v>0</v>
      </c>
      <c r="QY21" s="9" t="n">
        <v>0</v>
      </c>
      <c r="QZ21" s="9" t="n">
        <v>207.6</v>
      </c>
      <c r="RD21" s="10" t="n">
        <v>46038</v>
      </c>
      <c r="RF21" s="9" t="n">
        <v>0</v>
      </c>
      <c r="RH21" s="9" t="n">
        <v>0</v>
      </c>
      <c r="RI21" s="9" t="n">
        <v>201.8</v>
      </c>
      <c r="RM21" s="10" t="n">
        <v>46038</v>
      </c>
      <c r="RO21" s="9" t="n">
        <v>0</v>
      </c>
      <c r="RQ21" s="9" t="n">
        <v>0</v>
      </c>
      <c r="RR21" s="9" t="n">
        <v>22.72</v>
      </c>
      <c r="RV21" s="10" t="n">
        <v>46038</v>
      </c>
      <c r="RX21" s="9" t="n">
        <v>0</v>
      </c>
      <c r="RZ21" s="9" t="n">
        <v>0</v>
      </c>
      <c r="SA21" s="9" t="n">
        <v>0</v>
      </c>
      <c r="SE21" s="10" t="n">
        <v>46038</v>
      </c>
      <c r="SG21" s="9" t="n">
        <v>0</v>
      </c>
      <c r="SI21" s="9" t="n">
        <v>0</v>
      </c>
      <c r="SJ21" s="9" t="n">
        <v>0</v>
      </c>
      <c r="SN21" s="10" t="n">
        <v>46038</v>
      </c>
      <c r="SP21" s="9" t="n">
        <v>0</v>
      </c>
      <c r="SR21" s="9" t="n">
        <v>0</v>
      </c>
      <c r="SS21" s="9" t="n">
        <v>0</v>
      </c>
      <c r="SW21" s="10" t="n">
        <v>46038</v>
      </c>
      <c r="SY21" s="9" t="n">
        <v>0</v>
      </c>
      <c r="TA21" s="9" t="n">
        <v>0</v>
      </c>
      <c r="TB21" s="9" t="n">
        <v>0</v>
      </c>
      <c r="TF21" s="10" t="n">
        <v>46038</v>
      </c>
      <c r="TH21" s="9" t="n">
        <v>0</v>
      </c>
      <c r="TJ21" s="9" t="n">
        <v>0</v>
      </c>
      <c r="TK21" s="9" t="n">
        <v>0</v>
      </c>
      <c r="TO21" s="10" t="n">
        <v>46038</v>
      </c>
      <c r="TQ21" s="9" t="n">
        <v>0</v>
      </c>
      <c r="TS21" s="9" t="n">
        <v>0</v>
      </c>
      <c r="TT21" s="9" t="n">
        <v>0</v>
      </c>
      <c r="TX21" s="10" t="n">
        <v>46038</v>
      </c>
      <c r="TZ21" s="9" t="n">
        <v>0</v>
      </c>
      <c r="UB21" s="9" t="n">
        <v>0</v>
      </c>
      <c r="UC21" s="9" t="n">
        <v>0</v>
      </c>
      <c r="UG21" s="10" t="n">
        <v>46038</v>
      </c>
      <c r="UI21" s="9" t="n">
        <v>0</v>
      </c>
      <c r="UK21" s="9" t="n">
        <v>0</v>
      </c>
      <c r="UL21" s="9" t="n">
        <v>0</v>
      </c>
      <c r="UP21" s="10" t="n">
        <v>46038</v>
      </c>
      <c r="UR21" s="9" t="n">
        <v>0</v>
      </c>
      <c r="UT21" s="9" t="n">
        <v>0</v>
      </c>
      <c r="UU21" s="9" t="n">
        <v>0</v>
      </c>
      <c r="UY21" s="10" t="n">
        <v>46038</v>
      </c>
      <c r="VA21" s="9" t="n">
        <v>0</v>
      </c>
      <c r="VC21" s="9" t="n">
        <v>0</v>
      </c>
      <c r="VD21" s="9" t="n">
        <v>-319.6</v>
      </c>
      <c r="VH21" s="10" t="n">
        <v>46038</v>
      </c>
      <c r="VJ21" s="9" t="n">
        <v>0</v>
      </c>
      <c r="VL21" s="9" t="n">
        <v>0</v>
      </c>
      <c r="VM21" s="9" t="n">
        <v>0</v>
      </c>
      <c r="VQ21" s="10" t="n">
        <v>46038</v>
      </c>
      <c r="VS21" s="9" t="n">
        <v>0</v>
      </c>
      <c r="VU21" s="9" t="n">
        <v>0</v>
      </c>
      <c r="VV21" s="9" t="n">
        <v>0</v>
      </c>
      <c r="VZ21" s="10" t="n">
        <v>46038</v>
      </c>
      <c r="WB21" s="9" t="n">
        <v>0</v>
      </c>
      <c r="WD21" s="9" t="n">
        <v>0</v>
      </c>
      <c r="WE21" s="9" t="n">
        <v>0</v>
      </c>
      <c r="WI21" s="10" t="n">
        <v>46038</v>
      </c>
      <c r="WK21" s="9" t="n">
        <v>0</v>
      </c>
      <c r="WM21" s="9" t="n">
        <v>0</v>
      </c>
      <c r="WN21" s="9" t="n">
        <v>5877</v>
      </c>
      <c r="WR21" s="10" t="n">
        <v>46038</v>
      </c>
      <c r="WT21" s="9" t="n">
        <v>0</v>
      </c>
      <c r="WV21" s="9" t="n">
        <v>0</v>
      </c>
      <c r="WW21" s="9" t="n">
        <v>5267</v>
      </c>
      <c r="XA21" s="10" t="n">
        <v>46038</v>
      </c>
      <c r="XC21" s="9" t="n">
        <v>0</v>
      </c>
      <c r="XE21" s="9" t="n">
        <v>0</v>
      </c>
      <c r="XF21" s="9" t="n">
        <v>118</v>
      </c>
      <c r="XJ21" s="10" t="n">
        <v>46038</v>
      </c>
      <c r="XL21" s="9" t="n">
        <v>0</v>
      </c>
      <c r="XN21" s="9" t="n">
        <v>0</v>
      </c>
      <c r="XO21" s="9" t="n">
        <v>6126</v>
      </c>
      <c r="XS21" s="10" t="n">
        <v>46038</v>
      </c>
      <c r="XU21" s="9" t="n">
        <v>0</v>
      </c>
      <c r="XW21" s="9" t="n">
        <v>0</v>
      </c>
      <c r="XX21" s="9" t="n">
        <v>1901</v>
      </c>
      <c r="YB21" s="10" t="n">
        <v>46038</v>
      </c>
      <c r="YD21" s="9" t="n">
        <v>0</v>
      </c>
      <c r="YF21" s="9" t="n">
        <v>0</v>
      </c>
      <c r="YG21" s="9" t="n">
        <v>3494</v>
      </c>
      <c r="YK21" s="10" t="n">
        <v>46038</v>
      </c>
      <c r="YM21" s="9" t="n">
        <v>0</v>
      </c>
      <c r="YO21" s="9" t="n">
        <v>0</v>
      </c>
      <c r="YP21" s="9" t="n">
        <v>0</v>
      </c>
      <c r="YT21" s="10" t="n">
        <v>46038</v>
      </c>
      <c r="YV21" s="9" t="n">
        <v>0</v>
      </c>
      <c r="YX21" s="9" t="n">
        <v>0</v>
      </c>
      <c r="YY21" s="9" t="n">
        <v>0</v>
      </c>
      <c r="ZC21" s="10" t="n">
        <v>46038</v>
      </c>
      <c r="ZE21" s="9" t="n">
        <v>0</v>
      </c>
      <c r="ZG21" s="9" t="n">
        <v>0</v>
      </c>
      <c r="ZH21" s="9" t="n">
        <v>0</v>
      </c>
      <c r="ZL21" s="10" t="n">
        <v>46038</v>
      </c>
      <c r="ZN21" s="9" t="n">
        <v>0</v>
      </c>
      <c r="ZP21" s="9" t="n">
        <v>0</v>
      </c>
      <c r="ZQ21" s="9" t="n">
        <v>0</v>
      </c>
      <c r="ZU21" s="10" t="n">
        <v>46038</v>
      </c>
      <c r="ZW21" s="9" t="n">
        <v>0</v>
      </c>
      <c r="ZY21" s="9" t="n">
        <v>0</v>
      </c>
      <c r="ZZ21" s="9" t="n">
        <v>0</v>
      </c>
      <c r="AAD21" s="10" t="n">
        <v>46038</v>
      </c>
      <c r="AAF21" s="9" t="n">
        <v>0</v>
      </c>
      <c r="AAH21" s="9" t="n">
        <v>0</v>
      </c>
      <c r="AAI21" s="9" t="n">
        <v>0</v>
      </c>
      <c r="AAM21" s="10" t="n">
        <v>46038</v>
      </c>
      <c r="AAO21" s="9" t="n">
        <v>0</v>
      </c>
      <c r="AAQ21" s="9" t="n">
        <v>0</v>
      </c>
      <c r="AAR21" s="9" t="n">
        <v>0</v>
      </c>
      <c r="AAV21" s="10" t="n">
        <v>46038</v>
      </c>
      <c r="AAX21" s="9" t="n">
        <v>0</v>
      </c>
      <c r="AAZ21" s="9" t="n">
        <v>0</v>
      </c>
      <c r="ABA21" s="9" t="n">
        <v>0</v>
      </c>
      <c r="ABE21" s="10" t="n">
        <v>46038</v>
      </c>
      <c r="ABG21" s="9" t="n">
        <v>0</v>
      </c>
      <c r="ABI21" s="9" t="n">
        <v>0</v>
      </c>
      <c r="ABJ21" s="9" t="n">
        <v>0</v>
      </c>
    </row>
    <row r="22">
      <c r="B22" s="9" t="n">
        <v>26</v>
      </c>
      <c r="C22" s="10" t="n">
        <v>46039</v>
      </c>
      <c r="D22" s="9" t="n">
        <v>11200</v>
      </c>
      <c r="E22" s="9" t="n">
        <v>13975</v>
      </c>
      <c r="F22" s="9" t="n">
        <v>13971</v>
      </c>
      <c r="G22" s="9" t="n">
        <v>4</v>
      </c>
      <c r="H22" s="9" t="n">
        <v>33783.00000000001</v>
      </c>
      <c r="I22" s="9" t="inlineStr">
        <is>
          <t>8102 26mt</t>
        </is>
      </c>
      <c r="L22" s="10" t="n">
        <v>46039</v>
      </c>
      <c r="M22" s="9" t="n">
        <v>28860</v>
      </c>
      <c r="N22" s="9" t="n">
        <v>7253.999999999998</v>
      </c>
      <c r="O22" s="9" t="n">
        <v>7252</v>
      </c>
      <c r="P22" s="9" t="n">
        <v>1.999999999998181</v>
      </c>
      <c r="Q22" s="9" t="n">
        <v>35683.40000000001</v>
      </c>
      <c r="U22" s="10" t="n">
        <v>46039</v>
      </c>
      <c r="W22" s="9" t="n">
        <v>1300</v>
      </c>
      <c r="X22" s="9" t="n">
        <v>1299.5</v>
      </c>
      <c r="Y22" s="9" t="n">
        <v>0.5</v>
      </c>
      <c r="Z22" s="9" t="n">
        <v>52262.89999999998</v>
      </c>
      <c r="AD22" s="10" t="n">
        <v>46039</v>
      </c>
      <c r="AF22" s="9" t="n">
        <v>1300</v>
      </c>
      <c r="AG22" s="9" t="n">
        <v>1300.9</v>
      </c>
      <c r="AH22" s="9" t="n">
        <v>-0.9000000000000909</v>
      </c>
      <c r="AI22" s="9" t="n">
        <v>21964</v>
      </c>
      <c r="AM22" s="10" t="n">
        <v>46039</v>
      </c>
      <c r="AO22" s="9" t="n">
        <v>0</v>
      </c>
      <c r="AQ22" s="9" t="n">
        <v>0</v>
      </c>
      <c r="AR22" s="9" t="n">
        <v>0</v>
      </c>
      <c r="AV22" s="10" t="n">
        <v>46039</v>
      </c>
      <c r="AX22" s="9" t="n">
        <v>520</v>
      </c>
      <c r="AY22" s="9" t="n">
        <v>521.3</v>
      </c>
      <c r="AZ22" s="9" t="n">
        <v>-1.299999999999955</v>
      </c>
      <c r="BA22" s="9" t="n">
        <v>13353.79999999999</v>
      </c>
      <c r="BE22" s="10" t="n">
        <v>46039</v>
      </c>
      <c r="BF22" s="9" t="n">
        <v>22180</v>
      </c>
      <c r="BG22" s="9" t="n">
        <v>520</v>
      </c>
      <c r="BH22" s="9" t="n">
        <v>521</v>
      </c>
      <c r="BI22" s="9" t="n">
        <v>-1</v>
      </c>
      <c r="BJ22" s="9" t="n">
        <v>32402.40000000001</v>
      </c>
      <c r="BN22" s="10" t="n">
        <v>46039</v>
      </c>
      <c r="BO22" s="9" t="n">
        <v>520</v>
      </c>
      <c r="BP22" s="9" t="n">
        <v>520</v>
      </c>
      <c r="BQ22" s="9" t="n">
        <v>520</v>
      </c>
      <c r="BR22" s="9" t="n">
        <v>0</v>
      </c>
      <c r="BS22" s="9" t="n">
        <v>0</v>
      </c>
      <c r="BW22" s="10" t="n">
        <v>46039</v>
      </c>
      <c r="BY22" s="9" t="n">
        <v>0</v>
      </c>
      <c r="CA22" s="9" t="n">
        <v>0</v>
      </c>
      <c r="CB22" s="9" t="n">
        <v>3386.5</v>
      </c>
      <c r="CF22" s="10" t="n">
        <v>46039</v>
      </c>
      <c r="CH22" s="9" t="n">
        <v>0</v>
      </c>
      <c r="CJ22" s="9" t="n">
        <v>0</v>
      </c>
      <c r="CK22" s="9" t="n">
        <v>0</v>
      </c>
      <c r="CO22" s="10" t="n">
        <v>46039</v>
      </c>
      <c r="CQ22" s="9" t="n">
        <v>0</v>
      </c>
      <c r="CS22" s="9" t="n">
        <v>0</v>
      </c>
      <c r="CT22" s="9" t="n">
        <v>0</v>
      </c>
      <c r="CX22" s="10" t="n">
        <v>46039</v>
      </c>
      <c r="CZ22" s="9" t="n">
        <v>0</v>
      </c>
      <c r="DB22" s="9" t="n">
        <v>0</v>
      </c>
      <c r="DC22" s="9" t="n">
        <v>0</v>
      </c>
      <c r="DG22" s="10" t="n">
        <v>46039</v>
      </c>
      <c r="DI22" s="9" t="n">
        <v>0</v>
      </c>
      <c r="DK22" s="9" t="n">
        <v>0</v>
      </c>
      <c r="DL22" s="9" t="n">
        <v>24902.4</v>
      </c>
      <c r="DP22" s="10" t="n">
        <v>46039</v>
      </c>
      <c r="DR22" s="9" t="n">
        <v>0</v>
      </c>
      <c r="DT22" s="9" t="n">
        <v>0</v>
      </c>
      <c r="DU22" s="9" t="n">
        <v>0</v>
      </c>
      <c r="DY22" s="10" t="n">
        <v>46039</v>
      </c>
      <c r="EA22" s="9" t="n">
        <v>0</v>
      </c>
      <c r="EC22" s="9" t="n">
        <v>0</v>
      </c>
      <c r="ED22" s="9" t="n">
        <v>0</v>
      </c>
      <c r="EH22" s="10" t="n">
        <v>46039</v>
      </c>
      <c r="EJ22" s="9" t="n">
        <v>0</v>
      </c>
      <c r="EL22" s="9" t="n">
        <v>0</v>
      </c>
      <c r="EM22" s="9" t="n">
        <v>0</v>
      </c>
      <c r="EQ22" s="10" t="n">
        <v>46039</v>
      </c>
      <c r="ES22" s="9" t="n">
        <v>0</v>
      </c>
      <c r="EU22" s="9" t="n">
        <v>0</v>
      </c>
      <c r="EV22" s="9" t="n">
        <v>0</v>
      </c>
      <c r="EZ22" s="10" t="n">
        <v>46039</v>
      </c>
      <c r="FB22" s="9" t="n">
        <v>0</v>
      </c>
      <c r="FD22" s="9" t="n">
        <v>0</v>
      </c>
      <c r="FE22" s="9" t="n">
        <v>0</v>
      </c>
      <c r="FI22" s="10" t="n">
        <v>46039</v>
      </c>
      <c r="FK22" s="9" t="n">
        <v>0</v>
      </c>
      <c r="FM22" s="9" t="n">
        <v>0</v>
      </c>
      <c r="FN22" s="9" t="n">
        <v>0</v>
      </c>
      <c r="FR22" s="10" t="n">
        <v>46039</v>
      </c>
      <c r="FT22" s="9" t="n">
        <v>0</v>
      </c>
      <c r="FV22" s="9" t="n">
        <v>0</v>
      </c>
      <c r="FW22" s="9" t="n">
        <v>3540</v>
      </c>
      <c r="GA22" s="10" t="n">
        <v>46039</v>
      </c>
      <c r="GC22" s="9" t="n">
        <v>0</v>
      </c>
      <c r="GE22" s="9" t="n">
        <v>0</v>
      </c>
      <c r="GF22" s="9" t="n">
        <v>1960</v>
      </c>
      <c r="GJ22" s="10" t="n">
        <v>46039</v>
      </c>
      <c r="GL22" s="9" t="n">
        <v>0</v>
      </c>
      <c r="GN22" s="9" t="n">
        <v>0</v>
      </c>
      <c r="GO22" s="9" t="n">
        <v>6160</v>
      </c>
      <c r="GS22" s="10" t="n">
        <v>46039</v>
      </c>
      <c r="GU22" s="9" t="n">
        <v>0</v>
      </c>
      <c r="GW22" s="9" t="n">
        <v>0</v>
      </c>
      <c r="GX22" s="9" t="n">
        <v>0</v>
      </c>
      <c r="HB22" s="10" t="n">
        <v>46039</v>
      </c>
      <c r="HD22" s="9" t="n">
        <v>0</v>
      </c>
      <c r="HF22" s="9" t="n">
        <v>0</v>
      </c>
      <c r="HG22" s="9" t="n">
        <v>0</v>
      </c>
      <c r="HK22" s="10" t="n">
        <v>46039</v>
      </c>
      <c r="HM22" s="9" t="n">
        <v>0</v>
      </c>
      <c r="HO22" s="9" t="n">
        <v>0</v>
      </c>
      <c r="HP22" s="9" t="n">
        <v>0</v>
      </c>
      <c r="HU22" s="10" t="n">
        <v>46039</v>
      </c>
      <c r="HW22" s="9" t="n">
        <v>0</v>
      </c>
      <c r="HY22" s="9" t="n">
        <v>0</v>
      </c>
      <c r="HZ22" s="9" t="n">
        <v>2800</v>
      </c>
      <c r="ID22" s="10" t="n">
        <v>46039</v>
      </c>
      <c r="IF22" s="9" t="n">
        <v>0</v>
      </c>
      <c r="IH22" s="9" t="n">
        <v>0</v>
      </c>
      <c r="II22" s="9" t="n">
        <v>5100</v>
      </c>
      <c r="IM22" s="10" t="n">
        <v>46039</v>
      </c>
      <c r="IO22" s="9" t="n">
        <v>520</v>
      </c>
      <c r="IQ22" s="9" t="n">
        <v>520</v>
      </c>
      <c r="IR22" s="9" t="n">
        <v>15040</v>
      </c>
      <c r="IV22" s="10" t="n">
        <v>46039</v>
      </c>
      <c r="IX22" s="9" t="n">
        <v>0</v>
      </c>
      <c r="IZ22" s="9" t="n">
        <v>0</v>
      </c>
      <c r="JA22" s="9" t="n">
        <v>5120</v>
      </c>
      <c r="JE22" s="10" t="n">
        <v>46039</v>
      </c>
      <c r="JG22" s="9" t="n">
        <v>0</v>
      </c>
      <c r="JI22" s="9" t="n">
        <v>0</v>
      </c>
      <c r="JJ22" s="9" t="n">
        <v>6800</v>
      </c>
      <c r="JN22" s="10" t="n">
        <v>46039</v>
      </c>
      <c r="JP22" s="9" t="n">
        <v>0</v>
      </c>
      <c r="JR22" s="9" t="n">
        <v>0</v>
      </c>
      <c r="JS22" s="9" t="n">
        <v>5400</v>
      </c>
      <c r="JW22" s="10" t="n">
        <v>46039</v>
      </c>
      <c r="JY22" s="9" t="n">
        <v>0</v>
      </c>
      <c r="KA22" s="9" t="n">
        <v>0</v>
      </c>
      <c r="KB22" s="9" t="n">
        <v>0</v>
      </c>
      <c r="KF22" s="10" t="n">
        <v>46039</v>
      </c>
      <c r="KH22" s="9" t="n">
        <v>0</v>
      </c>
      <c r="KJ22" s="9" t="n">
        <v>0</v>
      </c>
      <c r="KK22" s="9" t="n">
        <v>0</v>
      </c>
      <c r="KO22" s="10" t="n">
        <v>46039</v>
      </c>
      <c r="KQ22" s="9" t="n">
        <v>0</v>
      </c>
      <c r="KS22" s="9" t="n">
        <v>0</v>
      </c>
      <c r="KT22" s="9" t="n">
        <v>0</v>
      </c>
      <c r="KX22" s="10" t="n">
        <v>46039</v>
      </c>
      <c r="KZ22" s="9" t="n">
        <v>0</v>
      </c>
      <c r="LB22" s="9" t="n">
        <v>0</v>
      </c>
      <c r="LC22" s="9" t="n">
        <v>0</v>
      </c>
      <c r="LG22" s="10" t="n">
        <v>46039</v>
      </c>
      <c r="LI22" s="9" t="n">
        <v>0</v>
      </c>
      <c r="LK22" s="9" t="n">
        <v>0</v>
      </c>
      <c r="LL22" s="9" t="n">
        <v>0</v>
      </c>
      <c r="LP22" s="10" t="n">
        <v>46039</v>
      </c>
      <c r="LR22" s="9" t="n">
        <v>0</v>
      </c>
      <c r="LT22" s="9" t="n">
        <v>0</v>
      </c>
      <c r="LU22" s="9" t="n">
        <v>0</v>
      </c>
      <c r="LY22" s="10" t="n">
        <v>46039</v>
      </c>
      <c r="MA22" s="9" t="n">
        <v>0</v>
      </c>
      <c r="MC22" s="9" t="n">
        <v>0</v>
      </c>
      <c r="MD22" s="9" t="n">
        <v>0</v>
      </c>
      <c r="MH22" s="10" t="n">
        <v>46039</v>
      </c>
      <c r="MJ22" s="9" t="n">
        <v>0</v>
      </c>
      <c r="ML22" s="9" t="n">
        <v>0</v>
      </c>
      <c r="MM22" s="9" t="n">
        <v>0</v>
      </c>
      <c r="MQ22" s="10" t="n">
        <v>46039</v>
      </c>
      <c r="MS22" s="9" t="n">
        <v>13</v>
      </c>
      <c r="MU22" s="9" t="n">
        <v>13</v>
      </c>
      <c r="MV22" s="9" t="n">
        <v>1196</v>
      </c>
      <c r="MZ22" s="10" t="n">
        <v>46039</v>
      </c>
      <c r="NB22" s="9" t="n">
        <v>78</v>
      </c>
      <c r="ND22" s="9" t="n">
        <v>78</v>
      </c>
      <c r="NE22" s="9" t="n">
        <v>0</v>
      </c>
      <c r="NI22" s="10" t="n">
        <v>46039</v>
      </c>
      <c r="NK22" s="9" t="n">
        <v>0</v>
      </c>
      <c r="NM22" s="9" t="n">
        <v>0</v>
      </c>
      <c r="NN22" s="9" t="n">
        <v>0</v>
      </c>
      <c r="NR22" s="10" t="n">
        <v>46039</v>
      </c>
      <c r="NT22" s="9" t="n">
        <v>0</v>
      </c>
      <c r="NV22" s="9" t="n">
        <v>0</v>
      </c>
      <c r="NW22" s="9" t="n">
        <v>0</v>
      </c>
      <c r="OA22" s="10" t="n">
        <v>46039</v>
      </c>
      <c r="OC22" s="9" t="n">
        <v>0</v>
      </c>
      <c r="OE22" s="9" t="n">
        <v>0</v>
      </c>
      <c r="OF22" s="9" t="n">
        <v>1680.5</v>
      </c>
      <c r="OJ22" s="10" t="n">
        <v>46039</v>
      </c>
      <c r="OL22" s="9" t="n">
        <v>0</v>
      </c>
      <c r="ON22" s="9" t="n">
        <v>0</v>
      </c>
      <c r="OO22" s="9" t="n">
        <v>0</v>
      </c>
      <c r="OS22" s="10" t="n">
        <v>46039</v>
      </c>
      <c r="OU22" s="9" t="n">
        <v>0</v>
      </c>
      <c r="OW22" s="9" t="n">
        <v>0</v>
      </c>
      <c r="OX22" s="9" t="n">
        <v>67</v>
      </c>
      <c r="PB22" s="10" t="n">
        <v>46039</v>
      </c>
      <c r="PD22" s="9" t="n">
        <v>0</v>
      </c>
      <c r="PF22" s="9" t="n">
        <v>0</v>
      </c>
      <c r="PG22" s="9" t="n">
        <v>0</v>
      </c>
      <c r="PK22" s="10" t="n">
        <v>46039</v>
      </c>
      <c r="PM22" s="9" t="n">
        <v>0</v>
      </c>
      <c r="PO22" s="9" t="n">
        <v>0</v>
      </c>
      <c r="PP22" s="9" t="n">
        <v>160</v>
      </c>
      <c r="PT22" s="10" t="n">
        <v>46039</v>
      </c>
      <c r="PV22" s="9" t="n">
        <v>0</v>
      </c>
      <c r="PX22" s="9" t="n">
        <v>0</v>
      </c>
      <c r="PY22" s="9" t="n">
        <v>13.96000000000004</v>
      </c>
      <c r="QC22" s="10" t="n">
        <v>46039</v>
      </c>
      <c r="QE22" s="9" t="n">
        <v>0</v>
      </c>
      <c r="QG22" s="9" t="n">
        <v>0</v>
      </c>
      <c r="QH22" s="9" t="n">
        <v>0</v>
      </c>
      <c r="QL22" s="10" t="n">
        <v>46039</v>
      </c>
      <c r="QN22" s="9" t="n">
        <v>0</v>
      </c>
      <c r="QP22" s="9" t="n">
        <v>0</v>
      </c>
      <c r="QQ22" s="9" t="n">
        <v>0</v>
      </c>
      <c r="QU22" s="10" t="n">
        <v>46039</v>
      </c>
      <c r="QW22" s="9" t="n">
        <v>0</v>
      </c>
      <c r="QY22" s="9" t="n">
        <v>0</v>
      </c>
      <c r="QZ22" s="9" t="n">
        <v>207.6</v>
      </c>
      <c r="RD22" s="10" t="n">
        <v>46039</v>
      </c>
      <c r="RF22" s="9" t="n">
        <v>0</v>
      </c>
      <c r="RH22" s="9" t="n">
        <v>0</v>
      </c>
      <c r="RI22" s="9" t="n">
        <v>201.8</v>
      </c>
      <c r="RM22" s="10" t="n">
        <v>46039</v>
      </c>
      <c r="RO22" s="9" t="n">
        <v>0</v>
      </c>
      <c r="RQ22" s="9" t="n">
        <v>0</v>
      </c>
      <c r="RR22" s="9" t="n">
        <v>22.72</v>
      </c>
      <c r="RV22" s="10" t="n">
        <v>46039</v>
      </c>
      <c r="RX22" s="9" t="n">
        <v>0</v>
      </c>
      <c r="RZ22" s="9" t="n">
        <v>0</v>
      </c>
      <c r="SA22" s="9" t="n">
        <v>0</v>
      </c>
      <c r="SE22" s="10" t="n">
        <v>46039</v>
      </c>
      <c r="SG22" s="9" t="n">
        <v>0</v>
      </c>
      <c r="SI22" s="9" t="n">
        <v>0</v>
      </c>
      <c r="SJ22" s="9" t="n">
        <v>0</v>
      </c>
      <c r="SN22" s="10" t="n">
        <v>46039</v>
      </c>
      <c r="SP22" s="9" t="n">
        <v>0</v>
      </c>
      <c r="SR22" s="9" t="n">
        <v>0</v>
      </c>
      <c r="SS22" s="9" t="n">
        <v>0</v>
      </c>
      <c r="SW22" s="10" t="n">
        <v>46039</v>
      </c>
      <c r="SY22" s="9" t="n">
        <v>0</v>
      </c>
      <c r="TA22" s="9" t="n">
        <v>0</v>
      </c>
      <c r="TB22" s="9" t="n">
        <v>0</v>
      </c>
      <c r="TF22" s="10" t="n">
        <v>46039</v>
      </c>
      <c r="TH22" s="9" t="n">
        <v>0</v>
      </c>
      <c r="TJ22" s="9" t="n">
        <v>0</v>
      </c>
      <c r="TK22" s="9" t="n">
        <v>0</v>
      </c>
      <c r="TO22" s="10" t="n">
        <v>46039</v>
      </c>
      <c r="TQ22" s="9" t="n">
        <v>0</v>
      </c>
      <c r="TS22" s="9" t="n">
        <v>0</v>
      </c>
      <c r="TT22" s="9" t="n">
        <v>0</v>
      </c>
      <c r="TX22" s="10" t="n">
        <v>46039</v>
      </c>
      <c r="TZ22" s="9" t="n">
        <v>0</v>
      </c>
      <c r="UB22" s="9" t="n">
        <v>0</v>
      </c>
      <c r="UC22" s="9" t="n">
        <v>0</v>
      </c>
      <c r="UG22" s="10" t="n">
        <v>46039</v>
      </c>
      <c r="UI22" s="9" t="n">
        <v>0</v>
      </c>
      <c r="UK22" s="9" t="n">
        <v>0</v>
      </c>
      <c r="UL22" s="9" t="n">
        <v>0</v>
      </c>
      <c r="UP22" s="10" t="n">
        <v>46039</v>
      </c>
      <c r="UR22" s="9" t="n">
        <v>0</v>
      </c>
      <c r="UT22" s="9" t="n">
        <v>0</v>
      </c>
      <c r="UU22" s="9" t="n">
        <v>0</v>
      </c>
      <c r="UY22" s="10" t="n">
        <v>46039</v>
      </c>
      <c r="VA22" s="9" t="n">
        <v>0</v>
      </c>
      <c r="VC22" s="9" t="n">
        <v>0</v>
      </c>
      <c r="VD22" s="9" t="n">
        <v>-319.6</v>
      </c>
      <c r="VH22" s="10" t="n">
        <v>46039</v>
      </c>
      <c r="VJ22" s="9" t="n">
        <v>0</v>
      </c>
      <c r="VL22" s="9" t="n">
        <v>0</v>
      </c>
      <c r="VM22" s="9" t="n">
        <v>0</v>
      </c>
      <c r="VQ22" s="10" t="n">
        <v>46039</v>
      </c>
      <c r="VS22" s="9" t="n">
        <v>0</v>
      </c>
      <c r="VU22" s="9" t="n">
        <v>0</v>
      </c>
      <c r="VV22" s="9" t="n">
        <v>0</v>
      </c>
      <c r="VZ22" s="10" t="n">
        <v>46039</v>
      </c>
      <c r="WB22" s="9" t="n">
        <v>0</v>
      </c>
      <c r="WD22" s="9" t="n">
        <v>0</v>
      </c>
      <c r="WE22" s="9" t="n">
        <v>0</v>
      </c>
      <c r="WI22" s="10" t="n">
        <v>46039</v>
      </c>
      <c r="WK22" s="9" t="n">
        <v>0</v>
      </c>
      <c r="WM22" s="9" t="n">
        <v>0</v>
      </c>
      <c r="WN22" s="9" t="n">
        <v>5877</v>
      </c>
      <c r="WR22" s="10" t="n">
        <v>46039</v>
      </c>
      <c r="WT22" s="9" t="n">
        <v>0</v>
      </c>
      <c r="WV22" s="9" t="n">
        <v>0</v>
      </c>
      <c r="WW22" s="9" t="n">
        <v>5267</v>
      </c>
      <c r="XA22" s="10" t="n">
        <v>46039</v>
      </c>
      <c r="XC22" s="9" t="n">
        <v>0</v>
      </c>
      <c r="XE22" s="9" t="n">
        <v>0</v>
      </c>
      <c r="XF22" s="9" t="n">
        <v>118</v>
      </c>
      <c r="XJ22" s="10" t="n">
        <v>46039</v>
      </c>
      <c r="XL22" s="9" t="n">
        <v>0</v>
      </c>
      <c r="XM22" s="9" t="n">
        <v>274</v>
      </c>
      <c r="XN22" s="9" t="n">
        <v>-274</v>
      </c>
      <c r="XO22" s="9" t="n">
        <v>5852</v>
      </c>
      <c r="XS22" s="10" t="n">
        <v>46039</v>
      </c>
      <c r="XU22" s="9" t="n">
        <v>0</v>
      </c>
      <c r="XW22" s="9" t="n">
        <v>0</v>
      </c>
      <c r="XX22" s="9" t="n">
        <v>1901</v>
      </c>
      <c r="YB22" s="10" t="n">
        <v>46039</v>
      </c>
      <c r="YD22" s="9" t="n">
        <v>0</v>
      </c>
      <c r="YE22" s="9" t="n">
        <v>546</v>
      </c>
      <c r="YF22" s="9" t="n">
        <v>-546</v>
      </c>
      <c r="YG22" s="9" t="n">
        <v>2948</v>
      </c>
      <c r="YK22" s="10" t="n">
        <v>46039</v>
      </c>
      <c r="YM22" s="9" t="n">
        <v>0</v>
      </c>
      <c r="YO22" s="9" t="n">
        <v>0</v>
      </c>
      <c r="YP22" s="9" t="n">
        <v>0</v>
      </c>
      <c r="YT22" s="10" t="n">
        <v>46039</v>
      </c>
      <c r="YV22" s="9" t="n">
        <v>0</v>
      </c>
      <c r="YX22" s="9" t="n">
        <v>0</v>
      </c>
      <c r="YY22" s="9" t="n">
        <v>0</v>
      </c>
      <c r="ZC22" s="10" t="n">
        <v>46039</v>
      </c>
      <c r="ZE22" s="9" t="n">
        <v>0</v>
      </c>
      <c r="ZG22" s="9" t="n">
        <v>0</v>
      </c>
      <c r="ZH22" s="9" t="n">
        <v>0</v>
      </c>
      <c r="ZL22" s="10" t="n">
        <v>46039</v>
      </c>
      <c r="ZN22" s="9" t="n">
        <v>0</v>
      </c>
      <c r="ZP22" s="9" t="n">
        <v>0</v>
      </c>
      <c r="ZQ22" s="9" t="n">
        <v>0</v>
      </c>
      <c r="ZU22" s="10" t="n">
        <v>46039</v>
      </c>
      <c r="ZW22" s="9" t="n">
        <v>0</v>
      </c>
      <c r="ZY22" s="9" t="n">
        <v>0</v>
      </c>
      <c r="ZZ22" s="9" t="n">
        <v>0</v>
      </c>
      <c r="AAD22" s="10" t="n">
        <v>46039</v>
      </c>
      <c r="AAF22" s="9" t="n">
        <v>0</v>
      </c>
      <c r="AAH22" s="9" t="n">
        <v>0</v>
      </c>
      <c r="AAI22" s="9" t="n">
        <v>0</v>
      </c>
      <c r="AAM22" s="10" t="n">
        <v>46039</v>
      </c>
      <c r="AAO22" s="9" t="n">
        <v>0</v>
      </c>
      <c r="AAQ22" s="9" t="n">
        <v>0</v>
      </c>
      <c r="AAR22" s="9" t="n">
        <v>0</v>
      </c>
      <c r="AAV22" s="10" t="n">
        <v>46039</v>
      </c>
      <c r="AAX22" s="9" t="n">
        <v>0</v>
      </c>
      <c r="AAZ22" s="9" t="n">
        <v>0</v>
      </c>
      <c r="ABA22" s="9" t="n">
        <v>0</v>
      </c>
      <c r="ABE22" s="10" t="n">
        <v>46039</v>
      </c>
      <c r="ABG22" s="9" t="n">
        <v>0</v>
      </c>
      <c r="ABI22" s="9" t="n">
        <v>0</v>
      </c>
      <c r="ABJ22" s="9" t="n">
        <v>0</v>
      </c>
    </row>
    <row r="23">
      <c r="C23" s="10" t="n">
        <v>46040</v>
      </c>
      <c r="E23" s="9" t="n">
        <v>0</v>
      </c>
      <c r="G23" s="9" t="n">
        <v>0</v>
      </c>
      <c r="H23" s="9" t="n">
        <v>33783.00000000001</v>
      </c>
      <c r="L23" s="10" t="n">
        <v>46040</v>
      </c>
      <c r="N23" s="9" t="n">
        <v>0</v>
      </c>
      <c r="P23" s="9" t="n">
        <v>0</v>
      </c>
      <c r="Q23" s="9" t="n">
        <v>35683.40000000001</v>
      </c>
      <c r="U23" s="10" t="n">
        <v>46040</v>
      </c>
      <c r="W23" s="9" t="n">
        <v>0</v>
      </c>
      <c r="Y23" s="9" t="n">
        <v>0</v>
      </c>
      <c r="Z23" s="9" t="n">
        <v>52262.89999999998</v>
      </c>
      <c r="AD23" s="10" t="n">
        <v>46040</v>
      </c>
      <c r="AF23" s="9" t="n">
        <v>0</v>
      </c>
      <c r="AH23" s="9" t="n">
        <v>0</v>
      </c>
      <c r="AI23" s="9" t="n">
        <v>21964</v>
      </c>
      <c r="AM23" s="10" t="n">
        <v>46040</v>
      </c>
      <c r="AO23" s="9" t="n">
        <v>0</v>
      </c>
      <c r="AQ23" s="9" t="n">
        <v>0</v>
      </c>
      <c r="AR23" s="9" t="n">
        <v>0</v>
      </c>
      <c r="AV23" s="10" t="n">
        <v>46040</v>
      </c>
      <c r="AX23" s="9" t="n">
        <v>0</v>
      </c>
      <c r="AZ23" s="9" t="n">
        <v>0</v>
      </c>
      <c r="BA23" s="9" t="n">
        <v>13353.79999999999</v>
      </c>
      <c r="BE23" s="10" t="n">
        <v>46040</v>
      </c>
      <c r="BG23" s="9" t="n">
        <v>0</v>
      </c>
      <c r="BI23" s="9" t="n">
        <v>0</v>
      </c>
      <c r="BJ23" s="9" t="n">
        <v>32402.40000000001</v>
      </c>
      <c r="BN23" s="10" t="n">
        <v>46040</v>
      </c>
      <c r="BP23" s="9" t="n">
        <v>0</v>
      </c>
      <c r="BR23" s="9" t="n">
        <v>0</v>
      </c>
      <c r="BS23" s="9" t="n">
        <v>0</v>
      </c>
      <c r="BW23" s="10" t="n">
        <v>46040</v>
      </c>
      <c r="BY23" s="9" t="n">
        <v>0</v>
      </c>
      <c r="CA23" s="9" t="n">
        <v>0</v>
      </c>
      <c r="CB23" s="9" t="n">
        <v>3386.5</v>
      </c>
      <c r="CF23" s="10" t="n">
        <v>46040</v>
      </c>
      <c r="CH23" s="9" t="n">
        <v>0</v>
      </c>
      <c r="CJ23" s="9" t="n">
        <v>0</v>
      </c>
      <c r="CK23" s="9" t="n">
        <v>0</v>
      </c>
      <c r="CO23" s="10" t="n">
        <v>46040</v>
      </c>
      <c r="CQ23" s="9" t="n">
        <v>0</v>
      </c>
      <c r="CS23" s="9" t="n">
        <v>0</v>
      </c>
      <c r="CT23" s="9" t="n">
        <v>0</v>
      </c>
      <c r="CX23" s="10" t="n">
        <v>46040</v>
      </c>
      <c r="CZ23" s="9" t="n">
        <v>0</v>
      </c>
      <c r="DB23" s="9" t="n">
        <v>0</v>
      </c>
      <c r="DC23" s="9" t="n">
        <v>0</v>
      </c>
      <c r="DG23" s="10" t="n">
        <v>46040</v>
      </c>
      <c r="DI23" s="9" t="n">
        <v>0</v>
      </c>
      <c r="DK23" s="9" t="n">
        <v>0</v>
      </c>
      <c r="DL23" s="9" t="n">
        <v>24902.4</v>
      </c>
      <c r="DP23" s="10" t="n">
        <v>46040</v>
      </c>
      <c r="DR23" s="9" t="n">
        <v>0</v>
      </c>
      <c r="DT23" s="9" t="n">
        <v>0</v>
      </c>
      <c r="DU23" s="9" t="n">
        <v>0</v>
      </c>
      <c r="DY23" s="10" t="n">
        <v>46040</v>
      </c>
      <c r="EA23" s="9" t="n">
        <v>0</v>
      </c>
      <c r="EC23" s="9" t="n">
        <v>0</v>
      </c>
      <c r="ED23" s="9" t="n">
        <v>0</v>
      </c>
      <c r="EH23" s="10" t="n">
        <v>46040</v>
      </c>
      <c r="EJ23" s="9" t="n">
        <v>0</v>
      </c>
      <c r="EL23" s="9" t="n">
        <v>0</v>
      </c>
      <c r="EM23" s="9" t="n">
        <v>0</v>
      </c>
      <c r="EQ23" s="10" t="n">
        <v>46040</v>
      </c>
      <c r="ES23" s="9" t="n">
        <v>0</v>
      </c>
      <c r="EU23" s="9" t="n">
        <v>0</v>
      </c>
      <c r="EV23" s="9" t="n">
        <v>0</v>
      </c>
      <c r="EZ23" s="10" t="n">
        <v>46040</v>
      </c>
      <c r="FB23" s="9" t="n">
        <v>0</v>
      </c>
      <c r="FD23" s="9" t="n">
        <v>0</v>
      </c>
      <c r="FE23" s="9" t="n">
        <v>0</v>
      </c>
      <c r="FI23" s="10" t="n">
        <v>46040</v>
      </c>
      <c r="FK23" s="9" t="n">
        <v>0</v>
      </c>
      <c r="FM23" s="9" t="n">
        <v>0</v>
      </c>
      <c r="FN23" s="9" t="n">
        <v>0</v>
      </c>
      <c r="FR23" s="10" t="n">
        <v>46040</v>
      </c>
      <c r="FT23" s="9" t="n">
        <v>0</v>
      </c>
      <c r="FV23" s="9" t="n">
        <v>0</v>
      </c>
      <c r="FW23" s="9" t="n">
        <v>3540</v>
      </c>
      <c r="GA23" s="10" t="n">
        <v>46040</v>
      </c>
      <c r="GC23" s="9" t="n">
        <v>0</v>
      </c>
      <c r="GE23" s="9" t="n">
        <v>0</v>
      </c>
      <c r="GF23" s="9" t="n">
        <v>1960</v>
      </c>
      <c r="GJ23" s="10" t="n">
        <v>46040</v>
      </c>
      <c r="GL23" s="9" t="n">
        <v>0</v>
      </c>
      <c r="GN23" s="9" t="n">
        <v>0</v>
      </c>
      <c r="GO23" s="9" t="n">
        <v>6160</v>
      </c>
      <c r="GS23" s="10" t="n">
        <v>46040</v>
      </c>
      <c r="GU23" s="9" t="n">
        <v>0</v>
      </c>
      <c r="GW23" s="9" t="n">
        <v>0</v>
      </c>
      <c r="GX23" s="9" t="n">
        <v>0</v>
      </c>
      <c r="HB23" s="10" t="n">
        <v>46040</v>
      </c>
      <c r="HD23" s="9" t="n">
        <v>0</v>
      </c>
      <c r="HF23" s="9" t="n">
        <v>0</v>
      </c>
      <c r="HG23" s="9" t="n">
        <v>0</v>
      </c>
      <c r="HK23" s="10" t="n">
        <v>46040</v>
      </c>
      <c r="HM23" s="9" t="n">
        <v>0</v>
      </c>
      <c r="HO23" s="9" t="n">
        <v>0</v>
      </c>
      <c r="HP23" s="9" t="n">
        <v>0</v>
      </c>
      <c r="HU23" s="10" t="n">
        <v>46040</v>
      </c>
      <c r="HW23" s="9" t="n">
        <v>0</v>
      </c>
      <c r="HY23" s="9" t="n">
        <v>0</v>
      </c>
      <c r="HZ23" s="9" t="n">
        <v>2800</v>
      </c>
      <c r="ID23" s="10" t="n">
        <v>46040</v>
      </c>
      <c r="IF23" s="9" t="n">
        <v>0</v>
      </c>
      <c r="IH23" s="9" t="n">
        <v>0</v>
      </c>
      <c r="II23" s="9" t="n">
        <v>5100</v>
      </c>
      <c r="IM23" s="10" t="n">
        <v>46040</v>
      </c>
      <c r="IO23" s="9" t="n">
        <v>0</v>
      </c>
      <c r="IQ23" s="9" t="n">
        <v>0</v>
      </c>
      <c r="IR23" s="9" t="n">
        <v>15040</v>
      </c>
      <c r="IV23" s="10" t="n">
        <v>46040</v>
      </c>
      <c r="IX23" s="9" t="n">
        <v>0</v>
      </c>
      <c r="IZ23" s="9" t="n">
        <v>0</v>
      </c>
      <c r="JA23" s="9" t="n">
        <v>5120</v>
      </c>
      <c r="JE23" s="10" t="n">
        <v>46040</v>
      </c>
      <c r="JG23" s="9" t="n">
        <v>0</v>
      </c>
      <c r="JI23" s="9" t="n">
        <v>0</v>
      </c>
      <c r="JJ23" s="9" t="n">
        <v>6800</v>
      </c>
      <c r="JN23" s="10" t="n">
        <v>46040</v>
      </c>
      <c r="JP23" s="9" t="n">
        <v>0</v>
      </c>
      <c r="JR23" s="9" t="n">
        <v>0</v>
      </c>
      <c r="JS23" s="9" t="n">
        <v>5400</v>
      </c>
      <c r="JW23" s="10" t="n">
        <v>46040</v>
      </c>
      <c r="JY23" s="9" t="n">
        <v>0</v>
      </c>
      <c r="KA23" s="9" t="n">
        <v>0</v>
      </c>
      <c r="KB23" s="9" t="n">
        <v>0</v>
      </c>
      <c r="KF23" s="10" t="n">
        <v>46040</v>
      </c>
      <c r="KH23" s="9" t="n">
        <v>0</v>
      </c>
      <c r="KJ23" s="9" t="n">
        <v>0</v>
      </c>
      <c r="KK23" s="9" t="n">
        <v>0</v>
      </c>
      <c r="KO23" s="10" t="n">
        <v>46040</v>
      </c>
      <c r="KQ23" s="9" t="n">
        <v>0</v>
      </c>
      <c r="KS23" s="9" t="n">
        <v>0</v>
      </c>
      <c r="KT23" s="9" t="n">
        <v>0</v>
      </c>
      <c r="KX23" s="10" t="n">
        <v>46040</v>
      </c>
      <c r="KZ23" s="9" t="n">
        <v>0</v>
      </c>
      <c r="LB23" s="9" t="n">
        <v>0</v>
      </c>
      <c r="LC23" s="9" t="n">
        <v>0</v>
      </c>
      <c r="LG23" s="10" t="n">
        <v>46040</v>
      </c>
      <c r="LI23" s="9" t="n">
        <v>0</v>
      </c>
      <c r="LK23" s="9" t="n">
        <v>0</v>
      </c>
      <c r="LL23" s="9" t="n">
        <v>0</v>
      </c>
      <c r="LP23" s="10" t="n">
        <v>46040</v>
      </c>
      <c r="LR23" s="9" t="n">
        <v>0</v>
      </c>
      <c r="LT23" s="9" t="n">
        <v>0</v>
      </c>
      <c r="LU23" s="9" t="n">
        <v>0</v>
      </c>
      <c r="LY23" s="10" t="n">
        <v>46040</v>
      </c>
      <c r="MA23" s="9" t="n">
        <v>0</v>
      </c>
      <c r="MC23" s="9" t="n">
        <v>0</v>
      </c>
      <c r="MD23" s="9" t="n">
        <v>0</v>
      </c>
      <c r="MH23" s="10" t="n">
        <v>46040</v>
      </c>
      <c r="MJ23" s="9" t="n">
        <v>0</v>
      </c>
      <c r="ML23" s="9" t="n">
        <v>0</v>
      </c>
      <c r="MM23" s="9" t="n">
        <v>0</v>
      </c>
      <c r="MQ23" s="10" t="n">
        <v>46040</v>
      </c>
      <c r="MS23" s="9" t="n">
        <v>0</v>
      </c>
      <c r="MU23" s="9" t="n">
        <v>0</v>
      </c>
      <c r="MV23" s="9" t="n">
        <v>1196</v>
      </c>
      <c r="MZ23" s="10" t="n">
        <v>46040</v>
      </c>
      <c r="NB23" s="9" t="n">
        <v>0</v>
      </c>
      <c r="ND23" s="9" t="n">
        <v>0</v>
      </c>
      <c r="NE23" s="9" t="n">
        <v>0</v>
      </c>
      <c r="NI23" s="10" t="n">
        <v>46040</v>
      </c>
      <c r="NK23" s="9" t="n">
        <v>0</v>
      </c>
      <c r="NM23" s="9" t="n">
        <v>0</v>
      </c>
      <c r="NN23" s="9" t="n">
        <v>0</v>
      </c>
      <c r="NR23" s="10" t="n">
        <v>46040</v>
      </c>
      <c r="NT23" s="9" t="n">
        <v>0</v>
      </c>
      <c r="NV23" s="9" t="n">
        <v>0</v>
      </c>
      <c r="NW23" s="9" t="n">
        <v>0</v>
      </c>
      <c r="OA23" s="10" t="n">
        <v>46040</v>
      </c>
      <c r="OC23" s="9" t="n">
        <v>0</v>
      </c>
      <c r="OE23" s="9" t="n">
        <v>0</v>
      </c>
      <c r="OF23" s="9" t="n">
        <v>1680.5</v>
      </c>
      <c r="OJ23" s="10" t="n">
        <v>46040</v>
      </c>
      <c r="OL23" s="9" t="n">
        <v>0</v>
      </c>
      <c r="ON23" s="9" t="n">
        <v>0</v>
      </c>
      <c r="OO23" s="9" t="n">
        <v>0</v>
      </c>
      <c r="OS23" s="10" t="n">
        <v>46040</v>
      </c>
      <c r="OU23" s="9" t="n">
        <v>0</v>
      </c>
      <c r="OW23" s="9" t="n">
        <v>0</v>
      </c>
      <c r="OX23" s="9" t="n">
        <v>67</v>
      </c>
      <c r="PB23" s="10" t="n">
        <v>46040</v>
      </c>
      <c r="PD23" s="9" t="n">
        <v>0</v>
      </c>
      <c r="PF23" s="9" t="n">
        <v>0</v>
      </c>
      <c r="PG23" s="9" t="n">
        <v>0</v>
      </c>
      <c r="PK23" s="10" t="n">
        <v>46040</v>
      </c>
      <c r="PM23" s="9" t="n">
        <v>0</v>
      </c>
      <c r="PO23" s="9" t="n">
        <v>0</v>
      </c>
      <c r="PP23" s="9" t="n">
        <v>160</v>
      </c>
      <c r="PT23" s="10" t="n">
        <v>46040</v>
      </c>
      <c r="PV23" s="9" t="n">
        <v>0</v>
      </c>
      <c r="PX23" s="9" t="n">
        <v>0</v>
      </c>
      <c r="PY23" s="9" t="n">
        <v>13.96000000000004</v>
      </c>
      <c r="QC23" s="10" t="n">
        <v>46040</v>
      </c>
      <c r="QE23" s="9" t="n">
        <v>0</v>
      </c>
      <c r="QG23" s="9" t="n">
        <v>0</v>
      </c>
      <c r="QH23" s="9" t="n">
        <v>0</v>
      </c>
      <c r="QL23" s="10" t="n">
        <v>46040</v>
      </c>
      <c r="QN23" s="9" t="n">
        <v>0</v>
      </c>
      <c r="QP23" s="9" t="n">
        <v>0</v>
      </c>
      <c r="QQ23" s="9" t="n">
        <v>0</v>
      </c>
      <c r="QU23" s="10" t="n">
        <v>46040</v>
      </c>
      <c r="QW23" s="9" t="n">
        <v>0</v>
      </c>
      <c r="QY23" s="9" t="n">
        <v>0</v>
      </c>
      <c r="QZ23" s="9" t="n">
        <v>207.6</v>
      </c>
      <c r="RD23" s="10" t="n">
        <v>46040</v>
      </c>
      <c r="RF23" s="9" t="n">
        <v>0</v>
      </c>
      <c r="RH23" s="9" t="n">
        <v>0</v>
      </c>
      <c r="RI23" s="9" t="n">
        <v>201.8</v>
      </c>
      <c r="RM23" s="10" t="n">
        <v>46040</v>
      </c>
      <c r="RO23" s="9" t="n">
        <v>0</v>
      </c>
      <c r="RQ23" s="9" t="n">
        <v>0</v>
      </c>
      <c r="RR23" s="9" t="n">
        <v>22.72</v>
      </c>
      <c r="RV23" s="10" t="n">
        <v>46040</v>
      </c>
      <c r="RX23" s="9" t="n">
        <v>0</v>
      </c>
      <c r="RZ23" s="9" t="n">
        <v>0</v>
      </c>
      <c r="SA23" s="9" t="n">
        <v>0</v>
      </c>
      <c r="SE23" s="10" t="n">
        <v>46040</v>
      </c>
      <c r="SG23" s="9" t="n">
        <v>0</v>
      </c>
      <c r="SI23" s="9" t="n">
        <v>0</v>
      </c>
      <c r="SJ23" s="9" t="n">
        <v>0</v>
      </c>
      <c r="SN23" s="10" t="n">
        <v>46040</v>
      </c>
      <c r="SP23" s="9" t="n">
        <v>0</v>
      </c>
      <c r="SR23" s="9" t="n">
        <v>0</v>
      </c>
      <c r="SS23" s="9" t="n">
        <v>0</v>
      </c>
      <c r="SW23" s="10" t="n">
        <v>46040</v>
      </c>
      <c r="SY23" s="9" t="n">
        <v>0</v>
      </c>
      <c r="TA23" s="9" t="n">
        <v>0</v>
      </c>
      <c r="TB23" s="9" t="n">
        <v>0</v>
      </c>
      <c r="TF23" s="10" t="n">
        <v>46040</v>
      </c>
      <c r="TH23" s="9" t="n">
        <v>0</v>
      </c>
      <c r="TJ23" s="9" t="n">
        <v>0</v>
      </c>
      <c r="TK23" s="9" t="n">
        <v>0</v>
      </c>
      <c r="TO23" s="10" t="n">
        <v>46040</v>
      </c>
      <c r="TQ23" s="9" t="n">
        <v>0</v>
      </c>
      <c r="TS23" s="9" t="n">
        <v>0</v>
      </c>
      <c r="TT23" s="9" t="n">
        <v>0</v>
      </c>
      <c r="TX23" s="10" t="n">
        <v>46040</v>
      </c>
      <c r="TZ23" s="9" t="n">
        <v>0</v>
      </c>
      <c r="UB23" s="9" t="n">
        <v>0</v>
      </c>
      <c r="UC23" s="9" t="n">
        <v>0</v>
      </c>
      <c r="UG23" s="10" t="n">
        <v>46040</v>
      </c>
      <c r="UI23" s="9" t="n">
        <v>0</v>
      </c>
      <c r="UK23" s="9" t="n">
        <v>0</v>
      </c>
      <c r="UL23" s="9" t="n">
        <v>0</v>
      </c>
      <c r="UP23" s="10" t="n">
        <v>46040</v>
      </c>
      <c r="UR23" s="9" t="n">
        <v>0</v>
      </c>
      <c r="UT23" s="9" t="n">
        <v>0</v>
      </c>
      <c r="UU23" s="9" t="n">
        <v>0</v>
      </c>
      <c r="UY23" s="10" t="n">
        <v>46040</v>
      </c>
      <c r="VA23" s="9" t="n">
        <v>0</v>
      </c>
      <c r="VC23" s="9" t="n">
        <v>0</v>
      </c>
      <c r="VD23" s="9" t="n">
        <v>-319.6</v>
      </c>
      <c r="VH23" s="10" t="n">
        <v>46040</v>
      </c>
      <c r="VJ23" s="9" t="n">
        <v>0</v>
      </c>
      <c r="VL23" s="9" t="n">
        <v>0</v>
      </c>
      <c r="VM23" s="9" t="n">
        <v>0</v>
      </c>
      <c r="VQ23" s="10" t="n">
        <v>46040</v>
      </c>
      <c r="VS23" s="9" t="n">
        <v>0</v>
      </c>
      <c r="VU23" s="9" t="n">
        <v>0</v>
      </c>
      <c r="VV23" s="9" t="n">
        <v>0</v>
      </c>
      <c r="VZ23" s="10" t="n">
        <v>46040</v>
      </c>
      <c r="WB23" s="9" t="n">
        <v>0</v>
      </c>
      <c r="WD23" s="9" t="n">
        <v>0</v>
      </c>
      <c r="WE23" s="9" t="n">
        <v>0</v>
      </c>
      <c r="WI23" s="10" t="n">
        <v>46040</v>
      </c>
      <c r="WK23" s="9" t="n">
        <v>0</v>
      </c>
      <c r="WM23" s="9" t="n">
        <v>0</v>
      </c>
      <c r="WN23" s="9" t="n">
        <v>5877</v>
      </c>
      <c r="WR23" s="10" t="n">
        <v>46040</v>
      </c>
      <c r="WT23" s="9" t="n">
        <v>0</v>
      </c>
      <c r="WV23" s="9" t="n">
        <v>0</v>
      </c>
      <c r="WW23" s="9" t="n">
        <v>5267</v>
      </c>
      <c r="XA23" s="10" t="n">
        <v>46040</v>
      </c>
      <c r="XC23" s="9" t="n">
        <v>0</v>
      </c>
      <c r="XE23" s="9" t="n">
        <v>0</v>
      </c>
      <c r="XF23" s="9" t="n">
        <v>118</v>
      </c>
      <c r="XJ23" s="10" t="n">
        <v>46040</v>
      </c>
      <c r="XL23" s="9" t="n">
        <v>0</v>
      </c>
      <c r="XN23" s="9" t="n">
        <v>0</v>
      </c>
      <c r="XO23" s="9" t="n">
        <v>5852</v>
      </c>
      <c r="XS23" s="10" t="n">
        <v>46040</v>
      </c>
      <c r="XU23" s="9" t="n">
        <v>0</v>
      </c>
      <c r="XW23" s="9" t="n">
        <v>0</v>
      </c>
      <c r="XX23" s="9" t="n">
        <v>1901</v>
      </c>
      <c r="YB23" s="10" t="n">
        <v>46040</v>
      </c>
      <c r="YD23" s="9" t="n">
        <v>0</v>
      </c>
      <c r="YF23" s="9" t="n">
        <v>0</v>
      </c>
      <c r="YG23" s="9" t="n">
        <v>2948</v>
      </c>
      <c r="YK23" s="10" t="n">
        <v>46040</v>
      </c>
      <c r="YM23" s="9" t="n">
        <v>0</v>
      </c>
      <c r="YO23" s="9" t="n">
        <v>0</v>
      </c>
      <c r="YP23" s="9" t="n">
        <v>0</v>
      </c>
      <c r="YT23" s="10" t="n">
        <v>46040</v>
      </c>
      <c r="YV23" s="9" t="n">
        <v>0</v>
      </c>
      <c r="YX23" s="9" t="n">
        <v>0</v>
      </c>
      <c r="YY23" s="9" t="n">
        <v>0</v>
      </c>
      <c r="ZC23" s="10" t="n">
        <v>46040</v>
      </c>
      <c r="ZE23" s="9" t="n">
        <v>0</v>
      </c>
      <c r="ZG23" s="9" t="n">
        <v>0</v>
      </c>
      <c r="ZH23" s="9" t="n">
        <v>0</v>
      </c>
      <c r="ZL23" s="10" t="n">
        <v>46040</v>
      </c>
      <c r="ZN23" s="9" t="n">
        <v>0</v>
      </c>
      <c r="ZP23" s="9" t="n">
        <v>0</v>
      </c>
      <c r="ZQ23" s="9" t="n">
        <v>0</v>
      </c>
      <c r="ZU23" s="10" t="n">
        <v>46040</v>
      </c>
      <c r="ZW23" s="9" t="n">
        <v>0</v>
      </c>
      <c r="ZY23" s="9" t="n">
        <v>0</v>
      </c>
      <c r="ZZ23" s="9" t="n">
        <v>0</v>
      </c>
      <c r="AAD23" s="10" t="n">
        <v>46040</v>
      </c>
      <c r="AAF23" s="9" t="n">
        <v>0</v>
      </c>
      <c r="AAH23" s="9" t="n">
        <v>0</v>
      </c>
      <c r="AAI23" s="9" t="n">
        <v>0</v>
      </c>
      <c r="AAM23" s="10" t="n">
        <v>46040</v>
      </c>
      <c r="AAO23" s="9" t="n">
        <v>0</v>
      </c>
      <c r="AAQ23" s="9" t="n">
        <v>0</v>
      </c>
      <c r="AAR23" s="9" t="n">
        <v>0</v>
      </c>
      <c r="AAV23" s="10" t="n">
        <v>46040</v>
      </c>
      <c r="AAX23" s="9" t="n">
        <v>0</v>
      </c>
      <c r="AAZ23" s="9" t="n">
        <v>0</v>
      </c>
      <c r="ABA23" s="9" t="n">
        <v>0</v>
      </c>
      <c r="ABE23" s="10" t="n">
        <v>46040</v>
      </c>
      <c r="ABG23" s="9" t="n">
        <v>0</v>
      </c>
      <c r="ABI23" s="9" t="n">
        <v>0</v>
      </c>
      <c r="ABJ23" s="9" t="n">
        <v>0</v>
      </c>
    </row>
    <row r="24">
      <c r="B24" s="9" t="n">
        <v>82</v>
      </c>
      <c r="C24" s="10" t="n">
        <v>46041</v>
      </c>
      <c r="D24" s="9" t="n">
        <v>45280</v>
      </c>
      <c r="E24" s="9" t="n">
        <v>45778</v>
      </c>
      <c r="F24" s="9" t="n">
        <v>45777</v>
      </c>
      <c r="G24" s="9" t="n">
        <v>1</v>
      </c>
      <c r="H24" s="9" t="n">
        <v>33286</v>
      </c>
      <c r="I24" s="9" t="inlineStr">
        <is>
          <t>8100 30mt, 8102 32mt, 8103 20mt</t>
        </is>
      </c>
      <c r="L24" s="10" t="n">
        <v>46041</v>
      </c>
      <c r="M24" s="9" t="n">
        <v>30020</v>
      </c>
      <c r="N24" s="9" t="n">
        <v>22023</v>
      </c>
      <c r="O24" s="9" t="n">
        <v>22026</v>
      </c>
      <c r="P24" s="9" t="n">
        <v>-3</v>
      </c>
      <c r="Q24" s="9" t="n">
        <v>43677.40000000001</v>
      </c>
      <c r="U24" s="10" t="n">
        <v>46041</v>
      </c>
      <c r="W24" s="9" t="n">
        <v>4000</v>
      </c>
      <c r="X24" s="9" t="n">
        <v>4001.8</v>
      </c>
      <c r="Y24" s="9" t="n">
        <v>-1.800000000000182</v>
      </c>
      <c r="Z24" s="9" t="n">
        <v>48261.09999999998</v>
      </c>
      <c r="AD24" s="10" t="n">
        <v>46041</v>
      </c>
      <c r="AF24" s="9" t="n">
        <v>2750</v>
      </c>
      <c r="AG24" s="9" t="n">
        <v>2750.9</v>
      </c>
      <c r="AH24" s="9" t="n">
        <v>-0.9000000000000909</v>
      </c>
      <c r="AI24" s="9" t="n">
        <v>19213.1</v>
      </c>
      <c r="AM24" s="10" t="n">
        <v>46041</v>
      </c>
      <c r="AO24" s="9" t="n">
        <v>0</v>
      </c>
      <c r="AQ24" s="9" t="n">
        <v>0</v>
      </c>
      <c r="AR24" s="9" t="n">
        <v>0</v>
      </c>
      <c r="AV24" s="10" t="n">
        <v>46041</v>
      </c>
      <c r="AX24" s="9" t="n">
        <v>1640</v>
      </c>
      <c r="AY24" s="9" t="n">
        <v>1638.8</v>
      </c>
      <c r="AZ24" s="9" t="n">
        <v>1.200000000000045</v>
      </c>
      <c r="BA24" s="9" t="n">
        <v>11714.99999999999</v>
      </c>
      <c r="BE24" s="10" t="n">
        <v>46041</v>
      </c>
      <c r="BG24" s="9" t="n">
        <v>1640</v>
      </c>
      <c r="BH24" s="9" t="n">
        <v>1640.1</v>
      </c>
      <c r="BI24" s="9" t="n">
        <v>-0.09999999999990905</v>
      </c>
      <c r="BJ24" s="9" t="n">
        <v>30762.30000000001</v>
      </c>
      <c r="BN24" s="10" t="n">
        <v>46041</v>
      </c>
      <c r="BO24" s="9" t="n">
        <v>1330</v>
      </c>
      <c r="BP24" s="9" t="n">
        <v>1330</v>
      </c>
      <c r="BQ24" s="9" t="n">
        <v>1330</v>
      </c>
      <c r="BR24" s="9" t="n">
        <v>0</v>
      </c>
      <c r="BS24" s="9" t="n">
        <v>0</v>
      </c>
      <c r="BW24" s="10" t="n">
        <v>46041</v>
      </c>
      <c r="BY24" s="9" t="n">
        <v>45</v>
      </c>
      <c r="CA24" s="9" t="n">
        <v>45</v>
      </c>
      <c r="CB24" s="9" t="n">
        <v>3386.5</v>
      </c>
      <c r="CF24" s="10" t="n">
        <v>46041</v>
      </c>
      <c r="CH24" s="9" t="n">
        <v>177</v>
      </c>
      <c r="CJ24" s="9" t="n">
        <v>177</v>
      </c>
      <c r="CK24" s="9" t="n">
        <v>0</v>
      </c>
      <c r="CO24" s="10" t="n">
        <v>46041</v>
      </c>
      <c r="CQ24" s="9" t="n">
        <v>0</v>
      </c>
      <c r="CS24" s="9" t="n">
        <v>0</v>
      </c>
      <c r="CT24" s="9" t="n">
        <v>0</v>
      </c>
      <c r="CX24" s="10" t="n">
        <v>46041</v>
      </c>
      <c r="CZ24" s="9" t="n">
        <v>0</v>
      </c>
      <c r="DB24" s="9" t="n">
        <v>0</v>
      </c>
      <c r="DC24" s="9" t="n">
        <v>0</v>
      </c>
      <c r="DG24" s="10" t="n">
        <v>46041</v>
      </c>
      <c r="DI24" s="9" t="n">
        <v>700</v>
      </c>
      <c r="DJ24" s="9" t="n">
        <v>700.2</v>
      </c>
      <c r="DK24" s="9" t="n">
        <v>-0.2000000000000455</v>
      </c>
      <c r="DL24" s="9" t="n">
        <v>24202.2</v>
      </c>
      <c r="DP24" s="10" t="n">
        <v>46041</v>
      </c>
      <c r="DR24" s="9" t="n">
        <v>0</v>
      </c>
      <c r="DT24" s="9" t="n">
        <v>0</v>
      </c>
      <c r="DU24" s="9" t="n">
        <v>0</v>
      </c>
      <c r="DY24" s="10" t="n">
        <v>46041</v>
      </c>
      <c r="EA24" s="9" t="n">
        <v>0</v>
      </c>
      <c r="EC24" s="9" t="n">
        <v>0</v>
      </c>
      <c r="ED24" s="9" t="n">
        <v>0</v>
      </c>
      <c r="EH24" s="10" t="n">
        <v>46041</v>
      </c>
      <c r="EJ24" s="9" t="n">
        <v>0</v>
      </c>
      <c r="EL24" s="9" t="n">
        <v>0</v>
      </c>
      <c r="EM24" s="9" t="n">
        <v>0</v>
      </c>
      <c r="EQ24" s="10" t="n">
        <v>46041</v>
      </c>
      <c r="ES24" s="9" t="n">
        <v>0</v>
      </c>
      <c r="EU24" s="9" t="n">
        <v>0</v>
      </c>
      <c r="EV24" s="9" t="n">
        <v>0</v>
      </c>
      <c r="EZ24" s="10" t="n">
        <v>46041</v>
      </c>
      <c r="FB24" s="9" t="n">
        <v>0</v>
      </c>
      <c r="FD24" s="9" t="n">
        <v>0</v>
      </c>
      <c r="FE24" s="9" t="n">
        <v>0</v>
      </c>
      <c r="FI24" s="10" t="n">
        <v>46041</v>
      </c>
      <c r="FK24" s="9" t="n">
        <v>0</v>
      </c>
      <c r="FM24" s="9" t="n">
        <v>0</v>
      </c>
      <c r="FN24" s="9" t="n">
        <v>0</v>
      </c>
      <c r="FR24" s="10" t="n">
        <v>46041</v>
      </c>
      <c r="FT24" s="9" t="n">
        <v>0</v>
      </c>
      <c r="FV24" s="9" t="n">
        <v>0</v>
      </c>
      <c r="FW24" s="9" t="n">
        <v>3540</v>
      </c>
      <c r="GA24" s="10" t="n">
        <v>46041</v>
      </c>
      <c r="GC24" s="9" t="n">
        <v>0</v>
      </c>
      <c r="GE24" s="9" t="n">
        <v>0</v>
      </c>
      <c r="GF24" s="9" t="n">
        <v>1960</v>
      </c>
      <c r="GJ24" s="10" t="n">
        <v>46041</v>
      </c>
      <c r="GL24" s="9" t="n">
        <v>0</v>
      </c>
      <c r="GN24" s="9" t="n">
        <v>0</v>
      </c>
      <c r="GO24" s="9" t="n">
        <v>6160</v>
      </c>
      <c r="GS24" s="10" t="n">
        <v>46041</v>
      </c>
      <c r="GU24" s="9" t="n">
        <v>0</v>
      </c>
      <c r="GW24" s="9" t="n">
        <v>0</v>
      </c>
      <c r="GX24" s="9" t="n">
        <v>0</v>
      </c>
      <c r="HB24" s="10" t="n">
        <v>46041</v>
      </c>
      <c r="HD24" s="9" t="n">
        <v>0</v>
      </c>
      <c r="HF24" s="9" t="n">
        <v>0</v>
      </c>
      <c r="HG24" s="9" t="n">
        <v>0</v>
      </c>
      <c r="HK24" s="10" t="n">
        <v>46041</v>
      </c>
      <c r="HM24" s="9" t="n">
        <v>0</v>
      </c>
      <c r="HO24" s="9" t="n">
        <v>0</v>
      </c>
      <c r="HP24" s="9" t="n">
        <v>0</v>
      </c>
      <c r="HU24" s="10" t="n">
        <v>46041</v>
      </c>
      <c r="HW24" s="9" t="n">
        <v>600</v>
      </c>
      <c r="HY24" s="9" t="n">
        <v>600</v>
      </c>
      <c r="HZ24" s="9" t="n">
        <v>2800</v>
      </c>
      <c r="ID24" s="10" t="n">
        <v>46041</v>
      </c>
      <c r="IF24" s="9" t="n">
        <v>0</v>
      </c>
      <c r="IH24" s="9" t="n">
        <v>0</v>
      </c>
      <c r="II24" s="9" t="n">
        <v>5100</v>
      </c>
      <c r="IM24" s="10" t="n">
        <v>46041</v>
      </c>
      <c r="IO24" s="9" t="n">
        <v>640</v>
      </c>
      <c r="IQ24" s="9" t="n">
        <v>640</v>
      </c>
      <c r="IR24" s="9" t="n">
        <v>15040</v>
      </c>
      <c r="IV24" s="10" t="n">
        <v>46041</v>
      </c>
      <c r="IX24" s="9" t="n">
        <v>400</v>
      </c>
      <c r="IZ24" s="9" t="n">
        <v>400</v>
      </c>
      <c r="JA24" s="9" t="n">
        <v>5120</v>
      </c>
      <c r="JE24" s="10" t="n">
        <v>46041</v>
      </c>
      <c r="JG24" s="9" t="n">
        <v>0</v>
      </c>
      <c r="JI24" s="9" t="n">
        <v>0</v>
      </c>
      <c r="JJ24" s="9" t="n">
        <v>6800</v>
      </c>
      <c r="JN24" s="10" t="n">
        <v>46041</v>
      </c>
      <c r="JP24" s="9" t="n">
        <v>0</v>
      </c>
      <c r="JR24" s="9" t="n">
        <v>0</v>
      </c>
      <c r="JS24" s="9" t="n">
        <v>5400</v>
      </c>
      <c r="JW24" s="10" t="n">
        <v>46041</v>
      </c>
      <c r="JY24" s="9" t="n">
        <v>0</v>
      </c>
      <c r="KA24" s="9" t="n">
        <v>0</v>
      </c>
      <c r="KB24" s="9" t="n">
        <v>0</v>
      </c>
      <c r="KF24" s="10" t="n">
        <v>46041</v>
      </c>
      <c r="KH24" s="9" t="n">
        <v>0</v>
      </c>
      <c r="KJ24" s="9" t="n">
        <v>0</v>
      </c>
      <c r="KK24" s="9" t="n">
        <v>0</v>
      </c>
      <c r="KO24" s="10" t="n">
        <v>46041</v>
      </c>
      <c r="KQ24" s="9" t="n">
        <v>0</v>
      </c>
      <c r="KS24" s="9" t="n">
        <v>0</v>
      </c>
      <c r="KT24" s="9" t="n">
        <v>0</v>
      </c>
      <c r="KX24" s="10" t="n">
        <v>46041</v>
      </c>
      <c r="KZ24" s="9" t="n">
        <v>0</v>
      </c>
      <c r="LB24" s="9" t="n">
        <v>0</v>
      </c>
      <c r="LC24" s="9" t="n">
        <v>0</v>
      </c>
      <c r="LG24" s="10" t="n">
        <v>46041</v>
      </c>
      <c r="LI24" s="9" t="n">
        <v>0</v>
      </c>
      <c r="LK24" s="9" t="n">
        <v>0</v>
      </c>
      <c r="LL24" s="9" t="n">
        <v>0</v>
      </c>
      <c r="LP24" s="10" t="n">
        <v>46041</v>
      </c>
      <c r="LR24" s="9" t="n">
        <v>0</v>
      </c>
      <c r="LT24" s="9" t="n">
        <v>0</v>
      </c>
      <c r="LU24" s="9" t="n">
        <v>0</v>
      </c>
      <c r="LY24" s="10" t="n">
        <v>46041</v>
      </c>
      <c r="MA24" s="9" t="n">
        <v>0</v>
      </c>
      <c r="MC24" s="9" t="n">
        <v>0</v>
      </c>
      <c r="MD24" s="9" t="n">
        <v>0</v>
      </c>
      <c r="MH24" s="10" t="n">
        <v>46041</v>
      </c>
      <c r="MJ24" s="9" t="n">
        <v>0</v>
      </c>
      <c r="ML24" s="9" t="n">
        <v>0</v>
      </c>
      <c r="MM24" s="9" t="n">
        <v>0</v>
      </c>
      <c r="MQ24" s="10" t="n">
        <v>46041</v>
      </c>
      <c r="MS24" s="9" t="n">
        <v>31</v>
      </c>
      <c r="MU24" s="9" t="n">
        <v>31</v>
      </c>
      <c r="MV24" s="9" t="n">
        <v>1196</v>
      </c>
      <c r="MZ24" s="10" t="n">
        <v>46041</v>
      </c>
      <c r="NB24" s="9" t="n">
        <v>246</v>
      </c>
      <c r="ND24" s="9" t="n">
        <v>246</v>
      </c>
      <c r="NE24" s="9" t="n">
        <v>0</v>
      </c>
      <c r="NI24" s="10" t="n">
        <v>46041</v>
      </c>
      <c r="NK24" s="9" t="n">
        <v>0</v>
      </c>
      <c r="NM24" s="9" t="n">
        <v>0</v>
      </c>
      <c r="NN24" s="9" t="n">
        <v>0</v>
      </c>
      <c r="NR24" s="10" t="n">
        <v>46041</v>
      </c>
      <c r="NT24" s="9" t="n">
        <v>0</v>
      </c>
      <c r="NV24" s="9" t="n">
        <v>0</v>
      </c>
      <c r="NW24" s="9" t="n">
        <v>0</v>
      </c>
      <c r="OA24" s="10" t="n">
        <v>46041</v>
      </c>
      <c r="OC24" s="9" t="n">
        <v>0</v>
      </c>
      <c r="OE24" s="9" t="n">
        <v>0</v>
      </c>
      <c r="OF24" s="9" t="n">
        <v>1680.5</v>
      </c>
      <c r="OJ24" s="10" t="n">
        <v>46041</v>
      </c>
      <c r="OL24" s="9" t="n">
        <v>0</v>
      </c>
      <c r="ON24" s="9" t="n">
        <v>0</v>
      </c>
      <c r="OO24" s="9" t="n">
        <v>0</v>
      </c>
      <c r="OS24" s="10" t="n">
        <v>46041</v>
      </c>
      <c r="OU24" s="9" t="n">
        <v>0</v>
      </c>
      <c r="OW24" s="9" t="n">
        <v>0</v>
      </c>
      <c r="OX24" s="9" t="n">
        <v>67</v>
      </c>
      <c r="PB24" s="10" t="n">
        <v>46041</v>
      </c>
      <c r="PD24" s="9" t="n">
        <v>0</v>
      </c>
      <c r="PF24" s="9" t="n">
        <v>0</v>
      </c>
      <c r="PG24" s="9" t="n">
        <v>0</v>
      </c>
      <c r="PK24" s="10" t="n">
        <v>46041</v>
      </c>
      <c r="PM24" s="9" t="n">
        <v>0</v>
      </c>
      <c r="PO24" s="9" t="n">
        <v>0</v>
      </c>
      <c r="PP24" s="9" t="n">
        <v>160</v>
      </c>
      <c r="PT24" s="10" t="n">
        <v>46041</v>
      </c>
      <c r="PV24" s="9" t="n">
        <v>0</v>
      </c>
      <c r="PX24" s="9" t="n">
        <v>0</v>
      </c>
      <c r="PY24" s="9" t="n">
        <v>13.96000000000004</v>
      </c>
      <c r="QC24" s="10" t="n">
        <v>46041</v>
      </c>
      <c r="QE24" s="9" t="n">
        <v>0</v>
      </c>
      <c r="QG24" s="9" t="n">
        <v>0</v>
      </c>
      <c r="QH24" s="9" t="n">
        <v>0</v>
      </c>
      <c r="QL24" s="10" t="n">
        <v>46041</v>
      </c>
      <c r="QN24" s="9" t="n">
        <v>0</v>
      </c>
      <c r="QP24" s="9" t="n">
        <v>0</v>
      </c>
      <c r="QQ24" s="9" t="n">
        <v>0</v>
      </c>
      <c r="QU24" s="10" t="n">
        <v>46041</v>
      </c>
      <c r="QW24" s="9" t="n">
        <v>0</v>
      </c>
      <c r="QY24" s="9" t="n">
        <v>0</v>
      </c>
      <c r="QZ24" s="9" t="n">
        <v>207.6</v>
      </c>
      <c r="RD24" s="10" t="n">
        <v>46041</v>
      </c>
      <c r="RF24" s="9" t="n">
        <v>0</v>
      </c>
      <c r="RH24" s="9" t="n">
        <v>0</v>
      </c>
      <c r="RI24" s="9" t="n">
        <v>201.8</v>
      </c>
      <c r="RM24" s="10" t="n">
        <v>46041</v>
      </c>
      <c r="RO24" s="9" t="n">
        <v>0</v>
      </c>
      <c r="RQ24" s="9" t="n">
        <v>0</v>
      </c>
      <c r="RR24" s="9" t="n">
        <v>22.72</v>
      </c>
      <c r="RV24" s="10" t="n">
        <v>46041</v>
      </c>
      <c r="RX24" s="9" t="n">
        <v>0</v>
      </c>
      <c r="RZ24" s="9" t="n">
        <v>0</v>
      </c>
      <c r="SA24" s="9" t="n">
        <v>0</v>
      </c>
      <c r="SE24" s="10" t="n">
        <v>46041</v>
      </c>
      <c r="SG24" s="9" t="n">
        <v>0</v>
      </c>
      <c r="SI24" s="9" t="n">
        <v>0</v>
      </c>
      <c r="SJ24" s="9" t="n">
        <v>0</v>
      </c>
      <c r="SN24" s="10" t="n">
        <v>46041</v>
      </c>
      <c r="SP24" s="9" t="n">
        <v>0</v>
      </c>
      <c r="SR24" s="9" t="n">
        <v>0</v>
      </c>
      <c r="SS24" s="9" t="n">
        <v>0</v>
      </c>
      <c r="SW24" s="10" t="n">
        <v>46041</v>
      </c>
      <c r="SY24" s="9" t="n">
        <v>0</v>
      </c>
      <c r="TA24" s="9" t="n">
        <v>0</v>
      </c>
      <c r="TB24" s="9" t="n">
        <v>0</v>
      </c>
      <c r="TF24" s="10" t="n">
        <v>46041</v>
      </c>
      <c r="TH24" s="9" t="n">
        <v>0</v>
      </c>
      <c r="TJ24" s="9" t="n">
        <v>0</v>
      </c>
      <c r="TK24" s="9" t="n">
        <v>0</v>
      </c>
      <c r="TO24" s="10" t="n">
        <v>46041</v>
      </c>
      <c r="TQ24" s="9" t="n">
        <v>0</v>
      </c>
      <c r="TS24" s="9" t="n">
        <v>0</v>
      </c>
      <c r="TT24" s="9" t="n">
        <v>0</v>
      </c>
      <c r="TX24" s="10" t="n">
        <v>46041</v>
      </c>
      <c r="TZ24" s="9" t="n">
        <v>0</v>
      </c>
      <c r="UB24" s="9" t="n">
        <v>0</v>
      </c>
      <c r="UC24" s="9" t="n">
        <v>0</v>
      </c>
      <c r="UG24" s="10" t="n">
        <v>46041</v>
      </c>
      <c r="UI24" s="9" t="n">
        <v>0</v>
      </c>
      <c r="UK24" s="9" t="n">
        <v>0</v>
      </c>
      <c r="UL24" s="9" t="n">
        <v>0</v>
      </c>
      <c r="UP24" s="10" t="n">
        <v>46041</v>
      </c>
      <c r="UR24" s="9" t="n">
        <v>0</v>
      </c>
      <c r="UT24" s="9" t="n">
        <v>0</v>
      </c>
      <c r="UU24" s="9" t="n">
        <v>0</v>
      </c>
      <c r="UY24" s="10" t="n">
        <v>46041</v>
      </c>
      <c r="VA24" s="9" t="n">
        <v>0</v>
      </c>
      <c r="VC24" s="9" t="n">
        <v>0</v>
      </c>
      <c r="VD24" s="9" t="n">
        <v>-319.6</v>
      </c>
      <c r="VH24" s="10" t="n">
        <v>46041</v>
      </c>
      <c r="VJ24" s="9" t="n">
        <v>0</v>
      </c>
      <c r="VL24" s="9" t="n">
        <v>0</v>
      </c>
      <c r="VM24" s="9" t="n">
        <v>0</v>
      </c>
      <c r="VQ24" s="10" t="n">
        <v>46041</v>
      </c>
      <c r="VS24" s="9" t="n">
        <v>0</v>
      </c>
      <c r="VU24" s="9" t="n">
        <v>0</v>
      </c>
      <c r="VV24" s="9" t="n">
        <v>0</v>
      </c>
      <c r="VZ24" s="10" t="n">
        <v>46041</v>
      </c>
      <c r="WB24" s="9" t="n">
        <v>0</v>
      </c>
      <c r="WD24" s="9" t="n">
        <v>0</v>
      </c>
      <c r="WE24" s="9" t="n">
        <v>0</v>
      </c>
      <c r="WI24" s="10" t="n">
        <v>46041</v>
      </c>
      <c r="WK24" s="9" t="n">
        <v>0</v>
      </c>
      <c r="WM24" s="9" t="n">
        <v>0</v>
      </c>
      <c r="WN24" s="9" t="n">
        <v>5877</v>
      </c>
      <c r="WR24" s="10" t="n">
        <v>46041</v>
      </c>
      <c r="WT24" s="9" t="n">
        <v>0</v>
      </c>
      <c r="WV24" s="9" t="n">
        <v>0</v>
      </c>
      <c r="WW24" s="9" t="n">
        <v>5267</v>
      </c>
      <c r="XA24" s="10" t="n">
        <v>46041</v>
      </c>
      <c r="XC24" s="9" t="n">
        <v>0</v>
      </c>
      <c r="XE24" s="9" t="n">
        <v>0</v>
      </c>
      <c r="XF24" s="9" t="n">
        <v>118</v>
      </c>
      <c r="XJ24" s="10" t="n">
        <v>46041</v>
      </c>
      <c r="XL24" s="9" t="n">
        <v>0</v>
      </c>
      <c r="XM24" s="9" t="n">
        <v>176</v>
      </c>
      <c r="XN24" s="9" t="n">
        <v>-176</v>
      </c>
      <c r="XO24" s="9" t="n">
        <v>5676</v>
      </c>
      <c r="XS24" s="10" t="n">
        <v>46041</v>
      </c>
      <c r="XU24" s="9" t="n">
        <v>0</v>
      </c>
      <c r="XW24" s="9" t="n">
        <v>0</v>
      </c>
      <c r="XX24" s="9" t="n">
        <v>1901</v>
      </c>
      <c r="YB24" s="10" t="n">
        <v>46041</v>
      </c>
      <c r="YD24" s="9" t="n">
        <v>0</v>
      </c>
      <c r="YE24" s="9" t="n">
        <v>277</v>
      </c>
      <c r="YF24" s="9" t="n">
        <v>-277</v>
      </c>
      <c r="YG24" s="9" t="n">
        <v>2671</v>
      </c>
      <c r="YK24" s="10" t="n">
        <v>46041</v>
      </c>
      <c r="YM24" s="9" t="n">
        <v>0</v>
      </c>
      <c r="YO24" s="9" t="n">
        <v>0</v>
      </c>
      <c r="YP24" s="9" t="n">
        <v>0</v>
      </c>
      <c r="YT24" s="10" t="n">
        <v>46041</v>
      </c>
      <c r="YV24" s="9" t="n">
        <v>0</v>
      </c>
      <c r="YX24" s="9" t="n">
        <v>0</v>
      </c>
      <c r="YY24" s="9" t="n">
        <v>0</v>
      </c>
      <c r="ZC24" s="10" t="n">
        <v>46041</v>
      </c>
      <c r="ZE24" s="9" t="n">
        <v>0</v>
      </c>
      <c r="ZG24" s="9" t="n">
        <v>0</v>
      </c>
      <c r="ZH24" s="9" t="n">
        <v>0</v>
      </c>
      <c r="ZL24" s="10" t="n">
        <v>46041</v>
      </c>
      <c r="ZN24" s="9" t="n">
        <v>0</v>
      </c>
      <c r="ZP24" s="9" t="n">
        <v>0</v>
      </c>
      <c r="ZQ24" s="9" t="n">
        <v>0</v>
      </c>
      <c r="ZU24" s="10" t="n">
        <v>46041</v>
      </c>
      <c r="ZW24" s="9" t="n">
        <v>0</v>
      </c>
      <c r="ZY24" s="9" t="n">
        <v>0</v>
      </c>
      <c r="ZZ24" s="9" t="n">
        <v>0</v>
      </c>
      <c r="AAD24" s="10" t="n">
        <v>46041</v>
      </c>
      <c r="AAF24" s="9" t="n">
        <v>0</v>
      </c>
      <c r="AAH24" s="9" t="n">
        <v>0</v>
      </c>
      <c r="AAI24" s="9" t="n">
        <v>0</v>
      </c>
      <c r="AAM24" s="10" t="n">
        <v>46041</v>
      </c>
      <c r="AAO24" s="9" t="n">
        <v>0</v>
      </c>
      <c r="AAQ24" s="9" t="n">
        <v>0</v>
      </c>
      <c r="AAR24" s="9" t="n">
        <v>0</v>
      </c>
      <c r="AAV24" s="10" t="n">
        <v>46041</v>
      </c>
      <c r="AAX24" s="9" t="n">
        <v>0</v>
      </c>
      <c r="AAZ24" s="9" t="n">
        <v>0</v>
      </c>
      <c r="ABA24" s="9" t="n">
        <v>0</v>
      </c>
      <c r="ABE24" s="10" t="n">
        <v>46041</v>
      </c>
      <c r="ABG24" s="9" t="n">
        <v>0</v>
      </c>
      <c r="ABI24" s="9" t="n">
        <v>0</v>
      </c>
      <c r="ABJ24" s="9" t="n">
        <v>0</v>
      </c>
    </row>
    <row r="25">
      <c r="B25" s="9" t="n">
        <v>50</v>
      </c>
      <c r="C25" s="10" t="n">
        <v>46042</v>
      </c>
      <c r="D25" s="9" t="n">
        <v>33480</v>
      </c>
      <c r="E25" s="9" t="n">
        <v>31375</v>
      </c>
      <c r="F25" s="9" t="n">
        <v>31379.6</v>
      </c>
      <c r="G25" s="9" t="n">
        <v>-4.599999999998545</v>
      </c>
      <c r="H25" s="9" t="n">
        <v>35386.4</v>
      </c>
      <c r="I25" s="9" t="inlineStr">
        <is>
          <t>1103 50mt</t>
        </is>
      </c>
      <c r="L25" s="10" t="n">
        <v>46042</v>
      </c>
      <c r="M25" s="9" t="n">
        <v>11280</v>
      </c>
      <c r="N25" s="9" t="n">
        <v>6825</v>
      </c>
      <c r="O25" s="9" t="n">
        <v>6824.8</v>
      </c>
      <c r="P25" s="9" t="n">
        <v>0.1999999999998181</v>
      </c>
      <c r="Q25" s="9" t="n">
        <v>48132.60000000001</v>
      </c>
      <c r="U25" s="10" t="n">
        <v>46042</v>
      </c>
      <c r="W25" s="9" t="n">
        <v>4000</v>
      </c>
      <c r="X25" s="9" t="n">
        <v>4001.2</v>
      </c>
      <c r="Y25" s="9" t="n">
        <v>-1.199999999999818</v>
      </c>
      <c r="Z25" s="9" t="n">
        <v>44259.89999999998</v>
      </c>
      <c r="AD25" s="10" t="n">
        <v>46042</v>
      </c>
      <c r="AF25" s="9" t="n">
        <v>3500</v>
      </c>
      <c r="AG25" s="9" t="n">
        <v>3500.9</v>
      </c>
      <c r="AH25" s="9" t="n">
        <v>-0.9000000000000909</v>
      </c>
      <c r="AI25" s="9" t="n">
        <v>15712.2</v>
      </c>
      <c r="AM25" s="10" t="n">
        <v>46042</v>
      </c>
      <c r="AO25" s="9" t="n">
        <v>0</v>
      </c>
      <c r="AQ25" s="9" t="n">
        <v>0</v>
      </c>
      <c r="AR25" s="9" t="n">
        <v>0</v>
      </c>
      <c r="AV25" s="10" t="n">
        <v>46042</v>
      </c>
      <c r="AW25" s="9" t="n">
        <v>31030</v>
      </c>
      <c r="AX25" s="9" t="n">
        <v>775</v>
      </c>
      <c r="AY25" s="9" t="n">
        <v>777.6</v>
      </c>
      <c r="AZ25" s="9" t="n">
        <v>-2.600000000000023</v>
      </c>
      <c r="BA25" s="9" t="n">
        <v>41967.39999999999</v>
      </c>
      <c r="BE25" s="10" t="n">
        <v>46042</v>
      </c>
      <c r="BG25" s="9" t="n">
        <v>1250</v>
      </c>
      <c r="BH25" s="9" t="n">
        <v>1250</v>
      </c>
      <c r="BI25" s="9" t="n">
        <v>0</v>
      </c>
      <c r="BJ25" s="9" t="n">
        <v>29512.30000000001</v>
      </c>
      <c r="BN25" s="10" t="n">
        <v>46042</v>
      </c>
      <c r="BO25" s="9" t="n">
        <v>1250</v>
      </c>
      <c r="BP25" s="9" t="n">
        <v>1250</v>
      </c>
      <c r="BQ25" s="9" t="n">
        <v>1250</v>
      </c>
      <c r="BR25" s="9" t="n">
        <v>0</v>
      </c>
      <c r="BS25" s="9" t="n">
        <v>0</v>
      </c>
      <c r="BW25" s="10" t="n">
        <v>46042</v>
      </c>
      <c r="BY25" s="9" t="n">
        <v>0</v>
      </c>
      <c r="CA25" s="9" t="n">
        <v>0</v>
      </c>
      <c r="CB25" s="9" t="n">
        <v>3386.5</v>
      </c>
      <c r="CF25" s="10" t="n">
        <v>46042</v>
      </c>
      <c r="CH25" s="9" t="n">
        <v>0</v>
      </c>
      <c r="CJ25" s="9" t="n">
        <v>0</v>
      </c>
      <c r="CK25" s="9" t="n">
        <v>0</v>
      </c>
      <c r="CO25" s="10" t="n">
        <v>46042</v>
      </c>
      <c r="CQ25" s="9" t="n">
        <v>0</v>
      </c>
      <c r="CS25" s="9" t="n">
        <v>0</v>
      </c>
      <c r="CT25" s="9" t="n">
        <v>0</v>
      </c>
      <c r="CX25" s="10" t="n">
        <v>46042</v>
      </c>
      <c r="CZ25" s="9" t="n">
        <v>0</v>
      </c>
      <c r="DB25" s="9" t="n">
        <v>0</v>
      </c>
      <c r="DC25" s="9" t="n">
        <v>0</v>
      </c>
      <c r="DG25" s="10" t="n">
        <v>46042</v>
      </c>
      <c r="DI25" s="9" t="n">
        <v>0</v>
      </c>
      <c r="DK25" s="9" t="n">
        <v>0</v>
      </c>
      <c r="DL25" s="9" t="n">
        <v>24202.2</v>
      </c>
      <c r="DP25" s="10" t="n">
        <v>46042</v>
      </c>
      <c r="DR25" s="9" t="n">
        <v>0</v>
      </c>
      <c r="DT25" s="9" t="n">
        <v>0</v>
      </c>
      <c r="DU25" s="9" t="n">
        <v>0</v>
      </c>
      <c r="DY25" s="10" t="n">
        <v>46042</v>
      </c>
      <c r="EA25" s="9" t="n">
        <v>0</v>
      </c>
      <c r="EC25" s="9" t="n">
        <v>0</v>
      </c>
      <c r="ED25" s="9" t="n">
        <v>0</v>
      </c>
      <c r="EH25" s="10" t="n">
        <v>46042</v>
      </c>
      <c r="EJ25" s="9" t="n">
        <v>0</v>
      </c>
      <c r="EL25" s="9" t="n">
        <v>0</v>
      </c>
      <c r="EM25" s="9" t="n">
        <v>0</v>
      </c>
      <c r="EQ25" s="10" t="n">
        <v>46042</v>
      </c>
      <c r="ES25" s="9" t="n">
        <v>0</v>
      </c>
      <c r="EU25" s="9" t="n">
        <v>0</v>
      </c>
      <c r="EV25" s="9" t="n">
        <v>0</v>
      </c>
      <c r="EZ25" s="10" t="n">
        <v>46042</v>
      </c>
      <c r="FB25" s="9" t="n">
        <v>0</v>
      </c>
      <c r="FD25" s="9" t="n">
        <v>0</v>
      </c>
      <c r="FE25" s="9" t="n">
        <v>0</v>
      </c>
      <c r="FI25" s="10" t="n">
        <v>46042</v>
      </c>
      <c r="FK25" s="9" t="n">
        <v>0</v>
      </c>
      <c r="FM25" s="9" t="n">
        <v>0</v>
      </c>
      <c r="FN25" s="9" t="n">
        <v>0</v>
      </c>
      <c r="FR25" s="10" t="n">
        <v>46042</v>
      </c>
      <c r="FT25" s="9" t="n">
        <v>0</v>
      </c>
      <c r="FV25" s="9" t="n">
        <v>0</v>
      </c>
      <c r="FW25" s="9" t="n">
        <v>3540</v>
      </c>
      <c r="GA25" s="10" t="n">
        <v>46042</v>
      </c>
      <c r="GC25" s="9" t="n">
        <v>0</v>
      </c>
      <c r="GE25" s="9" t="n">
        <v>0</v>
      </c>
      <c r="GF25" s="9" t="n">
        <v>1960</v>
      </c>
      <c r="GJ25" s="10" t="n">
        <v>46042</v>
      </c>
      <c r="GL25" s="9" t="n">
        <v>1000</v>
      </c>
      <c r="GN25" s="9" t="n">
        <v>1000</v>
      </c>
      <c r="GO25" s="9" t="n">
        <v>6160</v>
      </c>
      <c r="GS25" s="10" t="n">
        <v>46042</v>
      </c>
      <c r="GU25" s="9" t="n">
        <v>0</v>
      </c>
      <c r="GW25" s="9" t="n">
        <v>0</v>
      </c>
      <c r="GX25" s="9" t="n">
        <v>0</v>
      </c>
      <c r="HB25" s="10" t="n">
        <v>46042</v>
      </c>
      <c r="HD25" s="9" t="n">
        <v>0</v>
      </c>
      <c r="HF25" s="9" t="n">
        <v>0</v>
      </c>
      <c r="HG25" s="9" t="n">
        <v>0</v>
      </c>
      <c r="HK25" s="10" t="n">
        <v>46042</v>
      </c>
      <c r="HM25" s="9" t="n">
        <v>0</v>
      </c>
      <c r="HO25" s="9" t="n">
        <v>0</v>
      </c>
      <c r="HP25" s="9" t="n">
        <v>0</v>
      </c>
      <c r="HU25" s="10" t="n">
        <v>46042</v>
      </c>
      <c r="HW25" s="9" t="n">
        <v>0</v>
      </c>
      <c r="HY25" s="9" t="n">
        <v>0</v>
      </c>
      <c r="HZ25" s="9" t="n">
        <v>2800</v>
      </c>
      <c r="ID25" s="10" t="n">
        <v>46042</v>
      </c>
      <c r="IF25" s="9" t="n">
        <v>0</v>
      </c>
      <c r="IH25" s="9" t="n">
        <v>0</v>
      </c>
      <c r="II25" s="9" t="n">
        <v>5100</v>
      </c>
      <c r="IM25" s="10" t="n">
        <v>46042</v>
      </c>
      <c r="IO25" s="9" t="n">
        <v>0</v>
      </c>
      <c r="IQ25" s="9" t="n">
        <v>0</v>
      </c>
      <c r="IR25" s="9" t="n">
        <v>15040</v>
      </c>
      <c r="IV25" s="10" t="n">
        <v>46042</v>
      </c>
      <c r="IX25" s="9" t="n">
        <v>0</v>
      </c>
      <c r="IZ25" s="9" t="n">
        <v>0</v>
      </c>
      <c r="JA25" s="9" t="n">
        <v>5120</v>
      </c>
      <c r="JE25" s="10" t="n">
        <v>46042</v>
      </c>
      <c r="JG25" s="9" t="n">
        <v>0</v>
      </c>
      <c r="JI25" s="9" t="n">
        <v>0</v>
      </c>
      <c r="JJ25" s="9" t="n">
        <v>6800</v>
      </c>
      <c r="JN25" s="10" t="n">
        <v>46042</v>
      </c>
      <c r="JP25" s="9" t="n">
        <v>0</v>
      </c>
      <c r="JR25" s="9" t="n">
        <v>0</v>
      </c>
      <c r="JS25" s="9" t="n">
        <v>5400</v>
      </c>
      <c r="JW25" s="10" t="n">
        <v>46042</v>
      </c>
      <c r="JY25" s="9" t="n">
        <v>0</v>
      </c>
      <c r="KA25" s="9" t="n">
        <v>0</v>
      </c>
      <c r="KB25" s="9" t="n">
        <v>0</v>
      </c>
      <c r="KF25" s="10" t="n">
        <v>46042</v>
      </c>
      <c r="KH25" s="9" t="n">
        <v>0</v>
      </c>
      <c r="KJ25" s="9" t="n">
        <v>0</v>
      </c>
      <c r="KK25" s="9" t="n">
        <v>0</v>
      </c>
      <c r="KO25" s="10" t="n">
        <v>46042</v>
      </c>
      <c r="KQ25" s="9" t="n">
        <v>0</v>
      </c>
      <c r="KS25" s="9" t="n">
        <v>0</v>
      </c>
      <c r="KT25" s="9" t="n">
        <v>0</v>
      </c>
      <c r="KX25" s="10" t="n">
        <v>46042</v>
      </c>
      <c r="KZ25" s="9" t="n">
        <v>0</v>
      </c>
      <c r="LB25" s="9" t="n">
        <v>0</v>
      </c>
      <c r="LC25" s="9" t="n">
        <v>0</v>
      </c>
      <c r="LG25" s="10" t="n">
        <v>46042</v>
      </c>
      <c r="LI25" s="9" t="n">
        <v>0</v>
      </c>
      <c r="LK25" s="9" t="n">
        <v>0</v>
      </c>
      <c r="LL25" s="9" t="n">
        <v>0</v>
      </c>
      <c r="LP25" s="10" t="n">
        <v>46042</v>
      </c>
      <c r="LR25" s="9" t="n">
        <v>0</v>
      </c>
      <c r="LT25" s="9" t="n">
        <v>0</v>
      </c>
      <c r="LU25" s="9" t="n">
        <v>0</v>
      </c>
      <c r="LY25" s="10" t="n">
        <v>46042</v>
      </c>
      <c r="MA25" s="9" t="n">
        <v>0</v>
      </c>
      <c r="MC25" s="9" t="n">
        <v>0</v>
      </c>
      <c r="MD25" s="9" t="n">
        <v>0</v>
      </c>
      <c r="MH25" s="10" t="n">
        <v>46042</v>
      </c>
      <c r="MJ25" s="9" t="n">
        <v>0</v>
      </c>
      <c r="ML25" s="9" t="n">
        <v>0</v>
      </c>
      <c r="MM25" s="9" t="n">
        <v>0</v>
      </c>
      <c r="MQ25" s="10" t="n">
        <v>46042</v>
      </c>
      <c r="MS25" s="9" t="n">
        <v>25</v>
      </c>
      <c r="MU25" s="9" t="n">
        <v>25</v>
      </c>
      <c r="MV25" s="9" t="n">
        <v>1196</v>
      </c>
      <c r="MZ25" s="10" t="n">
        <v>46042</v>
      </c>
      <c r="NB25" s="9" t="n">
        <v>0</v>
      </c>
      <c r="ND25" s="9" t="n">
        <v>0</v>
      </c>
      <c r="NE25" s="9" t="n">
        <v>0</v>
      </c>
      <c r="NI25" s="10" t="n">
        <v>46042</v>
      </c>
      <c r="NK25" s="9" t="n">
        <v>0</v>
      </c>
      <c r="NM25" s="9" t="n">
        <v>0</v>
      </c>
      <c r="NN25" s="9" t="n">
        <v>0</v>
      </c>
      <c r="NR25" s="10" t="n">
        <v>46042</v>
      </c>
      <c r="NT25" s="9" t="n">
        <v>0</v>
      </c>
      <c r="NV25" s="9" t="n">
        <v>0</v>
      </c>
      <c r="NW25" s="9" t="n">
        <v>0</v>
      </c>
      <c r="OA25" s="10" t="n">
        <v>46042</v>
      </c>
      <c r="OC25" s="9" t="n">
        <v>0</v>
      </c>
      <c r="OE25" s="9" t="n">
        <v>0</v>
      </c>
      <c r="OF25" s="9" t="n">
        <v>1680.5</v>
      </c>
      <c r="OJ25" s="10" t="n">
        <v>46042</v>
      </c>
      <c r="OL25" s="9" t="n">
        <v>0</v>
      </c>
      <c r="ON25" s="9" t="n">
        <v>0</v>
      </c>
      <c r="OO25" s="9" t="n">
        <v>0</v>
      </c>
      <c r="OS25" s="10" t="n">
        <v>46042</v>
      </c>
      <c r="OU25" s="9" t="n">
        <v>0</v>
      </c>
      <c r="OW25" s="9" t="n">
        <v>0</v>
      </c>
      <c r="OX25" s="9" t="n">
        <v>67</v>
      </c>
      <c r="PB25" s="10" t="n">
        <v>46042</v>
      </c>
      <c r="PD25" s="9" t="n">
        <v>0</v>
      </c>
      <c r="PF25" s="9" t="n">
        <v>0</v>
      </c>
      <c r="PG25" s="9" t="n">
        <v>0</v>
      </c>
      <c r="PK25" s="10" t="n">
        <v>46042</v>
      </c>
      <c r="PM25" s="9" t="n">
        <v>0</v>
      </c>
      <c r="PO25" s="9" t="n">
        <v>0</v>
      </c>
      <c r="PP25" s="9" t="n">
        <v>160</v>
      </c>
      <c r="PT25" s="10" t="n">
        <v>46042</v>
      </c>
      <c r="PV25" s="9" t="n">
        <v>0</v>
      </c>
      <c r="PX25" s="9" t="n">
        <v>0</v>
      </c>
      <c r="PY25" s="9" t="n">
        <v>13.96000000000004</v>
      </c>
      <c r="QC25" s="10" t="n">
        <v>46042</v>
      </c>
      <c r="QE25" s="9" t="n">
        <v>0</v>
      </c>
      <c r="QG25" s="9" t="n">
        <v>0</v>
      </c>
      <c r="QH25" s="9" t="n">
        <v>0</v>
      </c>
      <c r="QL25" s="10" t="n">
        <v>46042</v>
      </c>
      <c r="QN25" s="9" t="n">
        <v>0</v>
      </c>
      <c r="QP25" s="9" t="n">
        <v>0</v>
      </c>
      <c r="QQ25" s="9" t="n">
        <v>0</v>
      </c>
      <c r="QU25" s="10" t="n">
        <v>46042</v>
      </c>
      <c r="QW25" s="9" t="n">
        <v>0</v>
      </c>
      <c r="QY25" s="9" t="n">
        <v>0</v>
      </c>
      <c r="QZ25" s="9" t="n">
        <v>207.6</v>
      </c>
      <c r="RD25" s="10" t="n">
        <v>46042</v>
      </c>
      <c r="RF25" s="9" t="n">
        <v>0</v>
      </c>
      <c r="RH25" s="9" t="n">
        <v>0</v>
      </c>
      <c r="RI25" s="9" t="n">
        <v>201.8</v>
      </c>
      <c r="RM25" s="10" t="n">
        <v>46042</v>
      </c>
      <c r="RO25" s="9" t="n">
        <v>0</v>
      </c>
      <c r="RQ25" s="9" t="n">
        <v>0</v>
      </c>
      <c r="RR25" s="9" t="n">
        <v>22.72</v>
      </c>
      <c r="RV25" s="10" t="n">
        <v>46042</v>
      </c>
      <c r="RX25" s="9" t="n">
        <v>0</v>
      </c>
      <c r="RZ25" s="9" t="n">
        <v>0</v>
      </c>
      <c r="SA25" s="9" t="n">
        <v>0</v>
      </c>
      <c r="SE25" s="10" t="n">
        <v>46042</v>
      </c>
      <c r="SG25" s="9" t="n">
        <v>0</v>
      </c>
      <c r="SI25" s="9" t="n">
        <v>0</v>
      </c>
      <c r="SJ25" s="9" t="n">
        <v>0</v>
      </c>
      <c r="SN25" s="10" t="n">
        <v>46042</v>
      </c>
      <c r="SP25" s="9" t="n">
        <v>0</v>
      </c>
      <c r="SR25" s="9" t="n">
        <v>0</v>
      </c>
      <c r="SS25" s="9" t="n">
        <v>0</v>
      </c>
      <c r="SW25" s="10" t="n">
        <v>46042</v>
      </c>
      <c r="SY25" s="9" t="n">
        <v>0</v>
      </c>
      <c r="TA25" s="9" t="n">
        <v>0</v>
      </c>
      <c r="TB25" s="9" t="n">
        <v>0</v>
      </c>
      <c r="TF25" s="10" t="n">
        <v>46042</v>
      </c>
      <c r="TH25" s="9" t="n">
        <v>0</v>
      </c>
      <c r="TJ25" s="9" t="n">
        <v>0</v>
      </c>
      <c r="TK25" s="9" t="n">
        <v>0</v>
      </c>
      <c r="TO25" s="10" t="n">
        <v>46042</v>
      </c>
      <c r="TQ25" s="9" t="n">
        <v>0</v>
      </c>
      <c r="TS25" s="9" t="n">
        <v>0</v>
      </c>
      <c r="TT25" s="9" t="n">
        <v>0</v>
      </c>
      <c r="TX25" s="10" t="n">
        <v>46042</v>
      </c>
      <c r="TZ25" s="9" t="n">
        <v>0</v>
      </c>
      <c r="UB25" s="9" t="n">
        <v>0</v>
      </c>
      <c r="UC25" s="9" t="n">
        <v>0</v>
      </c>
      <c r="UG25" s="10" t="n">
        <v>46042</v>
      </c>
      <c r="UI25" s="9" t="n">
        <v>0</v>
      </c>
      <c r="UK25" s="9" t="n">
        <v>0</v>
      </c>
      <c r="UL25" s="9" t="n">
        <v>0</v>
      </c>
      <c r="UP25" s="10" t="n">
        <v>46042</v>
      </c>
      <c r="UR25" s="9" t="n">
        <v>0</v>
      </c>
      <c r="UT25" s="9" t="n">
        <v>0</v>
      </c>
      <c r="UU25" s="9" t="n">
        <v>0</v>
      </c>
      <c r="UY25" s="10" t="n">
        <v>46042</v>
      </c>
      <c r="VA25" s="9" t="n">
        <v>0</v>
      </c>
      <c r="VC25" s="9" t="n">
        <v>0</v>
      </c>
      <c r="VD25" s="9" t="n">
        <v>-319.6</v>
      </c>
      <c r="VH25" s="10" t="n">
        <v>46042</v>
      </c>
      <c r="VJ25" s="9" t="n">
        <v>0</v>
      </c>
      <c r="VL25" s="9" t="n">
        <v>0</v>
      </c>
      <c r="VM25" s="9" t="n">
        <v>0</v>
      </c>
      <c r="VQ25" s="10" t="n">
        <v>46042</v>
      </c>
      <c r="VS25" s="9" t="n">
        <v>0</v>
      </c>
      <c r="VU25" s="9" t="n">
        <v>0</v>
      </c>
      <c r="VV25" s="9" t="n">
        <v>0</v>
      </c>
      <c r="VZ25" s="10" t="n">
        <v>46042</v>
      </c>
      <c r="WB25" s="9" t="n">
        <v>0</v>
      </c>
      <c r="WD25" s="9" t="n">
        <v>0</v>
      </c>
      <c r="WE25" s="9" t="n">
        <v>0</v>
      </c>
      <c r="WI25" s="10" t="n">
        <v>46042</v>
      </c>
      <c r="WK25" s="9" t="n">
        <v>0</v>
      </c>
      <c r="WM25" s="9" t="n">
        <v>0</v>
      </c>
      <c r="WN25" s="9" t="n">
        <v>5877</v>
      </c>
      <c r="WR25" s="10" t="n">
        <v>46042</v>
      </c>
      <c r="WT25" s="9" t="n">
        <v>0</v>
      </c>
      <c r="WV25" s="9" t="n">
        <v>0</v>
      </c>
      <c r="WW25" s="9" t="n">
        <v>5267</v>
      </c>
      <c r="XA25" s="10" t="n">
        <v>46042</v>
      </c>
      <c r="XC25" s="9" t="n">
        <v>0</v>
      </c>
      <c r="XD25" s="9" t="n">
        <v>995</v>
      </c>
      <c r="XE25" s="9" t="n">
        <v>-995</v>
      </c>
      <c r="XF25" s="9" t="n">
        <v>-877</v>
      </c>
      <c r="XJ25" s="10" t="n">
        <v>46042</v>
      </c>
      <c r="XL25" s="9" t="n">
        <v>0</v>
      </c>
      <c r="XM25" s="9" t="n">
        <v>402</v>
      </c>
      <c r="XN25" s="9" t="n">
        <v>-402</v>
      </c>
      <c r="XO25" s="9" t="n">
        <v>5274</v>
      </c>
      <c r="XS25" s="10" t="n">
        <v>46042</v>
      </c>
      <c r="XU25" s="9" t="n">
        <v>0</v>
      </c>
      <c r="XW25" s="9" t="n">
        <v>0</v>
      </c>
      <c r="XX25" s="9" t="n">
        <v>1901</v>
      </c>
      <c r="YB25" s="10" t="n">
        <v>46042</v>
      </c>
      <c r="YD25" s="9" t="n">
        <v>0</v>
      </c>
      <c r="YF25" s="9" t="n">
        <v>0</v>
      </c>
      <c r="YG25" s="9" t="n">
        <v>2671</v>
      </c>
      <c r="YK25" s="10" t="n">
        <v>46042</v>
      </c>
      <c r="YM25" s="9" t="n">
        <v>0</v>
      </c>
      <c r="YO25" s="9" t="n">
        <v>0</v>
      </c>
      <c r="YP25" s="9" t="n">
        <v>0</v>
      </c>
      <c r="YT25" s="10" t="n">
        <v>46042</v>
      </c>
      <c r="YV25" s="9" t="n">
        <v>0</v>
      </c>
      <c r="YX25" s="9" t="n">
        <v>0</v>
      </c>
      <c r="YY25" s="9" t="n">
        <v>0</v>
      </c>
      <c r="ZC25" s="10" t="n">
        <v>46042</v>
      </c>
      <c r="ZE25" s="9" t="n">
        <v>0</v>
      </c>
      <c r="ZG25" s="9" t="n">
        <v>0</v>
      </c>
      <c r="ZH25" s="9" t="n">
        <v>0</v>
      </c>
      <c r="ZL25" s="10" t="n">
        <v>46042</v>
      </c>
      <c r="ZN25" s="9" t="n">
        <v>0</v>
      </c>
      <c r="ZP25" s="9" t="n">
        <v>0</v>
      </c>
      <c r="ZQ25" s="9" t="n">
        <v>0</v>
      </c>
      <c r="ZU25" s="10" t="n">
        <v>46042</v>
      </c>
      <c r="ZW25" s="9" t="n">
        <v>0</v>
      </c>
      <c r="ZY25" s="9" t="n">
        <v>0</v>
      </c>
      <c r="ZZ25" s="9" t="n">
        <v>0</v>
      </c>
      <c r="AAD25" s="10" t="n">
        <v>46042</v>
      </c>
      <c r="AAF25" s="9" t="n">
        <v>0</v>
      </c>
      <c r="AAH25" s="9" t="n">
        <v>0</v>
      </c>
      <c r="AAI25" s="9" t="n">
        <v>0</v>
      </c>
      <c r="AAM25" s="10" t="n">
        <v>46042</v>
      </c>
      <c r="AAO25" s="9" t="n">
        <v>0</v>
      </c>
      <c r="AAQ25" s="9" t="n">
        <v>0</v>
      </c>
      <c r="AAR25" s="9" t="n">
        <v>0</v>
      </c>
      <c r="AAV25" s="10" t="n">
        <v>46042</v>
      </c>
      <c r="AAX25" s="9" t="n">
        <v>0</v>
      </c>
      <c r="AAZ25" s="9" t="n">
        <v>0</v>
      </c>
      <c r="ABA25" s="9" t="n">
        <v>0</v>
      </c>
      <c r="ABE25" s="10" t="n">
        <v>46042</v>
      </c>
      <c r="ABG25" s="9" t="n">
        <v>0</v>
      </c>
      <c r="ABI25" s="9" t="n">
        <v>0</v>
      </c>
      <c r="ABJ25" s="9" t="n">
        <v>0</v>
      </c>
    </row>
    <row r="26">
      <c r="B26" s="9" t="n">
        <v>32</v>
      </c>
      <c r="C26" s="10" t="n">
        <v>46043</v>
      </c>
      <c r="D26" s="9" t="n">
        <v>22980</v>
      </c>
      <c r="E26" s="9" t="n">
        <v>19949.5</v>
      </c>
      <c r="F26" s="9" t="n">
        <v>19949</v>
      </c>
      <c r="G26" s="9" t="n">
        <v>0.5</v>
      </c>
      <c r="H26" s="9" t="n">
        <v>38417.4</v>
      </c>
      <c r="I26" s="9" t="inlineStr">
        <is>
          <t>1103 14mt, 8103 18mt</t>
        </is>
      </c>
      <c r="L26" s="10" t="n">
        <v>46043</v>
      </c>
      <c r="M26" s="9" t="n">
        <v>46240</v>
      </c>
      <c r="N26" s="9" t="n">
        <v>5542.5</v>
      </c>
      <c r="O26" s="9" t="n">
        <v>5540.8</v>
      </c>
      <c r="P26" s="9" t="n">
        <v>1.699999999999818</v>
      </c>
      <c r="Q26" s="9" t="n">
        <v>88831.8</v>
      </c>
      <c r="U26" s="10" t="n">
        <v>46043</v>
      </c>
      <c r="W26" s="9" t="n">
        <v>1930</v>
      </c>
      <c r="X26" s="9" t="n">
        <v>1929.1</v>
      </c>
      <c r="Y26" s="9" t="n">
        <v>0.9000000000000909</v>
      </c>
      <c r="Z26" s="9" t="n">
        <v>42330.79999999998</v>
      </c>
      <c r="AD26" s="10" t="n">
        <v>46043</v>
      </c>
      <c r="AE26" s="9" t="n">
        <v>30510</v>
      </c>
      <c r="AF26" s="9" t="n">
        <v>1340</v>
      </c>
      <c r="AG26" s="9" t="n">
        <v>1341.6</v>
      </c>
      <c r="AH26" s="9" t="n">
        <v>-1.599999999999909</v>
      </c>
      <c r="AI26" s="9" t="n">
        <v>44880.60000000001</v>
      </c>
      <c r="AM26" s="10" t="n">
        <v>46043</v>
      </c>
      <c r="AO26" s="9" t="n">
        <v>0</v>
      </c>
      <c r="AQ26" s="9" t="n">
        <v>0</v>
      </c>
      <c r="AR26" s="9" t="n">
        <v>0</v>
      </c>
      <c r="AV26" s="10" t="n">
        <v>46043</v>
      </c>
      <c r="AX26" s="9" t="n">
        <v>577</v>
      </c>
      <c r="AY26" s="9" t="n">
        <v>576.8</v>
      </c>
      <c r="AZ26" s="9" t="n">
        <v>0.2000000000000455</v>
      </c>
      <c r="BA26" s="9" t="n">
        <v>41390.59999999999</v>
      </c>
      <c r="BE26" s="10" t="n">
        <v>46043</v>
      </c>
      <c r="BG26" s="9" t="n">
        <v>710</v>
      </c>
      <c r="BH26" s="9" t="n">
        <v>711.5</v>
      </c>
      <c r="BI26" s="9" t="n">
        <v>-1.5</v>
      </c>
      <c r="BJ26" s="9" t="n">
        <v>28800.80000000001</v>
      </c>
      <c r="BN26" s="10" t="n">
        <v>46043</v>
      </c>
      <c r="BO26" s="9" t="n">
        <v>620.1</v>
      </c>
      <c r="BP26" s="9" t="n">
        <v>620</v>
      </c>
      <c r="BQ26" s="9" t="n">
        <v>620.1</v>
      </c>
      <c r="BR26" s="9" t="n">
        <v>-0.1000000000000227</v>
      </c>
      <c r="BS26" s="9" t="n">
        <v>0</v>
      </c>
      <c r="BW26" s="10" t="n">
        <v>46043</v>
      </c>
      <c r="BY26" s="9" t="n">
        <v>0</v>
      </c>
      <c r="CA26" s="9" t="n">
        <v>0</v>
      </c>
      <c r="CB26" s="9" t="n">
        <v>3386.5</v>
      </c>
      <c r="CF26" s="10" t="n">
        <v>46043</v>
      </c>
      <c r="CH26" s="9" t="n">
        <v>0</v>
      </c>
      <c r="CJ26" s="9" t="n">
        <v>0</v>
      </c>
      <c r="CK26" s="9" t="n">
        <v>0</v>
      </c>
      <c r="CO26" s="10" t="n">
        <v>46043</v>
      </c>
      <c r="CQ26" s="9" t="n">
        <v>0</v>
      </c>
      <c r="CS26" s="9" t="n">
        <v>0</v>
      </c>
      <c r="CT26" s="9" t="n">
        <v>0</v>
      </c>
      <c r="CX26" s="10" t="n">
        <v>46043</v>
      </c>
      <c r="CZ26" s="9" t="n">
        <v>0</v>
      </c>
      <c r="DB26" s="9" t="n">
        <v>0</v>
      </c>
      <c r="DC26" s="9" t="n">
        <v>0</v>
      </c>
      <c r="DG26" s="10" t="n">
        <v>46043</v>
      </c>
      <c r="DI26" s="9" t="n">
        <v>630</v>
      </c>
      <c r="DJ26" s="9" t="n">
        <v>629.4</v>
      </c>
      <c r="DK26" s="9" t="n">
        <v>0.6000000000000227</v>
      </c>
      <c r="DL26" s="9" t="n">
        <v>23572.8</v>
      </c>
      <c r="DP26" s="10" t="n">
        <v>46043</v>
      </c>
      <c r="DR26" s="9" t="n">
        <v>0</v>
      </c>
      <c r="DT26" s="9" t="n">
        <v>0</v>
      </c>
      <c r="DU26" s="9" t="n">
        <v>0</v>
      </c>
      <c r="DY26" s="10" t="n">
        <v>46043</v>
      </c>
      <c r="EA26" s="9" t="n">
        <v>0</v>
      </c>
      <c r="EC26" s="9" t="n">
        <v>0</v>
      </c>
      <c r="ED26" s="9" t="n">
        <v>0</v>
      </c>
      <c r="EH26" s="10" t="n">
        <v>46043</v>
      </c>
      <c r="EJ26" s="9" t="n">
        <v>0</v>
      </c>
      <c r="EL26" s="9" t="n">
        <v>0</v>
      </c>
      <c r="EM26" s="9" t="n">
        <v>0</v>
      </c>
      <c r="EQ26" s="10" t="n">
        <v>46043</v>
      </c>
      <c r="ES26" s="9" t="n">
        <v>0</v>
      </c>
      <c r="EU26" s="9" t="n">
        <v>0</v>
      </c>
      <c r="EV26" s="9" t="n">
        <v>0</v>
      </c>
      <c r="EZ26" s="10" t="n">
        <v>46043</v>
      </c>
      <c r="FB26" s="9" t="n">
        <v>0</v>
      </c>
      <c r="FD26" s="9" t="n">
        <v>0</v>
      </c>
      <c r="FE26" s="9" t="n">
        <v>0</v>
      </c>
      <c r="FI26" s="10" t="n">
        <v>46043</v>
      </c>
      <c r="FK26" s="9" t="n">
        <v>0</v>
      </c>
      <c r="FM26" s="9" t="n">
        <v>0</v>
      </c>
      <c r="FN26" s="9" t="n">
        <v>0</v>
      </c>
      <c r="FR26" s="10" t="n">
        <v>46043</v>
      </c>
      <c r="FT26" s="9" t="n">
        <v>0</v>
      </c>
      <c r="FV26" s="9" t="n">
        <v>0</v>
      </c>
      <c r="FW26" s="9" t="n">
        <v>3540</v>
      </c>
      <c r="GA26" s="10" t="n">
        <v>46043</v>
      </c>
      <c r="GC26" s="9" t="n">
        <v>0</v>
      </c>
      <c r="GE26" s="9" t="n">
        <v>0</v>
      </c>
      <c r="GF26" s="9" t="n">
        <v>1960</v>
      </c>
      <c r="GJ26" s="10" t="n">
        <v>46043</v>
      </c>
      <c r="GL26" s="9" t="n">
        <v>280</v>
      </c>
      <c r="GN26" s="9" t="n">
        <v>280</v>
      </c>
      <c r="GO26" s="9" t="n">
        <v>6160</v>
      </c>
      <c r="GS26" s="10" t="n">
        <v>46043</v>
      </c>
      <c r="GU26" s="9" t="n">
        <v>0</v>
      </c>
      <c r="GW26" s="9" t="n">
        <v>0</v>
      </c>
      <c r="GX26" s="9" t="n">
        <v>0</v>
      </c>
      <c r="HB26" s="10" t="n">
        <v>46043</v>
      </c>
      <c r="HD26" s="9" t="n">
        <v>0</v>
      </c>
      <c r="HF26" s="9" t="n">
        <v>0</v>
      </c>
      <c r="HG26" s="9" t="n">
        <v>0</v>
      </c>
      <c r="HK26" s="10" t="n">
        <v>46043</v>
      </c>
      <c r="HM26" s="9" t="n">
        <v>0</v>
      </c>
      <c r="HO26" s="9" t="n">
        <v>0</v>
      </c>
      <c r="HP26" s="9" t="n">
        <v>0</v>
      </c>
      <c r="HU26" s="10" t="n">
        <v>46043</v>
      </c>
      <c r="HW26" s="9" t="n">
        <v>0</v>
      </c>
      <c r="HY26" s="9" t="n">
        <v>0</v>
      </c>
      <c r="HZ26" s="9" t="n">
        <v>2800</v>
      </c>
      <c r="ID26" s="10" t="n">
        <v>46043</v>
      </c>
      <c r="IF26" s="9" t="n">
        <v>0</v>
      </c>
      <c r="IH26" s="9" t="n">
        <v>0</v>
      </c>
      <c r="II26" s="9" t="n">
        <v>5100</v>
      </c>
      <c r="IM26" s="10" t="n">
        <v>46043</v>
      </c>
      <c r="IO26" s="9" t="n">
        <v>0</v>
      </c>
      <c r="IQ26" s="9" t="n">
        <v>0</v>
      </c>
      <c r="IR26" s="9" t="n">
        <v>15040</v>
      </c>
      <c r="IV26" s="10" t="n">
        <v>46043</v>
      </c>
      <c r="IW26" s="9" t="n">
        <v>4000</v>
      </c>
      <c r="IX26" s="9" t="n">
        <v>360</v>
      </c>
      <c r="IZ26" s="9" t="n">
        <v>360</v>
      </c>
      <c r="JA26" s="9" t="n">
        <v>9120</v>
      </c>
      <c r="JE26" s="10" t="n">
        <v>46043</v>
      </c>
      <c r="JG26" s="9" t="n">
        <v>0</v>
      </c>
      <c r="JI26" s="9" t="n">
        <v>0</v>
      </c>
      <c r="JJ26" s="9" t="n">
        <v>6800</v>
      </c>
      <c r="JN26" s="10" t="n">
        <v>46043</v>
      </c>
      <c r="JP26" s="9" t="n">
        <v>0</v>
      </c>
      <c r="JR26" s="9" t="n">
        <v>0</v>
      </c>
      <c r="JS26" s="9" t="n">
        <v>5400</v>
      </c>
      <c r="JW26" s="10" t="n">
        <v>46043</v>
      </c>
      <c r="JY26" s="9" t="n">
        <v>0</v>
      </c>
      <c r="KA26" s="9" t="n">
        <v>0</v>
      </c>
      <c r="KB26" s="9" t="n">
        <v>0</v>
      </c>
      <c r="KF26" s="10" t="n">
        <v>46043</v>
      </c>
      <c r="KH26" s="9" t="n">
        <v>0</v>
      </c>
      <c r="KJ26" s="9" t="n">
        <v>0</v>
      </c>
      <c r="KK26" s="9" t="n">
        <v>0</v>
      </c>
      <c r="KO26" s="10" t="n">
        <v>46043</v>
      </c>
      <c r="KQ26" s="9" t="n">
        <v>0</v>
      </c>
      <c r="KS26" s="9" t="n">
        <v>0</v>
      </c>
      <c r="KT26" s="9" t="n">
        <v>0</v>
      </c>
      <c r="KX26" s="10" t="n">
        <v>46043</v>
      </c>
      <c r="KZ26" s="9" t="n">
        <v>0</v>
      </c>
      <c r="LB26" s="9" t="n">
        <v>0</v>
      </c>
      <c r="LC26" s="9" t="n">
        <v>0</v>
      </c>
      <c r="LG26" s="10" t="n">
        <v>46043</v>
      </c>
      <c r="LI26" s="9" t="n">
        <v>0</v>
      </c>
      <c r="LK26" s="9" t="n">
        <v>0</v>
      </c>
      <c r="LL26" s="9" t="n">
        <v>0</v>
      </c>
      <c r="LP26" s="10" t="n">
        <v>46043</v>
      </c>
      <c r="LR26" s="9" t="n">
        <v>0</v>
      </c>
      <c r="LT26" s="9" t="n">
        <v>0</v>
      </c>
      <c r="LU26" s="9" t="n">
        <v>0</v>
      </c>
      <c r="LY26" s="10" t="n">
        <v>46043</v>
      </c>
      <c r="MA26" s="9" t="n">
        <v>0</v>
      </c>
      <c r="MC26" s="9" t="n">
        <v>0</v>
      </c>
      <c r="MD26" s="9" t="n">
        <v>0</v>
      </c>
      <c r="MH26" s="10" t="n">
        <v>46043</v>
      </c>
      <c r="MJ26" s="9" t="n">
        <v>0</v>
      </c>
      <c r="ML26" s="9" t="n">
        <v>0</v>
      </c>
      <c r="MM26" s="9" t="n">
        <v>0</v>
      </c>
      <c r="MQ26" s="10" t="n">
        <v>46043</v>
      </c>
      <c r="MS26" s="9" t="n">
        <v>7</v>
      </c>
      <c r="MU26" s="9" t="n">
        <v>7</v>
      </c>
      <c r="MV26" s="9" t="n">
        <v>1196</v>
      </c>
      <c r="MZ26" s="10" t="n">
        <v>46043</v>
      </c>
      <c r="NB26" s="9" t="n">
        <v>54</v>
      </c>
      <c r="ND26" s="9" t="n">
        <v>54</v>
      </c>
      <c r="NE26" s="9" t="n">
        <v>0</v>
      </c>
      <c r="NI26" s="10" t="n">
        <v>46043</v>
      </c>
      <c r="NK26" s="9" t="n">
        <v>0</v>
      </c>
      <c r="NM26" s="9" t="n">
        <v>0</v>
      </c>
      <c r="NN26" s="9" t="n">
        <v>0</v>
      </c>
      <c r="NR26" s="10" t="n">
        <v>46043</v>
      </c>
      <c r="NT26" s="9" t="n">
        <v>0</v>
      </c>
      <c r="NV26" s="9" t="n">
        <v>0</v>
      </c>
      <c r="NW26" s="9" t="n">
        <v>0</v>
      </c>
      <c r="OA26" s="10" t="n">
        <v>46043</v>
      </c>
      <c r="OC26" s="9" t="n">
        <v>0</v>
      </c>
      <c r="OE26" s="9" t="n">
        <v>0</v>
      </c>
      <c r="OF26" s="9" t="n">
        <v>1680.5</v>
      </c>
      <c r="OJ26" s="10" t="n">
        <v>46043</v>
      </c>
      <c r="OL26" s="9" t="n">
        <v>0</v>
      </c>
      <c r="ON26" s="9" t="n">
        <v>0</v>
      </c>
      <c r="OO26" s="9" t="n">
        <v>0</v>
      </c>
      <c r="OS26" s="10" t="n">
        <v>46043</v>
      </c>
      <c r="OU26" s="9" t="n">
        <v>0</v>
      </c>
      <c r="OW26" s="9" t="n">
        <v>0</v>
      </c>
      <c r="OX26" s="9" t="n">
        <v>67</v>
      </c>
      <c r="PB26" s="10" t="n">
        <v>46043</v>
      </c>
      <c r="PD26" s="9" t="n">
        <v>0</v>
      </c>
      <c r="PF26" s="9" t="n">
        <v>0</v>
      </c>
      <c r="PG26" s="9" t="n">
        <v>0</v>
      </c>
      <c r="PK26" s="10" t="n">
        <v>46043</v>
      </c>
      <c r="PM26" s="9" t="n">
        <v>0</v>
      </c>
      <c r="PO26" s="9" t="n">
        <v>0</v>
      </c>
      <c r="PP26" s="9" t="n">
        <v>160</v>
      </c>
      <c r="PT26" s="10" t="n">
        <v>46043</v>
      </c>
      <c r="PV26" s="9" t="n">
        <v>0</v>
      </c>
      <c r="PX26" s="9" t="n">
        <v>0</v>
      </c>
      <c r="PY26" s="9" t="n">
        <v>13.96000000000004</v>
      </c>
      <c r="QC26" s="10" t="n">
        <v>46043</v>
      </c>
      <c r="QE26" s="9" t="n">
        <v>0</v>
      </c>
      <c r="QG26" s="9" t="n">
        <v>0</v>
      </c>
      <c r="QH26" s="9" t="n">
        <v>0</v>
      </c>
      <c r="QL26" s="10" t="n">
        <v>46043</v>
      </c>
      <c r="QN26" s="9" t="n">
        <v>0</v>
      </c>
      <c r="QP26" s="9" t="n">
        <v>0</v>
      </c>
      <c r="QQ26" s="9" t="n">
        <v>0</v>
      </c>
      <c r="QU26" s="10" t="n">
        <v>46043</v>
      </c>
      <c r="QW26" s="9" t="n">
        <v>0</v>
      </c>
      <c r="QY26" s="9" t="n">
        <v>0</v>
      </c>
      <c r="QZ26" s="9" t="n">
        <v>207.6</v>
      </c>
      <c r="RD26" s="10" t="n">
        <v>46043</v>
      </c>
      <c r="RF26" s="9" t="n">
        <v>0</v>
      </c>
      <c r="RH26" s="9" t="n">
        <v>0</v>
      </c>
      <c r="RI26" s="9" t="n">
        <v>201.8</v>
      </c>
      <c r="RM26" s="10" t="n">
        <v>46043</v>
      </c>
      <c r="RO26" s="9" t="n">
        <v>0</v>
      </c>
      <c r="RQ26" s="9" t="n">
        <v>0</v>
      </c>
      <c r="RR26" s="9" t="n">
        <v>22.72</v>
      </c>
      <c r="RV26" s="10" t="n">
        <v>46043</v>
      </c>
      <c r="RX26" s="9" t="n">
        <v>0</v>
      </c>
      <c r="RZ26" s="9" t="n">
        <v>0</v>
      </c>
      <c r="SA26" s="9" t="n">
        <v>0</v>
      </c>
      <c r="SE26" s="10" t="n">
        <v>46043</v>
      </c>
      <c r="SG26" s="9" t="n">
        <v>0</v>
      </c>
      <c r="SI26" s="9" t="n">
        <v>0</v>
      </c>
      <c r="SJ26" s="9" t="n">
        <v>0</v>
      </c>
      <c r="SN26" s="10" t="n">
        <v>46043</v>
      </c>
      <c r="SP26" s="9" t="n">
        <v>0</v>
      </c>
      <c r="SR26" s="9" t="n">
        <v>0</v>
      </c>
      <c r="SS26" s="9" t="n">
        <v>0</v>
      </c>
      <c r="SW26" s="10" t="n">
        <v>46043</v>
      </c>
      <c r="SY26" s="9" t="n">
        <v>0</v>
      </c>
      <c r="TA26" s="9" t="n">
        <v>0</v>
      </c>
      <c r="TB26" s="9" t="n">
        <v>0</v>
      </c>
      <c r="TF26" s="10" t="n">
        <v>46043</v>
      </c>
      <c r="TH26" s="9" t="n">
        <v>0</v>
      </c>
      <c r="TJ26" s="9" t="n">
        <v>0</v>
      </c>
      <c r="TK26" s="9" t="n">
        <v>0</v>
      </c>
      <c r="TO26" s="10" t="n">
        <v>46043</v>
      </c>
      <c r="TQ26" s="9" t="n">
        <v>0</v>
      </c>
      <c r="TS26" s="9" t="n">
        <v>0</v>
      </c>
      <c r="TT26" s="9" t="n">
        <v>0</v>
      </c>
      <c r="TX26" s="10" t="n">
        <v>46043</v>
      </c>
      <c r="TZ26" s="9" t="n">
        <v>0</v>
      </c>
      <c r="UB26" s="9" t="n">
        <v>0</v>
      </c>
      <c r="UC26" s="9" t="n">
        <v>0</v>
      </c>
      <c r="UG26" s="10" t="n">
        <v>46043</v>
      </c>
      <c r="UI26" s="9" t="n">
        <v>0</v>
      </c>
      <c r="UK26" s="9" t="n">
        <v>0</v>
      </c>
      <c r="UL26" s="9" t="n">
        <v>0</v>
      </c>
      <c r="UP26" s="10" t="n">
        <v>46043</v>
      </c>
      <c r="UR26" s="9" t="n">
        <v>0</v>
      </c>
      <c r="UT26" s="9" t="n">
        <v>0</v>
      </c>
      <c r="UU26" s="9" t="n">
        <v>0</v>
      </c>
      <c r="UY26" s="10" t="n">
        <v>46043</v>
      </c>
      <c r="VA26" s="9" t="n">
        <v>0</v>
      </c>
      <c r="VC26" s="9" t="n">
        <v>0</v>
      </c>
      <c r="VD26" s="9" t="n">
        <v>-319.6</v>
      </c>
      <c r="VH26" s="10" t="n">
        <v>46043</v>
      </c>
      <c r="VJ26" s="9" t="n">
        <v>0</v>
      </c>
      <c r="VL26" s="9" t="n">
        <v>0</v>
      </c>
      <c r="VM26" s="9" t="n">
        <v>0</v>
      </c>
      <c r="VQ26" s="10" t="n">
        <v>46043</v>
      </c>
      <c r="VS26" s="9" t="n">
        <v>0</v>
      </c>
      <c r="VU26" s="9" t="n">
        <v>0</v>
      </c>
      <c r="VV26" s="9" t="n">
        <v>0</v>
      </c>
      <c r="VZ26" s="10" t="n">
        <v>46043</v>
      </c>
      <c r="WB26" s="9" t="n">
        <v>0</v>
      </c>
      <c r="WD26" s="9" t="n">
        <v>0</v>
      </c>
      <c r="WE26" s="9" t="n">
        <v>0</v>
      </c>
      <c r="WI26" s="10" t="n">
        <v>46043</v>
      </c>
      <c r="WJ26" s="9" t="n">
        <v>4063</v>
      </c>
      <c r="WK26" s="9" t="n">
        <v>0</v>
      </c>
      <c r="WM26" s="9" t="n">
        <v>0</v>
      </c>
      <c r="WN26" s="9" t="n">
        <v>9940</v>
      </c>
      <c r="WR26" s="10" t="n">
        <v>46043</v>
      </c>
      <c r="WS26" s="9" t="n">
        <v>2882</v>
      </c>
      <c r="WT26" s="9" t="n">
        <v>0</v>
      </c>
      <c r="WV26" s="9" t="n">
        <v>0</v>
      </c>
      <c r="WW26" s="9" t="n">
        <v>8149</v>
      </c>
      <c r="XA26" s="10" t="n">
        <v>46043</v>
      </c>
      <c r="XB26" s="9" t="n">
        <v>4347</v>
      </c>
      <c r="XC26" s="9" t="n">
        <v>0</v>
      </c>
      <c r="XD26" s="9" t="n">
        <v>216</v>
      </c>
      <c r="XE26" s="9" t="n">
        <v>-216</v>
      </c>
      <c r="XF26" s="9" t="n">
        <v>3254</v>
      </c>
      <c r="XJ26" s="10" t="n">
        <v>46043</v>
      </c>
      <c r="XK26" s="9" t="n">
        <v>3000</v>
      </c>
      <c r="XL26" s="9" t="n">
        <v>0</v>
      </c>
      <c r="XM26" s="9" t="n">
        <v>365</v>
      </c>
      <c r="XN26" s="9" t="n">
        <v>-365</v>
      </c>
      <c r="XO26" s="9" t="n">
        <v>7909</v>
      </c>
      <c r="XS26" s="10" t="n">
        <v>46043</v>
      </c>
      <c r="XU26" s="9" t="n">
        <v>0</v>
      </c>
      <c r="XW26" s="9" t="n">
        <v>0</v>
      </c>
      <c r="XX26" s="9" t="n">
        <v>1901</v>
      </c>
      <c r="YB26" s="10" t="n">
        <v>46043</v>
      </c>
      <c r="YD26" s="9" t="n">
        <v>0</v>
      </c>
      <c r="YF26" s="9" t="n">
        <v>0</v>
      </c>
      <c r="YG26" s="9" t="n">
        <v>2671</v>
      </c>
      <c r="YK26" s="10" t="n">
        <v>46043</v>
      </c>
      <c r="YM26" s="9" t="n">
        <v>0</v>
      </c>
      <c r="YO26" s="9" t="n">
        <v>0</v>
      </c>
      <c r="YP26" s="9" t="n">
        <v>0</v>
      </c>
      <c r="YT26" s="10" t="n">
        <v>46043</v>
      </c>
      <c r="YV26" s="9" t="n">
        <v>0</v>
      </c>
      <c r="YX26" s="9" t="n">
        <v>0</v>
      </c>
      <c r="YY26" s="9" t="n">
        <v>0</v>
      </c>
      <c r="ZC26" s="10" t="n">
        <v>46043</v>
      </c>
      <c r="ZE26" s="9" t="n">
        <v>0</v>
      </c>
      <c r="ZG26" s="9" t="n">
        <v>0</v>
      </c>
      <c r="ZH26" s="9" t="n">
        <v>0</v>
      </c>
      <c r="ZL26" s="10" t="n">
        <v>46043</v>
      </c>
      <c r="ZN26" s="9" t="n">
        <v>0</v>
      </c>
      <c r="ZP26" s="9" t="n">
        <v>0</v>
      </c>
      <c r="ZQ26" s="9" t="n">
        <v>0</v>
      </c>
      <c r="ZU26" s="10" t="n">
        <v>46043</v>
      </c>
      <c r="ZW26" s="9" t="n">
        <v>0</v>
      </c>
      <c r="ZY26" s="9" t="n">
        <v>0</v>
      </c>
      <c r="ZZ26" s="9" t="n">
        <v>0</v>
      </c>
      <c r="AAD26" s="10" t="n">
        <v>46043</v>
      </c>
      <c r="AAF26" s="9" t="n">
        <v>0</v>
      </c>
      <c r="AAH26" s="9" t="n">
        <v>0</v>
      </c>
      <c r="AAI26" s="9" t="n">
        <v>0</v>
      </c>
      <c r="AAM26" s="10" t="n">
        <v>46043</v>
      </c>
      <c r="AAO26" s="9" t="n">
        <v>0</v>
      </c>
      <c r="AAQ26" s="9" t="n">
        <v>0</v>
      </c>
      <c r="AAR26" s="9" t="n">
        <v>0</v>
      </c>
      <c r="AAV26" s="10" t="n">
        <v>46043</v>
      </c>
      <c r="AAX26" s="9" t="n">
        <v>0</v>
      </c>
      <c r="AAZ26" s="9" t="n">
        <v>0</v>
      </c>
      <c r="ABA26" s="9" t="n">
        <v>0</v>
      </c>
      <c r="ABE26" s="10" t="n">
        <v>46043</v>
      </c>
      <c r="ABG26" s="9" t="n">
        <v>0</v>
      </c>
      <c r="ABI26" s="9" t="n">
        <v>0</v>
      </c>
      <c r="ABJ26" s="9" t="n">
        <v>0</v>
      </c>
    </row>
    <row r="27">
      <c r="B27" s="9" t="n">
        <v>40</v>
      </c>
      <c r="C27" s="10" t="n">
        <v>46044</v>
      </c>
      <c r="D27" s="9" t="n">
        <v>55540</v>
      </c>
      <c r="E27" s="9" t="n">
        <v>21500</v>
      </c>
      <c r="F27" s="9" t="n">
        <v>21498.8</v>
      </c>
      <c r="G27" s="9" t="n">
        <v>1.200000000000728</v>
      </c>
      <c r="H27" s="9" t="n">
        <v>72458.59999999999</v>
      </c>
      <c r="I27" s="9" t="inlineStr">
        <is>
          <t>8102 40mt</t>
        </is>
      </c>
      <c r="L27" s="10" t="n">
        <v>46044</v>
      </c>
      <c r="N27" s="9" t="n">
        <v>11160</v>
      </c>
      <c r="O27" s="9" t="n">
        <v>11162.8</v>
      </c>
      <c r="P27" s="9" t="n">
        <v>-2.800000000001091</v>
      </c>
      <c r="Q27" s="9" t="n">
        <v>77669</v>
      </c>
      <c r="U27" s="10" t="n">
        <v>46044</v>
      </c>
      <c r="W27" s="9" t="n">
        <v>2000</v>
      </c>
      <c r="X27" s="9" t="n">
        <v>2000.5</v>
      </c>
      <c r="Y27" s="9" t="n">
        <v>-0.5</v>
      </c>
      <c r="Z27" s="9" t="n">
        <v>40330.29999999998</v>
      </c>
      <c r="AD27" s="10" t="n">
        <v>46044</v>
      </c>
      <c r="AF27" s="9" t="n">
        <v>2000</v>
      </c>
      <c r="AG27" s="9" t="n">
        <v>1999.8</v>
      </c>
      <c r="AH27" s="9" t="n">
        <v>0.2000000000000455</v>
      </c>
      <c r="AI27" s="9" t="n">
        <v>42880.8</v>
      </c>
      <c r="AM27" s="10" t="n">
        <v>46044</v>
      </c>
      <c r="AO27" s="9" t="n">
        <v>0</v>
      </c>
      <c r="AQ27" s="9" t="n">
        <v>0</v>
      </c>
      <c r="AR27" s="9" t="n">
        <v>0</v>
      </c>
      <c r="AV27" s="10" t="n">
        <v>46044</v>
      </c>
      <c r="AX27" s="9" t="n">
        <v>800</v>
      </c>
      <c r="AY27" s="9" t="n">
        <v>800.8</v>
      </c>
      <c r="AZ27" s="9" t="n">
        <v>-0.7999999999999545</v>
      </c>
      <c r="BA27" s="9" t="n">
        <v>40589.79999999999</v>
      </c>
      <c r="BE27" s="10" t="n">
        <v>46044</v>
      </c>
      <c r="BG27" s="9" t="n">
        <v>800</v>
      </c>
      <c r="BH27" s="9" t="n">
        <v>796.5</v>
      </c>
      <c r="BI27" s="9" t="n">
        <v>3.5</v>
      </c>
      <c r="BJ27" s="9" t="n">
        <v>28004.30000000001</v>
      </c>
      <c r="BN27" s="10" t="n">
        <v>46044</v>
      </c>
      <c r="BO27" s="9" t="n">
        <v>800</v>
      </c>
      <c r="BP27" s="9" t="n">
        <v>800</v>
      </c>
      <c r="BQ27" s="9" t="n">
        <v>800</v>
      </c>
      <c r="BR27" s="9" t="n">
        <v>0</v>
      </c>
      <c r="BS27" s="9" t="n">
        <v>0</v>
      </c>
      <c r="BW27" s="10" t="n">
        <v>46044</v>
      </c>
      <c r="BY27" s="9" t="n">
        <v>0</v>
      </c>
      <c r="CA27" s="9" t="n">
        <v>0</v>
      </c>
      <c r="CB27" s="9" t="n">
        <v>3386.5</v>
      </c>
      <c r="CF27" s="10" t="n">
        <v>46044</v>
      </c>
      <c r="CH27" s="9" t="n">
        <v>0</v>
      </c>
      <c r="CJ27" s="9" t="n">
        <v>0</v>
      </c>
      <c r="CK27" s="9" t="n">
        <v>0</v>
      </c>
      <c r="CO27" s="10" t="n">
        <v>46044</v>
      </c>
      <c r="CQ27" s="9" t="n">
        <v>0</v>
      </c>
      <c r="CS27" s="9" t="n">
        <v>0</v>
      </c>
      <c r="CT27" s="9" t="n">
        <v>0</v>
      </c>
      <c r="CX27" s="10" t="n">
        <v>46044</v>
      </c>
      <c r="CZ27" s="9" t="n">
        <v>0</v>
      </c>
      <c r="DB27" s="9" t="n">
        <v>0</v>
      </c>
      <c r="DC27" s="9" t="n">
        <v>0</v>
      </c>
      <c r="DG27" s="10" t="n">
        <v>46044</v>
      </c>
      <c r="DI27" s="9" t="n">
        <v>0</v>
      </c>
      <c r="DK27" s="9" t="n">
        <v>0</v>
      </c>
      <c r="DL27" s="9" t="n">
        <v>23572.8</v>
      </c>
      <c r="DP27" s="10" t="n">
        <v>46044</v>
      </c>
      <c r="DR27" s="9" t="n">
        <v>0</v>
      </c>
      <c r="DT27" s="9" t="n">
        <v>0</v>
      </c>
      <c r="DU27" s="9" t="n">
        <v>0</v>
      </c>
      <c r="DY27" s="10" t="n">
        <v>46044</v>
      </c>
      <c r="EA27" s="9" t="n">
        <v>0</v>
      </c>
      <c r="EC27" s="9" t="n">
        <v>0</v>
      </c>
      <c r="ED27" s="9" t="n">
        <v>0</v>
      </c>
      <c r="EH27" s="10" t="n">
        <v>46044</v>
      </c>
      <c r="EJ27" s="9" t="n">
        <v>0</v>
      </c>
      <c r="EL27" s="9" t="n">
        <v>0</v>
      </c>
      <c r="EM27" s="9" t="n">
        <v>0</v>
      </c>
      <c r="EQ27" s="10" t="n">
        <v>46044</v>
      </c>
      <c r="ES27" s="9" t="n">
        <v>0</v>
      </c>
      <c r="EU27" s="9" t="n">
        <v>0</v>
      </c>
      <c r="EV27" s="9" t="n">
        <v>0</v>
      </c>
      <c r="EZ27" s="10" t="n">
        <v>46044</v>
      </c>
      <c r="FB27" s="9" t="n">
        <v>0</v>
      </c>
      <c r="FD27" s="9" t="n">
        <v>0</v>
      </c>
      <c r="FE27" s="9" t="n">
        <v>0</v>
      </c>
      <c r="FI27" s="10" t="n">
        <v>46044</v>
      </c>
      <c r="FK27" s="9" t="n">
        <v>0</v>
      </c>
      <c r="FM27" s="9" t="n">
        <v>0</v>
      </c>
      <c r="FN27" s="9" t="n">
        <v>0</v>
      </c>
      <c r="FR27" s="10" t="n">
        <v>46044</v>
      </c>
      <c r="FT27" s="9" t="n">
        <v>0</v>
      </c>
      <c r="FV27" s="9" t="n">
        <v>0</v>
      </c>
      <c r="FW27" s="9" t="n">
        <v>3540</v>
      </c>
      <c r="GA27" s="10" t="n">
        <v>46044</v>
      </c>
      <c r="GC27" s="9" t="n">
        <v>0</v>
      </c>
      <c r="GE27" s="9" t="n">
        <v>0</v>
      </c>
      <c r="GF27" s="9" t="n">
        <v>1960</v>
      </c>
      <c r="GJ27" s="10" t="n">
        <v>46044</v>
      </c>
      <c r="GL27" s="9" t="n">
        <v>0</v>
      </c>
      <c r="GN27" s="9" t="n">
        <v>0</v>
      </c>
      <c r="GO27" s="9" t="n">
        <v>6160</v>
      </c>
      <c r="GS27" s="10" t="n">
        <v>46044</v>
      </c>
      <c r="GU27" s="9" t="n">
        <v>0</v>
      </c>
      <c r="GW27" s="9" t="n">
        <v>0</v>
      </c>
      <c r="GX27" s="9" t="n">
        <v>0</v>
      </c>
      <c r="HB27" s="10" t="n">
        <v>46044</v>
      </c>
      <c r="HD27" s="9" t="n">
        <v>0</v>
      </c>
      <c r="HF27" s="9" t="n">
        <v>0</v>
      </c>
      <c r="HG27" s="9" t="n">
        <v>0</v>
      </c>
      <c r="HK27" s="10" t="n">
        <v>46044</v>
      </c>
      <c r="HM27" s="9" t="n">
        <v>0</v>
      </c>
      <c r="HO27" s="9" t="n">
        <v>0</v>
      </c>
      <c r="HP27" s="9" t="n">
        <v>0</v>
      </c>
      <c r="HU27" s="10" t="n">
        <v>46044</v>
      </c>
      <c r="HW27" s="9" t="n">
        <v>0</v>
      </c>
      <c r="HY27" s="9" t="n">
        <v>0</v>
      </c>
      <c r="HZ27" s="9" t="n">
        <v>2800</v>
      </c>
      <c r="ID27" s="10" t="n">
        <v>46044</v>
      </c>
      <c r="IF27" s="9" t="n">
        <v>0</v>
      </c>
      <c r="IH27" s="9" t="n">
        <v>0</v>
      </c>
      <c r="II27" s="9" t="n">
        <v>5100</v>
      </c>
      <c r="IM27" s="10" t="n">
        <v>46044</v>
      </c>
      <c r="IO27" s="9" t="n">
        <v>800</v>
      </c>
      <c r="IQ27" s="9" t="n">
        <v>800</v>
      </c>
      <c r="IR27" s="9" t="n">
        <v>15040</v>
      </c>
      <c r="IV27" s="10" t="n">
        <v>46044</v>
      </c>
      <c r="IX27" s="9" t="n">
        <v>0</v>
      </c>
      <c r="IZ27" s="9" t="n">
        <v>0</v>
      </c>
      <c r="JA27" s="9" t="n">
        <v>9120</v>
      </c>
      <c r="JE27" s="10" t="n">
        <v>46044</v>
      </c>
      <c r="JG27" s="9" t="n">
        <v>0</v>
      </c>
      <c r="JI27" s="9" t="n">
        <v>0</v>
      </c>
      <c r="JJ27" s="9" t="n">
        <v>6800</v>
      </c>
      <c r="JN27" s="10" t="n">
        <v>46044</v>
      </c>
      <c r="JP27" s="9" t="n">
        <v>0</v>
      </c>
      <c r="JR27" s="9" t="n">
        <v>0</v>
      </c>
      <c r="JS27" s="9" t="n">
        <v>5400</v>
      </c>
      <c r="JW27" s="10" t="n">
        <v>46044</v>
      </c>
      <c r="JY27" s="9" t="n">
        <v>0</v>
      </c>
      <c r="KA27" s="9" t="n">
        <v>0</v>
      </c>
      <c r="KB27" s="9" t="n">
        <v>0</v>
      </c>
      <c r="KF27" s="10" t="n">
        <v>46044</v>
      </c>
      <c r="KH27" s="9" t="n">
        <v>0</v>
      </c>
      <c r="KJ27" s="9" t="n">
        <v>0</v>
      </c>
      <c r="KK27" s="9" t="n">
        <v>0</v>
      </c>
      <c r="KO27" s="10" t="n">
        <v>46044</v>
      </c>
      <c r="KQ27" s="9" t="n">
        <v>0</v>
      </c>
      <c r="KS27" s="9" t="n">
        <v>0</v>
      </c>
      <c r="KT27" s="9" t="n">
        <v>0</v>
      </c>
      <c r="KX27" s="10" t="n">
        <v>46044</v>
      </c>
      <c r="KZ27" s="9" t="n">
        <v>0</v>
      </c>
      <c r="LB27" s="9" t="n">
        <v>0</v>
      </c>
      <c r="LC27" s="9" t="n">
        <v>0</v>
      </c>
      <c r="LG27" s="10" t="n">
        <v>46044</v>
      </c>
      <c r="LI27" s="9" t="n">
        <v>0</v>
      </c>
      <c r="LK27" s="9" t="n">
        <v>0</v>
      </c>
      <c r="LL27" s="9" t="n">
        <v>0</v>
      </c>
      <c r="LP27" s="10" t="n">
        <v>46044</v>
      </c>
      <c r="LR27" s="9" t="n">
        <v>0</v>
      </c>
      <c r="LT27" s="9" t="n">
        <v>0</v>
      </c>
      <c r="LU27" s="9" t="n">
        <v>0</v>
      </c>
      <c r="LY27" s="10" t="n">
        <v>46044</v>
      </c>
      <c r="MA27" s="9" t="n">
        <v>0</v>
      </c>
      <c r="MC27" s="9" t="n">
        <v>0</v>
      </c>
      <c r="MD27" s="9" t="n">
        <v>0</v>
      </c>
      <c r="MH27" s="10" t="n">
        <v>46044</v>
      </c>
      <c r="MJ27" s="9" t="n">
        <v>0</v>
      </c>
      <c r="ML27" s="9" t="n">
        <v>0</v>
      </c>
      <c r="MM27" s="9" t="n">
        <v>0</v>
      </c>
      <c r="MQ27" s="10" t="n">
        <v>46044</v>
      </c>
      <c r="MS27" s="9" t="n">
        <v>20</v>
      </c>
      <c r="MU27" s="9" t="n">
        <v>20</v>
      </c>
      <c r="MV27" s="9" t="n">
        <v>1196</v>
      </c>
      <c r="MZ27" s="10" t="n">
        <v>46044</v>
      </c>
      <c r="NB27" s="9" t="n">
        <v>120</v>
      </c>
      <c r="ND27" s="9" t="n">
        <v>120</v>
      </c>
      <c r="NE27" s="9" t="n">
        <v>0</v>
      </c>
      <c r="NI27" s="10" t="n">
        <v>46044</v>
      </c>
      <c r="NK27" s="9" t="n">
        <v>0</v>
      </c>
      <c r="NM27" s="9" t="n">
        <v>0</v>
      </c>
      <c r="NN27" s="9" t="n">
        <v>0</v>
      </c>
      <c r="NR27" s="10" t="n">
        <v>46044</v>
      </c>
      <c r="NT27" s="9" t="n">
        <v>0</v>
      </c>
      <c r="NV27" s="9" t="n">
        <v>0</v>
      </c>
      <c r="NW27" s="9" t="n">
        <v>0</v>
      </c>
      <c r="OA27" s="10" t="n">
        <v>46044</v>
      </c>
      <c r="OC27" s="9" t="n">
        <v>0</v>
      </c>
      <c r="OE27" s="9" t="n">
        <v>0</v>
      </c>
      <c r="OF27" s="9" t="n">
        <v>1680.5</v>
      </c>
      <c r="OJ27" s="10" t="n">
        <v>46044</v>
      </c>
      <c r="OL27" s="9" t="n">
        <v>0</v>
      </c>
      <c r="ON27" s="9" t="n">
        <v>0</v>
      </c>
      <c r="OO27" s="9" t="n">
        <v>0</v>
      </c>
      <c r="OS27" s="10" t="n">
        <v>46044</v>
      </c>
      <c r="OU27" s="9" t="n">
        <v>0</v>
      </c>
      <c r="OW27" s="9" t="n">
        <v>0</v>
      </c>
      <c r="OX27" s="9" t="n">
        <v>67</v>
      </c>
      <c r="PB27" s="10" t="n">
        <v>46044</v>
      </c>
      <c r="PD27" s="9" t="n">
        <v>0</v>
      </c>
      <c r="PF27" s="9" t="n">
        <v>0</v>
      </c>
      <c r="PG27" s="9" t="n">
        <v>0</v>
      </c>
      <c r="PK27" s="10" t="n">
        <v>46044</v>
      </c>
      <c r="PM27" s="9" t="n">
        <v>0</v>
      </c>
      <c r="PO27" s="9" t="n">
        <v>0</v>
      </c>
      <c r="PP27" s="9" t="n">
        <v>160</v>
      </c>
      <c r="PT27" s="10" t="n">
        <v>46044</v>
      </c>
      <c r="PV27" s="9" t="n">
        <v>0</v>
      </c>
      <c r="PX27" s="9" t="n">
        <v>0</v>
      </c>
      <c r="PY27" s="9" t="n">
        <v>13.96000000000004</v>
      </c>
      <c r="QC27" s="10" t="n">
        <v>46044</v>
      </c>
      <c r="QE27" s="9" t="n">
        <v>0</v>
      </c>
      <c r="QG27" s="9" t="n">
        <v>0</v>
      </c>
      <c r="QH27" s="9" t="n">
        <v>0</v>
      </c>
      <c r="QL27" s="10" t="n">
        <v>46044</v>
      </c>
      <c r="QN27" s="9" t="n">
        <v>0</v>
      </c>
      <c r="QP27" s="9" t="n">
        <v>0</v>
      </c>
      <c r="QQ27" s="9" t="n">
        <v>0</v>
      </c>
      <c r="QU27" s="10" t="n">
        <v>46044</v>
      </c>
      <c r="QW27" s="9" t="n">
        <v>0</v>
      </c>
      <c r="QY27" s="9" t="n">
        <v>0</v>
      </c>
      <c r="QZ27" s="9" t="n">
        <v>207.6</v>
      </c>
      <c r="RD27" s="10" t="n">
        <v>46044</v>
      </c>
      <c r="RF27" s="9" t="n">
        <v>0</v>
      </c>
      <c r="RH27" s="9" t="n">
        <v>0</v>
      </c>
      <c r="RI27" s="9" t="n">
        <v>201.8</v>
      </c>
      <c r="RM27" s="10" t="n">
        <v>46044</v>
      </c>
      <c r="RO27" s="9" t="n">
        <v>0</v>
      </c>
      <c r="RQ27" s="9" t="n">
        <v>0</v>
      </c>
      <c r="RR27" s="9" t="n">
        <v>22.72</v>
      </c>
      <c r="RV27" s="10" t="n">
        <v>46044</v>
      </c>
      <c r="RX27" s="9" t="n">
        <v>0</v>
      </c>
      <c r="RZ27" s="9" t="n">
        <v>0</v>
      </c>
      <c r="SA27" s="9" t="n">
        <v>0</v>
      </c>
      <c r="SE27" s="10" t="n">
        <v>46044</v>
      </c>
      <c r="SG27" s="9" t="n">
        <v>0</v>
      </c>
      <c r="SI27" s="9" t="n">
        <v>0</v>
      </c>
      <c r="SJ27" s="9" t="n">
        <v>0</v>
      </c>
      <c r="SN27" s="10" t="n">
        <v>46044</v>
      </c>
      <c r="SP27" s="9" t="n">
        <v>0</v>
      </c>
      <c r="SR27" s="9" t="n">
        <v>0</v>
      </c>
      <c r="SS27" s="9" t="n">
        <v>0</v>
      </c>
      <c r="SW27" s="10" t="n">
        <v>46044</v>
      </c>
      <c r="SY27" s="9" t="n">
        <v>0</v>
      </c>
      <c r="TA27" s="9" t="n">
        <v>0</v>
      </c>
      <c r="TB27" s="9" t="n">
        <v>0</v>
      </c>
      <c r="TF27" s="10" t="n">
        <v>46044</v>
      </c>
      <c r="TH27" s="9" t="n">
        <v>0</v>
      </c>
      <c r="TJ27" s="9" t="n">
        <v>0</v>
      </c>
      <c r="TK27" s="9" t="n">
        <v>0</v>
      </c>
      <c r="TO27" s="10" t="n">
        <v>46044</v>
      </c>
      <c r="TQ27" s="9" t="n">
        <v>0</v>
      </c>
      <c r="TS27" s="9" t="n">
        <v>0</v>
      </c>
      <c r="TT27" s="9" t="n">
        <v>0</v>
      </c>
      <c r="TX27" s="10" t="n">
        <v>46044</v>
      </c>
      <c r="TZ27" s="9" t="n">
        <v>0</v>
      </c>
      <c r="UB27" s="9" t="n">
        <v>0</v>
      </c>
      <c r="UC27" s="9" t="n">
        <v>0</v>
      </c>
      <c r="UG27" s="10" t="n">
        <v>46044</v>
      </c>
      <c r="UI27" s="9" t="n">
        <v>0</v>
      </c>
      <c r="UK27" s="9" t="n">
        <v>0</v>
      </c>
      <c r="UL27" s="9" t="n">
        <v>0</v>
      </c>
      <c r="UP27" s="10" t="n">
        <v>46044</v>
      </c>
      <c r="UR27" s="9" t="n">
        <v>0</v>
      </c>
      <c r="UT27" s="9" t="n">
        <v>0</v>
      </c>
      <c r="UU27" s="9" t="n">
        <v>0</v>
      </c>
      <c r="UY27" s="10" t="n">
        <v>46044</v>
      </c>
      <c r="VA27" s="9" t="n">
        <v>0</v>
      </c>
      <c r="VC27" s="9" t="n">
        <v>0</v>
      </c>
      <c r="VD27" s="9" t="n">
        <v>-319.6</v>
      </c>
      <c r="VH27" s="10" t="n">
        <v>46044</v>
      </c>
      <c r="VJ27" s="9" t="n">
        <v>0</v>
      </c>
      <c r="VL27" s="9" t="n">
        <v>0</v>
      </c>
      <c r="VM27" s="9" t="n">
        <v>0</v>
      </c>
      <c r="VQ27" s="10" t="n">
        <v>46044</v>
      </c>
      <c r="VS27" s="9" t="n">
        <v>0</v>
      </c>
      <c r="VU27" s="9" t="n">
        <v>0</v>
      </c>
      <c r="VV27" s="9" t="n">
        <v>0</v>
      </c>
      <c r="VZ27" s="10" t="n">
        <v>46044</v>
      </c>
      <c r="WB27" s="9" t="n">
        <v>0</v>
      </c>
      <c r="WD27" s="9" t="n">
        <v>0</v>
      </c>
      <c r="WE27" s="9" t="n">
        <v>0</v>
      </c>
      <c r="WI27" s="10" t="n">
        <v>46044</v>
      </c>
      <c r="WK27" s="9" t="n">
        <v>0</v>
      </c>
      <c r="WM27" s="9" t="n">
        <v>0</v>
      </c>
      <c r="WN27" s="9" t="n">
        <v>9940</v>
      </c>
      <c r="WR27" s="10" t="n">
        <v>46044</v>
      </c>
      <c r="WT27" s="9" t="n">
        <v>0</v>
      </c>
      <c r="WV27" s="9" t="n">
        <v>0</v>
      </c>
      <c r="WW27" s="9" t="n">
        <v>8149</v>
      </c>
      <c r="XA27" s="10" t="n">
        <v>46044</v>
      </c>
      <c r="XC27" s="9" t="n">
        <v>0</v>
      </c>
      <c r="XE27" s="9" t="n">
        <v>0</v>
      </c>
      <c r="XF27" s="9" t="n">
        <v>3254</v>
      </c>
      <c r="XJ27" s="10" t="n">
        <v>46044</v>
      </c>
      <c r="XL27" s="9" t="n">
        <v>0</v>
      </c>
      <c r="XN27" s="9" t="n">
        <v>0</v>
      </c>
      <c r="XO27" s="9" t="n">
        <v>7909</v>
      </c>
      <c r="XS27" s="10" t="n">
        <v>46044</v>
      </c>
      <c r="XU27" s="9" t="n">
        <v>0</v>
      </c>
      <c r="XW27" s="9" t="n">
        <v>0</v>
      </c>
      <c r="XX27" s="9" t="n">
        <v>1901</v>
      </c>
      <c r="YB27" s="10" t="n">
        <v>46044</v>
      </c>
      <c r="YD27" s="9" t="n">
        <v>0</v>
      </c>
      <c r="YF27" s="9" t="n">
        <v>0</v>
      </c>
      <c r="YG27" s="9" t="n">
        <v>2671</v>
      </c>
      <c r="YK27" s="10" t="n">
        <v>46044</v>
      </c>
      <c r="YM27" s="9" t="n">
        <v>0</v>
      </c>
      <c r="YO27" s="9" t="n">
        <v>0</v>
      </c>
      <c r="YP27" s="9" t="n">
        <v>0</v>
      </c>
      <c r="YT27" s="10" t="n">
        <v>46044</v>
      </c>
      <c r="YV27" s="9" t="n">
        <v>0</v>
      </c>
      <c r="YX27" s="9" t="n">
        <v>0</v>
      </c>
      <c r="YY27" s="9" t="n">
        <v>0</v>
      </c>
      <c r="ZC27" s="10" t="n">
        <v>46044</v>
      </c>
      <c r="ZE27" s="9" t="n">
        <v>0</v>
      </c>
      <c r="ZG27" s="9" t="n">
        <v>0</v>
      </c>
      <c r="ZH27" s="9" t="n">
        <v>0</v>
      </c>
      <c r="ZL27" s="10" t="n">
        <v>46044</v>
      </c>
      <c r="ZN27" s="9" t="n">
        <v>0</v>
      </c>
      <c r="ZP27" s="9" t="n">
        <v>0</v>
      </c>
      <c r="ZQ27" s="9" t="n">
        <v>0</v>
      </c>
      <c r="ZU27" s="10" t="n">
        <v>46044</v>
      </c>
      <c r="ZW27" s="9" t="n">
        <v>0</v>
      </c>
      <c r="ZY27" s="9" t="n">
        <v>0</v>
      </c>
      <c r="ZZ27" s="9" t="n">
        <v>0</v>
      </c>
      <c r="AAD27" s="10" t="n">
        <v>46044</v>
      </c>
      <c r="AAF27" s="9" t="n">
        <v>0</v>
      </c>
      <c r="AAH27" s="9" t="n">
        <v>0</v>
      </c>
      <c r="AAI27" s="9" t="n">
        <v>0</v>
      </c>
      <c r="AAM27" s="10" t="n">
        <v>46044</v>
      </c>
      <c r="AAO27" s="9" t="n">
        <v>0</v>
      </c>
      <c r="AAQ27" s="9" t="n">
        <v>0</v>
      </c>
      <c r="AAR27" s="9" t="n">
        <v>0</v>
      </c>
      <c r="AAV27" s="10" t="n">
        <v>46044</v>
      </c>
      <c r="AAX27" s="9" t="n">
        <v>0</v>
      </c>
      <c r="AAZ27" s="9" t="n">
        <v>0</v>
      </c>
      <c r="ABA27" s="9" t="n">
        <v>0</v>
      </c>
      <c r="ABE27" s="10" t="n">
        <v>46044</v>
      </c>
      <c r="ABG27" s="9" t="n">
        <v>0</v>
      </c>
      <c r="ABI27" s="9" t="n">
        <v>0</v>
      </c>
      <c r="ABJ27" s="9" t="n">
        <v>0</v>
      </c>
    </row>
    <row r="28">
      <c r="B28" s="9" t="n">
        <v>68</v>
      </c>
      <c r="C28" s="10" t="n">
        <v>46045</v>
      </c>
      <c r="E28" s="9" t="n">
        <v>38780.4</v>
      </c>
      <c r="F28" s="9" t="n">
        <v>38777.8</v>
      </c>
      <c r="G28" s="9" t="n">
        <v>2.599999999998545</v>
      </c>
      <c r="H28" s="9" t="n">
        <v>33680.79999999999</v>
      </c>
      <c r="I28" s="9" t="inlineStr">
        <is>
          <t>8100 44mt, 1103 24mt</t>
        </is>
      </c>
      <c r="L28" s="10" t="n">
        <v>46045</v>
      </c>
      <c r="N28" s="9" t="n">
        <v>16564</v>
      </c>
      <c r="O28" s="9" t="n">
        <v>16562</v>
      </c>
      <c r="P28" s="9" t="n">
        <v>2</v>
      </c>
      <c r="Q28" s="9" t="n">
        <v>61107</v>
      </c>
      <c r="U28" s="10" t="n">
        <v>46045</v>
      </c>
      <c r="W28" s="9" t="n">
        <v>4120</v>
      </c>
      <c r="X28" s="9" t="n">
        <v>4121.4</v>
      </c>
      <c r="Y28" s="9" t="n">
        <v>-1.399999999999636</v>
      </c>
      <c r="Z28" s="9" t="n">
        <v>36208.89999999998</v>
      </c>
      <c r="AD28" s="10" t="n">
        <v>46045</v>
      </c>
      <c r="AF28" s="9" t="n">
        <v>2780</v>
      </c>
      <c r="AG28" s="9" t="n">
        <v>2781.6</v>
      </c>
      <c r="AH28" s="9" t="n">
        <v>-1.599999999999909</v>
      </c>
      <c r="AI28" s="9" t="n">
        <v>40099.2</v>
      </c>
      <c r="AM28" s="10" t="n">
        <v>46045</v>
      </c>
      <c r="AO28" s="9" t="n">
        <v>0</v>
      </c>
      <c r="AQ28" s="9" t="n">
        <v>0</v>
      </c>
      <c r="AR28" s="9" t="n">
        <v>0</v>
      </c>
      <c r="AV28" s="10" t="n">
        <v>46045</v>
      </c>
      <c r="AX28" s="9" t="n">
        <v>1252</v>
      </c>
      <c r="AY28" s="9" t="n">
        <v>1521.2</v>
      </c>
      <c r="AZ28" s="9" t="n">
        <v>-269.2</v>
      </c>
      <c r="BA28" s="9" t="n">
        <v>39068.59999999999</v>
      </c>
      <c r="BE28" s="10" t="n">
        <v>46045</v>
      </c>
      <c r="BG28" s="9" t="n">
        <v>1480</v>
      </c>
      <c r="BH28" s="9" t="n">
        <v>1483.9</v>
      </c>
      <c r="BI28" s="9" t="n">
        <v>-3.900000000000091</v>
      </c>
      <c r="BJ28" s="9" t="n">
        <v>26520.40000000001</v>
      </c>
      <c r="BN28" s="10" t="n">
        <v>46045</v>
      </c>
      <c r="BO28" s="9" t="n">
        <v>1172</v>
      </c>
      <c r="BP28" s="9" t="n">
        <v>1172</v>
      </c>
      <c r="BQ28" s="9" t="n">
        <v>1172</v>
      </c>
      <c r="BR28" s="9" t="n">
        <v>0</v>
      </c>
      <c r="BS28" s="9" t="n">
        <v>0</v>
      </c>
      <c r="BW28" s="10" t="n">
        <v>46045</v>
      </c>
      <c r="BY28" s="9" t="n">
        <v>66</v>
      </c>
      <c r="BZ28" s="9" t="n">
        <v>102</v>
      </c>
      <c r="CA28" s="9" t="n">
        <v>-36</v>
      </c>
      <c r="CB28" s="9" t="n">
        <v>3284.5</v>
      </c>
      <c r="CF28" s="10" t="n">
        <v>46045</v>
      </c>
      <c r="CG28" s="9" t="n">
        <v>401.2</v>
      </c>
      <c r="CH28" s="9" t="n">
        <v>259.6</v>
      </c>
      <c r="CI28" s="9" t="n">
        <v>401.2</v>
      </c>
      <c r="CJ28" s="9" t="n">
        <v>-141.6</v>
      </c>
      <c r="CK28" s="9" t="n">
        <v>0</v>
      </c>
      <c r="CO28" s="10" t="n">
        <v>46045</v>
      </c>
      <c r="CQ28" s="9" t="n">
        <v>0</v>
      </c>
      <c r="CS28" s="9" t="n">
        <v>0</v>
      </c>
      <c r="CT28" s="9" t="n">
        <v>0</v>
      </c>
      <c r="CX28" s="10" t="n">
        <v>46045</v>
      </c>
      <c r="CZ28" s="9" t="n">
        <v>0</v>
      </c>
      <c r="DB28" s="9" t="n">
        <v>0</v>
      </c>
      <c r="DC28" s="9" t="n">
        <v>0</v>
      </c>
      <c r="DG28" s="10" t="n">
        <v>46045</v>
      </c>
      <c r="DI28" s="9" t="n">
        <v>0</v>
      </c>
      <c r="DK28" s="9" t="n">
        <v>0</v>
      </c>
      <c r="DL28" s="9" t="n">
        <v>23572.8</v>
      </c>
      <c r="DP28" s="10" t="n">
        <v>46045</v>
      </c>
      <c r="DR28" s="9" t="n">
        <v>0</v>
      </c>
      <c r="DT28" s="9" t="n">
        <v>0</v>
      </c>
      <c r="DU28" s="9" t="n">
        <v>0</v>
      </c>
      <c r="DY28" s="10" t="n">
        <v>46045</v>
      </c>
      <c r="EA28" s="9" t="n">
        <v>0</v>
      </c>
      <c r="EC28" s="9" t="n">
        <v>0</v>
      </c>
      <c r="ED28" s="9" t="n">
        <v>0</v>
      </c>
      <c r="EH28" s="10" t="n">
        <v>46045</v>
      </c>
      <c r="EJ28" s="9" t="n">
        <v>0</v>
      </c>
      <c r="EL28" s="9" t="n">
        <v>0</v>
      </c>
      <c r="EM28" s="9" t="n">
        <v>0</v>
      </c>
      <c r="EQ28" s="10" t="n">
        <v>46045</v>
      </c>
      <c r="ES28" s="9" t="n">
        <v>0</v>
      </c>
      <c r="EU28" s="9" t="n">
        <v>0</v>
      </c>
      <c r="EV28" s="9" t="n">
        <v>0</v>
      </c>
      <c r="EZ28" s="10" t="n">
        <v>46045</v>
      </c>
      <c r="FB28" s="9" t="n">
        <v>0</v>
      </c>
      <c r="FD28" s="9" t="n">
        <v>0</v>
      </c>
      <c r="FE28" s="9" t="n">
        <v>0</v>
      </c>
      <c r="FI28" s="10" t="n">
        <v>46045</v>
      </c>
      <c r="FK28" s="9" t="n">
        <v>0</v>
      </c>
      <c r="FM28" s="9" t="n">
        <v>0</v>
      </c>
      <c r="FN28" s="9" t="n">
        <v>0</v>
      </c>
      <c r="FR28" s="10" t="n">
        <v>46045</v>
      </c>
      <c r="FT28" s="9" t="n">
        <v>0</v>
      </c>
      <c r="FV28" s="9" t="n">
        <v>0</v>
      </c>
      <c r="FW28" s="9" t="n">
        <v>3540</v>
      </c>
      <c r="GA28" s="10" t="n">
        <v>46045</v>
      </c>
      <c r="GC28" s="9" t="n">
        <v>0</v>
      </c>
      <c r="GE28" s="9" t="n">
        <v>0</v>
      </c>
      <c r="GF28" s="9" t="n">
        <v>1960</v>
      </c>
      <c r="GJ28" s="10" t="n">
        <v>46045</v>
      </c>
      <c r="GL28" s="9" t="n">
        <v>480</v>
      </c>
      <c r="GM28" s="9" t="n">
        <v>1720</v>
      </c>
      <c r="GN28" s="9" t="n">
        <v>-1240</v>
      </c>
      <c r="GO28" s="9" t="n">
        <v>4440</v>
      </c>
      <c r="GP28" s="9" t="n">
        <v>86</v>
      </c>
      <c r="GQ28" s="9" t="inlineStr">
        <is>
          <t>bags</t>
        </is>
      </c>
      <c r="GS28" s="10" t="n">
        <v>46045</v>
      </c>
      <c r="GU28" s="9" t="n">
        <v>0</v>
      </c>
      <c r="GW28" s="9" t="n">
        <v>0</v>
      </c>
      <c r="GX28" s="9" t="n">
        <v>0</v>
      </c>
      <c r="HB28" s="10" t="n">
        <v>46045</v>
      </c>
      <c r="HD28" s="9" t="n">
        <v>0</v>
      </c>
      <c r="HF28" s="9" t="n">
        <v>0</v>
      </c>
      <c r="HG28" s="9" t="n">
        <v>0</v>
      </c>
      <c r="HK28" s="10" t="n">
        <v>46045</v>
      </c>
      <c r="HM28" s="9" t="n">
        <v>0</v>
      </c>
      <c r="HO28" s="9" t="n">
        <v>0</v>
      </c>
      <c r="HP28" s="9" t="n">
        <v>0</v>
      </c>
      <c r="HU28" s="10" t="n">
        <v>46045</v>
      </c>
      <c r="HW28" s="9" t="n">
        <v>880</v>
      </c>
      <c r="HX28" s="9" t="n">
        <v>1360</v>
      </c>
      <c r="HY28" s="9" t="n">
        <v>-480</v>
      </c>
      <c r="HZ28" s="9" t="n">
        <v>1440</v>
      </c>
      <c r="IA28" s="9" t="n">
        <v>68</v>
      </c>
      <c r="IB28" s="9" t="inlineStr">
        <is>
          <t>bags</t>
        </is>
      </c>
      <c r="ID28" s="10" t="n">
        <v>46045</v>
      </c>
      <c r="IF28" s="9" t="n">
        <v>0</v>
      </c>
      <c r="IH28" s="9" t="n">
        <v>0</v>
      </c>
      <c r="II28" s="9" t="n">
        <v>5100</v>
      </c>
      <c r="IM28" s="10" t="n">
        <v>46045</v>
      </c>
      <c r="IO28" s="9" t="n">
        <v>0</v>
      </c>
      <c r="IP28" s="9" t="n">
        <v>2400</v>
      </c>
      <c r="IQ28" s="9" t="n">
        <v>-2400</v>
      </c>
      <c r="IR28" s="9" t="n">
        <v>12640</v>
      </c>
      <c r="IS28" s="9" t="n">
        <v>120</v>
      </c>
      <c r="IT28" s="9" t="inlineStr">
        <is>
          <t>bags</t>
        </is>
      </c>
      <c r="IV28" s="10" t="n">
        <v>46045</v>
      </c>
      <c r="IX28" s="9" t="n">
        <v>0</v>
      </c>
      <c r="IZ28" s="9" t="n">
        <v>0</v>
      </c>
      <c r="JA28" s="9" t="n">
        <v>9120</v>
      </c>
      <c r="JE28" s="10" t="n">
        <v>46045</v>
      </c>
      <c r="JG28" s="9" t="n">
        <v>0</v>
      </c>
      <c r="JI28" s="9" t="n">
        <v>0</v>
      </c>
      <c r="JJ28" s="9" t="n">
        <v>6800</v>
      </c>
      <c r="JN28" s="10" t="n">
        <v>46045</v>
      </c>
      <c r="JP28" s="9" t="n">
        <v>0</v>
      </c>
      <c r="JR28" s="9" t="n">
        <v>0</v>
      </c>
      <c r="JS28" s="9" t="n">
        <v>5400</v>
      </c>
      <c r="JW28" s="10" t="n">
        <v>46045</v>
      </c>
      <c r="JY28" s="9" t="n">
        <v>0</v>
      </c>
      <c r="KA28" s="9" t="n">
        <v>0</v>
      </c>
      <c r="KB28" s="9" t="n">
        <v>0</v>
      </c>
      <c r="KF28" s="10" t="n">
        <v>46045</v>
      </c>
      <c r="KH28" s="9" t="n">
        <v>0</v>
      </c>
      <c r="KJ28" s="9" t="n">
        <v>0</v>
      </c>
      <c r="KK28" s="9" t="n">
        <v>0</v>
      </c>
      <c r="KO28" s="10" t="n">
        <v>46045</v>
      </c>
      <c r="KQ28" s="9" t="n">
        <v>0</v>
      </c>
      <c r="KS28" s="9" t="n">
        <v>0</v>
      </c>
      <c r="KT28" s="9" t="n">
        <v>0</v>
      </c>
      <c r="KX28" s="10" t="n">
        <v>46045</v>
      </c>
      <c r="KZ28" s="9" t="n">
        <v>0</v>
      </c>
      <c r="LB28" s="9" t="n">
        <v>0</v>
      </c>
      <c r="LC28" s="9" t="n">
        <v>0</v>
      </c>
      <c r="LG28" s="10" t="n">
        <v>46045</v>
      </c>
      <c r="LI28" s="9" t="n">
        <v>0</v>
      </c>
      <c r="LK28" s="9" t="n">
        <v>0</v>
      </c>
      <c r="LL28" s="9" t="n">
        <v>0</v>
      </c>
      <c r="LP28" s="10" t="n">
        <v>46045</v>
      </c>
      <c r="LR28" s="9" t="n">
        <v>0</v>
      </c>
      <c r="LT28" s="9" t="n">
        <v>0</v>
      </c>
      <c r="LU28" s="9" t="n">
        <v>0</v>
      </c>
      <c r="LY28" s="10" t="n">
        <v>46045</v>
      </c>
      <c r="MA28" s="9" t="n">
        <v>0</v>
      </c>
      <c r="MC28" s="9" t="n">
        <v>0</v>
      </c>
      <c r="MD28" s="9" t="n">
        <v>0</v>
      </c>
      <c r="MH28" s="10" t="n">
        <v>46045</v>
      </c>
      <c r="MJ28" s="9" t="n">
        <v>0</v>
      </c>
      <c r="ML28" s="9" t="n">
        <v>0</v>
      </c>
      <c r="MM28" s="9" t="n">
        <v>0</v>
      </c>
      <c r="MQ28" s="10" t="n">
        <v>46045</v>
      </c>
      <c r="MS28" s="9" t="n">
        <v>34</v>
      </c>
      <c r="MT28" s="9" t="n">
        <v>137</v>
      </c>
      <c r="MU28" s="9" t="n">
        <v>-103</v>
      </c>
      <c r="MV28" s="9" t="n">
        <v>1059</v>
      </c>
      <c r="MZ28" s="10" t="n">
        <v>46045</v>
      </c>
      <c r="NA28" s="9" t="n">
        <v>564</v>
      </c>
      <c r="NB28" s="9" t="n">
        <v>132</v>
      </c>
      <c r="NC28" s="9" t="n">
        <v>564</v>
      </c>
      <c r="ND28" s="9" t="n">
        <v>-432</v>
      </c>
      <c r="NE28" s="9" t="n">
        <v>0</v>
      </c>
      <c r="NI28" s="10" t="n">
        <v>46045</v>
      </c>
      <c r="NK28" s="9" t="n">
        <v>0</v>
      </c>
      <c r="NM28" s="9" t="n">
        <v>0</v>
      </c>
      <c r="NN28" s="9" t="n">
        <v>0</v>
      </c>
      <c r="NR28" s="10" t="n">
        <v>46045</v>
      </c>
      <c r="NT28" s="9" t="n">
        <v>0</v>
      </c>
      <c r="NV28" s="9" t="n">
        <v>0</v>
      </c>
      <c r="NW28" s="9" t="n">
        <v>0</v>
      </c>
      <c r="OA28" s="10" t="n">
        <v>46045</v>
      </c>
      <c r="OC28" s="9" t="n">
        <v>0</v>
      </c>
      <c r="OE28" s="9" t="n">
        <v>0</v>
      </c>
      <c r="OF28" s="9" t="n">
        <v>1680.5</v>
      </c>
      <c r="OJ28" s="10" t="n">
        <v>46045</v>
      </c>
      <c r="OL28" s="9" t="n">
        <v>0</v>
      </c>
      <c r="ON28" s="9" t="n">
        <v>0</v>
      </c>
      <c r="OO28" s="9" t="n">
        <v>0</v>
      </c>
      <c r="OS28" s="10" t="n">
        <v>46045</v>
      </c>
      <c r="OU28" s="9" t="n">
        <v>0</v>
      </c>
      <c r="OW28" s="9" t="n">
        <v>0</v>
      </c>
      <c r="OX28" s="9" t="n">
        <v>67</v>
      </c>
      <c r="PB28" s="10" t="n">
        <v>46045</v>
      </c>
      <c r="PC28" s="9" t="n">
        <v>188</v>
      </c>
      <c r="PD28" s="9" t="n">
        <v>0</v>
      </c>
      <c r="PE28" s="9" t="n">
        <v>188</v>
      </c>
      <c r="PF28" s="9" t="n">
        <v>-188</v>
      </c>
      <c r="PG28" s="9" t="n">
        <v>0</v>
      </c>
      <c r="PK28" s="10" t="n">
        <v>46045</v>
      </c>
      <c r="PM28" s="9" t="n">
        <v>0</v>
      </c>
      <c r="PO28" s="9" t="n">
        <v>0</v>
      </c>
      <c r="PP28" s="9" t="n">
        <v>160</v>
      </c>
      <c r="PT28" s="10" t="n">
        <v>46045</v>
      </c>
      <c r="PV28" s="9" t="n">
        <v>0</v>
      </c>
      <c r="PX28" s="9" t="n">
        <v>0</v>
      </c>
      <c r="PY28" s="9" t="n">
        <v>13.96000000000004</v>
      </c>
      <c r="QC28" s="10" t="n">
        <v>46045</v>
      </c>
      <c r="QE28" s="9" t="n">
        <v>0</v>
      </c>
      <c r="QG28" s="9" t="n">
        <v>0</v>
      </c>
      <c r="QH28" s="9" t="n">
        <v>0</v>
      </c>
      <c r="QL28" s="10" t="n">
        <v>46045</v>
      </c>
      <c r="QN28" s="9" t="n">
        <v>0</v>
      </c>
      <c r="QP28" s="9" t="n">
        <v>0</v>
      </c>
      <c r="QQ28" s="9" t="n">
        <v>0</v>
      </c>
      <c r="QU28" s="10" t="n">
        <v>46045</v>
      </c>
      <c r="QW28" s="9" t="n">
        <v>0</v>
      </c>
      <c r="QY28" s="9" t="n">
        <v>0</v>
      </c>
      <c r="QZ28" s="9" t="n">
        <v>207.6</v>
      </c>
      <c r="RD28" s="10" t="n">
        <v>46045</v>
      </c>
      <c r="RF28" s="9" t="n">
        <v>0</v>
      </c>
      <c r="RH28" s="9" t="n">
        <v>0</v>
      </c>
      <c r="RI28" s="9" t="n">
        <v>201.8</v>
      </c>
      <c r="RM28" s="10" t="n">
        <v>46045</v>
      </c>
      <c r="RO28" s="9" t="n">
        <v>0</v>
      </c>
      <c r="RQ28" s="9" t="n">
        <v>0</v>
      </c>
      <c r="RR28" s="9" t="n">
        <v>22.72</v>
      </c>
      <c r="RV28" s="10" t="n">
        <v>46045</v>
      </c>
      <c r="RX28" s="9" t="n">
        <v>0</v>
      </c>
      <c r="RZ28" s="9" t="n">
        <v>0</v>
      </c>
      <c r="SA28" s="9" t="n">
        <v>0</v>
      </c>
      <c r="SE28" s="10" t="n">
        <v>46045</v>
      </c>
      <c r="SG28" s="9" t="n">
        <v>0</v>
      </c>
      <c r="SI28" s="9" t="n">
        <v>0</v>
      </c>
      <c r="SJ28" s="9" t="n">
        <v>0</v>
      </c>
      <c r="SN28" s="10" t="n">
        <v>46045</v>
      </c>
      <c r="SP28" s="9" t="n">
        <v>0</v>
      </c>
      <c r="SR28" s="9" t="n">
        <v>0</v>
      </c>
      <c r="SS28" s="9" t="n">
        <v>0</v>
      </c>
      <c r="SW28" s="10" t="n">
        <v>46045</v>
      </c>
      <c r="SY28" s="9" t="n">
        <v>0</v>
      </c>
      <c r="TA28" s="9" t="n">
        <v>0</v>
      </c>
      <c r="TB28" s="9" t="n">
        <v>0</v>
      </c>
      <c r="TF28" s="10" t="n">
        <v>46045</v>
      </c>
      <c r="TH28" s="9" t="n">
        <v>0</v>
      </c>
      <c r="TJ28" s="9" t="n">
        <v>0</v>
      </c>
      <c r="TK28" s="9" t="n">
        <v>0</v>
      </c>
      <c r="TO28" s="10" t="n">
        <v>46045</v>
      </c>
      <c r="TQ28" s="9" t="n">
        <v>0</v>
      </c>
      <c r="TS28" s="9" t="n">
        <v>0</v>
      </c>
      <c r="TT28" s="9" t="n">
        <v>0</v>
      </c>
      <c r="TX28" s="10" t="n">
        <v>46045</v>
      </c>
      <c r="TZ28" s="9" t="n">
        <v>0</v>
      </c>
      <c r="UB28" s="9" t="n">
        <v>0</v>
      </c>
      <c r="UC28" s="9" t="n">
        <v>0</v>
      </c>
      <c r="UG28" s="10" t="n">
        <v>46045</v>
      </c>
      <c r="UI28" s="9" t="n">
        <v>0</v>
      </c>
      <c r="UK28" s="9" t="n">
        <v>0</v>
      </c>
      <c r="UL28" s="9" t="n">
        <v>0</v>
      </c>
      <c r="UP28" s="10" t="n">
        <v>46045</v>
      </c>
      <c r="UR28" s="9" t="n">
        <v>0</v>
      </c>
      <c r="UT28" s="9" t="n">
        <v>0</v>
      </c>
      <c r="UU28" s="9" t="n">
        <v>0</v>
      </c>
      <c r="UY28" s="10" t="n">
        <v>46045</v>
      </c>
      <c r="VA28" s="9" t="n">
        <v>0</v>
      </c>
      <c r="VC28" s="9" t="n">
        <v>0</v>
      </c>
      <c r="VD28" s="9" t="n">
        <v>-319.6</v>
      </c>
      <c r="VH28" s="10" t="n">
        <v>46045</v>
      </c>
      <c r="VJ28" s="9" t="n">
        <v>0</v>
      </c>
      <c r="VL28" s="9" t="n">
        <v>0</v>
      </c>
      <c r="VM28" s="9" t="n">
        <v>0</v>
      </c>
      <c r="VQ28" s="10" t="n">
        <v>46045</v>
      </c>
      <c r="VS28" s="9" t="n">
        <v>0</v>
      </c>
      <c r="VU28" s="9" t="n">
        <v>0</v>
      </c>
      <c r="VV28" s="9" t="n">
        <v>0</v>
      </c>
      <c r="VZ28" s="10" t="n">
        <v>46045</v>
      </c>
      <c r="WB28" s="9" t="n">
        <v>0</v>
      </c>
      <c r="WD28" s="9" t="n">
        <v>0</v>
      </c>
      <c r="WE28" s="9" t="n">
        <v>0</v>
      </c>
      <c r="WI28" s="10" t="n">
        <v>46045</v>
      </c>
      <c r="WK28" s="9" t="n">
        <v>0</v>
      </c>
      <c r="WM28" s="9" t="n">
        <v>0</v>
      </c>
      <c r="WN28" s="9" t="n">
        <v>9940</v>
      </c>
      <c r="WR28" s="10" t="n">
        <v>46045</v>
      </c>
      <c r="WT28" s="9" t="n">
        <v>0</v>
      </c>
      <c r="WV28" s="9" t="n">
        <v>0</v>
      </c>
      <c r="WW28" s="9" t="n">
        <v>8149</v>
      </c>
      <c r="XA28" s="10" t="n">
        <v>46045</v>
      </c>
      <c r="XC28" s="9" t="n">
        <v>0</v>
      </c>
      <c r="XD28" s="9" t="n">
        <v>531</v>
      </c>
      <c r="XE28" s="9" t="n">
        <v>-531</v>
      </c>
      <c r="XF28" s="9" t="n">
        <v>2723</v>
      </c>
      <c r="XJ28" s="10" t="n">
        <v>46045</v>
      </c>
      <c r="XL28" s="9" t="n">
        <v>0</v>
      </c>
      <c r="XM28" s="9" t="n">
        <v>912</v>
      </c>
      <c r="XN28" s="9" t="n">
        <v>-912</v>
      </c>
      <c r="XO28" s="9" t="n">
        <v>6997</v>
      </c>
      <c r="XS28" s="10" t="n">
        <v>46045</v>
      </c>
      <c r="XU28" s="9" t="n">
        <v>0</v>
      </c>
      <c r="XW28" s="9" t="n">
        <v>0</v>
      </c>
      <c r="XX28" s="9" t="n">
        <v>1901</v>
      </c>
      <c r="YB28" s="10" t="n">
        <v>46045</v>
      </c>
      <c r="YD28" s="9" t="n">
        <v>0</v>
      </c>
      <c r="YF28" s="9" t="n">
        <v>0</v>
      </c>
      <c r="YG28" s="9" t="n">
        <v>2671</v>
      </c>
      <c r="YK28" s="10" t="n">
        <v>46045</v>
      </c>
      <c r="YM28" s="9" t="n">
        <v>0</v>
      </c>
      <c r="YO28" s="9" t="n">
        <v>0</v>
      </c>
      <c r="YP28" s="9" t="n">
        <v>0</v>
      </c>
      <c r="YT28" s="10" t="n">
        <v>46045</v>
      </c>
      <c r="YV28" s="9" t="n">
        <v>0</v>
      </c>
      <c r="YX28" s="9" t="n">
        <v>0</v>
      </c>
      <c r="YY28" s="9" t="n">
        <v>0</v>
      </c>
      <c r="ZC28" s="10" t="n">
        <v>46045</v>
      </c>
      <c r="ZE28" s="9" t="n">
        <v>0</v>
      </c>
      <c r="ZG28" s="9" t="n">
        <v>0</v>
      </c>
      <c r="ZH28" s="9" t="n">
        <v>0</v>
      </c>
      <c r="ZL28" s="10" t="n">
        <v>46045</v>
      </c>
      <c r="ZN28" s="9" t="n">
        <v>0</v>
      </c>
      <c r="ZP28" s="9" t="n">
        <v>0</v>
      </c>
      <c r="ZQ28" s="9" t="n">
        <v>0</v>
      </c>
      <c r="ZU28" s="10" t="n">
        <v>46045</v>
      </c>
      <c r="ZW28" s="9" t="n">
        <v>0</v>
      </c>
      <c r="ZY28" s="9" t="n">
        <v>0</v>
      </c>
      <c r="ZZ28" s="9" t="n">
        <v>0</v>
      </c>
      <c r="AAD28" s="10" t="n">
        <v>46045</v>
      </c>
      <c r="AAF28" s="9" t="n">
        <v>0</v>
      </c>
      <c r="AAH28" s="9" t="n">
        <v>0</v>
      </c>
      <c r="AAI28" s="9" t="n">
        <v>0</v>
      </c>
      <c r="AAM28" s="10" t="n">
        <v>46045</v>
      </c>
      <c r="AAO28" s="9" t="n">
        <v>0</v>
      </c>
      <c r="AAQ28" s="9" t="n">
        <v>0</v>
      </c>
      <c r="AAR28" s="9" t="n">
        <v>0</v>
      </c>
      <c r="AAV28" s="10" t="n">
        <v>46045</v>
      </c>
      <c r="AAX28" s="9" t="n">
        <v>0</v>
      </c>
      <c r="AAZ28" s="9" t="n">
        <v>0</v>
      </c>
      <c r="ABA28" s="9" t="n">
        <v>0</v>
      </c>
      <c r="ABE28" s="10" t="n">
        <v>46045</v>
      </c>
      <c r="ABG28" s="9" t="n">
        <v>0</v>
      </c>
      <c r="ABI28" s="9" t="n">
        <v>0</v>
      </c>
      <c r="ABJ28" s="9" t="n">
        <v>0</v>
      </c>
    </row>
    <row r="29">
      <c r="B29" s="9" t="n">
        <v>26</v>
      </c>
      <c r="C29" s="10" t="n">
        <v>46046</v>
      </c>
      <c r="D29" s="9" t="n">
        <v>83630</v>
      </c>
      <c r="E29" s="9" t="n">
        <v>13975</v>
      </c>
      <c r="F29" s="9" t="n">
        <v>13980.2</v>
      </c>
      <c r="G29" s="9" t="n">
        <v>-5.200000000000728</v>
      </c>
      <c r="H29" s="9" t="n">
        <v>103330.6</v>
      </c>
      <c r="I29" s="9" t="inlineStr">
        <is>
          <t>8102 26mt</t>
        </is>
      </c>
      <c r="L29" s="10" t="n">
        <v>46046</v>
      </c>
      <c r="N29" s="9" t="n">
        <v>7253.999999999998</v>
      </c>
      <c r="O29" s="9" t="n">
        <v>7255</v>
      </c>
      <c r="P29" s="9" t="n">
        <v>-1.000000000001819</v>
      </c>
      <c r="Q29" s="9" t="n">
        <v>53852</v>
      </c>
      <c r="U29" s="10" t="n">
        <v>46046</v>
      </c>
      <c r="W29" s="9" t="n">
        <v>1300</v>
      </c>
      <c r="X29" s="9" t="n">
        <v>1299.4</v>
      </c>
      <c r="Y29" s="9" t="n">
        <v>0.5999999999999091</v>
      </c>
      <c r="Z29" s="9" t="n">
        <v>34909.49999999998</v>
      </c>
      <c r="AD29" s="10" t="n">
        <v>46046</v>
      </c>
      <c r="AF29" s="9" t="n">
        <v>1300</v>
      </c>
      <c r="AG29" s="9" t="n">
        <v>1300.2</v>
      </c>
      <c r="AH29" s="9" t="n">
        <v>-0.2000000000000455</v>
      </c>
      <c r="AI29" s="9" t="n">
        <v>38799.00000000001</v>
      </c>
      <c r="AM29" s="10" t="n">
        <v>46046</v>
      </c>
      <c r="AO29" s="9" t="n">
        <v>0</v>
      </c>
      <c r="AQ29" s="9" t="n">
        <v>0</v>
      </c>
      <c r="AR29" s="9" t="n">
        <v>0</v>
      </c>
      <c r="AV29" s="10" t="n">
        <v>46046</v>
      </c>
      <c r="AX29" s="9" t="n">
        <v>520</v>
      </c>
      <c r="AY29" s="9" t="n">
        <v>520.6</v>
      </c>
      <c r="AZ29" s="9" t="n">
        <v>-0.6000000000000227</v>
      </c>
      <c r="BA29" s="9" t="n">
        <v>38547.99999999999</v>
      </c>
      <c r="BE29" s="10" t="n">
        <v>46046</v>
      </c>
      <c r="BG29" s="9" t="n">
        <v>520</v>
      </c>
      <c r="BH29" s="9" t="n">
        <v>518.9</v>
      </c>
      <c r="BI29" s="9" t="n">
        <v>1.100000000000023</v>
      </c>
      <c r="BJ29" s="9" t="n">
        <v>26001.50000000001</v>
      </c>
      <c r="BN29" s="10" t="n">
        <v>46046</v>
      </c>
      <c r="BO29" s="9" t="n">
        <v>520.1</v>
      </c>
      <c r="BP29" s="9" t="n">
        <v>520</v>
      </c>
      <c r="BQ29" s="9" t="n">
        <v>520.1</v>
      </c>
      <c r="BR29" s="9" t="n">
        <v>-0.1000000000000227</v>
      </c>
      <c r="BS29" s="9" t="n">
        <v>0</v>
      </c>
      <c r="BW29" s="10" t="n">
        <v>46046</v>
      </c>
      <c r="BY29" s="9" t="n">
        <v>0</v>
      </c>
      <c r="CA29" s="9" t="n">
        <v>0</v>
      </c>
      <c r="CB29" s="9" t="n">
        <v>3284.5</v>
      </c>
      <c r="CF29" s="10" t="n">
        <v>46046</v>
      </c>
      <c r="CH29" s="9" t="n">
        <v>0</v>
      </c>
      <c r="CJ29" s="9" t="n">
        <v>0</v>
      </c>
      <c r="CK29" s="9" t="n">
        <v>0</v>
      </c>
      <c r="CO29" s="10" t="n">
        <v>46046</v>
      </c>
      <c r="CQ29" s="9" t="n">
        <v>0</v>
      </c>
      <c r="CS29" s="9" t="n">
        <v>0</v>
      </c>
      <c r="CT29" s="9" t="n">
        <v>0</v>
      </c>
      <c r="CX29" s="10" t="n">
        <v>46046</v>
      </c>
      <c r="CZ29" s="9" t="n">
        <v>0</v>
      </c>
      <c r="DB29" s="9" t="n">
        <v>0</v>
      </c>
      <c r="DC29" s="9" t="n">
        <v>0</v>
      </c>
      <c r="DG29" s="10" t="n">
        <v>46046</v>
      </c>
      <c r="DI29" s="9" t="n">
        <v>0</v>
      </c>
      <c r="DK29" s="9" t="n">
        <v>0</v>
      </c>
      <c r="DL29" s="9" t="n">
        <v>23572.8</v>
      </c>
      <c r="DP29" s="10" t="n">
        <v>46046</v>
      </c>
      <c r="DR29" s="9" t="n">
        <v>0</v>
      </c>
      <c r="DT29" s="9" t="n">
        <v>0</v>
      </c>
      <c r="DU29" s="9" t="n">
        <v>0</v>
      </c>
      <c r="DY29" s="10" t="n">
        <v>46046</v>
      </c>
      <c r="EA29" s="9" t="n">
        <v>0</v>
      </c>
      <c r="EC29" s="9" t="n">
        <v>0</v>
      </c>
      <c r="ED29" s="9" t="n">
        <v>0</v>
      </c>
      <c r="EH29" s="10" t="n">
        <v>46046</v>
      </c>
      <c r="EJ29" s="9" t="n">
        <v>0</v>
      </c>
      <c r="EL29" s="9" t="n">
        <v>0</v>
      </c>
      <c r="EM29" s="9" t="n">
        <v>0</v>
      </c>
      <c r="EQ29" s="10" t="n">
        <v>46046</v>
      </c>
      <c r="ES29" s="9" t="n">
        <v>0</v>
      </c>
      <c r="EU29" s="9" t="n">
        <v>0</v>
      </c>
      <c r="EV29" s="9" t="n">
        <v>0</v>
      </c>
      <c r="EZ29" s="10" t="n">
        <v>46046</v>
      </c>
      <c r="FB29" s="9" t="n">
        <v>0</v>
      </c>
      <c r="FD29" s="9" t="n">
        <v>0</v>
      </c>
      <c r="FE29" s="9" t="n">
        <v>0</v>
      </c>
      <c r="FI29" s="10" t="n">
        <v>46046</v>
      </c>
      <c r="FK29" s="9" t="n">
        <v>0</v>
      </c>
      <c r="FM29" s="9" t="n">
        <v>0</v>
      </c>
      <c r="FN29" s="9" t="n">
        <v>0</v>
      </c>
      <c r="FR29" s="10" t="n">
        <v>46046</v>
      </c>
      <c r="FT29" s="9" t="n">
        <v>0</v>
      </c>
      <c r="FV29" s="9" t="n">
        <v>0</v>
      </c>
      <c r="FW29" s="9" t="n">
        <v>3540</v>
      </c>
      <c r="GA29" s="10" t="n">
        <v>46046</v>
      </c>
      <c r="GC29" s="9" t="n">
        <v>0</v>
      </c>
      <c r="GE29" s="9" t="n">
        <v>0</v>
      </c>
      <c r="GF29" s="9" t="n">
        <v>1960</v>
      </c>
      <c r="GJ29" s="10" t="n">
        <v>46046</v>
      </c>
      <c r="GL29" s="9" t="n">
        <v>0</v>
      </c>
      <c r="GN29" s="9" t="n">
        <v>0</v>
      </c>
      <c r="GO29" s="9" t="n">
        <v>4440</v>
      </c>
      <c r="GS29" s="10" t="n">
        <v>46046</v>
      </c>
      <c r="GU29" s="9" t="n">
        <v>0</v>
      </c>
      <c r="GW29" s="9" t="n">
        <v>0</v>
      </c>
      <c r="GX29" s="9" t="n">
        <v>0</v>
      </c>
      <c r="HB29" s="10" t="n">
        <v>46046</v>
      </c>
      <c r="HD29" s="9" t="n">
        <v>0</v>
      </c>
      <c r="HF29" s="9" t="n">
        <v>0</v>
      </c>
      <c r="HG29" s="9" t="n">
        <v>0</v>
      </c>
      <c r="HK29" s="10" t="n">
        <v>46046</v>
      </c>
      <c r="HM29" s="9" t="n">
        <v>0</v>
      </c>
      <c r="HO29" s="9" t="n">
        <v>0</v>
      </c>
      <c r="HP29" s="9" t="n">
        <v>0</v>
      </c>
      <c r="HU29" s="10" t="n">
        <v>46046</v>
      </c>
      <c r="HW29" s="9" t="n">
        <v>0</v>
      </c>
      <c r="HY29" s="9" t="n">
        <v>0</v>
      </c>
      <c r="HZ29" s="9" t="n">
        <v>1440</v>
      </c>
      <c r="ID29" s="10" t="n">
        <v>46046</v>
      </c>
      <c r="IF29" s="9" t="n">
        <v>0</v>
      </c>
      <c r="IH29" s="9" t="n">
        <v>0</v>
      </c>
      <c r="II29" s="9" t="n">
        <v>5100</v>
      </c>
      <c r="IM29" s="10" t="n">
        <v>46046</v>
      </c>
      <c r="IO29" s="9" t="n">
        <v>520</v>
      </c>
      <c r="IQ29" s="9" t="n">
        <v>520</v>
      </c>
      <c r="IR29" s="9" t="n">
        <v>12640</v>
      </c>
      <c r="IV29" s="10" t="n">
        <v>46046</v>
      </c>
      <c r="IX29" s="9" t="n">
        <v>0</v>
      </c>
      <c r="IZ29" s="9" t="n">
        <v>0</v>
      </c>
      <c r="JA29" s="9" t="n">
        <v>9120</v>
      </c>
      <c r="JE29" s="10" t="n">
        <v>46046</v>
      </c>
      <c r="JG29" s="9" t="n">
        <v>0</v>
      </c>
      <c r="JI29" s="9" t="n">
        <v>0</v>
      </c>
      <c r="JJ29" s="9" t="n">
        <v>6800</v>
      </c>
      <c r="JN29" s="10" t="n">
        <v>46046</v>
      </c>
      <c r="JP29" s="9" t="n">
        <v>0</v>
      </c>
      <c r="JR29" s="9" t="n">
        <v>0</v>
      </c>
      <c r="JS29" s="9" t="n">
        <v>5400</v>
      </c>
      <c r="JW29" s="10" t="n">
        <v>46046</v>
      </c>
      <c r="JY29" s="9" t="n">
        <v>0</v>
      </c>
      <c r="KA29" s="9" t="n">
        <v>0</v>
      </c>
      <c r="KB29" s="9" t="n">
        <v>0</v>
      </c>
      <c r="KF29" s="10" t="n">
        <v>46046</v>
      </c>
      <c r="KH29" s="9" t="n">
        <v>0</v>
      </c>
      <c r="KJ29" s="9" t="n">
        <v>0</v>
      </c>
      <c r="KK29" s="9" t="n">
        <v>0</v>
      </c>
      <c r="KO29" s="10" t="n">
        <v>46046</v>
      </c>
      <c r="KQ29" s="9" t="n">
        <v>0</v>
      </c>
      <c r="KS29" s="9" t="n">
        <v>0</v>
      </c>
      <c r="KT29" s="9" t="n">
        <v>0</v>
      </c>
      <c r="KX29" s="10" t="n">
        <v>46046</v>
      </c>
      <c r="KZ29" s="9" t="n">
        <v>0</v>
      </c>
      <c r="LB29" s="9" t="n">
        <v>0</v>
      </c>
      <c r="LC29" s="9" t="n">
        <v>0</v>
      </c>
      <c r="LG29" s="10" t="n">
        <v>46046</v>
      </c>
      <c r="LI29" s="9" t="n">
        <v>0</v>
      </c>
      <c r="LK29" s="9" t="n">
        <v>0</v>
      </c>
      <c r="LL29" s="9" t="n">
        <v>0</v>
      </c>
      <c r="LP29" s="10" t="n">
        <v>46046</v>
      </c>
      <c r="LR29" s="9" t="n">
        <v>0</v>
      </c>
      <c r="LT29" s="9" t="n">
        <v>0</v>
      </c>
      <c r="LU29" s="9" t="n">
        <v>0</v>
      </c>
      <c r="LY29" s="10" t="n">
        <v>46046</v>
      </c>
      <c r="MA29" s="9" t="n">
        <v>0</v>
      </c>
      <c r="MC29" s="9" t="n">
        <v>0</v>
      </c>
      <c r="MD29" s="9" t="n">
        <v>0</v>
      </c>
      <c r="MH29" s="10" t="n">
        <v>46046</v>
      </c>
      <c r="MJ29" s="9" t="n">
        <v>0</v>
      </c>
      <c r="ML29" s="9" t="n">
        <v>0</v>
      </c>
      <c r="MM29" s="9" t="n">
        <v>0</v>
      </c>
      <c r="MQ29" s="10" t="n">
        <v>46046</v>
      </c>
      <c r="MS29" s="9" t="n">
        <v>13</v>
      </c>
      <c r="MU29" s="9" t="n">
        <v>13</v>
      </c>
      <c r="MV29" s="9" t="n">
        <v>1059</v>
      </c>
      <c r="MZ29" s="10" t="n">
        <v>46046</v>
      </c>
      <c r="NB29" s="9" t="n">
        <v>78</v>
      </c>
      <c r="ND29" s="9" t="n">
        <v>78</v>
      </c>
      <c r="NE29" s="9" t="n">
        <v>0</v>
      </c>
      <c r="NI29" s="10" t="n">
        <v>46046</v>
      </c>
      <c r="NK29" s="9" t="n">
        <v>0</v>
      </c>
      <c r="NM29" s="9" t="n">
        <v>0</v>
      </c>
      <c r="NN29" s="9" t="n">
        <v>0</v>
      </c>
      <c r="NR29" s="10" t="n">
        <v>46046</v>
      </c>
      <c r="NT29" s="9" t="n">
        <v>0</v>
      </c>
      <c r="NV29" s="9" t="n">
        <v>0</v>
      </c>
      <c r="NW29" s="9" t="n">
        <v>0</v>
      </c>
      <c r="OA29" s="10" t="n">
        <v>46046</v>
      </c>
      <c r="OC29" s="9" t="n">
        <v>0</v>
      </c>
      <c r="OE29" s="9" t="n">
        <v>0</v>
      </c>
      <c r="OF29" s="9" t="n">
        <v>1680.5</v>
      </c>
      <c r="OJ29" s="10" t="n">
        <v>46046</v>
      </c>
      <c r="OL29" s="9" t="n">
        <v>0</v>
      </c>
      <c r="ON29" s="9" t="n">
        <v>0</v>
      </c>
      <c r="OO29" s="9" t="n">
        <v>0</v>
      </c>
      <c r="OS29" s="10" t="n">
        <v>46046</v>
      </c>
      <c r="OU29" s="9" t="n">
        <v>0</v>
      </c>
      <c r="OW29" s="9" t="n">
        <v>0</v>
      </c>
      <c r="OX29" s="9" t="n">
        <v>67</v>
      </c>
      <c r="PB29" s="10" t="n">
        <v>46046</v>
      </c>
      <c r="PD29" s="9" t="n">
        <v>0</v>
      </c>
      <c r="PF29" s="9" t="n">
        <v>0</v>
      </c>
      <c r="PG29" s="9" t="n">
        <v>0</v>
      </c>
      <c r="PK29" s="10" t="n">
        <v>46046</v>
      </c>
      <c r="PM29" s="9" t="n">
        <v>0</v>
      </c>
      <c r="PO29" s="9" t="n">
        <v>0</v>
      </c>
      <c r="PP29" s="9" t="n">
        <v>160</v>
      </c>
      <c r="PT29" s="10" t="n">
        <v>46046</v>
      </c>
      <c r="PV29" s="9" t="n">
        <v>0</v>
      </c>
      <c r="PX29" s="9" t="n">
        <v>0</v>
      </c>
      <c r="PY29" s="9" t="n">
        <v>13.96000000000004</v>
      </c>
      <c r="QC29" s="10" t="n">
        <v>46046</v>
      </c>
      <c r="QE29" s="9" t="n">
        <v>0</v>
      </c>
      <c r="QG29" s="9" t="n">
        <v>0</v>
      </c>
      <c r="QH29" s="9" t="n">
        <v>0</v>
      </c>
      <c r="QL29" s="10" t="n">
        <v>46046</v>
      </c>
      <c r="QN29" s="9" t="n">
        <v>0</v>
      </c>
      <c r="QP29" s="9" t="n">
        <v>0</v>
      </c>
      <c r="QQ29" s="9" t="n">
        <v>0</v>
      </c>
      <c r="QU29" s="10" t="n">
        <v>46046</v>
      </c>
      <c r="QW29" s="9" t="n">
        <v>0</v>
      </c>
      <c r="QY29" s="9" t="n">
        <v>0</v>
      </c>
      <c r="QZ29" s="9" t="n">
        <v>207.6</v>
      </c>
      <c r="RD29" s="10" t="n">
        <v>46046</v>
      </c>
      <c r="RF29" s="9" t="n">
        <v>0</v>
      </c>
      <c r="RH29" s="9" t="n">
        <v>0</v>
      </c>
      <c r="RI29" s="9" t="n">
        <v>201.8</v>
      </c>
      <c r="RM29" s="10" t="n">
        <v>46046</v>
      </c>
      <c r="RO29" s="9" t="n">
        <v>0</v>
      </c>
      <c r="RQ29" s="9" t="n">
        <v>0</v>
      </c>
      <c r="RR29" s="9" t="n">
        <v>22.72</v>
      </c>
      <c r="RV29" s="10" t="n">
        <v>46046</v>
      </c>
      <c r="RX29" s="9" t="n">
        <v>0</v>
      </c>
      <c r="RZ29" s="9" t="n">
        <v>0</v>
      </c>
      <c r="SA29" s="9" t="n">
        <v>0</v>
      </c>
      <c r="SE29" s="10" t="n">
        <v>46046</v>
      </c>
      <c r="SG29" s="9" t="n">
        <v>0</v>
      </c>
      <c r="SI29" s="9" t="n">
        <v>0</v>
      </c>
      <c r="SJ29" s="9" t="n">
        <v>0</v>
      </c>
      <c r="SN29" s="10" t="n">
        <v>46046</v>
      </c>
      <c r="SP29" s="9" t="n">
        <v>0</v>
      </c>
      <c r="SR29" s="9" t="n">
        <v>0</v>
      </c>
      <c r="SS29" s="9" t="n">
        <v>0</v>
      </c>
      <c r="SW29" s="10" t="n">
        <v>46046</v>
      </c>
      <c r="SY29" s="9" t="n">
        <v>0</v>
      </c>
      <c r="TA29" s="9" t="n">
        <v>0</v>
      </c>
      <c r="TB29" s="9" t="n">
        <v>0</v>
      </c>
      <c r="TF29" s="10" t="n">
        <v>46046</v>
      </c>
      <c r="TH29" s="9" t="n">
        <v>0</v>
      </c>
      <c r="TJ29" s="9" t="n">
        <v>0</v>
      </c>
      <c r="TK29" s="9" t="n">
        <v>0</v>
      </c>
      <c r="TO29" s="10" t="n">
        <v>46046</v>
      </c>
      <c r="TQ29" s="9" t="n">
        <v>0</v>
      </c>
      <c r="TS29" s="9" t="n">
        <v>0</v>
      </c>
      <c r="TT29" s="9" t="n">
        <v>0</v>
      </c>
      <c r="TX29" s="10" t="n">
        <v>46046</v>
      </c>
      <c r="TZ29" s="9" t="n">
        <v>0</v>
      </c>
      <c r="UB29" s="9" t="n">
        <v>0</v>
      </c>
      <c r="UC29" s="9" t="n">
        <v>0</v>
      </c>
      <c r="UG29" s="10" t="n">
        <v>46046</v>
      </c>
      <c r="UI29" s="9" t="n">
        <v>0</v>
      </c>
      <c r="UK29" s="9" t="n">
        <v>0</v>
      </c>
      <c r="UL29" s="9" t="n">
        <v>0</v>
      </c>
      <c r="UP29" s="10" t="n">
        <v>46046</v>
      </c>
      <c r="UR29" s="9" t="n">
        <v>0</v>
      </c>
      <c r="UT29" s="9" t="n">
        <v>0</v>
      </c>
      <c r="UU29" s="9" t="n">
        <v>0</v>
      </c>
      <c r="UY29" s="10" t="n">
        <v>46046</v>
      </c>
      <c r="VA29" s="9" t="n">
        <v>0</v>
      </c>
      <c r="VC29" s="9" t="n">
        <v>0</v>
      </c>
      <c r="VD29" s="9" t="n">
        <v>-319.6</v>
      </c>
      <c r="VH29" s="10" t="n">
        <v>46046</v>
      </c>
      <c r="VJ29" s="9" t="n">
        <v>0</v>
      </c>
      <c r="VL29" s="9" t="n">
        <v>0</v>
      </c>
      <c r="VM29" s="9" t="n">
        <v>0</v>
      </c>
      <c r="VQ29" s="10" t="n">
        <v>46046</v>
      </c>
      <c r="VS29" s="9" t="n">
        <v>0</v>
      </c>
      <c r="VU29" s="9" t="n">
        <v>0</v>
      </c>
      <c r="VV29" s="9" t="n">
        <v>0</v>
      </c>
      <c r="VZ29" s="10" t="n">
        <v>46046</v>
      </c>
      <c r="WB29" s="9" t="n">
        <v>0</v>
      </c>
      <c r="WD29" s="9" t="n">
        <v>0</v>
      </c>
      <c r="WE29" s="9" t="n">
        <v>0</v>
      </c>
      <c r="WI29" s="10" t="n">
        <v>46046</v>
      </c>
      <c r="WK29" s="9" t="n">
        <v>0</v>
      </c>
      <c r="WM29" s="9" t="n">
        <v>0</v>
      </c>
      <c r="WN29" s="9" t="n">
        <v>9940</v>
      </c>
      <c r="WR29" s="10" t="n">
        <v>46046</v>
      </c>
      <c r="WT29" s="9" t="n">
        <v>0</v>
      </c>
      <c r="WV29" s="9" t="n">
        <v>0</v>
      </c>
      <c r="WW29" s="9" t="n">
        <v>8149</v>
      </c>
      <c r="XA29" s="10" t="n">
        <v>46046</v>
      </c>
      <c r="XC29" s="9" t="n">
        <v>0</v>
      </c>
      <c r="XE29" s="9" t="n">
        <v>0</v>
      </c>
      <c r="XF29" s="9" t="n">
        <v>2723</v>
      </c>
      <c r="XJ29" s="10" t="n">
        <v>46046</v>
      </c>
      <c r="XL29" s="9" t="n">
        <v>0</v>
      </c>
      <c r="XN29" s="9" t="n">
        <v>0</v>
      </c>
      <c r="XO29" s="9" t="n">
        <v>6997</v>
      </c>
      <c r="XS29" s="10" t="n">
        <v>46046</v>
      </c>
      <c r="XU29" s="9" t="n">
        <v>0</v>
      </c>
      <c r="XW29" s="9" t="n">
        <v>0</v>
      </c>
      <c r="XX29" s="9" t="n">
        <v>1901</v>
      </c>
      <c r="YB29" s="10" t="n">
        <v>46046</v>
      </c>
      <c r="YD29" s="9" t="n">
        <v>0</v>
      </c>
      <c r="YE29" s="9" t="n">
        <v>519</v>
      </c>
      <c r="YF29" s="9" t="n">
        <v>-519</v>
      </c>
      <c r="YG29" s="9" t="n">
        <v>2152</v>
      </c>
      <c r="YK29" s="10" t="n">
        <v>46046</v>
      </c>
      <c r="YM29" s="9" t="n">
        <v>0</v>
      </c>
      <c r="YO29" s="9" t="n">
        <v>0</v>
      </c>
      <c r="YP29" s="9" t="n">
        <v>0</v>
      </c>
      <c r="YT29" s="10" t="n">
        <v>46046</v>
      </c>
      <c r="YV29" s="9" t="n">
        <v>0</v>
      </c>
      <c r="YX29" s="9" t="n">
        <v>0</v>
      </c>
      <c r="YY29" s="9" t="n">
        <v>0</v>
      </c>
      <c r="ZC29" s="10" t="n">
        <v>46046</v>
      </c>
      <c r="ZE29" s="9" t="n">
        <v>0</v>
      </c>
      <c r="ZG29" s="9" t="n">
        <v>0</v>
      </c>
      <c r="ZH29" s="9" t="n">
        <v>0</v>
      </c>
      <c r="ZL29" s="10" t="n">
        <v>46046</v>
      </c>
      <c r="ZN29" s="9" t="n">
        <v>0</v>
      </c>
      <c r="ZP29" s="9" t="n">
        <v>0</v>
      </c>
      <c r="ZQ29" s="9" t="n">
        <v>0</v>
      </c>
      <c r="ZU29" s="10" t="n">
        <v>46046</v>
      </c>
      <c r="ZW29" s="9" t="n">
        <v>0</v>
      </c>
      <c r="ZY29" s="9" t="n">
        <v>0</v>
      </c>
      <c r="ZZ29" s="9" t="n">
        <v>0</v>
      </c>
      <c r="AAD29" s="10" t="n">
        <v>46046</v>
      </c>
      <c r="AAF29" s="9" t="n">
        <v>0</v>
      </c>
      <c r="AAH29" s="9" t="n">
        <v>0</v>
      </c>
      <c r="AAI29" s="9" t="n">
        <v>0</v>
      </c>
      <c r="AAM29" s="10" t="n">
        <v>46046</v>
      </c>
      <c r="AAO29" s="9" t="n">
        <v>0</v>
      </c>
      <c r="AAQ29" s="9" t="n">
        <v>0</v>
      </c>
      <c r="AAR29" s="9" t="n">
        <v>0</v>
      </c>
      <c r="AAV29" s="10" t="n">
        <v>46046</v>
      </c>
      <c r="AAX29" s="9" t="n">
        <v>0</v>
      </c>
      <c r="AAZ29" s="9" t="n">
        <v>0</v>
      </c>
      <c r="ABA29" s="9" t="n">
        <v>0</v>
      </c>
      <c r="ABE29" s="10" t="n">
        <v>46046</v>
      </c>
      <c r="ABG29" s="9" t="n">
        <v>0</v>
      </c>
      <c r="ABI29" s="9" t="n">
        <v>0</v>
      </c>
      <c r="ABJ29" s="9" t="n">
        <v>0</v>
      </c>
    </row>
    <row r="30">
      <c r="C30" s="10" t="n">
        <v>46047</v>
      </c>
      <c r="E30" s="9" t="n">
        <v>0</v>
      </c>
      <c r="G30" s="9" t="n">
        <v>0</v>
      </c>
      <c r="H30" s="9" t="n">
        <v>103330.6</v>
      </c>
      <c r="L30" s="10" t="n">
        <v>46047</v>
      </c>
      <c r="N30" s="9" t="n">
        <v>0</v>
      </c>
      <c r="P30" s="9" t="n">
        <v>0</v>
      </c>
      <c r="Q30" s="9" t="n">
        <v>53852</v>
      </c>
      <c r="U30" s="10" t="n">
        <v>46047</v>
      </c>
      <c r="W30" s="9" t="n">
        <v>0</v>
      </c>
      <c r="Y30" s="9" t="n">
        <v>0</v>
      </c>
      <c r="Z30" s="9" t="n">
        <v>34909.49999999998</v>
      </c>
      <c r="AD30" s="10" t="n">
        <v>46047</v>
      </c>
      <c r="AF30" s="9" t="n">
        <v>0</v>
      </c>
      <c r="AH30" s="9" t="n">
        <v>0</v>
      </c>
      <c r="AI30" s="9" t="n">
        <v>38799.00000000001</v>
      </c>
      <c r="AM30" s="10" t="n">
        <v>46047</v>
      </c>
      <c r="AO30" s="9" t="n">
        <v>0</v>
      </c>
      <c r="AQ30" s="9" t="n">
        <v>0</v>
      </c>
      <c r="AR30" s="9" t="n">
        <v>0</v>
      </c>
      <c r="AV30" s="10" t="n">
        <v>46047</v>
      </c>
      <c r="AX30" s="9" t="n">
        <v>0</v>
      </c>
      <c r="AZ30" s="9" t="n">
        <v>0</v>
      </c>
      <c r="BA30" s="9" t="n">
        <v>38547.99999999999</v>
      </c>
      <c r="BE30" s="10" t="n">
        <v>46047</v>
      </c>
      <c r="BG30" s="9" t="n">
        <v>0</v>
      </c>
      <c r="BI30" s="9" t="n">
        <v>0</v>
      </c>
      <c r="BJ30" s="9" t="n">
        <v>26001.50000000001</v>
      </c>
      <c r="BN30" s="10" t="n">
        <v>46047</v>
      </c>
      <c r="BP30" s="9" t="n">
        <v>0</v>
      </c>
      <c r="BR30" s="9" t="n">
        <v>0</v>
      </c>
      <c r="BS30" s="9" t="n">
        <v>0</v>
      </c>
      <c r="BW30" s="10" t="n">
        <v>46047</v>
      </c>
      <c r="BY30" s="9" t="n">
        <v>0</v>
      </c>
      <c r="CA30" s="9" t="n">
        <v>0</v>
      </c>
      <c r="CB30" s="9" t="n">
        <v>3284.5</v>
      </c>
      <c r="CF30" s="10" t="n">
        <v>46047</v>
      </c>
      <c r="CH30" s="9" t="n">
        <v>0</v>
      </c>
      <c r="CJ30" s="9" t="n">
        <v>0</v>
      </c>
      <c r="CK30" s="9" t="n">
        <v>0</v>
      </c>
      <c r="CO30" s="10" t="n">
        <v>46047</v>
      </c>
      <c r="CQ30" s="9" t="n">
        <v>0</v>
      </c>
      <c r="CS30" s="9" t="n">
        <v>0</v>
      </c>
      <c r="CT30" s="9" t="n">
        <v>0</v>
      </c>
      <c r="CX30" s="10" t="n">
        <v>46047</v>
      </c>
      <c r="CZ30" s="9" t="n">
        <v>0</v>
      </c>
      <c r="DB30" s="9" t="n">
        <v>0</v>
      </c>
      <c r="DC30" s="9" t="n">
        <v>0</v>
      </c>
      <c r="DG30" s="10" t="n">
        <v>46047</v>
      </c>
      <c r="DI30" s="9" t="n">
        <v>0</v>
      </c>
      <c r="DK30" s="9" t="n">
        <v>0</v>
      </c>
      <c r="DL30" s="9" t="n">
        <v>23572.8</v>
      </c>
      <c r="DP30" s="10" t="n">
        <v>46047</v>
      </c>
      <c r="DR30" s="9" t="n">
        <v>0</v>
      </c>
      <c r="DT30" s="9" t="n">
        <v>0</v>
      </c>
      <c r="DU30" s="9" t="n">
        <v>0</v>
      </c>
      <c r="DY30" s="10" t="n">
        <v>46047</v>
      </c>
      <c r="EA30" s="9" t="n">
        <v>0</v>
      </c>
      <c r="EC30" s="9" t="n">
        <v>0</v>
      </c>
      <c r="ED30" s="9" t="n">
        <v>0</v>
      </c>
      <c r="EH30" s="10" t="n">
        <v>46047</v>
      </c>
      <c r="EJ30" s="9" t="n">
        <v>0</v>
      </c>
      <c r="EL30" s="9" t="n">
        <v>0</v>
      </c>
      <c r="EM30" s="9" t="n">
        <v>0</v>
      </c>
      <c r="EQ30" s="10" t="n">
        <v>46047</v>
      </c>
      <c r="ES30" s="9" t="n">
        <v>0</v>
      </c>
      <c r="EU30" s="9" t="n">
        <v>0</v>
      </c>
      <c r="EV30" s="9" t="n">
        <v>0</v>
      </c>
      <c r="EZ30" s="10" t="n">
        <v>46047</v>
      </c>
      <c r="FB30" s="9" t="n">
        <v>0</v>
      </c>
      <c r="FD30" s="9" t="n">
        <v>0</v>
      </c>
      <c r="FE30" s="9" t="n">
        <v>0</v>
      </c>
      <c r="FI30" s="10" t="n">
        <v>46047</v>
      </c>
      <c r="FK30" s="9" t="n">
        <v>0</v>
      </c>
      <c r="FM30" s="9" t="n">
        <v>0</v>
      </c>
      <c r="FN30" s="9" t="n">
        <v>0</v>
      </c>
      <c r="FR30" s="10" t="n">
        <v>46047</v>
      </c>
      <c r="FT30" s="9" t="n">
        <v>0</v>
      </c>
      <c r="FV30" s="9" t="n">
        <v>0</v>
      </c>
      <c r="FW30" s="9" t="n">
        <v>3540</v>
      </c>
      <c r="GA30" s="10" t="n">
        <v>46047</v>
      </c>
      <c r="GC30" s="9" t="n">
        <v>0</v>
      </c>
      <c r="GE30" s="9" t="n">
        <v>0</v>
      </c>
      <c r="GF30" s="9" t="n">
        <v>1960</v>
      </c>
      <c r="GJ30" s="10" t="n">
        <v>46047</v>
      </c>
      <c r="GL30" s="9" t="n">
        <v>0</v>
      </c>
      <c r="GN30" s="9" t="n">
        <v>0</v>
      </c>
      <c r="GO30" s="9" t="n">
        <v>4440</v>
      </c>
      <c r="GS30" s="10" t="n">
        <v>46047</v>
      </c>
      <c r="GU30" s="9" t="n">
        <v>0</v>
      </c>
      <c r="GW30" s="9" t="n">
        <v>0</v>
      </c>
      <c r="GX30" s="9" t="n">
        <v>0</v>
      </c>
      <c r="HB30" s="10" t="n">
        <v>46047</v>
      </c>
      <c r="HD30" s="9" t="n">
        <v>0</v>
      </c>
      <c r="HF30" s="9" t="n">
        <v>0</v>
      </c>
      <c r="HG30" s="9" t="n">
        <v>0</v>
      </c>
      <c r="HK30" s="10" t="n">
        <v>46047</v>
      </c>
      <c r="HM30" s="9" t="n">
        <v>0</v>
      </c>
      <c r="HO30" s="9" t="n">
        <v>0</v>
      </c>
      <c r="HP30" s="9" t="n">
        <v>0</v>
      </c>
      <c r="HU30" s="10" t="n">
        <v>46047</v>
      </c>
      <c r="HW30" s="9" t="n">
        <v>0</v>
      </c>
      <c r="HY30" s="9" t="n">
        <v>0</v>
      </c>
      <c r="HZ30" s="9" t="n">
        <v>1440</v>
      </c>
      <c r="ID30" s="10" t="n">
        <v>46047</v>
      </c>
      <c r="IF30" s="9" t="n">
        <v>0</v>
      </c>
      <c r="IH30" s="9" t="n">
        <v>0</v>
      </c>
      <c r="II30" s="9" t="n">
        <v>5100</v>
      </c>
      <c r="IM30" s="10" t="n">
        <v>46047</v>
      </c>
      <c r="IO30" s="9" t="n">
        <v>0</v>
      </c>
      <c r="IQ30" s="9" t="n">
        <v>0</v>
      </c>
      <c r="IR30" s="9" t="n">
        <v>12640</v>
      </c>
      <c r="IV30" s="10" t="n">
        <v>46047</v>
      </c>
      <c r="IX30" s="9" t="n">
        <v>0</v>
      </c>
      <c r="IZ30" s="9" t="n">
        <v>0</v>
      </c>
      <c r="JA30" s="9" t="n">
        <v>9120</v>
      </c>
      <c r="JE30" s="10" t="n">
        <v>46047</v>
      </c>
      <c r="JG30" s="9" t="n">
        <v>0</v>
      </c>
      <c r="JI30" s="9" t="n">
        <v>0</v>
      </c>
      <c r="JJ30" s="9" t="n">
        <v>6800</v>
      </c>
      <c r="JN30" s="10" t="n">
        <v>46047</v>
      </c>
      <c r="JP30" s="9" t="n">
        <v>0</v>
      </c>
      <c r="JR30" s="9" t="n">
        <v>0</v>
      </c>
      <c r="JS30" s="9" t="n">
        <v>5400</v>
      </c>
      <c r="JW30" s="10" t="n">
        <v>46047</v>
      </c>
      <c r="JY30" s="9" t="n">
        <v>0</v>
      </c>
      <c r="KA30" s="9" t="n">
        <v>0</v>
      </c>
      <c r="KB30" s="9" t="n">
        <v>0</v>
      </c>
      <c r="KF30" s="10" t="n">
        <v>46047</v>
      </c>
      <c r="KH30" s="9" t="n">
        <v>0</v>
      </c>
      <c r="KJ30" s="9" t="n">
        <v>0</v>
      </c>
      <c r="KK30" s="9" t="n">
        <v>0</v>
      </c>
      <c r="KO30" s="10" t="n">
        <v>46047</v>
      </c>
      <c r="KQ30" s="9" t="n">
        <v>0</v>
      </c>
      <c r="KS30" s="9" t="n">
        <v>0</v>
      </c>
      <c r="KT30" s="9" t="n">
        <v>0</v>
      </c>
      <c r="KX30" s="10" t="n">
        <v>46047</v>
      </c>
      <c r="KZ30" s="9" t="n">
        <v>0</v>
      </c>
      <c r="LB30" s="9" t="n">
        <v>0</v>
      </c>
      <c r="LC30" s="9" t="n">
        <v>0</v>
      </c>
      <c r="LG30" s="10" t="n">
        <v>46047</v>
      </c>
      <c r="LI30" s="9" t="n">
        <v>0</v>
      </c>
      <c r="LK30" s="9" t="n">
        <v>0</v>
      </c>
      <c r="LL30" s="9" t="n">
        <v>0</v>
      </c>
      <c r="LP30" s="10" t="n">
        <v>46047</v>
      </c>
      <c r="LR30" s="9" t="n">
        <v>0</v>
      </c>
      <c r="LT30" s="9" t="n">
        <v>0</v>
      </c>
      <c r="LU30" s="9" t="n">
        <v>0</v>
      </c>
      <c r="LY30" s="10" t="n">
        <v>46047</v>
      </c>
      <c r="MA30" s="9" t="n">
        <v>0</v>
      </c>
      <c r="MC30" s="9" t="n">
        <v>0</v>
      </c>
      <c r="MD30" s="9" t="n">
        <v>0</v>
      </c>
      <c r="MH30" s="10" t="n">
        <v>46047</v>
      </c>
      <c r="MJ30" s="9" t="n">
        <v>0</v>
      </c>
      <c r="ML30" s="9" t="n">
        <v>0</v>
      </c>
      <c r="MM30" s="9" t="n">
        <v>0</v>
      </c>
      <c r="MQ30" s="10" t="n">
        <v>46047</v>
      </c>
      <c r="MS30" s="9" t="n">
        <v>0</v>
      </c>
      <c r="MU30" s="9" t="n">
        <v>0</v>
      </c>
      <c r="MV30" s="9" t="n">
        <v>1059</v>
      </c>
      <c r="MZ30" s="10" t="n">
        <v>46047</v>
      </c>
      <c r="NB30" s="9" t="n">
        <v>0</v>
      </c>
      <c r="ND30" s="9" t="n">
        <v>0</v>
      </c>
      <c r="NE30" s="9" t="n">
        <v>0</v>
      </c>
      <c r="NI30" s="10" t="n">
        <v>46047</v>
      </c>
      <c r="NK30" s="9" t="n">
        <v>0</v>
      </c>
      <c r="NM30" s="9" t="n">
        <v>0</v>
      </c>
      <c r="NN30" s="9" t="n">
        <v>0</v>
      </c>
      <c r="NR30" s="10" t="n">
        <v>46047</v>
      </c>
      <c r="NT30" s="9" t="n">
        <v>0</v>
      </c>
      <c r="NV30" s="9" t="n">
        <v>0</v>
      </c>
      <c r="NW30" s="9" t="n">
        <v>0</v>
      </c>
      <c r="OA30" s="10" t="n">
        <v>46047</v>
      </c>
      <c r="OC30" s="9" t="n">
        <v>0</v>
      </c>
      <c r="OE30" s="9" t="n">
        <v>0</v>
      </c>
      <c r="OF30" s="9" t="n">
        <v>1680.5</v>
      </c>
      <c r="OJ30" s="10" t="n">
        <v>46047</v>
      </c>
      <c r="OL30" s="9" t="n">
        <v>0</v>
      </c>
      <c r="ON30" s="9" t="n">
        <v>0</v>
      </c>
      <c r="OO30" s="9" t="n">
        <v>0</v>
      </c>
      <c r="OS30" s="10" t="n">
        <v>46047</v>
      </c>
      <c r="OU30" s="9" t="n">
        <v>0</v>
      </c>
      <c r="OW30" s="9" t="n">
        <v>0</v>
      </c>
      <c r="OX30" s="9" t="n">
        <v>67</v>
      </c>
      <c r="PB30" s="10" t="n">
        <v>46047</v>
      </c>
      <c r="PD30" s="9" t="n">
        <v>0</v>
      </c>
      <c r="PF30" s="9" t="n">
        <v>0</v>
      </c>
      <c r="PG30" s="9" t="n">
        <v>0</v>
      </c>
      <c r="PK30" s="10" t="n">
        <v>46047</v>
      </c>
      <c r="PM30" s="9" t="n">
        <v>0</v>
      </c>
      <c r="PO30" s="9" t="n">
        <v>0</v>
      </c>
      <c r="PP30" s="9" t="n">
        <v>160</v>
      </c>
      <c r="PT30" s="10" t="n">
        <v>46047</v>
      </c>
      <c r="PV30" s="9" t="n">
        <v>0</v>
      </c>
      <c r="PX30" s="9" t="n">
        <v>0</v>
      </c>
      <c r="PY30" s="9" t="n">
        <v>13.96000000000004</v>
      </c>
      <c r="QC30" s="10" t="n">
        <v>46047</v>
      </c>
      <c r="QE30" s="9" t="n">
        <v>0</v>
      </c>
      <c r="QG30" s="9" t="n">
        <v>0</v>
      </c>
      <c r="QH30" s="9" t="n">
        <v>0</v>
      </c>
      <c r="QL30" s="10" t="n">
        <v>46047</v>
      </c>
      <c r="QN30" s="9" t="n">
        <v>0</v>
      </c>
      <c r="QP30" s="9" t="n">
        <v>0</v>
      </c>
      <c r="QQ30" s="9" t="n">
        <v>0</v>
      </c>
      <c r="QU30" s="10" t="n">
        <v>46047</v>
      </c>
      <c r="QW30" s="9" t="n">
        <v>0</v>
      </c>
      <c r="QY30" s="9" t="n">
        <v>0</v>
      </c>
      <c r="QZ30" s="9" t="n">
        <v>207.6</v>
      </c>
      <c r="RD30" s="10" t="n">
        <v>46047</v>
      </c>
      <c r="RF30" s="9" t="n">
        <v>0</v>
      </c>
      <c r="RH30" s="9" t="n">
        <v>0</v>
      </c>
      <c r="RI30" s="9" t="n">
        <v>201.8</v>
      </c>
      <c r="RM30" s="10" t="n">
        <v>46047</v>
      </c>
      <c r="RO30" s="9" t="n">
        <v>0</v>
      </c>
      <c r="RQ30" s="9" t="n">
        <v>0</v>
      </c>
      <c r="RR30" s="9" t="n">
        <v>22.72</v>
      </c>
      <c r="RV30" s="10" t="n">
        <v>46047</v>
      </c>
      <c r="RX30" s="9" t="n">
        <v>0</v>
      </c>
      <c r="RZ30" s="9" t="n">
        <v>0</v>
      </c>
      <c r="SA30" s="9" t="n">
        <v>0</v>
      </c>
      <c r="SE30" s="10" t="n">
        <v>46047</v>
      </c>
      <c r="SG30" s="9" t="n">
        <v>0</v>
      </c>
      <c r="SI30" s="9" t="n">
        <v>0</v>
      </c>
      <c r="SJ30" s="9" t="n">
        <v>0</v>
      </c>
      <c r="SN30" s="10" t="n">
        <v>46047</v>
      </c>
      <c r="SP30" s="9" t="n">
        <v>0</v>
      </c>
      <c r="SR30" s="9" t="n">
        <v>0</v>
      </c>
      <c r="SS30" s="9" t="n">
        <v>0</v>
      </c>
      <c r="SW30" s="10" t="n">
        <v>46047</v>
      </c>
      <c r="SY30" s="9" t="n">
        <v>0</v>
      </c>
      <c r="TA30" s="9" t="n">
        <v>0</v>
      </c>
      <c r="TB30" s="9" t="n">
        <v>0</v>
      </c>
      <c r="TF30" s="10" t="n">
        <v>46047</v>
      </c>
      <c r="TH30" s="9" t="n">
        <v>0</v>
      </c>
      <c r="TJ30" s="9" t="n">
        <v>0</v>
      </c>
      <c r="TK30" s="9" t="n">
        <v>0</v>
      </c>
      <c r="TO30" s="10" t="n">
        <v>46047</v>
      </c>
      <c r="TQ30" s="9" t="n">
        <v>0</v>
      </c>
      <c r="TS30" s="9" t="n">
        <v>0</v>
      </c>
      <c r="TT30" s="9" t="n">
        <v>0</v>
      </c>
      <c r="TX30" s="10" t="n">
        <v>46047</v>
      </c>
      <c r="TZ30" s="9" t="n">
        <v>0</v>
      </c>
      <c r="UB30" s="9" t="n">
        <v>0</v>
      </c>
      <c r="UC30" s="9" t="n">
        <v>0</v>
      </c>
      <c r="UG30" s="10" t="n">
        <v>46047</v>
      </c>
      <c r="UI30" s="9" t="n">
        <v>0</v>
      </c>
      <c r="UK30" s="9" t="n">
        <v>0</v>
      </c>
      <c r="UL30" s="9" t="n">
        <v>0</v>
      </c>
      <c r="UP30" s="10" t="n">
        <v>46047</v>
      </c>
      <c r="UR30" s="9" t="n">
        <v>0</v>
      </c>
      <c r="UT30" s="9" t="n">
        <v>0</v>
      </c>
      <c r="UU30" s="9" t="n">
        <v>0</v>
      </c>
      <c r="UY30" s="10" t="n">
        <v>46047</v>
      </c>
      <c r="VA30" s="9" t="n">
        <v>0</v>
      </c>
      <c r="VC30" s="9" t="n">
        <v>0</v>
      </c>
      <c r="VD30" s="9" t="n">
        <v>-319.6</v>
      </c>
      <c r="VH30" s="10" t="n">
        <v>46047</v>
      </c>
      <c r="VJ30" s="9" t="n">
        <v>0</v>
      </c>
      <c r="VL30" s="9" t="n">
        <v>0</v>
      </c>
      <c r="VM30" s="9" t="n">
        <v>0</v>
      </c>
      <c r="VQ30" s="10" t="n">
        <v>46047</v>
      </c>
      <c r="VS30" s="9" t="n">
        <v>0</v>
      </c>
      <c r="VU30" s="9" t="n">
        <v>0</v>
      </c>
      <c r="VV30" s="9" t="n">
        <v>0</v>
      </c>
      <c r="VZ30" s="10" t="n">
        <v>46047</v>
      </c>
      <c r="WB30" s="9" t="n">
        <v>0</v>
      </c>
      <c r="WD30" s="9" t="n">
        <v>0</v>
      </c>
      <c r="WE30" s="9" t="n">
        <v>0</v>
      </c>
      <c r="WI30" s="10" t="n">
        <v>46047</v>
      </c>
      <c r="WK30" s="9" t="n">
        <v>0</v>
      </c>
      <c r="WM30" s="9" t="n">
        <v>0</v>
      </c>
      <c r="WN30" s="9" t="n">
        <v>9940</v>
      </c>
      <c r="WR30" s="10" t="n">
        <v>46047</v>
      </c>
      <c r="WT30" s="9" t="n">
        <v>0</v>
      </c>
      <c r="WV30" s="9" t="n">
        <v>0</v>
      </c>
      <c r="WW30" s="9" t="n">
        <v>8149</v>
      </c>
      <c r="XA30" s="10" t="n">
        <v>46047</v>
      </c>
      <c r="XC30" s="9" t="n">
        <v>0</v>
      </c>
      <c r="XE30" s="9" t="n">
        <v>0</v>
      </c>
      <c r="XF30" s="9" t="n">
        <v>2723</v>
      </c>
      <c r="XJ30" s="10" t="n">
        <v>46047</v>
      </c>
      <c r="XL30" s="9" t="n">
        <v>0</v>
      </c>
      <c r="XN30" s="9" t="n">
        <v>0</v>
      </c>
      <c r="XO30" s="9" t="n">
        <v>6997</v>
      </c>
      <c r="XS30" s="10" t="n">
        <v>46047</v>
      </c>
      <c r="XU30" s="9" t="n">
        <v>0</v>
      </c>
      <c r="XW30" s="9" t="n">
        <v>0</v>
      </c>
      <c r="XX30" s="9" t="n">
        <v>1901</v>
      </c>
      <c r="YB30" s="10" t="n">
        <v>46047</v>
      </c>
      <c r="YD30" s="9" t="n">
        <v>0</v>
      </c>
      <c r="YF30" s="9" t="n">
        <v>0</v>
      </c>
      <c r="YG30" s="9" t="n">
        <v>2152</v>
      </c>
      <c r="YK30" s="10" t="n">
        <v>46047</v>
      </c>
      <c r="YM30" s="9" t="n">
        <v>0</v>
      </c>
      <c r="YO30" s="9" t="n">
        <v>0</v>
      </c>
      <c r="YP30" s="9" t="n">
        <v>0</v>
      </c>
      <c r="YT30" s="10" t="n">
        <v>46047</v>
      </c>
      <c r="YV30" s="9" t="n">
        <v>0</v>
      </c>
      <c r="YX30" s="9" t="n">
        <v>0</v>
      </c>
      <c r="YY30" s="9" t="n">
        <v>0</v>
      </c>
      <c r="ZC30" s="10" t="n">
        <v>46047</v>
      </c>
      <c r="ZE30" s="9" t="n">
        <v>0</v>
      </c>
      <c r="ZG30" s="9" t="n">
        <v>0</v>
      </c>
      <c r="ZH30" s="9" t="n">
        <v>0</v>
      </c>
      <c r="ZL30" s="10" t="n">
        <v>46047</v>
      </c>
      <c r="ZN30" s="9" t="n">
        <v>0</v>
      </c>
      <c r="ZP30" s="9" t="n">
        <v>0</v>
      </c>
      <c r="ZQ30" s="9" t="n">
        <v>0</v>
      </c>
      <c r="ZU30" s="10" t="n">
        <v>46047</v>
      </c>
      <c r="ZW30" s="9" t="n">
        <v>0</v>
      </c>
      <c r="ZY30" s="9" t="n">
        <v>0</v>
      </c>
      <c r="ZZ30" s="9" t="n">
        <v>0</v>
      </c>
      <c r="AAD30" s="10" t="n">
        <v>46047</v>
      </c>
      <c r="AAF30" s="9" t="n">
        <v>0</v>
      </c>
      <c r="AAH30" s="9" t="n">
        <v>0</v>
      </c>
      <c r="AAI30" s="9" t="n">
        <v>0</v>
      </c>
      <c r="AAM30" s="10" t="n">
        <v>46047</v>
      </c>
      <c r="AAO30" s="9" t="n">
        <v>0</v>
      </c>
      <c r="AAQ30" s="9" t="n">
        <v>0</v>
      </c>
      <c r="AAR30" s="9" t="n">
        <v>0</v>
      </c>
      <c r="AAV30" s="10" t="n">
        <v>46047</v>
      </c>
      <c r="AAX30" s="9" t="n">
        <v>0</v>
      </c>
      <c r="AAZ30" s="9" t="n">
        <v>0</v>
      </c>
      <c r="ABA30" s="9" t="n">
        <v>0</v>
      </c>
      <c r="ABE30" s="10" t="n">
        <v>46047</v>
      </c>
      <c r="ABG30" s="9" t="n">
        <v>0</v>
      </c>
      <c r="ABI30" s="9" t="n">
        <v>0</v>
      </c>
      <c r="ABJ30" s="9" t="n">
        <v>0</v>
      </c>
    </row>
    <row r="31">
      <c r="B31" s="9" t="n">
        <v>56</v>
      </c>
      <c r="C31" s="10" t="n">
        <v>46048</v>
      </c>
      <c r="D31" s="9" t="n">
        <v>11260</v>
      </c>
      <c r="E31" s="9" t="n">
        <v>33371.6</v>
      </c>
      <c r="F31" s="9" t="n">
        <v>33370</v>
      </c>
      <c r="G31" s="9" t="n">
        <v>1.599999999998545</v>
      </c>
      <c r="H31" s="9" t="n">
        <v>81220.59999999999</v>
      </c>
      <c r="I31" s="9" t="inlineStr">
        <is>
          <t>8103 40mt, 1101 16mt</t>
        </is>
      </c>
      <c r="L31" s="10" t="n">
        <v>46048</v>
      </c>
      <c r="N31" s="9" t="n">
        <v>13290</v>
      </c>
      <c r="O31" s="9" t="n">
        <v>13279.4</v>
      </c>
      <c r="P31" s="9" t="n">
        <v>10.60000000000036</v>
      </c>
      <c r="Q31" s="9" t="n">
        <v>40572.6</v>
      </c>
      <c r="U31" s="10" t="n">
        <v>46048</v>
      </c>
      <c r="V31" s="9" t="n">
        <v>30080</v>
      </c>
      <c r="W31" s="9" t="n">
        <v>2200</v>
      </c>
      <c r="X31" s="9" t="n">
        <v>2201.6</v>
      </c>
      <c r="Y31" s="9" t="n">
        <v>-1.599999999999909</v>
      </c>
      <c r="Z31" s="9" t="n">
        <v>62787.89999999998</v>
      </c>
      <c r="AD31" s="10" t="n">
        <v>46048</v>
      </c>
      <c r="AF31" s="9" t="n">
        <v>1600</v>
      </c>
      <c r="AG31" s="9" t="n">
        <v>1601.2</v>
      </c>
      <c r="AH31" s="9" t="n">
        <v>-1.200000000000045</v>
      </c>
      <c r="AI31" s="9" t="n">
        <v>37197.80000000001</v>
      </c>
      <c r="AM31" s="10" t="n">
        <v>46048</v>
      </c>
      <c r="AO31" s="9" t="n">
        <v>0</v>
      </c>
      <c r="AQ31" s="9" t="n">
        <v>0</v>
      </c>
      <c r="AR31" s="9" t="n">
        <v>0</v>
      </c>
      <c r="AV31" s="10" t="n">
        <v>46048</v>
      </c>
      <c r="AX31" s="9" t="n">
        <v>1120</v>
      </c>
      <c r="AY31" s="9" t="n">
        <v>1120.8</v>
      </c>
      <c r="AZ31" s="9" t="n">
        <v>-0.7999999999999545</v>
      </c>
      <c r="BA31" s="9" t="n">
        <v>37427.19999999999</v>
      </c>
      <c r="BE31" s="10" t="n">
        <v>46048</v>
      </c>
      <c r="BG31" s="9" t="n">
        <v>800</v>
      </c>
      <c r="BH31" s="9" t="n">
        <v>802.8</v>
      </c>
      <c r="BI31" s="9" t="n">
        <v>-2.799999999999955</v>
      </c>
      <c r="BJ31" s="9" t="n">
        <v>25198.70000000001</v>
      </c>
      <c r="BN31" s="10" t="n">
        <v>46048</v>
      </c>
      <c r="BO31" s="9" t="n">
        <v>920.2</v>
      </c>
      <c r="BP31" s="9" t="n">
        <v>920</v>
      </c>
      <c r="BQ31" s="9" t="n">
        <v>920.2</v>
      </c>
      <c r="BR31" s="9" t="n">
        <v>-0.2000000000000455</v>
      </c>
      <c r="BS31" s="9" t="n">
        <v>0</v>
      </c>
      <c r="BW31" s="10" t="n">
        <v>46048</v>
      </c>
      <c r="BY31" s="9" t="n">
        <v>36.00000000000001</v>
      </c>
      <c r="CA31" s="9" t="n">
        <v>36.00000000000001</v>
      </c>
      <c r="CB31" s="9" t="n">
        <v>3284.5</v>
      </c>
      <c r="CF31" s="10" t="n">
        <v>46048</v>
      </c>
      <c r="CH31" s="9" t="n">
        <v>14.4</v>
      </c>
      <c r="CJ31" s="9" t="n">
        <v>14.4</v>
      </c>
      <c r="CK31" s="9" t="n">
        <v>0</v>
      </c>
      <c r="CO31" s="10" t="n">
        <v>46048</v>
      </c>
      <c r="CQ31" s="9" t="n">
        <v>0</v>
      </c>
      <c r="CS31" s="9" t="n">
        <v>0</v>
      </c>
      <c r="CT31" s="9" t="n">
        <v>0</v>
      </c>
      <c r="CX31" s="10" t="n">
        <v>46048</v>
      </c>
      <c r="CZ31" s="9" t="n">
        <v>0</v>
      </c>
      <c r="DB31" s="9" t="n">
        <v>0</v>
      </c>
      <c r="DC31" s="9" t="n">
        <v>0</v>
      </c>
      <c r="DG31" s="10" t="n">
        <v>46048</v>
      </c>
      <c r="DI31" s="9" t="n">
        <v>1400</v>
      </c>
      <c r="DJ31" s="9" t="n">
        <v>1400</v>
      </c>
      <c r="DK31" s="9" t="n">
        <v>0</v>
      </c>
      <c r="DL31" s="9" t="n">
        <v>22172.8</v>
      </c>
      <c r="DP31" s="10" t="n">
        <v>46048</v>
      </c>
      <c r="DR31" s="9" t="n">
        <v>0</v>
      </c>
      <c r="DT31" s="9" t="n">
        <v>0</v>
      </c>
      <c r="DU31" s="9" t="n">
        <v>0</v>
      </c>
      <c r="DY31" s="10" t="n">
        <v>46048</v>
      </c>
      <c r="EA31" s="9" t="n">
        <v>0</v>
      </c>
      <c r="EC31" s="9" t="n">
        <v>0</v>
      </c>
      <c r="ED31" s="9" t="n">
        <v>0</v>
      </c>
      <c r="EH31" s="10" t="n">
        <v>46048</v>
      </c>
      <c r="EJ31" s="9" t="n">
        <v>0</v>
      </c>
      <c r="EL31" s="9" t="n">
        <v>0</v>
      </c>
      <c r="EM31" s="9" t="n">
        <v>0</v>
      </c>
      <c r="EQ31" s="10" t="n">
        <v>46048</v>
      </c>
      <c r="ES31" s="9" t="n">
        <v>0</v>
      </c>
      <c r="EU31" s="9" t="n">
        <v>0</v>
      </c>
      <c r="EV31" s="9" t="n">
        <v>0</v>
      </c>
      <c r="EZ31" s="10" t="n">
        <v>46048</v>
      </c>
      <c r="FB31" s="9" t="n">
        <v>0</v>
      </c>
      <c r="FD31" s="9" t="n">
        <v>0</v>
      </c>
      <c r="FE31" s="9" t="n">
        <v>0</v>
      </c>
      <c r="FI31" s="10" t="n">
        <v>46048</v>
      </c>
      <c r="FK31" s="9" t="n">
        <v>0</v>
      </c>
      <c r="FM31" s="9" t="n">
        <v>0</v>
      </c>
      <c r="FN31" s="9" t="n">
        <v>0</v>
      </c>
      <c r="FR31" s="10" t="n">
        <v>46048</v>
      </c>
      <c r="FT31" s="9" t="n">
        <v>320</v>
      </c>
      <c r="FV31" s="9" t="n">
        <v>320</v>
      </c>
      <c r="FW31" s="9" t="n">
        <v>3540</v>
      </c>
      <c r="GA31" s="10" t="n">
        <v>46048</v>
      </c>
      <c r="GC31" s="9" t="n">
        <v>0</v>
      </c>
      <c r="GE31" s="9" t="n">
        <v>0</v>
      </c>
      <c r="GF31" s="9" t="n">
        <v>1960</v>
      </c>
      <c r="GJ31" s="10" t="n">
        <v>46048</v>
      </c>
      <c r="GL31" s="9" t="n">
        <v>0</v>
      </c>
      <c r="GN31" s="9" t="n">
        <v>0</v>
      </c>
      <c r="GO31" s="9" t="n">
        <v>4440</v>
      </c>
      <c r="GS31" s="10" t="n">
        <v>46048</v>
      </c>
      <c r="GU31" s="9" t="n">
        <v>0</v>
      </c>
      <c r="GW31" s="9" t="n">
        <v>0</v>
      </c>
      <c r="GX31" s="9" t="n">
        <v>0</v>
      </c>
      <c r="HB31" s="10" t="n">
        <v>46048</v>
      </c>
      <c r="HD31" s="9" t="n">
        <v>0</v>
      </c>
      <c r="HF31" s="9" t="n">
        <v>0</v>
      </c>
      <c r="HG31" s="9" t="n">
        <v>0</v>
      </c>
      <c r="HK31" s="10" t="n">
        <v>46048</v>
      </c>
      <c r="HM31" s="9" t="n">
        <v>0</v>
      </c>
      <c r="HO31" s="9" t="n">
        <v>0</v>
      </c>
      <c r="HP31" s="9" t="n">
        <v>0</v>
      </c>
      <c r="HU31" s="10" t="n">
        <v>46048</v>
      </c>
      <c r="HW31" s="9" t="n">
        <v>0</v>
      </c>
      <c r="HY31" s="9" t="n">
        <v>0</v>
      </c>
      <c r="HZ31" s="9" t="n">
        <v>1440</v>
      </c>
      <c r="ID31" s="10" t="n">
        <v>46048</v>
      </c>
      <c r="IF31" s="9" t="n">
        <v>0</v>
      </c>
      <c r="IH31" s="9" t="n">
        <v>0</v>
      </c>
      <c r="II31" s="9" t="n">
        <v>5100</v>
      </c>
      <c r="IM31" s="10" t="n">
        <v>46048</v>
      </c>
      <c r="IO31" s="9" t="n">
        <v>0</v>
      </c>
      <c r="IQ31" s="9" t="n">
        <v>0</v>
      </c>
      <c r="IR31" s="9" t="n">
        <v>12640</v>
      </c>
      <c r="IV31" s="10" t="n">
        <v>46048</v>
      </c>
      <c r="IX31" s="9" t="n">
        <v>800</v>
      </c>
      <c r="IZ31" s="9" t="n">
        <v>800</v>
      </c>
      <c r="JA31" s="9" t="n">
        <v>9120</v>
      </c>
      <c r="JE31" s="10" t="n">
        <v>46048</v>
      </c>
      <c r="JG31" s="9" t="n">
        <v>0</v>
      </c>
      <c r="JI31" s="9" t="n">
        <v>0</v>
      </c>
      <c r="JJ31" s="9" t="n">
        <v>6800</v>
      </c>
      <c r="JN31" s="10" t="n">
        <v>46048</v>
      </c>
      <c r="JP31" s="9" t="n">
        <v>0</v>
      </c>
      <c r="JR31" s="9" t="n">
        <v>0</v>
      </c>
      <c r="JS31" s="9" t="n">
        <v>5400</v>
      </c>
      <c r="JW31" s="10" t="n">
        <v>46048</v>
      </c>
      <c r="JY31" s="9" t="n">
        <v>0</v>
      </c>
      <c r="KA31" s="9" t="n">
        <v>0</v>
      </c>
      <c r="KB31" s="9" t="n">
        <v>0</v>
      </c>
      <c r="KF31" s="10" t="n">
        <v>46048</v>
      </c>
      <c r="KH31" s="9" t="n">
        <v>0</v>
      </c>
      <c r="KJ31" s="9" t="n">
        <v>0</v>
      </c>
      <c r="KK31" s="9" t="n">
        <v>0</v>
      </c>
      <c r="KO31" s="10" t="n">
        <v>46048</v>
      </c>
      <c r="KQ31" s="9" t="n">
        <v>0</v>
      </c>
      <c r="KS31" s="9" t="n">
        <v>0</v>
      </c>
      <c r="KT31" s="9" t="n">
        <v>0</v>
      </c>
      <c r="KX31" s="10" t="n">
        <v>46048</v>
      </c>
      <c r="KZ31" s="9" t="n">
        <v>0</v>
      </c>
      <c r="LB31" s="9" t="n">
        <v>0</v>
      </c>
      <c r="LC31" s="9" t="n">
        <v>0</v>
      </c>
      <c r="LG31" s="10" t="n">
        <v>46048</v>
      </c>
      <c r="LI31" s="9" t="n">
        <v>0</v>
      </c>
      <c r="LK31" s="9" t="n">
        <v>0</v>
      </c>
      <c r="LL31" s="9" t="n">
        <v>0</v>
      </c>
      <c r="LP31" s="10" t="n">
        <v>46048</v>
      </c>
      <c r="LR31" s="9" t="n">
        <v>0</v>
      </c>
      <c r="LT31" s="9" t="n">
        <v>0</v>
      </c>
      <c r="LU31" s="9" t="n">
        <v>0</v>
      </c>
      <c r="LY31" s="10" t="n">
        <v>46048</v>
      </c>
      <c r="MA31" s="9" t="n">
        <v>0</v>
      </c>
      <c r="MC31" s="9" t="n">
        <v>0</v>
      </c>
      <c r="MD31" s="9" t="n">
        <v>0</v>
      </c>
      <c r="MH31" s="10" t="n">
        <v>46048</v>
      </c>
      <c r="MJ31" s="9" t="n">
        <v>0</v>
      </c>
      <c r="ML31" s="9" t="n">
        <v>0</v>
      </c>
      <c r="MM31" s="9" t="n">
        <v>0</v>
      </c>
      <c r="MQ31" s="10" t="n">
        <v>46048</v>
      </c>
      <c r="MS31" s="9" t="n">
        <v>8</v>
      </c>
      <c r="MU31" s="9" t="n">
        <v>8</v>
      </c>
      <c r="MV31" s="9" t="n">
        <v>1059</v>
      </c>
      <c r="MZ31" s="10" t="n">
        <v>46048</v>
      </c>
      <c r="NB31" s="9" t="n">
        <v>120</v>
      </c>
      <c r="ND31" s="9" t="n">
        <v>120</v>
      </c>
      <c r="NE31" s="9" t="n">
        <v>0</v>
      </c>
      <c r="NI31" s="10" t="n">
        <v>46048</v>
      </c>
      <c r="NK31" s="9" t="n">
        <v>0</v>
      </c>
      <c r="NM31" s="9" t="n">
        <v>0</v>
      </c>
      <c r="NN31" s="9" t="n">
        <v>0</v>
      </c>
      <c r="NR31" s="10" t="n">
        <v>46048</v>
      </c>
      <c r="NT31" s="9" t="n">
        <v>0</v>
      </c>
      <c r="NV31" s="9" t="n">
        <v>0</v>
      </c>
      <c r="NW31" s="9" t="n">
        <v>0</v>
      </c>
      <c r="OA31" s="10" t="n">
        <v>46048</v>
      </c>
      <c r="OC31" s="9" t="n">
        <v>0</v>
      </c>
      <c r="OE31" s="9" t="n">
        <v>0</v>
      </c>
      <c r="OF31" s="9" t="n">
        <v>1680.5</v>
      </c>
      <c r="OJ31" s="10" t="n">
        <v>46048</v>
      </c>
      <c r="OL31" s="9" t="n">
        <v>0</v>
      </c>
      <c r="ON31" s="9" t="n">
        <v>0</v>
      </c>
      <c r="OO31" s="9" t="n">
        <v>0</v>
      </c>
      <c r="OS31" s="10" t="n">
        <v>46048</v>
      </c>
      <c r="OU31" s="9" t="n">
        <v>0</v>
      </c>
      <c r="OW31" s="9" t="n">
        <v>0</v>
      </c>
      <c r="OX31" s="9" t="n">
        <v>67</v>
      </c>
      <c r="PB31" s="10" t="n">
        <v>46048</v>
      </c>
      <c r="PD31" s="9" t="n">
        <v>0</v>
      </c>
      <c r="PF31" s="9" t="n">
        <v>0</v>
      </c>
      <c r="PG31" s="9" t="n">
        <v>0</v>
      </c>
      <c r="PK31" s="10" t="n">
        <v>46048</v>
      </c>
      <c r="PM31" s="9" t="n">
        <v>0</v>
      </c>
      <c r="PO31" s="9" t="n">
        <v>0</v>
      </c>
      <c r="PP31" s="9" t="n">
        <v>160</v>
      </c>
      <c r="PT31" s="10" t="n">
        <v>46048</v>
      </c>
      <c r="PV31" s="9" t="n">
        <v>0</v>
      </c>
      <c r="PX31" s="9" t="n">
        <v>0</v>
      </c>
      <c r="PY31" s="9" t="n">
        <v>13.96000000000004</v>
      </c>
      <c r="QC31" s="10" t="n">
        <v>46048</v>
      </c>
      <c r="QE31" s="9" t="n">
        <v>0</v>
      </c>
      <c r="QG31" s="9" t="n">
        <v>0</v>
      </c>
      <c r="QH31" s="9" t="n">
        <v>0</v>
      </c>
      <c r="QL31" s="10" t="n">
        <v>46048</v>
      </c>
      <c r="QN31" s="9" t="n">
        <v>0</v>
      </c>
      <c r="QP31" s="9" t="n">
        <v>0</v>
      </c>
      <c r="QQ31" s="9" t="n">
        <v>0</v>
      </c>
      <c r="QU31" s="10" t="n">
        <v>46048</v>
      </c>
      <c r="QW31" s="9" t="n">
        <v>0</v>
      </c>
      <c r="QY31" s="9" t="n">
        <v>0</v>
      </c>
      <c r="QZ31" s="9" t="n">
        <v>207.6</v>
      </c>
      <c r="RD31" s="10" t="n">
        <v>46048</v>
      </c>
      <c r="RF31" s="9" t="n">
        <v>0</v>
      </c>
      <c r="RH31" s="9" t="n">
        <v>0</v>
      </c>
      <c r="RI31" s="9" t="n">
        <v>201.8</v>
      </c>
      <c r="RM31" s="10" t="n">
        <v>46048</v>
      </c>
      <c r="RO31" s="9" t="n">
        <v>0</v>
      </c>
      <c r="RQ31" s="9" t="n">
        <v>0</v>
      </c>
      <c r="RR31" s="9" t="n">
        <v>22.72</v>
      </c>
      <c r="RV31" s="10" t="n">
        <v>46048</v>
      </c>
      <c r="RX31" s="9" t="n">
        <v>0</v>
      </c>
      <c r="RZ31" s="9" t="n">
        <v>0</v>
      </c>
      <c r="SA31" s="9" t="n">
        <v>0</v>
      </c>
      <c r="SE31" s="10" t="n">
        <v>46048</v>
      </c>
      <c r="SG31" s="9" t="n">
        <v>0</v>
      </c>
      <c r="SI31" s="9" t="n">
        <v>0</v>
      </c>
      <c r="SJ31" s="9" t="n">
        <v>0</v>
      </c>
      <c r="SN31" s="10" t="n">
        <v>46048</v>
      </c>
      <c r="SP31" s="9" t="n">
        <v>0</v>
      </c>
      <c r="SR31" s="9" t="n">
        <v>0</v>
      </c>
      <c r="SS31" s="9" t="n">
        <v>0</v>
      </c>
      <c r="SW31" s="10" t="n">
        <v>46048</v>
      </c>
      <c r="SY31" s="9" t="n">
        <v>0</v>
      </c>
      <c r="TA31" s="9" t="n">
        <v>0</v>
      </c>
      <c r="TB31" s="9" t="n">
        <v>0</v>
      </c>
      <c r="TF31" s="10" t="n">
        <v>46048</v>
      </c>
      <c r="TH31" s="9" t="n">
        <v>0</v>
      </c>
      <c r="TJ31" s="9" t="n">
        <v>0</v>
      </c>
      <c r="TK31" s="9" t="n">
        <v>0</v>
      </c>
      <c r="TO31" s="10" t="n">
        <v>46048</v>
      </c>
      <c r="TQ31" s="9" t="n">
        <v>0</v>
      </c>
      <c r="TS31" s="9" t="n">
        <v>0</v>
      </c>
      <c r="TT31" s="9" t="n">
        <v>0</v>
      </c>
      <c r="TX31" s="10" t="n">
        <v>46048</v>
      </c>
      <c r="TZ31" s="9" t="n">
        <v>0</v>
      </c>
      <c r="UB31" s="9" t="n">
        <v>0</v>
      </c>
      <c r="UC31" s="9" t="n">
        <v>0</v>
      </c>
      <c r="UG31" s="10" t="n">
        <v>46048</v>
      </c>
      <c r="UI31" s="9" t="n">
        <v>0</v>
      </c>
      <c r="UK31" s="9" t="n">
        <v>0</v>
      </c>
      <c r="UL31" s="9" t="n">
        <v>0</v>
      </c>
      <c r="UP31" s="10" t="n">
        <v>46048</v>
      </c>
      <c r="UR31" s="9" t="n">
        <v>0</v>
      </c>
      <c r="UT31" s="9" t="n">
        <v>0</v>
      </c>
      <c r="UU31" s="9" t="n">
        <v>0</v>
      </c>
      <c r="UY31" s="10" t="n">
        <v>46048</v>
      </c>
      <c r="VA31" s="9" t="n">
        <v>0</v>
      </c>
      <c r="VC31" s="9" t="n">
        <v>0</v>
      </c>
      <c r="VD31" s="9" t="n">
        <v>-319.6</v>
      </c>
      <c r="VH31" s="10" t="n">
        <v>46048</v>
      </c>
      <c r="VJ31" s="9" t="n">
        <v>0</v>
      </c>
      <c r="VL31" s="9" t="n">
        <v>0</v>
      </c>
      <c r="VM31" s="9" t="n">
        <v>0</v>
      </c>
      <c r="VQ31" s="10" t="n">
        <v>46048</v>
      </c>
      <c r="VS31" s="9" t="n">
        <v>0</v>
      </c>
      <c r="VU31" s="9" t="n">
        <v>0</v>
      </c>
      <c r="VV31" s="9" t="n">
        <v>0</v>
      </c>
      <c r="VZ31" s="10" t="n">
        <v>46048</v>
      </c>
      <c r="WB31" s="9" t="n">
        <v>0</v>
      </c>
      <c r="WD31" s="9" t="n">
        <v>0</v>
      </c>
      <c r="WE31" s="9" t="n">
        <v>0</v>
      </c>
      <c r="WI31" s="10" t="n">
        <v>46048</v>
      </c>
      <c r="WK31" s="9" t="n">
        <v>0</v>
      </c>
      <c r="WL31" s="9" t="n">
        <v>331</v>
      </c>
      <c r="WM31" s="9" t="n">
        <v>-331</v>
      </c>
      <c r="WN31" s="9" t="n">
        <v>9609</v>
      </c>
      <c r="WR31" s="10" t="n">
        <v>46048</v>
      </c>
      <c r="WT31" s="9" t="n">
        <v>0</v>
      </c>
      <c r="WV31" s="9" t="n">
        <v>0</v>
      </c>
      <c r="WW31" s="9" t="n">
        <v>8149</v>
      </c>
      <c r="XA31" s="10" t="n">
        <v>46048</v>
      </c>
      <c r="XC31" s="9" t="n">
        <v>0</v>
      </c>
      <c r="XE31" s="9" t="n">
        <v>0</v>
      </c>
      <c r="XF31" s="9" t="n">
        <v>2723</v>
      </c>
      <c r="XJ31" s="10" t="n">
        <v>46048</v>
      </c>
      <c r="XL31" s="9" t="n">
        <v>0</v>
      </c>
      <c r="XM31" s="9" t="n">
        <v>167</v>
      </c>
      <c r="XN31" s="9" t="n">
        <v>-167</v>
      </c>
      <c r="XO31" s="9" t="n">
        <v>6830</v>
      </c>
      <c r="XS31" s="10" t="n">
        <v>46048</v>
      </c>
      <c r="XU31" s="9" t="n">
        <v>0</v>
      </c>
      <c r="XW31" s="9" t="n">
        <v>0</v>
      </c>
      <c r="XX31" s="9" t="n">
        <v>1901</v>
      </c>
      <c r="YB31" s="10" t="n">
        <v>46048</v>
      </c>
      <c r="YD31" s="9" t="n">
        <v>0</v>
      </c>
      <c r="YF31" s="9" t="n">
        <v>0</v>
      </c>
      <c r="YG31" s="9" t="n">
        <v>2152</v>
      </c>
      <c r="YK31" s="10" t="n">
        <v>46048</v>
      </c>
      <c r="YM31" s="9" t="n">
        <v>0</v>
      </c>
      <c r="YO31" s="9" t="n">
        <v>0</v>
      </c>
      <c r="YP31" s="9" t="n">
        <v>0</v>
      </c>
      <c r="YT31" s="10" t="n">
        <v>46048</v>
      </c>
      <c r="YV31" s="9" t="n">
        <v>0</v>
      </c>
      <c r="YX31" s="9" t="n">
        <v>0</v>
      </c>
      <c r="YY31" s="9" t="n">
        <v>0</v>
      </c>
      <c r="ZC31" s="10" t="n">
        <v>46048</v>
      </c>
      <c r="ZE31" s="9" t="n">
        <v>0</v>
      </c>
      <c r="ZG31" s="9" t="n">
        <v>0</v>
      </c>
      <c r="ZH31" s="9" t="n">
        <v>0</v>
      </c>
      <c r="ZL31" s="10" t="n">
        <v>46048</v>
      </c>
      <c r="ZN31" s="9" t="n">
        <v>0</v>
      </c>
      <c r="ZP31" s="9" t="n">
        <v>0</v>
      </c>
      <c r="ZQ31" s="9" t="n">
        <v>0</v>
      </c>
      <c r="ZU31" s="10" t="n">
        <v>46048</v>
      </c>
      <c r="ZW31" s="9" t="n">
        <v>0</v>
      </c>
      <c r="ZY31" s="9" t="n">
        <v>0</v>
      </c>
      <c r="ZZ31" s="9" t="n">
        <v>0</v>
      </c>
      <c r="AAD31" s="10" t="n">
        <v>46048</v>
      </c>
      <c r="AAF31" s="9" t="n">
        <v>0</v>
      </c>
      <c r="AAH31" s="9" t="n">
        <v>0</v>
      </c>
      <c r="AAI31" s="9" t="n">
        <v>0</v>
      </c>
      <c r="AAM31" s="10" t="n">
        <v>46048</v>
      </c>
      <c r="AAO31" s="9" t="n">
        <v>0</v>
      </c>
      <c r="AAQ31" s="9" t="n">
        <v>0</v>
      </c>
      <c r="AAR31" s="9" t="n">
        <v>0</v>
      </c>
      <c r="AAV31" s="10" t="n">
        <v>46048</v>
      </c>
      <c r="AAX31" s="9" t="n">
        <v>0</v>
      </c>
      <c r="AAZ31" s="9" t="n">
        <v>0</v>
      </c>
      <c r="ABA31" s="9" t="n">
        <v>0</v>
      </c>
      <c r="ABE31" s="10" t="n">
        <v>46048</v>
      </c>
      <c r="ABG31" s="9" t="n">
        <v>0</v>
      </c>
      <c r="ABI31" s="9" t="n">
        <v>0</v>
      </c>
      <c r="ABJ31" s="9" t="n">
        <v>0</v>
      </c>
    </row>
    <row r="32">
      <c r="B32" s="9" t="n">
        <v>84</v>
      </c>
      <c r="C32" s="10" t="n">
        <v>46049</v>
      </c>
      <c r="D32" s="9" t="n">
        <v>22220</v>
      </c>
      <c r="E32" s="9" t="n">
        <v>49110</v>
      </c>
      <c r="F32" s="9" t="n">
        <v>49105.2</v>
      </c>
      <c r="G32" s="9" t="n">
        <v>4.80000000000291</v>
      </c>
      <c r="H32" s="9" t="n">
        <v>54335.39999999999</v>
      </c>
      <c r="I32" s="9" t="inlineStr">
        <is>
          <t>8102 40mt, 1103 44mt</t>
        </is>
      </c>
      <c r="L32" s="10" t="n">
        <v>46049</v>
      </c>
      <c r="N32" s="9" t="n">
        <v>17166</v>
      </c>
      <c r="O32" s="9" t="n">
        <v>17174.4</v>
      </c>
      <c r="P32" s="9" t="n">
        <v>-8.400000000001455</v>
      </c>
      <c r="Q32" s="9" t="n">
        <v>23398.2</v>
      </c>
      <c r="U32" s="10" t="n">
        <v>46049</v>
      </c>
      <c r="W32" s="9" t="n">
        <v>5520</v>
      </c>
      <c r="X32" s="9" t="n">
        <v>5520.6</v>
      </c>
      <c r="Y32" s="9" t="n">
        <v>-0.6000000000003638</v>
      </c>
      <c r="Z32" s="9" t="n">
        <v>57267.29999999998</v>
      </c>
      <c r="AD32" s="10" t="n">
        <v>46049</v>
      </c>
      <c r="AE32" s="9" t="n">
        <v>27580</v>
      </c>
      <c r="AF32" s="9" t="n">
        <v>5080</v>
      </c>
      <c r="AG32" s="9" t="n">
        <v>5082.5</v>
      </c>
      <c r="AH32" s="9" t="n">
        <v>-2.5</v>
      </c>
      <c r="AI32" s="9" t="n">
        <v>59695.30000000001</v>
      </c>
      <c r="AM32" s="10" t="n">
        <v>46049</v>
      </c>
      <c r="AO32" s="9" t="n">
        <v>0</v>
      </c>
      <c r="AQ32" s="9" t="n">
        <v>0</v>
      </c>
      <c r="AR32" s="9" t="n">
        <v>0</v>
      </c>
      <c r="AV32" s="10" t="n">
        <v>46049</v>
      </c>
      <c r="AX32" s="9" t="n">
        <v>1482</v>
      </c>
      <c r="AY32" s="9" t="n">
        <v>1482.8</v>
      </c>
      <c r="AZ32" s="9" t="n">
        <v>-0.7999999999999545</v>
      </c>
      <c r="BA32" s="9" t="n">
        <v>35944.39999999999</v>
      </c>
      <c r="BE32" s="10" t="n">
        <v>46049</v>
      </c>
      <c r="BG32" s="9" t="n">
        <v>1900</v>
      </c>
      <c r="BH32" s="9" t="n">
        <v>1899.4</v>
      </c>
      <c r="BI32" s="9" t="n">
        <v>0.5999999999999091</v>
      </c>
      <c r="BJ32" s="9" t="n">
        <v>23299.30000000001</v>
      </c>
      <c r="BN32" s="10" t="n">
        <v>46049</v>
      </c>
      <c r="BO32" s="9" t="n">
        <v>1900</v>
      </c>
      <c r="BP32" s="9" t="n">
        <v>1900</v>
      </c>
      <c r="BQ32" s="9" t="n">
        <v>1900</v>
      </c>
      <c r="BR32" s="9" t="n">
        <v>0</v>
      </c>
      <c r="BS32" s="9" t="n">
        <v>0</v>
      </c>
      <c r="BW32" s="10" t="n">
        <v>46049</v>
      </c>
      <c r="BY32" s="9" t="n">
        <v>0</v>
      </c>
      <c r="CA32" s="9" t="n">
        <v>0</v>
      </c>
      <c r="CB32" s="9" t="n">
        <v>3284.5</v>
      </c>
      <c r="CF32" s="10" t="n">
        <v>46049</v>
      </c>
      <c r="CH32" s="9" t="n">
        <v>0</v>
      </c>
      <c r="CJ32" s="9" t="n">
        <v>0</v>
      </c>
      <c r="CK32" s="9" t="n">
        <v>0</v>
      </c>
      <c r="CO32" s="10" t="n">
        <v>46049</v>
      </c>
      <c r="CQ32" s="9" t="n">
        <v>0</v>
      </c>
      <c r="CS32" s="9" t="n">
        <v>0</v>
      </c>
      <c r="CT32" s="9" t="n">
        <v>0</v>
      </c>
      <c r="CX32" s="10" t="n">
        <v>46049</v>
      </c>
      <c r="CZ32" s="9" t="n">
        <v>0</v>
      </c>
      <c r="DB32" s="9" t="n">
        <v>0</v>
      </c>
      <c r="DC32" s="9" t="n">
        <v>0</v>
      </c>
      <c r="DG32" s="10" t="n">
        <v>46049</v>
      </c>
      <c r="DI32" s="9" t="n">
        <v>0</v>
      </c>
      <c r="DK32" s="9" t="n">
        <v>0</v>
      </c>
      <c r="DL32" s="9" t="n">
        <v>22172.8</v>
      </c>
      <c r="DP32" s="10" t="n">
        <v>46049</v>
      </c>
      <c r="DR32" s="9" t="n">
        <v>0</v>
      </c>
      <c r="DT32" s="9" t="n">
        <v>0</v>
      </c>
      <c r="DU32" s="9" t="n">
        <v>0</v>
      </c>
      <c r="DY32" s="10" t="n">
        <v>46049</v>
      </c>
      <c r="EA32" s="9" t="n">
        <v>0</v>
      </c>
      <c r="EC32" s="9" t="n">
        <v>0</v>
      </c>
      <c r="ED32" s="9" t="n">
        <v>0</v>
      </c>
      <c r="EH32" s="10" t="n">
        <v>46049</v>
      </c>
      <c r="EJ32" s="9" t="n">
        <v>0</v>
      </c>
      <c r="EL32" s="9" t="n">
        <v>0</v>
      </c>
      <c r="EM32" s="9" t="n">
        <v>0</v>
      </c>
      <c r="EQ32" s="10" t="n">
        <v>46049</v>
      </c>
      <c r="ES32" s="9" t="n">
        <v>0</v>
      </c>
      <c r="EU32" s="9" t="n">
        <v>0</v>
      </c>
      <c r="EV32" s="9" t="n">
        <v>0</v>
      </c>
      <c r="EZ32" s="10" t="n">
        <v>46049</v>
      </c>
      <c r="FB32" s="9" t="n">
        <v>0</v>
      </c>
      <c r="FD32" s="9" t="n">
        <v>0</v>
      </c>
      <c r="FE32" s="9" t="n">
        <v>0</v>
      </c>
      <c r="FI32" s="10" t="n">
        <v>46049</v>
      </c>
      <c r="FK32" s="9" t="n">
        <v>0</v>
      </c>
      <c r="FM32" s="9" t="n">
        <v>0</v>
      </c>
      <c r="FN32" s="9" t="n">
        <v>0</v>
      </c>
      <c r="FR32" s="10" t="n">
        <v>46049</v>
      </c>
      <c r="FT32" s="9" t="n">
        <v>0</v>
      </c>
      <c r="FV32" s="9" t="n">
        <v>0</v>
      </c>
      <c r="FW32" s="9" t="n">
        <v>3540</v>
      </c>
      <c r="GA32" s="10" t="n">
        <v>46049</v>
      </c>
      <c r="GC32" s="9" t="n">
        <v>0</v>
      </c>
      <c r="GE32" s="9" t="n">
        <v>0</v>
      </c>
      <c r="GF32" s="9" t="n">
        <v>1960</v>
      </c>
      <c r="GJ32" s="10" t="n">
        <v>46049</v>
      </c>
      <c r="GL32" s="9" t="n">
        <v>880</v>
      </c>
      <c r="GN32" s="9" t="n">
        <v>880</v>
      </c>
      <c r="GO32" s="9" t="n">
        <v>4440</v>
      </c>
      <c r="GS32" s="10" t="n">
        <v>46049</v>
      </c>
      <c r="GU32" s="9" t="n">
        <v>0</v>
      </c>
      <c r="GW32" s="9" t="n">
        <v>0</v>
      </c>
      <c r="GX32" s="9" t="n">
        <v>0</v>
      </c>
      <c r="HB32" s="10" t="n">
        <v>46049</v>
      </c>
      <c r="HD32" s="9" t="n">
        <v>0</v>
      </c>
      <c r="HF32" s="9" t="n">
        <v>0</v>
      </c>
      <c r="HG32" s="9" t="n">
        <v>0</v>
      </c>
      <c r="HK32" s="10" t="n">
        <v>46049</v>
      </c>
      <c r="HM32" s="9" t="n">
        <v>0</v>
      </c>
      <c r="HO32" s="9" t="n">
        <v>0</v>
      </c>
      <c r="HP32" s="9" t="n">
        <v>0</v>
      </c>
      <c r="HU32" s="10" t="n">
        <v>46049</v>
      </c>
      <c r="HW32" s="9" t="n">
        <v>0</v>
      </c>
      <c r="HY32" s="9" t="n">
        <v>0</v>
      </c>
      <c r="HZ32" s="9" t="n">
        <v>1440</v>
      </c>
      <c r="ID32" s="10" t="n">
        <v>46049</v>
      </c>
      <c r="IF32" s="9" t="n">
        <v>0</v>
      </c>
      <c r="IH32" s="9" t="n">
        <v>0</v>
      </c>
      <c r="II32" s="9" t="n">
        <v>5100</v>
      </c>
      <c r="IM32" s="10" t="n">
        <v>46049</v>
      </c>
      <c r="IO32" s="9" t="n">
        <v>800</v>
      </c>
      <c r="IQ32" s="9" t="n">
        <v>800</v>
      </c>
      <c r="IR32" s="9" t="n">
        <v>12640</v>
      </c>
      <c r="IV32" s="10" t="n">
        <v>46049</v>
      </c>
      <c r="IX32" s="9" t="n">
        <v>0</v>
      </c>
      <c r="IZ32" s="9" t="n">
        <v>0</v>
      </c>
      <c r="JA32" s="9" t="n">
        <v>9120</v>
      </c>
      <c r="JE32" s="10" t="n">
        <v>46049</v>
      </c>
      <c r="JG32" s="9" t="n">
        <v>0</v>
      </c>
      <c r="JI32" s="9" t="n">
        <v>0</v>
      </c>
      <c r="JJ32" s="9" t="n">
        <v>6800</v>
      </c>
      <c r="JN32" s="10" t="n">
        <v>46049</v>
      </c>
      <c r="JP32" s="9" t="n">
        <v>0</v>
      </c>
      <c r="JR32" s="9" t="n">
        <v>0</v>
      </c>
      <c r="JS32" s="9" t="n">
        <v>5400</v>
      </c>
      <c r="JW32" s="10" t="n">
        <v>46049</v>
      </c>
      <c r="JY32" s="9" t="n">
        <v>0</v>
      </c>
      <c r="KA32" s="9" t="n">
        <v>0</v>
      </c>
      <c r="KB32" s="9" t="n">
        <v>0</v>
      </c>
      <c r="KF32" s="10" t="n">
        <v>46049</v>
      </c>
      <c r="KH32" s="9" t="n">
        <v>0</v>
      </c>
      <c r="KJ32" s="9" t="n">
        <v>0</v>
      </c>
      <c r="KK32" s="9" t="n">
        <v>0</v>
      </c>
      <c r="KO32" s="10" t="n">
        <v>46049</v>
      </c>
      <c r="KQ32" s="9" t="n">
        <v>0</v>
      </c>
      <c r="KS32" s="9" t="n">
        <v>0</v>
      </c>
      <c r="KT32" s="9" t="n">
        <v>0</v>
      </c>
      <c r="KX32" s="10" t="n">
        <v>46049</v>
      </c>
      <c r="KZ32" s="9" t="n">
        <v>0</v>
      </c>
      <c r="LB32" s="9" t="n">
        <v>0</v>
      </c>
      <c r="LC32" s="9" t="n">
        <v>0</v>
      </c>
      <c r="LG32" s="10" t="n">
        <v>46049</v>
      </c>
      <c r="LI32" s="9" t="n">
        <v>0</v>
      </c>
      <c r="LK32" s="9" t="n">
        <v>0</v>
      </c>
      <c r="LL32" s="9" t="n">
        <v>0</v>
      </c>
      <c r="LP32" s="10" t="n">
        <v>46049</v>
      </c>
      <c r="LR32" s="9" t="n">
        <v>0</v>
      </c>
      <c r="LT32" s="9" t="n">
        <v>0</v>
      </c>
      <c r="LU32" s="9" t="n">
        <v>0</v>
      </c>
      <c r="LY32" s="10" t="n">
        <v>46049</v>
      </c>
      <c r="MA32" s="9" t="n">
        <v>0</v>
      </c>
      <c r="MC32" s="9" t="n">
        <v>0</v>
      </c>
      <c r="MD32" s="9" t="n">
        <v>0</v>
      </c>
      <c r="MH32" s="10" t="n">
        <v>46049</v>
      </c>
      <c r="MJ32" s="9" t="n">
        <v>0</v>
      </c>
      <c r="ML32" s="9" t="n">
        <v>0</v>
      </c>
      <c r="MM32" s="9" t="n">
        <v>0</v>
      </c>
      <c r="MQ32" s="10" t="n">
        <v>46049</v>
      </c>
      <c r="MR32" s="9" t="n">
        <v>1000</v>
      </c>
      <c r="MS32" s="9" t="n">
        <v>42</v>
      </c>
      <c r="MU32" s="9" t="n">
        <v>42</v>
      </c>
      <c r="MV32" s="9" t="n">
        <v>2059</v>
      </c>
      <c r="MZ32" s="10" t="n">
        <v>46049</v>
      </c>
      <c r="NB32" s="9" t="n">
        <v>120</v>
      </c>
      <c r="ND32" s="9" t="n">
        <v>120</v>
      </c>
      <c r="NE32" s="9" t="n">
        <v>0</v>
      </c>
      <c r="NI32" s="10" t="n">
        <v>46049</v>
      </c>
      <c r="NK32" s="9" t="n">
        <v>0</v>
      </c>
      <c r="NM32" s="9" t="n">
        <v>0</v>
      </c>
      <c r="NN32" s="9" t="n">
        <v>0</v>
      </c>
      <c r="NR32" s="10" t="n">
        <v>46049</v>
      </c>
      <c r="NT32" s="9" t="n">
        <v>0</v>
      </c>
      <c r="NV32" s="9" t="n">
        <v>0</v>
      </c>
      <c r="NW32" s="9" t="n">
        <v>0</v>
      </c>
      <c r="OA32" s="10" t="n">
        <v>46049</v>
      </c>
      <c r="OC32" s="9" t="n">
        <v>0</v>
      </c>
      <c r="OE32" s="9" t="n">
        <v>0</v>
      </c>
      <c r="OF32" s="9" t="n">
        <v>1680.5</v>
      </c>
      <c r="OJ32" s="10" t="n">
        <v>46049</v>
      </c>
      <c r="OL32" s="9" t="n">
        <v>0</v>
      </c>
      <c r="ON32" s="9" t="n">
        <v>0</v>
      </c>
      <c r="OO32" s="9" t="n">
        <v>0</v>
      </c>
      <c r="OS32" s="10" t="n">
        <v>46049</v>
      </c>
      <c r="OU32" s="9" t="n">
        <v>0</v>
      </c>
      <c r="OW32" s="9" t="n">
        <v>0</v>
      </c>
      <c r="OX32" s="9" t="n">
        <v>67</v>
      </c>
      <c r="PB32" s="10" t="n">
        <v>46049</v>
      </c>
      <c r="PD32" s="9" t="n">
        <v>0</v>
      </c>
      <c r="PF32" s="9" t="n">
        <v>0</v>
      </c>
      <c r="PG32" s="9" t="n">
        <v>0</v>
      </c>
      <c r="PK32" s="10" t="n">
        <v>46049</v>
      </c>
      <c r="PM32" s="9" t="n">
        <v>0</v>
      </c>
      <c r="PO32" s="9" t="n">
        <v>0</v>
      </c>
      <c r="PP32" s="9" t="n">
        <v>160</v>
      </c>
      <c r="PT32" s="10" t="n">
        <v>46049</v>
      </c>
      <c r="PV32" s="9" t="n">
        <v>0</v>
      </c>
      <c r="PX32" s="9" t="n">
        <v>0</v>
      </c>
      <c r="PY32" s="9" t="n">
        <v>13.96000000000004</v>
      </c>
      <c r="QC32" s="10" t="n">
        <v>46049</v>
      </c>
      <c r="QE32" s="9" t="n">
        <v>0</v>
      </c>
      <c r="QG32" s="9" t="n">
        <v>0</v>
      </c>
      <c r="QH32" s="9" t="n">
        <v>0</v>
      </c>
      <c r="QL32" s="10" t="n">
        <v>46049</v>
      </c>
      <c r="QN32" s="9" t="n">
        <v>0</v>
      </c>
      <c r="QP32" s="9" t="n">
        <v>0</v>
      </c>
      <c r="QQ32" s="9" t="n">
        <v>0</v>
      </c>
      <c r="QU32" s="10" t="n">
        <v>46049</v>
      </c>
      <c r="QW32" s="9" t="n">
        <v>0</v>
      </c>
      <c r="QY32" s="9" t="n">
        <v>0</v>
      </c>
      <c r="QZ32" s="9" t="n">
        <v>207.6</v>
      </c>
      <c r="RD32" s="10" t="n">
        <v>46049</v>
      </c>
      <c r="RF32" s="9" t="n">
        <v>0</v>
      </c>
      <c r="RH32" s="9" t="n">
        <v>0</v>
      </c>
      <c r="RI32" s="9" t="n">
        <v>201.8</v>
      </c>
      <c r="RM32" s="10" t="n">
        <v>46049</v>
      </c>
      <c r="RO32" s="9" t="n">
        <v>0</v>
      </c>
      <c r="RQ32" s="9" t="n">
        <v>0</v>
      </c>
      <c r="RR32" s="9" t="n">
        <v>22.72</v>
      </c>
      <c r="RV32" s="10" t="n">
        <v>46049</v>
      </c>
      <c r="RX32" s="9" t="n">
        <v>0</v>
      </c>
      <c r="RZ32" s="9" t="n">
        <v>0</v>
      </c>
      <c r="SA32" s="9" t="n">
        <v>0</v>
      </c>
      <c r="SE32" s="10" t="n">
        <v>46049</v>
      </c>
      <c r="SG32" s="9" t="n">
        <v>0</v>
      </c>
      <c r="SI32" s="9" t="n">
        <v>0</v>
      </c>
      <c r="SJ32" s="9" t="n">
        <v>0</v>
      </c>
      <c r="SN32" s="10" t="n">
        <v>46049</v>
      </c>
      <c r="SP32" s="9" t="n">
        <v>0</v>
      </c>
      <c r="SR32" s="9" t="n">
        <v>0</v>
      </c>
      <c r="SS32" s="9" t="n">
        <v>0</v>
      </c>
      <c r="SW32" s="10" t="n">
        <v>46049</v>
      </c>
      <c r="SY32" s="9" t="n">
        <v>0</v>
      </c>
      <c r="TA32" s="9" t="n">
        <v>0</v>
      </c>
      <c r="TB32" s="9" t="n">
        <v>0</v>
      </c>
      <c r="TF32" s="10" t="n">
        <v>46049</v>
      </c>
      <c r="TH32" s="9" t="n">
        <v>0</v>
      </c>
      <c r="TJ32" s="9" t="n">
        <v>0</v>
      </c>
      <c r="TK32" s="9" t="n">
        <v>0</v>
      </c>
      <c r="TO32" s="10" t="n">
        <v>46049</v>
      </c>
      <c r="TQ32" s="9" t="n">
        <v>0</v>
      </c>
      <c r="TS32" s="9" t="n">
        <v>0</v>
      </c>
      <c r="TT32" s="9" t="n">
        <v>0</v>
      </c>
      <c r="TX32" s="10" t="n">
        <v>46049</v>
      </c>
      <c r="TZ32" s="9" t="n">
        <v>0</v>
      </c>
      <c r="UB32" s="9" t="n">
        <v>0</v>
      </c>
      <c r="UC32" s="9" t="n">
        <v>0</v>
      </c>
      <c r="UG32" s="10" t="n">
        <v>46049</v>
      </c>
      <c r="UI32" s="9" t="n">
        <v>0</v>
      </c>
      <c r="UK32" s="9" t="n">
        <v>0</v>
      </c>
      <c r="UL32" s="9" t="n">
        <v>0</v>
      </c>
      <c r="UP32" s="10" t="n">
        <v>46049</v>
      </c>
      <c r="UR32" s="9" t="n">
        <v>0</v>
      </c>
      <c r="UT32" s="9" t="n">
        <v>0</v>
      </c>
      <c r="UU32" s="9" t="n">
        <v>0</v>
      </c>
      <c r="UY32" s="10" t="n">
        <v>46049</v>
      </c>
      <c r="VA32" s="9" t="n">
        <v>0</v>
      </c>
      <c r="VC32" s="9" t="n">
        <v>0</v>
      </c>
      <c r="VD32" s="9" t="n">
        <v>-319.6</v>
      </c>
      <c r="VH32" s="10" t="n">
        <v>46049</v>
      </c>
      <c r="VJ32" s="9" t="n">
        <v>0</v>
      </c>
      <c r="VL32" s="9" t="n">
        <v>0</v>
      </c>
      <c r="VM32" s="9" t="n">
        <v>0</v>
      </c>
      <c r="VQ32" s="10" t="n">
        <v>46049</v>
      </c>
      <c r="VS32" s="9" t="n">
        <v>0</v>
      </c>
      <c r="VU32" s="9" t="n">
        <v>0</v>
      </c>
      <c r="VV32" s="9" t="n">
        <v>0</v>
      </c>
      <c r="VZ32" s="10" t="n">
        <v>46049</v>
      </c>
      <c r="WB32" s="9" t="n">
        <v>0</v>
      </c>
      <c r="WD32" s="9" t="n">
        <v>0</v>
      </c>
      <c r="WE32" s="9" t="n">
        <v>0</v>
      </c>
      <c r="WI32" s="10" t="n">
        <v>46049</v>
      </c>
      <c r="WK32" s="9" t="n">
        <v>0</v>
      </c>
      <c r="WM32" s="9" t="n">
        <v>0</v>
      </c>
      <c r="WN32" s="9" t="n">
        <v>9609</v>
      </c>
      <c r="WR32" s="10" t="n">
        <v>46049</v>
      </c>
      <c r="WT32" s="9" t="n">
        <v>0</v>
      </c>
      <c r="WV32" s="9" t="n">
        <v>0</v>
      </c>
      <c r="WW32" s="9" t="n">
        <v>8149</v>
      </c>
      <c r="XA32" s="10" t="n">
        <v>46049</v>
      </c>
      <c r="XC32" s="9" t="n">
        <v>0</v>
      </c>
      <c r="XD32" s="9" t="n">
        <v>887</v>
      </c>
      <c r="XE32" s="9" t="n">
        <v>-887</v>
      </c>
      <c r="XF32" s="9" t="n">
        <v>1836</v>
      </c>
      <c r="XJ32" s="10" t="n">
        <v>46049</v>
      </c>
      <c r="XL32" s="9" t="n">
        <v>0</v>
      </c>
      <c r="XM32" s="9" t="n">
        <v>590</v>
      </c>
      <c r="XN32" s="9" t="n">
        <v>-590</v>
      </c>
      <c r="XO32" s="9" t="n">
        <v>6240</v>
      </c>
      <c r="XS32" s="10" t="n">
        <v>46049</v>
      </c>
      <c r="XU32" s="9" t="n">
        <v>0</v>
      </c>
      <c r="XW32" s="9" t="n">
        <v>0</v>
      </c>
      <c r="XX32" s="9" t="n">
        <v>1901</v>
      </c>
      <c r="YB32" s="10" t="n">
        <v>46049</v>
      </c>
      <c r="YD32" s="9" t="n">
        <v>0</v>
      </c>
      <c r="YF32" s="9" t="n">
        <v>0</v>
      </c>
      <c r="YG32" s="9" t="n">
        <v>2152</v>
      </c>
      <c r="YK32" s="10" t="n">
        <v>46049</v>
      </c>
      <c r="YM32" s="9" t="n">
        <v>0</v>
      </c>
      <c r="YO32" s="9" t="n">
        <v>0</v>
      </c>
      <c r="YP32" s="9" t="n">
        <v>0</v>
      </c>
      <c r="YT32" s="10" t="n">
        <v>46049</v>
      </c>
      <c r="YV32" s="9" t="n">
        <v>0</v>
      </c>
      <c r="YX32" s="9" t="n">
        <v>0</v>
      </c>
      <c r="YY32" s="9" t="n">
        <v>0</v>
      </c>
      <c r="ZC32" s="10" t="n">
        <v>46049</v>
      </c>
      <c r="ZE32" s="9" t="n">
        <v>0</v>
      </c>
      <c r="ZG32" s="9" t="n">
        <v>0</v>
      </c>
      <c r="ZH32" s="9" t="n">
        <v>0</v>
      </c>
      <c r="ZL32" s="10" t="n">
        <v>46049</v>
      </c>
      <c r="ZN32" s="9" t="n">
        <v>0</v>
      </c>
      <c r="ZP32" s="9" t="n">
        <v>0</v>
      </c>
      <c r="ZQ32" s="9" t="n">
        <v>0</v>
      </c>
      <c r="ZU32" s="10" t="n">
        <v>46049</v>
      </c>
      <c r="ZW32" s="9" t="n">
        <v>0</v>
      </c>
      <c r="ZY32" s="9" t="n">
        <v>0</v>
      </c>
      <c r="ZZ32" s="9" t="n">
        <v>0</v>
      </c>
      <c r="AAD32" s="10" t="n">
        <v>46049</v>
      </c>
      <c r="AAF32" s="9" t="n">
        <v>0</v>
      </c>
      <c r="AAH32" s="9" t="n">
        <v>0</v>
      </c>
      <c r="AAI32" s="9" t="n">
        <v>0</v>
      </c>
      <c r="AAM32" s="10" t="n">
        <v>46049</v>
      </c>
      <c r="AAO32" s="9" t="n">
        <v>0</v>
      </c>
      <c r="AAQ32" s="9" t="n">
        <v>0</v>
      </c>
      <c r="AAR32" s="9" t="n">
        <v>0</v>
      </c>
      <c r="AAV32" s="10" t="n">
        <v>46049</v>
      </c>
      <c r="AAX32" s="9" t="n">
        <v>0</v>
      </c>
      <c r="AAZ32" s="9" t="n">
        <v>0</v>
      </c>
      <c r="ABA32" s="9" t="n">
        <v>0</v>
      </c>
      <c r="ABE32" s="10" t="n">
        <v>46049</v>
      </c>
      <c r="ABG32" s="9" t="n">
        <v>0</v>
      </c>
      <c r="ABI32" s="9" t="n">
        <v>0</v>
      </c>
      <c r="ABJ32" s="9" t="n">
        <v>0</v>
      </c>
    </row>
    <row r="33">
      <c r="B33" s="9" t="n">
        <v>34</v>
      </c>
      <c r="C33" s="10" t="n">
        <v>46050</v>
      </c>
      <c r="D33" s="9" t="n">
        <v>73420</v>
      </c>
      <c r="E33" s="9" t="n">
        <v>18255</v>
      </c>
      <c r="F33" s="9" t="n">
        <v>18253.8</v>
      </c>
      <c r="G33" s="9" t="n">
        <v>1.200000000000728</v>
      </c>
      <c r="H33" s="9" t="n">
        <v>109501.6</v>
      </c>
      <c r="I33" s="9" t="inlineStr">
        <is>
          <t>8102 14mt, 8102 20mt</t>
        </is>
      </c>
      <c r="L33" s="10" t="n">
        <v>46050</v>
      </c>
      <c r="M33" s="9" t="n">
        <v>24530</v>
      </c>
      <c r="N33" s="9" t="n">
        <v>9485.999999999998</v>
      </c>
      <c r="O33" s="9" t="n">
        <v>9476.799999999999</v>
      </c>
      <c r="P33" s="9" t="n">
        <v>9.199999999998909</v>
      </c>
      <c r="Q33" s="9" t="n">
        <v>38451.39999999999</v>
      </c>
      <c r="U33" s="10" t="n">
        <v>46050</v>
      </c>
      <c r="W33" s="9" t="n">
        <v>1700</v>
      </c>
      <c r="X33" s="9" t="n">
        <v>1700.6</v>
      </c>
      <c r="Y33" s="9" t="n">
        <v>-0.5999999999999091</v>
      </c>
      <c r="Z33" s="9" t="n">
        <v>55566.69999999998</v>
      </c>
      <c r="AD33" s="10" t="n">
        <v>46050</v>
      </c>
      <c r="AF33" s="9" t="n">
        <v>1700</v>
      </c>
      <c r="AG33" s="9" t="n">
        <v>1700.8</v>
      </c>
      <c r="AH33" s="9" t="n">
        <v>-0.7999999999999545</v>
      </c>
      <c r="AI33" s="9" t="n">
        <v>57994.50000000001</v>
      </c>
      <c r="AM33" s="10" t="n">
        <v>46050</v>
      </c>
      <c r="AO33" s="9" t="n">
        <v>0</v>
      </c>
      <c r="AQ33" s="9" t="n">
        <v>0</v>
      </c>
      <c r="AR33" s="9" t="n">
        <v>0</v>
      </c>
      <c r="AV33" s="10" t="n">
        <v>46050</v>
      </c>
      <c r="AX33" s="9" t="n">
        <v>680</v>
      </c>
      <c r="AY33" s="9" t="n">
        <v>679.7</v>
      </c>
      <c r="AZ33" s="9" t="n">
        <v>0.2999999999999545</v>
      </c>
      <c r="BA33" s="9" t="n">
        <v>35264.69999999999</v>
      </c>
      <c r="BE33" s="10" t="n">
        <v>46050</v>
      </c>
      <c r="BG33" s="9" t="n">
        <v>680</v>
      </c>
      <c r="BH33" s="9" t="n">
        <v>680.5</v>
      </c>
      <c r="BI33" s="9" t="n">
        <v>-0.5</v>
      </c>
      <c r="BJ33" s="9" t="n">
        <v>22618.80000000001</v>
      </c>
      <c r="BN33" s="10" t="n">
        <v>46050</v>
      </c>
      <c r="BO33" s="9" t="n">
        <v>680</v>
      </c>
      <c r="BP33" s="9" t="n">
        <v>680</v>
      </c>
      <c r="BQ33" s="9" t="n">
        <v>680</v>
      </c>
      <c r="BR33" s="9" t="n">
        <v>0</v>
      </c>
      <c r="BS33" s="9" t="n">
        <v>0</v>
      </c>
      <c r="BW33" s="10" t="n">
        <v>46050</v>
      </c>
      <c r="BY33" s="9" t="n">
        <v>0</v>
      </c>
      <c r="CA33" s="9" t="n">
        <v>0</v>
      </c>
      <c r="CB33" s="9" t="n">
        <v>3284.5</v>
      </c>
      <c r="CF33" s="10" t="n">
        <v>46050</v>
      </c>
      <c r="CH33" s="9" t="n">
        <v>0</v>
      </c>
      <c r="CJ33" s="9" t="n">
        <v>0</v>
      </c>
      <c r="CK33" s="9" t="n">
        <v>0</v>
      </c>
      <c r="CO33" s="10" t="n">
        <v>46050</v>
      </c>
      <c r="CQ33" s="9" t="n">
        <v>0</v>
      </c>
      <c r="CS33" s="9" t="n">
        <v>0</v>
      </c>
      <c r="CT33" s="9" t="n">
        <v>0</v>
      </c>
      <c r="CX33" s="10" t="n">
        <v>46050</v>
      </c>
      <c r="CZ33" s="9" t="n">
        <v>0</v>
      </c>
      <c r="DB33" s="9" t="n">
        <v>0</v>
      </c>
      <c r="DC33" s="9" t="n">
        <v>0</v>
      </c>
      <c r="DG33" s="10" t="n">
        <v>46050</v>
      </c>
      <c r="DI33" s="9" t="n">
        <v>0</v>
      </c>
      <c r="DK33" s="9" t="n">
        <v>0</v>
      </c>
      <c r="DL33" s="9" t="n">
        <v>22172.8</v>
      </c>
      <c r="DP33" s="10" t="n">
        <v>46050</v>
      </c>
      <c r="DR33" s="9" t="n">
        <v>0</v>
      </c>
      <c r="DT33" s="9" t="n">
        <v>0</v>
      </c>
      <c r="DU33" s="9" t="n">
        <v>0</v>
      </c>
      <c r="DY33" s="10" t="n">
        <v>46050</v>
      </c>
      <c r="EA33" s="9" t="n">
        <v>0</v>
      </c>
      <c r="EC33" s="9" t="n">
        <v>0</v>
      </c>
      <c r="ED33" s="9" t="n">
        <v>0</v>
      </c>
      <c r="EH33" s="10" t="n">
        <v>46050</v>
      </c>
      <c r="EJ33" s="9" t="n">
        <v>0</v>
      </c>
      <c r="EL33" s="9" t="n">
        <v>0</v>
      </c>
      <c r="EM33" s="9" t="n">
        <v>0</v>
      </c>
      <c r="EQ33" s="10" t="n">
        <v>46050</v>
      </c>
      <c r="ES33" s="9" t="n">
        <v>0</v>
      </c>
      <c r="EU33" s="9" t="n">
        <v>0</v>
      </c>
      <c r="EV33" s="9" t="n">
        <v>0</v>
      </c>
      <c r="EZ33" s="10" t="n">
        <v>46050</v>
      </c>
      <c r="FB33" s="9" t="n">
        <v>0</v>
      </c>
      <c r="FD33" s="9" t="n">
        <v>0</v>
      </c>
      <c r="FE33" s="9" t="n">
        <v>0</v>
      </c>
      <c r="FI33" s="10" t="n">
        <v>46050</v>
      </c>
      <c r="FK33" s="9" t="n">
        <v>0</v>
      </c>
      <c r="FM33" s="9" t="n">
        <v>0</v>
      </c>
      <c r="FN33" s="9" t="n">
        <v>0</v>
      </c>
      <c r="FR33" s="10" t="n">
        <v>46050</v>
      </c>
      <c r="FT33" s="9" t="n">
        <v>0</v>
      </c>
      <c r="FV33" s="9" t="n">
        <v>0</v>
      </c>
      <c r="FW33" s="9" t="n">
        <v>3540</v>
      </c>
      <c r="GA33" s="10" t="n">
        <v>46050</v>
      </c>
      <c r="GC33" s="9" t="n">
        <v>0</v>
      </c>
      <c r="GE33" s="9" t="n">
        <v>0</v>
      </c>
      <c r="GF33" s="9" t="n">
        <v>1960</v>
      </c>
      <c r="GJ33" s="10" t="n">
        <v>46050</v>
      </c>
      <c r="GL33" s="9" t="n">
        <v>0</v>
      </c>
      <c r="GN33" s="9" t="n">
        <v>0</v>
      </c>
      <c r="GO33" s="9" t="n">
        <v>4440</v>
      </c>
      <c r="GS33" s="10" t="n">
        <v>46050</v>
      </c>
      <c r="GU33" s="9" t="n">
        <v>0</v>
      </c>
      <c r="GW33" s="9" t="n">
        <v>0</v>
      </c>
      <c r="GX33" s="9" t="n">
        <v>0</v>
      </c>
      <c r="HB33" s="10" t="n">
        <v>46050</v>
      </c>
      <c r="HD33" s="9" t="n">
        <v>0</v>
      </c>
      <c r="HF33" s="9" t="n">
        <v>0</v>
      </c>
      <c r="HG33" s="9" t="n">
        <v>0</v>
      </c>
      <c r="HK33" s="10" t="n">
        <v>46050</v>
      </c>
      <c r="HM33" s="9" t="n">
        <v>0</v>
      </c>
      <c r="HO33" s="9" t="n">
        <v>0</v>
      </c>
      <c r="HP33" s="9" t="n">
        <v>0</v>
      </c>
      <c r="HU33" s="10" t="n">
        <v>46050</v>
      </c>
      <c r="HW33" s="9" t="n">
        <v>0</v>
      </c>
      <c r="HY33" s="9" t="n">
        <v>0</v>
      </c>
      <c r="HZ33" s="9" t="n">
        <v>1440</v>
      </c>
      <c r="ID33" s="10" t="n">
        <v>46050</v>
      </c>
      <c r="IF33" s="9" t="n">
        <v>0</v>
      </c>
      <c r="IH33" s="9" t="n">
        <v>0</v>
      </c>
      <c r="II33" s="9" t="n">
        <v>5100</v>
      </c>
      <c r="IM33" s="10" t="n">
        <v>46050</v>
      </c>
      <c r="IO33" s="9" t="n">
        <v>680</v>
      </c>
      <c r="IQ33" s="9" t="n">
        <v>680</v>
      </c>
      <c r="IR33" s="9" t="n">
        <v>12640</v>
      </c>
      <c r="IV33" s="10" t="n">
        <v>46050</v>
      </c>
      <c r="IX33" s="9" t="n">
        <v>0</v>
      </c>
      <c r="IZ33" s="9" t="n">
        <v>0</v>
      </c>
      <c r="JA33" s="9" t="n">
        <v>9120</v>
      </c>
      <c r="JE33" s="10" t="n">
        <v>46050</v>
      </c>
      <c r="JG33" s="9" t="n">
        <v>0</v>
      </c>
      <c r="JI33" s="9" t="n">
        <v>0</v>
      </c>
      <c r="JJ33" s="9" t="n">
        <v>6800</v>
      </c>
      <c r="JN33" s="10" t="n">
        <v>46050</v>
      </c>
      <c r="JP33" s="9" t="n">
        <v>0</v>
      </c>
      <c r="JR33" s="9" t="n">
        <v>0</v>
      </c>
      <c r="JS33" s="9" t="n">
        <v>5400</v>
      </c>
      <c r="JW33" s="10" t="n">
        <v>46050</v>
      </c>
      <c r="JY33" s="9" t="n">
        <v>0</v>
      </c>
      <c r="KA33" s="9" t="n">
        <v>0</v>
      </c>
      <c r="KB33" s="9" t="n">
        <v>0</v>
      </c>
      <c r="KF33" s="10" t="n">
        <v>46050</v>
      </c>
      <c r="KH33" s="9" t="n">
        <v>0</v>
      </c>
      <c r="KJ33" s="9" t="n">
        <v>0</v>
      </c>
      <c r="KK33" s="9" t="n">
        <v>0</v>
      </c>
      <c r="KO33" s="10" t="n">
        <v>46050</v>
      </c>
      <c r="KQ33" s="9" t="n">
        <v>0</v>
      </c>
      <c r="KS33" s="9" t="n">
        <v>0</v>
      </c>
      <c r="KT33" s="9" t="n">
        <v>0</v>
      </c>
      <c r="KX33" s="10" t="n">
        <v>46050</v>
      </c>
      <c r="KZ33" s="9" t="n">
        <v>0</v>
      </c>
      <c r="LB33" s="9" t="n">
        <v>0</v>
      </c>
      <c r="LC33" s="9" t="n">
        <v>0</v>
      </c>
      <c r="LG33" s="10" t="n">
        <v>46050</v>
      </c>
      <c r="LI33" s="9" t="n">
        <v>0</v>
      </c>
      <c r="LK33" s="9" t="n">
        <v>0</v>
      </c>
      <c r="LL33" s="9" t="n">
        <v>0</v>
      </c>
      <c r="LP33" s="10" t="n">
        <v>46050</v>
      </c>
      <c r="LR33" s="9" t="n">
        <v>0</v>
      </c>
      <c r="LT33" s="9" t="n">
        <v>0</v>
      </c>
      <c r="LU33" s="9" t="n">
        <v>0</v>
      </c>
      <c r="LY33" s="10" t="n">
        <v>46050</v>
      </c>
      <c r="MA33" s="9" t="n">
        <v>0</v>
      </c>
      <c r="MC33" s="9" t="n">
        <v>0</v>
      </c>
      <c r="MD33" s="9" t="n">
        <v>0</v>
      </c>
      <c r="MH33" s="10" t="n">
        <v>46050</v>
      </c>
      <c r="MJ33" s="9" t="n">
        <v>0</v>
      </c>
      <c r="ML33" s="9" t="n">
        <v>0</v>
      </c>
      <c r="MM33" s="9" t="n">
        <v>0</v>
      </c>
      <c r="MQ33" s="10" t="n">
        <v>46050</v>
      </c>
      <c r="MS33" s="9" t="n">
        <v>17</v>
      </c>
      <c r="MU33" s="9" t="n">
        <v>17</v>
      </c>
      <c r="MV33" s="9" t="n">
        <v>2059</v>
      </c>
      <c r="MZ33" s="10" t="n">
        <v>46050</v>
      </c>
      <c r="NB33" s="9" t="n">
        <v>102</v>
      </c>
      <c r="ND33" s="9" t="n">
        <v>102</v>
      </c>
      <c r="NE33" s="9" t="n">
        <v>0</v>
      </c>
      <c r="NI33" s="10" t="n">
        <v>46050</v>
      </c>
      <c r="NK33" s="9" t="n">
        <v>0</v>
      </c>
      <c r="NM33" s="9" t="n">
        <v>0</v>
      </c>
      <c r="NN33" s="9" t="n">
        <v>0</v>
      </c>
      <c r="NR33" s="10" t="n">
        <v>46050</v>
      </c>
      <c r="NT33" s="9" t="n">
        <v>0</v>
      </c>
      <c r="NV33" s="9" t="n">
        <v>0</v>
      </c>
      <c r="NW33" s="9" t="n">
        <v>0</v>
      </c>
      <c r="OA33" s="10" t="n">
        <v>46050</v>
      </c>
      <c r="OC33" s="9" t="n">
        <v>20</v>
      </c>
      <c r="OE33" s="9" t="n">
        <v>20</v>
      </c>
      <c r="OF33" s="9" t="n">
        <v>1680.5</v>
      </c>
      <c r="OJ33" s="10" t="n">
        <v>46050</v>
      </c>
      <c r="OL33" s="9" t="n">
        <v>0</v>
      </c>
      <c r="ON33" s="9" t="n">
        <v>0</v>
      </c>
      <c r="OO33" s="9" t="n">
        <v>0</v>
      </c>
      <c r="OS33" s="10" t="n">
        <v>46050</v>
      </c>
      <c r="OU33" s="9" t="n">
        <v>0</v>
      </c>
      <c r="OW33" s="9" t="n">
        <v>0</v>
      </c>
      <c r="OX33" s="9" t="n">
        <v>67</v>
      </c>
      <c r="PB33" s="10" t="n">
        <v>46050</v>
      </c>
      <c r="PD33" s="9" t="n">
        <v>0</v>
      </c>
      <c r="PF33" s="9" t="n">
        <v>0</v>
      </c>
      <c r="PG33" s="9" t="n">
        <v>0</v>
      </c>
      <c r="PK33" s="10" t="n">
        <v>46050</v>
      </c>
      <c r="PM33" s="9" t="n">
        <v>0</v>
      </c>
      <c r="PO33" s="9" t="n">
        <v>0</v>
      </c>
      <c r="PP33" s="9" t="n">
        <v>160</v>
      </c>
      <c r="PT33" s="10" t="n">
        <v>46050</v>
      </c>
      <c r="PV33" s="9" t="n">
        <v>0</v>
      </c>
      <c r="PX33" s="9" t="n">
        <v>0</v>
      </c>
      <c r="PY33" s="9" t="n">
        <v>13.96000000000004</v>
      </c>
      <c r="QC33" s="10" t="n">
        <v>46050</v>
      </c>
      <c r="QE33" s="9" t="n">
        <v>0</v>
      </c>
      <c r="QG33" s="9" t="n">
        <v>0</v>
      </c>
      <c r="QH33" s="9" t="n">
        <v>0</v>
      </c>
      <c r="QL33" s="10" t="n">
        <v>46050</v>
      </c>
      <c r="QN33" s="9" t="n">
        <v>0</v>
      </c>
      <c r="QP33" s="9" t="n">
        <v>0</v>
      </c>
      <c r="QQ33" s="9" t="n">
        <v>0</v>
      </c>
      <c r="QU33" s="10" t="n">
        <v>46050</v>
      </c>
      <c r="QW33" s="9" t="n">
        <v>0</v>
      </c>
      <c r="QY33" s="9" t="n">
        <v>0</v>
      </c>
      <c r="QZ33" s="9" t="n">
        <v>207.6</v>
      </c>
      <c r="RD33" s="10" t="n">
        <v>46050</v>
      </c>
      <c r="RF33" s="9" t="n">
        <v>0</v>
      </c>
      <c r="RH33" s="9" t="n">
        <v>0</v>
      </c>
      <c r="RI33" s="9" t="n">
        <v>201.8</v>
      </c>
      <c r="RM33" s="10" t="n">
        <v>46050</v>
      </c>
      <c r="RO33" s="9" t="n">
        <v>0</v>
      </c>
      <c r="RQ33" s="9" t="n">
        <v>0</v>
      </c>
      <c r="RR33" s="9" t="n">
        <v>22.72</v>
      </c>
      <c r="RV33" s="10" t="n">
        <v>46050</v>
      </c>
      <c r="RX33" s="9" t="n">
        <v>0</v>
      </c>
      <c r="RZ33" s="9" t="n">
        <v>0</v>
      </c>
      <c r="SA33" s="9" t="n">
        <v>0</v>
      </c>
      <c r="SE33" s="10" t="n">
        <v>46050</v>
      </c>
      <c r="SG33" s="9" t="n">
        <v>0</v>
      </c>
      <c r="SI33" s="9" t="n">
        <v>0</v>
      </c>
      <c r="SJ33" s="9" t="n">
        <v>0</v>
      </c>
      <c r="SN33" s="10" t="n">
        <v>46050</v>
      </c>
      <c r="SP33" s="9" t="n">
        <v>0</v>
      </c>
      <c r="SR33" s="9" t="n">
        <v>0</v>
      </c>
      <c r="SS33" s="9" t="n">
        <v>0</v>
      </c>
      <c r="SW33" s="10" t="n">
        <v>46050</v>
      </c>
      <c r="SY33" s="9" t="n">
        <v>0</v>
      </c>
      <c r="TA33" s="9" t="n">
        <v>0</v>
      </c>
      <c r="TB33" s="9" t="n">
        <v>0</v>
      </c>
      <c r="TF33" s="10" t="n">
        <v>46050</v>
      </c>
      <c r="TH33" s="9" t="n">
        <v>0</v>
      </c>
      <c r="TJ33" s="9" t="n">
        <v>0</v>
      </c>
      <c r="TK33" s="9" t="n">
        <v>0</v>
      </c>
      <c r="TO33" s="10" t="n">
        <v>46050</v>
      </c>
      <c r="TQ33" s="9" t="n">
        <v>0</v>
      </c>
      <c r="TS33" s="9" t="n">
        <v>0</v>
      </c>
      <c r="TT33" s="9" t="n">
        <v>0</v>
      </c>
      <c r="TX33" s="10" t="n">
        <v>46050</v>
      </c>
      <c r="TZ33" s="9" t="n">
        <v>0</v>
      </c>
      <c r="UB33" s="9" t="n">
        <v>0</v>
      </c>
      <c r="UC33" s="9" t="n">
        <v>0</v>
      </c>
      <c r="UG33" s="10" t="n">
        <v>46050</v>
      </c>
      <c r="UI33" s="9" t="n">
        <v>0</v>
      </c>
      <c r="UK33" s="9" t="n">
        <v>0</v>
      </c>
      <c r="UL33" s="9" t="n">
        <v>0</v>
      </c>
      <c r="UP33" s="10" t="n">
        <v>46050</v>
      </c>
      <c r="UR33" s="9" t="n">
        <v>0</v>
      </c>
      <c r="UT33" s="9" t="n">
        <v>0</v>
      </c>
      <c r="UU33" s="9" t="n">
        <v>0</v>
      </c>
      <c r="UY33" s="10" t="n">
        <v>46050</v>
      </c>
      <c r="UZ33" s="9" t="n">
        <v>361.2</v>
      </c>
      <c r="VA33" s="9" t="n">
        <v>0</v>
      </c>
      <c r="VC33" s="9" t="n">
        <v>0</v>
      </c>
      <c r="VD33" s="9" t="n">
        <v>41.60000000000002</v>
      </c>
      <c r="VH33" s="10" t="n">
        <v>46050</v>
      </c>
      <c r="VJ33" s="9" t="n">
        <v>0</v>
      </c>
      <c r="VL33" s="9" t="n">
        <v>0</v>
      </c>
      <c r="VM33" s="9" t="n">
        <v>0</v>
      </c>
      <c r="VQ33" s="10" t="n">
        <v>46050</v>
      </c>
      <c r="VS33" s="9" t="n">
        <v>0</v>
      </c>
      <c r="VU33" s="9" t="n">
        <v>0</v>
      </c>
      <c r="VV33" s="9" t="n">
        <v>0</v>
      </c>
      <c r="VZ33" s="10" t="n">
        <v>46050</v>
      </c>
      <c r="WB33" s="9" t="n">
        <v>0</v>
      </c>
      <c r="WD33" s="9" t="n">
        <v>0</v>
      </c>
      <c r="WE33" s="9" t="n">
        <v>0</v>
      </c>
      <c r="WI33" s="10" t="n">
        <v>46050</v>
      </c>
      <c r="WK33" s="9" t="n">
        <v>0</v>
      </c>
      <c r="WM33" s="9" t="n">
        <v>0</v>
      </c>
      <c r="WN33" s="9" t="n">
        <v>9609</v>
      </c>
      <c r="WR33" s="10" t="n">
        <v>46050</v>
      </c>
      <c r="WT33" s="9" t="n">
        <v>0</v>
      </c>
      <c r="WV33" s="9" t="n">
        <v>0</v>
      </c>
      <c r="WW33" s="9" t="n">
        <v>8149</v>
      </c>
      <c r="XA33" s="10" t="n">
        <v>46050</v>
      </c>
      <c r="XC33" s="9" t="n">
        <v>0</v>
      </c>
      <c r="XE33" s="9" t="n">
        <v>0</v>
      </c>
      <c r="XF33" s="9" t="n">
        <v>1836</v>
      </c>
      <c r="XJ33" s="10" t="n">
        <v>46050</v>
      </c>
      <c r="XL33" s="9" t="n">
        <v>0</v>
      </c>
      <c r="XN33" s="9" t="n">
        <v>0</v>
      </c>
      <c r="XO33" s="9" t="n">
        <v>6240</v>
      </c>
      <c r="XS33" s="10" t="n">
        <v>46050</v>
      </c>
      <c r="XU33" s="9" t="n">
        <v>0</v>
      </c>
      <c r="XW33" s="9" t="n">
        <v>0</v>
      </c>
      <c r="XX33" s="9" t="n">
        <v>1901</v>
      </c>
      <c r="YB33" s="10" t="n">
        <v>46050</v>
      </c>
      <c r="YD33" s="9" t="n">
        <v>0</v>
      </c>
      <c r="YE33" s="9" t="n">
        <v>267</v>
      </c>
      <c r="YF33" s="9" t="n">
        <v>-267</v>
      </c>
      <c r="YG33" s="9" t="n">
        <v>1885</v>
      </c>
      <c r="YK33" s="10" t="n">
        <v>46050</v>
      </c>
      <c r="YM33" s="9" t="n">
        <v>0</v>
      </c>
      <c r="YO33" s="9" t="n">
        <v>0</v>
      </c>
      <c r="YP33" s="9" t="n">
        <v>0</v>
      </c>
      <c r="YT33" s="10" t="n">
        <v>46050</v>
      </c>
      <c r="YV33" s="9" t="n">
        <v>0</v>
      </c>
      <c r="YX33" s="9" t="n">
        <v>0</v>
      </c>
      <c r="YY33" s="9" t="n">
        <v>0</v>
      </c>
      <c r="ZC33" s="10" t="n">
        <v>46050</v>
      </c>
      <c r="ZE33" s="9" t="n">
        <v>0</v>
      </c>
      <c r="ZG33" s="9" t="n">
        <v>0</v>
      </c>
      <c r="ZH33" s="9" t="n">
        <v>0</v>
      </c>
      <c r="ZL33" s="10" t="n">
        <v>46050</v>
      </c>
      <c r="ZN33" s="9" t="n">
        <v>0</v>
      </c>
      <c r="ZP33" s="9" t="n">
        <v>0</v>
      </c>
      <c r="ZQ33" s="9" t="n">
        <v>0</v>
      </c>
      <c r="ZU33" s="10" t="n">
        <v>46050</v>
      </c>
      <c r="ZW33" s="9" t="n">
        <v>0</v>
      </c>
      <c r="ZY33" s="9" t="n">
        <v>0</v>
      </c>
      <c r="ZZ33" s="9" t="n">
        <v>0</v>
      </c>
      <c r="AAD33" s="10" t="n">
        <v>46050</v>
      </c>
      <c r="AAF33" s="9" t="n">
        <v>0</v>
      </c>
      <c r="AAH33" s="9" t="n">
        <v>0</v>
      </c>
      <c r="AAI33" s="9" t="n">
        <v>0</v>
      </c>
      <c r="AAM33" s="10" t="n">
        <v>46050</v>
      </c>
      <c r="AAO33" s="9" t="n">
        <v>0</v>
      </c>
      <c r="AAQ33" s="9" t="n">
        <v>0</v>
      </c>
      <c r="AAR33" s="9" t="n">
        <v>0</v>
      </c>
      <c r="AAV33" s="10" t="n">
        <v>46050</v>
      </c>
      <c r="AAX33" s="9" t="n">
        <v>0</v>
      </c>
      <c r="AAZ33" s="9" t="n">
        <v>0</v>
      </c>
      <c r="ABA33" s="9" t="n">
        <v>0</v>
      </c>
      <c r="ABE33" s="10" t="n">
        <v>46050</v>
      </c>
      <c r="ABG33" s="9" t="n">
        <v>0</v>
      </c>
      <c r="ABI33" s="9" t="n">
        <v>0</v>
      </c>
      <c r="ABJ33" s="9" t="n">
        <v>0</v>
      </c>
    </row>
    <row r="34">
      <c r="C34" s="10" t="n">
        <v>46051</v>
      </c>
      <c r="D34" s="9" t="n">
        <v>21880</v>
      </c>
      <c r="E34" s="9" t="n">
        <v>0</v>
      </c>
      <c r="F34" s="9" t="n">
        <v>4346.4</v>
      </c>
      <c r="G34" s="9" t="n">
        <v>-4346.4</v>
      </c>
      <c r="H34" s="9" t="n">
        <v>127035.2</v>
      </c>
      <c r="L34" s="10" t="n">
        <v>46051</v>
      </c>
      <c r="M34" s="9" t="n">
        <v>2200</v>
      </c>
      <c r="N34" s="9" t="n">
        <v>0</v>
      </c>
      <c r="P34" s="9" t="n">
        <v>0</v>
      </c>
      <c r="Q34" s="9" t="n">
        <v>40651.39999999999</v>
      </c>
      <c r="U34" s="10" t="n">
        <v>46051</v>
      </c>
      <c r="W34" s="9" t="n">
        <v>0</v>
      </c>
      <c r="Y34" s="9" t="n">
        <v>0</v>
      </c>
      <c r="Z34" s="9" t="n">
        <v>55566.69999999998</v>
      </c>
      <c r="AD34" s="10" t="n">
        <v>46051</v>
      </c>
      <c r="AF34" s="9" t="n">
        <v>0</v>
      </c>
      <c r="AH34" s="9" t="n">
        <v>0</v>
      </c>
      <c r="AI34" s="9" t="n">
        <v>57994.50000000001</v>
      </c>
      <c r="AM34" s="10" t="n">
        <v>46051</v>
      </c>
      <c r="AO34" s="9" t="n">
        <v>0</v>
      </c>
      <c r="AQ34" s="9" t="n">
        <v>0</v>
      </c>
      <c r="AR34" s="9" t="n">
        <v>0</v>
      </c>
      <c r="AV34" s="10" t="n">
        <v>46051</v>
      </c>
      <c r="AX34" s="9" t="n">
        <v>0</v>
      </c>
      <c r="AZ34" s="9" t="n">
        <v>0</v>
      </c>
      <c r="BA34" s="9" t="n">
        <v>35264.69999999999</v>
      </c>
      <c r="BE34" s="10" t="n">
        <v>46051</v>
      </c>
      <c r="BF34" s="9" t="n">
        <v>1257.7</v>
      </c>
      <c r="BG34" s="9" t="n">
        <v>0</v>
      </c>
      <c r="BI34" s="9" t="n">
        <v>0</v>
      </c>
      <c r="BJ34" s="9" t="n">
        <v>23876.50000000001</v>
      </c>
      <c r="BN34" s="10" t="n">
        <v>46051</v>
      </c>
      <c r="BP34" s="9" t="n">
        <v>0</v>
      </c>
      <c r="BR34" s="9" t="n">
        <v>0</v>
      </c>
      <c r="BS34" s="9" t="n">
        <v>0</v>
      </c>
      <c r="BW34" s="10" t="n">
        <v>46051</v>
      </c>
      <c r="BY34" s="9" t="n">
        <v>0</v>
      </c>
      <c r="CA34" s="9" t="n">
        <v>0</v>
      </c>
      <c r="CB34" s="9" t="n">
        <v>3284.5</v>
      </c>
      <c r="CF34" s="10" t="n">
        <v>46051</v>
      </c>
      <c r="CH34" s="9" t="n">
        <v>0</v>
      </c>
      <c r="CJ34" s="9" t="n">
        <v>0</v>
      </c>
      <c r="CK34" s="9" t="n">
        <v>0</v>
      </c>
      <c r="CO34" s="10" t="n">
        <v>46051</v>
      </c>
      <c r="CQ34" s="9" t="n">
        <v>0</v>
      </c>
      <c r="CS34" s="9" t="n">
        <v>0</v>
      </c>
      <c r="CT34" s="9" t="n">
        <v>0</v>
      </c>
      <c r="CX34" s="10" t="n">
        <v>46051</v>
      </c>
      <c r="CZ34" s="9" t="n">
        <v>0</v>
      </c>
      <c r="DB34" s="9" t="n">
        <v>0</v>
      </c>
      <c r="DC34" s="9" t="n">
        <v>0</v>
      </c>
      <c r="DG34" s="10" t="n">
        <v>46051</v>
      </c>
      <c r="DI34" s="9" t="n">
        <v>0</v>
      </c>
      <c r="DK34" s="9" t="n">
        <v>0</v>
      </c>
      <c r="DL34" s="9" t="n">
        <v>22172.8</v>
      </c>
      <c r="DP34" s="10" t="n">
        <v>46051</v>
      </c>
      <c r="DR34" s="9" t="n">
        <v>0</v>
      </c>
      <c r="DT34" s="9" t="n">
        <v>0</v>
      </c>
      <c r="DU34" s="9" t="n">
        <v>0</v>
      </c>
      <c r="DY34" s="10" t="n">
        <v>46051</v>
      </c>
      <c r="EA34" s="9" t="n">
        <v>0</v>
      </c>
      <c r="EC34" s="9" t="n">
        <v>0</v>
      </c>
      <c r="ED34" s="9" t="n">
        <v>0</v>
      </c>
      <c r="EH34" s="10" t="n">
        <v>46051</v>
      </c>
      <c r="EJ34" s="9" t="n">
        <v>0</v>
      </c>
      <c r="EL34" s="9" t="n">
        <v>0</v>
      </c>
      <c r="EM34" s="9" t="n">
        <v>0</v>
      </c>
      <c r="EQ34" s="10" t="n">
        <v>46051</v>
      </c>
      <c r="ES34" s="9" t="n">
        <v>0</v>
      </c>
      <c r="EU34" s="9" t="n">
        <v>0</v>
      </c>
      <c r="EV34" s="9" t="n">
        <v>0</v>
      </c>
      <c r="EZ34" s="10" t="n">
        <v>46051</v>
      </c>
      <c r="FB34" s="9" t="n">
        <v>0</v>
      </c>
      <c r="FD34" s="9" t="n">
        <v>0</v>
      </c>
      <c r="FE34" s="9" t="n">
        <v>0</v>
      </c>
      <c r="FI34" s="10" t="n">
        <v>46051</v>
      </c>
      <c r="FK34" s="9" t="n">
        <v>0</v>
      </c>
      <c r="FM34" s="9" t="n">
        <v>0</v>
      </c>
      <c r="FN34" s="9" t="n">
        <v>0</v>
      </c>
      <c r="FR34" s="10" t="n">
        <v>46051</v>
      </c>
      <c r="FT34" s="9" t="n">
        <v>0</v>
      </c>
      <c r="FV34" s="9" t="n">
        <v>0</v>
      </c>
      <c r="FW34" s="9" t="n">
        <v>3540</v>
      </c>
      <c r="GA34" s="10" t="n">
        <v>46051</v>
      </c>
      <c r="GB34" s="9" t="n">
        <v>2000</v>
      </c>
      <c r="GC34" s="9" t="n">
        <v>0</v>
      </c>
      <c r="GE34" s="9" t="n">
        <v>0</v>
      </c>
      <c r="GF34" s="9" t="n">
        <v>3960</v>
      </c>
      <c r="GJ34" s="10" t="n">
        <v>46051</v>
      </c>
      <c r="GL34" s="9" t="n">
        <v>0</v>
      </c>
      <c r="GN34" s="9" t="n">
        <v>0</v>
      </c>
      <c r="GO34" s="9" t="n">
        <v>4440</v>
      </c>
      <c r="GS34" s="10" t="n">
        <v>46051</v>
      </c>
      <c r="GU34" s="9" t="n">
        <v>0</v>
      </c>
      <c r="GW34" s="9" t="n">
        <v>0</v>
      </c>
      <c r="GX34" s="9" t="n">
        <v>0</v>
      </c>
      <c r="HB34" s="10" t="n">
        <v>46051</v>
      </c>
      <c r="HD34" s="9" t="n">
        <v>0</v>
      </c>
      <c r="HF34" s="9" t="n">
        <v>0</v>
      </c>
      <c r="HG34" s="9" t="n">
        <v>0</v>
      </c>
      <c r="HK34" s="10" t="n">
        <v>46051</v>
      </c>
      <c r="HM34" s="9" t="n">
        <v>0</v>
      </c>
      <c r="HO34" s="9" t="n">
        <v>0</v>
      </c>
      <c r="HP34" s="9" t="n">
        <v>0</v>
      </c>
      <c r="HU34" s="10" t="n">
        <v>46051</v>
      </c>
      <c r="HV34" s="9" t="n">
        <v>4000</v>
      </c>
      <c r="HW34" s="9" t="n">
        <v>0</v>
      </c>
      <c r="HY34" s="9" t="n">
        <v>0</v>
      </c>
      <c r="HZ34" s="9" t="n">
        <v>5440</v>
      </c>
      <c r="ID34" s="10" t="n">
        <v>46051</v>
      </c>
      <c r="IF34" s="9" t="n">
        <v>0</v>
      </c>
      <c r="IH34" s="9" t="n">
        <v>0</v>
      </c>
      <c r="II34" s="9" t="n">
        <v>5100</v>
      </c>
      <c r="IM34" s="10" t="n">
        <v>46051</v>
      </c>
      <c r="IN34" s="9" t="n">
        <v>6000</v>
      </c>
      <c r="IO34" s="9" t="n">
        <v>0</v>
      </c>
      <c r="IQ34" s="9" t="n">
        <v>0</v>
      </c>
      <c r="IR34" s="9" t="n">
        <v>18640</v>
      </c>
      <c r="IV34" s="10" t="n">
        <v>46051</v>
      </c>
      <c r="IW34" s="9" t="n">
        <v>2000</v>
      </c>
      <c r="IX34" s="9" t="n">
        <v>0</v>
      </c>
      <c r="IZ34" s="9" t="n">
        <v>0</v>
      </c>
      <c r="JA34" s="9" t="n">
        <v>11120</v>
      </c>
      <c r="JE34" s="10" t="n">
        <v>46051</v>
      </c>
      <c r="JG34" s="9" t="n">
        <v>0</v>
      </c>
      <c r="JI34" s="9" t="n">
        <v>0</v>
      </c>
      <c r="JJ34" s="9" t="n">
        <v>6800</v>
      </c>
      <c r="JN34" s="10" t="n">
        <v>46051</v>
      </c>
      <c r="JP34" s="9" t="n">
        <v>0</v>
      </c>
      <c r="JR34" s="9" t="n">
        <v>0</v>
      </c>
      <c r="JS34" s="9" t="n">
        <v>5400</v>
      </c>
      <c r="JW34" s="10" t="n">
        <v>46051</v>
      </c>
      <c r="JX34" s="9" t="n">
        <v>2260</v>
      </c>
      <c r="JY34" s="9" t="n">
        <v>0</v>
      </c>
      <c r="KA34" s="9" t="n">
        <v>0</v>
      </c>
      <c r="KB34" s="9" t="n">
        <v>2260</v>
      </c>
      <c r="KF34" s="10" t="n">
        <v>46051</v>
      </c>
      <c r="KH34" s="9" t="n">
        <v>0</v>
      </c>
      <c r="KJ34" s="9" t="n">
        <v>0</v>
      </c>
      <c r="KK34" s="9" t="n">
        <v>0</v>
      </c>
      <c r="KO34" s="10" t="n">
        <v>46051</v>
      </c>
      <c r="KQ34" s="9" t="n">
        <v>0</v>
      </c>
      <c r="KS34" s="9" t="n">
        <v>0</v>
      </c>
      <c r="KT34" s="9" t="n">
        <v>0</v>
      </c>
      <c r="KX34" s="10" t="n">
        <v>46051</v>
      </c>
      <c r="KZ34" s="9" t="n">
        <v>0</v>
      </c>
      <c r="LB34" s="9" t="n">
        <v>0</v>
      </c>
      <c r="LC34" s="9" t="n">
        <v>0</v>
      </c>
      <c r="LG34" s="10" t="n">
        <v>46051</v>
      </c>
      <c r="LI34" s="9" t="n">
        <v>0</v>
      </c>
      <c r="LK34" s="9" t="n">
        <v>0</v>
      </c>
      <c r="LL34" s="9" t="n">
        <v>0</v>
      </c>
      <c r="LP34" s="10" t="n">
        <v>46051</v>
      </c>
      <c r="LR34" s="9" t="n">
        <v>0</v>
      </c>
      <c r="LT34" s="9" t="n">
        <v>0</v>
      </c>
      <c r="LU34" s="9" t="n">
        <v>0</v>
      </c>
      <c r="LY34" s="10" t="n">
        <v>46051</v>
      </c>
      <c r="MA34" s="9" t="n">
        <v>0</v>
      </c>
      <c r="MC34" s="9" t="n">
        <v>0</v>
      </c>
      <c r="MD34" s="9" t="n">
        <v>0</v>
      </c>
      <c r="MH34" s="10" t="n">
        <v>46051</v>
      </c>
      <c r="MJ34" s="9" t="n">
        <v>0</v>
      </c>
      <c r="ML34" s="9" t="n">
        <v>0</v>
      </c>
      <c r="MM34" s="9" t="n">
        <v>0</v>
      </c>
      <c r="MQ34" s="10" t="n">
        <v>46051</v>
      </c>
      <c r="MS34" s="9" t="n">
        <v>0</v>
      </c>
      <c r="MU34" s="9" t="n">
        <v>0</v>
      </c>
      <c r="MV34" s="9" t="n">
        <v>2059</v>
      </c>
      <c r="MZ34" s="10" t="n">
        <v>46051</v>
      </c>
      <c r="NB34" s="9" t="n">
        <v>0</v>
      </c>
      <c r="ND34" s="9" t="n">
        <v>0</v>
      </c>
      <c r="NE34" s="9" t="n">
        <v>0</v>
      </c>
      <c r="NI34" s="10" t="n">
        <v>46051</v>
      </c>
      <c r="NK34" s="9" t="n">
        <v>0</v>
      </c>
      <c r="NM34" s="9" t="n">
        <v>0</v>
      </c>
      <c r="NN34" s="9" t="n">
        <v>0</v>
      </c>
      <c r="NR34" s="10" t="n">
        <v>46051</v>
      </c>
      <c r="NT34" s="9" t="n">
        <v>0</v>
      </c>
      <c r="NV34" s="9" t="n">
        <v>0</v>
      </c>
      <c r="NW34" s="9" t="n">
        <v>0</v>
      </c>
      <c r="OA34" s="10" t="n">
        <v>46051</v>
      </c>
      <c r="OC34" s="9" t="n">
        <v>0</v>
      </c>
      <c r="OE34" s="9" t="n">
        <v>0</v>
      </c>
      <c r="OF34" s="9" t="n">
        <v>1680.5</v>
      </c>
      <c r="OJ34" s="10" t="n">
        <v>46051</v>
      </c>
      <c r="OL34" s="9" t="n">
        <v>0</v>
      </c>
      <c r="ON34" s="9" t="n">
        <v>0</v>
      </c>
      <c r="OO34" s="9" t="n">
        <v>0</v>
      </c>
      <c r="OS34" s="10" t="n">
        <v>46051</v>
      </c>
      <c r="OU34" s="9" t="n">
        <v>0</v>
      </c>
      <c r="OW34" s="9" t="n">
        <v>0</v>
      </c>
      <c r="OX34" s="9" t="n">
        <v>67</v>
      </c>
      <c r="PB34" s="10" t="n">
        <v>46051</v>
      </c>
      <c r="PD34" s="9" t="n">
        <v>0</v>
      </c>
      <c r="PF34" s="9" t="n">
        <v>0</v>
      </c>
      <c r="PG34" s="9" t="n">
        <v>0</v>
      </c>
      <c r="PK34" s="10" t="n">
        <v>46051</v>
      </c>
      <c r="PM34" s="9" t="n">
        <v>0</v>
      </c>
      <c r="PO34" s="9" t="n">
        <v>0</v>
      </c>
      <c r="PP34" s="9" t="n">
        <v>160</v>
      </c>
      <c r="PT34" s="10" t="n">
        <v>46051</v>
      </c>
      <c r="PV34" s="9" t="n">
        <v>0</v>
      </c>
      <c r="PX34" s="9" t="n">
        <v>0</v>
      </c>
      <c r="PY34" s="9" t="n">
        <v>13.96000000000004</v>
      </c>
      <c r="QC34" s="10" t="n">
        <v>46051</v>
      </c>
      <c r="QE34" s="9" t="n">
        <v>0</v>
      </c>
      <c r="QG34" s="9" t="n">
        <v>0</v>
      </c>
      <c r="QH34" s="9" t="n">
        <v>0</v>
      </c>
      <c r="QL34" s="10" t="n">
        <v>46051</v>
      </c>
      <c r="QN34" s="9" t="n">
        <v>0</v>
      </c>
      <c r="QP34" s="9" t="n">
        <v>0</v>
      </c>
      <c r="QQ34" s="9" t="n">
        <v>0</v>
      </c>
      <c r="QU34" s="10" t="n">
        <v>46051</v>
      </c>
      <c r="QW34" s="9" t="n">
        <v>0</v>
      </c>
      <c r="QY34" s="9" t="n">
        <v>0</v>
      </c>
      <c r="QZ34" s="9" t="n">
        <v>207.6</v>
      </c>
      <c r="RD34" s="10" t="n">
        <v>46051</v>
      </c>
      <c r="RF34" s="9" t="n">
        <v>0</v>
      </c>
      <c r="RH34" s="9" t="n">
        <v>0</v>
      </c>
      <c r="RI34" s="9" t="n">
        <v>201.8</v>
      </c>
      <c r="RM34" s="10" t="n">
        <v>46051</v>
      </c>
      <c r="RO34" s="9" t="n">
        <v>0</v>
      </c>
      <c r="RQ34" s="9" t="n">
        <v>0</v>
      </c>
      <c r="RR34" s="9" t="n">
        <v>22.72</v>
      </c>
      <c r="RV34" s="10" t="n">
        <v>46051</v>
      </c>
      <c r="RX34" s="9" t="n">
        <v>0</v>
      </c>
      <c r="RZ34" s="9" t="n">
        <v>0</v>
      </c>
      <c r="SA34" s="9" t="n">
        <v>0</v>
      </c>
      <c r="SE34" s="10" t="n">
        <v>46051</v>
      </c>
      <c r="SG34" s="9" t="n">
        <v>0</v>
      </c>
      <c r="SI34" s="9" t="n">
        <v>0</v>
      </c>
      <c r="SJ34" s="9" t="n">
        <v>0</v>
      </c>
      <c r="SN34" s="10" t="n">
        <v>46051</v>
      </c>
      <c r="SP34" s="9" t="n">
        <v>0</v>
      </c>
      <c r="SR34" s="9" t="n">
        <v>0</v>
      </c>
      <c r="SS34" s="9" t="n">
        <v>0</v>
      </c>
      <c r="SW34" s="10" t="n">
        <v>46051</v>
      </c>
      <c r="SX34" s="9" t="n">
        <v>270</v>
      </c>
      <c r="SY34" s="9" t="n">
        <v>0</v>
      </c>
      <c r="TA34" s="9" t="n">
        <v>0</v>
      </c>
      <c r="TB34" s="9" t="n">
        <v>270</v>
      </c>
      <c r="TF34" s="10" t="n">
        <v>46051</v>
      </c>
      <c r="TH34" s="9" t="n">
        <v>0</v>
      </c>
      <c r="TJ34" s="9" t="n">
        <v>0</v>
      </c>
      <c r="TK34" s="9" t="n">
        <v>0</v>
      </c>
      <c r="TO34" s="10" t="n">
        <v>46051</v>
      </c>
      <c r="TQ34" s="9" t="n">
        <v>0</v>
      </c>
      <c r="TS34" s="9" t="n">
        <v>0</v>
      </c>
      <c r="TT34" s="9" t="n">
        <v>0</v>
      </c>
      <c r="TX34" s="10" t="n">
        <v>46051</v>
      </c>
      <c r="TZ34" s="9" t="n">
        <v>0</v>
      </c>
      <c r="UB34" s="9" t="n">
        <v>0</v>
      </c>
      <c r="UC34" s="9" t="n">
        <v>0</v>
      </c>
      <c r="UG34" s="10" t="n">
        <v>46051</v>
      </c>
      <c r="UI34" s="9" t="n">
        <v>0</v>
      </c>
      <c r="UK34" s="9" t="n">
        <v>0</v>
      </c>
      <c r="UL34" s="9" t="n">
        <v>0</v>
      </c>
      <c r="UP34" s="10" t="n">
        <v>46051</v>
      </c>
      <c r="UR34" s="9" t="n">
        <v>0</v>
      </c>
      <c r="UT34" s="9" t="n">
        <v>0</v>
      </c>
      <c r="UU34" s="9" t="n">
        <v>0</v>
      </c>
      <c r="UY34" s="10" t="n">
        <v>46051</v>
      </c>
      <c r="VA34" s="9" t="n">
        <v>0</v>
      </c>
      <c r="VC34" s="9" t="n">
        <v>0</v>
      </c>
      <c r="VD34" s="9" t="n">
        <v>41.60000000000002</v>
      </c>
      <c r="VH34" s="10" t="n">
        <v>46051</v>
      </c>
      <c r="VJ34" s="9" t="n">
        <v>0</v>
      </c>
      <c r="VL34" s="9" t="n">
        <v>0</v>
      </c>
      <c r="VM34" s="9" t="n">
        <v>0</v>
      </c>
      <c r="VQ34" s="10" t="n">
        <v>46051</v>
      </c>
      <c r="VS34" s="9" t="n">
        <v>0</v>
      </c>
      <c r="VU34" s="9" t="n">
        <v>0</v>
      </c>
      <c r="VV34" s="9" t="n">
        <v>0</v>
      </c>
      <c r="VZ34" s="10" t="n">
        <v>46051</v>
      </c>
      <c r="WB34" s="9" t="n">
        <v>0</v>
      </c>
      <c r="WD34" s="9" t="n">
        <v>0</v>
      </c>
      <c r="WE34" s="9" t="n">
        <v>0</v>
      </c>
      <c r="WI34" s="10" t="n">
        <v>46051</v>
      </c>
      <c r="WK34" s="9" t="n">
        <v>0</v>
      </c>
      <c r="WM34" s="9" t="n">
        <v>0</v>
      </c>
      <c r="WN34" s="9" t="n">
        <v>9609</v>
      </c>
      <c r="WR34" s="10" t="n">
        <v>46051</v>
      </c>
      <c r="WT34" s="9" t="n">
        <v>0</v>
      </c>
      <c r="WV34" s="9" t="n">
        <v>0</v>
      </c>
      <c r="WW34" s="9" t="n">
        <v>8149</v>
      </c>
      <c r="XA34" s="10" t="n">
        <v>46051</v>
      </c>
      <c r="XC34" s="9" t="n">
        <v>0</v>
      </c>
      <c r="XE34" s="9" t="n">
        <v>0</v>
      </c>
      <c r="XF34" s="9" t="n">
        <v>1836</v>
      </c>
      <c r="XJ34" s="10" t="n">
        <v>46051</v>
      </c>
      <c r="XL34" s="9" t="n">
        <v>0</v>
      </c>
      <c r="XN34" s="9" t="n">
        <v>0</v>
      </c>
      <c r="XO34" s="9" t="n">
        <v>6240</v>
      </c>
      <c r="XS34" s="10" t="n">
        <v>46051</v>
      </c>
      <c r="XU34" s="9" t="n">
        <v>0</v>
      </c>
      <c r="XW34" s="9" t="n">
        <v>0</v>
      </c>
      <c r="XX34" s="9" t="n">
        <v>1901</v>
      </c>
      <c r="YB34" s="10" t="n">
        <v>46051</v>
      </c>
      <c r="YD34" s="9" t="n">
        <v>0</v>
      </c>
      <c r="YF34" s="9" t="n">
        <v>0</v>
      </c>
      <c r="YG34" s="9" t="n">
        <v>1885</v>
      </c>
      <c r="YK34" s="10" t="n">
        <v>46051</v>
      </c>
      <c r="YM34" s="9" t="n">
        <v>0</v>
      </c>
      <c r="YO34" s="9" t="n">
        <v>0</v>
      </c>
      <c r="YP34" s="9" t="n">
        <v>0</v>
      </c>
      <c r="YT34" s="10" t="n">
        <v>46051</v>
      </c>
      <c r="YV34" s="9" t="n">
        <v>0</v>
      </c>
      <c r="YX34" s="9" t="n">
        <v>0</v>
      </c>
      <c r="YY34" s="9" t="n">
        <v>0</v>
      </c>
      <c r="ZC34" s="10" t="n">
        <v>46051</v>
      </c>
      <c r="ZE34" s="9" t="n">
        <v>0</v>
      </c>
      <c r="ZG34" s="9" t="n">
        <v>0</v>
      </c>
      <c r="ZH34" s="9" t="n">
        <v>0</v>
      </c>
      <c r="ZL34" s="10" t="n">
        <v>46051</v>
      </c>
      <c r="ZN34" s="9" t="n">
        <v>0</v>
      </c>
      <c r="ZP34" s="9" t="n">
        <v>0</v>
      </c>
      <c r="ZQ34" s="9" t="n">
        <v>0</v>
      </c>
      <c r="ZU34" s="10" t="n">
        <v>46051</v>
      </c>
      <c r="ZW34" s="9" t="n">
        <v>0</v>
      </c>
      <c r="ZY34" s="9" t="n">
        <v>0</v>
      </c>
      <c r="ZZ34" s="9" t="n">
        <v>0</v>
      </c>
      <c r="AAD34" s="10" t="n">
        <v>46051</v>
      </c>
      <c r="AAF34" s="9" t="n">
        <v>0</v>
      </c>
      <c r="AAH34" s="9" t="n">
        <v>0</v>
      </c>
      <c r="AAI34" s="9" t="n">
        <v>0</v>
      </c>
      <c r="AAM34" s="10" t="n">
        <v>46051</v>
      </c>
      <c r="AAO34" s="9" t="n">
        <v>0</v>
      </c>
      <c r="AAQ34" s="9" t="n">
        <v>0</v>
      </c>
      <c r="AAR34" s="9" t="n">
        <v>0</v>
      </c>
      <c r="AAV34" s="10" t="n">
        <v>46051</v>
      </c>
      <c r="AAX34" s="9" t="n">
        <v>0</v>
      </c>
      <c r="AAZ34" s="9" t="n">
        <v>0</v>
      </c>
      <c r="ABA34" s="9" t="n">
        <v>0</v>
      </c>
      <c r="ABE34" s="10" t="n">
        <v>46051</v>
      </c>
      <c r="ABG34" s="9" t="n">
        <v>0</v>
      </c>
      <c r="ABI34" s="9" t="n">
        <v>0</v>
      </c>
      <c r="ABJ34" s="9" t="n">
        <v>0</v>
      </c>
    </row>
    <row r="35">
      <c r="B35" s="9" t="n">
        <v>16</v>
      </c>
      <c r="C35" s="10" t="n">
        <v>46052</v>
      </c>
      <c r="D35" s="9" t="n">
        <v>27500</v>
      </c>
      <c r="E35" s="9" t="n">
        <v>10040</v>
      </c>
      <c r="F35" s="9" t="n">
        <v>10037.4</v>
      </c>
      <c r="G35" s="9" t="n">
        <v>2.600000000000364</v>
      </c>
      <c r="H35" s="9" t="n">
        <v>144497.8</v>
      </c>
      <c r="I35" s="9" t="inlineStr">
        <is>
          <t>1103 16mt</t>
        </is>
      </c>
      <c r="L35" s="10" t="n">
        <v>46052</v>
      </c>
      <c r="N35" s="9" t="n">
        <v>2184</v>
      </c>
      <c r="O35" s="9" t="n">
        <v>2185.6</v>
      </c>
      <c r="P35" s="9" t="n">
        <v>-1.599999999999909</v>
      </c>
      <c r="Q35" s="9" t="n">
        <v>38465.8</v>
      </c>
      <c r="U35" s="10" t="n">
        <v>46052</v>
      </c>
      <c r="W35" s="9" t="n">
        <v>1280</v>
      </c>
      <c r="X35" s="9" t="n">
        <v>1281.1</v>
      </c>
      <c r="Y35" s="9" t="n">
        <v>-1.099999999999909</v>
      </c>
      <c r="Z35" s="9" t="n">
        <v>54285.59999999998</v>
      </c>
      <c r="AD35" s="10" t="n">
        <v>46052</v>
      </c>
      <c r="AF35" s="9" t="n">
        <v>1120</v>
      </c>
      <c r="AG35" s="9" t="n">
        <v>1120.6</v>
      </c>
      <c r="AH35" s="9" t="n">
        <v>-0.5999999999999091</v>
      </c>
      <c r="AI35" s="9" t="n">
        <v>56873.90000000001</v>
      </c>
      <c r="AM35" s="10" t="n">
        <v>46052</v>
      </c>
      <c r="AO35" s="9" t="n">
        <v>0</v>
      </c>
      <c r="AQ35" s="9" t="n">
        <v>0</v>
      </c>
      <c r="AR35" s="9" t="n">
        <v>0</v>
      </c>
      <c r="AV35" s="10" t="n">
        <v>46052</v>
      </c>
      <c r="AW35" s="9" t="n">
        <v>566.3</v>
      </c>
      <c r="AX35" s="9" t="n">
        <v>248</v>
      </c>
      <c r="AY35" s="9" t="n">
        <v>248.3</v>
      </c>
      <c r="AZ35" s="9" t="n">
        <v>-0.3000000000000114</v>
      </c>
      <c r="BA35" s="9" t="n">
        <v>35582.69999999999</v>
      </c>
      <c r="BE35" s="10" t="n">
        <v>46052</v>
      </c>
      <c r="BG35" s="9" t="n">
        <v>400</v>
      </c>
      <c r="BH35" s="9" t="n">
        <v>400.9</v>
      </c>
      <c r="BI35" s="9" t="n">
        <v>-0.8999999999999773</v>
      </c>
      <c r="BJ35" s="9" t="n">
        <v>23475.60000000001</v>
      </c>
      <c r="BN35" s="10" t="n">
        <v>46052</v>
      </c>
      <c r="BO35" s="9" t="n">
        <v>400</v>
      </c>
      <c r="BP35" s="9" t="n">
        <v>400</v>
      </c>
      <c r="BQ35" s="9" t="n">
        <v>400</v>
      </c>
      <c r="BR35" s="9" t="n">
        <v>0</v>
      </c>
      <c r="BS35" s="9" t="n">
        <v>0</v>
      </c>
      <c r="BW35" s="10" t="n">
        <v>46052</v>
      </c>
      <c r="BY35" s="9" t="n">
        <v>0</v>
      </c>
      <c r="CA35" s="9" t="n">
        <v>0</v>
      </c>
      <c r="CB35" s="9" t="n">
        <v>3284.5</v>
      </c>
      <c r="CF35" s="10" t="n">
        <v>46052</v>
      </c>
      <c r="CH35" s="9" t="n">
        <v>0</v>
      </c>
      <c r="CJ35" s="9" t="n">
        <v>0</v>
      </c>
      <c r="CK35" s="9" t="n">
        <v>0</v>
      </c>
      <c r="CO35" s="10" t="n">
        <v>46052</v>
      </c>
      <c r="CQ35" s="9" t="n">
        <v>0</v>
      </c>
      <c r="CS35" s="9" t="n">
        <v>0</v>
      </c>
      <c r="CT35" s="9" t="n">
        <v>0</v>
      </c>
      <c r="CX35" s="10" t="n">
        <v>46052</v>
      </c>
      <c r="CZ35" s="9" t="n">
        <v>0</v>
      </c>
      <c r="DB35" s="9" t="n">
        <v>0</v>
      </c>
      <c r="DC35" s="9" t="n">
        <v>0</v>
      </c>
      <c r="DG35" s="10" t="n">
        <v>46052</v>
      </c>
      <c r="DI35" s="9" t="n">
        <v>0</v>
      </c>
      <c r="DK35" s="9" t="n">
        <v>0</v>
      </c>
      <c r="DL35" s="9" t="n">
        <v>22172.8</v>
      </c>
      <c r="DP35" s="10" t="n">
        <v>46052</v>
      </c>
      <c r="DR35" s="9" t="n">
        <v>0</v>
      </c>
      <c r="DT35" s="9" t="n">
        <v>0</v>
      </c>
      <c r="DU35" s="9" t="n">
        <v>0</v>
      </c>
      <c r="DY35" s="10" t="n">
        <v>46052</v>
      </c>
      <c r="EA35" s="9" t="n">
        <v>0</v>
      </c>
      <c r="EC35" s="9" t="n">
        <v>0</v>
      </c>
      <c r="ED35" s="9" t="n">
        <v>0</v>
      </c>
      <c r="EH35" s="10" t="n">
        <v>46052</v>
      </c>
      <c r="EJ35" s="9" t="n">
        <v>0</v>
      </c>
      <c r="EL35" s="9" t="n">
        <v>0</v>
      </c>
      <c r="EM35" s="9" t="n">
        <v>0</v>
      </c>
      <c r="EQ35" s="10" t="n">
        <v>46052</v>
      </c>
      <c r="ES35" s="9" t="n">
        <v>0</v>
      </c>
      <c r="EU35" s="9" t="n">
        <v>0</v>
      </c>
      <c r="EV35" s="9" t="n">
        <v>0</v>
      </c>
      <c r="EZ35" s="10" t="n">
        <v>46052</v>
      </c>
      <c r="FB35" s="9" t="n">
        <v>0</v>
      </c>
      <c r="FD35" s="9" t="n">
        <v>0</v>
      </c>
      <c r="FE35" s="9" t="n">
        <v>0</v>
      </c>
      <c r="FI35" s="10" t="n">
        <v>46052</v>
      </c>
      <c r="FK35" s="9" t="n">
        <v>0</v>
      </c>
      <c r="FM35" s="9" t="n">
        <v>0</v>
      </c>
      <c r="FN35" s="9" t="n">
        <v>0</v>
      </c>
      <c r="FR35" s="10" t="n">
        <v>46052</v>
      </c>
      <c r="FT35" s="9" t="n">
        <v>0</v>
      </c>
      <c r="FV35" s="9" t="n">
        <v>0</v>
      </c>
      <c r="FW35" s="9" t="n">
        <v>3540</v>
      </c>
      <c r="GA35" s="10" t="n">
        <v>46052</v>
      </c>
      <c r="GC35" s="9" t="n">
        <v>0</v>
      </c>
      <c r="GE35" s="9" t="n">
        <v>0</v>
      </c>
      <c r="GF35" s="9" t="n">
        <v>3960</v>
      </c>
      <c r="GJ35" s="10" t="n">
        <v>46052</v>
      </c>
      <c r="GL35" s="9" t="n">
        <v>320</v>
      </c>
      <c r="GM35" s="9" t="n">
        <v>1200</v>
      </c>
      <c r="GN35" s="9" t="n">
        <v>-880</v>
      </c>
      <c r="GO35" s="9" t="n">
        <v>3240</v>
      </c>
      <c r="GP35" s="9" t="n">
        <v>60</v>
      </c>
      <c r="GQ35" s="9" t="inlineStr">
        <is>
          <t>bags</t>
        </is>
      </c>
      <c r="GS35" s="10" t="n">
        <v>46052</v>
      </c>
      <c r="GU35" s="9" t="n">
        <v>0</v>
      </c>
      <c r="GW35" s="9" t="n">
        <v>0</v>
      </c>
      <c r="GX35" s="9" t="n">
        <v>0</v>
      </c>
      <c r="HB35" s="10" t="n">
        <v>46052</v>
      </c>
      <c r="HD35" s="9" t="n">
        <v>0</v>
      </c>
      <c r="HF35" s="9" t="n">
        <v>0</v>
      </c>
      <c r="HG35" s="9" t="n">
        <v>0</v>
      </c>
      <c r="HK35" s="10" t="n">
        <v>46052</v>
      </c>
      <c r="HM35" s="9" t="n">
        <v>0</v>
      </c>
      <c r="HO35" s="9" t="n">
        <v>0</v>
      </c>
      <c r="HP35" s="9" t="n">
        <v>0</v>
      </c>
      <c r="HU35" s="10" t="n">
        <v>46052</v>
      </c>
      <c r="HW35" s="9" t="n">
        <v>0</v>
      </c>
      <c r="HY35" s="9" t="n">
        <v>0</v>
      </c>
      <c r="HZ35" s="9" t="n">
        <v>5440</v>
      </c>
      <c r="ID35" s="10" t="n">
        <v>46052</v>
      </c>
      <c r="IF35" s="9" t="n">
        <v>0</v>
      </c>
      <c r="IH35" s="9" t="n">
        <v>0</v>
      </c>
      <c r="II35" s="9" t="n">
        <v>5100</v>
      </c>
      <c r="IM35" s="10" t="n">
        <v>46052</v>
      </c>
      <c r="IO35" s="9" t="n">
        <v>0</v>
      </c>
      <c r="IP35" s="9" t="n">
        <v>2400</v>
      </c>
      <c r="IQ35" s="9" t="n">
        <v>-2400</v>
      </c>
      <c r="IR35" s="9" t="n">
        <v>16240</v>
      </c>
      <c r="IS35" s="9" t="n">
        <v>120</v>
      </c>
      <c r="IT35" s="9" t="inlineStr">
        <is>
          <t>bags</t>
        </is>
      </c>
      <c r="IV35" s="10" t="n">
        <v>46052</v>
      </c>
      <c r="IW35" s="9" t="n">
        <v>2000</v>
      </c>
      <c r="IX35" s="9" t="n">
        <v>0</v>
      </c>
      <c r="IZ35" s="9" t="n">
        <v>0</v>
      </c>
      <c r="JA35" s="9" t="n">
        <v>13120</v>
      </c>
      <c r="JE35" s="10" t="n">
        <v>46052</v>
      </c>
      <c r="JG35" s="9" t="n">
        <v>0</v>
      </c>
      <c r="JI35" s="9" t="n">
        <v>0</v>
      </c>
      <c r="JJ35" s="9" t="n">
        <v>6800</v>
      </c>
      <c r="JN35" s="10" t="n">
        <v>46052</v>
      </c>
      <c r="JP35" s="9" t="n">
        <v>0</v>
      </c>
      <c r="JR35" s="9" t="n">
        <v>0</v>
      </c>
      <c r="JS35" s="9" t="n">
        <v>5400</v>
      </c>
      <c r="JW35" s="10" t="n">
        <v>46052</v>
      </c>
      <c r="JY35" s="9" t="n">
        <v>0</v>
      </c>
      <c r="KA35" s="9" t="n">
        <v>0</v>
      </c>
      <c r="KB35" s="9" t="n">
        <v>2260</v>
      </c>
      <c r="KF35" s="10" t="n">
        <v>46052</v>
      </c>
      <c r="KH35" s="9" t="n">
        <v>0</v>
      </c>
      <c r="KJ35" s="9" t="n">
        <v>0</v>
      </c>
      <c r="KK35" s="9" t="n">
        <v>0</v>
      </c>
      <c r="KO35" s="10" t="n">
        <v>46052</v>
      </c>
      <c r="KQ35" s="9" t="n">
        <v>0</v>
      </c>
      <c r="KS35" s="9" t="n">
        <v>0</v>
      </c>
      <c r="KT35" s="9" t="n">
        <v>0</v>
      </c>
      <c r="KX35" s="10" t="n">
        <v>46052</v>
      </c>
      <c r="KZ35" s="9" t="n">
        <v>0</v>
      </c>
      <c r="LB35" s="9" t="n">
        <v>0</v>
      </c>
      <c r="LC35" s="9" t="n">
        <v>0</v>
      </c>
      <c r="LG35" s="10" t="n">
        <v>46052</v>
      </c>
      <c r="LI35" s="9" t="n">
        <v>0</v>
      </c>
      <c r="LK35" s="9" t="n">
        <v>0</v>
      </c>
      <c r="LL35" s="9" t="n">
        <v>0</v>
      </c>
      <c r="LP35" s="10" t="n">
        <v>46052</v>
      </c>
      <c r="LR35" s="9" t="n">
        <v>0</v>
      </c>
      <c r="LT35" s="9" t="n">
        <v>0</v>
      </c>
      <c r="LU35" s="9" t="n">
        <v>0</v>
      </c>
      <c r="LY35" s="10" t="n">
        <v>46052</v>
      </c>
      <c r="MA35" s="9" t="n">
        <v>0</v>
      </c>
      <c r="MC35" s="9" t="n">
        <v>0</v>
      </c>
      <c r="MD35" s="9" t="n">
        <v>0</v>
      </c>
      <c r="MH35" s="10" t="n">
        <v>46052</v>
      </c>
      <c r="MJ35" s="9" t="n">
        <v>0</v>
      </c>
      <c r="ML35" s="9" t="n">
        <v>0</v>
      </c>
      <c r="MM35" s="9" t="n">
        <v>0</v>
      </c>
      <c r="MQ35" s="10" t="n">
        <v>46052</v>
      </c>
      <c r="MS35" s="9" t="n">
        <v>8</v>
      </c>
      <c r="MT35" s="9" t="n">
        <v>90</v>
      </c>
      <c r="MU35" s="9" t="n">
        <v>-82</v>
      </c>
      <c r="MV35" s="9" t="n">
        <v>1969</v>
      </c>
      <c r="MZ35" s="10" t="n">
        <v>46052</v>
      </c>
      <c r="NA35" s="9" t="n">
        <v>360</v>
      </c>
      <c r="NB35" s="9" t="n">
        <v>0</v>
      </c>
      <c r="NC35" s="9" t="n">
        <v>360</v>
      </c>
      <c r="ND35" s="9" t="n">
        <v>-360</v>
      </c>
      <c r="NE35" s="9" t="n">
        <v>0</v>
      </c>
      <c r="NI35" s="10" t="n">
        <v>46052</v>
      </c>
      <c r="NK35" s="9" t="n">
        <v>0</v>
      </c>
      <c r="NM35" s="9" t="n">
        <v>0</v>
      </c>
      <c r="NN35" s="9" t="n">
        <v>0</v>
      </c>
      <c r="NR35" s="10" t="n">
        <v>46052</v>
      </c>
      <c r="NT35" s="9" t="n">
        <v>0</v>
      </c>
      <c r="NV35" s="9" t="n">
        <v>0</v>
      </c>
      <c r="NW35" s="9" t="n">
        <v>0</v>
      </c>
      <c r="OA35" s="10" t="n">
        <v>46052</v>
      </c>
      <c r="OC35" s="9" t="n">
        <v>0</v>
      </c>
      <c r="OE35" s="9" t="n">
        <v>0</v>
      </c>
      <c r="OF35" s="9" t="n">
        <v>1680.5</v>
      </c>
      <c r="OJ35" s="10" t="n">
        <v>46052</v>
      </c>
      <c r="OL35" s="9" t="n">
        <v>0</v>
      </c>
      <c r="ON35" s="9" t="n">
        <v>0</v>
      </c>
      <c r="OO35" s="9" t="n">
        <v>0</v>
      </c>
      <c r="OS35" s="10" t="n">
        <v>46052</v>
      </c>
      <c r="OU35" s="9" t="n">
        <v>0</v>
      </c>
      <c r="OV35" s="9" t="n">
        <v>67</v>
      </c>
      <c r="OW35" s="9" t="n">
        <v>-67</v>
      </c>
      <c r="OX35" s="9" t="n">
        <v>0</v>
      </c>
      <c r="PB35" s="10" t="n">
        <v>46052</v>
      </c>
      <c r="PC35" s="9" t="n">
        <v>120</v>
      </c>
      <c r="PD35" s="9" t="n">
        <v>0</v>
      </c>
      <c r="PE35" s="9" t="n">
        <v>120</v>
      </c>
      <c r="PF35" s="9" t="n">
        <v>-120</v>
      </c>
      <c r="PG35" s="9" t="n">
        <v>0</v>
      </c>
      <c r="PK35" s="10" t="n">
        <v>46052</v>
      </c>
      <c r="PM35" s="9" t="n">
        <v>0</v>
      </c>
      <c r="PO35" s="9" t="n">
        <v>0</v>
      </c>
      <c r="PP35" s="9" t="n">
        <v>160</v>
      </c>
      <c r="PT35" s="10" t="n">
        <v>46052</v>
      </c>
      <c r="PV35" s="9" t="n">
        <v>0</v>
      </c>
      <c r="PX35" s="9" t="n">
        <v>0</v>
      </c>
      <c r="PY35" s="9" t="n">
        <v>13.96000000000004</v>
      </c>
      <c r="QC35" s="10" t="n">
        <v>46052</v>
      </c>
      <c r="QE35" s="9" t="n">
        <v>0</v>
      </c>
      <c r="QG35" s="9" t="n">
        <v>0</v>
      </c>
      <c r="QH35" s="9" t="n">
        <v>0</v>
      </c>
      <c r="QL35" s="10" t="n">
        <v>46052</v>
      </c>
      <c r="QN35" s="9" t="n">
        <v>0</v>
      </c>
      <c r="QP35" s="9" t="n">
        <v>0</v>
      </c>
      <c r="QQ35" s="9" t="n">
        <v>0</v>
      </c>
      <c r="QU35" s="10" t="n">
        <v>46052</v>
      </c>
      <c r="QW35" s="9" t="n">
        <v>0</v>
      </c>
      <c r="QY35" s="9" t="n">
        <v>0</v>
      </c>
      <c r="QZ35" s="9" t="n">
        <v>207.6</v>
      </c>
      <c r="RD35" s="10" t="n">
        <v>46052</v>
      </c>
      <c r="RF35" s="9" t="n">
        <v>0</v>
      </c>
      <c r="RH35" s="9" t="n">
        <v>0</v>
      </c>
      <c r="RI35" s="9" t="n">
        <v>201.8</v>
      </c>
      <c r="RM35" s="10" t="n">
        <v>46052</v>
      </c>
      <c r="RO35" s="9" t="n">
        <v>0</v>
      </c>
      <c r="RQ35" s="9" t="n">
        <v>0</v>
      </c>
      <c r="RR35" s="9" t="n">
        <v>22.72</v>
      </c>
      <c r="RV35" s="10" t="n">
        <v>46052</v>
      </c>
      <c r="RX35" s="9" t="n">
        <v>0</v>
      </c>
      <c r="RZ35" s="9" t="n">
        <v>0</v>
      </c>
      <c r="SA35" s="9" t="n">
        <v>0</v>
      </c>
      <c r="SE35" s="10" t="n">
        <v>46052</v>
      </c>
      <c r="SG35" s="9" t="n">
        <v>0</v>
      </c>
      <c r="SI35" s="9" t="n">
        <v>0</v>
      </c>
      <c r="SJ35" s="9" t="n">
        <v>0</v>
      </c>
      <c r="SN35" s="10" t="n">
        <v>46052</v>
      </c>
      <c r="SP35" s="9" t="n">
        <v>0</v>
      </c>
      <c r="SR35" s="9" t="n">
        <v>0</v>
      </c>
      <c r="SS35" s="9" t="n">
        <v>0</v>
      </c>
      <c r="SW35" s="10" t="n">
        <v>46052</v>
      </c>
      <c r="SY35" s="9" t="n">
        <v>0</v>
      </c>
      <c r="TA35" s="9" t="n">
        <v>0</v>
      </c>
      <c r="TB35" s="9" t="n">
        <v>270</v>
      </c>
      <c r="TF35" s="10" t="n">
        <v>46052</v>
      </c>
      <c r="TH35" s="9" t="n">
        <v>0</v>
      </c>
      <c r="TJ35" s="9" t="n">
        <v>0</v>
      </c>
      <c r="TK35" s="9" t="n">
        <v>0</v>
      </c>
      <c r="TO35" s="10" t="n">
        <v>46052</v>
      </c>
      <c r="TQ35" s="9" t="n">
        <v>0</v>
      </c>
      <c r="TS35" s="9" t="n">
        <v>0</v>
      </c>
      <c r="TT35" s="9" t="n">
        <v>0</v>
      </c>
      <c r="TX35" s="10" t="n">
        <v>46052</v>
      </c>
      <c r="TZ35" s="9" t="n">
        <v>0</v>
      </c>
      <c r="UB35" s="9" t="n">
        <v>0</v>
      </c>
      <c r="UC35" s="9" t="n">
        <v>0</v>
      </c>
      <c r="UG35" s="10" t="n">
        <v>46052</v>
      </c>
      <c r="UI35" s="9" t="n">
        <v>0</v>
      </c>
      <c r="UK35" s="9" t="n">
        <v>0</v>
      </c>
      <c r="UL35" s="9" t="n">
        <v>0</v>
      </c>
      <c r="UP35" s="10" t="n">
        <v>46052</v>
      </c>
      <c r="UR35" s="9" t="n">
        <v>0</v>
      </c>
      <c r="UT35" s="9" t="n">
        <v>0</v>
      </c>
      <c r="UU35" s="9" t="n">
        <v>0</v>
      </c>
      <c r="UY35" s="10" t="n">
        <v>46052</v>
      </c>
      <c r="VA35" s="9" t="n">
        <v>0</v>
      </c>
      <c r="VC35" s="9" t="n">
        <v>0</v>
      </c>
      <c r="VD35" s="9" t="n">
        <v>41.60000000000002</v>
      </c>
      <c r="VH35" s="10" t="n">
        <v>46052</v>
      </c>
      <c r="VJ35" s="9" t="n">
        <v>0</v>
      </c>
      <c r="VL35" s="9" t="n">
        <v>0</v>
      </c>
      <c r="VM35" s="9" t="n">
        <v>0</v>
      </c>
      <c r="VQ35" s="10" t="n">
        <v>46052</v>
      </c>
      <c r="VS35" s="9" t="n">
        <v>0</v>
      </c>
      <c r="VU35" s="9" t="n">
        <v>0</v>
      </c>
      <c r="VV35" s="9" t="n">
        <v>0</v>
      </c>
      <c r="VZ35" s="10" t="n">
        <v>46052</v>
      </c>
      <c r="WB35" s="9" t="n">
        <v>0</v>
      </c>
      <c r="WD35" s="9" t="n">
        <v>0</v>
      </c>
      <c r="WE35" s="9" t="n">
        <v>0</v>
      </c>
      <c r="WI35" s="10" t="n">
        <v>46052</v>
      </c>
      <c r="WK35" s="9" t="n">
        <v>0</v>
      </c>
      <c r="WM35" s="9" t="n">
        <v>0</v>
      </c>
      <c r="WN35" s="9" t="n">
        <v>9609</v>
      </c>
      <c r="WR35" s="10" t="n">
        <v>46052</v>
      </c>
      <c r="WT35" s="9" t="n">
        <v>0</v>
      </c>
      <c r="WV35" s="9" t="n">
        <v>0</v>
      </c>
      <c r="WW35" s="9" t="n">
        <v>8149</v>
      </c>
      <c r="XA35" s="10" t="n">
        <v>46052</v>
      </c>
      <c r="XC35" s="9" t="n">
        <v>0</v>
      </c>
      <c r="XD35" s="9" t="n">
        <v>323</v>
      </c>
      <c r="XE35" s="9" t="n">
        <v>-323</v>
      </c>
      <c r="XF35" s="9" t="n">
        <v>1513</v>
      </c>
      <c r="XJ35" s="10" t="n">
        <v>46052</v>
      </c>
      <c r="XL35" s="9" t="n">
        <v>0</v>
      </c>
      <c r="XN35" s="9" t="n">
        <v>0</v>
      </c>
      <c r="XO35" s="9" t="n">
        <v>6240</v>
      </c>
      <c r="XS35" s="10" t="n">
        <v>46052</v>
      </c>
      <c r="XU35" s="9" t="n">
        <v>0</v>
      </c>
      <c r="XW35" s="9" t="n">
        <v>0</v>
      </c>
      <c r="XX35" s="9" t="n">
        <v>1901</v>
      </c>
      <c r="YB35" s="10" t="n">
        <v>46052</v>
      </c>
      <c r="YD35" s="9" t="n">
        <v>0</v>
      </c>
      <c r="YF35" s="9" t="n">
        <v>0</v>
      </c>
      <c r="YG35" s="9" t="n">
        <v>1885</v>
      </c>
      <c r="YK35" s="10" t="n">
        <v>46052</v>
      </c>
      <c r="YM35" s="9" t="n">
        <v>0</v>
      </c>
      <c r="YO35" s="9" t="n">
        <v>0</v>
      </c>
      <c r="YP35" s="9" t="n">
        <v>0</v>
      </c>
      <c r="YT35" s="10" t="n">
        <v>46052</v>
      </c>
      <c r="YV35" s="9" t="n">
        <v>0</v>
      </c>
      <c r="YX35" s="9" t="n">
        <v>0</v>
      </c>
      <c r="YY35" s="9" t="n">
        <v>0</v>
      </c>
      <c r="ZC35" s="10" t="n">
        <v>46052</v>
      </c>
      <c r="ZE35" s="9" t="n">
        <v>0</v>
      </c>
      <c r="ZG35" s="9" t="n">
        <v>0</v>
      </c>
      <c r="ZH35" s="9" t="n">
        <v>0</v>
      </c>
      <c r="ZL35" s="10" t="n">
        <v>46052</v>
      </c>
      <c r="ZN35" s="9" t="n">
        <v>0</v>
      </c>
      <c r="ZP35" s="9" t="n">
        <v>0</v>
      </c>
      <c r="ZQ35" s="9" t="n">
        <v>0</v>
      </c>
      <c r="ZU35" s="10" t="n">
        <v>46052</v>
      </c>
      <c r="ZW35" s="9" t="n">
        <v>0</v>
      </c>
      <c r="ZY35" s="9" t="n">
        <v>0</v>
      </c>
      <c r="ZZ35" s="9" t="n">
        <v>0</v>
      </c>
      <c r="AAD35" s="10" t="n">
        <v>46052</v>
      </c>
      <c r="AAF35" s="9" t="n">
        <v>0</v>
      </c>
      <c r="AAH35" s="9" t="n">
        <v>0</v>
      </c>
      <c r="AAI35" s="9" t="n">
        <v>0</v>
      </c>
      <c r="AAM35" s="10" t="n">
        <v>46052</v>
      </c>
      <c r="AAO35" s="9" t="n">
        <v>0</v>
      </c>
      <c r="AAQ35" s="9" t="n">
        <v>0</v>
      </c>
      <c r="AAR35" s="9" t="n">
        <v>0</v>
      </c>
      <c r="AAV35" s="10" t="n">
        <v>46052</v>
      </c>
      <c r="AAX35" s="9" t="n">
        <v>0</v>
      </c>
      <c r="AAZ35" s="9" t="n">
        <v>0</v>
      </c>
      <c r="ABA35" s="9" t="n">
        <v>0</v>
      </c>
      <c r="ABE35" s="10" t="n">
        <v>46052</v>
      </c>
      <c r="ABG35" s="9" t="n">
        <v>0</v>
      </c>
      <c r="ABI35" s="9" t="n">
        <v>0</v>
      </c>
      <c r="ABJ35" s="9" t="n">
        <v>0</v>
      </c>
    </row>
    <row r="36">
      <c r="B36" s="9" t="n">
        <v>70</v>
      </c>
      <c r="C36" s="10" t="n">
        <v>46053</v>
      </c>
      <c r="D36" s="9" t="n">
        <v>137620</v>
      </c>
      <c r="E36" s="9" t="n">
        <v>40325</v>
      </c>
      <c r="F36" s="9" t="n">
        <v>40329.6</v>
      </c>
      <c r="G36" s="9" t="n">
        <v>-4.599999999998545</v>
      </c>
      <c r="H36" s="9" t="n">
        <v>241788.2</v>
      </c>
      <c r="I36" s="9" t="inlineStr">
        <is>
          <t>8102 40mt, 1103 30mt</t>
        </is>
      </c>
      <c r="L36" s="10" t="n">
        <v>46053</v>
      </c>
      <c r="M36" s="9" t="n">
        <v>25540</v>
      </c>
      <c r="N36" s="9" t="n">
        <v>15255</v>
      </c>
      <c r="O36" s="9" t="n">
        <v>15257.6</v>
      </c>
      <c r="P36" s="9" t="n">
        <v>-2.600000000002183</v>
      </c>
      <c r="Q36" s="9" t="n">
        <v>48748.2</v>
      </c>
      <c r="U36" s="10" t="n">
        <v>46053</v>
      </c>
      <c r="W36" s="9" t="n">
        <v>4400</v>
      </c>
      <c r="X36" s="9" t="n">
        <v>4400.6</v>
      </c>
      <c r="Y36" s="9" t="n">
        <v>-0.6000000000003638</v>
      </c>
      <c r="Z36" s="9" t="n">
        <v>49884.99999999999</v>
      </c>
      <c r="AD36" s="10" t="n">
        <v>46053</v>
      </c>
      <c r="AF36" s="9" t="n">
        <v>4100</v>
      </c>
      <c r="AG36" s="9" t="n">
        <v>4101.7</v>
      </c>
      <c r="AH36" s="9" t="n">
        <v>-1.699999999999818</v>
      </c>
      <c r="AI36" s="9" t="n">
        <v>52772.20000000001</v>
      </c>
      <c r="AM36" s="10" t="n">
        <v>46053</v>
      </c>
      <c r="AO36" s="9" t="n">
        <v>0</v>
      </c>
      <c r="AQ36" s="9" t="n">
        <v>0</v>
      </c>
      <c r="AR36" s="9" t="n">
        <v>0</v>
      </c>
      <c r="AV36" s="10" t="n">
        <v>46053</v>
      </c>
      <c r="AX36" s="9" t="n">
        <v>1265</v>
      </c>
      <c r="AY36" s="9" t="n">
        <v>1266</v>
      </c>
      <c r="AZ36" s="9" t="n">
        <v>-1</v>
      </c>
      <c r="BA36" s="9" t="n">
        <v>34316.69999999999</v>
      </c>
      <c r="BE36" s="10" t="n">
        <v>46053</v>
      </c>
      <c r="BG36" s="9" t="n">
        <v>1550</v>
      </c>
      <c r="BH36" s="9" t="n">
        <v>1551.5</v>
      </c>
      <c r="BI36" s="9" t="n">
        <v>-1.5</v>
      </c>
      <c r="BJ36" s="9" t="n">
        <v>21924.10000000001</v>
      </c>
      <c r="BN36" s="10" t="n">
        <v>46053</v>
      </c>
      <c r="BO36" s="9" t="n">
        <v>1550</v>
      </c>
      <c r="BP36" s="9" t="n">
        <v>1550</v>
      </c>
      <c r="BQ36" s="9" t="n">
        <v>1550</v>
      </c>
      <c r="BR36" s="9" t="n">
        <v>0</v>
      </c>
      <c r="BS36" s="9" t="n">
        <v>0</v>
      </c>
      <c r="BW36" s="10" t="n">
        <v>46053</v>
      </c>
      <c r="BY36" s="9" t="n">
        <v>0</v>
      </c>
      <c r="CA36" s="9" t="n">
        <v>0</v>
      </c>
      <c r="CB36" s="9" t="n">
        <v>3284.5</v>
      </c>
      <c r="CF36" s="10" t="n">
        <v>46053</v>
      </c>
      <c r="CH36" s="9" t="n">
        <v>0</v>
      </c>
      <c r="CJ36" s="9" t="n">
        <v>0</v>
      </c>
      <c r="CK36" s="9" t="n">
        <v>0</v>
      </c>
      <c r="CO36" s="10" t="n">
        <v>46053</v>
      </c>
      <c r="CQ36" s="9" t="n">
        <v>0</v>
      </c>
      <c r="CS36" s="9" t="n">
        <v>0</v>
      </c>
      <c r="CT36" s="9" t="n">
        <v>0</v>
      </c>
      <c r="CX36" s="10" t="n">
        <v>46053</v>
      </c>
      <c r="CZ36" s="9" t="n">
        <v>0</v>
      </c>
      <c r="DB36" s="9" t="n">
        <v>0</v>
      </c>
      <c r="DC36" s="9" t="n">
        <v>0</v>
      </c>
      <c r="DG36" s="10" t="n">
        <v>46053</v>
      </c>
      <c r="DI36" s="9" t="n">
        <v>0</v>
      </c>
      <c r="DK36" s="9" t="n">
        <v>0</v>
      </c>
      <c r="DL36" s="9" t="n">
        <v>22172.8</v>
      </c>
      <c r="DP36" s="10" t="n">
        <v>46053</v>
      </c>
      <c r="DR36" s="9" t="n">
        <v>0</v>
      </c>
      <c r="DT36" s="9" t="n">
        <v>0</v>
      </c>
      <c r="DU36" s="9" t="n">
        <v>0</v>
      </c>
      <c r="DY36" s="10" t="n">
        <v>46053</v>
      </c>
      <c r="EA36" s="9" t="n">
        <v>0</v>
      </c>
      <c r="EC36" s="9" t="n">
        <v>0</v>
      </c>
      <c r="ED36" s="9" t="n">
        <v>0</v>
      </c>
      <c r="EH36" s="10" t="n">
        <v>46053</v>
      </c>
      <c r="EJ36" s="9" t="n">
        <v>0</v>
      </c>
      <c r="EL36" s="9" t="n">
        <v>0</v>
      </c>
      <c r="EM36" s="9" t="n">
        <v>0</v>
      </c>
      <c r="EQ36" s="10" t="n">
        <v>46053</v>
      </c>
      <c r="ES36" s="9" t="n">
        <v>0</v>
      </c>
      <c r="EU36" s="9" t="n">
        <v>0</v>
      </c>
      <c r="EV36" s="9" t="n">
        <v>0</v>
      </c>
      <c r="EZ36" s="10" t="n">
        <v>46053</v>
      </c>
      <c r="FB36" s="9" t="n">
        <v>0</v>
      </c>
      <c r="FD36" s="9" t="n">
        <v>0</v>
      </c>
      <c r="FE36" s="9" t="n">
        <v>0</v>
      </c>
      <c r="FI36" s="10" t="n">
        <v>46053</v>
      </c>
      <c r="FK36" s="9" t="n">
        <v>0</v>
      </c>
      <c r="FM36" s="9" t="n">
        <v>0</v>
      </c>
      <c r="FN36" s="9" t="n">
        <v>0</v>
      </c>
      <c r="FR36" s="10" t="n">
        <v>46053</v>
      </c>
      <c r="FT36" s="9" t="n">
        <v>0</v>
      </c>
      <c r="FV36" s="9" t="n">
        <v>0</v>
      </c>
      <c r="FW36" s="9" t="n">
        <v>3540</v>
      </c>
      <c r="GA36" s="10" t="n">
        <v>46053</v>
      </c>
      <c r="GC36" s="9" t="n">
        <v>0</v>
      </c>
      <c r="GE36" s="9" t="n">
        <v>0</v>
      </c>
      <c r="GF36" s="9" t="n">
        <v>3960</v>
      </c>
      <c r="GJ36" s="10" t="n">
        <v>46053</v>
      </c>
      <c r="GL36" s="9" t="n">
        <v>600</v>
      </c>
      <c r="GN36" s="9" t="n">
        <v>600</v>
      </c>
      <c r="GO36" s="9" t="n">
        <v>3240</v>
      </c>
      <c r="GS36" s="10" t="n">
        <v>46053</v>
      </c>
      <c r="GU36" s="9" t="n">
        <v>0</v>
      </c>
      <c r="GW36" s="9" t="n">
        <v>0</v>
      </c>
      <c r="GX36" s="9" t="n">
        <v>0</v>
      </c>
      <c r="HB36" s="10" t="n">
        <v>46053</v>
      </c>
      <c r="HD36" s="9" t="n">
        <v>0</v>
      </c>
      <c r="HF36" s="9" t="n">
        <v>0</v>
      </c>
      <c r="HG36" s="9" t="n">
        <v>0</v>
      </c>
      <c r="HK36" s="10" t="n">
        <v>46053</v>
      </c>
      <c r="HM36" s="9" t="n">
        <v>0</v>
      </c>
      <c r="HO36" s="9" t="n">
        <v>0</v>
      </c>
      <c r="HP36" s="9" t="n">
        <v>0</v>
      </c>
      <c r="HU36" s="10" t="n">
        <v>46053</v>
      </c>
      <c r="HW36" s="9" t="n">
        <v>0</v>
      </c>
      <c r="HY36" s="9" t="n">
        <v>0</v>
      </c>
      <c r="HZ36" s="9" t="n">
        <v>5440</v>
      </c>
      <c r="ID36" s="10" t="n">
        <v>46053</v>
      </c>
      <c r="IF36" s="9" t="n">
        <v>0</v>
      </c>
      <c r="IH36" s="9" t="n">
        <v>0</v>
      </c>
      <c r="II36" s="9" t="n">
        <v>5100</v>
      </c>
      <c r="IM36" s="10" t="n">
        <v>46053</v>
      </c>
      <c r="IO36" s="9" t="n">
        <v>800</v>
      </c>
      <c r="IQ36" s="9" t="n">
        <v>800</v>
      </c>
      <c r="IR36" s="9" t="n">
        <v>16240</v>
      </c>
      <c r="IV36" s="10" t="n">
        <v>46053</v>
      </c>
      <c r="IX36" s="9" t="n">
        <v>0</v>
      </c>
      <c r="IZ36" s="9" t="n">
        <v>0</v>
      </c>
      <c r="JA36" s="9" t="n">
        <v>13120</v>
      </c>
      <c r="JE36" s="10" t="n">
        <v>46053</v>
      </c>
      <c r="JG36" s="9" t="n">
        <v>0</v>
      </c>
      <c r="JI36" s="9" t="n">
        <v>0</v>
      </c>
      <c r="JJ36" s="9" t="n">
        <v>6800</v>
      </c>
      <c r="JN36" s="10" t="n">
        <v>46053</v>
      </c>
      <c r="JP36" s="9" t="n">
        <v>0</v>
      </c>
      <c r="JR36" s="9" t="n">
        <v>0</v>
      </c>
      <c r="JS36" s="9" t="n">
        <v>5400</v>
      </c>
      <c r="JW36" s="10" t="n">
        <v>46053</v>
      </c>
      <c r="JY36" s="9" t="n">
        <v>0</v>
      </c>
      <c r="KA36" s="9" t="n">
        <v>0</v>
      </c>
      <c r="KB36" s="9" t="n">
        <v>2260</v>
      </c>
      <c r="KF36" s="10" t="n">
        <v>46053</v>
      </c>
      <c r="KH36" s="9" t="n">
        <v>0</v>
      </c>
      <c r="KJ36" s="9" t="n">
        <v>0</v>
      </c>
      <c r="KK36" s="9" t="n">
        <v>0</v>
      </c>
      <c r="KO36" s="10" t="n">
        <v>46053</v>
      </c>
      <c r="KQ36" s="9" t="n">
        <v>0</v>
      </c>
      <c r="KS36" s="9" t="n">
        <v>0</v>
      </c>
      <c r="KT36" s="9" t="n">
        <v>0</v>
      </c>
      <c r="KX36" s="10" t="n">
        <v>46053</v>
      </c>
      <c r="KZ36" s="9" t="n">
        <v>0</v>
      </c>
      <c r="LB36" s="9" t="n">
        <v>0</v>
      </c>
      <c r="LC36" s="9" t="n">
        <v>0</v>
      </c>
      <c r="LG36" s="10" t="n">
        <v>46053</v>
      </c>
      <c r="LI36" s="9" t="n">
        <v>0</v>
      </c>
      <c r="LK36" s="9" t="n">
        <v>0</v>
      </c>
      <c r="LL36" s="9" t="n">
        <v>0</v>
      </c>
      <c r="LP36" s="10" t="n">
        <v>46053</v>
      </c>
      <c r="LR36" s="9" t="n">
        <v>0</v>
      </c>
      <c r="LT36" s="9" t="n">
        <v>0</v>
      </c>
      <c r="LU36" s="9" t="n">
        <v>0</v>
      </c>
      <c r="LY36" s="10" t="n">
        <v>46053</v>
      </c>
      <c r="MA36" s="9" t="n">
        <v>0</v>
      </c>
      <c r="MC36" s="9" t="n">
        <v>0</v>
      </c>
      <c r="MD36" s="9" t="n">
        <v>0</v>
      </c>
      <c r="MH36" s="10" t="n">
        <v>46053</v>
      </c>
      <c r="MJ36" s="9" t="n">
        <v>0</v>
      </c>
      <c r="ML36" s="9" t="n">
        <v>0</v>
      </c>
      <c r="MM36" s="9" t="n">
        <v>0</v>
      </c>
      <c r="MQ36" s="10" t="n">
        <v>46053</v>
      </c>
      <c r="MS36" s="9" t="n">
        <v>35</v>
      </c>
      <c r="MU36" s="9" t="n">
        <v>35</v>
      </c>
      <c r="MV36" s="9" t="n">
        <v>1969</v>
      </c>
      <c r="MZ36" s="10" t="n">
        <v>46053</v>
      </c>
      <c r="NB36" s="9" t="n">
        <v>120</v>
      </c>
      <c r="ND36" s="9" t="n">
        <v>120</v>
      </c>
      <c r="NE36" s="9" t="n">
        <v>0</v>
      </c>
      <c r="NI36" s="10" t="n">
        <v>46053</v>
      </c>
      <c r="NK36" s="9" t="n">
        <v>0</v>
      </c>
      <c r="NM36" s="9" t="n">
        <v>0</v>
      </c>
      <c r="NN36" s="9" t="n">
        <v>0</v>
      </c>
      <c r="NR36" s="10" t="n">
        <v>46053</v>
      </c>
      <c r="NT36" s="9" t="n">
        <v>0</v>
      </c>
      <c r="NV36" s="9" t="n">
        <v>0</v>
      </c>
      <c r="NW36" s="9" t="n">
        <v>0</v>
      </c>
      <c r="OA36" s="10" t="n">
        <v>46053</v>
      </c>
      <c r="OC36" s="9" t="n">
        <v>0</v>
      </c>
      <c r="OE36" s="9" t="n">
        <v>0</v>
      </c>
      <c r="OF36" s="9" t="n">
        <v>1680.5</v>
      </c>
      <c r="OJ36" s="10" t="n">
        <v>46053</v>
      </c>
      <c r="OL36" s="9" t="n">
        <v>0</v>
      </c>
      <c r="ON36" s="9" t="n">
        <v>0</v>
      </c>
      <c r="OO36" s="9" t="n">
        <v>0</v>
      </c>
      <c r="OS36" s="10" t="n">
        <v>46053</v>
      </c>
      <c r="OU36" s="9" t="n">
        <v>0</v>
      </c>
      <c r="OW36" s="9" t="n">
        <v>0</v>
      </c>
      <c r="OX36" s="9" t="n">
        <v>0</v>
      </c>
      <c r="PB36" s="10" t="n">
        <v>46053</v>
      </c>
      <c r="PD36" s="9" t="n">
        <v>0</v>
      </c>
      <c r="PF36" s="9" t="n">
        <v>0</v>
      </c>
      <c r="PG36" s="9" t="n">
        <v>0</v>
      </c>
      <c r="PK36" s="10" t="n">
        <v>46053</v>
      </c>
      <c r="PM36" s="9" t="n">
        <v>0</v>
      </c>
      <c r="PO36" s="9" t="n">
        <v>0</v>
      </c>
      <c r="PP36" s="9" t="n">
        <v>160</v>
      </c>
      <c r="PT36" s="10" t="n">
        <v>46053</v>
      </c>
      <c r="PV36" s="9" t="n">
        <v>0</v>
      </c>
      <c r="PX36" s="9" t="n">
        <v>0</v>
      </c>
      <c r="PY36" s="9" t="n">
        <v>13.96000000000004</v>
      </c>
      <c r="QC36" s="10" t="n">
        <v>46053</v>
      </c>
      <c r="QE36" s="9" t="n">
        <v>0</v>
      </c>
      <c r="QG36" s="9" t="n">
        <v>0</v>
      </c>
      <c r="QH36" s="9" t="n">
        <v>0</v>
      </c>
      <c r="QL36" s="10" t="n">
        <v>46053</v>
      </c>
      <c r="QN36" s="9" t="n">
        <v>0</v>
      </c>
      <c r="QP36" s="9" t="n">
        <v>0</v>
      </c>
      <c r="QQ36" s="9" t="n">
        <v>0</v>
      </c>
      <c r="QU36" s="10" t="n">
        <v>46053</v>
      </c>
      <c r="QW36" s="9" t="n">
        <v>0</v>
      </c>
      <c r="QY36" s="9" t="n">
        <v>0</v>
      </c>
      <c r="QZ36" s="9" t="n">
        <v>207.6</v>
      </c>
      <c r="RD36" s="10" t="n">
        <v>46053</v>
      </c>
      <c r="RF36" s="9" t="n">
        <v>0</v>
      </c>
      <c r="RH36" s="9" t="n">
        <v>0</v>
      </c>
      <c r="RI36" s="9" t="n">
        <v>201.8</v>
      </c>
      <c r="RM36" s="10" t="n">
        <v>46053</v>
      </c>
      <c r="RO36" s="9" t="n">
        <v>0</v>
      </c>
      <c r="RQ36" s="9" t="n">
        <v>0</v>
      </c>
      <c r="RR36" s="9" t="n">
        <v>22.72</v>
      </c>
      <c r="RV36" s="10" t="n">
        <v>46053</v>
      </c>
      <c r="RX36" s="9" t="n">
        <v>0</v>
      </c>
      <c r="RZ36" s="9" t="n">
        <v>0</v>
      </c>
      <c r="SA36" s="9" t="n">
        <v>0</v>
      </c>
      <c r="SE36" s="10" t="n">
        <v>46053</v>
      </c>
      <c r="SG36" s="9" t="n">
        <v>0</v>
      </c>
      <c r="SI36" s="9" t="n">
        <v>0</v>
      </c>
      <c r="SJ36" s="9" t="n">
        <v>0</v>
      </c>
      <c r="SN36" s="10" t="n">
        <v>46053</v>
      </c>
      <c r="SP36" s="9" t="n">
        <v>0</v>
      </c>
      <c r="SR36" s="9" t="n">
        <v>0</v>
      </c>
      <c r="SS36" s="9" t="n">
        <v>0</v>
      </c>
      <c r="SW36" s="10" t="n">
        <v>46053</v>
      </c>
      <c r="SY36" s="9" t="n">
        <v>0</v>
      </c>
      <c r="TA36" s="9" t="n">
        <v>0</v>
      </c>
      <c r="TB36" s="9" t="n">
        <v>270</v>
      </c>
      <c r="TF36" s="10" t="n">
        <v>46053</v>
      </c>
      <c r="TH36" s="9" t="n">
        <v>0</v>
      </c>
      <c r="TJ36" s="9" t="n">
        <v>0</v>
      </c>
      <c r="TK36" s="9" t="n">
        <v>0</v>
      </c>
      <c r="TO36" s="10" t="n">
        <v>46053</v>
      </c>
      <c r="TQ36" s="9" t="n">
        <v>0</v>
      </c>
      <c r="TS36" s="9" t="n">
        <v>0</v>
      </c>
      <c r="TT36" s="9" t="n">
        <v>0</v>
      </c>
      <c r="TX36" s="10" t="n">
        <v>46053</v>
      </c>
      <c r="TZ36" s="9" t="n">
        <v>0</v>
      </c>
      <c r="UB36" s="9" t="n">
        <v>0</v>
      </c>
      <c r="UC36" s="9" t="n">
        <v>0</v>
      </c>
      <c r="UG36" s="10" t="n">
        <v>46053</v>
      </c>
      <c r="UI36" s="9" t="n">
        <v>0</v>
      </c>
      <c r="UK36" s="9" t="n">
        <v>0</v>
      </c>
      <c r="UL36" s="9" t="n">
        <v>0</v>
      </c>
      <c r="UP36" s="10" t="n">
        <v>46053</v>
      </c>
      <c r="UR36" s="9" t="n">
        <v>0</v>
      </c>
      <c r="UT36" s="9" t="n">
        <v>0</v>
      </c>
      <c r="UU36" s="9" t="n">
        <v>0</v>
      </c>
      <c r="UY36" s="10" t="n">
        <v>46053</v>
      </c>
      <c r="VA36" s="9" t="n">
        <v>0</v>
      </c>
      <c r="VC36" s="9" t="n">
        <v>0</v>
      </c>
      <c r="VD36" s="9" t="n">
        <v>41.60000000000002</v>
      </c>
      <c r="VH36" s="10" t="n">
        <v>46053</v>
      </c>
      <c r="VJ36" s="9" t="n">
        <v>0</v>
      </c>
      <c r="VL36" s="9" t="n">
        <v>0</v>
      </c>
      <c r="VM36" s="9" t="n">
        <v>0</v>
      </c>
      <c r="VQ36" s="10" t="n">
        <v>46053</v>
      </c>
      <c r="VS36" s="9" t="n">
        <v>0</v>
      </c>
      <c r="VU36" s="9" t="n">
        <v>0</v>
      </c>
      <c r="VV36" s="9" t="n">
        <v>0</v>
      </c>
      <c r="VZ36" s="10" t="n">
        <v>46053</v>
      </c>
      <c r="WB36" s="9" t="n">
        <v>0</v>
      </c>
      <c r="WD36" s="9" t="n">
        <v>0</v>
      </c>
      <c r="WE36" s="9" t="n">
        <v>0</v>
      </c>
      <c r="WI36" s="10" t="n">
        <v>46053</v>
      </c>
      <c r="WK36" s="9" t="n">
        <v>0</v>
      </c>
      <c r="WM36" s="9" t="n">
        <v>0</v>
      </c>
      <c r="WN36" s="9" t="n">
        <v>9609</v>
      </c>
      <c r="WR36" s="10" t="n">
        <v>46053</v>
      </c>
      <c r="WT36" s="9" t="n">
        <v>0</v>
      </c>
      <c r="WV36" s="9" t="n">
        <v>0</v>
      </c>
      <c r="WW36" s="9" t="n">
        <v>8149</v>
      </c>
      <c r="XA36" s="10" t="n">
        <v>46053</v>
      </c>
      <c r="XC36" s="9" t="n">
        <v>0</v>
      </c>
      <c r="XD36" s="9" t="n">
        <v>602</v>
      </c>
      <c r="XE36" s="9" t="n">
        <v>-602</v>
      </c>
      <c r="XF36" s="9" t="n">
        <v>911</v>
      </c>
      <c r="XJ36" s="10" t="n">
        <v>46053</v>
      </c>
      <c r="XL36" s="9" t="n">
        <v>0</v>
      </c>
      <c r="XN36" s="9" t="n">
        <v>0</v>
      </c>
      <c r="XO36" s="9" t="n">
        <v>6240</v>
      </c>
      <c r="XS36" s="10" t="n">
        <v>46053</v>
      </c>
      <c r="XU36" s="9" t="n">
        <v>0</v>
      </c>
      <c r="XW36" s="9" t="n">
        <v>0</v>
      </c>
      <c r="XX36" s="9" t="n">
        <v>1901</v>
      </c>
      <c r="YB36" s="10" t="n">
        <v>46053</v>
      </c>
      <c r="YD36" s="9" t="n">
        <v>0</v>
      </c>
      <c r="YF36" s="9" t="n">
        <v>0</v>
      </c>
      <c r="YG36" s="9" t="n">
        <v>1885</v>
      </c>
      <c r="YK36" s="10" t="n">
        <v>46053</v>
      </c>
      <c r="YM36" s="9" t="n">
        <v>0</v>
      </c>
      <c r="YO36" s="9" t="n">
        <v>0</v>
      </c>
      <c r="YP36" s="9" t="n">
        <v>0</v>
      </c>
      <c r="YT36" s="10" t="n">
        <v>46053</v>
      </c>
      <c r="YV36" s="9" t="n">
        <v>0</v>
      </c>
      <c r="YX36" s="9" t="n">
        <v>0</v>
      </c>
      <c r="YY36" s="9" t="n">
        <v>0</v>
      </c>
      <c r="ZC36" s="10" t="n">
        <v>46053</v>
      </c>
      <c r="ZE36" s="9" t="n">
        <v>0</v>
      </c>
      <c r="ZG36" s="9" t="n">
        <v>0</v>
      </c>
      <c r="ZH36" s="9" t="n">
        <v>0</v>
      </c>
      <c r="ZL36" s="10" t="n">
        <v>46053</v>
      </c>
      <c r="ZN36" s="9" t="n">
        <v>0</v>
      </c>
      <c r="ZP36" s="9" t="n">
        <v>0</v>
      </c>
      <c r="ZQ36" s="9" t="n">
        <v>0</v>
      </c>
      <c r="ZU36" s="10" t="n">
        <v>46053</v>
      </c>
      <c r="ZW36" s="9" t="n">
        <v>0</v>
      </c>
      <c r="ZY36" s="9" t="n">
        <v>0</v>
      </c>
      <c r="ZZ36" s="9" t="n">
        <v>0</v>
      </c>
      <c r="AAD36" s="10" t="n">
        <v>46053</v>
      </c>
      <c r="AAF36" s="9" t="n">
        <v>0</v>
      </c>
      <c r="AAH36" s="9" t="n">
        <v>0</v>
      </c>
      <c r="AAI36" s="9" t="n">
        <v>0</v>
      </c>
      <c r="AAM36" s="10" t="n">
        <v>46053</v>
      </c>
      <c r="AAO36" s="9" t="n">
        <v>0</v>
      </c>
      <c r="AAQ36" s="9" t="n">
        <v>0</v>
      </c>
      <c r="AAR36" s="9" t="n">
        <v>0</v>
      </c>
      <c r="AAV36" s="10" t="n">
        <v>46053</v>
      </c>
      <c r="AAX36" s="9" t="n">
        <v>0</v>
      </c>
      <c r="AAZ36" s="9" t="n">
        <v>0</v>
      </c>
      <c r="ABA36" s="9" t="n">
        <v>0</v>
      </c>
      <c r="ABE36" s="10" t="n">
        <v>46053</v>
      </c>
      <c r="ABG36" s="9" t="n">
        <v>0</v>
      </c>
      <c r="ABI36" s="9" t="n">
        <v>0</v>
      </c>
      <c r="ABJ36" s="9" t="n">
        <v>0</v>
      </c>
    </row>
    <row r="37">
      <c r="B37" s="9" t="n">
        <v>1414</v>
      </c>
      <c r="C37" s="9" t="inlineStr">
        <is>
          <t>TOTAL</t>
        </is>
      </c>
      <c r="D37" s="9" t="n">
        <v>1015280</v>
      </c>
      <c r="E37" s="9" t="n">
        <v>816998.7</v>
      </c>
      <c r="F37" s="9" t="n">
        <v>821342</v>
      </c>
      <c r="G37" s="9" t="n">
        <v>-4343.299999999992</v>
      </c>
      <c r="H37" s="9" t="n">
        <v>241788.2</v>
      </c>
      <c r="L37" s="9" t="inlineStr">
        <is>
          <t>TOTAL</t>
        </is>
      </c>
      <c r="M37" s="9" t="n">
        <v>361810</v>
      </c>
      <c r="N37" s="9" t="n">
        <v>321775.5</v>
      </c>
      <c r="O37" s="9" t="n">
        <v>321757.9999999999</v>
      </c>
      <c r="P37" s="9" t="n">
        <v>17.49999999997681</v>
      </c>
      <c r="Q37" s="9" t="n">
        <v>48748.2</v>
      </c>
      <c r="U37" s="9" t="inlineStr">
        <is>
          <t>TOTAL</t>
        </is>
      </c>
      <c r="V37" s="9" t="n">
        <v>90340</v>
      </c>
      <c r="W37" s="9" t="n">
        <v>80810</v>
      </c>
      <c r="X37" s="9" t="n">
        <v>80826.30000000003</v>
      </c>
      <c r="Y37" s="9" t="n">
        <v>-16.30000000000064</v>
      </c>
      <c r="Z37" s="9" t="n">
        <v>49884.99999999999</v>
      </c>
      <c r="AD37" s="9" t="inlineStr">
        <is>
          <t>TOTAL</t>
        </is>
      </c>
      <c r="AE37" s="9" t="n">
        <v>86570</v>
      </c>
      <c r="AF37" s="9" t="n">
        <v>67570</v>
      </c>
      <c r="AG37" s="9" t="n">
        <v>67591.5</v>
      </c>
      <c r="AH37" s="9" t="n">
        <v>-21.49999999999966</v>
      </c>
      <c r="AI37" s="9" t="n">
        <v>52772.20000000001</v>
      </c>
      <c r="AM37" s="9" t="inlineStr">
        <is>
          <t>TOTAL</t>
        </is>
      </c>
      <c r="AN37" s="9" t="n">
        <v>0</v>
      </c>
      <c r="AO37" s="9" t="n">
        <v>0</v>
      </c>
      <c r="AP37" s="9" t="n">
        <v>0</v>
      </c>
      <c r="AQ37" s="9" t="n">
        <v>0</v>
      </c>
      <c r="AR37" s="9" t="n">
        <v>0</v>
      </c>
      <c r="AV37" s="9" t="inlineStr">
        <is>
          <t>TOTAL</t>
        </is>
      </c>
      <c r="AW37" s="9" t="n">
        <v>31596.3</v>
      </c>
      <c r="AX37" s="9" t="n">
        <v>26507</v>
      </c>
      <c r="AY37" s="9" t="n">
        <v>26789.69999999999</v>
      </c>
      <c r="AZ37" s="9" t="n">
        <v>-282.6999999999996</v>
      </c>
      <c r="BA37" s="9" t="n">
        <v>34316.69999999999</v>
      </c>
      <c r="BE37" s="9" t="inlineStr">
        <is>
          <t>TOTAL</t>
        </is>
      </c>
      <c r="BF37" s="9" t="n">
        <v>45437.7</v>
      </c>
      <c r="BG37" s="9" t="n">
        <v>29930</v>
      </c>
      <c r="BH37" s="9" t="n">
        <v>29873.6</v>
      </c>
      <c r="BI37" s="9" t="n">
        <v>56.39999999999998</v>
      </c>
      <c r="BJ37" s="9" t="n">
        <v>21924.10000000001</v>
      </c>
      <c r="BN37" s="9" t="inlineStr">
        <is>
          <t>TOTAL</t>
        </is>
      </c>
      <c r="BO37" s="9" t="n">
        <v>28058.4</v>
      </c>
      <c r="BP37" s="9" t="n">
        <v>28058</v>
      </c>
      <c r="BQ37" s="9" t="n">
        <v>28058.4</v>
      </c>
      <c r="BR37" s="9" t="n">
        <v>-0.4000000000002046</v>
      </c>
      <c r="BS37" s="9" t="n">
        <v>0</v>
      </c>
      <c r="BW37" s="9" t="inlineStr">
        <is>
          <t>TOTAL</t>
        </is>
      </c>
      <c r="BX37" s="9" t="n">
        <v>3000</v>
      </c>
      <c r="BY37" s="9" t="n">
        <v>225</v>
      </c>
      <c r="BZ37" s="9" t="n">
        <v>228</v>
      </c>
      <c r="CA37" s="9" t="n">
        <v>-2.999999999999993</v>
      </c>
      <c r="CB37" s="9" t="n">
        <v>3284.5</v>
      </c>
      <c r="CF37" s="9" t="inlineStr">
        <is>
          <t>TOTAL</t>
        </is>
      </c>
      <c r="CG37" s="9" t="n">
        <v>896.8</v>
      </c>
      <c r="CH37" s="9" t="n">
        <v>757.8000000000001</v>
      </c>
      <c r="CI37" s="9" t="n">
        <v>896.8</v>
      </c>
      <c r="CJ37" s="9" t="n">
        <v>-138.9999999999999</v>
      </c>
      <c r="CK37" s="9" t="n">
        <v>0</v>
      </c>
      <c r="CO37" s="9" t="inlineStr">
        <is>
          <t>TOTAL</t>
        </is>
      </c>
      <c r="CP37" s="9" t="n">
        <v>0</v>
      </c>
      <c r="CQ37" s="9" t="n">
        <v>0</v>
      </c>
      <c r="CR37" s="9" t="n">
        <v>0</v>
      </c>
      <c r="CS37" s="9" t="n">
        <v>0</v>
      </c>
      <c r="CT37" s="9" t="n">
        <v>0</v>
      </c>
      <c r="CX37" s="9" t="inlineStr">
        <is>
          <t>TOTAL</t>
        </is>
      </c>
      <c r="CY37" s="9" t="n">
        <v>0</v>
      </c>
      <c r="CZ37" s="9" t="n">
        <v>0</v>
      </c>
      <c r="DA37" s="9" t="n">
        <v>0</v>
      </c>
      <c r="DB37" s="9" t="n">
        <v>0</v>
      </c>
      <c r="DC37" s="9" t="n">
        <v>0</v>
      </c>
      <c r="DG37" s="9" t="inlineStr">
        <is>
          <t>TOTAL</t>
        </is>
      </c>
      <c r="DH37" s="9" t="n">
        <v>0</v>
      </c>
      <c r="DI37" s="9" t="n">
        <v>9170</v>
      </c>
      <c r="DJ37" s="9" t="n">
        <v>9168.4</v>
      </c>
      <c r="DK37" s="9" t="n">
        <v>1.599999999999795</v>
      </c>
      <c r="DL37" s="9" t="n">
        <v>22172.8</v>
      </c>
      <c r="DP37" s="9" t="inlineStr">
        <is>
          <t>TOTAL</t>
        </is>
      </c>
      <c r="DQ37" s="9" t="n">
        <v>0</v>
      </c>
      <c r="DR37" s="9" t="n">
        <v>0</v>
      </c>
      <c r="DS37" s="9" t="n">
        <v>0</v>
      </c>
      <c r="DT37" s="9" t="n">
        <v>0</v>
      </c>
      <c r="DU37" s="9" t="n">
        <v>0</v>
      </c>
      <c r="DY37" s="9" t="inlineStr">
        <is>
          <t>TOTAL</t>
        </is>
      </c>
      <c r="DZ37" s="9" t="n">
        <v>0</v>
      </c>
      <c r="EA37" s="9" t="n">
        <v>0</v>
      </c>
      <c r="EB37" s="9" t="n">
        <v>0</v>
      </c>
      <c r="EC37" s="9" t="n">
        <v>0</v>
      </c>
      <c r="ED37" s="9" t="n">
        <v>0</v>
      </c>
      <c r="EH37" s="9" t="inlineStr">
        <is>
          <t>TOTAL</t>
        </is>
      </c>
      <c r="EI37" s="9" t="n">
        <v>0</v>
      </c>
      <c r="EJ37" s="9" t="n">
        <v>0</v>
      </c>
      <c r="EK37" s="9" t="n">
        <v>0</v>
      </c>
      <c r="EL37" s="9" t="n">
        <v>0</v>
      </c>
      <c r="EM37" s="9" t="n">
        <v>0</v>
      </c>
      <c r="EQ37" s="9" t="inlineStr">
        <is>
          <t>TOTAL</t>
        </is>
      </c>
      <c r="ER37" s="9" t="n">
        <v>0</v>
      </c>
      <c r="ES37" s="9" t="n">
        <v>0</v>
      </c>
      <c r="ET37" s="9" t="n">
        <v>0</v>
      </c>
      <c r="EU37" s="9" t="n">
        <v>0</v>
      </c>
      <c r="EV37" s="9" t="n">
        <v>0</v>
      </c>
      <c r="EZ37" s="9" t="inlineStr">
        <is>
          <t>TOTAL</t>
        </is>
      </c>
      <c r="FA37" s="9" t="n">
        <v>0</v>
      </c>
      <c r="FB37" s="9" t="n">
        <v>0</v>
      </c>
      <c r="FC37" s="9" t="n">
        <v>0</v>
      </c>
      <c r="FD37" s="9" t="n">
        <v>0</v>
      </c>
      <c r="FE37" s="9" t="n">
        <v>0</v>
      </c>
      <c r="FI37" s="9" t="inlineStr">
        <is>
          <t>TOTAL</t>
        </is>
      </c>
      <c r="FJ37" s="9" t="n">
        <v>0</v>
      </c>
      <c r="FK37" s="9" t="n">
        <v>0</v>
      </c>
      <c r="FL37" s="9" t="n">
        <v>0</v>
      </c>
      <c r="FM37" s="9" t="n">
        <v>0</v>
      </c>
      <c r="FN37" s="9" t="n">
        <v>0</v>
      </c>
      <c r="FQ37" s="9" t="n">
        <v>0</v>
      </c>
      <c r="FR37" s="9" t="inlineStr">
        <is>
          <t>TOTAL</t>
        </is>
      </c>
      <c r="FS37" s="9" t="n">
        <v>0</v>
      </c>
      <c r="FT37" s="9" t="n">
        <v>320</v>
      </c>
      <c r="FU37" s="9" t="n">
        <v>0</v>
      </c>
      <c r="FV37" s="9" t="n">
        <v>320</v>
      </c>
      <c r="FW37" s="9" t="n">
        <v>3540</v>
      </c>
      <c r="FX37" s="9" t="n">
        <v>177</v>
      </c>
      <c r="FY37" s="9" t="inlineStr">
        <is>
          <t>bags</t>
        </is>
      </c>
      <c r="FZ37" s="9" t="n">
        <v>100</v>
      </c>
      <c r="GA37" s="9" t="inlineStr">
        <is>
          <t>TOTAL</t>
        </is>
      </c>
      <c r="GB37" s="9" t="n">
        <v>2000</v>
      </c>
      <c r="GC37" s="9" t="n">
        <v>0</v>
      </c>
      <c r="GD37" s="9" t="n">
        <v>0</v>
      </c>
      <c r="GE37" s="9" t="n">
        <v>0</v>
      </c>
      <c r="GF37" s="9" t="n">
        <v>3960</v>
      </c>
      <c r="GG37" s="9" t="n">
        <v>198</v>
      </c>
      <c r="GH37" s="9" t="inlineStr">
        <is>
          <t>bags</t>
        </is>
      </c>
      <c r="GI37" s="9" t="n">
        <v>400</v>
      </c>
      <c r="GJ37" s="9" t="inlineStr">
        <is>
          <t>TOTAL</t>
        </is>
      </c>
      <c r="GK37" s="9" t="n">
        <v>8000</v>
      </c>
      <c r="GL37" s="9" t="n">
        <v>7880</v>
      </c>
      <c r="GM37" s="9" t="n">
        <v>7720</v>
      </c>
      <c r="GN37" s="9" t="n">
        <v>160</v>
      </c>
      <c r="GO37" s="9" t="n">
        <v>3240</v>
      </c>
      <c r="GS37" s="9" t="inlineStr">
        <is>
          <t>TOTAL</t>
        </is>
      </c>
      <c r="GT37" s="9" t="n">
        <v>0</v>
      </c>
      <c r="GU37" s="9" t="n">
        <v>0</v>
      </c>
      <c r="GV37" s="9" t="n">
        <v>0</v>
      </c>
      <c r="GW37" s="9" t="n">
        <v>0</v>
      </c>
      <c r="GX37" s="9" t="n">
        <v>0</v>
      </c>
      <c r="HB37" s="9" t="inlineStr">
        <is>
          <t>TOTAL</t>
        </is>
      </c>
      <c r="HC37" s="9" t="n">
        <v>0</v>
      </c>
      <c r="HD37" s="9" t="n">
        <v>0</v>
      </c>
      <c r="HE37" s="9" t="n">
        <v>0</v>
      </c>
      <c r="HF37" s="9" t="n">
        <v>0</v>
      </c>
      <c r="HG37" s="9" t="n">
        <v>0</v>
      </c>
      <c r="HK37" s="9" t="inlineStr">
        <is>
          <t>TOTAL</t>
        </is>
      </c>
      <c r="HL37" s="9" t="n">
        <v>0</v>
      </c>
      <c r="HM37" s="9" t="n">
        <v>0</v>
      </c>
      <c r="HN37" s="9" t="n">
        <v>0</v>
      </c>
      <c r="HO37" s="9" t="n">
        <v>0</v>
      </c>
      <c r="HP37" s="9" t="n">
        <v>0</v>
      </c>
      <c r="HT37" s="9" t="n">
        <v>225</v>
      </c>
      <c r="HU37" s="9" t="inlineStr">
        <is>
          <t>TOTAL</t>
        </is>
      </c>
      <c r="HV37" s="9" t="n">
        <v>4500</v>
      </c>
      <c r="HW37" s="9" t="n">
        <v>2520</v>
      </c>
      <c r="HX37" s="9" t="n">
        <v>3040</v>
      </c>
      <c r="HY37" s="9" t="n">
        <v>-520</v>
      </c>
      <c r="HZ37" s="9" t="n">
        <v>5440</v>
      </c>
      <c r="IA37" s="9" t="n">
        <v>272</v>
      </c>
      <c r="IB37" s="9" t="inlineStr">
        <is>
          <t>bags</t>
        </is>
      </c>
      <c r="IC37" s="9" t="n">
        <v>107</v>
      </c>
      <c r="ID37" s="9" t="inlineStr">
        <is>
          <t>TOTAL</t>
        </is>
      </c>
      <c r="IE37" s="9" t="n">
        <v>2140</v>
      </c>
      <c r="IF37" s="9" t="n">
        <v>0</v>
      </c>
      <c r="IG37" s="9" t="n">
        <v>0</v>
      </c>
      <c r="IH37" s="9" t="n">
        <v>0</v>
      </c>
      <c r="II37" s="9" t="n">
        <v>5100</v>
      </c>
      <c r="IJ37" s="9" t="n">
        <v>255</v>
      </c>
      <c r="IK37" s="9" t="inlineStr">
        <is>
          <t>bags</t>
        </is>
      </c>
      <c r="IL37" s="9" t="n">
        <v>1226</v>
      </c>
      <c r="IM37" s="9" t="inlineStr">
        <is>
          <t>TOTAL</t>
        </is>
      </c>
      <c r="IN37" s="9" t="n">
        <v>24520</v>
      </c>
      <c r="IO37" s="9" t="n">
        <v>12320</v>
      </c>
      <c r="IP37" s="9" t="n">
        <v>10320</v>
      </c>
      <c r="IQ37" s="9" t="n">
        <v>2000</v>
      </c>
      <c r="IR37" s="9" t="n">
        <v>16240</v>
      </c>
      <c r="IS37" s="9" t="n">
        <v>812</v>
      </c>
      <c r="IT37" s="9" t="inlineStr">
        <is>
          <t>bags</t>
        </is>
      </c>
      <c r="IU37" s="9" t="n">
        <v>600</v>
      </c>
      <c r="IV37" s="9" t="inlineStr">
        <is>
          <t>TOTAL</t>
        </is>
      </c>
      <c r="IW37" s="9" t="n">
        <v>12000</v>
      </c>
      <c r="IX37" s="9" t="n">
        <v>5240</v>
      </c>
      <c r="IY37" s="9" t="n">
        <v>6400</v>
      </c>
      <c r="IZ37" s="9" t="n">
        <v>-1160</v>
      </c>
      <c r="JA37" s="9" t="n">
        <v>13120</v>
      </c>
      <c r="JB37" s="9" t="n">
        <v>656</v>
      </c>
      <c r="JC37" s="9" t="inlineStr">
        <is>
          <t>bags</t>
        </is>
      </c>
      <c r="JD37" s="9" t="n">
        <v>0</v>
      </c>
      <c r="JE37" s="9" t="inlineStr">
        <is>
          <t>TOTAL</t>
        </is>
      </c>
      <c r="JF37" s="9" t="n">
        <v>0</v>
      </c>
      <c r="JG37" s="9" t="n">
        <v>0</v>
      </c>
      <c r="JH37" s="9" t="n">
        <v>0</v>
      </c>
      <c r="JI37" s="9" t="n">
        <v>0</v>
      </c>
      <c r="JJ37" s="9" t="n">
        <v>6800</v>
      </c>
      <c r="JK37" s="9" t="n">
        <v>340</v>
      </c>
      <c r="JL37" s="9" t="inlineStr">
        <is>
          <t>bags</t>
        </is>
      </c>
      <c r="JM37" s="9" t="n">
        <v>50</v>
      </c>
      <c r="JN37" s="9" t="inlineStr">
        <is>
          <t>TOTAL</t>
        </is>
      </c>
      <c r="JO37" s="9" t="n">
        <v>1000</v>
      </c>
      <c r="JP37" s="9" t="n">
        <v>0</v>
      </c>
      <c r="JQ37" s="9" t="n">
        <v>0</v>
      </c>
      <c r="JR37" s="9" t="n">
        <v>0</v>
      </c>
      <c r="JS37" s="9" t="n">
        <v>5400</v>
      </c>
      <c r="JV37" s="9" t="n">
        <v>113</v>
      </c>
      <c r="JW37" s="9" t="inlineStr">
        <is>
          <t>TOTAL</t>
        </is>
      </c>
      <c r="JX37" s="9" t="n">
        <v>2260</v>
      </c>
      <c r="JY37" s="9" t="n">
        <v>0</v>
      </c>
      <c r="JZ37" s="9" t="n">
        <v>0</v>
      </c>
      <c r="KA37" s="9" t="n">
        <v>0</v>
      </c>
      <c r="KB37" s="9" t="n">
        <v>2260</v>
      </c>
      <c r="KE37" s="9" t="n">
        <v>0</v>
      </c>
      <c r="KF37" s="9" t="inlineStr">
        <is>
          <t>TOTAL</t>
        </is>
      </c>
      <c r="KG37" s="9" t="n">
        <v>0</v>
      </c>
      <c r="KH37" s="9" t="n">
        <v>0</v>
      </c>
      <c r="KI37" s="9" t="n">
        <v>0</v>
      </c>
      <c r="KJ37" s="9" t="n">
        <v>0</v>
      </c>
      <c r="KK37" s="9" t="n">
        <v>0</v>
      </c>
      <c r="KN37" s="9" t="n">
        <v>0</v>
      </c>
      <c r="KO37" s="9" t="inlineStr">
        <is>
          <t>TOTAL</t>
        </is>
      </c>
      <c r="KP37" s="9" t="n">
        <v>0</v>
      </c>
      <c r="KQ37" s="9" t="n">
        <v>0</v>
      </c>
      <c r="KR37" s="9" t="n">
        <v>0</v>
      </c>
      <c r="KS37" s="9" t="n">
        <v>0</v>
      </c>
      <c r="KT37" s="9" t="n">
        <v>0</v>
      </c>
      <c r="KW37" s="9" t="n">
        <v>0</v>
      </c>
      <c r="KX37" s="9" t="inlineStr">
        <is>
          <t>TOTAL</t>
        </is>
      </c>
      <c r="KY37" s="9" t="n">
        <v>0</v>
      </c>
      <c r="KZ37" s="9" t="n">
        <v>0</v>
      </c>
      <c r="LA37" s="9" t="n">
        <v>0</v>
      </c>
      <c r="LB37" s="9" t="n">
        <v>0</v>
      </c>
      <c r="LC37" s="9" t="n">
        <v>0</v>
      </c>
      <c r="LF37" s="9" t="n">
        <v>0</v>
      </c>
      <c r="LG37" s="9" t="inlineStr">
        <is>
          <t>TOTAL</t>
        </is>
      </c>
      <c r="LH37" s="9" t="n">
        <v>0</v>
      </c>
      <c r="LI37" s="9" t="n">
        <v>0</v>
      </c>
      <c r="LJ37" s="9" t="n">
        <v>0</v>
      </c>
      <c r="LK37" s="9" t="n">
        <v>0</v>
      </c>
      <c r="LL37" s="9" t="n">
        <v>0</v>
      </c>
      <c r="LP37" s="9" t="inlineStr">
        <is>
          <t>TOTAL</t>
        </is>
      </c>
      <c r="LQ37" s="9" t="n">
        <v>0</v>
      </c>
      <c r="LR37" s="9" t="n">
        <v>0</v>
      </c>
      <c r="LS37" s="9" t="n">
        <v>0</v>
      </c>
      <c r="LT37" s="9" t="n">
        <v>0</v>
      </c>
      <c r="LU37" s="9" t="n">
        <v>0</v>
      </c>
      <c r="LY37" s="9" t="inlineStr">
        <is>
          <t>TOTAL</t>
        </is>
      </c>
      <c r="LZ37" s="9" t="n">
        <v>0</v>
      </c>
      <c r="MA37" s="9" t="n">
        <v>0</v>
      </c>
      <c r="MB37" s="9" t="n">
        <v>0</v>
      </c>
      <c r="MC37" s="9" t="n">
        <v>0</v>
      </c>
      <c r="MD37" s="9" t="n">
        <v>0</v>
      </c>
      <c r="MH37" s="9" t="inlineStr">
        <is>
          <t>TOTAL</t>
        </is>
      </c>
      <c r="MI37" s="9" t="n">
        <v>0</v>
      </c>
      <c r="MJ37" s="9" t="n">
        <v>0</v>
      </c>
      <c r="MK37" s="9" t="n">
        <v>0</v>
      </c>
      <c r="ML37" s="9" t="n">
        <v>0</v>
      </c>
      <c r="MM37" s="9" t="n">
        <v>0</v>
      </c>
      <c r="MQ37" s="9" t="inlineStr">
        <is>
          <t>TOTAL</t>
        </is>
      </c>
      <c r="MR37" s="9" t="n">
        <v>1000</v>
      </c>
      <c r="MS37" s="9" t="n">
        <v>576</v>
      </c>
      <c r="MT37" s="9" t="n">
        <v>562</v>
      </c>
      <c r="MU37" s="9" t="n">
        <v>14</v>
      </c>
      <c r="MV37" s="9" t="n">
        <v>1969</v>
      </c>
      <c r="MZ37" s="9" t="inlineStr">
        <is>
          <t>TOTAL</t>
        </is>
      </c>
      <c r="NA37" s="9" t="n">
        <v>2994</v>
      </c>
      <c r="NB37" s="9" t="n">
        <v>3012</v>
      </c>
      <c r="NC37" s="9" t="n">
        <v>2994</v>
      </c>
      <c r="ND37" s="9" t="n">
        <v>18</v>
      </c>
      <c r="NE37" s="9" t="n">
        <v>0</v>
      </c>
      <c r="NI37" s="9" t="inlineStr">
        <is>
          <t>TOTAL</t>
        </is>
      </c>
      <c r="NJ37" s="9" t="n">
        <v>0</v>
      </c>
      <c r="NK37" s="9" t="n">
        <v>0</v>
      </c>
      <c r="NL37" s="9" t="n">
        <v>0</v>
      </c>
      <c r="NM37" s="9" t="n">
        <v>0</v>
      </c>
      <c r="NN37" s="9" t="n">
        <v>0</v>
      </c>
      <c r="NR37" s="9" t="inlineStr">
        <is>
          <t>TOTAL</t>
        </is>
      </c>
      <c r="NS37" s="9" t="n">
        <v>0</v>
      </c>
      <c r="NT37" s="9" t="n">
        <v>0</v>
      </c>
      <c r="NU37" s="9" t="n">
        <v>0</v>
      </c>
      <c r="NV37" s="9" t="n">
        <v>0</v>
      </c>
      <c r="NW37" s="9" t="n">
        <v>0</v>
      </c>
      <c r="OA37" s="9" t="inlineStr">
        <is>
          <t>TOTAL</t>
        </is>
      </c>
      <c r="OB37" s="9" t="n">
        <v>2101.3</v>
      </c>
      <c r="OC37" s="9" t="n">
        <v>330</v>
      </c>
      <c r="OD37" s="9" t="n">
        <v>456</v>
      </c>
      <c r="OE37" s="9" t="n">
        <v>-126</v>
      </c>
      <c r="OF37" s="9" t="n">
        <v>1680.5</v>
      </c>
      <c r="OJ37" s="9" t="inlineStr">
        <is>
          <t>TOTAL</t>
        </is>
      </c>
      <c r="OK37" s="9" t="n">
        <v>0</v>
      </c>
      <c r="OL37" s="9" t="n">
        <v>0</v>
      </c>
      <c r="OM37" s="9" t="n">
        <v>0</v>
      </c>
      <c r="ON37" s="9" t="n">
        <v>0</v>
      </c>
      <c r="OO37" s="9" t="n">
        <v>0</v>
      </c>
      <c r="OS37" s="9" t="inlineStr">
        <is>
          <t>TOTAL</t>
        </is>
      </c>
      <c r="OT37" s="9" t="n">
        <v>0</v>
      </c>
      <c r="OU37" s="9" t="n">
        <v>0</v>
      </c>
      <c r="OV37" s="9" t="n">
        <v>349</v>
      </c>
      <c r="OW37" s="9" t="n">
        <v>-349</v>
      </c>
      <c r="OX37" s="9" t="n">
        <v>0</v>
      </c>
      <c r="PB37" s="9" t="inlineStr">
        <is>
          <t>TOTAL</t>
        </is>
      </c>
      <c r="PC37" s="9" t="n">
        <v>806</v>
      </c>
      <c r="PD37" s="9" t="n">
        <v>0</v>
      </c>
      <c r="PE37" s="9" t="n">
        <v>806</v>
      </c>
      <c r="PF37" s="9" t="n">
        <v>-806</v>
      </c>
      <c r="PG37" s="9" t="n">
        <v>0</v>
      </c>
      <c r="PK37" s="9" t="inlineStr">
        <is>
          <t>TOTAL</t>
        </is>
      </c>
      <c r="PL37" s="9" t="n">
        <v>0</v>
      </c>
      <c r="PM37" s="9" t="n">
        <v>0</v>
      </c>
      <c r="PN37" s="9" t="n">
        <v>0</v>
      </c>
      <c r="PO37" s="9" t="n">
        <v>0</v>
      </c>
      <c r="PP37" s="9" t="n">
        <v>160</v>
      </c>
      <c r="PT37" s="9" t="inlineStr">
        <is>
          <t>TOTAL</t>
        </is>
      </c>
      <c r="PU37" s="9" t="n">
        <v>0</v>
      </c>
      <c r="PV37" s="9" t="n">
        <v>0</v>
      </c>
      <c r="PW37" s="9" t="n">
        <v>0</v>
      </c>
      <c r="PX37" s="9" t="n">
        <v>0</v>
      </c>
      <c r="PY37" s="9" t="n">
        <v>13.96000000000004</v>
      </c>
      <c r="QC37" s="9" t="inlineStr">
        <is>
          <t>TOTAL</t>
        </is>
      </c>
      <c r="QD37" s="9" t="n">
        <v>0</v>
      </c>
      <c r="QE37" s="9" t="n">
        <v>0</v>
      </c>
      <c r="QF37" s="9" t="n">
        <v>0</v>
      </c>
      <c r="QG37" s="9" t="n">
        <v>0</v>
      </c>
      <c r="QH37" s="9" t="n">
        <v>0</v>
      </c>
      <c r="QL37" s="9" t="inlineStr">
        <is>
          <t>TOTAL</t>
        </is>
      </c>
      <c r="QM37" s="9" t="n">
        <v>0</v>
      </c>
      <c r="QN37" s="9" t="n">
        <v>0</v>
      </c>
      <c r="QO37" s="9" t="n">
        <v>0</v>
      </c>
      <c r="QP37" s="9" t="n">
        <v>0</v>
      </c>
      <c r="QQ37" s="9" t="n">
        <v>0</v>
      </c>
      <c r="QU37" s="9" t="inlineStr">
        <is>
          <t>TOTAL</t>
        </is>
      </c>
      <c r="QV37" s="9" t="n">
        <v>0</v>
      </c>
      <c r="QW37" s="9" t="n">
        <v>0</v>
      </c>
      <c r="QX37" s="9" t="n">
        <v>0</v>
      </c>
      <c r="QY37" s="9" t="n">
        <v>0</v>
      </c>
      <c r="QZ37" s="9" t="n">
        <v>207.6</v>
      </c>
      <c r="RD37" s="9" t="inlineStr">
        <is>
          <t>TOTAL</t>
        </is>
      </c>
      <c r="RE37" s="9" t="n">
        <v>0</v>
      </c>
      <c r="RF37" s="9" t="n">
        <v>0</v>
      </c>
      <c r="RG37" s="9" t="n">
        <v>0</v>
      </c>
      <c r="RH37" s="9" t="n">
        <v>0</v>
      </c>
      <c r="RI37" s="9" t="n">
        <v>201.8</v>
      </c>
      <c r="RM37" s="9" t="inlineStr">
        <is>
          <t>TOTAL</t>
        </is>
      </c>
      <c r="RN37" s="9" t="n">
        <v>0</v>
      </c>
      <c r="RO37" s="9" t="n">
        <v>0</v>
      </c>
      <c r="RP37" s="9" t="n">
        <v>0</v>
      </c>
      <c r="RQ37" s="9" t="n">
        <v>0</v>
      </c>
      <c r="RR37" s="9" t="n">
        <v>22.72</v>
      </c>
      <c r="RV37" s="9" t="inlineStr">
        <is>
          <t>TOTAL</t>
        </is>
      </c>
      <c r="RW37" s="9" t="n">
        <v>0</v>
      </c>
      <c r="RX37" s="9" t="n">
        <v>0</v>
      </c>
      <c r="RY37" s="9" t="n">
        <v>0</v>
      </c>
      <c r="RZ37" s="9" t="n">
        <v>0</v>
      </c>
      <c r="SA37" s="9" t="n">
        <v>0</v>
      </c>
      <c r="SE37" s="9" t="inlineStr">
        <is>
          <t>TOTAL</t>
        </is>
      </c>
      <c r="SF37" s="9" t="n">
        <v>0</v>
      </c>
      <c r="SG37" s="9" t="n">
        <v>0</v>
      </c>
      <c r="SH37" s="9" t="n">
        <v>0</v>
      </c>
      <c r="SI37" s="9" t="n">
        <v>0</v>
      </c>
      <c r="SJ37" s="9" t="n">
        <v>0</v>
      </c>
      <c r="SN37" s="9" t="inlineStr">
        <is>
          <t>TOTAL</t>
        </is>
      </c>
      <c r="SO37" s="9" t="n">
        <v>0</v>
      </c>
      <c r="SP37" s="9" t="n">
        <v>0</v>
      </c>
      <c r="SQ37" s="9" t="n">
        <v>0</v>
      </c>
      <c r="SR37" s="9" t="n">
        <v>0</v>
      </c>
      <c r="SS37" s="9" t="n">
        <v>0</v>
      </c>
      <c r="SW37" s="9" t="inlineStr">
        <is>
          <t>TOTAL</t>
        </is>
      </c>
      <c r="SX37" s="9" t="n">
        <v>270</v>
      </c>
      <c r="SY37" s="9" t="n">
        <v>0</v>
      </c>
      <c r="SZ37" s="9" t="n">
        <v>0</v>
      </c>
      <c r="TA37" s="9" t="n">
        <v>0</v>
      </c>
      <c r="TB37" s="9" t="n">
        <v>270</v>
      </c>
      <c r="TF37" s="9" t="inlineStr">
        <is>
          <t>TOTAL</t>
        </is>
      </c>
      <c r="TG37" s="9" t="n">
        <v>0</v>
      </c>
      <c r="TH37" s="9" t="n">
        <v>0</v>
      </c>
      <c r="TI37" s="9" t="n">
        <v>0</v>
      </c>
      <c r="TJ37" s="9" t="n">
        <v>0</v>
      </c>
      <c r="TK37" s="9" t="n">
        <v>0</v>
      </c>
      <c r="TO37" s="9" t="inlineStr">
        <is>
          <t>TOTAL</t>
        </is>
      </c>
      <c r="TP37" s="9" t="n">
        <v>0</v>
      </c>
      <c r="TQ37" s="9" t="n">
        <v>0</v>
      </c>
      <c r="TR37" s="9" t="n">
        <v>0</v>
      </c>
      <c r="TS37" s="9" t="n">
        <v>0</v>
      </c>
      <c r="TT37" s="9" t="n">
        <v>0</v>
      </c>
      <c r="TX37" s="9" t="inlineStr">
        <is>
          <t>TOTAL</t>
        </is>
      </c>
      <c r="TY37" s="9" t="n">
        <v>0</v>
      </c>
      <c r="TZ37" s="9" t="n">
        <v>0</v>
      </c>
      <c r="UA37" s="9" t="n">
        <v>0</v>
      </c>
      <c r="UB37" s="9" t="n">
        <v>0</v>
      </c>
      <c r="UC37" s="9" t="n">
        <v>0</v>
      </c>
      <c r="UG37" s="9" t="inlineStr">
        <is>
          <t>TOTAL</t>
        </is>
      </c>
      <c r="UH37" s="9" t="n">
        <v>0</v>
      </c>
      <c r="UI37" s="9" t="n">
        <v>0</v>
      </c>
      <c r="UJ37" s="9" t="n">
        <v>0</v>
      </c>
      <c r="UK37" s="9" t="n">
        <v>0</v>
      </c>
      <c r="UL37" s="9" t="n">
        <v>0</v>
      </c>
      <c r="UP37" s="9" t="inlineStr">
        <is>
          <t>TOTAL</t>
        </is>
      </c>
      <c r="UQ37" s="9" t="n">
        <v>0</v>
      </c>
      <c r="UR37" s="9" t="n">
        <v>0</v>
      </c>
      <c r="US37" s="9" t="n">
        <v>0</v>
      </c>
      <c r="UT37" s="9" t="n">
        <v>0</v>
      </c>
      <c r="UU37" s="9" t="n">
        <v>0</v>
      </c>
      <c r="UY37" s="9" t="inlineStr">
        <is>
          <t>TOTAL</t>
        </is>
      </c>
      <c r="UZ37" s="9" t="n">
        <v>361.2</v>
      </c>
      <c r="VA37" s="9" t="n">
        <v>0</v>
      </c>
      <c r="VB37" s="9" t="n">
        <v>0</v>
      </c>
      <c r="VC37" s="9" t="n">
        <v>0</v>
      </c>
      <c r="VD37" s="9" t="n">
        <v>41.60000000000002</v>
      </c>
      <c r="VH37" s="9" t="inlineStr">
        <is>
          <t>TOTAL</t>
        </is>
      </c>
      <c r="VI37" s="9" t="n">
        <v>0</v>
      </c>
      <c r="VJ37" s="9" t="n">
        <v>0</v>
      </c>
      <c r="VK37" s="9" t="n">
        <v>0</v>
      </c>
      <c r="VL37" s="9" t="n">
        <v>0</v>
      </c>
      <c r="VM37" s="9" t="n">
        <v>0</v>
      </c>
      <c r="VQ37" s="9" t="inlineStr">
        <is>
          <t>TOTAL</t>
        </is>
      </c>
      <c r="VR37" s="9" t="n">
        <v>0</v>
      </c>
      <c r="VS37" s="9" t="n">
        <v>0</v>
      </c>
      <c r="VT37" s="9" t="n">
        <v>0</v>
      </c>
      <c r="VU37" s="9" t="n">
        <v>0</v>
      </c>
      <c r="VV37" s="9" t="n">
        <v>0</v>
      </c>
      <c r="VZ37" s="9" t="inlineStr">
        <is>
          <t>TOTAL</t>
        </is>
      </c>
      <c r="WA37" s="9" t="n">
        <v>0</v>
      </c>
      <c r="WB37" s="9" t="n">
        <v>0</v>
      </c>
      <c r="WC37" s="9" t="n">
        <v>0</v>
      </c>
      <c r="WD37" s="9" t="n">
        <v>0</v>
      </c>
      <c r="WE37" s="9" t="n">
        <v>0</v>
      </c>
      <c r="WI37" s="9" t="inlineStr">
        <is>
          <t>TOTAL</t>
        </is>
      </c>
      <c r="WJ37" s="9" t="n">
        <v>4063</v>
      </c>
      <c r="WK37" s="9" t="n">
        <v>0</v>
      </c>
      <c r="WL37" s="9" t="n">
        <v>331</v>
      </c>
      <c r="WM37" s="9" t="n">
        <v>-331</v>
      </c>
      <c r="WN37" s="9" t="n">
        <v>9609</v>
      </c>
      <c r="WR37" s="9" t="inlineStr">
        <is>
          <t>TOTAL</t>
        </is>
      </c>
      <c r="WS37" s="9" t="n">
        <v>2882</v>
      </c>
      <c r="WT37" s="9" t="n">
        <v>0</v>
      </c>
      <c r="WU37" s="9" t="n">
        <v>0</v>
      </c>
      <c r="WV37" s="9" t="n">
        <v>0</v>
      </c>
      <c r="WW37" s="9" t="n">
        <v>8149</v>
      </c>
      <c r="XA37" s="9" t="inlineStr">
        <is>
          <t>TOTAL</t>
        </is>
      </c>
      <c r="XB37" s="9" t="n">
        <v>4347</v>
      </c>
      <c r="XC37" s="9" t="n">
        <v>0</v>
      </c>
      <c r="XD37" s="9" t="n">
        <v>7893</v>
      </c>
      <c r="XE37" s="9" t="n">
        <v>-7893</v>
      </c>
      <c r="XF37" s="9" t="n">
        <v>911</v>
      </c>
      <c r="XJ37" s="9" t="inlineStr">
        <is>
          <t>TOTAL</t>
        </is>
      </c>
      <c r="XK37" s="9" t="n">
        <v>3000</v>
      </c>
      <c r="XL37" s="9" t="n">
        <v>0</v>
      </c>
      <c r="XM37" s="9" t="n">
        <v>3532</v>
      </c>
      <c r="XN37" s="9" t="n">
        <v>-3532</v>
      </c>
      <c r="XO37" s="9" t="n">
        <v>6240</v>
      </c>
      <c r="XS37" s="9" t="inlineStr">
        <is>
          <t>TOTAL</t>
        </is>
      </c>
      <c r="XT37" s="9" t="n">
        <v>0</v>
      </c>
      <c r="XU37" s="9" t="n">
        <v>0</v>
      </c>
      <c r="XV37" s="9" t="n">
        <v>0</v>
      </c>
      <c r="XW37" s="9" t="n">
        <v>0</v>
      </c>
      <c r="XX37" s="9" t="n">
        <v>1901</v>
      </c>
      <c r="YB37" s="9" t="inlineStr">
        <is>
          <t>TOTAL</t>
        </is>
      </c>
      <c r="YC37" s="9" t="n">
        <v>0</v>
      </c>
      <c r="YD37" s="9" t="n">
        <v>0</v>
      </c>
      <c r="YE37" s="9" t="n">
        <v>2290</v>
      </c>
      <c r="YF37" s="9" t="n">
        <v>-2290</v>
      </c>
      <c r="YG37" s="9" t="n">
        <v>1885</v>
      </c>
      <c r="YK37" s="9" t="inlineStr">
        <is>
          <t>TOTAL</t>
        </is>
      </c>
      <c r="YL37" s="9" t="n">
        <v>0</v>
      </c>
      <c r="YM37" s="9" t="n">
        <v>0</v>
      </c>
      <c r="YN37" s="9" t="n">
        <v>0</v>
      </c>
      <c r="YO37" s="9" t="n">
        <v>0</v>
      </c>
      <c r="YP37" s="9" t="n">
        <v>0</v>
      </c>
      <c r="YT37" s="9" t="inlineStr">
        <is>
          <t>TOTAL</t>
        </is>
      </c>
      <c r="YU37" s="9" t="n">
        <v>0</v>
      </c>
      <c r="YV37" s="9" t="n">
        <v>0</v>
      </c>
      <c r="YW37" s="9" t="n">
        <v>0</v>
      </c>
      <c r="YX37" s="9" t="n">
        <v>0</v>
      </c>
      <c r="YY37" s="9" t="n">
        <v>0</v>
      </c>
      <c r="ZC37" s="9" t="inlineStr">
        <is>
          <t>TOTAL</t>
        </is>
      </c>
      <c r="ZD37" s="9" t="n">
        <v>0</v>
      </c>
      <c r="ZE37" s="9" t="n">
        <v>0</v>
      </c>
      <c r="ZF37" s="9" t="n">
        <v>0</v>
      </c>
      <c r="ZG37" s="9" t="n">
        <v>0</v>
      </c>
      <c r="ZH37" s="9" t="n">
        <v>0</v>
      </c>
      <c r="ZL37" s="9" t="inlineStr">
        <is>
          <t>TOTAL</t>
        </is>
      </c>
      <c r="ZM37" s="9" t="n">
        <v>0</v>
      </c>
      <c r="ZN37" s="9" t="n">
        <v>0</v>
      </c>
      <c r="ZO37" s="9" t="n">
        <v>0</v>
      </c>
      <c r="ZP37" s="9" t="n">
        <v>0</v>
      </c>
      <c r="ZQ37" s="9" t="n">
        <v>0</v>
      </c>
      <c r="ZU37" s="9" t="inlineStr">
        <is>
          <t>TOTAL</t>
        </is>
      </c>
      <c r="ZV37" s="9" t="n">
        <v>0</v>
      </c>
      <c r="ZW37" s="9" t="n">
        <v>0</v>
      </c>
      <c r="ZX37" s="9" t="n">
        <v>0</v>
      </c>
      <c r="ZY37" s="9" t="n">
        <v>0</v>
      </c>
      <c r="ZZ37" s="9" t="n">
        <v>0</v>
      </c>
      <c r="AAD37" s="9" t="inlineStr">
        <is>
          <t>TOTAL</t>
        </is>
      </c>
      <c r="AAE37" s="9" t="n">
        <v>0</v>
      </c>
      <c r="AAF37" s="9" t="n">
        <v>0</v>
      </c>
      <c r="AAG37" s="9" t="n">
        <v>0</v>
      </c>
      <c r="AAH37" s="9" t="n">
        <v>0</v>
      </c>
      <c r="AAI37" s="9" t="n">
        <v>0</v>
      </c>
      <c r="AAM37" s="9" t="inlineStr">
        <is>
          <t>TOTAL</t>
        </is>
      </c>
      <c r="AAN37" s="9" t="n">
        <v>0</v>
      </c>
      <c r="AAO37" s="9" t="n">
        <v>0</v>
      </c>
      <c r="AAP37" s="9" t="n">
        <v>0</v>
      </c>
      <c r="AAQ37" s="9" t="n">
        <v>0</v>
      </c>
      <c r="AAR37" s="9" t="n">
        <v>0</v>
      </c>
      <c r="AAV37" s="9" t="inlineStr">
        <is>
          <t>TOTAL</t>
        </is>
      </c>
      <c r="AAW37" s="9" t="n">
        <v>0</v>
      </c>
      <c r="AAX37" s="9" t="n">
        <v>0</v>
      </c>
      <c r="AAY37" s="9" t="n">
        <v>0</v>
      </c>
      <c r="AAZ37" s="9" t="n">
        <v>0</v>
      </c>
      <c r="ABA37" s="9" t="n">
        <v>0</v>
      </c>
      <c r="ABE37" s="9" t="inlineStr">
        <is>
          <t>TOTAL</t>
        </is>
      </c>
      <c r="ABF37" s="9" t="n">
        <v>0</v>
      </c>
      <c r="ABG37" s="9" t="n">
        <v>0</v>
      </c>
      <c r="ABH37" s="9" t="n">
        <v>0</v>
      </c>
      <c r="ABI37" s="9" t="n">
        <v>0</v>
      </c>
      <c r="ABJ37" s="9" t="n">
        <v>0</v>
      </c>
    </row>
    <row r="38"/>
    <row r="39">
      <c r="A39" s="9" t="inlineStr">
        <is>
          <t>FEB</t>
        </is>
      </c>
      <c r="C39" s="9" t="inlineStr">
        <is>
          <t>FEBRUARY</t>
        </is>
      </c>
      <c r="J39" s="9" t="inlineStr">
        <is>
          <t>FEB</t>
        </is>
      </c>
      <c r="L39" s="9" t="inlineStr">
        <is>
          <t>FEBRUARY</t>
        </is>
      </c>
      <c r="S39" s="9" t="inlineStr">
        <is>
          <t>FEB</t>
        </is>
      </c>
      <c r="U39" s="9" t="inlineStr">
        <is>
          <t>FEBRUARY</t>
        </is>
      </c>
      <c r="AB39" s="9" t="inlineStr">
        <is>
          <t>FEB</t>
        </is>
      </c>
      <c r="AD39" s="9" t="inlineStr">
        <is>
          <t>FEBRUARY</t>
        </is>
      </c>
      <c r="AK39" s="9" t="inlineStr">
        <is>
          <t>FEB</t>
        </is>
      </c>
      <c r="AM39" s="9" t="inlineStr">
        <is>
          <t>FEBRUARY</t>
        </is>
      </c>
      <c r="AT39" s="9" t="inlineStr">
        <is>
          <t>FEB</t>
        </is>
      </c>
      <c r="AV39" s="9" t="inlineStr">
        <is>
          <t>FEBRUARY</t>
        </is>
      </c>
      <c r="BC39" s="9" t="inlineStr">
        <is>
          <t>FEB</t>
        </is>
      </c>
      <c r="BE39" s="9" t="inlineStr">
        <is>
          <t>FEBRUARY</t>
        </is>
      </c>
      <c r="BL39" s="9" t="inlineStr">
        <is>
          <t>FEB</t>
        </is>
      </c>
      <c r="BN39" s="9" t="inlineStr">
        <is>
          <t>FEBRUARY</t>
        </is>
      </c>
      <c r="BU39" s="9" t="inlineStr">
        <is>
          <t>FEB</t>
        </is>
      </c>
      <c r="BW39" s="9" t="inlineStr">
        <is>
          <t>FEBRUARY</t>
        </is>
      </c>
      <c r="CD39" s="9" t="inlineStr">
        <is>
          <t>FEB</t>
        </is>
      </c>
      <c r="CF39" s="9" t="inlineStr">
        <is>
          <t>FEBRUARY</t>
        </is>
      </c>
      <c r="CM39" s="9" t="inlineStr">
        <is>
          <t>FEB</t>
        </is>
      </c>
      <c r="CO39" s="9" t="inlineStr">
        <is>
          <t>FEBRUARY</t>
        </is>
      </c>
      <c r="CV39" s="9" t="inlineStr">
        <is>
          <t>FEB</t>
        </is>
      </c>
      <c r="CX39" s="9" t="inlineStr">
        <is>
          <t>FEBRUARY</t>
        </is>
      </c>
      <c r="DE39" s="9" t="inlineStr">
        <is>
          <t>FEB</t>
        </is>
      </c>
      <c r="DG39" s="9" t="inlineStr">
        <is>
          <t>FEBRUARY</t>
        </is>
      </c>
      <c r="DN39" s="9" t="inlineStr">
        <is>
          <t>FEB</t>
        </is>
      </c>
      <c r="DP39" s="9" t="inlineStr">
        <is>
          <t>FEBRUARY</t>
        </is>
      </c>
      <c r="DW39" s="9" t="inlineStr">
        <is>
          <t>FEB</t>
        </is>
      </c>
      <c r="DY39" s="9" t="inlineStr">
        <is>
          <t>FEBRUARY</t>
        </is>
      </c>
      <c r="EF39" s="9" t="inlineStr">
        <is>
          <t>FEB</t>
        </is>
      </c>
      <c r="EH39" s="9" t="inlineStr">
        <is>
          <t>FEBRUARY</t>
        </is>
      </c>
      <c r="EO39" s="9" t="inlineStr">
        <is>
          <t>FEB</t>
        </is>
      </c>
      <c r="EQ39" s="9" t="inlineStr">
        <is>
          <t>FEBRUARY</t>
        </is>
      </c>
      <c r="EX39" s="9" t="inlineStr">
        <is>
          <t>FEB</t>
        </is>
      </c>
      <c r="EZ39" s="9" t="inlineStr">
        <is>
          <t>FEBRUARY</t>
        </is>
      </c>
      <c r="FG39" s="9" t="inlineStr">
        <is>
          <t>FEB</t>
        </is>
      </c>
      <c r="FI39" s="9" t="inlineStr">
        <is>
          <t>FEBRUARY</t>
        </is>
      </c>
      <c r="FP39" s="9" t="inlineStr">
        <is>
          <t>FEB</t>
        </is>
      </c>
      <c r="FR39" s="9" t="inlineStr">
        <is>
          <t>FEBRUARY</t>
        </is>
      </c>
      <c r="FY39" s="9" t="inlineStr">
        <is>
          <t>FEB</t>
        </is>
      </c>
      <c r="GA39" s="9" t="inlineStr">
        <is>
          <t>FEBRUARY</t>
        </is>
      </c>
      <c r="GH39" s="9" t="inlineStr">
        <is>
          <t>FEB</t>
        </is>
      </c>
      <c r="GJ39" s="9" t="inlineStr">
        <is>
          <t>FEBRUARY</t>
        </is>
      </c>
      <c r="GQ39" s="9" t="inlineStr">
        <is>
          <t>FEB</t>
        </is>
      </c>
      <c r="GS39" s="9" t="inlineStr">
        <is>
          <t>FEBRUARY</t>
        </is>
      </c>
      <c r="GZ39" s="9" t="inlineStr">
        <is>
          <t>FEB</t>
        </is>
      </c>
      <c r="HB39" s="9" t="inlineStr">
        <is>
          <t>FEBRUARY</t>
        </is>
      </c>
      <c r="HI39" s="9" t="inlineStr">
        <is>
          <t>FEB</t>
        </is>
      </c>
      <c r="HK39" s="9" t="inlineStr">
        <is>
          <t>FEBRUARY</t>
        </is>
      </c>
      <c r="HS39" s="9" t="inlineStr">
        <is>
          <t>FEB</t>
        </is>
      </c>
      <c r="HU39" s="9" t="inlineStr">
        <is>
          <t>FEBRUARY</t>
        </is>
      </c>
      <c r="IB39" s="9" t="inlineStr">
        <is>
          <t>FEB</t>
        </is>
      </c>
      <c r="ID39" s="9" t="inlineStr">
        <is>
          <t>FEBRUARY</t>
        </is>
      </c>
      <c r="IK39" s="9" t="inlineStr">
        <is>
          <t>FEB</t>
        </is>
      </c>
      <c r="IM39" s="9" t="inlineStr">
        <is>
          <t>FEBRUARY</t>
        </is>
      </c>
      <c r="IT39" s="9" t="inlineStr">
        <is>
          <t>FEB</t>
        </is>
      </c>
      <c r="IV39" s="9" t="inlineStr">
        <is>
          <t>FEBRUARY</t>
        </is>
      </c>
      <c r="JC39" s="9" t="inlineStr">
        <is>
          <t>FEB</t>
        </is>
      </c>
      <c r="JE39" s="9" t="inlineStr">
        <is>
          <t>FEBRUARY</t>
        </is>
      </c>
      <c r="JL39" s="9" t="inlineStr">
        <is>
          <t>FEB</t>
        </is>
      </c>
      <c r="JN39" s="9" t="inlineStr">
        <is>
          <t>FEBRUARY</t>
        </is>
      </c>
      <c r="JU39" s="9" t="inlineStr">
        <is>
          <t>FEB</t>
        </is>
      </c>
      <c r="JW39" s="9" t="inlineStr">
        <is>
          <t>FEBRUARY</t>
        </is>
      </c>
      <c r="KD39" s="9" t="inlineStr">
        <is>
          <t>FEB</t>
        </is>
      </c>
      <c r="KF39" s="9" t="inlineStr">
        <is>
          <t>FEBRUARY</t>
        </is>
      </c>
      <c r="KM39" s="9" t="inlineStr">
        <is>
          <t>FEB</t>
        </is>
      </c>
      <c r="KO39" s="9" t="inlineStr">
        <is>
          <t>FEBRUARY</t>
        </is>
      </c>
      <c r="KV39" s="9" t="inlineStr">
        <is>
          <t>FEB</t>
        </is>
      </c>
      <c r="KX39" s="9" t="inlineStr">
        <is>
          <t>FEBRUARY</t>
        </is>
      </c>
      <c r="LE39" s="9" t="inlineStr">
        <is>
          <t>FEB</t>
        </is>
      </c>
      <c r="LG39" s="9" t="inlineStr">
        <is>
          <t>FEBRUARY</t>
        </is>
      </c>
      <c r="LN39" s="9" t="inlineStr">
        <is>
          <t>FEB</t>
        </is>
      </c>
      <c r="LP39" s="9" t="inlineStr">
        <is>
          <t>FEBRUARY</t>
        </is>
      </c>
      <c r="LW39" s="9" t="inlineStr">
        <is>
          <t>FEB</t>
        </is>
      </c>
      <c r="LY39" s="9" t="inlineStr">
        <is>
          <t>FEBRUARY</t>
        </is>
      </c>
      <c r="MF39" s="9" t="inlineStr">
        <is>
          <t>FEB</t>
        </is>
      </c>
      <c r="MH39" s="9" t="inlineStr">
        <is>
          <t>FEBRUARY</t>
        </is>
      </c>
      <c r="MO39" s="9" t="inlineStr">
        <is>
          <t>FEB</t>
        </is>
      </c>
      <c r="MQ39" s="9" t="inlineStr">
        <is>
          <t>FEBRUARY</t>
        </is>
      </c>
      <c r="MX39" s="9" t="inlineStr">
        <is>
          <t>FEB</t>
        </is>
      </c>
      <c r="MZ39" s="9" t="inlineStr">
        <is>
          <t>FEBRUARY</t>
        </is>
      </c>
      <c r="NG39" s="9" t="inlineStr">
        <is>
          <t>FEB</t>
        </is>
      </c>
      <c r="NI39" s="9" t="inlineStr">
        <is>
          <t>FEBRUARY</t>
        </is>
      </c>
      <c r="NP39" s="9" t="inlineStr">
        <is>
          <t>FEB</t>
        </is>
      </c>
      <c r="NR39" s="9" t="inlineStr">
        <is>
          <t>FEBRUARY</t>
        </is>
      </c>
      <c r="NY39" s="9" t="inlineStr">
        <is>
          <t>FEB</t>
        </is>
      </c>
      <c r="OA39" s="9" t="inlineStr">
        <is>
          <t>FEBRUARY</t>
        </is>
      </c>
      <c r="OH39" s="9" t="inlineStr">
        <is>
          <t>FEB</t>
        </is>
      </c>
      <c r="OJ39" s="9" t="inlineStr">
        <is>
          <t>FEBRUARY</t>
        </is>
      </c>
      <c r="OQ39" s="9" t="inlineStr">
        <is>
          <t>FEB</t>
        </is>
      </c>
      <c r="OS39" s="9" t="inlineStr">
        <is>
          <t>FEBRUARY</t>
        </is>
      </c>
      <c r="OZ39" s="9" t="inlineStr">
        <is>
          <t>FEB</t>
        </is>
      </c>
      <c r="PB39" s="9" t="inlineStr">
        <is>
          <t>FEBRUARY</t>
        </is>
      </c>
      <c r="PI39" s="9" t="inlineStr">
        <is>
          <t>FEB</t>
        </is>
      </c>
      <c r="PK39" s="9" t="inlineStr">
        <is>
          <t>FEBRUARY</t>
        </is>
      </c>
      <c r="PR39" s="9" t="inlineStr">
        <is>
          <t>FEB</t>
        </is>
      </c>
      <c r="PT39" s="9" t="inlineStr">
        <is>
          <t>FEBRUARY</t>
        </is>
      </c>
      <c r="QA39" s="9" t="inlineStr">
        <is>
          <t>FEB</t>
        </is>
      </c>
      <c r="QC39" s="9" t="inlineStr">
        <is>
          <t>FEBRUARY</t>
        </is>
      </c>
      <c r="QJ39" s="9" t="inlineStr">
        <is>
          <t>FEB</t>
        </is>
      </c>
      <c r="QL39" s="9" t="inlineStr">
        <is>
          <t>FEBRUARY</t>
        </is>
      </c>
      <c r="QS39" s="9" t="inlineStr">
        <is>
          <t>FEB</t>
        </is>
      </c>
      <c r="QU39" s="9" t="inlineStr">
        <is>
          <t>FEBRUARY</t>
        </is>
      </c>
      <c r="RB39" s="9" t="inlineStr">
        <is>
          <t>FEB</t>
        </is>
      </c>
      <c r="RD39" s="9" t="inlineStr">
        <is>
          <t>FEBRUARY</t>
        </is>
      </c>
      <c r="RK39" s="9" t="inlineStr">
        <is>
          <t>FEB</t>
        </is>
      </c>
      <c r="RM39" s="9" t="inlineStr">
        <is>
          <t>FEBRUARY</t>
        </is>
      </c>
      <c r="RT39" s="9" t="inlineStr">
        <is>
          <t>FEB</t>
        </is>
      </c>
      <c r="RV39" s="9" t="inlineStr">
        <is>
          <t>FEBRUARY</t>
        </is>
      </c>
      <c r="SC39" s="9" t="inlineStr">
        <is>
          <t>FEB</t>
        </is>
      </c>
      <c r="SE39" s="9" t="inlineStr">
        <is>
          <t>FEBRUARY</t>
        </is>
      </c>
      <c r="SL39" s="9" t="inlineStr">
        <is>
          <t>FEB</t>
        </is>
      </c>
      <c r="SN39" s="9" t="inlineStr">
        <is>
          <t>FEBRUARY</t>
        </is>
      </c>
      <c r="SU39" s="9" t="inlineStr">
        <is>
          <t>FEB</t>
        </is>
      </c>
      <c r="SW39" s="9" t="inlineStr">
        <is>
          <t>FEBRUARY</t>
        </is>
      </c>
      <c r="TD39" s="9" t="inlineStr">
        <is>
          <t>FEB</t>
        </is>
      </c>
      <c r="TF39" s="9" t="inlineStr">
        <is>
          <t>FEBRUARY</t>
        </is>
      </c>
      <c r="TM39" s="9" t="inlineStr">
        <is>
          <t>FEB</t>
        </is>
      </c>
      <c r="TO39" s="9" t="inlineStr">
        <is>
          <t>FEBRUARY</t>
        </is>
      </c>
      <c r="TV39" s="9" t="inlineStr">
        <is>
          <t>FEB</t>
        </is>
      </c>
      <c r="TX39" s="9" t="inlineStr">
        <is>
          <t>FEBRUARY</t>
        </is>
      </c>
      <c r="UE39" s="9" t="inlineStr">
        <is>
          <t>FEB</t>
        </is>
      </c>
      <c r="UG39" s="9" t="inlineStr">
        <is>
          <t>FEBRUARY</t>
        </is>
      </c>
      <c r="UN39" s="9" t="inlineStr">
        <is>
          <t>FEB</t>
        </is>
      </c>
      <c r="UP39" s="9" t="inlineStr">
        <is>
          <t>FEBRUARY</t>
        </is>
      </c>
      <c r="UW39" s="9" t="inlineStr">
        <is>
          <t>FEB</t>
        </is>
      </c>
      <c r="UY39" s="9" t="inlineStr">
        <is>
          <t>FEBRUARY</t>
        </is>
      </c>
      <c r="VF39" s="9" t="inlineStr">
        <is>
          <t>FEB</t>
        </is>
      </c>
      <c r="VH39" s="9" t="inlineStr">
        <is>
          <t>FEBRUARY</t>
        </is>
      </c>
      <c r="VO39" s="9" t="inlineStr">
        <is>
          <t>FEB</t>
        </is>
      </c>
      <c r="VQ39" s="9" t="inlineStr">
        <is>
          <t>FEBRUARY</t>
        </is>
      </c>
      <c r="VX39" s="9" t="inlineStr">
        <is>
          <t>FEB</t>
        </is>
      </c>
      <c r="VZ39" s="9" t="inlineStr">
        <is>
          <t>FEBRUARY</t>
        </is>
      </c>
      <c r="WG39" s="9" t="inlineStr">
        <is>
          <t>FEB</t>
        </is>
      </c>
      <c r="WI39" s="9" t="inlineStr">
        <is>
          <t>FEBRUARY</t>
        </is>
      </c>
      <c r="WP39" s="9" t="inlineStr">
        <is>
          <t>FEB</t>
        </is>
      </c>
      <c r="WR39" s="9" t="inlineStr">
        <is>
          <t>FEBRUARY</t>
        </is>
      </c>
      <c r="WY39" s="9" t="inlineStr">
        <is>
          <t>FEB</t>
        </is>
      </c>
      <c r="XA39" s="9" t="inlineStr">
        <is>
          <t>FEBRUARY</t>
        </is>
      </c>
      <c r="XH39" s="9" t="inlineStr">
        <is>
          <t>FEB</t>
        </is>
      </c>
      <c r="XJ39" s="9" t="inlineStr">
        <is>
          <t>FEBRUARY</t>
        </is>
      </c>
      <c r="XQ39" s="9" t="inlineStr">
        <is>
          <t>FEB</t>
        </is>
      </c>
      <c r="XS39" s="9" t="inlineStr">
        <is>
          <t>FEBRUARY</t>
        </is>
      </c>
      <c r="XZ39" s="9" t="inlineStr">
        <is>
          <t>FEB</t>
        </is>
      </c>
      <c r="YB39" s="9" t="inlineStr">
        <is>
          <t>FEBRUARY</t>
        </is>
      </c>
      <c r="YI39" s="9" t="inlineStr">
        <is>
          <t>FEB</t>
        </is>
      </c>
      <c r="YK39" s="9" t="inlineStr">
        <is>
          <t>FEBRUARY</t>
        </is>
      </c>
      <c r="YR39" s="9" t="inlineStr">
        <is>
          <t>FEB</t>
        </is>
      </c>
      <c r="YT39" s="9" t="inlineStr">
        <is>
          <t>FEBRUARY</t>
        </is>
      </c>
      <c r="ZA39" s="9" t="inlineStr">
        <is>
          <t>FEB</t>
        </is>
      </c>
      <c r="ZC39" s="9" t="inlineStr">
        <is>
          <t>FEBRUARY</t>
        </is>
      </c>
      <c r="ZJ39" s="9" t="inlineStr">
        <is>
          <t>FEB</t>
        </is>
      </c>
      <c r="ZL39" s="9" t="inlineStr">
        <is>
          <t>FEBRUARY</t>
        </is>
      </c>
      <c r="ZS39" s="9" t="inlineStr">
        <is>
          <t>FEB</t>
        </is>
      </c>
      <c r="ZU39" s="9" t="inlineStr">
        <is>
          <t>FEBRUARY</t>
        </is>
      </c>
      <c r="AAB39" s="9" t="inlineStr">
        <is>
          <t>FEB</t>
        </is>
      </c>
      <c r="AAD39" s="9" t="inlineStr">
        <is>
          <t>FEBRUARY</t>
        </is>
      </c>
      <c r="AAK39" s="9" t="inlineStr">
        <is>
          <t>FEB</t>
        </is>
      </c>
      <c r="AAM39" s="9" t="inlineStr">
        <is>
          <t>FEBRUARY</t>
        </is>
      </c>
      <c r="AAT39" s="9" t="inlineStr">
        <is>
          <t>FEB</t>
        </is>
      </c>
      <c r="AAV39" s="9" t="inlineStr">
        <is>
          <t>FEBRUARY</t>
        </is>
      </c>
      <c r="ABC39" s="9" t="inlineStr">
        <is>
          <t>FEB</t>
        </is>
      </c>
      <c r="ABE39" s="9" t="inlineStr">
        <is>
          <t>FEBRUARY</t>
        </is>
      </c>
    </row>
    <row r="40">
      <c r="C40" s="9" t="inlineStr">
        <is>
          <t>Date</t>
        </is>
      </c>
      <c r="D40" s="9" t="inlineStr">
        <is>
          <t>Intake</t>
        </is>
      </c>
      <c r="E40" s="9" t="inlineStr">
        <is>
          <t>Usage</t>
        </is>
      </c>
      <c r="F40" s="9" t="inlineStr">
        <is>
          <t>Actual</t>
        </is>
      </c>
      <c r="G40" s="9" t="inlineStr">
        <is>
          <t>Adjustment</t>
        </is>
      </c>
      <c r="H40" s="9" t="inlineStr">
        <is>
          <t>Balance</t>
        </is>
      </c>
      <c r="I40" s="9" t="inlineStr">
        <is>
          <t>Remarks</t>
        </is>
      </c>
      <c r="L40" s="9" t="inlineStr">
        <is>
          <t>Date</t>
        </is>
      </c>
      <c r="M40" s="9" t="inlineStr">
        <is>
          <t>Intake</t>
        </is>
      </c>
      <c r="N40" s="9" t="inlineStr">
        <is>
          <t>Usage</t>
        </is>
      </c>
      <c r="O40" s="9" t="inlineStr">
        <is>
          <t>Actual</t>
        </is>
      </c>
      <c r="P40" s="9" t="inlineStr">
        <is>
          <t>Adjustment</t>
        </is>
      </c>
      <c r="Q40" s="9" t="inlineStr">
        <is>
          <t>Balance</t>
        </is>
      </c>
      <c r="R40" s="9" t="inlineStr">
        <is>
          <t>Remarks</t>
        </is>
      </c>
      <c r="U40" s="9" t="inlineStr">
        <is>
          <t>Date</t>
        </is>
      </c>
      <c r="V40" s="9" t="inlineStr">
        <is>
          <t>Intake</t>
        </is>
      </c>
      <c r="W40" s="9" t="inlineStr">
        <is>
          <t>Usage</t>
        </is>
      </c>
      <c r="X40" s="9" t="inlineStr">
        <is>
          <t>Actual</t>
        </is>
      </c>
      <c r="Y40" s="9" t="inlineStr">
        <is>
          <t>Adjustment</t>
        </is>
      </c>
      <c r="Z40" s="9" t="inlineStr">
        <is>
          <t>Balance</t>
        </is>
      </c>
      <c r="AA40" s="9" t="inlineStr">
        <is>
          <t>Remarks</t>
        </is>
      </c>
      <c r="AD40" s="9" t="inlineStr">
        <is>
          <t>Date</t>
        </is>
      </c>
      <c r="AE40" s="9" t="inlineStr">
        <is>
          <t>Intake</t>
        </is>
      </c>
      <c r="AF40" s="9" t="inlineStr">
        <is>
          <t>Usage</t>
        </is>
      </c>
      <c r="AG40" s="9" t="inlineStr">
        <is>
          <t>Actual</t>
        </is>
      </c>
      <c r="AH40" s="9" t="inlineStr">
        <is>
          <t>Adjustment</t>
        </is>
      </c>
      <c r="AI40" s="9" t="inlineStr">
        <is>
          <t>Balance</t>
        </is>
      </c>
      <c r="AJ40" s="9" t="inlineStr">
        <is>
          <t>Remarks</t>
        </is>
      </c>
      <c r="AM40" s="9" t="inlineStr">
        <is>
          <t>Date</t>
        </is>
      </c>
      <c r="AN40" s="9" t="inlineStr">
        <is>
          <t>Intake</t>
        </is>
      </c>
      <c r="AO40" s="9" t="inlineStr">
        <is>
          <t>Usage</t>
        </is>
      </c>
      <c r="AP40" s="9" t="inlineStr">
        <is>
          <t>Actual</t>
        </is>
      </c>
      <c r="AQ40" s="9" t="inlineStr">
        <is>
          <t>Adjustment</t>
        </is>
      </c>
      <c r="AR40" s="9" t="inlineStr">
        <is>
          <t>Balance</t>
        </is>
      </c>
      <c r="AS40" s="9" t="inlineStr">
        <is>
          <t>Remarks</t>
        </is>
      </c>
      <c r="AV40" s="9" t="inlineStr">
        <is>
          <t>Date</t>
        </is>
      </c>
      <c r="AW40" s="9" t="inlineStr">
        <is>
          <t>Intake</t>
        </is>
      </c>
      <c r="AX40" s="9" t="inlineStr">
        <is>
          <t>Usage</t>
        </is>
      </c>
      <c r="AY40" s="9" t="inlineStr">
        <is>
          <t>Actual</t>
        </is>
      </c>
      <c r="AZ40" s="9" t="inlineStr">
        <is>
          <t>Adjustment</t>
        </is>
      </c>
      <c r="BA40" s="9" t="inlineStr">
        <is>
          <t>Balance</t>
        </is>
      </c>
      <c r="BB40" s="9" t="inlineStr">
        <is>
          <t>Remarks</t>
        </is>
      </c>
      <c r="BE40" s="9" t="inlineStr">
        <is>
          <t>Date</t>
        </is>
      </c>
      <c r="BF40" s="9" t="inlineStr">
        <is>
          <t>Intake</t>
        </is>
      </c>
      <c r="BG40" s="9" t="inlineStr">
        <is>
          <t>Usage</t>
        </is>
      </c>
      <c r="BH40" s="9" t="inlineStr">
        <is>
          <t>Actual</t>
        </is>
      </c>
      <c r="BI40" s="9" t="inlineStr">
        <is>
          <t>Adjustment</t>
        </is>
      </c>
      <c r="BJ40" s="9" t="inlineStr">
        <is>
          <t>Balance</t>
        </is>
      </c>
      <c r="BK40" s="9" t="inlineStr">
        <is>
          <t>Remarks</t>
        </is>
      </c>
      <c r="BN40" s="9" t="inlineStr">
        <is>
          <t>Date</t>
        </is>
      </c>
      <c r="BO40" s="9" t="inlineStr">
        <is>
          <t>Intake</t>
        </is>
      </c>
      <c r="BP40" s="9" t="inlineStr">
        <is>
          <t>Usage</t>
        </is>
      </c>
      <c r="BQ40" s="9" t="inlineStr">
        <is>
          <t>Actual</t>
        </is>
      </c>
      <c r="BR40" s="9" t="inlineStr">
        <is>
          <t>Adjustment</t>
        </is>
      </c>
      <c r="BS40" s="9" t="inlineStr">
        <is>
          <t>Balance</t>
        </is>
      </c>
      <c r="BT40" s="9" t="inlineStr">
        <is>
          <t>Remarks</t>
        </is>
      </c>
      <c r="BW40" s="9" t="inlineStr">
        <is>
          <t>Date</t>
        </is>
      </c>
      <c r="BX40" s="9" t="inlineStr">
        <is>
          <t>Intake</t>
        </is>
      </c>
      <c r="BY40" s="9" t="inlineStr">
        <is>
          <t>Usage</t>
        </is>
      </c>
      <c r="BZ40" s="9" t="inlineStr">
        <is>
          <t>Actual</t>
        </is>
      </c>
      <c r="CA40" s="9" t="inlineStr">
        <is>
          <t>Adjustment</t>
        </is>
      </c>
      <c r="CB40" s="9" t="inlineStr">
        <is>
          <t>Balance</t>
        </is>
      </c>
      <c r="CC40" s="9" t="inlineStr">
        <is>
          <t>Remarks</t>
        </is>
      </c>
      <c r="CF40" s="9" t="inlineStr">
        <is>
          <t>Date</t>
        </is>
      </c>
      <c r="CG40" s="9" t="inlineStr">
        <is>
          <t>Intake</t>
        </is>
      </c>
      <c r="CH40" s="9" t="inlineStr">
        <is>
          <t>Usage</t>
        </is>
      </c>
      <c r="CI40" s="9" t="inlineStr">
        <is>
          <t>Actual</t>
        </is>
      </c>
      <c r="CJ40" s="9" t="inlineStr">
        <is>
          <t>Adjustment</t>
        </is>
      </c>
      <c r="CK40" s="9" t="inlineStr">
        <is>
          <t>Balance</t>
        </is>
      </c>
      <c r="CL40" s="9" t="inlineStr">
        <is>
          <t>Remarks</t>
        </is>
      </c>
      <c r="CO40" s="9" t="inlineStr">
        <is>
          <t>Date</t>
        </is>
      </c>
      <c r="CP40" s="9" t="inlineStr">
        <is>
          <t>Intake</t>
        </is>
      </c>
      <c r="CQ40" s="9" t="inlineStr">
        <is>
          <t>Usage</t>
        </is>
      </c>
      <c r="CR40" s="9" t="inlineStr">
        <is>
          <t>Actual</t>
        </is>
      </c>
      <c r="CS40" s="9" t="inlineStr">
        <is>
          <t>Adjustment</t>
        </is>
      </c>
      <c r="CT40" s="9" t="inlineStr">
        <is>
          <t>Balance</t>
        </is>
      </c>
      <c r="CU40" s="9" t="inlineStr">
        <is>
          <t>Remarks</t>
        </is>
      </c>
      <c r="CX40" s="9" t="inlineStr">
        <is>
          <t>Date</t>
        </is>
      </c>
      <c r="CY40" s="9" t="inlineStr">
        <is>
          <t>Intake</t>
        </is>
      </c>
      <c r="CZ40" s="9" t="inlineStr">
        <is>
          <t>Usage</t>
        </is>
      </c>
      <c r="DA40" s="9" t="inlineStr">
        <is>
          <t>Actual</t>
        </is>
      </c>
      <c r="DB40" s="9" t="inlineStr">
        <is>
          <t>Adjustment</t>
        </is>
      </c>
      <c r="DC40" s="9" t="inlineStr">
        <is>
          <t>Balance</t>
        </is>
      </c>
      <c r="DD40" s="9" t="inlineStr">
        <is>
          <t>Remarks</t>
        </is>
      </c>
      <c r="DG40" s="9" t="inlineStr">
        <is>
          <t>Date</t>
        </is>
      </c>
      <c r="DH40" s="9" t="inlineStr">
        <is>
          <t>Intake</t>
        </is>
      </c>
      <c r="DI40" s="9" t="inlineStr">
        <is>
          <t>Usage</t>
        </is>
      </c>
      <c r="DJ40" s="9" t="inlineStr">
        <is>
          <t>Actual</t>
        </is>
      </c>
      <c r="DK40" s="9" t="inlineStr">
        <is>
          <t>Adjustment</t>
        </is>
      </c>
      <c r="DL40" s="9" t="inlineStr">
        <is>
          <t>Balance</t>
        </is>
      </c>
      <c r="DM40" s="9" t="inlineStr">
        <is>
          <t>Remarks</t>
        </is>
      </c>
      <c r="DP40" s="9" t="inlineStr">
        <is>
          <t>Date</t>
        </is>
      </c>
      <c r="DQ40" s="9" t="inlineStr">
        <is>
          <t>Intake</t>
        </is>
      </c>
      <c r="DR40" s="9" t="inlineStr">
        <is>
          <t>Usage</t>
        </is>
      </c>
      <c r="DS40" s="9" t="inlineStr">
        <is>
          <t>Actual</t>
        </is>
      </c>
      <c r="DT40" s="9" t="inlineStr">
        <is>
          <t>Adjustment</t>
        </is>
      </c>
      <c r="DU40" s="9" t="inlineStr">
        <is>
          <t>Balance</t>
        </is>
      </c>
      <c r="DV40" s="9" t="inlineStr">
        <is>
          <t>Remarks</t>
        </is>
      </c>
      <c r="DY40" s="9" t="inlineStr">
        <is>
          <t>Date</t>
        </is>
      </c>
      <c r="DZ40" s="9" t="inlineStr">
        <is>
          <t>Intake</t>
        </is>
      </c>
      <c r="EA40" s="9" t="inlineStr">
        <is>
          <t>Usage</t>
        </is>
      </c>
      <c r="EB40" s="9" t="inlineStr">
        <is>
          <t>Actual</t>
        </is>
      </c>
      <c r="EC40" s="9" t="inlineStr">
        <is>
          <t>Adjustment</t>
        </is>
      </c>
      <c r="ED40" s="9" t="inlineStr">
        <is>
          <t>Balance</t>
        </is>
      </c>
      <c r="EE40" s="9" t="inlineStr">
        <is>
          <t>Remarks</t>
        </is>
      </c>
      <c r="EH40" s="9" t="inlineStr">
        <is>
          <t>Date</t>
        </is>
      </c>
      <c r="EI40" s="9" t="inlineStr">
        <is>
          <t>Intake</t>
        </is>
      </c>
      <c r="EJ40" s="9" t="inlineStr">
        <is>
          <t>Usage</t>
        </is>
      </c>
      <c r="EK40" s="9" t="inlineStr">
        <is>
          <t>Actual</t>
        </is>
      </c>
      <c r="EL40" s="9" t="inlineStr">
        <is>
          <t>Adjustment</t>
        </is>
      </c>
      <c r="EM40" s="9" t="inlineStr">
        <is>
          <t>Balance</t>
        </is>
      </c>
      <c r="EN40" s="9" t="inlineStr">
        <is>
          <t>Remarks</t>
        </is>
      </c>
      <c r="EQ40" s="9" t="inlineStr">
        <is>
          <t>Date</t>
        </is>
      </c>
      <c r="ER40" s="9" t="inlineStr">
        <is>
          <t>Intake</t>
        </is>
      </c>
      <c r="ES40" s="9" t="inlineStr">
        <is>
          <t>Usage</t>
        </is>
      </c>
      <c r="ET40" s="9" t="inlineStr">
        <is>
          <t>Actual</t>
        </is>
      </c>
      <c r="EU40" s="9" t="inlineStr">
        <is>
          <t>Adjustment</t>
        </is>
      </c>
      <c r="EV40" s="9" t="inlineStr">
        <is>
          <t>Balance</t>
        </is>
      </c>
      <c r="EW40" s="9" t="inlineStr">
        <is>
          <t>Remarks</t>
        </is>
      </c>
      <c r="EZ40" s="9" t="inlineStr">
        <is>
          <t>Date</t>
        </is>
      </c>
      <c r="FA40" s="9" t="inlineStr">
        <is>
          <t>Intake</t>
        </is>
      </c>
      <c r="FB40" s="9" t="inlineStr">
        <is>
          <t>Usage</t>
        </is>
      </c>
      <c r="FC40" s="9" t="inlineStr">
        <is>
          <t>Actual</t>
        </is>
      </c>
      <c r="FD40" s="9" t="inlineStr">
        <is>
          <t>Adjustment</t>
        </is>
      </c>
      <c r="FE40" s="9" t="inlineStr">
        <is>
          <t>Balance</t>
        </is>
      </c>
      <c r="FF40" s="9" t="inlineStr">
        <is>
          <t>Remarks</t>
        </is>
      </c>
      <c r="FI40" s="9" t="inlineStr">
        <is>
          <t>Date</t>
        </is>
      </c>
      <c r="FJ40" s="9" t="inlineStr">
        <is>
          <t>Intake</t>
        </is>
      </c>
      <c r="FK40" s="9" t="inlineStr">
        <is>
          <t>Usage</t>
        </is>
      </c>
      <c r="FL40" s="9" t="inlineStr">
        <is>
          <t>Actual</t>
        </is>
      </c>
      <c r="FM40" s="9" t="inlineStr">
        <is>
          <t>Adjustment</t>
        </is>
      </c>
      <c r="FN40" s="9" t="inlineStr">
        <is>
          <t>Balance</t>
        </is>
      </c>
      <c r="FO40" s="9" t="inlineStr">
        <is>
          <t>Remarks</t>
        </is>
      </c>
      <c r="FR40" s="9" t="inlineStr">
        <is>
          <t>Date</t>
        </is>
      </c>
      <c r="FS40" s="9" t="inlineStr">
        <is>
          <t>Intake</t>
        </is>
      </c>
      <c r="FT40" s="9" t="inlineStr">
        <is>
          <t>Usage</t>
        </is>
      </c>
      <c r="FU40" s="9" t="inlineStr">
        <is>
          <t>Actual</t>
        </is>
      </c>
      <c r="FV40" s="9" t="inlineStr">
        <is>
          <t>Adjustment</t>
        </is>
      </c>
      <c r="FW40" s="9" t="inlineStr">
        <is>
          <t>Balance</t>
        </is>
      </c>
      <c r="FX40" s="9" t="inlineStr">
        <is>
          <t>Remarks</t>
        </is>
      </c>
      <c r="GA40" s="9" t="inlineStr">
        <is>
          <t>Date</t>
        </is>
      </c>
      <c r="GB40" s="9" t="inlineStr">
        <is>
          <t>Intake</t>
        </is>
      </c>
      <c r="GC40" s="9" t="inlineStr">
        <is>
          <t>Usage</t>
        </is>
      </c>
      <c r="GD40" s="9" t="inlineStr">
        <is>
          <t>Actual</t>
        </is>
      </c>
      <c r="GE40" s="9" t="inlineStr">
        <is>
          <t>Adjustment</t>
        </is>
      </c>
      <c r="GF40" s="9" t="inlineStr">
        <is>
          <t>Balance</t>
        </is>
      </c>
      <c r="GG40" s="9" t="inlineStr">
        <is>
          <t>Remarks</t>
        </is>
      </c>
      <c r="GJ40" s="9" t="inlineStr">
        <is>
          <t>Date</t>
        </is>
      </c>
      <c r="GK40" s="9" t="inlineStr">
        <is>
          <t>Intake</t>
        </is>
      </c>
      <c r="GL40" s="9" t="inlineStr">
        <is>
          <t>Usage</t>
        </is>
      </c>
      <c r="GM40" s="9" t="inlineStr">
        <is>
          <t>Actual</t>
        </is>
      </c>
      <c r="GN40" s="9" t="inlineStr">
        <is>
          <t>Adjustment</t>
        </is>
      </c>
      <c r="GO40" s="9" t="inlineStr">
        <is>
          <t>Balance</t>
        </is>
      </c>
      <c r="GP40" s="9" t="inlineStr">
        <is>
          <t>Remarks</t>
        </is>
      </c>
      <c r="GS40" s="9" t="inlineStr">
        <is>
          <t>Date</t>
        </is>
      </c>
      <c r="GT40" s="9" t="inlineStr">
        <is>
          <t>Intake</t>
        </is>
      </c>
      <c r="GU40" s="9" t="inlineStr">
        <is>
          <t>Usage</t>
        </is>
      </c>
      <c r="GV40" s="9" t="inlineStr">
        <is>
          <t>Actual</t>
        </is>
      </c>
      <c r="GW40" s="9" t="inlineStr">
        <is>
          <t>Adjustment</t>
        </is>
      </c>
      <c r="GX40" s="9" t="inlineStr">
        <is>
          <t>Balance</t>
        </is>
      </c>
      <c r="GY40" s="9" t="inlineStr">
        <is>
          <t>Remarks</t>
        </is>
      </c>
      <c r="HB40" s="9" t="inlineStr">
        <is>
          <t>Date</t>
        </is>
      </c>
      <c r="HC40" s="9" t="inlineStr">
        <is>
          <t>Intake</t>
        </is>
      </c>
      <c r="HD40" s="9" t="inlineStr">
        <is>
          <t>Usage</t>
        </is>
      </c>
      <c r="HE40" s="9" t="inlineStr">
        <is>
          <t>Actual</t>
        </is>
      </c>
      <c r="HF40" s="9" t="inlineStr">
        <is>
          <t>Adjustment</t>
        </is>
      </c>
      <c r="HG40" s="9" t="inlineStr">
        <is>
          <t>Balance</t>
        </is>
      </c>
      <c r="HH40" s="9" t="inlineStr">
        <is>
          <t>Remarks</t>
        </is>
      </c>
      <c r="HK40" s="9" t="inlineStr">
        <is>
          <t>Date</t>
        </is>
      </c>
      <c r="HL40" s="9" t="inlineStr">
        <is>
          <t>Intake</t>
        </is>
      </c>
      <c r="HM40" s="9" t="inlineStr">
        <is>
          <t>Usage</t>
        </is>
      </c>
      <c r="HN40" s="9" t="inlineStr">
        <is>
          <t>Actual</t>
        </is>
      </c>
      <c r="HO40" s="9" t="inlineStr">
        <is>
          <t>Adjustment</t>
        </is>
      </c>
      <c r="HP40" s="9" t="inlineStr">
        <is>
          <t>Balance</t>
        </is>
      </c>
      <c r="HQ40" s="9" t="inlineStr">
        <is>
          <t>Remarks</t>
        </is>
      </c>
      <c r="HU40" s="9" t="inlineStr">
        <is>
          <t>Date</t>
        </is>
      </c>
      <c r="HV40" s="9" t="inlineStr">
        <is>
          <t>Intake</t>
        </is>
      </c>
      <c r="HW40" s="9" t="inlineStr">
        <is>
          <t>Usage</t>
        </is>
      </c>
      <c r="HX40" s="9" t="inlineStr">
        <is>
          <t>Actual</t>
        </is>
      </c>
      <c r="HY40" s="9" t="inlineStr">
        <is>
          <t>Adjustment</t>
        </is>
      </c>
      <c r="HZ40" s="9" t="inlineStr">
        <is>
          <t>Balance</t>
        </is>
      </c>
      <c r="IA40" s="9" t="inlineStr">
        <is>
          <t>Remarks</t>
        </is>
      </c>
      <c r="ID40" s="9" t="inlineStr">
        <is>
          <t>Date</t>
        </is>
      </c>
      <c r="IE40" s="9" t="inlineStr">
        <is>
          <t>Intake</t>
        </is>
      </c>
      <c r="IF40" s="9" t="inlineStr">
        <is>
          <t>Usage</t>
        </is>
      </c>
      <c r="IG40" s="9" t="inlineStr">
        <is>
          <t>Actual</t>
        </is>
      </c>
      <c r="IH40" s="9" t="inlineStr">
        <is>
          <t>Adjustment</t>
        </is>
      </c>
      <c r="II40" s="9" t="inlineStr">
        <is>
          <t>Balance</t>
        </is>
      </c>
      <c r="IJ40" s="9" t="inlineStr">
        <is>
          <t>Remarks</t>
        </is>
      </c>
      <c r="IM40" s="9" t="inlineStr">
        <is>
          <t>Date</t>
        </is>
      </c>
      <c r="IN40" s="9" t="inlineStr">
        <is>
          <t>Intake</t>
        </is>
      </c>
      <c r="IO40" s="9" t="inlineStr">
        <is>
          <t>Usage</t>
        </is>
      </c>
      <c r="IP40" s="9" t="inlineStr">
        <is>
          <t>Actual</t>
        </is>
      </c>
      <c r="IQ40" s="9" t="inlineStr">
        <is>
          <t>Adjustment</t>
        </is>
      </c>
      <c r="IR40" s="9" t="inlineStr">
        <is>
          <t>Balance</t>
        </is>
      </c>
      <c r="IS40" s="9" t="inlineStr">
        <is>
          <t>Remarks</t>
        </is>
      </c>
      <c r="IV40" s="9" t="inlineStr">
        <is>
          <t>Date</t>
        </is>
      </c>
      <c r="IW40" s="9" t="inlineStr">
        <is>
          <t>Intake</t>
        </is>
      </c>
      <c r="IX40" s="9" t="inlineStr">
        <is>
          <t>Usage</t>
        </is>
      </c>
      <c r="IY40" s="9" t="inlineStr">
        <is>
          <t>Actual</t>
        </is>
      </c>
      <c r="IZ40" s="9" t="inlineStr">
        <is>
          <t>Adjustment</t>
        </is>
      </c>
      <c r="JA40" s="9" t="inlineStr">
        <is>
          <t>Balance</t>
        </is>
      </c>
      <c r="JB40" s="9" t="inlineStr">
        <is>
          <t>Remarks</t>
        </is>
      </c>
      <c r="JE40" s="9" t="inlineStr">
        <is>
          <t>Date</t>
        </is>
      </c>
      <c r="JF40" s="9" t="inlineStr">
        <is>
          <t>Intake</t>
        </is>
      </c>
      <c r="JG40" s="9" t="inlineStr">
        <is>
          <t>Usage</t>
        </is>
      </c>
      <c r="JH40" s="9" t="inlineStr">
        <is>
          <t>Actual</t>
        </is>
      </c>
      <c r="JI40" s="9" t="inlineStr">
        <is>
          <t>Adjustment</t>
        </is>
      </c>
      <c r="JJ40" s="9" t="inlineStr">
        <is>
          <t>Balance</t>
        </is>
      </c>
      <c r="JK40" s="9" t="inlineStr">
        <is>
          <t>Remarks</t>
        </is>
      </c>
      <c r="JN40" s="9" t="inlineStr">
        <is>
          <t>Date</t>
        </is>
      </c>
      <c r="JO40" s="9" t="inlineStr">
        <is>
          <t>Intake</t>
        </is>
      </c>
      <c r="JP40" s="9" t="inlineStr">
        <is>
          <t>Usage</t>
        </is>
      </c>
      <c r="JQ40" s="9" t="inlineStr">
        <is>
          <t>Actual</t>
        </is>
      </c>
      <c r="JR40" s="9" t="inlineStr">
        <is>
          <t>Adjustment</t>
        </is>
      </c>
      <c r="JS40" s="9" t="inlineStr">
        <is>
          <t>Balance</t>
        </is>
      </c>
      <c r="JT40" s="9" t="inlineStr">
        <is>
          <t>Remarks</t>
        </is>
      </c>
      <c r="JW40" s="9" t="inlineStr">
        <is>
          <t>Date</t>
        </is>
      </c>
      <c r="JX40" s="9" t="inlineStr">
        <is>
          <t>Intake</t>
        </is>
      </c>
      <c r="JY40" s="9" t="inlineStr">
        <is>
          <t>Usage</t>
        </is>
      </c>
      <c r="JZ40" s="9" t="inlineStr">
        <is>
          <t>Actual</t>
        </is>
      </c>
      <c r="KA40" s="9" t="inlineStr">
        <is>
          <t>Adjustment</t>
        </is>
      </c>
      <c r="KB40" s="9" t="inlineStr">
        <is>
          <t>Balance</t>
        </is>
      </c>
      <c r="KC40" s="9" t="inlineStr">
        <is>
          <t>Remarks</t>
        </is>
      </c>
      <c r="KF40" s="9" t="inlineStr">
        <is>
          <t>Date</t>
        </is>
      </c>
      <c r="KG40" s="9" t="inlineStr">
        <is>
          <t>Intake</t>
        </is>
      </c>
      <c r="KH40" s="9" t="inlineStr">
        <is>
          <t>Usage</t>
        </is>
      </c>
      <c r="KI40" s="9" t="inlineStr">
        <is>
          <t>Actual</t>
        </is>
      </c>
      <c r="KJ40" s="9" t="inlineStr">
        <is>
          <t>Adjustment</t>
        </is>
      </c>
      <c r="KK40" s="9" t="inlineStr">
        <is>
          <t>Balance</t>
        </is>
      </c>
      <c r="KL40" s="9" t="inlineStr">
        <is>
          <t>Remarks</t>
        </is>
      </c>
      <c r="KO40" s="9" t="inlineStr">
        <is>
          <t>Date</t>
        </is>
      </c>
      <c r="KP40" s="9" t="inlineStr">
        <is>
          <t>Intake</t>
        </is>
      </c>
      <c r="KQ40" s="9" t="inlineStr">
        <is>
          <t>Usage</t>
        </is>
      </c>
      <c r="KR40" s="9" t="inlineStr">
        <is>
          <t>Actual</t>
        </is>
      </c>
      <c r="KS40" s="9" t="inlineStr">
        <is>
          <t>Adjustment</t>
        </is>
      </c>
      <c r="KT40" s="9" t="inlineStr">
        <is>
          <t>Balance</t>
        </is>
      </c>
      <c r="KU40" s="9" t="inlineStr">
        <is>
          <t>Remarks</t>
        </is>
      </c>
      <c r="KX40" s="9" t="inlineStr">
        <is>
          <t>Date</t>
        </is>
      </c>
      <c r="KY40" s="9" t="inlineStr">
        <is>
          <t>Intake</t>
        </is>
      </c>
      <c r="KZ40" s="9" t="inlineStr">
        <is>
          <t>Usage</t>
        </is>
      </c>
      <c r="LA40" s="9" t="inlineStr">
        <is>
          <t>Actual</t>
        </is>
      </c>
      <c r="LB40" s="9" t="inlineStr">
        <is>
          <t>Adjustment</t>
        </is>
      </c>
      <c r="LC40" s="9" t="inlineStr">
        <is>
          <t>Balance</t>
        </is>
      </c>
      <c r="LD40" s="9" t="inlineStr">
        <is>
          <t>Remarks</t>
        </is>
      </c>
      <c r="LG40" s="9" t="inlineStr">
        <is>
          <t>Date</t>
        </is>
      </c>
      <c r="LH40" s="9" t="inlineStr">
        <is>
          <t>Intake</t>
        </is>
      </c>
      <c r="LI40" s="9" t="inlineStr">
        <is>
          <t>Usage</t>
        </is>
      </c>
      <c r="LJ40" s="9" t="inlineStr">
        <is>
          <t>Actual</t>
        </is>
      </c>
      <c r="LK40" s="9" t="inlineStr">
        <is>
          <t>Adjustment</t>
        </is>
      </c>
      <c r="LL40" s="9" t="inlineStr">
        <is>
          <t>Balance</t>
        </is>
      </c>
      <c r="LM40" s="9" t="inlineStr">
        <is>
          <t>Remarks</t>
        </is>
      </c>
      <c r="LP40" s="9" t="inlineStr">
        <is>
          <t>Date</t>
        </is>
      </c>
      <c r="LQ40" s="9" t="inlineStr">
        <is>
          <t>Intake</t>
        </is>
      </c>
      <c r="LR40" s="9" t="inlineStr">
        <is>
          <t>Usage</t>
        </is>
      </c>
      <c r="LS40" s="9" t="inlineStr">
        <is>
          <t>Actual</t>
        </is>
      </c>
      <c r="LT40" s="9" t="inlineStr">
        <is>
          <t>Adjustment</t>
        </is>
      </c>
      <c r="LU40" s="9" t="inlineStr">
        <is>
          <t>Balance</t>
        </is>
      </c>
      <c r="LV40" s="9" t="inlineStr">
        <is>
          <t>Remarks</t>
        </is>
      </c>
      <c r="LY40" s="9" t="inlineStr">
        <is>
          <t>Date</t>
        </is>
      </c>
      <c r="LZ40" s="9" t="inlineStr">
        <is>
          <t>Intake</t>
        </is>
      </c>
      <c r="MA40" s="9" t="inlineStr">
        <is>
          <t>Usage</t>
        </is>
      </c>
      <c r="MB40" s="9" t="inlineStr">
        <is>
          <t>Actual</t>
        </is>
      </c>
      <c r="MC40" s="9" t="inlineStr">
        <is>
          <t>Adjustment</t>
        </is>
      </c>
      <c r="MD40" s="9" t="inlineStr">
        <is>
          <t>Balance</t>
        </is>
      </c>
      <c r="ME40" s="9" t="inlineStr">
        <is>
          <t>Remarks</t>
        </is>
      </c>
      <c r="MH40" s="9" t="inlineStr">
        <is>
          <t>Date</t>
        </is>
      </c>
      <c r="MI40" s="9" t="inlineStr">
        <is>
          <t>Intake</t>
        </is>
      </c>
      <c r="MJ40" s="9" t="inlineStr">
        <is>
          <t>Usage</t>
        </is>
      </c>
      <c r="MK40" s="9" t="inlineStr">
        <is>
          <t>Actual</t>
        </is>
      </c>
      <c r="ML40" s="9" t="inlineStr">
        <is>
          <t>Adjustment</t>
        </is>
      </c>
      <c r="MM40" s="9" t="inlineStr">
        <is>
          <t>Balance</t>
        </is>
      </c>
      <c r="MN40" s="9" t="inlineStr">
        <is>
          <t>Remarks</t>
        </is>
      </c>
      <c r="MQ40" s="9" t="inlineStr">
        <is>
          <t>Date</t>
        </is>
      </c>
      <c r="MR40" s="9" t="inlineStr">
        <is>
          <t>Intake</t>
        </is>
      </c>
      <c r="MS40" s="9" t="inlineStr">
        <is>
          <t>Usage</t>
        </is>
      </c>
      <c r="MT40" s="9" t="inlineStr">
        <is>
          <t>Actual</t>
        </is>
      </c>
      <c r="MU40" s="9" t="inlineStr">
        <is>
          <t>Adjustment</t>
        </is>
      </c>
      <c r="MV40" s="9" t="inlineStr">
        <is>
          <t>Balance</t>
        </is>
      </c>
      <c r="MW40" s="9" t="inlineStr">
        <is>
          <t>Remarks</t>
        </is>
      </c>
      <c r="MZ40" s="9" t="inlineStr">
        <is>
          <t>Date</t>
        </is>
      </c>
      <c r="NA40" s="9" t="inlineStr">
        <is>
          <t>Intake</t>
        </is>
      </c>
      <c r="NB40" s="9" t="inlineStr">
        <is>
          <t>Usage</t>
        </is>
      </c>
      <c r="NC40" s="9" t="inlineStr">
        <is>
          <t>Actual</t>
        </is>
      </c>
      <c r="ND40" s="9" t="inlineStr">
        <is>
          <t>Adjustment</t>
        </is>
      </c>
      <c r="NE40" s="9" t="inlineStr">
        <is>
          <t>Balance</t>
        </is>
      </c>
      <c r="NF40" s="9" t="inlineStr">
        <is>
          <t>Remarks</t>
        </is>
      </c>
      <c r="NI40" s="9" t="inlineStr">
        <is>
          <t>Date</t>
        </is>
      </c>
      <c r="NJ40" s="9" t="inlineStr">
        <is>
          <t>Intake</t>
        </is>
      </c>
      <c r="NK40" s="9" t="inlineStr">
        <is>
          <t>Usage</t>
        </is>
      </c>
      <c r="NL40" s="9" t="inlineStr">
        <is>
          <t>Actual</t>
        </is>
      </c>
      <c r="NM40" s="9" t="inlineStr">
        <is>
          <t>Adjustment</t>
        </is>
      </c>
      <c r="NN40" s="9" t="inlineStr">
        <is>
          <t>Balance</t>
        </is>
      </c>
      <c r="NO40" s="9" t="inlineStr">
        <is>
          <t>Remarks</t>
        </is>
      </c>
      <c r="NR40" s="9" t="inlineStr">
        <is>
          <t>Date</t>
        </is>
      </c>
      <c r="NS40" s="9" t="inlineStr">
        <is>
          <t>Intake</t>
        </is>
      </c>
      <c r="NT40" s="9" t="inlineStr">
        <is>
          <t>Usage</t>
        </is>
      </c>
      <c r="NU40" s="9" t="inlineStr">
        <is>
          <t>Actual</t>
        </is>
      </c>
      <c r="NV40" s="9" t="inlineStr">
        <is>
          <t>Adjustment</t>
        </is>
      </c>
      <c r="NW40" s="9" t="inlineStr">
        <is>
          <t>Balance</t>
        </is>
      </c>
      <c r="NX40" s="9" t="inlineStr">
        <is>
          <t>Remarks</t>
        </is>
      </c>
      <c r="OA40" s="9" t="inlineStr">
        <is>
          <t>Date</t>
        </is>
      </c>
      <c r="OB40" s="9" t="inlineStr">
        <is>
          <t>Intake</t>
        </is>
      </c>
      <c r="OC40" s="9" t="inlineStr">
        <is>
          <t>Usage</t>
        </is>
      </c>
      <c r="OD40" s="9" t="inlineStr">
        <is>
          <t>Actual</t>
        </is>
      </c>
      <c r="OE40" s="9" t="inlineStr">
        <is>
          <t>Adjustment</t>
        </is>
      </c>
      <c r="OF40" s="9" t="inlineStr">
        <is>
          <t>Balance</t>
        </is>
      </c>
      <c r="OG40" s="9" t="inlineStr">
        <is>
          <t>Remarks</t>
        </is>
      </c>
      <c r="OJ40" s="9" t="inlineStr">
        <is>
          <t>Date</t>
        </is>
      </c>
      <c r="OK40" s="9" t="inlineStr">
        <is>
          <t>Intake</t>
        </is>
      </c>
      <c r="OL40" s="9" t="inlineStr">
        <is>
          <t>Usage</t>
        </is>
      </c>
      <c r="OM40" s="9" t="inlineStr">
        <is>
          <t>Actual</t>
        </is>
      </c>
      <c r="ON40" s="9" t="inlineStr">
        <is>
          <t>Adjustment</t>
        </is>
      </c>
      <c r="OO40" s="9" t="inlineStr">
        <is>
          <t>Balance</t>
        </is>
      </c>
      <c r="OP40" s="9" t="inlineStr">
        <is>
          <t>Remarks</t>
        </is>
      </c>
      <c r="OS40" s="9" t="inlineStr">
        <is>
          <t>Date</t>
        </is>
      </c>
      <c r="OT40" s="9" t="inlineStr">
        <is>
          <t>Intake</t>
        </is>
      </c>
      <c r="OU40" s="9" t="inlineStr">
        <is>
          <t>Usage</t>
        </is>
      </c>
      <c r="OV40" s="9" t="inlineStr">
        <is>
          <t>Actual</t>
        </is>
      </c>
      <c r="OW40" s="9" t="inlineStr">
        <is>
          <t>Adjustment</t>
        </is>
      </c>
      <c r="OX40" s="9" t="inlineStr">
        <is>
          <t>Balance</t>
        </is>
      </c>
      <c r="OY40" s="9" t="inlineStr">
        <is>
          <t>Remarks</t>
        </is>
      </c>
      <c r="PB40" s="9" t="inlineStr">
        <is>
          <t>Date</t>
        </is>
      </c>
      <c r="PC40" s="9" t="inlineStr">
        <is>
          <t>Intake</t>
        </is>
      </c>
      <c r="PD40" s="9" t="inlineStr">
        <is>
          <t>Usage</t>
        </is>
      </c>
      <c r="PE40" s="9" t="inlineStr">
        <is>
          <t>Actual</t>
        </is>
      </c>
      <c r="PF40" s="9" t="inlineStr">
        <is>
          <t>Adjustment</t>
        </is>
      </c>
      <c r="PG40" s="9" t="inlineStr">
        <is>
          <t>Balance</t>
        </is>
      </c>
      <c r="PH40" s="9" t="inlineStr">
        <is>
          <t>Remarks</t>
        </is>
      </c>
      <c r="PK40" s="9" t="inlineStr">
        <is>
          <t>Date</t>
        </is>
      </c>
      <c r="PL40" s="9" t="inlineStr">
        <is>
          <t>Intake</t>
        </is>
      </c>
      <c r="PM40" s="9" t="inlineStr">
        <is>
          <t>Usage</t>
        </is>
      </c>
      <c r="PN40" s="9" t="inlineStr">
        <is>
          <t>Actual</t>
        </is>
      </c>
      <c r="PO40" s="9" t="inlineStr">
        <is>
          <t>Adjustment</t>
        </is>
      </c>
      <c r="PP40" s="9" t="inlineStr">
        <is>
          <t>Balance</t>
        </is>
      </c>
      <c r="PQ40" s="9" t="inlineStr">
        <is>
          <t>Remarks</t>
        </is>
      </c>
      <c r="PT40" s="9" t="inlineStr">
        <is>
          <t>Date</t>
        </is>
      </c>
      <c r="PU40" s="9" t="inlineStr">
        <is>
          <t>Intake</t>
        </is>
      </c>
      <c r="PV40" s="9" t="inlineStr">
        <is>
          <t>Usage</t>
        </is>
      </c>
      <c r="PW40" s="9" t="inlineStr">
        <is>
          <t>Actual</t>
        </is>
      </c>
      <c r="PX40" s="9" t="inlineStr">
        <is>
          <t>Adjustment</t>
        </is>
      </c>
      <c r="PY40" s="9" t="inlineStr">
        <is>
          <t>Balance</t>
        </is>
      </c>
      <c r="PZ40" s="9" t="inlineStr">
        <is>
          <t>Remarks</t>
        </is>
      </c>
      <c r="QC40" s="9" t="inlineStr">
        <is>
          <t>Date</t>
        </is>
      </c>
      <c r="QD40" s="9" t="inlineStr">
        <is>
          <t>Intake</t>
        </is>
      </c>
      <c r="QE40" s="9" t="inlineStr">
        <is>
          <t>Usage</t>
        </is>
      </c>
      <c r="QF40" s="9" t="inlineStr">
        <is>
          <t>Actual</t>
        </is>
      </c>
      <c r="QG40" s="9" t="inlineStr">
        <is>
          <t>Adjustment</t>
        </is>
      </c>
      <c r="QH40" s="9" t="inlineStr">
        <is>
          <t>Balance</t>
        </is>
      </c>
      <c r="QI40" s="9" t="inlineStr">
        <is>
          <t>Remarks</t>
        </is>
      </c>
      <c r="QL40" s="9" t="inlineStr">
        <is>
          <t>Date</t>
        </is>
      </c>
      <c r="QM40" s="9" t="inlineStr">
        <is>
          <t>Intake</t>
        </is>
      </c>
      <c r="QN40" s="9" t="inlineStr">
        <is>
          <t>Usage</t>
        </is>
      </c>
      <c r="QO40" s="9" t="inlineStr">
        <is>
          <t>Actual</t>
        </is>
      </c>
      <c r="QP40" s="9" t="inlineStr">
        <is>
          <t>Adjustment</t>
        </is>
      </c>
      <c r="QQ40" s="9" t="inlineStr">
        <is>
          <t>Balance</t>
        </is>
      </c>
      <c r="QR40" s="9" t="inlineStr">
        <is>
          <t>Remarks</t>
        </is>
      </c>
      <c r="QU40" s="9" t="inlineStr">
        <is>
          <t>Date</t>
        </is>
      </c>
      <c r="QV40" s="9" t="inlineStr">
        <is>
          <t>Intake</t>
        </is>
      </c>
      <c r="QW40" s="9" t="inlineStr">
        <is>
          <t>Usage</t>
        </is>
      </c>
      <c r="QX40" s="9" t="inlineStr">
        <is>
          <t>Actual</t>
        </is>
      </c>
      <c r="QY40" s="9" t="inlineStr">
        <is>
          <t>Adjustment</t>
        </is>
      </c>
      <c r="QZ40" s="9" t="inlineStr">
        <is>
          <t>Balance</t>
        </is>
      </c>
      <c r="RA40" s="9" t="inlineStr">
        <is>
          <t>Remarks</t>
        </is>
      </c>
      <c r="RD40" s="9" t="inlineStr">
        <is>
          <t>Date</t>
        </is>
      </c>
      <c r="RE40" s="9" t="inlineStr">
        <is>
          <t>Intake</t>
        </is>
      </c>
      <c r="RF40" s="9" t="inlineStr">
        <is>
          <t>Usage</t>
        </is>
      </c>
      <c r="RG40" s="9" t="inlineStr">
        <is>
          <t>Actual</t>
        </is>
      </c>
      <c r="RH40" s="9" t="inlineStr">
        <is>
          <t>Adjustment</t>
        </is>
      </c>
      <c r="RI40" s="9" t="inlineStr">
        <is>
          <t>Balance</t>
        </is>
      </c>
      <c r="RJ40" s="9" t="inlineStr">
        <is>
          <t>Remarks</t>
        </is>
      </c>
      <c r="RM40" s="9" t="inlineStr">
        <is>
          <t>Date</t>
        </is>
      </c>
      <c r="RN40" s="9" t="inlineStr">
        <is>
          <t>Intake</t>
        </is>
      </c>
      <c r="RO40" s="9" t="inlineStr">
        <is>
          <t>Usage</t>
        </is>
      </c>
      <c r="RP40" s="9" t="inlineStr">
        <is>
          <t>Actual</t>
        </is>
      </c>
      <c r="RQ40" s="9" t="inlineStr">
        <is>
          <t>Adjustment</t>
        </is>
      </c>
      <c r="RR40" s="9" t="inlineStr">
        <is>
          <t>Balance</t>
        </is>
      </c>
      <c r="RS40" s="9" t="inlineStr">
        <is>
          <t>Remarks</t>
        </is>
      </c>
      <c r="RV40" s="9" t="inlineStr">
        <is>
          <t>Date</t>
        </is>
      </c>
      <c r="RW40" s="9" t="inlineStr">
        <is>
          <t>Intake</t>
        </is>
      </c>
      <c r="RX40" s="9" t="inlineStr">
        <is>
          <t>Usage</t>
        </is>
      </c>
      <c r="RY40" s="9" t="inlineStr">
        <is>
          <t>Actual</t>
        </is>
      </c>
      <c r="RZ40" s="9" t="inlineStr">
        <is>
          <t>Adjustment</t>
        </is>
      </c>
      <c r="SA40" s="9" t="inlineStr">
        <is>
          <t>Balance</t>
        </is>
      </c>
      <c r="SB40" s="9" t="inlineStr">
        <is>
          <t>Remarks</t>
        </is>
      </c>
      <c r="SE40" s="9" t="inlineStr">
        <is>
          <t>Date</t>
        </is>
      </c>
      <c r="SF40" s="9" t="inlineStr">
        <is>
          <t>Intake</t>
        </is>
      </c>
      <c r="SG40" s="9" t="inlineStr">
        <is>
          <t>Usage</t>
        </is>
      </c>
      <c r="SH40" s="9" t="inlineStr">
        <is>
          <t>Actual</t>
        </is>
      </c>
      <c r="SI40" s="9" t="inlineStr">
        <is>
          <t>Adjustment</t>
        </is>
      </c>
      <c r="SJ40" s="9" t="inlineStr">
        <is>
          <t>Balance</t>
        </is>
      </c>
      <c r="SK40" s="9" t="inlineStr">
        <is>
          <t>Remarks</t>
        </is>
      </c>
      <c r="SN40" s="9" t="inlineStr">
        <is>
          <t>Date</t>
        </is>
      </c>
      <c r="SO40" s="9" t="inlineStr">
        <is>
          <t>Intake</t>
        </is>
      </c>
      <c r="SP40" s="9" t="inlineStr">
        <is>
          <t>Usage</t>
        </is>
      </c>
      <c r="SQ40" s="9" t="inlineStr">
        <is>
          <t>Actual</t>
        </is>
      </c>
      <c r="SR40" s="9" t="inlineStr">
        <is>
          <t>Adjustment</t>
        </is>
      </c>
      <c r="SS40" s="9" t="inlineStr">
        <is>
          <t>Balance</t>
        </is>
      </c>
      <c r="ST40" s="9" t="inlineStr">
        <is>
          <t>Remarks</t>
        </is>
      </c>
      <c r="SW40" s="9" t="inlineStr">
        <is>
          <t>Date</t>
        </is>
      </c>
      <c r="SX40" s="9" t="inlineStr">
        <is>
          <t>Intake</t>
        </is>
      </c>
      <c r="SY40" s="9" t="inlineStr">
        <is>
          <t>Usage</t>
        </is>
      </c>
      <c r="SZ40" s="9" t="inlineStr">
        <is>
          <t>Actual</t>
        </is>
      </c>
      <c r="TA40" s="9" t="inlineStr">
        <is>
          <t>Adjustment</t>
        </is>
      </c>
      <c r="TB40" s="9" t="inlineStr">
        <is>
          <t>Balance</t>
        </is>
      </c>
      <c r="TC40" s="9" t="inlineStr">
        <is>
          <t>Remarks</t>
        </is>
      </c>
      <c r="TF40" s="9" t="inlineStr">
        <is>
          <t>Date</t>
        </is>
      </c>
      <c r="TG40" s="9" t="inlineStr">
        <is>
          <t>Intake</t>
        </is>
      </c>
      <c r="TH40" s="9" t="inlineStr">
        <is>
          <t>Usage</t>
        </is>
      </c>
      <c r="TI40" s="9" t="inlineStr">
        <is>
          <t>Actual</t>
        </is>
      </c>
      <c r="TJ40" s="9" t="inlineStr">
        <is>
          <t>Adjustment</t>
        </is>
      </c>
      <c r="TK40" s="9" t="inlineStr">
        <is>
          <t>Balance</t>
        </is>
      </c>
      <c r="TL40" s="9" t="inlineStr">
        <is>
          <t>Remarks</t>
        </is>
      </c>
      <c r="TO40" s="9" t="inlineStr">
        <is>
          <t>Date</t>
        </is>
      </c>
      <c r="TP40" s="9" t="inlineStr">
        <is>
          <t>Intake</t>
        </is>
      </c>
      <c r="TQ40" s="9" t="inlineStr">
        <is>
          <t>Usage</t>
        </is>
      </c>
      <c r="TR40" s="9" t="inlineStr">
        <is>
          <t>Actual</t>
        </is>
      </c>
      <c r="TS40" s="9" t="inlineStr">
        <is>
          <t>Adjustment</t>
        </is>
      </c>
      <c r="TT40" s="9" t="inlineStr">
        <is>
          <t>Balance</t>
        </is>
      </c>
      <c r="TU40" s="9" t="inlineStr">
        <is>
          <t>Remarks</t>
        </is>
      </c>
      <c r="TX40" s="9" t="inlineStr">
        <is>
          <t>Date</t>
        </is>
      </c>
      <c r="TY40" s="9" t="inlineStr">
        <is>
          <t>Intake</t>
        </is>
      </c>
      <c r="TZ40" s="9" t="inlineStr">
        <is>
          <t>Usage</t>
        </is>
      </c>
      <c r="UA40" s="9" t="inlineStr">
        <is>
          <t>Actual</t>
        </is>
      </c>
      <c r="UB40" s="9" t="inlineStr">
        <is>
          <t>Adjustment</t>
        </is>
      </c>
      <c r="UC40" s="9" t="inlineStr">
        <is>
          <t>Balance</t>
        </is>
      </c>
      <c r="UD40" s="9" t="inlineStr">
        <is>
          <t>Remarks</t>
        </is>
      </c>
      <c r="UG40" s="9" t="inlineStr">
        <is>
          <t>Date</t>
        </is>
      </c>
      <c r="UH40" s="9" t="inlineStr">
        <is>
          <t>Intake</t>
        </is>
      </c>
      <c r="UI40" s="9" t="inlineStr">
        <is>
          <t>Usage</t>
        </is>
      </c>
      <c r="UJ40" s="9" t="inlineStr">
        <is>
          <t>Actual</t>
        </is>
      </c>
      <c r="UK40" s="9" t="inlineStr">
        <is>
          <t>Adjustment</t>
        </is>
      </c>
      <c r="UL40" s="9" t="inlineStr">
        <is>
          <t>Balance</t>
        </is>
      </c>
      <c r="UM40" s="9" t="inlineStr">
        <is>
          <t>Remarks</t>
        </is>
      </c>
      <c r="UP40" s="9" t="inlineStr">
        <is>
          <t>Date</t>
        </is>
      </c>
      <c r="UQ40" s="9" t="inlineStr">
        <is>
          <t>Intake</t>
        </is>
      </c>
      <c r="UR40" s="9" t="inlineStr">
        <is>
          <t>Usage</t>
        </is>
      </c>
      <c r="US40" s="9" t="inlineStr">
        <is>
          <t>Actual</t>
        </is>
      </c>
      <c r="UT40" s="9" t="inlineStr">
        <is>
          <t>Adjustment</t>
        </is>
      </c>
      <c r="UU40" s="9" t="inlineStr">
        <is>
          <t>Balance</t>
        </is>
      </c>
      <c r="UV40" s="9" t="inlineStr">
        <is>
          <t>Remarks</t>
        </is>
      </c>
      <c r="UY40" s="9" t="inlineStr">
        <is>
          <t>Date</t>
        </is>
      </c>
      <c r="UZ40" s="9" t="inlineStr">
        <is>
          <t>Intake</t>
        </is>
      </c>
      <c r="VA40" s="9" t="inlineStr">
        <is>
          <t>Usage</t>
        </is>
      </c>
      <c r="VB40" s="9" t="inlineStr">
        <is>
          <t>Actual</t>
        </is>
      </c>
      <c r="VC40" s="9" t="inlineStr">
        <is>
          <t>Adjustment</t>
        </is>
      </c>
      <c r="VD40" s="9" t="inlineStr">
        <is>
          <t>Balance</t>
        </is>
      </c>
      <c r="VE40" s="9" t="inlineStr">
        <is>
          <t>Remarks</t>
        </is>
      </c>
      <c r="VH40" s="9" t="inlineStr">
        <is>
          <t>Date</t>
        </is>
      </c>
      <c r="VI40" s="9" t="inlineStr">
        <is>
          <t>Intake</t>
        </is>
      </c>
      <c r="VJ40" s="9" t="inlineStr">
        <is>
          <t>Usage</t>
        </is>
      </c>
      <c r="VK40" s="9" t="inlineStr">
        <is>
          <t>Actual</t>
        </is>
      </c>
      <c r="VL40" s="9" t="inlineStr">
        <is>
          <t>Adjustment</t>
        </is>
      </c>
      <c r="VM40" s="9" t="inlineStr">
        <is>
          <t>Balance</t>
        </is>
      </c>
      <c r="VN40" s="9" t="inlineStr">
        <is>
          <t>Remarks</t>
        </is>
      </c>
      <c r="VQ40" s="9" t="inlineStr">
        <is>
          <t>Date</t>
        </is>
      </c>
      <c r="VR40" s="9" t="inlineStr">
        <is>
          <t>Intake</t>
        </is>
      </c>
      <c r="VS40" s="9" t="inlineStr">
        <is>
          <t>Usage</t>
        </is>
      </c>
      <c r="VT40" s="9" t="inlineStr">
        <is>
          <t>Actual</t>
        </is>
      </c>
      <c r="VU40" s="9" t="inlineStr">
        <is>
          <t>Adjustment</t>
        </is>
      </c>
      <c r="VV40" s="9" t="inlineStr">
        <is>
          <t>Balance</t>
        </is>
      </c>
      <c r="VW40" s="9" t="inlineStr">
        <is>
          <t>Remarks</t>
        </is>
      </c>
      <c r="VZ40" s="9" t="inlineStr">
        <is>
          <t>Date</t>
        </is>
      </c>
      <c r="WA40" s="9" t="inlineStr">
        <is>
          <t>Intake</t>
        </is>
      </c>
      <c r="WB40" s="9" t="inlineStr">
        <is>
          <t>Usage</t>
        </is>
      </c>
      <c r="WC40" s="9" t="inlineStr">
        <is>
          <t>Actual</t>
        </is>
      </c>
      <c r="WD40" s="9" t="inlineStr">
        <is>
          <t>Adjustment</t>
        </is>
      </c>
      <c r="WE40" s="9" t="inlineStr">
        <is>
          <t>Balance</t>
        </is>
      </c>
      <c r="WF40" s="9" t="inlineStr">
        <is>
          <t>Remarks</t>
        </is>
      </c>
      <c r="WI40" s="9" t="inlineStr">
        <is>
          <t>Date</t>
        </is>
      </c>
      <c r="WJ40" s="9" t="inlineStr">
        <is>
          <t>Intake</t>
        </is>
      </c>
      <c r="WK40" s="9" t="inlineStr">
        <is>
          <t>Usage</t>
        </is>
      </c>
      <c r="WL40" s="9" t="inlineStr">
        <is>
          <t>Actual</t>
        </is>
      </c>
      <c r="WM40" s="9" t="inlineStr">
        <is>
          <t>Adjustment</t>
        </is>
      </c>
      <c r="WN40" s="9" t="inlineStr">
        <is>
          <t>Balance</t>
        </is>
      </c>
      <c r="WO40" s="9" t="inlineStr">
        <is>
          <t>Remarks</t>
        </is>
      </c>
      <c r="WR40" s="9" t="inlineStr">
        <is>
          <t>Date</t>
        </is>
      </c>
      <c r="WS40" s="9" t="inlineStr">
        <is>
          <t>Intake</t>
        </is>
      </c>
      <c r="WT40" s="9" t="inlineStr">
        <is>
          <t>Usage</t>
        </is>
      </c>
      <c r="WU40" s="9" t="inlineStr">
        <is>
          <t>Actual</t>
        </is>
      </c>
      <c r="WV40" s="9" t="inlineStr">
        <is>
          <t>Adjustment</t>
        </is>
      </c>
      <c r="WW40" s="9" t="inlineStr">
        <is>
          <t>Balance</t>
        </is>
      </c>
      <c r="WX40" s="9" t="inlineStr">
        <is>
          <t>Remarks</t>
        </is>
      </c>
      <c r="XA40" s="9" t="inlineStr">
        <is>
          <t>Date</t>
        </is>
      </c>
      <c r="XB40" s="9" t="inlineStr">
        <is>
          <t>Intake</t>
        </is>
      </c>
      <c r="XC40" s="9" t="inlineStr">
        <is>
          <t>Usage</t>
        </is>
      </c>
      <c r="XD40" s="9" t="inlineStr">
        <is>
          <t>Actual</t>
        </is>
      </c>
      <c r="XE40" s="9" t="inlineStr">
        <is>
          <t>Adjustment</t>
        </is>
      </c>
      <c r="XF40" s="9" t="inlineStr">
        <is>
          <t>Balance</t>
        </is>
      </c>
      <c r="XG40" s="9" t="inlineStr">
        <is>
          <t>Remarks</t>
        </is>
      </c>
      <c r="XJ40" s="9" t="inlineStr">
        <is>
          <t>Date</t>
        </is>
      </c>
      <c r="XK40" s="9" t="inlineStr">
        <is>
          <t>Intake</t>
        </is>
      </c>
      <c r="XL40" s="9" t="inlineStr">
        <is>
          <t>Usage</t>
        </is>
      </c>
      <c r="XM40" s="9" t="inlineStr">
        <is>
          <t>Actual</t>
        </is>
      </c>
      <c r="XN40" s="9" t="inlineStr">
        <is>
          <t>Adjustment</t>
        </is>
      </c>
      <c r="XO40" s="9" t="inlineStr">
        <is>
          <t>Balance</t>
        </is>
      </c>
      <c r="XP40" s="9" t="inlineStr">
        <is>
          <t>Remarks</t>
        </is>
      </c>
      <c r="XS40" s="9" t="inlineStr">
        <is>
          <t>Date</t>
        </is>
      </c>
      <c r="XT40" s="9" t="inlineStr">
        <is>
          <t>Intake</t>
        </is>
      </c>
      <c r="XU40" s="9" t="inlineStr">
        <is>
          <t>Usage</t>
        </is>
      </c>
      <c r="XV40" s="9" t="inlineStr">
        <is>
          <t>Actual</t>
        </is>
      </c>
      <c r="XW40" s="9" t="inlineStr">
        <is>
          <t>Adjustment</t>
        </is>
      </c>
      <c r="XX40" s="9" t="inlineStr">
        <is>
          <t>Balance</t>
        </is>
      </c>
      <c r="XY40" s="9" t="inlineStr">
        <is>
          <t>Remarks</t>
        </is>
      </c>
      <c r="YB40" s="9" t="inlineStr">
        <is>
          <t>Date</t>
        </is>
      </c>
      <c r="YC40" s="9" t="inlineStr">
        <is>
          <t>Intake</t>
        </is>
      </c>
      <c r="YD40" s="9" t="inlineStr">
        <is>
          <t>Usage</t>
        </is>
      </c>
      <c r="YE40" s="9" t="inlineStr">
        <is>
          <t>Actual</t>
        </is>
      </c>
      <c r="YF40" s="9" t="inlineStr">
        <is>
          <t>Adjustment</t>
        </is>
      </c>
      <c r="YG40" s="9" t="inlineStr">
        <is>
          <t>Balance</t>
        </is>
      </c>
      <c r="YH40" s="9" t="inlineStr">
        <is>
          <t>Remarks</t>
        </is>
      </c>
      <c r="YK40" s="9" t="inlineStr">
        <is>
          <t>Date</t>
        </is>
      </c>
      <c r="YL40" s="9" t="inlineStr">
        <is>
          <t>Intake</t>
        </is>
      </c>
      <c r="YM40" s="9" t="inlineStr">
        <is>
          <t>Usage</t>
        </is>
      </c>
      <c r="YN40" s="9" t="inlineStr">
        <is>
          <t>Actual</t>
        </is>
      </c>
      <c r="YO40" s="9" t="inlineStr">
        <is>
          <t>Adjustment</t>
        </is>
      </c>
      <c r="YP40" s="9" t="inlineStr">
        <is>
          <t>Balance</t>
        </is>
      </c>
      <c r="YQ40" s="9" t="inlineStr">
        <is>
          <t>Remarks</t>
        </is>
      </c>
      <c r="YT40" s="9" t="inlineStr">
        <is>
          <t>Date</t>
        </is>
      </c>
      <c r="YU40" s="9" t="inlineStr">
        <is>
          <t>Intake</t>
        </is>
      </c>
      <c r="YV40" s="9" t="inlineStr">
        <is>
          <t>Usage</t>
        </is>
      </c>
      <c r="YW40" s="9" t="inlineStr">
        <is>
          <t>Actual</t>
        </is>
      </c>
      <c r="YX40" s="9" t="inlineStr">
        <is>
          <t>Adjustment</t>
        </is>
      </c>
      <c r="YY40" s="9" t="inlineStr">
        <is>
          <t>Balance</t>
        </is>
      </c>
      <c r="YZ40" s="9" t="inlineStr">
        <is>
          <t>Remarks</t>
        </is>
      </c>
      <c r="ZC40" s="9" t="inlineStr">
        <is>
          <t>Date</t>
        </is>
      </c>
      <c r="ZD40" s="9" t="inlineStr">
        <is>
          <t>Intake</t>
        </is>
      </c>
      <c r="ZE40" s="9" t="inlineStr">
        <is>
          <t>Usage</t>
        </is>
      </c>
      <c r="ZF40" s="9" t="inlineStr">
        <is>
          <t>Actual</t>
        </is>
      </c>
      <c r="ZG40" s="9" t="inlineStr">
        <is>
          <t>Adjustment</t>
        </is>
      </c>
      <c r="ZH40" s="9" t="inlineStr">
        <is>
          <t>Balance</t>
        </is>
      </c>
      <c r="ZI40" s="9" t="inlineStr">
        <is>
          <t>Remarks</t>
        </is>
      </c>
      <c r="ZL40" s="9" t="inlineStr">
        <is>
          <t>Date</t>
        </is>
      </c>
      <c r="ZM40" s="9" t="inlineStr">
        <is>
          <t>Intake</t>
        </is>
      </c>
      <c r="ZN40" s="9" t="inlineStr">
        <is>
          <t>Usage</t>
        </is>
      </c>
      <c r="ZO40" s="9" t="inlineStr">
        <is>
          <t>Actual</t>
        </is>
      </c>
      <c r="ZP40" s="9" t="inlineStr">
        <is>
          <t>Adjustment</t>
        </is>
      </c>
      <c r="ZQ40" s="9" t="inlineStr">
        <is>
          <t>Balance</t>
        </is>
      </c>
      <c r="ZR40" s="9" t="inlineStr">
        <is>
          <t>Remarks</t>
        </is>
      </c>
      <c r="ZU40" s="9" t="inlineStr">
        <is>
          <t>Date</t>
        </is>
      </c>
      <c r="ZV40" s="9" t="inlineStr">
        <is>
          <t>Intake</t>
        </is>
      </c>
      <c r="ZW40" s="9" t="inlineStr">
        <is>
          <t>Usage</t>
        </is>
      </c>
      <c r="ZX40" s="9" t="inlineStr">
        <is>
          <t>Actual</t>
        </is>
      </c>
      <c r="ZY40" s="9" t="inlineStr">
        <is>
          <t>Adjustment</t>
        </is>
      </c>
      <c r="ZZ40" s="9" t="inlineStr">
        <is>
          <t>Balance</t>
        </is>
      </c>
      <c r="AAA40" s="9" t="inlineStr">
        <is>
          <t>Remarks</t>
        </is>
      </c>
      <c r="AAD40" s="9" t="inlineStr">
        <is>
          <t>Date</t>
        </is>
      </c>
      <c r="AAE40" s="9" t="inlineStr">
        <is>
          <t>Intake</t>
        </is>
      </c>
      <c r="AAF40" s="9" t="inlineStr">
        <is>
          <t>Usage</t>
        </is>
      </c>
      <c r="AAG40" s="9" t="inlineStr">
        <is>
          <t>Actual</t>
        </is>
      </c>
      <c r="AAH40" s="9" t="inlineStr">
        <is>
          <t>Adjustment</t>
        </is>
      </c>
      <c r="AAI40" s="9" t="inlineStr">
        <is>
          <t>Balance</t>
        </is>
      </c>
      <c r="AAJ40" s="9" t="inlineStr">
        <is>
          <t>Remarks</t>
        </is>
      </c>
      <c r="AAM40" s="9" t="inlineStr">
        <is>
          <t>Date</t>
        </is>
      </c>
      <c r="AAN40" s="9" t="inlineStr">
        <is>
          <t>Intake</t>
        </is>
      </c>
      <c r="AAO40" s="9" t="inlineStr">
        <is>
          <t>Usage</t>
        </is>
      </c>
      <c r="AAP40" s="9" t="inlineStr">
        <is>
          <t>Actual</t>
        </is>
      </c>
      <c r="AAQ40" s="9" t="inlineStr">
        <is>
          <t>Adjustment</t>
        </is>
      </c>
      <c r="AAR40" s="9" t="inlineStr">
        <is>
          <t>Balance</t>
        </is>
      </c>
      <c r="AAS40" s="9" t="inlineStr">
        <is>
          <t>Remarks</t>
        </is>
      </c>
      <c r="AAV40" s="9" t="inlineStr">
        <is>
          <t>Date</t>
        </is>
      </c>
      <c r="AAW40" s="9" t="inlineStr">
        <is>
          <t>Intake</t>
        </is>
      </c>
      <c r="AAX40" s="9" t="inlineStr">
        <is>
          <t>Usage</t>
        </is>
      </c>
      <c r="AAY40" s="9" t="inlineStr">
        <is>
          <t>Actual</t>
        </is>
      </c>
      <c r="AAZ40" s="9" t="inlineStr">
        <is>
          <t>Adjustment</t>
        </is>
      </c>
      <c r="ABA40" s="9" t="inlineStr">
        <is>
          <t>Balance</t>
        </is>
      </c>
      <c r="ABB40" s="9" t="inlineStr">
        <is>
          <t>Remarks</t>
        </is>
      </c>
      <c r="ABE40" s="9" t="inlineStr">
        <is>
          <t>Date</t>
        </is>
      </c>
      <c r="ABF40" s="9" t="inlineStr">
        <is>
          <t>Intake</t>
        </is>
      </c>
      <c r="ABG40" s="9" t="inlineStr">
        <is>
          <t>Usage</t>
        </is>
      </c>
      <c r="ABH40" s="9" t="inlineStr">
        <is>
          <t>Actual</t>
        </is>
      </c>
      <c r="ABI40" s="9" t="inlineStr">
        <is>
          <t>Adjustment</t>
        </is>
      </c>
      <c r="ABJ40" s="9" t="inlineStr">
        <is>
          <t>Balance</t>
        </is>
      </c>
      <c r="ABK40" s="9" t="inlineStr">
        <is>
          <t>Remarks</t>
        </is>
      </c>
    </row>
    <row r="41">
      <c r="C41" s="9" t="inlineStr">
        <is>
          <t>BALANCE</t>
        </is>
      </c>
      <c r="D41" s="9" t="inlineStr">
        <is>
          <t>-</t>
        </is>
      </c>
      <c r="E41" s="9" t="inlineStr">
        <is>
          <t>-</t>
        </is>
      </c>
      <c r="F41" s="9" t="inlineStr">
        <is>
          <t>-</t>
        </is>
      </c>
      <c r="G41" s="9" t="inlineStr">
        <is>
          <t>-</t>
        </is>
      </c>
      <c r="H41" s="9" t="n">
        <v>241788.2</v>
      </c>
      <c r="L41" s="9" t="inlineStr">
        <is>
          <t>BALANCE</t>
        </is>
      </c>
      <c r="M41" s="9" t="inlineStr">
        <is>
          <t>-</t>
        </is>
      </c>
      <c r="N41" s="9" t="inlineStr">
        <is>
          <t>-</t>
        </is>
      </c>
      <c r="O41" s="9" t="inlineStr">
        <is>
          <t>-</t>
        </is>
      </c>
      <c r="P41" s="9" t="inlineStr">
        <is>
          <t>-</t>
        </is>
      </c>
      <c r="Q41" s="9" t="n">
        <v>48748.2</v>
      </c>
      <c r="U41" s="9" t="inlineStr">
        <is>
          <t>BALANCE</t>
        </is>
      </c>
      <c r="V41" s="9" t="inlineStr">
        <is>
          <t>-</t>
        </is>
      </c>
      <c r="W41" s="9" t="inlineStr">
        <is>
          <t>-</t>
        </is>
      </c>
      <c r="X41" s="9" t="inlineStr">
        <is>
          <t>-</t>
        </is>
      </c>
      <c r="Y41" s="9" t="inlineStr">
        <is>
          <t>-</t>
        </is>
      </c>
      <c r="Z41" s="9" t="n">
        <v>49884.99999999999</v>
      </c>
      <c r="AD41" s="9" t="inlineStr">
        <is>
          <t>BALANCE</t>
        </is>
      </c>
      <c r="AE41" s="9" t="inlineStr">
        <is>
          <t>-</t>
        </is>
      </c>
      <c r="AF41" s="9" t="inlineStr">
        <is>
          <t>-</t>
        </is>
      </c>
      <c r="AG41" s="9" t="inlineStr">
        <is>
          <t>-</t>
        </is>
      </c>
      <c r="AH41" s="9" t="inlineStr">
        <is>
          <t>-</t>
        </is>
      </c>
      <c r="AI41" s="9" t="n">
        <v>52772.20000000001</v>
      </c>
      <c r="AM41" s="9" t="inlineStr">
        <is>
          <t>BALANCE</t>
        </is>
      </c>
      <c r="AN41" s="9" t="inlineStr">
        <is>
          <t>-</t>
        </is>
      </c>
      <c r="AO41" s="9" t="inlineStr">
        <is>
          <t>-</t>
        </is>
      </c>
      <c r="AP41" s="9" t="inlineStr">
        <is>
          <t>-</t>
        </is>
      </c>
      <c r="AQ41" s="9" t="inlineStr">
        <is>
          <t>-</t>
        </is>
      </c>
      <c r="AR41" s="9" t="n">
        <v>0</v>
      </c>
      <c r="AV41" s="9" t="inlineStr">
        <is>
          <t>BALANCE</t>
        </is>
      </c>
      <c r="AW41" s="9" t="inlineStr">
        <is>
          <t>-</t>
        </is>
      </c>
      <c r="AX41" s="9" t="inlineStr">
        <is>
          <t>-</t>
        </is>
      </c>
      <c r="AY41" s="9" t="inlineStr">
        <is>
          <t>-</t>
        </is>
      </c>
      <c r="AZ41" s="9" t="inlineStr">
        <is>
          <t>-</t>
        </is>
      </c>
      <c r="BA41" s="9" t="n">
        <v>34316.69999999999</v>
      </c>
      <c r="BE41" s="9" t="inlineStr">
        <is>
          <t>BALANCE</t>
        </is>
      </c>
      <c r="BF41" s="9" t="inlineStr">
        <is>
          <t>-</t>
        </is>
      </c>
      <c r="BG41" s="9" t="inlineStr">
        <is>
          <t>-</t>
        </is>
      </c>
      <c r="BH41" s="9" t="inlineStr">
        <is>
          <t>-</t>
        </is>
      </c>
      <c r="BI41" s="9" t="inlineStr">
        <is>
          <t>-</t>
        </is>
      </c>
      <c r="BJ41" s="9" t="n">
        <v>21924.10000000001</v>
      </c>
      <c r="BN41" s="9" t="inlineStr">
        <is>
          <t>BALANCE</t>
        </is>
      </c>
      <c r="BO41" s="9" t="inlineStr">
        <is>
          <t>-</t>
        </is>
      </c>
      <c r="BP41" s="9" t="inlineStr">
        <is>
          <t>-</t>
        </is>
      </c>
      <c r="BQ41" s="9" t="inlineStr">
        <is>
          <t>-</t>
        </is>
      </c>
      <c r="BR41" s="9" t="inlineStr">
        <is>
          <t>-</t>
        </is>
      </c>
      <c r="BS41" s="9" t="n">
        <v>0</v>
      </c>
      <c r="BW41" s="9" t="inlineStr">
        <is>
          <t>BALANCE</t>
        </is>
      </c>
      <c r="BX41" s="9" t="inlineStr">
        <is>
          <t>-</t>
        </is>
      </c>
      <c r="BY41" s="9" t="inlineStr">
        <is>
          <t>-</t>
        </is>
      </c>
      <c r="BZ41" s="9" t="inlineStr">
        <is>
          <t>-</t>
        </is>
      </c>
      <c r="CA41" s="9" t="inlineStr">
        <is>
          <t>-</t>
        </is>
      </c>
      <c r="CB41" s="9" t="n">
        <v>3284.5</v>
      </c>
      <c r="CF41" s="9" t="inlineStr">
        <is>
          <t>BALANCE</t>
        </is>
      </c>
      <c r="CG41" s="9" t="inlineStr">
        <is>
          <t>-</t>
        </is>
      </c>
      <c r="CH41" s="9" t="inlineStr">
        <is>
          <t>-</t>
        </is>
      </c>
      <c r="CI41" s="9" t="inlineStr">
        <is>
          <t>-</t>
        </is>
      </c>
      <c r="CJ41" s="9" t="inlineStr">
        <is>
          <t>-</t>
        </is>
      </c>
      <c r="CK41" s="9" t="n">
        <v>0</v>
      </c>
      <c r="CO41" s="9" t="inlineStr">
        <is>
          <t>BALANCE</t>
        </is>
      </c>
      <c r="CP41" s="9" t="inlineStr">
        <is>
          <t>-</t>
        </is>
      </c>
      <c r="CQ41" s="9" t="inlineStr">
        <is>
          <t>-</t>
        </is>
      </c>
      <c r="CR41" s="9" t="inlineStr">
        <is>
          <t>-</t>
        </is>
      </c>
      <c r="CS41" s="9" t="inlineStr">
        <is>
          <t>-</t>
        </is>
      </c>
      <c r="CT41" s="9" t="n">
        <v>0</v>
      </c>
      <c r="CX41" s="9" t="inlineStr">
        <is>
          <t>BALANCE</t>
        </is>
      </c>
      <c r="CY41" s="9" t="inlineStr">
        <is>
          <t>-</t>
        </is>
      </c>
      <c r="CZ41" s="9" t="inlineStr">
        <is>
          <t>-</t>
        </is>
      </c>
      <c r="DA41" s="9" t="inlineStr">
        <is>
          <t>-</t>
        </is>
      </c>
      <c r="DB41" s="9" t="inlineStr">
        <is>
          <t>-</t>
        </is>
      </c>
      <c r="DC41" s="9" t="n">
        <v>0</v>
      </c>
      <c r="DG41" s="9" t="inlineStr">
        <is>
          <t>BALANCE</t>
        </is>
      </c>
      <c r="DH41" s="9" t="inlineStr">
        <is>
          <t>-</t>
        </is>
      </c>
      <c r="DI41" s="9" t="inlineStr">
        <is>
          <t>-</t>
        </is>
      </c>
      <c r="DJ41" s="9" t="inlineStr">
        <is>
          <t>-</t>
        </is>
      </c>
      <c r="DK41" s="9" t="inlineStr">
        <is>
          <t>-</t>
        </is>
      </c>
      <c r="DL41" s="9" t="n">
        <v>22172.8</v>
      </c>
      <c r="DP41" s="9" t="inlineStr">
        <is>
          <t>BALANCE</t>
        </is>
      </c>
      <c r="DQ41" s="9" t="inlineStr">
        <is>
          <t>-</t>
        </is>
      </c>
      <c r="DR41" s="9" t="inlineStr">
        <is>
          <t>-</t>
        </is>
      </c>
      <c r="DS41" s="9" t="inlineStr">
        <is>
          <t>-</t>
        </is>
      </c>
      <c r="DT41" s="9" t="inlineStr">
        <is>
          <t>-</t>
        </is>
      </c>
      <c r="DU41" s="9" t="n">
        <v>0</v>
      </c>
      <c r="DY41" s="9" t="inlineStr">
        <is>
          <t>BALANCE</t>
        </is>
      </c>
      <c r="DZ41" s="9" t="inlineStr">
        <is>
          <t>-</t>
        </is>
      </c>
      <c r="EA41" s="9" t="inlineStr">
        <is>
          <t>-</t>
        </is>
      </c>
      <c r="EB41" s="9" t="inlineStr">
        <is>
          <t>-</t>
        </is>
      </c>
      <c r="EC41" s="9" t="inlineStr">
        <is>
          <t>-</t>
        </is>
      </c>
      <c r="ED41" s="9" t="n">
        <v>0</v>
      </c>
      <c r="EH41" s="9" t="inlineStr">
        <is>
          <t>BALANCE</t>
        </is>
      </c>
      <c r="EI41" s="9" t="inlineStr">
        <is>
          <t>-</t>
        </is>
      </c>
      <c r="EJ41" s="9" t="inlineStr">
        <is>
          <t>-</t>
        </is>
      </c>
      <c r="EK41" s="9" t="inlineStr">
        <is>
          <t>-</t>
        </is>
      </c>
      <c r="EL41" s="9" t="inlineStr">
        <is>
          <t>-</t>
        </is>
      </c>
      <c r="EM41" s="9" t="n">
        <v>0</v>
      </c>
      <c r="EQ41" s="9" t="inlineStr">
        <is>
          <t>BALANCE</t>
        </is>
      </c>
      <c r="ER41" s="9" t="inlineStr">
        <is>
          <t>-</t>
        </is>
      </c>
      <c r="ES41" s="9" t="inlineStr">
        <is>
          <t>-</t>
        </is>
      </c>
      <c r="ET41" s="9" t="inlineStr">
        <is>
          <t>-</t>
        </is>
      </c>
      <c r="EU41" s="9" t="inlineStr">
        <is>
          <t>-</t>
        </is>
      </c>
      <c r="EV41" s="9" t="n">
        <v>0</v>
      </c>
      <c r="EZ41" s="9" t="inlineStr">
        <is>
          <t>BALANCE</t>
        </is>
      </c>
      <c r="FA41" s="9" t="inlineStr">
        <is>
          <t>-</t>
        </is>
      </c>
      <c r="FB41" s="9" t="inlineStr">
        <is>
          <t>-</t>
        </is>
      </c>
      <c r="FC41" s="9" t="inlineStr">
        <is>
          <t>-</t>
        </is>
      </c>
      <c r="FD41" s="9" t="inlineStr">
        <is>
          <t>-</t>
        </is>
      </c>
      <c r="FE41" s="9" t="n">
        <v>0</v>
      </c>
      <c r="FI41" s="9" t="inlineStr">
        <is>
          <t>BALANCE</t>
        </is>
      </c>
      <c r="FJ41" s="9" t="inlineStr">
        <is>
          <t>-</t>
        </is>
      </c>
      <c r="FK41" s="9" t="inlineStr">
        <is>
          <t>-</t>
        </is>
      </c>
      <c r="FL41" s="9" t="inlineStr">
        <is>
          <t>-</t>
        </is>
      </c>
      <c r="FM41" s="9" t="inlineStr">
        <is>
          <t>-</t>
        </is>
      </c>
      <c r="FN41" s="9" t="n">
        <v>0</v>
      </c>
      <c r="FR41" s="9" t="inlineStr">
        <is>
          <t>BALANCE</t>
        </is>
      </c>
      <c r="FS41" s="9" t="inlineStr">
        <is>
          <t>-</t>
        </is>
      </c>
      <c r="FT41" s="9" t="inlineStr">
        <is>
          <t>-</t>
        </is>
      </c>
      <c r="FU41" s="9" t="inlineStr">
        <is>
          <t>-</t>
        </is>
      </c>
      <c r="FV41" s="9" t="inlineStr">
        <is>
          <t>-</t>
        </is>
      </c>
      <c r="FW41" s="9" t="n">
        <v>3540</v>
      </c>
      <c r="FX41" s="9" t="n">
        <v>177</v>
      </c>
      <c r="FY41" s="9" t="inlineStr">
        <is>
          <t>bags</t>
        </is>
      </c>
      <c r="GA41" s="9" t="inlineStr">
        <is>
          <t>BALANCE</t>
        </is>
      </c>
      <c r="GB41" s="9" t="inlineStr">
        <is>
          <t>-</t>
        </is>
      </c>
      <c r="GC41" s="9" t="inlineStr">
        <is>
          <t>-</t>
        </is>
      </c>
      <c r="GD41" s="9" t="inlineStr">
        <is>
          <t>-</t>
        </is>
      </c>
      <c r="GE41" s="9" t="inlineStr">
        <is>
          <t>-</t>
        </is>
      </c>
      <c r="GF41" s="9" t="n">
        <v>3960</v>
      </c>
      <c r="GG41" s="9" t="n">
        <v>198</v>
      </c>
      <c r="GH41" s="9" t="inlineStr">
        <is>
          <t>bags</t>
        </is>
      </c>
      <c r="GJ41" s="9" t="inlineStr">
        <is>
          <t>BALANCE</t>
        </is>
      </c>
      <c r="GK41" s="9" t="inlineStr">
        <is>
          <t>-</t>
        </is>
      </c>
      <c r="GL41" s="9" t="inlineStr">
        <is>
          <t>-</t>
        </is>
      </c>
      <c r="GM41" s="9" t="inlineStr">
        <is>
          <t>-</t>
        </is>
      </c>
      <c r="GN41" s="9" t="inlineStr">
        <is>
          <t>-</t>
        </is>
      </c>
      <c r="GO41" s="9" t="n">
        <v>3240</v>
      </c>
      <c r="GS41" s="9" t="inlineStr">
        <is>
          <t>BALANCE</t>
        </is>
      </c>
      <c r="GT41" s="9" t="inlineStr">
        <is>
          <t>-</t>
        </is>
      </c>
      <c r="GU41" s="9" t="inlineStr">
        <is>
          <t>-</t>
        </is>
      </c>
      <c r="GV41" s="9" t="inlineStr">
        <is>
          <t>-</t>
        </is>
      </c>
      <c r="GW41" s="9" t="inlineStr">
        <is>
          <t>-</t>
        </is>
      </c>
      <c r="GX41" s="9" t="n">
        <v>0</v>
      </c>
      <c r="HB41" s="9" t="inlineStr">
        <is>
          <t>BALANCE</t>
        </is>
      </c>
      <c r="HC41" s="9" t="inlineStr">
        <is>
          <t>-</t>
        </is>
      </c>
      <c r="HD41" s="9" t="inlineStr">
        <is>
          <t>-</t>
        </is>
      </c>
      <c r="HE41" s="9" t="inlineStr">
        <is>
          <t>-</t>
        </is>
      </c>
      <c r="HF41" s="9" t="inlineStr">
        <is>
          <t>-</t>
        </is>
      </c>
      <c r="HG41" s="9" t="n">
        <v>0</v>
      </c>
      <c r="HK41" s="9" t="inlineStr">
        <is>
          <t>BALANCE</t>
        </is>
      </c>
      <c r="HL41" s="9" t="inlineStr">
        <is>
          <t>-</t>
        </is>
      </c>
      <c r="HM41" s="9" t="inlineStr">
        <is>
          <t>-</t>
        </is>
      </c>
      <c r="HN41" s="9" t="inlineStr">
        <is>
          <t>-</t>
        </is>
      </c>
      <c r="HO41" s="9" t="inlineStr">
        <is>
          <t>-</t>
        </is>
      </c>
      <c r="HP41" s="9" t="n">
        <v>0</v>
      </c>
      <c r="HU41" s="9" t="inlineStr">
        <is>
          <t>BALANCE</t>
        </is>
      </c>
      <c r="HV41" s="9" t="inlineStr">
        <is>
          <t>-</t>
        </is>
      </c>
      <c r="HW41" s="9" t="inlineStr">
        <is>
          <t>-</t>
        </is>
      </c>
      <c r="HX41" s="9" t="inlineStr">
        <is>
          <t>-</t>
        </is>
      </c>
      <c r="HY41" s="9" t="inlineStr">
        <is>
          <t>-</t>
        </is>
      </c>
      <c r="HZ41" s="9" t="n">
        <v>5440</v>
      </c>
      <c r="IA41" s="9" t="n">
        <v>272</v>
      </c>
      <c r="IB41" s="9" t="inlineStr">
        <is>
          <t>bags</t>
        </is>
      </c>
      <c r="ID41" s="9" t="inlineStr">
        <is>
          <t>BALANCE</t>
        </is>
      </c>
      <c r="IE41" s="9" t="inlineStr">
        <is>
          <t>-</t>
        </is>
      </c>
      <c r="IF41" s="9" t="inlineStr">
        <is>
          <t>-</t>
        </is>
      </c>
      <c r="IG41" s="9" t="inlineStr">
        <is>
          <t>-</t>
        </is>
      </c>
      <c r="IH41" s="9" t="inlineStr">
        <is>
          <t>-</t>
        </is>
      </c>
      <c r="II41" s="9" t="n">
        <v>5100</v>
      </c>
      <c r="IM41" s="9" t="inlineStr">
        <is>
          <t>BALANCE</t>
        </is>
      </c>
      <c r="IN41" s="9" t="inlineStr">
        <is>
          <t>-</t>
        </is>
      </c>
      <c r="IO41" s="9" t="inlineStr">
        <is>
          <t>-</t>
        </is>
      </c>
      <c r="IP41" s="9" t="inlineStr">
        <is>
          <t>-</t>
        </is>
      </c>
      <c r="IQ41" s="9" t="inlineStr">
        <is>
          <t>-</t>
        </is>
      </c>
      <c r="IR41" s="9" t="n">
        <v>16240</v>
      </c>
      <c r="IS41" s="9" t="n">
        <v>812</v>
      </c>
      <c r="IT41" s="9" t="inlineStr">
        <is>
          <t>bags</t>
        </is>
      </c>
      <c r="IV41" s="9" t="inlineStr">
        <is>
          <t>BALANCE</t>
        </is>
      </c>
      <c r="IW41" s="9" t="inlineStr">
        <is>
          <t>-</t>
        </is>
      </c>
      <c r="IX41" s="9" t="inlineStr">
        <is>
          <t>-</t>
        </is>
      </c>
      <c r="IY41" s="9" t="inlineStr">
        <is>
          <t>-</t>
        </is>
      </c>
      <c r="IZ41" s="9" t="inlineStr">
        <is>
          <t>-</t>
        </is>
      </c>
      <c r="JA41" s="9" t="n">
        <v>13120</v>
      </c>
      <c r="JB41" s="9" t="n">
        <v>656</v>
      </c>
      <c r="JC41" s="9" t="inlineStr">
        <is>
          <t>bags</t>
        </is>
      </c>
      <c r="JE41" s="9" t="inlineStr">
        <is>
          <t>BALANCE</t>
        </is>
      </c>
      <c r="JF41" s="9" t="inlineStr">
        <is>
          <t>-</t>
        </is>
      </c>
      <c r="JG41" s="9" t="inlineStr">
        <is>
          <t>-</t>
        </is>
      </c>
      <c r="JH41" s="9" t="inlineStr">
        <is>
          <t>-</t>
        </is>
      </c>
      <c r="JI41" s="9" t="inlineStr">
        <is>
          <t>-</t>
        </is>
      </c>
      <c r="JJ41" s="9" t="n">
        <v>6800</v>
      </c>
      <c r="JK41" s="9" t="n">
        <v>340</v>
      </c>
      <c r="JL41" s="9" t="inlineStr">
        <is>
          <t>bags</t>
        </is>
      </c>
      <c r="JN41" s="9" t="inlineStr">
        <is>
          <t>BALANCE</t>
        </is>
      </c>
      <c r="JO41" s="9" t="inlineStr">
        <is>
          <t>-</t>
        </is>
      </c>
      <c r="JP41" s="9" t="inlineStr">
        <is>
          <t>-</t>
        </is>
      </c>
      <c r="JQ41" s="9" t="inlineStr">
        <is>
          <t>-</t>
        </is>
      </c>
      <c r="JR41" s="9" t="inlineStr">
        <is>
          <t>-</t>
        </is>
      </c>
      <c r="JS41" s="9" t="n">
        <v>5400</v>
      </c>
      <c r="JW41" s="9" t="inlineStr">
        <is>
          <t>BALANCE</t>
        </is>
      </c>
      <c r="JX41" s="9" t="inlineStr">
        <is>
          <t>-</t>
        </is>
      </c>
      <c r="JY41" s="9" t="inlineStr">
        <is>
          <t>-</t>
        </is>
      </c>
      <c r="JZ41" s="9" t="inlineStr">
        <is>
          <t>-</t>
        </is>
      </c>
      <c r="KA41" s="9" t="inlineStr">
        <is>
          <t>-</t>
        </is>
      </c>
      <c r="KB41" s="9" t="n">
        <v>2260</v>
      </c>
      <c r="KC41" s="9" t="n">
        <v>113</v>
      </c>
      <c r="KD41" s="9" t="inlineStr">
        <is>
          <t>bags</t>
        </is>
      </c>
      <c r="KF41" s="9" t="inlineStr">
        <is>
          <t>BALANCE</t>
        </is>
      </c>
      <c r="KG41" s="9" t="inlineStr">
        <is>
          <t>-</t>
        </is>
      </c>
      <c r="KH41" s="9" t="inlineStr">
        <is>
          <t>-</t>
        </is>
      </c>
      <c r="KI41" s="9" t="inlineStr">
        <is>
          <t>-</t>
        </is>
      </c>
      <c r="KJ41" s="9" t="inlineStr">
        <is>
          <t>-</t>
        </is>
      </c>
      <c r="KK41" s="9" t="n">
        <v>0</v>
      </c>
      <c r="KL41" s="9" t="n">
        <v>0</v>
      </c>
      <c r="KM41" s="9" t="inlineStr">
        <is>
          <t>bags</t>
        </is>
      </c>
      <c r="KO41" s="9" t="inlineStr">
        <is>
          <t>BALANCE</t>
        </is>
      </c>
      <c r="KQ41" s="9" t="inlineStr">
        <is>
          <t>-</t>
        </is>
      </c>
      <c r="KR41" s="9" t="inlineStr">
        <is>
          <t>-</t>
        </is>
      </c>
      <c r="KS41" s="9" t="inlineStr">
        <is>
          <t>-</t>
        </is>
      </c>
      <c r="KT41" s="9" t="n">
        <v>0</v>
      </c>
      <c r="KX41" s="9" t="inlineStr">
        <is>
          <t>BALANCE</t>
        </is>
      </c>
      <c r="KY41" s="9" t="inlineStr">
        <is>
          <t>-</t>
        </is>
      </c>
      <c r="KZ41" s="9" t="inlineStr">
        <is>
          <t>-</t>
        </is>
      </c>
      <c r="LA41" s="9" t="inlineStr">
        <is>
          <t>-</t>
        </is>
      </c>
      <c r="LB41" s="9" t="inlineStr">
        <is>
          <t>-</t>
        </is>
      </c>
      <c r="LC41" s="9" t="n">
        <v>0</v>
      </c>
      <c r="LG41" s="9" t="inlineStr">
        <is>
          <t>BALANCE</t>
        </is>
      </c>
      <c r="LH41" s="9" t="inlineStr">
        <is>
          <t>-</t>
        </is>
      </c>
      <c r="LI41" s="9" t="inlineStr">
        <is>
          <t>-</t>
        </is>
      </c>
      <c r="LK41" s="9" t="inlineStr">
        <is>
          <t>-</t>
        </is>
      </c>
      <c r="LL41" s="9" t="n">
        <v>0</v>
      </c>
      <c r="LP41" s="9" t="inlineStr">
        <is>
          <t>BALANCE</t>
        </is>
      </c>
      <c r="LQ41" s="9" t="inlineStr">
        <is>
          <t>-</t>
        </is>
      </c>
      <c r="LR41" s="9" t="inlineStr">
        <is>
          <t>-</t>
        </is>
      </c>
      <c r="LS41" s="9" t="inlineStr">
        <is>
          <t>-</t>
        </is>
      </c>
      <c r="LT41" s="9" t="inlineStr">
        <is>
          <t>-</t>
        </is>
      </c>
      <c r="LU41" s="9" t="n">
        <v>0</v>
      </c>
      <c r="LY41" s="9" t="inlineStr">
        <is>
          <t>BALANCE</t>
        </is>
      </c>
      <c r="LZ41" s="9" t="inlineStr">
        <is>
          <t>-</t>
        </is>
      </c>
      <c r="MA41" s="9" t="inlineStr">
        <is>
          <t>-</t>
        </is>
      </c>
      <c r="MB41" s="9" t="inlineStr">
        <is>
          <t>-</t>
        </is>
      </c>
      <c r="MC41" s="9" t="inlineStr">
        <is>
          <t>-</t>
        </is>
      </c>
      <c r="MD41" s="9" t="n">
        <v>0</v>
      </c>
      <c r="MH41" s="9" t="inlineStr">
        <is>
          <t>BALANCE</t>
        </is>
      </c>
      <c r="MI41" s="9" t="inlineStr">
        <is>
          <t>-</t>
        </is>
      </c>
      <c r="MJ41" s="9" t="inlineStr">
        <is>
          <t>-</t>
        </is>
      </c>
      <c r="MK41" s="9" t="inlineStr">
        <is>
          <t>-</t>
        </is>
      </c>
      <c r="ML41" s="9" t="inlineStr">
        <is>
          <t>-</t>
        </is>
      </c>
      <c r="MM41" s="9" t="n">
        <v>0</v>
      </c>
      <c r="MQ41" s="9" t="inlineStr">
        <is>
          <t>BALANCE</t>
        </is>
      </c>
      <c r="MR41" s="9" t="inlineStr">
        <is>
          <t>-</t>
        </is>
      </c>
      <c r="MS41" s="9" t="inlineStr">
        <is>
          <t>-</t>
        </is>
      </c>
      <c r="MT41" s="9" t="inlineStr">
        <is>
          <t>-</t>
        </is>
      </c>
      <c r="MU41" s="9" t="inlineStr">
        <is>
          <t>-</t>
        </is>
      </c>
      <c r="MV41" s="9" t="n">
        <v>1969</v>
      </c>
      <c r="MZ41" s="9" t="inlineStr">
        <is>
          <t>BALANCE</t>
        </is>
      </c>
      <c r="NA41" s="9" t="inlineStr">
        <is>
          <t>-</t>
        </is>
      </c>
      <c r="NB41" s="9" t="inlineStr">
        <is>
          <t>-</t>
        </is>
      </c>
      <c r="NC41" s="9" t="inlineStr">
        <is>
          <t>-</t>
        </is>
      </c>
      <c r="ND41" s="9" t="inlineStr">
        <is>
          <t>-</t>
        </is>
      </c>
      <c r="NE41" s="9" t="n">
        <v>0</v>
      </c>
      <c r="NI41" s="9" t="inlineStr">
        <is>
          <t>BALANCE</t>
        </is>
      </c>
      <c r="NJ41" s="9" t="inlineStr">
        <is>
          <t>-</t>
        </is>
      </c>
      <c r="NK41" s="9" t="inlineStr">
        <is>
          <t>-</t>
        </is>
      </c>
      <c r="NL41" s="9" t="inlineStr">
        <is>
          <t>-</t>
        </is>
      </c>
      <c r="NM41" s="9" t="inlineStr">
        <is>
          <t>-</t>
        </is>
      </c>
      <c r="NN41" s="9" t="n">
        <v>0</v>
      </c>
      <c r="NR41" s="9" t="inlineStr">
        <is>
          <t>BALANCE</t>
        </is>
      </c>
      <c r="NS41" s="9" t="inlineStr">
        <is>
          <t>-</t>
        </is>
      </c>
      <c r="NT41" s="9" t="inlineStr">
        <is>
          <t>-</t>
        </is>
      </c>
      <c r="NU41" s="9" t="inlineStr">
        <is>
          <t>-</t>
        </is>
      </c>
      <c r="NV41" s="9" t="inlineStr">
        <is>
          <t>-</t>
        </is>
      </c>
      <c r="NW41" s="9" t="n">
        <v>0</v>
      </c>
      <c r="OA41" s="9" t="inlineStr">
        <is>
          <t>BALANCE</t>
        </is>
      </c>
      <c r="OB41" s="9" t="inlineStr">
        <is>
          <t>-</t>
        </is>
      </c>
      <c r="OC41" s="9" t="inlineStr">
        <is>
          <t>-</t>
        </is>
      </c>
      <c r="OD41" s="9" t="inlineStr">
        <is>
          <t>-</t>
        </is>
      </c>
      <c r="OE41" s="9" t="inlineStr">
        <is>
          <t>-</t>
        </is>
      </c>
      <c r="OF41" s="9" t="n">
        <v>1680.5</v>
      </c>
      <c r="OJ41" s="9" t="inlineStr">
        <is>
          <t>BALANCE</t>
        </is>
      </c>
      <c r="OK41" s="9" t="inlineStr">
        <is>
          <t>-</t>
        </is>
      </c>
      <c r="OL41" s="9" t="inlineStr">
        <is>
          <t>-</t>
        </is>
      </c>
      <c r="OM41" s="9" t="inlineStr">
        <is>
          <t>-</t>
        </is>
      </c>
      <c r="ON41" s="9" t="inlineStr">
        <is>
          <t>-</t>
        </is>
      </c>
      <c r="OS41" s="9" t="inlineStr">
        <is>
          <t>BALANCE</t>
        </is>
      </c>
      <c r="OT41" s="9" t="inlineStr">
        <is>
          <t>-</t>
        </is>
      </c>
      <c r="OU41" s="9" t="inlineStr">
        <is>
          <t>-</t>
        </is>
      </c>
      <c r="OV41" s="9" t="inlineStr">
        <is>
          <t>-</t>
        </is>
      </c>
      <c r="OW41" s="9" t="inlineStr">
        <is>
          <t>-</t>
        </is>
      </c>
      <c r="OX41" s="9" t="n">
        <v>0</v>
      </c>
      <c r="PB41" s="9" t="inlineStr">
        <is>
          <t>BALANCE</t>
        </is>
      </c>
      <c r="PC41" s="9" t="inlineStr">
        <is>
          <t>-</t>
        </is>
      </c>
      <c r="PD41" s="9" t="inlineStr">
        <is>
          <t>-</t>
        </is>
      </c>
      <c r="PE41" s="9" t="inlineStr">
        <is>
          <t>-</t>
        </is>
      </c>
      <c r="PF41" s="9" t="inlineStr">
        <is>
          <t>-</t>
        </is>
      </c>
      <c r="PG41" s="9" t="n">
        <v>0</v>
      </c>
      <c r="PK41" s="9" t="inlineStr">
        <is>
          <t>BALANCE</t>
        </is>
      </c>
      <c r="PL41" s="9" t="inlineStr">
        <is>
          <t>-</t>
        </is>
      </c>
      <c r="PM41" s="9" t="inlineStr">
        <is>
          <t>-</t>
        </is>
      </c>
      <c r="PN41" s="9" t="inlineStr">
        <is>
          <t>-</t>
        </is>
      </c>
      <c r="PO41" s="9" t="inlineStr">
        <is>
          <t>-</t>
        </is>
      </c>
      <c r="PP41" s="9" t="n">
        <v>160</v>
      </c>
      <c r="PT41" s="9" t="inlineStr">
        <is>
          <t>BALANCE</t>
        </is>
      </c>
      <c r="PU41" s="9" t="inlineStr">
        <is>
          <t>-</t>
        </is>
      </c>
      <c r="PV41" s="9" t="inlineStr">
        <is>
          <t>-</t>
        </is>
      </c>
      <c r="PW41" s="9" t="inlineStr">
        <is>
          <t>-</t>
        </is>
      </c>
      <c r="PX41" s="9" t="inlineStr">
        <is>
          <t>-</t>
        </is>
      </c>
      <c r="PY41" s="9" t="n">
        <v>13.96000000000004</v>
      </c>
      <c r="QC41" s="9" t="inlineStr">
        <is>
          <t>BALANCE</t>
        </is>
      </c>
      <c r="QD41" s="9" t="inlineStr">
        <is>
          <t>-</t>
        </is>
      </c>
      <c r="QE41" s="9" t="inlineStr">
        <is>
          <t>-</t>
        </is>
      </c>
      <c r="QF41" s="9" t="inlineStr">
        <is>
          <t>-</t>
        </is>
      </c>
      <c r="QG41" s="9" t="inlineStr">
        <is>
          <t>-</t>
        </is>
      </c>
      <c r="QH41" s="9" t="n">
        <v>0</v>
      </c>
      <c r="QL41" s="9" t="inlineStr">
        <is>
          <t>BALANCE</t>
        </is>
      </c>
      <c r="QM41" s="9" t="inlineStr">
        <is>
          <t>-</t>
        </is>
      </c>
      <c r="QN41" s="9" t="inlineStr">
        <is>
          <t>-</t>
        </is>
      </c>
      <c r="QO41" s="9" t="inlineStr">
        <is>
          <t>-</t>
        </is>
      </c>
      <c r="QP41" s="9" t="inlineStr">
        <is>
          <t>-</t>
        </is>
      </c>
      <c r="QQ41" s="9" t="n">
        <v>0</v>
      </c>
      <c r="QU41" s="9" t="inlineStr">
        <is>
          <t>BALANCE</t>
        </is>
      </c>
      <c r="QV41" s="9" t="inlineStr">
        <is>
          <t>-</t>
        </is>
      </c>
      <c r="QW41" s="9" t="inlineStr">
        <is>
          <t>-</t>
        </is>
      </c>
      <c r="QX41" s="9" t="inlineStr">
        <is>
          <t>-</t>
        </is>
      </c>
      <c r="QY41" s="9" t="inlineStr">
        <is>
          <t>-</t>
        </is>
      </c>
      <c r="QZ41" s="9" t="n">
        <v>207.6</v>
      </c>
      <c r="RD41" s="9" t="inlineStr">
        <is>
          <t>BALANCE</t>
        </is>
      </c>
      <c r="RE41" s="9" t="inlineStr">
        <is>
          <t>-</t>
        </is>
      </c>
      <c r="RF41" s="9" t="inlineStr">
        <is>
          <t>-</t>
        </is>
      </c>
      <c r="RG41" s="9" t="inlineStr">
        <is>
          <t>-</t>
        </is>
      </c>
      <c r="RH41" s="9" t="inlineStr">
        <is>
          <t>-</t>
        </is>
      </c>
      <c r="RI41" s="9" t="n">
        <v>201.8</v>
      </c>
      <c r="RM41" s="9" t="inlineStr">
        <is>
          <t>BALANCE</t>
        </is>
      </c>
      <c r="RN41" s="9" t="inlineStr">
        <is>
          <t>-</t>
        </is>
      </c>
      <c r="RO41" s="9" t="inlineStr">
        <is>
          <t>-</t>
        </is>
      </c>
      <c r="RP41" s="9" t="inlineStr">
        <is>
          <t>-</t>
        </is>
      </c>
      <c r="RQ41" s="9" t="inlineStr">
        <is>
          <t>-</t>
        </is>
      </c>
      <c r="RR41" s="9" t="n">
        <v>22.72</v>
      </c>
      <c r="RV41" s="9" t="inlineStr">
        <is>
          <t>BALANCE</t>
        </is>
      </c>
      <c r="RW41" s="9" t="inlineStr">
        <is>
          <t>-</t>
        </is>
      </c>
      <c r="RX41" s="9" t="inlineStr">
        <is>
          <t>-</t>
        </is>
      </c>
      <c r="RY41" s="9" t="inlineStr">
        <is>
          <t>-</t>
        </is>
      </c>
      <c r="RZ41" s="9" t="inlineStr">
        <is>
          <t>-</t>
        </is>
      </c>
      <c r="SA41" s="9" t="n">
        <v>0</v>
      </c>
      <c r="SE41" s="9" t="inlineStr">
        <is>
          <t>BALANCE</t>
        </is>
      </c>
      <c r="SF41" s="9" t="inlineStr">
        <is>
          <t>-</t>
        </is>
      </c>
      <c r="SG41" s="9" t="inlineStr">
        <is>
          <t>-</t>
        </is>
      </c>
      <c r="SH41" s="9" t="inlineStr">
        <is>
          <t>-</t>
        </is>
      </c>
      <c r="SI41" s="9" t="inlineStr">
        <is>
          <t>-</t>
        </is>
      </c>
      <c r="SJ41" s="9" t="n">
        <v>0</v>
      </c>
      <c r="SN41" s="9" t="inlineStr">
        <is>
          <t>BALANCE</t>
        </is>
      </c>
      <c r="SO41" s="9" t="inlineStr">
        <is>
          <t>-</t>
        </is>
      </c>
      <c r="SP41" s="9" t="inlineStr">
        <is>
          <t>-</t>
        </is>
      </c>
      <c r="SQ41" s="9" t="inlineStr">
        <is>
          <t>-</t>
        </is>
      </c>
      <c r="SR41" s="9" t="inlineStr">
        <is>
          <t>-</t>
        </is>
      </c>
      <c r="SS41" s="9" t="n">
        <v>0</v>
      </c>
      <c r="SW41" s="9" t="inlineStr">
        <is>
          <t>BALANCE</t>
        </is>
      </c>
      <c r="SX41" s="9" t="inlineStr">
        <is>
          <t>-</t>
        </is>
      </c>
      <c r="SY41" s="9" t="inlineStr">
        <is>
          <t>-</t>
        </is>
      </c>
      <c r="SZ41" s="9" t="inlineStr">
        <is>
          <t>-</t>
        </is>
      </c>
      <c r="TA41" s="9" t="inlineStr">
        <is>
          <t>-</t>
        </is>
      </c>
      <c r="TB41" s="9" t="n">
        <v>270</v>
      </c>
      <c r="TF41" s="9" t="inlineStr">
        <is>
          <t>BALANCE</t>
        </is>
      </c>
      <c r="TG41" s="9" t="inlineStr">
        <is>
          <t>-</t>
        </is>
      </c>
      <c r="TH41" s="9" t="inlineStr">
        <is>
          <t>-</t>
        </is>
      </c>
      <c r="TI41" s="9" t="inlineStr">
        <is>
          <t>-</t>
        </is>
      </c>
      <c r="TJ41" s="9" t="inlineStr">
        <is>
          <t>-</t>
        </is>
      </c>
      <c r="TK41" s="9" t="n">
        <v>0</v>
      </c>
      <c r="TO41" s="9" t="inlineStr">
        <is>
          <t>BALANCE</t>
        </is>
      </c>
      <c r="TP41" s="9" t="inlineStr">
        <is>
          <t>-</t>
        </is>
      </c>
      <c r="TQ41" s="9" t="inlineStr">
        <is>
          <t>-</t>
        </is>
      </c>
      <c r="TR41" s="9" t="inlineStr">
        <is>
          <t>-</t>
        </is>
      </c>
      <c r="TS41" s="9" t="inlineStr">
        <is>
          <t>-</t>
        </is>
      </c>
      <c r="TT41" s="9" t="n">
        <v>0</v>
      </c>
      <c r="TX41" s="9" t="inlineStr">
        <is>
          <t>BALANCE</t>
        </is>
      </c>
      <c r="TY41" s="9" t="inlineStr">
        <is>
          <t>-</t>
        </is>
      </c>
      <c r="TZ41" s="9" t="inlineStr">
        <is>
          <t>-</t>
        </is>
      </c>
      <c r="UA41" s="9" t="inlineStr">
        <is>
          <t>-</t>
        </is>
      </c>
      <c r="UB41" s="9" t="inlineStr">
        <is>
          <t>-</t>
        </is>
      </c>
      <c r="UC41" s="9" t="n">
        <v>0</v>
      </c>
      <c r="UG41" s="9" t="inlineStr">
        <is>
          <t>BALANCE</t>
        </is>
      </c>
      <c r="UH41" s="9" t="inlineStr">
        <is>
          <t>-</t>
        </is>
      </c>
      <c r="UI41" s="9" t="inlineStr">
        <is>
          <t>-</t>
        </is>
      </c>
      <c r="UJ41" s="9" t="inlineStr">
        <is>
          <t>-</t>
        </is>
      </c>
      <c r="UK41" s="9" t="inlineStr">
        <is>
          <t>-</t>
        </is>
      </c>
      <c r="UL41" s="9" t="n">
        <v>0</v>
      </c>
      <c r="UP41" s="9" t="inlineStr">
        <is>
          <t>BALANCE</t>
        </is>
      </c>
      <c r="UQ41" s="9" t="inlineStr">
        <is>
          <t>-</t>
        </is>
      </c>
      <c r="UR41" s="9" t="inlineStr">
        <is>
          <t>-</t>
        </is>
      </c>
      <c r="US41" s="9" t="inlineStr">
        <is>
          <t>-</t>
        </is>
      </c>
      <c r="UT41" s="9" t="inlineStr">
        <is>
          <t>-</t>
        </is>
      </c>
      <c r="UU41" s="9" t="n">
        <v>0</v>
      </c>
      <c r="UY41" s="9" t="inlineStr">
        <is>
          <t>BALANCE</t>
        </is>
      </c>
      <c r="UZ41" s="9" t="inlineStr">
        <is>
          <t>-</t>
        </is>
      </c>
      <c r="VA41" s="9" t="inlineStr">
        <is>
          <t>-</t>
        </is>
      </c>
      <c r="VB41" s="9" t="inlineStr">
        <is>
          <t>-</t>
        </is>
      </c>
      <c r="VC41" s="9" t="inlineStr">
        <is>
          <t>-</t>
        </is>
      </c>
      <c r="VD41" s="9" t="n">
        <v>41.60000000000002</v>
      </c>
      <c r="VH41" s="9" t="inlineStr">
        <is>
          <t>BALANCE</t>
        </is>
      </c>
      <c r="VI41" s="9" t="inlineStr">
        <is>
          <t>-</t>
        </is>
      </c>
      <c r="VJ41" s="9" t="inlineStr">
        <is>
          <t>-</t>
        </is>
      </c>
      <c r="VK41" s="9" t="inlineStr">
        <is>
          <t>-</t>
        </is>
      </c>
      <c r="VL41" s="9" t="inlineStr">
        <is>
          <t>-</t>
        </is>
      </c>
      <c r="VM41" s="9" t="n">
        <v>0</v>
      </c>
      <c r="VQ41" s="9" t="inlineStr">
        <is>
          <t>BALANCE</t>
        </is>
      </c>
      <c r="VR41" s="9" t="inlineStr">
        <is>
          <t>-</t>
        </is>
      </c>
      <c r="VS41" s="9" t="inlineStr">
        <is>
          <t>-</t>
        </is>
      </c>
      <c r="VT41" s="9" t="inlineStr">
        <is>
          <t>-</t>
        </is>
      </c>
      <c r="VU41" s="9" t="inlineStr">
        <is>
          <t>-</t>
        </is>
      </c>
      <c r="VV41" s="9" t="n">
        <v>0</v>
      </c>
      <c r="VZ41" s="9" t="inlineStr">
        <is>
          <t>BALANCE</t>
        </is>
      </c>
      <c r="WA41" s="9" t="inlineStr">
        <is>
          <t>-</t>
        </is>
      </c>
      <c r="WB41" s="9" t="inlineStr">
        <is>
          <t>-</t>
        </is>
      </c>
      <c r="WC41" s="9" t="inlineStr">
        <is>
          <t>-</t>
        </is>
      </c>
      <c r="WD41" s="9" t="inlineStr">
        <is>
          <t>-</t>
        </is>
      </c>
      <c r="WE41" s="9" t="n">
        <v>0</v>
      </c>
      <c r="WI41" s="9" t="inlineStr">
        <is>
          <t>BALANCE</t>
        </is>
      </c>
      <c r="WJ41" s="9" t="inlineStr">
        <is>
          <t>-</t>
        </is>
      </c>
      <c r="WK41" s="9" t="inlineStr">
        <is>
          <t>-</t>
        </is>
      </c>
      <c r="WL41" s="9" t="inlineStr">
        <is>
          <t>-</t>
        </is>
      </c>
      <c r="WM41" s="9" t="inlineStr">
        <is>
          <t>-</t>
        </is>
      </c>
      <c r="WN41" s="9" t="n">
        <v>9609</v>
      </c>
      <c r="WR41" s="9" t="inlineStr">
        <is>
          <t>BALANCE</t>
        </is>
      </c>
      <c r="WS41" s="9" t="inlineStr">
        <is>
          <t>-</t>
        </is>
      </c>
      <c r="WT41" s="9" t="inlineStr">
        <is>
          <t>-</t>
        </is>
      </c>
      <c r="WU41" s="9" t="inlineStr">
        <is>
          <t>-</t>
        </is>
      </c>
      <c r="WV41" s="9" t="inlineStr">
        <is>
          <t>-</t>
        </is>
      </c>
      <c r="WW41" s="9" t="n">
        <v>8149</v>
      </c>
      <c r="XA41" s="9" t="inlineStr">
        <is>
          <t>BALANCE</t>
        </is>
      </c>
      <c r="XB41" s="9" t="inlineStr">
        <is>
          <t>-</t>
        </is>
      </c>
      <c r="XC41" s="9" t="inlineStr">
        <is>
          <t>-</t>
        </is>
      </c>
      <c r="XD41" s="9" t="inlineStr">
        <is>
          <t>-</t>
        </is>
      </c>
      <c r="XE41" s="9" t="inlineStr">
        <is>
          <t>-</t>
        </is>
      </c>
      <c r="XF41" s="9" t="n">
        <v>911</v>
      </c>
      <c r="XJ41" s="9" t="inlineStr">
        <is>
          <t>BALANCE</t>
        </is>
      </c>
      <c r="XK41" s="9" t="inlineStr">
        <is>
          <t>-</t>
        </is>
      </c>
      <c r="XL41" s="9" t="inlineStr">
        <is>
          <t>-</t>
        </is>
      </c>
      <c r="XM41" s="9" t="inlineStr">
        <is>
          <t>-</t>
        </is>
      </c>
      <c r="XN41" s="9" t="inlineStr">
        <is>
          <t>-</t>
        </is>
      </c>
      <c r="XO41" s="9" t="n">
        <v>6240</v>
      </c>
      <c r="XS41" s="9" t="inlineStr">
        <is>
          <t>BALANCE</t>
        </is>
      </c>
      <c r="XT41" s="9" t="inlineStr">
        <is>
          <t>-</t>
        </is>
      </c>
      <c r="XU41" s="9" t="inlineStr">
        <is>
          <t>-</t>
        </is>
      </c>
      <c r="XV41" s="9" t="inlineStr">
        <is>
          <t>-</t>
        </is>
      </c>
      <c r="XW41" s="9" t="inlineStr">
        <is>
          <t>-</t>
        </is>
      </c>
      <c r="XX41" s="9" t="n">
        <v>1901</v>
      </c>
      <c r="YB41" s="9" t="inlineStr">
        <is>
          <t>BALANCE</t>
        </is>
      </c>
      <c r="YC41" s="9" t="inlineStr">
        <is>
          <t>-</t>
        </is>
      </c>
      <c r="YD41" s="9" t="inlineStr">
        <is>
          <t>-</t>
        </is>
      </c>
      <c r="YE41" s="9" t="inlineStr">
        <is>
          <t>-</t>
        </is>
      </c>
      <c r="YF41" s="9" t="inlineStr">
        <is>
          <t>-</t>
        </is>
      </c>
      <c r="YG41" s="9" t="n">
        <v>1885</v>
      </c>
      <c r="YK41" s="9" t="inlineStr">
        <is>
          <t>BALANCE</t>
        </is>
      </c>
      <c r="YL41" s="9" t="inlineStr">
        <is>
          <t>-</t>
        </is>
      </c>
      <c r="YM41" s="9" t="inlineStr">
        <is>
          <t>-</t>
        </is>
      </c>
      <c r="YN41" s="9" t="inlineStr">
        <is>
          <t>-</t>
        </is>
      </c>
      <c r="YO41" s="9" t="inlineStr">
        <is>
          <t>-</t>
        </is>
      </c>
      <c r="YP41" s="9" t="n">
        <v>0</v>
      </c>
      <c r="YT41" s="9" t="inlineStr">
        <is>
          <t>BALANCE</t>
        </is>
      </c>
      <c r="YU41" s="9" t="inlineStr">
        <is>
          <t>-</t>
        </is>
      </c>
      <c r="YV41" s="9" t="inlineStr">
        <is>
          <t>-</t>
        </is>
      </c>
      <c r="YW41" s="9" t="inlineStr">
        <is>
          <t>-</t>
        </is>
      </c>
      <c r="YX41" s="9" t="inlineStr">
        <is>
          <t>-</t>
        </is>
      </c>
      <c r="YY41" s="9" t="n">
        <v>0</v>
      </c>
      <c r="ZC41" s="9" t="inlineStr">
        <is>
          <t>BALANCE</t>
        </is>
      </c>
      <c r="ZD41" s="9" t="inlineStr">
        <is>
          <t>-</t>
        </is>
      </c>
      <c r="ZE41" s="9" t="inlineStr">
        <is>
          <t>-</t>
        </is>
      </c>
      <c r="ZF41" s="9" t="inlineStr">
        <is>
          <t>-</t>
        </is>
      </c>
      <c r="ZG41" s="9" t="inlineStr">
        <is>
          <t>-</t>
        </is>
      </c>
      <c r="ZH41" s="9" t="n">
        <v>0</v>
      </c>
      <c r="ZL41" s="9" t="inlineStr">
        <is>
          <t>BALANCE</t>
        </is>
      </c>
      <c r="ZM41" s="9" t="inlineStr">
        <is>
          <t>-</t>
        </is>
      </c>
      <c r="ZN41" s="9" t="inlineStr">
        <is>
          <t>-</t>
        </is>
      </c>
      <c r="ZO41" s="9" t="inlineStr">
        <is>
          <t>-</t>
        </is>
      </c>
      <c r="ZP41" s="9" t="inlineStr">
        <is>
          <t>-</t>
        </is>
      </c>
      <c r="ZQ41" s="9" t="n">
        <v>0</v>
      </c>
      <c r="ZU41" s="9" t="inlineStr">
        <is>
          <t>BALANCE</t>
        </is>
      </c>
      <c r="ZV41" s="9" t="inlineStr">
        <is>
          <t>-</t>
        </is>
      </c>
      <c r="ZW41" s="9" t="inlineStr">
        <is>
          <t>-</t>
        </is>
      </c>
      <c r="ZX41" s="9" t="inlineStr">
        <is>
          <t>-</t>
        </is>
      </c>
      <c r="ZY41" s="9" t="inlineStr">
        <is>
          <t>-</t>
        </is>
      </c>
      <c r="ZZ41" s="9" t="n">
        <v>0</v>
      </c>
      <c r="AAD41" s="9" t="inlineStr">
        <is>
          <t>BALANCE</t>
        </is>
      </c>
      <c r="AAE41" s="9" t="inlineStr">
        <is>
          <t>-</t>
        </is>
      </c>
      <c r="AAF41" s="9" t="inlineStr">
        <is>
          <t>-</t>
        </is>
      </c>
      <c r="AAG41" s="9" t="inlineStr">
        <is>
          <t>-</t>
        </is>
      </c>
      <c r="AAH41" s="9" t="inlineStr">
        <is>
          <t>-</t>
        </is>
      </c>
      <c r="AAI41" s="9" t="n">
        <v>0</v>
      </c>
      <c r="AAM41" s="9" t="inlineStr">
        <is>
          <t>BALANCE</t>
        </is>
      </c>
      <c r="AAN41" s="9" t="inlineStr">
        <is>
          <t>-</t>
        </is>
      </c>
      <c r="AAO41" s="9" t="inlineStr">
        <is>
          <t>-</t>
        </is>
      </c>
      <c r="AAP41" s="9" t="inlineStr">
        <is>
          <t>-</t>
        </is>
      </c>
      <c r="AAQ41" s="9" t="inlineStr">
        <is>
          <t>-</t>
        </is>
      </c>
      <c r="AAR41" s="9" t="n">
        <v>0</v>
      </c>
      <c r="AAV41" s="9" t="inlineStr">
        <is>
          <t>BALANCE</t>
        </is>
      </c>
      <c r="AAW41" s="9" t="inlineStr">
        <is>
          <t>-</t>
        </is>
      </c>
      <c r="AAX41" s="9" t="inlineStr">
        <is>
          <t>-</t>
        </is>
      </c>
      <c r="AAY41" s="9" t="inlineStr">
        <is>
          <t>-</t>
        </is>
      </c>
      <c r="AAZ41" s="9" t="inlineStr">
        <is>
          <t>-</t>
        </is>
      </c>
      <c r="ABA41" s="9" t="n">
        <v>0</v>
      </c>
      <c r="ABE41" s="9" t="inlineStr">
        <is>
          <t>BALANCE</t>
        </is>
      </c>
      <c r="ABF41" s="9" t="inlineStr">
        <is>
          <t>-</t>
        </is>
      </c>
      <c r="ABG41" s="9" t="inlineStr">
        <is>
          <t>-</t>
        </is>
      </c>
      <c r="ABH41" s="9" t="inlineStr">
        <is>
          <t>-</t>
        </is>
      </c>
      <c r="ABI41" s="9" t="inlineStr">
        <is>
          <t>-</t>
        </is>
      </c>
      <c r="ABJ41" s="9" t="n">
        <v>0</v>
      </c>
    </row>
    <row r="42">
      <c r="C42" s="10" t="n">
        <v>46054</v>
      </c>
      <c r="E42" s="9" t="n">
        <v>0</v>
      </c>
      <c r="G42" s="9" t="n">
        <v>0</v>
      </c>
      <c r="H42" s="9" t="n">
        <v>241788.2</v>
      </c>
      <c r="L42" s="10" t="n">
        <v>46054</v>
      </c>
      <c r="N42" s="9" t="n">
        <v>0</v>
      </c>
      <c r="P42" s="9" t="n">
        <v>0</v>
      </c>
      <c r="Q42" s="9" t="n">
        <v>48748.2</v>
      </c>
      <c r="U42" s="10" t="n">
        <v>46054</v>
      </c>
      <c r="W42" s="9" t="n">
        <v>0</v>
      </c>
      <c r="Y42" s="9" t="n">
        <v>0</v>
      </c>
      <c r="Z42" s="9" t="n">
        <v>49884.99999999999</v>
      </c>
      <c r="AD42" s="10" t="n">
        <v>46054</v>
      </c>
      <c r="AF42" s="9" t="n">
        <v>0</v>
      </c>
      <c r="AH42" s="9" t="n">
        <v>0</v>
      </c>
      <c r="AI42" s="9" t="n">
        <v>52772.20000000001</v>
      </c>
      <c r="AM42" s="10" t="n">
        <v>46054</v>
      </c>
      <c r="AO42" s="9" t="n">
        <v>0</v>
      </c>
      <c r="AQ42" s="9" t="n">
        <v>0</v>
      </c>
      <c r="AR42" s="9" t="n">
        <v>0</v>
      </c>
      <c r="AV42" s="10" t="n">
        <v>46054</v>
      </c>
      <c r="AX42" s="9" t="n">
        <v>0</v>
      </c>
      <c r="AZ42" s="9" t="n">
        <v>0</v>
      </c>
      <c r="BA42" s="9" t="n">
        <v>34316.69999999999</v>
      </c>
      <c r="BE42" s="10" t="n">
        <v>46054</v>
      </c>
      <c r="BG42" s="9" t="n">
        <v>0</v>
      </c>
      <c r="BI42" s="9" t="n">
        <v>0</v>
      </c>
      <c r="BJ42" s="9" t="n">
        <v>21924.10000000001</v>
      </c>
      <c r="BN42" s="10" t="n">
        <v>46054</v>
      </c>
      <c r="BP42" s="9" t="n">
        <v>0</v>
      </c>
      <c r="BR42" s="9" t="n">
        <v>0</v>
      </c>
      <c r="BS42" s="9" t="n">
        <v>0</v>
      </c>
      <c r="BW42" s="10" t="n">
        <v>46054</v>
      </c>
      <c r="BY42" s="9" t="n">
        <v>0</v>
      </c>
      <c r="CA42" s="9" t="n">
        <v>0</v>
      </c>
      <c r="CB42" s="9" t="n">
        <v>3284.5</v>
      </c>
      <c r="CF42" s="10" t="n">
        <v>46054</v>
      </c>
      <c r="CH42" s="9" t="n">
        <v>0</v>
      </c>
      <c r="CJ42" s="9" t="n">
        <v>0</v>
      </c>
      <c r="CK42" s="9" t="n">
        <v>0</v>
      </c>
      <c r="CO42" s="10" t="n">
        <v>46054</v>
      </c>
      <c r="CQ42" s="9" t="n">
        <v>0</v>
      </c>
      <c r="CS42" s="9" t="n">
        <v>0</v>
      </c>
      <c r="CT42" s="9" t="n">
        <v>0</v>
      </c>
      <c r="CX42" s="10" t="n">
        <v>46054</v>
      </c>
      <c r="CZ42" s="9" t="n">
        <v>0</v>
      </c>
      <c r="DB42" s="9" t="n">
        <v>0</v>
      </c>
      <c r="DC42" s="9" t="n">
        <v>0</v>
      </c>
      <c r="DG42" s="10" t="n">
        <v>46054</v>
      </c>
      <c r="DI42" s="9" t="n">
        <v>0</v>
      </c>
      <c r="DK42" s="9" t="n">
        <v>0</v>
      </c>
      <c r="DL42" s="9" t="n">
        <v>22172.8</v>
      </c>
      <c r="DP42" s="10" t="n">
        <v>46054</v>
      </c>
      <c r="DR42" s="9" t="n">
        <v>0</v>
      </c>
      <c r="DT42" s="9" t="n">
        <v>0</v>
      </c>
      <c r="DU42" s="9" t="n">
        <v>0</v>
      </c>
      <c r="DY42" s="10" t="n">
        <v>46054</v>
      </c>
      <c r="EA42" s="9" t="n">
        <v>0</v>
      </c>
      <c r="EC42" s="9" t="n">
        <v>0</v>
      </c>
      <c r="ED42" s="9" t="n">
        <v>0</v>
      </c>
      <c r="EH42" s="10" t="n">
        <v>46054</v>
      </c>
      <c r="EJ42" s="9" t="n">
        <v>0</v>
      </c>
      <c r="EL42" s="9" t="n">
        <v>0</v>
      </c>
      <c r="EM42" s="9" t="n">
        <v>0</v>
      </c>
      <c r="EQ42" s="10" t="n">
        <v>46054</v>
      </c>
      <c r="ES42" s="9" t="n">
        <v>0</v>
      </c>
      <c r="EU42" s="9" t="n">
        <v>0</v>
      </c>
      <c r="EV42" s="9" t="n">
        <v>0</v>
      </c>
      <c r="EZ42" s="10" t="n">
        <v>46054</v>
      </c>
      <c r="FB42" s="9" t="n">
        <v>0</v>
      </c>
      <c r="FD42" s="9" t="n">
        <v>0</v>
      </c>
      <c r="FE42" s="9" t="n">
        <v>0</v>
      </c>
      <c r="FI42" s="10" t="n">
        <v>46054</v>
      </c>
      <c r="FK42" s="9" t="n">
        <v>0</v>
      </c>
      <c r="FM42" s="9" t="n">
        <v>0</v>
      </c>
      <c r="FN42" s="9" t="n">
        <v>0</v>
      </c>
      <c r="FR42" s="10" t="n">
        <v>46054</v>
      </c>
      <c r="FT42" s="9" t="n">
        <v>0</v>
      </c>
      <c r="FV42" s="9" t="n">
        <v>0</v>
      </c>
      <c r="FW42" s="9" t="n">
        <v>3540</v>
      </c>
      <c r="GA42" s="10" t="n">
        <v>46054</v>
      </c>
      <c r="GC42" s="9" t="n">
        <v>0</v>
      </c>
      <c r="GE42" s="9" t="n">
        <v>0</v>
      </c>
      <c r="GF42" s="9" t="n">
        <v>3960</v>
      </c>
      <c r="GJ42" s="10" t="n">
        <v>46054</v>
      </c>
      <c r="GL42" s="9" t="n">
        <v>0</v>
      </c>
      <c r="GN42" s="9" t="n">
        <v>0</v>
      </c>
      <c r="GO42" s="9" t="n">
        <v>3240</v>
      </c>
      <c r="GS42" s="10" t="n">
        <v>46054</v>
      </c>
      <c r="GU42" s="9" t="n">
        <v>0</v>
      </c>
      <c r="GW42" s="9" t="n">
        <v>0</v>
      </c>
      <c r="GX42" s="9" t="n">
        <v>0</v>
      </c>
      <c r="HB42" s="10" t="n">
        <v>46054</v>
      </c>
      <c r="HD42" s="9" t="n">
        <v>0</v>
      </c>
      <c r="HF42" s="9" t="n">
        <v>0</v>
      </c>
      <c r="HG42" s="9" t="n">
        <v>0</v>
      </c>
      <c r="HK42" s="10" t="n">
        <v>46054</v>
      </c>
      <c r="HM42" s="9" t="n">
        <v>0</v>
      </c>
      <c r="HO42" s="9" t="n">
        <v>0</v>
      </c>
      <c r="HP42" s="9" t="n">
        <v>0</v>
      </c>
      <c r="HU42" s="10" t="n">
        <v>46054</v>
      </c>
      <c r="HW42" s="9" t="n">
        <v>0</v>
      </c>
      <c r="HY42" s="9" t="n">
        <v>0</v>
      </c>
      <c r="HZ42" s="9" t="n">
        <v>5440</v>
      </c>
      <c r="ID42" s="10" t="n">
        <v>46054</v>
      </c>
      <c r="IF42" s="9" t="n">
        <v>0</v>
      </c>
      <c r="IH42" s="9" t="n">
        <v>0</v>
      </c>
      <c r="II42" s="9" t="n">
        <v>5100</v>
      </c>
      <c r="IM42" s="10" t="n">
        <v>46054</v>
      </c>
      <c r="IO42" s="9" t="n">
        <v>0</v>
      </c>
      <c r="IQ42" s="9" t="n">
        <v>0</v>
      </c>
      <c r="IR42" s="9" t="n">
        <v>16240</v>
      </c>
      <c r="IV42" s="10" t="n">
        <v>46054</v>
      </c>
      <c r="IX42" s="9" t="n">
        <v>0</v>
      </c>
      <c r="IZ42" s="9" t="n">
        <v>0</v>
      </c>
      <c r="JA42" s="9" t="n">
        <v>13120</v>
      </c>
      <c r="JE42" s="10" t="n">
        <v>46054</v>
      </c>
      <c r="JG42" s="9" t="n">
        <v>0</v>
      </c>
      <c r="JI42" s="9" t="n">
        <v>0</v>
      </c>
      <c r="JJ42" s="9" t="n">
        <v>6800</v>
      </c>
      <c r="JN42" s="10" t="n">
        <v>46054</v>
      </c>
      <c r="JP42" s="9" t="n">
        <v>0</v>
      </c>
      <c r="JR42" s="9" t="n">
        <v>0</v>
      </c>
      <c r="JS42" s="9" t="n">
        <v>5400</v>
      </c>
      <c r="JW42" s="10" t="n">
        <v>46054</v>
      </c>
      <c r="JY42" s="9" t="n">
        <v>0</v>
      </c>
      <c r="KA42" s="9" t="n">
        <v>0</v>
      </c>
      <c r="KB42" s="9" t="n">
        <v>2260</v>
      </c>
      <c r="KF42" s="10" t="n">
        <v>46054</v>
      </c>
      <c r="KH42" s="9" t="n">
        <v>0</v>
      </c>
      <c r="KJ42" s="9" t="n">
        <v>0</v>
      </c>
      <c r="KK42" s="9" t="n">
        <v>0</v>
      </c>
      <c r="KO42" s="10" t="n">
        <v>46054</v>
      </c>
      <c r="KQ42" s="9" t="n">
        <v>0</v>
      </c>
      <c r="KS42" s="9" t="n">
        <v>0</v>
      </c>
      <c r="KT42" s="9" t="n">
        <v>0</v>
      </c>
      <c r="KX42" s="10" t="n">
        <v>46054</v>
      </c>
      <c r="KZ42" s="9" t="n">
        <v>0</v>
      </c>
      <c r="LB42" s="9" t="n">
        <v>0</v>
      </c>
      <c r="LC42" s="9" t="n">
        <v>0</v>
      </c>
      <c r="LG42" s="10" t="n">
        <v>46054</v>
      </c>
      <c r="LI42" s="9" t="n">
        <v>0</v>
      </c>
      <c r="LK42" s="9" t="n">
        <v>0</v>
      </c>
      <c r="LL42" s="9" t="n">
        <v>0</v>
      </c>
      <c r="LP42" s="10" t="n">
        <v>46054</v>
      </c>
      <c r="LR42" s="9" t="n">
        <v>0</v>
      </c>
      <c r="LT42" s="9" t="n">
        <v>0</v>
      </c>
      <c r="LU42" s="9" t="n">
        <v>0</v>
      </c>
      <c r="LY42" s="10" t="n">
        <v>46054</v>
      </c>
      <c r="MA42" s="9" t="n">
        <v>0</v>
      </c>
      <c r="MC42" s="9" t="n">
        <v>0</v>
      </c>
      <c r="MD42" s="9" t="n">
        <v>0</v>
      </c>
      <c r="MH42" s="10" t="n">
        <v>46054</v>
      </c>
      <c r="MJ42" s="9" t="n">
        <v>0</v>
      </c>
      <c r="ML42" s="9" t="n">
        <v>0</v>
      </c>
      <c r="MM42" s="9" t="n">
        <v>0</v>
      </c>
      <c r="MQ42" s="10" t="n">
        <v>46054</v>
      </c>
      <c r="MS42" s="9" t="n">
        <v>0</v>
      </c>
      <c r="MU42" s="9" t="n">
        <v>0</v>
      </c>
      <c r="MV42" s="9" t="n">
        <v>1969</v>
      </c>
      <c r="MZ42" s="10" t="n">
        <v>46054</v>
      </c>
      <c r="NB42" s="9" t="n">
        <v>0</v>
      </c>
      <c r="ND42" s="9" t="n">
        <v>0</v>
      </c>
      <c r="NE42" s="9" t="n">
        <v>0</v>
      </c>
      <c r="NI42" s="10" t="n">
        <v>46054</v>
      </c>
      <c r="NK42" s="9" t="n">
        <v>0</v>
      </c>
      <c r="NM42" s="9" t="n">
        <v>0</v>
      </c>
      <c r="NN42" s="9" t="n">
        <v>0</v>
      </c>
      <c r="NR42" s="10" t="n">
        <v>46054</v>
      </c>
      <c r="NT42" s="9" t="n">
        <v>0</v>
      </c>
      <c r="NV42" s="9" t="n">
        <v>0</v>
      </c>
      <c r="NW42" s="9" t="n">
        <v>0</v>
      </c>
      <c r="OA42" s="10" t="n">
        <v>46054</v>
      </c>
      <c r="OC42" s="9" t="n">
        <v>0</v>
      </c>
      <c r="OE42" s="9" t="n">
        <v>0</v>
      </c>
      <c r="OF42" s="9" t="n">
        <v>1680.5</v>
      </c>
      <c r="OJ42" s="10" t="n">
        <v>46054</v>
      </c>
      <c r="OL42" s="9" t="n">
        <v>0</v>
      </c>
      <c r="ON42" s="9" t="n">
        <v>0</v>
      </c>
      <c r="OO42" s="9" t="n">
        <v>0</v>
      </c>
      <c r="OS42" s="10" t="n">
        <v>46054</v>
      </c>
      <c r="OU42" s="9" t="n">
        <v>0</v>
      </c>
      <c r="OW42" s="9" t="n">
        <v>0</v>
      </c>
      <c r="OX42" s="9" t="n">
        <v>0</v>
      </c>
      <c r="PB42" s="10" t="n">
        <v>46054</v>
      </c>
      <c r="PD42" s="9" t="n">
        <v>0</v>
      </c>
      <c r="PF42" s="9" t="n">
        <v>0</v>
      </c>
      <c r="PG42" s="9" t="n">
        <v>0</v>
      </c>
      <c r="PK42" s="10" t="n">
        <v>46054</v>
      </c>
      <c r="PM42" s="9" t="n">
        <v>0</v>
      </c>
      <c r="PO42" s="9" t="n">
        <v>0</v>
      </c>
      <c r="PP42" s="9" t="n">
        <v>160</v>
      </c>
      <c r="PT42" s="10" t="n">
        <v>46054</v>
      </c>
      <c r="PV42" s="9" t="n">
        <v>0</v>
      </c>
      <c r="PX42" s="9" t="n">
        <v>0</v>
      </c>
      <c r="PY42" s="9" t="n">
        <v>13.96000000000004</v>
      </c>
      <c r="QC42" s="10" t="n">
        <v>46054</v>
      </c>
      <c r="QE42" s="9" t="n">
        <v>0</v>
      </c>
      <c r="QG42" s="9" t="n">
        <v>0</v>
      </c>
      <c r="QH42" s="9" t="n">
        <v>0</v>
      </c>
      <c r="QL42" s="10" t="n">
        <v>46054</v>
      </c>
      <c r="QN42" s="9" t="n">
        <v>0</v>
      </c>
      <c r="QP42" s="9" t="n">
        <v>0</v>
      </c>
      <c r="QQ42" s="9" t="n">
        <v>0</v>
      </c>
      <c r="QU42" s="10" t="n">
        <v>46054</v>
      </c>
      <c r="QW42" s="9" t="n">
        <v>0</v>
      </c>
      <c r="QY42" s="9" t="n">
        <v>0</v>
      </c>
      <c r="QZ42" s="9" t="n">
        <v>207.6</v>
      </c>
      <c r="RD42" s="10" t="n">
        <v>46054</v>
      </c>
      <c r="RF42" s="9" t="n">
        <v>0</v>
      </c>
      <c r="RH42" s="9" t="n">
        <v>0</v>
      </c>
      <c r="RI42" s="9" t="n">
        <v>201.8</v>
      </c>
      <c r="RM42" s="10" t="n">
        <v>46054</v>
      </c>
      <c r="RO42" s="9" t="n">
        <v>0</v>
      </c>
      <c r="RQ42" s="9" t="n">
        <v>0</v>
      </c>
      <c r="RR42" s="9" t="n">
        <v>22.72</v>
      </c>
      <c r="RV42" s="10" t="n">
        <v>46054</v>
      </c>
      <c r="RX42" s="9" t="n">
        <v>0</v>
      </c>
      <c r="RZ42" s="9" t="n">
        <v>0</v>
      </c>
      <c r="SA42" s="9" t="n">
        <v>0</v>
      </c>
      <c r="SE42" s="10" t="n">
        <v>46054</v>
      </c>
      <c r="SG42" s="9" t="n">
        <v>0</v>
      </c>
      <c r="SI42" s="9" t="n">
        <v>0</v>
      </c>
      <c r="SJ42" s="9" t="n">
        <v>0</v>
      </c>
      <c r="SN42" s="10" t="n">
        <v>46054</v>
      </c>
      <c r="SP42" s="9" t="n">
        <v>0</v>
      </c>
      <c r="SR42" s="9" t="n">
        <v>0</v>
      </c>
      <c r="SS42" s="9" t="n">
        <v>0</v>
      </c>
      <c r="SW42" s="10" t="n">
        <v>46054</v>
      </c>
      <c r="SY42" s="9" t="n">
        <v>0</v>
      </c>
      <c r="TA42" s="9" t="n">
        <v>0</v>
      </c>
      <c r="TB42" s="9" t="n">
        <v>270</v>
      </c>
      <c r="TF42" s="10" t="n">
        <v>46054</v>
      </c>
      <c r="TH42" s="9" t="n">
        <v>0</v>
      </c>
      <c r="TJ42" s="9" t="n">
        <v>0</v>
      </c>
      <c r="TK42" s="9" t="n">
        <v>0</v>
      </c>
      <c r="TO42" s="10" t="n">
        <v>46054</v>
      </c>
      <c r="TQ42" s="9" t="n">
        <v>0</v>
      </c>
      <c r="TS42" s="9" t="n">
        <v>0</v>
      </c>
      <c r="TT42" s="9" t="n">
        <v>0</v>
      </c>
      <c r="TX42" s="10" t="n">
        <v>46054</v>
      </c>
      <c r="TZ42" s="9" t="n">
        <v>0</v>
      </c>
      <c r="UB42" s="9" t="n">
        <v>0</v>
      </c>
      <c r="UC42" s="9" t="n">
        <v>0</v>
      </c>
      <c r="UG42" s="10" t="n">
        <v>46054</v>
      </c>
      <c r="UI42" s="9" t="n">
        <v>0</v>
      </c>
      <c r="UK42" s="9" t="n">
        <v>0</v>
      </c>
      <c r="UL42" s="9" t="n">
        <v>0</v>
      </c>
      <c r="UP42" s="10" t="n">
        <v>46054</v>
      </c>
      <c r="UR42" s="9" t="n">
        <v>0</v>
      </c>
      <c r="UT42" s="9" t="n">
        <v>0</v>
      </c>
      <c r="UU42" s="9" t="n">
        <v>0</v>
      </c>
      <c r="UY42" s="10" t="n">
        <v>46054</v>
      </c>
      <c r="VA42" s="9" t="n">
        <v>0</v>
      </c>
      <c r="VC42" s="9" t="n">
        <v>0</v>
      </c>
      <c r="VD42" s="9" t="n">
        <v>41.60000000000002</v>
      </c>
      <c r="VH42" s="10" t="n">
        <v>46054</v>
      </c>
      <c r="VJ42" s="9" t="n">
        <v>0</v>
      </c>
      <c r="VL42" s="9" t="n">
        <v>0</v>
      </c>
      <c r="VM42" s="9" t="n">
        <v>0</v>
      </c>
      <c r="VQ42" s="10" t="n">
        <v>46054</v>
      </c>
      <c r="VS42" s="9" t="n">
        <v>0</v>
      </c>
      <c r="VU42" s="9" t="n">
        <v>0</v>
      </c>
      <c r="VV42" s="9" t="n">
        <v>0</v>
      </c>
      <c r="VZ42" s="10" t="n">
        <v>46054</v>
      </c>
      <c r="WB42" s="9" t="n">
        <v>0</v>
      </c>
      <c r="WD42" s="9" t="n">
        <v>0</v>
      </c>
      <c r="WE42" s="9" t="n">
        <v>0</v>
      </c>
      <c r="WI42" s="10" t="n">
        <v>46054</v>
      </c>
      <c r="WK42" s="9" t="n">
        <v>0</v>
      </c>
      <c r="WM42" s="9" t="n">
        <v>0</v>
      </c>
      <c r="WN42" s="9" t="n">
        <v>9609</v>
      </c>
      <c r="WR42" s="10" t="n">
        <v>46054</v>
      </c>
      <c r="WT42" s="9" t="n">
        <v>0</v>
      </c>
      <c r="WV42" s="9" t="n">
        <v>0</v>
      </c>
      <c r="WW42" s="9" t="n">
        <v>8149</v>
      </c>
      <c r="XA42" s="10" t="n">
        <v>46054</v>
      </c>
      <c r="XC42" s="9" t="n">
        <v>0</v>
      </c>
      <c r="XE42" s="9" t="n">
        <v>0</v>
      </c>
      <c r="XF42" s="9" t="n">
        <v>911</v>
      </c>
      <c r="XJ42" s="10" t="n">
        <v>46054</v>
      </c>
      <c r="XL42" s="9" t="n">
        <v>0</v>
      </c>
      <c r="XN42" s="9" t="n">
        <v>0</v>
      </c>
      <c r="XO42" s="9" t="n">
        <v>6240</v>
      </c>
      <c r="XS42" s="10" t="n">
        <v>46054</v>
      </c>
      <c r="XU42" s="9" t="n">
        <v>0</v>
      </c>
      <c r="XW42" s="9" t="n">
        <v>0</v>
      </c>
      <c r="XX42" s="9" t="n">
        <v>1901</v>
      </c>
      <c r="YB42" s="10" t="n">
        <v>46054</v>
      </c>
      <c r="YD42" s="9" t="n">
        <v>0</v>
      </c>
      <c r="YF42" s="9" t="n">
        <v>0</v>
      </c>
      <c r="YG42" s="9" t="n">
        <v>1885</v>
      </c>
      <c r="YK42" s="10" t="n">
        <v>46054</v>
      </c>
      <c r="YM42" s="9" t="n">
        <v>0</v>
      </c>
      <c r="YO42" s="9" t="n">
        <v>0</v>
      </c>
      <c r="YP42" s="9" t="n">
        <v>0</v>
      </c>
      <c r="YT42" s="10" t="n">
        <v>46054</v>
      </c>
      <c r="YV42" s="9" t="n">
        <v>0</v>
      </c>
      <c r="YX42" s="9" t="n">
        <v>0</v>
      </c>
      <c r="YY42" s="9" t="n">
        <v>0</v>
      </c>
      <c r="ZC42" s="10" t="n">
        <v>46054</v>
      </c>
      <c r="ZE42" s="9" t="n">
        <v>0</v>
      </c>
      <c r="ZG42" s="9" t="n">
        <v>0</v>
      </c>
      <c r="ZH42" s="9" t="n">
        <v>0</v>
      </c>
      <c r="ZL42" s="10" t="n">
        <v>46054</v>
      </c>
      <c r="ZN42" s="9" t="n">
        <v>0</v>
      </c>
      <c r="ZP42" s="9" t="n">
        <v>0</v>
      </c>
      <c r="ZQ42" s="9" t="n">
        <v>0</v>
      </c>
      <c r="ZU42" s="10" t="n">
        <v>46054</v>
      </c>
      <c r="ZW42" s="9" t="n">
        <v>0</v>
      </c>
      <c r="ZY42" s="9" t="n">
        <v>0</v>
      </c>
      <c r="ZZ42" s="9" t="n">
        <v>0</v>
      </c>
      <c r="AAD42" s="10" t="n">
        <v>46054</v>
      </c>
      <c r="AAF42" s="9" t="n">
        <v>0</v>
      </c>
      <c r="AAH42" s="9" t="n">
        <v>0</v>
      </c>
      <c r="AAI42" s="9" t="n">
        <v>0</v>
      </c>
      <c r="AAM42" s="10" t="n">
        <v>46054</v>
      </c>
      <c r="AAO42" s="9" t="n">
        <v>0</v>
      </c>
      <c r="AAQ42" s="9" t="n">
        <v>0</v>
      </c>
      <c r="AAR42" s="9" t="n">
        <v>0</v>
      </c>
      <c r="AAV42" s="10" t="n">
        <v>46054</v>
      </c>
      <c r="AAX42" s="9" t="n">
        <v>0</v>
      </c>
      <c r="AAZ42" s="9" t="n">
        <v>0</v>
      </c>
      <c r="ABA42" s="9" t="n">
        <v>0</v>
      </c>
      <c r="ABE42" s="10" t="n">
        <v>46054</v>
      </c>
      <c r="ABG42" s="9" t="n">
        <v>0</v>
      </c>
      <c r="ABI42" s="9" t="n">
        <v>0</v>
      </c>
      <c r="ABJ42" s="9" t="n">
        <v>0</v>
      </c>
    </row>
    <row r="43">
      <c r="C43" s="10" t="n">
        <v>46055</v>
      </c>
      <c r="E43" s="9" t="n">
        <v>0</v>
      </c>
      <c r="G43" s="9" t="n">
        <v>0</v>
      </c>
      <c r="H43" s="9" t="n">
        <v>241788.2</v>
      </c>
      <c r="L43" s="10" t="n">
        <v>46055</v>
      </c>
      <c r="M43" s="9" t="n">
        <v>26150</v>
      </c>
      <c r="N43" s="9" t="n">
        <v>0</v>
      </c>
      <c r="P43" s="9" t="n">
        <v>0</v>
      </c>
      <c r="Q43" s="9" t="n">
        <v>74898.2</v>
      </c>
      <c r="U43" s="10" t="n">
        <v>46055</v>
      </c>
      <c r="W43" s="9" t="n">
        <v>0</v>
      </c>
      <c r="Y43" s="9" t="n">
        <v>0</v>
      </c>
      <c r="Z43" s="9" t="n">
        <v>49884.99999999999</v>
      </c>
      <c r="AD43" s="10" t="n">
        <v>46055</v>
      </c>
      <c r="AF43" s="9" t="n">
        <v>0</v>
      </c>
      <c r="AH43" s="9" t="n">
        <v>0</v>
      </c>
      <c r="AI43" s="9" t="n">
        <v>52772.20000000001</v>
      </c>
      <c r="AM43" s="10" t="n">
        <v>46055</v>
      </c>
      <c r="AO43" s="9" t="n">
        <v>0</v>
      </c>
      <c r="AQ43" s="9" t="n">
        <v>0</v>
      </c>
      <c r="AR43" s="9" t="n">
        <v>0</v>
      </c>
      <c r="AV43" s="10" t="n">
        <v>46055</v>
      </c>
      <c r="AX43" s="9" t="n">
        <v>0</v>
      </c>
      <c r="AZ43" s="9" t="n">
        <v>0</v>
      </c>
      <c r="BA43" s="9" t="n">
        <v>34316.69999999999</v>
      </c>
      <c r="BE43" s="10" t="n">
        <v>46055</v>
      </c>
      <c r="BG43" s="9" t="n">
        <v>0</v>
      </c>
      <c r="BI43" s="9" t="n">
        <v>0</v>
      </c>
      <c r="BJ43" s="9" t="n">
        <v>21924.10000000001</v>
      </c>
      <c r="BN43" s="10" t="n">
        <v>46055</v>
      </c>
      <c r="BP43" s="9" t="n">
        <v>0</v>
      </c>
      <c r="BR43" s="9" t="n">
        <v>0</v>
      </c>
      <c r="BS43" s="9" t="n">
        <v>0</v>
      </c>
      <c r="BW43" s="10" t="n">
        <v>46055</v>
      </c>
      <c r="BY43" s="9" t="n">
        <v>0</v>
      </c>
      <c r="CA43" s="9" t="n">
        <v>0</v>
      </c>
      <c r="CB43" s="9" t="n">
        <v>3284.5</v>
      </c>
      <c r="CF43" s="10" t="n">
        <v>46055</v>
      </c>
      <c r="CH43" s="9" t="n">
        <v>0</v>
      </c>
      <c r="CJ43" s="9" t="n">
        <v>0</v>
      </c>
      <c r="CK43" s="9" t="n">
        <v>0</v>
      </c>
      <c r="CO43" s="10" t="n">
        <v>46055</v>
      </c>
      <c r="CQ43" s="9" t="n">
        <v>0</v>
      </c>
      <c r="CS43" s="9" t="n">
        <v>0</v>
      </c>
      <c r="CT43" s="9" t="n">
        <v>0</v>
      </c>
      <c r="CX43" s="10" t="n">
        <v>46055</v>
      </c>
      <c r="CZ43" s="9" t="n">
        <v>0</v>
      </c>
      <c r="DB43" s="9" t="n">
        <v>0</v>
      </c>
      <c r="DC43" s="9" t="n">
        <v>0</v>
      </c>
      <c r="DG43" s="10" t="n">
        <v>46055</v>
      </c>
      <c r="DI43" s="9" t="n">
        <v>0</v>
      </c>
      <c r="DK43" s="9" t="n">
        <v>0</v>
      </c>
      <c r="DL43" s="9" t="n">
        <v>22172.8</v>
      </c>
      <c r="DP43" s="10" t="n">
        <v>46055</v>
      </c>
      <c r="DR43" s="9" t="n">
        <v>0</v>
      </c>
      <c r="DT43" s="9" t="n">
        <v>0</v>
      </c>
      <c r="DU43" s="9" t="n">
        <v>0</v>
      </c>
      <c r="DY43" s="10" t="n">
        <v>46055</v>
      </c>
      <c r="EA43" s="9" t="n">
        <v>0</v>
      </c>
      <c r="EC43" s="9" t="n">
        <v>0</v>
      </c>
      <c r="ED43" s="9" t="n">
        <v>0</v>
      </c>
      <c r="EH43" s="10" t="n">
        <v>46055</v>
      </c>
      <c r="EJ43" s="9" t="n">
        <v>0</v>
      </c>
      <c r="EL43" s="9" t="n">
        <v>0</v>
      </c>
      <c r="EM43" s="9" t="n">
        <v>0</v>
      </c>
      <c r="EQ43" s="10" t="n">
        <v>46055</v>
      </c>
      <c r="ES43" s="9" t="n">
        <v>0</v>
      </c>
      <c r="EU43" s="9" t="n">
        <v>0</v>
      </c>
      <c r="EV43" s="9" t="n">
        <v>0</v>
      </c>
      <c r="EZ43" s="10" t="n">
        <v>46055</v>
      </c>
      <c r="FB43" s="9" t="n">
        <v>0</v>
      </c>
      <c r="FD43" s="9" t="n">
        <v>0</v>
      </c>
      <c r="FE43" s="9" t="n">
        <v>0</v>
      </c>
      <c r="FI43" s="10" t="n">
        <v>46055</v>
      </c>
      <c r="FK43" s="9" t="n">
        <v>0</v>
      </c>
      <c r="FM43" s="9" t="n">
        <v>0</v>
      </c>
      <c r="FN43" s="9" t="n">
        <v>0</v>
      </c>
      <c r="FR43" s="10" t="n">
        <v>46055</v>
      </c>
      <c r="FT43" s="9" t="n">
        <v>0</v>
      </c>
      <c r="FV43" s="9" t="n">
        <v>0</v>
      </c>
      <c r="FW43" s="9" t="n">
        <v>3540</v>
      </c>
      <c r="GA43" s="10" t="n">
        <v>46055</v>
      </c>
      <c r="GC43" s="9" t="n">
        <v>0</v>
      </c>
      <c r="GE43" s="9" t="n">
        <v>0</v>
      </c>
      <c r="GF43" s="9" t="n">
        <v>3960</v>
      </c>
      <c r="GJ43" s="10" t="n">
        <v>46055</v>
      </c>
      <c r="GL43" s="9" t="n">
        <v>0</v>
      </c>
      <c r="GN43" s="9" t="n">
        <v>0</v>
      </c>
      <c r="GO43" s="9" t="n">
        <v>3240</v>
      </c>
      <c r="GS43" s="10" t="n">
        <v>46055</v>
      </c>
      <c r="GU43" s="9" t="n">
        <v>0</v>
      </c>
      <c r="GW43" s="9" t="n">
        <v>0</v>
      </c>
      <c r="GX43" s="9" t="n">
        <v>0</v>
      </c>
      <c r="HB43" s="10" t="n">
        <v>46055</v>
      </c>
      <c r="HD43" s="9" t="n">
        <v>0</v>
      </c>
      <c r="HF43" s="9" t="n">
        <v>0</v>
      </c>
      <c r="HG43" s="9" t="n">
        <v>0</v>
      </c>
      <c r="HK43" s="10" t="n">
        <v>46055</v>
      </c>
      <c r="HM43" s="9" t="n">
        <v>0</v>
      </c>
      <c r="HO43" s="9" t="n">
        <v>0</v>
      </c>
      <c r="HP43" s="9" t="n">
        <v>0</v>
      </c>
      <c r="HU43" s="10" t="n">
        <v>46055</v>
      </c>
      <c r="HW43" s="9" t="n">
        <v>0</v>
      </c>
      <c r="HY43" s="9" t="n">
        <v>0</v>
      </c>
      <c r="HZ43" s="9" t="n">
        <v>5440</v>
      </c>
      <c r="ID43" s="10" t="n">
        <v>46055</v>
      </c>
      <c r="IF43" s="9" t="n">
        <v>0</v>
      </c>
      <c r="IH43" s="9" t="n">
        <v>0</v>
      </c>
      <c r="II43" s="9" t="n">
        <v>5100</v>
      </c>
      <c r="IM43" s="10" t="n">
        <v>46055</v>
      </c>
      <c r="IO43" s="9" t="n">
        <v>0</v>
      </c>
      <c r="IQ43" s="9" t="n">
        <v>0</v>
      </c>
      <c r="IR43" s="9" t="n">
        <v>16240</v>
      </c>
      <c r="IV43" s="10" t="n">
        <v>46055</v>
      </c>
      <c r="IX43" s="9" t="n">
        <v>0</v>
      </c>
      <c r="IZ43" s="9" t="n">
        <v>0</v>
      </c>
      <c r="JA43" s="9" t="n">
        <v>13120</v>
      </c>
      <c r="JE43" s="10" t="n">
        <v>46055</v>
      </c>
      <c r="JG43" s="9" t="n">
        <v>0</v>
      </c>
      <c r="JI43" s="9" t="n">
        <v>0</v>
      </c>
      <c r="JJ43" s="9" t="n">
        <v>6800</v>
      </c>
      <c r="JN43" s="10" t="n">
        <v>46055</v>
      </c>
      <c r="JP43" s="9" t="n">
        <v>0</v>
      </c>
      <c r="JR43" s="9" t="n">
        <v>0</v>
      </c>
      <c r="JS43" s="9" t="n">
        <v>5400</v>
      </c>
      <c r="JW43" s="10" t="n">
        <v>46055</v>
      </c>
      <c r="JY43" s="9" t="n">
        <v>0</v>
      </c>
      <c r="KA43" s="9" t="n">
        <v>0</v>
      </c>
      <c r="KB43" s="9" t="n">
        <v>2260</v>
      </c>
      <c r="KF43" s="10" t="n">
        <v>46055</v>
      </c>
      <c r="KH43" s="9" t="n">
        <v>0</v>
      </c>
      <c r="KJ43" s="9" t="n">
        <v>0</v>
      </c>
      <c r="KK43" s="9" t="n">
        <v>0</v>
      </c>
      <c r="KO43" s="10" t="n">
        <v>46055</v>
      </c>
      <c r="KQ43" s="9" t="n">
        <v>0</v>
      </c>
      <c r="KS43" s="9" t="n">
        <v>0</v>
      </c>
      <c r="KT43" s="9" t="n">
        <v>0</v>
      </c>
      <c r="KX43" s="10" t="n">
        <v>46055</v>
      </c>
      <c r="KZ43" s="9" t="n">
        <v>0</v>
      </c>
      <c r="LB43" s="9" t="n">
        <v>0</v>
      </c>
      <c r="LC43" s="9" t="n">
        <v>0</v>
      </c>
      <c r="LG43" s="10" t="n">
        <v>46055</v>
      </c>
      <c r="LI43" s="9" t="n">
        <v>0</v>
      </c>
      <c r="LK43" s="9" t="n">
        <v>0</v>
      </c>
      <c r="LL43" s="9" t="n">
        <v>0</v>
      </c>
      <c r="LP43" s="10" t="n">
        <v>46055</v>
      </c>
      <c r="LR43" s="9" t="n">
        <v>0</v>
      </c>
      <c r="LT43" s="9" t="n">
        <v>0</v>
      </c>
      <c r="LU43" s="9" t="n">
        <v>0</v>
      </c>
      <c r="LY43" s="10" t="n">
        <v>46055</v>
      </c>
      <c r="MA43" s="9" t="n">
        <v>0</v>
      </c>
      <c r="MC43" s="9" t="n">
        <v>0</v>
      </c>
      <c r="MD43" s="9" t="n">
        <v>0</v>
      </c>
      <c r="MH43" s="10" t="n">
        <v>46055</v>
      </c>
      <c r="MJ43" s="9" t="n">
        <v>0</v>
      </c>
      <c r="ML43" s="9" t="n">
        <v>0</v>
      </c>
      <c r="MM43" s="9" t="n">
        <v>0</v>
      </c>
      <c r="MQ43" s="10" t="n">
        <v>46055</v>
      </c>
      <c r="MS43" s="9" t="n">
        <v>0</v>
      </c>
      <c r="MU43" s="9" t="n">
        <v>0</v>
      </c>
      <c r="MV43" s="9" t="n">
        <v>1969</v>
      </c>
      <c r="MZ43" s="10" t="n">
        <v>46055</v>
      </c>
      <c r="NB43" s="9" t="n">
        <v>0</v>
      </c>
      <c r="ND43" s="9" t="n">
        <v>0</v>
      </c>
      <c r="NE43" s="9" t="n">
        <v>0</v>
      </c>
      <c r="NI43" s="10" t="n">
        <v>46055</v>
      </c>
      <c r="NK43" s="9" t="n">
        <v>0</v>
      </c>
      <c r="NM43" s="9" t="n">
        <v>0</v>
      </c>
      <c r="NN43" s="9" t="n">
        <v>0</v>
      </c>
      <c r="NR43" s="10" t="n">
        <v>46055</v>
      </c>
      <c r="NT43" s="9" t="n">
        <v>0</v>
      </c>
      <c r="NV43" s="9" t="n">
        <v>0</v>
      </c>
      <c r="NW43" s="9" t="n">
        <v>0</v>
      </c>
      <c r="OA43" s="10" t="n">
        <v>46055</v>
      </c>
      <c r="OC43" s="9" t="n">
        <v>0</v>
      </c>
      <c r="OE43" s="9" t="n">
        <v>0</v>
      </c>
      <c r="OF43" s="9" t="n">
        <v>1680.5</v>
      </c>
      <c r="OJ43" s="10" t="n">
        <v>46055</v>
      </c>
      <c r="OL43" s="9" t="n">
        <v>0</v>
      </c>
      <c r="ON43" s="9" t="n">
        <v>0</v>
      </c>
      <c r="OO43" s="9" t="n">
        <v>0</v>
      </c>
      <c r="OS43" s="10" t="n">
        <v>46055</v>
      </c>
      <c r="OU43" s="9" t="n">
        <v>0</v>
      </c>
      <c r="OW43" s="9" t="n">
        <v>0</v>
      </c>
      <c r="OX43" s="9" t="n">
        <v>0</v>
      </c>
      <c r="PB43" s="10" t="n">
        <v>46055</v>
      </c>
      <c r="PD43" s="9" t="n">
        <v>0</v>
      </c>
      <c r="PF43" s="9" t="n">
        <v>0</v>
      </c>
      <c r="PG43" s="9" t="n">
        <v>0</v>
      </c>
      <c r="PK43" s="10" t="n">
        <v>46055</v>
      </c>
      <c r="PM43" s="9" t="n">
        <v>0</v>
      </c>
      <c r="PO43" s="9" t="n">
        <v>0</v>
      </c>
      <c r="PP43" s="9" t="n">
        <v>160</v>
      </c>
      <c r="PT43" s="10" t="n">
        <v>46055</v>
      </c>
      <c r="PV43" s="9" t="n">
        <v>0</v>
      </c>
      <c r="PX43" s="9" t="n">
        <v>0</v>
      </c>
      <c r="PY43" s="9" t="n">
        <v>13.96000000000004</v>
      </c>
      <c r="QC43" s="10" t="n">
        <v>46055</v>
      </c>
      <c r="QE43" s="9" t="n">
        <v>0</v>
      </c>
      <c r="QG43" s="9" t="n">
        <v>0</v>
      </c>
      <c r="QH43" s="9" t="n">
        <v>0</v>
      </c>
      <c r="QL43" s="10" t="n">
        <v>46055</v>
      </c>
      <c r="QN43" s="9" t="n">
        <v>0</v>
      </c>
      <c r="QP43" s="9" t="n">
        <v>0</v>
      </c>
      <c r="QQ43" s="9" t="n">
        <v>0</v>
      </c>
      <c r="QU43" s="10" t="n">
        <v>46055</v>
      </c>
      <c r="QW43" s="9" t="n">
        <v>0</v>
      </c>
      <c r="QY43" s="9" t="n">
        <v>0</v>
      </c>
      <c r="QZ43" s="9" t="n">
        <v>207.6</v>
      </c>
      <c r="RD43" s="10" t="n">
        <v>46055</v>
      </c>
      <c r="RF43" s="9" t="n">
        <v>0</v>
      </c>
      <c r="RH43" s="9" t="n">
        <v>0</v>
      </c>
      <c r="RI43" s="9" t="n">
        <v>201.8</v>
      </c>
      <c r="RM43" s="10" t="n">
        <v>46055</v>
      </c>
      <c r="RO43" s="9" t="n">
        <v>0</v>
      </c>
      <c r="RQ43" s="9" t="n">
        <v>0</v>
      </c>
      <c r="RR43" s="9" t="n">
        <v>22.72</v>
      </c>
      <c r="RV43" s="10" t="n">
        <v>46055</v>
      </c>
      <c r="RX43" s="9" t="n">
        <v>0</v>
      </c>
      <c r="RZ43" s="9" t="n">
        <v>0</v>
      </c>
      <c r="SA43" s="9" t="n">
        <v>0</v>
      </c>
      <c r="SE43" s="10" t="n">
        <v>46055</v>
      </c>
      <c r="SG43" s="9" t="n">
        <v>0</v>
      </c>
      <c r="SI43" s="9" t="n">
        <v>0</v>
      </c>
      <c r="SJ43" s="9" t="n">
        <v>0</v>
      </c>
      <c r="SN43" s="10" t="n">
        <v>46055</v>
      </c>
      <c r="SP43" s="9" t="n">
        <v>0</v>
      </c>
      <c r="SR43" s="9" t="n">
        <v>0</v>
      </c>
      <c r="SS43" s="9" t="n">
        <v>0</v>
      </c>
      <c r="SW43" s="10" t="n">
        <v>46055</v>
      </c>
      <c r="SY43" s="9" t="n">
        <v>0</v>
      </c>
      <c r="TA43" s="9" t="n">
        <v>0</v>
      </c>
      <c r="TB43" s="9" t="n">
        <v>270</v>
      </c>
      <c r="TF43" s="10" t="n">
        <v>46055</v>
      </c>
      <c r="TH43" s="9" t="n">
        <v>0</v>
      </c>
      <c r="TJ43" s="9" t="n">
        <v>0</v>
      </c>
      <c r="TK43" s="9" t="n">
        <v>0</v>
      </c>
      <c r="TO43" s="10" t="n">
        <v>46055</v>
      </c>
      <c r="TQ43" s="9" t="n">
        <v>0</v>
      </c>
      <c r="TS43" s="9" t="n">
        <v>0</v>
      </c>
      <c r="TT43" s="9" t="n">
        <v>0</v>
      </c>
      <c r="TX43" s="10" t="n">
        <v>46055</v>
      </c>
      <c r="TZ43" s="9" t="n">
        <v>0</v>
      </c>
      <c r="UB43" s="9" t="n">
        <v>0</v>
      </c>
      <c r="UC43" s="9" t="n">
        <v>0</v>
      </c>
      <c r="UG43" s="10" t="n">
        <v>46055</v>
      </c>
      <c r="UI43" s="9" t="n">
        <v>0</v>
      </c>
      <c r="UK43" s="9" t="n">
        <v>0</v>
      </c>
      <c r="UL43" s="9" t="n">
        <v>0</v>
      </c>
      <c r="UP43" s="10" t="n">
        <v>46055</v>
      </c>
      <c r="UR43" s="9" t="n">
        <v>0</v>
      </c>
      <c r="UT43" s="9" t="n">
        <v>0</v>
      </c>
      <c r="UU43" s="9" t="n">
        <v>0</v>
      </c>
      <c r="UY43" s="10" t="n">
        <v>46055</v>
      </c>
      <c r="VA43" s="9" t="n">
        <v>0</v>
      </c>
      <c r="VC43" s="9" t="n">
        <v>0</v>
      </c>
      <c r="VD43" s="9" t="n">
        <v>41.60000000000002</v>
      </c>
      <c r="VH43" s="10" t="n">
        <v>46055</v>
      </c>
      <c r="VJ43" s="9" t="n">
        <v>0</v>
      </c>
      <c r="VL43" s="9" t="n">
        <v>0</v>
      </c>
      <c r="VM43" s="9" t="n">
        <v>0</v>
      </c>
      <c r="VQ43" s="10" t="n">
        <v>46055</v>
      </c>
      <c r="VS43" s="9" t="n">
        <v>0</v>
      </c>
      <c r="VU43" s="9" t="n">
        <v>0</v>
      </c>
      <c r="VV43" s="9" t="n">
        <v>0</v>
      </c>
      <c r="VZ43" s="10" t="n">
        <v>46055</v>
      </c>
      <c r="WB43" s="9" t="n">
        <v>0</v>
      </c>
      <c r="WD43" s="9" t="n">
        <v>0</v>
      </c>
      <c r="WE43" s="9" t="n">
        <v>0</v>
      </c>
      <c r="WI43" s="10" t="n">
        <v>46055</v>
      </c>
      <c r="WK43" s="9" t="n">
        <v>0</v>
      </c>
      <c r="WM43" s="9" t="n">
        <v>0</v>
      </c>
      <c r="WN43" s="9" t="n">
        <v>9609</v>
      </c>
      <c r="WR43" s="10" t="n">
        <v>46055</v>
      </c>
      <c r="WT43" s="9" t="n">
        <v>0</v>
      </c>
      <c r="WV43" s="9" t="n">
        <v>0</v>
      </c>
      <c r="WW43" s="9" t="n">
        <v>8149</v>
      </c>
      <c r="XA43" s="10" t="n">
        <v>46055</v>
      </c>
      <c r="XC43" s="9" t="n">
        <v>0</v>
      </c>
      <c r="XE43" s="9" t="n">
        <v>0</v>
      </c>
      <c r="XF43" s="9" t="n">
        <v>911</v>
      </c>
      <c r="XJ43" s="10" t="n">
        <v>46055</v>
      </c>
      <c r="XL43" s="9" t="n">
        <v>0</v>
      </c>
      <c r="XN43" s="9" t="n">
        <v>0</v>
      </c>
      <c r="XO43" s="9" t="n">
        <v>6240</v>
      </c>
      <c r="XS43" s="10" t="n">
        <v>46055</v>
      </c>
      <c r="XU43" s="9" t="n">
        <v>0</v>
      </c>
      <c r="XW43" s="9" t="n">
        <v>0</v>
      </c>
      <c r="XX43" s="9" t="n">
        <v>1901</v>
      </c>
      <c r="YB43" s="10" t="n">
        <v>46055</v>
      </c>
      <c r="YD43" s="9" t="n">
        <v>0</v>
      </c>
      <c r="YF43" s="9" t="n">
        <v>0</v>
      </c>
      <c r="YG43" s="9" t="n">
        <v>1885</v>
      </c>
      <c r="YK43" s="10" t="n">
        <v>46055</v>
      </c>
      <c r="YM43" s="9" t="n">
        <v>0</v>
      </c>
      <c r="YO43" s="9" t="n">
        <v>0</v>
      </c>
      <c r="YP43" s="9" t="n">
        <v>0</v>
      </c>
      <c r="YT43" s="10" t="n">
        <v>46055</v>
      </c>
      <c r="YV43" s="9" t="n">
        <v>0</v>
      </c>
      <c r="YX43" s="9" t="n">
        <v>0</v>
      </c>
      <c r="YY43" s="9" t="n">
        <v>0</v>
      </c>
      <c r="ZC43" s="10" t="n">
        <v>46055</v>
      </c>
      <c r="ZE43" s="9" t="n">
        <v>0</v>
      </c>
      <c r="ZG43" s="9" t="n">
        <v>0</v>
      </c>
      <c r="ZH43" s="9" t="n">
        <v>0</v>
      </c>
      <c r="ZL43" s="10" t="n">
        <v>46055</v>
      </c>
      <c r="ZN43" s="9" t="n">
        <v>0</v>
      </c>
      <c r="ZP43" s="9" t="n">
        <v>0</v>
      </c>
      <c r="ZQ43" s="9" t="n">
        <v>0</v>
      </c>
      <c r="ZU43" s="10" t="n">
        <v>46055</v>
      </c>
      <c r="ZW43" s="9" t="n">
        <v>0</v>
      </c>
      <c r="ZY43" s="9" t="n">
        <v>0</v>
      </c>
      <c r="ZZ43" s="9" t="n">
        <v>0</v>
      </c>
      <c r="AAD43" s="10" t="n">
        <v>46055</v>
      </c>
      <c r="AAF43" s="9" t="n">
        <v>0</v>
      </c>
      <c r="AAH43" s="9" t="n">
        <v>0</v>
      </c>
      <c r="AAI43" s="9" t="n">
        <v>0</v>
      </c>
      <c r="AAM43" s="10" t="n">
        <v>46055</v>
      </c>
      <c r="AAO43" s="9" t="n">
        <v>0</v>
      </c>
      <c r="AAQ43" s="9" t="n">
        <v>0</v>
      </c>
      <c r="AAR43" s="9" t="n">
        <v>0</v>
      </c>
      <c r="AAV43" s="10" t="n">
        <v>46055</v>
      </c>
      <c r="AAX43" s="9" t="n">
        <v>0</v>
      </c>
      <c r="AAZ43" s="9" t="n">
        <v>0</v>
      </c>
      <c r="ABA43" s="9" t="n">
        <v>0</v>
      </c>
      <c r="ABE43" s="10" t="n">
        <v>46055</v>
      </c>
      <c r="ABG43" s="9" t="n">
        <v>0</v>
      </c>
      <c r="ABI43" s="9" t="n">
        <v>0</v>
      </c>
      <c r="ABJ43" s="9" t="n">
        <v>0</v>
      </c>
    </row>
    <row r="44">
      <c r="B44" s="9" t="n">
        <v>42</v>
      </c>
      <c r="C44" s="10" t="n">
        <v>46056</v>
      </c>
      <c r="E44" s="9" t="n">
        <v>24015</v>
      </c>
      <c r="F44" s="9" t="n">
        <v>24017</v>
      </c>
      <c r="G44" s="9" t="n">
        <v>-2</v>
      </c>
      <c r="H44" s="9" t="n">
        <v>217771.2</v>
      </c>
      <c r="I44" s="9" t="inlineStr">
        <is>
          <t>1103 16mt, 8102 26mt</t>
        </is>
      </c>
      <c r="L44" s="10" t="n">
        <v>46056</v>
      </c>
      <c r="N44" s="9" t="n">
        <v>9437.999999999998</v>
      </c>
      <c r="O44" s="9" t="n">
        <v>9441.6</v>
      </c>
      <c r="P44" s="9" t="n">
        <v>-3.600000000002183</v>
      </c>
      <c r="Q44" s="9" t="n">
        <v>65456.6</v>
      </c>
      <c r="U44" s="10" t="n">
        <v>46056</v>
      </c>
      <c r="W44" s="9" t="n">
        <v>2580</v>
      </c>
      <c r="X44" s="9" t="n">
        <v>2579.8</v>
      </c>
      <c r="Y44" s="9" t="n">
        <v>0.1999999999998181</v>
      </c>
      <c r="Z44" s="9" t="n">
        <v>47305.19999999998</v>
      </c>
      <c r="AD44" s="10" t="n">
        <v>46056</v>
      </c>
      <c r="AF44" s="9" t="n">
        <v>2420</v>
      </c>
      <c r="AG44" s="9" t="n">
        <v>2421</v>
      </c>
      <c r="AH44" s="9" t="n">
        <v>-1</v>
      </c>
      <c r="AI44" s="9" t="n">
        <v>50351.20000000001</v>
      </c>
      <c r="AM44" s="10" t="n">
        <v>46056</v>
      </c>
      <c r="AO44" s="9" t="n">
        <v>0</v>
      </c>
      <c r="AQ44" s="9" t="n">
        <v>0</v>
      </c>
      <c r="AR44" s="9" t="n">
        <v>0</v>
      </c>
      <c r="AV44" s="10" t="n">
        <v>46056</v>
      </c>
      <c r="AX44" s="9" t="n">
        <v>768</v>
      </c>
      <c r="AY44" s="9" t="n">
        <v>767.7</v>
      </c>
      <c r="AZ44" s="9" t="n">
        <v>0.2999999999999545</v>
      </c>
      <c r="BA44" s="9" t="n">
        <v>33548.99999999999</v>
      </c>
      <c r="BE44" s="10" t="n">
        <v>46056</v>
      </c>
      <c r="BG44" s="9" t="n">
        <v>920</v>
      </c>
      <c r="BH44" s="9" t="n">
        <v>919.7</v>
      </c>
      <c r="BI44" s="9" t="n">
        <v>0.2999999999999545</v>
      </c>
      <c r="BJ44" s="9" t="n">
        <v>21004.40000000001</v>
      </c>
      <c r="BN44" s="10" t="n">
        <v>46056</v>
      </c>
      <c r="BO44" s="9" t="n">
        <v>920</v>
      </c>
      <c r="BP44" s="9" t="n">
        <v>920</v>
      </c>
      <c r="BQ44" s="9" t="n">
        <v>920</v>
      </c>
      <c r="BR44" s="9" t="n">
        <v>0</v>
      </c>
      <c r="BS44" s="9" t="n">
        <v>0</v>
      </c>
      <c r="BW44" s="10" t="n">
        <v>46056</v>
      </c>
      <c r="BY44" s="9" t="n">
        <v>0</v>
      </c>
      <c r="BZ44" s="9" t="n">
        <v>32.5</v>
      </c>
      <c r="CA44" s="9" t="n">
        <v>-32.5</v>
      </c>
      <c r="CB44" s="9" t="n">
        <v>3252</v>
      </c>
      <c r="CF44" s="10" t="n">
        <v>46056</v>
      </c>
      <c r="CH44" s="9" t="n">
        <v>0</v>
      </c>
      <c r="CJ44" s="9" t="n">
        <v>0</v>
      </c>
      <c r="CK44" s="9" t="n">
        <v>0</v>
      </c>
      <c r="CO44" s="10" t="n">
        <v>46056</v>
      </c>
      <c r="CQ44" s="9" t="n">
        <v>0</v>
      </c>
      <c r="CS44" s="9" t="n">
        <v>0</v>
      </c>
      <c r="CT44" s="9" t="n">
        <v>0</v>
      </c>
      <c r="CX44" s="10" t="n">
        <v>46056</v>
      </c>
      <c r="CZ44" s="9" t="n">
        <v>0</v>
      </c>
      <c r="DB44" s="9" t="n">
        <v>0</v>
      </c>
      <c r="DC44" s="9" t="n">
        <v>0</v>
      </c>
      <c r="DG44" s="10" t="n">
        <v>46056</v>
      </c>
      <c r="DI44" s="9" t="n">
        <v>0</v>
      </c>
      <c r="DK44" s="9" t="n">
        <v>0</v>
      </c>
      <c r="DL44" s="9" t="n">
        <v>22172.8</v>
      </c>
      <c r="DP44" s="10" t="n">
        <v>46056</v>
      </c>
      <c r="DR44" s="9" t="n">
        <v>0</v>
      </c>
      <c r="DT44" s="9" t="n">
        <v>0</v>
      </c>
      <c r="DU44" s="9" t="n">
        <v>0</v>
      </c>
      <c r="DY44" s="10" t="n">
        <v>46056</v>
      </c>
      <c r="EA44" s="9" t="n">
        <v>0</v>
      </c>
      <c r="EC44" s="9" t="n">
        <v>0</v>
      </c>
      <c r="ED44" s="9" t="n">
        <v>0</v>
      </c>
      <c r="EH44" s="10" t="n">
        <v>46056</v>
      </c>
      <c r="EJ44" s="9" t="n">
        <v>0</v>
      </c>
      <c r="EL44" s="9" t="n">
        <v>0</v>
      </c>
      <c r="EM44" s="9" t="n">
        <v>0</v>
      </c>
      <c r="EQ44" s="10" t="n">
        <v>46056</v>
      </c>
      <c r="ES44" s="9" t="n">
        <v>0</v>
      </c>
      <c r="EU44" s="9" t="n">
        <v>0</v>
      </c>
      <c r="EV44" s="9" t="n">
        <v>0</v>
      </c>
      <c r="EZ44" s="10" t="n">
        <v>46056</v>
      </c>
      <c r="FB44" s="9" t="n">
        <v>0</v>
      </c>
      <c r="FD44" s="9" t="n">
        <v>0</v>
      </c>
      <c r="FE44" s="9" t="n">
        <v>0</v>
      </c>
      <c r="FI44" s="10" t="n">
        <v>46056</v>
      </c>
      <c r="FK44" s="9" t="n">
        <v>0</v>
      </c>
      <c r="FM44" s="9" t="n">
        <v>0</v>
      </c>
      <c r="FN44" s="9" t="n">
        <v>0</v>
      </c>
      <c r="FR44" s="10" t="n">
        <v>46056</v>
      </c>
      <c r="FT44" s="9" t="n">
        <v>0</v>
      </c>
      <c r="FV44" s="9" t="n">
        <v>0</v>
      </c>
      <c r="FW44" s="9" t="n">
        <v>3540</v>
      </c>
      <c r="GA44" s="10" t="n">
        <v>46056</v>
      </c>
      <c r="GC44" s="9" t="n">
        <v>0</v>
      </c>
      <c r="GE44" s="9" t="n">
        <v>0</v>
      </c>
      <c r="GF44" s="9" t="n">
        <v>3960</v>
      </c>
      <c r="GJ44" s="10" t="n">
        <v>46056</v>
      </c>
      <c r="GL44" s="9" t="n">
        <v>320</v>
      </c>
      <c r="GN44" s="9" t="n">
        <v>320</v>
      </c>
      <c r="GO44" s="9" t="n">
        <v>3240</v>
      </c>
      <c r="GS44" s="10" t="n">
        <v>46056</v>
      </c>
      <c r="GU44" s="9" t="n">
        <v>0</v>
      </c>
      <c r="GW44" s="9" t="n">
        <v>0</v>
      </c>
      <c r="GX44" s="9" t="n">
        <v>0</v>
      </c>
      <c r="HB44" s="10" t="n">
        <v>46056</v>
      </c>
      <c r="HD44" s="9" t="n">
        <v>0</v>
      </c>
      <c r="HF44" s="9" t="n">
        <v>0</v>
      </c>
      <c r="HG44" s="9" t="n">
        <v>0</v>
      </c>
      <c r="HK44" s="10" t="n">
        <v>46056</v>
      </c>
      <c r="HM44" s="9" t="n">
        <v>0</v>
      </c>
      <c r="HO44" s="9" t="n">
        <v>0</v>
      </c>
      <c r="HP44" s="9" t="n">
        <v>0</v>
      </c>
      <c r="HU44" s="10" t="n">
        <v>46056</v>
      </c>
      <c r="HW44" s="9" t="n">
        <v>0</v>
      </c>
      <c r="HY44" s="9" t="n">
        <v>0</v>
      </c>
      <c r="HZ44" s="9" t="n">
        <v>5440</v>
      </c>
      <c r="ID44" s="10" t="n">
        <v>46056</v>
      </c>
      <c r="IF44" s="9" t="n">
        <v>0</v>
      </c>
      <c r="IH44" s="9" t="n">
        <v>0</v>
      </c>
      <c r="II44" s="9" t="n">
        <v>5100</v>
      </c>
      <c r="IM44" s="10" t="n">
        <v>46056</v>
      </c>
      <c r="IO44" s="9" t="n">
        <v>520</v>
      </c>
      <c r="IQ44" s="9" t="n">
        <v>520</v>
      </c>
      <c r="IR44" s="9" t="n">
        <v>16240</v>
      </c>
      <c r="IV44" s="10" t="n">
        <v>46056</v>
      </c>
      <c r="IX44" s="9" t="n">
        <v>0</v>
      </c>
      <c r="IZ44" s="9" t="n">
        <v>0</v>
      </c>
      <c r="JA44" s="9" t="n">
        <v>13120</v>
      </c>
      <c r="JE44" s="10" t="n">
        <v>46056</v>
      </c>
      <c r="JG44" s="9" t="n">
        <v>0</v>
      </c>
      <c r="JI44" s="9" t="n">
        <v>0</v>
      </c>
      <c r="JJ44" s="9" t="n">
        <v>6800</v>
      </c>
      <c r="JN44" s="10" t="n">
        <v>46056</v>
      </c>
      <c r="JP44" s="9" t="n">
        <v>0</v>
      </c>
      <c r="JR44" s="9" t="n">
        <v>0</v>
      </c>
      <c r="JS44" s="9" t="n">
        <v>5400</v>
      </c>
      <c r="JW44" s="10" t="n">
        <v>46056</v>
      </c>
      <c r="JY44" s="9" t="n">
        <v>0</v>
      </c>
      <c r="KA44" s="9" t="n">
        <v>0</v>
      </c>
      <c r="KB44" s="9" t="n">
        <v>2260</v>
      </c>
      <c r="KF44" s="10" t="n">
        <v>46056</v>
      </c>
      <c r="KH44" s="9" t="n">
        <v>0</v>
      </c>
      <c r="KJ44" s="9" t="n">
        <v>0</v>
      </c>
      <c r="KK44" s="9" t="n">
        <v>0</v>
      </c>
      <c r="KO44" s="10" t="n">
        <v>46056</v>
      </c>
      <c r="KQ44" s="9" t="n">
        <v>0</v>
      </c>
      <c r="KS44" s="9" t="n">
        <v>0</v>
      </c>
      <c r="KT44" s="9" t="n">
        <v>0</v>
      </c>
      <c r="KX44" s="10" t="n">
        <v>46056</v>
      </c>
      <c r="KZ44" s="9" t="n">
        <v>0</v>
      </c>
      <c r="LB44" s="9" t="n">
        <v>0</v>
      </c>
      <c r="LC44" s="9" t="n">
        <v>0</v>
      </c>
      <c r="LG44" s="10" t="n">
        <v>46056</v>
      </c>
      <c r="LI44" s="9" t="n">
        <v>0</v>
      </c>
      <c r="LK44" s="9" t="n">
        <v>0</v>
      </c>
      <c r="LL44" s="9" t="n">
        <v>0</v>
      </c>
      <c r="LP44" s="10" t="n">
        <v>46056</v>
      </c>
      <c r="LR44" s="9" t="n">
        <v>0</v>
      </c>
      <c r="LT44" s="9" t="n">
        <v>0</v>
      </c>
      <c r="LU44" s="9" t="n">
        <v>0</v>
      </c>
      <c r="LY44" s="10" t="n">
        <v>46056</v>
      </c>
      <c r="MA44" s="9" t="n">
        <v>0</v>
      </c>
      <c r="MC44" s="9" t="n">
        <v>0</v>
      </c>
      <c r="MD44" s="9" t="n">
        <v>0</v>
      </c>
      <c r="MH44" s="10" t="n">
        <v>46056</v>
      </c>
      <c r="MJ44" s="9" t="n">
        <v>0</v>
      </c>
      <c r="ML44" s="9" t="n">
        <v>0</v>
      </c>
      <c r="MM44" s="9" t="n">
        <v>0</v>
      </c>
      <c r="MQ44" s="10" t="n">
        <v>46056</v>
      </c>
      <c r="MS44" s="9" t="n">
        <v>21</v>
      </c>
      <c r="MU44" s="9" t="n">
        <v>21</v>
      </c>
      <c r="MV44" s="9" t="n">
        <v>1969</v>
      </c>
      <c r="MZ44" s="10" t="n">
        <v>46056</v>
      </c>
      <c r="NB44" s="9" t="n">
        <v>78</v>
      </c>
      <c r="ND44" s="9" t="n">
        <v>78</v>
      </c>
      <c r="NE44" s="9" t="n">
        <v>0</v>
      </c>
      <c r="NI44" s="10" t="n">
        <v>46056</v>
      </c>
      <c r="NK44" s="9" t="n">
        <v>0</v>
      </c>
      <c r="NM44" s="9" t="n">
        <v>0</v>
      </c>
      <c r="NN44" s="9" t="n">
        <v>0</v>
      </c>
      <c r="NR44" s="10" t="n">
        <v>46056</v>
      </c>
      <c r="NT44" s="9" t="n">
        <v>0</v>
      </c>
      <c r="NV44" s="9" t="n">
        <v>0</v>
      </c>
      <c r="NW44" s="9" t="n">
        <v>0</v>
      </c>
      <c r="OA44" s="10" t="n">
        <v>46056</v>
      </c>
      <c r="OC44" s="9" t="n">
        <v>0</v>
      </c>
      <c r="OE44" s="9" t="n">
        <v>0</v>
      </c>
      <c r="OF44" s="9" t="n">
        <v>1680.5</v>
      </c>
      <c r="OJ44" s="10" t="n">
        <v>46056</v>
      </c>
      <c r="OL44" s="9" t="n">
        <v>0</v>
      </c>
      <c r="ON44" s="9" t="n">
        <v>0</v>
      </c>
      <c r="OO44" s="9" t="n">
        <v>0</v>
      </c>
      <c r="OS44" s="10" t="n">
        <v>46056</v>
      </c>
      <c r="OU44" s="9" t="n">
        <v>0</v>
      </c>
      <c r="OW44" s="9" t="n">
        <v>0</v>
      </c>
      <c r="OX44" s="9" t="n">
        <v>0</v>
      </c>
      <c r="PB44" s="10" t="n">
        <v>46056</v>
      </c>
      <c r="PD44" s="9" t="n">
        <v>0</v>
      </c>
      <c r="PF44" s="9" t="n">
        <v>0</v>
      </c>
      <c r="PG44" s="9" t="n">
        <v>0</v>
      </c>
      <c r="PK44" s="10" t="n">
        <v>46056</v>
      </c>
      <c r="PM44" s="9" t="n">
        <v>0</v>
      </c>
      <c r="PO44" s="9" t="n">
        <v>0</v>
      </c>
      <c r="PP44" s="9" t="n">
        <v>160</v>
      </c>
      <c r="PT44" s="10" t="n">
        <v>46056</v>
      </c>
      <c r="PV44" s="9" t="n">
        <v>0</v>
      </c>
      <c r="PX44" s="9" t="n">
        <v>0</v>
      </c>
      <c r="PY44" s="9" t="n">
        <v>13.96000000000004</v>
      </c>
      <c r="QC44" s="10" t="n">
        <v>46056</v>
      </c>
      <c r="QE44" s="9" t="n">
        <v>0</v>
      </c>
      <c r="QG44" s="9" t="n">
        <v>0</v>
      </c>
      <c r="QH44" s="9" t="n">
        <v>0</v>
      </c>
      <c r="QL44" s="10" t="n">
        <v>46056</v>
      </c>
      <c r="QN44" s="9" t="n">
        <v>0</v>
      </c>
      <c r="QP44" s="9" t="n">
        <v>0</v>
      </c>
      <c r="QQ44" s="9" t="n">
        <v>0</v>
      </c>
      <c r="QU44" s="10" t="n">
        <v>46056</v>
      </c>
      <c r="QW44" s="9" t="n">
        <v>0</v>
      </c>
      <c r="QY44" s="9" t="n">
        <v>0</v>
      </c>
      <c r="QZ44" s="9" t="n">
        <v>207.6</v>
      </c>
      <c r="RD44" s="10" t="n">
        <v>46056</v>
      </c>
      <c r="RF44" s="9" t="n">
        <v>0</v>
      </c>
      <c r="RH44" s="9" t="n">
        <v>0</v>
      </c>
      <c r="RI44" s="9" t="n">
        <v>201.8</v>
      </c>
      <c r="RM44" s="10" t="n">
        <v>46056</v>
      </c>
      <c r="RO44" s="9" t="n">
        <v>0</v>
      </c>
      <c r="RQ44" s="9" t="n">
        <v>0</v>
      </c>
      <c r="RR44" s="9" t="n">
        <v>22.72</v>
      </c>
      <c r="RV44" s="10" t="n">
        <v>46056</v>
      </c>
      <c r="RX44" s="9" t="n">
        <v>0</v>
      </c>
      <c r="RZ44" s="9" t="n">
        <v>0</v>
      </c>
      <c r="SA44" s="9" t="n">
        <v>0</v>
      </c>
      <c r="SE44" s="10" t="n">
        <v>46056</v>
      </c>
      <c r="SG44" s="9" t="n">
        <v>0</v>
      </c>
      <c r="SI44" s="9" t="n">
        <v>0</v>
      </c>
      <c r="SJ44" s="9" t="n">
        <v>0</v>
      </c>
      <c r="SN44" s="10" t="n">
        <v>46056</v>
      </c>
      <c r="SP44" s="9" t="n">
        <v>0</v>
      </c>
      <c r="SR44" s="9" t="n">
        <v>0</v>
      </c>
      <c r="SS44" s="9" t="n">
        <v>0</v>
      </c>
      <c r="SW44" s="10" t="n">
        <v>46056</v>
      </c>
      <c r="SY44" s="9" t="n">
        <v>0</v>
      </c>
      <c r="TA44" s="9" t="n">
        <v>0</v>
      </c>
      <c r="TB44" s="9" t="n">
        <v>270</v>
      </c>
      <c r="TF44" s="10" t="n">
        <v>46056</v>
      </c>
      <c r="TH44" s="9" t="n">
        <v>0</v>
      </c>
      <c r="TJ44" s="9" t="n">
        <v>0</v>
      </c>
      <c r="TK44" s="9" t="n">
        <v>0</v>
      </c>
      <c r="TO44" s="10" t="n">
        <v>46056</v>
      </c>
      <c r="TQ44" s="9" t="n">
        <v>0</v>
      </c>
      <c r="TS44" s="9" t="n">
        <v>0</v>
      </c>
      <c r="TT44" s="9" t="n">
        <v>0</v>
      </c>
      <c r="TX44" s="10" t="n">
        <v>46056</v>
      </c>
      <c r="TZ44" s="9" t="n">
        <v>0</v>
      </c>
      <c r="UB44" s="9" t="n">
        <v>0</v>
      </c>
      <c r="UC44" s="9" t="n">
        <v>0</v>
      </c>
      <c r="UG44" s="10" t="n">
        <v>46056</v>
      </c>
      <c r="UI44" s="9" t="n">
        <v>0</v>
      </c>
      <c r="UK44" s="9" t="n">
        <v>0</v>
      </c>
      <c r="UL44" s="9" t="n">
        <v>0</v>
      </c>
      <c r="UP44" s="10" t="n">
        <v>46056</v>
      </c>
      <c r="UR44" s="9" t="n">
        <v>0</v>
      </c>
      <c r="UT44" s="9" t="n">
        <v>0</v>
      </c>
      <c r="UU44" s="9" t="n">
        <v>0</v>
      </c>
      <c r="UY44" s="10" t="n">
        <v>46056</v>
      </c>
      <c r="VA44" s="9" t="n">
        <v>0</v>
      </c>
      <c r="VC44" s="9" t="n">
        <v>0</v>
      </c>
      <c r="VD44" s="9" t="n">
        <v>41.60000000000002</v>
      </c>
      <c r="VH44" s="10" t="n">
        <v>46056</v>
      </c>
      <c r="VJ44" s="9" t="n">
        <v>0</v>
      </c>
      <c r="VL44" s="9" t="n">
        <v>0</v>
      </c>
      <c r="VM44" s="9" t="n">
        <v>0</v>
      </c>
      <c r="VQ44" s="10" t="n">
        <v>46056</v>
      </c>
      <c r="VS44" s="9" t="n">
        <v>0</v>
      </c>
      <c r="VU44" s="9" t="n">
        <v>0</v>
      </c>
      <c r="VV44" s="9" t="n">
        <v>0</v>
      </c>
      <c r="VZ44" s="10" t="n">
        <v>46056</v>
      </c>
      <c r="WB44" s="9" t="n">
        <v>0</v>
      </c>
      <c r="WD44" s="9" t="n">
        <v>0</v>
      </c>
      <c r="WE44" s="9" t="n">
        <v>0</v>
      </c>
      <c r="WI44" s="10" t="n">
        <v>46056</v>
      </c>
      <c r="WK44" s="9" t="n">
        <v>0</v>
      </c>
      <c r="WM44" s="9" t="n">
        <v>0</v>
      </c>
      <c r="WN44" s="9" t="n">
        <v>9609</v>
      </c>
      <c r="WR44" s="10" t="n">
        <v>46056</v>
      </c>
      <c r="WT44" s="9" t="n">
        <v>0</v>
      </c>
      <c r="WV44" s="9" t="n">
        <v>0</v>
      </c>
      <c r="WW44" s="9" t="n">
        <v>8149</v>
      </c>
      <c r="XA44" s="10" t="n">
        <v>46056</v>
      </c>
      <c r="XC44" s="9" t="n">
        <v>0</v>
      </c>
      <c r="XD44" s="9" t="n">
        <v>321</v>
      </c>
      <c r="XE44" s="9" t="n">
        <v>-321</v>
      </c>
      <c r="XF44" s="9" t="n">
        <v>590</v>
      </c>
      <c r="XJ44" s="10" t="n">
        <v>46056</v>
      </c>
      <c r="XL44" s="9" t="n">
        <v>0</v>
      </c>
      <c r="XN44" s="9" t="n">
        <v>0</v>
      </c>
      <c r="XO44" s="9" t="n">
        <v>6240</v>
      </c>
      <c r="XS44" s="10" t="n">
        <v>46056</v>
      </c>
      <c r="XU44" s="9" t="n">
        <v>0</v>
      </c>
      <c r="XW44" s="9" t="n">
        <v>0</v>
      </c>
      <c r="XX44" s="9" t="n">
        <v>1901</v>
      </c>
      <c r="YB44" s="10" t="n">
        <v>46056</v>
      </c>
      <c r="YD44" s="9" t="n">
        <v>0</v>
      </c>
      <c r="YE44" s="9" t="n">
        <v>515</v>
      </c>
      <c r="YF44" s="9" t="n">
        <v>-515</v>
      </c>
      <c r="YG44" s="9" t="n">
        <v>1370</v>
      </c>
      <c r="YK44" s="10" t="n">
        <v>46056</v>
      </c>
      <c r="YM44" s="9" t="n">
        <v>0</v>
      </c>
      <c r="YO44" s="9" t="n">
        <v>0</v>
      </c>
      <c r="YP44" s="9" t="n">
        <v>0</v>
      </c>
      <c r="YT44" s="10" t="n">
        <v>46056</v>
      </c>
      <c r="YV44" s="9" t="n">
        <v>0</v>
      </c>
      <c r="YX44" s="9" t="n">
        <v>0</v>
      </c>
      <c r="YY44" s="9" t="n">
        <v>0</v>
      </c>
      <c r="ZC44" s="10" t="n">
        <v>46056</v>
      </c>
      <c r="ZE44" s="9" t="n">
        <v>0</v>
      </c>
      <c r="ZG44" s="9" t="n">
        <v>0</v>
      </c>
      <c r="ZH44" s="9" t="n">
        <v>0</v>
      </c>
      <c r="ZL44" s="10" t="n">
        <v>46056</v>
      </c>
      <c r="ZN44" s="9" t="n">
        <v>0</v>
      </c>
      <c r="ZP44" s="9" t="n">
        <v>0</v>
      </c>
      <c r="ZQ44" s="9" t="n">
        <v>0</v>
      </c>
      <c r="ZU44" s="10" t="n">
        <v>46056</v>
      </c>
      <c r="ZW44" s="9" t="n">
        <v>0</v>
      </c>
      <c r="ZY44" s="9" t="n">
        <v>0</v>
      </c>
      <c r="ZZ44" s="9" t="n">
        <v>0</v>
      </c>
      <c r="AAD44" s="10" t="n">
        <v>46056</v>
      </c>
      <c r="AAF44" s="9" t="n">
        <v>0</v>
      </c>
      <c r="AAH44" s="9" t="n">
        <v>0</v>
      </c>
      <c r="AAI44" s="9" t="n">
        <v>0</v>
      </c>
      <c r="AAM44" s="10" t="n">
        <v>46056</v>
      </c>
      <c r="AAO44" s="9" t="n">
        <v>0</v>
      </c>
      <c r="AAQ44" s="9" t="n">
        <v>0</v>
      </c>
      <c r="AAR44" s="9" t="n">
        <v>0</v>
      </c>
      <c r="AAV44" s="10" t="n">
        <v>46056</v>
      </c>
      <c r="AAX44" s="9" t="n">
        <v>0</v>
      </c>
      <c r="AAZ44" s="9" t="n">
        <v>0</v>
      </c>
      <c r="ABA44" s="9" t="n">
        <v>0</v>
      </c>
      <c r="ABE44" s="10" t="n">
        <v>46056</v>
      </c>
      <c r="ABG44" s="9" t="n">
        <v>0</v>
      </c>
      <c r="ABI44" s="9" t="n">
        <v>0</v>
      </c>
      <c r="ABJ44" s="9" t="n">
        <v>0</v>
      </c>
    </row>
    <row r="45">
      <c r="C45" s="10" t="n">
        <v>46057</v>
      </c>
      <c r="D45" s="9" t="n">
        <v>10720</v>
      </c>
      <c r="E45" s="9" t="n">
        <v>0</v>
      </c>
      <c r="G45" s="9" t="n">
        <v>0</v>
      </c>
      <c r="H45" s="9" t="n">
        <v>228491.2</v>
      </c>
      <c r="L45" s="10" t="n">
        <v>46057</v>
      </c>
      <c r="M45" s="9" t="n">
        <v>27840</v>
      </c>
      <c r="N45" s="9" t="n">
        <v>0</v>
      </c>
      <c r="P45" s="9" t="n">
        <v>0</v>
      </c>
      <c r="Q45" s="9" t="n">
        <v>93296.60000000001</v>
      </c>
      <c r="U45" s="10" t="n">
        <v>46057</v>
      </c>
      <c r="W45" s="9" t="n">
        <v>0</v>
      </c>
      <c r="Y45" s="9" t="n">
        <v>0</v>
      </c>
      <c r="Z45" s="9" t="n">
        <v>47305.19999999998</v>
      </c>
      <c r="AD45" s="10" t="n">
        <v>46057</v>
      </c>
      <c r="AF45" s="9" t="n">
        <v>0</v>
      </c>
      <c r="AH45" s="9" t="n">
        <v>0</v>
      </c>
      <c r="AI45" s="9" t="n">
        <v>50351.20000000001</v>
      </c>
      <c r="AM45" s="10" t="n">
        <v>46057</v>
      </c>
      <c r="AO45" s="9" t="n">
        <v>0</v>
      </c>
      <c r="AQ45" s="9" t="n">
        <v>0</v>
      </c>
      <c r="AR45" s="9" t="n">
        <v>0</v>
      </c>
      <c r="AV45" s="10" t="n">
        <v>46057</v>
      </c>
      <c r="AW45" s="9" t="n">
        <v>30200</v>
      </c>
      <c r="AX45" s="9" t="n">
        <v>0</v>
      </c>
      <c r="AZ45" s="9" t="n">
        <v>0</v>
      </c>
      <c r="BA45" s="9" t="n">
        <v>63748.99999999999</v>
      </c>
      <c r="BE45" s="10" t="n">
        <v>46057</v>
      </c>
      <c r="BF45" s="9" t="n">
        <v>22150</v>
      </c>
      <c r="BG45" s="9" t="n">
        <v>0</v>
      </c>
      <c r="BI45" s="9" t="n">
        <v>0</v>
      </c>
      <c r="BJ45" s="9" t="n">
        <v>43154.40000000001</v>
      </c>
      <c r="BN45" s="10" t="n">
        <v>46057</v>
      </c>
      <c r="BP45" s="9" t="n">
        <v>0</v>
      </c>
      <c r="BR45" s="9" t="n">
        <v>0</v>
      </c>
      <c r="BS45" s="9" t="n">
        <v>0</v>
      </c>
      <c r="BW45" s="10" t="n">
        <v>46057</v>
      </c>
      <c r="BY45" s="9" t="n">
        <v>0</v>
      </c>
      <c r="BZ45" s="9" t="n">
        <v>252</v>
      </c>
      <c r="CA45" s="9" t="n">
        <v>-252</v>
      </c>
      <c r="CB45" s="9" t="n">
        <v>3000</v>
      </c>
      <c r="CF45" s="10" t="n">
        <v>46057</v>
      </c>
      <c r="CH45" s="9" t="n">
        <v>0</v>
      </c>
      <c r="CJ45" s="9" t="n">
        <v>0</v>
      </c>
      <c r="CK45" s="9" t="n">
        <v>0</v>
      </c>
      <c r="CO45" s="10" t="n">
        <v>46057</v>
      </c>
      <c r="CQ45" s="9" t="n">
        <v>0</v>
      </c>
      <c r="CS45" s="9" t="n">
        <v>0</v>
      </c>
      <c r="CT45" s="9" t="n">
        <v>0</v>
      </c>
      <c r="CX45" s="10" t="n">
        <v>46057</v>
      </c>
      <c r="CZ45" s="9" t="n">
        <v>0</v>
      </c>
      <c r="DB45" s="9" t="n">
        <v>0</v>
      </c>
      <c r="DC45" s="9" t="n">
        <v>0</v>
      </c>
      <c r="DG45" s="10" t="n">
        <v>46057</v>
      </c>
      <c r="DI45" s="9" t="n">
        <v>0</v>
      </c>
      <c r="DK45" s="9" t="n">
        <v>0</v>
      </c>
      <c r="DL45" s="9" t="n">
        <v>22172.8</v>
      </c>
      <c r="DP45" s="10" t="n">
        <v>46057</v>
      </c>
      <c r="DR45" s="9" t="n">
        <v>0</v>
      </c>
      <c r="DT45" s="9" t="n">
        <v>0</v>
      </c>
      <c r="DU45" s="9" t="n">
        <v>0</v>
      </c>
      <c r="DY45" s="10" t="n">
        <v>46057</v>
      </c>
      <c r="EA45" s="9" t="n">
        <v>0</v>
      </c>
      <c r="EC45" s="9" t="n">
        <v>0</v>
      </c>
      <c r="ED45" s="9" t="n">
        <v>0</v>
      </c>
      <c r="EH45" s="10" t="n">
        <v>46057</v>
      </c>
      <c r="EJ45" s="9" t="n">
        <v>0</v>
      </c>
      <c r="EL45" s="9" t="n">
        <v>0</v>
      </c>
      <c r="EM45" s="9" t="n">
        <v>0</v>
      </c>
      <c r="EQ45" s="10" t="n">
        <v>46057</v>
      </c>
      <c r="ES45" s="9" t="n">
        <v>0</v>
      </c>
      <c r="EU45" s="9" t="n">
        <v>0</v>
      </c>
      <c r="EV45" s="9" t="n">
        <v>0</v>
      </c>
      <c r="EZ45" s="10" t="n">
        <v>46057</v>
      </c>
      <c r="FB45" s="9" t="n">
        <v>0</v>
      </c>
      <c r="FD45" s="9" t="n">
        <v>0</v>
      </c>
      <c r="FE45" s="9" t="n">
        <v>0</v>
      </c>
      <c r="FI45" s="10" t="n">
        <v>46057</v>
      </c>
      <c r="FK45" s="9" t="n">
        <v>0</v>
      </c>
      <c r="FM45" s="9" t="n">
        <v>0</v>
      </c>
      <c r="FN45" s="9" t="n">
        <v>0</v>
      </c>
      <c r="FR45" s="10" t="n">
        <v>46057</v>
      </c>
      <c r="FT45" s="9" t="n">
        <v>0</v>
      </c>
      <c r="FV45" s="9" t="n">
        <v>0</v>
      </c>
      <c r="FW45" s="9" t="n">
        <v>3540</v>
      </c>
      <c r="GA45" s="10" t="n">
        <v>46057</v>
      </c>
      <c r="GC45" s="9" t="n">
        <v>0</v>
      </c>
      <c r="GE45" s="9" t="n">
        <v>0</v>
      </c>
      <c r="GF45" s="9" t="n">
        <v>3960</v>
      </c>
      <c r="GJ45" s="10" t="n">
        <v>46057</v>
      </c>
      <c r="GL45" s="9" t="n">
        <v>0</v>
      </c>
      <c r="GN45" s="9" t="n">
        <v>0</v>
      </c>
      <c r="GO45" s="9" t="n">
        <v>3240</v>
      </c>
      <c r="GS45" s="10" t="n">
        <v>46057</v>
      </c>
      <c r="GU45" s="9" t="n">
        <v>0</v>
      </c>
      <c r="GW45" s="9" t="n">
        <v>0</v>
      </c>
      <c r="GX45" s="9" t="n">
        <v>0</v>
      </c>
      <c r="HB45" s="10" t="n">
        <v>46057</v>
      </c>
      <c r="HD45" s="9" t="n">
        <v>0</v>
      </c>
      <c r="HF45" s="9" t="n">
        <v>0</v>
      </c>
      <c r="HG45" s="9" t="n">
        <v>0</v>
      </c>
      <c r="HK45" s="10" t="n">
        <v>46057</v>
      </c>
      <c r="HM45" s="9" t="n">
        <v>0</v>
      </c>
      <c r="HO45" s="9" t="n">
        <v>0</v>
      </c>
      <c r="HP45" s="9" t="n">
        <v>0</v>
      </c>
      <c r="HU45" s="10" t="n">
        <v>46057</v>
      </c>
      <c r="HW45" s="9" t="n">
        <v>0</v>
      </c>
      <c r="HY45" s="9" t="n">
        <v>0</v>
      </c>
      <c r="HZ45" s="9" t="n">
        <v>5440</v>
      </c>
      <c r="ID45" s="10" t="n">
        <v>46057</v>
      </c>
      <c r="IF45" s="9" t="n">
        <v>0</v>
      </c>
      <c r="IH45" s="9" t="n">
        <v>0</v>
      </c>
      <c r="II45" s="9" t="n">
        <v>5100</v>
      </c>
      <c r="IM45" s="10" t="n">
        <v>46057</v>
      </c>
      <c r="IO45" s="9" t="n">
        <v>0</v>
      </c>
      <c r="IQ45" s="9" t="n">
        <v>0</v>
      </c>
      <c r="IR45" s="9" t="n">
        <v>16240</v>
      </c>
      <c r="IV45" s="10" t="n">
        <v>46057</v>
      </c>
      <c r="IX45" s="9" t="n">
        <v>0</v>
      </c>
      <c r="IZ45" s="9" t="n">
        <v>0</v>
      </c>
      <c r="JA45" s="9" t="n">
        <v>13120</v>
      </c>
      <c r="JE45" s="10" t="n">
        <v>46057</v>
      </c>
      <c r="JG45" s="9" t="n">
        <v>0</v>
      </c>
      <c r="JI45" s="9" t="n">
        <v>0</v>
      </c>
      <c r="JJ45" s="9" t="n">
        <v>6800</v>
      </c>
      <c r="JN45" s="10" t="n">
        <v>46057</v>
      </c>
      <c r="JP45" s="9" t="n">
        <v>0</v>
      </c>
      <c r="JR45" s="9" t="n">
        <v>0</v>
      </c>
      <c r="JS45" s="9" t="n">
        <v>5400</v>
      </c>
      <c r="JW45" s="10" t="n">
        <v>46057</v>
      </c>
      <c r="JY45" s="9" t="n">
        <v>0</v>
      </c>
      <c r="KA45" s="9" t="n">
        <v>0</v>
      </c>
      <c r="KB45" s="9" t="n">
        <v>2260</v>
      </c>
      <c r="KF45" s="10" t="n">
        <v>46057</v>
      </c>
      <c r="KG45" s="9" t="n">
        <v>4017</v>
      </c>
      <c r="KH45" s="9" t="n">
        <v>0</v>
      </c>
      <c r="KJ45" s="9" t="n">
        <v>0</v>
      </c>
      <c r="KK45" s="9" t="n">
        <v>4017</v>
      </c>
      <c r="KO45" s="10" t="n">
        <v>46057</v>
      </c>
      <c r="KP45" s="9" t="n">
        <v>4649.4</v>
      </c>
      <c r="KQ45" s="9" t="n">
        <v>0</v>
      </c>
      <c r="KS45" s="9" t="n">
        <v>0</v>
      </c>
      <c r="KT45" s="9" t="n">
        <v>4649.4</v>
      </c>
      <c r="KX45" s="10" t="n">
        <v>46057</v>
      </c>
      <c r="KZ45" s="9" t="n">
        <v>0</v>
      </c>
      <c r="LB45" s="9" t="n">
        <v>0</v>
      </c>
      <c r="LC45" s="9" t="n">
        <v>0</v>
      </c>
      <c r="LG45" s="10" t="n">
        <v>46057</v>
      </c>
      <c r="LI45" s="9" t="n">
        <v>0</v>
      </c>
      <c r="LK45" s="9" t="n">
        <v>0</v>
      </c>
      <c r="LL45" s="9" t="n">
        <v>0</v>
      </c>
      <c r="LP45" s="10" t="n">
        <v>46057</v>
      </c>
      <c r="LR45" s="9" t="n">
        <v>0</v>
      </c>
      <c r="LT45" s="9" t="n">
        <v>0</v>
      </c>
      <c r="LU45" s="9" t="n">
        <v>0</v>
      </c>
      <c r="LY45" s="10" t="n">
        <v>46057</v>
      </c>
      <c r="MA45" s="9" t="n">
        <v>0</v>
      </c>
      <c r="MC45" s="9" t="n">
        <v>0</v>
      </c>
      <c r="MD45" s="9" t="n">
        <v>0</v>
      </c>
      <c r="MH45" s="10" t="n">
        <v>46057</v>
      </c>
      <c r="MJ45" s="9" t="n">
        <v>0</v>
      </c>
      <c r="ML45" s="9" t="n">
        <v>0</v>
      </c>
      <c r="MM45" s="9" t="n">
        <v>0</v>
      </c>
      <c r="MQ45" s="10" t="n">
        <v>46057</v>
      </c>
      <c r="MS45" s="9" t="n">
        <v>0</v>
      </c>
      <c r="MU45" s="9" t="n">
        <v>0</v>
      </c>
      <c r="MV45" s="9" t="n">
        <v>1969</v>
      </c>
      <c r="MZ45" s="10" t="n">
        <v>46057</v>
      </c>
      <c r="NB45" s="9" t="n">
        <v>0</v>
      </c>
      <c r="ND45" s="9" t="n">
        <v>0</v>
      </c>
      <c r="NE45" s="9" t="n">
        <v>0</v>
      </c>
      <c r="NI45" s="10" t="n">
        <v>46057</v>
      </c>
      <c r="NK45" s="9" t="n">
        <v>0</v>
      </c>
      <c r="NM45" s="9" t="n">
        <v>0</v>
      </c>
      <c r="NN45" s="9" t="n">
        <v>0</v>
      </c>
      <c r="NR45" s="10" t="n">
        <v>46057</v>
      </c>
      <c r="NS45" s="9" t="n">
        <v>970</v>
      </c>
      <c r="NT45" s="9" t="n">
        <v>0</v>
      </c>
      <c r="NV45" s="9" t="n">
        <v>0</v>
      </c>
      <c r="NW45" s="9" t="n">
        <v>970</v>
      </c>
      <c r="OA45" s="10" t="n">
        <v>46057</v>
      </c>
      <c r="OC45" s="9" t="n">
        <v>0</v>
      </c>
      <c r="OE45" s="9" t="n">
        <v>0</v>
      </c>
      <c r="OF45" s="9" t="n">
        <v>1680.5</v>
      </c>
      <c r="OJ45" s="10" t="n">
        <v>46057</v>
      </c>
      <c r="OL45" s="9" t="n">
        <v>0</v>
      </c>
      <c r="ON45" s="9" t="n">
        <v>0</v>
      </c>
      <c r="OO45" s="9" t="n">
        <v>0</v>
      </c>
      <c r="OS45" s="10" t="n">
        <v>46057</v>
      </c>
      <c r="OU45" s="9" t="n">
        <v>0</v>
      </c>
      <c r="OW45" s="9" t="n">
        <v>0</v>
      </c>
      <c r="OX45" s="9" t="n">
        <v>0</v>
      </c>
      <c r="PB45" s="10" t="n">
        <v>46057</v>
      </c>
      <c r="PD45" s="9" t="n">
        <v>0</v>
      </c>
      <c r="PF45" s="9" t="n">
        <v>0</v>
      </c>
      <c r="PG45" s="9" t="n">
        <v>0</v>
      </c>
      <c r="PK45" s="10" t="n">
        <v>46057</v>
      </c>
      <c r="PM45" s="9" t="n">
        <v>0</v>
      </c>
      <c r="PO45" s="9" t="n">
        <v>0</v>
      </c>
      <c r="PP45" s="9" t="n">
        <v>160</v>
      </c>
      <c r="PT45" s="10" t="n">
        <v>46057</v>
      </c>
      <c r="PV45" s="9" t="n">
        <v>0</v>
      </c>
      <c r="PX45" s="9" t="n">
        <v>0</v>
      </c>
      <c r="PY45" s="9" t="n">
        <v>13.96000000000004</v>
      </c>
      <c r="QC45" s="10" t="n">
        <v>46057</v>
      </c>
      <c r="QE45" s="9" t="n">
        <v>0</v>
      </c>
      <c r="QG45" s="9" t="n">
        <v>0</v>
      </c>
      <c r="QH45" s="9" t="n">
        <v>0</v>
      </c>
      <c r="QL45" s="10" t="n">
        <v>46057</v>
      </c>
      <c r="QN45" s="9" t="n">
        <v>0</v>
      </c>
      <c r="QP45" s="9" t="n">
        <v>0</v>
      </c>
      <c r="QQ45" s="9" t="n">
        <v>0</v>
      </c>
      <c r="QU45" s="10" t="n">
        <v>46057</v>
      </c>
      <c r="QW45" s="9" t="n">
        <v>0</v>
      </c>
      <c r="QY45" s="9" t="n">
        <v>0</v>
      </c>
      <c r="QZ45" s="9" t="n">
        <v>207.6</v>
      </c>
      <c r="RD45" s="10" t="n">
        <v>46057</v>
      </c>
      <c r="RF45" s="9" t="n">
        <v>0</v>
      </c>
      <c r="RH45" s="9" t="n">
        <v>0</v>
      </c>
      <c r="RI45" s="9" t="n">
        <v>201.8</v>
      </c>
      <c r="RM45" s="10" t="n">
        <v>46057</v>
      </c>
      <c r="RO45" s="9" t="n">
        <v>0</v>
      </c>
      <c r="RQ45" s="9" t="n">
        <v>0</v>
      </c>
      <c r="RR45" s="9" t="n">
        <v>22.72</v>
      </c>
      <c r="RV45" s="10" t="n">
        <v>46057</v>
      </c>
      <c r="RX45" s="9" t="n">
        <v>0</v>
      </c>
      <c r="RZ45" s="9" t="n">
        <v>0</v>
      </c>
      <c r="SA45" s="9" t="n">
        <v>0</v>
      </c>
      <c r="SE45" s="10" t="n">
        <v>46057</v>
      </c>
      <c r="SG45" s="9" t="n">
        <v>0</v>
      </c>
      <c r="SI45" s="9" t="n">
        <v>0</v>
      </c>
      <c r="SJ45" s="9" t="n">
        <v>0</v>
      </c>
      <c r="SN45" s="10" t="n">
        <v>46057</v>
      </c>
      <c r="SP45" s="9" t="n">
        <v>0</v>
      </c>
      <c r="SR45" s="9" t="n">
        <v>0</v>
      </c>
      <c r="SS45" s="9" t="n">
        <v>0</v>
      </c>
      <c r="SW45" s="10" t="n">
        <v>46057</v>
      </c>
      <c r="SY45" s="9" t="n">
        <v>0</v>
      </c>
      <c r="TA45" s="9" t="n">
        <v>0</v>
      </c>
      <c r="TB45" s="9" t="n">
        <v>270</v>
      </c>
      <c r="TF45" s="10" t="n">
        <v>46057</v>
      </c>
      <c r="TH45" s="9" t="n">
        <v>0</v>
      </c>
      <c r="TJ45" s="9" t="n">
        <v>0</v>
      </c>
      <c r="TK45" s="9" t="n">
        <v>0</v>
      </c>
      <c r="TO45" s="10" t="n">
        <v>46057</v>
      </c>
      <c r="TQ45" s="9" t="n">
        <v>0</v>
      </c>
      <c r="TS45" s="9" t="n">
        <v>0</v>
      </c>
      <c r="TT45" s="9" t="n">
        <v>0</v>
      </c>
      <c r="TX45" s="10" t="n">
        <v>46057</v>
      </c>
      <c r="TZ45" s="9" t="n">
        <v>0</v>
      </c>
      <c r="UB45" s="9" t="n">
        <v>0</v>
      </c>
      <c r="UC45" s="9" t="n">
        <v>0</v>
      </c>
      <c r="UG45" s="10" t="n">
        <v>46057</v>
      </c>
      <c r="UI45" s="9" t="n">
        <v>0</v>
      </c>
      <c r="UK45" s="9" t="n">
        <v>0</v>
      </c>
      <c r="UL45" s="9" t="n">
        <v>0</v>
      </c>
      <c r="UP45" s="10" t="n">
        <v>46057</v>
      </c>
      <c r="UR45" s="9" t="n">
        <v>0</v>
      </c>
      <c r="UT45" s="9" t="n">
        <v>0</v>
      </c>
      <c r="UU45" s="9" t="n">
        <v>0</v>
      </c>
      <c r="UY45" s="10" t="n">
        <v>46057</v>
      </c>
      <c r="VA45" s="9" t="n">
        <v>0</v>
      </c>
      <c r="VC45" s="9" t="n">
        <v>0</v>
      </c>
      <c r="VD45" s="9" t="n">
        <v>41.60000000000002</v>
      </c>
      <c r="VH45" s="10" t="n">
        <v>46057</v>
      </c>
      <c r="VJ45" s="9" t="n">
        <v>0</v>
      </c>
      <c r="VL45" s="9" t="n">
        <v>0</v>
      </c>
      <c r="VM45" s="9" t="n">
        <v>0</v>
      </c>
      <c r="VQ45" s="10" t="n">
        <v>46057</v>
      </c>
      <c r="VS45" s="9" t="n">
        <v>0</v>
      </c>
      <c r="VU45" s="9" t="n">
        <v>0</v>
      </c>
      <c r="VV45" s="9" t="n">
        <v>0</v>
      </c>
      <c r="VZ45" s="10" t="n">
        <v>46057</v>
      </c>
      <c r="WB45" s="9" t="n">
        <v>0</v>
      </c>
      <c r="WD45" s="9" t="n">
        <v>0</v>
      </c>
      <c r="WE45" s="9" t="n">
        <v>0</v>
      </c>
      <c r="WI45" s="10" t="n">
        <v>46057</v>
      </c>
      <c r="WK45" s="9" t="n">
        <v>0</v>
      </c>
      <c r="WM45" s="9" t="n">
        <v>0</v>
      </c>
      <c r="WN45" s="9" t="n">
        <v>9609</v>
      </c>
      <c r="WR45" s="10" t="n">
        <v>46057</v>
      </c>
      <c r="WT45" s="9" t="n">
        <v>0</v>
      </c>
      <c r="WV45" s="9" t="n">
        <v>0</v>
      </c>
      <c r="WW45" s="9" t="n">
        <v>8149</v>
      </c>
      <c r="XA45" s="10" t="n">
        <v>46057</v>
      </c>
      <c r="XC45" s="9" t="n">
        <v>0</v>
      </c>
      <c r="XE45" s="9" t="n">
        <v>0</v>
      </c>
      <c r="XF45" s="9" t="n">
        <v>590</v>
      </c>
      <c r="XJ45" s="10" t="n">
        <v>46057</v>
      </c>
      <c r="XL45" s="9" t="n">
        <v>0</v>
      </c>
      <c r="XN45" s="9" t="n">
        <v>0</v>
      </c>
      <c r="XO45" s="9" t="n">
        <v>6240</v>
      </c>
      <c r="XS45" s="10" t="n">
        <v>46057</v>
      </c>
      <c r="XU45" s="9" t="n">
        <v>0</v>
      </c>
      <c r="XW45" s="9" t="n">
        <v>0</v>
      </c>
      <c r="XX45" s="9" t="n">
        <v>1901</v>
      </c>
      <c r="YB45" s="10" t="n">
        <v>46057</v>
      </c>
      <c r="YD45" s="9" t="n">
        <v>0</v>
      </c>
      <c r="YF45" s="9" t="n">
        <v>0</v>
      </c>
      <c r="YG45" s="9" t="n">
        <v>1370</v>
      </c>
      <c r="YK45" s="10" t="n">
        <v>46057</v>
      </c>
      <c r="YM45" s="9" t="n">
        <v>0</v>
      </c>
      <c r="YO45" s="9" t="n">
        <v>0</v>
      </c>
      <c r="YP45" s="9" t="n">
        <v>0</v>
      </c>
      <c r="YT45" s="10" t="n">
        <v>46057</v>
      </c>
      <c r="YV45" s="9" t="n">
        <v>0</v>
      </c>
      <c r="YX45" s="9" t="n">
        <v>0</v>
      </c>
      <c r="YY45" s="9" t="n">
        <v>0</v>
      </c>
      <c r="ZC45" s="10" t="n">
        <v>46057</v>
      </c>
      <c r="ZE45" s="9" t="n">
        <v>0</v>
      </c>
      <c r="ZG45" s="9" t="n">
        <v>0</v>
      </c>
      <c r="ZH45" s="9" t="n">
        <v>0</v>
      </c>
      <c r="ZL45" s="10" t="n">
        <v>46057</v>
      </c>
      <c r="ZN45" s="9" t="n">
        <v>0</v>
      </c>
      <c r="ZP45" s="9" t="n">
        <v>0</v>
      </c>
      <c r="ZQ45" s="9" t="n">
        <v>0</v>
      </c>
      <c r="ZU45" s="10" t="n">
        <v>46057</v>
      </c>
      <c r="ZW45" s="9" t="n">
        <v>0</v>
      </c>
      <c r="ZY45" s="9" t="n">
        <v>0</v>
      </c>
      <c r="ZZ45" s="9" t="n">
        <v>0</v>
      </c>
      <c r="AAD45" s="10" t="n">
        <v>46057</v>
      </c>
      <c r="AAF45" s="9" t="n">
        <v>0</v>
      </c>
      <c r="AAH45" s="9" t="n">
        <v>0</v>
      </c>
      <c r="AAI45" s="9" t="n">
        <v>0</v>
      </c>
      <c r="AAM45" s="10" t="n">
        <v>46057</v>
      </c>
      <c r="AAO45" s="9" t="n">
        <v>0</v>
      </c>
      <c r="AAQ45" s="9" t="n">
        <v>0</v>
      </c>
      <c r="AAR45" s="9" t="n">
        <v>0</v>
      </c>
      <c r="AAV45" s="10" t="n">
        <v>46057</v>
      </c>
      <c r="AAX45" s="9" t="n">
        <v>0</v>
      </c>
      <c r="AAZ45" s="9" t="n">
        <v>0</v>
      </c>
      <c r="ABA45" s="9" t="n">
        <v>0</v>
      </c>
      <c r="ABE45" s="10" t="n">
        <v>46057</v>
      </c>
      <c r="ABG45" s="9" t="n">
        <v>0</v>
      </c>
      <c r="ABI45" s="9" t="n">
        <v>0</v>
      </c>
      <c r="ABJ45" s="9" t="n">
        <v>0</v>
      </c>
    </row>
    <row r="46">
      <c r="B46" s="9" t="n">
        <v>78</v>
      </c>
      <c r="C46" s="10" t="n">
        <v>46058</v>
      </c>
      <c r="E46" s="9" t="n">
        <v>44166.2</v>
      </c>
      <c r="F46" s="9" t="n">
        <v>44113.4</v>
      </c>
      <c r="G46" s="9" t="n">
        <v>52.79999999999563</v>
      </c>
      <c r="H46" s="9" t="n">
        <v>184377.8</v>
      </c>
      <c r="I46" s="9" t="inlineStr">
        <is>
          <t>8100 52mt, 8103 26mt</t>
        </is>
      </c>
      <c r="L46" s="10" t="n">
        <v>46058</v>
      </c>
      <c r="N46" s="9" t="n">
        <v>20943</v>
      </c>
      <c r="O46" s="9" t="n">
        <v>20948</v>
      </c>
      <c r="P46" s="9" t="n">
        <v>-5</v>
      </c>
      <c r="Q46" s="9" t="n">
        <v>72348.60000000001</v>
      </c>
      <c r="U46" s="10" t="n">
        <v>46058</v>
      </c>
      <c r="W46" s="9" t="n">
        <v>3770</v>
      </c>
      <c r="X46" s="9" t="n">
        <v>3771.5</v>
      </c>
      <c r="Y46" s="9" t="n">
        <v>-1.5</v>
      </c>
      <c r="Z46" s="9" t="n">
        <v>43533.69999999998</v>
      </c>
      <c r="AD46" s="10" t="n">
        <v>46058</v>
      </c>
      <c r="AF46" s="9" t="n">
        <v>1820</v>
      </c>
      <c r="AG46" s="9" t="n">
        <v>1821.1</v>
      </c>
      <c r="AH46" s="9" t="n">
        <v>-1.099999999999909</v>
      </c>
      <c r="AI46" s="9" t="n">
        <v>48530.10000000001</v>
      </c>
      <c r="AM46" s="10" t="n">
        <v>46058</v>
      </c>
      <c r="AO46" s="9" t="n">
        <v>0</v>
      </c>
      <c r="AQ46" s="9" t="n">
        <v>0</v>
      </c>
      <c r="AR46" s="9" t="n">
        <v>0</v>
      </c>
      <c r="AV46" s="10" t="n">
        <v>46058</v>
      </c>
      <c r="AX46" s="9" t="n">
        <v>1560</v>
      </c>
      <c r="AY46" s="9" t="n">
        <v>1560.8</v>
      </c>
      <c r="AZ46" s="9" t="n">
        <v>-0.7999999999999545</v>
      </c>
      <c r="BA46" s="9" t="n">
        <v>62188.19999999999</v>
      </c>
      <c r="BE46" s="10" t="n">
        <v>46058</v>
      </c>
      <c r="BG46" s="9" t="n">
        <v>1560</v>
      </c>
      <c r="BH46" s="9" t="n">
        <v>1560.6</v>
      </c>
      <c r="BI46" s="9" t="n">
        <v>-0.5999999999999091</v>
      </c>
      <c r="BJ46" s="9" t="n">
        <v>41593.80000000001</v>
      </c>
      <c r="BN46" s="10" t="n">
        <v>46058</v>
      </c>
      <c r="BO46" s="9" t="n">
        <v>1065.6</v>
      </c>
      <c r="BP46" s="9" t="n">
        <v>1066</v>
      </c>
      <c r="BQ46" s="9" t="n">
        <v>1065.6</v>
      </c>
      <c r="BR46" s="9" t="n">
        <v>0.4000000000000909</v>
      </c>
      <c r="BS46" s="9" t="n">
        <v>0</v>
      </c>
      <c r="BW46" s="10" t="n">
        <v>46058</v>
      </c>
      <c r="BY46" s="9" t="n">
        <v>78</v>
      </c>
      <c r="CA46" s="9" t="n">
        <v>78</v>
      </c>
      <c r="CB46" s="9" t="n">
        <v>3000</v>
      </c>
      <c r="CF46" s="10" t="n">
        <v>46058</v>
      </c>
      <c r="CH46" s="9" t="n">
        <v>306.8</v>
      </c>
      <c r="CJ46" s="9" t="n">
        <v>306.8</v>
      </c>
      <c r="CK46" s="9" t="n">
        <v>0</v>
      </c>
      <c r="CO46" s="10" t="n">
        <v>46058</v>
      </c>
      <c r="CQ46" s="9" t="n">
        <v>0</v>
      </c>
      <c r="CS46" s="9" t="n">
        <v>0</v>
      </c>
      <c r="CT46" s="9" t="n">
        <v>0</v>
      </c>
      <c r="CX46" s="10" t="n">
        <v>46058</v>
      </c>
      <c r="CY46" s="9" t="n">
        <v>10240</v>
      </c>
      <c r="CZ46" s="9" t="n">
        <v>0</v>
      </c>
      <c r="DB46" s="9" t="n">
        <v>0</v>
      </c>
      <c r="DC46" s="9" t="n">
        <v>10240</v>
      </c>
      <c r="DG46" s="10" t="n">
        <v>46058</v>
      </c>
      <c r="DI46" s="9" t="n">
        <v>910</v>
      </c>
      <c r="DJ46" s="9" t="n">
        <v>910.8</v>
      </c>
      <c r="DK46" s="9" t="n">
        <v>-0.7999999999999545</v>
      </c>
      <c r="DL46" s="9" t="n">
        <v>21262</v>
      </c>
      <c r="DP46" s="10" t="n">
        <v>46058</v>
      </c>
      <c r="DR46" s="9" t="n">
        <v>0</v>
      </c>
      <c r="DT46" s="9" t="n">
        <v>0</v>
      </c>
      <c r="DU46" s="9" t="n">
        <v>0</v>
      </c>
      <c r="DY46" s="10" t="n">
        <v>46058</v>
      </c>
      <c r="EA46" s="9" t="n">
        <v>0</v>
      </c>
      <c r="EC46" s="9" t="n">
        <v>0</v>
      </c>
      <c r="ED46" s="9" t="n">
        <v>0</v>
      </c>
      <c r="EH46" s="10" t="n">
        <v>46058</v>
      </c>
      <c r="EJ46" s="9" t="n">
        <v>0</v>
      </c>
      <c r="EL46" s="9" t="n">
        <v>0</v>
      </c>
      <c r="EM46" s="9" t="n">
        <v>0</v>
      </c>
      <c r="EQ46" s="10" t="n">
        <v>46058</v>
      </c>
      <c r="ES46" s="9" t="n">
        <v>0</v>
      </c>
      <c r="EU46" s="9" t="n">
        <v>0</v>
      </c>
      <c r="EV46" s="9" t="n">
        <v>0</v>
      </c>
      <c r="EZ46" s="10" t="n">
        <v>46058</v>
      </c>
      <c r="FB46" s="9" t="n">
        <v>0</v>
      </c>
      <c r="FD46" s="9" t="n">
        <v>0</v>
      </c>
      <c r="FE46" s="9" t="n">
        <v>0</v>
      </c>
      <c r="FI46" s="10" t="n">
        <v>46058</v>
      </c>
      <c r="FK46" s="9" t="n">
        <v>0</v>
      </c>
      <c r="FM46" s="9" t="n">
        <v>0</v>
      </c>
      <c r="FN46" s="9" t="n">
        <v>0</v>
      </c>
      <c r="FR46" s="10" t="n">
        <v>46058</v>
      </c>
      <c r="FT46" s="9" t="n">
        <v>0</v>
      </c>
      <c r="FV46" s="9" t="n">
        <v>0</v>
      </c>
      <c r="FW46" s="9" t="n">
        <v>3540</v>
      </c>
      <c r="GA46" s="10" t="n">
        <v>46058</v>
      </c>
      <c r="GC46" s="9" t="n">
        <v>0</v>
      </c>
      <c r="GE46" s="9" t="n">
        <v>0</v>
      </c>
      <c r="GF46" s="9" t="n">
        <v>3960</v>
      </c>
      <c r="GJ46" s="10" t="n">
        <v>46058</v>
      </c>
      <c r="GL46" s="9" t="n">
        <v>0</v>
      </c>
      <c r="GN46" s="9" t="n">
        <v>0</v>
      </c>
      <c r="GO46" s="9" t="n">
        <v>3240</v>
      </c>
      <c r="GS46" s="10" t="n">
        <v>46058</v>
      </c>
      <c r="GU46" s="9" t="n">
        <v>0</v>
      </c>
      <c r="GW46" s="9" t="n">
        <v>0</v>
      </c>
      <c r="GX46" s="9" t="n">
        <v>0</v>
      </c>
      <c r="HB46" s="10" t="n">
        <v>46058</v>
      </c>
      <c r="HD46" s="9" t="n">
        <v>0</v>
      </c>
      <c r="HF46" s="9" t="n">
        <v>0</v>
      </c>
      <c r="HG46" s="9" t="n">
        <v>0</v>
      </c>
      <c r="HK46" s="10" t="n">
        <v>46058</v>
      </c>
      <c r="HM46" s="9" t="n">
        <v>0</v>
      </c>
      <c r="HO46" s="9" t="n">
        <v>0</v>
      </c>
      <c r="HP46" s="9" t="n">
        <v>0</v>
      </c>
      <c r="HU46" s="10" t="n">
        <v>46058</v>
      </c>
      <c r="HW46" s="9" t="n">
        <v>1040</v>
      </c>
      <c r="HY46" s="9" t="n">
        <v>1040</v>
      </c>
      <c r="HZ46" s="9" t="n">
        <v>5440</v>
      </c>
      <c r="ID46" s="10" t="n">
        <v>46058</v>
      </c>
      <c r="IF46" s="9" t="n">
        <v>0</v>
      </c>
      <c r="IH46" s="9" t="n">
        <v>0</v>
      </c>
      <c r="II46" s="9" t="n">
        <v>5100</v>
      </c>
      <c r="IM46" s="10" t="n">
        <v>46058</v>
      </c>
      <c r="IO46" s="9" t="n">
        <v>0</v>
      </c>
      <c r="IQ46" s="9" t="n">
        <v>0</v>
      </c>
      <c r="IR46" s="9" t="n">
        <v>16240</v>
      </c>
      <c r="IV46" s="10" t="n">
        <v>46058</v>
      </c>
      <c r="IX46" s="9" t="n">
        <v>520</v>
      </c>
      <c r="IZ46" s="9" t="n">
        <v>520</v>
      </c>
      <c r="JA46" s="9" t="n">
        <v>13120</v>
      </c>
      <c r="JE46" s="10" t="n">
        <v>46058</v>
      </c>
      <c r="JG46" s="9" t="n">
        <v>0</v>
      </c>
      <c r="JI46" s="9" t="n">
        <v>0</v>
      </c>
      <c r="JJ46" s="9" t="n">
        <v>6800</v>
      </c>
      <c r="JN46" s="10" t="n">
        <v>46058</v>
      </c>
      <c r="JP46" s="9" t="n">
        <v>0</v>
      </c>
      <c r="JR46" s="9" t="n">
        <v>0</v>
      </c>
      <c r="JS46" s="9" t="n">
        <v>5400</v>
      </c>
      <c r="JW46" s="10" t="n">
        <v>46058</v>
      </c>
      <c r="JY46" s="9" t="n">
        <v>0</v>
      </c>
      <c r="KA46" s="9" t="n">
        <v>0</v>
      </c>
      <c r="KB46" s="9" t="n">
        <v>2260</v>
      </c>
      <c r="KF46" s="10" t="n">
        <v>46058</v>
      </c>
      <c r="KH46" s="9" t="n">
        <v>0</v>
      </c>
      <c r="KJ46" s="9" t="n">
        <v>0</v>
      </c>
      <c r="KK46" s="9" t="n">
        <v>4017</v>
      </c>
      <c r="KO46" s="10" t="n">
        <v>46058</v>
      </c>
      <c r="KP46" s="9" t="n">
        <v>2268</v>
      </c>
      <c r="KQ46" s="9" t="n">
        <v>0</v>
      </c>
      <c r="KS46" s="9" t="n">
        <v>0</v>
      </c>
      <c r="KT46" s="9" t="n">
        <v>6917.4</v>
      </c>
      <c r="KX46" s="10" t="n">
        <v>46058</v>
      </c>
      <c r="KZ46" s="9" t="n">
        <v>0</v>
      </c>
      <c r="LB46" s="9" t="n">
        <v>0</v>
      </c>
      <c r="LC46" s="9" t="n">
        <v>0</v>
      </c>
      <c r="LG46" s="10" t="n">
        <v>46058</v>
      </c>
      <c r="LI46" s="9" t="n">
        <v>0</v>
      </c>
      <c r="LK46" s="9" t="n">
        <v>0</v>
      </c>
      <c r="LL46" s="9" t="n">
        <v>0</v>
      </c>
      <c r="LP46" s="10" t="n">
        <v>46058</v>
      </c>
      <c r="LR46" s="9" t="n">
        <v>0</v>
      </c>
      <c r="LT46" s="9" t="n">
        <v>0</v>
      </c>
      <c r="LU46" s="9" t="n">
        <v>0</v>
      </c>
      <c r="LY46" s="10" t="n">
        <v>46058</v>
      </c>
      <c r="MA46" s="9" t="n">
        <v>0</v>
      </c>
      <c r="MC46" s="9" t="n">
        <v>0</v>
      </c>
      <c r="MD46" s="9" t="n">
        <v>0</v>
      </c>
      <c r="MH46" s="10" t="n">
        <v>46058</v>
      </c>
      <c r="MJ46" s="9" t="n">
        <v>0</v>
      </c>
      <c r="ML46" s="9" t="n">
        <v>0</v>
      </c>
      <c r="MM46" s="9" t="n">
        <v>0</v>
      </c>
      <c r="MQ46" s="10" t="n">
        <v>46058</v>
      </c>
      <c r="MS46" s="9" t="n">
        <v>26</v>
      </c>
      <c r="MU46" s="9" t="n">
        <v>26</v>
      </c>
      <c r="MV46" s="9" t="n">
        <v>1969</v>
      </c>
      <c r="MZ46" s="10" t="n">
        <v>46058</v>
      </c>
      <c r="NB46" s="9" t="n">
        <v>234</v>
      </c>
      <c r="ND46" s="9" t="n">
        <v>234</v>
      </c>
      <c r="NE46" s="9" t="n">
        <v>0</v>
      </c>
      <c r="NI46" s="10" t="n">
        <v>46058</v>
      </c>
      <c r="NK46" s="9" t="n">
        <v>0</v>
      </c>
      <c r="NM46" s="9" t="n">
        <v>0</v>
      </c>
      <c r="NN46" s="9" t="n">
        <v>0</v>
      </c>
      <c r="NR46" s="10" t="n">
        <v>46058</v>
      </c>
      <c r="NT46" s="9" t="n">
        <v>0</v>
      </c>
      <c r="NV46" s="9" t="n">
        <v>0</v>
      </c>
      <c r="NW46" s="9" t="n">
        <v>970</v>
      </c>
      <c r="OA46" s="10" t="n">
        <v>46058</v>
      </c>
      <c r="OC46" s="9" t="n">
        <v>0</v>
      </c>
      <c r="OE46" s="9" t="n">
        <v>0</v>
      </c>
      <c r="OF46" s="9" t="n">
        <v>1680.5</v>
      </c>
      <c r="OJ46" s="10" t="n">
        <v>46058</v>
      </c>
      <c r="OL46" s="9" t="n">
        <v>0</v>
      </c>
      <c r="ON46" s="9" t="n">
        <v>0</v>
      </c>
      <c r="OO46" s="9" t="n">
        <v>0</v>
      </c>
      <c r="OS46" s="10" t="n">
        <v>46058</v>
      </c>
      <c r="OU46" s="9" t="n">
        <v>0</v>
      </c>
      <c r="OW46" s="9" t="n">
        <v>0</v>
      </c>
      <c r="OX46" s="9" t="n">
        <v>0</v>
      </c>
      <c r="PB46" s="10" t="n">
        <v>46058</v>
      </c>
      <c r="PD46" s="9" t="n">
        <v>0</v>
      </c>
      <c r="PF46" s="9" t="n">
        <v>0</v>
      </c>
      <c r="PG46" s="9" t="n">
        <v>0</v>
      </c>
      <c r="PK46" s="10" t="n">
        <v>46058</v>
      </c>
      <c r="PM46" s="9" t="n">
        <v>0</v>
      </c>
      <c r="PO46" s="9" t="n">
        <v>0</v>
      </c>
      <c r="PP46" s="9" t="n">
        <v>160</v>
      </c>
      <c r="PT46" s="10" t="n">
        <v>46058</v>
      </c>
      <c r="PV46" s="9" t="n">
        <v>0</v>
      </c>
      <c r="PX46" s="9" t="n">
        <v>0</v>
      </c>
      <c r="PY46" s="9" t="n">
        <v>13.96000000000004</v>
      </c>
      <c r="QC46" s="10" t="n">
        <v>46058</v>
      </c>
      <c r="QE46" s="9" t="n">
        <v>0</v>
      </c>
      <c r="QG46" s="9" t="n">
        <v>0</v>
      </c>
      <c r="QH46" s="9" t="n">
        <v>0</v>
      </c>
      <c r="QL46" s="10" t="n">
        <v>46058</v>
      </c>
      <c r="QN46" s="9" t="n">
        <v>0</v>
      </c>
      <c r="QP46" s="9" t="n">
        <v>0</v>
      </c>
      <c r="QQ46" s="9" t="n">
        <v>0</v>
      </c>
      <c r="QU46" s="10" t="n">
        <v>46058</v>
      </c>
      <c r="QW46" s="9" t="n">
        <v>0</v>
      </c>
      <c r="QY46" s="9" t="n">
        <v>0</v>
      </c>
      <c r="QZ46" s="9" t="n">
        <v>207.6</v>
      </c>
      <c r="RD46" s="10" t="n">
        <v>46058</v>
      </c>
      <c r="RF46" s="9" t="n">
        <v>0</v>
      </c>
      <c r="RH46" s="9" t="n">
        <v>0</v>
      </c>
      <c r="RI46" s="9" t="n">
        <v>201.8</v>
      </c>
      <c r="RM46" s="10" t="n">
        <v>46058</v>
      </c>
      <c r="RO46" s="9" t="n">
        <v>0</v>
      </c>
      <c r="RQ46" s="9" t="n">
        <v>0</v>
      </c>
      <c r="RR46" s="9" t="n">
        <v>22.72</v>
      </c>
      <c r="RV46" s="10" t="n">
        <v>46058</v>
      </c>
      <c r="RX46" s="9" t="n">
        <v>0</v>
      </c>
      <c r="RZ46" s="9" t="n">
        <v>0</v>
      </c>
      <c r="SA46" s="9" t="n">
        <v>0</v>
      </c>
      <c r="SE46" s="10" t="n">
        <v>46058</v>
      </c>
      <c r="SG46" s="9" t="n">
        <v>0</v>
      </c>
      <c r="SI46" s="9" t="n">
        <v>0</v>
      </c>
      <c r="SJ46" s="9" t="n">
        <v>0</v>
      </c>
      <c r="SN46" s="10" t="n">
        <v>46058</v>
      </c>
      <c r="SP46" s="9" t="n">
        <v>0</v>
      </c>
      <c r="SR46" s="9" t="n">
        <v>0</v>
      </c>
      <c r="SS46" s="9" t="n">
        <v>0</v>
      </c>
      <c r="SW46" s="10" t="n">
        <v>46058</v>
      </c>
      <c r="SY46" s="9" t="n">
        <v>0</v>
      </c>
      <c r="TA46" s="9" t="n">
        <v>0</v>
      </c>
      <c r="TB46" s="9" t="n">
        <v>270</v>
      </c>
      <c r="TF46" s="10" t="n">
        <v>46058</v>
      </c>
      <c r="TH46" s="9" t="n">
        <v>0</v>
      </c>
      <c r="TJ46" s="9" t="n">
        <v>0</v>
      </c>
      <c r="TK46" s="9" t="n">
        <v>0</v>
      </c>
      <c r="TO46" s="10" t="n">
        <v>46058</v>
      </c>
      <c r="TQ46" s="9" t="n">
        <v>0</v>
      </c>
      <c r="TS46" s="9" t="n">
        <v>0</v>
      </c>
      <c r="TT46" s="9" t="n">
        <v>0</v>
      </c>
      <c r="TX46" s="10" t="n">
        <v>46058</v>
      </c>
      <c r="TZ46" s="9" t="n">
        <v>0</v>
      </c>
      <c r="UB46" s="9" t="n">
        <v>0</v>
      </c>
      <c r="UC46" s="9" t="n">
        <v>0</v>
      </c>
      <c r="UG46" s="10" t="n">
        <v>46058</v>
      </c>
      <c r="UI46" s="9" t="n">
        <v>0</v>
      </c>
      <c r="UK46" s="9" t="n">
        <v>0</v>
      </c>
      <c r="UL46" s="9" t="n">
        <v>0</v>
      </c>
      <c r="UP46" s="10" t="n">
        <v>46058</v>
      </c>
      <c r="UR46" s="9" t="n">
        <v>0</v>
      </c>
      <c r="UT46" s="9" t="n">
        <v>0</v>
      </c>
      <c r="UU46" s="9" t="n">
        <v>0</v>
      </c>
      <c r="UY46" s="10" t="n">
        <v>46058</v>
      </c>
      <c r="VA46" s="9" t="n">
        <v>0</v>
      </c>
      <c r="VC46" s="9" t="n">
        <v>0</v>
      </c>
      <c r="VD46" s="9" t="n">
        <v>41.60000000000002</v>
      </c>
      <c r="VH46" s="10" t="n">
        <v>46058</v>
      </c>
      <c r="VJ46" s="9" t="n">
        <v>0</v>
      </c>
      <c r="VL46" s="9" t="n">
        <v>0</v>
      </c>
      <c r="VM46" s="9" t="n">
        <v>0</v>
      </c>
      <c r="VQ46" s="10" t="n">
        <v>46058</v>
      </c>
      <c r="VS46" s="9" t="n">
        <v>0</v>
      </c>
      <c r="VU46" s="9" t="n">
        <v>0</v>
      </c>
      <c r="VV46" s="9" t="n">
        <v>0</v>
      </c>
      <c r="VZ46" s="10" t="n">
        <v>46058</v>
      </c>
      <c r="WB46" s="9" t="n">
        <v>0</v>
      </c>
      <c r="WD46" s="9" t="n">
        <v>0</v>
      </c>
      <c r="WE46" s="9" t="n">
        <v>0</v>
      </c>
      <c r="WI46" s="10" t="n">
        <v>46058</v>
      </c>
      <c r="WK46" s="9" t="n">
        <v>0</v>
      </c>
      <c r="WM46" s="9" t="n">
        <v>0</v>
      </c>
      <c r="WN46" s="9" t="n">
        <v>9609</v>
      </c>
      <c r="WR46" s="10" t="n">
        <v>46058</v>
      </c>
      <c r="WT46" s="9" t="n">
        <v>0</v>
      </c>
      <c r="WV46" s="9" t="n">
        <v>0</v>
      </c>
      <c r="WW46" s="9" t="n">
        <v>8149</v>
      </c>
      <c r="XA46" s="10" t="n">
        <v>46058</v>
      </c>
      <c r="XC46" s="9" t="n">
        <v>0</v>
      </c>
      <c r="XE46" s="9" t="n">
        <v>0</v>
      </c>
      <c r="XF46" s="9" t="n">
        <v>590</v>
      </c>
      <c r="XJ46" s="10" t="n">
        <v>46058</v>
      </c>
      <c r="XL46" s="9" t="n">
        <v>0</v>
      </c>
      <c r="XM46" s="9" t="n">
        <v>1555</v>
      </c>
      <c r="XN46" s="9" t="n">
        <v>-1555</v>
      </c>
      <c r="XO46" s="9" t="n">
        <v>4685</v>
      </c>
      <c r="XS46" s="10" t="n">
        <v>46058</v>
      </c>
      <c r="XU46" s="9" t="n">
        <v>0</v>
      </c>
      <c r="XW46" s="9" t="n">
        <v>0</v>
      </c>
      <c r="XX46" s="9" t="n">
        <v>1901</v>
      </c>
      <c r="YB46" s="10" t="n">
        <v>46058</v>
      </c>
      <c r="YD46" s="9" t="n">
        <v>0</v>
      </c>
      <c r="YF46" s="9" t="n">
        <v>0</v>
      </c>
      <c r="YG46" s="9" t="n">
        <v>1370</v>
      </c>
      <c r="YK46" s="10" t="n">
        <v>46058</v>
      </c>
      <c r="YM46" s="9" t="n">
        <v>0</v>
      </c>
      <c r="YO46" s="9" t="n">
        <v>0</v>
      </c>
      <c r="YP46" s="9" t="n">
        <v>0</v>
      </c>
      <c r="YT46" s="10" t="n">
        <v>46058</v>
      </c>
      <c r="YV46" s="9" t="n">
        <v>0</v>
      </c>
      <c r="YX46" s="9" t="n">
        <v>0</v>
      </c>
      <c r="YY46" s="9" t="n">
        <v>0</v>
      </c>
      <c r="ZC46" s="10" t="n">
        <v>46058</v>
      </c>
      <c r="ZE46" s="9" t="n">
        <v>0</v>
      </c>
      <c r="ZG46" s="9" t="n">
        <v>0</v>
      </c>
      <c r="ZH46" s="9" t="n">
        <v>0</v>
      </c>
      <c r="ZL46" s="10" t="n">
        <v>46058</v>
      </c>
      <c r="ZN46" s="9" t="n">
        <v>0</v>
      </c>
      <c r="ZP46" s="9" t="n">
        <v>0</v>
      </c>
      <c r="ZQ46" s="9" t="n">
        <v>0</v>
      </c>
      <c r="ZU46" s="10" t="n">
        <v>46058</v>
      </c>
      <c r="ZW46" s="9" t="n">
        <v>0</v>
      </c>
      <c r="ZY46" s="9" t="n">
        <v>0</v>
      </c>
      <c r="ZZ46" s="9" t="n">
        <v>0</v>
      </c>
      <c r="AAD46" s="10" t="n">
        <v>46058</v>
      </c>
      <c r="AAF46" s="9" t="n">
        <v>0</v>
      </c>
      <c r="AAH46" s="9" t="n">
        <v>0</v>
      </c>
      <c r="AAI46" s="9" t="n">
        <v>0</v>
      </c>
      <c r="AAM46" s="10" t="n">
        <v>46058</v>
      </c>
      <c r="AAO46" s="9" t="n">
        <v>0</v>
      </c>
      <c r="AAQ46" s="9" t="n">
        <v>0</v>
      </c>
      <c r="AAR46" s="9" t="n">
        <v>0</v>
      </c>
      <c r="AAV46" s="10" t="n">
        <v>46058</v>
      </c>
      <c r="AAX46" s="9" t="n">
        <v>0</v>
      </c>
      <c r="AAZ46" s="9" t="n">
        <v>0</v>
      </c>
      <c r="ABA46" s="9" t="n">
        <v>0</v>
      </c>
      <c r="ABE46" s="10" t="n">
        <v>46058</v>
      </c>
      <c r="ABG46" s="9" t="n">
        <v>0</v>
      </c>
      <c r="ABI46" s="9" t="n">
        <v>0</v>
      </c>
      <c r="ABJ46" s="9" t="n">
        <v>0</v>
      </c>
    </row>
    <row r="47">
      <c r="B47" s="9" t="n">
        <v>70</v>
      </c>
      <c r="C47" s="10" t="n">
        <v>46059</v>
      </c>
      <c r="D47" s="9" t="n">
        <v>12040</v>
      </c>
      <c r="E47" s="9" t="n">
        <v>35094.50000000001</v>
      </c>
      <c r="F47" s="9" t="n">
        <v>35090.6</v>
      </c>
      <c r="G47" s="9" t="n">
        <v>3.900000000008731</v>
      </c>
      <c r="H47" s="9" t="n">
        <v>161327.2</v>
      </c>
      <c r="I47" s="9" t="inlineStr">
        <is>
          <t>122 2mt, 122 68mt</t>
        </is>
      </c>
      <c r="L47" s="10" t="n">
        <v>46059</v>
      </c>
      <c r="N47" s="9" t="n">
        <v>14350</v>
      </c>
      <c r="O47" s="9" t="n">
        <v>14352.2</v>
      </c>
      <c r="P47" s="9" t="n">
        <v>-2.200000000000728</v>
      </c>
      <c r="Q47" s="9" t="n">
        <v>57996.40000000001</v>
      </c>
      <c r="U47" s="10" t="n">
        <v>46059</v>
      </c>
      <c r="W47" s="9" t="n">
        <v>5844.999999999999</v>
      </c>
      <c r="X47" s="9" t="n">
        <v>5844.8</v>
      </c>
      <c r="Y47" s="9" t="n">
        <v>0.1999999999989086</v>
      </c>
      <c r="Z47" s="9" t="n">
        <v>37688.89999999998</v>
      </c>
      <c r="AD47" s="10" t="n">
        <v>46059</v>
      </c>
      <c r="AF47" s="9" t="n">
        <v>910.0000000000001</v>
      </c>
      <c r="AG47" s="9" t="n">
        <v>912.2</v>
      </c>
      <c r="AH47" s="9" t="n">
        <v>-2.199999999999932</v>
      </c>
      <c r="AI47" s="9" t="n">
        <v>47617.90000000002</v>
      </c>
      <c r="AM47" s="10" t="n">
        <v>46059</v>
      </c>
      <c r="AO47" s="9" t="n">
        <v>0</v>
      </c>
      <c r="AQ47" s="9" t="n">
        <v>0</v>
      </c>
      <c r="AR47" s="9" t="n">
        <v>0</v>
      </c>
      <c r="AV47" s="10" t="n">
        <v>46059</v>
      </c>
      <c r="AX47" s="9" t="n">
        <v>0</v>
      </c>
      <c r="AZ47" s="9" t="n">
        <v>0</v>
      </c>
      <c r="BA47" s="9" t="n">
        <v>62188.19999999999</v>
      </c>
      <c r="BE47" s="10" t="n">
        <v>46059</v>
      </c>
      <c r="BG47" s="9" t="n">
        <v>2940</v>
      </c>
      <c r="BH47" s="9" t="n">
        <v>2941.6</v>
      </c>
      <c r="BI47" s="9" t="n">
        <v>-1.599999999999909</v>
      </c>
      <c r="BJ47" s="9" t="n">
        <v>38652.20000000001</v>
      </c>
      <c r="BN47" s="10" t="n">
        <v>46059</v>
      </c>
      <c r="BO47" s="9" t="n">
        <v>1400.1</v>
      </c>
      <c r="BP47" s="9" t="n">
        <v>1400</v>
      </c>
      <c r="BQ47" s="9" t="n">
        <v>1400.1</v>
      </c>
      <c r="BR47" s="9" t="n">
        <v>-0.09999999999990905</v>
      </c>
      <c r="BS47" s="9" t="n">
        <v>0</v>
      </c>
      <c r="BW47" s="10" t="n">
        <v>46059</v>
      </c>
      <c r="BY47" s="9" t="n">
        <v>465.5</v>
      </c>
      <c r="CA47" s="9" t="n">
        <v>465.5</v>
      </c>
      <c r="CB47" s="9" t="n">
        <v>3000</v>
      </c>
      <c r="CF47" s="10" t="n">
        <v>46059</v>
      </c>
      <c r="CH47" s="9" t="n">
        <v>700</v>
      </c>
      <c r="CJ47" s="9" t="n">
        <v>700</v>
      </c>
      <c r="CK47" s="9" t="n">
        <v>0</v>
      </c>
      <c r="CO47" s="10" t="n">
        <v>46059</v>
      </c>
      <c r="CQ47" s="9" t="n">
        <v>0</v>
      </c>
      <c r="CS47" s="9" t="n">
        <v>0</v>
      </c>
      <c r="CT47" s="9" t="n">
        <v>0</v>
      </c>
      <c r="CX47" s="10" t="n">
        <v>46059</v>
      </c>
      <c r="CZ47" s="9" t="n">
        <v>3500</v>
      </c>
      <c r="DA47" s="9" t="n">
        <v>3500</v>
      </c>
      <c r="DB47" s="9" t="n">
        <v>0</v>
      </c>
      <c r="DC47" s="9" t="n">
        <v>6740</v>
      </c>
      <c r="DG47" s="10" t="n">
        <v>46059</v>
      </c>
      <c r="DI47" s="9" t="n">
        <v>2800</v>
      </c>
      <c r="DJ47" s="9" t="n">
        <v>2800</v>
      </c>
      <c r="DK47" s="9" t="n">
        <v>0</v>
      </c>
      <c r="DL47" s="9" t="n">
        <v>18462</v>
      </c>
      <c r="DP47" s="10" t="n">
        <v>46059</v>
      </c>
      <c r="DR47" s="9" t="n">
        <v>0</v>
      </c>
      <c r="DT47" s="9" t="n">
        <v>0</v>
      </c>
      <c r="DU47" s="9" t="n">
        <v>0</v>
      </c>
      <c r="DY47" s="10" t="n">
        <v>46059</v>
      </c>
      <c r="EA47" s="9" t="n">
        <v>0</v>
      </c>
      <c r="EC47" s="9" t="n">
        <v>0</v>
      </c>
      <c r="ED47" s="9" t="n">
        <v>0</v>
      </c>
      <c r="EH47" s="10" t="n">
        <v>46059</v>
      </c>
      <c r="EJ47" s="9" t="n">
        <v>0</v>
      </c>
      <c r="EL47" s="9" t="n">
        <v>0</v>
      </c>
      <c r="EM47" s="9" t="n">
        <v>0</v>
      </c>
      <c r="EQ47" s="10" t="n">
        <v>46059</v>
      </c>
      <c r="ES47" s="9" t="n">
        <v>0</v>
      </c>
      <c r="EU47" s="9" t="n">
        <v>0</v>
      </c>
      <c r="EV47" s="9" t="n">
        <v>0</v>
      </c>
      <c r="EZ47" s="10" t="n">
        <v>46059</v>
      </c>
      <c r="FB47" s="9" t="n">
        <v>0</v>
      </c>
      <c r="FD47" s="9" t="n">
        <v>0</v>
      </c>
      <c r="FE47" s="9" t="n">
        <v>0</v>
      </c>
      <c r="FI47" s="10" t="n">
        <v>46059</v>
      </c>
      <c r="FK47" s="9" t="n">
        <v>0</v>
      </c>
      <c r="FM47" s="9" t="n">
        <v>0</v>
      </c>
      <c r="FN47" s="9" t="n">
        <v>0</v>
      </c>
      <c r="FR47" s="10" t="n">
        <v>46059</v>
      </c>
      <c r="FT47" s="9" t="n">
        <v>0</v>
      </c>
      <c r="FV47" s="9" t="n">
        <v>0</v>
      </c>
      <c r="FW47" s="9" t="n">
        <v>3540</v>
      </c>
      <c r="GA47" s="10" t="n">
        <v>46059</v>
      </c>
      <c r="GB47" s="9" t="n">
        <v>2000</v>
      </c>
      <c r="GC47" s="9" t="n">
        <v>0</v>
      </c>
      <c r="GE47" s="9" t="n">
        <v>0</v>
      </c>
      <c r="GF47" s="9" t="n">
        <v>5960</v>
      </c>
      <c r="GJ47" s="10" t="n">
        <v>46059</v>
      </c>
      <c r="GL47" s="9" t="n">
        <v>0</v>
      </c>
      <c r="GN47" s="9" t="n">
        <v>0</v>
      </c>
      <c r="GO47" s="9" t="n">
        <v>3240</v>
      </c>
      <c r="GS47" s="10" t="n">
        <v>46059</v>
      </c>
      <c r="GU47" s="9" t="n">
        <v>0</v>
      </c>
      <c r="GW47" s="9" t="n">
        <v>0</v>
      </c>
      <c r="GX47" s="9" t="n">
        <v>0</v>
      </c>
      <c r="HB47" s="10" t="n">
        <v>46059</v>
      </c>
      <c r="HD47" s="9" t="n">
        <v>0</v>
      </c>
      <c r="HF47" s="9" t="n">
        <v>0</v>
      </c>
      <c r="HG47" s="9" t="n">
        <v>0</v>
      </c>
      <c r="HK47" s="10" t="n">
        <v>46059</v>
      </c>
      <c r="HM47" s="9" t="n">
        <v>0</v>
      </c>
      <c r="HO47" s="9" t="n">
        <v>0</v>
      </c>
      <c r="HP47" s="9" t="n">
        <v>0</v>
      </c>
      <c r="HU47" s="10" t="n">
        <v>46059</v>
      </c>
      <c r="HW47" s="9" t="n">
        <v>0</v>
      </c>
      <c r="HY47" s="9" t="n">
        <v>0</v>
      </c>
      <c r="HZ47" s="9" t="n">
        <v>5440</v>
      </c>
      <c r="ID47" s="10" t="n">
        <v>46059</v>
      </c>
      <c r="IF47" s="9" t="n">
        <v>0</v>
      </c>
      <c r="IH47" s="9" t="n">
        <v>0</v>
      </c>
      <c r="II47" s="9" t="n">
        <v>5100</v>
      </c>
      <c r="IM47" s="10" t="n">
        <v>46059</v>
      </c>
      <c r="IO47" s="9" t="n">
        <v>0</v>
      </c>
      <c r="IQ47" s="9" t="n">
        <v>0</v>
      </c>
      <c r="IR47" s="9" t="n">
        <v>16240</v>
      </c>
      <c r="IV47" s="10" t="n">
        <v>46059</v>
      </c>
      <c r="IX47" s="9" t="n">
        <v>0</v>
      </c>
      <c r="IZ47" s="9" t="n">
        <v>0</v>
      </c>
      <c r="JA47" s="9" t="n">
        <v>13120</v>
      </c>
      <c r="JE47" s="10" t="n">
        <v>46059</v>
      </c>
      <c r="JG47" s="9" t="n">
        <v>0</v>
      </c>
      <c r="JI47" s="9" t="n">
        <v>0</v>
      </c>
      <c r="JJ47" s="9" t="n">
        <v>6800</v>
      </c>
      <c r="JN47" s="10" t="n">
        <v>46059</v>
      </c>
      <c r="JP47" s="9" t="n">
        <v>0</v>
      </c>
      <c r="JR47" s="9" t="n">
        <v>0</v>
      </c>
      <c r="JS47" s="9" t="n">
        <v>5400</v>
      </c>
      <c r="JW47" s="10" t="n">
        <v>46059</v>
      </c>
      <c r="JY47" s="9" t="n">
        <v>0</v>
      </c>
      <c r="KA47" s="9" t="n">
        <v>0</v>
      </c>
      <c r="KB47" s="9" t="n">
        <v>2260</v>
      </c>
      <c r="KF47" s="10" t="n">
        <v>46059</v>
      </c>
      <c r="KH47" s="9" t="n">
        <v>1365</v>
      </c>
      <c r="KJ47" s="9" t="n">
        <v>1365</v>
      </c>
      <c r="KK47" s="9" t="n">
        <v>4017</v>
      </c>
      <c r="KO47" s="10" t="n">
        <v>46059</v>
      </c>
      <c r="KQ47" s="9" t="n">
        <v>0</v>
      </c>
      <c r="KS47" s="9" t="n">
        <v>0</v>
      </c>
      <c r="KT47" s="9" t="n">
        <v>6917.4</v>
      </c>
      <c r="KX47" s="10" t="n">
        <v>46059</v>
      </c>
      <c r="KZ47" s="9" t="n">
        <v>0</v>
      </c>
      <c r="LB47" s="9" t="n">
        <v>0</v>
      </c>
      <c r="LC47" s="9" t="n">
        <v>0</v>
      </c>
      <c r="LG47" s="10" t="n">
        <v>46059</v>
      </c>
      <c r="LI47" s="9" t="n">
        <v>0</v>
      </c>
      <c r="LK47" s="9" t="n">
        <v>0</v>
      </c>
      <c r="LL47" s="9" t="n">
        <v>0</v>
      </c>
      <c r="LP47" s="10" t="n">
        <v>46059</v>
      </c>
      <c r="LR47" s="9" t="n">
        <v>0</v>
      </c>
      <c r="LT47" s="9" t="n">
        <v>0</v>
      </c>
      <c r="LU47" s="9" t="n">
        <v>0</v>
      </c>
      <c r="LY47" s="10" t="n">
        <v>46059</v>
      </c>
      <c r="MA47" s="9" t="n">
        <v>0</v>
      </c>
      <c r="MC47" s="9" t="n">
        <v>0</v>
      </c>
      <c r="MD47" s="9" t="n">
        <v>0</v>
      </c>
      <c r="MH47" s="10" t="n">
        <v>46059</v>
      </c>
      <c r="MJ47" s="9" t="n">
        <v>0</v>
      </c>
      <c r="ML47" s="9" t="n">
        <v>0</v>
      </c>
      <c r="MM47" s="9" t="n">
        <v>0</v>
      </c>
      <c r="MQ47" s="10" t="n">
        <v>46059</v>
      </c>
      <c r="MS47" s="9" t="n">
        <v>140</v>
      </c>
      <c r="MU47" s="9" t="n">
        <v>140</v>
      </c>
      <c r="MV47" s="9" t="n">
        <v>1969</v>
      </c>
      <c r="MZ47" s="10" t="n">
        <v>46059</v>
      </c>
      <c r="NB47" s="9" t="n">
        <v>210</v>
      </c>
      <c r="ND47" s="9" t="n">
        <v>210</v>
      </c>
      <c r="NE47" s="9" t="n">
        <v>0</v>
      </c>
      <c r="NI47" s="10" t="n">
        <v>46059</v>
      </c>
      <c r="NK47" s="9" t="n">
        <v>0</v>
      </c>
      <c r="NM47" s="9" t="n">
        <v>0</v>
      </c>
      <c r="NN47" s="9" t="n">
        <v>0</v>
      </c>
      <c r="NR47" s="10" t="n">
        <v>46059</v>
      </c>
      <c r="NT47" s="9" t="n">
        <v>84</v>
      </c>
      <c r="NV47" s="9" t="n">
        <v>84</v>
      </c>
      <c r="NW47" s="9" t="n">
        <v>970</v>
      </c>
      <c r="OA47" s="10" t="n">
        <v>46059</v>
      </c>
      <c r="OC47" s="9" t="n">
        <v>0</v>
      </c>
      <c r="OE47" s="9" t="n">
        <v>0</v>
      </c>
      <c r="OF47" s="9" t="n">
        <v>1680.5</v>
      </c>
      <c r="OJ47" s="10" t="n">
        <v>46059</v>
      </c>
      <c r="OL47" s="9" t="n">
        <v>195.9999999999999</v>
      </c>
      <c r="ON47" s="9" t="n">
        <v>195.9999999999999</v>
      </c>
      <c r="OO47" s="9" t="n">
        <v>0</v>
      </c>
      <c r="OS47" s="10" t="n">
        <v>46059</v>
      </c>
      <c r="OU47" s="9" t="n">
        <v>0</v>
      </c>
      <c r="OW47" s="9" t="n">
        <v>0</v>
      </c>
      <c r="OX47" s="9" t="n">
        <v>0</v>
      </c>
      <c r="PB47" s="10" t="n">
        <v>46059</v>
      </c>
      <c r="PD47" s="9" t="n">
        <v>0</v>
      </c>
      <c r="PF47" s="9" t="n">
        <v>0</v>
      </c>
      <c r="PG47" s="9" t="n">
        <v>0</v>
      </c>
      <c r="PK47" s="10" t="n">
        <v>46059</v>
      </c>
      <c r="PM47" s="9" t="n">
        <v>0</v>
      </c>
      <c r="PO47" s="9" t="n">
        <v>0</v>
      </c>
      <c r="PP47" s="9" t="n">
        <v>160</v>
      </c>
      <c r="PT47" s="10" t="n">
        <v>46059</v>
      </c>
      <c r="PV47" s="9" t="n">
        <v>0</v>
      </c>
      <c r="PX47" s="9" t="n">
        <v>0</v>
      </c>
      <c r="PY47" s="9" t="n">
        <v>13.96000000000004</v>
      </c>
      <c r="QC47" s="10" t="n">
        <v>46059</v>
      </c>
      <c r="QE47" s="9" t="n">
        <v>0</v>
      </c>
      <c r="QG47" s="9" t="n">
        <v>0</v>
      </c>
      <c r="QH47" s="9" t="n">
        <v>0</v>
      </c>
      <c r="QL47" s="10" t="n">
        <v>46059</v>
      </c>
      <c r="QN47" s="9" t="n">
        <v>0</v>
      </c>
      <c r="QP47" s="9" t="n">
        <v>0</v>
      </c>
      <c r="QQ47" s="9" t="n">
        <v>0</v>
      </c>
      <c r="QU47" s="10" t="n">
        <v>46059</v>
      </c>
      <c r="QW47" s="9" t="n">
        <v>0</v>
      </c>
      <c r="QY47" s="9" t="n">
        <v>0</v>
      </c>
      <c r="QZ47" s="9" t="n">
        <v>207.6</v>
      </c>
      <c r="RD47" s="10" t="n">
        <v>46059</v>
      </c>
      <c r="RF47" s="9" t="n">
        <v>0</v>
      </c>
      <c r="RH47" s="9" t="n">
        <v>0</v>
      </c>
      <c r="RI47" s="9" t="n">
        <v>201.8</v>
      </c>
      <c r="RM47" s="10" t="n">
        <v>46059</v>
      </c>
      <c r="RO47" s="9" t="n">
        <v>0</v>
      </c>
      <c r="RQ47" s="9" t="n">
        <v>0</v>
      </c>
      <c r="RR47" s="9" t="n">
        <v>22.72</v>
      </c>
      <c r="RV47" s="10" t="n">
        <v>46059</v>
      </c>
      <c r="RX47" s="9" t="n">
        <v>0</v>
      </c>
      <c r="RZ47" s="9" t="n">
        <v>0</v>
      </c>
      <c r="SA47" s="9" t="n">
        <v>0</v>
      </c>
      <c r="SE47" s="10" t="n">
        <v>46059</v>
      </c>
      <c r="SG47" s="9" t="n">
        <v>0</v>
      </c>
      <c r="SI47" s="9" t="n">
        <v>0</v>
      </c>
      <c r="SJ47" s="9" t="n">
        <v>0</v>
      </c>
      <c r="SN47" s="10" t="n">
        <v>46059</v>
      </c>
      <c r="SP47" s="9" t="n">
        <v>0</v>
      </c>
      <c r="SR47" s="9" t="n">
        <v>0</v>
      </c>
      <c r="SS47" s="9" t="n">
        <v>0</v>
      </c>
      <c r="SW47" s="10" t="n">
        <v>46059</v>
      </c>
      <c r="SY47" s="9" t="n">
        <v>0</v>
      </c>
      <c r="TA47" s="9" t="n">
        <v>0</v>
      </c>
      <c r="TB47" s="9" t="n">
        <v>270</v>
      </c>
      <c r="TF47" s="10" t="n">
        <v>46059</v>
      </c>
      <c r="TH47" s="9" t="n">
        <v>0</v>
      </c>
      <c r="TJ47" s="9" t="n">
        <v>0</v>
      </c>
      <c r="TK47" s="9" t="n">
        <v>0</v>
      </c>
      <c r="TO47" s="10" t="n">
        <v>46059</v>
      </c>
      <c r="TQ47" s="9" t="n">
        <v>0</v>
      </c>
      <c r="TS47" s="9" t="n">
        <v>0</v>
      </c>
      <c r="TT47" s="9" t="n">
        <v>0</v>
      </c>
      <c r="TX47" s="10" t="n">
        <v>46059</v>
      </c>
      <c r="TZ47" s="9" t="n">
        <v>0</v>
      </c>
      <c r="UB47" s="9" t="n">
        <v>0</v>
      </c>
      <c r="UC47" s="9" t="n">
        <v>0</v>
      </c>
      <c r="UG47" s="10" t="n">
        <v>46059</v>
      </c>
      <c r="UI47" s="9" t="n">
        <v>0</v>
      </c>
      <c r="UK47" s="9" t="n">
        <v>0</v>
      </c>
      <c r="UL47" s="9" t="n">
        <v>0</v>
      </c>
      <c r="UP47" s="10" t="n">
        <v>46059</v>
      </c>
      <c r="UR47" s="9" t="n">
        <v>0</v>
      </c>
      <c r="UT47" s="9" t="n">
        <v>0</v>
      </c>
      <c r="UU47" s="9" t="n">
        <v>0</v>
      </c>
      <c r="UY47" s="10" t="n">
        <v>46059</v>
      </c>
      <c r="VA47" s="9" t="n">
        <v>0</v>
      </c>
      <c r="VC47" s="9" t="n">
        <v>0</v>
      </c>
      <c r="VD47" s="9" t="n">
        <v>41.60000000000002</v>
      </c>
      <c r="VH47" s="10" t="n">
        <v>46059</v>
      </c>
      <c r="VJ47" s="9" t="n">
        <v>0</v>
      </c>
      <c r="VL47" s="9" t="n">
        <v>0</v>
      </c>
      <c r="VM47" s="9" t="n">
        <v>0</v>
      </c>
      <c r="VQ47" s="10" t="n">
        <v>46059</v>
      </c>
      <c r="VS47" s="9" t="n">
        <v>0</v>
      </c>
      <c r="VU47" s="9" t="n">
        <v>0</v>
      </c>
      <c r="VV47" s="9" t="n">
        <v>0</v>
      </c>
      <c r="VZ47" s="10" t="n">
        <v>46059</v>
      </c>
      <c r="WB47" s="9" t="n">
        <v>0</v>
      </c>
      <c r="WD47" s="9" t="n">
        <v>0</v>
      </c>
      <c r="WE47" s="9" t="n">
        <v>0</v>
      </c>
      <c r="WI47" s="10" t="n">
        <v>46059</v>
      </c>
      <c r="WK47" s="9" t="n">
        <v>0</v>
      </c>
      <c r="WM47" s="9" t="n">
        <v>0</v>
      </c>
      <c r="WN47" s="9" t="n">
        <v>9609</v>
      </c>
      <c r="WR47" s="10" t="n">
        <v>46059</v>
      </c>
      <c r="WT47" s="9" t="n">
        <v>0</v>
      </c>
      <c r="WV47" s="9" t="n">
        <v>0</v>
      </c>
      <c r="WW47" s="9" t="n">
        <v>8149</v>
      </c>
      <c r="XA47" s="10" t="n">
        <v>46059</v>
      </c>
      <c r="XC47" s="9" t="n">
        <v>0</v>
      </c>
      <c r="XE47" s="9" t="n">
        <v>0</v>
      </c>
      <c r="XF47" s="9" t="n">
        <v>590</v>
      </c>
      <c r="XJ47" s="10" t="n">
        <v>46059</v>
      </c>
      <c r="XL47" s="9" t="n">
        <v>0</v>
      </c>
      <c r="XM47" s="9" t="n">
        <v>1409</v>
      </c>
      <c r="XN47" s="9" t="n">
        <v>-1409</v>
      </c>
      <c r="XO47" s="9" t="n">
        <v>3276</v>
      </c>
      <c r="XS47" s="10" t="n">
        <v>46059</v>
      </c>
      <c r="XU47" s="9" t="n">
        <v>0</v>
      </c>
      <c r="XW47" s="9" t="n">
        <v>0</v>
      </c>
      <c r="XX47" s="9" t="n">
        <v>1901</v>
      </c>
      <c r="YB47" s="10" t="n">
        <v>46059</v>
      </c>
      <c r="YD47" s="9" t="n">
        <v>0</v>
      </c>
      <c r="YF47" s="9" t="n">
        <v>0</v>
      </c>
      <c r="YG47" s="9" t="n">
        <v>1370</v>
      </c>
      <c r="YK47" s="10" t="n">
        <v>46059</v>
      </c>
      <c r="YM47" s="9" t="n">
        <v>0</v>
      </c>
      <c r="YO47" s="9" t="n">
        <v>0</v>
      </c>
      <c r="YP47" s="9" t="n">
        <v>0</v>
      </c>
      <c r="YT47" s="10" t="n">
        <v>46059</v>
      </c>
      <c r="YV47" s="9" t="n">
        <v>0</v>
      </c>
      <c r="YX47" s="9" t="n">
        <v>0</v>
      </c>
      <c r="YY47" s="9" t="n">
        <v>0</v>
      </c>
      <c r="ZC47" s="10" t="n">
        <v>46059</v>
      </c>
      <c r="ZE47" s="9" t="n">
        <v>0</v>
      </c>
      <c r="ZG47" s="9" t="n">
        <v>0</v>
      </c>
      <c r="ZH47" s="9" t="n">
        <v>0</v>
      </c>
      <c r="ZL47" s="10" t="n">
        <v>46059</v>
      </c>
      <c r="ZN47" s="9" t="n">
        <v>0</v>
      </c>
      <c r="ZP47" s="9" t="n">
        <v>0</v>
      </c>
      <c r="ZQ47" s="9" t="n">
        <v>0</v>
      </c>
      <c r="ZU47" s="10" t="n">
        <v>46059</v>
      </c>
      <c r="ZW47" s="9" t="n">
        <v>0</v>
      </c>
      <c r="ZY47" s="9" t="n">
        <v>0</v>
      </c>
      <c r="ZZ47" s="9" t="n">
        <v>0</v>
      </c>
      <c r="AAD47" s="10" t="n">
        <v>46059</v>
      </c>
      <c r="AAF47" s="9" t="n">
        <v>0</v>
      </c>
      <c r="AAH47" s="9" t="n">
        <v>0</v>
      </c>
      <c r="AAI47" s="9" t="n">
        <v>0</v>
      </c>
      <c r="AAM47" s="10" t="n">
        <v>46059</v>
      </c>
      <c r="AAO47" s="9" t="n">
        <v>0</v>
      </c>
      <c r="AAQ47" s="9" t="n">
        <v>0</v>
      </c>
      <c r="AAR47" s="9" t="n">
        <v>0</v>
      </c>
      <c r="AAV47" s="10" t="n">
        <v>46059</v>
      </c>
      <c r="AAX47" s="9" t="n">
        <v>0</v>
      </c>
      <c r="AAZ47" s="9" t="n">
        <v>0</v>
      </c>
      <c r="ABA47" s="9" t="n">
        <v>0</v>
      </c>
      <c r="ABE47" s="10" t="n">
        <v>46059</v>
      </c>
      <c r="ABG47" s="9" t="n">
        <v>0</v>
      </c>
      <c r="ABI47" s="9" t="n">
        <v>0</v>
      </c>
      <c r="ABJ47" s="9" t="n">
        <v>0</v>
      </c>
    </row>
    <row r="48">
      <c r="B48" s="9" t="n">
        <v>60</v>
      </c>
      <c r="C48" s="10" t="n">
        <v>46060</v>
      </c>
      <c r="D48" s="9" t="n">
        <v>46540</v>
      </c>
      <c r="E48" s="9" t="n">
        <v>30933</v>
      </c>
      <c r="F48" s="9" t="n">
        <v>30929.4</v>
      </c>
      <c r="G48" s="9" t="n">
        <v>3.599999999994907</v>
      </c>
      <c r="H48" s="9" t="n">
        <v>176937.8</v>
      </c>
      <c r="I48" s="9" t="inlineStr">
        <is>
          <t>121 60mt</t>
        </is>
      </c>
      <c r="L48" s="10" t="n">
        <v>46060</v>
      </c>
      <c r="M48" s="9" t="n">
        <v>59500</v>
      </c>
      <c r="N48" s="9" t="n">
        <v>14310</v>
      </c>
      <c r="O48" s="9" t="n">
        <v>14312</v>
      </c>
      <c r="P48" s="9" t="n">
        <v>-1.999999999998181</v>
      </c>
      <c r="Q48" s="9" t="n">
        <v>103184.4</v>
      </c>
      <c r="U48" s="10" t="n">
        <v>46060</v>
      </c>
      <c r="V48" s="9" t="n">
        <v>30120</v>
      </c>
      <c r="W48" s="9" t="n">
        <v>3990</v>
      </c>
      <c r="X48" s="9" t="n">
        <v>3990.2</v>
      </c>
      <c r="Y48" s="9" t="n">
        <v>-0.1999999999998181</v>
      </c>
      <c r="Z48" s="9" t="n">
        <v>63818.69999999998</v>
      </c>
      <c r="AD48" s="10" t="n">
        <v>46060</v>
      </c>
      <c r="AF48" s="9" t="n">
        <v>600</v>
      </c>
      <c r="AG48" s="9" t="n">
        <v>600.3</v>
      </c>
      <c r="AH48" s="9" t="n">
        <v>-0.2999999999999545</v>
      </c>
      <c r="AI48" s="9" t="n">
        <v>47017.60000000001</v>
      </c>
      <c r="AM48" s="10" t="n">
        <v>46060</v>
      </c>
      <c r="AO48" s="9" t="n">
        <v>0</v>
      </c>
      <c r="AQ48" s="9" t="n">
        <v>0</v>
      </c>
      <c r="AR48" s="9" t="n">
        <v>0</v>
      </c>
      <c r="AV48" s="10" t="n">
        <v>46060</v>
      </c>
      <c r="AX48" s="9" t="n">
        <v>1500</v>
      </c>
      <c r="AY48" s="9" t="n">
        <v>1500.1</v>
      </c>
      <c r="AZ48" s="9" t="n">
        <v>-0.09999999999990905</v>
      </c>
      <c r="BA48" s="9" t="n">
        <v>60688.09999999999</v>
      </c>
      <c r="BE48" s="10" t="n">
        <v>46060</v>
      </c>
      <c r="BG48" s="9" t="n">
        <v>1680</v>
      </c>
      <c r="BH48" s="9" t="n">
        <v>1679.8</v>
      </c>
      <c r="BI48" s="9" t="n">
        <v>0.1999999999998181</v>
      </c>
      <c r="BJ48" s="9" t="n">
        <v>36972.40000000001</v>
      </c>
      <c r="BN48" s="10" t="n">
        <v>46060</v>
      </c>
      <c r="BO48" s="9" t="n">
        <v>900</v>
      </c>
      <c r="BP48" s="9" t="n">
        <v>900</v>
      </c>
      <c r="BQ48" s="9" t="n">
        <v>900</v>
      </c>
      <c r="BR48" s="9" t="n">
        <v>0</v>
      </c>
      <c r="BS48" s="9" t="n">
        <v>0</v>
      </c>
      <c r="BW48" s="10" t="n">
        <v>46060</v>
      </c>
      <c r="BY48" s="9" t="n">
        <v>270.0000000000001</v>
      </c>
      <c r="BZ48" s="9" t="n">
        <v>1512.9</v>
      </c>
      <c r="CA48" s="9" t="n">
        <v>-1242.9</v>
      </c>
      <c r="CB48" s="9" t="n">
        <v>1487.1</v>
      </c>
      <c r="CF48" s="10" t="n">
        <v>46060</v>
      </c>
      <c r="CG48" s="9" t="n">
        <v>2738.4</v>
      </c>
      <c r="CH48" s="9" t="n">
        <v>419.9999999999999</v>
      </c>
      <c r="CI48" s="9" t="n">
        <v>2738.4</v>
      </c>
      <c r="CJ48" s="9" t="n">
        <v>-2318.4</v>
      </c>
      <c r="CK48" s="9" t="n">
        <v>0</v>
      </c>
      <c r="CO48" s="10" t="n">
        <v>46060</v>
      </c>
      <c r="CQ48" s="9" t="n">
        <v>0</v>
      </c>
      <c r="CS48" s="9" t="n">
        <v>0</v>
      </c>
      <c r="CT48" s="9" t="n">
        <v>0</v>
      </c>
      <c r="CX48" s="10" t="n">
        <v>46060</v>
      </c>
      <c r="CY48" s="9" t="n">
        <v>11480</v>
      </c>
      <c r="CZ48" s="9" t="n">
        <v>2010</v>
      </c>
      <c r="DA48" s="9" t="n">
        <v>2010.2</v>
      </c>
      <c r="DB48" s="9" t="n">
        <v>-0.2000000000000455</v>
      </c>
      <c r="DC48" s="9" t="n">
        <v>16209.8</v>
      </c>
      <c r="DG48" s="10" t="n">
        <v>46060</v>
      </c>
      <c r="DI48" s="9" t="n">
        <v>210</v>
      </c>
      <c r="DJ48" s="9" t="n">
        <v>211.6</v>
      </c>
      <c r="DK48" s="9" t="n">
        <v>-1.600000000000023</v>
      </c>
      <c r="DL48" s="9" t="n">
        <v>18250.4</v>
      </c>
      <c r="DP48" s="10" t="n">
        <v>46060</v>
      </c>
      <c r="DR48" s="9" t="n">
        <v>0</v>
      </c>
      <c r="DT48" s="9" t="n">
        <v>0</v>
      </c>
      <c r="DU48" s="9" t="n">
        <v>0</v>
      </c>
      <c r="DY48" s="10" t="n">
        <v>46060</v>
      </c>
      <c r="DZ48" s="9" t="n">
        <v>5120</v>
      </c>
      <c r="EA48" s="9" t="n">
        <v>1500</v>
      </c>
      <c r="EB48" s="9" t="n">
        <v>1500.4</v>
      </c>
      <c r="EC48" s="9" t="n">
        <v>-0.4000000000000909</v>
      </c>
      <c r="ED48" s="9" t="n">
        <v>3619.6</v>
      </c>
      <c r="EH48" s="10" t="n">
        <v>46060</v>
      </c>
      <c r="EJ48" s="9" t="n">
        <v>0</v>
      </c>
      <c r="EL48" s="9" t="n">
        <v>0</v>
      </c>
      <c r="EM48" s="9" t="n">
        <v>0</v>
      </c>
      <c r="EQ48" s="10" t="n">
        <v>46060</v>
      </c>
      <c r="ES48" s="9" t="n">
        <v>0</v>
      </c>
      <c r="EU48" s="9" t="n">
        <v>0</v>
      </c>
      <c r="EV48" s="9" t="n">
        <v>0</v>
      </c>
      <c r="EZ48" s="10" t="n">
        <v>46060</v>
      </c>
      <c r="FB48" s="9" t="n">
        <v>0</v>
      </c>
      <c r="FD48" s="9" t="n">
        <v>0</v>
      </c>
      <c r="FE48" s="9" t="n">
        <v>0</v>
      </c>
      <c r="FI48" s="10" t="n">
        <v>46060</v>
      </c>
      <c r="FK48" s="9" t="n">
        <v>0</v>
      </c>
      <c r="FM48" s="9" t="n">
        <v>0</v>
      </c>
      <c r="FN48" s="9" t="n">
        <v>0</v>
      </c>
      <c r="FR48" s="10" t="n">
        <v>46060</v>
      </c>
      <c r="FT48" s="9" t="n">
        <v>0</v>
      </c>
      <c r="FV48" s="9" t="n">
        <v>0</v>
      </c>
      <c r="FW48" s="9" t="n">
        <v>3540</v>
      </c>
      <c r="GA48" s="10" t="n">
        <v>46060</v>
      </c>
      <c r="GC48" s="9" t="n">
        <v>0</v>
      </c>
      <c r="GE48" s="9" t="n">
        <v>0</v>
      </c>
      <c r="GF48" s="9" t="n">
        <v>5960</v>
      </c>
      <c r="GJ48" s="10" t="n">
        <v>46060</v>
      </c>
      <c r="GL48" s="9" t="n">
        <v>0</v>
      </c>
      <c r="GN48" s="9" t="n">
        <v>0</v>
      </c>
      <c r="GO48" s="9" t="n">
        <v>3240</v>
      </c>
      <c r="GS48" s="10" t="n">
        <v>46060</v>
      </c>
      <c r="GU48" s="9" t="n">
        <v>0</v>
      </c>
      <c r="GW48" s="9" t="n">
        <v>0</v>
      </c>
      <c r="GX48" s="9" t="n">
        <v>0</v>
      </c>
      <c r="HB48" s="10" t="n">
        <v>46060</v>
      </c>
      <c r="HD48" s="9" t="n">
        <v>0</v>
      </c>
      <c r="HF48" s="9" t="n">
        <v>0</v>
      </c>
      <c r="HG48" s="9" t="n">
        <v>0</v>
      </c>
      <c r="HK48" s="10" t="n">
        <v>46060</v>
      </c>
      <c r="HM48" s="9" t="n">
        <v>0</v>
      </c>
      <c r="HO48" s="9" t="n">
        <v>0</v>
      </c>
      <c r="HP48" s="9" t="n">
        <v>0</v>
      </c>
      <c r="HU48" s="10" t="n">
        <v>46060</v>
      </c>
      <c r="HW48" s="9" t="n">
        <v>0</v>
      </c>
      <c r="HX48" s="9" t="n">
        <v>320</v>
      </c>
      <c r="HY48" s="9" t="n">
        <v>-320</v>
      </c>
      <c r="HZ48" s="9" t="n">
        <v>5120</v>
      </c>
      <c r="IA48" s="9" t="n">
        <v>16</v>
      </c>
      <c r="ID48" s="10" t="n">
        <v>46060</v>
      </c>
      <c r="IF48" s="9" t="n">
        <v>0</v>
      </c>
      <c r="IH48" s="9" t="n">
        <v>0</v>
      </c>
      <c r="II48" s="9" t="n">
        <v>5100</v>
      </c>
      <c r="IM48" s="10" t="n">
        <v>46060</v>
      </c>
      <c r="IO48" s="9" t="n">
        <v>0</v>
      </c>
      <c r="IP48" s="9" t="n">
        <v>3200</v>
      </c>
      <c r="IQ48" s="9" t="n">
        <v>-3200</v>
      </c>
      <c r="IR48" s="9" t="n">
        <v>13040</v>
      </c>
      <c r="IS48" s="9" t="n">
        <v>160</v>
      </c>
      <c r="IV48" s="10" t="n">
        <v>46060</v>
      </c>
      <c r="IX48" s="9" t="n">
        <v>0</v>
      </c>
      <c r="IZ48" s="9" t="n">
        <v>0</v>
      </c>
      <c r="JA48" s="9" t="n">
        <v>13120</v>
      </c>
      <c r="JE48" s="10" t="n">
        <v>46060</v>
      </c>
      <c r="JG48" s="9" t="n">
        <v>0</v>
      </c>
      <c r="JI48" s="9" t="n">
        <v>0</v>
      </c>
      <c r="JJ48" s="9" t="n">
        <v>6800</v>
      </c>
      <c r="JN48" s="10" t="n">
        <v>46060</v>
      </c>
      <c r="JP48" s="9" t="n">
        <v>0</v>
      </c>
      <c r="JR48" s="9" t="n">
        <v>0</v>
      </c>
      <c r="JS48" s="9" t="n">
        <v>5400</v>
      </c>
      <c r="JW48" s="10" t="n">
        <v>46060</v>
      </c>
      <c r="JY48" s="9" t="n">
        <v>1200</v>
      </c>
      <c r="JZ48" s="9" t="n">
        <v>2240</v>
      </c>
      <c r="KA48" s="9" t="n">
        <v>-1040</v>
      </c>
      <c r="KB48" s="9" t="n">
        <v>20</v>
      </c>
      <c r="KF48" s="10" t="n">
        <v>46060</v>
      </c>
      <c r="KH48" s="9" t="n">
        <v>0</v>
      </c>
      <c r="KI48" s="9" t="n">
        <v>3627</v>
      </c>
      <c r="KJ48" s="9" t="n">
        <v>-3627</v>
      </c>
      <c r="KK48" s="9" t="n">
        <v>390</v>
      </c>
      <c r="KO48" s="10" t="n">
        <v>46060</v>
      </c>
      <c r="KP48" s="9" t="n">
        <v>3402</v>
      </c>
      <c r="KQ48" s="9" t="n">
        <v>0</v>
      </c>
      <c r="KS48" s="9" t="n">
        <v>0</v>
      </c>
      <c r="KT48" s="9" t="n">
        <v>10319.4</v>
      </c>
      <c r="KX48" s="10" t="n">
        <v>46060</v>
      </c>
      <c r="KZ48" s="9" t="n">
        <v>0</v>
      </c>
      <c r="LB48" s="9" t="n">
        <v>0</v>
      </c>
      <c r="LC48" s="9" t="n">
        <v>0</v>
      </c>
      <c r="LG48" s="10" t="n">
        <v>46060</v>
      </c>
      <c r="LI48" s="9" t="n">
        <v>0</v>
      </c>
      <c r="LK48" s="9" t="n">
        <v>0</v>
      </c>
      <c r="LL48" s="9" t="n">
        <v>0</v>
      </c>
      <c r="LP48" s="10" t="n">
        <v>46060</v>
      </c>
      <c r="LR48" s="9" t="n">
        <v>0</v>
      </c>
      <c r="LT48" s="9" t="n">
        <v>0</v>
      </c>
      <c r="LU48" s="9" t="n">
        <v>0</v>
      </c>
      <c r="LY48" s="10" t="n">
        <v>46060</v>
      </c>
      <c r="MA48" s="9" t="n">
        <v>0</v>
      </c>
      <c r="MC48" s="9" t="n">
        <v>0</v>
      </c>
      <c r="MD48" s="9" t="n">
        <v>0</v>
      </c>
      <c r="MH48" s="10" t="n">
        <v>46060</v>
      </c>
      <c r="MJ48" s="9" t="n">
        <v>0</v>
      </c>
      <c r="ML48" s="9" t="n">
        <v>0</v>
      </c>
      <c r="MM48" s="9" t="n">
        <v>0</v>
      </c>
      <c r="MQ48" s="10" t="n">
        <v>46060</v>
      </c>
      <c r="MS48" s="9" t="n">
        <v>120</v>
      </c>
      <c r="MT48" s="9" t="n">
        <v>684</v>
      </c>
      <c r="MU48" s="9" t="n">
        <v>-564</v>
      </c>
      <c r="MV48" s="9" t="n">
        <v>1285</v>
      </c>
      <c r="MZ48" s="10" t="n">
        <v>46060</v>
      </c>
      <c r="NA48" s="9" t="n">
        <v>1422</v>
      </c>
      <c r="NB48" s="9" t="n">
        <v>180</v>
      </c>
      <c r="NC48" s="9" t="n">
        <v>1422</v>
      </c>
      <c r="ND48" s="9" t="n">
        <v>-1242</v>
      </c>
      <c r="NE48" s="9" t="n">
        <v>0</v>
      </c>
      <c r="NI48" s="10" t="n">
        <v>46060</v>
      </c>
      <c r="NK48" s="9" t="n">
        <v>0</v>
      </c>
      <c r="NM48" s="9" t="n">
        <v>0</v>
      </c>
      <c r="NN48" s="9" t="n">
        <v>0</v>
      </c>
      <c r="NR48" s="10" t="n">
        <v>46060</v>
      </c>
      <c r="NS48" s="9" t="n">
        <v>1500</v>
      </c>
      <c r="NT48" s="9" t="n">
        <v>12</v>
      </c>
      <c r="NU48" s="9" t="n">
        <v>245.6</v>
      </c>
      <c r="NV48" s="9" t="n">
        <v>-233.6</v>
      </c>
      <c r="NW48" s="9" t="n">
        <v>2224.4</v>
      </c>
      <c r="OA48" s="10" t="n">
        <v>46060</v>
      </c>
      <c r="OC48" s="9" t="n">
        <v>0</v>
      </c>
      <c r="OE48" s="9" t="n">
        <v>0</v>
      </c>
      <c r="OF48" s="9" t="n">
        <v>1680.5</v>
      </c>
      <c r="OJ48" s="10" t="n">
        <v>46060</v>
      </c>
      <c r="OK48" s="9" t="n">
        <v>828.8</v>
      </c>
      <c r="OL48" s="9" t="n">
        <v>165</v>
      </c>
      <c r="OM48" s="9" t="n">
        <v>828.8</v>
      </c>
      <c r="ON48" s="9" t="n">
        <v>-663.8</v>
      </c>
      <c r="OO48" s="9" t="n">
        <v>0</v>
      </c>
      <c r="OS48" s="10" t="n">
        <v>46060</v>
      </c>
      <c r="OU48" s="9" t="n">
        <v>0</v>
      </c>
      <c r="OW48" s="9" t="n">
        <v>0</v>
      </c>
      <c r="OX48" s="9" t="n">
        <v>0</v>
      </c>
      <c r="PB48" s="10" t="n">
        <v>46060</v>
      </c>
      <c r="PC48" s="9" t="n">
        <v>176</v>
      </c>
      <c r="PD48" s="9" t="n">
        <v>0</v>
      </c>
      <c r="PE48" s="9" t="n">
        <v>176</v>
      </c>
      <c r="PF48" s="9" t="n">
        <v>-176</v>
      </c>
      <c r="PG48" s="9" t="n">
        <v>0</v>
      </c>
      <c r="PK48" s="10" t="n">
        <v>46060</v>
      </c>
      <c r="PM48" s="9" t="n">
        <v>0</v>
      </c>
      <c r="PO48" s="9" t="n">
        <v>0</v>
      </c>
      <c r="PP48" s="9" t="n">
        <v>160</v>
      </c>
      <c r="PT48" s="10" t="n">
        <v>46060</v>
      </c>
      <c r="PV48" s="9" t="n">
        <v>0</v>
      </c>
      <c r="PX48" s="9" t="n">
        <v>0</v>
      </c>
      <c r="PY48" s="9" t="n">
        <v>13.96000000000004</v>
      </c>
      <c r="QC48" s="10" t="n">
        <v>46060</v>
      </c>
      <c r="QE48" s="9" t="n">
        <v>0</v>
      </c>
      <c r="QG48" s="9" t="n">
        <v>0</v>
      </c>
      <c r="QH48" s="9" t="n">
        <v>0</v>
      </c>
      <c r="QL48" s="10" t="n">
        <v>46060</v>
      </c>
      <c r="QN48" s="9" t="n">
        <v>0</v>
      </c>
      <c r="QP48" s="9" t="n">
        <v>0</v>
      </c>
      <c r="QQ48" s="9" t="n">
        <v>0</v>
      </c>
      <c r="QU48" s="10" t="n">
        <v>46060</v>
      </c>
      <c r="QW48" s="9" t="n">
        <v>0</v>
      </c>
      <c r="QY48" s="9" t="n">
        <v>0</v>
      </c>
      <c r="QZ48" s="9" t="n">
        <v>207.6</v>
      </c>
      <c r="RD48" s="10" t="n">
        <v>46060</v>
      </c>
      <c r="RF48" s="9" t="n">
        <v>0</v>
      </c>
      <c r="RH48" s="9" t="n">
        <v>0</v>
      </c>
      <c r="RI48" s="9" t="n">
        <v>201.8</v>
      </c>
      <c r="RM48" s="10" t="n">
        <v>46060</v>
      </c>
      <c r="RO48" s="9" t="n">
        <v>0</v>
      </c>
      <c r="RQ48" s="9" t="n">
        <v>0</v>
      </c>
      <c r="RR48" s="9" t="n">
        <v>22.72</v>
      </c>
      <c r="RV48" s="10" t="n">
        <v>46060</v>
      </c>
      <c r="RX48" s="9" t="n">
        <v>0</v>
      </c>
      <c r="RZ48" s="9" t="n">
        <v>0</v>
      </c>
      <c r="SA48" s="9" t="n">
        <v>0</v>
      </c>
      <c r="SE48" s="10" t="n">
        <v>46060</v>
      </c>
      <c r="SG48" s="9" t="n">
        <v>0</v>
      </c>
      <c r="SI48" s="9" t="n">
        <v>0</v>
      </c>
      <c r="SJ48" s="9" t="n">
        <v>0</v>
      </c>
      <c r="SN48" s="10" t="n">
        <v>46060</v>
      </c>
      <c r="SP48" s="9" t="n">
        <v>0</v>
      </c>
      <c r="SR48" s="9" t="n">
        <v>0</v>
      </c>
      <c r="SS48" s="9" t="n">
        <v>0</v>
      </c>
      <c r="SW48" s="10" t="n">
        <v>46060</v>
      </c>
      <c r="SY48" s="9" t="n">
        <v>0</v>
      </c>
      <c r="SZ48" s="9" t="n">
        <v>270</v>
      </c>
      <c r="TA48" s="9" t="n">
        <v>-270</v>
      </c>
      <c r="TB48" s="9" t="n">
        <v>0</v>
      </c>
      <c r="TF48" s="10" t="n">
        <v>46060</v>
      </c>
      <c r="TH48" s="9" t="n">
        <v>0</v>
      </c>
      <c r="TJ48" s="9" t="n">
        <v>0</v>
      </c>
      <c r="TK48" s="9" t="n">
        <v>0</v>
      </c>
      <c r="TO48" s="10" t="n">
        <v>46060</v>
      </c>
      <c r="TQ48" s="9" t="n">
        <v>0</v>
      </c>
      <c r="TS48" s="9" t="n">
        <v>0</v>
      </c>
      <c r="TT48" s="9" t="n">
        <v>0</v>
      </c>
      <c r="TX48" s="10" t="n">
        <v>46060</v>
      </c>
      <c r="TZ48" s="9" t="n">
        <v>0</v>
      </c>
      <c r="UB48" s="9" t="n">
        <v>0</v>
      </c>
      <c r="UC48" s="9" t="n">
        <v>0</v>
      </c>
      <c r="UG48" s="10" t="n">
        <v>46060</v>
      </c>
      <c r="UI48" s="9" t="n">
        <v>0</v>
      </c>
      <c r="UK48" s="9" t="n">
        <v>0</v>
      </c>
      <c r="UL48" s="9" t="n">
        <v>0</v>
      </c>
      <c r="UP48" s="10" t="n">
        <v>46060</v>
      </c>
      <c r="UR48" s="9" t="n">
        <v>0</v>
      </c>
      <c r="UT48" s="9" t="n">
        <v>0</v>
      </c>
      <c r="UU48" s="9" t="n">
        <v>0</v>
      </c>
      <c r="UY48" s="10" t="n">
        <v>46060</v>
      </c>
      <c r="VA48" s="9" t="n">
        <v>0</v>
      </c>
      <c r="VC48" s="9" t="n">
        <v>0</v>
      </c>
      <c r="VD48" s="9" t="n">
        <v>41.60000000000002</v>
      </c>
      <c r="VH48" s="10" t="n">
        <v>46060</v>
      </c>
      <c r="VJ48" s="9" t="n">
        <v>0</v>
      </c>
      <c r="VL48" s="9" t="n">
        <v>0</v>
      </c>
      <c r="VM48" s="9" t="n">
        <v>0</v>
      </c>
      <c r="VQ48" s="10" t="n">
        <v>46060</v>
      </c>
      <c r="VS48" s="9" t="n">
        <v>0</v>
      </c>
      <c r="VU48" s="9" t="n">
        <v>0</v>
      </c>
      <c r="VV48" s="9" t="n">
        <v>0</v>
      </c>
      <c r="VZ48" s="10" t="n">
        <v>46060</v>
      </c>
      <c r="WB48" s="9" t="n">
        <v>0</v>
      </c>
      <c r="WD48" s="9" t="n">
        <v>0</v>
      </c>
      <c r="WE48" s="9" t="n">
        <v>0</v>
      </c>
      <c r="WI48" s="10" t="n">
        <v>46060</v>
      </c>
      <c r="WK48" s="9" t="n">
        <v>0</v>
      </c>
      <c r="WM48" s="9" t="n">
        <v>0</v>
      </c>
      <c r="WN48" s="9" t="n">
        <v>9609</v>
      </c>
      <c r="WR48" s="10" t="n">
        <v>46060</v>
      </c>
      <c r="WT48" s="9" t="n">
        <v>0</v>
      </c>
      <c r="WV48" s="9" t="n">
        <v>0</v>
      </c>
      <c r="WW48" s="9" t="n">
        <v>8149</v>
      </c>
      <c r="XA48" s="10" t="n">
        <v>46060</v>
      </c>
      <c r="XC48" s="9" t="n">
        <v>0</v>
      </c>
      <c r="XE48" s="9" t="n">
        <v>0</v>
      </c>
      <c r="XF48" s="9" t="n">
        <v>590</v>
      </c>
      <c r="XJ48" s="10" t="n">
        <v>46060</v>
      </c>
      <c r="XL48" s="9" t="n">
        <v>0</v>
      </c>
      <c r="XM48" s="9" t="n">
        <v>1186</v>
      </c>
      <c r="XN48" s="9" t="n">
        <v>-1186</v>
      </c>
      <c r="XO48" s="9" t="n">
        <v>2090</v>
      </c>
      <c r="XS48" s="10" t="n">
        <v>46060</v>
      </c>
      <c r="XU48" s="9" t="n">
        <v>0</v>
      </c>
      <c r="XW48" s="9" t="n">
        <v>0</v>
      </c>
      <c r="XX48" s="9" t="n">
        <v>1901</v>
      </c>
      <c r="YB48" s="10" t="n">
        <v>46060</v>
      </c>
      <c r="YD48" s="9" t="n">
        <v>0</v>
      </c>
      <c r="YF48" s="9" t="n">
        <v>0</v>
      </c>
      <c r="YG48" s="9" t="n">
        <v>1370</v>
      </c>
      <c r="YK48" s="10" t="n">
        <v>46060</v>
      </c>
      <c r="YM48" s="9" t="n">
        <v>0</v>
      </c>
      <c r="YO48" s="9" t="n">
        <v>0</v>
      </c>
      <c r="YP48" s="9" t="n">
        <v>0</v>
      </c>
      <c r="YT48" s="10" t="n">
        <v>46060</v>
      </c>
      <c r="YV48" s="9" t="n">
        <v>0</v>
      </c>
      <c r="YX48" s="9" t="n">
        <v>0</v>
      </c>
      <c r="YY48" s="9" t="n">
        <v>0</v>
      </c>
      <c r="ZC48" s="10" t="n">
        <v>46060</v>
      </c>
      <c r="ZE48" s="9" t="n">
        <v>0</v>
      </c>
      <c r="ZG48" s="9" t="n">
        <v>0</v>
      </c>
      <c r="ZH48" s="9" t="n">
        <v>0</v>
      </c>
      <c r="ZL48" s="10" t="n">
        <v>46060</v>
      </c>
      <c r="ZN48" s="9" t="n">
        <v>0</v>
      </c>
      <c r="ZP48" s="9" t="n">
        <v>0</v>
      </c>
      <c r="ZQ48" s="9" t="n">
        <v>0</v>
      </c>
      <c r="ZU48" s="10" t="n">
        <v>46060</v>
      </c>
      <c r="ZW48" s="9" t="n">
        <v>0</v>
      </c>
      <c r="ZY48" s="9" t="n">
        <v>0</v>
      </c>
      <c r="ZZ48" s="9" t="n">
        <v>0</v>
      </c>
      <c r="AAD48" s="10" t="n">
        <v>46060</v>
      </c>
      <c r="AAF48" s="9" t="n">
        <v>0</v>
      </c>
      <c r="AAH48" s="9" t="n">
        <v>0</v>
      </c>
      <c r="AAI48" s="9" t="n">
        <v>0</v>
      </c>
      <c r="AAM48" s="10" t="n">
        <v>46060</v>
      </c>
      <c r="AAO48" s="9" t="n">
        <v>0</v>
      </c>
      <c r="AAQ48" s="9" t="n">
        <v>0</v>
      </c>
      <c r="AAR48" s="9" t="n">
        <v>0</v>
      </c>
      <c r="AAV48" s="10" t="n">
        <v>46060</v>
      </c>
      <c r="AAX48" s="9" t="n">
        <v>0</v>
      </c>
      <c r="AAZ48" s="9" t="n">
        <v>0</v>
      </c>
      <c r="ABA48" s="9" t="n">
        <v>0</v>
      </c>
      <c r="ABE48" s="10" t="n">
        <v>46060</v>
      </c>
      <c r="ABG48" s="9" t="n">
        <v>0</v>
      </c>
      <c r="ABI48" s="9" t="n">
        <v>0</v>
      </c>
      <c r="ABJ48" s="9" t="n">
        <v>0</v>
      </c>
    </row>
    <row r="49">
      <c r="C49" s="10" t="n">
        <v>46061</v>
      </c>
      <c r="E49" s="9" t="n">
        <v>0</v>
      </c>
      <c r="G49" s="9" t="n">
        <v>0</v>
      </c>
      <c r="H49" s="9" t="n">
        <v>176937.8</v>
      </c>
      <c r="L49" s="10" t="n">
        <v>46061</v>
      </c>
      <c r="N49" s="9" t="n">
        <v>0</v>
      </c>
      <c r="P49" s="9" t="n">
        <v>0</v>
      </c>
      <c r="Q49" s="9" t="n">
        <v>103184.4</v>
      </c>
      <c r="U49" s="10" t="n">
        <v>46061</v>
      </c>
      <c r="W49" s="9" t="n">
        <v>0</v>
      </c>
      <c r="Y49" s="9" t="n">
        <v>0</v>
      </c>
      <c r="Z49" s="9" t="n">
        <v>63818.69999999998</v>
      </c>
      <c r="AD49" s="10" t="n">
        <v>46061</v>
      </c>
      <c r="AF49" s="9" t="n">
        <v>0</v>
      </c>
      <c r="AH49" s="9" t="n">
        <v>0</v>
      </c>
      <c r="AI49" s="9" t="n">
        <v>47017.60000000001</v>
      </c>
      <c r="AM49" s="10" t="n">
        <v>46061</v>
      </c>
      <c r="AO49" s="9" t="n">
        <v>0</v>
      </c>
      <c r="AQ49" s="9" t="n">
        <v>0</v>
      </c>
      <c r="AR49" s="9" t="n">
        <v>0</v>
      </c>
      <c r="AV49" s="10" t="n">
        <v>46061</v>
      </c>
      <c r="AX49" s="9" t="n">
        <v>0</v>
      </c>
      <c r="AZ49" s="9" t="n">
        <v>0</v>
      </c>
      <c r="BA49" s="9" t="n">
        <v>60688.09999999999</v>
      </c>
      <c r="BE49" s="10" t="n">
        <v>46061</v>
      </c>
      <c r="BG49" s="9" t="n">
        <v>0</v>
      </c>
      <c r="BI49" s="9" t="n">
        <v>0</v>
      </c>
      <c r="BJ49" s="9" t="n">
        <v>36972.40000000001</v>
      </c>
      <c r="BN49" s="10" t="n">
        <v>46061</v>
      </c>
      <c r="BP49" s="9" t="n">
        <v>0</v>
      </c>
      <c r="BR49" s="9" t="n">
        <v>0</v>
      </c>
      <c r="BS49" s="9" t="n">
        <v>0</v>
      </c>
      <c r="BW49" s="10" t="n">
        <v>46061</v>
      </c>
      <c r="BY49" s="9" t="n">
        <v>0</v>
      </c>
      <c r="CA49" s="9" t="n">
        <v>0</v>
      </c>
      <c r="CB49" s="9" t="n">
        <v>1487.1</v>
      </c>
      <c r="CF49" s="10" t="n">
        <v>46061</v>
      </c>
      <c r="CH49" s="9" t="n">
        <v>0</v>
      </c>
      <c r="CJ49" s="9" t="n">
        <v>0</v>
      </c>
      <c r="CK49" s="9" t="n">
        <v>0</v>
      </c>
      <c r="CO49" s="10" t="n">
        <v>46061</v>
      </c>
      <c r="CQ49" s="9" t="n">
        <v>0</v>
      </c>
      <c r="CS49" s="9" t="n">
        <v>0</v>
      </c>
      <c r="CT49" s="9" t="n">
        <v>0</v>
      </c>
      <c r="CX49" s="10" t="n">
        <v>46061</v>
      </c>
      <c r="CZ49" s="9" t="n">
        <v>0</v>
      </c>
      <c r="DB49" s="9" t="n">
        <v>0</v>
      </c>
      <c r="DC49" s="9" t="n">
        <v>16209.8</v>
      </c>
      <c r="DG49" s="10" t="n">
        <v>46061</v>
      </c>
      <c r="DI49" s="9" t="n">
        <v>0</v>
      </c>
      <c r="DK49" s="9" t="n">
        <v>0</v>
      </c>
      <c r="DL49" s="9" t="n">
        <v>18250.4</v>
      </c>
      <c r="DP49" s="10" t="n">
        <v>46061</v>
      </c>
      <c r="DR49" s="9" t="n">
        <v>0</v>
      </c>
      <c r="DT49" s="9" t="n">
        <v>0</v>
      </c>
      <c r="DU49" s="9" t="n">
        <v>0</v>
      </c>
      <c r="DY49" s="10" t="n">
        <v>46061</v>
      </c>
      <c r="EA49" s="9" t="n">
        <v>0</v>
      </c>
      <c r="EC49" s="9" t="n">
        <v>0</v>
      </c>
      <c r="ED49" s="9" t="n">
        <v>3619.6</v>
      </c>
      <c r="EH49" s="10" t="n">
        <v>46061</v>
      </c>
      <c r="EJ49" s="9" t="n">
        <v>0</v>
      </c>
      <c r="EL49" s="9" t="n">
        <v>0</v>
      </c>
      <c r="EM49" s="9" t="n">
        <v>0</v>
      </c>
      <c r="EQ49" s="10" t="n">
        <v>46061</v>
      </c>
      <c r="ES49" s="9" t="n">
        <v>0</v>
      </c>
      <c r="EU49" s="9" t="n">
        <v>0</v>
      </c>
      <c r="EV49" s="9" t="n">
        <v>0</v>
      </c>
      <c r="EZ49" s="10" t="n">
        <v>46061</v>
      </c>
      <c r="FB49" s="9" t="n">
        <v>0</v>
      </c>
      <c r="FD49" s="9" t="n">
        <v>0</v>
      </c>
      <c r="FE49" s="9" t="n">
        <v>0</v>
      </c>
      <c r="FI49" s="10" t="n">
        <v>46061</v>
      </c>
      <c r="FK49" s="9" t="n">
        <v>0</v>
      </c>
      <c r="FM49" s="9" t="n">
        <v>0</v>
      </c>
      <c r="FN49" s="9" t="n">
        <v>0</v>
      </c>
      <c r="FR49" s="10" t="n">
        <v>46061</v>
      </c>
      <c r="FT49" s="9" t="n">
        <v>0</v>
      </c>
      <c r="FV49" s="9" t="n">
        <v>0</v>
      </c>
      <c r="FW49" s="9" t="n">
        <v>3540</v>
      </c>
      <c r="GA49" s="10" t="n">
        <v>46061</v>
      </c>
      <c r="GC49" s="9" t="n">
        <v>0</v>
      </c>
      <c r="GE49" s="9" t="n">
        <v>0</v>
      </c>
      <c r="GF49" s="9" t="n">
        <v>5960</v>
      </c>
      <c r="GJ49" s="10" t="n">
        <v>46061</v>
      </c>
      <c r="GL49" s="9" t="n">
        <v>0</v>
      </c>
      <c r="GN49" s="9" t="n">
        <v>0</v>
      </c>
      <c r="GO49" s="9" t="n">
        <v>3240</v>
      </c>
      <c r="GS49" s="10" t="n">
        <v>46061</v>
      </c>
      <c r="GU49" s="9" t="n">
        <v>0</v>
      </c>
      <c r="GW49" s="9" t="n">
        <v>0</v>
      </c>
      <c r="GX49" s="9" t="n">
        <v>0</v>
      </c>
      <c r="HB49" s="10" t="n">
        <v>46061</v>
      </c>
      <c r="HD49" s="9" t="n">
        <v>0</v>
      </c>
      <c r="HF49" s="9" t="n">
        <v>0</v>
      </c>
      <c r="HG49" s="9" t="n">
        <v>0</v>
      </c>
      <c r="HK49" s="10" t="n">
        <v>46061</v>
      </c>
      <c r="HM49" s="9" t="n">
        <v>0</v>
      </c>
      <c r="HO49" s="9" t="n">
        <v>0</v>
      </c>
      <c r="HP49" s="9" t="n">
        <v>0</v>
      </c>
      <c r="HU49" s="10" t="n">
        <v>46061</v>
      </c>
      <c r="HW49" s="9" t="n">
        <v>0</v>
      </c>
      <c r="HY49" s="9" t="n">
        <v>0</v>
      </c>
      <c r="HZ49" s="9" t="n">
        <v>5120</v>
      </c>
      <c r="ID49" s="10" t="n">
        <v>46061</v>
      </c>
      <c r="IF49" s="9" t="n">
        <v>0</v>
      </c>
      <c r="IH49" s="9" t="n">
        <v>0</v>
      </c>
      <c r="II49" s="9" t="n">
        <v>5100</v>
      </c>
      <c r="IM49" s="10" t="n">
        <v>46061</v>
      </c>
      <c r="IO49" s="9" t="n">
        <v>0</v>
      </c>
      <c r="IQ49" s="9" t="n">
        <v>0</v>
      </c>
      <c r="IR49" s="9" t="n">
        <v>13040</v>
      </c>
      <c r="IV49" s="10" t="n">
        <v>46061</v>
      </c>
      <c r="IX49" s="9" t="n">
        <v>0</v>
      </c>
      <c r="IZ49" s="9" t="n">
        <v>0</v>
      </c>
      <c r="JA49" s="9" t="n">
        <v>13120</v>
      </c>
      <c r="JE49" s="10" t="n">
        <v>46061</v>
      </c>
      <c r="JG49" s="9" t="n">
        <v>0</v>
      </c>
      <c r="JI49" s="9" t="n">
        <v>0</v>
      </c>
      <c r="JJ49" s="9" t="n">
        <v>6800</v>
      </c>
      <c r="JN49" s="10" t="n">
        <v>46061</v>
      </c>
      <c r="JP49" s="9" t="n">
        <v>0</v>
      </c>
      <c r="JR49" s="9" t="n">
        <v>0</v>
      </c>
      <c r="JS49" s="9" t="n">
        <v>5400</v>
      </c>
      <c r="JW49" s="10" t="n">
        <v>46061</v>
      </c>
      <c r="JY49" s="9" t="n">
        <v>0</v>
      </c>
      <c r="KA49" s="9" t="n">
        <v>0</v>
      </c>
      <c r="KB49" s="9" t="n">
        <v>20</v>
      </c>
      <c r="KF49" s="10" t="n">
        <v>46061</v>
      </c>
      <c r="KH49" s="9" t="n">
        <v>0</v>
      </c>
      <c r="KJ49" s="9" t="n">
        <v>0</v>
      </c>
      <c r="KK49" s="9" t="n">
        <v>390</v>
      </c>
      <c r="KO49" s="10" t="n">
        <v>46061</v>
      </c>
      <c r="KQ49" s="9" t="n">
        <v>0</v>
      </c>
      <c r="KS49" s="9" t="n">
        <v>0</v>
      </c>
      <c r="KT49" s="9" t="n">
        <v>10319.4</v>
      </c>
      <c r="KX49" s="10" t="n">
        <v>46061</v>
      </c>
      <c r="KZ49" s="9" t="n">
        <v>0</v>
      </c>
      <c r="LB49" s="9" t="n">
        <v>0</v>
      </c>
      <c r="LC49" s="9" t="n">
        <v>0</v>
      </c>
      <c r="LG49" s="10" t="n">
        <v>46061</v>
      </c>
      <c r="LI49" s="9" t="n">
        <v>0</v>
      </c>
      <c r="LK49" s="9" t="n">
        <v>0</v>
      </c>
      <c r="LL49" s="9" t="n">
        <v>0</v>
      </c>
      <c r="LP49" s="10" t="n">
        <v>46061</v>
      </c>
      <c r="LR49" s="9" t="n">
        <v>0</v>
      </c>
      <c r="LT49" s="9" t="n">
        <v>0</v>
      </c>
      <c r="LU49" s="9" t="n">
        <v>0</v>
      </c>
      <c r="LY49" s="10" t="n">
        <v>46061</v>
      </c>
      <c r="MA49" s="9" t="n">
        <v>0</v>
      </c>
      <c r="MC49" s="9" t="n">
        <v>0</v>
      </c>
      <c r="MD49" s="9" t="n">
        <v>0</v>
      </c>
      <c r="MH49" s="10" t="n">
        <v>46061</v>
      </c>
      <c r="MJ49" s="9" t="n">
        <v>0</v>
      </c>
      <c r="ML49" s="9" t="n">
        <v>0</v>
      </c>
      <c r="MM49" s="9" t="n">
        <v>0</v>
      </c>
      <c r="MQ49" s="10" t="n">
        <v>46061</v>
      </c>
      <c r="MS49" s="9" t="n">
        <v>0</v>
      </c>
      <c r="MU49" s="9" t="n">
        <v>0</v>
      </c>
      <c r="MV49" s="9" t="n">
        <v>1285</v>
      </c>
      <c r="MZ49" s="10" t="n">
        <v>46061</v>
      </c>
      <c r="NB49" s="9" t="n">
        <v>0</v>
      </c>
      <c r="ND49" s="9" t="n">
        <v>0</v>
      </c>
      <c r="NE49" s="9" t="n">
        <v>0</v>
      </c>
      <c r="NI49" s="10" t="n">
        <v>46061</v>
      </c>
      <c r="NK49" s="9" t="n">
        <v>0</v>
      </c>
      <c r="NM49" s="9" t="n">
        <v>0</v>
      </c>
      <c r="NN49" s="9" t="n">
        <v>0</v>
      </c>
      <c r="NR49" s="10" t="n">
        <v>46061</v>
      </c>
      <c r="NT49" s="9" t="n">
        <v>0</v>
      </c>
      <c r="NV49" s="9" t="n">
        <v>0</v>
      </c>
      <c r="NW49" s="9" t="n">
        <v>2224.4</v>
      </c>
      <c r="OA49" s="10" t="n">
        <v>46061</v>
      </c>
      <c r="OC49" s="9" t="n">
        <v>0</v>
      </c>
      <c r="OE49" s="9" t="n">
        <v>0</v>
      </c>
      <c r="OF49" s="9" t="n">
        <v>1680.5</v>
      </c>
      <c r="OJ49" s="10" t="n">
        <v>46061</v>
      </c>
      <c r="OL49" s="9" t="n">
        <v>0</v>
      </c>
      <c r="ON49" s="9" t="n">
        <v>0</v>
      </c>
      <c r="OO49" s="9" t="n">
        <v>0</v>
      </c>
      <c r="OS49" s="10" t="n">
        <v>46061</v>
      </c>
      <c r="OU49" s="9" t="n">
        <v>0</v>
      </c>
      <c r="OW49" s="9" t="n">
        <v>0</v>
      </c>
      <c r="OX49" s="9" t="n">
        <v>0</v>
      </c>
      <c r="PB49" s="10" t="n">
        <v>46061</v>
      </c>
      <c r="PD49" s="9" t="n">
        <v>0</v>
      </c>
      <c r="PF49" s="9" t="n">
        <v>0</v>
      </c>
      <c r="PG49" s="9" t="n">
        <v>0</v>
      </c>
      <c r="PK49" s="10" t="n">
        <v>46061</v>
      </c>
      <c r="PM49" s="9" t="n">
        <v>0</v>
      </c>
      <c r="PO49" s="9" t="n">
        <v>0</v>
      </c>
      <c r="PP49" s="9" t="n">
        <v>160</v>
      </c>
      <c r="PT49" s="10" t="n">
        <v>46061</v>
      </c>
      <c r="PV49" s="9" t="n">
        <v>0</v>
      </c>
      <c r="PX49" s="9" t="n">
        <v>0</v>
      </c>
      <c r="PY49" s="9" t="n">
        <v>13.96000000000004</v>
      </c>
      <c r="QC49" s="10" t="n">
        <v>46061</v>
      </c>
      <c r="QE49" s="9" t="n">
        <v>0</v>
      </c>
      <c r="QG49" s="9" t="n">
        <v>0</v>
      </c>
      <c r="QH49" s="9" t="n">
        <v>0</v>
      </c>
      <c r="QL49" s="10" t="n">
        <v>46061</v>
      </c>
      <c r="QN49" s="9" t="n">
        <v>0</v>
      </c>
      <c r="QP49" s="9" t="n">
        <v>0</v>
      </c>
      <c r="QQ49" s="9" t="n">
        <v>0</v>
      </c>
      <c r="QU49" s="10" t="n">
        <v>46061</v>
      </c>
      <c r="QW49" s="9" t="n">
        <v>0</v>
      </c>
      <c r="QY49" s="9" t="n">
        <v>0</v>
      </c>
      <c r="QZ49" s="9" t="n">
        <v>207.6</v>
      </c>
      <c r="RD49" s="10" t="n">
        <v>46061</v>
      </c>
      <c r="RF49" s="9" t="n">
        <v>0</v>
      </c>
      <c r="RH49" s="9" t="n">
        <v>0</v>
      </c>
      <c r="RI49" s="9" t="n">
        <v>201.8</v>
      </c>
      <c r="RM49" s="10" t="n">
        <v>46061</v>
      </c>
      <c r="RO49" s="9" t="n">
        <v>0</v>
      </c>
      <c r="RQ49" s="9" t="n">
        <v>0</v>
      </c>
      <c r="RR49" s="9" t="n">
        <v>22.72</v>
      </c>
      <c r="RV49" s="10" t="n">
        <v>46061</v>
      </c>
      <c r="RX49" s="9" t="n">
        <v>0</v>
      </c>
      <c r="RZ49" s="9" t="n">
        <v>0</v>
      </c>
      <c r="SA49" s="9" t="n">
        <v>0</v>
      </c>
      <c r="SE49" s="10" t="n">
        <v>46061</v>
      </c>
      <c r="SG49" s="9" t="n">
        <v>0</v>
      </c>
      <c r="SI49" s="9" t="n">
        <v>0</v>
      </c>
      <c r="SJ49" s="9" t="n">
        <v>0</v>
      </c>
      <c r="SN49" s="10" t="n">
        <v>46061</v>
      </c>
      <c r="SP49" s="9" t="n">
        <v>0</v>
      </c>
      <c r="SR49" s="9" t="n">
        <v>0</v>
      </c>
      <c r="SS49" s="9" t="n">
        <v>0</v>
      </c>
      <c r="SW49" s="10" t="n">
        <v>46061</v>
      </c>
      <c r="SY49" s="9" t="n">
        <v>0</v>
      </c>
      <c r="TA49" s="9" t="n">
        <v>0</v>
      </c>
      <c r="TB49" s="9" t="n">
        <v>0</v>
      </c>
      <c r="TF49" s="10" t="n">
        <v>46061</v>
      </c>
      <c r="TH49" s="9" t="n">
        <v>0</v>
      </c>
      <c r="TJ49" s="9" t="n">
        <v>0</v>
      </c>
      <c r="TK49" s="9" t="n">
        <v>0</v>
      </c>
      <c r="TO49" s="10" t="n">
        <v>46061</v>
      </c>
      <c r="TQ49" s="9" t="n">
        <v>0</v>
      </c>
      <c r="TS49" s="9" t="n">
        <v>0</v>
      </c>
      <c r="TT49" s="9" t="n">
        <v>0</v>
      </c>
      <c r="TX49" s="10" t="n">
        <v>46061</v>
      </c>
      <c r="TZ49" s="9" t="n">
        <v>0</v>
      </c>
      <c r="UB49" s="9" t="n">
        <v>0</v>
      </c>
      <c r="UC49" s="9" t="n">
        <v>0</v>
      </c>
      <c r="UG49" s="10" t="n">
        <v>46061</v>
      </c>
      <c r="UI49" s="9" t="n">
        <v>0</v>
      </c>
      <c r="UK49" s="9" t="n">
        <v>0</v>
      </c>
      <c r="UL49" s="9" t="n">
        <v>0</v>
      </c>
      <c r="UP49" s="10" t="n">
        <v>46061</v>
      </c>
      <c r="UR49" s="9" t="n">
        <v>0</v>
      </c>
      <c r="UT49" s="9" t="n">
        <v>0</v>
      </c>
      <c r="UU49" s="9" t="n">
        <v>0</v>
      </c>
      <c r="UY49" s="10" t="n">
        <v>46061</v>
      </c>
      <c r="VA49" s="9" t="n">
        <v>0</v>
      </c>
      <c r="VC49" s="9" t="n">
        <v>0</v>
      </c>
      <c r="VD49" s="9" t="n">
        <v>41.60000000000002</v>
      </c>
      <c r="VH49" s="10" t="n">
        <v>46061</v>
      </c>
      <c r="VJ49" s="9" t="n">
        <v>0</v>
      </c>
      <c r="VL49" s="9" t="n">
        <v>0</v>
      </c>
      <c r="VM49" s="9" t="n">
        <v>0</v>
      </c>
      <c r="VQ49" s="10" t="n">
        <v>46061</v>
      </c>
      <c r="VS49" s="9" t="n">
        <v>0</v>
      </c>
      <c r="VU49" s="9" t="n">
        <v>0</v>
      </c>
      <c r="VV49" s="9" t="n">
        <v>0</v>
      </c>
      <c r="VZ49" s="10" t="n">
        <v>46061</v>
      </c>
      <c r="WB49" s="9" t="n">
        <v>0</v>
      </c>
      <c r="WD49" s="9" t="n">
        <v>0</v>
      </c>
      <c r="WE49" s="9" t="n">
        <v>0</v>
      </c>
      <c r="WI49" s="10" t="n">
        <v>46061</v>
      </c>
      <c r="WK49" s="9" t="n">
        <v>0</v>
      </c>
      <c r="WM49" s="9" t="n">
        <v>0</v>
      </c>
      <c r="WN49" s="9" t="n">
        <v>9609</v>
      </c>
      <c r="WR49" s="10" t="n">
        <v>46061</v>
      </c>
      <c r="WT49" s="9" t="n">
        <v>0</v>
      </c>
      <c r="WV49" s="9" t="n">
        <v>0</v>
      </c>
      <c r="WW49" s="9" t="n">
        <v>8149</v>
      </c>
      <c r="XA49" s="10" t="n">
        <v>46061</v>
      </c>
      <c r="XC49" s="9" t="n">
        <v>0</v>
      </c>
      <c r="XE49" s="9" t="n">
        <v>0</v>
      </c>
      <c r="XF49" s="9" t="n">
        <v>590</v>
      </c>
      <c r="XJ49" s="10" t="n">
        <v>46061</v>
      </c>
      <c r="XL49" s="9" t="n">
        <v>0</v>
      </c>
      <c r="XN49" s="9" t="n">
        <v>0</v>
      </c>
      <c r="XO49" s="9" t="n">
        <v>2090</v>
      </c>
      <c r="XS49" s="10" t="n">
        <v>46061</v>
      </c>
      <c r="XU49" s="9" t="n">
        <v>0</v>
      </c>
      <c r="XW49" s="9" t="n">
        <v>0</v>
      </c>
      <c r="XX49" s="9" t="n">
        <v>1901</v>
      </c>
      <c r="YB49" s="10" t="n">
        <v>46061</v>
      </c>
      <c r="YD49" s="9" t="n">
        <v>0</v>
      </c>
      <c r="YF49" s="9" t="n">
        <v>0</v>
      </c>
      <c r="YG49" s="9" t="n">
        <v>1370</v>
      </c>
      <c r="YK49" s="10" t="n">
        <v>46061</v>
      </c>
      <c r="YM49" s="9" t="n">
        <v>0</v>
      </c>
      <c r="YO49" s="9" t="n">
        <v>0</v>
      </c>
      <c r="YP49" s="9" t="n">
        <v>0</v>
      </c>
      <c r="YT49" s="10" t="n">
        <v>46061</v>
      </c>
      <c r="YV49" s="9" t="n">
        <v>0</v>
      </c>
      <c r="YX49" s="9" t="n">
        <v>0</v>
      </c>
      <c r="YY49" s="9" t="n">
        <v>0</v>
      </c>
      <c r="ZC49" s="10" t="n">
        <v>46061</v>
      </c>
      <c r="ZE49" s="9" t="n">
        <v>0</v>
      </c>
      <c r="ZG49" s="9" t="n">
        <v>0</v>
      </c>
      <c r="ZH49" s="9" t="n">
        <v>0</v>
      </c>
      <c r="ZL49" s="10" t="n">
        <v>46061</v>
      </c>
      <c r="ZN49" s="9" t="n">
        <v>0</v>
      </c>
      <c r="ZP49" s="9" t="n">
        <v>0</v>
      </c>
      <c r="ZQ49" s="9" t="n">
        <v>0</v>
      </c>
      <c r="ZU49" s="10" t="n">
        <v>46061</v>
      </c>
      <c r="ZW49" s="9" t="n">
        <v>0</v>
      </c>
      <c r="ZY49" s="9" t="n">
        <v>0</v>
      </c>
      <c r="ZZ49" s="9" t="n">
        <v>0</v>
      </c>
      <c r="AAD49" s="10" t="n">
        <v>46061</v>
      </c>
      <c r="AAF49" s="9" t="n">
        <v>0</v>
      </c>
      <c r="AAH49" s="9" t="n">
        <v>0</v>
      </c>
      <c r="AAI49" s="9" t="n">
        <v>0</v>
      </c>
      <c r="AAM49" s="10" t="n">
        <v>46061</v>
      </c>
      <c r="AAO49" s="9" t="n">
        <v>0</v>
      </c>
      <c r="AAQ49" s="9" t="n">
        <v>0</v>
      </c>
      <c r="AAR49" s="9" t="n">
        <v>0</v>
      </c>
      <c r="AAV49" s="10" t="n">
        <v>46061</v>
      </c>
      <c r="AAX49" s="9" t="n">
        <v>0</v>
      </c>
      <c r="AAZ49" s="9" t="n">
        <v>0</v>
      </c>
      <c r="ABA49" s="9" t="n">
        <v>0</v>
      </c>
      <c r="ABE49" s="10" t="n">
        <v>46061</v>
      </c>
      <c r="ABG49" s="9" t="n">
        <v>0</v>
      </c>
      <c r="ABI49" s="9" t="n">
        <v>0</v>
      </c>
      <c r="ABJ49" s="9" t="n">
        <v>0</v>
      </c>
    </row>
    <row r="50">
      <c r="B50" s="9" t="n">
        <v>120</v>
      </c>
      <c r="C50" s="10" t="n">
        <v>46062</v>
      </c>
      <c r="D50" s="9" t="n">
        <v>46260</v>
      </c>
      <c r="E50" s="9" t="n">
        <v>64500</v>
      </c>
      <c r="F50" s="9" t="n">
        <v>64502.8</v>
      </c>
      <c r="G50" s="9" t="n">
        <v>-2.80000000000291</v>
      </c>
      <c r="H50" s="9" t="n">
        <v>158695</v>
      </c>
      <c r="I50" s="9" t="inlineStr">
        <is>
          <t>8102 120mt</t>
        </is>
      </c>
      <c r="L50" s="10" t="n">
        <v>46062</v>
      </c>
      <c r="M50" s="9" t="n">
        <v>27600</v>
      </c>
      <c r="N50" s="9" t="n">
        <v>33479.99999999999</v>
      </c>
      <c r="O50" s="9" t="n">
        <v>33478</v>
      </c>
      <c r="P50" s="9" t="n">
        <v>1.999999999992724</v>
      </c>
      <c r="Q50" s="9" t="n">
        <v>97306.40000000001</v>
      </c>
      <c r="U50" s="10" t="n">
        <v>46062</v>
      </c>
      <c r="W50" s="9" t="n">
        <v>6000</v>
      </c>
      <c r="X50" s="9" t="n">
        <v>6001.8</v>
      </c>
      <c r="Y50" s="9" t="n">
        <v>-1.800000000000182</v>
      </c>
      <c r="Z50" s="9" t="n">
        <v>57816.89999999998</v>
      </c>
      <c r="AD50" s="10" t="n">
        <v>46062</v>
      </c>
      <c r="AF50" s="9" t="n">
        <v>6000</v>
      </c>
      <c r="AG50" s="9" t="n">
        <v>6004.7</v>
      </c>
      <c r="AH50" s="9" t="n">
        <v>-4.699999999999818</v>
      </c>
      <c r="AI50" s="9" t="n">
        <v>41012.90000000002</v>
      </c>
      <c r="AM50" s="10" t="n">
        <v>46062</v>
      </c>
      <c r="AO50" s="9" t="n">
        <v>0</v>
      </c>
      <c r="AQ50" s="9" t="n">
        <v>0</v>
      </c>
      <c r="AR50" s="9" t="n">
        <v>0</v>
      </c>
      <c r="AV50" s="10" t="n">
        <v>46062</v>
      </c>
      <c r="AX50" s="9" t="n">
        <v>2400</v>
      </c>
      <c r="AY50" s="9" t="n">
        <v>2403.1</v>
      </c>
      <c r="AZ50" s="9" t="n">
        <v>-3.099999999999909</v>
      </c>
      <c r="BA50" s="9" t="n">
        <v>58284.99999999999</v>
      </c>
      <c r="BE50" s="10" t="n">
        <v>46062</v>
      </c>
      <c r="BG50" s="9" t="n">
        <v>2400</v>
      </c>
      <c r="BH50" s="9" t="n">
        <v>2401.4</v>
      </c>
      <c r="BI50" s="9" t="n">
        <v>-1.400000000000091</v>
      </c>
      <c r="BJ50" s="9" t="n">
        <v>34571.00000000001</v>
      </c>
      <c r="BN50" s="10" t="n">
        <v>46062</v>
      </c>
      <c r="BO50" s="9" t="n">
        <v>2400</v>
      </c>
      <c r="BP50" s="9" t="n">
        <v>2400</v>
      </c>
      <c r="BQ50" s="9" t="n">
        <v>2400</v>
      </c>
      <c r="BR50" s="9" t="n">
        <v>0</v>
      </c>
      <c r="BS50" s="9" t="n">
        <v>0</v>
      </c>
      <c r="BW50" s="10" t="n">
        <v>46062</v>
      </c>
      <c r="BX50" s="9" t="n">
        <v>2000</v>
      </c>
      <c r="BY50" s="9" t="n">
        <v>0</v>
      </c>
      <c r="CA50" s="9" t="n">
        <v>0</v>
      </c>
      <c r="CB50" s="9" t="n">
        <v>3487.1</v>
      </c>
      <c r="CF50" s="10" t="n">
        <v>46062</v>
      </c>
      <c r="CH50" s="9" t="n">
        <v>0</v>
      </c>
      <c r="CJ50" s="9" t="n">
        <v>0</v>
      </c>
      <c r="CK50" s="9" t="n">
        <v>0</v>
      </c>
      <c r="CO50" s="10" t="n">
        <v>46062</v>
      </c>
      <c r="CQ50" s="9" t="n">
        <v>0</v>
      </c>
      <c r="CS50" s="9" t="n">
        <v>0</v>
      </c>
      <c r="CT50" s="9" t="n">
        <v>0</v>
      </c>
      <c r="CX50" s="10" t="n">
        <v>46062</v>
      </c>
      <c r="CZ50" s="9" t="n">
        <v>0</v>
      </c>
      <c r="DB50" s="9" t="n">
        <v>0</v>
      </c>
      <c r="DC50" s="9" t="n">
        <v>16209.8</v>
      </c>
      <c r="DG50" s="10" t="n">
        <v>46062</v>
      </c>
      <c r="DI50" s="9" t="n">
        <v>0</v>
      </c>
      <c r="DK50" s="9" t="n">
        <v>0</v>
      </c>
      <c r="DL50" s="9" t="n">
        <v>18250.4</v>
      </c>
      <c r="DP50" s="10" t="n">
        <v>46062</v>
      </c>
      <c r="DR50" s="9" t="n">
        <v>0</v>
      </c>
      <c r="DT50" s="9" t="n">
        <v>0</v>
      </c>
      <c r="DU50" s="9" t="n">
        <v>0</v>
      </c>
      <c r="DY50" s="10" t="n">
        <v>46062</v>
      </c>
      <c r="EA50" s="9" t="n">
        <v>0</v>
      </c>
      <c r="EC50" s="9" t="n">
        <v>0</v>
      </c>
      <c r="ED50" s="9" t="n">
        <v>3619.6</v>
      </c>
      <c r="EH50" s="10" t="n">
        <v>46062</v>
      </c>
      <c r="EJ50" s="9" t="n">
        <v>0</v>
      </c>
      <c r="EL50" s="9" t="n">
        <v>0</v>
      </c>
      <c r="EM50" s="9" t="n">
        <v>0</v>
      </c>
      <c r="EQ50" s="10" t="n">
        <v>46062</v>
      </c>
      <c r="ES50" s="9" t="n">
        <v>0</v>
      </c>
      <c r="EU50" s="9" t="n">
        <v>0</v>
      </c>
      <c r="EV50" s="9" t="n">
        <v>0</v>
      </c>
      <c r="EZ50" s="10" t="n">
        <v>46062</v>
      </c>
      <c r="FB50" s="9" t="n">
        <v>0</v>
      </c>
      <c r="FD50" s="9" t="n">
        <v>0</v>
      </c>
      <c r="FE50" s="9" t="n">
        <v>0</v>
      </c>
      <c r="FI50" s="10" t="n">
        <v>46062</v>
      </c>
      <c r="FK50" s="9" t="n">
        <v>0</v>
      </c>
      <c r="FM50" s="9" t="n">
        <v>0</v>
      </c>
      <c r="FN50" s="9" t="n">
        <v>0</v>
      </c>
      <c r="FR50" s="10" t="n">
        <v>46062</v>
      </c>
      <c r="FT50" s="9" t="n">
        <v>0</v>
      </c>
      <c r="FV50" s="9" t="n">
        <v>0</v>
      </c>
      <c r="FW50" s="9" t="n">
        <v>3540</v>
      </c>
      <c r="GA50" s="10" t="n">
        <v>46062</v>
      </c>
      <c r="GC50" s="9" t="n">
        <v>0</v>
      </c>
      <c r="GE50" s="9" t="n">
        <v>0</v>
      </c>
      <c r="GF50" s="9" t="n">
        <v>5960</v>
      </c>
      <c r="GJ50" s="10" t="n">
        <v>46062</v>
      </c>
      <c r="GL50" s="9" t="n">
        <v>0</v>
      </c>
      <c r="GN50" s="9" t="n">
        <v>0</v>
      </c>
      <c r="GO50" s="9" t="n">
        <v>3240</v>
      </c>
      <c r="GS50" s="10" t="n">
        <v>46062</v>
      </c>
      <c r="GU50" s="9" t="n">
        <v>0</v>
      </c>
      <c r="GW50" s="9" t="n">
        <v>0</v>
      </c>
      <c r="GX50" s="9" t="n">
        <v>0</v>
      </c>
      <c r="HB50" s="10" t="n">
        <v>46062</v>
      </c>
      <c r="HD50" s="9" t="n">
        <v>0</v>
      </c>
      <c r="HF50" s="9" t="n">
        <v>0</v>
      </c>
      <c r="HG50" s="9" t="n">
        <v>0</v>
      </c>
      <c r="HK50" s="10" t="n">
        <v>46062</v>
      </c>
      <c r="HM50" s="9" t="n">
        <v>0</v>
      </c>
      <c r="HO50" s="9" t="n">
        <v>0</v>
      </c>
      <c r="HP50" s="9" t="n">
        <v>0</v>
      </c>
      <c r="HU50" s="10" t="n">
        <v>46062</v>
      </c>
      <c r="HW50" s="9" t="n">
        <v>0</v>
      </c>
      <c r="HY50" s="9" t="n">
        <v>0</v>
      </c>
      <c r="HZ50" s="9" t="n">
        <v>5120</v>
      </c>
      <c r="ID50" s="10" t="n">
        <v>46062</v>
      </c>
      <c r="IF50" s="9" t="n">
        <v>0</v>
      </c>
      <c r="IH50" s="9" t="n">
        <v>0</v>
      </c>
      <c r="II50" s="9" t="n">
        <v>5100</v>
      </c>
      <c r="IM50" s="10" t="n">
        <v>46062</v>
      </c>
      <c r="IO50" s="9" t="n">
        <v>2400</v>
      </c>
      <c r="IQ50" s="9" t="n">
        <v>2400</v>
      </c>
      <c r="IR50" s="9" t="n">
        <v>13040</v>
      </c>
      <c r="IV50" s="10" t="n">
        <v>46062</v>
      </c>
      <c r="IX50" s="9" t="n">
        <v>0</v>
      </c>
      <c r="IZ50" s="9" t="n">
        <v>0</v>
      </c>
      <c r="JA50" s="9" t="n">
        <v>13120</v>
      </c>
      <c r="JE50" s="10" t="n">
        <v>46062</v>
      </c>
      <c r="JG50" s="9" t="n">
        <v>0</v>
      </c>
      <c r="JI50" s="9" t="n">
        <v>0</v>
      </c>
      <c r="JJ50" s="9" t="n">
        <v>6800</v>
      </c>
      <c r="JN50" s="10" t="n">
        <v>46062</v>
      </c>
      <c r="JP50" s="9" t="n">
        <v>0</v>
      </c>
      <c r="JR50" s="9" t="n">
        <v>0</v>
      </c>
      <c r="JS50" s="9" t="n">
        <v>5400</v>
      </c>
      <c r="JW50" s="10" t="n">
        <v>46062</v>
      </c>
      <c r="JY50" s="9" t="n">
        <v>0</v>
      </c>
      <c r="KA50" s="9" t="n">
        <v>0</v>
      </c>
      <c r="KB50" s="9" t="n">
        <v>20</v>
      </c>
      <c r="KF50" s="10" t="n">
        <v>46062</v>
      </c>
      <c r="KH50" s="9" t="n">
        <v>0</v>
      </c>
      <c r="KJ50" s="9" t="n">
        <v>0</v>
      </c>
      <c r="KK50" s="9" t="n">
        <v>390</v>
      </c>
      <c r="KO50" s="10" t="n">
        <v>46062</v>
      </c>
      <c r="KQ50" s="9" t="n">
        <v>0</v>
      </c>
      <c r="KS50" s="9" t="n">
        <v>0</v>
      </c>
      <c r="KT50" s="9" t="n">
        <v>10319.4</v>
      </c>
      <c r="KX50" s="10" t="n">
        <v>46062</v>
      </c>
      <c r="KZ50" s="9" t="n">
        <v>0</v>
      </c>
      <c r="LB50" s="9" t="n">
        <v>0</v>
      </c>
      <c r="LC50" s="9" t="n">
        <v>0</v>
      </c>
      <c r="LG50" s="10" t="n">
        <v>46062</v>
      </c>
      <c r="LI50" s="9" t="n">
        <v>0</v>
      </c>
      <c r="LK50" s="9" t="n">
        <v>0</v>
      </c>
      <c r="LL50" s="9" t="n">
        <v>0</v>
      </c>
      <c r="LP50" s="10" t="n">
        <v>46062</v>
      </c>
      <c r="LR50" s="9" t="n">
        <v>0</v>
      </c>
      <c r="LT50" s="9" t="n">
        <v>0</v>
      </c>
      <c r="LU50" s="9" t="n">
        <v>0</v>
      </c>
      <c r="LY50" s="10" t="n">
        <v>46062</v>
      </c>
      <c r="MA50" s="9" t="n">
        <v>0</v>
      </c>
      <c r="MC50" s="9" t="n">
        <v>0</v>
      </c>
      <c r="MD50" s="9" t="n">
        <v>0</v>
      </c>
      <c r="MH50" s="10" t="n">
        <v>46062</v>
      </c>
      <c r="MJ50" s="9" t="n">
        <v>0</v>
      </c>
      <c r="ML50" s="9" t="n">
        <v>0</v>
      </c>
      <c r="MM50" s="9" t="n">
        <v>0</v>
      </c>
      <c r="MQ50" s="10" t="n">
        <v>46062</v>
      </c>
      <c r="MS50" s="9" t="n">
        <v>60</v>
      </c>
      <c r="MU50" s="9" t="n">
        <v>60</v>
      </c>
      <c r="MV50" s="9" t="n">
        <v>1285</v>
      </c>
      <c r="MZ50" s="10" t="n">
        <v>46062</v>
      </c>
      <c r="NB50" s="9" t="n">
        <v>360</v>
      </c>
      <c r="ND50" s="9" t="n">
        <v>360</v>
      </c>
      <c r="NE50" s="9" t="n">
        <v>0</v>
      </c>
      <c r="NI50" s="10" t="n">
        <v>46062</v>
      </c>
      <c r="NK50" s="9" t="n">
        <v>0</v>
      </c>
      <c r="NM50" s="9" t="n">
        <v>0</v>
      </c>
      <c r="NN50" s="9" t="n">
        <v>0</v>
      </c>
      <c r="NR50" s="10" t="n">
        <v>46062</v>
      </c>
      <c r="NT50" s="9" t="n">
        <v>0</v>
      </c>
      <c r="NV50" s="9" t="n">
        <v>0</v>
      </c>
      <c r="NW50" s="9" t="n">
        <v>2224.4</v>
      </c>
      <c r="OA50" s="10" t="n">
        <v>46062</v>
      </c>
      <c r="OC50" s="9" t="n">
        <v>0</v>
      </c>
      <c r="OE50" s="9" t="n">
        <v>0</v>
      </c>
      <c r="OF50" s="9" t="n">
        <v>1680.5</v>
      </c>
      <c r="OJ50" s="10" t="n">
        <v>46062</v>
      </c>
      <c r="OL50" s="9" t="n">
        <v>0</v>
      </c>
      <c r="ON50" s="9" t="n">
        <v>0</v>
      </c>
      <c r="OO50" s="9" t="n">
        <v>0</v>
      </c>
      <c r="OS50" s="10" t="n">
        <v>46062</v>
      </c>
      <c r="OU50" s="9" t="n">
        <v>0</v>
      </c>
      <c r="OW50" s="9" t="n">
        <v>0</v>
      </c>
      <c r="OX50" s="9" t="n">
        <v>0</v>
      </c>
      <c r="PB50" s="10" t="n">
        <v>46062</v>
      </c>
      <c r="PD50" s="9" t="n">
        <v>0</v>
      </c>
      <c r="PF50" s="9" t="n">
        <v>0</v>
      </c>
      <c r="PG50" s="9" t="n">
        <v>0</v>
      </c>
      <c r="PK50" s="10" t="n">
        <v>46062</v>
      </c>
      <c r="PM50" s="9" t="n">
        <v>0</v>
      </c>
      <c r="PO50" s="9" t="n">
        <v>0</v>
      </c>
      <c r="PP50" s="9" t="n">
        <v>160</v>
      </c>
      <c r="PT50" s="10" t="n">
        <v>46062</v>
      </c>
      <c r="PV50" s="9" t="n">
        <v>0</v>
      </c>
      <c r="PX50" s="9" t="n">
        <v>0</v>
      </c>
      <c r="PY50" s="9" t="n">
        <v>13.96000000000004</v>
      </c>
      <c r="QC50" s="10" t="n">
        <v>46062</v>
      </c>
      <c r="QE50" s="9" t="n">
        <v>0</v>
      </c>
      <c r="QG50" s="9" t="n">
        <v>0</v>
      </c>
      <c r="QH50" s="9" t="n">
        <v>0</v>
      </c>
      <c r="QL50" s="10" t="n">
        <v>46062</v>
      </c>
      <c r="QN50" s="9" t="n">
        <v>0</v>
      </c>
      <c r="QP50" s="9" t="n">
        <v>0</v>
      </c>
      <c r="QQ50" s="9" t="n">
        <v>0</v>
      </c>
      <c r="QU50" s="10" t="n">
        <v>46062</v>
      </c>
      <c r="QW50" s="9" t="n">
        <v>0</v>
      </c>
      <c r="QY50" s="9" t="n">
        <v>0</v>
      </c>
      <c r="QZ50" s="9" t="n">
        <v>207.6</v>
      </c>
      <c r="RD50" s="10" t="n">
        <v>46062</v>
      </c>
      <c r="RF50" s="9" t="n">
        <v>0</v>
      </c>
      <c r="RH50" s="9" t="n">
        <v>0</v>
      </c>
      <c r="RI50" s="9" t="n">
        <v>201.8</v>
      </c>
      <c r="RM50" s="10" t="n">
        <v>46062</v>
      </c>
      <c r="RO50" s="9" t="n">
        <v>0</v>
      </c>
      <c r="RQ50" s="9" t="n">
        <v>0</v>
      </c>
      <c r="RR50" s="9" t="n">
        <v>22.72</v>
      </c>
      <c r="RV50" s="10" t="n">
        <v>46062</v>
      </c>
      <c r="RX50" s="9" t="n">
        <v>0</v>
      </c>
      <c r="RZ50" s="9" t="n">
        <v>0</v>
      </c>
      <c r="SA50" s="9" t="n">
        <v>0</v>
      </c>
      <c r="SE50" s="10" t="n">
        <v>46062</v>
      </c>
      <c r="SG50" s="9" t="n">
        <v>0</v>
      </c>
      <c r="SI50" s="9" t="n">
        <v>0</v>
      </c>
      <c r="SJ50" s="9" t="n">
        <v>0</v>
      </c>
      <c r="SN50" s="10" t="n">
        <v>46062</v>
      </c>
      <c r="SP50" s="9" t="n">
        <v>0</v>
      </c>
      <c r="SR50" s="9" t="n">
        <v>0</v>
      </c>
      <c r="SS50" s="9" t="n">
        <v>0</v>
      </c>
      <c r="SW50" s="10" t="n">
        <v>46062</v>
      </c>
      <c r="SY50" s="9" t="n">
        <v>0</v>
      </c>
      <c r="TA50" s="9" t="n">
        <v>0</v>
      </c>
      <c r="TB50" s="9" t="n">
        <v>0</v>
      </c>
      <c r="TF50" s="10" t="n">
        <v>46062</v>
      </c>
      <c r="TH50" s="9" t="n">
        <v>0</v>
      </c>
      <c r="TJ50" s="9" t="n">
        <v>0</v>
      </c>
      <c r="TK50" s="9" t="n">
        <v>0</v>
      </c>
      <c r="TO50" s="10" t="n">
        <v>46062</v>
      </c>
      <c r="TQ50" s="9" t="n">
        <v>0</v>
      </c>
      <c r="TS50" s="9" t="n">
        <v>0</v>
      </c>
      <c r="TT50" s="9" t="n">
        <v>0</v>
      </c>
      <c r="TX50" s="10" t="n">
        <v>46062</v>
      </c>
      <c r="TZ50" s="9" t="n">
        <v>0</v>
      </c>
      <c r="UB50" s="9" t="n">
        <v>0</v>
      </c>
      <c r="UC50" s="9" t="n">
        <v>0</v>
      </c>
      <c r="UG50" s="10" t="n">
        <v>46062</v>
      </c>
      <c r="UI50" s="9" t="n">
        <v>0</v>
      </c>
      <c r="UK50" s="9" t="n">
        <v>0</v>
      </c>
      <c r="UL50" s="9" t="n">
        <v>0</v>
      </c>
      <c r="UP50" s="10" t="n">
        <v>46062</v>
      </c>
      <c r="UR50" s="9" t="n">
        <v>0</v>
      </c>
      <c r="UT50" s="9" t="n">
        <v>0</v>
      </c>
      <c r="UU50" s="9" t="n">
        <v>0</v>
      </c>
      <c r="UY50" s="10" t="n">
        <v>46062</v>
      </c>
      <c r="VA50" s="9" t="n">
        <v>0</v>
      </c>
      <c r="VC50" s="9" t="n">
        <v>0</v>
      </c>
      <c r="VD50" s="9" t="n">
        <v>41.60000000000002</v>
      </c>
      <c r="VH50" s="10" t="n">
        <v>46062</v>
      </c>
      <c r="VJ50" s="9" t="n">
        <v>0</v>
      </c>
      <c r="VL50" s="9" t="n">
        <v>0</v>
      </c>
      <c r="VM50" s="9" t="n">
        <v>0</v>
      </c>
      <c r="VQ50" s="10" t="n">
        <v>46062</v>
      </c>
      <c r="VS50" s="9" t="n">
        <v>0</v>
      </c>
      <c r="VU50" s="9" t="n">
        <v>0</v>
      </c>
      <c r="VV50" s="9" t="n">
        <v>0</v>
      </c>
      <c r="VZ50" s="10" t="n">
        <v>46062</v>
      </c>
      <c r="WB50" s="9" t="n">
        <v>0</v>
      </c>
      <c r="WD50" s="9" t="n">
        <v>0</v>
      </c>
      <c r="WE50" s="9" t="n">
        <v>0</v>
      </c>
      <c r="WI50" s="10" t="n">
        <v>46062</v>
      </c>
      <c r="WK50" s="9" t="n">
        <v>0</v>
      </c>
      <c r="WM50" s="9" t="n">
        <v>0</v>
      </c>
      <c r="WN50" s="9" t="n">
        <v>9609</v>
      </c>
      <c r="WR50" s="10" t="n">
        <v>46062</v>
      </c>
      <c r="WT50" s="9" t="n">
        <v>0</v>
      </c>
      <c r="WV50" s="9" t="n">
        <v>0</v>
      </c>
      <c r="WW50" s="9" t="n">
        <v>8149</v>
      </c>
      <c r="XA50" s="10" t="n">
        <v>46062</v>
      </c>
      <c r="XC50" s="9" t="n">
        <v>0</v>
      </c>
      <c r="XE50" s="9" t="n">
        <v>0</v>
      </c>
      <c r="XF50" s="9" t="n">
        <v>590</v>
      </c>
      <c r="XJ50" s="10" t="n">
        <v>46062</v>
      </c>
      <c r="XL50" s="9" t="n">
        <v>0</v>
      </c>
      <c r="XN50" s="9" t="n">
        <v>0</v>
      </c>
      <c r="XO50" s="9" t="n">
        <v>2090</v>
      </c>
      <c r="XS50" s="10" t="n">
        <v>46062</v>
      </c>
      <c r="XU50" s="9" t="n">
        <v>0</v>
      </c>
      <c r="XW50" s="9" t="n">
        <v>0</v>
      </c>
      <c r="XX50" s="9" t="n">
        <v>1901</v>
      </c>
      <c r="YB50" s="10" t="n">
        <v>46062</v>
      </c>
      <c r="YD50" s="9" t="n">
        <v>0</v>
      </c>
      <c r="YE50" s="9" t="n">
        <v>1407</v>
      </c>
      <c r="YF50" s="9" t="n">
        <v>-1407</v>
      </c>
      <c r="YG50" s="9" t="n">
        <v>-37</v>
      </c>
      <c r="YK50" s="10" t="n">
        <v>46062</v>
      </c>
      <c r="YM50" s="9" t="n">
        <v>0</v>
      </c>
      <c r="YO50" s="9" t="n">
        <v>0</v>
      </c>
      <c r="YP50" s="9" t="n">
        <v>0</v>
      </c>
      <c r="YT50" s="10" t="n">
        <v>46062</v>
      </c>
      <c r="YV50" s="9" t="n">
        <v>0</v>
      </c>
      <c r="YX50" s="9" t="n">
        <v>0</v>
      </c>
      <c r="YY50" s="9" t="n">
        <v>0</v>
      </c>
      <c r="ZC50" s="10" t="n">
        <v>46062</v>
      </c>
      <c r="ZE50" s="9" t="n">
        <v>0</v>
      </c>
      <c r="ZG50" s="9" t="n">
        <v>0</v>
      </c>
      <c r="ZH50" s="9" t="n">
        <v>0</v>
      </c>
      <c r="ZL50" s="10" t="n">
        <v>46062</v>
      </c>
      <c r="ZN50" s="9" t="n">
        <v>0</v>
      </c>
      <c r="ZP50" s="9" t="n">
        <v>0</v>
      </c>
      <c r="ZQ50" s="9" t="n">
        <v>0</v>
      </c>
      <c r="ZU50" s="10" t="n">
        <v>46062</v>
      </c>
      <c r="ZW50" s="9" t="n">
        <v>0</v>
      </c>
      <c r="ZY50" s="9" t="n">
        <v>0</v>
      </c>
      <c r="ZZ50" s="9" t="n">
        <v>0</v>
      </c>
      <c r="AAD50" s="10" t="n">
        <v>46062</v>
      </c>
      <c r="AAF50" s="9" t="n">
        <v>0</v>
      </c>
      <c r="AAH50" s="9" t="n">
        <v>0</v>
      </c>
      <c r="AAI50" s="9" t="n">
        <v>0</v>
      </c>
      <c r="AAM50" s="10" t="n">
        <v>46062</v>
      </c>
      <c r="AAO50" s="9" t="n">
        <v>0</v>
      </c>
      <c r="AAQ50" s="9" t="n">
        <v>0</v>
      </c>
      <c r="AAR50" s="9" t="n">
        <v>0</v>
      </c>
      <c r="AAV50" s="10" t="n">
        <v>46062</v>
      </c>
      <c r="AAX50" s="9" t="n">
        <v>0</v>
      </c>
      <c r="AAZ50" s="9" t="n">
        <v>0</v>
      </c>
      <c r="ABA50" s="9" t="n">
        <v>0</v>
      </c>
      <c r="ABE50" s="10" t="n">
        <v>46062</v>
      </c>
      <c r="ABG50" s="9" t="n">
        <v>0</v>
      </c>
      <c r="ABI50" s="9" t="n">
        <v>0</v>
      </c>
      <c r="ABJ50" s="9" t="n">
        <v>0</v>
      </c>
    </row>
    <row r="51">
      <c r="B51" s="9" t="n">
        <v>50</v>
      </c>
      <c r="C51" s="10" t="n">
        <v>46063</v>
      </c>
      <c r="D51" s="9" t="n">
        <v>13780</v>
      </c>
      <c r="E51" s="9" t="n">
        <v>26875</v>
      </c>
      <c r="F51" s="9" t="n">
        <v>26875.8</v>
      </c>
      <c r="G51" s="9" t="n">
        <v>-0.7999999999992724</v>
      </c>
      <c r="H51" s="9" t="n">
        <v>145599.2</v>
      </c>
      <c r="I51" s="9" t="inlineStr">
        <is>
          <t>8102 50mt</t>
        </is>
      </c>
      <c r="L51" s="10" t="n">
        <v>46063</v>
      </c>
      <c r="N51" s="9" t="n">
        <v>13950</v>
      </c>
      <c r="O51" s="9" t="n">
        <v>13949</v>
      </c>
      <c r="P51" s="9" t="n">
        <v>0.999999999996362</v>
      </c>
      <c r="Q51" s="9" t="n">
        <v>83357.40000000001</v>
      </c>
      <c r="U51" s="10" t="n">
        <v>46063</v>
      </c>
      <c r="W51" s="9" t="n">
        <v>2500</v>
      </c>
      <c r="X51" s="9" t="n">
        <v>2500.1</v>
      </c>
      <c r="Y51" s="9" t="n">
        <v>-0.09999999999990905</v>
      </c>
      <c r="Z51" s="9" t="n">
        <v>55316.79999999998</v>
      </c>
      <c r="AD51" s="10" t="n">
        <v>46063</v>
      </c>
      <c r="AF51" s="9" t="n">
        <v>2500</v>
      </c>
      <c r="AG51" s="9" t="n">
        <v>2498.2</v>
      </c>
      <c r="AH51" s="9" t="n">
        <v>1.800000000000182</v>
      </c>
      <c r="AI51" s="9" t="n">
        <v>38514.70000000002</v>
      </c>
      <c r="AM51" s="10" t="n">
        <v>46063</v>
      </c>
      <c r="AO51" s="9" t="n">
        <v>0</v>
      </c>
      <c r="AQ51" s="9" t="n">
        <v>0</v>
      </c>
      <c r="AR51" s="9" t="n">
        <v>0</v>
      </c>
      <c r="AV51" s="10" t="n">
        <v>46063</v>
      </c>
      <c r="AX51" s="9" t="n">
        <v>1000</v>
      </c>
      <c r="AY51" s="9" t="n">
        <v>999.8</v>
      </c>
      <c r="AZ51" s="9" t="n">
        <v>0.2000000000000455</v>
      </c>
      <c r="BA51" s="9" t="n">
        <v>57285.19999999999</v>
      </c>
      <c r="BE51" s="10" t="n">
        <v>46063</v>
      </c>
      <c r="BG51" s="9" t="n">
        <v>1000</v>
      </c>
      <c r="BH51" s="9" t="n">
        <v>1000.5</v>
      </c>
      <c r="BI51" s="9" t="n">
        <v>-0.5</v>
      </c>
      <c r="BJ51" s="9" t="n">
        <v>33570.50000000001</v>
      </c>
      <c r="BN51" s="10" t="n">
        <v>46063</v>
      </c>
      <c r="BO51" s="9" t="n">
        <v>1000</v>
      </c>
      <c r="BP51" s="9" t="n">
        <v>1000</v>
      </c>
      <c r="BQ51" s="9" t="n">
        <v>1000</v>
      </c>
      <c r="BR51" s="9" t="n">
        <v>0</v>
      </c>
      <c r="BS51" s="9" t="n">
        <v>0</v>
      </c>
      <c r="BW51" s="10" t="n">
        <v>46063</v>
      </c>
      <c r="BY51" s="9" t="n">
        <v>0</v>
      </c>
      <c r="CA51" s="9" t="n">
        <v>0</v>
      </c>
      <c r="CB51" s="9" t="n">
        <v>3487.1</v>
      </c>
      <c r="CF51" s="10" t="n">
        <v>46063</v>
      </c>
      <c r="CH51" s="9" t="n">
        <v>0</v>
      </c>
      <c r="CJ51" s="9" t="n">
        <v>0</v>
      </c>
      <c r="CK51" s="9" t="n">
        <v>0</v>
      </c>
      <c r="CO51" s="10" t="n">
        <v>46063</v>
      </c>
      <c r="CQ51" s="9" t="n">
        <v>0</v>
      </c>
      <c r="CS51" s="9" t="n">
        <v>0</v>
      </c>
      <c r="CT51" s="9" t="n">
        <v>0</v>
      </c>
      <c r="CX51" s="10" t="n">
        <v>46063</v>
      </c>
      <c r="CZ51" s="9" t="n">
        <v>0</v>
      </c>
      <c r="DB51" s="9" t="n">
        <v>0</v>
      </c>
      <c r="DC51" s="9" t="n">
        <v>16209.8</v>
      </c>
      <c r="DG51" s="10" t="n">
        <v>46063</v>
      </c>
      <c r="DI51" s="9" t="n">
        <v>0</v>
      </c>
      <c r="DK51" s="9" t="n">
        <v>0</v>
      </c>
      <c r="DL51" s="9" t="n">
        <v>18250.4</v>
      </c>
      <c r="DP51" s="10" t="n">
        <v>46063</v>
      </c>
      <c r="DR51" s="9" t="n">
        <v>0</v>
      </c>
      <c r="DT51" s="9" t="n">
        <v>0</v>
      </c>
      <c r="DU51" s="9" t="n">
        <v>0</v>
      </c>
      <c r="DY51" s="10" t="n">
        <v>46063</v>
      </c>
      <c r="DZ51" s="9" t="n">
        <v>5080</v>
      </c>
      <c r="EA51" s="9" t="n">
        <v>0</v>
      </c>
      <c r="EC51" s="9" t="n">
        <v>0</v>
      </c>
      <c r="ED51" s="9" t="n">
        <v>8699.6</v>
      </c>
      <c r="EH51" s="10" t="n">
        <v>46063</v>
      </c>
      <c r="EJ51" s="9" t="n">
        <v>0</v>
      </c>
      <c r="EL51" s="9" t="n">
        <v>0</v>
      </c>
      <c r="EM51" s="9" t="n">
        <v>0</v>
      </c>
      <c r="EQ51" s="10" t="n">
        <v>46063</v>
      </c>
      <c r="ES51" s="9" t="n">
        <v>0</v>
      </c>
      <c r="EU51" s="9" t="n">
        <v>0</v>
      </c>
      <c r="EV51" s="9" t="n">
        <v>0</v>
      </c>
      <c r="EZ51" s="10" t="n">
        <v>46063</v>
      </c>
      <c r="FB51" s="9" t="n">
        <v>0</v>
      </c>
      <c r="FD51" s="9" t="n">
        <v>0</v>
      </c>
      <c r="FE51" s="9" t="n">
        <v>0</v>
      </c>
      <c r="FI51" s="10" t="n">
        <v>46063</v>
      </c>
      <c r="FK51" s="9" t="n">
        <v>0</v>
      </c>
      <c r="FM51" s="9" t="n">
        <v>0</v>
      </c>
      <c r="FN51" s="9" t="n">
        <v>0</v>
      </c>
      <c r="FR51" s="10" t="n">
        <v>46063</v>
      </c>
      <c r="FT51" s="9" t="n">
        <v>0</v>
      </c>
      <c r="FV51" s="9" t="n">
        <v>0</v>
      </c>
      <c r="FW51" s="9" t="n">
        <v>3540</v>
      </c>
      <c r="GA51" s="10" t="n">
        <v>46063</v>
      </c>
      <c r="GC51" s="9" t="n">
        <v>0</v>
      </c>
      <c r="GE51" s="9" t="n">
        <v>0</v>
      </c>
      <c r="GF51" s="9" t="n">
        <v>5960</v>
      </c>
      <c r="GJ51" s="10" t="n">
        <v>46063</v>
      </c>
      <c r="GL51" s="9" t="n">
        <v>0</v>
      </c>
      <c r="GN51" s="9" t="n">
        <v>0</v>
      </c>
      <c r="GO51" s="9" t="n">
        <v>3240</v>
      </c>
      <c r="GS51" s="10" t="n">
        <v>46063</v>
      </c>
      <c r="GU51" s="9" t="n">
        <v>0</v>
      </c>
      <c r="GW51" s="9" t="n">
        <v>0</v>
      </c>
      <c r="GX51" s="9" t="n">
        <v>0</v>
      </c>
      <c r="HB51" s="10" t="n">
        <v>46063</v>
      </c>
      <c r="HD51" s="9" t="n">
        <v>0</v>
      </c>
      <c r="HF51" s="9" t="n">
        <v>0</v>
      </c>
      <c r="HG51" s="9" t="n">
        <v>0</v>
      </c>
      <c r="HK51" s="10" t="n">
        <v>46063</v>
      </c>
      <c r="HM51" s="9" t="n">
        <v>0</v>
      </c>
      <c r="HO51" s="9" t="n">
        <v>0</v>
      </c>
      <c r="HP51" s="9" t="n">
        <v>0</v>
      </c>
      <c r="HU51" s="10" t="n">
        <v>46063</v>
      </c>
      <c r="HW51" s="9" t="n">
        <v>0</v>
      </c>
      <c r="HY51" s="9" t="n">
        <v>0</v>
      </c>
      <c r="HZ51" s="9" t="n">
        <v>5120</v>
      </c>
      <c r="ID51" s="10" t="n">
        <v>46063</v>
      </c>
      <c r="IF51" s="9" t="n">
        <v>0</v>
      </c>
      <c r="IH51" s="9" t="n">
        <v>0</v>
      </c>
      <c r="II51" s="9" t="n">
        <v>5100</v>
      </c>
      <c r="IM51" s="10" t="n">
        <v>46063</v>
      </c>
      <c r="IO51" s="9" t="n">
        <v>1000</v>
      </c>
      <c r="IQ51" s="9" t="n">
        <v>1000</v>
      </c>
      <c r="IR51" s="9" t="n">
        <v>13040</v>
      </c>
      <c r="IV51" s="10" t="n">
        <v>46063</v>
      </c>
      <c r="IX51" s="9" t="n">
        <v>0</v>
      </c>
      <c r="IZ51" s="9" t="n">
        <v>0</v>
      </c>
      <c r="JA51" s="9" t="n">
        <v>13120</v>
      </c>
      <c r="JE51" s="10" t="n">
        <v>46063</v>
      </c>
      <c r="JG51" s="9" t="n">
        <v>0</v>
      </c>
      <c r="JI51" s="9" t="n">
        <v>0</v>
      </c>
      <c r="JJ51" s="9" t="n">
        <v>6800</v>
      </c>
      <c r="JN51" s="10" t="n">
        <v>46063</v>
      </c>
      <c r="JP51" s="9" t="n">
        <v>0</v>
      </c>
      <c r="JR51" s="9" t="n">
        <v>0</v>
      </c>
      <c r="JS51" s="9" t="n">
        <v>5400</v>
      </c>
      <c r="JW51" s="10" t="n">
        <v>46063</v>
      </c>
      <c r="JX51" s="9" t="n">
        <v>1740</v>
      </c>
      <c r="JY51" s="9" t="n">
        <v>0</v>
      </c>
      <c r="KA51" s="9" t="n">
        <v>0</v>
      </c>
      <c r="KB51" s="9" t="n">
        <v>1760</v>
      </c>
      <c r="KF51" s="10" t="n">
        <v>46063</v>
      </c>
      <c r="KG51" s="9" t="n">
        <v>4758</v>
      </c>
      <c r="KH51" s="9" t="n">
        <v>0</v>
      </c>
      <c r="KJ51" s="9" t="n">
        <v>0</v>
      </c>
      <c r="KK51" s="9" t="n">
        <v>5148</v>
      </c>
      <c r="KO51" s="10" t="n">
        <v>46063</v>
      </c>
      <c r="KP51" s="9" t="n">
        <v>2910.6</v>
      </c>
      <c r="KQ51" s="9" t="n">
        <v>0</v>
      </c>
      <c r="KS51" s="9" t="n">
        <v>0</v>
      </c>
      <c r="KT51" s="9" t="n">
        <v>13230</v>
      </c>
      <c r="KX51" s="10" t="n">
        <v>46063</v>
      </c>
      <c r="KZ51" s="9" t="n">
        <v>0</v>
      </c>
      <c r="LB51" s="9" t="n">
        <v>0</v>
      </c>
      <c r="LC51" s="9" t="n">
        <v>0</v>
      </c>
      <c r="LG51" s="10" t="n">
        <v>46063</v>
      </c>
      <c r="LI51" s="9" t="n">
        <v>0</v>
      </c>
      <c r="LK51" s="9" t="n">
        <v>0</v>
      </c>
      <c r="LL51" s="9" t="n">
        <v>0</v>
      </c>
      <c r="LP51" s="10" t="n">
        <v>46063</v>
      </c>
      <c r="LR51" s="9" t="n">
        <v>0</v>
      </c>
      <c r="LT51" s="9" t="n">
        <v>0</v>
      </c>
      <c r="LU51" s="9" t="n">
        <v>0</v>
      </c>
      <c r="LY51" s="10" t="n">
        <v>46063</v>
      </c>
      <c r="MA51" s="9" t="n">
        <v>0</v>
      </c>
      <c r="MC51" s="9" t="n">
        <v>0</v>
      </c>
      <c r="MD51" s="9" t="n">
        <v>0</v>
      </c>
      <c r="MH51" s="10" t="n">
        <v>46063</v>
      </c>
      <c r="MJ51" s="9" t="n">
        <v>0</v>
      </c>
      <c r="ML51" s="9" t="n">
        <v>0</v>
      </c>
      <c r="MM51" s="9" t="n">
        <v>0</v>
      </c>
      <c r="MQ51" s="10" t="n">
        <v>46063</v>
      </c>
      <c r="MS51" s="9" t="n">
        <v>25</v>
      </c>
      <c r="MU51" s="9" t="n">
        <v>25</v>
      </c>
      <c r="MV51" s="9" t="n">
        <v>1285</v>
      </c>
      <c r="MZ51" s="10" t="n">
        <v>46063</v>
      </c>
      <c r="NB51" s="9" t="n">
        <v>150</v>
      </c>
      <c r="ND51" s="9" t="n">
        <v>150</v>
      </c>
      <c r="NE51" s="9" t="n">
        <v>0</v>
      </c>
      <c r="NI51" s="10" t="n">
        <v>46063</v>
      </c>
      <c r="NK51" s="9" t="n">
        <v>0</v>
      </c>
      <c r="NM51" s="9" t="n">
        <v>0</v>
      </c>
      <c r="NN51" s="9" t="n">
        <v>0</v>
      </c>
      <c r="NR51" s="10" t="n">
        <v>46063</v>
      </c>
      <c r="NS51" s="9" t="n">
        <v>500</v>
      </c>
      <c r="NT51" s="9" t="n">
        <v>0</v>
      </c>
      <c r="NV51" s="9" t="n">
        <v>0</v>
      </c>
      <c r="NW51" s="9" t="n">
        <v>2724.4</v>
      </c>
      <c r="OA51" s="10" t="n">
        <v>46063</v>
      </c>
      <c r="OC51" s="9" t="n">
        <v>0</v>
      </c>
      <c r="OE51" s="9" t="n">
        <v>0</v>
      </c>
      <c r="OF51" s="9" t="n">
        <v>1680.5</v>
      </c>
      <c r="OJ51" s="10" t="n">
        <v>46063</v>
      </c>
      <c r="OL51" s="9" t="n">
        <v>0</v>
      </c>
      <c r="ON51" s="9" t="n">
        <v>0</v>
      </c>
      <c r="OO51" s="9" t="n">
        <v>0</v>
      </c>
      <c r="OS51" s="10" t="n">
        <v>46063</v>
      </c>
      <c r="OU51" s="9" t="n">
        <v>0</v>
      </c>
      <c r="OW51" s="9" t="n">
        <v>0</v>
      </c>
      <c r="OX51" s="9" t="n">
        <v>0</v>
      </c>
      <c r="PB51" s="10" t="n">
        <v>46063</v>
      </c>
      <c r="PD51" s="9" t="n">
        <v>0</v>
      </c>
      <c r="PF51" s="9" t="n">
        <v>0</v>
      </c>
      <c r="PG51" s="9" t="n">
        <v>0</v>
      </c>
      <c r="PK51" s="10" t="n">
        <v>46063</v>
      </c>
      <c r="PM51" s="9" t="n">
        <v>0</v>
      </c>
      <c r="PO51" s="9" t="n">
        <v>0</v>
      </c>
      <c r="PP51" s="9" t="n">
        <v>160</v>
      </c>
      <c r="PT51" s="10" t="n">
        <v>46063</v>
      </c>
      <c r="PV51" s="9" t="n">
        <v>0</v>
      </c>
      <c r="PX51" s="9" t="n">
        <v>0</v>
      </c>
      <c r="PY51" s="9" t="n">
        <v>13.96000000000004</v>
      </c>
      <c r="QC51" s="10" t="n">
        <v>46063</v>
      </c>
      <c r="QE51" s="9" t="n">
        <v>0</v>
      </c>
      <c r="QG51" s="9" t="n">
        <v>0</v>
      </c>
      <c r="QH51" s="9" t="n">
        <v>0</v>
      </c>
      <c r="QL51" s="10" t="n">
        <v>46063</v>
      </c>
      <c r="QN51" s="9" t="n">
        <v>0</v>
      </c>
      <c r="QP51" s="9" t="n">
        <v>0</v>
      </c>
      <c r="QQ51" s="9" t="n">
        <v>0</v>
      </c>
      <c r="QU51" s="10" t="n">
        <v>46063</v>
      </c>
      <c r="QW51" s="9" t="n">
        <v>0</v>
      </c>
      <c r="QY51" s="9" t="n">
        <v>0</v>
      </c>
      <c r="QZ51" s="9" t="n">
        <v>207.6</v>
      </c>
      <c r="RD51" s="10" t="n">
        <v>46063</v>
      </c>
      <c r="RF51" s="9" t="n">
        <v>0</v>
      </c>
      <c r="RH51" s="9" t="n">
        <v>0</v>
      </c>
      <c r="RI51" s="9" t="n">
        <v>201.8</v>
      </c>
      <c r="RM51" s="10" t="n">
        <v>46063</v>
      </c>
      <c r="RO51" s="9" t="n">
        <v>0</v>
      </c>
      <c r="RQ51" s="9" t="n">
        <v>0</v>
      </c>
      <c r="RR51" s="9" t="n">
        <v>22.72</v>
      </c>
      <c r="RV51" s="10" t="n">
        <v>46063</v>
      </c>
      <c r="RX51" s="9" t="n">
        <v>0</v>
      </c>
      <c r="RZ51" s="9" t="n">
        <v>0</v>
      </c>
      <c r="SA51" s="9" t="n">
        <v>0</v>
      </c>
      <c r="SE51" s="10" t="n">
        <v>46063</v>
      </c>
      <c r="SG51" s="9" t="n">
        <v>0</v>
      </c>
      <c r="SI51" s="9" t="n">
        <v>0</v>
      </c>
      <c r="SJ51" s="9" t="n">
        <v>0</v>
      </c>
      <c r="SN51" s="10" t="n">
        <v>46063</v>
      </c>
      <c r="SP51" s="9" t="n">
        <v>0</v>
      </c>
      <c r="SR51" s="9" t="n">
        <v>0</v>
      </c>
      <c r="SS51" s="9" t="n">
        <v>0</v>
      </c>
      <c r="SW51" s="10" t="n">
        <v>46063</v>
      </c>
      <c r="SY51" s="9" t="n">
        <v>0</v>
      </c>
      <c r="TA51" s="9" t="n">
        <v>0</v>
      </c>
      <c r="TB51" s="9" t="n">
        <v>0</v>
      </c>
      <c r="TF51" s="10" t="n">
        <v>46063</v>
      </c>
      <c r="TH51" s="9" t="n">
        <v>0</v>
      </c>
      <c r="TJ51" s="9" t="n">
        <v>0</v>
      </c>
      <c r="TK51" s="9" t="n">
        <v>0</v>
      </c>
      <c r="TO51" s="10" t="n">
        <v>46063</v>
      </c>
      <c r="TQ51" s="9" t="n">
        <v>0</v>
      </c>
      <c r="TS51" s="9" t="n">
        <v>0</v>
      </c>
      <c r="TT51" s="9" t="n">
        <v>0</v>
      </c>
      <c r="TX51" s="10" t="n">
        <v>46063</v>
      </c>
      <c r="TZ51" s="9" t="n">
        <v>0</v>
      </c>
      <c r="UB51" s="9" t="n">
        <v>0</v>
      </c>
      <c r="UC51" s="9" t="n">
        <v>0</v>
      </c>
      <c r="UG51" s="10" t="n">
        <v>46063</v>
      </c>
      <c r="UI51" s="9" t="n">
        <v>0</v>
      </c>
      <c r="UK51" s="9" t="n">
        <v>0</v>
      </c>
      <c r="UL51" s="9" t="n">
        <v>0</v>
      </c>
      <c r="UP51" s="10" t="n">
        <v>46063</v>
      </c>
      <c r="UR51" s="9" t="n">
        <v>0</v>
      </c>
      <c r="UT51" s="9" t="n">
        <v>0</v>
      </c>
      <c r="UU51" s="9" t="n">
        <v>0</v>
      </c>
      <c r="UY51" s="10" t="n">
        <v>46063</v>
      </c>
      <c r="VA51" s="9" t="n">
        <v>0</v>
      </c>
      <c r="VC51" s="9" t="n">
        <v>0</v>
      </c>
      <c r="VD51" s="9" t="n">
        <v>41.60000000000002</v>
      </c>
      <c r="VH51" s="10" t="n">
        <v>46063</v>
      </c>
      <c r="VJ51" s="9" t="n">
        <v>0</v>
      </c>
      <c r="VL51" s="9" t="n">
        <v>0</v>
      </c>
      <c r="VM51" s="9" t="n">
        <v>0</v>
      </c>
      <c r="VQ51" s="10" t="n">
        <v>46063</v>
      </c>
      <c r="VS51" s="9" t="n">
        <v>0</v>
      </c>
      <c r="VU51" s="9" t="n">
        <v>0</v>
      </c>
      <c r="VV51" s="9" t="n">
        <v>0</v>
      </c>
      <c r="VZ51" s="10" t="n">
        <v>46063</v>
      </c>
      <c r="WB51" s="9" t="n">
        <v>0</v>
      </c>
      <c r="WD51" s="9" t="n">
        <v>0</v>
      </c>
      <c r="WE51" s="9" t="n">
        <v>0</v>
      </c>
      <c r="WI51" s="10" t="n">
        <v>46063</v>
      </c>
      <c r="WK51" s="9" t="n">
        <v>0</v>
      </c>
      <c r="WM51" s="9" t="n">
        <v>0</v>
      </c>
      <c r="WN51" s="9" t="n">
        <v>9609</v>
      </c>
      <c r="WR51" s="10" t="n">
        <v>46063</v>
      </c>
      <c r="WT51" s="9" t="n">
        <v>0</v>
      </c>
      <c r="WV51" s="9" t="n">
        <v>0</v>
      </c>
      <c r="WW51" s="9" t="n">
        <v>8149</v>
      </c>
      <c r="XA51" s="10" t="n">
        <v>46063</v>
      </c>
      <c r="XC51" s="9" t="n">
        <v>0</v>
      </c>
      <c r="XE51" s="9" t="n">
        <v>0</v>
      </c>
      <c r="XF51" s="9" t="n">
        <v>590</v>
      </c>
      <c r="XJ51" s="10" t="n">
        <v>46063</v>
      </c>
      <c r="XL51" s="9" t="n">
        <v>0</v>
      </c>
      <c r="XN51" s="9" t="n">
        <v>0</v>
      </c>
      <c r="XO51" s="9" t="n">
        <v>2090</v>
      </c>
      <c r="XS51" s="10" t="n">
        <v>46063</v>
      </c>
      <c r="XU51" s="9" t="n">
        <v>0</v>
      </c>
      <c r="XW51" s="9" t="n">
        <v>0</v>
      </c>
      <c r="XX51" s="9" t="n">
        <v>1901</v>
      </c>
      <c r="YB51" s="10" t="n">
        <v>46063</v>
      </c>
      <c r="YD51" s="9" t="n">
        <v>0</v>
      </c>
      <c r="YF51" s="9" t="n">
        <v>0</v>
      </c>
      <c r="YG51" s="9" t="n">
        <v>-37</v>
      </c>
      <c r="YK51" s="10" t="n">
        <v>46063</v>
      </c>
      <c r="YM51" s="9" t="n">
        <v>0</v>
      </c>
      <c r="YO51" s="9" t="n">
        <v>0</v>
      </c>
      <c r="YP51" s="9" t="n">
        <v>0</v>
      </c>
      <c r="YT51" s="10" t="n">
        <v>46063</v>
      </c>
      <c r="YV51" s="9" t="n">
        <v>0</v>
      </c>
      <c r="YX51" s="9" t="n">
        <v>0</v>
      </c>
      <c r="YY51" s="9" t="n">
        <v>0</v>
      </c>
      <c r="ZC51" s="10" t="n">
        <v>46063</v>
      </c>
      <c r="ZE51" s="9" t="n">
        <v>0</v>
      </c>
      <c r="ZG51" s="9" t="n">
        <v>0</v>
      </c>
      <c r="ZH51" s="9" t="n">
        <v>0</v>
      </c>
      <c r="ZL51" s="10" t="n">
        <v>46063</v>
      </c>
      <c r="ZN51" s="9" t="n">
        <v>0</v>
      </c>
      <c r="ZP51" s="9" t="n">
        <v>0</v>
      </c>
      <c r="ZQ51" s="9" t="n">
        <v>0</v>
      </c>
      <c r="ZU51" s="10" t="n">
        <v>46063</v>
      </c>
      <c r="ZW51" s="9" t="n">
        <v>0</v>
      </c>
      <c r="ZY51" s="9" t="n">
        <v>0</v>
      </c>
      <c r="ZZ51" s="9" t="n">
        <v>0</v>
      </c>
      <c r="AAD51" s="10" t="n">
        <v>46063</v>
      </c>
      <c r="AAF51" s="9" t="n">
        <v>0</v>
      </c>
      <c r="AAH51" s="9" t="n">
        <v>0</v>
      </c>
      <c r="AAI51" s="9" t="n">
        <v>0</v>
      </c>
      <c r="AAM51" s="10" t="n">
        <v>46063</v>
      </c>
      <c r="AAO51" s="9" t="n">
        <v>0</v>
      </c>
      <c r="AAQ51" s="9" t="n">
        <v>0</v>
      </c>
      <c r="AAR51" s="9" t="n">
        <v>0</v>
      </c>
      <c r="AAV51" s="10" t="n">
        <v>46063</v>
      </c>
      <c r="AAX51" s="9" t="n">
        <v>0</v>
      </c>
      <c r="AAZ51" s="9" t="n">
        <v>0</v>
      </c>
      <c r="ABA51" s="9" t="n">
        <v>0</v>
      </c>
      <c r="ABE51" s="10" t="n">
        <v>46063</v>
      </c>
      <c r="ABG51" s="9" t="n">
        <v>0</v>
      </c>
      <c r="ABI51" s="9" t="n">
        <v>0</v>
      </c>
      <c r="ABJ51" s="9" t="n">
        <v>0</v>
      </c>
    </row>
    <row r="52">
      <c r="B52" s="9" t="n">
        <v>120</v>
      </c>
      <c r="C52" s="10" t="n">
        <v>46064</v>
      </c>
      <c r="D52" s="9" t="n">
        <v>92080</v>
      </c>
      <c r="E52" s="9" t="n">
        <v>61865.99999999999</v>
      </c>
      <c r="F52" s="9" t="n">
        <v>61861</v>
      </c>
      <c r="G52" s="9" t="n">
        <v>4.999999999992724</v>
      </c>
      <c r="H52" s="9" t="n">
        <v>175818.2</v>
      </c>
      <c r="I52" s="9" t="inlineStr">
        <is>
          <t>121 120mt</t>
        </is>
      </c>
      <c r="L52" s="10" t="n">
        <v>46064</v>
      </c>
      <c r="N52" s="9" t="n">
        <v>28620</v>
      </c>
      <c r="O52" s="9" t="n">
        <v>28620.8</v>
      </c>
      <c r="P52" s="9" t="n">
        <v>-0.7999999999956344</v>
      </c>
      <c r="Q52" s="9" t="n">
        <v>54736.60000000001</v>
      </c>
      <c r="U52" s="10" t="n">
        <v>46064</v>
      </c>
      <c r="V52" s="9" t="n">
        <v>21040</v>
      </c>
      <c r="W52" s="9" t="n">
        <v>7980</v>
      </c>
      <c r="X52" s="9" t="n">
        <v>7981.6</v>
      </c>
      <c r="Y52" s="9" t="n">
        <v>-1.600000000000364</v>
      </c>
      <c r="Z52" s="9" t="n">
        <v>68375.19999999998</v>
      </c>
      <c r="AD52" s="10" t="n">
        <v>46064</v>
      </c>
      <c r="AF52" s="9" t="n">
        <v>1200</v>
      </c>
      <c r="AG52" s="9" t="n">
        <v>1204.1</v>
      </c>
      <c r="AH52" s="9" t="n">
        <v>-4.099999999999909</v>
      </c>
      <c r="AI52" s="9" t="n">
        <v>37310.60000000002</v>
      </c>
      <c r="AM52" s="10" t="n">
        <v>46064</v>
      </c>
      <c r="AO52" s="9" t="n">
        <v>0</v>
      </c>
      <c r="AQ52" s="9" t="n">
        <v>0</v>
      </c>
      <c r="AR52" s="9" t="n">
        <v>0</v>
      </c>
      <c r="AV52" s="10" t="n">
        <v>46064</v>
      </c>
      <c r="AX52" s="9" t="n">
        <v>3000</v>
      </c>
      <c r="AY52" s="9" t="n">
        <v>3000.5</v>
      </c>
      <c r="AZ52" s="9" t="n">
        <v>-0.5</v>
      </c>
      <c r="BA52" s="9" t="n">
        <v>54284.69999999999</v>
      </c>
      <c r="BE52" s="10" t="n">
        <v>46064</v>
      </c>
      <c r="BG52" s="9" t="n">
        <v>3360</v>
      </c>
      <c r="BH52" s="9" t="n">
        <v>3357.5</v>
      </c>
      <c r="BI52" s="9" t="n">
        <v>2.499999999999545</v>
      </c>
      <c r="BJ52" s="9" t="n">
        <v>30213.00000000001</v>
      </c>
      <c r="BN52" s="10" t="n">
        <v>46064</v>
      </c>
      <c r="BO52" s="9" t="n">
        <v>1799</v>
      </c>
      <c r="BP52" s="9" t="n">
        <v>1800</v>
      </c>
      <c r="BQ52" s="9" t="n">
        <v>1799</v>
      </c>
      <c r="BR52" s="9" t="n">
        <v>1</v>
      </c>
      <c r="BS52" s="9" t="n">
        <v>0</v>
      </c>
      <c r="BW52" s="10" t="n">
        <v>46064</v>
      </c>
      <c r="BY52" s="9" t="n">
        <v>540.0000000000001</v>
      </c>
      <c r="BZ52" s="9" t="n">
        <v>364.5</v>
      </c>
      <c r="CA52" s="9" t="n">
        <v>175.5000000000001</v>
      </c>
      <c r="CB52" s="9" t="n">
        <v>3122.6</v>
      </c>
      <c r="CF52" s="10" t="n">
        <v>46064</v>
      </c>
      <c r="CG52" s="9" t="n">
        <v>23.4</v>
      </c>
      <c r="CH52" s="9" t="n">
        <v>839.9999999999999</v>
      </c>
      <c r="CI52" s="9" t="n">
        <v>23.4</v>
      </c>
      <c r="CJ52" s="9" t="n">
        <v>816.5999999999999</v>
      </c>
      <c r="CK52" s="9" t="n">
        <v>0</v>
      </c>
      <c r="CO52" s="10" t="n">
        <v>46064</v>
      </c>
      <c r="CQ52" s="9" t="n">
        <v>0</v>
      </c>
      <c r="CS52" s="9" t="n">
        <v>0</v>
      </c>
      <c r="CT52" s="9" t="n">
        <v>0</v>
      </c>
      <c r="CX52" s="10" t="n">
        <v>46064</v>
      </c>
      <c r="CZ52" s="9" t="n">
        <v>4020</v>
      </c>
      <c r="DA52" s="9" t="n">
        <v>4022.5</v>
      </c>
      <c r="DB52" s="9" t="n">
        <v>-2.5</v>
      </c>
      <c r="DC52" s="9" t="n">
        <v>12187.3</v>
      </c>
      <c r="DG52" s="10" t="n">
        <v>46064</v>
      </c>
      <c r="DI52" s="9" t="n">
        <v>419.9999999999999</v>
      </c>
      <c r="DJ52" s="9" t="n">
        <v>421.4</v>
      </c>
      <c r="DK52" s="9" t="n">
        <v>-1.400000000000034</v>
      </c>
      <c r="DL52" s="9" t="n">
        <v>17829</v>
      </c>
      <c r="DP52" s="10" t="n">
        <v>46064</v>
      </c>
      <c r="DR52" s="9" t="n">
        <v>0</v>
      </c>
      <c r="DT52" s="9" t="n">
        <v>0</v>
      </c>
      <c r="DU52" s="9" t="n">
        <v>0</v>
      </c>
      <c r="DY52" s="10" t="n">
        <v>46064</v>
      </c>
      <c r="EA52" s="9" t="n">
        <v>3000</v>
      </c>
      <c r="EB52" s="9" t="n">
        <v>3002.8</v>
      </c>
      <c r="EC52" s="9" t="n">
        <v>-2.800000000000182</v>
      </c>
      <c r="ED52" s="9" t="n">
        <v>5696.8</v>
      </c>
      <c r="EH52" s="10" t="n">
        <v>46064</v>
      </c>
      <c r="EJ52" s="9" t="n">
        <v>0</v>
      </c>
      <c r="EL52" s="9" t="n">
        <v>0</v>
      </c>
      <c r="EM52" s="9" t="n">
        <v>0</v>
      </c>
      <c r="EQ52" s="10" t="n">
        <v>46064</v>
      </c>
      <c r="ES52" s="9" t="n">
        <v>0</v>
      </c>
      <c r="EU52" s="9" t="n">
        <v>0</v>
      </c>
      <c r="EV52" s="9" t="n">
        <v>0</v>
      </c>
      <c r="EZ52" s="10" t="n">
        <v>46064</v>
      </c>
      <c r="FB52" s="9" t="n">
        <v>0</v>
      </c>
      <c r="FD52" s="9" t="n">
        <v>0</v>
      </c>
      <c r="FE52" s="9" t="n">
        <v>0</v>
      </c>
      <c r="FI52" s="10" t="n">
        <v>46064</v>
      </c>
      <c r="FK52" s="9" t="n">
        <v>0</v>
      </c>
      <c r="FM52" s="9" t="n">
        <v>0</v>
      </c>
      <c r="FN52" s="9" t="n">
        <v>0</v>
      </c>
      <c r="FR52" s="10" t="n">
        <v>46064</v>
      </c>
      <c r="FT52" s="9" t="n">
        <v>0</v>
      </c>
      <c r="FU52" s="9" t="n">
        <v>520</v>
      </c>
      <c r="FV52" s="9" t="n">
        <v>-520</v>
      </c>
      <c r="FW52" s="9" t="n">
        <v>3020</v>
      </c>
      <c r="FX52" s="9" t="n">
        <v>26</v>
      </c>
      <c r="GA52" s="10" t="n">
        <v>46064</v>
      </c>
      <c r="GC52" s="9" t="n">
        <v>0</v>
      </c>
      <c r="GE52" s="9" t="n">
        <v>0</v>
      </c>
      <c r="GF52" s="9" t="n">
        <v>5960</v>
      </c>
      <c r="GJ52" s="10" t="n">
        <v>46064</v>
      </c>
      <c r="GL52" s="9" t="n">
        <v>0</v>
      </c>
      <c r="GN52" s="9" t="n">
        <v>0</v>
      </c>
      <c r="GO52" s="9" t="n">
        <v>3240</v>
      </c>
      <c r="GS52" s="10" t="n">
        <v>46064</v>
      </c>
      <c r="GU52" s="9" t="n">
        <v>0</v>
      </c>
      <c r="GW52" s="9" t="n">
        <v>0</v>
      </c>
      <c r="GX52" s="9" t="n">
        <v>0</v>
      </c>
      <c r="HB52" s="10" t="n">
        <v>46064</v>
      </c>
      <c r="HD52" s="9" t="n">
        <v>0</v>
      </c>
      <c r="HF52" s="9" t="n">
        <v>0</v>
      </c>
      <c r="HG52" s="9" t="n">
        <v>0</v>
      </c>
      <c r="HK52" s="10" t="n">
        <v>46064</v>
      </c>
      <c r="HM52" s="9" t="n">
        <v>0</v>
      </c>
      <c r="HO52" s="9" t="n">
        <v>0</v>
      </c>
      <c r="HP52" s="9" t="n">
        <v>0</v>
      </c>
      <c r="HU52" s="10" t="n">
        <v>46064</v>
      </c>
      <c r="HW52" s="9" t="n">
        <v>0</v>
      </c>
      <c r="HY52" s="9" t="n">
        <v>0</v>
      </c>
      <c r="HZ52" s="9" t="n">
        <v>5120</v>
      </c>
      <c r="ID52" s="10" t="n">
        <v>46064</v>
      </c>
      <c r="IF52" s="9" t="n">
        <v>0</v>
      </c>
      <c r="IH52" s="9" t="n">
        <v>0</v>
      </c>
      <c r="II52" s="9" t="n">
        <v>5100</v>
      </c>
      <c r="IM52" s="10" t="n">
        <v>46064</v>
      </c>
      <c r="IO52" s="9" t="n">
        <v>0</v>
      </c>
      <c r="IP52" s="9" t="n">
        <v>2000</v>
      </c>
      <c r="IQ52" s="9" t="n">
        <v>-2000</v>
      </c>
      <c r="IR52" s="9" t="n">
        <v>11040</v>
      </c>
      <c r="IS52" s="9" t="n">
        <v>100</v>
      </c>
      <c r="IV52" s="10" t="n">
        <v>46064</v>
      </c>
      <c r="IX52" s="9" t="n">
        <v>0</v>
      </c>
      <c r="IZ52" s="9" t="n">
        <v>0</v>
      </c>
      <c r="JA52" s="9" t="n">
        <v>13120</v>
      </c>
      <c r="JE52" s="10" t="n">
        <v>46064</v>
      </c>
      <c r="JG52" s="9" t="n">
        <v>0</v>
      </c>
      <c r="JI52" s="9" t="n">
        <v>0</v>
      </c>
      <c r="JJ52" s="9" t="n">
        <v>6800</v>
      </c>
      <c r="JN52" s="10" t="n">
        <v>46064</v>
      </c>
      <c r="JP52" s="9" t="n">
        <v>0</v>
      </c>
      <c r="JR52" s="9" t="n">
        <v>0</v>
      </c>
      <c r="JS52" s="9" t="n">
        <v>5400</v>
      </c>
      <c r="JW52" s="10" t="n">
        <v>46064</v>
      </c>
      <c r="JY52" s="9" t="n">
        <v>2400</v>
      </c>
      <c r="JZ52" s="9" t="n">
        <v>1360</v>
      </c>
      <c r="KA52" s="9" t="n">
        <v>1040</v>
      </c>
      <c r="KB52" s="9" t="n">
        <v>400</v>
      </c>
      <c r="KC52" s="9" t="n">
        <v>68</v>
      </c>
      <c r="KF52" s="10" t="n">
        <v>46064</v>
      </c>
      <c r="KH52" s="9" t="n">
        <v>0</v>
      </c>
      <c r="KJ52" s="9" t="n">
        <v>0</v>
      </c>
      <c r="KK52" s="9" t="n">
        <v>5148</v>
      </c>
      <c r="KO52" s="10" t="n">
        <v>46064</v>
      </c>
      <c r="KQ52" s="9" t="n">
        <v>0</v>
      </c>
      <c r="KS52" s="9" t="n">
        <v>0</v>
      </c>
      <c r="KT52" s="9" t="n">
        <v>13230</v>
      </c>
      <c r="KX52" s="10" t="n">
        <v>46064</v>
      </c>
      <c r="KZ52" s="9" t="n">
        <v>0</v>
      </c>
      <c r="LB52" s="9" t="n">
        <v>0</v>
      </c>
      <c r="LC52" s="9" t="n">
        <v>0</v>
      </c>
      <c r="LG52" s="10" t="n">
        <v>46064</v>
      </c>
      <c r="LI52" s="9" t="n">
        <v>0</v>
      </c>
      <c r="LK52" s="9" t="n">
        <v>0</v>
      </c>
      <c r="LL52" s="9" t="n">
        <v>0</v>
      </c>
      <c r="LP52" s="10" t="n">
        <v>46064</v>
      </c>
      <c r="LR52" s="9" t="n">
        <v>0</v>
      </c>
      <c r="LT52" s="9" t="n">
        <v>0</v>
      </c>
      <c r="LU52" s="9" t="n">
        <v>0</v>
      </c>
      <c r="LY52" s="10" t="n">
        <v>46064</v>
      </c>
      <c r="MA52" s="9" t="n">
        <v>0</v>
      </c>
      <c r="MC52" s="9" t="n">
        <v>0</v>
      </c>
      <c r="MD52" s="9" t="n">
        <v>0</v>
      </c>
      <c r="MH52" s="10" t="n">
        <v>46064</v>
      </c>
      <c r="MJ52" s="9" t="n">
        <v>0</v>
      </c>
      <c r="ML52" s="9" t="n">
        <v>0</v>
      </c>
      <c r="MM52" s="9" t="n">
        <v>0</v>
      </c>
      <c r="MQ52" s="10" t="n">
        <v>46064</v>
      </c>
      <c r="MS52" s="9" t="n">
        <v>240</v>
      </c>
      <c r="MT52" s="9" t="n">
        <v>199</v>
      </c>
      <c r="MU52" s="9" t="n">
        <v>41</v>
      </c>
      <c r="MV52" s="9" t="n">
        <v>1086</v>
      </c>
      <c r="MZ52" s="10" t="n">
        <v>46064</v>
      </c>
      <c r="NA52" s="9" t="n">
        <v>504</v>
      </c>
      <c r="NB52" s="9" t="n">
        <v>360</v>
      </c>
      <c r="NC52" s="9" t="n">
        <v>504</v>
      </c>
      <c r="ND52" s="9" t="n">
        <v>-144</v>
      </c>
      <c r="NE52" s="9" t="n">
        <v>0</v>
      </c>
      <c r="NI52" s="10" t="n">
        <v>46064</v>
      </c>
      <c r="NK52" s="9" t="n">
        <v>0</v>
      </c>
      <c r="NM52" s="9" t="n">
        <v>0</v>
      </c>
      <c r="NN52" s="9" t="n">
        <v>0</v>
      </c>
      <c r="NR52" s="10" t="n">
        <v>46064</v>
      </c>
      <c r="NT52" s="9" t="n">
        <v>24</v>
      </c>
      <c r="NU52" s="9" t="n">
        <v>13.6</v>
      </c>
      <c r="NV52" s="9" t="n">
        <v>10.4</v>
      </c>
      <c r="NW52" s="9" t="n">
        <v>2710.8</v>
      </c>
      <c r="OA52" s="10" t="n">
        <v>46064</v>
      </c>
      <c r="OC52" s="9" t="n">
        <v>0</v>
      </c>
      <c r="OE52" s="9" t="n">
        <v>0</v>
      </c>
      <c r="OF52" s="9" t="n">
        <v>1680.5</v>
      </c>
      <c r="OJ52" s="10" t="n">
        <v>46064</v>
      </c>
      <c r="OK52" s="9" t="n">
        <v>187</v>
      </c>
      <c r="OL52" s="9" t="n">
        <v>330.0000000000001</v>
      </c>
      <c r="OM52" s="9" t="n">
        <v>187</v>
      </c>
      <c r="ON52" s="9" t="n">
        <v>143.0000000000001</v>
      </c>
      <c r="OO52" s="9" t="n">
        <v>0</v>
      </c>
      <c r="OS52" s="10" t="n">
        <v>46064</v>
      </c>
      <c r="OU52" s="9" t="n">
        <v>0</v>
      </c>
      <c r="OW52" s="9" t="n">
        <v>0</v>
      </c>
      <c r="OX52" s="9" t="n">
        <v>0</v>
      </c>
      <c r="PB52" s="10" t="n">
        <v>46064</v>
      </c>
      <c r="PC52" s="9" t="n">
        <v>100</v>
      </c>
      <c r="PD52" s="9" t="n">
        <v>0</v>
      </c>
      <c r="PE52" s="9" t="n">
        <v>100</v>
      </c>
      <c r="PF52" s="9" t="n">
        <v>-100</v>
      </c>
      <c r="PG52" s="9" t="n">
        <v>0</v>
      </c>
      <c r="PK52" s="10" t="n">
        <v>46064</v>
      </c>
      <c r="PM52" s="9" t="n">
        <v>0</v>
      </c>
      <c r="PO52" s="9" t="n">
        <v>0</v>
      </c>
      <c r="PP52" s="9" t="n">
        <v>160</v>
      </c>
      <c r="PT52" s="10" t="n">
        <v>46064</v>
      </c>
      <c r="PV52" s="9" t="n">
        <v>0</v>
      </c>
      <c r="PX52" s="9" t="n">
        <v>0</v>
      </c>
      <c r="PY52" s="9" t="n">
        <v>13.96000000000004</v>
      </c>
      <c r="QC52" s="10" t="n">
        <v>46064</v>
      </c>
      <c r="QE52" s="9" t="n">
        <v>0</v>
      </c>
      <c r="QG52" s="9" t="n">
        <v>0</v>
      </c>
      <c r="QH52" s="9" t="n">
        <v>0</v>
      </c>
      <c r="QL52" s="10" t="n">
        <v>46064</v>
      </c>
      <c r="QN52" s="9" t="n">
        <v>0</v>
      </c>
      <c r="QP52" s="9" t="n">
        <v>0</v>
      </c>
      <c r="QQ52" s="9" t="n">
        <v>0</v>
      </c>
      <c r="QU52" s="10" t="n">
        <v>46064</v>
      </c>
      <c r="QW52" s="9" t="n">
        <v>0</v>
      </c>
      <c r="QY52" s="9" t="n">
        <v>0</v>
      </c>
      <c r="QZ52" s="9" t="n">
        <v>207.6</v>
      </c>
      <c r="RD52" s="10" t="n">
        <v>46064</v>
      </c>
      <c r="RF52" s="9" t="n">
        <v>0</v>
      </c>
      <c r="RH52" s="9" t="n">
        <v>0</v>
      </c>
      <c r="RI52" s="9" t="n">
        <v>201.8</v>
      </c>
      <c r="RM52" s="10" t="n">
        <v>46064</v>
      </c>
      <c r="RN52" s="9" t="n">
        <v>24.08</v>
      </c>
      <c r="RO52" s="9" t="n">
        <v>0</v>
      </c>
      <c r="RQ52" s="9" t="n">
        <v>0</v>
      </c>
      <c r="RR52" s="9" t="n">
        <v>46.8</v>
      </c>
      <c r="RV52" s="10" t="n">
        <v>46064</v>
      </c>
      <c r="RX52" s="9" t="n">
        <v>0</v>
      </c>
      <c r="RZ52" s="9" t="n">
        <v>0</v>
      </c>
      <c r="SA52" s="9" t="n">
        <v>0</v>
      </c>
      <c r="SE52" s="10" t="n">
        <v>46064</v>
      </c>
      <c r="SG52" s="9" t="n">
        <v>0</v>
      </c>
      <c r="SI52" s="9" t="n">
        <v>0</v>
      </c>
      <c r="SJ52" s="9" t="n">
        <v>0</v>
      </c>
      <c r="SN52" s="10" t="n">
        <v>46064</v>
      </c>
      <c r="SP52" s="9" t="n">
        <v>0</v>
      </c>
      <c r="SR52" s="9" t="n">
        <v>0</v>
      </c>
      <c r="SS52" s="9" t="n">
        <v>0</v>
      </c>
      <c r="SW52" s="10" t="n">
        <v>46064</v>
      </c>
      <c r="SY52" s="9" t="n">
        <v>0</v>
      </c>
      <c r="TA52" s="9" t="n">
        <v>0</v>
      </c>
      <c r="TB52" s="9" t="n">
        <v>0</v>
      </c>
      <c r="TF52" s="10" t="n">
        <v>46064</v>
      </c>
      <c r="TH52" s="9" t="n">
        <v>0</v>
      </c>
      <c r="TJ52" s="9" t="n">
        <v>0</v>
      </c>
      <c r="TK52" s="9" t="n">
        <v>0</v>
      </c>
      <c r="TO52" s="10" t="n">
        <v>46064</v>
      </c>
      <c r="TQ52" s="9" t="n">
        <v>0</v>
      </c>
      <c r="TS52" s="9" t="n">
        <v>0</v>
      </c>
      <c r="TT52" s="9" t="n">
        <v>0</v>
      </c>
      <c r="TX52" s="10" t="n">
        <v>46064</v>
      </c>
      <c r="TZ52" s="9" t="n">
        <v>0</v>
      </c>
      <c r="UB52" s="9" t="n">
        <v>0</v>
      </c>
      <c r="UC52" s="9" t="n">
        <v>0</v>
      </c>
      <c r="UG52" s="10" t="n">
        <v>46064</v>
      </c>
      <c r="UI52" s="9" t="n">
        <v>0</v>
      </c>
      <c r="UK52" s="9" t="n">
        <v>0</v>
      </c>
      <c r="UL52" s="9" t="n">
        <v>0</v>
      </c>
      <c r="UP52" s="10" t="n">
        <v>46064</v>
      </c>
      <c r="UR52" s="9" t="n">
        <v>0</v>
      </c>
      <c r="UT52" s="9" t="n">
        <v>0</v>
      </c>
      <c r="UU52" s="9" t="n">
        <v>0</v>
      </c>
      <c r="UY52" s="10" t="n">
        <v>46064</v>
      </c>
      <c r="VA52" s="9" t="n">
        <v>0</v>
      </c>
      <c r="VC52" s="9" t="n">
        <v>0</v>
      </c>
      <c r="VD52" s="9" t="n">
        <v>41.60000000000002</v>
      </c>
      <c r="VH52" s="10" t="n">
        <v>46064</v>
      </c>
      <c r="VJ52" s="9" t="n">
        <v>0</v>
      </c>
      <c r="VL52" s="9" t="n">
        <v>0</v>
      </c>
      <c r="VM52" s="9" t="n">
        <v>0</v>
      </c>
      <c r="VQ52" s="10" t="n">
        <v>46064</v>
      </c>
      <c r="VS52" s="9" t="n">
        <v>0</v>
      </c>
      <c r="VU52" s="9" t="n">
        <v>0</v>
      </c>
      <c r="VV52" s="9" t="n">
        <v>0</v>
      </c>
      <c r="VZ52" s="10" t="n">
        <v>46064</v>
      </c>
      <c r="WB52" s="9" t="n">
        <v>0</v>
      </c>
      <c r="WD52" s="9" t="n">
        <v>0</v>
      </c>
      <c r="WE52" s="9" t="n">
        <v>0</v>
      </c>
      <c r="WI52" s="10" t="n">
        <v>46064</v>
      </c>
      <c r="WK52" s="9" t="n">
        <v>0</v>
      </c>
      <c r="WM52" s="9" t="n">
        <v>0</v>
      </c>
      <c r="WN52" s="9" t="n">
        <v>9609</v>
      </c>
      <c r="WR52" s="10" t="n">
        <v>46064</v>
      </c>
      <c r="WT52" s="9" t="n">
        <v>0</v>
      </c>
      <c r="WV52" s="9" t="n">
        <v>0</v>
      </c>
      <c r="WW52" s="9" t="n">
        <v>8149</v>
      </c>
      <c r="XA52" s="10" t="n">
        <v>46064</v>
      </c>
      <c r="XC52" s="9" t="n">
        <v>0</v>
      </c>
      <c r="XE52" s="9" t="n">
        <v>0</v>
      </c>
      <c r="XF52" s="9" t="n">
        <v>590</v>
      </c>
      <c r="XJ52" s="10" t="n">
        <v>46064</v>
      </c>
      <c r="XL52" s="9" t="n">
        <v>0</v>
      </c>
      <c r="XM52" s="9" t="n">
        <v>1526</v>
      </c>
      <c r="XN52" s="9" t="n">
        <v>-1526</v>
      </c>
      <c r="XO52" s="9" t="n">
        <v>564</v>
      </c>
      <c r="XS52" s="10" t="n">
        <v>46064</v>
      </c>
      <c r="XU52" s="9" t="n">
        <v>0</v>
      </c>
      <c r="XW52" s="9" t="n">
        <v>0</v>
      </c>
      <c r="XX52" s="9" t="n">
        <v>1901</v>
      </c>
      <c r="YB52" s="10" t="n">
        <v>46064</v>
      </c>
      <c r="YD52" s="9" t="n">
        <v>0</v>
      </c>
      <c r="YF52" s="9" t="n">
        <v>0</v>
      </c>
      <c r="YG52" s="9" t="n">
        <v>-37</v>
      </c>
      <c r="YK52" s="10" t="n">
        <v>46064</v>
      </c>
      <c r="YM52" s="9" t="n">
        <v>0</v>
      </c>
      <c r="YO52" s="9" t="n">
        <v>0</v>
      </c>
      <c r="YP52" s="9" t="n">
        <v>0</v>
      </c>
      <c r="YT52" s="10" t="n">
        <v>46064</v>
      </c>
      <c r="YV52" s="9" t="n">
        <v>0</v>
      </c>
      <c r="YX52" s="9" t="n">
        <v>0</v>
      </c>
      <c r="YY52" s="9" t="n">
        <v>0</v>
      </c>
      <c r="ZC52" s="10" t="n">
        <v>46064</v>
      </c>
      <c r="ZE52" s="9" t="n">
        <v>0</v>
      </c>
      <c r="ZG52" s="9" t="n">
        <v>0</v>
      </c>
      <c r="ZH52" s="9" t="n">
        <v>0</v>
      </c>
      <c r="ZL52" s="10" t="n">
        <v>46064</v>
      </c>
      <c r="ZN52" s="9" t="n">
        <v>0</v>
      </c>
      <c r="ZP52" s="9" t="n">
        <v>0</v>
      </c>
      <c r="ZQ52" s="9" t="n">
        <v>0</v>
      </c>
      <c r="ZU52" s="10" t="n">
        <v>46064</v>
      </c>
      <c r="ZW52" s="9" t="n">
        <v>0</v>
      </c>
      <c r="ZY52" s="9" t="n">
        <v>0</v>
      </c>
      <c r="ZZ52" s="9" t="n">
        <v>0</v>
      </c>
      <c r="AAD52" s="10" t="n">
        <v>46064</v>
      </c>
      <c r="AAF52" s="9" t="n">
        <v>0</v>
      </c>
      <c r="AAH52" s="9" t="n">
        <v>0</v>
      </c>
      <c r="AAI52" s="9" t="n">
        <v>0</v>
      </c>
      <c r="AAM52" s="10" t="n">
        <v>46064</v>
      </c>
      <c r="AAO52" s="9" t="n">
        <v>0</v>
      </c>
      <c r="AAQ52" s="9" t="n">
        <v>0</v>
      </c>
      <c r="AAR52" s="9" t="n">
        <v>0</v>
      </c>
      <c r="AAV52" s="10" t="n">
        <v>46064</v>
      </c>
      <c r="AAX52" s="9" t="n">
        <v>0</v>
      </c>
      <c r="AAZ52" s="9" t="n">
        <v>0</v>
      </c>
      <c r="ABA52" s="9" t="n">
        <v>0</v>
      </c>
      <c r="ABE52" s="10" t="n">
        <v>46064</v>
      </c>
      <c r="ABG52" s="9" t="n">
        <v>0</v>
      </c>
      <c r="ABI52" s="9" t="n">
        <v>0</v>
      </c>
      <c r="ABJ52" s="9" t="n">
        <v>0</v>
      </c>
    </row>
    <row r="53">
      <c r="B53" s="9" t="n">
        <v>110</v>
      </c>
      <c r="C53" s="10" t="n">
        <v>46065</v>
      </c>
      <c r="D53" s="9" t="n">
        <v>130960</v>
      </c>
      <c r="E53" s="9" t="n">
        <v>55148.50000000001</v>
      </c>
      <c r="F53" s="9" t="n">
        <v>55150.2</v>
      </c>
      <c r="G53" s="9" t="n">
        <v>-1.699999999989814</v>
      </c>
      <c r="H53" s="9" t="n">
        <v>251628</v>
      </c>
      <c r="I53" s="9" t="inlineStr">
        <is>
          <t>122 110mt</t>
        </is>
      </c>
      <c r="L53" s="10" t="n">
        <v>46065</v>
      </c>
      <c r="M53" s="9" t="n">
        <v>27490</v>
      </c>
      <c r="N53" s="9" t="n">
        <v>22550</v>
      </c>
      <c r="O53" s="9" t="n">
        <v>22547.2</v>
      </c>
      <c r="P53" s="9" t="n">
        <v>2.799999999999272</v>
      </c>
      <c r="Q53" s="9" t="n">
        <v>59679.40000000001</v>
      </c>
      <c r="U53" s="10" t="n">
        <v>46065</v>
      </c>
      <c r="W53" s="9" t="n">
        <v>9184.999999999998</v>
      </c>
      <c r="X53" s="9" t="n">
        <v>9185.9</v>
      </c>
      <c r="Y53" s="9" t="n">
        <v>-0.9000000000014552</v>
      </c>
      <c r="Z53" s="9" t="n">
        <v>59189.29999999998</v>
      </c>
      <c r="AD53" s="10" t="n">
        <v>46065</v>
      </c>
      <c r="AE53" s="9" t="n">
        <v>19280</v>
      </c>
      <c r="AF53" s="9" t="n">
        <v>1430</v>
      </c>
      <c r="AG53" s="9" t="n">
        <v>1431.7</v>
      </c>
      <c r="AH53" s="9" t="n">
        <v>-1.699999999999818</v>
      </c>
      <c r="AI53" s="9" t="n">
        <v>55158.90000000002</v>
      </c>
      <c r="AM53" s="10" t="n">
        <v>46065</v>
      </c>
      <c r="AO53" s="9" t="n">
        <v>0</v>
      </c>
      <c r="AQ53" s="9" t="n">
        <v>0</v>
      </c>
      <c r="AR53" s="9" t="n">
        <v>0</v>
      </c>
      <c r="AV53" s="10" t="n">
        <v>46065</v>
      </c>
      <c r="AX53" s="9" t="n">
        <v>0</v>
      </c>
      <c r="AZ53" s="9" t="n">
        <v>0</v>
      </c>
      <c r="BA53" s="9" t="n">
        <v>54284.69999999999</v>
      </c>
      <c r="BE53" s="10" t="n">
        <v>46065</v>
      </c>
      <c r="BG53" s="9" t="n">
        <v>4620</v>
      </c>
      <c r="BH53" s="9" t="n">
        <v>4623.8</v>
      </c>
      <c r="BI53" s="9" t="n">
        <v>-3.800000000000182</v>
      </c>
      <c r="BJ53" s="9" t="n">
        <v>25589.20000000001</v>
      </c>
      <c r="BN53" s="10" t="n">
        <v>46065</v>
      </c>
      <c r="BO53" s="9" t="n">
        <v>2200</v>
      </c>
      <c r="BP53" s="9" t="n">
        <v>2200</v>
      </c>
      <c r="BQ53" s="9" t="n">
        <v>2200</v>
      </c>
      <c r="BR53" s="9" t="n">
        <v>0</v>
      </c>
      <c r="BS53" s="9" t="n">
        <v>0</v>
      </c>
      <c r="BW53" s="10" t="n">
        <v>46065</v>
      </c>
      <c r="BY53" s="9" t="n">
        <v>731.5</v>
      </c>
      <c r="CA53" s="9" t="n">
        <v>731.5</v>
      </c>
      <c r="CB53" s="9" t="n">
        <v>3122.6</v>
      </c>
      <c r="CF53" s="10" t="n">
        <v>46065</v>
      </c>
      <c r="CH53" s="9" t="n">
        <v>1100</v>
      </c>
      <c r="CJ53" s="9" t="n">
        <v>1100</v>
      </c>
      <c r="CK53" s="9" t="n">
        <v>0</v>
      </c>
      <c r="CO53" s="10" t="n">
        <v>46065</v>
      </c>
      <c r="CQ53" s="9" t="n">
        <v>0</v>
      </c>
      <c r="CS53" s="9" t="n">
        <v>0</v>
      </c>
      <c r="CT53" s="9" t="n">
        <v>0</v>
      </c>
      <c r="CX53" s="10" t="n">
        <v>46065</v>
      </c>
      <c r="CZ53" s="9" t="n">
        <v>5500</v>
      </c>
      <c r="DA53" s="9" t="n">
        <v>5500.5</v>
      </c>
      <c r="DB53" s="9" t="n">
        <v>-0.5</v>
      </c>
      <c r="DC53" s="9" t="n">
        <v>6686.799999999999</v>
      </c>
      <c r="DG53" s="10" t="n">
        <v>46065</v>
      </c>
      <c r="DI53" s="9" t="n">
        <v>4400</v>
      </c>
      <c r="DJ53" s="9" t="n">
        <v>4397.4</v>
      </c>
      <c r="DK53" s="9" t="n">
        <v>2.600000000000364</v>
      </c>
      <c r="DL53" s="9" t="n">
        <v>13431.6</v>
      </c>
      <c r="DP53" s="10" t="n">
        <v>46065</v>
      </c>
      <c r="DR53" s="9" t="n">
        <v>0</v>
      </c>
      <c r="DT53" s="9" t="n">
        <v>0</v>
      </c>
      <c r="DU53" s="9" t="n">
        <v>0</v>
      </c>
      <c r="DY53" s="10" t="n">
        <v>46065</v>
      </c>
      <c r="EA53" s="9" t="n">
        <v>0</v>
      </c>
      <c r="EC53" s="9" t="n">
        <v>0</v>
      </c>
      <c r="ED53" s="9" t="n">
        <v>5696.8</v>
      </c>
      <c r="EH53" s="10" t="n">
        <v>46065</v>
      </c>
      <c r="EJ53" s="9" t="n">
        <v>0</v>
      </c>
      <c r="EL53" s="9" t="n">
        <v>0</v>
      </c>
      <c r="EM53" s="9" t="n">
        <v>0</v>
      </c>
      <c r="EQ53" s="10" t="n">
        <v>46065</v>
      </c>
      <c r="ES53" s="9" t="n">
        <v>0</v>
      </c>
      <c r="EU53" s="9" t="n">
        <v>0</v>
      </c>
      <c r="EV53" s="9" t="n">
        <v>0</v>
      </c>
      <c r="EZ53" s="10" t="n">
        <v>46065</v>
      </c>
      <c r="FB53" s="9" t="n">
        <v>0</v>
      </c>
      <c r="FD53" s="9" t="n">
        <v>0</v>
      </c>
      <c r="FE53" s="9" t="n">
        <v>0</v>
      </c>
      <c r="FI53" s="10" t="n">
        <v>46065</v>
      </c>
      <c r="FK53" s="9" t="n">
        <v>0</v>
      </c>
      <c r="FM53" s="9" t="n">
        <v>0</v>
      </c>
      <c r="FN53" s="9" t="n">
        <v>0</v>
      </c>
      <c r="FR53" s="10" t="n">
        <v>46065</v>
      </c>
      <c r="FT53" s="9" t="n">
        <v>0</v>
      </c>
      <c r="FV53" s="9" t="n">
        <v>0</v>
      </c>
      <c r="FW53" s="9" t="n">
        <v>3020</v>
      </c>
      <c r="GA53" s="10" t="n">
        <v>46065</v>
      </c>
      <c r="GC53" s="9" t="n">
        <v>0</v>
      </c>
      <c r="GE53" s="9" t="n">
        <v>0</v>
      </c>
      <c r="GF53" s="9" t="n">
        <v>5960</v>
      </c>
      <c r="GJ53" s="10" t="n">
        <v>46065</v>
      </c>
      <c r="GK53" s="9" t="n">
        <v>2000</v>
      </c>
      <c r="GL53" s="9" t="n">
        <v>0</v>
      </c>
      <c r="GN53" s="9" t="n">
        <v>0</v>
      </c>
      <c r="GO53" s="9" t="n">
        <v>5240</v>
      </c>
      <c r="GS53" s="10" t="n">
        <v>46065</v>
      </c>
      <c r="GU53" s="9" t="n">
        <v>0</v>
      </c>
      <c r="GW53" s="9" t="n">
        <v>0</v>
      </c>
      <c r="GX53" s="9" t="n">
        <v>0</v>
      </c>
      <c r="HB53" s="10" t="n">
        <v>46065</v>
      </c>
      <c r="HD53" s="9" t="n">
        <v>0</v>
      </c>
      <c r="HF53" s="9" t="n">
        <v>0</v>
      </c>
      <c r="HG53" s="9" t="n">
        <v>0</v>
      </c>
      <c r="HK53" s="10" t="n">
        <v>46065</v>
      </c>
      <c r="HM53" s="9" t="n">
        <v>0</v>
      </c>
      <c r="HO53" s="9" t="n">
        <v>0</v>
      </c>
      <c r="HP53" s="9" t="n">
        <v>0</v>
      </c>
      <c r="HU53" s="10" t="n">
        <v>46065</v>
      </c>
      <c r="HW53" s="9" t="n">
        <v>0</v>
      </c>
      <c r="HY53" s="9" t="n">
        <v>0</v>
      </c>
      <c r="HZ53" s="9" t="n">
        <v>5120</v>
      </c>
      <c r="ID53" s="10" t="n">
        <v>46065</v>
      </c>
      <c r="IF53" s="9" t="n">
        <v>0</v>
      </c>
      <c r="IH53" s="9" t="n">
        <v>0</v>
      </c>
      <c r="II53" s="9" t="n">
        <v>5100</v>
      </c>
      <c r="IM53" s="10" t="n">
        <v>46065</v>
      </c>
      <c r="IO53" s="9" t="n">
        <v>0</v>
      </c>
      <c r="IQ53" s="9" t="n">
        <v>0</v>
      </c>
      <c r="IR53" s="9" t="n">
        <v>11040</v>
      </c>
      <c r="IV53" s="10" t="n">
        <v>46065</v>
      </c>
      <c r="IW53" s="9" t="n">
        <v>2000</v>
      </c>
      <c r="IX53" s="9" t="n">
        <v>0</v>
      </c>
      <c r="IZ53" s="9" t="n">
        <v>0</v>
      </c>
      <c r="JA53" s="9" t="n">
        <v>15120</v>
      </c>
      <c r="JE53" s="10" t="n">
        <v>46065</v>
      </c>
      <c r="JG53" s="9" t="n">
        <v>0</v>
      </c>
      <c r="JI53" s="9" t="n">
        <v>0</v>
      </c>
      <c r="JJ53" s="9" t="n">
        <v>6800</v>
      </c>
      <c r="JN53" s="10" t="n">
        <v>46065</v>
      </c>
      <c r="JP53" s="9" t="n">
        <v>0</v>
      </c>
      <c r="JR53" s="9" t="n">
        <v>0</v>
      </c>
      <c r="JS53" s="9" t="n">
        <v>5400</v>
      </c>
      <c r="JW53" s="10" t="n">
        <v>46065</v>
      </c>
      <c r="JY53" s="9" t="n">
        <v>0</v>
      </c>
      <c r="KA53" s="9" t="n">
        <v>0</v>
      </c>
      <c r="KB53" s="9" t="n">
        <v>400</v>
      </c>
      <c r="KF53" s="10" t="n">
        <v>46065</v>
      </c>
      <c r="KH53" s="9" t="n">
        <v>2145</v>
      </c>
      <c r="KJ53" s="9" t="n">
        <v>2145</v>
      </c>
      <c r="KK53" s="9" t="n">
        <v>5148</v>
      </c>
      <c r="KO53" s="10" t="n">
        <v>46065</v>
      </c>
      <c r="KQ53" s="9" t="n">
        <v>0</v>
      </c>
      <c r="KS53" s="9" t="n">
        <v>0</v>
      </c>
      <c r="KT53" s="9" t="n">
        <v>13230</v>
      </c>
      <c r="KX53" s="10" t="n">
        <v>46065</v>
      </c>
      <c r="KZ53" s="9" t="n">
        <v>0</v>
      </c>
      <c r="LB53" s="9" t="n">
        <v>0</v>
      </c>
      <c r="LC53" s="9" t="n">
        <v>0</v>
      </c>
      <c r="LG53" s="10" t="n">
        <v>46065</v>
      </c>
      <c r="LI53" s="9" t="n">
        <v>0</v>
      </c>
      <c r="LK53" s="9" t="n">
        <v>0</v>
      </c>
      <c r="LL53" s="9" t="n">
        <v>0</v>
      </c>
      <c r="LP53" s="10" t="n">
        <v>46065</v>
      </c>
      <c r="LR53" s="9" t="n">
        <v>0</v>
      </c>
      <c r="LT53" s="9" t="n">
        <v>0</v>
      </c>
      <c r="LU53" s="9" t="n">
        <v>0</v>
      </c>
      <c r="LY53" s="10" t="n">
        <v>46065</v>
      </c>
      <c r="MA53" s="9" t="n">
        <v>0</v>
      </c>
      <c r="MC53" s="9" t="n">
        <v>0</v>
      </c>
      <c r="MD53" s="9" t="n">
        <v>0</v>
      </c>
      <c r="MH53" s="10" t="n">
        <v>46065</v>
      </c>
      <c r="MJ53" s="9" t="n">
        <v>0</v>
      </c>
      <c r="ML53" s="9" t="n">
        <v>0</v>
      </c>
      <c r="MM53" s="9" t="n">
        <v>0</v>
      </c>
      <c r="MQ53" s="10" t="n">
        <v>46065</v>
      </c>
      <c r="MS53" s="9" t="n">
        <v>220</v>
      </c>
      <c r="MU53" s="9" t="n">
        <v>220</v>
      </c>
      <c r="MV53" s="9" t="n">
        <v>1086</v>
      </c>
      <c r="MZ53" s="10" t="n">
        <v>46065</v>
      </c>
      <c r="NB53" s="9" t="n">
        <v>330</v>
      </c>
      <c r="ND53" s="9" t="n">
        <v>330</v>
      </c>
      <c r="NE53" s="9" t="n">
        <v>0</v>
      </c>
      <c r="NI53" s="10" t="n">
        <v>46065</v>
      </c>
      <c r="NK53" s="9" t="n">
        <v>0</v>
      </c>
      <c r="NM53" s="9" t="n">
        <v>0</v>
      </c>
      <c r="NN53" s="9" t="n">
        <v>0</v>
      </c>
      <c r="NR53" s="10" t="n">
        <v>46065</v>
      </c>
      <c r="NT53" s="9" t="n">
        <v>132</v>
      </c>
      <c r="NV53" s="9" t="n">
        <v>132</v>
      </c>
      <c r="NW53" s="9" t="n">
        <v>2710.8</v>
      </c>
      <c r="OA53" s="10" t="n">
        <v>46065</v>
      </c>
      <c r="OC53" s="9" t="n">
        <v>0</v>
      </c>
      <c r="OE53" s="9" t="n">
        <v>0</v>
      </c>
      <c r="OF53" s="9" t="n">
        <v>1680.5</v>
      </c>
      <c r="OJ53" s="10" t="n">
        <v>46065</v>
      </c>
      <c r="OL53" s="9" t="n">
        <v>307.9999999999999</v>
      </c>
      <c r="ON53" s="9" t="n">
        <v>307.9999999999999</v>
      </c>
      <c r="OO53" s="9" t="n">
        <v>0</v>
      </c>
      <c r="OS53" s="10" t="n">
        <v>46065</v>
      </c>
      <c r="OU53" s="9" t="n">
        <v>0</v>
      </c>
      <c r="OW53" s="9" t="n">
        <v>0</v>
      </c>
      <c r="OX53" s="9" t="n">
        <v>0</v>
      </c>
      <c r="PB53" s="10" t="n">
        <v>46065</v>
      </c>
      <c r="PD53" s="9" t="n">
        <v>0</v>
      </c>
      <c r="PF53" s="9" t="n">
        <v>0</v>
      </c>
      <c r="PG53" s="9" t="n">
        <v>0</v>
      </c>
      <c r="PK53" s="10" t="n">
        <v>46065</v>
      </c>
      <c r="PM53" s="9" t="n">
        <v>0</v>
      </c>
      <c r="PO53" s="9" t="n">
        <v>0</v>
      </c>
      <c r="PP53" s="9" t="n">
        <v>160</v>
      </c>
      <c r="PT53" s="10" t="n">
        <v>46065</v>
      </c>
      <c r="PV53" s="9" t="n">
        <v>0</v>
      </c>
      <c r="PX53" s="9" t="n">
        <v>0</v>
      </c>
      <c r="PY53" s="9" t="n">
        <v>13.96000000000004</v>
      </c>
      <c r="QC53" s="10" t="n">
        <v>46065</v>
      </c>
      <c r="QE53" s="9" t="n">
        <v>0</v>
      </c>
      <c r="QG53" s="9" t="n">
        <v>0</v>
      </c>
      <c r="QH53" s="9" t="n">
        <v>0</v>
      </c>
      <c r="QL53" s="10" t="n">
        <v>46065</v>
      </c>
      <c r="QN53" s="9" t="n">
        <v>0</v>
      </c>
      <c r="QP53" s="9" t="n">
        <v>0</v>
      </c>
      <c r="QQ53" s="9" t="n">
        <v>0</v>
      </c>
      <c r="QU53" s="10" t="n">
        <v>46065</v>
      </c>
      <c r="QW53" s="9" t="n">
        <v>0</v>
      </c>
      <c r="QY53" s="9" t="n">
        <v>0</v>
      </c>
      <c r="QZ53" s="9" t="n">
        <v>207.6</v>
      </c>
      <c r="RD53" s="10" t="n">
        <v>46065</v>
      </c>
      <c r="RF53" s="9" t="n">
        <v>0</v>
      </c>
      <c r="RH53" s="9" t="n">
        <v>0</v>
      </c>
      <c r="RI53" s="9" t="n">
        <v>201.8</v>
      </c>
      <c r="RM53" s="10" t="n">
        <v>46065</v>
      </c>
      <c r="RO53" s="9" t="n">
        <v>0</v>
      </c>
      <c r="RQ53" s="9" t="n">
        <v>0</v>
      </c>
      <c r="RR53" s="9" t="n">
        <v>46.8</v>
      </c>
      <c r="RV53" s="10" t="n">
        <v>46065</v>
      </c>
      <c r="RX53" s="9" t="n">
        <v>0</v>
      </c>
      <c r="RZ53" s="9" t="n">
        <v>0</v>
      </c>
      <c r="SA53" s="9" t="n">
        <v>0</v>
      </c>
      <c r="SE53" s="10" t="n">
        <v>46065</v>
      </c>
      <c r="SG53" s="9" t="n">
        <v>0</v>
      </c>
      <c r="SI53" s="9" t="n">
        <v>0</v>
      </c>
      <c r="SJ53" s="9" t="n">
        <v>0</v>
      </c>
      <c r="SN53" s="10" t="n">
        <v>46065</v>
      </c>
      <c r="SP53" s="9" t="n">
        <v>0</v>
      </c>
      <c r="SR53" s="9" t="n">
        <v>0</v>
      </c>
      <c r="SS53" s="9" t="n">
        <v>0</v>
      </c>
      <c r="SW53" s="10" t="n">
        <v>46065</v>
      </c>
      <c r="SY53" s="9" t="n">
        <v>0</v>
      </c>
      <c r="TA53" s="9" t="n">
        <v>0</v>
      </c>
      <c r="TB53" s="9" t="n">
        <v>0</v>
      </c>
      <c r="TF53" s="10" t="n">
        <v>46065</v>
      </c>
      <c r="TH53" s="9" t="n">
        <v>0</v>
      </c>
      <c r="TJ53" s="9" t="n">
        <v>0</v>
      </c>
      <c r="TK53" s="9" t="n">
        <v>0</v>
      </c>
      <c r="TO53" s="10" t="n">
        <v>46065</v>
      </c>
      <c r="TQ53" s="9" t="n">
        <v>0</v>
      </c>
      <c r="TS53" s="9" t="n">
        <v>0</v>
      </c>
      <c r="TT53" s="9" t="n">
        <v>0</v>
      </c>
      <c r="TX53" s="10" t="n">
        <v>46065</v>
      </c>
      <c r="TZ53" s="9" t="n">
        <v>0</v>
      </c>
      <c r="UB53" s="9" t="n">
        <v>0</v>
      </c>
      <c r="UC53" s="9" t="n">
        <v>0</v>
      </c>
      <c r="UG53" s="10" t="n">
        <v>46065</v>
      </c>
      <c r="UI53" s="9" t="n">
        <v>0</v>
      </c>
      <c r="UK53" s="9" t="n">
        <v>0</v>
      </c>
      <c r="UL53" s="9" t="n">
        <v>0</v>
      </c>
      <c r="UP53" s="10" t="n">
        <v>46065</v>
      </c>
      <c r="UR53" s="9" t="n">
        <v>0</v>
      </c>
      <c r="UT53" s="9" t="n">
        <v>0</v>
      </c>
      <c r="UU53" s="9" t="n">
        <v>0</v>
      </c>
      <c r="UY53" s="10" t="n">
        <v>46065</v>
      </c>
      <c r="VA53" s="9" t="n">
        <v>0</v>
      </c>
      <c r="VC53" s="9" t="n">
        <v>0</v>
      </c>
      <c r="VD53" s="9" t="n">
        <v>41.60000000000002</v>
      </c>
      <c r="VH53" s="10" t="n">
        <v>46065</v>
      </c>
      <c r="VJ53" s="9" t="n">
        <v>0</v>
      </c>
      <c r="VL53" s="9" t="n">
        <v>0</v>
      </c>
      <c r="VM53" s="9" t="n">
        <v>0</v>
      </c>
      <c r="VQ53" s="10" t="n">
        <v>46065</v>
      </c>
      <c r="VS53" s="9" t="n">
        <v>0</v>
      </c>
      <c r="VU53" s="9" t="n">
        <v>0</v>
      </c>
      <c r="VV53" s="9" t="n">
        <v>0</v>
      </c>
      <c r="VZ53" s="10" t="n">
        <v>46065</v>
      </c>
      <c r="WB53" s="9" t="n">
        <v>0</v>
      </c>
      <c r="WD53" s="9" t="n">
        <v>0</v>
      </c>
      <c r="WE53" s="9" t="n">
        <v>0</v>
      </c>
      <c r="WI53" s="10" t="n">
        <v>46065</v>
      </c>
      <c r="WK53" s="9" t="n">
        <v>0</v>
      </c>
      <c r="WL53" s="9" t="n">
        <v>48</v>
      </c>
      <c r="WM53" s="9" t="n">
        <v>-48</v>
      </c>
      <c r="WN53" s="9" t="n">
        <v>9561</v>
      </c>
      <c r="WR53" s="10" t="n">
        <v>46065</v>
      </c>
      <c r="WT53" s="9" t="n">
        <v>0</v>
      </c>
      <c r="WU53" s="9" t="n">
        <v>1359</v>
      </c>
      <c r="WV53" s="9" t="n">
        <v>-1359</v>
      </c>
      <c r="WW53" s="9" t="n">
        <v>6790</v>
      </c>
      <c r="XA53" s="10" t="n">
        <v>46065</v>
      </c>
      <c r="XC53" s="9" t="n">
        <v>0</v>
      </c>
      <c r="XE53" s="9" t="n">
        <v>0</v>
      </c>
      <c r="XF53" s="9" t="n">
        <v>590</v>
      </c>
      <c r="XJ53" s="10" t="n">
        <v>46065</v>
      </c>
      <c r="XL53" s="9" t="n">
        <v>0</v>
      </c>
      <c r="XM53" s="9" t="n">
        <v>830</v>
      </c>
      <c r="XN53" s="9" t="n">
        <v>-830</v>
      </c>
      <c r="XO53" s="9" t="n">
        <v>-266</v>
      </c>
      <c r="XS53" s="10" t="n">
        <v>46065</v>
      </c>
      <c r="XU53" s="9" t="n">
        <v>0</v>
      </c>
      <c r="XW53" s="9" t="n">
        <v>0</v>
      </c>
      <c r="XX53" s="9" t="n">
        <v>1901</v>
      </c>
      <c r="YB53" s="10" t="n">
        <v>46065</v>
      </c>
      <c r="YD53" s="9" t="n">
        <v>0</v>
      </c>
      <c r="YF53" s="9" t="n">
        <v>0</v>
      </c>
      <c r="YG53" s="9" t="n">
        <v>-37</v>
      </c>
      <c r="YK53" s="10" t="n">
        <v>46065</v>
      </c>
      <c r="YM53" s="9" t="n">
        <v>0</v>
      </c>
      <c r="YO53" s="9" t="n">
        <v>0</v>
      </c>
      <c r="YP53" s="9" t="n">
        <v>0</v>
      </c>
      <c r="YT53" s="10" t="n">
        <v>46065</v>
      </c>
      <c r="YV53" s="9" t="n">
        <v>0</v>
      </c>
      <c r="YX53" s="9" t="n">
        <v>0</v>
      </c>
      <c r="YY53" s="9" t="n">
        <v>0</v>
      </c>
      <c r="ZC53" s="10" t="n">
        <v>46065</v>
      </c>
      <c r="ZE53" s="9" t="n">
        <v>0</v>
      </c>
      <c r="ZG53" s="9" t="n">
        <v>0</v>
      </c>
      <c r="ZH53" s="9" t="n">
        <v>0</v>
      </c>
      <c r="ZL53" s="10" t="n">
        <v>46065</v>
      </c>
      <c r="ZN53" s="9" t="n">
        <v>0</v>
      </c>
      <c r="ZP53" s="9" t="n">
        <v>0</v>
      </c>
      <c r="ZQ53" s="9" t="n">
        <v>0</v>
      </c>
      <c r="ZU53" s="10" t="n">
        <v>46065</v>
      </c>
      <c r="ZW53" s="9" t="n">
        <v>0</v>
      </c>
      <c r="ZY53" s="9" t="n">
        <v>0</v>
      </c>
      <c r="ZZ53" s="9" t="n">
        <v>0</v>
      </c>
      <c r="AAD53" s="10" t="n">
        <v>46065</v>
      </c>
      <c r="AAF53" s="9" t="n">
        <v>0</v>
      </c>
      <c r="AAH53" s="9" t="n">
        <v>0</v>
      </c>
      <c r="AAI53" s="9" t="n">
        <v>0</v>
      </c>
      <c r="AAM53" s="10" t="n">
        <v>46065</v>
      </c>
      <c r="AAO53" s="9" t="n">
        <v>0</v>
      </c>
      <c r="AAQ53" s="9" t="n">
        <v>0</v>
      </c>
      <c r="AAR53" s="9" t="n">
        <v>0</v>
      </c>
      <c r="AAV53" s="10" t="n">
        <v>46065</v>
      </c>
      <c r="AAX53" s="9" t="n">
        <v>0</v>
      </c>
      <c r="AAZ53" s="9" t="n">
        <v>0</v>
      </c>
      <c r="ABA53" s="9" t="n">
        <v>0</v>
      </c>
      <c r="ABE53" s="10" t="n">
        <v>46065</v>
      </c>
      <c r="ABG53" s="9" t="n">
        <v>0</v>
      </c>
      <c r="ABI53" s="9" t="n">
        <v>0</v>
      </c>
      <c r="ABJ53" s="9" t="n">
        <v>0</v>
      </c>
    </row>
    <row r="54">
      <c r="B54" s="9" t="n">
        <v>138</v>
      </c>
      <c r="C54" s="10" t="n">
        <v>46066</v>
      </c>
      <c r="D54" s="9" t="n">
        <v>55180</v>
      </c>
      <c r="E54" s="9" t="n">
        <v>74112.60000000001</v>
      </c>
      <c r="F54" s="9" t="n">
        <v>74115.60000000001</v>
      </c>
      <c r="G54" s="9" t="n">
        <v>-3</v>
      </c>
      <c r="H54" s="9" t="n">
        <v>232692.4</v>
      </c>
      <c r="I54" s="9" t="inlineStr">
        <is>
          <t>1101 26mt, 8102 112mt</t>
        </is>
      </c>
      <c r="L54" s="10" t="n">
        <v>46066</v>
      </c>
      <c r="M54" s="9" t="n">
        <v>105580</v>
      </c>
      <c r="N54" s="9" t="n">
        <v>39730.49999999999</v>
      </c>
      <c r="O54" s="9" t="n">
        <v>39733.4</v>
      </c>
      <c r="P54" s="9" t="n">
        <v>-2.900000000008731</v>
      </c>
      <c r="Q54" s="9" t="n">
        <v>125526</v>
      </c>
      <c r="U54" s="10" t="n">
        <v>46066</v>
      </c>
      <c r="W54" s="9" t="n">
        <v>6250</v>
      </c>
      <c r="X54" s="9" t="n">
        <v>6251.1</v>
      </c>
      <c r="Y54" s="9" t="n">
        <v>-1.100000000000364</v>
      </c>
      <c r="Z54" s="9" t="n">
        <v>52938.19999999998</v>
      </c>
      <c r="AD54" s="10" t="n">
        <v>46066</v>
      </c>
      <c r="AF54" s="9" t="n">
        <v>6900</v>
      </c>
      <c r="AG54" s="9" t="n">
        <v>6902.3</v>
      </c>
      <c r="AH54" s="9" t="n">
        <v>-2.300000000000182</v>
      </c>
      <c r="AI54" s="9" t="n">
        <v>48256.60000000002</v>
      </c>
      <c r="AM54" s="10" t="n">
        <v>46066</v>
      </c>
      <c r="AO54" s="9" t="n">
        <v>0</v>
      </c>
      <c r="AQ54" s="9" t="n">
        <v>0</v>
      </c>
      <c r="AR54" s="9" t="n">
        <v>0</v>
      </c>
      <c r="AV54" s="10" t="n">
        <v>46066</v>
      </c>
      <c r="AX54" s="9" t="n">
        <v>2760</v>
      </c>
      <c r="AY54" s="9" t="n">
        <v>2760.8</v>
      </c>
      <c r="AZ54" s="9" t="n">
        <v>-0.8000000000001819</v>
      </c>
      <c r="BA54" s="9" t="n">
        <v>51523.89999999999</v>
      </c>
      <c r="BE54" s="10" t="n">
        <v>46066</v>
      </c>
      <c r="BG54" s="9" t="n">
        <v>2240</v>
      </c>
      <c r="BH54" s="9" t="n">
        <v>2242.4</v>
      </c>
      <c r="BI54" s="9" t="n">
        <v>-2.400000000000091</v>
      </c>
      <c r="BJ54" s="9" t="n">
        <v>23346.80000000001</v>
      </c>
      <c r="BN54" s="10" t="n">
        <v>46066</v>
      </c>
      <c r="BO54" s="9" t="n">
        <v>2760</v>
      </c>
      <c r="BP54" s="9" t="n">
        <v>2760</v>
      </c>
      <c r="BQ54" s="9" t="n">
        <v>2760</v>
      </c>
      <c r="BR54" s="9" t="n">
        <v>0</v>
      </c>
      <c r="BS54" s="9" t="n">
        <v>0</v>
      </c>
      <c r="BW54" s="10" t="n">
        <v>46066</v>
      </c>
      <c r="BY54" s="9" t="n">
        <v>58.50000000000001</v>
      </c>
      <c r="BZ54" s="9" t="n">
        <v>2123.2</v>
      </c>
      <c r="CA54" s="9" t="n">
        <v>-2064.7</v>
      </c>
      <c r="CB54" s="9" t="n">
        <v>999.4000000000001</v>
      </c>
      <c r="CF54" s="10" t="n">
        <v>46066</v>
      </c>
      <c r="CG54" s="9" t="n">
        <v>3227.4</v>
      </c>
      <c r="CH54" s="9" t="n">
        <v>23.4</v>
      </c>
      <c r="CI54" s="9" t="n">
        <v>3227.4</v>
      </c>
      <c r="CJ54" s="9" t="n">
        <v>-3204</v>
      </c>
      <c r="CK54" s="9" t="n">
        <v>0</v>
      </c>
      <c r="CO54" s="10" t="n">
        <v>46066</v>
      </c>
      <c r="CQ54" s="9" t="n">
        <v>0</v>
      </c>
      <c r="CS54" s="9" t="n">
        <v>0</v>
      </c>
      <c r="CT54" s="9" t="n">
        <v>0</v>
      </c>
      <c r="CX54" s="10" t="n">
        <v>46066</v>
      </c>
      <c r="CY54" s="9" t="n">
        <v>20400</v>
      </c>
      <c r="CZ54" s="9" t="n">
        <v>0</v>
      </c>
      <c r="DB54" s="9" t="n">
        <v>0</v>
      </c>
      <c r="DC54" s="9" t="n">
        <v>27086.8</v>
      </c>
      <c r="DG54" s="10" t="n">
        <v>46066</v>
      </c>
      <c r="DI54" s="9" t="n">
        <v>0</v>
      </c>
      <c r="DK54" s="9" t="n">
        <v>0</v>
      </c>
      <c r="DL54" s="9" t="n">
        <v>13431.6</v>
      </c>
      <c r="DP54" s="10" t="n">
        <v>46066</v>
      </c>
      <c r="DQ54" s="9" t="n">
        <v>2300</v>
      </c>
      <c r="DR54" s="9" t="n">
        <v>0</v>
      </c>
      <c r="DT54" s="9" t="n">
        <v>0</v>
      </c>
      <c r="DU54" s="9" t="n">
        <v>2300</v>
      </c>
      <c r="DY54" s="10" t="n">
        <v>46066</v>
      </c>
      <c r="EA54" s="9" t="n">
        <v>0</v>
      </c>
      <c r="EC54" s="9" t="n">
        <v>0</v>
      </c>
      <c r="ED54" s="9" t="n">
        <v>5696.8</v>
      </c>
      <c r="EH54" s="10" t="n">
        <v>46066</v>
      </c>
      <c r="EJ54" s="9" t="n">
        <v>0</v>
      </c>
      <c r="EL54" s="9" t="n">
        <v>0</v>
      </c>
      <c r="EM54" s="9" t="n">
        <v>0</v>
      </c>
      <c r="EQ54" s="10" t="n">
        <v>46066</v>
      </c>
      <c r="ES54" s="9" t="n">
        <v>0</v>
      </c>
      <c r="EU54" s="9" t="n">
        <v>0</v>
      </c>
      <c r="EV54" s="9" t="n">
        <v>0</v>
      </c>
      <c r="EZ54" s="10" t="n">
        <v>46066</v>
      </c>
      <c r="FB54" s="9" t="n">
        <v>0</v>
      </c>
      <c r="FD54" s="9" t="n">
        <v>0</v>
      </c>
      <c r="FE54" s="9" t="n">
        <v>0</v>
      </c>
      <c r="FI54" s="10" t="n">
        <v>46066</v>
      </c>
      <c r="FK54" s="9" t="n">
        <v>0</v>
      </c>
      <c r="FM54" s="9" t="n">
        <v>0</v>
      </c>
      <c r="FN54" s="9" t="n">
        <v>0</v>
      </c>
      <c r="FR54" s="10" t="n">
        <v>46066</v>
      </c>
      <c r="FT54" s="9" t="n">
        <v>520</v>
      </c>
      <c r="FV54" s="9" t="n">
        <v>520</v>
      </c>
      <c r="FW54" s="9" t="n">
        <v>3020</v>
      </c>
      <c r="GA54" s="10" t="n">
        <v>46066</v>
      </c>
      <c r="GC54" s="9" t="n">
        <v>0</v>
      </c>
      <c r="GE54" s="9" t="n">
        <v>0</v>
      </c>
      <c r="GF54" s="9" t="n">
        <v>5960</v>
      </c>
      <c r="GJ54" s="10" t="n">
        <v>46066</v>
      </c>
      <c r="GL54" s="9" t="n">
        <v>0</v>
      </c>
      <c r="GN54" s="9" t="n">
        <v>0</v>
      </c>
      <c r="GO54" s="9" t="n">
        <v>5240</v>
      </c>
      <c r="GS54" s="10" t="n">
        <v>46066</v>
      </c>
      <c r="GU54" s="9" t="n">
        <v>0</v>
      </c>
      <c r="GW54" s="9" t="n">
        <v>0</v>
      </c>
      <c r="GX54" s="9" t="n">
        <v>0</v>
      </c>
      <c r="HB54" s="10" t="n">
        <v>46066</v>
      </c>
      <c r="HD54" s="9" t="n">
        <v>0</v>
      </c>
      <c r="HF54" s="9" t="n">
        <v>0</v>
      </c>
      <c r="HG54" s="9" t="n">
        <v>0</v>
      </c>
      <c r="HK54" s="10" t="n">
        <v>46066</v>
      </c>
      <c r="HM54" s="9" t="n">
        <v>0</v>
      </c>
      <c r="HO54" s="9" t="n">
        <v>0</v>
      </c>
      <c r="HP54" s="9" t="n">
        <v>0</v>
      </c>
      <c r="HU54" s="10" t="n">
        <v>46066</v>
      </c>
      <c r="HW54" s="9" t="n">
        <v>0</v>
      </c>
      <c r="HY54" s="9" t="n">
        <v>0</v>
      </c>
      <c r="HZ54" s="9" t="n">
        <v>5120</v>
      </c>
      <c r="ID54" s="10" t="n">
        <v>46066</v>
      </c>
      <c r="IF54" s="9" t="n">
        <v>0</v>
      </c>
      <c r="IH54" s="9" t="n">
        <v>0</v>
      </c>
      <c r="II54" s="9" t="n">
        <v>5100</v>
      </c>
      <c r="IM54" s="10" t="n">
        <v>46066</v>
      </c>
      <c r="IO54" s="9" t="n">
        <v>2240</v>
      </c>
      <c r="IQ54" s="9" t="n">
        <v>2240</v>
      </c>
      <c r="IR54" s="9" t="n">
        <v>11040</v>
      </c>
      <c r="IV54" s="10" t="n">
        <v>46066</v>
      </c>
      <c r="IX54" s="9" t="n">
        <v>0</v>
      </c>
      <c r="IZ54" s="9" t="n">
        <v>0</v>
      </c>
      <c r="JA54" s="9" t="n">
        <v>15120</v>
      </c>
      <c r="JE54" s="10" t="n">
        <v>46066</v>
      </c>
      <c r="JG54" s="9" t="n">
        <v>0</v>
      </c>
      <c r="JI54" s="9" t="n">
        <v>0</v>
      </c>
      <c r="JJ54" s="9" t="n">
        <v>6800</v>
      </c>
      <c r="JN54" s="10" t="n">
        <v>46066</v>
      </c>
      <c r="JP54" s="9" t="n">
        <v>0</v>
      </c>
      <c r="JR54" s="9" t="n">
        <v>0</v>
      </c>
      <c r="JS54" s="9" t="n">
        <v>5400</v>
      </c>
      <c r="JW54" s="10" t="n">
        <v>46066</v>
      </c>
      <c r="JX54" s="9" t="n">
        <v>3600</v>
      </c>
      <c r="JY54" s="9" t="n">
        <v>0</v>
      </c>
      <c r="KA54" s="9" t="n">
        <v>0</v>
      </c>
      <c r="KB54" s="9" t="n">
        <v>4000</v>
      </c>
      <c r="KF54" s="10" t="n">
        <v>46066</v>
      </c>
      <c r="KH54" s="9" t="n">
        <v>0</v>
      </c>
      <c r="KI54" s="9" t="n">
        <v>3861</v>
      </c>
      <c r="KJ54" s="9" t="n">
        <v>-3861</v>
      </c>
      <c r="KK54" s="9" t="n">
        <v>1287</v>
      </c>
      <c r="KO54" s="10" t="n">
        <v>46066</v>
      </c>
      <c r="KQ54" s="9" t="n">
        <v>0</v>
      </c>
      <c r="KR54" s="9" t="n">
        <v>2570.4</v>
      </c>
      <c r="KS54" s="9" t="n">
        <v>-2570.4</v>
      </c>
      <c r="KT54" s="9" t="n">
        <v>10659.6</v>
      </c>
      <c r="KX54" s="10" t="n">
        <v>46066</v>
      </c>
      <c r="KZ54" s="9" t="n">
        <v>0</v>
      </c>
      <c r="LB54" s="9" t="n">
        <v>0</v>
      </c>
      <c r="LC54" s="9" t="n">
        <v>0</v>
      </c>
      <c r="LG54" s="10" t="n">
        <v>46066</v>
      </c>
      <c r="LI54" s="9" t="n">
        <v>0</v>
      </c>
      <c r="LK54" s="9" t="n">
        <v>0</v>
      </c>
      <c r="LL54" s="9" t="n">
        <v>0</v>
      </c>
      <c r="LP54" s="10" t="n">
        <v>46066</v>
      </c>
      <c r="LR54" s="9" t="n">
        <v>0</v>
      </c>
      <c r="LT54" s="9" t="n">
        <v>0</v>
      </c>
      <c r="LU54" s="9" t="n">
        <v>0</v>
      </c>
      <c r="LY54" s="10" t="n">
        <v>46066</v>
      </c>
      <c r="MA54" s="9" t="n">
        <v>0</v>
      </c>
      <c r="MC54" s="9" t="n">
        <v>0</v>
      </c>
      <c r="MD54" s="9" t="n">
        <v>0</v>
      </c>
      <c r="MH54" s="10" t="n">
        <v>46066</v>
      </c>
      <c r="MJ54" s="9" t="n">
        <v>0</v>
      </c>
      <c r="ML54" s="9" t="n">
        <v>0</v>
      </c>
      <c r="MM54" s="9" t="n">
        <v>0</v>
      </c>
      <c r="MQ54" s="10" t="n">
        <v>46066</v>
      </c>
      <c r="MS54" s="9" t="n">
        <v>69</v>
      </c>
      <c r="MT54" s="9" t="n">
        <v>701</v>
      </c>
      <c r="MU54" s="9" t="n">
        <v>-632</v>
      </c>
      <c r="MV54" s="9" t="n">
        <v>385</v>
      </c>
      <c r="MZ54" s="10" t="n">
        <v>46066</v>
      </c>
      <c r="NA54" s="9" t="n">
        <v>877.2</v>
      </c>
      <c r="NB54" s="9" t="n">
        <v>336</v>
      </c>
      <c r="NC54" s="9" t="n">
        <v>877.2</v>
      </c>
      <c r="ND54" s="9" t="n">
        <v>-541.2</v>
      </c>
      <c r="NE54" s="9" t="n">
        <v>0</v>
      </c>
      <c r="NI54" s="10" t="n">
        <v>46066</v>
      </c>
      <c r="NK54" s="9" t="n">
        <v>0</v>
      </c>
      <c r="NM54" s="9" t="n">
        <v>0</v>
      </c>
      <c r="NN54" s="9" t="n">
        <v>0</v>
      </c>
      <c r="NR54" s="10" t="n">
        <v>46066</v>
      </c>
      <c r="NT54" s="9" t="n">
        <v>0</v>
      </c>
      <c r="NU54" s="9" t="n">
        <v>400.8</v>
      </c>
      <c r="NV54" s="9" t="n">
        <v>-400.8</v>
      </c>
      <c r="NW54" s="9" t="n">
        <v>2310</v>
      </c>
      <c r="OA54" s="10" t="n">
        <v>46066</v>
      </c>
      <c r="OC54" s="9" t="n">
        <v>0</v>
      </c>
      <c r="OE54" s="9" t="n">
        <v>0</v>
      </c>
      <c r="OF54" s="9" t="n">
        <v>1680.5</v>
      </c>
      <c r="OJ54" s="10" t="n">
        <v>46066</v>
      </c>
      <c r="OK54" s="9" t="n">
        <v>935.2</v>
      </c>
      <c r="OL54" s="9" t="n">
        <v>0</v>
      </c>
      <c r="OM54" s="9" t="n">
        <v>935.2</v>
      </c>
      <c r="ON54" s="9" t="n">
        <v>-935.2</v>
      </c>
      <c r="OO54" s="9" t="n">
        <v>0</v>
      </c>
      <c r="OS54" s="10" t="n">
        <v>46066</v>
      </c>
      <c r="OU54" s="9" t="n">
        <v>0</v>
      </c>
      <c r="OW54" s="9" t="n">
        <v>0</v>
      </c>
      <c r="OX54" s="9" t="n">
        <v>0</v>
      </c>
      <c r="PB54" s="10" t="n">
        <v>46066</v>
      </c>
      <c r="PC54" s="9" t="n">
        <v>40</v>
      </c>
      <c r="PD54" s="9" t="n">
        <v>0</v>
      </c>
      <c r="PE54" s="9" t="n">
        <v>40</v>
      </c>
      <c r="PF54" s="9" t="n">
        <v>-40</v>
      </c>
      <c r="PG54" s="9" t="n">
        <v>0</v>
      </c>
      <c r="PK54" s="10" t="n">
        <v>46066</v>
      </c>
      <c r="PM54" s="9" t="n">
        <v>0</v>
      </c>
      <c r="PO54" s="9" t="n">
        <v>0</v>
      </c>
      <c r="PP54" s="9" t="n">
        <v>160</v>
      </c>
      <c r="PT54" s="10" t="n">
        <v>46066</v>
      </c>
      <c r="PV54" s="9" t="n">
        <v>0</v>
      </c>
      <c r="PX54" s="9" t="n">
        <v>0</v>
      </c>
      <c r="PY54" s="9" t="n">
        <v>13.96000000000004</v>
      </c>
      <c r="QC54" s="10" t="n">
        <v>46066</v>
      </c>
      <c r="QE54" s="9" t="n">
        <v>0</v>
      </c>
      <c r="QG54" s="9" t="n">
        <v>0</v>
      </c>
      <c r="QH54" s="9" t="n">
        <v>0</v>
      </c>
      <c r="QL54" s="10" t="n">
        <v>46066</v>
      </c>
      <c r="QN54" s="9" t="n">
        <v>0</v>
      </c>
      <c r="QP54" s="9" t="n">
        <v>0</v>
      </c>
      <c r="QQ54" s="9" t="n">
        <v>0</v>
      </c>
      <c r="QU54" s="10" t="n">
        <v>46066</v>
      </c>
      <c r="QW54" s="9" t="n">
        <v>0</v>
      </c>
      <c r="QY54" s="9" t="n">
        <v>0</v>
      </c>
      <c r="QZ54" s="9" t="n">
        <v>207.6</v>
      </c>
      <c r="RD54" s="10" t="n">
        <v>46066</v>
      </c>
      <c r="RF54" s="9" t="n">
        <v>0</v>
      </c>
      <c r="RH54" s="9" t="n">
        <v>0</v>
      </c>
      <c r="RI54" s="9" t="n">
        <v>201.8</v>
      </c>
      <c r="RM54" s="10" t="n">
        <v>46066</v>
      </c>
      <c r="RO54" s="9" t="n">
        <v>0</v>
      </c>
      <c r="RQ54" s="9" t="n">
        <v>0</v>
      </c>
      <c r="RR54" s="9" t="n">
        <v>46.8</v>
      </c>
      <c r="RV54" s="10" t="n">
        <v>46066</v>
      </c>
      <c r="RX54" s="9" t="n">
        <v>0</v>
      </c>
      <c r="RZ54" s="9" t="n">
        <v>0</v>
      </c>
      <c r="SA54" s="9" t="n">
        <v>0</v>
      </c>
      <c r="SE54" s="10" t="n">
        <v>46066</v>
      </c>
      <c r="SG54" s="9" t="n">
        <v>0</v>
      </c>
      <c r="SI54" s="9" t="n">
        <v>0</v>
      </c>
      <c r="SJ54" s="9" t="n">
        <v>0</v>
      </c>
      <c r="SN54" s="10" t="n">
        <v>46066</v>
      </c>
      <c r="SP54" s="9" t="n">
        <v>0</v>
      </c>
      <c r="SR54" s="9" t="n">
        <v>0</v>
      </c>
      <c r="SS54" s="9" t="n">
        <v>0</v>
      </c>
      <c r="SW54" s="10" t="n">
        <v>46066</v>
      </c>
      <c r="SY54" s="9" t="n">
        <v>0</v>
      </c>
      <c r="TA54" s="9" t="n">
        <v>0</v>
      </c>
      <c r="TB54" s="9" t="n">
        <v>0</v>
      </c>
      <c r="TF54" s="10" t="n">
        <v>46066</v>
      </c>
      <c r="TH54" s="9" t="n">
        <v>0</v>
      </c>
      <c r="TJ54" s="9" t="n">
        <v>0</v>
      </c>
      <c r="TK54" s="9" t="n">
        <v>0</v>
      </c>
      <c r="TO54" s="10" t="n">
        <v>46066</v>
      </c>
      <c r="TQ54" s="9" t="n">
        <v>0</v>
      </c>
      <c r="TS54" s="9" t="n">
        <v>0</v>
      </c>
      <c r="TT54" s="9" t="n">
        <v>0</v>
      </c>
      <c r="TX54" s="10" t="n">
        <v>46066</v>
      </c>
      <c r="TZ54" s="9" t="n">
        <v>0</v>
      </c>
      <c r="UB54" s="9" t="n">
        <v>0</v>
      </c>
      <c r="UC54" s="9" t="n">
        <v>0</v>
      </c>
      <c r="UG54" s="10" t="n">
        <v>46066</v>
      </c>
      <c r="UI54" s="9" t="n">
        <v>0</v>
      </c>
      <c r="UK54" s="9" t="n">
        <v>0</v>
      </c>
      <c r="UL54" s="9" t="n">
        <v>0</v>
      </c>
      <c r="UP54" s="10" t="n">
        <v>46066</v>
      </c>
      <c r="UR54" s="9" t="n">
        <v>0</v>
      </c>
      <c r="UT54" s="9" t="n">
        <v>0</v>
      </c>
      <c r="UU54" s="9" t="n">
        <v>0</v>
      </c>
      <c r="UY54" s="10" t="n">
        <v>46066</v>
      </c>
      <c r="VA54" s="9" t="n">
        <v>0</v>
      </c>
      <c r="VC54" s="9" t="n">
        <v>0</v>
      </c>
      <c r="VD54" s="9" t="n">
        <v>41.60000000000002</v>
      </c>
      <c r="VH54" s="10" t="n">
        <v>46066</v>
      </c>
      <c r="VJ54" s="9" t="n">
        <v>0</v>
      </c>
      <c r="VL54" s="9" t="n">
        <v>0</v>
      </c>
      <c r="VM54" s="9" t="n">
        <v>0</v>
      </c>
      <c r="VQ54" s="10" t="n">
        <v>46066</v>
      </c>
      <c r="VS54" s="9" t="n">
        <v>0</v>
      </c>
      <c r="VU54" s="9" t="n">
        <v>0</v>
      </c>
      <c r="VV54" s="9" t="n">
        <v>0</v>
      </c>
      <c r="VZ54" s="10" t="n">
        <v>46066</v>
      </c>
      <c r="WB54" s="9" t="n">
        <v>0</v>
      </c>
      <c r="WD54" s="9" t="n">
        <v>0</v>
      </c>
      <c r="WE54" s="9" t="n">
        <v>0</v>
      </c>
      <c r="WI54" s="10" t="n">
        <v>46066</v>
      </c>
      <c r="WK54" s="9" t="n">
        <v>0</v>
      </c>
      <c r="WM54" s="9" t="n">
        <v>0</v>
      </c>
      <c r="WN54" s="9" t="n">
        <v>9561</v>
      </c>
      <c r="WR54" s="10" t="n">
        <v>46066</v>
      </c>
      <c r="WT54" s="9" t="n">
        <v>0</v>
      </c>
      <c r="WU54" s="9" t="n">
        <v>231</v>
      </c>
      <c r="WV54" s="9" t="n">
        <v>-231</v>
      </c>
      <c r="WW54" s="9" t="n">
        <v>6559</v>
      </c>
      <c r="XA54" s="10" t="n">
        <v>46066</v>
      </c>
      <c r="XC54" s="9" t="n">
        <v>0</v>
      </c>
      <c r="XE54" s="9" t="n">
        <v>0</v>
      </c>
      <c r="XF54" s="9" t="n">
        <v>590</v>
      </c>
      <c r="XJ54" s="10" t="n">
        <v>46066</v>
      </c>
      <c r="XK54" s="9" t="n">
        <v>10000</v>
      </c>
      <c r="XL54" s="9" t="n">
        <v>0</v>
      </c>
      <c r="XM54" s="9" t="n">
        <v>882</v>
      </c>
      <c r="XN54" s="9" t="n">
        <v>-882</v>
      </c>
      <c r="XO54" s="9" t="n">
        <v>8852</v>
      </c>
      <c r="XS54" s="10" t="n">
        <v>46066</v>
      </c>
      <c r="XU54" s="9" t="n">
        <v>0</v>
      </c>
      <c r="XW54" s="9" t="n">
        <v>0</v>
      </c>
      <c r="XX54" s="9" t="n">
        <v>1901</v>
      </c>
      <c r="YB54" s="10" t="n">
        <v>46066</v>
      </c>
      <c r="YD54" s="9" t="n">
        <v>0</v>
      </c>
      <c r="YE54" s="9" t="n">
        <v>670</v>
      </c>
      <c r="YF54" s="9" t="n">
        <v>-670</v>
      </c>
      <c r="YG54" s="9" t="n">
        <v>-707</v>
      </c>
      <c r="YK54" s="10" t="n">
        <v>46066</v>
      </c>
      <c r="YM54" s="9" t="n">
        <v>0</v>
      </c>
      <c r="YO54" s="9" t="n">
        <v>0</v>
      </c>
      <c r="YP54" s="9" t="n">
        <v>0</v>
      </c>
      <c r="YT54" s="10" t="n">
        <v>46066</v>
      </c>
      <c r="YV54" s="9" t="n">
        <v>0</v>
      </c>
      <c r="YX54" s="9" t="n">
        <v>0</v>
      </c>
      <c r="YY54" s="9" t="n">
        <v>0</v>
      </c>
      <c r="ZC54" s="10" t="n">
        <v>46066</v>
      </c>
      <c r="ZE54" s="9" t="n">
        <v>0</v>
      </c>
      <c r="ZG54" s="9" t="n">
        <v>0</v>
      </c>
      <c r="ZH54" s="9" t="n">
        <v>0</v>
      </c>
      <c r="ZL54" s="10" t="n">
        <v>46066</v>
      </c>
      <c r="ZN54" s="9" t="n">
        <v>0</v>
      </c>
      <c r="ZP54" s="9" t="n">
        <v>0</v>
      </c>
      <c r="ZQ54" s="9" t="n">
        <v>0</v>
      </c>
      <c r="ZU54" s="10" t="n">
        <v>46066</v>
      </c>
      <c r="ZW54" s="9" t="n">
        <v>0</v>
      </c>
      <c r="ZY54" s="9" t="n">
        <v>0</v>
      </c>
      <c r="ZZ54" s="9" t="n">
        <v>0</v>
      </c>
      <c r="AAD54" s="10" t="n">
        <v>46066</v>
      </c>
      <c r="AAF54" s="9" t="n">
        <v>0</v>
      </c>
      <c r="AAH54" s="9" t="n">
        <v>0</v>
      </c>
      <c r="AAI54" s="9" t="n">
        <v>0</v>
      </c>
      <c r="AAM54" s="10" t="n">
        <v>46066</v>
      </c>
      <c r="AAO54" s="9" t="n">
        <v>0</v>
      </c>
      <c r="AAQ54" s="9" t="n">
        <v>0</v>
      </c>
      <c r="AAR54" s="9" t="n">
        <v>0</v>
      </c>
      <c r="AAV54" s="10" t="n">
        <v>46066</v>
      </c>
      <c r="AAX54" s="9" t="n">
        <v>0</v>
      </c>
      <c r="AAZ54" s="9" t="n">
        <v>0</v>
      </c>
      <c r="ABA54" s="9" t="n">
        <v>0</v>
      </c>
      <c r="ABE54" s="10" t="n">
        <v>46066</v>
      </c>
      <c r="ABG54" s="9" t="n">
        <v>0</v>
      </c>
      <c r="ABI54" s="9" t="n">
        <v>0</v>
      </c>
      <c r="ABJ54" s="9" t="n">
        <v>0</v>
      </c>
    </row>
    <row r="55">
      <c r="C55" s="10" t="n">
        <v>46067</v>
      </c>
      <c r="E55" s="9" t="n">
        <v>0</v>
      </c>
      <c r="G55" s="9" t="n">
        <v>0</v>
      </c>
      <c r="H55" s="9" t="n">
        <v>232692.4</v>
      </c>
      <c r="L55" s="10" t="n">
        <v>46067</v>
      </c>
      <c r="N55" s="9" t="n">
        <v>0</v>
      </c>
      <c r="P55" s="9" t="n">
        <v>0</v>
      </c>
      <c r="Q55" s="9" t="n">
        <v>125526</v>
      </c>
      <c r="U55" s="10" t="n">
        <v>46067</v>
      </c>
      <c r="W55" s="9" t="n">
        <v>0</v>
      </c>
      <c r="Y55" s="9" t="n">
        <v>0</v>
      </c>
      <c r="Z55" s="9" t="n">
        <v>52938.19999999998</v>
      </c>
      <c r="AD55" s="10" t="n">
        <v>46067</v>
      </c>
      <c r="AF55" s="9" t="n">
        <v>0</v>
      </c>
      <c r="AH55" s="9" t="n">
        <v>0</v>
      </c>
      <c r="AI55" s="9" t="n">
        <v>48256.60000000002</v>
      </c>
      <c r="AM55" s="10" t="n">
        <v>46067</v>
      </c>
      <c r="AO55" s="9" t="n">
        <v>0</v>
      </c>
      <c r="AQ55" s="9" t="n">
        <v>0</v>
      </c>
      <c r="AR55" s="9" t="n">
        <v>0</v>
      </c>
      <c r="AV55" s="10" t="n">
        <v>46067</v>
      </c>
      <c r="AX55" s="9" t="n">
        <v>0</v>
      </c>
      <c r="AZ55" s="9" t="n">
        <v>0</v>
      </c>
      <c r="BA55" s="9" t="n">
        <v>51523.89999999999</v>
      </c>
      <c r="BE55" s="10" t="n">
        <v>46067</v>
      </c>
      <c r="BG55" s="9" t="n">
        <v>0</v>
      </c>
      <c r="BI55" s="9" t="n">
        <v>0</v>
      </c>
      <c r="BJ55" s="9" t="n">
        <v>23346.80000000001</v>
      </c>
      <c r="BN55" s="10" t="n">
        <v>46067</v>
      </c>
      <c r="BP55" s="9" t="n">
        <v>0</v>
      </c>
      <c r="BR55" s="9" t="n">
        <v>0</v>
      </c>
      <c r="BS55" s="9" t="n">
        <v>0</v>
      </c>
      <c r="BW55" s="10" t="n">
        <v>46067</v>
      </c>
      <c r="BY55" s="9" t="n">
        <v>0</v>
      </c>
      <c r="CA55" s="9" t="n">
        <v>0</v>
      </c>
      <c r="CB55" s="9" t="n">
        <v>999.4000000000001</v>
      </c>
      <c r="CF55" s="10" t="n">
        <v>46067</v>
      </c>
      <c r="CH55" s="9" t="n">
        <v>0</v>
      </c>
      <c r="CJ55" s="9" t="n">
        <v>0</v>
      </c>
      <c r="CK55" s="9" t="n">
        <v>0</v>
      </c>
      <c r="CO55" s="10" t="n">
        <v>46067</v>
      </c>
      <c r="CQ55" s="9" t="n">
        <v>0</v>
      </c>
      <c r="CS55" s="9" t="n">
        <v>0</v>
      </c>
      <c r="CT55" s="9" t="n">
        <v>0</v>
      </c>
      <c r="CX55" s="10" t="n">
        <v>46067</v>
      </c>
      <c r="CZ55" s="9" t="n">
        <v>0</v>
      </c>
      <c r="DB55" s="9" t="n">
        <v>0</v>
      </c>
      <c r="DC55" s="9" t="n">
        <v>27086.8</v>
      </c>
      <c r="DG55" s="10" t="n">
        <v>46067</v>
      </c>
      <c r="DI55" s="9" t="n">
        <v>0</v>
      </c>
      <c r="DK55" s="9" t="n">
        <v>0</v>
      </c>
      <c r="DL55" s="9" t="n">
        <v>13431.6</v>
      </c>
      <c r="DP55" s="10" t="n">
        <v>46067</v>
      </c>
      <c r="DR55" s="9" t="n">
        <v>0</v>
      </c>
      <c r="DT55" s="9" t="n">
        <v>0</v>
      </c>
      <c r="DU55" s="9" t="n">
        <v>2300</v>
      </c>
      <c r="DY55" s="10" t="n">
        <v>46067</v>
      </c>
      <c r="EA55" s="9" t="n">
        <v>0</v>
      </c>
      <c r="EC55" s="9" t="n">
        <v>0</v>
      </c>
      <c r="ED55" s="9" t="n">
        <v>5696.8</v>
      </c>
      <c r="EH55" s="10" t="n">
        <v>46067</v>
      </c>
      <c r="EJ55" s="9" t="n">
        <v>0</v>
      </c>
      <c r="EL55" s="9" t="n">
        <v>0</v>
      </c>
      <c r="EM55" s="9" t="n">
        <v>0</v>
      </c>
      <c r="EQ55" s="10" t="n">
        <v>46067</v>
      </c>
      <c r="ES55" s="9" t="n">
        <v>0</v>
      </c>
      <c r="EU55" s="9" t="n">
        <v>0</v>
      </c>
      <c r="EV55" s="9" t="n">
        <v>0</v>
      </c>
      <c r="EZ55" s="10" t="n">
        <v>46067</v>
      </c>
      <c r="FB55" s="9" t="n">
        <v>0</v>
      </c>
      <c r="FD55" s="9" t="n">
        <v>0</v>
      </c>
      <c r="FE55" s="9" t="n">
        <v>0</v>
      </c>
      <c r="FI55" s="10" t="n">
        <v>46067</v>
      </c>
      <c r="FK55" s="9" t="n">
        <v>0</v>
      </c>
      <c r="FM55" s="9" t="n">
        <v>0</v>
      </c>
      <c r="FN55" s="9" t="n">
        <v>0</v>
      </c>
      <c r="FR55" s="10" t="n">
        <v>46067</v>
      </c>
      <c r="FT55" s="9" t="n">
        <v>0</v>
      </c>
      <c r="FU55" s="9" t="n">
        <v>600</v>
      </c>
      <c r="FV55" s="9" t="n">
        <v>-600</v>
      </c>
      <c r="FW55" s="9" t="n">
        <v>2420</v>
      </c>
      <c r="FX55" s="9" t="n">
        <v>30</v>
      </c>
      <c r="GA55" s="10" t="n">
        <v>46067</v>
      </c>
      <c r="GC55" s="9" t="n">
        <v>0</v>
      </c>
      <c r="GE55" s="9" t="n">
        <v>0</v>
      </c>
      <c r="GF55" s="9" t="n">
        <v>5960</v>
      </c>
      <c r="GJ55" s="10" t="n">
        <v>46067</v>
      </c>
      <c r="GL55" s="9" t="n">
        <v>0</v>
      </c>
      <c r="GN55" s="9" t="n">
        <v>0</v>
      </c>
      <c r="GO55" s="9" t="n">
        <v>5240</v>
      </c>
      <c r="GS55" s="10" t="n">
        <v>46067</v>
      </c>
      <c r="GU55" s="9" t="n">
        <v>0</v>
      </c>
      <c r="GW55" s="9" t="n">
        <v>0</v>
      </c>
      <c r="GX55" s="9" t="n">
        <v>0</v>
      </c>
      <c r="HB55" s="10" t="n">
        <v>46067</v>
      </c>
      <c r="HD55" s="9" t="n">
        <v>0</v>
      </c>
      <c r="HF55" s="9" t="n">
        <v>0</v>
      </c>
      <c r="HG55" s="9" t="n">
        <v>0</v>
      </c>
      <c r="HK55" s="10" t="n">
        <v>46067</v>
      </c>
      <c r="HM55" s="9" t="n">
        <v>0</v>
      </c>
      <c r="HO55" s="9" t="n">
        <v>0</v>
      </c>
      <c r="HP55" s="9" t="n">
        <v>0</v>
      </c>
      <c r="HU55" s="10" t="n">
        <v>46067</v>
      </c>
      <c r="HW55" s="9" t="n">
        <v>0</v>
      </c>
      <c r="HY55" s="9" t="n">
        <v>0</v>
      </c>
      <c r="HZ55" s="9" t="n">
        <v>5120</v>
      </c>
      <c r="ID55" s="10" t="n">
        <v>46067</v>
      </c>
      <c r="IF55" s="9" t="n">
        <v>0</v>
      </c>
      <c r="IH55" s="9" t="n">
        <v>0</v>
      </c>
      <c r="II55" s="9" t="n">
        <v>5100</v>
      </c>
      <c r="IM55" s="10" t="n">
        <v>46067</v>
      </c>
      <c r="IO55" s="9" t="n">
        <v>0</v>
      </c>
      <c r="IP55" s="9" t="n">
        <v>800</v>
      </c>
      <c r="IQ55" s="9" t="n">
        <v>-800</v>
      </c>
      <c r="IR55" s="9" t="n">
        <v>10240</v>
      </c>
      <c r="IS55" s="9" t="n">
        <v>40</v>
      </c>
      <c r="IV55" s="10" t="n">
        <v>46067</v>
      </c>
      <c r="IX55" s="9" t="n">
        <v>0</v>
      </c>
      <c r="IZ55" s="9" t="n">
        <v>0</v>
      </c>
      <c r="JA55" s="9" t="n">
        <v>15120</v>
      </c>
      <c r="JE55" s="10" t="n">
        <v>46067</v>
      </c>
      <c r="JG55" s="9" t="n">
        <v>0</v>
      </c>
      <c r="JI55" s="9" t="n">
        <v>0</v>
      </c>
      <c r="JJ55" s="9" t="n">
        <v>6800</v>
      </c>
      <c r="JN55" s="10" t="n">
        <v>46067</v>
      </c>
      <c r="JP55" s="9" t="n">
        <v>0</v>
      </c>
      <c r="JR55" s="9" t="n">
        <v>0</v>
      </c>
      <c r="JS55" s="9" t="n">
        <v>5400</v>
      </c>
      <c r="JW55" s="10" t="n">
        <v>46067</v>
      </c>
      <c r="JY55" s="9" t="n">
        <v>0</v>
      </c>
      <c r="KA55" s="9" t="n">
        <v>0</v>
      </c>
      <c r="KB55" s="9" t="n">
        <v>4000</v>
      </c>
      <c r="KF55" s="10" t="n">
        <v>46067</v>
      </c>
      <c r="KH55" s="9" t="n">
        <v>0</v>
      </c>
      <c r="KJ55" s="9" t="n">
        <v>0</v>
      </c>
      <c r="KK55" s="9" t="n">
        <v>1287</v>
      </c>
      <c r="KO55" s="10" t="n">
        <v>46067</v>
      </c>
      <c r="KQ55" s="9" t="n">
        <v>0</v>
      </c>
      <c r="KS55" s="9" t="n">
        <v>0</v>
      </c>
      <c r="KT55" s="9" t="n">
        <v>10659.6</v>
      </c>
      <c r="KX55" s="10" t="n">
        <v>46067</v>
      </c>
      <c r="KZ55" s="9" t="n">
        <v>0</v>
      </c>
      <c r="LB55" s="9" t="n">
        <v>0</v>
      </c>
      <c r="LC55" s="9" t="n">
        <v>0</v>
      </c>
      <c r="LG55" s="10" t="n">
        <v>46067</v>
      </c>
      <c r="LI55" s="9" t="n">
        <v>0</v>
      </c>
      <c r="LK55" s="9" t="n">
        <v>0</v>
      </c>
      <c r="LL55" s="9" t="n">
        <v>0</v>
      </c>
      <c r="LP55" s="10" t="n">
        <v>46067</v>
      </c>
      <c r="LR55" s="9" t="n">
        <v>0</v>
      </c>
      <c r="LT55" s="9" t="n">
        <v>0</v>
      </c>
      <c r="LU55" s="9" t="n">
        <v>0</v>
      </c>
      <c r="LY55" s="10" t="n">
        <v>46067</v>
      </c>
      <c r="MA55" s="9" t="n">
        <v>0</v>
      </c>
      <c r="MC55" s="9" t="n">
        <v>0</v>
      </c>
      <c r="MD55" s="9" t="n">
        <v>0</v>
      </c>
      <c r="MH55" s="10" t="n">
        <v>46067</v>
      </c>
      <c r="MJ55" s="9" t="n">
        <v>0</v>
      </c>
      <c r="ML55" s="9" t="n">
        <v>0</v>
      </c>
      <c r="MM55" s="9" t="n">
        <v>0</v>
      </c>
      <c r="MQ55" s="10" t="n">
        <v>46067</v>
      </c>
      <c r="MS55" s="9" t="n">
        <v>0</v>
      </c>
      <c r="MU55" s="9" t="n">
        <v>0</v>
      </c>
      <c r="MV55" s="9" t="n">
        <v>385</v>
      </c>
      <c r="MZ55" s="10" t="n">
        <v>46067</v>
      </c>
      <c r="NB55" s="9" t="n">
        <v>0</v>
      </c>
      <c r="ND55" s="9" t="n">
        <v>0</v>
      </c>
      <c r="NE55" s="9" t="n">
        <v>0</v>
      </c>
      <c r="NI55" s="10" t="n">
        <v>46067</v>
      </c>
      <c r="NK55" s="9" t="n">
        <v>0</v>
      </c>
      <c r="NM55" s="9" t="n">
        <v>0</v>
      </c>
      <c r="NN55" s="9" t="n">
        <v>0</v>
      </c>
      <c r="NR55" s="10" t="n">
        <v>46067</v>
      </c>
      <c r="NT55" s="9" t="n">
        <v>0</v>
      </c>
      <c r="NV55" s="9" t="n">
        <v>0</v>
      </c>
      <c r="NW55" s="9" t="n">
        <v>2310</v>
      </c>
      <c r="OA55" s="10" t="n">
        <v>46067</v>
      </c>
      <c r="OC55" s="9" t="n">
        <v>0</v>
      </c>
      <c r="OE55" s="9" t="n">
        <v>0</v>
      </c>
      <c r="OF55" s="9" t="n">
        <v>1680.5</v>
      </c>
      <c r="OJ55" s="10" t="n">
        <v>46067</v>
      </c>
      <c r="OL55" s="9" t="n">
        <v>0</v>
      </c>
      <c r="ON55" s="9" t="n">
        <v>0</v>
      </c>
      <c r="OO55" s="9" t="n">
        <v>0</v>
      </c>
      <c r="OS55" s="10" t="n">
        <v>46067</v>
      </c>
      <c r="OU55" s="9" t="n">
        <v>0</v>
      </c>
      <c r="OW55" s="9" t="n">
        <v>0</v>
      </c>
      <c r="OX55" s="9" t="n">
        <v>0</v>
      </c>
      <c r="PB55" s="10" t="n">
        <v>46067</v>
      </c>
      <c r="PD55" s="9" t="n">
        <v>0</v>
      </c>
      <c r="PF55" s="9" t="n">
        <v>0</v>
      </c>
      <c r="PG55" s="9" t="n">
        <v>0</v>
      </c>
      <c r="PK55" s="10" t="n">
        <v>46067</v>
      </c>
      <c r="PM55" s="9" t="n">
        <v>0</v>
      </c>
      <c r="PO55" s="9" t="n">
        <v>0</v>
      </c>
      <c r="PP55" s="9" t="n">
        <v>160</v>
      </c>
      <c r="PT55" s="10" t="n">
        <v>46067</v>
      </c>
      <c r="PV55" s="9" t="n">
        <v>0</v>
      </c>
      <c r="PX55" s="9" t="n">
        <v>0</v>
      </c>
      <c r="PY55" s="9" t="n">
        <v>13.96000000000004</v>
      </c>
      <c r="QC55" s="10" t="n">
        <v>46067</v>
      </c>
      <c r="QE55" s="9" t="n">
        <v>0</v>
      </c>
      <c r="QG55" s="9" t="n">
        <v>0</v>
      </c>
      <c r="QH55" s="9" t="n">
        <v>0</v>
      </c>
      <c r="QL55" s="10" t="n">
        <v>46067</v>
      </c>
      <c r="QN55" s="9" t="n">
        <v>0</v>
      </c>
      <c r="QP55" s="9" t="n">
        <v>0</v>
      </c>
      <c r="QQ55" s="9" t="n">
        <v>0</v>
      </c>
      <c r="QU55" s="10" t="n">
        <v>46067</v>
      </c>
      <c r="QW55" s="9" t="n">
        <v>0</v>
      </c>
      <c r="QY55" s="9" t="n">
        <v>0</v>
      </c>
      <c r="QZ55" s="9" t="n">
        <v>207.6</v>
      </c>
      <c r="RD55" s="10" t="n">
        <v>46067</v>
      </c>
      <c r="RF55" s="9" t="n">
        <v>0</v>
      </c>
      <c r="RH55" s="9" t="n">
        <v>0</v>
      </c>
      <c r="RI55" s="9" t="n">
        <v>201.8</v>
      </c>
      <c r="RM55" s="10" t="n">
        <v>46067</v>
      </c>
      <c r="RO55" s="9" t="n">
        <v>0</v>
      </c>
      <c r="RQ55" s="9" t="n">
        <v>0</v>
      </c>
      <c r="RR55" s="9" t="n">
        <v>46.8</v>
      </c>
      <c r="RV55" s="10" t="n">
        <v>46067</v>
      </c>
      <c r="RX55" s="9" t="n">
        <v>0</v>
      </c>
      <c r="RZ55" s="9" t="n">
        <v>0</v>
      </c>
      <c r="SA55" s="9" t="n">
        <v>0</v>
      </c>
      <c r="SE55" s="10" t="n">
        <v>46067</v>
      </c>
      <c r="SG55" s="9" t="n">
        <v>0</v>
      </c>
      <c r="SI55" s="9" t="n">
        <v>0</v>
      </c>
      <c r="SJ55" s="9" t="n">
        <v>0</v>
      </c>
      <c r="SN55" s="10" t="n">
        <v>46067</v>
      </c>
      <c r="SP55" s="9" t="n">
        <v>0</v>
      </c>
      <c r="SR55" s="9" t="n">
        <v>0</v>
      </c>
      <c r="SS55" s="9" t="n">
        <v>0</v>
      </c>
      <c r="SW55" s="10" t="n">
        <v>46067</v>
      </c>
      <c r="SY55" s="9" t="n">
        <v>0</v>
      </c>
      <c r="TA55" s="9" t="n">
        <v>0</v>
      </c>
      <c r="TB55" s="9" t="n">
        <v>0</v>
      </c>
      <c r="TF55" s="10" t="n">
        <v>46067</v>
      </c>
      <c r="TH55" s="9" t="n">
        <v>0</v>
      </c>
      <c r="TJ55" s="9" t="n">
        <v>0</v>
      </c>
      <c r="TK55" s="9" t="n">
        <v>0</v>
      </c>
      <c r="TO55" s="10" t="n">
        <v>46067</v>
      </c>
      <c r="TQ55" s="9" t="n">
        <v>0</v>
      </c>
      <c r="TS55" s="9" t="n">
        <v>0</v>
      </c>
      <c r="TT55" s="9" t="n">
        <v>0</v>
      </c>
      <c r="TX55" s="10" t="n">
        <v>46067</v>
      </c>
      <c r="TZ55" s="9" t="n">
        <v>0</v>
      </c>
      <c r="UB55" s="9" t="n">
        <v>0</v>
      </c>
      <c r="UC55" s="9" t="n">
        <v>0</v>
      </c>
      <c r="UG55" s="10" t="n">
        <v>46067</v>
      </c>
      <c r="UI55" s="9" t="n">
        <v>0</v>
      </c>
      <c r="UK55" s="9" t="n">
        <v>0</v>
      </c>
      <c r="UL55" s="9" t="n">
        <v>0</v>
      </c>
      <c r="UP55" s="10" t="n">
        <v>46067</v>
      </c>
      <c r="UR55" s="9" t="n">
        <v>0</v>
      </c>
      <c r="UT55" s="9" t="n">
        <v>0</v>
      </c>
      <c r="UU55" s="9" t="n">
        <v>0</v>
      </c>
      <c r="UY55" s="10" t="n">
        <v>46067</v>
      </c>
      <c r="VA55" s="9" t="n">
        <v>0</v>
      </c>
      <c r="VC55" s="9" t="n">
        <v>0</v>
      </c>
      <c r="VD55" s="9" t="n">
        <v>41.60000000000002</v>
      </c>
      <c r="VH55" s="10" t="n">
        <v>46067</v>
      </c>
      <c r="VJ55" s="9" t="n">
        <v>0</v>
      </c>
      <c r="VL55" s="9" t="n">
        <v>0</v>
      </c>
      <c r="VM55" s="9" t="n">
        <v>0</v>
      </c>
      <c r="VQ55" s="10" t="n">
        <v>46067</v>
      </c>
      <c r="VS55" s="9" t="n">
        <v>0</v>
      </c>
      <c r="VU55" s="9" t="n">
        <v>0</v>
      </c>
      <c r="VV55" s="9" t="n">
        <v>0</v>
      </c>
      <c r="VZ55" s="10" t="n">
        <v>46067</v>
      </c>
      <c r="WB55" s="9" t="n">
        <v>0</v>
      </c>
      <c r="WD55" s="9" t="n">
        <v>0</v>
      </c>
      <c r="WE55" s="9" t="n">
        <v>0</v>
      </c>
      <c r="WI55" s="10" t="n">
        <v>46067</v>
      </c>
      <c r="WK55" s="9" t="n">
        <v>0</v>
      </c>
      <c r="WL55" s="9" t="n">
        <v>526</v>
      </c>
      <c r="WM55" s="9" t="n">
        <v>-526</v>
      </c>
      <c r="WN55" s="9" t="n">
        <v>9035</v>
      </c>
      <c r="WR55" s="10" t="n">
        <v>46067</v>
      </c>
      <c r="WT55" s="9" t="n">
        <v>0</v>
      </c>
      <c r="WV55" s="9" t="n">
        <v>0</v>
      </c>
      <c r="WW55" s="9" t="n">
        <v>6559</v>
      </c>
      <c r="XA55" s="10" t="n">
        <v>46067</v>
      </c>
      <c r="XC55" s="9" t="n">
        <v>0</v>
      </c>
      <c r="XE55" s="9" t="n">
        <v>0</v>
      </c>
      <c r="XF55" s="9" t="n">
        <v>590</v>
      </c>
      <c r="XJ55" s="10" t="n">
        <v>46067</v>
      </c>
      <c r="XL55" s="9" t="n">
        <v>0</v>
      </c>
      <c r="XN55" s="9" t="n">
        <v>0</v>
      </c>
      <c r="XO55" s="9" t="n">
        <v>8852</v>
      </c>
      <c r="XS55" s="10" t="n">
        <v>46067</v>
      </c>
      <c r="XU55" s="9" t="n">
        <v>0</v>
      </c>
      <c r="XW55" s="9" t="n">
        <v>0</v>
      </c>
      <c r="XX55" s="9" t="n">
        <v>1901</v>
      </c>
      <c r="YB55" s="10" t="n">
        <v>46067</v>
      </c>
      <c r="YD55" s="9" t="n">
        <v>0</v>
      </c>
      <c r="YF55" s="9" t="n">
        <v>0</v>
      </c>
      <c r="YG55" s="9" t="n">
        <v>-707</v>
      </c>
      <c r="YK55" s="10" t="n">
        <v>46067</v>
      </c>
      <c r="YM55" s="9" t="n">
        <v>0</v>
      </c>
      <c r="YO55" s="9" t="n">
        <v>0</v>
      </c>
      <c r="YP55" s="9" t="n">
        <v>0</v>
      </c>
      <c r="YT55" s="10" t="n">
        <v>46067</v>
      </c>
      <c r="YV55" s="9" t="n">
        <v>0</v>
      </c>
      <c r="YX55" s="9" t="n">
        <v>0</v>
      </c>
      <c r="YY55" s="9" t="n">
        <v>0</v>
      </c>
      <c r="ZC55" s="10" t="n">
        <v>46067</v>
      </c>
      <c r="ZE55" s="9" t="n">
        <v>0</v>
      </c>
      <c r="ZG55" s="9" t="n">
        <v>0</v>
      </c>
      <c r="ZH55" s="9" t="n">
        <v>0</v>
      </c>
      <c r="ZL55" s="10" t="n">
        <v>46067</v>
      </c>
      <c r="ZN55" s="9" t="n">
        <v>0</v>
      </c>
      <c r="ZP55" s="9" t="n">
        <v>0</v>
      </c>
      <c r="ZQ55" s="9" t="n">
        <v>0</v>
      </c>
      <c r="ZU55" s="10" t="n">
        <v>46067</v>
      </c>
      <c r="ZW55" s="9" t="n">
        <v>0</v>
      </c>
      <c r="ZY55" s="9" t="n">
        <v>0</v>
      </c>
      <c r="ZZ55" s="9" t="n">
        <v>0</v>
      </c>
      <c r="AAD55" s="10" t="n">
        <v>46067</v>
      </c>
      <c r="AAF55" s="9" t="n">
        <v>0</v>
      </c>
      <c r="AAH55" s="9" t="n">
        <v>0</v>
      </c>
      <c r="AAI55" s="9" t="n">
        <v>0</v>
      </c>
      <c r="AAM55" s="10" t="n">
        <v>46067</v>
      </c>
      <c r="AAO55" s="9" t="n">
        <v>0</v>
      </c>
      <c r="AAQ55" s="9" t="n">
        <v>0</v>
      </c>
      <c r="AAR55" s="9" t="n">
        <v>0</v>
      </c>
      <c r="AAV55" s="10" t="n">
        <v>46067</v>
      </c>
      <c r="AAX55" s="9" t="n">
        <v>0</v>
      </c>
      <c r="AAZ55" s="9" t="n">
        <v>0</v>
      </c>
      <c r="ABA55" s="9" t="n">
        <v>0</v>
      </c>
      <c r="ABE55" s="10" t="n">
        <v>46067</v>
      </c>
      <c r="ABG55" s="9" t="n">
        <v>0</v>
      </c>
      <c r="ABI55" s="9" t="n">
        <v>0</v>
      </c>
      <c r="ABJ55" s="9" t="n">
        <v>0</v>
      </c>
    </row>
    <row r="56">
      <c r="C56" s="10" t="n">
        <v>46068</v>
      </c>
      <c r="E56" s="9" t="n">
        <v>0</v>
      </c>
      <c r="G56" s="9" t="n">
        <v>0</v>
      </c>
      <c r="H56" s="9" t="n">
        <v>232692.4</v>
      </c>
      <c r="L56" s="10" t="n">
        <v>46068</v>
      </c>
      <c r="N56" s="9" t="n">
        <v>0</v>
      </c>
      <c r="P56" s="9" t="n">
        <v>0</v>
      </c>
      <c r="Q56" s="9" t="n">
        <v>125526</v>
      </c>
      <c r="U56" s="10" t="n">
        <v>46068</v>
      </c>
      <c r="W56" s="9" t="n">
        <v>0</v>
      </c>
      <c r="Y56" s="9" t="n">
        <v>0</v>
      </c>
      <c r="Z56" s="9" t="n">
        <v>52938.19999999998</v>
      </c>
      <c r="AD56" s="10" t="n">
        <v>46068</v>
      </c>
      <c r="AF56" s="9" t="n">
        <v>0</v>
      </c>
      <c r="AH56" s="9" t="n">
        <v>0</v>
      </c>
      <c r="AI56" s="9" t="n">
        <v>48256.60000000002</v>
      </c>
      <c r="AM56" s="10" t="n">
        <v>46068</v>
      </c>
      <c r="AO56" s="9" t="n">
        <v>0</v>
      </c>
      <c r="AQ56" s="9" t="n">
        <v>0</v>
      </c>
      <c r="AR56" s="9" t="n">
        <v>0</v>
      </c>
      <c r="AV56" s="10" t="n">
        <v>46068</v>
      </c>
      <c r="AX56" s="9" t="n">
        <v>0</v>
      </c>
      <c r="AZ56" s="9" t="n">
        <v>0</v>
      </c>
      <c r="BA56" s="9" t="n">
        <v>51523.89999999999</v>
      </c>
      <c r="BE56" s="10" t="n">
        <v>46068</v>
      </c>
      <c r="BG56" s="9" t="n">
        <v>0</v>
      </c>
      <c r="BI56" s="9" t="n">
        <v>0</v>
      </c>
      <c r="BJ56" s="9" t="n">
        <v>23346.80000000001</v>
      </c>
      <c r="BN56" s="10" t="n">
        <v>46068</v>
      </c>
      <c r="BP56" s="9" t="n">
        <v>0</v>
      </c>
      <c r="BR56" s="9" t="n">
        <v>0</v>
      </c>
      <c r="BS56" s="9" t="n">
        <v>0</v>
      </c>
      <c r="BW56" s="10" t="n">
        <v>46068</v>
      </c>
      <c r="BY56" s="9" t="n">
        <v>0</v>
      </c>
      <c r="CA56" s="9" t="n">
        <v>0</v>
      </c>
      <c r="CB56" s="9" t="n">
        <v>999.4000000000001</v>
      </c>
      <c r="CF56" s="10" t="n">
        <v>46068</v>
      </c>
      <c r="CH56" s="9" t="n">
        <v>0</v>
      </c>
      <c r="CJ56" s="9" t="n">
        <v>0</v>
      </c>
      <c r="CK56" s="9" t="n">
        <v>0</v>
      </c>
      <c r="CO56" s="10" t="n">
        <v>46068</v>
      </c>
      <c r="CQ56" s="9" t="n">
        <v>0</v>
      </c>
      <c r="CS56" s="9" t="n">
        <v>0</v>
      </c>
      <c r="CT56" s="9" t="n">
        <v>0</v>
      </c>
      <c r="CX56" s="10" t="n">
        <v>46068</v>
      </c>
      <c r="CZ56" s="9" t="n">
        <v>0</v>
      </c>
      <c r="DB56" s="9" t="n">
        <v>0</v>
      </c>
      <c r="DC56" s="9" t="n">
        <v>27086.8</v>
      </c>
      <c r="DG56" s="10" t="n">
        <v>46068</v>
      </c>
      <c r="DI56" s="9" t="n">
        <v>0</v>
      </c>
      <c r="DK56" s="9" t="n">
        <v>0</v>
      </c>
      <c r="DL56" s="9" t="n">
        <v>13431.6</v>
      </c>
      <c r="DP56" s="10" t="n">
        <v>46068</v>
      </c>
      <c r="DR56" s="9" t="n">
        <v>0</v>
      </c>
      <c r="DT56" s="9" t="n">
        <v>0</v>
      </c>
      <c r="DU56" s="9" t="n">
        <v>2300</v>
      </c>
      <c r="DY56" s="10" t="n">
        <v>46068</v>
      </c>
      <c r="EA56" s="9" t="n">
        <v>0</v>
      </c>
      <c r="EC56" s="9" t="n">
        <v>0</v>
      </c>
      <c r="ED56" s="9" t="n">
        <v>5696.8</v>
      </c>
      <c r="EH56" s="10" t="n">
        <v>46068</v>
      </c>
      <c r="EJ56" s="9" t="n">
        <v>0</v>
      </c>
      <c r="EL56" s="9" t="n">
        <v>0</v>
      </c>
      <c r="EM56" s="9" t="n">
        <v>0</v>
      </c>
      <c r="EQ56" s="10" t="n">
        <v>46068</v>
      </c>
      <c r="ES56" s="9" t="n">
        <v>0</v>
      </c>
      <c r="EU56" s="9" t="n">
        <v>0</v>
      </c>
      <c r="EV56" s="9" t="n">
        <v>0</v>
      </c>
      <c r="EZ56" s="10" t="n">
        <v>46068</v>
      </c>
      <c r="FB56" s="9" t="n">
        <v>0</v>
      </c>
      <c r="FD56" s="9" t="n">
        <v>0</v>
      </c>
      <c r="FE56" s="9" t="n">
        <v>0</v>
      </c>
      <c r="FI56" s="10" t="n">
        <v>46068</v>
      </c>
      <c r="FK56" s="9" t="n">
        <v>0</v>
      </c>
      <c r="FM56" s="9" t="n">
        <v>0</v>
      </c>
      <c r="FN56" s="9" t="n">
        <v>0</v>
      </c>
      <c r="FR56" s="10" t="n">
        <v>46068</v>
      </c>
      <c r="FT56" s="9" t="n">
        <v>0</v>
      </c>
      <c r="FV56" s="9" t="n">
        <v>0</v>
      </c>
      <c r="FW56" s="9" t="n">
        <v>2420</v>
      </c>
      <c r="GA56" s="10" t="n">
        <v>46068</v>
      </c>
      <c r="GC56" s="9" t="n">
        <v>0</v>
      </c>
      <c r="GE56" s="9" t="n">
        <v>0</v>
      </c>
      <c r="GF56" s="9" t="n">
        <v>5960</v>
      </c>
      <c r="GJ56" s="10" t="n">
        <v>46068</v>
      </c>
      <c r="GL56" s="9" t="n">
        <v>0</v>
      </c>
      <c r="GN56" s="9" t="n">
        <v>0</v>
      </c>
      <c r="GO56" s="9" t="n">
        <v>5240</v>
      </c>
      <c r="GS56" s="10" t="n">
        <v>46068</v>
      </c>
      <c r="GU56" s="9" t="n">
        <v>0</v>
      </c>
      <c r="GW56" s="9" t="n">
        <v>0</v>
      </c>
      <c r="GX56" s="9" t="n">
        <v>0</v>
      </c>
      <c r="HB56" s="10" t="n">
        <v>46068</v>
      </c>
      <c r="HD56" s="9" t="n">
        <v>0</v>
      </c>
      <c r="HF56" s="9" t="n">
        <v>0</v>
      </c>
      <c r="HG56" s="9" t="n">
        <v>0</v>
      </c>
      <c r="HK56" s="10" t="n">
        <v>46068</v>
      </c>
      <c r="HM56" s="9" t="n">
        <v>0</v>
      </c>
      <c r="HO56" s="9" t="n">
        <v>0</v>
      </c>
      <c r="HP56" s="9" t="n">
        <v>0</v>
      </c>
      <c r="HU56" s="10" t="n">
        <v>46068</v>
      </c>
      <c r="HW56" s="9" t="n">
        <v>0</v>
      </c>
      <c r="HY56" s="9" t="n">
        <v>0</v>
      </c>
      <c r="HZ56" s="9" t="n">
        <v>5120</v>
      </c>
      <c r="ID56" s="10" t="n">
        <v>46068</v>
      </c>
      <c r="IF56" s="9" t="n">
        <v>0</v>
      </c>
      <c r="IH56" s="9" t="n">
        <v>0</v>
      </c>
      <c r="II56" s="9" t="n">
        <v>5100</v>
      </c>
      <c r="IM56" s="10" t="n">
        <v>46068</v>
      </c>
      <c r="IO56" s="9" t="n">
        <v>0</v>
      </c>
      <c r="IQ56" s="9" t="n">
        <v>0</v>
      </c>
      <c r="IR56" s="9" t="n">
        <v>10240</v>
      </c>
      <c r="IV56" s="10" t="n">
        <v>46068</v>
      </c>
      <c r="IX56" s="9" t="n">
        <v>0</v>
      </c>
      <c r="IZ56" s="9" t="n">
        <v>0</v>
      </c>
      <c r="JA56" s="9" t="n">
        <v>15120</v>
      </c>
      <c r="JE56" s="10" t="n">
        <v>46068</v>
      </c>
      <c r="JG56" s="9" t="n">
        <v>0</v>
      </c>
      <c r="JI56" s="9" t="n">
        <v>0</v>
      </c>
      <c r="JJ56" s="9" t="n">
        <v>6800</v>
      </c>
      <c r="JN56" s="10" t="n">
        <v>46068</v>
      </c>
      <c r="JP56" s="9" t="n">
        <v>0</v>
      </c>
      <c r="JR56" s="9" t="n">
        <v>0</v>
      </c>
      <c r="JS56" s="9" t="n">
        <v>5400</v>
      </c>
      <c r="JW56" s="10" t="n">
        <v>46068</v>
      </c>
      <c r="JY56" s="9" t="n">
        <v>0</v>
      </c>
      <c r="KA56" s="9" t="n">
        <v>0</v>
      </c>
      <c r="KB56" s="9" t="n">
        <v>4000</v>
      </c>
      <c r="KF56" s="10" t="n">
        <v>46068</v>
      </c>
      <c r="KH56" s="9" t="n">
        <v>0</v>
      </c>
      <c r="KJ56" s="9" t="n">
        <v>0</v>
      </c>
      <c r="KK56" s="9" t="n">
        <v>1287</v>
      </c>
      <c r="KO56" s="10" t="n">
        <v>46068</v>
      </c>
      <c r="KQ56" s="9" t="n">
        <v>0</v>
      </c>
      <c r="KS56" s="9" t="n">
        <v>0</v>
      </c>
      <c r="KT56" s="9" t="n">
        <v>10659.6</v>
      </c>
      <c r="KX56" s="10" t="n">
        <v>46068</v>
      </c>
      <c r="KZ56" s="9" t="n">
        <v>0</v>
      </c>
      <c r="LB56" s="9" t="n">
        <v>0</v>
      </c>
      <c r="LC56" s="9" t="n">
        <v>0</v>
      </c>
      <c r="LG56" s="10" t="n">
        <v>46068</v>
      </c>
      <c r="LI56" s="9" t="n">
        <v>0</v>
      </c>
      <c r="LK56" s="9" t="n">
        <v>0</v>
      </c>
      <c r="LL56" s="9" t="n">
        <v>0</v>
      </c>
      <c r="LP56" s="10" t="n">
        <v>46068</v>
      </c>
      <c r="LR56" s="9" t="n">
        <v>0</v>
      </c>
      <c r="LT56" s="9" t="n">
        <v>0</v>
      </c>
      <c r="LU56" s="9" t="n">
        <v>0</v>
      </c>
      <c r="LY56" s="10" t="n">
        <v>46068</v>
      </c>
      <c r="MA56" s="9" t="n">
        <v>0</v>
      </c>
      <c r="MC56" s="9" t="n">
        <v>0</v>
      </c>
      <c r="MD56" s="9" t="n">
        <v>0</v>
      </c>
      <c r="MH56" s="10" t="n">
        <v>46068</v>
      </c>
      <c r="MJ56" s="9" t="n">
        <v>0</v>
      </c>
      <c r="ML56" s="9" t="n">
        <v>0</v>
      </c>
      <c r="MM56" s="9" t="n">
        <v>0</v>
      </c>
      <c r="MQ56" s="10" t="n">
        <v>46068</v>
      </c>
      <c r="MS56" s="9" t="n">
        <v>0</v>
      </c>
      <c r="MU56" s="9" t="n">
        <v>0</v>
      </c>
      <c r="MV56" s="9" t="n">
        <v>385</v>
      </c>
      <c r="MZ56" s="10" t="n">
        <v>46068</v>
      </c>
      <c r="NB56" s="9" t="n">
        <v>0</v>
      </c>
      <c r="ND56" s="9" t="n">
        <v>0</v>
      </c>
      <c r="NE56" s="9" t="n">
        <v>0</v>
      </c>
      <c r="NI56" s="10" t="n">
        <v>46068</v>
      </c>
      <c r="NK56" s="9" t="n">
        <v>0</v>
      </c>
      <c r="NM56" s="9" t="n">
        <v>0</v>
      </c>
      <c r="NN56" s="9" t="n">
        <v>0</v>
      </c>
      <c r="NR56" s="10" t="n">
        <v>46068</v>
      </c>
      <c r="NT56" s="9" t="n">
        <v>0</v>
      </c>
      <c r="NV56" s="9" t="n">
        <v>0</v>
      </c>
      <c r="NW56" s="9" t="n">
        <v>2310</v>
      </c>
      <c r="OA56" s="10" t="n">
        <v>46068</v>
      </c>
      <c r="OC56" s="9" t="n">
        <v>0</v>
      </c>
      <c r="OE56" s="9" t="n">
        <v>0</v>
      </c>
      <c r="OF56" s="9" t="n">
        <v>1680.5</v>
      </c>
      <c r="OJ56" s="10" t="n">
        <v>46068</v>
      </c>
      <c r="OL56" s="9" t="n">
        <v>0</v>
      </c>
      <c r="ON56" s="9" t="n">
        <v>0</v>
      </c>
      <c r="OO56" s="9" t="n">
        <v>0</v>
      </c>
      <c r="OS56" s="10" t="n">
        <v>46068</v>
      </c>
      <c r="OU56" s="9" t="n">
        <v>0</v>
      </c>
      <c r="OW56" s="9" t="n">
        <v>0</v>
      </c>
      <c r="OX56" s="9" t="n">
        <v>0</v>
      </c>
      <c r="PB56" s="10" t="n">
        <v>46068</v>
      </c>
      <c r="PD56" s="9" t="n">
        <v>0</v>
      </c>
      <c r="PF56" s="9" t="n">
        <v>0</v>
      </c>
      <c r="PG56" s="9" t="n">
        <v>0</v>
      </c>
      <c r="PK56" s="10" t="n">
        <v>46068</v>
      </c>
      <c r="PM56" s="9" t="n">
        <v>0</v>
      </c>
      <c r="PO56" s="9" t="n">
        <v>0</v>
      </c>
      <c r="PP56" s="9" t="n">
        <v>160</v>
      </c>
      <c r="PT56" s="10" t="n">
        <v>46068</v>
      </c>
      <c r="PV56" s="9" t="n">
        <v>0</v>
      </c>
      <c r="PX56" s="9" t="n">
        <v>0</v>
      </c>
      <c r="PY56" s="9" t="n">
        <v>13.96000000000004</v>
      </c>
      <c r="QC56" s="10" t="n">
        <v>46068</v>
      </c>
      <c r="QE56" s="9" t="n">
        <v>0</v>
      </c>
      <c r="QG56" s="9" t="n">
        <v>0</v>
      </c>
      <c r="QH56" s="9" t="n">
        <v>0</v>
      </c>
      <c r="QL56" s="10" t="n">
        <v>46068</v>
      </c>
      <c r="QN56" s="9" t="n">
        <v>0</v>
      </c>
      <c r="QP56" s="9" t="n">
        <v>0</v>
      </c>
      <c r="QQ56" s="9" t="n">
        <v>0</v>
      </c>
      <c r="QU56" s="10" t="n">
        <v>46068</v>
      </c>
      <c r="QW56" s="9" t="n">
        <v>0</v>
      </c>
      <c r="QY56" s="9" t="n">
        <v>0</v>
      </c>
      <c r="QZ56" s="9" t="n">
        <v>207.6</v>
      </c>
      <c r="RD56" s="10" t="n">
        <v>46068</v>
      </c>
      <c r="RF56" s="9" t="n">
        <v>0</v>
      </c>
      <c r="RG56" s="9" t="n">
        <v>4.76</v>
      </c>
      <c r="RH56" s="9" t="n">
        <v>-4.76</v>
      </c>
      <c r="RI56" s="9" t="n">
        <v>197.04</v>
      </c>
      <c r="RM56" s="10" t="n">
        <v>46068</v>
      </c>
      <c r="RO56" s="9" t="n">
        <v>0</v>
      </c>
      <c r="RQ56" s="9" t="n">
        <v>0</v>
      </c>
      <c r="RR56" s="9" t="n">
        <v>46.8</v>
      </c>
      <c r="RV56" s="10" t="n">
        <v>46068</v>
      </c>
      <c r="RX56" s="9" t="n">
        <v>0</v>
      </c>
      <c r="RZ56" s="9" t="n">
        <v>0</v>
      </c>
      <c r="SA56" s="9" t="n">
        <v>0</v>
      </c>
      <c r="SE56" s="10" t="n">
        <v>46068</v>
      </c>
      <c r="SG56" s="9" t="n">
        <v>0</v>
      </c>
      <c r="SI56" s="9" t="n">
        <v>0</v>
      </c>
      <c r="SJ56" s="9" t="n">
        <v>0</v>
      </c>
      <c r="SN56" s="10" t="n">
        <v>46068</v>
      </c>
      <c r="SP56" s="9" t="n">
        <v>0</v>
      </c>
      <c r="SR56" s="9" t="n">
        <v>0</v>
      </c>
      <c r="SS56" s="9" t="n">
        <v>0</v>
      </c>
      <c r="SW56" s="10" t="n">
        <v>46068</v>
      </c>
      <c r="SY56" s="9" t="n">
        <v>0</v>
      </c>
      <c r="TA56" s="9" t="n">
        <v>0</v>
      </c>
      <c r="TB56" s="9" t="n">
        <v>0</v>
      </c>
      <c r="TF56" s="10" t="n">
        <v>46068</v>
      </c>
      <c r="TH56" s="9" t="n">
        <v>0</v>
      </c>
      <c r="TJ56" s="9" t="n">
        <v>0</v>
      </c>
      <c r="TK56" s="9" t="n">
        <v>0</v>
      </c>
      <c r="TO56" s="10" t="n">
        <v>46068</v>
      </c>
      <c r="TQ56" s="9" t="n">
        <v>0</v>
      </c>
      <c r="TS56" s="9" t="n">
        <v>0</v>
      </c>
      <c r="TT56" s="9" t="n">
        <v>0</v>
      </c>
      <c r="TX56" s="10" t="n">
        <v>46068</v>
      </c>
      <c r="TZ56" s="9" t="n">
        <v>0</v>
      </c>
      <c r="UB56" s="9" t="n">
        <v>0</v>
      </c>
      <c r="UC56" s="9" t="n">
        <v>0</v>
      </c>
      <c r="UG56" s="10" t="n">
        <v>46068</v>
      </c>
      <c r="UI56" s="9" t="n">
        <v>0</v>
      </c>
      <c r="UK56" s="9" t="n">
        <v>0</v>
      </c>
      <c r="UL56" s="9" t="n">
        <v>0</v>
      </c>
      <c r="UP56" s="10" t="n">
        <v>46068</v>
      </c>
      <c r="UR56" s="9" t="n">
        <v>0</v>
      </c>
      <c r="UT56" s="9" t="n">
        <v>0</v>
      </c>
      <c r="UU56" s="9" t="n">
        <v>0</v>
      </c>
      <c r="UY56" s="10" t="n">
        <v>46068</v>
      </c>
      <c r="VA56" s="9" t="n">
        <v>0</v>
      </c>
      <c r="VC56" s="9" t="n">
        <v>0</v>
      </c>
      <c r="VD56" s="9" t="n">
        <v>41.60000000000002</v>
      </c>
      <c r="VH56" s="10" t="n">
        <v>46068</v>
      </c>
      <c r="VJ56" s="9" t="n">
        <v>0</v>
      </c>
      <c r="VL56" s="9" t="n">
        <v>0</v>
      </c>
      <c r="VM56" s="9" t="n">
        <v>0</v>
      </c>
      <c r="VQ56" s="10" t="n">
        <v>46068</v>
      </c>
      <c r="VS56" s="9" t="n">
        <v>0</v>
      </c>
      <c r="VU56" s="9" t="n">
        <v>0</v>
      </c>
      <c r="VV56" s="9" t="n">
        <v>0</v>
      </c>
      <c r="VZ56" s="10" t="n">
        <v>46068</v>
      </c>
      <c r="WB56" s="9" t="n">
        <v>0</v>
      </c>
      <c r="WD56" s="9" t="n">
        <v>0</v>
      </c>
      <c r="WE56" s="9" t="n">
        <v>0</v>
      </c>
      <c r="WI56" s="10" t="n">
        <v>46068</v>
      </c>
      <c r="WK56" s="9" t="n">
        <v>0</v>
      </c>
      <c r="WM56" s="9" t="n">
        <v>0</v>
      </c>
      <c r="WN56" s="9" t="n">
        <v>9035</v>
      </c>
      <c r="WR56" s="10" t="n">
        <v>46068</v>
      </c>
      <c r="WT56" s="9" t="n">
        <v>0</v>
      </c>
      <c r="WV56" s="9" t="n">
        <v>0</v>
      </c>
      <c r="WW56" s="9" t="n">
        <v>6559</v>
      </c>
      <c r="XA56" s="10" t="n">
        <v>46068</v>
      </c>
      <c r="XC56" s="9" t="n">
        <v>0</v>
      </c>
      <c r="XE56" s="9" t="n">
        <v>0</v>
      </c>
      <c r="XF56" s="9" t="n">
        <v>590</v>
      </c>
      <c r="XJ56" s="10" t="n">
        <v>46068</v>
      </c>
      <c r="XL56" s="9" t="n">
        <v>0</v>
      </c>
      <c r="XN56" s="9" t="n">
        <v>0</v>
      </c>
      <c r="XO56" s="9" t="n">
        <v>8852</v>
      </c>
      <c r="XS56" s="10" t="n">
        <v>46068</v>
      </c>
      <c r="XU56" s="9" t="n">
        <v>0</v>
      </c>
      <c r="XW56" s="9" t="n">
        <v>0</v>
      </c>
      <c r="XX56" s="9" t="n">
        <v>1901</v>
      </c>
      <c r="YB56" s="10" t="n">
        <v>46068</v>
      </c>
      <c r="YD56" s="9" t="n">
        <v>0</v>
      </c>
      <c r="YF56" s="9" t="n">
        <v>0</v>
      </c>
      <c r="YG56" s="9" t="n">
        <v>-707</v>
      </c>
      <c r="YK56" s="10" t="n">
        <v>46068</v>
      </c>
      <c r="YM56" s="9" t="n">
        <v>0</v>
      </c>
      <c r="YO56" s="9" t="n">
        <v>0</v>
      </c>
      <c r="YP56" s="9" t="n">
        <v>0</v>
      </c>
      <c r="YT56" s="10" t="n">
        <v>46068</v>
      </c>
      <c r="YV56" s="9" t="n">
        <v>0</v>
      </c>
      <c r="YX56" s="9" t="n">
        <v>0</v>
      </c>
      <c r="YY56" s="9" t="n">
        <v>0</v>
      </c>
      <c r="ZC56" s="10" t="n">
        <v>46068</v>
      </c>
      <c r="ZE56" s="9" t="n">
        <v>0</v>
      </c>
      <c r="ZG56" s="9" t="n">
        <v>0</v>
      </c>
      <c r="ZH56" s="9" t="n">
        <v>0</v>
      </c>
      <c r="ZL56" s="10" t="n">
        <v>46068</v>
      </c>
      <c r="ZN56" s="9" t="n">
        <v>0</v>
      </c>
      <c r="ZP56" s="9" t="n">
        <v>0</v>
      </c>
      <c r="ZQ56" s="9" t="n">
        <v>0</v>
      </c>
      <c r="ZU56" s="10" t="n">
        <v>46068</v>
      </c>
      <c r="ZW56" s="9" t="n">
        <v>0</v>
      </c>
      <c r="ZY56" s="9" t="n">
        <v>0</v>
      </c>
      <c r="ZZ56" s="9" t="n">
        <v>0</v>
      </c>
      <c r="AAD56" s="10" t="n">
        <v>46068</v>
      </c>
      <c r="AAF56" s="9" t="n">
        <v>0</v>
      </c>
      <c r="AAH56" s="9" t="n">
        <v>0</v>
      </c>
      <c r="AAI56" s="9" t="n">
        <v>0</v>
      </c>
      <c r="AAM56" s="10" t="n">
        <v>46068</v>
      </c>
      <c r="AAO56" s="9" t="n">
        <v>0</v>
      </c>
      <c r="AAQ56" s="9" t="n">
        <v>0</v>
      </c>
      <c r="AAR56" s="9" t="n">
        <v>0</v>
      </c>
      <c r="AAV56" s="10" t="n">
        <v>46068</v>
      </c>
      <c r="AAX56" s="9" t="n">
        <v>0</v>
      </c>
      <c r="AAZ56" s="9" t="n">
        <v>0</v>
      </c>
      <c r="ABA56" s="9" t="n">
        <v>0</v>
      </c>
      <c r="ABE56" s="10" t="n">
        <v>46068</v>
      </c>
      <c r="ABG56" s="9" t="n">
        <v>0</v>
      </c>
      <c r="ABI56" s="9" t="n">
        <v>0</v>
      </c>
      <c r="ABJ56" s="9" t="n">
        <v>0</v>
      </c>
    </row>
    <row r="57">
      <c r="B57" s="9" t="n">
        <v>30</v>
      </c>
      <c r="C57" s="10" t="n">
        <v>46069</v>
      </c>
      <c r="E57" s="9" t="n">
        <v>16053</v>
      </c>
      <c r="F57" s="9" t="n">
        <v>16053</v>
      </c>
      <c r="G57" s="9" t="n">
        <v>0</v>
      </c>
      <c r="H57" s="9" t="n">
        <v>216639.4</v>
      </c>
      <c r="I57" s="9" t="inlineStr">
        <is>
          <t>1101 30mt</t>
        </is>
      </c>
      <c r="L57" s="10" t="n">
        <v>46069</v>
      </c>
      <c r="N57" s="9" t="n">
        <v>9787.5</v>
      </c>
      <c r="O57" s="9" t="n">
        <v>9788.4</v>
      </c>
      <c r="P57" s="9" t="n">
        <v>-0.8999999999996362</v>
      </c>
      <c r="Q57" s="9" t="n">
        <v>115737.6</v>
      </c>
      <c r="U57" s="10" t="n">
        <v>46069</v>
      </c>
      <c r="W57" s="9" t="n">
        <v>750</v>
      </c>
      <c r="X57" s="9" t="n">
        <v>751.1</v>
      </c>
      <c r="Y57" s="9" t="n">
        <v>-1.100000000000023</v>
      </c>
      <c r="Z57" s="9" t="n">
        <v>52187.09999999998</v>
      </c>
      <c r="AD57" s="10" t="n">
        <v>46069</v>
      </c>
      <c r="AF57" s="9" t="n">
        <v>1500</v>
      </c>
      <c r="AG57" s="9" t="n">
        <v>1501.1</v>
      </c>
      <c r="AH57" s="9" t="n">
        <v>-1.099999999999909</v>
      </c>
      <c r="AI57" s="9" t="n">
        <v>46755.50000000002</v>
      </c>
      <c r="AM57" s="10" t="n">
        <v>46069</v>
      </c>
      <c r="AO57" s="9" t="n">
        <v>0</v>
      </c>
      <c r="AQ57" s="9" t="n">
        <v>0</v>
      </c>
      <c r="AR57" s="9" t="n">
        <v>0</v>
      </c>
      <c r="AV57" s="10" t="n">
        <v>46069</v>
      </c>
      <c r="AX57" s="9" t="n">
        <v>600</v>
      </c>
      <c r="AY57" s="9" t="n">
        <v>601.6</v>
      </c>
      <c r="AZ57" s="9" t="n">
        <v>-1.600000000000023</v>
      </c>
      <c r="BA57" s="9" t="n">
        <v>50922.29999999999</v>
      </c>
      <c r="BE57" s="10" t="n">
        <v>46069</v>
      </c>
      <c r="BG57" s="9" t="n">
        <v>0</v>
      </c>
      <c r="BI57" s="9" t="n">
        <v>0</v>
      </c>
      <c r="BJ57" s="9" t="n">
        <v>23346.80000000001</v>
      </c>
      <c r="BN57" s="10" t="n">
        <v>46069</v>
      </c>
      <c r="BO57" s="9" t="n">
        <v>600</v>
      </c>
      <c r="BP57" s="9" t="n">
        <v>600</v>
      </c>
      <c r="BQ57" s="9" t="n">
        <v>600</v>
      </c>
      <c r="BR57" s="9" t="n">
        <v>0</v>
      </c>
      <c r="BS57" s="9" t="n">
        <v>0</v>
      </c>
      <c r="BW57" s="10" t="n">
        <v>46069</v>
      </c>
      <c r="BY57" s="9" t="n">
        <v>67.50000000000001</v>
      </c>
      <c r="BZ57" s="9" t="n">
        <v>67.5</v>
      </c>
      <c r="CA57" s="9" t="n">
        <v>0</v>
      </c>
      <c r="CB57" s="9" t="n">
        <v>931.9000000000001</v>
      </c>
      <c r="CF57" s="10" t="n">
        <v>46069</v>
      </c>
      <c r="CG57" s="9" t="n">
        <v>27</v>
      </c>
      <c r="CH57" s="9" t="n">
        <v>27</v>
      </c>
      <c r="CI57" s="9" t="n">
        <v>27</v>
      </c>
      <c r="CJ57" s="9" t="n">
        <v>0</v>
      </c>
      <c r="CK57" s="9" t="n">
        <v>0</v>
      </c>
      <c r="CO57" s="10" t="n">
        <v>46069</v>
      </c>
      <c r="CQ57" s="9" t="n">
        <v>0</v>
      </c>
      <c r="CS57" s="9" t="n">
        <v>0</v>
      </c>
      <c r="CT57" s="9" t="n">
        <v>0</v>
      </c>
      <c r="CX57" s="10" t="n">
        <v>46069</v>
      </c>
      <c r="CZ57" s="9" t="n">
        <v>0</v>
      </c>
      <c r="DB57" s="9" t="n">
        <v>0</v>
      </c>
      <c r="DC57" s="9" t="n">
        <v>27086.8</v>
      </c>
      <c r="DG57" s="10" t="n">
        <v>46069</v>
      </c>
      <c r="DI57" s="9" t="n">
        <v>0</v>
      </c>
      <c r="DK57" s="9" t="n">
        <v>0</v>
      </c>
      <c r="DL57" s="9" t="n">
        <v>13431.6</v>
      </c>
      <c r="DP57" s="10" t="n">
        <v>46069</v>
      </c>
      <c r="DR57" s="9" t="n">
        <v>0</v>
      </c>
      <c r="DT57" s="9" t="n">
        <v>0</v>
      </c>
      <c r="DU57" s="9" t="n">
        <v>2300</v>
      </c>
      <c r="DY57" s="10" t="n">
        <v>46069</v>
      </c>
      <c r="EA57" s="9" t="n">
        <v>0</v>
      </c>
      <c r="EC57" s="9" t="n">
        <v>0</v>
      </c>
      <c r="ED57" s="9" t="n">
        <v>5696.8</v>
      </c>
      <c r="EH57" s="10" t="n">
        <v>46069</v>
      </c>
      <c r="EJ57" s="9" t="n">
        <v>0</v>
      </c>
      <c r="EL57" s="9" t="n">
        <v>0</v>
      </c>
      <c r="EM57" s="9" t="n">
        <v>0</v>
      </c>
      <c r="EQ57" s="10" t="n">
        <v>46069</v>
      </c>
      <c r="ES57" s="9" t="n">
        <v>0</v>
      </c>
      <c r="EU57" s="9" t="n">
        <v>0</v>
      </c>
      <c r="EV57" s="9" t="n">
        <v>0</v>
      </c>
      <c r="EZ57" s="10" t="n">
        <v>46069</v>
      </c>
      <c r="FB57" s="9" t="n">
        <v>0</v>
      </c>
      <c r="FD57" s="9" t="n">
        <v>0</v>
      </c>
      <c r="FE57" s="9" t="n">
        <v>0</v>
      </c>
      <c r="FI57" s="10" t="n">
        <v>46069</v>
      </c>
      <c r="FK57" s="9" t="n">
        <v>0</v>
      </c>
      <c r="FM57" s="9" t="n">
        <v>0</v>
      </c>
      <c r="FN57" s="9" t="n">
        <v>0</v>
      </c>
      <c r="FR57" s="10" t="n">
        <v>46069</v>
      </c>
      <c r="FT57" s="9" t="n">
        <v>600</v>
      </c>
      <c r="FU57" s="9" t="n">
        <v>520</v>
      </c>
      <c r="FV57" s="9" t="n">
        <v>80</v>
      </c>
      <c r="FW57" s="9" t="n">
        <v>1900</v>
      </c>
      <c r="FX57" s="9" t="n">
        <v>26</v>
      </c>
      <c r="GA57" s="10" t="n">
        <v>46069</v>
      </c>
      <c r="GC57" s="9" t="n">
        <v>0</v>
      </c>
      <c r="GE57" s="9" t="n">
        <v>0</v>
      </c>
      <c r="GF57" s="9" t="n">
        <v>5960</v>
      </c>
      <c r="GJ57" s="10" t="n">
        <v>46069</v>
      </c>
      <c r="GL57" s="9" t="n">
        <v>0</v>
      </c>
      <c r="GN57" s="9" t="n">
        <v>0</v>
      </c>
      <c r="GO57" s="9" t="n">
        <v>5240</v>
      </c>
      <c r="GS57" s="10" t="n">
        <v>46069</v>
      </c>
      <c r="GU57" s="9" t="n">
        <v>0</v>
      </c>
      <c r="GW57" s="9" t="n">
        <v>0</v>
      </c>
      <c r="GX57" s="9" t="n">
        <v>0</v>
      </c>
      <c r="HB57" s="10" t="n">
        <v>46069</v>
      </c>
      <c r="HD57" s="9" t="n">
        <v>0</v>
      </c>
      <c r="HF57" s="9" t="n">
        <v>0</v>
      </c>
      <c r="HG57" s="9" t="n">
        <v>0</v>
      </c>
      <c r="HK57" s="10" t="n">
        <v>46069</v>
      </c>
      <c r="HM57" s="9" t="n">
        <v>0</v>
      </c>
      <c r="HO57" s="9" t="n">
        <v>0</v>
      </c>
      <c r="HP57" s="9" t="n">
        <v>0</v>
      </c>
      <c r="HU57" s="10" t="n">
        <v>46069</v>
      </c>
      <c r="HW57" s="9" t="n">
        <v>0</v>
      </c>
      <c r="HY57" s="9" t="n">
        <v>0</v>
      </c>
      <c r="HZ57" s="9" t="n">
        <v>5120</v>
      </c>
      <c r="ID57" s="10" t="n">
        <v>46069</v>
      </c>
      <c r="IF57" s="9" t="n">
        <v>0</v>
      </c>
      <c r="IH57" s="9" t="n">
        <v>0</v>
      </c>
      <c r="II57" s="9" t="n">
        <v>5100</v>
      </c>
      <c r="IM57" s="10" t="n">
        <v>46069</v>
      </c>
      <c r="IO57" s="9" t="n">
        <v>0</v>
      </c>
      <c r="IQ57" s="9" t="n">
        <v>0</v>
      </c>
      <c r="IR57" s="9" t="n">
        <v>10240</v>
      </c>
      <c r="IV57" s="10" t="n">
        <v>46069</v>
      </c>
      <c r="IX57" s="9" t="n">
        <v>0</v>
      </c>
      <c r="IZ57" s="9" t="n">
        <v>0</v>
      </c>
      <c r="JA57" s="9" t="n">
        <v>15120</v>
      </c>
      <c r="JE57" s="10" t="n">
        <v>46069</v>
      </c>
      <c r="JG57" s="9" t="n">
        <v>0</v>
      </c>
      <c r="JI57" s="9" t="n">
        <v>0</v>
      </c>
      <c r="JJ57" s="9" t="n">
        <v>6800</v>
      </c>
      <c r="JN57" s="10" t="n">
        <v>46069</v>
      </c>
      <c r="JP57" s="9" t="n">
        <v>0</v>
      </c>
      <c r="JR57" s="9" t="n">
        <v>0</v>
      </c>
      <c r="JS57" s="9" t="n">
        <v>5400</v>
      </c>
      <c r="JW57" s="10" t="n">
        <v>46069</v>
      </c>
      <c r="JY57" s="9" t="n">
        <v>0</v>
      </c>
      <c r="KA57" s="9" t="n">
        <v>0</v>
      </c>
      <c r="KB57" s="9" t="n">
        <v>4000</v>
      </c>
      <c r="KF57" s="10" t="n">
        <v>46069</v>
      </c>
      <c r="KH57" s="9" t="n">
        <v>0</v>
      </c>
      <c r="KJ57" s="9" t="n">
        <v>0</v>
      </c>
      <c r="KK57" s="9" t="n">
        <v>1287</v>
      </c>
      <c r="KO57" s="10" t="n">
        <v>46069</v>
      </c>
      <c r="KQ57" s="9" t="n">
        <v>0</v>
      </c>
      <c r="KS57" s="9" t="n">
        <v>0</v>
      </c>
      <c r="KT57" s="9" t="n">
        <v>10659.6</v>
      </c>
      <c r="KX57" s="10" t="n">
        <v>46069</v>
      </c>
      <c r="KZ57" s="9" t="n">
        <v>0</v>
      </c>
      <c r="LB57" s="9" t="n">
        <v>0</v>
      </c>
      <c r="LC57" s="9" t="n">
        <v>0</v>
      </c>
      <c r="LG57" s="10" t="n">
        <v>46069</v>
      </c>
      <c r="LI57" s="9" t="n">
        <v>0</v>
      </c>
      <c r="LK57" s="9" t="n">
        <v>0</v>
      </c>
      <c r="LL57" s="9" t="n">
        <v>0</v>
      </c>
      <c r="LP57" s="10" t="n">
        <v>46069</v>
      </c>
      <c r="LR57" s="9" t="n">
        <v>0</v>
      </c>
      <c r="LT57" s="9" t="n">
        <v>0</v>
      </c>
      <c r="LU57" s="9" t="n">
        <v>0</v>
      </c>
      <c r="LY57" s="10" t="n">
        <v>46069</v>
      </c>
      <c r="MA57" s="9" t="n">
        <v>0</v>
      </c>
      <c r="MC57" s="9" t="n">
        <v>0</v>
      </c>
      <c r="MD57" s="9" t="n">
        <v>0</v>
      </c>
      <c r="MH57" s="10" t="n">
        <v>46069</v>
      </c>
      <c r="MJ57" s="9" t="n">
        <v>0</v>
      </c>
      <c r="ML57" s="9" t="n">
        <v>0</v>
      </c>
      <c r="MM57" s="9" t="n">
        <v>0</v>
      </c>
      <c r="MQ57" s="10" t="n">
        <v>46069</v>
      </c>
      <c r="MS57" s="9" t="n">
        <v>15</v>
      </c>
      <c r="MT57" s="9" t="n">
        <v>15</v>
      </c>
      <c r="MU57" s="9" t="n">
        <v>0</v>
      </c>
      <c r="MV57" s="9" t="n">
        <v>370</v>
      </c>
      <c r="MZ57" s="10" t="n">
        <v>46069</v>
      </c>
      <c r="NB57" s="9" t="n">
        <v>0</v>
      </c>
      <c r="ND57" s="9" t="n">
        <v>0</v>
      </c>
      <c r="NE57" s="9" t="n">
        <v>0</v>
      </c>
      <c r="NI57" s="10" t="n">
        <v>46069</v>
      </c>
      <c r="NK57" s="9" t="n">
        <v>0</v>
      </c>
      <c r="NM57" s="9" t="n">
        <v>0</v>
      </c>
      <c r="NN57" s="9" t="n">
        <v>0</v>
      </c>
      <c r="NR57" s="10" t="n">
        <v>46069</v>
      </c>
      <c r="NT57" s="9" t="n">
        <v>0</v>
      </c>
      <c r="NV57" s="9" t="n">
        <v>0</v>
      </c>
      <c r="NW57" s="9" t="n">
        <v>2310</v>
      </c>
      <c r="OA57" s="10" t="n">
        <v>46069</v>
      </c>
      <c r="OC57" s="9" t="n">
        <v>0</v>
      </c>
      <c r="OE57" s="9" t="n">
        <v>0</v>
      </c>
      <c r="OF57" s="9" t="n">
        <v>1680.5</v>
      </c>
      <c r="OJ57" s="10" t="n">
        <v>46069</v>
      </c>
      <c r="OL57" s="9" t="n">
        <v>0</v>
      </c>
      <c r="ON57" s="9" t="n">
        <v>0</v>
      </c>
      <c r="OO57" s="9" t="n">
        <v>0</v>
      </c>
      <c r="OS57" s="10" t="n">
        <v>46069</v>
      </c>
      <c r="OU57" s="9" t="n">
        <v>0</v>
      </c>
      <c r="OW57" s="9" t="n">
        <v>0</v>
      </c>
      <c r="OX57" s="9" t="n">
        <v>0</v>
      </c>
      <c r="PB57" s="10" t="n">
        <v>46069</v>
      </c>
      <c r="PD57" s="9" t="n">
        <v>0</v>
      </c>
      <c r="PF57" s="9" t="n">
        <v>0</v>
      </c>
      <c r="PG57" s="9" t="n">
        <v>0</v>
      </c>
      <c r="PK57" s="10" t="n">
        <v>46069</v>
      </c>
      <c r="PM57" s="9" t="n">
        <v>0</v>
      </c>
      <c r="PO57" s="9" t="n">
        <v>0</v>
      </c>
      <c r="PP57" s="9" t="n">
        <v>160</v>
      </c>
      <c r="PT57" s="10" t="n">
        <v>46069</v>
      </c>
      <c r="PV57" s="9" t="n">
        <v>0</v>
      </c>
      <c r="PX57" s="9" t="n">
        <v>0</v>
      </c>
      <c r="PY57" s="9" t="n">
        <v>13.96000000000004</v>
      </c>
      <c r="QC57" s="10" t="n">
        <v>46069</v>
      </c>
      <c r="QE57" s="9" t="n">
        <v>0</v>
      </c>
      <c r="QG57" s="9" t="n">
        <v>0</v>
      </c>
      <c r="QH57" s="9" t="n">
        <v>0</v>
      </c>
      <c r="QL57" s="10" t="n">
        <v>46069</v>
      </c>
      <c r="QN57" s="9" t="n">
        <v>0</v>
      </c>
      <c r="QP57" s="9" t="n">
        <v>0</v>
      </c>
      <c r="QQ57" s="9" t="n">
        <v>0</v>
      </c>
      <c r="QU57" s="10" t="n">
        <v>46069</v>
      </c>
      <c r="QW57" s="9" t="n">
        <v>0</v>
      </c>
      <c r="QY57" s="9" t="n">
        <v>0</v>
      </c>
      <c r="QZ57" s="9" t="n">
        <v>207.6</v>
      </c>
      <c r="RD57" s="10" t="n">
        <v>46069</v>
      </c>
      <c r="RF57" s="9" t="n">
        <v>0</v>
      </c>
      <c r="RH57" s="9" t="n">
        <v>0</v>
      </c>
      <c r="RI57" s="9" t="n">
        <v>197.04</v>
      </c>
      <c r="RM57" s="10" t="n">
        <v>46069</v>
      </c>
      <c r="RO57" s="9" t="n">
        <v>0</v>
      </c>
      <c r="RQ57" s="9" t="n">
        <v>0</v>
      </c>
      <c r="RR57" s="9" t="n">
        <v>46.8</v>
      </c>
      <c r="RV57" s="10" t="n">
        <v>46069</v>
      </c>
      <c r="RX57" s="9" t="n">
        <v>0</v>
      </c>
      <c r="RZ57" s="9" t="n">
        <v>0</v>
      </c>
      <c r="SA57" s="9" t="n">
        <v>0</v>
      </c>
      <c r="SE57" s="10" t="n">
        <v>46069</v>
      </c>
      <c r="SG57" s="9" t="n">
        <v>0</v>
      </c>
      <c r="SI57" s="9" t="n">
        <v>0</v>
      </c>
      <c r="SJ57" s="9" t="n">
        <v>0</v>
      </c>
      <c r="SN57" s="10" t="n">
        <v>46069</v>
      </c>
      <c r="SP57" s="9" t="n">
        <v>0</v>
      </c>
      <c r="SR57" s="9" t="n">
        <v>0</v>
      </c>
      <c r="SS57" s="9" t="n">
        <v>0</v>
      </c>
      <c r="SW57" s="10" t="n">
        <v>46069</v>
      </c>
      <c r="SY57" s="9" t="n">
        <v>0</v>
      </c>
      <c r="TA57" s="9" t="n">
        <v>0</v>
      </c>
      <c r="TB57" s="9" t="n">
        <v>0</v>
      </c>
      <c r="TF57" s="10" t="n">
        <v>46069</v>
      </c>
      <c r="TH57" s="9" t="n">
        <v>0</v>
      </c>
      <c r="TJ57" s="9" t="n">
        <v>0</v>
      </c>
      <c r="TK57" s="9" t="n">
        <v>0</v>
      </c>
      <c r="TO57" s="10" t="n">
        <v>46069</v>
      </c>
      <c r="TQ57" s="9" t="n">
        <v>0</v>
      </c>
      <c r="TS57" s="9" t="n">
        <v>0</v>
      </c>
      <c r="TT57" s="9" t="n">
        <v>0</v>
      </c>
      <c r="TX57" s="10" t="n">
        <v>46069</v>
      </c>
      <c r="TZ57" s="9" t="n">
        <v>0</v>
      </c>
      <c r="UB57" s="9" t="n">
        <v>0</v>
      </c>
      <c r="UC57" s="9" t="n">
        <v>0</v>
      </c>
      <c r="UG57" s="10" t="n">
        <v>46069</v>
      </c>
      <c r="UI57" s="9" t="n">
        <v>0</v>
      </c>
      <c r="UK57" s="9" t="n">
        <v>0</v>
      </c>
      <c r="UL57" s="9" t="n">
        <v>0</v>
      </c>
      <c r="UP57" s="10" t="n">
        <v>46069</v>
      </c>
      <c r="UR57" s="9" t="n">
        <v>0</v>
      </c>
      <c r="UT57" s="9" t="n">
        <v>0</v>
      </c>
      <c r="UU57" s="9" t="n">
        <v>0</v>
      </c>
      <c r="UY57" s="10" t="n">
        <v>46069</v>
      </c>
      <c r="VA57" s="9" t="n">
        <v>0</v>
      </c>
      <c r="VC57" s="9" t="n">
        <v>0</v>
      </c>
      <c r="VD57" s="9" t="n">
        <v>41.60000000000002</v>
      </c>
      <c r="VH57" s="10" t="n">
        <v>46069</v>
      </c>
      <c r="VJ57" s="9" t="n">
        <v>0</v>
      </c>
      <c r="VL57" s="9" t="n">
        <v>0</v>
      </c>
      <c r="VM57" s="9" t="n">
        <v>0</v>
      </c>
      <c r="VQ57" s="10" t="n">
        <v>46069</v>
      </c>
      <c r="VS57" s="9" t="n">
        <v>0</v>
      </c>
      <c r="VU57" s="9" t="n">
        <v>0</v>
      </c>
      <c r="VV57" s="9" t="n">
        <v>0</v>
      </c>
      <c r="VZ57" s="10" t="n">
        <v>46069</v>
      </c>
      <c r="WB57" s="9" t="n">
        <v>0</v>
      </c>
      <c r="WD57" s="9" t="n">
        <v>0</v>
      </c>
      <c r="WE57" s="9" t="n">
        <v>0</v>
      </c>
      <c r="WI57" s="10" t="n">
        <v>46069</v>
      </c>
      <c r="WK57" s="9" t="n">
        <v>0</v>
      </c>
      <c r="WL57" s="9" t="n">
        <v>602</v>
      </c>
      <c r="WM57" s="9" t="n">
        <v>-602</v>
      </c>
      <c r="WN57" s="9" t="n">
        <v>8433</v>
      </c>
      <c r="WR57" s="10" t="n">
        <v>46069</v>
      </c>
      <c r="WT57" s="9" t="n">
        <v>0</v>
      </c>
      <c r="WV57" s="9" t="n">
        <v>0</v>
      </c>
      <c r="WW57" s="9" t="n">
        <v>6559</v>
      </c>
      <c r="XA57" s="10" t="n">
        <v>46069</v>
      </c>
      <c r="XC57" s="9" t="n">
        <v>0</v>
      </c>
      <c r="XE57" s="9" t="n">
        <v>0</v>
      </c>
      <c r="XF57" s="9" t="n">
        <v>590</v>
      </c>
      <c r="XJ57" s="10" t="n">
        <v>46069</v>
      </c>
      <c r="XL57" s="9" t="n">
        <v>0</v>
      </c>
      <c r="XN57" s="9" t="n">
        <v>0</v>
      </c>
      <c r="XO57" s="9" t="n">
        <v>8852</v>
      </c>
      <c r="XS57" s="10" t="n">
        <v>46069</v>
      </c>
      <c r="XU57" s="9" t="n">
        <v>0</v>
      </c>
      <c r="XW57" s="9" t="n">
        <v>0</v>
      </c>
      <c r="XX57" s="9" t="n">
        <v>1901</v>
      </c>
      <c r="YB57" s="10" t="n">
        <v>46069</v>
      </c>
      <c r="YD57" s="9" t="n">
        <v>0</v>
      </c>
      <c r="YF57" s="9" t="n">
        <v>0</v>
      </c>
      <c r="YG57" s="9" t="n">
        <v>-707</v>
      </c>
      <c r="YK57" s="10" t="n">
        <v>46069</v>
      </c>
      <c r="YM57" s="9" t="n">
        <v>0</v>
      </c>
      <c r="YO57" s="9" t="n">
        <v>0</v>
      </c>
      <c r="YP57" s="9" t="n">
        <v>0</v>
      </c>
      <c r="YT57" s="10" t="n">
        <v>46069</v>
      </c>
      <c r="YV57" s="9" t="n">
        <v>0</v>
      </c>
      <c r="YX57" s="9" t="n">
        <v>0</v>
      </c>
      <c r="YY57" s="9" t="n">
        <v>0</v>
      </c>
      <c r="ZC57" s="10" t="n">
        <v>46069</v>
      </c>
      <c r="ZE57" s="9" t="n">
        <v>0</v>
      </c>
      <c r="ZG57" s="9" t="n">
        <v>0</v>
      </c>
      <c r="ZH57" s="9" t="n">
        <v>0</v>
      </c>
      <c r="ZL57" s="10" t="n">
        <v>46069</v>
      </c>
      <c r="ZN57" s="9" t="n">
        <v>0</v>
      </c>
      <c r="ZP57" s="9" t="n">
        <v>0</v>
      </c>
      <c r="ZQ57" s="9" t="n">
        <v>0</v>
      </c>
      <c r="ZU57" s="10" t="n">
        <v>46069</v>
      </c>
      <c r="ZW57" s="9" t="n">
        <v>0</v>
      </c>
      <c r="ZY57" s="9" t="n">
        <v>0</v>
      </c>
      <c r="ZZ57" s="9" t="n">
        <v>0</v>
      </c>
      <c r="AAD57" s="10" t="n">
        <v>46069</v>
      </c>
      <c r="AAF57" s="9" t="n">
        <v>0</v>
      </c>
      <c r="AAH57" s="9" t="n">
        <v>0</v>
      </c>
      <c r="AAI57" s="9" t="n">
        <v>0</v>
      </c>
      <c r="AAM57" s="10" t="n">
        <v>46069</v>
      </c>
      <c r="AAO57" s="9" t="n">
        <v>0</v>
      </c>
      <c r="AAQ57" s="9" t="n">
        <v>0</v>
      </c>
      <c r="AAR57" s="9" t="n">
        <v>0</v>
      </c>
      <c r="AAV57" s="10" t="n">
        <v>46069</v>
      </c>
      <c r="AAX57" s="9" t="n">
        <v>0</v>
      </c>
      <c r="AAZ57" s="9" t="n">
        <v>0</v>
      </c>
      <c r="ABA57" s="9" t="n">
        <v>0</v>
      </c>
      <c r="ABE57" s="10" t="n">
        <v>46069</v>
      </c>
      <c r="ABG57" s="9" t="n">
        <v>0</v>
      </c>
      <c r="ABI57" s="9" t="n">
        <v>0</v>
      </c>
      <c r="ABJ57" s="9" t="n">
        <v>0</v>
      </c>
    </row>
    <row r="58">
      <c r="C58" s="10" t="n">
        <v>46070</v>
      </c>
      <c r="E58" s="9" t="n">
        <v>0</v>
      </c>
      <c r="G58" s="9" t="n">
        <v>0</v>
      </c>
      <c r="H58" s="9" t="n">
        <v>216639.4</v>
      </c>
      <c r="L58" s="10" t="n">
        <v>46070</v>
      </c>
      <c r="N58" s="9" t="n">
        <v>0</v>
      </c>
      <c r="P58" s="9" t="n">
        <v>0</v>
      </c>
      <c r="Q58" s="9" t="n">
        <v>115737.6</v>
      </c>
      <c r="U58" s="10" t="n">
        <v>46070</v>
      </c>
      <c r="W58" s="9" t="n">
        <v>0</v>
      </c>
      <c r="Y58" s="9" t="n">
        <v>0</v>
      </c>
      <c r="Z58" s="9" t="n">
        <v>52187.09999999998</v>
      </c>
      <c r="AD58" s="10" t="n">
        <v>46070</v>
      </c>
      <c r="AF58" s="9" t="n">
        <v>0</v>
      </c>
      <c r="AH58" s="9" t="n">
        <v>0</v>
      </c>
      <c r="AI58" s="9" t="n">
        <v>46755.50000000002</v>
      </c>
      <c r="AM58" s="10" t="n">
        <v>46070</v>
      </c>
      <c r="AO58" s="9" t="n">
        <v>0</v>
      </c>
      <c r="AQ58" s="9" t="n">
        <v>0</v>
      </c>
      <c r="AR58" s="9" t="n">
        <v>0</v>
      </c>
      <c r="AV58" s="10" t="n">
        <v>46070</v>
      </c>
      <c r="AX58" s="9" t="n">
        <v>0</v>
      </c>
      <c r="AZ58" s="9" t="n">
        <v>0</v>
      </c>
      <c r="BA58" s="9" t="n">
        <v>50922.29999999999</v>
      </c>
      <c r="BE58" s="10" t="n">
        <v>46070</v>
      </c>
      <c r="BG58" s="9" t="n">
        <v>0</v>
      </c>
      <c r="BI58" s="9" t="n">
        <v>0</v>
      </c>
      <c r="BJ58" s="9" t="n">
        <v>23346.80000000001</v>
      </c>
      <c r="BN58" s="10" t="n">
        <v>46070</v>
      </c>
      <c r="BP58" s="9" t="n">
        <v>0</v>
      </c>
      <c r="BR58" s="9" t="n">
        <v>0</v>
      </c>
      <c r="BS58" s="9" t="n">
        <v>0</v>
      </c>
      <c r="BW58" s="10" t="n">
        <v>46070</v>
      </c>
      <c r="BY58" s="9" t="n">
        <v>0</v>
      </c>
      <c r="CA58" s="9" t="n">
        <v>0</v>
      </c>
      <c r="CB58" s="9" t="n">
        <v>931.9000000000001</v>
      </c>
      <c r="CF58" s="10" t="n">
        <v>46070</v>
      </c>
      <c r="CH58" s="9" t="n">
        <v>0</v>
      </c>
      <c r="CJ58" s="9" t="n">
        <v>0</v>
      </c>
      <c r="CK58" s="9" t="n">
        <v>0</v>
      </c>
      <c r="CO58" s="10" t="n">
        <v>46070</v>
      </c>
      <c r="CQ58" s="9" t="n">
        <v>0</v>
      </c>
      <c r="CS58" s="9" t="n">
        <v>0</v>
      </c>
      <c r="CT58" s="9" t="n">
        <v>0</v>
      </c>
      <c r="CX58" s="10" t="n">
        <v>46070</v>
      </c>
      <c r="CZ58" s="9" t="n">
        <v>0</v>
      </c>
      <c r="DB58" s="9" t="n">
        <v>0</v>
      </c>
      <c r="DC58" s="9" t="n">
        <v>27086.8</v>
      </c>
      <c r="DG58" s="10" t="n">
        <v>46070</v>
      </c>
      <c r="DI58" s="9" t="n">
        <v>0</v>
      </c>
      <c r="DK58" s="9" t="n">
        <v>0</v>
      </c>
      <c r="DL58" s="9" t="n">
        <v>13431.6</v>
      </c>
      <c r="DP58" s="10" t="n">
        <v>46070</v>
      </c>
      <c r="DR58" s="9" t="n">
        <v>0</v>
      </c>
      <c r="DT58" s="9" t="n">
        <v>0</v>
      </c>
      <c r="DU58" s="9" t="n">
        <v>2300</v>
      </c>
      <c r="DY58" s="10" t="n">
        <v>46070</v>
      </c>
      <c r="EA58" s="9" t="n">
        <v>0</v>
      </c>
      <c r="EC58" s="9" t="n">
        <v>0</v>
      </c>
      <c r="ED58" s="9" t="n">
        <v>5696.8</v>
      </c>
      <c r="EH58" s="10" t="n">
        <v>46070</v>
      </c>
      <c r="EJ58" s="9" t="n">
        <v>0</v>
      </c>
      <c r="EL58" s="9" t="n">
        <v>0</v>
      </c>
      <c r="EM58" s="9" t="n">
        <v>0</v>
      </c>
      <c r="EQ58" s="10" t="n">
        <v>46070</v>
      </c>
      <c r="ES58" s="9" t="n">
        <v>0</v>
      </c>
      <c r="EU58" s="9" t="n">
        <v>0</v>
      </c>
      <c r="EV58" s="9" t="n">
        <v>0</v>
      </c>
      <c r="EZ58" s="10" t="n">
        <v>46070</v>
      </c>
      <c r="FB58" s="9" t="n">
        <v>0</v>
      </c>
      <c r="FD58" s="9" t="n">
        <v>0</v>
      </c>
      <c r="FE58" s="9" t="n">
        <v>0</v>
      </c>
      <c r="FI58" s="10" t="n">
        <v>46070</v>
      </c>
      <c r="FK58" s="9" t="n">
        <v>0</v>
      </c>
      <c r="FM58" s="9" t="n">
        <v>0</v>
      </c>
      <c r="FN58" s="9" t="n">
        <v>0</v>
      </c>
      <c r="FR58" s="10" t="n">
        <v>46070</v>
      </c>
      <c r="FT58" s="9" t="n">
        <v>0</v>
      </c>
      <c r="FV58" s="9" t="n">
        <v>0</v>
      </c>
      <c r="FW58" s="9" t="n">
        <v>1900</v>
      </c>
      <c r="GA58" s="10" t="n">
        <v>46070</v>
      </c>
      <c r="GC58" s="9" t="n">
        <v>0</v>
      </c>
      <c r="GE58" s="9" t="n">
        <v>0</v>
      </c>
      <c r="GF58" s="9" t="n">
        <v>5960</v>
      </c>
      <c r="GJ58" s="10" t="n">
        <v>46070</v>
      </c>
      <c r="GL58" s="9" t="n">
        <v>0</v>
      </c>
      <c r="GN58" s="9" t="n">
        <v>0</v>
      </c>
      <c r="GO58" s="9" t="n">
        <v>5240</v>
      </c>
      <c r="GS58" s="10" t="n">
        <v>46070</v>
      </c>
      <c r="GU58" s="9" t="n">
        <v>0</v>
      </c>
      <c r="GW58" s="9" t="n">
        <v>0</v>
      </c>
      <c r="GX58" s="9" t="n">
        <v>0</v>
      </c>
      <c r="HB58" s="10" t="n">
        <v>46070</v>
      </c>
      <c r="HD58" s="9" t="n">
        <v>0</v>
      </c>
      <c r="HF58" s="9" t="n">
        <v>0</v>
      </c>
      <c r="HG58" s="9" t="n">
        <v>0</v>
      </c>
      <c r="HK58" s="10" t="n">
        <v>46070</v>
      </c>
      <c r="HM58" s="9" t="n">
        <v>0</v>
      </c>
      <c r="HO58" s="9" t="n">
        <v>0</v>
      </c>
      <c r="HP58" s="9" t="n">
        <v>0</v>
      </c>
      <c r="HU58" s="10" t="n">
        <v>46070</v>
      </c>
      <c r="HW58" s="9" t="n">
        <v>0</v>
      </c>
      <c r="HY58" s="9" t="n">
        <v>0</v>
      </c>
      <c r="HZ58" s="9" t="n">
        <v>5120</v>
      </c>
      <c r="ID58" s="10" t="n">
        <v>46070</v>
      </c>
      <c r="IF58" s="9" t="n">
        <v>0</v>
      </c>
      <c r="IH58" s="9" t="n">
        <v>0</v>
      </c>
      <c r="II58" s="9" t="n">
        <v>5100</v>
      </c>
      <c r="IM58" s="10" t="n">
        <v>46070</v>
      </c>
      <c r="IO58" s="9" t="n">
        <v>0</v>
      </c>
      <c r="IQ58" s="9" t="n">
        <v>0</v>
      </c>
      <c r="IR58" s="9" t="n">
        <v>10240</v>
      </c>
      <c r="IV58" s="10" t="n">
        <v>46070</v>
      </c>
      <c r="IX58" s="9" t="n">
        <v>0</v>
      </c>
      <c r="IZ58" s="9" t="n">
        <v>0</v>
      </c>
      <c r="JA58" s="9" t="n">
        <v>15120</v>
      </c>
      <c r="JE58" s="10" t="n">
        <v>46070</v>
      </c>
      <c r="JG58" s="9" t="n">
        <v>0</v>
      </c>
      <c r="JH58" s="9" t="n">
        <v>3200</v>
      </c>
      <c r="JI58" s="9" t="n">
        <v>-3200</v>
      </c>
      <c r="JJ58" s="9" t="n">
        <v>3600</v>
      </c>
      <c r="JN58" s="10" t="n">
        <v>46070</v>
      </c>
      <c r="JP58" s="9" t="n">
        <v>0</v>
      </c>
      <c r="JR58" s="9" t="n">
        <v>0</v>
      </c>
      <c r="JS58" s="9" t="n">
        <v>5400</v>
      </c>
      <c r="JW58" s="10" t="n">
        <v>46070</v>
      </c>
      <c r="JY58" s="9" t="n">
        <v>0</v>
      </c>
      <c r="KA58" s="9" t="n">
        <v>0</v>
      </c>
      <c r="KB58" s="9" t="n">
        <v>4000</v>
      </c>
      <c r="KF58" s="10" t="n">
        <v>46070</v>
      </c>
      <c r="KH58" s="9" t="n">
        <v>0</v>
      </c>
      <c r="KJ58" s="9" t="n">
        <v>0</v>
      </c>
      <c r="KK58" s="9" t="n">
        <v>1287</v>
      </c>
      <c r="KO58" s="10" t="n">
        <v>46070</v>
      </c>
      <c r="KQ58" s="9" t="n">
        <v>0</v>
      </c>
      <c r="KS58" s="9" t="n">
        <v>0</v>
      </c>
      <c r="KT58" s="9" t="n">
        <v>10659.6</v>
      </c>
      <c r="KX58" s="10" t="n">
        <v>46070</v>
      </c>
      <c r="KZ58" s="9" t="n">
        <v>0</v>
      </c>
      <c r="LB58" s="9" t="n">
        <v>0</v>
      </c>
      <c r="LC58" s="9" t="n">
        <v>0</v>
      </c>
      <c r="LG58" s="10" t="n">
        <v>46070</v>
      </c>
      <c r="LI58" s="9" t="n">
        <v>0</v>
      </c>
      <c r="LK58" s="9" t="n">
        <v>0</v>
      </c>
      <c r="LL58" s="9" t="n">
        <v>0</v>
      </c>
      <c r="LP58" s="10" t="n">
        <v>46070</v>
      </c>
      <c r="LR58" s="9" t="n">
        <v>0</v>
      </c>
      <c r="LT58" s="9" t="n">
        <v>0</v>
      </c>
      <c r="LU58" s="9" t="n">
        <v>0</v>
      </c>
      <c r="LY58" s="10" t="n">
        <v>46070</v>
      </c>
      <c r="MA58" s="9" t="n">
        <v>0</v>
      </c>
      <c r="MC58" s="9" t="n">
        <v>0</v>
      </c>
      <c r="MD58" s="9" t="n">
        <v>0</v>
      </c>
      <c r="MH58" s="10" t="n">
        <v>46070</v>
      </c>
      <c r="MJ58" s="9" t="n">
        <v>0</v>
      </c>
      <c r="ML58" s="9" t="n">
        <v>0</v>
      </c>
      <c r="MM58" s="9" t="n">
        <v>0</v>
      </c>
      <c r="MQ58" s="10" t="n">
        <v>46070</v>
      </c>
      <c r="MS58" s="9" t="n">
        <v>0</v>
      </c>
      <c r="MU58" s="9" t="n">
        <v>0</v>
      </c>
      <c r="MV58" s="9" t="n">
        <v>370</v>
      </c>
      <c r="MZ58" s="10" t="n">
        <v>46070</v>
      </c>
      <c r="NB58" s="9" t="n">
        <v>0</v>
      </c>
      <c r="ND58" s="9" t="n">
        <v>0</v>
      </c>
      <c r="NE58" s="9" t="n">
        <v>0</v>
      </c>
      <c r="NI58" s="10" t="n">
        <v>46070</v>
      </c>
      <c r="NK58" s="9" t="n">
        <v>0</v>
      </c>
      <c r="NM58" s="9" t="n">
        <v>0</v>
      </c>
      <c r="NN58" s="9" t="n">
        <v>0</v>
      </c>
      <c r="NR58" s="10" t="n">
        <v>46070</v>
      </c>
      <c r="NT58" s="9" t="n">
        <v>0</v>
      </c>
      <c r="NV58" s="9" t="n">
        <v>0</v>
      </c>
      <c r="NW58" s="9" t="n">
        <v>2310</v>
      </c>
      <c r="OA58" s="10" t="n">
        <v>46070</v>
      </c>
      <c r="OC58" s="9" t="n">
        <v>0</v>
      </c>
      <c r="OE58" s="9" t="n">
        <v>0</v>
      </c>
      <c r="OF58" s="9" t="n">
        <v>1680.5</v>
      </c>
      <c r="OJ58" s="10" t="n">
        <v>46070</v>
      </c>
      <c r="OL58" s="9" t="n">
        <v>0</v>
      </c>
      <c r="ON58" s="9" t="n">
        <v>0</v>
      </c>
      <c r="OO58" s="9" t="n">
        <v>0</v>
      </c>
      <c r="OS58" s="10" t="n">
        <v>46070</v>
      </c>
      <c r="OU58" s="9" t="n">
        <v>0</v>
      </c>
      <c r="OW58" s="9" t="n">
        <v>0</v>
      </c>
      <c r="OX58" s="9" t="n">
        <v>0</v>
      </c>
      <c r="PB58" s="10" t="n">
        <v>46070</v>
      </c>
      <c r="PD58" s="9" t="n">
        <v>0</v>
      </c>
      <c r="PF58" s="9" t="n">
        <v>0</v>
      </c>
      <c r="PG58" s="9" t="n">
        <v>0</v>
      </c>
      <c r="PK58" s="10" t="n">
        <v>46070</v>
      </c>
      <c r="PM58" s="9" t="n">
        <v>0</v>
      </c>
      <c r="PO58" s="9" t="n">
        <v>0</v>
      </c>
      <c r="PP58" s="9" t="n">
        <v>160</v>
      </c>
      <c r="PT58" s="10" t="n">
        <v>46070</v>
      </c>
      <c r="PV58" s="9" t="n">
        <v>0</v>
      </c>
      <c r="PX58" s="9" t="n">
        <v>0</v>
      </c>
      <c r="PY58" s="9" t="n">
        <v>13.96000000000004</v>
      </c>
      <c r="QC58" s="10" t="n">
        <v>46070</v>
      </c>
      <c r="QE58" s="9" t="n">
        <v>0</v>
      </c>
      <c r="QG58" s="9" t="n">
        <v>0</v>
      </c>
      <c r="QH58" s="9" t="n">
        <v>0</v>
      </c>
      <c r="QL58" s="10" t="n">
        <v>46070</v>
      </c>
      <c r="QN58" s="9" t="n">
        <v>0</v>
      </c>
      <c r="QP58" s="9" t="n">
        <v>0</v>
      </c>
      <c r="QQ58" s="9" t="n">
        <v>0</v>
      </c>
      <c r="QU58" s="10" t="n">
        <v>46070</v>
      </c>
      <c r="QW58" s="9" t="n">
        <v>0</v>
      </c>
      <c r="QY58" s="9" t="n">
        <v>0</v>
      </c>
      <c r="QZ58" s="9" t="n">
        <v>207.6</v>
      </c>
      <c r="RD58" s="10" t="n">
        <v>46070</v>
      </c>
      <c r="RF58" s="9" t="n">
        <v>0</v>
      </c>
      <c r="RH58" s="9" t="n">
        <v>0</v>
      </c>
      <c r="RI58" s="9" t="n">
        <v>197.04</v>
      </c>
      <c r="RM58" s="10" t="n">
        <v>46070</v>
      </c>
      <c r="RO58" s="9" t="n">
        <v>0</v>
      </c>
      <c r="RQ58" s="9" t="n">
        <v>0</v>
      </c>
      <c r="RR58" s="9" t="n">
        <v>46.8</v>
      </c>
      <c r="RV58" s="10" t="n">
        <v>46070</v>
      </c>
      <c r="RX58" s="9" t="n">
        <v>0</v>
      </c>
      <c r="RZ58" s="9" t="n">
        <v>0</v>
      </c>
      <c r="SA58" s="9" t="n">
        <v>0</v>
      </c>
      <c r="SE58" s="10" t="n">
        <v>46070</v>
      </c>
      <c r="SG58" s="9" t="n">
        <v>0</v>
      </c>
      <c r="SI58" s="9" t="n">
        <v>0</v>
      </c>
      <c r="SJ58" s="9" t="n">
        <v>0</v>
      </c>
      <c r="SN58" s="10" t="n">
        <v>46070</v>
      </c>
      <c r="SP58" s="9" t="n">
        <v>0</v>
      </c>
      <c r="SR58" s="9" t="n">
        <v>0</v>
      </c>
      <c r="SS58" s="9" t="n">
        <v>0</v>
      </c>
      <c r="SW58" s="10" t="n">
        <v>46070</v>
      </c>
      <c r="SY58" s="9" t="n">
        <v>0</v>
      </c>
      <c r="TA58" s="9" t="n">
        <v>0</v>
      </c>
      <c r="TB58" s="9" t="n">
        <v>0</v>
      </c>
      <c r="TF58" s="10" t="n">
        <v>46070</v>
      </c>
      <c r="TH58" s="9" t="n">
        <v>0</v>
      </c>
      <c r="TJ58" s="9" t="n">
        <v>0</v>
      </c>
      <c r="TK58" s="9" t="n">
        <v>0</v>
      </c>
      <c r="TO58" s="10" t="n">
        <v>46070</v>
      </c>
      <c r="TQ58" s="9" t="n">
        <v>0</v>
      </c>
      <c r="TS58" s="9" t="n">
        <v>0</v>
      </c>
      <c r="TT58" s="9" t="n">
        <v>0</v>
      </c>
      <c r="TX58" s="10" t="n">
        <v>46070</v>
      </c>
      <c r="TZ58" s="9" t="n">
        <v>0</v>
      </c>
      <c r="UB58" s="9" t="n">
        <v>0</v>
      </c>
      <c r="UC58" s="9" t="n">
        <v>0</v>
      </c>
      <c r="UG58" s="10" t="n">
        <v>46070</v>
      </c>
      <c r="UI58" s="9" t="n">
        <v>0</v>
      </c>
      <c r="UK58" s="9" t="n">
        <v>0</v>
      </c>
      <c r="UL58" s="9" t="n">
        <v>0</v>
      </c>
      <c r="UP58" s="10" t="n">
        <v>46070</v>
      </c>
      <c r="UR58" s="9" t="n">
        <v>0</v>
      </c>
      <c r="UT58" s="9" t="n">
        <v>0</v>
      </c>
      <c r="UU58" s="9" t="n">
        <v>0</v>
      </c>
      <c r="UY58" s="10" t="n">
        <v>46070</v>
      </c>
      <c r="VA58" s="9" t="n">
        <v>0</v>
      </c>
      <c r="VC58" s="9" t="n">
        <v>0</v>
      </c>
      <c r="VD58" s="9" t="n">
        <v>41.60000000000002</v>
      </c>
      <c r="VH58" s="10" t="n">
        <v>46070</v>
      </c>
      <c r="VJ58" s="9" t="n">
        <v>0</v>
      </c>
      <c r="VL58" s="9" t="n">
        <v>0</v>
      </c>
      <c r="VM58" s="9" t="n">
        <v>0</v>
      </c>
      <c r="VQ58" s="10" t="n">
        <v>46070</v>
      </c>
      <c r="VS58" s="9" t="n">
        <v>0</v>
      </c>
      <c r="VU58" s="9" t="n">
        <v>0</v>
      </c>
      <c r="VV58" s="9" t="n">
        <v>0</v>
      </c>
      <c r="VZ58" s="10" t="n">
        <v>46070</v>
      </c>
      <c r="WB58" s="9" t="n">
        <v>0</v>
      </c>
      <c r="WD58" s="9" t="n">
        <v>0</v>
      </c>
      <c r="WE58" s="9" t="n">
        <v>0</v>
      </c>
      <c r="WI58" s="10" t="n">
        <v>46070</v>
      </c>
      <c r="WK58" s="9" t="n">
        <v>0</v>
      </c>
      <c r="WM58" s="9" t="n">
        <v>0</v>
      </c>
      <c r="WN58" s="9" t="n">
        <v>8433</v>
      </c>
      <c r="WR58" s="10" t="n">
        <v>46070</v>
      </c>
      <c r="WT58" s="9" t="n">
        <v>0</v>
      </c>
      <c r="WV58" s="9" t="n">
        <v>0</v>
      </c>
      <c r="WW58" s="9" t="n">
        <v>6559</v>
      </c>
      <c r="XA58" s="10" t="n">
        <v>46070</v>
      </c>
      <c r="XC58" s="9" t="n">
        <v>0</v>
      </c>
      <c r="XE58" s="9" t="n">
        <v>0</v>
      </c>
      <c r="XF58" s="9" t="n">
        <v>590</v>
      </c>
      <c r="XJ58" s="10" t="n">
        <v>46070</v>
      </c>
      <c r="XL58" s="9" t="n">
        <v>0</v>
      </c>
      <c r="XN58" s="9" t="n">
        <v>0</v>
      </c>
      <c r="XO58" s="9" t="n">
        <v>8852</v>
      </c>
      <c r="XS58" s="10" t="n">
        <v>46070</v>
      </c>
      <c r="XU58" s="9" t="n">
        <v>0</v>
      </c>
      <c r="XW58" s="9" t="n">
        <v>0</v>
      </c>
      <c r="XX58" s="9" t="n">
        <v>1901</v>
      </c>
      <c r="YB58" s="10" t="n">
        <v>46070</v>
      </c>
      <c r="YD58" s="9" t="n">
        <v>0</v>
      </c>
      <c r="YF58" s="9" t="n">
        <v>0</v>
      </c>
      <c r="YG58" s="9" t="n">
        <v>-707</v>
      </c>
      <c r="YK58" s="10" t="n">
        <v>46070</v>
      </c>
      <c r="YM58" s="9" t="n">
        <v>0</v>
      </c>
      <c r="YO58" s="9" t="n">
        <v>0</v>
      </c>
      <c r="YP58" s="9" t="n">
        <v>0</v>
      </c>
      <c r="YT58" s="10" t="n">
        <v>46070</v>
      </c>
      <c r="YV58" s="9" t="n">
        <v>0</v>
      </c>
      <c r="YX58" s="9" t="n">
        <v>0</v>
      </c>
      <c r="YY58" s="9" t="n">
        <v>0</v>
      </c>
      <c r="ZC58" s="10" t="n">
        <v>46070</v>
      </c>
      <c r="ZE58" s="9" t="n">
        <v>0</v>
      </c>
      <c r="ZG58" s="9" t="n">
        <v>0</v>
      </c>
      <c r="ZH58" s="9" t="n">
        <v>0</v>
      </c>
      <c r="ZL58" s="10" t="n">
        <v>46070</v>
      </c>
      <c r="ZN58" s="9" t="n">
        <v>0</v>
      </c>
      <c r="ZP58" s="9" t="n">
        <v>0</v>
      </c>
      <c r="ZQ58" s="9" t="n">
        <v>0</v>
      </c>
      <c r="ZU58" s="10" t="n">
        <v>46070</v>
      </c>
      <c r="ZW58" s="9" t="n">
        <v>0</v>
      </c>
      <c r="ZY58" s="9" t="n">
        <v>0</v>
      </c>
      <c r="ZZ58" s="9" t="n">
        <v>0</v>
      </c>
      <c r="AAD58" s="10" t="n">
        <v>46070</v>
      </c>
      <c r="AAF58" s="9" t="n">
        <v>0</v>
      </c>
      <c r="AAH58" s="9" t="n">
        <v>0</v>
      </c>
      <c r="AAI58" s="9" t="n">
        <v>0</v>
      </c>
      <c r="AAM58" s="10" t="n">
        <v>46070</v>
      </c>
      <c r="AAO58" s="9" t="n">
        <v>0</v>
      </c>
      <c r="AAQ58" s="9" t="n">
        <v>0</v>
      </c>
      <c r="AAR58" s="9" t="n">
        <v>0</v>
      </c>
      <c r="AAV58" s="10" t="n">
        <v>46070</v>
      </c>
      <c r="AAX58" s="9" t="n">
        <v>0</v>
      </c>
      <c r="AAZ58" s="9" t="n">
        <v>0</v>
      </c>
      <c r="ABA58" s="9" t="n">
        <v>0</v>
      </c>
      <c r="ABE58" s="10" t="n">
        <v>46070</v>
      </c>
      <c r="ABG58" s="9" t="n">
        <v>0</v>
      </c>
      <c r="ABI58" s="9" t="n">
        <v>0</v>
      </c>
      <c r="ABJ58" s="9" t="n">
        <v>0</v>
      </c>
    </row>
    <row r="59">
      <c r="C59" s="10" t="n">
        <v>46071</v>
      </c>
      <c r="E59" s="9" t="n">
        <v>0</v>
      </c>
      <c r="G59" s="9" t="n">
        <v>0</v>
      </c>
      <c r="H59" s="9" t="n">
        <v>216639.4</v>
      </c>
      <c r="L59" s="10" t="n">
        <v>46071</v>
      </c>
      <c r="N59" s="9" t="n">
        <v>0</v>
      </c>
      <c r="P59" s="9" t="n">
        <v>0</v>
      </c>
      <c r="Q59" s="9" t="n">
        <v>115737.6</v>
      </c>
      <c r="U59" s="10" t="n">
        <v>46071</v>
      </c>
      <c r="W59" s="9" t="n">
        <v>0</v>
      </c>
      <c r="Y59" s="9" t="n">
        <v>0</v>
      </c>
      <c r="Z59" s="9" t="n">
        <v>52187.09999999998</v>
      </c>
      <c r="AD59" s="10" t="n">
        <v>46071</v>
      </c>
      <c r="AF59" s="9" t="n">
        <v>0</v>
      </c>
      <c r="AH59" s="9" t="n">
        <v>0</v>
      </c>
      <c r="AI59" s="9" t="n">
        <v>46755.50000000002</v>
      </c>
      <c r="AM59" s="10" t="n">
        <v>46071</v>
      </c>
      <c r="AO59" s="9" t="n">
        <v>0</v>
      </c>
      <c r="AQ59" s="9" t="n">
        <v>0</v>
      </c>
      <c r="AR59" s="9" t="n">
        <v>0</v>
      </c>
      <c r="AV59" s="10" t="n">
        <v>46071</v>
      </c>
      <c r="AX59" s="9" t="n">
        <v>0</v>
      </c>
      <c r="AZ59" s="9" t="n">
        <v>0</v>
      </c>
      <c r="BA59" s="9" t="n">
        <v>50922.29999999999</v>
      </c>
      <c r="BE59" s="10" t="n">
        <v>46071</v>
      </c>
      <c r="BG59" s="9" t="n">
        <v>0</v>
      </c>
      <c r="BI59" s="9" t="n">
        <v>0</v>
      </c>
      <c r="BJ59" s="9" t="n">
        <v>23346.80000000001</v>
      </c>
      <c r="BN59" s="10" t="n">
        <v>46071</v>
      </c>
      <c r="BP59" s="9" t="n">
        <v>0</v>
      </c>
      <c r="BR59" s="9" t="n">
        <v>0</v>
      </c>
      <c r="BS59" s="9" t="n">
        <v>0</v>
      </c>
      <c r="BW59" s="10" t="n">
        <v>46071</v>
      </c>
      <c r="BY59" s="9" t="n">
        <v>0</v>
      </c>
      <c r="CA59" s="9" t="n">
        <v>0</v>
      </c>
      <c r="CB59" s="9" t="n">
        <v>931.9000000000001</v>
      </c>
      <c r="CF59" s="10" t="n">
        <v>46071</v>
      </c>
      <c r="CH59" s="9" t="n">
        <v>0</v>
      </c>
      <c r="CJ59" s="9" t="n">
        <v>0</v>
      </c>
      <c r="CK59" s="9" t="n">
        <v>0</v>
      </c>
      <c r="CO59" s="10" t="n">
        <v>46071</v>
      </c>
      <c r="CQ59" s="9" t="n">
        <v>0</v>
      </c>
      <c r="CS59" s="9" t="n">
        <v>0</v>
      </c>
      <c r="CT59" s="9" t="n">
        <v>0</v>
      </c>
      <c r="CX59" s="10" t="n">
        <v>46071</v>
      </c>
      <c r="CZ59" s="9" t="n">
        <v>0</v>
      </c>
      <c r="DB59" s="9" t="n">
        <v>0</v>
      </c>
      <c r="DC59" s="9" t="n">
        <v>27086.8</v>
      </c>
      <c r="DG59" s="10" t="n">
        <v>46071</v>
      </c>
      <c r="DI59" s="9" t="n">
        <v>0</v>
      </c>
      <c r="DK59" s="9" t="n">
        <v>0</v>
      </c>
      <c r="DL59" s="9" t="n">
        <v>13431.6</v>
      </c>
      <c r="DP59" s="10" t="n">
        <v>46071</v>
      </c>
      <c r="DR59" s="9" t="n">
        <v>0</v>
      </c>
      <c r="DT59" s="9" t="n">
        <v>0</v>
      </c>
      <c r="DU59" s="9" t="n">
        <v>2300</v>
      </c>
      <c r="DY59" s="10" t="n">
        <v>46071</v>
      </c>
      <c r="EA59" s="9" t="n">
        <v>0</v>
      </c>
      <c r="EC59" s="9" t="n">
        <v>0</v>
      </c>
      <c r="ED59" s="9" t="n">
        <v>5696.8</v>
      </c>
      <c r="EH59" s="10" t="n">
        <v>46071</v>
      </c>
      <c r="EJ59" s="9" t="n">
        <v>0</v>
      </c>
      <c r="EL59" s="9" t="n">
        <v>0</v>
      </c>
      <c r="EM59" s="9" t="n">
        <v>0</v>
      </c>
      <c r="EQ59" s="10" t="n">
        <v>46071</v>
      </c>
      <c r="ES59" s="9" t="n">
        <v>0</v>
      </c>
      <c r="EU59" s="9" t="n">
        <v>0</v>
      </c>
      <c r="EV59" s="9" t="n">
        <v>0</v>
      </c>
      <c r="EZ59" s="10" t="n">
        <v>46071</v>
      </c>
      <c r="FB59" s="9" t="n">
        <v>0</v>
      </c>
      <c r="FD59" s="9" t="n">
        <v>0</v>
      </c>
      <c r="FE59" s="9" t="n">
        <v>0</v>
      </c>
      <c r="FI59" s="10" t="n">
        <v>46071</v>
      </c>
      <c r="FK59" s="9" t="n">
        <v>0</v>
      </c>
      <c r="FM59" s="9" t="n">
        <v>0</v>
      </c>
      <c r="FN59" s="9" t="n">
        <v>0</v>
      </c>
      <c r="FR59" s="10" t="n">
        <v>46071</v>
      </c>
      <c r="FT59" s="9" t="n">
        <v>0</v>
      </c>
      <c r="FV59" s="9" t="n">
        <v>0</v>
      </c>
      <c r="FW59" s="9" t="n">
        <v>1900</v>
      </c>
      <c r="GA59" s="10" t="n">
        <v>46071</v>
      </c>
      <c r="GC59" s="9" t="n">
        <v>0</v>
      </c>
      <c r="GE59" s="9" t="n">
        <v>0</v>
      </c>
      <c r="GF59" s="9" t="n">
        <v>5960</v>
      </c>
      <c r="GJ59" s="10" t="n">
        <v>46071</v>
      </c>
      <c r="GL59" s="9" t="n">
        <v>0</v>
      </c>
      <c r="GN59" s="9" t="n">
        <v>0</v>
      </c>
      <c r="GO59" s="9" t="n">
        <v>5240</v>
      </c>
      <c r="GS59" s="10" t="n">
        <v>46071</v>
      </c>
      <c r="GU59" s="9" t="n">
        <v>0</v>
      </c>
      <c r="GW59" s="9" t="n">
        <v>0</v>
      </c>
      <c r="GX59" s="9" t="n">
        <v>0</v>
      </c>
      <c r="HB59" s="10" t="n">
        <v>46071</v>
      </c>
      <c r="HD59" s="9" t="n">
        <v>0</v>
      </c>
      <c r="HF59" s="9" t="n">
        <v>0</v>
      </c>
      <c r="HG59" s="9" t="n">
        <v>0</v>
      </c>
      <c r="HK59" s="10" t="n">
        <v>46071</v>
      </c>
      <c r="HM59" s="9" t="n">
        <v>0</v>
      </c>
      <c r="HO59" s="9" t="n">
        <v>0</v>
      </c>
      <c r="HP59" s="9" t="n">
        <v>0</v>
      </c>
      <c r="HU59" s="10" t="n">
        <v>46071</v>
      </c>
      <c r="HW59" s="9" t="n">
        <v>0</v>
      </c>
      <c r="HY59" s="9" t="n">
        <v>0</v>
      </c>
      <c r="HZ59" s="9" t="n">
        <v>5120</v>
      </c>
      <c r="ID59" s="10" t="n">
        <v>46071</v>
      </c>
      <c r="IF59" s="9" t="n">
        <v>0</v>
      </c>
      <c r="IH59" s="9" t="n">
        <v>0</v>
      </c>
      <c r="II59" s="9" t="n">
        <v>5100</v>
      </c>
      <c r="IM59" s="10" t="n">
        <v>46071</v>
      </c>
      <c r="IO59" s="9" t="n">
        <v>0</v>
      </c>
      <c r="IQ59" s="9" t="n">
        <v>0</v>
      </c>
      <c r="IR59" s="9" t="n">
        <v>10240</v>
      </c>
      <c r="IV59" s="10" t="n">
        <v>46071</v>
      </c>
      <c r="IX59" s="9" t="n">
        <v>0</v>
      </c>
      <c r="IZ59" s="9" t="n">
        <v>0</v>
      </c>
      <c r="JA59" s="9" t="n">
        <v>15120</v>
      </c>
      <c r="JE59" s="10" t="n">
        <v>46071</v>
      </c>
      <c r="JG59" s="9" t="n">
        <v>0</v>
      </c>
      <c r="JI59" s="9" t="n">
        <v>0</v>
      </c>
      <c r="JJ59" s="9" t="n">
        <v>3600</v>
      </c>
      <c r="JN59" s="10" t="n">
        <v>46071</v>
      </c>
      <c r="JP59" s="9" t="n">
        <v>0</v>
      </c>
      <c r="JR59" s="9" t="n">
        <v>0</v>
      </c>
      <c r="JS59" s="9" t="n">
        <v>5400</v>
      </c>
      <c r="JW59" s="10" t="n">
        <v>46071</v>
      </c>
      <c r="JY59" s="9" t="n">
        <v>0</v>
      </c>
      <c r="KA59" s="9" t="n">
        <v>0</v>
      </c>
      <c r="KB59" s="9" t="n">
        <v>4000</v>
      </c>
      <c r="KF59" s="10" t="n">
        <v>46071</v>
      </c>
      <c r="KH59" s="9" t="n">
        <v>0</v>
      </c>
      <c r="KJ59" s="9" t="n">
        <v>0</v>
      </c>
      <c r="KK59" s="9" t="n">
        <v>1287</v>
      </c>
      <c r="KO59" s="10" t="n">
        <v>46071</v>
      </c>
      <c r="KQ59" s="9" t="n">
        <v>0</v>
      </c>
      <c r="KS59" s="9" t="n">
        <v>0</v>
      </c>
      <c r="KT59" s="9" t="n">
        <v>10659.6</v>
      </c>
      <c r="KX59" s="10" t="n">
        <v>46071</v>
      </c>
      <c r="KZ59" s="9" t="n">
        <v>0</v>
      </c>
      <c r="LB59" s="9" t="n">
        <v>0</v>
      </c>
      <c r="LC59" s="9" t="n">
        <v>0</v>
      </c>
      <c r="LG59" s="10" t="n">
        <v>46071</v>
      </c>
      <c r="LI59" s="9" t="n">
        <v>0</v>
      </c>
      <c r="LK59" s="9" t="n">
        <v>0</v>
      </c>
      <c r="LL59" s="9" t="n">
        <v>0</v>
      </c>
      <c r="LP59" s="10" t="n">
        <v>46071</v>
      </c>
      <c r="LR59" s="9" t="n">
        <v>0</v>
      </c>
      <c r="LT59" s="9" t="n">
        <v>0</v>
      </c>
      <c r="LU59" s="9" t="n">
        <v>0</v>
      </c>
      <c r="LY59" s="10" t="n">
        <v>46071</v>
      </c>
      <c r="MA59" s="9" t="n">
        <v>0</v>
      </c>
      <c r="MC59" s="9" t="n">
        <v>0</v>
      </c>
      <c r="MD59" s="9" t="n">
        <v>0</v>
      </c>
      <c r="MH59" s="10" t="n">
        <v>46071</v>
      </c>
      <c r="MJ59" s="9" t="n">
        <v>0</v>
      </c>
      <c r="ML59" s="9" t="n">
        <v>0</v>
      </c>
      <c r="MM59" s="9" t="n">
        <v>0</v>
      </c>
      <c r="MQ59" s="10" t="n">
        <v>46071</v>
      </c>
      <c r="MS59" s="9" t="n">
        <v>0</v>
      </c>
      <c r="MU59" s="9" t="n">
        <v>0</v>
      </c>
      <c r="MV59" s="9" t="n">
        <v>370</v>
      </c>
      <c r="MZ59" s="10" t="n">
        <v>46071</v>
      </c>
      <c r="NB59" s="9" t="n">
        <v>0</v>
      </c>
      <c r="ND59" s="9" t="n">
        <v>0</v>
      </c>
      <c r="NE59" s="9" t="n">
        <v>0</v>
      </c>
      <c r="NI59" s="10" t="n">
        <v>46071</v>
      </c>
      <c r="NK59" s="9" t="n">
        <v>0</v>
      </c>
      <c r="NM59" s="9" t="n">
        <v>0</v>
      </c>
      <c r="NN59" s="9" t="n">
        <v>0</v>
      </c>
      <c r="NR59" s="10" t="n">
        <v>46071</v>
      </c>
      <c r="NT59" s="9" t="n">
        <v>0</v>
      </c>
      <c r="NV59" s="9" t="n">
        <v>0</v>
      </c>
      <c r="NW59" s="9" t="n">
        <v>2310</v>
      </c>
      <c r="OA59" s="10" t="n">
        <v>46071</v>
      </c>
      <c r="OC59" s="9" t="n">
        <v>0</v>
      </c>
      <c r="OE59" s="9" t="n">
        <v>0</v>
      </c>
      <c r="OF59" s="9" t="n">
        <v>1680.5</v>
      </c>
      <c r="OJ59" s="10" t="n">
        <v>46071</v>
      </c>
      <c r="OL59" s="9" t="n">
        <v>0</v>
      </c>
      <c r="ON59" s="9" t="n">
        <v>0</v>
      </c>
      <c r="OO59" s="9" t="n">
        <v>0</v>
      </c>
      <c r="OS59" s="10" t="n">
        <v>46071</v>
      </c>
      <c r="OU59" s="9" t="n">
        <v>0</v>
      </c>
      <c r="OW59" s="9" t="n">
        <v>0</v>
      </c>
      <c r="OX59" s="9" t="n">
        <v>0</v>
      </c>
      <c r="PB59" s="10" t="n">
        <v>46071</v>
      </c>
      <c r="PD59" s="9" t="n">
        <v>0</v>
      </c>
      <c r="PF59" s="9" t="n">
        <v>0</v>
      </c>
      <c r="PG59" s="9" t="n">
        <v>0</v>
      </c>
      <c r="PK59" s="10" t="n">
        <v>46071</v>
      </c>
      <c r="PM59" s="9" t="n">
        <v>0</v>
      </c>
      <c r="PO59" s="9" t="n">
        <v>0</v>
      </c>
      <c r="PP59" s="9" t="n">
        <v>160</v>
      </c>
      <c r="PT59" s="10" t="n">
        <v>46071</v>
      </c>
      <c r="PV59" s="9" t="n">
        <v>0</v>
      </c>
      <c r="PX59" s="9" t="n">
        <v>0</v>
      </c>
      <c r="PY59" s="9" t="n">
        <v>13.96000000000004</v>
      </c>
      <c r="QC59" s="10" t="n">
        <v>46071</v>
      </c>
      <c r="QE59" s="9" t="n">
        <v>0</v>
      </c>
      <c r="QG59" s="9" t="n">
        <v>0</v>
      </c>
      <c r="QH59" s="9" t="n">
        <v>0</v>
      </c>
      <c r="QL59" s="10" t="n">
        <v>46071</v>
      </c>
      <c r="QN59" s="9" t="n">
        <v>0</v>
      </c>
      <c r="QP59" s="9" t="n">
        <v>0</v>
      </c>
      <c r="QQ59" s="9" t="n">
        <v>0</v>
      </c>
      <c r="QU59" s="10" t="n">
        <v>46071</v>
      </c>
      <c r="QW59" s="9" t="n">
        <v>0</v>
      </c>
      <c r="QY59" s="9" t="n">
        <v>0</v>
      </c>
      <c r="QZ59" s="9" t="n">
        <v>207.6</v>
      </c>
      <c r="RD59" s="10" t="n">
        <v>46071</v>
      </c>
      <c r="RF59" s="9" t="n">
        <v>0</v>
      </c>
      <c r="RH59" s="9" t="n">
        <v>0</v>
      </c>
      <c r="RI59" s="9" t="n">
        <v>197.04</v>
      </c>
      <c r="RM59" s="10" t="n">
        <v>46071</v>
      </c>
      <c r="RO59" s="9" t="n">
        <v>0</v>
      </c>
      <c r="RQ59" s="9" t="n">
        <v>0</v>
      </c>
      <c r="RR59" s="9" t="n">
        <v>46.8</v>
      </c>
      <c r="RV59" s="10" t="n">
        <v>46071</v>
      </c>
      <c r="RX59" s="9" t="n">
        <v>0</v>
      </c>
      <c r="RZ59" s="9" t="n">
        <v>0</v>
      </c>
      <c r="SA59" s="9" t="n">
        <v>0</v>
      </c>
      <c r="SE59" s="10" t="n">
        <v>46071</v>
      </c>
      <c r="SG59" s="9" t="n">
        <v>0</v>
      </c>
      <c r="SI59" s="9" t="n">
        <v>0</v>
      </c>
      <c r="SJ59" s="9" t="n">
        <v>0</v>
      </c>
      <c r="SN59" s="10" t="n">
        <v>46071</v>
      </c>
      <c r="SP59" s="9" t="n">
        <v>0</v>
      </c>
      <c r="SR59" s="9" t="n">
        <v>0</v>
      </c>
      <c r="SS59" s="9" t="n">
        <v>0</v>
      </c>
      <c r="SW59" s="10" t="n">
        <v>46071</v>
      </c>
      <c r="SY59" s="9" t="n">
        <v>0</v>
      </c>
      <c r="TA59" s="9" t="n">
        <v>0</v>
      </c>
      <c r="TB59" s="9" t="n">
        <v>0</v>
      </c>
      <c r="TF59" s="10" t="n">
        <v>46071</v>
      </c>
      <c r="TH59" s="9" t="n">
        <v>0</v>
      </c>
      <c r="TJ59" s="9" t="n">
        <v>0</v>
      </c>
      <c r="TK59" s="9" t="n">
        <v>0</v>
      </c>
      <c r="TO59" s="10" t="n">
        <v>46071</v>
      </c>
      <c r="TQ59" s="9" t="n">
        <v>0</v>
      </c>
      <c r="TS59" s="9" t="n">
        <v>0</v>
      </c>
      <c r="TT59" s="9" t="n">
        <v>0</v>
      </c>
      <c r="TX59" s="10" t="n">
        <v>46071</v>
      </c>
      <c r="TZ59" s="9" t="n">
        <v>0</v>
      </c>
      <c r="UB59" s="9" t="n">
        <v>0</v>
      </c>
      <c r="UC59" s="9" t="n">
        <v>0</v>
      </c>
      <c r="UG59" s="10" t="n">
        <v>46071</v>
      </c>
      <c r="UI59" s="9" t="n">
        <v>0</v>
      </c>
      <c r="UK59" s="9" t="n">
        <v>0</v>
      </c>
      <c r="UL59" s="9" t="n">
        <v>0</v>
      </c>
      <c r="UP59" s="10" t="n">
        <v>46071</v>
      </c>
      <c r="UR59" s="9" t="n">
        <v>0</v>
      </c>
      <c r="UT59" s="9" t="n">
        <v>0</v>
      </c>
      <c r="UU59" s="9" t="n">
        <v>0</v>
      </c>
      <c r="UY59" s="10" t="n">
        <v>46071</v>
      </c>
      <c r="VA59" s="9" t="n">
        <v>0</v>
      </c>
      <c r="VC59" s="9" t="n">
        <v>0</v>
      </c>
      <c r="VD59" s="9" t="n">
        <v>41.60000000000002</v>
      </c>
      <c r="VH59" s="10" t="n">
        <v>46071</v>
      </c>
      <c r="VJ59" s="9" t="n">
        <v>0</v>
      </c>
      <c r="VL59" s="9" t="n">
        <v>0</v>
      </c>
      <c r="VM59" s="9" t="n">
        <v>0</v>
      </c>
      <c r="VQ59" s="10" t="n">
        <v>46071</v>
      </c>
      <c r="VS59" s="9" t="n">
        <v>0</v>
      </c>
      <c r="VU59" s="9" t="n">
        <v>0</v>
      </c>
      <c r="VV59" s="9" t="n">
        <v>0</v>
      </c>
      <c r="VZ59" s="10" t="n">
        <v>46071</v>
      </c>
      <c r="WB59" s="9" t="n">
        <v>0</v>
      </c>
      <c r="WD59" s="9" t="n">
        <v>0</v>
      </c>
      <c r="WE59" s="9" t="n">
        <v>0</v>
      </c>
      <c r="WI59" s="10" t="n">
        <v>46071</v>
      </c>
      <c r="WK59" s="9" t="n">
        <v>0</v>
      </c>
      <c r="WM59" s="9" t="n">
        <v>0</v>
      </c>
      <c r="WN59" s="9" t="n">
        <v>8433</v>
      </c>
      <c r="WR59" s="10" t="n">
        <v>46071</v>
      </c>
      <c r="WT59" s="9" t="n">
        <v>0</v>
      </c>
      <c r="WV59" s="9" t="n">
        <v>0</v>
      </c>
      <c r="WW59" s="9" t="n">
        <v>6559</v>
      </c>
      <c r="XA59" s="10" t="n">
        <v>46071</v>
      </c>
      <c r="XC59" s="9" t="n">
        <v>0</v>
      </c>
      <c r="XE59" s="9" t="n">
        <v>0</v>
      </c>
      <c r="XF59" s="9" t="n">
        <v>590</v>
      </c>
      <c r="XJ59" s="10" t="n">
        <v>46071</v>
      </c>
      <c r="XL59" s="9" t="n">
        <v>0</v>
      </c>
      <c r="XN59" s="9" t="n">
        <v>0</v>
      </c>
      <c r="XO59" s="9" t="n">
        <v>8852</v>
      </c>
      <c r="XS59" s="10" t="n">
        <v>46071</v>
      </c>
      <c r="XU59" s="9" t="n">
        <v>0</v>
      </c>
      <c r="XW59" s="9" t="n">
        <v>0</v>
      </c>
      <c r="XX59" s="9" t="n">
        <v>1901</v>
      </c>
      <c r="YB59" s="10" t="n">
        <v>46071</v>
      </c>
      <c r="YD59" s="9" t="n">
        <v>0</v>
      </c>
      <c r="YF59" s="9" t="n">
        <v>0</v>
      </c>
      <c r="YG59" s="9" t="n">
        <v>-707</v>
      </c>
      <c r="YK59" s="10" t="n">
        <v>46071</v>
      </c>
      <c r="YM59" s="9" t="n">
        <v>0</v>
      </c>
      <c r="YO59" s="9" t="n">
        <v>0</v>
      </c>
      <c r="YP59" s="9" t="n">
        <v>0</v>
      </c>
      <c r="YT59" s="10" t="n">
        <v>46071</v>
      </c>
      <c r="YV59" s="9" t="n">
        <v>0</v>
      </c>
      <c r="YX59" s="9" t="n">
        <v>0</v>
      </c>
      <c r="YY59" s="9" t="n">
        <v>0</v>
      </c>
      <c r="ZC59" s="10" t="n">
        <v>46071</v>
      </c>
      <c r="ZE59" s="9" t="n">
        <v>0</v>
      </c>
      <c r="ZG59" s="9" t="n">
        <v>0</v>
      </c>
      <c r="ZH59" s="9" t="n">
        <v>0</v>
      </c>
      <c r="ZL59" s="10" t="n">
        <v>46071</v>
      </c>
      <c r="ZN59" s="9" t="n">
        <v>0</v>
      </c>
      <c r="ZP59" s="9" t="n">
        <v>0</v>
      </c>
      <c r="ZQ59" s="9" t="n">
        <v>0</v>
      </c>
      <c r="ZU59" s="10" t="n">
        <v>46071</v>
      </c>
      <c r="ZW59" s="9" t="n">
        <v>0</v>
      </c>
      <c r="ZY59" s="9" t="n">
        <v>0</v>
      </c>
      <c r="ZZ59" s="9" t="n">
        <v>0</v>
      </c>
      <c r="AAD59" s="10" t="n">
        <v>46071</v>
      </c>
      <c r="AAF59" s="9" t="n">
        <v>0</v>
      </c>
      <c r="AAH59" s="9" t="n">
        <v>0</v>
      </c>
      <c r="AAI59" s="9" t="n">
        <v>0</v>
      </c>
      <c r="AAM59" s="10" t="n">
        <v>46071</v>
      </c>
      <c r="AAO59" s="9" t="n">
        <v>0</v>
      </c>
      <c r="AAQ59" s="9" t="n">
        <v>0</v>
      </c>
      <c r="AAR59" s="9" t="n">
        <v>0</v>
      </c>
      <c r="AAV59" s="10" t="n">
        <v>46071</v>
      </c>
      <c r="AAX59" s="9" t="n">
        <v>0</v>
      </c>
      <c r="AAZ59" s="9" t="n">
        <v>0</v>
      </c>
      <c r="ABA59" s="9" t="n">
        <v>0</v>
      </c>
      <c r="ABE59" s="10" t="n">
        <v>46071</v>
      </c>
      <c r="ABG59" s="9" t="n">
        <v>0</v>
      </c>
      <c r="ABI59" s="9" t="n">
        <v>0</v>
      </c>
      <c r="ABJ59" s="9" t="n">
        <v>0</v>
      </c>
    </row>
    <row r="60">
      <c r="B60" s="9" t="n">
        <v>132</v>
      </c>
      <c r="C60" s="10" t="n">
        <v>46072</v>
      </c>
      <c r="E60" s="9" t="n">
        <v>68130.3</v>
      </c>
      <c r="F60" s="9" t="n">
        <v>68133.39999999999</v>
      </c>
      <c r="G60" s="9" t="n">
        <v>-3.099999999991269</v>
      </c>
      <c r="H60" s="9" t="n">
        <v>148506</v>
      </c>
      <c r="I60" s="9" t="inlineStr">
        <is>
          <t>8102 54mt, 122 78mt</t>
        </is>
      </c>
      <c r="L60" s="10" t="n">
        <v>46072</v>
      </c>
      <c r="N60" s="9" t="n">
        <v>31056</v>
      </c>
      <c r="O60" s="9" t="n">
        <v>31052.6</v>
      </c>
      <c r="P60" s="9" t="n">
        <v>3.399999999997817</v>
      </c>
      <c r="Q60" s="9" t="n">
        <v>84685.00000000003</v>
      </c>
      <c r="U60" s="10" t="n">
        <v>46072</v>
      </c>
      <c r="W60" s="9" t="n">
        <v>9213</v>
      </c>
      <c r="X60" s="9" t="n">
        <v>9213.700000000001</v>
      </c>
      <c r="Y60" s="9" t="n">
        <v>-0.7000000000007276</v>
      </c>
      <c r="Z60" s="9" t="n">
        <v>42973.39999999998</v>
      </c>
      <c r="AD60" s="10" t="n">
        <v>46072</v>
      </c>
      <c r="AF60" s="9" t="n">
        <v>3714</v>
      </c>
      <c r="AG60" s="9" t="n">
        <v>3716.3</v>
      </c>
      <c r="AH60" s="9" t="n">
        <v>-2.300000000000182</v>
      </c>
      <c r="AI60" s="9" t="n">
        <v>43039.20000000002</v>
      </c>
      <c r="AM60" s="10" t="n">
        <v>46072</v>
      </c>
      <c r="AO60" s="9" t="n">
        <v>0</v>
      </c>
      <c r="AQ60" s="9" t="n">
        <v>0</v>
      </c>
      <c r="AR60" s="9" t="n">
        <v>0</v>
      </c>
      <c r="AV60" s="10" t="n">
        <v>46072</v>
      </c>
      <c r="AX60" s="9" t="n">
        <v>1080</v>
      </c>
      <c r="AY60" s="9" t="n">
        <v>1079.6</v>
      </c>
      <c r="AZ60" s="9" t="n">
        <v>0.4000000000000909</v>
      </c>
      <c r="BA60" s="9" t="n">
        <v>49842.69999999999</v>
      </c>
      <c r="BE60" s="10" t="n">
        <v>46072</v>
      </c>
      <c r="BG60" s="9" t="n">
        <v>4356</v>
      </c>
      <c r="BH60" s="9" t="n">
        <v>4356.7</v>
      </c>
      <c r="BI60" s="9" t="n">
        <v>-0.6999999999998181</v>
      </c>
      <c r="BJ60" s="9" t="n">
        <v>18990.10000000001</v>
      </c>
      <c r="BN60" s="10" t="n">
        <v>46072</v>
      </c>
      <c r="BO60" s="9" t="n">
        <v>2640</v>
      </c>
      <c r="BP60" s="9" t="n">
        <v>2640</v>
      </c>
      <c r="BQ60" s="9" t="n">
        <v>2640</v>
      </c>
      <c r="BR60" s="9" t="n">
        <v>0</v>
      </c>
      <c r="BS60" s="9" t="n">
        <v>0</v>
      </c>
      <c r="BW60" s="10" t="n">
        <v>46072</v>
      </c>
      <c r="BY60" s="9" t="n">
        <v>518.7</v>
      </c>
      <c r="CA60" s="9" t="n">
        <v>518.7</v>
      </c>
      <c r="CB60" s="9" t="n">
        <v>931.9000000000001</v>
      </c>
      <c r="CF60" s="10" t="n">
        <v>46072</v>
      </c>
      <c r="CH60" s="9" t="n">
        <v>780</v>
      </c>
      <c r="CJ60" s="9" t="n">
        <v>780</v>
      </c>
      <c r="CK60" s="9" t="n">
        <v>0</v>
      </c>
      <c r="CO60" s="10" t="n">
        <v>46072</v>
      </c>
      <c r="CQ60" s="9" t="n">
        <v>0</v>
      </c>
      <c r="CS60" s="9" t="n">
        <v>0</v>
      </c>
      <c r="CT60" s="9" t="n">
        <v>0</v>
      </c>
      <c r="CX60" s="10" t="n">
        <v>46072</v>
      </c>
      <c r="CZ60" s="9" t="n">
        <v>3900</v>
      </c>
      <c r="DA60" s="9" t="n">
        <v>3901.6</v>
      </c>
      <c r="DB60" s="9" t="n">
        <v>-1.599999999999909</v>
      </c>
      <c r="DC60" s="9" t="n">
        <v>23185.2</v>
      </c>
      <c r="DG60" s="10" t="n">
        <v>46072</v>
      </c>
      <c r="DI60" s="9" t="n">
        <v>3120</v>
      </c>
      <c r="DJ60" s="9" t="n">
        <v>3120.4</v>
      </c>
      <c r="DK60" s="9" t="n">
        <v>-0.4000000000000909</v>
      </c>
      <c r="DL60" s="9" t="n">
        <v>10311.2</v>
      </c>
      <c r="DP60" s="10" t="n">
        <v>46072</v>
      </c>
      <c r="DR60" s="9" t="n">
        <v>0</v>
      </c>
      <c r="DT60" s="9" t="n">
        <v>0</v>
      </c>
      <c r="DU60" s="9" t="n">
        <v>2300</v>
      </c>
      <c r="DY60" s="10" t="n">
        <v>46072</v>
      </c>
      <c r="EA60" s="9" t="n">
        <v>0</v>
      </c>
      <c r="EC60" s="9" t="n">
        <v>0</v>
      </c>
      <c r="ED60" s="9" t="n">
        <v>5696.8</v>
      </c>
      <c r="EH60" s="10" t="n">
        <v>46072</v>
      </c>
      <c r="EJ60" s="9" t="n">
        <v>0</v>
      </c>
      <c r="EL60" s="9" t="n">
        <v>0</v>
      </c>
      <c r="EM60" s="9" t="n">
        <v>0</v>
      </c>
      <c r="EQ60" s="10" t="n">
        <v>46072</v>
      </c>
      <c r="ES60" s="9" t="n">
        <v>0</v>
      </c>
      <c r="EU60" s="9" t="n">
        <v>0</v>
      </c>
      <c r="EV60" s="9" t="n">
        <v>0</v>
      </c>
      <c r="EZ60" s="10" t="n">
        <v>46072</v>
      </c>
      <c r="FB60" s="9" t="n">
        <v>0</v>
      </c>
      <c r="FD60" s="9" t="n">
        <v>0</v>
      </c>
      <c r="FE60" s="9" t="n">
        <v>0</v>
      </c>
      <c r="FI60" s="10" t="n">
        <v>46072</v>
      </c>
      <c r="FK60" s="9" t="n">
        <v>0</v>
      </c>
      <c r="FM60" s="9" t="n">
        <v>0</v>
      </c>
      <c r="FN60" s="9" t="n">
        <v>0</v>
      </c>
      <c r="FR60" s="10" t="n">
        <v>46072</v>
      </c>
      <c r="FT60" s="9" t="n">
        <v>0</v>
      </c>
      <c r="FV60" s="9" t="n">
        <v>0</v>
      </c>
      <c r="FW60" s="9" t="n">
        <v>1900</v>
      </c>
      <c r="GA60" s="10" t="n">
        <v>46072</v>
      </c>
      <c r="GC60" s="9" t="n">
        <v>0</v>
      </c>
      <c r="GE60" s="9" t="n">
        <v>0</v>
      </c>
      <c r="GF60" s="9" t="n">
        <v>5960</v>
      </c>
      <c r="GJ60" s="10" t="n">
        <v>46072</v>
      </c>
      <c r="GL60" s="9" t="n">
        <v>0</v>
      </c>
      <c r="GN60" s="9" t="n">
        <v>0</v>
      </c>
      <c r="GO60" s="9" t="n">
        <v>5240</v>
      </c>
      <c r="GS60" s="10" t="n">
        <v>46072</v>
      </c>
      <c r="GU60" s="9" t="n">
        <v>0</v>
      </c>
      <c r="GW60" s="9" t="n">
        <v>0</v>
      </c>
      <c r="GX60" s="9" t="n">
        <v>0</v>
      </c>
      <c r="HB60" s="10" t="n">
        <v>46072</v>
      </c>
      <c r="HD60" s="9" t="n">
        <v>0</v>
      </c>
      <c r="HF60" s="9" t="n">
        <v>0</v>
      </c>
      <c r="HG60" s="9" t="n">
        <v>0</v>
      </c>
      <c r="HK60" s="10" t="n">
        <v>46072</v>
      </c>
      <c r="HM60" s="9" t="n">
        <v>0</v>
      </c>
      <c r="HO60" s="9" t="n">
        <v>0</v>
      </c>
      <c r="HP60" s="9" t="n">
        <v>0</v>
      </c>
      <c r="HU60" s="10" t="n">
        <v>46072</v>
      </c>
      <c r="HW60" s="9" t="n">
        <v>0</v>
      </c>
      <c r="HY60" s="9" t="n">
        <v>0</v>
      </c>
      <c r="HZ60" s="9" t="n">
        <v>5120</v>
      </c>
      <c r="ID60" s="10" t="n">
        <v>46072</v>
      </c>
      <c r="IF60" s="9" t="n">
        <v>0</v>
      </c>
      <c r="IH60" s="9" t="n">
        <v>0</v>
      </c>
      <c r="II60" s="9" t="n">
        <v>5100</v>
      </c>
      <c r="IM60" s="10" t="n">
        <v>46072</v>
      </c>
      <c r="IO60" s="9" t="n">
        <v>1080</v>
      </c>
      <c r="IQ60" s="9" t="n">
        <v>1080</v>
      </c>
      <c r="IR60" s="9" t="n">
        <v>10240</v>
      </c>
      <c r="IV60" s="10" t="n">
        <v>46072</v>
      </c>
      <c r="IX60" s="9" t="n">
        <v>0</v>
      </c>
      <c r="IZ60" s="9" t="n">
        <v>0</v>
      </c>
      <c r="JA60" s="9" t="n">
        <v>15120</v>
      </c>
      <c r="JE60" s="10" t="n">
        <v>46072</v>
      </c>
      <c r="JG60" s="9" t="n">
        <v>0</v>
      </c>
      <c r="JI60" s="9" t="n">
        <v>0</v>
      </c>
      <c r="JJ60" s="9" t="n">
        <v>3600</v>
      </c>
      <c r="JN60" s="10" t="n">
        <v>46072</v>
      </c>
      <c r="JP60" s="9" t="n">
        <v>0</v>
      </c>
      <c r="JR60" s="9" t="n">
        <v>0</v>
      </c>
      <c r="JS60" s="9" t="n">
        <v>5400</v>
      </c>
      <c r="JW60" s="10" t="n">
        <v>46072</v>
      </c>
      <c r="JY60" s="9" t="n">
        <v>0</v>
      </c>
      <c r="KA60" s="9" t="n">
        <v>0</v>
      </c>
      <c r="KB60" s="9" t="n">
        <v>4000</v>
      </c>
      <c r="KF60" s="10" t="n">
        <v>46072</v>
      </c>
      <c r="KH60" s="9" t="n">
        <v>1521</v>
      </c>
      <c r="KJ60" s="9" t="n">
        <v>1521</v>
      </c>
      <c r="KK60" s="9" t="n">
        <v>1287</v>
      </c>
      <c r="KO60" s="10" t="n">
        <v>46072</v>
      </c>
      <c r="KQ60" s="9" t="n">
        <v>0</v>
      </c>
      <c r="KS60" s="9" t="n">
        <v>0</v>
      </c>
      <c r="KT60" s="9" t="n">
        <v>10659.6</v>
      </c>
      <c r="KX60" s="10" t="n">
        <v>46072</v>
      </c>
      <c r="KZ60" s="9" t="n">
        <v>0</v>
      </c>
      <c r="LB60" s="9" t="n">
        <v>0</v>
      </c>
      <c r="LC60" s="9" t="n">
        <v>0</v>
      </c>
      <c r="LG60" s="10" t="n">
        <v>46072</v>
      </c>
      <c r="LI60" s="9" t="n">
        <v>0</v>
      </c>
      <c r="LK60" s="9" t="n">
        <v>0</v>
      </c>
      <c r="LL60" s="9" t="n">
        <v>0</v>
      </c>
      <c r="LP60" s="10" t="n">
        <v>46072</v>
      </c>
      <c r="LR60" s="9" t="n">
        <v>0</v>
      </c>
      <c r="LT60" s="9" t="n">
        <v>0</v>
      </c>
      <c r="LU60" s="9" t="n">
        <v>0</v>
      </c>
      <c r="LY60" s="10" t="n">
        <v>46072</v>
      </c>
      <c r="MA60" s="9" t="n">
        <v>0</v>
      </c>
      <c r="MC60" s="9" t="n">
        <v>0</v>
      </c>
      <c r="MD60" s="9" t="n">
        <v>0</v>
      </c>
      <c r="MH60" s="10" t="n">
        <v>46072</v>
      </c>
      <c r="MJ60" s="9" t="n">
        <v>0</v>
      </c>
      <c r="ML60" s="9" t="n">
        <v>0</v>
      </c>
      <c r="MM60" s="9" t="n">
        <v>0</v>
      </c>
      <c r="MQ60" s="10" t="n">
        <v>46072</v>
      </c>
      <c r="MS60" s="9" t="n">
        <v>183</v>
      </c>
      <c r="MU60" s="9" t="n">
        <v>183</v>
      </c>
      <c r="MV60" s="9" t="n">
        <v>370</v>
      </c>
      <c r="MZ60" s="10" t="n">
        <v>46072</v>
      </c>
      <c r="NB60" s="9" t="n">
        <v>396</v>
      </c>
      <c r="ND60" s="9" t="n">
        <v>396</v>
      </c>
      <c r="NE60" s="9" t="n">
        <v>0</v>
      </c>
      <c r="NI60" s="10" t="n">
        <v>46072</v>
      </c>
      <c r="NK60" s="9" t="n">
        <v>0</v>
      </c>
      <c r="NM60" s="9" t="n">
        <v>0</v>
      </c>
      <c r="NN60" s="9" t="n">
        <v>0</v>
      </c>
      <c r="NR60" s="10" t="n">
        <v>46072</v>
      </c>
      <c r="NT60" s="9" t="n">
        <v>93.59999999999999</v>
      </c>
      <c r="NV60" s="9" t="n">
        <v>93.59999999999999</v>
      </c>
      <c r="NW60" s="9" t="n">
        <v>2310</v>
      </c>
      <c r="OA60" s="10" t="n">
        <v>46072</v>
      </c>
      <c r="OC60" s="9" t="n">
        <v>0</v>
      </c>
      <c r="OE60" s="9" t="n">
        <v>0</v>
      </c>
      <c r="OF60" s="9" t="n">
        <v>1680.5</v>
      </c>
      <c r="OJ60" s="10" t="n">
        <v>46072</v>
      </c>
      <c r="OL60" s="9" t="n">
        <v>218.3999999999999</v>
      </c>
      <c r="ON60" s="9" t="n">
        <v>218.3999999999999</v>
      </c>
      <c r="OO60" s="9" t="n">
        <v>0</v>
      </c>
      <c r="OS60" s="10" t="n">
        <v>46072</v>
      </c>
      <c r="OU60" s="9" t="n">
        <v>0</v>
      </c>
      <c r="OW60" s="9" t="n">
        <v>0</v>
      </c>
      <c r="OX60" s="9" t="n">
        <v>0</v>
      </c>
      <c r="PB60" s="10" t="n">
        <v>46072</v>
      </c>
      <c r="PD60" s="9" t="n">
        <v>0</v>
      </c>
      <c r="PF60" s="9" t="n">
        <v>0</v>
      </c>
      <c r="PG60" s="9" t="n">
        <v>0</v>
      </c>
      <c r="PK60" s="10" t="n">
        <v>46072</v>
      </c>
      <c r="PM60" s="9" t="n">
        <v>0</v>
      </c>
      <c r="PO60" s="9" t="n">
        <v>0</v>
      </c>
      <c r="PP60" s="9" t="n">
        <v>160</v>
      </c>
      <c r="PT60" s="10" t="n">
        <v>46072</v>
      </c>
      <c r="PV60" s="9" t="n">
        <v>0</v>
      </c>
      <c r="PX60" s="9" t="n">
        <v>0</v>
      </c>
      <c r="PY60" s="9" t="n">
        <v>13.96000000000004</v>
      </c>
      <c r="QC60" s="10" t="n">
        <v>46072</v>
      </c>
      <c r="QE60" s="9" t="n">
        <v>0</v>
      </c>
      <c r="QG60" s="9" t="n">
        <v>0</v>
      </c>
      <c r="QH60" s="9" t="n">
        <v>0</v>
      </c>
      <c r="QL60" s="10" t="n">
        <v>46072</v>
      </c>
      <c r="QN60" s="9" t="n">
        <v>0</v>
      </c>
      <c r="QP60" s="9" t="n">
        <v>0</v>
      </c>
      <c r="QQ60" s="9" t="n">
        <v>0</v>
      </c>
      <c r="QU60" s="10" t="n">
        <v>46072</v>
      </c>
      <c r="QW60" s="9" t="n">
        <v>0</v>
      </c>
      <c r="QY60" s="9" t="n">
        <v>0</v>
      </c>
      <c r="QZ60" s="9" t="n">
        <v>207.6</v>
      </c>
      <c r="RD60" s="10" t="n">
        <v>46072</v>
      </c>
      <c r="RF60" s="9" t="n">
        <v>0</v>
      </c>
      <c r="RH60" s="9" t="n">
        <v>0</v>
      </c>
      <c r="RI60" s="9" t="n">
        <v>197.04</v>
      </c>
      <c r="RM60" s="10" t="n">
        <v>46072</v>
      </c>
      <c r="RO60" s="9" t="n">
        <v>0</v>
      </c>
      <c r="RQ60" s="9" t="n">
        <v>0</v>
      </c>
      <c r="RR60" s="9" t="n">
        <v>46.8</v>
      </c>
      <c r="RV60" s="10" t="n">
        <v>46072</v>
      </c>
      <c r="RX60" s="9" t="n">
        <v>0</v>
      </c>
      <c r="RZ60" s="9" t="n">
        <v>0</v>
      </c>
      <c r="SA60" s="9" t="n">
        <v>0</v>
      </c>
      <c r="SE60" s="10" t="n">
        <v>46072</v>
      </c>
      <c r="SG60" s="9" t="n">
        <v>0</v>
      </c>
      <c r="SI60" s="9" t="n">
        <v>0</v>
      </c>
      <c r="SJ60" s="9" t="n">
        <v>0</v>
      </c>
      <c r="SN60" s="10" t="n">
        <v>46072</v>
      </c>
      <c r="SP60" s="9" t="n">
        <v>0</v>
      </c>
      <c r="SR60" s="9" t="n">
        <v>0</v>
      </c>
      <c r="SS60" s="9" t="n">
        <v>0</v>
      </c>
      <c r="SW60" s="10" t="n">
        <v>46072</v>
      </c>
      <c r="SY60" s="9" t="n">
        <v>0</v>
      </c>
      <c r="TA60" s="9" t="n">
        <v>0</v>
      </c>
      <c r="TB60" s="9" t="n">
        <v>0</v>
      </c>
      <c r="TF60" s="10" t="n">
        <v>46072</v>
      </c>
      <c r="TH60" s="9" t="n">
        <v>0</v>
      </c>
      <c r="TJ60" s="9" t="n">
        <v>0</v>
      </c>
      <c r="TK60" s="9" t="n">
        <v>0</v>
      </c>
      <c r="TO60" s="10" t="n">
        <v>46072</v>
      </c>
      <c r="TQ60" s="9" t="n">
        <v>0</v>
      </c>
      <c r="TS60" s="9" t="n">
        <v>0</v>
      </c>
      <c r="TT60" s="9" t="n">
        <v>0</v>
      </c>
      <c r="TX60" s="10" t="n">
        <v>46072</v>
      </c>
      <c r="TZ60" s="9" t="n">
        <v>0</v>
      </c>
      <c r="UB60" s="9" t="n">
        <v>0</v>
      </c>
      <c r="UC60" s="9" t="n">
        <v>0</v>
      </c>
      <c r="UG60" s="10" t="n">
        <v>46072</v>
      </c>
      <c r="UI60" s="9" t="n">
        <v>0</v>
      </c>
      <c r="UK60" s="9" t="n">
        <v>0</v>
      </c>
      <c r="UL60" s="9" t="n">
        <v>0</v>
      </c>
      <c r="UP60" s="10" t="n">
        <v>46072</v>
      </c>
      <c r="UR60" s="9" t="n">
        <v>0</v>
      </c>
      <c r="UT60" s="9" t="n">
        <v>0</v>
      </c>
      <c r="UU60" s="9" t="n">
        <v>0</v>
      </c>
      <c r="UY60" s="10" t="n">
        <v>46072</v>
      </c>
      <c r="VA60" s="9" t="n">
        <v>0</v>
      </c>
      <c r="VC60" s="9" t="n">
        <v>0</v>
      </c>
      <c r="VD60" s="9" t="n">
        <v>41.60000000000002</v>
      </c>
      <c r="VH60" s="10" t="n">
        <v>46072</v>
      </c>
      <c r="VJ60" s="9" t="n">
        <v>0</v>
      </c>
      <c r="VL60" s="9" t="n">
        <v>0</v>
      </c>
      <c r="VM60" s="9" t="n">
        <v>0</v>
      </c>
      <c r="VQ60" s="10" t="n">
        <v>46072</v>
      </c>
      <c r="VS60" s="9" t="n">
        <v>0</v>
      </c>
      <c r="VU60" s="9" t="n">
        <v>0</v>
      </c>
      <c r="VV60" s="9" t="n">
        <v>0</v>
      </c>
      <c r="VZ60" s="10" t="n">
        <v>46072</v>
      </c>
      <c r="WB60" s="9" t="n">
        <v>0</v>
      </c>
      <c r="WD60" s="9" t="n">
        <v>0</v>
      </c>
      <c r="WE60" s="9" t="n">
        <v>0</v>
      </c>
      <c r="WI60" s="10" t="n">
        <v>46072</v>
      </c>
      <c r="WK60" s="9" t="n">
        <v>0</v>
      </c>
      <c r="WM60" s="9" t="n">
        <v>0</v>
      </c>
      <c r="WN60" s="9" t="n">
        <v>8433</v>
      </c>
      <c r="WR60" s="10" t="n">
        <v>46072</v>
      </c>
      <c r="WT60" s="9" t="n">
        <v>0</v>
      </c>
      <c r="WV60" s="9" t="n">
        <v>0</v>
      </c>
      <c r="WW60" s="9" t="n">
        <v>6559</v>
      </c>
      <c r="XA60" s="10" t="n">
        <v>46072</v>
      </c>
      <c r="XC60" s="9" t="n">
        <v>0</v>
      </c>
      <c r="XE60" s="9" t="n">
        <v>0</v>
      </c>
      <c r="XF60" s="9" t="n">
        <v>590</v>
      </c>
      <c r="XJ60" s="10" t="n">
        <v>46072</v>
      </c>
      <c r="XL60" s="9" t="n">
        <v>0</v>
      </c>
      <c r="XM60" s="9" t="n">
        <v>1089</v>
      </c>
      <c r="XN60" s="9" t="n">
        <v>-1089</v>
      </c>
      <c r="XO60" s="9" t="n">
        <v>7763</v>
      </c>
      <c r="XS60" s="10" t="n">
        <v>46072</v>
      </c>
      <c r="XU60" s="9" t="n">
        <v>0</v>
      </c>
      <c r="XW60" s="9" t="n">
        <v>0</v>
      </c>
      <c r="XX60" s="9" t="n">
        <v>1901</v>
      </c>
      <c r="YB60" s="10" t="n">
        <v>46072</v>
      </c>
      <c r="YD60" s="9" t="n">
        <v>0</v>
      </c>
      <c r="YF60" s="9" t="n">
        <v>0</v>
      </c>
      <c r="YG60" s="9" t="n">
        <v>-707</v>
      </c>
      <c r="YK60" s="10" t="n">
        <v>46072</v>
      </c>
      <c r="YM60" s="9" t="n">
        <v>0</v>
      </c>
      <c r="YO60" s="9" t="n">
        <v>0</v>
      </c>
      <c r="YP60" s="9" t="n">
        <v>0</v>
      </c>
      <c r="YT60" s="10" t="n">
        <v>46072</v>
      </c>
      <c r="YV60" s="9" t="n">
        <v>0</v>
      </c>
      <c r="YX60" s="9" t="n">
        <v>0</v>
      </c>
      <c r="YY60" s="9" t="n">
        <v>0</v>
      </c>
      <c r="ZC60" s="10" t="n">
        <v>46072</v>
      </c>
      <c r="ZE60" s="9" t="n">
        <v>0</v>
      </c>
      <c r="ZG60" s="9" t="n">
        <v>0</v>
      </c>
      <c r="ZH60" s="9" t="n">
        <v>0</v>
      </c>
      <c r="ZL60" s="10" t="n">
        <v>46072</v>
      </c>
      <c r="ZN60" s="9" t="n">
        <v>0</v>
      </c>
      <c r="ZP60" s="9" t="n">
        <v>0</v>
      </c>
      <c r="ZQ60" s="9" t="n">
        <v>0</v>
      </c>
      <c r="ZU60" s="10" t="n">
        <v>46072</v>
      </c>
      <c r="ZW60" s="9" t="n">
        <v>0</v>
      </c>
      <c r="ZY60" s="9" t="n">
        <v>0</v>
      </c>
      <c r="ZZ60" s="9" t="n">
        <v>0</v>
      </c>
      <c r="AAD60" s="10" t="n">
        <v>46072</v>
      </c>
      <c r="AAF60" s="9" t="n">
        <v>0</v>
      </c>
      <c r="AAH60" s="9" t="n">
        <v>0</v>
      </c>
      <c r="AAI60" s="9" t="n">
        <v>0</v>
      </c>
      <c r="AAM60" s="10" t="n">
        <v>46072</v>
      </c>
      <c r="AAO60" s="9" t="n">
        <v>0</v>
      </c>
      <c r="AAQ60" s="9" t="n">
        <v>0</v>
      </c>
      <c r="AAR60" s="9" t="n">
        <v>0</v>
      </c>
      <c r="AAV60" s="10" t="n">
        <v>46072</v>
      </c>
      <c r="AAX60" s="9" t="n">
        <v>0</v>
      </c>
      <c r="AAZ60" s="9" t="n">
        <v>0</v>
      </c>
      <c r="ABA60" s="9" t="n">
        <v>0</v>
      </c>
      <c r="ABE60" s="10" t="n">
        <v>46072</v>
      </c>
      <c r="ABG60" s="9" t="n">
        <v>0</v>
      </c>
      <c r="ABI60" s="9" t="n">
        <v>0</v>
      </c>
      <c r="ABJ60" s="9" t="n">
        <v>0</v>
      </c>
    </row>
    <row r="61">
      <c r="B61" s="9" t="n">
        <v>80</v>
      </c>
      <c r="C61" s="10" t="n">
        <v>46073</v>
      </c>
      <c r="D61" s="9" t="n">
        <v>28750</v>
      </c>
      <c r="E61" s="9" t="n">
        <v>42767.99999999999</v>
      </c>
      <c r="F61" s="9" t="n">
        <v>42765.6</v>
      </c>
      <c r="G61" s="9" t="n">
        <v>2.399999999994179</v>
      </c>
      <c r="H61" s="9" t="n">
        <v>134490.4</v>
      </c>
      <c r="I61" s="9" t="inlineStr">
        <is>
          <t>123 80mt</t>
        </is>
      </c>
      <c r="L61" s="10" t="n">
        <v>46073</v>
      </c>
      <c r="N61" s="9" t="n">
        <v>13720</v>
      </c>
      <c r="O61" s="9" t="n">
        <v>13720.2</v>
      </c>
      <c r="P61" s="9" t="n">
        <v>-0.2000000000007276</v>
      </c>
      <c r="Q61" s="9" t="n">
        <v>70964.80000000003</v>
      </c>
      <c r="U61" s="10" t="n">
        <v>46073</v>
      </c>
      <c r="W61" s="9" t="n">
        <v>6800</v>
      </c>
      <c r="X61" s="9" t="n">
        <v>6799.3</v>
      </c>
      <c r="Y61" s="9" t="n">
        <v>0.6999999999998181</v>
      </c>
      <c r="Z61" s="9" t="n">
        <v>36174.09999999998</v>
      </c>
      <c r="AD61" s="10" t="n">
        <v>46073</v>
      </c>
      <c r="AF61" s="9" t="n">
        <v>960</v>
      </c>
      <c r="AG61" s="9" t="n">
        <v>961.5</v>
      </c>
      <c r="AH61" s="9" t="n">
        <v>-1.5</v>
      </c>
      <c r="AI61" s="9" t="n">
        <v>42077.70000000002</v>
      </c>
      <c r="AM61" s="10" t="n">
        <v>46073</v>
      </c>
      <c r="AO61" s="9" t="n">
        <v>0</v>
      </c>
      <c r="AQ61" s="9" t="n">
        <v>0</v>
      </c>
      <c r="AR61" s="9" t="n">
        <v>0</v>
      </c>
      <c r="AV61" s="10" t="n">
        <v>46073</v>
      </c>
      <c r="AX61" s="9" t="n">
        <v>0</v>
      </c>
      <c r="AZ61" s="9" t="n">
        <v>0</v>
      </c>
      <c r="BA61" s="9" t="n">
        <v>49842.69999999999</v>
      </c>
      <c r="BE61" s="10" t="n">
        <v>46073</v>
      </c>
      <c r="BG61" s="9" t="n">
        <v>3600</v>
      </c>
      <c r="BH61" s="9" t="n">
        <v>3599.4</v>
      </c>
      <c r="BI61" s="9" t="n">
        <v>0.5999999999999091</v>
      </c>
      <c r="BJ61" s="9" t="n">
        <v>15390.70000000001</v>
      </c>
      <c r="BN61" s="10" t="n">
        <v>46073</v>
      </c>
      <c r="BO61" s="9" t="n">
        <v>1560</v>
      </c>
      <c r="BP61" s="9" t="n">
        <v>1560</v>
      </c>
      <c r="BQ61" s="9" t="n">
        <v>1560</v>
      </c>
      <c r="BR61" s="9" t="n">
        <v>0</v>
      </c>
      <c r="BS61" s="9" t="n">
        <v>0</v>
      </c>
      <c r="BW61" s="10" t="n">
        <v>46073</v>
      </c>
      <c r="BY61" s="9" t="n">
        <v>440.0000000000001</v>
      </c>
      <c r="CA61" s="9" t="n">
        <v>440.0000000000001</v>
      </c>
      <c r="CB61" s="9" t="n">
        <v>931.9000000000001</v>
      </c>
      <c r="CF61" s="10" t="n">
        <v>46073</v>
      </c>
      <c r="CH61" s="9" t="n">
        <v>720.0000000000001</v>
      </c>
      <c r="CJ61" s="9" t="n">
        <v>720.0000000000001</v>
      </c>
      <c r="CK61" s="9" t="n">
        <v>0</v>
      </c>
      <c r="CO61" s="10" t="n">
        <v>46073</v>
      </c>
      <c r="CQ61" s="9" t="n">
        <v>0</v>
      </c>
      <c r="CS61" s="9" t="n">
        <v>0</v>
      </c>
      <c r="CT61" s="9" t="n">
        <v>0</v>
      </c>
      <c r="CX61" s="10" t="n">
        <v>46073</v>
      </c>
      <c r="CZ61" s="9" t="n">
        <v>4000</v>
      </c>
      <c r="DA61" s="9" t="n">
        <v>4000.7</v>
      </c>
      <c r="DB61" s="9" t="n">
        <v>-0.6999999999998181</v>
      </c>
      <c r="DC61" s="9" t="n">
        <v>19184.5</v>
      </c>
      <c r="DG61" s="10" t="n">
        <v>46073</v>
      </c>
      <c r="DI61" s="9" t="n">
        <v>3200</v>
      </c>
      <c r="DJ61" s="9" t="n">
        <v>3199.8</v>
      </c>
      <c r="DK61" s="9" t="n">
        <v>0.1999999999998181</v>
      </c>
      <c r="DL61" s="9" t="n">
        <v>7111.399999999997</v>
      </c>
      <c r="DP61" s="10" t="n">
        <v>46073</v>
      </c>
      <c r="DR61" s="9" t="n">
        <v>0</v>
      </c>
      <c r="DT61" s="9" t="n">
        <v>0</v>
      </c>
      <c r="DU61" s="9" t="n">
        <v>2300</v>
      </c>
      <c r="DY61" s="10" t="n">
        <v>46073</v>
      </c>
      <c r="EA61" s="9" t="n">
        <v>0</v>
      </c>
      <c r="EC61" s="9" t="n">
        <v>0</v>
      </c>
      <c r="ED61" s="9" t="n">
        <v>5696.8</v>
      </c>
      <c r="EH61" s="10" t="n">
        <v>46073</v>
      </c>
      <c r="EJ61" s="9" t="n">
        <v>0</v>
      </c>
      <c r="EL61" s="9" t="n">
        <v>0</v>
      </c>
      <c r="EM61" s="9" t="n">
        <v>0</v>
      </c>
      <c r="EQ61" s="10" t="n">
        <v>46073</v>
      </c>
      <c r="ES61" s="9" t="n">
        <v>0</v>
      </c>
      <c r="EU61" s="9" t="n">
        <v>0</v>
      </c>
      <c r="EV61" s="9" t="n">
        <v>0</v>
      </c>
      <c r="EZ61" s="10" t="n">
        <v>46073</v>
      </c>
      <c r="FB61" s="9" t="n">
        <v>0</v>
      </c>
      <c r="FD61" s="9" t="n">
        <v>0</v>
      </c>
      <c r="FE61" s="9" t="n">
        <v>0</v>
      </c>
      <c r="FI61" s="10" t="n">
        <v>46073</v>
      </c>
      <c r="FK61" s="9" t="n">
        <v>0</v>
      </c>
      <c r="FM61" s="9" t="n">
        <v>0</v>
      </c>
      <c r="FN61" s="9" t="n">
        <v>0</v>
      </c>
      <c r="FR61" s="10" t="n">
        <v>46073</v>
      </c>
      <c r="FT61" s="9" t="n">
        <v>0</v>
      </c>
      <c r="FV61" s="9" t="n">
        <v>0</v>
      </c>
      <c r="FW61" s="9" t="n">
        <v>1900</v>
      </c>
      <c r="GA61" s="10" t="n">
        <v>46073</v>
      </c>
      <c r="GC61" s="9" t="n">
        <v>0</v>
      </c>
      <c r="GE61" s="9" t="n">
        <v>0</v>
      </c>
      <c r="GF61" s="9" t="n">
        <v>5960</v>
      </c>
      <c r="GJ61" s="10" t="n">
        <v>46073</v>
      </c>
      <c r="GL61" s="9" t="n">
        <v>0</v>
      </c>
      <c r="GN61" s="9" t="n">
        <v>0</v>
      </c>
      <c r="GO61" s="9" t="n">
        <v>5240</v>
      </c>
      <c r="GS61" s="10" t="n">
        <v>46073</v>
      </c>
      <c r="GU61" s="9" t="n">
        <v>0</v>
      </c>
      <c r="GW61" s="9" t="n">
        <v>0</v>
      </c>
      <c r="GX61" s="9" t="n">
        <v>0</v>
      </c>
      <c r="HB61" s="10" t="n">
        <v>46073</v>
      </c>
      <c r="HD61" s="9" t="n">
        <v>0</v>
      </c>
      <c r="HF61" s="9" t="n">
        <v>0</v>
      </c>
      <c r="HG61" s="9" t="n">
        <v>0</v>
      </c>
      <c r="HK61" s="10" t="n">
        <v>46073</v>
      </c>
      <c r="HM61" s="9" t="n">
        <v>0</v>
      </c>
      <c r="HO61" s="9" t="n">
        <v>0</v>
      </c>
      <c r="HP61" s="9" t="n">
        <v>0</v>
      </c>
      <c r="HU61" s="10" t="n">
        <v>46073</v>
      </c>
      <c r="HW61" s="9" t="n">
        <v>0</v>
      </c>
      <c r="HY61" s="9" t="n">
        <v>0</v>
      </c>
      <c r="HZ61" s="9" t="n">
        <v>5120</v>
      </c>
      <c r="ID61" s="10" t="n">
        <v>46073</v>
      </c>
      <c r="IF61" s="9" t="n">
        <v>0</v>
      </c>
      <c r="IH61" s="9" t="n">
        <v>0</v>
      </c>
      <c r="II61" s="9" t="n">
        <v>5100</v>
      </c>
      <c r="IM61" s="10" t="n">
        <v>46073</v>
      </c>
      <c r="IO61" s="9" t="n">
        <v>0</v>
      </c>
      <c r="IQ61" s="9" t="n">
        <v>0</v>
      </c>
      <c r="IR61" s="9" t="n">
        <v>10240</v>
      </c>
      <c r="IV61" s="10" t="n">
        <v>46073</v>
      </c>
      <c r="IX61" s="9" t="n">
        <v>0</v>
      </c>
      <c r="IZ61" s="9" t="n">
        <v>0</v>
      </c>
      <c r="JA61" s="9" t="n">
        <v>15120</v>
      </c>
      <c r="JE61" s="10" t="n">
        <v>46073</v>
      </c>
      <c r="JG61" s="9" t="n">
        <v>0</v>
      </c>
      <c r="JI61" s="9" t="n">
        <v>0</v>
      </c>
      <c r="JJ61" s="9" t="n">
        <v>3600</v>
      </c>
      <c r="JN61" s="10" t="n">
        <v>46073</v>
      </c>
      <c r="JP61" s="9" t="n">
        <v>0</v>
      </c>
      <c r="JR61" s="9" t="n">
        <v>0</v>
      </c>
      <c r="JS61" s="9" t="n">
        <v>5400</v>
      </c>
      <c r="JW61" s="10" t="n">
        <v>46073</v>
      </c>
      <c r="JY61" s="9" t="n">
        <v>0</v>
      </c>
      <c r="KA61" s="9" t="n">
        <v>0</v>
      </c>
      <c r="KB61" s="9" t="n">
        <v>4000</v>
      </c>
      <c r="KF61" s="10" t="n">
        <v>46073</v>
      </c>
      <c r="KH61" s="9" t="n">
        <v>0</v>
      </c>
      <c r="KJ61" s="9" t="n">
        <v>0</v>
      </c>
      <c r="KK61" s="9" t="n">
        <v>1287</v>
      </c>
      <c r="KO61" s="10" t="n">
        <v>46073</v>
      </c>
      <c r="KQ61" s="9" t="n">
        <v>1512</v>
      </c>
      <c r="KS61" s="9" t="n">
        <v>1512</v>
      </c>
      <c r="KT61" s="9" t="n">
        <v>10659.6</v>
      </c>
      <c r="KX61" s="10" t="n">
        <v>46073</v>
      </c>
      <c r="KZ61" s="9" t="n">
        <v>0</v>
      </c>
      <c r="LB61" s="9" t="n">
        <v>0</v>
      </c>
      <c r="LC61" s="9" t="n">
        <v>0</v>
      </c>
      <c r="LG61" s="10" t="n">
        <v>46073</v>
      </c>
      <c r="LI61" s="9" t="n">
        <v>0</v>
      </c>
      <c r="LK61" s="9" t="n">
        <v>0</v>
      </c>
      <c r="LL61" s="9" t="n">
        <v>0</v>
      </c>
      <c r="LP61" s="10" t="n">
        <v>46073</v>
      </c>
      <c r="LR61" s="9" t="n">
        <v>0</v>
      </c>
      <c r="LT61" s="9" t="n">
        <v>0</v>
      </c>
      <c r="LU61" s="9" t="n">
        <v>0</v>
      </c>
      <c r="LY61" s="10" t="n">
        <v>46073</v>
      </c>
      <c r="MA61" s="9" t="n">
        <v>0</v>
      </c>
      <c r="MC61" s="9" t="n">
        <v>0</v>
      </c>
      <c r="MD61" s="9" t="n">
        <v>0</v>
      </c>
      <c r="MH61" s="10" t="n">
        <v>46073</v>
      </c>
      <c r="MJ61" s="9" t="n">
        <v>0</v>
      </c>
      <c r="ML61" s="9" t="n">
        <v>0</v>
      </c>
      <c r="MM61" s="9" t="n">
        <v>0</v>
      </c>
      <c r="MQ61" s="10" t="n">
        <v>46073</v>
      </c>
      <c r="MR61" s="9" t="n">
        <v>4000</v>
      </c>
      <c r="MS61" s="9" t="n">
        <v>160</v>
      </c>
      <c r="MU61" s="9" t="n">
        <v>160</v>
      </c>
      <c r="MV61" s="9" t="n">
        <v>4370</v>
      </c>
      <c r="MZ61" s="10" t="n">
        <v>46073</v>
      </c>
      <c r="NB61" s="9" t="n">
        <v>240</v>
      </c>
      <c r="ND61" s="9" t="n">
        <v>240</v>
      </c>
      <c r="NE61" s="9" t="n">
        <v>0</v>
      </c>
      <c r="NI61" s="10" t="n">
        <v>46073</v>
      </c>
      <c r="NK61" s="9" t="n">
        <v>0</v>
      </c>
      <c r="NM61" s="9" t="n">
        <v>0</v>
      </c>
      <c r="NN61" s="9" t="n">
        <v>0</v>
      </c>
      <c r="NR61" s="10" t="n">
        <v>46073</v>
      </c>
      <c r="NT61" s="9" t="n">
        <v>96</v>
      </c>
      <c r="NV61" s="9" t="n">
        <v>96</v>
      </c>
      <c r="NW61" s="9" t="n">
        <v>2310</v>
      </c>
      <c r="OA61" s="10" t="n">
        <v>46073</v>
      </c>
      <c r="OC61" s="9" t="n">
        <v>0</v>
      </c>
      <c r="OE61" s="9" t="n">
        <v>0</v>
      </c>
      <c r="OF61" s="9" t="n">
        <v>1680.5</v>
      </c>
      <c r="OJ61" s="10" t="n">
        <v>46073</v>
      </c>
      <c r="OL61" s="9" t="n">
        <v>223.9999999999999</v>
      </c>
      <c r="ON61" s="9" t="n">
        <v>223.9999999999999</v>
      </c>
      <c r="OO61" s="9" t="n">
        <v>0</v>
      </c>
      <c r="OS61" s="10" t="n">
        <v>46073</v>
      </c>
      <c r="OU61" s="9" t="n">
        <v>0</v>
      </c>
      <c r="OW61" s="9" t="n">
        <v>0</v>
      </c>
      <c r="OX61" s="9" t="n">
        <v>0</v>
      </c>
      <c r="PB61" s="10" t="n">
        <v>46073</v>
      </c>
      <c r="PD61" s="9" t="n">
        <v>0</v>
      </c>
      <c r="PF61" s="9" t="n">
        <v>0</v>
      </c>
      <c r="PG61" s="9" t="n">
        <v>0</v>
      </c>
      <c r="PK61" s="10" t="n">
        <v>46073</v>
      </c>
      <c r="PM61" s="9" t="n">
        <v>0</v>
      </c>
      <c r="PO61" s="9" t="n">
        <v>0</v>
      </c>
      <c r="PP61" s="9" t="n">
        <v>160</v>
      </c>
      <c r="PT61" s="10" t="n">
        <v>46073</v>
      </c>
      <c r="PV61" s="9" t="n">
        <v>0</v>
      </c>
      <c r="PX61" s="9" t="n">
        <v>0</v>
      </c>
      <c r="PY61" s="9" t="n">
        <v>13.96000000000004</v>
      </c>
      <c r="QC61" s="10" t="n">
        <v>46073</v>
      </c>
      <c r="QE61" s="9" t="n">
        <v>0</v>
      </c>
      <c r="QG61" s="9" t="n">
        <v>0</v>
      </c>
      <c r="QH61" s="9" t="n">
        <v>0</v>
      </c>
      <c r="QL61" s="10" t="n">
        <v>46073</v>
      </c>
      <c r="QN61" s="9" t="n">
        <v>0</v>
      </c>
      <c r="QP61" s="9" t="n">
        <v>0</v>
      </c>
      <c r="QQ61" s="9" t="n">
        <v>0</v>
      </c>
      <c r="QU61" s="10" t="n">
        <v>46073</v>
      </c>
      <c r="QW61" s="9" t="n">
        <v>0</v>
      </c>
      <c r="QY61" s="9" t="n">
        <v>0</v>
      </c>
      <c r="QZ61" s="9" t="n">
        <v>207.6</v>
      </c>
      <c r="RD61" s="10" t="n">
        <v>46073</v>
      </c>
      <c r="RF61" s="9" t="n">
        <v>0</v>
      </c>
      <c r="RH61" s="9" t="n">
        <v>0</v>
      </c>
      <c r="RI61" s="9" t="n">
        <v>197.04</v>
      </c>
      <c r="RM61" s="10" t="n">
        <v>46073</v>
      </c>
      <c r="RO61" s="9" t="n">
        <v>0</v>
      </c>
      <c r="RQ61" s="9" t="n">
        <v>0</v>
      </c>
      <c r="RR61" s="9" t="n">
        <v>46.8</v>
      </c>
      <c r="RV61" s="10" t="n">
        <v>46073</v>
      </c>
      <c r="RX61" s="9" t="n">
        <v>0</v>
      </c>
      <c r="RZ61" s="9" t="n">
        <v>0</v>
      </c>
      <c r="SA61" s="9" t="n">
        <v>0</v>
      </c>
      <c r="SE61" s="10" t="n">
        <v>46073</v>
      </c>
      <c r="SG61" s="9" t="n">
        <v>0</v>
      </c>
      <c r="SI61" s="9" t="n">
        <v>0</v>
      </c>
      <c r="SJ61" s="9" t="n">
        <v>0</v>
      </c>
      <c r="SN61" s="10" t="n">
        <v>46073</v>
      </c>
      <c r="SP61" s="9" t="n">
        <v>0</v>
      </c>
      <c r="SR61" s="9" t="n">
        <v>0</v>
      </c>
      <c r="SS61" s="9" t="n">
        <v>0</v>
      </c>
      <c r="SW61" s="10" t="n">
        <v>46073</v>
      </c>
      <c r="SY61" s="9" t="n">
        <v>0</v>
      </c>
      <c r="TA61" s="9" t="n">
        <v>0</v>
      </c>
      <c r="TB61" s="9" t="n">
        <v>0</v>
      </c>
      <c r="TF61" s="10" t="n">
        <v>46073</v>
      </c>
      <c r="TH61" s="9" t="n">
        <v>0</v>
      </c>
      <c r="TJ61" s="9" t="n">
        <v>0</v>
      </c>
      <c r="TK61" s="9" t="n">
        <v>0</v>
      </c>
      <c r="TO61" s="10" t="n">
        <v>46073</v>
      </c>
      <c r="TQ61" s="9" t="n">
        <v>0</v>
      </c>
      <c r="TS61" s="9" t="n">
        <v>0</v>
      </c>
      <c r="TT61" s="9" t="n">
        <v>0</v>
      </c>
      <c r="TX61" s="10" t="n">
        <v>46073</v>
      </c>
      <c r="TZ61" s="9" t="n">
        <v>0</v>
      </c>
      <c r="UB61" s="9" t="n">
        <v>0</v>
      </c>
      <c r="UC61" s="9" t="n">
        <v>0</v>
      </c>
      <c r="UG61" s="10" t="n">
        <v>46073</v>
      </c>
      <c r="UI61" s="9" t="n">
        <v>0</v>
      </c>
      <c r="UK61" s="9" t="n">
        <v>0</v>
      </c>
      <c r="UL61" s="9" t="n">
        <v>0</v>
      </c>
      <c r="UP61" s="10" t="n">
        <v>46073</v>
      </c>
      <c r="UR61" s="9" t="n">
        <v>0</v>
      </c>
      <c r="UT61" s="9" t="n">
        <v>0</v>
      </c>
      <c r="UU61" s="9" t="n">
        <v>0</v>
      </c>
      <c r="UY61" s="10" t="n">
        <v>46073</v>
      </c>
      <c r="VA61" s="9" t="n">
        <v>0</v>
      </c>
      <c r="VC61" s="9" t="n">
        <v>0</v>
      </c>
      <c r="VD61" s="9" t="n">
        <v>41.60000000000002</v>
      </c>
      <c r="VH61" s="10" t="n">
        <v>46073</v>
      </c>
      <c r="VJ61" s="9" t="n">
        <v>0</v>
      </c>
      <c r="VL61" s="9" t="n">
        <v>0</v>
      </c>
      <c r="VM61" s="9" t="n">
        <v>0</v>
      </c>
      <c r="VQ61" s="10" t="n">
        <v>46073</v>
      </c>
      <c r="VS61" s="9" t="n">
        <v>0</v>
      </c>
      <c r="VU61" s="9" t="n">
        <v>0</v>
      </c>
      <c r="VV61" s="9" t="n">
        <v>0</v>
      </c>
      <c r="VZ61" s="10" t="n">
        <v>46073</v>
      </c>
      <c r="WB61" s="9" t="n">
        <v>0</v>
      </c>
      <c r="WD61" s="9" t="n">
        <v>0</v>
      </c>
      <c r="WE61" s="9" t="n">
        <v>0</v>
      </c>
      <c r="WI61" s="10" t="n">
        <v>46073</v>
      </c>
      <c r="WK61" s="9" t="n">
        <v>0</v>
      </c>
      <c r="WM61" s="9" t="n">
        <v>0</v>
      </c>
      <c r="WN61" s="9" t="n">
        <v>8433</v>
      </c>
      <c r="WR61" s="10" t="n">
        <v>46073</v>
      </c>
      <c r="WT61" s="9" t="n">
        <v>0</v>
      </c>
      <c r="WV61" s="9" t="n">
        <v>0</v>
      </c>
      <c r="WW61" s="9" t="n">
        <v>6559</v>
      </c>
      <c r="XA61" s="10" t="n">
        <v>46073</v>
      </c>
      <c r="XC61" s="9" t="n">
        <v>0</v>
      </c>
      <c r="XE61" s="9" t="n">
        <v>0</v>
      </c>
      <c r="XF61" s="9" t="n">
        <v>590</v>
      </c>
      <c r="XJ61" s="10" t="n">
        <v>46073</v>
      </c>
      <c r="XL61" s="9" t="n">
        <v>0</v>
      </c>
      <c r="XM61" s="9" t="n">
        <v>1375</v>
      </c>
      <c r="XN61" s="9" t="n">
        <v>-1375</v>
      </c>
      <c r="XO61" s="9" t="n">
        <v>6388</v>
      </c>
      <c r="XS61" s="10" t="n">
        <v>46073</v>
      </c>
      <c r="XU61" s="9" t="n">
        <v>0</v>
      </c>
      <c r="XW61" s="9" t="n">
        <v>0</v>
      </c>
      <c r="XX61" s="9" t="n">
        <v>1901</v>
      </c>
      <c r="YB61" s="10" t="n">
        <v>46073</v>
      </c>
      <c r="YD61" s="9" t="n">
        <v>0</v>
      </c>
      <c r="YF61" s="9" t="n">
        <v>0</v>
      </c>
      <c r="YG61" s="9" t="n">
        <v>-707</v>
      </c>
      <c r="YK61" s="10" t="n">
        <v>46073</v>
      </c>
      <c r="YM61" s="9" t="n">
        <v>0</v>
      </c>
      <c r="YO61" s="9" t="n">
        <v>0</v>
      </c>
      <c r="YP61" s="9" t="n">
        <v>0</v>
      </c>
      <c r="YT61" s="10" t="n">
        <v>46073</v>
      </c>
      <c r="YV61" s="9" t="n">
        <v>0</v>
      </c>
      <c r="YX61" s="9" t="n">
        <v>0</v>
      </c>
      <c r="YY61" s="9" t="n">
        <v>0</v>
      </c>
      <c r="ZC61" s="10" t="n">
        <v>46073</v>
      </c>
      <c r="ZE61" s="9" t="n">
        <v>0</v>
      </c>
      <c r="ZG61" s="9" t="n">
        <v>0</v>
      </c>
      <c r="ZH61" s="9" t="n">
        <v>0</v>
      </c>
      <c r="ZL61" s="10" t="n">
        <v>46073</v>
      </c>
      <c r="ZN61" s="9" t="n">
        <v>0</v>
      </c>
      <c r="ZP61" s="9" t="n">
        <v>0</v>
      </c>
      <c r="ZQ61" s="9" t="n">
        <v>0</v>
      </c>
      <c r="ZU61" s="10" t="n">
        <v>46073</v>
      </c>
      <c r="ZW61" s="9" t="n">
        <v>0</v>
      </c>
      <c r="ZY61" s="9" t="n">
        <v>0</v>
      </c>
      <c r="ZZ61" s="9" t="n">
        <v>0</v>
      </c>
      <c r="AAD61" s="10" t="n">
        <v>46073</v>
      </c>
      <c r="AAF61" s="9" t="n">
        <v>0</v>
      </c>
      <c r="AAH61" s="9" t="n">
        <v>0</v>
      </c>
      <c r="AAI61" s="9" t="n">
        <v>0</v>
      </c>
      <c r="AAM61" s="10" t="n">
        <v>46073</v>
      </c>
      <c r="AAO61" s="9" t="n">
        <v>0</v>
      </c>
      <c r="AAQ61" s="9" t="n">
        <v>0</v>
      </c>
      <c r="AAR61" s="9" t="n">
        <v>0</v>
      </c>
      <c r="AAV61" s="10" t="n">
        <v>46073</v>
      </c>
      <c r="AAX61" s="9" t="n">
        <v>0</v>
      </c>
      <c r="AAZ61" s="9" t="n">
        <v>0</v>
      </c>
      <c r="ABA61" s="9" t="n">
        <v>0</v>
      </c>
      <c r="ABE61" s="10" t="n">
        <v>46073</v>
      </c>
      <c r="ABG61" s="9" t="n">
        <v>0</v>
      </c>
      <c r="ABI61" s="9" t="n">
        <v>0</v>
      </c>
      <c r="ABJ61" s="9" t="n">
        <v>0</v>
      </c>
    </row>
    <row r="62">
      <c r="B62" s="9" t="n">
        <v>76</v>
      </c>
      <c r="C62" s="10" t="n">
        <v>46074</v>
      </c>
      <c r="E62" s="9" t="n">
        <v>38980.10000000001</v>
      </c>
      <c r="F62" s="9" t="n">
        <v>38980.4</v>
      </c>
      <c r="G62" s="9" t="n">
        <v>-0.2999999999956344</v>
      </c>
      <c r="H62" s="9" t="n">
        <v>95510</v>
      </c>
      <c r="I62" s="9" t="inlineStr">
        <is>
          <t>122 50mt, 1101 26mt</t>
        </is>
      </c>
      <c r="L62" s="10" t="n">
        <v>46074</v>
      </c>
      <c r="N62" s="9" t="n">
        <v>18732.5</v>
      </c>
      <c r="O62" s="9" t="n">
        <v>18730.6</v>
      </c>
      <c r="P62" s="9" t="n">
        <v>1.900000000001455</v>
      </c>
      <c r="Q62" s="9" t="n">
        <v>52234.20000000003</v>
      </c>
      <c r="U62" s="10" t="n">
        <v>46074</v>
      </c>
      <c r="W62" s="9" t="n">
        <v>4824.999999999999</v>
      </c>
      <c r="X62" s="9" t="n">
        <v>4826</v>
      </c>
      <c r="Y62" s="9" t="n">
        <v>-1.000000000000909</v>
      </c>
      <c r="Z62" s="9" t="n">
        <v>31348.09999999998</v>
      </c>
      <c r="AD62" s="10" t="n">
        <v>46074</v>
      </c>
      <c r="AF62" s="9" t="n">
        <v>1950</v>
      </c>
      <c r="AG62" s="9" t="n">
        <v>1951.4</v>
      </c>
      <c r="AH62" s="9" t="n">
        <v>-1.400000000000091</v>
      </c>
      <c r="AI62" s="9" t="n">
        <v>40126.30000000002</v>
      </c>
      <c r="AM62" s="10" t="n">
        <v>46074</v>
      </c>
      <c r="AO62" s="9" t="n">
        <v>0</v>
      </c>
      <c r="AQ62" s="9" t="n">
        <v>0</v>
      </c>
      <c r="AR62" s="9" t="n">
        <v>0</v>
      </c>
      <c r="AV62" s="10" t="n">
        <v>46074</v>
      </c>
      <c r="AX62" s="9" t="n">
        <v>520</v>
      </c>
      <c r="AY62" s="9" t="n">
        <v>520.3</v>
      </c>
      <c r="AZ62" s="9" t="n">
        <v>-0.2999999999999545</v>
      </c>
      <c r="BA62" s="9" t="n">
        <v>49322.39999999999</v>
      </c>
      <c r="BE62" s="10" t="n">
        <v>46074</v>
      </c>
      <c r="BG62" s="9" t="n">
        <v>2100</v>
      </c>
      <c r="BH62" s="9" t="n">
        <v>2102.3</v>
      </c>
      <c r="BI62" s="9" t="n">
        <v>-2.300000000000182</v>
      </c>
      <c r="BJ62" s="9" t="n">
        <v>13288.40000000001</v>
      </c>
      <c r="BN62" s="10" t="n">
        <v>46074</v>
      </c>
      <c r="BO62" s="9" t="n">
        <v>1519.8</v>
      </c>
      <c r="BP62" s="9" t="n">
        <v>1520</v>
      </c>
      <c r="BQ62" s="9" t="n">
        <v>1519.8</v>
      </c>
      <c r="BR62" s="9" t="n">
        <v>0.2000000000000455</v>
      </c>
      <c r="BS62" s="9" t="n">
        <v>0</v>
      </c>
      <c r="BW62" s="10" t="n">
        <v>46074</v>
      </c>
      <c r="BY62" s="9" t="n">
        <v>391</v>
      </c>
      <c r="CA62" s="9" t="n">
        <v>391</v>
      </c>
      <c r="CB62" s="9" t="n">
        <v>931.9000000000001</v>
      </c>
      <c r="CF62" s="10" t="n">
        <v>46074</v>
      </c>
      <c r="CH62" s="9" t="n">
        <v>523.4</v>
      </c>
      <c r="CJ62" s="9" t="n">
        <v>523.4</v>
      </c>
      <c r="CK62" s="9" t="n">
        <v>0</v>
      </c>
      <c r="CO62" s="10" t="n">
        <v>46074</v>
      </c>
      <c r="CQ62" s="9" t="n">
        <v>0</v>
      </c>
      <c r="CS62" s="9" t="n">
        <v>0</v>
      </c>
      <c r="CT62" s="9" t="n">
        <v>0</v>
      </c>
      <c r="CX62" s="10" t="n">
        <v>46074</v>
      </c>
      <c r="CZ62" s="9" t="n">
        <v>2500</v>
      </c>
      <c r="DA62" s="9" t="n">
        <v>2499.8</v>
      </c>
      <c r="DB62" s="9" t="n">
        <v>0.1999999999998181</v>
      </c>
      <c r="DC62" s="9" t="n">
        <v>16684.7</v>
      </c>
      <c r="DG62" s="10" t="n">
        <v>46074</v>
      </c>
      <c r="DI62" s="9" t="n">
        <v>2000</v>
      </c>
      <c r="DJ62" s="9" t="n">
        <v>1999.2</v>
      </c>
      <c r="DK62" s="9" t="n">
        <v>0.7999999999999545</v>
      </c>
      <c r="DL62" s="9" t="n">
        <v>5112.199999999997</v>
      </c>
      <c r="DP62" s="10" t="n">
        <v>46074</v>
      </c>
      <c r="DR62" s="9" t="n">
        <v>0</v>
      </c>
      <c r="DT62" s="9" t="n">
        <v>0</v>
      </c>
      <c r="DU62" s="9" t="n">
        <v>2300</v>
      </c>
      <c r="DY62" s="10" t="n">
        <v>46074</v>
      </c>
      <c r="EA62" s="9" t="n">
        <v>0</v>
      </c>
      <c r="EC62" s="9" t="n">
        <v>0</v>
      </c>
      <c r="ED62" s="9" t="n">
        <v>5696.8</v>
      </c>
      <c r="EH62" s="10" t="n">
        <v>46074</v>
      </c>
      <c r="EJ62" s="9" t="n">
        <v>0</v>
      </c>
      <c r="EL62" s="9" t="n">
        <v>0</v>
      </c>
      <c r="EM62" s="9" t="n">
        <v>0</v>
      </c>
      <c r="EQ62" s="10" t="n">
        <v>46074</v>
      </c>
      <c r="ES62" s="9" t="n">
        <v>0</v>
      </c>
      <c r="EU62" s="9" t="n">
        <v>0</v>
      </c>
      <c r="EV62" s="9" t="n">
        <v>0</v>
      </c>
      <c r="EZ62" s="10" t="n">
        <v>46074</v>
      </c>
      <c r="FB62" s="9" t="n">
        <v>0</v>
      </c>
      <c r="FD62" s="9" t="n">
        <v>0</v>
      </c>
      <c r="FE62" s="9" t="n">
        <v>0</v>
      </c>
      <c r="FI62" s="10" t="n">
        <v>46074</v>
      </c>
      <c r="FK62" s="9" t="n">
        <v>0</v>
      </c>
      <c r="FM62" s="9" t="n">
        <v>0</v>
      </c>
      <c r="FN62" s="9" t="n">
        <v>0</v>
      </c>
      <c r="FR62" s="10" t="n">
        <v>46074</v>
      </c>
      <c r="FT62" s="9" t="n">
        <v>520</v>
      </c>
      <c r="FV62" s="9" t="n">
        <v>520</v>
      </c>
      <c r="FW62" s="9" t="n">
        <v>1900</v>
      </c>
      <c r="GA62" s="10" t="n">
        <v>46074</v>
      </c>
      <c r="GC62" s="9" t="n">
        <v>0</v>
      </c>
      <c r="GE62" s="9" t="n">
        <v>0</v>
      </c>
      <c r="GF62" s="9" t="n">
        <v>5960</v>
      </c>
      <c r="GJ62" s="10" t="n">
        <v>46074</v>
      </c>
      <c r="GL62" s="9" t="n">
        <v>0</v>
      </c>
      <c r="GN62" s="9" t="n">
        <v>0</v>
      </c>
      <c r="GO62" s="9" t="n">
        <v>5240</v>
      </c>
      <c r="GS62" s="10" t="n">
        <v>46074</v>
      </c>
      <c r="GU62" s="9" t="n">
        <v>0</v>
      </c>
      <c r="GW62" s="9" t="n">
        <v>0</v>
      </c>
      <c r="GX62" s="9" t="n">
        <v>0</v>
      </c>
      <c r="HB62" s="10" t="n">
        <v>46074</v>
      </c>
      <c r="HD62" s="9" t="n">
        <v>0</v>
      </c>
      <c r="HF62" s="9" t="n">
        <v>0</v>
      </c>
      <c r="HG62" s="9" t="n">
        <v>0</v>
      </c>
      <c r="HK62" s="10" t="n">
        <v>46074</v>
      </c>
      <c r="HM62" s="9" t="n">
        <v>0</v>
      </c>
      <c r="HO62" s="9" t="n">
        <v>0</v>
      </c>
      <c r="HP62" s="9" t="n">
        <v>0</v>
      </c>
      <c r="HU62" s="10" t="n">
        <v>46074</v>
      </c>
      <c r="HW62" s="9" t="n">
        <v>0</v>
      </c>
      <c r="HY62" s="9" t="n">
        <v>0</v>
      </c>
      <c r="HZ62" s="9" t="n">
        <v>5120</v>
      </c>
      <c r="ID62" s="10" t="n">
        <v>46074</v>
      </c>
      <c r="IF62" s="9" t="n">
        <v>0</v>
      </c>
      <c r="IH62" s="9" t="n">
        <v>0</v>
      </c>
      <c r="II62" s="9" t="n">
        <v>5100</v>
      </c>
      <c r="IM62" s="10" t="n">
        <v>46074</v>
      </c>
      <c r="IO62" s="9" t="n">
        <v>0</v>
      </c>
      <c r="IQ62" s="9" t="n">
        <v>0</v>
      </c>
      <c r="IR62" s="9" t="n">
        <v>10240</v>
      </c>
      <c r="IV62" s="10" t="n">
        <v>46074</v>
      </c>
      <c r="IX62" s="9" t="n">
        <v>0</v>
      </c>
      <c r="IZ62" s="9" t="n">
        <v>0</v>
      </c>
      <c r="JA62" s="9" t="n">
        <v>15120</v>
      </c>
      <c r="JE62" s="10" t="n">
        <v>46074</v>
      </c>
      <c r="JG62" s="9" t="n">
        <v>0</v>
      </c>
      <c r="JI62" s="9" t="n">
        <v>0</v>
      </c>
      <c r="JJ62" s="9" t="n">
        <v>3600</v>
      </c>
      <c r="JN62" s="10" t="n">
        <v>46074</v>
      </c>
      <c r="JP62" s="9" t="n">
        <v>0</v>
      </c>
      <c r="JR62" s="9" t="n">
        <v>0</v>
      </c>
      <c r="JS62" s="9" t="n">
        <v>5400</v>
      </c>
      <c r="JW62" s="10" t="n">
        <v>46074</v>
      </c>
      <c r="JY62" s="9" t="n">
        <v>0</v>
      </c>
      <c r="KA62" s="9" t="n">
        <v>0</v>
      </c>
      <c r="KB62" s="9" t="n">
        <v>4000</v>
      </c>
      <c r="KF62" s="10" t="n">
        <v>46074</v>
      </c>
      <c r="KH62" s="9" t="n">
        <v>975</v>
      </c>
      <c r="KJ62" s="9" t="n">
        <v>975</v>
      </c>
      <c r="KK62" s="9" t="n">
        <v>1287</v>
      </c>
      <c r="KO62" s="10" t="n">
        <v>46074</v>
      </c>
      <c r="KQ62" s="9" t="n">
        <v>0</v>
      </c>
      <c r="KS62" s="9" t="n">
        <v>0</v>
      </c>
      <c r="KT62" s="9" t="n">
        <v>10659.6</v>
      </c>
      <c r="KX62" s="10" t="n">
        <v>46074</v>
      </c>
      <c r="KZ62" s="9" t="n">
        <v>0</v>
      </c>
      <c r="LB62" s="9" t="n">
        <v>0</v>
      </c>
      <c r="LC62" s="9" t="n">
        <v>0</v>
      </c>
      <c r="LG62" s="10" t="n">
        <v>46074</v>
      </c>
      <c r="LI62" s="9" t="n">
        <v>0</v>
      </c>
      <c r="LK62" s="9" t="n">
        <v>0</v>
      </c>
      <c r="LL62" s="9" t="n">
        <v>0</v>
      </c>
      <c r="LP62" s="10" t="n">
        <v>46074</v>
      </c>
      <c r="LR62" s="9" t="n">
        <v>0</v>
      </c>
      <c r="LT62" s="9" t="n">
        <v>0</v>
      </c>
      <c r="LU62" s="9" t="n">
        <v>0</v>
      </c>
      <c r="LY62" s="10" t="n">
        <v>46074</v>
      </c>
      <c r="MA62" s="9" t="n">
        <v>0</v>
      </c>
      <c r="MC62" s="9" t="n">
        <v>0</v>
      </c>
      <c r="MD62" s="9" t="n">
        <v>0</v>
      </c>
      <c r="MH62" s="10" t="n">
        <v>46074</v>
      </c>
      <c r="MJ62" s="9" t="n">
        <v>0</v>
      </c>
      <c r="ML62" s="9" t="n">
        <v>0</v>
      </c>
      <c r="MM62" s="9" t="n">
        <v>0</v>
      </c>
      <c r="MQ62" s="10" t="n">
        <v>46074</v>
      </c>
      <c r="MS62" s="9" t="n">
        <v>113</v>
      </c>
      <c r="MU62" s="9" t="n">
        <v>113</v>
      </c>
      <c r="MV62" s="9" t="n">
        <v>4370</v>
      </c>
      <c r="MZ62" s="10" t="n">
        <v>46074</v>
      </c>
      <c r="NB62" s="9" t="n">
        <v>150</v>
      </c>
      <c r="ND62" s="9" t="n">
        <v>150</v>
      </c>
      <c r="NE62" s="9" t="n">
        <v>0</v>
      </c>
      <c r="NI62" s="10" t="n">
        <v>46074</v>
      </c>
      <c r="NK62" s="9" t="n">
        <v>0</v>
      </c>
      <c r="NM62" s="9" t="n">
        <v>0</v>
      </c>
      <c r="NN62" s="9" t="n">
        <v>0</v>
      </c>
      <c r="NR62" s="10" t="n">
        <v>46074</v>
      </c>
      <c r="NT62" s="9" t="n">
        <v>60</v>
      </c>
      <c r="NV62" s="9" t="n">
        <v>60</v>
      </c>
      <c r="NW62" s="9" t="n">
        <v>2310</v>
      </c>
      <c r="OA62" s="10" t="n">
        <v>46074</v>
      </c>
      <c r="OC62" s="9" t="n">
        <v>0</v>
      </c>
      <c r="OE62" s="9" t="n">
        <v>0</v>
      </c>
      <c r="OF62" s="9" t="n">
        <v>1680.5</v>
      </c>
      <c r="OJ62" s="10" t="n">
        <v>46074</v>
      </c>
      <c r="OL62" s="9" t="n">
        <v>140</v>
      </c>
      <c r="ON62" s="9" t="n">
        <v>140</v>
      </c>
      <c r="OO62" s="9" t="n">
        <v>0</v>
      </c>
      <c r="OS62" s="10" t="n">
        <v>46074</v>
      </c>
      <c r="OU62" s="9" t="n">
        <v>0</v>
      </c>
      <c r="OW62" s="9" t="n">
        <v>0</v>
      </c>
      <c r="OX62" s="9" t="n">
        <v>0</v>
      </c>
      <c r="PB62" s="10" t="n">
        <v>46074</v>
      </c>
      <c r="PD62" s="9" t="n">
        <v>0</v>
      </c>
      <c r="PF62" s="9" t="n">
        <v>0</v>
      </c>
      <c r="PG62" s="9" t="n">
        <v>0</v>
      </c>
      <c r="PK62" s="10" t="n">
        <v>46074</v>
      </c>
      <c r="PM62" s="9" t="n">
        <v>0</v>
      </c>
      <c r="PO62" s="9" t="n">
        <v>0</v>
      </c>
      <c r="PP62" s="9" t="n">
        <v>160</v>
      </c>
      <c r="PT62" s="10" t="n">
        <v>46074</v>
      </c>
      <c r="PV62" s="9" t="n">
        <v>0</v>
      </c>
      <c r="PX62" s="9" t="n">
        <v>0</v>
      </c>
      <c r="PY62" s="9" t="n">
        <v>13.96000000000004</v>
      </c>
      <c r="QC62" s="10" t="n">
        <v>46074</v>
      </c>
      <c r="QE62" s="9" t="n">
        <v>0</v>
      </c>
      <c r="QG62" s="9" t="n">
        <v>0</v>
      </c>
      <c r="QH62" s="9" t="n">
        <v>0</v>
      </c>
      <c r="QL62" s="10" t="n">
        <v>46074</v>
      </c>
      <c r="QN62" s="9" t="n">
        <v>0</v>
      </c>
      <c r="QP62" s="9" t="n">
        <v>0</v>
      </c>
      <c r="QQ62" s="9" t="n">
        <v>0</v>
      </c>
      <c r="QU62" s="10" t="n">
        <v>46074</v>
      </c>
      <c r="QW62" s="9" t="n">
        <v>0</v>
      </c>
      <c r="QY62" s="9" t="n">
        <v>0</v>
      </c>
      <c r="QZ62" s="9" t="n">
        <v>207.6</v>
      </c>
      <c r="RD62" s="10" t="n">
        <v>46074</v>
      </c>
      <c r="RF62" s="9" t="n">
        <v>0</v>
      </c>
      <c r="RH62" s="9" t="n">
        <v>0</v>
      </c>
      <c r="RI62" s="9" t="n">
        <v>197.04</v>
      </c>
      <c r="RM62" s="10" t="n">
        <v>46074</v>
      </c>
      <c r="RO62" s="9" t="n">
        <v>0</v>
      </c>
      <c r="RQ62" s="9" t="n">
        <v>0</v>
      </c>
      <c r="RR62" s="9" t="n">
        <v>46.8</v>
      </c>
      <c r="RV62" s="10" t="n">
        <v>46074</v>
      </c>
      <c r="RX62" s="9" t="n">
        <v>0</v>
      </c>
      <c r="RZ62" s="9" t="n">
        <v>0</v>
      </c>
      <c r="SA62" s="9" t="n">
        <v>0</v>
      </c>
      <c r="SE62" s="10" t="n">
        <v>46074</v>
      </c>
      <c r="SG62" s="9" t="n">
        <v>0</v>
      </c>
      <c r="SI62" s="9" t="n">
        <v>0</v>
      </c>
      <c r="SJ62" s="9" t="n">
        <v>0</v>
      </c>
      <c r="SN62" s="10" t="n">
        <v>46074</v>
      </c>
      <c r="SP62" s="9" t="n">
        <v>0</v>
      </c>
      <c r="SR62" s="9" t="n">
        <v>0</v>
      </c>
      <c r="SS62" s="9" t="n">
        <v>0</v>
      </c>
      <c r="SW62" s="10" t="n">
        <v>46074</v>
      </c>
      <c r="SY62" s="9" t="n">
        <v>0</v>
      </c>
      <c r="TA62" s="9" t="n">
        <v>0</v>
      </c>
      <c r="TB62" s="9" t="n">
        <v>0</v>
      </c>
      <c r="TF62" s="10" t="n">
        <v>46074</v>
      </c>
      <c r="TH62" s="9" t="n">
        <v>0</v>
      </c>
      <c r="TJ62" s="9" t="n">
        <v>0</v>
      </c>
      <c r="TK62" s="9" t="n">
        <v>0</v>
      </c>
      <c r="TO62" s="10" t="n">
        <v>46074</v>
      </c>
      <c r="TQ62" s="9" t="n">
        <v>0</v>
      </c>
      <c r="TS62" s="9" t="n">
        <v>0</v>
      </c>
      <c r="TT62" s="9" t="n">
        <v>0</v>
      </c>
      <c r="TX62" s="10" t="n">
        <v>46074</v>
      </c>
      <c r="TZ62" s="9" t="n">
        <v>0</v>
      </c>
      <c r="UB62" s="9" t="n">
        <v>0</v>
      </c>
      <c r="UC62" s="9" t="n">
        <v>0</v>
      </c>
      <c r="UG62" s="10" t="n">
        <v>46074</v>
      </c>
      <c r="UI62" s="9" t="n">
        <v>0</v>
      </c>
      <c r="UK62" s="9" t="n">
        <v>0</v>
      </c>
      <c r="UL62" s="9" t="n">
        <v>0</v>
      </c>
      <c r="UP62" s="10" t="n">
        <v>46074</v>
      </c>
      <c r="UR62" s="9" t="n">
        <v>0</v>
      </c>
      <c r="UT62" s="9" t="n">
        <v>0</v>
      </c>
      <c r="UU62" s="9" t="n">
        <v>0</v>
      </c>
      <c r="UY62" s="10" t="n">
        <v>46074</v>
      </c>
      <c r="VA62" s="9" t="n">
        <v>0</v>
      </c>
      <c r="VC62" s="9" t="n">
        <v>0</v>
      </c>
      <c r="VD62" s="9" t="n">
        <v>41.60000000000002</v>
      </c>
      <c r="VH62" s="10" t="n">
        <v>46074</v>
      </c>
      <c r="VJ62" s="9" t="n">
        <v>0</v>
      </c>
      <c r="VL62" s="9" t="n">
        <v>0</v>
      </c>
      <c r="VM62" s="9" t="n">
        <v>0</v>
      </c>
      <c r="VQ62" s="10" t="n">
        <v>46074</v>
      </c>
      <c r="VS62" s="9" t="n">
        <v>0</v>
      </c>
      <c r="VU62" s="9" t="n">
        <v>0</v>
      </c>
      <c r="VV62" s="9" t="n">
        <v>0</v>
      </c>
      <c r="VZ62" s="10" t="n">
        <v>46074</v>
      </c>
      <c r="WB62" s="9" t="n">
        <v>0</v>
      </c>
      <c r="WD62" s="9" t="n">
        <v>0</v>
      </c>
      <c r="WE62" s="9" t="n">
        <v>0</v>
      </c>
      <c r="WI62" s="10" t="n">
        <v>46074</v>
      </c>
      <c r="WK62" s="9" t="n">
        <v>0</v>
      </c>
      <c r="WL62" s="9" t="n">
        <v>521</v>
      </c>
      <c r="WM62" s="9" t="n">
        <v>-521</v>
      </c>
      <c r="WN62" s="9" t="n">
        <v>7912</v>
      </c>
      <c r="WR62" s="10" t="n">
        <v>46074</v>
      </c>
      <c r="WT62" s="9" t="n">
        <v>0</v>
      </c>
      <c r="WV62" s="9" t="n">
        <v>0</v>
      </c>
      <c r="WW62" s="9" t="n">
        <v>6559</v>
      </c>
      <c r="XA62" s="10" t="n">
        <v>46074</v>
      </c>
      <c r="XC62" s="9" t="n">
        <v>0</v>
      </c>
      <c r="XE62" s="9" t="n">
        <v>0</v>
      </c>
      <c r="XF62" s="9" t="n">
        <v>590</v>
      </c>
      <c r="XJ62" s="10" t="n">
        <v>46074</v>
      </c>
      <c r="XL62" s="9" t="n">
        <v>0</v>
      </c>
      <c r="XM62" s="9" t="n">
        <v>579</v>
      </c>
      <c r="XN62" s="9" t="n">
        <v>-579</v>
      </c>
      <c r="XO62" s="9" t="n">
        <v>5809</v>
      </c>
      <c r="XS62" s="10" t="n">
        <v>46074</v>
      </c>
      <c r="XU62" s="9" t="n">
        <v>0</v>
      </c>
      <c r="XW62" s="9" t="n">
        <v>0</v>
      </c>
      <c r="XX62" s="9" t="n">
        <v>1901</v>
      </c>
      <c r="YB62" s="10" t="n">
        <v>46074</v>
      </c>
      <c r="YD62" s="9" t="n">
        <v>0</v>
      </c>
      <c r="YF62" s="9" t="n">
        <v>0</v>
      </c>
      <c r="YG62" s="9" t="n">
        <v>-707</v>
      </c>
      <c r="YK62" s="10" t="n">
        <v>46074</v>
      </c>
      <c r="YM62" s="9" t="n">
        <v>0</v>
      </c>
      <c r="YO62" s="9" t="n">
        <v>0</v>
      </c>
      <c r="YP62" s="9" t="n">
        <v>0</v>
      </c>
      <c r="YT62" s="10" t="n">
        <v>46074</v>
      </c>
      <c r="YV62" s="9" t="n">
        <v>0</v>
      </c>
      <c r="YX62" s="9" t="n">
        <v>0</v>
      </c>
      <c r="YY62" s="9" t="n">
        <v>0</v>
      </c>
      <c r="ZC62" s="10" t="n">
        <v>46074</v>
      </c>
      <c r="ZE62" s="9" t="n">
        <v>0</v>
      </c>
      <c r="ZG62" s="9" t="n">
        <v>0</v>
      </c>
      <c r="ZH62" s="9" t="n">
        <v>0</v>
      </c>
      <c r="ZL62" s="10" t="n">
        <v>46074</v>
      </c>
      <c r="ZN62" s="9" t="n">
        <v>0</v>
      </c>
      <c r="ZP62" s="9" t="n">
        <v>0</v>
      </c>
      <c r="ZQ62" s="9" t="n">
        <v>0</v>
      </c>
      <c r="ZU62" s="10" t="n">
        <v>46074</v>
      </c>
      <c r="ZW62" s="9" t="n">
        <v>0</v>
      </c>
      <c r="ZY62" s="9" t="n">
        <v>0</v>
      </c>
      <c r="ZZ62" s="9" t="n">
        <v>0</v>
      </c>
      <c r="AAD62" s="10" t="n">
        <v>46074</v>
      </c>
      <c r="AAF62" s="9" t="n">
        <v>0</v>
      </c>
      <c r="AAH62" s="9" t="n">
        <v>0</v>
      </c>
      <c r="AAI62" s="9" t="n">
        <v>0</v>
      </c>
      <c r="AAM62" s="10" t="n">
        <v>46074</v>
      </c>
      <c r="AAO62" s="9" t="n">
        <v>0</v>
      </c>
      <c r="AAQ62" s="9" t="n">
        <v>0</v>
      </c>
      <c r="AAR62" s="9" t="n">
        <v>0</v>
      </c>
      <c r="AAV62" s="10" t="n">
        <v>46074</v>
      </c>
      <c r="AAX62" s="9" t="n">
        <v>0</v>
      </c>
      <c r="AAZ62" s="9" t="n">
        <v>0</v>
      </c>
      <c r="ABA62" s="9" t="n">
        <v>0</v>
      </c>
      <c r="ABE62" s="10" t="n">
        <v>46074</v>
      </c>
      <c r="ABG62" s="9" t="n">
        <v>0</v>
      </c>
      <c r="ABI62" s="9" t="n">
        <v>0</v>
      </c>
      <c r="ABJ62" s="9" t="n">
        <v>0</v>
      </c>
    </row>
    <row r="63">
      <c r="C63" s="10" t="n">
        <v>46075</v>
      </c>
      <c r="E63" s="9" t="n">
        <v>0</v>
      </c>
      <c r="G63" s="9" t="n">
        <v>0</v>
      </c>
      <c r="H63" s="9" t="n">
        <v>95510</v>
      </c>
      <c r="L63" s="10" t="n">
        <v>46075</v>
      </c>
      <c r="N63" s="9" t="n">
        <v>0</v>
      </c>
      <c r="P63" s="9" t="n">
        <v>0</v>
      </c>
      <c r="Q63" s="9" t="n">
        <v>52234.20000000003</v>
      </c>
      <c r="U63" s="10" t="n">
        <v>46075</v>
      </c>
      <c r="W63" s="9" t="n">
        <v>0</v>
      </c>
      <c r="Y63" s="9" t="n">
        <v>0</v>
      </c>
      <c r="Z63" s="9" t="n">
        <v>31348.09999999998</v>
      </c>
      <c r="AD63" s="10" t="n">
        <v>46075</v>
      </c>
      <c r="AF63" s="9" t="n">
        <v>0</v>
      </c>
      <c r="AH63" s="9" t="n">
        <v>0</v>
      </c>
      <c r="AI63" s="9" t="n">
        <v>40126.30000000002</v>
      </c>
      <c r="AM63" s="10" t="n">
        <v>46075</v>
      </c>
      <c r="AO63" s="9" t="n">
        <v>0</v>
      </c>
      <c r="AQ63" s="9" t="n">
        <v>0</v>
      </c>
      <c r="AR63" s="9" t="n">
        <v>0</v>
      </c>
      <c r="AV63" s="10" t="n">
        <v>46075</v>
      </c>
      <c r="AX63" s="9" t="n">
        <v>0</v>
      </c>
      <c r="AZ63" s="9" t="n">
        <v>0</v>
      </c>
      <c r="BA63" s="9" t="n">
        <v>49322.39999999999</v>
      </c>
      <c r="BE63" s="10" t="n">
        <v>46075</v>
      </c>
      <c r="BG63" s="9" t="n">
        <v>0</v>
      </c>
      <c r="BI63" s="9" t="n">
        <v>0</v>
      </c>
      <c r="BJ63" s="9" t="n">
        <v>13288.40000000001</v>
      </c>
      <c r="BN63" s="10" t="n">
        <v>46075</v>
      </c>
      <c r="BP63" s="9" t="n">
        <v>0</v>
      </c>
      <c r="BR63" s="9" t="n">
        <v>0</v>
      </c>
      <c r="BS63" s="9" t="n">
        <v>0</v>
      </c>
      <c r="BW63" s="10" t="n">
        <v>46075</v>
      </c>
      <c r="BY63" s="9" t="n">
        <v>0</v>
      </c>
      <c r="CA63" s="9" t="n">
        <v>0</v>
      </c>
      <c r="CB63" s="9" t="n">
        <v>931.9000000000001</v>
      </c>
      <c r="CF63" s="10" t="n">
        <v>46075</v>
      </c>
      <c r="CH63" s="9" t="n">
        <v>0</v>
      </c>
      <c r="CJ63" s="9" t="n">
        <v>0</v>
      </c>
      <c r="CK63" s="9" t="n">
        <v>0</v>
      </c>
      <c r="CO63" s="10" t="n">
        <v>46075</v>
      </c>
      <c r="CQ63" s="9" t="n">
        <v>0</v>
      </c>
      <c r="CS63" s="9" t="n">
        <v>0</v>
      </c>
      <c r="CT63" s="9" t="n">
        <v>0</v>
      </c>
      <c r="CX63" s="10" t="n">
        <v>46075</v>
      </c>
      <c r="CZ63" s="9" t="n">
        <v>0</v>
      </c>
      <c r="DB63" s="9" t="n">
        <v>0</v>
      </c>
      <c r="DC63" s="9" t="n">
        <v>16684.7</v>
      </c>
      <c r="DG63" s="10" t="n">
        <v>46075</v>
      </c>
      <c r="DI63" s="9" t="n">
        <v>0</v>
      </c>
      <c r="DK63" s="9" t="n">
        <v>0</v>
      </c>
      <c r="DL63" s="9" t="n">
        <v>5112.199999999997</v>
      </c>
      <c r="DP63" s="10" t="n">
        <v>46075</v>
      </c>
      <c r="DR63" s="9" t="n">
        <v>0</v>
      </c>
      <c r="DT63" s="9" t="n">
        <v>0</v>
      </c>
      <c r="DU63" s="9" t="n">
        <v>2300</v>
      </c>
      <c r="DY63" s="10" t="n">
        <v>46075</v>
      </c>
      <c r="EA63" s="9" t="n">
        <v>0</v>
      </c>
      <c r="EC63" s="9" t="n">
        <v>0</v>
      </c>
      <c r="ED63" s="9" t="n">
        <v>5696.8</v>
      </c>
      <c r="EH63" s="10" t="n">
        <v>46075</v>
      </c>
      <c r="EJ63" s="9" t="n">
        <v>0</v>
      </c>
      <c r="EL63" s="9" t="n">
        <v>0</v>
      </c>
      <c r="EM63" s="9" t="n">
        <v>0</v>
      </c>
      <c r="EQ63" s="10" t="n">
        <v>46075</v>
      </c>
      <c r="ES63" s="9" t="n">
        <v>0</v>
      </c>
      <c r="EU63" s="9" t="n">
        <v>0</v>
      </c>
      <c r="EV63" s="9" t="n">
        <v>0</v>
      </c>
      <c r="EZ63" s="10" t="n">
        <v>46075</v>
      </c>
      <c r="FB63" s="9" t="n">
        <v>0</v>
      </c>
      <c r="FD63" s="9" t="n">
        <v>0</v>
      </c>
      <c r="FE63" s="9" t="n">
        <v>0</v>
      </c>
      <c r="FI63" s="10" t="n">
        <v>46075</v>
      </c>
      <c r="FK63" s="9" t="n">
        <v>0</v>
      </c>
      <c r="FM63" s="9" t="n">
        <v>0</v>
      </c>
      <c r="FN63" s="9" t="n">
        <v>0</v>
      </c>
      <c r="FR63" s="10" t="n">
        <v>46075</v>
      </c>
      <c r="FT63" s="9" t="n">
        <v>0</v>
      </c>
      <c r="FV63" s="9" t="n">
        <v>0</v>
      </c>
      <c r="FW63" s="9" t="n">
        <v>1900</v>
      </c>
      <c r="GA63" s="10" t="n">
        <v>46075</v>
      </c>
      <c r="GC63" s="9" t="n">
        <v>0</v>
      </c>
      <c r="GE63" s="9" t="n">
        <v>0</v>
      </c>
      <c r="GF63" s="9" t="n">
        <v>5960</v>
      </c>
      <c r="GJ63" s="10" t="n">
        <v>46075</v>
      </c>
      <c r="GL63" s="9" t="n">
        <v>0</v>
      </c>
      <c r="GN63" s="9" t="n">
        <v>0</v>
      </c>
      <c r="GO63" s="9" t="n">
        <v>5240</v>
      </c>
      <c r="GS63" s="10" t="n">
        <v>46075</v>
      </c>
      <c r="GU63" s="9" t="n">
        <v>0</v>
      </c>
      <c r="GW63" s="9" t="n">
        <v>0</v>
      </c>
      <c r="GX63" s="9" t="n">
        <v>0</v>
      </c>
      <c r="HB63" s="10" t="n">
        <v>46075</v>
      </c>
      <c r="HD63" s="9" t="n">
        <v>0</v>
      </c>
      <c r="HF63" s="9" t="n">
        <v>0</v>
      </c>
      <c r="HG63" s="9" t="n">
        <v>0</v>
      </c>
      <c r="HK63" s="10" t="n">
        <v>46075</v>
      </c>
      <c r="HM63" s="9" t="n">
        <v>0</v>
      </c>
      <c r="HO63" s="9" t="n">
        <v>0</v>
      </c>
      <c r="HP63" s="9" t="n">
        <v>0</v>
      </c>
      <c r="HU63" s="10" t="n">
        <v>46075</v>
      </c>
      <c r="HW63" s="9" t="n">
        <v>0</v>
      </c>
      <c r="HY63" s="9" t="n">
        <v>0</v>
      </c>
      <c r="HZ63" s="9" t="n">
        <v>5120</v>
      </c>
      <c r="ID63" s="10" t="n">
        <v>46075</v>
      </c>
      <c r="IF63" s="9" t="n">
        <v>0</v>
      </c>
      <c r="IH63" s="9" t="n">
        <v>0</v>
      </c>
      <c r="II63" s="9" t="n">
        <v>5100</v>
      </c>
      <c r="IM63" s="10" t="n">
        <v>46075</v>
      </c>
      <c r="IO63" s="9" t="n">
        <v>0</v>
      </c>
      <c r="IQ63" s="9" t="n">
        <v>0</v>
      </c>
      <c r="IR63" s="9" t="n">
        <v>10240</v>
      </c>
      <c r="IV63" s="10" t="n">
        <v>46075</v>
      </c>
      <c r="IX63" s="9" t="n">
        <v>0</v>
      </c>
      <c r="IZ63" s="9" t="n">
        <v>0</v>
      </c>
      <c r="JA63" s="9" t="n">
        <v>15120</v>
      </c>
      <c r="JE63" s="10" t="n">
        <v>46075</v>
      </c>
      <c r="JG63" s="9" t="n">
        <v>0</v>
      </c>
      <c r="JI63" s="9" t="n">
        <v>0</v>
      </c>
      <c r="JJ63" s="9" t="n">
        <v>3600</v>
      </c>
      <c r="JN63" s="10" t="n">
        <v>46075</v>
      </c>
      <c r="JP63" s="9" t="n">
        <v>0</v>
      </c>
      <c r="JR63" s="9" t="n">
        <v>0</v>
      </c>
      <c r="JS63" s="9" t="n">
        <v>5400</v>
      </c>
      <c r="JW63" s="10" t="n">
        <v>46075</v>
      </c>
      <c r="JY63" s="9" t="n">
        <v>0</v>
      </c>
      <c r="KA63" s="9" t="n">
        <v>0</v>
      </c>
      <c r="KB63" s="9" t="n">
        <v>4000</v>
      </c>
      <c r="KF63" s="10" t="n">
        <v>46075</v>
      </c>
      <c r="KH63" s="9" t="n">
        <v>0</v>
      </c>
      <c r="KJ63" s="9" t="n">
        <v>0</v>
      </c>
      <c r="KK63" s="9" t="n">
        <v>1287</v>
      </c>
      <c r="KO63" s="10" t="n">
        <v>46075</v>
      </c>
      <c r="KQ63" s="9" t="n">
        <v>0</v>
      </c>
      <c r="KS63" s="9" t="n">
        <v>0</v>
      </c>
      <c r="KT63" s="9" t="n">
        <v>10659.6</v>
      </c>
      <c r="KX63" s="10" t="n">
        <v>46075</v>
      </c>
      <c r="KZ63" s="9" t="n">
        <v>0</v>
      </c>
      <c r="LB63" s="9" t="n">
        <v>0</v>
      </c>
      <c r="LC63" s="9" t="n">
        <v>0</v>
      </c>
      <c r="LG63" s="10" t="n">
        <v>46075</v>
      </c>
      <c r="LI63" s="9" t="n">
        <v>0</v>
      </c>
      <c r="LK63" s="9" t="n">
        <v>0</v>
      </c>
      <c r="LL63" s="9" t="n">
        <v>0</v>
      </c>
      <c r="LP63" s="10" t="n">
        <v>46075</v>
      </c>
      <c r="LR63" s="9" t="n">
        <v>0</v>
      </c>
      <c r="LT63" s="9" t="n">
        <v>0</v>
      </c>
      <c r="LU63" s="9" t="n">
        <v>0</v>
      </c>
      <c r="LY63" s="10" t="n">
        <v>46075</v>
      </c>
      <c r="MA63" s="9" t="n">
        <v>0</v>
      </c>
      <c r="MC63" s="9" t="n">
        <v>0</v>
      </c>
      <c r="MD63" s="9" t="n">
        <v>0</v>
      </c>
      <c r="MH63" s="10" t="n">
        <v>46075</v>
      </c>
      <c r="MJ63" s="9" t="n">
        <v>0</v>
      </c>
      <c r="ML63" s="9" t="n">
        <v>0</v>
      </c>
      <c r="MM63" s="9" t="n">
        <v>0</v>
      </c>
      <c r="MQ63" s="10" t="n">
        <v>46075</v>
      </c>
      <c r="MS63" s="9" t="n">
        <v>0</v>
      </c>
      <c r="MU63" s="9" t="n">
        <v>0</v>
      </c>
      <c r="MV63" s="9" t="n">
        <v>4370</v>
      </c>
      <c r="MZ63" s="10" t="n">
        <v>46075</v>
      </c>
      <c r="NB63" s="9" t="n">
        <v>0</v>
      </c>
      <c r="ND63" s="9" t="n">
        <v>0</v>
      </c>
      <c r="NE63" s="9" t="n">
        <v>0</v>
      </c>
      <c r="NI63" s="10" t="n">
        <v>46075</v>
      </c>
      <c r="NK63" s="9" t="n">
        <v>0</v>
      </c>
      <c r="NM63" s="9" t="n">
        <v>0</v>
      </c>
      <c r="NN63" s="9" t="n">
        <v>0</v>
      </c>
      <c r="NR63" s="10" t="n">
        <v>46075</v>
      </c>
      <c r="NT63" s="9" t="n">
        <v>0</v>
      </c>
      <c r="NV63" s="9" t="n">
        <v>0</v>
      </c>
      <c r="NW63" s="9" t="n">
        <v>2310</v>
      </c>
      <c r="OA63" s="10" t="n">
        <v>46075</v>
      </c>
      <c r="OC63" s="9" t="n">
        <v>0</v>
      </c>
      <c r="OE63" s="9" t="n">
        <v>0</v>
      </c>
      <c r="OF63" s="9" t="n">
        <v>1680.5</v>
      </c>
      <c r="OJ63" s="10" t="n">
        <v>46075</v>
      </c>
      <c r="OL63" s="9" t="n">
        <v>0</v>
      </c>
      <c r="ON63" s="9" t="n">
        <v>0</v>
      </c>
      <c r="OO63" s="9" t="n">
        <v>0</v>
      </c>
      <c r="OS63" s="10" t="n">
        <v>46075</v>
      </c>
      <c r="OU63" s="9" t="n">
        <v>0</v>
      </c>
      <c r="OW63" s="9" t="n">
        <v>0</v>
      </c>
      <c r="OX63" s="9" t="n">
        <v>0</v>
      </c>
      <c r="PB63" s="10" t="n">
        <v>46075</v>
      </c>
      <c r="PD63" s="9" t="n">
        <v>0</v>
      </c>
      <c r="PF63" s="9" t="n">
        <v>0</v>
      </c>
      <c r="PG63" s="9" t="n">
        <v>0</v>
      </c>
      <c r="PK63" s="10" t="n">
        <v>46075</v>
      </c>
      <c r="PM63" s="9" t="n">
        <v>0</v>
      </c>
      <c r="PO63" s="9" t="n">
        <v>0</v>
      </c>
      <c r="PP63" s="9" t="n">
        <v>160</v>
      </c>
      <c r="PT63" s="10" t="n">
        <v>46075</v>
      </c>
      <c r="PV63" s="9" t="n">
        <v>0</v>
      </c>
      <c r="PX63" s="9" t="n">
        <v>0</v>
      </c>
      <c r="PY63" s="9" t="n">
        <v>13.96000000000004</v>
      </c>
      <c r="QC63" s="10" t="n">
        <v>46075</v>
      </c>
      <c r="QE63" s="9" t="n">
        <v>0</v>
      </c>
      <c r="QG63" s="9" t="n">
        <v>0</v>
      </c>
      <c r="QH63" s="9" t="n">
        <v>0</v>
      </c>
      <c r="QL63" s="10" t="n">
        <v>46075</v>
      </c>
      <c r="QN63" s="9" t="n">
        <v>0</v>
      </c>
      <c r="QP63" s="9" t="n">
        <v>0</v>
      </c>
      <c r="QQ63" s="9" t="n">
        <v>0</v>
      </c>
      <c r="QU63" s="10" t="n">
        <v>46075</v>
      </c>
      <c r="QW63" s="9" t="n">
        <v>0</v>
      </c>
      <c r="QY63" s="9" t="n">
        <v>0</v>
      </c>
      <c r="QZ63" s="9" t="n">
        <v>207.6</v>
      </c>
      <c r="RD63" s="10" t="n">
        <v>46075</v>
      </c>
      <c r="RF63" s="9" t="n">
        <v>0</v>
      </c>
      <c r="RH63" s="9" t="n">
        <v>0</v>
      </c>
      <c r="RI63" s="9" t="n">
        <v>197.04</v>
      </c>
      <c r="RM63" s="10" t="n">
        <v>46075</v>
      </c>
      <c r="RO63" s="9" t="n">
        <v>0</v>
      </c>
      <c r="RQ63" s="9" t="n">
        <v>0</v>
      </c>
      <c r="RR63" s="9" t="n">
        <v>46.8</v>
      </c>
      <c r="RV63" s="10" t="n">
        <v>46075</v>
      </c>
      <c r="RX63" s="9" t="n">
        <v>0</v>
      </c>
      <c r="RZ63" s="9" t="n">
        <v>0</v>
      </c>
      <c r="SA63" s="9" t="n">
        <v>0</v>
      </c>
      <c r="SE63" s="10" t="n">
        <v>46075</v>
      </c>
      <c r="SG63" s="9" t="n">
        <v>0</v>
      </c>
      <c r="SI63" s="9" t="n">
        <v>0</v>
      </c>
      <c r="SJ63" s="9" t="n">
        <v>0</v>
      </c>
      <c r="SN63" s="10" t="n">
        <v>46075</v>
      </c>
      <c r="SP63" s="9" t="n">
        <v>0</v>
      </c>
      <c r="SR63" s="9" t="n">
        <v>0</v>
      </c>
      <c r="SS63" s="9" t="n">
        <v>0</v>
      </c>
      <c r="SW63" s="10" t="n">
        <v>46075</v>
      </c>
      <c r="SY63" s="9" t="n">
        <v>0</v>
      </c>
      <c r="TA63" s="9" t="n">
        <v>0</v>
      </c>
      <c r="TB63" s="9" t="n">
        <v>0</v>
      </c>
      <c r="TF63" s="10" t="n">
        <v>46075</v>
      </c>
      <c r="TH63" s="9" t="n">
        <v>0</v>
      </c>
      <c r="TJ63" s="9" t="n">
        <v>0</v>
      </c>
      <c r="TK63" s="9" t="n">
        <v>0</v>
      </c>
      <c r="TO63" s="10" t="n">
        <v>46075</v>
      </c>
      <c r="TQ63" s="9" t="n">
        <v>0</v>
      </c>
      <c r="TS63" s="9" t="n">
        <v>0</v>
      </c>
      <c r="TT63" s="9" t="n">
        <v>0</v>
      </c>
      <c r="TX63" s="10" t="n">
        <v>46075</v>
      </c>
      <c r="TZ63" s="9" t="n">
        <v>0</v>
      </c>
      <c r="UB63" s="9" t="n">
        <v>0</v>
      </c>
      <c r="UC63" s="9" t="n">
        <v>0</v>
      </c>
      <c r="UG63" s="10" t="n">
        <v>46075</v>
      </c>
      <c r="UI63" s="9" t="n">
        <v>0</v>
      </c>
      <c r="UK63" s="9" t="n">
        <v>0</v>
      </c>
      <c r="UL63" s="9" t="n">
        <v>0</v>
      </c>
      <c r="UP63" s="10" t="n">
        <v>46075</v>
      </c>
      <c r="UR63" s="9" t="n">
        <v>0</v>
      </c>
      <c r="UT63" s="9" t="n">
        <v>0</v>
      </c>
      <c r="UU63" s="9" t="n">
        <v>0</v>
      </c>
      <c r="UY63" s="10" t="n">
        <v>46075</v>
      </c>
      <c r="VA63" s="9" t="n">
        <v>0</v>
      </c>
      <c r="VC63" s="9" t="n">
        <v>0</v>
      </c>
      <c r="VD63" s="9" t="n">
        <v>41.60000000000002</v>
      </c>
      <c r="VH63" s="10" t="n">
        <v>46075</v>
      </c>
      <c r="VJ63" s="9" t="n">
        <v>0</v>
      </c>
      <c r="VL63" s="9" t="n">
        <v>0</v>
      </c>
      <c r="VM63" s="9" t="n">
        <v>0</v>
      </c>
      <c r="VQ63" s="10" t="n">
        <v>46075</v>
      </c>
      <c r="VS63" s="9" t="n">
        <v>0</v>
      </c>
      <c r="VU63" s="9" t="n">
        <v>0</v>
      </c>
      <c r="VV63" s="9" t="n">
        <v>0</v>
      </c>
      <c r="VZ63" s="10" t="n">
        <v>46075</v>
      </c>
      <c r="WB63" s="9" t="n">
        <v>0</v>
      </c>
      <c r="WD63" s="9" t="n">
        <v>0</v>
      </c>
      <c r="WE63" s="9" t="n">
        <v>0</v>
      </c>
      <c r="WI63" s="10" t="n">
        <v>46075</v>
      </c>
      <c r="WK63" s="9" t="n">
        <v>0</v>
      </c>
      <c r="WM63" s="9" t="n">
        <v>0</v>
      </c>
      <c r="WN63" s="9" t="n">
        <v>7912</v>
      </c>
      <c r="WR63" s="10" t="n">
        <v>46075</v>
      </c>
      <c r="WT63" s="9" t="n">
        <v>0</v>
      </c>
      <c r="WV63" s="9" t="n">
        <v>0</v>
      </c>
      <c r="WW63" s="9" t="n">
        <v>6559</v>
      </c>
      <c r="XA63" s="10" t="n">
        <v>46075</v>
      </c>
      <c r="XC63" s="9" t="n">
        <v>0</v>
      </c>
      <c r="XE63" s="9" t="n">
        <v>0</v>
      </c>
      <c r="XF63" s="9" t="n">
        <v>590</v>
      </c>
      <c r="XJ63" s="10" t="n">
        <v>46075</v>
      </c>
      <c r="XL63" s="9" t="n">
        <v>0</v>
      </c>
      <c r="XN63" s="9" t="n">
        <v>0</v>
      </c>
      <c r="XO63" s="9" t="n">
        <v>5809</v>
      </c>
      <c r="XS63" s="10" t="n">
        <v>46075</v>
      </c>
      <c r="XU63" s="9" t="n">
        <v>0</v>
      </c>
      <c r="XW63" s="9" t="n">
        <v>0</v>
      </c>
      <c r="XX63" s="9" t="n">
        <v>1901</v>
      </c>
      <c r="YB63" s="10" t="n">
        <v>46075</v>
      </c>
      <c r="YD63" s="9" t="n">
        <v>0</v>
      </c>
      <c r="YF63" s="9" t="n">
        <v>0</v>
      </c>
      <c r="YG63" s="9" t="n">
        <v>-707</v>
      </c>
      <c r="YK63" s="10" t="n">
        <v>46075</v>
      </c>
      <c r="YM63" s="9" t="n">
        <v>0</v>
      </c>
      <c r="YO63" s="9" t="n">
        <v>0</v>
      </c>
      <c r="YP63" s="9" t="n">
        <v>0</v>
      </c>
      <c r="YT63" s="10" t="n">
        <v>46075</v>
      </c>
      <c r="YV63" s="9" t="n">
        <v>0</v>
      </c>
      <c r="YX63" s="9" t="n">
        <v>0</v>
      </c>
      <c r="YY63" s="9" t="n">
        <v>0</v>
      </c>
      <c r="ZC63" s="10" t="n">
        <v>46075</v>
      </c>
      <c r="ZE63" s="9" t="n">
        <v>0</v>
      </c>
      <c r="ZG63" s="9" t="n">
        <v>0</v>
      </c>
      <c r="ZH63" s="9" t="n">
        <v>0</v>
      </c>
      <c r="ZL63" s="10" t="n">
        <v>46075</v>
      </c>
      <c r="ZN63" s="9" t="n">
        <v>0</v>
      </c>
      <c r="ZP63" s="9" t="n">
        <v>0</v>
      </c>
      <c r="ZQ63" s="9" t="n">
        <v>0</v>
      </c>
      <c r="ZU63" s="10" t="n">
        <v>46075</v>
      </c>
      <c r="ZW63" s="9" t="n">
        <v>0</v>
      </c>
      <c r="ZY63" s="9" t="n">
        <v>0</v>
      </c>
      <c r="ZZ63" s="9" t="n">
        <v>0</v>
      </c>
      <c r="AAD63" s="10" t="n">
        <v>46075</v>
      </c>
      <c r="AAF63" s="9" t="n">
        <v>0</v>
      </c>
      <c r="AAH63" s="9" t="n">
        <v>0</v>
      </c>
      <c r="AAI63" s="9" t="n">
        <v>0</v>
      </c>
      <c r="AAM63" s="10" t="n">
        <v>46075</v>
      </c>
      <c r="AAO63" s="9" t="n">
        <v>0</v>
      </c>
      <c r="AAQ63" s="9" t="n">
        <v>0</v>
      </c>
      <c r="AAR63" s="9" t="n">
        <v>0</v>
      </c>
      <c r="AAV63" s="10" t="n">
        <v>46075</v>
      </c>
      <c r="AAX63" s="9" t="n">
        <v>0</v>
      </c>
      <c r="AAZ63" s="9" t="n">
        <v>0</v>
      </c>
      <c r="ABA63" s="9" t="n">
        <v>0</v>
      </c>
      <c r="ABE63" s="10" t="n">
        <v>46075</v>
      </c>
      <c r="ABG63" s="9" t="n">
        <v>0</v>
      </c>
      <c r="ABI63" s="9" t="n">
        <v>0</v>
      </c>
      <c r="ABJ63" s="9" t="n">
        <v>0</v>
      </c>
    </row>
    <row r="64">
      <c r="B64" s="9" t="n">
        <v>26</v>
      </c>
      <c r="C64" s="10" t="n">
        <v>46076</v>
      </c>
      <c r="D64" s="9" t="n">
        <v>28980</v>
      </c>
      <c r="E64" s="9" t="n">
        <v>13975</v>
      </c>
      <c r="F64" s="9" t="n">
        <v>13973.2</v>
      </c>
      <c r="G64" s="9" t="n">
        <v>1.799999999999272</v>
      </c>
      <c r="H64" s="9" t="n">
        <v>110516.8</v>
      </c>
      <c r="I64" s="9" t="inlineStr">
        <is>
          <t>8102 26mt</t>
        </is>
      </c>
      <c r="L64" s="10" t="n">
        <v>46076</v>
      </c>
      <c r="N64" s="9" t="n">
        <v>7253.999999999998</v>
      </c>
      <c r="O64" s="9" t="n">
        <v>7254.8</v>
      </c>
      <c r="P64" s="9" t="n">
        <v>-0.8000000000020009</v>
      </c>
      <c r="Q64" s="9" t="n">
        <v>44979.40000000003</v>
      </c>
      <c r="U64" s="10" t="n">
        <v>46076</v>
      </c>
      <c r="W64" s="9" t="n">
        <v>1300</v>
      </c>
      <c r="X64" s="9" t="n">
        <v>1299.9</v>
      </c>
      <c r="Y64" s="9" t="n">
        <v>0.09999999999990905</v>
      </c>
      <c r="Z64" s="9" t="n">
        <v>30048.19999999998</v>
      </c>
      <c r="AD64" s="10" t="n">
        <v>46076</v>
      </c>
      <c r="AF64" s="9" t="n">
        <v>1300</v>
      </c>
      <c r="AG64" s="9" t="n">
        <v>1300.7</v>
      </c>
      <c r="AH64" s="9" t="n">
        <v>-0.7000000000000455</v>
      </c>
      <c r="AI64" s="9" t="n">
        <v>38825.60000000002</v>
      </c>
      <c r="AM64" s="10" t="n">
        <v>46076</v>
      </c>
      <c r="AO64" s="9" t="n">
        <v>0</v>
      </c>
      <c r="AQ64" s="9" t="n">
        <v>0</v>
      </c>
      <c r="AR64" s="9" t="n">
        <v>0</v>
      </c>
      <c r="AV64" s="10" t="n">
        <v>46076</v>
      </c>
      <c r="AX64" s="9" t="n">
        <v>520</v>
      </c>
      <c r="AY64" s="9" t="n">
        <v>519.8</v>
      </c>
      <c r="AZ64" s="9" t="n">
        <v>0.2000000000000455</v>
      </c>
      <c r="BA64" s="9" t="n">
        <v>48802.59999999998</v>
      </c>
      <c r="BE64" s="10" t="n">
        <v>46076</v>
      </c>
      <c r="BG64" s="9" t="n">
        <v>520</v>
      </c>
      <c r="BH64" s="9" t="n">
        <v>517.1</v>
      </c>
      <c r="BI64" s="9" t="n">
        <v>2.899999999999977</v>
      </c>
      <c r="BJ64" s="9" t="n">
        <v>12771.3</v>
      </c>
      <c r="BN64" s="10" t="n">
        <v>46076</v>
      </c>
      <c r="BO64" s="9" t="n">
        <v>520</v>
      </c>
      <c r="BP64" s="9" t="n">
        <v>520</v>
      </c>
      <c r="BQ64" s="9" t="n">
        <v>520</v>
      </c>
      <c r="BR64" s="9" t="n">
        <v>0</v>
      </c>
      <c r="BS64" s="9" t="n">
        <v>0</v>
      </c>
      <c r="BW64" s="10" t="n">
        <v>46076</v>
      </c>
      <c r="BY64" s="9" t="n">
        <v>0</v>
      </c>
      <c r="CA64" s="9" t="n">
        <v>0</v>
      </c>
      <c r="CB64" s="9" t="n">
        <v>931.9000000000001</v>
      </c>
      <c r="CF64" s="10" t="n">
        <v>46076</v>
      </c>
      <c r="CH64" s="9" t="n">
        <v>0</v>
      </c>
      <c r="CJ64" s="9" t="n">
        <v>0</v>
      </c>
      <c r="CK64" s="9" t="n">
        <v>0</v>
      </c>
      <c r="CO64" s="10" t="n">
        <v>46076</v>
      </c>
      <c r="CQ64" s="9" t="n">
        <v>0</v>
      </c>
      <c r="CS64" s="9" t="n">
        <v>0</v>
      </c>
      <c r="CT64" s="9" t="n">
        <v>0</v>
      </c>
      <c r="CX64" s="10" t="n">
        <v>46076</v>
      </c>
      <c r="CY64" s="9" t="n">
        <v>10260</v>
      </c>
      <c r="CZ64" s="9" t="n">
        <v>0</v>
      </c>
      <c r="DB64" s="9" t="n">
        <v>0</v>
      </c>
      <c r="DC64" s="9" t="n">
        <v>26944.7</v>
      </c>
      <c r="DG64" s="10" t="n">
        <v>46076</v>
      </c>
      <c r="DI64" s="9" t="n">
        <v>0</v>
      </c>
      <c r="DK64" s="9" t="n">
        <v>0</v>
      </c>
      <c r="DL64" s="9" t="n">
        <v>5112.199999999997</v>
      </c>
      <c r="DP64" s="10" t="n">
        <v>46076</v>
      </c>
      <c r="DR64" s="9" t="n">
        <v>0</v>
      </c>
      <c r="DT64" s="9" t="n">
        <v>0</v>
      </c>
      <c r="DU64" s="9" t="n">
        <v>2300</v>
      </c>
      <c r="DY64" s="10" t="n">
        <v>46076</v>
      </c>
      <c r="EA64" s="9" t="n">
        <v>0</v>
      </c>
      <c r="EC64" s="9" t="n">
        <v>0</v>
      </c>
      <c r="ED64" s="9" t="n">
        <v>5696.8</v>
      </c>
      <c r="EH64" s="10" t="n">
        <v>46076</v>
      </c>
      <c r="EJ64" s="9" t="n">
        <v>0</v>
      </c>
      <c r="EL64" s="9" t="n">
        <v>0</v>
      </c>
      <c r="EM64" s="9" t="n">
        <v>0</v>
      </c>
      <c r="EQ64" s="10" t="n">
        <v>46076</v>
      </c>
      <c r="ES64" s="9" t="n">
        <v>0</v>
      </c>
      <c r="EU64" s="9" t="n">
        <v>0</v>
      </c>
      <c r="EV64" s="9" t="n">
        <v>0</v>
      </c>
      <c r="EZ64" s="10" t="n">
        <v>46076</v>
      </c>
      <c r="FB64" s="9" t="n">
        <v>0</v>
      </c>
      <c r="FD64" s="9" t="n">
        <v>0</v>
      </c>
      <c r="FE64" s="9" t="n">
        <v>0</v>
      </c>
      <c r="FI64" s="10" t="n">
        <v>46076</v>
      </c>
      <c r="FK64" s="9" t="n">
        <v>0</v>
      </c>
      <c r="FM64" s="9" t="n">
        <v>0</v>
      </c>
      <c r="FN64" s="9" t="n">
        <v>0</v>
      </c>
      <c r="FR64" s="10" t="n">
        <v>46076</v>
      </c>
      <c r="FT64" s="9" t="n">
        <v>0</v>
      </c>
      <c r="FV64" s="9" t="n">
        <v>0</v>
      </c>
      <c r="FW64" s="9" t="n">
        <v>1900</v>
      </c>
      <c r="GA64" s="10" t="n">
        <v>46076</v>
      </c>
      <c r="GC64" s="9" t="n">
        <v>0</v>
      </c>
      <c r="GE64" s="9" t="n">
        <v>0</v>
      </c>
      <c r="GF64" s="9" t="n">
        <v>5960</v>
      </c>
      <c r="GJ64" s="10" t="n">
        <v>46076</v>
      </c>
      <c r="GL64" s="9" t="n">
        <v>0</v>
      </c>
      <c r="GN64" s="9" t="n">
        <v>0</v>
      </c>
      <c r="GO64" s="9" t="n">
        <v>5240</v>
      </c>
      <c r="GS64" s="10" t="n">
        <v>46076</v>
      </c>
      <c r="GU64" s="9" t="n">
        <v>0</v>
      </c>
      <c r="GW64" s="9" t="n">
        <v>0</v>
      </c>
      <c r="GX64" s="9" t="n">
        <v>0</v>
      </c>
      <c r="HB64" s="10" t="n">
        <v>46076</v>
      </c>
      <c r="HD64" s="9" t="n">
        <v>0</v>
      </c>
      <c r="HF64" s="9" t="n">
        <v>0</v>
      </c>
      <c r="HG64" s="9" t="n">
        <v>0</v>
      </c>
      <c r="HK64" s="10" t="n">
        <v>46076</v>
      </c>
      <c r="HM64" s="9" t="n">
        <v>0</v>
      </c>
      <c r="HO64" s="9" t="n">
        <v>0</v>
      </c>
      <c r="HP64" s="9" t="n">
        <v>0</v>
      </c>
      <c r="HU64" s="10" t="n">
        <v>46076</v>
      </c>
      <c r="HW64" s="9" t="n">
        <v>0</v>
      </c>
      <c r="HY64" s="9" t="n">
        <v>0</v>
      </c>
      <c r="HZ64" s="9" t="n">
        <v>5120</v>
      </c>
      <c r="ID64" s="10" t="n">
        <v>46076</v>
      </c>
      <c r="IF64" s="9" t="n">
        <v>0</v>
      </c>
      <c r="IH64" s="9" t="n">
        <v>0</v>
      </c>
      <c r="II64" s="9" t="n">
        <v>5100</v>
      </c>
      <c r="IM64" s="10" t="n">
        <v>46076</v>
      </c>
      <c r="IO64" s="9" t="n">
        <v>520</v>
      </c>
      <c r="IQ64" s="9" t="n">
        <v>520</v>
      </c>
      <c r="IR64" s="9" t="n">
        <v>10240</v>
      </c>
      <c r="IV64" s="10" t="n">
        <v>46076</v>
      </c>
      <c r="IX64" s="9" t="n">
        <v>0</v>
      </c>
      <c r="IZ64" s="9" t="n">
        <v>0</v>
      </c>
      <c r="JA64" s="9" t="n">
        <v>15120</v>
      </c>
      <c r="JE64" s="10" t="n">
        <v>46076</v>
      </c>
      <c r="JG64" s="9" t="n">
        <v>0</v>
      </c>
      <c r="JI64" s="9" t="n">
        <v>0</v>
      </c>
      <c r="JJ64" s="9" t="n">
        <v>3600</v>
      </c>
      <c r="JN64" s="10" t="n">
        <v>46076</v>
      </c>
      <c r="JP64" s="9" t="n">
        <v>0</v>
      </c>
      <c r="JR64" s="9" t="n">
        <v>0</v>
      </c>
      <c r="JS64" s="9" t="n">
        <v>5400</v>
      </c>
      <c r="JW64" s="10" t="n">
        <v>46076</v>
      </c>
      <c r="JY64" s="9" t="n">
        <v>0</v>
      </c>
      <c r="KA64" s="9" t="n">
        <v>0</v>
      </c>
      <c r="KB64" s="9" t="n">
        <v>4000</v>
      </c>
      <c r="KF64" s="10" t="n">
        <v>46076</v>
      </c>
      <c r="KH64" s="9" t="n">
        <v>0</v>
      </c>
      <c r="KJ64" s="9" t="n">
        <v>0</v>
      </c>
      <c r="KK64" s="9" t="n">
        <v>1287</v>
      </c>
      <c r="KO64" s="10" t="n">
        <v>46076</v>
      </c>
      <c r="KQ64" s="9" t="n">
        <v>0</v>
      </c>
      <c r="KS64" s="9" t="n">
        <v>0</v>
      </c>
      <c r="KT64" s="9" t="n">
        <v>10659.6</v>
      </c>
      <c r="KX64" s="10" t="n">
        <v>46076</v>
      </c>
      <c r="KZ64" s="9" t="n">
        <v>0</v>
      </c>
      <c r="LB64" s="9" t="n">
        <v>0</v>
      </c>
      <c r="LC64" s="9" t="n">
        <v>0</v>
      </c>
      <c r="LG64" s="10" t="n">
        <v>46076</v>
      </c>
      <c r="LI64" s="9" t="n">
        <v>0</v>
      </c>
      <c r="LK64" s="9" t="n">
        <v>0</v>
      </c>
      <c r="LL64" s="9" t="n">
        <v>0</v>
      </c>
      <c r="LP64" s="10" t="n">
        <v>46076</v>
      </c>
      <c r="LR64" s="9" t="n">
        <v>0</v>
      </c>
      <c r="LT64" s="9" t="n">
        <v>0</v>
      </c>
      <c r="LU64" s="9" t="n">
        <v>0</v>
      </c>
      <c r="LY64" s="10" t="n">
        <v>46076</v>
      </c>
      <c r="MA64" s="9" t="n">
        <v>0</v>
      </c>
      <c r="MC64" s="9" t="n">
        <v>0</v>
      </c>
      <c r="MD64" s="9" t="n">
        <v>0</v>
      </c>
      <c r="MH64" s="10" t="n">
        <v>46076</v>
      </c>
      <c r="MJ64" s="9" t="n">
        <v>0</v>
      </c>
      <c r="ML64" s="9" t="n">
        <v>0</v>
      </c>
      <c r="MM64" s="9" t="n">
        <v>0</v>
      </c>
      <c r="MQ64" s="10" t="n">
        <v>46076</v>
      </c>
      <c r="MS64" s="9" t="n">
        <v>13</v>
      </c>
      <c r="MU64" s="9" t="n">
        <v>13</v>
      </c>
      <c r="MV64" s="9" t="n">
        <v>4370</v>
      </c>
      <c r="MZ64" s="10" t="n">
        <v>46076</v>
      </c>
      <c r="NB64" s="9" t="n">
        <v>78</v>
      </c>
      <c r="ND64" s="9" t="n">
        <v>78</v>
      </c>
      <c r="NE64" s="9" t="n">
        <v>0</v>
      </c>
      <c r="NI64" s="10" t="n">
        <v>46076</v>
      </c>
      <c r="NK64" s="9" t="n">
        <v>0</v>
      </c>
      <c r="NM64" s="9" t="n">
        <v>0</v>
      </c>
      <c r="NN64" s="9" t="n">
        <v>0</v>
      </c>
      <c r="NR64" s="10" t="n">
        <v>46076</v>
      </c>
      <c r="NT64" s="9" t="n">
        <v>0</v>
      </c>
      <c r="NV64" s="9" t="n">
        <v>0</v>
      </c>
      <c r="NW64" s="9" t="n">
        <v>2310</v>
      </c>
      <c r="OA64" s="10" t="n">
        <v>46076</v>
      </c>
      <c r="OC64" s="9" t="n">
        <v>0</v>
      </c>
      <c r="OE64" s="9" t="n">
        <v>0</v>
      </c>
      <c r="OF64" s="9" t="n">
        <v>1680.5</v>
      </c>
      <c r="OJ64" s="10" t="n">
        <v>46076</v>
      </c>
      <c r="OL64" s="9" t="n">
        <v>0</v>
      </c>
      <c r="ON64" s="9" t="n">
        <v>0</v>
      </c>
      <c r="OO64" s="9" t="n">
        <v>0</v>
      </c>
      <c r="OS64" s="10" t="n">
        <v>46076</v>
      </c>
      <c r="OU64" s="9" t="n">
        <v>0</v>
      </c>
      <c r="OW64" s="9" t="n">
        <v>0</v>
      </c>
      <c r="OX64" s="9" t="n">
        <v>0</v>
      </c>
      <c r="PB64" s="10" t="n">
        <v>46076</v>
      </c>
      <c r="PD64" s="9" t="n">
        <v>0</v>
      </c>
      <c r="PF64" s="9" t="n">
        <v>0</v>
      </c>
      <c r="PG64" s="9" t="n">
        <v>0</v>
      </c>
      <c r="PK64" s="10" t="n">
        <v>46076</v>
      </c>
      <c r="PM64" s="9" t="n">
        <v>0</v>
      </c>
      <c r="PO64" s="9" t="n">
        <v>0</v>
      </c>
      <c r="PP64" s="9" t="n">
        <v>160</v>
      </c>
      <c r="PT64" s="10" t="n">
        <v>46076</v>
      </c>
      <c r="PV64" s="9" t="n">
        <v>0</v>
      </c>
      <c r="PX64" s="9" t="n">
        <v>0</v>
      </c>
      <c r="PY64" s="9" t="n">
        <v>13.96000000000004</v>
      </c>
      <c r="QC64" s="10" t="n">
        <v>46076</v>
      </c>
      <c r="QE64" s="9" t="n">
        <v>0</v>
      </c>
      <c r="QG64" s="9" t="n">
        <v>0</v>
      </c>
      <c r="QH64" s="9" t="n">
        <v>0</v>
      </c>
      <c r="QL64" s="10" t="n">
        <v>46076</v>
      </c>
      <c r="QN64" s="9" t="n">
        <v>0</v>
      </c>
      <c r="QP64" s="9" t="n">
        <v>0</v>
      </c>
      <c r="QQ64" s="9" t="n">
        <v>0</v>
      </c>
      <c r="QU64" s="10" t="n">
        <v>46076</v>
      </c>
      <c r="QW64" s="9" t="n">
        <v>0</v>
      </c>
      <c r="QY64" s="9" t="n">
        <v>0</v>
      </c>
      <c r="QZ64" s="9" t="n">
        <v>207.6</v>
      </c>
      <c r="RD64" s="10" t="n">
        <v>46076</v>
      </c>
      <c r="RF64" s="9" t="n">
        <v>0</v>
      </c>
      <c r="RH64" s="9" t="n">
        <v>0</v>
      </c>
      <c r="RI64" s="9" t="n">
        <v>197.04</v>
      </c>
      <c r="RM64" s="10" t="n">
        <v>46076</v>
      </c>
      <c r="RO64" s="9" t="n">
        <v>0</v>
      </c>
      <c r="RQ64" s="9" t="n">
        <v>0</v>
      </c>
      <c r="RR64" s="9" t="n">
        <v>46.8</v>
      </c>
      <c r="RV64" s="10" t="n">
        <v>46076</v>
      </c>
      <c r="RX64" s="9" t="n">
        <v>0</v>
      </c>
      <c r="RZ64" s="9" t="n">
        <v>0</v>
      </c>
      <c r="SA64" s="9" t="n">
        <v>0</v>
      </c>
      <c r="SE64" s="10" t="n">
        <v>46076</v>
      </c>
      <c r="SG64" s="9" t="n">
        <v>0</v>
      </c>
      <c r="SI64" s="9" t="n">
        <v>0</v>
      </c>
      <c r="SJ64" s="9" t="n">
        <v>0</v>
      </c>
      <c r="SN64" s="10" t="n">
        <v>46076</v>
      </c>
      <c r="SP64" s="9" t="n">
        <v>0</v>
      </c>
      <c r="SR64" s="9" t="n">
        <v>0</v>
      </c>
      <c r="SS64" s="9" t="n">
        <v>0</v>
      </c>
      <c r="SW64" s="10" t="n">
        <v>46076</v>
      </c>
      <c r="SY64" s="9" t="n">
        <v>0</v>
      </c>
      <c r="TA64" s="9" t="n">
        <v>0</v>
      </c>
      <c r="TB64" s="9" t="n">
        <v>0</v>
      </c>
      <c r="TF64" s="10" t="n">
        <v>46076</v>
      </c>
      <c r="TH64" s="9" t="n">
        <v>0</v>
      </c>
      <c r="TJ64" s="9" t="n">
        <v>0</v>
      </c>
      <c r="TK64" s="9" t="n">
        <v>0</v>
      </c>
      <c r="TO64" s="10" t="n">
        <v>46076</v>
      </c>
      <c r="TQ64" s="9" t="n">
        <v>0</v>
      </c>
      <c r="TS64" s="9" t="n">
        <v>0</v>
      </c>
      <c r="TT64" s="9" t="n">
        <v>0</v>
      </c>
      <c r="TX64" s="10" t="n">
        <v>46076</v>
      </c>
      <c r="TZ64" s="9" t="n">
        <v>0</v>
      </c>
      <c r="UB64" s="9" t="n">
        <v>0</v>
      </c>
      <c r="UC64" s="9" t="n">
        <v>0</v>
      </c>
      <c r="UG64" s="10" t="n">
        <v>46076</v>
      </c>
      <c r="UI64" s="9" t="n">
        <v>0</v>
      </c>
      <c r="UK64" s="9" t="n">
        <v>0</v>
      </c>
      <c r="UL64" s="9" t="n">
        <v>0</v>
      </c>
      <c r="UP64" s="10" t="n">
        <v>46076</v>
      </c>
      <c r="UR64" s="9" t="n">
        <v>0</v>
      </c>
      <c r="UT64" s="9" t="n">
        <v>0</v>
      </c>
      <c r="UU64" s="9" t="n">
        <v>0</v>
      </c>
      <c r="UY64" s="10" t="n">
        <v>46076</v>
      </c>
      <c r="VA64" s="9" t="n">
        <v>0</v>
      </c>
      <c r="VC64" s="9" t="n">
        <v>0</v>
      </c>
      <c r="VD64" s="9" t="n">
        <v>41.60000000000002</v>
      </c>
      <c r="VH64" s="10" t="n">
        <v>46076</v>
      </c>
      <c r="VJ64" s="9" t="n">
        <v>0</v>
      </c>
      <c r="VL64" s="9" t="n">
        <v>0</v>
      </c>
      <c r="VM64" s="9" t="n">
        <v>0</v>
      </c>
      <c r="VQ64" s="10" t="n">
        <v>46076</v>
      </c>
      <c r="VS64" s="9" t="n">
        <v>0</v>
      </c>
      <c r="VU64" s="9" t="n">
        <v>0</v>
      </c>
      <c r="VV64" s="9" t="n">
        <v>0</v>
      </c>
      <c r="VZ64" s="10" t="n">
        <v>46076</v>
      </c>
      <c r="WB64" s="9" t="n">
        <v>0</v>
      </c>
      <c r="WD64" s="9" t="n">
        <v>0</v>
      </c>
      <c r="WE64" s="9" t="n">
        <v>0</v>
      </c>
      <c r="WI64" s="10" t="n">
        <v>46076</v>
      </c>
      <c r="WK64" s="9" t="n">
        <v>0</v>
      </c>
      <c r="WM64" s="9" t="n">
        <v>0</v>
      </c>
      <c r="WN64" s="9" t="n">
        <v>7912</v>
      </c>
      <c r="WR64" s="10" t="n">
        <v>46076</v>
      </c>
      <c r="WT64" s="9" t="n">
        <v>0</v>
      </c>
      <c r="WV64" s="9" t="n">
        <v>0</v>
      </c>
      <c r="WW64" s="9" t="n">
        <v>6559</v>
      </c>
      <c r="XA64" s="10" t="n">
        <v>46076</v>
      </c>
      <c r="XC64" s="9" t="n">
        <v>0</v>
      </c>
      <c r="XE64" s="9" t="n">
        <v>0</v>
      </c>
      <c r="XF64" s="9" t="n">
        <v>590</v>
      </c>
      <c r="XJ64" s="10" t="n">
        <v>46076</v>
      </c>
      <c r="XL64" s="9" t="n">
        <v>0</v>
      </c>
      <c r="XM64" s="9" t="n">
        <v>522</v>
      </c>
      <c r="XN64" s="9" t="n">
        <v>-522</v>
      </c>
      <c r="XO64" s="9" t="n">
        <v>5287</v>
      </c>
      <c r="XS64" s="10" t="n">
        <v>46076</v>
      </c>
      <c r="XU64" s="9" t="n">
        <v>0</v>
      </c>
      <c r="XW64" s="9" t="n">
        <v>0</v>
      </c>
      <c r="XX64" s="9" t="n">
        <v>1901</v>
      </c>
      <c r="YB64" s="10" t="n">
        <v>46076</v>
      </c>
      <c r="YD64" s="9" t="n">
        <v>0</v>
      </c>
      <c r="YF64" s="9" t="n">
        <v>0</v>
      </c>
      <c r="YG64" s="9" t="n">
        <v>-707</v>
      </c>
      <c r="YK64" s="10" t="n">
        <v>46076</v>
      </c>
      <c r="YM64" s="9" t="n">
        <v>0</v>
      </c>
      <c r="YO64" s="9" t="n">
        <v>0</v>
      </c>
      <c r="YP64" s="9" t="n">
        <v>0</v>
      </c>
      <c r="YT64" s="10" t="n">
        <v>46076</v>
      </c>
      <c r="YV64" s="9" t="n">
        <v>0</v>
      </c>
      <c r="YX64" s="9" t="n">
        <v>0</v>
      </c>
      <c r="YY64" s="9" t="n">
        <v>0</v>
      </c>
      <c r="ZC64" s="10" t="n">
        <v>46076</v>
      </c>
      <c r="ZE64" s="9" t="n">
        <v>0</v>
      </c>
      <c r="ZG64" s="9" t="n">
        <v>0</v>
      </c>
      <c r="ZH64" s="9" t="n">
        <v>0</v>
      </c>
      <c r="ZL64" s="10" t="n">
        <v>46076</v>
      </c>
      <c r="ZN64" s="9" t="n">
        <v>0</v>
      </c>
      <c r="ZP64" s="9" t="n">
        <v>0</v>
      </c>
      <c r="ZQ64" s="9" t="n">
        <v>0</v>
      </c>
      <c r="ZU64" s="10" t="n">
        <v>46076</v>
      </c>
      <c r="ZW64" s="9" t="n">
        <v>0</v>
      </c>
      <c r="ZY64" s="9" t="n">
        <v>0</v>
      </c>
      <c r="ZZ64" s="9" t="n">
        <v>0</v>
      </c>
      <c r="AAD64" s="10" t="n">
        <v>46076</v>
      </c>
      <c r="AAF64" s="9" t="n">
        <v>0</v>
      </c>
      <c r="AAH64" s="9" t="n">
        <v>0</v>
      </c>
      <c r="AAI64" s="9" t="n">
        <v>0</v>
      </c>
      <c r="AAM64" s="10" t="n">
        <v>46076</v>
      </c>
      <c r="AAO64" s="9" t="n">
        <v>0</v>
      </c>
      <c r="AAQ64" s="9" t="n">
        <v>0</v>
      </c>
      <c r="AAR64" s="9" t="n">
        <v>0</v>
      </c>
      <c r="AAV64" s="10" t="n">
        <v>46076</v>
      </c>
      <c r="AAX64" s="9" t="n">
        <v>0</v>
      </c>
      <c r="AAZ64" s="9" t="n">
        <v>0</v>
      </c>
      <c r="ABA64" s="9" t="n">
        <v>0</v>
      </c>
      <c r="ABE64" s="10" t="n">
        <v>46076</v>
      </c>
      <c r="ABG64" s="9" t="n">
        <v>0</v>
      </c>
      <c r="ABI64" s="9" t="n">
        <v>0</v>
      </c>
      <c r="ABJ64" s="9" t="n">
        <v>0</v>
      </c>
    </row>
    <row r="65">
      <c r="B65" s="9" t="n">
        <v>76</v>
      </c>
      <c r="C65" s="10" t="n">
        <v>46077</v>
      </c>
      <c r="E65" s="9" t="n">
        <v>40629.59999999999</v>
      </c>
      <c r="F65" s="9" t="n">
        <v>40628.2</v>
      </c>
      <c r="G65" s="9" t="n">
        <v>1.399999999994179</v>
      </c>
      <c r="H65" s="9" t="n">
        <v>69888.60000000001</v>
      </c>
      <c r="I65" s="9" t="inlineStr">
        <is>
          <t>123 76mt</t>
        </is>
      </c>
      <c r="L65" s="10" t="n">
        <v>46077</v>
      </c>
      <c r="N65" s="9" t="n">
        <v>13034</v>
      </c>
      <c r="O65" s="9" t="n">
        <v>13031.6</v>
      </c>
      <c r="P65" s="9" t="n">
        <v>2.399999999999636</v>
      </c>
      <c r="Q65" s="9" t="n">
        <v>31947.80000000003</v>
      </c>
      <c r="U65" s="10" t="n">
        <v>46077</v>
      </c>
      <c r="W65" s="9" t="n">
        <v>6460</v>
      </c>
      <c r="X65" s="9" t="n">
        <v>6459.9</v>
      </c>
      <c r="Y65" s="9" t="n">
        <v>0.1000000000003638</v>
      </c>
      <c r="Z65" s="9" t="n">
        <v>23588.29999999997</v>
      </c>
      <c r="AD65" s="10" t="n">
        <v>46077</v>
      </c>
      <c r="AF65" s="9" t="n">
        <v>912</v>
      </c>
      <c r="AG65" s="9" t="n">
        <v>913.8</v>
      </c>
      <c r="AH65" s="9" t="n">
        <v>-1.799999999999955</v>
      </c>
      <c r="AI65" s="9" t="n">
        <v>37911.80000000002</v>
      </c>
      <c r="AM65" s="10" t="n">
        <v>46077</v>
      </c>
      <c r="AO65" s="9" t="n">
        <v>0</v>
      </c>
      <c r="AQ65" s="9" t="n">
        <v>0</v>
      </c>
      <c r="AR65" s="9" t="n">
        <v>0</v>
      </c>
      <c r="AV65" s="10" t="n">
        <v>46077</v>
      </c>
      <c r="AX65" s="9" t="n">
        <v>0</v>
      </c>
      <c r="AZ65" s="9" t="n">
        <v>0</v>
      </c>
      <c r="BA65" s="9" t="n">
        <v>48802.59999999998</v>
      </c>
      <c r="BE65" s="10" t="n">
        <v>46077</v>
      </c>
      <c r="BG65" s="9" t="n">
        <v>3420</v>
      </c>
      <c r="BH65" s="9" t="n">
        <v>3423.9</v>
      </c>
      <c r="BI65" s="9" t="n">
        <v>-3.900000000000091</v>
      </c>
      <c r="BJ65" s="9" t="n">
        <v>9347.400000000005</v>
      </c>
      <c r="BN65" s="10" t="n">
        <v>46077</v>
      </c>
      <c r="BO65" s="9" t="n">
        <v>1482</v>
      </c>
      <c r="BP65" s="9" t="n">
        <v>1482</v>
      </c>
      <c r="BQ65" s="9" t="n">
        <v>1482</v>
      </c>
      <c r="BR65" s="9" t="n">
        <v>0</v>
      </c>
      <c r="BS65" s="9" t="n">
        <v>0</v>
      </c>
      <c r="BW65" s="10" t="n">
        <v>46077</v>
      </c>
      <c r="BY65" s="9" t="n">
        <v>418.0000000000001</v>
      </c>
      <c r="BZ65" s="9" t="n">
        <v>141.5</v>
      </c>
      <c r="CA65" s="9" t="n">
        <v>276.5000000000001</v>
      </c>
      <c r="CB65" s="9" t="n">
        <v>790.4000000000001</v>
      </c>
      <c r="CF65" s="10" t="n">
        <v>46077</v>
      </c>
      <c r="CG65" s="9" t="n">
        <v>192.6</v>
      </c>
      <c r="CH65" s="9" t="n">
        <v>684.0000000000001</v>
      </c>
      <c r="CI65" s="9" t="n">
        <v>192.6</v>
      </c>
      <c r="CJ65" s="9" t="n">
        <v>491.4000000000001</v>
      </c>
      <c r="CK65" s="9" t="n">
        <v>0</v>
      </c>
      <c r="CO65" s="10" t="n">
        <v>46077</v>
      </c>
      <c r="CQ65" s="9" t="n">
        <v>0</v>
      </c>
      <c r="CS65" s="9" t="n">
        <v>0</v>
      </c>
      <c r="CT65" s="9" t="n">
        <v>0</v>
      </c>
      <c r="CX65" s="10" t="n">
        <v>46077</v>
      </c>
      <c r="CZ65" s="9" t="n">
        <v>3800</v>
      </c>
      <c r="DA65" s="9" t="n">
        <v>3801.1</v>
      </c>
      <c r="DB65" s="9" t="n">
        <v>-1.099999999999909</v>
      </c>
      <c r="DC65" s="9" t="n">
        <v>23143.6</v>
      </c>
      <c r="DG65" s="10" t="n">
        <v>46077</v>
      </c>
      <c r="DI65" s="9" t="n">
        <v>3040</v>
      </c>
      <c r="DJ65" s="9" t="n">
        <v>3040</v>
      </c>
      <c r="DK65" s="9" t="n">
        <v>0</v>
      </c>
      <c r="DL65" s="9" t="n">
        <v>2072.199999999997</v>
      </c>
      <c r="DP65" s="10" t="n">
        <v>46077</v>
      </c>
      <c r="DR65" s="9" t="n">
        <v>0</v>
      </c>
      <c r="DT65" s="9" t="n">
        <v>0</v>
      </c>
      <c r="DU65" s="9" t="n">
        <v>2300</v>
      </c>
      <c r="DY65" s="10" t="n">
        <v>46077</v>
      </c>
      <c r="EA65" s="9" t="n">
        <v>0</v>
      </c>
      <c r="EC65" s="9" t="n">
        <v>0</v>
      </c>
      <c r="ED65" s="9" t="n">
        <v>5696.8</v>
      </c>
      <c r="EH65" s="10" t="n">
        <v>46077</v>
      </c>
      <c r="EJ65" s="9" t="n">
        <v>0</v>
      </c>
      <c r="EL65" s="9" t="n">
        <v>0</v>
      </c>
      <c r="EM65" s="9" t="n">
        <v>0</v>
      </c>
      <c r="EQ65" s="10" t="n">
        <v>46077</v>
      </c>
      <c r="ES65" s="9" t="n">
        <v>0</v>
      </c>
      <c r="EU65" s="9" t="n">
        <v>0</v>
      </c>
      <c r="EV65" s="9" t="n">
        <v>0</v>
      </c>
      <c r="EZ65" s="10" t="n">
        <v>46077</v>
      </c>
      <c r="FB65" s="9" t="n">
        <v>0</v>
      </c>
      <c r="FD65" s="9" t="n">
        <v>0</v>
      </c>
      <c r="FE65" s="9" t="n">
        <v>0</v>
      </c>
      <c r="FI65" s="10" t="n">
        <v>46077</v>
      </c>
      <c r="FK65" s="9" t="n">
        <v>0</v>
      </c>
      <c r="FM65" s="9" t="n">
        <v>0</v>
      </c>
      <c r="FN65" s="9" t="n">
        <v>0</v>
      </c>
      <c r="FR65" s="10" t="n">
        <v>46077</v>
      </c>
      <c r="FT65" s="9" t="n">
        <v>0</v>
      </c>
      <c r="FU65" s="9" t="n">
        <v>280</v>
      </c>
      <c r="FV65" s="9" t="n">
        <v>-280</v>
      </c>
      <c r="FW65" s="9" t="n">
        <v>1620</v>
      </c>
      <c r="FX65" s="9" t="n">
        <v>14</v>
      </c>
      <c r="GA65" s="10" t="n">
        <v>46077</v>
      </c>
      <c r="GC65" s="9" t="n">
        <v>0</v>
      </c>
      <c r="GE65" s="9" t="n">
        <v>0</v>
      </c>
      <c r="GF65" s="9" t="n">
        <v>5960</v>
      </c>
      <c r="GJ65" s="10" t="n">
        <v>46077</v>
      </c>
      <c r="GL65" s="9" t="n">
        <v>0</v>
      </c>
      <c r="GN65" s="9" t="n">
        <v>0</v>
      </c>
      <c r="GO65" s="9" t="n">
        <v>5240</v>
      </c>
      <c r="GS65" s="10" t="n">
        <v>46077</v>
      </c>
      <c r="GU65" s="9" t="n">
        <v>0</v>
      </c>
      <c r="GW65" s="9" t="n">
        <v>0</v>
      </c>
      <c r="GX65" s="9" t="n">
        <v>0</v>
      </c>
      <c r="HB65" s="10" t="n">
        <v>46077</v>
      </c>
      <c r="HD65" s="9" t="n">
        <v>0</v>
      </c>
      <c r="HF65" s="9" t="n">
        <v>0</v>
      </c>
      <c r="HG65" s="9" t="n">
        <v>0</v>
      </c>
      <c r="HK65" s="10" t="n">
        <v>46077</v>
      </c>
      <c r="HM65" s="9" t="n">
        <v>0</v>
      </c>
      <c r="HO65" s="9" t="n">
        <v>0</v>
      </c>
      <c r="HP65" s="9" t="n">
        <v>0</v>
      </c>
      <c r="HU65" s="10" t="n">
        <v>46077</v>
      </c>
      <c r="HW65" s="9" t="n">
        <v>0</v>
      </c>
      <c r="HY65" s="9" t="n">
        <v>0</v>
      </c>
      <c r="HZ65" s="9" t="n">
        <v>5120</v>
      </c>
      <c r="ID65" s="10" t="n">
        <v>46077</v>
      </c>
      <c r="IF65" s="9" t="n">
        <v>0</v>
      </c>
      <c r="IH65" s="9" t="n">
        <v>0</v>
      </c>
      <c r="II65" s="9" t="n">
        <v>5100</v>
      </c>
      <c r="IM65" s="10" t="n">
        <v>46077</v>
      </c>
      <c r="IO65" s="9" t="n">
        <v>0</v>
      </c>
      <c r="IQ65" s="9" t="n">
        <v>0</v>
      </c>
      <c r="IR65" s="9" t="n">
        <v>10240</v>
      </c>
      <c r="IV65" s="10" t="n">
        <v>46077</v>
      </c>
      <c r="IX65" s="9" t="n">
        <v>0</v>
      </c>
      <c r="IZ65" s="9" t="n">
        <v>0</v>
      </c>
      <c r="JA65" s="9" t="n">
        <v>15120</v>
      </c>
      <c r="JE65" s="10" t="n">
        <v>46077</v>
      </c>
      <c r="JG65" s="9" t="n">
        <v>0</v>
      </c>
      <c r="JI65" s="9" t="n">
        <v>0</v>
      </c>
      <c r="JJ65" s="9" t="n">
        <v>3600</v>
      </c>
      <c r="JN65" s="10" t="n">
        <v>46077</v>
      </c>
      <c r="JP65" s="9" t="n">
        <v>0</v>
      </c>
      <c r="JR65" s="9" t="n">
        <v>0</v>
      </c>
      <c r="JS65" s="9" t="n">
        <v>5400</v>
      </c>
      <c r="JW65" s="10" t="n">
        <v>46077</v>
      </c>
      <c r="JY65" s="9" t="n">
        <v>0</v>
      </c>
      <c r="KA65" s="9" t="n">
        <v>0</v>
      </c>
      <c r="KB65" s="9" t="n">
        <v>4000</v>
      </c>
      <c r="KF65" s="10" t="n">
        <v>46077</v>
      </c>
      <c r="KH65" s="9" t="n">
        <v>0</v>
      </c>
      <c r="KJ65" s="9" t="n">
        <v>0</v>
      </c>
      <c r="KK65" s="9" t="n">
        <v>1287</v>
      </c>
      <c r="KO65" s="10" t="n">
        <v>46077</v>
      </c>
      <c r="KQ65" s="9" t="n">
        <v>1436.4</v>
      </c>
      <c r="KR65" s="9" t="n">
        <v>378</v>
      </c>
      <c r="KS65" s="9" t="n">
        <v>1058.4</v>
      </c>
      <c r="KT65" s="9" t="n">
        <v>10281.6</v>
      </c>
      <c r="KX65" s="10" t="n">
        <v>46077</v>
      </c>
      <c r="KZ65" s="9" t="n">
        <v>0</v>
      </c>
      <c r="LB65" s="9" t="n">
        <v>0</v>
      </c>
      <c r="LC65" s="9" t="n">
        <v>0</v>
      </c>
      <c r="LG65" s="10" t="n">
        <v>46077</v>
      </c>
      <c r="LI65" s="9" t="n">
        <v>0</v>
      </c>
      <c r="LK65" s="9" t="n">
        <v>0</v>
      </c>
      <c r="LL65" s="9" t="n">
        <v>0</v>
      </c>
      <c r="LP65" s="10" t="n">
        <v>46077</v>
      </c>
      <c r="LR65" s="9" t="n">
        <v>0</v>
      </c>
      <c r="LT65" s="9" t="n">
        <v>0</v>
      </c>
      <c r="LU65" s="9" t="n">
        <v>0</v>
      </c>
      <c r="LY65" s="10" t="n">
        <v>46077</v>
      </c>
      <c r="MA65" s="9" t="n">
        <v>0</v>
      </c>
      <c r="MC65" s="9" t="n">
        <v>0</v>
      </c>
      <c r="MD65" s="9" t="n">
        <v>0</v>
      </c>
      <c r="MH65" s="10" t="n">
        <v>46077</v>
      </c>
      <c r="MJ65" s="9" t="n">
        <v>0</v>
      </c>
      <c r="ML65" s="9" t="n">
        <v>0</v>
      </c>
      <c r="MM65" s="9" t="n">
        <v>0</v>
      </c>
      <c r="MQ65" s="10" t="n">
        <v>46077</v>
      </c>
      <c r="MS65" s="9" t="n">
        <v>152</v>
      </c>
      <c r="MT65" s="9" t="n">
        <v>47</v>
      </c>
      <c r="MU65" s="9" t="n">
        <v>105</v>
      </c>
      <c r="MV65" s="9" t="n">
        <v>4323</v>
      </c>
      <c r="MZ65" s="10" t="n">
        <v>46077</v>
      </c>
      <c r="NA65" s="9" t="n">
        <v>60</v>
      </c>
      <c r="NB65" s="9" t="n">
        <v>228</v>
      </c>
      <c r="NC65" s="9" t="n">
        <v>60</v>
      </c>
      <c r="ND65" s="9" t="n">
        <v>168</v>
      </c>
      <c r="NE65" s="9" t="n">
        <v>0</v>
      </c>
      <c r="NI65" s="10" t="n">
        <v>46077</v>
      </c>
      <c r="NK65" s="9" t="n">
        <v>0</v>
      </c>
      <c r="NM65" s="9" t="n">
        <v>0</v>
      </c>
      <c r="NN65" s="9" t="n">
        <v>0</v>
      </c>
      <c r="NR65" s="10" t="n">
        <v>46077</v>
      </c>
      <c r="NT65" s="9" t="n">
        <v>91.2</v>
      </c>
      <c r="NU65" s="9" t="n">
        <v>24</v>
      </c>
      <c r="NV65" s="9" t="n">
        <v>67.2</v>
      </c>
      <c r="NW65" s="9" t="n">
        <v>2286</v>
      </c>
      <c r="OA65" s="10" t="n">
        <v>46077</v>
      </c>
      <c r="OC65" s="9" t="n">
        <v>0</v>
      </c>
      <c r="OE65" s="9" t="n">
        <v>0</v>
      </c>
      <c r="OF65" s="9" t="n">
        <v>1680.5</v>
      </c>
      <c r="OJ65" s="10" t="n">
        <v>46077</v>
      </c>
      <c r="OK65" s="9" t="n">
        <v>56</v>
      </c>
      <c r="OL65" s="9" t="n">
        <v>212.8</v>
      </c>
      <c r="OM65" s="9" t="n">
        <v>56</v>
      </c>
      <c r="ON65" s="9" t="n">
        <v>156.8</v>
      </c>
      <c r="OO65" s="9" t="n">
        <v>0</v>
      </c>
      <c r="OS65" s="10" t="n">
        <v>46077</v>
      </c>
      <c r="OU65" s="9" t="n">
        <v>0</v>
      </c>
      <c r="OW65" s="9" t="n">
        <v>0</v>
      </c>
      <c r="OX65" s="9" t="n">
        <v>0</v>
      </c>
      <c r="PB65" s="10" t="n">
        <v>46077</v>
      </c>
      <c r="PD65" s="9" t="n">
        <v>0</v>
      </c>
      <c r="PF65" s="9" t="n">
        <v>0</v>
      </c>
      <c r="PG65" s="9" t="n">
        <v>0</v>
      </c>
      <c r="PK65" s="10" t="n">
        <v>46077</v>
      </c>
      <c r="PM65" s="9" t="n">
        <v>0</v>
      </c>
      <c r="PO65" s="9" t="n">
        <v>0</v>
      </c>
      <c r="PP65" s="9" t="n">
        <v>160</v>
      </c>
      <c r="PT65" s="10" t="n">
        <v>46077</v>
      </c>
      <c r="PV65" s="9" t="n">
        <v>0</v>
      </c>
      <c r="PX65" s="9" t="n">
        <v>0</v>
      </c>
      <c r="PY65" s="9" t="n">
        <v>13.96000000000004</v>
      </c>
      <c r="QC65" s="10" t="n">
        <v>46077</v>
      </c>
      <c r="QE65" s="9" t="n">
        <v>0</v>
      </c>
      <c r="QG65" s="9" t="n">
        <v>0</v>
      </c>
      <c r="QH65" s="9" t="n">
        <v>0</v>
      </c>
      <c r="QL65" s="10" t="n">
        <v>46077</v>
      </c>
      <c r="QN65" s="9" t="n">
        <v>0</v>
      </c>
      <c r="QP65" s="9" t="n">
        <v>0</v>
      </c>
      <c r="QQ65" s="9" t="n">
        <v>0</v>
      </c>
      <c r="QU65" s="10" t="n">
        <v>46077</v>
      </c>
      <c r="QW65" s="9" t="n">
        <v>0</v>
      </c>
      <c r="QY65" s="9" t="n">
        <v>0</v>
      </c>
      <c r="QZ65" s="9" t="n">
        <v>207.6</v>
      </c>
      <c r="RD65" s="10" t="n">
        <v>46077</v>
      </c>
      <c r="RF65" s="9" t="n">
        <v>0</v>
      </c>
      <c r="RH65" s="9" t="n">
        <v>0</v>
      </c>
      <c r="RI65" s="9" t="n">
        <v>197.04</v>
      </c>
      <c r="RM65" s="10" t="n">
        <v>46077</v>
      </c>
      <c r="RO65" s="9" t="n">
        <v>0</v>
      </c>
      <c r="RQ65" s="9" t="n">
        <v>0</v>
      </c>
      <c r="RR65" s="9" t="n">
        <v>46.8</v>
      </c>
      <c r="RV65" s="10" t="n">
        <v>46077</v>
      </c>
      <c r="RX65" s="9" t="n">
        <v>0</v>
      </c>
      <c r="RZ65" s="9" t="n">
        <v>0</v>
      </c>
      <c r="SA65" s="9" t="n">
        <v>0</v>
      </c>
      <c r="SE65" s="10" t="n">
        <v>46077</v>
      </c>
      <c r="SG65" s="9" t="n">
        <v>0</v>
      </c>
      <c r="SI65" s="9" t="n">
        <v>0</v>
      </c>
      <c r="SJ65" s="9" t="n">
        <v>0</v>
      </c>
      <c r="SN65" s="10" t="n">
        <v>46077</v>
      </c>
      <c r="SP65" s="9" t="n">
        <v>0</v>
      </c>
      <c r="SR65" s="9" t="n">
        <v>0</v>
      </c>
      <c r="SS65" s="9" t="n">
        <v>0</v>
      </c>
      <c r="SW65" s="10" t="n">
        <v>46077</v>
      </c>
      <c r="SY65" s="9" t="n">
        <v>0</v>
      </c>
      <c r="TA65" s="9" t="n">
        <v>0</v>
      </c>
      <c r="TB65" s="9" t="n">
        <v>0</v>
      </c>
      <c r="TF65" s="10" t="n">
        <v>46077</v>
      </c>
      <c r="TH65" s="9" t="n">
        <v>0</v>
      </c>
      <c r="TJ65" s="9" t="n">
        <v>0</v>
      </c>
      <c r="TK65" s="9" t="n">
        <v>0</v>
      </c>
      <c r="TO65" s="10" t="n">
        <v>46077</v>
      </c>
      <c r="TQ65" s="9" t="n">
        <v>0</v>
      </c>
      <c r="TS65" s="9" t="n">
        <v>0</v>
      </c>
      <c r="TT65" s="9" t="n">
        <v>0</v>
      </c>
      <c r="TX65" s="10" t="n">
        <v>46077</v>
      </c>
      <c r="TZ65" s="9" t="n">
        <v>0</v>
      </c>
      <c r="UB65" s="9" t="n">
        <v>0</v>
      </c>
      <c r="UC65" s="9" t="n">
        <v>0</v>
      </c>
      <c r="UG65" s="10" t="n">
        <v>46077</v>
      </c>
      <c r="UI65" s="9" t="n">
        <v>0</v>
      </c>
      <c r="UK65" s="9" t="n">
        <v>0</v>
      </c>
      <c r="UL65" s="9" t="n">
        <v>0</v>
      </c>
      <c r="UP65" s="10" t="n">
        <v>46077</v>
      </c>
      <c r="UR65" s="9" t="n">
        <v>0</v>
      </c>
      <c r="UT65" s="9" t="n">
        <v>0</v>
      </c>
      <c r="UU65" s="9" t="n">
        <v>0</v>
      </c>
      <c r="UY65" s="10" t="n">
        <v>46077</v>
      </c>
      <c r="VA65" s="9" t="n">
        <v>0</v>
      </c>
      <c r="VC65" s="9" t="n">
        <v>0</v>
      </c>
      <c r="VD65" s="9" t="n">
        <v>41.60000000000002</v>
      </c>
      <c r="VH65" s="10" t="n">
        <v>46077</v>
      </c>
      <c r="VJ65" s="9" t="n">
        <v>0</v>
      </c>
      <c r="VL65" s="9" t="n">
        <v>0</v>
      </c>
      <c r="VM65" s="9" t="n">
        <v>0</v>
      </c>
      <c r="VQ65" s="10" t="n">
        <v>46077</v>
      </c>
      <c r="VS65" s="9" t="n">
        <v>0</v>
      </c>
      <c r="VU65" s="9" t="n">
        <v>0</v>
      </c>
      <c r="VV65" s="9" t="n">
        <v>0</v>
      </c>
      <c r="VZ65" s="10" t="n">
        <v>46077</v>
      </c>
      <c r="WB65" s="9" t="n">
        <v>0</v>
      </c>
      <c r="WD65" s="9" t="n">
        <v>0</v>
      </c>
      <c r="WE65" s="9" t="n">
        <v>0</v>
      </c>
      <c r="WI65" s="10" t="n">
        <v>46077</v>
      </c>
      <c r="WK65" s="9" t="n">
        <v>0</v>
      </c>
      <c r="WM65" s="9" t="n">
        <v>0</v>
      </c>
      <c r="WN65" s="9" t="n">
        <v>7912</v>
      </c>
      <c r="WR65" s="10" t="n">
        <v>46077</v>
      </c>
      <c r="WT65" s="9" t="n">
        <v>0</v>
      </c>
      <c r="WV65" s="9" t="n">
        <v>0</v>
      </c>
      <c r="WW65" s="9" t="n">
        <v>6559</v>
      </c>
      <c r="XA65" s="10" t="n">
        <v>46077</v>
      </c>
      <c r="XC65" s="9" t="n">
        <v>0</v>
      </c>
      <c r="XE65" s="9" t="n">
        <v>0</v>
      </c>
      <c r="XF65" s="9" t="n">
        <v>590</v>
      </c>
      <c r="XJ65" s="10" t="n">
        <v>46077</v>
      </c>
      <c r="XL65" s="9" t="n">
        <v>0</v>
      </c>
      <c r="XM65" s="9" t="n">
        <v>1532</v>
      </c>
      <c r="XN65" s="9" t="n">
        <v>-1532</v>
      </c>
      <c r="XO65" s="9" t="n">
        <v>3755</v>
      </c>
      <c r="XS65" s="10" t="n">
        <v>46077</v>
      </c>
      <c r="XU65" s="9" t="n">
        <v>0</v>
      </c>
      <c r="XW65" s="9" t="n">
        <v>0</v>
      </c>
      <c r="XX65" s="9" t="n">
        <v>1901</v>
      </c>
      <c r="YB65" s="10" t="n">
        <v>46077</v>
      </c>
      <c r="YD65" s="9" t="n">
        <v>0</v>
      </c>
      <c r="YF65" s="9" t="n">
        <v>0</v>
      </c>
      <c r="YG65" s="9" t="n">
        <v>-707</v>
      </c>
      <c r="YK65" s="10" t="n">
        <v>46077</v>
      </c>
      <c r="YM65" s="9" t="n">
        <v>0</v>
      </c>
      <c r="YO65" s="9" t="n">
        <v>0</v>
      </c>
      <c r="YP65" s="9" t="n">
        <v>0</v>
      </c>
      <c r="YT65" s="10" t="n">
        <v>46077</v>
      </c>
      <c r="YV65" s="9" t="n">
        <v>0</v>
      </c>
      <c r="YX65" s="9" t="n">
        <v>0</v>
      </c>
      <c r="YY65" s="9" t="n">
        <v>0</v>
      </c>
      <c r="ZC65" s="10" t="n">
        <v>46077</v>
      </c>
      <c r="ZE65" s="9" t="n">
        <v>0</v>
      </c>
      <c r="ZG65" s="9" t="n">
        <v>0</v>
      </c>
      <c r="ZH65" s="9" t="n">
        <v>0</v>
      </c>
      <c r="ZL65" s="10" t="n">
        <v>46077</v>
      </c>
      <c r="ZN65" s="9" t="n">
        <v>0</v>
      </c>
      <c r="ZP65" s="9" t="n">
        <v>0</v>
      </c>
      <c r="ZQ65" s="9" t="n">
        <v>0</v>
      </c>
      <c r="ZU65" s="10" t="n">
        <v>46077</v>
      </c>
      <c r="ZW65" s="9" t="n">
        <v>0</v>
      </c>
      <c r="ZY65" s="9" t="n">
        <v>0</v>
      </c>
      <c r="ZZ65" s="9" t="n">
        <v>0</v>
      </c>
      <c r="AAD65" s="10" t="n">
        <v>46077</v>
      </c>
      <c r="AAF65" s="9" t="n">
        <v>0</v>
      </c>
      <c r="AAH65" s="9" t="n">
        <v>0</v>
      </c>
      <c r="AAI65" s="9" t="n">
        <v>0</v>
      </c>
      <c r="AAM65" s="10" t="n">
        <v>46077</v>
      </c>
      <c r="AAO65" s="9" t="n">
        <v>0</v>
      </c>
      <c r="AAQ65" s="9" t="n">
        <v>0</v>
      </c>
      <c r="AAR65" s="9" t="n">
        <v>0</v>
      </c>
      <c r="AAV65" s="10" t="n">
        <v>46077</v>
      </c>
      <c r="AAX65" s="9" t="n">
        <v>0</v>
      </c>
      <c r="AAZ65" s="9" t="n">
        <v>0</v>
      </c>
      <c r="ABA65" s="9" t="n">
        <v>0</v>
      </c>
      <c r="ABE65" s="10" t="n">
        <v>46077</v>
      </c>
      <c r="ABG65" s="9" t="n">
        <v>0</v>
      </c>
      <c r="ABI65" s="9" t="n">
        <v>0</v>
      </c>
      <c r="ABJ65" s="9" t="n">
        <v>0</v>
      </c>
    </row>
    <row r="66">
      <c r="B66" s="9" t="n">
        <v>32</v>
      </c>
      <c r="C66" s="10" t="n">
        <v>46078</v>
      </c>
      <c r="E66" s="9" t="n">
        <v>16515.7</v>
      </c>
      <c r="F66" s="9" t="n">
        <v>16513.8</v>
      </c>
      <c r="G66" s="9" t="n">
        <v>1.900000000001455</v>
      </c>
      <c r="H66" s="9" t="n">
        <v>53374.8</v>
      </c>
      <c r="I66" s="9" t="inlineStr">
        <is>
          <t>122 18mt, 1101 14mt</t>
        </is>
      </c>
      <c r="L66" s="10" t="n">
        <v>46078</v>
      </c>
      <c r="N66" s="9" t="n">
        <v>8257.5</v>
      </c>
      <c r="O66" s="9" t="n">
        <v>8256.799999999999</v>
      </c>
      <c r="P66" s="9" t="n">
        <v>0.7000000000007276</v>
      </c>
      <c r="Q66" s="9" t="n">
        <v>23691.00000000003</v>
      </c>
      <c r="U66" s="10" t="n">
        <v>46078</v>
      </c>
      <c r="W66" s="9" t="n">
        <v>1853</v>
      </c>
      <c r="X66" s="9" t="n">
        <v>1853.9</v>
      </c>
      <c r="Y66" s="9" t="n">
        <v>-0.9000000000003183</v>
      </c>
      <c r="Z66" s="9" t="n">
        <v>21734.39999999997</v>
      </c>
      <c r="AD66" s="10" t="n">
        <v>46078</v>
      </c>
      <c r="AF66" s="9" t="n">
        <v>934</v>
      </c>
      <c r="AG66" s="9" t="n">
        <v>934.3</v>
      </c>
      <c r="AH66" s="9" t="n">
        <v>-0.2999999999999545</v>
      </c>
      <c r="AI66" s="9" t="n">
        <v>36977.50000000001</v>
      </c>
      <c r="AM66" s="10" t="n">
        <v>46078</v>
      </c>
      <c r="AO66" s="9" t="n">
        <v>0</v>
      </c>
      <c r="AQ66" s="9" t="n">
        <v>0</v>
      </c>
      <c r="AR66" s="9" t="n">
        <v>0</v>
      </c>
      <c r="AV66" s="10" t="n">
        <v>46078</v>
      </c>
      <c r="AX66" s="9" t="n">
        <v>280</v>
      </c>
      <c r="AY66" s="9" t="n">
        <v>280</v>
      </c>
      <c r="AZ66" s="9" t="n">
        <v>0</v>
      </c>
      <c r="BA66" s="9" t="n">
        <v>48522.59999999998</v>
      </c>
      <c r="BE66" s="10" t="n">
        <v>46078</v>
      </c>
      <c r="BG66" s="9" t="n">
        <v>756</v>
      </c>
      <c r="BH66" s="9" t="n">
        <v>753.2</v>
      </c>
      <c r="BI66" s="9" t="n">
        <v>2.799999999999955</v>
      </c>
      <c r="BJ66" s="9" t="n">
        <v>8594.200000000004</v>
      </c>
      <c r="BN66" s="10" t="n">
        <v>46078</v>
      </c>
      <c r="BO66" s="9" t="n">
        <v>640</v>
      </c>
      <c r="BP66" s="9" t="n">
        <v>640</v>
      </c>
      <c r="BQ66" s="9" t="n">
        <v>640</v>
      </c>
      <c r="BR66" s="9" t="n">
        <v>0</v>
      </c>
      <c r="BS66" s="9" t="n">
        <v>0</v>
      </c>
      <c r="BW66" s="10" t="n">
        <v>46078</v>
      </c>
      <c r="BY66" s="9" t="n">
        <v>151.2</v>
      </c>
      <c r="CA66" s="9" t="n">
        <v>151.2</v>
      </c>
      <c r="CB66" s="9" t="n">
        <v>790.4000000000001</v>
      </c>
      <c r="CF66" s="10" t="n">
        <v>46078</v>
      </c>
      <c r="CH66" s="9" t="n">
        <v>192.6</v>
      </c>
      <c r="CJ66" s="9" t="n">
        <v>192.6</v>
      </c>
      <c r="CK66" s="9" t="n">
        <v>0</v>
      </c>
      <c r="CO66" s="10" t="n">
        <v>46078</v>
      </c>
      <c r="CQ66" s="9" t="n">
        <v>0</v>
      </c>
      <c r="CS66" s="9" t="n">
        <v>0</v>
      </c>
      <c r="CT66" s="9" t="n">
        <v>0</v>
      </c>
      <c r="CX66" s="10" t="n">
        <v>46078</v>
      </c>
      <c r="CZ66" s="9" t="n">
        <v>900</v>
      </c>
      <c r="DA66" s="9" t="n">
        <v>900.8</v>
      </c>
      <c r="DB66" s="9" t="n">
        <v>-0.7999999999999545</v>
      </c>
      <c r="DC66" s="9" t="n">
        <v>22242.8</v>
      </c>
      <c r="DG66" s="10" t="n">
        <v>46078</v>
      </c>
      <c r="DI66" s="9" t="n">
        <v>720</v>
      </c>
      <c r="DJ66" s="9" t="n">
        <v>720.6</v>
      </c>
      <c r="DK66" s="9" t="n">
        <v>-0.6000000000000227</v>
      </c>
      <c r="DL66" s="9" t="n">
        <v>1351.599999999997</v>
      </c>
      <c r="DP66" s="10" t="n">
        <v>46078</v>
      </c>
      <c r="DR66" s="9" t="n">
        <v>0</v>
      </c>
      <c r="DT66" s="9" t="n">
        <v>0</v>
      </c>
      <c r="DU66" s="9" t="n">
        <v>2300</v>
      </c>
      <c r="DY66" s="10" t="n">
        <v>46078</v>
      </c>
      <c r="EA66" s="9" t="n">
        <v>0</v>
      </c>
      <c r="EC66" s="9" t="n">
        <v>0</v>
      </c>
      <c r="ED66" s="9" t="n">
        <v>5696.8</v>
      </c>
      <c r="EH66" s="10" t="n">
        <v>46078</v>
      </c>
      <c r="EJ66" s="9" t="n">
        <v>0</v>
      </c>
      <c r="EL66" s="9" t="n">
        <v>0</v>
      </c>
      <c r="EM66" s="9" t="n">
        <v>0</v>
      </c>
      <c r="EQ66" s="10" t="n">
        <v>46078</v>
      </c>
      <c r="ES66" s="9" t="n">
        <v>0</v>
      </c>
      <c r="EU66" s="9" t="n">
        <v>0</v>
      </c>
      <c r="EV66" s="9" t="n">
        <v>0</v>
      </c>
      <c r="EZ66" s="10" t="n">
        <v>46078</v>
      </c>
      <c r="FB66" s="9" t="n">
        <v>0</v>
      </c>
      <c r="FD66" s="9" t="n">
        <v>0</v>
      </c>
      <c r="FE66" s="9" t="n">
        <v>0</v>
      </c>
      <c r="FI66" s="10" t="n">
        <v>46078</v>
      </c>
      <c r="FK66" s="9" t="n">
        <v>0</v>
      </c>
      <c r="FM66" s="9" t="n">
        <v>0</v>
      </c>
      <c r="FN66" s="9" t="n">
        <v>0</v>
      </c>
      <c r="FR66" s="10" t="n">
        <v>46078</v>
      </c>
      <c r="FT66" s="9" t="n">
        <v>280</v>
      </c>
      <c r="FV66" s="9" t="n">
        <v>280</v>
      </c>
      <c r="FW66" s="9" t="n">
        <v>1620</v>
      </c>
      <c r="GA66" s="10" t="n">
        <v>46078</v>
      </c>
      <c r="GC66" s="9" t="n">
        <v>0</v>
      </c>
      <c r="GE66" s="9" t="n">
        <v>0</v>
      </c>
      <c r="GF66" s="9" t="n">
        <v>5960</v>
      </c>
      <c r="GJ66" s="10" t="n">
        <v>46078</v>
      </c>
      <c r="GL66" s="9" t="n">
        <v>0</v>
      </c>
      <c r="GN66" s="9" t="n">
        <v>0</v>
      </c>
      <c r="GO66" s="9" t="n">
        <v>5240</v>
      </c>
      <c r="GS66" s="10" t="n">
        <v>46078</v>
      </c>
      <c r="GU66" s="9" t="n">
        <v>0</v>
      </c>
      <c r="GW66" s="9" t="n">
        <v>0</v>
      </c>
      <c r="GX66" s="9" t="n">
        <v>0</v>
      </c>
      <c r="HB66" s="10" t="n">
        <v>46078</v>
      </c>
      <c r="HD66" s="9" t="n">
        <v>0</v>
      </c>
      <c r="HF66" s="9" t="n">
        <v>0</v>
      </c>
      <c r="HG66" s="9" t="n">
        <v>0</v>
      </c>
      <c r="HK66" s="10" t="n">
        <v>46078</v>
      </c>
      <c r="HM66" s="9" t="n">
        <v>0</v>
      </c>
      <c r="HO66" s="9" t="n">
        <v>0</v>
      </c>
      <c r="HP66" s="9" t="n">
        <v>0</v>
      </c>
      <c r="HU66" s="10" t="n">
        <v>46078</v>
      </c>
      <c r="HW66" s="9" t="n">
        <v>0</v>
      </c>
      <c r="HY66" s="9" t="n">
        <v>0</v>
      </c>
      <c r="HZ66" s="9" t="n">
        <v>5120</v>
      </c>
      <c r="ID66" s="10" t="n">
        <v>46078</v>
      </c>
      <c r="IF66" s="9" t="n">
        <v>0</v>
      </c>
      <c r="IH66" s="9" t="n">
        <v>0</v>
      </c>
      <c r="II66" s="9" t="n">
        <v>5100</v>
      </c>
      <c r="IM66" s="10" t="n">
        <v>46078</v>
      </c>
      <c r="IO66" s="9" t="n">
        <v>0</v>
      </c>
      <c r="IQ66" s="9" t="n">
        <v>0</v>
      </c>
      <c r="IR66" s="9" t="n">
        <v>10240</v>
      </c>
      <c r="IV66" s="10" t="n">
        <v>46078</v>
      </c>
      <c r="IX66" s="9" t="n">
        <v>0</v>
      </c>
      <c r="IZ66" s="9" t="n">
        <v>0</v>
      </c>
      <c r="JA66" s="9" t="n">
        <v>15120</v>
      </c>
      <c r="JE66" s="10" t="n">
        <v>46078</v>
      </c>
      <c r="JG66" s="9" t="n">
        <v>0</v>
      </c>
      <c r="JI66" s="9" t="n">
        <v>0</v>
      </c>
      <c r="JJ66" s="9" t="n">
        <v>3600</v>
      </c>
      <c r="JN66" s="10" t="n">
        <v>46078</v>
      </c>
      <c r="JP66" s="9" t="n">
        <v>0</v>
      </c>
      <c r="JR66" s="9" t="n">
        <v>0</v>
      </c>
      <c r="JS66" s="9" t="n">
        <v>5400</v>
      </c>
      <c r="JW66" s="10" t="n">
        <v>46078</v>
      </c>
      <c r="JY66" s="9" t="n">
        <v>0</v>
      </c>
      <c r="KA66" s="9" t="n">
        <v>0</v>
      </c>
      <c r="KB66" s="9" t="n">
        <v>4000</v>
      </c>
      <c r="KF66" s="10" t="n">
        <v>46078</v>
      </c>
      <c r="KH66" s="9" t="n">
        <v>351</v>
      </c>
      <c r="KJ66" s="9" t="n">
        <v>351</v>
      </c>
      <c r="KK66" s="9" t="n">
        <v>1287</v>
      </c>
      <c r="KO66" s="10" t="n">
        <v>46078</v>
      </c>
      <c r="KQ66" s="9" t="n">
        <v>0</v>
      </c>
      <c r="KS66" s="9" t="n">
        <v>0</v>
      </c>
      <c r="KT66" s="9" t="n">
        <v>10281.6</v>
      </c>
      <c r="KX66" s="10" t="n">
        <v>46078</v>
      </c>
      <c r="KZ66" s="9" t="n">
        <v>0</v>
      </c>
      <c r="LB66" s="9" t="n">
        <v>0</v>
      </c>
      <c r="LC66" s="9" t="n">
        <v>0</v>
      </c>
      <c r="LG66" s="10" t="n">
        <v>46078</v>
      </c>
      <c r="LI66" s="9" t="n">
        <v>0</v>
      </c>
      <c r="LK66" s="9" t="n">
        <v>0</v>
      </c>
      <c r="LL66" s="9" t="n">
        <v>0</v>
      </c>
      <c r="LP66" s="10" t="n">
        <v>46078</v>
      </c>
      <c r="LR66" s="9" t="n">
        <v>0</v>
      </c>
      <c r="LT66" s="9" t="n">
        <v>0</v>
      </c>
      <c r="LU66" s="9" t="n">
        <v>0</v>
      </c>
      <c r="LY66" s="10" t="n">
        <v>46078</v>
      </c>
      <c r="MA66" s="9" t="n">
        <v>0</v>
      </c>
      <c r="MC66" s="9" t="n">
        <v>0</v>
      </c>
      <c r="MD66" s="9" t="n">
        <v>0</v>
      </c>
      <c r="MH66" s="10" t="n">
        <v>46078</v>
      </c>
      <c r="MJ66" s="9" t="n">
        <v>0</v>
      </c>
      <c r="ML66" s="9" t="n">
        <v>0</v>
      </c>
      <c r="MM66" s="9" t="n">
        <v>0</v>
      </c>
      <c r="MQ66" s="10" t="n">
        <v>46078</v>
      </c>
      <c r="MS66" s="9" t="n">
        <v>43</v>
      </c>
      <c r="MU66" s="9" t="n">
        <v>43</v>
      </c>
      <c r="MV66" s="9" t="n">
        <v>4323</v>
      </c>
      <c r="MZ66" s="10" t="n">
        <v>46078</v>
      </c>
      <c r="NB66" s="9" t="n">
        <v>54</v>
      </c>
      <c r="ND66" s="9" t="n">
        <v>54</v>
      </c>
      <c r="NE66" s="9" t="n">
        <v>0</v>
      </c>
      <c r="NI66" s="10" t="n">
        <v>46078</v>
      </c>
      <c r="NK66" s="9" t="n">
        <v>0</v>
      </c>
      <c r="NM66" s="9" t="n">
        <v>0</v>
      </c>
      <c r="NN66" s="9" t="n">
        <v>0</v>
      </c>
      <c r="NR66" s="10" t="n">
        <v>46078</v>
      </c>
      <c r="NT66" s="9" t="n">
        <v>21.6</v>
      </c>
      <c r="NV66" s="9" t="n">
        <v>21.6</v>
      </c>
      <c r="NW66" s="9" t="n">
        <v>2286</v>
      </c>
      <c r="OA66" s="10" t="n">
        <v>46078</v>
      </c>
      <c r="OC66" s="9" t="n">
        <v>0</v>
      </c>
      <c r="OE66" s="9" t="n">
        <v>0</v>
      </c>
      <c r="OF66" s="9" t="n">
        <v>1680.5</v>
      </c>
      <c r="OJ66" s="10" t="n">
        <v>46078</v>
      </c>
      <c r="OL66" s="9" t="n">
        <v>50.39999999999999</v>
      </c>
      <c r="ON66" s="9" t="n">
        <v>50.39999999999999</v>
      </c>
      <c r="OO66" s="9" t="n">
        <v>0</v>
      </c>
      <c r="OS66" s="10" t="n">
        <v>46078</v>
      </c>
      <c r="OU66" s="9" t="n">
        <v>0</v>
      </c>
      <c r="OW66" s="9" t="n">
        <v>0</v>
      </c>
      <c r="OX66" s="9" t="n">
        <v>0</v>
      </c>
      <c r="PB66" s="10" t="n">
        <v>46078</v>
      </c>
      <c r="PD66" s="9" t="n">
        <v>0</v>
      </c>
      <c r="PF66" s="9" t="n">
        <v>0</v>
      </c>
      <c r="PG66" s="9" t="n">
        <v>0</v>
      </c>
      <c r="PK66" s="10" t="n">
        <v>46078</v>
      </c>
      <c r="PM66" s="9" t="n">
        <v>0</v>
      </c>
      <c r="PO66" s="9" t="n">
        <v>0</v>
      </c>
      <c r="PP66" s="9" t="n">
        <v>160</v>
      </c>
      <c r="PT66" s="10" t="n">
        <v>46078</v>
      </c>
      <c r="PV66" s="9" t="n">
        <v>0</v>
      </c>
      <c r="PX66" s="9" t="n">
        <v>0</v>
      </c>
      <c r="PY66" s="9" t="n">
        <v>13.96000000000004</v>
      </c>
      <c r="QC66" s="10" t="n">
        <v>46078</v>
      </c>
      <c r="QE66" s="9" t="n">
        <v>0</v>
      </c>
      <c r="QG66" s="9" t="n">
        <v>0</v>
      </c>
      <c r="QH66" s="9" t="n">
        <v>0</v>
      </c>
      <c r="QL66" s="10" t="n">
        <v>46078</v>
      </c>
      <c r="QN66" s="9" t="n">
        <v>0</v>
      </c>
      <c r="QP66" s="9" t="n">
        <v>0</v>
      </c>
      <c r="QQ66" s="9" t="n">
        <v>0</v>
      </c>
      <c r="QU66" s="10" t="n">
        <v>46078</v>
      </c>
      <c r="QW66" s="9" t="n">
        <v>0</v>
      </c>
      <c r="QY66" s="9" t="n">
        <v>0</v>
      </c>
      <c r="QZ66" s="9" t="n">
        <v>207.6</v>
      </c>
      <c r="RD66" s="10" t="n">
        <v>46078</v>
      </c>
      <c r="RF66" s="9" t="n">
        <v>0</v>
      </c>
      <c r="RH66" s="9" t="n">
        <v>0</v>
      </c>
      <c r="RI66" s="9" t="n">
        <v>197.04</v>
      </c>
      <c r="RM66" s="10" t="n">
        <v>46078</v>
      </c>
      <c r="RO66" s="9" t="n">
        <v>0</v>
      </c>
      <c r="RQ66" s="9" t="n">
        <v>0</v>
      </c>
      <c r="RR66" s="9" t="n">
        <v>46.8</v>
      </c>
      <c r="RV66" s="10" t="n">
        <v>46078</v>
      </c>
      <c r="RX66" s="9" t="n">
        <v>0</v>
      </c>
      <c r="RZ66" s="9" t="n">
        <v>0</v>
      </c>
      <c r="SA66" s="9" t="n">
        <v>0</v>
      </c>
      <c r="SE66" s="10" t="n">
        <v>46078</v>
      </c>
      <c r="SG66" s="9" t="n">
        <v>0</v>
      </c>
      <c r="SI66" s="9" t="n">
        <v>0</v>
      </c>
      <c r="SJ66" s="9" t="n">
        <v>0</v>
      </c>
      <c r="SN66" s="10" t="n">
        <v>46078</v>
      </c>
      <c r="SP66" s="9" t="n">
        <v>0</v>
      </c>
      <c r="SR66" s="9" t="n">
        <v>0</v>
      </c>
      <c r="SS66" s="9" t="n">
        <v>0</v>
      </c>
      <c r="SW66" s="10" t="n">
        <v>46078</v>
      </c>
      <c r="SY66" s="9" t="n">
        <v>0</v>
      </c>
      <c r="TA66" s="9" t="n">
        <v>0</v>
      </c>
      <c r="TB66" s="9" t="n">
        <v>0</v>
      </c>
      <c r="TF66" s="10" t="n">
        <v>46078</v>
      </c>
      <c r="TH66" s="9" t="n">
        <v>0</v>
      </c>
      <c r="TJ66" s="9" t="n">
        <v>0</v>
      </c>
      <c r="TK66" s="9" t="n">
        <v>0</v>
      </c>
      <c r="TO66" s="10" t="n">
        <v>46078</v>
      </c>
      <c r="TQ66" s="9" t="n">
        <v>0</v>
      </c>
      <c r="TS66" s="9" t="n">
        <v>0</v>
      </c>
      <c r="TT66" s="9" t="n">
        <v>0</v>
      </c>
      <c r="TX66" s="10" t="n">
        <v>46078</v>
      </c>
      <c r="TZ66" s="9" t="n">
        <v>0</v>
      </c>
      <c r="UB66" s="9" t="n">
        <v>0</v>
      </c>
      <c r="UC66" s="9" t="n">
        <v>0</v>
      </c>
      <c r="UG66" s="10" t="n">
        <v>46078</v>
      </c>
      <c r="UI66" s="9" t="n">
        <v>0</v>
      </c>
      <c r="UK66" s="9" t="n">
        <v>0</v>
      </c>
      <c r="UL66" s="9" t="n">
        <v>0</v>
      </c>
      <c r="UP66" s="10" t="n">
        <v>46078</v>
      </c>
      <c r="UR66" s="9" t="n">
        <v>0</v>
      </c>
      <c r="UT66" s="9" t="n">
        <v>0</v>
      </c>
      <c r="UU66" s="9" t="n">
        <v>0</v>
      </c>
      <c r="UY66" s="10" t="n">
        <v>46078</v>
      </c>
      <c r="VA66" s="9" t="n">
        <v>0</v>
      </c>
      <c r="VC66" s="9" t="n">
        <v>0</v>
      </c>
      <c r="VD66" s="9" t="n">
        <v>41.60000000000002</v>
      </c>
      <c r="VH66" s="10" t="n">
        <v>46078</v>
      </c>
      <c r="VJ66" s="9" t="n">
        <v>0</v>
      </c>
      <c r="VL66" s="9" t="n">
        <v>0</v>
      </c>
      <c r="VM66" s="9" t="n">
        <v>0</v>
      </c>
      <c r="VQ66" s="10" t="n">
        <v>46078</v>
      </c>
      <c r="VS66" s="9" t="n">
        <v>0</v>
      </c>
      <c r="VU66" s="9" t="n">
        <v>0</v>
      </c>
      <c r="VV66" s="9" t="n">
        <v>0</v>
      </c>
      <c r="VZ66" s="10" t="n">
        <v>46078</v>
      </c>
      <c r="WB66" s="9" t="n">
        <v>0</v>
      </c>
      <c r="WD66" s="9" t="n">
        <v>0</v>
      </c>
      <c r="WE66" s="9" t="n">
        <v>0</v>
      </c>
      <c r="WI66" s="10" t="n">
        <v>46078</v>
      </c>
      <c r="WK66" s="9" t="n">
        <v>0</v>
      </c>
      <c r="WL66" s="9" t="n">
        <v>280</v>
      </c>
      <c r="WM66" s="9" t="n">
        <v>-280</v>
      </c>
      <c r="WN66" s="9" t="n">
        <v>7632</v>
      </c>
      <c r="WR66" s="10" t="n">
        <v>46078</v>
      </c>
      <c r="WT66" s="9" t="n">
        <v>0</v>
      </c>
      <c r="WV66" s="9" t="n">
        <v>0</v>
      </c>
      <c r="WW66" s="9" t="n">
        <v>6559</v>
      </c>
      <c r="XA66" s="10" t="n">
        <v>46078</v>
      </c>
      <c r="XC66" s="9" t="n">
        <v>0</v>
      </c>
      <c r="XE66" s="9" t="n">
        <v>0</v>
      </c>
      <c r="XF66" s="9" t="n">
        <v>590</v>
      </c>
      <c r="XJ66" s="10" t="n">
        <v>46078</v>
      </c>
      <c r="XL66" s="9" t="n">
        <v>0</v>
      </c>
      <c r="XM66" s="9" t="n">
        <v>364</v>
      </c>
      <c r="XN66" s="9" t="n">
        <v>-364</v>
      </c>
      <c r="XO66" s="9" t="n">
        <v>3391</v>
      </c>
      <c r="XS66" s="10" t="n">
        <v>46078</v>
      </c>
      <c r="XU66" s="9" t="n">
        <v>0</v>
      </c>
      <c r="XW66" s="9" t="n">
        <v>0</v>
      </c>
      <c r="XX66" s="9" t="n">
        <v>1901</v>
      </c>
      <c r="YB66" s="10" t="n">
        <v>46078</v>
      </c>
      <c r="YC66" s="9" t="n">
        <v>707</v>
      </c>
      <c r="YD66" s="9" t="n">
        <v>0</v>
      </c>
      <c r="YF66" s="9" t="n">
        <v>0</v>
      </c>
      <c r="YG66" s="9" t="n">
        <v>0</v>
      </c>
      <c r="YK66" s="10" t="n">
        <v>46078</v>
      </c>
      <c r="YM66" s="9" t="n">
        <v>0</v>
      </c>
      <c r="YO66" s="9" t="n">
        <v>0</v>
      </c>
      <c r="YP66" s="9" t="n">
        <v>0</v>
      </c>
      <c r="YT66" s="10" t="n">
        <v>46078</v>
      </c>
      <c r="YV66" s="9" t="n">
        <v>0</v>
      </c>
      <c r="YX66" s="9" t="n">
        <v>0</v>
      </c>
      <c r="YY66" s="9" t="n">
        <v>0</v>
      </c>
      <c r="ZC66" s="10" t="n">
        <v>46078</v>
      </c>
      <c r="ZE66" s="9" t="n">
        <v>0</v>
      </c>
      <c r="ZG66" s="9" t="n">
        <v>0</v>
      </c>
      <c r="ZH66" s="9" t="n">
        <v>0</v>
      </c>
      <c r="ZL66" s="10" t="n">
        <v>46078</v>
      </c>
      <c r="ZN66" s="9" t="n">
        <v>0</v>
      </c>
      <c r="ZP66" s="9" t="n">
        <v>0</v>
      </c>
      <c r="ZQ66" s="9" t="n">
        <v>0</v>
      </c>
      <c r="ZU66" s="10" t="n">
        <v>46078</v>
      </c>
      <c r="ZW66" s="9" t="n">
        <v>0</v>
      </c>
      <c r="ZY66" s="9" t="n">
        <v>0</v>
      </c>
      <c r="ZZ66" s="9" t="n">
        <v>0</v>
      </c>
      <c r="AAD66" s="10" t="n">
        <v>46078</v>
      </c>
      <c r="AAF66" s="9" t="n">
        <v>0</v>
      </c>
      <c r="AAH66" s="9" t="n">
        <v>0</v>
      </c>
      <c r="AAI66" s="9" t="n">
        <v>0</v>
      </c>
      <c r="AAM66" s="10" t="n">
        <v>46078</v>
      </c>
      <c r="AAO66" s="9" t="n">
        <v>0</v>
      </c>
      <c r="AAQ66" s="9" t="n">
        <v>0</v>
      </c>
      <c r="AAR66" s="9" t="n">
        <v>0</v>
      </c>
      <c r="AAV66" s="10" t="n">
        <v>46078</v>
      </c>
      <c r="AAX66" s="9" t="n">
        <v>0</v>
      </c>
      <c r="AAZ66" s="9" t="n">
        <v>0</v>
      </c>
      <c r="ABA66" s="9" t="n">
        <v>0</v>
      </c>
      <c r="ABE66" s="10" t="n">
        <v>46078</v>
      </c>
      <c r="ABG66" s="9" t="n">
        <v>0</v>
      </c>
      <c r="ABI66" s="9" t="n">
        <v>0</v>
      </c>
      <c r="ABJ66" s="9" t="n">
        <v>0</v>
      </c>
    </row>
    <row r="67">
      <c r="B67" s="9" t="n">
        <v>26</v>
      </c>
      <c r="C67" s="10" t="n">
        <v>46079</v>
      </c>
      <c r="D67" s="9" t="n">
        <v>40000</v>
      </c>
      <c r="E67" s="9" t="n">
        <v>13035.1</v>
      </c>
      <c r="F67" s="9" t="n">
        <v>13035.6</v>
      </c>
      <c r="G67" s="9" t="n">
        <v>-0.499999999998181</v>
      </c>
      <c r="H67" s="9" t="n">
        <v>80339.2</v>
      </c>
      <c r="I67" s="9" t="inlineStr">
        <is>
          <t>122 26mt</t>
        </is>
      </c>
      <c r="L67" s="10" t="n">
        <v>46079</v>
      </c>
      <c r="N67" s="9" t="n">
        <v>5330</v>
      </c>
      <c r="O67" s="9" t="n">
        <v>5329.6</v>
      </c>
      <c r="P67" s="9" t="n">
        <v>0.3999999999996362</v>
      </c>
      <c r="Q67" s="9" t="n">
        <v>18361.40000000003</v>
      </c>
      <c r="U67" s="10" t="n">
        <v>46079</v>
      </c>
      <c r="W67" s="9" t="n">
        <v>2171</v>
      </c>
      <c r="X67" s="9" t="n">
        <v>2170.6</v>
      </c>
      <c r="Y67" s="9" t="n">
        <v>0.3999999999996362</v>
      </c>
      <c r="Z67" s="9" t="n">
        <v>19563.79999999997</v>
      </c>
      <c r="AD67" s="10" t="n">
        <v>46079</v>
      </c>
      <c r="AF67" s="9" t="n">
        <v>338.0000000000001</v>
      </c>
      <c r="AG67" s="9" t="n">
        <v>338.6</v>
      </c>
      <c r="AH67" s="9" t="n">
        <v>-0.5999999999999659</v>
      </c>
      <c r="AI67" s="9" t="n">
        <v>36638.90000000002</v>
      </c>
      <c r="AM67" s="10" t="n">
        <v>46079</v>
      </c>
      <c r="AO67" s="9" t="n">
        <v>0</v>
      </c>
      <c r="AQ67" s="9" t="n">
        <v>0</v>
      </c>
      <c r="AR67" s="9" t="n">
        <v>0</v>
      </c>
      <c r="AV67" s="10" t="n">
        <v>46079</v>
      </c>
      <c r="AX67" s="9" t="n">
        <v>0</v>
      </c>
      <c r="AZ67" s="9" t="n">
        <v>0</v>
      </c>
      <c r="BA67" s="9" t="n">
        <v>48522.59999999998</v>
      </c>
      <c r="BE67" s="10" t="n">
        <v>46079</v>
      </c>
      <c r="BG67" s="9" t="n">
        <v>1092</v>
      </c>
      <c r="BH67" s="9" t="n">
        <v>1092.4</v>
      </c>
      <c r="BI67" s="9" t="n">
        <v>-0.4000000000000909</v>
      </c>
      <c r="BJ67" s="9" t="n">
        <v>7501.800000000005</v>
      </c>
      <c r="BN67" s="10" t="n">
        <v>46079</v>
      </c>
      <c r="BO67" s="9" t="n">
        <v>520.1</v>
      </c>
      <c r="BP67" s="9" t="n">
        <v>520</v>
      </c>
      <c r="BQ67" s="9" t="n">
        <v>520.1</v>
      </c>
      <c r="BR67" s="9" t="n">
        <v>-0.1000000000000227</v>
      </c>
      <c r="BS67" s="9" t="n">
        <v>0</v>
      </c>
      <c r="BW67" s="10" t="n">
        <v>46079</v>
      </c>
      <c r="BY67" s="9" t="n">
        <v>172.9</v>
      </c>
      <c r="BZ67" s="9" t="n">
        <v>551.4</v>
      </c>
      <c r="CA67" s="9" t="n">
        <v>-378.5</v>
      </c>
      <c r="CB67" s="9" t="n">
        <v>239.0000000000001</v>
      </c>
      <c r="CF67" s="10" t="n">
        <v>46079</v>
      </c>
      <c r="CH67" s="9" t="n">
        <v>260</v>
      </c>
      <c r="CJ67" s="9" t="n">
        <v>260</v>
      </c>
      <c r="CK67" s="9" t="n">
        <v>0</v>
      </c>
      <c r="CO67" s="10" t="n">
        <v>46079</v>
      </c>
      <c r="CQ67" s="9" t="n">
        <v>0</v>
      </c>
      <c r="CS67" s="9" t="n">
        <v>0</v>
      </c>
      <c r="CT67" s="9" t="n">
        <v>0</v>
      </c>
      <c r="CX67" s="10" t="n">
        <v>46079</v>
      </c>
      <c r="CY67" s="9" t="n">
        <v>34110</v>
      </c>
      <c r="CZ67" s="9" t="n">
        <v>1300</v>
      </c>
      <c r="DA67" s="9" t="n">
        <v>1300.4</v>
      </c>
      <c r="DB67" s="9" t="n">
        <v>-0.4000000000000909</v>
      </c>
      <c r="DC67" s="9" t="n">
        <v>55052.4</v>
      </c>
      <c r="DG67" s="10" t="n">
        <v>46079</v>
      </c>
      <c r="DI67" s="9" t="n">
        <v>1040</v>
      </c>
      <c r="DJ67" s="9" t="n">
        <v>1041</v>
      </c>
      <c r="DK67" s="9" t="n">
        <v>-1</v>
      </c>
      <c r="DL67" s="9" t="n">
        <v>310.5999999999972</v>
      </c>
      <c r="DP67" s="10" t="n">
        <v>46079</v>
      </c>
      <c r="DR67" s="9" t="n">
        <v>0</v>
      </c>
      <c r="DT67" s="9" t="n">
        <v>0</v>
      </c>
      <c r="DU67" s="9" t="n">
        <v>2300</v>
      </c>
      <c r="DY67" s="10" t="n">
        <v>46079</v>
      </c>
      <c r="EA67" s="9" t="n">
        <v>0</v>
      </c>
      <c r="EC67" s="9" t="n">
        <v>0</v>
      </c>
      <c r="ED67" s="9" t="n">
        <v>5696.8</v>
      </c>
      <c r="EH67" s="10" t="n">
        <v>46079</v>
      </c>
      <c r="EJ67" s="9" t="n">
        <v>0</v>
      </c>
      <c r="EL67" s="9" t="n">
        <v>0</v>
      </c>
      <c r="EM67" s="9" t="n">
        <v>0</v>
      </c>
      <c r="EQ67" s="10" t="n">
        <v>46079</v>
      </c>
      <c r="ES67" s="9" t="n">
        <v>0</v>
      </c>
      <c r="EU67" s="9" t="n">
        <v>0</v>
      </c>
      <c r="EV67" s="9" t="n">
        <v>0</v>
      </c>
      <c r="EZ67" s="10" t="n">
        <v>46079</v>
      </c>
      <c r="FB67" s="9" t="n">
        <v>0</v>
      </c>
      <c r="FD67" s="9" t="n">
        <v>0</v>
      </c>
      <c r="FE67" s="9" t="n">
        <v>0</v>
      </c>
      <c r="FI67" s="10" t="n">
        <v>46079</v>
      </c>
      <c r="FK67" s="9" t="n">
        <v>0</v>
      </c>
      <c r="FM67" s="9" t="n">
        <v>0</v>
      </c>
      <c r="FN67" s="9" t="n">
        <v>0</v>
      </c>
      <c r="FR67" s="10" t="n">
        <v>46079</v>
      </c>
      <c r="FT67" s="9" t="n">
        <v>0</v>
      </c>
      <c r="FV67" s="9" t="n">
        <v>0</v>
      </c>
      <c r="FW67" s="9" t="n">
        <v>1620</v>
      </c>
      <c r="GA67" s="10" t="n">
        <v>46079</v>
      </c>
      <c r="GC67" s="9" t="n">
        <v>0</v>
      </c>
      <c r="GE67" s="9" t="n">
        <v>0</v>
      </c>
      <c r="GF67" s="9" t="n">
        <v>5960</v>
      </c>
      <c r="GJ67" s="10" t="n">
        <v>46079</v>
      </c>
      <c r="GL67" s="9" t="n">
        <v>0</v>
      </c>
      <c r="GN67" s="9" t="n">
        <v>0</v>
      </c>
      <c r="GO67" s="9" t="n">
        <v>5240</v>
      </c>
      <c r="GS67" s="10" t="n">
        <v>46079</v>
      </c>
      <c r="GU67" s="9" t="n">
        <v>0</v>
      </c>
      <c r="GW67" s="9" t="n">
        <v>0</v>
      </c>
      <c r="GX67" s="9" t="n">
        <v>0</v>
      </c>
      <c r="HB67" s="10" t="n">
        <v>46079</v>
      </c>
      <c r="HD67" s="9" t="n">
        <v>0</v>
      </c>
      <c r="HF67" s="9" t="n">
        <v>0</v>
      </c>
      <c r="HG67" s="9" t="n">
        <v>0</v>
      </c>
      <c r="HK67" s="10" t="n">
        <v>46079</v>
      </c>
      <c r="HM67" s="9" t="n">
        <v>0</v>
      </c>
      <c r="HO67" s="9" t="n">
        <v>0</v>
      </c>
      <c r="HP67" s="9" t="n">
        <v>0</v>
      </c>
      <c r="HU67" s="10" t="n">
        <v>46079</v>
      </c>
      <c r="HW67" s="9" t="n">
        <v>0</v>
      </c>
      <c r="HY67" s="9" t="n">
        <v>0</v>
      </c>
      <c r="HZ67" s="9" t="n">
        <v>5120</v>
      </c>
      <c r="ID67" s="10" t="n">
        <v>46079</v>
      </c>
      <c r="IF67" s="9" t="n">
        <v>0</v>
      </c>
      <c r="IH67" s="9" t="n">
        <v>0</v>
      </c>
      <c r="II67" s="9" t="n">
        <v>5100</v>
      </c>
      <c r="IM67" s="10" t="n">
        <v>46079</v>
      </c>
      <c r="IO67" s="9" t="n">
        <v>0</v>
      </c>
      <c r="IQ67" s="9" t="n">
        <v>0</v>
      </c>
      <c r="IR67" s="9" t="n">
        <v>10240</v>
      </c>
      <c r="IV67" s="10" t="n">
        <v>46079</v>
      </c>
      <c r="IX67" s="9" t="n">
        <v>0</v>
      </c>
      <c r="IZ67" s="9" t="n">
        <v>0</v>
      </c>
      <c r="JA67" s="9" t="n">
        <v>15120</v>
      </c>
      <c r="JE67" s="10" t="n">
        <v>46079</v>
      </c>
      <c r="JG67" s="9" t="n">
        <v>0</v>
      </c>
      <c r="JI67" s="9" t="n">
        <v>0</v>
      </c>
      <c r="JJ67" s="9" t="n">
        <v>3600</v>
      </c>
      <c r="JN67" s="10" t="n">
        <v>46079</v>
      </c>
      <c r="JP67" s="9" t="n">
        <v>0</v>
      </c>
      <c r="JR67" s="9" t="n">
        <v>0</v>
      </c>
      <c r="JS67" s="9" t="n">
        <v>5400</v>
      </c>
      <c r="JW67" s="10" t="n">
        <v>46079</v>
      </c>
      <c r="JY67" s="9" t="n">
        <v>0</v>
      </c>
      <c r="KA67" s="9" t="n">
        <v>0</v>
      </c>
      <c r="KB67" s="9" t="n">
        <v>4000</v>
      </c>
      <c r="KF67" s="10" t="n">
        <v>46079</v>
      </c>
      <c r="KH67" s="9" t="n">
        <v>507</v>
      </c>
      <c r="KJ67" s="9" t="n">
        <v>507</v>
      </c>
      <c r="KK67" s="9" t="n">
        <v>1287</v>
      </c>
      <c r="KO67" s="10" t="n">
        <v>46079</v>
      </c>
      <c r="KQ67" s="9" t="n">
        <v>0</v>
      </c>
      <c r="KS67" s="9" t="n">
        <v>0</v>
      </c>
      <c r="KT67" s="9" t="n">
        <v>10281.6</v>
      </c>
      <c r="KX67" s="10" t="n">
        <v>46079</v>
      </c>
      <c r="KZ67" s="9" t="n">
        <v>0</v>
      </c>
      <c r="LB67" s="9" t="n">
        <v>0</v>
      </c>
      <c r="LC67" s="9" t="n">
        <v>0</v>
      </c>
      <c r="LG67" s="10" t="n">
        <v>46079</v>
      </c>
      <c r="LI67" s="9" t="n">
        <v>0</v>
      </c>
      <c r="LK67" s="9" t="n">
        <v>0</v>
      </c>
      <c r="LL67" s="9" t="n">
        <v>0</v>
      </c>
      <c r="LP67" s="10" t="n">
        <v>46079</v>
      </c>
      <c r="LR67" s="9" t="n">
        <v>0</v>
      </c>
      <c r="LT67" s="9" t="n">
        <v>0</v>
      </c>
      <c r="LU67" s="9" t="n">
        <v>0</v>
      </c>
      <c r="LY67" s="10" t="n">
        <v>46079</v>
      </c>
      <c r="MA67" s="9" t="n">
        <v>0</v>
      </c>
      <c r="MC67" s="9" t="n">
        <v>0</v>
      </c>
      <c r="MD67" s="9" t="n">
        <v>0</v>
      </c>
      <c r="MH67" s="10" t="n">
        <v>46079</v>
      </c>
      <c r="MJ67" s="9" t="n">
        <v>0</v>
      </c>
      <c r="ML67" s="9" t="n">
        <v>0</v>
      </c>
      <c r="MM67" s="9" t="n">
        <v>0</v>
      </c>
      <c r="MQ67" s="10" t="n">
        <v>46079</v>
      </c>
      <c r="MR67" s="9" t="n">
        <v>500</v>
      </c>
      <c r="MS67" s="9" t="n">
        <v>52</v>
      </c>
      <c r="MT67" s="9" t="n">
        <v>553</v>
      </c>
      <c r="MU67" s="9" t="n">
        <v>-501</v>
      </c>
      <c r="MV67" s="9" t="n">
        <v>4270</v>
      </c>
      <c r="MZ67" s="10" t="n">
        <v>46079</v>
      </c>
      <c r="NB67" s="9" t="n">
        <v>78</v>
      </c>
      <c r="ND67" s="9" t="n">
        <v>78</v>
      </c>
      <c r="NE67" s="9" t="n">
        <v>0</v>
      </c>
      <c r="NI67" s="10" t="n">
        <v>46079</v>
      </c>
      <c r="NK67" s="9" t="n">
        <v>0</v>
      </c>
      <c r="NM67" s="9" t="n">
        <v>0</v>
      </c>
      <c r="NN67" s="9" t="n">
        <v>0</v>
      </c>
      <c r="NR67" s="10" t="n">
        <v>46079</v>
      </c>
      <c r="NT67" s="9" t="n">
        <v>31.2</v>
      </c>
      <c r="NU67" s="9" t="n">
        <v>316.8</v>
      </c>
      <c r="NV67" s="9" t="n">
        <v>-285.6</v>
      </c>
      <c r="NW67" s="9" t="n">
        <v>1969.2</v>
      </c>
      <c r="OA67" s="10" t="n">
        <v>46079</v>
      </c>
      <c r="OC67" s="9" t="n">
        <v>0</v>
      </c>
      <c r="OE67" s="9" t="n">
        <v>0</v>
      </c>
      <c r="OF67" s="9" t="n">
        <v>1680.5</v>
      </c>
      <c r="OJ67" s="10" t="n">
        <v>46079</v>
      </c>
      <c r="OL67" s="9" t="n">
        <v>72.79999999999998</v>
      </c>
      <c r="ON67" s="9" t="n">
        <v>72.79999999999998</v>
      </c>
      <c r="OO67" s="9" t="n">
        <v>0</v>
      </c>
      <c r="OS67" s="10" t="n">
        <v>46079</v>
      </c>
      <c r="OU67" s="9" t="n">
        <v>0</v>
      </c>
      <c r="OW67" s="9" t="n">
        <v>0</v>
      </c>
      <c r="OX67" s="9" t="n">
        <v>0</v>
      </c>
      <c r="PB67" s="10" t="n">
        <v>46079</v>
      </c>
      <c r="PD67" s="9" t="n">
        <v>0</v>
      </c>
      <c r="PF67" s="9" t="n">
        <v>0</v>
      </c>
      <c r="PG67" s="9" t="n">
        <v>0</v>
      </c>
      <c r="PK67" s="10" t="n">
        <v>46079</v>
      </c>
      <c r="PM67" s="9" t="n">
        <v>0</v>
      </c>
      <c r="PN67" s="9" t="n">
        <v>60</v>
      </c>
      <c r="PO67" s="9" t="n">
        <v>-60</v>
      </c>
      <c r="PP67" s="9" t="n">
        <v>100</v>
      </c>
      <c r="PT67" s="10" t="n">
        <v>46079</v>
      </c>
      <c r="PV67" s="9" t="n">
        <v>0</v>
      </c>
      <c r="PX67" s="9" t="n">
        <v>0</v>
      </c>
      <c r="PY67" s="9" t="n">
        <v>13.96000000000004</v>
      </c>
      <c r="QC67" s="10" t="n">
        <v>46079</v>
      </c>
      <c r="QE67" s="9" t="n">
        <v>0</v>
      </c>
      <c r="QG67" s="9" t="n">
        <v>0</v>
      </c>
      <c r="QH67" s="9" t="n">
        <v>0</v>
      </c>
      <c r="QL67" s="10" t="n">
        <v>46079</v>
      </c>
      <c r="QN67" s="9" t="n">
        <v>0</v>
      </c>
      <c r="QP67" s="9" t="n">
        <v>0</v>
      </c>
      <c r="QQ67" s="9" t="n">
        <v>0</v>
      </c>
      <c r="QU67" s="10" t="n">
        <v>46079</v>
      </c>
      <c r="QW67" s="9" t="n">
        <v>0</v>
      </c>
      <c r="QY67" s="9" t="n">
        <v>0</v>
      </c>
      <c r="QZ67" s="9" t="n">
        <v>207.6</v>
      </c>
      <c r="RD67" s="10" t="n">
        <v>46079</v>
      </c>
      <c r="RF67" s="9" t="n">
        <v>0</v>
      </c>
      <c r="RH67" s="9" t="n">
        <v>0</v>
      </c>
      <c r="RI67" s="9" t="n">
        <v>197.04</v>
      </c>
      <c r="RM67" s="10" t="n">
        <v>46079</v>
      </c>
      <c r="RO67" s="9" t="n">
        <v>0</v>
      </c>
      <c r="RQ67" s="9" t="n">
        <v>0</v>
      </c>
      <c r="RR67" s="9" t="n">
        <v>46.8</v>
      </c>
      <c r="RV67" s="10" t="n">
        <v>46079</v>
      </c>
      <c r="RX67" s="9" t="n">
        <v>0</v>
      </c>
      <c r="RZ67" s="9" t="n">
        <v>0</v>
      </c>
      <c r="SA67" s="9" t="n">
        <v>0</v>
      </c>
      <c r="SE67" s="10" t="n">
        <v>46079</v>
      </c>
      <c r="SG67" s="9" t="n">
        <v>0</v>
      </c>
      <c r="SI67" s="9" t="n">
        <v>0</v>
      </c>
      <c r="SJ67" s="9" t="n">
        <v>0</v>
      </c>
      <c r="SN67" s="10" t="n">
        <v>46079</v>
      </c>
      <c r="SP67" s="9" t="n">
        <v>0</v>
      </c>
      <c r="SR67" s="9" t="n">
        <v>0</v>
      </c>
      <c r="SS67" s="9" t="n">
        <v>0</v>
      </c>
      <c r="SW67" s="10" t="n">
        <v>46079</v>
      </c>
      <c r="SY67" s="9" t="n">
        <v>0</v>
      </c>
      <c r="TA67" s="9" t="n">
        <v>0</v>
      </c>
      <c r="TB67" s="9" t="n">
        <v>0</v>
      </c>
      <c r="TF67" s="10" t="n">
        <v>46079</v>
      </c>
      <c r="TH67" s="9" t="n">
        <v>0</v>
      </c>
      <c r="TJ67" s="9" t="n">
        <v>0</v>
      </c>
      <c r="TK67" s="9" t="n">
        <v>0</v>
      </c>
      <c r="TO67" s="10" t="n">
        <v>46079</v>
      </c>
      <c r="TQ67" s="9" t="n">
        <v>0</v>
      </c>
      <c r="TS67" s="9" t="n">
        <v>0</v>
      </c>
      <c r="TT67" s="9" t="n">
        <v>0</v>
      </c>
      <c r="TX67" s="10" t="n">
        <v>46079</v>
      </c>
      <c r="TZ67" s="9" t="n">
        <v>0</v>
      </c>
      <c r="UB67" s="9" t="n">
        <v>0</v>
      </c>
      <c r="UC67" s="9" t="n">
        <v>0</v>
      </c>
      <c r="UG67" s="10" t="n">
        <v>46079</v>
      </c>
      <c r="UI67" s="9" t="n">
        <v>0</v>
      </c>
      <c r="UK67" s="9" t="n">
        <v>0</v>
      </c>
      <c r="UL67" s="9" t="n">
        <v>0</v>
      </c>
      <c r="UP67" s="10" t="n">
        <v>46079</v>
      </c>
      <c r="UR67" s="9" t="n">
        <v>0</v>
      </c>
      <c r="UT67" s="9" t="n">
        <v>0</v>
      </c>
      <c r="UU67" s="9" t="n">
        <v>0</v>
      </c>
      <c r="UY67" s="10" t="n">
        <v>46079</v>
      </c>
      <c r="VA67" s="9" t="n">
        <v>0</v>
      </c>
      <c r="VC67" s="9" t="n">
        <v>0</v>
      </c>
      <c r="VD67" s="9" t="n">
        <v>41.60000000000002</v>
      </c>
      <c r="VH67" s="10" t="n">
        <v>46079</v>
      </c>
      <c r="VJ67" s="9" t="n">
        <v>0</v>
      </c>
      <c r="VL67" s="9" t="n">
        <v>0</v>
      </c>
      <c r="VM67" s="9" t="n">
        <v>0</v>
      </c>
      <c r="VQ67" s="10" t="n">
        <v>46079</v>
      </c>
      <c r="VS67" s="9" t="n">
        <v>0</v>
      </c>
      <c r="VU67" s="9" t="n">
        <v>0</v>
      </c>
      <c r="VV67" s="9" t="n">
        <v>0</v>
      </c>
      <c r="VZ67" s="10" t="n">
        <v>46079</v>
      </c>
      <c r="WB67" s="9" t="n">
        <v>0</v>
      </c>
      <c r="WD67" s="9" t="n">
        <v>0</v>
      </c>
      <c r="WE67" s="9" t="n">
        <v>0</v>
      </c>
      <c r="WI67" s="10" t="n">
        <v>46079</v>
      </c>
      <c r="WK67" s="9" t="n">
        <v>0</v>
      </c>
      <c r="WM67" s="9" t="n">
        <v>0</v>
      </c>
      <c r="WN67" s="9" t="n">
        <v>7632</v>
      </c>
      <c r="WR67" s="10" t="n">
        <v>46079</v>
      </c>
      <c r="WT67" s="9" t="n">
        <v>0</v>
      </c>
      <c r="WV67" s="9" t="n">
        <v>0</v>
      </c>
      <c r="WW67" s="9" t="n">
        <v>6559</v>
      </c>
      <c r="XA67" s="10" t="n">
        <v>46079</v>
      </c>
      <c r="XC67" s="9" t="n">
        <v>0</v>
      </c>
      <c r="XE67" s="9" t="n">
        <v>0</v>
      </c>
      <c r="XF67" s="9" t="n">
        <v>590</v>
      </c>
      <c r="XJ67" s="10" t="n">
        <v>46079</v>
      </c>
      <c r="XL67" s="9" t="n">
        <v>0</v>
      </c>
      <c r="XN67" s="9" t="n">
        <v>0</v>
      </c>
      <c r="XO67" s="9" t="n">
        <v>3391</v>
      </c>
      <c r="XS67" s="10" t="n">
        <v>46079</v>
      </c>
      <c r="XU67" s="9" t="n">
        <v>0</v>
      </c>
      <c r="XW67" s="9" t="n">
        <v>0</v>
      </c>
      <c r="XX67" s="9" t="n">
        <v>1901</v>
      </c>
      <c r="YB67" s="10" t="n">
        <v>46079</v>
      </c>
      <c r="YD67" s="9" t="n">
        <v>0</v>
      </c>
      <c r="YF67" s="9" t="n">
        <v>0</v>
      </c>
      <c r="YG67" s="9" t="n">
        <v>0</v>
      </c>
      <c r="YK67" s="10" t="n">
        <v>46079</v>
      </c>
      <c r="YM67" s="9" t="n">
        <v>0</v>
      </c>
      <c r="YO67" s="9" t="n">
        <v>0</v>
      </c>
      <c r="YP67" s="9" t="n">
        <v>0</v>
      </c>
      <c r="YT67" s="10" t="n">
        <v>46079</v>
      </c>
      <c r="YV67" s="9" t="n">
        <v>0</v>
      </c>
      <c r="YX67" s="9" t="n">
        <v>0</v>
      </c>
      <c r="YY67" s="9" t="n">
        <v>0</v>
      </c>
      <c r="ZC67" s="10" t="n">
        <v>46079</v>
      </c>
      <c r="ZE67" s="9" t="n">
        <v>0</v>
      </c>
      <c r="ZG67" s="9" t="n">
        <v>0</v>
      </c>
      <c r="ZH67" s="9" t="n">
        <v>0</v>
      </c>
      <c r="ZL67" s="10" t="n">
        <v>46079</v>
      </c>
      <c r="ZN67" s="9" t="n">
        <v>0</v>
      </c>
      <c r="ZP67" s="9" t="n">
        <v>0</v>
      </c>
      <c r="ZQ67" s="9" t="n">
        <v>0</v>
      </c>
      <c r="ZU67" s="10" t="n">
        <v>46079</v>
      </c>
      <c r="ZW67" s="9" t="n">
        <v>0</v>
      </c>
      <c r="ZY67" s="9" t="n">
        <v>0</v>
      </c>
      <c r="ZZ67" s="9" t="n">
        <v>0</v>
      </c>
      <c r="AAD67" s="10" t="n">
        <v>46079</v>
      </c>
      <c r="AAF67" s="9" t="n">
        <v>0</v>
      </c>
      <c r="AAH67" s="9" t="n">
        <v>0</v>
      </c>
      <c r="AAI67" s="9" t="n">
        <v>0</v>
      </c>
      <c r="AAM67" s="10" t="n">
        <v>46079</v>
      </c>
      <c r="AAO67" s="9" t="n">
        <v>0</v>
      </c>
      <c r="AAQ67" s="9" t="n">
        <v>0</v>
      </c>
      <c r="AAR67" s="9" t="n">
        <v>0</v>
      </c>
      <c r="AAV67" s="10" t="n">
        <v>46079</v>
      </c>
      <c r="AAX67" s="9" t="n">
        <v>0</v>
      </c>
      <c r="AAZ67" s="9" t="n">
        <v>0</v>
      </c>
      <c r="ABA67" s="9" t="n">
        <v>0</v>
      </c>
      <c r="ABE67" s="10" t="n">
        <v>46079</v>
      </c>
      <c r="ABG67" s="9" t="n">
        <v>0</v>
      </c>
      <c r="ABI67" s="9" t="n">
        <v>0</v>
      </c>
      <c r="ABJ67" s="9" t="n">
        <v>0</v>
      </c>
    </row>
    <row r="68">
      <c r="B68" s="9" t="n">
        <v>50</v>
      </c>
      <c r="C68" s="10" t="n">
        <v>46080</v>
      </c>
      <c r="D68" s="9" t="n">
        <v>54640</v>
      </c>
      <c r="E68" s="9" t="n">
        <v>26755</v>
      </c>
      <c r="F68" s="9" t="n">
        <v>26744.4</v>
      </c>
      <c r="G68" s="9" t="n">
        <v>10.59999999999854</v>
      </c>
      <c r="H68" s="9" t="n">
        <v>108234.8</v>
      </c>
      <c r="I68" s="9" t="inlineStr">
        <is>
          <t>1101 50mt</t>
        </is>
      </c>
      <c r="L68" s="10" t="n">
        <v>46080</v>
      </c>
      <c r="M68" s="9" t="n">
        <v>37900</v>
      </c>
      <c r="N68" s="9" t="n">
        <v>16312.5</v>
      </c>
      <c r="O68" s="9" t="n">
        <v>16314.8</v>
      </c>
      <c r="P68" s="9" t="n">
        <v>-2.299999999999272</v>
      </c>
      <c r="Q68" s="9" t="n">
        <v>39946.60000000003</v>
      </c>
      <c r="U68" s="10" t="n">
        <v>46080</v>
      </c>
      <c r="V68" s="9" t="n">
        <v>0.5</v>
      </c>
      <c r="W68" s="9" t="n">
        <v>1250</v>
      </c>
      <c r="X68" s="9" t="n">
        <v>1251.5</v>
      </c>
      <c r="Y68" s="9" t="n">
        <v>-1.5</v>
      </c>
      <c r="Z68" s="9" t="n">
        <v>18312.79999999997</v>
      </c>
      <c r="AD68" s="10" t="n">
        <v>46080</v>
      </c>
      <c r="AF68" s="9" t="n">
        <v>2500</v>
      </c>
      <c r="AG68" s="9" t="n">
        <v>2500.7</v>
      </c>
      <c r="AH68" s="9" t="n">
        <v>-0.6999999999998181</v>
      </c>
      <c r="AI68" s="9" t="n">
        <v>34138.20000000002</v>
      </c>
      <c r="AM68" s="10" t="n">
        <v>46080</v>
      </c>
      <c r="AO68" s="9" t="n">
        <v>0</v>
      </c>
      <c r="AQ68" s="9" t="n">
        <v>0</v>
      </c>
      <c r="AR68" s="9" t="n">
        <v>0</v>
      </c>
      <c r="AV68" s="10" t="n">
        <v>46080</v>
      </c>
      <c r="AX68" s="9" t="n">
        <v>1000</v>
      </c>
      <c r="AY68" s="9" t="n">
        <v>1000.6</v>
      </c>
      <c r="AZ68" s="9" t="n">
        <v>-0.6000000000000227</v>
      </c>
      <c r="BA68" s="9" t="n">
        <v>47521.99999999999</v>
      </c>
      <c r="BE68" s="10" t="n">
        <v>46080</v>
      </c>
      <c r="BG68" s="9" t="n">
        <v>0</v>
      </c>
      <c r="BI68" s="9" t="n">
        <v>0</v>
      </c>
      <c r="BJ68" s="9" t="n">
        <v>7501.800000000005</v>
      </c>
      <c r="BN68" s="10" t="n">
        <v>46080</v>
      </c>
      <c r="BO68" s="9" t="n">
        <v>1000</v>
      </c>
      <c r="BP68" s="9" t="n">
        <v>1000</v>
      </c>
      <c r="BQ68" s="9" t="n">
        <v>1000</v>
      </c>
      <c r="BR68" s="9" t="n">
        <v>0</v>
      </c>
      <c r="BS68" s="9" t="n">
        <v>0</v>
      </c>
      <c r="BW68" s="10" t="n">
        <v>46080</v>
      </c>
      <c r="BY68" s="9" t="n">
        <v>112.5</v>
      </c>
      <c r="CA68" s="9" t="n">
        <v>112.5</v>
      </c>
      <c r="CB68" s="9" t="n">
        <v>239.0000000000001</v>
      </c>
      <c r="CF68" s="10" t="n">
        <v>46080</v>
      </c>
      <c r="CG68" s="9" t="n">
        <v>705</v>
      </c>
      <c r="CH68" s="9" t="n">
        <v>45</v>
      </c>
      <c r="CI68" s="9" t="n">
        <v>705</v>
      </c>
      <c r="CJ68" s="9" t="n">
        <v>-660</v>
      </c>
      <c r="CK68" s="9" t="n">
        <v>0</v>
      </c>
      <c r="CO68" s="10" t="n">
        <v>46080</v>
      </c>
      <c r="CQ68" s="9" t="n">
        <v>0</v>
      </c>
      <c r="CS68" s="9" t="n">
        <v>0</v>
      </c>
      <c r="CT68" s="9" t="n">
        <v>0</v>
      </c>
      <c r="CX68" s="10" t="n">
        <v>46080</v>
      </c>
      <c r="CZ68" s="9" t="n">
        <v>0</v>
      </c>
      <c r="DB68" s="9" t="n">
        <v>0</v>
      </c>
      <c r="DC68" s="9" t="n">
        <v>55052.4</v>
      </c>
      <c r="DG68" s="10" t="n">
        <v>46080</v>
      </c>
      <c r="DI68" s="9" t="n">
        <v>0</v>
      </c>
      <c r="DJ68" s="9" t="n">
        <v>310.6</v>
      </c>
      <c r="DK68" s="9" t="n">
        <v>-310.6</v>
      </c>
      <c r="DL68" s="9" t="n">
        <v>-2.842170943040401e-12</v>
      </c>
      <c r="DP68" s="10" t="n">
        <v>46080</v>
      </c>
      <c r="DR68" s="9" t="n">
        <v>0</v>
      </c>
      <c r="DT68" s="9" t="n">
        <v>0</v>
      </c>
      <c r="DU68" s="9" t="n">
        <v>2300</v>
      </c>
      <c r="DY68" s="10" t="n">
        <v>46080</v>
      </c>
      <c r="EA68" s="9" t="n">
        <v>0</v>
      </c>
      <c r="EC68" s="9" t="n">
        <v>0</v>
      </c>
      <c r="ED68" s="9" t="n">
        <v>5696.8</v>
      </c>
      <c r="EH68" s="10" t="n">
        <v>46080</v>
      </c>
      <c r="EJ68" s="9" t="n">
        <v>0</v>
      </c>
      <c r="EL68" s="9" t="n">
        <v>0</v>
      </c>
      <c r="EM68" s="9" t="n">
        <v>0</v>
      </c>
      <c r="EQ68" s="10" t="n">
        <v>46080</v>
      </c>
      <c r="ES68" s="9" t="n">
        <v>0</v>
      </c>
      <c r="EU68" s="9" t="n">
        <v>0</v>
      </c>
      <c r="EV68" s="9" t="n">
        <v>0</v>
      </c>
      <c r="EZ68" s="10" t="n">
        <v>46080</v>
      </c>
      <c r="FB68" s="9" t="n">
        <v>0</v>
      </c>
      <c r="FD68" s="9" t="n">
        <v>0</v>
      </c>
      <c r="FE68" s="9" t="n">
        <v>0</v>
      </c>
      <c r="FI68" s="10" t="n">
        <v>46080</v>
      </c>
      <c r="FK68" s="9" t="n">
        <v>0</v>
      </c>
      <c r="FM68" s="9" t="n">
        <v>0</v>
      </c>
      <c r="FN68" s="9" t="n">
        <v>0</v>
      </c>
      <c r="FR68" s="10" t="n">
        <v>46080</v>
      </c>
      <c r="FT68" s="9" t="n">
        <v>1000</v>
      </c>
      <c r="FV68" s="9" t="n">
        <v>1000</v>
      </c>
      <c r="FW68" s="9" t="n">
        <v>1620</v>
      </c>
      <c r="GA68" s="10" t="n">
        <v>46080</v>
      </c>
      <c r="GC68" s="9" t="n">
        <v>0</v>
      </c>
      <c r="GE68" s="9" t="n">
        <v>0</v>
      </c>
      <c r="GF68" s="9" t="n">
        <v>5960</v>
      </c>
      <c r="GJ68" s="10" t="n">
        <v>46080</v>
      </c>
      <c r="GL68" s="9" t="n">
        <v>0</v>
      </c>
      <c r="GN68" s="9" t="n">
        <v>0</v>
      </c>
      <c r="GO68" s="9" t="n">
        <v>5240</v>
      </c>
      <c r="GS68" s="10" t="n">
        <v>46080</v>
      </c>
      <c r="GU68" s="9" t="n">
        <v>0</v>
      </c>
      <c r="GW68" s="9" t="n">
        <v>0</v>
      </c>
      <c r="GX68" s="9" t="n">
        <v>0</v>
      </c>
      <c r="HB68" s="10" t="n">
        <v>46080</v>
      </c>
      <c r="HD68" s="9" t="n">
        <v>0</v>
      </c>
      <c r="HF68" s="9" t="n">
        <v>0</v>
      </c>
      <c r="HG68" s="9" t="n">
        <v>0</v>
      </c>
      <c r="HK68" s="10" t="n">
        <v>46080</v>
      </c>
      <c r="HM68" s="9" t="n">
        <v>0</v>
      </c>
      <c r="HO68" s="9" t="n">
        <v>0</v>
      </c>
      <c r="HP68" s="9" t="n">
        <v>0</v>
      </c>
      <c r="HU68" s="10" t="n">
        <v>46080</v>
      </c>
      <c r="HW68" s="9" t="n">
        <v>0</v>
      </c>
      <c r="HY68" s="9" t="n">
        <v>0</v>
      </c>
      <c r="HZ68" s="9" t="n">
        <v>5120</v>
      </c>
      <c r="ID68" s="10" t="n">
        <v>46080</v>
      </c>
      <c r="IF68" s="9" t="n">
        <v>0</v>
      </c>
      <c r="IH68" s="9" t="n">
        <v>0</v>
      </c>
      <c r="II68" s="9" t="n">
        <v>5100</v>
      </c>
      <c r="IM68" s="10" t="n">
        <v>46080</v>
      </c>
      <c r="IO68" s="9" t="n">
        <v>0</v>
      </c>
      <c r="IQ68" s="9" t="n">
        <v>0</v>
      </c>
      <c r="IR68" s="9" t="n">
        <v>10240</v>
      </c>
      <c r="IV68" s="10" t="n">
        <v>46080</v>
      </c>
      <c r="IX68" s="9" t="n">
        <v>0</v>
      </c>
      <c r="IZ68" s="9" t="n">
        <v>0</v>
      </c>
      <c r="JA68" s="9" t="n">
        <v>15120</v>
      </c>
      <c r="JE68" s="10" t="n">
        <v>46080</v>
      </c>
      <c r="JG68" s="9" t="n">
        <v>0</v>
      </c>
      <c r="JI68" s="9" t="n">
        <v>0</v>
      </c>
      <c r="JJ68" s="9" t="n">
        <v>3600</v>
      </c>
      <c r="JN68" s="10" t="n">
        <v>46080</v>
      </c>
      <c r="JP68" s="9" t="n">
        <v>0</v>
      </c>
      <c r="JR68" s="9" t="n">
        <v>0</v>
      </c>
      <c r="JS68" s="9" t="n">
        <v>5400</v>
      </c>
      <c r="JW68" s="10" t="n">
        <v>46080</v>
      </c>
      <c r="JY68" s="9" t="n">
        <v>0</v>
      </c>
      <c r="KA68" s="9" t="n">
        <v>0</v>
      </c>
      <c r="KB68" s="9" t="n">
        <v>4000</v>
      </c>
      <c r="KF68" s="10" t="n">
        <v>46080</v>
      </c>
      <c r="KH68" s="9" t="n">
        <v>0</v>
      </c>
      <c r="KI68" s="9" t="n">
        <v>1287</v>
      </c>
      <c r="KJ68" s="9" t="n">
        <v>-1287</v>
      </c>
      <c r="KK68" s="9" t="n">
        <v>0</v>
      </c>
      <c r="KO68" s="10" t="n">
        <v>46080</v>
      </c>
      <c r="KQ68" s="9" t="n">
        <v>0</v>
      </c>
      <c r="KS68" s="9" t="n">
        <v>0</v>
      </c>
      <c r="KT68" s="9" t="n">
        <v>10281.6</v>
      </c>
      <c r="KX68" s="10" t="n">
        <v>46080</v>
      </c>
      <c r="KZ68" s="9" t="n">
        <v>0</v>
      </c>
      <c r="LB68" s="9" t="n">
        <v>0</v>
      </c>
      <c r="LC68" s="9" t="n">
        <v>0</v>
      </c>
      <c r="LG68" s="10" t="n">
        <v>46080</v>
      </c>
      <c r="LI68" s="9" t="n">
        <v>0</v>
      </c>
      <c r="LK68" s="9" t="n">
        <v>0</v>
      </c>
      <c r="LL68" s="9" t="n">
        <v>0</v>
      </c>
      <c r="LP68" s="10" t="n">
        <v>46080</v>
      </c>
      <c r="LR68" s="9" t="n">
        <v>0</v>
      </c>
      <c r="LT68" s="9" t="n">
        <v>0</v>
      </c>
      <c r="LU68" s="9" t="n">
        <v>0</v>
      </c>
      <c r="LY68" s="10" t="n">
        <v>46080</v>
      </c>
      <c r="MA68" s="9" t="n">
        <v>0</v>
      </c>
      <c r="MC68" s="9" t="n">
        <v>0</v>
      </c>
      <c r="MD68" s="9" t="n">
        <v>0</v>
      </c>
      <c r="MH68" s="10" t="n">
        <v>46080</v>
      </c>
      <c r="MJ68" s="9" t="n">
        <v>0</v>
      </c>
      <c r="ML68" s="9" t="n">
        <v>0</v>
      </c>
      <c r="MM68" s="9" t="n">
        <v>0</v>
      </c>
      <c r="MQ68" s="10" t="n">
        <v>46080</v>
      </c>
      <c r="MS68" s="9" t="n">
        <v>25</v>
      </c>
      <c r="MU68" s="9" t="n">
        <v>25</v>
      </c>
      <c r="MV68" s="9" t="n">
        <v>4270</v>
      </c>
      <c r="MZ68" s="10" t="n">
        <v>46080</v>
      </c>
      <c r="NB68" s="9" t="n">
        <v>0</v>
      </c>
      <c r="ND68" s="9" t="n">
        <v>0</v>
      </c>
      <c r="NE68" s="9" t="n">
        <v>0</v>
      </c>
      <c r="NI68" s="10" t="n">
        <v>46080</v>
      </c>
      <c r="NK68" s="9" t="n">
        <v>0</v>
      </c>
      <c r="NM68" s="9" t="n">
        <v>0</v>
      </c>
      <c r="NN68" s="9" t="n">
        <v>0</v>
      </c>
      <c r="NR68" s="10" t="n">
        <v>46080</v>
      </c>
      <c r="NT68" s="9" t="n">
        <v>0</v>
      </c>
      <c r="NV68" s="9" t="n">
        <v>0</v>
      </c>
      <c r="NW68" s="9" t="n">
        <v>1969.2</v>
      </c>
      <c r="OA68" s="10" t="n">
        <v>46080</v>
      </c>
      <c r="OC68" s="9" t="n">
        <v>0</v>
      </c>
      <c r="OE68" s="9" t="n">
        <v>0</v>
      </c>
      <c r="OF68" s="9" t="n">
        <v>1680.5</v>
      </c>
      <c r="OJ68" s="10" t="n">
        <v>46080</v>
      </c>
      <c r="OK68" s="9" t="n">
        <v>739.2</v>
      </c>
      <c r="OL68" s="9" t="n">
        <v>0</v>
      </c>
      <c r="OM68" s="9" t="n">
        <v>739.2</v>
      </c>
      <c r="ON68" s="9" t="n">
        <v>-739.2</v>
      </c>
      <c r="OO68" s="9" t="n">
        <v>0</v>
      </c>
      <c r="OS68" s="10" t="n">
        <v>46080</v>
      </c>
      <c r="OU68" s="9" t="n">
        <v>0</v>
      </c>
      <c r="OW68" s="9" t="n">
        <v>0</v>
      </c>
      <c r="OX68" s="9" t="n">
        <v>0</v>
      </c>
      <c r="PB68" s="10" t="n">
        <v>46080</v>
      </c>
      <c r="PD68" s="9" t="n">
        <v>0</v>
      </c>
      <c r="PF68" s="9" t="n">
        <v>0</v>
      </c>
      <c r="PG68" s="9" t="n">
        <v>0</v>
      </c>
      <c r="PK68" s="10" t="n">
        <v>46080</v>
      </c>
      <c r="PM68" s="9" t="n">
        <v>0</v>
      </c>
      <c r="PO68" s="9" t="n">
        <v>0</v>
      </c>
      <c r="PP68" s="9" t="n">
        <v>100</v>
      </c>
      <c r="PT68" s="10" t="n">
        <v>46080</v>
      </c>
      <c r="PV68" s="9" t="n">
        <v>0</v>
      </c>
      <c r="PX68" s="9" t="n">
        <v>0</v>
      </c>
      <c r="PY68" s="9" t="n">
        <v>13.96000000000004</v>
      </c>
      <c r="QC68" s="10" t="n">
        <v>46080</v>
      </c>
      <c r="QE68" s="9" t="n">
        <v>0</v>
      </c>
      <c r="QG68" s="9" t="n">
        <v>0</v>
      </c>
      <c r="QH68" s="9" t="n">
        <v>0</v>
      </c>
      <c r="QL68" s="10" t="n">
        <v>46080</v>
      </c>
      <c r="QN68" s="9" t="n">
        <v>0</v>
      </c>
      <c r="QP68" s="9" t="n">
        <v>0</v>
      </c>
      <c r="QQ68" s="9" t="n">
        <v>0</v>
      </c>
      <c r="QU68" s="10" t="n">
        <v>46080</v>
      </c>
      <c r="QW68" s="9" t="n">
        <v>0</v>
      </c>
      <c r="QY68" s="9" t="n">
        <v>0</v>
      </c>
      <c r="QZ68" s="9" t="n">
        <v>207.6</v>
      </c>
      <c r="RD68" s="10" t="n">
        <v>46080</v>
      </c>
      <c r="RF68" s="9" t="n">
        <v>0</v>
      </c>
      <c r="RH68" s="9" t="n">
        <v>0</v>
      </c>
      <c r="RI68" s="9" t="n">
        <v>197.04</v>
      </c>
      <c r="RM68" s="10" t="n">
        <v>46080</v>
      </c>
      <c r="RO68" s="9" t="n">
        <v>0</v>
      </c>
      <c r="RQ68" s="9" t="n">
        <v>0</v>
      </c>
      <c r="RR68" s="9" t="n">
        <v>46.8</v>
      </c>
      <c r="RV68" s="10" t="n">
        <v>46080</v>
      </c>
      <c r="RX68" s="9" t="n">
        <v>0</v>
      </c>
      <c r="RZ68" s="9" t="n">
        <v>0</v>
      </c>
      <c r="SA68" s="9" t="n">
        <v>0</v>
      </c>
      <c r="SE68" s="10" t="n">
        <v>46080</v>
      </c>
      <c r="SG68" s="9" t="n">
        <v>0</v>
      </c>
      <c r="SI68" s="9" t="n">
        <v>0</v>
      </c>
      <c r="SJ68" s="9" t="n">
        <v>0</v>
      </c>
      <c r="SN68" s="10" t="n">
        <v>46080</v>
      </c>
      <c r="SP68" s="9" t="n">
        <v>0</v>
      </c>
      <c r="SR68" s="9" t="n">
        <v>0</v>
      </c>
      <c r="SS68" s="9" t="n">
        <v>0</v>
      </c>
      <c r="SW68" s="10" t="n">
        <v>46080</v>
      </c>
      <c r="SY68" s="9" t="n">
        <v>0</v>
      </c>
      <c r="TA68" s="9" t="n">
        <v>0</v>
      </c>
      <c r="TB68" s="9" t="n">
        <v>0</v>
      </c>
      <c r="TF68" s="10" t="n">
        <v>46080</v>
      </c>
      <c r="TH68" s="9" t="n">
        <v>0</v>
      </c>
      <c r="TJ68" s="9" t="n">
        <v>0</v>
      </c>
      <c r="TK68" s="9" t="n">
        <v>0</v>
      </c>
      <c r="TO68" s="10" t="n">
        <v>46080</v>
      </c>
      <c r="TQ68" s="9" t="n">
        <v>0</v>
      </c>
      <c r="TS68" s="9" t="n">
        <v>0</v>
      </c>
      <c r="TT68" s="9" t="n">
        <v>0</v>
      </c>
      <c r="TX68" s="10" t="n">
        <v>46080</v>
      </c>
      <c r="TZ68" s="9" t="n">
        <v>0</v>
      </c>
      <c r="UB68" s="9" t="n">
        <v>0</v>
      </c>
      <c r="UC68" s="9" t="n">
        <v>0</v>
      </c>
      <c r="UG68" s="10" t="n">
        <v>46080</v>
      </c>
      <c r="UI68" s="9" t="n">
        <v>0</v>
      </c>
      <c r="UK68" s="9" t="n">
        <v>0</v>
      </c>
      <c r="UL68" s="9" t="n">
        <v>0</v>
      </c>
      <c r="UP68" s="10" t="n">
        <v>46080</v>
      </c>
      <c r="UR68" s="9" t="n">
        <v>0</v>
      </c>
      <c r="UT68" s="9" t="n">
        <v>0</v>
      </c>
      <c r="UU68" s="9" t="n">
        <v>0</v>
      </c>
      <c r="UY68" s="10" t="n">
        <v>46080</v>
      </c>
      <c r="VA68" s="9" t="n">
        <v>0</v>
      </c>
      <c r="VC68" s="9" t="n">
        <v>0</v>
      </c>
      <c r="VD68" s="9" t="n">
        <v>41.60000000000002</v>
      </c>
      <c r="VH68" s="10" t="n">
        <v>46080</v>
      </c>
      <c r="VJ68" s="9" t="n">
        <v>0</v>
      </c>
      <c r="VL68" s="9" t="n">
        <v>0</v>
      </c>
      <c r="VM68" s="9" t="n">
        <v>0</v>
      </c>
      <c r="VQ68" s="10" t="n">
        <v>46080</v>
      </c>
      <c r="VS68" s="9" t="n">
        <v>0</v>
      </c>
      <c r="VU68" s="9" t="n">
        <v>0</v>
      </c>
      <c r="VV68" s="9" t="n">
        <v>0</v>
      </c>
      <c r="VZ68" s="10" t="n">
        <v>46080</v>
      </c>
      <c r="WB68" s="9" t="n">
        <v>0</v>
      </c>
      <c r="WD68" s="9" t="n">
        <v>0</v>
      </c>
      <c r="WE68" s="9" t="n">
        <v>0</v>
      </c>
      <c r="WI68" s="10" t="n">
        <v>46080</v>
      </c>
      <c r="WK68" s="9" t="n">
        <v>0</v>
      </c>
      <c r="WL68" s="9" t="n">
        <v>1004</v>
      </c>
      <c r="WM68" s="9" t="n">
        <v>-1004</v>
      </c>
      <c r="WN68" s="9" t="n">
        <v>6628</v>
      </c>
      <c r="WR68" s="10" t="n">
        <v>46080</v>
      </c>
      <c r="WT68" s="9" t="n">
        <v>0</v>
      </c>
      <c r="WV68" s="9" t="n">
        <v>0</v>
      </c>
      <c r="WW68" s="9" t="n">
        <v>6559</v>
      </c>
      <c r="XA68" s="10" t="n">
        <v>46080</v>
      </c>
      <c r="XC68" s="9" t="n">
        <v>0</v>
      </c>
      <c r="XE68" s="9" t="n">
        <v>0</v>
      </c>
      <c r="XF68" s="9" t="n">
        <v>590</v>
      </c>
      <c r="XJ68" s="10" t="n">
        <v>46080</v>
      </c>
      <c r="XL68" s="9" t="n">
        <v>0</v>
      </c>
      <c r="XN68" s="9" t="n">
        <v>0</v>
      </c>
      <c r="XO68" s="9" t="n">
        <v>3391</v>
      </c>
      <c r="XS68" s="10" t="n">
        <v>46080</v>
      </c>
      <c r="XU68" s="9" t="n">
        <v>0</v>
      </c>
      <c r="XW68" s="9" t="n">
        <v>0</v>
      </c>
      <c r="XX68" s="9" t="n">
        <v>1901</v>
      </c>
      <c r="YB68" s="10" t="n">
        <v>46080</v>
      </c>
      <c r="YD68" s="9" t="n">
        <v>0</v>
      </c>
      <c r="YF68" s="9" t="n">
        <v>0</v>
      </c>
      <c r="YG68" s="9" t="n">
        <v>0</v>
      </c>
      <c r="YK68" s="10" t="n">
        <v>46080</v>
      </c>
      <c r="YM68" s="9" t="n">
        <v>0</v>
      </c>
      <c r="YO68" s="9" t="n">
        <v>0</v>
      </c>
      <c r="YP68" s="9" t="n">
        <v>0</v>
      </c>
      <c r="YT68" s="10" t="n">
        <v>46080</v>
      </c>
      <c r="YV68" s="9" t="n">
        <v>0</v>
      </c>
      <c r="YX68" s="9" t="n">
        <v>0</v>
      </c>
      <c r="YY68" s="9" t="n">
        <v>0</v>
      </c>
      <c r="ZC68" s="10" t="n">
        <v>46080</v>
      </c>
      <c r="ZE68" s="9" t="n">
        <v>0</v>
      </c>
      <c r="ZG68" s="9" t="n">
        <v>0</v>
      </c>
      <c r="ZH68" s="9" t="n">
        <v>0</v>
      </c>
      <c r="ZL68" s="10" t="n">
        <v>46080</v>
      </c>
      <c r="ZN68" s="9" t="n">
        <v>0</v>
      </c>
      <c r="ZP68" s="9" t="n">
        <v>0</v>
      </c>
      <c r="ZQ68" s="9" t="n">
        <v>0</v>
      </c>
      <c r="ZU68" s="10" t="n">
        <v>46080</v>
      </c>
      <c r="ZW68" s="9" t="n">
        <v>0</v>
      </c>
      <c r="ZY68" s="9" t="n">
        <v>0</v>
      </c>
      <c r="ZZ68" s="9" t="n">
        <v>0</v>
      </c>
      <c r="AAD68" s="10" t="n">
        <v>46080</v>
      </c>
      <c r="AAF68" s="9" t="n">
        <v>0</v>
      </c>
      <c r="AAH68" s="9" t="n">
        <v>0</v>
      </c>
      <c r="AAI68" s="9" t="n">
        <v>0</v>
      </c>
      <c r="AAM68" s="10" t="n">
        <v>46080</v>
      </c>
      <c r="AAO68" s="9" t="n">
        <v>0</v>
      </c>
      <c r="AAQ68" s="9" t="n">
        <v>0</v>
      </c>
      <c r="AAR68" s="9" t="n">
        <v>0</v>
      </c>
      <c r="AAV68" s="10" t="n">
        <v>46080</v>
      </c>
      <c r="AAX68" s="9" t="n">
        <v>0</v>
      </c>
      <c r="AAZ68" s="9" t="n">
        <v>0</v>
      </c>
      <c r="ABA68" s="9" t="n">
        <v>0</v>
      </c>
      <c r="ABE68" s="10" t="n">
        <v>46080</v>
      </c>
      <c r="ABG68" s="9" t="n">
        <v>0</v>
      </c>
      <c r="ABI68" s="9" t="n">
        <v>0</v>
      </c>
      <c r="ABJ68" s="9" t="n">
        <v>0</v>
      </c>
    </row>
    <row r="69">
      <c r="C69" s="10" t="n">
        <v>46081</v>
      </c>
      <c r="D69" s="9" t="n">
        <v>13380</v>
      </c>
      <c r="E69" s="9" t="n">
        <v>0</v>
      </c>
      <c r="F69" s="9" t="n">
        <v>30000</v>
      </c>
      <c r="G69" s="9" t="n">
        <v>-30000</v>
      </c>
      <c r="H69" s="9" t="n">
        <v>91614.80000000002</v>
      </c>
      <c r="L69" s="10" t="n">
        <v>46081</v>
      </c>
      <c r="M69" s="9" t="n">
        <v>25820</v>
      </c>
      <c r="N69" s="9" t="n">
        <v>0</v>
      </c>
      <c r="O69" s="9" t="n">
        <v>670</v>
      </c>
      <c r="P69" s="9" t="n">
        <v>-670</v>
      </c>
      <c r="Q69" s="9" t="n">
        <v>65096.60000000003</v>
      </c>
      <c r="U69" s="10" t="n">
        <v>46081</v>
      </c>
      <c r="V69" s="9" t="n">
        <v>30060</v>
      </c>
      <c r="W69" s="9" t="n">
        <v>0</v>
      </c>
      <c r="Y69" s="9" t="n">
        <v>0</v>
      </c>
      <c r="Z69" s="9" t="n">
        <v>48372.79999999997</v>
      </c>
      <c r="AD69" s="10" t="n">
        <v>46081</v>
      </c>
      <c r="AF69" s="9" t="n">
        <v>0</v>
      </c>
      <c r="AH69" s="9" t="n">
        <v>0</v>
      </c>
      <c r="AI69" s="9" t="n">
        <v>34138.20000000002</v>
      </c>
      <c r="AM69" s="10" t="n">
        <v>46081</v>
      </c>
      <c r="AO69" s="9" t="n">
        <v>0</v>
      </c>
      <c r="AQ69" s="9" t="n">
        <v>0</v>
      </c>
      <c r="AR69" s="9" t="n">
        <v>0</v>
      </c>
      <c r="AV69" s="10" t="n">
        <v>46081</v>
      </c>
      <c r="AW69" s="9" t="n">
        <v>280</v>
      </c>
      <c r="AX69" s="9" t="n">
        <v>0</v>
      </c>
      <c r="AZ69" s="9" t="n">
        <v>0</v>
      </c>
      <c r="BA69" s="9" t="n">
        <v>47801.99999999999</v>
      </c>
      <c r="BE69" s="10" t="n">
        <v>46081</v>
      </c>
      <c r="BG69" s="9" t="n">
        <v>0</v>
      </c>
      <c r="BI69" s="9" t="n">
        <v>0</v>
      </c>
      <c r="BJ69" s="9" t="n">
        <v>7501.800000000005</v>
      </c>
      <c r="BN69" s="10" t="n">
        <v>46081</v>
      </c>
      <c r="BP69" s="9" t="n">
        <v>0</v>
      </c>
      <c r="BR69" s="9" t="n">
        <v>0</v>
      </c>
      <c r="BS69" s="9" t="n">
        <v>0</v>
      </c>
      <c r="BW69" s="10" t="n">
        <v>46081</v>
      </c>
      <c r="BY69" s="9" t="n">
        <v>0</v>
      </c>
      <c r="BZ69" s="9" t="n">
        <v>231</v>
      </c>
      <c r="CA69" s="9" t="n">
        <v>-231</v>
      </c>
      <c r="CB69" s="9" t="n">
        <v>8.000000000000114</v>
      </c>
      <c r="CF69" s="10" t="n">
        <v>46081</v>
      </c>
      <c r="CG69" s="9" t="n">
        <v>660</v>
      </c>
      <c r="CH69" s="9" t="n">
        <v>0</v>
      </c>
      <c r="CI69" s="9" t="n">
        <v>660</v>
      </c>
      <c r="CJ69" s="9" t="n">
        <v>-660</v>
      </c>
      <c r="CK69" s="9" t="n">
        <v>0</v>
      </c>
      <c r="CO69" s="10" t="n">
        <v>46081</v>
      </c>
      <c r="CQ69" s="9" t="n">
        <v>0</v>
      </c>
      <c r="CS69" s="9" t="n">
        <v>0</v>
      </c>
      <c r="CT69" s="9" t="n">
        <v>0</v>
      </c>
      <c r="CX69" s="10" t="n">
        <v>46081</v>
      </c>
      <c r="CZ69" s="9" t="n">
        <v>0</v>
      </c>
      <c r="DB69" s="9" t="n">
        <v>0</v>
      </c>
      <c r="DC69" s="9" t="n">
        <v>55052.4</v>
      </c>
      <c r="DG69" s="10" t="n">
        <v>46081</v>
      </c>
      <c r="DI69" s="9" t="n">
        <v>0</v>
      </c>
      <c r="DK69" s="9" t="n">
        <v>0</v>
      </c>
      <c r="DL69" s="9" t="n">
        <v>-2.842170943040401e-12</v>
      </c>
      <c r="DP69" s="10" t="n">
        <v>46081</v>
      </c>
      <c r="DR69" s="9" t="n">
        <v>0</v>
      </c>
      <c r="DT69" s="9" t="n">
        <v>0</v>
      </c>
      <c r="DU69" s="9" t="n">
        <v>2300</v>
      </c>
      <c r="DY69" s="10" t="n">
        <v>46081</v>
      </c>
      <c r="EA69" s="9" t="n">
        <v>0</v>
      </c>
      <c r="EC69" s="9" t="n">
        <v>0</v>
      </c>
      <c r="ED69" s="9" t="n">
        <v>5696.8</v>
      </c>
      <c r="EH69" s="10" t="n">
        <v>46081</v>
      </c>
      <c r="EJ69" s="9" t="n">
        <v>0</v>
      </c>
      <c r="EL69" s="9" t="n">
        <v>0</v>
      </c>
      <c r="EM69" s="9" t="n">
        <v>0</v>
      </c>
      <c r="EQ69" s="10" t="n">
        <v>46081</v>
      </c>
      <c r="ES69" s="9" t="n">
        <v>0</v>
      </c>
      <c r="EU69" s="9" t="n">
        <v>0</v>
      </c>
      <c r="EV69" s="9" t="n">
        <v>0</v>
      </c>
      <c r="EZ69" s="10" t="n">
        <v>46081</v>
      </c>
      <c r="FB69" s="9" t="n">
        <v>0</v>
      </c>
      <c r="FD69" s="9" t="n">
        <v>0</v>
      </c>
      <c r="FE69" s="9" t="n">
        <v>0</v>
      </c>
      <c r="FI69" s="10" t="n">
        <v>46081</v>
      </c>
      <c r="FK69" s="9" t="n">
        <v>0</v>
      </c>
      <c r="FM69" s="9" t="n">
        <v>0</v>
      </c>
      <c r="FN69" s="9" t="n">
        <v>0</v>
      </c>
      <c r="FR69" s="10" t="n">
        <v>46081</v>
      </c>
      <c r="FT69" s="9" t="n">
        <v>0</v>
      </c>
      <c r="FU69" s="9" t="n">
        <v>1000</v>
      </c>
      <c r="FV69" s="9" t="n">
        <v>-1000</v>
      </c>
      <c r="FW69" s="9" t="n">
        <v>620</v>
      </c>
      <c r="FX69" s="9" t="n">
        <v>50</v>
      </c>
      <c r="GA69" s="10" t="n">
        <v>46081</v>
      </c>
      <c r="GC69" s="9" t="n">
        <v>0</v>
      </c>
      <c r="GE69" s="9" t="n">
        <v>0</v>
      </c>
      <c r="GF69" s="9" t="n">
        <v>5960</v>
      </c>
      <c r="GJ69" s="10" t="n">
        <v>46081</v>
      </c>
      <c r="GL69" s="9" t="n">
        <v>0</v>
      </c>
      <c r="GN69" s="9" t="n">
        <v>0</v>
      </c>
      <c r="GO69" s="9" t="n">
        <v>5240</v>
      </c>
      <c r="GS69" s="10" t="n">
        <v>46081</v>
      </c>
      <c r="GU69" s="9" t="n">
        <v>0</v>
      </c>
      <c r="GW69" s="9" t="n">
        <v>0</v>
      </c>
      <c r="GX69" s="9" t="n">
        <v>0</v>
      </c>
      <c r="HB69" s="10" t="n">
        <v>46081</v>
      </c>
      <c r="HD69" s="9" t="n">
        <v>0</v>
      </c>
      <c r="HF69" s="9" t="n">
        <v>0</v>
      </c>
      <c r="HG69" s="9" t="n">
        <v>0</v>
      </c>
      <c r="HK69" s="10" t="n">
        <v>46081</v>
      </c>
      <c r="HM69" s="9" t="n">
        <v>0</v>
      </c>
      <c r="HO69" s="9" t="n">
        <v>0</v>
      </c>
      <c r="HP69" s="9" t="n">
        <v>0</v>
      </c>
      <c r="HU69" s="10" t="n">
        <v>46081</v>
      </c>
      <c r="HW69" s="9" t="n">
        <v>0</v>
      </c>
      <c r="HY69" s="9" t="n">
        <v>0</v>
      </c>
      <c r="HZ69" s="9" t="n">
        <v>5120</v>
      </c>
      <c r="ID69" s="10" t="n">
        <v>46081</v>
      </c>
      <c r="IF69" s="9" t="n">
        <v>0</v>
      </c>
      <c r="IH69" s="9" t="n">
        <v>0</v>
      </c>
      <c r="II69" s="9" t="n">
        <v>5100</v>
      </c>
      <c r="IM69" s="10" t="n">
        <v>46081</v>
      </c>
      <c r="IO69" s="9" t="n">
        <v>0</v>
      </c>
      <c r="IQ69" s="9" t="n">
        <v>0</v>
      </c>
      <c r="IR69" s="9" t="n">
        <v>10240</v>
      </c>
      <c r="IV69" s="10" t="n">
        <v>46081</v>
      </c>
      <c r="IX69" s="9" t="n">
        <v>0</v>
      </c>
      <c r="IZ69" s="9" t="n">
        <v>0</v>
      </c>
      <c r="JA69" s="9" t="n">
        <v>15120</v>
      </c>
      <c r="JE69" s="10" t="n">
        <v>46081</v>
      </c>
      <c r="JG69" s="9" t="n">
        <v>0</v>
      </c>
      <c r="JH69" s="9" t="n">
        <v>280</v>
      </c>
      <c r="JI69" s="9" t="n">
        <v>-280</v>
      </c>
      <c r="JJ69" s="9" t="n">
        <v>3320</v>
      </c>
      <c r="JN69" s="10" t="n">
        <v>46081</v>
      </c>
      <c r="JP69" s="9" t="n">
        <v>0</v>
      </c>
      <c r="JR69" s="9" t="n">
        <v>0</v>
      </c>
      <c r="JS69" s="9" t="n">
        <v>5400</v>
      </c>
      <c r="JW69" s="10" t="n">
        <v>46081</v>
      </c>
      <c r="JY69" s="9" t="n">
        <v>0</v>
      </c>
      <c r="KA69" s="9" t="n">
        <v>0</v>
      </c>
      <c r="KB69" s="9" t="n">
        <v>4000</v>
      </c>
      <c r="KF69" s="10" t="n">
        <v>46081</v>
      </c>
      <c r="KH69" s="9" t="n">
        <v>0</v>
      </c>
      <c r="KJ69" s="9" t="n">
        <v>0</v>
      </c>
      <c r="KK69" s="9" t="n">
        <v>0</v>
      </c>
      <c r="KO69" s="10" t="n">
        <v>46081</v>
      </c>
      <c r="KQ69" s="9" t="n">
        <v>0</v>
      </c>
      <c r="KR69" s="9" t="n">
        <v>3742.2</v>
      </c>
      <c r="KS69" s="9" t="n">
        <v>-3742.2</v>
      </c>
      <c r="KT69" s="9" t="n">
        <v>6539.400000000001</v>
      </c>
      <c r="KX69" s="10" t="n">
        <v>46081</v>
      </c>
      <c r="KZ69" s="9" t="n">
        <v>0</v>
      </c>
      <c r="LB69" s="9" t="n">
        <v>0</v>
      </c>
      <c r="LC69" s="9" t="n">
        <v>0</v>
      </c>
      <c r="LG69" s="10" t="n">
        <v>46081</v>
      </c>
      <c r="LI69" s="9" t="n">
        <v>0</v>
      </c>
      <c r="LK69" s="9" t="n">
        <v>0</v>
      </c>
      <c r="LL69" s="9" t="n">
        <v>0</v>
      </c>
      <c r="LP69" s="10" t="n">
        <v>46081</v>
      </c>
      <c r="LR69" s="9" t="n">
        <v>0</v>
      </c>
      <c r="LT69" s="9" t="n">
        <v>0</v>
      </c>
      <c r="LU69" s="9" t="n">
        <v>0</v>
      </c>
      <c r="LY69" s="10" t="n">
        <v>46081</v>
      </c>
      <c r="MA69" s="9" t="n">
        <v>0</v>
      </c>
      <c r="MC69" s="9" t="n">
        <v>0</v>
      </c>
      <c r="MD69" s="9" t="n">
        <v>0</v>
      </c>
      <c r="MH69" s="10" t="n">
        <v>46081</v>
      </c>
      <c r="MJ69" s="9" t="n">
        <v>0</v>
      </c>
      <c r="ML69" s="9" t="n">
        <v>0</v>
      </c>
      <c r="MM69" s="9" t="n">
        <v>0</v>
      </c>
      <c r="MQ69" s="10" t="n">
        <v>46081</v>
      </c>
      <c r="MS69" s="9" t="n">
        <v>0</v>
      </c>
      <c r="MT69" s="9" t="n">
        <v>147</v>
      </c>
      <c r="MU69" s="9" t="n">
        <v>-147</v>
      </c>
      <c r="MV69" s="9" t="n">
        <v>4123</v>
      </c>
      <c r="MZ69" s="10" t="n">
        <v>46081</v>
      </c>
      <c r="NB69" s="9" t="n">
        <v>0</v>
      </c>
      <c r="ND69" s="9" t="n">
        <v>0</v>
      </c>
      <c r="NE69" s="9" t="n">
        <v>0</v>
      </c>
      <c r="NI69" s="10" t="n">
        <v>46081</v>
      </c>
      <c r="NK69" s="9" t="n">
        <v>0</v>
      </c>
      <c r="NM69" s="9" t="n">
        <v>0</v>
      </c>
      <c r="NN69" s="9" t="n">
        <v>0</v>
      </c>
      <c r="NR69" s="10" t="n">
        <v>46081</v>
      </c>
      <c r="NS69" s="9" t="n">
        <v>67.3</v>
      </c>
      <c r="NT69" s="9" t="n">
        <v>0</v>
      </c>
      <c r="NU69" s="9" t="n">
        <v>88.8</v>
      </c>
      <c r="NV69" s="9" t="n">
        <v>-88.8</v>
      </c>
      <c r="NW69" s="9" t="n">
        <v>1947.7</v>
      </c>
      <c r="OA69" s="10" t="n">
        <v>46081</v>
      </c>
      <c r="OC69" s="9" t="n">
        <v>0</v>
      </c>
      <c r="OE69" s="9" t="n">
        <v>0</v>
      </c>
      <c r="OF69" s="9" t="n">
        <v>1680.5</v>
      </c>
      <c r="OJ69" s="10" t="n">
        <v>46081</v>
      </c>
      <c r="OK69" s="9" t="n">
        <v>207.2</v>
      </c>
      <c r="OL69" s="9" t="n">
        <v>0</v>
      </c>
      <c r="OM69" s="9" t="n">
        <v>207.2</v>
      </c>
      <c r="ON69" s="9" t="n">
        <v>-207.2</v>
      </c>
      <c r="OO69" s="9" t="n">
        <v>0</v>
      </c>
      <c r="OS69" s="10" t="n">
        <v>46081</v>
      </c>
      <c r="OU69" s="9" t="n">
        <v>0</v>
      </c>
      <c r="OW69" s="9" t="n">
        <v>0</v>
      </c>
      <c r="OX69" s="9" t="n">
        <v>0</v>
      </c>
      <c r="PB69" s="10" t="n">
        <v>46081</v>
      </c>
      <c r="PD69" s="9" t="n">
        <v>0</v>
      </c>
      <c r="PF69" s="9" t="n">
        <v>0</v>
      </c>
      <c r="PG69" s="9" t="n">
        <v>0</v>
      </c>
      <c r="PK69" s="10" t="n">
        <v>46081</v>
      </c>
      <c r="PM69" s="9" t="n">
        <v>0</v>
      </c>
      <c r="PO69" s="9" t="n">
        <v>0</v>
      </c>
      <c r="PP69" s="9" t="n">
        <v>100</v>
      </c>
      <c r="PT69" s="10" t="n">
        <v>46081</v>
      </c>
      <c r="PV69" s="9" t="n">
        <v>0</v>
      </c>
      <c r="PX69" s="9" t="n">
        <v>0</v>
      </c>
      <c r="PY69" s="9" t="n">
        <v>13.96000000000004</v>
      </c>
      <c r="QC69" s="10" t="n">
        <v>46081</v>
      </c>
      <c r="QD69" s="9" t="n">
        <v>400</v>
      </c>
      <c r="QE69" s="9" t="n">
        <v>0</v>
      </c>
      <c r="QF69" s="9" t="n">
        <v>56</v>
      </c>
      <c r="QG69" s="9" t="n">
        <v>-56</v>
      </c>
      <c r="QH69" s="9" t="n">
        <v>344</v>
      </c>
      <c r="QL69" s="10" t="n">
        <v>46081</v>
      </c>
      <c r="QN69" s="9" t="n">
        <v>0</v>
      </c>
      <c r="QP69" s="9" t="n">
        <v>0</v>
      </c>
      <c r="QQ69" s="9" t="n">
        <v>0</v>
      </c>
      <c r="QU69" s="10" t="n">
        <v>46081</v>
      </c>
      <c r="QW69" s="9" t="n">
        <v>0</v>
      </c>
      <c r="QY69" s="9" t="n">
        <v>0</v>
      </c>
      <c r="QZ69" s="9" t="n">
        <v>207.6</v>
      </c>
      <c r="RD69" s="10" t="n">
        <v>46081</v>
      </c>
      <c r="RF69" s="9" t="n">
        <v>0</v>
      </c>
      <c r="RH69" s="9" t="n">
        <v>0</v>
      </c>
      <c r="RI69" s="9" t="n">
        <v>197.04</v>
      </c>
      <c r="RM69" s="10" t="n">
        <v>46081</v>
      </c>
      <c r="RO69" s="9" t="n">
        <v>0</v>
      </c>
      <c r="RQ69" s="9" t="n">
        <v>0</v>
      </c>
      <c r="RR69" s="9" t="n">
        <v>46.8</v>
      </c>
      <c r="RV69" s="10" t="n">
        <v>46081</v>
      </c>
      <c r="RX69" s="9" t="n">
        <v>0</v>
      </c>
      <c r="RZ69" s="9" t="n">
        <v>0</v>
      </c>
      <c r="SA69" s="9" t="n">
        <v>0</v>
      </c>
      <c r="SE69" s="10" t="n">
        <v>46081</v>
      </c>
      <c r="SG69" s="9" t="n">
        <v>0</v>
      </c>
      <c r="SI69" s="9" t="n">
        <v>0</v>
      </c>
      <c r="SJ69" s="9" t="n">
        <v>0</v>
      </c>
      <c r="SN69" s="10" t="n">
        <v>46081</v>
      </c>
      <c r="SP69" s="9" t="n">
        <v>0</v>
      </c>
      <c r="SR69" s="9" t="n">
        <v>0</v>
      </c>
      <c r="SS69" s="9" t="n">
        <v>0</v>
      </c>
      <c r="SW69" s="10" t="n">
        <v>46081</v>
      </c>
      <c r="SY69" s="9" t="n">
        <v>0</v>
      </c>
      <c r="TA69" s="9" t="n">
        <v>0</v>
      </c>
      <c r="TB69" s="9" t="n">
        <v>0</v>
      </c>
      <c r="TF69" s="10" t="n">
        <v>46081</v>
      </c>
      <c r="TH69" s="9" t="n">
        <v>0</v>
      </c>
      <c r="TJ69" s="9" t="n">
        <v>0</v>
      </c>
      <c r="TK69" s="9" t="n">
        <v>0</v>
      </c>
      <c r="TO69" s="10" t="n">
        <v>46081</v>
      </c>
      <c r="TQ69" s="9" t="n">
        <v>0</v>
      </c>
      <c r="TS69" s="9" t="n">
        <v>0</v>
      </c>
      <c r="TT69" s="9" t="n">
        <v>0</v>
      </c>
      <c r="TX69" s="10" t="n">
        <v>46081</v>
      </c>
      <c r="TZ69" s="9" t="n">
        <v>0</v>
      </c>
      <c r="UB69" s="9" t="n">
        <v>0</v>
      </c>
      <c r="UC69" s="9" t="n">
        <v>0</v>
      </c>
      <c r="UG69" s="10" t="n">
        <v>46081</v>
      </c>
      <c r="UI69" s="9" t="n">
        <v>0</v>
      </c>
      <c r="UK69" s="9" t="n">
        <v>0</v>
      </c>
      <c r="UL69" s="9" t="n">
        <v>0</v>
      </c>
      <c r="UP69" s="10" t="n">
        <v>46081</v>
      </c>
      <c r="UR69" s="9" t="n">
        <v>0</v>
      </c>
      <c r="UT69" s="9" t="n">
        <v>0</v>
      </c>
      <c r="UU69" s="9" t="n">
        <v>0</v>
      </c>
      <c r="UY69" s="10" t="n">
        <v>46081</v>
      </c>
      <c r="VA69" s="9" t="n">
        <v>0</v>
      </c>
      <c r="VC69" s="9" t="n">
        <v>0</v>
      </c>
      <c r="VD69" s="9" t="n">
        <v>41.60000000000002</v>
      </c>
      <c r="VH69" s="10" t="n">
        <v>46081</v>
      </c>
      <c r="VJ69" s="9" t="n">
        <v>0</v>
      </c>
      <c r="VL69" s="9" t="n">
        <v>0</v>
      </c>
      <c r="VM69" s="9" t="n">
        <v>0</v>
      </c>
      <c r="VQ69" s="10" t="n">
        <v>46081</v>
      </c>
      <c r="VS69" s="9" t="n">
        <v>0</v>
      </c>
      <c r="VU69" s="9" t="n">
        <v>0</v>
      </c>
      <c r="VV69" s="9" t="n">
        <v>0</v>
      </c>
      <c r="VZ69" s="10" t="n">
        <v>46081</v>
      </c>
      <c r="WB69" s="9" t="n">
        <v>0</v>
      </c>
      <c r="WD69" s="9" t="n">
        <v>0</v>
      </c>
      <c r="WE69" s="9" t="n">
        <v>0</v>
      </c>
      <c r="WI69" s="10" t="n">
        <v>46081</v>
      </c>
      <c r="WK69" s="9" t="n">
        <v>0</v>
      </c>
      <c r="WM69" s="9" t="n">
        <v>0</v>
      </c>
      <c r="WN69" s="9" t="n">
        <v>6628</v>
      </c>
      <c r="WR69" s="10" t="n">
        <v>46081</v>
      </c>
      <c r="WT69" s="9" t="n">
        <v>0</v>
      </c>
      <c r="WV69" s="9" t="n">
        <v>0</v>
      </c>
      <c r="WW69" s="9" t="n">
        <v>6559</v>
      </c>
      <c r="XA69" s="10" t="n">
        <v>46081</v>
      </c>
      <c r="XC69" s="9" t="n">
        <v>0</v>
      </c>
      <c r="XE69" s="9" t="n">
        <v>0</v>
      </c>
      <c r="XF69" s="9" t="n">
        <v>590</v>
      </c>
      <c r="XJ69" s="10" t="n">
        <v>46081</v>
      </c>
      <c r="XL69" s="9" t="n">
        <v>0</v>
      </c>
      <c r="XN69" s="9" t="n">
        <v>0</v>
      </c>
      <c r="XO69" s="9" t="n">
        <v>3391</v>
      </c>
      <c r="XS69" s="10" t="n">
        <v>46081</v>
      </c>
      <c r="XU69" s="9" t="n">
        <v>0</v>
      </c>
      <c r="XW69" s="9" t="n">
        <v>0</v>
      </c>
      <c r="XX69" s="9" t="n">
        <v>1901</v>
      </c>
      <c r="YB69" s="10" t="n">
        <v>46081</v>
      </c>
      <c r="YD69" s="9" t="n">
        <v>0</v>
      </c>
      <c r="YF69" s="9" t="n">
        <v>0</v>
      </c>
      <c r="YG69" s="9" t="n">
        <v>0</v>
      </c>
      <c r="YK69" s="10" t="n">
        <v>46081</v>
      </c>
      <c r="YM69" s="9" t="n">
        <v>0</v>
      </c>
      <c r="YO69" s="9" t="n">
        <v>0</v>
      </c>
      <c r="YP69" s="9" t="n">
        <v>0</v>
      </c>
      <c r="YT69" s="10" t="n">
        <v>46081</v>
      </c>
      <c r="YV69" s="9" t="n">
        <v>0</v>
      </c>
      <c r="YX69" s="9" t="n">
        <v>0</v>
      </c>
      <c r="YY69" s="9" t="n">
        <v>0</v>
      </c>
      <c r="ZC69" s="10" t="n">
        <v>46081</v>
      </c>
      <c r="ZE69" s="9" t="n">
        <v>0</v>
      </c>
      <c r="ZG69" s="9" t="n">
        <v>0</v>
      </c>
      <c r="ZH69" s="9" t="n">
        <v>0</v>
      </c>
      <c r="ZL69" s="10" t="n">
        <v>46081</v>
      </c>
      <c r="ZN69" s="9" t="n">
        <v>0</v>
      </c>
      <c r="ZP69" s="9" t="n">
        <v>0</v>
      </c>
      <c r="ZQ69" s="9" t="n">
        <v>0</v>
      </c>
      <c r="ZU69" s="10" t="n">
        <v>46081</v>
      </c>
      <c r="ZW69" s="9" t="n">
        <v>0</v>
      </c>
      <c r="ZY69" s="9" t="n">
        <v>0</v>
      </c>
      <c r="ZZ69" s="9" t="n">
        <v>0</v>
      </c>
      <c r="AAD69" s="10" t="n">
        <v>46081</v>
      </c>
      <c r="AAF69" s="9" t="n">
        <v>0</v>
      </c>
      <c r="AAH69" s="9" t="n">
        <v>0</v>
      </c>
      <c r="AAI69" s="9" t="n">
        <v>0</v>
      </c>
      <c r="AAM69" s="10" t="n">
        <v>46081</v>
      </c>
      <c r="AAO69" s="9" t="n">
        <v>0</v>
      </c>
      <c r="AAQ69" s="9" t="n">
        <v>0</v>
      </c>
      <c r="AAR69" s="9" t="n">
        <v>0</v>
      </c>
      <c r="AAV69" s="10" t="n">
        <v>46081</v>
      </c>
      <c r="AAX69" s="9" t="n">
        <v>0</v>
      </c>
      <c r="AAZ69" s="9" t="n">
        <v>0</v>
      </c>
      <c r="ABA69" s="9" t="n">
        <v>0</v>
      </c>
      <c r="ABE69" s="10" t="n">
        <v>46081</v>
      </c>
      <c r="ABG69" s="9" t="n">
        <v>0</v>
      </c>
      <c r="ABI69" s="9" t="n">
        <v>0</v>
      </c>
      <c r="ABJ69" s="9" t="n">
        <v>0</v>
      </c>
    </row>
    <row r="70">
      <c r="E70" s="9" t="n">
        <v>0</v>
      </c>
      <c r="G70" s="9" t="n">
        <v>0</v>
      </c>
      <c r="H70" s="9" t="n">
        <v>91614.80000000002</v>
      </c>
      <c r="N70" s="9" t="n">
        <v>0</v>
      </c>
      <c r="P70" s="9" t="n">
        <v>0</v>
      </c>
      <c r="Q70" s="9" t="n">
        <v>65096.60000000003</v>
      </c>
      <c r="W70" s="9" t="n">
        <v>0</v>
      </c>
      <c r="Y70" s="9" t="n">
        <v>0</v>
      </c>
      <c r="Z70" s="9" t="n">
        <v>48372.79999999997</v>
      </c>
      <c r="AF70" s="9" t="n">
        <v>0</v>
      </c>
      <c r="AH70" s="9" t="n">
        <v>0</v>
      </c>
      <c r="AI70" s="9" t="n">
        <v>34138.20000000002</v>
      </c>
      <c r="AO70" s="9" t="n">
        <v>0</v>
      </c>
      <c r="AQ70" s="9" t="n">
        <v>0</v>
      </c>
      <c r="AR70" s="9" t="n">
        <v>0</v>
      </c>
      <c r="AX70" s="9" t="n">
        <v>0</v>
      </c>
      <c r="AZ70" s="9" t="n">
        <v>0</v>
      </c>
      <c r="BA70" s="9" t="n">
        <v>47801.99999999999</v>
      </c>
      <c r="BG70" s="9" t="n">
        <v>0</v>
      </c>
      <c r="BI70" s="9" t="n">
        <v>0</v>
      </c>
      <c r="BJ70" s="9" t="n">
        <v>7501.800000000005</v>
      </c>
      <c r="BP70" s="9" t="n">
        <v>0</v>
      </c>
      <c r="BR70" s="9" t="n">
        <v>0</v>
      </c>
      <c r="BS70" s="9" t="n">
        <v>0</v>
      </c>
      <c r="BY70" s="9" t="n">
        <v>0</v>
      </c>
      <c r="CA70" s="9" t="n">
        <v>0</v>
      </c>
      <c r="CB70" s="9" t="n">
        <v>8.000000000000114</v>
      </c>
      <c r="CH70" s="9" t="n">
        <v>0</v>
      </c>
      <c r="CJ70" s="9" t="n">
        <v>0</v>
      </c>
      <c r="CK70" s="9" t="n">
        <v>0</v>
      </c>
      <c r="CQ70" s="9" t="n">
        <v>0</v>
      </c>
      <c r="CS70" s="9" t="n">
        <v>0</v>
      </c>
      <c r="CT70" s="9" t="n">
        <v>0</v>
      </c>
      <c r="CZ70" s="9" t="n">
        <v>0</v>
      </c>
      <c r="DB70" s="9" t="n">
        <v>0</v>
      </c>
      <c r="DC70" s="9" t="n">
        <v>55052.4</v>
      </c>
      <c r="DI70" s="9" t="n">
        <v>0</v>
      </c>
      <c r="DK70" s="9" t="n">
        <v>0</v>
      </c>
      <c r="DL70" s="9" t="n">
        <v>-2.842170943040401e-12</v>
      </c>
      <c r="DR70" s="9" t="n">
        <v>0</v>
      </c>
      <c r="DT70" s="9" t="n">
        <v>0</v>
      </c>
      <c r="DU70" s="9" t="n">
        <v>2300</v>
      </c>
      <c r="EA70" s="9" t="n">
        <v>0</v>
      </c>
      <c r="EC70" s="9" t="n">
        <v>0</v>
      </c>
      <c r="ED70" s="9" t="n">
        <v>5696.8</v>
      </c>
      <c r="EJ70" s="9" t="n">
        <v>0</v>
      </c>
      <c r="EL70" s="9" t="n">
        <v>0</v>
      </c>
      <c r="EM70" s="9" t="n">
        <v>0</v>
      </c>
      <c r="ES70" s="9" t="n">
        <v>0</v>
      </c>
      <c r="EU70" s="9" t="n">
        <v>0</v>
      </c>
      <c r="EV70" s="9" t="n">
        <v>0</v>
      </c>
      <c r="FB70" s="9" t="n">
        <v>0</v>
      </c>
      <c r="FD70" s="9" t="n">
        <v>0</v>
      </c>
      <c r="FE70" s="9" t="n">
        <v>0</v>
      </c>
      <c r="FK70" s="9" t="n">
        <v>0</v>
      </c>
      <c r="FM70" s="9" t="n">
        <v>0</v>
      </c>
      <c r="FN70" s="9" t="n">
        <v>0</v>
      </c>
      <c r="FT70" s="9" t="n">
        <v>0</v>
      </c>
      <c r="FV70" s="9" t="n">
        <v>0</v>
      </c>
      <c r="FW70" s="9" t="n">
        <v>620</v>
      </c>
      <c r="GC70" s="9" t="n">
        <v>0</v>
      </c>
      <c r="GE70" s="9" t="n">
        <v>0</v>
      </c>
      <c r="GF70" s="9" t="n">
        <v>5960</v>
      </c>
      <c r="GL70" s="9" t="n">
        <v>0</v>
      </c>
      <c r="GN70" s="9" t="n">
        <v>0</v>
      </c>
      <c r="GO70" s="9" t="n">
        <v>5240</v>
      </c>
      <c r="GU70" s="9" t="n">
        <v>0</v>
      </c>
      <c r="GW70" s="9" t="n">
        <v>0</v>
      </c>
      <c r="GX70" s="9" t="n">
        <v>0</v>
      </c>
      <c r="HD70" s="9" t="n">
        <v>0</v>
      </c>
      <c r="HF70" s="9" t="n">
        <v>0</v>
      </c>
      <c r="HG70" s="9" t="n">
        <v>0</v>
      </c>
      <c r="HM70" s="9" t="n">
        <v>0</v>
      </c>
      <c r="HO70" s="9" t="n">
        <v>0</v>
      </c>
      <c r="HP70" s="9" t="n">
        <v>0</v>
      </c>
      <c r="HW70" s="9" t="n">
        <v>0</v>
      </c>
      <c r="HY70" s="9" t="n">
        <v>0</v>
      </c>
      <c r="HZ70" s="9" t="n">
        <v>5120</v>
      </c>
      <c r="IF70" s="9" t="n">
        <v>0</v>
      </c>
      <c r="IH70" s="9" t="n">
        <v>0</v>
      </c>
      <c r="II70" s="9" t="n">
        <v>5100</v>
      </c>
      <c r="IO70" s="9" t="n">
        <v>0</v>
      </c>
      <c r="IQ70" s="9" t="n">
        <v>0</v>
      </c>
      <c r="IR70" s="9" t="n">
        <v>10240</v>
      </c>
      <c r="IX70" s="9" t="n">
        <v>0</v>
      </c>
      <c r="IZ70" s="9" t="n">
        <v>0</v>
      </c>
      <c r="JA70" s="9" t="n">
        <v>15120</v>
      </c>
      <c r="JG70" s="9" t="n">
        <v>0</v>
      </c>
      <c r="JI70" s="9" t="n">
        <v>0</v>
      </c>
      <c r="JJ70" s="9" t="n">
        <v>3320</v>
      </c>
      <c r="JP70" s="9" t="n">
        <v>0</v>
      </c>
      <c r="JR70" s="9" t="n">
        <v>0</v>
      </c>
      <c r="JS70" s="9" t="n">
        <v>5400</v>
      </c>
      <c r="JY70" s="9" t="n">
        <v>0</v>
      </c>
      <c r="KA70" s="9" t="n">
        <v>0</v>
      </c>
      <c r="KB70" s="9" t="n">
        <v>4000</v>
      </c>
      <c r="KH70" s="9" t="n">
        <v>0</v>
      </c>
      <c r="KJ70" s="9" t="n">
        <v>0</v>
      </c>
      <c r="KK70" s="9" t="n">
        <v>0</v>
      </c>
      <c r="KQ70" s="9" t="n">
        <v>0</v>
      </c>
      <c r="KS70" s="9" t="n">
        <v>0</v>
      </c>
      <c r="KT70" s="9" t="n">
        <v>6539.400000000001</v>
      </c>
      <c r="KZ70" s="9" t="n">
        <v>0</v>
      </c>
      <c r="LB70" s="9" t="n">
        <v>0</v>
      </c>
      <c r="LC70" s="9" t="n">
        <v>0</v>
      </c>
      <c r="LI70" s="9" t="n">
        <v>0</v>
      </c>
      <c r="LK70" s="9" t="n">
        <v>0</v>
      </c>
      <c r="LL70" s="9" t="n">
        <v>0</v>
      </c>
      <c r="LR70" s="9" t="n">
        <v>0</v>
      </c>
      <c r="LT70" s="9" t="n">
        <v>0</v>
      </c>
      <c r="LU70" s="9" t="n">
        <v>0</v>
      </c>
      <c r="MA70" s="9" t="n">
        <v>0</v>
      </c>
      <c r="MC70" s="9" t="n">
        <v>0</v>
      </c>
      <c r="MD70" s="9" t="n">
        <v>0</v>
      </c>
      <c r="MJ70" s="9" t="n">
        <v>0</v>
      </c>
      <c r="ML70" s="9" t="n">
        <v>0</v>
      </c>
      <c r="MM70" s="9" t="n">
        <v>0</v>
      </c>
      <c r="MS70" s="9" t="n">
        <v>0</v>
      </c>
      <c r="MU70" s="9" t="n">
        <v>0</v>
      </c>
      <c r="MV70" s="9" t="n">
        <v>4123</v>
      </c>
      <c r="NB70" s="9" t="n">
        <v>0</v>
      </c>
      <c r="ND70" s="9" t="n">
        <v>0</v>
      </c>
      <c r="NE70" s="9" t="n">
        <v>0</v>
      </c>
      <c r="NI70" s="11" t="n">
        <v>0</v>
      </c>
      <c r="NK70" s="9" t="n">
        <v>0</v>
      </c>
      <c r="NM70" s="9" t="n">
        <v>0</v>
      </c>
      <c r="NN70" s="9" t="n">
        <v>0</v>
      </c>
      <c r="NT70" s="9" t="n">
        <v>0</v>
      </c>
      <c r="NV70" s="9" t="n">
        <v>0</v>
      </c>
      <c r="NW70" s="9" t="n">
        <v>1947.7</v>
      </c>
      <c r="OC70" s="9" t="n">
        <v>0</v>
      </c>
      <c r="OE70" s="9" t="n">
        <v>0</v>
      </c>
      <c r="OF70" s="9" t="n">
        <v>1680.5</v>
      </c>
      <c r="OL70" s="9" t="n">
        <v>0</v>
      </c>
      <c r="ON70" s="9" t="n">
        <v>0</v>
      </c>
      <c r="OO70" s="9" t="n">
        <v>0</v>
      </c>
      <c r="OU70" s="9" t="n">
        <v>0</v>
      </c>
      <c r="OW70" s="9" t="n">
        <v>0</v>
      </c>
      <c r="OX70" s="9" t="n">
        <v>0</v>
      </c>
      <c r="PD70" s="9" t="n">
        <v>0</v>
      </c>
      <c r="PF70" s="9" t="n">
        <v>0</v>
      </c>
      <c r="PG70" s="9" t="n">
        <v>0</v>
      </c>
      <c r="PM70" s="9" t="n">
        <v>0</v>
      </c>
      <c r="PO70" s="9" t="n">
        <v>0</v>
      </c>
      <c r="PP70" s="9" t="n">
        <v>100</v>
      </c>
      <c r="PV70" s="9" t="n">
        <v>0</v>
      </c>
      <c r="PX70" s="9" t="n">
        <v>0</v>
      </c>
      <c r="PY70" s="9" t="n">
        <v>13.96000000000004</v>
      </c>
      <c r="QE70" s="9" t="n">
        <v>0</v>
      </c>
      <c r="QG70" s="9" t="n">
        <v>0</v>
      </c>
      <c r="QH70" s="9" t="n">
        <v>344</v>
      </c>
      <c r="QN70" s="9" t="n">
        <v>0</v>
      </c>
      <c r="QP70" s="9" t="n">
        <v>0</v>
      </c>
      <c r="QQ70" s="9" t="n">
        <v>0</v>
      </c>
      <c r="QW70" s="9" t="n">
        <v>0</v>
      </c>
      <c r="QY70" s="9" t="n">
        <v>0</v>
      </c>
      <c r="QZ70" s="9" t="n">
        <v>207.6</v>
      </c>
      <c r="RF70" s="9" t="n">
        <v>0</v>
      </c>
      <c r="RH70" s="9" t="n">
        <v>0</v>
      </c>
      <c r="RI70" s="9" t="n">
        <v>197.04</v>
      </c>
      <c r="RO70" s="9" t="n">
        <v>0</v>
      </c>
      <c r="RQ70" s="9" t="n">
        <v>0</v>
      </c>
      <c r="RR70" s="9" t="n">
        <v>46.8</v>
      </c>
      <c r="RX70" s="9" t="n">
        <v>0</v>
      </c>
      <c r="RZ70" s="9" t="n">
        <v>0</v>
      </c>
      <c r="SA70" s="9" t="n">
        <v>0</v>
      </c>
      <c r="SG70" s="9" t="n">
        <v>0</v>
      </c>
      <c r="SI70" s="9" t="n">
        <v>0</v>
      </c>
      <c r="SJ70" s="9" t="n">
        <v>0</v>
      </c>
      <c r="SP70" s="9" t="n">
        <v>0</v>
      </c>
      <c r="SR70" s="9" t="n">
        <v>0</v>
      </c>
      <c r="SS70" s="9" t="n">
        <v>0</v>
      </c>
      <c r="SY70" s="9" t="n">
        <v>0</v>
      </c>
      <c r="TA70" s="9" t="n">
        <v>0</v>
      </c>
      <c r="TB70" s="9" t="n">
        <v>0</v>
      </c>
      <c r="TH70" s="9" t="n">
        <v>0</v>
      </c>
      <c r="TJ70" s="9" t="n">
        <v>0</v>
      </c>
      <c r="TK70" s="9" t="n">
        <v>0</v>
      </c>
      <c r="TQ70" s="9" t="n">
        <v>0</v>
      </c>
      <c r="TS70" s="9" t="n">
        <v>0</v>
      </c>
      <c r="TT70" s="9" t="n">
        <v>0</v>
      </c>
      <c r="TZ70" s="9" t="n">
        <v>0</v>
      </c>
      <c r="UB70" s="9" t="n">
        <v>0</v>
      </c>
      <c r="UC70" s="9" t="n">
        <v>0</v>
      </c>
      <c r="UI70" s="9" t="n">
        <v>0</v>
      </c>
      <c r="UK70" s="9" t="n">
        <v>0</v>
      </c>
      <c r="UL70" s="9" t="n">
        <v>0</v>
      </c>
      <c r="UR70" s="9" t="n">
        <v>0</v>
      </c>
      <c r="UT70" s="9" t="n">
        <v>0</v>
      </c>
      <c r="UU70" s="9" t="n">
        <v>0</v>
      </c>
      <c r="VA70" s="9" t="n">
        <v>0</v>
      </c>
      <c r="VC70" s="9" t="n">
        <v>0</v>
      </c>
      <c r="VD70" s="9" t="n">
        <v>41.60000000000002</v>
      </c>
      <c r="VJ70" s="9" t="n">
        <v>0</v>
      </c>
      <c r="VL70" s="9" t="n">
        <v>0</v>
      </c>
      <c r="VM70" s="9" t="n">
        <v>0</v>
      </c>
      <c r="VS70" s="9" t="n">
        <v>0</v>
      </c>
      <c r="VU70" s="9" t="n">
        <v>0</v>
      </c>
      <c r="VV70" s="9" t="n">
        <v>0</v>
      </c>
      <c r="WB70" s="9" t="n">
        <v>0</v>
      </c>
      <c r="WD70" s="9" t="n">
        <v>0</v>
      </c>
      <c r="WE70" s="9" t="n">
        <v>0</v>
      </c>
      <c r="WK70" s="9" t="n">
        <v>0</v>
      </c>
      <c r="WM70" s="9" t="n">
        <v>0</v>
      </c>
      <c r="WN70" s="9" t="n">
        <v>6628</v>
      </c>
      <c r="WT70" s="9" t="n">
        <v>0</v>
      </c>
      <c r="WV70" s="9" t="n">
        <v>0</v>
      </c>
      <c r="WW70" s="9" t="n">
        <v>6559</v>
      </c>
      <c r="XC70" s="9" t="n">
        <v>0</v>
      </c>
      <c r="XE70" s="9" t="n">
        <v>0</v>
      </c>
      <c r="XF70" s="9" t="n">
        <v>590</v>
      </c>
      <c r="XL70" s="9" t="n">
        <v>0</v>
      </c>
      <c r="XN70" s="9" t="n">
        <v>0</v>
      </c>
      <c r="XO70" s="9" t="n">
        <v>3391</v>
      </c>
      <c r="XU70" s="9" t="n">
        <v>0</v>
      </c>
      <c r="XW70" s="9" t="n">
        <v>0</v>
      </c>
      <c r="XX70" s="9" t="n">
        <v>1901</v>
      </c>
      <c r="YD70" s="9" t="n">
        <v>0</v>
      </c>
      <c r="YF70" s="9" t="n">
        <v>0</v>
      </c>
      <c r="YG70" s="9" t="n">
        <v>0</v>
      </c>
      <c r="YM70" s="9" t="n">
        <v>0</v>
      </c>
      <c r="YO70" s="9" t="n">
        <v>0</v>
      </c>
      <c r="YP70" s="9" t="n">
        <v>0</v>
      </c>
      <c r="YV70" s="9" t="n">
        <v>0</v>
      </c>
      <c r="YX70" s="9" t="n">
        <v>0</v>
      </c>
      <c r="YY70" s="9" t="n">
        <v>0</v>
      </c>
      <c r="ZE70" s="9" t="n">
        <v>0</v>
      </c>
      <c r="ZG70" s="9" t="n">
        <v>0</v>
      </c>
      <c r="ZH70" s="9" t="n">
        <v>0</v>
      </c>
      <c r="ZN70" s="9" t="n">
        <v>0</v>
      </c>
      <c r="ZP70" s="9" t="n">
        <v>0</v>
      </c>
      <c r="ZQ70" s="9" t="n">
        <v>0</v>
      </c>
      <c r="ZW70" s="9" t="n">
        <v>0</v>
      </c>
      <c r="ZY70" s="9" t="n">
        <v>0</v>
      </c>
      <c r="ZZ70" s="9" t="n">
        <v>0</v>
      </c>
      <c r="AAF70" s="9" t="n">
        <v>0</v>
      </c>
      <c r="AAH70" s="9" t="n">
        <v>0</v>
      </c>
      <c r="AAI70" s="9" t="n">
        <v>0</v>
      </c>
      <c r="AAO70" s="9" t="n">
        <v>0</v>
      </c>
      <c r="AAQ70" s="9" t="n">
        <v>0</v>
      </c>
      <c r="AAR70" s="9" t="n">
        <v>0</v>
      </c>
      <c r="AAX70" s="9" t="n">
        <v>0</v>
      </c>
      <c r="AAZ70" s="9" t="n">
        <v>0</v>
      </c>
      <c r="ABA70" s="9" t="n">
        <v>0</v>
      </c>
      <c r="ABG70" s="9" t="n">
        <v>0</v>
      </c>
      <c r="ABI70" s="9" t="n">
        <v>0</v>
      </c>
      <c r="ABJ70" s="9" t="n">
        <v>0</v>
      </c>
    </row>
    <row r="71">
      <c r="B71" s="9" t="n">
        <v>1316</v>
      </c>
      <c r="C71" s="9" t="inlineStr">
        <is>
          <t>TOTAL</t>
        </is>
      </c>
      <c r="D71" s="9" t="n">
        <v>573310</v>
      </c>
      <c r="E71" s="9" t="n">
        <v>693552.5999999999</v>
      </c>
      <c r="F71" s="9" t="n">
        <v>723483.4</v>
      </c>
      <c r="G71" s="9" t="n">
        <v>-29930.8</v>
      </c>
      <c r="H71" s="9" t="n">
        <v>91614.80000000002</v>
      </c>
      <c r="L71" s="9" t="inlineStr">
        <is>
          <t>TOTAL</t>
        </is>
      </c>
      <c r="M71" s="9" t="n">
        <v>337880</v>
      </c>
      <c r="N71" s="9" t="n">
        <v>320855.5</v>
      </c>
      <c r="O71" s="9" t="n">
        <v>321531.5999999999</v>
      </c>
      <c r="P71" s="9" t="n">
        <v>-676.1000000000195</v>
      </c>
      <c r="Q71" s="9" t="n">
        <v>65096.60000000003</v>
      </c>
      <c r="U71" s="9" t="inlineStr">
        <is>
          <t>TOTAL</t>
        </is>
      </c>
      <c r="V71" s="9" t="n">
        <v>81220.5</v>
      </c>
      <c r="W71" s="9" t="n">
        <v>82722</v>
      </c>
      <c r="X71" s="9" t="n">
        <v>82732.69999999998</v>
      </c>
      <c r="Y71" s="9" t="n">
        <v>-10.70000000000562</v>
      </c>
      <c r="Z71" s="9" t="n">
        <v>48372.79999999997</v>
      </c>
      <c r="AD71" s="9" t="inlineStr">
        <is>
          <t>TOTAL</t>
        </is>
      </c>
      <c r="AE71" s="9" t="n">
        <v>19280</v>
      </c>
      <c r="AF71" s="9" t="n">
        <v>37888</v>
      </c>
      <c r="AG71" s="9" t="n">
        <v>37914</v>
      </c>
      <c r="AH71" s="9" t="n">
        <v>-25.99999999999926</v>
      </c>
      <c r="AI71" s="9" t="n">
        <v>34138.20000000002</v>
      </c>
      <c r="AM71" s="9" t="inlineStr">
        <is>
          <t>TOTAL</t>
        </is>
      </c>
      <c r="AN71" s="9" t="n">
        <v>0</v>
      </c>
      <c r="AO71" s="9" t="n">
        <v>0</v>
      </c>
      <c r="AP71" s="9" t="n">
        <v>0</v>
      </c>
      <c r="AQ71" s="9" t="n">
        <v>0</v>
      </c>
      <c r="AR71" s="9" t="n">
        <v>0</v>
      </c>
      <c r="AV71" s="9" t="inlineStr">
        <is>
          <t>TOTAL</t>
        </is>
      </c>
      <c r="AW71" s="9" t="n">
        <v>30480</v>
      </c>
      <c r="AX71" s="9" t="n">
        <v>16988</v>
      </c>
      <c r="AY71" s="9" t="n">
        <v>16994.7</v>
      </c>
      <c r="AZ71" s="9" t="n">
        <v>-6.699999999999818</v>
      </c>
      <c r="BA71" s="9" t="n">
        <v>47801.99999999999</v>
      </c>
      <c r="BE71" s="9" t="inlineStr">
        <is>
          <t>TOTAL</t>
        </is>
      </c>
      <c r="BF71" s="9" t="n">
        <v>22150</v>
      </c>
      <c r="BG71" s="9" t="n">
        <v>36564</v>
      </c>
      <c r="BH71" s="9" t="n">
        <v>36572.3</v>
      </c>
      <c r="BI71" s="9" t="n">
        <v>-8.300000000001205</v>
      </c>
      <c r="BJ71" s="9" t="n">
        <v>7501.800000000005</v>
      </c>
      <c r="BN71" s="9" t="inlineStr">
        <is>
          <t>TOTAL</t>
        </is>
      </c>
      <c r="BO71" s="9" t="n">
        <v>24926.6</v>
      </c>
      <c r="BP71" s="9" t="n">
        <v>24928</v>
      </c>
      <c r="BQ71" s="9" t="n">
        <v>24926.6</v>
      </c>
      <c r="BR71" s="9" t="n">
        <v>1.400000000000205</v>
      </c>
      <c r="BS71" s="9" t="n">
        <v>0</v>
      </c>
      <c r="BW71" s="9" t="inlineStr">
        <is>
          <t>TOTAL</t>
        </is>
      </c>
      <c r="BX71" s="9" t="n">
        <v>2000</v>
      </c>
      <c r="BY71" s="9" t="n">
        <v>4415.299999999999</v>
      </c>
      <c r="BZ71" s="9" t="n">
        <v>5276.5</v>
      </c>
      <c r="CA71" s="9" t="n">
        <v>-861.1999999999998</v>
      </c>
      <c r="CB71" s="9" t="n">
        <v>8.000000000000114</v>
      </c>
      <c r="CF71" s="9" t="inlineStr">
        <is>
          <t>TOTAL</t>
        </is>
      </c>
      <c r="CG71" s="9" t="n">
        <v>7573.800000000001</v>
      </c>
      <c r="CH71" s="9" t="n">
        <v>6622.2</v>
      </c>
      <c r="CI71" s="9" t="n">
        <v>7573.800000000001</v>
      </c>
      <c r="CJ71" s="9" t="n">
        <v>-951.5999999999999</v>
      </c>
      <c r="CK71" s="9" t="n">
        <v>0</v>
      </c>
      <c r="CO71" s="9" t="inlineStr">
        <is>
          <t>TOTAL</t>
        </is>
      </c>
      <c r="CP71" s="9" t="n">
        <v>0</v>
      </c>
      <c r="CQ71" s="9" t="n">
        <v>0</v>
      </c>
      <c r="CR71" s="9" t="n">
        <v>0</v>
      </c>
      <c r="CS71" s="9" t="n">
        <v>0</v>
      </c>
      <c r="CT71" s="9" t="n">
        <v>0</v>
      </c>
      <c r="CX71" s="9" t="inlineStr">
        <is>
          <t>TOTAL</t>
        </is>
      </c>
      <c r="CY71" s="9" t="n">
        <v>86490</v>
      </c>
      <c r="CZ71" s="9" t="n">
        <v>31430</v>
      </c>
      <c r="DA71" s="9" t="n">
        <v>31437.6</v>
      </c>
      <c r="DB71" s="9" t="n">
        <v>-7.599999999999909</v>
      </c>
      <c r="DC71" s="9" t="n">
        <v>55052.4</v>
      </c>
      <c r="DG71" s="9" t="inlineStr">
        <is>
          <t>TOTAL</t>
        </is>
      </c>
      <c r="DH71" s="9" t="n">
        <v>0</v>
      </c>
      <c r="DI71" s="9" t="n">
        <v>21860</v>
      </c>
      <c r="DJ71" s="9" t="n">
        <v>22172.8</v>
      </c>
      <c r="DK71" s="9" t="n">
        <v>-312.8</v>
      </c>
      <c r="DL71" s="9" t="n">
        <v>-2.842170943040401e-12</v>
      </c>
      <c r="DP71" s="9" t="inlineStr">
        <is>
          <t>TOTAL</t>
        </is>
      </c>
      <c r="DQ71" s="9" t="n">
        <v>2300</v>
      </c>
      <c r="DR71" s="9" t="n">
        <v>0</v>
      </c>
      <c r="DS71" s="9" t="n">
        <v>0</v>
      </c>
      <c r="DT71" s="9" t="n">
        <v>0</v>
      </c>
      <c r="DU71" s="9" t="n">
        <v>2300</v>
      </c>
      <c r="DY71" s="9" t="inlineStr">
        <is>
          <t>TOTAL</t>
        </is>
      </c>
      <c r="DZ71" s="9" t="n">
        <v>10200</v>
      </c>
      <c r="EA71" s="9" t="n">
        <v>4500</v>
      </c>
      <c r="EB71" s="9" t="n">
        <v>4503.200000000001</v>
      </c>
      <c r="EC71" s="9" t="n">
        <v>-3.200000000000273</v>
      </c>
      <c r="ED71" s="9" t="n">
        <v>5696.8</v>
      </c>
      <c r="EH71" s="9" t="inlineStr">
        <is>
          <t>TOTAL</t>
        </is>
      </c>
      <c r="EI71" s="9" t="n">
        <v>0</v>
      </c>
      <c r="EJ71" s="9" t="n">
        <v>0</v>
      </c>
      <c r="EK71" s="9" t="n">
        <v>0</v>
      </c>
      <c r="EL71" s="9" t="n">
        <v>0</v>
      </c>
      <c r="EM71" s="9" t="n">
        <v>0</v>
      </c>
      <c r="EQ71" s="9" t="inlineStr">
        <is>
          <t>TOTAL</t>
        </is>
      </c>
      <c r="ER71" s="9" t="n">
        <v>0</v>
      </c>
      <c r="ES71" s="9" t="n">
        <v>0</v>
      </c>
      <c r="ET71" s="9" t="n">
        <v>0</v>
      </c>
      <c r="EU71" s="9" t="n">
        <v>0</v>
      </c>
      <c r="EV71" s="9" t="n">
        <v>0</v>
      </c>
      <c r="EZ71" s="9" t="inlineStr">
        <is>
          <t>TOTAL</t>
        </is>
      </c>
      <c r="FA71" s="9" t="n">
        <v>0</v>
      </c>
      <c r="FB71" s="9" t="n">
        <v>0</v>
      </c>
      <c r="FC71" s="9" t="n">
        <v>0</v>
      </c>
      <c r="FD71" s="9" t="n">
        <v>0</v>
      </c>
      <c r="FE71" s="9" t="n">
        <v>0</v>
      </c>
      <c r="FI71" s="9" t="inlineStr">
        <is>
          <t>TOTAL</t>
        </is>
      </c>
      <c r="FJ71" s="9" t="n">
        <v>0</v>
      </c>
      <c r="FK71" s="9" t="n">
        <v>0</v>
      </c>
      <c r="FL71" s="9" t="n">
        <v>0</v>
      </c>
      <c r="FM71" s="9" t="n">
        <v>0</v>
      </c>
      <c r="FN71" s="9" t="n">
        <v>0</v>
      </c>
      <c r="FR71" s="9" t="inlineStr">
        <is>
          <t>TOTAL</t>
        </is>
      </c>
      <c r="FS71" s="9" t="n">
        <v>0</v>
      </c>
      <c r="FT71" s="9" t="n">
        <v>2920</v>
      </c>
      <c r="FU71" s="9" t="n">
        <v>2920</v>
      </c>
      <c r="FV71" s="9" t="n">
        <v>0</v>
      </c>
      <c r="FW71" s="9" t="n">
        <v>620</v>
      </c>
      <c r="FX71" s="9" t="n">
        <v>31</v>
      </c>
      <c r="FY71" s="9" t="inlineStr">
        <is>
          <t>bags</t>
        </is>
      </c>
      <c r="GA71" s="9" t="inlineStr">
        <is>
          <t>TOTAL</t>
        </is>
      </c>
      <c r="GB71" s="9" t="n">
        <v>2000</v>
      </c>
      <c r="GC71" s="9" t="n">
        <v>0</v>
      </c>
      <c r="GD71" s="9" t="n">
        <v>0</v>
      </c>
      <c r="GE71" s="9" t="n">
        <v>0</v>
      </c>
      <c r="GF71" s="9" t="n">
        <v>5960</v>
      </c>
      <c r="GG71" s="9" t="n">
        <v>298</v>
      </c>
      <c r="GH71" s="9" t="inlineStr">
        <is>
          <t>bags</t>
        </is>
      </c>
      <c r="GJ71" s="9" t="inlineStr">
        <is>
          <t>TOTAL</t>
        </is>
      </c>
      <c r="GK71" s="9" t="n">
        <v>2000</v>
      </c>
      <c r="GL71" s="9" t="n">
        <v>320</v>
      </c>
      <c r="GM71" s="9" t="n">
        <v>0</v>
      </c>
      <c r="GN71" s="9" t="n">
        <v>320</v>
      </c>
      <c r="GO71" s="9" t="n">
        <v>5240</v>
      </c>
      <c r="GP71" s="9" t="n">
        <v>262</v>
      </c>
      <c r="GQ71" s="9" t="inlineStr">
        <is>
          <t>bags</t>
        </is>
      </c>
      <c r="GS71" s="9" t="inlineStr">
        <is>
          <t>TOTAL</t>
        </is>
      </c>
      <c r="GT71" s="9" t="n">
        <v>0</v>
      </c>
      <c r="GU71" s="9" t="n">
        <v>0</v>
      </c>
      <c r="GV71" s="9" t="n">
        <v>0</v>
      </c>
      <c r="GW71" s="9" t="n">
        <v>0</v>
      </c>
      <c r="GX71" s="9" t="n">
        <v>0</v>
      </c>
      <c r="HB71" s="9" t="inlineStr">
        <is>
          <t>TOTAL</t>
        </is>
      </c>
      <c r="HC71" s="9" t="n">
        <v>0</v>
      </c>
      <c r="HD71" s="9" t="n">
        <v>0</v>
      </c>
      <c r="HE71" s="9" t="n">
        <v>0</v>
      </c>
      <c r="HF71" s="9" t="n">
        <v>0</v>
      </c>
      <c r="HG71" s="9" t="n">
        <v>0</v>
      </c>
      <c r="HK71" s="9" t="inlineStr">
        <is>
          <t>TOTAL</t>
        </is>
      </c>
      <c r="HL71" s="9" t="n">
        <v>0</v>
      </c>
      <c r="HM71" s="9" t="n">
        <v>0</v>
      </c>
      <c r="HN71" s="9" t="n">
        <v>0</v>
      </c>
      <c r="HO71" s="9" t="n">
        <v>0</v>
      </c>
      <c r="HP71" s="9" t="n">
        <v>0</v>
      </c>
      <c r="HU71" s="9" t="inlineStr">
        <is>
          <t>TOTAL</t>
        </is>
      </c>
      <c r="HV71" s="9" t="n">
        <v>0</v>
      </c>
      <c r="HW71" s="9" t="n">
        <v>1040</v>
      </c>
      <c r="HX71" s="9" t="n">
        <v>320</v>
      </c>
      <c r="HY71" s="9" t="n">
        <v>720</v>
      </c>
      <c r="HZ71" s="9" t="n">
        <v>5120</v>
      </c>
      <c r="IA71" s="9" t="n">
        <v>256</v>
      </c>
      <c r="IB71" s="9" t="inlineStr">
        <is>
          <t>bags</t>
        </is>
      </c>
      <c r="ID71" s="9" t="inlineStr">
        <is>
          <t>TOTAL</t>
        </is>
      </c>
      <c r="IE71" s="9" t="n">
        <v>0</v>
      </c>
      <c r="IF71" s="9" t="n">
        <v>0</v>
      </c>
      <c r="IG71" s="9" t="n">
        <v>0</v>
      </c>
      <c r="IH71" s="9" t="n">
        <v>0</v>
      </c>
      <c r="II71" s="9" t="n">
        <v>5100</v>
      </c>
      <c r="IJ71" s="9" t="n">
        <v>255</v>
      </c>
      <c r="IK71" s="9" t="inlineStr">
        <is>
          <t>bags</t>
        </is>
      </c>
      <c r="IM71" s="9" t="inlineStr">
        <is>
          <t>TOTAL</t>
        </is>
      </c>
      <c r="IN71" s="9" t="n">
        <v>0</v>
      </c>
      <c r="IO71" s="9" t="n">
        <v>7760</v>
      </c>
      <c r="IP71" s="9" t="n">
        <v>6000</v>
      </c>
      <c r="IQ71" s="9" t="n">
        <v>1760</v>
      </c>
      <c r="IR71" s="9" t="n">
        <v>10240</v>
      </c>
      <c r="IS71" s="9" t="n">
        <v>512</v>
      </c>
      <c r="IT71" s="9" t="inlineStr">
        <is>
          <t>bags</t>
        </is>
      </c>
      <c r="IV71" s="9" t="inlineStr">
        <is>
          <t>TOTAL</t>
        </is>
      </c>
      <c r="IW71" s="9" t="n">
        <v>2000</v>
      </c>
      <c r="IX71" s="9" t="n">
        <v>520</v>
      </c>
      <c r="IY71" s="9" t="n">
        <v>0</v>
      </c>
      <c r="IZ71" s="9" t="n">
        <v>520</v>
      </c>
      <c r="JA71" s="9" t="n">
        <v>15120</v>
      </c>
      <c r="JB71" s="9" t="n">
        <v>756</v>
      </c>
      <c r="JC71" s="9" t="inlineStr">
        <is>
          <t>bags</t>
        </is>
      </c>
      <c r="JE71" s="9" t="inlineStr">
        <is>
          <t>TOTAL</t>
        </is>
      </c>
      <c r="JF71" s="9" t="n">
        <v>0</v>
      </c>
      <c r="JG71" s="9" t="n">
        <v>0</v>
      </c>
      <c r="JH71" s="9" t="n">
        <v>3480</v>
      </c>
      <c r="JI71" s="9" t="n">
        <v>-3480</v>
      </c>
      <c r="JJ71" s="9" t="n">
        <v>3320</v>
      </c>
      <c r="JK71" s="9" t="n">
        <v>166</v>
      </c>
      <c r="JL71" s="9" t="inlineStr">
        <is>
          <t>bags</t>
        </is>
      </c>
      <c r="JN71" s="9" t="inlineStr">
        <is>
          <t>TOTAL</t>
        </is>
      </c>
      <c r="JO71" s="9" t="n">
        <v>0</v>
      </c>
      <c r="JP71" s="9" t="n">
        <v>0</v>
      </c>
      <c r="JQ71" s="9" t="n">
        <v>0</v>
      </c>
      <c r="JR71" s="9" t="n">
        <v>0</v>
      </c>
      <c r="JS71" s="9" t="n">
        <v>5400</v>
      </c>
      <c r="JT71" s="9" t="n">
        <v>270</v>
      </c>
      <c r="JU71" s="9" t="inlineStr">
        <is>
          <t>bags</t>
        </is>
      </c>
      <c r="JV71" s="9" t="n">
        <v>267</v>
      </c>
      <c r="JW71" s="9" t="inlineStr">
        <is>
          <t>TOTAL</t>
        </is>
      </c>
      <c r="JX71" s="9" t="n">
        <v>5340</v>
      </c>
      <c r="JY71" s="9" t="n">
        <v>3600</v>
      </c>
      <c r="JZ71" s="9" t="n">
        <v>3600</v>
      </c>
      <c r="KA71" s="9" t="n">
        <v>0</v>
      </c>
      <c r="KB71" s="9" t="n">
        <v>4000</v>
      </c>
      <c r="KC71" s="9" t="n">
        <v>200</v>
      </c>
      <c r="KD71" s="9" t="inlineStr">
        <is>
          <t>bags</t>
        </is>
      </c>
      <c r="KF71" s="9" t="inlineStr">
        <is>
          <t>TOTAL</t>
        </is>
      </c>
      <c r="KG71" s="9" t="n">
        <v>8775</v>
      </c>
      <c r="KH71" s="9" t="n">
        <v>6864</v>
      </c>
      <c r="KI71" s="9" t="n">
        <v>8775</v>
      </c>
      <c r="KJ71" s="9" t="n">
        <v>-1911</v>
      </c>
      <c r="KK71" s="9" t="n">
        <v>0</v>
      </c>
      <c r="KL71" s="9" t="n">
        <v>0</v>
      </c>
      <c r="KM71" s="9" t="inlineStr">
        <is>
          <t>bags</t>
        </is>
      </c>
      <c r="KO71" s="9" t="inlineStr">
        <is>
          <t>TOTAL</t>
        </is>
      </c>
      <c r="KP71" s="9" t="n">
        <v>13230</v>
      </c>
      <c r="KQ71" s="9" t="n">
        <v>2948.4</v>
      </c>
      <c r="KR71" s="9" t="n">
        <v>6690.599999999999</v>
      </c>
      <c r="KS71" s="9" t="n">
        <v>-3742.2</v>
      </c>
      <c r="KT71" s="9" t="n">
        <v>6539.400000000001</v>
      </c>
      <c r="KU71" s="9" t="n">
        <v>346.0000000000001</v>
      </c>
      <c r="KV71" s="9" t="inlineStr">
        <is>
          <t>bags</t>
        </is>
      </c>
      <c r="KX71" s="9" t="inlineStr">
        <is>
          <t>TOTAL</t>
        </is>
      </c>
      <c r="KY71" s="9" t="n">
        <v>0</v>
      </c>
      <c r="KZ71" s="9" t="n">
        <v>0</v>
      </c>
      <c r="LA71" s="9" t="n">
        <v>0</v>
      </c>
      <c r="LB71" s="9" t="n">
        <v>0</v>
      </c>
      <c r="LC71" s="9" t="n">
        <v>0</v>
      </c>
      <c r="LG71" s="9" t="inlineStr">
        <is>
          <t>TOTAL</t>
        </is>
      </c>
      <c r="LH71" s="9" t="n">
        <v>0</v>
      </c>
      <c r="LI71" s="9" t="n">
        <v>0</v>
      </c>
      <c r="LJ71" s="9" t="n">
        <v>0</v>
      </c>
      <c r="LK71" s="9" t="n">
        <v>0</v>
      </c>
      <c r="LL71" s="9" t="n">
        <v>0</v>
      </c>
      <c r="LP71" s="9" t="inlineStr">
        <is>
          <t>TOTAL</t>
        </is>
      </c>
      <c r="LQ71" s="9" t="n">
        <v>0</v>
      </c>
      <c r="LR71" s="9" t="n">
        <v>0</v>
      </c>
      <c r="LS71" s="9" t="n">
        <v>0</v>
      </c>
      <c r="LT71" s="9" t="n">
        <v>0</v>
      </c>
      <c r="LU71" s="9" t="n">
        <v>0</v>
      </c>
      <c r="LY71" s="9" t="inlineStr">
        <is>
          <t>TOTAL</t>
        </is>
      </c>
      <c r="LZ71" s="9" t="n">
        <v>0</v>
      </c>
      <c r="MA71" s="9" t="n">
        <v>0</v>
      </c>
      <c r="MB71" s="9" t="n">
        <v>0</v>
      </c>
      <c r="MC71" s="9" t="n">
        <v>0</v>
      </c>
      <c r="MD71" s="9" t="n">
        <v>0</v>
      </c>
      <c r="MH71" s="9" t="inlineStr">
        <is>
          <t>TOTAL</t>
        </is>
      </c>
      <c r="MI71" s="9" t="n">
        <v>0</v>
      </c>
      <c r="MJ71" s="9" t="n">
        <v>0</v>
      </c>
      <c r="MK71" s="9" t="n">
        <v>0</v>
      </c>
      <c r="ML71" s="9" t="n">
        <v>0</v>
      </c>
      <c r="MM71" s="9" t="n">
        <v>0</v>
      </c>
      <c r="MQ71" s="9" t="inlineStr">
        <is>
          <t>TOTAL</t>
        </is>
      </c>
      <c r="MR71" s="9" t="n">
        <v>4500</v>
      </c>
      <c r="MS71" s="9" t="n">
        <v>1677</v>
      </c>
      <c r="MT71" s="9" t="n">
        <v>2346</v>
      </c>
      <c r="MU71" s="9" t="n">
        <v>-669</v>
      </c>
      <c r="MV71" s="9" t="n">
        <v>4123</v>
      </c>
      <c r="MZ71" s="9" t="inlineStr">
        <is>
          <t>TOTAL</t>
        </is>
      </c>
      <c r="NA71" s="9" t="n">
        <v>2863.2</v>
      </c>
      <c r="NB71" s="9" t="n">
        <v>3462</v>
      </c>
      <c r="NC71" s="9" t="n">
        <v>2863.2</v>
      </c>
      <c r="ND71" s="9" t="n">
        <v>598.8</v>
      </c>
      <c r="NE71" s="9" t="n">
        <v>0</v>
      </c>
      <c r="NI71" s="9" t="inlineStr">
        <is>
          <t>TOTAL</t>
        </is>
      </c>
      <c r="NJ71" s="9" t="n">
        <v>0</v>
      </c>
      <c r="NK71" s="9" t="n">
        <v>0</v>
      </c>
      <c r="NL71" s="9" t="n">
        <v>0</v>
      </c>
      <c r="NM71" s="9" t="n">
        <v>0</v>
      </c>
      <c r="NN71" s="9" t="n">
        <v>0</v>
      </c>
      <c r="NR71" s="9" t="inlineStr">
        <is>
          <t>TOTAL</t>
        </is>
      </c>
      <c r="NS71" s="9" t="n">
        <v>3037.3</v>
      </c>
      <c r="NT71" s="9" t="n">
        <v>645.6000000000001</v>
      </c>
      <c r="NU71" s="9" t="n">
        <v>1089.6</v>
      </c>
      <c r="NV71" s="9" t="n">
        <v>-444</v>
      </c>
      <c r="NW71" s="9" t="n">
        <v>1947.7</v>
      </c>
      <c r="OA71" s="9" t="inlineStr">
        <is>
          <t>TOTAL</t>
        </is>
      </c>
      <c r="OB71" s="9" t="n">
        <v>0</v>
      </c>
      <c r="OC71" s="9" t="n">
        <v>0</v>
      </c>
      <c r="OD71" s="9" t="n">
        <v>0</v>
      </c>
      <c r="OE71" s="9" t="n">
        <v>0</v>
      </c>
      <c r="OF71" s="9" t="n">
        <v>1680.5</v>
      </c>
      <c r="OJ71" s="9" t="inlineStr">
        <is>
          <t>TOTAL</t>
        </is>
      </c>
      <c r="OK71" s="9" t="n">
        <v>2953.4</v>
      </c>
      <c r="OL71" s="9" t="n">
        <v>1917.4</v>
      </c>
      <c r="OM71" s="9" t="n">
        <v>2953.4</v>
      </c>
      <c r="ON71" s="9" t="n">
        <v>-1036</v>
      </c>
      <c r="OO71" s="9" t="n">
        <v>0</v>
      </c>
      <c r="OS71" s="9" t="inlineStr">
        <is>
          <t>TOTAL</t>
        </is>
      </c>
      <c r="OT71" s="9" t="n">
        <v>0</v>
      </c>
      <c r="OU71" s="9" t="n">
        <v>0</v>
      </c>
      <c r="OV71" s="9" t="n">
        <v>0</v>
      </c>
      <c r="OW71" s="9" t="n">
        <v>0</v>
      </c>
      <c r="OX71" s="9" t="n">
        <v>0</v>
      </c>
      <c r="PB71" s="9" t="inlineStr">
        <is>
          <t>TOTAL</t>
        </is>
      </c>
      <c r="PC71" s="9" t="n">
        <v>316</v>
      </c>
      <c r="PD71" s="9" t="n">
        <v>0</v>
      </c>
      <c r="PE71" s="9" t="n">
        <v>316</v>
      </c>
      <c r="PF71" s="9" t="n">
        <v>-316</v>
      </c>
      <c r="PG71" s="9" t="n">
        <v>0</v>
      </c>
      <c r="PK71" s="9" t="inlineStr">
        <is>
          <t>TOTAL</t>
        </is>
      </c>
      <c r="PL71" s="9" t="n">
        <v>0</v>
      </c>
      <c r="PM71" s="9" t="n">
        <v>0</v>
      </c>
      <c r="PN71" s="9" t="n">
        <v>60</v>
      </c>
      <c r="PO71" s="9" t="n">
        <v>-60</v>
      </c>
      <c r="PP71" s="9" t="n">
        <v>100</v>
      </c>
      <c r="PT71" s="9" t="inlineStr">
        <is>
          <t>TOTAL</t>
        </is>
      </c>
      <c r="PU71" s="9" t="n">
        <v>0</v>
      </c>
      <c r="PV71" s="9" t="n">
        <v>0</v>
      </c>
      <c r="PW71" s="9" t="n">
        <v>0</v>
      </c>
      <c r="PX71" s="9" t="n">
        <v>0</v>
      </c>
      <c r="PY71" s="9" t="n">
        <v>13.96000000000004</v>
      </c>
      <c r="QC71" s="9" t="inlineStr">
        <is>
          <t>TOTAL</t>
        </is>
      </c>
      <c r="QD71" s="9" t="n">
        <v>400</v>
      </c>
      <c r="QE71" s="9" t="n">
        <v>0</v>
      </c>
      <c r="QF71" s="9" t="n">
        <v>56</v>
      </c>
      <c r="QG71" s="9" t="n">
        <v>-56</v>
      </c>
      <c r="QH71" s="9" t="n">
        <v>344</v>
      </c>
      <c r="QL71" s="9" t="inlineStr">
        <is>
          <t>TOTAL</t>
        </is>
      </c>
      <c r="QM71" s="9" t="n">
        <v>0</v>
      </c>
      <c r="QN71" s="9" t="n">
        <v>0</v>
      </c>
      <c r="QO71" s="9" t="n">
        <v>0</v>
      </c>
      <c r="QP71" s="9" t="n">
        <v>0</v>
      </c>
      <c r="QQ71" s="9" t="n">
        <v>0</v>
      </c>
      <c r="QU71" s="9" t="inlineStr">
        <is>
          <t>TOTAL</t>
        </is>
      </c>
      <c r="QV71" s="9" t="n">
        <v>0</v>
      </c>
      <c r="QW71" s="9" t="n">
        <v>0</v>
      </c>
      <c r="QX71" s="9" t="n">
        <v>0</v>
      </c>
      <c r="QY71" s="9" t="n">
        <v>0</v>
      </c>
      <c r="QZ71" s="9" t="n">
        <v>207.6</v>
      </c>
      <c r="RD71" s="9" t="inlineStr">
        <is>
          <t>TOTAL</t>
        </is>
      </c>
      <c r="RE71" s="9" t="n">
        <v>0</v>
      </c>
      <c r="RF71" s="9" t="n">
        <v>0</v>
      </c>
      <c r="RG71" s="9" t="n">
        <v>4.76</v>
      </c>
      <c r="RH71" s="9" t="n">
        <v>-4.76</v>
      </c>
      <c r="RI71" s="9" t="n">
        <v>197.04</v>
      </c>
      <c r="RM71" s="9" t="inlineStr">
        <is>
          <t>TOTAL</t>
        </is>
      </c>
      <c r="RN71" s="9" t="n">
        <v>24.08</v>
      </c>
      <c r="RO71" s="9" t="n">
        <v>0</v>
      </c>
      <c r="RP71" s="9" t="n">
        <v>0</v>
      </c>
      <c r="RQ71" s="9" t="n">
        <v>0</v>
      </c>
      <c r="RR71" s="9" t="n">
        <v>46.8</v>
      </c>
      <c r="RV71" s="9" t="inlineStr">
        <is>
          <t>TOTAL</t>
        </is>
      </c>
      <c r="RW71" s="9" t="n">
        <v>0</v>
      </c>
      <c r="RX71" s="9" t="n">
        <v>0</v>
      </c>
      <c r="RY71" s="9" t="n">
        <v>0</v>
      </c>
      <c r="RZ71" s="9" t="n">
        <v>0</v>
      </c>
      <c r="SA71" s="9" t="n">
        <v>0</v>
      </c>
      <c r="SE71" s="9" t="inlineStr">
        <is>
          <t>TOTAL</t>
        </is>
      </c>
      <c r="SF71" s="9" t="n">
        <v>0</v>
      </c>
      <c r="SG71" s="9" t="n">
        <v>0</v>
      </c>
      <c r="SH71" s="9" t="n">
        <v>0</v>
      </c>
      <c r="SI71" s="9" t="n">
        <v>0</v>
      </c>
      <c r="SJ71" s="9" t="n">
        <v>0</v>
      </c>
      <c r="SN71" s="9" t="inlineStr">
        <is>
          <t>TOTAL</t>
        </is>
      </c>
      <c r="SO71" s="9" t="n">
        <v>0</v>
      </c>
      <c r="SP71" s="9" t="n">
        <v>0</v>
      </c>
      <c r="SQ71" s="9" t="n">
        <v>0</v>
      </c>
      <c r="SR71" s="9" t="n">
        <v>0</v>
      </c>
      <c r="SS71" s="9" t="n">
        <v>0</v>
      </c>
      <c r="SW71" s="9" t="inlineStr">
        <is>
          <t>TOTAL</t>
        </is>
      </c>
      <c r="SX71" s="9" t="n">
        <v>0</v>
      </c>
      <c r="SY71" s="9" t="n">
        <v>0</v>
      </c>
      <c r="SZ71" s="9" t="n">
        <v>270</v>
      </c>
      <c r="TA71" s="9" t="n">
        <v>-270</v>
      </c>
      <c r="TB71" s="9" t="n">
        <v>0</v>
      </c>
      <c r="TF71" s="9" t="inlineStr">
        <is>
          <t>TOTAL</t>
        </is>
      </c>
      <c r="TG71" s="9" t="n">
        <v>0</v>
      </c>
      <c r="TH71" s="9" t="n">
        <v>0</v>
      </c>
      <c r="TI71" s="9" t="n">
        <v>0</v>
      </c>
      <c r="TJ71" s="9" t="n">
        <v>0</v>
      </c>
      <c r="TK71" s="9" t="n">
        <v>0</v>
      </c>
      <c r="TO71" s="9" t="inlineStr">
        <is>
          <t>TOTAL</t>
        </is>
      </c>
      <c r="TP71" s="9" t="n">
        <v>0</v>
      </c>
      <c r="TQ71" s="9" t="n">
        <v>0</v>
      </c>
      <c r="TR71" s="9" t="n">
        <v>0</v>
      </c>
      <c r="TS71" s="9" t="n">
        <v>0</v>
      </c>
      <c r="TT71" s="9" t="n">
        <v>0</v>
      </c>
      <c r="TX71" s="9" t="inlineStr">
        <is>
          <t>TOTAL</t>
        </is>
      </c>
      <c r="TY71" s="9" t="n">
        <v>0</v>
      </c>
      <c r="TZ71" s="9" t="n">
        <v>0</v>
      </c>
      <c r="UA71" s="9" t="n">
        <v>0</v>
      </c>
      <c r="UB71" s="9" t="n">
        <v>0</v>
      </c>
      <c r="UC71" s="9" t="n">
        <v>0</v>
      </c>
      <c r="UG71" s="9" t="inlineStr">
        <is>
          <t>TOTAL</t>
        </is>
      </c>
      <c r="UH71" s="9" t="n">
        <v>0</v>
      </c>
      <c r="UI71" s="9" t="n">
        <v>0</v>
      </c>
      <c r="UJ71" s="9" t="n">
        <v>0</v>
      </c>
      <c r="UK71" s="9" t="n">
        <v>0</v>
      </c>
      <c r="UL71" s="9" t="n">
        <v>0</v>
      </c>
      <c r="UP71" s="9" t="inlineStr">
        <is>
          <t>TOTAL</t>
        </is>
      </c>
      <c r="UQ71" s="9" t="n">
        <v>0</v>
      </c>
      <c r="UR71" s="9" t="n">
        <v>0</v>
      </c>
      <c r="US71" s="9" t="n">
        <v>0</v>
      </c>
      <c r="UT71" s="9" t="n">
        <v>0</v>
      </c>
      <c r="UU71" s="9" t="n">
        <v>0</v>
      </c>
      <c r="UY71" s="9" t="inlineStr">
        <is>
          <t>TOTAL</t>
        </is>
      </c>
      <c r="UZ71" s="9" t="n">
        <v>0</v>
      </c>
      <c r="VA71" s="9" t="n">
        <v>0</v>
      </c>
      <c r="VB71" s="9" t="n">
        <v>0</v>
      </c>
      <c r="VC71" s="9" t="n">
        <v>0</v>
      </c>
      <c r="VD71" s="9" t="n">
        <v>41.60000000000002</v>
      </c>
      <c r="VH71" s="9" t="inlineStr">
        <is>
          <t>TOTAL</t>
        </is>
      </c>
      <c r="VI71" s="9" t="n">
        <v>0</v>
      </c>
      <c r="VJ71" s="9" t="n">
        <v>0</v>
      </c>
      <c r="VK71" s="9" t="n">
        <v>0</v>
      </c>
      <c r="VL71" s="9" t="n">
        <v>0</v>
      </c>
      <c r="VM71" s="9" t="n">
        <v>0</v>
      </c>
      <c r="VQ71" s="9" t="inlineStr">
        <is>
          <t>TOTAL</t>
        </is>
      </c>
      <c r="VR71" s="9" t="n">
        <v>0</v>
      </c>
      <c r="VS71" s="9" t="n">
        <v>0</v>
      </c>
      <c r="VT71" s="9" t="n">
        <v>0</v>
      </c>
      <c r="VU71" s="9" t="n">
        <v>0</v>
      </c>
      <c r="VV71" s="9" t="n">
        <v>0</v>
      </c>
      <c r="VZ71" s="9" t="inlineStr">
        <is>
          <t>TOTAL</t>
        </is>
      </c>
      <c r="WA71" s="9" t="n">
        <v>0</v>
      </c>
      <c r="WB71" s="9" t="n">
        <v>0</v>
      </c>
      <c r="WC71" s="9" t="n">
        <v>0</v>
      </c>
      <c r="WD71" s="9" t="n">
        <v>0</v>
      </c>
      <c r="WE71" s="9" t="n">
        <v>0</v>
      </c>
      <c r="WI71" s="9" t="inlineStr">
        <is>
          <t>TOTAL</t>
        </is>
      </c>
      <c r="WJ71" s="9" t="n">
        <v>0</v>
      </c>
      <c r="WK71" s="9" t="n">
        <v>0</v>
      </c>
      <c r="WL71" s="9" t="n">
        <v>2981</v>
      </c>
      <c r="WM71" s="9" t="n">
        <v>-2981</v>
      </c>
      <c r="WN71" s="9" t="n">
        <v>6628</v>
      </c>
      <c r="WR71" s="9" t="inlineStr">
        <is>
          <t>TOTAL</t>
        </is>
      </c>
      <c r="WS71" s="9" t="n">
        <v>0</v>
      </c>
      <c r="WT71" s="9" t="n">
        <v>0</v>
      </c>
      <c r="WU71" s="9" t="n">
        <v>1590</v>
      </c>
      <c r="WV71" s="9" t="n">
        <v>-1590</v>
      </c>
      <c r="WW71" s="9" t="n">
        <v>6559</v>
      </c>
      <c r="XA71" s="9" t="inlineStr">
        <is>
          <t>TOTAL</t>
        </is>
      </c>
      <c r="XB71" s="9" t="n">
        <v>0</v>
      </c>
      <c r="XC71" s="9" t="n">
        <v>0</v>
      </c>
      <c r="XD71" s="9" t="n">
        <v>321</v>
      </c>
      <c r="XE71" s="9" t="n">
        <v>-321</v>
      </c>
      <c r="XF71" s="9" t="n">
        <v>590</v>
      </c>
      <c r="XJ71" s="9" t="inlineStr">
        <is>
          <t>TOTAL</t>
        </is>
      </c>
      <c r="XK71" s="9" t="n">
        <v>10000</v>
      </c>
      <c r="XL71" s="9" t="n">
        <v>0</v>
      </c>
      <c r="XM71" s="9" t="n">
        <v>12849</v>
      </c>
      <c r="XN71" s="9" t="n">
        <v>-12849</v>
      </c>
      <c r="XO71" s="9" t="n">
        <v>3391</v>
      </c>
      <c r="XS71" s="9" t="inlineStr">
        <is>
          <t>TOTAL</t>
        </is>
      </c>
      <c r="XT71" s="9" t="n">
        <v>0</v>
      </c>
      <c r="XU71" s="9" t="n">
        <v>0</v>
      </c>
      <c r="XV71" s="9" t="n">
        <v>0</v>
      </c>
      <c r="XW71" s="9" t="n">
        <v>0</v>
      </c>
      <c r="XX71" s="9" t="n">
        <v>1901</v>
      </c>
      <c r="YB71" s="9" t="inlineStr">
        <is>
          <t>TOTAL</t>
        </is>
      </c>
      <c r="YC71" s="9" t="n">
        <v>707</v>
      </c>
      <c r="YD71" s="9" t="n">
        <v>0</v>
      </c>
      <c r="YE71" s="9" t="n">
        <v>2592</v>
      </c>
      <c r="YF71" s="9" t="n">
        <v>-2592</v>
      </c>
      <c r="YG71" s="9" t="n">
        <v>0</v>
      </c>
      <c r="YK71" s="9" t="inlineStr">
        <is>
          <t>TOTAL</t>
        </is>
      </c>
      <c r="YL71" s="9" t="n">
        <v>0</v>
      </c>
      <c r="YM71" s="9" t="n">
        <v>0</v>
      </c>
      <c r="YN71" s="9" t="n">
        <v>0</v>
      </c>
      <c r="YO71" s="9" t="n">
        <v>0</v>
      </c>
      <c r="YP71" s="9" t="n">
        <v>0</v>
      </c>
      <c r="YT71" s="9" t="inlineStr">
        <is>
          <t>TOTAL</t>
        </is>
      </c>
      <c r="YU71" s="9" t="n">
        <v>0</v>
      </c>
      <c r="YV71" s="9" t="n">
        <v>0</v>
      </c>
      <c r="YW71" s="9" t="n">
        <v>0</v>
      </c>
      <c r="YX71" s="9" t="n">
        <v>0</v>
      </c>
      <c r="YY71" s="9" t="n">
        <v>0</v>
      </c>
      <c r="ZC71" s="9" t="inlineStr">
        <is>
          <t>TOTAL</t>
        </is>
      </c>
      <c r="ZD71" s="9" t="n">
        <v>0</v>
      </c>
      <c r="ZE71" s="9" t="n">
        <v>0</v>
      </c>
      <c r="ZF71" s="9" t="n">
        <v>0</v>
      </c>
      <c r="ZG71" s="9" t="n">
        <v>0</v>
      </c>
      <c r="ZH71" s="9" t="n">
        <v>0</v>
      </c>
      <c r="ZL71" s="9" t="inlineStr">
        <is>
          <t>TOTAL</t>
        </is>
      </c>
      <c r="ZM71" s="9" t="n">
        <v>0</v>
      </c>
      <c r="ZN71" s="9" t="n">
        <v>0</v>
      </c>
      <c r="ZO71" s="9" t="n">
        <v>0</v>
      </c>
      <c r="ZP71" s="9" t="n">
        <v>0</v>
      </c>
      <c r="ZQ71" s="9" t="n">
        <v>0</v>
      </c>
      <c r="ZU71" s="9" t="inlineStr">
        <is>
          <t>TOTAL</t>
        </is>
      </c>
      <c r="ZV71" s="9" t="n">
        <v>0</v>
      </c>
      <c r="ZW71" s="9" t="n">
        <v>0</v>
      </c>
      <c r="ZX71" s="9" t="n">
        <v>0</v>
      </c>
      <c r="ZY71" s="9" t="n">
        <v>0</v>
      </c>
      <c r="ZZ71" s="9" t="n">
        <v>0</v>
      </c>
      <c r="AAD71" s="9" t="inlineStr">
        <is>
          <t>TOTAL</t>
        </is>
      </c>
      <c r="AAE71" s="9" t="n">
        <v>0</v>
      </c>
      <c r="AAF71" s="9" t="n">
        <v>0</v>
      </c>
      <c r="AAG71" s="9" t="n">
        <v>0</v>
      </c>
      <c r="AAH71" s="9" t="n">
        <v>0</v>
      </c>
      <c r="AAI71" s="9" t="n">
        <v>0</v>
      </c>
      <c r="AAM71" s="9" t="inlineStr">
        <is>
          <t>TOTAL</t>
        </is>
      </c>
      <c r="AAN71" s="9" t="n">
        <v>0</v>
      </c>
      <c r="AAO71" s="9" t="n">
        <v>0</v>
      </c>
      <c r="AAP71" s="9" t="n">
        <v>0</v>
      </c>
      <c r="AAQ71" s="9" t="n">
        <v>0</v>
      </c>
      <c r="AAR71" s="9" t="n">
        <v>0</v>
      </c>
      <c r="AAV71" s="9" t="inlineStr">
        <is>
          <t>TOTAL</t>
        </is>
      </c>
      <c r="AAW71" s="9" t="n">
        <v>0</v>
      </c>
      <c r="AAX71" s="9" t="n">
        <v>0</v>
      </c>
      <c r="AAY71" s="9" t="n">
        <v>0</v>
      </c>
      <c r="AAZ71" s="9" t="n">
        <v>0</v>
      </c>
      <c r="ABA71" s="9" t="n">
        <v>0</v>
      </c>
      <c r="ABE71" s="9" t="inlineStr">
        <is>
          <t>TOTAL</t>
        </is>
      </c>
      <c r="ABF71" s="9" t="n">
        <v>0</v>
      </c>
      <c r="ABG71" s="9" t="n">
        <v>0</v>
      </c>
      <c r="ABH71" s="9" t="n">
        <v>0</v>
      </c>
      <c r="ABI71" s="9" t="n">
        <v>0</v>
      </c>
      <c r="ABJ71" s="9" t="n">
        <v>0</v>
      </c>
    </row>
    <row r="72"/>
    <row r="73">
      <c r="A73" s="9" t="inlineStr">
        <is>
          <t>MAR</t>
        </is>
      </c>
      <c r="C73" s="9" t="inlineStr">
        <is>
          <t>MARCH</t>
        </is>
      </c>
      <c r="J73" s="9" t="inlineStr">
        <is>
          <t>MAR</t>
        </is>
      </c>
      <c r="L73" s="9" t="inlineStr">
        <is>
          <t>MARCH</t>
        </is>
      </c>
      <c r="S73" s="9" t="inlineStr">
        <is>
          <t>MAR</t>
        </is>
      </c>
      <c r="U73" s="9" t="inlineStr">
        <is>
          <t>MARCH</t>
        </is>
      </c>
      <c r="AB73" s="9" t="inlineStr">
        <is>
          <t>MAR</t>
        </is>
      </c>
      <c r="AD73" s="9" t="inlineStr">
        <is>
          <t>MARCH</t>
        </is>
      </c>
      <c r="AK73" s="9" t="inlineStr">
        <is>
          <t>MAR</t>
        </is>
      </c>
      <c r="AM73" s="9" t="inlineStr">
        <is>
          <t>MARCH</t>
        </is>
      </c>
      <c r="AT73" s="9" t="inlineStr">
        <is>
          <t>MAR</t>
        </is>
      </c>
      <c r="AV73" s="9" t="inlineStr">
        <is>
          <t>MARCH</t>
        </is>
      </c>
      <c r="BC73" s="9" t="inlineStr">
        <is>
          <t>MAR</t>
        </is>
      </c>
      <c r="BE73" s="9" t="inlineStr">
        <is>
          <t>MARCH</t>
        </is>
      </c>
      <c r="BL73" s="9" t="inlineStr">
        <is>
          <t>MAR</t>
        </is>
      </c>
      <c r="BN73" s="9" t="inlineStr">
        <is>
          <t>MARCH</t>
        </is>
      </c>
      <c r="BU73" s="9" t="inlineStr">
        <is>
          <t>MAR</t>
        </is>
      </c>
      <c r="BW73" s="9" t="inlineStr">
        <is>
          <t>MARCH</t>
        </is>
      </c>
      <c r="CD73" s="9" t="inlineStr">
        <is>
          <t>MAR</t>
        </is>
      </c>
      <c r="CF73" s="9" t="inlineStr">
        <is>
          <t>MARCH</t>
        </is>
      </c>
      <c r="CM73" s="9" t="inlineStr">
        <is>
          <t>MAR</t>
        </is>
      </c>
      <c r="CO73" s="9" t="inlineStr">
        <is>
          <t>MARCH</t>
        </is>
      </c>
      <c r="CV73" s="9" t="inlineStr">
        <is>
          <t>MAR</t>
        </is>
      </c>
      <c r="CX73" s="9" t="inlineStr">
        <is>
          <t>MARCH</t>
        </is>
      </c>
      <c r="DE73" s="9" t="inlineStr">
        <is>
          <t>MAR</t>
        </is>
      </c>
      <c r="DG73" s="9" t="inlineStr">
        <is>
          <t>MARCH</t>
        </is>
      </c>
      <c r="DN73" s="9" t="inlineStr">
        <is>
          <t>MAR</t>
        </is>
      </c>
      <c r="DP73" s="9" t="inlineStr">
        <is>
          <t>MARCH</t>
        </is>
      </c>
      <c r="DW73" s="9" t="inlineStr">
        <is>
          <t>MAR</t>
        </is>
      </c>
      <c r="DY73" s="9" t="inlineStr">
        <is>
          <t>MARCH</t>
        </is>
      </c>
      <c r="EF73" s="9" t="inlineStr">
        <is>
          <t>MAR</t>
        </is>
      </c>
      <c r="EH73" s="9" t="inlineStr">
        <is>
          <t>MARCH</t>
        </is>
      </c>
      <c r="EO73" s="9" t="inlineStr">
        <is>
          <t>MAR</t>
        </is>
      </c>
      <c r="EQ73" s="9" t="inlineStr">
        <is>
          <t>MARCH</t>
        </is>
      </c>
      <c r="EX73" s="9" t="inlineStr">
        <is>
          <t>MAR</t>
        </is>
      </c>
      <c r="EZ73" s="9" t="inlineStr">
        <is>
          <t>MARCH</t>
        </is>
      </c>
      <c r="FG73" s="9" t="inlineStr">
        <is>
          <t>MAR</t>
        </is>
      </c>
      <c r="FI73" s="9" t="inlineStr">
        <is>
          <t>MARCH</t>
        </is>
      </c>
      <c r="FP73" s="9" t="inlineStr">
        <is>
          <t>MAR</t>
        </is>
      </c>
      <c r="FR73" s="9" t="inlineStr">
        <is>
          <t>MARCH</t>
        </is>
      </c>
      <c r="FY73" s="9" t="inlineStr">
        <is>
          <t>MAR</t>
        </is>
      </c>
      <c r="GA73" s="9" t="inlineStr">
        <is>
          <t>MARCH</t>
        </is>
      </c>
      <c r="GH73" s="9" t="inlineStr">
        <is>
          <t>MAR</t>
        </is>
      </c>
      <c r="GJ73" s="9" t="inlineStr">
        <is>
          <t>MARCH</t>
        </is>
      </c>
      <c r="GQ73" s="9" t="inlineStr">
        <is>
          <t>MAR</t>
        </is>
      </c>
      <c r="GS73" s="9" t="inlineStr">
        <is>
          <t>MARCH</t>
        </is>
      </c>
      <c r="GZ73" s="9" t="inlineStr">
        <is>
          <t>MAR</t>
        </is>
      </c>
      <c r="HB73" s="9" t="inlineStr">
        <is>
          <t>MARCH</t>
        </is>
      </c>
      <c r="HI73" s="9" t="inlineStr">
        <is>
          <t>MAR</t>
        </is>
      </c>
      <c r="HK73" s="9" t="inlineStr">
        <is>
          <t>MARCH</t>
        </is>
      </c>
      <c r="HS73" s="9" t="inlineStr">
        <is>
          <t>MAR</t>
        </is>
      </c>
      <c r="HU73" s="9" t="inlineStr">
        <is>
          <t>MARCH</t>
        </is>
      </c>
      <c r="IB73" s="9" t="inlineStr">
        <is>
          <t>MAR</t>
        </is>
      </c>
      <c r="ID73" s="9" t="inlineStr">
        <is>
          <t>MARCH</t>
        </is>
      </c>
      <c r="IK73" s="9" t="inlineStr">
        <is>
          <t>MAR</t>
        </is>
      </c>
      <c r="IM73" s="9" t="inlineStr">
        <is>
          <t>MARCH</t>
        </is>
      </c>
      <c r="IT73" s="9" t="inlineStr">
        <is>
          <t>MAR</t>
        </is>
      </c>
      <c r="IV73" s="9" t="inlineStr">
        <is>
          <t>MARCH</t>
        </is>
      </c>
      <c r="JC73" s="9" t="inlineStr">
        <is>
          <t>MAR</t>
        </is>
      </c>
      <c r="JE73" s="9" t="inlineStr">
        <is>
          <t>MARCH</t>
        </is>
      </c>
      <c r="JL73" s="9" t="inlineStr">
        <is>
          <t>MAR</t>
        </is>
      </c>
      <c r="JN73" s="9" t="inlineStr">
        <is>
          <t>MARCH</t>
        </is>
      </c>
      <c r="JU73" s="9" t="inlineStr">
        <is>
          <t>MAR</t>
        </is>
      </c>
      <c r="JW73" s="9" t="inlineStr">
        <is>
          <t>MARCH</t>
        </is>
      </c>
      <c r="KD73" s="9" t="inlineStr">
        <is>
          <t>MAR</t>
        </is>
      </c>
      <c r="KF73" s="9" t="inlineStr">
        <is>
          <t>MARCH</t>
        </is>
      </c>
      <c r="KM73" s="9" t="inlineStr">
        <is>
          <t>MAR</t>
        </is>
      </c>
      <c r="KO73" s="9" t="inlineStr">
        <is>
          <t>MARCH</t>
        </is>
      </c>
      <c r="KV73" s="9" t="inlineStr">
        <is>
          <t>MAR</t>
        </is>
      </c>
      <c r="KX73" s="9" t="inlineStr">
        <is>
          <t>MARCH</t>
        </is>
      </c>
      <c r="LE73" s="9" t="inlineStr">
        <is>
          <t>MAR</t>
        </is>
      </c>
      <c r="LG73" s="9" t="inlineStr">
        <is>
          <t>MARCH</t>
        </is>
      </c>
      <c r="LN73" s="9" t="inlineStr">
        <is>
          <t>MAR</t>
        </is>
      </c>
      <c r="LP73" s="9" t="inlineStr">
        <is>
          <t>MARCH</t>
        </is>
      </c>
      <c r="LW73" s="9" t="inlineStr">
        <is>
          <t>MAR</t>
        </is>
      </c>
      <c r="LY73" s="9" t="inlineStr">
        <is>
          <t>MARCH</t>
        </is>
      </c>
      <c r="MF73" s="9" t="inlineStr">
        <is>
          <t>MAR</t>
        </is>
      </c>
      <c r="MH73" s="9" t="inlineStr">
        <is>
          <t>MARCH</t>
        </is>
      </c>
      <c r="MO73" s="9" t="inlineStr">
        <is>
          <t>MAR</t>
        </is>
      </c>
      <c r="MQ73" s="9" t="inlineStr">
        <is>
          <t>MARCH</t>
        </is>
      </c>
      <c r="MX73" s="9" t="inlineStr">
        <is>
          <t>MAR</t>
        </is>
      </c>
      <c r="MZ73" s="9" t="inlineStr">
        <is>
          <t>MARCH</t>
        </is>
      </c>
      <c r="NG73" s="9" t="inlineStr">
        <is>
          <t>MAR</t>
        </is>
      </c>
      <c r="NI73" s="9" t="inlineStr">
        <is>
          <t>MARCH</t>
        </is>
      </c>
      <c r="NP73" s="9" t="inlineStr">
        <is>
          <t>MAR</t>
        </is>
      </c>
      <c r="NR73" s="9" t="inlineStr">
        <is>
          <t>MARCH</t>
        </is>
      </c>
      <c r="NY73" s="9" t="inlineStr">
        <is>
          <t>MAR</t>
        </is>
      </c>
      <c r="OA73" s="9" t="inlineStr">
        <is>
          <t>MARCH</t>
        </is>
      </c>
      <c r="OH73" s="9" t="inlineStr">
        <is>
          <t>MAR</t>
        </is>
      </c>
      <c r="OJ73" s="9" t="inlineStr">
        <is>
          <t>MARCH</t>
        </is>
      </c>
      <c r="OQ73" s="9" t="inlineStr">
        <is>
          <t>MAR</t>
        </is>
      </c>
      <c r="OS73" s="9" t="inlineStr">
        <is>
          <t>MARCH</t>
        </is>
      </c>
      <c r="OZ73" s="9" t="inlineStr">
        <is>
          <t>MAR</t>
        </is>
      </c>
      <c r="PB73" s="9" t="inlineStr">
        <is>
          <t>MARCH</t>
        </is>
      </c>
      <c r="PI73" s="9" t="inlineStr">
        <is>
          <t>MAR</t>
        </is>
      </c>
      <c r="PK73" s="9" t="inlineStr">
        <is>
          <t>MARCH</t>
        </is>
      </c>
      <c r="PR73" s="9" t="inlineStr">
        <is>
          <t>MAR</t>
        </is>
      </c>
      <c r="PT73" s="9" t="inlineStr">
        <is>
          <t>MARCH</t>
        </is>
      </c>
      <c r="QA73" s="9" t="inlineStr">
        <is>
          <t>MAR</t>
        </is>
      </c>
      <c r="QC73" s="9" t="inlineStr">
        <is>
          <t>MARCH</t>
        </is>
      </c>
      <c r="QJ73" s="9" t="inlineStr">
        <is>
          <t>MAR</t>
        </is>
      </c>
      <c r="QL73" s="9" t="inlineStr">
        <is>
          <t>MARCH</t>
        </is>
      </c>
      <c r="QS73" s="9" t="inlineStr">
        <is>
          <t>MAR</t>
        </is>
      </c>
      <c r="QU73" s="9" t="inlineStr">
        <is>
          <t>MARCH</t>
        </is>
      </c>
      <c r="RB73" s="9" t="inlineStr">
        <is>
          <t>MAR</t>
        </is>
      </c>
      <c r="RD73" s="9" t="inlineStr">
        <is>
          <t>MARCH</t>
        </is>
      </c>
      <c r="RK73" s="9" t="inlineStr">
        <is>
          <t>MAR</t>
        </is>
      </c>
      <c r="RM73" s="9" t="inlineStr">
        <is>
          <t>MARCH</t>
        </is>
      </c>
      <c r="RT73" s="9" t="inlineStr">
        <is>
          <t>MAR</t>
        </is>
      </c>
      <c r="RV73" s="9" t="inlineStr">
        <is>
          <t>MARCH</t>
        </is>
      </c>
      <c r="SC73" s="9" t="inlineStr">
        <is>
          <t>MAR</t>
        </is>
      </c>
      <c r="SE73" s="9" t="inlineStr">
        <is>
          <t>MARCH</t>
        </is>
      </c>
      <c r="SL73" s="9" t="inlineStr">
        <is>
          <t>MAR</t>
        </is>
      </c>
      <c r="SN73" s="9" t="inlineStr">
        <is>
          <t>MARCH</t>
        </is>
      </c>
      <c r="SU73" s="9" t="inlineStr">
        <is>
          <t>MAR</t>
        </is>
      </c>
      <c r="SW73" s="9" t="inlineStr">
        <is>
          <t>MARCH</t>
        </is>
      </c>
      <c r="TD73" s="9" t="inlineStr">
        <is>
          <t>MAR</t>
        </is>
      </c>
      <c r="TF73" s="9" t="inlineStr">
        <is>
          <t>MARCH</t>
        </is>
      </c>
      <c r="TM73" s="9" t="inlineStr">
        <is>
          <t>MAR</t>
        </is>
      </c>
      <c r="TO73" s="9" t="inlineStr">
        <is>
          <t>MARCH</t>
        </is>
      </c>
      <c r="TV73" s="9" t="inlineStr">
        <is>
          <t>MAR</t>
        </is>
      </c>
      <c r="TX73" s="9" t="inlineStr">
        <is>
          <t>MARCH</t>
        </is>
      </c>
      <c r="UE73" s="9" t="inlineStr">
        <is>
          <t>MAR</t>
        </is>
      </c>
      <c r="UG73" s="9" t="inlineStr">
        <is>
          <t>MARCH</t>
        </is>
      </c>
      <c r="UN73" s="9" t="inlineStr">
        <is>
          <t>MAR</t>
        </is>
      </c>
      <c r="UP73" s="9" t="inlineStr">
        <is>
          <t>MARCH</t>
        </is>
      </c>
      <c r="UW73" s="9" t="inlineStr">
        <is>
          <t>MAR</t>
        </is>
      </c>
      <c r="UY73" s="9" t="inlineStr">
        <is>
          <t>MARCH</t>
        </is>
      </c>
      <c r="VF73" s="9" t="inlineStr">
        <is>
          <t>MAR</t>
        </is>
      </c>
      <c r="VH73" s="9" t="inlineStr">
        <is>
          <t>MARCH</t>
        </is>
      </c>
      <c r="VO73" s="9" t="inlineStr">
        <is>
          <t>MAR</t>
        </is>
      </c>
      <c r="VQ73" s="9" t="inlineStr">
        <is>
          <t>MARCH</t>
        </is>
      </c>
      <c r="VX73" s="9" t="inlineStr">
        <is>
          <t>MAR</t>
        </is>
      </c>
      <c r="VZ73" s="9" t="inlineStr">
        <is>
          <t>MARCH</t>
        </is>
      </c>
      <c r="WG73" s="9" t="inlineStr">
        <is>
          <t>MAR</t>
        </is>
      </c>
      <c r="WI73" s="9" t="inlineStr">
        <is>
          <t>MARCH</t>
        </is>
      </c>
      <c r="WP73" s="9" t="inlineStr">
        <is>
          <t>MAR</t>
        </is>
      </c>
      <c r="WR73" s="9" t="inlineStr">
        <is>
          <t>MARCH</t>
        </is>
      </c>
      <c r="WY73" s="9" t="inlineStr">
        <is>
          <t>MAR</t>
        </is>
      </c>
      <c r="XA73" s="9" t="inlineStr">
        <is>
          <t>MARCH</t>
        </is>
      </c>
      <c r="XH73" s="9" t="inlineStr">
        <is>
          <t>MAR</t>
        </is>
      </c>
      <c r="XJ73" s="9" t="inlineStr">
        <is>
          <t>MARCH</t>
        </is>
      </c>
      <c r="XQ73" s="9" t="inlineStr">
        <is>
          <t>MAR</t>
        </is>
      </c>
      <c r="XS73" s="9" t="inlineStr">
        <is>
          <t>MARCH</t>
        </is>
      </c>
      <c r="XZ73" s="9" t="inlineStr">
        <is>
          <t>MAR</t>
        </is>
      </c>
      <c r="YB73" s="9" t="inlineStr">
        <is>
          <t>MARCH</t>
        </is>
      </c>
      <c r="YI73" s="9" t="inlineStr">
        <is>
          <t>MAR</t>
        </is>
      </c>
      <c r="YK73" s="9" t="inlineStr">
        <is>
          <t>MARCH</t>
        </is>
      </c>
      <c r="YR73" s="9" t="inlineStr">
        <is>
          <t>MAR</t>
        </is>
      </c>
      <c r="YT73" s="9" t="inlineStr">
        <is>
          <t>MARCH</t>
        </is>
      </c>
      <c r="ZA73" s="9" t="inlineStr">
        <is>
          <t>MAR</t>
        </is>
      </c>
      <c r="ZC73" s="9" t="inlineStr">
        <is>
          <t>MARCH</t>
        </is>
      </c>
      <c r="ZJ73" s="9" t="inlineStr">
        <is>
          <t>MAR</t>
        </is>
      </c>
      <c r="ZL73" s="9" t="inlineStr">
        <is>
          <t>MARCH</t>
        </is>
      </c>
      <c r="ZS73" s="9" t="inlineStr">
        <is>
          <t>MAR</t>
        </is>
      </c>
      <c r="ZU73" s="9" t="inlineStr">
        <is>
          <t>MARCH</t>
        </is>
      </c>
      <c r="AAB73" s="9" t="inlineStr">
        <is>
          <t>MAR</t>
        </is>
      </c>
      <c r="AAD73" s="9" t="inlineStr">
        <is>
          <t>MARCH</t>
        </is>
      </c>
      <c r="AAK73" s="9" t="inlineStr">
        <is>
          <t>MAR</t>
        </is>
      </c>
      <c r="AAM73" s="9" t="inlineStr">
        <is>
          <t>MARCH</t>
        </is>
      </c>
      <c r="AAT73" s="9" t="inlineStr">
        <is>
          <t>MAR</t>
        </is>
      </c>
      <c r="AAV73" s="9" t="inlineStr">
        <is>
          <t>MARCH</t>
        </is>
      </c>
      <c r="ABC73" s="9" t="inlineStr">
        <is>
          <t>MAR</t>
        </is>
      </c>
      <c r="ABE73" s="9" t="inlineStr">
        <is>
          <t>MARCH</t>
        </is>
      </c>
    </row>
    <row r="74">
      <c r="C74" s="9" t="inlineStr">
        <is>
          <t>Date</t>
        </is>
      </c>
      <c r="D74" s="9" t="inlineStr">
        <is>
          <t>Intake</t>
        </is>
      </c>
      <c r="E74" s="9" t="inlineStr">
        <is>
          <t>Usage</t>
        </is>
      </c>
      <c r="F74" s="9" t="inlineStr">
        <is>
          <t>Actual</t>
        </is>
      </c>
      <c r="G74" s="9" t="inlineStr">
        <is>
          <t>Adjustment</t>
        </is>
      </c>
      <c r="H74" s="9" t="inlineStr">
        <is>
          <t>Balance</t>
        </is>
      </c>
      <c r="I74" s="9" t="inlineStr">
        <is>
          <t>Remarks</t>
        </is>
      </c>
      <c r="L74" s="9" t="inlineStr">
        <is>
          <t>Date</t>
        </is>
      </c>
      <c r="M74" s="9" t="inlineStr">
        <is>
          <t>Intake</t>
        </is>
      </c>
      <c r="N74" s="9" t="inlineStr">
        <is>
          <t>Usage</t>
        </is>
      </c>
      <c r="O74" s="9" t="inlineStr">
        <is>
          <t>Actual</t>
        </is>
      </c>
      <c r="P74" s="9" t="inlineStr">
        <is>
          <t>Adjustment</t>
        </is>
      </c>
      <c r="Q74" s="9" t="inlineStr">
        <is>
          <t>Balance</t>
        </is>
      </c>
      <c r="R74" s="9" t="inlineStr">
        <is>
          <t>Remarks</t>
        </is>
      </c>
      <c r="U74" s="9" t="inlineStr">
        <is>
          <t>Date</t>
        </is>
      </c>
      <c r="V74" s="9" t="inlineStr">
        <is>
          <t>Intake</t>
        </is>
      </c>
      <c r="W74" s="9" t="inlineStr">
        <is>
          <t>Usage</t>
        </is>
      </c>
      <c r="X74" s="9" t="inlineStr">
        <is>
          <t>Actual</t>
        </is>
      </c>
      <c r="Y74" s="9" t="inlineStr">
        <is>
          <t>Adjustment</t>
        </is>
      </c>
      <c r="Z74" s="9" t="inlineStr">
        <is>
          <t>Balance</t>
        </is>
      </c>
      <c r="AA74" s="9" t="inlineStr">
        <is>
          <t>Remarks</t>
        </is>
      </c>
      <c r="AD74" s="9" t="inlineStr">
        <is>
          <t>Date</t>
        </is>
      </c>
      <c r="AE74" s="9" t="inlineStr">
        <is>
          <t>Intake</t>
        </is>
      </c>
      <c r="AF74" s="9" t="inlineStr">
        <is>
          <t>Usage</t>
        </is>
      </c>
      <c r="AG74" s="9" t="inlineStr">
        <is>
          <t>Actual</t>
        </is>
      </c>
      <c r="AH74" s="9" t="inlineStr">
        <is>
          <t>Adjustment</t>
        </is>
      </c>
      <c r="AI74" s="9" t="inlineStr">
        <is>
          <t>Balance</t>
        </is>
      </c>
      <c r="AJ74" s="9" t="inlineStr">
        <is>
          <t>Remarks</t>
        </is>
      </c>
      <c r="AM74" s="9" t="inlineStr">
        <is>
          <t>Date</t>
        </is>
      </c>
      <c r="AN74" s="9" t="inlineStr">
        <is>
          <t>Intake</t>
        </is>
      </c>
      <c r="AO74" s="9" t="inlineStr">
        <is>
          <t>Usage</t>
        </is>
      </c>
      <c r="AP74" s="9" t="inlineStr">
        <is>
          <t>Actual</t>
        </is>
      </c>
      <c r="AQ74" s="9" t="inlineStr">
        <is>
          <t>Adjustment</t>
        </is>
      </c>
      <c r="AR74" s="9" t="inlineStr">
        <is>
          <t>Balance</t>
        </is>
      </c>
      <c r="AS74" s="9" t="inlineStr">
        <is>
          <t>Remarks</t>
        </is>
      </c>
      <c r="AV74" s="9" t="inlineStr">
        <is>
          <t>Date</t>
        </is>
      </c>
      <c r="AW74" s="9" t="inlineStr">
        <is>
          <t>Intake</t>
        </is>
      </c>
      <c r="AX74" s="9" t="inlineStr">
        <is>
          <t>Usage</t>
        </is>
      </c>
      <c r="AY74" s="9" t="inlineStr">
        <is>
          <t>Actual</t>
        </is>
      </c>
      <c r="AZ74" s="9" t="inlineStr">
        <is>
          <t>Adjustment</t>
        </is>
      </c>
      <c r="BA74" s="9" t="inlineStr">
        <is>
          <t>Balance</t>
        </is>
      </c>
      <c r="BB74" s="9" t="inlineStr">
        <is>
          <t>Remarks</t>
        </is>
      </c>
      <c r="BE74" s="9" t="inlineStr">
        <is>
          <t>Date</t>
        </is>
      </c>
      <c r="BF74" s="9" t="inlineStr">
        <is>
          <t>Intake</t>
        </is>
      </c>
      <c r="BG74" s="9" t="inlineStr">
        <is>
          <t>Usage</t>
        </is>
      </c>
      <c r="BH74" s="9" t="inlineStr">
        <is>
          <t>Actual</t>
        </is>
      </c>
      <c r="BI74" s="9" t="inlineStr">
        <is>
          <t>Adjustment</t>
        </is>
      </c>
      <c r="BJ74" s="9" t="inlineStr">
        <is>
          <t>Balance</t>
        </is>
      </c>
      <c r="BK74" s="9" t="inlineStr">
        <is>
          <t>Remarks</t>
        </is>
      </c>
      <c r="BN74" s="9" t="inlineStr">
        <is>
          <t>Date</t>
        </is>
      </c>
      <c r="BO74" s="9" t="inlineStr">
        <is>
          <t>Intake</t>
        </is>
      </c>
      <c r="BP74" s="9" t="inlineStr">
        <is>
          <t>Usage</t>
        </is>
      </c>
      <c r="BQ74" s="9" t="inlineStr">
        <is>
          <t>Actual</t>
        </is>
      </c>
      <c r="BR74" s="9" t="inlineStr">
        <is>
          <t>Adjustment</t>
        </is>
      </c>
      <c r="BS74" s="9" t="inlineStr">
        <is>
          <t>Balance</t>
        </is>
      </c>
      <c r="BT74" s="9" t="inlineStr">
        <is>
          <t>Remarks</t>
        </is>
      </c>
      <c r="BW74" s="9" t="inlineStr">
        <is>
          <t>Date</t>
        </is>
      </c>
      <c r="BX74" s="9" t="inlineStr">
        <is>
          <t>Intake</t>
        </is>
      </c>
      <c r="BY74" s="9" t="inlineStr">
        <is>
          <t>Usage</t>
        </is>
      </c>
      <c r="BZ74" s="9" t="inlineStr">
        <is>
          <t>Actual</t>
        </is>
      </c>
      <c r="CA74" s="9" t="inlineStr">
        <is>
          <t>Adjustment</t>
        </is>
      </c>
      <c r="CB74" s="9" t="inlineStr">
        <is>
          <t>Balance</t>
        </is>
      </c>
      <c r="CC74" s="9" t="inlineStr">
        <is>
          <t>Remarks</t>
        </is>
      </c>
      <c r="CF74" s="9" t="inlineStr">
        <is>
          <t>Date</t>
        </is>
      </c>
      <c r="CG74" s="9" t="inlineStr">
        <is>
          <t>Intake</t>
        </is>
      </c>
      <c r="CH74" s="9" t="inlineStr">
        <is>
          <t>Usage</t>
        </is>
      </c>
      <c r="CI74" s="9" t="inlineStr">
        <is>
          <t>Actual</t>
        </is>
      </c>
      <c r="CJ74" s="9" t="inlineStr">
        <is>
          <t>Adjustment</t>
        </is>
      </c>
      <c r="CK74" s="9" t="inlineStr">
        <is>
          <t>Balance</t>
        </is>
      </c>
      <c r="CL74" s="9" t="inlineStr">
        <is>
          <t>Remarks</t>
        </is>
      </c>
      <c r="CO74" s="9" t="inlineStr">
        <is>
          <t>Date</t>
        </is>
      </c>
      <c r="CP74" s="9" t="inlineStr">
        <is>
          <t>Intake</t>
        </is>
      </c>
      <c r="CQ74" s="9" t="inlineStr">
        <is>
          <t>Usage</t>
        </is>
      </c>
      <c r="CR74" s="9" t="inlineStr">
        <is>
          <t>Actual</t>
        </is>
      </c>
      <c r="CS74" s="9" t="inlineStr">
        <is>
          <t>Adjustment</t>
        </is>
      </c>
      <c r="CT74" s="9" t="inlineStr">
        <is>
          <t>Balance</t>
        </is>
      </c>
      <c r="CU74" s="9" t="inlineStr">
        <is>
          <t>Remarks</t>
        </is>
      </c>
      <c r="CX74" s="9" t="inlineStr">
        <is>
          <t>Date</t>
        </is>
      </c>
      <c r="CY74" s="9" t="inlineStr">
        <is>
          <t>Intake</t>
        </is>
      </c>
      <c r="CZ74" s="9" t="inlineStr">
        <is>
          <t>Usage</t>
        </is>
      </c>
      <c r="DA74" s="9" t="inlineStr">
        <is>
          <t>Actual</t>
        </is>
      </c>
      <c r="DB74" s="9" t="inlineStr">
        <is>
          <t>Adjustment</t>
        </is>
      </c>
      <c r="DC74" s="9" t="inlineStr">
        <is>
          <t>Balance</t>
        </is>
      </c>
      <c r="DD74" s="9" t="inlineStr">
        <is>
          <t>Remarks</t>
        </is>
      </c>
      <c r="DG74" s="9" t="inlineStr">
        <is>
          <t>Date</t>
        </is>
      </c>
      <c r="DH74" s="9" t="inlineStr">
        <is>
          <t>Intake</t>
        </is>
      </c>
      <c r="DI74" s="9" t="inlineStr">
        <is>
          <t>Usage</t>
        </is>
      </c>
      <c r="DJ74" s="9" t="inlineStr">
        <is>
          <t>Actual</t>
        </is>
      </c>
      <c r="DK74" s="9" t="inlineStr">
        <is>
          <t>Adjustment</t>
        </is>
      </c>
      <c r="DL74" s="9" t="inlineStr">
        <is>
          <t>Balance</t>
        </is>
      </c>
      <c r="DM74" s="9" t="inlineStr">
        <is>
          <t>Remarks</t>
        </is>
      </c>
      <c r="DP74" s="9" t="inlineStr">
        <is>
          <t>Date</t>
        </is>
      </c>
      <c r="DQ74" s="9" t="inlineStr">
        <is>
          <t>Intake</t>
        </is>
      </c>
      <c r="DR74" s="9" t="inlineStr">
        <is>
          <t>Usage</t>
        </is>
      </c>
      <c r="DS74" s="9" t="inlineStr">
        <is>
          <t>Actual</t>
        </is>
      </c>
      <c r="DT74" s="9" t="inlineStr">
        <is>
          <t>Adjustment</t>
        </is>
      </c>
      <c r="DU74" s="9" t="inlineStr">
        <is>
          <t>Balance</t>
        </is>
      </c>
      <c r="DV74" s="9" t="inlineStr">
        <is>
          <t>Remarks</t>
        </is>
      </c>
      <c r="DY74" s="9" t="inlineStr">
        <is>
          <t>Date</t>
        </is>
      </c>
      <c r="DZ74" s="9" t="inlineStr">
        <is>
          <t>Intake</t>
        </is>
      </c>
      <c r="EA74" s="9" t="inlineStr">
        <is>
          <t>Usage</t>
        </is>
      </c>
      <c r="EB74" s="9" t="inlineStr">
        <is>
          <t>Actual</t>
        </is>
      </c>
      <c r="EC74" s="9" t="inlineStr">
        <is>
          <t>Adjustment</t>
        </is>
      </c>
      <c r="ED74" s="9" t="inlineStr">
        <is>
          <t>Balance</t>
        </is>
      </c>
      <c r="EE74" s="9" t="inlineStr">
        <is>
          <t>Remarks</t>
        </is>
      </c>
      <c r="EH74" s="9" t="inlineStr">
        <is>
          <t>Date</t>
        </is>
      </c>
      <c r="EI74" s="9" t="inlineStr">
        <is>
          <t>Intake</t>
        </is>
      </c>
      <c r="EJ74" s="9" t="inlineStr">
        <is>
          <t>Usage</t>
        </is>
      </c>
      <c r="EK74" s="9" t="inlineStr">
        <is>
          <t>Actual</t>
        </is>
      </c>
      <c r="EL74" s="9" t="inlineStr">
        <is>
          <t>Adjustment</t>
        </is>
      </c>
      <c r="EM74" s="9" t="inlineStr">
        <is>
          <t>Balance</t>
        </is>
      </c>
      <c r="EN74" s="9" t="inlineStr">
        <is>
          <t>Remarks</t>
        </is>
      </c>
      <c r="EQ74" s="9" t="inlineStr">
        <is>
          <t>Date</t>
        </is>
      </c>
      <c r="ER74" s="9" t="inlineStr">
        <is>
          <t>Intake</t>
        </is>
      </c>
      <c r="ES74" s="9" t="inlineStr">
        <is>
          <t>Usage</t>
        </is>
      </c>
      <c r="ET74" s="9" t="inlineStr">
        <is>
          <t>Actual</t>
        </is>
      </c>
      <c r="EU74" s="9" t="inlineStr">
        <is>
          <t>Adjustment</t>
        </is>
      </c>
      <c r="EV74" s="9" t="inlineStr">
        <is>
          <t>Balance</t>
        </is>
      </c>
      <c r="EW74" s="9" t="inlineStr">
        <is>
          <t>Remarks</t>
        </is>
      </c>
      <c r="EZ74" s="9" t="inlineStr">
        <is>
          <t>Date</t>
        </is>
      </c>
      <c r="FA74" s="9" t="inlineStr">
        <is>
          <t>Intake</t>
        </is>
      </c>
      <c r="FB74" s="9" t="inlineStr">
        <is>
          <t>Usage</t>
        </is>
      </c>
      <c r="FC74" s="9" t="inlineStr">
        <is>
          <t>Actual</t>
        </is>
      </c>
      <c r="FD74" s="9" t="inlineStr">
        <is>
          <t>Adjustment</t>
        </is>
      </c>
      <c r="FE74" s="9" t="inlineStr">
        <is>
          <t>Balance</t>
        </is>
      </c>
      <c r="FF74" s="9" t="inlineStr">
        <is>
          <t>Remarks</t>
        </is>
      </c>
      <c r="FI74" s="9" t="inlineStr">
        <is>
          <t>Date</t>
        </is>
      </c>
      <c r="FJ74" s="9" t="inlineStr">
        <is>
          <t>Intake</t>
        </is>
      </c>
      <c r="FK74" s="9" t="inlineStr">
        <is>
          <t>Usage</t>
        </is>
      </c>
      <c r="FL74" s="9" t="inlineStr">
        <is>
          <t>Actual</t>
        </is>
      </c>
      <c r="FM74" s="9" t="inlineStr">
        <is>
          <t>Adjustment</t>
        </is>
      </c>
      <c r="FN74" s="9" t="inlineStr">
        <is>
          <t>Balance</t>
        </is>
      </c>
      <c r="FO74" s="9" t="inlineStr">
        <is>
          <t>Remarks</t>
        </is>
      </c>
      <c r="FR74" s="9" t="inlineStr">
        <is>
          <t>Date</t>
        </is>
      </c>
      <c r="FS74" s="9" t="inlineStr">
        <is>
          <t>Intake</t>
        </is>
      </c>
      <c r="FT74" s="9" t="inlineStr">
        <is>
          <t>Usage</t>
        </is>
      </c>
      <c r="FU74" s="9" t="inlineStr">
        <is>
          <t>Actual</t>
        </is>
      </c>
      <c r="FV74" s="9" t="inlineStr">
        <is>
          <t>Adjustment</t>
        </is>
      </c>
      <c r="FW74" s="9" t="inlineStr">
        <is>
          <t>Balance</t>
        </is>
      </c>
      <c r="FX74" s="9" t="inlineStr">
        <is>
          <t>Remarks</t>
        </is>
      </c>
      <c r="GA74" s="9" t="inlineStr">
        <is>
          <t>Date</t>
        </is>
      </c>
      <c r="GB74" s="9" t="inlineStr">
        <is>
          <t>Intake</t>
        </is>
      </c>
      <c r="GC74" s="9" t="inlineStr">
        <is>
          <t>Usage</t>
        </is>
      </c>
      <c r="GD74" s="9" t="inlineStr">
        <is>
          <t>Actual</t>
        </is>
      </c>
      <c r="GE74" s="9" t="inlineStr">
        <is>
          <t>Adjustment</t>
        </is>
      </c>
      <c r="GF74" s="9" t="inlineStr">
        <is>
          <t>Balance</t>
        </is>
      </c>
      <c r="GG74" s="9" t="inlineStr">
        <is>
          <t>Remarks</t>
        </is>
      </c>
      <c r="GJ74" s="9" t="inlineStr">
        <is>
          <t>Date</t>
        </is>
      </c>
      <c r="GK74" s="9" t="inlineStr">
        <is>
          <t>Intake</t>
        </is>
      </c>
      <c r="GL74" s="9" t="inlineStr">
        <is>
          <t>Usage</t>
        </is>
      </c>
      <c r="GM74" s="9" t="inlineStr">
        <is>
          <t>Actual</t>
        </is>
      </c>
      <c r="GN74" s="9" t="inlineStr">
        <is>
          <t>Adjustment</t>
        </is>
      </c>
      <c r="GO74" s="9" t="inlineStr">
        <is>
          <t>Balance</t>
        </is>
      </c>
      <c r="GP74" s="9" t="inlineStr">
        <is>
          <t>Remarks</t>
        </is>
      </c>
      <c r="GS74" s="9" t="inlineStr">
        <is>
          <t>Date</t>
        </is>
      </c>
      <c r="GT74" s="9" t="inlineStr">
        <is>
          <t>Intake</t>
        </is>
      </c>
      <c r="GU74" s="9" t="inlineStr">
        <is>
          <t>Usage</t>
        </is>
      </c>
      <c r="GV74" s="9" t="inlineStr">
        <is>
          <t>Actual</t>
        </is>
      </c>
      <c r="GW74" s="9" t="inlineStr">
        <is>
          <t>Adjustment</t>
        </is>
      </c>
      <c r="GX74" s="9" t="inlineStr">
        <is>
          <t>Balance</t>
        </is>
      </c>
      <c r="GY74" s="9" t="inlineStr">
        <is>
          <t>Remarks</t>
        </is>
      </c>
      <c r="HB74" s="9" t="inlineStr">
        <is>
          <t>Date</t>
        </is>
      </c>
      <c r="HC74" s="9" t="inlineStr">
        <is>
          <t>Intake</t>
        </is>
      </c>
      <c r="HD74" s="9" t="inlineStr">
        <is>
          <t>Usage</t>
        </is>
      </c>
      <c r="HE74" s="9" t="inlineStr">
        <is>
          <t>Actual</t>
        </is>
      </c>
      <c r="HF74" s="9" t="inlineStr">
        <is>
          <t>Adjustment</t>
        </is>
      </c>
      <c r="HG74" s="9" t="inlineStr">
        <is>
          <t>Balance</t>
        </is>
      </c>
      <c r="HH74" s="9" t="inlineStr">
        <is>
          <t>Remarks</t>
        </is>
      </c>
      <c r="HK74" s="9" t="inlineStr">
        <is>
          <t>Date</t>
        </is>
      </c>
      <c r="HL74" s="9" t="inlineStr">
        <is>
          <t>Intake</t>
        </is>
      </c>
      <c r="HM74" s="9" t="inlineStr">
        <is>
          <t>Usage</t>
        </is>
      </c>
      <c r="HN74" s="9" t="inlineStr">
        <is>
          <t>Actual</t>
        </is>
      </c>
      <c r="HO74" s="9" t="inlineStr">
        <is>
          <t>Adjustment</t>
        </is>
      </c>
      <c r="HP74" s="9" t="inlineStr">
        <is>
          <t>Balance</t>
        </is>
      </c>
      <c r="HQ74" s="9" t="inlineStr">
        <is>
          <t>Remarks</t>
        </is>
      </c>
      <c r="HU74" s="9" t="inlineStr">
        <is>
          <t>Date</t>
        </is>
      </c>
      <c r="HV74" s="9" t="inlineStr">
        <is>
          <t>Intake</t>
        </is>
      </c>
      <c r="HW74" s="9" t="inlineStr">
        <is>
          <t>Usage</t>
        </is>
      </c>
      <c r="HX74" s="9" t="inlineStr">
        <is>
          <t>Actual</t>
        </is>
      </c>
      <c r="HY74" s="9" t="inlineStr">
        <is>
          <t>Adjustment</t>
        </is>
      </c>
      <c r="HZ74" s="9" t="inlineStr">
        <is>
          <t>Balance</t>
        </is>
      </c>
      <c r="IA74" s="9" t="inlineStr">
        <is>
          <t>Remarks</t>
        </is>
      </c>
      <c r="ID74" s="9" t="inlineStr">
        <is>
          <t>Date</t>
        </is>
      </c>
      <c r="IE74" s="9" t="inlineStr">
        <is>
          <t>Intake</t>
        </is>
      </c>
      <c r="IF74" s="9" t="inlineStr">
        <is>
          <t>Usage</t>
        </is>
      </c>
      <c r="IG74" s="9" t="inlineStr">
        <is>
          <t>Actual</t>
        </is>
      </c>
      <c r="IH74" s="9" t="inlineStr">
        <is>
          <t>Adjustment</t>
        </is>
      </c>
      <c r="II74" s="9" t="inlineStr">
        <is>
          <t>Balance</t>
        </is>
      </c>
      <c r="IJ74" s="9" t="inlineStr">
        <is>
          <t>Remarks</t>
        </is>
      </c>
      <c r="IM74" s="9" t="inlineStr">
        <is>
          <t>Date</t>
        </is>
      </c>
      <c r="IN74" s="9" t="inlineStr">
        <is>
          <t>Intake</t>
        </is>
      </c>
      <c r="IO74" s="9" t="inlineStr">
        <is>
          <t>Usage</t>
        </is>
      </c>
      <c r="IP74" s="9" t="inlineStr">
        <is>
          <t>Actual</t>
        </is>
      </c>
      <c r="IQ74" s="9" t="inlineStr">
        <is>
          <t>Adjustment</t>
        </is>
      </c>
      <c r="IR74" s="9" t="inlineStr">
        <is>
          <t>Balance</t>
        </is>
      </c>
      <c r="IS74" s="9" t="inlineStr">
        <is>
          <t>Remarks</t>
        </is>
      </c>
      <c r="IV74" s="9" t="inlineStr">
        <is>
          <t>Date</t>
        </is>
      </c>
      <c r="IW74" s="9" t="inlineStr">
        <is>
          <t>Intake</t>
        </is>
      </c>
      <c r="IX74" s="9" t="inlineStr">
        <is>
          <t>Usage</t>
        </is>
      </c>
      <c r="IY74" s="9" t="inlineStr">
        <is>
          <t>Actual</t>
        </is>
      </c>
      <c r="IZ74" s="9" t="inlineStr">
        <is>
          <t>Adjustment</t>
        </is>
      </c>
      <c r="JA74" s="9" t="inlineStr">
        <is>
          <t>Balance</t>
        </is>
      </c>
      <c r="JB74" s="9" t="inlineStr">
        <is>
          <t>Remarks</t>
        </is>
      </c>
      <c r="JE74" s="9" t="inlineStr">
        <is>
          <t>Date</t>
        </is>
      </c>
      <c r="JF74" s="9" t="inlineStr">
        <is>
          <t>Intake</t>
        </is>
      </c>
      <c r="JG74" s="9" t="inlineStr">
        <is>
          <t>Usage</t>
        </is>
      </c>
      <c r="JH74" s="9" t="inlineStr">
        <is>
          <t>Actual</t>
        </is>
      </c>
      <c r="JI74" s="9" t="inlineStr">
        <is>
          <t>Adjustment</t>
        </is>
      </c>
      <c r="JJ74" s="9" t="inlineStr">
        <is>
          <t>Balance</t>
        </is>
      </c>
      <c r="JK74" s="9" t="inlineStr">
        <is>
          <t>Remarks</t>
        </is>
      </c>
      <c r="JN74" s="9" t="inlineStr">
        <is>
          <t>Date</t>
        </is>
      </c>
      <c r="JO74" s="9" t="inlineStr">
        <is>
          <t>Intake</t>
        </is>
      </c>
      <c r="JP74" s="9" t="inlineStr">
        <is>
          <t>Usage</t>
        </is>
      </c>
      <c r="JQ74" s="9" t="inlineStr">
        <is>
          <t>Actual</t>
        </is>
      </c>
      <c r="JR74" s="9" t="inlineStr">
        <is>
          <t>Adjustment</t>
        </is>
      </c>
      <c r="JS74" s="9" t="inlineStr">
        <is>
          <t>Balance</t>
        </is>
      </c>
      <c r="JT74" s="9" t="inlineStr">
        <is>
          <t>Remarks</t>
        </is>
      </c>
      <c r="JW74" s="9" t="inlineStr">
        <is>
          <t>Date</t>
        </is>
      </c>
      <c r="JX74" s="9" t="inlineStr">
        <is>
          <t>Intake</t>
        </is>
      </c>
      <c r="JY74" s="9" t="inlineStr">
        <is>
          <t>Usage</t>
        </is>
      </c>
      <c r="JZ74" s="9" t="inlineStr">
        <is>
          <t>Actual</t>
        </is>
      </c>
      <c r="KA74" s="9" t="inlineStr">
        <is>
          <t>Adjustment</t>
        </is>
      </c>
      <c r="KB74" s="9" t="inlineStr">
        <is>
          <t>Balance</t>
        </is>
      </c>
      <c r="KC74" s="9" t="inlineStr">
        <is>
          <t>Remarks</t>
        </is>
      </c>
      <c r="KF74" s="9" t="inlineStr">
        <is>
          <t>Date</t>
        </is>
      </c>
      <c r="KG74" s="9" t="inlineStr">
        <is>
          <t>Intake</t>
        </is>
      </c>
      <c r="KH74" s="9" t="inlineStr">
        <is>
          <t>Usage</t>
        </is>
      </c>
      <c r="KI74" s="9" t="inlineStr">
        <is>
          <t>Actual</t>
        </is>
      </c>
      <c r="KJ74" s="9" t="inlineStr">
        <is>
          <t>Adjustment</t>
        </is>
      </c>
      <c r="KK74" s="9" t="inlineStr">
        <is>
          <t>Balance</t>
        </is>
      </c>
      <c r="KL74" s="9" t="inlineStr">
        <is>
          <t>Remarks</t>
        </is>
      </c>
      <c r="KO74" s="9" t="inlineStr">
        <is>
          <t>Date</t>
        </is>
      </c>
      <c r="KP74" s="9" t="inlineStr">
        <is>
          <t>Intake</t>
        </is>
      </c>
      <c r="KQ74" s="9" t="inlineStr">
        <is>
          <t>Usage</t>
        </is>
      </c>
      <c r="KR74" s="9" t="inlineStr">
        <is>
          <t>Actual</t>
        </is>
      </c>
      <c r="KS74" s="9" t="inlineStr">
        <is>
          <t>Adjustment</t>
        </is>
      </c>
      <c r="KT74" s="9" t="inlineStr">
        <is>
          <t>Balance</t>
        </is>
      </c>
      <c r="KU74" s="9" t="inlineStr">
        <is>
          <t>Remarks</t>
        </is>
      </c>
      <c r="KX74" s="9" t="inlineStr">
        <is>
          <t>Date</t>
        </is>
      </c>
      <c r="KY74" s="9" t="inlineStr">
        <is>
          <t>Intake</t>
        </is>
      </c>
      <c r="KZ74" s="9" t="inlineStr">
        <is>
          <t>Usage</t>
        </is>
      </c>
      <c r="LA74" s="9" t="inlineStr">
        <is>
          <t>Actual</t>
        </is>
      </c>
      <c r="LB74" s="9" t="inlineStr">
        <is>
          <t>Adjustment</t>
        </is>
      </c>
      <c r="LC74" s="9" t="inlineStr">
        <is>
          <t>Balance</t>
        </is>
      </c>
      <c r="LD74" s="9" t="inlineStr">
        <is>
          <t>Remarks</t>
        </is>
      </c>
      <c r="LG74" s="9" t="inlineStr">
        <is>
          <t>Date</t>
        </is>
      </c>
      <c r="LH74" s="9" t="inlineStr">
        <is>
          <t>Intake</t>
        </is>
      </c>
      <c r="LI74" s="9" t="inlineStr">
        <is>
          <t>Usage</t>
        </is>
      </c>
      <c r="LJ74" s="9" t="inlineStr">
        <is>
          <t>Actual</t>
        </is>
      </c>
      <c r="LK74" s="9" t="inlineStr">
        <is>
          <t>Adjustment</t>
        </is>
      </c>
      <c r="LL74" s="9" t="inlineStr">
        <is>
          <t>Balance</t>
        </is>
      </c>
      <c r="LM74" s="9" t="inlineStr">
        <is>
          <t>Remarks</t>
        </is>
      </c>
      <c r="LP74" s="9" t="inlineStr">
        <is>
          <t>Date</t>
        </is>
      </c>
      <c r="LQ74" s="9" t="inlineStr">
        <is>
          <t>Intake</t>
        </is>
      </c>
      <c r="LR74" s="9" t="inlineStr">
        <is>
          <t>Usage</t>
        </is>
      </c>
      <c r="LS74" s="9" t="inlineStr">
        <is>
          <t>Actual</t>
        </is>
      </c>
      <c r="LT74" s="9" t="inlineStr">
        <is>
          <t>Adjustment</t>
        </is>
      </c>
      <c r="LU74" s="9" t="inlineStr">
        <is>
          <t>Balance</t>
        </is>
      </c>
      <c r="LV74" s="9" t="inlineStr">
        <is>
          <t>Remarks</t>
        </is>
      </c>
      <c r="LY74" s="9" t="inlineStr">
        <is>
          <t>Date</t>
        </is>
      </c>
      <c r="LZ74" s="9" t="inlineStr">
        <is>
          <t>Intake</t>
        </is>
      </c>
      <c r="MA74" s="9" t="inlineStr">
        <is>
          <t>Usage</t>
        </is>
      </c>
      <c r="MB74" s="9" t="inlineStr">
        <is>
          <t>Actual</t>
        </is>
      </c>
      <c r="MC74" s="9" t="inlineStr">
        <is>
          <t>Adjustment</t>
        </is>
      </c>
      <c r="MD74" s="9" t="inlineStr">
        <is>
          <t>Balance</t>
        </is>
      </c>
      <c r="ME74" s="9" t="inlineStr">
        <is>
          <t>Remarks</t>
        </is>
      </c>
      <c r="MH74" s="9" t="inlineStr">
        <is>
          <t>Date</t>
        </is>
      </c>
      <c r="MI74" s="9" t="inlineStr">
        <is>
          <t>Intake</t>
        </is>
      </c>
      <c r="MJ74" s="9" t="inlineStr">
        <is>
          <t>Usage</t>
        </is>
      </c>
      <c r="MK74" s="9" t="inlineStr">
        <is>
          <t>Actual</t>
        </is>
      </c>
      <c r="ML74" s="9" t="inlineStr">
        <is>
          <t>Adjustment</t>
        </is>
      </c>
      <c r="MM74" s="9" t="inlineStr">
        <is>
          <t>Balance</t>
        </is>
      </c>
      <c r="MN74" s="9" t="inlineStr">
        <is>
          <t>Remarks</t>
        </is>
      </c>
      <c r="MQ74" s="9" t="inlineStr">
        <is>
          <t>Date</t>
        </is>
      </c>
      <c r="MR74" s="9" t="inlineStr">
        <is>
          <t>Intake</t>
        </is>
      </c>
      <c r="MS74" s="9" t="inlineStr">
        <is>
          <t>Usage</t>
        </is>
      </c>
      <c r="MT74" s="9" t="inlineStr">
        <is>
          <t>Actual</t>
        </is>
      </c>
      <c r="MU74" s="9" t="inlineStr">
        <is>
          <t>Adjustment</t>
        </is>
      </c>
      <c r="MV74" s="9" t="inlineStr">
        <is>
          <t>Balance</t>
        </is>
      </c>
      <c r="MW74" s="9" t="inlineStr">
        <is>
          <t>Remarks</t>
        </is>
      </c>
      <c r="MZ74" s="9" t="inlineStr">
        <is>
          <t>Date</t>
        </is>
      </c>
      <c r="NA74" s="9" t="inlineStr">
        <is>
          <t>Intake</t>
        </is>
      </c>
      <c r="NB74" s="9" t="inlineStr">
        <is>
          <t>Usage</t>
        </is>
      </c>
      <c r="NC74" s="9" t="inlineStr">
        <is>
          <t>Actual</t>
        </is>
      </c>
      <c r="ND74" s="9" t="inlineStr">
        <is>
          <t>Adjustment</t>
        </is>
      </c>
      <c r="NE74" s="9" t="inlineStr">
        <is>
          <t>Balance</t>
        </is>
      </c>
      <c r="NF74" s="9" t="inlineStr">
        <is>
          <t>Remarks</t>
        </is>
      </c>
      <c r="NI74" s="9" t="inlineStr">
        <is>
          <t>Date</t>
        </is>
      </c>
      <c r="NJ74" s="9" t="inlineStr">
        <is>
          <t>Intake</t>
        </is>
      </c>
      <c r="NK74" s="9" t="inlineStr">
        <is>
          <t>Usage</t>
        </is>
      </c>
      <c r="NL74" s="9" t="inlineStr">
        <is>
          <t>Actual</t>
        </is>
      </c>
      <c r="NM74" s="9" t="inlineStr">
        <is>
          <t>Adjustment</t>
        </is>
      </c>
      <c r="NN74" s="9" t="inlineStr">
        <is>
          <t>Balance</t>
        </is>
      </c>
      <c r="NO74" s="9" t="inlineStr">
        <is>
          <t>Remarks</t>
        </is>
      </c>
      <c r="NR74" s="9" t="inlineStr">
        <is>
          <t>Date</t>
        </is>
      </c>
      <c r="NS74" s="9" t="inlineStr">
        <is>
          <t>Intake</t>
        </is>
      </c>
      <c r="NT74" s="9" t="inlineStr">
        <is>
          <t>Usage</t>
        </is>
      </c>
      <c r="NU74" s="9" t="inlineStr">
        <is>
          <t>Actual</t>
        </is>
      </c>
      <c r="NV74" s="9" t="inlineStr">
        <is>
          <t>Adjustment</t>
        </is>
      </c>
      <c r="NW74" s="9" t="inlineStr">
        <is>
          <t>Balance</t>
        </is>
      </c>
      <c r="NX74" s="9" t="inlineStr">
        <is>
          <t>Remarks</t>
        </is>
      </c>
      <c r="OA74" s="9" t="inlineStr">
        <is>
          <t>Date</t>
        </is>
      </c>
      <c r="OB74" s="9" t="inlineStr">
        <is>
          <t>Intake</t>
        </is>
      </c>
      <c r="OC74" s="9" t="inlineStr">
        <is>
          <t>Usage</t>
        </is>
      </c>
      <c r="OD74" s="9" t="inlineStr">
        <is>
          <t>Actual</t>
        </is>
      </c>
      <c r="OE74" s="9" t="inlineStr">
        <is>
          <t>Adjustment</t>
        </is>
      </c>
      <c r="OF74" s="9" t="inlineStr">
        <is>
          <t>Balance</t>
        </is>
      </c>
      <c r="OG74" s="9" t="inlineStr">
        <is>
          <t>Remarks</t>
        </is>
      </c>
      <c r="OJ74" s="9" t="inlineStr">
        <is>
          <t>Date</t>
        </is>
      </c>
      <c r="OK74" s="9" t="inlineStr">
        <is>
          <t>Intake</t>
        </is>
      </c>
      <c r="OL74" s="9" t="inlineStr">
        <is>
          <t>Usage</t>
        </is>
      </c>
      <c r="OM74" s="9" t="inlineStr">
        <is>
          <t>Actual</t>
        </is>
      </c>
      <c r="ON74" s="9" t="inlineStr">
        <is>
          <t>Adjustment</t>
        </is>
      </c>
      <c r="OO74" s="9" t="inlineStr">
        <is>
          <t>Balance</t>
        </is>
      </c>
      <c r="OP74" s="9" t="inlineStr">
        <is>
          <t>Remarks</t>
        </is>
      </c>
      <c r="OS74" s="9" t="inlineStr">
        <is>
          <t>Date</t>
        </is>
      </c>
      <c r="OT74" s="9" t="inlineStr">
        <is>
          <t>Intake</t>
        </is>
      </c>
      <c r="OU74" s="9" t="inlineStr">
        <is>
          <t>Usage</t>
        </is>
      </c>
      <c r="OV74" s="9" t="inlineStr">
        <is>
          <t>Actual</t>
        </is>
      </c>
      <c r="OW74" s="9" t="inlineStr">
        <is>
          <t>Adjustment</t>
        </is>
      </c>
      <c r="OX74" s="9" t="inlineStr">
        <is>
          <t>Balance</t>
        </is>
      </c>
      <c r="OY74" s="9" t="inlineStr">
        <is>
          <t>Remarks</t>
        </is>
      </c>
      <c r="PB74" s="9" t="inlineStr">
        <is>
          <t>Date</t>
        </is>
      </c>
      <c r="PC74" s="9" t="inlineStr">
        <is>
          <t>Intake</t>
        </is>
      </c>
      <c r="PD74" s="9" t="inlineStr">
        <is>
          <t>Usage</t>
        </is>
      </c>
      <c r="PE74" s="9" t="inlineStr">
        <is>
          <t>Actual</t>
        </is>
      </c>
      <c r="PF74" s="9" t="inlineStr">
        <is>
          <t>Adjustment</t>
        </is>
      </c>
      <c r="PG74" s="9" t="inlineStr">
        <is>
          <t>Balance</t>
        </is>
      </c>
      <c r="PH74" s="9" t="inlineStr">
        <is>
          <t>Remarks</t>
        </is>
      </c>
      <c r="PK74" s="9" t="inlineStr">
        <is>
          <t>Date</t>
        </is>
      </c>
      <c r="PL74" s="9" t="inlineStr">
        <is>
          <t>Intake</t>
        </is>
      </c>
      <c r="PM74" s="9" t="inlineStr">
        <is>
          <t>Usage</t>
        </is>
      </c>
      <c r="PN74" s="9" t="inlineStr">
        <is>
          <t>Actual</t>
        </is>
      </c>
      <c r="PO74" s="9" t="inlineStr">
        <is>
          <t>Adjustment</t>
        </is>
      </c>
      <c r="PP74" s="9" t="inlineStr">
        <is>
          <t>Balance</t>
        </is>
      </c>
      <c r="PQ74" s="9" t="inlineStr">
        <is>
          <t>Remarks</t>
        </is>
      </c>
      <c r="PT74" s="9" t="inlineStr">
        <is>
          <t>Date</t>
        </is>
      </c>
      <c r="PU74" s="9" t="inlineStr">
        <is>
          <t>Intake</t>
        </is>
      </c>
      <c r="PV74" s="9" t="inlineStr">
        <is>
          <t>Usage</t>
        </is>
      </c>
      <c r="PW74" s="9" t="inlineStr">
        <is>
          <t>Actual</t>
        </is>
      </c>
      <c r="PX74" s="9" t="inlineStr">
        <is>
          <t>Adjustment</t>
        </is>
      </c>
      <c r="PY74" s="9" t="inlineStr">
        <is>
          <t>Balance</t>
        </is>
      </c>
      <c r="PZ74" s="9" t="inlineStr">
        <is>
          <t>Remarks</t>
        </is>
      </c>
      <c r="QC74" s="9" t="inlineStr">
        <is>
          <t>Date</t>
        </is>
      </c>
      <c r="QD74" s="9" t="inlineStr">
        <is>
          <t>Intake</t>
        </is>
      </c>
      <c r="QE74" s="9" t="inlineStr">
        <is>
          <t>Usage</t>
        </is>
      </c>
      <c r="QF74" s="9" t="inlineStr">
        <is>
          <t>Actual</t>
        </is>
      </c>
      <c r="QG74" s="9" t="inlineStr">
        <is>
          <t>Adjustment</t>
        </is>
      </c>
      <c r="QH74" s="9" t="inlineStr">
        <is>
          <t>Balance</t>
        </is>
      </c>
      <c r="QI74" s="9" t="inlineStr">
        <is>
          <t>Remarks</t>
        </is>
      </c>
      <c r="QL74" s="9" t="inlineStr">
        <is>
          <t>Date</t>
        </is>
      </c>
      <c r="QM74" s="9" t="inlineStr">
        <is>
          <t>Intake</t>
        </is>
      </c>
      <c r="QN74" s="9" t="inlineStr">
        <is>
          <t>Usage</t>
        </is>
      </c>
      <c r="QO74" s="9" t="inlineStr">
        <is>
          <t>Actual</t>
        </is>
      </c>
      <c r="QP74" s="9" t="inlineStr">
        <is>
          <t>Adjustment</t>
        </is>
      </c>
      <c r="QQ74" s="9" t="inlineStr">
        <is>
          <t>Balance</t>
        </is>
      </c>
      <c r="QR74" s="9" t="inlineStr">
        <is>
          <t>Remarks</t>
        </is>
      </c>
      <c r="QU74" s="9" t="inlineStr">
        <is>
          <t>Date</t>
        </is>
      </c>
      <c r="QV74" s="9" t="inlineStr">
        <is>
          <t>Intake</t>
        </is>
      </c>
      <c r="QW74" s="9" t="inlineStr">
        <is>
          <t>Usage</t>
        </is>
      </c>
      <c r="QX74" s="9" t="inlineStr">
        <is>
          <t>Actual</t>
        </is>
      </c>
      <c r="QY74" s="9" t="inlineStr">
        <is>
          <t>Adjustment</t>
        </is>
      </c>
      <c r="QZ74" s="9" t="inlineStr">
        <is>
          <t>Balance</t>
        </is>
      </c>
      <c r="RA74" s="9" t="inlineStr">
        <is>
          <t>Remarks</t>
        </is>
      </c>
      <c r="RD74" s="9" t="inlineStr">
        <is>
          <t>Date</t>
        </is>
      </c>
      <c r="RE74" s="9" t="inlineStr">
        <is>
          <t>Intake</t>
        </is>
      </c>
      <c r="RF74" s="9" t="inlineStr">
        <is>
          <t>Usage</t>
        </is>
      </c>
      <c r="RG74" s="9" t="inlineStr">
        <is>
          <t>Actual</t>
        </is>
      </c>
      <c r="RH74" s="9" t="inlineStr">
        <is>
          <t>Adjustment</t>
        </is>
      </c>
      <c r="RI74" s="9" t="inlineStr">
        <is>
          <t>Balance</t>
        </is>
      </c>
      <c r="RJ74" s="9" t="inlineStr">
        <is>
          <t>Remarks</t>
        </is>
      </c>
      <c r="RM74" s="9" t="inlineStr">
        <is>
          <t>Date</t>
        </is>
      </c>
      <c r="RN74" s="9" t="inlineStr">
        <is>
          <t>Intake</t>
        </is>
      </c>
      <c r="RO74" s="9" t="inlineStr">
        <is>
          <t>Usage</t>
        </is>
      </c>
      <c r="RP74" s="9" t="inlineStr">
        <is>
          <t>Actual</t>
        </is>
      </c>
      <c r="RQ74" s="9" t="inlineStr">
        <is>
          <t>Adjustment</t>
        </is>
      </c>
      <c r="RR74" s="9" t="inlineStr">
        <is>
          <t>Balance</t>
        </is>
      </c>
      <c r="RS74" s="9" t="inlineStr">
        <is>
          <t>Remarks</t>
        </is>
      </c>
      <c r="RV74" s="9" t="inlineStr">
        <is>
          <t>Date</t>
        </is>
      </c>
      <c r="RW74" s="9" t="inlineStr">
        <is>
          <t>Intake</t>
        </is>
      </c>
      <c r="RX74" s="9" t="inlineStr">
        <is>
          <t>Usage</t>
        </is>
      </c>
      <c r="RY74" s="9" t="inlineStr">
        <is>
          <t>Actual</t>
        </is>
      </c>
      <c r="RZ74" s="9" t="inlineStr">
        <is>
          <t>Adjustment</t>
        </is>
      </c>
      <c r="SA74" s="9" t="inlineStr">
        <is>
          <t>Balance</t>
        </is>
      </c>
      <c r="SB74" s="9" t="inlineStr">
        <is>
          <t>Remarks</t>
        </is>
      </c>
      <c r="SE74" s="9" t="inlineStr">
        <is>
          <t>Date</t>
        </is>
      </c>
      <c r="SF74" s="9" t="inlineStr">
        <is>
          <t>Intake</t>
        </is>
      </c>
      <c r="SG74" s="9" t="inlineStr">
        <is>
          <t>Usage</t>
        </is>
      </c>
      <c r="SH74" s="9" t="inlineStr">
        <is>
          <t>Actual</t>
        </is>
      </c>
      <c r="SI74" s="9" t="inlineStr">
        <is>
          <t>Adjustment</t>
        </is>
      </c>
      <c r="SJ74" s="9" t="inlineStr">
        <is>
          <t>Balance</t>
        </is>
      </c>
      <c r="SK74" s="9" t="inlineStr">
        <is>
          <t>Remarks</t>
        </is>
      </c>
      <c r="SN74" s="9" t="inlineStr">
        <is>
          <t>Date</t>
        </is>
      </c>
      <c r="SO74" s="9" t="inlineStr">
        <is>
          <t>Intake</t>
        </is>
      </c>
      <c r="SP74" s="9" t="inlineStr">
        <is>
          <t>Usage</t>
        </is>
      </c>
      <c r="SQ74" s="9" t="inlineStr">
        <is>
          <t>Actual</t>
        </is>
      </c>
      <c r="SR74" s="9" t="inlineStr">
        <is>
          <t>Adjustment</t>
        </is>
      </c>
      <c r="SS74" s="9" t="inlineStr">
        <is>
          <t>Balance</t>
        </is>
      </c>
      <c r="ST74" s="9" t="inlineStr">
        <is>
          <t>Remarks</t>
        </is>
      </c>
      <c r="SW74" s="9" t="inlineStr">
        <is>
          <t>Date</t>
        </is>
      </c>
      <c r="SX74" s="9" t="inlineStr">
        <is>
          <t>Intake</t>
        </is>
      </c>
      <c r="SY74" s="9" t="inlineStr">
        <is>
          <t>Usage</t>
        </is>
      </c>
      <c r="SZ74" s="9" t="inlineStr">
        <is>
          <t>Actual</t>
        </is>
      </c>
      <c r="TA74" s="9" t="inlineStr">
        <is>
          <t>Adjustment</t>
        </is>
      </c>
      <c r="TB74" s="9" t="inlineStr">
        <is>
          <t>Balance</t>
        </is>
      </c>
      <c r="TC74" s="9" t="inlineStr">
        <is>
          <t>Remarks</t>
        </is>
      </c>
      <c r="TF74" s="9" t="inlineStr">
        <is>
          <t>Date</t>
        </is>
      </c>
      <c r="TG74" s="9" t="inlineStr">
        <is>
          <t>Intake</t>
        </is>
      </c>
      <c r="TH74" s="9" t="inlineStr">
        <is>
          <t>Usage</t>
        </is>
      </c>
      <c r="TI74" s="9" t="inlineStr">
        <is>
          <t>Actual</t>
        </is>
      </c>
      <c r="TJ74" s="9" t="inlineStr">
        <is>
          <t>Adjustment</t>
        </is>
      </c>
      <c r="TK74" s="9" t="inlineStr">
        <is>
          <t>Balance</t>
        </is>
      </c>
      <c r="TL74" s="9" t="inlineStr">
        <is>
          <t>Remarks</t>
        </is>
      </c>
      <c r="TO74" s="9" t="inlineStr">
        <is>
          <t>Date</t>
        </is>
      </c>
      <c r="TP74" s="9" t="inlineStr">
        <is>
          <t>Intake</t>
        </is>
      </c>
      <c r="TQ74" s="9" t="inlineStr">
        <is>
          <t>Usage</t>
        </is>
      </c>
      <c r="TR74" s="9" t="inlineStr">
        <is>
          <t>Actual</t>
        </is>
      </c>
      <c r="TS74" s="9" t="inlineStr">
        <is>
          <t>Adjustment</t>
        </is>
      </c>
      <c r="TT74" s="9" t="inlineStr">
        <is>
          <t>Balance</t>
        </is>
      </c>
      <c r="TU74" s="9" t="inlineStr">
        <is>
          <t>Remarks</t>
        </is>
      </c>
      <c r="TX74" s="9" t="inlineStr">
        <is>
          <t>Date</t>
        </is>
      </c>
      <c r="TY74" s="9" t="inlineStr">
        <is>
          <t>Intake</t>
        </is>
      </c>
      <c r="TZ74" s="9" t="inlineStr">
        <is>
          <t>Usage</t>
        </is>
      </c>
      <c r="UA74" s="9" t="inlineStr">
        <is>
          <t>Actual</t>
        </is>
      </c>
      <c r="UB74" s="9" t="inlineStr">
        <is>
          <t>Adjustment</t>
        </is>
      </c>
      <c r="UC74" s="9" t="inlineStr">
        <is>
          <t>Balance</t>
        </is>
      </c>
      <c r="UD74" s="9" t="inlineStr">
        <is>
          <t>Remarks</t>
        </is>
      </c>
      <c r="UG74" s="9" t="inlineStr">
        <is>
          <t>Date</t>
        </is>
      </c>
      <c r="UH74" s="9" t="inlineStr">
        <is>
          <t>Intake</t>
        </is>
      </c>
      <c r="UI74" s="9" t="inlineStr">
        <is>
          <t>Usage</t>
        </is>
      </c>
      <c r="UJ74" s="9" t="inlineStr">
        <is>
          <t>Actual</t>
        </is>
      </c>
      <c r="UK74" s="9" t="inlineStr">
        <is>
          <t>Adjustment</t>
        </is>
      </c>
      <c r="UL74" s="9" t="inlineStr">
        <is>
          <t>Balance</t>
        </is>
      </c>
      <c r="UM74" s="9" t="inlineStr">
        <is>
          <t>Remarks</t>
        </is>
      </c>
      <c r="UP74" s="9" t="inlineStr">
        <is>
          <t>Date</t>
        </is>
      </c>
      <c r="UQ74" s="9" t="inlineStr">
        <is>
          <t>Intake</t>
        </is>
      </c>
      <c r="UR74" s="9" t="inlineStr">
        <is>
          <t>Usage</t>
        </is>
      </c>
      <c r="US74" s="9" t="inlineStr">
        <is>
          <t>Actual</t>
        </is>
      </c>
      <c r="UT74" s="9" t="inlineStr">
        <is>
          <t>Adjustment</t>
        </is>
      </c>
      <c r="UU74" s="9" t="inlineStr">
        <is>
          <t>Balance</t>
        </is>
      </c>
      <c r="UV74" s="9" t="inlineStr">
        <is>
          <t>Remarks</t>
        </is>
      </c>
      <c r="UY74" s="9" t="inlineStr">
        <is>
          <t>Date</t>
        </is>
      </c>
      <c r="UZ74" s="9" t="inlineStr">
        <is>
          <t>Intake</t>
        </is>
      </c>
      <c r="VA74" s="9" t="inlineStr">
        <is>
          <t>Usage</t>
        </is>
      </c>
      <c r="VB74" s="9" t="inlineStr">
        <is>
          <t>Actual</t>
        </is>
      </c>
      <c r="VC74" s="9" t="inlineStr">
        <is>
          <t>Adjustment</t>
        </is>
      </c>
      <c r="VD74" s="9" t="inlineStr">
        <is>
          <t>Balance</t>
        </is>
      </c>
      <c r="VE74" s="9" t="inlineStr">
        <is>
          <t>Remarks</t>
        </is>
      </c>
      <c r="VH74" s="9" t="inlineStr">
        <is>
          <t>Date</t>
        </is>
      </c>
      <c r="VI74" s="9" t="inlineStr">
        <is>
          <t>Intake</t>
        </is>
      </c>
      <c r="VJ74" s="9" t="inlineStr">
        <is>
          <t>Usage</t>
        </is>
      </c>
      <c r="VK74" s="9" t="inlineStr">
        <is>
          <t>Actual</t>
        </is>
      </c>
      <c r="VL74" s="9" t="inlineStr">
        <is>
          <t>Adjustment</t>
        </is>
      </c>
      <c r="VM74" s="9" t="inlineStr">
        <is>
          <t>Balance</t>
        </is>
      </c>
      <c r="VN74" s="9" t="inlineStr">
        <is>
          <t>Remarks</t>
        </is>
      </c>
      <c r="VQ74" s="9" t="inlineStr">
        <is>
          <t>Date</t>
        </is>
      </c>
      <c r="VR74" s="9" t="inlineStr">
        <is>
          <t>Intake</t>
        </is>
      </c>
      <c r="VS74" s="9" t="inlineStr">
        <is>
          <t>Usage</t>
        </is>
      </c>
      <c r="VT74" s="9" t="inlineStr">
        <is>
          <t>Actual</t>
        </is>
      </c>
      <c r="VU74" s="9" t="inlineStr">
        <is>
          <t>Adjustment</t>
        </is>
      </c>
      <c r="VV74" s="9" t="inlineStr">
        <is>
          <t>Balance</t>
        </is>
      </c>
      <c r="VW74" s="9" t="inlineStr">
        <is>
          <t>Remarks</t>
        </is>
      </c>
      <c r="VZ74" s="9" t="inlineStr">
        <is>
          <t>Date</t>
        </is>
      </c>
      <c r="WA74" s="9" t="inlineStr">
        <is>
          <t>Intake</t>
        </is>
      </c>
      <c r="WB74" s="9" t="inlineStr">
        <is>
          <t>Usage</t>
        </is>
      </c>
      <c r="WC74" s="9" t="inlineStr">
        <is>
          <t>Actual</t>
        </is>
      </c>
      <c r="WD74" s="9" t="inlineStr">
        <is>
          <t>Adjustment</t>
        </is>
      </c>
      <c r="WE74" s="9" t="inlineStr">
        <is>
          <t>Balance</t>
        </is>
      </c>
      <c r="WF74" s="9" t="inlineStr">
        <is>
          <t>Remarks</t>
        </is>
      </c>
      <c r="WI74" s="9" t="inlineStr">
        <is>
          <t>Date</t>
        </is>
      </c>
      <c r="WJ74" s="9" t="inlineStr">
        <is>
          <t>Intake</t>
        </is>
      </c>
      <c r="WK74" s="9" t="inlineStr">
        <is>
          <t>Usage</t>
        </is>
      </c>
      <c r="WL74" s="9" t="inlineStr">
        <is>
          <t>Actual</t>
        </is>
      </c>
      <c r="WM74" s="9" t="inlineStr">
        <is>
          <t>Adjustment</t>
        </is>
      </c>
      <c r="WN74" s="9" t="inlineStr">
        <is>
          <t>Balance</t>
        </is>
      </c>
      <c r="WO74" s="9" t="inlineStr">
        <is>
          <t>Remarks</t>
        </is>
      </c>
      <c r="WR74" s="9" t="inlineStr">
        <is>
          <t>Date</t>
        </is>
      </c>
      <c r="WS74" s="9" t="inlineStr">
        <is>
          <t>Intake</t>
        </is>
      </c>
      <c r="WT74" s="9" t="inlineStr">
        <is>
          <t>Usage</t>
        </is>
      </c>
      <c r="WU74" s="9" t="inlineStr">
        <is>
          <t>Actual</t>
        </is>
      </c>
      <c r="WV74" s="9" t="inlineStr">
        <is>
          <t>Adjustment</t>
        </is>
      </c>
      <c r="WW74" s="9" t="inlineStr">
        <is>
          <t>Balance</t>
        </is>
      </c>
      <c r="WX74" s="9" t="inlineStr">
        <is>
          <t>Remarks</t>
        </is>
      </c>
      <c r="XA74" s="9" t="inlineStr">
        <is>
          <t>Date</t>
        </is>
      </c>
      <c r="XB74" s="9" t="inlineStr">
        <is>
          <t>Intake</t>
        </is>
      </c>
      <c r="XC74" s="9" t="inlineStr">
        <is>
          <t>Usage</t>
        </is>
      </c>
      <c r="XD74" s="9" t="inlineStr">
        <is>
          <t>Actual</t>
        </is>
      </c>
      <c r="XE74" s="9" t="inlineStr">
        <is>
          <t>Adjustment</t>
        </is>
      </c>
      <c r="XF74" s="9" t="inlineStr">
        <is>
          <t>Balance</t>
        </is>
      </c>
      <c r="XG74" s="9" t="inlineStr">
        <is>
          <t>Remarks</t>
        </is>
      </c>
      <c r="XJ74" s="9" t="inlineStr">
        <is>
          <t>Date</t>
        </is>
      </c>
      <c r="XK74" s="9" t="inlineStr">
        <is>
          <t>Intake</t>
        </is>
      </c>
      <c r="XL74" s="9" t="inlineStr">
        <is>
          <t>Usage</t>
        </is>
      </c>
      <c r="XM74" s="9" t="inlineStr">
        <is>
          <t>Actual</t>
        </is>
      </c>
      <c r="XN74" s="9" t="inlineStr">
        <is>
          <t>Adjustment</t>
        </is>
      </c>
      <c r="XO74" s="9" t="inlineStr">
        <is>
          <t>Balance</t>
        </is>
      </c>
      <c r="XP74" s="9" t="inlineStr">
        <is>
          <t>Remarks</t>
        </is>
      </c>
      <c r="XS74" s="9" t="inlineStr">
        <is>
          <t>Date</t>
        </is>
      </c>
      <c r="XT74" s="9" t="inlineStr">
        <is>
          <t>Intake</t>
        </is>
      </c>
      <c r="XU74" s="9" t="inlineStr">
        <is>
          <t>Usage</t>
        </is>
      </c>
      <c r="XV74" s="9" t="inlineStr">
        <is>
          <t>Actual</t>
        </is>
      </c>
      <c r="XW74" s="9" t="inlineStr">
        <is>
          <t>Adjustment</t>
        </is>
      </c>
      <c r="XX74" s="9" t="inlineStr">
        <is>
          <t>Balance</t>
        </is>
      </c>
      <c r="XY74" s="9" t="inlineStr">
        <is>
          <t>Remarks</t>
        </is>
      </c>
      <c r="YB74" s="9" t="inlineStr">
        <is>
          <t>Date</t>
        </is>
      </c>
      <c r="YC74" s="9" t="inlineStr">
        <is>
          <t>Intake</t>
        </is>
      </c>
      <c r="YD74" s="9" t="inlineStr">
        <is>
          <t>Usage</t>
        </is>
      </c>
      <c r="YE74" s="9" t="inlineStr">
        <is>
          <t>Actual</t>
        </is>
      </c>
      <c r="YF74" s="9" t="inlineStr">
        <is>
          <t>Adjustment</t>
        </is>
      </c>
      <c r="YG74" s="9" t="inlineStr">
        <is>
          <t>Balance</t>
        </is>
      </c>
      <c r="YH74" s="9" t="inlineStr">
        <is>
          <t>Remarks</t>
        </is>
      </c>
      <c r="YK74" s="9" t="inlineStr">
        <is>
          <t>Date</t>
        </is>
      </c>
      <c r="YL74" s="9" t="inlineStr">
        <is>
          <t>Intake</t>
        </is>
      </c>
      <c r="YM74" s="9" t="inlineStr">
        <is>
          <t>Usage</t>
        </is>
      </c>
      <c r="YN74" s="9" t="inlineStr">
        <is>
          <t>Actual</t>
        </is>
      </c>
      <c r="YO74" s="9" t="inlineStr">
        <is>
          <t>Adjustment</t>
        </is>
      </c>
      <c r="YP74" s="9" t="inlineStr">
        <is>
          <t>Balance</t>
        </is>
      </c>
      <c r="YQ74" s="9" t="inlineStr">
        <is>
          <t>Remarks</t>
        </is>
      </c>
      <c r="YT74" s="9" t="inlineStr">
        <is>
          <t>Date</t>
        </is>
      </c>
      <c r="YU74" s="9" t="inlineStr">
        <is>
          <t>Intake</t>
        </is>
      </c>
      <c r="YV74" s="9" t="inlineStr">
        <is>
          <t>Usage</t>
        </is>
      </c>
      <c r="YW74" s="9" t="inlineStr">
        <is>
          <t>Actual</t>
        </is>
      </c>
      <c r="YX74" s="9" t="inlineStr">
        <is>
          <t>Adjustment</t>
        </is>
      </c>
      <c r="YY74" s="9" t="inlineStr">
        <is>
          <t>Balance</t>
        </is>
      </c>
      <c r="YZ74" s="9" t="inlineStr">
        <is>
          <t>Remarks</t>
        </is>
      </c>
      <c r="ZC74" s="9" t="inlineStr">
        <is>
          <t>Date</t>
        </is>
      </c>
      <c r="ZD74" s="9" t="inlineStr">
        <is>
          <t>Intake</t>
        </is>
      </c>
      <c r="ZE74" s="9" t="inlineStr">
        <is>
          <t>Usage</t>
        </is>
      </c>
      <c r="ZF74" s="9" t="inlineStr">
        <is>
          <t>Actual</t>
        </is>
      </c>
      <c r="ZG74" s="9" t="inlineStr">
        <is>
          <t>Adjustment</t>
        </is>
      </c>
      <c r="ZH74" s="9" t="inlineStr">
        <is>
          <t>Balance</t>
        </is>
      </c>
      <c r="ZI74" s="9" t="inlineStr">
        <is>
          <t>Remarks</t>
        </is>
      </c>
      <c r="ZL74" s="9" t="inlineStr">
        <is>
          <t>Date</t>
        </is>
      </c>
      <c r="ZM74" s="9" t="inlineStr">
        <is>
          <t>Intake</t>
        </is>
      </c>
      <c r="ZN74" s="9" t="inlineStr">
        <is>
          <t>Usage</t>
        </is>
      </c>
      <c r="ZO74" s="9" t="inlineStr">
        <is>
          <t>Actual</t>
        </is>
      </c>
      <c r="ZP74" s="9" t="inlineStr">
        <is>
          <t>Adjustment</t>
        </is>
      </c>
      <c r="ZQ74" s="9" t="inlineStr">
        <is>
          <t>Balance</t>
        </is>
      </c>
      <c r="ZR74" s="9" t="inlineStr">
        <is>
          <t>Remarks</t>
        </is>
      </c>
      <c r="ZU74" s="9" t="inlineStr">
        <is>
          <t>Date</t>
        </is>
      </c>
      <c r="ZV74" s="9" t="inlineStr">
        <is>
          <t>Intake</t>
        </is>
      </c>
      <c r="ZW74" s="9" t="inlineStr">
        <is>
          <t>Usage</t>
        </is>
      </c>
      <c r="ZX74" s="9" t="inlineStr">
        <is>
          <t>Actual</t>
        </is>
      </c>
      <c r="ZY74" s="9" t="inlineStr">
        <is>
          <t>Adjustment</t>
        </is>
      </c>
      <c r="ZZ74" s="9" t="inlineStr">
        <is>
          <t>Balance</t>
        </is>
      </c>
      <c r="AAA74" s="9" t="inlineStr">
        <is>
          <t>Remarks</t>
        </is>
      </c>
      <c r="AAD74" s="9" t="inlineStr">
        <is>
          <t>Date</t>
        </is>
      </c>
      <c r="AAE74" s="9" t="inlineStr">
        <is>
          <t>Intake</t>
        </is>
      </c>
      <c r="AAF74" s="9" t="inlineStr">
        <is>
          <t>Usage</t>
        </is>
      </c>
      <c r="AAG74" s="9" t="inlineStr">
        <is>
          <t>Actual</t>
        </is>
      </c>
      <c r="AAH74" s="9" t="inlineStr">
        <is>
          <t>Adjustment</t>
        </is>
      </c>
      <c r="AAI74" s="9" t="inlineStr">
        <is>
          <t>Balance</t>
        </is>
      </c>
      <c r="AAJ74" s="9" t="inlineStr">
        <is>
          <t>Remarks</t>
        </is>
      </c>
      <c r="AAM74" s="9" t="inlineStr">
        <is>
          <t>Date</t>
        </is>
      </c>
      <c r="AAN74" s="9" t="inlineStr">
        <is>
          <t>Intake</t>
        </is>
      </c>
      <c r="AAO74" s="9" t="inlineStr">
        <is>
          <t>Usage</t>
        </is>
      </c>
      <c r="AAP74" s="9" t="inlineStr">
        <is>
          <t>Actual</t>
        </is>
      </c>
      <c r="AAQ74" s="9" t="inlineStr">
        <is>
          <t>Adjustment</t>
        </is>
      </c>
      <c r="AAR74" s="9" t="inlineStr">
        <is>
          <t>Balance</t>
        </is>
      </c>
      <c r="AAS74" s="9" t="inlineStr">
        <is>
          <t>Remarks</t>
        </is>
      </c>
      <c r="AAV74" s="9" t="inlineStr">
        <is>
          <t>Date</t>
        </is>
      </c>
      <c r="AAW74" s="9" t="inlineStr">
        <is>
          <t>Intake</t>
        </is>
      </c>
      <c r="AAX74" s="9" t="inlineStr">
        <is>
          <t>Usage</t>
        </is>
      </c>
      <c r="AAY74" s="9" t="inlineStr">
        <is>
          <t>Actual</t>
        </is>
      </c>
      <c r="AAZ74" s="9" t="inlineStr">
        <is>
          <t>Adjustment</t>
        </is>
      </c>
      <c r="ABA74" s="9" t="inlineStr">
        <is>
          <t>Balance</t>
        </is>
      </c>
      <c r="ABB74" s="9" t="inlineStr">
        <is>
          <t>Remarks</t>
        </is>
      </c>
      <c r="ABE74" s="9" t="inlineStr">
        <is>
          <t>Date</t>
        </is>
      </c>
      <c r="ABF74" s="9" t="inlineStr">
        <is>
          <t>Intake</t>
        </is>
      </c>
      <c r="ABG74" s="9" t="inlineStr">
        <is>
          <t>Usage</t>
        </is>
      </c>
      <c r="ABH74" s="9" t="inlineStr">
        <is>
          <t>Actual</t>
        </is>
      </c>
      <c r="ABI74" s="9" t="inlineStr">
        <is>
          <t>Adjustment</t>
        </is>
      </c>
      <c r="ABJ74" s="9" t="inlineStr">
        <is>
          <t>Balance</t>
        </is>
      </c>
      <c r="ABK74" s="9" t="inlineStr">
        <is>
          <t>Remarks</t>
        </is>
      </c>
    </row>
    <row r="75">
      <c r="C75" s="9" t="inlineStr">
        <is>
          <t>BALANCE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n">
        <v>91614.80000000002</v>
      </c>
      <c r="L75" s="9" t="inlineStr">
        <is>
          <t>BALANCE</t>
        </is>
      </c>
      <c r="M75" s="9" t="inlineStr">
        <is>
          <t>-</t>
        </is>
      </c>
      <c r="N75" s="9" t="inlineStr">
        <is>
          <t>-</t>
        </is>
      </c>
      <c r="O75" s="9" t="inlineStr">
        <is>
          <t>-</t>
        </is>
      </c>
      <c r="P75" s="9" t="inlineStr">
        <is>
          <t>-</t>
        </is>
      </c>
      <c r="Q75" s="9" t="n">
        <v>65096.60000000003</v>
      </c>
      <c r="U75" s="9" t="inlineStr">
        <is>
          <t>BALANCE</t>
        </is>
      </c>
      <c r="V75" s="9" t="inlineStr">
        <is>
          <t>-</t>
        </is>
      </c>
      <c r="W75" s="9" t="inlineStr">
        <is>
          <t>-</t>
        </is>
      </c>
      <c r="X75" s="9" t="inlineStr">
        <is>
          <t>-</t>
        </is>
      </c>
      <c r="Y75" s="9" t="inlineStr">
        <is>
          <t>-</t>
        </is>
      </c>
      <c r="Z75" s="9" t="n">
        <v>48372.79999999997</v>
      </c>
      <c r="AD75" s="9" t="inlineStr">
        <is>
          <t>BALANCE</t>
        </is>
      </c>
      <c r="AE75" s="9" t="inlineStr">
        <is>
          <t>-</t>
        </is>
      </c>
      <c r="AF75" s="9" t="inlineStr">
        <is>
          <t>-</t>
        </is>
      </c>
      <c r="AG75" s="9" t="inlineStr">
        <is>
          <t>-</t>
        </is>
      </c>
      <c r="AH75" s="9" t="inlineStr">
        <is>
          <t>-</t>
        </is>
      </c>
      <c r="AI75" s="9" t="n">
        <v>34138.20000000002</v>
      </c>
      <c r="AM75" s="9" t="inlineStr">
        <is>
          <t>BALANCE</t>
        </is>
      </c>
      <c r="AN75" s="9" t="inlineStr">
        <is>
          <t>-</t>
        </is>
      </c>
      <c r="AO75" s="9" t="inlineStr">
        <is>
          <t>-</t>
        </is>
      </c>
      <c r="AP75" s="9" t="inlineStr">
        <is>
          <t>-</t>
        </is>
      </c>
      <c r="AQ75" s="9" t="inlineStr">
        <is>
          <t>-</t>
        </is>
      </c>
      <c r="AR75" s="9" t="n">
        <v>0</v>
      </c>
      <c r="AV75" s="9" t="inlineStr">
        <is>
          <t>BALANCE</t>
        </is>
      </c>
      <c r="AW75" s="9" t="inlineStr">
        <is>
          <t>-</t>
        </is>
      </c>
      <c r="AX75" s="9" t="inlineStr">
        <is>
          <t>-</t>
        </is>
      </c>
      <c r="AY75" s="9" t="inlineStr">
        <is>
          <t>-</t>
        </is>
      </c>
      <c r="AZ75" s="9" t="inlineStr">
        <is>
          <t>-</t>
        </is>
      </c>
      <c r="BA75" s="9" t="n">
        <v>47801.99999999999</v>
      </c>
      <c r="BE75" s="9" t="inlineStr">
        <is>
          <t>BALANCE</t>
        </is>
      </c>
      <c r="BF75" s="9" t="inlineStr">
        <is>
          <t>-</t>
        </is>
      </c>
      <c r="BG75" s="9" t="inlineStr">
        <is>
          <t>-</t>
        </is>
      </c>
      <c r="BH75" s="9" t="inlineStr">
        <is>
          <t>-</t>
        </is>
      </c>
      <c r="BI75" s="9" t="inlineStr">
        <is>
          <t>-</t>
        </is>
      </c>
      <c r="BJ75" s="9" t="n">
        <v>7501.800000000005</v>
      </c>
      <c r="BN75" s="9" t="inlineStr">
        <is>
          <t>BALANCE</t>
        </is>
      </c>
      <c r="BO75" s="9" t="inlineStr">
        <is>
          <t>-</t>
        </is>
      </c>
      <c r="BP75" s="9" t="inlineStr">
        <is>
          <t>-</t>
        </is>
      </c>
      <c r="BQ75" s="9" t="inlineStr">
        <is>
          <t>-</t>
        </is>
      </c>
      <c r="BR75" s="9" t="inlineStr">
        <is>
          <t>-</t>
        </is>
      </c>
      <c r="BS75" s="9" t="n">
        <v>0</v>
      </c>
      <c r="BW75" s="9" t="inlineStr">
        <is>
          <t>BALANCE</t>
        </is>
      </c>
      <c r="BX75" s="9" t="inlineStr">
        <is>
          <t>-</t>
        </is>
      </c>
      <c r="BY75" s="9" t="inlineStr">
        <is>
          <t>-</t>
        </is>
      </c>
      <c r="BZ75" s="9" t="inlineStr">
        <is>
          <t>-</t>
        </is>
      </c>
      <c r="CA75" s="9" t="inlineStr">
        <is>
          <t>-</t>
        </is>
      </c>
      <c r="CB75" s="9" t="n">
        <v>8.000000000000114</v>
      </c>
      <c r="CF75" s="9" t="inlineStr">
        <is>
          <t>BALANCE</t>
        </is>
      </c>
      <c r="CG75" s="9" t="inlineStr">
        <is>
          <t>-</t>
        </is>
      </c>
      <c r="CH75" s="9" t="inlineStr">
        <is>
          <t>-</t>
        </is>
      </c>
      <c r="CI75" s="9" t="inlineStr">
        <is>
          <t>-</t>
        </is>
      </c>
      <c r="CJ75" s="9" t="inlineStr">
        <is>
          <t>-</t>
        </is>
      </c>
      <c r="CK75" s="9" t="n">
        <v>0</v>
      </c>
      <c r="CO75" s="9" t="inlineStr">
        <is>
          <t>BALANCE</t>
        </is>
      </c>
      <c r="CP75" s="9" t="inlineStr">
        <is>
          <t>-</t>
        </is>
      </c>
      <c r="CQ75" s="9" t="inlineStr">
        <is>
          <t>-</t>
        </is>
      </c>
      <c r="CR75" s="9" t="inlineStr">
        <is>
          <t>-</t>
        </is>
      </c>
      <c r="CS75" s="9" t="inlineStr">
        <is>
          <t>-</t>
        </is>
      </c>
      <c r="CT75" s="9" t="n">
        <v>0</v>
      </c>
      <c r="CX75" s="9" t="inlineStr">
        <is>
          <t>BALANCE</t>
        </is>
      </c>
      <c r="CY75" s="9" t="inlineStr">
        <is>
          <t>-</t>
        </is>
      </c>
      <c r="CZ75" s="9" t="inlineStr">
        <is>
          <t>-</t>
        </is>
      </c>
      <c r="DA75" s="9" t="inlineStr">
        <is>
          <t>-</t>
        </is>
      </c>
      <c r="DB75" s="9" t="inlineStr">
        <is>
          <t>-</t>
        </is>
      </c>
      <c r="DC75" s="9" t="n">
        <v>55052.4</v>
      </c>
      <c r="DG75" s="9" t="inlineStr">
        <is>
          <t>BALANCE</t>
        </is>
      </c>
      <c r="DH75" s="9" t="inlineStr">
        <is>
          <t>-</t>
        </is>
      </c>
      <c r="DI75" s="9" t="inlineStr">
        <is>
          <t>-</t>
        </is>
      </c>
      <c r="DJ75" s="9" t="inlineStr">
        <is>
          <t>-</t>
        </is>
      </c>
      <c r="DK75" s="9" t="inlineStr">
        <is>
          <t>-</t>
        </is>
      </c>
      <c r="DL75" s="9" t="n">
        <v>-2.842170943040401e-12</v>
      </c>
      <c r="DP75" s="9" t="inlineStr">
        <is>
          <t>BALANCE</t>
        </is>
      </c>
      <c r="DQ75" s="9" t="inlineStr">
        <is>
          <t>-</t>
        </is>
      </c>
      <c r="DR75" s="9" t="inlineStr">
        <is>
          <t>-</t>
        </is>
      </c>
      <c r="DS75" s="9" t="inlineStr">
        <is>
          <t>-</t>
        </is>
      </c>
      <c r="DT75" s="9" t="inlineStr">
        <is>
          <t>-</t>
        </is>
      </c>
      <c r="DU75" s="9" t="n">
        <v>2300</v>
      </c>
      <c r="DY75" s="9" t="inlineStr">
        <is>
          <t>BALANCE</t>
        </is>
      </c>
      <c r="DZ75" s="9" t="inlineStr">
        <is>
          <t>-</t>
        </is>
      </c>
      <c r="EA75" s="9" t="inlineStr">
        <is>
          <t>-</t>
        </is>
      </c>
      <c r="EB75" s="9" t="inlineStr">
        <is>
          <t>-</t>
        </is>
      </c>
      <c r="EC75" s="9" t="inlineStr">
        <is>
          <t>-</t>
        </is>
      </c>
      <c r="ED75" s="9" t="n">
        <v>5696.8</v>
      </c>
      <c r="EH75" s="9" t="inlineStr">
        <is>
          <t>BALANCE</t>
        </is>
      </c>
      <c r="EI75" s="9" t="inlineStr">
        <is>
          <t>-</t>
        </is>
      </c>
      <c r="EJ75" s="9" t="inlineStr">
        <is>
          <t>-</t>
        </is>
      </c>
      <c r="EK75" s="9" t="inlineStr">
        <is>
          <t>-</t>
        </is>
      </c>
      <c r="EL75" s="9" t="inlineStr">
        <is>
          <t>-</t>
        </is>
      </c>
      <c r="EM75" s="9" t="n">
        <v>0</v>
      </c>
      <c r="EQ75" s="9" t="inlineStr">
        <is>
          <t>BALANCE</t>
        </is>
      </c>
      <c r="ER75" s="9" t="inlineStr">
        <is>
          <t>-</t>
        </is>
      </c>
      <c r="ES75" s="9" t="inlineStr">
        <is>
          <t>-</t>
        </is>
      </c>
      <c r="ET75" s="9" t="inlineStr">
        <is>
          <t>-</t>
        </is>
      </c>
      <c r="EU75" s="9" t="inlineStr">
        <is>
          <t>-</t>
        </is>
      </c>
      <c r="EV75" s="9" t="n">
        <v>0</v>
      </c>
      <c r="EZ75" s="9" t="inlineStr">
        <is>
          <t>BALANCE</t>
        </is>
      </c>
      <c r="FA75" s="9" t="inlineStr">
        <is>
          <t>-</t>
        </is>
      </c>
      <c r="FB75" s="9" t="inlineStr">
        <is>
          <t>-</t>
        </is>
      </c>
      <c r="FC75" s="9" t="inlineStr">
        <is>
          <t>-</t>
        </is>
      </c>
      <c r="FD75" s="9" t="inlineStr">
        <is>
          <t>-</t>
        </is>
      </c>
      <c r="FE75" s="9" t="n">
        <v>0</v>
      </c>
      <c r="FI75" s="9" t="inlineStr">
        <is>
          <t>BALANCE</t>
        </is>
      </c>
      <c r="FJ75" s="9" t="inlineStr">
        <is>
          <t>-</t>
        </is>
      </c>
      <c r="FK75" s="9" t="inlineStr">
        <is>
          <t>-</t>
        </is>
      </c>
      <c r="FL75" s="9" t="inlineStr">
        <is>
          <t>-</t>
        </is>
      </c>
      <c r="FM75" s="9" t="inlineStr">
        <is>
          <t>-</t>
        </is>
      </c>
      <c r="FN75" s="9" t="n">
        <v>0</v>
      </c>
      <c r="FR75" s="9" t="inlineStr">
        <is>
          <t>BALANCE</t>
        </is>
      </c>
      <c r="FS75" s="9" t="inlineStr">
        <is>
          <t>-</t>
        </is>
      </c>
      <c r="FT75" s="9" t="inlineStr">
        <is>
          <t>-</t>
        </is>
      </c>
      <c r="FU75" s="9" t="inlineStr">
        <is>
          <t>-</t>
        </is>
      </c>
      <c r="FV75" s="9" t="inlineStr">
        <is>
          <t>-</t>
        </is>
      </c>
      <c r="FW75" s="9" t="n">
        <v>620</v>
      </c>
      <c r="FX75" s="9" t="n">
        <v>31</v>
      </c>
      <c r="FY75" s="9" t="inlineStr">
        <is>
          <t>bags</t>
        </is>
      </c>
      <c r="GA75" s="9" t="inlineStr">
        <is>
          <t>BALANCE</t>
        </is>
      </c>
      <c r="GB75" s="9" t="inlineStr">
        <is>
          <t>-</t>
        </is>
      </c>
      <c r="GC75" s="9" t="inlineStr">
        <is>
          <t>-</t>
        </is>
      </c>
      <c r="GD75" s="9" t="inlineStr">
        <is>
          <t>-</t>
        </is>
      </c>
      <c r="GE75" s="9" t="inlineStr">
        <is>
          <t>-</t>
        </is>
      </c>
      <c r="GF75" s="9" t="n">
        <v>5960</v>
      </c>
      <c r="GG75" s="9" t="n">
        <v>298</v>
      </c>
      <c r="GH75" s="9" t="inlineStr">
        <is>
          <t>bags</t>
        </is>
      </c>
      <c r="GJ75" s="9" t="inlineStr">
        <is>
          <t>BALANCE</t>
        </is>
      </c>
      <c r="GK75" s="9" t="inlineStr">
        <is>
          <t>-</t>
        </is>
      </c>
      <c r="GL75" s="9" t="inlineStr">
        <is>
          <t>-</t>
        </is>
      </c>
      <c r="GM75" s="9" t="inlineStr">
        <is>
          <t>-</t>
        </is>
      </c>
      <c r="GN75" s="9" t="inlineStr">
        <is>
          <t>-</t>
        </is>
      </c>
      <c r="GO75" s="9" t="n">
        <v>5240</v>
      </c>
      <c r="GP75" s="9" t="n">
        <v>262</v>
      </c>
      <c r="GQ75" s="9" t="inlineStr">
        <is>
          <t>bags</t>
        </is>
      </c>
      <c r="GS75" s="9" t="inlineStr">
        <is>
          <t>BALANCE</t>
        </is>
      </c>
      <c r="GT75" s="9" t="inlineStr">
        <is>
          <t>-</t>
        </is>
      </c>
      <c r="GU75" s="9" t="inlineStr">
        <is>
          <t>-</t>
        </is>
      </c>
      <c r="GV75" s="9" t="inlineStr">
        <is>
          <t>-</t>
        </is>
      </c>
      <c r="GW75" s="9" t="inlineStr">
        <is>
          <t>-</t>
        </is>
      </c>
      <c r="GX75" s="9" t="n">
        <v>0</v>
      </c>
      <c r="HB75" s="9" t="inlineStr">
        <is>
          <t>BALANCE</t>
        </is>
      </c>
      <c r="HC75" s="9" t="inlineStr">
        <is>
          <t>-</t>
        </is>
      </c>
      <c r="HD75" s="9" t="inlineStr">
        <is>
          <t>-</t>
        </is>
      </c>
      <c r="HE75" s="9" t="inlineStr">
        <is>
          <t>-</t>
        </is>
      </c>
      <c r="HF75" s="9" t="inlineStr">
        <is>
          <t>-</t>
        </is>
      </c>
      <c r="HG75" s="9" t="n">
        <v>0</v>
      </c>
      <c r="HK75" s="9" t="inlineStr">
        <is>
          <t>BALANCE</t>
        </is>
      </c>
      <c r="HL75" s="9" t="inlineStr">
        <is>
          <t>-</t>
        </is>
      </c>
      <c r="HM75" s="9" t="inlineStr">
        <is>
          <t>-</t>
        </is>
      </c>
      <c r="HN75" s="9" t="inlineStr">
        <is>
          <t>-</t>
        </is>
      </c>
      <c r="HO75" s="9" t="inlineStr">
        <is>
          <t>-</t>
        </is>
      </c>
      <c r="HP75" s="9" t="n">
        <v>0</v>
      </c>
      <c r="HU75" s="9" t="inlineStr">
        <is>
          <t>BALANCE</t>
        </is>
      </c>
      <c r="HV75" s="9" t="inlineStr">
        <is>
          <t>-</t>
        </is>
      </c>
      <c r="HW75" s="9" t="inlineStr">
        <is>
          <t>-</t>
        </is>
      </c>
      <c r="HX75" s="9" t="inlineStr">
        <is>
          <t>-</t>
        </is>
      </c>
      <c r="HY75" s="9" t="inlineStr">
        <is>
          <t>-</t>
        </is>
      </c>
      <c r="HZ75" s="9" t="n">
        <v>5120</v>
      </c>
      <c r="IA75" s="9" t="n">
        <v>256</v>
      </c>
      <c r="IB75" s="9" t="inlineStr">
        <is>
          <t>bags</t>
        </is>
      </c>
      <c r="ID75" s="9" t="inlineStr">
        <is>
          <t>BALANCE</t>
        </is>
      </c>
      <c r="IE75" s="9" t="inlineStr">
        <is>
          <t>-</t>
        </is>
      </c>
      <c r="IF75" s="9" t="inlineStr">
        <is>
          <t>-</t>
        </is>
      </c>
      <c r="IG75" s="9" t="inlineStr">
        <is>
          <t>-</t>
        </is>
      </c>
      <c r="IH75" s="9" t="inlineStr">
        <is>
          <t>-</t>
        </is>
      </c>
      <c r="II75" s="9" t="n">
        <v>5100</v>
      </c>
      <c r="IJ75" s="9" t="n">
        <v>255</v>
      </c>
      <c r="IK75" s="9" t="inlineStr">
        <is>
          <t>bags</t>
        </is>
      </c>
      <c r="IM75" s="9" t="inlineStr">
        <is>
          <t>BALANCE</t>
        </is>
      </c>
      <c r="IN75" s="9" t="inlineStr">
        <is>
          <t>-</t>
        </is>
      </c>
      <c r="IO75" s="9" t="inlineStr">
        <is>
          <t>-</t>
        </is>
      </c>
      <c r="IP75" s="9" t="inlineStr">
        <is>
          <t>-</t>
        </is>
      </c>
      <c r="IQ75" s="9" t="inlineStr">
        <is>
          <t>-</t>
        </is>
      </c>
      <c r="IR75" s="9" t="n">
        <v>10240</v>
      </c>
      <c r="IS75" s="9" t="n">
        <v>512</v>
      </c>
      <c r="IT75" s="9" t="inlineStr">
        <is>
          <t>bags</t>
        </is>
      </c>
      <c r="IV75" s="9" t="inlineStr">
        <is>
          <t>BALANCE</t>
        </is>
      </c>
      <c r="IW75" s="9" t="inlineStr">
        <is>
          <t>-</t>
        </is>
      </c>
      <c r="IX75" s="9" t="inlineStr">
        <is>
          <t>-</t>
        </is>
      </c>
      <c r="IY75" s="9" t="inlineStr">
        <is>
          <t>-</t>
        </is>
      </c>
      <c r="IZ75" s="9" t="inlineStr">
        <is>
          <t>-</t>
        </is>
      </c>
      <c r="JA75" s="9" t="n">
        <v>15120</v>
      </c>
      <c r="JB75" s="9" t="n">
        <v>756</v>
      </c>
      <c r="JC75" s="9" t="inlineStr">
        <is>
          <t>bags</t>
        </is>
      </c>
      <c r="JE75" s="9" t="inlineStr">
        <is>
          <t>BALANCE</t>
        </is>
      </c>
      <c r="JF75" s="9" t="inlineStr">
        <is>
          <t>-</t>
        </is>
      </c>
      <c r="JG75" s="9" t="inlineStr">
        <is>
          <t>-</t>
        </is>
      </c>
      <c r="JH75" s="9" t="inlineStr">
        <is>
          <t>-</t>
        </is>
      </c>
      <c r="JI75" s="9" t="inlineStr">
        <is>
          <t>-</t>
        </is>
      </c>
      <c r="JJ75" s="9" t="n">
        <v>3320</v>
      </c>
      <c r="JK75" s="9" t="n">
        <v>166</v>
      </c>
      <c r="JL75" s="9" t="inlineStr">
        <is>
          <t>bags</t>
        </is>
      </c>
      <c r="JN75" s="9" t="inlineStr">
        <is>
          <t>BALANCE</t>
        </is>
      </c>
      <c r="JO75" s="9" t="inlineStr">
        <is>
          <t>-</t>
        </is>
      </c>
      <c r="JP75" s="9" t="inlineStr">
        <is>
          <t>-</t>
        </is>
      </c>
      <c r="JQ75" s="9" t="inlineStr">
        <is>
          <t>-</t>
        </is>
      </c>
      <c r="JR75" s="9" t="inlineStr">
        <is>
          <t>-</t>
        </is>
      </c>
      <c r="JS75" s="9" t="n">
        <v>5400</v>
      </c>
      <c r="JT75" s="9" t="n">
        <v>270</v>
      </c>
      <c r="JU75" s="9" t="inlineStr">
        <is>
          <t>bags</t>
        </is>
      </c>
      <c r="JW75" s="9" t="inlineStr">
        <is>
          <t>BALANCE</t>
        </is>
      </c>
      <c r="JX75" s="9" t="inlineStr">
        <is>
          <t>-</t>
        </is>
      </c>
      <c r="JY75" s="9" t="inlineStr">
        <is>
          <t>-</t>
        </is>
      </c>
      <c r="JZ75" s="9" t="inlineStr">
        <is>
          <t>-</t>
        </is>
      </c>
      <c r="KA75" s="9" t="inlineStr">
        <is>
          <t>-</t>
        </is>
      </c>
      <c r="KB75" s="9" t="n">
        <v>4000</v>
      </c>
      <c r="KC75" s="9" t="n">
        <v>200</v>
      </c>
      <c r="KD75" s="9" t="inlineStr">
        <is>
          <t>bags</t>
        </is>
      </c>
      <c r="KF75" s="9" t="inlineStr">
        <is>
          <t>BALANCE</t>
        </is>
      </c>
      <c r="KG75" s="9" t="inlineStr">
        <is>
          <t>-</t>
        </is>
      </c>
      <c r="KH75" s="9" t="inlineStr">
        <is>
          <t>-</t>
        </is>
      </c>
      <c r="KI75" s="9" t="inlineStr">
        <is>
          <t>-</t>
        </is>
      </c>
      <c r="KJ75" s="9" t="inlineStr">
        <is>
          <t>-</t>
        </is>
      </c>
      <c r="KK75" s="9" t="n">
        <v>0</v>
      </c>
      <c r="KL75" s="9" t="n">
        <v>0</v>
      </c>
      <c r="KM75" s="9" t="inlineStr">
        <is>
          <t>bags</t>
        </is>
      </c>
      <c r="KO75" s="9" t="inlineStr">
        <is>
          <t>BALANCE</t>
        </is>
      </c>
      <c r="KP75" s="9" t="inlineStr">
        <is>
          <t>-</t>
        </is>
      </c>
      <c r="KQ75" s="9" t="inlineStr">
        <is>
          <t>-</t>
        </is>
      </c>
      <c r="KR75" s="9" t="inlineStr">
        <is>
          <t>-</t>
        </is>
      </c>
      <c r="KS75" s="9" t="inlineStr">
        <is>
          <t>-</t>
        </is>
      </c>
      <c r="KT75" s="9" t="n">
        <v>6539.400000000001</v>
      </c>
      <c r="KU75" s="9" t="n">
        <v>346.0000000000001</v>
      </c>
      <c r="KX75" s="9" t="inlineStr">
        <is>
          <t>BALANCE</t>
        </is>
      </c>
      <c r="KY75" s="9" t="inlineStr">
        <is>
          <t>-</t>
        </is>
      </c>
      <c r="KZ75" s="9" t="inlineStr">
        <is>
          <t>-</t>
        </is>
      </c>
      <c r="LA75" s="9" t="inlineStr">
        <is>
          <t>-</t>
        </is>
      </c>
      <c r="LB75" s="9" t="inlineStr">
        <is>
          <t>-</t>
        </is>
      </c>
      <c r="LC75" s="9" t="n">
        <v>0</v>
      </c>
      <c r="LG75" s="9" t="inlineStr">
        <is>
          <t>BALANCE</t>
        </is>
      </c>
      <c r="LH75" s="9" t="inlineStr">
        <is>
          <t>-</t>
        </is>
      </c>
      <c r="LI75" s="9" t="inlineStr">
        <is>
          <t>-</t>
        </is>
      </c>
      <c r="LJ75" s="9" t="inlineStr">
        <is>
          <t>-</t>
        </is>
      </c>
      <c r="LK75" s="9" t="inlineStr">
        <is>
          <t>-</t>
        </is>
      </c>
      <c r="LL75" s="9" t="n">
        <v>0</v>
      </c>
      <c r="LP75" s="9" t="inlineStr">
        <is>
          <t>BALANCE</t>
        </is>
      </c>
      <c r="LQ75" s="9" t="inlineStr">
        <is>
          <t>-</t>
        </is>
      </c>
      <c r="LR75" s="9" t="inlineStr">
        <is>
          <t>-</t>
        </is>
      </c>
      <c r="LS75" s="9" t="inlineStr">
        <is>
          <t>-</t>
        </is>
      </c>
      <c r="LT75" s="9" t="inlineStr">
        <is>
          <t>-</t>
        </is>
      </c>
      <c r="LU75" s="9" t="n">
        <v>0</v>
      </c>
      <c r="LY75" s="9" t="inlineStr">
        <is>
          <t>BALANCE</t>
        </is>
      </c>
      <c r="LZ75" s="9" t="inlineStr">
        <is>
          <t>-</t>
        </is>
      </c>
      <c r="MA75" s="9" t="inlineStr">
        <is>
          <t>-</t>
        </is>
      </c>
      <c r="MB75" s="9" t="inlineStr">
        <is>
          <t>-</t>
        </is>
      </c>
      <c r="MC75" s="9" t="inlineStr">
        <is>
          <t>-</t>
        </is>
      </c>
      <c r="MD75" s="9" t="n">
        <v>0</v>
      </c>
      <c r="MH75" s="9" t="inlineStr">
        <is>
          <t>BALANCE</t>
        </is>
      </c>
      <c r="MI75" s="9" t="inlineStr">
        <is>
          <t>-</t>
        </is>
      </c>
      <c r="MJ75" s="9" t="inlineStr">
        <is>
          <t>-</t>
        </is>
      </c>
      <c r="MK75" s="9" t="inlineStr">
        <is>
          <t>-</t>
        </is>
      </c>
      <c r="ML75" s="9" t="inlineStr">
        <is>
          <t>-</t>
        </is>
      </c>
      <c r="MM75" s="9" t="n">
        <v>0</v>
      </c>
      <c r="MQ75" s="9" t="inlineStr">
        <is>
          <t>BALANCE</t>
        </is>
      </c>
      <c r="MR75" s="9" t="inlineStr">
        <is>
          <t>-</t>
        </is>
      </c>
      <c r="MS75" s="9" t="inlineStr">
        <is>
          <t>-</t>
        </is>
      </c>
      <c r="MT75" s="9" t="inlineStr">
        <is>
          <t>-</t>
        </is>
      </c>
      <c r="MU75" s="9" t="inlineStr">
        <is>
          <t>-</t>
        </is>
      </c>
      <c r="MV75" s="9" t="n">
        <v>4123</v>
      </c>
      <c r="MZ75" s="9" t="inlineStr">
        <is>
          <t>BALANCE</t>
        </is>
      </c>
      <c r="NA75" s="9" t="inlineStr">
        <is>
          <t>-</t>
        </is>
      </c>
      <c r="NB75" s="9" t="inlineStr">
        <is>
          <t>-</t>
        </is>
      </c>
      <c r="NC75" s="9" t="inlineStr">
        <is>
          <t>-</t>
        </is>
      </c>
      <c r="ND75" s="9" t="inlineStr">
        <is>
          <t>-</t>
        </is>
      </c>
      <c r="NE75" s="9" t="n">
        <v>0</v>
      </c>
      <c r="NI75" s="9" t="inlineStr">
        <is>
          <t>BALANCE</t>
        </is>
      </c>
      <c r="NJ75" s="9" t="inlineStr">
        <is>
          <t>-</t>
        </is>
      </c>
      <c r="NK75" s="9" t="inlineStr">
        <is>
          <t>-</t>
        </is>
      </c>
      <c r="NL75" s="9" t="inlineStr">
        <is>
          <t>-</t>
        </is>
      </c>
      <c r="NM75" s="9" t="inlineStr">
        <is>
          <t>-</t>
        </is>
      </c>
      <c r="NR75" s="9" t="inlineStr">
        <is>
          <t>BALANCE</t>
        </is>
      </c>
      <c r="NS75" s="9" t="inlineStr">
        <is>
          <t>-</t>
        </is>
      </c>
      <c r="NT75" s="9" t="inlineStr">
        <is>
          <t>-</t>
        </is>
      </c>
      <c r="NU75" s="9" t="inlineStr">
        <is>
          <t>-</t>
        </is>
      </c>
      <c r="NV75" s="9" t="inlineStr">
        <is>
          <t>-</t>
        </is>
      </c>
      <c r="NW75" s="9" t="n">
        <v>1947.7</v>
      </c>
      <c r="OA75" s="9" t="inlineStr">
        <is>
          <t>BALANCE</t>
        </is>
      </c>
      <c r="OB75" s="9" t="inlineStr">
        <is>
          <t>-</t>
        </is>
      </c>
      <c r="OC75" s="9" t="inlineStr">
        <is>
          <t>-</t>
        </is>
      </c>
      <c r="OD75" s="9" t="inlineStr">
        <is>
          <t>-</t>
        </is>
      </c>
      <c r="OE75" s="9" t="inlineStr">
        <is>
          <t>-</t>
        </is>
      </c>
      <c r="OF75" s="9" t="n">
        <v>1680.5</v>
      </c>
      <c r="OJ75" s="9" t="inlineStr">
        <is>
          <t>BALANCE</t>
        </is>
      </c>
      <c r="OK75" s="9" t="inlineStr">
        <is>
          <t>-</t>
        </is>
      </c>
      <c r="OL75" s="9" t="inlineStr">
        <is>
          <t>-</t>
        </is>
      </c>
      <c r="OM75" s="9" t="inlineStr">
        <is>
          <t>-</t>
        </is>
      </c>
      <c r="ON75" s="9" t="inlineStr">
        <is>
          <t>-</t>
        </is>
      </c>
      <c r="OS75" s="9" t="inlineStr">
        <is>
          <t>BALANCE</t>
        </is>
      </c>
      <c r="OT75" s="9" t="inlineStr">
        <is>
          <t>-</t>
        </is>
      </c>
      <c r="OU75" s="9" t="inlineStr">
        <is>
          <t>-</t>
        </is>
      </c>
      <c r="OV75" s="9" t="inlineStr">
        <is>
          <t>-</t>
        </is>
      </c>
      <c r="OW75" s="9" t="inlineStr">
        <is>
          <t>-</t>
        </is>
      </c>
      <c r="OX75" s="9" t="n">
        <v>0</v>
      </c>
      <c r="PB75" s="9" t="inlineStr">
        <is>
          <t>BALANCE</t>
        </is>
      </c>
      <c r="PC75" s="9" t="inlineStr">
        <is>
          <t>-</t>
        </is>
      </c>
      <c r="PD75" s="9" t="inlineStr">
        <is>
          <t>-</t>
        </is>
      </c>
      <c r="PE75" s="9" t="inlineStr">
        <is>
          <t>-</t>
        </is>
      </c>
      <c r="PF75" s="9" t="inlineStr">
        <is>
          <t>-</t>
        </is>
      </c>
      <c r="PG75" s="9" t="n">
        <v>0</v>
      </c>
      <c r="PK75" s="9" t="inlineStr">
        <is>
          <t>BALANCE</t>
        </is>
      </c>
      <c r="PL75" s="9" t="inlineStr">
        <is>
          <t>-</t>
        </is>
      </c>
      <c r="PM75" s="9" t="inlineStr">
        <is>
          <t>-</t>
        </is>
      </c>
      <c r="PN75" s="9" t="inlineStr">
        <is>
          <t>-</t>
        </is>
      </c>
      <c r="PO75" s="9" t="inlineStr">
        <is>
          <t>-</t>
        </is>
      </c>
      <c r="PP75" s="9" t="n">
        <v>100</v>
      </c>
      <c r="PT75" s="9" t="inlineStr">
        <is>
          <t>BALANCE</t>
        </is>
      </c>
      <c r="PU75" s="9" t="inlineStr">
        <is>
          <t>-</t>
        </is>
      </c>
      <c r="PV75" s="9" t="inlineStr">
        <is>
          <t>-</t>
        </is>
      </c>
      <c r="PW75" s="9" t="inlineStr">
        <is>
          <t>-</t>
        </is>
      </c>
      <c r="PX75" s="9" t="inlineStr">
        <is>
          <t>-</t>
        </is>
      </c>
      <c r="PY75" s="9" t="n">
        <v>13.96000000000004</v>
      </c>
      <c r="QC75" s="9" t="inlineStr">
        <is>
          <t>BALANCE</t>
        </is>
      </c>
      <c r="QD75" s="9" t="inlineStr">
        <is>
          <t>-</t>
        </is>
      </c>
      <c r="QE75" s="9" t="inlineStr">
        <is>
          <t>-</t>
        </is>
      </c>
      <c r="QF75" s="9" t="inlineStr">
        <is>
          <t>-</t>
        </is>
      </c>
      <c r="QG75" s="9" t="inlineStr">
        <is>
          <t>-</t>
        </is>
      </c>
      <c r="QH75" s="9" t="n">
        <v>344</v>
      </c>
      <c r="QL75" s="9" t="inlineStr">
        <is>
          <t>BALANCE</t>
        </is>
      </c>
      <c r="QM75" s="9" t="inlineStr">
        <is>
          <t>-</t>
        </is>
      </c>
      <c r="QN75" s="9" t="inlineStr">
        <is>
          <t>-</t>
        </is>
      </c>
      <c r="QO75" s="9" t="inlineStr">
        <is>
          <t>-</t>
        </is>
      </c>
      <c r="QP75" s="9" t="inlineStr">
        <is>
          <t>-</t>
        </is>
      </c>
      <c r="QQ75" s="9" t="n">
        <v>0</v>
      </c>
      <c r="QU75" s="9" t="inlineStr">
        <is>
          <t>BALANCE</t>
        </is>
      </c>
      <c r="QV75" s="9" t="inlineStr">
        <is>
          <t>-</t>
        </is>
      </c>
      <c r="QW75" s="9" t="inlineStr">
        <is>
          <t>-</t>
        </is>
      </c>
      <c r="QX75" s="9" t="inlineStr">
        <is>
          <t>-</t>
        </is>
      </c>
      <c r="QY75" s="9" t="inlineStr">
        <is>
          <t>-</t>
        </is>
      </c>
      <c r="QZ75" s="9" t="n">
        <v>207.6</v>
      </c>
      <c r="RD75" s="9" t="inlineStr">
        <is>
          <t>BALANCE</t>
        </is>
      </c>
      <c r="RE75" s="9" t="inlineStr">
        <is>
          <t>-</t>
        </is>
      </c>
      <c r="RF75" s="9" t="inlineStr">
        <is>
          <t>-</t>
        </is>
      </c>
      <c r="RG75" s="9" t="inlineStr">
        <is>
          <t>-</t>
        </is>
      </c>
      <c r="RH75" s="9" t="inlineStr">
        <is>
          <t>-</t>
        </is>
      </c>
      <c r="RI75" s="9" t="n">
        <v>197.04</v>
      </c>
      <c r="RM75" s="9" t="inlineStr">
        <is>
          <t>BALANCE</t>
        </is>
      </c>
      <c r="RN75" s="9" t="inlineStr">
        <is>
          <t>-</t>
        </is>
      </c>
      <c r="RO75" s="9" t="inlineStr">
        <is>
          <t>-</t>
        </is>
      </c>
      <c r="RP75" s="9" t="inlineStr">
        <is>
          <t>-</t>
        </is>
      </c>
      <c r="RQ75" s="9" t="inlineStr">
        <is>
          <t>-</t>
        </is>
      </c>
      <c r="RR75" s="9" t="n">
        <v>46.8</v>
      </c>
      <c r="RV75" s="9" t="inlineStr">
        <is>
          <t>BALANCE</t>
        </is>
      </c>
      <c r="RW75" s="9" t="inlineStr">
        <is>
          <t>-</t>
        </is>
      </c>
      <c r="RX75" s="9" t="inlineStr">
        <is>
          <t>-</t>
        </is>
      </c>
      <c r="RY75" s="9" t="inlineStr">
        <is>
          <t>-</t>
        </is>
      </c>
      <c r="RZ75" s="9" t="inlineStr">
        <is>
          <t>-</t>
        </is>
      </c>
      <c r="SA75" s="9" t="n">
        <v>0</v>
      </c>
      <c r="SE75" s="9" t="inlineStr">
        <is>
          <t>BALANCE</t>
        </is>
      </c>
      <c r="SF75" s="9" t="inlineStr">
        <is>
          <t>-</t>
        </is>
      </c>
      <c r="SG75" s="9" t="inlineStr">
        <is>
          <t>-</t>
        </is>
      </c>
      <c r="SH75" s="9" t="inlineStr">
        <is>
          <t>-</t>
        </is>
      </c>
      <c r="SI75" s="9" t="inlineStr">
        <is>
          <t>-</t>
        </is>
      </c>
      <c r="SJ75" s="9" t="n">
        <v>0</v>
      </c>
      <c r="SN75" s="9" t="inlineStr">
        <is>
          <t>BALANCE</t>
        </is>
      </c>
      <c r="SO75" s="9" t="inlineStr">
        <is>
          <t>-</t>
        </is>
      </c>
      <c r="SP75" s="9" t="inlineStr">
        <is>
          <t>-</t>
        </is>
      </c>
      <c r="SQ75" s="9" t="inlineStr">
        <is>
          <t>-</t>
        </is>
      </c>
      <c r="SR75" s="9" t="inlineStr">
        <is>
          <t>-</t>
        </is>
      </c>
      <c r="SS75" s="9" t="n">
        <v>0</v>
      </c>
      <c r="SW75" s="9" t="inlineStr">
        <is>
          <t>BALANCE</t>
        </is>
      </c>
      <c r="SX75" s="9" t="inlineStr">
        <is>
          <t>-</t>
        </is>
      </c>
      <c r="SY75" s="9" t="inlineStr">
        <is>
          <t>-</t>
        </is>
      </c>
      <c r="SZ75" s="9" t="inlineStr">
        <is>
          <t>-</t>
        </is>
      </c>
      <c r="TA75" s="9" t="inlineStr">
        <is>
          <t>-</t>
        </is>
      </c>
      <c r="TB75" s="9" t="n">
        <v>0</v>
      </c>
      <c r="TF75" s="9" t="inlineStr">
        <is>
          <t>BALANCE</t>
        </is>
      </c>
      <c r="TG75" s="9" t="inlineStr">
        <is>
          <t>-</t>
        </is>
      </c>
      <c r="TH75" s="9" t="inlineStr">
        <is>
          <t>-</t>
        </is>
      </c>
      <c r="TI75" s="9" t="inlineStr">
        <is>
          <t>-</t>
        </is>
      </c>
      <c r="TJ75" s="9" t="inlineStr">
        <is>
          <t>-</t>
        </is>
      </c>
      <c r="TK75" s="9" t="n">
        <v>0</v>
      </c>
      <c r="TO75" s="9" t="inlineStr">
        <is>
          <t>BALANCE</t>
        </is>
      </c>
      <c r="TP75" s="9" t="inlineStr">
        <is>
          <t>-</t>
        </is>
      </c>
      <c r="TQ75" s="9" t="inlineStr">
        <is>
          <t>-</t>
        </is>
      </c>
      <c r="TR75" s="9" t="inlineStr">
        <is>
          <t>-</t>
        </is>
      </c>
      <c r="TS75" s="9" t="inlineStr">
        <is>
          <t>-</t>
        </is>
      </c>
      <c r="TT75" s="9" t="n">
        <v>0</v>
      </c>
      <c r="TX75" s="9" t="inlineStr">
        <is>
          <t>BALANCE</t>
        </is>
      </c>
      <c r="TY75" s="9" t="inlineStr">
        <is>
          <t>-</t>
        </is>
      </c>
      <c r="TZ75" s="9" t="inlineStr">
        <is>
          <t>-</t>
        </is>
      </c>
      <c r="UA75" s="9" t="inlineStr">
        <is>
          <t>-</t>
        </is>
      </c>
      <c r="UB75" s="9" t="inlineStr">
        <is>
          <t>-</t>
        </is>
      </c>
      <c r="UC75" s="9" t="n">
        <v>0</v>
      </c>
      <c r="UG75" s="9" t="inlineStr">
        <is>
          <t>BALANCE</t>
        </is>
      </c>
      <c r="UH75" s="9" t="inlineStr">
        <is>
          <t>-</t>
        </is>
      </c>
      <c r="UI75" s="9" t="inlineStr">
        <is>
          <t>-</t>
        </is>
      </c>
      <c r="UJ75" s="9" t="inlineStr">
        <is>
          <t>-</t>
        </is>
      </c>
      <c r="UK75" s="9" t="inlineStr">
        <is>
          <t>-</t>
        </is>
      </c>
      <c r="UL75" s="9" t="n">
        <v>0</v>
      </c>
      <c r="UP75" s="9" t="inlineStr">
        <is>
          <t>BALANCE</t>
        </is>
      </c>
      <c r="UQ75" s="9" t="inlineStr">
        <is>
          <t>-</t>
        </is>
      </c>
      <c r="UR75" s="9" t="inlineStr">
        <is>
          <t>-</t>
        </is>
      </c>
      <c r="US75" s="9" t="inlineStr">
        <is>
          <t>-</t>
        </is>
      </c>
      <c r="UT75" s="9" t="inlineStr">
        <is>
          <t>-</t>
        </is>
      </c>
      <c r="UU75" s="9" t="n">
        <v>0</v>
      </c>
      <c r="UY75" s="9" t="inlineStr">
        <is>
          <t>BALANCE</t>
        </is>
      </c>
      <c r="UZ75" s="9" t="inlineStr">
        <is>
          <t>-</t>
        </is>
      </c>
      <c r="VA75" s="9" t="inlineStr">
        <is>
          <t>-</t>
        </is>
      </c>
      <c r="VB75" s="9" t="inlineStr">
        <is>
          <t>-</t>
        </is>
      </c>
      <c r="VC75" s="9" t="inlineStr">
        <is>
          <t>-</t>
        </is>
      </c>
      <c r="VD75" s="9" t="n">
        <v>41.60000000000002</v>
      </c>
      <c r="VH75" s="9" t="inlineStr">
        <is>
          <t>BALANCE</t>
        </is>
      </c>
      <c r="VI75" s="9" t="inlineStr">
        <is>
          <t>-</t>
        </is>
      </c>
      <c r="VJ75" s="9" t="inlineStr">
        <is>
          <t>-</t>
        </is>
      </c>
      <c r="VK75" s="9" t="inlineStr">
        <is>
          <t>-</t>
        </is>
      </c>
      <c r="VL75" s="9" t="inlineStr">
        <is>
          <t>-</t>
        </is>
      </c>
      <c r="VM75" s="9" t="n">
        <v>0</v>
      </c>
      <c r="VQ75" s="9" t="inlineStr">
        <is>
          <t>BALANCE</t>
        </is>
      </c>
      <c r="VR75" s="9" t="inlineStr">
        <is>
          <t>-</t>
        </is>
      </c>
      <c r="VS75" s="9" t="inlineStr">
        <is>
          <t>-</t>
        </is>
      </c>
      <c r="VT75" s="9" t="inlineStr">
        <is>
          <t>-</t>
        </is>
      </c>
      <c r="VU75" s="9" t="inlineStr">
        <is>
          <t>-</t>
        </is>
      </c>
      <c r="VV75" s="9" t="n">
        <v>0</v>
      </c>
      <c r="VZ75" s="9" t="inlineStr">
        <is>
          <t>BALANCE</t>
        </is>
      </c>
      <c r="WA75" s="9" t="inlineStr">
        <is>
          <t>-</t>
        </is>
      </c>
      <c r="WB75" s="9" t="inlineStr">
        <is>
          <t>-</t>
        </is>
      </c>
      <c r="WC75" s="9" t="inlineStr">
        <is>
          <t>-</t>
        </is>
      </c>
      <c r="WD75" s="9" t="inlineStr">
        <is>
          <t>-</t>
        </is>
      </c>
      <c r="WE75" s="9" t="n">
        <v>0</v>
      </c>
      <c r="WI75" s="9" t="inlineStr">
        <is>
          <t>BALANCE</t>
        </is>
      </c>
      <c r="WJ75" s="9" t="inlineStr">
        <is>
          <t>-</t>
        </is>
      </c>
      <c r="WK75" s="9" t="inlineStr">
        <is>
          <t>-</t>
        </is>
      </c>
      <c r="WL75" s="9" t="inlineStr">
        <is>
          <t>-</t>
        </is>
      </c>
      <c r="WM75" s="9" t="inlineStr">
        <is>
          <t>-</t>
        </is>
      </c>
      <c r="WN75" s="9" t="n">
        <v>6628</v>
      </c>
      <c r="WR75" s="9" t="inlineStr">
        <is>
          <t>BALANCE</t>
        </is>
      </c>
      <c r="WS75" s="9" t="inlineStr">
        <is>
          <t>-</t>
        </is>
      </c>
      <c r="WT75" s="9" t="inlineStr">
        <is>
          <t>-</t>
        </is>
      </c>
      <c r="WU75" s="9" t="inlineStr">
        <is>
          <t>-</t>
        </is>
      </c>
      <c r="WV75" s="9" t="inlineStr">
        <is>
          <t>-</t>
        </is>
      </c>
      <c r="WW75" s="9" t="n">
        <v>6559</v>
      </c>
      <c r="XA75" s="9" t="inlineStr">
        <is>
          <t>BALANCE</t>
        </is>
      </c>
      <c r="XB75" s="9" t="inlineStr">
        <is>
          <t>-</t>
        </is>
      </c>
      <c r="XC75" s="9" t="inlineStr">
        <is>
          <t>-</t>
        </is>
      </c>
      <c r="XD75" s="9" t="inlineStr">
        <is>
          <t>-</t>
        </is>
      </c>
      <c r="XE75" s="9" t="inlineStr">
        <is>
          <t>-</t>
        </is>
      </c>
      <c r="XF75" s="9" t="n">
        <v>590</v>
      </c>
      <c r="XJ75" s="9" t="inlineStr">
        <is>
          <t>BALANCE</t>
        </is>
      </c>
      <c r="XK75" s="9" t="inlineStr">
        <is>
          <t>-</t>
        </is>
      </c>
      <c r="XL75" s="9" t="inlineStr">
        <is>
          <t>-</t>
        </is>
      </c>
      <c r="XM75" s="9" t="inlineStr">
        <is>
          <t>-</t>
        </is>
      </c>
      <c r="XN75" s="9" t="inlineStr">
        <is>
          <t>-</t>
        </is>
      </c>
      <c r="XO75" s="9" t="n">
        <v>3391</v>
      </c>
      <c r="XS75" s="9" t="inlineStr">
        <is>
          <t>BALANCE</t>
        </is>
      </c>
      <c r="XT75" s="9" t="inlineStr">
        <is>
          <t>-</t>
        </is>
      </c>
      <c r="XU75" s="9" t="inlineStr">
        <is>
          <t>-</t>
        </is>
      </c>
      <c r="XV75" s="9" t="inlineStr">
        <is>
          <t>-</t>
        </is>
      </c>
      <c r="XW75" s="9" t="inlineStr">
        <is>
          <t>-</t>
        </is>
      </c>
      <c r="XX75" s="9" t="n">
        <v>1901</v>
      </c>
      <c r="YB75" s="9" t="inlineStr">
        <is>
          <t>BALANCE</t>
        </is>
      </c>
      <c r="YC75" s="9" t="inlineStr">
        <is>
          <t>-</t>
        </is>
      </c>
      <c r="YD75" s="9" t="inlineStr">
        <is>
          <t>-</t>
        </is>
      </c>
      <c r="YE75" s="9" t="inlineStr">
        <is>
          <t>-</t>
        </is>
      </c>
      <c r="YF75" s="9" t="inlineStr">
        <is>
          <t>-</t>
        </is>
      </c>
      <c r="YG75" s="9" t="n">
        <v>0</v>
      </c>
      <c r="YK75" s="9" t="inlineStr">
        <is>
          <t>BALANCE</t>
        </is>
      </c>
      <c r="YL75" s="9" t="inlineStr">
        <is>
          <t>-</t>
        </is>
      </c>
      <c r="YM75" s="9" t="inlineStr">
        <is>
          <t>-</t>
        </is>
      </c>
      <c r="YN75" s="9" t="inlineStr">
        <is>
          <t>-</t>
        </is>
      </c>
      <c r="YO75" s="9" t="inlineStr">
        <is>
          <t>-</t>
        </is>
      </c>
      <c r="YP75" s="9" t="n">
        <v>0</v>
      </c>
      <c r="YT75" s="9" t="inlineStr">
        <is>
          <t>BALANCE</t>
        </is>
      </c>
      <c r="YU75" s="9" t="inlineStr">
        <is>
          <t>-</t>
        </is>
      </c>
      <c r="YV75" s="9" t="inlineStr">
        <is>
          <t>-</t>
        </is>
      </c>
      <c r="YW75" s="9" t="inlineStr">
        <is>
          <t>-</t>
        </is>
      </c>
      <c r="YX75" s="9" t="inlineStr">
        <is>
          <t>-</t>
        </is>
      </c>
      <c r="YY75" s="9" t="n">
        <v>0</v>
      </c>
      <c r="ZC75" s="9" t="inlineStr">
        <is>
          <t>BALANCE</t>
        </is>
      </c>
      <c r="ZD75" s="9" t="inlineStr">
        <is>
          <t>-</t>
        </is>
      </c>
      <c r="ZE75" s="9" t="inlineStr">
        <is>
          <t>-</t>
        </is>
      </c>
      <c r="ZF75" s="9" t="inlineStr">
        <is>
          <t>-</t>
        </is>
      </c>
      <c r="ZG75" s="9" t="inlineStr">
        <is>
          <t>-</t>
        </is>
      </c>
      <c r="ZH75" s="9" t="n">
        <v>0</v>
      </c>
      <c r="ZL75" s="9" t="inlineStr">
        <is>
          <t>BALANCE</t>
        </is>
      </c>
      <c r="ZM75" s="9" t="inlineStr">
        <is>
          <t>-</t>
        </is>
      </c>
      <c r="ZN75" s="9" t="inlineStr">
        <is>
          <t>-</t>
        </is>
      </c>
      <c r="ZO75" s="9" t="inlineStr">
        <is>
          <t>-</t>
        </is>
      </c>
      <c r="ZP75" s="9" t="inlineStr">
        <is>
          <t>-</t>
        </is>
      </c>
      <c r="ZQ75" s="9" t="n">
        <v>0</v>
      </c>
      <c r="ZU75" s="9" t="inlineStr">
        <is>
          <t>BALANCE</t>
        </is>
      </c>
      <c r="ZV75" s="9" t="inlineStr">
        <is>
          <t>-</t>
        </is>
      </c>
      <c r="ZW75" s="9" t="inlineStr">
        <is>
          <t>-</t>
        </is>
      </c>
      <c r="ZX75" s="9" t="inlineStr">
        <is>
          <t>-</t>
        </is>
      </c>
      <c r="ZY75" s="9" t="inlineStr">
        <is>
          <t>-</t>
        </is>
      </c>
      <c r="ZZ75" s="9" t="n">
        <v>0</v>
      </c>
      <c r="AAD75" s="9" t="inlineStr">
        <is>
          <t>BALANCE</t>
        </is>
      </c>
      <c r="AAE75" s="9" t="inlineStr">
        <is>
          <t>-</t>
        </is>
      </c>
      <c r="AAF75" s="9" t="inlineStr">
        <is>
          <t>-</t>
        </is>
      </c>
      <c r="AAG75" s="9" t="inlineStr">
        <is>
          <t>-</t>
        </is>
      </c>
      <c r="AAH75" s="9" t="inlineStr">
        <is>
          <t>-</t>
        </is>
      </c>
      <c r="AAI75" s="9" t="n">
        <v>0</v>
      </c>
      <c r="AAM75" s="9" t="inlineStr">
        <is>
          <t>BALANCE</t>
        </is>
      </c>
      <c r="AAN75" s="9" t="inlineStr">
        <is>
          <t>-</t>
        </is>
      </c>
      <c r="AAO75" s="9" t="inlineStr">
        <is>
          <t>-</t>
        </is>
      </c>
      <c r="AAP75" s="9" t="inlineStr">
        <is>
          <t>-</t>
        </is>
      </c>
      <c r="AAQ75" s="9" t="inlineStr">
        <is>
          <t>-</t>
        </is>
      </c>
      <c r="AAR75" s="9" t="n">
        <v>0</v>
      </c>
      <c r="AAV75" s="9" t="inlineStr">
        <is>
          <t>BALANCE</t>
        </is>
      </c>
      <c r="AAW75" s="9" t="inlineStr">
        <is>
          <t>-</t>
        </is>
      </c>
      <c r="AAX75" s="9" t="inlineStr">
        <is>
          <t>-</t>
        </is>
      </c>
      <c r="AAY75" s="9" t="inlineStr">
        <is>
          <t>-</t>
        </is>
      </c>
      <c r="AAZ75" s="9" t="inlineStr">
        <is>
          <t>-</t>
        </is>
      </c>
      <c r="ABA75" s="9" t="n">
        <v>0</v>
      </c>
      <c r="ABE75" s="9" t="inlineStr">
        <is>
          <t>BALANCE</t>
        </is>
      </c>
      <c r="ABF75" s="9" t="inlineStr">
        <is>
          <t>-</t>
        </is>
      </c>
      <c r="ABG75" s="9" t="inlineStr">
        <is>
          <t>-</t>
        </is>
      </c>
      <c r="ABH75" s="9" t="inlineStr">
        <is>
          <t>-</t>
        </is>
      </c>
      <c r="ABI75" s="9" t="inlineStr">
        <is>
          <t>-</t>
        </is>
      </c>
      <c r="ABJ75" s="9" t="n">
        <v>0</v>
      </c>
    </row>
    <row r="76">
      <c r="C76" s="10" t="n">
        <v>46082</v>
      </c>
      <c r="E76" s="9" t="n">
        <v>0</v>
      </c>
      <c r="G76" s="9" t="n">
        <v>0</v>
      </c>
      <c r="H76" s="9" t="n">
        <v>91614.80000000002</v>
      </c>
      <c r="L76" s="10" t="n">
        <v>46082</v>
      </c>
      <c r="N76" s="9" t="n">
        <v>0</v>
      </c>
      <c r="P76" s="9" t="n">
        <v>0</v>
      </c>
      <c r="Q76" s="9" t="n">
        <v>65096.60000000003</v>
      </c>
      <c r="U76" s="10" t="n">
        <v>46082</v>
      </c>
      <c r="W76" s="9" t="n">
        <v>0</v>
      </c>
      <c r="Y76" s="9" t="n">
        <v>0</v>
      </c>
      <c r="Z76" s="9" t="n">
        <v>48372.79999999997</v>
      </c>
      <c r="AD76" s="10" t="n">
        <v>46082</v>
      </c>
      <c r="AF76" s="9" t="n">
        <v>0</v>
      </c>
      <c r="AH76" s="9" t="n">
        <v>0</v>
      </c>
      <c r="AI76" s="9" t="n">
        <v>34138.20000000002</v>
      </c>
      <c r="AM76" s="10" t="n">
        <v>46082</v>
      </c>
      <c r="AO76" s="9" t="n">
        <v>0</v>
      </c>
      <c r="AQ76" s="9" t="n">
        <v>0</v>
      </c>
      <c r="AR76" s="9" t="n">
        <v>0</v>
      </c>
      <c r="AV76" s="10" t="n">
        <v>46082</v>
      </c>
      <c r="AX76" s="9" t="n">
        <v>0</v>
      </c>
      <c r="AZ76" s="9" t="n">
        <v>0</v>
      </c>
      <c r="BA76" s="9" t="n">
        <v>47801.99999999999</v>
      </c>
      <c r="BE76" s="10" t="n">
        <v>46082</v>
      </c>
      <c r="BG76" s="9" t="n">
        <v>0</v>
      </c>
      <c r="BI76" s="9" t="n">
        <v>0</v>
      </c>
      <c r="BJ76" s="9" t="n">
        <v>7501.800000000005</v>
      </c>
      <c r="BN76" s="10" t="n">
        <v>46082</v>
      </c>
      <c r="BP76" s="9" t="n">
        <v>0</v>
      </c>
      <c r="BR76" s="9" t="n">
        <v>0</v>
      </c>
      <c r="BS76" s="9" t="n">
        <v>0</v>
      </c>
      <c r="BW76" s="10" t="n">
        <v>46082</v>
      </c>
      <c r="BY76" s="9" t="n">
        <v>0</v>
      </c>
      <c r="CA76" s="9" t="n">
        <v>0</v>
      </c>
      <c r="CB76" s="9" t="n">
        <v>8.000000000000114</v>
      </c>
      <c r="CF76" s="10" t="n">
        <v>46082</v>
      </c>
      <c r="CH76" s="9" t="n">
        <v>0</v>
      </c>
      <c r="CJ76" s="9" t="n">
        <v>0</v>
      </c>
      <c r="CK76" s="9" t="n">
        <v>0</v>
      </c>
      <c r="CO76" s="10" t="n">
        <v>46082</v>
      </c>
      <c r="CQ76" s="9" t="n">
        <v>0</v>
      </c>
      <c r="CS76" s="9" t="n">
        <v>0</v>
      </c>
      <c r="CT76" s="9" t="n">
        <v>0</v>
      </c>
      <c r="CX76" s="10" t="n">
        <v>46082</v>
      </c>
      <c r="CZ76" s="9" t="n">
        <v>0</v>
      </c>
      <c r="DB76" s="9" t="n">
        <v>0</v>
      </c>
      <c r="DC76" s="9" t="n">
        <v>55052.4</v>
      </c>
      <c r="DG76" s="10" t="n">
        <v>46082</v>
      </c>
      <c r="DI76" s="9" t="n">
        <v>0</v>
      </c>
      <c r="DK76" s="9" t="n">
        <v>0</v>
      </c>
      <c r="DL76" s="9" t="n">
        <v>-2.842170943040401e-12</v>
      </c>
      <c r="DP76" s="10" t="n">
        <v>46082</v>
      </c>
      <c r="DR76" s="9" t="n">
        <v>0</v>
      </c>
      <c r="DT76" s="9" t="n">
        <v>0</v>
      </c>
      <c r="DU76" s="9" t="n">
        <v>2300</v>
      </c>
      <c r="DY76" s="10" t="n">
        <v>46082</v>
      </c>
      <c r="EA76" s="9" t="n">
        <v>0</v>
      </c>
      <c r="EC76" s="9" t="n">
        <v>0</v>
      </c>
      <c r="ED76" s="9" t="n">
        <v>5696.8</v>
      </c>
      <c r="EH76" s="10" t="n">
        <v>46082</v>
      </c>
      <c r="EJ76" s="9" t="n">
        <v>0</v>
      </c>
      <c r="EL76" s="9" t="n">
        <v>0</v>
      </c>
      <c r="EM76" s="9" t="n">
        <v>0</v>
      </c>
      <c r="EQ76" s="10" t="n">
        <v>46082</v>
      </c>
      <c r="ES76" s="9" t="n">
        <v>0</v>
      </c>
      <c r="EU76" s="9" t="n">
        <v>0</v>
      </c>
      <c r="EV76" s="9" t="n">
        <v>0</v>
      </c>
      <c r="EZ76" s="10" t="n">
        <v>46082</v>
      </c>
      <c r="FB76" s="9" t="n">
        <v>0</v>
      </c>
      <c r="FD76" s="9" t="n">
        <v>0</v>
      </c>
      <c r="FE76" s="9" t="n">
        <v>0</v>
      </c>
      <c r="FI76" s="10" t="n">
        <v>46082</v>
      </c>
      <c r="FK76" s="9" t="n">
        <v>0</v>
      </c>
      <c r="FM76" s="9" t="n">
        <v>0</v>
      </c>
      <c r="FN76" s="9" t="n">
        <v>0</v>
      </c>
      <c r="FR76" s="10" t="n">
        <v>46082</v>
      </c>
      <c r="FT76" s="9" t="n">
        <v>0</v>
      </c>
      <c r="FV76" s="9" t="n">
        <v>0</v>
      </c>
      <c r="FW76" s="9" t="n">
        <v>620</v>
      </c>
      <c r="GA76" s="10" t="n">
        <v>46082</v>
      </c>
      <c r="GC76" s="9" t="n">
        <v>0</v>
      </c>
      <c r="GE76" s="9" t="n">
        <v>0</v>
      </c>
      <c r="GF76" s="9" t="n">
        <v>5960</v>
      </c>
      <c r="GJ76" s="10" t="n">
        <v>46082</v>
      </c>
      <c r="GL76" s="9" t="n">
        <v>0</v>
      </c>
      <c r="GN76" s="9" t="n">
        <v>0</v>
      </c>
      <c r="GO76" s="9" t="n">
        <v>5240</v>
      </c>
      <c r="GS76" s="10" t="n">
        <v>46082</v>
      </c>
      <c r="GU76" s="9" t="n">
        <v>0</v>
      </c>
      <c r="GW76" s="9" t="n">
        <v>0</v>
      </c>
      <c r="GX76" s="9" t="n">
        <v>0</v>
      </c>
      <c r="HB76" s="10" t="n">
        <v>46082</v>
      </c>
      <c r="HD76" s="9" t="n">
        <v>0</v>
      </c>
      <c r="HF76" s="9" t="n">
        <v>0</v>
      </c>
      <c r="HG76" s="9" t="n">
        <v>0</v>
      </c>
      <c r="HK76" s="10" t="n">
        <v>46082</v>
      </c>
      <c r="HM76" s="9" t="n">
        <v>0</v>
      </c>
      <c r="HO76" s="9" t="n">
        <v>0</v>
      </c>
      <c r="HP76" s="9" t="n">
        <v>0</v>
      </c>
      <c r="HU76" s="10" t="n">
        <v>46082</v>
      </c>
      <c r="HW76" s="9" t="n">
        <v>0</v>
      </c>
      <c r="HY76" s="9" t="n">
        <v>0</v>
      </c>
      <c r="HZ76" s="9" t="n">
        <v>5120</v>
      </c>
      <c r="ID76" s="10" t="n">
        <v>46082</v>
      </c>
      <c r="IF76" s="9" t="n">
        <v>0</v>
      </c>
      <c r="IH76" s="9" t="n">
        <v>0</v>
      </c>
      <c r="II76" s="9" t="n">
        <v>5100</v>
      </c>
      <c r="IM76" s="10" t="n">
        <v>46082</v>
      </c>
      <c r="IO76" s="9" t="n">
        <v>0</v>
      </c>
      <c r="IQ76" s="9" t="n">
        <v>0</v>
      </c>
      <c r="IR76" s="9" t="n">
        <v>10240</v>
      </c>
      <c r="IV76" s="10" t="n">
        <v>46082</v>
      </c>
      <c r="IX76" s="9" t="n">
        <v>0</v>
      </c>
      <c r="IZ76" s="9" t="n">
        <v>0</v>
      </c>
      <c r="JA76" s="9" t="n">
        <v>15120</v>
      </c>
      <c r="JE76" s="10" t="n">
        <v>46082</v>
      </c>
      <c r="JG76" s="9" t="n">
        <v>0</v>
      </c>
      <c r="JI76" s="9" t="n">
        <v>0</v>
      </c>
      <c r="JJ76" s="9" t="n">
        <v>3320</v>
      </c>
      <c r="JN76" s="10" t="n">
        <v>46082</v>
      </c>
      <c r="JP76" s="9" t="n">
        <v>0</v>
      </c>
      <c r="JR76" s="9" t="n">
        <v>0</v>
      </c>
      <c r="JS76" s="9" t="n">
        <v>5400</v>
      </c>
      <c r="JW76" s="10" t="n">
        <v>46082</v>
      </c>
      <c r="JY76" s="9" t="n">
        <v>0</v>
      </c>
      <c r="KA76" s="9" t="n">
        <v>0</v>
      </c>
      <c r="KB76" s="9" t="n">
        <v>4000</v>
      </c>
      <c r="KF76" s="10" t="n">
        <v>46082</v>
      </c>
      <c r="KH76" s="9" t="n">
        <v>0</v>
      </c>
      <c r="KJ76" s="9" t="n">
        <v>0</v>
      </c>
      <c r="KK76" s="9" t="n">
        <v>0</v>
      </c>
      <c r="KO76" s="10" t="n">
        <v>46082</v>
      </c>
      <c r="KQ76" s="9" t="n">
        <v>0</v>
      </c>
      <c r="KS76" s="9" t="n">
        <v>0</v>
      </c>
      <c r="KT76" s="9" t="n">
        <v>6539.400000000001</v>
      </c>
      <c r="KX76" s="10" t="n">
        <v>46082</v>
      </c>
      <c r="KZ76" s="9" t="n">
        <v>0</v>
      </c>
      <c r="LB76" s="9" t="n">
        <v>0</v>
      </c>
      <c r="LC76" s="9" t="n">
        <v>0</v>
      </c>
      <c r="LG76" s="10" t="n">
        <v>46082</v>
      </c>
      <c r="LI76" s="9" t="n">
        <v>0</v>
      </c>
      <c r="LK76" s="9" t="n">
        <v>0</v>
      </c>
      <c r="LL76" s="9" t="n">
        <v>0</v>
      </c>
      <c r="LP76" s="10" t="n">
        <v>46082</v>
      </c>
      <c r="LR76" s="9" t="n">
        <v>0</v>
      </c>
      <c r="LT76" s="9" t="n">
        <v>0</v>
      </c>
      <c r="LU76" s="9" t="n">
        <v>0</v>
      </c>
      <c r="LY76" s="10" t="n">
        <v>46082</v>
      </c>
      <c r="MA76" s="9" t="n">
        <v>0</v>
      </c>
      <c r="MC76" s="9" t="n">
        <v>0</v>
      </c>
      <c r="MD76" s="9" t="n">
        <v>0</v>
      </c>
      <c r="MH76" s="10" t="n">
        <v>46082</v>
      </c>
      <c r="MJ76" s="9" t="n">
        <v>0</v>
      </c>
      <c r="ML76" s="9" t="n">
        <v>0</v>
      </c>
      <c r="MM76" s="9" t="n">
        <v>0</v>
      </c>
      <c r="MQ76" s="10" t="n">
        <v>46082</v>
      </c>
      <c r="MS76" s="9" t="n">
        <v>0</v>
      </c>
      <c r="MU76" s="9" t="n">
        <v>0</v>
      </c>
      <c r="MV76" s="9" t="n">
        <v>4123</v>
      </c>
      <c r="MZ76" s="10" t="n">
        <v>46082</v>
      </c>
      <c r="NB76" s="9" t="n">
        <v>0</v>
      </c>
      <c r="ND76" s="9" t="n">
        <v>0</v>
      </c>
      <c r="NE76" s="9" t="n">
        <v>0</v>
      </c>
      <c r="NI76" s="10" t="n">
        <v>46082</v>
      </c>
      <c r="NK76" s="9" t="n">
        <v>0</v>
      </c>
      <c r="NM76" s="9" t="n">
        <v>0</v>
      </c>
      <c r="NN76" s="9" t="n">
        <v>0</v>
      </c>
      <c r="NR76" s="10" t="n">
        <v>46082</v>
      </c>
      <c r="NT76" s="9" t="n">
        <v>0</v>
      </c>
      <c r="NV76" s="9" t="n">
        <v>0</v>
      </c>
      <c r="NW76" s="9" t="n">
        <v>1947.7</v>
      </c>
      <c r="OA76" s="10" t="n">
        <v>46082</v>
      </c>
      <c r="OC76" s="9" t="n">
        <v>0</v>
      </c>
      <c r="OE76" s="9" t="n">
        <v>0</v>
      </c>
      <c r="OF76" s="9" t="n">
        <v>1680.5</v>
      </c>
      <c r="OJ76" s="10" t="n">
        <v>46082</v>
      </c>
      <c r="OL76" s="9" t="n">
        <v>0</v>
      </c>
      <c r="ON76" s="9" t="n">
        <v>0</v>
      </c>
      <c r="OO76" s="9" t="n">
        <v>0</v>
      </c>
      <c r="OS76" s="10" t="n">
        <v>46082</v>
      </c>
      <c r="OU76" s="9" t="n">
        <v>0</v>
      </c>
      <c r="OW76" s="9" t="n">
        <v>0</v>
      </c>
      <c r="OX76" s="9" t="n">
        <v>0</v>
      </c>
      <c r="PB76" s="10" t="n">
        <v>46082</v>
      </c>
      <c r="PD76" s="9" t="n">
        <v>0</v>
      </c>
      <c r="PF76" s="9" t="n">
        <v>0</v>
      </c>
      <c r="PG76" s="9" t="n">
        <v>0</v>
      </c>
      <c r="PK76" s="10" t="n">
        <v>46082</v>
      </c>
      <c r="PM76" s="9" t="n">
        <v>0</v>
      </c>
      <c r="PO76" s="9" t="n">
        <v>0</v>
      </c>
      <c r="PP76" s="9" t="n">
        <v>100</v>
      </c>
      <c r="PT76" s="10" t="n">
        <v>46082</v>
      </c>
      <c r="PV76" s="9" t="n">
        <v>0</v>
      </c>
      <c r="PX76" s="9" t="n">
        <v>0</v>
      </c>
      <c r="PY76" s="9" t="n">
        <v>13.96000000000004</v>
      </c>
      <c r="QC76" s="10" t="n">
        <v>46082</v>
      </c>
      <c r="QE76" s="9" t="n">
        <v>0</v>
      </c>
      <c r="QG76" s="9" t="n">
        <v>0</v>
      </c>
      <c r="QH76" s="9" t="n">
        <v>344</v>
      </c>
      <c r="QL76" s="10" t="n">
        <v>46082</v>
      </c>
      <c r="QN76" s="9" t="n">
        <v>0</v>
      </c>
      <c r="QP76" s="9" t="n">
        <v>0</v>
      </c>
      <c r="QQ76" s="9" t="n">
        <v>0</v>
      </c>
      <c r="QU76" s="10" t="n">
        <v>46082</v>
      </c>
      <c r="QW76" s="9" t="n">
        <v>0</v>
      </c>
      <c r="QY76" s="9" t="n">
        <v>0</v>
      </c>
      <c r="QZ76" s="9" t="n">
        <v>207.6</v>
      </c>
      <c r="RD76" s="10" t="n">
        <v>46082</v>
      </c>
      <c r="RF76" s="9" t="n">
        <v>0</v>
      </c>
      <c r="RH76" s="9" t="n">
        <v>0</v>
      </c>
      <c r="RI76" s="9" t="n">
        <v>197.04</v>
      </c>
      <c r="RM76" s="10" t="n">
        <v>46082</v>
      </c>
      <c r="RO76" s="9" t="n">
        <v>0</v>
      </c>
      <c r="RQ76" s="9" t="n">
        <v>0</v>
      </c>
      <c r="RR76" s="9" t="n">
        <v>46.8</v>
      </c>
      <c r="RV76" s="10" t="n">
        <v>46082</v>
      </c>
      <c r="RX76" s="9" t="n">
        <v>0</v>
      </c>
      <c r="RZ76" s="9" t="n">
        <v>0</v>
      </c>
      <c r="SA76" s="9" t="n">
        <v>0</v>
      </c>
      <c r="SE76" s="10" t="n">
        <v>46082</v>
      </c>
      <c r="SG76" s="9" t="n">
        <v>0</v>
      </c>
      <c r="SI76" s="9" t="n">
        <v>0</v>
      </c>
      <c r="SJ76" s="9" t="n">
        <v>0</v>
      </c>
      <c r="SN76" s="10" t="n">
        <v>46082</v>
      </c>
      <c r="SP76" s="9" t="n">
        <v>0</v>
      </c>
      <c r="SR76" s="9" t="n">
        <v>0</v>
      </c>
      <c r="SS76" s="9" t="n">
        <v>0</v>
      </c>
      <c r="SW76" s="10" t="n">
        <v>46082</v>
      </c>
      <c r="SY76" s="9" t="n">
        <v>0</v>
      </c>
      <c r="TA76" s="9" t="n">
        <v>0</v>
      </c>
      <c r="TB76" s="9" t="n">
        <v>0</v>
      </c>
      <c r="TF76" s="10" t="n">
        <v>46082</v>
      </c>
      <c r="TH76" s="9" t="n">
        <v>0</v>
      </c>
      <c r="TJ76" s="9" t="n">
        <v>0</v>
      </c>
      <c r="TK76" s="9" t="n">
        <v>0</v>
      </c>
      <c r="TO76" s="10" t="n">
        <v>46082</v>
      </c>
      <c r="TQ76" s="9" t="n">
        <v>0</v>
      </c>
      <c r="TS76" s="9" t="n">
        <v>0</v>
      </c>
      <c r="TT76" s="9" t="n">
        <v>0</v>
      </c>
      <c r="TX76" s="10" t="n">
        <v>46082</v>
      </c>
      <c r="TZ76" s="9" t="n">
        <v>0</v>
      </c>
      <c r="UB76" s="9" t="n">
        <v>0</v>
      </c>
      <c r="UC76" s="9" t="n">
        <v>0</v>
      </c>
      <c r="UG76" s="10" t="n">
        <v>46082</v>
      </c>
      <c r="UI76" s="9" t="n">
        <v>0</v>
      </c>
      <c r="UK76" s="9" t="n">
        <v>0</v>
      </c>
      <c r="UL76" s="9" t="n">
        <v>0</v>
      </c>
      <c r="UP76" s="10" t="n">
        <v>46082</v>
      </c>
      <c r="UR76" s="9" t="n">
        <v>0</v>
      </c>
      <c r="UT76" s="9" t="n">
        <v>0</v>
      </c>
      <c r="UU76" s="9" t="n">
        <v>0</v>
      </c>
      <c r="UY76" s="10" t="n">
        <v>46082</v>
      </c>
      <c r="VA76" s="9" t="n">
        <v>0</v>
      </c>
      <c r="VC76" s="9" t="n">
        <v>0</v>
      </c>
      <c r="VD76" s="9" t="n">
        <v>41.60000000000002</v>
      </c>
      <c r="VH76" s="10" t="n">
        <v>46082</v>
      </c>
      <c r="VJ76" s="9" t="n">
        <v>0</v>
      </c>
      <c r="VL76" s="9" t="n">
        <v>0</v>
      </c>
      <c r="VM76" s="9" t="n">
        <v>0</v>
      </c>
      <c r="VQ76" s="10" t="n">
        <v>46082</v>
      </c>
      <c r="VS76" s="9" t="n">
        <v>0</v>
      </c>
      <c r="VU76" s="9" t="n">
        <v>0</v>
      </c>
      <c r="VV76" s="9" t="n">
        <v>0</v>
      </c>
      <c r="VZ76" s="10" t="n">
        <v>46082</v>
      </c>
      <c r="WB76" s="9" t="n">
        <v>0</v>
      </c>
      <c r="WD76" s="9" t="n">
        <v>0</v>
      </c>
      <c r="WE76" s="9" t="n">
        <v>0</v>
      </c>
      <c r="WI76" s="10" t="n">
        <v>46082</v>
      </c>
      <c r="WK76" s="9" t="n">
        <v>0</v>
      </c>
      <c r="WM76" s="9" t="n">
        <v>0</v>
      </c>
      <c r="WN76" s="9" t="n">
        <v>6628</v>
      </c>
      <c r="WR76" s="10" t="n">
        <v>46082</v>
      </c>
      <c r="WT76" s="9" t="n">
        <v>0</v>
      </c>
      <c r="WV76" s="9" t="n">
        <v>0</v>
      </c>
      <c r="WW76" s="9" t="n">
        <v>6559</v>
      </c>
      <c r="XA76" s="10" t="n">
        <v>46082</v>
      </c>
      <c r="XC76" s="9" t="n">
        <v>0</v>
      </c>
      <c r="XE76" s="9" t="n">
        <v>0</v>
      </c>
      <c r="XF76" s="9" t="n">
        <v>590</v>
      </c>
      <c r="XJ76" s="10" t="n">
        <v>46082</v>
      </c>
      <c r="XL76" s="9" t="n">
        <v>0</v>
      </c>
      <c r="XN76" s="9" t="n">
        <v>0</v>
      </c>
      <c r="XO76" s="9" t="n">
        <v>3391</v>
      </c>
      <c r="XS76" s="10" t="n">
        <v>46082</v>
      </c>
      <c r="XU76" s="9" t="n">
        <v>0</v>
      </c>
      <c r="XW76" s="9" t="n">
        <v>0</v>
      </c>
      <c r="XX76" s="9" t="n">
        <v>1901</v>
      </c>
      <c r="YB76" s="10" t="n">
        <v>46082</v>
      </c>
      <c r="YD76" s="9" t="n">
        <v>0</v>
      </c>
      <c r="YF76" s="9" t="n">
        <v>0</v>
      </c>
      <c r="YG76" s="9" t="n">
        <v>0</v>
      </c>
      <c r="YK76" s="10" t="n">
        <v>46082</v>
      </c>
      <c r="YM76" s="9" t="n">
        <v>0</v>
      </c>
      <c r="YO76" s="9" t="n">
        <v>0</v>
      </c>
      <c r="YP76" s="9" t="n">
        <v>0</v>
      </c>
      <c r="YT76" s="10" t="n">
        <v>46082</v>
      </c>
      <c r="YV76" s="9" t="n">
        <v>0</v>
      </c>
      <c r="YX76" s="9" t="n">
        <v>0</v>
      </c>
      <c r="YY76" s="9" t="n">
        <v>0</v>
      </c>
      <c r="ZC76" s="10" t="n">
        <v>46082</v>
      </c>
      <c r="ZE76" s="9" t="n">
        <v>0</v>
      </c>
      <c r="ZG76" s="9" t="n">
        <v>0</v>
      </c>
      <c r="ZH76" s="9" t="n">
        <v>0</v>
      </c>
      <c r="ZL76" s="10" t="n">
        <v>46082</v>
      </c>
      <c r="ZN76" s="9" t="n">
        <v>0</v>
      </c>
      <c r="ZP76" s="9" t="n">
        <v>0</v>
      </c>
      <c r="ZQ76" s="9" t="n">
        <v>0</v>
      </c>
      <c r="ZU76" s="10" t="n">
        <v>46082</v>
      </c>
      <c r="ZW76" s="9" t="n">
        <v>0</v>
      </c>
      <c r="ZY76" s="9" t="n">
        <v>0</v>
      </c>
      <c r="ZZ76" s="9" t="n">
        <v>0</v>
      </c>
      <c r="AAD76" s="10" t="n">
        <v>46082</v>
      </c>
      <c r="AAF76" s="9" t="n">
        <v>0</v>
      </c>
      <c r="AAH76" s="9" t="n">
        <v>0</v>
      </c>
      <c r="AAI76" s="9" t="n">
        <v>0</v>
      </c>
      <c r="AAM76" s="10" t="n">
        <v>46082</v>
      </c>
      <c r="AAO76" s="9" t="n">
        <v>0</v>
      </c>
      <c r="AAQ76" s="9" t="n">
        <v>0</v>
      </c>
      <c r="AAR76" s="9" t="n">
        <v>0</v>
      </c>
      <c r="AAV76" s="10" t="n">
        <v>46082</v>
      </c>
      <c r="AAX76" s="9" t="n">
        <v>0</v>
      </c>
      <c r="AAZ76" s="9" t="n">
        <v>0</v>
      </c>
      <c r="ABA76" s="9" t="n">
        <v>0</v>
      </c>
      <c r="ABE76" s="10" t="n">
        <v>46082</v>
      </c>
      <c r="ABG76" s="9" t="n">
        <v>0</v>
      </c>
      <c r="ABI76" s="9" t="n">
        <v>0</v>
      </c>
      <c r="ABJ76" s="9" t="n">
        <v>0</v>
      </c>
    </row>
    <row r="77">
      <c r="B77" s="9" t="n">
        <v>80</v>
      </c>
      <c r="C77" s="10" t="n">
        <v>46083</v>
      </c>
      <c r="D77" s="9" t="n">
        <v>51580</v>
      </c>
      <c r="E77" s="9" t="n">
        <v>42102.99999999999</v>
      </c>
      <c r="F77" s="9" t="n">
        <v>42119.6</v>
      </c>
      <c r="G77" s="9" t="n">
        <v>-16.60000000000582</v>
      </c>
      <c r="H77" s="9" t="n">
        <v>101075.2</v>
      </c>
      <c r="I77" s="9" t="inlineStr">
        <is>
          <t>122 20mt, 123 60mt</t>
        </is>
      </c>
      <c r="L77" s="10" t="n">
        <v>46083</v>
      </c>
      <c r="N77" s="9" t="n">
        <v>14390</v>
      </c>
      <c r="O77" s="9" t="n">
        <v>14392</v>
      </c>
      <c r="P77" s="9" t="n">
        <v>-2</v>
      </c>
      <c r="Q77" s="9" t="n">
        <v>50704.60000000003</v>
      </c>
      <c r="U77" s="10" t="n">
        <v>46083</v>
      </c>
      <c r="W77" s="9" t="n">
        <v>6770</v>
      </c>
      <c r="X77" s="9" t="n">
        <v>6769.2</v>
      </c>
      <c r="Y77" s="9" t="n">
        <v>0.8000000000001819</v>
      </c>
      <c r="Z77" s="9" t="n">
        <v>41603.59999999998</v>
      </c>
      <c r="AD77" s="10" t="n">
        <v>46083</v>
      </c>
      <c r="AF77" s="9" t="n">
        <v>980</v>
      </c>
      <c r="AG77" s="9" t="n">
        <v>981.5</v>
      </c>
      <c r="AH77" s="9" t="n">
        <v>-1.5</v>
      </c>
      <c r="AI77" s="9" t="n">
        <v>33156.70000000002</v>
      </c>
      <c r="AM77" s="10" t="n">
        <v>46083</v>
      </c>
      <c r="AO77" s="9" t="n">
        <v>0</v>
      </c>
      <c r="AQ77" s="9" t="n">
        <v>0</v>
      </c>
      <c r="AR77" s="9" t="n">
        <v>0</v>
      </c>
      <c r="AV77" s="10" t="n">
        <v>46083</v>
      </c>
      <c r="AX77" s="9" t="n">
        <v>0</v>
      </c>
      <c r="AZ77" s="9" t="n">
        <v>0</v>
      </c>
      <c r="BA77" s="9" t="n">
        <v>47801.99999999999</v>
      </c>
      <c r="BE77" s="10" t="n">
        <v>46083</v>
      </c>
      <c r="BG77" s="9" t="n">
        <v>3540</v>
      </c>
      <c r="BH77" s="9" t="n">
        <v>3542.8</v>
      </c>
      <c r="BI77" s="9" t="n">
        <v>-2.800000000000182</v>
      </c>
      <c r="BJ77" s="9" t="n">
        <v>3959.000000000005</v>
      </c>
      <c r="BN77" s="10" t="n">
        <v>46083</v>
      </c>
      <c r="BO77" s="9" t="n">
        <v>1570</v>
      </c>
      <c r="BP77" s="9" t="n">
        <v>1570</v>
      </c>
      <c r="BQ77" s="9" t="n">
        <v>1570</v>
      </c>
      <c r="BR77" s="9" t="n">
        <v>0</v>
      </c>
      <c r="BS77" s="9" t="n">
        <v>0</v>
      </c>
      <c r="BW77" s="10" t="n">
        <v>46083</v>
      </c>
      <c r="BY77" s="9" t="n">
        <v>463.0000000000001</v>
      </c>
      <c r="CA77" s="9" t="n">
        <v>463.0000000000001</v>
      </c>
      <c r="CB77" s="9" t="n">
        <v>8.000000000000114</v>
      </c>
      <c r="CF77" s="10" t="n">
        <v>46083</v>
      </c>
      <c r="CH77" s="9" t="n">
        <v>740.0000000000001</v>
      </c>
      <c r="CJ77" s="9" t="n">
        <v>740.0000000000001</v>
      </c>
      <c r="CK77" s="9" t="n">
        <v>0</v>
      </c>
      <c r="CO77" s="10" t="n">
        <v>46083</v>
      </c>
      <c r="CQ77" s="9" t="n">
        <v>0</v>
      </c>
      <c r="CS77" s="9" t="n">
        <v>0</v>
      </c>
      <c r="CT77" s="9" t="n">
        <v>0</v>
      </c>
      <c r="CX77" s="10" t="n">
        <v>46083</v>
      </c>
      <c r="CZ77" s="9" t="n">
        <v>4000</v>
      </c>
      <c r="DA77" s="9" t="n">
        <v>4000.5</v>
      </c>
      <c r="DB77" s="9" t="n">
        <v>-0.5</v>
      </c>
      <c r="DC77" s="9" t="n">
        <v>51051.9</v>
      </c>
      <c r="DG77" s="10" t="n">
        <v>46083</v>
      </c>
      <c r="DH77" s="9" t="n">
        <v>11160</v>
      </c>
      <c r="DI77" s="9" t="n">
        <v>3200</v>
      </c>
      <c r="DJ77" s="9" t="n">
        <v>3198.6</v>
      </c>
      <c r="DK77" s="9" t="n">
        <v>1.400000000000091</v>
      </c>
      <c r="DL77" s="9" t="n">
        <v>7961.399999999996</v>
      </c>
      <c r="DP77" s="10" t="n">
        <v>46083</v>
      </c>
      <c r="DR77" s="9" t="n">
        <v>0</v>
      </c>
      <c r="DT77" s="9" t="n">
        <v>0</v>
      </c>
      <c r="DU77" s="9" t="n">
        <v>2300</v>
      </c>
      <c r="DY77" s="10" t="n">
        <v>46083</v>
      </c>
      <c r="EA77" s="9" t="n">
        <v>0</v>
      </c>
      <c r="EC77" s="9" t="n">
        <v>0</v>
      </c>
      <c r="ED77" s="9" t="n">
        <v>5696.8</v>
      </c>
      <c r="EH77" s="10" t="n">
        <v>46083</v>
      </c>
      <c r="EJ77" s="9" t="n">
        <v>0</v>
      </c>
      <c r="EL77" s="9" t="n">
        <v>0</v>
      </c>
      <c r="EM77" s="9" t="n">
        <v>0</v>
      </c>
      <c r="EQ77" s="10" t="n">
        <v>46083</v>
      </c>
      <c r="ES77" s="9" t="n">
        <v>0</v>
      </c>
      <c r="EU77" s="9" t="n">
        <v>0</v>
      </c>
      <c r="EV77" s="9" t="n">
        <v>0</v>
      </c>
      <c r="EZ77" s="10" t="n">
        <v>46083</v>
      </c>
      <c r="FB77" s="9" t="n">
        <v>0</v>
      </c>
      <c r="FD77" s="9" t="n">
        <v>0</v>
      </c>
      <c r="FE77" s="9" t="n">
        <v>0</v>
      </c>
      <c r="FI77" s="10" t="n">
        <v>46083</v>
      </c>
      <c r="FK77" s="9" t="n">
        <v>0</v>
      </c>
      <c r="FM77" s="9" t="n">
        <v>0</v>
      </c>
      <c r="FN77" s="9" t="n">
        <v>0</v>
      </c>
      <c r="FR77" s="10" t="n">
        <v>46083</v>
      </c>
      <c r="FT77" s="9" t="n">
        <v>0</v>
      </c>
      <c r="FV77" s="9" t="n">
        <v>0</v>
      </c>
      <c r="FW77" s="9" t="n">
        <v>620</v>
      </c>
      <c r="GA77" s="10" t="n">
        <v>46083</v>
      </c>
      <c r="GC77" s="9" t="n">
        <v>0</v>
      </c>
      <c r="GE77" s="9" t="n">
        <v>0</v>
      </c>
      <c r="GF77" s="9" t="n">
        <v>5960</v>
      </c>
      <c r="GJ77" s="10" t="n">
        <v>46083</v>
      </c>
      <c r="GL77" s="9" t="n">
        <v>0</v>
      </c>
      <c r="GN77" s="9" t="n">
        <v>0</v>
      </c>
      <c r="GO77" s="9" t="n">
        <v>5240</v>
      </c>
      <c r="GS77" s="10" t="n">
        <v>46083</v>
      </c>
      <c r="GU77" s="9" t="n">
        <v>0</v>
      </c>
      <c r="GW77" s="9" t="n">
        <v>0</v>
      </c>
      <c r="GX77" s="9" t="n">
        <v>0</v>
      </c>
      <c r="HB77" s="10" t="n">
        <v>46083</v>
      </c>
      <c r="HD77" s="9" t="n">
        <v>0</v>
      </c>
      <c r="HF77" s="9" t="n">
        <v>0</v>
      </c>
      <c r="HG77" s="9" t="n">
        <v>0</v>
      </c>
      <c r="HK77" s="10" t="n">
        <v>46083</v>
      </c>
      <c r="HM77" s="9" t="n">
        <v>0</v>
      </c>
      <c r="HO77" s="9" t="n">
        <v>0</v>
      </c>
      <c r="HP77" s="9" t="n">
        <v>0</v>
      </c>
      <c r="HU77" s="10" t="n">
        <v>46083</v>
      </c>
      <c r="HW77" s="9" t="n">
        <v>0</v>
      </c>
      <c r="HY77" s="9" t="n">
        <v>0</v>
      </c>
      <c r="HZ77" s="9" t="n">
        <v>5120</v>
      </c>
      <c r="ID77" s="10" t="n">
        <v>46083</v>
      </c>
      <c r="IF77" s="9" t="n">
        <v>0</v>
      </c>
      <c r="IH77" s="9" t="n">
        <v>0</v>
      </c>
      <c r="II77" s="9" t="n">
        <v>5100</v>
      </c>
      <c r="IM77" s="10" t="n">
        <v>46083</v>
      </c>
      <c r="IO77" s="9" t="n">
        <v>0</v>
      </c>
      <c r="IQ77" s="9" t="n">
        <v>0</v>
      </c>
      <c r="IR77" s="9" t="n">
        <v>10240</v>
      </c>
      <c r="IV77" s="10" t="n">
        <v>46083</v>
      </c>
      <c r="IX77" s="9" t="n">
        <v>0</v>
      </c>
      <c r="IZ77" s="9" t="n">
        <v>0</v>
      </c>
      <c r="JA77" s="9" t="n">
        <v>15120</v>
      </c>
      <c r="JE77" s="10" t="n">
        <v>46083</v>
      </c>
      <c r="JG77" s="9" t="n">
        <v>0</v>
      </c>
      <c r="JI77" s="9" t="n">
        <v>0</v>
      </c>
      <c r="JJ77" s="9" t="n">
        <v>3320</v>
      </c>
      <c r="JN77" s="10" t="n">
        <v>46083</v>
      </c>
      <c r="JP77" s="9" t="n">
        <v>0</v>
      </c>
      <c r="JR77" s="9" t="n">
        <v>0</v>
      </c>
      <c r="JS77" s="9" t="n">
        <v>5400</v>
      </c>
      <c r="JW77" s="10" t="n">
        <v>46083</v>
      </c>
      <c r="JY77" s="9" t="n">
        <v>0</v>
      </c>
      <c r="KA77" s="9" t="n">
        <v>0</v>
      </c>
      <c r="KB77" s="9" t="n">
        <v>4000</v>
      </c>
      <c r="KF77" s="10" t="n">
        <v>46083</v>
      </c>
      <c r="KH77" s="9" t="n">
        <v>390</v>
      </c>
      <c r="KJ77" s="9" t="n">
        <v>390</v>
      </c>
      <c r="KK77" s="9" t="n">
        <v>0</v>
      </c>
      <c r="KO77" s="10" t="n">
        <v>46083</v>
      </c>
      <c r="KQ77" s="9" t="n">
        <v>1134</v>
      </c>
      <c r="KS77" s="9" t="n">
        <v>1134</v>
      </c>
      <c r="KT77" s="9" t="n">
        <v>6539.400000000001</v>
      </c>
      <c r="KX77" s="10" t="n">
        <v>46083</v>
      </c>
      <c r="KZ77" s="9" t="n">
        <v>0</v>
      </c>
      <c r="LB77" s="9" t="n">
        <v>0</v>
      </c>
      <c r="LC77" s="9" t="n">
        <v>0</v>
      </c>
      <c r="LG77" s="10" t="n">
        <v>46083</v>
      </c>
      <c r="LI77" s="9" t="n">
        <v>0</v>
      </c>
      <c r="LK77" s="9" t="n">
        <v>0</v>
      </c>
      <c r="LL77" s="9" t="n">
        <v>0</v>
      </c>
      <c r="LP77" s="10" t="n">
        <v>46083</v>
      </c>
      <c r="LR77" s="9" t="n">
        <v>0</v>
      </c>
      <c r="LT77" s="9" t="n">
        <v>0</v>
      </c>
      <c r="LU77" s="9" t="n">
        <v>0</v>
      </c>
      <c r="LY77" s="10" t="n">
        <v>46083</v>
      </c>
      <c r="MA77" s="9" t="n">
        <v>0</v>
      </c>
      <c r="MC77" s="9" t="n">
        <v>0</v>
      </c>
      <c r="MD77" s="9" t="n">
        <v>0</v>
      </c>
      <c r="MH77" s="10" t="n">
        <v>46083</v>
      </c>
      <c r="MJ77" s="9" t="n">
        <v>0</v>
      </c>
      <c r="ML77" s="9" t="n">
        <v>0</v>
      </c>
      <c r="MM77" s="9" t="n">
        <v>0</v>
      </c>
      <c r="MQ77" s="10" t="n">
        <v>46083</v>
      </c>
      <c r="MS77" s="9" t="n">
        <v>160</v>
      </c>
      <c r="MU77" s="9" t="n">
        <v>160</v>
      </c>
      <c r="MV77" s="9" t="n">
        <v>4123</v>
      </c>
      <c r="MZ77" s="10" t="n">
        <v>46083</v>
      </c>
      <c r="NB77" s="9" t="n">
        <v>240</v>
      </c>
      <c r="ND77" s="9" t="n">
        <v>240</v>
      </c>
      <c r="NE77" s="9" t="n">
        <v>0</v>
      </c>
      <c r="NI77" s="10" t="n">
        <v>46083</v>
      </c>
      <c r="NK77" s="9" t="n">
        <v>0</v>
      </c>
      <c r="NM77" s="9" t="n">
        <v>0</v>
      </c>
      <c r="NN77" s="9" t="n">
        <v>0</v>
      </c>
      <c r="NR77" s="10" t="n">
        <v>46083</v>
      </c>
      <c r="NT77" s="9" t="n">
        <v>96</v>
      </c>
      <c r="NV77" s="9" t="n">
        <v>96</v>
      </c>
      <c r="NW77" s="9" t="n">
        <v>1947.7</v>
      </c>
      <c r="OA77" s="10" t="n">
        <v>46083</v>
      </c>
      <c r="OC77" s="9" t="n">
        <v>0</v>
      </c>
      <c r="OE77" s="9" t="n">
        <v>0</v>
      </c>
      <c r="OF77" s="9" t="n">
        <v>1680.5</v>
      </c>
      <c r="OJ77" s="10" t="n">
        <v>46083</v>
      </c>
      <c r="OL77" s="9" t="n">
        <v>223.9999999999999</v>
      </c>
      <c r="ON77" s="9" t="n">
        <v>223.9999999999999</v>
      </c>
      <c r="OO77" s="9" t="n">
        <v>0</v>
      </c>
      <c r="OS77" s="10" t="n">
        <v>46083</v>
      </c>
      <c r="OU77" s="9" t="n">
        <v>0</v>
      </c>
      <c r="OW77" s="9" t="n">
        <v>0</v>
      </c>
      <c r="OX77" s="9" t="n">
        <v>0</v>
      </c>
      <c r="PB77" s="10" t="n">
        <v>46083</v>
      </c>
      <c r="PD77" s="9" t="n">
        <v>0</v>
      </c>
      <c r="PF77" s="9" t="n">
        <v>0</v>
      </c>
      <c r="PG77" s="9" t="n">
        <v>0</v>
      </c>
      <c r="PK77" s="10" t="n">
        <v>46083</v>
      </c>
      <c r="PM77" s="9" t="n">
        <v>0</v>
      </c>
      <c r="PO77" s="9" t="n">
        <v>0</v>
      </c>
      <c r="PP77" s="9" t="n">
        <v>100</v>
      </c>
      <c r="PT77" s="10" t="n">
        <v>46083</v>
      </c>
      <c r="PV77" s="9" t="n">
        <v>0</v>
      </c>
      <c r="PX77" s="9" t="n">
        <v>0</v>
      </c>
      <c r="PY77" s="9" t="n">
        <v>13.96000000000004</v>
      </c>
      <c r="QC77" s="10" t="n">
        <v>46083</v>
      </c>
      <c r="QE77" s="9" t="n">
        <v>0</v>
      </c>
      <c r="QG77" s="9" t="n">
        <v>0</v>
      </c>
      <c r="QH77" s="9" t="n">
        <v>344</v>
      </c>
      <c r="QL77" s="10" t="n">
        <v>46083</v>
      </c>
      <c r="QN77" s="9" t="n">
        <v>0</v>
      </c>
      <c r="QP77" s="9" t="n">
        <v>0</v>
      </c>
      <c r="QQ77" s="9" t="n">
        <v>0</v>
      </c>
      <c r="QU77" s="10" t="n">
        <v>46083</v>
      </c>
      <c r="QW77" s="9" t="n">
        <v>0</v>
      </c>
      <c r="QY77" s="9" t="n">
        <v>0</v>
      </c>
      <c r="QZ77" s="9" t="n">
        <v>207.6</v>
      </c>
      <c r="RD77" s="10" t="n">
        <v>46083</v>
      </c>
      <c r="RF77" s="9" t="n">
        <v>0</v>
      </c>
      <c r="RH77" s="9" t="n">
        <v>0</v>
      </c>
      <c r="RI77" s="9" t="n">
        <v>197.04</v>
      </c>
      <c r="RM77" s="10" t="n">
        <v>46083</v>
      </c>
      <c r="RO77" s="9" t="n">
        <v>0</v>
      </c>
      <c r="RQ77" s="9" t="n">
        <v>0</v>
      </c>
      <c r="RR77" s="9" t="n">
        <v>46.8</v>
      </c>
      <c r="RV77" s="10" t="n">
        <v>46083</v>
      </c>
      <c r="RX77" s="9" t="n">
        <v>0</v>
      </c>
      <c r="RZ77" s="9" t="n">
        <v>0</v>
      </c>
      <c r="SA77" s="9" t="n">
        <v>0</v>
      </c>
      <c r="SE77" s="10" t="n">
        <v>46083</v>
      </c>
      <c r="SG77" s="9" t="n">
        <v>0</v>
      </c>
      <c r="SI77" s="9" t="n">
        <v>0</v>
      </c>
      <c r="SJ77" s="9" t="n">
        <v>0</v>
      </c>
      <c r="SN77" s="10" t="n">
        <v>46083</v>
      </c>
      <c r="SP77" s="9" t="n">
        <v>0</v>
      </c>
      <c r="SR77" s="9" t="n">
        <v>0</v>
      </c>
      <c r="SS77" s="9" t="n">
        <v>0</v>
      </c>
      <c r="SW77" s="10" t="n">
        <v>46083</v>
      </c>
      <c r="SY77" s="9" t="n">
        <v>0</v>
      </c>
      <c r="TA77" s="9" t="n">
        <v>0</v>
      </c>
      <c r="TB77" s="9" t="n">
        <v>0</v>
      </c>
      <c r="TF77" s="10" t="n">
        <v>46083</v>
      </c>
      <c r="TH77" s="9" t="n">
        <v>0</v>
      </c>
      <c r="TJ77" s="9" t="n">
        <v>0</v>
      </c>
      <c r="TK77" s="9" t="n">
        <v>0</v>
      </c>
      <c r="TO77" s="10" t="n">
        <v>46083</v>
      </c>
      <c r="TQ77" s="9" t="n">
        <v>0</v>
      </c>
      <c r="TS77" s="9" t="n">
        <v>0</v>
      </c>
      <c r="TT77" s="9" t="n">
        <v>0</v>
      </c>
      <c r="TX77" s="10" t="n">
        <v>46083</v>
      </c>
      <c r="TZ77" s="9" t="n">
        <v>0</v>
      </c>
      <c r="UB77" s="9" t="n">
        <v>0</v>
      </c>
      <c r="UC77" s="9" t="n">
        <v>0</v>
      </c>
      <c r="UG77" s="10" t="n">
        <v>46083</v>
      </c>
      <c r="UI77" s="9" t="n">
        <v>0</v>
      </c>
      <c r="UK77" s="9" t="n">
        <v>0</v>
      </c>
      <c r="UL77" s="9" t="n">
        <v>0</v>
      </c>
      <c r="UP77" s="10" t="n">
        <v>46083</v>
      </c>
      <c r="UR77" s="9" t="n">
        <v>0</v>
      </c>
      <c r="UT77" s="9" t="n">
        <v>0</v>
      </c>
      <c r="UU77" s="9" t="n">
        <v>0</v>
      </c>
      <c r="UY77" s="10" t="n">
        <v>46083</v>
      </c>
      <c r="VA77" s="9" t="n">
        <v>0</v>
      </c>
      <c r="VC77" s="9" t="n">
        <v>0</v>
      </c>
      <c r="VD77" s="9" t="n">
        <v>41.60000000000002</v>
      </c>
      <c r="VH77" s="10" t="n">
        <v>46083</v>
      </c>
      <c r="VJ77" s="9" t="n">
        <v>0</v>
      </c>
      <c r="VL77" s="9" t="n">
        <v>0</v>
      </c>
      <c r="VM77" s="9" t="n">
        <v>0</v>
      </c>
      <c r="VQ77" s="10" t="n">
        <v>46083</v>
      </c>
      <c r="VS77" s="9" t="n">
        <v>0</v>
      </c>
      <c r="VU77" s="9" t="n">
        <v>0</v>
      </c>
      <c r="VV77" s="9" t="n">
        <v>0</v>
      </c>
      <c r="VZ77" s="10" t="n">
        <v>46083</v>
      </c>
      <c r="WB77" s="9" t="n">
        <v>0</v>
      </c>
      <c r="WD77" s="9" t="n">
        <v>0</v>
      </c>
      <c r="WE77" s="9" t="n">
        <v>0</v>
      </c>
      <c r="WI77" s="10" t="n">
        <v>46083</v>
      </c>
      <c r="WK77" s="9" t="n">
        <v>0</v>
      </c>
      <c r="WM77" s="9" t="n">
        <v>0</v>
      </c>
      <c r="WN77" s="9" t="n">
        <v>6628</v>
      </c>
      <c r="WR77" s="10" t="n">
        <v>46083</v>
      </c>
      <c r="WT77" s="9" t="n">
        <v>0</v>
      </c>
      <c r="WV77" s="9" t="n">
        <v>0</v>
      </c>
      <c r="WW77" s="9" t="n">
        <v>6559</v>
      </c>
      <c r="XA77" s="10" t="n">
        <v>46083</v>
      </c>
      <c r="XC77" s="9" t="n">
        <v>0</v>
      </c>
      <c r="XE77" s="9" t="n">
        <v>0</v>
      </c>
      <c r="XF77" s="9" t="n">
        <v>590</v>
      </c>
      <c r="XJ77" s="10" t="n">
        <v>46083</v>
      </c>
      <c r="XL77" s="9" t="n">
        <v>0</v>
      </c>
      <c r="XM77" s="9" t="n">
        <v>1216</v>
      </c>
      <c r="XN77" s="9" t="n">
        <v>-1216</v>
      </c>
      <c r="XO77" s="9" t="n">
        <v>2175</v>
      </c>
      <c r="XS77" s="10" t="n">
        <v>46083</v>
      </c>
      <c r="XU77" s="9" t="n">
        <v>0</v>
      </c>
      <c r="XW77" s="9" t="n">
        <v>0</v>
      </c>
      <c r="XX77" s="9" t="n">
        <v>1901</v>
      </c>
      <c r="YB77" s="10" t="n">
        <v>46083</v>
      </c>
      <c r="YD77" s="9" t="n">
        <v>0</v>
      </c>
      <c r="YF77" s="9" t="n">
        <v>0</v>
      </c>
      <c r="YG77" s="9" t="n">
        <v>0</v>
      </c>
      <c r="YK77" s="10" t="n">
        <v>46083</v>
      </c>
      <c r="YM77" s="9" t="n">
        <v>0</v>
      </c>
      <c r="YO77" s="9" t="n">
        <v>0</v>
      </c>
      <c r="YP77" s="9" t="n">
        <v>0</v>
      </c>
      <c r="YT77" s="10" t="n">
        <v>46083</v>
      </c>
      <c r="YV77" s="9" t="n">
        <v>0</v>
      </c>
      <c r="YX77" s="9" t="n">
        <v>0</v>
      </c>
      <c r="YY77" s="9" t="n">
        <v>0</v>
      </c>
      <c r="ZC77" s="10" t="n">
        <v>46083</v>
      </c>
      <c r="ZE77" s="9" t="n">
        <v>0</v>
      </c>
      <c r="ZG77" s="9" t="n">
        <v>0</v>
      </c>
      <c r="ZH77" s="9" t="n">
        <v>0</v>
      </c>
      <c r="ZL77" s="10" t="n">
        <v>46083</v>
      </c>
      <c r="ZN77" s="9" t="n">
        <v>0</v>
      </c>
      <c r="ZP77" s="9" t="n">
        <v>0</v>
      </c>
      <c r="ZQ77" s="9" t="n">
        <v>0</v>
      </c>
      <c r="ZU77" s="10" t="n">
        <v>46083</v>
      </c>
      <c r="ZW77" s="9" t="n">
        <v>0</v>
      </c>
      <c r="ZY77" s="9" t="n">
        <v>0</v>
      </c>
      <c r="ZZ77" s="9" t="n">
        <v>0</v>
      </c>
      <c r="AAD77" s="10" t="n">
        <v>46083</v>
      </c>
      <c r="AAF77" s="9" t="n">
        <v>0</v>
      </c>
      <c r="AAH77" s="9" t="n">
        <v>0</v>
      </c>
      <c r="AAI77" s="9" t="n">
        <v>0</v>
      </c>
      <c r="AAM77" s="10" t="n">
        <v>46083</v>
      </c>
      <c r="AAO77" s="9" t="n">
        <v>0</v>
      </c>
      <c r="AAQ77" s="9" t="n">
        <v>0</v>
      </c>
      <c r="AAR77" s="9" t="n">
        <v>0</v>
      </c>
      <c r="AAV77" s="10" t="n">
        <v>46083</v>
      </c>
      <c r="AAX77" s="9" t="n">
        <v>0</v>
      </c>
      <c r="AAZ77" s="9" t="n">
        <v>0</v>
      </c>
      <c r="ABA77" s="9" t="n">
        <v>0</v>
      </c>
      <c r="ABE77" s="10" t="n">
        <v>46083</v>
      </c>
      <c r="ABG77" s="9" t="n">
        <v>0</v>
      </c>
      <c r="ABI77" s="9" t="n">
        <v>0</v>
      </c>
      <c r="ABJ77" s="9" t="n">
        <v>0</v>
      </c>
    </row>
    <row r="78">
      <c r="B78" s="9" t="n">
        <v>118</v>
      </c>
      <c r="C78" s="10" t="n">
        <v>46084</v>
      </c>
      <c r="D78" s="9" t="n">
        <v>11800</v>
      </c>
      <c r="E78" s="9" t="n">
        <v>60489.3</v>
      </c>
      <c r="F78" s="9" t="n">
        <v>60481.4</v>
      </c>
      <c r="G78" s="9" t="n">
        <v>7.900000000001455</v>
      </c>
      <c r="H78" s="9" t="n">
        <v>52393.80000000001</v>
      </c>
      <c r="I78" s="9" t="inlineStr">
        <is>
          <t>122 78mt, 123 40mt</t>
        </is>
      </c>
      <c r="L78" s="10" t="n">
        <v>46084</v>
      </c>
      <c r="N78" s="9" t="n">
        <v>22850</v>
      </c>
      <c r="O78" s="9" t="n">
        <v>22850.8</v>
      </c>
      <c r="P78" s="9" t="n">
        <v>-0.7999999999992724</v>
      </c>
      <c r="Q78" s="9" t="n">
        <v>27853.80000000004</v>
      </c>
      <c r="U78" s="10" t="n">
        <v>46084</v>
      </c>
      <c r="W78" s="9" t="n">
        <v>9913</v>
      </c>
      <c r="X78" s="9" t="n">
        <v>9915.200000000001</v>
      </c>
      <c r="Y78" s="9" t="n">
        <v>-2.200000000000728</v>
      </c>
      <c r="Z78" s="9" t="n">
        <v>31688.39999999998</v>
      </c>
      <c r="AD78" s="10" t="n">
        <v>46084</v>
      </c>
      <c r="AF78" s="9" t="n">
        <v>1494</v>
      </c>
      <c r="AG78" s="9" t="n">
        <v>1495.9</v>
      </c>
      <c r="AH78" s="9" t="n">
        <v>-1.900000000000091</v>
      </c>
      <c r="AI78" s="9" t="n">
        <v>31660.80000000002</v>
      </c>
      <c r="AM78" s="10" t="n">
        <v>46084</v>
      </c>
      <c r="AO78" s="9" t="n">
        <v>0</v>
      </c>
      <c r="AQ78" s="9" t="n">
        <v>0</v>
      </c>
      <c r="AR78" s="9" t="n">
        <v>0</v>
      </c>
      <c r="AV78" s="10" t="n">
        <v>46084</v>
      </c>
      <c r="AX78" s="9" t="n">
        <v>0</v>
      </c>
      <c r="AZ78" s="9" t="n">
        <v>0</v>
      </c>
      <c r="BA78" s="9" t="n">
        <v>47801.99999999999</v>
      </c>
      <c r="BE78" s="10" t="n">
        <v>46084</v>
      </c>
      <c r="BF78" s="9" t="n">
        <v>15960</v>
      </c>
      <c r="BG78" s="9" t="n">
        <v>5076</v>
      </c>
      <c r="BH78" s="9" t="n">
        <v>5076.6</v>
      </c>
      <c r="BI78" s="9" t="n">
        <v>-0.6000000000003638</v>
      </c>
      <c r="BJ78" s="9" t="n">
        <v>14842.4</v>
      </c>
      <c r="BN78" s="10" t="n">
        <v>46084</v>
      </c>
      <c r="BO78" s="9" t="n">
        <v>2340.1</v>
      </c>
      <c r="BP78" s="9" t="n">
        <v>2340</v>
      </c>
      <c r="BQ78" s="9" t="n">
        <v>2340.1</v>
      </c>
      <c r="BR78" s="9" t="n">
        <v>-0.09999999999990905</v>
      </c>
      <c r="BS78" s="9" t="n">
        <v>0</v>
      </c>
      <c r="BW78" s="10" t="n">
        <v>46084</v>
      </c>
      <c r="BY78" s="9" t="n">
        <v>738.7</v>
      </c>
      <c r="CA78" s="9" t="n">
        <v>738.7</v>
      </c>
      <c r="CB78" s="9" t="n">
        <v>8.000000000000114</v>
      </c>
      <c r="CF78" s="10" t="n">
        <v>46084</v>
      </c>
      <c r="CG78" s="9" t="n">
        <v>3003</v>
      </c>
      <c r="CH78" s="9" t="n">
        <v>1140</v>
      </c>
      <c r="CI78" s="9" t="n">
        <v>3003</v>
      </c>
      <c r="CJ78" s="9" t="n">
        <v>-1863</v>
      </c>
      <c r="CK78" s="9" t="n">
        <v>0</v>
      </c>
      <c r="CO78" s="10" t="n">
        <v>46084</v>
      </c>
      <c r="CQ78" s="9" t="n">
        <v>0</v>
      </c>
      <c r="CS78" s="9" t="n">
        <v>0</v>
      </c>
      <c r="CT78" s="9" t="n">
        <v>0</v>
      </c>
      <c r="CX78" s="10" t="n">
        <v>46084</v>
      </c>
      <c r="CZ78" s="9" t="n">
        <v>5900</v>
      </c>
      <c r="DA78" s="9" t="n">
        <v>5901.3</v>
      </c>
      <c r="DB78" s="9" t="n">
        <v>-1.300000000000182</v>
      </c>
      <c r="DC78" s="9" t="n">
        <v>45150.6</v>
      </c>
      <c r="DG78" s="10" t="n">
        <v>46084</v>
      </c>
      <c r="DI78" s="9" t="n">
        <v>4720</v>
      </c>
      <c r="DJ78" s="9" t="n">
        <v>4719</v>
      </c>
      <c r="DK78" s="9" t="n">
        <v>1</v>
      </c>
      <c r="DL78" s="9" t="n">
        <v>3242.399999999996</v>
      </c>
      <c r="DP78" s="10" t="n">
        <v>46084</v>
      </c>
      <c r="DR78" s="9" t="n">
        <v>0</v>
      </c>
      <c r="DT78" s="9" t="n">
        <v>0</v>
      </c>
      <c r="DU78" s="9" t="n">
        <v>2300</v>
      </c>
      <c r="DY78" s="10" t="n">
        <v>46084</v>
      </c>
      <c r="EA78" s="9" t="n">
        <v>0</v>
      </c>
      <c r="EC78" s="9" t="n">
        <v>0</v>
      </c>
      <c r="ED78" s="9" t="n">
        <v>5696.8</v>
      </c>
      <c r="EH78" s="10" t="n">
        <v>46084</v>
      </c>
      <c r="EJ78" s="9" t="n">
        <v>0</v>
      </c>
      <c r="EL78" s="9" t="n">
        <v>0</v>
      </c>
      <c r="EM78" s="9" t="n">
        <v>0</v>
      </c>
      <c r="EQ78" s="10" t="n">
        <v>46084</v>
      </c>
      <c r="ES78" s="9" t="n">
        <v>0</v>
      </c>
      <c r="EU78" s="9" t="n">
        <v>0</v>
      </c>
      <c r="EV78" s="9" t="n">
        <v>0</v>
      </c>
      <c r="EZ78" s="10" t="n">
        <v>46084</v>
      </c>
      <c r="FB78" s="9" t="n">
        <v>0</v>
      </c>
      <c r="FD78" s="9" t="n">
        <v>0</v>
      </c>
      <c r="FE78" s="9" t="n">
        <v>0</v>
      </c>
      <c r="FI78" s="10" t="n">
        <v>46084</v>
      </c>
      <c r="FK78" s="9" t="n">
        <v>0</v>
      </c>
      <c r="FM78" s="9" t="n">
        <v>0</v>
      </c>
      <c r="FN78" s="9" t="n">
        <v>0</v>
      </c>
      <c r="FR78" s="10" t="n">
        <v>46084</v>
      </c>
      <c r="FT78" s="9" t="n">
        <v>0</v>
      </c>
      <c r="FV78" s="9" t="n">
        <v>0</v>
      </c>
      <c r="FW78" s="9" t="n">
        <v>620</v>
      </c>
      <c r="GA78" s="10" t="n">
        <v>46084</v>
      </c>
      <c r="GC78" s="9" t="n">
        <v>0</v>
      </c>
      <c r="GE78" s="9" t="n">
        <v>0</v>
      </c>
      <c r="GF78" s="9" t="n">
        <v>5960</v>
      </c>
      <c r="GJ78" s="10" t="n">
        <v>46084</v>
      </c>
      <c r="GL78" s="9" t="n">
        <v>0</v>
      </c>
      <c r="GN78" s="9" t="n">
        <v>0</v>
      </c>
      <c r="GO78" s="9" t="n">
        <v>5240</v>
      </c>
      <c r="GS78" s="10" t="n">
        <v>46084</v>
      </c>
      <c r="GU78" s="9" t="n">
        <v>0</v>
      </c>
      <c r="GW78" s="9" t="n">
        <v>0</v>
      </c>
      <c r="GX78" s="9" t="n">
        <v>0</v>
      </c>
      <c r="HB78" s="10" t="n">
        <v>46084</v>
      </c>
      <c r="HD78" s="9" t="n">
        <v>0</v>
      </c>
      <c r="HF78" s="9" t="n">
        <v>0</v>
      </c>
      <c r="HG78" s="9" t="n">
        <v>0</v>
      </c>
      <c r="HK78" s="10" t="n">
        <v>46084</v>
      </c>
      <c r="HM78" s="9" t="n">
        <v>0</v>
      </c>
      <c r="HO78" s="9" t="n">
        <v>0</v>
      </c>
      <c r="HP78" s="9" t="n">
        <v>0</v>
      </c>
      <c r="HU78" s="10" t="n">
        <v>46084</v>
      </c>
      <c r="HW78" s="9" t="n">
        <v>0</v>
      </c>
      <c r="HY78" s="9" t="n">
        <v>0</v>
      </c>
      <c r="HZ78" s="9" t="n">
        <v>5120</v>
      </c>
      <c r="ID78" s="10" t="n">
        <v>46084</v>
      </c>
      <c r="IF78" s="9" t="n">
        <v>0</v>
      </c>
      <c r="IH78" s="9" t="n">
        <v>0</v>
      </c>
      <c r="II78" s="9" t="n">
        <v>5100</v>
      </c>
      <c r="IM78" s="10" t="n">
        <v>46084</v>
      </c>
      <c r="IO78" s="9" t="n">
        <v>0</v>
      </c>
      <c r="IQ78" s="9" t="n">
        <v>0</v>
      </c>
      <c r="IR78" s="9" t="n">
        <v>10240</v>
      </c>
      <c r="IV78" s="10" t="n">
        <v>46084</v>
      </c>
      <c r="IX78" s="9" t="n">
        <v>0</v>
      </c>
      <c r="IZ78" s="9" t="n">
        <v>0</v>
      </c>
      <c r="JA78" s="9" t="n">
        <v>15120</v>
      </c>
      <c r="JE78" s="10" t="n">
        <v>46084</v>
      </c>
      <c r="JG78" s="9" t="n">
        <v>0</v>
      </c>
      <c r="JI78" s="9" t="n">
        <v>0</v>
      </c>
      <c r="JJ78" s="9" t="n">
        <v>3320</v>
      </c>
      <c r="JN78" s="10" t="n">
        <v>46084</v>
      </c>
      <c r="JP78" s="9" t="n">
        <v>0</v>
      </c>
      <c r="JR78" s="9" t="n">
        <v>0</v>
      </c>
      <c r="JS78" s="9" t="n">
        <v>5400</v>
      </c>
      <c r="JW78" s="10" t="n">
        <v>46084</v>
      </c>
      <c r="JY78" s="9" t="n">
        <v>0</v>
      </c>
      <c r="KA78" s="9" t="n">
        <v>0</v>
      </c>
      <c r="KB78" s="9" t="n">
        <v>4000</v>
      </c>
      <c r="KF78" s="10" t="n">
        <v>46084</v>
      </c>
      <c r="KG78" s="9" t="n">
        <v>4875</v>
      </c>
      <c r="KH78" s="9" t="n">
        <v>1521</v>
      </c>
      <c r="KI78" s="9" t="n">
        <v>1443</v>
      </c>
      <c r="KJ78" s="9" t="n">
        <v>78</v>
      </c>
      <c r="KK78" s="9" t="n">
        <v>3432</v>
      </c>
      <c r="KO78" s="10" t="n">
        <v>46084</v>
      </c>
      <c r="KQ78" s="9" t="n">
        <v>756</v>
      </c>
      <c r="KS78" s="9" t="n">
        <v>756</v>
      </c>
      <c r="KT78" s="9" t="n">
        <v>6539.400000000001</v>
      </c>
      <c r="KX78" s="10" t="n">
        <v>46084</v>
      </c>
      <c r="KZ78" s="9" t="n">
        <v>0</v>
      </c>
      <c r="LB78" s="9" t="n">
        <v>0</v>
      </c>
      <c r="LC78" s="9" t="n">
        <v>0</v>
      </c>
      <c r="LG78" s="10" t="n">
        <v>46084</v>
      </c>
      <c r="LI78" s="9" t="n">
        <v>0</v>
      </c>
      <c r="LK78" s="9" t="n">
        <v>0</v>
      </c>
      <c r="LL78" s="9" t="n">
        <v>0</v>
      </c>
      <c r="LP78" s="10" t="n">
        <v>46084</v>
      </c>
      <c r="LR78" s="9" t="n">
        <v>0</v>
      </c>
      <c r="LT78" s="9" t="n">
        <v>0</v>
      </c>
      <c r="LU78" s="9" t="n">
        <v>0</v>
      </c>
      <c r="LY78" s="10" t="n">
        <v>46084</v>
      </c>
      <c r="MA78" s="9" t="n">
        <v>0</v>
      </c>
      <c r="MC78" s="9" t="n">
        <v>0</v>
      </c>
      <c r="MD78" s="9" t="n">
        <v>0</v>
      </c>
      <c r="MH78" s="10" t="n">
        <v>46084</v>
      </c>
      <c r="MJ78" s="9" t="n">
        <v>0</v>
      </c>
      <c r="ML78" s="9" t="n">
        <v>0</v>
      </c>
      <c r="MM78" s="9" t="n">
        <v>0</v>
      </c>
      <c r="MQ78" s="10" t="n">
        <v>46084</v>
      </c>
      <c r="MS78" s="9" t="n">
        <v>236</v>
      </c>
      <c r="MU78" s="9" t="n">
        <v>236</v>
      </c>
      <c r="MV78" s="9" t="n">
        <v>4123</v>
      </c>
      <c r="MZ78" s="10" t="n">
        <v>46084</v>
      </c>
      <c r="NB78" s="9" t="n">
        <v>354</v>
      </c>
      <c r="ND78" s="9" t="n">
        <v>354</v>
      </c>
      <c r="NE78" s="9" t="n">
        <v>0</v>
      </c>
      <c r="NI78" s="10" t="n">
        <v>46084</v>
      </c>
      <c r="NK78" s="9" t="n">
        <v>0</v>
      </c>
      <c r="NM78" s="9" t="n">
        <v>0</v>
      </c>
      <c r="NN78" s="9" t="n">
        <v>0</v>
      </c>
      <c r="NR78" s="10" t="n">
        <v>46084</v>
      </c>
      <c r="NT78" s="9" t="n">
        <v>141.6</v>
      </c>
      <c r="NV78" s="9" t="n">
        <v>141.6</v>
      </c>
      <c r="NW78" s="9" t="n">
        <v>1947.7</v>
      </c>
      <c r="OA78" s="10" t="n">
        <v>46084</v>
      </c>
      <c r="OC78" s="9" t="n">
        <v>0</v>
      </c>
      <c r="OE78" s="9" t="n">
        <v>0</v>
      </c>
      <c r="OF78" s="9" t="n">
        <v>1680.5</v>
      </c>
      <c r="OJ78" s="10" t="n">
        <v>46084</v>
      </c>
      <c r="OL78" s="9" t="n">
        <v>330.3999999999999</v>
      </c>
      <c r="ON78" s="9" t="n">
        <v>330.3999999999999</v>
      </c>
      <c r="OO78" s="9" t="n">
        <v>0</v>
      </c>
      <c r="OS78" s="10" t="n">
        <v>46084</v>
      </c>
      <c r="OU78" s="9" t="n">
        <v>0</v>
      </c>
      <c r="OW78" s="9" t="n">
        <v>0</v>
      </c>
      <c r="OX78" s="9" t="n">
        <v>0</v>
      </c>
      <c r="PB78" s="10" t="n">
        <v>46084</v>
      </c>
      <c r="PD78" s="9" t="n">
        <v>0</v>
      </c>
      <c r="PF78" s="9" t="n">
        <v>0</v>
      </c>
      <c r="PG78" s="9" t="n">
        <v>0</v>
      </c>
      <c r="PK78" s="10" t="n">
        <v>46084</v>
      </c>
      <c r="PM78" s="9" t="n">
        <v>0</v>
      </c>
      <c r="PO78" s="9" t="n">
        <v>0</v>
      </c>
      <c r="PP78" s="9" t="n">
        <v>100</v>
      </c>
      <c r="PT78" s="10" t="n">
        <v>46084</v>
      </c>
      <c r="PV78" s="9" t="n">
        <v>0</v>
      </c>
      <c r="PX78" s="9" t="n">
        <v>0</v>
      </c>
      <c r="PY78" s="9" t="n">
        <v>13.96000000000004</v>
      </c>
      <c r="QC78" s="10" t="n">
        <v>46084</v>
      </c>
      <c r="QE78" s="9" t="n">
        <v>0</v>
      </c>
      <c r="QG78" s="9" t="n">
        <v>0</v>
      </c>
      <c r="QH78" s="9" t="n">
        <v>344</v>
      </c>
      <c r="QL78" s="10" t="n">
        <v>46084</v>
      </c>
      <c r="QN78" s="9" t="n">
        <v>0</v>
      </c>
      <c r="QP78" s="9" t="n">
        <v>0</v>
      </c>
      <c r="QQ78" s="9" t="n">
        <v>0</v>
      </c>
      <c r="QU78" s="10" t="n">
        <v>46084</v>
      </c>
      <c r="QW78" s="9" t="n">
        <v>0</v>
      </c>
      <c r="QY78" s="9" t="n">
        <v>0</v>
      </c>
      <c r="QZ78" s="9" t="n">
        <v>207.6</v>
      </c>
      <c r="RD78" s="10" t="n">
        <v>46084</v>
      </c>
      <c r="RF78" s="9" t="n">
        <v>0</v>
      </c>
      <c r="RH78" s="9" t="n">
        <v>0</v>
      </c>
      <c r="RI78" s="9" t="n">
        <v>197.04</v>
      </c>
      <c r="RM78" s="10" t="n">
        <v>46084</v>
      </c>
      <c r="RO78" s="9" t="n">
        <v>0</v>
      </c>
      <c r="RQ78" s="9" t="n">
        <v>0</v>
      </c>
      <c r="RR78" s="9" t="n">
        <v>46.8</v>
      </c>
      <c r="RV78" s="10" t="n">
        <v>46084</v>
      </c>
      <c r="RX78" s="9" t="n">
        <v>0</v>
      </c>
      <c r="RZ78" s="9" t="n">
        <v>0</v>
      </c>
      <c r="SA78" s="9" t="n">
        <v>0</v>
      </c>
      <c r="SE78" s="10" t="n">
        <v>46084</v>
      </c>
      <c r="SG78" s="9" t="n">
        <v>0</v>
      </c>
      <c r="SI78" s="9" t="n">
        <v>0</v>
      </c>
      <c r="SJ78" s="9" t="n">
        <v>0</v>
      </c>
      <c r="SN78" s="10" t="n">
        <v>46084</v>
      </c>
      <c r="SP78" s="9" t="n">
        <v>0</v>
      </c>
      <c r="SR78" s="9" t="n">
        <v>0</v>
      </c>
      <c r="SS78" s="9" t="n">
        <v>0</v>
      </c>
      <c r="SW78" s="10" t="n">
        <v>46084</v>
      </c>
      <c r="SY78" s="9" t="n">
        <v>0</v>
      </c>
      <c r="TA78" s="9" t="n">
        <v>0</v>
      </c>
      <c r="TB78" s="9" t="n">
        <v>0</v>
      </c>
      <c r="TF78" s="10" t="n">
        <v>46084</v>
      </c>
      <c r="TH78" s="9" t="n">
        <v>0</v>
      </c>
      <c r="TJ78" s="9" t="n">
        <v>0</v>
      </c>
      <c r="TK78" s="9" t="n">
        <v>0</v>
      </c>
      <c r="TO78" s="10" t="n">
        <v>46084</v>
      </c>
      <c r="TQ78" s="9" t="n">
        <v>0</v>
      </c>
      <c r="TS78" s="9" t="n">
        <v>0</v>
      </c>
      <c r="TT78" s="9" t="n">
        <v>0</v>
      </c>
      <c r="TX78" s="10" t="n">
        <v>46084</v>
      </c>
      <c r="TZ78" s="9" t="n">
        <v>0</v>
      </c>
      <c r="UB78" s="9" t="n">
        <v>0</v>
      </c>
      <c r="UC78" s="9" t="n">
        <v>0</v>
      </c>
      <c r="UG78" s="10" t="n">
        <v>46084</v>
      </c>
      <c r="UI78" s="9" t="n">
        <v>0</v>
      </c>
      <c r="UK78" s="9" t="n">
        <v>0</v>
      </c>
      <c r="UL78" s="9" t="n">
        <v>0</v>
      </c>
      <c r="UP78" s="10" t="n">
        <v>46084</v>
      </c>
      <c r="UR78" s="9" t="n">
        <v>0</v>
      </c>
      <c r="UT78" s="9" t="n">
        <v>0</v>
      </c>
      <c r="UU78" s="9" t="n">
        <v>0</v>
      </c>
      <c r="UY78" s="10" t="n">
        <v>46084</v>
      </c>
      <c r="VA78" s="9" t="n">
        <v>0</v>
      </c>
      <c r="VC78" s="9" t="n">
        <v>0</v>
      </c>
      <c r="VD78" s="9" t="n">
        <v>41.60000000000002</v>
      </c>
      <c r="VH78" s="10" t="n">
        <v>46084</v>
      </c>
      <c r="VJ78" s="9" t="n">
        <v>0</v>
      </c>
      <c r="VL78" s="9" t="n">
        <v>0</v>
      </c>
      <c r="VM78" s="9" t="n">
        <v>0</v>
      </c>
      <c r="VQ78" s="10" t="n">
        <v>46084</v>
      </c>
      <c r="VS78" s="9" t="n">
        <v>0</v>
      </c>
      <c r="VU78" s="9" t="n">
        <v>0</v>
      </c>
      <c r="VV78" s="9" t="n">
        <v>0</v>
      </c>
      <c r="VZ78" s="10" t="n">
        <v>46084</v>
      </c>
      <c r="WB78" s="9" t="n">
        <v>0</v>
      </c>
      <c r="WD78" s="9" t="n">
        <v>0</v>
      </c>
      <c r="WE78" s="9" t="n">
        <v>0</v>
      </c>
      <c r="WI78" s="10" t="n">
        <v>46084</v>
      </c>
      <c r="WK78" s="9" t="n">
        <v>0</v>
      </c>
      <c r="WM78" s="9" t="n">
        <v>0</v>
      </c>
      <c r="WN78" s="9" t="n">
        <v>6628</v>
      </c>
      <c r="WR78" s="10" t="n">
        <v>46084</v>
      </c>
      <c r="WT78" s="9" t="n">
        <v>0</v>
      </c>
      <c r="WV78" s="9" t="n">
        <v>0</v>
      </c>
      <c r="WW78" s="9" t="n">
        <v>6559</v>
      </c>
      <c r="XA78" s="10" t="n">
        <v>46084</v>
      </c>
      <c r="XC78" s="9" t="n">
        <v>0</v>
      </c>
      <c r="XE78" s="9" t="n">
        <v>0</v>
      </c>
      <c r="XF78" s="9" t="n">
        <v>590</v>
      </c>
      <c r="XJ78" s="10" t="n">
        <v>46084</v>
      </c>
      <c r="XL78" s="9" t="n">
        <v>0</v>
      </c>
      <c r="XN78" s="9" t="n">
        <v>0</v>
      </c>
      <c r="XO78" s="9" t="n">
        <v>2175</v>
      </c>
      <c r="XS78" s="10" t="n">
        <v>46084</v>
      </c>
      <c r="XU78" s="9" t="n">
        <v>0</v>
      </c>
      <c r="XW78" s="9" t="n">
        <v>0</v>
      </c>
      <c r="XX78" s="9" t="n">
        <v>1901</v>
      </c>
      <c r="YB78" s="10" t="n">
        <v>46084</v>
      </c>
      <c r="YD78" s="9" t="n">
        <v>0</v>
      </c>
      <c r="YF78" s="9" t="n">
        <v>0</v>
      </c>
      <c r="YG78" s="9" t="n">
        <v>0</v>
      </c>
      <c r="YK78" s="10" t="n">
        <v>46084</v>
      </c>
      <c r="YM78" s="9" t="n">
        <v>0</v>
      </c>
      <c r="YO78" s="9" t="n">
        <v>0</v>
      </c>
      <c r="YP78" s="9" t="n">
        <v>0</v>
      </c>
      <c r="YT78" s="10" t="n">
        <v>46084</v>
      </c>
      <c r="YV78" s="9" t="n">
        <v>0</v>
      </c>
      <c r="YX78" s="9" t="n">
        <v>0</v>
      </c>
      <c r="YY78" s="9" t="n">
        <v>0</v>
      </c>
      <c r="ZC78" s="10" t="n">
        <v>46084</v>
      </c>
      <c r="ZE78" s="9" t="n">
        <v>0</v>
      </c>
      <c r="ZG78" s="9" t="n">
        <v>0</v>
      </c>
      <c r="ZH78" s="9" t="n">
        <v>0</v>
      </c>
      <c r="ZL78" s="10" t="n">
        <v>46084</v>
      </c>
      <c r="ZN78" s="9" t="n">
        <v>0</v>
      </c>
      <c r="ZP78" s="9" t="n">
        <v>0</v>
      </c>
      <c r="ZQ78" s="9" t="n">
        <v>0</v>
      </c>
      <c r="ZU78" s="10" t="n">
        <v>46084</v>
      </c>
      <c r="ZW78" s="9" t="n">
        <v>0</v>
      </c>
      <c r="ZY78" s="9" t="n">
        <v>0</v>
      </c>
      <c r="ZZ78" s="9" t="n">
        <v>0</v>
      </c>
      <c r="AAD78" s="10" t="n">
        <v>46084</v>
      </c>
      <c r="AAF78" s="9" t="n">
        <v>0</v>
      </c>
      <c r="AAH78" s="9" t="n">
        <v>0</v>
      </c>
      <c r="AAI78" s="9" t="n">
        <v>0</v>
      </c>
      <c r="AAM78" s="10" t="n">
        <v>46084</v>
      </c>
      <c r="AAO78" s="9" t="n">
        <v>0</v>
      </c>
      <c r="AAQ78" s="9" t="n">
        <v>0</v>
      </c>
      <c r="AAR78" s="9" t="n">
        <v>0</v>
      </c>
      <c r="AAV78" s="10" t="n">
        <v>46084</v>
      </c>
      <c r="AAX78" s="9" t="n">
        <v>0</v>
      </c>
      <c r="AAZ78" s="9" t="n">
        <v>0</v>
      </c>
      <c r="ABA78" s="9" t="n">
        <v>0</v>
      </c>
      <c r="ABE78" s="10" t="n">
        <v>46084</v>
      </c>
      <c r="ABG78" s="9" t="n">
        <v>0</v>
      </c>
      <c r="ABI78" s="9" t="n">
        <v>0</v>
      </c>
      <c r="ABJ78" s="9" t="n">
        <v>0</v>
      </c>
    </row>
    <row r="79">
      <c r="B79" s="9" t="n">
        <v>82</v>
      </c>
      <c r="C79" s="10" t="n">
        <v>46085</v>
      </c>
      <c r="E79" s="9" t="n">
        <v>43837.19999999999</v>
      </c>
      <c r="F79" s="9" t="n">
        <v>43844</v>
      </c>
      <c r="G79" s="9" t="n">
        <v>-6.800000000010186</v>
      </c>
      <c r="H79" s="9" t="n">
        <v>8549.80000000001</v>
      </c>
      <c r="I79" s="9" t="inlineStr">
        <is>
          <t>123 82mt</t>
        </is>
      </c>
      <c r="L79" s="10" t="n">
        <v>46085</v>
      </c>
      <c r="N79" s="9" t="n">
        <v>14063</v>
      </c>
      <c r="O79" s="9" t="n">
        <v>14059.8</v>
      </c>
      <c r="P79" s="9" t="n">
        <v>3.200000000000728</v>
      </c>
      <c r="Q79" s="9" t="n">
        <v>13794.00000000004</v>
      </c>
      <c r="U79" s="10" t="n">
        <v>46085</v>
      </c>
      <c r="W79" s="9" t="n">
        <v>6970</v>
      </c>
      <c r="X79" s="9" t="n">
        <v>6971.4</v>
      </c>
      <c r="Y79" s="9" t="n">
        <v>-1.399999999999636</v>
      </c>
      <c r="Z79" s="9" t="n">
        <v>24716.99999999998</v>
      </c>
      <c r="AD79" s="10" t="n">
        <v>46085</v>
      </c>
      <c r="AF79" s="9" t="n">
        <v>984</v>
      </c>
      <c r="AG79" s="9" t="n">
        <v>986</v>
      </c>
      <c r="AH79" s="9" t="n">
        <v>-2</v>
      </c>
      <c r="AI79" s="9" t="n">
        <v>30674.80000000002</v>
      </c>
      <c r="AM79" s="10" t="n">
        <v>46085</v>
      </c>
      <c r="AO79" s="9" t="n">
        <v>0</v>
      </c>
      <c r="AQ79" s="9" t="n">
        <v>0</v>
      </c>
      <c r="AR79" s="9" t="n">
        <v>0</v>
      </c>
      <c r="AV79" s="10" t="n">
        <v>46085</v>
      </c>
      <c r="AX79" s="9" t="n">
        <v>0</v>
      </c>
      <c r="AZ79" s="9" t="n">
        <v>0</v>
      </c>
      <c r="BA79" s="9" t="n">
        <v>47801.99999999999</v>
      </c>
      <c r="BE79" s="10" t="n">
        <v>46085</v>
      </c>
      <c r="BG79" s="9" t="n">
        <v>3690</v>
      </c>
      <c r="BH79" s="9" t="n">
        <v>3692.5</v>
      </c>
      <c r="BI79" s="9" t="n">
        <v>-2.5</v>
      </c>
      <c r="BJ79" s="9" t="n">
        <v>11149.9</v>
      </c>
      <c r="BN79" s="10" t="n">
        <v>46085</v>
      </c>
      <c r="BO79" s="9" t="n">
        <v>1598.9</v>
      </c>
      <c r="BP79" s="9" t="n">
        <v>1599</v>
      </c>
      <c r="BQ79" s="9" t="n">
        <v>1598.9</v>
      </c>
      <c r="BR79" s="9" t="n">
        <v>0.09999999999990905</v>
      </c>
      <c r="BS79" s="9" t="n">
        <v>0</v>
      </c>
      <c r="BW79" s="10" t="n">
        <v>46085</v>
      </c>
      <c r="BY79" s="9" t="n">
        <v>451.0000000000001</v>
      </c>
      <c r="CA79" s="9" t="n">
        <v>451.0000000000001</v>
      </c>
      <c r="CB79" s="9" t="n">
        <v>8.000000000000114</v>
      </c>
      <c r="CF79" s="10" t="n">
        <v>46085</v>
      </c>
      <c r="CH79" s="9" t="n">
        <v>738.0000000000001</v>
      </c>
      <c r="CJ79" s="9" t="n">
        <v>738.0000000000001</v>
      </c>
      <c r="CK79" s="9" t="n">
        <v>0</v>
      </c>
      <c r="CO79" s="10" t="n">
        <v>46085</v>
      </c>
      <c r="CQ79" s="9" t="n">
        <v>0</v>
      </c>
      <c r="CS79" s="9" t="n">
        <v>0</v>
      </c>
      <c r="CT79" s="9" t="n">
        <v>0</v>
      </c>
      <c r="CX79" s="10" t="n">
        <v>46085</v>
      </c>
      <c r="CZ79" s="9" t="n">
        <v>4100</v>
      </c>
      <c r="DA79" s="9" t="n">
        <v>4091.3</v>
      </c>
      <c r="DB79" s="9" t="n">
        <v>8.699999999999818</v>
      </c>
      <c r="DC79" s="9" t="n">
        <v>41059.3</v>
      </c>
      <c r="DG79" s="10" t="n">
        <v>46085</v>
      </c>
      <c r="DI79" s="9" t="n">
        <v>3280</v>
      </c>
      <c r="DJ79" s="9" t="n">
        <v>3212.8</v>
      </c>
      <c r="DK79" s="9" t="n">
        <v>67.19999999999982</v>
      </c>
      <c r="DL79" s="9" t="n">
        <v>29.59999999999582</v>
      </c>
      <c r="DP79" s="10" t="n">
        <v>46085</v>
      </c>
      <c r="DR79" s="9" t="n">
        <v>0</v>
      </c>
      <c r="DT79" s="9" t="n">
        <v>0</v>
      </c>
      <c r="DU79" s="9" t="n">
        <v>2300</v>
      </c>
      <c r="DY79" s="10" t="n">
        <v>46085</v>
      </c>
      <c r="EA79" s="9" t="n">
        <v>0</v>
      </c>
      <c r="EC79" s="9" t="n">
        <v>0</v>
      </c>
      <c r="ED79" s="9" t="n">
        <v>5696.8</v>
      </c>
      <c r="EH79" s="10" t="n">
        <v>46085</v>
      </c>
      <c r="EJ79" s="9" t="n">
        <v>0</v>
      </c>
      <c r="EL79" s="9" t="n">
        <v>0</v>
      </c>
      <c r="EM79" s="9" t="n">
        <v>0</v>
      </c>
      <c r="EQ79" s="10" t="n">
        <v>46085</v>
      </c>
      <c r="ES79" s="9" t="n">
        <v>0</v>
      </c>
      <c r="EU79" s="9" t="n">
        <v>0</v>
      </c>
      <c r="EV79" s="9" t="n">
        <v>0</v>
      </c>
      <c r="EZ79" s="10" t="n">
        <v>46085</v>
      </c>
      <c r="FB79" s="9" t="n">
        <v>0</v>
      </c>
      <c r="FD79" s="9" t="n">
        <v>0</v>
      </c>
      <c r="FE79" s="9" t="n">
        <v>0</v>
      </c>
      <c r="FI79" s="10" t="n">
        <v>46085</v>
      </c>
      <c r="FK79" s="9" t="n">
        <v>0</v>
      </c>
      <c r="FM79" s="9" t="n">
        <v>0</v>
      </c>
      <c r="FN79" s="9" t="n">
        <v>0</v>
      </c>
      <c r="FR79" s="10" t="n">
        <v>46085</v>
      </c>
      <c r="FT79" s="9" t="n">
        <v>0</v>
      </c>
      <c r="FV79" s="9" t="n">
        <v>0</v>
      </c>
      <c r="FW79" s="9" t="n">
        <v>620</v>
      </c>
      <c r="GA79" s="10" t="n">
        <v>46085</v>
      </c>
      <c r="GC79" s="9" t="n">
        <v>0</v>
      </c>
      <c r="GE79" s="9" t="n">
        <v>0</v>
      </c>
      <c r="GF79" s="9" t="n">
        <v>5960</v>
      </c>
      <c r="GJ79" s="10" t="n">
        <v>46085</v>
      </c>
      <c r="GL79" s="9" t="n">
        <v>0</v>
      </c>
      <c r="GN79" s="9" t="n">
        <v>0</v>
      </c>
      <c r="GO79" s="9" t="n">
        <v>5240</v>
      </c>
      <c r="GS79" s="10" t="n">
        <v>46085</v>
      </c>
      <c r="GU79" s="9" t="n">
        <v>0</v>
      </c>
      <c r="GW79" s="9" t="n">
        <v>0</v>
      </c>
      <c r="GX79" s="9" t="n">
        <v>0</v>
      </c>
      <c r="HB79" s="10" t="n">
        <v>46085</v>
      </c>
      <c r="HD79" s="9" t="n">
        <v>0</v>
      </c>
      <c r="HF79" s="9" t="n">
        <v>0</v>
      </c>
      <c r="HG79" s="9" t="n">
        <v>0</v>
      </c>
      <c r="HK79" s="10" t="n">
        <v>46085</v>
      </c>
      <c r="HM79" s="9" t="n">
        <v>0</v>
      </c>
      <c r="HO79" s="9" t="n">
        <v>0</v>
      </c>
      <c r="HP79" s="9" t="n">
        <v>0</v>
      </c>
      <c r="HU79" s="10" t="n">
        <v>46085</v>
      </c>
      <c r="HW79" s="9" t="n">
        <v>0</v>
      </c>
      <c r="HY79" s="9" t="n">
        <v>0</v>
      </c>
      <c r="HZ79" s="9" t="n">
        <v>5120</v>
      </c>
      <c r="ID79" s="10" t="n">
        <v>46085</v>
      </c>
      <c r="IF79" s="9" t="n">
        <v>0</v>
      </c>
      <c r="IH79" s="9" t="n">
        <v>0</v>
      </c>
      <c r="II79" s="9" t="n">
        <v>5100</v>
      </c>
      <c r="IM79" s="10" t="n">
        <v>46085</v>
      </c>
      <c r="IO79" s="9" t="n">
        <v>0</v>
      </c>
      <c r="IQ79" s="9" t="n">
        <v>0</v>
      </c>
      <c r="IR79" s="9" t="n">
        <v>10240</v>
      </c>
      <c r="IV79" s="10" t="n">
        <v>46085</v>
      </c>
      <c r="IX79" s="9" t="n">
        <v>0</v>
      </c>
      <c r="IZ79" s="9" t="n">
        <v>0</v>
      </c>
      <c r="JA79" s="9" t="n">
        <v>15120</v>
      </c>
      <c r="JE79" s="10" t="n">
        <v>46085</v>
      </c>
      <c r="JG79" s="9" t="n">
        <v>0</v>
      </c>
      <c r="JI79" s="9" t="n">
        <v>0</v>
      </c>
      <c r="JJ79" s="9" t="n">
        <v>3320</v>
      </c>
      <c r="JN79" s="10" t="n">
        <v>46085</v>
      </c>
      <c r="JP79" s="9" t="n">
        <v>0</v>
      </c>
      <c r="JR79" s="9" t="n">
        <v>0</v>
      </c>
      <c r="JS79" s="9" t="n">
        <v>5400</v>
      </c>
      <c r="JW79" s="10" t="n">
        <v>46085</v>
      </c>
      <c r="JY79" s="9" t="n">
        <v>0</v>
      </c>
      <c r="KA79" s="9" t="n">
        <v>0</v>
      </c>
      <c r="KB79" s="9" t="n">
        <v>4000</v>
      </c>
      <c r="KF79" s="10" t="n">
        <v>46085</v>
      </c>
      <c r="KH79" s="9" t="n">
        <v>0</v>
      </c>
      <c r="KJ79" s="9" t="n">
        <v>0</v>
      </c>
      <c r="KK79" s="9" t="n">
        <v>3432</v>
      </c>
      <c r="KO79" s="10" t="n">
        <v>46085</v>
      </c>
      <c r="KQ79" s="9" t="n">
        <v>1549.8</v>
      </c>
      <c r="KS79" s="9" t="n">
        <v>1549.8</v>
      </c>
      <c r="KT79" s="9" t="n">
        <v>6539.400000000001</v>
      </c>
      <c r="KX79" s="10" t="n">
        <v>46085</v>
      </c>
      <c r="KZ79" s="9" t="n">
        <v>0</v>
      </c>
      <c r="LB79" s="9" t="n">
        <v>0</v>
      </c>
      <c r="LC79" s="9" t="n">
        <v>0</v>
      </c>
      <c r="LG79" s="10" t="n">
        <v>46085</v>
      </c>
      <c r="LI79" s="9" t="n">
        <v>0</v>
      </c>
      <c r="LK79" s="9" t="n">
        <v>0</v>
      </c>
      <c r="LL79" s="9" t="n">
        <v>0</v>
      </c>
      <c r="LP79" s="10" t="n">
        <v>46085</v>
      </c>
      <c r="LR79" s="9" t="n">
        <v>0</v>
      </c>
      <c r="LT79" s="9" t="n">
        <v>0</v>
      </c>
      <c r="LU79" s="9" t="n">
        <v>0</v>
      </c>
      <c r="LY79" s="10" t="n">
        <v>46085</v>
      </c>
      <c r="MA79" s="9" t="n">
        <v>0</v>
      </c>
      <c r="MC79" s="9" t="n">
        <v>0</v>
      </c>
      <c r="MD79" s="9" t="n">
        <v>0</v>
      </c>
      <c r="MH79" s="10" t="n">
        <v>46085</v>
      </c>
      <c r="MJ79" s="9" t="n">
        <v>0</v>
      </c>
      <c r="ML79" s="9" t="n">
        <v>0</v>
      </c>
      <c r="MM79" s="9" t="n">
        <v>0</v>
      </c>
      <c r="MQ79" s="10" t="n">
        <v>46085</v>
      </c>
      <c r="MS79" s="9" t="n">
        <v>164</v>
      </c>
      <c r="MU79" s="9" t="n">
        <v>164</v>
      </c>
      <c r="MV79" s="9" t="n">
        <v>4123</v>
      </c>
      <c r="MZ79" s="10" t="n">
        <v>46085</v>
      </c>
      <c r="NB79" s="9" t="n">
        <v>246</v>
      </c>
      <c r="ND79" s="9" t="n">
        <v>246</v>
      </c>
      <c r="NE79" s="9" t="n">
        <v>0</v>
      </c>
      <c r="NI79" s="10" t="n">
        <v>46085</v>
      </c>
      <c r="NK79" s="9" t="n">
        <v>0</v>
      </c>
      <c r="NM79" s="9" t="n">
        <v>0</v>
      </c>
      <c r="NN79" s="9" t="n">
        <v>0</v>
      </c>
      <c r="NR79" s="10" t="n">
        <v>46085</v>
      </c>
      <c r="NT79" s="9" t="n">
        <v>98.39999999999999</v>
      </c>
      <c r="NV79" s="9" t="n">
        <v>98.39999999999999</v>
      </c>
      <c r="NW79" s="9" t="n">
        <v>1947.7</v>
      </c>
      <c r="OA79" s="10" t="n">
        <v>46085</v>
      </c>
      <c r="OC79" s="9" t="n">
        <v>0</v>
      </c>
      <c r="OE79" s="9" t="n">
        <v>0</v>
      </c>
      <c r="OF79" s="9" t="n">
        <v>1680.5</v>
      </c>
      <c r="OJ79" s="10" t="n">
        <v>46085</v>
      </c>
      <c r="OL79" s="9" t="n">
        <v>229.5999999999999</v>
      </c>
      <c r="ON79" s="9" t="n">
        <v>229.5999999999999</v>
      </c>
      <c r="OO79" s="9" t="n">
        <v>0</v>
      </c>
      <c r="OS79" s="10" t="n">
        <v>46085</v>
      </c>
      <c r="OU79" s="9" t="n">
        <v>0</v>
      </c>
      <c r="OW79" s="9" t="n">
        <v>0</v>
      </c>
      <c r="OX79" s="9" t="n">
        <v>0</v>
      </c>
      <c r="PB79" s="10" t="n">
        <v>46085</v>
      </c>
      <c r="PD79" s="9" t="n">
        <v>0</v>
      </c>
      <c r="PF79" s="9" t="n">
        <v>0</v>
      </c>
      <c r="PG79" s="9" t="n">
        <v>0</v>
      </c>
      <c r="PK79" s="10" t="n">
        <v>46085</v>
      </c>
      <c r="PM79" s="9" t="n">
        <v>0</v>
      </c>
      <c r="PO79" s="9" t="n">
        <v>0</v>
      </c>
      <c r="PP79" s="9" t="n">
        <v>100</v>
      </c>
      <c r="PT79" s="10" t="n">
        <v>46085</v>
      </c>
      <c r="PV79" s="9" t="n">
        <v>0</v>
      </c>
      <c r="PX79" s="9" t="n">
        <v>0</v>
      </c>
      <c r="PY79" s="9" t="n">
        <v>13.96000000000004</v>
      </c>
      <c r="QC79" s="10" t="n">
        <v>46085</v>
      </c>
      <c r="QE79" s="9" t="n">
        <v>0</v>
      </c>
      <c r="QG79" s="9" t="n">
        <v>0</v>
      </c>
      <c r="QH79" s="9" t="n">
        <v>344</v>
      </c>
      <c r="QL79" s="10" t="n">
        <v>46085</v>
      </c>
      <c r="QN79" s="9" t="n">
        <v>0</v>
      </c>
      <c r="QP79" s="9" t="n">
        <v>0</v>
      </c>
      <c r="QQ79" s="9" t="n">
        <v>0</v>
      </c>
      <c r="QU79" s="10" t="n">
        <v>46085</v>
      </c>
      <c r="QW79" s="9" t="n">
        <v>0</v>
      </c>
      <c r="QY79" s="9" t="n">
        <v>0</v>
      </c>
      <c r="QZ79" s="9" t="n">
        <v>207.6</v>
      </c>
      <c r="RD79" s="10" t="n">
        <v>46085</v>
      </c>
      <c r="RF79" s="9" t="n">
        <v>0</v>
      </c>
      <c r="RH79" s="9" t="n">
        <v>0</v>
      </c>
      <c r="RI79" s="9" t="n">
        <v>197.04</v>
      </c>
      <c r="RM79" s="10" t="n">
        <v>46085</v>
      </c>
      <c r="RO79" s="9" t="n">
        <v>0</v>
      </c>
      <c r="RQ79" s="9" t="n">
        <v>0</v>
      </c>
      <c r="RR79" s="9" t="n">
        <v>46.8</v>
      </c>
      <c r="RV79" s="10" t="n">
        <v>46085</v>
      </c>
      <c r="RX79" s="9" t="n">
        <v>0</v>
      </c>
      <c r="RZ79" s="9" t="n">
        <v>0</v>
      </c>
      <c r="SA79" s="9" t="n">
        <v>0</v>
      </c>
      <c r="SE79" s="10" t="n">
        <v>46085</v>
      </c>
      <c r="SG79" s="9" t="n">
        <v>0</v>
      </c>
      <c r="SI79" s="9" t="n">
        <v>0</v>
      </c>
      <c r="SJ79" s="9" t="n">
        <v>0</v>
      </c>
      <c r="SN79" s="10" t="n">
        <v>46085</v>
      </c>
      <c r="SP79" s="9" t="n">
        <v>0</v>
      </c>
      <c r="SR79" s="9" t="n">
        <v>0</v>
      </c>
      <c r="SS79" s="9" t="n">
        <v>0</v>
      </c>
      <c r="SW79" s="10" t="n">
        <v>46085</v>
      </c>
      <c r="SY79" s="9" t="n">
        <v>0</v>
      </c>
      <c r="TA79" s="9" t="n">
        <v>0</v>
      </c>
      <c r="TB79" s="9" t="n">
        <v>0</v>
      </c>
      <c r="TF79" s="10" t="n">
        <v>46085</v>
      </c>
      <c r="TH79" s="9" t="n">
        <v>0</v>
      </c>
      <c r="TJ79" s="9" t="n">
        <v>0</v>
      </c>
      <c r="TK79" s="9" t="n">
        <v>0</v>
      </c>
      <c r="TO79" s="10" t="n">
        <v>46085</v>
      </c>
      <c r="TQ79" s="9" t="n">
        <v>0</v>
      </c>
      <c r="TS79" s="9" t="n">
        <v>0</v>
      </c>
      <c r="TT79" s="9" t="n">
        <v>0</v>
      </c>
      <c r="TX79" s="10" t="n">
        <v>46085</v>
      </c>
      <c r="TZ79" s="9" t="n">
        <v>0</v>
      </c>
      <c r="UB79" s="9" t="n">
        <v>0</v>
      </c>
      <c r="UC79" s="9" t="n">
        <v>0</v>
      </c>
      <c r="UG79" s="10" t="n">
        <v>46085</v>
      </c>
      <c r="UI79" s="9" t="n">
        <v>0</v>
      </c>
      <c r="UK79" s="9" t="n">
        <v>0</v>
      </c>
      <c r="UL79" s="9" t="n">
        <v>0</v>
      </c>
      <c r="UP79" s="10" t="n">
        <v>46085</v>
      </c>
      <c r="UR79" s="9" t="n">
        <v>0</v>
      </c>
      <c r="UT79" s="9" t="n">
        <v>0</v>
      </c>
      <c r="UU79" s="9" t="n">
        <v>0</v>
      </c>
      <c r="UY79" s="10" t="n">
        <v>46085</v>
      </c>
      <c r="VA79" s="9" t="n">
        <v>0</v>
      </c>
      <c r="VC79" s="9" t="n">
        <v>0</v>
      </c>
      <c r="VD79" s="9" t="n">
        <v>41.60000000000002</v>
      </c>
      <c r="VH79" s="10" t="n">
        <v>46085</v>
      </c>
      <c r="VJ79" s="9" t="n">
        <v>0</v>
      </c>
      <c r="VL79" s="9" t="n">
        <v>0</v>
      </c>
      <c r="VM79" s="9" t="n">
        <v>0</v>
      </c>
      <c r="VQ79" s="10" t="n">
        <v>46085</v>
      </c>
      <c r="VS79" s="9" t="n">
        <v>0</v>
      </c>
      <c r="VU79" s="9" t="n">
        <v>0</v>
      </c>
      <c r="VV79" s="9" t="n">
        <v>0</v>
      </c>
      <c r="VZ79" s="10" t="n">
        <v>46085</v>
      </c>
      <c r="WB79" s="9" t="n">
        <v>0</v>
      </c>
      <c r="WD79" s="9" t="n">
        <v>0</v>
      </c>
      <c r="WE79" s="9" t="n">
        <v>0</v>
      </c>
      <c r="WI79" s="10" t="n">
        <v>46085</v>
      </c>
      <c r="WK79" s="9" t="n">
        <v>0</v>
      </c>
      <c r="WM79" s="9" t="n">
        <v>0</v>
      </c>
      <c r="WN79" s="9" t="n">
        <v>6628</v>
      </c>
      <c r="WR79" s="10" t="n">
        <v>46085</v>
      </c>
      <c r="WT79" s="9" t="n">
        <v>0</v>
      </c>
      <c r="WV79" s="9" t="n">
        <v>0</v>
      </c>
      <c r="WW79" s="9" t="n">
        <v>6559</v>
      </c>
      <c r="XA79" s="10" t="n">
        <v>46085</v>
      </c>
      <c r="XC79" s="9" t="n">
        <v>0</v>
      </c>
      <c r="XE79" s="9" t="n">
        <v>0</v>
      </c>
      <c r="XF79" s="9" t="n">
        <v>590</v>
      </c>
      <c r="XJ79" s="10" t="n">
        <v>46085</v>
      </c>
      <c r="XL79" s="9" t="n">
        <v>0</v>
      </c>
      <c r="XM79" s="9" t="n">
        <v>51</v>
      </c>
      <c r="XN79" s="9" t="n">
        <v>-51</v>
      </c>
      <c r="XO79" s="9" t="n">
        <v>2124</v>
      </c>
      <c r="XS79" s="10" t="n">
        <v>46085</v>
      </c>
      <c r="XU79" s="9" t="n">
        <v>0</v>
      </c>
      <c r="XW79" s="9" t="n">
        <v>0</v>
      </c>
      <c r="XX79" s="9" t="n">
        <v>1901</v>
      </c>
      <c r="YB79" s="10" t="n">
        <v>46085</v>
      </c>
      <c r="YD79" s="9" t="n">
        <v>0</v>
      </c>
      <c r="YF79" s="9" t="n">
        <v>0</v>
      </c>
      <c r="YG79" s="9" t="n">
        <v>0</v>
      </c>
      <c r="YK79" s="10" t="n">
        <v>46085</v>
      </c>
      <c r="YM79" s="9" t="n">
        <v>0</v>
      </c>
      <c r="YO79" s="9" t="n">
        <v>0</v>
      </c>
      <c r="YP79" s="9" t="n">
        <v>0</v>
      </c>
      <c r="YT79" s="10" t="n">
        <v>46085</v>
      </c>
      <c r="YV79" s="9" t="n">
        <v>0</v>
      </c>
      <c r="YX79" s="9" t="n">
        <v>0</v>
      </c>
      <c r="YY79" s="9" t="n">
        <v>0</v>
      </c>
      <c r="ZC79" s="10" t="n">
        <v>46085</v>
      </c>
      <c r="ZE79" s="9" t="n">
        <v>0</v>
      </c>
      <c r="ZG79" s="9" t="n">
        <v>0</v>
      </c>
      <c r="ZH79" s="9" t="n">
        <v>0</v>
      </c>
      <c r="ZL79" s="10" t="n">
        <v>46085</v>
      </c>
      <c r="ZN79" s="9" t="n">
        <v>0</v>
      </c>
      <c r="ZP79" s="9" t="n">
        <v>0</v>
      </c>
      <c r="ZQ79" s="9" t="n">
        <v>0</v>
      </c>
      <c r="ZU79" s="10" t="n">
        <v>46085</v>
      </c>
      <c r="ZW79" s="9" t="n">
        <v>0</v>
      </c>
      <c r="ZY79" s="9" t="n">
        <v>0</v>
      </c>
      <c r="ZZ79" s="9" t="n">
        <v>0</v>
      </c>
      <c r="AAD79" s="10" t="n">
        <v>46085</v>
      </c>
      <c r="AAF79" s="9" t="n">
        <v>0</v>
      </c>
      <c r="AAH79" s="9" t="n">
        <v>0</v>
      </c>
      <c r="AAI79" s="9" t="n">
        <v>0</v>
      </c>
      <c r="AAM79" s="10" t="n">
        <v>46085</v>
      </c>
      <c r="AAO79" s="9" t="n">
        <v>0</v>
      </c>
      <c r="AAQ79" s="9" t="n">
        <v>0</v>
      </c>
      <c r="AAR79" s="9" t="n">
        <v>0</v>
      </c>
      <c r="AAV79" s="10" t="n">
        <v>46085</v>
      </c>
      <c r="AAX79" s="9" t="n">
        <v>0</v>
      </c>
      <c r="AAZ79" s="9" t="n">
        <v>0</v>
      </c>
      <c r="ABA79" s="9" t="n">
        <v>0</v>
      </c>
      <c r="ABE79" s="10" t="n">
        <v>46085</v>
      </c>
      <c r="ABG79" s="9" t="n">
        <v>0</v>
      </c>
      <c r="ABI79" s="9" t="n">
        <v>0</v>
      </c>
      <c r="ABJ79" s="9" t="n">
        <v>0</v>
      </c>
    </row>
    <row r="80">
      <c r="B80" s="9" t="n">
        <v>16</v>
      </c>
      <c r="C80" s="10" t="n">
        <v>46086</v>
      </c>
      <c r="D80" s="9" t="n">
        <v>97770</v>
      </c>
      <c r="E80" s="9" t="n">
        <v>8561.6</v>
      </c>
      <c r="F80" s="9" t="n">
        <v>8561.6</v>
      </c>
      <c r="G80" s="9" t="n">
        <v>0</v>
      </c>
      <c r="H80" s="9" t="n">
        <v>97758.20000000001</v>
      </c>
      <c r="I80" s="9" t="inlineStr">
        <is>
          <t>1101 16mt</t>
        </is>
      </c>
      <c r="L80" s="10" t="n">
        <v>46086</v>
      </c>
      <c r="M80" s="9" t="n">
        <v>12260</v>
      </c>
      <c r="N80" s="9" t="n">
        <v>5220</v>
      </c>
      <c r="O80" s="9" t="n">
        <v>5221.4</v>
      </c>
      <c r="P80" s="9" t="n">
        <v>-1.399999999999636</v>
      </c>
      <c r="Q80" s="9" t="n">
        <v>20832.60000000003</v>
      </c>
      <c r="U80" s="10" t="n">
        <v>46086</v>
      </c>
      <c r="W80" s="9" t="n">
        <v>400</v>
      </c>
      <c r="X80" s="9" t="n">
        <v>399.5</v>
      </c>
      <c r="Y80" s="9" t="n">
        <v>0.5</v>
      </c>
      <c r="Z80" s="9" t="n">
        <v>24317.49999999998</v>
      </c>
      <c r="AD80" s="10" t="n">
        <v>46086</v>
      </c>
      <c r="AF80" s="9" t="n">
        <v>800</v>
      </c>
      <c r="AG80" s="9" t="n">
        <v>799.9</v>
      </c>
      <c r="AH80" s="9" t="n">
        <v>0.1000000000000227</v>
      </c>
      <c r="AI80" s="9" t="n">
        <v>29874.90000000002</v>
      </c>
      <c r="AM80" s="10" t="n">
        <v>46086</v>
      </c>
      <c r="AO80" s="9" t="n">
        <v>0</v>
      </c>
      <c r="AQ80" s="9" t="n">
        <v>0</v>
      </c>
      <c r="AR80" s="9" t="n">
        <v>0</v>
      </c>
      <c r="AV80" s="10" t="n">
        <v>46086</v>
      </c>
      <c r="AX80" s="9" t="n">
        <v>320</v>
      </c>
      <c r="AY80" s="9" t="n">
        <v>320.7</v>
      </c>
      <c r="AZ80" s="9" t="n">
        <v>-0.6999999999999886</v>
      </c>
      <c r="BA80" s="9" t="n">
        <v>47481.29999999999</v>
      </c>
      <c r="BE80" s="10" t="n">
        <v>46086</v>
      </c>
      <c r="BG80" s="9" t="n">
        <v>0</v>
      </c>
      <c r="BI80" s="9" t="n">
        <v>0</v>
      </c>
      <c r="BJ80" s="9" t="n">
        <v>11149.9</v>
      </c>
      <c r="BN80" s="10" t="n">
        <v>46086</v>
      </c>
      <c r="BO80" s="9" t="n">
        <v>319.9</v>
      </c>
      <c r="BP80" s="9" t="n">
        <v>320</v>
      </c>
      <c r="BQ80" s="9" t="n">
        <v>319.9</v>
      </c>
      <c r="BR80" s="9" t="n">
        <v>0.1000000000000227</v>
      </c>
      <c r="BS80" s="9" t="n">
        <v>0</v>
      </c>
      <c r="BW80" s="10" t="n">
        <v>46086</v>
      </c>
      <c r="BX80" s="9" t="n">
        <v>8000</v>
      </c>
      <c r="BY80" s="9" t="n">
        <v>36.00000000000001</v>
      </c>
      <c r="CA80" s="9" t="n">
        <v>36.00000000000001</v>
      </c>
      <c r="CB80" s="9" t="n">
        <v>8008</v>
      </c>
      <c r="CF80" s="10" t="n">
        <v>46086</v>
      </c>
      <c r="CH80" s="9" t="n">
        <v>14.4</v>
      </c>
      <c r="CJ80" s="9" t="n">
        <v>14.4</v>
      </c>
      <c r="CK80" s="9" t="n">
        <v>0</v>
      </c>
      <c r="CO80" s="10" t="n">
        <v>46086</v>
      </c>
      <c r="CQ80" s="9" t="n">
        <v>0</v>
      </c>
      <c r="CS80" s="9" t="n">
        <v>0</v>
      </c>
      <c r="CT80" s="9" t="n">
        <v>0</v>
      </c>
      <c r="CX80" s="10" t="n">
        <v>46086</v>
      </c>
      <c r="CZ80" s="9" t="n">
        <v>0</v>
      </c>
      <c r="DB80" s="9" t="n">
        <v>0</v>
      </c>
      <c r="DC80" s="9" t="n">
        <v>41059.3</v>
      </c>
      <c r="DG80" s="10" t="n">
        <v>46086</v>
      </c>
      <c r="DH80" s="9" t="n">
        <v>3480</v>
      </c>
      <c r="DI80" s="9" t="n">
        <v>0</v>
      </c>
      <c r="DK80" s="9" t="n">
        <v>0</v>
      </c>
      <c r="DL80" s="9" t="n">
        <v>3509.599999999996</v>
      </c>
      <c r="DP80" s="10" t="n">
        <v>46086</v>
      </c>
      <c r="DR80" s="9" t="n">
        <v>0</v>
      </c>
      <c r="DT80" s="9" t="n">
        <v>0</v>
      </c>
      <c r="DU80" s="9" t="n">
        <v>2300</v>
      </c>
      <c r="DY80" s="10" t="n">
        <v>46086</v>
      </c>
      <c r="EA80" s="9" t="n">
        <v>0</v>
      </c>
      <c r="EC80" s="9" t="n">
        <v>0</v>
      </c>
      <c r="ED80" s="9" t="n">
        <v>5696.8</v>
      </c>
      <c r="EH80" s="10" t="n">
        <v>46086</v>
      </c>
      <c r="EJ80" s="9" t="n">
        <v>0</v>
      </c>
      <c r="EL80" s="9" t="n">
        <v>0</v>
      </c>
      <c r="EM80" s="9" t="n">
        <v>0</v>
      </c>
      <c r="EQ80" s="10" t="n">
        <v>46086</v>
      </c>
      <c r="ES80" s="9" t="n">
        <v>0</v>
      </c>
      <c r="EU80" s="9" t="n">
        <v>0</v>
      </c>
      <c r="EV80" s="9" t="n">
        <v>0</v>
      </c>
      <c r="EZ80" s="10" t="n">
        <v>46086</v>
      </c>
      <c r="FB80" s="9" t="n">
        <v>0</v>
      </c>
      <c r="FD80" s="9" t="n">
        <v>0</v>
      </c>
      <c r="FE80" s="9" t="n">
        <v>0</v>
      </c>
      <c r="FI80" s="10" t="n">
        <v>46086</v>
      </c>
      <c r="FK80" s="9" t="n">
        <v>0</v>
      </c>
      <c r="FM80" s="9" t="n">
        <v>0</v>
      </c>
      <c r="FN80" s="9" t="n">
        <v>0</v>
      </c>
      <c r="FR80" s="10" t="n">
        <v>46086</v>
      </c>
      <c r="FT80" s="9" t="n">
        <v>320</v>
      </c>
      <c r="FU80" s="9" t="n">
        <v>320</v>
      </c>
      <c r="FV80" s="9" t="n">
        <v>0</v>
      </c>
      <c r="FW80" s="9" t="n">
        <v>300</v>
      </c>
      <c r="GA80" s="10" t="n">
        <v>46086</v>
      </c>
      <c r="GC80" s="9" t="n">
        <v>0</v>
      </c>
      <c r="GE80" s="9" t="n">
        <v>0</v>
      </c>
      <c r="GF80" s="9" t="n">
        <v>5960</v>
      </c>
      <c r="GJ80" s="10" t="n">
        <v>46086</v>
      </c>
      <c r="GL80" s="9" t="n">
        <v>0</v>
      </c>
      <c r="GN80" s="9" t="n">
        <v>0</v>
      </c>
      <c r="GO80" s="9" t="n">
        <v>5240</v>
      </c>
      <c r="GS80" s="10" t="n">
        <v>46086</v>
      </c>
      <c r="GU80" s="9" t="n">
        <v>0</v>
      </c>
      <c r="GW80" s="9" t="n">
        <v>0</v>
      </c>
      <c r="GX80" s="9" t="n">
        <v>0</v>
      </c>
      <c r="HB80" s="10" t="n">
        <v>46086</v>
      </c>
      <c r="HD80" s="9" t="n">
        <v>0</v>
      </c>
      <c r="HF80" s="9" t="n">
        <v>0</v>
      </c>
      <c r="HG80" s="9" t="n">
        <v>0</v>
      </c>
      <c r="HK80" s="10" t="n">
        <v>46086</v>
      </c>
      <c r="HM80" s="9" t="n">
        <v>0</v>
      </c>
      <c r="HO80" s="9" t="n">
        <v>0</v>
      </c>
      <c r="HP80" s="9" t="n">
        <v>0</v>
      </c>
      <c r="HU80" s="10" t="n">
        <v>46086</v>
      </c>
      <c r="HW80" s="9" t="n">
        <v>0</v>
      </c>
      <c r="HY80" s="9" t="n">
        <v>0</v>
      </c>
      <c r="HZ80" s="9" t="n">
        <v>5120</v>
      </c>
      <c r="ID80" s="10" t="n">
        <v>46086</v>
      </c>
      <c r="IF80" s="9" t="n">
        <v>0</v>
      </c>
      <c r="IH80" s="9" t="n">
        <v>0</v>
      </c>
      <c r="II80" s="9" t="n">
        <v>5100</v>
      </c>
      <c r="IM80" s="10" t="n">
        <v>46086</v>
      </c>
      <c r="IO80" s="9" t="n">
        <v>0</v>
      </c>
      <c r="IQ80" s="9" t="n">
        <v>0</v>
      </c>
      <c r="IR80" s="9" t="n">
        <v>10240</v>
      </c>
      <c r="IV80" s="10" t="n">
        <v>46086</v>
      </c>
      <c r="IX80" s="9" t="n">
        <v>0</v>
      </c>
      <c r="IZ80" s="9" t="n">
        <v>0</v>
      </c>
      <c r="JA80" s="9" t="n">
        <v>15120</v>
      </c>
      <c r="JE80" s="10" t="n">
        <v>46086</v>
      </c>
      <c r="JG80" s="9" t="n">
        <v>0</v>
      </c>
      <c r="JI80" s="9" t="n">
        <v>0</v>
      </c>
      <c r="JJ80" s="9" t="n">
        <v>3320</v>
      </c>
      <c r="JN80" s="10" t="n">
        <v>46086</v>
      </c>
      <c r="JP80" s="9" t="n">
        <v>0</v>
      </c>
      <c r="JR80" s="9" t="n">
        <v>0</v>
      </c>
      <c r="JS80" s="9" t="n">
        <v>5400</v>
      </c>
      <c r="JW80" s="10" t="n">
        <v>46086</v>
      </c>
      <c r="JY80" s="9" t="n">
        <v>0</v>
      </c>
      <c r="KA80" s="9" t="n">
        <v>0</v>
      </c>
      <c r="KB80" s="9" t="n">
        <v>4000</v>
      </c>
      <c r="KF80" s="10" t="n">
        <v>46086</v>
      </c>
      <c r="KH80" s="9" t="n">
        <v>0</v>
      </c>
      <c r="KJ80" s="9" t="n">
        <v>0</v>
      </c>
      <c r="KK80" s="9" t="n">
        <v>3432</v>
      </c>
      <c r="KO80" s="10" t="n">
        <v>46086</v>
      </c>
      <c r="KQ80" s="9" t="n">
        <v>0</v>
      </c>
      <c r="KS80" s="9" t="n">
        <v>0</v>
      </c>
      <c r="KT80" s="9" t="n">
        <v>6539.400000000001</v>
      </c>
      <c r="KX80" s="10" t="n">
        <v>46086</v>
      </c>
      <c r="KZ80" s="9" t="n">
        <v>0</v>
      </c>
      <c r="LB80" s="9" t="n">
        <v>0</v>
      </c>
      <c r="LC80" s="9" t="n">
        <v>0</v>
      </c>
      <c r="LG80" s="10" t="n">
        <v>46086</v>
      </c>
      <c r="LI80" s="9" t="n">
        <v>0</v>
      </c>
      <c r="LK80" s="9" t="n">
        <v>0</v>
      </c>
      <c r="LL80" s="9" t="n">
        <v>0</v>
      </c>
      <c r="LP80" s="10" t="n">
        <v>46086</v>
      </c>
      <c r="LR80" s="9" t="n">
        <v>0</v>
      </c>
      <c r="LT80" s="9" t="n">
        <v>0</v>
      </c>
      <c r="LU80" s="9" t="n">
        <v>0</v>
      </c>
      <c r="LY80" s="10" t="n">
        <v>46086</v>
      </c>
      <c r="MA80" s="9" t="n">
        <v>0</v>
      </c>
      <c r="MC80" s="9" t="n">
        <v>0</v>
      </c>
      <c r="MD80" s="9" t="n">
        <v>0</v>
      </c>
      <c r="MH80" s="10" t="n">
        <v>46086</v>
      </c>
      <c r="MJ80" s="9" t="n">
        <v>0</v>
      </c>
      <c r="ML80" s="9" t="n">
        <v>0</v>
      </c>
      <c r="MM80" s="9" t="n">
        <v>0</v>
      </c>
      <c r="MQ80" s="10" t="n">
        <v>46086</v>
      </c>
      <c r="MS80" s="9" t="n">
        <v>8</v>
      </c>
      <c r="MU80" s="9" t="n">
        <v>8</v>
      </c>
      <c r="MV80" s="9" t="n">
        <v>4123</v>
      </c>
      <c r="MZ80" s="10" t="n">
        <v>46086</v>
      </c>
      <c r="NB80" s="9" t="n">
        <v>0</v>
      </c>
      <c r="ND80" s="9" t="n">
        <v>0</v>
      </c>
      <c r="NE80" s="9" t="n">
        <v>0</v>
      </c>
      <c r="NI80" s="10" t="n">
        <v>46086</v>
      </c>
      <c r="NK80" s="9" t="n">
        <v>0</v>
      </c>
      <c r="NM80" s="9" t="n">
        <v>0</v>
      </c>
      <c r="NN80" s="9" t="n">
        <v>0</v>
      </c>
      <c r="NR80" s="10" t="n">
        <v>46086</v>
      </c>
      <c r="NT80" s="9" t="n">
        <v>0</v>
      </c>
      <c r="NV80" s="9" t="n">
        <v>0</v>
      </c>
      <c r="NW80" s="9" t="n">
        <v>1947.7</v>
      </c>
      <c r="OA80" s="10" t="n">
        <v>46086</v>
      </c>
      <c r="OC80" s="9" t="n">
        <v>0</v>
      </c>
      <c r="OE80" s="9" t="n">
        <v>0</v>
      </c>
      <c r="OF80" s="9" t="n">
        <v>1680.5</v>
      </c>
      <c r="OJ80" s="10" t="n">
        <v>46086</v>
      </c>
      <c r="OL80" s="9" t="n">
        <v>0</v>
      </c>
      <c r="ON80" s="9" t="n">
        <v>0</v>
      </c>
      <c r="OO80" s="9" t="n">
        <v>0</v>
      </c>
      <c r="OS80" s="10" t="n">
        <v>46086</v>
      </c>
      <c r="OU80" s="9" t="n">
        <v>0</v>
      </c>
      <c r="OW80" s="9" t="n">
        <v>0</v>
      </c>
      <c r="OX80" s="9" t="n">
        <v>0</v>
      </c>
      <c r="PB80" s="10" t="n">
        <v>46086</v>
      </c>
      <c r="PD80" s="9" t="n">
        <v>0</v>
      </c>
      <c r="PF80" s="9" t="n">
        <v>0</v>
      </c>
      <c r="PG80" s="9" t="n">
        <v>0</v>
      </c>
      <c r="PK80" s="10" t="n">
        <v>46086</v>
      </c>
      <c r="PM80" s="9" t="n">
        <v>0</v>
      </c>
      <c r="PO80" s="9" t="n">
        <v>0</v>
      </c>
      <c r="PP80" s="9" t="n">
        <v>100</v>
      </c>
      <c r="PT80" s="10" t="n">
        <v>46086</v>
      </c>
      <c r="PV80" s="9" t="n">
        <v>0</v>
      </c>
      <c r="PX80" s="9" t="n">
        <v>0</v>
      </c>
      <c r="PY80" s="9" t="n">
        <v>13.96000000000004</v>
      </c>
      <c r="QC80" s="10" t="n">
        <v>46086</v>
      </c>
      <c r="QD80" s="9" t="n">
        <v>868</v>
      </c>
      <c r="QE80" s="9" t="n">
        <v>0</v>
      </c>
      <c r="QG80" s="9" t="n">
        <v>0</v>
      </c>
      <c r="QH80" s="9" t="n">
        <v>1212</v>
      </c>
      <c r="QL80" s="10" t="n">
        <v>46086</v>
      </c>
      <c r="QN80" s="9" t="n">
        <v>0</v>
      </c>
      <c r="QP80" s="9" t="n">
        <v>0</v>
      </c>
      <c r="QQ80" s="9" t="n">
        <v>0</v>
      </c>
      <c r="QU80" s="10" t="n">
        <v>46086</v>
      </c>
      <c r="QW80" s="9" t="n">
        <v>0</v>
      </c>
      <c r="QY80" s="9" t="n">
        <v>0</v>
      </c>
      <c r="QZ80" s="9" t="n">
        <v>207.6</v>
      </c>
      <c r="RD80" s="10" t="n">
        <v>46086</v>
      </c>
      <c r="RF80" s="9" t="n">
        <v>0</v>
      </c>
      <c r="RH80" s="9" t="n">
        <v>0</v>
      </c>
      <c r="RI80" s="9" t="n">
        <v>197.04</v>
      </c>
      <c r="RM80" s="10" t="n">
        <v>46086</v>
      </c>
      <c r="RO80" s="9" t="n">
        <v>0</v>
      </c>
      <c r="RQ80" s="9" t="n">
        <v>0</v>
      </c>
      <c r="RR80" s="9" t="n">
        <v>46.8</v>
      </c>
      <c r="RV80" s="10" t="n">
        <v>46086</v>
      </c>
      <c r="RX80" s="9" t="n">
        <v>0</v>
      </c>
      <c r="RZ80" s="9" t="n">
        <v>0</v>
      </c>
      <c r="SA80" s="9" t="n">
        <v>0</v>
      </c>
      <c r="SE80" s="10" t="n">
        <v>46086</v>
      </c>
      <c r="SG80" s="9" t="n">
        <v>0</v>
      </c>
      <c r="SI80" s="9" t="n">
        <v>0</v>
      </c>
      <c r="SJ80" s="9" t="n">
        <v>0</v>
      </c>
      <c r="SN80" s="10" t="n">
        <v>46086</v>
      </c>
      <c r="SP80" s="9" t="n">
        <v>0</v>
      </c>
      <c r="SR80" s="9" t="n">
        <v>0</v>
      </c>
      <c r="SS80" s="9" t="n">
        <v>0</v>
      </c>
      <c r="SW80" s="10" t="n">
        <v>46086</v>
      </c>
      <c r="SY80" s="9" t="n">
        <v>0</v>
      </c>
      <c r="TA80" s="9" t="n">
        <v>0</v>
      </c>
      <c r="TB80" s="9" t="n">
        <v>0</v>
      </c>
      <c r="TF80" s="10" t="n">
        <v>46086</v>
      </c>
      <c r="TH80" s="9" t="n">
        <v>0</v>
      </c>
      <c r="TJ80" s="9" t="n">
        <v>0</v>
      </c>
      <c r="TK80" s="9" t="n">
        <v>0</v>
      </c>
      <c r="TO80" s="10" t="n">
        <v>46086</v>
      </c>
      <c r="TQ80" s="9" t="n">
        <v>0</v>
      </c>
      <c r="TS80" s="9" t="n">
        <v>0</v>
      </c>
      <c r="TT80" s="9" t="n">
        <v>0</v>
      </c>
      <c r="TX80" s="10" t="n">
        <v>46086</v>
      </c>
      <c r="TZ80" s="9" t="n">
        <v>0</v>
      </c>
      <c r="UB80" s="9" t="n">
        <v>0</v>
      </c>
      <c r="UC80" s="9" t="n">
        <v>0</v>
      </c>
      <c r="UG80" s="10" t="n">
        <v>46086</v>
      </c>
      <c r="UI80" s="9" t="n">
        <v>0</v>
      </c>
      <c r="UK80" s="9" t="n">
        <v>0</v>
      </c>
      <c r="UL80" s="9" t="n">
        <v>0</v>
      </c>
      <c r="UP80" s="10" t="n">
        <v>46086</v>
      </c>
      <c r="UR80" s="9" t="n">
        <v>0</v>
      </c>
      <c r="UT80" s="9" t="n">
        <v>0</v>
      </c>
      <c r="UU80" s="9" t="n">
        <v>0</v>
      </c>
      <c r="UY80" s="10" t="n">
        <v>46086</v>
      </c>
      <c r="VA80" s="9" t="n">
        <v>0</v>
      </c>
      <c r="VC80" s="9" t="n">
        <v>0</v>
      </c>
      <c r="VD80" s="9" t="n">
        <v>41.60000000000002</v>
      </c>
      <c r="VH80" s="10" t="n">
        <v>46086</v>
      </c>
      <c r="VJ80" s="9" t="n">
        <v>0</v>
      </c>
      <c r="VL80" s="9" t="n">
        <v>0</v>
      </c>
      <c r="VM80" s="9" t="n">
        <v>0</v>
      </c>
      <c r="VQ80" s="10" t="n">
        <v>46086</v>
      </c>
      <c r="VS80" s="9" t="n">
        <v>0</v>
      </c>
      <c r="VU80" s="9" t="n">
        <v>0</v>
      </c>
      <c r="VV80" s="9" t="n">
        <v>0</v>
      </c>
      <c r="VZ80" s="10" t="n">
        <v>46086</v>
      </c>
      <c r="WB80" s="9" t="n">
        <v>0</v>
      </c>
      <c r="WD80" s="9" t="n">
        <v>0</v>
      </c>
      <c r="WE80" s="9" t="n">
        <v>0</v>
      </c>
      <c r="WI80" s="10" t="n">
        <v>46086</v>
      </c>
      <c r="WK80" s="9" t="n">
        <v>0</v>
      </c>
      <c r="WL80" s="9" t="n">
        <v>325</v>
      </c>
      <c r="WM80" s="9" t="n">
        <v>-325</v>
      </c>
      <c r="WN80" s="9" t="n">
        <v>6303</v>
      </c>
      <c r="WR80" s="10" t="n">
        <v>46086</v>
      </c>
      <c r="WT80" s="9" t="n">
        <v>0</v>
      </c>
      <c r="WV80" s="9" t="n">
        <v>0</v>
      </c>
      <c r="WW80" s="9" t="n">
        <v>6559</v>
      </c>
      <c r="XA80" s="10" t="n">
        <v>46086</v>
      </c>
      <c r="XC80" s="9" t="n">
        <v>0</v>
      </c>
      <c r="XE80" s="9" t="n">
        <v>0</v>
      </c>
      <c r="XF80" s="9" t="n">
        <v>590</v>
      </c>
      <c r="XJ80" s="10" t="n">
        <v>46086</v>
      </c>
      <c r="XL80" s="9" t="n">
        <v>0</v>
      </c>
      <c r="XN80" s="9" t="n">
        <v>0</v>
      </c>
      <c r="XO80" s="9" t="n">
        <v>2124</v>
      </c>
      <c r="XS80" s="10" t="n">
        <v>46086</v>
      </c>
      <c r="XU80" s="9" t="n">
        <v>0</v>
      </c>
      <c r="XW80" s="9" t="n">
        <v>0</v>
      </c>
      <c r="XX80" s="9" t="n">
        <v>1901</v>
      </c>
      <c r="YB80" s="10" t="n">
        <v>46086</v>
      </c>
      <c r="YD80" s="9" t="n">
        <v>0</v>
      </c>
      <c r="YF80" s="9" t="n">
        <v>0</v>
      </c>
      <c r="YG80" s="9" t="n">
        <v>0</v>
      </c>
      <c r="YK80" s="10" t="n">
        <v>46086</v>
      </c>
      <c r="YM80" s="9" t="n">
        <v>0</v>
      </c>
      <c r="YO80" s="9" t="n">
        <v>0</v>
      </c>
      <c r="YP80" s="9" t="n">
        <v>0</v>
      </c>
      <c r="YT80" s="10" t="n">
        <v>46086</v>
      </c>
      <c r="YV80" s="9" t="n">
        <v>0</v>
      </c>
      <c r="YX80" s="9" t="n">
        <v>0</v>
      </c>
      <c r="YY80" s="9" t="n">
        <v>0</v>
      </c>
      <c r="ZC80" s="10" t="n">
        <v>46086</v>
      </c>
      <c r="ZE80" s="9" t="n">
        <v>0</v>
      </c>
      <c r="ZG80" s="9" t="n">
        <v>0</v>
      </c>
      <c r="ZH80" s="9" t="n">
        <v>0</v>
      </c>
      <c r="ZL80" s="10" t="n">
        <v>46086</v>
      </c>
      <c r="ZN80" s="9" t="n">
        <v>0</v>
      </c>
      <c r="ZP80" s="9" t="n">
        <v>0</v>
      </c>
      <c r="ZQ80" s="9" t="n">
        <v>0</v>
      </c>
      <c r="ZU80" s="10" t="n">
        <v>46086</v>
      </c>
      <c r="ZW80" s="9" t="n">
        <v>0</v>
      </c>
      <c r="ZY80" s="9" t="n">
        <v>0</v>
      </c>
      <c r="ZZ80" s="9" t="n">
        <v>0</v>
      </c>
      <c r="AAD80" s="10" t="n">
        <v>46086</v>
      </c>
      <c r="AAF80" s="9" t="n">
        <v>0</v>
      </c>
      <c r="AAH80" s="9" t="n">
        <v>0</v>
      </c>
      <c r="AAI80" s="9" t="n">
        <v>0</v>
      </c>
      <c r="AAM80" s="10" t="n">
        <v>46086</v>
      </c>
      <c r="AAO80" s="9" t="n">
        <v>0</v>
      </c>
      <c r="AAQ80" s="9" t="n">
        <v>0</v>
      </c>
      <c r="AAR80" s="9" t="n">
        <v>0</v>
      </c>
      <c r="AAV80" s="10" t="n">
        <v>46086</v>
      </c>
      <c r="AAX80" s="9" t="n">
        <v>0</v>
      </c>
      <c r="AAZ80" s="9" t="n">
        <v>0</v>
      </c>
      <c r="ABA80" s="9" t="n">
        <v>0</v>
      </c>
      <c r="ABE80" s="10" t="n">
        <v>46086</v>
      </c>
      <c r="ABG80" s="9" t="n">
        <v>0</v>
      </c>
      <c r="ABI80" s="9" t="n">
        <v>0</v>
      </c>
      <c r="ABJ80" s="9" t="n">
        <v>0</v>
      </c>
    </row>
    <row r="81">
      <c r="B81" s="9" t="n">
        <v>70</v>
      </c>
      <c r="C81" s="10" t="n">
        <v>46087</v>
      </c>
      <c r="D81" s="9" t="n">
        <v>38440</v>
      </c>
      <c r="E81" s="9" t="n">
        <v>35094.50000000001</v>
      </c>
      <c r="F81" s="9" t="n">
        <v>35084.8</v>
      </c>
      <c r="G81" s="9" t="n">
        <v>9.700000000004366</v>
      </c>
      <c r="H81" s="9" t="n">
        <v>101113.4</v>
      </c>
      <c r="I81" s="9" t="inlineStr">
        <is>
          <t>122 70mt</t>
        </is>
      </c>
      <c r="L81" s="10" t="n">
        <v>46087</v>
      </c>
      <c r="N81" s="9" t="n">
        <v>14350</v>
      </c>
      <c r="O81" s="9" t="n">
        <v>14349.4</v>
      </c>
      <c r="P81" s="9" t="n">
        <v>0.6000000000003638</v>
      </c>
      <c r="Q81" s="9" t="n">
        <v>6483.200000000035</v>
      </c>
      <c r="U81" s="10" t="n">
        <v>46087</v>
      </c>
      <c r="V81" s="9" t="n">
        <v>30060</v>
      </c>
      <c r="W81" s="9" t="n">
        <v>5844.999999999999</v>
      </c>
      <c r="X81" s="9" t="n">
        <v>5847.1</v>
      </c>
      <c r="Y81" s="9" t="n">
        <v>-2.100000000001273</v>
      </c>
      <c r="Z81" s="9" t="n">
        <v>48530.39999999998</v>
      </c>
      <c r="AD81" s="10" t="n">
        <v>46087</v>
      </c>
      <c r="AF81" s="9" t="n">
        <v>910.0000000000001</v>
      </c>
      <c r="AG81" s="9" t="n">
        <v>911.6</v>
      </c>
      <c r="AH81" s="9" t="n">
        <v>-1.599999999999909</v>
      </c>
      <c r="AI81" s="9" t="n">
        <v>28963.30000000002</v>
      </c>
      <c r="AM81" s="10" t="n">
        <v>46087</v>
      </c>
      <c r="AO81" s="9" t="n">
        <v>0</v>
      </c>
      <c r="AQ81" s="9" t="n">
        <v>0</v>
      </c>
      <c r="AR81" s="9" t="n">
        <v>0</v>
      </c>
      <c r="AV81" s="10" t="n">
        <v>46087</v>
      </c>
      <c r="AX81" s="9" t="n">
        <v>0</v>
      </c>
      <c r="AZ81" s="9" t="n">
        <v>0</v>
      </c>
      <c r="BA81" s="9" t="n">
        <v>47481.29999999999</v>
      </c>
      <c r="BE81" s="10" t="n">
        <v>46087</v>
      </c>
      <c r="BG81" s="9" t="n">
        <v>2940</v>
      </c>
      <c r="BH81" s="9" t="n">
        <v>2940.9</v>
      </c>
      <c r="BI81" s="9" t="n">
        <v>-0.9000000000000909</v>
      </c>
      <c r="BJ81" s="9" t="n">
        <v>8209.000000000004</v>
      </c>
      <c r="BN81" s="10" t="n">
        <v>46087</v>
      </c>
      <c r="BO81" s="9" t="n">
        <v>1399.9</v>
      </c>
      <c r="BP81" s="9" t="n">
        <v>1400</v>
      </c>
      <c r="BQ81" s="9" t="n">
        <v>1399.9</v>
      </c>
      <c r="BR81" s="9" t="n">
        <v>0.09999999999990905</v>
      </c>
      <c r="BS81" s="9" t="n">
        <v>0</v>
      </c>
      <c r="BW81" s="10" t="n">
        <v>46087</v>
      </c>
      <c r="BY81" s="9" t="n">
        <v>465.5</v>
      </c>
      <c r="CA81" s="9" t="n">
        <v>465.5</v>
      </c>
      <c r="CB81" s="9" t="n">
        <v>8008</v>
      </c>
      <c r="CF81" s="10" t="n">
        <v>46087</v>
      </c>
      <c r="CH81" s="9" t="n">
        <v>700</v>
      </c>
      <c r="CJ81" s="9" t="n">
        <v>700</v>
      </c>
      <c r="CK81" s="9" t="n">
        <v>0</v>
      </c>
      <c r="CO81" s="10" t="n">
        <v>46087</v>
      </c>
      <c r="CQ81" s="9" t="n">
        <v>0</v>
      </c>
      <c r="CS81" s="9" t="n">
        <v>0</v>
      </c>
      <c r="CT81" s="9" t="n">
        <v>0</v>
      </c>
      <c r="CX81" s="10" t="n">
        <v>46087</v>
      </c>
      <c r="CZ81" s="9" t="n">
        <v>3500</v>
      </c>
      <c r="DA81" s="9" t="n">
        <v>3502.6</v>
      </c>
      <c r="DB81" s="9" t="n">
        <v>-2.599999999999909</v>
      </c>
      <c r="DC81" s="9" t="n">
        <v>37556.7</v>
      </c>
      <c r="DG81" s="10" t="n">
        <v>46087</v>
      </c>
      <c r="DI81" s="9" t="n">
        <v>2800</v>
      </c>
      <c r="DJ81" s="9" t="n">
        <v>2799.8</v>
      </c>
      <c r="DK81" s="9" t="n">
        <v>0.1999999999998181</v>
      </c>
      <c r="DL81" s="9" t="n">
        <v>709.7999999999956</v>
      </c>
      <c r="DP81" s="10" t="n">
        <v>46087</v>
      </c>
      <c r="DQ81" s="9" t="n">
        <v>4850</v>
      </c>
      <c r="DR81" s="9" t="n">
        <v>0</v>
      </c>
      <c r="DT81" s="9" t="n">
        <v>0</v>
      </c>
      <c r="DU81" s="9" t="n">
        <v>7150</v>
      </c>
      <c r="DY81" s="10" t="n">
        <v>46087</v>
      </c>
      <c r="EA81" s="9" t="n">
        <v>0</v>
      </c>
      <c r="EC81" s="9" t="n">
        <v>0</v>
      </c>
      <c r="ED81" s="9" t="n">
        <v>5696.8</v>
      </c>
      <c r="EH81" s="10" t="n">
        <v>46087</v>
      </c>
      <c r="EJ81" s="9" t="n">
        <v>0</v>
      </c>
      <c r="EL81" s="9" t="n">
        <v>0</v>
      </c>
      <c r="EM81" s="9" t="n">
        <v>0</v>
      </c>
      <c r="EQ81" s="10" t="n">
        <v>46087</v>
      </c>
      <c r="ES81" s="9" t="n">
        <v>0</v>
      </c>
      <c r="EU81" s="9" t="n">
        <v>0</v>
      </c>
      <c r="EV81" s="9" t="n">
        <v>0</v>
      </c>
      <c r="EZ81" s="10" t="n">
        <v>46087</v>
      </c>
      <c r="FB81" s="9" t="n">
        <v>0</v>
      </c>
      <c r="FD81" s="9" t="n">
        <v>0</v>
      </c>
      <c r="FE81" s="9" t="n">
        <v>0</v>
      </c>
      <c r="FI81" s="10" t="n">
        <v>46087</v>
      </c>
      <c r="FK81" s="9" t="n">
        <v>0</v>
      </c>
      <c r="FM81" s="9" t="n">
        <v>0</v>
      </c>
      <c r="FN81" s="9" t="n">
        <v>0</v>
      </c>
      <c r="FR81" s="10" t="n">
        <v>46087</v>
      </c>
      <c r="FT81" s="9" t="n">
        <v>0</v>
      </c>
      <c r="FV81" s="9" t="n">
        <v>0</v>
      </c>
      <c r="FW81" s="9" t="n">
        <v>300</v>
      </c>
      <c r="GA81" s="10" t="n">
        <v>46087</v>
      </c>
      <c r="GC81" s="9" t="n">
        <v>0</v>
      </c>
      <c r="GE81" s="9" t="n">
        <v>0</v>
      </c>
      <c r="GF81" s="9" t="n">
        <v>5960</v>
      </c>
      <c r="GJ81" s="10" t="n">
        <v>46087</v>
      </c>
      <c r="GL81" s="9" t="n">
        <v>0</v>
      </c>
      <c r="GN81" s="9" t="n">
        <v>0</v>
      </c>
      <c r="GO81" s="9" t="n">
        <v>5240</v>
      </c>
      <c r="GS81" s="10" t="n">
        <v>46087</v>
      </c>
      <c r="GU81" s="9" t="n">
        <v>0</v>
      </c>
      <c r="GW81" s="9" t="n">
        <v>0</v>
      </c>
      <c r="GX81" s="9" t="n">
        <v>0</v>
      </c>
      <c r="HB81" s="10" t="n">
        <v>46087</v>
      </c>
      <c r="HD81" s="9" t="n">
        <v>0</v>
      </c>
      <c r="HF81" s="9" t="n">
        <v>0</v>
      </c>
      <c r="HG81" s="9" t="n">
        <v>0</v>
      </c>
      <c r="HK81" s="10" t="n">
        <v>46087</v>
      </c>
      <c r="HM81" s="9" t="n">
        <v>0</v>
      </c>
      <c r="HO81" s="9" t="n">
        <v>0</v>
      </c>
      <c r="HP81" s="9" t="n">
        <v>0</v>
      </c>
      <c r="HU81" s="10" t="n">
        <v>46087</v>
      </c>
      <c r="HW81" s="9" t="n">
        <v>0</v>
      </c>
      <c r="HY81" s="9" t="n">
        <v>0</v>
      </c>
      <c r="HZ81" s="9" t="n">
        <v>5120</v>
      </c>
      <c r="ID81" s="10" t="n">
        <v>46087</v>
      </c>
      <c r="IE81" s="9" t="n">
        <v>1440</v>
      </c>
      <c r="IF81" s="9" t="n">
        <v>0</v>
      </c>
      <c r="IH81" s="9" t="n">
        <v>0</v>
      </c>
      <c r="II81" s="9" t="n">
        <v>6540</v>
      </c>
      <c r="IM81" s="10" t="n">
        <v>46087</v>
      </c>
      <c r="IN81" s="9" t="n">
        <v>1300</v>
      </c>
      <c r="IO81" s="9" t="n">
        <v>0</v>
      </c>
      <c r="IQ81" s="9" t="n">
        <v>0</v>
      </c>
      <c r="IR81" s="9" t="n">
        <v>11540</v>
      </c>
      <c r="IV81" s="10" t="n">
        <v>46087</v>
      </c>
      <c r="IX81" s="9" t="n">
        <v>0</v>
      </c>
      <c r="IZ81" s="9" t="n">
        <v>0</v>
      </c>
      <c r="JA81" s="9" t="n">
        <v>15120</v>
      </c>
      <c r="JE81" s="10" t="n">
        <v>46087</v>
      </c>
      <c r="JF81" s="9" t="n">
        <v>1720</v>
      </c>
      <c r="JG81" s="9" t="n">
        <v>0</v>
      </c>
      <c r="JI81" s="9" t="n">
        <v>0</v>
      </c>
      <c r="JJ81" s="9" t="n">
        <v>5040</v>
      </c>
      <c r="JN81" s="10" t="n">
        <v>46087</v>
      </c>
      <c r="JO81" s="9" t="n">
        <v>3700</v>
      </c>
      <c r="JP81" s="9" t="n">
        <v>0</v>
      </c>
      <c r="JR81" s="9" t="n">
        <v>0</v>
      </c>
      <c r="JS81" s="9" t="n">
        <v>9100</v>
      </c>
      <c r="JW81" s="10" t="n">
        <v>46087</v>
      </c>
      <c r="JX81" s="9" t="n">
        <v>1140</v>
      </c>
      <c r="JY81" s="9" t="n">
        <v>0</v>
      </c>
      <c r="KA81" s="9" t="n">
        <v>0</v>
      </c>
      <c r="KB81" s="9" t="n">
        <v>5140</v>
      </c>
      <c r="KF81" s="10" t="n">
        <v>46087</v>
      </c>
      <c r="KG81" s="9" t="n">
        <v>1852.5</v>
      </c>
      <c r="KH81" s="9" t="n">
        <v>1365</v>
      </c>
      <c r="KJ81" s="9" t="n">
        <v>1365</v>
      </c>
      <c r="KK81" s="9" t="n">
        <v>5284.5</v>
      </c>
      <c r="KO81" s="10" t="n">
        <v>46087</v>
      </c>
      <c r="KP81" s="9" t="n">
        <v>907.1999999999999</v>
      </c>
      <c r="KQ81" s="9" t="n">
        <v>0</v>
      </c>
      <c r="KS81" s="9" t="n">
        <v>0</v>
      </c>
      <c r="KT81" s="9" t="n">
        <v>7446.6</v>
      </c>
      <c r="KX81" s="10" t="n">
        <v>46087</v>
      </c>
      <c r="KZ81" s="9" t="n">
        <v>0</v>
      </c>
      <c r="LB81" s="9" t="n">
        <v>0</v>
      </c>
      <c r="LC81" s="9" t="n">
        <v>0</v>
      </c>
      <c r="LG81" s="10" t="n">
        <v>46087</v>
      </c>
      <c r="LI81" s="9" t="n">
        <v>0</v>
      </c>
      <c r="LK81" s="9" t="n">
        <v>0</v>
      </c>
      <c r="LL81" s="9" t="n">
        <v>0</v>
      </c>
      <c r="LP81" s="10" t="n">
        <v>46087</v>
      </c>
      <c r="LR81" s="9" t="n">
        <v>0</v>
      </c>
      <c r="LT81" s="9" t="n">
        <v>0</v>
      </c>
      <c r="LU81" s="9" t="n">
        <v>0</v>
      </c>
      <c r="LY81" s="10" t="n">
        <v>46087</v>
      </c>
      <c r="MA81" s="9" t="n">
        <v>0</v>
      </c>
      <c r="MC81" s="9" t="n">
        <v>0</v>
      </c>
      <c r="MD81" s="9" t="n">
        <v>0</v>
      </c>
      <c r="MH81" s="10" t="n">
        <v>46087</v>
      </c>
      <c r="MJ81" s="9" t="n">
        <v>0</v>
      </c>
      <c r="ML81" s="9" t="n">
        <v>0</v>
      </c>
      <c r="MM81" s="9" t="n">
        <v>0</v>
      </c>
      <c r="MQ81" s="10" t="n">
        <v>46087</v>
      </c>
      <c r="MS81" s="9" t="n">
        <v>140</v>
      </c>
      <c r="MU81" s="9" t="n">
        <v>140</v>
      </c>
      <c r="MV81" s="9" t="n">
        <v>4123</v>
      </c>
      <c r="MZ81" s="10" t="n">
        <v>46087</v>
      </c>
      <c r="NB81" s="9" t="n">
        <v>210</v>
      </c>
      <c r="ND81" s="9" t="n">
        <v>210</v>
      </c>
      <c r="NE81" s="9" t="n">
        <v>0</v>
      </c>
      <c r="NI81" s="10" t="n">
        <v>46087</v>
      </c>
      <c r="NK81" s="9" t="n">
        <v>0</v>
      </c>
      <c r="NM81" s="9" t="n">
        <v>0</v>
      </c>
      <c r="NN81" s="9" t="n">
        <v>0</v>
      </c>
      <c r="NR81" s="10" t="n">
        <v>46087</v>
      </c>
      <c r="NT81" s="9" t="n">
        <v>84</v>
      </c>
      <c r="NV81" s="9" t="n">
        <v>84</v>
      </c>
      <c r="NW81" s="9" t="n">
        <v>1947.7</v>
      </c>
      <c r="OA81" s="10" t="n">
        <v>46087</v>
      </c>
      <c r="OC81" s="9" t="n">
        <v>0</v>
      </c>
      <c r="OE81" s="9" t="n">
        <v>0</v>
      </c>
      <c r="OF81" s="9" t="n">
        <v>1680.5</v>
      </c>
      <c r="OJ81" s="10" t="n">
        <v>46087</v>
      </c>
      <c r="OL81" s="9" t="n">
        <v>195.9999999999999</v>
      </c>
      <c r="ON81" s="9" t="n">
        <v>195.9999999999999</v>
      </c>
      <c r="OO81" s="9" t="n">
        <v>0</v>
      </c>
      <c r="OS81" s="10" t="n">
        <v>46087</v>
      </c>
      <c r="OU81" s="9" t="n">
        <v>0</v>
      </c>
      <c r="OW81" s="9" t="n">
        <v>0</v>
      </c>
      <c r="OX81" s="9" t="n">
        <v>0</v>
      </c>
      <c r="PB81" s="10" t="n">
        <v>46087</v>
      </c>
      <c r="PD81" s="9" t="n">
        <v>0</v>
      </c>
      <c r="PF81" s="9" t="n">
        <v>0</v>
      </c>
      <c r="PG81" s="9" t="n">
        <v>0</v>
      </c>
      <c r="PK81" s="10" t="n">
        <v>46087</v>
      </c>
      <c r="PM81" s="9" t="n">
        <v>0</v>
      </c>
      <c r="PO81" s="9" t="n">
        <v>0</v>
      </c>
      <c r="PP81" s="9" t="n">
        <v>100</v>
      </c>
      <c r="PT81" s="10" t="n">
        <v>46087</v>
      </c>
      <c r="PV81" s="9" t="n">
        <v>0</v>
      </c>
      <c r="PX81" s="9" t="n">
        <v>0</v>
      </c>
      <c r="PY81" s="9" t="n">
        <v>13.96000000000004</v>
      </c>
      <c r="QC81" s="10" t="n">
        <v>46087</v>
      </c>
      <c r="QE81" s="9" t="n">
        <v>0</v>
      </c>
      <c r="QG81" s="9" t="n">
        <v>0</v>
      </c>
      <c r="QH81" s="9" t="n">
        <v>1212</v>
      </c>
      <c r="QL81" s="10" t="n">
        <v>46087</v>
      </c>
      <c r="QN81" s="9" t="n">
        <v>0</v>
      </c>
      <c r="QP81" s="9" t="n">
        <v>0</v>
      </c>
      <c r="QQ81" s="9" t="n">
        <v>0</v>
      </c>
      <c r="QU81" s="10" t="n">
        <v>46087</v>
      </c>
      <c r="QW81" s="9" t="n">
        <v>0</v>
      </c>
      <c r="QY81" s="9" t="n">
        <v>0</v>
      </c>
      <c r="QZ81" s="9" t="n">
        <v>207.6</v>
      </c>
      <c r="RD81" s="10" t="n">
        <v>46087</v>
      </c>
      <c r="RF81" s="9" t="n">
        <v>0</v>
      </c>
      <c r="RH81" s="9" t="n">
        <v>0</v>
      </c>
      <c r="RI81" s="9" t="n">
        <v>197.04</v>
      </c>
      <c r="RM81" s="10" t="n">
        <v>46087</v>
      </c>
      <c r="RO81" s="9" t="n">
        <v>0</v>
      </c>
      <c r="RQ81" s="9" t="n">
        <v>0</v>
      </c>
      <c r="RR81" s="9" t="n">
        <v>46.8</v>
      </c>
      <c r="RV81" s="10" t="n">
        <v>46087</v>
      </c>
      <c r="RX81" s="9" t="n">
        <v>0</v>
      </c>
      <c r="RZ81" s="9" t="n">
        <v>0</v>
      </c>
      <c r="SA81" s="9" t="n">
        <v>0</v>
      </c>
      <c r="SE81" s="10" t="n">
        <v>46087</v>
      </c>
      <c r="SG81" s="9" t="n">
        <v>0</v>
      </c>
      <c r="SI81" s="9" t="n">
        <v>0</v>
      </c>
      <c r="SJ81" s="9" t="n">
        <v>0</v>
      </c>
      <c r="SN81" s="10" t="n">
        <v>46087</v>
      </c>
      <c r="SP81" s="9" t="n">
        <v>0</v>
      </c>
      <c r="SR81" s="9" t="n">
        <v>0</v>
      </c>
      <c r="SS81" s="9" t="n">
        <v>0</v>
      </c>
      <c r="SW81" s="10" t="n">
        <v>46087</v>
      </c>
      <c r="SY81" s="9" t="n">
        <v>0</v>
      </c>
      <c r="TA81" s="9" t="n">
        <v>0</v>
      </c>
      <c r="TB81" s="9" t="n">
        <v>0</v>
      </c>
      <c r="TF81" s="10" t="n">
        <v>46087</v>
      </c>
      <c r="TH81" s="9" t="n">
        <v>0</v>
      </c>
      <c r="TJ81" s="9" t="n">
        <v>0</v>
      </c>
      <c r="TK81" s="9" t="n">
        <v>0</v>
      </c>
      <c r="TO81" s="10" t="n">
        <v>46087</v>
      </c>
      <c r="TQ81" s="9" t="n">
        <v>0</v>
      </c>
      <c r="TS81" s="9" t="n">
        <v>0</v>
      </c>
      <c r="TT81" s="9" t="n">
        <v>0</v>
      </c>
      <c r="TX81" s="10" t="n">
        <v>46087</v>
      </c>
      <c r="TZ81" s="9" t="n">
        <v>0</v>
      </c>
      <c r="UB81" s="9" t="n">
        <v>0</v>
      </c>
      <c r="UC81" s="9" t="n">
        <v>0</v>
      </c>
      <c r="UG81" s="10" t="n">
        <v>46087</v>
      </c>
      <c r="UI81" s="9" t="n">
        <v>0</v>
      </c>
      <c r="UK81" s="9" t="n">
        <v>0</v>
      </c>
      <c r="UL81" s="9" t="n">
        <v>0</v>
      </c>
      <c r="UP81" s="10" t="n">
        <v>46087</v>
      </c>
      <c r="UR81" s="9" t="n">
        <v>0</v>
      </c>
      <c r="UT81" s="9" t="n">
        <v>0</v>
      </c>
      <c r="UU81" s="9" t="n">
        <v>0</v>
      </c>
      <c r="UY81" s="10" t="n">
        <v>46087</v>
      </c>
      <c r="VA81" s="9" t="n">
        <v>0</v>
      </c>
      <c r="VC81" s="9" t="n">
        <v>0</v>
      </c>
      <c r="VD81" s="9" t="n">
        <v>41.60000000000002</v>
      </c>
      <c r="VH81" s="10" t="n">
        <v>46087</v>
      </c>
      <c r="VJ81" s="9" t="n">
        <v>0</v>
      </c>
      <c r="VL81" s="9" t="n">
        <v>0</v>
      </c>
      <c r="VM81" s="9" t="n">
        <v>0</v>
      </c>
      <c r="VQ81" s="10" t="n">
        <v>46087</v>
      </c>
      <c r="VS81" s="9" t="n">
        <v>0</v>
      </c>
      <c r="VU81" s="9" t="n">
        <v>0</v>
      </c>
      <c r="VV81" s="9" t="n">
        <v>0</v>
      </c>
      <c r="VZ81" s="10" t="n">
        <v>46087</v>
      </c>
      <c r="WB81" s="9" t="n">
        <v>0</v>
      </c>
      <c r="WD81" s="9" t="n">
        <v>0</v>
      </c>
      <c r="WE81" s="9" t="n">
        <v>0</v>
      </c>
      <c r="WI81" s="10" t="n">
        <v>46087</v>
      </c>
      <c r="WK81" s="9" t="n">
        <v>0</v>
      </c>
      <c r="WM81" s="9" t="n">
        <v>0</v>
      </c>
      <c r="WN81" s="9" t="n">
        <v>6303</v>
      </c>
      <c r="WR81" s="10" t="n">
        <v>46087</v>
      </c>
      <c r="WT81" s="9" t="n">
        <v>0</v>
      </c>
      <c r="WV81" s="9" t="n">
        <v>0</v>
      </c>
      <c r="WW81" s="9" t="n">
        <v>6559</v>
      </c>
      <c r="XA81" s="10" t="n">
        <v>46087</v>
      </c>
      <c r="XC81" s="9" t="n">
        <v>0</v>
      </c>
      <c r="XE81" s="9" t="n">
        <v>0</v>
      </c>
      <c r="XF81" s="9" t="n">
        <v>590</v>
      </c>
      <c r="XJ81" s="10" t="n">
        <v>46087</v>
      </c>
      <c r="XL81" s="9" t="n">
        <v>0</v>
      </c>
      <c r="XN81" s="9" t="n">
        <v>0</v>
      </c>
      <c r="XO81" s="9" t="n">
        <v>2124</v>
      </c>
      <c r="XS81" s="10" t="n">
        <v>46087</v>
      </c>
      <c r="XU81" s="9" t="n">
        <v>0</v>
      </c>
      <c r="XW81" s="9" t="n">
        <v>0</v>
      </c>
      <c r="XX81" s="9" t="n">
        <v>1901</v>
      </c>
      <c r="YB81" s="10" t="n">
        <v>46087</v>
      </c>
      <c r="YD81" s="9" t="n">
        <v>0</v>
      </c>
      <c r="YF81" s="9" t="n">
        <v>0</v>
      </c>
      <c r="YG81" s="9" t="n">
        <v>0</v>
      </c>
      <c r="YK81" s="10" t="n">
        <v>46087</v>
      </c>
      <c r="YM81" s="9" t="n">
        <v>0</v>
      </c>
      <c r="YO81" s="9" t="n">
        <v>0</v>
      </c>
      <c r="YP81" s="9" t="n">
        <v>0</v>
      </c>
      <c r="YT81" s="10" t="n">
        <v>46087</v>
      </c>
      <c r="YV81" s="9" t="n">
        <v>0</v>
      </c>
      <c r="YX81" s="9" t="n">
        <v>0</v>
      </c>
      <c r="YY81" s="9" t="n">
        <v>0</v>
      </c>
      <c r="ZC81" s="10" t="n">
        <v>46087</v>
      </c>
      <c r="ZE81" s="9" t="n">
        <v>0</v>
      </c>
      <c r="ZG81" s="9" t="n">
        <v>0</v>
      </c>
      <c r="ZH81" s="9" t="n">
        <v>0</v>
      </c>
      <c r="ZL81" s="10" t="n">
        <v>46087</v>
      </c>
      <c r="ZN81" s="9" t="n">
        <v>0</v>
      </c>
      <c r="ZP81" s="9" t="n">
        <v>0</v>
      </c>
      <c r="ZQ81" s="9" t="n">
        <v>0</v>
      </c>
      <c r="ZU81" s="10" t="n">
        <v>46087</v>
      </c>
      <c r="ZW81" s="9" t="n">
        <v>0</v>
      </c>
      <c r="ZY81" s="9" t="n">
        <v>0</v>
      </c>
      <c r="ZZ81" s="9" t="n">
        <v>0</v>
      </c>
      <c r="AAD81" s="10" t="n">
        <v>46087</v>
      </c>
      <c r="AAF81" s="9" t="n">
        <v>0</v>
      </c>
      <c r="AAH81" s="9" t="n">
        <v>0</v>
      </c>
      <c r="AAI81" s="9" t="n">
        <v>0</v>
      </c>
      <c r="AAM81" s="10" t="n">
        <v>46087</v>
      </c>
      <c r="AAO81" s="9" t="n">
        <v>0</v>
      </c>
      <c r="AAQ81" s="9" t="n">
        <v>0</v>
      </c>
      <c r="AAR81" s="9" t="n">
        <v>0</v>
      </c>
      <c r="AAV81" s="10" t="n">
        <v>46087</v>
      </c>
      <c r="AAX81" s="9" t="n">
        <v>0</v>
      </c>
      <c r="AAZ81" s="9" t="n">
        <v>0</v>
      </c>
      <c r="ABA81" s="9" t="n">
        <v>0</v>
      </c>
      <c r="ABE81" s="10" t="n">
        <v>46087</v>
      </c>
      <c r="ABG81" s="9" t="n">
        <v>0</v>
      </c>
      <c r="ABI81" s="9" t="n">
        <v>0</v>
      </c>
      <c r="ABJ81" s="9" t="n">
        <v>0</v>
      </c>
    </row>
    <row r="82">
      <c r="B82" s="9" t="n">
        <v>64</v>
      </c>
      <c r="C82" s="10" t="n">
        <v>46088</v>
      </c>
      <c r="D82" s="9" t="n">
        <v>13600</v>
      </c>
      <c r="E82" s="9" t="n">
        <v>35615.4</v>
      </c>
      <c r="F82" s="9" t="n">
        <v>35622.4</v>
      </c>
      <c r="G82" s="9" t="n">
        <v>-7</v>
      </c>
      <c r="H82" s="9" t="n">
        <v>79091</v>
      </c>
      <c r="I82" s="9" t="inlineStr">
        <is>
          <t>122 4mt, 123 16mt, 1101 14mt, 1102 30mt</t>
        </is>
      </c>
      <c r="L82" s="10" t="n">
        <v>46088</v>
      </c>
      <c r="M82" s="9" t="n">
        <v>24680</v>
      </c>
      <c r="N82" s="9" t="n">
        <v>15751.5</v>
      </c>
      <c r="O82" s="9" t="n">
        <v>15752.8</v>
      </c>
      <c r="P82" s="9" t="n">
        <v>-1.299999999999272</v>
      </c>
      <c r="Q82" s="9" t="n">
        <v>15410.40000000003</v>
      </c>
      <c r="U82" s="10" t="n">
        <v>46088</v>
      </c>
      <c r="W82" s="9" t="n">
        <v>2794</v>
      </c>
      <c r="X82" s="9" t="n">
        <v>2794.4</v>
      </c>
      <c r="Y82" s="9" t="n">
        <v>-0.4000000000000909</v>
      </c>
      <c r="Z82" s="9" t="n">
        <v>45735.99999999998</v>
      </c>
      <c r="AD82" s="10" t="n">
        <v>46088</v>
      </c>
      <c r="AF82" s="9" t="n">
        <v>2444</v>
      </c>
      <c r="AG82" s="9" t="n">
        <v>2445.5</v>
      </c>
      <c r="AH82" s="9" t="n">
        <v>-1.5</v>
      </c>
      <c r="AI82" s="9" t="n">
        <v>26517.80000000002</v>
      </c>
      <c r="AM82" s="10" t="n">
        <v>46088</v>
      </c>
      <c r="AO82" s="9" t="n">
        <v>0</v>
      </c>
      <c r="AQ82" s="9" t="n">
        <v>0</v>
      </c>
      <c r="AR82" s="9" t="n">
        <v>0</v>
      </c>
      <c r="AV82" s="10" t="n">
        <v>46088</v>
      </c>
      <c r="AX82" s="9" t="n">
        <v>580</v>
      </c>
      <c r="AY82" s="9" t="n">
        <v>580.1</v>
      </c>
      <c r="AZ82" s="9" t="n">
        <v>-0.1000000000000227</v>
      </c>
      <c r="BA82" s="9" t="n">
        <v>46901.19999999999</v>
      </c>
      <c r="BE82" s="10" t="n">
        <v>46088</v>
      </c>
      <c r="BG82" s="9" t="n">
        <v>1638</v>
      </c>
      <c r="BH82" s="9" t="n">
        <v>1639.4</v>
      </c>
      <c r="BI82" s="9" t="n">
        <v>-1.400000000000091</v>
      </c>
      <c r="BJ82" s="9" t="n">
        <v>6569.600000000004</v>
      </c>
      <c r="BN82" s="10" t="n">
        <v>46088</v>
      </c>
      <c r="BO82" s="9" t="n">
        <v>1421.9</v>
      </c>
      <c r="BP82" s="9" t="n">
        <v>1422</v>
      </c>
      <c r="BQ82" s="9" t="n">
        <v>1421.9</v>
      </c>
      <c r="BR82" s="9" t="n">
        <v>0.09999999999990905</v>
      </c>
      <c r="BS82" s="9" t="n">
        <v>0</v>
      </c>
      <c r="BW82" s="10" t="n">
        <v>46088</v>
      </c>
      <c r="BY82" s="9" t="n">
        <v>146.1</v>
      </c>
      <c r="BZ82" s="9" t="n">
        <v>3178.2</v>
      </c>
      <c r="CA82" s="9" t="n">
        <v>-3032.1</v>
      </c>
      <c r="CB82" s="9" t="n">
        <v>4829.8</v>
      </c>
      <c r="CC82" s="9" t="n">
        <v>3178.7</v>
      </c>
      <c r="CD82" s="9" t="n">
        <v>0.5</v>
      </c>
      <c r="CF82" s="10" t="n">
        <v>46088</v>
      </c>
      <c r="CH82" s="9" t="n">
        <v>346.6</v>
      </c>
      <c r="CJ82" s="9" t="n">
        <v>346.6</v>
      </c>
      <c r="CK82" s="9" t="n">
        <v>0</v>
      </c>
      <c r="CO82" s="10" t="n">
        <v>46088</v>
      </c>
      <c r="CQ82" s="9" t="n">
        <v>0</v>
      </c>
      <c r="CS82" s="9" t="n">
        <v>0</v>
      </c>
      <c r="CT82" s="9" t="n">
        <v>0</v>
      </c>
      <c r="CX82" s="10" t="n">
        <v>46088</v>
      </c>
      <c r="CZ82" s="9" t="n">
        <v>1000</v>
      </c>
      <c r="DA82" s="9" t="n">
        <v>999.4</v>
      </c>
      <c r="DB82" s="9" t="n">
        <v>0.6000000000000227</v>
      </c>
      <c r="DC82" s="9" t="n">
        <v>36557.3</v>
      </c>
      <c r="DG82" s="10" t="n">
        <v>46088</v>
      </c>
      <c r="DI82" s="9" t="n">
        <v>800</v>
      </c>
      <c r="DJ82" s="9" t="n">
        <v>802.4</v>
      </c>
      <c r="DK82" s="9" t="n">
        <v>-2.399999999999977</v>
      </c>
      <c r="DL82" s="9" t="n">
        <v>-92.60000000000434</v>
      </c>
      <c r="DP82" s="10" t="n">
        <v>46088</v>
      </c>
      <c r="DR82" s="9" t="n">
        <v>0</v>
      </c>
      <c r="DT82" s="9" t="n">
        <v>0</v>
      </c>
      <c r="DU82" s="9" t="n">
        <v>7150</v>
      </c>
      <c r="DY82" s="10" t="n">
        <v>46088</v>
      </c>
      <c r="EA82" s="9" t="n">
        <v>0</v>
      </c>
      <c r="EC82" s="9" t="n">
        <v>0</v>
      </c>
      <c r="ED82" s="9" t="n">
        <v>5696.8</v>
      </c>
      <c r="EH82" s="10" t="n">
        <v>46088</v>
      </c>
      <c r="EJ82" s="9" t="n">
        <v>0</v>
      </c>
      <c r="EL82" s="9" t="n">
        <v>0</v>
      </c>
      <c r="EM82" s="9" t="n">
        <v>0</v>
      </c>
      <c r="EQ82" s="10" t="n">
        <v>46088</v>
      </c>
      <c r="ES82" s="9" t="n">
        <v>0</v>
      </c>
      <c r="EU82" s="9" t="n">
        <v>0</v>
      </c>
      <c r="EV82" s="9" t="n">
        <v>0</v>
      </c>
      <c r="EZ82" s="10" t="n">
        <v>46088</v>
      </c>
      <c r="FB82" s="9" t="n">
        <v>0</v>
      </c>
      <c r="FD82" s="9" t="n">
        <v>0</v>
      </c>
      <c r="FE82" s="9" t="n">
        <v>0</v>
      </c>
      <c r="FI82" s="10" t="n">
        <v>46088</v>
      </c>
      <c r="FK82" s="9" t="n">
        <v>0</v>
      </c>
      <c r="FM82" s="9" t="n">
        <v>0</v>
      </c>
      <c r="FN82" s="9" t="n">
        <v>0</v>
      </c>
      <c r="FR82" s="10" t="n">
        <v>46088</v>
      </c>
      <c r="FT82" s="9" t="n">
        <v>280</v>
      </c>
      <c r="FU82" s="9" t="n">
        <v>280</v>
      </c>
      <c r="FV82" s="9" t="n">
        <v>0</v>
      </c>
      <c r="FW82" s="9" t="n">
        <v>20</v>
      </c>
      <c r="GA82" s="10" t="n">
        <v>46088</v>
      </c>
      <c r="GC82" s="9" t="n">
        <v>600</v>
      </c>
      <c r="GD82" s="9" t="n">
        <v>400</v>
      </c>
      <c r="GE82" s="9" t="n">
        <v>200</v>
      </c>
      <c r="GF82" s="9" t="n">
        <v>5560</v>
      </c>
      <c r="GJ82" s="10" t="n">
        <v>46088</v>
      </c>
      <c r="GL82" s="9" t="n">
        <v>0</v>
      </c>
      <c r="GN82" s="9" t="n">
        <v>0</v>
      </c>
      <c r="GO82" s="9" t="n">
        <v>5240</v>
      </c>
      <c r="GS82" s="10" t="n">
        <v>46088</v>
      </c>
      <c r="GU82" s="9" t="n">
        <v>0</v>
      </c>
      <c r="GW82" s="9" t="n">
        <v>0</v>
      </c>
      <c r="GX82" s="9" t="n">
        <v>0</v>
      </c>
      <c r="HB82" s="10" t="n">
        <v>46088</v>
      </c>
      <c r="HD82" s="9" t="n">
        <v>0</v>
      </c>
      <c r="HF82" s="9" t="n">
        <v>0</v>
      </c>
      <c r="HG82" s="9" t="n">
        <v>0</v>
      </c>
      <c r="HK82" s="10" t="n">
        <v>46088</v>
      </c>
      <c r="HM82" s="9" t="n">
        <v>0</v>
      </c>
      <c r="HO82" s="9" t="n">
        <v>0</v>
      </c>
      <c r="HP82" s="9" t="n">
        <v>0</v>
      </c>
      <c r="HU82" s="10" t="n">
        <v>46088</v>
      </c>
      <c r="HW82" s="9" t="n">
        <v>0</v>
      </c>
      <c r="HY82" s="9" t="n">
        <v>0</v>
      </c>
      <c r="HZ82" s="9" t="n">
        <v>5120</v>
      </c>
      <c r="ID82" s="10" t="n">
        <v>46088</v>
      </c>
      <c r="IF82" s="9" t="n">
        <v>0</v>
      </c>
      <c r="IH82" s="9" t="n">
        <v>0</v>
      </c>
      <c r="II82" s="9" t="n">
        <v>6540</v>
      </c>
      <c r="IM82" s="10" t="n">
        <v>46088</v>
      </c>
      <c r="IO82" s="9" t="n">
        <v>0</v>
      </c>
      <c r="IQ82" s="9" t="n">
        <v>0</v>
      </c>
      <c r="IR82" s="9" t="n">
        <v>11540</v>
      </c>
      <c r="IV82" s="10" t="n">
        <v>46088</v>
      </c>
      <c r="IX82" s="9" t="n">
        <v>0</v>
      </c>
      <c r="IZ82" s="9" t="n">
        <v>0</v>
      </c>
      <c r="JA82" s="9" t="n">
        <v>15120</v>
      </c>
      <c r="JE82" s="10" t="n">
        <v>46088</v>
      </c>
      <c r="JG82" s="9" t="n">
        <v>0</v>
      </c>
      <c r="JI82" s="9" t="n">
        <v>0</v>
      </c>
      <c r="JJ82" s="9" t="n">
        <v>5040</v>
      </c>
      <c r="JN82" s="10" t="n">
        <v>46088</v>
      </c>
      <c r="JP82" s="9" t="n">
        <v>0</v>
      </c>
      <c r="JR82" s="9" t="n">
        <v>0</v>
      </c>
      <c r="JS82" s="9" t="n">
        <v>9100</v>
      </c>
      <c r="JW82" s="10" t="n">
        <v>46088</v>
      </c>
      <c r="JY82" s="9" t="n">
        <v>0</v>
      </c>
      <c r="JZ82" s="9" t="n">
        <v>400</v>
      </c>
      <c r="KA82" s="9" t="n">
        <v>-400</v>
      </c>
      <c r="KB82" s="9" t="n">
        <v>4740</v>
      </c>
      <c r="KF82" s="10" t="n">
        <v>46088</v>
      </c>
      <c r="KH82" s="9" t="n">
        <v>78</v>
      </c>
      <c r="KJ82" s="9" t="n">
        <v>78</v>
      </c>
      <c r="KK82" s="9" t="n">
        <v>5284.5</v>
      </c>
      <c r="KO82" s="10" t="n">
        <v>46088</v>
      </c>
      <c r="KQ82" s="9" t="n">
        <v>302.4</v>
      </c>
      <c r="KR82" s="9" t="n">
        <v>5745.599999999999</v>
      </c>
      <c r="KS82" s="9" t="n">
        <v>-5443.2</v>
      </c>
      <c r="KT82" s="9" t="n">
        <v>1701.000000000001</v>
      </c>
      <c r="KX82" s="10" t="n">
        <v>46088</v>
      </c>
      <c r="KZ82" s="9" t="n">
        <v>0</v>
      </c>
      <c r="LB82" s="9" t="n">
        <v>0</v>
      </c>
      <c r="LC82" s="9" t="n">
        <v>0</v>
      </c>
      <c r="LG82" s="10" t="n">
        <v>46088</v>
      </c>
      <c r="LI82" s="9" t="n">
        <v>0</v>
      </c>
      <c r="LK82" s="9" t="n">
        <v>0</v>
      </c>
      <c r="LL82" s="9" t="n">
        <v>0</v>
      </c>
      <c r="LP82" s="10" t="n">
        <v>46088</v>
      </c>
      <c r="LR82" s="9" t="n">
        <v>0</v>
      </c>
      <c r="LT82" s="9" t="n">
        <v>0</v>
      </c>
      <c r="LU82" s="9" t="n">
        <v>0</v>
      </c>
      <c r="LY82" s="10" t="n">
        <v>46088</v>
      </c>
      <c r="MA82" s="9" t="n">
        <v>0</v>
      </c>
      <c r="MC82" s="9" t="n">
        <v>0</v>
      </c>
      <c r="MD82" s="9" t="n">
        <v>0</v>
      </c>
      <c r="MH82" s="10" t="n">
        <v>46088</v>
      </c>
      <c r="MJ82" s="9" t="n">
        <v>0</v>
      </c>
      <c r="ML82" s="9" t="n">
        <v>0</v>
      </c>
      <c r="MM82" s="9" t="n">
        <v>0</v>
      </c>
      <c r="MQ82" s="10" t="n">
        <v>46088</v>
      </c>
      <c r="MS82" s="9" t="n">
        <v>62</v>
      </c>
      <c r="MT82" s="9" t="n">
        <v>673</v>
      </c>
      <c r="MU82" s="9" t="n">
        <v>-611</v>
      </c>
      <c r="MV82" s="9" t="n">
        <v>3450</v>
      </c>
      <c r="MZ82" s="10" t="n">
        <v>46088</v>
      </c>
      <c r="NA82" s="9" t="n">
        <v>972</v>
      </c>
      <c r="NB82" s="9" t="n">
        <v>60</v>
      </c>
      <c r="NC82" s="9" t="n">
        <v>972</v>
      </c>
      <c r="ND82" s="9" t="n">
        <v>-912</v>
      </c>
      <c r="NE82" s="9" t="n">
        <v>0</v>
      </c>
      <c r="NI82" s="10" t="n">
        <v>46088</v>
      </c>
      <c r="NK82" s="9" t="n">
        <v>0</v>
      </c>
      <c r="NM82" s="9" t="n">
        <v>0</v>
      </c>
      <c r="NN82" s="9" t="n">
        <v>0</v>
      </c>
      <c r="NR82" s="10" t="n">
        <v>46088</v>
      </c>
      <c r="NT82" s="9" t="n">
        <v>24</v>
      </c>
      <c r="NU82" s="9" t="n">
        <v>368.8</v>
      </c>
      <c r="NV82" s="9" t="n">
        <v>-344.8</v>
      </c>
      <c r="NW82" s="9" t="n">
        <v>1578.9</v>
      </c>
      <c r="OA82" s="10" t="n">
        <v>46088</v>
      </c>
      <c r="OC82" s="9" t="n">
        <v>0</v>
      </c>
      <c r="OE82" s="9" t="n">
        <v>0</v>
      </c>
      <c r="OF82" s="9" t="n">
        <v>1680.5</v>
      </c>
      <c r="OJ82" s="10" t="n">
        <v>46088</v>
      </c>
      <c r="OK82" s="9" t="n">
        <v>906.2</v>
      </c>
      <c r="OL82" s="9" t="n">
        <v>55.99999999999999</v>
      </c>
      <c r="OM82" s="9" t="n">
        <v>906.2</v>
      </c>
      <c r="ON82" s="9" t="n">
        <v>-850.2</v>
      </c>
      <c r="OO82" s="9" t="n">
        <v>0</v>
      </c>
      <c r="OS82" s="10" t="n">
        <v>46088</v>
      </c>
      <c r="OU82" s="9" t="n">
        <v>0</v>
      </c>
      <c r="OW82" s="9" t="n">
        <v>0</v>
      </c>
      <c r="OX82" s="9" t="n">
        <v>0</v>
      </c>
      <c r="PB82" s="10" t="n">
        <v>46088</v>
      </c>
      <c r="PD82" s="9" t="n">
        <v>0</v>
      </c>
      <c r="PF82" s="9" t="n">
        <v>0</v>
      </c>
      <c r="PG82" s="9" t="n">
        <v>0</v>
      </c>
      <c r="PK82" s="10" t="n">
        <v>46088</v>
      </c>
      <c r="PM82" s="9" t="n">
        <v>0</v>
      </c>
      <c r="PO82" s="9" t="n">
        <v>0</v>
      </c>
      <c r="PP82" s="9" t="n">
        <v>100</v>
      </c>
      <c r="PT82" s="10" t="n">
        <v>46088</v>
      </c>
      <c r="PV82" s="9" t="n">
        <v>0</v>
      </c>
      <c r="PX82" s="9" t="n">
        <v>0</v>
      </c>
      <c r="PY82" s="9" t="n">
        <v>13.96000000000004</v>
      </c>
      <c r="QC82" s="10" t="n">
        <v>46088</v>
      </c>
      <c r="QE82" s="9" t="n">
        <v>0</v>
      </c>
      <c r="QG82" s="9" t="n">
        <v>0</v>
      </c>
      <c r="QH82" s="9" t="n">
        <v>1212</v>
      </c>
      <c r="QL82" s="10" t="n">
        <v>46088</v>
      </c>
      <c r="QN82" s="9" t="n">
        <v>0</v>
      </c>
      <c r="QP82" s="9" t="n">
        <v>0</v>
      </c>
      <c r="QQ82" s="9" t="n">
        <v>0</v>
      </c>
      <c r="QU82" s="10" t="n">
        <v>46088</v>
      </c>
      <c r="QW82" s="9" t="n">
        <v>0</v>
      </c>
      <c r="QY82" s="9" t="n">
        <v>0</v>
      </c>
      <c r="QZ82" s="9" t="n">
        <v>207.6</v>
      </c>
      <c r="RD82" s="10" t="n">
        <v>46088</v>
      </c>
      <c r="RF82" s="9" t="n">
        <v>0</v>
      </c>
      <c r="RH82" s="9" t="n">
        <v>0</v>
      </c>
      <c r="RI82" s="9" t="n">
        <v>197.04</v>
      </c>
      <c r="RM82" s="10" t="n">
        <v>46088</v>
      </c>
      <c r="RO82" s="9" t="n">
        <v>0</v>
      </c>
      <c r="RQ82" s="9" t="n">
        <v>0</v>
      </c>
      <c r="RR82" s="9" t="n">
        <v>46.8</v>
      </c>
      <c r="RV82" s="10" t="n">
        <v>46088</v>
      </c>
      <c r="RX82" s="9" t="n">
        <v>0</v>
      </c>
      <c r="RZ82" s="9" t="n">
        <v>0</v>
      </c>
      <c r="SA82" s="9" t="n">
        <v>0</v>
      </c>
      <c r="SE82" s="10" t="n">
        <v>46088</v>
      </c>
      <c r="SG82" s="9" t="n">
        <v>0</v>
      </c>
      <c r="SI82" s="9" t="n">
        <v>0</v>
      </c>
      <c r="SJ82" s="9" t="n">
        <v>0</v>
      </c>
      <c r="SN82" s="10" t="n">
        <v>46088</v>
      </c>
      <c r="SP82" s="9" t="n">
        <v>0</v>
      </c>
      <c r="SR82" s="9" t="n">
        <v>0</v>
      </c>
      <c r="SS82" s="9" t="n">
        <v>0</v>
      </c>
      <c r="SW82" s="10" t="n">
        <v>46088</v>
      </c>
      <c r="SY82" s="9" t="n">
        <v>0</v>
      </c>
      <c r="TA82" s="9" t="n">
        <v>0</v>
      </c>
      <c r="TB82" s="9" t="n">
        <v>0</v>
      </c>
      <c r="TF82" s="10" t="n">
        <v>46088</v>
      </c>
      <c r="TH82" s="9" t="n">
        <v>0</v>
      </c>
      <c r="TJ82" s="9" t="n">
        <v>0</v>
      </c>
      <c r="TK82" s="9" t="n">
        <v>0</v>
      </c>
      <c r="TO82" s="10" t="n">
        <v>46088</v>
      </c>
      <c r="TQ82" s="9" t="n">
        <v>0</v>
      </c>
      <c r="TS82" s="9" t="n">
        <v>0</v>
      </c>
      <c r="TT82" s="9" t="n">
        <v>0</v>
      </c>
      <c r="TX82" s="10" t="n">
        <v>46088</v>
      </c>
      <c r="TZ82" s="9" t="n">
        <v>0</v>
      </c>
      <c r="UB82" s="9" t="n">
        <v>0</v>
      </c>
      <c r="UC82" s="9" t="n">
        <v>0</v>
      </c>
      <c r="UG82" s="10" t="n">
        <v>46088</v>
      </c>
      <c r="UI82" s="9" t="n">
        <v>0</v>
      </c>
      <c r="UK82" s="9" t="n">
        <v>0</v>
      </c>
      <c r="UL82" s="9" t="n">
        <v>0</v>
      </c>
      <c r="UP82" s="10" t="n">
        <v>46088</v>
      </c>
      <c r="UR82" s="9" t="n">
        <v>0</v>
      </c>
      <c r="UT82" s="9" t="n">
        <v>0</v>
      </c>
      <c r="UU82" s="9" t="n">
        <v>0</v>
      </c>
      <c r="UY82" s="10" t="n">
        <v>46088</v>
      </c>
      <c r="VA82" s="9" t="n">
        <v>0</v>
      </c>
      <c r="VC82" s="9" t="n">
        <v>0</v>
      </c>
      <c r="VD82" s="9" t="n">
        <v>41.60000000000002</v>
      </c>
      <c r="VH82" s="10" t="n">
        <v>46088</v>
      </c>
      <c r="VJ82" s="9" t="n">
        <v>0</v>
      </c>
      <c r="VL82" s="9" t="n">
        <v>0</v>
      </c>
      <c r="VM82" s="9" t="n">
        <v>0</v>
      </c>
      <c r="VQ82" s="10" t="n">
        <v>46088</v>
      </c>
      <c r="VS82" s="9" t="n">
        <v>0</v>
      </c>
      <c r="VU82" s="9" t="n">
        <v>0</v>
      </c>
      <c r="VV82" s="9" t="n">
        <v>0</v>
      </c>
      <c r="VZ82" s="10" t="n">
        <v>46088</v>
      </c>
      <c r="WB82" s="9" t="n">
        <v>0</v>
      </c>
      <c r="WD82" s="9" t="n">
        <v>0</v>
      </c>
      <c r="WE82" s="9" t="n">
        <v>0</v>
      </c>
      <c r="WI82" s="10" t="n">
        <v>46088</v>
      </c>
      <c r="WK82" s="9" t="n">
        <v>0</v>
      </c>
      <c r="WL82" s="9" t="n">
        <v>281</v>
      </c>
      <c r="WM82" s="9" t="n">
        <v>-281</v>
      </c>
      <c r="WN82" s="9" t="n">
        <v>6022</v>
      </c>
      <c r="WR82" s="10" t="n">
        <v>46088</v>
      </c>
      <c r="WT82" s="9" t="n">
        <v>0</v>
      </c>
      <c r="WU82" s="9" t="n">
        <v>604</v>
      </c>
      <c r="WV82" s="9" t="n">
        <v>-604</v>
      </c>
      <c r="WW82" s="9" t="n">
        <v>5955</v>
      </c>
      <c r="XA82" s="10" t="n">
        <v>46088</v>
      </c>
      <c r="XC82" s="9" t="n">
        <v>0</v>
      </c>
      <c r="XE82" s="9" t="n">
        <v>0</v>
      </c>
      <c r="XF82" s="9" t="n">
        <v>590</v>
      </c>
      <c r="XJ82" s="10" t="n">
        <v>46088</v>
      </c>
      <c r="XL82" s="9" t="n">
        <v>0</v>
      </c>
      <c r="XN82" s="9" t="n">
        <v>0</v>
      </c>
      <c r="XO82" s="9" t="n">
        <v>2124</v>
      </c>
      <c r="XS82" s="10" t="n">
        <v>46088</v>
      </c>
      <c r="XU82" s="9" t="n">
        <v>0</v>
      </c>
      <c r="XW82" s="9" t="n">
        <v>0</v>
      </c>
      <c r="XX82" s="9" t="n">
        <v>1901</v>
      </c>
      <c r="YB82" s="10" t="n">
        <v>46088</v>
      </c>
      <c r="YD82" s="9" t="n">
        <v>0</v>
      </c>
      <c r="YF82" s="9" t="n">
        <v>0</v>
      </c>
      <c r="YG82" s="9" t="n">
        <v>0</v>
      </c>
      <c r="YK82" s="10" t="n">
        <v>46088</v>
      </c>
      <c r="YM82" s="9" t="n">
        <v>0</v>
      </c>
      <c r="YO82" s="9" t="n">
        <v>0</v>
      </c>
      <c r="YP82" s="9" t="n">
        <v>0</v>
      </c>
      <c r="YT82" s="10" t="n">
        <v>46088</v>
      </c>
      <c r="YV82" s="9" t="n">
        <v>0</v>
      </c>
      <c r="YX82" s="9" t="n">
        <v>0</v>
      </c>
      <c r="YY82" s="9" t="n">
        <v>0</v>
      </c>
      <c r="ZC82" s="10" t="n">
        <v>46088</v>
      </c>
      <c r="ZE82" s="9" t="n">
        <v>0</v>
      </c>
      <c r="ZG82" s="9" t="n">
        <v>0</v>
      </c>
      <c r="ZH82" s="9" t="n">
        <v>0</v>
      </c>
      <c r="ZL82" s="10" t="n">
        <v>46088</v>
      </c>
      <c r="ZN82" s="9" t="n">
        <v>0</v>
      </c>
      <c r="ZP82" s="9" t="n">
        <v>0</v>
      </c>
      <c r="ZQ82" s="9" t="n">
        <v>0</v>
      </c>
      <c r="ZU82" s="10" t="n">
        <v>46088</v>
      </c>
      <c r="ZW82" s="9" t="n">
        <v>0</v>
      </c>
      <c r="ZY82" s="9" t="n">
        <v>0</v>
      </c>
      <c r="ZZ82" s="9" t="n">
        <v>0</v>
      </c>
      <c r="AAD82" s="10" t="n">
        <v>46088</v>
      </c>
      <c r="AAF82" s="9" t="n">
        <v>0</v>
      </c>
      <c r="AAH82" s="9" t="n">
        <v>0</v>
      </c>
      <c r="AAI82" s="9" t="n">
        <v>0</v>
      </c>
      <c r="AAM82" s="10" t="n">
        <v>46088</v>
      </c>
      <c r="AAO82" s="9" t="n">
        <v>0</v>
      </c>
      <c r="AAQ82" s="9" t="n">
        <v>0</v>
      </c>
      <c r="AAR82" s="9" t="n">
        <v>0</v>
      </c>
      <c r="AAV82" s="10" t="n">
        <v>46088</v>
      </c>
      <c r="AAX82" s="9" t="n">
        <v>0</v>
      </c>
      <c r="AAZ82" s="9" t="n">
        <v>0</v>
      </c>
      <c r="ABA82" s="9" t="n">
        <v>0</v>
      </c>
      <c r="ABE82" s="10" t="n">
        <v>46088</v>
      </c>
      <c r="ABG82" s="9" t="n">
        <v>0</v>
      </c>
      <c r="ABI82" s="9" t="n">
        <v>0</v>
      </c>
      <c r="ABJ82" s="9" t="n">
        <v>0</v>
      </c>
    </row>
    <row r="83">
      <c r="C83" s="10" t="n">
        <v>46089</v>
      </c>
      <c r="E83" s="9" t="n">
        <v>0</v>
      </c>
      <c r="G83" s="9" t="n">
        <v>0</v>
      </c>
      <c r="H83" s="9" t="n">
        <v>79091</v>
      </c>
      <c r="L83" s="10" t="n">
        <v>46089</v>
      </c>
      <c r="N83" s="9" t="n">
        <v>0</v>
      </c>
      <c r="P83" s="9" t="n">
        <v>0</v>
      </c>
      <c r="Q83" s="9" t="n">
        <v>15410.40000000003</v>
      </c>
      <c r="U83" s="10" t="n">
        <v>46089</v>
      </c>
      <c r="W83" s="9" t="n">
        <v>0</v>
      </c>
      <c r="Y83" s="9" t="n">
        <v>0</v>
      </c>
      <c r="Z83" s="9" t="n">
        <v>45735.99999999998</v>
      </c>
      <c r="AD83" s="10" t="n">
        <v>46089</v>
      </c>
      <c r="AF83" s="9" t="n">
        <v>0</v>
      </c>
      <c r="AH83" s="9" t="n">
        <v>0</v>
      </c>
      <c r="AI83" s="9" t="n">
        <v>26517.80000000002</v>
      </c>
      <c r="AM83" s="10" t="n">
        <v>46089</v>
      </c>
      <c r="AO83" s="9" t="n">
        <v>0</v>
      </c>
      <c r="AQ83" s="9" t="n">
        <v>0</v>
      </c>
      <c r="AR83" s="9" t="n">
        <v>0</v>
      </c>
      <c r="AV83" s="10" t="n">
        <v>46089</v>
      </c>
      <c r="AX83" s="9" t="n">
        <v>0</v>
      </c>
      <c r="AZ83" s="9" t="n">
        <v>0</v>
      </c>
      <c r="BA83" s="9" t="n">
        <v>46901.19999999999</v>
      </c>
      <c r="BE83" s="10" t="n">
        <v>46089</v>
      </c>
      <c r="BG83" s="9" t="n">
        <v>0</v>
      </c>
      <c r="BI83" s="9" t="n">
        <v>0</v>
      </c>
      <c r="BJ83" s="9" t="n">
        <v>6569.600000000004</v>
      </c>
      <c r="BN83" s="10" t="n">
        <v>46089</v>
      </c>
      <c r="BP83" s="9" t="n">
        <v>0</v>
      </c>
      <c r="BR83" s="9" t="n">
        <v>0</v>
      </c>
      <c r="BS83" s="9" t="n">
        <v>0</v>
      </c>
      <c r="BW83" s="10" t="n">
        <v>46089</v>
      </c>
      <c r="BY83" s="9" t="n">
        <v>0</v>
      </c>
      <c r="CA83" s="9" t="n">
        <v>0</v>
      </c>
      <c r="CB83" s="9" t="n">
        <v>4829.8</v>
      </c>
      <c r="CF83" s="10" t="n">
        <v>46089</v>
      </c>
      <c r="CH83" s="9" t="n">
        <v>0</v>
      </c>
      <c r="CJ83" s="9" t="n">
        <v>0</v>
      </c>
      <c r="CK83" s="9" t="n">
        <v>0</v>
      </c>
      <c r="CO83" s="10" t="n">
        <v>46089</v>
      </c>
      <c r="CQ83" s="9" t="n">
        <v>0</v>
      </c>
      <c r="CS83" s="9" t="n">
        <v>0</v>
      </c>
      <c r="CT83" s="9" t="n">
        <v>0</v>
      </c>
      <c r="CX83" s="10" t="n">
        <v>46089</v>
      </c>
      <c r="CZ83" s="9" t="n">
        <v>0</v>
      </c>
      <c r="DB83" s="9" t="n">
        <v>0</v>
      </c>
      <c r="DC83" s="9" t="n">
        <v>36557.3</v>
      </c>
      <c r="DG83" s="10" t="n">
        <v>46089</v>
      </c>
      <c r="DI83" s="9" t="n">
        <v>0</v>
      </c>
      <c r="DK83" s="9" t="n">
        <v>0</v>
      </c>
      <c r="DL83" s="9" t="n">
        <v>-92.60000000000434</v>
      </c>
      <c r="DP83" s="10" t="n">
        <v>46089</v>
      </c>
      <c r="DR83" s="9" t="n">
        <v>0</v>
      </c>
      <c r="DT83" s="9" t="n">
        <v>0</v>
      </c>
      <c r="DU83" s="9" t="n">
        <v>7150</v>
      </c>
      <c r="DY83" s="10" t="n">
        <v>46089</v>
      </c>
      <c r="EA83" s="9" t="n">
        <v>0</v>
      </c>
      <c r="EC83" s="9" t="n">
        <v>0</v>
      </c>
      <c r="ED83" s="9" t="n">
        <v>5696.8</v>
      </c>
      <c r="EH83" s="10" t="n">
        <v>46089</v>
      </c>
      <c r="EJ83" s="9" t="n">
        <v>0</v>
      </c>
      <c r="EL83" s="9" t="n">
        <v>0</v>
      </c>
      <c r="EM83" s="9" t="n">
        <v>0</v>
      </c>
      <c r="EQ83" s="10" t="n">
        <v>46089</v>
      </c>
      <c r="ES83" s="9" t="n">
        <v>0</v>
      </c>
      <c r="EU83" s="9" t="n">
        <v>0</v>
      </c>
      <c r="EV83" s="9" t="n">
        <v>0</v>
      </c>
      <c r="EZ83" s="10" t="n">
        <v>46089</v>
      </c>
      <c r="FB83" s="9" t="n">
        <v>0</v>
      </c>
      <c r="FD83" s="9" t="n">
        <v>0</v>
      </c>
      <c r="FE83" s="9" t="n">
        <v>0</v>
      </c>
      <c r="FI83" s="10" t="n">
        <v>46089</v>
      </c>
      <c r="FK83" s="9" t="n">
        <v>0</v>
      </c>
      <c r="FM83" s="9" t="n">
        <v>0</v>
      </c>
      <c r="FN83" s="9" t="n">
        <v>0</v>
      </c>
      <c r="FR83" s="10" t="n">
        <v>46089</v>
      </c>
      <c r="FT83" s="9" t="n">
        <v>0</v>
      </c>
      <c r="FV83" s="9" t="n">
        <v>0</v>
      </c>
      <c r="FW83" s="9" t="n">
        <v>20</v>
      </c>
      <c r="GA83" s="10" t="n">
        <v>46089</v>
      </c>
      <c r="GC83" s="9" t="n">
        <v>0</v>
      </c>
      <c r="GE83" s="9" t="n">
        <v>0</v>
      </c>
      <c r="GF83" s="9" t="n">
        <v>5560</v>
      </c>
      <c r="GJ83" s="10" t="n">
        <v>46089</v>
      </c>
      <c r="GL83" s="9" t="n">
        <v>0</v>
      </c>
      <c r="GN83" s="9" t="n">
        <v>0</v>
      </c>
      <c r="GO83" s="9" t="n">
        <v>5240</v>
      </c>
      <c r="GS83" s="10" t="n">
        <v>46089</v>
      </c>
      <c r="GU83" s="9" t="n">
        <v>0</v>
      </c>
      <c r="GW83" s="9" t="n">
        <v>0</v>
      </c>
      <c r="GX83" s="9" t="n">
        <v>0</v>
      </c>
      <c r="HB83" s="10" t="n">
        <v>46089</v>
      </c>
      <c r="HD83" s="9" t="n">
        <v>0</v>
      </c>
      <c r="HF83" s="9" t="n">
        <v>0</v>
      </c>
      <c r="HG83" s="9" t="n">
        <v>0</v>
      </c>
      <c r="HK83" s="10" t="n">
        <v>46089</v>
      </c>
      <c r="HM83" s="9" t="n">
        <v>0</v>
      </c>
      <c r="HO83" s="9" t="n">
        <v>0</v>
      </c>
      <c r="HP83" s="9" t="n">
        <v>0</v>
      </c>
      <c r="HU83" s="10" t="n">
        <v>46089</v>
      </c>
      <c r="HW83" s="9" t="n">
        <v>0</v>
      </c>
      <c r="HY83" s="9" t="n">
        <v>0</v>
      </c>
      <c r="HZ83" s="9" t="n">
        <v>5120</v>
      </c>
      <c r="ID83" s="10" t="n">
        <v>46089</v>
      </c>
      <c r="IF83" s="9" t="n">
        <v>0</v>
      </c>
      <c r="IH83" s="9" t="n">
        <v>0</v>
      </c>
      <c r="II83" s="9" t="n">
        <v>6540</v>
      </c>
      <c r="IM83" s="10" t="n">
        <v>46089</v>
      </c>
      <c r="IO83" s="9" t="n">
        <v>0</v>
      </c>
      <c r="IQ83" s="9" t="n">
        <v>0</v>
      </c>
      <c r="IR83" s="9" t="n">
        <v>11540</v>
      </c>
      <c r="IV83" s="10" t="n">
        <v>46089</v>
      </c>
      <c r="IX83" s="9" t="n">
        <v>0</v>
      </c>
      <c r="IZ83" s="9" t="n">
        <v>0</v>
      </c>
      <c r="JA83" s="9" t="n">
        <v>15120</v>
      </c>
      <c r="JE83" s="10" t="n">
        <v>46089</v>
      </c>
      <c r="JG83" s="9" t="n">
        <v>0</v>
      </c>
      <c r="JI83" s="9" t="n">
        <v>0</v>
      </c>
      <c r="JJ83" s="9" t="n">
        <v>5040</v>
      </c>
      <c r="JN83" s="10" t="n">
        <v>46089</v>
      </c>
      <c r="JP83" s="9" t="n">
        <v>0</v>
      </c>
      <c r="JR83" s="9" t="n">
        <v>0</v>
      </c>
      <c r="JS83" s="9" t="n">
        <v>9100</v>
      </c>
      <c r="JW83" s="10" t="n">
        <v>46089</v>
      </c>
      <c r="JY83" s="9" t="n">
        <v>0</v>
      </c>
      <c r="KA83" s="9" t="n">
        <v>0</v>
      </c>
      <c r="KB83" s="9" t="n">
        <v>4740</v>
      </c>
      <c r="KF83" s="10" t="n">
        <v>46089</v>
      </c>
      <c r="KH83" s="9" t="n">
        <v>0</v>
      </c>
      <c r="KJ83" s="9" t="n">
        <v>0</v>
      </c>
      <c r="KK83" s="9" t="n">
        <v>5284.5</v>
      </c>
      <c r="KO83" s="10" t="n">
        <v>46089</v>
      </c>
      <c r="KQ83" s="9" t="n">
        <v>0</v>
      </c>
      <c r="KS83" s="9" t="n">
        <v>0</v>
      </c>
      <c r="KT83" s="9" t="n">
        <v>1701.000000000001</v>
      </c>
      <c r="KX83" s="10" t="n">
        <v>46089</v>
      </c>
      <c r="KZ83" s="9" t="n">
        <v>0</v>
      </c>
      <c r="LB83" s="9" t="n">
        <v>0</v>
      </c>
      <c r="LC83" s="9" t="n">
        <v>0</v>
      </c>
      <c r="LG83" s="10" t="n">
        <v>46089</v>
      </c>
      <c r="LI83" s="9" t="n">
        <v>0</v>
      </c>
      <c r="LK83" s="9" t="n">
        <v>0</v>
      </c>
      <c r="LL83" s="9" t="n">
        <v>0</v>
      </c>
      <c r="LP83" s="10" t="n">
        <v>46089</v>
      </c>
      <c r="LR83" s="9" t="n">
        <v>0</v>
      </c>
      <c r="LT83" s="9" t="n">
        <v>0</v>
      </c>
      <c r="LU83" s="9" t="n">
        <v>0</v>
      </c>
      <c r="LY83" s="10" t="n">
        <v>46089</v>
      </c>
      <c r="MA83" s="9" t="n">
        <v>0</v>
      </c>
      <c r="MC83" s="9" t="n">
        <v>0</v>
      </c>
      <c r="MD83" s="9" t="n">
        <v>0</v>
      </c>
      <c r="MH83" s="10" t="n">
        <v>46089</v>
      </c>
      <c r="MJ83" s="9" t="n">
        <v>0</v>
      </c>
      <c r="ML83" s="9" t="n">
        <v>0</v>
      </c>
      <c r="MM83" s="9" t="n">
        <v>0</v>
      </c>
      <c r="MQ83" s="10" t="n">
        <v>46089</v>
      </c>
      <c r="MS83" s="9" t="n">
        <v>0</v>
      </c>
      <c r="MU83" s="9" t="n">
        <v>0</v>
      </c>
      <c r="MV83" s="9" t="n">
        <v>3450</v>
      </c>
      <c r="MZ83" s="10" t="n">
        <v>46089</v>
      </c>
      <c r="NB83" s="9" t="n">
        <v>0</v>
      </c>
      <c r="ND83" s="9" t="n">
        <v>0</v>
      </c>
      <c r="NE83" s="9" t="n">
        <v>0</v>
      </c>
      <c r="NI83" s="10" t="n">
        <v>46089</v>
      </c>
      <c r="NK83" s="9" t="n">
        <v>0</v>
      </c>
      <c r="NM83" s="9" t="n">
        <v>0</v>
      </c>
      <c r="NN83" s="9" t="n">
        <v>0</v>
      </c>
      <c r="NR83" s="10" t="n">
        <v>46089</v>
      </c>
      <c r="NT83" s="9" t="n">
        <v>0</v>
      </c>
      <c r="NV83" s="9" t="n">
        <v>0</v>
      </c>
      <c r="NW83" s="9" t="n">
        <v>1578.9</v>
      </c>
      <c r="OA83" s="10" t="n">
        <v>46089</v>
      </c>
      <c r="OC83" s="9" t="n">
        <v>0</v>
      </c>
      <c r="OE83" s="9" t="n">
        <v>0</v>
      </c>
      <c r="OF83" s="9" t="n">
        <v>1680.5</v>
      </c>
      <c r="OJ83" s="10" t="n">
        <v>46089</v>
      </c>
      <c r="OL83" s="9" t="n">
        <v>0</v>
      </c>
      <c r="ON83" s="9" t="n">
        <v>0</v>
      </c>
      <c r="OO83" s="9" t="n">
        <v>0</v>
      </c>
      <c r="OS83" s="10" t="n">
        <v>46089</v>
      </c>
      <c r="OU83" s="9" t="n">
        <v>0</v>
      </c>
      <c r="OW83" s="9" t="n">
        <v>0</v>
      </c>
      <c r="OX83" s="9" t="n">
        <v>0</v>
      </c>
      <c r="PB83" s="10" t="n">
        <v>46089</v>
      </c>
      <c r="PD83" s="9" t="n">
        <v>0</v>
      </c>
      <c r="PF83" s="9" t="n">
        <v>0</v>
      </c>
      <c r="PG83" s="9" t="n">
        <v>0</v>
      </c>
      <c r="PK83" s="10" t="n">
        <v>46089</v>
      </c>
      <c r="PM83" s="9" t="n">
        <v>0</v>
      </c>
      <c r="PO83" s="9" t="n">
        <v>0</v>
      </c>
      <c r="PP83" s="9" t="n">
        <v>100</v>
      </c>
      <c r="PT83" s="10" t="n">
        <v>46089</v>
      </c>
      <c r="PV83" s="9" t="n">
        <v>0</v>
      </c>
      <c r="PX83" s="9" t="n">
        <v>0</v>
      </c>
      <c r="PY83" s="9" t="n">
        <v>13.96000000000004</v>
      </c>
      <c r="QC83" s="10" t="n">
        <v>46089</v>
      </c>
      <c r="QE83" s="9" t="n">
        <v>0</v>
      </c>
      <c r="QG83" s="9" t="n">
        <v>0</v>
      </c>
      <c r="QH83" s="9" t="n">
        <v>1212</v>
      </c>
      <c r="QL83" s="10" t="n">
        <v>46089</v>
      </c>
      <c r="QN83" s="9" t="n">
        <v>0</v>
      </c>
      <c r="QP83" s="9" t="n">
        <v>0</v>
      </c>
      <c r="QQ83" s="9" t="n">
        <v>0</v>
      </c>
      <c r="QU83" s="10" t="n">
        <v>46089</v>
      </c>
      <c r="QW83" s="9" t="n">
        <v>0</v>
      </c>
      <c r="QY83" s="9" t="n">
        <v>0</v>
      </c>
      <c r="QZ83" s="9" t="n">
        <v>207.6</v>
      </c>
      <c r="RD83" s="10" t="n">
        <v>46089</v>
      </c>
      <c r="RF83" s="9" t="n">
        <v>0</v>
      </c>
      <c r="RH83" s="9" t="n">
        <v>0</v>
      </c>
      <c r="RI83" s="9" t="n">
        <v>197.04</v>
      </c>
      <c r="RM83" s="10" t="n">
        <v>46089</v>
      </c>
      <c r="RO83" s="9" t="n">
        <v>0</v>
      </c>
      <c r="RQ83" s="9" t="n">
        <v>0</v>
      </c>
      <c r="RR83" s="9" t="n">
        <v>46.8</v>
      </c>
      <c r="RV83" s="10" t="n">
        <v>46089</v>
      </c>
      <c r="RX83" s="9" t="n">
        <v>0</v>
      </c>
      <c r="RZ83" s="9" t="n">
        <v>0</v>
      </c>
      <c r="SA83" s="9" t="n">
        <v>0</v>
      </c>
      <c r="SE83" s="10" t="n">
        <v>46089</v>
      </c>
      <c r="SG83" s="9" t="n">
        <v>0</v>
      </c>
      <c r="SI83" s="9" t="n">
        <v>0</v>
      </c>
      <c r="SJ83" s="9" t="n">
        <v>0</v>
      </c>
      <c r="SN83" s="10" t="n">
        <v>46089</v>
      </c>
      <c r="SP83" s="9" t="n">
        <v>0</v>
      </c>
      <c r="SR83" s="9" t="n">
        <v>0</v>
      </c>
      <c r="SS83" s="9" t="n">
        <v>0</v>
      </c>
      <c r="SW83" s="10" t="n">
        <v>46089</v>
      </c>
      <c r="SY83" s="9" t="n">
        <v>0</v>
      </c>
      <c r="TA83" s="9" t="n">
        <v>0</v>
      </c>
      <c r="TB83" s="9" t="n">
        <v>0</v>
      </c>
      <c r="TF83" s="10" t="n">
        <v>46089</v>
      </c>
      <c r="TH83" s="9" t="n">
        <v>0</v>
      </c>
      <c r="TJ83" s="9" t="n">
        <v>0</v>
      </c>
      <c r="TK83" s="9" t="n">
        <v>0</v>
      </c>
      <c r="TO83" s="10" t="n">
        <v>46089</v>
      </c>
      <c r="TQ83" s="9" t="n">
        <v>0</v>
      </c>
      <c r="TS83" s="9" t="n">
        <v>0</v>
      </c>
      <c r="TT83" s="9" t="n">
        <v>0</v>
      </c>
      <c r="TX83" s="10" t="n">
        <v>46089</v>
      </c>
      <c r="TZ83" s="9" t="n">
        <v>0</v>
      </c>
      <c r="UB83" s="9" t="n">
        <v>0</v>
      </c>
      <c r="UC83" s="9" t="n">
        <v>0</v>
      </c>
      <c r="UG83" s="10" t="n">
        <v>46089</v>
      </c>
      <c r="UI83" s="9" t="n">
        <v>0</v>
      </c>
      <c r="UK83" s="9" t="n">
        <v>0</v>
      </c>
      <c r="UL83" s="9" t="n">
        <v>0</v>
      </c>
      <c r="UP83" s="10" t="n">
        <v>46089</v>
      </c>
      <c r="UR83" s="9" t="n">
        <v>0</v>
      </c>
      <c r="UT83" s="9" t="n">
        <v>0</v>
      </c>
      <c r="UU83" s="9" t="n">
        <v>0</v>
      </c>
      <c r="UY83" s="10" t="n">
        <v>46089</v>
      </c>
      <c r="VA83" s="9" t="n">
        <v>0</v>
      </c>
      <c r="VC83" s="9" t="n">
        <v>0</v>
      </c>
      <c r="VD83" s="9" t="n">
        <v>41.60000000000002</v>
      </c>
      <c r="VH83" s="10" t="n">
        <v>46089</v>
      </c>
      <c r="VJ83" s="9" t="n">
        <v>0</v>
      </c>
      <c r="VL83" s="9" t="n">
        <v>0</v>
      </c>
      <c r="VM83" s="9" t="n">
        <v>0</v>
      </c>
      <c r="VQ83" s="10" t="n">
        <v>46089</v>
      </c>
      <c r="VS83" s="9" t="n">
        <v>0</v>
      </c>
      <c r="VU83" s="9" t="n">
        <v>0</v>
      </c>
      <c r="VV83" s="9" t="n">
        <v>0</v>
      </c>
      <c r="VZ83" s="10" t="n">
        <v>46089</v>
      </c>
      <c r="WB83" s="9" t="n">
        <v>0</v>
      </c>
      <c r="WD83" s="9" t="n">
        <v>0</v>
      </c>
      <c r="WE83" s="9" t="n">
        <v>0</v>
      </c>
      <c r="WI83" s="10" t="n">
        <v>46089</v>
      </c>
      <c r="WK83" s="9" t="n">
        <v>0</v>
      </c>
      <c r="WM83" s="9" t="n">
        <v>0</v>
      </c>
      <c r="WN83" s="9" t="n">
        <v>6022</v>
      </c>
      <c r="WR83" s="10" t="n">
        <v>46089</v>
      </c>
      <c r="WT83" s="9" t="n">
        <v>0</v>
      </c>
      <c r="WV83" s="9" t="n">
        <v>0</v>
      </c>
      <c r="WW83" s="9" t="n">
        <v>5955</v>
      </c>
      <c r="XA83" s="10" t="n">
        <v>46089</v>
      </c>
      <c r="XC83" s="9" t="n">
        <v>0</v>
      </c>
      <c r="XE83" s="9" t="n">
        <v>0</v>
      </c>
      <c r="XF83" s="9" t="n">
        <v>590</v>
      </c>
      <c r="XJ83" s="10" t="n">
        <v>46089</v>
      </c>
      <c r="XL83" s="9" t="n">
        <v>0</v>
      </c>
      <c r="XN83" s="9" t="n">
        <v>0</v>
      </c>
      <c r="XO83" s="9" t="n">
        <v>2124</v>
      </c>
      <c r="XS83" s="10" t="n">
        <v>46089</v>
      </c>
      <c r="XU83" s="9" t="n">
        <v>0</v>
      </c>
      <c r="XW83" s="9" t="n">
        <v>0</v>
      </c>
      <c r="XX83" s="9" t="n">
        <v>1901</v>
      </c>
      <c r="YB83" s="10" t="n">
        <v>46089</v>
      </c>
      <c r="YD83" s="9" t="n">
        <v>0</v>
      </c>
      <c r="YF83" s="9" t="n">
        <v>0</v>
      </c>
      <c r="YG83" s="9" t="n">
        <v>0</v>
      </c>
      <c r="YK83" s="10" t="n">
        <v>46089</v>
      </c>
      <c r="YM83" s="9" t="n">
        <v>0</v>
      </c>
      <c r="YO83" s="9" t="n">
        <v>0</v>
      </c>
      <c r="YP83" s="9" t="n">
        <v>0</v>
      </c>
      <c r="YT83" s="10" t="n">
        <v>46089</v>
      </c>
      <c r="YV83" s="9" t="n">
        <v>0</v>
      </c>
      <c r="YX83" s="9" t="n">
        <v>0</v>
      </c>
      <c r="YY83" s="9" t="n">
        <v>0</v>
      </c>
      <c r="ZC83" s="10" t="n">
        <v>46089</v>
      </c>
      <c r="ZE83" s="9" t="n">
        <v>0</v>
      </c>
      <c r="ZG83" s="9" t="n">
        <v>0</v>
      </c>
      <c r="ZH83" s="9" t="n">
        <v>0</v>
      </c>
      <c r="ZL83" s="10" t="n">
        <v>46089</v>
      </c>
      <c r="ZN83" s="9" t="n">
        <v>0</v>
      </c>
      <c r="ZP83" s="9" t="n">
        <v>0</v>
      </c>
      <c r="ZQ83" s="9" t="n">
        <v>0</v>
      </c>
      <c r="ZU83" s="10" t="n">
        <v>46089</v>
      </c>
      <c r="ZW83" s="9" t="n">
        <v>0</v>
      </c>
      <c r="ZY83" s="9" t="n">
        <v>0</v>
      </c>
      <c r="ZZ83" s="9" t="n">
        <v>0</v>
      </c>
      <c r="AAD83" s="10" t="n">
        <v>46089</v>
      </c>
      <c r="AAF83" s="9" t="n">
        <v>0</v>
      </c>
      <c r="AAH83" s="9" t="n">
        <v>0</v>
      </c>
      <c r="AAI83" s="9" t="n">
        <v>0</v>
      </c>
      <c r="AAM83" s="10" t="n">
        <v>46089</v>
      </c>
      <c r="AAO83" s="9" t="n">
        <v>0</v>
      </c>
      <c r="AAQ83" s="9" t="n">
        <v>0</v>
      </c>
      <c r="AAR83" s="9" t="n">
        <v>0</v>
      </c>
      <c r="AAV83" s="10" t="n">
        <v>46089</v>
      </c>
      <c r="AAX83" s="9" t="n">
        <v>0</v>
      </c>
      <c r="AAZ83" s="9" t="n">
        <v>0</v>
      </c>
      <c r="ABA83" s="9" t="n">
        <v>0</v>
      </c>
      <c r="ABE83" s="10" t="n">
        <v>46089</v>
      </c>
      <c r="ABG83" s="9" t="n">
        <v>0</v>
      </c>
      <c r="ABI83" s="9" t="n">
        <v>0</v>
      </c>
      <c r="ABJ83" s="9" t="n">
        <v>0</v>
      </c>
    </row>
    <row r="84">
      <c r="B84" s="9" t="n">
        <v>124</v>
      </c>
      <c r="C84" s="10" t="n">
        <v>46090</v>
      </c>
      <c r="E84" s="9" t="n">
        <v>65909.39999999999</v>
      </c>
      <c r="F84" s="9" t="n">
        <v>65908.39999999999</v>
      </c>
      <c r="G84" s="9" t="n">
        <v>1</v>
      </c>
      <c r="H84" s="9" t="n">
        <v>13182.60000000001</v>
      </c>
      <c r="I84" s="9" t="inlineStr">
        <is>
          <t>121 20mt, 123 104mt</t>
        </is>
      </c>
      <c r="L84" s="10" t="n">
        <v>46090</v>
      </c>
      <c r="M84" s="9" t="n">
        <v>37000</v>
      </c>
      <c r="N84" s="9" t="n">
        <v>22606</v>
      </c>
      <c r="O84" s="9" t="n">
        <v>22606.2</v>
      </c>
      <c r="P84" s="9" t="n">
        <v>-0.2000000000007276</v>
      </c>
      <c r="Q84" s="9" t="n">
        <v>29804.20000000004</v>
      </c>
      <c r="U84" s="10" t="n">
        <v>46090</v>
      </c>
      <c r="W84" s="9" t="n">
        <v>10170</v>
      </c>
      <c r="X84" s="9" t="n">
        <v>10171.2</v>
      </c>
      <c r="Y84" s="9" t="n">
        <v>-1.200000000000728</v>
      </c>
      <c r="Z84" s="9" t="n">
        <v>35564.79999999997</v>
      </c>
      <c r="AD84" s="10" t="n">
        <v>46090</v>
      </c>
      <c r="AF84" s="9" t="n">
        <v>1448</v>
      </c>
      <c r="AG84" s="9" t="n">
        <v>1450.4</v>
      </c>
      <c r="AH84" s="9" t="n">
        <v>-2.400000000000091</v>
      </c>
      <c r="AI84" s="9" t="n">
        <v>25067.40000000002</v>
      </c>
      <c r="AM84" s="10" t="n">
        <v>46090</v>
      </c>
      <c r="AO84" s="9" t="n">
        <v>0</v>
      </c>
      <c r="AQ84" s="9" t="n">
        <v>0</v>
      </c>
      <c r="AR84" s="9" t="n">
        <v>0</v>
      </c>
      <c r="AV84" s="10" t="n">
        <v>46090</v>
      </c>
      <c r="AX84" s="9" t="n">
        <v>500</v>
      </c>
      <c r="AY84" s="9" t="n">
        <v>499.8</v>
      </c>
      <c r="AZ84" s="9" t="n">
        <v>0.1999999999999886</v>
      </c>
      <c r="BA84" s="9" t="n">
        <v>46401.39999999999</v>
      </c>
      <c r="BE84" s="10" t="n">
        <v>46090</v>
      </c>
      <c r="BG84" s="9" t="n">
        <v>5240</v>
      </c>
      <c r="BH84" s="9" t="n">
        <v>5240.7</v>
      </c>
      <c r="BI84" s="9" t="n">
        <v>-0.6999999999998181</v>
      </c>
      <c r="BJ84" s="9" t="n">
        <v>1328.900000000004</v>
      </c>
      <c r="BN84" s="10" t="n">
        <v>46090</v>
      </c>
      <c r="BO84" s="9" t="n">
        <v>2328</v>
      </c>
      <c r="BP84" s="9" t="n">
        <v>2328</v>
      </c>
      <c r="BQ84" s="9" t="n">
        <v>2328</v>
      </c>
      <c r="BR84" s="9" t="n">
        <v>0</v>
      </c>
      <c r="BS84" s="9" t="n">
        <v>0</v>
      </c>
      <c r="BW84" s="10" t="n">
        <v>46090</v>
      </c>
      <c r="BY84" s="9" t="n">
        <v>662.0000000000001</v>
      </c>
      <c r="CA84" s="9" t="n">
        <v>662.0000000000001</v>
      </c>
      <c r="CB84" s="9" t="n">
        <v>4829.8</v>
      </c>
      <c r="CF84" s="10" t="n">
        <v>46090</v>
      </c>
      <c r="CH84" s="9" t="n">
        <v>1076</v>
      </c>
      <c r="CJ84" s="9" t="n">
        <v>1076</v>
      </c>
      <c r="CK84" s="9" t="n">
        <v>0</v>
      </c>
      <c r="CO84" s="10" t="n">
        <v>46090</v>
      </c>
      <c r="CQ84" s="9" t="n">
        <v>0</v>
      </c>
      <c r="CS84" s="9" t="n">
        <v>0</v>
      </c>
      <c r="CT84" s="9" t="n">
        <v>0</v>
      </c>
      <c r="CX84" s="10" t="n">
        <v>46090</v>
      </c>
      <c r="CZ84" s="9" t="n">
        <v>5870</v>
      </c>
      <c r="DA84" s="9" t="n">
        <v>5871.6</v>
      </c>
      <c r="DB84" s="9" t="n">
        <v>-1.600000000000364</v>
      </c>
      <c r="DC84" s="9" t="n">
        <v>30685.7</v>
      </c>
      <c r="DG84" s="10" t="n">
        <v>46090</v>
      </c>
      <c r="DH84" s="9" t="n">
        <v>10200</v>
      </c>
      <c r="DI84" s="9" t="n">
        <v>4230</v>
      </c>
      <c r="DJ84" s="9" t="n">
        <v>4227.8</v>
      </c>
      <c r="DK84" s="9" t="n">
        <v>2.199999999999818</v>
      </c>
      <c r="DL84" s="9" t="n">
        <v>5879.599999999996</v>
      </c>
      <c r="DP84" s="10" t="n">
        <v>46090</v>
      </c>
      <c r="DR84" s="9" t="n">
        <v>0</v>
      </c>
      <c r="DT84" s="9" t="n">
        <v>0</v>
      </c>
      <c r="DU84" s="9" t="n">
        <v>7150</v>
      </c>
      <c r="DY84" s="10" t="n">
        <v>46090</v>
      </c>
      <c r="EA84" s="9" t="n">
        <v>500</v>
      </c>
      <c r="EB84" s="9" t="n">
        <v>499.5</v>
      </c>
      <c r="EC84" s="9" t="n">
        <v>0.5</v>
      </c>
      <c r="ED84" s="9" t="n">
        <v>5197.3</v>
      </c>
      <c r="EH84" s="10" t="n">
        <v>46090</v>
      </c>
      <c r="EJ84" s="9" t="n">
        <v>0</v>
      </c>
      <c r="EL84" s="9" t="n">
        <v>0</v>
      </c>
      <c r="EM84" s="9" t="n">
        <v>0</v>
      </c>
      <c r="EQ84" s="10" t="n">
        <v>46090</v>
      </c>
      <c r="ES84" s="9" t="n">
        <v>0</v>
      </c>
      <c r="EU84" s="9" t="n">
        <v>0</v>
      </c>
      <c r="EV84" s="9" t="n">
        <v>0</v>
      </c>
      <c r="EZ84" s="10" t="n">
        <v>46090</v>
      </c>
      <c r="FB84" s="9" t="n">
        <v>0</v>
      </c>
      <c r="FD84" s="9" t="n">
        <v>0</v>
      </c>
      <c r="FE84" s="9" t="n">
        <v>0</v>
      </c>
      <c r="FI84" s="10" t="n">
        <v>46090</v>
      </c>
      <c r="FK84" s="9" t="n">
        <v>0</v>
      </c>
      <c r="FM84" s="9" t="n">
        <v>0</v>
      </c>
      <c r="FN84" s="9" t="n">
        <v>0</v>
      </c>
      <c r="FR84" s="10" t="n">
        <v>46090</v>
      </c>
      <c r="FT84" s="9" t="n">
        <v>0</v>
      </c>
      <c r="FV84" s="9" t="n">
        <v>0</v>
      </c>
      <c r="FW84" s="9" t="n">
        <v>20</v>
      </c>
      <c r="GA84" s="10" t="n">
        <v>46090</v>
      </c>
      <c r="GC84" s="9" t="n">
        <v>0</v>
      </c>
      <c r="GE84" s="9" t="n">
        <v>0</v>
      </c>
      <c r="GF84" s="9" t="n">
        <v>5560</v>
      </c>
      <c r="GJ84" s="10" t="n">
        <v>46090</v>
      </c>
      <c r="GL84" s="9" t="n">
        <v>0</v>
      </c>
      <c r="GN84" s="9" t="n">
        <v>0</v>
      </c>
      <c r="GO84" s="9" t="n">
        <v>5240</v>
      </c>
      <c r="GS84" s="10" t="n">
        <v>46090</v>
      </c>
      <c r="GU84" s="9" t="n">
        <v>0</v>
      </c>
      <c r="GW84" s="9" t="n">
        <v>0</v>
      </c>
      <c r="GX84" s="9" t="n">
        <v>0</v>
      </c>
      <c r="HB84" s="10" t="n">
        <v>46090</v>
      </c>
      <c r="HD84" s="9" t="n">
        <v>0</v>
      </c>
      <c r="HF84" s="9" t="n">
        <v>0</v>
      </c>
      <c r="HG84" s="9" t="n">
        <v>0</v>
      </c>
      <c r="HK84" s="10" t="n">
        <v>46090</v>
      </c>
      <c r="HM84" s="9" t="n">
        <v>0</v>
      </c>
      <c r="HO84" s="9" t="n">
        <v>0</v>
      </c>
      <c r="HP84" s="9" t="n">
        <v>0</v>
      </c>
      <c r="HU84" s="10" t="n">
        <v>46090</v>
      </c>
      <c r="HW84" s="9" t="n">
        <v>0</v>
      </c>
      <c r="HY84" s="9" t="n">
        <v>0</v>
      </c>
      <c r="HZ84" s="9" t="n">
        <v>5120</v>
      </c>
      <c r="ID84" s="10" t="n">
        <v>46090</v>
      </c>
      <c r="IF84" s="9" t="n">
        <v>0</v>
      </c>
      <c r="IH84" s="9" t="n">
        <v>0</v>
      </c>
      <c r="II84" s="9" t="n">
        <v>6540</v>
      </c>
      <c r="IM84" s="10" t="n">
        <v>46090</v>
      </c>
      <c r="IO84" s="9" t="n">
        <v>0</v>
      </c>
      <c r="IQ84" s="9" t="n">
        <v>0</v>
      </c>
      <c r="IR84" s="9" t="n">
        <v>11540</v>
      </c>
      <c r="IV84" s="10" t="n">
        <v>46090</v>
      </c>
      <c r="IX84" s="9" t="n">
        <v>0</v>
      </c>
      <c r="IZ84" s="9" t="n">
        <v>0</v>
      </c>
      <c r="JA84" s="9" t="n">
        <v>15120</v>
      </c>
      <c r="JE84" s="10" t="n">
        <v>46090</v>
      </c>
      <c r="JG84" s="9" t="n">
        <v>0</v>
      </c>
      <c r="JI84" s="9" t="n">
        <v>0</v>
      </c>
      <c r="JJ84" s="9" t="n">
        <v>5040</v>
      </c>
      <c r="JN84" s="10" t="n">
        <v>46090</v>
      </c>
      <c r="JP84" s="9" t="n">
        <v>0</v>
      </c>
      <c r="JR84" s="9" t="n">
        <v>0</v>
      </c>
      <c r="JS84" s="9" t="n">
        <v>9100</v>
      </c>
      <c r="JW84" s="10" t="n">
        <v>46090</v>
      </c>
      <c r="JY84" s="9" t="n">
        <v>400</v>
      </c>
      <c r="KA84" s="9" t="n">
        <v>400</v>
      </c>
      <c r="KB84" s="9" t="n">
        <v>4740</v>
      </c>
      <c r="KF84" s="10" t="n">
        <v>46090</v>
      </c>
      <c r="KH84" s="9" t="n">
        <v>0</v>
      </c>
      <c r="KJ84" s="9" t="n">
        <v>0</v>
      </c>
      <c r="KK84" s="9" t="n">
        <v>5284.5</v>
      </c>
      <c r="KO84" s="10" t="n">
        <v>46090</v>
      </c>
      <c r="KQ84" s="9" t="n">
        <v>1965.6</v>
      </c>
      <c r="KS84" s="9" t="n">
        <v>1965.6</v>
      </c>
      <c r="KT84" s="9" t="n">
        <v>1701.000000000001</v>
      </c>
      <c r="KX84" s="10" t="n">
        <v>46090</v>
      </c>
      <c r="KZ84" s="9" t="n">
        <v>0</v>
      </c>
      <c r="LB84" s="9" t="n">
        <v>0</v>
      </c>
      <c r="LC84" s="9" t="n">
        <v>0</v>
      </c>
      <c r="LG84" s="10" t="n">
        <v>46090</v>
      </c>
      <c r="LI84" s="9" t="n">
        <v>0</v>
      </c>
      <c r="LK84" s="9" t="n">
        <v>0</v>
      </c>
      <c r="LL84" s="9" t="n">
        <v>0</v>
      </c>
      <c r="LP84" s="10" t="n">
        <v>46090</v>
      </c>
      <c r="LR84" s="9" t="n">
        <v>0</v>
      </c>
      <c r="LT84" s="9" t="n">
        <v>0</v>
      </c>
      <c r="LU84" s="9" t="n">
        <v>0</v>
      </c>
      <c r="LY84" s="10" t="n">
        <v>46090</v>
      </c>
      <c r="MA84" s="9" t="n">
        <v>0</v>
      </c>
      <c r="MC84" s="9" t="n">
        <v>0</v>
      </c>
      <c r="MD84" s="9" t="n">
        <v>0</v>
      </c>
      <c r="MH84" s="10" t="n">
        <v>46090</v>
      </c>
      <c r="MJ84" s="9" t="n">
        <v>0</v>
      </c>
      <c r="ML84" s="9" t="n">
        <v>0</v>
      </c>
      <c r="MM84" s="9" t="n">
        <v>0</v>
      </c>
      <c r="MQ84" s="10" t="n">
        <v>46090</v>
      </c>
      <c r="MS84" s="9" t="n">
        <v>248</v>
      </c>
      <c r="MU84" s="9" t="n">
        <v>248</v>
      </c>
      <c r="MV84" s="9" t="n">
        <v>3450</v>
      </c>
      <c r="MZ84" s="10" t="n">
        <v>46090</v>
      </c>
      <c r="NB84" s="9" t="n">
        <v>372</v>
      </c>
      <c r="ND84" s="9" t="n">
        <v>372</v>
      </c>
      <c r="NE84" s="9" t="n">
        <v>0</v>
      </c>
      <c r="NI84" s="10" t="n">
        <v>46090</v>
      </c>
      <c r="NK84" s="9" t="n">
        <v>0</v>
      </c>
      <c r="NM84" s="9" t="n">
        <v>0</v>
      </c>
      <c r="NN84" s="9" t="n">
        <v>0</v>
      </c>
      <c r="NR84" s="10" t="n">
        <v>46090</v>
      </c>
      <c r="NT84" s="9" t="n">
        <v>128.8</v>
      </c>
      <c r="NV84" s="9" t="n">
        <v>128.8</v>
      </c>
      <c r="NW84" s="9" t="n">
        <v>1578.9</v>
      </c>
      <c r="OA84" s="10" t="n">
        <v>46090</v>
      </c>
      <c r="OC84" s="9" t="n">
        <v>0</v>
      </c>
      <c r="OE84" s="9" t="n">
        <v>0</v>
      </c>
      <c r="OF84" s="9" t="n">
        <v>1680.5</v>
      </c>
      <c r="OJ84" s="10" t="n">
        <v>46090</v>
      </c>
      <c r="OL84" s="9" t="n">
        <v>346.1999999999999</v>
      </c>
      <c r="ON84" s="9" t="n">
        <v>346.1999999999999</v>
      </c>
      <c r="OO84" s="9" t="n">
        <v>0</v>
      </c>
      <c r="OS84" s="10" t="n">
        <v>46090</v>
      </c>
      <c r="OU84" s="9" t="n">
        <v>0</v>
      </c>
      <c r="OW84" s="9" t="n">
        <v>0</v>
      </c>
      <c r="OX84" s="9" t="n">
        <v>0</v>
      </c>
      <c r="PB84" s="10" t="n">
        <v>46090</v>
      </c>
      <c r="PD84" s="9" t="n">
        <v>0</v>
      </c>
      <c r="PF84" s="9" t="n">
        <v>0</v>
      </c>
      <c r="PG84" s="9" t="n">
        <v>0</v>
      </c>
      <c r="PK84" s="10" t="n">
        <v>46090</v>
      </c>
      <c r="PM84" s="9" t="n">
        <v>0</v>
      </c>
      <c r="PO84" s="9" t="n">
        <v>0</v>
      </c>
      <c r="PP84" s="9" t="n">
        <v>100</v>
      </c>
      <c r="PT84" s="10" t="n">
        <v>46090</v>
      </c>
      <c r="PV84" s="9" t="n">
        <v>0</v>
      </c>
      <c r="PX84" s="9" t="n">
        <v>0</v>
      </c>
      <c r="PY84" s="9" t="n">
        <v>13.96000000000004</v>
      </c>
      <c r="QC84" s="10" t="n">
        <v>46090</v>
      </c>
      <c r="QE84" s="9" t="n">
        <v>0</v>
      </c>
      <c r="QG84" s="9" t="n">
        <v>0</v>
      </c>
      <c r="QH84" s="9" t="n">
        <v>1212</v>
      </c>
      <c r="QL84" s="10" t="n">
        <v>46090</v>
      </c>
      <c r="QN84" s="9" t="n">
        <v>0</v>
      </c>
      <c r="QP84" s="9" t="n">
        <v>0</v>
      </c>
      <c r="QQ84" s="9" t="n">
        <v>0</v>
      </c>
      <c r="QU84" s="10" t="n">
        <v>46090</v>
      </c>
      <c r="QW84" s="9" t="n">
        <v>0</v>
      </c>
      <c r="QY84" s="9" t="n">
        <v>0</v>
      </c>
      <c r="QZ84" s="9" t="n">
        <v>207.6</v>
      </c>
      <c r="RD84" s="10" t="n">
        <v>46090</v>
      </c>
      <c r="RF84" s="9" t="n">
        <v>0</v>
      </c>
      <c r="RH84" s="9" t="n">
        <v>0</v>
      </c>
      <c r="RI84" s="9" t="n">
        <v>197.04</v>
      </c>
      <c r="RM84" s="10" t="n">
        <v>46090</v>
      </c>
      <c r="RO84" s="9" t="n">
        <v>0</v>
      </c>
      <c r="RQ84" s="9" t="n">
        <v>0</v>
      </c>
      <c r="RR84" s="9" t="n">
        <v>46.8</v>
      </c>
      <c r="RV84" s="10" t="n">
        <v>46090</v>
      </c>
      <c r="RX84" s="9" t="n">
        <v>0</v>
      </c>
      <c r="RZ84" s="9" t="n">
        <v>0</v>
      </c>
      <c r="SA84" s="9" t="n">
        <v>0</v>
      </c>
      <c r="SE84" s="10" t="n">
        <v>46090</v>
      </c>
      <c r="SG84" s="9" t="n">
        <v>0</v>
      </c>
      <c r="SI84" s="9" t="n">
        <v>0</v>
      </c>
      <c r="SJ84" s="9" t="n">
        <v>0</v>
      </c>
      <c r="SN84" s="10" t="n">
        <v>46090</v>
      </c>
      <c r="SP84" s="9" t="n">
        <v>0</v>
      </c>
      <c r="SR84" s="9" t="n">
        <v>0</v>
      </c>
      <c r="SS84" s="9" t="n">
        <v>0</v>
      </c>
      <c r="SW84" s="10" t="n">
        <v>46090</v>
      </c>
      <c r="SY84" s="9" t="n">
        <v>0</v>
      </c>
      <c r="TA84" s="9" t="n">
        <v>0</v>
      </c>
      <c r="TB84" s="9" t="n">
        <v>0</v>
      </c>
      <c r="TF84" s="10" t="n">
        <v>46090</v>
      </c>
      <c r="TH84" s="9" t="n">
        <v>0</v>
      </c>
      <c r="TJ84" s="9" t="n">
        <v>0</v>
      </c>
      <c r="TK84" s="9" t="n">
        <v>0</v>
      </c>
      <c r="TO84" s="10" t="n">
        <v>46090</v>
      </c>
      <c r="TQ84" s="9" t="n">
        <v>0</v>
      </c>
      <c r="TS84" s="9" t="n">
        <v>0</v>
      </c>
      <c r="TT84" s="9" t="n">
        <v>0</v>
      </c>
      <c r="TX84" s="10" t="n">
        <v>46090</v>
      </c>
      <c r="TZ84" s="9" t="n">
        <v>0</v>
      </c>
      <c r="UB84" s="9" t="n">
        <v>0</v>
      </c>
      <c r="UC84" s="9" t="n">
        <v>0</v>
      </c>
      <c r="UG84" s="10" t="n">
        <v>46090</v>
      </c>
      <c r="UI84" s="9" t="n">
        <v>0</v>
      </c>
      <c r="UK84" s="9" t="n">
        <v>0</v>
      </c>
      <c r="UL84" s="9" t="n">
        <v>0</v>
      </c>
      <c r="UP84" s="10" t="n">
        <v>46090</v>
      </c>
      <c r="UR84" s="9" t="n">
        <v>0</v>
      </c>
      <c r="UT84" s="9" t="n">
        <v>0</v>
      </c>
      <c r="UU84" s="9" t="n">
        <v>0</v>
      </c>
      <c r="UY84" s="10" t="n">
        <v>46090</v>
      </c>
      <c r="VA84" s="9" t="n">
        <v>0</v>
      </c>
      <c r="VC84" s="9" t="n">
        <v>0</v>
      </c>
      <c r="VD84" s="9" t="n">
        <v>41.60000000000002</v>
      </c>
      <c r="VH84" s="10" t="n">
        <v>46090</v>
      </c>
      <c r="VJ84" s="9" t="n">
        <v>0</v>
      </c>
      <c r="VL84" s="9" t="n">
        <v>0</v>
      </c>
      <c r="VM84" s="9" t="n">
        <v>0</v>
      </c>
      <c r="VQ84" s="10" t="n">
        <v>46090</v>
      </c>
      <c r="VS84" s="9" t="n">
        <v>0</v>
      </c>
      <c r="VU84" s="9" t="n">
        <v>0</v>
      </c>
      <c r="VV84" s="9" t="n">
        <v>0</v>
      </c>
      <c r="VZ84" s="10" t="n">
        <v>46090</v>
      </c>
      <c r="WB84" s="9" t="n">
        <v>0</v>
      </c>
      <c r="WD84" s="9" t="n">
        <v>0</v>
      </c>
      <c r="WE84" s="9" t="n">
        <v>0</v>
      </c>
      <c r="WI84" s="10" t="n">
        <v>46090</v>
      </c>
      <c r="WK84" s="9" t="n">
        <v>0</v>
      </c>
      <c r="WM84" s="9" t="n">
        <v>0</v>
      </c>
      <c r="WN84" s="9" t="n">
        <v>6022</v>
      </c>
      <c r="WR84" s="10" t="n">
        <v>46090</v>
      </c>
      <c r="WT84" s="9" t="n">
        <v>0</v>
      </c>
      <c r="WV84" s="9" t="n">
        <v>0</v>
      </c>
      <c r="WW84" s="9" t="n">
        <v>5955</v>
      </c>
      <c r="XA84" s="10" t="n">
        <v>46090</v>
      </c>
      <c r="XC84" s="9" t="n">
        <v>0</v>
      </c>
      <c r="XE84" s="9" t="n">
        <v>0</v>
      </c>
      <c r="XF84" s="9" t="n">
        <v>590</v>
      </c>
      <c r="XJ84" s="10" t="n">
        <v>46090</v>
      </c>
      <c r="XL84" s="9" t="n">
        <v>0</v>
      </c>
      <c r="XM84" s="9" t="n">
        <v>685</v>
      </c>
      <c r="XN84" s="9" t="n">
        <v>-685</v>
      </c>
      <c r="XO84" s="9" t="n">
        <v>1439</v>
      </c>
      <c r="XS84" s="10" t="n">
        <v>46090</v>
      </c>
      <c r="XU84" s="9" t="n">
        <v>0</v>
      </c>
      <c r="XW84" s="9" t="n">
        <v>0</v>
      </c>
      <c r="XX84" s="9" t="n">
        <v>1901</v>
      </c>
      <c r="YB84" s="10" t="n">
        <v>46090</v>
      </c>
      <c r="YD84" s="9" t="n">
        <v>0</v>
      </c>
      <c r="YF84" s="9" t="n">
        <v>0</v>
      </c>
      <c r="YG84" s="9" t="n">
        <v>0</v>
      </c>
      <c r="YK84" s="10" t="n">
        <v>46090</v>
      </c>
      <c r="YM84" s="9" t="n">
        <v>0</v>
      </c>
      <c r="YO84" s="9" t="n">
        <v>0</v>
      </c>
      <c r="YP84" s="9" t="n">
        <v>0</v>
      </c>
      <c r="YT84" s="10" t="n">
        <v>46090</v>
      </c>
      <c r="YV84" s="9" t="n">
        <v>0</v>
      </c>
      <c r="YX84" s="9" t="n">
        <v>0</v>
      </c>
      <c r="YY84" s="9" t="n">
        <v>0</v>
      </c>
      <c r="ZC84" s="10" t="n">
        <v>46090</v>
      </c>
      <c r="ZE84" s="9" t="n">
        <v>0</v>
      </c>
      <c r="ZG84" s="9" t="n">
        <v>0</v>
      </c>
      <c r="ZH84" s="9" t="n">
        <v>0</v>
      </c>
      <c r="ZL84" s="10" t="n">
        <v>46090</v>
      </c>
      <c r="ZN84" s="9" t="n">
        <v>0</v>
      </c>
      <c r="ZP84" s="9" t="n">
        <v>0</v>
      </c>
      <c r="ZQ84" s="9" t="n">
        <v>0</v>
      </c>
      <c r="ZU84" s="10" t="n">
        <v>46090</v>
      </c>
      <c r="ZW84" s="9" t="n">
        <v>0</v>
      </c>
      <c r="ZY84" s="9" t="n">
        <v>0</v>
      </c>
      <c r="ZZ84" s="9" t="n">
        <v>0</v>
      </c>
      <c r="AAD84" s="10" t="n">
        <v>46090</v>
      </c>
      <c r="AAF84" s="9" t="n">
        <v>0</v>
      </c>
      <c r="AAH84" s="9" t="n">
        <v>0</v>
      </c>
      <c r="AAI84" s="9" t="n">
        <v>0</v>
      </c>
      <c r="AAM84" s="10" t="n">
        <v>46090</v>
      </c>
      <c r="AAO84" s="9" t="n">
        <v>0</v>
      </c>
      <c r="AAQ84" s="9" t="n">
        <v>0</v>
      </c>
      <c r="AAR84" s="9" t="n">
        <v>0</v>
      </c>
      <c r="AAV84" s="10" t="n">
        <v>46090</v>
      </c>
      <c r="AAX84" s="9" t="n">
        <v>0</v>
      </c>
      <c r="AAZ84" s="9" t="n">
        <v>0</v>
      </c>
      <c r="ABA84" s="9" t="n">
        <v>0</v>
      </c>
      <c r="ABE84" s="10" t="n">
        <v>46090</v>
      </c>
      <c r="ABG84" s="9" t="n">
        <v>0</v>
      </c>
      <c r="ABI84" s="9" t="n">
        <v>0</v>
      </c>
      <c r="ABJ84" s="9" t="n">
        <v>0</v>
      </c>
    </row>
    <row r="85">
      <c r="B85" s="9" t="n">
        <v>20</v>
      </c>
      <c r="C85" s="10" t="n">
        <v>46091</v>
      </c>
      <c r="D85" s="9" t="n">
        <v>52080</v>
      </c>
      <c r="E85" s="9" t="n">
        <v>11710</v>
      </c>
      <c r="F85" s="9" t="n">
        <v>11707.8</v>
      </c>
      <c r="G85" s="9" t="n">
        <v>2.200000000000728</v>
      </c>
      <c r="H85" s="9" t="n">
        <v>53554.8</v>
      </c>
      <c r="I85" s="9" t="inlineStr">
        <is>
          <t>1102 20mt</t>
        </is>
      </c>
      <c r="L85" s="10" t="n">
        <v>46091</v>
      </c>
      <c r="M85" s="9" t="n">
        <v>26540</v>
      </c>
      <c r="N85" s="9" t="n">
        <v>5080</v>
      </c>
      <c r="O85" s="9" t="n">
        <v>5079.4</v>
      </c>
      <c r="P85" s="9" t="n">
        <v>0.6000000000003638</v>
      </c>
      <c r="Q85" s="9" t="n">
        <v>51264.80000000004</v>
      </c>
      <c r="U85" s="10" t="n">
        <v>46091</v>
      </c>
      <c r="W85" s="9" t="n">
        <v>500</v>
      </c>
      <c r="X85" s="9" t="n">
        <v>500.3</v>
      </c>
      <c r="Y85" s="9" t="n">
        <v>-0.3000000000000114</v>
      </c>
      <c r="Z85" s="9" t="n">
        <v>35064.49999999997</v>
      </c>
      <c r="AD85" s="10" t="n">
        <v>46091</v>
      </c>
      <c r="AF85" s="9" t="n">
        <v>1000</v>
      </c>
      <c r="AG85" s="9" t="n">
        <v>1000.8</v>
      </c>
      <c r="AH85" s="9" t="n">
        <v>-0.7999999999999545</v>
      </c>
      <c r="AI85" s="9" t="n">
        <v>24066.60000000002</v>
      </c>
      <c r="AM85" s="10" t="n">
        <v>46091</v>
      </c>
      <c r="AO85" s="9" t="n">
        <v>0</v>
      </c>
      <c r="AQ85" s="9" t="n">
        <v>0</v>
      </c>
      <c r="AR85" s="9" t="n">
        <v>0</v>
      </c>
      <c r="AV85" s="10" t="n">
        <v>46091</v>
      </c>
      <c r="AX85" s="9" t="n">
        <v>200</v>
      </c>
      <c r="AY85" s="9" t="n">
        <v>201.1</v>
      </c>
      <c r="AZ85" s="9" t="n">
        <v>-1.099999999999994</v>
      </c>
      <c r="BA85" s="9" t="n">
        <v>46200.29999999999</v>
      </c>
      <c r="BE85" s="10" t="n">
        <v>46091</v>
      </c>
      <c r="BG85" s="9" t="n">
        <v>500</v>
      </c>
      <c r="BH85" s="9" t="n">
        <v>497.8</v>
      </c>
      <c r="BI85" s="9" t="n">
        <v>2.199999999999989</v>
      </c>
      <c r="BJ85" s="9" t="n">
        <v>831.1000000000042</v>
      </c>
      <c r="BN85" s="10" t="n">
        <v>46091</v>
      </c>
      <c r="BO85" s="9" t="n">
        <v>500</v>
      </c>
      <c r="BP85" s="9" t="n">
        <v>500</v>
      </c>
      <c r="BQ85" s="9" t="n">
        <v>500</v>
      </c>
      <c r="BR85" s="9" t="n">
        <v>0</v>
      </c>
      <c r="BS85" s="9" t="n">
        <v>0</v>
      </c>
      <c r="BW85" s="10" t="n">
        <v>46091</v>
      </c>
      <c r="BY85" s="9" t="n">
        <v>0</v>
      </c>
      <c r="CA85" s="9" t="n">
        <v>0</v>
      </c>
      <c r="CB85" s="9" t="n">
        <v>4829.8</v>
      </c>
      <c r="CF85" s="10" t="n">
        <v>46091</v>
      </c>
      <c r="CH85" s="9" t="n">
        <v>100</v>
      </c>
      <c r="CJ85" s="9" t="n">
        <v>100</v>
      </c>
      <c r="CK85" s="9" t="n">
        <v>0</v>
      </c>
      <c r="CO85" s="10" t="n">
        <v>46091</v>
      </c>
      <c r="CQ85" s="9" t="n">
        <v>0</v>
      </c>
      <c r="CS85" s="9" t="n">
        <v>0</v>
      </c>
      <c r="CT85" s="9" t="n">
        <v>0</v>
      </c>
      <c r="CX85" s="10" t="n">
        <v>46091</v>
      </c>
      <c r="CY85" s="9" t="n">
        <v>10240</v>
      </c>
      <c r="CZ85" s="9" t="n">
        <v>0</v>
      </c>
      <c r="DB85" s="9" t="n">
        <v>0</v>
      </c>
      <c r="DC85" s="9" t="n">
        <v>40925.7</v>
      </c>
      <c r="DG85" s="10" t="n">
        <v>46091</v>
      </c>
      <c r="DI85" s="9" t="n">
        <v>0</v>
      </c>
      <c r="DK85" s="9" t="n">
        <v>0</v>
      </c>
      <c r="DL85" s="9" t="n">
        <v>5879.599999999996</v>
      </c>
      <c r="DP85" s="10" t="n">
        <v>46091</v>
      </c>
      <c r="DR85" s="9" t="n">
        <v>0</v>
      </c>
      <c r="DT85" s="9" t="n">
        <v>0</v>
      </c>
      <c r="DU85" s="9" t="n">
        <v>7150</v>
      </c>
      <c r="DY85" s="10" t="n">
        <v>46091</v>
      </c>
      <c r="EA85" s="9" t="n">
        <v>0</v>
      </c>
      <c r="EC85" s="9" t="n">
        <v>0</v>
      </c>
      <c r="ED85" s="9" t="n">
        <v>5197.3</v>
      </c>
      <c r="EH85" s="10" t="n">
        <v>46091</v>
      </c>
      <c r="EJ85" s="9" t="n">
        <v>0</v>
      </c>
      <c r="EL85" s="9" t="n">
        <v>0</v>
      </c>
      <c r="EM85" s="9" t="n">
        <v>0</v>
      </c>
      <c r="EQ85" s="10" t="n">
        <v>46091</v>
      </c>
      <c r="ES85" s="9" t="n">
        <v>0</v>
      </c>
      <c r="EU85" s="9" t="n">
        <v>0</v>
      </c>
      <c r="EV85" s="9" t="n">
        <v>0</v>
      </c>
      <c r="EZ85" s="10" t="n">
        <v>46091</v>
      </c>
      <c r="FB85" s="9" t="n">
        <v>0</v>
      </c>
      <c r="FD85" s="9" t="n">
        <v>0</v>
      </c>
      <c r="FE85" s="9" t="n">
        <v>0</v>
      </c>
      <c r="FI85" s="10" t="n">
        <v>46091</v>
      </c>
      <c r="FK85" s="9" t="n">
        <v>0</v>
      </c>
      <c r="FM85" s="9" t="n">
        <v>0</v>
      </c>
      <c r="FN85" s="9" t="n">
        <v>0</v>
      </c>
      <c r="FR85" s="10" t="n">
        <v>46091</v>
      </c>
      <c r="FT85" s="9" t="n">
        <v>0</v>
      </c>
      <c r="FV85" s="9" t="n">
        <v>0</v>
      </c>
      <c r="FW85" s="9" t="n">
        <v>20</v>
      </c>
      <c r="GA85" s="10" t="n">
        <v>46091</v>
      </c>
      <c r="GC85" s="9" t="n">
        <v>400</v>
      </c>
      <c r="GE85" s="9" t="n">
        <v>400</v>
      </c>
      <c r="GF85" s="9" t="n">
        <v>5560</v>
      </c>
      <c r="GJ85" s="10" t="n">
        <v>46091</v>
      </c>
      <c r="GL85" s="9" t="n">
        <v>0</v>
      </c>
      <c r="GN85" s="9" t="n">
        <v>0</v>
      </c>
      <c r="GO85" s="9" t="n">
        <v>5240</v>
      </c>
      <c r="GS85" s="10" t="n">
        <v>46091</v>
      </c>
      <c r="GU85" s="9" t="n">
        <v>0</v>
      </c>
      <c r="GW85" s="9" t="n">
        <v>0</v>
      </c>
      <c r="GX85" s="9" t="n">
        <v>0</v>
      </c>
      <c r="HB85" s="10" t="n">
        <v>46091</v>
      </c>
      <c r="HD85" s="9" t="n">
        <v>0</v>
      </c>
      <c r="HF85" s="9" t="n">
        <v>0</v>
      </c>
      <c r="HG85" s="9" t="n">
        <v>0</v>
      </c>
      <c r="HK85" s="10" t="n">
        <v>46091</v>
      </c>
      <c r="HM85" s="9" t="n">
        <v>0</v>
      </c>
      <c r="HO85" s="9" t="n">
        <v>0</v>
      </c>
      <c r="HP85" s="9" t="n">
        <v>0</v>
      </c>
      <c r="HU85" s="10" t="n">
        <v>46091</v>
      </c>
      <c r="HW85" s="9" t="n">
        <v>0</v>
      </c>
      <c r="HY85" s="9" t="n">
        <v>0</v>
      </c>
      <c r="HZ85" s="9" t="n">
        <v>5120</v>
      </c>
      <c r="ID85" s="10" t="n">
        <v>46091</v>
      </c>
      <c r="IF85" s="9" t="n">
        <v>0</v>
      </c>
      <c r="IH85" s="9" t="n">
        <v>0</v>
      </c>
      <c r="II85" s="9" t="n">
        <v>6540</v>
      </c>
      <c r="IM85" s="10" t="n">
        <v>46091</v>
      </c>
      <c r="IO85" s="9" t="n">
        <v>0</v>
      </c>
      <c r="IQ85" s="9" t="n">
        <v>0</v>
      </c>
      <c r="IR85" s="9" t="n">
        <v>11540</v>
      </c>
      <c r="IV85" s="10" t="n">
        <v>46091</v>
      </c>
      <c r="IX85" s="9" t="n">
        <v>0</v>
      </c>
      <c r="IZ85" s="9" t="n">
        <v>0</v>
      </c>
      <c r="JA85" s="9" t="n">
        <v>15120</v>
      </c>
      <c r="JE85" s="10" t="n">
        <v>46091</v>
      </c>
      <c r="JG85" s="9" t="n">
        <v>0</v>
      </c>
      <c r="JI85" s="9" t="n">
        <v>0</v>
      </c>
      <c r="JJ85" s="9" t="n">
        <v>5040</v>
      </c>
      <c r="JN85" s="10" t="n">
        <v>46091</v>
      </c>
      <c r="JP85" s="9" t="n">
        <v>0</v>
      </c>
      <c r="JR85" s="9" t="n">
        <v>0</v>
      </c>
      <c r="JS85" s="9" t="n">
        <v>9100</v>
      </c>
      <c r="JW85" s="10" t="n">
        <v>46091</v>
      </c>
      <c r="JY85" s="9" t="n">
        <v>0</v>
      </c>
      <c r="KA85" s="9" t="n">
        <v>0</v>
      </c>
      <c r="KB85" s="9" t="n">
        <v>4740</v>
      </c>
      <c r="KF85" s="10" t="n">
        <v>46091</v>
      </c>
      <c r="KH85" s="9" t="n">
        <v>0</v>
      </c>
      <c r="KJ85" s="9" t="n">
        <v>0</v>
      </c>
      <c r="KK85" s="9" t="n">
        <v>5284.5</v>
      </c>
      <c r="KO85" s="10" t="n">
        <v>46091</v>
      </c>
      <c r="KQ85" s="9" t="n">
        <v>0</v>
      </c>
      <c r="KS85" s="9" t="n">
        <v>0</v>
      </c>
      <c r="KT85" s="9" t="n">
        <v>1701.000000000001</v>
      </c>
      <c r="KX85" s="10" t="n">
        <v>46091</v>
      </c>
      <c r="KZ85" s="9" t="n">
        <v>0</v>
      </c>
      <c r="LB85" s="9" t="n">
        <v>0</v>
      </c>
      <c r="LC85" s="9" t="n">
        <v>0</v>
      </c>
      <c r="LG85" s="10" t="n">
        <v>46091</v>
      </c>
      <c r="LI85" s="9" t="n">
        <v>0</v>
      </c>
      <c r="LK85" s="9" t="n">
        <v>0</v>
      </c>
      <c r="LL85" s="9" t="n">
        <v>0</v>
      </c>
      <c r="LP85" s="10" t="n">
        <v>46091</v>
      </c>
      <c r="LR85" s="9" t="n">
        <v>0</v>
      </c>
      <c r="LT85" s="9" t="n">
        <v>0</v>
      </c>
      <c r="LU85" s="9" t="n">
        <v>0</v>
      </c>
      <c r="LY85" s="10" t="n">
        <v>46091</v>
      </c>
      <c r="MA85" s="9" t="n">
        <v>0</v>
      </c>
      <c r="MC85" s="9" t="n">
        <v>0</v>
      </c>
      <c r="MD85" s="9" t="n">
        <v>0</v>
      </c>
      <c r="MH85" s="10" t="n">
        <v>46091</v>
      </c>
      <c r="MJ85" s="9" t="n">
        <v>0</v>
      </c>
      <c r="ML85" s="9" t="n">
        <v>0</v>
      </c>
      <c r="MM85" s="9" t="n">
        <v>0</v>
      </c>
      <c r="MQ85" s="10" t="n">
        <v>46091</v>
      </c>
      <c r="MS85" s="9" t="n">
        <v>10</v>
      </c>
      <c r="MU85" s="9" t="n">
        <v>10</v>
      </c>
      <c r="MV85" s="9" t="n">
        <v>3450</v>
      </c>
      <c r="MZ85" s="10" t="n">
        <v>46091</v>
      </c>
      <c r="NB85" s="9" t="n">
        <v>0</v>
      </c>
      <c r="ND85" s="9" t="n">
        <v>0</v>
      </c>
      <c r="NE85" s="9" t="n">
        <v>0</v>
      </c>
      <c r="NI85" s="10" t="n">
        <v>46091</v>
      </c>
      <c r="NJ85" s="9" t="n">
        <v>165</v>
      </c>
      <c r="NK85" s="9" t="n">
        <v>0</v>
      </c>
      <c r="NM85" s="9" t="n">
        <v>0</v>
      </c>
      <c r="NN85" s="9" t="n">
        <v>165</v>
      </c>
      <c r="NR85" s="10" t="n">
        <v>46091</v>
      </c>
      <c r="NT85" s="9" t="n">
        <v>0</v>
      </c>
      <c r="NV85" s="9" t="n">
        <v>0</v>
      </c>
      <c r="NW85" s="9" t="n">
        <v>1578.9</v>
      </c>
      <c r="OA85" s="10" t="n">
        <v>46091</v>
      </c>
      <c r="OC85" s="9" t="n">
        <v>0</v>
      </c>
      <c r="OE85" s="9" t="n">
        <v>0</v>
      </c>
      <c r="OF85" s="9" t="n">
        <v>1680.5</v>
      </c>
      <c r="OJ85" s="10" t="n">
        <v>46091</v>
      </c>
      <c r="OL85" s="9" t="n">
        <v>0</v>
      </c>
      <c r="ON85" s="9" t="n">
        <v>0</v>
      </c>
      <c r="OO85" s="9" t="n">
        <v>0</v>
      </c>
      <c r="OS85" s="10" t="n">
        <v>46091</v>
      </c>
      <c r="OU85" s="9" t="n">
        <v>0</v>
      </c>
      <c r="OW85" s="9" t="n">
        <v>0</v>
      </c>
      <c r="OX85" s="9" t="n">
        <v>0</v>
      </c>
      <c r="PB85" s="10" t="n">
        <v>46091</v>
      </c>
      <c r="PD85" s="9" t="n">
        <v>0</v>
      </c>
      <c r="PF85" s="9" t="n">
        <v>0</v>
      </c>
      <c r="PG85" s="9" t="n">
        <v>0</v>
      </c>
      <c r="PK85" s="10" t="n">
        <v>46091</v>
      </c>
      <c r="PM85" s="9" t="n">
        <v>0</v>
      </c>
      <c r="PO85" s="9" t="n">
        <v>0</v>
      </c>
      <c r="PP85" s="9" t="n">
        <v>100</v>
      </c>
      <c r="PT85" s="10" t="n">
        <v>46091</v>
      </c>
      <c r="PV85" s="9" t="n">
        <v>0</v>
      </c>
      <c r="PX85" s="9" t="n">
        <v>0</v>
      </c>
      <c r="PY85" s="9" t="n">
        <v>13.96000000000004</v>
      </c>
      <c r="QC85" s="10" t="n">
        <v>46091</v>
      </c>
      <c r="QE85" s="9" t="n">
        <v>0</v>
      </c>
      <c r="QG85" s="9" t="n">
        <v>0</v>
      </c>
      <c r="QH85" s="9" t="n">
        <v>1212</v>
      </c>
      <c r="QL85" s="10" t="n">
        <v>46091</v>
      </c>
      <c r="QN85" s="9" t="n">
        <v>0</v>
      </c>
      <c r="QP85" s="9" t="n">
        <v>0</v>
      </c>
      <c r="QQ85" s="9" t="n">
        <v>0</v>
      </c>
      <c r="QU85" s="10" t="n">
        <v>46091</v>
      </c>
      <c r="QW85" s="9" t="n">
        <v>0</v>
      </c>
      <c r="QY85" s="9" t="n">
        <v>0</v>
      </c>
      <c r="QZ85" s="9" t="n">
        <v>207.6</v>
      </c>
      <c r="RD85" s="10" t="n">
        <v>46091</v>
      </c>
      <c r="RF85" s="9" t="n">
        <v>0</v>
      </c>
      <c r="RH85" s="9" t="n">
        <v>0</v>
      </c>
      <c r="RI85" s="9" t="n">
        <v>197.04</v>
      </c>
      <c r="RM85" s="10" t="n">
        <v>46091</v>
      </c>
      <c r="RO85" s="9" t="n">
        <v>0</v>
      </c>
      <c r="RQ85" s="9" t="n">
        <v>0</v>
      </c>
      <c r="RR85" s="9" t="n">
        <v>46.8</v>
      </c>
      <c r="RV85" s="10" t="n">
        <v>46091</v>
      </c>
      <c r="RX85" s="9" t="n">
        <v>0</v>
      </c>
      <c r="RZ85" s="9" t="n">
        <v>0</v>
      </c>
      <c r="SA85" s="9" t="n">
        <v>0</v>
      </c>
      <c r="SE85" s="10" t="n">
        <v>46091</v>
      </c>
      <c r="SG85" s="9" t="n">
        <v>0</v>
      </c>
      <c r="SI85" s="9" t="n">
        <v>0</v>
      </c>
      <c r="SJ85" s="9" t="n">
        <v>0</v>
      </c>
      <c r="SN85" s="10" t="n">
        <v>46091</v>
      </c>
      <c r="SP85" s="9" t="n">
        <v>0</v>
      </c>
      <c r="SR85" s="9" t="n">
        <v>0</v>
      </c>
      <c r="SS85" s="9" t="n">
        <v>0</v>
      </c>
      <c r="SW85" s="10" t="n">
        <v>46091</v>
      </c>
      <c r="SY85" s="9" t="n">
        <v>0</v>
      </c>
      <c r="TA85" s="9" t="n">
        <v>0</v>
      </c>
      <c r="TB85" s="9" t="n">
        <v>0</v>
      </c>
      <c r="TF85" s="10" t="n">
        <v>46091</v>
      </c>
      <c r="TH85" s="9" t="n">
        <v>0</v>
      </c>
      <c r="TJ85" s="9" t="n">
        <v>0</v>
      </c>
      <c r="TK85" s="9" t="n">
        <v>0</v>
      </c>
      <c r="TO85" s="10" t="n">
        <v>46091</v>
      </c>
      <c r="TQ85" s="9" t="n">
        <v>0</v>
      </c>
      <c r="TS85" s="9" t="n">
        <v>0</v>
      </c>
      <c r="TT85" s="9" t="n">
        <v>0</v>
      </c>
      <c r="TX85" s="10" t="n">
        <v>46091</v>
      </c>
      <c r="TZ85" s="9" t="n">
        <v>0</v>
      </c>
      <c r="UB85" s="9" t="n">
        <v>0</v>
      </c>
      <c r="UC85" s="9" t="n">
        <v>0</v>
      </c>
      <c r="UG85" s="10" t="n">
        <v>46091</v>
      </c>
      <c r="UI85" s="9" t="n">
        <v>0</v>
      </c>
      <c r="UK85" s="9" t="n">
        <v>0</v>
      </c>
      <c r="UL85" s="9" t="n">
        <v>0</v>
      </c>
      <c r="UP85" s="10" t="n">
        <v>46091</v>
      </c>
      <c r="UR85" s="9" t="n">
        <v>0</v>
      </c>
      <c r="UT85" s="9" t="n">
        <v>0</v>
      </c>
      <c r="UU85" s="9" t="n">
        <v>0</v>
      </c>
      <c r="UY85" s="10" t="n">
        <v>46091</v>
      </c>
      <c r="VA85" s="9" t="n">
        <v>0</v>
      </c>
      <c r="VC85" s="9" t="n">
        <v>0</v>
      </c>
      <c r="VD85" s="9" t="n">
        <v>41.60000000000002</v>
      </c>
      <c r="VH85" s="10" t="n">
        <v>46091</v>
      </c>
      <c r="VJ85" s="9" t="n">
        <v>0</v>
      </c>
      <c r="VL85" s="9" t="n">
        <v>0</v>
      </c>
      <c r="VM85" s="9" t="n">
        <v>0</v>
      </c>
      <c r="VQ85" s="10" t="n">
        <v>46091</v>
      </c>
      <c r="VS85" s="9" t="n">
        <v>0</v>
      </c>
      <c r="VU85" s="9" t="n">
        <v>0</v>
      </c>
      <c r="VV85" s="9" t="n">
        <v>0</v>
      </c>
      <c r="VZ85" s="10" t="n">
        <v>46091</v>
      </c>
      <c r="WB85" s="9" t="n">
        <v>0</v>
      </c>
      <c r="WD85" s="9" t="n">
        <v>0</v>
      </c>
      <c r="WE85" s="9" t="n">
        <v>0</v>
      </c>
      <c r="WI85" s="10" t="n">
        <v>46091</v>
      </c>
      <c r="WK85" s="9" t="n">
        <v>0</v>
      </c>
      <c r="WM85" s="9" t="n">
        <v>0</v>
      </c>
      <c r="WN85" s="9" t="n">
        <v>6022</v>
      </c>
      <c r="WR85" s="10" t="n">
        <v>46091</v>
      </c>
      <c r="WT85" s="9" t="n">
        <v>0</v>
      </c>
      <c r="WU85" s="9" t="n">
        <v>387</v>
      </c>
      <c r="WV85" s="9" t="n">
        <v>-387</v>
      </c>
      <c r="WW85" s="9" t="n">
        <v>5568</v>
      </c>
      <c r="XA85" s="10" t="n">
        <v>46091</v>
      </c>
      <c r="XC85" s="9" t="n">
        <v>0</v>
      </c>
      <c r="XE85" s="9" t="n">
        <v>0</v>
      </c>
      <c r="XF85" s="9" t="n">
        <v>590</v>
      </c>
      <c r="XJ85" s="10" t="n">
        <v>46091</v>
      </c>
      <c r="XL85" s="9" t="n">
        <v>0</v>
      </c>
      <c r="XN85" s="9" t="n">
        <v>0</v>
      </c>
      <c r="XO85" s="9" t="n">
        <v>1439</v>
      </c>
      <c r="XS85" s="10" t="n">
        <v>46091</v>
      </c>
      <c r="XU85" s="9" t="n">
        <v>0</v>
      </c>
      <c r="XW85" s="9" t="n">
        <v>0</v>
      </c>
      <c r="XX85" s="9" t="n">
        <v>1901</v>
      </c>
      <c r="YB85" s="10" t="n">
        <v>46091</v>
      </c>
      <c r="YD85" s="9" t="n">
        <v>0</v>
      </c>
      <c r="YF85" s="9" t="n">
        <v>0</v>
      </c>
      <c r="YG85" s="9" t="n">
        <v>0</v>
      </c>
      <c r="YK85" s="10" t="n">
        <v>46091</v>
      </c>
      <c r="YM85" s="9" t="n">
        <v>0</v>
      </c>
      <c r="YO85" s="9" t="n">
        <v>0</v>
      </c>
      <c r="YP85" s="9" t="n">
        <v>0</v>
      </c>
      <c r="YT85" s="10" t="n">
        <v>46091</v>
      </c>
      <c r="YV85" s="9" t="n">
        <v>0</v>
      </c>
      <c r="YX85" s="9" t="n">
        <v>0</v>
      </c>
      <c r="YY85" s="9" t="n">
        <v>0</v>
      </c>
      <c r="ZC85" s="10" t="n">
        <v>46091</v>
      </c>
      <c r="ZE85" s="9" t="n">
        <v>0</v>
      </c>
      <c r="ZG85" s="9" t="n">
        <v>0</v>
      </c>
      <c r="ZH85" s="9" t="n">
        <v>0</v>
      </c>
      <c r="ZL85" s="10" t="n">
        <v>46091</v>
      </c>
      <c r="ZN85" s="9" t="n">
        <v>0</v>
      </c>
      <c r="ZP85" s="9" t="n">
        <v>0</v>
      </c>
      <c r="ZQ85" s="9" t="n">
        <v>0</v>
      </c>
      <c r="ZU85" s="10" t="n">
        <v>46091</v>
      </c>
      <c r="ZW85" s="9" t="n">
        <v>0</v>
      </c>
      <c r="ZY85" s="9" t="n">
        <v>0</v>
      </c>
      <c r="ZZ85" s="9" t="n">
        <v>0</v>
      </c>
      <c r="AAD85" s="10" t="n">
        <v>46091</v>
      </c>
      <c r="AAF85" s="9" t="n">
        <v>0</v>
      </c>
      <c r="AAH85" s="9" t="n">
        <v>0</v>
      </c>
      <c r="AAI85" s="9" t="n">
        <v>0</v>
      </c>
      <c r="AAM85" s="10" t="n">
        <v>46091</v>
      </c>
      <c r="AAO85" s="9" t="n">
        <v>0</v>
      </c>
      <c r="AAQ85" s="9" t="n">
        <v>0</v>
      </c>
      <c r="AAR85" s="9" t="n">
        <v>0</v>
      </c>
      <c r="AAV85" s="10" t="n">
        <v>46091</v>
      </c>
      <c r="AAX85" s="9" t="n">
        <v>0</v>
      </c>
      <c r="AAZ85" s="9" t="n">
        <v>0</v>
      </c>
      <c r="ABA85" s="9" t="n">
        <v>0</v>
      </c>
      <c r="ABE85" s="10" t="n">
        <v>46091</v>
      </c>
      <c r="ABG85" s="9" t="n">
        <v>0</v>
      </c>
      <c r="ABI85" s="9" t="n">
        <v>0</v>
      </c>
      <c r="ABJ85" s="9" t="n">
        <v>0</v>
      </c>
    </row>
    <row r="86">
      <c r="C86" s="10" t="n">
        <v>46092</v>
      </c>
      <c r="D86" s="9" t="n">
        <v>62100</v>
      </c>
      <c r="E86" s="9" t="n">
        <v>0</v>
      </c>
      <c r="G86" s="9" t="n">
        <v>0</v>
      </c>
      <c r="H86" s="9" t="n">
        <v>115654.8</v>
      </c>
      <c r="L86" s="10" t="n">
        <v>46092</v>
      </c>
      <c r="M86" s="9" t="n">
        <v>25680</v>
      </c>
      <c r="N86" s="9" t="n">
        <v>0</v>
      </c>
      <c r="P86" s="9" t="n">
        <v>0</v>
      </c>
      <c r="Q86" s="9" t="n">
        <v>76944.80000000005</v>
      </c>
      <c r="U86" s="10" t="n">
        <v>46092</v>
      </c>
      <c r="W86" s="9" t="n">
        <v>0</v>
      </c>
      <c r="Y86" s="9" t="n">
        <v>0</v>
      </c>
      <c r="Z86" s="9" t="n">
        <v>35064.49999999997</v>
      </c>
      <c r="AD86" s="10" t="n">
        <v>46092</v>
      </c>
      <c r="AF86" s="9" t="n">
        <v>0</v>
      </c>
      <c r="AH86" s="9" t="n">
        <v>0</v>
      </c>
      <c r="AI86" s="9" t="n">
        <v>24066.60000000002</v>
      </c>
      <c r="AM86" s="10" t="n">
        <v>46092</v>
      </c>
      <c r="AO86" s="9" t="n">
        <v>0</v>
      </c>
      <c r="AQ86" s="9" t="n">
        <v>0</v>
      </c>
      <c r="AR86" s="9" t="n">
        <v>0</v>
      </c>
      <c r="AV86" s="10" t="n">
        <v>46092</v>
      </c>
      <c r="AX86" s="9" t="n">
        <v>0</v>
      </c>
      <c r="AZ86" s="9" t="n">
        <v>0</v>
      </c>
      <c r="BA86" s="9" t="n">
        <v>46200.29999999999</v>
      </c>
      <c r="BE86" s="10" t="n">
        <v>46092</v>
      </c>
      <c r="BG86" s="9" t="n">
        <v>0</v>
      </c>
      <c r="BI86" s="9" t="n">
        <v>0</v>
      </c>
      <c r="BJ86" s="9" t="n">
        <v>831.1000000000042</v>
      </c>
      <c r="BN86" s="10" t="n">
        <v>46092</v>
      </c>
      <c r="BP86" s="9" t="n">
        <v>0</v>
      </c>
      <c r="BR86" s="9" t="n">
        <v>0</v>
      </c>
      <c r="BS86" s="9" t="n">
        <v>0</v>
      </c>
      <c r="BW86" s="10" t="n">
        <v>46092</v>
      </c>
      <c r="BY86" s="9" t="n">
        <v>0</v>
      </c>
      <c r="CA86" s="9" t="n">
        <v>0</v>
      </c>
      <c r="CB86" s="9" t="n">
        <v>4829.8</v>
      </c>
      <c r="CF86" s="10" t="n">
        <v>46092</v>
      </c>
      <c r="CH86" s="9" t="n">
        <v>0</v>
      </c>
      <c r="CJ86" s="9" t="n">
        <v>0</v>
      </c>
      <c r="CK86" s="9" t="n">
        <v>0</v>
      </c>
      <c r="CO86" s="10" t="n">
        <v>46092</v>
      </c>
      <c r="CQ86" s="9" t="n">
        <v>0</v>
      </c>
      <c r="CS86" s="9" t="n">
        <v>0</v>
      </c>
      <c r="CT86" s="9" t="n">
        <v>0</v>
      </c>
      <c r="CX86" s="10" t="n">
        <v>46092</v>
      </c>
      <c r="CZ86" s="9" t="n">
        <v>0</v>
      </c>
      <c r="DB86" s="9" t="n">
        <v>0</v>
      </c>
      <c r="DC86" s="9" t="n">
        <v>40925.7</v>
      </c>
      <c r="DG86" s="10" t="n">
        <v>46092</v>
      </c>
      <c r="DH86" s="9" t="n">
        <v>10160</v>
      </c>
      <c r="DI86" s="9" t="n">
        <v>0</v>
      </c>
      <c r="DK86" s="9" t="n">
        <v>0</v>
      </c>
      <c r="DL86" s="9" t="n">
        <v>16039.59999999999</v>
      </c>
      <c r="DP86" s="10" t="n">
        <v>46092</v>
      </c>
      <c r="DR86" s="9" t="n">
        <v>0</v>
      </c>
      <c r="DT86" s="9" t="n">
        <v>0</v>
      </c>
      <c r="DU86" s="9" t="n">
        <v>7150</v>
      </c>
      <c r="DY86" s="10" t="n">
        <v>46092</v>
      </c>
      <c r="EA86" s="9" t="n">
        <v>0</v>
      </c>
      <c r="EC86" s="9" t="n">
        <v>0</v>
      </c>
      <c r="ED86" s="9" t="n">
        <v>5197.3</v>
      </c>
      <c r="EH86" s="10" t="n">
        <v>46092</v>
      </c>
      <c r="EJ86" s="9" t="n">
        <v>0</v>
      </c>
      <c r="EL86" s="9" t="n">
        <v>0</v>
      </c>
      <c r="EM86" s="9" t="n">
        <v>0</v>
      </c>
      <c r="EQ86" s="10" t="n">
        <v>46092</v>
      </c>
      <c r="ES86" s="9" t="n">
        <v>0</v>
      </c>
      <c r="EU86" s="9" t="n">
        <v>0</v>
      </c>
      <c r="EV86" s="9" t="n">
        <v>0</v>
      </c>
      <c r="EZ86" s="10" t="n">
        <v>46092</v>
      </c>
      <c r="FB86" s="9" t="n">
        <v>0</v>
      </c>
      <c r="FD86" s="9" t="n">
        <v>0</v>
      </c>
      <c r="FE86" s="9" t="n">
        <v>0</v>
      </c>
      <c r="FI86" s="10" t="n">
        <v>46092</v>
      </c>
      <c r="FK86" s="9" t="n">
        <v>0</v>
      </c>
      <c r="FM86" s="9" t="n">
        <v>0</v>
      </c>
      <c r="FN86" s="9" t="n">
        <v>0</v>
      </c>
      <c r="FR86" s="10" t="n">
        <v>46092</v>
      </c>
      <c r="FS86" s="9" t="n">
        <v>2000</v>
      </c>
      <c r="FT86" s="9" t="n">
        <v>0</v>
      </c>
      <c r="FV86" s="9" t="n">
        <v>0</v>
      </c>
      <c r="FW86" s="9" t="n">
        <v>2020</v>
      </c>
      <c r="GA86" s="10" t="n">
        <v>46092</v>
      </c>
      <c r="GC86" s="9" t="n">
        <v>0</v>
      </c>
      <c r="GE86" s="9" t="n">
        <v>0</v>
      </c>
      <c r="GF86" s="9" t="n">
        <v>5560</v>
      </c>
      <c r="GJ86" s="10" t="n">
        <v>46092</v>
      </c>
      <c r="GL86" s="9" t="n">
        <v>0</v>
      </c>
      <c r="GN86" s="9" t="n">
        <v>0</v>
      </c>
      <c r="GO86" s="9" t="n">
        <v>5240</v>
      </c>
      <c r="GS86" s="10" t="n">
        <v>46092</v>
      </c>
      <c r="GU86" s="9" t="n">
        <v>0</v>
      </c>
      <c r="GW86" s="9" t="n">
        <v>0</v>
      </c>
      <c r="GX86" s="9" t="n">
        <v>0</v>
      </c>
      <c r="HB86" s="10" t="n">
        <v>46092</v>
      </c>
      <c r="HD86" s="9" t="n">
        <v>0</v>
      </c>
      <c r="HF86" s="9" t="n">
        <v>0</v>
      </c>
      <c r="HG86" s="9" t="n">
        <v>0</v>
      </c>
      <c r="HK86" s="10" t="n">
        <v>46092</v>
      </c>
      <c r="HM86" s="9" t="n">
        <v>0</v>
      </c>
      <c r="HO86" s="9" t="n">
        <v>0</v>
      </c>
      <c r="HP86" s="9" t="n">
        <v>0</v>
      </c>
      <c r="HU86" s="10" t="n">
        <v>46092</v>
      </c>
      <c r="HW86" s="9" t="n">
        <v>0</v>
      </c>
      <c r="HY86" s="9" t="n">
        <v>0</v>
      </c>
      <c r="HZ86" s="9" t="n">
        <v>5120</v>
      </c>
      <c r="ID86" s="10" t="n">
        <v>46092</v>
      </c>
      <c r="IF86" s="9" t="n">
        <v>0</v>
      </c>
      <c r="IH86" s="9" t="n">
        <v>0</v>
      </c>
      <c r="II86" s="9" t="n">
        <v>6540</v>
      </c>
      <c r="IM86" s="10" t="n">
        <v>46092</v>
      </c>
      <c r="IO86" s="9" t="n">
        <v>0</v>
      </c>
      <c r="IQ86" s="9" t="n">
        <v>0</v>
      </c>
      <c r="IR86" s="9" t="n">
        <v>11540</v>
      </c>
      <c r="IV86" s="10" t="n">
        <v>46092</v>
      </c>
      <c r="IX86" s="9" t="n">
        <v>0</v>
      </c>
      <c r="IZ86" s="9" t="n">
        <v>0</v>
      </c>
      <c r="JA86" s="9" t="n">
        <v>15120</v>
      </c>
      <c r="JE86" s="10" t="n">
        <v>46092</v>
      </c>
      <c r="JG86" s="9" t="n">
        <v>0</v>
      </c>
      <c r="JI86" s="9" t="n">
        <v>0</v>
      </c>
      <c r="JJ86" s="9" t="n">
        <v>5040</v>
      </c>
      <c r="JN86" s="10" t="n">
        <v>46092</v>
      </c>
      <c r="JP86" s="9" t="n">
        <v>0</v>
      </c>
      <c r="JR86" s="9" t="n">
        <v>0</v>
      </c>
      <c r="JS86" s="9" t="n">
        <v>9100</v>
      </c>
      <c r="JW86" s="10" t="n">
        <v>46092</v>
      </c>
      <c r="JY86" s="9" t="n">
        <v>0</v>
      </c>
      <c r="KA86" s="9" t="n">
        <v>0</v>
      </c>
      <c r="KB86" s="9" t="n">
        <v>4740</v>
      </c>
      <c r="KF86" s="10" t="n">
        <v>46092</v>
      </c>
      <c r="KH86" s="9" t="n">
        <v>0</v>
      </c>
      <c r="KJ86" s="9" t="n">
        <v>0</v>
      </c>
      <c r="KK86" s="9" t="n">
        <v>5284.5</v>
      </c>
      <c r="KO86" s="10" t="n">
        <v>46092</v>
      </c>
      <c r="KQ86" s="9" t="n">
        <v>0</v>
      </c>
      <c r="KS86" s="9" t="n">
        <v>0</v>
      </c>
      <c r="KT86" s="9" t="n">
        <v>1701.000000000001</v>
      </c>
      <c r="KX86" s="10" t="n">
        <v>46092</v>
      </c>
      <c r="KZ86" s="9" t="n">
        <v>0</v>
      </c>
      <c r="LB86" s="9" t="n">
        <v>0</v>
      </c>
      <c r="LC86" s="9" t="n">
        <v>0</v>
      </c>
      <c r="LG86" s="10" t="n">
        <v>46092</v>
      </c>
      <c r="LI86" s="9" t="n">
        <v>0</v>
      </c>
      <c r="LK86" s="9" t="n">
        <v>0</v>
      </c>
      <c r="LL86" s="9" t="n">
        <v>0</v>
      </c>
      <c r="LP86" s="10" t="n">
        <v>46092</v>
      </c>
      <c r="LR86" s="9" t="n">
        <v>0</v>
      </c>
      <c r="LT86" s="9" t="n">
        <v>0</v>
      </c>
      <c r="LU86" s="9" t="n">
        <v>0</v>
      </c>
      <c r="LY86" s="10" t="n">
        <v>46092</v>
      </c>
      <c r="MA86" s="9" t="n">
        <v>0</v>
      </c>
      <c r="MC86" s="9" t="n">
        <v>0</v>
      </c>
      <c r="MD86" s="9" t="n">
        <v>0</v>
      </c>
      <c r="MH86" s="10" t="n">
        <v>46092</v>
      </c>
      <c r="MJ86" s="9" t="n">
        <v>0</v>
      </c>
      <c r="ML86" s="9" t="n">
        <v>0</v>
      </c>
      <c r="MM86" s="9" t="n">
        <v>0</v>
      </c>
      <c r="MQ86" s="10" t="n">
        <v>46092</v>
      </c>
      <c r="MS86" s="9" t="n">
        <v>0</v>
      </c>
      <c r="MU86" s="9" t="n">
        <v>0</v>
      </c>
      <c r="MV86" s="9" t="n">
        <v>3450</v>
      </c>
      <c r="MZ86" s="10" t="n">
        <v>46092</v>
      </c>
      <c r="NB86" s="9" t="n">
        <v>0</v>
      </c>
      <c r="ND86" s="9" t="n">
        <v>0</v>
      </c>
      <c r="NE86" s="9" t="n">
        <v>0</v>
      </c>
      <c r="NI86" s="10" t="n">
        <v>46092</v>
      </c>
      <c r="NK86" s="9" t="n">
        <v>0</v>
      </c>
      <c r="NM86" s="9" t="n">
        <v>0</v>
      </c>
      <c r="NN86" s="9" t="n">
        <v>165</v>
      </c>
      <c r="NR86" s="10" t="n">
        <v>46092</v>
      </c>
      <c r="NT86" s="9" t="n">
        <v>0</v>
      </c>
      <c r="NV86" s="9" t="n">
        <v>0</v>
      </c>
      <c r="NW86" s="9" t="n">
        <v>1578.9</v>
      </c>
      <c r="OA86" s="10" t="n">
        <v>46092</v>
      </c>
      <c r="OC86" s="9" t="n">
        <v>0</v>
      </c>
      <c r="OE86" s="9" t="n">
        <v>0</v>
      </c>
      <c r="OF86" s="9" t="n">
        <v>1680.5</v>
      </c>
      <c r="OJ86" s="10" t="n">
        <v>46092</v>
      </c>
      <c r="OL86" s="9" t="n">
        <v>0</v>
      </c>
      <c r="ON86" s="9" t="n">
        <v>0</v>
      </c>
      <c r="OO86" s="9" t="n">
        <v>0</v>
      </c>
      <c r="OS86" s="10" t="n">
        <v>46092</v>
      </c>
      <c r="OT86" s="9" t="n">
        <v>2000</v>
      </c>
      <c r="OU86" s="9" t="n">
        <v>0</v>
      </c>
      <c r="OV86" s="9" t="n">
        <v>1000</v>
      </c>
      <c r="OW86" s="9" t="n">
        <v>-1000</v>
      </c>
      <c r="OX86" s="9" t="n">
        <v>1000</v>
      </c>
      <c r="PB86" s="10" t="n">
        <v>46092</v>
      </c>
      <c r="PD86" s="9" t="n">
        <v>0</v>
      </c>
      <c r="PF86" s="9" t="n">
        <v>0</v>
      </c>
      <c r="PG86" s="9" t="n">
        <v>0</v>
      </c>
      <c r="PK86" s="10" t="n">
        <v>46092</v>
      </c>
      <c r="PM86" s="9" t="n">
        <v>0</v>
      </c>
      <c r="PO86" s="9" t="n">
        <v>0</v>
      </c>
      <c r="PP86" s="9" t="n">
        <v>100</v>
      </c>
      <c r="PT86" s="10" t="n">
        <v>46092</v>
      </c>
      <c r="PV86" s="9" t="n">
        <v>0</v>
      </c>
      <c r="PX86" s="9" t="n">
        <v>0</v>
      </c>
      <c r="PY86" s="9" t="n">
        <v>13.96000000000004</v>
      </c>
      <c r="QC86" s="10" t="n">
        <v>46092</v>
      </c>
      <c r="QE86" s="9" t="n">
        <v>0</v>
      </c>
      <c r="QG86" s="9" t="n">
        <v>0</v>
      </c>
      <c r="QH86" s="9" t="n">
        <v>1212</v>
      </c>
      <c r="QL86" s="10" t="n">
        <v>46092</v>
      </c>
      <c r="QN86" s="9" t="n">
        <v>0</v>
      </c>
      <c r="QP86" s="9" t="n">
        <v>0</v>
      </c>
      <c r="QQ86" s="9" t="n">
        <v>0</v>
      </c>
      <c r="QU86" s="10" t="n">
        <v>46092</v>
      </c>
      <c r="QW86" s="9" t="n">
        <v>0</v>
      </c>
      <c r="QY86" s="9" t="n">
        <v>0</v>
      </c>
      <c r="QZ86" s="9" t="n">
        <v>207.6</v>
      </c>
      <c r="RD86" s="10" t="n">
        <v>46092</v>
      </c>
      <c r="RF86" s="9" t="n">
        <v>0</v>
      </c>
      <c r="RH86" s="9" t="n">
        <v>0</v>
      </c>
      <c r="RI86" s="9" t="n">
        <v>197.04</v>
      </c>
      <c r="RM86" s="10" t="n">
        <v>46092</v>
      </c>
      <c r="RO86" s="9" t="n">
        <v>0</v>
      </c>
      <c r="RQ86" s="9" t="n">
        <v>0</v>
      </c>
      <c r="RR86" s="9" t="n">
        <v>46.8</v>
      </c>
      <c r="RV86" s="10" t="n">
        <v>46092</v>
      </c>
      <c r="RX86" s="9" t="n">
        <v>0</v>
      </c>
      <c r="RZ86" s="9" t="n">
        <v>0</v>
      </c>
      <c r="SA86" s="9" t="n">
        <v>0</v>
      </c>
      <c r="SE86" s="10" t="n">
        <v>46092</v>
      </c>
      <c r="SG86" s="9" t="n">
        <v>0</v>
      </c>
      <c r="SI86" s="9" t="n">
        <v>0</v>
      </c>
      <c r="SJ86" s="9" t="n">
        <v>0</v>
      </c>
      <c r="SN86" s="10" t="n">
        <v>46092</v>
      </c>
      <c r="SP86" s="9" t="n">
        <v>0</v>
      </c>
      <c r="SR86" s="9" t="n">
        <v>0</v>
      </c>
      <c r="SS86" s="9" t="n">
        <v>0</v>
      </c>
      <c r="SW86" s="10" t="n">
        <v>46092</v>
      </c>
      <c r="SY86" s="9" t="n">
        <v>0</v>
      </c>
      <c r="TA86" s="9" t="n">
        <v>0</v>
      </c>
      <c r="TB86" s="9" t="n">
        <v>0</v>
      </c>
      <c r="TF86" s="10" t="n">
        <v>46092</v>
      </c>
      <c r="TH86" s="9" t="n">
        <v>0</v>
      </c>
      <c r="TJ86" s="9" t="n">
        <v>0</v>
      </c>
      <c r="TK86" s="9" t="n">
        <v>0</v>
      </c>
      <c r="TO86" s="10" t="n">
        <v>46092</v>
      </c>
      <c r="TQ86" s="9" t="n">
        <v>0</v>
      </c>
      <c r="TS86" s="9" t="n">
        <v>0</v>
      </c>
      <c r="TT86" s="9" t="n">
        <v>0</v>
      </c>
      <c r="TX86" s="10" t="n">
        <v>46092</v>
      </c>
      <c r="TZ86" s="9" t="n">
        <v>0</v>
      </c>
      <c r="UB86" s="9" t="n">
        <v>0</v>
      </c>
      <c r="UC86" s="9" t="n">
        <v>0</v>
      </c>
      <c r="UG86" s="10" t="n">
        <v>46092</v>
      </c>
      <c r="UI86" s="9" t="n">
        <v>0</v>
      </c>
      <c r="UK86" s="9" t="n">
        <v>0</v>
      </c>
      <c r="UL86" s="9" t="n">
        <v>0</v>
      </c>
      <c r="UP86" s="10" t="n">
        <v>46092</v>
      </c>
      <c r="UR86" s="9" t="n">
        <v>0</v>
      </c>
      <c r="UT86" s="9" t="n">
        <v>0</v>
      </c>
      <c r="UU86" s="9" t="n">
        <v>0</v>
      </c>
      <c r="UY86" s="10" t="n">
        <v>46092</v>
      </c>
      <c r="VA86" s="9" t="n">
        <v>0</v>
      </c>
      <c r="VC86" s="9" t="n">
        <v>0</v>
      </c>
      <c r="VD86" s="9" t="n">
        <v>41.60000000000002</v>
      </c>
      <c r="VH86" s="10" t="n">
        <v>46092</v>
      </c>
      <c r="VJ86" s="9" t="n">
        <v>0</v>
      </c>
      <c r="VL86" s="9" t="n">
        <v>0</v>
      </c>
      <c r="VM86" s="9" t="n">
        <v>0</v>
      </c>
      <c r="VQ86" s="10" t="n">
        <v>46092</v>
      </c>
      <c r="VS86" s="9" t="n">
        <v>0</v>
      </c>
      <c r="VU86" s="9" t="n">
        <v>0</v>
      </c>
      <c r="VV86" s="9" t="n">
        <v>0</v>
      </c>
      <c r="VZ86" s="10" t="n">
        <v>46092</v>
      </c>
      <c r="WB86" s="9" t="n">
        <v>0</v>
      </c>
      <c r="WD86" s="9" t="n">
        <v>0</v>
      </c>
      <c r="WE86" s="9" t="n">
        <v>0</v>
      </c>
      <c r="WI86" s="10" t="n">
        <v>46092</v>
      </c>
      <c r="WK86" s="9" t="n">
        <v>0</v>
      </c>
      <c r="WM86" s="9" t="n">
        <v>0</v>
      </c>
      <c r="WN86" s="9" t="n">
        <v>6022</v>
      </c>
      <c r="WR86" s="10" t="n">
        <v>46092</v>
      </c>
      <c r="WT86" s="9" t="n">
        <v>0</v>
      </c>
      <c r="WV86" s="9" t="n">
        <v>0</v>
      </c>
      <c r="WW86" s="9" t="n">
        <v>5568</v>
      </c>
      <c r="XA86" s="10" t="n">
        <v>46092</v>
      </c>
      <c r="XC86" s="9" t="n">
        <v>0</v>
      </c>
      <c r="XE86" s="9" t="n">
        <v>0</v>
      </c>
      <c r="XF86" s="9" t="n">
        <v>590</v>
      </c>
      <c r="XJ86" s="10" t="n">
        <v>46092</v>
      </c>
      <c r="XL86" s="9" t="n">
        <v>0</v>
      </c>
      <c r="XN86" s="9" t="n">
        <v>0</v>
      </c>
      <c r="XO86" s="9" t="n">
        <v>1439</v>
      </c>
      <c r="XS86" s="10" t="n">
        <v>46092</v>
      </c>
      <c r="XU86" s="9" t="n">
        <v>0</v>
      </c>
      <c r="XW86" s="9" t="n">
        <v>0</v>
      </c>
      <c r="XX86" s="9" t="n">
        <v>1901</v>
      </c>
      <c r="YB86" s="10" t="n">
        <v>46092</v>
      </c>
      <c r="YD86" s="9" t="n">
        <v>0</v>
      </c>
      <c r="YF86" s="9" t="n">
        <v>0</v>
      </c>
      <c r="YG86" s="9" t="n">
        <v>0</v>
      </c>
      <c r="YK86" s="10" t="n">
        <v>46092</v>
      </c>
      <c r="YM86" s="9" t="n">
        <v>0</v>
      </c>
      <c r="YO86" s="9" t="n">
        <v>0</v>
      </c>
      <c r="YP86" s="9" t="n">
        <v>0</v>
      </c>
      <c r="YT86" s="10" t="n">
        <v>46092</v>
      </c>
      <c r="YV86" s="9" t="n">
        <v>0</v>
      </c>
      <c r="YX86" s="9" t="n">
        <v>0</v>
      </c>
      <c r="YY86" s="9" t="n">
        <v>0</v>
      </c>
      <c r="ZC86" s="10" t="n">
        <v>46092</v>
      </c>
      <c r="ZE86" s="9" t="n">
        <v>0</v>
      </c>
      <c r="ZG86" s="9" t="n">
        <v>0</v>
      </c>
      <c r="ZH86" s="9" t="n">
        <v>0</v>
      </c>
      <c r="ZL86" s="10" t="n">
        <v>46092</v>
      </c>
      <c r="ZN86" s="9" t="n">
        <v>0</v>
      </c>
      <c r="ZP86" s="9" t="n">
        <v>0</v>
      </c>
      <c r="ZQ86" s="9" t="n">
        <v>0</v>
      </c>
      <c r="ZU86" s="10" t="n">
        <v>46092</v>
      </c>
      <c r="ZW86" s="9" t="n">
        <v>0</v>
      </c>
      <c r="ZY86" s="9" t="n">
        <v>0</v>
      </c>
      <c r="ZZ86" s="9" t="n">
        <v>0</v>
      </c>
      <c r="AAD86" s="10" t="n">
        <v>46092</v>
      </c>
      <c r="AAF86" s="9" t="n">
        <v>0</v>
      </c>
      <c r="AAH86" s="9" t="n">
        <v>0</v>
      </c>
      <c r="AAI86" s="9" t="n">
        <v>0</v>
      </c>
      <c r="AAM86" s="10" t="n">
        <v>46092</v>
      </c>
      <c r="AAO86" s="9" t="n">
        <v>0</v>
      </c>
      <c r="AAQ86" s="9" t="n">
        <v>0</v>
      </c>
      <c r="AAR86" s="9" t="n">
        <v>0</v>
      </c>
      <c r="AAV86" s="10" t="n">
        <v>46092</v>
      </c>
      <c r="AAX86" s="9" t="n">
        <v>0</v>
      </c>
      <c r="AAZ86" s="9" t="n">
        <v>0</v>
      </c>
      <c r="ABA86" s="9" t="n">
        <v>0</v>
      </c>
      <c r="ABE86" s="10" t="n">
        <v>46092</v>
      </c>
      <c r="ABG86" s="9" t="n">
        <v>0</v>
      </c>
      <c r="ABI86" s="9" t="n">
        <v>0</v>
      </c>
      <c r="ABJ86" s="9" t="n">
        <v>0</v>
      </c>
    </row>
    <row r="87">
      <c r="C87" s="10" t="n">
        <v>46093</v>
      </c>
      <c r="D87" s="9" t="n">
        <v>12260</v>
      </c>
      <c r="E87" s="9" t="n">
        <v>0</v>
      </c>
      <c r="G87" s="9" t="n">
        <v>0</v>
      </c>
      <c r="H87" s="9" t="n">
        <v>127914.8</v>
      </c>
      <c r="L87" s="10" t="n">
        <v>46093</v>
      </c>
      <c r="M87" s="9" t="n">
        <v>42380</v>
      </c>
      <c r="N87" s="9" t="n">
        <v>0</v>
      </c>
      <c r="P87" s="9" t="n">
        <v>0</v>
      </c>
      <c r="Q87" s="9" t="n">
        <v>119324.8</v>
      </c>
      <c r="U87" s="10" t="n">
        <v>46093</v>
      </c>
      <c r="W87" s="9" t="n">
        <v>0</v>
      </c>
      <c r="Y87" s="9" t="n">
        <v>0</v>
      </c>
      <c r="Z87" s="9" t="n">
        <v>35064.49999999997</v>
      </c>
      <c r="AD87" s="10" t="n">
        <v>46093</v>
      </c>
      <c r="AF87" s="9" t="n">
        <v>0</v>
      </c>
      <c r="AH87" s="9" t="n">
        <v>0</v>
      </c>
      <c r="AI87" s="9" t="n">
        <v>24066.60000000002</v>
      </c>
      <c r="AM87" s="10" t="n">
        <v>46093</v>
      </c>
      <c r="AO87" s="9" t="n">
        <v>0</v>
      </c>
      <c r="AQ87" s="9" t="n">
        <v>0</v>
      </c>
      <c r="AR87" s="9" t="n">
        <v>0</v>
      </c>
      <c r="AV87" s="10" t="n">
        <v>46093</v>
      </c>
      <c r="AX87" s="9" t="n">
        <v>0</v>
      </c>
      <c r="AZ87" s="9" t="n">
        <v>0</v>
      </c>
      <c r="BA87" s="9" t="n">
        <v>46200.29999999999</v>
      </c>
      <c r="BE87" s="10" t="n">
        <v>46093</v>
      </c>
      <c r="BG87" s="9" t="n">
        <v>0</v>
      </c>
      <c r="BI87" s="9" t="n">
        <v>0</v>
      </c>
      <c r="BJ87" s="9" t="n">
        <v>831.1000000000042</v>
      </c>
      <c r="BN87" s="10" t="n">
        <v>46093</v>
      </c>
      <c r="BP87" s="9" t="n">
        <v>0</v>
      </c>
      <c r="BR87" s="9" t="n">
        <v>0</v>
      </c>
      <c r="BS87" s="9" t="n">
        <v>0</v>
      </c>
      <c r="BW87" s="10" t="n">
        <v>46093</v>
      </c>
      <c r="BY87" s="9" t="n">
        <v>0</v>
      </c>
      <c r="CA87" s="9" t="n">
        <v>0</v>
      </c>
      <c r="CB87" s="9" t="n">
        <v>4829.8</v>
      </c>
      <c r="CF87" s="10" t="n">
        <v>46093</v>
      </c>
      <c r="CH87" s="9" t="n">
        <v>0</v>
      </c>
      <c r="CJ87" s="9" t="n">
        <v>0</v>
      </c>
      <c r="CK87" s="9" t="n">
        <v>0</v>
      </c>
      <c r="CO87" s="10" t="n">
        <v>46093</v>
      </c>
      <c r="CQ87" s="9" t="n">
        <v>0</v>
      </c>
      <c r="CS87" s="9" t="n">
        <v>0</v>
      </c>
      <c r="CT87" s="9" t="n">
        <v>0</v>
      </c>
      <c r="CX87" s="10" t="n">
        <v>46093</v>
      </c>
      <c r="CZ87" s="9" t="n">
        <v>0</v>
      </c>
      <c r="DB87" s="9" t="n">
        <v>0</v>
      </c>
      <c r="DC87" s="9" t="n">
        <v>40925.7</v>
      </c>
      <c r="DG87" s="10" t="n">
        <v>46093</v>
      </c>
      <c r="DI87" s="9" t="n">
        <v>0</v>
      </c>
      <c r="DK87" s="9" t="n">
        <v>0</v>
      </c>
      <c r="DL87" s="9" t="n">
        <v>16039.59999999999</v>
      </c>
      <c r="DP87" s="10" t="n">
        <v>46093</v>
      </c>
      <c r="DR87" s="9" t="n">
        <v>0</v>
      </c>
      <c r="DT87" s="9" t="n">
        <v>0</v>
      </c>
      <c r="DU87" s="9" t="n">
        <v>7150</v>
      </c>
      <c r="DY87" s="10" t="n">
        <v>46093</v>
      </c>
      <c r="EA87" s="9" t="n">
        <v>0</v>
      </c>
      <c r="EC87" s="9" t="n">
        <v>0</v>
      </c>
      <c r="ED87" s="9" t="n">
        <v>5197.3</v>
      </c>
      <c r="EH87" s="10" t="n">
        <v>46093</v>
      </c>
      <c r="EJ87" s="9" t="n">
        <v>0</v>
      </c>
      <c r="EL87" s="9" t="n">
        <v>0</v>
      </c>
      <c r="EM87" s="9" t="n">
        <v>0</v>
      </c>
      <c r="EQ87" s="10" t="n">
        <v>46093</v>
      </c>
      <c r="ES87" s="9" t="n">
        <v>0</v>
      </c>
      <c r="EU87" s="9" t="n">
        <v>0</v>
      </c>
      <c r="EV87" s="9" t="n">
        <v>0</v>
      </c>
      <c r="EZ87" s="10" t="n">
        <v>46093</v>
      </c>
      <c r="FB87" s="9" t="n">
        <v>0</v>
      </c>
      <c r="FD87" s="9" t="n">
        <v>0</v>
      </c>
      <c r="FE87" s="9" t="n">
        <v>0</v>
      </c>
      <c r="FI87" s="10" t="n">
        <v>46093</v>
      </c>
      <c r="FK87" s="9" t="n">
        <v>0</v>
      </c>
      <c r="FM87" s="9" t="n">
        <v>0</v>
      </c>
      <c r="FN87" s="9" t="n">
        <v>0</v>
      </c>
      <c r="FR87" s="10" t="n">
        <v>46093</v>
      </c>
      <c r="FT87" s="9" t="n">
        <v>0</v>
      </c>
      <c r="FV87" s="9" t="n">
        <v>0</v>
      </c>
      <c r="FW87" s="9" t="n">
        <v>2020</v>
      </c>
      <c r="GA87" s="10" t="n">
        <v>46093</v>
      </c>
      <c r="GC87" s="9" t="n">
        <v>0</v>
      </c>
      <c r="GE87" s="9" t="n">
        <v>0</v>
      </c>
      <c r="GF87" s="9" t="n">
        <v>5560</v>
      </c>
      <c r="GJ87" s="10" t="n">
        <v>46093</v>
      </c>
      <c r="GL87" s="9" t="n">
        <v>0</v>
      </c>
      <c r="GN87" s="9" t="n">
        <v>0</v>
      </c>
      <c r="GO87" s="9" t="n">
        <v>5240</v>
      </c>
      <c r="GS87" s="10" t="n">
        <v>46093</v>
      </c>
      <c r="GU87" s="9" t="n">
        <v>0</v>
      </c>
      <c r="GW87" s="9" t="n">
        <v>0</v>
      </c>
      <c r="GX87" s="9" t="n">
        <v>0</v>
      </c>
      <c r="HB87" s="10" t="n">
        <v>46093</v>
      </c>
      <c r="HD87" s="9" t="n">
        <v>0</v>
      </c>
      <c r="HF87" s="9" t="n">
        <v>0</v>
      </c>
      <c r="HG87" s="9" t="n">
        <v>0</v>
      </c>
      <c r="HK87" s="10" t="n">
        <v>46093</v>
      </c>
      <c r="HM87" s="9" t="n">
        <v>0</v>
      </c>
      <c r="HO87" s="9" t="n">
        <v>0</v>
      </c>
      <c r="HP87" s="9" t="n">
        <v>0</v>
      </c>
      <c r="HU87" s="10" t="n">
        <v>46093</v>
      </c>
      <c r="HW87" s="9" t="n">
        <v>0</v>
      </c>
      <c r="HY87" s="9" t="n">
        <v>0</v>
      </c>
      <c r="HZ87" s="9" t="n">
        <v>5120</v>
      </c>
      <c r="ID87" s="10" t="n">
        <v>46093</v>
      </c>
      <c r="IF87" s="9" t="n">
        <v>0</v>
      </c>
      <c r="IH87" s="9" t="n">
        <v>0</v>
      </c>
      <c r="II87" s="9" t="n">
        <v>6540</v>
      </c>
      <c r="IM87" s="10" t="n">
        <v>46093</v>
      </c>
      <c r="IO87" s="9" t="n">
        <v>0</v>
      </c>
      <c r="IQ87" s="9" t="n">
        <v>0</v>
      </c>
      <c r="IR87" s="9" t="n">
        <v>11540</v>
      </c>
      <c r="IV87" s="10" t="n">
        <v>46093</v>
      </c>
      <c r="IX87" s="9" t="n">
        <v>0</v>
      </c>
      <c r="IZ87" s="9" t="n">
        <v>0</v>
      </c>
      <c r="JA87" s="9" t="n">
        <v>15120</v>
      </c>
      <c r="JE87" s="10" t="n">
        <v>46093</v>
      </c>
      <c r="JG87" s="9" t="n">
        <v>0</v>
      </c>
      <c r="JI87" s="9" t="n">
        <v>0</v>
      </c>
      <c r="JJ87" s="9" t="n">
        <v>5040</v>
      </c>
      <c r="JN87" s="10" t="n">
        <v>46093</v>
      </c>
      <c r="JP87" s="9" t="n">
        <v>0</v>
      </c>
      <c r="JR87" s="9" t="n">
        <v>0</v>
      </c>
      <c r="JS87" s="9" t="n">
        <v>9100</v>
      </c>
      <c r="JW87" s="10" t="n">
        <v>46093</v>
      </c>
      <c r="JY87" s="9" t="n">
        <v>0</v>
      </c>
      <c r="KA87" s="9" t="n">
        <v>0</v>
      </c>
      <c r="KB87" s="9" t="n">
        <v>4740</v>
      </c>
      <c r="KF87" s="10" t="n">
        <v>46093</v>
      </c>
      <c r="KH87" s="9" t="n">
        <v>0</v>
      </c>
      <c r="KJ87" s="9" t="n">
        <v>0</v>
      </c>
      <c r="KK87" s="9" t="n">
        <v>5284.5</v>
      </c>
      <c r="KO87" s="10" t="n">
        <v>46093</v>
      </c>
      <c r="KQ87" s="9" t="n">
        <v>0</v>
      </c>
      <c r="KS87" s="9" t="n">
        <v>0</v>
      </c>
      <c r="KT87" s="9" t="n">
        <v>1701.000000000001</v>
      </c>
      <c r="KX87" s="10" t="n">
        <v>46093</v>
      </c>
      <c r="KZ87" s="9" t="n">
        <v>0</v>
      </c>
      <c r="LB87" s="9" t="n">
        <v>0</v>
      </c>
      <c r="LC87" s="9" t="n">
        <v>0</v>
      </c>
      <c r="LG87" s="10" t="n">
        <v>46093</v>
      </c>
      <c r="LI87" s="9" t="n">
        <v>0</v>
      </c>
      <c r="LK87" s="9" t="n">
        <v>0</v>
      </c>
      <c r="LL87" s="9" t="n">
        <v>0</v>
      </c>
      <c r="LP87" s="10" t="n">
        <v>46093</v>
      </c>
      <c r="LR87" s="9" t="n">
        <v>0</v>
      </c>
      <c r="LT87" s="9" t="n">
        <v>0</v>
      </c>
      <c r="LU87" s="9" t="n">
        <v>0</v>
      </c>
      <c r="LY87" s="10" t="n">
        <v>46093</v>
      </c>
      <c r="MA87" s="9" t="n">
        <v>0</v>
      </c>
      <c r="MC87" s="9" t="n">
        <v>0</v>
      </c>
      <c r="MD87" s="9" t="n">
        <v>0</v>
      </c>
      <c r="MH87" s="10" t="n">
        <v>46093</v>
      </c>
      <c r="MJ87" s="9" t="n">
        <v>0</v>
      </c>
      <c r="ML87" s="9" t="n">
        <v>0</v>
      </c>
      <c r="MM87" s="9" t="n">
        <v>0</v>
      </c>
      <c r="MQ87" s="10" t="n">
        <v>46093</v>
      </c>
      <c r="MS87" s="9" t="n">
        <v>0</v>
      </c>
      <c r="MU87" s="9" t="n">
        <v>0</v>
      </c>
      <c r="MV87" s="9" t="n">
        <v>3450</v>
      </c>
      <c r="MZ87" s="10" t="n">
        <v>46093</v>
      </c>
      <c r="NB87" s="9" t="n">
        <v>0</v>
      </c>
      <c r="ND87" s="9" t="n">
        <v>0</v>
      </c>
      <c r="NE87" s="9" t="n">
        <v>0</v>
      </c>
      <c r="NI87" s="10" t="n">
        <v>46093</v>
      </c>
      <c r="NK87" s="9" t="n">
        <v>0</v>
      </c>
      <c r="NM87" s="9" t="n">
        <v>0</v>
      </c>
      <c r="NN87" s="9" t="n">
        <v>165</v>
      </c>
      <c r="NR87" s="10" t="n">
        <v>46093</v>
      </c>
      <c r="NT87" s="9" t="n">
        <v>0</v>
      </c>
      <c r="NV87" s="9" t="n">
        <v>0</v>
      </c>
      <c r="NW87" s="9" t="n">
        <v>1578.9</v>
      </c>
      <c r="OA87" s="10" t="n">
        <v>46093</v>
      </c>
      <c r="OC87" s="9" t="n">
        <v>0</v>
      </c>
      <c r="OE87" s="9" t="n">
        <v>0</v>
      </c>
      <c r="OF87" s="9" t="n">
        <v>1680.5</v>
      </c>
      <c r="OJ87" s="10" t="n">
        <v>46093</v>
      </c>
      <c r="OL87" s="9" t="n">
        <v>0</v>
      </c>
      <c r="ON87" s="9" t="n">
        <v>0</v>
      </c>
      <c r="OO87" s="9" t="n">
        <v>0</v>
      </c>
      <c r="OS87" s="10" t="n">
        <v>46093</v>
      </c>
      <c r="OU87" s="9" t="n">
        <v>0</v>
      </c>
      <c r="OW87" s="9" t="n">
        <v>0</v>
      </c>
      <c r="OX87" s="9" t="n">
        <v>1000</v>
      </c>
      <c r="PB87" s="10" t="n">
        <v>46093</v>
      </c>
      <c r="PD87" s="9" t="n">
        <v>0</v>
      </c>
      <c r="PF87" s="9" t="n">
        <v>0</v>
      </c>
      <c r="PG87" s="9" t="n">
        <v>0</v>
      </c>
      <c r="PK87" s="10" t="n">
        <v>46093</v>
      </c>
      <c r="PM87" s="9" t="n">
        <v>0</v>
      </c>
      <c r="PO87" s="9" t="n">
        <v>0</v>
      </c>
      <c r="PP87" s="9" t="n">
        <v>100</v>
      </c>
      <c r="PT87" s="10" t="n">
        <v>46093</v>
      </c>
      <c r="PV87" s="9" t="n">
        <v>0</v>
      </c>
      <c r="PX87" s="9" t="n">
        <v>0</v>
      </c>
      <c r="PY87" s="9" t="n">
        <v>13.96000000000004</v>
      </c>
      <c r="QC87" s="10" t="n">
        <v>46093</v>
      </c>
      <c r="QE87" s="9" t="n">
        <v>0</v>
      </c>
      <c r="QG87" s="9" t="n">
        <v>0</v>
      </c>
      <c r="QH87" s="9" t="n">
        <v>1212</v>
      </c>
      <c r="QL87" s="10" t="n">
        <v>46093</v>
      </c>
      <c r="QN87" s="9" t="n">
        <v>0</v>
      </c>
      <c r="QP87" s="9" t="n">
        <v>0</v>
      </c>
      <c r="QQ87" s="9" t="n">
        <v>0</v>
      </c>
      <c r="QU87" s="10" t="n">
        <v>46093</v>
      </c>
      <c r="QW87" s="9" t="n">
        <v>0</v>
      </c>
      <c r="QY87" s="9" t="n">
        <v>0</v>
      </c>
      <c r="QZ87" s="9" t="n">
        <v>207.6</v>
      </c>
      <c r="RD87" s="10" t="n">
        <v>46093</v>
      </c>
      <c r="RF87" s="9" t="n">
        <v>0</v>
      </c>
      <c r="RH87" s="9" t="n">
        <v>0</v>
      </c>
      <c r="RI87" s="9" t="n">
        <v>197.04</v>
      </c>
      <c r="RM87" s="10" t="n">
        <v>46093</v>
      </c>
      <c r="RO87" s="9" t="n">
        <v>0</v>
      </c>
      <c r="RQ87" s="9" t="n">
        <v>0</v>
      </c>
      <c r="RR87" s="9" t="n">
        <v>46.8</v>
      </c>
      <c r="RV87" s="10" t="n">
        <v>46093</v>
      </c>
      <c r="RX87" s="9" t="n">
        <v>0</v>
      </c>
      <c r="RZ87" s="9" t="n">
        <v>0</v>
      </c>
      <c r="SA87" s="9" t="n">
        <v>0</v>
      </c>
      <c r="SE87" s="10" t="n">
        <v>46093</v>
      </c>
      <c r="SG87" s="9" t="n">
        <v>0</v>
      </c>
      <c r="SI87" s="9" t="n">
        <v>0</v>
      </c>
      <c r="SJ87" s="9" t="n">
        <v>0</v>
      </c>
      <c r="SN87" s="10" t="n">
        <v>46093</v>
      </c>
      <c r="SP87" s="9" t="n">
        <v>0</v>
      </c>
      <c r="SR87" s="9" t="n">
        <v>0</v>
      </c>
      <c r="SS87" s="9" t="n">
        <v>0</v>
      </c>
      <c r="SW87" s="10" t="n">
        <v>46093</v>
      </c>
      <c r="SY87" s="9" t="n">
        <v>0</v>
      </c>
      <c r="TA87" s="9" t="n">
        <v>0</v>
      </c>
      <c r="TB87" s="9" t="n">
        <v>0</v>
      </c>
      <c r="TF87" s="10" t="n">
        <v>46093</v>
      </c>
      <c r="TH87" s="9" t="n">
        <v>0</v>
      </c>
      <c r="TJ87" s="9" t="n">
        <v>0</v>
      </c>
      <c r="TK87" s="9" t="n">
        <v>0</v>
      </c>
      <c r="TO87" s="10" t="n">
        <v>46093</v>
      </c>
      <c r="TQ87" s="9" t="n">
        <v>0</v>
      </c>
      <c r="TS87" s="9" t="n">
        <v>0</v>
      </c>
      <c r="TT87" s="9" t="n">
        <v>0</v>
      </c>
      <c r="TX87" s="10" t="n">
        <v>46093</v>
      </c>
      <c r="TZ87" s="9" t="n">
        <v>0</v>
      </c>
      <c r="UB87" s="9" t="n">
        <v>0</v>
      </c>
      <c r="UC87" s="9" t="n">
        <v>0</v>
      </c>
      <c r="UG87" s="10" t="n">
        <v>46093</v>
      </c>
      <c r="UI87" s="9" t="n">
        <v>0</v>
      </c>
      <c r="UK87" s="9" t="n">
        <v>0</v>
      </c>
      <c r="UL87" s="9" t="n">
        <v>0</v>
      </c>
      <c r="UP87" s="10" t="n">
        <v>46093</v>
      </c>
      <c r="UR87" s="9" t="n">
        <v>0</v>
      </c>
      <c r="UT87" s="9" t="n">
        <v>0</v>
      </c>
      <c r="UU87" s="9" t="n">
        <v>0</v>
      </c>
      <c r="UY87" s="10" t="n">
        <v>46093</v>
      </c>
      <c r="VA87" s="9" t="n">
        <v>0</v>
      </c>
      <c r="VC87" s="9" t="n">
        <v>0</v>
      </c>
      <c r="VD87" s="9" t="n">
        <v>41.60000000000002</v>
      </c>
      <c r="VH87" s="10" t="n">
        <v>46093</v>
      </c>
      <c r="VJ87" s="9" t="n">
        <v>0</v>
      </c>
      <c r="VL87" s="9" t="n">
        <v>0</v>
      </c>
      <c r="VM87" s="9" t="n">
        <v>0</v>
      </c>
      <c r="VQ87" s="10" t="n">
        <v>46093</v>
      </c>
      <c r="VS87" s="9" t="n">
        <v>0</v>
      </c>
      <c r="VU87" s="9" t="n">
        <v>0</v>
      </c>
      <c r="VV87" s="9" t="n">
        <v>0</v>
      </c>
      <c r="VZ87" s="10" t="n">
        <v>46093</v>
      </c>
      <c r="WB87" s="9" t="n">
        <v>0</v>
      </c>
      <c r="WD87" s="9" t="n">
        <v>0</v>
      </c>
      <c r="WE87" s="9" t="n">
        <v>0</v>
      </c>
      <c r="WI87" s="10" t="n">
        <v>46093</v>
      </c>
      <c r="WK87" s="9" t="n">
        <v>0</v>
      </c>
      <c r="WM87" s="9" t="n">
        <v>0</v>
      </c>
      <c r="WN87" s="9" t="n">
        <v>6022</v>
      </c>
      <c r="WR87" s="10" t="n">
        <v>46093</v>
      </c>
      <c r="WT87" s="9" t="n">
        <v>0</v>
      </c>
      <c r="WV87" s="9" t="n">
        <v>0</v>
      </c>
      <c r="WW87" s="9" t="n">
        <v>5568</v>
      </c>
      <c r="XA87" s="10" t="n">
        <v>46093</v>
      </c>
      <c r="XC87" s="9" t="n">
        <v>0</v>
      </c>
      <c r="XE87" s="9" t="n">
        <v>0</v>
      </c>
      <c r="XF87" s="9" t="n">
        <v>590</v>
      </c>
      <c r="XJ87" s="10" t="n">
        <v>46093</v>
      </c>
      <c r="XL87" s="9" t="n">
        <v>0</v>
      </c>
      <c r="XN87" s="9" t="n">
        <v>0</v>
      </c>
      <c r="XO87" s="9" t="n">
        <v>1439</v>
      </c>
      <c r="XS87" s="10" t="n">
        <v>46093</v>
      </c>
      <c r="XU87" s="9" t="n">
        <v>0</v>
      </c>
      <c r="XW87" s="9" t="n">
        <v>0</v>
      </c>
      <c r="XX87" s="9" t="n">
        <v>1901</v>
      </c>
      <c r="YB87" s="10" t="n">
        <v>46093</v>
      </c>
      <c r="YD87" s="9" t="n">
        <v>0</v>
      </c>
      <c r="YF87" s="9" t="n">
        <v>0</v>
      </c>
      <c r="YG87" s="9" t="n">
        <v>0</v>
      </c>
      <c r="YK87" s="10" t="n">
        <v>46093</v>
      </c>
      <c r="YM87" s="9" t="n">
        <v>0</v>
      </c>
      <c r="YO87" s="9" t="n">
        <v>0</v>
      </c>
      <c r="YP87" s="9" t="n">
        <v>0</v>
      </c>
      <c r="YT87" s="10" t="n">
        <v>46093</v>
      </c>
      <c r="YV87" s="9" t="n">
        <v>0</v>
      </c>
      <c r="YX87" s="9" t="n">
        <v>0</v>
      </c>
      <c r="YY87" s="9" t="n">
        <v>0</v>
      </c>
      <c r="ZC87" s="10" t="n">
        <v>46093</v>
      </c>
      <c r="ZE87" s="9" t="n">
        <v>0</v>
      </c>
      <c r="ZG87" s="9" t="n">
        <v>0</v>
      </c>
      <c r="ZH87" s="9" t="n">
        <v>0</v>
      </c>
      <c r="ZL87" s="10" t="n">
        <v>46093</v>
      </c>
      <c r="ZN87" s="9" t="n">
        <v>0</v>
      </c>
      <c r="ZP87" s="9" t="n">
        <v>0</v>
      </c>
      <c r="ZQ87" s="9" t="n">
        <v>0</v>
      </c>
      <c r="ZU87" s="10" t="n">
        <v>46093</v>
      </c>
      <c r="ZW87" s="9" t="n">
        <v>0</v>
      </c>
      <c r="ZY87" s="9" t="n">
        <v>0</v>
      </c>
      <c r="ZZ87" s="9" t="n">
        <v>0</v>
      </c>
      <c r="AAD87" s="10" t="n">
        <v>46093</v>
      </c>
      <c r="AAF87" s="9" t="n">
        <v>0</v>
      </c>
      <c r="AAH87" s="9" t="n">
        <v>0</v>
      </c>
      <c r="AAI87" s="9" t="n">
        <v>0</v>
      </c>
      <c r="AAM87" s="10" t="n">
        <v>46093</v>
      </c>
      <c r="AAO87" s="9" t="n">
        <v>0</v>
      </c>
      <c r="AAQ87" s="9" t="n">
        <v>0</v>
      </c>
      <c r="AAR87" s="9" t="n">
        <v>0</v>
      </c>
      <c r="AAV87" s="10" t="n">
        <v>46093</v>
      </c>
      <c r="AAX87" s="9" t="n">
        <v>0</v>
      </c>
      <c r="AAZ87" s="9" t="n">
        <v>0</v>
      </c>
      <c r="ABA87" s="9" t="n">
        <v>0</v>
      </c>
      <c r="ABE87" s="10" t="n">
        <v>46093</v>
      </c>
      <c r="ABG87" s="9" t="n">
        <v>0</v>
      </c>
      <c r="ABI87" s="9" t="n">
        <v>0</v>
      </c>
      <c r="ABJ87" s="9" t="n">
        <v>0</v>
      </c>
    </row>
    <row r="88">
      <c r="B88" s="9" t="n">
        <v>100</v>
      </c>
      <c r="C88" s="10" t="n">
        <v>46094</v>
      </c>
      <c r="D88" s="9" t="n">
        <v>31150</v>
      </c>
      <c r="E88" s="9" t="n">
        <v>50103</v>
      </c>
      <c r="F88" s="9" t="n">
        <v>50100.6</v>
      </c>
      <c r="G88" s="9" t="n">
        <v>2.400000000001455</v>
      </c>
      <c r="H88" s="9" t="n">
        <v>108964.2</v>
      </c>
      <c r="I88" s="9" t="inlineStr">
        <is>
          <t>123 100mt</t>
        </is>
      </c>
      <c r="L88" s="10" t="n">
        <v>46094</v>
      </c>
      <c r="N88" s="9" t="n">
        <v>19500</v>
      </c>
      <c r="O88" s="9" t="n">
        <v>19499.2</v>
      </c>
      <c r="P88" s="9" t="n">
        <v>0.7999999999992724</v>
      </c>
      <c r="Q88" s="9" t="n">
        <v>99825.60000000005</v>
      </c>
      <c r="U88" s="10" t="n">
        <v>46094</v>
      </c>
      <c r="V88" s="9" t="n">
        <v>20080</v>
      </c>
      <c r="W88" s="9" t="n">
        <v>10000</v>
      </c>
      <c r="X88" s="9" t="n">
        <v>10001.3</v>
      </c>
      <c r="Y88" s="9" t="n">
        <v>-1.299999999999272</v>
      </c>
      <c r="Z88" s="9" t="n">
        <v>45143.19999999997</v>
      </c>
      <c r="AD88" s="10" t="n">
        <v>46094</v>
      </c>
      <c r="AF88" s="9" t="n">
        <v>0</v>
      </c>
      <c r="AH88" s="9" t="n">
        <v>0</v>
      </c>
      <c r="AI88" s="9" t="n">
        <v>24066.60000000002</v>
      </c>
      <c r="AM88" s="10" t="n">
        <v>46094</v>
      </c>
      <c r="AO88" s="9" t="n">
        <v>0</v>
      </c>
      <c r="AQ88" s="9" t="n">
        <v>0</v>
      </c>
      <c r="AR88" s="9" t="n">
        <v>0</v>
      </c>
      <c r="AV88" s="10" t="n">
        <v>46094</v>
      </c>
      <c r="AX88" s="9" t="n">
        <v>0</v>
      </c>
      <c r="AY88" s="9" t="n">
        <v>19840</v>
      </c>
      <c r="AZ88" s="9" t="n">
        <v>-19840</v>
      </c>
      <c r="BA88" s="9" t="n">
        <v>26360.29999999999</v>
      </c>
      <c r="BE88" s="10" t="n">
        <v>46094</v>
      </c>
      <c r="BG88" s="9" t="n">
        <v>0</v>
      </c>
      <c r="BI88" s="9" t="n">
        <v>0</v>
      </c>
      <c r="BJ88" s="9" t="n">
        <v>831.1000000000042</v>
      </c>
      <c r="BN88" s="10" t="n">
        <v>46094</v>
      </c>
      <c r="BO88" s="9" t="n">
        <v>2500</v>
      </c>
      <c r="BP88" s="9" t="n">
        <v>2500</v>
      </c>
      <c r="BQ88" s="9" t="n">
        <v>2500</v>
      </c>
      <c r="BR88" s="9" t="n">
        <v>0</v>
      </c>
      <c r="BS88" s="9" t="n">
        <v>0</v>
      </c>
      <c r="BW88" s="10" t="n">
        <v>46094</v>
      </c>
      <c r="BY88" s="9" t="n">
        <v>550.0000000000001</v>
      </c>
      <c r="CA88" s="9" t="n">
        <v>550.0000000000001</v>
      </c>
      <c r="CB88" s="9" t="n">
        <v>4829.8</v>
      </c>
      <c r="CF88" s="10" t="n">
        <v>46094</v>
      </c>
      <c r="CH88" s="9" t="n">
        <v>900.0000000000002</v>
      </c>
      <c r="CJ88" s="9" t="n">
        <v>900.0000000000002</v>
      </c>
      <c r="CK88" s="9" t="n">
        <v>0</v>
      </c>
      <c r="CO88" s="10" t="n">
        <v>46094</v>
      </c>
      <c r="CQ88" s="9" t="n">
        <v>0</v>
      </c>
      <c r="CS88" s="9" t="n">
        <v>0</v>
      </c>
      <c r="CT88" s="9" t="n">
        <v>0</v>
      </c>
      <c r="CX88" s="10" t="n">
        <v>46094</v>
      </c>
      <c r="CZ88" s="9" t="n">
        <v>9699.999999999998</v>
      </c>
      <c r="DA88" s="9" t="n">
        <v>9700.5</v>
      </c>
      <c r="DB88" s="9" t="n">
        <v>-0.500000000001819</v>
      </c>
      <c r="DC88" s="9" t="n">
        <v>31225.2</v>
      </c>
      <c r="DG88" s="10" t="n">
        <v>46094</v>
      </c>
      <c r="DI88" s="9" t="n">
        <v>4000</v>
      </c>
      <c r="DJ88" s="9" t="n">
        <v>3999.8</v>
      </c>
      <c r="DK88" s="9" t="n">
        <v>0.1999999999998181</v>
      </c>
      <c r="DL88" s="9" t="n">
        <v>12039.8</v>
      </c>
      <c r="DP88" s="10" t="n">
        <v>46094</v>
      </c>
      <c r="DR88" s="9" t="n">
        <v>0</v>
      </c>
      <c r="DT88" s="9" t="n">
        <v>0</v>
      </c>
      <c r="DU88" s="9" t="n">
        <v>7150</v>
      </c>
      <c r="DY88" s="10" t="n">
        <v>46094</v>
      </c>
      <c r="EA88" s="9" t="n">
        <v>0</v>
      </c>
      <c r="EC88" s="9" t="n">
        <v>0</v>
      </c>
      <c r="ED88" s="9" t="n">
        <v>5197.3</v>
      </c>
      <c r="EH88" s="10" t="n">
        <v>46094</v>
      </c>
      <c r="EJ88" s="9" t="n">
        <v>0</v>
      </c>
      <c r="EL88" s="9" t="n">
        <v>0</v>
      </c>
      <c r="EM88" s="9" t="n">
        <v>0</v>
      </c>
      <c r="EQ88" s="10" t="n">
        <v>46094</v>
      </c>
      <c r="ES88" s="9" t="n">
        <v>0</v>
      </c>
      <c r="EU88" s="9" t="n">
        <v>0</v>
      </c>
      <c r="EV88" s="9" t="n">
        <v>0</v>
      </c>
      <c r="EZ88" s="10" t="n">
        <v>46094</v>
      </c>
      <c r="FB88" s="9" t="n">
        <v>0</v>
      </c>
      <c r="FD88" s="9" t="n">
        <v>0</v>
      </c>
      <c r="FE88" s="9" t="n">
        <v>0</v>
      </c>
      <c r="FI88" s="10" t="n">
        <v>46094</v>
      </c>
      <c r="FK88" s="9" t="n">
        <v>0</v>
      </c>
      <c r="FM88" s="9" t="n">
        <v>0</v>
      </c>
      <c r="FN88" s="9" t="n">
        <v>0</v>
      </c>
      <c r="FR88" s="10" t="n">
        <v>46094</v>
      </c>
      <c r="FS88" s="9" t="n">
        <v>2000</v>
      </c>
      <c r="FT88" s="9" t="n">
        <v>0</v>
      </c>
      <c r="FV88" s="9" t="n">
        <v>0</v>
      </c>
      <c r="FW88" s="9" t="n">
        <v>4020</v>
      </c>
      <c r="GA88" s="10" t="n">
        <v>46094</v>
      </c>
      <c r="GC88" s="9" t="n">
        <v>0</v>
      </c>
      <c r="GE88" s="9" t="n">
        <v>0</v>
      </c>
      <c r="GF88" s="9" t="n">
        <v>5560</v>
      </c>
      <c r="GJ88" s="10" t="n">
        <v>46094</v>
      </c>
      <c r="GL88" s="9" t="n">
        <v>0</v>
      </c>
      <c r="GN88" s="9" t="n">
        <v>0</v>
      </c>
      <c r="GO88" s="9" t="n">
        <v>5240</v>
      </c>
      <c r="GS88" s="10" t="n">
        <v>46094</v>
      </c>
      <c r="GU88" s="9" t="n">
        <v>0</v>
      </c>
      <c r="GW88" s="9" t="n">
        <v>0</v>
      </c>
      <c r="GX88" s="9" t="n">
        <v>0</v>
      </c>
      <c r="HB88" s="10" t="n">
        <v>46094</v>
      </c>
      <c r="HD88" s="9" t="n">
        <v>0</v>
      </c>
      <c r="HF88" s="9" t="n">
        <v>0</v>
      </c>
      <c r="HG88" s="9" t="n">
        <v>0</v>
      </c>
      <c r="HK88" s="10" t="n">
        <v>46094</v>
      </c>
      <c r="HM88" s="9" t="n">
        <v>0</v>
      </c>
      <c r="HO88" s="9" t="n">
        <v>0</v>
      </c>
      <c r="HP88" s="9" t="n">
        <v>0</v>
      </c>
      <c r="HU88" s="10" t="n">
        <v>46094</v>
      </c>
      <c r="HW88" s="9" t="n">
        <v>0</v>
      </c>
      <c r="HY88" s="9" t="n">
        <v>0</v>
      </c>
      <c r="HZ88" s="9" t="n">
        <v>5120</v>
      </c>
      <c r="ID88" s="10" t="n">
        <v>46094</v>
      </c>
      <c r="IF88" s="9" t="n">
        <v>0</v>
      </c>
      <c r="IH88" s="9" t="n">
        <v>0</v>
      </c>
      <c r="II88" s="9" t="n">
        <v>6540</v>
      </c>
      <c r="IM88" s="10" t="n">
        <v>46094</v>
      </c>
      <c r="IO88" s="9" t="n">
        <v>0</v>
      </c>
      <c r="IQ88" s="9" t="n">
        <v>0</v>
      </c>
      <c r="IR88" s="9" t="n">
        <v>11540</v>
      </c>
      <c r="IV88" s="10" t="n">
        <v>46094</v>
      </c>
      <c r="IX88" s="9" t="n">
        <v>0</v>
      </c>
      <c r="IZ88" s="9" t="n">
        <v>0</v>
      </c>
      <c r="JA88" s="9" t="n">
        <v>15120</v>
      </c>
      <c r="JE88" s="10" t="n">
        <v>46094</v>
      </c>
      <c r="JG88" s="9" t="n">
        <v>0</v>
      </c>
      <c r="JI88" s="9" t="n">
        <v>0</v>
      </c>
      <c r="JJ88" s="9" t="n">
        <v>5040</v>
      </c>
      <c r="JN88" s="10" t="n">
        <v>46094</v>
      </c>
      <c r="JP88" s="9" t="n">
        <v>0</v>
      </c>
      <c r="JR88" s="9" t="n">
        <v>0</v>
      </c>
      <c r="JS88" s="9" t="n">
        <v>9100</v>
      </c>
      <c r="JW88" s="10" t="n">
        <v>46094</v>
      </c>
      <c r="JY88" s="9" t="n">
        <v>0</v>
      </c>
      <c r="KA88" s="9" t="n">
        <v>0</v>
      </c>
      <c r="KB88" s="9" t="n">
        <v>4740</v>
      </c>
      <c r="KF88" s="10" t="n">
        <v>46094</v>
      </c>
      <c r="KH88" s="9" t="n">
        <v>0</v>
      </c>
      <c r="KJ88" s="9" t="n">
        <v>0</v>
      </c>
      <c r="KK88" s="9" t="n">
        <v>5284.5</v>
      </c>
      <c r="KO88" s="10" t="n">
        <v>46094</v>
      </c>
      <c r="KQ88" s="9" t="n">
        <v>1890</v>
      </c>
      <c r="KS88" s="9" t="n">
        <v>1890</v>
      </c>
      <c r="KT88" s="9" t="n">
        <v>1701.000000000001</v>
      </c>
      <c r="KX88" s="10" t="n">
        <v>46094</v>
      </c>
      <c r="KZ88" s="9" t="n">
        <v>0</v>
      </c>
      <c r="LB88" s="9" t="n">
        <v>0</v>
      </c>
      <c r="LC88" s="9" t="n">
        <v>0</v>
      </c>
      <c r="LG88" s="10" t="n">
        <v>46094</v>
      </c>
      <c r="LI88" s="9" t="n">
        <v>0</v>
      </c>
      <c r="LK88" s="9" t="n">
        <v>0</v>
      </c>
      <c r="LL88" s="9" t="n">
        <v>0</v>
      </c>
      <c r="LP88" s="10" t="n">
        <v>46094</v>
      </c>
      <c r="LR88" s="9" t="n">
        <v>0</v>
      </c>
      <c r="LT88" s="9" t="n">
        <v>0</v>
      </c>
      <c r="LU88" s="9" t="n">
        <v>0</v>
      </c>
      <c r="LY88" s="10" t="n">
        <v>46094</v>
      </c>
      <c r="MA88" s="9" t="n">
        <v>0</v>
      </c>
      <c r="MC88" s="9" t="n">
        <v>0</v>
      </c>
      <c r="MD88" s="9" t="n">
        <v>0</v>
      </c>
      <c r="MH88" s="10" t="n">
        <v>46094</v>
      </c>
      <c r="MJ88" s="9" t="n">
        <v>0</v>
      </c>
      <c r="ML88" s="9" t="n">
        <v>0</v>
      </c>
      <c r="MM88" s="9" t="n">
        <v>0</v>
      </c>
      <c r="MQ88" s="10" t="n">
        <v>46094</v>
      </c>
      <c r="MR88" s="9" t="n">
        <v>2000</v>
      </c>
      <c r="MS88" s="9" t="n">
        <v>0</v>
      </c>
      <c r="MU88" s="9" t="n">
        <v>0</v>
      </c>
      <c r="MV88" s="9" t="n">
        <v>5450</v>
      </c>
      <c r="MZ88" s="10" t="n">
        <v>46094</v>
      </c>
      <c r="NB88" s="9" t="n">
        <v>300</v>
      </c>
      <c r="ND88" s="9" t="n">
        <v>300</v>
      </c>
      <c r="NE88" s="9" t="n">
        <v>0</v>
      </c>
      <c r="NI88" s="10" t="n">
        <v>46094</v>
      </c>
      <c r="NJ88" s="9" t="n">
        <v>300</v>
      </c>
      <c r="NK88" s="9" t="n">
        <v>50</v>
      </c>
      <c r="NM88" s="9" t="n">
        <v>50</v>
      </c>
      <c r="NN88" s="9" t="n">
        <v>465</v>
      </c>
      <c r="NR88" s="10" t="n">
        <v>46094</v>
      </c>
      <c r="NT88" s="9" t="n">
        <v>115</v>
      </c>
      <c r="NV88" s="9" t="n">
        <v>115</v>
      </c>
      <c r="NW88" s="9" t="n">
        <v>1578.9</v>
      </c>
      <c r="OA88" s="10" t="n">
        <v>46094</v>
      </c>
      <c r="OC88" s="9" t="n">
        <v>0</v>
      </c>
      <c r="OE88" s="9" t="n">
        <v>0</v>
      </c>
      <c r="OF88" s="9" t="n">
        <v>1680.5</v>
      </c>
      <c r="OJ88" s="10" t="n">
        <v>46094</v>
      </c>
      <c r="OL88" s="9" t="n">
        <v>275.0000000000001</v>
      </c>
      <c r="ON88" s="9" t="n">
        <v>275.0000000000001</v>
      </c>
      <c r="OO88" s="9" t="n">
        <v>0</v>
      </c>
      <c r="OS88" s="10" t="n">
        <v>46094</v>
      </c>
      <c r="OU88" s="9" t="n">
        <v>0</v>
      </c>
      <c r="OW88" s="9" t="n">
        <v>0</v>
      </c>
      <c r="OX88" s="9" t="n">
        <v>1000</v>
      </c>
      <c r="PB88" s="10" t="n">
        <v>46094</v>
      </c>
      <c r="PD88" s="9" t="n">
        <v>0</v>
      </c>
      <c r="PF88" s="9" t="n">
        <v>0</v>
      </c>
      <c r="PG88" s="9" t="n">
        <v>0</v>
      </c>
      <c r="PK88" s="10" t="n">
        <v>46094</v>
      </c>
      <c r="PM88" s="9" t="n">
        <v>0</v>
      </c>
      <c r="PO88" s="9" t="n">
        <v>0</v>
      </c>
      <c r="PP88" s="9" t="n">
        <v>100</v>
      </c>
      <c r="PT88" s="10" t="n">
        <v>46094</v>
      </c>
      <c r="PV88" s="9" t="n">
        <v>0</v>
      </c>
      <c r="PX88" s="9" t="n">
        <v>0</v>
      </c>
      <c r="PY88" s="9" t="n">
        <v>13.96000000000004</v>
      </c>
      <c r="QC88" s="10" t="n">
        <v>46094</v>
      </c>
      <c r="QE88" s="9" t="n">
        <v>0</v>
      </c>
      <c r="QG88" s="9" t="n">
        <v>0</v>
      </c>
      <c r="QH88" s="9" t="n">
        <v>1212</v>
      </c>
      <c r="QL88" s="10" t="n">
        <v>46094</v>
      </c>
      <c r="QN88" s="9" t="n">
        <v>0</v>
      </c>
      <c r="QP88" s="9" t="n">
        <v>0</v>
      </c>
      <c r="QQ88" s="9" t="n">
        <v>0</v>
      </c>
      <c r="QU88" s="10" t="n">
        <v>46094</v>
      </c>
      <c r="QW88" s="9" t="n">
        <v>0</v>
      </c>
      <c r="QY88" s="9" t="n">
        <v>0</v>
      </c>
      <c r="QZ88" s="9" t="n">
        <v>207.6</v>
      </c>
      <c r="RD88" s="10" t="n">
        <v>46094</v>
      </c>
      <c r="RF88" s="9" t="n">
        <v>0</v>
      </c>
      <c r="RH88" s="9" t="n">
        <v>0</v>
      </c>
      <c r="RI88" s="9" t="n">
        <v>197.04</v>
      </c>
      <c r="RM88" s="10" t="n">
        <v>46094</v>
      </c>
      <c r="RO88" s="9" t="n">
        <v>0</v>
      </c>
      <c r="RQ88" s="9" t="n">
        <v>0</v>
      </c>
      <c r="RR88" s="9" t="n">
        <v>46.8</v>
      </c>
      <c r="RV88" s="10" t="n">
        <v>46094</v>
      </c>
      <c r="RX88" s="9" t="n">
        <v>0</v>
      </c>
      <c r="RZ88" s="9" t="n">
        <v>0</v>
      </c>
      <c r="SA88" s="9" t="n">
        <v>0</v>
      </c>
      <c r="SE88" s="10" t="n">
        <v>46094</v>
      </c>
      <c r="SG88" s="9" t="n">
        <v>0</v>
      </c>
      <c r="SI88" s="9" t="n">
        <v>0</v>
      </c>
      <c r="SJ88" s="9" t="n">
        <v>0</v>
      </c>
      <c r="SN88" s="10" t="n">
        <v>46094</v>
      </c>
      <c r="SP88" s="9" t="n">
        <v>0</v>
      </c>
      <c r="SR88" s="9" t="n">
        <v>0</v>
      </c>
      <c r="SS88" s="9" t="n">
        <v>0</v>
      </c>
      <c r="SW88" s="10" t="n">
        <v>46094</v>
      </c>
      <c r="SY88" s="9" t="n">
        <v>0</v>
      </c>
      <c r="TA88" s="9" t="n">
        <v>0</v>
      </c>
      <c r="TB88" s="9" t="n">
        <v>0</v>
      </c>
      <c r="TF88" s="10" t="n">
        <v>46094</v>
      </c>
      <c r="TH88" s="9" t="n">
        <v>0</v>
      </c>
      <c r="TJ88" s="9" t="n">
        <v>0</v>
      </c>
      <c r="TK88" s="9" t="n">
        <v>0</v>
      </c>
      <c r="TO88" s="10" t="n">
        <v>46094</v>
      </c>
      <c r="TQ88" s="9" t="n">
        <v>0</v>
      </c>
      <c r="TS88" s="9" t="n">
        <v>0</v>
      </c>
      <c r="TT88" s="9" t="n">
        <v>0</v>
      </c>
      <c r="TX88" s="10" t="n">
        <v>46094</v>
      </c>
      <c r="TZ88" s="9" t="n">
        <v>0</v>
      </c>
      <c r="UB88" s="9" t="n">
        <v>0</v>
      </c>
      <c r="UC88" s="9" t="n">
        <v>0</v>
      </c>
      <c r="UG88" s="10" t="n">
        <v>46094</v>
      </c>
      <c r="UI88" s="9" t="n">
        <v>0</v>
      </c>
      <c r="UK88" s="9" t="n">
        <v>0</v>
      </c>
      <c r="UL88" s="9" t="n">
        <v>0</v>
      </c>
      <c r="UP88" s="10" t="n">
        <v>46094</v>
      </c>
      <c r="UR88" s="9" t="n">
        <v>0</v>
      </c>
      <c r="UT88" s="9" t="n">
        <v>0</v>
      </c>
      <c r="UU88" s="9" t="n">
        <v>0</v>
      </c>
      <c r="UY88" s="10" t="n">
        <v>46094</v>
      </c>
      <c r="VA88" s="9" t="n">
        <v>0</v>
      </c>
      <c r="VC88" s="9" t="n">
        <v>0</v>
      </c>
      <c r="VD88" s="9" t="n">
        <v>41.60000000000002</v>
      </c>
      <c r="VH88" s="10" t="n">
        <v>46094</v>
      </c>
      <c r="VJ88" s="9" t="n">
        <v>0</v>
      </c>
      <c r="VL88" s="9" t="n">
        <v>0</v>
      </c>
      <c r="VM88" s="9" t="n">
        <v>0</v>
      </c>
      <c r="VQ88" s="10" t="n">
        <v>46094</v>
      </c>
      <c r="VS88" s="9" t="n">
        <v>0</v>
      </c>
      <c r="VU88" s="9" t="n">
        <v>0</v>
      </c>
      <c r="VV88" s="9" t="n">
        <v>0</v>
      </c>
      <c r="VZ88" s="10" t="n">
        <v>46094</v>
      </c>
      <c r="WB88" s="9" t="n">
        <v>0</v>
      </c>
      <c r="WD88" s="9" t="n">
        <v>0</v>
      </c>
      <c r="WE88" s="9" t="n">
        <v>0</v>
      </c>
      <c r="WI88" s="10" t="n">
        <v>46094</v>
      </c>
      <c r="WK88" s="9" t="n">
        <v>0</v>
      </c>
      <c r="WM88" s="9" t="n">
        <v>0</v>
      </c>
      <c r="WN88" s="9" t="n">
        <v>6022</v>
      </c>
      <c r="WR88" s="10" t="n">
        <v>46094</v>
      </c>
      <c r="WT88" s="9" t="n">
        <v>0</v>
      </c>
      <c r="WV88" s="9" t="n">
        <v>0</v>
      </c>
      <c r="WW88" s="9" t="n">
        <v>5568</v>
      </c>
      <c r="XA88" s="10" t="n">
        <v>46094</v>
      </c>
      <c r="XC88" s="9" t="n">
        <v>0</v>
      </c>
      <c r="XE88" s="9" t="n">
        <v>0</v>
      </c>
      <c r="XF88" s="9" t="n">
        <v>590</v>
      </c>
      <c r="XJ88" s="10" t="n">
        <v>46094</v>
      </c>
      <c r="XL88" s="9" t="n">
        <v>0</v>
      </c>
      <c r="XN88" s="9" t="n">
        <v>0</v>
      </c>
      <c r="XO88" s="9" t="n">
        <v>1439</v>
      </c>
      <c r="XS88" s="10" t="n">
        <v>46094</v>
      </c>
      <c r="XU88" s="9" t="n">
        <v>0</v>
      </c>
      <c r="XW88" s="9" t="n">
        <v>0</v>
      </c>
      <c r="XX88" s="9" t="n">
        <v>1901</v>
      </c>
      <c r="YB88" s="10" t="n">
        <v>46094</v>
      </c>
      <c r="YD88" s="9" t="n">
        <v>0</v>
      </c>
      <c r="YF88" s="9" t="n">
        <v>0</v>
      </c>
      <c r="YG88" s="9" t="n">
        <v>0</v>
      </c>
      <c r="YK88" s="10" t="n">
        <v>46094</v>
      </c>
      <c r="YM88" s="9" t="n">
        <v>0</v>
      </c>
      <c r="YO88" s="9" t="n">
        <v>0</v>
      </c>
      <c r="YP88" s="9" t="n">
        <v>0</v>
      </c>
      <c r="YT88" s="10" t="n">
        <v>46094</v>
      </c>
      <c r="YV88" s="9" t="n">
        <v>0</v>
      </c>
      <c r="YX88" s="9" t="n">
        <v>0</v>
      </c>
      <c r="YY88" s="9" t="n">
        <v>0</v>
      </c>
      <c r="ZC88" s="10" t="n">
        <v>46094</v>
      </c>
      <c r="ZE88" s="9" t="n">
        <v>0</v>
      </c>
      <c r="ZG88" s="9" t="n">
        <v>0</v>
      </c>
      <c r="ZH88" s="9" t="n">
        <v>0</v>
      </c>
      <c r="ZL88" s="10" t="n">
        <v>46094</v>
      </c>
      <c r="ZN88" s="9" t="n">
        <v>0</v>
      </c>
      <c r="ZP88" s="9" t="n">
        <v>0</v>
      </c>
      <c r="ZQ88" s="9" t="n">
        <v>0</v>
      </c>
      <c r="ZU88" s="10" t="n">
        <v>46094</v>
      </c>
      <c r="ZW88" s="9" t="n">
        <v>0</v>
      </c>
      <c r="ZY88" s="9" t="n">
        <v>0</v>
      </c>
      <c r="ZZ88" s="9" t="n">
        <v>0</v>
      </c>
      <c r="AAD88" s="10" t="n">
        <v>46094</v>
      </c>
      <c r="AAF88" s="9" t="n">
        <v>0</v>
      </c>
      <c r="AAH88" s="9" t="n">
        <v>0</v>
      </c>
      <c r="AAI88" s="9" t="n">
        <v>0</v>
      </c>
      <c r="AAM88" s="10" t="n">
        <v>46094</v>
      </c>
      <c r="AAO88" s="9" t="n">
        <v>0</v>
      </c>
      <c r="AAQ88" s="9" t="n">
        <v>0</v>
      </c>
      <c r="AAR88" s="9" t="n">
        <v>0</v>
      </c>
      <c r="AAV88" s="10" t="n">
        <v>46094</v>
      </c>
      <c r="AAX88" s="9" t="n">
        <v>0</v>
      </c>
      <c r="AAZ88" s="9" t="n">
        <v>0</v>
      </c>
      <c r="ABA88" s="9" t="n">
        <v>0</v>
      </c>
      <c r="ABE88" s="10" t="n">
        <v>46094</v>
      </c>
      <c r="ABG88" s="9" t="n">
        <v>0</v>
      </c>
      <c r="ABI88" s="9" t="n">
        <v>0</v>
      </c>
      <c r="ABJ88" s="9" t="n">
        <v>0</v>
      </c>
    </row>
    <row r="89">
      <c r="B89" s="9" t="n">
        <v>74</v>
      </c>
      <c r="C89" s="10" t="n">
        <v>46095</v>
      </c>
      <c r="D89" s="9" t="n">
        <v>129210</v>
      </c>
      <c r="E89" s="9" t="n">
        <v>38722.2</v>
      </c>
      <c r="F89" s="9" t="n">
        <v>38724.4</v>
      </c>
      <c r="G89" s="9" t="n">
        <v>-2.200000000004366</v>
      </c>
      <c r="H89" s="9" t="n">
        <v>199449.8</v>
      </c>
      <c r="I89" s="9" t="inlineStr">
        <is>
          <t>121 44mt. 123 30mt</t>
        </is>
      </c>
      <c r="L89" s="10" t="n">
        <v>46095</v>
      </c>
      <c r="N89" s="9" t="n">
        <v>15639</v>
      </c>
      <c r="O89" s="9" t="n">
        <v>15643.6</v>
      </c>
      <c r="P89" s="9" t="n">
        <v>-4.599999999998545</v>
      </c>
      <c r="Q89" s="9" t="n">
        <v>84182.00000000004</v>
      </c>
      <c r="U89" s="10" t="n">
        <v>46095</v>
      </c>
      <c r="W89" s="9" t="n">
        <v>5476</v>
      </c>
      <c r="X89" s="9" t="n">
        <v>5475.5</v>
      </c>
      <c r="Y89" s="9" t="n">
        <v>0.5</v>
      </c>
      <c r="Z89" s="9" t="n">
        <v>39667.69999999997</v>
      </c>
      <c r="AD89" s="10" t="n">
        <v>46095</v>
      </c>
      <c r="AF89" s="9" t="n">
        <v>800</v>
      </c>
      <c r="AG89" s="9" t="n">
        <v>801.6</v>
      </c>
      <c r="AH89" s="9" t="n">
        <v>-1.600000000000023</v>
      </c>
      <c r="AI89" s="9" t="n">
        <v>23265.00000000002</v>
      </c>
      <c r="AM89" s="10" t="n">
        <v>46095</v>
      </c>
      <c r="AO89" s="9" t="n">
        <v>0</v>
      </c>
      <c r="AQ89" s="9" t="n">
        <v>0</v>
      </c>
      <c r="AR89" s="9" t="n">
        <v>0</v>
      </c>
      <c r="AV89" s="10" t="n">
        <v>46095</v>
      </c>
      <c r="AX89" s="9" t="n">
        <v>1100</v>
      </c>
      <c r="AY89" s="9" t="n">
        <v>1098.9</v>
      </c>
      <c r="AZ89" s="9" t="n">
        <v>1.099999999999909</v>
      </c>
      <c r="BA89" s="9" t="n">
        <v>25261.39999999999</v>
      </c>
      <c r="BE89" s="10" t="n">
        <v>46095</v>
      </c>
      <c r="BF89" s="9" t="n">
        <v>28320</v>
      </c>
      <c r="BG89" s="9" t="n">
        <v>2582</v>
      </c>
      <c r="BH89" s="9" t="n">
        <v>2585.7</v>
      </c>
      <c r="BI89" s="9" t="n">
        <v>-3.699999999999818</v>
      </c>
      <c r="BJ89" s="9" t="n">
        <v>26565.40000000001</v>
      </c>
      <c r="BN89" s="10" t="n">
        <v>46095</v>
      </c>
      <c r="BO89" s="9" t="n">
        <v>1244.9</v>
      </c>
      <c r="BP89" s="9" t="n">
        <v>1245</v>
      </c>
      <c r="BQ89" s="9" t="n">
        <v>1244.9</v>
      </c>
      <c r="BR89" s="9" t="n">
        <v>0.09999999999990905</v>
      </c>
      <c r="BS89" s="9" t="n">
        <v>0</v>
      </c>
      <c r="BW89" s="10" t="n">
        <v>46095</v>
      </c>
      <c r="BY89" s="9" t="n">
        <v>363.0000000000001</v>
      </c>
      <c r="BZ89" s="9" t="n">
        <v>1766</v>
      </c>
      <c r="CA89" s="9" t="n">
        <v>-1403</v>
      </c>
      <c r="CB89" s="9" t="n">
        <v>3063.8</v>
      </c>
      <c r="CF89" s="10" t="n">
        <v>46095</v>
      </c>
      <c r="CG89" s="9" t="n">
        <v>3602</v>
      </c>
      <c r="CH89" s="9" t="n">
        <v>578</v>
      </c>
      <c r="CI89" s="9" t="n">
        <v>3602</v>
      </c>
      <c r="CJ89" s="9" t="n">
        <v>-3024</v>
      </c>
      <c r="CK89" s="9" t="n">
        <v>0</v>
      </c>
      <c r="CO89" s="10" t="n">
        <v>46095</v>
      </c>
      <c r="CQ89" s="9" t="n">
        <v>0</v>
      </c>
      <c r="CS89" s="9" t="n">
        <v>0</v>
      </c>
      <c r="CT89" s="9" t="n">
        <v>0</v>
      </c>
      <c r="CX89" s="10" t="n">
        <v>46095</v>
      </c>
      <c r="CZ89" s="9" t="n">
        <v>2974</v>
      </c>
      <c r="DA89" s="9" t="n">
        <v>2974.8</v>
      </c>
      <c r="DB89" s="9" t="n">
        <v>-0.8000000000001819</v>
      </c>
      <c r="DC89" s="9" t="n">
        <v>28250.4</v>
      </c>
      <c r="DG89" s="10" t="n">
        <v>46095</v>
      </c>
      <c r="DI89" s="9" t="n">
        <v>1354</v>
      </c>
      <c r="DJ89" s="9" t="n">
        <v>1354.4</v>
      </c>
      <c r="DK89" s="9" t="n">
        <v>-0.4000000000000909</v>
      </c>
      <c r="DL89" s="9" t="n">
        <v>10685.4</v>
      </c>
      <c r="DP89" s="10" t="n">
        <v>46095</v>
      </c>
      <c r="DR89" s="9" t="n">
        <v>0</v>
      </c>
      <c r="DT89" s="9" t="n">
        <v>0</v>
      </c>
      <c r="DU89" s="9" t="n">
        <v>7150</v>
      </c>
      <c r="DY89" s="10" t="n">
        <v>46095</v>
      </c>
      <c r="EA89" s="9" t="n">
        <v>1100</v>
      </c>
      <c r="EB89" s="9" t="n">
        <v>1150</v>
      </c>
      <c r="EC89" s="9" t="n">
        <v>-50</v>
      </c>
      <c r="ED89" s="9" t="n">
        <v>4047.3</v>
      </c>
      <c r="EH89" s="10" t="n">
        <v>46095</v>
      </c>
      <c r="EJ89" s="9" t="n">
        <v>0</v>
      </c>
      <c r="EL89" s="9" t="n">
        <v>0</v>
      </c>
      <c r="EM89" s="9" t="n">
        <v>0</v>
      </c>
      <c r="EQ89" s="10" t="n">
        <v>46095</v>
      </c>
      <c r="ES89" s="9" t="n">
        <v>0</v>
      </c>
      <c r="EU89" s="9" t="n">
        <v>0</v>
      </c>
      <c r="EV89" s="9" t="n">
        <v>0</v>
      </c>
      <c r="EZ89" s="10" t="n">
        <v>46095</v>
      </c>
      <c r="FB89" s="9" t="n">
        <v>0</v>
      </c>
      <c r="FD89" s="9" t="n">
        <v>0</v>
      </c>
      <c r="FE89" s="9" t="n">
        <v>0</v>
      </c>
      <c r="FI89" s="10" t="n">
        <v>46095</v>
      </c>
      <c r="FK89" s="9" t="n">
        <v>0</v>
      </c>
      <c r="FM89" s="9" t="n">
        <v>0</v>
      </c>
      <c r="FN89" s="9" t="n">
        <v>0</v>
      </c>
      <c r="FR89" s="10" t="n">
        <v>46095</v>
      </c>
      <c r="FT89" s="9" t="n">
        <v>0</v>
      </c>
      <c r="FU89" s="9" t="n">
        <v>800</v>
      </c>
      <c r="FV89" s="9" t="n">
        <v>-800</v>
      </c>
      <c r="FW89" s="9" t="n">
        <v>3220</v>
      </c>
      <c r="GA89" s="10" t="n">
        <v>46095</v>
      </c>
      <c r="GC89" s="9" t="n">
        <v>0</v>
      </c>
      <c r="GD89" s="9" t="n">
        <v>3760</v>
      </c>
      <c r="GE89" s="9" t="n">
        <v>-3760</v>
      </c>
      <c r="GF89" s="9" t="n">
        <v>1800</v>
      </c>
      <c r="GJ89" s="10" t="n">
        <v>46095</v>
      </c>
      <c r="GL89" s="9" t="n">
        <v>0</v>
      </c>
      <c r="GN89" s="9" t="n">
        <v>0</v>
      </c>
      <c r="GO89" s="9" t="n">
        <v>5240</v>
      </c>
      <c r="GS89" s="10" t="n">
        <v>46095</v>
      </c>
      <c r="GU89" s="9" t="n">
        <v>0</v>
      </c>
      <c r="GW89" s="9" t="n">
        <v>0</v>
      </c>
      <c r="GX89" s="9" t="n">
        <v>0</v>
      </c>
      <c r="HB89" s="10" t="n">
        <v>46095</v>
      </c>
      <c r="HD89" s="9" t="n">
        <v>0</v>
      </c>
      <c r="HF89" s="9" t="n">
        <v>0</v>
      </c>
      <c r="HG89" s="9" t="n">
        <v>0</v>
      </c>
      <c r="HK89" s="10" t="n">
        <v>46095</v>
      </c>
      <c r="HM89" s="9" t="n">
        <v>0</v>
      </c>
      <c r="HO89" s="9" t="n">
        <v>0</v>
      </c>
      <c r="HP89" s="9" t="n">
        <v>0</v>
      </c>
      <c r="HU89" s="10" t="n">
        <v>46095</v>
      </c>
      <c r="HW89" s="9" t="n">
        <v>0</v>
      </c>
      <c r="HY89" s="9" t="n">
        <v>0</v>
      </c>
      <c r="HZ89" s="9" t="n">
        <v>5120</v>
      </c>
      <c r="ID89" s="10" t="n">
        <v>46095</v>
      </c>
      <c r="IF89" s="9" t="n">
        <v>0</v>
      </c>
      <c r="IH89" s="9" t="n">
        <v>0</v>
      </c>
      <c r="II89" s="9" t="n">
        <v>6540</v>
      </c>
      <c r="IM89" s="10" t="n">
        <v>46095</v>
      </c>
      <c r="IO89" s="9" t="n">
        <v>0</v>
      </c>
      <c r="IQ89" s="9" t="n">
        <v>0</v>
      </c>
      <c r="IR89" s="9" t="n">
        <v>11540</v>
      </c>
      <c r="IV89" s="10" t="n">
        <v>46095</v>
      </c>
      <c r="IX89" s="9" t="n">
        <v>0</v>
      </c>
      <c r="IZ89" s="9" t="n">
        <v>0</v>
      </c>
      <c r="JA89" s="9" t="n">
        <v>15120</v>
      </c>
      <c r="JE89" s="10" t="n">
        <v>46095</v>
      </c>
      <c r="JG89" s="9" t="n">
        <v>0</v>
      </c>
      <c r="JI89" s="9" t="n">
        <v>0</v>
      </c>
      <c r="JJ89" s="9" t="n">
        <v>5040</v>
      </c>
      <c r="JN89" s="10" t="n">
        <v>46095</v>
      </c>
      <c r="JP89" s="9" t="n">
        <v>0</v>
      </c>
      <c r="JR89" s="9" t="n">
        <v>0</v>
      </c>
      <c r="JS89" s="9" t="n">
        <v>9100</v>
      </c>
      <c r="JW89" s="10" t="n">
        <v>46095</v>
      </c>
      <c r="JX89" s="9" t="n">
        <v>3000</v>
      </c>
      <c r="JY89" s="9" t="n">
        <v>880</v>
      </c>
      <c r="JZ89" s="9" t="n">
        <v>1560</v>
      </c>
      <c r="KA89" s="9" t="n">
        <v>-680</v>
      </c>
      <c r="KB89" s="9" t="n">
        <v>6180</v>
      </c>
      <c r="KF89" s="10" t="n">
        <v>46095</v>
      </c>
      <c r="KG89" s="9" t="n">
        <v>5850</v>
      </c>
      <c r="KH89" s="9" t="n">
        <v>0</v>
      </c>
      <c r="KI89" s="9" t="n">
        <v>1950</v>
      </c>
      <c r="KJ89" s="9" t="n">
        <v>-1950</v>
      </c>
      <c r="KK89" s="9" t="n">
        <v>9184.5</v>
      </c>
      <c r="KO89" s="10" t="n">
        <v>46095</v>
      </c>
      <c r="KP89" s="9" t="n">
        <v>7559.999999999999</v>
      </c>
      <c r="KQ89" s="9" t="n">
        <v>567</v>
      </c>
      <c r="KR89" s="9" t="n">
        <v>2268</v>
      </c>
      <c r="KS89" s="9" t="n">
        <v>-1701</v>
      </c>
      <c r="KT89" s="9" t="n">
        <v>6993</v>
      </c>
      <c r="KX89" s="10" t="n">
        <v>46095</v>
      </c>
      <c r="KZ89" s="9" t="n">
        <v>0</v>
      </c>
      <c r="LB89" s="9" t="n">
        <v>0</v>
      </c>
      <c r="LC89" s="9" t="n">
        <v>0</v>
      </c>
      <c r="LG89" s="10" t="n">
        <v>46095</v>
      </c>
      <c r="LI89" s="9" t="n">
        <v>0</v>
      </c>
      <c r="LK89" s="9" t="n">
        <v>0</v>
      </c>
      <c r="LL89" s="9" t="n">
        <v>0</v>
      </c>
      <c r="LP89" s="10" t="n">
        <v>46095</v>
      </c>
      <c r="LR89" s="9" t="n">
        <v>0</v>
      </c>
      <c r="LT89" s="9" t="n">
        <v>0</v>
      </c>
      <c r="LU89" s="9" t="n">
        <v>0</v>
      </c>
      <c r="LY89" s="10" t="n">
        <v>46095</v>
      </c>
      <c r="MA89" s="9" t="n">
        <v>0</v>
      </c>
      <c r="MC89" s="9" t="n">
        <v>0</v>
      </c>
      <c r="MD89" s="9" t="n">
        <v>0</v>
      </c>
      <c r="MH89" s="10" t="n">
        <v>46095</v>
      </c>
      <c r="MJ89" s="9" t="n">
        <v>0</v>
      </c>
      <c r="ML89" s="9" t="n">
        <v>0</v>
      </c>
      <c r="MM89" s="9" t="n">
        <v>0</v>
      </c>
      <c r="MQ89" s="10" t="n">
        <v>46095</v>
      </c>
      <c r="MS89" s="9" t="n">
        <v>148</v>
      </c>
      <c r="MT89" s="9" t="n">
        <v>710</v>
      </c>
      <c r="MU89" s="9" t="n">
        <v>-562</v>
      </c>
      <c r="MV89" s="9" t="n">
        <v>4740</v>
      </c>
      <c r="MZ89" s="10" t="n">
        <v>46095</v>
      </c>
      <c r="NA89" s="9" t="n">
        <v>804</v>
      </c>
      <c r="NB89" s="9" t="n">
        <v>222</v>
      </c>
      <c r="NC89" s="9" t="n">
        <v>804</v>
      </c>
      <c r="ND89" s="9" t="n">
        <v>-582</v>
      </c>
      <c r="NE89" s="9" t="n">
        <v>0</v>
      </c>
      <c r="NI89" s="10" t="n">
        <v>46095</v>
      </c>
      <c r="NK89" s="9" t="n">
        <v>0</v>
      </c>
      <c r="NM89" s="9" t="n">
        <v>0</v>
      </c>
      <c r="NN89" s="9" t="n">
        <v>465</v>
      </c>
      <c r="NR89" s="10" t="n">
        <v>46095</v>
      </c>
      <c r="NT89" s="9" t="n">
        <v>44.8</v>
      </c>
      <c r="NU89" s="9" t="n">
        <v>243.6</v>
      </c>
      <c r="NV89" s="9" t="n">
        <v>-198.8</v>
      </c>
      <c r="NW89" s="9" t="n">
        <v>1335.3</v>
      </c>
      <c r="OA89" s="10" t="n">
        <v>46095</v>
      </c>
      <c r="OC89" s="9" t="n">
        <v>0</v>
      </c>
      <c r="OE89" s="9" t="n">
        <v>0</v>
      </c>
      <c r="OF89" s="9" t="n">
        <v>1680.5</v>
      </c>
      <c r="OJ89" s="10" t="n">
        <v>46095</v>
      </c>
      <c r="OK89" s="9" t="n">
        <v>746.5</v>
      </c>
      <c r="OL89" s="9" t="n">
        <v>205</v>
      </c>
      <c r="OM89" s="9" t="n">
        <v>746.5</v>
      </c>
      <c r="ON89" s="9" t="n">
        <v>-541.5</v>
      </c>
      <c r="OO89" s="9" t="n">
        <v>0</v>
      </c>
      <c r="OS89" s="10" t="n">
        <v>46095</v>
      </c>
      <c r="OU89" s="9" t="n">
        <v>0</v>
      </c>
      <c r="OW89" s="9" t="n">
        <v>0</v>
      </c>
      <c r="OX89" s="9" t="n">
        <v>1000</v>
      </c>
      <c r="PB89" s="10" t="n">
        <v>46095</v>
      </c>
      <c r="PD89" s="9" t="n">
        <v>0</v>
      </c>
      <c r="PF89" s="9" t="n">
        <v>0</v>
      </c>
      <c r="PG89" s="9" t="n">
        <v>0</v>
      </c>
      <c r="PK89" s="10" t="n">
        <v>46095</v>
      </c>
      <c r="PM89" s="9" t="n">
        <v>0</v>
      </c>
      <c r="PO89" s="9" t="n">
        <v>0</v>
      </c>
      <c r="PP89" s="9" t="n">
        <v>100</v>
      </c>
      <c r="PT89" s="10" t="n">
        <v>46095</v>
      </c>
      <c r="PV89" s="9" t="n">
        <v>0</v>
      </c>
      <c r="PX89" s="9" t="n">
        <v>0</v>
      </c>
      <c r="PY89" s="9" t="n">
        <v>13.96000000000004</v>
      </c>
      <c r="QC89" s="10" t="n">
        <v>46095</v>
      </c>
      <c r="QE89" s="9" t="n">
        <v>0</v>
      </c>
      <c r="QG89" s="9" t="n">
        <v>0</v>
      </c>
      <c r="QH89" s="9" t="n">
        <v>1212</v>
      </c>
      <c r="QL89" s="10" t="n">
        <v>46095</v>
      </c>
      <c r="QN89" s="9" t="n">
        <v>0</v>
      </c>
      <c r="QP89" s="9" t="n">
        <v>0</v>
      </c>
      <c r="QQ89" s="9" t="n">
        <v>0</v>
      </c>
      <c r="QU89" s="10" t="n">
        <v>46095</v>
      </c>
      <c r="QW89" s="9" t="n">
        <v>0</v>
      </c>
      <c r="QY89" s="9" t="n">
        <v>0</v>
      </c>
      <c r="QZ89" s="9" t="n">
        <v>207.6</v>
      </c>
      <c r="RD89" s="10" t="n">
        <v>46095</v>
      </c>
      <c r="RF89" s="9" t="n">
        <v>0</v>
      </c>
      <c r="RH89" s="9" t="n">
        <v>0</v>
      </c>
      <c r="RI89" s="9" t="n">
        <v>197.04</v>
      </c>
      <c r="RM89" s="10" t="n">
        <v>46095</v>
      </c>
      <c r="RO89" s="9" t="n">
        <v>0</v>
      </c>
      <c r="RQ89" s="9" t="n">
        <v>0</v>
      </c>
      <c r="RR89" s="9" t="n">
        <v>46.8</v>
      </c>
      <c r="RV89" s="10" t="n">
        <v>46095</v>
      </c>
      <c r="RX89" s="9" t="n">
        <v>0</v>
      </c>
      <c r="RZ89" s="9" t="n">
        <v>0</v>
      </c>
      <c r="SA89" s="9" t="n">
        <v>0</v>
      </c>
      <c r="SE89" s="10" t="n">
        <v>46095</v>
      </c>
      <c r="SG89" s="9" t="n">
        <v>0</v>
      </c>
      <c r="SI89" s="9" t="n">
        <v>0</v>
      </c>
      <c r="SJ89" s="9" t="n">
        <v>0</v>
      </c>
      <c r="SN89" s="10" t="n">
        <v>46095</v>
      </c>
      <c r="SP89" s="9" t="n">
        <v>0</v>
      </c>
      <c r="SR89" s="9" t="n">
        <v>0</v>
      </c>
      <c r="SS89" s="9" t="n">
        <v>0</v>
      </c>
      <c r="SW89" s="10" t="n">
        <v>46095</v>
      </c>
      <c r="SY89" s="9" t="n">
        <v>0</v>
      </c>
      <c r="TA89" s="9" t="n">
        <v>0</v>
      </c>
      <c r="TB89" s="9" t="n">
        <v>0</v>
      </c>
      <c r="TF89" s="10" t="n">
        <v>46095</v>
      </c>
      <c r="TH89" s="9" t="n">
        <v>0</v>
      </c>
      <c r="TJ89" s="9" t="n">
        <v>0</v>
      </c>
      <c r="TK89" s="9" t="n">
        <v>0</v>
      </c>
      <c r="TO89" s="10" t="n">
        <v>46095</v>
      </c>
      <c r="TQ89" s="9" t="n">
        <v>0</v>
      </c>
      <c r="TS89" s="9" t="n">
        <v>0</v>
      </c>
      <c r="TT89" s="9" t="n">
        <v>0</v>
      </c>
      <c r="TX89" s="10" t="n">
        <v>46095</v>
      </c>
      <c r="TZ89" s="9" t="n">
        <v>0</v>
      </c>
      <c r="UB89" s="9" t="n">
        <v>0</v>
      </c>
      <c r="UC89" s="9" t="n">
        <v>0</v>
      </c>
      <c r="UG89" s="10" t="n">
        <v>46095</v>
      </c>
      <c r="UI89" s="9" t="n">
        <v>0</v>
      </c>
      <c r="UK89" s="9" t="n">
        <v>0</v>
      </c>
      <c r="UL89" s="9" t="n">
        <v>0</v>
      </c>
      <c r="UP89" s="10" t="n">
        <v>46095</v>
      </c>
      <c r="UR89" s="9" t="n">
        <v>0</v>
      </c>
      <c r="UT89" s="9" t="n">
        <v>0</v>
      </c>
      <c r="UU89" s="9" t="n">
        <v>0</v>
      </c>
      <c r="UY89" s="10" t="n">
        <v>46095</v>
      </c>
      <c r="VA89" s="9" t="n">
        <v>0</v>
      </c>
      <c r="VC89" s="9" t="n">
        <v>0</v>
      </c>
      <c r="VD89" s="9" t="n">
        <v>41.60000000000002</v>
      </c>
      <c r="VH89" s="10" t="n">
        <v>46095</v>
      </c>
      <c r="VJ89" s="9" t="n">
        <v>0</v>
      </c>
      <c r="VL89" s="9" t="n">
        <v>0</v>
      </c>
      <c r="VM89" s="9" t="n">
        <v>0</v>
      </c>
      <c r="VQ89" s="10" t="n">
        <v>46095</v>
      </c>
      <c r="VS89" s="9" t="n">
        <v>0</v>
      </c>
      <c r="VU89" s="9" t="n">
        <v>0</v>
      </c>
      <c r="VV89" s="9" t="n">
        <v>0</v>
      </c>
      <c r="VZ89" s="10" t="n">
        <v>46095</v>
      </c>
      <c r="WB89" s="9" t="n">
        <v>0</v>
      </c>
      <c r="WD89" s="9" t="n">
        <v>0</v>
      </c>
      <c r="WE89" s="9" t="n">
        <v>0</v>
      </c>
      <c r="WI89" s="10" t="n">
        <v>46095</v>
      </c>
      <c r="WK89" s="9" t="n">
        <v>0</v>
      </c>
      <c r="WM89" s="9" t="n">
        <v>0</v>
      </c>
      <c r="WN89" s="9" t="n">
        <v>6022</v>
      </c>
      <c r="WR89" s="10" t="n">
        <v>46095</v>
      </c>
      <c r="WT89" s="9" t="n">
        <v>0</v>
      </c>
      <c r="WV89" s="9" t="n">
        <v>0</v>
      </c>
      <c r="WW89" s="9" t="n">
        <v>5568</v>
      </c>
      <c r="XA89" s="10" t="n">
        <v>46095</v>
      </c>
      <c r="XC89" s="9" t="n">
        <v>0</v>
      </c>
      <c r="XE89" s="9" t="n">
        <v>0</v>
      </c>
      <c r="XF89" s="9" t="n">
        <v>590</v>
      </c>
      <c r="XJ89" s="10" t="n">
        <v>46095</v>
      </c>
      <c r="XL89" s="9" t="n">
        <v>0</v>
      </c>
      <c r="XM89" s="9" t="n">
        <v>743</v>
      </c>
      <c r="XN89" s="9" t="n">
        <v>-743</v>
      </c>
      <c r="XO89" s="9" t="n">
        <v>696</v>
      </c>
      <c r="XS89" s="10" t="n">
        <v>46095</v>
      </c>
      <c r="XU89" s="9" t="n">
        <v>0</v>
      </c>
      <c r="XW89" s="9" t="n">
        <v>0</v>
      </c>
      <c r="XX89" s="9" t="n">
        <v>1901</v>
      </c>
      <c r="YB89" s="10" t="n">
        <v>46095</v>
      </c>
      <c r="YD89" s="9" t="n">
        <v>0</v>
      </c>
      <c r="YF89" s="9" t="n">
        <v>0</v>
      </c>
      <c r="YG89" s="9" t="n">
        <v>0</v>
      </c>
      <c r="YK89" s="10" t="n">
        <v>46095</v>
      </c>
      <c r="YM89" s="9" t="n">
        <v>0</v>
      </c>
      <c r="YO89" s="9" t="n">
        <v>0</v>
      </c>
      <c r="YP89" s="9" t="n">
        <v>0</v>
      </c>
      <c r="YT89" s="10" t="n">
        <v>46095</v>
      </c>
      <c r="YV89" s="9" t="n">
        <v>0</v>
      </c>
      <c r="YX89" s="9" t="n">
        <v>0</v>
      </c>
      <c r="YY89" s="9" t="n">
        <v>0</v>
      </c>
      <c r="ZC89" s="10" t="n">
        <v>46095</v>
      </c>
      <c r="ZE89" s="9" t="n">
        <v>0</v>
      </c>
      <c r="ZG89" s="9" t="n">
        <v>0</v>
      </c>
      <c r="ZH89" s="9" t="n">
        <v>0</v>
      </c>
      <c r="ZL89" s="10" t="n">
        <v>46095</v>
      </c>
      <c r="ZN89" s="9" t="n">
        <v>0</v>
      </c>
      <c r="ZP89" s="9" t="n">
        <v>0</v>
      </c>
      <c r="ZQ89" s="9" t="n">
        <v>0</v>
      </c>
      <c r="ZU89" s="10" t="n">
        <v>46095</v>
      </c>
      <c r="ZW89" s="9" t="n">
        <v>0</v>
      </c>
      <c r="ZY89" s="9" t="n">
        <v>0</v>
      </c>
      <c r="ZZ89" s="9" t="n">
        <v>0</v>
      </c>
      <c r="AAD89" s="10" t="n">
        <v>46095</v>
      </c>
      <c r="AAF89" s="9" t="n">
        <v>0</v>
      </c>
      <c r="AAH89" s="9" t="n">
        <v>0</v>
      </c>
      <c r="AAI89" s="9" t="n">
        <v>0</v>
      </c>
      <c r="AAM89" s="10" t="n">
        <v>46095</v>
      </c>
      <c r="AAO89" s="9" t="n">
        <v>0</v>
      </c>
      <c r="AAQ89" s="9" t="n">
        <v>0</v>
      </c>
      <c r="AAR89" s="9" t="n">
        <v>0</v>
      </c>
      <c r="AAV89" s="10" t="n">
        <v>46095</v>
      </c>
      <c r="AAX89" s="9" t="n">
        <v>0</v>
      </c>
      <c r="AAZ89" s="9" t="n">
        <v>0</v>
      </c>
      <c r="ABA89" s="9" t="n">
        <v>0</v>
      </c>
      <c r="ABE89" s="10" t="n">
        <v>46095</v>
      </c>
      <c r="ABG89" s="9" t="n">
        <v>0</v>
      </c>
      <c r="ABI89" s="9" t="n">
        <v>0</v>
      </c>
      <c r="ABJ89" s="9" t="n">
        <v>0</v>
      </c>
    </row>
    <row r="90">
      <c r="C90" s="10" t="n">
        <v>46096</v>
      </c>
      <c r="E90" s="9" t="n">
        <v>0</v>
      </c>
      <c r="G90" s="9" t="n">
        <v>0</v>
      </c>
      <c r="H90" s="9" t="n">
        <v>199449.8</v>
      </c>
      <c r="L90" s="10" t="n">
        <v>46096</v>
      </c>
      <c r="N90" s="9" t="n">
        <v>0</v>
      </c>
      <c r="P90" s="9" t="n">
        <v>0</v>
      </c>
      <c r="Q90" s="9" t="n">
        <v>84182.00000000004</v>
      </c>
      <c r="U90" s="10" t="n">
        <v>46096</v>
      </c>
      <c r="W90" s="9" t="n">
        <v>0</v>
      </c>
      <c r="Y90" s="9" t="n">
        <v>0</v>
      </c>
      <c r="Z90" s="9" t="n">
        <v>39667.69999999997</v>
      </c>
      <c r="AD90" s="10" t="n">
        <v>46096</v>
      </c>
      <c r="AF90" s="9" t="n">
        <v>0</v>
      </c>
      <c r="AH90" s="9" t="n">
        <v>0</v>
      </c>
      <c r="AI90" s="9" t="n">
        <v>23265.00000000002</v>
      </c>
      <c r="AM90" s="10" t="n">
        <v>46096</v>
      </c>
      <c r="AO90" s="9" t="n">
        <v>0</v>
      </c>
      <c r="AQ90" s="9" t="n">
        <v>0</v>
      </c>
      <c r="AR90" s="9" t="n">
        <v>0</v>
      </c>
      <c r="AV90" s="10" t="n">
        <v>46096</v>
      </c>
      <c r="AX90" s="9" t="n">
        <v>0</v>
      </c>
      <c r="AZ90" s="9" t="n">
        <v>0</v>
      </c>
      <c r="BA90" s="9" t="n">
        <v>25261.39999999999</v>
      </c>
      <c r="BE90" s="10" t="n">
        <v>46096</v>
      </c>
      <c r="BG90" s="9" t="n">
        <v>0</v>
      </c>
      <c r="BI90" s="9" t="n">
        <v>0</v>
      </c>
      <c r="BJ90" s="9" t="n">
        <v>26565.40000000001</v>
      </c>
      <c r="BN90" s="10" t="n">
        <v>46096</v>
      </c>
      <c r="BP90" s="9" t="n">
        <v>0</v>
      </c>
      <c r="BR90" s="9" t="n">
        <v>0</v>
      </c>
      <c r="BS90" s="9" t="n">
        <v>0</v>
      </c>
      <c r="BW90" s="10" t="n">
        <v>46096</v>
      </c>
      <c r="BY90" s="9" t="n">
        <v>0</v>
      </c>
      <c r="CA90" s="9" t="n">
        <v>0</v>
      </c>
      <c r="CB90" s="9" t="n">
        <v>3063.8</v>
      </c>
      <c r="CF90" s="10" t="n">
        <v>46096</v>
      </c>
      <c r="CH90" s="9" t="n">
        <v>0</v>
      </c>
      <c r="CJ90" s="9" t="n">
        <v>0</v>
      </c>
      <c r="CK90" s="9" t="n">
        <v>0</v>
      </c>
      <c r="CO90" s="10" t="n">
        <v>46096</v>
      </c>
      <c r="CQ90" s="9" t="n">
        <v>0</v>
      </c>
      <c r="CS90" s="9" t="n">
        <v>0</v>
      </c>
      <c r="CT90" s="9" t="n">
        <v>0</v>
      </c>
      <c r="CX90" s="10" t="n">
        <v>46096</v>
      </c>
      <c r="CZ90" s="9" t="n">
        <v>0</v>
      </c>
      <c r="DB90" s="9" t="n">
        <v>0</v>
      </c>
      <c r="DC90" s="9" t="n">
        <v>28250.4</v>
      </c>
      <c r="DG90" s="10" t="n">
        <v>46096</v>
      </c>
      <c r="DI90" s="9" t="n">
        <v>0</v>
      </c>
      <c r="DK90" s="9" t="n">
        <v>0</v>
      </c>
      <c r="DL90" s="9" t="n">
        <v>10685.4</v>
      </c>
      <c r="DP90" s="10" t="n">
        <v>46096</v>
      </c>
      <c r="DR90" s="9" t="n">
        <v>0</v>
      </c>
      <c r="DT90" s="9" t="n">
        <v>0</v>
      </c>
      <c r="DU90" s="9" t="n">
        <v>7150</v>
      </c>
      <c r="DY90" s="10" t="n">
        <v>46096</v>
      </c>
      <c r="EA90" s="9" t="n">
        <v>0</v>
      </c>
      <c r="EC90" s="9" t="n">
        <v>0</v>
      </c>
      <c r="ED90" s="9" t="n">
        <v>4047.3</v>
      </c>
      <c r="EH90" s="10" t="n">
        <v>46096</v>
      </c>
      <c r="EJ90" s="9" t="n">
        <v>0</v>
      </c>
      <c r="EL90" s="9" t="n">
        <v>0</v>
      </c>
      <c r="EM90" s="9" t="n">
        <v>0</v>
      </c>
      <c r="EQ90" s="10" t="n">
        <v>46096</v>
      </c>
      <c r="ES90" s="9" t="n">
        <v>0</v>
      </c>
      <c r="EU90" s="9" t="n">
        <v>0</v>
      </c>
      <c r="EV90" s="9" t="n">
        <v>0</v>
      </c>
      <c r="EZ90" s="10" t="n">
        <v>46096</v>
      </c>
      <c r="FB90" s="9" t="n">
        <v>0</v>
      </c>
      <c r="FD90" s="9" t="n">
        <v>0</v>
      </c>
      <c r="FE90" s="9" t="n">
        <v>0</v>
      </c>
      <c r="FI90" s="10" t="n">
        <v>46096</v>
      </c>
      <c r="FK90" s="9" t="n">
        <v>0</v>
      </c>
      <c r="FM90" s="9" t="n">
        <v>0</v>
      </c>
      <c r="FN90" s="9" t="n">
        <v>0</v>
      </c>
      <c r="FR90" s="10" t="n">
        <v>46096</v>
      </c>
      <c r="FT90" s="9" t="n">
        <v>0</v>
      </c>
      <c r="FV90" s="9" t="n">
        <v>0</v>
      </c>
      <c r="FW90" s="9" t="n">
        <v>3220</v>
      </c>
      <c r="GA90" s="10" t="n">
        <v>46096</v>
      </c>
      <c r="GC90" s="9" t="n">
        <v>0</v>
      </c>
      <c r="GE90" s="9" t="n">
        <v>0</v>
      </c>
      <c r="GF90" s="9" t="n">
        <v>1800</v>
      </c>
      <c r="GJ90" s="10" t="n">
        <v>46096</v>
      </c>
      <c r="GL90" s="9" t="n">
        <v>0</v>
      </c>
      <c r="GN90" s="9" t="n">
        <v>0</v>
      </c>
      <c r="GO90" s="9" t="n">
        <v>5240</v>
      </c>
      <c r="GS90" s="10" t="n">
        <v>46096</v>
      </c>
      <c r="GU90" s="9" t="n">
        <v>0</v>
      </c>
      <c r="GW90" s="9" t="n">
        <v>0</v>
      </c>
      <c r="GX90" s="9" t="n">
        <v>0</v>
      </c>
      <c r="HB90" s="10" t="n">
        <v>46096</v>
      </c>
      <c r="HD90" s="9" t="n">
        <v>0</v>
      </c>
      <c r="HF90" s="9" t="n">
        <v>0</v>
      </c>
      <c r="HG90" s="9" t="n">
        <v>0</v>
      </c>
      <c r="HK90" s="10" t="n">
        <v>46096</v>
      </c>
      <c r="HM90" s="9" t="n">
        <v>0</v>
      </c>
      <c r="HO90" s="9" t="n">
        <v>0</v>
      </c>
      <c r="HP90" s="9" t="n">
        <v>0</v>
      </c>
      <c r="HU90" s="10" t="n">
        <v>46096</v>
      </c>
      <c r="HW90" s="9" t="n">
        <v>0</v>
      </c>
      <c r="HY90" s="9" t="n">
        <v>0</v>
      </c>
      <c r="HZ90" s="9" t="n">
        <v>5120</v>
      </c>
      <c r="ID90" s="10" t="n">
        <v>46096</v>
      </c>
      <c r="IF90" s="9" t="n">
        <v>0</v>
      </c>
      <c r="IH90" s="9" t="n">
        <v>0</v>
      </c>
      <c r="II90" s="9" t="n">
        <v>6540</v>
      </c>
      <c r="IM90" s="10" t="n">
        <v>46096</v>
      </c>
      <c r="IO90" s="9" t="n">
        <v>0</v>
      </c>
      <c r="IQ90" s="9" t="n">
        <v>0</v>
      </c>
      <c r="IR90" s="9" t="n">
        <v>11540</v>
      </c>
      <c r="IV90" s="10" t="n">
        <v>46096</v>
      </c>
      <c r="IX90" s="9" t="n">
        <v>0</v>
      </c>
      <c r="IZ90" s="9" t="n">
        <v>0</v>
      </c>
      <c r="JA90" s="9" t="n">
        <v>15120</v>
      </c>
      <c r="JE90" s="10" t="n">
        <v>46096</v>
      </c>
      <c r="JG90" s="9" t="n">
        <v>0</v>
      </c>
      <c r="JI90" s="9" t="n">
        <v>0</v>
      </c>
      <c r="JJ90" s="9" t="n">
        <v>5040</v>
      </c>
      <c r="JN90" s="10" t="n">
        <v>46096</v>
      </c>
      <c r="JP90" s="9" t="n">
        <v>0</v>
      </c>
      <c r="JR90" s="9" t="n">
        <v>0</v>
      </c>
      <c r="JS90" s="9" t="n">
        <v>9100</v>
      </c>
      <c r="JW90" s="10" t="n">
        <v>46096</v>
      </c>
      <c r="JY90" s="9" t="n">
        <v>0</v>
      </c>
      <c r="KA90" s="9" t="n">
        <v>0</v>
      </c>
      <c r="KB90" s="9" t="n">
        <v>6180</v>
      </c>
      <c r="KF90" s="10" t="n">
        <v>46096</v>
      </c>
      <c r="KH90" s="9" t="n">
        <v>0</v>
      </c>
      <c r="KJ90" s="9" t="n">
        <v>0</v>
      </c>
      <c r="KK90" s="9" t="n">
        <v>9184.5</v>
      </c>
      <c r="KO90" s="10" t="n">
        <v>46096</v>
      </c>
      <c r="KQ90" s="9" t="n">
        <v>0</v>
      </c>
      <c r="KS90" s="9" t="n">
        <v>0</v>
      </c>
      <c r="KT90" s="9" t="n">
        <v>6993</v>
      </c>
      <c r="KX90" s="10" t="n">
        <v>46096</v>
      </c>
      <c r="KZ90" s="9" t="n">
        <v>0</v>
      </c>
      <c r="LB90" s="9" t="n">
        <v>0</v>
      </c>
      <c r="LC90" s="9" t="n">
        <v>0</v>
      </c>
      <c r="LG90" s="10" t="n">
        <v>46096</v>
      </c>
      <c r="LI90" s="9" t="n">
        <v>0</v>
      </c>
      <c r="LK90" s="9" t="n">
        <v>0</v>
      </c>
      <c r="LL90" s="9" t="n">
        <v>0</v>
      </c>
      <c r="LP90" s="10" t="n">
        <v>46096</v>
      </c>
      <c r="LR90" s="9" t="n">
        <v>0</v>
      </c>
      <c r="LT90" s="9" t="n">
        <v>0</v>
      </c>
      <c r="LU90" s="9" t="n">
        <v>0</v>
      </c>
      <c r="LY90" s="10" t="n">
        <v>46096</v>
      </c>
      <c r="MA90" s="9" t="n">
        <v>0</v>
      </c>
      <c r="MC90" s="9" t="n">
        <v>0</v>
      </c>
      <c r="MD90" s="9" t="n">
        <v>0</v>
      </c>
      <c r="MH90" s="10" t="n">
        <v>46096</v>
      </c>
      <c r="MJ90" s="9" t="n">
        <v>0</v>
      </c>
      <c r="ML90" s="9" t="n">
        <v>0</v>
      </c>
      <c r="MM90" s="9" t="n">
        <v>0</v>
      </c>
      <c r="MQ90" s="10" t="n">
        <v>46096</v>
      </c>
      <c r="MS90" s="9" t="n">
        <v>0</v>
      </c>
      <c r="MU90" s="9" t="n">
        <v>0</v>
      </c>
      <c r="MV90" s="9" t="n">
        <v>4740</v>
      </c>
      <c r="MZ90" s="10" t="n">
        <v>46096</v>
      </c>
      <c r="NA90" s="9" t="n">
        <v>90</v>
      </c>
      <c r="NB90" s="9" t="n">
        <v>0</v>
      </c>
      <c r="NC90" s="9" t="n">
        <v>90</v>
      </c>
      <c r="ND90" s="9" t="n">
        <v>-90</v>
      </c>
      <c r="NE90" s="9" t="n">
        <v>0</v>
      </c>
      <c r="NI90" s="10" t="n">
        <v>46096</v>
      </c>
      <c r="NK90" s="9" t="n">
        <v>0</v>
      </c>
      <c r="NM90" s="9" t="n">
        <v>0</v>
      </c>
      <c r="NN90" s="9" t="n">
        <v>465</v>
      </c>
      <c r="NR90" s="10" t="n">
        <v>46096</v>
      </c>
      <c r="NT90" s="9" t="n">
        <v>0</v>
      </c>
      <c r="NU90" s="9" t="n">
        <v>36</v>
      </c>
      <c r="NV90" s="9" t="n">
        <v>-36</v>
      </c>
      <c r="NW90" s="9" t="n">
        <v>1299.3</v>
      </c>
      <c r="OA90" s="10" t="n">
        <v>46096</v>
      </c>
      <c r="OC90" s="9" t="n">
        <v>0</v>
      </c>
      <c r="OE90" s="9" t="n">
        <v>0</v>
      </c>
      <c r="OF90" s="9" t="n">
        <v>1680.5</v>
      </c>
      <c r="OJ90" s="10" t="n">
        <v>46096</v>
      </c>
      <c r="OK90" s="9" t="n">
        <v>84</v>
      </c>
      <c r="OL90" s="9" t="n">
        <v>0</v>
      </c>
      <c r="OM90" s="9" t="n">
        <v>84</v>
      </c>
      <c r="ON90" s="9" t="n">
        <v>-84</v>
      </c>
      <c r="OO90" s="9" t="n">
        <v>0</v>
      </c>
      <c r="OS90" s="10" t="n">
        <v>46096</v>
      </c>
      <c r="OU90" s="9" t="n">
        <v>0</v>
      </c>
      <c r="OW90" s="9" t="n">
        <v>0</v>
      </c>
      <c r="OX90" s="9" t="n">
        <v>1000</v>
      </c>
      <c r="PB90" s="10" t="n">
        <v>46096</v>
      </c>
      <c r="PD90" s="9" t="n">
        <v>0</v>
      </c>
      <c r="PF90" s="9" t="n">
        <v>0</v>
      </c>
      <c r="PG90" s="9" t="n">
        <v>0</v>
      </c>
      <c r="PK90" s="10" t="n">
        <v>46096</v>
      </c>
      <c r="PM90" s="9" t="n">
        <v>0</v>
      </c>
      <c r="PO90" s="9" t="n">
        <v>0</v>
      </c>
      <c r="PP90" s="9" t="n">
        <v>100</v>
      </c>
      <c r="PT90" s="10" t="n">
        <v>46096</v>
      </c>
      <c r="PV90" s="9" t="n">
        <v>0</v>
      </c>
      <c r="PX90" s="9" t="n">
        <v>0</v>
      </c>
      <c r="PY90" s="9" t="n">
        <v>13.96000000000004</v>
      </c>
      <c r="QC90" s="10" t="n">
        <v>46096</v>
      </c>
      <c r="QE90" s="9" t="n">
        <v>0</v>
      </c>
      <c r="QG90" s="9" t="n">
        <v>0</v>
      </c>
      <c r="QH90" s="9" t="n">
        <v>1212</v>
      </c>
      <c r="QL90" s="10" t="n">
        <v>46096</v>
      </c>
      <c r="QN90" s="9" t="n">
        <v>0</v>
      </c>
      <c r="QP90" s="9" t="n">
        <v>0</v>
      </c>
      <c r="QQ90" s="9" t="n">
        <v>0</v>
      </c>
      <c r="QU90" s="10" t="n">
        <v>46096</v>
      </c>
      <c r="QW90" s="9" t="n">
        <v>0</v>
      </c>
      <c r="QY90" s="9" t="n">
        <v>0</v>
      </c>
      <c r="QZ90" s="9" t="n">
        <v>207.6</v>
      </c>
      <c r="RD90" s="10" t="n">
        <v>46096</v>
      </c>
      <c r="RF90" s="9" t="n">
        <v>0</v>
      </c>
      <c r="RH90" s="9" t="n">
        <v>0</v>
      </c>
      <c r="RI90" s="9" t="n">
        <v>197.04</v>
      </c>
      <c r="RM90" s="10" t="n">
        <v>46096</v>
      </c>
      <c r="RO90" s="9" t="n">
        <v>0</v>
      </c>
      <c r="RQ90" s="9" t="n">
        <v>0</v>
      </c>
      <c r="RR90" s="9" t="n">
        <v>46.8</v>
      </c>
      <c r="RV90" s="10" t="n">
        <v>46096</v>
      </c>
      <c r="RX90" s="9" t="n">
        <v>0</v>
      </c>
      <c r="RZ90" s="9" t="n">
        <v>0</v>
      </c>
      <c r="SA90" s="9" t="n">
        <v>0</v>
      </c>
      <c r="SE90" s="10" t="n">
        <v>46096</v>
      </c>
      <c r="SG90" s="9" t="n">
        <v>0</v>
      </c>
      <c r="SI90" s="9" t="n">
        <v>0</v>
      </c>
      <c r="SJ90" s="9" t="n">
        <v>0</v>
      </c>
      <c r="SN90" s="10" t="n">
        <v>46096</v>
      </c>
      <c r="SP90" s="9" t="n">
        <v>0</v>
      </c>
      <c r="SR90" s="9" t="n">
        <v>0</v>
      </c>
      <c r="SS90" s="9" t="n">
        <v>0</v>
      </c>
      <c r="SW90" s="10" t="n">
        <v>46096</v>
      </c>
      <c r="SY90" s="9" t="n">
        <v>0</v>
      </c>
      <c r="TA90" s="9" t="n">
        <v>0</v>
      </c>
      <c r="TB90" s="9" t="n">
        <v>0</v>
      </c>
      <c r="TF90" s="10" t="n">
        <v>46096</v>
      </c>
      <c r="TH90" s="9" t="n">
        <v>0</v>
      </c>
      <c r="TJ90" s="9" t="n">
        <v>0</v>
      </c>
      <c r="TK90" s="9" t="n">
        <v>0</v>
      </c>
      <c r="TO90" s="10" t="n">
        <v>46096</v>
      </c>
      <c r="TQ90" s="9" t="n">
        <v>0</v>
      </c>
      <c r="TS90" s="9" t="n">
        <v>0</v>
      </c>
      <c r="TT90" s="9" t="n">
        <v>0</v>
      </c>
      <c r="TX90" s="10" t="n">
        <v>46096</v>
      </c>
      <c r="TZ90" s="9" t="n">
        <v>0</v>
      </c>
      <c r="UB90" s="9" t="n">
        <v>0</v>
      </c>
      <c r="UC90" s="9" t="n">
        <v>0</v>
      </c>
      <c r="UG90" s="10" t="n">
        <v>46096</v>
      </c>
      <c r="UI90" s="9" t="n">
        <v>0</v>
      </c>
      <c r="UK90" s="9" t="n">
        <v>0</v>
      </c>
      <c r="UL90" s="9" t="n">
        <v>0</v>
      </c>
      <c r="UP90" s="10" t="n">
        <v>46096</v>
      </c>
      <c r="UR90" s="9" t="n">
        <v>0</v>
      </c>
      <c r="UT90" s="9" t="n">
        <v>0</v>
      </c>
      <c r="UU90" s="9" t="n">
        <v>0</v>
      </c>
      <c r="UY90" s="10" t="n">
        <v>46096</v>
      </c>
      <c r="VA90" s="9" t="n">
        <v>0</v>
      </c>
      <c r="VC90" s="9" t="n">
        <v>0</v>
      </c>
      <c r="VD90" s="9" t="n">
        <v>41.60000000000002</v>
      </c>
      <c r="VH90" s="10" t="n">
        <v>46096</v>
      </c>
      <c r="VJ90" s="9" t="n">
        <v>0</v>
      </c>
      <c r="VL90" s="9" t="n">
        <v>0</v>
      </c>
      <c r="VM90" s="9" t="n">
        <v>0</v>
      </c>
      <c r="VQ90" s="10" t="n">
        <v>46096</v>
      </c>
      <c r="VS90" s="9" t="n">
        <v>0</v>
      </c>
      <c r="VU90" s="9" t="n">
        <v>0</v>
      </c>
      <c r="VV90" s="9" t="n">
        <v>0</v>
      </c>
      <c r="VZ90" s="10" t="n">
        <v>46096</v>
      </c>
      <c r="WB90" s="9" t="n">
        <v>0</v>
      </c>
      <c r="WD90" s="9" t="n">
        <v>0</v>
      </c>
      <c r="WE90" s="9" t="n">
        <v>0</v>
      </c>
      <c r="WI90" s="10" t="n">
        <v>46096</v>
      </c>
      <c r="WK90" s="9" t="n">
        <v>0</v>
      </c>
      <c r="WM90" s="9" t="n">
        <v>0</v>
      </c>
      <c r="WN90" s="9" t="n">
        <v>6022</v>
      </c>
      <c r="WR90" s="10" t="n">
        <v>46096</v>
      </c>
      <c r="WT90" s="9" t="n">
        <v>0</v>
      </c>
      <c r="WV90" s="9" t="n">
        <v>0</v>
      </c>
      <c r="WW90" s="9" t="n">
        <v>5568</v>
      </c>
      <c r="XA90" s="10" t="n">
        <v>46096</v>
      </c>
      <c r="XC90" s="9" t="n">
        <v>0</v>
      </c>
      <c r="XE90" s="9" t="n">
        <v>0</v>
      </c>
      <c r="XF90" s="9" t="n">
        <v>590</v>
      </c>
      <c r="XJ90" s="10" t="n">
        <v>46096</v>
      </c>
      <c r="XL90" s="9" t="n">
        <v>0</v>
      </c>
      <c r="XN90" s="9" t="n">
        <v>0</v>
      </c>
      <c r="XO90" s="9" t="n">
        <v>696</v>
      </c>
      <c r="XS90" s="10" t="n">
        <v>46096</v>
      </c>
      <c r="XU90" s="9" t="n">
        <v>0</v>
      </c>
      <c r="XW90" s="9" t="n">
        <v>0</v>
      </c>
      <c r="XX90" s="9" t="n">
        <v>1901</v>
      </c>
      <c r="YB90" s="10" t="n">
        <v>46096</v>
      </c>
      <c r="YD90" s="9" t="n">
        <v>0</v>
      </c>
      <c r="YF90" s="9" t="n">
        <v>0</v>
      </c>
      <c r="YG90" s="9" t="n">
        <v>0</v>
      </c>
      <c r="YK90" s="10" t="n">
        <v>46096</v>
      </c>
      <c r="YM90" s="9" t="n">
        <v>0</v>
      </c>
      <c r="YO90" s="9" t="n">
        <v>0</v>
      </c>
      <c r="YP90" s="9" t="n">
        <v>0</v>
      </c>
      <c r="YT90" s="10" t="n">
        <v>46096</v>
      </c>
      <c r="YV90" s="9" t="n">
        <v>0</v>
      </c>
      <c r="YX90" s="9" t="n">
        <v>0</v>
      </c>
      <c r="YY90" s="9" t="n">
        <v>0</v>
      </c>
      <c r="ZC90" s="10" t="n">
        <v>46096</v>
      </c>
      <c r="ZE90" s="9" t="n">
        <v>0</v>
      </c>
      <c r="ZG90" s="9" t="n">
        <v>0</v>
      </c>
      <c r="ZH90" s="9" t="n">
        <v>0</v>
      </c>
      <c r="ZL90" s="10" t="n">
        <v>46096</v>
      </c>
      <c r="ZN90" s="9" t="n">
        <v>0</v>
      </c>
      <c r="ZP90" s="9" t="n">
        <v>0</v>
      </c>
      <c r="ZQ90" s="9" t="n">
        <v>0</v>
      </c>
      <c r="ZU90" s="10" t="n">
        <v>46096</v>
      </c>
      <c r="ZW90" s="9" t="n">
        <v>0</v>
      </c>
      <c r="ZY90" s="9" t="n">
        <v>0</v>
      </c>
      <c r="ZZ90" s="9" t="n">
        <v>0</v>
      </c>
      <c r="AAD90" s="10" t="n">
        <v>46096</v>
      </c>
      <c r="AAF90" s="9" t="n">
        <v>0</v>
      </c>
      <c r="AAH90" s="9" t="n">
        <v>0</v>
      </c>
      <c r="AAI90" s="9" t="n">
        <v>0</v>
      </c>
      <c r="AAM90" s="10" t="n">
        <v>46096</v>
      </c>
      <c r="AAO90" s="9" t="n">
        <v>0</v>
      </c>
      <c r="AAQ90" s="9" t="n">
        <v>0</v>
      </c>
      <c r="AAR90" s="9" t="n">
        <v>0</v>
      </c>
      <c r="AAV90" s="10" t="n">
        <v>46096</v>
      </c>
      <c r="AAX90" s="9" t="n">
        <v>0</v>
      </c>
      <c r="AAZ90" s="9" t="n">
        <v>0</v>
      </c>
      <c r="ABA90" s="9" t="n">
        <v>0</v>
      </c>
      <c r="ABE90" s="10" t="n">
        <v>46096</v>
      </c>
      <c r="ABG90" s="9" t="n">
        <v>0</v>
      </c>
      <c r="ABI90" s="9" t="n">
        <v>0</v>
      </c>
      <c r="ABJ90" s="9" t="n">
        <v>0</v>
      </c>
    </row>
    <row r="91">
      <c r="B91" s="9" t="n">
        <v>164</v>
      </c>
      <c r="C91" s="10" t="n">
        <v>46097</v>
      </c>
      <c r="D91" s="9" t="n">
        <v>89800</v>
      </c>
      <c r="E91" s="9" t="n">
        <v>90015.79999999999</v>
      </c>
      <c r="F91" s="9" t="n">
        <v>90014.2</v>
      </c>
      <c r="G91" s="9" t="n">
        <v>1.599999999991269</v>
      </c>
      <c r="H91" s="9" t="n">
        <v>199235.6</v>
      </c>
      <c r="I91" s="9" t="inlineStr">
        <is>
          <t>123 118mt, 1102 46mt</t>
        </is>
      </c>
      <c r="L91" s="10" t="n">
        <v>46097</v>
      </c>
      <c r="M91" s="9" t="n">
        <v>82780</v>
      </c>
      <c r="N91" s="9" t="n">
        <v>31921</v>
      </c>
      <c r="O91" s="9" t="n">
        <v>31919.8</v>
      </c>
      <c r="P91" s="9" t="n">
        <v>1.200000000000728</v>
      </c>
      <c r="Q91" s="9" t="n">
        <v>135042.2000000001</v>
      </c>
      <c r="U91" s="10" t="n">
        <v>46097</v>
      </c>
      <c r="V91" s="9" t="n">
        <v>30140</v>
      </c>
      <c r="W91" s="9" t="n">
        <v>11180</v>
      </c>
      <c r="X91" s="9" t="n">
        <v>11182.7</v>
      </c>
      <c r="Y91" s="9" t="n">
        <v>-2.700000000000728</v>
      </c>
      <c r="Z91" s="9" t="n">
        <v>58624.99999999997</v>
      </c>
      <c r="AD91" s="10" t="n">
        <v>46097</v>
      </c>
      <c r="AE91" s="9" t="n">
        <v>30490</v>
      </c>
      <c r="AF91" s="9" t="n">
        <v>3716</v>
      </c>
      <c r="AG91" s="9" t="n">
        <v>3719.1</v>
      </c>
      <c r="AH91" s="9" t="n">
        <v>-3.099999999999909</v>
      </c>
      <c r="AI91" s="9" t="n">
        <v>50035.90000000002</v>
      </c>
      <c r="AM91" s="10" t="n">
        <v>46097</v>
      </c>
      <c r="AO91" s="9" t="n">
        <v>0</v>
      </c>
      <c r="AQ91" s="9" t="n">
        <v>0</v>
      </c>
      <c r="AR91" s="9" t="n">
        <v>0</v>
      </c>
      <c r="AV91" s="10" t="n">
        <v>46097</v>
      </c>
      <c r="AX91" s="9" t="n">
        <v>460</v>
      </c>
      <c r="AY91" s="9" t="n">
        <v>461.7</v>
      </c>
      <c r="AZ91" s="9" t="n">
        <v>-1.699999999999989</v>
      </c>
      <c r="BA91" s="9" t="n">
        <v>24799.69999999999</v>
      </c>
      <c r="BE91" s="10" t="n">
        <v>46097</v>
      </c>
      <c r="BG91" s="9" t="n">
        <v>6460</v>
      </c>
      <c r="BH91" s="9" t="n">
        <v>6458.7</v>
      </c>
      <c r="BI91" s="9" t="n">
        <v>1.300000000000182</v>
      </c>
      <c r="BJ91" s="9" t="n">
        <v>20106.7</v>
      </c>
      <c r="BN91" s="10" t="n">
        <v>46097</v>
      </c>
      <c r="BO91" s="9" t="n">
        <v>3450.9</v>
      </c>
      <c r="BP91" s="9" t="n">
        <v>3451</v>
      </c>
      <c r="BQ91" s="9" t="n">
        <v>3450.9</v>
      </c>
      <c r="BR91" s="9" t="n">
        <v>0.09999999999990905</v>
      </c>
      <c r="BS91" s="9" t="n">
        <v>0</v>
      </c>
      <c r="BW91" s="10" t="n">
        <v>46097</v>
      </c>
      <c r="BY91" s="9" t="n">
        <v>649.0000000000001</v>
      </c>
      <c r="CA91" s="9" t="n">
        <v>649.0000000000001</v>
      </c>
      <c r="CB91" s="9" t="n">
        <v>3063.8</v>
      </c>
      <c r="CF91" s="10" t="n">
        <v>46097</v>
      </c>
      <c r="CH91" s="9" t="n">
        <v>1292</v>
      </c>
      <c r="CJ91" s="9" t="n">
        <v>1292</v>
      </c>
      <c r="CK91" s="9" t="n">
        <v>0</v>
      </c>
      <c r="CO91" s="10" t="n">
        <v>46097</v>
      </c>
      <c r="CQ91" s="9" t="n">
        <v>0</v>
      </c>
      <c r="CS91" s="9" t="n">
        <v>0</v>
      </c>
      <c r="CT91" s="9" t="n">
        <v>0</v>
      </c>
      <c r="CX91" s="10" t="n">
        <v>46097</v>
      </c>
      <c r="CZ91" s="9" t="n">
        <v>5900</v>
      </c>
      <c r="DA91" s="9" t="n">
        <v>5900</v>
      </c>
      <c r="DB91" s="9" t="n">
        <v>0</v>
      </c>
      <c r="DC91" s="9" t="n">
        <v>22350.4</v>
      </c>
      <c r="DG91" s="10" t="n">
        <v>46097</v>
      </c>
      <c r="DI91" s="9" t="n">
        <v>4720</v>
      </c>
      <c r="DJ91" s="9" t="n">
        <v>4719.6</v>
      </c>
      <c r="DK91" s="9" t="n">
        <v>0.3999999999996362</v>
      </c>
      <c r="DL91" s="9" t="n">
        <v>5965.799999999996</v>
      </c>
      <c r="DP91" s="10" t="n">
        <v>46097</v>
      </c>
      <c r="DR91" s="9" t="n">
        <v>0</v>
      </c>
      <c r="DT91" s="9" t="n">
        <v>0</v>
      </c>
      <c r="DU91" s="9" t="n">
        <v>7150</v>
      </c>
      <c r="DY91" s="10" t="n">
        <v>46097</v>
      </c>
      <c r="EA91" s="9" t="n">
        <v>0</v>
      </c>
      <c r="EC91" s="9" t="n">
        <v>0</v>
      </c>
      <c r="ED91" s="9" t="n">
        <v>4047.3</v>
      </c>
      <c r="EH91" s="10" t="n">
        <v>46097</v>
      </c>
      <c r="EJ91" s="9" t="n">
        <v>0</v>
      </c>
      <c r="EL91" s="9" t="n">
        <v>0</v>
      </c>
      <c r="EM91" s="9" t="n">
        <v>0</v>
      </c>
      <c r="EQ91" s="10" t="n">
        <v>46097</v>
      </c>
      <c r="ES91" s="9" t="n">
        <v>0</v>
      </c>
      <c r="EU91" s="9" t="n">
        <v>0</v>
      </c>
      <c r="EV91" s="9" t="n">
        <v>0</v>
      </c>
      <c r="EZ91" s="10" t="n">
        <v>46097</v>
      </c>
      <c r="FB91" s="9" t="n">
        <v>0</v>
      </c>
      <c r="FD91" s="9" t="n">
        <v>0</v>
      </c>
      <c r="FE91" s="9" t="n">
        <v>0</v>
      </c>
      <c r="FI91" s="10" t="n">
        <v>46097</v>
      </c>
      <c r="FK91" s="9" t="n">
        <v>0</v>
      </c>
      <c r="FM91" s="9" t="n">
        <v>0</v>
      </c>
      <c r="FN91" s="9" t="n">
        <v>0</v>
      </c>
      <c r="FR91" s="10" t="n">
        <v>46097</v>
      </c>
      <c r="FT91" s="9" t="n">
        <v>0</v>
      </c>
      <c r="FV91" s="9" t="n">
        <v>0</v>
      </c>
      <c r="FW91" s="9" t="n">
        <v>3220</v>
      </c>
      <c r="GA91" s="10" t="n">
        <v>46097</v>
      </c>
      <c r="GC91" s="9" t="n">
        <v>920</v>
      </c>
      <c r="GE91" s="9" t="n">
        <v>920</v>
      </c>
      <c r="GF91" s="9" t="n">
        <v>1800</v>
      </c>
      <c r="GJ91" s="10" t="n">
        <v>46097</v>
      </c>
      <c r="GL91" s="9" t="n">
        <v>0</v>
      </c>
      <c r="GN91" s="9" t="n">
        <v>0</v>
      </c>
      <c r="GO91" s="9" t="n">
        <v>5240</v>
      </c>
      <c r="GS91" s="10" t="n">
        <v>46097</v>
      </c>
      <c r="GU91" s="9" t="n">
        <v>0</v>
      </c>
      <c r="GW91" s="9" t="n">
        <v>0</v>
      </c>
      <c r="GX91" s="9" t="n">
        <v>0</v>
      </c>
      <c r="HB91" s="10" t="n">
        <v>46097</v>
      </c>
      <c r="HD91" s="9" t="n">
        <v>0</v>
      </c>
      <c r="HF91" s="9" t="n">
        <v>0</v>
      </c>
      <c r="HG91" s="9" t="n">
        <v>0</v>
      </c>
      <c r="HK91" s="10" t="n">
        <v>46097</v>
      </c>
      <c r="HM91" s="9" t="n">
        <v>0</v>
      </c>
      <c r="HO91" s="9" t="n">
        <v>0</v>
      </c>
      <c r="HP91" s="9" t="n">
        <v>0</v>
      </c>
      <c r="HU91" s="10" t="n">
        <v>46097</v>
      </c>
      <c r="HW91" s="9" t="n">
        <v>0</v>
      </c>
      <c r="HY91" s="9" t="n">
        <v>0</v>
      </c>
      <c r="HZ91" s="9" t="n">
        <v>5120</v>
      </c>
      <c r="ID91" s="10" t="n">
        <v>46097</v>
      </c>
      <c r="IF91" s="9" t="n">
        <v>0</v>
      </c>
      <c r="IH91" s="9" t="n">
        <v>0</v>
      </c>
      <c r="II91" s="9" t="n">
        <v>6540</v>
      </c>
      <c r="IM91" s="10" t="n">
        <v>46097</v>
      </c>
      <c r="IO91" s="9" t="n">
        <v>0</v>
      </c>
      <c r="IQ91" s="9" t="n">
        <v>0</v>
      </c>
      <c r="IR91" s="9" t="n">
        <v>11540</v>
      </c>
      <c r="IV91" s="10" t="n">
        <v>46097</v>
      </c>
      <c r="IX91" s="9" t="n">
        <v>0</v>
      </c>
      <c r="IZ91" s="9" t="n">
        <v>0</v>
      </c>
      <c r="JA91" s="9" t="n">
        <v>15120</v>
      </c>
      <c r="JE91" s="10" t="n">
        <v>46097</v>
      </c>
      <c r="JG91" s="9" t="n">
        <v>0</v>
      </c>
      <c r="JI91" s="9" t="n">
        <v>0</v>
      </c>
      <c r="JJ91" s="9" t="n">
        <v>5040</v>
      </c>
      <c r="JN91" s="10" t="n">
        <v>46097</v>
      </c>
      <c r="JP91" s="9" t="n">
        <v>0</v>
      </c>
      <c r="JR91" s="9" t="n">
        <v>0</v>
      </c>
      <c r="JS91" s="9" t="n">
        <v>9100</v>
      </c>
      <c r="JW91" s="10" t="n">
        <v>46097</v>
      </c>
      <c r="JY91" s="9" t="n">
        <v>0</v>
      </c>
      <c r="KA91" s="9" t="n">
        <v>0</v>
      </c>
      <c r="KB91" s="9" t="n">
        <v>6180</v>
      </c>
      <c r="KF91" s="10" t="n">
        <v>46097</v>
      </c>
      <c r="KH91" s="9" t="n">
        <v>0</v>
      </c>
      <c r="KJ91" s="9" t="n">
        <v>0</v>
      </c>
      <c r="KK91" s="9" t="n">
        <v>9184.5</v>
      </c>
      <c r="KO91" s="10" t="n">
        <v>46097</v>
      </c>
      <c r="KQ91" s="9" t="n">
        <v>2230.2</v>
      </c>
      <c r="KS91" s="9" t="n">
        <v>2230.2</v>
      </c>
      <c r="KT91" s="9" t="n">
        <v>6993</v>
      </c>
      <c r="KX91" s="10" t="n">
        <v>46097</v>
      </c>
      <c r="KZ91" s="9" t="n">
        <v>0</v>
      </c>
      <c r="LB91" s="9" t="n">
        <v>0</v>
      </c>
      <c r="LC91" s="9" t="n">
        <v>0</v>
      </c>
      <c r="LG91" s="10" t="n">
        <v>46097</v>
      </c>
      <c r="LI91" s="9" t="n">
        <v>0</v>
      </c>
      <c r="LK91" s="9" t="n">
        <v>0</v>
      </c>
      <c r="LL91" s="9" t="n">
        <v>0</v>
      </c>
      <c r="LP91" s="10" t="n">
        <v>46097</v>
      </c>
      <c r="LR91" s="9" t="n">
        <v>0</v>
      </c>
      <c r="LT91" s="9" t="n">
        <v>0</v>
      </c>
      <c r="LU91" s="9" t="n">
        <v>0</v>
      </c>
      <c r="LY91" s="10" t="n">
        <v>46097</v>
      </c>
      <c r="MA91" s="9" t="n">
        <v>0</v>
      </c>
      <c r="MC91" s="9" t="n">
        <v>0</v>
      </c>
      <c r="MD91" s="9" t="n">
        <v>0</v>
      </c>
      <c r="MH91" s="10" t="n">
        <v>46097</v>
      </c>
      <c r="MJ91" s="9" t="n">
        <v>0</v>
      </c>
      <c r="ML91" s="9" t="n">
        <v>0</v>
      </c>
      <c r="MM91" s="9" t="n">
        <v>0</v>
      </c>
      <c r="MQ91" s="10" t="n">
        <v>46097</v>
      </c>
      <c r="MS91" s="9" t="n">
        <v>259</v>
      </c>
      <c r="MU91" s="9" t="n">
        <v>259</v>
      </c>
      <c r="MV91" s="9" t="n">
        <v>4740</v>
      </c>
      <c r="MZ91" s="10" t="n">
        <v>46097</v>
      </c>
      <c r="NB91" s="9" t="n">
        <v>354</v>
      </c>
      <c r="ND91" s="9" t="n">
        <v>354</v>
      </c>
      <c r="NE91" s="9" t="n">
        <v>0</v>
      </c>
      <c r="NI91" s="10" t="n">
        <v>46097</v>
      </c>
      <c r="NK91" s="9" t="n">
        <v>0</v>
      </c>
      <c r="NM91" s="9" t="n">
        <v>0</v>
      </c>
      <c r="NN91" s="9" t="n">
        <v>465</v>
      </c>
      <c r="NR91" s="10" t="n">
        <v>46097</v>
      </c>
      <c r="NT91" s="9" t="n">
        <v>141.6</v>
      </c>
      <c r="NV91" s="9" t="n">
        <v>141.6</v>
      </c>
      <c r="NW91" s="9" t="n">
        <v>1299.3</v>
      </c>
      <c r="OA91" s="10" t="n">
        <v>46097</v>
      </c>
      <c r="OC91" s="9" t="n">
        <v>0</v>
      </c>
      <c r="OE91" s="9" t="n">
        <v>0</v>
      </c>
      <c r="OF91" s="9" t="n">
        <v>1680.5</v>
      </c>
      <c r="OJ91" s="10" t="n">
        <v>46097</v>
      </c>
      <c r="OL91" s="9" t="n">
        <v>330.3999999999999</v>
      </c>
      <c r="ON91" s="9" t="n">
        <v>330.3999999999999</v>
      </c>
      <c r="OO91" s="9" t="n">
        <v>0</v>
      </c>
      <c r="OS91" s="10" t="n">
        <v>46097</v>
      </c>
      <c r="OU91" s="9" t="n">
        <v>0</v>
      </c>
      <c r="OW91" s="9" t="n">
        <v>0</v>
      </c>
      <c r="OX91" s="9" t="n">
        <v>1000</v>
      </c>
      <c r="PB91" s="10" t="n">
        <v>46097</v>
      </c>
      <c r="PD91" s="9" t="n">
        <v>0</v>
      </c>
      <c r="PF91" s="9" t="n">
        <v>0</v>
      </c>
      <c r="PG91" s="9" t="n">
        <v>0</v>
      </c>
      <c r="PK91" s="10" t="n">
        <v>46097</v>
      </c>
      <c r="PM91" s="9" t="n">
        <v>0</v>
      </c>
      <c r="PO91" s="9" t="n">
        <v>0</v>
      </c>
      <c r="PP91" s="9" t="n">
        <v>100</v>
      </c>
      <c r="PT91" s="10" t="n">
        <v>46097</v>
      </c>
      <c r="PV91" s="9" t="n">
        <v>0</v>
      </c>
      <c r="PX91" s="9" t="n">
        <v>0</v>
      </c>
      <c r="PY91" s="9" t="n">
        <v>13.96000000000004</v>
      </c>
      <c r="QC91" s="10" t="n">
        <v>46097</v>
      </c>
      <c r="QE91" s="9" t="n">
        <v>0</v>
      </c>
      <c r="QG91" s="9" t="n">
        <v>0</v>
      </c>
      <c r="QH91" s="9" t="n">
        <v>1212</v>
      </c>
      <c r="QL91" s="10" t="n">
        <v>46097</v>
      </c>
      <c r="QN91" s="9" t="n">
        <v>0</v>
      </c>
      <c r="QP91" s="9" t="n">
        <v>0</v>
      </c>
      <c r="QQ91" s="9" t="n">
        <v>0</v>
      </c>
      <c r="QU91" s="10" t="n">
        <v>46097</v>
      </c>
      <c r="QW91" s="9" t="n">
        <v>0</v>
      </c>
      <c r="QY91" s="9" t="n">
        <v>0</v>
      </c>
      <c r="QZ91" s="9" t="n">
        <v>207.6</v>
      </c>
      <c r="RD91" s="10" t="n">
        <v>46097</v>
      </c>
      <c r="RF91" s="9" t="n">
        <v>0</v>
      </c>
      <c r="RH91" s="9" t="n">
        <v>0</v>
      </c>
      <c r="RI91" s="9" t="n">
        <v>197.04</v>
      </c>
      <c r="RM91" s="10" t="n">
        <v>46097</v>
      </c>
      <c r="RO91" s="9" t="n">
        <v>0</v>
      </c>
      <c r="RQ91" s="9" t="n">
        <v>0</v>
      </c>
      <c r="RR91" s="9" t="n">
        <v>46.8</v>
      </c>
      <c r="RV91" s="10" t="n">
        <v>46097</v>
      </c>
      <c r="RX91" s="9" t="n">
        <v>0</v>
      </c>
      <c r="RZ91" s="9" t="n">
        <v>0</v>
      </c>
      <c r="SA91" s="9" t="n">
        <v>0</v>
      </c>
      <c r="SE91" s="10" t="n">
        <v>46097</v>
      </c>
      <c r="SG91" s="9" t="n">
        <v>0</v>
      </c>
      <c r="SI91" s="9" t="n">
        <v>0</v>
      </c>
      <c r="SJ91" s="9" t="n">
        <v>0</v>
      </c>
      <c r="SN91" s="10" t="n">
        <v>46097</v>
      </c>
      <c r="SP91" s="9" t="n">
        <v>0</v>
      </c>
      <c r="SR91" s="9" t="n">
        <v>0</v>
      </c>
      <c r="SS91" s="9" t="n">
        <v>0</v>
      </c>
      <c r="SW91" s="10" t="n">
        <v>46097</v>
      </c>
      <c r="SY91" s="9" t="n">
        <v>0</v>
      </c>
      <c r="TA91" s="9" t="n">
        <v>0</v>
      </c>
      <c r="TB91" s="9" t="n">
        <v>0</v>
      </c>
      <c r="TF91" s="10" t="n">
        <v>46097</v>
      </c>
      <c r="TH91" s="9" t="n">
        <v>0</v>
      </c>
      <c r="TJ91" s="9" t="n">
        <v>0</v>
      </c>
      <c r="TK91" s="9" t="n">
        <v>0</v>
      </c>
      <c r="TO91" s="10" t="n">
        <v>46097</v>
      </c>
      <c r="TQ91" s="9" t="n">
        <v>0</v>
      </c>
      <c r="TS91" s="9" t="n">
        <v>0</v>
      </c>
      <c r="TT91" s="9" t="n">
        <v>0</v>
      </c>
      <c r="TX91" s="10" t="n">
        <v>46097</v>
      </c>
      <c r="TZ91" s="9" t="n">
        <v>0</v>
      </c>
      <c r="UB91" s="9" t="n">
        <v>0</v>
      </c>
      <c r="UC91" s="9" t="n">
        <v>0</v>
      </c>
      <c r="UG91" s="10" t="n">
        <v>46097</v>
      </c>
      <c r="UI91" s="9" t="n">
        <v>0</v>
      </c>
      <c r="UK91" s="9" t="n">
        <v>0</v>
      </c>
      <c r="UL91" s="9" t="n">
        <v>0</v>
      </c>
      <c r="UP91" s="10" t="n">
        <v>46097</v>
      </c>
      <c r="UR91" s="9" t="n">
        <v>0</v>
      </c>
      <c r="UT91" s="9" t="n">
        <v>0</v>
      </c>
      <c r="UU91" s="9" t="n">
        <v>0</v>
      </c>
      <c r="UY91" s="10" t="n">
        <v>46097</v>
      </c>
      <c r="VA91" s="9" t="n">
        <v>0</v>
      </c>
      <c r="VC91" s="9" t="n">
        <v>0</v>
      </c>
      <c r="VD91" s="9" t="n">
        <v>41.60000000000002</v>
      </c>
      <c r="VH91" s="10" t="n">
        <v>46097</v>
      </c>
      <c r="VJ91" s="9" t="n">
        <v>0</v>
      </c>
      <c r="VL91" s="9" t="n">
        <v>0</v>
      </c>
      <c r="VM91" s="9" t="n">
        <v>0</v>
      </c>
      <c r="VQ91" s="10" t="n">
        <v>46097</v>
      </c>
      <c r="VS91" s="9" t="n">
        <v>0</v>
      </c>
      <c r="VU91" s="9" t="n">
        <v>0</v>
      </c>
      <c r="VV91" s="9" t="n">
        <v>0</v>
      </c>
      <c r="VZ91" s="10" t="n">
        <v>46097</v>
      </c>
      <c r="WB91" s="9" t="n">
        <v>0</v>
      </c>
      <c r="WD91" s="9" t="n">
        <v>0</v>
      </c>
      <c r="WE91" s="9" t="n">
        <v>0</v>
      </c>
      <c r="WI91" s="10" t="n">
        <v>46097</v>
      </c>
      <c r="WK91" s="9" t="n">
        <v>0</v>
      </c>
      <c r="WM91" s="9" t="n">
        <v>0</v>
      </c>
      <c r="WN91" s="9" t="n">
        <v>6022</v>
      </c>
      <c r="WR91" s="10" t="n">
        <v>46097</v>
      </c>
      <c r="WT91" s="9" t="n">
        <v>0</v>
      </c>
      <c r="WU91" s="9" t="n">
        <v>545</v>
      </c>
      <c r="WV91" s="9" t="n">
        <v>-545</v>
      </c>
      <c r="WW91" s="9" t="n">
        <v>5023</v>
      </c>
      <c r="XA91" s="10" t="n">
        <v>46097</v>
      </c>
      <c r="XC91" s="9" t="n">
        <v>0</v>
      </c>
      <c r="XE91" s="9" t="n">
        <v>0</v>
      </c>
      <c r="XF91" s="9" t="n">
        <v>590</v>
      </c>
      <c r="XJ91" s="10" t="n">
        <v>46097</v>
      </c>
      <c r="XL91" s="9" t="n">
        <v>0</v>
      </c>
      <c r="XM91" s="9" t="n">
        <v>820</v>
      </c>
      <c r="XN91" s="9" t="n">
        <v>-820</v>
      </c>
      <c r="XO91" s="9" t="n">
        <v>-124</v>
      </c>
      <c r="XS91" s="10" t="n">
        <v>46097</v>
      </c>
      <c r="XU91" s="9" t="n">
        <v>0</v>
      </c>
      <c r="XW91" s="9" t="n">
        <v>0</v>
      </c>
      <c r="XX91" s="9" t="n">
        <v>1901</v>
      </c>
      <c r="YB91" s="10" t="n">
        <v>46097</v>
      </c>
      <c r="YD91" s="9" t="n">
        <v>0</v>
      </c>
      <c r="YF91" s="9" t="n">
        <v>0</v>
      </c>
      <c r="YG91" s="9" t="n">
        <v>0</v>
      </c>
      <c r="YK91" s="10" t="n">
        <v>46097</v>
      </c>
      <c r="YM91" s="9" t="n">
        <v>0</v>
      </c>
      <c r="YO91" s="9" t="n">
        <v>0</v>
      </c>
      <c r="YP91" s="9" t="n">
        <v>0</v>
      </c>
      <c r="YT91" s="10" t="n">
        <v>46097</v>
      </c>
      <c r="YV91" s="9" t="n">
        <v>0</v>
      </c>
      <c r="YX91" s="9" t="n">
        <v>0</v>
      </c>
      <c r="YY91" s="9" t="n">
        <v>0</v>
      </c>
      <c r="ZC91" s="10" t="n">
        <v>46097</v>
      </c>
      <c r="ZE91" s="9" t="n">
        <v>0</v>
      </c>
      <c r="ZG91" s="9" t="n">
        <v>0</v>
      </c>
      <c r="ZH91" s="9" t="n">
        <v>0</v>
      </c>
      <c r="ZL91" s="10" t="n">
        <v>46097</v>
      </c>
      <c r="ZN91" s="9" t="n">
        <v>0</v>
      </c>
      <c r="ZP91" s="9" t="n">
        <v>0</v>
      </c>
      <c r="ZQ91" s="9" t="n">
        <v>0</v>
      </c>
      <c r="ZU91" s="10" t="n">
        <v>46097</v>
      </c>
      <c r="ZW91" s="9" t="n">
        <v>0</v>
      </c>
      <c r="ZY91" s="9" t="n">
        <v>0</v>
      </c>
      <c r="ZZ91" s="9" t="n">
        <v>0</v>
      </c>
      <c r="AAD91" s="10" t="n">
        <v>46097</v>
      </c>
      <c r="AAF91" s="9" t="n">
        <v>0</v>
      </c>
      <c r="AAH91" s="9" t="n">
        <v>0</v>
      </c>
      <c r="AAI91" s="9" t="n">
        <v>0</v>
      </c>
      <c r="AAM91" s="10" t="n">
        <v>46097</v>
      </c>
      <c r="AAO91" s="9" t="n">
        <v>0</v>
      </c>
      <c r="AAQ91" s="9" t="n">
        <v>0</v>
      </c>
      <c r="AAR91" s="9" t="n">
        <v>0</v>
      </c>
      <c r="AAV91" s="10" t="n">
        <v>46097</v>
      </c>
      <c r="AAX91" s="9" t="n">
        <v>0</v>
      </c>
      <c r="AAZ91" s="9" t="n">
        <v>0</v>
      </c>
      <c r="ABA91" s="9" t="n">
        <v>0</v>
      </c>
      <c r="ABE91" s="10" t="n">
        <v>46097</v>
      </c>
      <c r="ABG91" s="9" t="n">
        <v>0</v>
      </c>
      <c r="ABI91" s="9" t="n">
        <v>0</v>
      </c>
      <c r="ABJ91" s="9" t="n">
        <v>0</v>
      </c>
    </row>
    <row r="92">
      <c r="B92" s="9" t="n">
        <v>82</v>
      </c>
      <c r="C92" s="10" t="n">
        <v>46098</v>
      </c>
      <c r="D92" s="9" t="n">
        <v>30650</v>
      </c>
      <c r="E92" s="9" t="n">
        <v>43057.1</v>
      </c>
      <c r="F92" s="9" t="n">
        <v>43060.2</v>
      </c>
      <c r="G92" s="9" t="n">
        <v>-3.099999999998545</v>
      </c>
      <c r="H92" s="9" t="n">
        <v>186825.4</v>
      </c>
      <c r="I92" s="9" t="inlineStr">
        <is>
          <t>121 42mt, 1101 40mt</t>
        </is>
      </c>
      <c r="L92" s="10" t="n">
        <v>46098</v>
      </c>
      <c r="N92" s="9" t="n">
        <v>23067</v>
      </c>
      <c r="O92" s="9" t="n">
        <v>23066</v>
      </c>
      <c r="P92" s="9" t="n">
        <v>1</v>
      </c>
      <c r="Q92" s="9" t="n">
        <v>111976.2000000001</v>
      </c>
      <c r="U92" s="10" t="n">
        <v>46098</v>
      </c>
      <c r="W92" s="9" t="n">
        <v>3793</v>
      </c>
      <c r="X92" s="9" t="n">
        <v>3791.9</v>
      </c>
      <c r="Y92" s="9" t="n">
        <v>1.099999999999909</v>
      </c>
      <c r="Z92" s="9" t="n">
        <v>54833.09999999997</v>
      </c>
      <c r="AD92" s="10" t="n">
        <v>46098</v>
      </c>
      <c r="AF92" s="9" t="n">
        <v>2420</v>
      </c>
      <c r="AG92" s="9" t="n">
        <v>2421.2</v>
      </c>
      <c r="AH92" s="9" t="n">
        <v>-1.199999999999818</v>
      </c>
      <c r="AI92" s="9" t="n">
        <v>47614.70000000002</v>
      </c>
      <c r="AM92" s="10" t="n">
        <v>46098</v>
      </c>
      <c r="AO92" s="9" t="n">
        <v>0</v>
      </c>
      <c r="AQ92" s="9" t="n">
        <v>0</v>
      </c>
      <c r="AR92" s="9" t="n">
        <v>0</v>
      </c>
      <c r="AV92" s="10" t="n">
        <v>46098</v>
      </c>
      <c r="AX92" s="9" t="n">
        <v>1850</v>
      </c>
      <c r="AY92" s="9" t="n">
        <v>1850.9</v>
      </c>
      <c r="AZ92" s="9" t="n">
        <v>-0.9000000000000909</v>
      </c>
      <c r="BA92" s="9" t="n">
        <v>22948.79999999998</v>
      </c>
      <c r="BE92" s="10" t="n">
        <v>46098</v>
      </c>
      <c r="BG92" s="9" t="n">
        <v>1176</v>
      </c>
      <c r="BH92" s="9" t="n">
        <v>1177.9</v>
      </c>
      <c r="BI92" s="9" t="n">
        <v>-1.900000000000318</v>
      </c>
      <c r="BJ92" s="9" t="n">
        <v>18928.8</v>
      </c>
      <c r="BN92" s="10" t="n">
        <v>46098</v>
      </c>
      <c r="BO92" s="9" t="n">
        <v>1430</v>
      </c>
      <c r="BP92" s="9" t="n">
        <v>1430</v>
      </c>
      <c r="BQ92" s="9" t="n">
        <v>1430</v>
      </c>
      <c r="BR92" s="9" t="n">
        <v>0</v>
      </c>
      <c r="BS92" s="9" t="n">
        <v>0</v>
      </c>
      <c r="BW92" s="10" t="n">
        <v>46098</v>
      </c>
      <c r="BY92" s="9" t="n">
        <v>279.0000000000001</v>
      </c>
      <c r="CA92" s="9" t="n">
        <v>279.0000000000001</v>
      </c>
      <c r="CB92" s="9" t="n">
        <v>3063.8</v>
      </c>
      <c r="CF92" s="10" t="n">
        <v>46098</v>
      </c>
      <c r="CH92" s="9" t="n">
        <v>329.9999999999999</v>
      </c>
      <c r="CJ92" s="9" t="n">
        <v>329.9999999999999</v>
      </c>
      <c r="CK92" s="9" t="n">
        <v>0</v>
      </c>
      <c r="CO92" s="10" t="n">
        <v>46098</v>
      </c>
      <c r="CQ92" s="9" t="n">
        <v>0</v>
      </c>
      <c r="CS92" s="9" t="n">
        <v>0</v>
      </c>
      <c r="CT92" s="9" t="n">
        <v>0</v>
      </c>
      <c r="CX92" s="10" t="n">
        <v>46098</v>
      </c>
      <c r="CZ92" s="9" t="n">
        <v>1407</v>
      </c>
      <c r="DA92" s="9" t="n">
        <v>1408.6</v>
      </c>
      <c r="DB92" s="9" t="n">
        <v>-1.599999999999909</v>
      </c>
      <c r="DC92" s="9" t="n">
        <v>20941.8</v>
      </c>
      <c r="DG92" s="10" t="n">
        <v>46098</v>
      </c>
      <c r="DI92" s="9" t="n">
        <v>147</v>
      </c>
      <c r="DJ92" s="9" t="n">
        <v>147</v>
      </c>
      <c r="DK92" s="9" t="n">
        <v>0</v>
      </c>
      <c r="DL92" s="9" t="n">
        <v>5818.799999999996</v>
      </c>
      <c r="DP92" s="10" t="n">
        <v>46098</v>
      </c>
      <c r="DR92" s="9" t="n">
        <v>0</v>
      </c>
      <c r="DT92" s="9" t="n">
        <v>0</v>
      </c>
      <c r="DU92" s="9" t="n">
        <v>7150</v>
      </c>
      <c r="DY92" s="10" t="n">
        <v>46098</v>
      </c>
      <c r="EA92" s="9" t="n">
        <v>1050</v>
      </c>
      <c r="EB92" s="9" t="n">
        <v>1100</v>
      </c>
      <c r="EC92" s="9" t="n">
        <v>-50</v>
      </c>
      <c r="ED92" s="9" t="n">
        <v>2947.3</v>
      </c>
      <c r="EH92" s="10" t="n">
        <v>46098</v>
      </c>
      <c r="EJ92" s="9" t="n">
        <v>0</v>
      </c>
      <c r="EL92" s="9" t="n">
        <v>0</v>
      </c>
      <c r="EM92" s="9" t="n">
        <v>0</v>
      </c>
      <c r="EQ92" s="10" t="n">
        <v>46098</v>
      </c>
      <c r="ES92" s="9" t="n">
        <v>0</v>
      </c>
      <c r="EU92" s="9" t="n">
        <v>0</v>
      </c>
      <c r="EV92" s="9" t="n">
        <v>0</v>
      </c>
      <c r="EZ92" s="10" t="n">
        <v>46098</v>
      </c>
      <c r="FB92" s="9" t="n">
        <v>0</v>
      </c>
      <c r="FD92" s="9" t="n">
        <v>0</v>
      </c>
      <c r="FE92" s="9" t="n">
        <v>0</v>
      </c>
      <c r="FI92" s="10" t="n">
        <v>46098</v>
      </c>
      <c r="FK92" s="9" t="n">
        <v>0</v>
      </c>
      <c r="FM92" s="9" t="n">
        <v>0</v>
      </c>
      <c r="FN92" s="9" t="n">
        <v>0</v>
      </c>
      <c r="FR92" s="10" t="n">
        <v>46098</v>
      </c>
      <c r="FT92" s="9" t="n">
        <v>800</v>
      </c>
      <c r="FV92" s="9" t="n">
        <v>800</v>
      </c>
      <c r="FW92" s="9" t="n">
        <v>3220</v>
      </c>
      <c r="GA92" s="10" t="n">
        <v>46098</v>
      </c>
      <c r="GC92" s="9" t="n">
        <v>0</v>
      </c>
      <c r="GE92" s="9" t="n">
        <v>0</v>
      </c>
      <c r="GF92" s="9" t="n">
        <v>1800</v>
      </c>
      <c r="GJ92" s="10" t="n">
        <v>46098</v>
      </c>
      <c r="GL92" s="9" t="n">
        <v>0</v>
      </c>
      <c r="GN92" s="9" t="n">
        <v>0</v>
      </c>
      <c r="GO92" s="9" t="n">
        <v>5240</v>
      </c>
      <c r="GS92" s="10" t="n">
        <v>46098</v>
      </c>
      <c r="GU92" s="9" t="n">
        <v>0</v>
      </c>
      <c r="GW92" s="9" t="n">
        <v>0</v>
      </c>
      <c r="GX92" s="9" t="n">
        <v>0</v>
      </c>
      <c r="HB92" s="10" t="n">
        <v>46098</v>
      </c>
      <c r="HD92" s="9" t="n">
        <v>0</v>
      </c>
      <c r="HF92" s="9" t="n">
        <v>0</v>
      </c>
      <c r="HG92" s="9" t="n">
        <v>0</v>
      </c>
      <c r="HK92" s="10" t="n">
        <v>46098</v>
      </c>
      <c r="HM92" s="9" t="n">
        <v>0</v>
      </c>
      <c r="HO92" s="9" t="n">
        <v>0</v>
      </c>
      <c r="HP92" s="9" t="n">
        <v>0</v>
      </c>
      <c r="HU92" s="10" t="n">
        <v>46098</v>
      </c>
      <c r="HW92" s="9" t="n">
        <v>0</v>
      </c>
      <c r="HY92" s="9" t="n">
        <v>0</v>
      </c>
      <c r="HZ92" s="9" t="n">
        <v>5120</v>
      </c>
      <c r="ID92" s="10" t="n">
        <v>46098</v>
      </c>
      <c r="IF92" s="9" t="n">
        <v>0</v>
      </c>
      <c r="IH92" s="9" t="n">
        <v>0</v>
      </c>
      <c r="II92" s="9" t="n">
        <v>6540</v>
      </c>
      <c r="IM92" s="10" t="n">
        <v>46098</v>
      </c>
      <c r="IO92" s="9" t="n">
        <v>0</v>
      </c>
      <c r="IQ92" s="9" t="n">
        <v>0</v>
      </c>
      <c r="IR92" s="9" t="n">
        <v>11540</v>
      </c>
      <c r="IV92" s="10" t="n">
        <v>46098</v>
      </c>
      <c r="IX92" s="9" t="n">
        <v>0</v>
      </c>
      <c r="IZ92" s="9" t="n">
        <v>0</v>
      </c>
      <c r="JA92" s="9" t="n">
        <v>15120</v>
      </c>
      <c r="JE92" s="10" t="n">
        <v>46098</v>
      </c>
      <c r="JG92" s="9" t="n">
        <v>0</v>
      </c>
      <c r="JI92" s="9" t="n">
        <v>0</v>
      </c>
      <c r="JJ92" s="9" t="n">
        <v>5040</v>
      </c>
      <c r="JN92" s="10" t="n">
        <v>46098</v>
      </c>
      <c r="JP92" s="9" t="n">
        <v>0</v>
      </c>
      <c r="JR92" s="9" t="n">
        <v>0</v>
      </c>
      <c r="JS92" s="9" t="n">
        <v>9100</v>
      </c>
      <c r="JW92" s="10" t="n">
        <v>46098</v>
      </c>
      <c r="JY92" s="9" t="n">
        <v>840</v>
      </c>
      <c r="KA92" s="9" t="n">
        <v>840</v>
      </c>
      <c r="KB92" s="9" t="n">
        <v>6180</v>
      </c>
      <c r="KF92" s="10" t="n">
        <v>46098</v>
      </c>
      <c r="KH92" s="9" t="n">
        <v>0</v>
      </c>
      <c r="KJ92" s="9" t="n">
        <v>0</v>
      </c>
      <c r="KK92" s="9" t="n">
        <v>9184.5</v>
      </c>
      <c r="KO92" s="10" t="n">
        <v>46098</v>
      </c>
      <c r="KQ92" s="9" t="n">
        <v>0</v>
      </c>
      <c r="KS92" s="9" t="n">
        <v>0</v>
      </c>
      <c r="KT92" s="9" t="n">
        <v>6993</v>
      </c>
      <c r="KX92" s="10" t="n">
        <v>46098</v>
      </c>
      <c r="KZ92" s="9" t="n">
        <v>0</v>
      </c>
      <c r="LB92" s="9" t="n">
        <v>0</v>
      </c>
      <c r="LC92" s="9" t="n">
        <v>0</v>
      </c>
      <c r="LG92" s="10" t="n">
        <v>46098</v>
      </c>
      <c r="LI92" s="9" t="n">
        <v>0</v>
      </c>
      <c r="LK92" s="9" t="n">
        <v>0</v>
      </c>
      <c r="LL92" s="9" t="n">
        <v>0</v>
      </c>
      <c r="LP92" s="10" t="n">
        <v>46098</v>
      </c>
      <c r="LR92" s="9" t="n">
        <v>0</v>
      </c>
      <c r="LT92" s="9" t="n">
        <v>0</v>
      </c>
      <c r="LU92" s="9" t="n">
        <v>0</v>
      </c>
      <c r="LY92" s="10" t="n">
        <v>46098</v>
      </c>
      <c r="MA92" s="9" t="n">
        <v>0</v>
      </c>
      <c r="MC92" s="9" t="n">
        <v>0</v>
      </c>
      <c r="MD92" s="9" t="n">
        <v>0</v>
      </c>
      <c r="MH92" s="10" t="n">
        <v>46098</v>
      </c>
      <c r="MJ92" s="9" t="n">
        <v>0</v>
      </c>
      <c r="ML92" s="9" t="n">
        <v>0</v>
      </c>
      <c r="MM92" s="9" t="n">
        <v>0</v>
      </c>
      <c r="MQ92" s="10" t="n">
        <v>46098</v>
      </c>
      <c r="MS92" s="9" t="n">
        <v>104</v>
      </c>
      <c r="MU92" s="9" t="n">
        <v>104</v>
      </c>
      <c r="MV92" s="9" t="n">
        <v>4740</v>
      </c>
      <c r="MZ92" s="10" t="n">
        <v>46098</v>
      </c>
      <c r="NB92" s="9" t="n">
        <v>126</v>
      </c>
      <c r="ND92" s="9" t="n">
        <v>126</v>
      </c>
      <c r="NE92" s="9" t="n">
        <v>0</v>
      </c>
      <c r="NI92" s="10" t="n">
        <v>46098</v>
      </c>
      <c r="NK92" s="9" t="n">
        <v>0</v>
      </c>
      <c r="NM92" s="9" t="n">
        <v>0</v>
      </c>
      <c r="NN92" s="9" t="n">
        <v>465</v>
      </c>
      <c r="NR92" s="10" t="n">
        <v>46098</v>
      </c>
      <c r="NT92" s="9" t="n">
        <v>8.4</v>
      </c>
      <c r="NV92" s="9" t="n">
        <v>8.4</v>
      </c>
      <c r="NW92" s="9" t="n">
        <v>1299.3</v>
      </c>
      <c r="OA92" s="10" t="n">
        <v>46098</v>
      </c>
      <c r="OC92" s="9" t="n">
        <v>0</v>
      </c>
      <c r="OE92" s="9" t="n">
        <v>0</v>
      </c>
      <c r="OF92" s="9" t="n">
        <v>1680.5</v>
      </c>
      <c r="OJ92" s="10" t="n">
        <v>46098</v>
      </c>
      <c r="OL92" s="9" t="n">
        <v>115.5</v>
      </c>
      <c r="ON92" s="9" t="n">
        <v>115.5</v>
      </c>
      <c r="OO92" s="9" t="n">
        <v>0</v>
      </c>
      <c r="OS92" s="10" t="n">
        <v>46098</v>
      </c>
      <c r="OU92" s="9" t="n">
        <v>0</v>
      </c>
      <c r="OW92" s="9" t="n">
        <v>0</v>
      </c>
      <c r="OX92" s="9" t="n">
        <v>1000</v>
      </c>
      <c r="PB92" s="10" t="n">
        <v>46098</v>
      </c>
      <c r="PD92" s="9" t="n">
        <v>0</v>
      </c>
      <c r="PF92" s="9" t="n">
        <v>0</v>
      </c>
      <c r="PG92" s="9" t="n">
        <v>0</v>
      </c>
      <c r="PK92" s="10" t="n">
        <v>46098</v>
      </c>
      <c r="PM92" s="9" t="n">
        <v>0</v>
      </c>
      <c r="PO92" s="9" t="n">
        <v>0</v>
      </c>
      <c r="PP92" s="9" t="n">
        <v>100</v>
      </c>
      <c r="PT92" s="10" t="n">
        <v>46098</v>
      </c>
      <c r="PV92" s="9" t="n">
        <v>0</v>
      </c>
      <c r="PX92" s="9" t="n">
        <v>0</v>
      </c>
      <c r="PY92" s="9" t="n">
        <v>13.96000000000004</v>
      </c>
      <c r="QC92" s="10" t="n">
        <v>46098</v>
      </c>
      <c r="QE92" s="9" t="n">
        <v>0</v>
      </c>
      <c r="QG92" s="9" t="n">
        <v>0</v>
      </c>
      <c r="QH92" s="9" t="n">
        <v>1212</v>
      </c>
      <c r="QL92" s="10" t="n">
        <v>46098</v>
      </c>
      <c r="QN92" s="9" t="n">
        <v>0</v>
      </c>
      <c r="QP92" s="9" t="n">
        <v>0</v>
      </c>
      <c r="QQ92" s="9" t="n">
        <v>0</v>
      </c>
      <c r="QU92" s="10" t="n">
        <v>46098</v>
      </c>
      <c r="QW92" s="9" t="n">
        <v>0</v>
      </c>
      <c r="QY92" s="9" t="n">
        <v>0</v>
      </c>
      <c r="QZ92" s="9" t="n">
        <v>207.6</v>
      </c>
      <c r="RD92" s="10" t="n">
        <v>46098</v>
      </c>
      <c r="RF92" s="9" t="n">
        <v>0</v>
      </c>
      <c r="RH92" s="9" t="n">
        <v>0</v>
      </c>
      <c r="RI92" s="9" t="n">
        <v>197.04</v>
      </c>
      <c r="RM92" s="10" t="n">
        <v>46098</v>
      </c>
      <c r="RO92" s="9" t="n">
        <v>0</v>
      </c>
      <c r="RQ92" s="9" t="n">
        <v>0</v>
      </c>
      <c r="RR92" s="9" t="n">
        <v>46.8</v>
      </c>
      <c r="RV92" s="10" t="n">
        <v>46098</v>
      </c>
      <c r="RX92" s="9" t="n">
        <v>0</v>
      </c>
      <c r="RZ92" s="9" t="n">
        <v>0</v>
      </c>
      <c r="SA92" s="9" t="n">
        <v>0</v>
      </c>
      <c r="SE92" s="10" t="n">
        <v>46098</v>
      </c>
      <c r="SG92" s="9" t="n">
        <v>0</v>
      </c>
      <c r="SI92" s="9" t="n">
        <v>0</v>
      </c>
      <c r="SJ92" s="9" t="n">
        <v>0</v>
      </c>
      <c r="SN92" s="10" t="n">
        <v>46098</v>
      </c>
      <c r="SP92" s="9" t="n">
        <v>0</v>
      </c>
      <c r="SR92" s="9" t="n">
        <v>0</v>
      </c>
      <c r="SS92" s="9" t="n">
        <v>0</v>
      </c>
      <c r="SW92" s="10" t="n">
        <v>46098</v>
      </c>
      <c r="SY92" s="9" t="n">
        <v>0</v>
      </c>
      <c r="TA92" s="9" t="n">
        <v>0</v>
      </c>
      <c r="TB92" s="9" t="n">
        <v>0</v>
      </c>
      <c r="TF92" s="10" t="n">
        <v>46098</v>
      </c>
      <c r="TH92" s="9" t="n">
        <v>0</v>
      </c>
      <c r="TJ92" s="9" t="n">
        <v>0</v>
      </c>
      <c r="TK92" s="9" t="n">
        <v>0</v>
      </c>
      <c r="TO92" s="10" t="n">
        <v>46098</v>
      </c>
      <c r="TQ92" s="9" t="n">
        <v>0</v>
      </c>
      <c r="TS92" s="9" t="n">
        <v>0</v>
      </c>
      <c r="TT92" s="9" t="n">
        <v>0</v>
      </c>
      <c r="TX92" s="10" t="n">
        <v>46098</v>
      </c>
      <c r="TZ92" s="9" t="n">
        <v>0</v>
      </c>
      <c r="UB92" s="9" t="n">
        <v>0</v>
      </c>
      <c r="UC92" s="9" t="n">
        <v>0</v>
      </c>
      <c r="UG92" s="10" t="n">
        <v>46098</v>
      </c>
      <c r="UI92" s="9" t="n">
        <v>0</v>
      </c>
      <c r="UK92" s="9" t="n">
        <v>0</v>
      </c>
      <c r="UL92" s="9" t="n">
        <v>0</v>
      </c>
      <c r="UP92" s="10" t="n">
        <v>46098</v>
      </c>
      <c r="UR92" s="9" t="n">
        <v>0</v>
      </c>
      <c r="UT92" s="9" t="n">
        <v>0</v>
      </c>
      <c r="UU92" s="9" t="n">
        <v>0</v>
      </c>
      <c r="UY92" s="10" t="n">
        <v>46098</v>
      </c>
      <c r="VA92" s="9" t="n">
        <v>0</v>
      </c>
      <c r="VC92" s="9" t="n">
        <v>0</v>
      </c>
      <c r="VD92" s="9" t="n">
        <v>41.60000000000002</v>
      </c>
      <c r="VH92" s="10" t="n">
        <v>46098</v>
      </c>
      <c r="VJ92" s="9" t="n">
        <v>0</v>
      </c>
      <c r="VL92" s="9" t="n">
        <v>0</v>
      </c>
      <c r="VM92" s="9" t="n">
        <v>0</v>
      </c>
      <c r="VQ92" s="10" t="n">
        <v>46098</v>
      </c>
      <c r="VS92" s="9" t="n">
        <v>0</v>
      </c>
      <c r="VU92" s="9" t="n">
        <v>0</v>
      </c>
      <c r="VV92" s="9" t="n">
        <v>0</v>
      </c>
      <c r="VZ92" s="10" t="n">
        <v>46098</v>
      </c>
      <c r="WB92" s="9" t="n">
        <v>0</v>
      </c>
      <c r="WD92" s="9" t="n">
        <v>0</v>
      </c>
      <c r="WE92" s="9" t="n">
        <v>0</v>
      </c>
      <c r="WI92" s="10" t="n">
        <v>46098</v>
      </c>
      <c r="WK92" s="9" t="n">
        <v>0</v>
      </c>
      <c r="WL92" s="9" t="n">
        <v>842</v>
      </c>
      <c r="WM92" s="9" t="n">
        <v>-842</v>
      </c>
      <c r="WN92" s="9" t="n">
        <v>5180</v>
      </c>
      <c r="WR92" s="10" t="n">
        <v>46098</v>
      </c>
      <c r="WT92" s="9" t="n">
        <v>0</v>
      </c>
      <c r="WU92" s="9" t="n">
        <v>354</v>
      </c>
      <c r="WV92" s="9" t="n">
        <v>-354</v>
      </c>
      <c r="WW92" s="9" t="n">
        <v>4669</v>
      </c>
      <c r="XA92" s="10" t="n">
        <v>46098</v>
      </c>
      <c r="XB92" s="9" t="n">
        <v>6552</v>
      </c>
      <c r="XC92" s="9" t="n">
        <v>0</v>
      </c>
      <c r="XE92" s="9" t="n">
        <v>0</v>
      </c>
      <c r="XF92" s="9" t="n">
        <v>7142</v>
      </c>
      <c r="XJ92" s="10" t="n">
        <v>46098</v>
      </c>
      <c r="XK92" s="9" t="n">
        <v>8000</v>
      </c>
      <c r="XL92" s="9" t="n">
        <v>0</v>
      </c>
      <c r="XM92" s="9" t="n">
        <v>327</v>
      </c>
      <c r="XN92" s="9" t="n">
        <v>-327</v>
      </c>
      <c r="XO92" s="9" t="n">
        <v>7549</v>
      </c>
      <c r="XS92" s="10" t="n">
        <v>46098</v>
      </c>
      <c r="XU92" s="9" t="n">
        <v>0</v>
      </c>
      <c r="XW92" s="9" t="n">
        <v>0</v>
      </c>
      <c r="XX92" s="9" t="n">
        <v>1901</v>
      </c>
      <c r="YB92" s="10" t="n">
        <v>46098</v>
      </c>
      <c r="YC92" s="9" t="n">
        <v>6459</v>
      </c>
      <c r="YD92" s="9" t="n">
        <v>0</v>
      </c>
      <c r="YF92" s="9" t="n">
        <v>0</v>
      </c>
      <c r="YG92" s="9" t="n">
        <v>6459</v>
      </c>
      <c r="YK92" s="10" t="n">
        <v>46098</v>
      </c>
      <c r="YM92" s="9" t="n">
        <v>0</v>
      </c>
      <c r="YO92" s="9" t="n">
        <v>0</v>
      </c>
      <c r="YP92" s="9" t="n">
        <v>0</v>
      </c>
      <c r="YT92" s="10" t="n">
        <v>46098</v>
      </c>
      <c r="YV92" s="9" t="n">
        <v>0</v>
      </c>
      <c r="YX92" s="9" t="n">
        <v>0</v>
      </c>
      <c r="YY92" s="9" t="n">
        <v>0</v>
      </c>
      <c r="ZC92" s="10" t="n">
        <v>46098</v>
      </c>
      <c r="ZE92" s="9" t="n">
        <v>0</v>
      </c>
      <c r="ZG92" s="9" t="n">
        <v>0</v>
      </c>
      <c r="ZH92" s="9" t="n">
        <v>0</v>
      </c>
      <c r="ZL92" s="10" t="n">
        <v>46098</v>
      </c>
      <c r="ZN92" s="9" t="n">
        <v>0</v>
      </c>
      <c r="ZP92" s="9" t="n">
        <v>0</v>
      </c>
      <c r="ZQ92" s="9" t="n">
        <v>0</v>
      </c>
      <c r="ZU92" s="10" t="n">
        <v>46098</v>
      </c>
      <c r="ZW92" s="9" t="n">
        <v>0</v>
      </c>
      <c r="ZY92" s="9" t="n">
        <v>0</v>
      </c>
      <c r="ZZ92" s="9" t="n">
        <v>0</v>
      </c>
      <c r="AAD92" s="10" t="n">
        <v>46098</v>
      </c>
      <c r="AAF92" s="9" t="n">
        <v>0</v>
      </c>
      <c r="AAH92" s="9" t="n">
        <v>0</v>
      </c>
      <c r="AAI92" s="9" t="n">
        <v>0</v>
      </c>
      <c r="AAM92" s="10" t="n">
        <v>46098</v>
      </c>
      <c r="AAO92" s="9" t="n">
        <v>0</v>
      </c>
      <c r="AAQ92" s="9" t="n">
        <v>0</v>
      </c>
      <c r="AAR92" s="9" t="n">
        <v>0</v>
      </c>
      <c r="AAV92" s="10" t="n">
        <v>46098</v>
      </c>
      <c r="AAX92" s="9" t="n">
        <v>0</v>
      </c>
      <c r="AAZ92" s="9" t="n">
        <v>0</v>
      </c>
      <c r="ABA92" s="9" t="n">
        <v>0</v>
      </c>
      <c r="ABE92" s="10" t="n">
        <v>46098</v>
      </c>
      <c r="ABG92" s="9" t="n">
        <v>0</v>
      </c>
      <c r="ABI92" s="9" t="n">
        <v>0</v>
      </c>
      <c r="ABJ92" s="9" t="n">
        <v>0</v>
      </c>
    </row>
    <row r="93">
      <c r="B93" s="9" t="n">
        <v>118</v>
      </c>
      <c r="C93" s="10" t="n">
        <v>46099</v>
      </c>
      <c r="D93" s="9" t="n">
        <v>86290</v>
      </c>
      <c r="E93" s="9" t="n">
        <v>64881.5</v>
      </c>
      <c r="F93" s="9" t="n">
        <v>64885.2</v>
      </c>
      <c r="G93" s="9" t="n">
        <v>-3.69999999999709</v>
      </c>
      <c r="H93" s="9" t="n">
        <v>208230.2</v>
      </c>
      <c r="I93" s="9" t="inlineStr">
        <is>
          <t>122 50mt, 1102 68mt</t>
        </is>
      </c>
      <c r="L93" s="10" t="n">
        <v>46099</v>
      </c>
      <c r="N93" s="9" t="n">
        <v>27522</v>
      </c>
      <c r="O93" s="9" t="n">
        <v>27520.2</v>
      </c>
      <c r="P93" s="9" t="n">
        <v>1.799999999999272</v>
      </c>
      <c r="Q93" s="9" t="n">
        <v>84456.00000000007</v>
      </c>
      <c r="U93" s="10" t="n">
        <v>46099</v>
      </c>
      <c r="W93" s="9" t="n">
        <v>5874.999999999999</v>
      </c>
      <c r="X93" s="9" t="n">
        <v>5876.4</v>
      </c>
      <c r="Y93" s="9" t="n">
        <v>-1.400000000000546</v>
      </c>
      <c r="Z93" s="9" t="n">
        <v>48956.69999999997</v>
      </c>
      <c r="AD93" s="10" t="n">
        <v>46099</v>
      </c>
      <c r="AF93" s="9" t="n">
        <v>4050</v>
      </c>
      <c r="AG93" s="9" t="n">
        <v>4052.3</v>
      </c>
      <c r="AH93" s="9" t="n">
        <v>-2.300000000000182</v>
      </c>
      <c r="AI93" s="9" t="n">
        <v>43562.40000000002</v>
      </c>
      <c r="AM93" s="10" t="n">
        <v>46099</v>
      </c>
      <c r="AO93" s="9" t="n">
        <v>0</v>
      </c>
      <c r="AQ93" s="9" t="n">
        <v>0</v>
      </c>
      <c r="AR93" s="9" t="n">
        <v>0</v>
      </c>
      <c r="AV93" s="10" t="n">
        <v>46099</v>
      </c>
      <c r="AX93" s="9" t="n">
        <v>680</v>
      </c>
      <c r="AY93" s="9" t="n">
        <v>680.4</v>
      </c>
      <c r="AZ93" s="9" t="n">
        <v>-0.3999999999999773</v>
      </c>
      <c r="BA93" s="9" t="n">
        <v>22268.39999999998</v>
      </c>
      <c r="BE93" s="10" t="n">
        <v>46099</v>
      </c>
      <c r="BG93" s="9" t="n">
        <v>3800</v>
      </c>
      <c r="BH93" s="9" t="n">
        <v>3801.7</v>
      </c>
      <c r="BI93" s="9" t="n">
        <v>-1.699999999999818</v>
      </c>
      <c r="BJ93" s="9" t="n">
        <v>15127.1</v>
      </c>
      <c r="BN93" s="10" t="n">
        <v>46099</v>
      </c>
      <c r="BO93" s="9" t="n">
        <v>2700</v>
      </c>
      <c r="BP93" s="9" t="n">
        <v>2700</v>
      </c>
      <c r="BQ93" s="9" t="n">
        <v>2700</v>
      </c>
      <c r="BR93" s="9" t="n">
        <v>0</v>
      </c>
      <c r="BS93" s="9" t="n">
        <v>0</v>
      </c>
      <c r="BW93" s="10" t="n">
        <v>46099</v>
      </c>
      <c r="BY93" s="9" t="n">
        <v>332.5</v>
      </c>
      <c r="CA93" s="9" t="n">
        <v>332.5</v>
      </c>
      <c r="CB93" s="9" t="n">
        <v>3063.8</v>
      </c>
      <c r="CF93" s="10" t="n">
        <v>46099</v>
      </c>
      <c r="CH93" s="9" t="n">
        <v>840</v>
      </c>
      <c r="CJ93" s="9" t="n">
        <v>840</v>
      </c>
      <c r="CK93" s="9" t="n">
        <v>0</v>
      </c>
      <c r="CO93" s="10" t="n">
        <v>46099</v>
      </c>
      <c r="CQ93" s="9" t="n">
        <v>0</v>
      </c>
      <c r="CS93" s="9" t="n">
        <v>0</v>
      </c>
      <c r="CT93" s="9" t="n">
        <v>0</v>
      </c>
      <c r="CX93" s="10" t="n">
        <v>46099</v>
      </c>
      <c r="CZ93" s="9" t="n">
        <v>2500</v>
      </c>
      <c r="DA93" s="9" t="n">
        <v>2500</v>
      </c>
      <c r="DB93" s="9" t="n">
        <v>0</v>
      </c>
      <c r="DC93" s="9" t="n">
        <v>18441.8</v>
      </c>
      <c r="DG93" s="10" t="n">
        <v>46099</v>
      </c>
      <c r="DH93" s="9" t="n">
        <v>10900</v>
      </c>
      <c r="DI93" s="9" t="n">
        <v>2000</v>
      </c>
      <c r="DJ93" s="9" t="n">
        <v>2000</v>
      </c>
      <c r="DK93" s="9" t="n">
        <v>0</v>
      </c>
      <c r="DL93" s="9" t="n">
        <v>14718.8</v>
      </c>
      <c r="DP93" s="10" t="n">
        <v>46099</v>
      </c>
      <c r="DR93" s="9" t="n">
        <v>0</v>
      </c>
      <c r="DT93" s="9" t="n">
        <v>0</v>
      </c>
      <c r="DU93" s="9" t="n">
        <v>7150</v>
      </c>
      <c r="DY93" s="10" t="n">
        <v>46099</v>
      </c>
      <c r="EA93" s="9" t="n">
        <v>0</v>
      </c>
      <c r="EC93" s="9" t="n">
        <v>0</v>
      </c>
      <c r="ED93" s="9" t="n">
        <v>2947.3</v>
      </c>
      <c r="EH93" s="10" t="n">
        <v>46099</v>
      </c>
      <c r="EJ93" s="9" t="n">
        <v>0</v>
      </c>
      <c r="EL93" s="9" t="n">
        <v>0</v>
      </c>
      <c r="EM93" s="9" t="n">
        <v>0</v>
      </c>
      <c r="EQ93" s="10" t="n">
        <v>46099</v>
      </c>
      <c r="ES93" s="9" t="n">
        <v>0</v>
      </c>
      <c r="EU93" s="9" t="n">
        <v>0</v>
      </c>
      <c r="EV93" s="9" t="n">
        <v>0</v>
      </c>
      <c r="EZ93" s="10" t="n">
        <v>46099</v>
      </c>
      <c r="FB93" s="9" t="n">
        <v>0</v>
      </c>
      <c r="FD93" s="9" t="n">
        <v>0</v>
      </c>
      <c r="FE93" s="9" t="n">
        <v>0</v>
      </c>
      <c r="FI93" s="10" t="n">
        <v>46099</v>
      </c>
      <c r="FK93" s="9" t="n">
        <v>0</v>
      </c>
      <c r="FM93" s="9" t="n">
        <v>0</v>
      </c>
      <c r="FN93" s="9" t="n">
        <v>0</v>
      </c>
      <c r="FR93" s="10" t="n">
        <v>46099</v>
      </c>
      <c r="FT93" s="9" t="n">
        <v>0</v>
      </c>
      <c r="FV93" s="9" t="n">
        <v>0</v>
      </c>
      <c r="FW93" s="9" t="n">
        <v>3220</v>
      </c>
      <c r="GA93" s="10" t="n">
        <v>46099</v>
      </c>
      <c r="GC93" s="9" t="n">
        <v>1360</v>
      </c>
      <c r="GE93" s="9" t="n">
        <v>1360</v>
      </c>
      <c r="GF93" s="9" t="n">
        <v>1800</v>
      </c>
      <c r="GJ93" s="10" t="n">
        <v>46099</v>
      </c>
      <c r="GL93" s="9" t="n">
        <v>0</v>
      </c>
      <c r="GN93" s="9" t="n">
        <v>0</v>
      </c>
      <c r="GO93" s="9" t="n">
        <v>5240</v>
      </c>
      <c r="GS93" s="10" t="n">
        <v>46099</v>
      </c>
      <c r="GU93" s="9" t="n">
        <v>0</v>
      </c>
      <c r="GW93" s="9" t="n">
        <v>0</v>
      </c>
      <c r="GX93" s="9" t="n">
        <v>0</v>
      </c>
      <c r="HB93" s="10" t="n">
        <v>46099</v>
      </c>
      <c r="HD93" s="9" t="n">
        <v>0</v>
      </c>
      <c r="HF93" s="9" t="n">
        <v>0</v>
      </c>
      <c r="HG93" s="9" t="n">
        <v>0</v>
      </c>
      <c r="HK93" s="10" t="n">
        <v>46099</v>
      </c>
      <c r="HM93" s="9" t="n">
        <v>0</v>
      </c>
      <c r="HO93" s="9" t="n">
        <v>0</v>
      </c>
      <c r="HP93" s="9" t="n">
        <v>0</v>
      </c>
      <c r="HU93" s="10" t="n">
        <v>46099</v>
      </c>
      <c r="HW93" s="9" t="n">
        <v>0</v>
      </c>
      <c r="HY93" s="9" t="n">
        <v>0</v>
      </c>
      <c r="HZ93" s="9" t="n">
        <v>5120</v>
      </c>
      <c r="ID93" s="10" t="n">
        <v>46099</v>
      </c>
      <c r="IF93" s="9" t="n">
        <v>0</v>
      </c>
      <c r="IH93" s="9" t="n">
        <v>0</v>
      </c>
      <c r="II93" s="9" t="n">
        <v>6540</v>
      </c>
      <c r="IM93" s="10" t="n">
        <v>46099</v>
      </c>
      <c r="IO93" s="9" t="n">
        <v>0</v>
      </c>
      <c r="IQ93" s="9" t="n">
        <v>0</v>
      </c>
      <c r="IR93" s="9" t="n">
        <v>11540</v>
      </c>
      <c r="IV93" s="10" t="n">
        <v>46099</v>
      </c>
      <c r="IX93" s="9" t="n">
        <v>0</v>
      </c>
      <c r="IZ93" s="9" t="n">
        <v>0</v>
      </c>
      <c r="JA93" s="9" t="n">
        <v>15120</v>
      </c>
      <c r="JE93" s="10" t="n">
        <v>46099</v>
      </c>
      <c r="JG93" s="9" t="n">
        <v>0</v>
      </c>
      <c r="JI93" s="9" t="n">
        <v>0</v>
      </c>
      <c r="JJ93" s="9" t="n">
        <v>5040</v>
      </c>
      <c r="JN93" s="10" t="n">
        <v>46099</v>
      </c>
      <c r="JP93" s="9" t="n">
        <v>0</v>
      </c>
      <c r="JR93" s="9" t="n">
        <v>0</v>
      </c>
      <c r="JS93" s="9" t="n">
        <v>9100</v>
      </c>
      <c r="JW93" s="10" t="n">
        <v>46099</v>
      </c>
      <c r="JY93" s="9" t="n">
        <v>0</v>
      </c>
      <c r="KA93" s="9" t="n">
        <v>0</v>
      </c>
      <c r="KB93" s="9" t="n">
        <v>6180</v>
      </c>
      <c r="KF93" s="10" t="n">
        <v>46099</v>
      </c>
      <c r="KH93" s="9" t="n">
        <v>975</v>
      </c>
      <c r="KJ93" s="9" t="n">
        <v>975</v>
      </c>
      <c r="KK93" s="9" t="n">
        <v>9184.5</v>
      </c>
      <c r="KO93" s="10" t="n">
        <v>46099</v>
      </c>
      <c r="KQ93" s="9" t="n">
        <v>0</v>
      </c>
      <c r="KS93" s="9" t="n">
        <v>0</v>
      </c>
      <c r="KT93" s="9" t="n">
        <v>6993</v>
      </c>
      <c r="KX93" s="10" t="n">
        <v>46099</v>
      </c>
      <c r="KZ93" s="9" t="n">
        <v>0</v>
      </c>
      <c r="LB93" s="9" t="n">
        <v>0</v>
      </c>
      <c r="LC93" s="9" t="n">
        <v>0</v>
      </c>
      <c r="LG93" s="10" t="n">
        <v>46099</v>
      </c>
      <c r="LI93" s="9" t="n">
        <v>0</v>
      </c>
      <c r="LK93" s="9" t="n">
        <v>0</v>
      </c>
      <c r="LL93" s="9" t="n">
        <v>0</v>
      </c>
      <c r="LP93" s="10" t="n">
        <v>46099</v>
      </c>
      <c r="LR93" s="9" t="n">
        <v>0</v>
      </c>
      <c r="LT93" s="9" t="n">
        <v>0</v>
      </c>
      <c r="LU93" s="9" t="n">
        <v>0</v>
      </c>
      <c r="LY93" s="10" t="n">
        <v>46099</v>
      </c>
      <c r="MA93" s="9" t="n">
        <v>0</v>
      </c>
      <c r="MC93" s="9" t="n">
        <v>0</v>
      </c>
      <c r="MD93" s="9" t="n">
        <v>0</v>
      </c>
      <c r="MH93" s="10" t="n">
        <v>46099</v>
      </c>
      <c r="MJ93" s="9" t="n">
        <v>0</v>
      </c>
      <c r="ML93" s="9" t="n">
        <v>0</v>
      </c>
      <c r="MM93" s="9" t="n">
        <v>0</v>
      </c>
      <c r="MQ93" s="10" t="n">
        <v>46099</v>
      </c>
      <c r="MS93" s="9" t="n">
        <v>134</v>
      </c>
      <c r="MU93" s="9" t="n">
        <v>134</v>
      </c>
      <c r="MV93" s="9" t="n">
        <v>4740</v>
      </c>
      <c r="MZ93" s="10" t="n">
        <v>46099</v>
      </c>
      <c r="NB93" s="9" t="n">
        <v>150</v>
      </c>
      <c r="ND93" s="9" t="n">
        <v>150</v>
      </c>
      <c r="NE93" s="9" t="n">
        <v>0</v>
      </c>
      <c r="NI93" s="10" t="n">
        <v>46099</v>
      </c>
      <c r="NK93" s="9" t="n">
        <v>0</v>
      </c>
      <c r="NM93" s="9" t="n">
        <v>0</v>
      </c>
      <c r="NN93" s="9" t="n">
        <v>465</v>
      </c>
      <c r="NR93" s="10" t="n">
        <v>46099</v>
      </c>
      <c r="NT93" s="9" t="n">
        <v>60</v>
      </c>
      <c r="NV93" s="9" t="n">
        <v>60</v>
      </c>
      <c r="NW93" s="9" t="n">
        <v>1299.3</v>
      </c>
      <c r="OA93" s="10" t="n">
        <v>46099</v>
      </c>
      <c r="OC93" s="9" t="n">
        <v>0</v>
      </c>
      <c r="OE93" s="9" t="n">
        <v>0</v>
      </c>
      <c r="OF93" s="9" t="n">
        <v>1680.5</v>
      </c>
      <c r="OJ93" s="10" t="n">
        <v>46099</v>
      </c>
      <c r="OL93" s="9" t="n">
        <v>140</v>
      </c>
      <c r="ON93" s="9" t="n">
        <v>140</v>
      </c>
      <c r="OO93" s="9" t="n">
        <v>0</v>
      </c>
      <c r="OS93" s="10" t="n">
        <v>46099</v>
      </c>
      <c r="OU93" s="9" t="n">
        <v>0</v>
      </c>
      <c r="OW93" s="9" t="n">
        <v>0</v>
      </c>
      <c r="OX93" s="9" t="n">
        <v>1000</v>
      </c>
      <c r="PB93" s="10" t="n">
        <v>46099</v>
      </c>
      <c r="PD93" s="9" t="n">
        <v>0</v>
      </c>
      <c r="PF93" s="9" t="n">
        <v>0</v>
      </c>
      <c r="PG93" s="9" t="n">
        <v>0</v>
      </c>
      <c r="PK93" s="10" t="n">
        <v>46099</v>
      </c>
      <c r="PM93" s="9" t="n">
        <v>0</v>
      </c>
      <c r="PO93" s="9" t="n">
        <v>0</v>
      </c>
      <c r="PP93" s="9" t="n">
        <v>100</v>
      </c>
      <c r="PT93" s="10" t="n">
        <v>46099</v>
      </c>
      <c r="PV93" s="9" t="n">
        <v>0</v>
      </c>
      <c r="PX93" s="9" t="n">
        <v>0</v>
      </c>
      <c r="PY93" s="9" t="n">
        <v>13.96000000000004</v>
      </c>
      <c r="QC93" s="10" t="n">
        <v>46099</v>
      </c>
      <c r="QE93" s="9" t="n">
        <v>0</v>
      </c>
      <c r="QG93" s="9" t="n">
        <v>0</v>
      </c>
      <c r="QH93" s="9" t="n">
        <v>1212</v>
      </c>
      <c r="QL93" s="10" t="n">
        <v>46099</v>
      </c>
      <c r="QN93" s="9" t="n">
        <v>0</v>
      </c>
      <c r="QP93" s="9" t="n">
        <v>0</v>
      </c>
      <c r="QQ93" s="9" t="n">
        <v>0</v>
      </c>
      <c r="QU93" s="10" t="n">
        <v>46099</v>
      </c>
      <c r="QW93" s="9" t="n">
        <v>0</v>
      </c>
      <c r="QY93" s="9" t="n">
        <v>0</v>
      </c>
      <c r="QZ93" s="9" t="n">
        <v>207.6</v>
      </c>
      <c r="RD93" s="10" t="n">
        <v>46099</v>
      </c>
      <c r="RF93" s="9" t="n">
        <v>0</v>
      </c>
      <c r="RH93" s="9" t="n">
        <v>0</v>
      </c>
      <c r="RI93" s="9" t="n">
        <v>197.04</v>
      </c>
      <c r="RM93" s="10" t="n">
        <v>46099</v>
      </c>
      <c r="RO93" s="9" t="n">
        <v>0</v>
      </c>
      <c r="RQ93" s="9" t="n">
        <v>0</v>
      </c>
      <c r="RR93" s="9" t="n">
        <v>46.8</v>
      </c>
      <c r="RV93" s="10" t="n">
        <v>46099</v>
      </c>
      <c r="RX93" s="9" t="n">
        <v>0</v>
      </c>
      <c r="RZ93" s="9" t="n">
        <v>0</v>
      </c>
      <c r="SA93" s="9" t="n">
        <v>0</v>
      </c>
      <c r="SE93" s="10" t="n">
        <v>46099</v>
      </c>
      <c r="SG93" s="9" t="n">
        <v>0</v>
      </c>
      <c r="SI93" s="9" t="n">
        <v>0</v>
      </c>
      <c r="SJ93" s="9" t="n">
        <v>0</v>
      </c>
      <c r="SN93" s="10" t="n">
        <v>46099</v>
      </c>
      <c r="SP93" s="9" t="n">
        <v>0</v>
      </c>
      <c r="SR93" s="9" t="n">
        <v>0</v>
      </c>
      <c r="SS93" s="9" t="n">
        <v>0</v>
      </c>
      <c r="SW93" s="10" t="n">
        <v>46099</v>
      </c>
      <c r="SY93" s="9" t="n">
        <v>0</v>
      </c>
      <c r="TA93" s="9" t="n">
        <v>0</v>
      </c>
      <c r="TB93" s="9" t="n">
        <v>0</v>
      </c>
      <c r="TF93" s="10" t="n">
        <v>46099</v>
      </c>
      <c r="TH93" s="9" t="n">
        <v>0</v>
      </c>
      <c r="TJ93" s="9" t="n">
        <v>0</v>
      </c>
      <c r="TK93" s="9" t="n">
        <v>0</v>
      </c>
      <c r="TO93" s="10" t="n">
        <v>46099</v>
      </c>
      <c r="TQ93" s="9" t="n">
        <v>0</v>
      </c>
      <c r="TS93" s="9" t="n">
        <v>0</v>
      </c>
      <c r="TT93" s="9" t="n">
        <v>0</v>
      </c>
      <c r="TX93" s="10" t="n">
        <v>46099</v>
      </c>
      <c r="TZ93" s="9" t="n">
        <v>0</v>
      </c>
      <c r="UB93" s="9" t="n">
        <v>0</v>
      </c>
      <c r="UC93" s="9" t="n">
        <v>0</v>
      </c>
      <c r="UG93" s="10" t="n">
        <v>46099</v>
      </c>
      <c r="UI93" s="9" t="n">
        <v>0</v>
      </c>
      <c r="UK93" s="9" t="n">
        <v>0</v>
      </c>
      <c r="UL93" s="9" t="n">
        <v>0</v>
      </c>
      <c r="UP93" s="10" t="n">
        <v>46099</v>
      </c>
      <c r="UR93" s="9" t="n">
        <v>0</v>
      </c>
      <c r="UT93" s="9" t="n">
        <v>0</v>
      </c>
      <c r="UU93" s="9" t="n">
        <v>0</v>
      </c>
      <c r="UY93" s="10" t="n">
        <v>46099</v>
      </c>
      <c r="VA93" s="9" t="n">
        <v>0</v>
      </c>
      <c r="VC93" s="9" t="n">
        <v>0</v>
      </c>
      <c r="VD93" s="9" t="n">
        <v>41.60000000000002</v>
      </c>
      <c r="VH93" s="10" t="n">
        <v>46099</v>
      </c>
      <c r="VJ93" s="9" t="n">
        <v>0</v>
      </c>
      <c r="VL93" s="9" t="n">
        <v>0</v>
      </c>
      <c r="VM93" s="9" t="n">
        <v>0</v>
      </c>
      <c r="VQ93" s="10" t="n">
        <v>46099</v>
      </c>
      <c r="VS93" s="9" t="n">
        <v>0</v>
      </c>
      <c r="VU93" s="9" t="n">
        <v>0</v>
      </c>
      <c r="VV93" s="9" t="n">
        <v>0</v>
      </c>
      <c r="VZ93" s="10" t="n">
        <v>46099</v>
      </c>
      <c r="WB93" s="9" t="n">
        <v>0</v>
      </c>
      <c r="WD93" s="9" t="n">
        <v>0</v>
      </c>
      <c r="WE93" s="9" t="n">
        <v>0</v>
      </c>
      <c r="WI93" s="10" t="n">
        <v>46099</v>
      </c>
      <c r="WK93" s="9" t="n">
        <v>0</v>
      </c>
      <c r="WM93" s="9" t="n">
        <v>0</v>
      </c>
      <c r="WN93" s="9" t="n">
        <v>5180</v>
      </c>
      <c r="WR93" s="10" t="n">
        <v>46099</v>
      </c>
      <c r="WT93" s="9" t="n">
        <v>0</v>
      </c>
      <c r="WU93" s="9" t="n">
        <v>1404</v>
      </c>
      <c r="WV93" s="9" t="n">
        <v>-1404</v>
      </c>
      <c r="WW93" s="9" t="n">
        <v>3265</v>
      </c>
      <c r="XA93" s="10" t="n">
        <v>46099</v>
      </c>
      <c r="XC93" s="9" t="n">
        <v>0</v>
      </c>
      <c r="XE93" s="9" t="n">
        <v>0</v>
      </c>
      <c r="XF93" s="9" t="n">
        <v>7142</v>
      </c>
      <c r="XJ93" s="10" t="n">
        <v>46099</v>
      </c>
      <c r="XL93" s="9" t="n">
        <v>0</v>
      </c>
      <c r="XN93" s="9" t="n">
        <v>0</v>
      </c>
      <c r="XO93" s="9" t="n">
        <v>7549</v>
      </c>
      <c r="XS93" s="10" t="n">
        <v>46099</v>
      </c>
      <c r="XU93" s="9" t="n">
        <v>0</v>
      </c>
      <c r="XW93" s="9" t="n">
        <v>0</v>
      </c>
      <c r="XX93" s="9" t="n">
        <v>1901</v>
      </c>
      <c r="YB93" s="10" t="n">
        <v>46099</v>
      </c>
      <c r="YD93" s="9" t="n">
        <v>0</v>
      </c>
      <c r="YF93" s="9" t="n">
        <v>0</v>
      </c>
      <c r="YG93" s="9" t="n">
        <v>6459</v>
      </c>
      <c r="YK93" s="10" t="n">
        <v>46099</v>
      </c>
      <c r="YM93" s="9" t="n">
        <v>0</v>
      </c>
      <c r="YO93" s="9" t="n">
        <v>0</v>
      </c>
      <c r="YP93" s="9" t="n">
        <v>0</v>
      </c>
      <c r="YT93" s="10" t="n">
        <v>46099</v>
      </c>
      <c r="YV93" s="9" t="n">
        <v>0</v>
      </c>
      <c r="YX93" s="9" t="n">
        <v>0</v>
      </c>
      <c r="YY93" s="9" t="n">
        <v>0</v>
      </c>
      <c r="ZC93" s="10" t="n">
        <v>46099</v>
      </c>
      <c r="ZE93" s="9" t="n">
        <v>0</v>
      </c>
      <c r="ZG93" s="9" t="n">
        <v>0</v>
      </c>
      <c r="ZH93" s="9" t="n">
        <v>0</v>
      </c>
      <c r="ZL93" s="10" t="n">
        <v>46099</v>
      </c>
      <c r="ZN93" s="9" t="n">
        <v>0</v>
      </c>
      <c r="ZP93" s="9" t="n">
        <v>0</v>
      </c>
      <c r="ZQ93" s="9" t="n">
        <v>0</v>
      </c>
      <c r="ZU93" s="10" t="n">
        <v>46099</v>
      </c>
      <c r="ZW93" s="9" t="n">
        <v>0</v>
      </c>
      <c r="ZY93" s="9" t="n">
        <v>0</v>
      </c>
      <c r="ZZ93" s="9" t="n">
        <v>0</v>
      </c>
      <c r="AAD93" s="10" t="n">
        <v>46099</v>
      </c>
      <c r="AAF93" s="9" t="n">
        <v>0</v>
      </c>
      <c r="AAH93" s="9" t="n">
        <v>0</v>
      </c>
      <c r="AAI93" s="9" t="n">
        <v>0</v>
      </c>
      <c r="AAM93" s="10" t="n">
        <v>46099</v>
      </c>
      <c r="AAO93" s="9" t="n">
        <v>0</v>
      </c>
      <c r="AAQ93" s="9" t="n">
        <v>0</v>
      </c>
      <c r="AAR93" s="9" t="n">
        <v>0</v>
      </c>
      <c r="AAV93" s="10" t="n">
        <v>46099</v>
      </c>
      <c r="AAX93" s="9" t="n">
        <v>0</v>
      </c>
      <c r="AAZ93" s="9" t="n">
        <v>0</v>
      </c>
      <c r="ABA93" s="9" t="n">
        <v>0</v>
      </c>
      <c r="ABE93" s="10" t="n">
        <v>46099</v>
      </c>
      <c r="ABG93" s="9" t="n">
        <v>0</v>
      </c>
      <c r="ABI93" s="9" t="n">
        <v>0</v>
      </c>
      <c r="ABJ93" s="9" t="n">
        <v>0</v>
      </c>
    </row>
    <row r="94">
      <c r="B94" s="9" t="n">
        <v>20</v>
      </c>
      <c r="C94" s="10" t="n">
        <v>46100</v>
      </c>
      <c r="D94" s="9" t="n">
        <v>60670</v>
      </c>
      <c r="E94" s="9" t="n">
        <v>10027</v>
      </c>
      <c r="F94" s="9" t="n">
        <v>10020.2</v>
      </c>
      <c r="G94" s="9" t="n">
        <v>6.800000000001091</v>
      </c>
      <c r="H94" s="9" t="n">
        <v>258879.9999999999</v>
      </c>
      <c r="I94" s="9" t="inlineStr">
        <is>
          <t>122 20mt</t>
        </is>
      </c>
      <c r="L94" s="10" t="n">
        <v>46100</v>
      </c>
      <c r="M94" s="9" t="n">
        <v>30140</v>
      </c>
      <c r="N94" s="9" t="n">
        <v>4100</v>
      </c>
      <c r="O94" s="9" t="n">
        <v>4099.4</v>
      </c>
      <c r="P94" s="9" t="n">
        <v>0.6000000000003638</v>
      </c>
      <c r="Q94" s="9" t="n">
        <v>110496.6000000001</v>
      </c>
      <c r="U94" s="10" t="n">
        <v>46100</v>
      </c>
      <c r="W94" s="9" t="n">
        <v>1670</v>
      </c>
      <c r="X94" s="9" t="n">
        <v>1671</v>
      </c>
      <c r="Y94" s="9" t="n">
        <v>-1.000000000000227</v>
      </c>
      <c r="Z94" s="9" t="n">
        <v>47285.69999999997</v>
      </c>
      <c r="AD94" s="10" t="n">
        <v>46100</v>
      </c>
      <c r="AF94" s="9" t="n">
        <v>260.0000000000001</v>
      </c>
      <c r="AG94" s="9" t="n">
        <v>261.2</v>
      </c>
      <c r="AH94" s="9" t="n">
        <v>-1.199999999999932</v>
      </c>
      <c r="AI94" s="9" t="n">
        <v>43301.20000000002</v>
      </c>
      <c r="AM94" s="10" t="n">
        <v>46100</v>
      </c>
      <c r="AO94" s="9" t="n">
        <v>0</v>
      </c>
      <c r="AQ94" s="9" t="n">
        <v>0</v>
      </c>
      <c r="AR94" s="9" t="n">
        <v>0</v>
      </c>
      <c r="AV94" s="10" t="n">
        <v>46100</v>
      </c>
      <c r="AX94" s="9" t="n">
        <v>0</v>
      </c>
      <c r="AZ94" s="9" t="n">
        <v>0</v>
      </c>
      <c r="BA94" s="9" t="n">
        <v>22268.39999999998</v>
      </c>
      <c r="BE94" s="10" t="n">
        <v>46100</v>
      </c>
      <c r="BG94" s="9" t="n">
        <v>840</v>
      </c>
      <c r="BH94" s="9" t="n">
        <v>838.6</v>
      </c>
      <c r="BI94" s="9" t="n">
        <v>1.399999999999977</v>
      </c>
      <c r="BJ94" s="9" t="n">
        <v>14288.5</v>
      </c>
      <c r="BN94" s="10" t="n">
        <v>46100</v>
      </c>
      <c r="BO94" s="9" t="n">
        <v>400.1</v>
      </c>
      <c r="BP94" s="9" t="n">
        <v>400</v>
      </c>
      <c r="BQ94" s="9" t="n">
        <v>400.1</v>
      </c>
      <c r="BR94" s="9" t="n">
        <v>-0.1000000000000227</v>
      </c>
      <c r="BS94" s="9" t="n">
        <v>0</v>
      </c>
      <c r="BW94" s="10" t="n">
        <v>46100</v>
      </c>
      <c r="BY94" s="9" t="n">
        <v>133</v>
      </c>
      <c r="BZ94" s="9" t="n">
        <v>234</v>
      </c>
      <c r="CA94" s="9" t="n">
        <v>-101</v>
      </c>
      <c r="CB94" s="9" t="n">
        <v>2829.8</v>
      </c>
      <c r="CF94" s="10" t="n">
        <v>46100</v>
      </c>
      <c r="CG94" s="9" t="n">
        <v>494</v>
      </c>
      <c r="CH94" s="9" t="n">
        <v>200</v>
      </c>
      <c r="CI94" s="9" t="n">
        <v>494</v>
      </c>
      <c r="CJ94" s="9" t="n">
        <v>-294</v>
      </c>
      <c r="CK94" s="9" t="n">
        <v>0</v>
      </c>
      <c r="CO94" s="10" t="n">
        <v>46100</v>
      </c>
      <c r="CQ94" s="9" t="n">
        <v>0</v>
      </c>
      <c r="CS94" s="9" t="n">
        <v>0</v>
      </c>
      <c r="CT94" s="9" t="n">
        <v>0</v>
      </c>
      <c r="CX94" s="10" t="n">
        <v>46100</v>
      </c>
      <c r="CZ94" s="9" t="n">
        <v>1000</v>
      </c>
      <c r="DA94" s="9" t="n">
        <v>1001.1</v>
      </c>
      <c r="DB94" s="9" t="n">
        <v>-1.100000000000023</v>
      </c>
      <c r="DC94" s="9" t="n">
        <v>17440.7</v>
      </c>
      <c r="DG94" s="10" t="n">
        <v>46100</v>
      </c>
      <c r="DI94" s="9" t="n">
        <v>800</v>
      </c>
      <c r="DJ94" s="9" t="n">
        <v>800.6</v>
      </c>
      <c r="DK94" s="9" t="n">
        <v>-0.6000000000000227</v>
      </c>
      <c r="DL94" s="9" t="n">
        <v>13918.2</v>
      </c>
      <c r="DP94" s="10" t="n">
        <v>46100</v>
      </c>
      <c r="DR94" s="9" t="n">
        <v>0</v>
      </c>
      <c r="DT94" s="9" t="n">
        <v>0</v>
      </c>
      <c r="DU94" s="9" t="n">
        <v>7150</v>
      </c>
      <c r="DY94" s="10" t="n">
        <v>46100</v>
      </c>
      <c r="EA94" s="9" t="n">
        <v>0</v>
      </c>
      <c r="EC94" s="9" t="n">
        <v>0</v>
      </c>
      <c r="ED94" s="9" t="n">
        <v>2947.3</v>
      </c>
      <c r="EH94" s="10" t="n">
        <v>46100</v>
      </c>
      <c r="EJ94" s="9" t="n">
        <v>0</v>
      </c>
      <c r="EL94" s="9" t="n">
        <v>0</v>
      </c>
      <c r="EM94" s="9" t="n">
        <v>0</v>
      </c>
      <c r="EQ94" s="10" t="n">
        <v>46100</v>
      </c>
      <c r="ES94" s="9" t="n">
        <v>0</v>
      </c>
      <c r="EU94" s="9" t="n">
        <v>0</v>
      </c>
      <c r="EV94" s="9" t="n">
        <v>0</v>
      </c>
      <c r="EZ94" s="10" t="n">
        <v>46100</v>
      </c>
      <c r="FB94" s="9" t="n">
        <v>0</v>
      </c>
      <c r="FD94" s="9" t="n">
        <v>0</v>
      </c>
      <c r="FE94" s="9" t="n">
        <v>0</v>
      </c>
      <c r="FI94" s="10" t="n">
        <v>46100</v>
      </c>
      <c r="FK94" s="9" t="n">
        <v>0</v>
      </c>
      <c r="FM94" s="9" t="n">
        <v>0</v>
      </c>
      <c r="FN94" s="9" t="n">
        <v>0</v>
      </c>
      <c r="FR94" s="10" t="n">
        <v>46100</v>
      </c>
      <c r="FT94" s="9" t="n">
        <v>0</v>
      </c>
      <c r="FV94" s="9" t="n">
        <v>0</v>
      </c>
      <c r="FW94" s="9" t="n">
        <v>3220</v>
      </c>
      <c r="GA94" s="10" t="n">
        <v>46100</v>
      </c>
      <c r="GC94" s="9" t="n">
        <v>0</v>
      </c>
      <c r="GD94" s="9" t="n">
        <v>520</v>
      </c>
      <c r="GE94" s="9" t="n">
        <v>-520</v>
      </c>
      <c r="GF94" s="9" t="n">
        <v>1280</v>
      </c>
      <c r="GJ94" s="10" t="n">
        <v>46100</v>
      </c>
      <c r="GL94" s="9" t="n">
        <v>0</v>
      </c>
      <c r="GN94" s="9" t="n">
        <v>0</v>
      </c>
      <c r="GO94" s="9" t="n">
        <v>5240</v>
      </c>
      <c r="GS94" s="10" t="n">
        <v>46100</v>
      </c>
      <c r="GU94" s="9" t="n">
        <v>0</v>
      </c>
      <c r="GW94" s="9" t="n">
        <v>0</v>
      </c>
      <c r="GX94" s="9" t="n">
        <v>0</v>
      </c>
      <c r="HB94" s="10" t="n">
        <v>46100</v>
      </c>
      <c r="HD94" s="9" t="n">
        <v>0</v>
      </c>
      <c r="HF94" s="9" t="n">
        <v>0</v>
      </c>
      <c r="HG94" s="9" t="n">
        <v>0</v>
      </c>
      <c r="HK94" s="10" t="n">
        <v>46100</v>
      </c>
      <c r="HM94" s="9" t="n">
        <v>0</v>
      </c>
      <c r="HO94" s="9" t="n">
        <v>0</v>
      </c>
      <c r="HP94" s="9" t="n">
        <v>0</v>
      </c>
      <c r="HU94" s="10" t="n">
        <v>46100</v>
      </c>
      <c r="HW94" s="9" t="n">
        <v>0</v>
      </c>
      <c r="HY94" s="9" t="n">
        <v>0</v>
      </c>
      <c r="HZ94" s="9" t="n">
        <v>5120</v>
      </c>
      <c r="ID94" s="10" t="n">
        <v>46100</v>
      </c>
      <c r="IF94" s="9" t="n">
        <v>0</v>
      </c>
      <c r="IH94" s="9" t="n">
        <v>0</v>
      </c>
      <c r="II94" s="9" t="n">
        <v>6540</v>
      </c>
      <c r="IM94" s="10" t="n">
        <v>46100</v>
      </c>
      <c r="IO94" s="9" t="n">
        <v>0</v>
      </c>
      <c r="IQ94" s="9" t="n">
        <v>0</v>
      </c>
      <c r="IR94" s="9" t="n">
        <v>11540</v>
      </c>
      <c r="IV94" s="10" t="n">
        <v>46100</v>
      </c>
      <c r="IX94" s="9" t="n">
        <v>0</v>
      </c>
      <c r="IZ94" s="9" t="n">
        <v>0</v>
      </c>
      <c r="JA94" s="9" t="n">
        <v>15120</v>
      </c>
      <c r="JE94" s="10" t="n">
        <v>46100</v>
      </c>
      <c r="JG94" s="9" t="n">
        <v>0</v>
      </c>
      <c r="JI94" s="9" t="n">
        <v>0</v>
      </c>
      <c r="JJ94" s="9" t="n">
        <v>5040</v>
      </c>
      <c r="JN94" s="10" t="n">
        <v>46100</v>
      </c>
      <c r="JP94" s="9" t="n">
        <v>0</v>
      </c>
      <c r="JR94" s="9" t="n">
        <v>0</v>
      </c>
      <c r="JS94" s="9" t="n">
        <v>9100</v>
      </c>
      <c r="JW94" s="10" t="n">
        <v>46100</v>
      </c>
      <c r="JY94" s="9" t="n">
        <v>0</v>
      </c>
      <c r="JZ94" s="9" t="n">
        <v>1040</v>
      </c>
      <c r="KA94" s="9" t="n">
        <v>-1040</v>
      </c>
      <c r="KB94" s="9" t="n">
        <v>5140</v>
      </c>
      <c r="KF94" s="10" t="n">
        <v>46100</v>
      </c>
      <c r="KH94" s="9" t="n">
        <v>390</v>
      </c>
      <c r="KJ94" s="9" t="n">
        <v>390</v>
      </c>
      <c r="KK94" s="9" t="n">
        <v>9184.5</v>
      </c>
      <c r="KO94" s="10" t="n">
        <v>46100</v>
      </c>
      <c r="KQ94" s="9" t="n">
        <v>0</v>
      </c>
      <c r="KS94" s="9" t="n">
        <v>0</v>
      </c>
      <c r="KT94" s="9" t="n">
        <v>6993</v>
      </c>
      <c r="KX94" s="10" t="n">
        <v>46100</v>
      </c>
      <c r="KZ94" s="9" t="n">
        <v>0</v>
      </c>
      <c r="LB94" s="9" t="n">
        <v>0</v>
      </c>
      <c r="LC94" s="9" t="n">
        <v>0</v>
      </c>
      <c r="LG94" s="10" t="n">
        <v>46100</v>
      </c>
      <c r="LI94" s="9" t="n">
        <v>0</v>
      </c>
      <c r="LK94" s="9" t="n">
        <v>0</v>
      </c>
      <c r="LL94" s="9" t="n">
        <v>0</v>
      </c>
      <c r="LP94" s="10" t="n">
        <v>46100</v>
      </c>
      <c r="LR94" s="9" t="n">
        <v>0</v>
      </c>
      <c r="LT94" s="9" t="n">
        <v>0</v>
      </c>
      <c r="LU94" s="9" t="n">
        <v>0</v>
      </c>
      <c r="LY94" s="10" t="n">
        <v>46100</v>
      </c>
      <c r="MA94" s="9" t="n">
        <v>0</v>
      </c>
      <c r="MC94" s="9" t="n">
        <v>0</v>
      </c>
      <c r="MD94" s="9" t="n">
        <v>0</v>
      </c>
      <c r="MH94" s="10" t="n">
        <v>46100</v>
      </c>
      <c r="MJ94" s="9" t="n">
        <v>0</v>
      </c>
      <c r="ML94" s="9" t="n">
        <v>0</v>
      </c>
      <c r="MM94" s="9" t="n">
        <v>0</v>
      </c>
      <c r="MQ94" s="10" t="n">
        <v>46100</v>
      </c>
      <c r="MS94" s="9" t="n">
        <v>40</v>
      </c>
      <c r="MT94" s="9" t="n">
        <v>117</v>
      </c>
      <c r="MU94" s="9" t="n">
        <v>-77</v>
      </c>
      <c r="MV94" s="9" t="n">
        <v>4623</v>
      </c>
      <c r="MZ94" s="10" t="n">
        <v>46100</v>
      </c>
      <c r="NA94" s="9" t="n">
        <v>156</v>
      </c>
      <c r="NB94" s="9" t="n">
        <v>60</v>
      </c>
      <c r="NC94" s="9" t="n">
        <v>156</v>
      </c>
      <c r="ND94" s="9" t="n">
        <v>-96</v>
      </c>
      <c r="NE94" s="9" t="n">
        <v>0</v>
      </c>
      <c r="NI94" s="10" t="n">
        <v>46100</v>
      </c>
      <c r="NK94" s="9" t="n">
        <v>0</v>
      </c>
      <c r="NM94" s="9" t="n">
        <v>0</v>
      </c>
      <c r="NN94" s="9" t="n">
        <v>465</v>
      </c>
      <c r="NR94" s="10" t="n">
        <v>46100</v>
      </c>
      <c r="NT94" s="9" t="n">
        <v>24</v>
      </c>
      <c r="NU94" s="9" t="n">
        <v>10.4</v>
      </c>
      <c r="NV94" s="9" t="n">
        <v>13.6</v>
      </c>
      <c r="NW94" s="9" t="n">
        <v>1288.9</v>
      </c>
      <c r="OA94" s="10" t="n">
        <v>46100</v>
      </c>
      <c r="OC94" s="9" t="n">
        <v>0</v>
      </c>
      <c r="OE94" s="9" t="n">
        <v>0</v>
      </c>
      <c r="OF94" s="9" t="n">
        <v>1680.5</v>
      </c>
      <c r="OJ94" s="10" t="n">
        <v>46100</v>
      </c>
      <c r="OL94" s="9" t="n">
        <v>55.99999999999999</v>
      </c>
      <c r="ON94" s="9" t="n">
        <v>55.99999999999999</v>
      </c>
      <c r="OO94" s="9" t="n">
        <v>0</v>
      </c>
      <c r="OS94" s="10" t="n">
        <v>46100</v>
      </c>
      <c r="OU94" s="9" t="n">
        <v>0</v>
      </c>
      <c r="OW94" s="9" t="n">
        <v>0</v>
      </c>
      <c r="OX94" s="9" t="n">
        <v>1000</v>
      </c>
      <c r="PB94" s="10" t="n">
        <v>46100</v>
      </c>
      <c r="PD94" s="9" t="n">
        <v>0</v>
      </c>
      <c r="PF94" s="9" t="n">
        <v>0</v>
      </c>
      <c r="PG94" s="9" t="n">
        <v>0</v>
      </c>
      <c r="PK94" s="10" t="n">
        <v>46100</v>
      </c>
      <c r="PM94" s="9" t="n">
        <v>0</v>
      </c>
      <c r="PO94" s="9" t="n">
        <v>0</v>
      </c>
      <c r="PP94" s="9" t="n">
        <v>100</v>
      </c>
      <c r="PT94" s="10" t="n">
        <v>46100</v>
      </c>
      <c r="PV94" s="9" t="n">
        <v>0</v>
      </c>
      <c r="PX94" s="9" t="n">
        <v>0</v>
      </c>
      <c r="PY94" s="9" t="n">
        <v>13.96000000000004</v>
      </c>
      <c r="QC94" s="10" t="n">
        <v>46100</v>
      </c>
      <c r="QE94" s="9" t="n">
        <v>0</v>
      </c>
      <c r="QG94" s="9" t="n">
        <v>0</v>
      </c>
      <c r="QH94" s="9" t="n">
        <v>1212</v>
      </c>
      <c r="QL94" s="10" t="n">
        <v>46100</v>
      </c>
      <c r="QN94" s="9" t="n">
        <v>0</v>
      </c>
      <c r="QP94" s="9" t="n">
        <v>0</v>
      </c>
      <c r="QQ94" s="9" t="n">
        <v>0</v>
      </c>
      <c r="QU94" s="10" t="n">
        <v>46100</v>
      </c>
      <c r="QW94" s="9" t="n">
        <v>0</v>
      </c>
      <c r="QY94" s="9" t="n">
        <v>0</v>
      </c>
      <c r="QZ94" s="9" t="n">
        <v>207.6</v>
      </c>
      <c r="RD94" s="10" t="n">
        <v>46100</v>
      </c>
      <c r="RF94" s="9" t="n">
        <v>0</v>
      </c>
      <c r="RH94" s="9" t="n">
        <v>0</v>
      </c>
      <c r="RI94" s="9" t="n">
        <v>197.04</v>
      </c>
      <c r="RM94" s="10" t="n">
        <v>46100</v>
      </c>
      <c r="RO94" s="9" t="n">
        <v>0</v>
      </c>
      <c r="RQ94" s="9" t="n">
        <v>0</v>
      </c>
      <c r="RR94" s="9" t="n">
        <v>46.8</v>
      </c>
      <c r="RV94" s="10" t="n">
        <v>46100</v>
      </c>
      <c r="RX94" s="9" t="n">
        <v>0</v>
      </c>
      <c r="RZ94" s="9" t="n">
        <v>0</v>
      </c>
      <c r="SA94" s="9" t="n">
        <v>0</v>
      </c>
      <c r="SE94" s="10" t="n">
        <v>46100</v>
      </c>
      <c r="SG94" s="9" t="n">
        <v>0</v>
      </c>
      <c r="SI94" s="9" t="n">
        <v>0</v>
      </c>
      <c r="SJ94" s="9" t="n">
        <v>0</v>
      </c>
      <c r="SN94" s="10" t="n">
        <v>46100</v>
      </c>
      <c r="SP94" s="9" t="n">
        <v>0</v>
      </c>
      <c r="SR94" s="9" t="n">
        <v>0</v>
      </c>
      <c r="SS94" s="9" t="n">
        <v>0</v>
      </c>
      <c r="SW94" s="10" t="n">
        <v>46100</v>
      </c>
      <c r="SY94" s="9" t="n">
        <v>0</v>
      </c>
      <c r="TA94" s="9" t="n">
        <v>0</v>
      </c>
      <c r="TB94" s="9" t="n">
        <v>0</v>
      </c>
      <c r="TF94" s="10" t="n">
        <v>46100</v>
      </c>
      <c r="TH94" s="9" t="n">
        <v>0</v>
      </c>
      <c r="TJ94" s="9" t="n">
        <v>0</v>
      </c>
      <c r="TK94" s="9" t="n">
        <v>0</v>
      </c>
      <c r="TO94" s="10" t="n">
        <v>46100</v>
      </c>
      <c r="TQ94" s="9" t="n">
        <v>0</v>
      </c>
      <c r="TS94" s="9" t="n">
        <v>0</v>
      </c>
      <c r="TT94" s="9" t="n">
        <v>0</v>
      </c>
      <c r="TX94" s="10" t="n">
        <v>46100</v>
      </c>
      <c r="TZ94" s="9" t="n">
        <v>0</v>
      </c>
      <c r="UB94" s="9" t="n">
        <v>0</v>
      </c>
      <c r="UC94" s="9" t="n">
        <v>0</v>
      </c>
      <c r="UG94" s="10" t="n">
        <v>46100</v>
      </c>
      <c r="UI94" s="9" t="n">
        <v>0</v>
      </c>
      <c r="UK94" s="9" t="n">
        <v>0</v>
      </c>
      <c r="UL94" s="9" t="n">
        <v>0</v>
      </c>
      <c r="UP94" s="10" t="n">
        <v>46100</v>
      </c>
      <c r="UR94" s="9" t="n">
        <v>0</v>
      </c>
      <c r="UT94" s="9" t="n">
        <v>0</v>
      </c>
      <c r="UU94" s="9" t="n">
        <v>0</v>
      </c>
      <c r="UY94" s="10" t="n">
        <v>46100</v>
      </c>
      <c r="VA94" s="9" t="n">
        <v>0</v>
      </c>
      <c r="VC94" s="9" t="n">
        <v>0</v>
      </c>
      <c r="VD94" s="9" t="n">
        <v>41.60000000000002</v>
      </c>
      <c r="VH94" s="10" t="n">
        <v>46100</v>
      </c>
      <c r="VJ94" s="9" t="n">
        <v>0</v>
      </c>
      <c r="VL94" s="9" t="n">
        <v>0</v>
      </c>
      <c r="VM94" s="9" t="n">
        <v>0</v>
      </c>
      <c r="VQ94" s="10" t="n">
        <v>46100</v>
      </c>
      <c r="VS94" s="9" t="n">
        <v>0</v>
      </c>
      <c r="VU94" s="9" t="n">
        <v>0</v>
      </c>
      <c r="VV94" s="9" t="n">
        <v>0</v>
      </c>
      <c r="VZ94" s="10" t="n">
        <v>46100</v>
      </c>
      <c r="WB94" s="9" t="n">
        <v>0</v>
      </c>
      <c r="WD94" s="9" t="n">
        <v>0</v>
      </c>
      <c r="WE94" s="9" t="n">
        <v>0</v>
      </c>
      <c r="WI94" s="10" t="n">
        <v>46100</v>
      </c>
      <c r="WK94" s="9" t="n">
        <v>0</v>
      </c>
      <c r="WM94" s="9" t="n">
        <v>0</v>
      </c>
      <c r="WN94" s="9" t="n">
        <v>5180</v>
      </c>
      <c r="WR94" s="10" t="n">
        <v>46100</v>
      </c>
      <c r="WT94" s="9" t="n">
        <v>0</v>
      </c>
      <c r="WV94" s="9" t="n">
        <v>0</v>
      </c>
      <c r="WW94" s="9" t="n">
        <v>3265</v>
      </c>
      <c r="XA94" s="10" t="n">
        <v>46100</v>
      </c>
      <c r="XC94" s="9" t="n">
        <v>0</v>
      </c>
      <c r="XE94" s="9" t="n">
        <v>0</v>
      </c>
      <c r="XF94" s="9" t="n">
        <v>7142</v>
      </c>
      <c r="XJ94" s="10" t="n">
        <v>46100</v>
      </c>
      <c r="XL94" s="9" t="n">
        <v>0</v>
      </c>
      <c r="XN94" s="9" t="n">
        <v>0</v>
      </c>
      <c r="XO94" s="9" t="n">
        <v>7549</v>
      </c>
      <c r="XS94" s="10" t="n">
        <v>46100</v>
      </c>
      <c r="XU94" s="9" t="n">
        <v>0</v>
      </c>
      <c r="XW94" s="9" t="n">
        <v>0</v>
      </c>
      <c r="XX94" s="9" t="n">
        <v>1901</v>
      </c>
      <c r="YB94" s="10" t="n">
        <v>46100</v>
      </c>
      <c r="YD94" s="9" t="n">
        <v>0</v>
      </c>
      <c r="YF94" s="9" t="n">
        <v>0</v>
      </c>
      <c r="YG94" s="9" t="n">
        <v>6459</v>
      </c>
      <c r="YK94" s="10" t="n">
        <v>46100</v>
      </c>
      <c r="YM94" s="9" t="n">
        <v>0</v>
      </c>
      <c r="YO94" s="9" t="n">
        <v>0</v>
      </c>
      <c r="YP94" s="9" t="n">
        <v>0</v>
      </c>
      <c r="YT94" s="10" t="n">
        <v>46100</v>
      </c>
      <c r="YV94" s="9" t="n">
        <v>0</v>
      </c>
      <c r="YX94" s="9" t="n">
        <v>0</v>
      </c>
      <c r="YY94" s="9" t="n">
        <v>0</v>
      </c>
      <c r="ZC94" s="10" t="n">
        <v>46100</v>
      </c>
      <c r="ZE94" s="9" t="n">
        <v>0</v>
      </c>
      <c r="ZG94" s="9" t="n">
        <v>0</v>
      </c>
      <c r="ZH94" s="9" t="n">
        <v>0</v>
      </c>
      <c r="ZL94" s="10" t="n">
        <v>46100</v>
      </c>
      <c r="ZN94" s="9" t="n">
        <v>0</v>
      </c>
      <c r="ZP94" s="9" t="n">
        <v>0</v>
      </c>
      <c r="ZQ94" s="9" t="n">
        <v>0</v>
      </c>
      <c r="ZU94" s="10" t="n">
        <v>46100</v>
      </c>
      <c r="ZW94" s="9" t="n">
        <v>0</v>
      </c>
      <c r="ZY94" s="9" t="n">
        <v>0</v>
      </c>
      <c r="ZZ94" s="9" t="n">
        <v>0</v>
      </c>
      <c r="AAD94" s="10" t="n">
        <v>46100</v>
      </c>
      <c r="AAF94" s="9" t="n">
        <v>0</v>
      </c>
      <c r="AAH94" s="9" t="n">
        <v>0</v>
      </c>
      <c r="AAI94" s="9" t="n">
        <v>0</v>
      </c>
      <c r="AAM94" s="10" t="n">
        <v>46100</v>
      </c>
      <c r="AAO94" s="9" t="n">
        <v>0</v>
      </c>
      <c r="AAQ94" s="9" t="n">
        <v>0</v>
      </c>
      <c r="AAR94" s="9" t="n">
        <v>0</v>
      </c>
      <c r="AAV94" s="10" t="n">
        <v>46100</v>
      </c>
      <c r="AAX94" s="9" t="n">
        <v>0</v>
      </c>
      <c r="AAZ94" s="9" t="n">
        <v>0</v>
      </c>
      <c r="ABA94" s="9" t="n">
        <v>0</v>
      </c>
      <c r="ABE94" s="10" t="n">
        <v>46100</v>
      </c>
      <c r="ABG94" s="9" t="n">
        <v>0</v>
      </c>
      <c r="ABI94" s="9" t="n">
        <v>0</v>
      </c>
      <c r="ABJ94" s="9" t="n">
        <v>0</v>
      </c>
    </row>
    <row r="95">
      <c r="C95" s="10" t="n">
        <v>46101</v>
      </c>
      <c r="E95" s="9" t="n">
        <v>0</v>
      </c>
      <c r="G95" s="9" t="n">
        <v>0</v>
      </c>
      <c r="H95" s="9" t="n">
        <v>258879.9999999999</v>
      </c>
      <c r="L95" s="10" t="n">
        <v>46101</v>
      </c>
      <c r="N95" s="9" t="n">
        <v>0</v>
      </c>
      <c r="P95" s="9" t="n">
        <v>0</v>
      </c>
      <c r="Q95" s="9" t="n">
        <v>110496.6000000001</v>
      </c>
      <c r="U95" s="10" t="n">
        <v>46101</v>
      </c>
      <c r="W95" s="9" t="n">
        <v>0</v>
      </c>
      <c r="Y95" s="9" t="n">
        <v>0</v>
      </c>
      <c r="Z95" s="9" t="n">
        <v>47285.69999999997</v>
      </c>
      <c r="AD95" s="10" t="n">
        <v>46101</v>
      </c>
      <c r="AF95" s="9" t="n">
        <v>0</v>
      </c>
      <c r="AH95" s="9" t="n">
        <v>0</v>
      </c>
      <c r="AI95" s="9" t="n">
        <v>43301.20000000002</v>
      </c>
      <c r="AM95" s="10" t="n">
        <v>46101</v>
      </c>
      <c r="AO95" s="9" t="n">
        <v>0</v>
      </c>
      <c r="AQ95" s="9" t="n">
        <v>0</v>
      </c>
      <c r="AR95" s="9" t="n">
        <v>0</v>
      </c>
      <c r="AV95" s="10" t="n">
        <v>46101</v>
      </c>
      <c r="AX95" s="9" t="n">
        <v>0</v>
      </c>
      <c r="AZ95" s="9" t="n">
        <v>0</v>
      </c>
      <c r="BA95" s="9" t="n">
        <v>22268.39999999998</v>
      </c>
      <c r="BE95" s="10" t="n">
        <v>46101</v>
      </c>
      <c r="BG95" s="9" t="n">
        <v>0</v>
      </c>
      <c r="BI95" s="9" t="n">
        <v>0</v>
      </c>
      <c r="BJ95" s="9" t="n">
        <v>14288.5</v>
      </c>
      <c r="BN95" s="10" t="n">
        <v>46101</v>
      </c>
      <c r="BP95" s="9" t="n">
        <v>0</v>
      </c>
      <c r="BR95" s="9" t="n">
        <v>0</v>
      </c>
      <c r="BS95" s="9" t="n">
        <v>0</v>
      </c>
      <c r="BW95" s="10" t="n">
        <v>46101</v>
      </c>
      <c r="BY95" s="9" t="n">
        <v>0</v>
      </c>
      <c r="CA95" s="9" t="n">
        <v>0</v>
      </c>
      <c r="CB95" s="9" t="n">
        <v>2829.8</v>
      </c>
      <c r="CF95" s="10" t="n">
        <v>46101</v>
      </c>
      <c r="CH95" s="9" t="n">
        <v>0</v>
      </c>
      <c r="CJ95" s="9" t="n">
        <v>0</v>
      </c>
      <c r="CK95" s="9" t="n">
        <v>0</v>
      </c>
      <c r="CO95" s="10" t="n">
        <v>46101</v>
      </c>
      <c r="CQ95" s="9" t="n">
        <v>0</v>
      </c>
      <c r="CS95" s="9" t="n">
        <v>0</v>
      </c>
      <c r="CT95" s="9" t="n">
        <v>0</v>
      </c>
      <c r="CX95" s="10" t="n">
        <v>46101</v>
      </c>
      <c r="CZ95" s="9" t="n">
        <v>0</v>
      </c>
      <c r="DB95" s="9" t="n">
        <v>0</v>
      </c>
      <c r="DC95" s="9" t="n">
        <v>17440.7</v>
      </c>
      <c r="DG95" s="10" t="n">
        <v>46101</v>
      </c>
      <c r="DI95" s="9" t="n">
        <v>0</v>
      </c>
      <c r="DK95" s="9" t="n">
        <v>0</v>
      </c>
      <c r="DL95" s="9" t="n">
        <v>13918.2</v>
      </c>
      <c r="DP95" s="10" t="n">
        <v>46101</v>
      </c>
      <c r="DR95" s="9" t="n">
        <v>0</v>
      </c>
      <c r="DT95" s="9" t="n">
        <v>0</v>
      </c>
      <c r="DU95" s="9" t="n">
        <v>7150</v>
      </c>
      <c r="DY95" s="10" t="n">
        <v>46101</v>
      </c>
      <c r="EA95" s="9" t="n">
        <v>0</v>
      </c>
      <c r="EC95" s="9" t="n">
        <v>0</v>
      </c>
      <c r="ED95" s="9" t="n">
        <v>2947.3</v>
      </c>
      <c r="EH95" s="10" t="n">
        <v>46101</v>
      </c>
      <c r="EJ95" s="9" t="n">
        <v>0</v>
      </c>
      <c r="EL95" s="9" t="n">
        <v>0</v>
      </c>
      <c r="EM95" s="9" t="n">
        <v>0</v>
      </c>
      <c r="EQ95" s="10" t="n">
        <v>46101</v>
      </c>
      <c r="ES95" s="9" t="n">
        <v>0</v>
      </c>
      <c r="EU95" s="9" t="n">
        <v>0</v>
      </c>
      <c r="EV95" s="9" t="n">
        <v>0</v>
      </c>
      <c r="EZ95" s="10" t="n">
        <v>46101</v>
      </c>
      <c r="FB95" s="9" t="n">
        <v>0</v>
      </c>
      <c r="FD95" s="9" t="n">
        <v>0</v>
      </c>
      <c r="FE95" s="9" t="n">
        <v>0</v>
      </c>
      <c r="FI95" s="10" t="n">
        <v>46101</v>
      </c>
      <c r="FK95" s="9" t="n">
        <v>0</v>
      </c>
      <c r="FM95" s="9" t="n">
        <v>0</v>
      </c>
      <c r="FN95" s="9" t="n">
        <v>0</v>
      </c>
      <c r="FR95" s="10" t="n">
        <v>46101</v>
      </c>
      <c r="FT95" s="9" t="n">
        <v>0</v>
      </c>
      <c r="FV95" s="9" t="n">
        <v>0</v>
      </c>
      <c r="FW95" s="9" t="n">
        <v>3220</v>
      </c>
      <c r="GA95" s="10" t="n">
        <v>46101</v>
      </c>
      <c r="GC95" s="9" t="n">
        <v>0</v>
      </c>
      <c r="GE95" s="9" t="n">
        <v>0</v>
      </c>
      <c r="GF95" s="9" t="n">
        <v>1280</v>
      </c>
      <c r="GJ95" s="10" t="n">
        <v>46101</v>
      </c>
      <c r="GL95" s="9" t="n">
        <v>0</v>
      </c>
      <c r="GN95" s="9" t="n">
        <v>0</v>
      </c>
      <c r="GO95" s="9" t="n">
        <v>5240</v>
      </c>
      <c r="GS95" s="10" t="n">
        <v>46101</v>
      </c>
      <c r="GU95" s="9" t="n">
        <v>0</v>
      </c>
      <c r="GW95" s="9" t="n">
        <v>0</v>
      </c>
      <c r="GX95" s="9" t="n">
        <v>0</v>
      </c>
      <c r="HB95" s="10" t="n">
        <v>46101</v>
      </c>
      <c r="HD95" s="9" t="n">
        <v>0</v>
      </c>
      <c r="HF95" s="9" t="n">
        <v>0</v>
      </c>
      <c r="HG95" s="9" t="n">
        <v>0</v>
      </c>
      <c r="HK95" s="10" t="n">
        <v>46101</v>
      </c>
      <c r="HM95" s="9" t="n">
        <v>0</v>
      </c>
      <c r="HO95" s="9" t="n">
        <v>0</v>
      </c>
      <c r="HP95" s="9" t="n">
        <v>0</v>
      </c>
      <c r="HU95" s="10" t="n">
        <v>46101</v>
      </c>
      <c r="HW95" s="9" t="n">
        <v>0</v>
      </c>
      <c r="HY95" s="9" t="n">
        <v>0</v>
      </c>
      <c r="HZ95" s="9" t="n">
        <v>5120</v>
      </c>
      <c r="ID95" s="10" t="n">
        <v>46101</v>
      </c>
      <c r="IF95" s="9" t="n">
        <v>0</v>
      </c>
      <c r="IH95" s="9" t="n">
        <v>0</v>
      </c>
      <c r="II95" s="9" t="n">
        <v>6540</v>
      </c>
      <c r="IM95" s="10" t="n">
        <v>46101</v>
      </c>
      <c r="IO95" s="9" t="n">
        <v>0</v>
      </c>
      <c r="IQ95" s="9" t="n">
        <v>0</v>
      </c>
      <c r="IR95" s="9" t="n">
        <v>11540</v>
      </c>
      <c r="IV95" s="10" t="n">
        <v>46101</v>
      </c>
      <c r="IX95" s="9" t="n">
        <v>0</v>
      </c>
      <c r="IZ95" s="9" t="n">
        <v>0</v>
      </c>
      <c r="JA95" s="9" t="n">
        <v>15120</v>
      </c>
      <c r="JE95" s="10" t="n">
        <v>46101</v>
      </c>
      <c r="JG95" s="9" t="n">
        <v>0</v>
      </c>
      <c r="JI95" s="9" t="n">
        <v>0</v>
      </c>
      <c r="JJ95" s="9" t="n">
        <v>5040</v>
      </c>
      <c r="JN95" s="10" t="n">
        <v>46101</v>
      </c>
      <c r="JP95" s="9" t="n">
        <v>0</v>
      </c>
      <c r="JR95" s="9" t="n">
        <v>0</v>
      </c>
      <c r="JS95" s="9" t="n">
        <v>9100</v>
      </c>
      <c r="JW95" s="10" t="n">
        <v>46101</v>
      </c>
      <c r="JY95" s="9" t="n">
        <v>0</v>
      </c>
      <c r="KA95" s="9" t="n">
        <v>0</v>
      </c>
      <c r="KB95" s="9" t="n">
        <v>5140</v>
      </c>
      <c r="KF95" s="10" t="n">
        <v>46101</v>
      </c>
      <c r="KH95" s="9" t="n">
        <v>0</v>
      </c>
      <c r="KJ95" s="9" t="n">
        <v>0</v>
      </c>
      <c r="KK95" s="9" t="n">
        <v>9184.5</v>
      </c>
      <c r="KO95" s="10" t="n">
        <v>46101</v>
      </c>
      <c r="KQ95" s="9" t="n">
        <v>0</v>
      </c>
      <c r="KS95" s="9" t="n">
        <v>0</v>
      </c>
      <c r="KT95" s="9" t="n">
        <v>6993</v>
      </c>
      <c r="KX95" s="10" t="n">
        <v>46101</v>
      </c>
      <c r="KZ95" s="9" t="n">
        <v>0</v>
      </c>
      <c r="LB95" s="9" t="n">
        <v>0</v>
      </c>
      <c r="LC95" s="9" t="n">
        <v>0</v>
      </c>
      <c r="LG95" s="10" t="n">
        <v>46101</v>
      </c>
      <c r="LI95" s="9" t="n">
        <v>0</v>
      </c>
      <c r="LK95" s="9" t="n">
        <v>0</v>
      </c>
      <c r="LL95" s="9" t="n">
        <v>0</v>
      </c>
      <c r="LP95" s="10" t="n">
        <v>46101</v>
      </c>
      <c r="LR95" s="9" t="n">
        <v>0</v>
      </c>
      <c r="LT95" s="9" t="n">
        <v>0</v>
      </c>
      <c r="LU95" s="9" t="n">
        <v>0</v>
      </c>
      <c r="LY95" s="10" t="n">
        <v>46101</v>
      </c>
      <c r="MA95" s="9" t="n">
        <v>0</v>
      </c>
      <c r="MC95" s="9" t="n">
        <v>0</v>
      </c>
      <c r="MD95" s="9" t="n">
        <v>0</v>
      </c>
      <c r="MH95" s="10" t="n">
        <v>46101</v>
      </c>
      <c r="MJ95" s="9" t="n">
        <v>0</v>
      </c>
      <c r="ML95" s="9" t="n">
        <v>0</v>
      </c>
      <c r="MM95" s="9" t="n">
        <v>0</v>
      </c>
      <c r="MQ95" s="10" t="n">
        <v>46101</v>
      </c>
      <c r="MS95" s="9" t="n">
        <v>0</v>
      </c>
      <c r="MU95" s="9" t="n">
        <v>0</v>
      </c>
      <c r="MV95" s="9" t="n">
        <v>4623</v>
      </c>
      <c r="MZ95" s="10" t="n">
        <v>46101</v>
      </c>
      <c r="NB95" s="9" t="n">
        <v>0</v>
      </c>
      <c r="ND95" s="9" t="n">
        <v>0</v>
      </c>
      <c r="NE95" s="9" t="n">
        <v>0</v>
      </c>
      <c r="NI95" s="10" t="n">
        <v>46101</v>
      </c>
      <c r="NK95" s="9" t="n">
        <v>0</v>
      </c>
      <c r="NM95" s="9" t="n">
        <v>0</v>
      </c>
      <c r="NN95" s="9" t="n">
        <v>465</v>
      </c>
      <c r="NR95" s="10" t="n">
        <v>46101</v>
      </c>
      <c r="NT95" s="9" t="n">
        <v>0</v>
      </c>
      <c r="NV95" s="9" t="n">
        <v>0</v>
      </c>
      <c r="NW95" s="9" t="n">
        <v>1288.9</v>
      </c>
      <c r="OA95" s="10" t="n">
        <v>46101</v>
      </c>
      <c r="OC95" s="9" t="n">
        <v>0</v>
      </c>
      <c r="OE95" s="9" t="n">
        <v>0</v>
      </c>
      <c r="OF95" s="9" t="n">
        <v>1680.5</v>
      </c>
      <c r="OJ95" s="10" t="n">
        <v>46101</v>
      </c>
      <c r="OL95" s="9" t="n">
        <v>0</v>
      </c>
      <c r="ON95" s="9" t="n">
        <v>0</v>
      </c>
      <c r="OO95" s="9" t="n">
        <v>0</v>
      </c>
      <c r="OS95" s="10" t="n">
        <v>46101</v>
      </c>
      <c r="OU95" s="9" t="n">
        <v>0</v>
      </c>
      <c r="OW95" s="9" t="n">
        <v>0</v>
      </c>
      <c r="OX95" s="9" t="n">
        <v>1000</v>
      </c>
      <c r="PB95" s="10" t="n">
        <v>46101</v>
      </c>
      <c r="PD95" s="9" t="n">
        <v>0</v>
      </c>
      <c r="PF95" s="9" t="n">
        <v>0</v>
      </c>
      <c r="PG95" s="9" t="n">
        <v>0</v>
      </c>
      <c r="PK95" s="10" t="n">
        <v>46101</v>
      </c>
      <c r="PM95" s="9" t="n">
        <v>0</v>
      </c>
      <c r="PO95" s="9" t="n">
        <v>0</v>
      </c>
      <c r="PP95" s="9" t="n">
        <v>100</v>
      </c>
      <c r="PT95" s="10" t="n">
        <v>46101</v>
      </c>
      <c r="PV95" s="9" t="n">
        <v>0</v>
      </c>
      <c r="PX95" s="9" t="n">
        <v>0</v>
      </c>
      <c r="PY95" s="9" t="n">
        <v>13.96000000000004</v>
      </c>
      <c r="QC95" s="10" t="n">
        <v>46101</v>
      </c>
      <c r="QE95" s="9" t="n">
        <v>0</v>
      </c>
      <c r="QG95" s="9" t="n">
        <v>0</v>
      </c>
      <c r="QH95" s="9" t="n">
        <v>1212</v>
      </c>
      <c r="QL95" s="10" t="n">
        <v>46101</v>
      </c>
      <c r="QN95" s="9" t="n">
        <v>0</v>
      </c>
      <c r="QP95" s="9" t="n">
        <v>0</v>
      </c>
      <c r="QQ95" s="9" t="n">
        <v>0</v>
      </c>
      <c r="QU95" s="10" t="n">
        <v>46101</v>
      </c>
      <c r="QW95" s="9" t="n">
        <v>0</v>
      </c>
      <c r="QY95" s="9" t="n">
        <v>0</v>
      </c>
      <c r="QZ95" s="9" t="n">
        <v>207.6</v>
      </c>
      <c r="RD95" s="10" t="n">
        <v>46101</v>
      </c>
      <c r="RF95" s="9" t="n">
        <v>0</v>
      </c>
      <c r="RH95" s="9" t="n">
        <v>0</v>
      </c>
      <c r="RI95" s="9" t="n">
        <v>197.04</v>
      </c>
      <c r="RM95" s="10" t="n">
        <v>46101</v>
      </c>
      <c r="RO95" s="9" t="n">
        <v>0</v>
      </c>
      <c r="RQ95" s="9" t="n">
        <v>0</v>
      </c>
      <c r="RR95" s="9" t="n">
        <v>46.8</v>
      </c>
      <c r="RV95" s="10" t="n">
        <v>46101</v>
      </c>
      <c r="RX95" s="9" t="n">
        <v>0</v>
      </c>
      <c r="RZ95" s="9" t="n">
        <v>0</v>
      </c>
      <c r="SA95" s="9" t="n">
        <v>0</v>
      </c>
      <c r="SE95" s="10" t="n">
        <v>46101</v>
      </c>
      <c r="SG95" s="9" t="n">
        <v>0</v>
      </c>
      <c r="SI95" s="9" t="n">
        <v>0</v>
      </c>
      <c r="SJ95" s="9" t="n">
        <v>0</v>
      </c>
      <c r="SN95" s="10" t="n">
        <v>46101</v>
      </c>
      <c r="SP95" s="9" t="n">
        <v>0</v>
      </c>
      <c r="SR95" s="9" t="n">
        <v>0</v>
      </c>
      <c r="SS95" s="9" t="n">
        <v>0</v>
      </c>
      <c r="SW95" s="10" t="n">
        <v>46101</v>
      </c>
      <c r="SY95" s="9" t="n">
        <v>0</v>
      </c>
      <c r="TA95" s="9" t="n">
        <v>0</v>
      </c>
      <c r="TB95" s="9" t="n">
        <v>0</v>
      </c>
      <c r="TF95" s="10" t="n">
        <v>46101</v>
      </c>
      <c r="TH95" s="9" t="n">
        <v>0</v>
      </c>
      <c r="TJ95" s="9" t="n">
        <v>0</v>
      </c>
      <c r="TK95" s="9" t="n">
        <v>0</v>
      </c>
      <c r="TO95" s="10" t="n">
        <v>46101</v>
      </c>
      <c r="TQ95" s="9" t="n">
        <v>0</v>
      </c>
      <c r="TS95" s="9" t="n">
        <v>0</v>
      </c>
      <c r="TT95" s="9" t="n">
        <v>0</v>
      </c>
      <c r="TX95" s="10" t="n">
        <v>46101</v>
      </c>
      <c r="TZ95" s="9" t="n">
        <v>0</v>
      </c>
      <c r="UB95" s="9" t="n">
        <v>0</v>
      </c>
      <c r="UC95" s="9" t="n">
        <v>0</v>
      </c>
      <c r="UG95" s="10" t="n">
        <v>46101</v>
      </c>
      <c r="UI95" s="9" t="n">
        <v>0</v>
      </c>
      <c r="UK95" s="9" t="n">
        <v>0</v>
      </c>
      <c r="UL95" s="9" t="n">
        <v>0</v>
      </c>
      <c r="UP95" s="10" t="n">
        <v>46101</v>
      </c>
      <c r="UR95" s="9" t="n">
        <v>0</v>
      </c>
      <c r="UT95" s="9" t="n">
        <v>0</v>
      </c>
      <c r="UU95" s="9" t="n">
        <v>0</v>
      </c>
      <c r="UY95" s="10" t="n">
        <v>46101</v>
      </c>
      <c r="VA95" s="9" t="n">
        <v>0</v>
      </c>
      <c r="VC95" s="9" t="n">
        <v>0</v>
      </c>
      <c r="VD95" s="9" t="n">
        <v>41.60000000000002</v>
      </c>
      <c r="VH95" s="10" t="n">
        <v>46101</v>
      </c>
      <c r="VJ95" s="9" t="n">
        <v>0</v>
      </c>
      <c r="VL95" s="9" t="n">
        <v>0</v>
      </c>
      <c r="VM95" s="9" t="n">
        <v>0</v>
      </c>
      <c r="VQ95" s="10" t="n">
        <v>46101</v>
      </c>
      <c r="VS95" s="9" t="n">
        <v>0</v>
      </c>
      <c r="VU95" s="9" t="n">
        <v>0</v>
      </c>
      <c r="VV95" s="9" t="n">
        <v>0</v>
      </c>
      <c r="VZ95" s="10" t="n">
        <v>46101</v>
      </c>
      <c r="WB95" s="9" t="n">
        <v>0</v>
      </c>
      <c r="WD95" s="9" t="n">
        <v>0</v>
      </c>
      <c r="WE95" s="9" t="n">
        <v>0</v>
      </c>
      <c r="WI95" s="10" t="n">
        <v>46101</v>
      </c>
      <c r="WK95" s="9" t="n">
        <v>0</v>
      </c>
      <c r="WM95" s="9" t="n">
        <v>0</v>
      </c>
      <c r="WN95" s="9" t="n">
        <v>5180</v>
      </c>
      <c r="WR95" s="10" t="n">
        <v>46101</v>
      </c>
      <c r="WT95" s="9" t="n">
        <v>0</v>
      </c>
      <c r="WV95" s="9" t="n">
        <v>0</v>
      </c>
      <c r="WW95" s="9" t="n">
        <v>3265</v>
      </c>
      <c r="XA95" s="10" t="n">
        <v>46101</v>
      </c>
      <c r="XC95" s="9" t="n">
        <v>0</v>
      </c>
      <c r="XE95" s="9" t="n">
        <v>0</v>
      </c>
      <c r="XF95" s="9" t="n">
        <v>7142</v>
      </c>
      <c r="XJ95" s="10" t="n">
        <v>46101</v>
      </c>
      <c r="XL95" s="9" t="n">
        <v>0</v>
      </c>
      <c r="XN95" s="9" t="n">
        <v>0</v>
      </c>
      <c r="XO95" s="9" t="n">
        <v>7549</v>
      </c>
      <c r="XS95" s="10" t="n">
        <v>46101</v>
      </c>
      <c r="XU95" s="9" t="n">
        <v>0</v>
      </c>
      <c r="XW95" s="9" t="n">
        <v>0</v>
      </c>
      <c r="XX95" s="9" t="n">
        <v>1901</v>
      </c>
      <c r="YB95" s="10" t="n">
        <v>46101</v>
      </c>
      <c r="YD95" s="9" t="n">
        <v>0</v>
      </c>
      <c r="YF95" s="9" t="n">
        <v>0</v>
      </c>
      <c r="YG95" s="9" t="n">
        <v>6459</v>
      </c>
      <c r="YK95" s="10" t="n">
        <v>46101</v>
      </c>
      <c r="YM95" s="9" t="n">
        <v>0</v>
      </c>
      <c r="YO95" s="9" t="n">
        <v>0</v>
      </c>
      <c r="YP95" s="9" t="n">
        <v>0</v>
      </c>
      <c r="YT95" s="10" t="n">
        <v>46101</v>
      </c>
      <c r="YV95" s="9" t="n">
        <v>0</v>
      </c>
      <c r="YX95" s="9" t="n">
        <v>0</v>
      </c>
      <c r="YY95" s="9" t="n">
        <v>0</v>
      </c>
      <c r="ZC95" s="10" t="n">
        <v>46101</v>
      </c>
      <c r="ZE95" s="9" t="n">
        <v>0</v>
      </c>
      <c r="ZG95" s="9" t="n">
        <v>0</v>
      </c>
      <c r="ZH95" s="9" t="n">
        <v>0</v>
      </c>
      <c r="ZL95" s="10" t="n">
        <v>46101</v>
      </c>
      <c r="ZN95" s="9" t="n">
        <v>0</v>
      </c>
      <c r="ZP95" s="9" t="n">
        <v>0</v>
      </c>
      <c r="ZQ95" s="9" t="n">
        <v>0</v>
      </c>
      <c r="ZU95" s="10" t="n">
        <v>46101</v>
      </c>
      <c r="ZW95" s="9" t="n">
        <v>0</v>
      </c>
      <c r="ZY95" s="9" t="n">
        <v>0</v>
      </c>
      <c r="ZZ95" s="9" t="n">
        <v>0</v>
      </c>
      <c r="AAD95" s="10" t="n">
        <v>46101</v>
      </c>
      <c r="AAF95" s="9" t="n">
        <v>0</v>
      </c>
      <c r="AAH95" s="9" t="n">
        <v>0</v>
      </c>
      <c r="AAI95" s="9" t="n">
        <v>0</v>
      </c>
      <c r="AAM95" s="10" t="n">
        <v>46101</v>
      </c>
      <c r="AAO95" s="9" t="n">
        <v>0</v>
      </c>
      <c r="AAQ95" s="9" t="n">
        <v>0</v>
      </c>
      <c r="AAR95" s="9" t="n">
        <v>0</v>
      </c>
      <c r="AAV95" s="10" t="n">
        <v>46101</v>
      </c>
      <c r="AAX95" s="9" t="n">
        <v>0</v>
      </c>
      <c r="AAZ95" s="9" t="n">
        <v>0</v>
      </c>
      <c r="ABA95" s="9" t="n">
        <v>0</v>
      </c>
      <c r="ABE95" s="10" t="n">
        <v>46101</v>
      </c>
      <c r="ABG95" s="9" t="n">
        <v>0</v>
      </c>
      <c r="ABI95" s="9" t="n">
        <v>0</v>
      </c>
      <c r="ABJ95" s="9" t="n">
        <v>0</v>
      </c>
    </row>
    <row r="96">
      <c r="C96" s="10" t="n">
        <v>46102</v>
      </c>
      <c r="E96" s="9" t="n">
        <v>0</v>
      </c>
      <c r="G96" s="9" t="n">
        <v>0</v>
      </c>
      <c r="H96" s="9" t="n">
        <v>258879.9999999999</v>
      </c>
      <c r="L96" s="10" t="n">
        <v>46102</v>
      </c>
      <c r="N96" s="9" t="n">
        <v>0</v>
      </c>
      <c r="P96" s="9" t="n">
        <v>0</v>
      </c>
      <c r="Q96" s="9" t="n">
        <v>110496.6000000001</v>
      </c>
      <c r="U96" s="10" t="n">
        <v>46102</v>
      </c>
      <c r="W96" s="9" t="n">
        <v>0</v>
      </c>
      <c r="Y96" s="9" t="n">
        <v>0</v>
      </c>
      <c r="Z96" s="9" t="n">
        <v>47285.69999999997</v>
      </c>
      <c r="AD96" s="10" t="n">
        <v>46102</v>
      </c>
      <c r="AF96" s="9" t="n">
        <v>0</v>
      </c>
      <c r="AH96" s="9" t="n">
        <v>0</v>
      </c>
      <c r="AI96" s="9" t="n">
        <v>43301.20000000002</v>
      </c>
      <c r="AM96" s="10" t="n">
        <v>46102</v>
      </c>
      <c r="AO96" s="9" t="n">
        <v>0</v>
      </c>
      <c r="AQ96" s="9" t="n">
        <v>0</v>
      </c>
      <c r="AR96" s="9" t="n">
        <v>0</v>
      </c>
      <c r="AV96" s="10" t="n">
        <v>46102</v>
      </c>
      <c r="AX96" s="9" t="n">
        <v>0</v>
      </c>
      <c r="AZ96" s="9" t="n">
        <v>0</v>
      </c>
      <c r="BA96" s="9" t="n">
        <v>22268.39999999998</v>
      </c>
      <c r="BE96" s="10" t="n">
        <v>46102</v>
      </c>
      <c r="BG96" s="9" t="n">
        <v>0</v>
      </c>
      <c r="BI96" s="9" t="n">
        <v>0</v>
      </c>
      <c r="BJ96" s="9" t="n">
        <v>14288.5</v>
      </c>
      <c r="BN96" s="10" t="n">
        <v>46102</v>
      </c>
      <c r="BP96" s="9" t="n">
        <v>0</v>
      </c>
      <c r="BR96" s="9" t="n">
        <v>0</v>
      </c>
      <c r="BS96" s="9" t="n">
        <v>0</v>
      </c>
      <c r="BW96" s="10" t="n">
        <v>46102</v>
      </c>
      <c r="BY96" s="9" t="n">
        <v>0</v>
      </c>
      <c r="CA96" s="9" t="n">
        <v>0</v>
      </c>
      <c r="CB96" s="9" t="n">
        <v>2829.8</v>
      </c>
      <c r="CF96" s="10" t="n">
        <v>46102</v>
      </c>
      <c r="CH96" s="9" t="n">
        <v>0</v>
      </c>
      <c r="CJ96" s="9" t="n">
        <v>0</v>
      </c>
      <c r="CK96" s="9" t="n">
        <v>0</v>
      </c>
      <c r="CO96" s="10" t="n">
        <v>46102</v>
      </c>
      <c r="CQ96" s="9" t="n">
        <v>0</v>
      </c>
      <c r="CS96" s="9" t="n">
        <v>0</v>
      </c>
      <c r="CT96" s="9" t="n">
        <v>0</v>
      </c>
      <c r="CX96" s="10" t="n">
        <v>46102</v>
      </c>
      <c r="CZ96" s="9" t="n">
        <v>0</v>
      </c>
      <c r="DB96" s="9" t="n">
        <v>0</v>
      </c>
      <c r="DC96" s="9" t="n">
        <v>17440.7</v>
      </c>
      <c r="DG96" s="10" t="n">
        <v>46102</v>
      </c>
      <c r="DI96" s="9" t="n">
        <v>0</v>
      </c>
      <c r="DK96" s="9" t="n">
        <v>0</v>
      </c>
      <c r="DL96" s="9" t="n">
        <v>13918.2</v>
      </c>
      <c r="DP96" s="10" t="n">
        <v>46102</v>
      </c>
      <c r="DR96" s="9" t="n">
        <v>0</v>
      </c>
      <c r="DT96" s="9" t="n">
        <v>0</v>
      </c>
      <c r="DU96" s="9" t="n">
        <v>7150</v>
      </c>
      <c r="DY96" s="10" t="n">
        <v>46102</v>
      </c>
      <c r="EA96" s="9" t="n">
        <v>0</v>
      </c>
      <c r="EC96" s="9" t="n">
        <v>0</v>
      </c>
      <c r="ED96" s="9" t="n">
        <v>2947.3</v>
      </c>
      <c r="EH96" s="10" t="n">
        <v>46102</v>
      </c>
      <c r="EJ96" s="9" t="n">
        <v>0</v>
      </c>
      <c r="EL96" s="9" t="n">
        <v>0</v>
      </c>
      <c r="EM96" s="9" t="n">
        <v>0</v>
      </c>
      <c r="EQ96" s="10" t="n">
        <v>46102</v>
      </c>
      <c r="ES96" s="9" t="n">
        <v>0</v>
      </c>
      <c r="EU96" s="9" t="n">
        <v>0</v>
      </c>
      <c r="EV96" s="9" t="n">
        <v>0</v>
      </c>
      <c r="EZ96" s="10" t="n">
        <v>46102</v>
      </c>
      <c r="FB96" s="9" t="n">
        <v>0</v>
      </c>
      <c r="FD96" s="9" t="n">
        <v>0</v>
      </c>
      <c r="FE96" s="9" t="n">
        <v>0</v>
      </c>
      <c r="FI96" s="10" t="n">
        <v>46102</v>
      </c>
      <c r="FK96" s="9" t="n">
        <v>0</v>
      </c>
      <c r="FM96" s="9" t="n">
        <v>0</v>
      </c>
      <c r="FN96" s="9" t="n">
        <v>0</v>
      </c>
      <c r="FR96" s="10" t="n">
        <v>46102</v>
      </c>
      <c r="FT96" s="9" t="n">
        <v>0</v>
      </c>
      <c r="FV96" s="9" t="n">
        <v>0</v>
      </c>
      <c r="FW96" s="9" t="n">
        <v>3220</v>
      </c>
      <c r="GA96" s="10" t="n">
        <v>46102</v>
      </c>
      <c r="GC96" s="9" t="n">
        <v>0</v>
      </c>
      <c r="GE96" s="9" t="n">
        <v>0</v>
      </c>
      <c r="GF96" s="9" t="n">
        <v>1280</v>
      </c>
      <c r="GJ96" s="10" t="n">
        <v>46102</v>
      </c>
      <c r="GL96" s="9" t="n">
        <v>0</v>
      </c>
      <c r="GN96" s="9" t="n">
        <v>0</v>
      </c>
      <c r="GO96" s="9" t="n">
        <v>5240</v>
      </c>
      <c r="GS96" s="10" t="n">
        <v>46102</v>
      </c>
      <c r="GU96" s="9" t="n">
        <v>0</v>
      </c>
      <c r="GW96" s="9" t="n">
        <v>0</v>
      </c>
      <c r="GX96" s="9" t="n">
        <v>0</v>
      </c>
      <c r="HB96" s="10" t="n">
        <v>46102</v>
      </c>
      <c r="HD96" s="9" t="n">
        <v>0</v>
      </c>
      <c r="HF96" s="9" t="n">
        <v>0</v>
      </c>
      <c r="HG96" s="9" t="n">
        <v>0</v>
      </c>
      <c r="HK96" s="10" t="n">
        <v>46102</v>
      </c>
      <c r="HM96" s="9" t="n">
        <v>0</v>
      </c>
      <c r="HO96" s="9" t="n">
        <v>0</v>
      </c>
      <c r="HP96" s="9" t="n">
        <v>0</v>
      </c>
      <c r="HU96" s="10" t="n">
        <v>46102</v>
      </c>
      <c r="HW96" s="9" t="n">
        <v>0</v>
      </c>
      <c r="HY96" s="9" t="n">
        <v>0</v>
      </c>
      <c r="HZ96" s="9" t="n">
        <v>5120</v>
      </c>
      <c r="ID96" s="10" t="n">
        <v>46102</v>
      </c>
      <c r="IF96" s="9" t="n">
        <v>0</v>
      </c>
      <c r="IH96" s="9" t="n">
        <v>0</v>
      </c>
      <c r="II96" s="9" t="n">
        <v>6540</v>
      </c>
      <c r="IM96" s="10" t="n">
        <v>46102</v>
      </c>
      <c r="IO96" s="9" t="n">
        <v>0</v>
      </c>
      <c r="IQ96" s="9" t="n">
        <v>0</v>
      </c>
      <c r="IR96" s="9" t="n">
        <v>11540</v>
      </c>
      <c r="IV96" s="10" t="n">
        <v>46102</v>
      </c>
      <c r="IX96" s="9" t="n">
        <v>0</v>
      </c>
      <c r="IZ96" s="9" t="n">
        <v>0</v>
      </c>
      <c r="JA96" s="9" t="n">
        <v>15120</v>
      </c>
      <c r="JE96" s="10" t="n">
        <v>46102</v>
      </c>
      <c r="JG96" s="9" t="n">
        <v>0</v>
      </c>
      <c r="JI96" s="9" t="n">
        <v>0</v>
      </c>
      <c r="JJ96" s="9" t="n">
        <v>5040</v>
      </c>
      <c r="JN96" s="10" t="n">
        <v>46102</v>
      </c>
      <c r="JP96" s="9" t="n">
        <v>0</v>
      </c>
      <c r="JR96" s="9" t="n">
        <v>0</v>
      </c>
      <c r="JS96" s="9" t="n">
        <v>9100</v>
      </c>
      <c r="JW96" s="10" t="n">
        <v>46102</v>
      </c>
      <c r="JY96" s="9" t="n">
        <v>0</v>
      </c>
      <c r="KA96" s="9" t="n">
        <v>0</v>
      </c>
      <c r="KB96" s="9" t="n">
        <v>5140</v>
      </c>
      <c r="KF96" s="10" t="n">
        <v>46102</v>
      </c>
      <c r="KH96" s="9" t="n">
        <v>0</v>
      </c>
      <c r="KJ96" s="9" t="n">
        <v>0</v>
      </c>
      <c r="KK96" s="9" t="n">
        <v>9184.5</v>
      </c>
      <c r="KO96" s="10" t="n">
        <v>46102</v>
      </c>
      <c r="KQ96" s="9" t="n">
        <v>0</v>
      </c>
      <c r="KS96" s="9" t="n">
        <v>0</v>
      </c>
      <c r="KT96" s="9" t="n">
        <v>6993</v>
      </c>
      <c r="KX96" s="10" t="n">
        <v>46102</v>
      </c>
      <c r="KZ96" s="9" t="n">
        <v>0</v>
      </c>
      <c r="LB96" s="9" t="n">
        <v>0</v>
      </c>
      <c r="LC96" s="9" t="n">
        <v>0</v>
      </c>
      <c r="LG96" s="10" t="n">
        <v>46102</v>
      </c>
      <c r="LI96" s="9" t="n">
        <v>0</v>
      </c>
      <c r="LK96" s="9" t="n">
        <v>0</v>
      </c>
      <c r="LL96" s="9" t="n">
        <v>0</v>
      </c>
      <c r="LP96" s="10" t="n">
        <v>46102</v>
      </c>
      <c r="LR96" s="9" t="n">
        <v>0</v>
      </c>
      <c r="LT96" s="9" t="n">
        <v>0</v>
      </c>
      <c r="LU96" s="9" t="n">
        <v>0</v>
      </c>
      <c r="LY96" s="10" t="n">
        <v>46102</v>
      </c>
      <c r="MA96" s="9" t="n">
        <v>0</v>
      </c>
      <c r="MC96" s="9" t="n">
        <v>0</v>
      </c>
      <c r="MD96" s="9" t="n">
        <v>0</v>
      </c>
      <c r="MH96" s="10" t="n">
        <v>46102</v>
      </c>
      <c r="MJ96" s="9" t="n">
        <v>0</v>
      </c>
      <c r="ML96" s="9" t="n">
        <v>0</v>
      </c>
      <c r="MM96" s="9" t="n">
        <v>0</v>
      </c>
      <c r="MQ96" s="10" t="n">
        <v>46102</v>
      </c>
      <c r="MS96" s="9" t="n">
        <v>0</v>
      </c>
      <c r="MU96" s="9" t="n">
        <v>0</v>
      </c>
      <c r="MV96" s="9" t="n">
        <v>4623</v>
      </c>
      <c r="MZ96" s="10" t="n">
        <v>46102</v>
      </c>
      <c r="NB96" s="9" t="n">
        <v>0</v>
      </c>
      <c r="ND96" s="9" t="n">
        <v>0</v>
      </c>
      <c r="NE96" s="9" t="n">
        <v>0</v>
      </c>
      <c r="NI96" s="10" t="n">
        <v>46102</v>
      </c>
      <c r="NK96" s="9" t="n">
        <v>0</v>
      </c>
      <c r="NM96" s="9" t="n">
        <v>0</v>
      </c>
      <c r="NN96" s="9" t="n">
        <v>465</v>
      </c>
      <c r="NR96" s="10" t="n">
        <v>46102</v>
      </c>
      <c r="NT96" s="9" t="n">
        <v>0</v>
      </c>
      <c r="NV96" s="9" t="n">
        <v>0</v>
      </c>
      <c r="NW96" s="9" t="n">
        <v>1288.9</v>
      </c>
      <c r="OA96" s="10" t="n">
        <v>46102</v>
      </c>
      <c r="OC96" s="9" t="n">
        <v>0</v>
      </c>
      <c r="OE96" s="9" t="n">
        <v>0</v>
      </c>
      <c r="OF96" s="9" t="n">
        <v>1680.5</v>
      </c>
      <c r="OJ96" s="10" t="n">
        <v>46102</v>
      </c>
      <c r="OL96" s="9" t="n">
        <v>0</v>
      </c>
      <c r="ON96" s="9" t="n">
        <v>0</v>
      </c>
      <c r="OO96" s="9" t="n">
        <v>0</v>
      </c>
      <c r="OS96" s="10" t="n">
        <v>46102</v>
      </c>
      <c r="OU96" s="9" t="n">
        <v>0</v>
      </c>
      <c r="OW96" s="9" t="n">
        <v>0</v>
      </c>
      <c r="OX96" s="9" t="n">
        <v>1000</v>
      </c>
      <c r="PB96" s="10" t="n">
        <v>46102</v>
      </c>
      <c r="PD96" s="9" t="n">
        <v>0</v>
      </c>
      <c r="PF96" s="9" t="n">
        <v>0</v>
      </c>
      <c r="PG96" s="9" t="n">
        <v>0</v>
      </c>
      <c r="PK96" s="10" t="n">
        <v>46102</v>
      </c>
      <c r="PM96" s="9" t="n">
        <v>0</v>
      </c>
      <c r="PO96" s="9" t="n">
        <v>0</v>
      </c>
      <c r="PP96" s="9" t="n">
        <v>100</v>
      </c>
      <c r="PT96" s="10" t="n">
        <v>46102</v>
      </c>
      <c r="PV96" s="9" t="n">
        <v>0</v>
      </c>
      <c r="PX96" s="9" t="n">
        <v>0</v>
      </c>
      <c r="PY96" s="9" t="n">
        <v>13.96000000000004</v>
      </c>
      <c r="QC96" s="10" t="n">
        <v>46102</v>
      </c>
      <c r="QE96" s="9" t="n">
        <v>0</v>
      </c>
      <c r="QG96" s="9" t="n">
        <v>0</v>
      </c>
      <c r="QH96" s="9" t="n">
        <v>1212</v>
      </c>
      <c r="QL96" s="10" t="n">
        <v>46102</v>
      </c>
      <c r="QN96" s="9" t="n">
        <v>0</v>
      </c>
      <c r="QP96" s="9" t="n">
        <v>0</v>
      </c>
      <c r="QQ96" s="9" t="n">
        <v>0</v>
      </c>
      <c r="QU96" s="10" t="n">
        <v>46102</v>
      </c>
      <c r="QW96" s="9" t="n">
        <v>0</v>
      </c>
      <c r="QY96" s="9" t="n">
        <v>0</v>
      </c>
      <c r="QZ96" s="9" t="n">
        <v>207.6</v>
      </c>
      <c r="RD96" s="10" t="n">
        <v>46102</v>
      </c>
      <c r="RF96" s="9" t="n">
        <v>0</v>
      </c>
      <c r="RH96" s="9" t="n">
        <v>0</v>
      </c>
      <c r="RI96" s="9" t="n">
        <v>197.04</v>
      </c>
      <c r="RM96" s="10" t="n">
        <v>46102</v>
      </c>
      <c r="RO96" s="9" t="n">
        <v>0</v>
      </c>
      <c r="RQ96" s="9" t="n">
        <v>0</v>
      </c>
      <c r="RR96" s="9" t="n">
        <v>46.8</v>
      </c>
      <c r="RV96" s="10" t="n">
        <v>46102</v>
      </c>
      <c r="RX96" s="9" t="n">
        <v>0</v>
      </c>
      <c r="RZ96" s="9" t="n">
        <v>0</v>
      </c>
      <c r="SA96" s="9" t="n">
        <v>0</v>
      </c>
      <c r="SE96" s="10" t="n">
        <v>46102</v>
      </c>
      <c r="SG96" s="9" t="n">
        <v>0</v>
      </c>
      <c r="SI96" s="9" t="n">
        <v>0</v>
      </c>
      <c r="SJ96" s="9" t="n">
        <v>0</v>
      </c>
      <c r="SN96" s="10" t="n">
        <v>46102</v>
      </c>
      <c r="SP96" s="9" t="n">
        <v>0</v>
      </c>
      <c r="SR96" s="9" t="n">
        <v>0</v>
      </c>
      <c r="SS96" s="9" t="n">
        <v>0</v>
      </c>
      <c r="SW96" s="10" t="n">
        <v>46102</v>
      </c>
      <c r="SY96" s="9" t="n">
        <v>0</v>
      </c>
      <c r="TA96" s="9" t="n">
        <v>0</v>
      </c>
      <c r="TB96" s="9" t="n">
        <v>0</v>
      </c>
      <c r="TF96" s="10" t="n">
        <v>46102</v>
      </c>
      <c r="TH96" s="9" t="n">
        <v>0</v>
      </c>
      <c r="TJ96" s="9" t="n">
        <v>0</v>
      </c>
      <c r="TK96" s="9" t="n">
        <v>0</v>
      </c>
      <c r="TO96" s="10" t="n">
        <v>46102</v>
      </c>
      <c r="TQ96" s="9" t="n">
        <v>0</v>
      </c>
      <c r="TS96" s="9" t="n">
        <v>0</v>
      </c>
      <c r="TT96" s="9" t="n">
        <v>0</v>
      </c>
      <c r="TX96" s="10" t="n">
        <v>46102</v>
      </c>
      <c r="TZ96" s="9" t="n">
        <v>0</v>
      </c>
      <c r="UB96" s="9" t="n">
        <v>0</v>
      </c>
      <c r="UC96" s="9" t="n">
        <v>0</v>
      </c>
      <c r="UG96" s="10" t="n">
        <v>46102</v>
      </c>
      <c r="UI96" s="9" t="n">
        <v>0</v>
      </c>
      <c r="UK96" s="9" t="n">
        <v>0</v>
      </c>
      <c r="UL96" s="9" t="n">
        <v>0</v>
      </c>
      <c r="UP96" s="10" t="n">
        <v>46102</v>
      </c>
      <c r="UR96" s="9" t="n">
        <v>0</v>
      </c>
      <c r="UT96" s="9" t="n">
        <v>0</v>
      </c>
      <c r="UU96" s="9" t="n">
        <v>0</v>
      </c>
      <c r="UY96" s="10" t="n">
        <v>46102</v>
      </c>
      <c r="VA96" s="9" t="n">
        <v>0</v>
      </c>
      <c r="VC96" s="9" t="n">
        <v>0</v>
      </c>
      <c r="VD96" s="9" t="n">
        <v>41.60000000000002</v>
      </c>
      <c r="VH96" s="10" t="n">
        <v>46102</v>
      </c>
      <c r="VJ96" s="9" t="n">
        <v>0</v>
      </c>
      <c r="VL96" s="9" t="n">
        <v>0</v>
      </c>
      <c r="VM96" s="9" t="n">
        <v>0</v>
      </c>
      <c r="VQ96" s="10" t="n">
        <v>46102</v>
      </c>
      <c r="VS96" s="9" t="n">
        <v>0</v>
      </c>
      <c r="VU96" s="9" t="n">
        <v>0</v>
      </c>
      <c r="VV96" s="9" t="n">
        <v>0</v>
      </c>
      <c r="VZ96" s="10" t="n">
        <v>46102</v>
      </c>
      <c r="WB96" s="9" t="n">
        <v>0</v>
      </c>
      <c r="WD96" s="9" t="n">
        <v>0</v>
      </c>
      <c r="WE96" s="9" t="n">
        <v>0</v>
      </c>
      <c r="WI96" s="10" t="n">
        <v>46102</v>
      </c>
      <c r="WK96" s="9" t="n">
        <v>0</v>
      </c>
      <c r="WM96" s="9" t="n">
        <v>0</v>
      </c>
      <c r="WN96" s="9" t="n">
        <v>5180</v>
      </c>
      <c r="WR96" s="10" t="n">
        <v>46102</v>
      </c>
      <c r="WT96" s="9" t="n">
        <v>0</v>
      </c>
      <c r="WV96" s="9" t="n">
        <v>0</v>
      </c>
      <c r="WW96" s="9" t="n">
        <v>3265</v>
      </c>
      <c r="XA96" s="10" t="n">
        <v>46102</v>
      </c>
      <c r="XC96" s="9" t="n">
        <v>0</v>
      </c>
      <c r="XE96" s="9" t="n">
        <v>0</v>
      </c>
      <c r="XF96" s="9" t="n">
        <v>7142</v>
      </c>
      <c r="XJ96" s="10" t="n">
        <v>46102</v>
      </c>
      <c r="XL96" s="9" t="n">
        <v>0</v>
      </c>
      <c r="XN96" s="9" t="n">
        <v>0</v>
      </c>
      <c r="XO96" s="9" t="n">
        <v>7549</v>
      </c>
      <c r="XS96" s="10" t="n">
        <v>46102</v>
      </c>
      <c r="XU96" s="9" t="n">
        <v>0</v>
      </c>
      <c r="XW96" s="9" t="n">
        <v>0</v>
      </c>
      <c r="XX96" s="9" t="n">
        <v>1901</v>
      </c>
      <c r="YB96" s="10" t="n">
        <v>46102</v>
      </c>
      <c r="YD96" s="9" t="n">
        <v>0</v>
      </c>
      <c r="YF96" s="9" t="n">
        <v>0</v>
      </c>
      <c r="YG96" s="9" t="n">
        <v>6459</v>
      </c>
      <c r="YK96" s="10" t="n">
        <v>46102</v>
      </c>
      <c r="YM96" s="9" t="n">
        <v>0</v>
      </c>
      <c r="YO96" s="9" t="n">
        <v>0</v>
      </c>
      <c r="YP96" s="9" t="n">
        <v>0</v>
      </c>
      <c r="YT96" s="10" t="n">
        <v>46102</v>
      </c>
      <c r="YV96" s="9" t="n">
        <v>0</v>
      </c>
      <c r="YX96" s="9" t="n">
        <v>0</v>
      </c>
      <c r="YY96" s="9" t="n">
        <v>0</v>
      </c>
      <c r="ZC96" s="10" t="n">
        <v>46102</v>
      </c>
      <c r="ZE96" s="9" t="n">
        <v>0</v>
      </c>
      <c r="ZG96" s="9" t="n">
        <v>0</v>
      </c>
      <c r="ZH96" s="9" t="n">
        <v>0</v>
      </c>
      <c r="ZL96" s="10" t="n">
        <v>46102</v>
      </c>
      <c r="ZN96" s="9" t="n">
        <v>0</v>
      </c>
      <c r="ZP96" s="9" t="n">
        <v>0</v>
      </c>
      <c r="ZQ96" s="9" t="n">
        <v>0</v>
      </c>
      <c r="ZU96" s="10" t="n">
        <v>46102</v>
      </c>
      <c r="ZW96" s="9" t="n">
        <v>0</v>
      </c>
      <c r="ZY96" s="9" t="n">
        <v>0</v>
      </c>
      <c r="ZZ96" s="9" t="n">
        <v>0</v>
      </c>
      <c r="AAD96" s="10" t="n">
        <v>46102</v>
      </c>
      <c r="AAF96" s="9" t="n">
        <v>0</v>
      </c>
      <c r="AAH96" s="9" t="n">
        <v>0</v>
      </c>
      <c r="AAI96" s="9" t="n">
        <v>0</v>
      </c>
      <c r="AAM96" s="10" t="n">
        <v>46102</v>
      </c>
      <c r="AAO96" s="9" t="n">
        <v>0</v>
      </c>
      <c r="AAQ96" s="9" t="n">
        <v>0</v>
      </c>
      <c r="AAR96" s="9" t="n">
        <v>0</v>
      </c>
      <c r="AAV96" s="10" t="n">
        <v>46102</v>
      </c>
      <c r="AAX96" s="9" t="n">
        <v>0</v>
      </c>
      <c r="AAZ96" s="9" t="n">
        <v>0</v>
      </c>
      <c r="ABA96" s="9" t="n">
        <v>0</v>
      </c>
      <c r="ABE96" s="10" t="n">
        <v>46102</v>
      </c>
      <c r="ABG96" s="9" t="n">
        <v>0</v>
      </c>
      <c r="ABI96" s="9" t="n">
        <v>0</v>
      </c>
      <c r="ABJ96" s="9" t="n">
        <v>0</v>
      </c>
    </row>
    <row r="97">
      <c r="C97" s="10" t="n">
        <v>46103</v>
      </c>
      <c r="E97" s="9" t="n">
        <v>0</v>
      </c>
      <c r="G97" s="9" t="n">
        <v>0</v>
      </c>
      <c r="H97" s="9" t="n">
        <v>258879.9999999999</v>
      </c>
      <c r="L97" s="10" t="n">
        <v>46103</v>
      </c>
      <c r="N97" s="9" t="n">
        <v>0</v>
      </c>
      <c r="P97" s="9" t="n">
        <v>0</v>
      </c>
      <c r="Q97" s="9" t="n">
        <v>110496.6000000001</v>
      </c>
      <c r="U97" s="10" t="n">
        <v>46103</v>
      </c>
      <c r="W97" s="9" t="n">
        <v>0</v>
      </c>
      <c r="Y97" s="9" t="n">
        <v>0</v>
      </c>
      <c r="Z97" s="9" t="n">
        <v>47285.69999999997</v>
      </c>
      <c r="AD97" s="10" t="n">
        <v>46103</v>
      </c>
      <c r="AF97" s="9" t="n">
        <v>0</v>
      </c>
      <c r="AH97" s="9" t="n">
        <v>0</v>
      </c>
      <c r="AI97" s="9" t="n">
        <v>43301.20000000002</v>
      </c>
      <c r="AM97" s="10" t="n">
        <v>46103</v>
      </c>
      <c r="AO97" s="9" t="n">
        <v>0</v>
      </c>
      <c r="AQ97" s="9" t="n">
        <v>0</v>
      </c>
      <c r="AR97" s="9" t="n">
        <v>0</v>
      </c>
      <c r="AV97" s="10" t="n">
        <v>46103</v>
      </c>
      <c r="AX97" s="9" t="n">
        <v>0</v>
      </c>
      <c r="AZ97" s="9" t="n">
        <v>0</v>
      </c>
      <c r="BA97" s="9" t="n">
        <v>22268.39999999998</v>
      </c>
      <c r="BE97" s="10" t="n">
        <v>46103</v>
      </c>
      <c r="BG97" s="9" t="n">
        <v>0</v>
      </c>
      <c r="BI97" s="9" t="n">
        <v>0</v>
      </c>
      <c r="BJ97" s="9" t="n">
        <v>14288.5</v>
      </c>
      <c r="BN97" s="10" t="n">
        <v>46103</v>
      </c>
      <c r="BP97" s="9" t="n">
        <v>0</v>
      </c>
      <c r="BR97" s="9" t="n">
        <v>0</v>
      </c>
      <c r="BS97" s="9" t="n">
        <v>0</v>
      </c>
      <c r="BW97" s="10" t="n">
        <v>46103</v>
      </c>
      <c r="BY97" s="9" t="n">
        <v>0</v>
      </c>
      <c r="CA97" s="9" t="n">
        <v>0</v>
      </c>
      <c r="CB97" s="9" t="n">
        <v>2829.8</v>
      </c>
      <c r="CF97" s="10" t="n">
        <v>46103</v>
      </c>
      <c r="CH97" s="9" t="n">
        <v>0</v>
      </c>
      <c r="CJ97" s="9" t="n">
        <v>0</v>
      </c>
      <c r="CK97" s="9" t="n">
        <v>0</v>
      </c>
      <c r="CO97" s="10" t="n">
        <v>46103</v>
      </c>
      <c r="CQ97" s="9" t="n">
        <v>0</v>
      </c>
      <c r="CS97" s="9" t="n">
        <v>0</v>
      </c>
      <c r="CT97" s="9" t="n">
        <v>0</v>
      </c>
      <c r="CX97" s="10" t="n">
        <v>46103</v>
      </c>
      <c r="CZ97" s="9" t="n">
        <v>0</v>
      </c>
      <c r="DB97" s="9" t="n">
        <v>0</v>
      </c>
      <c r="DC97" s="9" t="n">
        <v>17440.7</v>
      </c>
      <c r="DG97" s="10" t="n">
        <v>46103</v>
      </c>
      <c r="DI97" s="9" t="n">
        <v>0</v>
      </c>
      <c r="DK97" s="9" t="n">
        <v>0</v>
      </c>
      <c r="DL97" s="9" t="n">
        <v>13918.2</v>
      </c>
      <c r="DP97" s="10" t="n">
        <v>46103</v>
      </c>
      <c r="DR97" s="9" t="n">
        <v>0</v>
      </c>
      <c r="DT97" s="9" t="n">
        <v>0</v>
      </c>
      <c r="DU97" s="9" t="n">
        <v>7150</v>
      </c>
      <c r="DY97" s="10" t="n">
        <v>46103</v>
      </c>
      <c r="EA97" s="9" t="n">
        <v>0</v>
      </c>
      <c r="EC97" s="9" t="n">
        <v>0</v>
      </c>
      <c r="ED97" s="9" t="n">
        <v>2947.3</v>
      </c>
      <c r="EH97" s="10" t="n">
        <v>46103</v>
      </c>
      <c r="EJ97" s="9" t="n">
        <v>0</v>
      </c>
      <c r="EL97" s="9" t="n">
        <v>0</v>
      </c>
      <c r="EM97" s="9" t="n">
        <v>0</v>
      </c>
      <c r="EQ97" s="10" t="n">
        <v>46103</v>
      </c>
      <c r="ES97" s="9" t="n">
        <v>0</v>
      </c>
      <c r="EU97" s="9" t="n">
        <v>0</v>
      </c>
      <c r="EV97" s="9" t="n">
        <v>0</v>
      </c>
      <c r="EZ97" s="10" t="n">
        <v>46103</v>
      </c>
      <c r="FB97" s="9" t="n">
        <v>0</v>
      </c>
      <c r="FD97" s="9" t="n">
        <v>0</v>
      </c>
      <c r="FE97" s="9" t="n">
        <v>0</v>
      </c>
      <c r="FI97" s="10" t="n">
        <v>46103</v>
      </c>
      <c r="FK97" s="9" t="n">
        <v>0</v>
      </c>
      <c r="FM97" s="9" t="n">
        <v>0</v>
      </c>
      <c r="FN97" s="9" t="n">
        <v>0</v>
      </c>
      <c r="FR97" s="10" t="n">
        <v>46103</v>
      </c>
      <c r="FT97" s="9" t="n">
        <v>0</v>
      </c>
      <c r="FV97" s="9" t="n">
        <v>0</v>
      </c>
      <c r="FW97" s="9" t="n">
        <v>3220</v>
      </c>
      <c r="GA97" s="10" t="n">
        <v>46103</v>
      </c>
      <c r="GC97" s="9" t="n">
        <v>0</v>
      </c>
      <c r="GE97" s="9" t="n">
        <v>0</v>
      </c>
      <c r="GF97" s="9" t="n">
        <v>1280</v>
      </c>
      <c r="GJ97" s="10" t="n">
        <v>46103</v>
      </c>
      <c r="GL97" s="9" t="n">
        <v>0</v>
      </c>
      <c r="GN97" s="9" t="n">
        <v>0</v>
      </c>
      <c r="GO97" s="9" t="n">
        <v>5240</v>
      </c>
      <c r="GS97" s="10" t="n">
        <v>46103</v>
      </c>
      <c r="GU97" s="9" t="n">
        <v>0</v>
      </c>
      <c r="GW97" s="9" t="n">
        <v>0</v>
      </c>
      <c r="GX97" s="9" t="n">
        <v>0</v>
      </c>
      <c r="HB97" s="10" t="n">
        <v>46103</v>
      </c>
      <c r="HD97" s="9" t="n">
        <v>0</v>
      </c>
      <c r="HF97" s="9" t="n">
        <v>0</v>
      </c>
      <c r="HG97" s="9" t="n">
        <v>0</v>
      </c>
      <c r="HK97" s="10" t="n">
        <v>46103</v>
      </c>
      <c r="HM97" s="9" t="n">
        <v>0</v>
      </c>
      <c r="HO97" s="9" t="n">
        <v>0</v>
      </c>
      <c r="HP97" s="9" t="n">
        <v>0</v>
      </c>
      <c r="HU97" s="10" t="n">
        <v>46103</v>
      </c>
      <c r="HW97" s="9" t="n">
        <v>0</v>
      </c>
      <c r="HY97" s="9" t="n">
        <v>0</v>
      </c>
      <c r="HZ97" s="9" t="n">
        <v>5120</v>
      </c>
      <c r="ID97" s="10" t="n">
        <v>46103</v>
      </c>
      <c r="IF97" s="9" t="n">
        <v>0</v>
      </c>
      <c r="IH97" s="9" t="n">
        <v>0</v>
      </c>
      <c r="II97" s="9" t="n">
        <v>6540</v>
      </c>
      <c r="IM97" s="10" t="n">
        <v>46103</v>
      </c>
      <c r="IO97" s="9" t="n">
        <v>0</v>
      </c>
      <c r="IQ97" s="9" t="n">
        <v>0</v>
      </c>
      <c r="IR97" s="9" t="n">
        <v>11540</v>
      </c>
      <c r="IV97" s="10" t="n">
        <v>46103</v>
      </c>
      <c r="IX97" s="9" t="n">
        <v>0</v>
      </c>
      <c r="IZ97" s="9" t="n">
        <v>0</v>
      </c>
      <c r="JA97" s="9" t="n">
        <v>15120</v>
      </c>
      <c r="JE97" s="10" t="n">
        <v>46103</v>
      </c>
      <c r="JG97" s="9" t="n">
        <v>0</v>
      </c>
      <c r="JI97" s="9" t="n">
        <v>0</v>
      </c>
      <c r="JJ97" s="9" t="n">
        <v>5040</v>
      </c>
      <c r="JN97" s="10" t="n">
        <v>46103</v>
      </c>
      <c r="JP97" s="9" t="n">
        <v>0</v>
      </c>
      <c r="JR97" s="9" t="n">
        <v>0</v>
      </c>
      <c r="JS97" s="9" t="n">
        <v>9100</v>
      </c>
      <c r="JW97" s="10" t="n">
        <v>46103</v>
      </c>
      <c r="JY97" s="9" t="n">
        <v>0</v>
      </c>
      <c r="KA97" s="9" t="n">
        <v>0</v>
      </c>
      <c r="KB97" s="9" t="n">
        <v>5140</v>
      </c>
      <c r="KF97" s="10" t="n">
        <v>46103</v>
      </c>
      <c r="KH97" s="9" t="n">
        <v>0</v>
      </c>
      <c r="KJ97" s="9" t="n">
        <v>0</v>
      </c>
      <c r="KK97" s="9" t="n">
        <v>9184.5</v>
      </c>
      <c r="KO97" s="10" t="n">
        <v>46103</v>
      </c>
      <c r="KQ97" s="9" t="n">
        <v>0</v>
      </c>
      <c r="KS97" s="9" t="n">
        <v>0</v>
      </c>
      <c r="KT97" s="9" t="n">
        <v>6993</v>
      </c>
      <c r="KX97" s="10" t="n">
        <v>46103</v>
      </c>
      <c r="KZ97" s="9" t="n">
        <v>0</v>
      </c>
      <c r="LB97" s="9" t="n">
        <v>0</v>
      </c>
      <c r="LC97" s="9" t="n">
        <v>0</v>
      </c>
      <c r="LG97" s="10" t="n">
        <v>46103</v>
      </c>
      <c r="LI97" s="9" t="n">
        <v>0</v>
      </c>
      <c r="LK97" s="9" t="n">
        <v>0</v>
      </c>
      <c r="LL97" s="9" t="n">
        <v>0</v>
      </c>
      <c r="LP97" s="10" t="n">
        <v>46103</v>
      </c>
      <c r="LR97" s="9" t="n">
        <v>0</v>
      </c>
      <c r="LT97" s="9" t="n">
        <v>0</v>
      </c>
      <c r="LU97" s="9" t="n">
        <v>0</v>
      </c>
      <c r="LY97" s="10" t="n">
        <v>46103</v>
      </c>
      <c r="MA97" s="9" t="n">
        <v>0</v>
      </c>
      <c r="MC97" s="9" t="n">
        <v>0</v>
      </c>
      <c r="MD97" s="9" t="n">
        <v>0</v>
      </c>
      <c r="MH97" s="10" t="n">
        <v>46103</v>
      </c>
      <c r="MJ97" s="9" t="n">
        <v>0</v>
      </c>
      <c r="ML97" s="9" t="n">
        <v>0</v>
      </c>
      <c r="MM97" s="9" t="n">
        <v>0</v>
      </c>
      <c r="MQ97" s="10" t="n">
        <v>46103</v>
      </c>
      <c r="MS97" s="9" t="n">
        <v>0</v>
      </c>
      <c r="MU97" s="9" t="n">
        <v>0</v>
      </c>
      <c r="MV97" s="9" t="n">
        <v>4623</v>
      </c>
      <c r="MZ97" s="10" t="n">
        <v>46103</v>
      </c>
      <c r="NB97" s="9" t="n">
        <v>0</v>
      </c>
      <c r="ND97" s="9" t="n">
        <v>0</v>
      </c>
      <c r="NE97" s="9" t="n">
        <v>0</v>
      </c>
      <c r="NI97" s="10" t="n">
        <v>46103</v>
      </c>
      <c r="NK97" s="9" t="n">
        <v>0</v>
      </c>
      <c r="NM97" s="9" t="n">
        <v>0</v>
      </c>
      <c r="NN97" s="9" t="n">
        <v>465</v>
      </c>
      <c r="NR97" s="10" t="n">
        <v>46103</v>
      </c>
      <c r="NT97" s="9" t="n">
        <v>0</v>
      </c>
      <c r="NV97" s="9" t="n">
        <v>0</v>
      </c>
      <c r="NW97" s="9" t="n">
        <v>1288.9</v>
      </c>
      <c r="OA97" s="10" t="n">
        <v>46103</v>
      </c>
      <c r="OC97" s="9" t="n">
        <v>0</v>
      </c>
      <c r="OE97" s="9" t="n">
        <v>0</v>
      </c>
      <c r="OF97" s="9" t="n">
        <v>1680.5</v>
      </c>
      <c r="OJ97" s="10" t="n">
        <v>46103</v>
      </c>
      <c r="OL97" s="9" t="n">
        <v>0</v>
      </c>
      <c r="ON97" s="9" t="n">
        <v>0</v>
      </c>
      <c r="OO97" s="9" t="n">
        <v>0</v>
      </c>
      <c r="OS97" s="10" t="n">
        <v>46103</v>
      </c>
      <c r="OU97" s="9" t="n">
        <v>0</v>
      </c>
      <c r="OW97" s="9" t="n">
        <v>0</v>
      </c>
      <c r="OX97" s="9" t="n">
        <v>1000</v>
      </c>
      <c r="PB97" s="10" t="n">
        <v>46103</v>
      </c>
      <c r="PD97" s="9" t="n">
        <v>0</v>
      </c>
      <c r="PF97" s="9" t="n">
        <v>0</v>
      </c>
      <c r="PG97" s="9" t="n">
        <v>0</v>
      </c>
      <c r="PK97" s="10" t="n">
        <v>46103</v>
      </c>
      <c r="PM97" s="9" t="n">
        <v>0</v>
      </c>
      <c r="PO97" s="9" t="n">
        <v>0</v>
      </c>
      <c r="PP97" s="9" t="n">
        <v>100</v>
      </c>
      <c r="PT97" s="10" t="n">
        <v>46103</v>
      </c>
      <c r="PV97" s="9" t="n">
        <v>0</v>
      </c>
      <c r="PX97" s="9" t="n">
        <v>0</v>
      </c>
      <c r="PY97" s="9" t="n">
        <v>13.96000000000004</v>
      </c>
      <c r="QC97" s="10" t="n">
        <v>46103</v>
      </c>
      <c r="QE97" s="9" t="n">
        <v>0</v>
      </c>
      <c r="QG97" s="9" t="n">
        <v>0</v>
      </c>
      <c r="QH97" s="9" t="n">
        <v>1212</v>
      </c>
      <c r="QL97" s="10" t="n">
        <v>46103</v>
      </c>
      <c r="QN97" s="9" t="n">
        <v>0</v>
      </c>
      <c r="QP97" s="9" t="n">
        <v>0</v>
      </c>
      <c r="QQ97" s="9" t="n">
        <v>0</v>
      </c>
      <c r="QU97" s="10" t="n">
        <v>46103</v>
      </c>
      <c r="QW97" s="9" t="n">
        <v>0</v>
      </c>
      <c r="QY97" s="9" t="n">
        <v>0</v>
      </c>
      <c r="QZ97" s="9" t="n">
        <v>207.6</v>
      </c>
      <c r="RD97" s="10" t="n">
        <v>46103</v>
      </c>
      <c r="RF97" s="9" t="n">
        <v>0</v>
      </c>
      <c r="RH97" s="9" t="n">
        <v>0</v>
      </c>
      <c r="RI97" s="9" t="n">
        <v>197.04</v>
      </c>
      <c r="RM97" s="10" t="n">
        <v>46103</v>
      </c>
      <c r="RO97" s="9" t="n">
        <v>0</v>
      </c>
      <c r="RQ97" s="9" t="n">
        <v>0</v>
      </c>
      <c r="RR97" s="9" t="n">
        <v>46.8</v>
      </c>
      <c r="RV97" s="10" t="n">
        <v>46103</v>
      </c>
      <c r="RX97" s="9" t="n">
        <v>0</v>
      </c>
      <c r="RZ97" s="9" t="n">
        <v>0</v>
      </c>
      <c r="SA97" s="9" t="n">
        <v>0</v>
      </c>
      <c r="SE97" s="10" t="n">
        <v>46103</v>
      </c>
      <c r="SG97" s="9" t="n">
        <v>0</v>
      </c>
      <c r="SI97" s="9" t="n">
        <v>0</v>
      </c>
      <c r="SJ97" s="9" t="n">
        <v>0</v>
      </c>
      <c r="SN97" s="10" t="n">
        <v>46103</v>
      </c>
      <c r="SP97" s="9" t="n">
        <v>0</v>
      </c>
      <c r="SR97" s="9" t="n">
        <v>0</v>
      </c>
      <c r="SS97" s="9" t="n">
        <v>0</v>
      </c>
      <c r="SW97" s="10" t="n">
        <v>46103</v>
      </c>
      <c r="SY97" s="9" t="n">
        <v>0</v>
      </c>
      <c r="TA97" s="9" t="n">
        <v>0</v>
      </c>
      <c r="TB97" s="9" t="n">
        <v>0</v>
      </c>
      <c r="TF97" s="10" t="n">
        <v>46103</v>
      </c>
      <c r="TH97" s="9" t="n">
        <v>0</v>
      </c>
      <c r="TJ97" s="9" t="n">
        <v>0</v>
      </c>
      <c r="TK97" s="9" t="n">
        <v>0</v>
      </c>
      <c r="TO97" s="10" t="n">
        <v>46103</v>
      </c>
      <c r="TQ97" s="9" t="n">
        <v>0</v>
      </c>
      <c r="TS97" s="9" t="n">
        <v>0</v>
      </c>
      <c r="TT97" s="9" t="n">
        <v>0</v>
      </c>
      <c r="TX97" s="10" t="n">
        <v>46103</v>
      </c>
      <c r="TZ97" s="9" t="n">
        <v>0</v>
      </c>
      <c r="UB97" s="9" t="n">
        <v>0</v>
      </c>
      <c r="UC97" s="9" t="n">
        <v>0</v>
      </c>
      <c r="UG97" s="10" t="n">
        <v>46103</v>
      </c>
      <c r="UI97" s="9" t="n">
        <v>0</v>
      </c>
      <c r="UK97" s="9" t="n">
        <v>0</v>
      </c>
      <c r="UL97" s="9" t="n">
        <v>0</v>
      </c>
      <c r="UP97" s="10" t="n">
        <v>46103</v>
      </c>
      <c r="UR97" s="9" t="n">
        <v>0</v>
      </c>
      <c r="UT97" s="9" t="n">
        <v>0</v>
      </c>
      <c r="UU97" s="9" t="n">
        <v>0</v>
      </c>
      <c r="UY97" s="10" t="n">
        <v>46103</v>
      </c>
      <c r="VA97" s="9" t="n">
        <v>0</v>
      </c>
      <c r="VC97" s="9" t="n">
        <v>0</v>
      </c>
      <c r="VD97" s="9" t="n">
        <v>41.60000000000002</v>
      </c>
      <c r="VH97" s="10" t="n">
        <v>46103</v>
      </c>
      <c r="VJ97" s="9" t="n">
        <v>0</v>
      </c>
      <c r="VL97" s="9" t="n">
        <v>0</v>
      </c>
      <c r="VM97" s="9" t="n">
        <v>0</v>
      </c>
      <c r="VQ97" s="10" t="n">
        <v>46103</v>
      </c>
      <c r="VS97" s="9" t="n">
        <v>0</v>
      </c>
      <c r="VU97" s="9" t="n">
        <v>0</v>
      </c>
      <c r="VV97" s="9" t="n">
        <v>0</v>
      </c>
      <c r="VZ97" s="10" t="n">
        <v>46103</v>
      </c>
      <c r="WB97" s="9" t="n">
        <v>0</v>
      </c>
      <c r="WD97" s="9" t="n">
        <v>0</v>
      </c>
      <c r="WE97" s="9" t="n">
        <v>0</v>
      </c>
      <c r="WI97" s="10" t="n">
        <v>46103</v>
      </c>
      <c r="WK97" s="9" t="n">
        <v>0</v>
      </c>
      <c r="WM97" s="9" t="n">
        <v>0</v>
      </c>
      <c r="WN97" s="9" t="n">
        <v>5180</v>
      </c>
      <c r="WR97" s="10" t="n">
        <v>46103</v>
      </c>
      <c r="WT97" s="9" t="n">
        <v>0</v>
      </c>
      <c r="WV97" s="9" t="n">
        <v>0</v>
      </c>
      <c r="WW97" s="9" t="n">
        <v>3265</v>
      </c>
      <c r="XA97" s="10" t="n">
        <v>46103</v>
      </c>
      <c r="XC97" s="9" t="n">
        <v>0</v>
      </c>
      <c r="XE97" s="9" t="n">
        <v>0</v>
      </c>
      <c r="XF97" s="9" t="n">
        <v>7142</v>
      </c>
      <c r="XJ97" s="10" t="n">
        <v>46103</v>
      </c>
      <c r="XL97" s="9" t="n">
        <v>0</v>
      </c>
      <c r="XN97" s="9" t="n">
        <v>0</v>
      </c>
      <c r="XO97" s="9" t="n">
        <v>7549</v>
      </c>
      <c r="XS97" s="10" t="n">
        <v>46103</v>
      </c>
      <c r="XU97" s="9" t="n">
        <v>0</v>
      </c>
      <c r="XW97" s="9" t="n">
        <v>0</v>
      </c>
      <c r="XX97" s="9" t="n">
        <v>1901</v>
      </c>
      <c r="YB97" s="10" t="n">
        <v>46103</v>
      </c>
      <c r="YD97" s="9" t="n">
        <v>0</v>
      </c>
      <c r="YF97" s="9" t="n">
        <v>0</v>
      </c>
      <c r="YG97" s="9" t="n">
        <v>6459</v>
      </c>
      <c r="YK97" s="10" t="n">
        <v>46103</v>
      </c>
      <c r="YM97" s="9" t="n">
        <v>0</v>
      </c>
      <c r="YO97" s="9" t="n">
        <v>0</v>
      </c>
      <c r="YP97" s="9" t="n">
        <v>0</v>
      </c>
      <c r="YT97" s="10" t="n">
        <v>46103</v>
      </c>
      <c r="YV97" s="9" t="n">
        <v>0</v>
      </c>
      <c r="YX97" s="9" t="n">
        <v>0</v>
      </c>
      <c r="YY97" s="9" t="n">
        <v>0</v>
      </c>
      <c r="ZC97" s="10" t="n">
        <v>46103</v>
      </c>
      <c r="ZE97" s="9" t="n">
        <v>0</v>
      </c>
      <c r="ZG97" s="9" t="n">
        <v>0</v>
      </c>
      <c r="ZH97" s="9" t="n">
        <v>0</v>
      </c>
      <c r="ZL97" s="10" t="n">
        <v>46103</v>
      </c>
      <c r="ZN97" s="9" t="n">
        <v>0</v>
      </c>
      <c r="ZP97" s="9" t="n">
        <v>0</v>
      </c>
      <c r="ZQ97" s="9" t="n">
        <v>0</v>
      </c>
      <c r="ZU97" s="10" t="n">
        <v>46103</v>
      </c>
      <c r="ZW97" s="9" t="n">
        <v>0</v>
      </c>
      <c r="ZY97" s="9" t="n">
        <v>0</v>
      </c>
      <c r="ZZ97" s="9" t="n">
        <v>0</v>
      </c>
      <c r="AAD97" s="10" t="n">
        <v>46103</v>
      </c>
      <c r="AAF97" s="9" t="n">
        <v>0</v>
      </c>
      <c r="AAH97" s="9" t="n">
        <v>0</v>
      </c>
      <c r="AAI97" s="9" t="n">
        <v>0</v>
      </c>
      <c r="AAM97" s="10" t="n">
        <v>46103</v>
      </c>
      <c r="AAO97" s="9" t="n">
        <v>0</v>
      </c>
      <c r="AAQ97" s="9" t="n">
        <v>0</v>
      </c>
      <c r="AAR97" s="9" t="n">
        <v>0</v>
      </c>
      <c r="AAV97" s="10" t="n">
        <v>46103</v>
      </c>
      <c r="AAX97" s="9" t="n">
        <v>0</v>
      </c>
      <c r="AAZ97" s="9" t="n">
        <v>0</v>
      </c>
      <c r="ABA97" s="9" t="n">
        <v>0</v>
      </c>
      <c r="ABE97" s="10" t="n">
        <v>46103</v>
      </c>
      <c r="ABG97" s="9" t="n">
        <v>0</v>
      </c>
      <c r="ABI97" s="9" t="n">
        <v>0</v>
      </c>
      <c r="ABJ97" s="9" t="n">
        <v>0</v>
      </c>
    </row>
    <row r="98">
      <c r="C98" s="10" t="n">
        <v>46104</v>
      </c>
      <c r="E98" s="9" t="n">
        <v>0</v>
      </c>
      <c r="G98" s="9" t="n">
        <v>0</v>
      </c>
      <c r="H98" s="9" t="n">
        <v>258879.9999999999</v>
      </c>
      <c r="L98" s="10" t="n">
        <v>46104</v>
      </c>
      <c r="N98" s="9" t="n">
        <v>0</v>
      </c>
      <c r="P98" s="9" t="n">
        <v>0</v>
      </c>
      <c r="Q98" s="9" t="n">
        <v>110496.6000000001</v>
      </c>
      <c r="U98" s="10" t="n">
        <v>46104</v>
      </c>
      <c r="W98" s="9" t="n">
        <v>0</v>
      </c>
      <c r="Y98" s="9" t="n">
        <v>0</v>
      </c>
      <c r="Z98" s="9" t="n">
        <v>47285.69999999997</v>
      </c>
      <c r="AD98" s="10" t="n">
        <v>46104</v>
      </c>
      <c r="AF98" s="9" t="n">
        <v>0</v>
      </c>
      <c r="AH98" s="9" t="n">
        <v>0</v>
      </c>
      <c r="AI98" s="9" t="n">
        <v>43301.20000000002</v>
      </c>
      <c r="AM98" s="10" t="n">
        <v>46104</v>
      </c>
      <c r="AO98" s="9" t="n">
        <v>0</v>
      </c>
      <c r="AQ98" s="9" t="n">
        <v>0</v>
      </c>
      <c r="AR98" s="9" t="n">
        <v>0</v>
      </c>
      <c r="AV98" s="10" t="n">
        <v>46104</v>
      </c>
      <c r="AX98" s="9" t="n">
        <v>0</v>
      </c>
      <c r="AZ98" s="9" t="n">
        <v>0</v>
      </c>
      <c r="BA98" s="9" t="n">
        <v>22268.39999999998</v>
      </c>
      <c r="BE98" s="10" t="n">
        <v>46104</v>
      </c>
      <c r="BG98" s="9" t="n">
        <v>0</v>
      </c>
      <c r="BI98" s="9" t="n">
        <v>0</v>
      </c>
      <c r="BJ98" s="9" t="n">
        <v>14288.5</v>
      </c>
      <c r="BN98" s="10" t="n">
        <v>46104</v>
      </c>
      <c r="BP98" s="9" t="n">
        <v>0</v>
      </c>
      <c r="BR98" s="9" t="n">
        <v>0</v>
      </c>
      <c r="BS98" s="9" t="n">
        <v>0</v>
      </c>
      <c r="BW98" s="10" t="n">
        <v>46104</v>
      </c>
      <c r="BY98" s="9" t="n">
        <v>0</v>
      </c>
      <c r="CA98" s="9" t="n">
        <v>0</v>
      </c>
      <c r="CB98" s="9" t="n">
        <v>2829.8</v>
      </c>
      <c r="CF98" s="10" t="n">
        <v>46104</v>
      </c>
      <c r="CH98" s="9" t="n">
        <v>0</v>
      </c>
      <c r="CJ98" s="9" t="n">
        <v>0</v>
      </c>
      <c r="CK98" s="9" t="n">
        <v>0</v>
      </c>
      <c r="CO98" s="10" t="n">
        <v>46104</v>
      </c>
      <c r="CQ98" s="9" t="n">
        <v>0</v>
      </c>
      <c r="CS98" s="9" t="n">
        <v>0</v>
      </c>
      <c r="CT98" s="9" t="n">
        <v>0</v>
      </c>
      <c r="CX98" s="10" t="n">
        <v>46104</v>
      </c>
      <c r="CZ98" s="9" t="n">
        <v>0</v>
      </c>
      <c r="DB98" s="9" t="n">
        <v>0</v>
      </c>
      <c r="DC98" s="9" t="n">
        <v>17440.7</v>
      </c>
      <c r="DG98" s="10" t="n">
        <v>46104</v>
      </c>
      <c r="DI98" s="9" t="n">
        <v>0</v>
      </c>
      <c r="DK98" s="9" t="n">
        <v>0</v>
      </c>
      <c r="DL98" s="9" t="n">
        <v>13918.2</v>
      </c>
      <c r="DP98" s="10" t="n">
        <v>46104</v>
      </c>
      <c r="DR98" s="9" t="n">
        <v>0</v>
      </c>
      <c r="DT98" s="9" t="n">
        <v>0</v>
      </c>
      <c r="DU98" s="9" t="n">
        <v>7150</v>
      </c>
      <c r="DY98" s="10" t="n">
        <v>46104</v>
      </c>
      <c r="EA98" s="9" t="n">
        <v>0</v>
      </c>
      <c r="EC98" s="9" t="n">
        <v>0</v>
      </c>
      <c r="ED98" s="9" t="n">
        <v>2947.3</v>
      </c>
      <c r="EH98" s="10" t="n">
        <v>46104</v>
      </c>
      <c r="EJ98" s="9" t="n">
        <v>0</v>
      </c>
      <c r="EL98" s="9" t="n">
        <v>0</v>
      </c>
      <c r="EM98" s="9" t="n">
        <v>0</v>
      </c>
      <c r="EQ98" s="10" t="n">
        <v>46104</v>
      </c>
      <c r="ES98" s="9" t="n">
        <v>0</v>
      </c>
      <c r="EU98" s="9" t="n">
        <v>0</v>
      </c>
      <c r="EV98" s="9" t="n">
        <v>0</v>
      </c>
      <c r="EZ98" s="10" t="n">
        <v>46104</v>
      </c>
      <c r="FB98" s="9" t="n">
        <v>0</v>
      </c>
      <c r="FD98" s="9" t="n">
        <v>0</v>
      </c>
      <c r="FE98" s="9" t="n">
        <v>0</v>
      </c>
      <c r="FI98" s="10" t="n">
        <v>46104</v>
      </c>
      <c r="FK98" s="9" t="n">
        <v>0</v>
      </c>
      <c r="FM98" s="9" t="n">
        <v>0</v>
      </c>
      <c r="FN98" s="9" t="n">
        <v>0</v>
      </c>
      <c r="FR98" s="10" t="n">
        <v>46104</v>
      </c>
      <c r="FT98" s="9" t="n">
        <v>0</v>
      </c>
      <c r="FV98" s="9" t="n">
        <v>0</v>
      </c>
      <c r="FW98" s="9" t="n">
        <v>3220</v>
      </c>
      <c r="GA98" s="10" t="n">
        <v>46104</v>
      </c>
      <c r="GC98" s="9" t="n">
        <v>0</v>
      </c>
      <c r="GE98" s="9" t="n">
        <v>0</v>
      </c>
      <c r="GF98" s="9" t="n">
        <v>1280</v>
      </c>
      <c r="GJ98" s="10" t="n">
        <v>46104</v>
      </c>
      <c r="GL98" s="9" t="n">
        <v>0</v>
      </c>
      <c r="GN98" s="9" t="n">
        <v>0</v>
      </c>
      <c r="GO98" s="9" t="n">
        <v>5240</v>
      </c>
      <c r="GS98" s="10" t="n">
        <v>46104</v>
      </c>
      <c r="GU98" s="9" t="n">
        <v>0</v>
      </c>
      <c r="GW98" s="9" t="n">
        <v>0</v>
      </c>
      <c r="GX98" s="9" t="n">
        <v>0</v>
      </c>
      <c r="HB98" s="10" t="n">
        <v>46104</v>
      </c>
      <c r="HD98" s="9" t="n">
        <v>0</v>
      </c>
      <c r="HF98" s="9" t="n">
        <v>0</v>
      </c>
      <c r="HG98" s="9" t="n">
        <v>0</v>
      </c>
      <c r="HK98" s="10" t="n">
        <v>46104</v>
      </c>
      <c r="HM98" s="9" t="n">
        <v>0</v>
      </c>
      <c r="HO98" s="9" t="n">
        <v>0</v>
      </c>
      <c r="HP98" s="9" t="n">
        <v>0</v>
      </c>
      <c r="HU98" s="10" t="n">
        <v>46104</v>
      </c>
      <c r="HW98" s="9" t="n">
        <v>0</v>
      </c>
      <c r="HY98" s="9" t="n">
        <v>0</v>
      </c>
      <c r="HZ98" s="9" t="n">
        <v>5120</v>
      </c>
      <c r="ID98" s="10" t="n">
        <v>46104</v>
      </c>
      <c r="IF98" s="9" t="n">
        <v>0</v>
      </c>
      <c r="IH98" s="9" t="n">
        <v>0</v>
      </c>
      <c r="II98" s="9" t="n">
        <v>6540</v>
      </c>
      <c r="IM98" s="10" t="n">
        <v>46104</v>
      </c>
      <c r="IO98" s="9" t="n">
        <v>0</v>
      </c>
      <c r="IQ98" s="9" t="n">
        <v>0</v>
      </c>
      <c r="IR98" s="9" t="n">
        <v>11540</v>
      </c>
      <c r="IV98" s="10" t="n">
        <v>46104</v>
      </c>
      <c r="IX98" s="9" t="n">
        <v>0</v>
      </c>
      <c r="IZ98" s="9" t="n">
        <v>0</v>
      </c>
      <c r="JA98" s="9" t="n">
        <v>15120</v>
      </c>
      <c r="JE98" s="10" t="n">
        <v>46104</v>
      </c>
      <c r="JG98" s="9" t="n">
        <v>0</v>
      </c>
      <c r="JI98" s="9" t="n">
        <v>0</v>
      </c>
      <c r="JJ98" s="9" t="n">
        <v>5040</v>
      </c>
      <c r="JN98" s="10" t="n">
        <v>46104</v>
      </c>
      <c r="JP98" s="9" t="n">
        <v>0</v>
      </c>
      <c r="JR98" s="9" t="n">
        <v>0</v>
      </c>
      <c r="JS98" s="9" t="n">
        <v>9100</v>
      </c>
      <c r="JW98" s="10" t="n">
        <v>46104</v>
      </c>
      <c r="JY98" s="9" t="n">
        <v>0</v>
      </c>
      <c r="KA98" s="9" t="n">
        <v>0</v>
      </c>
      <c r="KB98" s="9" t="n">
        <v>5140</v>
      </c>
      <c r="KF98" s="10" t="n">
        <v>46104</v>
      </c>
      <c r="KH98" s="9" t="n">
        <v>0</v>
      </c>
      <c r="KJ98" s="9" t="n">
        <v>0</v>
      </c>
      <c r="KK98" s="9" t="n">
        <v>9184.5</v>
      </c>
      <c r="KO98" s="10" t="n">
        <v>46104</v>
      </c>
      <c r="KQ98" s="9" t="n">
        <v>0</v>
      </c>
      <c r="KS98" s="9" t="n">
        <v>0</v>
      </c>
      <c r="KT98" s="9" t="n">
        <v>6993</v>
      </c>
      <c r="KX98" s="10" t="n">
        <v>46104</v>
      </c>
      <c r="KZ98" s="9" t="n">
        <v>0</v>
      </c>
      <c r="LB98" s="9" t="n">
        <v>0</v>
      </c>
      <c r="LC98" s="9" t="n">
        <v>0</v>
      </c>
      <c r="LG98" s="10" t="n">
        <v>46104</v>
      </c>
      <c r="LI98" s="9" t="n">
        <v>0</v>
      </c>
      <c r="LK98" s="9" t="n">
        <v>0</v>
      </c>
      <c r="LL98" s="9" t="n">
        <v>0</v>
      </c>
      <c r="LP98" s="10" t="n">
        <v>46104</v>
      </c>
      <c r="LR98" s="9" t="n">
        <v>0</v>
      </c>
      <c r="LT98" s="9" t="n">
        <v>0</v>
      </c>
      <c r="LU98" s="9" t="n">
        <v>0</v>
      </c>
      <c r="LY98" s="10" t="n">
        <v>46104</v>
      </c>
      <c r="MA98" s="9" t="n">
        <v>0</v>
      </c>
      <c r="MC98" s="9" t="n">
        <v>0</v>
      </c>
      <c r="MD98" s="9" t="n">
        <v>0</v>
      </c>
      <c r="MH98" s="10" t="n">
        <v>46104</v>
      </c>
      <c r="MJ98" s="9" t="n">
        <v>0</v>
      </c>
      <c r="ML98" s="9" t="n">
        <v>0</v>
      </c>
      <c r="MM98" s="9" t="n">
        <v>0</v>
      </c>
      <c r="MQ98" s="10" t="n">
        <v>46104</v>
      </c>
      <c r="MS98" s="9" t="n">
        <v>0</v>
      </c>
      <c r="MU98" s="9" t="n">
        <v>0</v>
      </c>
      <c r="MV98" s="9" t="n">
        <v>4623</v>
      </c>
      <c r="MZ98" s="10" t="n">
        <v>46104</v>
      </c>
      <c r="NB98" s="9" t="n">
        <v>0</v>
      </c>
      <c r="ND98" s="9" t="n">
        <v>0</v>
      </c>
      <c r="NE98" s="9" t="n">
        <v>0</v>
      </c>
      <c r="NI98" s="10" t="n">
        <v>46104</v>
      </c>
      <c r="NK98" s="9" t="n">
        <v>0</v>
      </c>
      <c r="NM98" s="9" t="n">
        <v>0</v>
      </c>
      <c r="NN98" s="9" t="n">
        <v>465</v>
      </c>
      <c r="NR98" s="10" t="n">
        <v>46104</v>
      </c>
      <c r="NT98" s="9" t="n">
        <v>0</v>
      </c>
      <c r="NV98" s="9" t="n">
        <v>0</v>
      </c>
      <c r="NW98" s="9" t="n">
        <v>1288.9</v>
      </c>
      <c r="OA98" s="10" t="n">
        <v>46104</v>
      </c>
      <c r="OC98" s="9" t="n">
        <v>0</v>
      </c>
      <c r="OE98" s="9" t="n">
        <v>0</v>
      </c>
      <c r="OF98" s="9" t="n">
        <v>1680.5</v>
      </c>
      <c r="OJ98" s="10" t="n">
        <v>46104</v>
      </c>
      <c r="OL98" s="9" t="n">
        <v>0</v>
      </c>
      <c r="ON98" s="9" t="n">
        <v>0</v>
      </c>
      <c r="OO98" s="9" t="n">
        <v>0</v>
      </c>
      <c r="OS98" s="10" t="n">
        <v>46104</v>
      </c>
      <c r="OU98" s="9" t="n">
        <v>0</v>
      </c>
      <c r="OW98" s="9" t="n">
        <v>0</v>
      </c>
      <c r="OX98" s="9" t="n">
        <v>1000</v>
      </c>
      <c r="PB98" s="10" t="n">
        <v>46104</v>
      </c>
      <c r="PD98" s="9" t="n">
        <v>0</v>
      </c>
      <c r="PF98" s="9" t="n">
        <v>0</v>
      </c>
      <c r="PG98" s="9" t="n">
        <v>0</v>
      </c>
      <c r="PK98" s="10" t="n">
        <v>46104</v>
      </c>
      <c r="PM98" s="9" t="n">
        <v>0</v>
      </c>
      <c r="PO98" s="9" t="n">
        <v>0</v>
      </c>
      <c r="PP98" s="9" t="n">
        <v>100</v>
      </c>
      <c r="PT98" s="10" t="n">
        <v>46104</v>
      </c>
      <c r="PV98" s="9" t="n">
        <v>0</v>
      </c>
      <c r="PX98" s="9" t="n">
        <v>0</v>
      </c>
      <c r="PY98" s="9" t="n">
        <v>13.96000000000004</v>
      </c>
      <c r="QC98" s="10" t="n">
        <v>46104</v>
      </c>
      <c r="QE98" s="9" t="n">
        <v>0</v>
      </c>
      <c r="QG98" s="9" t="n">
        <v>0</v>
      </c>
      <c r="QH98" s="9" t="n">
        <v>1212</v>
      </c>
      <c r="QL98" s="10" t="n">
        <v>46104</v>
      </c>
      <c r="QN98" s="9" t="n">
        <v>0</v>
      </c>
      <c r="QP98" s="9" t="n">
        <v>0</v>
      </c>
      <c r="QQ98" s="9" t="n">
        <v>0</v>
      </c>
      <c r="QU98" s="10" t="n">
        <v>46104</v>
      </c>
      <c r="QW98" s="9" t="n">
        <v>0</v>
      </c>
      <c r="QY98" s="9" t="n">
        <v>0</v>
      </c>
      <c r="QZ98" s="9" t="n">
        <v>207.6</v>
      </c>
      <c r="RD98" s="10" t="n">
        <v>46104</v>
      </c>
      <c r="RF98" s="9" t="n">
        <v>0</v>
      </c>
      <c r="RH98" s="9" t="n">
        <v>0</v>
      </c>
      <c r="RI98" s="9" t="n">
        <v>197.04</v>
      </c>
      <c r="RM98" s="10" t="n">
        <v>46104</v>
      </c>
      <c r="RO98" s="9" t="n">
        <v>0</v>
      </c>
      <c r="RQ98" s="9" t="n">
        <v>0</v>
      </c>
      <c r="RR98" s="9" t="n">
        <v>46.8</v>
      </c>
      <c r="RV98" s="10" t="n">
        <v>46104</v>
      </c>
      <c r="RX98" s="9" t="n">
        <v>0</v>
      </c>
      <c r="RZ98" s="9" t="n">
        <v>0</v>
      </c>
      <c r="SA98" s="9" t="n">
        <v>0</v>
      </c>
      <c r="SE98" s="10" t="n">
        <v>46104</v>
      </c>
      <c r="SG98" s="9" t="n">
        <v>0</v>
      </c>
      <c r="SI98" s="9" t="n">
        <v>0</v>
      </c>
      <c r="SJ98" s="9" t="n">
        <v>0</v>
      </c>
      <c r="SN98" s="10" t="n">
        <v>46104</v>
      </c>
      <c r="SP98" s="9" t="n">
        <v>0</v>
      </c>
      <c r="SR98" s="9" t="n">
        <v>0</v>
      </c>
      <c r="SS98" s="9" t="n">
        <v>0</v>
      </c>
      <c r="SW98" s="10" t="n">
        <v>46104</v>
      </c>
      <c r="SY98" s="9" t="n">
        <v>0</v>
      </c>
      <c r="TA98" s="9" t="n">
        <v>0</v>
      </c>
      <c r="TB98" s="9" t="n">
        <v>0</v>
      </c>
      <c r="TF98" s="10" t="n">
        <v>46104</v>
      </c>
      <c r="TH98" s="9" t="n">
        <v>0</v>
      </c>
      <c r="TJ98" s="9" t="n">
        <v>0</v>
      </c>
      <c r="TK98" s="9" t="n">
        <v>0</v>
      </c>
      <c r="TO98" s="10" t="n">
        <v>46104</v>
      </c>
      <c r="TQ98" s="9" t="n">
        <v>0</v>
      </c>
      <c r="TS98" s="9" t="n">
        <v>0</v>
      </c>
      <c r="TT98" s="9" t="n">
        <v>0</v>
      </c>
      <c r="TX98" s="10" t="n">
        <v>46104</v>
      </c>
      <c r="TZ98" s="9" t="n">
        <v>0</v>
      </c>
      <c r="UB98" s="9" t="n">
        <v>0</v>
      </c>
      <c r="UC98" s="9" t="n">
        <v>0</v>
      </c>
      <c r="UG98" s="10" t="n">
        <v>46104</v>
      </c>
      <c r="UI98" s="9" t="n">
        <v>0</v>
      </c>
      <c r="UK98" s="9" t="n">
        <v>0</v>
      </c>
      <c r="UL98" s="9" t="n">
        <v>0</v>
      </c>
      <c r="UP98" s="10" t="n">
        <v>46104</v>
      </c>
      <c r="UR98" s="9" t="n">
        <v>0</v>
      </c>
      <c r="UT98" s="9" t="n">
        <v>0</v>
      </c>
      <c r="UU98" s="9" t="n">
        <v>0</v>
      </c>
      <c r="UY98" s="10" t="n">
        <v>46104</v>
      </c>
      <c r="VA98" s="9" t="n">
        <v>0</v>
      </c>
      <c r="VC98" s="9" t="n">
        <v>0</v>
      </c>
      <c r="VD98" s="9" t="n">
        <v>41.60000000000002</v>
      </c>
      <c r="VH98" s="10" t="n">
        <v>46104</v>
      </c>
      <c r="VJ98" s="9" t="n">
        <v>0</v>
      </c>
      <c r="VL98" s="9" t="n">
        <v>0</v>
      </c>
      <c r="VM98" s="9" t="n">
        <v>0</v>
      </c>
      <c r="VQ98" s="10" t="n">
        <v>46104</v>
      </c>
      <c r="VS98" s="9" t="n">
        <v>0</v>
      </c>
      <c r="VU98" s="9" t="n">
        <v>0</v>
      </c>
      <c r="VV98" s="9" t="n">
        <v>0</v>
      </c>
      <c r="VZ98" s="10" t="n">
        <v>46104</v>
      </c>
      <c r="WB98" s="9" t="n">
        <v>0</v>
      </c>
      <c r="WD98" s="9" t="n">
        <v>0</v>
      </c>
      <c r="WE98" s="9" t="n">
        <v>0</v>
      </c>
      <c r="WI98" s="10" t="n">
        <v>46104</v>
      </c>
      <c r="WK98" s="9" t="n">
        <v>0</v>
      </c>
      <c r="WM98" s="9" t="n">
        <v>0</v>
      </c>
      <c r="WN98" s="9" t="n">
        <v>5180</v>
      </c>
      <c r="WR98" s="10" t="n">
        <v>46104</v>
      </c>
      <c r="WT98" s="9" t="n">
        <v>0</v>
      </c>
      <c r="WV98" s="9" t="n">
        <v>0</v>
      </c>
      <c r="WW98" s="9" t="n">
        <v>3265</v>
      </c>
      <c r="XA98" s="10" t="n">
        <v>46104</v>
      </c>
      <c r="XC98" s="9" t="n">
        <v>0</v>
      </c>
      <c r="XE98" s="9" t="n">
        <v>0</v>
      </c>
      <c r="XF98" s="9" t="n">
        <v>7142</v>
      </c>
      <c r="XJ98" s="10" t="n">
        <v>46104</v>
      </c>
      <c r="XL98" s="9" t="n">
        <v>0</v>
      </c>
      <c r="XN98" s="9" t="n">
        <v>0</v>
      </c>
      <c r="XO98" s="9" t="n">
        <v>7549</v>
      </c>
      <c r="XS98" s="10" t="n">
        <v>46104</v>
      </c>
      <c r="XU98" s="9" t="n">
        <v>0</v>
      </c>
      <c r="XW98" s="9" t="n">
        <v>0</v>
      </c>
      <c r="XX98" s="9" t="n">
        <v>1901</v>
      </c>
      <c r="YB98" s="10" t="n">
        <v>46104</v>
      </c>
      <c r="YD98" s="9" t="n">
        <v>0</v>
      </c>
      <c r="YF98" s="9" t="n">
        <v>0</v>
      </c>
      <c r="YG98" s="9" t="n">
        <v>6459</v>
      </c>
      <c r="YK98" s="10" t="n">
        <v>46104</v>
      </c>
      <c r="YM98" s="9" t="n">
        <v>0</v>
      </c>
      <c r="YO98" s="9" t="n">
        <v>0</v>
      </c>
      <c r="YP98" s="9" t="n">
        <v>0</v>
      </c>
      <c r="YT98" s="10" t="n">
        <v>46104</v>
      </c>
      <c r="YV98" s="9" t="n">
        <v>0</v>
      </c>
      <c r="YX98" s="9" t="n">
        <v>0</v>
      </c>
      <c r="YY98" s="9" t="n">
        <v>0</v>
      </c>
      <c r="ZC98" s="10" t="n">
        <v>46104</v>
      </c>
      <c r="ZE98" s="9" t="n">
        <v>0</v>
      </c>
      <c r="ZG98" s="9" t="n">
        <v>0</v>
      </c>
      <c r="ZH98" s="9" t="n">
        <v>0</v>
      </c>
      <c r="ZL98" s="10" t="n">
        <v>46104</v>
      </c>
      <c r="ZN98" s="9" t="n">
        <v>0</v>
      </c>
      <c r="ZP98" s="9" t="n">
        <v>0</v>
      </c>
      <c r="ZQ98" s="9" t="n">
        <v>0</v>
      </c>
      <c r="ZU98" s="10" t="n">
        <v>46104</v>
      </c>
      <c r="ZW98" s="9" t="n">
        <v>0</v>
      </c>
      <c r="ZY98" s="9" t="n">
        <v>0</v>
      </c>
      <c r="ZZ98" s="9" t="n">
        <v>0</v>
      </c>
      <c r="AAD98" s="10" t="n">
        <v>46104</v>
      </c>
      <c r="AAF98" s="9" t="n">
        <v>0</v>
      </c>
      <c r="AAH98" s="9" t="n">
        <v>0</v>
      </c>
      <c r="AAI98" s="9" t="n">
        <v>0</v>
      </c>
      <c r="AAM98" s="10" t="n">
        <v>46104</v>
      </c>
      <c r="AAO98" s="9" t="n">
        <v>0</v>
      </c>
      <c r="AAQ98" s="9" t="n">
        <v>0</v>
      </c>
      <c r="AAR98" s="9" t="n">
        <v>0</v>
      </c>
      <c r="AAV98" s="10" t="n">
        <v>46104</v>
      </c>
      <c r="AAX98" s="9" t="n">
        <v>0</v>
      </c>
      <c r="AAZ98" s="9" t="n">
        <v>0</v>
      </c>
      <c r="ABA98" s="9" t="n">
        <v>0</v>
      </c>
      <c r="ABE98" s="10" t="n">
        <v>46104</v>
      </c>
      <c r="ABG98" s="9" t="n">
        <v>0</v>
      </c>
      <c r="ABI98" s="9" t="n">
        <v>0</v>
      </c>
      <c r="ABJ98" s="9" t="n">
        <v>0</v>
      </c>
    </row>
    <row r="99">
      <c r="B99" s="9" t="n">
        <v>40</v>
      </c>
      <c r="C99" s="10" t="n">
        <v>46105</v>
      </c>
      <c r="E99" s="9" t="n">
        <v>20054</v>
      </c>
      <c r="F99" s="9" t="n">
        <v>20056.4</v>
      </c>
      <c r="G99" s="9" t="n">
        <v>-2.399999999997817</v>
      </c>
      <c r="H99" s="9" t="n">
        <v>238823.5999999999</v>
      </c>
      <c r="I99" s="9" t="inlineStr">
        <is>
          <t>122 40mt</t>
        </is>
      </c>
      <c r="L99" s="10" t="n">
        <v>46105</v>
      </c>
      <c r="N99" s="9" t="n">
        <v>8200</v>
      </c>
      <c r="O99" s="9" t="n">
        <v>8202.4</v>
      </c>
      <c r="P99" s="9" t="n">
        <v>-2.399999999999636</v>
      </c>
      <c r="Q99" s="9" t="n">
        <v>102294.2000000001</v>
      </c>
      <c r="U99" s="10" t="n">
        <v>46105</v>
      </c>
      <c r="W99" s="9" t="n">
        <v>3340</v>
      </c>
      <c r="X99" s="9" t="n">
        <v>3340</v>
      </c>
      <c r="Y99" s="9" t="n">
        <v>0</v>
      </c>
      <c r="Z99" s="9" t="n">
        <v>43945.69999999997</v>
      </c>
      <c r="AD99" s="10" t="n">
        <v>46105</v>
      </c>
      <c r="AF99" s="9" t="n">
        <v>520.0000000000001</v>
      </c>
      <c r="AG99" s="9" t="n">
        <v>520.3</v>
      </c>
      <c r="AH99" s="9" t="n">
        <v>-0.2999999999998408</v>
      </c>
      <c r="AI99" s="9" t="n">
        <v>42780.90000000002</v>
      </c>
      <c r="AM99" s="10" t="n">
        <v>46105</v>
      </c>
      <c r="AO99" s="9" t="n">
        <v>0</v>
      </c>
      <c r="AQ99" s="9" t="n">
        <v>0</v>
      </c>
      <c r="AR99" s="9" t="n">
        <v>0</v>
      </c>
      <c r="AV99" s="10" t="n">
        <v>46105</v>
      </c>
      <c r="AX99" s="9" t="n">
        <v>0</v>
      </c>
      <c r="AZ99" s="9" t="n">
        <v>0</v>
      </c>
      <c r="BA99" s="9" t="n">
        <v>22268.39999999998</v>
      </c>
      <c r="BE99" s="10" t="n">
        <v>46105</v>
      </c>
      <c r="BG99" s="9" t="n">
        <v>1680</v>
      </c>
      <c r="BH99" s="9" t="n">
        <v>1682.6</v>
      </c>
      <c r="BI99" s="9" t="n">
        <v>-2.599999999999909</v>
      </c>
      <c r="BJ99" s="9" t="n">
        <v>12605.9</v>
      </c>
      <c r="BN99" s="10" t="n">
        <v>46105</v>
      </c>
      <c r="BO99" s="9" t="n">
        <v>800</v>
      </c>
      <c r="BP99" s="9" t="n">
        <v>800</v>
      </c>
      <c r="BQ99" s="9" t="n">
        <v>800</v>
      </c>
      <c r="BR99" s="9" t="n">
        <v>0</v>
      </c>
      <c r="BS99" s="9" t="n">
        <v>0</v>
      </c>
      <c r="BW99" s="10" t="n">
        <v>46105</v>
      </c>
      <c r="BY99" s="9" t="n">
        <v>266</v>
      </c>
      <c r="BZ99" s="9" t="n">
        <v>121.5</v>
      </c>
      <c r="CA99" s="9" t="n">
        <v>144.5</v>
      </c>
      <c r="CB99" s="9" t="n">
        <v>2708.3</v>
      </c>
      <c r="CF99" s="10" t="n">
        <v>46105</v>
      </c>
      <c r="CG99" s="9" t="n">
        <v>510</v>
      </c>
      <c r="CH99" s="9" t="n">
        <v>400</v>
      </c>
      <c r="CI99" s="9" t="n">
        <v>510</v>
      </c>
      <c r="CJ99" s="9" t="n">
        <v>-110</v>
      </c>
      <c r="CK99" s="9" t="n">
        <v>0</v>
      </c>
      <c r="CO99" s="10" t="n">
        <v>46105</v>
      </c>
      <c r="CQ99" s="9" t="n">
        <v>0</v>
      </c>
      <c r="CS99" s="9" t="n">
        <v>0</v>
      </c>
      <c r="CT99" s="9" t="n">
        <v>0</v>
      </c>
      <c r="CX99" s="10" t="n">
        <v>46105</v>
      </c>
      <c r="CZ99" s="9" t="n">
        <v>2000</v>
      </c>
      <c r="DA99" s="9" t="n">
        <v>1999.2</v>
      </c>
      <c r="DB99" s="9" t="n">
        <v>0.7999999999999545</v>
      </c>
      <c r="DC99" s="9" t="n">
        <v>15441.5</v>
      </c>
      <c r="DG99" s="10" t="n">
        <v>46105</v>
      </c>
      <c r="DI99" s="9" t="n">
        <v>1600</v>
      </c>
      <c r="DJ99" s="9" t="n">
        <v>1598.4</v>
      </c>
      <c r="DK99" s="9" t="n">
        <v>1.599999999999909</v>
      </c>
      <c r="DL99" s="9" t="n">
        <v>12319.8</v>
      </c>
      <c r="DP99" s="10" t="n">
        <v>46105</v>
      </c>
      <c r="DR99" s="9" t="n">
        <v>0</v>
      </c>
      <c r="DT99" s="9" t="n">
        <v>0</v>
      </c>
      <c r="DU99" s="9" t="n">
        <v>7150</v>
      </c>
      <c r="DY99" s="10" t="n">
        <v>46105</v>
      </c>
      <c r="EA99" s="9" t="n">
        <v>0</v>
      </c>
      <c r="EC99" s="9" t="n">
        <v>0</v>
      </c>
      <c r="ED99" s="9" t="n">
        <v>2947.3</v>
      </c>
      <c r="EH99" s="10" t="n">
        <v>46105</v>
      </c>
      <c r="EJ99" s="9" t="n">
        <v>0</v>
      </c>
      <c r="EL99" s="9" t="n">
        <v>0</v>
      </c>
      <c r="EM99" s="9" t="n">
        <v>0</v>
      </c>
      <c r="EQ99" s="10" t="n">
        <v>46105</v>
      </c>
      <c r="ES99" s="9" t="n">
        <v>0</v>
      </c>
      <c r="EU99" s="9" t="n">
        <v>0</v>
      </c>
      <c r="EV99" s="9" t="n">
        <v>0</v>
      </c>
      <c r="EZ99" s="10" t="n">
        <v>46105</v>
      </c>
      <c r="FB99" s="9" t="n">
        <v>0</v>
      </c>
      <c r="FD99" s="9" t="n">
        <v>0</v>
      </c>
      <c r="FE99" s="9" t="n">
        <v>0</v>
      </c>
      <c r="FI99" s="10" t="n">
        <v>46105</v>
      </c>
      <c r="FK99" s="9" t="n">
        <v>0</v>
      </c>
      <c r="FM99" s="9" t="n">
        <v>0</v>
      </c>
      <c r="FN99" s="9" t="n">
        <v>0</v>
      </c>
      <c r="FR99" s="10" t="n">
        <v>46105</v>
      </c>
      <c r="FT99" s="9" t="n">
        <v>0</v>
      </c>
      <c r="FV99" s="9" t="n">
        <v>0</v>
      </c>
      <c r="FW99" s="9" t="n">
        <v>3220</v>
      </c>
      <c r="GA99" s="10" t="n">
        <v>46105</v>
      </c>
      <c r="GC99" s="9" t="n">
        <v>0</v>
      </c>
      <c r="GD99" s="9" t="n">
        <v>1280</v>
      </c>
      <c r="GE99" s="9" t="n">
        <v>-1280</v>
      </c>
      <c r="GF99" s="9" t="n">
        <v>0</v>
      </c>
      <c r="GJ99" s="10" t="n">
        <v>46105</v>
      </c>
      <c r="GL99" s="9" t="n">
        <v>0</v>
      </c>
      <c r="GN99" s="9" t="n">
        <v>0</v>
      </c>
      <c r="GO99" s="9" t="n">
        <v>5240</v>
      </c>
      <c r="GS99" s="10" t="n">
        <v>46105</v>
      </c>
      <c r="GU99" s="9" t="n">
        <v>0</v>
      </c>
      <c r="GW99" s="9" t="n">
        <v>0</v>
      </c>
      <c r="GX99" s="9" t="n">
        <v>0</v>
      </c>
      <c r="HB99" s="10" t="n">
        <v>46105</v>
      </c>
      <c r="HD99" s="9" t="n">
        <v>0</v>
      </c>
      <c r="HF99" s="9" t="n">
        <v>0</v>
      </c>
      <c r="HG99" s="9" t="n">
        <v>0</v>
      </c>
      <c r="HK99" s="10" t="n">
        <v>46105</v>
      </c>
      <c r="HM99" s="9" t="n">
        <v>0</v>
      </c>
      <c r="HO99" s="9" t="n">
        <v>0</v>
      </c>
      <c r="HP99" s="9" t="n">
        <v>0</v>
      </c>
      <c r="HU99" s="10" t="n">
        <v>46105</v>
      </c>
      <c r="HW99" s="9" t="n">
        <v>0</v>
      </c>
      <c r="HY99" s="9" t="n">
        <v>0</v>
      </c>
      <c r="HZ99" s="9" t="n">
        <v>5120</v>
      </c>
      <c r="ID99" s="10" t="n">
        <v>46105</v>
      </c>
      <c r="IF99" s="9" t="n">
        <v>0</v>
      </c>
      <c r="IH99" s="9" t="n">
        <v>0</v>
      </c>
      <c r="II99" s="9" t="n">
        <v>6540</v>
      </c>
      <c r="IM99" s="10" t="n">
        <v>46105</v>
      </c>
      <c r="IO99" s="9" t="n">
        <v>0</v>
      </c>
      <c r="IQ99" s="9" t="n">
        <v>0</v>
      </c>
      <c r="IR99" s="9" t="n">
        <v>11540</v>
      </c>
      <c r="IV99" s="10" t="n">
        <v>46105</v>
      </c>
      <c r="IX99" s="9" t="n">
        <v>0</v>
      </c>
      <c r="IZ99" s="9" t="n">
        <v>0</v>
      </c>
      <c r="JA99" s="9" t="n">
        <v>15120</v>
      </c>
      <c r="JE99" s="10" t="n">
        <v>46105</v>
      </c>
      <c r="JG99" s="9" t="n">
        <v>0</v>
      </c>
      <c r="JI99" s="9" t="n">
        <v>0</v>
      </c>
      <c r="JJ99" s="9" t="n">
        <v>5040</v>
      </c>
      <c r="JN99" s="10" t="n">
        <v>46105</v>
      </c>
      <c r="JP99" s="9" t="n">
        <v>0</v>
      </c>
      <c r="JR99" s="9" t="n">
        <v>0</v>
      </c>
      <c r="JS99" s="9" t="n">
        <v>9100</v>
      </c>
      <c r="JW99" s="10" t="n">
        <v>46105</v>
      </c>
      <c r="JY99" s="9" t="n">
        <v>0</v>
      </c>
      <c r="KA99" s="9" t="n">
        <v>0</v>
      </c>
      <c r="KB99" s="9" t="n">
        <v>5140</v>
      </c>
      <c r="KF99" s="10" t="n">
        <v>46105</v>
      </c>
      <c r="KH99" s="9" t="n">
        <v>780</v>
      </c>
      <c r="KI99" s="9" t="n">
        <v>195</v>
      </c>
      <c r="KJ99" s="9" t="n">
        <v>585</v>
      </c>
      <c r="KK99" s="9" t="n">
        <v>8989.5</v>
      </c>
      <c r="KO99" s="10" t="n">
        <v>46105</v>
      </c>
      <c r="KQ99" s="9" t="n">
        <v>0</v>
      </c>
      <c r="KR99" s="9" t="n">
        <v>189</v>
      </c>
      <c r="KS99" s="9" t="n">
        <v>-189</v>
      </c>
      <c r="KT99" s="9" t="n">
        <v>6804</v>
      </c>
      <c r="KX99" s="10" t="n">
        <v>46105</v>
      </c>
      <c r="KZ99" s="9" t="n">
        <v>0</v>
      </c>
      <c r="LB99" s="9" t="n">
        <v>0</v>
      </c>
      <c r="LC99" s="9" t="n">
        <v>0</v>
      </c>
      <c r="LG99" s="10" t="n">
        <v>46105</v>
      </c>
      <c r="LI99" s="9" t="n">
        <v>0</v>
      </c>
      <c r="LK99" s="9" t="n">
        <v>0</v>
      </c>
      <c r="LL99" s="9" t="n">
        <v>0</v>
      </c>
      <c r="LP99" s="10" t="n">
        <v>46105</v>
      </c>
      <c r="LR99" s="9" t="n">
        <v>0</v>
      </c>
      <c r="LT99" s="9" t="n">
        <v>0</v>
      </c>
      <c r="LU99" s="9" t="n">
        <v>0</v>
      </c>
      <c r="LY99" s="10" t="n">
        <v>46105</v>
      </c>
      <c r="MA99" s="9" t="n">
        <v>0</v>
      </c>
      <c r="MC99" s="9" t="n">
        <v>0</v>
      </c>
      <c r="MD99" s="9" t="n">
        <v>0</v>
      </c>
      <c r="MH99" s="10" t="n">
        <v>46105</v>
      </c>
      <c r="MJ99" s="9" t="n">
        <v>0</v>
      </c>
      <c r="ML99" s="9" t="n">
        <v>0</v>
      </c>
      <c r="MM99" s="9" t="n">
        <v>0</v>
      </c>
      <c r="MQ99" s="10" t="n">
        <v>46105</v>
      </c>
      <c r="MS99" s="9" t="n">
        <v>80</v>
      </c>
      <c r="MT99" s="9" t="n">
        <v>72</v>
      </c>
      <c r="MU99" s="9" t="n">
        <v>8</v>
      </c>
      <c r="MV99" s="9" t="n">
        <v>4551</v>
      </c>
      <c r="MZ99" s="10" t="n">
        <v>46105</v>
      </c>
      <c r="NA99" s="9" t="n">
        <v>60</v>
      </c>
      <c r="NB99" s="9" t="n">
        <v>120</v>
      </c>
      <c r="NC99" s="9" t="n">
        <v>60</v>
      </c>
      <c r="ND99" s="9" t="n">
        <v>60</v>
      </c>
      <c r="NE99" s="9" t="n">
        <v>0</v>
      </c>
      <c r="NI99" s="10" t="n">
        <v>46105</v>
      </c>
      <c r="NK99" s="9" t="n">
        <v>0</v>
      </c>
      <c r="NM99" s="9" t="n">
        <v>0</v>
      </c>
      <c r="NN99" s="9" t="n">
        <v>465</v>
      </c>
      <c r="NR99" s="10" t="n">
        <v>46105</v>
      </c>
      <c r="NT99" s="9" t="n">
        <v>48</v>
      </c>
      <c r="NU99" s="9" t="n">
        <v>24</v>
      </c>
      <c r="NV99" s="9" t="n">
        <v>24</v>
      </c>
      <c r="NW99" s="9" t="n">
        <v>1264.9</v>
      </c>
      <c r="OA99" s="10" t="n">
        <v>46105</v>
      </c>
      <c r="OC99" s="9" t="n">
        <v>0</v>
      </c>
      <c r="OE99" s="9" t="n">
        <v>0</v>
      </c>
      <c r="OF99" s="9" t="n">
        <v>1680.5</v>
      </c>
      <c r="OJ99" s="10" t="n">
        <v>46105</v>
      </c>
      <c r="OK99" s="9" t="n">
        <v>56</v>
      </c>
      <c r="OL99" s="9" t="n">
        <v>112</v>
      </c>
      <c r="OM99" s="9" t="n">
        <v>56</v>
      </c>
      <c r="ON99" s="9" t="n">
        <v>55.99999999999997</v>
      </c>
      <c r="OO99" s="9" t="n">
        <v>0</v>
      </c>
      <c r="OS99" s="10" t="n">
        <v>46105</v>
      </c>
      <c r="OU99" s="9" t="n">
        <v>0</v>
      </c>
      <c r="OW99" s="9" t="n">
        <v>0</v>
      </c>
      <c r="OX99" s="9" t="n">
        <v>1000</v>
      </c>
      <c r="PB99" s="10" t="n">
        <v>46105</v>
      </c>
      <c r="PD99" s="9" t="n">
        <v>0</v>
      </c>
      <c r="PF99" s="9" t="n">
        <v>0</v>
      </c>
      <c r="PG99" s="9" t="n">
        <v>0</v>
      </c>
      <c r="PK99" s="10" t="n">
        <v>46105</v>
      </c>
      <c r="PM99" s="9" t="n">
        <v>0</v>
      </c>
      <c r="PO99" s="9" t="n">
        <v>0</v>
      </c>
      <c r="PP99" s="9" t="n">
        <v>100</v>
      </c>
      <c r="PT99" s="10" t="n">
        <v>46105</v>
      </c>
      <c r="PV99" s="9" t="n">
        <v>0</v>
      </c>
      <c r="PX99" s="9" t="n">
        <v>0</v>
      </c>
      <c r="PY99" s="9" t="n">
        <v>13.96000000000004</v>
      </c>
      <c r="QC99" s="10" t="n">
        <v>46105</v>
      </c>
      <c r="QE99" s="9" t="n">
        <v>0</v>
      </c>
      <c r="QG99" s="9" t="n">
        <v>0</v>
      </c>
      <c r="QH99" s="9" t="n">
        <v>1212</v>
      </c>
      <c r="QL99" s="10" t="n">
        <v>46105</v>
      </c>
      <c r="QN99" s="9" t="n">
        <v>0</v>
      </c>
      <c r="QP99" s="9" t="n">
        <v>0</v>
      </c>
      <c r="QQ99" s="9" t="n">
        <v>0</v>
      </c>
      <c r="QU99" s="10" t="n">
        <v>46105</v>
      </c>
      <c r="QW99" s="9" t="n">
        <v>0</v>
      </c>
      <c r="QY99" s="9" t="n">
        <v>0</v>
      </c>
      <c r="QZ99" s="9" t="n">
        <v>207.6</v>
      </c>
      <c r="RD99" s="10" t="n">
        <v>46105</v>
      </c>
      <c r="RF99" s="9" t="n">
        <v>0</v>
      </c>
      <c r="RH99" s="9" t="n">
        <v>0</v>
      </c>
      <c r="RI99" s="9" t="n">
        <v>197.04</v>
      </c>
      <c r="RM99" s="10" t="n">
        <v>46105</v>
      </c>
      <c r="RO99" s="9" t="n">
        <v>0</v>
      </c>
      <c r="RQ99" s="9" t="n">
        <v>0</v>
      </c>
      <c r="RR99" s="9" t="n">
        <v>46.8</v>
      </c>
      <c r="RV99" s="10" t="n">
        <v>46105</v>
      </c>
      <c r="RX99" s="9" t="n">
        <v>0</v>
      </c>
      <c r="RZ99" s="9" t="n">
        <v>0</v>
      </c>
      <c r="SA99" s="9" t="n">
        <v>0</v>
      </c>
      <c r="SE99" s="10" t="n">
        <v>46105</v>
      </c>
      <c r="SG99" s="9" t="n">
        <v>0</v>
      </c>
      <c r="SI99" s="9" t="n">
        <v>0</v>
      </c>
      <c r="SJ99" s="9" t="n">
        <v>0</v>
      </c>
      <c r="SN99" s="10" t="n">
        <v>46105</v>
      </c>
      <c r="SP99" s="9" t="n">
        <v>0</v>
      </c>
      <c r="SR99" s="9" t="n">
        <v>0</v>
      </c>
      <c r="SS99" s="9" t="n">
        <v>0</v>
      </c>
      <c r="SW99" s="10" t="n">
        <v>46105</v>
      </c>
      <c r="SY99" s="9" t="n">
        <v>0</v>
      </c>
      <c r="TA99" s="9" t="n">
        <v>0</v>
      </c>
      <c r="TB99" s="9" t="n">
        <v>0</v>
      </c>
      <c r="TF99" s="10" t="n">
        <v>46105</v>
      </c>
      <c r="TH99" s="9" t="n">
        <v>0</v>
      </c>
      <c r="TJ99" s="9" t="n">
        <v>0</v>
      </c>
      <c r="TK99" s="9" t="n">
        <v>0</v>
      </c>
      <c r="TO99" s="10" t="n">
        <v>46105</v>
      </c>
      <c r="TQ99" s="9" t="n">
        <v>0</v>
      </c>
      <c r="TS99" s="9" t="n">
        <v>0</v>
      </c>
      <c r="TT99" s="9" t="n">
        <v>0</v>
      </c>
      <c r="TX99" s="10" t="n">
        <v>46105</v>
      </c>
      <c r="TZ99" s="9" t="n">
        <v>0</v>
      </c>
      <c r="UB99" s="9" t="n">
        <v>0</v>
      </c>
      <c r="UC99" s="9" t="n">
        <v>0</v>
      </c>
      <c r="UG99" s="10" t="n">
        <v>46105</v>
      </c>
      <c r="UI99" s="9" t="n">
        <v>0</v>
      </c>
      <c r="UK99" s="9" t="n">
        <v>0</v>
      </c>
      <c r="UL99" s="9" t="n">
        <v>0</v>
      </c>
      <c r="UP99" s="10" t="n">
        <v>46105</v>
      </c>
      <c r="UR99" s="9" t="n">
        <v>0</v>
      </c>
      <c r="UT99" s="9" t="n">
        <v>0</v>
      </c>
      <c r="UU99" s="9" t="n">
        <v>0</v>
      </c>
      <c r="UY99" s="10" t="n">
        <v>46105</v>
      </c>
      <c r="VA99" s="9" t="n">
        <v>0</v>
      </c>
      <c r="VC99" s="9" t="n">
        <v>0</v>
      </c>
      <c r="VD99" s="9" t="n">
        <v>41.60000000000002</v>
      </c>
      <c r="VH99" s="10" t="n">
        <v>46105</v>
      </c>
      <c r="VJ99" s="9" t="n">
        <v>0</v>
      </c>
      <c r="VL99" s="9" t="n">
        <v>0</v>
      </c>
      <c r="VM99" s="9" t="n">
        <v>0</v>
      </c>
      <c r="VQ99" s="10" t="n">
        <v>46105</v>
      </c>
      <c r="VS99" s="9" t="n">
        <v>0</v>
      </c>
      <c r="VU99" s="9" t="n">
        <v>0</v>
      </c>
      <c r="VV99" s="9" t="n">
        <v>0</v>
      </c>
      <c r="VZ99" s="10" t="n">
        <v>46105</v>
      </c>
      <c r="WB99" s="9" t="n">
        <v>0</v>
      </c>
      <c r="WD99" s="9" t="n">
        <v>0</v>
      </c>
      <c r="WE99" s="9" t="n">
        <v>0</v>
      </c>
      <c r="WI99" s="10" t="n">
        <v>46105</v>
      </c>
      <c r="WK99" s="9" t="n">
        <v>0</v>
      </c>
      <c r="WM99" s="9" t="n">
        <v>0</v>
      </c>
      <c r="WN99" s="9" t="n">
        <v>5180</v>
      </c>
      <c r="WR99" s="10" t="n">
        <v>46105</v>
      </c>
      <c r="WT99" s="9" t="n">
        <v>0</v>
      </c>
      <c r="WV99" s="9" t="n">
        <v>0</v>
      </c>
      <c r="WW99" s="9" t="n">
        <v>3265</v>
      </c>
      <c r="XA99" s="10" t="n">
        <v>46105</v>
      </c>
      <c r="XC99" s="9" t="n">
        <v>0</v>
      </c>
      <c r="XE99" s="9" t="n">
        <v>0</v>
      </c>
      <c r="XF99" s="9" t="n">
        <v>7142</v>
      </c>
      <c r="XJ99" s="10" t="n">
        <v>46105</v>
      </c>
      <c r="XL99" s="9" t="n">
        <v>0</v>
      </c>
      <c r="XN99" s="9" t="n">
        <v>0</v>
      </c>
      <c r="XO99" s="9" t="n">
        <v>7549</v>
      </c>
      <c r="XS99" s="10" t="n">
        <v>46105</v>
      </c>
      <c r="XU99" s="9" t="n">
        <v>0</v>
      </c>
      <c r="XW99" s="9" t="n">
        <v>0</v>
      </c>
      <c r="XX99" s="9" t="n">
        <v>1901</v>
      </c>
      <c r="YB99" s="10" t="n">
        <v>46105</v>
      </c>
      <c r="YD99" s="9" t="n">
        <v>0</v>
      </c>
      <c r="YF99" s="9" t="n">
        <v>0</v>
      </c>
      <c r="YG99" s="9" t="n">
        <v>6459</v>
      </c>
      <c r="YK99" s="10" t="n">
        <v>46105</v>
      </c>
      <c r="YM99" s="9" t="n">
        <v>0</v>
      </c>
      <c r="YO99" s="9" t="n">
        <v>0</v>
      </c>
      <c r="YP99" s="9" t="n">
        <v>0</v>
      </c>
      <c r="YT99" s="10" t="n">
        <v>46105</v>
      </c>
      <c r="YV99" s="9" t="n">
        <v>0</v>
      </c>
      <c r="YX99" s="9" t="n">
        <v>0</v>
      </c>
      <c r="YY99" s="9" t="n">
        <v>0</v>
      </c>
      <c r="ZC99" s="10" t="n">
        <v>46105</v>
      </c>
      <c r="ZE99" s="9" t="n">
        <v>0</v>
      </c>
      <c r="ZG99" s="9" t="n">
        <v>0</v>
      </c>
      <c r="ZH99" s="9" t="n">
        <v>0</v>
      </c>
      <c r="ZL99" s="10" t="n">
        <v>46105</v>
      </c>
      <c r="ZN99" s="9" t="n">
        <v>0</v>
      </c>
      <c r="ZP99" s="9" t="n">
        <v>0</v>
      </c>
      <c r="ZQ99" s="9" t="n">
        <v>0</v>
      </c>
      <c r="ZU99" s="10" t="n">
        <v>46105</v>
      </c>
      <c r="ZW99" s="9" t="n">
        <v>0</v>
      </c>
      <c r="ZY99" s="9" t="n">
        <v>0</v>
      </c>
      <c r="ZZ99" s="9" t="n">
        <v>0</v>
      </c>
      <c r="AAD99" s="10" t="n">
        <v>46105</v>
      </c>
      <c r="AAF99" s="9" t="n">
        <v>0</v>
      </c>
      <c r="AAH99" s="9" t="n">
        <v>0</v>
      </c>
      <c r="AAI99" s="9" t="n">
        <v>0</v>
      </c>
      <c r="AAM99" s="10" t="n">
        <v>46105</v>
      </c>
      <c r="AAO99" s="9" t="n">
        <v>0</v>
      </c>
      <c r="AAQ99" s="9" t="n">
        <v>0</v>
      </c>
      <c r="AAR99" s="9" t="n">
        <v>0</v>
      </c>
      <c r="AAV99" s="10" t="n">
        <v>46105</v>
      </c>
      <c r="AAX99" s="9" t="n">
        <v>0</v>
      </c>
      <c r="AAZ99" s="9" t="n">
        <v>0</v>
      </c>
      <c r="ABA99" s="9" t="n">
        <v>0</v>
      </c>
      <c r="ABE99" s="10" t="n">
        <v>46105</v>
      </c>
      <c r="ABG99" s="9" t="n">
        <v>0</v>
      </c>
      <c r="ABI99" s="9" t="n">
        <v>0</v>
      </c>
      <c r="ABJ99" s="9" t="n">
        <v>0</v>
      </c>
    </row>
    <row r="100">
      <c r="B100" s="9" t="n">
        <v>130</v>
      </c>
      <c r="C100" s="10" t="n">
        <v>46106</v>
      </c>
      <c r="E100" s="9" t="n">
        <v>75606</v>
      </c>
      <c r="F100" s="9" t="n">
        <v>75602.39999999999</v>
      </c>
      <c r="G100" s="9" t="n">
        <v>3.600000000005821</v>
      </c>
      <c r="H100" s="9" t="n">
        <v>163221.2</v>
      </c>
      <c r="I100" s="9" t="inlineStr">
        <is>
          <t>123 10mt, 1102 120mt</t>
        </is>
      </c>
      <c r="L100" s="10" t="n">
        <v>46106</v>
      </c>
      <c r="N100" s="9" t="n">
        <v>32195</v>
      </c>
      <c r="O100" s="9" t="n">
        <v>32186.2</v>
      </c>
      <c r="P100" s="9" t="n">
        <v>8.799999999999272</v>
      </c>
      <c r="Q100" s="9" t="n">
        <v>70108.00000000009</v>
      </c>
      <c r="U100" s="10" t="n">
        <v>46106</v>
      </c>
      <c r="W100" s="9" t="n">
        <v>3850</v>
      </c>
      <c r="X100" s="9" t="n">
        <v>3852</v>
      </c>
      <c r="Y100" s="9" t="n">
        <v>-2</v>
      </c>
      <c r="Z100" s="9" t="n">
        <v>40093.69999999997</v>
      </c>
      <c r="AD100" s="10" t="n">
        <v>46106</v>
      </c>
      <c r="AF100" s="9" t="n">
        <v>6120</v>
      </c>
      <c r="AG100" s="9" t="n">
        <v>6122.6</v>
      </c>
      <c r="AH100" s="9" t="n">
        <v>-2.600000000000364</v>
      </c>
      <c r="AI100" s="9" t="n">
        <v>36658.30000000002</v>
      </c>
      <c r="AM100" s="10" t="n">
        <v>46106</v>
      </c>
      <c r="AO100" s="9" t="n">
        <v>0</v>
      </c>
      <c r="AQ100" s="9" t="n">
        <v>0</v>
      </c>
      <c r="AR100" s="9" t="n">
        <v>0</v>
      </c>
      <c r="AV100" s="10" t="n">
        <v>46106</v>
      </c>
      <c r="AX100" s="9" t="n">
        <v>1200</v>
      </c>
      <c r="AY100" s="9" t="n">
        <v>1200.3</v>
      </c>
      <c r="AZ100" s="9" t="n">
        <v>-0.2999999999999545</v>
      </c>
      <c r="BA100" s="9" t="n">
        <v>21068.09999999998</v>
      </c>
      <c r="BE100" s="10" t="n">
        <v>46106</v>
      </c>
      <c r="BG100" s="9" t="n">
        <v>3450</v>
      </c>
      <c r="BH100" s="9" t="n">
        <v>3450.8</v>
      </c>
      <c r="BI100" s="9" t="n">
        <v>-0.8000000000001819</v>
      </c>
      <c r="BJ100" s="9" t="n">
        <v>9155.100000000002</v>
      </c>
      <c r="BN100" s="10" t="n">
        <v>46106</v>
      </c>
      <c r="BO100" s="9" t="n">
        <v>3195</v>
      </c>
      <c r="BP100" s="9" t="n">
        <v>3195</v>
      </c>
      <c r="BQ100" s="9" t="n">
        <v>3195</v>
      </c>
      <c r="BR100" s="9" t="n">
        <v>0</v>
      </c>
      <c r="BS100" s="9" t="n">
        <v>0</v>
      </c>
      <c r="BW100" s="10" t="n">
        <v>46106</v>
      </c>
      <c r="BY100" s="9" t="n">
        <v>55.00000000000001</v>
      </c>
      <c r="CA100" s="9" t="n">
        <v>55.00000000000001</v>
      </c>
      <c r="CB100" s="9" t="n">
        <v>2708.3</v>
      </c>
      <c r="CF100" s="10" t="n">
        <v>46106</v>
      </c>
      <c r="CH100" s="9" t="n">
        <v>690</v>
      </c>
      <c r="CJ100" s="9" t="n">
        <v>690</v>
      </c>
      <c r="CK100" s="9" t="n">
        <v>0</v>
      </c>
      <c r="CO100" s="10" t="n">
        <v>46106</v>
      </c>
      <c r="CQ100" s="9" t="n">
        <v>0</v>
      </c>
      <c r="CS100" s="9" t="n">
        <v>0</v>
      </c>
      <c r="CT100" s="9" t="n">
        <v>0</v>
      </c>
      <c r="CX100" s="10" t="n">
        <v>46106</v>
      </c>
      <c r="CY100" s="9" t="n">
        <v>25040</v>
      </c>
      <c r="CZ100" s="9" t="n">
        <v>500</v>
      </c>
      <c r="DA100" s="9" t="n">
        <v>501.4</v>
      </c>
      <c r="DB100" s="9" t="n">
        <v>-1.399999999999977</v>
      </c>
      <c r="DC100" s="9" t="n">
        <v>39980.1</v>
      </c>
      <c r="DG100" s="10" t="n">
        <v>46106</v>
      </c>
      <c r="DI100" s="9" t="n">
        <v>400</v>
      </c>
      <c r="DJ100" s="9" t="n">
        <v>400.4</v>
      </c>
      <c r="DK100" s="9" t="n">
        <v>-0.3999999999999773</v>
      </c>
      <c r="DL100" s="9" t="n">
        <v>11919.4</v>
      </c>
      <c r="DP100" s="10" t="n">
        <v>46106</v>
      </c>
      <c r="DR100" s="9" t="n">
        <v>0</v>
      </c>
      <c r="DT100" s="9" t="n">
        <v>0</v>
      </c>
      <c r="DU100" s="9" t="n">
        <v>7150</v>
      </c>
      <c r="DY100" s="10" t="n">
        <v>46106</v>
      </c>
      <c r="EA100" s="9" t="n">
        <v>0</v>
      </c>
      <c r="EC100" s="9" t="n">
        <v>0</v>
      </c>
      <c r="ED100" s="9" t="n">
        <v>2947.3</v>
      </c>
      <c r="EH100" s="10" t="n">
        <v>46106</v>
      </c>
      <c r="EJ100" s="9" t="n">
        <v>0</v>
      </c>
      <c r="EL100" s="9" t="n">
        <v>0</v>
      </c>
      <c r="EM100" s="9" t="n">
        <v>0</v>
      </c>
      <c r="EQ100" s="10" t="n">
        <v>46106</v>
      </c>
      <c r="ES100" s="9" t="n">
        <v>0</v>
      </c>
      <c r="EU100" s="9" t="n">
        <v>0</v>
      </c>
      <c r="EV100" s="9" t="n">
        <v>0</v>
      </c>
      <c r="EZ100" s="10" t="n">
        <v>46106</v>
      </c>
      <c r="FB100" s="9" t="n">
        <v>0</v>
      </c>
      <c r="FD100" s="9" t="n">
        <v>0</v>
      </c>
      <c r="FE100" s="9" t="n">
        <v>0</v>
      </c>
      <c r="FI100" s="10" t="n">
        <v>46106</v>
      </c>
      <c r="FK100" s="9" t="n">
        <v>0</v>
      </c>
      <c r="FM100" s="9" t="n">
        <v>0</v>
      </c>
      <c r="FN100" s="9" t="n">
        <v>0</v>
      </c>
      <c r="FR100" s="10" t="n">
        <v>46106</v>
      </c>
      <c r="FT100" s="9" t="n">
        <v>0</v>
      </c>
      <c r="FV100" s="9" t="n">
        <v>0</v>
      </c>
      <c r="FW100" s="9" t="n">
        <v>3220</v>
      </c>
      <c r="GA100" s="10" t="n">
        <v>46106</v>
      </c>
      <c r="GC100" s="9" t="n">
        <v>2400</v>
      </c>
      <c r="GE100" s="9" t="n">
        <v>2400</v>
      </c>
      <c r="GF100" s="9" t="n">
        <v>0</v>
      </c>
      <c r="GJ100" s="10" t="n">
        <v>46106</v>
      </c>
      <c r="GL100" s="9" t="n">
        <v>0</v>
      </c>
      <c r="GN100" s="9" t="n">
        <v>0</v>
      </c>
      <c r="GO100" s="9" t="n">
        <v>5240</v>
      </c>
      <c r="GS100" s="10" t="n">
        <v>46106</v>
      </c>
      <c r="GU100" s="9" t="n">
        <v>0</v>
      </c>
      <c r="GW100" s="9" t="n">
        <v>0</v>
      </c>
      <c r="GX100" s="9" t="n">
        <v>0</v>
      </c>
      <c r="HB100" s="10" t="n">
        <v>46106</v>
      </c>
      <c r="HD100" s="9" t="n">
        <v>0</v>
      </c>
      <c r="HF100" s="9" t="n">
        <v>0</v>
      </c>
      <c r="HG100" s="9" t="n">
        <v>0</v>
      </c>
      <c r="HK100" s="10" t="n">
        <v>46106</v>
      </c>
      <c r="HM100" s="9" t="n">
        <v>0</v>
      </c>
      <c r="HO100" s="9" t="n">
        <v>0</v>
      </c>
      <c r="HP100" s="9" t="n">
        <v>0</v>
      </c>
      <c r="HU100" s="10" t="n">
        <v>46106</v>
      </c>
      <c r="HW100" s="9" t="n">
        <v>0</v>
      </c>
      <c r="HY100" s="9" t="n">
        <v>0</v>
      </c>
      <c r="HZ100" s="9" t="n">
        <v>5120</v>
      </c>
      <c r="ID100" s="10" t="n">
        <v>46106</v>
      </c>
      <c r="IF100" s="9" t="n">
        <v>0</v>
      </c>
      <c r="IH100" s="9" t="n">
        <v>0</v>
      </c>
      <c r="II100" s="9" t="n">
        <v>6540</v>
      </c>
      <c r="IM100" s="10" t="n">
        <v>46106</v>
      </c>
      <c r="IO100" s="9" t="n">
        <v>0</v>
      </c>
      <c r="IQ100" s="9" t="n">
        <v>0</v>
      </c>
      <c r="IR100" s="9" t="n">
        <v>11540</v>
      </c>
      <c r="IV100" s="10" t="n">
        <v>46106</v>
      </c>
      <c r="IX100" s="9" t="n">
        <v>0</v>
      </c>
      <c r="IZ100" s="9" t="n">
        <v>0</v>
      </c>
      <c r="JA100" s="9" t="n">
        <v>15120</v>
      </c>
      <c r="JE100" s="10" t="n">
        <v>46106</v>
      </c>
      <c r="JG100" s="9" t="n">
        <v>0</v>
      </c>
      <c r="JI100" s="9" t="n">
        <v>0</v>
      </c>
      <c r="JJ100" s="9" t="n">
        <v>5040</v>
      </c>
      <c r="JN100" s="10" t="n">
        <v>46106</v>
      </c>
      <c r="JP100" s="9" t="n">
        <v>0</v>
      </c>
      <c r="JR100" s="9" t="n">
        <v>0</v>
      </c>
      <c r="JS100" s="9" t="n">
        <v>9100</v>
      </c>
      <c r="JW100" s="10" t="n">
        <v>46106</v>
      </c>
      <c r="JY100" s="9" t="n">
        <v>0</v>
      </c>
      <c r="KA100" s="9" t="n">
        <v>0</v>
      </c>
      <c r="KB100" s="9" t="n">
        <v>5140</v>
      </c>
      <c r="KF100" s="10" t="n">
        <v>46106</v>
      </c>
      <c r="KH100" s="9" t="n">
        <v>0</v>
      </c>
      <c r="KJ100" s="9" t="n">
        <v>0</v>
      </c>
      <c r="KK100" s="9" t="n">
        <v>8989.5</v>
      </c>
      <c r="KO100" s="10" t="n">
        <v>46106</v>
      </c>
      <c r="KQ100" s="9" t="n">
        <v>189</v>
      </c>
      <c r="KS100" s="9" t="n">
        <v>189</v>
      </c>
      <c r="KT100" s="9" t="n">
        <v>6804</v>
      </c>
      <c r="KX100" s="10" t="n">
        <v>46106</v>
      </c>
      <c r="KZ100" s="9" t="n">
        <v>0</v>
      </c>
      <c r="LB100" s="9" t="n">
        <v>0</v>
      </c>
      <c r="LC100" s="9" t="n">
        <v>0</v>
      </c>
      <c r="LG100" s="10" t="n">
        <v>46106</v>
      </c>
      <c r="LI100" s="9" t="n">
        <v>0</v>
      </c>
      <c r="LK100" s="9" t="n">
        <v>0</v>
      </c>
      <c r="LL100" s="9" t="n">
        <v>0</v>
      </c>
      <c r="LP100" s="10" t="n">
        <v>46106</v>
      </c>
      <c r="LR100" s="9" t="n">
        <v>0</v>
      </c>
      <c r="LT100" s="9" t="n">
        <v>0</v>
      </c>
      <c r="LU100" s="9" t="n">
        <v>0</v>
      </c>
      <c r="LY100" s="10" t="n">
        <v>46106</v>
      </c>
      <c r="MA100" s="9" t="n">
        <v>0</v>
      </c>
      <c r="MC100" s="9" t="n">
        <v>0</v>
      </c>
      <c r="MD100" s="9" t="n">
        <v>0</v>
      </c>
      <c r="MH100" s="10" t="n">
        <v>46106</v>
      </c>
      <c r="MJ100" s="9" t="n">
        <v>0</v>
      </c>
      <c r="ML100" s="9" t="n">
        <v>0</v>
      </c>
      <c r="MM100" s="9" t="n">
        <v>0</v>
      </c>
      <c r="MQ100" s="10" t="n">
        <v>46106</v>
      </c>
      <c r="MS100" s="9" t="n">
        <v>80</v>
      </c>
      <c r="MU100" s="9" t="n">
        <v>80</v>
      </c>
      <c r="MV100" s="9" t="n">
        <v>4551</v>
      </c>
      <c r="MZ100" s="10" t="n">
        <v>46106</v>
      </c>
      <c r="NB100" s="9" t="n">
        <v>30</v>
      </c>
      <c r="ND100" s="9" t="n">
        <v>30</v>
      </c>
      <c r="NE100" s="9" t="n">
        <v>0</v>
      </c>
      <c r="NI100" s="10" t="n">
        <v>46106</v>
      </c>
      <c r="NK100" s="9" t="n">
        <v>0</v>
      </c>
      <c r="NM100" s="9" t="n">
        <v>0</v>
      </c>
      <c r="NN100" s="9" t="n">
        <v>465</v>
      </c>
      <c r="NR100" s="10" t="n">
        <v>46106</v>
      </c>
      <c r="NT100" s="9" t="n">
        <v>12</v>
      </c>
      <c r="NV100" s="9" t="n">
        <v>12</v>
      </c>
      <c r="NW100" s="9" t="n">
        <v>1264.9</v>
      </c>
      <c r="OA100" s="10" t="n">
        <v>46106</v>
      </c>
      <c r="OC100" s="9" t="n">
        <v>0</v>
      </c>
      <c r="OE100" s="9" t="n">
        <v>0</v>
      </c>
      <c r="OF100" s="9" t="n">
        <v>1680.5</v>
      </c>
      <c r="OJ100" s="10" t="n">
        <v>46106</v>
      </c>
      <c r="OL100" s="9" t="n">
        <v>27.99999999999999</v>
      </c>
      <c r="ON100" s="9" t="n">
        <v>27.99999999999999</v>
      </c>
      <c r="OO100" s="9" t="n">
        <v>0</v>
      </c>
      <c r="OS100" s="10" t="n">
        <v>46106</v>
      </c>
      <c r="OU100" s="9" t="n">
        <v>0</v>
      </c>
      <c r="OW100" s="9" t="n">
        <v>0</v>
      </c>
      <c r="OX100" s="9" t="n">
        <v>1000</v>
      </c>
      <c r="PB100" s="10" t="n">
        <v>46106</v>
      </c>
      <c r="PD100" s="9" t="n">
        <v>0</v>
      </c>
      <c r="PF100" s="9" t="n">
        <v>0</v>
      </c>
      <c r="PG100" s="9" t="n">
        <v>0</v>
      </c>
      <c r="PK100" s="10" t="n">
        <v>46106</v>
      </c>
      <c r="PM100" s="9" t="n">
        <v>0</v>
      </c>
      <c r="PO100" s="9" t="n">
        <v>0</v>
      </c>
      <c r="PP100" s="9" t="n">
        <v>100</v>
      </c>
      <c r="PT100" s="10" t="n">
        <v>46106</v>
      </c>
      <c r="PV100" s="9" t="n">
        <v>0</v>
      </c>
      <c r="PX100" s="9" t="n">
        <v>0</v>
      </c>
      <c r="PY100" s="9" t="n">
        <v>13.96000000000004</v>
      </c>
      <c r="QC100" s="10" t="n">
        <v>46106</v>
      </c>
      <c r="QE100" s="9" t="n">
        <v>0</v>
      </c>
      <c r="QG100" s="9" t="n">
        <v>0</v>
      </c>
      <c r="QH100" s="9" t="n">
        <v>1212</v>
      </c>
      <c r="QL100" s="10" t="n">
        <v>46106</v>
      </c>
      <c r="QN100" s="9" t="n">
        <v>0</v>
      </c>
      <c r="QP100" s="9" t="n">
        <v>0</v>
      </c>
      <c r="QQ100" s="9" t="n">
        <v>0</v>
      </c>
      <c r="QU100" s="10" t="n">
        <v>46106</v>
      </c>
      <c r="QW100" s="9" t="n">
        <v>0</v>
      </c>
      <c r="QY100" s="9" t="n">
        <v>0</v>
      </c>
      <c r="QZ100" s="9" t="n">
        <v>207.6</v>
      </c>
      <c r="RD100" s="10" t="n">
        <v>46106</v>
      </c>
      <c r="RF100" s="9" t="n">
        <v>0</v>
      </c>
      <c r="RH100" s="9" t="n">
        <v>0</v>
      </c>
      <c r="RI100" s="9" t="n">
        <v>197.04</v>
      </c>
      <c r="RM100" s="10" t="n">
        <v>46106</v>
      </c>
      <c r="RO100" s="9" t="n">
        <v>0</v>
      </c>
      <c r="RQ100" s="9" t="n">
        <v>0</v>
      </c>
      <c r="RR100" s="9" t="n">
        <v>46.8</v>
      </c>
      <c r="RV100" s="10" t="n">
        <v>46106</v>
      </c>
      <c r="RX100" s="9" t="n">
        <v>0</v>
      </c>
      <c r="RZ100" s="9" t="n">
        <v>0</v>
      </c>
      <c r="SA100" s="9" t="n">
        <v>0</v>
      </c>
      <c r="SE100" s="10" t="n">
        <v>46106</v>
      </c>
      <c r="SG100" s="9" t="n">
        <v>0</v>
      </c>
      <c r="SI100" s="9" t="n">
        <v>0</v>
      </c>
      <c r="SJ100" s="9" t="n">
        <v>0</v>
      </c>
      <c r="SN100" s="10" t="n">
        <v>46106</v>
      </c>
      <c r="SP100" s="9" t="n">
        <v>0</v>
      </c>
      <c r="SR100" s="9" t="n">
        <v>0</v>
      </c>
      <c r="SS100" s="9" t="n">
        <v>0</v>
      </c>
      <c r="SW100" s="10" t="n">
        <v>46106</v>
      </c>
      <c r="SY100" s="9" t="n">
        <v>0</v>
      </c>
      <c r="TA100" s="9" t="n">
        <v>0</v>
      </c>
      <c r="TB100" s="9" t="n">
        <v>0</v>
      </c>
      <c r="TF100" s="10" t="n">
        <v>46106</v>
      </c>
      <c r="TH100" s="9" t="n">
        <v>0</v>
      </c>
      <c r="TJ100" s="9" t="n">
        <v>0</v>
      </c>
      <c r="TK100" s="9" t="n">
        <v>0</v>
      </c>
      <c r="TO100" s="10" t="n">
        <v>46106</v>
      </c>
      <c r="TQ100" s="9" t="n">
        <v>0</v>
      </c>
      <c r="TS100" s="9" t="n">
        <v>0</v>
      </c>
      <c r="TT100" s="9" t="n">
        <v>0</v>
      </c>
      <c r="TX100" s="10" t="n">
        <v>46106</v>
      </c>
      <c r="TZ100" s="9" t="n">
        <v>0</v>
      </c>
      <c r="UB100" s="9" t="n">
        <v>0</v>
      </c>
      <c r="UC100" s="9" t="n">
        <v>0</v>
      </c>
      <c r="UG100" s="10" t="n">
        <v>46106</v>
      </c>
      <c r="UI100" s="9" t="n">
        <v>0</v>
      </c>
      <c r="UK100" s="9" t="n">
        <v>0</v>
      </c>
      <c r="UL100" s="9" t="n">
        <v>0</v>
      </c>
      <c r="UP100" s="10" t="n">
        <v>46106</v>
      </c>
      <c r="UR100" s="9" t="n">
        <v>0</v>
      </c>
      <c r="UT100" s="9" t="n">
        <v>0</v>
      </c>
      <c r="UU100" s="9" t="n">
        <v>0</v>
      </c>
      <c r="UY100" s="10" t="n">
        <v>46106</v>
      </c>
      <c r="VA100" s="9" t="n">
        <v>0</v>
      </c>
      <c r="VC100" s="9" t="n">
        <v>0</v>
      </c>
      <c r="VD100" s="9" t="n">
        <v>41.60000000000002</v>
      </c>
      <c r="VH100" s="10" t="n">
        <v>46106</v>
      </c>
      <c r="VJ100" s="9" t="n">
        <v>0</v>
      </c>
      <c r="VL100" s="9" t="n">
        <v>0</v>
      </c>
      <c r="VM100" s="9" t="n">
        <v>0</v>
      </c>
      <c r="VQ100" s="10" t="n">
        <v>46106</v>
      </c>
      <c r="VS100" s="9" t="n">
        <v>0</v>
      </c>
      <c r="VU100" s="9" t="n">
        <v>0</v>
      </c>
      <c r="VV100" s="9" t="n">
        <v>0</v>
      </c>
      <c r="VZ100" s="10" t="n">
        <v>46106</v>
      </c>
      <c r="WB100" s="9" t="n">
        <v>0</v>
      </c>
      <c r="WD100" s="9" t="n">
        <v>0</v>
      </c>
      <c r="WE100" s="9" t="n">
        <v>0</v>
      </c>
      <c r="WI100" s="10" t="n">
        <v>46106</v>
      </c>
      <c r="WK100" s="9" t="n">
        <v>0</v>
      </c>
      <c r="WM100" s="9" t="n">
        <v>0</v>
      </c>
      <c r="WN100" s="9" t="n">
        <v>5180</v>
      </c>
      <c r="WR100" s="10" t="n">
        <v>46106</v>
      </c>
      <c r="WT100" s="9" t="n">
        <v>0</v>
      </c>
      <c r="WU100" s="9" t="n">
        <v>2415</v>
      </c>
      <c r="WV100" s="9" t="n">
        <v>-2415</v>
      </c>
      <c r="WW100" s="9" t="n">
        <v>850</v>
      </c>
      <c r="XA100" s="10" t="n">
        <v>46106</v>
      </c>
      <c r="XC100" s="9" t="n">
        <v>0</v>
      </c>
      <c r="XE100" s="9" t="n">
        <v>0</v>
      </c>
      <c r="XF100" s="9" t="n">
        <v>7142</v>
      </c>
      <c r="XJ100" s="10" t="n">
        <v>46106</v>
      </c>
      <c r="XL100" s="9" t="n">
        <v>0</v>
      </c>
      <c r="XN100" s="9" t="n">
        <v>0</v>
      </c>
      <c r="XO100" s="9" t="n">
        <v>7549</v>
      </c>
      <c r="XS100" s="10" t="n">
        <v>46106</v>
      </c>
      <c r="XU100" s="9" t="n">
        <v>0</v>
      </c>
      <c r="XW100" s="9" t="n">
        <v>0</v>
      </c>
      <c r="XX100" s="9" t="n">
        <v>1901</v>
      </c>
      <c r="YB100" s="10" t="n">
        <v>46106</v>
      </c>
      <c r="YD100" s="9" t="n">
        <v>0</v>
      </c>
      <c r="YF100" s="9" t="n">
        <v>0</v>
      </c>
      <c r="YG100" s="9" t="n">
        <v>6459</v>
      </c>
      <c r="YK100" s="10" t="n">
        <v>46106</v>
      </c>
      <c r="YM100" s="9" t="n">
        <v>0</v>
      </c>
      <c r="YO100" s="9" t="n">
        <v>0</v>
      </c>
      <c r="YP100" s="9" t="n">
        <v>0</v>
      </c>
      <c r="YT100" s="10" t="n">
        <v>46106</v>
      </c>
      <c r="YV100" s="9" t="n">
        <v>0</v>
      </c>
      <c r="YX100" s="9" t="n">
        <v>0</v>
      </c>
      <c r="YY100" s="9" t="n">
        <v>0</v>
      </c>
      <c r="ZC100" s="10" t="n">
        <v>46106</v>
      </c>
      <c r="ZE100" s="9" t="n">
        <v>0</v>
      </c>
      <c r="ZG100" s="9" t="n">
        <v>0</v>
      </c>
      <c r="ZH100" s="9" t="n">
        <v>0</v>
      </c>
      <c r="ZL100" s="10" t="n">
        <v>46106</v>
      </c>
      <c r="ZN100" s="9" t="n">
        <v>0</v>
      </c>
      <c r="ZP100" s="9" t="n">
        <v>0</v>
      </c>
      <c r="ZQ100" s="9" t="n">
        <v>0</v>
      </c>
      <c r="ZU100" s="10" t="n">
        <v>46106</v>
      </c>
      <c r="ZW100" s="9" t="n">
        <v>0</v>
      </c>
      <c r="ZY100" s="9" t="n">
        <v>0</v>
      </c>
      <c r="ZZ100" s="9" t="n">
        <v>0</v>
      </c>
      <c r="AAD100" s="10" t="n">
        <v>46106</v>
      </c>
      <c r="AAF100" s="9" t="n">
        <v>0</v>
      </c>
      <c r="AAH100" s="9" t="n">
        <v>0</v>
      </c>
      <c r="AAI100" s="9" t="n">
        <v>0</v>
      </c>
      <c r="AAM100" s="10" t="n">
        <v>46106</v>
      </c>
      <c r="AAO100" s="9" t="n">
        <v>0</v>
      </c>
      <c r="AAQ100" s="9" t="n">
        <v>0</v>
      </c>
      <c r="AAR100" s="9" t="n">
        <v>0</v>
      </c>
      <c r="AAV100" s="10" t="n">
        <v>46106</v>
      </c>
      <c r="AAX100" s="9" t="n">
        <v>0</v>
      </c>
      <c r="AAZ100" s="9" t="n">
        <v>0</v>
      </c>
      <c r="ABA100" s="9" t="n">
        <v>0</v>
      </c>
      <c r="ABE100" s="10" t="n">
        <v>46106</v>
      </c>
      <c r="ABG100" s="9" t="n">
        <v>0</v>
      </c>
      <c r="ABI100" s="9" t="n">
        <v>0</v>
      </c>
      <c r="ABJ100" s="9" t="n">
        <v>0</v>
      </c>
    </row>
    <row r="101">
      <c r="B101" s="9" t="n">
        <v>50</v>
      </c>
      <c r="C101" s="10" t="n">
        <v>46107</v>
      </c>
      <c r="E101" s="9" t="n">
        <v>26280.8</v>
      </c>
      <c r="F101" s="9" t="n">
        <v>26265.8</v>
      </c>
      <c r="G101" s="9" t="n">
        <v>15</v>
      </c>
      <c r="H101" s="9" t="n">
        <v>136955.4</v>
      </c>
      <c r="I101" s="9" t="inlineStr">
        <is>
          <t>121 24mt, 123 10mt, 1101 16mt</t>
        </is>
      </c>
      <c r="L101" s="10" t="n">
        <v>46107</v>
      </c>
      <c r="N101" s="9" t="n">
        <v>12659</v>
      </c>
      <c r="O101" s="9" t="n">
        <v>12662.8</v>
      </c>
      <c r="P101" s="9" t="n">
        <v>-3.799999999999272</v>
      </c>
      <c r="Q101" s="9" t="n">
        <v>57445.20000000008</v>
      </c>
      <c r="U101" s="10" t="n">
        <v>46107</v>
      </c>
      <c r="W101" s="9" t="n">
        <v>2846</v>
      </c>
      <c r="X101" s="9" t="n">
        <v>2846.4</v>
      </c>
      <c r="Y101" s="9" t="n">
        <v>-0.4000000000000909</v>
      </c>
      <c r="Z101" s="9" t="n">
        <v>37247.29999999997</v>
      </c>
      <c r="AD101" s="10" t="n">
        <v>46107</v>
      </c>
      <c r="AF101" s="9" t="n">
        <v>1160</v>
      </c>
      <c r="AG101" s="9" t="n">
        <v>1161.3</v>
      </c>
      <c r="AH101" s="9" t="n">
        <v>-1.299999999999955</v>
      </c>
      <c r="AI101" s="9" t="n">
        <v>35497.00000000001</v>
      </c>
      <c r="AM101" s="10" t="n">
        <v>46107</v>
      </c>
      <c r="AO101" s="9" t="n">
        <v>0</v>
      </c>
      <c r="AQ101" s="9" t="n">
        <v>0</v>
      </c>
      <c r="AR101" s="9" t="n">
        <v>0</v>
      </c>
      <c r="AV101" s="10" t="n">
        <v>46107</v>
      </c>
      <c r="AX101" s="9" t="n">
        <v>920</v>
      </c>
      <c r="AY101" s="9" t="n">
        <v>921.6</v>
      </c>
      <c r="AZ101" s="9" t="n">
        <v>-1.600000000000023</v>
      </c>
      <c r="BA101" s="9" t="n">
        <v>20146.49999999999</v>
      </c>
      <c r="BE101" s="10" t="n">
        <v>46107</v>
      </c>
      <c r="BG101" s="9" t="n">
        <v>1122</v>
      </c>
      <c r="BH101" s="9" t="n">
        <v>1121.5</v>
      </c>
      <c r="BI101" s="9" t="n">
        <v>0.5</v>
      </c>
      <c r="BJ101" s="9" t="n">
        <v>8033.600000000002</v>
      </c>
      <c r="BN101" s="10" t="n">
        <v>46107</v>
      </c>
      <c r="BO101" s="9" t="n">
        <v>875</v>
      </c>
      <c r="BP101" s="9" t="n">
        <v>875</v>
      </c>
      <c r="BQ101" s="9" t="n">
        <v>875</v>
      </c>
      <c r="BR101" s="9" t="n">
        <v>0</v>
      </c>
      <c r="BS101" s="9" t="n">
        <v>0</v>
      </c>
      <c r="BW101" s="10" t="n">
        <v>46107</v>
      </c>
      <c r="BX101" s="9" t="n">
        <v>10000</v>
      </c>
      <c r="BY101" s="9" t="n">
        <v>199</v>
      </c>
      <c r="CA101" s="9" t="n">
        <v>199</v>
      </c>
      <c r="CB101" s="9" t="n">
        <v>12708.3</v>
      </c>
      <c r="CF101" s="10" t="n">
        <v>46107</v>
      </c>
      <c r="CH101" s="9" t="n">
        <v>272.4</v>
      </c>
      <c r="CJ101" s="9" t="n">
        <v>272.4</v>
      </c>
      <c r="CK101" s="9" t="n">
        <v>0</v>
      </c>
      <c r="CO101" s="10" t="n">
        <v>46107</v>
      </c>
      <c r="CQ101" s="9" t="n">
        <v>0</v>
      </c>
      <c r="CS101" s="9" t="n">
        <v>0</v>
      </c>
      <c r="CT101" s="9" t="n">
        <v>0</v>
      </c>
      <c r="CX101" s="10" t="n">
        <v>46107</v>
      </c>
      <c r="CZ101" s="9" t="n">
        <v>1304</v>
      </c>
      <c r="DA101" s="9" t="n">
        <v>1304.4</v>
      </c>
      <c r="DB101" s="9" t="n">
        <v>-0.4000000000000909</v>
      </c>
      <c r="DC101" s="9" t="n">
        <v>38675.7</v>
      </c>
      <c r="DG101" s="10" t="n">
        <v>46107</v>
      </c>
      <c r="DI101" s="9" t="n">
        <v>484</v>
      </c>
      <c r="DJ101" s="9" t="n">
        <v>485</v>
      </c>
      <c r="DK101" s="9" t="n">
        <v>-1</v>
      </c>
      <c r="DL101" s="9" t="n">
        <v>11434.4</v>
      </c>
      <c r="DP101" s="10" t="n">
        <v>46107</v>
      </c>
      <c r="DR101" s="9" t="n">
        <v>0</v>
      </c>
      <c r="DT101" s="9" t="n">
        <v>0</v>
      </c>
      <c r="DU101" s="9" t="n">
        <v>7150</v>
      </c>
      <c r="DY101" s="10" t="n">
        <v>46107</v>
      </c>
      <c r="EA101" s="9" t="n">
        <v>600</v>
      </c>
      <c r="EB101" s="9" t="n">
        <v>600</v>
      </c>
      <c r="EC101" s="9" t="n">
        <v>0</v>
      </c>
      <c r="ED101" s="9" t="n">
        <v>2347.3</v>
      </c>
      <c r="EH101" s="10" t="n">
        <v>46107</v>
      </c>
      <c r="EJ101" s="9" t="n">
        <v>0</v>
      </c>
      <c r="EL101" s="9" t="n">
        <v>0</v>
      </c>
      <c r="EM101" s="9" t="n">
        <v>0</v>
      </c>
      <c r="EQ101" s="10" t="n">
        <v>46107</v>
      </c>
      <c r="ES101" s="9" t="n">
        <v>0</v>
      </c>
      <c r="EU101" s="9" t="n">
        <v>0</v>
      </c>
      <c r="EV101" s="9" t="n">
        <v>0</v>
      </c>
      <c r="EZ101" s="10" t="n">
        <v>46107</v>
      </c>
      <c r="FB101" s="9" t="n">
        <v>0</v>
      </c>
      <c r="FD101" s="9" t="n">
        <v>0</v>
      </c>
      <c r="FE101" s="9" t="n">
        <v>0</v>
      </c>
      <c r="FI101" s="10" t="n">
        <v>46107</v>
      </c>
      <c r="FK101" s="9" t="n">
        <v>0</v>
      </c>
      <c r="FM101" s="9" t="n">
        <v>0</v>
      </c>
      <c r="FN101" s="9" t="n">
        <v>0</v>
      </c>
      <c r="FR101" s="10" t="n">
        <v>46107</v>
      </c>
      <c r="FT101" s="9" t="n">
        <v>320</v>
      </c>
      <c r="FV101" s="9" t="n">
        <v>320</v>
      </c>
      <c r="FW101" s="9" t="n">
        <v>3220</v>
      </c>
      <c r="GA101" s="10" t="n">
        <v>46107</v>
      </c>
      <c r="GC101" s="9" t="n">
        <v>0</v>
      </c>
      <c r="GE101" s="9" t="n">
        <v>0</v>
      </c>
      <c r="GF101" s="9" t="n">
        <v>0</v>
      </c>
      <c r="GJ101" s="10" t="n">
        <v>46107</v>
      </c>
      <c r="GL101" s="9" t="n">
        <v>0</v>
      </c>
      <c r="GN101" s="9" t="n">
        <v>0</v>
      </c>
      <c r="GO101" s="9" t="n">
        <v>5240</v>
      </c>
      <c r="GS101" s="10" t="n">
        <v>46107</v>
      </c>
      <c r="GU101" s="9" t="n">
        <v>0</v>
      </c>
      <c r="GW101" s="9" t="n">
        <v>0</v>
      </c>
      <c r="GX101" s="9" t="n">
        <v>0</v>
      </c>
      <c r="HB101" s="10" t="n">
        <v>46107</v>
      </c>
      <c r="HD101" s="9" t="n">
        <v>0</v>
      </c>
      <c r="HF101" s="9" t="n">
        <v>0</v>
      </c>
      <c r="HG101" s="9" t="n">
        <v>0</v>
      </c>
      <c r="HK101" s="10" t="n">
        <v>46107</v>
      </c>
      <c r="HM101" s="9" t="n">
        <v>0</v>
      </c>
      <c r="HO101" s="9" t="n">
        <v>0</v>
      </c>
      <c r="HP101" s="9" t="n">
        <v>0</v>
      </c>
      <c r="HU101" s="10" t="n">
        <v>46107</v>
      </c>
      <c r="HW101" s="9" t="n">
        <v>0</v>
      </c>
      <c r="HY101" s="9" t="n">
        <v>0</v>
      </c>
      <c r="HZ101" s="9" t="n">
        <v>5120</v>
      </c>
      <c r="ID101" s="10" t="n">
        <v>46107</v>
      </c>
      <c r="IF101" s="9" t="n">
        <v>0</v>
      </c>
      <c r="IH101" s="9" t="n">
        <v>0</v>
      </c>
      <c r="II101" s="9" t="n">
        <v>6540</v>
      </c>
      <c r="IM101" s="10" t="n">
        <v>46107</v>
      </c>
      <c r="IO101" s="9" t="n">
        <v>0</v>
      </c>
      <c r="IQ101" s="9" t="n">
        <v>0</v>
      </c>
      <c r="IR101" s="9" t="n">
        <v>11540</v>
      </c>
      <c r="IV101" s="10" t="n">
        <v>46107</v>
      </c>
      <c r="IX101" s="9" t="n">
        <v>0</v>
      </c>
      <c r="IZ101" s="9" t="n">
        <v>0</v>
      </c>
      <c r="JA101" s="9" t="n">
        <v>15120</v>
      </c>
      <c r="JE101" s="10" t="n">
        <v>46107</v>
      </c>
      <c r="JG101" s="9" t="n">
        <v>0</v>
      </c>
      <c r="JI101" s="9" t="n">
        <v>0</v>
      </c>
      <c r="JJ101" s="9" t="n">
        <v>5040</v>
      </c>
      <c r="JN101" s="10" t="n">
        <v>46107</v>
      </c>
      <c r="JP101" s="9" t="n">
        <v>0</v>
      </c>
      <c r="JR101" s="9" t="n">
        <v>0</v>
      </c>
      <c r="JS101" s="9" t="n">
        <v>9100</v>
      </c>
      <c r="JW101" s="10" t="n">
        <v>46107</v>
      </c>
      <c r="JY101" s="9" t="n">
        <v>480</v>
      </c>
      <c r="KA101" s="9" t="n">
        <v>480</v>
      </c>
      <c r="KB101" s="9" t="n">
        <v>5140</v>
      </c>
      <c r="KF101" s="10" t="n">
        <v>46107</v>
      </c>
      <c r="KH101" s="9" t="n">
        <v>0</v>
      </c>
      <c r="KJ101" s="9" t="n">
        <v>0</v>
      </c>
      <c r="KK101" s="9" t="n">
        <v>8989.5</v>
      </c>
      <c r="KO101" s="10" t="n">
        <v>46107</v>
      </c>
      <c r="KQ101" s="9" t="n">
        <v>189</v>
      </c>
      <c r="KS101" s="9" t="n">
        <v>189</v>
      </c>
      <c r="KT101" s="9" t="n">
        <v>6804</v>
      </c>
      <c r="KX101" s="10" t="n">
        <v>46107</v>
      </c>
      <c r="KZ101" s="9" t="n">
        <v>0</v>
      </c>
      <c r="LB101" s="9" t="n">
        <v>0</v>
      </c>
      <c r="LC101" s="9" t="n">
        <v>0</v>
      </c>
      <c r="LG101" s="10" t="n">
        <v>46107</v>
      </c>
      <c r="LI101" s="9" t="n">
        <v>0</v>
      </c>
      <c r="LK101" s="9" t="n">
        <v>0</v>
      </c>
      <c r="LL101" s="9" t="n">
        <v>0</v>
      </c>
      <c r="LP101" s="10" t="n">
        <v>46107</v>
      </c>
      <c r="LR101" s="9" t="n">
        <v>0</v>
      </c>
      <c r="LT101" s="9" t="n">
        <v>0</v>
      </c>
      <c r="LU101" s="9" t="n">
        <v>0</v>
      </c>
      <c r="LY101" s="10" t="n">
        <v>46107</v>
      </c>
      <c r="MA101" s="9" t="n">
        <v>0</v>
      </c>
      <c r="MC101" s="9" t="n">
        <v>0</v>
      </c>
      <c r="MD101" s="9" t="n">
        <v>0</v>
      </c>
      <c r="MH101" s="10" t="n">
        <v>46107</v>
      </c>
      <c r="MJ101" s="9" t="n">
        <v>0</v>
      </c>
      <c r="ML101" s="9" t="n">
        <v>0</v>
      </c>
      <c r="MM101" s="9" t="n">
        <v>0</v>
      </c>
      <c r="MQ101" s="10" t="n">
        <v>46107</v>
      </c>
      <c r="MS101" s="9" t="n">
        <v>76</v>
      </c>
      <c r="MU101" s="9" t="n">
        <v>76</v>
      </c>
      <c r="MV101" s="9" t="n">
        <v>4551</v>
      </c>
      <c r="MZ101" s="10" t="n">
        <v>46107</v>
      </c>
      <c r="NB101" s="9" t="n">
        <v>102</v>
      </c>
      <c r="ND101" s="9" t="n">
        <v>102</v>
      </c>
      <c r="NE101" s="9" t="n">
        <v>0</v>
      </c>
      <c r="NI101" s="10" t="n">
        <v>46107</v>
      </c>
      <c r="NJ101" s="9" t="n">
        <v>1600</v>
      </c>
      <c r="NK101" s="9" t="n">
        <v>0</v>
      </c>
      <c r="NM101" s="9" t="n">
        <v>0</v>
      </c>
      <c r="NN101" s="9" t="n">
        <v>2065</v>
      </c>
      <c r="NR101" s="10" t="n">
        <v>46107</v>
      </c>
      <c r="NS101" s="9" t="n">
        <v>3000</v>
      </c>
      <c r="NT101" s="9" t="n">
        <v>16.8</v>
      </c>
      <c r="NV101" s="9" t="n">
        <v>16.8</v>
      </c>
      <c r="NW101" s="9" t="n">
        <v>4264.9</v>
      </c>
      <c r="OA101" s="10" t="n">
        <v>46107</v>
      </c>
      <c r="OC101" s="9" t="n">
        <v>0</v>
      </c>
      <c r="OE101" s="9" t="n">
        <v>0</v>
      </c>
      <c r="OF101" s="9" t="n">
        <v>1680.5</v>
      </c>
      <c r="OJ101" s="10" t="n">
        <v>46107</v>
      </c>
      <c r="OL101" s="9" t="n">
        <v>94</v>
      </c>
      <c r="ON101" s="9" t="n">
        <v>94</v>
      </c>
      <c r="OO101" s="9" t="n">
        <v>0</v>
      </c>
      <c r="OS101" s="10" t="n">
        <v>46107</v>
      </c>
      <c r="OU101" s="9" t="n">
        <v>0</v>
      </c>
      <c r="OW101" s="9" t="n">
        <v>0</v>
      </c>
      <c r="OX101" s="9" t="n">
        <v>1000</v>
      </c>
      <c r="PB101" s="10" t="n">
        <v>46107</v>
      </c>
      <c r="PD101" s="9" t="n">
        <v>0</v>
      </c>
      <c r="PF101" s="9" t="n">
        <v>0</v>
      </c>
      <c r="PG101" s="9" t="n">
        <v>0</v>
      </c>
      <c r="PK101" s="10" t="n">
        <v>46107</v>
      </c>
      <c r="PM101" s="9" t="n">
        <v>0</v>
      </c>
      <c r="PO101" s="9" t="n">
        <v>0</v>
      </c>
      <c r="PP101" s="9" t="n">
        <v>100</v>
      </c>
      <c r="PT101" s="10" t="n">
        <v>46107</v>
      </c>
      <c r="PV101" s="9" t="n">
        <v>0</v>
      </c>
      <c r="PX101" s="9" t="n">
        <v>0</v>
      </c>
      <c r="PY101" s="9" t="n">
        <v>13.96000000000004</v>
      </c>
      <c r="QC101" s="10" t="n">
        <v>46107</v>
      </c>
      <c r="QE101" s="9" t="n">
        <v>0</v>
      </c>
      <c r="QG101" s="9" t="n">
        <v>0</v>
      </c>
      <c r="QH101" s="9" t="n">
        <v>1212</v>
      </c>
      <c r="QL101" s="10" t="n">
        <v>46107</v>
      </c>
      <c r="QN101" s="9" t="n">
        <v>0</v>
      </c>
      <c r="QP101" s="9" t="n">
        <v>0</v>
      </c>
      <c r="QQ101" s="9" t="n">
        <v>0</v>
      </c>
      <c r="QU101" s="10" t="n">
        <v>46107</v>
      </c>
      <c r="QW101" s="9" t="n">
        <v>0</v>
      </c>
      <c r="QY101" s="9" t="n">
        <v>0</v>
      </c>
      <c r="QZ101" s="9" t="n">
        <v>207.6</v>
      </c>
      <c r="RD101" s="10" t="n">
        <v>46107</v>
      </c>
      <c r="RF101" s="9" t="n">
        <v>0</v>
      </c>
      <c r="RH101" s="9" t="n">
        <v>0</v>
      </c>
      <c r="RI101" s="9" t="n">
        <v>197.04</v>
      </c>
      <c r="RM101" s="10" t="n">
        <v>46107</v>
      </c>
      <c r="RO101" s="9" t="n">
        <v>0</v>
      </c>
      <c r="RQ101" s="9" t="n">
        <v>0</v>
      </c>
      <c r="RR101" s="9" t="n">
        <v>46.8</v>
      </c>
      <c r="RV101" s="10" t="n">
        <v>46107</v>
      </c>
      <c r="RX101" s="9" t="n">
        <v>0</v>
      </c>
      <c r="RZ101" s="9" t="n">
        <v>0</v>
      </c>
      <c r="SA101" s="9" t="n">
        <v>0</v>
      </c>
      <c r="SE101" s="10" t="n">
        <v>46107</v>
      </c>
      <c r="SG101" s="9" t="n">
        <v>0</v>
      </c>
      <c r="SI101" s="9" t="n">
        <v>0</v>
      </c>
      <c r="SJ101" s="9" t="n">
        <v>0</v>
      </c>
      <c r="SN101" s="10" t="n">
        <v>46107</v>
      </c>
      <c r="SP101" s="9" t="n">
        <v>0</v>
      </c>
      <c r="SR101" s="9" t="n">
        <v>0</v>
      </c>
      <c r="SS101" s="9" t="n">
        <v>0</v>
      </c>
      <c r="SW101" s="10" t="n">
        <v>46107</v>
      </c>
      <c r="SY101" s="9" t="n">
        <v>0</v>
      </c>
      <c r="TA101" s="9" t="n">
        <v>0</v>
      </c>
      <c r="TB101" s="9" t="n">
        <v>0</v>
      </c>
      <c r="TF101" s="10" t="n">
        <v>46107</v>
      </c>
      <c r="TH101" s="9" t="n">
        <v>0</v>
      </c>
      <c r="TJ101" s="9" t="n">
        <v>0</v>
      </c>
      <c r="TK101" s="9" t="n">
        <v>0</v>
      </c>
      <c r="TO101" s="10" t="n">
        <v>46107</v>
      </c>
      <c r="TQ101" s="9" t="n">
        <v>0</v>
      </c>
      <c r="TS101" s="9" t="n">
        <v>0</v>
      </c>
      <c r="TT101" s="9" t="n">
        <v>0</v>
      </c>
      <c r="TX101" s="10" t="n">
        <v>46107</v>
      </c>
      <c r="TZ101" s="9" t="n">
        <v>0</v>
      </c>
      <c r="UB101" s="9" t="n">
        <v>0</v>
      </c>
      <c r="UC101" s="9" t="n">
        <v>0</v>
      </c>
      <c r="UG101" s="10" t="n">
        <v>46107</v>
      </c>
      <c r="UI101" s="9" t="n">
        <v>0</v>
      </c>
      <c r="UK101" s="9" t="n">
        <v>0</v>
      </c>
      <c r="UL101" s="9" t="n">
        <v>0</v>
      </c>
      <c r="UP101" s="10" t="n">
        <v>46107</v>
      </c>
      <c r="UR101" s="9" t="n">
        <v>0</v>
      </c>
      <c r="UT101" s="9" t="n">
        <v>0</v>
      </c>
      <c r="UU101" s="9" t="n">
        <v>0</v>
      </c>
      <c r="UY101" s="10" t="n">
        <v>46107</v>
      </c>
      <c r="VA101" s="9" t="n">
        <v>0</v>
      </c>
      <c r="VC101" s="9" t="n">
        <v>0</v>
      </c>
      <c r="VD101" s="9" t="n">
        <v>41.60000000000002</v>
      </c>
      <c r="VH101" s="10" t="n">
        <v>46107</v>
      </c>
      <c r="VJ101" s="9" t="n">
        <v>0</v>
      </c>
      <c r="VL101" s="9" t="n">
        <v>0</v>
      </c>
      <c r="VM101" s="9" t="n">
        <v>0</v>
      </c>
      <c r="VQ101" s="10" t="n">
        <v>46107</v>
      </c>
      <c r="VS101" s="9" t="n">
        <v>0</v>
      </c>
      <c r="VU101" s="9" t="n">
        <v>0</v>
      </c>
      <c r="VV101" s="9" t="n">
        <v>0</v>
      </c>
      <c r="VZ101" s="10" t="n">
        <v>46107</v>
      </c>
      <c r="WB101" s="9" t="n">
        <v>0</v>
      </c>
      <c r="WD101" s="9" t="n">
        <v>0</v>
      </c>
      <c r="WE101" s="9" t="n">
        <v>0</v>
      </c>
      <c r="WI101" s="10" t="n">
        <v>46107</v>
      </c>
      <c r="WK101" s="9" t="n">
        <v>0</v>
      </c>
      <c r="WL101" s="9" t="n">
        <v>323</v>
      </c>
      <c r="WM101" s="9" t="n">
        <v>-323</v>
      </c>
      <c r="WN101" s="9" t="n">
        <v>4857</v>
      </c>
      <c r="WR101" s="10" t="n">
        <v>46107</v>
      </c>
      <c r="WT101" s="9" t="n">
        <v>0</v>
      </c>
      <c r="WV101" s="9" t="n">
        <v>0</v>
      </c>
      <c r="WW101" s="9" t="n">
        <v>850</v>
      </c>
      <c r="XA101" s="10" t="n">
        <v>46107</v>
      </c>
      <c r="XC101" s="9" t="n">
        <v>0</v>
      </c>
      <c r="XE101" s="9" t="n">
        <v>0</v>
      </c>
      <c r="XF101" s="9" t="n">
        <v>7142</v>
      </c>
      <c r="XJ101" s="10" t="n">
        <v>46107</v>
      </c>
      <c r="XL101" s="9" t="n">
        <v>0</v>
      </c>
      <c r="XM101" s="9" t="n">
        <v>492</v>
      </c>
      <c r="XN101" s="9" t="n">
        <v>-492</v>
      </c>
      <c r="XO101" s="9" t="n">
        <v>7057</v>
      </c>
      <c r="XS101" s="10" t="n">
        <v>46107</v>
      </c>
      <c r="XU101" s="9" t="n">
        <v>0</v>
      </c>
      <c r="XW101" s="9" t="n">
        <v>0</v>
      </c>
      <c r="XX101" s="9" t="n">
        <v>1901</v>
      </c>
      <c r="YB101" s="10" t="n">
        <v>46107</v>
      </c>
      <c r="YD101" s="9" t="n">
        <v>0</v>
      </c>
      <c r="YF101" s="9" t="n">
        <v>0</v>
      </c>
      <c r="YG101" s="9" t="n">
        <v>6459</v>
      </c>
      <c r="YK101" s="10" t="n">
        <v>46107</v>
      </c>
      <c r="YM101" s="9" t="n">
        <v>0</v>
      </c>
      <c r="YO101" s="9" t="n">
        <v>0</v>
      </c>
      <c r="YP101" s="9" t="n">
        <v>0</v>
      </c>
      <c r="YT101" s="10" t="n">
        <v>46107</v>
      </c>
      <c r="YV101" s="9" t="n">
        <v>0</v>
      </c>
      <c r="YX101" s="9" t="n">
        <v>0</v>
      </c>
      <c r="YY101" s="9" t="n">
        <v>0</v>
      </c>
      <c r="ZC101" s="10" t="n">
        <v>46107</v>
      </c>
      <c r="ZE101" s="9" t="n">
        <v>0</v>
      </c>
      <c r="ZG101" s="9" t="n">
        <v>0</v>
      </c>
      <c r="ZH101" s="9" t="n">
        <v>0</v>
      </c>
      <c r="ZL101" s="10" t="n">
        <v>46107</v>
      </c>
      <c r="ZN101" s="9" t="n">
        <v>0</v>
      </c>
      <c r="ZP101" s="9" t="n">
        <v>0</v>
      </c>
      <c r="ZQ101" s="9" t="n">
        <v>0</v>
      </c>
      <c r="ZU101" s="10" t="n">
        <v>46107</v>
      </c>
      <c r="ZW101" s="9" t="n">
        <v>0</v>
      </c>
      <c r="ZY101" s="9" t="n">
        <v>0</v>
      </c>
      <c r="ZZ101" s="9" t="n">
        <v>0</v>
      </c>
      <c r="AAD101" s="10" t="n">
        <v>46107</v>
      </c>
      <c r="AAF101" s="9" t="n">
        <v>0</v>
      </c>
      <c r="AAH101" s="9" t="n">
        <v>0</v>
      </c>
      <c r="AAI101" s="9" t="n">
        <v>0</v>
      </c>
      <c r="AAM101" s="10" t="n">
        <v>46107</v>
      </c>
      <c r="AAO101" s="9" t="n">
        <v>0</v>
      </c>
      <c r="AAQ101" s="9" t="n">
        <v>0</v>
      </c>
      <c r="AAR101" s="9" t="n">
        <v>0</v>
      </c>
      <c r="AAV101" s="10" t="n">
        <v>46107</v>
      </c>
      <c r="AAX101" s="9" t="n">
        <v>0</v>
      </c>
      <c r="AAZ101" s="9" t="n">
        <v>0</v>
      </c>
      <c r="ABA101" s="9" t="n">
        <v>0</v>
      </c>
      <c r="ABE101" s="10" t="n">
        <v>46107</v>
      </c>
      <c r="ABG101" s="9" t="n">
        <v>0</v>
      </c>
      <c r="ABI101" s="9" t="n">
        <v>0</v>
      </c>
      <c r="ABJ101" s="9" t="n">
        <v>0</v>
      </c>
    </row>
    <row r="102">
      <c r="B102" s="9" t="n">
        <v>80</v>
      </c>
      <c r="C102" s="10" t="n">
        <v>46108</v>
      </c>
      <c r="E102" s="9" t="n">
        <v>42435.49999999999</v>
      </c>
      <c r="F102" s="9" t="n">
        <v>42437.2</v>
      </c>
      <c r="G102" s="9" t="n">
        <v>-1.700000000004366</v>
      </c>
      <c r="H102" s="9" t="n">
        <v>94518.19999999997</v>
      </c>
      <c r="I102" s="9" t="inlineStr">
        <is>
          <t>122 10mt, 123 70mt</t>
        </is>
      </c>
      <c r="L102" s="10" t="n">
        <v>46108</v>
      </c>
      <c r="N102" s="9" t="n">
        <v>14055</v>
      </c>
      <c r="O102" s="9" t="n">
        <v>14053.4</v>
      </c>
      <c r="P102" s="9" t="n">
        <v>1.600000000000364</v>
      </c>
      <c r="Q102" s="9" t="n">
        <v>43391.80000000008</v>
      </c>
      <c r="U102" s="10" t="n">
        <v>46108</v>
      </c>
      <c r="W102" s="9" t="n">
        <v>6785</v>
      </c>
      <c r="X102" s="9" t="n">
        <v>6784.8</v>
      </c>
      <c r="Y102" s="9" t="n">
        <v>0.1999999999998181</v>
      </c>
      <c r="Z102" s="9" t="n">
        <v>30462.49999999997</v>
      </c>
      <c r="AD102" s="10" t="n">
        <v>46108</v>
      </c>
      <c r="AF102" s="9" t="n">
        <v>970</v>
      </c>
      <c r="AG102" s="9" t="n">
        <v>972.7</v>
      </c>
      <c r="AH102" s="9" t="n">
        <v>-2.700000000000045</v>
      </c>
      <c r="AI102" s="9" t="n">
        <v>34524.30000000002</v>
      </c>
      <c r="AM102" s="10" t="n">
        <v>46108</v>
      </c>
      <c r="AO102" s="9" t="n">
        <v>0</v>
      </c>
      <c r="AQ102" s="9" t="n">
        <v>0</v>
      </c>
      <c r="AR102" s="9" t="n">
        <v>0</v>
      </c>
      <c r="AV102" s="10" t="n">
        <v>46108</v>
      </c>
      <c r="AX102" s="9" t="n">
        <v>0</v>
      </c>
      <c r="AZ102" s="9" t="n">
        <v>0</v>
      </c>
      <c r="BA102" s="9" t="n">
        <v>20146.49999999999</v>
      </c>
      <c r="BE102" s="10" t="n">
        <v>46108</v>
      </c>
      <c r="BG102" s="9" t="n">
        <v>3570</v>
      </c>
      <c r="BH102" s="9" t="n">
        <v>3571.8</v>
      </c>
      <c r="BI102" s="9" t="n">
        <v>-1.800000000000182</v>
      </c>
      <c r="BJ102" s="9" t="n">
        <v>4461.800000000002</v>
      </c>
      <c r="BN102" s="10" t="n">
        <v>46108</v>
      </c>
      <c r="BO102" s="9" t="n">
        <v>1565</v>
      </c>
      <c r="BP102" s="9" t="n">
        <v>1565</v>
      </c>
      <c r="BQ102" s="9" t="n">
        <v>1565</v>
      </c>
      <c r="BR102" s="9" t="n">
        <v>0</v>
      </c>
      <c r="BS102" s="9" t="n">
        <v>0</v>
      </c>
      <c r="BW102" s="10" t="n">
        <v>46108</v>
      </c>
      <c r="BY102" s="9" t="n">
        <v>451.5000000000001</v>
      </c>
      <c r="BZ102" s="9" t="n">
        <v>895.4</v>
      </c>
      <c r="CA102" s="9" t="n">
        <v>-443.8999999999999</v>
      </c>
      <c r="CB102" s="9" t="n">
        <v>11812.9</v>
      </c>
      <c r="CF102" s="10" t="n">
        <v>46108</v>
      </c>
      <c r="CG102" s="9" t="n">
        <v>1717.8</v>
      </c>
      <c r="CH102" s="9" t="n">
        <v>730.0000000000001</v>
      </c>
      <c r="CI102" s="9" t="n">
        <v>1717.8</v>
      </c>
      <c r="CJ102" s="9" t="n">
        <v>-987.7999999999998</v>
      </c>
      <c r="CK102" s="9" t="n">
        <v>0</v>
      </c>
      <c r="CO102" s="10" t="n">
        <v>46108</v>
      </c>
      <c r="CQ102" s="9" t="n">
        <v>0</v>
      </c>
      <c r="CS102" s="9" t="n">
        <v>0</v>
      </c>
      <c r="CT102" s="9" t="n">
        <v>0</v>
      </c>
      <c r="CX102" s="10" t="n">
        <v>46108</v>
      </c>
      <c r="CZ102" s="9" t="n">
        <v>4000</v>
      </c>
      <c r="DA102" s="9" t="n">
        <v>4001.2</v>
      </c>
      <c r="DB102" s="9" t="n">
        <v>-1.199999999999818</v>
      </c>
      <c r="DC102" s="9" t="n">
        <v>34674.5</v>
      </c>
      <c r="DG102" s="10" t="n">
        <v>46108</v>
      </c>
      <c r="DI102" s="9" t="n">
        <v>3200</v>
      </c>
      <c r="DJ102" s="9" t="n">
        <v>3200.8</v>
      </c>
      <c r="DK102" s="9" t="n">
        <v>-0.8000000000001819</v>
      </c>
      <c r="DL102" s="9" t="n">
        <v>8233.599999999995</v>
      </c>
      <c r="DP102" s="10" t="n">
        <v>46108</v>
      </c>
      <c r="DR102" s="9" t="n">
        <v>0</v>
      </c>
      <c r="DT102" s="9" t="n">
        <v>0</v>
      </c>
      <c r="DU102" s="9" t="n">
        <v>7150</v>
      </c>
      <c r="DY102" s="10" t="n">
        <v>46108</v>
      </c>
      <c r="EA102" s="9" t="n">
        <v>0</v>
      </c>
      <c r="EC102" s="9" t="n">
        <v>0</v>
      </c>
      <c r="ED102" s="9" t="n">
        <v>2347.3</v>
      </c>
      <c r="EH102" s="10" t="n">
        <v>46108</v>
      </c>
      <c r="EJ102" s="9" t="n">
        <v>0</v>
      </c>
      <c r="EL102" s="9" t="n">
        <v>0</v>
      </c>
      <c r="EM102" s="9" t="n">
        <v>0</v>
      </c>
      <c r="EQ102" s="10" t="n">
        <v>46108</v>
      </c>
      <c r="ES102" s="9" t="n">
        <v>0</v>
      </c>
      <c r="EU102" s="9" t="n">
        <v>0</v>
      </c>
      <c r="EV102" s="9" t="n">
        <v>0</v>
      </c>
      <c r="EZ102" s="10" t="n">
        <v>46108</v>
      </c>
      <c r="FB102" s="9" t="n">
        <v>0</v>
      </c>
      <c r="FD102" s="9" t="n">
        <v>0</v>
      </c>
      <c r="FE102" s="9" t="n">
        <v>0</v>
      </c>
      <c r="FI102" s="10" t="n">
        <v>46108</v>
      </c>
      <c r="FK102" s="9" t="n">
        <v>0</v>
      </c>
      <c r="FM102" s="9" t="n">
        <v>0</v>
      </c>
      <c r="FN102" s="9" t="n">
        <v>0</v>
      </c>
      <c r="FR102" s="10" t="n">
        <v>46108</v>
      </c>
      <c r="FT102" s="9" t="n">
        <v>0</v>
      </c>
      <c r="FU102" s="9" t="n">
        <v>1240</v>
      </c>
      <c r="FV102" s="9" t="n">
        <v>-1240</v>
      </c>
      <c r="FW102" s="9" t="n">
        <v>1980</v>
      </c>
      <c r="GA102" s="10" t="n">
        <v>46108</v>
      </c>
      <c r="GB102" s="9" t="n">
        <v>4000</v>
      </c>
      <c r="GC102" s="9" t="n">
        <v>0</v>
      </c>
      <c r="GD102" s="9" t="n">
        <v>2000</v>
      </c>
      <c r="GE102" s="9" t="n">
        <v>-2000</v>
      </c>
      <c r="GF102" s="9" t="n">
        <v>2000</v>
      </c>
      <c r="GJ102" s="10" t="n">
        <v>46108</v>
      </c>
      <c r="GL102" s="9" t="n">
        <v>0</v>
      </c>
      <c r="GM102" s="9" t="n">
        <v>440</v>
      </c>
      <c r="GN102" s="9" t="n">
        <v>-440</v>
      </c>
      <c r="GO102" s="9" t="n">
        <v>4800</v>
      </c>
      <c r="GS102" s="10" t="n">
        <v>46108</v>
      </c>
      <c r="GU102" s="9" t="n">
        <v>0</v>
      </c>
      <c r="GW102" s="9" t="n">
        <v>0</v>
      </c>
      <c r="GX102" s="9" t="n">
        <v>0</v>
      </c>
      <c r="HB102" s="10" t="n">
        <v>46108</v>
      </c>
      <c r="HD102" s="9" t="n">
        <v>0</v>
      </c>
      <c r="HF102" s="9" t="n">
        <v>0</v>
      </c>
      <c r="HG102" s="9" t="n">
        <v>0</v>
      </c>
      <c r="HK102" s="10" t="n">
        <v>46108</v>
      </c>
      <c r="HM102" s="9" t="n">
        <v>0</v>
      </c>
      <c r="HO102" s="9" t="n">
        <v>0</v>
      </c>
      <c r="HP102" s="9" t="n">
        <v>0</v>
      </c>
      <c r="HU102" s="10" t="n">
        <v>46108</v>
      </c>
      <c r="HW102" s="9" t="n">
        <v>0</v>
      </c>
      <c r="HY102" s="9" t="n">
        <v>0</v>
      </c>
      <c r="HZ102" s="9" t="n">
        <v>5120</v>
      </c>
      <c r="ID102" s="10" t="n">
        <v>46108</v>
      </c>
      <c r="IF102" s="9" t="n">
        <v>0</v>
      </c>
      <c r="IH102" s="9" t="n">
        <v>0</v>
      </c>
      <c r="II102" s="9" t="n">
        <v>6540</v>
      </c>
      <c r="IM102" s="10" t="n">
        <v>46108</v>
      </c>
      <c r="IO102" s="9" t="n">
        <v>0</v>
      </c>
      <c r="IQ102" s="9" t="n">
        <v>0</v>
      </c>
      <c r="IR102" s="9" t="n">
        <v>11540</v>
      </c>
      <c r="IV102" s="10" t="n">
        <v>46108</v>
      </c>
      <c r="IX102" s="9" t="n">
        <v>0</v>
      </c>
      <c r="IZ102" s="9" t="n">
        <v>0</v>
      </c>
      <c r="JA102" s="9" t="n">
        <v>15120</v>
      </c>
      <c r="JE102" s="10" t="n">
        <v>46108</v>
      </c>
      <c r="JG102" s="9" t="n">
        <v>0</v>
      </c>
      <c r="JI102" s="9" t="n">
        <v>0</v>
      </c>
      <c r="JJ102" s="9" t="n">
        <v>5040</v>
      </c>
      <c r="JN102" s="10" t="n">
        <v>46108</v>
      </c>
      <c r="JP102" s="9" t="n">
        <v>0</v>
      </c>
      <c r="JR102" s="9" t="n">
        <v>0</v>
      </c>
      <c r="JS102" s="9" t="n">
        <v>9100</v>
      </c>
      <c r="JW102" s="10" t="n">
        <v>46108</v>
      </c>
      <c r="JY102" s="9" t="n">
        <v>0</v>
      </c>
      <c r="JZ102" s="9" t="n">
        <v>920</v>
      </c>
      <c r="KA102" s="9" t="n">
        <v>-920</v>
      </c>
      <c r="KB102" s="9" t="n">
        <v>4220</v>
      </c>
      <c r="KF102" s="10" t="n">
        <v>46108</v>
      </c>
      <c r="KH102" s="9" t="n">
        <v>195</v>
      </c>
      <c r="KI102" s="9" t="n">
        <v>1287</v>
      </c>
      <c r="KJ102" s="9" t="n">
        <v>-1092</v>
      </c>
      <c r="KK102" s="9" t="n">
        <v>7702.5</v>
      </c>
      <c r="KO102" s="10" t="n">
        <v>46108</v>
      </c>
      <c r="KQ102" s="9" t="n">
        <v>1323</v>
      </c>
      <c r="KR102" s="9" t="n">
        <v>378</v>
      </c>
      <c r="KS102" s="9" t="n">
        <v>945</v>
      </c>
      <c r="KT102" s="9" t="n">
        <v>6426</v>
      </c>
      <c r="KX102" s="10" t="n">
        <v>46108</v>
      </c>
      <c r="KZ102" s="9" t="n">
        <v>0</v>
      </c>
      <c r="LB102" s="9" t="n">
        <v>0</v>
      </c>
      <c r="LC102" s="9" t="n">
        <v>0</v>
      </c>
      <c r="LG102" s="10" t="n">
        <v>46108</v>
      </c>
      <c r="LI102" s="9" t="n">
        <v>0</v>
      </c>
      <c r="LK102" s="9" t="n">
        <v>0</v>
      </c>
      <c r="LL102" s="9" t="n">
        <v>0</v>
      </c>
      <c r="LP102" s="10" t="n">
        <v>46108</v>
      </c>
      <c r="LR102" s="9" t="n">
        <v>0</v>
      </c>
      <c r="LT102" s="9" t="n">
        <v>0</v>
      </c>
      <c r="LU102" s="9" t="n">
        <v>0</v>
      </c>
      <c r="LY102" s="10" t="n">
        <v>46108</v>
      </c>
      <c r="MA102" s="9" t="n">
        <v>0</v>
      </c>
      <c r="MC102" s="9" t="n">
        <v>0</v>
      </c>
      <c r="MD102" s="9" t="n">
        <v>0</v>
      </c>
      <c r="MH102" s="10" t="n">
        <v>46108</v>
      </c>
      <c r="MJ102" s="9" t="n">
        <v>0</v>
      </c>
      <c r="ML102" s="9" t="n">
        <v>0</v>
      </c>
      <c r="MM102" s="9" t="n">
        <v>0</v>
      </c>
      <c r="MQ102" s="10" t="n">
        <v>46108</v>
      </c>
      <c r="MS102" s="9" t="n">
        <v>160</v>
      </c>
      <c r="MT102" s="9" t="n">
        <v>356</v>
      </c>
      <c r="MU102" s="9" t="n">
        <v>-196</v>
      </c>
      <c r="MV102" s="9" t="n">
        <v>4195</v>
      </c>
      <c r="MZ102" s="10" t="n">
        <v>46108</v>
      </c>
      <c r="NA102" s="9" t="n">
        <v>396</v>
      </c>
      <c r="NB102" s="9" t="n">
        <v>240</v>
      </c>
      <c r="NC102" s="9" t="n">
        <v>396</v>
      </c>
      <c r="ND102" s="9" t="n">
        <v>-156</v>
      </c>
      <c r="NE102" s="9" t="n">
        <v>0</v>
      </c>
      <c r="NI102" s="10" t="n">
        <v>46108</v>
      </c>
      <c r="NK102" s="9" t="n">
        <v>0</v>
      </c>
      <c r="NM102" s="9" t="n">
        <v>0</v>
      </c>
      <c r="NN102" s="9" t="n">
        <v>2065</v>
      </c>
      <c r="NR102" s="10" t="n">
        <v>46108</v>
      </c>
      <c r="NT102" s="9" t="n">
        <v>96</v>
      </c>
      <c r="NU102" s="9" t="n">
        <v>112.4</v>
      </c>
      <c r="NV102" s="9" t="n">
        <v>-16.40000000000001</v>
      </c>
      <c r="NW102" s="9" t="n">
        <v>4152.5</v>
      </c>
      <c r="OA102" s="10" t="n">
        <v>46108</v>
      </c>
      <c r="OC102" s="9" t="n">
        <v>0</v>
      </c>
      <c r="OE102" s="9" t="n">
        <v>0</v>
      </c>
      <c r="OF102" s="9" t="n">
        <v>1680.5</v>
      </c>
      <c r="OJ102" s="10" t="n">
        <v>46108</v>
      </c>
      <c r="OK102" s="9" t="n">
        <v>367.3</v>
      </c>
      <c r="OL102" s="9" t="n">
        <v>223.9999999999999</v>
      </c>
      <c r="OM102" s="9" t="n">
        <v>367.3</v>
      </c>
      <c r="ON102" s="9" t="n">
        <v>-143.3000000000001</v>
      </c>
      <c r="OO102" s="9" t="n">
        <v>0</v>
      </c>
      <c r="OS102" s="10" t="n">
        <v>46108</v>
      </c>
      <c r="OU102" s="9" t="n">
        <v>0</v>
      </c>
      <c r="OW102" s="9" t="n">
        <v>0</v>
      </c>
      <c r="OX102" s="9" t="n">
        <v>1000</v>
      </c>
      <c r="PB102" s="10" t="n">
        <v>46108</v>
      </c>
      <c r="PD102" s="9" t="n">
        <v>0</v>
      </c>
      <c r="PF102" s="9" t="n">
        <v>0</v>
      </c>
      <c r="PG102" s="9" t="n">
        <v>0</v>
      </c>
      <c r="PK102" s="10" t="n">
        <v>46108</v>
      </c>
      <c r="PM102" s="9" t="n">
        <v>0</v>
      </c>
      <c r="PO102" s="9" t="n">
        <v>0</v>
      </c>
      <c r="PP102" s="9" t="n">
        <v>100</v>
      </c>
      <c r="PT102" s="10" t="n">
        <v>46108</v>
      </c>
      <c r="PV102" s="9" t="n">
        <v>0</v>
      </c>
      <c r="PX102" s="9" t="n">
        <v>0</v>
      </c>
      <c r="PY102" s="9" t="n">
        <v>13.96000000000004</v>
      </c>
      <c r="QC102" s="10" t="n">
        <v>46108</v>
      </c>
      <c r="QE102" s="9" t="n">
        <v>0</v>
      </c>
      <c r="QG102" s="9" t="n">
        <v>0</v>
      </c>
      <c r="QH102" s="9" t="n">
        <v>1212</v>
      </c>
      <c r="QL102" s="10" t="n">
        <v>46108</v>
      </c>
      <c r="QM102" s="9" t="n">
        <v>400</v>
      </c>
      <c r="QN102" s="9" t="n">
        <v>0</v>
      </c>
      <c r="QP102" s="9" t="n">
        <v>0</v>
      </c>
      <c r="QQ102" s="9" t="n">
        <v>400</v>
      </c>
      <c r="QU102" s="10" t="n">
        <v>46108</v>
      </c>
      <c r="QW102" s="9" t="n">
        <v>0</v>
      </c>
      <c r="QY102" s="9" t="n">
        <v>0</v>
      </c>
      <c r="QZ102" s="9" t="n">
        <v>207.6</v>
      </c>
      <c r="RD102" s="10" t="n">
        <v>46108</v>
      </c>
      <c r="RF102" s="9" t="n">
        <v>0</v>
      </c>
      <c r="RH102" s="9" t="n">
        <v>0</v>
      </c>
      <c r="RI102" s="9" t="n">
        <v>197.04</v>
      </c>
      <c r="RM102" s="10" t="n">
        <v>46108</v>
      </c>
      <c r="RO102" s="9" t="n">
        <v>0</v>
      </c>
      <c r="RQ102" s="9" t="n">
        <v>0</v>
      </c>
      <c r="RR102" s="9" t="n">
        <v>46.8</v>
      </c>
      <c r="RV102" s="10" t="n">
        <v>46108</v>
      </c>
      <c r="RX102" s="9" t="n">
        <v>0</v>
      </c>
      <c r="RZ102" s="9" t="n">
        <v>0</v>
      </c>
      <c r="SA102" s="9" t="n">
        <v>0</v>
      </c>
      <c r="SE102" s="10" t="n">
        <v>46108</v>
      </c>
      <c r="SG102" s="9" t="n">
        <v>0</v>
      </c>
      <c r="SI102" s="9" t="n">
        <v>0</v>
      </c>
      <c r="SJ102" s="9" t="n">
        <v>0</v>
      </c>
      <c r="SN102" s="10" t="n">
        <v>46108</v>
      </c>
      <c r="SP102" s="9" t="n">
        <v>0</v>
      </c>
      <c r="SR102" s="9" t="n">
        <v>0</v>
      </c>
      <c r="SS102" s="9" t="n">
        <v>0</v>
      </c>
      <c r="SW102" s="10" t="n">
        <v>46108</v>
      </c>
      <c r="SY102" s="9" t="n">
        <v>0</v>
      </c>
      <c r="TA102" s="9" t="n">
        <v>0</v>
      </c>
      <c r="TB102" s="9" t="n">
        <v>0</v>
      </c>
      <c r="TF102" s="10" t="n">
        <v>46108</v>
      </c>
      <c r="TH102" s="9" t="n">
        <v>0</v>
      </c>
      <c r="TJ102" s="9" t="n">
        <v>0</v>
      </c>
      <c r="TK102" s="9" t="n">
        <v>0</v>
      </c>
      <c r="TO102" s="10" t="n">
        <v>46108</v>
      </c>
      <c r="TQ102" s="9" t="n">
        <v>0</v>
      </c>
      <c r="TS102" s="9" t="n">
        <v>0</v>
      </c>
      <c r="TT102" s="9" t="n">
        <v>0</v>
      </c>
      <c r="TX102" s="10" t="n">
        <v>46108</v>
      </c>
      <c r="TZ102" s="9" t="n">
        <v>0</v>
      </c>
      <c r="UB102" s="9" t="n">
        <v>0</v>
      </c>
      <c r="UC102" s="9" t="n">
        <v>0</v>
      </c>
      <c r="UG102" s="10" t="n">
        <v>46108</v>
      </c>
      <c r="UI102" s="9" t="n">
        <v>0</v>
      </c>
      <c r="UK102" s="9" t="n">
        <v>0</v>
      </c>
      <c r="UL102" s="9" t="n">
        <v>0</v>
      </c>
      <c r="UP102" s="10" t="n">
        <v>46108</v>
      </c>
      <c r="UR102" s="9" t="n">
        <v>0</v>
      </c>
      <c r="UT102" s="9" t="n">
        <v>0</v>
      </c>
      <c r="UU102" s="9" t="n">
        <v>0</v>
      </c>
      <c r="UY102" s="10" t="n">
        <v>46108</v>
      </c>
      <c r="VA102" s="9" t="n">
        <v>0</v>
      </c>
      <c r="VC102" s="9" t="n">
        <v>0</v>
      </c>
      <c r="VD102" s="9" t="n">
        <v>41.60000000000002</v>
      </c>
      <c r="VH102" s="10" t="n">
        <v>46108</v>
      </c>
      <c r="VJ102" s="9" t="n">
        <v>0</v>
      </c>
      <c r="VL102" s="9" t="n">
        <v>0</v>
      </c>
      <c r="VM102" s="9" t="n">
        <v>0</v>
      </c>
      <c r="VQ102" s="10" t="n">
        <v>46108</v>
      </c>
      <c r="VS102" s="9" t="n">
        <v>0</v>
      </c>
      <c r="VU102" s="9" t="n">
        <v>0</v>
      </c>
      <c r="VV102" s="9" t="n">
        <v>0</v>
      </c>
      <c r="VZ102" s="10" t="n">
        <v>46108</v>
      </c>
      <c r="WB102" s="9" t="n">
        <v>0</v>
      </c>
      <c r="WD102" s="9" t="n">
        <v>0</v>
      </c>
      <c r="WE102" s="9" t="n">
        <v>0</v>
      </c>
      <c r="WI102" s="10" t="n">
        <v>46108</v>
      </c>
      <c r="WK102" s="9" t="n">
        <v>0</v>
      </c>
      <c r="WM102" s="9" t="n">
        <v>0</v>
      </c>
      <c r="WN102" s="9" t="n">
        <v>4857</v>
      </c>
      <c r="WR102" s="10" t="n">
        <v>46108</v>
      </c>
      <c r="WT102" s="9" t="n">
        <v>0</v>
      </c>
      <c r="WV102" s="9" t="n">
        <v>0</v>
      </c>
      <c r="WW102" s="9" t="n">
        <v>850</v>
      </c>
      <c r="XA102" s="10" t="n">
        <v>46108</v>
      </c>
      <c r="XC102" s="9" t="n">
        <v>0</v>
      </c>
      <c r="XE102" s="9" t="n">
        <v>0</v>
      </c>
      <c r="XF102" s="9" t="n">
        <v>7142</v>
      </c>
      <c r="XJ102" s="10" t="n">
        <v>46108</v>
      </c>
      <c r="XL102" s="9" t="n">
        <v>0</v>
      </c>
      <c r="XN102" s="9" t="n">
        <v>0</v>
      </c>
      <c r="XO102" s="9" t="n">
        <v>7057</v>
      </c>
      <c r="XS102" s="10" t="n">
        <v>46108</v>
      </c>
      <c r="XU102" s="9" t="n">
        <v>0</v>
      </c>
      <c r="XW102" s="9" t="n">
        <v>0</v>
      </c>
      <c r="XX102" s="9" t="n">
        <v>1901</v>
      </c>
      <c r="YB102" s="10" t="n">
        <v>46108</v>
      </c>
      <c r="YD102" s="9" t="n">
        <v>0</v>
      </c>
      <c r="YF102" s="9" t="n">
        <v>0</v>
      </c>
      <c r="YG102" s="9" t="n">
        <v>6459</v>
      </c>
      <c r="YK102" s="10" t="n">
        <v>46108</v>
      </c>
      <c r="YM102" s="9" t="n">
        <v>0</v>
      </c>
      <c r="YO102" s="9" t="n">
        <v>0</v>
      </c>
      <c r="YP102" s="9" t="n">
        <v>0</v>
      </c>
      <c r="YT102" s="10" t="n">
        <v>46108</v>
      </c>
      <c r="YV102" s="9" t="n">
        <v>0</v>
      </c>
      <c r="YX102" s="9" t="n">
        <v>0</v>
      </c>
      <c r="YY102" s="9" t="n">
        <v>0</v>
      </c>
      <c r="ZC102" s="10" t="n">
        <v>46108</v>
      </c>
      <c r="ZE102" s="9" t="n">
        <v>0</v>
      </c>
      <c r="ZG102" s="9" t="n">
        <v>0</v>
      </c>
      <c r="ZH102" s="9" t="n">
        <v>0</v>
      </c>
      <c r="ZL102" s="10" t="n">
        <v>46108</v>
      </c>
      <c r="ZN102" s="9" t="n">
        <v>0</v>
      </c>
      <c r="ZP102" s="9" t="n">
        <v>0</v>
      </c>
      <c r="ZQ102" s="9" t="n">
        <v>0</v>
      </c>
      <c r="ZU102" s="10" t="n">
        <v>46108</v>
      </c>
      <c r="ZW102" s="9" t="n">
        <v>0</v>
      </c>
      <c r="ZY102" s="9" t="n">
        <v>0</v>
      </c>
      <c r="ZZ102" s="9" t="n">
        <v>0</v>
      </c>
      <c r="AAD102" s="10" t="n">
        <v>46108</v>
      </c>
      <c r="AAF102" s="9" t="n">
        <v>0</v>
      </c>
      <c r="AAH102" s="9" t="n">
        <v>0</v>
      </c>
      <c r="AAI102" s="9" t="n">
        <v>0</v>
      </c>
      <c r="AAM102" s="10" t="n">
        <v>46108</v>
      </c>
      <c r="AAO102" s="9" t="n">
        <v>0</v>
      </c>
      <c r="AAQ102" s="9" t="n">
        <v>0</v>
      </c>
      <c r="AAR102" s="9" t="n">
        <v>0</v>
      </c>
      <c r="AAV102" s="10" t="n">
        <v>46108</v>
      </c>
      <c r="AAX102" s="9" t="n">
        <v>0</v>
      </c>
      <c r="AAZ102" s="9" t="n">
        <v>0</v>
      </c>
      <c r="ABA102" s="9" t="n">
        <v>0</v>
      </c>
      <c r="ABE102" s="10" t="n">
        <v>46108</v>
      </c>
      <c r="ABG102" s="9" t="n">
        <v>0</v>
      </c>
      <c r="ABI102" s="9" t="n">
        <v>0</v>
      </c>
      <c r="ABJ102" s="9" t="n">
        <v>0</v>
      </c>
    </row>
    <row r="103">
      <c r="B103" s="9" t="n">
        <v>66</v>
      </c>
      <c r="C103" s="10" t="n">
        <v>46109</v>
      </c>
      <c r="E103" s="9" t="n">
        <v>33515.1</v>
      </c>
      <c r="F103" s="9" t="n">
        <v>33520.4</v>
      </c>
      <c r="G103" s="9" t="n">
        <v>-5.30000000000291</v>
      </c>
      <c r="H103" s="9" t="n">
        <v>60997.79999999997</v>
      </c>
      <c r="I103" s="9" t="inlineStr">
        <is>
          <t>121 30mt, 122 36mt</t>
        </is>
      </c>
      <c r="L103" s="10" t="n">
        <v>46109</v>
      </c>
      <c r="N103" s="9" t="n">
        <v>14535</v>
      </c>
      <c r="O103" s="9" t="n">
        <v>14530</v>
      </c>
      <c r="P103" s="9" t="n">
        <v>5</v>
      </c>
      <c r="Q103" s="9" t="n">
        <v>28861.80000000008</v>
      </c>
      <c r="U103" s="10" t="n">
        <v>46109</v>
      </c>
      <c r="W103" s="9" t="n">
        <v>5001</v>
      </c>
      <c r="X103" s="9" t="n">
        <v>5003.5</v>
      </c>
      <c r="Y103" s="9" t="n">
        <v>-2.5</v>
      </c>
      <c r="Z103" s="9" t="n">
        <v>25458.99999999997</v>
      </c>
      <c r="AD103" s="10" t="n">
        <v>46109</v>
      </c>
      <c r="AF103" s="9" t="n">
        <v>768</v>
      </c>
      <c r="AG103" s="9" t="n">
        <v>768.6</v>
      </c>
      <c r="AH103" s="9" t="n">
        <v>-0.6000000000000227</v>
      </c>
      <c r="AI103" s="9" t="n">
        <v>33755.70000000002</v>
      </c>
      <c r="AM103" s="10" t="n">
        <v>46109</v>
      </c>
      <c r="AO103" s="9" t="n">
        <v>0</v>
      </c>
      <c r="AQ103" s="9" t="n">
        <v>0</v>
      </c>
      <c r="AR103" s="9" t="n">
        <v>0</v>
      </c>
      <c r="AV103" s="10" t="n">
        <v>46109</v>
      </c>
      <c r="AX103" s="9" t="n">
        <v>750</v>
      </c>
      <c r="AY103" s="9" t="n">
        <v>749.1</v>
      </c>
      <c r="AZ103" s="9" t="n">
        <v>0.8999999999999773</v>
      </c>
      <c r="BA103" s="9" t="n">
        <v>19397.39999999999</v>
      </c>
      <c r="BE103" s="10" t="n">
        <v>46109</v>
      </c>
      <c r="BG103" s="9" t="n">
        <v>2352</v>
      </c>
      <c r="BH103" s="9" t="n">
        <v>2351.6</v>
      </c>
      <c r="BI103" s="9" t="n">
        <v>0.4000000000000909</v>
      </c>
      <c r="BJ103" s="9" t="n">
        <v>2110.200000000002</v>
      </c>
      <c r="BN103" s="10" t="n">
        <v>46109</v>
      </c>
      <c r="BO103" s="9" t="n">
        <v>1170</v>
      </c>
      <c r="BP103" s="9" t="n">
        <v>1170</v>
      </c>
      <c r="BQ103" s="9" t="n">
        <v>1170</v>
      </c>
      <c r="BR103" s="9" t="n">
        <v>0</v>
      </c>
      <c r="BS103" s="9" t="n">
        <v>0</v>
      </c>
      <c r="BW103" s="10" t="n">
        <v>46109</v>
      </c>
      <c r="BY103" s="9" t="n">
        <v>374.4</v>
      </c>
      <c r="CA103" s="9" t="n">
        <v>374.4</v>
      </c>
      <c r="CB103" s="9" t="n">
        <v>11812.9</v>
      </c>
      <c r="CF103" s="10" t="n">
        <v>46109</v>
      </c>
      <c r="CH103" s="9" t="n">
        <v>570</v>
      </c>
      <c r="CJ103" s="9" t="n">
        <v>570</v>
      </c>
      <c r="CK103" s="9" t="n">
        <v>0</v>
      </c>
      <c r="CO103" s="10" t="n">
        <v>46109</v>
      </c>
      <c r="CQ103" s="9" t="n">
        <v>0</v>
      </c>
      <c r="CS103" s="9" t="n">
        <v>0</v>
      </c>
      <c r="CT103" s="9" t="n">
        <v>0</v>
      </c>
      <c r="CX103" s="10" t="n">
        <v>46109</v>
      </c>
      <c r="CZ103" s="9" t="n">
        <v>2805</v>
      </c>
      <c r="DA103" s="9" t="n">
        <v>2804.8</v>
      </c>
      <c r="DB103" s="9" t="n">
        <v>0.1999999999998181</v>
      </c>
      <c r="DC103" s="9" t="n">
        <v>31869.7</v>
      </c>
      <c r="DG103" s="10" t="n">
        <v>46109</v>
      </c>
      <c r="DI103" s="9" t="n">
        <v>1545</v>
      </c>
      <c r="DJ103" s="9" t="n">
        <v>1545</v>
      </c>
      <c r="DK103" s="9" t="n">
        <v>0</v>
      </c>
      <c r="DL103" s="9" t="n">
        <v>6688.599999999995</v>
      </c>
      <c r="DP103" s="10" t="n">
        <v>46109</v>
      </c>
      <c r="DR103" s="9" t="n">
        <v>0</v>
      </c>
      <c r="DT103" s="9" t="n">
        <v>0</v>
      </c>
      <c r="DU103" s="9" t="n">
        <v>7150</v>
      </c>
      <c r="DY103" s="10" t="n">
        <v>46109</v>
      </c>
      <c r="EA103" s="9" t="n">
        <v>750</v>
      </c>
      <c r="EB103" s="9" t="n">
        <v>500</v>
      </c>
      <c r="EC103" s="9" t="n">
        <v>250</v>
      </c>
      <c r="ED103" s="9" t="n">
        <v>1847.3</v>
      </c>
      <c r="EH103" s="10" t="n">
        <v>46109</v>
      </c>
      <c r="EJ103" s="9" t="n">
        <v>0</v>
      </c>
      <c r="EL103" s="9" t="n">
        <v>0</v>
      </c>
      <c r="EM103" s="9" t="n">
        <v>0</v>
      </c>
      <c r="EQ103" s="10" t="n">
        <v>46109</v>
      </c>
      <c r="ES103" s="9" t="n">
        <v>0</v>
      </c>
      <c r="EU103" s="9" t="n">
        <v>0</v>
      </c>
      <c r="EV103" s="9" t="n">
        <v>0</v>
      </c>
      <c r="EZ103" s="10" t="n">
        <v>46109</v>
      </c>
      <c r="FB103" s="9" t="n">
        <v>0</v>
      </c>
      <c r="FD103" s="9" t="n">
        <v>0</v>
      </c>
      <c r="FE103" s="9" t="n">
        <v>0</v>
      </c>
      <c r="FI103" s="10" t="n">
        <v>46109</v>
      </c>
      <c r="FK103" s="9" t="n">
        <v>0</v>
      </c>
      <c r="FM103" s="9" t="n">
        <v>0</v>
      </c>
      <c r="FN103" s="9" t="n">
        <v>0</v>
      </c>
      <c r="FR103" s="10" t="n">
        <v>46109</v>
      </c>
      <c r="FT103" s="9" t="n">
        <v>0</v>
      </c>
      <c r="FV103" s="9" t="n">
        <v>0</v>
      </c>
      <c r="FW103" s="9" t="n">
        <v>1980</v>
      </c>
      <c r="GA103" s="10" t="n">
        <v>46109</v>
      </c>
      <c r="GC103" s="9" t="n">
        <v>0</v>
      </c>
      <c r="GE103" s="9" t="n">
        <v>0</v>
      </c>
      <c r="GF103" s="9" t="n">
        <v>2000</v>
      </c>
      <c r="GJ103" s="10" t="n">
        <v>46109</v>
      </c>
      <c r="GL103" s="9" t="n">
        <v>0</v>
      </c>
      <c r="GN103" s="9" t="n">
        <v>0</v>
      </c>
      <c r="GO103" s="9" t="n">
        <v>4800</v>
      </c>
      <c r="GS103" s="10" t="n">
        <v>46109</v>
      </c>
      <c r="GU103" s="9" t="n">
        <v>0</v>
      </c>
      <c r="GW103" s="9" t="n">
        <v>0</v>
      </c>
      <c r="GX103" s="9" t="n">
        <v>0</v>
      </c>
      <c r="HB103" s="10" t="n">
        <v>46109</v>
      </c>
      <c r="HD103" s="9" t="n">
        <v>0</v>
      </c>
      <c r="HF103" s="9" t="n">
        <v>0</v>
      </c>
      <c r="HG103" s="9" t="n">
        <v>0</v>
      </c>
      <c r="HK103" s="10" t="n">
        <v>46109</v>
      </c>
      <c r="HM103" s="9" t="n">
        <v>0</v>
      </c>
      <c r="HO103" s="9" t="n">
        <v>0</v>
      </c>
      <c r="HP103" s="9" t="n">
        <v>0</v>
      </c>
      <c r="HU103" s="10" t="n">
        <v>46109</v>
      </c>
      <c r="HW103" s="9" t="n">
        <v>0</v>
      </c>
      <c r="HY103" s="9" t="n">
        <v>0</v>
      </c>
      <c r="HZ103" s="9" t="n">
        <v>5120</v>
      </c>
      <c r="ID103" s="10" t="n">
        <v>46109</v>
      </c>
      <c r="IF103" s="9" t="n">
        <v>0</v>
      </c>
      <c r="IH103" s="9" t="n">
        <v>0</v>
      </c>
      <c r="II103" s="9" t="n">
        <v>6540</v>
      </c>
      <c r="IM103" s="10" t="n">
        <v>46109</v>
      </c>
      <c r="IO103" s="9" t="n">
        <v>0</v>
      </c>
      <c r="IQ103" s="9" t="n">
        <v>0</v>
      </c>
      <c r="IR103" s="9" t="n">
        <v>11540</v>
      </c>
      <c r="IV103" s="10" t="n">
        <v>46109</v>
      </c>
      <c r="IX103" s="9" t="n">
        <v>0</v>
      </c>
      <c r="IZ103" s="9" t="n">
        <v>0</v>
      </c>
      <c r="JA103" s="9" t="n">
        <v>15120</v>
      </c>
      <c r="JE103" s="10" t="n">
        <v>46109</v>
      </c>
      <c r="JG103" s="9" t="n">
        <v>0</v>
      </c>
      <c r="JI103" s="9" t="n">
        <v>0</v>
      </c>
      <c r="JJ103" s="9" t="n">
        <v>5040</v>
      </c>
      <c r="JN103" s="10" t="n">
        <v>46109</v>
      </c>
      <c r="JP103" s="9" t="n">
        <v>0</v>
      </c>
      <c r="JR103" s="9" t="n">
        <v>0</v>
      </c>
      <c r="JS103" s="9" t="n">
        <v>9100</v>
      </c>
      <c r="JW103" s="10" t="n">
        <v>46109</v>
      </c>
      <c r="JY103" s="9" t="n">
        <v>600</v>
      </c>
      <c r="KA103" s="9" t="n">
        <v>600</v>
      </c>
      <c r="KB103" s="9" t="n">
        <v>4220</v>
      </c>
      <c r="KF103" s="10" t="n">
        <v>46109</v>
      </c>
      <c r="KH103" s="9" t="n">
        <v>702</v>
      </c>
      <c r="KJ103" s="9" t="n">
        <v>702</v>
      </c>
      <c r="KK103" s="9" t="n">
        <v>7702.5</v>
      </c>
      <c r="KO103" s="10" t="n">
        <v>46109</v>
      </c>
      <c r="KQ103" s="9" t="n">
        <v>0</v>
      </c>
      <c r="KS103" s="9" t="n">
        <v>0</v>
      </c>
      <c r="KT103" s="9" t="n">
        <v>6426</v>
      </c>
      <c r="KX103" s="10" t="n">
        <v>46109</v>
      </c>
      <c r="KZ103" s="9" t="n">
        <v>0</v>
      </c>
      <c r="LB103" s="9" t="n">
        <v>0</v>
      </c>
      <c r="LC103" s="9" t="n">
        <v>0</v>
      </c>
      <c r="LG103" s="10" t="n">
        <v>46109</v>
      </c>
      <c r="LI103" s="9" t="n">
        <v>0</v>
      </c>
      <c r="LK103" s="9" t="n">
        <v>0</v>
      </c>
      <c r="LL103" s="9" t="n">
        <v>0</v>
      </c>
      <c r="LP103" s="10" t="n">
        <v>46109</v>
      </c>
      <c r="LR103" s="9" t="n">
        <v>0</v>
      </c>
      <c r="LT103" s="9" t="n">
        <v>0</v>
      </c>
      <c r="LU103" s="9" t="n">
        <v>0</v>
      </c>
      <c r="LY103" s="10" t="n">
        <v>46109</v>
      </c>
      <c r="MA103" s="9" t="n">
        <v>0</v>
      </c>
      <c r="MC103" s="9" t="n">
        <v>0</v>
      </c>
      <c r="MD103" s="9" t="n">
        <v>0</v>
      </c>
      <c r="MH103" s="10" t="n">
        <v>46109</v>
      </c>
      <c r="MJ103" s="9" t="n">
        <v>0</v>
      </c>
      <c r="ML103" s="9" t="n">
        <v>0</v>
      </c>
      <c r="MM103" s="9" t="n">
        <v>0</v>
      </c>
      <c r="MQ103" s="10" t="n">
        <v>46109</v>
      </c>
      <c r="MS103" s="9" t="n">
        <v>132</v>
      </c>
      <c r="MU103" s="9" t="n">
        <v>132</v>
      </c>
      <c r="MV103" s="9" t="n">
        <v>4195</v>
      </c>
      <c r="MZ103" s="10" t="n">
        <v>46109</v>
      </c>
      <c r="NB103" s="9" t="n">
        <v>198</v>
      </c>
      <c r="ND103" s="9" t="n">
        <v>198</v>
      </c>
      <c r="NE103" s="9" t="n">
        <v>0</v>
      </c>
      <c r="NI103" s="10" t="n">
        <v>46109</v>
      </c>
      <c r="NK103" s="9" t="n">
        <v>0</v>
      </c>
      <c r="NM103" s="9" t="n">
        <v>0</v>
      </c>
      <c r="NN103" s="9" t="n">
        <v>2065</v>
      </c>
      <c r="NR103" s="10" t="n">
        <v>46109</v>
      </c>
      <c r="NT103" s="9" t="n">
        <v>49.2</v>
      </c>
      <c r="NV103" s="9" t="n">
        <v>49.2</v>
      </c>
      <c r="NW103" s="9" t="n">
        <v>4152.5</v>
      </c>
      <c r="OA103" s="10" t="n">
        <v>46109</v>
      </c>
      <c r="OC103" s="9" t="n">
        <v>0</v>
      </c>
      <c r="OE103" s="9" t="n">
        <v>0</v>
      </c>
      <c r="OF103" s="9" t="n">
        <v>1680.5</v>
      </c>
      <c r="OJ103" s="10" t="n">
        <v>46109</v>
      </c>
      <c r="OL103" s="9" t="n">
        <v>183.3</v>
      </c>
      <c r="ON103" s="9" t="n">
        <v>183.3</v>
      </c>
      <c r="OO103" s="9" t="n">
        <v>0</v>
      </c>
      <c r="OS103" s="10" t="n">
        <v>46109</v>
      </c>
      <c r="OU103" s="9" t="n">
        <v>0</v>
      </c>
      <c r="OW103" s="9" t="n">
        <v>0</v>
      </c>
      <c r="OX103" s="9" t="n">
        <v>1000</v>
      </c>
      <c r="PB103" s="10" t="n">
        <v>46109</v>
      </c>
      <c r="PD103" s="9" t="n">
        <v>0</v>
      </c>
      <c r="PF103" s="9" t="n">
        <v>0</v>
      </c>
      <c r="PG103" s="9" t="n">
        <v>0</v>
      </c>
      <c r="PK103" s="10" t="n">
        <v>46109</v>
      </c>
      <c r="PM103" s="9" t="n">
        <v>0</v>
      </c>
      <c r="PO103" s="9" t="n">
        <v>0</v>
      </c>
      <c r="PP103" s="9" t="n">
        <v>100</v>
      </c>
      <c r="PT103" s="10" t="n">
        <v>46109</v>
      </c>
      <c r="PV103" s="9" t="n">
        <v>0</v>
      </c>
      <c r="PX103" s="9" t="n">
        <v>0</v>
      </c>
      <c r="PY103" s="9" t="n">
        <v>13.96000000000004</v>
      </c>
      <c r="QC103" s="10" t="n">
        <v>46109</v>
      </c>
      <c r="QE103" s="9" t="n">
        <v>0</v>
      </c>
      <c r="QG103" s="9" t="n">
        <v>0</v>
      </c>
      <c r="QH103" s="9" t="n">
        <v>1212</v>
      </c>
      <c r="QL103" s="10" t="n">
        <v>46109</v>
      </c>
      <c r="QN103" s="9" t="n">
        <v>0</v>
      </c>
      <c r="QP103" s="9" t="n">
        <v>0</v>
      </c>
      <c r="QQ103" s="9" t="n">
        <v>400</v>
      </c>
      <c r="QU103" s="10" t="n">
        <v>46109</v>
      </c>
      <c r="QW103" s="9" t="n">
        <v>0</v>
      </c>
      <c r="QY103" s="9" t="n">
        <v>0</v>
      </c>
      <c r="QZ103" s="9" t="n">
        <v>207.6</v>
      </c>
      <c r="RD103" s="10" t="n">
        <v>46109</v>
      </c>
      <c r="RF103" s="9" t="n">
        <v>0</v>
      </c>
      <c r="RH103" s="9" t="n">
        <v>0</v>
      </c>
      <c r="RI103" s="9" t="n">
        <v>197.04</v>
      </c>
      <c r="RM103" s="10" t="n">
        <v>46109</v>
      </c>
      <c r="RO103" s="9" t="n">
        <v>0</v>
      </c>
      <c r="RQ103" s="9" t="n">
        <v>0</v>
      </c>
      <c r="RR103" s="9" t="n">
        <v>46.8</v>
      </c>
      <c r="RV103" s="10" t="n">
        <v>46109</v>
      </c>
      <c r="RX103" s="9" t="n">
        <v>0</v>
      </c>
      <c r="RZ103" s="9" t="n">
        <v>0</v>
      </c>
      <c r="SA103" s="9" t="n">
        <v>0</v>
      </c>
      <c r="SE103" s="10" t="n">
        <v>46109</v>
      </c>
      <c r="SG103" s="9" t="n">
        <v>0</v>
      </c>
      <c r="SI103" s="9" t="n">
        <v>0</v>
      </c>
      <c r="SJ103" s="9" t="n">
        <v>0</v>
      </c>
      <c r="SN103" s="10" t="n">
        <v>46109</v>
      </c>
      <c r="SP103" s="9" t="n">
        <v>0</v>
      </c>
      <c r="SR103" s="9" t="n">
        <v>0</v>
      </c>
      <c r="SS103" s="9" t="n">
        <v>0</v>
      </c>
      <c r="SW103" s="10" t="n">
        <v>46109</v>
      </c>
      <c r="SY103" s="9" t="n">
        <v>0</v>
      </c>
      <c r="TA103" s="9" t="n">
        <v>0</v>
      </c>
      <c r="TB103" s="9" t="n">
        <v>0</v>
      </c>
      <c r="TF103" s="10" t="n">
        <v>46109</v>
      </c>
      <c r="TH103" s="9" t="n">
        <v>0</v>
      </c>
      <c r="TJ103" s="9" t="n">
        <v>0</v>
      </c>
      <c r="TK103" s="9" t="n">
        <v>0</v>
      </c>
      <c r="TO103" s="10" t="n">
        <v>46109</v>
      </c>
      <c r="TQ103" s="9" t="n">
        <v>0</v>
      </c>
      <c r="TS103" s="9" t="n">
        <v>0</v>
      </c>
      <c r="TT103" s="9" t="n">
        <v>0</v>
      </c>
      <c r="TX103" s="10" t="n">
        <v>46109</v>
      </c>
      <c r="TZ103" s="9" t="n">
        <v>0</v>
      </c>
      <c r="UB103" s="9" t="n">
        <v>0</v>
      </c>
      <c r="UC103" s="9" t="n">
        <v>0</v>
      </c>
      <c r="UG103" s="10" t="n">
        <v>46109</v>
      </c>
      <c r="UI103" s="9" t="n">
        <v>0</v>
      </c>
      <c r="UK103" s="9" t="n">
        <v>0</v>
      </c>
      <c r="UL103" s="9" t="n">
        <v>0</v>
      </c>
      <c r="UP103" s="10" t="n">
        <v>46109</v>
      </c>
      <c r="UR103" s="9" t="n">
        <v>0</v>
      </c>
      <c r="UT103" s="9" t="n">
        <v>0</v>
      </c>
      <c r="UU103" s="9" t="n">
        <v>0</v>
      </c>
      <c r="UY103" s="10" t="n">
        <v>46109</v>
      </c>
      <c r="VA103" s="9" t="n">
        <v>0</v>
      </c>
      <c r="VC103" s="9" t="n">
        <v>0</v>
      </c>
      <c r="VD103" s="9" t="n">
        <v>41.60000000000002</v>
      </c>
      <c r="VH103" s="10" t="n">
        <v>46109</v>
      </c>
      <c r="VJ103" s="9" t="n">
        <v>0</v>
      </c>
      <c r="VL103" s="9" t="n">
        <v>0</v>
      </c>
      <c r="VM103" s="9" t="n">
        <v>0</v>
      </c>
      <c r="VQ103" s="10" t="n">
        <v>46109</v>
      </c>
      <c r="VS103" s="9" t="n">
        <v>0</v>
      </c>
      <c r="VU103" s="9" t="n">
        <v>0</v>
      </c>
      <c r="VV103" s="9" t="n">
        <v>0</v>
      </c>
      <c r="VZ103" s="10" t="n">
        <v>46109</v>
      </c>
      <c r="WB103" s="9" t="n">
        <v>0</v>
      </c>
      <c r="WD103" s="9" t="n">
        <v>0</v>
      </c>
      <c r="WE103" s="9" t="n">
        <v>0</v>
      </c>
      <c r="WI103" s="10" t="n">
        <v>46109</v>
      </c>
      <c r="WK103" s="9" t="n">
        <v>0</v>
      </c>
      <c r="WM103" s="9" t="n">
        <v>0</v>
      </c>
      <c r="WN103" s="9" t="n">
        <v>4857</v>
      </c>
      <c r="WR103" s="10" t="n">
        <v>46109</v>
      </c>
      <c r="WT103" s="9" t="n">
        <v>0</v>
      </c>
      <c r="WV103" s="9" t="n">
        <v>0</v>
      </c>
      <c r="WW103" s="9" t="n">
        <v>850</v>
      </c>
      <c r="XA103" s="10" t="n">
        <v>46109</v>
      </c>
      <c r="XC103" s="9" t="n">
        <v>0</v>
      </c>
      <c r="XE103" s="9" t="n">
        <v>0</v>
      </c>
      <c r="XF103" s="9" t="n">
        <v>7142</v>
      </c>
      <c r="XJ103" s="10" t="n">
        <v>46109</v>
      </c>
      <c r="XL103" s="9" t="n">
        <v>0</v>
      </c>
      <c r="XM103" s="9" t="n">
        <v>1068</v>
      </c>
      <c r="XN103" s="9" t="n">
        <v>-1068</v>
      </c>
      <c r="XO103" s="9" t="n">
        <v>5989</v>
      </c>
      <c r="XS103" s="10" t="n">
        <v>46109</v>
      </c>
      <c r="XU103" s="9" t="n">
        <v>0</v>
      </c>
      <c r="XW103" s="9" t="n">
        <v>0</v>
      </c>
      <c r="XX103" s="9" t="n">
        <v>1901</v>
      </c>
      <c r="YB103" s="10" t="n">
        <v>46109</v>
      </c>
      <c r="YD103" s="9" t="n">
        <v>0</v>
      </c>
      <c r="YF103" s="9" t="n">
        <v>0</v>
      </c>
      <c r="YG103" s="9" t="n">
        <v>6459</v>
      </c>
      <c r="YK103" s="10" t="n">
        <v>46109</v>
      </c>
      <c r="YM103" s="9" t="n">
        <v>0</v>
      </c>
      <c r="YO103" s="9" t="n">
        <v>0</v>
      </c>
      <c r="YP103" s="9" t="n">
        <v>0</v>
      </c>
      <c r="YT103" s="10" t="n">
        <v>46109</v>
      </c>
      <c r="YV103" s="9" t="n">
        <v>0</v>
      </c>
      <c r="YX103" s="9" t="n">
        <v>0</v>
      </c>
      <c r="YY103" s="9" t="n">
        <v>0</v>
      </c>
      <c r="ZC103" s="10" t="n">
        <v>46109</v>
      </c>
      <c r="ZE103" s="9" t="n">
        <v>0</v>
      </c>
      <c r="ZG103" s="9" t="n">
        <v>0</v>
      </c>
      <c r="ZH103" s="9" t="n">
        <v>0</v>
      </c>
      <c r="ZL103" s="10" t="n">
        <v>46109</v>
      </c>
      <c r="ZN103" s="9" t="n">
        <v>0</v>
      </c>
      <c r="ZP103" s="9" t="n">
        <v>0</v>
      </c>
      <c r="ZQ103" s="9" t="n">
        <v>0</v>
      </c>
      <c r="ZU103" s="10" t="n">
        <v>46109</v>
      </c>
      <c r="ZW103" s="9" t="n">
        <v>0</v>
      </c>
      <c r="ZY103" s="9" t="n">
        <v>0</v>
      </c>
      <c r="ZZ103" s="9" t="n">
        <v>0</v>
      </c>
      <c r="AAD103" s="10" t="n">
        <v>46109</v>
      </c>
      <c r="AAF103" s="9" t="n">
        <v>0</v>
      </c>
      <c r="AAH103" s="9" t="n">
        <v>0</v>
      </c>
      <c r="AAI103" s="9" t="n">
        <v>0</v>
      </c>
      <c r="AAM103" s="10" t="n">
        <v>46109</v>
      </c>
      <c r="AAO103" s="9" t="n">
        <v>0</v>
      </c>
      <c r="AAQ103" s="9" t="n">
        <v>0</v>
      </c>
      <c r="AAR103" s="9" t="n">
        <v>0</v>
      </c>
      <c r="AAV103" s="10" t="n">
        <v>46109</v>
      </c>
      <c r="AAX103" s="9" t="n">
        <v>0</v>
      </c>
      <c r="AAZ103" s="9" t="n">
        <v>0</v>
      </c>
      <c r="ABA103" s="9" t="n">
        <v>0</v>
      </c>
      <c r="ABE103" s="10" t="n">
        <v>46109</v>
      </c>
      <c r="ABG103" s="9" t="n">
        <v>0</v>
      </c>
      <c r="ABI103" s="9" t="n">
        <v>0</v>
      </c>
      <c r="ABJ103" s="9" t="n">
        <v>0</v>
      </c>
    </row>
    <row r="104">
      <c r="C104" s="10" t="n">
        <v>46110</v>
      </c>
      <c r="E104" s="9" t="n">
        <v>0</v>
      </c>
      <c r="F104" s="9" t="n">
        <v>10147</v>
      </c>
      <c r="G104" s="9" t="n">
        <v>-10147</v>
      </c>
      <c r="H104" s="9" t="n">
        <v>50850.79999999997</v>
      </c>
      <c r="L104" s="10" t="n">
        <v>46110</v>
      </c>
      <c r="N104" s="9" t="n">
        <v>0</v>
      </c>
      <c r="P104" s="9" t="n">
        <v>0</v>
      </c>
      <c r="Q104" s="9" t="n">
        <v>28861.80000000008</v>
      </c>
      <c r="U104" s="10" t="n">
        <v>46110</v>
      </c>
      <c r="W104" s="9" t="n">
        <v>0</v>
      </c>
      <c r="Y104" s="9" t="n">
        <v>0</v>
      </c>
      <c r="Z104" s="9" t="n">
        <v>25458.99999999997</v>
      </c>
      <c r="AD104" s="10" t="n">
        <v>46110</v>
      </c>
      <c r="AF104" s="9" t="n">
        <v>0</v>
      </c>
      <c r="AH104" s="9" t="n">
        <v>0</v>
      </c>
      <c r="AI104" s="9" t="n">
        <v>33755.70000000002</v>
      </c>
      <c r="AM104" s="10" t="n">
        <v>46110</v>
      </c>
      <c r="AO104" s="9" t="n">
        <v>0</v>
      </c>
      <c r="AQ104" s="9" t="n">
        <v>0</v>
      </c>
      <c r="AR104" s="9" t="n">
        <v>0</v>
      </c>
      <c r="AV104" s="10" t="n">
        <v>46110</v>
      </c>
      <c r="AX104" s="9" t="n">
        <v>0</v>
      </c>
      <c r="AZ104" s="9" t="n">
        <v>0</v>
      </c>
      <c r="BA104" s="9" t="n">
        <v>19397.39999999999</v>
      </c>
      <c r="BE104" s="10" t="n">
        <v>46110</v>
      </c>
      <c r="BG104" s="9" t="n">
        <v>0</v>
      </c>
      <c r="BI104" s="9" t="n">
        <v>0</v>
      </c>
      <c r="BJ104" s="9" t="n">
        <v>2110.200000000002</v>
      </c>
      <c r="BN104" s="10" t="n">
        <v>46110</v>
      </c>
      <c r="BP104" s="9" t="n">
        <v>0</v>
      </c>
      <c r="BR104" s="9" t="n">
        <v>0</v>
      </c>
      <c r="BS104" s="9" t="n">
        <v>0</v>
      </c>
      <c r="BW104" s="10" t="n">
        <v>46110</v>
      </c>
      <c r="BY104" s="9" t="n">
        <v>0</v>
      </c>
      <c r="CA104" s="9" t="n">
        <v>0</v>
      </c>
      <c r="CB104" s="9" t="n">
        <v>11812.9</v>
      </c>
      <c r="CF104" s="10" t="n">
        <v>46110</v>
      </c>
      <c r="CH104" s="9" t="n">
        <v>0</v>
      </c>
      <c r="CJ104" s="9" t="n">
        <v>0</v>
      </c>
      <c r="CK104" s="9" t="n">
        <v>0</v>
      </c>
      <c r="CO104" s="10" t="n">
        <v>46110</v>
      </c>
      <c r="CQ104" s="9" t="n">
        <v>0</v>
      </c>
      <c r="CS104" s="9" t="n">
        <v>0</v>
      </c>
      <c r="CT104" s="9" t="n">
        <v>0</v>
      </c>
      <c r="CX104" s="10" t="n">
        <v>46110</v>
      </c>
      <c r="CZ104" s="9" t="n">
        <v>0</v>
      </c>
      <c r="DB104" s="9" t="n">
        <v>0</v>
      </c>
      <c r="DC104" s="9" t="n">
        <v>31869.7</v>
      </c>
      <c r="DG104" s="10" t="n">
        <v>46110</v>
      </c>
      <c r="DI104" s="9" t="n">
        <v>0</v>
      </c>
      <c r="DK104" s="9" t="n">
        <v>0</v>
      </c>
      <c r="DL104" s="9" t="n">
        <v>6688.599999999995</v>
      </c>
      <c r="DP104" s="10" t="n">
        <v>46110</v>
      </c>
      <c r="DR104" s="9" t="n">
        <v>0</v>
      </c>
      <c r="DT104" s="9" t="n">
        <v>0</v>
      </c>
      <c r="DU104" s="9" t="n">
        <v>7150</v>
      </c>
      <c r="DY104" s="10" t="n">
        <v>46110</v>
      </c>
      <c r="EA104" s="9" t="n">
        <v>0</v>
      </c>
      <c r="EC104" s="9" t="n">
        <v>0</v>
      </c>
      <c r="ED104" s="9" t="n">
        <v>1847.3</v>
      </c>
      <c r="EH104" s="10" t="n">
        <v>46110</v>
      </c>
      <c r="EJ104" s="9" t="n">
        <v>0</v>
      </c>
      <c r="EL104" s="9" t="n">
        <v>0</v>
      </c>
      <c r="EM104" s="9" t="n">
        <v>0</v>
      </c>
      <c r="EQ104" s="10" t="n">
        <v>46110</v>
      </c>
      <c r="ES104" s="9" t="n">
        <v>0</v>
      </c>
      <c r="EU104" s="9" t="n">
        <v>0</v>
      </c>
      <c r="EV104" s="9" t="n">
        <v>0</v>
      </c>
      <c r="EZ104" s="10" t="n">
        <v>46110</v>
      </c>
      <c r="FB104" s="9" t="n">
        <v>0</v>
      </c>
      <c r="FD104" s="9" t="n">
        <v>0</v>
      </c>
      <c r="FE104" s="9" t="n">
        <v>0</v>
      </c>
      <c r="FI104" s="10" t="n">
        <v>46110</v>
      </c>
      <c r="FK104" s="9" t="n">
        <v>0</v>
      </c>
      <c r="FM104" s="9" t="n">
        <v>0</v>
      </c>
      <c r="FN104" s="9" t="n">
        <v>0</v>
      </c>
      <c r="FR104" s="10" t="n">
        <v>46110</v>
      </c>
      <c r="FT104" s="9" t="n">
        <v>0</v>
      </c>
      <c r="FV104" s="9" t="n">
        <v>0</v>
      </c>
      <c r="FW104" s="9" t="n">
        <v>1980</v>
      </c>
      <c r="GA104" s="10" t="n">
        <v>46110</v>
      </c>
      <c r="GC104" s="9" t="n">
        <v>0</v>
      </c>
      <c r="GE104" s="9" t="n">
        <v>0</v>
      </c>
      <c r="GF104" s="9" t="n">
        <v>2000</v>
      </c>
      <c r="GJ104" s="10" t="n">
        <v>46110</v>
      </c>
      <c r="GL104" s="9" t="n">
        <v>0</v>
      </c>
      <c r="GN104" s="9" t="n">
        <v>0</v>
      </c>
      <c r="GO104" s="9" t="n">
        <v>4800</v>
      </c>
      <c r="GS104" s="10" t="n">
        <v>46110</v>
      </c>
      <c r="GU104" s="9" t="n">
        <v>0</v>
      </c>
      <c r="GW104" s="9" t="n">
        <v>0</v>
      </c>
      <c r="GX104" s="9" t="n">
        <v>0</v>
      </c>
      <c r="HB104" s="10" t="n">
        <v>46110</v>
      </c>
      <c r="HD104" s="9" t="n">
        <v>0</v>
      </c>
      <c r="HF104" s="9" t="n">
        <v>0</v>
      </c>
      <c r="HG104" s="9" t="n">
        <v>0</v>
      </c>
      <c r="HK104" s="10" t="n">
        <v>46110</v>
      </c>
      <c r="HM104" s="9" t="n">
        <v>0</v>
      </c>
      <c r="HO104" s="9" t="n">
        <v>0</v>
      </c>
      <c r="HP104" s="9" t="n">
        <v>0</v>
      </c>
      <c r="HU104" s="10" t="n">
        <v>46110</v>
      </c>
      <c r="HW104" s="9" t="n">
        <v>0</v>
      </c>
      <c r="HY104" s="9" t="n">
        <v>0</v>
      </c>
      <c r="HZ104" s="9" t="n">
        <v>5120</v>
      </c>
      <c r="ID104" s="10" t="n">
        <v>46110</v>
      </c>
      <c r="IF104" s="9" t="n">
        <v>0</v>
      </c>
      <c r="IH104" s="9" t="n">
        <v>0</v>
      </c>
      <c r="II104" s="9" t="n">
        <v>6540</v>
      </c>
      <c r="IM104" s="10" t="n">
        <v>46110</v>
      </c>
      <c r="IO104" s="9" t="n">
        <v>0</v>
      </c>
      <c r="IQ104" s="9" t="n">
        <v>0</v>
      </c>
      <c r="IR104" s="9" t="n">
        <v>11540</v>
      </c>
      <c r="IV104" s="10" t="n">
        <v>46110</v>
      </c>
      <c r="IX104" s="9" t="n">
        <v>0</v>
      </c>
      <c r="IZ104" s="9" t="n">
        <v>0</v>
      </c>
      <c r="JA104" s="9" t="n">
        <v>15120</v>
      </c>
      <c r="JE104" s="10" t="n">
        <v>46110</v>
      </c>
      <c r="JG104" s="9" t="n">
        <v>0</v>
      </c>
      <c r="JI104" s="9" t="n">
        <v>0</v>
      </c>
      <c r="JJ104" s="9" t="n">
        <v>5040</v>
      </c>
      <c r="JN104" s="10" t="n">
        <v>46110</v>
      </c>
      <c r="JP104" s="9" t="n">
        <v>0</v>
      </c>
      <c r="JR104" s="9" t="n">
        <v>0</v>
      </c>
      <c r="JS104" s="9" t="n">
        <v>9100</v>
      </c>
      <c r="JW104" s="10" t="n">
        <v>46110</v>
      </c>
      <c r="JY104" s="9" t="n">
        <v>0</v>
      </c>
      <c r="KA104" s="9" t="n">
        <v>0</v>
      </c>
      <c r="KB104" s="9" t="n">
        <v>4220</v>
      </c>
      <c r="KF104" s="10" t="n">
        <v>46110</v>
      </c>
      <c r="KH104" s="9" t="n">
        <v>0</v>
      </c>
      <c r="KJ104" s="9" t="n">
        <v>0</v>
      </c>
      <c r="KK104" s="9" t="n">
        <v>7702.5</v>
      </c>
      <c r="KO104" s="10" t="n">
        <v>46110</v>
      </c>
      <c r="KQ104" s="9" t="n">
        <v>0</v>
      </c>
      <c r="KS104" s="9" t="n">
        <v>0</v>
      </c>
      <c r="KT104" s="9" t="n">
        <v>6426</v>
      </c>
      <c r="KX104" s="10" t="n">
        <v>46110</v>
      </c>
      <c r="KZ104" s="9" t="n">
        <v>0</v>
      </c>
      <c r="LB104" s="9" t="n">
        <v>0</v>
      </c>
      <c r="LC104" s="9" t="n">
        <v>0</v>
      </c>
      <c r="LG104" s="10" t="n">
        <v>46110</v>
      </c>
      <c r="LI104" s="9" t="n">
        <v>0</v>
      </c>
      <c r="LK104" s="9" t="n">
        <v>0</v>
      </c>
      <c r="LL104" s="9" t="n">
        <v>0</v>
      </c>
      <c r="LP104" s="10" t="n">
        <v>46110</v>
      </c>
      <c r="LR104" s="9" t="n">
        <v>0</v>
      </c>
      <c r="LT104" s="9" t="n">
        <v>0</v>
      </c>
      <c r="LU104" s="9" t="n">
        <v>0</v>
      </c>
      <c r="LY104" s="10" t="n">
        <v>46110</v>
      </c>
      <c r="MA104" s="9" t="n">
        <v>0</v>
      </c>
      <c r="MC104" s="9" t="n">
        <v>0</v>
      </c>
      <c r="MD104" s="9" t="n">
        <v>0</v>
      </c>
      <c r="MH104" s="10" t="n">
        <v>46110</v>
      </c>
      <c r="MJ104" s="9" t="n">
        <v>0</v>
      </c>
      <c r="ML104" s="9" t="n">
        <v>0</v>
      </c>
      <c r="MM104" s="9" t="n">
        <v>0</v>
      </c>
      <c r="MQ104" s="10" t="n">
        <v>46110</v>
      </c>
      <c r="MS104" s="9" t="n">
        <v>0</v>
      </c>
      <c r="MU104" s="9" t="n">
        <v>0</v>
      </c>
      <c r="MV104" s="9" t="n">
        <v>4195</v>
      </c>
      <c r="MZ104" s="10" t="n">
        <v>46110</v>
      </c>
      <c r="NB104" s="9" t="n">
        <v>0</v>
      </c>
      <c r="ND104" s="9" t="n">
        <v>0</v>
      </c>
      <c r="NE104" s="9" t="n">
        <v>0</v>
      </c>
      <c r="NI104" s="10" t="n">
        <v>46110</v>
      </c>
      <c r="NK104" s="9" t="n">
        <v>0</v>
      </c>
      <c r="NM104" s="9" t="n">
        <v>0</v>
      </c>
      <c r="NN104" s="9" t="n">
        <v>2065</v>
      </c>
      <c r="NR104" s="10" t="n">
        <v>46110</v>
      </c>
      <c r="NT104" s="9" t="n">
        <v>0</v>
      </c>
      <c r="NV104" s="9" t="n">
        <v>0</v>
      </c>
      <c r="NW104" s="9" t="n">
        <v>4152.5</v>
      </c>
      <c r="OA104" s="10" t="n">
        <v>46110</v>
      </c>
      <c r="OC104" s="9" t="n">
        <v>0</v>
      </c>
      <c r="OE104" s="9" t="n">
        <v>0</v>
      </c>
      <c r="OF104" s="9" t="n">
        <v>1680.5</v>
      </c>
      <c r="OJ104" s="10" t="n">
        <v>46110</v>
      </c>
      <c r="OL104" s="9" t="n">
        <v>0</v>
      </c>
      <c r="ON104" s="9" t="n">
        <v>0</v>
      </c>
      <c r="OO104" s="9" t="n">
        <v>0</v>
      </c>
      <c r="OS104" s="10" t="n">
        <v>46110</v>
      </c>
      <c r="OU104" s="9" t="n">
        <v>0</v>
      </c>
      <c r="OW104" s="9" t="n">
        <v>0</v>
      </c>
      <c r="OX104" s="9" t="n">
        <v>1000</v>
      </c>
      <c r="PB104" s="10" t="n">
        <v>46110</v>
      </c>
      <c r="PD104" s="9" t="n">
        <v>0</v>
      </c>
      <c r="PF104" s="9" t="n">
        <v>0</v>
      </c>
      <c r="PG104" s="9" t="n">
        <v>0</v>
      </c>
      <c r="PK104" s="10" t="n">
        <v>46110</v>
      </c>
      <c r="PM104" s="9" t="n">
        <v>0</v>
      </c>
      <c r="PO104" s="9" t="n">
        <v>0</v>
      </c>
      <c r="PP104" s="9" t="n">
        <v>100</v>
      </c>
      <c r="PT104" s="10" t="n">
        <v>46110</v>
      </c>
      <c r="PV104" s="9" t="n">
        <v>0</v>
      </c>
      <c r="PX104" s="9" t="n">
        <v>0</v>
      </c>
      <c r="PY104" s="9" t="n">
        <v>13.96000000000004</v>
      </c>
      <c r="QC104" s="10" t="n">
        <v>46110</v>
      </c>
      <c r="QE104" s="9" t="n">
        <v>0</v>
      </c>
      <c r="QG104" s="9" t="n">
        <v>0</v>
      </c>
      <c r="QH104" s="9" t="n">
        <v>1212</v>
      </c>
      <c r="QL104" s="10" t="n">
        <v>46110</v>
      </c>
      <c r="QN104" s="9" t="n">
        <v>0</v>
      </c>
      <c r="QP104" s="9" t="n">
        <v>0</v>
      </c>
      <c r="QQ104" s="9" t="n">
        <v>400</v>
      </c>
      <c r="QU104" s="10" t="n">
        <v>46110</v>
      </c>
      <c r="QW104" s="9" t="n">
        <v>0</v>
      </c>
      <c r="QY104" s="9" t="n">
        <v>0</v>
      </c>
      <c r="QZ104" s="9" t="n">
        <v>207.6</v>
      </c>
      <c r="RD104" s="10" t="n">
        <v>46110</v>
      </c>
      <c r="RF104" s="9" t="n">
        <v>0</v>
      </c>
      <c r="RH104" s="9" t="n">
        <v>0</v>
      </c>
      <c r="RI104" s="9" t="n">
        <v>197.04</v>
      </c>
      <c r="RM104" s="10" t="n">
        <v>46110</v>
      </c>
      <c r="RO104" s="9" t="n">
        <v>0</v>
      </c>
      <c r="RQ104" s="9" t="n">
        <v>0</v>
      </c>
      <c r="RR104" s="9" t="n">
        <v>46.8</v>
      </c>
      <c r="RV104" s="10" t="n">
        <v>46110</v>
      </c>
      <c r="RX104" s="9" t="n">
        <v>0</v>
      </c>
      <c r="RZ104" s="9" t="n">
        <v>0</v>
      </c>
      <c r="SA104" s="9" t="n">
        <v>0</v>
      </c>
      <c r="SE104" s="10" t="n">
        <v>46110</v>
      </c>
      <c r="SG104" s="9" t="n">
        <v>0</v>
      </c>
      <c r="SI104" s="9" t="n">
        <v>0</v>
      </c>
      <c r="SJ104" s="9" t="n">
        <v>0</v>
      </c>
      <c r="SN104" s="10" t="n">
        <v>46110</v>
      </c>
      <c r="SP104" s="9" t="n">
        <v>0</v>
      </c>
      <c r="SR104" s="9" t="n">
        <v>0</v>
      </c>
      <c r="SS104" s="9" t="n">
        <v>0</v>
      </c>
      <c r="SW104" s="10" t="n">
        <v>46110</v>
      </c>
      <c r="SY104" s="9" t="n">
        <v>0</v>
      </c>
      <c r="TA104" s="9" t="n">
        <v>0</v>
      </c>
      <c r="TB104" s="9" t="n">
        <v>0</v>
      </c>
      <c r="TF104" s="10" t="n">
        <v>46110</v>
      </c>
      <c r="TH104" s="9" t="n">
        <v>0</v>
      </c>
      <c r="TJ104" s="9" t="n">
        <v>0</v>
      </c>
      <c r="TK104" s="9" t="n">
        <v>0</v>
      </c>
      <c r="TO104" s="10" t="n">
        <v>46110</v>
      </c>
      <c r="TQ104" s="9" t="n">
        <v>0</v>
      </c>
      <c r="TS104" s="9" t="n">
        <v>0</v>
      </c>
      <c r="TT104" s="9" t="n">
        <v>0</v>
      </c>
      <c r="TX104" s="10" t="n">
        <v>46110</v>
      </c>
      <c r="TZ104" s="9" t="n">
        <v>0</v>
      </c>
      <c r="UB104" s="9" t="n">
        <v>0</v>
      </c>
      <c r="UC104" s="9" t="n">
        <v>0</v>
      </c>
      <c r="UG104" s="10" t="n">
        <v>46110</v>
      </c>
      <c r="UI104" s="9" t="n">
        <v>0</v>
      </c>
      <c r="UK104" s="9" t="n">
        <v>0</v>
      </c>
      <c r="UL104" s="9" t="n">
        <v>0</v>
      </c>
      <c r="UP104" s="10" t="n">
        <v>46110</v>
      </c>
      <c r="UR104" s="9" t="n">
        <v>0</v>
      </c>
      <c r="UT104" s="9" t="n">
        <v>0</v>
      </c>
      <c r="UU104" s="9" t="n">
        <v>0</v>
      </c>
      <c r="UY104" s="10" t="n">
        <v>46110</v>
      </c>
      <c r="VA104" s="9" t="n">
        <v>0</v>
      </c>
      <c r="VC104" s="9" t="n">
        <v>0</v>
      </c>
      <c r="VD104" s="9" t="n">
        <v>41.60000000000002</v>
      </c>
      <c r="VH104" s="10" t="n">
        <v>46110</v>
      </c>
      <c r="VJ104" s="9" t="n">
        <v>0</v>
      </c>
      <c r="VL104" s="9" t="n">
        <v>0</v>
      </c>
      <c r="VM104" s="9" t="n">
        <v>0</v>
      </c>
      <c r="VQ104" s="10" t="n">
        <v>46110</v>
      </c>
      <c r="VS104" s="9" t="n">
        <v>0</v>
      </c>
      <c r="VU104" s="9" t="n">
        <v>0</v>
      </c>
      <c r="VV104" s="9" t="n">
        <v>0</v>
      </c>
      <c r="VZ104" s="10" t="n">
        <v>46110</v>
      </c>
      <c r="WB104" s="9" t="n">
        <v>0</v>
      </c>
      <c r="WD104" s="9" t="n">
        <v>0</v>
      </c>
      <c r="WE104" s="9" t="n">
        <v>0</v>
      </c>
      <c r="WI104" s="10" t="n">
        <v>46110</v>
      </c>
      <c r="WK104" s="9" t="n">
        <v>0</v>
      </c>
      <c r="WM104" s="9" t="n">
        <v>0</v>
      </c>
      <c r="WN104" s="9" t="n">
        <v>4857</v>
      </c>
      <c r="WR104" s="10" t="n">
        <v>46110</v>
      </c>
      <c r="WT104" s="9" t="n">
        <v>0</v>
      </c>
      <c r="WV104" s="9" t="n">
        <v>0</v>
      </c>
      <c r="WW104" s="9" t="n">
        <v>850</v>
      </c>
      <c r="XA104" s="10" t="n">
        <v>46110</v>
      </c>
      <c r="XC104" s="9" t="n">
        <v>0</v>
      </c>
      <c r="XE104" s="9" t="n">
        <v>0</v>
      </c>
      <c r="XF104" s="9" t="n">
        <v>7142</v>
      </c>
      <c r="XJ104" s="10" t="n">
        <v>46110</v>
      </c>
      <c r="XL104" s="9" t="n">
        <v>0</v>
      </c>
      <c r="XN104" s="9" t="n">
        <v>0</v>
      </c>
      <c r="XO104" s="9" t="n">
        <v>5989</v>
      </c>
      <c r="XS104" s="10" t="n">
        <v>46110</v>
      </c>
      <c r="XU104" s="9" t="n">
        <v>0</v>
      </c>
      <c r="XW104" s="9" t="n">
        <v>0</v>
      </c>
      <c r="XX104" s="9" t="n">
        <v>1901</v>
      </c>
      <c r="YB104" s="10" t="n">
        <v>46110</v>
      </c>
      <c r="YD104" s="9" t="n">
        <v>0</v>
      </c>
      <c r="YF104" s="9" t="n">
        <v>0</v>
      </c>
      <c r="YG104" s="9" t="n">
        <v>6459</v>
      </c>
      <c r="YK104" s="10" t="n">
        <v>46110</v>
      </c>
      <c r="YM104" s="9" t="n">
        <v>0</v>
      </c>
      <c r="YO104" s="9" t="n">
        <v>0</v>
      </c>
      <c r="YP104" s="9" t="n">
        <v>0</v>
      </c>
      <c r="YT104" s="10" t="n">
        <v>46110</v>
      </c>
      <c r="YV104" s="9" t="n">
        <v>0</v>
      </c>
      <c r="YX104" s="9" t="n">
        <v>0</v>
      </c>
      <c r="YY104" s="9" t="n">
        <v>0</v>
      </c>
      <c r="ZC104" s="10" t="n">
        <v>46110</v>
      </c>
      <c r="ZE104" s="9" t="n">
        <v>0</v>
      </c>
      <c r="ZG104" s="9" t="n">
        <v>0</v>
      </c>
      <c r="ZH104" s="9" t="n">
        <v>0</v>
      </c>
      <c r="ZL104" s="10" t="n">
        <v>46110</v>
      </c>
      <c r="ZN104" s="9" t="n">
        <v>0</v>
      </c>
      <c r="ZP104" s="9" t="n">
        <v>0</v>
      </c>
      <c r="ZQ104" s="9" t="n">
        <v>0</v>
      </c>
      <c r="ZU104" s="10" t="n">
        <v>46110</v>
      </c>
      <c r="ZW104" s="9" t="n">
        <v>0</v>
      </c>
      <c r="ZY104" s="9" t="n">
        <v>0</v>
      </c>
      <c r="ZZ104" s="9" t="n">
        <v>0</v>
      </c>
      <c r="AAD104" s="10" t="n">
        <v>46110</v>
      </c>
      <c r="AAF104" s="9" t="n">
        <v>0</v>
      </c>
      <c r="AAH104" s="9" t="n">
        <v>0</v>
      </c>
      <c r="AAI104" s="9" t="n">
        <v>0</v>
      </c>
      <c r="AAM104" s="10" t="n">
        <v>46110</v>
      </c>
      <c r="AAO104" s="9" t="n">
        <v>0</v>
      </c>
      <c r="AAQ104" s="9" t="n">
        <v>0</v>
      </c>
      <c r="AAR104" s="9" t="n">
        <v>0</v>
      </c>
      <c r="AAV104" s="10" t="n">
        <v>46110</v>
      </c>
      <c r="AAX104" s="9" t="n">
        <v>0</v>
      </c>
      <c r="AAZ104" s="9" t="n">
        <v>0</v>
      </c>
      <c r="ABA104" s="9" t="n">
        <v>0</v>
      </c>
      <c r="ABE104" s="10" t="n">
        <v>46110</v>
      </c>
      <c r="ABG104" s="9" t="n">
        <v>0</v>
      </c>
      <c r="ABI104" s="9" t="n">
        <v>0</v>
      </c>
      <c r="ABJ104" s="9" t="n">
        <v>0</v>
      </c>
    </row>
    <row r="105">
      <c r="B105" s="9" t="n">
        <v>84</v>
      </c>
      <c r="C105" s="10" t="n">
        <v>46111</v>
      </c>
      <c r="D105" s="9" t="n">
        <v>26890</v>
      </c>
      <c r="E105" s="9" t="n">
        <v>48459.60000000001</v>
      </c>
      <c r="F105" s="9" t="n">
        <v>48468.2</v>
      </c>
      <c r="G105" s="9" t="n">
        <v>-8.599999999991269</v>
      </c>
      <c r="H105" s="9" t="n">
        <v>29272.59999999996</v>
      </c>
      <c r="I105" s="9" t="inlineStr">
        <is>
          <t>1101 46mt, 1103 38mt</t>
        </is>
      </c>
      <c r="L105" s="10" t="n">
        <v>46111</v>
      </c>
      <c r="M105" s="9" t="n">
        <v>3371.8</v>
      </c>
      <c r="N105" s="9" t="n">
        <v>20194.5</v>
      </c>
      <c r="O105" s="9" t="n">
        <v>20203.6</v>
      </c>
      <c r="P105" s="9" t="n">
        <v>-9.099999999998545</v>
      </c>
      <c r="Q105" s="9" t="n">
        <v>12030.00000000008</v>
      </c>
      <c r="U105" s="10" t="n">
        <v>46111</v>
      </c>
      <c r="W105" s="9" t="n">
        <v>4190</v>
      </c>
      <c r="X105" s="9" t="n">
        <v>4189.3</v>
      </c>
      <c r="Y105" s="9" t="n">
        <v>0.6999999999998181</v>
      </c>
      <c r="Z105" s="9" t="n">
        <v>21269.69999999997</v>
      </c>
      <c r="AD105" s="10" t="n">
        <v>46111</v>
      </c>
      <c r="AF105" s="9" t="n">
        <v>4960</v>
      </c>
      <c r="AG105" s="9" t="n">
        <v>4962.4</v>
      </c>
      <c r="AH105" s="9" t="n">
        <v>-2.399999999999636</v>
      </c>
      <c r="AI105" s="9" t="n">
        <v>28793.30000000002</v>
      </c>
      <c r="AM105" s="10" t="n">
        <v>46111</v>
      </c>
      <c r="AO105" s="9" t="n">
        <v>0</v>
      </c>
      <c r="AQ105" s="9" t="n">
        <v>0</v>
      </c>
      <c r="AR105" s="9" t="n">
        <v>0</v>
      </c>
      <c r="AV105" s="10" t="n">
        <v>46111</v>
      </c>
      <c r="AX105" s="9" t="n">
        <v>1509</v>
      </c>
      <c r="AY105" s="9" t="n">
        <v>1509.1</v>
      </c>
      <c r="AZ105" s="9" t="n">
        <v>-0.09999999999990905</v>
      </c>
      <c r="BA105" s="9" t="n">
        <v>17888.29999999999</v>
      </c>
      <c r="BE105" s="10" t="n">
        <v>46111</v>
      </c>
      <c r="BF105" s="9" t="n">
        <v>89.7</v>
      </c>
      <c r="BG105" s="9" t="n">
        <v>950</v>
      </c>
      <c r="BH105" s="9" t="n">
        <v>948</v>
      </c>
      <c r="BI105" s="9" t="n">
        <v>2</v>
      </c>
      <c r="BJ105" s="9" t="n">
        <v>1251.900000000002</v>
      </c>
      <c r="BN105" s="10" t="n">
        <v>46111</v>
      </c>
      <c r="BO105" s="9" t="n">
        <v>1870</v>
      </c>
      <c r="BP105" s="9" t="n">
        <v>1870</v>
      </c>
      <c r="BQ105" s="9" t="n">
        <v>1870</v>
      </c>
      <c r="BR105" s="9" t="n">
        <v>0</v>
      </c>
      <c r="BS105" s="9" t="n">
        <v>0</v>
      </c>
      <c r="BW105" s="10" t="n">
        <v>46111</v>
      </c>
      <c r="BY105" s="9" t="n">
        <v>103.5</v>
      </c>
      <c r="CA105" s="9" t="n">
        <v>103.5</v>
      </c>
      <c r="CB105" s="9" t="n">
        <v>11812.9</v>
      </c>
      <c r="CF105" s="10" t="n">
        <v>46111</v>
      </c>
      <c r="CH105" s="9" t="n">
        <v>41.4</v>
      </c>
      <c r="CJ105" s="9" t="n">
        <v>41.4</v>
      </c>
      <c r="CK105" s="9" t="n">
        <v>0</v>
      </c>
      <c r="CO105" s="10" t="n">
        <v>46111</v>
      </c>
      <c r="CQ105" s="9" t="n">
        <v>0</v>
      </c>
      <c r="CS105" s="9" t="n">
        <v>0</v>
      </c>
      <c r="CT105" s="9" t="n">
        <v>0</v>
      </c>
      <c r="CX105" s="10" t="n">
        <v>46111</v>
      </c>
      <c r="CZ105" s="9" t="n">
        <v>0</v>
      </c>
      <c r="DB105" s="9" t="n">
        <v>0</v>
      </c>
      <c r="DC105" s="9" t="n">
        <v>31869.7</v>
      </c>
      <c r="DG105" s="10" t="n">
        <v>46111</v>
      </c>
      <c r="DI105" s="9" t="n">
        <v>0</v>
      </c>
      <c r="DJ105" s="9" t="n">
        <v>29.6</v>
      </c>
      <c r="DK105" s="9" t="n">
        <v>-29.6</v>
      </c>
      <c r="DL105" s="9" t="n">
        <v>6658.999999999995</v>
      </c>
      <c r="DP105" s="10" t="n">
        <v>46111</v>
      </c>
      <c r="DR105" s="9" t="n">
        <v>0</v>
      </c>
      <c r="DT105" s="9" t="n">
        <v>0</v>
      </c>
      <c r="DU105" s="9" t="n">
        <v>7150</v>
      </c>
      <c r="DY105" s="10" t="n">
        <v>46111</v>
      </c>
      <c r="EA105" s="9" t="n">
        <v>0</v>
      </c>
      <c r="EC105" s="9" t="n">
        <v>0</v>
      </c>
      <c r="ED105" s="9" t="n">
        <v>1847.3</v>
      </c>
      <c r="EH105" s="10" t="n">
        <v>46111</v>
      </c>
      <c r="EJ105" s="9" t="n">
        <v>0</v>
      </c>
      <c r="EL105" s="9" t="n">
        <v>0</v>
      </c>
      <c r="EM105" s="9" t="n">
        <v>0</v>
      </c>
      <c r="EQ105" s="10" t="n">
        <v>46111</v>
      </c>
      <c r="ES105" s="9" t="n">
        <v>0</v>
      </c>
      <c r="EU105" s="9" t="n">
        <v>0</v>
      </c>
      <c r="EV105" s="9" t="n">
        <v>0</v>
      </c>
      <c r="EZ105" s="10" t="n">
        <v>46111</v>
      </c>
      <c r="FB105" s="9" t="n">
        <v>0</v>
      </c>
      <c r="FD105" s="9" t="n">
        <v>0</v>
      </c>
      <c r="FE105" s="9" t="n">
        <v>0</v>
      </c>
      <c r="FI105" s="10" t="n">
        <v>46111</v>
      </c>
      <c r="FK105" s="9" t="n">
        <v>0</v>
      </c>
      <c r="FM105" s="9" t="n">
        <v>0</v>
      </c>
      <c r="FN105" s="9" t="n">
        <v>0</v>
      </c>
      <c r="FR105" s="10" t="n">
        <v>46111</v>
      </c>
      <c r="FT105" s="9" t="n">
        <v>920</v>
      </c>
      <c r="FV105" s="9" t="n">
        <v>920</v>
      </c>
      <c r="FW105" s="9" t="n">
        <v>1980</v>
      </c>
      <c r="GA105" s="10" t="n">
        <v>46111</v>
      </c>
      <c r="GC105" s="9" t="n">
        <v>0</v>
      </c>
      <c r="GE105" s="9" t="n">
        <v>0</v>
      </c>
      <c r="GF105" s="9" t="n">
        <v>2000</v>
      </c>
      <c r="GJ105" s="10" t="n">
        <v>46111</v>
      </c>
      <c r="GL105" s="9" t="n">
        <v>760</v>
      </c>
      <c r="GN105" s="9" t="n">
        <v>760</v>
      </c>
      <c r="GO105" s="9" t="n">
        <v>4800</v>
      </c>
      <c r="GS105" s="10" t="n">
        <v>46111</v>
      </c>
      <c r="GU105" s="9" t="n">
        <v>0</v>
      </c>
      <c r="GW105" s="9" t="n">
        <v>0</v>
      </c>
      <c r="GX105" s="9" t="n">
        <v>0</v>
      </c>
      <c r="HB105" s="10" t="n">
        <v>46111</v>
      </c>
      <c r="HD105" s="9" t="n">
        <v>0</v>
      </c>
      <c r="HF105" s="9" t="n">
        <v>0</v>
      </c>
      <c r="HG105" s="9" t="n">
        <v>0</v>
      </c>
      <c r="HK105" s="10" t="n">
        <v>46111</v>
      </c>
      <c r="HM105" s="9" t="n">
        <v>0</v>
      </c>
      <c r="HO105" s="9" t="n">
        <v>0</v>
      </c>
      <c r="HP105" s="9" t="n">
        <v>0</v>
      </c>
      <c r="HU105" s="10" t="n">
        <v>46111</v>
      </c>
      <c r="HW105" s="9" t="n">
        <v>0</v>
      </c>
      <c r="HY105" s="9" t="n">
        <v>0</v>
      </c>
      <c r="HZ105" s="9" t="n">
        <v>5120</v>
      </c>
      <c r="ID105" s="10" t="n">
        <v>46111</v>
      </c>
      <c r="IF105" s="9" t="n">
        <v>0</v>
      </c>
      <c r="IH105" s="9" t="n">
        <v>0</v>
      </c>
      <c r="II105" s="9" t="n">
        <v>6540</v>
      </c>
      <c r="IM105" s="10" t="n">
        <v>46111</v>
      </c>
      <c r="IO105" s="9" t="n">
        <v>0</v>
      </c>
      <c r="IQ105" s="9" t="n">
        <v>0</v>
      </c>
      <c r="IR105" s="9" t="n">
        <v>11540</v>
      </c>
      <c r="IV105" s="10" t="n">
        <v>46111</v>
      </c>
      <c r="IX105" s="9" t="n">
        <v>0</v>
      </c>
      <c r="IZ105" s="9" t="n">
        <v>0</v>
      </c>
      <c r="JA105" s="9" t="n">
        <v>15120</v>
      </c>
      <c r="JE105" s="10" t="n">
        <v>46111</v>
      </c>
      <c r="JG105" s="9" t="n">
        <v>0</v>
      </c>
      <c r="JI105" s="9" t="n">
        <v>0</v>
      </c>
      <c r="JJ105" s="9" t="n">
        <v>5040</v>
      </c>
      <c r="JN105" s="10" t="n">
        <v>46111</v>
      </c>
      <c r="JP105" s="9" t="n">
        <v>0</v>
      </c>
      <c r="JR105" s="9" t="n">
        <v>0</v>
      </c>
      <c r="JS105" s="9" t="n">
        <v>9100</v>
      </c>
      <c r="JW105" s="10" t="n">
        <v>46111</v>
      </c>
      <c r="JY105" s="9" t="n">
        <v>0</v>
      </c>
      <c r="KA105" s="9" t="n">
        <v>0</v>
      </c>
      <c r="KB105" s="9" t="n">
        <v>4220</v>
      </c>
      <c r="KF105" s="10" t="n">
        <v>46111</v>
      </c>
      <c r="KH105" s="9" t="n">
        <v>0</v>
      </c>
      <c r="KJ105" s="9" t="n">
        <v>0</v>
      </c>
      <c r="KK105" s="9" t="n">
        <v>7702.5</v>
      </c>
      <c r="KO105" s="10" t="n">
        <v>46111</v>
      </c>
      <c r="KQ105" s="9" t="n">
        <v>0</v>
      </c>
      <c r="KS105" s="9" t="n">
        <v>0</v>
      </c>
      <c r="KT105" s="9" t="n">
        <v>6426</v>
      </c>
      <c r="KX105" s="10" t="n">
        <v>46111</v>
      </c>
      <c r="KZ105" s="9" t="n">
        <v>0</v>
      </c>
      <c r="LB105" s="9" t="n">
        <v>0</v>
      </c>
      <c r="LC105" s="9" t="n">
        <v>0</v>
      </c>
      <c r="LG105" s="10" t="n">
        <v>46111</v>
      </c>
      <c r="LI105" s="9" t="n">
        <v>0</v>
      </c>
      <c r="LK105" s="9" t="n">
        <v>0</v>
      </c>
      <c r="LL105" s="9" t="n">
        <v>0</v>
      </c>
      <c r="LP105" s="10" t="n">
        <v>46111</v>
      </c>
      <c r="LR105" s="9" t="n">
        <v>0</v>
      </c>
      <c r="LT105" s="9" t="n">
        <v>0</v>
      </c>
      <c r="LU105" s="9" t="n">
        <v>0</v>
      </c>
      <c r="LY105" s="10" t="n">
        <v>46111</v>
      </c>
      <c r="MA105" s="9" t="n">
        <v>0</v>
      </c>
      <c r="MC105" s="9" t="n">
        <v>0</v>
      </c>
      <c r="MD105" s="9" t="n">
        <v>0</v>
      </c>
      <c r="MH105" s="10" t="n">
        <v>46111</v>
      </c>
      <c r="MJ105" s="9" t="n">
        <v>0</v>
      </c>
      <c r="ML105" s="9" t="n">
        <v>0</v>
      </c>
      <c r="MM105" s="9" t="n">
        <v>0</v>
      </c>
      <c r="MQ105" s="10" t="n">
        <v>46111</v>
      </c>
      <c r="MS105" s="9" t="n">
        <v>42</v>
      </c>
      <c r="MU105" s="9" t="n">
        <v>42</v>
      </c>
      <c r="MV105" s="9" t="n">
        <v>4195</v>
      </c>
      <c r="MZ105" s="10" t="n">
        <v>46111</v>
      </c>
      <c r="NB105" s="9" t="n">
        <v>0</v>
      </c>
      <c r="ND105" s="9" t="n">
        <v>0</v>
      </c>
      <c r="NE105" s="9" t="n">
        <v>0</v>
      </c>
      <c r="NI105" s="10" t="n">
        <v>46111</v>
      </c>
      <c r="NK105" s="9" t="n">
        <v>0</v>
      </c>
      <c r="NM105" s="9" t="n">
        <v>0</v>
      </c>
      <c r="NN105" s="9" t="n">
        <v>2065</v>
      </c>
      <c r="NR105" s="10" t="n">
        <v>46111</v>
      </c>
      <c r="NT105" s="9" t="n">
        <v>0</v>
      </c>
      <c r="NV105" s="9" t="n">
        <v>0</v>
      </c>
      <c r="NW105" s="9" t="n">
        <v>4152.5</v>
      </c>
      <c r="OA105" s="10" t="n">
        <v>46111</v>
      </c>
      <c r="OC105" s="9" t="n">
        <v>0</v>
      </c>
      <c r="OE105" s="9" t="n">
        <v>0</v>
      </c>
      <c r="OF105" s="9" t="n">
        <v>1680.5</v>
      </c>
      <c r="OJ105" s="10" t="n">
        <v>46111</v>
      </c>
      <c r="OL105" s="9" t="n">
        <v>0</v>
      </c>
      <c r="ON105" s="9" t="n">
        <v>0</v>
      </c>
      <c r="OO105" s="9" t="n">
        <v>0</v>
      </c>
      <c r="OS105" s="10" t="n">
        <v>46111</v>
      </c>
      <c r="OU105" s="9" t="n">
        <v>0</v>
      </c>
      <c r="OW105" s="9" t="n">
        <v>0</v>
      </c>
      <c r="OX105" s="9" t="n">
        <v>1000</v>
      </c>
      <c r="PB105" s="10" t="n">
        <v>46111</v>
      </c>
      <c r="PD105" s="9" t="n">
        <v>0</v>
      </c>
      <c r="PF105" s="9" t="n">
        <v>0</v>
      </c>
      <c r="PG105" s="9" t="n">
        <v>0</v>
      </c>
      <c r="PK105" s="10" t="n">
        <v>46111</v>
      </c>
      <c r="PM105" s="9" t="n">
        <v>0</v>
      </c>
      <c r="PO105" s="9" t="n">
        <v>0</v>
      </c>
      <c r="PP105" s="9" t="n">
        <v>100</v>
      </c>
      <c r="PT105" s="10" t="n">
        <v>46111</v>
      </c>
      <c r="PV105" s="9" t="n">
        <v>0</v>
      </c>
      <c r="PX105" s="9" t="n">
        <v>0</v>
      </c>
      <c r="PY105" s="9" t="n">
        <v>13.96000000000004</v>
      </c>
      <c r="QC105" s="10" t="n">
        <v>46111</v>
      </c>
      <c r="QE105" s="9" t="n">
        <v>0</v>
      </c>
      <c r="QG105" s="9" t="n">
        <v>0</v>
      </c>
      <c r="QH105" s="9" t="n">
        <v>1212</v>
      </c>
      <c r="QL105" s="10" t="n">
        <v>46111</v>
      </c>
      <c r="QN105" s="9" t="n">
        <v>0</v>
      </c>
      <c r="QP105" s="9" t="n">
        <v>0</v>
      </c>
      <c r="QQ105" s="9" t="n">
        <v>400</v>
      </c>
      <c r="QU105" s="10" t="n">
        <v>46111</v>
      </c>
      <c r="QW105" s="9" t="n">
        <v>0</v>
      </c>
      <c r="QY105" s="9" t="n">
        <v>0</v>
      </c>
      <c r="QZ105" s="9" t="n">
        <v>207.6</v>
      </c>
      <c r="RD105" s="10" t="n">
        <v>46111</v>
      </c>
      <c r="RF105" s="9" t="n">
        <v>0</v>
      </c>
      <c r="RH105" s="9" t="n">
        <v>0</v>
      </c>
      <c r="RI105" s="9" t="n">
        <v>197.04</v>
      </c>
      <c r="RM105" s="10" t="n">
        <v>46111</v>
      </c>
      <c r="RO105" s="9" t="n">
        <v>0</v>
      </c>
      <c r="RQ105" s="9" t="n">
        <v>0</v>
      </c>
      <c r="RR105" s="9" t="n">
        <v>46.8</v>
      </c>
      <c r="RV105" s="10" t="n">
        <v>46111</v>
      </c>
      <c r="RX105" s="9" t="n">
        <v>0</v>
      </c>
      <c r="RZ105" s="9" t="n">
        <v>0</v>
      </c>
      <c r="SA105" s="9" t="n">
        <v>0</v>
      </c>
      <c r="SE105" s="10" t="n">
        <v>46111</v>
      </c>
      <c r="SG105" s="9" t="n">
        <v>0</v>
      </c>
      <c r="SI105" s="9" t="n">
        <v>0</v>
      </c>
      <c r="SJ105" s="9" t="n">
        <v>0</v>
      </c>
      <c r="SN105" s="10" t="n">
        <v>46111</v>
      </c>
      <c r="SP105" s="9" t="n">
        <v>0</v>
      </c>
      <c r="SR105" s="9" t="n">
        <v>0</v>
      </c>
      <c r="SS105" s="9" t="n">
        <v>0</v>
      </c>
      <c r="SW105" s="10" t="n">
        <v>46111</v>
      </c>
      <c r="SY105" s="9" t="n">
        <v>0</v>
      </c>
      <c r="TA105" s="9" t="n">
        <v>0</v>
      </c>
      <c r="TB105" s="9" t="n">
        <v>0</v>
      </c>
      <c r="TF105" s="10" t="n">
        <v>46111</v>
      </c>
      <c r="TH105" s="9" t="n">
        <v>0</v>
      </c>
      <c r="TJ105" s="9" t="n">
        <v>0</v>
      </c>
      <c r="TK105" s="9" t="n">
        <v>0</v>
      </c>
      <c r="TO105" s="10" t="n">
        <v>46111</v>
      </c>
      <c r="TQ105" s="9" t="n">
        <v>0</v>
      </c>
      <c r="TS105" s="9" t="n">
        <v>0</v>
      </c>
      <c r="TT105" s="9" t="n">
        <v>0</v>
      </c>
      <c r="TX105" s="10" t="n">
        <v>46111</v>
      </c>
      <c r="TZ105" s="9" t="n">
        <v>0</v>
      </c>
      <c r="UB105" s="9" t="n">
        <v>0</v>
      </c>
      <c r="UC105" s="9" t="n">
        <v>0</v>
      </c>
      <c r="UG105" s="10" t="n">
        <v>46111</v>
      </c>
      <c r="UI105" s="9" t="n">
        <v>0</v>
      </c>
      <c r="UK105" s="9" t="n">
        <v>0</v>
      </c>
      <c r="UL105" s="9" t="n">
        <v>0</v>
      </c>
      <c r="UP105" s="10" t="n">
        <v>46111</v>
      </c>
      <c r="UR105" s="9" t="n">
        <v>0</v>
      </c>
      <c r="UT105" s="9" t="n">
        <v>0</v>
      </c>
      <c r="UU105" s="9" t="n">
        <v>0</v>
      </c>
      <c r="UY105" s="10" t="n">
        <v>46111</v>
      </c>
      <c r="VA105" s="9" t="n">
        <v>0</v>
      </c>
      <c r="VC105" s="9" t="n">
        <v>0</v>
      </c>
      <c r="VD105" s="9" t="n">
        <v>41.60000000000002</v>
      </c>
      <c r="VH105" s="10" t="n">
        <v>46111</v>
      </c>
      <c r="VJ105" s="9" t="n">
        <v>0</v>
      </c>
      <c r="VL105" s="9" t="n">
        <v>0</v>
      </c>
      <c r="VM105" s="9" t="n">
        <v>0</v>
      </c>
      <c r="VQ105" s="10" t="n">
        <v>46111</v>
      </c>
      <c r="VS105" s="9" t="n">
        <v>0</v>
      </c>
      <c r="VU105" s="9" t="n">
        <v>0</v>
      </c>
      <c r="VV105" s="9" t="n">
        <v>0</v>
      </c>
      <c r="VZ105" s="10" t="n">
        <v>46111</v>
      </c>
      <c r="WB105" s="9" t="n">
        <v>0</v>
      </c>
      <c r="WD105" s="9" t="n">
        <v>0</v>
      </c>
      <c r="WE105" s="9" t="n">
        <v>0</v>
      </c>
      <c r="WI105" s="10" t="n">
        <v>46111</v>
      </c>
      <c r="WK105" s="9" t="n">
        <v>0</v>
      </c>
      <c r="WL105" s="9" t="n">
        <v>968</v>
      </c>
      <c r="WM105" s="9" t="n">
        <v>-968</v>
      </c>
      <c r="WN105" s="9" t="n">
        <v>3889</v>
      </c>
      <c r="WR105" s="10" t="n">
        <v>46111</v>
      </c>
      <c r="WS105" s="9" t="n">
        <v>211</v>
      </c>
      <c r="WT105" s="9" t="n">
        <v>0</v>
      </c>
      <c r="WV105" s="9" t="n">
        <v>0</v>
      </c>
      <c r="WW105" s="9" t="n">
        <v>1061</v>
      </c>
      <c r="XA105" s="10" t="n">
        <v>46111</v>
      </c>
      <c r="XC105" s="9" t="n">
        <v>0</v>
      </c>
      <c r="XD105" s="9" t="n">
        <v>793</v>
      </c>
      <c r="XE105" s="9" t="n">
        <v>-793</v>
      </c>
      <c r="XF105" s="9" t="n">
        <v>6349</v>
      </c>
      <c r="XJ105" s="10" t="n">
        <v>46111</v>
      </c>
      <c r="XL105" s="9" t="n">
        <v>0</v>
      </c>
      <c r="XN105" s="9" t="n">
        <v>0</v>
      </c>
      <c r="XO105" s="9" t="n">
        <v>5989</v>
      </c>
      <c r="XS105" s="10" t="n">
        <v>46111</v>
      </c>
      <c r="XU105" s="9" t="n">
        <v>0</v>
      </c>
      <c r="XW105" s="9" t="n">
        <v>0</v>
      </c>
      <c r="XX105" s="9" t="n">
        <v>1901</v>
      </c>
      <c r="YB105" s="10" t="n">
        <v>46111</v>
      </c>
      <c r="YD105" s="9" t="n">
        <v>0</v>
      </c>
      <c r="YF105" s="9" t="n">
        <v>0</v>
      </c>
      <c r="YG105" s="9" t="n">
        <v>6459</v>
      </c>
      <c r="YK105" s="10" t="n">
        <v>46111</v>
      </c>
      <c r="YM105" s="9" t="n">
        <v>0</v>
      </c>
      <c r="YO105" s="9" t="n">
        <v>0</v>
      </c>
      <c r="YP105" s="9" t="n">
        <v>0</v>
      </c>
      <c r="YT105" s="10" t="n">
        <v>46111</v>
      </c>
      <c r="YV105" s="9" t="n">
        <v>0</v>
      </c>
      <c r="YX105" s="9" t="n">
        <v>0</v>
      </c>
      <c r="YY105" s="9" t="n">
        <v>0</v>
      </c>
      <c r="ZC105" s="10" t="n">
        <v>46111</v>
      </c>
      <c r="ZE105" s="9" t="n">
        <v>0</v>
      </c>
      <c r="ZG105" s="9" t="n">
        <v>0</v>
      </c>
      <c r="ZH105" s="9" t="n">
        <v>0</v>
      </c>
      <c r="ZL105" s="10" t="n">
        <v>46111</v>
      </c>
      <c r="ZN105" s="9" t="n">
        <v>0</v>
      </c>
      <c r="ZP105" s="9" t="n">
        <v>0</v>
      </c>
      <c r="ZQ105" s="9" t="n">
        <v>0</v>
      </c>
      <c r="ZU105" s="10" t="n">
        <v>46111</v>
      </c>
      <c r="ZW105" s="9" t="n">
        <v>0</v>
      </c>
      <c r="ZY105" s="9" t="n">
        <v>0</v>
      </c>
      <c r="ZZ105" s="9" t="n">
        <v>0</v>
      </c>
      <c r="AAD105" s="10" t="n">
        <v>46111</v>
      </c>
      <c r="AAF105" s="9" t="n">
        <v>0</v>
      </c>
      <c r="AAH105" s="9" t="n">
        <v>0</v>
      </c>
      <c r="AAI105" s="9" t="n">
        <v>0</v>
      </c>
      <c r="AAM105" s="10" t="n">
        <v>46111</v>
      </c>
      <c r="AAO105" s="9" t="n">
        <v>0</v>
      </c>
      <c r="AAQ105" s="9" t="n">
        <v>0</v>
      </c>
      <c r="AAR105" s="9" t="n">
        <v>0</v>
      </c>
      <c r="AAV105" s="10" t="n">
        <v>46111</v>
      </c>
      <c r="AAX105" s="9" t="n">
        <v>0</v>
      </c>
      <c r="AAZ105" s="9" t="n">
        <v>0</v>
      </c>
      <c r="ABA105" s="9" t="n">
        <v>0</v>
      </c>
      <c r="ABE105" s="10" t="n">
        <v>46111</v>
      </c>
      <c r="ABG105" s="9" t="n">
        <v>0</v>
      </c>
      <c r="ABI105" s="9" t="n">
        <v>0</v>
      </c>
      <c r="ABJ105" s="9" t="n">
        <v>0</v>
      </c>
    </row>
    <row r="106">
      <c r="B106" s="9" t="n">
        <v>50</v>
      </c>
      <c r="C106" s="10" t="n">
        <v>46112</v>
      </c>
      <c r="D106" s="9" t="n">
        <v>27840</v>
      </c>
      <c r="E106" s="9" t="n">
        <v>29275</v>
      </c>
      <c r="F106" s="9" t="n">
        <v>29272.6</v>
      </c>
      <c r="G106" s="9" t="n">
        <v>2.400000000001455</v>
      </c>
      <c r="H106" s="9" t="n">
        <v>27839.99999999996</v>
      </c>
      <c r="I106" s="9" t="inlineStr">
        <is>
          <t>1102 50mt</t>
        </is>
      </c>
      <c r="L106" s="10" t="n">
        <v>46112</v>
      </c>
      <c r="N106" s="9" t="n">
        <v>12700</v>
      </c>
      <c r="O106" s="9" t="n">
        <v>12700</v>
      </c>
      <c r="P106" s="9" t="n">
        <v>0</v>
      </c>
      <c r="Q106" s="9" t="n">
        <v>-669.9999999999163</v>
      </c>
      <c r="U106" s="10" t="n">
        <v>46112</v>
      </c>
      <c r="W106" s="9" t="n">
        <v>1250</v>
      </c>
      <c r="X106" s="9" t="n">
        <v>1251.3</v>
      </c>
      <c r="Y106" s="9" t="n">
        <v>-1.299999999999955</v>
      </c>
      <c r="Z106" s="9" t="n">
        <v>20018.39999999997</v>
      </c>
      <c r="AD106" s="10" t="n">
        <v>46112</v>
      </c>
      <c r="AF106" s="9" t="n">
        <v>2500</v>
      </c>
      <c r="AG106" s="9" t="n">
        <v>2500.6</v>
      </c>
      <c r="AH106" s="9" t="n">
        <v>-0.5999999999999091</v>
      </c>
      <c r="AI106" s="9" t="n">
        <v>26292.70000000002</v>
      </c>
      <c r="AM106" s="10" t="n">
        <v>46112</v>
      </c>
      <c r="AO106" s="9" t="n">
        <v>0</v>
      </c>
      <c r="AQ106" s="9" t="n">
        <v>0</v>
      </c>
      <c r="AR106" s="9" t="n">
        <v>0</v>
      </c>
      <c r="AV106" s="10" t="n">
        <v>46112</v>
      </c>
      <c r="AX106" s="9" t="n">
        <v>500</v>
      </c>
      <c r="AY106" s="9" t="n">
        <v>501.6</v>
      </c>
      <c r="AZ106" s="9" t="n">
        <v>-1.600000000000023</v>
      </c>
      <c r="BA106" s="9" t="n">
        <v>17386.69999999999</v>
      </c>
      <c r="BE106" s="10" t="n">
        <v>46112</v>
      </c>
      <c r="BG106" s="9" t="n">
        <v>1250</v>
      </c>
      <c r="BH106" s="9" t="n">
        <v>1251.9</v>
      </c>
      <c r="BI106" s="9" t="n">
        <v>-1.900000000000091</v>
      </c>
      <c r="BJ106" s="9" t="n">
        <v>1.818989403545856e-12</v>
      </c>
      <c r="BN106" s="10" t="n">
        <v>46112</v>
      </c>
      <c r="BO106" s="9" t="n">
        <v>1250</v>
      </c>
      <c r="BP106" s="9" t="n">
        <v>1250</v>
      </c>
      <c r="BQ106" s="9" t="n">
        <v>1250</v>
      </c>
      <c r="BR106" s="9" t="n">
        <v>0</v>
      </c>
      <c r="BS106" s="9" t="n">
        <v>0</v>
      </c>
      <c r="BW106" s="10" t="n">
        <v>46112</v>
      </c>
      <c r="BY106" s="9" t="n">
        <v>0</v>
      </c>
      <c r="CA106" s="9" t="n">
        <v>0</v>
      </c>
      <c r="CB106" s="9" t="n">
        <v>11812.9</v>
      </c>
      <c r="CF106" s="10" t="n">
        <v>46112</v>
      </c>
      <c r="CH106" s="9" t="n">
        <v>250</v>
      </c>
      <c r="CJ106" s="9" t="n">
        <v>250</v>
      </c>
      <c r="CK106" s="9" t="n">
        <v>0</v>
      </c>
      <c r="CO106" s="10" t="n">
        <v>46112</v>
      </c>
      <c r="CQ106" s="9" t="n">
        <v>0</v>
      </c>
      <c r="CS106" s="9" t="n">
        <v>0</v>
      </c>
      <c r="CT106" s="9" t="n">
        <v>0</v>
      </c>
      <c r="CX106" s="10" t="n">
        <v>46112</v>
      </c>
      <c r="CZ106" s="9" t="n">
        <v>0</v>
      </c>
      <c r="DB106" s="9" t="n">
        <v>0</v>
      </c>
      <c r="DC106" s="9" t="n">
        <v>31869.7</v>
      </c>
      <c r="DG106" s="10" t="n">
        <v>46112</v>
      </c>
      <c r="DI106" s="9" t="n">
        <v>0</v>
      </c>
      <c r="DK106" s="9" t="n">
        <v>0</v>
      </c>
      <c r="DL106" s="9" t="n">
        <v>6658.999999999995</v>
      </c>
      <c r="DP106" s="10" t="n">
        <v>46112</v>
      </c>
      <c r="DR106" s="9" t="n">
        <v>0</v>
      </c>
      <c r="DT106" s="9" t="n">
        <v>0</v>
      </c>
      <c r="DU106" s="9" t="n">
        <v>7150</v>
      </c>
      <c r="DY106" s="10" t="n">
        <v>46112</v>
      </c>
      <c r="EA106" s="9" t="n">
        <v>0</v>
      </c>
      <c r="EC106" s="9" t="n">
        <v>0</v>
      </c>
      <c r="ED106" s="9" t="n">
        <v>1847.3</v>
      </c>
      <c r="EH106" s="10" t="n">
        <v>46112</v>
      </c>
      <c r="EJ106" s="9" t="n">
        <v>0</v>
      </c>
      <c r="EL106" s="9" t="n">
        <v>0</v>
      </c>
      <c r="EM106" s="9" t="n">
        <v>0</v>
      </c>
      <c r="EQ106" s="10" t="n">
        <v>46112</v>
      </c>
      <c r="ES106" s="9" t="n">
        <v>0</v>
      </c>
      <c r="EU106" s="9" t="n">
        <v>0</v>
      </c>
      <c r="EV106" s="9" t="n">
        <v>0</v>
      </c>
      <c r="EZ106" s="10" t="n">
        <v>46112</v>
      </c>
      <c r="FB106" s="9" t="n">
        <v>0</v>
      </c>
      <c r="FD106" s="9" t="n">
        <v>0</v>
      </c>
      <c r="FE106" s="9" t="n">
        <v>0</v>
      </c>
      <c r="FI106" s="10" t="n">
        <v>46112</v>
      </c>
      <c r="FK106" s="9" t="n">
        <v>0</v>
      </c>
      <c r="FM106" s="9" t="n">
        <v>0</v>
      </c>
      <c r="FN106" s="9" t="n">
        <v>0</v>
      </c>
      <c r="FR106" s="10" t="n">
        <v>46112</v>
      </c>
      <c r="FT106" s="9" t="n">
        <v>0</v>
      </c>
      <c r="FV106" s="9" t="n">
        <v>0</v>
      </c>
      <c r="FW106" s="9" t="n">
        <v>1980</v>
      </c>
      <c r="GA106" s="10" t="n">
        <v>46112</v>
      </c>
      <c r="GC106" s="9" t="n">
        <v>1000</v>
      </c>
      <c r="GE106" s="9" t="n">
        <v>1000</v>
      </c>
      <c r="GF106" s="9" t="n">
        <v>2000</v>
      </c>
      <c r="GJ106" s="10" t="n">
        <v>46112</v>
      </c>
      <c r="GL106" s="9" t="n">
        <v>0</v>
      </c>
      <c r="GN106" s="9" t="n">
        <v>0</v>
      </c>
      <c r="GO106" s="9" t="n">
        <v>4800</v>
      </c>
      <c r="GS106" s="10" t="n">
        <v>46112</v>
      </c>
      <c r="GU106" s="9" t="n">
        <v>0</v>
      </c>
      <c r="GW106" s="9" t="n">
        <v>0</v>
      </c>
      <c r="GX106" s="9" t="n">
        <v>0</v>
      </c>
      <c r="HB106" s="10" t="n">
        <v>46112</v>
      </c>
      <c r="HD106" s="9" t="n">
        <v>0</v>
      </c>
      <c r="HF106" s="9" t="n">
        <v>0</v>
      </c>
      <c r="HG106" s="9" t="n">
        <v>0</v>
      </c>
      <c r="HK106" s="10" t="n">
        <v>46112</v>
      </c>
      <c r="HM106" s="9" t="n">
        <v>0</v>
      </c>
      <c r="HO106" s="9" t="n">
        <v>0</v>
      </c>
      <c r="HP106" s="9" t="n">
        <v>0</v>
      </c>
      <c r="HU106" s="10" t="n">
        <v>46112</v>
      </c>
      <c r="HW106" s="9" t="n">
        <v>0</v>
      </c>
      <c r="HY106" s="9" t="n">
        <v>0</v>
      </c>
      <c r="HZ106" s="9" t="n">
        <v>5120</v>
      </c>
      <c r="ID106" s="10" t="n">
        <v>46112</v>
      </c>
      <c r="IF106" s="9" t="n">
        <v>0</v>
      </c>
      <c r="IH106" s="9" t="n">
        <v>0</v>
      </c>
      <c r="II106" s="9" t="n">
        <v>6540</v>
      </c>
      <c r="IM106" s="10" t="n">
        <v>46112</v>
      </c>
      <c r="IO106" s="9" t="n">
        <v>0</v>
      </c>
      <c r="IQ106" s="9" t="n">
        <v>0</v>
      </c>
      <c r="IR106" s="9" t="n">
        <v>11540</v>
      </c>
      <c r="IV106" s="10" t="n">
        <v>46112</v>
      </c>
      <c r="IX106" s="9" t="n">
        <v>0</v>
      </c>
      <c r="IZ106" s="9" t="n">
        <v>0</v>
      </c>
      <c r="JA106" s="9" t="n">
        <v>15120</v>
      </c>
      <c r="JE106" s="10" t="n">
        <v>46112</v>
      </c>
      <c r="JG106" s="9" t="n">
        <v>0</v>
      </c>
      <c r="JI106" s="9" t="n">
        <v>0</v>
      </c>
      <c r="JJ106" s="9" t="n">
        <v>5040</v>
      </c>
      <c r="JN106" s="10" t="n">
        <v>46112</v>
      </c>
      <c r="JP106" s="9" t="n">
        <v>0</v>
      </c>
      <c r="JR106" s="9" t="n">
        <v>0</v>
      </c>
      <c r="JS106" s="9" t="n">
        <v>9100</v>
      </c>
      <c r="JW106" s="10" t="n">
        <v>46112</v>
      </c>
      <c r="JY106" s="9" t="n">
        <v>0</v>
      </c>
      <c r="KA106" s="9" t="n">
        <v>0</v>
      </c>
      <c r="KB106" s="9" t="n">
        <v>4220</v>
      </c>
      <c r="KF106" s="10" t="n">
        <v>46112</v>
      </c>
      <c r="KH106" s="9" t="n">
        <v>0</v>
      </c>
      <c r="KJ106" s="9" t="n">
        <v>0</v>
      </c>
      <c r="KK106" s="9" t="n">
        <v>7702.5</v>
      </c>
      <c r="KO106" s="10" t="n">
        <v>46112</v>
      </c>
      <c r="KQ106" s="9" t="n">
        <v>0</v>
      </c>
      <c r="KS106" s="9" t="n">
        <v>0</v>
      </c>
      <c r="KT106" s="9" t="n">
        <v>6426</v>
      </c>
      <c r="KX106" s="10" t="n">
        <v>46112</v>
      </c>
      <c r="KZ106" s="9" t="n">
        <v>0</v>
      </c>
      <c r="LB106" s="9" t="n">
        <v>0</v>
      </c>
      <c r="LC106" s="9" t="n">
        <v>0</v>
      </c>
      <c r="LG106" s="10" t="n">
        <v>46112</v>
      </c>
      <c r="LI106" s="9" t="n">
        <v>0</v>
      </c>
      <c r="LK106" s="9" t="n">
        <v>0</v>
      </c>
      <c r="LL106" s="9" t="n">
        <v>0</v>
      </c>
      <c r="LP106" s="10" t="n">
        <v>46112</v>
      </c>
      <c r="LR106" s="9" t="n">
        <v>0</v>
      </c>
      <c r="LT106" s="9" t="n">
        <v>0</v>
      </c>
      <c r="LU106" s="9" t="n">
        <v>0</v>
      </c>
      <c r="LY106" s="10" t="n">
        <v>46112</v>
      </c>
      <c r="MA106" s="9" t="n">
        <v>0</v>
      </c>
      <c r="MC106" s="9" t="n">
        <v>0</v>
      </c>
      <c r="MD106" s="9" t="n">
        <v>0</v>
      </c>
      <c r="MH106" s="10" t="n">
        <v>46112</v>
      </c>
      <c r="MJ106" s="9" t="n">
        <v>0</v>
      </c>
      <c r="ML106" s="9" t="n">
        <v>0</v>
      </c>
      <c r="MM106" s="9" t="n">
        <v>0</v>
      </c>
      <c r="MQ106" s="10" t="n">
        <v>46112</v>
      </c>
      <c r="MS106" s="9" t="n">
        <v>25</v>
      </c>
      <c r="MU106" s="9" t="n">
        <v>25</v>
      </c>
      <c r="MV106" s="9" t="n">
        <v>4195</v>
      </c>
      <c r="MZ106" s="10" t="n">
        <v>46112</v>
      </c>
      <c r="NB106" s="9" t="n">
        <v>0</v>
      </c>
      <c r="ND106" s="9" t="n">
        <v>0</v>
      </c>
      <c r="NE106" s="9" t="n">
        <v>0</v>
      </c>
      <c r="NI106" s="10" t="n">
        <v>46112</v>
      </c>
      <c r="NK106" s="9" t="n">
        <v>0</v>
      </c>
      <c r="NM106" s="9" t="n">
        <v>0</v>
      </c>
      <c r="NN106" s="9" t="n">
        <v>2065</v>
      </c>
      <c r="NR106" s="10" t="n">
        <v>46112</v>
      </c>
      <c r="NT106" s="9" t="n">
        <v>0</v>
      </c>
      <c r="NV106" s="9" t="n">
        <v>0</v>
      </c>
      <c r="NW106" s="9" t="n">
        <v>4152.5</v>
      </c>
      <c r="OA106" s="10" t="n">
        <v>46112</v>
      </c>
      <c r="OC106" s="9" t="n">
        <v>0</v>
      </c>
      <c r="OE106" s="9" t="n">
        <v>0</v>
      </c>
      <c r="OF106" s="9" t="n">
        <v>1680.5</v>
      </c>
      <c r="OJ106" s="10" t="n">
        <v>46112</v>
      </c>
      <c r="OL106" s="9" t="n">
        <v>0</v>
      </c>
      <c r="ON106" s="9" t="n">
        <v>0</v>
      </c>
      <c r="OO106" s="9" t="n">
        <v>0</v>
      </c>
      <c r="OS106" s="10" t="n">
        <v>46112</v>
      </c>
      <c r="OU106" s="9" t="n">
        <v>0</v>
      </c>
      <c r="OW106" s="9" t="n">
        <v>0</v>
      </c>
      <c r="OX106" s="9" t="n">
        <v>1000</v>
      </c>
      <c r="PB106" s="10" t="n">
        <v>46112</v>
      </c>
      <c r="PD106" s="9" t="n">
        <v>0</v>
      </c>
      <c r="PF106" s="9" t="n">
        <v>0</v>
      </c>
      <c r="PG106" s="9" t="n">
        <v>0</v>
      </c>
      <c r="PK106" s="10" t="n">
        <v>46112</v>
      </c>
      <c r="PM106" s="9" t="n">
        <v>0</v>
      </c>
      <c r="PO106" s="9" t="n">
        <v>0</v>
      </c>
      <c r="PP106" s="9" t="n">
        <v>100</v>
      </c>
      <c r="PT106" s="10" t="n">
        <v>46112</v>
      </c>
      <c r="PV106" s="9" t="n">
        <v>0</v>
      </c>
      <c r="PX106" s="9" t="n">
        <v>0</v>
      </c>
      <c r="PY106" s="9" t="n">
        <v>13.96000000000004</v>
      </c>
      <c r="QC106" s="10" t="n">
        <v>46112</v>
      </c>
      <c r="QE106" s="9" t="n">
        <v>0</v>
      </c>
      <c r="QG106" s="9" t="n">
        <v>0</v>
      </c>
      <c r="QH106" s="9" t="n">
        <v>1212</v>
      </c>
      <c r="QL106" s="10" t="n">
        <v>46112</v>
      </c>
      <c r="QN106" s="9" t="n">
        <v>0</v>
      </c>
      <c r="QP106" s="9" t="n">
        <v>0</v>
      </c>
      <c r="QQ106" s="9" t="n">
        <v>400</v>
      </c>
      <c r="QU106" s="10" t="n">
        <v>46112</v>
      </c>
      <c r="QW106" s="9" t="n">
        <v>0</v>
      </c>
      <c r="QY106" s="9" t="n">
        <v>0</v>
      </c>
      <c r="QZ106" s="9" t="n">
        <v>207.6</v>
      </c>
      <c r="RD106" s="10" t="n">
        <v>46112</v>
      </c>
      <c r="RF106" s="9" t="n">
        <v>0</v>
      </c>
      <c r="RH106" s="9" t="n">
        <v>0</v>
      </c>
      <c r="RI106" s="9" t="n">
        <v>197.04</v>
      </c>
      <c r="RM106" s="10" t="n">
        <v>46112</v>
      </c>
      <c r="RO106" s="9" t="n">
        <v>0</v>
      </c>
      <c r="RQ106" s="9" t="n">
        <v>0</v>
      </c>
      <c r="RR106" s="9" t="n">
        <v>46.8</v>
      </c>
      <c r="RV106" s="10" t="n">
        <v>46112</v>
      </c>
      <c r="RX106" s="9" t="n">
        <v>0</v>
      </c>
      <c r="RZ106" s="9" t="n">
        <v>0</v>
      </c>
      <c r="SA106" s="9" t="n">
        <v>0</v>
      </c>
      <c r="SE106" s="10" t="n">
        <v>46112</v>
      </c>
      <c r="SG106" s="9" t="n">
        <v>0</v>
      </c>
      <c r="SI106" s="9" t="n">
        <v>0</v>
      </c>
      <c r="SJ106" s="9" t="n">
        <v>0</v>
      </c>
      <c r="SN106" s="10" t="n">
        <v>46112</v>
      </c>
      <c r="SP106" s="9" t="n">
        <v>0</v>
      </c>
      <c r="SR106" s="9" t="n">
        <v>0</v>
      </c>
      <c r="SS106" s="9" t="n">
        <v>0</v>
      </c>
      <c r="SW106" s="10" t="n">
        <v>46112</v>
      </c>
      <c r="SY106" s="9" t="n">
        <v>0</v>
      </c>
      <c r="TA106" s="9" t="n">
        <v>0</v>
      </c>
      <c r="TB106" s="9" t="n">
        <v>0</v>
      </c>
      <c r="TF106" s="10" t="n">
        <v>46112</v>
      </c>
      <c r="TH106" s="9" t="n">
        <v>0</v>
      </c>
      <c r="TJ106" s="9" t="n">
        <v>0</v>
      </c>
      <c r="TK106" s="9" t="n">
        <v>0</v>
      </c>
      <c r="TO106" s="10" t="n">
        <v>46112</v>
      </c>
      <c r="TQ106" s="9" t="n">
        <v>0</v>
      </c>
      <c r="TS106" s="9" t="n">
        <v>0</v>
      </c>
      <c r="TT106" s="9" t="n">
        <v>0</v>
      </c>
      <c r="TX106" s="10" t="n">
        <v>46112</v>
      </c>
      <c r="TZ106" s="9" t="n">
        <v>0</v>
      </c>
      <c r="UB106" s="9" t="n">
        <v>0</v>
      </c>
      <c r="UC106" s="9" t="n">
        <v>0</v>
      </c>
      <c r="UG106" s="10" t="n">
        <v>46112</v>
      </c>
      <c r="UI106" s="9" t="n">
        <v>0</v>
      </c>
      <c r="UK106" s="9" t="n">
        <v>0</v>
      </c>
      <c r="UL106" s="9" t="n">
        <v>0</v>
      </c>
      <c r="UP106" s="10" t="n">
        <v>46112</v>
      </c>
      <c r="UR106" s="9" t="n">
        <v>0</v>
      </c>
      <c r="UT106" s="9" t="n">
        <v>0</v>
      </c>
      <c r="UU106" s="9" t="n">
        <v>0</v>
      </c>
      <c r="UY106" s="10" t="n">
        <v>46112</v>
      </c>
      <c r="VA106" s="9" t="n">
        <v>0</v>
      </c>
      <c r="VC106" s="9" t="n">
        <v>0</v>
      </c>
      <c r="VD106" s="9" t="n">
        <v>41.60000000000002</v>
      </c>
      <c r="VH106" s="10" t="n">
        <v>46112</v>
      </c>
      <c r="VJ106" s="9" t="n">
        <v>0</v>
      </c>
      <c r="VL106" s="9" t="n">
        <v>0</v>
      </c>
      <c r="VM106" s="9" t="n">
        <v>0</v>
      </c>
      <c r="VQ106" s="10" t="n">
        <v>46112</v>
      </c>
      <c r="VS106" s="9" t="n">
        <v>0</v>
      </c>
      <c r="VU106" s="9" t="n">
        <v>0</v>
      </c>
      <c r="VV106" s="9" t="n">
        <v>0</v>
      </c>
      <c r="VZ106" s="10" t="n">
        <v>46112</v>
      </c>
      <c r="WB106" s="9" t="n">
        <v>0</v>
      </c>
      <c r="WD106" s="9" t="n">
        <v>0</v>
      </c>
      <c r="WE106" s="9" t="n">
        <v>0</v>
      </c>
      <c r="WI106" s="10" t="n">
        <v>46112</v>
      </c>
      <c r="WK106" s="9" t="n">
        <v>0</v>
      </c>
      <c r="WM106" s="9" t="n">
        <v>0</v>
      </c>
      <c r="WN106" s="9" t="n">
        <v>3889</v>
      </c>
      <c r="WR106" s="10" t="n">
        <v>46112</v>
      </c>
      <c r="WT106" s="9" t="n">
        <v>0</v>
      </c>
      <c r="WU106" s="9" t="n">
        <v>1061</v>
      </c>
      <c r="WV106" s="9" t="n">
        <v>-1061</v>
      </c>
      <c r="WW106" s="9" t="n">
        <v>0</v>
      </c>
      <c r="XA106" s="10" t="n">
        <v>46112</v>
      </c>
      <c r="XC106" s="9" t="n">
        <v>0</v>
      </c>
      <c r="XE106" s="9" t="n">
        <v>0</v>
      </c>
      <c r="XF106" s="9" t="n">
        <v>6349</v>
      </c>
      <c r="XJ106" s="10" t="n">
        <v>46112</v>
      </c>
      <c r="XL106" s="9" t="n">
        <v>0</v>
      </c>
      <c r="XN106" s="9" t="n">
        <v>0</v>
      </c>
      <c r="XO106" s="9" t="n">
        <v>5989</v>
      </c>
      <c r="XS106" s="10" t="n">
        <v>46112</v>
      </c>
      <c r="XU106" s="9" t="n">
        <v>0</v>
      </c>
      <c r="XW106" s="9" t="n">
        <v>0</v>
      </c>
      <c r="XX106" s="9" t="n">
        <v>1901</v>
      </c>
      <c r="YB106" s="10" t="n">
        <v>46112</v>
      </c>
      <c r="YD106" s="9" t="n">
        <v>0</v>
      </c>
      <c r="YF106" s="9" t="n">
        <v>0</v>
      </c>
      <c r="YG106" s="9" t="n">
        <v>6459</v>
      </c>
      <c r="YK106" s="10" t="n">
        <v>46112</v>
      </c>
      <c r="YM106" s="9" t="n">
        <v>0</v>
      </c>
      <c r="YO106" s="9" t="n">
        <v>0</v>
      </c>
      <c r="YP106" s="9" t="n">
        <v>0</v>
      </c>
      <c r="YT106" s="10" t="n">
        <v>46112</v>
      </c>
      <c r="YV106" s="9" t="n">
        <v>0</v>
      </c>
      <c r="YX106" s="9" t="n">
        <v>0</v>
      </c>
      <c r="YY106" s="9" t="n">
        <v>0</v>
      </c>
      <c r="ZC106" s="10" t="n">
        <v>46112</v>
      </c>
      <c r="ZE106" s="9" t="n">
        <v>0</v>
      </c>
      <c r="ZG106" s="9" t="n">
        <v>0</v>
      </c>
      <c r="ZH106" s="9" t="n">
        <v>0</v>
      </c>
      <c r="ZL106" s="10" t="n">
        <v>46112</v>
      </c>
      <c r="ZN106" s="9" t="n">
        <v>0</v>
      </c>
      <c r="ZP106" s="9" t="n">
        <v>0</v>
      </c>
      <c r="ZQ106" s="9" t="n">
        <v>0</v>
      </c>
      <c r="ZU106" s="10" t="n">
        <v>46112</v>
      </c>
      <c r="ZW106" s="9" t="n">
        <v>0</v>
      </c>
      <c r="ZY106" s="9" t="n">
        <v>0</v>
      </c>
      <c r="ZZ106" s="9" t="n">
        <v>0</v>
      </c>
      <c r="AAD106" s="10" t="n">
        <v>46112</v>
      </c>
      <c r="AAF106" s="9" t="n">
        <v>0</v>
      </c>
      <c r="AAH106" s="9" t="n">
        <v>0</v>
      </c>
      <c r="AAI106" s="9" t="n">
        <v>0</v>
      </c>
      <c r="AAM106" s="10" t="n">
        <v>46112</v>
      </c>
      <c r="AAO106" s="9" t="n">
        <v>0</v>
      </c>
      <c r="AAQ106" s="9" t="n">
        <v>0</v>
      </c>
      <c r="AAR106" s="9" t="n">
        <v>0</v>
      </c>
      <c r="AAV106" s="10" t="n">
        <v>46112</v>
      </c>
      <c r="AAX106" s="9" t="n">
        <v>0</v>
      </c>
      <c r="AAZ106" s="9" t="n">
        <v>0</v>
      </c>
      <c r="ABA106" s="9" t="n">
        <v>0</v>
      </c>
      <c r="ABE106" s="10" t="n">
        <v>46112</v>
      </c>
      <c r="ABG106" s="9" t="n">
        <v>0</v>
      </c>
      <c r="ABI106" s="9" t="n">
        <v>0</v>
      </c>
      <c r="ABJ106" s="9" t="n">
        <v>0</v>
      </c>
    </row>
    <row r="107">
      <c r="B107" s="9" t="n">
        <v>1632</v>
      </c>
      <c r="C107" s="9" t="inlineStr">
        <is>
          <t>TOTAL</t>
        </is>
      </c>
      <c r="D107" s="9" t="n">
        <v>822130</v>
      </c>
      <c r="E107" s="9" t="n">
        <v>875753</v>
      </c>
      <c r="F107" s="9" t="n">
        <v>885904.7999999999</v>
      </c>
      <c r="G107" s="9" t="n">
        <v>-10151.8</v>
      </c>
      <c r="H107" s="9" t="n">
        <v>27839.99999999996</v>
      </c>
      <c r="L107" s="9" t="inlineStr">
        <is>
          <t>TOTAL</t>
        </is>
      </c>
      <c r="M107" s="9" t="n">
        <v>284831.8</v>
      </c>
      <c r="N107" s="9" t="n">
        <v>350598</v>
      </c>
      <c r="O107" s="9" t="n">
        <v>350598.4</v>
      </c>
      <c r="P107" s="9" t="n">
        <v>-0.3999999999941792</v>
      </c>
      <c r="Q107" s="9" t="n">
        <v>-669.9999999999163</v>
      </c>
      <c r="U107" s="9" t="inlineStr">
        <is>
          <t>TOTAL</t>
        </is>
      </c>
      <c r="V107" s="9" t="n">
        <v>80280</v>
      </c>
      <c r="W107" s="9" t="n">
        <v>108618</v>
      </c>
      <c r="X107" s="9" t="n">
        <v>108634.4</v>
      </c>
      <c r="Y107" s="9" t="n">
        <v>-16.40000000000356</v>
      </c>
      <c r="Z107" s="9" t="n">
        <v>20018.39999999997</v>
      </c>
      <c r="AD107" s="9" t="inlineStr">
        <is>
          <t>TOTAL</t>
        </is>
      </c>
      <c r="AE107" s="9" t="n">
        <v>30490</v>
      </c>
      <c r="AF107" s="9" t="n">
        <v>38304</v>
      </c>
      <c r="AG107" s="9" t="n">
        <v>38335.5</v>
      </c>
      <c r="AH107" s="9" t="n">
        <v>-31.49999999999966</v>
      </c>
      <c r="AI107" s="9" t="n">
        <v>26292.70000000002</v>
      </c>
      <c r="AM107" s="9" t="inlineStr">
        <is>
          <t>TOTAL</t>
        </is>
      </c>
      <c r="AN107" s="9" t="n">
        <v>0</v>
      </c>
      <c r="AO107" s="9" t="n">
        <v>0</v>
      </c>
      <c r="AP107" s="9" t="n">
        <v>0</v>
      </c>
      <c r="AQ107" s="9" t="n">
        <v>0</v>
      </c>
      <c r="AR107" s="9" t="n">
        <v>0</v>
      </c>
      <c r="AV107" s="9" t="inlineStr">
        <is>
          <t>TOTAL</t>
        </is>
      </c>
      <c r="AW107" s="9" t="n">
        <v>0</v>
      </c>
      <c r="AX107" s="9" t="n">
        <v>10569</v>
      </c>
      <c r="AY107" s="9" t="n">
        <v>30415.3</v>
      </c>
      <c r="AZ107" s="9" t="n">
        <v>-19846.3</v>
      </c>
      <c r="BA107" s="9" t="n">
        <v>17386.69999999999</v>
      </c>
      <c r="BE107" s="9" t="inlineStr">
        <is>
          <t>TOTAL</t>
        </is>
      </c>
      <c r="BF107" s="9" t="n">
        <v>44369.7</v>
      </c>
      <c r="BG107" s="9" t="n">
        <v>51856</v>
      </c>
      <c r="BH107" s="9" t="n">
        <v>51871.5</v>
      </c>
      <c r="BI107" s="9" t="n">
        <v>-15.50000000000063</v>
      </c>
      <c r="BJ107" s="9" t="n">
        <v>1.818989403545856e-12</v>
      </c>
      <c r="BN107" s="9" t="inlineStr">
        <is>
          <t>TOTAL</t>
        </is>
      </c>
      <c r="BO107" s="9" t="n">
        <v>33929.6</v>
      </c>
      <c r="BP107" s="9" t="n">
        <v>33930</v>
      </c>
      <c r="BQ107" s="9" t="n">
        <v>33929.6</v>
      </c>
      <c r="BR107" s="9" t="n">
        <v>0.3999999999996362</v>
      </c>
      <c r="BS107" s="9" t="n">
        <v>0</v>
      </c>
      <c r="BW107" s="9" t="inlineStr">
        <is>
          <t>TOTAL</t>
        </is>
      </c>
      <c r="BX107" s="9" t="n">
        <v>18000</v>
      </c>
      <c r="BY107" s="9" t="n">
        <v>6718.2</v>
      </c>
      <c r="BZ107" s="9" t="n">
        <v>6195.099999999999</v>
      </c>
      <c r="CA107" s="9" t="n">
        <v>523.1000000000005</v>
      </c>
      <c r="CB107" s="9" t="n">
        <v>11812.9</v>
      </c>
      <c r="CF107" s="9" t="inlineStr">
        <is>
          <t>TOTAL</t>
        </is>
      </c>
      <c r="CG107" s="9" t="n">
        <v>9326.799999999999</v>
      </c>
      <c r="CH107" s="9" t="n">
        <v>11948.8</v>
      </c>
      <c r="CI107" s="9" t="n">
        <v>9326.799999999999</v>
      </c>
      <c r="CJ107" s="9" t="n">
        <v>2622.000000000001</v>
      </c>
      <c r="CK107" s="9" t="n">
        <v>0</v>
      </c>
      <c r="CO107" s="9" t="inlineStr">
        <is>
          <t>TOTAL</t>
        </is>
      </c>
      <c r="CP107" s="9" t="n">
        <v>0</v>
      </c>
      <c r="CQ107" s="9" t="n">
        <v>0</v>
      </c>
      <c r="CR107" s="9" t="n">
        <v>0</v>
      </c>
      <c r="CS107" s="9" t="n">
        <v>0</v>
      </c>
      <c r="CT107" s="9" t="n">
        <v>0</v>
      </c>
      <c r="CX107" s="9" t="inlineStr">
        <is>
          <t>TOTAL</t>
        </is>
      </c>
      <c r="CY107" s="9" t="n">
        <v>35280</v>
      </c>
      <c r="CZ107" s="9" t="n">
        <v>58460</v>
      </c>
      <c r="DA107" s="9" t="n">
        <v>58462.7</v>
      </c>
      <c r="DB107" s="9" t="n">
        <v>-2.70000000000266</v>
      </c>
      <c r="DC107" s="9" t="n">
        <v>31869.7</v>
      </c>
      <c r="DG107" s="9" t="inlineStr">
        <is>
          <t>TOTAL</t>
        </is>
      </c>
      <c r="DH107" s="9" t="n">
        <v>45900</v>
      </c>
      <c r="DI107" s="9" t="n">
        <v>39280</v>
      </c>
      <c r="DJ107" s="9" t="n">
        <v>39241.00000000001</v>
      </c>
      <c r="DK107" s="9" t="n">
        <v>38.99999999999866</v>
      </c>
      <c r="DL107" s="9" t="n">
        <v>6658.999999999995</v>
      </c>
      <c r="DP107" s="9" t="inlineStr">
        <is>
          <t>TOTAL</t>
        </is>
      </c>
      <c r="DQ107" s="9" t="n">
        <v>4850</v>
      </c>
      <c r="DR107" s="9" t="n">
        <v>0</v>
      </c>
      <c r="DS107" s="9" t="n">
        <v>0</v>
      </c>
      <c r="DT107" s="9" t="n">
        <v>0</v>
      </c>
      <c r="DU107" s="9" t="n">
        <v>7150</v>
      </c>
      <c r="DY107" s="9" t="inlineStr">
        <is>
          <t>TOTAL</t>
        </is>
      </c>
      <c r="DZ107" s="9" t="n">
        <v>0</v>
      </c>
      <c r="EA107" s="9" t="n">
        <v>4000</v>
      </c>
      <c r="EB107" s="9" t="n">
        <v>3849.5</v>
      </c>
      <c r="EC107" s="9" t="n">
        <v>150.5</v>
      </c>
      <c r="ED107" s="9" t="n">
        <v>1847.3</v>
      </c>
      <c r="EH107" s="9" t="inlineStr">
        <is>
          <t>TOTAL</t>
        </is>
      </c>
      <c r="EI107" s="9" t="n">
        <v>0</v>
      </c>
      <c r="EJ107" s="9" t="n">
        <v>0</v>
      </c>
      <c r="EK107" s="9" t="n">
        <v>0</v>
      </c>
      <c r="EL107" s="9" t="n">
        <v>0</v>
      </c>
      <c r="EM107" s="9" t="n">
        <v>0</v>
      </c>
      <c r="EQ107" s="9" t="inlineStr">
        <is>
          <t>TOTAL</t>
        </is>
      </c>
      <c r="ER107" s="9" t="n">
        <v>0</v>
      </c>
      <c r="ES107" s="9" t="n">
        <v>0</v>
      </c>
      <c r="ET107" s="9" t="n">
        <v>0</v>
      </c>
      <c r="EU107" s="9" t="n">
        <v>0</v>
      </c>
      <c r="EV107" s="9" t="n">
        <v>0</v>
      </c>
      <c r="EZ107" s="9" t="inlineStr">
        <is>
          <t>TOTAL</t>
        </is>
      </c>
      <c r="FA107" s="9" t="n">
        <v>0</v>
      </c>
      <c r="FB107" s="9" t="n">
        <v>0</v>
      </c>
      <c r="FC107" s="9" t="n">
        <v>0</v>
      </c>
      <c r="FD107" s="9" t="n">
        <v>0</v>
      </c>
      <c r="FE107" s="9" t="n">
        <v>0</v>
      </c>
      <c r="FI107" s="9" t="inlineStr">
        <is>
          <t>TOTAL</t>
        </is>
      </c>
      <c r="FJ107" s="9" t="n">
        <v>0</v>
      </c>
      <c r="FK107" s="9" t="n">
        <v>0</v>
      </c>
      <c r="FL107" s="9" t="n">
        <v>0</v>
      </c>
      <c r="FM107" s="9" t="n">
        <v>0</v>
      </c>
      <c r="FN107" s="9" t="n">
        <v>0</v>
      </c>
      <c r="FR107" s="9" t="inlineStr">
        <is>
          <t>TOTAL</t>
        </is>
      </c>
      <c r="FS107" s="9" t="n">
        <v>4000</v>
      </c>
      <c r="FT107" s="9" t="n">
        <v>2640</v>
      </c>
      <c r="FU107" s="9" t="n">
        <v>2640</v>
      </c>
      <c r="FV107" s="9" t="n">
        <v>0</v>
      </c>
      <c r="FW107" s="9" t="n">
        <v>1980</v>
      </c>
      <c r="FX107" s="9" t="n">
        <v>99</v>
      </c>
      <c r="FY107" s="9" t="inlineStr">
        <is>
          <t>bags</t>
        </is>
      </c>
      <c r="GA107" s="9" t="inlineStr">
        <is>
          <t>TOTAL</t>
        </is>
      </c>
      <c r="GB107" s="9" t="n">
        <v>4000</v>
      </c>
      <c r="GC107" s="9" t="n">
        <v>6680</v>
      </c>
      <c r="GD107" s="9" t="n">
        <v>7960</v>
      </c>
      <c r="GE107" s="9" t="n">
        <v>-1280</v>
      </c>
      <c r="GF107" s="9" t="n">
        <v>2000</v>
      </c>
      <c r="GG107" s="9" t="n">
        <v>100</v>
      </c>
      <c r="GH107" s="9" t="inlineStr">
        <is>
          <t>bags</t>
        </is>
      </c>
      <c r="GJ107" s="9" t="inlineStr">
        <is>
          <t>TOTAL</t>
        </is>
      </c>
      <c r="GK107" s="9" t="n">
        <v>0</v>
      </c>
      <c r="GL107" s="9" t="n">
        <v>760</v>
      </c>
      <c r="GM107" s="9" t="n">
        <v>440</v>
      </c>
      <c r="GN107" s="9" t="n">
        <v>320</v>
      </c>
      <c r="GO107" s="9" t="n">
        <v>4800</v>
      </c>
      <c r="GP107" s="9" t="n">
        <v>240</v>
      </c>
      <c r="GQ107" s="9" t="inlineStr">
        <is>
          <t>bags</t>
        </is>
      </c>
      <c r="GS107" s="9" t="inlineStr">
        <is>
          <t>TOTAL</t>
        </is>
      </c>
      <c r="GT107" s="9" t="n">
        <v>0</v>
      </c>
      <c r="GU107" s="9" t="n">
        <v>0</v>
      </c>
      <c r="GV107" s="9" t="n">
        <v>0</v>
      </c>
      <c r="GW107" s="9" t="n">
        <v>0</v>
      </c>
      <c r="GX107" s="9" t="n">
        <v>0</v>
      </c>
      <c r="HB107" s="9" t="inlineStr">
        <is>
          <t>TOTAL</t>
        </is>
      </c>
      <c r="HC107" s="9" t="n">
        <v>0</v>
      </c>
      <c r="HD107" s="9" t="n">
        <v>0</v>
      </c>
      <c r="HE107" s="9" t="n">
        <v>0</v>
      </c>
      <c r="HF107" s="9" t="n">
        <v>0</v>
      </c>
      <c r="HG107" s="9" t="n">
        <v>0</v>
      </c>
      <c r="HK107" s="9" t="inlineStr">
        <is>
          <t>TOTAL</t>
        </is>
      </c>
      <c r="HL107" s="9" t="n">
        <v>0</v>
      </c>
      <c r="HM107" s="9" t="n">
        <v>0</v>
      </c>
      <c r="HN107" s="9" t="n">
        <v>0</v>
      </c>
      <c r="HO107" s="9" t="n">
        <v>0</v>
      </c>
      <c r="HP107" s="9" t="n">
        <v>0</v>
      </c>
      <c r="HU107" s="9" t="inlineStr">
        <is>
          <t>TOTAL</t>
        </is>
      </c>
      <c r="HV107" s="9" t="n">
        <v>0</v>
      </c>
      <c r="HW107" s="9" t="n">
        <v>0</v>
      </c>
      <c r="HX107" s="9" t="n">
        <v>0</v>
      </c>
      <c r="HY107" s="9" t="n">
        <v>0</v>
      </c>
      <c r="HZ107" s="9" t="n">
        <v>5120</v>
      </c>
      <c r="IA107" s="9" t="n">
        <v>256</v>
      </c>
      <c r="IB107" s="9" t="inlineStr">
        <is>
          <t>bags</t>
        </is>
      </c>
      <c r="ID107" s="9" t="inlineStr">
        <is>
          <t>TOTAL</t>
        </is>
      </c>
      <c r="IE107" s="9" t="n">
        <v>1440</v>
      </c>
      <c r="IF107" s="9" t="n">
        <v>0</v>
      </c>
      <c r="IG107" s="9" t="n">
        <v>0</v>
      </c>
      <c r="IH107" s="9" t="n">
        <v>0</v>
      </c>
      <c r="II107" s="9" t="n">
        <v>6540</v>
      </c>
      <c r="IJ107" s="9" t="n">
        <v>327</v>
      </c>
      <c r="IK107" s="9" t="inlineStr">
        <is>
          <t>bags</t>
        </is>
      </c>
      <c r="IM107" s="9" t="inlineStr">
        <is>
          <t>TOTAL</t>
        </is>
      </c>
      <c r="IN107" s="9" t="n">
        <v>1300</v>
      </c>
      <c r="IO107" s="9" t="n">
        <v>0</v>
      </c>
      <c r="IP107" s="9" t="n">
        <v>0</v>
      </c>
      <c r="IQ107" s="9" t="n">
        <v>0</v>
      </c>
      <c r="IR107" s="9" t="n">
        <v>11540</v>
      </c>
      <c r="IS107" s="9" t="n">
        <v>577</v>
      </c>
      <c r="IT107" s="9" t="inlineStr">
        <is>
          <t>bags</t>
        </is>
      </c>
      <c r="IV107" s="9" t="inlineStr">
        <is>
          <t>TOTAL</t>
        </is>
      </c>
      <c r="IW107" s="9" t="n">
        <v>0</v>
      </c>
      <c r="IX107" s="9" t="n">
        <v>0</v>
      </c>
      <c r="IY107" s="9" t="n">
        <v>0</v>
      </c>
      <c r="IZ107" s="9" t="n">
        <v>0</v>
      </c>
      <c r="JA107" s="9" t="n">
        <v>15120</v>
      </c>
      <c r="JB107" s="9" t="n">
        <v>756</v>
      </c>
      <c r="JC107" s="9" t="inlineStr">
        <is>
          <t>bags</t>
        </is>
      </c>
      <c r="JE107" s="9" t="inlineStr">
        <is>
          <t>TOTAL</t>
        </is>
      </c>
      <c r="JF107" s="9" t="n">
        <v>1720</v>
      </c>
      <c r="JG107" s="9" t="n">
        <v>0</v>
      </c>
      <c r="JH107" s="9" t="n">
        <v>0</v>
      </c>
      <c r="JI107" s="9" t="n">
        <v>0</v>
      </c>
      <c r="JJ107" s="9" t="n">
        <v>5040</v>
      </c>
      <c r="JK107" s="9" t="n">
        <v>252</v>
      </c>
      <c r="JL107" s="9" t="inlineStr">
        <is>
          <t>bags</t>
        </is>
      </c>
      <c r="JN107" s="9" t="inlineStr">
        <is>
          <t>TOTAL</t>
        </is>
      </c>
      <c r="JO107" s="9" t="n">
        <v>3700</v>
      </c>
      <c r="JP107" s="9" t="n">
        <v>0</v>
      </c>
      <c r="JQ107" s="9" t="n">
        <v>0</v>
      </c>
      <c r="JR107" s="9" t="n">
        <v>0</v>
      </c>
      <c r="JS107" s="9" t="n">
        <v>9100</v>
      </c>
      <c r="JT107" s="9" t="n">
        <v>455</v>
      </c>
      <c r="JU107" s="9" t="inlineStr">
        <is>
          <t>bags</t>
        </is>
      </c>
      <c r="JW107" s="9" t="inlineStr">
        <is>
          <t>TOTAL</t>
        </is>
      </c>
      <c r="JX107" s="9" t="n">
        <v>4140</v>
      </c>
      <c r="JY107" s="9" t="n">
        <v>3200</v>
      </c>
      <c r="JZ107" s="9" t="n">
        <v>3920</v>
      </c>
      <c r="KA107" s="9" t="n">
        <v>-720</v>
      </c>
      <c r="KB107" s="9" t="n">
        <v>4220</v>
      </c>
      <c r="KC107" s="9" t="n">
        <v>211</v>
      </c>
      <c r="KD107" s="9" t="inlineStr">
        <is>
          <t>bags</t>
        </is>
      </c>
      <c r="KF107" s="9" t="inlineStr">
        <is>
          <t>TOTAL</t>
        </is>
      </c>
      <c r="KG107" s="9" t="n">
        <v>12577.5</v>
      </c>
      <c r="KH107" s="9" t="n">
        <v>6396</v>
      </c>
      <c r="KI107" s="9" t="n">
        <v>4875</v>
      </c>
      <c r="KJ107" s="9" t="n">
        <v>1521</v>
      </c>
      <c r="KK107" s="9" t="n">
        <v>7702.5</v>
      </c>
      <c r="KL107" s="9" t="n">
        <v>395</v>
      </c>
      <c r="KM107" s="9" t="inlineStr">
        <is>
          <t>bags</t>
        </is>
      </c>
      <c r="KO107" s="9" t="inlineStr">
        <is>
          <t>TOTAL</t>
        </is>
      </c>
      <c r="KP107" s="9" t="n">
        <v>8467.199999999999</v>
      </c>
      <c r="KQ107" s="9" t="n">
        <v>12096</v>
      </c>
      <c r="KR107" s="9" t="n">
        <v>8580.599999999999</v>
      </c>
      <c r="KS107" s="9" t="n">
        <v>3515.4</v>
      </c>
      <c r="KT107" s="9" t="n">
        <v>6426</v>
      </c>
      <c r="KU107" s="9" t="n">
        <v>340</v>
      </c>
      <c r="KV107" s="9" t="inlineStr">
        <is>
          <t>bags</t>
        </is>
      </c>
      <c r="KX107" s="9" t="inlineStr">
        <is>
          <t>TOTAL</t>
        </is>
      </c>
      <c r="KY107" s="9" t="n">
        <v>0</v>
      </c>
      <c r="KZ107" s="9" t="n">
        <v>0</v>
      </c>
      <c r="LA107" s="9" t="n">
        <v>0</v>
      </c>
      <c r="LB107" s="9" t="n">
        <v>0</v>
      </c>
      <c r="LC107" s="9" t="n">
        <v>0</v>
      </c>
      <c r="LG107" s="9" t="inlineStr">
        <is>
          <t>TOTAL</t>
        </is>
      </c>
      <c r="LH107" s="9" t="n">
        <v>0</v>
      </c>
      <c r="LI107" s="9" t="n">
        <v>0</v>
      </c>
      <c r="LJ107" s="9" t="n">
        <v>0</v>
      </c>
      <c r="LK107" s="9" t="n">
        <v>0</v>
      </c>
      <c r="LL107" s="9" t="n">
        <v>0</v>
      </c>
      <c r="LP107" s="9" t="inlineStr">
        <is>
          <t>TOTAL</t>
        </is>
      </c>
      <c r="LQ107" s="9" t="n">
        <v>0</v>
      </c>
      <c r="LR107" s="9" t="n">
        <v>0</v>
      </c>
      <c r="LS107" s="9" t="n">
        <v>0</v>
      </c>
      <c r="LT107" s="9" t="n">
        <v>0</v>
      </c>
      <c r="LU107" s="9" t="n">
        <v>0</v>
      </c>
      <c r="LY107" s="9" t="inlineStr">
        <is>
          <t>TOTAL</t>
        </is>
      </c>
      <c r="LZ107" s="9" t="n">
        <v>0</v>
      </c>
      <c r="MA107" s="9" t="n">
        <v>0</v>
      </c>
      <c r="MB107" s="9" t="n">
        <v>0</v>
      </c>
      <c r="MC107" s="9" t="n">
        <v>0</v>
      </c>
      <c r="MD107" s="9" t="n">
        <v>0</v>
      </c>
      <c r="MH107" s="9" t="inlineStr">
        <is>
          <t>TOTAL</t>
        </is>
      </c>
      <c r="MI107" s="9" t="n">
        <v>0</v>
      </c>
      <c r="MJ107" s="9" t="n">
        <v>0</v>
      </c>
      <c r="MK107" s="9" t="n">
        <v>0</v>
      </c>
      <c r="ML107" s="9" t="n">
        <v>0</v>
      </c>
      <c r="MM107" s="9" t="n">
        <v>0</v>
      </c>
      <c r="MQ107" s="9" t="inlineStr">
        <is>
          <t>TOTAL</t>
        </is>
      </c>
      <c r="MR107" s="9" t="n">
        <v>2000</v>
      </c>
      <c r="MS107" s="9" t="n">
        <v>2308</v>
      </c>
      <c r="MT107" s="9" t="n">
        <v>1928</v>
      </c>
      <c r="MU107" s="9" t="n">
        <v>380</v>
      </c>
      <c r="MV107" s="9" t="n">
        <v>4195</v>
      </c>
      <c r="MZ107" s="9" t="inlineStr">
        <is>
          <t>TOTAL</t>
        </is>
      </c>
      <c r="NA107" s="9" t="n">
        <v>2478</v>
      </c>
      <c r="NB107" s="9" t="n">
        <v>3384</v>
      </c>
      <c r="NC107" s="9" t="n">
        <v>2478</v>
      </c>
      <c r="ND107" s="9" t="n">
        <v>906</v>
      </c>
      <c r="NE107" s="9" t="n">
        <v>0</v>
      </c>
      <c r="NI107" s="9" t="inlineStr">
        <is>
          <t>TOTAL</t>
        </is>
      </c>
      <c r="NJ107" s="9" t="n">
        <v>2065</v>
      </c>
      <c r="NK107" s="9" t="n">
        <v>50</v>
      </c>
      <c r="NL107" s="9" t="n">
        <v>0</v>
      </c>
      <c r="NM107" s="9" t="n">
        <v>50</v>
      </c>
      <c r="NN107" s="9" t="n">
        <v>2065</v>
      </c>
      <c r="NR107" s="9" t="inlineStr">
        <is>
          <t>TOTAL</t>
        </is>
      </c>
      <c r="NS107" s="9" t="n">
        <v>3000</v>
      </c>
      <c r="NT107" s="9" t="n">
        <v>1188.6</v>
      </c>
      <c r="NU107" s="9" t="n">
        <v>795.1999999999999</v>
      </c>
      <c r="NV107" s="9" t="n">
        <v>393.4</v>
      </c>
      <c r="NW107" s="9" t="n">
        <v>4152.5</v>
      </c>
      <c r="OA107" s="9" t="inlineStr">
        <is>
          <t>TOTAL</t>
        </is>
      </c>
      <c r="OB107" s="9" t="n">
        <v>0</v>
      </c>
      <c r="OC107" s="9" t="n">
        <v>0</v>
      </c>
      <c r="OD107" s="9" t="n">
        <v>0</v>
      </c>
      <c r="OE107" s="9" t="n">
        <v>0</v>
      </c>
      <c r="OF107" s="9" t="n">
        <v>1680.5</v>
      </c>
      <c r="OJ107" s="9" t="inlineStr">
        <is>
          <t>TOTAL</t>
        </is>
      </c>
      <c r="OK107" s="9" t="n">
        <v>2160</v>
      </c>
      <c r="OL107" s="9" t="n">
        <v>3145.4</v>
      </c>
      <c r="OM107" s="9" t="n">
        <v>2160</v>
      </c>
      <c r="ON107" s="9" t="n">
        <v>985.3999999999996</v>
      </c>
      <c r="OO107" s="9" t="n">
        <v>0</v>
      </c>
      <c r="OS107" s="9" t="inlineStr">
        <is>
          <t>TOTAL</t>
        </is>
      </c>
      <c r="OT107" s="9" t="n">
        <v>2000</v>
      </c>
      <c r="OU107" s="9" t="n">
        <v>0</v>
      </c>
      <c r="OV107" s="9" t="n">
        <v>1000</v>
      </c>
      <c r="OW107" s="9" t="n">
        <v>-1000</v>
      </c>
      <c r="OX107" s="9" t="n">
        <v>1000</v>
      </c>
      <c r="PB107" s="9" t="inlineStr">
        <is>
          <t>TOTAL</t>
        </is>
      </c>
      <c r="PC107" s="9" t="n">
        <v>0</v>
      </c>
      <c r="PD107" s="9" t="n">
        <v>0</v>
      </c>
      <c r="PE107" s="9" t="n">
        <v>0</v>
      </c>
      <c r="PF107" s="9" t="n">
        <v>0</v>
      </c>
      <c r="PG107" s="9" t="n">
        <v>0</v>
      </c>
      <c r="PK107" s="9" t="inlineStr">
        <is>
          <t>TOTAL</t>
        </is>
      </c>
      <c r="PL107" s="9" t="n">
        <v>0</v>
      </c>
      <c r="PM107" s="9" t="n">
        <v>0</v>
      </c>
      <c r="PN107" s="9" t="n">
        <v>0</v>
      </c>
      <c r="PO107" s="9" t="n">
        <v>0</v>
      </c>
      <c r="PP107" s="9" t="n">
        <v>100</v>
      </c>
      <c r="PT107" s="9" t="inlineStr">
        <is>
          <t>TOTAL</t>
        </is>
      </c>
      <c r="PU107" s="9" t="n">
        <v>0</v>
      </c>
      <c r="PV107" s="9" t="n">
        <v>0</v>
      </c>
      <c r="PW107" s="9" t="n">
        <v>0</v>
      </c>
      <c r="PX107" s="9" t="n">
        <v>0</v>
      </c>
      <c r="PY107" s="9" t="n">
        <v>13.96000000000004</v>
      </c>
      <c r="QC107" s="9" t="inlineStr">
        <is>
          <t>TOTAL</t>
        </is>
      </c>
      <c r="QD107" s="9" t="n">
        <v>868</v>
      </c>
      <c r="QE107" s="9" t="n">
        <v>0</v>
      </c>
      <c r="QF107" s="9" t="n">
        <v>0</v>
      </c>
      <c r="QG107" s="9" t="n">
        <v>0</v>
      </c>
      <c r="QH107" s="9" t="n">
        <v>1212</v>
      </c>
      <c r="QL107" s="9" t="inlineStr">
        <is>
          <t>TOTAL</t>
        </is>
      </c>
      <c r="QM107" s="9" t="n">
        <v>400</v>
      </c>
      <c r="QN107" s="9" t="n">
        <v>0</v>
      </c>
      <c r="QO107" s="9" t="n">
        <v>0</v>
      </c>
      <c r="QP107" s="9" t="n">
        <v>0</v>
      </c>
      <c r="QQ107" s="9" t="n">
        <v>400</v>
      </c>
      <c r="QU107" s="9" t="inlineStr">
        <is>
          <t>TOTAL</t>
        </is>
      </c>
      <c r="QV107" s="9" t="n">
        <v>0</v>
      </c>
      <c r="QW107" s="9" t="n">
        <v>0</v>
      </c>
      <c r="QX107" s="9" t="n">
        <v>0</v>
      </c>
      <c r="QY107" s="9" t="n">
        <v>0</v>
      </c>
      <c r="QZ107" s="9" t="n">
        <v>207.6</v>
      </c>
      <c r="RD107" s="9" t="inlineStr">
        <is>
          <t>TOTAL</t>
        </is>
      </c>
      <c r="RE107" s="9" t="n">
        <v>0</v>
      </c>
      <c r="RF107" s="9" t="n">
        <v>0</v>
      </c>
      <c r="RG107" s="9" t="n">
        <v>0</v>
      </c>
      <c r="RH107" s="9" t="n">
        <v>0</v>
      </c>
      <c r="RI107" s="9" t="n">
        <v>197.04</v>
      </c>
      <c r="RM107" s="9" t="inlineStr">
        <is>
          <t>TOTAL</t>
        </is>
      </c>
      <c r="RN107" s="9" t="n">
        <v>0</v>
      </c>
      <c r="RO107" s="9" t="n">
        <v>0</v>
      </c>
      <c r="RP107" s="9" t="n">
        <v>0</v>
      </c>
      <c r="RQ107" s="9" t="n">
        <v>0</v>
      </c>
      <c r="RR107" s="9" t="n">
        <v>46.8</v>
      </c>
      <c r="RV107" s="9" t="inlineStr">
        <is>
          <t>TOTAL</t>
        </is>
      </c>
      <c r="RW107" s="9" t="n">
        <v>0</v>
      </c>
      <c r="RX107" s="9" t="n">
        <v>0</v>
      </c>
      <c r="RY107" s="9" t="n">
        <v>0</v>
      </c>
      <c r="RZ107" s="9" t="n">
        <v>0</v>
      </c>
      <c r="SA107" s="9" t="n">
        <v>0</v>
      </c>
      <c r="SE107" s="9" t="inlineStr">
        <is>
          <t>TOTAL</t>
        </is>
      </c>
      <c r="SF107" s="9" t="n">
        <v>0</v>
      </c>
      <c r="SG107" s="9" t="n">
        <v>0</v>
      </c>
      <c r="SH107" s="9" t="n">
        <v>0</v>
      </c>
      <c r="SI107" s="9" t="n">
        <v>0</v>
      </c>
      <c r="SJ107" s="9" t="n">
        <v>0</v>
      </c>
      <c r="SN107" s="9" t="inlineStr">
        <is>
          <t>TOTAL</t>
        </is>
      </c>
      <c r="SO107" s="9" t="n">
        <v>0</v>
      </c>
      <c r="SP107" s="9" t="n">
        <v>0</v>
      </c>
      <c r="SQ107" s="9" t="n">
        <v>0</v>
      </c>
      <c r="SR107" s="9" t="n">
        <v>0</v>
      </c>
      <c r="SS107" s="9" t="n">
        <v>0</v>
      </c>
      <c r="SW107" s="9" t="inlineStr">
        <is>
          <t>TOTAL</t>
        </is>
      </c>
      <c r="SX107" s="9" t="n">
        <v>0</v>
      </c>
      <c r="SY107" s="9" t="n">
        <v>0</v>
      </c>
      <c r="SZ107" s="9" t="n">
        <v>0</v>
      </c>
      <c r="TA107" s="9" t="n">
        <v>0</v>
      </c>
      <c r="TB107" s="9" t="n">
        <v>0</v>
      </c>
      <c r="TF107" s="9" t="inlineStr">
        <is>
          <t>TOTAL</t>
        </is>
      </c>
      <c r="TG107" s="9" t="n">
        <v>0</v>
      </c>
      <c r="TH107" s="9" t="n">
        <v>0</v>
      </c>
      <c r="TI107" s="9" t="n">
        <v>0</v>
      </c>
      <c r="TJ107" s="9" t="n">
        <v>0</v>
      </c>
      <c r="TK107" s="9" t="n">
        <v>0</v>
      </c>
      <c r="TO107" s="9" t="inlineStr">
        <is>
          <t>TOTAL</t>
        </is>
      </c>
      <c r="TP107" s="9" t="n">
        <v>0</v>
      </c>
      <c r="TQ107" s="9" t="n">
        <v>0</v>
      </c>
      <c r="TR107" s="9" t="n">
        <v>0</v>
      </c>
      <c r="TS107" s="9" t="n">
        <v>0</v>
      </c>
      <c r="TT107" s="9" t="n">
        <v>0</v>
      </c>
      <c r="TX107" s="9" t="inlineStr">
        <is>
          <t>TOTAL</t>
        </is>
      </c>
      <c r="TY107" s="9" t="n">
        <v>0</v>
      </c>
      <c r="TZ107" s="9" t="n">
        <v>0</v>
      </c>
      <c r="UA107" s="9" t="n">
        <v>0</v>
      </c>
      <c r="UB107" s="9" t="n">
        <v>0</v>
      </c>
      <c r="UC107" s="9" t="n">
        <v>0</v>
      </c>
      <c r="UG107" s="9" t="inlineStr">
        <is>
          <t>TOTAL</t>
        </is>
      </c>
      <c r="UH107" s="9" t="n">
        <v>0</v>
      </c>
      <c r="UI107" s="9" t="n">
        <v>0</v>
      </c>
      <c r="UJ107" s="9" t="n">
        <v>0</v>
      </c>
      <c r="UK107" s="9" t="n">
        <v>0</v>
      </c>
      <c r="UL107" s="9" t="n">
        <v>0</v>
      </c>
      <c r="UP107" s="9" t="inlineStr">
        <is>
          <t>TOTAL</t>
        </is>
      </c>
      <c r="UQ107" s="9" t="n">
        <v>0</v>
      </c>
      <c r="UR107" s="9" t="n">
        <v>0</v>
      </c>
      <c r="US107" s="9" t="n">
        <v>0</v>
      </c>
      <c r="UT107" s="9" t="n">
        <v>0</v>
      </c>
      <c r="UU107" s="9" t="n">
        <v>0</v>
      </c>
      <c r="UY107" s="9" t="inlineStr">
        <is>
          <t>TOTAL</t>
        </is>
      </c>
      <c r="UZ107" s="9" t="n">
        <v>0</v>
      </c>
      <c r="VA107" s="9" t="n">
        <v>0</v>
      </c>
      <c r="VB107" s="9" t="n">
        <v>0</v>
      </c>
      <c r="VC107" s="9" t="n">
        <v>0</v>
      </c>
      <c r="VD107" s="9" t="n">
        <v>41.60000000000002</v>
      </c>
      <c r="VH107" s="9" t="inlineStr">
        <is>
          <t>TOTAL</t>
        </is>
      </c>
      <c r="VI107" s="9" t="n">
        <v>0</v>
      </c>
      <c r="VJ107" s="9" t="n">
        <v>0</v>
      </c>
      <c r="VK107" s="9" t="n">
        <v>0</v>
      </c>
      <c r="VL107" s="9" t="n">
        <v>0</v>
      </c>
      <c r="VM107" s="9" t="n">
        <v>0</v>
      </c>
      <c r="VQ107" s="9" t="inlineStr">
        <is>
          <t>TOTAL</t>
        </is>
      </c>
      <c r="VR107" s="9" t="n">
        <v>0</v>
      </c>
      <c r="VS107" s="9" t="n">
        <v>0</v>
      </c>
      <c r="VT107" s="9" t="n">
        <v>0</v>
      </c>
      <c r="VU107" s="9" t="n">
        <v>0</v>
      </c>
      <c r="VV107" s="9" t="n">
        <v>0</v>
      </c>
      <c r="VZ107" s="9" t="inlineStr">
        <is>
          <t>TOTAL</t>
        </is>
      </c>
      <c r="WA107" s="9" t="n">
        <v>0</v>
      </c>
      <c r="WB107" s="9" t="n">
        <v>0</v>
      </c>
      <c r="WC107" s="9" t="n">
        <v>0</v>
      </c>
      <c r="WD107" s="9" t="n">
        <v>0</v>
      </c>
      <c r="WE107" s="9" t="n">
        <v>0</v>
      </c>
      <c r="WI107" s="9" t="inlineStr">
        <is>
          <t>TOTAL</t>
        </is>
      </c>
      <c r="WJ107" s="9" t="n">
        <v>0</v>
      </c>
      <c r="WK107" s="9" t="n">
        <v>0</v>
      </c>
      <c r="WL107" s="9" t="n">
        <v>2739</v>
      </c>
      <c r="WM107" s="9" t="n">
        <v>-2739</v>
      </c>
      <c r="WN107" s="9" t="n">
        <v>3889</v>
      </c>
      <c r="WR107" s="9" t="inlineStr">
        <is>
          <t>TOTAL</t>
        </is>
      </c>
      <c r="WS107" s="9" t="n">
        <v>211</v>
      </c>
      <c r="WT107" s="9" t="n">
        <v>0</v>
      </c>
      <c r="WU107" s="9" t="n">
        <v>6770</v>
      </c>
      <c r="WV107" s="9" t="n">
        <v>-6770</v>
      </c>
      <c r="WW107" s="9" t="n">
        <v>0</v>
      </c>
      <c r="XA107" s="9" t="inlineStr">
        <is>
          <t>TOTAL</t>
        </is>
      </c>
      <c r="XB107" s="9" t="n">
        <v>6552</v>
      </c>
      <c r="XC107" s="9" t="n">
        <v>0</v>
      </c>
      <c r="XD107" s="9" t="n">
        <v>793</v>
      </c>
      <c r="XE107" s="9" t="n">
        <v>-793</v>
      </c>
      <c r="XF107" s="9" t="n">
        <v>6349</v>
      </c>
      <c r="XJ107" s="9" t="inlineStr">
        <is>
          <t>TOTAL</t>
        </is>
      </c>
      <c r="XK107" s="9" t="n">
        <v>8000</v>
      </c>
      <c r="XL107" s="9" t="n">
        <v>0</v>
      </c>
      <c r="XM107" s="9" t="n">
        <v>5402</v>
      </c>
      <c r="XN107" s="9" t="n">
        <v>-5402</v>
      </c>
      <c r="XO107" s="9" t="n">
        <v>5989</v>
      </c>
      <c r="XS107" s="9" t="inlineStr">
        <is>
          <t>TOTAL</t>
        </is>
      </c>
      <c r="XT107" s="9" t="n">
        <v>0</v>
      </c>
      <c r="XU107" s="9" t="n">
        <v>0</v>
      </c>
      <c r="XV107" s="9" t="n">
        <v>0</v>
      </c>
      <c r="XW107" s="9" t="n">
        <v>0</v>
      </c>
      <c r="XX107" s="9" t="n">
        <v>1901</v>
      </c>
      <c r="YB107" s="9" t="inlineStr">
        <is>
          <t>TOTAL</t>
        </is>
      </c>
      <c r="YC107" s="9" t="n">
        <v>6459</v>
      </c>
      <c r="YD107" s="9" t="n">
        <v>0</v>
      </c>
      <c r="YE107" s="9" t="n">
        <v>0</v>
      </c>
      <c r="YF107" s="9" t="n">
        <v>0</v>
      </c>
      <c r="YG107" s="9" t="n">
        <v>6459</v>
      </c>
      <c r="YK107" s="9" t="inlineStr">
        <is>
          <t>TOTAL</t>
        </is>
      </c>
      <c r="YL107" s="9" t="n">
        <v>0</v>
      </c>
      <c r="YM107" s="9" t="n">
        <v>0</v>
      </c>
      <c r="YN107" s="9" t="n">
        <v>0</v>
      </c>
      <c r="YO107" s="9" t="n">
        <v>0</v>
      </c>
      <c r="YP107" s="9" t="n">
        <v>0</v>
      </c>
      <c r="YT107" s="9" t="inlineStr">
        <is>
          <t>TOTAL</t>
        </is>
      </c>
      <c r="YU107" s="9" t="n">
        <v>0</v>
      </c>
      <c r="YV107" s="9" t="n">
        <v>0</v>
      </c>
      <c r="YW107" s="9" t="n">
        <v>0</v>
      </c>
      <c r="YX107" s="9" t="n">
        <v>0</v>
      </c>
      <c r="YY107" s="9" t="n">
        <v>0</v>
      </c>
      <c r="ZC107" s="9" t="inlineStr">
        <is>
          <t>TOTAL</t>
        </is>
      </c>
      <c r="ZD107" s="9" t="n">
        <v>0</v>
      </c>
      <c r="ZE107" s="9" t="n">
        <v>0</v>
      </c>
      <c r="ZF107" s="9" t="n">
        <v>0</v>
      </c>
      <c r="ZG107" s="9" t="n">
        <v>0</v>
      </c>
      <c r="ZH107" s="9" t="n">
        <v>0</v>
      </c>
      <c r="ZL107" s="9" t="inlineStr">
        <is>
          <t>TOTAL</t>
        </is>
      </c>
      <c r="ZM107" s="9" t="n">
        <v>0</v>
      </c>
      <c r="ZN107" s="9" t="n">
        <v>0</v>
      </c>
      <c r="ZO107" s="9" t="n">
        <v>0</v>
      </c>
      <c r="ZP107" s="9" t="n">
        <v>0</v>
      </c>
      <c r="ZQ107" s="9" t="n">
        <v>0</v>
      </c>
      <c r="ZU107" s="9" t="inlineStr">
        <is>
          <t>TOTAL</t>
        </is>
      </c>
      <c r="ZV107" s="9" t="n">
        <v>0</v>
      </c>
      <c r="ZW107" s="9" t="n">
        <v>0</v>
      </c>
      <c r="ZX107" s="9" t="n">
        <v>0</v>
      </c>
      <c r="ZY107" s="9" t="n">
        <v>0</v>
      </c>
      <c r="ZZ107" s="9" t="n">
        <v>0</v>
      </c>
      <c r="AAD107" s="9" t="inlineStr">
        <is>
          <t>TOTAL</t>
        </is>
      </c>
      <c r="AAE107" s="9" t="n">
        <v>0</v>
      </c>
      <c r="AAF107" s="9" t="n">
        <v>0</v>
      </c>
      <c r="AAG107" s="9" t="n">
        <v>0</v>
      </c>
      <c r="AAH107" s="9" t="n">
        <v>0</v>
      </c>
      <c r="AAI107" s="9" t="n">
        <v>0</v>
      </c>
      <c r="AAM107" s="9" t="inlineStr">
        <is>
          <t>TOTAL</t>
        </is>
      </c>
      <c r="AAN107" s="9" t="n">
        <v>0</v>
      </c>
      <c r="AAO107" s="9" t="n">
        <v>0</v>
      </c>
      <c r="AAP107" s="9" t="n">
        <v>0</v>
      </c>
      <c r="AAQ107" s="9" t="n">
        <v>0</v>
      </c>
      <c r="AAR107" s="9" t="n">
        <v>0</v>
      </c>
      <c r="AAV107" s="9" t="inlineStr">
        <is>
          <t>TOTAL</t>
        </is>
      </c>
      <c r="AAW107" s="9" t="n">
        <v>0</v>
      </c>
      <c r="AAX107" s="9" t="n">
        <v>0</v>
      </c>
      <c r="AAY107" s="9" t="n">
        <v>0</v>
      </c>
      <c r="AAZ107" s="9" t="n">
        <v>0</v>
      </c>
      <c r="ABA107" s="9" t="n">
        <v>0</v>
      </c>
      <c r="ABE107" s="9" t="inlineStr">
        <is>
          <t>TOTAL</t>
        </is>
      </c>
      <c r="ABF107" s="9" t="n">
        <v>0</v>
      </c>
      <c r="ABG107" s="9" t="n">
        <v>0</v>
      </c>
      <c r="ABH107" s="9" t="n">
        <v>0</v>
      </c>
      <c r="ABI107" s="9" t="n">
        <v>0</v>
      </c>
      <c r="ABJ107" s="9" t="n">
        <v>0</v>
      </c>
    </row>
    <row r="108"/>
    <row r="109">
      <c r="A109" s="9" t="inlineStr">
        <is>
          <t>APR</t>
        </is>
      </c>
      <c r="C109" s="9" t="inlineStr">
        <is>
          <t>APRIL</t>
        </is>
      </c>
      <c r="J109" s="9" t="inlineStr">
        <is>
          <t>APR</t>
        </is>
      </c>
      <c r="L109" s="9" t="inlineStr">
        <is>
          <t>APRIL</t>
        </is>
      </c>
      <c r="S109" s="9" t="inlineStr">
        <is>
          <t>APR</t>
        </is>
      </c>
      <c r="U109" s="9" t="inlineStr">
        <is>
          <t>APRIL</t>
        </is>
      </c>
      <c r="AB109" s="9" t="inlineStr">
        <is>
          <t>APR</t>
        </is>
      </c>
      <c r="AD109" s="9" t="inlineStr">
        <is>
          <t>APRIL</t>
        </is>
      </c>
      <c r="AK109" s="9" t="inlineStr">
        <is>
          <t>APR</t>
        </is>
      </c>
      <c r="AM109" s="9" t="inlineStr">
        <is>
          <t>APRIL</t>
        </is>
      </c>
      <c r="AT109" s="9" t="inlineStr">
        <is>
          <t>APR</t>
        </is>
      </c>
      <c r="AV109" s="9" t="inlineStr">
        <is>
          <t>APRIL</t>
        </is>
      </c>
      <c r="BC109" s="9" t="inlineStr">
        <is>
          <t>APR</t>
        </is>
      </c>
      <c r="BE109" s="9" t="inlineStr">
        <is>
          <t>APRIL</t>
        </is>
      </c>
      <c r="BL109" s="9" t="inlineStr">
        <is>
          <t>APR</t>
        </is>
      </c>
      <c r="BN109" s="9" t="inlineStr">
        <is>
          <t>APRIL</t>
        </is>
      </c>
      <c r="BU109" s="9" t="inlineStr">
        <is>
          <t>APR</t>
        </is>
      </c>
      <c r="BW109" s="9" t="inlineStr">
        <is>
          <t>APRIL</t>
        </is>
      </c>
      <c r="CD109" s="9" t="inlineStr">
        <is>
          <t>APR</t>
        </is>
      </c>
      <c r="CF109" s="9" t="inlineStr">
        <is>
          <t>APRIL</t>
        </is>
      </c>
      <c r="CM109" s="9" t="inlineStr">
        <is>
          <t>APR</t>
        </is>
      </c>
      <c r="CO109" s="9" t="inlineStr">
        <is>
          <t>APRIL</t>
        </is>
      </c>
      <c r="CV109" s="9" t="inlineStr">
        <is>
          <t>APR</t>
        </is>
      </c>
      <c r="CX109" s="9" t="inlineStr">
        <is>
          <t>APRIL</t>
        </is>
      </c>
      <c r="DE109" s="9" t="inlineStr">
        <is>
          <t>APR</t>
        </is>
      </c>
      <c r="DG109" s="9" t="inlineStr">
        <is>
          <t>APRIL</t>
        </is>
      </c>
      <c r="DN109" s="9" t="inlineStr">
        <is>
          <t>APR</t>
        </is>
      </c>
      <c r="DP109" s="9" t="inlineStr">
        <is>
          <t>APRIL</t>
        </is>
      </c>
      <c r="DW109" s="9" t="inlineStr">
        <is>
          <t>APR</t>
        </is>
      </c>
      <c r="DY109" s="9" t="inlineStr">
        <is>
          <t>APRIL</t>
        </is>
      </c>
      <c r="EF109" s="9" t="inlineStr">
        <is>
          <t>APR</t>
        </is>
      </c>
      <c r="EH109" s="9" t="inlineStr">
        <is>
          <t>APRIL</t>
        </is>
      </c>
      <c r="EO109" s="9" t="inlineStr">
        <is>
          <t>APR</t>
        </is>
      </c>
      <c r="EQ109" s="9" t="inlineStr">
        <is>
          <t>APRIL</t>
        </is>
      </c>
      <c r="EX109" s="9" t="inlineStr">
        <is>
          <t>APR</t>
        </is>
      </c>
      <c r="EZ109" s="9" t="inlineStr">
        <is>
          <t>APRIL</t>
        </is>
      </c>
      <c r="FG109" s="9" t="inlineStr">
        <is>
          <t>APR</t>
        </is>
      </c>
      <c r="FI109" s="9" t="inlineStr">
        <is>
          <t>APRIL</t>
        </is>
      </c>
      <c r="FP109" s="9" t="inlineStr">
        <is>
          <t>APR</t>
        </is>
      </c>
      <c r="FR109" s="9" t="inlineStr">
        <is>
          <t>APRIL</t>
        </is>
      </c>
      <c r="FY109" s="9" t="inlineStr">
        <is>
          <t>APR</t>
        </is>
      </c>
      <c r="GA109" s="9" t="inlineStr">
        <is>
          <t>APRIL</t>
        </is>
      </c>
      <c r="GH109" s="9" t="inlineStr">
        <is>
          <t>APR</t>
        </is>
      </c>
      <c r="GJ109" s="9" t="inlineStr">
        <is>
          <t>APRIL</t>
        </is>
      </c>
      <c r="GQ109" s="9" t="inlineStr">
        <is>
          <t>APR</t>
        </is>
      </c>
      <c r="GS109" s="9" t="inlineStr">
        <is>
          <t>APRIL</t>
        </is>
      </c>
      <c r="GZ109" s="9" t="inlineStr">
        <is>
          <t>APR</t>
        </is>
      </c>
      <c r="HB109" s="9" t="inlineStr">
        <is>
          <t>APRIL</t>
        </is>
      </c>
      <c r="HI109" s="9" t="inlineStr">
        <is>
          <t>APR</t>
        </is>
      </c>
      <c r="HK109" s="9" t="inlineStr">
        <is>
          <t>APRIL</t>
        </is>
      </c>
      <c r="HS109" s="9" t="inlineStr">
        <is>
          <t>APR</t>
        </is>
      </c>
      <c r="HU109" s="9" t="inlineStr">
        <is>
          <t>APRIL</t>
        </is>
      </c>
      <c r="IB109" s="9" t="inlineStr">
        <is>
          <t>APR</t>
        </is>
      </c>
      <c r="ID109" s="9" t="inlineStr">
        <is>
          <t>APRIL</t>
        </is>
      </c>
      <c r="IK109" s="9" t="inlineStr">
        <is>
          <t>APR</t>
        </is>
      </c>
      <c r="IM109" s="9" t="inlineStr">
        <is>
          <t>APRIL</t>
        </is>
      </c>
      <c r="IT109" s="9" t="inlineStr">
        <is>
          <t>APR</t>
        </is>
      </c>
      <c r="IV109" s="9" t="inlineStr">
        <is>
          <t>APRIL</t>
        </is>
      </c>
      <c r="JC109" s="9" t="inlineStr">
        <is>
          <t>APR</t>
        </is>
      </c>
      <c r="JE109" s="9" t="inlineStr">
        <is>
          <t>APRIL</t>
        </is>
      </c>
      <c r="JL109" s="9" t="inlineStr">
        <is>
          <t>APR</t>
        </is>
      </c>
      <c r="JN109" s="9" t="inlineStr">
        <is>
          <t>APRIL</t>
        </is>
      </c>
      <c r="JU109" s="9" t="inlineStr">
        <is>
          <t>APR</t>
        </is>
      </c>
      <c r="JW109" s="9" t="inlineStr">
        <is>
          <t>APRIL</t>
        </is>
      </c>
      <c r="KD109" s="9" t="inlineStr">
        <is>
          <t>APR</t>
        </is>
      </c>
      <c r="KF109" s="9" t="inlineStr">
        <is>
          <t>APRIL</t>
        </is>
      </c>
      <c r="KM109" s="9" t="inlineStr">
        <is>
          <t>APR</t>
        </is>
      </c>
      <c r="KO109" s="9" t="inlineStr">
        <is>
          <t>APRIL</t>
        </is>
      </c>
      <c r="KV109" s="9" t="inlineStr">
        <is>
          <t>APR</t>
        </is>
      </c>
      <c r="KX109" s="9" t="inlineStr">
        <is>
          <t>APRIL</t>
        </is>
      </c>
      <c r="LE109" s="9" t="inlineStr">
        <is>
          <t>APR</t>
        </is>
      </c>
      <c r="LG109" s="9" t="inlineStr">
        <is>
          <t>APRIL</t>
        </is>
      </c>
      <c r="LN109" s="9" t="inlineStr">
        <is>
          <t>APR</t>
        </is>
      </c>
      <c r="LP109" s="9" t="inlineStr">
        <is>
          <t>APRIL</t>
        </is>
      </c>
      <c r="LW109" s="9" t="inlineStr">
        <is>
          <t>APR</t>
        </is>
      </c>
      <c r="LY109" s="9" t="inlineStr">
        <is>
          <t>APRIL</t>
        </is>
      </c>
      <c r="MF109" s="9" t="inlineStr">
        <is>
          <t>APR</t>
        </is>
      </c>
      <c r="MH109" s="9" t="inlineStr">
        <is>
          <t>APRIL</t>
        </is>
      </c>
      <c r="MO109" s="9" t="inlineStr">
        <is>
          <t>APR</t>
        </is>
      </c>
      <c r="MQ109" s="9" t="inlineStr">
        <is>
          <t>APRIL</t>
        </is>
      </c>
      <c r="MX109" s="9" t="inlineStr">
        <is>
          <t>APR</t>
        </is>
      </c>
      <c r="MZ109" s="9" t="inlineStr">
        <is>
          <t>APRIL</t>
        </is>
      </c>
      <c r="NG109" s="9" t="inlineStr">
        <is>
          <t>APR</t>
        </is>
      </c>
      <c r="NI109" s="9" t="inlineStr">
        <is>
          <t>APRIL</t>
        </is>
      </c>
      <c r="NP109" s="9" t="inlineStr">
        <is>
          <t>APR</t>
        </is>
      </c>
      <c r="NR109" s="9" t="inlineStr">
        <is>
          <t>APRIL</t>
        </is>
      </c>
      <c r="NY109" s="9" t="inlineStr">
        <is>
          <t>APR</t>
        </is>
      </c>
      <c r="OA109" s="9" t="inlineStr">
        <is>
          <t>APRIL</t>
        </is>
      </c>
      <c r="OH109" s="9" t="inlineStr">
        <is>
          <t>APR</t>
        </is>
      </c>
      <c r="OJ109" s="9" t="inlineStr">
        <is>
          <t>APRIL</t>
        </is>
      </c>
      <c r="OQ109" s="9" t="inlineStr">
        <is>
          <t>APR</t>
        </is>
      </c>
      <c r="OS109" s="9" t="inlineStr">
        <is>
          <t>APRIL</t>
        </is>
      </c>
      <c r="OZ109" s="9" t="inlineStr">
        <is>
          <t>APR</t>
        </is>
      </c>
      <c r="PB109" s="9" t="inlineStr">
        <is>
          <t>APRIL</t>
        </is>
      </c>
      <c r="PI109" s="9" t="inlineStr">
        <is>
          <t>APR</t>
        </is>
      </c>
      <c r="PK109" s="9" t="inlineStr">
        <is>
          <t>APRIL</t>
        </is>
      </c>
      <c r="PR109" s="9" t="inlineStr">
        <is>
          <t>APR</t>
        </is>
      </c>
      <c r="PT109" s="9" t="inlineStr">
        <is>
          <t>APRIL</t>
        </is>
      </c>
      <c r="QA109" s="9" t="inlineStr">
        <is>
          <t>APR</t>
        </is>
      </c>
      <c r="QC109" s="9" t="inlineStr">
        <is>
          <t>APRIL</t>
        </is>
      </c>
      <c r="QJ109" s="9" t="inlineStr">
        <is>
          <t>APR</t>
        </is>
      </c>
      <c r="QL109" s="9" t="inlineStr">
        <is>
          <t>APRIL</t>
        </is>
      </c>
      <c r="QS109" s="9" t="inlineStr">
        <is>
          <t>APR</t>
        </is>
      </c>
      <c r="QU109" s="9" t="inlineStr">
        <is>
          <t>APRIL</t>
        </is>
      </c>
      <c r="RB109" s="9" t="inlineStr">
        <is>
          <t>APR</t>
        </is>
      </c>
      <c r="RD109" s="9" t="inlineStr">
        <is>
          <t>APRIL</t>
        </is>
      </c>
      <c r="RK109" s="9" t="inlineStr">
        <is>
          <t>APR</t>
        </is>
      </c>
      <c r="RM109" s="9" t="inlineStr">
        <is>
          <t>APRIL</t>
        </is>
      </c>
      <c r="RT109" s="9" t="inlineStr">
        <is>
          <t>APR</t>
        </is>
      </c>
      <c r="RV109" s="9" t="inlineStr">
        <is>
          <t>APRIL</t>
        </is>
      </c>
      <c r="SC109" s="9" t="inlineStr">
        <is>
          <t>APR</t>
        </is>
      </c>
      <c r="SE109" s="9" t="inlineStr">
        <is>
          <t>APRIL</t>
        </is>
      </c>
      <c r="SL109" s="9" t="inlineStr">
        <is>
          <t>APR</t>
        </is>
      </c>
      <c r="SN109" s="9" t="inlineStr">
        <is>
          <t>APRIL</t>
        </is>
      </c>
      <c r="SU109" s="9" t="inlineStr">
        <is>
          <t>APR</t>
        </is>
      </c>
      <c r="SW109" s="9" t="inlineStr">
        <is>
          <t>APRIL</t>
        </is>
      </c>
      <c r="TD109" s="9" t="inlineStr">
        <is>
          <t>APR</t>
        </is>
      </c>
      <c r="TF109" s="9" t="inlineStr">
        <is>
          <t>APRIL</t>
        </is>
      </c>
      <c r="TM109" s="9" t="inlineStr">
        <is>
          <t>APR</t>
        </is>
      </c>
      <c r="TO109" s="9" t="inlineStr">
        <is>
          <t>APRIL</t>
        </is>
      </c>
      <c r="TV109" s="9" t="inlineStr">
        <is>
          <t>APR</t>
        </is>
      </c>
      <c r="TX109" s="9" t="inlineStr">
        <is>
          <t>APRIL</t>
        </is>
      </c>
      <c r="UE109" s="9" t="inlineStr">
        <is>
          <t>APR</t>
        </is>
      </c>
      <c r="UG109" s="9" t="inlineStr">
        <is>
          <t>APRIL</t>
        </is>
      </c>
      <c r="UN109" s="9" t="inlineStr">
        <is>
          <t>APR</t>
        </is>
      </c>
      <c r="UP109" s="9" t="inlineStr">
        <is>
          <t>APRIL</t>
        </is>
      </c>
      <c r="UW109" s="9" t="inlineStr">
        <is>
          <t>APR</t>
        </is>
      </c>
      <c r="UY109" s="9" t="inlineStr">
        <is>
          <t>APRIL</t>
        </is>
      </c>
      <c r="VF109" s="9" t="inlineStr">
        <is>
          <t>APR</t>
        </is>
      </c>
      <c r="VH109" s="9" t="inlineStr">
        <is>
          <t>APRIL</t>
        </is>
      </c>
      <c r="VO109" s="9" t="inlineStr">
        <is>
          <t>APR</t>
        </is>
      </c>
      <c r="VQ109" s="9" t="inlineStr">
        <is>
          <t>APRIL</t>
        </is>
      </c>
      <c r="VX109" s="9" t="inlineStr">
        <is>
          <t>APR</t>
        </is>
      </c>
      <c r="VZ109" s="9" t="inlineStr">
        <is>
          <t>APRIL</t>
        </is>
      </c>
      <c r="WG109" s="9" t="inlineStr">
        <is>
          <t>APR</t>
        </is>
      </c>
      <c r="WI109" s="9" t="inlineStr">
        <is>
          <t>APRIL</t>
        </is>
      </c>
      <c r="WP109" s="9" t="inlineStr">
        <is>
          <t>APR</t>
        </is>
      </c>
      <c r="WR109" s="9" t="inlineStr">
        <is>
          <t>APRIL</t>
        </is>
      </c>
      <c r="WY109" s="9" t="inlineStr">
        <is>
          <t>APR</t>
        </is>
      </c>
      <c r="XA109" s="9" t="inlineStr">
        <is>
          <t>APRIL</t>
        </is>
      </c>
      <c r="XH109" s="9" t="inlineStr">
        <is>
          <t>APR</t>
        </is>
      </c>
      <c r="XJ109" s="9" t="inlineStr">
        <is>
          <t>APRIL</t>
        </is>
      </c>
      <c r="XQ109" s="9" t="inlineStr">
        <is>
          <t>APR</t>
        </is>
      </c>
      <c r="XS109" s="9" t="inlineStr">
        <is>
          <t>APRIL</t>
        </is>
      </c>
      <c r="XZ109" s="9" t="inlineStr">
        <is>
          <t>APR</t>
        </is>
      </c>
      <c r="YB109" s="9" t="inlineStr">
        <is>
          <t>APRIL</t>
        </is>
      </c>
      <c r="YI109" s="9" t="inlineStr">
        <is>
          <t>APR</t>
        </is>
      </c>
      <c r="YK109" s="9" t="inlineStr">
        <is>
          <t>APRIL</t>
        </is>
      </c>
      <c r="YR109" s="9" t="inlineStr">
        <is>
          <t>APR</t>
        </is>
      </c>
      <c r="YT109" s="9" t="inlineStr">
        <is>
          <t>APRIL</t>
        </is>
      </c>
      <c r="ZA109" s="9" t="inlineStr">
        <is>
          <t>APR</t>
        </is>
      </c>
      <c r="ZC109" s="9" t="inlineStr">
        <is>
          <t>APRIL</t>
        </is>
      </c>
      <c r="ZJ109" s="9" t="inlineStr">
        <is>
          <t>APR</t>
        </is>
      </c>
      <c r="ZL109" s="9" t="inlineStr">
        <is>
          <t>APRIL</t>
        </is>
      </c>
      <c r="ZS109" s="9" t="inlineStr">
        <is>
          <t>APR</t>
        </is>
      </c>
      <c r="ZU109" s="9" t="inlineStr">
        <is>
          <t>APRIL</t>
        </is>
      </c>
      <c r="AAB109" s="9" t="inlineStr">
        <is>
          <t>APR</t>
        </is>
      </c>
      <c r="AAD109" s="9" t="inlineStr">
        <is>
          <t>APRIL</t>
        </is>
      </c>
      <c r="AAK109" s="9" t="inlineStr">
        <is>
          <t>APR</t>
        </is>
      </c>
      <c r="AAM109" s="9" t="inlineStr">
        <is>
          <t>APRIL</t>
        </is>
      </c>
      <c r="AAT109" s="9" t="inlineStr">
        <is>
          <t>APR</t>
        </is>
      </c>
      <c r="AAV109" s="9" t="inlineStr">
        <is>
          <t>APRIL</t>
        </is>
      </c>
      <c r="ABC109" s="9" t="inlineStr">
        <is>
          <t>APR</t>
        </is>
      </c>
      <c r="ABE109" s="9" t="inlineStr">
        <is>
          <t>APRIL</t>
        </is>
      </c>
    </row>
    <row r="110">
      <c r="C110" s="9" t="inlineStr">
        <is>
          <t>Date</t>
        </is>
      </c>
      <c r="D110" s="9" t="inlineStr">
        <is>
          <t>Intake</t>
        </is>
      </c>
      <c r="E110" s="9" t="inlineStr">
        <is>
          <t>Usage</t>
        </is>
      </c>
      <c r="F110" s="9" t="inlineStr">
        <is>
          <t>Actual</t>
        </is>
      </c>
      <c r="G110" s="9" t="inlineStr">
        <is>
          <t>Adjustment</t>
        </is>
      </c>
      <c r="H110" s="9" t="inlineStr">
        <is>
          <t>Balance</t>
        </is>
      </c>
      <c r="I110" s="9" t="inlineStr">
        <is>
          <t>Remarks</t>
        </is>
      </c>
      <c r="L110" s="9" t="inlineStr">
        <is>
          <t>Date</t>
        </is>
      </c>
      <c r="M110" s="9" t="inlineStr">
        <is>
          <t>Intake</t>
        </is>
      </c>
      <c r="N110" s="9" t="inlineStr">
        <is>
          <t>Usage</t>
        </is>
      </c>
      <c r="O110" s="9" t="inlineStr">
        <is>
          <t>Actual</t>
        </is>
      </c>
      <c r="P110" s="9" t="inlineStr">
        <is>
          <t>Adjustment</t>
        </is>
      </c>
      <c r="Q110" s="9" t="inlineStr">
        <is>
          <t>Balance</t>
        </is>
      </c>
      <c r="R110" s="9" t="inlineStr">
        <is>
          <t>Remarks</t>
        </is>
      </c>
      <c r="U110" s="9" t="inlineStr">
        <is>
          <t>Date</t>
        </is>
      </c>
      <c r="V110" s="9" t="inlineStr">
        <is>
          <t>Intake</t>
        </is>
      </c>
      <c r="W110" s="9" t="inlineStr">
        <is>
          <t>Usage</t>
        </is>
      </c>
      <c r="X110" s="9" t="inlineStr">
        <is>
          <t>Actual</t>
        </is>
      </c>
      <c r="Y110" s="9" t="inlineStr">
        <is>
          <t>Adjustment</t>
        </is>
      </c>
      <c r="Z110" s="9" t="inlineStr">
        <is>
          <t>Balance</t>
        </is>
      </c>
      <c r="AA110" s="9" t="inlineStr">
        <is>
          <t>Remarks</t>
        </is>
      </c>
      <c r="AD110" s="9" t="inlineStr">
        <is>
          <t>Date</t>
        </is>
      </c>
      <c r="AE110" s="9" t="inlineStr">
        <is>
          <t>Intake</t>
        </is>
      </c>
      <c r="AF110" s="9" t="inlineStr">
        <is>
          <t>Usage</t>
        </is>
      </c>
      <c r="AG110" s="9" t="inlineStr">
        <is>
          <t>Actual</t>
        </is>
      </c>
      <c r="AH110" s="9" t="inlineStr">
        <is>
          <t>Adjustment</t>
        </is>
      </c>
      <c r="AI110" s="9" t="inlineStr">
        <is>
          <t>Balance</t>
        </is>
      </c>
      <c r="AJ110" s="9" t="inlineStr">
        <is>
          <t>Remarks</t>
        </is>
      </c>
      <c r="AM110" s="9" t="inlineStr">
        <is>
          <t>Date</t>
        </is>
      </c>
      <c r="AN110" s="9" t="inlineStr">
        <is>
          <t>Intake</t>
        </is>
      </c>
      <c r="AO110" s="9" t="inlineStr">
        <is>
          <t>Usage</t>
        </is>
      </c>
      <c r="AP110" s="9" t="inlineStr">
        <is>
          <t>Actual</t>
        </is>
      </c>
      <c r="AQ110" s="9" t="inlineStr">
        <is>
          <t>Adjustment</t>
        </is>
      </c>
      <c r="AR110" s="9" t="inlineStr">
        <is>
          <t>Balance</t>
        </is>
      </c>
      <c r="AS110" s="9" t="inlineStr">
        <is>
          <t>Remarks</t>
        </is>
      </c>
      <c r="AV110" s="9" t="inlineStr">
        <is>
          <t>Date</t>
        </is>
      </c>
      <c r="AW110" s="9" t="inlineStr">
        <is>
          <t>Intake</t>
        </is>
      </c>
      <c r="AX110" s="9" t="inlineStr">
        <is>
          <t>Usage</t>
        </is>
      </c>
      <c r="AY110" s="9" t="inlineStr">
        <is>
          <t>Actual</t>
        </is>
      </c>
      <c r="AZ110" s="9" t="inlineStr">
        <is>
          <t>Adjustment</t>
        </is>
      </c>
      <c r="BA110" s="9" t="inlineStr">
        <is>
          <t>Balance</t>
        </is>
      </c>
      <c r="BB110" s="9" t="inlineStr">
        <is>
          <t>Remarks</t>
        </is>
      </c>
      <c r="BE110" s="9" t="inlineStr">
        <is>
          <t>Date</t>
        </is>
      </c>
      <c r="BF110" s="9" t="inlineStr">
        <is>
          <t>Intake</t>
        </is>
      </c>
      <c r="BG110" s="9" t="inlineStr">
        <is>
          <t>Usage</t>
        </is>
      </c>
      <c r="BH110" s="9" t="inlineStr">
        <is>
          <t>Actual</t>
        </is>
      </c>
      <c r="BI110" s="9" t="inlineStr">
        <is>
          <t>Adjustment</t>
        </is>
      </c>
      <c r="BJ110" s="9" t="inlineStr">
        <is>
          <t>Balance</t>
        </is>
      </c>
      <c r="BK110" s="9" t="inlineStr">
        <is>
          <t>Remarks</t>
        </is>
      </c>
      <c r="BN110" s="9" t="inlineStr">
        <is>
          <t>Date</t>
        </is>
      </c>
      <c r="BO110" s="9" t="inlineStr">
        <is>
          <t>Intake</t>
        </is>
      </c>
      <c r="BP110" s="9" t="inlineStr">
        <is>
          <t>Usage</t>
        </is>
      </c>
      <c r="BQ110" s="9" t="inlineStr">
        <is>
          <t>Actual</t>
        </is>
      </c>
      <c r="BR110" s="9" t="inlineStr">
        <is>
          <t>Adjustment</t>
        </is>
      </c>
      <c r="BS110" s="9" t="inlineStr">
        <is>
          <t>Balance</t>
        </is>
      </c>
      <c r="BT110" s="9" t="inlineStr">
        <is>
          <t>Remarks</t>
        </is>
      </c>
      <c r="BW110" s="9" t="inlineStr">
        <is>
          <t>Date</t>
        </is>
      </c>
      <c r="BX110" s="9" t="inlineStr">
        <is>
          <t>Intake</t>
        </is>
      </c>
      <c r="BY110" s="9" t="inlineStr">
        <is>
          <t>Usage</t>
        </is>
      </c>
      <c r="BZ110" s="9" t="inlineStr">
        <is>
          <t>Actual</t>
        </is>
      </c>
      <c r="CA110" s="9" t="inlineStr">
        <is>
          <t>Adjustment</t>
        </is>
      </c>
      <c r="CB110" s="9" t="inlineStr">
        <is>
          <t>Balance</t>
        </is>
      </c>
      <c r="CC110" s="9" t="inlineStr">
        <is>
          <t>Remarks</t>
        </is>
      </c>
      <c r="CF110" s="9" t="inlineStr">
        <is>
          <t>Date</t>
        </is>
      </c>
      <c r="CG110" s="9" t="inlineStr">
        <is>
          <t>Intake</t>
        </is>
      </c>
      <c r="CH110" s="9" t="inlineStr">
        <is>
          <t>Usage</t>
        </is>
      </c>
      <c r="CI110" s="9" t="inlineStr">
        <is>
          <t>Actual</t>
        </is>
      </c>
      <c r="CJ110" s="9" t="inlineStr">
        <is>
          <t>Adjustment</t>
        </is>
      </c>
      <c r="CK110" s="9" t="inlineStr">
        <is>
          <t>Balance</t>
        </is>
      </c>
      <c r="CL110" s="9" t="inlineStr">
        <is>
          <t>Remarks</t>
        </is>
      </c>
      <c r="CO110" s="9" t="inlineStr">
        <is>
          <t>Date</t>
        </is>
      </c>
      <c r="CP110" s="9" t="inlineStr">
        <is>
          <t>Intake</t>
        </is>
      </c>
      <c r="CQ110" s="9" t="inlineStr">
        <is>
          <t>Usage</t>
        </is>
      </c>
      <c r="CR110" s="9" t="inlineStr">
        <is>
          <t>Actual</t>
        </is>
      </c>
      <c r="CS110" s="9" t="inlineStr">
        <is>
          <t>Adjustment</t>
        </is>
      </c>
      <c r="CT110" s="9" t="inlineStr">
        <is>
          <t>Balance</t>
        </is>
      </c>
      <c r="CU110" s="9" t="inlineStr">
        <is>
          <t>Remarks</t>
        </is>
      </c>
      <c r="CX110" s="9" t="inlineStr">
        <is>
          <t>Date</t>
        </is>
      </c>
      <c r="CY110" s="9" t="inlineStr">
        <is>
          <t>Intake</t>
        </is>
      </c>
      <c r="CZ110" s="9" t="inlineStr">
        <is>
          <t>Usage</t>
        </is>
      </c>
      <c r="DA110" s="9" t="inlineStr">
        <is>
          <t>Actual</t>
        </is>
      </c>
      <c r="DB110" s="9" t="inlineStr">
        <is>
          <t>Adjustment</t>
        </is>
      </c>
      <c r="DC110" s="9" t="inlineStr">
        <is>
          <t>Balance</t>
        </is>
      </c>
      <c r="DD110" s="9" t="inlineStr">
        <is>
          <t>Remarks</t>
        </is>
      </c>
      <c r="DG110" s="9" t="inlineStr">
        <is>
          <t>Date</t>
        </is>
      </c>
      <c r="DH110" s="9" t="inlineStr">
        <is>
          <t>Intake</t>
        </is>
      </c>
      <c r="DI110" s="9" t="inlineStr">
        <is>
          <t>Usage</t>
        </is>
      </c>
      <c r="DJ110" s="9" t="inlineStr">
        <is>
          <t>Actual</t>
        </is>
      </c>
      <c r="DK110" s="9" t="inlineStr">
        <is>
          <t>Adjustment</t>
        </is>
      </c>
      <c r="DL110" s="9" t="inlineStr">
        <is>
          <t>Balance</t>
        </is>
      </c>
      <c r="DM110" s="9" t="inlineStr">
        <is>
          <t>Remarks</t>
        </is>
      </c>
      <c r="DP110" s="9" t="inlineStr">
        <is>
          <t>Date</t>
        </is>
      </c>
      <c r="DQ110" s="9" t="inlineStr">
        <is>
          <t>Intake</t>
        </is>
      </c>
      <c r="DR110" s="9" t="inlineStr">
        <is>
          <t>Usage</t>
        </is>
      </c>
      <c r="DS110" s="9" t="inlineStr">
        <is>
          <t>Actual</t>
        </is>
      </c>
      <c r="DT110" s="9" t="inlineStr">
        <is>
          <t>Adjustment</t>
        </is>
      </c>
      <c r="DU110" s="9" t="inlineStr">
        <is>
          <t>Balance</t>
        </is>
      </c>
      <c r="DV110" s="9" t="inlineStr">
        <is>
          <t>Remarks</t>
        </is>
      </c>
      <c r="DY110" s="9" t="inlineStr">
        <is>
          <t>Date</t>
        </is>
      </c>
      <c r="DZ110" s="9" t="inlineStr">
        <is>
          <t>Intake</t>
        </is>
      </c>
      <c r="EA110" s="9" t="inlineStr">
        <is>
          <t>Usage</t>
        </is>
      </c>
      <c r="EB110" s="9" t="inlineStr">
        <is>
          <t>Actual</t>
        </is>
      </c>
      <c r="EC110" s="9" t="inlineStr">
        <is>
          <t>Adjustment</t>
        </is>
      </c>
      <c r="ED110" s="9" t="inlineStr">
        <is>
          <t>Balance</t>
        </is>
      </c>
      <c r="EE110" s="9" t="inlineStr">
        <is>
          <t>Remarks</t>
        </is>
      </c>
      <c r="EH110" s="9" t="inlineStr">
        <is>
          <t>Date</t>
        </is>
      </c>
      <c r="EI110" s="9" t="inlineStr">
        <is>
          <t>Intake</t>
        </is>
      </c>
      <c r="EJ110" s="9" t="inlineStr">
        <is>
          <t>Usage</t>
        </is>
      </c>
      <c r="EK110" s="9" t="inlineStr">
        <is>
          <t>Actual</t>
        </is>
      </c>
      <c r="EL110" s="9" t="inlineStr">
        <is>
          <t>Adjustment</t>
        </is>
      </c>
      <c r="EM110" s="9" t="inlineStr">
        <is>
          <t>Balance</t>
        </is>
      </c>
      <c r="EN110" s="9" t="inlineStr">
        <is>
          <t>Remarks</t>
        </is>
      </c>
      <c r="EQ110" s="9" t="inlineStr">
        <is>
          <t>Date</t>
        </is>
      </c>
      <c r="ER110" s="9" t="inlineStr">
        <is>
          <t>Intake</t>
        </is>
      </c>
      <c r="ES110" s="9" t="inlineStr">
        <is>
          <t>Usage</t>
        </is>
      </c>
      <c r="ET110" s="9" t="inlineStr">
        <is>
          <t>Actual</t>
        </is>
      </c>
      <c r="EU110" s="9" t="inlineStr">
        <is>
          <t>Adjustment</t>
        </is>
      </c>
      <c r="EV110" s="9" t="inlineStr">
        <is>
          <t>Balance</t>
        </is>
      </c>
      <c r="EW110" s="9" t="inlineStr">
        <is>
          <t>Remarks</t>
        </is>
      </c>
      <c r="EZ110" s="9" t="inlineStr">
        <is>
          <t>Date</t>
        </is>
      </c>
      <c r="FA110" s="9" t="inlineStr">
        <is>
          <t>Intake</t>
        </is>
      </c>
      <c r="FB110" s="9" t="inlineStr">
        <is>
          <t>Usage</t>
        </is>
      </c>
      <c r="FC110" s="9" t="inlineStr">
        <is>
          <t>Actual</t>
        </is>
      </c>
      <c r="FD110" s="9" t="inlineStr">
        <is>
          <t>Adjustment</t>
        </is>
      </c>
      <c r="FE110" s="9" t="inlineStr">
        <is>
          <t>Balance</t>
        </is>
      </c>
      <c r="FF110" s="9" t="inlineStr">
        <is>
          <t>Remarks</t>
        </is>
      </c>
      <c r="FI110" s="9" t="inlineStr">
        <is>
          <t>Date</t>
        </is>
      </c>
      <c r="FJ110" s="9" t="inlineStr">
        <is>
          <t>Intake</t>
        </is>
      </c>
      <c r="FK110" s="9" t="inlineStr">
        <is>
          <t>Usage</t>
        </is>
      </c>
      <c r="FL110" s="9" t="inlineStr">
        <is>
          <t>Actual</t>
        </is>
      </c>
      <c r="FM110" s="9" t="inlineStr">
        <is>
          <t>Adjustment</t>
        </is>
      </c>
      <c r="FN110" s="9" t="inlineStr">
        <is>
          <t>Balance</t>
        </is>
      </c>
      <c r="FO110" s="9" t="inlineStr">
        <is>
          <t>Remarks</t>
        </is>
      </c>
      <c r="FR110" s="9" t="inlineStr">
        <is>
          <t>Date</t>
        </is>
      </c>
      <c r="FS110" s="9" t="inlineStr">
        <is>
          <t>Intake</t>
        </is>
      </c>
      <c r="FT110" s="9" t="inlineStr">
        <is>
          <t>Usage</t>
        </is>
      </c>
      <c r="FU110" s="9" t="inlineStr">
        <is>
          <t>Actual</t>
        </is>
      </c>
      <c r="FV110" s="9" t="inlineStr">
        <is>
          <t>Adjustment</t>
        </is>
      </c>
      <c r="FW110" s="9" t="inlineStr">
        <is>
          <t>Balance</t>
        </is>
      </c>
      <c r="FX110" s="9" t="inlineStr">
        <is>
          <t>Remarks</t>
        </is>
      </c>
      <c r="GA110" s="9" t="inlineStr">
        <is>
          <t>Date</t>
        </is>
      </c>
      <c r="GB110" s="9" t="inlineStr">
        <is>
          <t>Intake</t>
        </is>
      </c>
      <c r="GC110" s="9" t="inlineStr">
        <is>
          <t>Usage</t>
        </is>
      </c>
      <c r="GD110" s="9" t="inlineStr">
        <is>
          <t>Actual</t>
        </is>
      </c>
      <c r="GE110" s="9" t="inlineStr">
        <is>
          <t>Adjustment</t>
        </is>
      </c>
      <c r="GF110" s="9" t="inlineStr">
        <is>
          <t>Balance</t>
        </is>
      </c>
      <c r="GG110" s="9" t="inlineStr">
        <is>
          <t>Remarks</t>
        </is>
      </c>
      <c r="GJ110" s="9" t="inlineStr">
        <is>
          <t>Date</t>
        </is>
      </c>
      <c r="GK110" s="9" t="inlineStr">
        <is>
          <t>Intake</t>
        </is>
      </c>
      <c r="GL110" s="9" t="inlineStr">
        <is>
          <t>Usage</t>
        </is>
      </c>
      <c r="GM110" s="9" t="inlineStr">
        <is>
          <t>Actual</t>
        </is>
      </c>
      <c r="GN110" s="9" t="inlineStr">
        <is>
          <t>Adjustment</t>
        </is>
      </c>
      <c r="GO110" s="9" t="inlineStr">
        <is>
          <t>Balance</t>
        </is>
      </c>
      <c r="GP110" s="9" t="inlineStr">
        <is>
          <t>Remarks</t>
        </is>
      </c>
      <c r="GS110" s="9" t="inlineStr">
        <is>
          <t>Date</t>
        </is>
      </c>
      <c r="GT110" s="9" t="inlineStr">
        <is>
          <t>Intake</t>
        </is>
      </c>
      <c r="GU110" s="9" t="inlineStr">
        <is>
          <t>Usage</t>
        </is>
      </c>
      <c r="GV110" s="9" t="inlineStr">
        <is>
          <t>Actual</t>
        </is>
      </c>
      <c r="GW110" s="9" t="inlineStr">
        <is>
          <t>Adjustment</t>
        </is>
      </c>
      <c r="GX110" s="9" t="inlineStr">
        <is>
          <t>Balance</t>
        </is>
      </c>
      <c r="GY110" s="9" t="inlineStr">
        <is>
          <t>Remarks</t>
        </is>
      </c>
      <c r="HB110" s="9" t="inlineStr">
        <is>
          <t>Date</t>
        </is>
      </c>
      <c r="HC110" s="9" t="inlineStr">
        <is>
          <t>Intake</t>
        </is>
      </c>
      <c r="HD110" s="9" t="inlineStr">
        <is>
          <t>Usage</t>
        </is>
      </c>
      <c r="HE110" s="9" t="inlineStr">
        <is>
          <t>Actual</t>
        </is>
      </c>
      <c r="HF110" s="9" t="inlineStr">
        <is>
          <t>Adjustment</t>
        </is>
      </c>
      <c r="HG110" s="9" t="inlineStr">
        <is>
          <t>Balance</t>
        </is>
      </c>
      <c r="HH110" s="9" t="inlineStr">
        <is>
          <t>Remarks</t>
        </is>
      </c>
      <c r="HK110" s="9" t="inlineStr">
        <is>
          <t>Date</t>
        </is>
      </c>
      <c r="HL110" s="9" t="inlineStr">
        <is>
          <t>Intake</t>
        </is>
      </c>
      <c r="HM110" s="9" t="inlineStr">
        <is>
          <t>Usage</t>
        </is>
      </c>
      <c r="HN110" s="9" t="inlineStr">
        <is>
          <t>Actual</t>
        </is>
      </c>
      <c r="HO110" s="9" t="inlineStr">
        <is>
          <t>Adjustment</t>
        </is>
      </c>
      <c r="HP110" s="9" t="inlineStr">
        <is>
          <t>Balance</t>
        </is>
      </c>
      <c r="HQ110" s="9" t="inlineStr">
        <is>
          <t>Remarks</t>
        </is>
      </c>
      <c r="HU110" s="9" t="inlineStr">
        <is>
          <t>Date</t>
        </is>
      </c>
      <c r="HV110" s="9" t="inlineStr">
        <is>
          <t>Intake</t>
        </is>
      </c>
      <c r="HW110" s="9" t="inlineStr">
        <is>
          <t>Usage</t>
        </is>
      </c>
      <c r="HX110" s="9" t="inlineStr">
        <is>
          <t>Actual</t>
        </is>
      </c>
      <c r="HY110" s="9" t="inlineStr">
        <is>
          <t>Adjustment</t>
        </is>
      </c>
      <c r="HZ110" s="9" t="inlineStr">
        <is>
          <t>Balance</t>
        </is>
      </c>
      <c r="IA110" s="9" t="inlineStr">
        <is>
          <t>Remarks</t>
        </is>
      </c>
      <c r="ID110" s="9" t="inlineStr">
        <is>
          <t>Date</t>
        </is>
      </c>
      <c r="IE110" s="9" t="inlineStr">
        <is>
          <t>Intake</t>
        </is>
      </c>
      <c r="IF110" s="9" t="inlineStr">
        <is>
          <t>Usage</t>
        </is>
      </c>
      <c r="IG110" s="9" t="inlineStr">
        <is>
          <t>Actual</t>
        </is>
      </c>
      <c r="IH110" s="9" t="inlineStr">
        <is>
          <t>Adjustment</t>
        </is>
      </c>
      <c r="II110" s="9" t="inlineStr">
        <is>
          <t>Balance</t>
        </is>
      </c>
      <c r="IJ110" s="9" t="inlineStr">
        <is>
          <t>Remarks</t>
        </is>
      </c>
      <c r="IM110" s="9" t="inlineStr">
        <is>
          <t>Date</t>
        </is>
      </c>
      <c r="IN110" s="9" t="inlineStr">
        <is>
          <t>Intake</t>
        </is>
      </c>
      <c r="IO110" s="9" t="inlineStr">
        <is>
          <t>Usage</t>
        </is>
      </c>
      <c r="IP110" s="9" t="inlineStr">
        <is>
          <t>Actual</t>
        </is>
      </c>
      <c r="IQ110" s="9" t="inlineStr">
        <is>
          <t>Adjustment</t>
        </is>
      </c>
      <c r="IR110" s="9" t="inlineStr">
        <is>
          <t>Balance</t>
        </is>
      </c>
      <c r="IS110" s="9" t="inlineStr">
        <is>
          <t>Remarks</t>
        </is>
      </c>
      <c r="IV110" s="9" t="inlineStr">
        <is>
          <t>Date</t>
        </is>
      </c>
      <c r="IW110" s="9" t="inlineStr">
        <is>
          <t>Intake</t>
        </is>
      </c>
      <c r="IX110" s="9" t="inlineStr">
        <is>
          <t>Usage</t>
        </is>
      </c>
      <c r="IY110" s="9" t="inlineStr">
        <is>
          <t>Actual</t>
        </is>
      </c>
      <c r="IZ110" s="9" t="inlineStr">
        <is>
          <t>Adjustment</t>
        </is>
      </c>
      <c r="JA110" s="9" t="inlineStr">
        <is>
          <t>Balance</t>
        </is>
      </c>
      <c r="JB110" s="9" t="inlineStr">
        <is>
          <t>Remarks</t>
        </is>
      </c>
      <c r="JE110" s="9" t="inlineStr">
        <is>
          <t>Date</t>
        </is>
      </c>
      <c r="JF110" s="9" t="inlineStr">
        <is>
          <t>Intake</t>
        </is>
      </c>
      <c r="JG110" s="9" t="inlineStr">
        <is>
          <t>Usage</t>
        </is>
      </c>
      <c r="JH110" s="9" t="inlineStr">
        <is>
          <t>Actual</t>
        </is>
      </c>
      <c r="JI110" s="9" t="inlineStr">
        <is>
          <t>Adjustment</t>
        </is>
      </c>
      <c r="JJ110" s="9" t="inlineStr">
        <is>
          <t>Balance</t>
        </is>
      </c>
      <c r="JK110" s="9" t="inlineStr">
        <is>
          <t>Remarks</t>
        </is>
      </c>
      <c r="JN110" s="9" t="inlineStr">
        <is>
          <t>Date</t>
        </is>
      </c>
      <c r="JO110" s="9" t="inlineStr">
        <is>
          <t>Intake</t>
        </is>
      </c>
      <c r="JP110" s="9" t="inlineStr">
        <is>
          <t>Usage</t>
        </is>
      </c>
      <c r="JQ110" s="9" t="inlineStr">
        <is>
          <t>Actual</t>
        </is>
      </c>
      <c r="JR110" s="9" t="inlineStr">
        <is>
          <t>Adjustment</t>
        </is>
      </c>
      <c r="JS110" s="9" t="inlineStr">
        <is>
          <t>Balance</t>
        </is>
      </c>
      <c r="JT110" s="9" t="inlineStr">
        <is>
          <t>Remarks</t>
        </is>
      </c>
      <c r="JW110" s="9" t="inlineStr">
        <is>
          <t>Date</t>
        </is>
      </c>
      <c r="JX110" s="9" t="inlineStr">
        <is>
          <t>Intake</t>
        </is>
      </c>
      <c r="JY110" s="9" t="inlineStr">
        <is>
          <t>Usage</t>
        </is>
      </c>
      <c r="JZ110" s="9" t="inlineStr">
        <is>
          <t>Actual</t>
        </is>
      </c>
      <c r="KA110" s="9" t="inlineStr">
        <is>
          <t>Adjustment</t>
        </is>
      </c>
      <c r="KB110" s="9" t="inlineStr">
        <is>
          <t>Balance</t>
        </is>
      </c>
      <c r="KC110" s="9" t="inlineStr">
        <is>
          <t>Remarks</t>
        </is>
      </c>
      <c r="KF110" s="9" t="inlineStr">
        <is>
          <t>Date</t>
        </is>
      </c>
      <c r="KG110" s="9" t="inlineStr">
        <is>
          <t>Intake</t>
        </is>
      </c>
      <c r="KH110" s="9" t="inlineStr">
        <is>
          <t>Usage</t>
        </is>
      </c>
      <c r="KI110" s="9" t="inlineStr">
        <is>
          <t>Actual</t>
        </is>
      </c>
      <c r="KJ110" s="9" t="inlineStr">
        <is>
          <t>Adjustment</t>
        </is>
      </c>
      <c r="KK110" s="9" t="inlineStr">
        <is>
          <t>Balance</t>
        </is>
      </c>
      <c r="KL110" s="9" t="inlineStr">
        <is>
          <t>Remarks</t>
        </is>
      </c>
      <c r="KO110" s="9" t="inlineStr">
        <is>
          <t>Date</t>
        </is>
      </c>
      <c r="KP110" s="9" t="inlineStr">
        <is>
          <t>Intake</t>
        </is>
      </c>
      <c r="KQ110" s="9" t="inlineStr">
        <is>
          <t>Usage</t>
        </is>
      </c>
      <c r="KR110" s="9" t="inlineStr">
        <is>
          <t>Actual</t>
        </is>
      </c>
      <c r="KS110" s="9" t="inlineStr">
        <is>
          <t>Adjustment</t>
        </is>
      </c>
      <c r="KT110" s="9" t="inlineStr">
        <is>
          <t>Balance</t>
        </is>
      </c>
      <c r="KU110" s="9" t="inlineStr">
        <is>
          <t>Remarks</t>
        </is>
      </c>
      <c r="KX110" s="9" t="inlineStr">
        <is>
          <t>Date</t>
        </is>
      </c>
      <c r="KY110" s="9" t="inlineStr">
        <is>
          <t>Intake</t>
        </is>
      </c>
      <c r="KZ110" s="9" t="inlineStr">
        <is>
          <t>Usage</t>
        </is>
      </c>
      <c r="LA110" s="9" t="inlineStr">
        <is>
          <t>Actual</t>
        </is>
      </c>
      <c r="LB110" s="9" t="inlineStr">
        <is>
          <t>Adjustment</t>
        </is>
      </c>
      <c r="LC110" s="9" t="inlineStr">
        <is>
          <t>Balance</t>
        </is>
      </c>
      <c r="LD110" s="9" t="inlineStr">
        <is>
          <t>Remarks</t>
        </is>
      </c>
      <c r="LG110" s="9" t="inlineStr">
        <is>
          <t>Date</t>
        </is>
      </c>
      <c r="LH110" s="9" t="inlineStr">
        <is>
          <t>Intake</t>
        </is>
      </c>
      <c r="LI110" s="9" t="inlineStr">
        <is>
          <t>Usage</t>
        </is>
      </c>
      <c r="LJ110" s="9" t="inlineStr">
        <is>
          <t>Actual</t>
        </is>
      </c>
      <c r="LK110" s="9" t="inlineStr">
        <is>
          <t>Adjustment</t>
        </is>
      </c>
      <c r="LL110" s="9" t="inlineStr">
        <is>
          <t>Balance</t>
        </is>
      </c>
      <c r="LM110" s="9" t="inlineStr">
        <is>
          <t>Remarks</t>
        </is>
      </c>
      <c r="LP110" s="9" t="inlineStr">
        <is>
          <t>Date</t>
        </is>
      </c>
      <c r="LQ110" s="9" t="inlineStr">
        <is>
          <t>Intake</t>
        </is>
      </c>
      <c r="LR110" s="9" t="inlineStr">
        <is>
          <t>Usage</t>
        </is>
      </c>
      <c r="LS110" s="9" t="inlineStr">
        <is>
          <t>Actual</t>
        </is>
      </c>
      <c r="LT110" s="9" t="inlineStr">
        <is>
          <t>Adjustment</t>
        </is>
      </c>
      <c r="LU110" s="9" t="inlineStr">
        <is>
          <t>Balance</t>
        </is>
      </c>
      <c r="LV110" s="9" t="inlineStr">
        <is>
          <t>Remarks</t>
        </is>
      </c>
      <c r="LY110" s="9" t="inlineStr">
        <is>
          <t>Date</t>
        </is>
      </c>
      <c r="LZ110" s="9" t="inlineStr">
        <is>
          <t>Intake</t>
        </is>
      </c>
      <c r="MA110" s="9" t="inlineStr">
        <is>
          <t>Usage</t>
        </is>
      </c>
      <c r="MB110" s="9" t="inlineStr">
        <is>
          <t>Actual</t>
        </is>
      </c>
      <c r="MC110" s="9" t="inlineStr">
        <is>
          <t>Adjustment</t>
        </is>
      </c>
      <c r="MD110" s="9" t="inlineStr">
        <is>
          <t>Balance</t>
        </is>
      </c>
      <c r="ME110" s="9" t="inlineStr">
        <is>
          <t>Remarks</t>
        </is>
      </c>
      <c r="MH110" s="9" t="inlineStr">
        <is>
          <t>Date</t>
        </is>
      </c>
      <c r="MI110" s="9" t="inlineStr">
        <is>
          <t>Intake</t>
        </is>
      </c>
      <c r="MJ110" s="9" t="inlineStr">
        <is>
          <t>Usage</t>
        </is>
      </c>
      <c r="MK110" s="9" t="inlineStr">
        <is>
          <t>Actual</t>
        </is>
      </c>
      <c r="ML110" s="9" t="inlineStr">
        <is>
          <t>Adjustment</t>
        </is>
      </c>
      <c r="MM110" s="9" t="inlineStr">
        <is>
          <t>Balance</t>
        </is>
      </c>
      <c r="MN110" s="9" t="inlineStr">
        <is>
          <t>Remarks</t>
        </is>
      </c>
      <c r="MQ110" s="9" t="inlineStr">
        <is>
          <t>Date</t>
        </is>
      </c>
      <c r="MR110" s="9" t="inlineStr">
        <is>
          <t>Intake</t>
        </is>
      </c>
      <c r="MS110" s="9" t="inlineStr">
        <is>
          <t>Usage</t>
        </is>
      </c>
      <c r="MT110" s="9" t="inlineStr">
        <is>
          <t>Actual</t>
        </is>
      </c>
      <c r="MU110" s="9" t="inlineStr">
        <is>
          <t>Adjustment</t>
        </is>
      </c>
      <c r="MV110" s="9" t="inlineStr">
        <is>
          <t>Balance</t>
        </is>
      </c>
      <c r="MW110" s="9" t="inlineStr">
        <is>
          <t>Remarks</t>
        </is>
      </c>
      <c r="MZ110" s="9" t="inlineStr">
        <is>
          <t>Date</t>
        </is>
      </c>
      <c r="NA110" s="9" t="inlineStr">
        <is>
          <t>Intake</t>
        </is>
      </c>
      <c r="NB110" s="9" t="inlineStr">
        <is>
          <t>Usage</t>
        </is>
      </c>
      <c r="NC110" s="9" t="inlineStr">
        <is>
          <t>Actual</t>
        </is>
      </c>
      <c r="ND110" s="9" t="inlineStr">
        <is>
          <t>Adjustment</t>
        </is>
      </c>
      <c r="NE110" s="9" t="inlineStr">
        <is>
          <t>Balance</t>
        </is>
      </c>
      <c r="NF110" s="9" t="inlineStr">
        <is>
          <t>Remarks</t>
        </is>
      </c>
      <c r="NI110" s="9" t="inlineStr">
        <is>
          <t>Date</t>
        </is>
      </c>
      <c r="NJ110" s="9" t="inlineStr">
        <is>
          <t>Intake</t>
        </is>
      </c>
      <c r="NK110" s="9" t="inlineStr">
        <is>
          <t>Usage</t>
        </is>
      </c>
      <c r="NL110" s="9" t="inlineStr">
        <is>
          <t>Actual</t>
        </is>
      </c>
      <c r="NM110" s="9" t="inlineStr">
        <is>
          <t>Adjustment</t>
        </is>
      </c>
      <c r="NN110" s="9" t="inlineStr">
        <is>
          <t>Balance</t>
        </is>
      </c>
      <c r="NO110" s="9" t="inlineStr">
        <is>
          <t>Remarks</t>
        </is>
      </c>
      <c r="NR110" s="9" t="inlineStr">
        <is>
          <t>Date</t>
        </is>
      </c>
      <c r="NS110" s="9" t="inlineStr">
        <is>
          <t>Intake</t>
        </is>
      </c>
      <c r="NT110" s="9" t="inlineStr">
        <is>
          <t>Usage</t>
        </is>
      </c>
      <c r="NU110" s="9" t="inlineStr">
        <is>
          <t>Actual</t>
        </is>
      </c>
      <c r="NV110" s="9" t="inlineStr">
        <is>
          <t>Adjustment</t>
        </is>
      </c>
      <c r="NW110" s="9" t="inlineStr">
        <is>
          <t>Balance</t>
        </is>
      </c>
      <c r="NX110" s="9" t="inlineStr">
        <is>
          <t>Remarks</t>
        </is>
      </c>
      <c r="OA110" s="9" t="inlineStr">
        <is>
          <t>Date</t>
        </is>
      </c>
      <c r="OB110" s="9" t="inlineStr">
        <is>
          <t>Intake</t>
        </is>
      </c>
      <c r="OC110" s="9" t="inlineStr">
        <is>
          <t>Usage</t>
        </is>
      </c>
      <c r="OD110" s="9" t="inlineStr">
        <is>
          <t>Actual</t>
        </is>
      </c>
      <c r="OE110" s="9" t="inlineStr">
        <is>
          <t>Adjustment</t>
        </is>
      </c>
      <c r="OF110" s="9" t="inlineStr">
        <is>
          <t>Balance</t>
        </is>
      </c>
      <c r="OG110" s="9" t="inlineStr">
        <is>
          <t>Remarks</t>
        </is>
      </c>
      <c r="OJ110" s="9" t="inlineStr">
        <is>
          <t>Date</t>
        </is>
      </c>
      <c r="OK110" s="9" t="inlineStr">
        <is>
          <t>Intake</t>
        </is>
      </c>
      <c r="OL110" s="9" t="inlineStr">
        <is>
          <t>Usage</t>
        </is>
      </c>
      <c r="OM110" s="9" t="inlineStr">
        <is>
          <t>Actual</t>
        </is>
      </c>
      <c r="ON110" s="9" t="inlineStr">
        <is>
          <t>Adjustment</t>
        </is>
      </c>
      <c r="OO110" s="9" t="inlineStr">
        <is>
          <t>Balance</t>
        </is>
      </c>
      <c r="OP110" s="9" t="inlineStr">
        <is>
          <t>Remarks</t>
        </is>
      </c>
      <c r="OS110" s="9" t="inlineStr">
        <is>
          <t>Date</t>
        </is>
      </c>
      <c r="OT110" s="9" t="inlineStr">
        <is>
          <t>Intake</t>
        </is>
      </c>
      <c r="OU110" s="9" t="inlineStr">
        <is>
          <t>Usage</t>
        </is>
      </c>
      <c r="OV110" s="9" t="inlineStr">
        <is>
          <t>Actual</t>
        </is>
      </c>
      <c r="OW110" s="9" t="inlineStr">
        <is>
          <t>Adjustment</t>
        </is>
      </c>
      <c r="OX110" s="9" t="inlineStr">
        <is>
          <t>Balance</t>
        </is>
      </c>
      <c r="OY110" s="9" t="inlineStr">
        <is>
          <t>Remarks</t>
        </is>
      </c>
      <c r="PB110" s="9" t="inlineStr">
        <is>
          <t>Date</t>
        </is>
      </c>
      <c r="PC110" s="9" t="inlineStr">
        <is>
          <t>Intake</t>
        </is>
      </c>
      <c r="PD110" s="9" t="inlineStr">
        <is>
          <t>Usage</t>
        </is>
      </c>
      <c r="PE110" s="9" t="inlineStr">
        <is>
          <t>Actual</t>
        </is>
      </c>
      <c r="PF110" s="9" t="inlineStr">
        <is>
          <t>Adjustment</t>
        </is>
      </c>
      <c r="PG110" s="9" t="inlineStr">
        <is>
          <t>Balance</t>
        </is>
      </c>
      <c r="PH110" s="9" t="inlineStr">
        <is>
          <t>Remarks</t>
        </is>
      </c>
      <c r="PK110" s="9" t="inlineStr">
        <is>
          <t>Date</t>
        </is>
      </c>
      <c r="PL110" s="9" t="inlineStr">
        <is>
          <t>Intake</t>
        </is>
      </c>
      <c r="PM110" s="9" t="inlineStr">
        <is>
          <t>Usage</t>
        </is>
      </c>
      <c r="PN110" s="9" t="inlineStr">
        <is>
          <t>Actual</t>
        </is>
      </c>
      <c r="PO110" s="9" t="inlineStr">
        <is>
          <t>Adjustment</t>
        </is>
      </c>
      <c r="PP110" s="9" t="inlineStr">
        <is>
          <t>Balance</t>
        </is>
      </c>
      <c r="PQ110" s="9" t="inlineStr">
        <is>
          <t>Remarks</t>
        </is>
      </c>
      <c r="PT110" s="9" t="inlineStr">
        <is>
          <t>Date</t>
        </is>
      </c>
      <c r="PU110" s="9" t="inlineStr">
        <is>
          <t>Intake</t>
        </is>
      </c>
      <c r="PV110" s="9" t="inlineStr">
        <is>
          <t>Usage</t>
        </is>
      </c>
      <c r="PW110" s="9" t="inlineStr">
        <is>
          <t>Actual</t>
        </is>
      </c>
      <c r="PX110" s="9" t="inlineStr">
        <is>
          <t>Adjustment</t>
        </is>
      </c>
      <c r="PY110" s="9" t="inlineStr">
        <is>
          <t>Balance</t>
        </is>
      </c>
      <c r="PZ110" s="9" t="inlineStr">
        <is>
          <t>Remarks</t>
        </is>
      </c>
      <c r="QC110" s="9" t="inlineStr">
        <is>
          <t>Date</t>
        </is>
      </c>
      <c r="QD110" s="9" t="inlineStr">
        <is>
          <t>Intake</t>
        </is>
      </c>
      <c r="QE110" s="9" t="inlineStr">
        <is>
          <t>Usage</t>
        </is>
      </c>
      <c r="QF110" s="9" t="inlineStr">
        <is>
          <t>Actual</t>
        </is>
      </c>
      <c r="QG110" s="9" t="inlineStr">
        <is>
          <t>Adjustment</t>
        </is>
      </c>
      <c r="QH110" s="9" t="inlineStr">
        <is>
          <t>Balance</t>
        </is>
      </c>
      <c r="QI110" s="9" t="inlineStr">
        <is>
          <t>Remarks</t>
        </is>
      </c>
      <c r="QL110" s="9" t="inlineStr">
        <is>
          <t>Date</t>
        </is>
      </c>
      <c r="QM110" s="9" t="inlineStr">
        <is>
          <t>Intake</t>
        </is>
      </c>
      <c r="QN110" s="9" t="inlineStr">
        <is>
          <t>Usage</t>
        </is>
      </c>
      <c r="QO110" s="9" t="inlineStr">
        <is>
          <t>Actual</t>
        </is>
      </c>
      <c r="QP110" s="9" t="inlineStr">
        <is>
          <t>Adjustment</t>
        </is>
      </c>
      <c r="QQ110" s="9" t="inlineStr">
        <is>
          <t>Balance</t>
        </is>
      </c>
      <c r="QR110" s="9" t="inlineStr">
        <is>
          <t>Remarks</t>
        </is>
      </c>
      <c r="QU110" s="9" t="inlineStr">
        <is>
          <t>Date</t>
        </is>
      </c>
      <c r="QV110" s="9" t="inlineStr">
        <is>
          <t>Intake</t>
        </is>
      </c>
      <c r="QW110" s="9" t="inlineStr">
        <is>
          <t>Usage</t>
        </is>
      </c>
      <c r="QX110" s="9" t="inlineStr">
        <is>
          <t>Actual</t>
        </is>
      </c>
      <c r="QY110" s="9" t="inlineStr">
        <is>
          <t>Adjustment</t>
        </is>
      </c>
      <c r="QZ110" s="9" t="inlineStr">
        <is>
          <t>Balance</t>
        </is>
      </c>
      <c r="RA110" s="9" t="inlineStr">
        <is>
          <t>Remarks</t>
        </is>
      </c>
      <c r="RD110" s="9" t="inlineStr">
        <is>
          <t>Date</t>
        </is>
      </c>
      <c r="RE110" s="9" t="inlineStr">
        <is>
          <t>Intake</t>
        </is>
      </c>
      <c r="RF110" s="9" t="inlineStr">
        <is>
          <t>Usage</t>
        </is>
      </c>
      <c r="RG110" s="9" t="inlineStr">
        <is>
          <t>Actual</t>
        </is>
      </c>
      <c r="RH110" s="9" t="inlineStr">
        <is>
          <t>Adjustment</t>
        </is>
      </c>
      <c r="RI110" s="9" t="inlineStr">
        <is>
          <t>Balance</t>
        </is>
      </c>
      <c r="RJ110" s="9" t="inlineStr">
        <is>
          <t>Remarks</t>
        </is>
      </c>
      <c r="RM110" s="9" t="inlineStr">
        <is>
          <t>Date</t>
        </is>
      </c>
      <c r="RN110" s="9" t="inlineStr">
        <is>
          <t>Intake</t>
        </is>
      </c>
      <c r="RO110" s="9" t="inlineStr">
        <is>
          <t>Usage</t>
        </is>
      </c>
      <c r="RP110" s="9" t="inlineStr">
        <is>
          <t>Actual</t>
        </is>
      </c>
      <c r="RQ110" s="9" t="inlineStr">
        <is>
          <t>Adjustment</t>
        </is>
      </c>
      <c r="RR110" s="9" t="inlineStr">
        <is>
          <t>Balance</t>
        </is>
      </c>
      <c r="RS110" s="9" t="inlineStr">
        <is>
          <t>Remarks</t>
        </is>
      </c>
      <c r="RV110" s="9" t="inlineStr">
        <is>
          <t>Date</t>
        </is>
      </c>
      <c r="RW110" s="9" t="inlineStr">
        <is>
          <t>Intake</t>
        </is>
      </c>
      <c r="RX110" s="9" t="inlineStr">
        <is>
          <t>Usage</t>
        </is>
      </c>
      <c r="RY110" s="9" t="inlineStr">
        <is>
          <t>Actual</t>
        </is>
      </c>
      <c r="RZ110" s="9" t="inlineStr">
        <is>
          <t>Adjustment</t>
        </is>
      </c>
      <c r="SA110" s="9" t="inlineStr">
        <is>
          <t>Balance</t>
        </is>
      </c>
      <c r="SB110" s="9" t="inlineStr">
        <is>
          <t>Remarks</t>
        </is>
      </c>
      <c r="SE110" s="9" t="inlineStr">
        <is>
          <t>Date</t>
        </is>
      </c>
      <c r="SF110" s="9" t="inlineStr">
        <is>
          <t>Intake</t>
        </is>
      </c>
      <c r="SG110" s="9" t="inlineStr">
        <is>
          <t>Usage</t>
        </is>
      </c>
      <c r="SH110" s="9" t="inlineStr">
        <is>
          <t>Actual</t>
        </is>
      </c>
      <c r="SI110" s="9" t="inlineStr">
        <is>
          <t>Adjustment</t>
        </is>
      </c>
      <c r="SJ110" s="9" t="inlineStr">
        <is>
          <t>Balance</t>
        </is>
      </c>
      <c r="SK110" s="9" t="inlineStr">
        <is>
          <t>Remarks</t>
        </is>
      </c>
      <c r="SN110" s="9" t="inlineStr">
        <is>
          <t>Date</t>
        </is>
      </c>
      <c r="SO110" s="9" t="inlineStr">
        <is>
          <t>Intake</t>
        </is>
      </c>
      <c r="SP110" s="9" t="inlineStr">
        <is>
          <t>Usage</t>
        </is>
      </c>
      <c r="SQ110" s="9" t="inlineStr">
        <is>
          <t>Actual</t>
        </is>
      </c>
      <c r="SR110" s="9" t="inlineStr">
        <is>
          <t>Adjustment</t>
        </is>
      </c>
      <c r="SS110" s="9" t="inlineStr">
        <is>
          <t>Balance</t>
        </is>
      </c>
      <c r="ST110" s="9" t="inlineStr">
        <is>
          <t>Remarks</t>
        </is>
      </c>
      <c r="SW110" s="9" t="inlineStr">
        <is>
          <t>Date</t>
        </is>
      </c>
      <c r="SX110" s="9" t="inlineStr">
        <is>
          <t>Intake</t>
        </is>
      </c>
      <c r="SY110" s="9" t="inlineStr">
        <is>
          <t>Usage</t>
        </is>
      </c>
      <c r="SZ110" s="9" t="inlineStr">
        <is>
          <t>Actual</t>
        </is>
      </c>
      <c r="TA110" s="9" t="inlineStr">
        <is>
          <t>Adjustment</t>
        </is>
      </c>
      <c r="TB110" s="9" t="inlineStr">
        <is>
          <t>Balance</t>
        </is>
      </c>
      <c r="TC110" s="9" t="inlineStr">
        <is>
          <t>Remarks</t>
        </is>
      </c>
      <c r="TF110" s="9" t="inlineStr">
        <is>
          <t>Date</t>
        </is>
      </c>
      <c r="TG110" s="9" t="inlineStr">
        <is>
          <t>Intake</t>
        </is>
      </c>
      <c r="TH110" s="9" t="inlineStr">
        <is>
          <t>Usage</t>
        </is>
      </c>
      <c r="TI110" s="9" t="inlineStr">
        <is>
          <t>Actual</t>
        </is>
      </c>
      <c r="TJ110" s="9" t="inlineStr">
        <is>
          <t>Adjustment</t>
        </is>
      </c>
      <c r="TK110" s="9" t="inlineStr">
        <is>
          <t>Balance</t>
        </is>
      </c>
      <c r="TL110" s="9" t="inlineStr">
        <is>
          <t>Remarks</t>
        </is>
      </c>
      <c r="TO110" s="9" t="inlineStr">
        <is>
          <t>Date</t>
        </is>
      </c>
      <c r="TP110" s="9" t="inlineStr">
        <is>
          <t>Intake</t>
        </is>
      </c>
      <c r="TQ110" s="9" t="inlineStr">
        <is>
          <t>Usage</t>
        </is>
      </c>
      <c r="TR110" s="9" t="inlineStr">
        <is>
          <t>Actual</t>
        </is>
      </c>
      <c r="TS110" s="9" t="inlineStr">
        <is>
          <t>Adjustment</t>
        </is>
      </c>
      <c r="TT110" s="9" t="inlineStr">
        <is>
          <t>Balance</t>
        </is>
      </c>
      <c r="TU110" s="9" t="inlineStr">
        <is>
          <t>Remarks</t>
        </is>
      </c>
      <c r="TX110" s="9" t="inlineStr">
        <is>
          <t>Date</t>
        </is>
      </c>
      <c r="TY110" s="9" t="inlineStr">
        <is>
          <t>Intake</t>
        </is>
      </c>
      <c r="TZ110" s="9" t="inlineStr">
        <is>
          <t>Usage</t>
        </is>
      </c>
      <c r="UA110" s="9" t="inlineStr">
        <is>
          <t>Actual</t>
        </is>
      </c>
      <c r="UB110" s="9" t="inlineStr">
        <is>
          <t>Adjustment</t>
        </is>
      </c>
      <c r="UC110" s="9" t="inlineStr">
        <is>
          <t>Balance</t>
        </is>
      </c>
      <c r="UD110" s="9" t="inlineStr">
        <is>
          <t>Remarks</t>
        </is>
      </c>
      <c r="UG110" s="9" t="inlineStr">
        <is>
          <t>Date</t>
        </is>
      </c>
      <c r="UH110" s="9" t="inlineStr">
        <is>
          <t>Intake</t>
        </is>
      </c>
      <c r="UI110" s="9" t="inlineStr">
        <is>
          <t>Usage</t>
        </is>
      </c>
      <c r="UJ110" s="9" t="inlineStr">
        <is>
          <t>Actual</t>
        </is>
      </c>
      <c r="UK110" s="9" t="inlineStr">
        <is>
          <t>Adjustment</t>
        </is>
      </c>
      <c r="UL110" s="9" t="inlineStr">
        <is>
          <t>Balance</t>
        </is>
      </c>
      <c r="UM110" s="9" t="inlineStr">
        <is>
          <t>Remarks</t>
        </is>
      </c>
      <c r="UP110" s="9" t="inlineStr">
        <is>
          <t>Date</t>
        </is>
      </c>
      <c r="UQ110" s="9" t="inlineStr">
        <is>
          <t>Intake</t>
        </is>
      </c>
      <c r="UR110" s="9" t="inlineStr">
        <is>
          <t>Usage</t>
        </is>
      </c>
      <c r="US110" s="9" t="inlineStr">
        <is>
          <t>Actual</t>
        </is>
      </c>
      <c r="UT110" s="9" t="inlineStr">
        <is>
          <t>Adjustment</t>
        </is>
      </c>
      <c r="UU110" s="9" t="inlineStr">
        <is>
          <t>Balance</t>
        </is>
      </c>
      <c r="UV110" s="9" t="inlineStr">
        <is>
          <t>Remarks</t>
        </is>
      </c>
      <c r="UY110" s="9" t="inlineStr">
        <is>
          <t>Date</t>
        </is>
      </c>
      <c r="UZ110" s="9" t="inlineStr">
        <is>
          <t>Intake</t>
        </is>
      </c>
      <c r="VA110" s="9" t="inlineStr">
        <is>
          <t>Usage</t>
        </is>
      </c>
      <c r="VB110" s="9" t="inlineStr">
        <is>
          <t>Actual</t>
        </is>
      </c>
      <c r="VC110" s="9" t="inlineStr">
        <is>
          <t>Adjustment</t>
        </is>
      </c>
      <c r="VD110" s="9" t="inlineStr">
        <is>
          <t>Balance</t>
        </is>
      </c>
      <c r="VE110" s="9" t="inlineStr">
        <is>
          <t>Remarks</t>
        </is>
      </c>
      <c r="VH110" s="9" t="inlineStr">
        <is>
          <t>Date</t>
        </is>
      </c>
      <c r="VI110" s="9" t="inlineStr">
        <is>
          <t>Intake</t>
        </is>
      </c>
      <c r="VJ110" s="9" t="inlineStr">
        <is>
          <t>Usage</t>
        </is>
      </c>
      <c r="VK110" s="9" t="inlineStr">
        <is>
          <t>Actual</t>
        </is>
      </c>
      <c r="VL110" s="9" t="inlineStr">
        <is>
          <t>Adjustment</t>
        </is>
      </c>
      <c r="VM110" s="9" t="inlineStr">
        <is>
          <t>Balance</t>
        </is>
      </c>
      <c r="VN110" s="9" t="inlineStr">
        <is>
          <t>Remarks</t>
        </is>
      </c>
      <c r="VQ110" s="9" t="inlineStr">
        <is>
          <t>Date</t>
        </is>
      </c>
      <c r="VR110" s="9" t="inlineStr">
        <is>
          <t>Intake</t>
        </is>
      </c>
      <c r="VS110" s="9" t="inlineStr">
        <is>
          <t>Usage</t>
        </is>
      </c>
      <c r="VT110" s="9" t="inlineStr">
        <is>
          <t>Actual</t>
        </is>
      </c>
      <c r="VU110" s="9" t="inlineStr">
        <is>
          <t>Adjustment</t>
        </is>
      </c>
      <c r="VV110" s="9" t="inlineStr">
        <is>
          <t>Balance</t>
        </is>
      </c>
      <c r="VW110" s="9" t="inlineStr">
        <is>
          <t>Remarks</t>
        </is>
      </c>
      <c r="VZ110" s="9" t="inlineStr">
        <is>
          <t>Date</t>
        </is>
      </c>
      <c r="WA110" s="9" t="inlineStr">
        <is>
          <t>Intake</t>
        </is>
      </c>
      <c r="WB110" s="9" t="inlineStr">
        <is>
          <t>Usage</t>
        </is>
      </c>
      <c r="WC110" s="9" t="inlineStr">
        <is>
          <t>Actual</t>
        </is>
      </c>
      <c r="WD110" s="9" t="inlineStr">
        <is>
          <t>Adjustment</t>
        </is>
      </c>
      <c r="WE110" s="9" t="inlineStr">
        <is>
          <t>Balance</t>
        </is>
      </c>
      <c r="WF110" s="9" t="inlineStr">
        <is>
          <t>Remarks</t>
        </is>
      </c>
      <c r="WI110" s="9" t="inlineStr">
        <is>
          <t>Date</t>
        </is>
      </c>
      <c r="WJ110" s="9" t="inlineStr">
        <is>
          <t>Intake</t>
        </is>
      </c>
      <c r="WK110" s="9" t="inlineStr">
        <is>
          <t>Usage</t>
        </is>
      </c>
      <c r="WL110" s="9" t="inlineStr">
        <is>
          <t>Actual</t>
        </is>
      </c>
      <c r="WM110" s="9" t="inlineStr">
        <is>
          <t>Adjustment</t>
        </is>
      </c>
      <c r="WN110" s="9" t="inlineStr">
        <is>
          <t>Balance</t>
        </is>
      </c>
      <c r="WO110" s="9" t="inlineStr">
        <is>
          <t>Remarks</t>
        </is>
      </c>
      <c r="WR110" s="9" t="inlineStr">
        <is>
          <t>Date</t>
        </is>
      </c>
      <c r="WS110" s="9" t="inlineStr">
        <is>
          <t>Intake</t>
        </is>
      </c>
      <c r="WT110" s="9" t="inlineStr">
        <is>
          <t>Usage</t>
        </is>
      </c>
      <c r="WU110" s="9" t="inlineStr">
        <is>
          <t>Actual</t>
        </is>
      </c>
      <c r="WV110" s="9" t="inlineStr">
        <is>
          <t>Adjustment</t>
        </is>
      </c>
      <c r="WW110" s="9" t="inlineStr">
        <is>
          <t>Balance</t>
        </is>
      </c>
      <c r="WX110" s="9" t="inlineStr">
        <is>
          <t>Remarks</t>
        </is>
      </c>
      <c r="XA110" s="9" t="inlineStr">
        <is>
          <t>Date</t>
        </is>
      </c>
      <c r="XB110" s="9" t="inlineStr">
        <is>
          <t>Intake</t>
        </is>
      </c>
      <c r="XC110" s="9" t="inlineStr">
        <is>
          <t>Usage</t>
        </is>
      </c>
      <c r="XD110" s="9" t="inlineStr">
        <is>
          <t>Actual</t>
        </is>
      </c>
      <c r="XE110" s="9" t="inlineStr">
        <is>
          <t>Adjustment</t>
        </is>
      </c>
      <c r="XF110" s="9" t="inlineStr">
        <is>
          <t>Balance</t>
        </is>
      </c>
      <c r="XG110" s="9" t="inlineStr">
        <is>
          <t>Remarks</t>
        </is>
      </c>
      <c r="XJ110" s="9" t="inlineStr">
        <is>
          <t>Date</t>
        </is>
      </c>
      <c r="XK110" s="9" t="inlineStr">
        <is>
          <t>Intake</t>
        </is>
      </c>
      <c r="XL110" s="9" t="inlineStr">
        <is>
          <t>Usage</t>
        </is>
      </c>
      <c r="XM110" s="9" t="inlineStr">
        <is>
          <t>Actual</t>
        </is>
      </c>
      <c r="XN110" s="9" t="inlineStr">
        <is>
          <t>Adjustment</t>
        </is>
      </c>
      <c r="XO110" s="9" t="inlineStr">
        <is>
          <t>Balance</t>
        </is>
      </c>
      <c r="XP110" s="9" t="inlineStr">
        <is>
          <t>Remarks</t>
        </is>
      </c>
      <c r="XS110" s="9" t="inlineStr">
        <is>
          <t>Date</t>
        </is>
      </c>
      <c r="XT110" s="9" t="inlineStr">
        <is>
          <t>Intake</t>
        </is>
      </c>
      <c r="XU110" s="9" t="inlineStr">
        <is>
          <t>Usage</t>
        </is>
      </c>
      <c r="XV110" s="9" t="inlineStr">
        <is>
          <t>Actual</t>
        </is>
      </c>
      <c r="XW110" s="9" t="inlineStr">
        <is>
          <t>Adjustment</t>
        </is>
      </c>
      <c r="XX110" s="9" t="inlineStr">
        <is>
          <t>Balance</t>
        </is>
      </c>
      <c r="XY110" s="9" t="inlineStr">
        <is>
          <t>Remarks</t>
        </is>
      </c>
      <c r="YB110" s="9" t="inlineStr">
        <is>
          <t>Date</t>
        </is>
      </c>
      <c r="YC110" s="9" t="inlineStr">
        <is>
          <t>Intake</t>
        </is>
      </c>
      <c r="YD110" s="9" t="inlineStr">
        <is>
          <t>Usage</t>
        </is>
      </c>
      <c r="YE110" s="9" t="inlineStr">
        <is>
          <t>Actual</t>
        </is>
      </c>
      <c r="YF110" s="9" t="inlineStr">
        <is>
          <t>Adjustment</t>
        </is>
      </c>
      <c r="YG110" s="9" t="inlineStr">
        <is>
          <t>Balance</t>
        </is>
      </c>
      <c r="YH110" s="9" t="inlineStr">
        <is>
          <t>Remarks</t>
        </is>
      </c>
      <c r="YK110" s="9" t="inlineStr">
        <is>
          <t>Date</t>
        </is>
      </c>
      <c r="YL110" s="9" t="inlineStr">
        <is>
          <t>Intake</t>
        </is>
      </c>
      <c r="YM110" s="9" t="inlineStr">
        <is>
          <t>Usage</t>
        </is>
      </c>
      <c r="YN110" s="9" t="inlineStr">
        <is>
          <t>Actual</t>
        </is>
      </c>
      <c r="YO110" s="9" t="inlineStr">
        <is>
          <t>Adjustment</t>
        </is>
      </c>
      <c r="YP110" s="9" t="inlineStr">
        <is>
          <t>Balance</t>
        </is>
      </c>
      <c r="YQ110" s="9" t="inlineStr">
        <is>
          <t>Remarks</t>
        </is>
      </c>
      <c r="YT110" s="9" t="inlineStr">
        <is>
          <t>Date</t>
        </is>
      </c>
      <c r="YU110" s="9" t="inlineStr">
        <is>
          <t>Intake</t>
        </is>
      </c>
      <c r="YV110" s="9" t="inlineStr">
        <is>
          <t>Usage</t>
        </is>
      </c>
      <c r="YW110" s="9" t="inlineStr">
        <is>
          <t>Actual</t>
        </is>
      </c>
      <c r="YX110" s="9" t="inlineStr">
        <is>
          <t>Adjustment</t>
        </is>
      </c>
      <c r="YY110" s="9" t="inlineStr">
        <is>
          <t>Balance</t>
        </is>
      </c>
      <c r="YZ110" s="9" t="inlineStr">
        <is>
          <t>Remarks</t>
        </is>
      </c>
      <c r="ZC110" s="9" t="inlineStr">
        <is>
          <t>Date</t>
        </is>
      </c>
      <c r="ZD110" s="9" t="inlineStr">
        <is>
          <t>Intake</t>
        </is>
      </c>
      <c r="ZE110" s="9" t="inlineStr">
        <is>
          <t>Usage</t>
        </is>
      </c>
      <c r="ZF110" s="9" t="inlineStr">
        <is>
          <t>Actual</t>
        </is>
      </c>
      <c r="ZG110" s="9" t="inlineStr">
        <is>
          <t>Adjustment</t>
        </is>
      </c>
      <c r="ZH110" s="9" t="inlineStr">
        <is>
          <t>Balance</t>
        </is>
      </c>
      <c r="ZI110" s="9" t="inlineStr">
        <is>
          <t>Remarks</t>
        </is>
      </c>
      <c r="ZL110" s="9" t="inlineStr">
        <is>
          <t>Date</t>
        </is>
      </c>
      <c r="ZM110" s="9" t="inlineStr">
        <is>
          <t>Intake</t>
        </is>
      </c>
      <c r="ZN110" s="9" t="inlineStr">
        <is>
          <t>Usage</t>
        </is>
      </c>
      <c r="ZO110" s="9" t="inlineStr">
        <is>
          <t>Actual</t>
        </is>
      </c>
      <c r="ZP110" s="9" t="inlineStr">
        <is>
          <t>Adjustment</t>
        </is>
      </c>
      <c r="ZQ110" s="9" t="inlineStr">
        <is>
          <t>Balance</t>
        </is>
      </c>
      <c r="ZR110" s="9" t="inlineStr">
        <is>
          <t>Remarks</t>
        </is>
      </c>
      <c r="ZU110" s="9" t="inlineStr">
        <is>
          <t>Date</t>
        </is>
      </c>
      <c r="ZV110" s="9" t="inlineStr">
        <is>
          <t>Intake</t>
        </is>
      </c>
      <c r="ZW110" s="9" t="inlineStr">
        <is>
          <t>Usage</t>
        </is>
      </c>
      <c r="ZX110" s="9" t="inlineStr">
        <is>
          <t>Actual</t>
        </is>
      </c>
      <c r="ZY110" s="9" t="inlineStr">
        <is>
          <t>Adjustment</t>
        </is>
      </c>
      <c r="ZZ110" s="9" t="inlineStr">
        <is>
          <t>Balance</t>
        </is>
      </c>
      <c r="AAA110" s="9" t="inlineStr">
        <is>
          <t>Remarks</t>
        </is>
      </c>
      <c r="AAD110" s="9" t="inlineStr">
        <is>
          <t>Date</t>
        </is>
      </c>
      <c r="AAE110" s="9" t="inlineStr">
        <is>
          <t>Intake</t>
        </is>
      </c>
      <c r="AAF110" s="9" t="inlineStr">
        <is>
          <t>Usage</t>
        </is>
      </c>
      <c r="AAG110" s="9" t="inlineStr">
        <is>
          <t>Actual</t>
        </is>
      </c>
      <c r="AAH110" s="9" t="inlineStr">
        <is>
          <t>Adjustment</t>
        </is>
      </c>
      <c r="AAI110" s="9" t="inlineStr">
        <is>
          <t>Balance</t>
        </is>
      </c>
      <c r="AAJ110" s="9" t="inlineStr">
        <is>
          <t>Remarks</t>
        </is>
      </c>
      <c r="AAM110" s="9" t="inlineStr">
        <is>
          <t>Date</t>
        </is>
      </c>
      <c r="AAN110" s="9" t="inlineStr">
        <is>
          <t>Intake</t>
        </is>
      </c>
      <c r="AAO110" s="9" t="inlineStr">
        <is>
          <t>Usage</t>
        </is>
      </c>
      <c r="AAP110" s="9" t="inlineStr">
        <is>
          <t>Actual</t>
        </is>
      </c>
      <c r="AAQ110" s="9" t="inlineStr">
        <is>
          <t>Adjustment</t>
        </is>
      </c>
      <c r="AAR110" s="9" t="inlineStr">
        <is>
          <t>Balance</t>
        </is>
      </c>
      <c r="AAS110" s="9" t="inlineStr">
        <is>
          <t>Remarks</t>
        </is>
      </c>
      <c r="AAV110" s="9" t="inlineStr">
        <is>
          <t>Date</t>
        </is>
      </c>
      <c r="AAW110" s="9" t="inlineStr">
        <is>
          <t>Intake</t>
        </is>
      </c>
      <c r="AAX110" s="9" t="inlineStr">
        <is>
          <t>Usage</t>
        </is>
      </c>
      <c r="AAY110" s="9" t="inlineStr">
        <is>
          <t>Actual</t>
        </is>
      </c>
      <c r="AAZ110" s="9" t="inlineStr">
        <is>
          <t>Adjustment</t>
        </is>
      </c>
      <c r="ABA110" s="9" t="inlineStr">
        <is>
          <t>Balance</t>
        </is>
      </c>
      <c r="ABB110" s="9" t="inlineStr">
        <is>
          <t>Remarks</t>
        </is>
      </c>
      <c r="ABE110" s="9" t="inlineStr">
        <is>
          <t>Date</t>
        </is>
      </c>
      <c r="ABF110" s="9" t="inlineStr">
        <is>
          <t>Intake</t>
        </is>
      </c>
      <c r="ABG110" s="9" t="inlineStr">
        <is>
          <t>Usage</t>
        </is>
      </c>
      <c r="ABH110" s="9" t="inlineStr">
        <is>
          <t>Actual</t>
        </is>
      </c>
      <c r="ABI110" s="9" t="inlineStr">
        <is>
          <t>Adjustment</t>
        </is>
      </c>
      <c r="ABJ110" s="9" t="inlineStr">
        <is>
          <t>Balance</t>
        </is>
      </c>
      <c r="ABK110" s="9" t="inlineStr">
        <is>
          <t>Remarks</t>
        </is>
      </c>
    </row>
    <row r="111">
      <c r="C111" s="9" t="inlineStr">
        <is>
          <t>BALANCE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-</t>
        </is>
      </c>
      <c r="G111" s="9" t="inlineStr">
        <is>
          <t>-</t>
        </is>
      </c>
      <c r="H111" s="9" t="n">
        <v>27839.99999999996</v>
      </c>
      <c r="L111" s="9" t="inlineStr">
        <is>
          <t>BALANCE</t>
        </is>
      </c>
      <c r="M111" s="9" t="inlineStr">
        <is>
          <t>-</t>
        </is>
      </c>
      <c r="N111" s="9" t="inlineStr">
        <is>
          <t>-</t>
        </is>
      </c>
      <c r="O111" s="9" t="inlineStr">
        <is>
          <t>-</t>
        </is>
      </c>
      <c r="P111" s="9" t="inlineStr">
        <is>
          <t>-</t>
        </is>
      </c>
      <c r="Q111" s="9" t="n">
        <v>-669.9999999999163</v>
      </c>
      <c r="U111" s="9" t="inlineStr">
        <is>
          <t>BALANCE</t>
        </is>
      </c>
      <c r="V111" s="9" t="inlineStr">
        <is>
          <t>-</t>
        </is>
      </c>
      <c r="W111" s="9" t="inlineStr">
        <is>
          <t>-</t>
        </is>
      </c>
      <c r="X111" s="9" t="inlineStr">
        <is>
          <t>-</t>
        </is>
      </c>
      <c r="Y111" s="9" t="inlineStr">
        <is>
          <t>-</t>
        </is>
      </c>
      <c r="Z111" s="9" t="n">
        <v>20018.39999999997</v>
      </c>
      <c r="AD111" s="9" t="inlineStr">
        <is>
          <t>BALANCE</t>
        </is>
      </c>
      <c r="AE111" s="9" t="inlineStr">
        <is>
          <t>-</t>
        </is>
      </c>
      <c r="AF111" s="9" t="inlineStr">
        <is>
          <t>-</t>
        </is>
      </c>
      <c r="AG111" s="9" t="inlineStr">
        <is>
          <t>-</t>
        </is>
      </c>
      <c r="AH111" s="9" t="inlineStr">
        <is>
          <t>-</t>
        </is>
      </c>
      <c r="AI111" s="9" t="n">
        <v>26292.70000000002</v>
      </c>
      <c r="AM111" s="9" t="inlineStr">
        <is>
          <t>BALANCE</t>
        </is>
      </c>
      <c r="AN111" s="9" t="inlineStr">
        <is>
          <t>-</t>
        </is>
      </c>
      <c r="AO111" s="9" t="inlineStr">
        <is>
          <t>-</t>
        </is>
      </c>
      <c r="AP111" s="9" t="inlineStr">
        <is>
          <t>-</t>
        </is>
      </c>
      <c r="AQ111" s="9" t="inlineStr">
        <is>
          <t>-</t>
        </is>
      </c>
      <c r="AR111" s="9" t="n">
        <v>0</v>
      </c>
      <c r="AV111" s="9" t="inlineStr">
        <is>
          <t>BALANCE</t>
        </is>
      </c>
      <c r="AW111" s="9" t="inlineStr">
        <is>
          <t>-</t>
        </is>
      </c>
      <c r="AX111" s="9" t="inlineStr">
        <is>
          <t>-</t>
        </is>
      </c>
      <c r="AY111" s="9" t="inlineStr">
        <is>
          <t>-</t>
        </is>
      </c>
      <c r="AZ111" s="9" t="inlineStr">
        <is>
          <t>-</t>
        </is>
      </c>
      <c r="BA111" s="9" t="n">
        <v>17386.69999999999</v>
      </c>
      <c r="BE111" s="9" t="inlineStr">
        <is>
          <t>BALANCE</t>
        </is>
      </c>
      <c r="BF111" s="9" t="inlineStr">
        <is>
          <t>-</t>
        </is>
      </c>
      <c r="BG111" s="9" t="inlineStr">
        <is>
          <t>-</t>
        </is>
      </c>
      <c r="BH111" s="9" t="inlineStr">
        <is>
          <t>-</t>
        </is>
      </c>
      <c r="BI111" s="9" t="inlineStr">
        <is>
          <t>-</t>
        </is>
      </c>
      <c r="BJ111" s="9" t="n">
        <v>1.818989403545856e-12</v>
      </c>
      <c r="BN111" s="9" t="inlineStr">
        <is>
          <t>BALANCE</t>
        </is>
      </c>
      <c r="BO111" s="9" t="inlineStr">
        <is>
          <t>-</t>
        </is>
      </c>
      <c r="BP111" s="9" t="inlineStr">
        <is>
          <t>-</t>
        </is>
      </c>
      <c r="BQ111" s="9" t="inlineStr">
        <is>
          <t>-</t>
        </is>
      </c>
      <c r="BR111" s="9" t="inlineStr">
        <is>
          <t>-</t>
        </is>
      </c>
      <c r="BS111" s="9" t="n">
        <v>0</v>
      </c>
      <c r="BW111" s="9" t="inlineStr">
        <is>
          <t>BALANCE</t>
        </is>
      </c>
      <c r="BX111" s="9" t="inlineStr">
        <is>
          <t>-</t>
        </is>
      </c>
      <c r="BY111" s="9" t="inlineStr">
        <is>
          <t>-</t>
        </is>
      </c>
      <c r="BZ111" s="9" t="inlineStr">
        <is>
          <t>-</t>
        </is>
      </c>
      <c r="CA111" s="9" t="inlineStr">
        <is>
          <t>-</t>
        </is>
      </c>
      <c r="CB111" s="9" t="n">
        <v>11812.9</v>
      </c>
      <c r="CF111" s="9" t="inlineStr">
        <is>
          <t>BALANCE</t>
        </is>
      </c>
      <c r="CG111" s="9" t="inlineStr">
        <is>
          <t>-</t>
        </is>
      </c>
      <c r="CH111" s="9" t="inlineStr">
        <is>
          <t>-</t>
        </is>
      </c>
      <c r="CI111" s="9" t="inlineStr">
        <is>
          <t>-</t>
        </is>
      </c>
      <c r="CJ111" s="9" t="inlineStr">
        <is>
          <t>-</t>
        </is>
      </c>
      <c r="CK111" s="9" t="n">
        <v>0</v>
      </c>
      <c r="CO111" s="9" t="inlineStr">
        <is>
          <t>BALANCE</t>
        </is>
      </c>
      <c r="CP111" s="9" t="inlineStr">
        <is>
          <t>-</t>
        </is>
      </c>
      <c r="CQ111" s="9" t="inlineStr">
        <is>
          <t>-</t>
        </is>
      </c>
      <c r="CR111" s="9" t="inlineStr">
        <is>
          <t>-</t>
        </is>
      </c>
      <c r="CS111" s="9" t="inlineStr">
        <is>
          <t>-</t>
        </is>
      </c>
      <c r="CT111" s="9" t="n">
        <v>0</v>
      </c>
      <c r="CX111" s="9" t="inlineStr">
        <is>
          <t>BALANCE</t>
        </is>
      </c>
      <c r="CY111" s="9" t="inlineStr">
        <is>
          <t>-</t>
        </is>
      </c>
      <c r="CZ111" s="9" t="inlineStr">
        <is>
          <t>-</t>
        </is>
      </c>
      <c r="DA111" s="9" t="inlineStr">
        <is>
          <t>-</t>
        </is>
      </c>
      <c r="DB111" s="9" t="inlineStr">
        <is>
          <t>-</t>
        </is>
      </c>
      <c r="DC111" s="9" t="n">
        <v>31869.7</v>
      </c>
      <c r="DG111" s="9" t="inlineStr">
        <is>
          <t>BALANCE</t>
        </is>
      </c>
      <c r="DH111" s="9" t="inlineStr">
        <is>
          <t>-</t>
        </is>
      </c>
      <c r="DI111" s="9" t="inlineStr">
        <is>
          <t>-</t>
        </is>
      </c>
      <c r="DJ111" s="9" t="inlineStr">
        <is>
          <t>-</t>
        </is>
      </c>
      <c r="DK111" s="9" t="inlineStr">
        <is>
          <t>-</t>
        </is>
      </c>
      <c r="DL111" s="9" t="n">
        <v>6658.999999999995</v>
      </c>
      <c r="DP111" s="9" t="inlineStr">
        <is>
          <t>BALANCE</t>
        </is>
      </c>
      <c r="DQ111" s="9" t="inlineStr">
        <is>
          <t>-</t>
        </is>
      </c>
      <c r="DR111" s="9" t="inlineStr">
        <is>
          <t>-</t>
        </is>
      </c>
      <c r="DS111" s="9" t="inlineStr">
        <is>
          <t>-</t>
        </is>
      </c>
      <c r="DT111" s="9" t="inlineStr">
        <is>
          <t>-</t>
        </is>
      </c>
      <c r="DU111" s="9" t="n">
        <v>7150</v>
      </c>
      <c r="DY111" s="9" t="inlineStr">
        <is>
          <t>BALANCE</t>
        </is>
      </c>
      <c r="DZ111" s="9" t="inlineStr">
        <is>
          <t>-</t>
        </is>
      </c>
      <c r="EA111" s="9" t="inlineStr">
        <is>
          <t>-</t>
        </is>
      </c>
      <c r="EB111" s="9" t="inlineStr">
        <is>
          <t>-</t>
        </is>
      </c>
      <c r="EC111" s="9" t="inlineStr">
        <is>
          <t>-</t>
        </is>
      </c>
      <c r="ED111" s="9" t="n">
        <v>1847.3</v>
      </c>
      <c r="EH111" s="9" t="inlineStr">
        <is>
          <t>BALANCE</t>
        </is>
      </c>
      <c r="EI111" s="9" t="inlineStr">
        <is>
          <t>-</t>
        </is>
      </c>
      <c r="EJ111" s="9" t="inlineStr">
        <is>
          <t>-</t>
        </is>
      </c>
      <c r="EK111" s="9" t="inlineStr">
        <is>
          <t>-</t>
        </is>
      </c>
      <c r="EL111" s="9" t="inlineStr">
        <is>
          <t>-</t>
        </is>
      </c>
      <c r="EM111" s="9" t="n">
        <v>0</v>
      </c>
      <c r="EQ111" s="9" t="inlineStr">
        <is>
          <t>BALANCE</t>
        </is>
      </c>
      <c r="ER111" s="9" t="inlineStr">
        <is>
          <t>-</t>
        </is>
      </c>
      <c r="ES111" s="9" t="inlineStr">
        <is>
          <t>-</t>
        </is>
      </c>
      <c r="ET111" s="9" t="inlineStr">
        <is>
          <t>-</t>
        </is>
      </c>
      <c r="EU111" s="9" t="inlineStr">
        <is>
          <t>-</t>
        </is>
      </c>
      <c r="EV111" s="9" t="n">
        <v>0</v>
      </c>
      <c r="EZ111" s="9" t="inlineStr">
        <is>
          <t>BALANCE</t>
        </is>
      </c>
      <c r="FA111" s="9" t="inlineStr">
        <is>
          <t>-</t>
        </is>
      </c>
      <c r="FB111" s="9" t="inlineStr">
        <is>
          <t>-</t>
        </is>
      </c>
      <c r="FC111" s="9" t="inlineStr">
        <is>
          <t>-</t>
        </is>
      </c>
      <c r="FD111" s="9" t="inlineStr">
        <is>
          <t>-</t>
        </is>
      </c>
      <c r="FE111" s="9" t="n">
        <v>0</v>
      </c>
      <c r="FI111" s="9" t="inlineStr">
        <is>
          <t>BALANCE</t>
        </is>
      </c>
      <c r="FJ111" s="9" t="inlineStr">
        <is>
          <t>-</t>
        </is>
      </c>
      <c r="FK111" s="9" t="inlineStr">
        <is>
          <t>-</t>
        </is>
      </c>
      <c r="FL111" s="9" t="inlineStr">
        <is>
          <t>-</t>
        </is>
      </c>
      <c r="FM111" s="9" t="inlineStr">
        <is>
          <t>-</t>
        </is>
      </c>
      <c r="FN111" s="9" t="n">
        <v>0</v>
      </c>
      <c r="FR111" s="9" t="inlineStr">
        <is>
          <t>BALANCE</t>
        </is>
      </c>
      <c r="FS111" s="9" t="inlineStr">
        <is>
          <t>-</t>
        </is>
      </c>
      <c r="FT111" s="9" t="inlineStr">
        <is>
          <t>-</t>
        </is>
      </c>
      <c r="FU111" s="9" t="inlineStr">
        <is>
          <t>-</t>
        </is>
      </c>
      <c r="FV111" s="9" t="inlineStr">
        <is>
          <t>-</t>
        </is>
      </c>
      <c r="FW111" s="9" t="n">
        <v>1980</v>
      </c>
      <c r="FX111" s="9" t="n">
        <v>99</v>
      </c>
      <c r="FY111" s="9" t="inlineStr">
        <is>
          <t>bags</t>
        </is>
      </c>
      <c r="GA111" s="9" t="inlineStr">
        <is>
          <t>BALANCE</t>
        </is>
      </c>
      <c r="GB111" s="9" t="inlineStr">
        <is>
          <t>-</t>
        </is>
      </c>
      <c r="GC111" s="9" t="inlineStr">
        <is>
          <t>-</t>
        </is>
      </c>
      <c r="GD111" s="9" t="inlineStr">
        <is>
          <t>-</t>
        </is>
      </c>
      <c r="GE111" s="9" t="inlineStr">
        <is>
          <t>-</t>
        </is>
      </c>
      <c r="GF111" s="9" t="n">
        <v>2000</v>
      </c>
      <c r="GG111" s="9" t="n">
        <v>100</v>
      </c>
      <c r="GH111" s="9" t="inlineStr">
        <is>
          <t>bags</t>
        </is>
      </c>
      <c r="GJ111" s="9" t="inlineStr">
        <is>
          <t>BALANCE</t>
        </is>
      </c>
      <c r="GK111" s="9" t="inlineStr">
        <is>
          <t>-</t>
        </is>
      </c>
      <c r="GL111" s="9" t="inlineStr">
        <is>
          <t>-</t>
        </is>
      </c>
      <c r="GM111" s="9" t="inlineStr">
        <is>
          <t>-</t>
        </is>
      </c>
      <c r="GN111" s="9" t="inlineStr">
        <is>
          <t>-</t>
        </is>
      </c>
      <c r="GO111" s="9" t="n">
        <v>4800</v>
      </c>
      <c r="GP111" s="9" t="n">
        <v>240</v>
      </c>
      <c r="GQ111" s="9" t="inlineStr">
        <is>
          <t>bags</t>
        </is>
      </c>
      <c r="GS111" s="9" t="inlineStr">
        <is>
          <t>BALANCE</t>
        </is>
      </c>
      <c r="GT111" s="9" t="inlineStr">
        <is>
          <t>-</t>
        </is>
      </c>
      <c r="GU111" s="9" t="inlineStr">
        <is>
          <t>-</t>
        </is>
      </c>
      <c r="GV111" s="9" t="inlineStr">
        <is>
          <t>-</t>
        </is>
      </c>
      <c r="GW111" s="9" t="inlineStr">
        <is>
          <t>-</t>
        </is>
      </c>
      <c r="GX111" s="9" t="n">
        <v>0</v>
      </c>
      <c r="HB111" s="9" t="inlineStr">
        <is>
          <t>BALANCE</t>
        </is>
      </c>
      <c r="HC111" s="9" t="inlineStr">
        <is>
          <t>-</t>
        </is>
      </c>
      <c r="HD111" s="9" t="inlineStr">
        <is>
          <t>-</t>
        </is>
      </c>
      <c r="HE111" s="9" t="inlineStr">
        <is>
          <t>-</t>
        </is>
      </c>
      <c r="HF111" s="9" t="inlineStr">
        <is>
          <t>-</t>
        </is>
      </c>
      <c r="HG111" s="9" t="n">
        <v>0</v>
      </c>
      <c r="HK111" s="9" t="inlineStr">
        <is>
          <t>BALANCE</t>
        </is>
      </c>
      <c r="HL111" s="9" t="inlineStr">
        <is>
          <t>-</t>
        </is>
      </c>
      <c r="HM111" s="9" t="inlineStr">
        <is>
          <t>-</t>
        </is>
      </c>
      <c r="HN111" s="9" t="inlineStr">
        <is>
          <t>-</t>
        </is>
      </c>
      <c r="HO111" s="9" t="inlineStr">
        <is>
          <t>-</t>
        </is>
      </c>
      <c r="HP111" s="9" t="n">
        <v>0</v>
      </c>
      <c r="HU111" s="9" t="inlineStr">
        <is>
          <t>BALANCE</t>
        </is>
      </c>
      <c r="HV111" s="9" t="inlineStr">
        <is>
          <t>-</t>
        </is>
      </c>
      <c r="HW111" s="9" t="inlineStr">
        <is>
          <t>-</t>
        </is>
      </c>
      <c r="HX111" s="9" t="inlineStr">
        <is>
          <t>-</t>
        </is>
      </c>
      <c r="HY111" s="9" t="inlineStr">
        <is>
          <t>-</t>
        </is>
      </c>
      <c r="HZ111" s="9" t="n">
        <v>5120</v>
      </c>
      <c r="IA111" s="9" t="n">
        <v>256</v>
      </c>
      <c r="IB111" s="9" t="inlineStr">
        <is>
          <t>bags</t>
        </is>
      </c>
      <c r="ID111" s="9" t="inlineStr">
        <is>
          <t>BALANCE</t>
        </is>
      </c>
      <c r="IE111" s="9" t="inlineStr">
        <is>
          <t>-</t>
        </is>
      </c>
      <c r="IF111" s="9" t="inlineStr">
        <is>
          <t>-</t>
        </is>
      </c>
      <c r="IG111" s="9" t="inlineStr">
        <is>
          <t>-</t>
        </is>
      </c>
      <c r="IH111" s="9" t="inlineStr">
        <is>
          <t>-</t>
        </is>
      </c>
      <c r="II111" s="9" t="n">
        <v>6540</v>
      </c>
      <c r="IJ111" s="9" t="n">
        <v>327</v>
      </c>
      <c r="IK111" s="9" t="inlineStr">
        <is>
          <t>bags</t>
        </is>
      </c>
      <c r="IM111" s="9" t="inlineStr">
        <is>
          <t>BALANCE</t>
        </is>
      </c>
      <c r="IN111" s="9" t="inlineStr">
        <is>
          <t>-</t>
        </is>
      </c>
      <c r="IO111" s="9" t="inlineStr">
        <is>
          <t>-</t>
        </is>
      </c>
      <c r="IP111" s="9" t="inlineStr">
        <is>
          <t>-</t>
        </is>
      </c>
      <c r="IQ111" s="9" t="inlineStr">
        <is>
          <t>-</t>
        </is>
      </c>
      <c r="IR111" s="9" t="n">
        <v>11540</v>
      </c>
      <c r="IS111" s="9" t="n">
        <v>577</v>
      </c>
      <c r="IT111" s="9" t="inlineStr">
        <is>
          <t>bags</t>
        </is>
      </c>
      <c r="IV111" s="9" t="inlineStr">
        <is>
          <t>BALANCE</t>
        </is>
      </c>
      <c r="IW111" s="9" t="inlineStr">
        <is>
          <t>-</t>
        </is>
      </c>
      <c r="IX111" s="9" t="inlineStr">
        <is>
          <t>-</t>
        </is>
      </c>
      <c r="IY111" s="9" t="inlineStr">
        <is>
          <t>-</t>
        </is>
      </c>
      <c r="IZ111" s="9" t="inlineStr">
        <is>
          <t>-</t>
        </is>
      </c>
      <c r="JA111" s="9" t="n">
        <v>15120</v>
      </c>
      <c r="JB111" s="9" t="n">
        <v>756</v>
      </c>
      <c r="JC111" s="9" t="inlineStr">
        <is>
          <t>bags</t>
        </is>
      </c>
      <c r="JE111" s="9" t="inlineStr">
        <is>
          <t>BALANCE</t>
        </is>
      </c>
      <c r="JF111" s="9" t="inlineStr">
        <is>
          <t>-</t>
        </is>
      </c>
      <c r="JG111" s="9" t="inlineStr">
        <is>
          <t>-</t>
        </is>
      </c>
      <c r="JH111" s="9" t="inlineStr">
        <is>
          <t>-</t>
        </is>
      </c>
      <c r="JI111" s="9" t="inlineStr">
        <is>
          <t>-</t>
        </is>
      </c>
      <c r="JJ111" s="9" t="n">
        <v>5040</v>
      </c>
      <c r="JK111" s="9" t="n">
        <v>252</v>
      </c>
      <c r="JL111" s="9" t="inlineStr">
        <is>
          <t>bags</t>
        </is>
      </c>
      <c r="JN111" s="9" t="inlineStr">
        <is>
          <t>BALANCE</t>
        </is>
      </c>
      <c r="JO111" s="9" t="inlineStr">
        <is>
          <t>-</t>
        </is>
      </c>
      <c r="JP111" s="9" t="inlineStr">
        <is>
          <t>-</t>
        </is>
      </c>
      <c r="JQ111" s="9" t="inlineStr">
        <is>
          <t>-</t>
        </is>
      </c>
      <c r="JR111" s="9" t="inlineStr">
        <is>
          <t>-</t>
        </is>
      </c>
      <c r="JS111" s="9" t="n">
        <v>9100</v>
      </c>
      <c r="JT111" s="9" t="n">
        <v>455</v>
      </c>
      <c r="JU111" s="9" t="inlineStr">
        <is>
          <t>bags</t>
        </is>
      </c>
      <c r="JW111" s="9" t="inlineStr">
        <is>
          <t>BALANCE</t>
        </is>
      </c>
      <c r="JX111" s="9" t="inlineStr">
        <is>
          <t>-</t>
        </is>
      </c>
      <c r="JY111" s="9" t="inlineStr">
        <is>
          <t>-</t>
        </is>
      </c>
      <c r="JZ111" s="9" t="inlineStr">
        <is>
          <t>-</t>
        </is>
      </c>
      <c r="KA111" s="9" t="inlineStr">
        <is>
          <t>-</t>
        </is>
      </c>
      <c r="KB111" s="9" t="n">
        <v>4220</v>
      </c>
      <c r="KF111" s="9" t="inlineStr">
        <is>
          <t>BALANCE</t>
        </is>
      </c>
      <c r="KG111" s="9" t="inlineStr">
        <is>
          <t>-</t>
        </is>
      </c>
      <c r="KH111" s="9" t="inlineStr">
        <is>
          <t>-</t>
        </is>
      </c>
      <c r="KI111" s="9" t="inlineStr">
        <is>
          <t>-</t>
        </is>
      </c>
      <c r="KJ111" s="9" t="inlineStr">
        <is>
          <t>-</t>
        </is>
      </c>
      <c r="KK111" s="9" t="n">
        <v>7702.5</v>
      </c>
      <c r="KO111" s="9" t="inlineStr">
        <is>
          <t>BALANCE</t>
        </is>
      </c>
      <c r="KP111" s="9" t="inlineStr">
        <is>
          <t>-</t>
        </is>
      </c>
      <c r="KQ111" s="9" t="inlineStr">
        <is>
          <t>-</t>
        </is>
      </c>
      <c r="KR111" s="9" t="inlineStr">
        <is>
          <t>-</t>
        </is>
      </c>
      <c r="KS111" s="9" t="inlineStr">
        <is>
          <t>-</t>
        </is>
      </c>
      <c r="KT111" s="9" t="n">
        <v>6426</v>
      </c>
      <c r="KU111" s="9" t="n">
        <v>340</v>
      </c>
      <c r="KX111" s="9" t="inlineStr">
        <is>
          <t>BALANCE</t>
        </is>
      </c>
      <c r="KY111" s="9" t="inlineStr">
        <is>
          <t>-</t>
        </is>
      </c>
      <c r="KZ111" s="9" t="inlineStr">
        <is>
          <t>-</t>
        </is>
      </c>
      <c r="LA111" s="9" t="inlineStr">
        <is>
          <t>-</t>
        </is>
      </c>
      <c r="LB111" s="9" t="inlineStr">
        <is>
          <t>-</t>
        </is>
      </c>
      <c r="LC111" s="9" t="n">
        <v>0</v>
      </c>
      <c r="LG111" s="9" t="inlineStr">
        <is>
          <t>BALANCE</t>
        </is>
      </c>
      <c r="LH111" s="9" t="inlineStr">
        <is>
          <t>-</t>
        </is>
      </c>
      <c r="LI111" s="9" t="inlineStr">
        <is>
          <t>-</t>
        </is>
      </c>
      <c r="LJ111" s="9" t="inlineStr">
        <is>
          <t>-</t>
        </is>
      </c>
      <c r="LK111" s="9" t="inlineStr">
        <is>
          <t>-</t>
        </is>
      </c>
      <c r="LL111" s="9" t="n">
        <v>0</v>
      </c>
      <c r="LM111" s="9" t="n">
        <v>0</v>
      </c>
      <c r="LN111" s="9" t="inlineStr">
        <is>
          <t>bags</t>
        </is>
      </c>
      <c r="LP111" s="9" t="inlineStr">
        <is>
          <t>BALANCE</t>
        </is>
      </c>
      <c r="LQ111" s="9" t="inlineStr">
        <is>
          <t>-</t>
        </is>
      </c>
      <c r="LR111" s="9" t="inlineStr">
        <is>
          <t>-</t>
        </is>
      </c>
      <c r="LS111" s="9" t="inlineStr">
        <is>
          <t>-</t>
        </is>
      </c>
      <c r="LT111" s="9" t="inlineStr">
        <is>
          <t>-</t>
        </is>
      </c>
      <c r="LU111" s="9" t="n">
        <v>0</v>
      </c>
      <c r="LY111" s="9" t="inlineStr">
        <is>
          <t>BALANCE</t>
        </is>
      </c>
      <c r="LZ111" s="9" t="inlineStr">
        <is>
          <t>-</t>
        </is>
      </c>
      <c r="MA111" s="9" t="inlineStr">
        <is>
          <t>-</t>
        </is>
      </c>
      <c r="MB111" s="9" t="inlineStr">
        <is>
          <t>-</t>
        </is>
      </c>
      <c r="MC111" s="9" t="inlineStr">
        <is>
          <t>-</t>
        </is>
      </c>
      <c r="MD111" s="9" t="n">
        <v>0</v>
      </c>
      <c r="MH111" s="9" t="inlineStr">
        <is>
          <t>BALANCE</t>
        </is>
      </c>
      <c r="MI111" s="9" t="inlineStr">
        <is>
          <t>-</t>
        </is>
      </c>
      <c r="MJ111" s="9" t="inlineStr">
        <is>
          <t>-</t>
        </is>
      </c>
      <c r="MK111" s="9" t="inlineStr">
        <is>
          <t>-</t>
        </is>
      </c>
      <c r="ML111" s="9" t="inlineStr">
        <is>
          <t>-</t>
        </is>
      </c>
      <c r="MM111" s="9" t="n">
        <v>0</v>
      </c>
      <c r="MQ111" s="9" t="inlineStr">
        <is>
          <t>BALANCE</t>
        </is>
      </c>
      <c r="MR111" s="9" t="inlineStr">
        <is>
          <t>-</t>
        </is>
      </c>
      <c r="MS111" s="9" t="inlineStr">
        <is>
          <t>-</t>
        </is>
      </c>
      <c r="MT111" s="9" t="inlineStr">
        <is>
          <t>-</t>
        </is>
      </c>
      <c r="MU111" s="9" t="inlineStr">
        <is>
          <t>-</t>
        </is>
      </c>
      <c r="MV111" s="9" t="n">
        <v>4195</v>
      </c>
      <c r="MZ111" s="9" t="inlineStr">
        <is>
          <t>BALANCE</t>
        </is>
      </c>
      <c r="NA111" s="9" t="inlineStr">
        <is>
          <t>-</t>
        </is>
      </c>
      <c r="NB111" s="9" t="inlineStr">
        <is>
          <t>-</t>
        </is>
      </c>
      <c r="NC111" s="9" t="inlineStr">
        <is>
          <t>-</t>
        </is>
      </c>
      <c r="ND111" s="9" t="inlineStr">
        <is>
          <t>-</t>
        </is>
      </c>
      <c r="NE111" s="9" t="n">
        <v>0</v>
      </c>
      <c r="NI111" s="9" t="inlineStr">
        <is>
          <t>BALANCE</t>
        </is>
      </c>
      <c r="NJ111" s="9" t="inlineStr">
        <is>
          <t>-</t>
        </is>
      </c>
      <c r="NK111" s="9" t="inlineStr">
        <is>
          <t>-</t>
        </is>
      </c>
      <c r="NL111" s="9" t="inlineStr">
        <is>
          <t>-</t>
        </is>
      </c>
      <c r="NM111" s="9" t="inlineStr">
        <is>
          <t>-</t>
        </is>
      </c>
      <c r="NN111" s="9" t="n">
        <v>2065</v>
      </c>
      <c r="NR111" s="9" t="inlineStr">
        <is>
          <t>BALANCE</t>
        </is>
      </c>
      <c r="NS111" s="9" t="inlineStr">
        <is>
          <t>-</t>
        </is>
      </c>
      <c r="NT111" s="9" t="inlineStr">
        <is>
          <t>-</t>
        </is>
      </c>
      <c r="NU111" s="9" t="inlineStr">
        <is>
          <t>-</t>
        </is>
      </c>
      <c r="NV111" s="9" t="inlineStr">
        <is>
          <t>-</t>
        </is>
      </c>
      <c r="NW111" s="9" t="n">
        <v>4152.5</v>
      </c>
      <c r="OA111" s="9" t="inlineStr">
        <is>
          <t>BALANCE</t>
        </is>
      </c>
      <c r="OB111" s="9" t="inlineStr">
        <is>
          <t>-</t>
        </is>
      </c>
      <c r="OC111" s="9" t="inlineStr">
        <is>
          <t>-</t>
        </is>
      </c>
      <c r="OD111" s="9" t="inlineStr">
        <is>
          <t>-</t>
        </is>
      </c>
      <c r="OE111" s="9" t="inlineStr">
        <is>
          <t>-</t>
        </is>
      </c>
      <c r="OF111" s="9" t="n">
        <v>1680.5</v>
      </c>
      <c r="OJ111" s="9" t="inlineStr">
        <is>
          <t>BALANCE</t>
        </is>
      </c>
      <c r="OK111" s="9" t="inlineStr">
        <is>
          <t>-</t>
        </is>
      </c>
      <c r="OL111" s="9" t="inlineStr">
        <is>
          <t>-</t>
        </is>
      </c>
      <c r="OM111" s="9" t="inlineStr">
        <is>
          <t>-</t>
        </is>
      </c>
      <c r="ON111" s="9" t="inlineStr">
        <is>
          <t>-</t>
        </is>
      </c>
      <c r="OS111" s="9" t="inlineStr">
        <is>
          <t>BALANCE</t>
        </is>
      </c>
      <c r="OT111" s="9" t="inlineStr">
        <is>
          <t>-</t>
        </is>
      </c>
      <c r="OU111" s="9" t="inlineStr">
        <is>
          <t>-</t>
        </is>
      </c>
      <c r="OV111" s="9" t="inlineStr">
        <is>
          <t>-</t>
        </is>
      </c>
      <c r="OW111" s="9" t="inlineStr">
        <is>
          <t>-</t>
        </is>
      </c>
      <c r="OX111" s="9" t="n">
        <v>1000</v>
      </c>
      <c r="PB111" s="9" t="inlineStr">
        <is>
          <t>BALANCE</t>
        </is>
      </c>
      <c r="PC111" s="9" t="inlineStr">
        <is>
          <t>-</t>
        </is>
      </c>
      <c r="PD111" s="9" t="inlineStr">
        <is>
          <t>-</t>
        </is>
      </c>
      <c r="PE111" s="9" t="inlineStr">
        <is>
          <t>-</t>
        </is>
      </c>
      <c r="PF111" s="9" t="inlineStr">
        <is>
          <t>-</t>
        </is>
      </c>
      <c r="PG111" s="9" t="n">
        <v>0</v>
      </c>
      <c r="PK111" s="9" t="inlineStr">
        <is>
          <t>BALANCE</t>
        </is>
      </c>
      <c r="PL111" s="9" t="inlineStr">
        <is>
          <t>-</t>
        </is>
      </c>
      <c r="PM111" s="9" t="inlineStr">
        <is>
          <t>-</t>
        </is>
      </c>
      <c r="PN111" s="9" t="inlineStr">
        <is>
          <t>-</t>
        </is>
      </c>
      <c r="PO111" s="9" t="inlineStr">
        <is>
          <t>-</t>
        </is>
      </c>
      <c r="PP111" s="9" t="n">
        <v>100</v>
      </c>
      <c r="PT111" s="9" t="inlineStr">
        <is>
          <t>BALANCE</t>
        </is>
      </c>
      <c r="PU111" s="9" t="inlineStr">
        <is>
          <t>-</t>
        </is>
      </c>
      <c r="PV111" s="9" t="inlineStr">
        <is>
          <t>-</t>
        </is>
      </c>
      <c r="PW111" s="9" t="inlineStr">
        <is>
          <t>-</t>
        </is>
      </c>
      <c r="PX111" s="9" t="inlineStr">
        <is>
          <t>-</t>
        </is>
      </c>
      <c r="PY111" s="9" t="n">
        <v>13.96000000000004</v>
      </c>
      <c r="QC111" s="9" t="inlineStr">
        <is>
          <t>BALANCE</t>
        </is>
      </c>
      <c r="QD111" s="9" t="inlineStr">
        <is>
          <t>-</t>
        </is>
      </c>
      <c r="QE111" s="9" t="inlineStr">
        <is>
          <t>-</t>
        </is>
      </c>
      <c r="QF111" s="9" t="inlineStr">
        <is>
          <t>-</t>
        </is>
      </c>
      <c r="QG111" s="9" t="inlineStr">
        <is>
          <t>-</t>
        </is>
      </c>
      <c r="QH111" s="9" t="n">
        <v>1212</v>
      </c>
      <c r="QL111" s="9" t="inlineStr">
        <is>
          <t>BALANCE</t>
        </is>
      </c>
      <c r="QM111" s="9" t="inlineStr">
        <is>
          <t>-</t>
        </is>
      </c>
      <c r="QN111" s="9" t="inlineStr">
        <is>
          <t>-</t>
        </is>
      </c>
      <c r="QO111" s="9" t="inlineStr">
        <is>
          <t>-</t>
        </is>
      </c>
      <c r="QP111" s="9" t="inlineStr">
        <is>
          <t>-</t>
        </is>
      </c>
      <c r="QQ111" s="9" t="n">
        <v>400</v>
      </c>
      <c r="QU111" s="9" t="inlineStr">
        <is>
          <t>BALANCE</t>
        </is>
      </c>
      <c r="QV111" s="9" t="inlineStr">
        <is>
          <t>-</t>
        </is>
      </c>
      <c r="QW111" s="9" t="inlineStr">
        <is>
          <t>-</t>
        </is>
      </c>
      <c r="QX111" s="9" t="inlineStr">
        <is>
          <t>-</t>
        </is>
      </c>
      <c r="QY111" s="9" t="inlineStr">
        <is>
          <t>-</t>
        </is>
      </c>
      <c r="QZ111" s="9" t="n">
        <v>207.6</v>
      </c>
      <c r="RD111" s="9" t="inlineStr">
        <is>
          <t>BALANCE</t>
        </is>
      </c>
      <c r="RE111" s="9" t="inlineStr">
        <is>
          <t>-</t>
        </is>
      </c>
      <c r="RF111" s="9" t="inlineStr">
        <is>
          <t>-</t>
        </is>
      </c>
      <c r="RG111" s="9" t="inlineStr">
        <is>
          <t>-</t>
        </is>
      </c>
      <c r="RH111" s="9" t="inlineStr">
        <is>
          <t>-</t>
        </is>
      </c>
      <c r="RI111" s="9" t="n">
        <v>197.04</v>
      </c>
      <c r="RM111" s="9" t="inlineStr">
        <is>
          <t>BALANCE</t>
        </is>
      </c>
      <c r="RN111" s="9" t="inlineStr">
        <is>
          <t>-</t>
        </is>
      </c>
      <c r="RO111" s="9" t="inlineStr">
        <is>
          <t>-</t>
        </is>
      </c>
      <c r="RP111" s="9" t="inlineStr">
        <is>
          <t>-</t>
        </is>
      </c>
      <c r="RQ111" s="9" t="inlineStr">
        <is>
          <t>-</t>
        </is>
      </c>
      <c r="RR111" s="9" t="n">
        <v>46.8</v>
      </c>
      <c r="RV111" s="9" t="inlineStr">
        <is>
          <t>BALANCE</t>
        </is>
      </c>
      <c r="RW111" s="9" t="inlineStr">
        <is>
          <t>-</t>
        </is>
      </c>
      <c r="RX111" s="9" t="inlineStr">
        <is>
          <t>-</t>
        </is>
      </c>
      <c r="RY111" s="9" t="inlineStr">
        <is>
          <t>-</t>
        </is>
      </c>
      <c r="RZ111" s="9" t="inlineStr">
        <is>
          <t>-</t>
        </is>
      </c>
      <c r="SA111" s="9" t="n">
        <v>0</v>
      </c>
      <c r="SE111" s="9" t="inlineStr">
        <is>
          <t>BALANCE</t>
        </is>
      </c>
      <c r="SF111" s="9" t="inlineStr">
        <is>
          <t>-</t>
        </is>
      </c>
      <c r="SG111" s="9" t="inlineStr">
        <is>
          <t>-</t>
        </is>
      </c>
      <c r="SH111" s="9" t="inlineStr">
        <is>
          <t>-</t>
        </is>
      </c>
      <c r="SI111" s="9" t="inlineStr">
        <is>
          <t>-</t>
        </is>
      </c>
      <c r="SJ111" s="9" t="n">
        <v>0</v>
      </c>
      <c r="SN111" s="9" t="inlineStr">
        <is>
          <t>BALANCE</t>
        </is>
      </c>
      <c r="SO111" s="9" t="inlineStr">
        <is>
          <t>-</t>
        </is>
      </c>
      <c r="SP111" s="9" t="inlineStr">
        <is>
          <t>-</t>
        </is>
      </c>
      <c r="SQ111" s="9" t="inlineStr">
        <is>
          <t>-</t>
        </is>
      </c>
      <c r="SR111" s="9" t="inlineStr">
        <is>
          <t>-</t>
        </is>
      </c>
      <c r="SS111" s="9" t="n">
        <v>0</v>
      </c>
      <c r="SW111" s="9" t="inlineStr">
        <is>
          <t>BALANCE</t>
        </is>
      </c>
      <c r="SX111" s="9" t="inlineStr">
        <is>
          <t>-</t>
        </is>
      </c>
      <c r="SY111" s="9" t="inlineStr">
        <is>
          <t>-</t>
        </is>
      </c>
      <c r="SZ111" s="9" t="inlineStr">
        <is>
          <t>-</t>
        </is>
      </c>
      <c r="TA111" s="9" t="inlineStr">
        <is>
          <t>-</t>
        </is>
      </c>
      <c r="TB111" s="9" t="n">
        <v>0</v>
      </c>
      <c r="TF111" s="9" t="inlineStr">
        <is>
          <t>BALANCE</t>
        </is>
      </c>
      <c r="TG111" s="9" t="inlineStr">
        <is>
          <t>-</t>
        </is>
      </c>
      <c r="TH111" s="9" t="inlineStr">
        <is>
          <t>-</t>
        </is>
      </c>
      <c r="TI111" s="9" t="inlineStr">
        <is>
          <t>-</t>
        </is>
      </c>
      <c r="TJ111" s="9" t="inlineStr">
        <is>
          <t>-</t>
        </is>
      </c>
      <c r="TK111" s="9" t="n">
        <v>0</v>
      </c>
      <c r="TO111" s="9" t="inlineStr">
        <is>
          <t>BALANCE</t>
        </is>
      </c>
      <c r="TP111" s="9" t="inlineStr">
        <is>
          <t>-</t>
        </is>
      </c>
      <c r="TQ111" s="9" t="inlineStr">
        <is>
          <t>-</t>
        </is>
      </c>
      <c r="TR111" s="9" t="inlineStr">
        <is>
          <t>-</t>
        </is>
      </c>
      <c r="TS111" s="9" t="inlineStr">
        <is>
          <t>-</t>
        </is>
      </c>
      <c r="TT111" s="9" t="n">
        <v>0</v>
      </c>
      <c r="TX111" s="9" t="inlineStr">
        <is>
          <t>BALANCE</t>
        </is>
      </c>
      <c r="TY111" s="9" t="inlineStr">
        <is>
          <t>-</t>
        </is>
      </c>
      <c r="TZ111" s="9" t="inlineStr">
        <is>
          <t>-</t>
        </is>
      </c>
      <c r="UA111" s="9" t="inlineStr">
        <is>
          <t>-</t>
        </is>
      </c>
      <c r="UB111" s="9" t="inlineStr">
        <is>
          <t>-</t>
        </is>
      </c>
      <c r="UC111" s="9" t="n">
        <v>0</v>
      </c>
      <c r="UG111" s="9" t="inlineStr">
        <is>
          <t>BALANCE</t>
        </is>
      </c>
      <c r="UH111" s="9" t="inlineStr">
        <is>
          <t>-</t>
        </is>
      </c>
      <c r="UI111" s="9" t="inlineStr">
        <is>
          <t>-</t>
        </is>
      </c>
      <c r="UJ111" s="9" t="inlineStr">
        <is>
          <t>-</t>
        </is>
      </c>
      <c r="UK111" s="9" t="inlineStr">
        <is>
          <t>-</t>
        </is>
      </c>
      <c r="UL111" s="9" t="n">
        <v>0</v>
      </c>
      <c r="UP111" s="9" t="inlineStr">
        <is>
          <t>BALANCE</t>
        </is>
      </c>
      <c r="UQ111" s="9" t="inlineStr">
        <is>
          <t>-</t>
        </is>
      </c>
      <c r="UR111" s="9" t="inlineStr">
        <is>
          <t>-</t>
        </is>
      </c>
      <c r="US111" s="9" t="inlineStr">
        <is>
          <t>-</t>
        </is>
      </c>
      <c r="UT111" s="9" t="inlineStr">
        <is>
          <t>-</t>
        </is>
      </c>
      <c r="UU111" s="9" t="n">
        <v>0</v>
      </c>
      <c r="UY111" s="9" t="inlineStr">
        <is>
          <t>BALANCE</t>
        </is>
      </c>
      <c r="UZ111" s="9" t="inlineStr">
        <is>
          <t>-</t>
        </is>
      </c>
      <c r="VA111" s="9" t="inlineStr">
        <is>
          <t>-</t>
        </is>
      </c>
      <c r="VB111" s="9" t="inlineStr">
        <is>
          <t>-</t>
        </is>
      </c>
      <c r="VC111" s="9" t="inlineStr">
        <is>
          <t>-</t>
        </is>
      </c>
      <c r="VD111" s="9" t="n">
        <v>41.60000000000002</v>
      </c>
      <c r="VH111" s="9" t="inlineStr">
        <is>
          <t>BALANCE</t>
        </is>
      </c>
      <c r="VI111" s="9" t="inlineStr">
        <is>
          <t>-</t>
        </is>
      </c>
      <c r="VJ111" s="9" t="inlineStr">
        <is>
          <t>-</t>
        </is>
      </c>
      <c r="VK111" s="9" t="inlineStr">
        <is>
          <t>-</t>
        </is>
      </c>
      <c r="VL111" s="9" t="inlineStr">
        <is>
          <t>-</t>
        </is>
      </c>
      <c r="VM111" s="9" t="n">
        <v>0</v>
      </c>
      <c r="VQ111" s="9" t="inlineStr">
        <is>
          <t>BALANCE</t>
        </is>
      </c>
      <c r="VR111" s="9" t="inlineStr">
        <is>
          <t>-</t>
        </is>
      </c>
      <c r="VS111" s="9" t="inlineStr">
        <is>
          <t>-</t>
        </is>
      </c>
      <c r="VT111" s="9" t="inlineStr">
        <is>
          <t>-</t>
        </is>
      </c>
      <c r="VU111" s="9" t="inlineStr">
        <is>
          <t>-</t>
        </is>
      </c>
      <c r="VV111" s="9" t="n">
        <v>0</v>
      </c>
      <c r="VZ111" s="9" t="inlineStr">
        <is>
          <t>BALANCE</t>
        </is>
      </c>
      <c r="WA111" s="9" t="inlineStr">
        <is>
          <t>-</t>
        </is>
      </c>
      <c r="WB111" s="9" t="inlineStr">
        <is>
          <t>-</t>
        </is>
      </c>
      <c r="WC111" s="9" t="inlineStr">
        <is>
          <t>-</t>
        </is>
      </c>
      <c r="WD111" s="9" t="inlineStr">
        <is>
          <t>-</t>
        </is>
      </c>
      <c r="WE111" s="9" t="n">
        <v>0</v>
      </c>
      <c r="WI111" s="9" t="inlineStr">
        <is>
          <t>BALANCE</t>
        </is>
      </c>
      <c r="WJ111" s="9" t="inlineStr">
        <is>
          <t>-</t>
        </is>
      </c>
      <c r="WK111" s="9" t="inlineStr">
        <is>
          <t>-</t>
        </is>
      </c>
      <c r="WL111" s="9" t="inlineStr">
        <is>
          <t>-</t>
        </is>
      </c>
      <c r="WM111" s="9" t="inlineStr">
        <is>
          <t>-</t>
        </is>
      </c>
      <c r="WN111" s="9" t="n">
        <v>3889</v>
      </c>
      <c r="WR111" s="9" t="inlineStr">
        <is>
          <t>BALANCE</t>
        </is>
      </c>
      <c r="WS111" s="9" t="inlineStr">
        <is>
          <t>-</t>
        </is>
      </c>
      <c r="WT111" s="9" t="inlineStr">
        <is>
          <t>-</t>
        </is>
      </c>
      <c r="WU111" s="9" t="inlineStr">
        <is>
          <t>-</t>
        </is>
      </c>
      <c r="WV111" s="9" t="inlineStr">
        <is>
          <t>-</t>
        </is>
      </c>
      <c r="WW111" s="9" t="n">
        <v>0</v>
      </c>
      <c r="XA111" s="9" t="inlineStr">
        <is>
          <t>BALANCE</t>
        </is>
      </c>
      <c r="XB111" s="9" t="inlineStr">
        <is>
          <t>-</t>
        </is>
      </c>
      <c r="XC111" s="9" t="inlineStr">
        <is>
          <t>-</t>
        </is>
      </c>
      <c r="XD111" s="9" t="inlineStr">
        <is>
          <t>-</t>
        </is>
      </c>
      <c r="XE111" s="9" t="inlineStr">
        <is>
          <t>-</t>
        </is>
      </c>
      <c r="XF111" s="9" t="n">
        <v>6349</v>
      </c>
      <c r="XJ111" s="9" t="inlineStr">
        <is>
          <t>BALANCE</t>
        </is>
      </c>
      <c r="XK111" s="9" t="inlineStr">
        <is>
          <t>-</t>
        </is>
      </c>
      <c r="XL111" s="9" t="inlineStr">
        <is>
          <t>-</t>
        </is>
      </c>
      <c r="XM111" s="9" t="inlineStr">
        <is>
          <t>-</t>
        </is>
      </c>
      <c r="XN111" s="9" t="inlineStr">
        <is>
          <t>-</t>
        </is>
      </c>
      <c r="XO111" s="9" t="n">
        <v>5989</v>
      </c>
      <c r="XS111" s="9" t="inlineStr">
        <is>
          <t>BALANCE</t>
        </is>
      </c>
      <c r="XT111" s="9" t="inlineStr">
        <is>
          <t>-</t>
        </is>
      </c>
      <c r="XU111" s="9" t="inlineStr">
        <is>
          <t>-</t>
        </is>
      </c>
      <c r="XV111" s="9" t="inlineStr">
        <is>
          <t>-</t>
        </is>
      </c>
      <c r="XW111" s="9" t="inlineStr">
        <is>
          <t>-</t>
        </is>
      </c>
      <c r="XX111" s="9" t="n">
        <v>1901</v>
      </c>
      <c r="YB111" s="9" t="inlineStr">
        <is>
          <t>BALANCE</t>
        </is>
      </c>
      <c r="YC111" s="9" t="inlineStr">
        <is>
          <t>-</t>
        </is>
      </c>
      <c r="YD111" s="9" t="inlineStr">
        <is>
          <t>-</t>
        </is>
      </c>
      <c r="YE111" s="9" t="inlineStr">
        <is>
          <t>-</t>
        </is>
      </c>
      <c r="YF111" s="9" t="inlineStr">
        <is>
          <t>-</t>
        </is>
      </c>
      <c r="YG111" s="9" t="n">
        <v>6459</v>
      </c>
      <c r="YK111" s="9" t="inlineStr">
        <is>
          <t>BALANCE</t>
        </is>
      </c>
      <c r="YL111" s="9" t="inlineStr">
        <is>
          <t>-</t>
        </is>
      </c>
      <c r="YM111" s="9" t="inlineStr">
        <is>
          <t>-</t>
        </is>
      </c>
      <c r="YN111" s="9" t="inlineStr">
        <is>
          <t>-</t>
        </is>
      </c>
      <c r="YO111" s="9" t="inlineStr">
        <is>
          <t>-</t>
        </is>
      </c>
      <c r="YP111" s="9" t="n">
        <v>0</v>
      </c>
      <c r="YT111" s="9" t="inlineStr">
        <is>
          <t>BALANCE</t>
        </is>
      </c>
      <c r="YU111" s="9" t="inlineStr">
        <is>
          <t>-</t>
        </is>
      </c>
      <c r="YV111" s="9" t="inlineStr">
        <is>
          <t>-</t>
        </is>
      </c>
      <c r="YW111" s="9" t="inlineStr">
        <is>
          <t>-</t>
        </is>
      </c>
      <c r="YX111" s="9" t="inlineStr">
        <is>
          <t>-</t>
        </is>
      </c>
      <c r="YY111" s="9" t="n">
        <v>0</v>
      </c>
      <c r="ZC111" s="9" t="inlineStr">
        <is>
          <t>BALANCE</t>
        </is>
      </c>
      <c r="ZD111" s="9" t="inlineStr">
        <is>
          <t>-</t>
        </is>
      </c>
      <c r="ZE111" s="9" t="inlineStr">
        <is>
          <t>-</t>
        </is>
      </c>
      <c r="ZF111" s="9" t="inlineStr">
        <is>
          <t>-</t>
        </is>
      </c>
      <c r="ZG111" s="9" t="inlineStr">
        <is>
          <t>-</t>
        </is>
      </c>
      <c r="ZH111" s="9" t="n">
        <v>0</v>
      </c>
      <c r="ZL111" s="9" t="inlineStr">
        <is>
          <t>BALANCE</t>
        </is>
      </c>
      <c r="ZM111" s="9" t="inlineStr">
        <is>
          <t>-</t>
        </is>
      </c>
      <c r="ZN111" s="9" t="inlineStr">
        <is>
          <t>-</t>
        </is>
      </c>
      <c r="ZO111" s="9" t="inlineStr">
        <is>
          <t>-</t>
        </is>
      </c>
      <c r="ZP111" s="9" t="inlineStr">
        <is>
          <t>-</t>
        </is>
      </c>
      <c r="ZQ111" s="9" t="n">
        <v>0</v>
      </c>
      <c r="ZU111" s="9" t="inlineStr">
        <is>
          <t>BALANCE</t>
        </is>
      </c>
      <c r="ZV111" s="9" t="inlineStr">
        <is>
          <t>-</t>
        </is>
      </c>
      <c r="ZW111" s="9" t="inlineStr">
        <is>
          <t>-</t>
        </is>
      </c>
      <c r="ZX111" s="9" t="inlineStr">
        <is>
          <t>-</t>
        </is>
      </c>
      <c r="ZY111" s="9" t="inlineStr">
        <is>
          <t>-</t>
        </is>
      </c>
      <c r="ZZ111" s="9" t="n">
        <v>0</v>
      </c>
      <c r="AAD111" s="9" t="inlineStr">
        <is>
          <t>BALANCE</t>
        </is>
      </c>
      <c r="AAE111" s="9" t="inlineStr">
        <is>
          <t>-</t>
        </is>
      </c>
      <c r="AAF111" s="9" t="inlineStr">
        <is>
          <t>-</t>
        </is>
      </c>
      <c r="AAG111" s="9" t="inlineStr">
        <is>
          <t>-</t>
        </is>
      </c>
      <c r="AAH111" s="9" t="inlineStr">
        <is>
          <t>-</t>
        </is>
      </c>
      <c r="AAI111" s="9" t="n">
        <v>0</v>
      </c>
      <c r="AAM111" s="9" t="inlineStr">
        <is>
          <t>BALANCE</t>
        </is>
      </c>
      <c r="AAN111" s="9" t="inlineStr">
        <is>
          <t>-</t>
        </is>
      </c>
      <c r="AAO111" s="9" t="inlineStr">
        <is>
          <t>-</t>
        </is>
      </c>
      <c r="AAP111" s="9" t="inlineStr">
        <is>
          <t>-</t>
        </is>
      </c>
      <c r="AAQ111" s="9" t="inlineStr">
        <is>
          <t>-</t>
        </is>
      </c>
      <c r="AAR111" s="9" t="n">
        <v>0</v>
      </c>
      <c r="AAV111" s="9" t="inlineStr">
        <is>
          <t>BALANCE</t>
        </is>
      </c>
      <c r="AAW111" s="9" t="inlineStr">
        <is>
          <t>-</t>
        </is>
      </c>
      <c r="AAX111" s="9" t="inlineStr">
        <is>
          <t>-</t>
        </is>
      </c>
      <c r="AAY111" s="9" t="inlineStr">
        <is>
          <t>-</t>
        </is>
      </c>
      <c r="AAZ111" s="9" t="inlineStr">
        <is>
          <t>-</t>
        </is>
      </c>
      <c r="ABA111" s="9" t="n">
        <v>0</v>
      </c>
      <c r="ABE111" s="9" t="inlineStr">
        <is>
          <t>BALANCE</t>
        </is>
      </c>
      <c r="ABF111" s="9" t="inlineStr">
        <is>
          <t>-</t>
        </is>
      </c>
      <c r="ABG111" s="9" t="inlineStr">
        <is>
          <t>-</t>
        </is>
      </c>
      <c r="ABH111" s="9" t="inlineStr">
        <is>
          <t>-</t>
        </is>
      </c>
      <c r="ABI111" s="9" t="inlineStr">
        <is>
          <t>-</t>
        </is>
      </c>
      <c r="ABJ111" s="9" t="n">
        <v>0</v>
      </c>
    </row>
    <row r="112">
      <c r="B112" s="9" t="n">
        <v>20</v>
      </c>
      <c r="C112" s="10" t="n">
        <v>46113</v>
      </c>
      <c r="D112" s="9" t="n">
        <v>29600</v>
      </c>
      <c r="E112" s="9" t="n">
        <v>10311</v>
      </c>
      <c r="F112" s="9" t="n">
        <v>10311.2</v>
      </c>
      <c r="G112" s="9" t="n">
        <v>-0.2000000000007276</v>
      </c>
      <c r="H112" s="9" t="n">
        <v>47128.79999999996</v>
      </c>
      <c r="I112" s="9" t="inlineStr">
        <is>
          <t>121 20mt</t>
        </is>
      </c>
      <c r="L112" s="10" t="n">
        <v>46113</v>
      </c>
      <c r="M112" s="9" t="n">
        <v>25420</v>
      </c>
      <c r="N112" s="9" t="n">
        <v>4770.000000000001</v>
      </c>
      <c r="O112" s="9" t="n">
        <v>4771.4</v>
      </c>
      <c r="P112" s="9" t="n">
        <v>-1.399999999998727</v>
      </c>
      <c r="Q112" s="9" t="n">
        <v>19978.60000000009</v>
      </c>
      <c r="U112" s="10" t="n">
        <v>46113</v>
      </c>
      <c r="W112" s="9" t="n">
        <v>1330</v>
      </c>
      <c r="X112" s="9" t="n">
        <v>1330.6</v>
      </c>
      <c r="Y112" s="9" t="n">
        <v>-0.5999999999999091</v>
      </c>
      <c r="Z112" s="9" t="n">
        <v>18687.79999999997</v>
      </c>
      <c r="AD112" s="10" t="n">
        <v>46113</v>
      </c>
      <c r="AE112" s="9" t="n">
        <v>27580</v>
      </c>
      <c r="AF112" s="9" t="n">
        <v>200</v>
      </c>
      <c r="AG112" s="9" t="n">
        <v>200.7</v>
      </c>
      <c r="AH112" s="9" t="n">
        <v>-0.6999999999999886</v>
      </c>
      <c r="AI112" s="9" t="n">
        <v>53672.00000000002</v>
      </c>
      <c r="AM112" s="10" t="n">
        <v>46113</v>
      </c>
      <c r="AO112" s="9" t="n">
        <v>0</v>
      </c>
      <c r="AQ112" s="9" t="n">
        <v>0</v>
      </c>
      <c r="AR112" s="9" t="n">
        <v>0</v>
      </c>
      <c r="AV112" s="10" t="n">
        <v>46113</v>
      </c>
      <c r="AX112" s="9" t="n">
        <v>500</v>
      </c>
      <c r="AY112" s="9" t="n">
        <v>500</v>
      </c>
      <c r="AZ112" s="9" t="n">
        <v>0</v>
      </c>
      <c r="BA112" s="9" t="n">
        <v>16886.69999999999</v>
      </c>
      <c r="BE112" s="10" t="n">
        <v>46113</v>
      </c>
      <c r="BG112" s="9" t="n">
        <v>559.9999999999999</v>
      </c>
      <c r="BH112" s="9" t="n">
        <v>557.4</v>
      </c>
      <c r="BI112" s="9" t="n">
        <v>2.599999999999909</v>
      </c>
      <c r="BJ112" s="9" t="n">
        <v>-557.3999999999982</v>
      </c>
      <c r="BN112" s="10" t="n">
        <v>46113</v>
      </c>
      <c r="BO112" s="9" t="n">
        <v>300.1</v>
      </c>
      <c r="BP112" s="9" t="n">
        <v>300</v>
      </c>
      <c r="BQ112" s="9" t="n">
        <v>300.1</v>
      </c>
      <c r="BR112" s="9" t="n">
        <v>-0.1000000000000227</v>
      </c>
      <c r="BS112" s="9" t="n">
        <v>0</v>
      </c>
      <c r="BW112" s="10" t="n">
        <v>46113</v>
      </c>
      <c r="BY112" s="9" t="n">
        <v>90.00000000000001</v>
      </c>
      <c r="CA112" s="9" t="n">
        <v>90.00000000000001</v>
      </c>
      <c r="CB112" s="9" t="n">
        <v>11812.9</v>
      </c>
      <c r="CF112" s="10" t="n">
        <v>46113</v>
      </c>
      <c r="CH112" s="9" t="n">
        <v>140</v>
      </c>
      <c r="CJ112" s="9" t="n">
        <v>140</v>
      </c>
      <c r="CK112" s="9" t="n">
        <v>0</v>
      </c>
      <c r="CO112" s="10" t="n">
        <v>46113</v>
      </c>
      <c r="CQ112" s="9" t="n">
        <v>0</v>
      </c>
      <c r="CS112" s="9" t="n">
        <v>0</v>
      </c>
      <c r="CT112" s="9" t="n">
        <v>0</v>
      </c>
      <c r="CX112" s="10" t="n">
        <v>46113</v>
      </c>
      <c r="CZ112" s="9" t="n">
        <v>670</v>
      </c>
      <c r="DA112" s="9" t="n">
        <v>671.2</v>
      </c>
      <c r="DB112" s="9" t="n">
        <v>-1.200000000000045</v>
      </c>
      <c r="DC112" s="9" t="n">
        <v>31198.5</v>
      </c>
      <c r="DG112" s="10" t="n">
        <v>46113</v>
      </c>
      <c r="DI112" s="9" t="n">
        <v>69.99999999999999</v>
      </c>
      <c r="DJ112" s="9" t="n">
        <v>69</v>
      </c>
      <c r="DK112" s="9" t="n">
        <v>0.9999999999999858</v>
      </c>
      <c r="DL112" s="9" t="n">
        <v>6589.999999999995</v>
      </c>
      <c r="DP112" s="10" t="n">
        <v>46113</v>
      </c>
      <c r="DR112" s="9" t="n">
        <v>0</v>
      </c>
      <c r="DT112" s="9" t="n">
        <v>0</v>
      </c>
      <c r="DU112" s="9" t="n">
        <v>7150</v>
      </c>
      <c r="DY112" s="10" t="n">
        <v>46113</v>
      </c>
      <c r="EA112" s="9" t="n">
        <v>500</v>
      </c>
      <c r="EB112" s="9" t="n">
        <v>500</v>
      </c>
      <c r="EC112" s="9" t="n">
        <v>0</v>
      </c>
      <c r="ED112" s="9" t="n">
        <v>1347.3</v>
      </c>
      <c r="EH112" s="10" t="n">
        <v>46113</v>
      </c>
      <c r="EJ112" s="9" t="n">
        <v>0</v>
      </c>
      <c r="EL112" s="9" t="n">
        <v>0</v>
      </c>
      <c r="EM112" s="9" t="n">
        <v>0</v>
      </c>
      <c r="EQ112" s="10" t="n">
        <v>46113</v>
      </c>
      <c r="ES112" s="9" t="n">
        <v>0</v>
      </c>
      <c r="EU112" s="9" t="n">
        <v>0</v>
      </c>
      <c r="EV112" s="9" t="n">
        <v>0</v>
      </c>
      <c r="EZ112" s="10" t="n">
        <v>46113</v>
      </c>
      <c r="FB112" s="9" t="n">
        <v>0</v>
      </c>
      <c r="FD112" s="9" t="n">
        <v>0</v>
      </c>
      <c r="FE112" s="9" t="n">
        <v>0</v>
      </c>
      <c r="FI112" s="10" t="n">
        <v>46113</v>
      </c>
      <c r="FK112" s="9" t="n">
        <v>0</v>
      </c>
      <c r="FM112" s="9" t="n">
        <v>0</v>
      </c>
      <c r="FN112" s="9" t="n">
        <v>0</v>
      </c>
      <c r="FR112" s="10" t="n">
        <v>46113</v>
      </c>
      <c r="FT112" s="9" t="n">
        <v>0</v>
      </c>
      <c r="FV112" s="9" t="n">
        <v>0</v>
      </c>
      <c r="FW112" s="9" t="n">
        <v>1980</v>
      </c>
      <c r="GA112" s="10" t="n">
        <v>46113</v>
      </c>
      <c r="GC112" s="9" t="n">
        <v>0</v>
      </c>
      <c r="GE112" s="9" t="n">
        <v>0</v>
      </c>
      <c r="GF112" s="9" t="n">
        <v>2000</v>
      </c>
      <c r="GJ112" s="10" t="n">
        <v>46113</v>
      </c>
      <c r="GL112" s="9" t="n">
        <v>0</v>
      </c>
      <c r="GN112" s="9" t="n">
        <v>0</v>
      </c>
      <c r="GO112" s="9" t="n">
        <v>4800</v>
      </c>
      <c r="GS112" s="10" t="n">
        <v>46113</v>
      </c>
      <c r="GU112" s="9" t="n">
        <v>0</v>
      </c>
      <c r="GW112" s="9" t="n">
        <v>0</v>
      </c>
      <c r="GX112" s="9" t="n">
        <v>0</v>
      </c>
      <c r="HB112" s="10" t="n">
        <v>46113</v>
      </c>
      <c r="HD112" s="9" t="n">
        <v>0</v>
      </c>
      <c r="HF112" s="9" t="n">
        <v>0</v>
      </c>
      <c r="HG112" s="9" t="n">
        <v>0</v>
      </c>
      <c r="HK112" s="10" t="n">
        <v>46113</v>
      </c>
      <c r="HM112" s="9" t="n">
        <v>0</v>
      </c>
      <c r="HO112" s="9" t="n">
        <v>0</v>
      </c>
      <c r="HP112" s="9" t="n">
        <v>0</v>
      </c>
      <c r="HU112" s="10" t="n">
        <v>46113</v>
      </c>
      <c r="HW112" s="9" t="n">
        <v>0</v>
      </c>
      <c r="HY112" s="9" t="n">
        <v>0</v>
      </c>
      <c r="HZ112" s="9" t="n">
        <v>5120</v>
      </c>
      <c r="ID112" s="10" t="n">
        <v>46113</v>
      </c>
      <c r="IF112" s="9" t="n">
        <v>0</v>
      </c>
      <c r="IH112" s="9" t="n">
        <v>0</v>
      </c>
      <c r="II112" s="9" t="n">
        <v>6540</v>
      </c>
      <c r="IM112" s="10" t="n">
        <v>46113</v>
      </c>
      <c r="IO112" s="9" t="n">
        <v>0</v>
      </c>
      <c r="IQ112" s="9" t="n">
        <v>0</v>
      </c>
      <c r="IR112" s="9" t="n">
        <v>11540</v>
      </c>
      <c r="IV112" s="10" t="n">
        <v>46113</v>
      </c>
      <c r="IX112" s="9" t="n">
        <v>0</v>
      </c>
      <c r="IZ112" s="9" t="n">
        <v>0</v>
      </c>
      <c r="JA112" s="9" t="n">
        <v>15120</v>
      </c>
      <c r="JE112" s="10" t="n">
        <v>46113</v>
      </c>
      <c r="JG112" s="9" t="n">
        <v>0</v>
      </c>
      <c r="JI112" s="9" t="n">
        <v>0</v>
      </c>
      <c r="JJ112" s="9" t="n">
        <v>5040</v>
      </c>
      <c r="JN112" s="10" t="n">
        <v>46113</v>
      </c>
      <c r="JP112" s="9" t="n">
        <v>0</v>
      </c>
      <c r="JR112" s="9" t="n">
        <v>0</v>
      </c>
      <c r="JS112" s="9" t="n">
        <v>9100</v>
      </c>
      <c r="JW112" s="10" t="n">
        <v>46113</v>
      </c>
      <c r="JY112" s="9" t="n">
        <v>400</v>
      </c>
      <c r="KA112" s="9" t="n">
        <v>400</v>
      </c>
      <c r="KB112" s="9" t="n">
        <v>4220</v>
      </c>
      <c r="KF112" s="10" t="n">
        <v>46113</v>
      </c>
      <c r="KH112" s="9" t="n">
        <v>0</v>
      </c>
      <c r="KJ112" s="9" t="n">
        <v>0</v>
      </c>
      <c r="KK112" s="9" t="n">
        <v>7702.5</v>
      </c>
      <c r="KO112" s="10" t="n">
        <v>46113</v>
      </c>
      <c r="KQ112" s="9" t="n">
        <v>0</v>
      </c>
      <c r="KS112" s="9" t="n">
        <v>0</v>
      </c>
      <c r="KT112" s="9" t="n">
        <v>6426</v>
      </c>
      <c r="KX112" s="10" t="n">
        <v>46113</v>
      </c>
      <c r="KZ112" s="9" t="n">
        <v>0</v>
      </c>
      <c r="LB112" s="9" t="n">
        <v>0</v>
      </c>
      <c r="LC112" s="9" t="n">
        <v>0</v>
      </c>
      <c r="LG112" s="10" t="n">
        <v>46113</v>
      </c>
      <c r="LI112" s="9" t="n">
        <v>0</v>
      </c>
      <c r="LK112" s="9" t="n">
        <v>0</v>
      </c>
      <c r="LL112" s="9" t="n">
        <v>0</v>
      </c>
      <c r="LP112" s="10" t="n">
        <v>46113</v>
      </c>
      <c r="LR112" s="9" t="n">
        <v>0</v>
      </c>
      <c r="LT112" s="9" t="n">
        <v>0</v>
      </c>
      <c r="LU112" s="9" t="n">
        <v>0</v>
      </c>
      <c r="LY112" s="10" t="n">
        <v>46113</v>
      </c>
      <c r="MA112" s="9" t="n">
        <v>0</v>
      </c>
      <c r="MC112" s="9" t="n">
        <v>0</v>
      </c>
      <c r="MD112" s="9" t="n">
        <v>0</v>
      </c>
      <c r="MH112" s="10" t="n">
        <v>46113</v>
      </c>
      <c r="MJ112" s="9" t="n">
        <v>0</v>
      </c>
      <c r="ML112" s="9" t="n">
        <v>0</v>
      </c>
      <c r="MM112" s="9" t="n">
        <v>0</v>
      </c>
      <c r="MQ112" s="10" t="n">
        <v>46113</v>
      </c>
      <c r="MS112" s="9" t="n">
        <v>40</v>
      </c>
      <c r="MU112" s="9" t="n">
        <v>40</v>
      </c>
      <c r="MV112" s="9" t="n">
        <v>4195</v>
      </c>
      <c r="MZ112" s="10" t="n">
        <v>46113</v>
      </c>
      <c r="NB112" s="9" t="n">
        <v>60</v>
      </c>
      <c r="ND112" s="9" t="n">
        <v>60</v>
      </c>
      <c r="NE112" s="9" t="n">
        <v>0</v>
      </c>
      <c r="NI112" s="10" t="n">
        <v>46113</v>
      </c>
      <c r="NK112" s="9" t="n">
        <v>0</v>
      </c>
      <c r="NM112" s="9" t="n">
        <v>0</v>
      </c>
      <c r="NN112" s="9" t="n">
        <v>2065</v>
      </c>
      <c r="NR112" s="10" t="n">
        <v>46113</v>
      </c>
      <c r="NT112" s="9" t="n">
        <v>4</v>
      </c>
      <c r="NV112" s="9" t="n">
        <v>4</v>
      </c>
      <c r="NW112" s="9" t="n">
        <v>4152.5</v>
      </c>
      <c r="OA112" s="10" t="n">
        <v>46113</v>
      </c>
      <c r="OC112" s="9" t="n">
        <v>0</v>
      </c>
      <c r="OE112" s="9" t="n">
        <v>0</v>
      </c>
      <c r="OF112" s="9" t="n">
        <v>1680.5</v>
      </c>
      <c r="OJ112" s="10" t="n">
        <v>46113</v>
      </c>
      <c r="OL112" s="9" t="n">
        <v>55.00000000000001</v>
      </c>
      <c r="ON112" s="9" t="n">
        <v>55.00000000000001</v>
      </c>
      <c r="OO112" s="9" t="n">
        <v>0</v>
      </c>
      <c r="OS112" s="10" t="n">
        <v>46113</v>
      </c>
      <c r="OU112" s="9" t="n">
        <v>0</v>
      </c>
      <c r="OW112" s="9" t="n">
        <v>0</v>
      </c>
      <c r="OX112" s="9" t="n">
        <v>1000</v>
      </c>
      <c r="PB112" s="10" t="n">
        <v>46113</v>
      </c>
      <c r="PD112" s="9" t="n">
        <v>0</v>
      </c>
      <c r="PF112" s="9" t="n">
        <v>0</v>
      </c>
      <c r="PG112" s="9" t="n">
        <v>0</v>
      </c>
      <c r="PK112" s="10" t="n">
        <v>46113</v>
      </c>
      <c r="PM112" s="9" t="n">
        <v>0</v>
      </c>
      <c r="PO112" s="9" t="n">
        <v>0</v>
      </c>
      <c r="PP112" s="9" t="n">
        <v>100</v>
      </c>
      <c r="PT112" s="10" t="n">
        <v>46113</v>
      </c>
      <c r="PV112" s="9" t="n">
        <v>0</v>
      </c>
      <c r="PX112" s="9" t="n">
        <v>0</v>
      </c>
      <c r="PY112" s="9" t="n">
        <v>13.96000000000004</v>
      </c>
      <c r="QC112" s="10" t="n">
        <v>46113</v>
      </c>
      <c r="QE112" s="9" t="n">
        <v>0</v>
      </c>
      <c r="QG112" s="9" t="n">
        <v>0</v>
      </c>
      <c r="QH112" s="9" t="n">
        <v>1212</v>
      </c>
      <c r="QL112" s="10" t="n">
        <v>46113</v>
      </c>
      <c r="QN112" s="9" t="n">
        <v>0</v>
      </c>
      <c r="QP112" s="9" t="n">
        <v>0</v>
      </c>
      <c r="QQ112" s="9" t="n">
        <v>400</v>
      </c>
      <c r="QU112" s="10" t="n">
        <v>46113</v>
      </c>
      <c r="QW112" s="9" t="n">
        <v>0</v>
      </c>
      <c r="QY112" s="9" t="n">
        <v>0</v>
      </c>
      <c r="QZ112" s="9" t="n">
        <v>207.6</v>
      </c>
      <c r="RD112" s="10" t="n">
        <v>46113</v>
      </c>
      <c r="RF112" s="9" t="n">
        <v>0</v>
      </c>
      <c r="RH112" s="9" t="n">
        <v>0</v>
      </c>
      <c r="RI112" s="9" t="n">
        <v>197.04</v>
      </c>
      <c r="RM112" s="10" t="n">
        <v>46113</v>
      </c>
      <c r="RO112" s="9" t="n">
        <v>0</v>
      </c>
      <c r="RQ112" s="9" t="n">
        <v>0</v>
      </c>
      <c r="RR112" s="9" t="n">
        <v>46.8</v>
      </c>
      <c r="RV112" s="10" t="n">
        <v>46113</v>
      </c>
      <c r="RX112" s="9" t="n">
        <v>0</v>
      </c>
      <c r="RZ112" s="9" t="n">
        <v>0</v>
      </c>
      <c r="SA112" s="9" t="n">
        <v>0</v>
      </c>
      <c r="SE112" s="10" t="n">
        <v>46113</v>
      </c>
      <c r="SG112" s="9" t="n">
        <v>0</v>
      </c>
      <c r="SI112" s="9" t="n">
        <v>0</v>
      </c>
      <c r="SJ112" s="9" t="n">
        <v>0</v>
      </c>
      <c r="SN112" s="10" t="n">
        <v>46113</v>
      </c>
      <c r="SP112" s="9" t="n">
        <v>0</v>
      </c>
      <c r="SR112" s="9" t="n">
        <v>0</v>
      </c>
      <c r="SS112" s="9" t="n">
        <v>0</v>
      </c>
      <c r="SW112" s="10" t="n">
        <v>46113</v>
      </c>
      <c r="SY112" s="9" t="n">
        <v>0</v>
      </c>
      <c r="TA112" s="9" t="n">
        <v>0</v>
      </c>
      <c r="TB112" s="9" t="n">
        <v>0</v>
      </c>
      <c r="TF112" s="10" t="n">
        <v>46113</v>
      </c>
      <c r="TH112" s="9" t="n">
        <v>0</v>
      </c>
      <c r="TJ112" s="9" t="n">
        <v>0</v>
      </c>
      <c r="TK112" s="9" t="n">
        <v>0</v>
      </c>
      <c r="TO112" s="10" t="n">
        <v>46113</v>
      </c>
      <c r="TQ112" s="9" t="n">
        <v>0</v>
      </c>
      <c r="TS112" s="9" t="n">
        <v>0</v>
      </c>
      <c r="TT112" s="9" t="n">
        <v>0</v>
      </c>
      <c r="TX112" s="10" t="n">
        <v>46113</v>
      </c>
      <c r="TZ112" s="9" t="n">
        <v>0</v>
      </c>
      <c r="UB112" s="9" t="n">
        <v>0</v>
      </c>
      <c r="UC112" s="9" t="n">
        <v>0</v>
      </c>
      <c r="UG112" s="10" t="n">
        <v>46113</v>
      </c>
      <c r="UI112" s="9" t="n">
        <v>0</v>
      </c>
      <c r="UK112" s="9" t="n">
        <v>0</v>
      </c>
      <c r="UL112" s="9" t="n">
        <v>0</v>
      </c>
      <c r="UP112" s="10" t="n">
        <v>46113</v>
      </c>
      <c r="UR112" s="9" t="n">
        <v>0</v>
      </c>
      <c r="UT112" s="9" t="n">
        <v>0</v>
      </c>
      <c r="UU112" s="9" t="n">
        <v>0</v>
      </c>
      <c r="UY112" s="10" t="n">
        <v>46113</v>
      </c>
      <c r="VA112" s="9" t="n">
        <v>0</v>
      </c>
      <c r="VC112" s="9" t="n">
        <v>0</v>
      </c>
      <c r="VD112" s="9" t="n">
        <v>41.60000000000002</v>
      </c>
      <c r="VH112" s="10" t="n">
        <v>46113</v>
      </c>
      <c r="VJ112" s="9" t="n">
        <v>0</v>
      </c>
      <c r="VL112" s="9" t="n">
        <v>0</v>
      </c>
      <c r="VM112" s="9" t="n">
        <v>0</v>
      </c>
      <c r="VQ112" s="10" t="n">
        <v>46113</v>
      </c>
      <c r="VS112" s="9" t="n">
        <v>0</v>
      </c>
      <c r="VU112" s="9" t="n">
        <v>0</v>
      </c>
      <c r="VV112" s="9" t="n">
        <v>0</v>
      </c>
      <c r="VZ112" s="10" t="n">
        <v>46113</v>
      </c>
      <c r="WB112" s="9" t="n">
        <v>0</v>
      </c>
      <c r="WD112" s="9" t="n">
        <v>0</v>
      </c>
      <c r="WE112" s="9" t="n">
        <v>0</v>
      </c>
      <c r="WI112" s="10" t="n">
        <v>46113</v>
      </c>
      <c r="WK112" s="9" t="n">
        <v>0</v>
      </c>
      <c r="WM112" s="9" t="n">
        <v>0</v>
      </c>
      <c r="WN112" s="9" t="n">
        <v>3889</v>
      </c>
      <c r="WR112" s="10" t="n">
        <v>46113</v>
      </c>
      <c r="WT112" s="9" t="n">
        <v>0</v>
      </c>
      <c r="WV112" s="9" t="n">
        <v>0</v>
      </c>
      <c r="WW112" s="9" t="n">
        <v>0</v>
      </c>
      <c r="XA112" s="10" t="n">
        <v>46113</v>
      </c>
      <c r="XC112" s="9" t="n">
        <v>0</v>
      </c>
      <c r="XE112" s="9" t="n">
        <v>0</v>
      </c>
      <c r="XF112" s="9" t="n">
        <v>6349</v>
      </c>
      <c r="XJ112" s="10" t="n">
        <v>46113</v>
      </c>
      <c r="XL112" s="9" t="n">
        <v>0</v>
      </c>
      <c r="XM112" s="9" t="n">
        <v>399</v>
      </c>
      <c r="XN112" s="9" t="n">
        <v>-399</v>
      </c>
      <c r="XO112" s="9" t="n">
        <v>5590</v>
      </c>
      <c r="XS112" s="10" t="n">
        <v>46113</v>
      </c>
      <c r="XU112" s="9" t="n">
        <v>0</v>
      </c>
      <c r="XW112" s="9" t="n">
        <v>0</v>
      </c>
      <c r="XX112" s="9" t="n">
        <v>1901</v>
      </c>
      <c r="YB112" s="10" t="n">
        <v>46113</v>
      </c>
      <c r="YD112" s="9" t="n">
        <v>0</v>
      </c>
      <c r="YF112" s="9" t="n">
        <v>0</v>
      </c>
      <c r="YG112" s="9" t="n">
        <v>6459</v>
      </c>
      <c r="YK112" s="10" t="n">
        <v>46113</v>
      </c>
      <c r="YM112" s="9" t="n">
        <v>0</v>
      </c>
      <c r="YO112" s="9" t="n">
        <v>0</v>
      </c>
      <c r="YP112" s="9" t="n">
        <v>0</v>
      </c>
      <c r="YT112" s="10" t="n">
        <v>46113</v>
      </c>
      <c r="YV112" s="9" t="n">
        <v>0</v>
      </c>
      <c r="YX112" s="9" t="n">
        <v>0</v>
      </c>
      <c r="YY112" s="9" t="n">
        <v>0</v>
      </c>
      <c r="ZC112" s="10" t="n">
        <v>46113</v>
      </c>
      <c r="ZE112" s="9" t="n">
        <v>0</v>
      </c>
      <c r="ZG112" s="9" t="n">
        <v>0</v>
      </c>
      <c r="ZH112" s="9" t="n">
        <v>0</v>
      </c>
      <c r="ZL112" s="10" t="n">
        <v>46113</v>
      </c>
      <c r="ZN112" s="9" t="n">
        <v>0</v>
      </c>
      <c r="ZP112" s="9" t="n">
        <v>0</v>
      </c>
      <c r="ZQ112" s="9" t="n">
        <v>0</v>
      </c>
      <c r="ZU112" s="10" t="n">
        <v>46113</v>
      </c>
      <c r="ZW112" s="9" t="n">
        <v>0</v>
      </c>
      <c r="ZY112" s="9" t="n">
        <v>0</v>
      </c>
      <c r="ZZ112" s="9" t="n">
        <v>0</v>
      </c>
      <c r="AAD112" s="10" t="n">
        <v>46113</v>
      </c>
      <c r="AAF112" s="9" t="n">
        <v>0</v>
      </c>
      <c r="AAH112" s="9" t="n">
        <v>0</v>
      </c>
      <c r="AAI112" s="9" t="n">
        <v>0</v>
      </c>
      <c r="AAM112" s="10" t="n">
        <v>46113</v>
      </c>
      <c r="AAO112" s="9" t="n">
        <v>0</v>
      </c>
      <c r="AAQ112" s="9" t="n">
        <v>0</v>
      </c>
      <c r="AAR112" s="9" t="n">
        <v>0</v>
      </c>
      <c r="AAV112" s="10" t="n">
        <v>46113</v>
      </c>
      <c r="AAX112" s="9" t="n">
        <v>0</v>
      </c>
      <c r="AAZ112" s="9" t="n">
        <v>0</v>
      </c>
      <c r="ABA112" s="9" t="n">
        <v>0</v>
      </c>
      <c r="ABE112" s="10" t="n">
        <v>46113</v>
      </c>
      <c r="ABG112" s="9" t="n">
        <v>0</v>
      </c>
      <c r="ABI112" s="9" t="n">
        <v>0</v>
      </c>
      <c r="ABJ112" s="9" t="n">
        <v>0</v>
      </c>
    </row>
    <row r="113">
      <c r="C113" s="10" t="n">
        <v>46114</v>
      </c>
      <c r="D113" s="9" t="n">
        <v>60180</v>
      </c>
      <c r="E113" s="9" t="n">
        <v>0</v>
      </c>
      <c r="G113" s="9" t="n">
        <v>0</v>
      </c>
      <c r="H113" s="9" t="n">
        <v>107308.8</v>
      </c>
      <c r="L113" s="10" t="n">
        <v>46114</v>
      </c>
      <c r="M113" s="9" t="n">
        <v>13980</v>
      </c>
      <c r="N113" s="9" t="n">
        <v>0</v>
      </c>
      <c r="P113" s="9" t="n">
        <v>0</v>
      </c>
      <c r="Q113" s="9" t="n">
        <v>33958.60000000009</v>
      </c>
      <c r="U113" s="10" t="n">
        <v>46114</v>
      </c>
      <c r="W113" s="9" t="n">
        <v>0</v>
      </c>
      <c r="Y113" s="9" t="n">
        <v>0</v>
      </c>
      <c r="Z113" s="9" t="n">
        <v>18687.79999999997</v>
      </c>
      <c r="AD113" s="10" t="n">
        <v>46114</v>
      </c>
      <c r="AF113" s="9" t="n">
        <v>0</v>
      </c>
      <c r="AH113" s="9" t="n">
        <v>0</v>
      </c>
      <c r="AI113" s="9" t="n">
        <v>53672.00000000002</v>
      </c>
      <c r="AM113" s="10" t="n">
        <v>46114</v>
      </c>
      <c r="AO113" s="9" t="n">
        <v>0</v>
      </c>
      <c r="AQ113" s="9" t="n">
        <v>0</v>
      </c>
      <c r="AR113" s="9" t="n">
        <v>0</v>
      </c>
      <c r="AV113" s="10" t="n">
        <v>46114</v>
      </c>
      <c r="AX113" s="9" t="n">
        <v>0</v>
      </c>
      <c r="AZ113" s="9" t="n">
        <v>0</v>
      </c>
      <c r="BA113" s="9" t="n">
        <v>16886.69999999999</v>
      </c>
      <c r="BE113" s="10" t="n">
        <v>46114</v>
      </c>
      <c r="BG113" s="9" t="n">
        <v>0</v>
      </c>
      <c r="BI113" s="9" t="n">
        <v>0</v>
      </c>
      <c r="BJ113" s="9" t="n">
        <v>-557.3999999999982</v>
      </c>
      <c r="BN113" s="10" t="n">
        <v>46114</v>
      </c>
      <c r="BP113" s="9" t="n">
        <v>0</v>
      </c>
      <c r="BR113" s="9" t="n">
        <v>0</v>
      </c>
      <c r="BS113" s="9" t="n">
        <v>0</v>
      </c>
      <c r="BW113" s="10" t="n">
        <v>46114</v>
      </c>
      <c r="BY113" s="9" t="n">
        <v>0</v>
      </c>
      <c r="CA113" s="9" t="n">
        <v>0</v>
      </c>
      <c r="CB113" s="9" t="n">
        <v>11812.9</v>
      </c>
      <c r="CF113" s="10" t="n">
        <v>46114</v>
      </c>
      <c r="CH113" s="9" t="n">
        <v>0</v>
      </c>
      <c r="CJ113" s="9" t="n">
        <v>0</v>
      </c>
      <c r="CK113" s="9" t="n">
        <v>0</v>
      </c>
      <c r="CO113" s="10" t="n">
        <v>46114</v>
      </c>
      <c r="CQ113" s="9" t="n">
        <v>0</v>
      </c>
      <c r="CS113" s="9" t="n">
        <v>0</v>
      </c>
      <c r="CT113" s="9" t="n">
        <v>0</v>
      </c>
      <c r="CX113" s="10" t="n">
        <v>46114</v>
      </c>
      <c r="CZ113" s="9" t="n">
        <v>0</v>
      </c>
      <c r="DB113" s="9" t="n">
        <v>0</v>
      </c>
      <c r="DC113" s="9" t="n">
        <v>31198.5</v>
      </c>
      <c r="DG113" s="10" t="n">
        <v>46114</v>
      </c>
      <c r="DI113" s="9" t="n">
        <v>0</v>
      </c>
      <c r="DK113" s="9" t="n">
        <v>0</v>
      </c>
      <c r="DL113" s="9" t="n">
        <v>6589.999999999995</v>
      </c>
      <c r="DP113" s="10" t="n">
        <v>46114</v>
      </c>
      <c r="DR113" s="9" t="n">
        <v>0</v>
      </c>
      <c r="DT113" s="9" t="n">
        <v>0</v>
      </c>
      <c r="DU113" s="9" t="n">
        <v>7150</v>
      </c>
      <c r="DY113" s="10" t="n">
        <v>46114</v>
      </c>
      <c r="EA113" s="9" t="n">
        <v>0</v>
      </c>
      <c r="EC113" s="9" t="n">
        <v>0</v>
      </c>
      <c r="ED113" s="9" t="n">
        <v>1347.3</v>
      </c>
      <c r="EH113" s="10" t="n">
        <v>46114</v>
      </c>
      <c r="EJ113" s="9" t="n">
        <v>0</v>
      </c>
      <c r="EL113" s="9" t="n">
        <v>0</v>
      </c>
      <c r="EM113" s="9" t="n">
        <v>0</v>
      </c>
      <c r="EQ113" s="10" t="n">
        <v>46114</v>
      </c>
      <c r="ES113" s="9" t="n">
        <v>0</v>
      </c>
      <c r="EU113" s="9" t="n">
        <v>0</v>
      </c>
      <c r="EV113" s="9" t="n">
        <v>0</v>
      </c>
      <c r="EZ113" s="10" t="n">
        <v>46114</v>
      </c>
      <c r="FB113" s="9" t="n">
        <v>0</v>
      </c>
      <c r="FD113" s="9" t="n">
        <v>0</v>
      </c>
      <c r="FE113" s="9" t="n">
        <v>0</v>
      </c>
      <c r="FI113" s="10" t="n">
        <v>46114</v>
      </c>
      <c r="FK113" s="9" t="n">
        <v>0</v>
      </c>
      <c r="FM113" s="9" t="n">
        <v>0</v>
      </c>
      <c r="FN113" s="9" t="n">
        <v>0</v>
      </c>
      <c r="FR113" s="10" t="n">
        <v>46114</v>
      </c>
      <c r="FT113" s="9" t="n">
        <v>0</v>
      </c>
      <c r="FV113" s="9" t="n">
        <v>0</v>
      </c>
      <c r="FW113" s="9" t="n">
        <v>1980</v>
      </c>
      <c r="GA113" s="10" t="n">
        <v>46114</v>
      </c>
      <c r="GC113" s="9" t="n">
        <v>0</v>
      </c>
      <c r="GE113" s="9" t="n">
        <v>0</v>
      </c>
      <c r="GF113" s="9" t="n">
        <v>2000</v>
      </c>
      <c r="GJ113" s="10" t="n">
        <v>46114</v>
      </c>
      <c r="GL113" s="9" t="n">
        <v>0</v>
      </c>
      <c r="GN113" s="9" t="n">
        <v>0</v>
      </c>
      <c r="GO113" s="9" t="n">
        <v>4800</v>
      </c>
      <c r="GS113" s="10" t="n">
        <v>46114</v>
      </c>
      <c r="GU113" s="9" t="n">
        <v>0</v>
      </c>
      <c r="GW113" s="9" t="n">
        <v>0</v>
      </c>
      <c r="GX113" s="9" t="n">
        <v>0</v>
      </c>
      <c r="HB113" s="10" t="n">
        <v>46114</v>
      </c>
      <c r="HD113" s="9" t="n">
        <v>0</v>
      </c>
      <c r="HF113" s="9" t="n">
        <v>0</v>
      </c>
      <c r="HG113" s="9" t="n">
        <v>0</v>
      </c>
      <c r="HK113" s="10" t="n">
        <v>46114</v>
      </c>
      <c r="HM113" s="9" t="n">
        <v>0</v>
      </c>
      <c r="HO113" s="9" t="n">
        <v>0</v>
      </c>
      <c r="HP113" s="9" t="n">
        <v>0</v>
      </c>
      <c r="HU113" s="10" t="n">
        <v>46114</v>
      </c>
      <c r="HW113" s="9" t="n">
        <v>0</v>
      </c>
      <c r="HY113" s="9" t="n">
        <v>0</v>
      </c>
      <c r="HZ113" s="9" t="n">
        <v>5120</v>
      </c>
      <c r="ID113" s="10" t="n">
        <v>46114</v>
      </c>
      <c r="IF113" s="9" t="n">
        <v>0</v>
      </c>
      <c r="IH113" s="9" t="n">
        <v>0</v>
      </c>
      <c r="II113" s="9" t="n">
        <v>6540</v>
      </c>
      <c r="IM113" s="10" t="n">
        <v>46114</v>
      </c>
      <c r="IO113" s="9" t="n">
        <v>0</v>
      </c>
      <c r="IQ113" s="9" t="n">
        <v>0</v>
      </c>
      <c r="IR113" s="9" t="n">
        <v>11540</v>
      </c>
      <c r="IV113" s="10" t="n">
        <v>46114</v>
      </c>
      <c r="IX113" s="9" t="n">
        <v>0</v>
      </c>
      <c r="IZ113" s="9" t="n">
        <v>0</v>
      </c>
      <c r="JA113" s="9" t="n">
        <v>15120</v>
      </c>
      <c r="JE113" s="10" t="n">
        <v>46114</v>
      </c>
      <c r="JG113" s="9" t="n">
        <v>0</v>
      </c>
      <c r="JI113" s="9" t="n">
        <v>0</v>
      </c>
      <c r="JJ113" s="9" t="n">
        <v>5040</v>
      </c>
      <c r="JN113" s="10" t="n">
        <v>46114</v>
      </c>
      <c r="JP113" s="9" t="n">
        <v>0</v>
      </c>
      <c r="JR113" s="9" t="n">
        <v>0</v>
      </c>
      <c r="JS113" s="9" t="n">
        <v>9100</v>
      </c>
      <c r="JW113" s="10" t="n">
        <v>46114</v>
      </c>
      <c r="JY113" s="9" t="n">
        <v>0</v>
      </c>
      <c r="KA113" s="9" t="n">
        <v>0</v>
      </c>
      <c r="KB113" s="9" t="n">
        <v>4220</v>
      </c>
      <c r="KF113" s="10" t="n">
        <v>46114</v>
      </c>
      <c r="KH113" s="9" t="n">
        <v>0</v>
      </c>
      <c r="KJ113" s="9" t="n">
        <v>0</v>
      </c>
      <c r="KK113" s="9" t="n">
        <v>7702.5</v>
      </c>
      <c r="KO113" s="10" t="n">
        <v>46114</v>
      </c>
      <c r="KQ113" s="9" t="n">
        <v>0</v>
      </c>
      <c r="KS113" s="9" t="n">
        <v>0</v>
      </c>
      <c r="KT113" s="9" t="n">
        <v>6426</v>
      </c>
      <c r="KX113" s="10" t="n">
        <v>46114</v>
      </c>
      <c r="KZ113" s="9" t="n">
        <v>0</v>
      </c>
      <c r="LB113" s="9" t="n">
        <v>0</v>
      </c>
      <c r="LC113" s="9" t="n">
        <v>0</v>
      </c>
      <c r="LG113" s="10" t="n">
        <v>46114</v>
      </c>
      <c r="LI113" s="9" t="n">
        <v>0</v>
      </c>
      <c r="LK113" s="9" t="n">
        <v>0</v>
      </c>
      <c r="LL113" s="9" t="n">
        <v>0</v>
      </c>
      <c r="LP113" s="10" t="n">
        <v>46114</v>
      </c>
      <c r="LR113" s="9" t="n">
        <v>0</v>
      </c>
      <c r="LT113" s="9" t="n">
        <v>0</v>
      </c>
      <c r="LU113" s="9" t="n">
        <v>0</v>
      </c>
      <c r="LY113" s="10" t="n">
        <v>46114</v>
      </c>
      <c r="MA113" s="9" t="n">
        <v>0</v>
      </c>
      <c r="MC113" s="9" t="n">
        <v>0</v>
      </c>
      <c r="MD113" s="9" t="n">
        <v>0</v>
      </c>
      <c r="MH113" s="10" t="n">
        <v>46114</v>
      </c>
      <c r="MJ113" s="9" t="n">
        <v>0</v>
      </c>
      <c r="ML113" s="9" t="n">
        <v>0</v>
      </c>
      <c r="MM113" s="9" t="n">
        <v>0</v>
      </c>
      <c r="MQ113" s="10" t="n">
        <v>46114</v>
      </c>
      <c r="MS113" s="9" t="n">
        <v>0</v>
      </c>
      <c r="MU113" s="9" t="n">
        <v>0</v>
      </c>
      <c r="MV113" s="9" t="n">
        <v>4195</v>
      </c>
      <c r="MZ113" s="10" t="n">
        <v>46114</v>
      </c>
      <c r="NB113" s="9" t="n">
        <v>0</v>
      </c>
      <c r="ND113" s="9" t="n">
        <v>0</v>
      </c>
      <c r="NE113" s="9" t="n">
        <v>0</v>
      </c>
      <c r="NI113" s="10" t="n">
        <v>46114</v>
      </c>
      <c r="NK113" s="9" t="n">
        <v>0</v>
      </c>
      <c r="NM113" s="9" t="n">
        <v>0</v>
      </c>
      <c r="NN113" s="9" t="n">
        <v>2065</v>
      </c>
      <c r="NR113" s="10" t="n">
        <v>46114</v>
      </c>
      <c r="NT113" s="9" t="n">
        <v>0</v>
      </c>
      <c r="NV113" s="9" t="n">
        <v>0</v>
      </c>
      <c r="NW113" s="9" t="n">
        <v>4152.5</v>
      </c>
      <c r="OA113" s="10" t="n">
        <v>46114</v>
      </c>
      <c r="OC113" s="9" t="n">
        <v>0</v>
      </c>
      <c r="OE113" s="9" t="n">
        <v>0</v>
      </c>
      <c r="OF113" s="9" t="n">
        <v>1680.5</v>
      </c>
      <c r="OJ113" s="10" t="n">
        <v>46114</v>
      </c>
      <c r="OL113" s="9" t="n">
        <v>0</v>
      </c>
      <c r="ON113" s="9" t="n">
        <v>0</v>
      </c>
      <c r="OO113" s="9" t="n">
        <v>0</v>
      </c>
      <c r="OS113" s="10" t="n">
        <v>46114</v>
      </c>
      <c r="OU113" s="9" t="n">
        <v>0</v>
      </c>
      <c r="OW113" s="9" t="n">
        <v>0</v>
      </c>
      <c r="OX113" s="9" t="n">
        <v>1000</v>
      </c>
      <c r="PB113" s="10" t="n">
        <v>46114</v>
      </c>
      <c r="PD113" s="9" t="n">
        <v>0</v>
      </c>
      <c r="PF113" s="9" t="n">
        <v>0</v>
      </c>
      <c r="PG113" s="9" t="n">
        <v>0</v>
      </c>
      <c r="PK113" s="10" t="n">
        <v>46114</v>
      </c>
      <c r="PM113" s="9" t="n">
        <v>0</v>
      </c>
      <c r="PO113" s="9" t="n">
        <v>0</v>
      </c>
      <c r="PP113" s="9" t="n">
        <v>100</v>
      </c>
      <c r="PT113" s="10" t="n">
        <v>46114</v>
      </c>
      <c r="PV113" s="9" t="n">
        <v>0</v>
      </c>
      <c r="PX113" s="9" t="n">
        <v>0</v>
      </c>
      <c r="PY113" s="9" t="n">
        <v>13.96000000000004</v>
      </c>
      <c r="QC113" s="10" t="n">
        <v>46114</v>
      </c>
      <c r="QE113" s="9" t="n">
        <v>0</v>
      </c>
      <c r="QG113" s="9" t="n">
        <v>0</v>
      </c>
      <c r="QH113" s="9" t="n">
        <v>1212</v>
      </c>
      <c r="QL113" s="10" t="n">
        <v>46114</v>
      </c>
      <c r="QN113" s="9" t="n">
        <v>0</v>
      </c>
      <c r="QP113" s="9" t="n">
        <v>0</v>
      </c>
      <c r="QQ113" s="9" t="n">
        <v>400</v>
      </c>
      <c r="QU113" s="10" t="n">
        <v>46114</v>
      </c>
      <c r="QW113" s="9" t="n">
        <v>0</v>
      </c>
      <c r="QY113" s="9" t="n">
        <v>0</v>
      </c>
      <c r="QZ113" s="9" t="n">
        <v>207.6</v>
      </c>
      <c r="RD113" s="10" t="n">
        <v>46114</v>
      </c>
      <c r="RF113" s="9" t="n">
        <v>0</v>
      </c>
      <c r="RH113" s="9" t="n">
        <v>0</v>
      </c>
      <c r="RI113" s="9" t="n">
        <v>197.04</v>
      </c>
      <c r="RM113" s="10" t="n">
        <v>46114</v>
      </c>
      <c r="RO113" s="9" t="n">
        <v>0</v>
      </c>
      <c r="RQ113" s="9" t="n">
        <v>0</v>
      </c>
      <c r="RR113" s="9" t="n">
        <v>46.8</v>
      </c>
      <c r="RV113" s="10" t="n">
        <v>46114</v>
      </c>
      <c r="RX113" s="9" t="n">
        <v>0</v>
      </c>
      <c r="RZ113" s="9" t="n">
        <v>0</v>
      </c>
      <c r="SA113" s="9" t="n">
        <v>0</v>
      </c>
      <c r="SE113" s="10" t="n">
        <v>46114</v>
      </c>
      <c r="SG113" s="9" t="n">
        <v>0</v>
      </c>
      <c r="SI113" s="9" t="n">
        <v>0</v>
      </c>
      <c r="SJ113" s="9" t="n">
        <v>0</v>
      </c>
      <c r="SN113" s="10" t="n">
        <v>46114</v>
      </c>
      <c r="SP113" s="9" t="n">
        <v>0</v>
      </c>
      <c r="SR113" s="9" t="n">
        <v>0</v>
      </c>
      <c r="SS113" s="9" t="n">
        <v>0</v>
      </c>
      <c r="SW113" s="10" t="n">
        <v>46114</v>
      </c>
      <c r="SY113" s="9" t="n">
        <v>0</v>
      </c>
      <c r="TA113" s="9" t="n">
        <v>0</v>
      </c>
      <c r="TB113" s="9" t="n">
        <v>0</v>
      </c>
      <c r="TF113" s="10" t="n">
        <v>46114</v>
      </c>
      <c r="TH113" s="9" t="n">
        <v>0</v>
      </c>
      <c r="TJ113" s="9" t="n">
        <v>0</v>
      </c>
      <c r="TK113" s="9" t="n">
        <v>0</v>
      </c>
      <c r="TO113" s="10" t="n">
        <v>46114</v>
      </c>
      <c r="TQ113" s="9" t="n">
        <v>0</v>
      </c>
      <c r="TS113" s="9" t="n">
        <v>0</v>
      </c>
      <c r="TT113" s="9" t="n">
        <v>0</v>
      </c>
      <c r="TX113" s="10" t="n">
        <v>46114</v>
      </c>
      <c r="TZ113" s="9" t="n">
        <v>0</v>
      </c>
      <c r="UB113" s="9" t="n">
        <v>0</v>
      </c>
      <c r="UC113" s="9" t="n">
        <v>0</v>
      </c>
      <c r="UG113" s="10" t="n">
        <v>46114</v>
      </c>
      <c r="UI113" s="9" t="n">
        <v>0</v>
      </c>
      <c r="UK113" s="9" t="n">
        <v>0</v>
      </c>
      <c r="UL113" s="9" t="n">
        <v>0</v>
      </c>
      <c r="UP113" s="10" t="n">
        <v>46114</v>
      </c>
      <c r="UR113" s="9" t="n">
        <v>0</v>
      </c>
      <c r="UT113" s="9" t="n">
        <v>0</v>
      </c>
      <c r="UU113" s="9" t="n">
        <v>0</v>
      </c>
      <c r="UY113" s="10" t="n">
        <v>46114</v>
      </c>
      <c r="VA113" s="9" t="n">
        <v>0</v>
      </c>
      <c r="VC113" s="9" t="n">
        <v>0</v>
      </c>
      <c r="VD113" s="9" t="n">
        <v>41.60000000000002</v>
      </c>
      <c r="VH113" s="10" t="n">
        <v>46114</v>
      </c>
      <c r="VJ113" s="9" t="n">
        <v>0</v>
      </c>
      <c r="VL113" s="9" t="n">
        <v>0</v>
      </c>
      <c r="VM113" s="9" t="n">
        <v>0</v>
      </c>
      <c r="VQ113" s="10" t="n">
        <v>46114</v>
      </c>
      <c r="VS113" s="9" t="n">
        <v>0</v>
      </c>
      <c r="VU113" s="9" t="n">
        <v>0</v>
      </c>
      <c r="VV113" s="9" t="n">
        <v>0</v>
      </c>
      <c r="VZ113" s="10" t="n">
        <v>46114</v>
      </c>
      <c r="WB113" s="9" t="n">
        <v>0</v>
      </c>
      <c r="WD113" s="9" t="n">
        <v>0</v>
      </c>
      <c r="WE113" s="9" t="n">
        <v>0</v>
      </c>
      <c r="WI113" s="10" t="n">
        <v>46114</v>
      </c>
      <c r="WK113" s="9" t="n">
        <v>0</v>
      </c>
      <c r="WM113" s="9" t="n">
        <v>0</v>
      </c>
      <c r="WN113" s="9" t="n">
        <v>3889</v>
      </c>
      <c r="WR113" s="10" t="n">
        <v>46114</v>
      </c>
      <c r="WT113" s="9" t="n">
        <v>0</v>
      </c>
      <c r="WV113" s="9" t="n">
        <v>0</v>
      </c>
      <c r="WW113" s="9" t="n">
        <v>0</v>
      </c>
      <c r="XA113" s="10" t="n">
        <v>46114</v>
      </c>
      <c r="XB113" s="9" t="n">
        <v>8519</v>
      </c>
      <c r="XC113" s="9" t="n">
        <v>0</v>
      </c>
      <c r="XE113" s="9" t="n">
        <v>0</v>
      </c>
      <c r="XF113" s="9" t="n">
        <v>14868</v>
      </c>
      <c r="XJ113" s="10" t="n">
        <v>46114</v>
      </c>
      <c r="XK113" s="9" t="n">
        <v>2000</v>
      </c>
      <c r="XL113" s="9" t="n">
        <v>0</v>
      </c>
      <c r="XN113" s="9" t="n">
        <v>0</v>
      </c>
      <c r="XO113" s="9" t="n">
        <v>7590</v>
      </c>
      <c r="XS113" s="10" t="n">
        <v>46114</v>
      </c>
      <c r="XU113" s="9" t="n">
        <v>0</v>
      </c>
      <c r="XW113" s="9" t="n">
        <v>0</v>
      </c>
      <c r="XX113" s="9" t="n">
        <v>1901</v>
      </c>
      <c r="YB113" s="10" t="n">
        <v>46114</v>
      </c>
      <c r="YD113" s="9" t="n">
        <v>0</v>
      </c>
      <c r="YF113" s="9" t="n">
        <v>0</v>
      </c>
      <c r="YG113" s="9" t="n">
        <v>6459</v>
      </c>
      <c r="YK113" s="10" t="n">
        <v>46114</v>
      </c>
      <c r="YM113" s="9" t="n">
        <v>0</v>
      </c>
      <c r="YO113" s="9" t="n">
        <v>0</v>
      </c>
      <c r="YP113" s="9" t="n">
        <v>0</v>
      </c>
      <c r="YT113" s="10" t="n">
        <v>46114</v>
      </c>
      <c r="YV113" s="9" t="n">
        <v>0</v>
      </c>
      <c r="YX113" s="9" t="n">
        <v>0</v>
      </c>
      <c r="YY113" s="9" t="n">
        <v>0</v>
      </c>
      <c r="ZC113" s="10" t="n">
        <v>46114</v>
      </c>
      <c r="ZE113" s="9" t="n">
        <v>0</v>
      </c>
      <c r="ZG113" s="9" t="n">
        <v>0</v>
      </c>
      <c r="ZH113" s="9" t="n">
        <v>0</v>
      </c>
      <c r="ZL113" s="10" t="n">
        <v>46114</v>
      </c>
      <c r="ZN113" s="9" t="n">
        <v>0</v>
      </c>
      <c r="ZP113" s="9" t="n">
        <v>0</v>
      </c>
      <c r="ZQ113" s="9" t="n">
        <v>0</v>
      </c>
      <c r="ZU113" s="10" t="n">
        <v>46114</v>
      </c>
      <c r="ZW113" s="9" t="n">
        <v>0</v>
      </c>
      <c r="ZY113" s="9" t="n">
        <v>0</v>
      </c>
      <c r="ZZ113" s="9" t="n">
        <v>0</v>
      </c>
      <c r="AAD113" s="10" t="n">
        <v>46114</v>
      </c>
      <c r="AAF113" s="9" t="n">
        <v>0</v>
      </c>
      <c r="AAH113" s="9" t="n">
        <v>0</v>
      </c>
      <c r="AAI113" s="9" t="n">
        <v>0</v>
      </c>
      <c r="AAM113" s="10" t="n">
        <v>46114</v>
      </c>
      <c r="AAO113" s="9" t="n">
        <v>0</v>
      </c>
      <c r="AAQ113" s="9" t="n">
        <v>0</v>
      </c>
      <c r="AAR113" s="9" t="n">
        <v>0</v>
      </c>
      <c r="AAV113" s="10" t="n">
        <v>46114</v>
      </c>
      <c r="AAX113" s="9" t="n">
        <v>0</v>
      </c>
      <c r="AAZ113" s="9" t="n">
        <v>0</v>
      </c>
      <c r="ABA113" s="9" t="n">
        <v>0</v>
      </c>
      <c r="ABE113" s="10" t="n">
        <v>46114</v>
      </c>
      <c r="ABG113" s="9" t="n">
        <v>0</v>
      </c>
      <c r="ABI113" s="9" t="n">
        <v>0</v>
      </c>
      <c r="ABJ113" s="9" t="n">
        <v>0</v>
      </c>
    </row>
    <row r="114">
      <c r="B114" s="9" t="n">
        <v>126</v>
      </c>
      <c r="C114" s="10" t="n">
        <v>46115</v>
      </c>
      <c r="D114" s="9" t="n">
        <v>27490</v>
      </c>
      <c r="E114" s="9" t="n">
        <v>65765.09999999999</v>
      </c>
      <c r="F114" s="9" t="n">
        <v>65767.39999999999</v>
      </c>
      <c r="G114" s="9" t="n">
        <v>-2.30000000000291</v>
      </c>
      <c r="H114" s="9" t="n">
        <v>69031.39999999997</v>
      </c>
      <c r="I114" s="9" t="inlineStr">
        <is>
          <t>122 20mt, 122 30mt, 1101 76mt</t>
        </is>
      </c>
      <c r="L114" s="10" t="n">
        <v>46115</v>
      </c>
      <c r="M114" s="9" t="n">
        <v>28250</v>
      </c>
      <c r="N114" s="9" t="n">
        <v>35045</v>
      </c>
      <c r="O114" s="9" t="n">
        <v>35041</v>
      </c>
      <c r="P114" s="9" t="n">
        <v>4</v>
      </c>
      <c r="Q114" s="9" t="n">
        <v>27167.60000000009</v>
      </c>
      <c r="U114" s="10" t="n">
        <v>46115</v>
      </c>
      <c r="W114" s="9" t="n">
        <v>6075</v>
      </c>
      <c r="X114" s="9" t="n">
        <v>6077.2</v>
      </c>
      <c r="Y114" s="9" t="n">
        <v>-2.199999999999818</v>
      </c>
      <c r="Z114" s="9" t="n">
        <v>12610.59999999997</v>
      </c>
      <c r="AD114" s="10" t="n">
        <v>46115</v>
      </c>
      <c r="AF114" s="9" t="n">
        <v>4450</v>
      </c>
      <c r="AG114" s="9" t="n">
        <v>4452.3</v>
      </c>
      <c r="AH114" s="9" t="n">
        <v>-2.300000000000182</v>
      </c>
      <c r="AI114" s="9" t="n">
        <v>49219.70000000002</v>
      </c>
      <c r="AM114" s="10" t="n">
        <v>46115</v>
      </c>
      <c r="AO114" s="9" t="n">
        <v>0</v>
      </c>
      <c r="AQ114" s="9" t="n">
        <v>0</v>
      </c>
      <c r="AR114" s="9" t="n">
        <v>0</v>
      </c>
      <c r="AV114" s="10" t="n">
        <v>46115</v>
      </c>
      <c r="AX114" s="9" t="n">
        <v>1520</v>
      </c>
      <c r="AY114" s="9" t="n">
        <v>1518.4</v>
      </c>
      <c r="AZ114" s="9" t="n">
        <v>1.599999999999909</v>
      </c>
      <c r="BA114" s="9" t="n">
        <v>15368.29999999999</v>
      </c>
      <c r="BE114" s="10" t="n">
        <v>46115</v>
      </c>
      <c r="BF114" s="9" t="n">
        <v>28160</v>
      </c>
      <c r="BG114" s="9" t="n">
        <v>2100</v>
      </c>
      <c r="BH114" s="9" t="n">
        <v>2104.6</v>
      </c>
      <c r="BI114" s="9" t="n">
        <v>-4.599999999999909</v>
      </c>
      <c r="BJ114" s="9" t="n">
        <v>25498</v>
      </c>
      <c r="BN114" s="10" t="n">
        <v>46115</v>
      </c>
      <c r="BO114" s="9" t="n">
        <v>2520</v>
      </c>
      <c r="BP114" s="9" t="n">
        <v>2520</v>
      </c>
      <c r="BQ114" s="9" t="n">
        <v>2520</v>
      </c>
      <c r="BR114" s="9" t="n">
        <v>0</v>
      </c>
      <c r="BS114" s="9" t="n">
        <v>0</v>
      </c>
      <c r="BW114" s="10" t="n">
        <v>46115</v>
      </c>
      <c r="BY114" s="9" t="n">
        <v>503.5</v>
      </c>
      <c r="CA114" s="9" t="n">
        <v>503.5</v>
      </c>
      <c r="CB114" s="9" t="n">
        <v>11812.9</v>
      </c>
      <c r="CF114" s="10" t="n">
        <v>46115</v>
      </c>
      <c r="CH114" s="9" t="n">
        <v>568.4</v>
      </c>
      <c r="CJ114" s="9" t="n">
        <v>568.4</v>
      </c>
      <c r="CK114" s="9" t="n">
        <v>0</v>
      </c>
      <c r="CO114" s="10" t="n">
        <v>46115</v>
      </c>
      <c r="CQ114" s="9" t="n">
        <v>0</v>
      </c>
      <c r="CS114" s="9" t="n">
        <v>0</v>
      </c>
      <c r="CT114" s="9" t="n">
        <v>0</v>
      </c>
      <c r="CX114" s="10" t="n">
        <v>46115</v>
      </c>
      <c r="CY114" s="9" t="n">
        <v>10240</v>
      </c>
      <c r="CZ114" s="9" t="n">
        <v>2500</v>
      </c>
      <c r="DA114" s="9" t="n">
        <v>2500.6</v>
      </c>
      <c r="DB114" s="9" t="n">
        <v>-0.5999999999999091</v>
      </c>
      <c r="DC114" s="9" t="n">
        <v>38937.9</v>
      </c>
      <c r="DG114" s="10" t="n">
        <v>46115</v>
      </c>
      <c r="DI114" s="9" t="n">
        <v>2000</v>
      </c>
      <c r="DJ114" s="9" t="n">
        <v>2001</v>
      </c>
      <c r="DK114" s="9" t="n">
        <v>-1</v>
      </c>
      <c r="DL114" s="9" t="n">
        <v>4588.999999999995</v>
      </c>
      <c r="DP114" s="10" t="n">
        <v>46115</v>
      </c>
      <c r="DR114" s="9" t="n">
        <v>0</v>
      </c>
      <c r="DT114" s="9" t="n">
        <v>0</v>
      </c>
      <c r="DU114" s="9" t="n">
        <v>7150</v>
      </c>
      <c r="DY114" s="10" t="n">
        <v>46115</v>
      </c>
      <c r="EA114" s="9" t="n">
        <v>0</v>
      </c>
      <c r="EC114" s="9" t="n">
        <v>0</v>
      </c>
      <c r="ED114" s="9" t="n">
        <v>1347.3</v>
      </c>
      <c r="EH114" s="10" t="n">
        <v>46115</v>
      </c>
      <c r="EJ114" s="9" t="n">
        <v>0</v>
      </c>
      <c r="EL114" s="9" t="n">
        <v>0</v>
      </c>
      <c r="EM114" s="9" t="n">
        <v>0</v>
      </c>
      <c r="EQ114" s="10" t="n">
        <v>46115</v>
      </c>
      <c r="ES114" s="9" t="n">
        <v>0</v>
      </c>
      <c r="EU114" s="9" t="n">
        <v>0</v>
      </c>
      <c r="EV114" s="9" t="n">
        <v>0</v>
      </c>
      <c r="EZ114" s="10" t="n">
        <v>46115</v>
      </c>
      <c r="FB114" s="9" t="n">
        <v>0</v>
      </c>
      <c r="FD114" s="9" t="n">
        <v>0</v>
      </c>
      <c r="FE114" s="9" t="n">
        <v>0</v>
      </c>
      <c r="FI114" s="10" t="n">
        <v>46115</v>
      </c>
      <c r="FK114" s="9" t="n">
        <v>0</v>
      </c>
      <c r="FM114" s="9" t="n">
        <v>0</v>
      </c>
      <c r="FN114" s="9" t="n">
        <v>0</v>
      </c>
      <c r="FR114" s="10" t="n">
        <v>46115</v>
      </c>
      <c r="FT114" s="9" t="n">
        <v>1520</v>
      </c>
      <c r="FV114" s="9" t="n">
        <v>1520</v>
      </c>
      <c r="FW114" s="9" t="n">
        <v>1980</v>
      </c>
      <c r="GA114" s="10" t="n">
        <v>46115</v>
      </c>
      <c r="GB114" s="9" t="n">
        <v>4000</v>
      </c>
      <c r="GC114" s="9" t="n">
        <v>0</v>
      </c>
      <c r="GE114" s="9" t="n">
        <v>0</v>
      </c>
      <c r="GF114" s="9" t="n">
        <v>6000</v>
      </c>
      <c r="GJ114" s="10" t="n">
        <v>46115</v>
      </c>
      <c r="GL114" s="9" t="n">
        <v>0</v>
      </c>
      <c r="GN114" s="9" t="n">
        <v>0</v>
      </c>
      <c r="GO114" s="9" t="n">
        <v>4800</v>
      </c>
      <c r="GS114" s="10" t="n">
        <v>46115</v>
      </c>
      <c r="GU114" s="9" t="n">
        <v>0</v>
      </c>
      <c r="GW114" s="9" t="n">
        <v>0</v>
      </c>
      <c r="GX114" s="9" t="n">
        <v>0</v>
      </c>
      <c r="HB114" s="10" t="n">
        <v>46115</v>
      </c>
      <c r="HD114" s="9" t="n">
        <v>0</v>
      </c>
      <c r="HF114" s="9" t="n">
        <v>0</v>
      </c>
      <c r="HG114" s="9" t="n">
        <v>0</v>
      </c>
      <c r="HK114" s="10" t="n">
        <v>46115</v>
      </c>
      <c r="HM114" s="9" t="n">
        <v>0</v>
      </c>
      <c r="HO114" s="9" t="n">
        <v>0</v>
      </c>
      <c r="HP114" s="9" t="n">
        <v>0</v>
      </c>
      <c r="HU114" s="10" t="n">
        <v>46115</v>
      </c>
      <c r="HW114" s="9" t="n">
        <v>0</v>
      </c>
      <c r="HY114" s="9" t="n">
        <v>0</v>
      </c>
      <c r="HZ114" s="9" t="n">
        <v>5120</v>
      </c>
      <c r="ID114" s="10" t="n">
        <v>46115</v>
      </c>
      <c r="IF114" s="9" t="n">
        <v>0</v>
      </c>
      <c r="IH114" s="9" t="n">
        <v>0</v>
      </c>
      <c r="II114" s="9" t="n">
        <v>6540</v>
      </c>
      <c r="IM114" s="10" t="n">
        <v>46115</v>
      </c>
      <c r="IO114" s="9" t="n">
        <v>0</v>
      </c>
      <c r="IQ114" s="9" t="n">
        <v>0</v>
      </c>
      <c r="IR114" s="9" t="n">
        <v>11540</v>
      </c>
      <c r="IV114" s="10" t="n">
        <v>46115</v>
      </c>
      <c r="IX114" s="9" t="n">
        <v>0</v>
      </c>
      <c r="IZ114" s="9" t="n">
        <v>0</v>
      </c>
      <c r="JA114" s="9" t="n">
        <v>15120</v>
      </c>
      <c r="JE114" s="10" t="n">
        <v>46115</v>
      </c>
      <c r="JG114" s="9" t="n">
        <v>0</v>
      </c>
      <c r="JI114" s="9" t="n">
        <v>0</v>
      </c>
      <c r="JJ114" s="9" t="n">
        <v>5040</v>
      </c>
      <c r="JN114" s="10" t="n">
        <v>46115</v>
      </c>
      <c r="JP114" s="9" t="n">
        <v>0</v>
      </c>
      <c r="JR114" s="9" t="n">
        <v>0</v>
      </c>
      <c r="JS114" s="9" t="n">
        <v>9100</v>
      </c>
      <c r="JW114" s="10" t="n">
        <v>46115</v>
      </c>
      <c r="JY114" s="9" t="n">
        <v>0</v>
      </c>
      <c r="KA114" s="9" t="n">
        <v>0</v>
      </c>
      <c r="KB114" s="9" t="n">
        <v>4220</v>
      </c>
      <c r="KF114" s="10" t="n">
        <v>46115</v>
      </c>
      <c r="KH114" s="9" t="n">
        <v>975</v>
      </c>
      <c r="KJ114" s="9" t="n">
        <v>975</v>
      </c>
      <c r="KK114" s="9" t="n">
        <v>7702.5</v>
      </c>
      <c r="KO114" s="10" t="n">
        <v>46115</v>
      </c>
      <c r="KQ114" s="9" t="n">
        <v>0</v>
      </c>
      <c r="KS114" s="9" t="n">
        <v>0</v>
      </c>
      <c r="KT114" s="9" t="n">
        <v>6426</v>
      </c>
      <c r="KX114" s="10" t="n">
        <v>46115</v>
      </c>
      <c r="KZ114" s="9" t="n">
        <v>0</v>
      </c>
      <c r="LB114" s="9" t="n">
        <v>0</v>
      </c>
      <c r="LC114" s="9" t="n">
        <v>0</v>
      </c>
      <c r="LG114" s="10" t="n">
        <v>46115</v>
      </c>
      <c r="LI114" s="9" t="n">
        <v>0</v>
      </c>
      <c r="LK114" s="9" t="n">
        <v>0</v>
      </c>
      <c r="LL114" s="9" t="n">
        <v>0</v>
      </c>
      <c r="LP114" s="10" t="n">
        <v>46115</v>
      </c>
      <c r="LR114" s="9" t="n">
        <v>0</v>
      </c>
      <c r="LT114" s="9" t="n">
        <v>0</v>
      </c>
      <c r="LU114" s="9" t="n">
        <v>0</v>
      </c>
      <c r="LY114" s="10" t="n">
        <v>46115</v>
      </c>
      <c r="MA114" s="9" t="n">
        <v>0</v>
      </c>
      <c r="MC114" s="9" t="n">
        <v>0</v>
      </c>
      <c r="MD114" s="9" t="n">
        <v>0</v>
      </c>
      <c r="MH114" s="10" t="n">
        <v>46115</v>
      </c>
      <c r="MJ114" s="9" t="n">
        <v>0</v>
      </c>
      <c r="ML114" s="9" t="n">
        <v>0</v>
      </c>
      <c r="MM114" s="9" t="n">
        <v>0</v>
      </c>
      <c r="MQ114" s="10" t="n">
        <v>46115</v>
      </c>
      <c r="MS114" s="9" t="n">
        <v>78</v>
      </c>
      <c r="MU114" s="9" t="n">
        <v>78</v>
      </c>
      <c r="MV114" s="9" t="n">
        <v>4195</v>
      </c>
      <c r="MZ114" s="10" t="n">
        <v>46115</v>
      </c>
      <c r="NB114" s="9" t="n">
        <v>150</v>
      </c>
      <c r="ND114" s="9" t="n">
        <v>150</v>
      </c>
      <c r="NE114" s="9" t="n">
        <v>0</v>
      </c>
      <c r="NI114" s="10" t="n">
        <v>46115</v>
      </c>
      <c r="NK114" s="9" t="n">
        <v>30</v>
      </c>
      <c r="NM114" s="9" t="n">
        <v>30</v>
      </c>
      <c r="NN114" s="9" t="n">
        <v>2065</v>
      </c>
      <c r="NR114" s="10" t="n">
        <v>46115</v>
      </c>
      <c r="NT114" s="9" t="n">
        <v>60</v>
      </c>
      <c r="NV114" s="9" t="n">
        <v>60</v>
      </c>
      <c r="NW114" s="9" t="n">
        <v>4152.5</v>
      </c>
      <c r="OA114" s="10" t="n">
        <v>46115</v>
      </c>
      <c r="OC114" s="9" t="n">
        <v>0</v>
      </c>
      <c r="OE114" s="9" t="n">
        <v>0</v>
      </c>
      <c r="OF114" s="9" t="n">
        <v>1680.5</v>
      </c>
      <c r="OJ114" s="10" t="n">
        <v>46115</v>
      </c>
      <c r="OL114" s="9" t="n">
        <v>140</v>
      </c>
      <c r="ON114" s="9" t="n">
        <v>140</v>
      </c>
      <c r="OO114" s="9" t="n">
        <v>0</v>
      </c>
      <c r="OS114" s="10" t="n">
        <v>46115</v>
      </c>
      <c r="OU114" s="9" t="n">
        <v>0</v>
      </c>
      <c r="OW114" s="9" t="n">
        <v>0</v>
      </c>
      <c r="OX114" s="9" t="n">
        <v>1000</v>
      </c>
      <c r="PB114" s="10" t="n">
        <v>46115</v>
      </c>
      <c r="PD114" s="9" t="n">
        <v>0</v>
      </c>
      <c r="PF114" s="9" t="n">
        <v>0</v>
      </c>
      <c r="PG114" s="9" t="n">
        <v>0</v>
      </c>
      <c r="PK114" s="10" t="n">
        <v>46115</v>
      </c>
      <c r="PM114" s="9" t="n">
        <v>0</v>
      </c>
      <c r="PO114" s="9" t="n">
        <v>0</v>
      </c>
      <c r="PP114" s="9" t="n">
        <v>100</v>
      </c>
      <c r="PT114" s="10" t="n">
        <v>46115</v>
      </c>
      <c r="PV114" s="9" t="n">
        <v>0</v>
      </c>
      <c r="PX114" s="9" t="n">
        <v>0</v>
      </c>
      <c r="PY114" s="9" t="n">
        <v>13.96000000000004</v>
      </c>
      <c r="QC114" s="10" t="n">
        <v>46115</v>
      </c>
      <c r="QE114" s="9" t="n">
        <v>0</v>
      </c>
      <c r="QG114" s="9" t="n">
        <v>0</v>
      </c>
      <c r="QH114" s="9" t="n">
        <v>1212</v>
      </c>
      <c r="QL114" s="10" t="n">
        <v>46115</v>
      </c>
      <c r="QN114" s="9" t="n">
        <v>0</v>
      </c>
      <c r="QP114" s="9" t="n">
        <v>0</v>
      </c>
      <c r="QQ114" s="9" t="n">
        <v>400</v>
      </c>
      <c r="QU114" s="10" t="n">
        <v>46115</v>
      </c>
      <c r="QW114" s="9" t="n">
        <v>0</v>
      </c>
      <c r="QY114" s="9" t="n">
        <v>0</v>
      </c>
      <c r="QZ114" s="9" t="n">
        <v>207.6</v>
      </c>
      <c r="RD114" s="10" t="n">
        <v>46115</v>
      </c>
      <c r="RF114" s="9" t="n">
        <v>0</v>
      </c>
      <c r="RH114" s="9" t="n">
        <v>0</v>
      </c>
      <c r="RI114" s="9" t="n">
        <v>197.04</v>
      </c>
      <c r="RM114" s="10" t="n">
        <v>46115</v>
      </c>
      <c r="RO114" s="9" t="n">
        <v>0</v>
      </c>
      <c r="RQ114" s="9" t="n">
        <v>0</v>
      </c>
      <c r="RR114" s="9" t="n">
        <v>46.8</v>
      </c>
      <c r="RV114" s="10" t="n">
        <v>46115</v>
      </c>
      <c r="RX114" s="9" t="n">
        <v>0</v>
      </c>
      <c r="RZ114" s="9" t="n">
        <v>0</v>
      </c>
      <c r="SA114" s="9" t="n">
        <v>0</v>
      </c>
      <c r="SE114" s="10" t="n">
        <v>46115</v>
      </c>
      <c r="SG114" s="9" t="n">
        <v>0</v>
      </c>
      <c r="SI114" s="9" t="n">
        <v>0</v>
      </c>
      <c r="SJ114" s="9" t="n">
        <v>0</v>
      </c>
      <c r="SN114" s="10" t="n">
        <v>46115</v>
      </c>
      <c r="SP114" s="9" t="n">
        <v>0</v>
      </c>
      <c r="SR114" s="9" t="n">
        <v>0</v>
      </c>
      <c r="SS114" s="9" t="n">
        <v>0</v>
      </c>
      <c r="SW114" s="10" t="n">
        <v>46115</v>
      </c>
      <c r="SY114" s="9" t="n">
        <v>0</v>
      </c>
      <c r="TA114" s="9" t="n">
        <v>0</v>
      </c>
      <c r="TB114" s="9" t="n">
        <v>0</v>
      </c>
      <c r="TF114" s="10" t="n">
        <v>46115</v>
      </c>
      <c r="TH114" s="9" t="n">
        <v>0</v>
      </c>
      <c r="TJ114" s="9" t="n">
        <v>0</v>
      </c>
      <c r="TK114" s="9" t="n">
        <v>0</v>
      </c>
      <c r="TO114" s="10" t="n">
        <v>46115</v>
      </c>
      <c r="TQ114" s="9" t="n">
        <v>0</v>
      </c>
      <c r="TS114" s="9" t="n">
        <v>0</v>
      </c>
      <c r="TT114" s="9" t="n">
        <v>0</v>
      </c>
      <c r="TX114" s="10" t="n">
        <v>46115</v>
      </c>
      <c r="TZ114" s="9" t="n">
        <v>0</v>
      </c>
      <c r="UB114" s="9" t="n">
        <v>0</v>
      </c>
      <c r="UC114" s="9" t="n">
        <v>0</v>
      </c>
      <c r="UG114" s="10" t="n">
        <v>46115</v>
      </c>
      <c r="UI114" s="9" t="n">
        <v>0</v>
      </c>
      <c r="UK114" s="9" t="n">
        <v>0</v>
      </c>
      <c r="UL114" s="9" t="n">
        <v>0</v>
      </c>
      <c r="UP114" s="10" t="n">
        <v>46115</v>
      </c>
      <c r="UR114" s="9" t="n">
        <v>0</v>
      </c>
      <c r="UT114" s="9" t="n">
        <v>0</v>
      </c>
      <c r="UU114" s="9" t="n">
        <v>0</v>
      </c>
      <c r="UY114" s="10" t="n">
        <v>46115</v>
      </c>
      <c r="VA114" s="9" t="n">
        <v>0</v>
      </c>
      <c r="VC114" s="9" t="n">
        <v>0</v>
      </c>
      <c r="VD114" s="9" t="n">
        <v>41.60000000000002</v>
      </c>
      <c r="VH114" s="10" t="n">
        <v>46115</v>
      </c>
      <c r="VJ114" s="9" t="n">
        <v>0</v>
      </c>
      <c r="VL114" s="9" t="n">
        <v>0</v>
      </c>
      <c r="VM114" s="9" t="n">
        <v>0</v>
      </c>
      <c r="VQ114" s="10" t="n">
        <v>46115</v>
      </c>
      <c r="VS114" s="9" t="n">
        <v>0</v>
      </c>
      <c r="VU114" s="9" t="n">
        <v>0</v>
      </c>
      <c r="VV114" s="9" t="n">
        <v>0</v>
      </c>
      <c r="VZ114" s="10" t="n">
        <v>46115</v>
      </c>
      <c r="WB114" s="9" t="n">
        <v>0</v>
      </c>
      <c r="WD114" s="9" t="n">
        <v>0</v>
      </c>
      <c r="WE114" s="9" t="n">
        <v>0</v>
      </c>
      <c r="WI114" s="10" t="n">
        <v>46115</v>
      </c>
      <c r="WK114" s="9" t="n">
        <v>0</v>
      </c>
      <c r="WL114" s="9" t="n">
        <v>853</v>
      </c>
      <c r="WM114" s="9" t="n">
        <v>-853</v>
      </c>
      <c r="WN114" s="9" t="n">
        <v>3036</v>
      </c>
      <c r="WR114" s="10" t="n">
        <v>46115</v>
      </c>
      <c r="WT114" s="9" t="n">
        <v>0</v>
      </c>
      <c r="WV114" s="9" t="n">
        <v>0</v>
      </c>
      <c r="WW114" s="9" t="n">
        <v>0</v>
      </c>
      <c r="XA114" s="10" t="n">
        <v>46115</v>
      </c>
      <c r="XC114" s="9" t="n">
        <v>0</v>
      </c>
      <c r="XE114" s="9" t="n">
        <v>0</v>
      </c>
      <c r="XF114" s="9" t="n">
        <v>14868</v>
      </c>
      <c r="XJ114" s="10" t="n">
        <v>46115</v>
      </c>
      <c r="XL114" s="9" t="n">
        <v>0</v>
      </c>
      <c r="XM114" s="9" t="n">
        <v>288</v>
      </c>
      <c r="XN114" s="9" t="n">
        <v>-288</v>
      </c>
      <c r="XO114" s="9" t="n">
        <v>7302</v>
      </c>
      <c r="XS114" s="10" t="n">
        <v>46115</v>
      </c>
      <c r="XU114" s="9" t="n">
        <v>0</v>
      </c>
      <c r="XW114" s="9" t="n">
        <v>0</v>
      </c>
      <c r="XX114" s="9" t="n">
        <v>1901</v>
      </c>
      <c r="YB114" s="10" t="n">
        <v>46115</v>
      </c>
      <c r="YD114" s="9" t="n">
        <v>0</v>
      </c>
      <c r="YF114" s="9" t="n">
        <v>0</v>
      </c>
      <c r="YG114" s="9" t="n">
        <v>6459</v>
      </c>
      <c r="YK114" s="10" t="n">
        <v>46115</v>
      </c>
      <c r="YM114" s="9" t="n">
        <v>0</v>
      </c>
      <c r="YO114" s="9" t="n">
        <v>0</v>
      </c>
      <c r="YP114" s="9" t="n">
        <v>0</v>
      </c>
      <c r="YT114" s="10" t="n">
        <v>46115</v>
      </c>
      <c r="YV114" s="9" t="n">
        <v>0</v>
      </c>
      <c r="YX114" s="9" t="n">
        <v>0</v>
      </c>
      <c r="YY114" s="9" t="n">
        <v>0</v>
      </c>
      <c r="ZC114" s="10" t="n">
        <v>46115</v>
      </c>
      <c r="ZE114" s="9" t="n">
        <v>0</v>
      </c>
      <c r="ZG114" s="9" t="n">
        <v>0</v>
      </c>
      <c r="ZH114" s="9" t="n">
        <v>0</v>
      </c>
      <c r="ZL114" s="10" t="n">
        <v>46115</v>
      </c>
      <c r="ZN114" s="9" t="n">
        <v>0</v>
      </c>
      <c r="ZP114" s="9" t="n">
        <v>0</v>
      </c>
      <c r="ZQ114" s="9" t="n">
        <v>0</v>
      </c>
      <c r="ZU114" s="10" t="n">
        <v>46115</v>
      </c>
      <c r="ZW114" s="9" t="n">
        <v>0</v>
      </c>
      <c r="ZY114" s="9" t="n">
        <v>0</v>
      </c>
      <c r="ZZ114" s="9" t="n">
        <v>0</v>
      </c>
      <c r="AAD114" s="10" t="n">
        <v>46115</v>
      </c>
      <c r="AAF114" s="9" t="n">
        <v>0</v>
      </c>
      <c r="AAH114" s="9" t="n">
        <v>0</v>
      </c>
      <c r="AAI114" s="9" t="n">
        <v>0</v>
      </c>
      <c r="AAM114" s="10" t="n">
        <v>46115</v>
      </c>
      <c r="AAO114" s="9" t="n">
        <v>0</v>
      </c>
      <c r="AAQ114" s="9" t="n">
        <v>0</v>
      </c>
      <c r="AAR114" s="9" t="n">
        <v>0</v>
      </c>
      <c r="AAV114" s="10" t="n">
        <v>46115</v>
      </c>
      <c r="AAX114" s="9" t="n">
        <v>0</v>
      </c>
      <c r="AAZ114" s="9" t="n">
        <v>0</v>
      </c>
      <c r="ABA114" s="9" t="n">
        <v>0</v>
      </c>
      <c r="ABE114" s="10" t="n">
        <v>46115</v>
      </c>
      <c r="ABG114" s="9" t="n">
        <v>0</v>
      </c>
      <c r="ABI114" s="9" t="n">
        <v>0</v>
      </c>
      <c r="ABJ114" s="9" t="n">
        <v>0</v>
      </c>
    </row>
    <row r="115">
      <c r="C115" s="10" t="n">
        <v>46116</v>
      </c>
      <c r="D115" s="9" t="n">
        <v>60450</v>
      </c>
      <c r="E115" s="9" t="n">
        <v>0</v>
      </c>
      <c r="G115" s="9" t="n">
        <v>0</v>
      </c>
      <c r="H115" s="9" t="n">
        <v>129481.4</v>
      </c>
      <c r="L115" s="10" t="n">
        <v>46116</v>
      </c>
      <c r="M115" s="9" t="n">
        <v>30310</v>
      </c>
      <c r="N115" s="9" t="n">
        <v>0</v>
      </c>
      <c r="P115" s="9" t="n">
        <v>0</v>
      </c>
      <c r="Q115" s="9" t="n">
        <v>57477.60000000009</v>
      </c>
      <c r="U115" s="10" t="n">
        <v>46116</v>
      </c>
      <c r="W115" s="9" t="n">
        <v>0</v>
      </c>
      <c r="Y115" s="9" t="n">
        <v>0</v>
      </c>
      <c r="Z115" s="9" t="n">
        <v>12610.59999999997</v>
      </c>
      <c r="AD115" s="10" t="n">
        <v>46116</v>
      </c>
      <c r="AF115" s="9" t="n">
        <v>0</v>
      </c>
      <c r="AH115" s="9" t="n">
        <v>0</v>
      </c>
      <c r="AI115" s="9" t="n">
        <v>49219.70000000002</v>
      </c>
      <c r="AM115" s="10" t="n">
        <v>46116</v>
      </c>
      <c r="AO115" s="9" t="n">
        <v>0</v>
      </c>
      <c r="AQ115" s="9" t="n">
        <v>0</v>
      </c>
      <c r="AR115" s="9" t="n">
        <v>0</v>
      </c>
      <c r="AV115" s="10" t="n">
        <v>46116</v>
      </c>
      <c r="AX115" s="9" t="n">
        <v>0</v>
      </c>
      <c r="AZ115" s="9" t="n">
        <v>0</v>
      </c>
      <c r="BA115" s="9" t="n">
        <v>15368.29999999999</v>
      </c>
      <c r="BE115" s="10" t="n">
        <v>46116</v>
      </c>
      <c r="BG115" s="9" t="n">
        <v>0</v>
      </c>
      <c r="BI115" s="9" t="n">
        <v>0</v>
      </c>
      <c r="BJ115" s="9" t="n">
        <v>25498</v>
      </c>
      <c r="BN115" s="10" t="n">
        <v>46116</v>
      </c>
      <c r="BP115" s="9" t="n">
        <v>0</v>
      </c>
      <c r="BR115" s="9" t="n">
        <v>0</v>
      </c>
      <c r="BS115" s="9" t="n">
        <v>0</v>
      </c>
      <c r="BW115" s="10" t="n">
        <v>46116</v>
      </c>
      <c r="BY115" s="9" t="n">
        <v>0</v>
      </c>
      <c r="BZ115" s="9" t="n">
        <v>1347.1</v>
      </c>
      <c r="CA115" s="9" t="n">
        <v>-1347.1</v>
      </c>
      <c r="CB115" s="9" t="n">
        <v>10465.8</v>
      </c>
      <c r="CF115" s="10" t="n">
        <v>46116</v>
      </c>
      <c r="CG115" s="9" t="n">
        <v>2262.4</v>
      </c>
      <c r="CH115" s="9" t="n">
        <v>0</v>
      </c>
      <c r="CI115" s="9" t="n">
        <v>2262.4</v>
      </c>
      <c r="CJ115" s="9" t="n">
        <v>-2262.4</v>
      </c>
      <c r="CK115" s="9" t="n">
        <v>0</v>
      </c>
      <c r="CO115" s="10" t="n">
        <v>46116</v>
      </c>
      <c r="CQ115" s="9" t="n">
        <v>0</v>
      </c>
      <c r="CS115" s="9" t="n">
        <v>0</v>
      </c>
      <c r="CT115" s="9" t="n">
        <v>0</v>
      </c>
      <c r="CX115" s="10" t="n">
        <v>46116</v>
      </c>
      <c r="CZ115" s="9" t="n">
        <v>0</v>
      </c>
      <c r="DB115" s="9" t="n">
        <v>0</v>
      </c>
      <c r="DC115" s="9" t="n">
        <v>38937.9</v>
      </c>
      <c r="DG115" s="10" t="n">
        <v>46116</v>
      </c>
      <c r="DI115" s="9" t="n">
        <v>0</v>
      </c>
      <c r="DK115" s="9" t="n">
        <v>0</v>
      </c>
      <c r="DL115" s="9" t="n">
        <v>4588.999999999995</v>
      </c>
      <c r="DP115" s="10" t="n">
        <v>46116</v>
      </c>
      <c r="DR115" s="9" t="n">
        <v>0</v>
      </c>
      <c r="DT115" s="9" t="n">
        <v>0</v>
      </c>
      <c r="DU115" s="9" t="n">
        <v>7150</v>
      </c>
      <c r="DY115" s="10" t="n">
        <v>46116</v>
      </c>
      <c r="EA115" s="9" t="n">
        <v>0</v>
      </c>
      <c r="EC115" s="9" t="n">
        <v>0</v>
      </c>
      <c r="ED115" s="9" t="n">
        <v>1347.3</v>
      </c>
      <c r="EH115" s="10" t="n">
        <v>46116</v>
      </c>
      <c r="EJ115" s="9" t="n">
        <v>0</v>
      </c>
      <c r="EL115" s="9" t="n">
        <v>0</v>
      </c>
      <c r="EM115" s="9" t="n">
        <v>0</v>
      </c>
      <c r="EQ115" s="10" t="n">
        <v>46116</v>
      </c>
      <c r="ES115" s="9" t="n">
        <v>0</v>
      </c>
      <c r="EU115" s="9" t="n">
        <v>0</v>
      </c>
      <c r="EV115" s="9" t="n">
        <v>0</v>
      </c>
      <c r="EZ115" s="10" t="n">
        <v>46116</v>
      </c>
      <c r="FB115" s="9" t="n">
        <v>0</v>
      </c>
      <c r="FD115" s="9" t="n">
        <v>0</v>
      </c>
      <c r="FE115" s="9" t="n">
        <v>0</v>
      </c>
      <c r="FI115" s="10" t="n">
        <v>46116</v>
      </c>
      <c r="FK115" s="9" t="n">
        <v>0</v>
      </c>
      <c r="FM115" s="9" t="n">
        <v>0</v>
      </c>
      <c r="FN115" s="9" t="n">
        <v>0</v>
      </c>
      <c r="FR115" s="10" t="n">
        <v>46116</v>
      </c>
      <c r="FT115" s="9" t="n">
        <v>0</v>
      </c>
      <c r="FU115" s="9" t="n">
        <v>1520</v>
      </c>
      <c r="FV115" s="9" t="n">
        <v>-1520</v>
      </c>
      <c r="FW115" s="9" t="n">
        <v>460</v>
      </c>
      <c r="FX115" s="9" t="n">
        <v>76</v>
      </c>
      <c r="GA115" s="10" t="n">
        <v>46116</v>
      </c>
      <c r="GC115" s="9" t="n">
        <v>0</v>
      </c>
      <c r="GE115" s="9" t="n">
        <v>0</v>
      </c>
      <c r="GF115" s="9" t="n">
        <v>6000</v>
      </c>
      <c r="GJ115" s="10" t="n">
        <v>46116</v>
      </c>
      <c r="GL115" s="9" t="n">
        <v>0</v>
      </c>
      <c r="GN115" s="9" t="n">
        <v>0</v>
      </c>
      <c r="GO115" s="9" t="n">
        <v>4800</v>
      </c>
      <c r="GS115" s="10" t="n">
        <v>46116</v>
      </c>
      <c r="GU115" s="9" t="n">
        <v>0</v>
      </c>
      <c r="GW115" s="9" t="n">
        <v>0</v>
      </c>
      <c r="GX115" s="9" t="n">
        <v>0</v>
      </c>
      <c r="HB115" s="10" t="n">
        <v>46116</v>
      </c>
      <c r="HD115" s="9" t="n">
        <v>0</v>
      </c>
      <c r="HF115" s="9" t="n">
        <v>0</v>
      </c>
      <c r="HG115" s="9" t="n">
        <v>0</v>
      </c>
      <c r="HK115" s="10" t="n">
        <v>46116</v>
      </c>
      <c r="HM115" s="9" t="n">
        <v>0</v>
      </c>
      <c r="HO115" s="9" t="n">
        <v>0</v>
      </c>
      <c r="HP115" s="9" t="n">
        <v>0</v>
      </c>
      <c r="HU115" s="10" t="n">
        <v>46116</v>
      </c>
      <c r="HW115" s="9" t="n">
        <v>0</v>
      </c>
      <c r="HY115" s="9" t="n">
        <v>0</v>
      </c>
      <c r="HZ115" s="9" t="n">
        <v>5120</v>
      </c>
      <c r="ID115" s="10" t="n">
        <v>46116</v>
      </c>
      <c r="IF115" s="9" t="n">
        <v>0</v>
      </c>
      <c r="IH115" s="9" t="n">
        <v>0</v>
      </c>
      <c r="II115" s="9" t="n">
        <v>6540</v>
      </c>
      <c r="IM115" s="10" t="n">
        <v>46116</v>
      </c>
      <c r="IO115" s="9" t="n">
        <v>0</v>
      </c>
      <c r="IQ115" s="9" t="n">
        <v>0</v>
      </c>
      <c r="IR115" s="9" t="n">
        <v>11540</v>
      </c>
      <c r="IV115" s="10" t="n">
        <v>46116</v>
      </c>
      <c r="IX115" s="9" t="n">
        <v>0</v>
      </c>
      <c r="IZ115" s="9" t="n">
        <v>0</v>
      </c>
      <c r="JA115" s="9" t="n">
        <v>15120</v>
      </c>
      <c r="JE115" s="10" t="n">
        <v>46116</v>
      </c>
      <c r="JG115" s="9" t="n">
        <v>0</v>
      </c>
      <c r="JI115" s="9" t="n">
        <v>0</v>
      </c>
      <c r="JJ115" s="9" t="n">
        <v>5040</v>
      </c>
      <c r="JN115" s="10" t="n">
        <v>46116</v>
      </c>
      <c r="JP115" s="9" t="n">
        <v>0</v>
      </c>
      <c r="JR115" s="9" t="n">
        <v>0</v>
      </c>
      <c r="JS115" s="9" t="n">
        <v>9100</v>
      </c>
      <c r="JW115" s="10" t="n">
        <v>46116</v>
      </c>
      <c r="JY115" s="9" t="n">
        <v>0</v>
      </c>
      <c r="JZ115" s="9" t="n">
        <v>680</v>
      </c>
      <c r="KA115" s="9" t="n">
        <v>-680</v>
      </c>
      <c r="KB115" s="9" t="n">
        <v>3540</v>
      </c>
      <c r="KC115" s="9" t="n">
        <v>34</v>
      </c>
      <c r="KF115" s="10" t="n">
        <v>46116</v>
      </c>
      <c r="KH115" s="9" t="n">
        <v>0</v>
      </c>
      <c r="KI115" s="9" t="n">
        <v>3003</v>
      </c>
      <c r="KJ115" s="9" t="n">
        <v>-3003</v>
      </c>
      <c r="KK115" s="9" t="n">
        <v>4699.5</v>
      </c>
      <c r="KL115" s="9" t="n">
        <v>154</v>
      </c>
      <c r="KO115" s="10" t="n">
        <v>46116</v>
      </c>
      <c r="KQ115" s="9" t="n">
        <v>0</v>
      </c>
      <c r="KS115" s="9" t="n">
        <v>0</v>
      </c>
      <c r="KT115" s="9" t="n">
        <v>6426</v>
      </c>
      <c r="KX115" s="10" t="n">
        <v>46116</v>
      </c>
      <c r="KZ115" s="9" t="n">
        <v>0</v>
      </c>
      <c r="LB115" s="9" t="n">
        <v>0</v>
      </c>
      <c r="LC115" s="9" t="n">
        <v>0</v>
      </c>
      <c r="LG115" s="10" t="n">
        <v>46116</v>
      </c>
      <c r="LI115" s="9" t="n">
        <v>0</v>
      </c>
      <c r="LK115" s="9" t="n">
        <v>0</v>
      </c>
      <c r="LL115" s="9" t="n">
        <v>0</v>
      </c>
      <c r="LP115" s="10" t="n">
        <v>46116</v>
      </c>
      <c r="LR115" s="9" t="n">
        <v>0</v>
      </c>
      <c r="LT115" s="9" t="n">
        <v>0</v>
      </c>
      <c r="LU115" s="9" t="n">
        <v>0</v>
      </c>
      <c r="LY115" s="10" t="n">
        <v>46116</v>
      </c>
      <c r="MA115" s="9" t="n">
        <v>0</v>
      </c>
      <c r="MC115" s="9" t="n">
        <v>0</v>
      </c>
      <c r="MD115" s="9" t="n">
        <v>0</v>
      </c>
      <c r="MH115" s="10" t="n">
        <v>46116</v>
      </c>
      <c r="MJ115" s="9" t="n">
        <v>0</v>
      </c>
      <c r="ML115" s="9" t="n">
        <v>0</v>
      </c>
      <c r="MM115" s="9" t="n">
        <v>0</v>
      </c>
      <c r="MQ115" s="10" t="n">
        <v>46116</v>
      </c>
      <c r="MS115" s="9" t="n">
        <v>0</v>
      </c>
      <c r="MT115" s="9" t="n">
        <v>38</v>
      </c>
      <c r="MU115" s="9" t="n">
        <v>-38</v>
      </c>
      <c r="MV115" s="9" t="n">
        <v>4157</v>
      </c>
      <c r="MZ115" s="10" t="n">
        <v>46116</v>
      </c>
      <c r="NA115" s="9" t="n">
        <v>564</v>
      </c>
      <c r="NB115" s="9" t="n">
        <v>0</v>
      </c>
      <c r="NC115" s="9" t="n">
        <v>564</v>
      </c>
      <c r="ND115" s="9" t="n">
        <v>-564</v>
      </c>
      <c r="NE115" s="9" t="n">
        <v>0</v>
      </c>
      <c r="NI115" s="10" t="n">
        <v>46116</v>
      </c>
      <c r="NK115" s="9" t="n">
        <v>0</v>
      </c>
      <c r="NL115" s="9" t="n">
        <v>188</v>
      </c>
      <c r="NM115" s="9" t="n">
        <v>-188</v>
      </c>
      <c r="NN115" s="9" t="n">
        <v>1877</v>
      </c>
      <c r="NR115" s="10" t="n">
        <v>46116</v>
      </c>
      <c r="NT115" s="9" t="n">
        <v>0</v>
      </c>
      <c r="NU115" s="9" t="n">
        <v>191.6</v>
      </c>
      <c r="NV115" s="9" t="n">
        <v>-191.6</v>
      </c>
      <c r="NW115" s="9" t="n">
        <v>3960.9</v>
      </c>
      <c r="OA115" s="10" t="n">
        <v>46116</v>
      </c>
      <c r="OC115" s="9" t="n">
        <v>0</v>
      </c>
      <c r="OE115" s="9" t="n">
        <v>0</v>
      </c>
      <c r="OF115" s="9" t="n">
        <v>1680.5</v>
      </c>
      <c r="OJ115" s="10" t="n">
        <v>46116</v>
      </c>
      <c r="OK115" s="9" t="n">
        <v>524.6999999999999</v>
      </c>
      <c r="OL115" s="9" t="n">
        <v>0</v>
      </c>
      <c r="OM115" s="9" t="n">
        <v>524.6999999999999</v>
      </c>
      <c r="ON115" s="9" t="n">
        <v>-524.6999999999999</v>
      </c>
      <c r="OO115" s="9" t="n">
        <v>0</v>
      </c>
      <c r="OS115" s="10" t="n">
        <v>46116</v>
      </c>
      <c r="OU115" s="9" t="n">
        <v>0</v>
      </c>
      <c r="OW115" s="9" t="n">
        <v>0</v>
      </c>
      <c r="OX115" s="9" t="n">
        <v>1000</v>
      </c>
      <c r="PB115" s="10" t="n">
        <v>46116</v>
      </c>
      <c r="PD115" s="9" t="n">
        <v>0</v>
      </c>
      <c r="PF115" s="9" t="n">
        <v>0</v>
      </c>
      <c r="PG115" s="9" t="n">
        <v>0</v>
      </c>
      <c r="PK115" s="10" t="n">
        <v>46116</v>
      </c>
      <c r="PM115" s="9" t="n">
        <v>0</v>
      </c>
      <c r="PO115" s="9" t="n">
        <v>0</v>
      </c>
      <c r="PP115" s="9" t="n">
        <v>100</v>
      </c>
      <c r="PT115" s="10" t="n">
        <v>46116</v>
      </c>
      <c r="PV115" s="9" t="n">
        <v>0</v>
      </c>
      <c r="PX115" s="9" t="n">
        <v>0</v>
      </c>
      <c r="PY115" s="9" t="n">
        <v>13.96000000000004</v>
      </c>
      <c r="QC115" s="10" t="n">
        <v>46116</v>
      </c>
      <c r="QE115" s="9" t="n">
        <v>0</v>
      </c>
      <c r="QG115" s="9" t="n">
        <v>0</v>
      </c>
      <c r="QH115" s="9" t="n">
        <v>1212</v>
      </c>
      <c r="QL115" s="10" t="n">
        <v>46116</v>
      </c>
      <c r="QN115" s="9" t="n">
        <v>0</v>
      </c>
      <c r="QP115" s="9" t="n">
        <v>0</v>
      </c>
      <c r="QQ115" s="9" t="n">
        <v>400</v>
      </c>
      <c r="QU115" s="10" t="n">
        <v>46116</v>
      </c>
      <c r="QW115" s="9" t="n">
        <v>0</v>
      </c>
      <c r="QY115" s="9" t="n">
        <v>0</v>
      </c>
      <c r="QZ115" s="9" t="n">
        <v>207.6</v>
      </c>
      <c r="RD115" s="10" t="n">
        <v>46116</v>
      </c>
      <c r="RF115" s="9" t="n">
        <v>0</v>
      </c>
      <c r="RH115" s="9" t="n">
        <v>0</v>
      </c>
      <c r="RI115" s="9" t="n">
        <v>197.04</v>
      </c>
      <c r="RM115" s="10" t="n">
        <v>46116</v>
      </c>
      <c r="RO115" s="9" t="n">
        <v>0</v>
      </c>
      <c r="RQ115" s="9" t="n">
        <v>0</v>
      </c>
      <c r="RR115" s="9" t="n">
        <v>46.8</v>
      </c>
      <c r="RV115" s="10" t="n">
        <v>46116</v>
      </c>
      <c r="RX115" s="9" t="n">
        <v>0</v>
      </c>
      <c r="RZ115" s="9" t="n">
        <v>0</v>
      </c>
      <c r="SA115" s="9" t="n">
        <v>0</v>
      </c>
      <c r="SE115" s="10" t="n">
        <v>46116</v>
      </c>
      <c r="SG115" s="9" t="n">
        <v>0</v>
      </c>
      <c r="SI115" s="9" t="n">
        <v>0</v>
      </c>
      <c r="SJ115" s="9" t="n">
        <v>0</v>
      </c>
      <c r="SN115" s="10" t="n">
        <v>46116</v>
      </c>
      <c r="SP115" s="9" t="n">
        <v>0</v>
      </c>
      <c r="SR115" s="9" t="n">
        <v>0</v>
      </c>
      <c r="SS115" s="9" t="n">
        <v>0</v>
      </c>
      <c r="SW115" s="10" t="n">
        <v>46116</v>
      </c>
      <c r="SY115" s="9" t="n">
        <v>0</v>
      </c>
      <c r="TA115" s="9" t="n">
        <v>0</v>
      </c>
      <c r="TB115" s="9" t="n">
        <v>0</v>
      </c>
      <c r="TF115" s="10" t="n">
        <v>46116</v>
      </c>
      <c r="TH115" s="9" t="n">
        <v>0</v>
      </c>
      <c r="TJ115" s="9" t="n">
        <v>0</v>
      </c>
      <c r="TK115" s="9" t="n">
        <v>0</v>
      </c>
      <c r="TO115" s="10" t="n">
        <v>46116</v>
      </c>
      <c r="TQ115" s="9" t="n">
        <v>0</v>
      </c>
      <c r="TS115" s="9" t="n">
        <v>0</v>
      </c>
      <c r="TT115" s="9" t="n">
        <v>0</v>
      </c>
      <c r="TX115" s="10" t="n">
        <v>46116</v>
      </c>
      <c r="TZ115" s="9" t="n">
        <v>0</v>
      </c>
      <c r="UB115" s="9" t="n">
        <v>0</v>
      </c>
      <c r="UC115" s="9" t="n">
        <v>0</v>
      </c>
      <c r="UG115" s="10" t="n">
        <v>46116</v>
      </c>
      <c r="UI115" s="9" t="n">
        <v>0</v>
      </c>
      <c r="UK115" s="9" t="n">
        <v>0</v>
      </c>
      <c r="UL115" s="9" t="n">
        <v>0</v>
      </c>
      <c r="UP115" s="10" t="n">
        <v>46116</v>
      </c>
      <c r="UR115" s="9" t="n">
        <v>0</v>
      </c>
      <c r="UT115" s="9" t="n">
        <v>0</v>
      </c>
      <c r="UU115" s="9" t="n">
        <v>0</v>
      </c>
      <c r="UY115" s="10" t="n">
        <v>46116</v>
      </c>
      <c r="VA115" s="9" t="n">
        <v>0</v>
      </c>
      <c r="VC115" s="9" t="n">
        <v>0</v>
      </c>
      <c r="VD115" s="9" t="n">
        <v>41.60000000000002</v>
      </c>
      <c r="VH115" s="10" t="n">
        <v>46116</v>
      </c>
      <c r="VJ115" s="9" t="n">
        <v>0</v>
      </c>
      <c r="VL115" s="9" t="n">
        <v>0</v>
      </c>
      <c r="VM115" s="9" t="n">
        <v>0</v>
      </c>
      <c r="VQ115" s="10" t="n">
        <v>46116</v>
      </c>
      <c r="VS115" s="9" t="n">
        <v>0</v>
      </c>
      <c r="VU115" s="9" t="n">
        <v>0</v>
      </c>
      <c r="VV115" s="9" t="n">
        <v>0</v>
      </c>
      <c r="VZ115" s="10" t="n">
        <v>46116</v>
      </c>
      <c r="WB115" s="9" t="n">
        <v>0</v>
      </c>
      <c r="WD115" s="9" t="n">
        <v>0</v>
      </c>
      <c r="WE115" s="9" t="n">
        <v>0</v>
      </c>
      <c r="WI115" s="10" t="n">
        <v>46116</v>
      </c>
      <c r="WK115" s="9" t="n">
        <v>0</v>
      </c>
      <c r="WL115" s="9" t="n">
        <v>719</v>
      </c>
      <c r="WM115" s="9" t="n">
        <v>-719</v>
      </c>
      <c r="WN115" s="9" t="n">
        <v>2317</v>
      </c>
      <c r="WR115" s="10" t="n">
        <v>46116</v>
      </c>
      <c r="WT115" s="9" t="n">
        <v>0</v>
      </c>
      <c r="WV115" s="9" t="n">
        <v>0</v>
      </c>
      <c r="WW115" s="9" t="n">
        <v>0</v>
      </c>
      <c r="XA115" s="10" t="n">
        <v>46116</v>
      </c>
      <c r="XC115" s="9" t="n">
        <v>0</v>
      </c>
      <c r="XE115" s="9" t="n">
        <v>0</v>
      </c>
      <c r="XF115" s="9" t="n">
        <v>14868</v>
      </c>
      <c r="XJ115" s="10" t="n">
        <v>46116</v>
      </c>
      <c r="XL115" s="9" t="n">
        <v>0</v>
      </c>
      <c r="XN115" s="9" t="n">
        <v>0</v>
      </c>
      <c r="XO115" s="9" t="n">
        <v>7302</v>
      </c>
      <c r="XS115" s="10" t="n">
        <v>46116</v>
      </c>
      <c r="XU115" s="9" t="n">
        <v>0</v>
      </c>
      <c r="XW115" s="9" t="n">
        <v>0</v>
      </c>
      <c r="XX115" s="9" t="n">
        <v>1901</v>
      </c>
      <c r="YB115" s="10" t="n">
        <v>46116</v>
      </c>
      <c r="YD115" s="9" t="n">
        <v>0</v>
      </c>
      <c r="YF115" s="9" t="n">
        <v>0</v>
      </c>
      <c r="YG115" s="9" t="n">
        <v>6459</v>
      </c>
      <c r="YK115" s="10" t="n">
        <v>46116</v>
      </c>
      <c r="YM115" s="9" t="n">
        <v>0</v>
      </c>
      <c r="YO115" s="9" t="n">
        <v>0</v>
      </c>
      <c r="YP115" s="9" t="n">
        <v>0</v>
      </c>
      <c r="YT115" s="10" t="n">
        <v>46116</v>
      </c>
      <c r="YV115" s="9" t="n">
        <v>0</v>
      </c>
      <c r="YX115" s="9" t="n">
        <v>0</v>
      </c>
      <c r="YY115" s="9" t="n">
        <v>0</v>
      </c>
      <c r="ZC115" s="10" t="n">
        <v>46116</v>
      </c>
      <c r="ZE115" s="9" t="n">
        <v>0</v>
      </c>
      <c r="ZG115" s="9" t="n">
        <v>0</v>
      </c>
      <c r="ZH115" s="9" t="n">
        <v>0</v>
      </c>
      <c r="ZL115" s="10" t="n">
        <v>46116</v>
      </c>
      <c r="ZN115" s="9" t="n">
        <v>0</v>
      </c>
      <c r="ZP115" s="9" t="n">
        <v>0</v>
      </c>
      <c r="ZQ115" s="9" t="n">
        <v>0</v>
      </c>
      <c r="ZU115" s="10" t="n">
        <v>46116</v>
      </c>
      <c r="ZW115" s="9" t="n">
        <v>0</v>
      </c>
      <c r="ZY115" s="9" t="n">
        <v>0</v>
      </c>
      <c r="ZZ115" s="9" t="n">
        <v>0</v>
      </c>
      <c r="AAD115" s="10" t="n">
        <v>46116</v>
      </c>
      <c r="AAF115" s="9" t="n">
        <v>0</v>
      </c>
      <c r="AAH115" s="9" t="n">
        <v>0</v>
      </c>
      <c r="AAI115" s="9" t="n">
        <v>0</v>
      </c>
      <c r="AAM115" s="10" t="n">
        <v>46116</v>
      </c>
      <c r="AAO115" s="9" t="n">
        <v>0</v>
      </c>
      <c r="AAQ115" s="9" t="n">
        <v>0</v>
      </c>
      <c r="AAR115" s="9" t="n">
        <v>0</v>
      </c>
      <c r="AAV115" s="10" t="n">
        <v>46116</v>
      </c>
      <c r="AAX115" s="9" t="n">
        <v>0</v>
      </c>
      <c r="AAZ115" s="9" t="n">
        <v>0</v>
      </c>
      <c r="ABA115" s="9" t="n">
        <v>0</v>
      </c>
      <c r="ABE115" s="10" t="n">
        <v>46116</v>
      </c>
      <c r="ABG115" s="9" t="n">
        <v>0</v>
      </c>
      <c r="ABI115" s="9" t="n">
        <v>0</v>
      </c>
      <c r="ABJ115" s="9" t="n">
        <v>0</v>
      </c>
    </row>
    <row r="116">
      <c r="C116" s="10" t="n">
        <v>46117</v>
      </c>
      <c r="E116" s="9" t="n">
        <v>0</v>
      </c>
      <c r="G116" s="9" t="n">
        <v>0</v>
      </c>
      <c r="H116" s="9" t="n">
        <v>129481.4</v>
      </c>
      <c r="L116" s="10" t="n">
        <v>46117</v>
      </c>
      <c r="N116" s="9" t="n">
        <v>0</v>
      </c>
      <c r="P116" s="9" t="n">
        <v>0</v>
      </c>
      <c r="Q116" s="9" t="n">
        <v>57477.60000000009</v>
      </c>
      <c r="U116" s="10" t="n">
        <v>46117</v>
      </c>
      <c r="W116" s="9" t="n">
        <v>0</v>
      </c>
      <c r="Y116" s="9" t="n">
        <v>0</v>
      </c>
      <c r="Z116" s="9" t="n">
        <v>12610.59999999997</v>
      </c>
      <c r="AD116" s="10" t="n">
        <v>46117</v>
      </c>
      <c r="AF116" s="9" t="n">
        <v>0</v>
      </c>
      <c r="AH116" s="9" t="n">
        <v>0</v>
      </c>
      <c r="AI116" s="9" t="n">
        <v>49219.70000000002</v>
      </c>
      <c r="AM116" s="10" t="n">
        <v>46117</v>
      </c>
      <c r="AO116" s="9" t="n">
        <v>0</v>
      </c>
      <c r="AQ116" s="9" t="n">
        <v>0</v>
      </c>
      <c r="AR116" s="9" t="n">
        <v>0</v>
      </c>
      <c r="AV116" s="10" t="n">
        <v>46117</v>
      </c>
      <c r="AX116" s="9" t="n">
        <v>0</v>
      </c>
      <c r="AZ116" s="9" t="n">
        <v>0</v>
      </c>
      <c r="BA116" s="9" t="n">
        <v>15368.29999999999</v>
      </c>
      <c r="BE116" s="10" t="n">
        <v>46117</v>
      </c>
      <c r="BG116" s="9" t="n">
        <v>0</v>
      </c>
      <c r="BI116" s="9" t="n">
        <v>0</v>
      </c>
      <c r="BJ116" s="9" t="n">
        <v>25498</v>
      </c>
      <c r="BN116" s="10" t="n">
        <v>46117</v>
      </c>
      <c r="BP116" s="9" t="n">
        <v>0</v>
      </c>
      <c r="BR116" s="9" t="n">
        <v>0</v>
      </c>
      <c r="BS116" s="9" t="n">
        <v>0</v>
      </c>
      <c r="BW116" s="10" t="n">
        <v>46117</v>
      </c>
      <c r="BY116" s="9" t="n">
        <v>0</v>
      </c>
      <c r="CA116" s="9" t="n">
        <v>0</v>
      </c>
      <c r="CB116" s="9" t="n">
        <v>10465.8</v>
      </c>
      <c r="CF116" s="10" t="n">
        <v>46117</v>
      </c>
      <c r="CH116" s="9" t="n">
        <v>0</v>
      </c>
      <c r="CJ116" s="9" t="n">
        <v>0</v>
      </c>
      <c r="CK116" s="9" t="n">
        <v>0</v>
      </c>
      <c r="CO116" s="10" t="n">
        <v>46117</v>
      </c>
      <c r="CQ116" s="9" t="n">
        <v>0</v>
      </c>
      <c r="CS116" s="9" t="n">
        <v>0</v>
      </c>
      <c r="CT116" s="9" t="n">
        <v>0</v>
      </c>
      <c r="CX116" s="10" t="n">
        <v>46117</v>
      </c>
      <c r="CZ116" s="9" t="n">
        <v>0</v>
      </c>
      <c r="DB116" s="9" t="n">
        <v>0</v>
      </c>
      <c r="DC116" s="9" t="n">
        <v>38937.9</v>
      </c>
      <c r="DG116" s="10" t="n">
        <v>46117</v>
      </c>
      <c r="DI116" s="9" t="n">
        <v>0</v>
      </c>
      <c r="DK116" s="9" t="n">
        <v>0</v>
      </c>
      <c r="DL116" s="9" t="n">
        <v>4588.999999999995</v>
      </c>
      <c r="DP116" s="10" t="n">
        <v>46117</v>
      </c>
      <c r="DR116" s="9" t="n">
        <v>0</v>
      </c>
      <c r="DT116" s="9" t="n">
        <v>0</v>
      </c>
      <c r="DU116" s="9" t="n">
        <v>7150</v>
      </c>
      <c r="DY116" s="10" t="n">
        <v>46117</v>
      </c>
      <c r="EA116" s="9" t="n">
        <v>0</v>
      </c>
      <c r="EC116" s="9" t="n">
        <v>0</v>
      </c>
      <c r="ED116" s="9" t="n">
        <v>1347.3</v>
      </c>
      <c r="EH116" s="10" t="n">
        <v>46117</v>
      </c>
      <c r="EJ116" s="9" t="n">
        <v>0</v>
      </c>
      <c r="EL116" s="9" t="n">
        <v>0</v>
      </c>
      <c r="EM116" s="9" t="n">
        <v>0</v>
      </c>
      <c r="EQ116" s="10" t="n">
        <v>46117</v>
      </c>
      <c r="ES116" s="9" t="n">
        <v>0</v>
      </c>
      <c r="EU116" s="9" t="n">
        <v>0</v>
      </c>
      <c r="EV116" s="9" t="n">
        <v>0</v>
      </c>
      <c r="EZ116" s="10" t="n">
        <v>46117</v>
      </c>
      <c r="FB116" s="9" t="n">
        <v>0</v>
      </c>
      <c r="FD116" s="9" t="n">
        <v>0</v>
      </c>
      <c r="FE116" s="9" t="n">
        <v>0</v>
      </c>
      <c r="FI116" s="10" t="n">
        <v>46117</v>
      </c>
      <c r="FK116" s="9" t="n">
        <v>0</v>
      </c>
      <c r="FM116" s="9" t="n">
        <v>0</v>
      </c>
      <c r="FN116" s="9" t="n">
        <v>0</v>
      </c>
      <c r="FR116" s="10" t="n">
        <v>46117</v>
      </c>
      <c r="FT116" s="9" t="n">
        <v>0</v>
      </c>
      <c r="FV116" s="9" t="n">
        <v>0</v>
      </c>
      <c r="FW116" s="9" t="n">
        <v>460</v>
      </c>
      <c r="GA116" s="10" t="n">
        <v>46117</v>
      </c>
      <c r="GC116" s="9" t="n">
        <v>0</v>
      </c>
      <c r="GE116" s="9" t="n">
        <v>0</v>
      </c>
      <c r="GF116" s="9" t="n">
        <v>6000</v>
      </c>
      <c r="GJ116" s="10" t="n">
        <v>46117</v>
      </c>
      <c r="GL116" s="9" t="n">
        <v>0</v>
      </c>
      <c r="GN116" s="9" t="n">
        <v>0</v>
      </c>
      <c r="GO116" s="9" t="n">
        <v>4800</v>
      </c>
      <c r="GS116" s="10" t="n">
        <v>46117</v>
      </c>
      <c r="GU116" s="9" t="n">
        <v>0</v>
      </c>
      <c r="GW116" s="9" t="n">
        <v>0</v>
      </c>
      <c r="GX116" s="9" t="n">
        <v>0</v>
      </c>
      <c r="HB116" s="10" t="n">
        <v>46117</v>
      </c>
      <c r="HD116" s="9" t="n">
        <v>0</v>
      </c>
      <c r="HF116" s="9" t="n">
        <v>0</v>
      </c>
      <c r="HG116" s="9" t="n">
        <v>0</v>
      </c>
      <c r="HK116" s="10" t="n">
        <v>46117</v>
      </c>
      <c r="HM116" s="9" t="n">
        <v>0</v>
      </c>
      <c r="HO116" s="9" t="n">
        <v>0</v>
      </c>
      <c r="HP116" s="9" t="n">
        <v>0</v>
      </c>
      <c r="HU116" s="10" t="n">
        <v>46117</v>
      </c>
      <c r="HW116" s="9" t="n">
        <v>0</v>
      </c>
      <c r="HY116" s="9" t="n">
        <v>0</v>
      </c>
      <c r="HZ116" s="9" t="n">
        <v>5120</v>
      </c>
      <c r="ID116" s="10" t="n">
        <v>46117</v>
      </c>
      <c r="IF116" s="9" t="n">
        <v>0</v>
      </c>
      <c r="IH116" s="9" t="n">
        <v>0</v>
      </c>
      <c r="II116" s="9" t="n">
        <v>6540</v>
      </c>
      <c r="IM116" s="10" t="n">
        <v>46117</v>
      </c>
      <c r="IO116" s="9" t="n">
        <v>0</v>
      </c>
      <c r="IQ116" s="9" t="n">
        <v>0</v>
      </c>
      <c r="IR116" s="9" t="n">
        <v>11540</v>
      </c>
      <c r="IV116" s="10" t="n">
        <v>46117</v>
      </c>
      <c r="IX116" s="9" t="n">
        <v>0</v>
      </c>
      <c r="IZ116" s="9" t="n">
        <v>0</v>
      </c>
      <c r="JA116" s="9" t="n">
        <v>15120</v>
      </c>
      <c r="JE116" s="10" t="n">
        <v>46117</v>
      </c>
      <c r="JG116" s="9" t="n">
        <v>0</v>
      </c>
      <c r="JI116" s="9" t="n">
        <v>0</v>
      </c>
      <c r="JJ116" s="9" t="n">
        <v>5040</v>
      </c>
      <c r="JN116" s="10" t="n">
        <v>46117</v>
      </c>
      <c r="JP116" s="9" t="n">
        <v>0</v>
      </c>
      <c r="JR116" s="9" t="n">
        <v>0</v>
      </c>
      <c r="JS116" s="9" t="n">
        <v>9100</v>
      </c>
      <c r="JW116" s="10" t="n">
        <v>46117</v>
      </c>
      <c r="JY116" s="9" t="n">
        <v>0</v>
      </c>
      <c r="KA116" s="9" t="n">
        <v>0</v>
      </c>
      <c r="KB116" s="9" t="n">
        <v>3540</v>
      </c>
      <c r="KF116" s="10" t="n">
        <v>46117</v>
      </c>
      <c r="KH116" s="9" t="n">
        <v>0</v>
      </c>
      <c r="KJ116" s="9" t="n">
        <v>0</v>
      </c>
      <c r="KK116" s="9" t="n">
        <v>4699.5</v>
      </c>
      <c r="KO116" s="10" t="n">
        <v>46117</v>
      </c>
      <c r="KQ116" s="9" t="n">
        <v>0</v>
      </c>
      <c r="KS116" s="9" t="n">
        <v>0</v>
      </c>
      <c r="KT116" s="9" t="n">
        <v>6426</v>
      </c>
      <c r="KX116" s="10" t="n">
        <v>46117</v>
      </c>
      <c r="KZ116" s="9" t="n">
        <v>0</v>
      </c>
      <c r="LB116" s="9" t="n">
        <v>0</v>
      </c>
      <c r="LC116" s="9" t="n">
        <v>0</v>
      </c>
      <c r="LG116" s="10" t="n">
        <v>46117</v>
      </c>
      <c r="LI116" s="9" t="n">
        <v>0</v>
      </c>
      <c r="LK116" s="9" t="n">
        <v>0</v>
      </c>
      <c r="LL116" s="9" t="n">
        <v>0</v>
      </c>
      <c r="LP116" s="10" t="n">
        <v>46117</v>
      </c>
      <c r="LR116" s="9" t="n">
        <v>0</v>
      </c>
      <c r="LT116" s="9" t="n">
        <v>0</v>
      </c>
      <c r="LU116" s="9" t="n">
        <v>0</v>
      </c>
      <c r="LY116" s="10" t="n">
        <v>46117</v>
      </c>
      <c r="MA116" s="9" t="n">
        <v>0</v>
      </c>
      <c r="MC116" s="9" t="n">
        <v>0</v>
      </c>
      <c r="MD116" s="9" t="n">
        <v>0</v>
      </c>
      <c r="MH116" s="10" t="n">
        <v>46117</v>
      </c>
      <c r="MJ116" s="9" t="n">
        <v>0</v>
      </c>
      <c r="ML116" s="9" t="n">
        <v>0</v>
      </c>
      <c r="MM116" s="9" t="n">
        <v>0</v>
      </c>
      <c r="MQ116" s="10" t="n">
        <v>46117</v>
      </c>
      <c r="MS116" s="9" t="n">
        <v>0</v>
      </c>
      <c r="MU116" s="9" t="n">
        <v>0</v>
      </c>
      <c r="MV116" s="9" t="n">
        <v>4157</v>
      </c>
      <c r="MZ116" s="10" t="n">
        <v>46117</v>
      </c>
      <c r="NB116" s="9" t="n">
        <v>0</v>
      </c>
      <c r="ND116" s="9" t="n">
        <v>0</v>
      </c>
      <c r="NE116" s="9" t="n">
        <v>0</v>
      </c>
      <c r="NI116" s="10" t="n">
        <v>46117</v>
      </c>
      <c r="NK116" s="9" t="n">
        <v>0</v>
      </c>
      <c r="NM116" s="9" t="n">
        <v>0</v>
      </c>
      <c r="NN116" s="9" t="n">
        <v>1877</v>
      </c>
      <c r="NR116" s="10" t="n">
        <v>46117</v>
      </c>
      <c r="NT116" s="9" t="n">
        <v>0</v>
      </c>
      <c r="NV116" s="9" t="n">
        <v>0</v>
      </c>
      <c r="NW116" s="9" t="n">
        <v>3960.9</v>
      </c>
      <c r="OA116" s="10" t="n">
        <v>46117</v>
      </c>
      <c r="OC116" s="9" t="n">
        <v>0</v>
      </c>
      <c r="OE116" s="9" t="n">
        <v>0</v>
      </c>
      <c r="OF116" s="9" t="n">
        <v>1680.5</v>
      </c>
      <c r="OJ116" s="10" t="n">
        <v>46117</v>
      </c>
      <c r="OL116" s="9" t="n">
        <v>0</v>
      </c>
      <c r="ON116" s="9" t="n">
        <v>0</v>
      </c>
      <c r="OO116" s="9" t="n">
        <v>0</v>
      </c>
      <c r="OS116" s="10" t="n">
        <v>46117</v>
      </c>
      <c r="OU116" s="9" t="n">
        <v>0</v>
      </c>
      <c r="OW116" s="9" t="n">
        <v>0</v>
      </c>
      <c r="OX116" s="9" t="n">
        <v>1000</v>
      </c>
      <c r="PB116" s="10" t="n">
        <v>46117</v>
      </c>
      <c r="PD116" s="9" t="n">
        <v>0</v>
      </c>
      <c r="PF116" s="9" t="n">
        <v>0</v>
      </c>
      <c r="PG116" s="9" t="n">
        <v>0</v>
      </c>
      <c r="PK116" s="10" t="n">
        <v>46117</v>
      </c>
      <c r="PM116" s="9" t="n">
        <v>0</v>
      </c>
      <c r="PO116" s="9" t="n">
        <v>0</v>
      </c>
      <c r="PP116" s="9" t="n">
        <v>100</v>
      </c>
      <c r="PT116" s="10" t="n">
        <v>46117</v>
      </c>
      <c r="PV116" s="9" t="n">
        <v>0</v>
      </c>
      <c r="PX116" s="9" t="n">
        <v>0</v>
      </c>
      <c r="PY116" s="9" t="n">
        <v>13.96000000000004</v>
      </c>
      <c r="QC116" s="10" t="n">
        <v>46117</v>
      </c>
      <c r="QE116" s="9" t="n">
        <v>0</v>
      </c>
      <c r="QG116" s="9" t="n">
        <v>0</v>
      </c>
      <c r="QH116" s="9" t="n">
        <v>1212</v>
      </c>
      <c r="QL116" s="10" t="n">
        <v>46117</v>
      </c>
      <c r="QN116" s="9" t="n">
        <v>0</v>
      </c>
      <c r="QP116" s="9" t="n">
        <v>0</v>
      </c>
      <c r="QQ116" s="9" t="n">
        <v>400</v>
      </c>
      <c r="QU116" s="10" t="n">
        <v>46117</v>
      </c>
      <c r="QW116" s="9" t="n">
        <v>0</v>
      </c>
      <c r="QY116" s="9" t="n">
        <v>0</v>
      </c>
      <c r="QZ116" s="9" t="n">
        <v>207.6</v>
      </c>
      <c r="RD116" s="10" t="n">
        <v>46117</v>
      </c>
      <c r="RF116" s="9" t="n">
        <v>0</v>
      </c>
      <c r="RH116" s="9" t="n">
        <v>0</v>
      </c>
      <c r="RI116" s="9" t="n">
        <v>197.04</v>
      </c>
      <c r="RM116" s="10" t="n">
        <v>46117</v>
      </c>
      <c r="RO116" s="9" t="n">
        <v>0</v>
      </c>
      <c r="RQ116" s="9" t="n">
        <v>0</v>
      </c>
      <c r="RR116" s="9" t="n">
        <v>46.8</v>
      </c>
      <c r="RV116" s="10" t="n">
        <v>46117</v>
      </c>
      <c r="RX116" s="9" t="n">
        <v>0</v>
      </c>
      <c r="RZ116" s="9" t="n">
        <v>0</v>
      </c>
      <c r="SA116" s="9" t="n">
        <v>0</v>
      </c>
      <c r="SE116" s="10" t="n">
        <v>46117</v>
      </c>
      <c r="SG116" s="9" t="n">
        <v>0</v>
      </c>
      <c r="SI116" s="9" t="n">
        <v>0</v>
      </c>
      <c r="SJ116" s="9" t="n">
        <v>0</v>
      </c>
      <c r="SN116" s="10" t="n">
        <v>46117</v>
      </c>
      <c r="SP116" s="9" t="n">
        <v>0</v>
      </c>
      <c r="SR116" s="9" t="n">
        <v>0</v>
      </c>
      <c r="SS116" s="9" t="n">
        <v>0</v>
      </c>
      <c r="SW116" s="10" t="n">
        <v>46117</v>
      </c>
      <c r="SY116" s="9" t="n">
        <v>0</v>
      </c>
      <c r="TA116" s="9" t="n">
        <v>0</v>
      </c>
      <c r="TB116" s="9" t="n">
        <v>0</v>
      </c>
      <c r="TF116" s="10" t="n">
        <v>46117</v>
      </c>
      <c r="TH116" s="9" t="n">
        <v>0</v>
      </c>
      <c r="TJ116" s="9" t="n">
        <v>0</v>
      </c>
      <c r="TK116" s="9" t="n">
        <v>0</v>
      </c>
      <c r="TO116" s="10" t="n">
        <v>46117</v>
      </c>
      <c r="TQ116" s="9" t="n">
        <v>0</v>
      </c>
      <c r="TS116" s="9" t="n">
        <v>0</v>
      </c>
      <c r="TT116" s="9" t="n">
        <v>0</v>
      </c>
      <c r="TX116" s="10" t="n">
        <v>46117</v>
      </c>
      <c r="TZ116" s="9" t="n">
        <v>0</v>
      </c>
      <c r="UB116" s="9" t="n">
        <v>0</v>
      </c>
      <c r="UC116" s="9" t="n">
        <v>0</v>
      </c>
      <c r="UG116" s="10" t="n">
        <v>46117</v>
      </c>
      <c r="UI116" s="9" t="n">
        <v>0</v>
      </c>
      <c r="UK116" s="9" t="n">
        <v>0</v>
      </c>
      <c r="UL116" s="9" t="n">
        <v>0</v>
      </c>
      <c r="UP116" s="10" t="n">
        <v>46117</v>
      </c>
      <c r="UR116" s="9" t="n">
        <v>0</v>
      </c>
      <c r="UT116" s="9" t="n">
        <v>0</v>
      </c>
      <c r="UU116" s="9" t="n">
        <v>0</v>
      </c>
      <c r="UY116" s="10" t="n">
        <v>46117</v>
      </c>
      <c r="VA116" s="9" t="n">
        <v>0</v>
      </c>
      <c r="VC116" s="9" t="n">
        <v>0</v>
      </c>
      <c r="VD116" s="9" t="n">
        <v>41.60000000000002</v>
      </c>
      <c r="VH116" s="10" t="n">
        <v>46117</v>
      </c>
      <c r="VJ116" s="9" t="n">
        <v>0</v>
      </c>
      <c r="VL116" s="9" t="n">
        <v>0</v>
      </c>
      <c r="VM116" s="9" t="n">
        <v>0</v>
      </c>
      <c r="VQ116" s="10" t="n">
        <v>46117</v>
      </c>
      <c r="VS116" s="9" t="n">
        <v>0</v>
      </c>
      <c r="VU116" s="9" t="n">
        <v>0</v>
      </c>
      <c r="VV116" s="9" t="n">
        <v>0</v>
      </c>
      <c r="VZ116" s="10" t="n">
        <v>46117</v>
      </c>
      <c r="WB116" s="9" t="n">
        <v>0</v>
      </c>
      <c r="WD116" s="9" t="n">
        <v>0</v>
      </c>
      <c r="WE116" s="9" t="n">
        <v>0</v>
      </c>
      <c r="WI116" s="10" t="n">
        <v>46117</v>
      </c>
      <c r="WK116" s="9" t="n">
        <v>0</v>
      </c>
      <c r="WM116" s="9" t="n">
        <v>0</v>
      </c>
      <c r="WN116" s="9" t="n">
        <v>2317</v>
      </c>
      <c r="WR116" s="10" t="n">
        <v>46117</v>
      </c>
      <c r="WT116" s="9" t="n">
        <v>0</v>
      </c>
      <c r="WV116" s="9" t="n">
        <v>0</v>
      </c>
      <c r="WW116" s="9" t="n">
        <v>0</v>
      </c>
      <c r="XA116" s="10" t="n">
        <v>46117</v>
      </c>
      <c r="XC116" s="9" t="n">
        <v>0</v>
      </c>
      <c r="XE116" s="9" t="n">
        <v>0</v>
      </c>
      <c r="XF116" s="9" t="n">
        <v>14868</v>
      </c>
      <c r="XJ116" s="10" t="n">
        <v>46117</v>
      </c>
      <c r="XL116" s="9" t="n">
        <v>0</v>
      </c>
      <c r="XN116" s="9" t="n">
        <v>0</v>
      </c>
      <c r="XO116" s="9" t="n">
        <v>7302</v>
      </c>
      <c r="XS116" s="10" t="n">
        <v>46117</v>
      </c>
      <c r="XU116" s="9" t="n">
        <v>0</v>
      </c>
      <c r="XW116" s="9" t="n">
        <v>0</v>
      </c>
      <c r="XX116" s="9" t="n">
        <v>1901</v>
      </c>
      <c r="YB116" s="10" t="n">
        <v>46117</v>
      </c>
      <c r="YD116" s="9" t="n">
        <v>0</v>
      </c>
      <c r="YF116" s="9" t="n">
        <v>0</v>
      </c>
      <c r="YG116" s="9" t="n">
        <v>6459</v>
      </c>
      <c r="YK116" s="10" t="n">
        <v>46117</v>
      </c>
      <c r="YM116" s="9" t="n">
        <v>0</v>
      </c>
      <c r="YO116" s="9" t="n">
        <v>0</v>
      </c>
      <c r="YP116" s="9" t="n">
        <v>0</v>
      </c>
      <c r="YT116" s="10" t="n">
        <v>46117</v>
      </c>
      <c r="YV116" s="9" t="n">
        <v>0</v>
      </c>
      <c r="YX116" s="9" t="n">
        <v>0</v>
      </c>
      <c r="YY116" s="9" t="n">
        <v>0</v>
      </c>
      <c r="ZC116" s="10" t="n">
        <v>46117</v>
      </c>
      <c r="ZE116" s="9" t="n">
        <v>0</v>
      </c>
      <c r="ZG116" s="9" t="n">
        <v>0</v>
      </c>
      <c r="ZH116" s="9" t="n">
        <v>0</v>
      </c>
      <c r="ZL116" s="10" t="n">
        <v>46117</v>
      </c>
      <c r="ZN116" s="9" t="n">
        <v>0</v>
      </c>
      <c r="ZP116" s="9" t="n">
        <v>0</v>
      </c>
      <c r="ZQ116" s="9" t="n">
        <v>0</v>
      </c>
      <c r="ZU116" s="10" t="n">
        <v>46117</v>
      </c>
      <c r="ZW116" s="9" t="n">
        <v>0</v>
      </c>
      <c r="ZY116" s="9" t="n">
        <v>0</v>
      </c>
      <c r="ZZ116" s="9" t="n">
        <v>0</v>
      </c>
      <c r="AAD116" s="10" t="n">
        <v>46117</v>
      </c>
      <c r="AAF116" s="9" t="n">
        <v>0</v>
      </c>
      <c r="AAH116" s="9" t="n">
        <v>0</v>
      </c>
      <c r="AAI116" s="9" t="n">
        <v>0</v>
      </c>
      <c r="AAM116" s="10" t="n">
        <v>46117</v>
      </c>
      <c r="AAO116" s="9" t="n">
        <v>0</v>
      </c>
      <c r="AAQ116" s="9" t="n">
        <v>0</v>
      </c>
      <c r="AAR116" s="9" t="n">
        <v>0</v>
      </c>
      <c r="AAV116" s="10" t="n">
        <v>46117</v>
      </c>
      <c r="AAX116" s="9" t="n">
        <v>0</v>
      </c>
      <c r="AAZ116" s="9" t="n">
        <v>0</v>
      </c>
      <c r="ABA116" s="9" t="n">
        <v>0</v>
      </c>
      <c r="ABE116" s="10" t="n">
        <v>46117</v>
      </c>
      <c r="ABG116" s="9" t="n">
        <v>0</v>
      </c>
      <c r="ABI116" s="9" t="n">
        <v>0</v>
      </c>
      <c r="ABJ116" s="9" t="n">
        <v>0</v>
      </c>
    </row>
    <row r="117">
      <c r="B117" s="9" t="n">
        <v>100</v>
      </c>
      <c r="C117" s="10" t="n">
        <v>46118</v>
      </c>
      <c r="D117" s="9" t="n">
        <v>49440</v>
      </c>
      <c r="E117" s="9" t="n">
        <v>50934.03</v>
      </c>
      <c r="F117" s="9" t="n">
        <v>50934</v>
      </c>
      <c r="G117" s="9" t="n">
        <v>0.02999999999883585</v>
      </c>
      <c r="H117" s="9" t="n">
        <v>127987.4</v>
      </c>
      <c r="I117" s="9" t="inlineStr">
        <is>
          <t>121 16mt, 121 32mt, 121 2mt, 122 50mt</t>
        </is>
      </c>
      <c r="L117" s="10" t="n">
        <v>46118</v>
      </c>
      <c r="M117" s="9" t="n">
        <v>31480</v>
      </c>
      <c r="N117" s="9" t="n">
        <v>22162.67</v>
      </c>
      <c r="O117" s="9" t="n">
        <v>22158.8</v>
      </c>
      <c r="P117" s="9" t="n">
        <v>3.870000000002619</v>
      </c>
      <c r="Q117" s="9" t="n">
        <v>66798.80000000009</v>
      </c>
      <c r="U117" s="10" t="n">
        <v>46118</v>
      </c>
      <c r="V117" s="9" t="n">
        <v>25130</v>
      </c>
      <c r="W117" s="9" t="n">
        <v>7500.329999999999</v>
      </c>
      <c r="X117" s="9" t="n">
        <v>7499.5</v>
      </c>
      <c r="Y117" s="9" t="n">
        <v>0.8299999999990177</v>
      </c>
      <c r="Z117" s="9" t="n">
        <v>30241.09999999997</v>
      </c>
      <c r="AD117" s="10" t="n">
        <v>46118</v>
      </c>
      <c r="AF117" s="9" t="n">
        <v>1154</v>
      </c>
      <c r="AG117" s="9" t="n">
        <v>1156.9</v>
      </c>
      <c r="AH117" s="9" t="n">
        <v>-2.900000000000091</v>
      </c>
      <c r="AI117" s="9" t="n">
        <v>48062.80000000002</v>
      </c>
      <c r="AM117" s="10" t="n">
        <v>46118</v>
      </c>
      <c r="AO117" s="9" t="n">
        <v>0</v>
      </c>
      <c r="AQ117" s="9" t="n">
        <v>0</v>
      </c>
      <c r="AR117" s="9" t="n">
        <v>0</v>
      </c>
      <c r="AV117" s="10" t="n">
        <v>46118</v>
      </c>
      <c r="AX117" s="9" t="n">
        <v>1250</v>
      </c>
      <c r="AY117" s="9" t="n">
        <v>1251.3</v>
      </c>
      <c r="AZ117" s="9" t="n">
        <v>-1.299999999999955</v>
      </c>
      <c r="BA117" s="9" t="n">
        <v>14116.99999999999</v>
      </c>
      <c r="BE117" s="10" t="n">
        <v>46118</v>
      </c>
      <c r="BG117" s="9" t="n">
        <v>3512</v>
      </c>
      <c r="BH117" s="9" t="n">
        <v>3512.8</v>
      </c>
      <c r="BI117" s="9" t="n">
        <v>-0.8000000000001819</v>
      </c>
      <c r="BJ117" s="9" t="n">
        <v>21985.2</v>
      </c>
      <c r="BN117" s="10" t="n">
        <v>46118</v>
      </c>
      <c r="BO117" s="9" t="n">
        <v>1749.1</v>
      </c>
      <c r="BP117" s="9" t="n">
        <v>1749.33</v>
      </c>
      <c r="BQ117" s="9" t="n">
        <v>1749.1</v>
      </c>
      <c r="BR117" s="9" t="n">
        <v>0.2300000000000182</v>
      </c>
      <c r="BS117" s="9" t="n">
        <v>0</v>
      </c>
      <c r="BW117" s="10" t="n">
        <v>46118</v>
      </c>
      <c r="BY117" s="9" t="n">
        <v>556.5</v>
      </c>
      <c r="CA117" s="9" t="n">
        <v>556.5</v>
      </c>
      <c r="CB117" s="9" t="n">
        <v>10465.8</v>
      </c>
      <c r="CF117" s="10" t="n">
        <v>46118</v>
      </c>
      <c r="CH117" s="9" t="n">
        <v>850</v>
      </c>
      <c r="CJ117" s="9" t="n">
        <v>850</v>
      </c>
      <c r="CK117" s="9" t="n">
        <v>0</v>
      </c>
      <c r="CO117" s="10" t="n">
        <v>46118</v>
      </c>
      <c r="CQ117" s="9" t="n">
        <v>0</v>
      </c>
      <c r="CS117" s="9" t="n">
        <v>0</v>
      </c>
      <c r="CT117" s="9" t="n">
        <v>0</v>
      </c>
      <c r="CX117" s="10" t="n">
        <v>46118</v>
      </c>
      <c r="CZ117" s="9" t="n">
        <v>4174.67</v>
      </c>
      <c r="DA117" s="9" t="n">
        <v>4177</v>
      </c>
      <c r="DB117" s="9" t="n">
        <v>-2.329999999999927</v>
      </c>
      <c r="DC117" s="9" t="n">
        <v>34760.9</v>
      </c>
      <c r="DG117" s="10" t="n">
        <v>46118</v>
      </c>
      <c r="DI117" s="9" t="n">
        <v>2168</v>
      </c>
      <c r="DJ117" s="9" t="n">
        <v>2168.6</v>
      </c>
      <c r="DK117" s="9" t="n">
        <v>-0.5999999999999091</v>
      </c>
      <c r="DL117" s="9" t="n">
        <v>2420.399999999995</v>
      </c>
      <c r="DP117" s="10" t="n">
        <v>46118</v>
      </c>
      <c r="DR117" s="9" t="n">
        <v>50</v>
      </c>
      <c r="DS117" s="9" t="n">
        <v>100</v>
      </c>
      <c r="DT117" s="9" t="n">
        <v>-50</v>
      </c>
      <c r="DU117" s="9" t="n">
        <v>7050</v>
      </c>
      <c r="DY117" s="10" t="n">
        <v>46118</v>
      </c>
      <c r="EA117" s="9" t="n">
        <v>1200</v>
      </c>
      <c r="EB117" s="9" t="n">
        <v>1200</v>
      </c>
      <c r="EC117" s="9" t="n">
        <v>0</v>
      </c>
      <c r="ED117" s="9" t="n">
        <v>147.3000000000002</v>
      </c>
      <c r="EH117" s="10" t="n">
        <v>46118</v>
      </c>
      <c r="EJ117" s="9" t="n">
        <v>0</v>
      </c>
      <c r="EL117" s="9" t="n">
        <v>0</v>
      </c>
      <c r="EM117" s="9" t="n">
        <v>0</v>
      </c>
      <c r="EQ117" s="10" t="n">
        <v>46118</v>
      </c>
      <c r="ES117" s="9" t="n">
        <v>0</v>
      </c>
      <c r="EU117" s="9" t="n">
        <v>0</v>
      </c>
      <c r="EV117" s="9" t="n">
        <v>0</v>
      </c>
      <c r="EZ117" s="10" t="n">
        <v>46118</v>
      </c>
      <c r="FB117" s="9" t="n">
        <v>0</v>
      </c>
      <c r="FD117" s="9" t="n">
        <v>0</v>
      </c>
      <c r="FE117" s="9" t="n">
        <v>0</v>
      </c>
      <c r="FI117" s="10" t="n">
        <v>46118</v>
      </c>
      <c r="FK117" s="9" t="n">
        <v>0</v>
      </c>
      <c r="FM117" s="9" t="n">
        <v>0</v>
      </c>
      <c r="FN117" s="9" t="n">
        <v>0</v>
      </c>
      <c r="FR117" s="10" t="n">
        <v>46118</v>
      </c>
      <c r="FT117" s="9" t="n">
        <v>0</v>
      </c>
      <c r="FV117" s="9" t="n">
        <v>0</v>
      </c>
      <c r="FW117" s="9" t="n">
        <v>460</v>
      </c>
      <c r="GA117" s="10" t="n">
        <v>46118</v>
      </c>
      <c r="GC117" s="9" t="n">
        <v>0</v>
      </c>
      <c r="GE117" s="9" t="n">
        <v>0</v>
      </c>
      <c r="GF117" s="9" t="n">
        <v>6000</v>
      </c>
      <c r="GJ117" s="10" t="n">
        <v>46118</v>
      </c>
      <c r="GL117" s="9" t="n">
        <v>0</v>
      </c>
      <c r="GN117" s="9" t="n">
        <v>0</v>
      </c>
      <c r="GO117" s="9" t="n">
        <v>4800</v>
      </c>
      <c r="GS117" s="10" t="n">
        <v>46118</v>
      </c>
      <c r="GU117" s="9" t="n">
        <v>0</v>
      </c>
      <c r="GW117" s="9" t="n">
        <v>0</v>
      </c>
      <c r="GX117" s="9" t="n">
        <v>0</v>
      </c>
      <c r="HB117" s="10" t="n">
        <v>46118</v>
      </c>
      <c r="HD117" s="9" t="n">
        <v>0</v>
      </c>
      <c r="HF117" s="9" t="n">
        <v>0</v>
      </c>
      <c r="HG117" s="9" t="n">
        <v>0</v>
      </c>
      <c r="HK117" s="10" t="n">
        <v>46118</v>
      </c>
      <c r="HM117" s="9" t="n">
        <v>0</v>
      </c>
      <c r="HO117" s="9" t="n">
        <v>0</v>
      </c>
      <c r="HP117" s="9" t="n">
        <v>0</v>
      </c>
      <c r="HU117" s="10" t="n">
        <v>46118</v>
      </c>
      <c r="HW117" s="9" t="n">
        <v>0</v>
      </c>
      <c r="HY117" s="9" t="n">
        <v>0</v>
      </c>
      <c r="HZ117" s="9" t="n">
        <v>5120</v>
      </c>
      <c r="ID117" s="10" t="n">
        <v>46118</v>
      </c>
      <c r="IF117" s="9" t="n">
        <v>0</v>
      </c>
      <c r="IH117" s="9" t="n">
        <v>0</v>
      </c>
      <c r="II117" s="9" t="n">
        <v>6540</v>
      </c>
      <c r="IM117" s="10" t="n">
        <v>46118</v>
      </c>
      <c r="IO117" s="9" t="n">
        <v>0</v>
      </c>
      <c r="IQ117" s="9" t="n">
        <v>0</v>
      </c>
      <c r="IR117" s="9" t="n">
        <v>11540</v>
      </c>
      <c r="IV117" s="10" t="n">
        <v>46118</v>
      </c>
      <c r="IX117" s="9" t="n">
        <v>0</v>
      </c>
      <c r="IZ117" s="9" t="n">
        <v>0</v>
      </c>
      <c r="JA117" s="9" t="n">
        <v>15120</v>
      </c>
      <c r="JE117" s="10" t="n">
        <v>46118</v>
      </c>
      <c r="JG117" s="9" t="n">
        <v>0</v>
      </c>
      <c r="JI117" s="9" t="n">
        <v>0</v>
      </c>
      <c r="JJ117" s="9" t="n">
        <v>5040</v>
      </c>
      <c r="JN117" s="10" t="n">
        <v>46118</v>
      </c>
      <c r="JP117" s="9" t="n">
        <v>0</v>
      </c>
      <c r="JR117" s="9" t="n">
        <v>0</v>
      </c>
      <c r="JS117" s="9" t="n">
        <v>9100</v>
      </c>
      <c r="JW117" s="10" t="n">
        <v>46118</v>
      </c>
      <c r="JY117" s="9" t="n">
        <v>1000</v>
      </c>
      <c r="KA117" s="9" t="n">
        <v>1000</v>
      </c>
      <c r="KB117" s="9" t="n">
        <v>3540</v>
      </c>
      <c r="KF117" s="10" t="n">
        <v>46118</v>
      </c>
      <c r="KH117" s="9" t="n">
        <v>975</v>
      </c>
      <c r="KJ117" s="9" t="n">
        <v>975</v>
      </c>
      <c r="KK117" s="9" t="n">
        <v>4699.5</v>
      </c>
      <c r="KO117" s="10" t="n">
        <v>46118</v>
      </c>
      <c r="KQ117" s="9" t="n">
        <v>0</v>
      </c>
      <c r="KS117" s="9" t="n">
        <v>0</v>
      </c>
      <c r="KT117" s="9" t="n">
        <v>6426</v>
      </c>
      <c r="KX117" s="10" t="n">
        <v>46118</v>
      </c>
      <c r="KZ117" s="9" t="n">
        <v>0</v>
      </c>
      <c r="LB117" s="9" t="n">
        <v>0</v>
      </c>
      <c r="LC117" s="9" t="n">
        <v>0</v>
      </c>
      <c r="LG117" s="10" t="n">
        <v>46118</v>
      </c>
      <c r="LI117" s="9" t="n">
        <v>0</v>
      </c>
      <c r="LK117" s="9" t="n">
        <v>0</v>
      </c>
      <c r="LL117" s="9" t="n">
        <v>0</v>
      </c>
      <c r="LP117" s="10" t="n">
        <v>46118</v>
      </c>
      <c r="LR117" s="9" t="n">
        <v>0</v>
      </c>
      <c r="LT117" s="9" t="n">
        <v>0</v>
      </c>
      <c r="LU117" s="9" t="n">
        <v>0</v>
      </c>
      <c r="LY117" s="10" t="n">
        <v>46118</v>
      </c>
      <c r="MA117" s="9" t="n">
        <v>0</v>
      </c>
      <c r="MC117" s="9" t="n">
        <v>0</v>
      </c>
      <c r="MD117" s="9" t="n">
        <v>0</v>
      </c>
      <c r="MH117" s="10" t="n">
        <v>46118</v>
      </c>
      <c r="MJ117" s="9" t="n">
        <v>0</v>
      </c>
      <c r="ML117" s="9" t="n">
        <v>0</v>
      </c>
      <c r="MM117" s="9" t="n">
        <v>0</v>
      </c>
      <c r="MQ117" s="10" t="n">
        <v>46118</v>
      </c>
      <c r="MS117" s="9" t="n">
        <v>32</v>
      </c>
      <c r="MU117" s="9" t="n">
        <v>32</v>
      </c>
      <c r="MV117" s="9" t="n">
        <v>4157</v>
      </c>
      <c r="MZ117" s="10" t="n">
        <v>46118</v>
      </c>
      <c r="NB117" s="9" t="n">
        <v>300</v>
      </c>
      <c r="ND117" s="9" t="n">
        <v>300</v>
      </c>
      <c r="NE117" s="9" t="n">
        <v>0</v>
      </c>
      <c r="NI117" s="10" t="n">
        <v>46118</v>
      </c>
      <c r="NK117" s="9" t="n">
        <v>84</v>
      </c>
      <c r="NM117" s="9" t="n">
        <v>84</v>
      </c>
      <c r="NN117" s="9" t="n">
        <v>1877</v>
      </c>
      <c r="NR117" s="10" t="n">
        <v>46118</v>
      </c>
      <c r="NT117" s="9" t="n">
        <v>70</v>
      </c>
      <c r="NV117" s="9" t="n">
        <v>70</v>
      </c>
      <c r="NW117" s="9" t="n">
        <v>3960.9</v>
      </c>
      <c r="OA117" s="10" t="n">
        <v>46118</v>
      </c>
      <c r="OC117" s="9" t="n">
        <v>0</v>
      </c>
      <c r="OE117" s="9" t="n">
        <v>0</v>
      </c>
      <c r="OF117" s="9" t="n">
        <v>1680.5</v>
      </c>
      <c r="OJ117" s="10" t="n">
        <v>46118</v>
      </c>
      <c r="OL117" s="9" t="n">
        <v>277.47</v>
      </c>
      <c r="ON117" s="9" t="n">
        <v>277.47</v>
      </c>
      <c r="OO117" s="9" t="n">
        <v>0</v>
      </c>
      <c r="OS117" s="10" t="n">
        <v>46118</v>
      </c>
      <c r="OU117" s="9" t="n">
        <v>0</v>
      </c>
      <c r="OW117" s="9" t="n">
        <v>0</v>
      </c>
      <c r="OX117" s="9" t="n">
        <v>1000</v>
      </c>
      <c r="PB117" s="10" t="n">
        <v>46118</v>
      </c>
      <c r="PD117" s="9" t="n">
        <v>0</v>
      </c>
      <c r="PF117" s="9" t="n">
        <v>0</v>
      </c>
      <c r="PG117" s="9" t="n">
        <v>0</v>
      </c>
      <c r="PK117" s="10" t="n">
        <v>46118</v>
      </c>
      <c r="PM117" s="9" t="n">
        <v>0</v>
      </c>
      <c r="PO117" s="9" t="n">
        <v>0</v>
      </c>
      <c r="PP117" s="9" t="n">
        <v>100</v>
      </c>
      <c r="PT117" s="10" t="n">
        <v>46118</v>
      </c>
      <c r="PV117" s="9" t="n">
        <v>0</v>
      </c>
      <c r="PX117" s="9" t="n">
        <v>0</v>
      </c>
      <c r="PY117" s="9" t="n">
        <v>13.96000000000004</v>
      </c>
      <c r="QC117" s="10" t="n">
        <v>46118</v>
      </c>
      <c r="QE117" s="9" t="n">
        <v>0</v>
      </c>
      <c r="QG117" s="9" t="n">
        <v>0</v>
      </c>
      <c r="QH117" s="9" t="n">
        <v>1212</v>
      </c>
      <c r="QL117" s="10" t="n">
        <v>46118</v>
      </c>
      <c r="QN117" s="9" t="n">
        <v>0</v>
      </c>
      <c r="QP117" s="9" t="n">
        <v>0</v>
      </c>
      <c r="QQ117" s="9" t="n">
        <v>400</v>
      </c>
      <c r="QU117" s="10" t="n">
        <v>46118</v>
      </c>
      <c r="QW117" s="9" t="n">
        <v>0</v>
      </c>
      <c r="QY117" s="9" t="n">
        <v>0</v>
      </c>
      <c r="QZ117" s="9" t="n">
        <v>207.6</v>
      </c>
      <c r="RD117" s="10" t="n">
        <v>46118</v>
      </c>
      <c r="RF117" s="9" t="n">
        <v>0</v>
      </c>
      <c r="RH117" s="9" t="n">
        <v>0</v>
      </c>
      <c r="RI117" s="9" t="n">
        <v>197.04</v>
      </c>
      <c r="RM117" s="10" t="n">
        <v>46118</v>
      </c>
      <c r="RO117" s="9" t="n">
        <v>0</v>
      </c>
      <c r="RQ117" s="9" t="n">
        <v>0</v>
      </c>
      <c r="RR117" s="9" t="n">
        <v>46.8</v>
      </c>
      <c r="RV117" s="10" t="n">
        <v>46118</v>
      </c>
      <c r="RX117" s="9" t="n">
        <v>0</v>
      </c>
      <c r="RZ117" s="9" t="n">
        <v>0</v>
      </c>
      <c r="SA117" s="9" t="n">
        <v>0</v>
      </c>
      <c r="SE117" s="10" t="n">
        <v>46118</v>
      </c>
      <c r="SG117" s="9" t="n">
        <v>0</v>
      </c>
      <c r="SI117" s="9" t="n">
        <v>0</v>
      </c>
      <c r="SJ117" s="9" t="n">
        <v>0</v>
      </c>
      <c r="SN117" s="10" t="n">
        <v>46118</v>
      </c>
      <c r="SP117" s="9" t="n">
        <v>0</v>
      </c>
      <c r="SR117" s="9" t="n">
        <v>0</v>
      </c>
      <c r="SS117" s="9" t="n">
        <v>0</v>
      </c>
      <c r="SW117" s="10" t="n">
        <v>46118</v>
      </c>
      <c r="SY117" s="9" t="n">
        <v>0</v>
      </c>
      <c r="TA117" s="9" t="n">
        <v>0</v>
      </c>
      <c r="TB117" s="9" t="n">
        <v>0</v>
      </c>
      <c r="TF117" s="10" t="n">
        <v>46118</v>
      </c>
      <c r="TH117" s="9" t="n">
        <v>0</v>
      </c>
      <c r="TJ117" s="9" t="n">
        <v>0</v>
      </c>
      <c r="TK117" s="9" t="n">
        <v>0</v>
      </c>
      <c r="TO117" s="10" t="n">
        <v>46118</v>
      </c>
      <c r="TQ117" s="9" t="n">
        <v>0</v>
      </c>
      <c r="TS117" s="9" t="n">
        <v>0</v>
      </c>
      <c r="TT117" s="9" t="n">
        <v>0</v>
      </c>
      <c r="TX117" s="10" t="n">
        <v>46118</v>
      </c>
      <c r="TZ117" s="9" t="n">
        <v>0</v>
      </c>
      <c r="UB117" s="9" t="n">
        <v>0</v>
      </c>
      <c r="UC117" s="9" t="n">
        <v>0</v>
      </c>
      <c r="UG117" s="10" t="n">
        <v>46118</v>
      </c>
      <c r="UI117" s="9" t="n">
        <v>0</v>
      </c>
      <c r="UK117" s="9" t="n">
        <v>0</v>
      </c>
      <c r="UL117" s="9" t="n">
        <v>0</v>
      </c>
      <c r="UP117" s="10" t="n">
        <v>46118</v>
      </c>
      <c r="UR117" s="9" t="n">
        <v>0</v>
      </c>
      <c r="UT117" s="9" t="n">
        <v>0</v>
      </c>
      <c r="UU117" s="9" t="n">
        <v>0</v>
      </c>
      <c r="UY117" s="10" t="n">
        <v>46118</v>
      </c>
      <c r="VA117" s="9" t="n">
        <v>0</v>
      </c>
      <c r="VC117" s="9" t="n">
        <v>0</v>
      </c>
      <c r="VD117" s="9" t="n">
        <v>41.60000000000002</v>
      </c>
      <c r="VH117" s="10" t="n">
        <v>46118</v>
      </c>
      <c r="VJ117" s="9" t="n">
        <v>0</v>
      </c>
      <c r="VL117" s="9" t="n">
        <v>0</v>
      </c>
      <c r="VM117" s="9" t="n">
        <v>0</v>
      </c>
      <c r="VQ117" s="10" t="n">
        <v>46118</v>
      </c>
      <c r="VS117" s="9" t="n">
        <v>0</v>
      </c>
      <c r="VU117" s="9" t="n">
        <v>0</v>
      </c>
      <c r="VV117" s="9" t="n">
        <v>0</v>
      </c>
      <c r="VZ117" s="10" t="n">
        <v>46118</v>
      </c>
      <c r="WB117" s="9" t="n">
        <v>0</v>
      </c>
      <c r="WD117" s="9" t="n">
        <v>0</v>
      </c>
      <c r="WE117" s="9" t="n">
        <v>0</v>
      </c>
      <c r="WI117" s="10" t="n">
        <v>46118</v>
      </c>
      <c r="WK117" s="9" t="n">
        <v>0</v>
      </c>
      <c r="WM117" s="9" t="n">
        <v>0</v>
      </c>
      <c r="WN117" s="9" t="n">
        <v>2317</v>
      </c>
      <c r="WR117" s="10" t="n">
        <v>46118</v>
      </c>
      <c r="WT117" s="9" t="n">
        <v>0</v>
      </c>
      <c r="WV117" s="9" t="n">
        <v>0</v>
      </c>
      <c r="WW117" s="9" t="n">
        <v>0</v>
      </c>
      <c r="XA117" s="10" t="n">
        <v>46118</v>
      </c>
      <c r="XC117" s="9" t="n">
        <v>0</v>
      </c>
      <c r="XE117" s="9" t="n">
        <v>0</v>
      </c>
      <c r="XF117" s="9" t="n">
        <v>14868</v>
      </c>
      <c r="XJ117" s="10" t="n">
        <v>46118</v>
      </c>
      <c r="XL117" s="9" t="n">
        <v>0</v>
      </c>
      <c r="XM117" s="9" t="n">
        <v>229</v>
      </c>
      <c r="XN117" s="9" t="n">
        <v>-229</v>
      </c>
      <c r="XO117" s="9" t="n">
        <v>7073</v>
      </c>
      <c r="XS117" s="10" t="n">
        <v>46118</v>
      </c>
      <c r="XU117" s="9" t="n">
        <v>0</v>
      </c>
      <c r="XW117" s="9" t="n">
        <v>0</v>
      </c>
      <c r="XX117" s="9" t="n">
        <v>1901</v>
      </c>
      <c r="YB117" s="10" t="n">
        <v>46118</v>
      </c>
      <c r="YD117" s="9" t="n">
        <v>0</v>
      </c>
      <c r="YF117" s="9" t="n">
        <v>0</v>
      </c>
      <c r="YG117" s="9" t="n">
        <v>6459</v>
      </c>
      <c r="YK117" s="10" t="n">
        <v>46118</v>
      </c>
      <c r="YM117" s="9" t="n">
        <v>0</v>
      </c>
      <c r="YO117" s="9" t="n">
        <v>0</v>
      </c>
      <c r="YP117" s="9" t="n">
        <v>0</v>
      </c>
      <c r="YT117" s="10" t="n">
        <v>46118</v>
      </c>
      <c r="YV117" s="9" t="n">
        <v>0</v>
      </c>
      <c r="YX117" s="9" t="n">
        <v>0</v>
      </c>
      <c r="YY117" s="9" t="n">
        <v>0</v>
      </c>
      <c r="ZC117" s="10" t="n">
        <v>46118</v>
      </c>
      <c r="ZE117" s="9" t="n">
        <v>0</v>
      </c>
      <c r="ZG117" s="9" t="n">
        <v>0</v>
      </c>
      <c r="ZH117" s="9" t="n">
        <v>0</v>
      </c>
      <c r="ZL117" s="10" t="n">
        <v>46118</v>
      </c>
      <c r="ZN117" s="9" t="n">
        <v>0</v>
      </c>
      <c r="ZP117" s="9" t="n">
        <v>0</v>
      </c>
      <c r="ZQ117" s="9" t="n">
        <v>0</v>
      </c>
      <c r="ZU117" s="10" t="n">
        <v>46118</v>
      </c>
      <c r="ZW117" s="9" t="n">
        <v>0</v>
      </c>
      <c r="ZY117" s="9" t="n">
        <v>0</v>
      </c>
      <c r="ZZ117" s="9" t="n">
        <v>0</v>
      </c>
      <c r="AAD117" s="10" t="n">
        <v>46118</v>
      </c>
      <c r="AAF117" s="9" t="n">
        <v>0</v>
      </c>
      <c r="AAH117" s="9" t="n">
        <v>0</v>
      </c>
      <c r="AAI117" s="9" t="n">
        <v>0</v>
      </c>
      <c r="AAM117" s="10" t="n">
        <v>46118</v>
      </c>
      <c r="AAO117" s="9" t="n">
        <v>0</v>
      </c>
      <c r="AAQ117" s="9" t="n">
        <v>0</v>
      </c>
      <c r="AAR117" s="9" t="n">
        <v>0</v>
      </c>
      <c r="AAV117" s="10" t="n">
        <v>46118</v>
      </c>
      <c r="AAX117" s="9" t="n">
        <v>0</v>
      </c>
      <c r="AAZ117" s="9" t="n">
        <v>0</v>
      </c>
      <c r="ABA117" s="9" t="n">
        <v>0</v>
      </c>
      <c r="ABE117" s="10" t="n">
        <v>46118</v>
      </c>
      <c r="ABG117" s="9" t="n">
        <v>0</v>
      </c>
      <c r="ABI117" s="9" t="n">
        <v>0</v>
      </c>
      <c r="ABJ117" s="9" t="n">
        <v>0</v>
      </c>
    </row>
    <row r="118">
      <c r="B118" s="9" t="n">
        <v>12</v>
      </c>
      <c r="C118" s="10" t="n">
        <v>46119</v>
      </c>
      <c r="D118" s="9" t="n">
        <v>29860</v>
      </c>
      <c r="E118" s="9" t="n">
        <v>6415.199999999999</v>
      </c>
      <c r="F118" s="9" t="n">
        <v>6410.8</v>
      </c>
      <c r="G118" s="9" t="n">
        <v>4.399999999998727</v>
      </c>
      <c r="H118" s="9" t="n">
        <v>151436.6</v>
      </c>
      <c r="I118" s="9" t="inlineStr">
        <is>
          <t>123 12mt</t>
        </is>
      </c>
      <c r="L118" s="10" t="n">
        <v>46119</v>
      </c>
      <c r="N118" s="9" t="n">
        <v>2058</v>
      </c>
      <c r="O118" s="9" t="n">
        <v>2057.4</v>
      </c>
      <c r="P118" s="9" t="n">
        <v>0.5999999999999091</v>
      </c>
      <c r="Q118" s="9" t="n">
        <v>64741.40000000009</v>
      </c>
      <c r="U118" s="10" t="n">
        <v>46119</v>
      </c>
      <c r="W118" s="9" t="n">
        <v>1020</v>
      </c>
      <c r="X118" s="9" t="n">
        <v>1020.6</v>
      </c>
      <c r="Y118" s="9" t="n">
        <v>-0.6000000000000227</v>
      </c>
      <c r="Z118" s="9" t="n">
        <v>29220.49999999997</v>
      </c>
      <c r="AD118" s="10" t="n">
        <v>46119</v>
      </c>
      <c r="AF118" s="9" t="n">
        <v>144</v>
      </c>
      <c r="AG118" s="9" t="n">
        <v>144.5</v>
      </c>
      <c r="AH118" s="9" t="n">
        <v>-0.5</v>
      </c>
      <c r="AI118" s="9" t="n">
        <v>47918.30000000002</v>
      </c>
      <c r="AM118" s="10" t="n">
        <v>46119</v>
      </c>
      <c r="AO118" s="9" t="n">
        <v>0</v>
      </c>
      <c r="AQ118" s="9" t="n">
        <v>0</v>
      </c>
      <c r="AR118" s="9" t="n">
        <v>0</v>
      </c>
      <c r="AV118" s="10" t="n">
        <v>46119</v>
      </c>
      <c r="AX118" s="9" t="n">
        <v>0</v>
      </c>
      <c r="AZ118" s="9" t="n">
        <v>0</v>
      </c>
      <c r="BA118" s="9" t="n">
        <v>14116.99999999999</v>
      </c>
      <c r="BE118" s="10" t="n">
        <v>46119</v>
      </c>
      <c r="BG118" s="9" t="n">
        <v>540</v>
      </c>
      <c r="BH118" s="9" t="n">
        <v>539.4</v>
      </c>
      <c r="BI118" s="9" t="n">
        <v>0.6000000000000227</v>
      </c>
      <c r="BJ118" s="9" t="n">
        <v>21445.8</v>
      </c>
      <c r="BN118" s="10" t="n">
        <v>46119</v>
      </c>
      <c r="BO118" s="9" t="n">
        <v>234</v>
      </c>
      <c r="BP118" s="9" t="n">
        <v>234</v>
      </c>
      <c r="BQ118" s="9" t="n">
        <v>234</v>
      </c>
      <c r="BR118" s="9" t="n">
        <v>0</v>
      </c>
      <c r="BS118" s="9" t="n">
        <v>0</v>
      </c>
      <c r="BW118" s="10" t="n">
        <v>46119</v>
      </c>
      <c r="BY118" s="9" t="n">
        <v>66.00000000000001</v>
      </c>
      <c r="CA118" s="9" t="n">
        <v>66.00000000000001</v>
      </c>
      <c r="CB118" s="9" t="n">
        <v>10465.8</v>
      </c>
      <c r="CF118" s="10" t="n">
        <v>46119</v>
      </c>
      <c r="CH118" s="9" t="n">
        <v>108</v>
      </c>
      <c r="CJ118" s="9" t="n">
        <v>108</v>
      </c>
      <c r="CK118" s="9" t="n">
        <v>0</v>
      </c>
      <c r="CO118" s="10" t="n">
        <v>46119</v>
      </c>
      <c r="CQ118" s="9" t="n">
        <v>0</v>
      </c>
      <c r="CS118" s="9" t="n">
        <v>0</v>
      </c>
      <c r="CT118" s="9" t="n">
        <v>0</v>
      </c>
      <c r="CX118" s="10" t="n">
        <v>46119</v>
      </c>
      <c r="CZ118" s="9" t="n">
        <v>600</v>
      </c>
      <c r="DA118" s="9" t="n">
        <v>600.2</v>
      </c>
      <c r="DB118" s="9" t="n">
        <v>-0.2000000000000455</v>
      </c>
      <c r="DC118" s="9" t="n">
        <v>34160.7</v>
      </c>
      <c r="DG118" s="10" t="n">
        <v>46119</v>
      </c>
      <c r="DH118" s="9" t="n">
        <v>28440</v>
      </c>
      <c r="DI118" s="9" t="n">
        <v>480</v>
      </c>
      <c r="DJ118" s="9" t="n">
        <v>479.2</v>
      </c>
      <c r="DK118" s="9" t="n">
        <v>0.8000000000000114</v>
      </c>
      <c r="DL118" s="9" t="n">
        <v>30381.19999999999</v>
      </c>
      <c r="DP118" s="10" t="n">
        <v>46119</v>
      </c>
      <c r="DR118" s="9" t="n">
        <v>0</v>
      </c>
      <c r="DT118" s="9" t="n">
        <v>0</v>
      </c>
      <c r="DU118" s="9" t="n">
        <v>7050</v>
      </c>
      <c r="DY118" s="10" t="n">
        <v>46119</v>
      </c>
      <c r="EA118" s="9" t="n">
        <v>0</v>
      </c>
      <c r="EC118" s="9" t="n">
        <v>0</v>
      </c>
      <c r="ED118" s="9" t="n">
        <v>147.3000000000002</v>
      </c>
      <c r="EH118" s="10" t="n">
        <v>46119</v>
      </c>
      <c r="EJ118" s="9" t="n">
        <v>0</v>
      </c>
      <c r="EL118" s="9" t="n">
        <v>0</v>
      </c>
      <c r="EM118" s="9" t="n">
        <v>0</v>
      </c>
      <c r="EQ118" s="10" t="n">
        <v>46119</v>
      </c>
      <c r="ES118" s="9" t="n">
        <v>0</v>
      </c>
      <c r="EU118" s="9" t="n">
        <v>0</v>
      </c>
      <c r="EV118" s="9" t="n">
        <v>0</v>
      </c>
      <c r="EZ118" s="10" t="n">
        <v>46119</v>
      </c>
      <c r="FB118" s="9" t="n">
        <v>0</v>
      </c>
      <c r="FD118" s="9" t="n">
        <v>0</v>
      </c>
      <c r="FE118" s="9" t="n">
        <v>0</v>
      </c>
      <c r="FI118" s="10" t="n">
        <v>46119</v>
      </c>
      <c r="FK118" s="9" t="n">
        <v>0</v>
      </c>
      <c r="FM118" s="9" t="n">
        <v>0</v>
      </c>
      <c r="FN118" s="9" t="n">
        <v>0</v>
      </c>
      <c r="FR118" s="10" t="n">
        <v>46119</v>
      </c>
      <c r="FT118" s="9" t="n">
        <v>0</v>
      </c>
      <c r="FV118" s="9" t="n">
        <v>0</v>
      </c>
      <c r="FW118" s="9" t="n">
        <v>460</v>
      </c>
      <c r="GA118" s="10" t="n">
        <v>46119</v>
      </c>
      <c r="GC118" s="9" t="n">
        <v>0</v>
      </c>
      <c r="GE118" s="9" t="n">
        <v>0</v>
      </c>
      <c r="GF118" s="9" t="n">
        <v>6000</v>
      </c>
      <c r="GJ118" s="10" t="n">
        <v>46119</v>
      </c>
      <c r="GL118" s="9" t="n">
        <v>0</v>
      </c>
      <c r="GN118" s="9" t="n">
        <v>0</v>
      </c>
      <c r="GO118" s="9" t="n">
        <v>4800</v>
      </c>
      <c r="GS118" s="10" t="n">
        <v>46119</v>
      </c>
      <c r="GU118" s="9" t="n">
        <v>0</v>
      </c>
      <c r="GW118" s="9" t="n">
        <v>0</v>
      </c>
      <c r="GX118" s="9" t="n">
        <v>0</v>
      </c>
      <c r="HB118" s="10" t="n">
        <v>46119</v>
      </c>
      <c r="HD118" s="9" t="n">
        <v>0</v>
      </c>
      <c r="HF118" s="9" t="n">
        <v>0</v>
      </c>
      <c r="HG118" s="9" t="n">
        <v>0</v>
      </c>
      <c r="HK118" s="10" t="n">
        <v>46119</v>
      </c>
      <c r="HM118" s="9" t="n">
        <v>0</v>
      </c>
      <c r="HO118" s="9" t="n">
        <v>0</v>
      </c>
      <c r="HP118" s="9" t="n">
        <v>0</v>
      </c>
      <c r="HU118" s="10" t="n">
        <v>46119</v>
      </c>
      <c r="HW118" s="9" t="n">
        <v>0</v>
      </c>
      <c r="HY118" s="9" t="n">
        <v>0</v>
      </c>
      <c r="HZ118" s="9" t="n">
        <v>5120</v>
      </c>
      <c r="ID118" s="10" t="n">
        <v>46119</v>
      </c>
      <c r="IF118" s="9" t="n">
        <v>0</v>
      </c>
      <c r="IH118" s="9" t="n">
        <v>0</v>
      </c>
      <c r="II118" s="9" t="n">
        <v>6540</v>
      </c>
      <c r="IM118" s="10" t="n">
        <v>46119</v>
      </c>
      <c r="IO118" s="9" t="n">
        <v>0</v>
      </c>
      <c r="IQ118" s="9" t="n">
        <v>0</v>
      </c>
      <c r="IR118" s="9" t="n">
        <v>11540</v>
      </c>
      <c r="IV118" s="10" t="n">
        <v>46119</v>
      </c>
      <c r="IX118" s="9" t="n">
        <v>0</v>
      </c>
      <c r="IZ118" s="9" t="n">
        <v>0</v>
      </c>
      <c r="JA118" s="9" t="n">
        <v>15120</v>
      </c>
      <c r="JE118" s="10" t="n">
        <v>46119</v>
      </c>
      <c r="JG118" s="9" t="n">
        <v>0</v>
      </c>
      <c r="JI118" s="9" t="n">
        <v>0</v>
      </c>
      <c r="JJ118" s="9" t="n">
        <v>5040</v>
      </c>
      <c r="JN118" s="10" t="n">
        <v>46119</v>
      </c>
      <c r="JP118" s="9" t="n">
        <v>0</v>
      </c>
      <c r="JR118" s="9" t="n">
        <v>0</v>
      </c>
      <c r="JS118" s="9" t="n">
        <v>9100</v>
      </c>
      <c r="JW118" s="10" t="n">
        <v>46119</v>
      </c>
      <c r="JY118" s="9" t="n">
        <v>0</v>
      </c>
      <c r="KA118" s="9" t="n">
        <v>0</v>
      </c>
      <c r="KB118" s="9" t="n">
        <v>3540</v>
      </c>
      <c r="KF118" s="10" t="n">
        <v>46119</v>
      </c>
      <c r="KG118" s="9" t="n">
        <v>1950</v>
      </c>
      <c r="KH118" s="9" t="n">
        <v>0</v>
      </c>
      <c r="KJ118" s="9" t="n">
        <v>0</v>
      </c>
      <c r="KK118" s="9" t="n">
        <v>6649.5</v>
      </c>
      <c r="KO118" s="10" t="n">
        <v>46119</v>
      </c>
      <c r="KQ118" s="9" t="n">
        <v>226.8</v>
      </c>
      <c r="KS118" s="9" t="n">
        <v>226.8</v>
      </c>
      <c r="KT118" s="9" t="n">
        <v>6426</v>
      </c>
      <c r="KX118" s="10" t="n">
        <v>46119</v>
      </c>
      <c r="KZ118" s="9" t="n">
        <v>0</v>
      </c>
      <c r="LB118" s="9" t="n">
        <v>0</v>
      </c>
      <c r="LC118" s="9" t="n">
        <v>0</v>
      </c>
      <c r="LG118" s="10" t="n">
        <v>46119</v>
      </c>
      <c r="LI118" s="9" t="n">
        <v>0</v>
      </c>
      <c r="LK118" s="9" t="n">
        <v>0</v>
      </c>
      <c r="LL118" s="9" t="n">
        <v>0</v>
      </c>
      <c r="LP118" s="10" t="n">
        <v>46119</v>
      </c>
      <c r="LR118" s="9" t="n">
        <v>0</v>
      </c>
      <c r="LT118" s="9" t="n">
        <v>0</v>
      </c>
      <c r="LU118" s="9" t="n">
        <v>0</v>
      </c>
      <c r="LY118" s="10" t="n">
        <v>46119</v>
      </c>
      <c r="MA118" s="9" t="n">
        <v>0</v>
      </c>
      <c r="MC118" s="9" t="n">
        <v>0</v>
      </c>
      <c r="MD118" s="9" t="n">
        <v>0</v>
      </c>
      <c r="MH118" s="10" t="n">
        <v>46119</v>
      </c>
      <c r="MJ118" s="9" t="n">
        <v>0</v>
      </c>
      <c r="ML118" s="9" t="n">
        <v>0</v>
      </c>
      <c r="MM118" s="9" t="n">
        <v>0</v>
      </c>
      <c r="MQ118" s="10" t="n">
        <v>46119</v>
      </c>
      <c r="MS118" s="9" t="n">
        <v>24</v>
      </c>
      <c r="MU118" s="9" t="n">
        <v>24</v>
      </c>
      <c r="MV118" s="9" t="n">
        <v>4157</v>
      </c>
      <c r="MZ118" s="10" t="n">
        <v>46119</v>
      </c>
      <c r="NB118" s="9" t="n">
        <v>36</v>
      </c>
      <c r="ND118" s="9" t="n">
        <v>36</v>
      </c>
      <c r="NE118" s="9" t="n">
        <v>0</v>
      </c>
      <c r="NI118" s="10" t="n">
        <v>46119</v>
      </c>
      <c r="NK118" s="9" t="n">
        <v>0</v>
      </c>
      <c r="NM118" s="9" t="n">
        <v>0</v>
      </c>
      <c r="NN118" s="9" t="n">
        <v>1877</v>
      </c>
      <c r="NR118" s="10" t="n">
        <v>46119</v>
      </c>
      <c r="NT118" s="9" t="n">
        <v>14.4</v>
      </c>
      <c r="NV118" s="9" t="n">
        <v>14.4</v>
      </c>
      <c r="NW118" s="9" t="n">
        <v>3960.9</v>
      </c>
      <c r="OA118" s="10" t="n">
        <v>46119</v>
      </c>
      <c r="OC118" s="9" t="n">
        <v>0</v>
      </c>
      <c r="OE118" s="9" t="n">
        <v>0</v>
      </c>
      <c r="OF118" s="9" t="n">
        <v>1680.5</v>
      </c>
      <c r="OJ118" s="10" t="n">
        <v>46119</v>
      </c>
      <c r="OL118" s="9" t="n">
        <v>33.59999999999999</v>
      </c>
      <c r="ON118" s="9" t="n">
        <v>33.59999999999999</v>
      </c>
      <c r="OO118" s="9" t="n">
        <v>0</v>
      </c>
      <c r="OS118" s="10" t="n">
        <v>46119</v>
      </c>
      <c r="OU118" s="9" t="n">
        <v>0</v>
      </c>
      <c r="OW118" s="9" t="n">
        <v>0</v>
      </c>
      <c r="OX118" s="9" t="n">
        <v>1000</v>
      </c>
      <c r="PB118" s="10" t="n">
        <v>46119</v>
      </c>
      <c r="PD118" s="9" t="n">
        <v>0</v>
      </c>
      <c r="PF118" s="9" t="n">
        <v>0</v>
      </c>
      <c r="PG118" s="9" t="n">
        <v>0</v>
      </c>
      <c r="PK118" s="10" t="n">
        <v>46119</v>
      </c>
      <c r="PM118" s="9" t="n">
        <v>0</v>
      </c>
      <c r="PO118" s="9" t="n">
        <v>0</v>
      </c>
      <c r="PP118" s="9" t="n">
        <v>100</v>
      </c>
      <c r="PT118" s="10" t="n">
        <v>46119</v>
      </c>
      <c r="PV118" s="9" t="n">
        <v>0</v>
      </c>
      <c r="PX118" s="9" t="n">
        <v>0</v>
      </c>
      <c r="PY118" s="9" t="n">
        <v>13.96000000000004</v>
      </c>
      <c r="QC118" s="10" t="n">
        <v>46119</v>
      </c>
      <c r="QE118" s="9" t="n">
        <v>0</v>
      </c>
      <c r="QG118" s="9" t="n">
        <v>0</v>
      </c>
      <c r="QH118" s="9" t="n">
        <v>1212</v>
      </c>
      <c r="QL118" s="10" t="n">
        <v>46119</v>
      </c>
      <c r="QN118" s="9" t="n">
        <v>0</v>
      </c>
      <c r="QP118" s="9" t="n">
        <v>0</v>
      </c>
      <c r="QQ118" s="9" t="n">
        <v>400</v>
      </c>
      <c r="QU118" s="10" t="n">
        <v>46119</v>
      </c>
      <c r="QW118" s="9" t="n">
        <v>0</v>
      </c>
      <c r="QY118" s="9" t="n">
        <v>0</v>
      </c>
      <c r="QZ118" s="9" t="n">
        <v>207.6</v>
      </c>
      <c r="RD118" s="10" t="n">
        <v>46119</v>
      </c>
      <c r="RF118" s="9" t="n">
        <v>0</v>
      </c>
      <c r="RH118" s="9" t="n">
        <v>0</v>
      </c>
      <c r="RI118" s="9" t="n">
        <v>197.04</v>
      </c>
      <c r="RM118" s="10" t="n">
        <v>46119</v>
      </c>
      <c r="RO118" s="9" t="n">
        <v>0</v>
      </c>
      <c r="RQ118" s="9" t="n">
        <v>0</v>
      </c>
      <c r="RR118" s="9" t="n">
        <v>46.8</v>
      </c>
      <c r="RV118" s="10" t="n">
        <v>46119</v>
      </c>
      <c r="RX118" s="9" t="n">
        <v>0</v>
      </c>
      <c r="RZ118" s="9" t="n">
        <v>0</v>
      </c>
      <c r="SA118" s="9" t="n">
        <v>0</v>
      </c>
      <c r="SE118" s="10" t="n">
        <v>46119</v>
      </c>
      <c r="SG118" s="9" t="n">
        <v>0</v>
      </c>
      <c r="SI118" s="9" t="n">
        <v>0</v>
      </c>
      <c r="SJ118" s="9" t="n">
        <v>0</v>
      </c>
      <c r="SN118" s="10" t="n">
        <v>46119</v>
      </c>
      <c r="SP118" s="9" t="n">
        <v>0</v>
      </c>
      <c r="SR118" s="9" t="n">
        <v>0</v>
      </c>
      <c r="SS118" s="9" t="n">
        <v>0</v>
      </c>
      <c r="SW118" s="10" t="n">
        <v>46119</v>
      </c>
      <c r="SY118" s="9" t="n">
        <v>0</v>
      </c>
      <c r="TA118" s="9" t="n">
        <v>0</v>
      </c>
      <c r="TB118" s="9" t="n">
        <v>0</v>
      </c>
      <c r="TF118" s="10" t="n">
        <v>46119</v>
      </c>
      <c r="TH118" s="9" t="n">
        <v>0</v>
      </c>
      <c r="TJ118" s="9" t="n">
        <v>0</v>
      </c>
      <c r="TK118" s="9" t="n">
        <v>0</v>
      </c>
      <c r="TO118" s="10" t="n">
        <v>46119</v>
      </c>
      <c r="TQ118" s="9" t="n">
        <v>0</v>
      </c>
      <c r="TS118" s="9" t="n">
        <v>0</v>
      </c>
      <c r="TT118" s="9" t="n">
        <v>0</v>
      </c>
      <c r="TX118" s="10" t="n">
        <v>46119</v>
      </c>
      <c r="TZ118" s="9" t="n">
        <v>0</v>
      </c>
      <c r="UB118" s="9" t="n">
        <v>0</v>
      </c>
      <c r="UC118" s="9" t="n">
        <v>0</v>
      </c>
      <c r="UG118" s="10" t="n">
        <v>46119</v>
      </c>
      <c r="UI118" s="9" t="n">
        <v>0</v>
      </c>
      <c r="UK118" s="9" t="n">
        <v>0</v>
      </c>
      <c r="UL118" s="9" t="n">
        <v>0</v>
      </c>
      <c r="UP118" s="10" t="n">
        <v>46119</v>
      </c>
      <c r="UR118" s="9" t="n">
        <v>0</v>
      </c>
      <c r="UT118" s="9" t="n">
        <v>0</v>
      </c>
      <c r="UU118" s="9" t="n">
        <v>0</v>
      </c>
      <c r="UY118" s="10" t="n">
        <v>46119</v>
      </c>
      <c r="VA118" s="9" t="n">
        <v>0</v>
      </c>
      <c r="VC118" s="9" t="n">
        <v>0</v>
      </c>
      <c r="VD118" s="9" t="n">
        <v>41.60000000000002</v>
      </c>
      <c r="VH118" s="10" t="n">
        <v>46119</v>
      </c>
      <c r="VJ118" s="9" t="n">
        <v>0</v>
      </c>
      <c r="VL118" s="9" t="n">
        <v>0</v>
      </c>
      <c r="VM118" s="9" t="n">
        <v>0</v>
      </c>
      <c r="VQ118" s="10" t="n">
        <v>46119</v>
      </c>
      <c r="VS118" s="9" t="n">
        <v>0</v>
      </c>
      <c r="VU118" s="9" t="n">
        <v>0</v>
      </c>
      <c r="VV118" s="9" t="n">
        <v>0</v>
      </c>
      <c r="VZ118" s="10" t="n">
        <v>46119</v>
      </c>
      <c r="WB118" s="9" t="n">
        <v>0</v>
      </c>
      <c r="WD118" s="9" t="n">
        <v>0</v>
      </c>
      <c r="WE118" s="9" t="n">
        <v>0</v>
      </c>
      <c r="WI118" s="10" t="n">
        <v>46119</v>
      </c>
      <c r="WK118" s="9" t="n">
        <v>0</v>
      </c>
      <c r="WM118" s="9" t="n">
        <v>0</v>
      </c>
      <c r="WN118" s="9" t="n">
        <v>2317</v>
      </c>
      <c r="WR118" s="10" t="n">
        <v>46119</v>
      </c>
      <c r="WS118" s="9" t="n">
        <v>8000</v>
      </c>
      <c r="WT118" s="9" t="n">
        <v>0</v>
      </c>
      <c r="WV118" s="9" t="n">
        <v>0</v>
      </c>
      <c r="WW118" s="9" t="n">
        <v>8000</v>
      </c>
      <c r="XA118" s="10" t="n">
        <v>46119</v>
      </c>
      <c r="XC118" s="9" t="n">
        <v>0</v>
      </c>
      <c r="XE118" s="9" t="n">
        <v>0</v>
      </c>
      <c r="XF118" s="9" t="n">
        <v>14868</v>
      </c>
      <c r="XJ118" s="10" t="n">
        <v>46119</v>
      </c>
      <c r="XL118" s="9" t="n">
        <v>0</v>
      </c>
      <c r="XM118" s="9" t="n">
        <v>1082</v>
      </c>
      <c r="XN118" s="9" t="n">
        <v>-1082</v>
      </c>
      <c r="XO118" s="9" t="n">
        <v>5991</v>
      </c>
      <c r="XS118" s="10" t="n">
        <v>46119</v>
      </c>
      <c r="XU118" s="9" t="n">
        <v>0</v>
      </c>
      <c r="XW118" s="9" t="n">
        <v>0</v>
      </c>
      <c r="XX118" s="9" t="n">
        <v>1901</v>
      </c>
      <c r="YB118" s="10" t="n">
        <v>46119</v>
      </c>
      <c r="YD118" s="9" t="n">
        <v>0</v>
      </c>
      <c r="YF118" s="9" t="n">
        <v>0</v>
      </c>
      <c r="YG118" s="9" t="n">
        <v>6459</v>
      </c>
      <c r="YK118" s="10" t="n">
        <v>46119</v>
      </c>
      <c r="YM118" s="9" t="n">
        <v>0</v>
      </c>
      <c r="YO118" s="9" t="n">
        <v>0</v>
      </c>
      <c r="YP118" s="9" t="n">
        <v>0</v>
      </c>
      <c r="YT118" s="10" t="n">
        <v>46119</v>
      </c>
      <c r="YV118" s="9" t="n">
        <v>0</v>
      </c>
      <c r="YX118" s="9" t="n">
        <v>0</v>
      </c>
      <c r="YY118" s="9" t="n">
        <v>0</v>
      </c>
      <c r="ZC118" s="10" t="n">
        <v>46119</v>
      </c>
      <c r="ZE118" s="9" t="n">
        <v>0</v>
      </c>
      <c r="ZG118" s="9" t="n">
        <v>0</v>
      </c>
      <c r="ZH118" s="9" t="n">
        <v>0</v>
      </c>
      <c r="ZL118" s="10" t="n">
        <v>46119</v>
      </c>
      <c r="ZN118" s="9" t="n">
        <v>0</v>
      </c>
      <c r="ZP118" s="9" t="n">
        <v>0</v>
      </c>
      <c r="ZQ118" s="9" t="n">
        <v>0</v>
      </c>
      <c r="ZU118" s="10" t="n">
        <v>46119</v>
      </c>
      <c r="ZW118" s="9" t="n">
        <v>0</v>
      </c>
      <c r="ZY118" s="9" t="n">
        <v>0</v>
      </c>
      <c r="ZZ118" s="9" t="n">
        <v>0</v>
      </c>
      <c r="AAD118" s="10" t="n">
        <v>46119</v>
      </c>
      <c r="AAF118" s="9" t="n">
        <v>0</v>
      </c>
      <c r="AAH118" s="9" t="n">
        <v>0</v>
      </c>
      <c r="AAI118" s="9" t="n">
        <v>0</v>
      </c>
      <c r="AAM118" s="10" t="n">
        <v>46119</v>
      </c>
      <c r="AAO118" s="9" t="n">
        <v>0</v>
      </c>
      <c r="AAQ118" s="9" t="n">
        <v>0</v>
      </c>
      <c r="AAR118" s="9" t="n">
        <v>0</v>
      </c>
      <c r="AAV118" s="10" t="n">
        <v>46119</v>
      </c>
      <c r="AAX118" s="9" t="n">
        <v>0</v>
      </c>
      <c r="AAZ118" s="9" t="n">
        <v>0</v>
      </c>
      <c r="ABA118" s="9" t="n">
        <v>0</v>
      </c>
      <c r="ABE118" s="10" t="n">
        <v>46119</v>
      </c>
      <c r="ABG118" s="9" t="n">
        <v>0</v>
      </c>
      <c r="ABI118" s="9" t="n">
        <v>0</v>
      </c>
      <c r="ABJ118" s="9" t="n">
        <v>0</v>
      </c>
    </row>
    <row r="119">
      <c r="B119" s="9" t="n">
        <v>70</v>
      </c>
      <c r="C119" s="10" t="n">
        <v>46120</v>
      </c>
      <c r="D119" s="9" t="n">
        <v>49500</v>
      </c>
      <c r="E119" s="9" t="n">
        <v>35164.5</v>
      </c>
      <c r="F119" s="9" t="n">
        <v>35155.8</v>
      </c>
      <c r="G119" s="9" t="n">
        <v>8.69999999999709</v>
      </c>
      <c r="H119" s="9" t="n">
        <v>165780.8</v>
      </c>
      <c r="I119" s="9" t="inlineStr">
        <is>
          <t>122 70mt</t>
        </is>
      </c>
      <c r="L119" s="10" t="n">
        <v>46120</v>
      </c>
      <c r="M119" s="9" t="n">
        <v>23600</v>
      </c>
      <c r="N119" s="9" t="n">
        <v>14350</v>
      </c>
      <c r="O119" s="9" t="n">
        <v>14354.4</v>
      </c>
      <c r="P119" s="9" t="n">
        <v>-4.399999999999636</v>
      </c>
      <c r="Q119" s="9" t="n">
        <v>73987.00000000009</v>
      </c>
      <c r="U119" s="10" t="n">
        <v>46120</v>
      </c>
      <c r="W119" s="9" t="n">
        <v>5844.999999999999</v>
      </c>
      <c r="X119" s="9" t="n">
        <v>5845.2</v>
      </c>
      <c r="Y119" s="9" t="n">
        <v>-0.2000000000007276</v>
      </c>
      <c r="Z119" s="9" t="n">
        <v>23375.29999999997</v>
      </c>
      <c r="AD119" s="10" t="n">
        <v>46120</v>
      </c>
      <c r="AF119" s="9" t="n">
        <v>910.0000000000001</v>
      </c>
      <c r="AG119" s="9" t="n">
        <v>911.8</v>
      </c>
      <c r="AH119" s="9" t="n">
        <v>-1.799999999999841</v>
      </c>
      <c r="AI119" s="9" t="n">
        <v>47006.50000000001</v>
      </c>
      <c r="AM119" s="10" t="n">
        <v>46120</v>
      </c>
      <c r="AO119" s="9" t="n">
        <v>0</v>
      </c>
      <c r="AQ119" s="9" t="n">
        <v>0</v>
      </c>
      <c r="AR119" s="9" t="n">
        <v>0</v>
      </c>
      <c r="AV119" s="10" t="n">
        <v>46120</v>
      </c>
      <c r="AX119" s="9" t="n">
        <v>0</v>
      </c>
      <c r="AZ119" s="9" t="n">
        <v>0</v>
      </c>
      <c r="BA119" s="9" t="n">
        <v>14116.99999999999</v>
      </c>
      <c r="BE119" s="10" t="n">
        <v>46120</v>
      </c>
      <c r="BG119" s="9" t="n">
        <v>2940</v>
      </c>
      <c r="BH119" s="9" t="n">
        <v>2939.9</v>
      </c>
      <c r="BI119" s="9" t="n">
        <v>0.09999999999990905</v>
      </c>
      <c r="BJ119" s="9" t="n">
        <v>18505.9</v>
      </c>
      <c r="BN119" s="10" t="n">
        <v>46120</v>
      </c>
      <c r="BO119" s="9" t="n">
        <v>1399</v>
      </c>
      <c r="BP119" s="9" t="n">
        <v>1400</v>
      </c>
      <c r="BQ119" s="9" t="n">
        <v>1399</v>
      </c>
      <c r="BR119" s="9" t="n">
        <v>1</v>
      </c>
      <c r="BS119" s="9" t="n">
        <v>0</v>
      </c>
      <c r="BW119" s="10" t="n">
        <v>46120</v>
      </c>
      <c r="BY119" s="9" t="n">
        <v>465.5</v>
      </c>
      <c r="BZ119" s="9" t="n">
        <v>742</v>
      </c>
      <c r="CA119" s="9" t="n">
        <v>-276.5</v>
      </c>
      <c r="CB119" s="9" t="n">
        <v>9723.799999999999</v>
      </c>
      <c r="CF119" s="10" t="n">
        <v>46120</v>
      </c>
      <c r="CG119" s="9" t="n">
        <v>1126</v>
      </c>
      <c r="CH119" s="9" t="n">
        <v>700</v>
      </c>
      <c r="CI119" s="9" t="n">
        <v>1126</v>
      </c>
      <c r="CJ119" s="9" t="n">
        <v>-426</v>
      </c>
      <c r="CK119" s="9" t="n">
        <v>0</v>
      </c>
      <c r="CO119" s="10" t="n">
        <v>46120</v>
      </c>
      <c r="CQ119" s="9" t="n">
        <v>0</v>
      </c>
      <c r="CS119" s="9" t="n">
        <v>0</v>
      </c>
      <c r="CT119" s="9" t="n">
        <v>0</v>
      </c>
      <c r="CX119" s="10" t="n">
        <v>46120</v>
      </c>
      <c r="CZ119" s="9" t="n">
        <v>3500</v>
      </c>
      <c r="DA119" s="9" t="n">
        <v>3501.3</v>
      </c>
      <c r="DB119" s="9" t="n">
        <v>-1.300000000000182</v>
      </c>
      <c r="DC119" s="9" t="n">
        <v>30659.40000000001</v>
      </c>
      <c r="DG119" s="10" t="n">
        <v>46120</v>
      </c>
      <c r="DI119" s="9" t="n">
        <v>2800</v>
      </c>
      <c r="DJ119" s="9" t="n">
        <v>2799.6</v>
      </c>
      <c r="DK119" s="9" t="n">
        <v>0.4000000000000909</v>
      </c>
      <c r="DL119" s="9" t="n">
        <v>27581.59999999999</v>
      </c>
      <c r="DP119" s="10" t="n">
        <v>46120</v>
      </c>
      <c r="DR119" s="9" t="n">
        <v>0</v>
      </c>
      <c r="DT119" s="9" t="n">
        <v>0</v>
      </c>
      <c r="DU119" s="9" t="n">
        <v>7050</v>
      </c>
      <c r="DY119" s="10" t="n">
        <v>46120</v>
      </c>
      <c r="EA119" s="9" t="n">
        <v>0</v>
      </c>
      <c r="EC119" s="9" t="n">
        <v>0</v>
      </c>
      <c r="ED119" s="9" t="n">
        <v>147.3000000000002</v>
      </c>
      <c r="EH119" s="10" t="n">
        <v>46120</v>
      </c>
      <c r="EJ119" s="9" t="n">
        <v>0</v>
      </c>
      <c r="EL119" s="9" t="n">
        <v>0</v>
      </c>
      <c r="EM119" s="9" t="n">
        <v>0</v>
      </c>
      <c r="EQ119" s="10" t="n">
        <v>46120</v>
      </c>
      <c r="ES119" s="9" t="n">
        <v>0</v>
      </c>
      <c r="EU119" s="9" t="n">
        <v>0</v>
      </c>
      <c r="EV119" s="9" t="n">
        <v>0</v>
      </c>
      <c r="EZ119" s="10" t="n">
        <v>46120</v>
      </c>
      <c r="FB119" s="9" t="n">
        <v>0</v>
      </c>
      <c r="FD119" s="9" t="n">
        <v>0</v>
      </c>
      <c r="FE119" s="9" t="n">
        <v>0</v>
      </c>
      <c r="FI119" s="10" t="n">
        <v>46120</v>
      </c>
      <c r="FK119" s="9" t="n">
        <v>0</v>
      </c>
      <c r="FM119" s="9" t="n">
        <v>0</v>
      </c>
      <c r="FN119" s="9" t="n">
        <v>0</v>
      </c>
      <c r="FR119" s="10" t="n">
        <v>46120</v>
      </c>
      <c r="FT119" s="9" t="n">
        <v>0</v>
      </c>
      <c r="FV119" s="9" t="n">
        <v>0</v>
      </c>
      <c r="FW119" s="9" t="n">
        <v>460</v>
      </c>
      <c r="GA119" s="10" t="n">
        <v>46120</v>
      </c>
      <c r="GC119" s="9" t="n">
        <v>0</v>
      </c>
      <c r="GE119" s="9" t="n">
        <v>0</v>
      </c>
      <c r="GF119" s="9" t="n">
        <v>6000</v>
      </c>
      <c r="GJ119" s="10" t="n">
        <v>46120</v>
      </c>
      <c r="GL119" s="9" t="n">
        <v>0</v>
      </c>
      <c r="GN119" s="9" t="n">
        <v>0</v>
      </c>
      <c r="GO119" s="9" t="n">
        <v>4800</v>
      </c>
      <c r="GS119" s="10" t="n">
        <v>46120</v>
      </c>
      <c r="GU119" s="9" t="n">
        <v>0</v>
      </c>
      <c r="GW119" s="9" t="n">
        <v>0</v>
      </c>
      <c r="GX119" s="9" t="n">
        <v>0</v>
      </c>
      <c r="HB119" s="10" t="n">
        <v>46120</v>
      </c>
      <c r="HD119" s="9" t="n">
        <v>0</v>
      </c>
      <c r="HF119" s="9" t="n">
        <v>0</v>
      </c>
      <c r="HG119" s="9" t="n">
        <v>0</v>
      </c>
      <c r="HK119" s="10" t="n">
        <v>46120</v>
      </c>
      <c r="HM119" s="9" t="n">
        <v>0</v>
      </c>
      <c r="HO119" s="9" t="n">
        <v>0</v>
      </c>
      <c r="HP119" s="9" t="n">
        <v>0</v>
      </c>
      <c r="HU119" s="10" t="n">
        <v>46120</v>
      </c>
      <c r="HW119" s="9" t="n">
        <v>0</v>
      </c>
      <c r="HY119" s="9" t="n">
        <v>0</v>
      </c>
      <c r="HZ119" s="9" t="n">
        <v>5120</v>
      </c>
      <c r="ID119" s="10" t="n">
        <v>46120</v>
      </c>
      <c r="IF119" s="9" t="n">
        <v>0</v>
      </c>
      <c r="IH119" s="9" t="n">
        <v>0</v>
      </c>
      <c r="II119" s="9" t="n">
        <v>6540</v>
      </c>
      <c r="IM119" s="10" t="n">
        <v>46120</v>
      </c>
      <c r="IO119" s="9" t="n">
        <v>0</v>
      </c>
      <c r="IQ119" s="9" t="n">
        <v>0</v>
      </c>
      <c r="IR119" s="9" t="n">
        <v>11540</v>
      </c>
      <c r="IV119" s="10" t="n">
        <v>46120</v>
      </c>
      <c r="IX119" s="9" t="n">
        <v>0</v>
      </c>
      <c r="IZ119" s="9" t="n">
        <v>0</v>
      </c>
      <c r="JA119" s="9" t="n">
        <v>15120</v>
      </c>
      <c r="JE119" s="10" t="n">
        <v>46120</v>
      </c>
      <c r="JG119" s="9" t="n">
        <v>0</v>
      </c>
      <c r="JI119" s="9" t="n">
        <v>0</v>
      </c>
      <c r="JJ119" s="9" t="n">
        <v>5040</v>
      </c>
      <c r="JN119" s="10" t="n">
        <v>46120</v>
      </c>
      <c r="JP119" s="9" t="n">
        <v>0</v>
      </c>
      <c r="JR119" s="9" t="n">
        <v>0</v>
      </c>
      <c r="JS119" s="9" t="n">
        <v>9100</v>
      </c>
      <c r="JW119" s="10" t="n">
        <v>46120</v>
      </c>
      <c r="JY119" s="9" t="n">
        <v>0</v>
      </c>
      <c r="KA119" s="9" t="n">
        <v>0</v>
      </c>
      <c r="KB119" s="9" t="n">
        <v>3540</v>
      </c>
      <c r="KF119" s="10" t="n">
        <v>46120</v>
      </c>
      <c r="KH119" s="9" t="n">
        <v>1365</v>
      </c>
      <c r="KI119" s="9" t="n">
        <v>1950</v>
      </c>
      <c r="KJ119" s="9" t="n">
        <v>-585</v>
      </c>
      <c r="KK119" s="9" t="n">
        <v>4699.5</v>
      </c>
      <c r="KL119" s="9" t="n">
        <v>100</v>
      </c>
      <c r="KO119" s="10" t="n">
        <v>46120</v>
      </c>
      <c r="KQ119" s="9" t="n">
        <v>0</v>
      </c>
      <c r="KR119" s="9" t="n">
        <v>264.6</v>
      </c>
      <c r="KS119" s="9" t="n">
        <v>-264.6</v>
      </c>
      <c r="KT119" s="9" t="n">
        <v>6161.4</v>
      </c>
      <c r="KU119" s="9" t="n">
        <v>14</v>
      </c>
      <c r="KX119" s="10" t="n">
        <v>46120</v>
      </c>
      <c r="KZ119" s="9" t="n">
        <v>0</v>
      </c>
      <c r="LB119" s="9" t="n">
        <v>0</v>
      </c>
      <c r="LC119" s="9" t="n">
        <v>0</v>
      </c>
      <c r="LG119" s="10" t="n">
        <v>46120</v>
      </c>
      <c r="LI119" s="9" t="n">
        <v>0</v>
      </c>
      <c r="LK119" s="9" t="n">
        <v>0</v>
      </c>
      <c r="LL119" s="9" t="n">
        <v>0</v>
      </c>
      <c r="LP119" s="10" t="n">
        <v>46120</v>
      </c>
      <c r="LR119" s="9" t="n">
        <v>0</v>
      </c>
      <c r="LT119" s="9" t="n">
        <v>0</v>
      </c>
      <c r="LU119" s="9" t="n">
        <v>0</v>
      </c>
      <c r="LY119" s="10" t="n">
        <v>46120</v>
      </c>
      <c r="MA119" s="9" t="n">
        <v>0</v>
      </c>
      <c r="MC119" s="9" t="n">
        <v>0</v>
      </c>
      <c r="MD119" s="9" t="n">
        <v>0</v>
      </c>
      <c r="MH119" s="10" t="n">
        <v>46120</v>
      </c>
      <c r="MJ119" s="9" t="n">
        <v>0</v>
      </c>
      <c r="ML119" s="9" t="n">
        <v>0</v>
      </c>
      <c r="MM119" s="9" t="n">
        <v>0</v>
      </c>
      <c r="MQ119" s="10" t="n">
        <v>46120</v>
      </c>
      <c r="MS119" s="9" t="n">
        <v>0</v>
      </c>
      <c r="MU119" s="9" t="n">
        <v>0</v>
      </c>
      <c r="MV119" s="9" t="n">
        <v>4157</v>
      </c>
      <c r="MZ119" s="10" t="n">
        <v>46120</v>
      </c>
      <c r="NA119" s="9" t="n">
        <v>342</v>
      </c>
      <c r="NB119" s="9" t="n">
        <v>210</v>
      </c>
      <c r="NC119" s="9" t="n">
        <v>342</v>
      </c>
      <c r="ND119" s="9" t="n">
        <v>-132</v>
      </c>
      <c r="NE119" s="9" t="n">
        <v>0</v>
      </c>
      <c r="NI119" s="10" t="n">
        <v>46120</v>
      </c>
      <c r="NK119" s="9" t="n">
        <v>70</v>
      </c>
      <c r="NL119" s="9" t="n">
        <v>114</v>
      </c>
      <c r="NM119" s="9" t="n">
        <v>-44</v>
      </c>
      <c r="NN119" s="9" t="n">
        <v>1763</v>
      </c>
      <c r="NR119" s="10" t="n">
        <v>46120</v>
      </c>
      <c r="NT119" s="9" t="n">
        <v>84</v>
      </c>
      <c r="NU119" s="9" t="n">
        <v>136.8</v>
      </c>
      <c r="NV119" s="9" t="n">
        <v>-52.80000000000001</v>
      </c>
      <c r="NW119" s="9" t="n">
        <v>3824.1</v>
      </c>
      <c r="OA119" s="10" t="n">
        <v>46120</v>
      </c>
      <c r="OC119" s="9" t="n">
        <v>0</v>
      </c>
      <c r="OE119" s="9" t="n">
        <v>0</v>
      </c>
      <c r="OF119" s="9" t="n">
        <v>1680.5</v>
      </c>
      <c r="OJ119" s="10" t="n">
        <v>46120</v>
      </c>
      <c r="OK119" s="9" t="n">
        <v>319.2</v>
      </c>
      <c r="OL119" s="9" t="n">
        <v>195.9999999999999</v>
      </c>
      <c r="OM119" s="9" t="n">
        <v>319.2</v>
      </c>
      <c r="ON119" s="9" t="n">
        <v>-123.2</v>
      </c>
      <c r="OO119" s="9" t="n">
        <v>0</v>
      </c>
      <c r="OS119" s="10" t="n">
        <v>46120</v>
      </c>
      <c r="OU119" s="9" t="n">
        <v>0</v>
      </c>
      <c r="OW119" s="9" t="n">
        <v>0</v>
      </c>
      <c r="OX119" s="9" t="n">
        <v>1000</v>
      </c>
      <c r="PB119" s="10" t="n">
        <v>46120</v>
      </c>
      <c r="PD119" s="9" t="n">
        <v>0</v>
      </c>
      <c r="PF119" s="9" t="n">
        <v>0</v>
      </c>
      <c r="PG119" s="9" t="n">
        <v>0</v>
      </c>
      <c r="PK119" s="10" t="n">
        <v>46120</v>
      </c>
      <c r="PM119" s="9" t="n">
        <v>0</v>
      </c>
      <c r="PO119" s="9" t="n">
        <v>0</v>
      </c>
      <c r="PP119" s="9" t="n">
        <v>100</v>
      </c>
      <c r="PT119" s="10" t="n">
        <v>46120</v>
      </c>
      <c r="PV119" s="9" t="n">
        <v>0</v>
      </c>
      <c r="PX119" s="9" t="n">
        <v>0</v>
      </c>
      <c r="PY119" s="9" t="n">
        <v>13.96000000000004</v>
      </c>
      <c r="QC119" s="10" t="n">
        <v>46120</v>
      </c>
      <c r="QE119" s="9" t="n">
        <v>0</v>
      </c>
      <c r="QG119" s="9" t="n">
        <v>0</v>
      </c>
      <c r="QH119" s="9" t="n">
        <v>1212</v>
      </c>
      <c r="QL119" s="10" t="n">
        <v>46120</v>
      </c>
      <c r="QN119" s="9" t="n">
        <v>0</v>
      </c>
      <c r="QP119" s="9" t="n">
        <v>0</v>
      </c>
      <c r="QQ119" s="9" t="n">
        <v>400</v>
      </c>
      <c r="QU119" s="10" t="n">
        <v>46120</v>
      </c>
      <c r="QW119" s="9" t="n">
        <v>0</v>
      </c>
      <c r="QY119" s="9" t="n">
        <v>0</v>
      </c>
      <c r="QZ119" s="9" t="n">
        <v>207.6</v>
      </c>
      <c r="RD119" s="10" t="n">
        <v>46120</v>
      </c>
      <c r="RF119" s="9" t="n">
        <v>0</v>
      </c>
      <c r="RH119" s="9" t="n">
        <v>0</v>
      </c>
      <c r="RI119" s="9" t="n">
        <v>197.04</v>
      </c>
      <c r="RM119" s="10" t="n">
        <v>46120</v>
      </c>
      <c r="RO119" s="9" t="n">
        <v>0</v>
      </c>
      <c r="RQ119" s="9" t="n">
        <v>0</v>
      </c>
      <c r="RR119" s="9" t="n">
        <v>46.8</v>
      </c>
      <c r="RV119" s="10" t="n">
        <v>46120</v>
      </c>
      <c r="RX119" s="9" t="n">
        <v>0</v>
      </c>
      <c r="RZ119" s="9" t="n">
        <v>0</v>
      </c>
      <c r="SA119" s="9" t="n">
        <v>0</v>
      </c>
      <c r="SE119" s="10" t="n">
        <v>46120</v>
      </c>
      <c r="SG119" s="9" t="n">
        <v>0</v>
      </c>
      <c r="SI119" s="9" t="n">
        <v>0</v>
      </c>
      <c r="SJ119" s="9" t="n">
        <v>0</v>
      </c>
      <c r="SN119" s="10" t="n">
        <v>46120</v>
      </c>
      <c r="SP119" s="9" t="n">
        <v>0</v>
      </c>
      <c r="SR119" s="9" t="n">
        <v>0</v>
      </c>
      <c r="SS119" s="9" t="n">
        <v>0</v>
      </c>
      <c r="SW119" s="10" t="n">
        <v>46120</v>
      </c>
      <c r="SY119" s="9" t="n">
        <v>0</v>
      </c>
      <c r="TA119" s="9" t="n">
        <v>0</v>
      </c>
      <c r="TB119" s="9" t="n">
        <v>0</v>
      </c>
      <c r="TF119" s="10" t="n">
        <v>46120</v>
      </c>
      <c r="TH119" s="9" t="n">
        <v>0</v>
      </c>
      <c r="TJ119" s="9" t="n">
        <v>0</v>
      </c>
      <c r="TK119" s="9" t="n">
        <v>0</v>
      </c>
      <c r="TO119" s="10" t="n">
        <v>46120</v>
      </c>
      <c r="TQ119" s="9" t="n">
        <v>0</v>
      </c>
      <c r="TS119" s="9" t="n">
        <v>0</v>
      </c>
      <c r="TT119" s="9" t="n">
        <v>0</v>
      </c>
      <c r="TX119" s="10" t="n">
        <v>46120</v>
      </c>
      <c r="TZ119" s="9" t="n">
        <v>0</v>
      </c>
      <c r="UB119" s="9" t="n">
        <v>0</v>
      </c>
      <c r="UC119" s="9" t="n">
        <v>0</v>
      </c>
      <c r="UG119" s="10" t="n">
        <v>46120</v>
      </c>
      <c r="UI119" s="9" t="n">
        <v>0</v>
      </c>
      <c r="UK119" s="9" t="n">
        <v>0</v>
      </c>
      <c r="UL119" s="9" t="n">
        <v>0</v>
      </c>
      <c r="UP119" s="10" t="n">
        <v>46120</v>
      </c>
      <c r="UR119" s="9" t="n">
        <v>0</v>
      </c>
      <c r="UT119" s="9" t="n">
        <v>0</v>
      </c>
      <c r="UU119" s="9" t="n">
        <v>0</v>
      </c>
      <c r="UY119" s="10" t="n">
        <v>46120</v>
      </c>
      <c r="VA119" s="9" t="n">
        <v>0</v>
      </c>
      <c r="VC119" s="9" t="n">
        <v>0</v>
      </c>
      <c r="VD119" s="9" t="n">
        <v>41.60000000000002</v>
      </c>
      <c r="VH119" s="10" t="n">
        <v>46120</v>
      </c>
      <c r="VJ119" s="9" t="n">
        <v>0</v>
      </c>
      <c r="VL119" s="9" t="n">
        <v>0</v>
      </c>
      <c r="VM119" s="9" t="n">
        <v>0</v>
      </c>
      <c r="VQ119" s="10" t="n">
        <v>46120</v>
      </c>
      <c r="VS119" s="9" t="n">
        <v>0</v>
      </c>
      <c r="VU119" s="9" t="n">
        <v>0</v>
      </c>
      <c r="VV119" s="9" t="n">
        <v>0</v>
      </c>
      <c r="VZ119" s="10" t="n">
        <v>46120</v>
      </c>
      <c r="WB119" s="9" t="n">
        <v>0</v>
      </c>
      <c r="WD119" s="9" t="n">
        <v>0</v>
      </c>
      <c r="WE119" s="9" t="n">
        <v>0</v>
      </c>
      <c r="WI119" s="10" t="n">
        <v>46120</v>
      </c>
      <c r="WK119" s="9" t="n">
        <v>0</v>
      </c>
      <c r="WM119" s="9" t="n">
        <v>0</v>
      </c>
      <c r="WN119" s="9" t="n">
        <v>2317</v>
      </c>
      <c r="WR119" s="10" t="n">
        <v>46120</v>
      </c>
      <c r="WT119" s="9" t="n">
        <v>0</v>
      </c>
      <c r="WV119" s="9" t="n">
        <v>0</v>
      </c>
      <c r="WW119" s="9" t="n">
        <v>8000</v>
      </c>
      <c r="XA119" s="10" t="n">
        <v>46120</v>
      </c>
      <c r="XC119" s="9" t="n">
        <v>0</v>
      </c>
      <c r="XE119" s="9" t="n">
        <v>0</v>
      </c>
      <c r="XF119" s="9" t="n">
        <v>14868</v>
      </c>
      <c r="XJ119" s="10" t="n">
        <v>46120</v>
      </c>
      <c r="XL119" s="9" t="n">
        <v>0</v>
      </c>
      <c r="XN119" s="9" t="n">
        <v>0</v>
      </c>
      <c r="XO119" s="9" t="n">
        <v>5991</v>
      </c>
      <c r="XS119" s="10" t="n">
        <v>46120</v>
      </c>
      <c r="XU119" s="9" t="n">
        <v>0</v>
      </c>
      <c r="XW119" s="9" t="n">
        <v>0</v>
      </c>
      <c r="XX119" s="9" t="n">
        <v>1901</v>
      </c>
      <c r="YB119" s="10" t="n">
        <v>46120</v>
      </c>
      <c r="YD119" s="9" t="n">
        <v>0</v>
      </c>
      <c r="YF119" s="9" t="n">
        <v>0</v>
      </c>
      <c r="YG119" s="9" t="n">
        <v>6459</v>
      </c>
      <c r="YK119" s="10" t="n">
        <v>46120</v>
      </c>
      <c r="YM119" s="9" t="n">
        <v>0</v>
      </c>
      <c r="YO119" s="9" t="n">
        <v>0</v>
      </c>
      <c r="YP119" s="9" t="n">
        <v>0</v>
      </c>
      <c r="YT119" s="10" t="n">
        <v>46120</v>
      </c>
      <c r="YV119" s="9" t="n">
        <v>0</v>
      </c>
      <c r="YX119" s="9" t="n">
        <v>0</v>
      </c>
      <c r="YY119" s="9" t="n">
        <v>0</v>
      </c>
      <c r="ZC119" s="10" t="n">
        <v>46120</v>
      </c>
      <c r="ZE119" s="9" t="n">
        <v>0</v>
      </c>
      <c r="ZG119" s="9" t="n">
        <v>0</v>
      </c>
      <c r="ZH119" s="9" t="n">
        <v>0</v>
      </c>
      <c r="ZL119" s="10" t="n">
        <v>46120</v>
      </c>
      <c r="ZN119" s="9" t="n">
        <v>0</v>
      </c>
      <c r="ZP119" s="9" t="n">
        <v>0</v>
      </c>
      <c r="ZQ119" s="9" t="n">
        <v>0</v>
      </c>
      <c r="ZU119" s="10" t="n">
        <v>46120</v>
      </c>
      <c r="ZW119" s="9" t="n">
        <v>0</v>
      </c>
      <c r="ZY119" s="9" t="n">
        <v>0</v>
      </c>
      <c r="ZZ119" s="9" t="n">
        <v>0</v>
      </c>
      <c r="AAD119" s="10" t="n">
        <v>46120</v>
      </c>
      <c r="AAF119" s="9" t="n">
        <v>0</v>
      </c>
      <c r="AAH119" s="9" t="n">
        <v>0</v>
      </c>
      <c r="AAI119" s="9" t="n">
        <v>0</v>
      </c>
      <c r="AAM119" s="10" t="n">
        <v>46120</v>
      </c>
      <c r="AAO119" s="9" t="n">
        <v>0</v>
      </c>
      <c r="AAQ119" s="9" t="n">
        <v>0</v>
      </c>
      <c r="AAR119" s="9" t="n">
        <v>0</v>
      </c>
      <c r="AAV119" s="10" t="n">
        <v>46120</v>
      </c>
      <c r="AAX119" s="9" t="n">
        <v>0</v>
      </c>
      <c r="AAZ119" s="9" t="n">
        <v>0</v>
      </c>
      <c r="ABA119" s="9" t="n">
        <v>0</v>
      </c>
      <c r="ABE119" s="10" t="n">
        <v>46120</v>
      </c>
      <c r="ABG119" s="9" t="n">
        <v>0</v>
      </c>
      <c r="ABI119" s="9" t="n">
        <v>0</v>
      </c>
      <c r="ABJ119" s="9" t="n">
        <v>0</v>
      </c>
    </row>
    <row r="120">
      <c r="B120" s="9" t="n">
        <v>30</v>
      </c>
      <c r="C120" s="10" t="n">
        <v>46121</v>
      </c>
      <c r="D120" s="9" t="n">
        <v>27120</v>
      </c>
      <c r="E120" s="9" t="n">
        <v>15070.5</v>
      </c>
      <c r="F120" s="9" t="n">
        <v>15065.6</v>
      </c>
      <c r="G120" s="9" t="n">
        <v>4.899999999997817</v>
      </c>
      <c r="H120" s="9" t="n">
        <v>177835.2</v>
      </c>
      <c r="I120" s="9" t="inlineStr">
        <is>
          <t>122 30mt</t>
        </is>
      </c>
      <c r="L120" s="10" t="n">
        <v>46121</v>
      </c>
      <c r="M120" s="9" t="n">
        <v>25320</v>
      </c>
      <c r="N120" s="9" t="n">
        <v>6150</v>
      </c>
      <c r="O120" s="9" t="n">
        <v>6153.4</v>
      </c>
      <c r="P120" s="9" t="n">
        <v>-3.399999999999636</v>
      </c>
      <c r="Q120" s="9" t="n">
        <v>93153.60000000009</v>
      </c>
      <c r="U120" s="10" t="n">
        <v>46121</v>
      </c>
      <c r="W120" s="9" t="n">
        <v>2505</v>
      </c>
      <c r="X120" s="9" t="n">
        <v>2505.4</v>
      </c>
      <c r="Y120" s="9" t="n">
        <v>-0.4000000000005457</v>
      </c>
      <c r="Z120" s="9" t="n">
        <v>20869.89999999997</v>
      </c>
      <c r="AD120" s="10" t="n">
        <v>46121</v>
      </c>
      <c r="AF120" s="9" t="n">
        <v>390.0000000000001</v>
      </c>
      <c r="AG120" s="9" t="n">
        <v>391</v>
      </c>
      <c r="AH120" s="9" t="n">
        <v>-0.9999999999999432</v>
      </c>
      <c r="AI120" s="9" t="n">
        <v>46615.50000000001</v>
      </c>
      <c r="AM120" s="10" t="n">
        <v>46121</v>
      </c>
      <c r="AO120" s="9" t="n">
        <v>0</v>
      </c>
      <c r="AQ120" s="9" t="n">
        <v>0</v>
      </c>
      <c r="AR120" s="9" t="n">
        <v>0</v>
      </c>
      <c r="AV120" s="10" t="n">
        <v>46121</v>
      </c>
      <c r="AX120" s="9" t="n">
        <v>0</v>
      </c>
      <c r="AZ120" s="9" t="n">
        <v>0</v>
      </c>
      <c r="BA120" s="9" t="n">
        <v>14116.99999999999</v>
      </c>
      <c r="BE120" s="10" t="n">
        <v>46121</v>
      </c>
      <c r="BG120" s="9" t="n">
        <v>1260</v>
      </c>
      <c r="BH120" s="9" t="n">
        <v>1261.4</v>
      </c>
      <c r="BI120" s="9" t="n">
        <v>-1.400000000000091</v>
      </c>
      <c r="BJ120" s="9" t="n">
        <v>17244.5</v>
      </c>
      <c r="BN120" s="10" t="n">
        <v>46121</v>
      </c>
      <c r="BO120" s="9" t="n">
        <v>599.9</v>
      </c>
      <c r="BP120" s="9" t="n">
        <v>600</v>
      </c>
      <c r="BQ120" s="9" t="n">
        <v>599.9</v>
      </c>
      <c r="BR120" s="9" t="n">
        <v>0.1000000000000227</v>
      </c>
      <c r="BS120" s="9" t="n">
        <v>0</v>
      </c>
      <c r="BW120" s="10" t="n">
        <v>46121</v>
      </c>
      <c r="BY120" s="9" t="n">
        <v>199.5</v>
      </c>
      <c r="CA120" s="9" t="n">
        <v>199.5</v>
      </c>
      <c r="CB120" s="9" t="n">
        <v>9723.799999999999</v>
      </c>
      <c r="CF120" s="10" t="n">
        <v>46121</v>
      </c>
      <c r="CH120" s="9" t="n">
        <v>300</v>
      </c>
      <c r="CJ120" s="9" t="n">
        <v>300</v>
      </c>
      <c r="CK120" s="9" t="n">
        <v>0</v>
      </c>
      <c r="CO120" s="10" t="n">
        <v>46121</v>
      </c>
      <c r="CQ120" s="9" t="n">
        <v>0</v>
      </c>
      <c r="CS120" s="9" t="n">
        <v>0</v>
      </c>
      <c r="CT120" s="9" t="n">
        <v>0</v>
      </c>
      <c r="CX120" s="10" t="n">
        <v>46121</v>
      </c>
      <c r="CZ120" s="9" t="n">
        <v>1500</v>
      </c>
      <c r="DA120" s="9" t="n">
        <v>1500.4</v>
      </c>
      <c r="DB120" s="9" t="n">
        <v>-0.4000000000000909</v>
      </c>
      <c r="DC120" s="9" t="n">
        <v>29159</v>
      </c>
      <c r="DG120" s="10" t="n">
        <v>46121</v>
      </c>
      <c r="DI120" s="9" t="n">
        <v>1200</v>
      </c>
      <c r="DJ120" s="9" t="n">
        <v>1199.4</v>
      </c>
      <c r="DK120" s="9" t="n">
        <v>0.5999999999999091</v>
      </c>
      <c r="DL120" s="9" t="n">
        <v>26382.19999999999</v>
      </c>
      <c r="DP120" s="10" t="n">
        <v>46121</v>
      </c>
      <c r="DR120" s="9" t="n">
        <v>0</v>
      </c>
      <c r="DT120" s="9" t="n">
        <v>0</v>
      </c>
      <c r="DU120" s="9" t="n">
        <v>7050</v>
      </c>
      <c r="DY120" s="10" t="n">
        <v>46121</v>
      </c>
      <c r="EA120" s="9" t="n">
        <v>0</v>
      </c>
      <c r="EC120" s="9" t="n">
        <v>0</v>
      </c>
      <c r="ED120" s="9" t="n">
        <v>147.3000000000002</v>
      </c>
      <c r="EH120" s="10" t="n">
        <v>46121</v>
      </c>
      <c r="EJ120" s="9" t="n">
        <v>0</v>
      </c>
      <c r="EL120" s="9" t="n">
        <v>0</v>
      </c>
      <c r="EM120" s="9" t="n">
        <v>0</v>
      </c>
      <c r="EQ120" s="10" t="n">
        <v>46121</v>
      </c>
      <c r="ES120" s="9" t="n">
        <v>0</v>
      </c>
      <c r="EU120" s="9" t="n">
        <v>0</v>
      </c>
      <c r="EV120" s="9" t="n">
        <v>0</v>
      </c>
      <c r="EZ120" s="10" t="n">
        <v>46121</v>
      </c>
      <c r="FB120" s="9" t="n">
        <v>0</v>
      </c>
      <c r="FD120" s="9" t="n">
        <v>0</v>
      </c>
      <c r="FE120" s="9" t="n">
        <v>0</v>
      </c>
      <c r="FI120" s="10" t="n">
        <v>46121</v>
      </c>
      <c r="FK120" s="9" t="n">
        <v>0</v>
      </c>
      <c r="FM120" s="9" t="n">
        <v>0</v>
      </c>
      <c r="FN120" s="9" t="n">
        <v>0</v>
      </c>
      <c r="FR120" s="10" t="n">
        <v>46121</v>
      </c>
      <c r="FT120" s="9" t="n">
        <v>0</v>
      </c>
      <c r="FV120" s="9" t="n">
        <v>0</v>
      </c>
      <c r="FW120" s="9" t="n">
        <v>460</v>
      </c>
      <c r="GA120" s="10" t="n">
        <v>46121</v>
      </c>
      <c r="GC120" s="9" t="n">
        <v>0</v>
      </c>
      <c r="GE120" s="9" t="n">
        <v>0</v>
      </c>
      <c r="GF120" s="9" t="n">
        <v>6000</v>
      </c>
      <c r="GJ120" s="10" t="n">
        <v>46121</v>
      </c>
      <c r="GL120" s="9" t="n">
        <v>0</v>
      </c>
      <c r="GN120" s="9" t="n">
        <v>0</v>
      </c>
      <c r="GO120" s="9" t="n">
        <v>4800</v>
      </c>
      <c r="GS120" s="10" t="n">
        <v>46121</v>
      </c>
      <c r="GU120" s="9" t="n">
        <v>0</v>
      </c>
      <c r="GW120" s="9" t="n">
        <v>0</v>
      </c>
      <c r="GX120" s="9" t="n">
        <v>0</v>
      </c>
      <c r="HB120" s="10" t="n">
        <v>46121</v>
      </c>
      <c r="HD120" s="9" t="n">
        <v>0</v>
      </c>
      <c r="HF120" s="9" t="n">
        <v>0</v>
      </c>
      <c r="HG120" s="9" t="n">
        <v>0</v>
      </c>
      <c r="HK120" s="10" t="n">
        <v>46121</v>
      </c>
      <c r="HM120" s="9" t="n">
        <v>0</v>
      </c>
      <c r="HO120" s="9" t="n">
        <v>0</v>
      </c>
      <c r="HP120" s="9" t="n">
        <v>0</v>
      </c>
      <c r="HU120" s="10" t="n">
        <v>46121</v>
      </c>
      <c r="HW120" s="9" t="n">
        <v>0</v>
      </c>
      <c r="HY120" s="9" t="n">
        <v>0</v>
      </c>
      <c r="HZ120" s="9" t="n">
        <v>5120</v>
      </c>
      <c r="ID120" s="10" t="n">
        <v>46121</v>
      </c>
      <c r="IF120" s="9" t="n">
        <v>0</v>
      </c>
      <c r="IH120" s="9" t="n">
        <v>0</v>
      </c>
      <c r="II120" s="9" t="n">
        <v>6540</v>
      </c>
      <c r="IM120" s="10" t="n">
        <v>46121</v>
      </c>
      <c r="IO120" s="9" t="n">
        <v>0</v>
      </c>
      <c r="IQ120" s="9" t="n">
        <v>0</v>
      </c>
      <c r="IR120" s="9" t="n">
        <v>11540</v>
      </c>
      <c r="IV120" s="10" t="n">
        <v>46121</v>
      </c>
      <c r="IX120" s="9" t="n">
        <v>0</v>
      </c>
      <c r="IZ120" s="9" t="n">
        <v>0</v>
      </c>
      <c r="JA120" s="9" t="n">
        <v>15120</v>
      </c>
      <c r="JE120" s="10" t="n">
        <v>46121</v>
      </c>
      <c r="JG120" s="9" t="n">
        <v>0</v>
      </c>
      <c r="JI120" s="9" t="n">
        <v>0</v>
      </c>
      <c r="JJ120" s="9" t="n">
        <v>5040</v>
      </c>
      <c r="JN120" s="10" t="n">
        <v>46121</v>
      </c>
      <c r="JP120" s="9" t="n">
        <v>0</v>
      </c>
      <c r="JR120" s="9" t="n">
        <v>0</v>
      </c>
      <c r="JS120" s="9" t="n">
        <v>9100</v>
      </c>
      <c r="JW120" s="10" t="n">
        <v>46121</v>
      </c>
      <c r="JY120" s="9" t="n">
        <v>0</v>
      </c>
      <c r="KA120" s="9" t="n">
        <v>0</v>
      </c>
      <c r="KB120" s="9" t="n">
        <v>3540</v>
      </c>
      <c r="KF120" s="10" t="n">
        <v>46121</v>
      </c>
      <c r="KH120" s="9" t="n">
        <v>585</v>
      </c>
      <c r="KJ120" s="9" t="n">
        <v>585</v>
      </c>
      <c r="KK120" s="9" t="n">
        <v>4699.5</v>
      </c>
      <c r="KO120" s="10" t="n">
        <v>46121</v>
      </c>
      <c r="KQ120" s="9" t="n">
        <v>0</v>
      </c>
      <c r="KS120" s="9" t="n">
        <v>0</v>
      </c>
      <c r="KT120" s="9" t="n">
        <v>6161.4</v>
      </c>
      <c r="KX120" s="10" t="n">
        <v>46121</v>
      </c>
      <c r="KZ120" s="9" t="n">
        <v>0</v>
      </c>
      <c r="LB120" s="9" t="n">
        <v>0</v>
      </c>
      <c r="LC120" s="9" t="n">
        <v>0</v>
      </c>
      <c r="LG120" s="10" t="n">
        <v>46121</v>
      </c>
      <c r="LI120" s="9" t="n">
        <v>0</v>
      </c>
      <c r="LK120" s="9" t="n">
        <v>0</v>
      </c>
      <c r="LL120" s="9" t="n">
        <v>0</v>
      </c>
      <c r="LP120" s="10" t="n">
        <v>46121</v>
      </c>
      <c r="LR120" s="9" t="n">
        <v>0</v>
      </c>
      <c r="LT120" s="9" t="n">
        <v>0</v>
      </c>
      <c r="LU120" s="9" t="n">
        <v>0</v>
      </c>
      <c r="LY120" s="10" t="n">
        <v>46121</v>
      </c>
      <c r="MA120" s="9" t="n">
        <v>0</v>
      </c>
      <c r="MC120" s="9" t="n">
        <v>0</v>
      </c>
      <c r="MD120" s="9" t="n">
        <v>0</v>
      </c>
      <c r="MH120" s="10" t="n">
        <v>46121</v>
      </c>
      <c r="MJ120" s="9" t="n">
        <v>0</v>
      </c>
      <c r="ML120" s="9" t="n">
        <v>0</v>
      </c>
      <c r="MM120" s="9" t="n">
        <v>0</v>
      </c>
      <c r="MQ120" s="10" t="n">
        <v>46121</v>
      </c>
      <c r="MS120" s="9" t="n">
        <v>0</v>
      </c>
      <c r="MU120" s="9" t="n">
        <v>0</v>
      </c>
      <c r="MV120" s="9" t="n">
        <v>4157</v>
      </c>
      <c r="MZ120" s="10" t="n">
        <v>46121</v>
      </c>
      <c r="NB120" s="9" t="n">
        <v>90</v>
      </c>
      <c r="ND120" s="9" t="n">
        <v>90</v>
      </c>
      <c r="NE120" s="9" t="n">
        <v>0</v>
      </c>
      <c r="NI120" s="10" t="n">
        <v>46121</v>
      </c>
      <c r="NK120" s="9" t="n">
        <v>30</v>
      </c>
      <c r="NM120" s="9" t="n">
        <v>30</v>
      </c>
      <c r="NN120" s="9" t="n">
        <v>1763</v>
      </c>
      <c r="NR120" s="10" t="n">
        <v>46121</v>
      </c>
      <c r="NT120" s="9" t="n">
        <v>36</v>
      </c>
      <c r="NV120" s="9" t="n">
        <v>36</v>
      </c>
      <c r="NW120" s="9" t="n">
        <v>3824.1</v>
      </c>
      <c r="OA120" s="10" t="n">
        <v>46121</v>
      </c>
      <c r="OC120" s="9" t="n">
        <v>0</v>
      </c>
      <c r="OE120" s="9" t="n">
        <v>0</v>
      </c>
      <c r="OF120" s="9" t="n">
        <v>1680.5</v>
      </c>
      <c r="OJ120" s="10" t="n">
        <v>46121</v>
      </c>
      <c r="OL120" s="9" t="n">
        <v>83.99999999999999</v>
      </c>
      <c r="ON120" s="9" t="n">
        <v>83.99999999999999</v>
      </c>
      <c r="OO120" s="9" t="n">
        <v>0</v>
      </c>
      <c r="OS120" s="10" t="n">
        <v>46121</v>
      </c>
      <c r="OU120" s="9" t="n">
        <v>0</v>
      </c>
      <c r="OW120" s="9" t="n">
        <v>0</v>
      </c>
      <c r="OX120" s="9" t="n">
        <v>1000</v>
      </c>
      <c r="PB120" s="10" t="n">
        <v>46121</v>
      </c>
      <c r="PD120" s="9" t="n">
        <v>0</v>
      </c>
      <c r="PF120" s="9" t="n">
        <v>0</v>
      </c>
      <c r="PG120" s="9" t="n">
        <v>0</v>
      </c>
      <c r="PK120" s="10" t="n">
        <v>46121</v>
      </c>
      <c r="PM120" s="9" t="n">
        <v>0</v>
      </c>
      <c r="PO120" s="9" t="n">
        <v>0</v>
      </c>
      <c r="PP120" s="9" t="n">
        <v>100</v>
      </c>
      <c r="PT120" s="10" t="n">
        <v>46121</v>
      </c>
      <c r="PV120" s="9" t="n">
        <v>0</v>
      </c>
      <c r="PX120" s="9" t="n">
        <v>0</v>
      </c>
      <c r="PY120" s="9" t="n">
        <v>13.96000000000004</v>
      </c>
      <c r="QC120" s="10" t="n">
        <v>46121</v>
      </c>
      <c r="QE120" s="9" t="n">
        <v>0</v>
      </c>
      <c r="QG120" s="9" t="n">
        <v>0</v>
      </c>
      <c r="QH120" s="9" t="n">
        <v>1212</v>
      </c>
      <c r="QL120" s="10" t="n">
        <v>46121</v>
      </c>
      <c r="QN120" s="9" t="n">
        <v>0</v>
      </c>
      <c r="QP120" s="9" t="n">
        <v>0</v>
      </c>
      <c r="QQ120" s="9" t="n">
        <v>400</v>
      </c>
      <c r="QU120" s="10" t="n">
        <v>46121</v>
      </c>
      <c r="QW120" s="9" t="n">
        <v>0</v>
      </c>
      <c r="QY120" s="9" t="n">
        <v>0</v>
      </c>
      <c r="QZ120" s="9" t="n">
        <v>207.6</v>
      </c>
      <c r="RD120" s="10" t="n">
        <v>46121</v>
      </c>
      <c r="RF120" s="9" t="n">
        <v>0</v>
      </c>
      <c r="RH120" s="9" t="n">
        <v>0</v>
      </c>
      <c r="RI120" s="9" t="n">
        <v>197.04</v>
      </c>
      <c r="RM120" s="10" t="n">
        <v>46121</v>
      </c>
      <c r="RO120" s="9" t="n">
        <v>0</v>
      </c>
      <c r="RQ120" s="9" t="n">
        <v>0</v>
      </c>
      <c r="RR120" s="9" t="n">
        <v>46.8</v>
      </c>
      <c r="RV120" s="10" t="n">
        <v>46121</v>
      </c>
      <c r="RX120" s="9" t="n">
        <v>0</v>
      </c>
      <c r="RZ120" s="9" t="n">
        <v>0</v>
      </c>
      <c r="SA120" s="9" t="n">
        <v>0</v>
      </c>
      <c r="SE120" s="10" t="n">
        <v>46121</v>
      </c>
      <c r="SG120" s="9" t="n">
        <v>0</v>
      </c>
      <c r="SI120" s="9" t="n">
        <v>0</v>
      </c>
      <c r="SJ120" s="9" t="n">
        <v>0</v>
      </c>
      <c r="SN120" s="10" t="n">
        <v>46121</v>
      </c>
      <c r="SP120" s="9" t="n">
        <v>0</v>
      </c>
      <c r="SR120" s="9" t="n">
        <v>0</v>
      </c>
      <c r="SS120" s="9" t="n">
        <v>0</v>
      </c>
      <c r="SW120" s="10" t="n">
        <v>46121</v>
      </c>
      <c r="SY120" s="9" t="n">
        <v>0</v>
      </c>
      <c r="TA120" s="9" t="n">
        <v>0</v>
      </c>
      <c r="TB120" s="9" t="n">
        <v>0</v>
      </c>
      <c r="TF120" s="10" t="n">
        <v>46121</v>
      </c>
      <c r="TH120" s="9" t="n">
        <v>0</v>
      </c>
      <c r="TJ120" s="9" t="n">
        <v>0</v>
      </c>
      <c r="TK120" s="9" t="n">
        <v>0</v>
      </c>
      <c r="TO120" s="10" t="n">
        <v>46121</v>
      </c>
      <c r="TQ120" s="9" t="n">
        <v>0</v>
      </c>
      <c r="TS120" s="9" t="n">
        <v>0</v>
      </c>
      <c r="TT120" s="9" t="n">
        <v>0</v>
      </c>
      <c r="TX120" s="10" t="n">
        <v>46121</v>
      </c>
      <c r="TZ120" s="9" t="n">
        <v>0</v>
      </c>
      <c r="UB120" s="9" t="n">
        <v>0</v>
      </c>
      <c r="UC120" s="9" t="n">
        <v>0</v>
      </c>
      <c r="UG120" s="10" t="n">
        <v>46121</v>
      </c>
      <c r="UI120" s="9" t="n">
        <v>0</v>
      </c>
      <c r="UK120" s="9" t="n">
        <v>0</v>
      </c>
      <c r="UL120" s="9" t="n">
        <v>0</v>
      </c>
      <c r="UP120" s="10" t="n">
        <v>46121</v>
      </c>
      <c r="UR120" s="9" t="n">
        <v>0</v>
      </c>
      <c r="UT120" s="9" t="n">
        <v>0</v>
      </c>
      <c r="UU120" s="9" t="n">
        <v>0</v>
      </c>
      <c r="UY120" s="10" t="n">
        <v>46121</v>
      </c>
      <c r="VA120" s="9" t="n">
        <v>0</v>
      </c>
      <c r="VC120" s="9" t="n">
        <v>0</v>
      </c>
      <c r="VD120" s="9" t="n">
        <v>41.60000000000002</v>
      </c>
      <c r="VH120" s="10" t="n">
        <v>46121</v>
      </c>
      <c r="VJ120" s="9" t="n">
        <v>0</v>
      </c>
      <c r="VL120" s="9" t="n">
        <v>0</v>
      </c>
      <c r="VM120" s="9" t="n">
        <v>0</v>
      </c>
      <c r="VQ120" s="10" t="n">
        <v>46121</v>
      </c>
      <c r="VS120" s="9" t="n">
        <v>0</v>
      </c>
      <c r="VU120" s="9" t="n">
        <v>0</v>
      </c>
      <c r="VV120" s="9" t="n">
        <v>0</v>
      </c>
      <c r="VZ120" s="10" t="n">
        <v>46121</v>
      </c>
      <c r="WB120" s="9" t="n">
        <v>0</v>
      </c>
      <c r="WD120" s="9" t="n">
        <v>0</v>
      </c>
      <c r="WE120" s="9" t="n">
        <v>0</v>
      </c>
      <c r="WI120" s="10" t="n">
        <v>46121</v>
      </c>
      <c r="WK120" s="9" t="n">
        <v>0</v>
      </c>
      <c r="WM120" s="9" t="n">
        <v>0</v>
      </c>
      <c r="WN120" s="9" t="n">
        <v>2317</v>
      </c>
      <c r="WR120" s="10" t="n">
        <v>46121</v>
      </c>
      <c r="WT120" s="9" t="n">
        <v>0</v>
      </c>
      <c r="WV120" s="9" t="n">
        <v>0</v>
      </c>
      <c r="WW120" s="9" t="n">
        <v>8000</v>
      </c>
      <c r="XA120" s="10" t="n">
        <v>46121</v>
      </c>
      <c r="XC120" s="9" t="n">
        <v>0</v>
      </c>
      <c r="XE120" s="9" t="n">
        <v>0</v>
      </c>
      <c r="XF120" s="9" t="n">
        <v>14868</v>
      </c>
      <c r="XJ120" s="10" t="n">
        <v>46121</v>
      </c>
      <c r="XL120" s="9" t="n">
        <v>0</v>
      </c>
      <c r="XN120" s="9" t="n">
        <v>0</v>
      </c>
      <c r="XO120" s="9" t="n">
        <v>5991</v>
      </c>
      <c r="XS120" s="10" t="n">
        <v>46121</v>
      </c>
      <c r="XU120" s="9" t="n">
        <v>0</v>
      </c>
      <c r="XW120" s="9" t="n">
        <v>0</v>
      </c>
      <c r="XX120" s="9" t="n">
        <v>1901</v>
      </c>
      <c r="YB120" s="10" t="n">
        <v>46121</v>
      </c>
      <c r="YD120" s="9" t="n">
        <v>0</v>
      </c>
      <c r="YF120" s="9" t="n">
        <v>0</v>
      </c>
      <c r="YG120" s="9" t="n">
        <v>6459</v>
      </c>
      <c r="YK120" s="10" t="n">
        <v>46121</v>
      </c>
      <c r="YM120" s="9" t="n">
        <v>0</v>
      </c>
      <c r="YO120" s="9" t="n">
        <v>0</v>
      </c>
      <c r="YP120" s="9" t="n">
        <v>0</v>
      </c>
      <c r="YT120" s="10" t="n">
        <v>46121</v>
      </c>
      <c r="YV120" s="9" t="n">
        <v>0</v>
      </c>
      <c r="YX120" s="9" t="n">
        <v>0</v>
      </c>
      <c r="YY120" s="9" t="n">
        <v>0</v>
      </c>
      <c r="ZC120" s="10" t="n">
        <v>46121</v>
      </c>
      <c r="ZE120" s="9" t="n">
        <v>0</v>
      </c>
      <c r="ZG120" s="9" t="n">
        <v>0</v>
      </c>
      <c r="ZH120" s="9" t="n">
        <v>0</v>
      </c>
      <c r="ZL120" s="10" t="n">
        <v>46121</v>
      </c>
      <c r="ZN120" s="9" t="n">
        <v>0</v>
      </c>
      <c r="ZP120" s="9" t="n">
        <v>0</v>
      </c>
      <c r="ZQ120" s="9" t="n">
        <v>0</v>
      </c>
      <c r="ZU120" s="10" t="n">
        <v>46121</v>
      </c>
      <c r="ZW120" s="9" t="n">
        <v>0</v>
      </c>
      <c r="ZY120" s="9" t="n">
        <v>0</v>
      </c>
      <c r="ZZ120" s="9" t="n">
        <v>0</v>
      </c>
      <c r="AAD120" s="10" t="n">
        <v>46121</v>
      </c>
      <c r="AAF120" s="9" t="n">
        <v>0</v>
      </c>
      <c r="AAH120" s="9" t="n">
        <v>0</v>
      </c>
      <c r="AAI120" s="9" t="n">
        <v>0</v>
      </c>
      <c r="AAM120" s="10" t="n">
        <v>46121</v>
      </c>
      <c r="AAO120" s="9" t="n">
        <v>0</v>
      </c>
      <c r="AAQ120" s="9" t="n">
        <v>0</v>
      </c>
      <c r="AAR120" s="9" t="n">
        <v>0</v>
      </c>
      <c r="AAV120" s="10" t="n">
        <v>46121</v>
      </c>
      <c r="AAX120" s="9" t="n">
        <v>0</v>
      </c>
      <c r="AAZ120" s="9" t="n">
        <v>0</v>
      </c>
      <c r="ABA120" s="9" t="n">
        <v>0</v>
      </c>
      <c r="ABE120" s="10" t="n">
        <v>46121</v>
      </c>
      <c r="ABG120" s="9" t="n">
        <v>0</v>
      </c>
      <c r="ABI120" s="9" t="n">
        <v>0</v>
      </c>
      <c r="ABJ120" s="9" t="n">
        <v>0</v>
      </c>
    </row>
    <row r="121">
      <c r="B121" s="9" t="n">
        <v>26</v>
      </c>
      <c r="C121" s="10" t="n">
        <v>46122</v>
      </c>
      <c r="D121" s="9" t="n">
        <v>29140</v>
      </c>
      <c r="E121" s="9" t="n">
        <v>13925.6</v>
      </c>
      <c r="F121" s="9" t="n">
        <v>13934.4</v>
      </c>
      <c r="G121" s="9" t="n">
        <v>-8.799999999999272</v>
      </c>
      <c r="H121" s="9" t="n">
        <v>193040.8</v>
      </c>
      <c r="I121" s="9" t="inlineStr">
        <is>
          <t>123 26mt</t>
        </is>
      </c>
      <c r="L121" s="10" t="n">
        <v>46122</v>
      </c>
      <c r="N121" s="9" t="n">
        <v>4459</v>
      </c>
      <c r="O121" s="9" t="n">
        <v>4455</v>
      </c>
      <c r="P121" s="9" t="n">
        <v>4</v>
      </c>
      <c r="Q121" s="9" t="n">
        <v>88698.60000000009</v>
      </c>
      <c r="U121" s="10" t="n">
        <v>46122</v>
      </c>
      <c r="V121" s="9" t="n">
        <v>25090</v>
      </c>
      <c r="W121" s="9" t="n">
        <v>2210</v>
      </c>
      <c r="X121" s="9" t="n">
        <v>2210.5</v>
      </c>
      <c r="Y121" s="9" t="n">
        <v>-0.5</v>
      </c>
      <c r="Z121" s="9" t="n">
        <v>43749.39999999997</v>
      </c>
      <c r="AD121" s="10" t="n">
        <v>46122</v>
      </c>
      <c r="AF121" s="9" t="n">
        <v>312</v>
      </c>
      <c r="AG121" s="9" t="n">
        <v>312.5</v>
      </c>
      <c r="AH121" s="9" t="n">
        <v>-0.5</v>
      </c>
      <c r="AI121" s="9" t="n">
        <v>46303.00000000001</v>
      </c>
      <c r="AM121" s="10" t="n">
        <v>46122</v>
      </c>
      <c r="AO121" s="9" t="n">
        <v>0</v>
      </c>
      <c r="AQ121" s="9" t="n">
        <v>0</v>
      </c>
      <c r="AR121" s="9" t="n">
        <v>0</v>
      </c>
      <c r="AV121" s="10" t="n">
        <v>46122</v>
      </c>
      <c r="AX121" s="9" t="n">
        <v>0</v>
      </c>
      <c r="AZ121" s="9" t="n">
        <v>0</v>
      </c>
      <c r="BA121" s="9" t="n">
        <v>14116.99999999999</v>
      </c>
      <c r="BE121" s="10" t="n">
        <v>46122</v>
      </c>
      <c r="BG121" s="9" t="n">
        <v>1170</v>
      </c>
      <c r="BH121" s="9" t="n">
        <v>1171.8</v>
      </c>
      <c r="BI121" s="9" t="n">
        <v>-1.799999999999955</v>
      </c>
      <c r="BJ121" s="9" t="n">
        <v>16072.7</v>
      </c>
      <c r="BN121" s="10" t="n">
        <v>46122</v>
      </c>
      <c r="BO121" s="9" t="n">
        <v>507</v>
      </c>
      <c r="BP121" s="9" t="n">
        <v>507</v>
      </c>
      <c r="BQ121" s="9" t="n">
        <v>507</v>
      </c>
      <c r="BR121" s="9" t="n">
        <v>0</v>
      </c>
      <c r="BS121" s="9" t="n">
        <v>0</v>
      </c>
      <c r="BW121" s="10" t="n">
        <v>46122</v>
      </c>
      <c r="BY121" s="9" t="n">
        <v>143</v>
      </c>
      <c r="BZ121" s="9" t="n">
        <v>1495</v>
      </c>
      <c r="CA121" s="9" t="n">
        <v>-1352</v>
      </c>
      <c r="CB121" s="9" t="n">
        <v>8228.799999999999</v>
      </c>
      <c r="CF121" s="10" t="n">
        <v>46122</v>
      </c>
      <c r="CG121" s="9" t="n">
        <v>2274.4</v>
      </c>
      <c r="CH121" s="9" t="n">
        <v>234.0000000000001</v>
      </c>
      <c r="CI121" s="9" t="n">
        <v>2274.4</v>
      </c>
      <c r="CJ121" s="9" t="n">
        <v>-2040.4</v>
      </c>
      <c r="CK121" s="9" t="n">
        <v>0</v>
      </c>
      <c r="CO121" s="10" t="n">
        <v>46122</v>
      </c>
      <c r="CQ121" s="9" t="n">
        <v>0</v>
      </c>
      <c r="CS121" s="9" t="n">
        <v>0</v>
      </c>
      <c r="CT121" s="9" t="n">
        <v>0</v>
      </c>
      <c r="CX121" s="10" t="n">
        <v>46122</v>
      </c>
      <c r="CZ121" s="9" t="n">
        <v>1300</v>
      </c>
      <c r="DA121" s="9" t="n">
        <v>1300.8</v>
      </c>
      <c r="DB121" s="9" t="n">
        <v>-0.7999999999999545</v>
      </c>
      <c r="DC121" s="9" t="n">
        <v>27858.2</v>
      </c>
      <c r="DG121" s="10" t="n">
        <v>46122</v>
      </c>
      <c r="DI121" s="9" t="n">
        <v>1040</v>
      </c>
      <c r="DJ121" s="9" t="n">
        <v>1041.2</v>
      </c>
      <c r="DK121" s="9" t="n">
        <v>-1.200000000000045</v>
      </c>
      <c r="DL121" s="9" t="n">
        <v>25340.99999999999</v>
      </c>
      <c r="DP121" s="10" t="n">
        <v>46122</v>
      </c>
      <c r="DR121" s="9" t="n">
        <v>0</v>
      </c>
      <c r="DT121" s="9" t="n">
        <v>0</v>
      </c>
      <c r="DU121" s="9" t="n">
        <v>7050</v>
      </c>
      <c r="DY121" s="10" t="n">
        <v>46122</v>
      </c>
      <c r="EA121" s="9" t="n">
        <v>0</v>
      </c>
      <c r="EC121" s="9" t="n">
        <v>0</v>
      </c>
      <c r="ED121" s="9" t="n">
        <v>147.3000000000002</v>
      </c>
      <c r="EH121" s="10" t="n">
        <v>46122</v>
      </c>
      <c r="EJ121" s="9" t="n">
        <v>0</v>
      </c>
      <c r="EL121" s="9" t="n">
        <v>0</v>
      </c>
      <c r="EM121" s="9" t="n">
        <v>0</v>
      </c>
      <c r="EQ121" s="10" t="n">
        <v>46122</v>
      </c>
      <c r="ES121" s="9" t="n">
        <v>0</v>
      </c>
      <c r="EU121" s="9" t="n">
        <v>0</v>
      </c>
      <c r="EV121" s="9" t="n">
        <v>0</v>
      </c>
      <c r="EZ121" s="10" t="n">
        <v>46122</v>
      </c>
      <c r="FB121" s="9" t="n">
        <v>0</v>
      </c>
      <c r="FD121" s="9" t="n">
        <v>0</v>
      </c>
      <c r="FE121" s="9" t="n">
        <v>0</v>
      </c>
      <c r="FI121" s="10" t="n">
        <v>46122</v>
      </c>
      <c r="FK121" s="9" t="n">
        <v>0</v>
      </c>
      <c r="FM121" s="9" t="n">
        <v>0</v>
      </c>
      <c r="FN121" s="9" t="n">
        <v>0</v>
      </c>
      <c r="FR121" s="10" t="n">
        <v>46122</v>
      </c>
      <c r="FT121" s="9" t="n">
        <v>0</v>
      </c>
      <c r="FU121" s="9" t="n">
        <v>320</v>
      </c>
      <c r="FV121" s="9" t="n">
        <v>-320</v>
      </c>
      <c r="FW121" s="9" t="n">
        <v>140</v>
      </c>
      <c r="FX121" s="9" t="n">
        <v>16</v>
      </c>
      <c r="GA121" s="10" t="n">
        <v>46122</v>
      </c>
      <c r="GC121" s="9" t="n">
        <v>0</v>
      </c>
      <c r="GE121" s="9" t="n">
        <v>0</v>
      </c>
      <c r="GF121" s="9" t="n">
        <v>6000</v>
      </c>
      <c r="GJ121" s="10" t="n">
        <v>46122</v>
      </c>
      <c r="GL121" s="9" t="n">
        <v>0</v>
      </c>
      <c r="GN121" s="9" t="n">
        <v>0</v>
      </c>
      <c r="GO121" s="9" t="n">
        <v>4800</v>
      </c>
      <c r="GS121" s="10" t="n">
        <v>46122</v>
      </c>
      <c r="GU121" s="9" t="n">
        <v>0</v>
      </c>
      <c r="GW121" s="9" t="n">
        <v>0</v>
      </c>
      <c r="GX121" s="9" t="n">
        <v>0</v>
      </c>
      <c r="HB121" s="10" t="n">
        <v>46122</v>
      </c>
      <c r="HD121" s="9" t="n">
        <v>0</v>
      </c>
      <c r="HF121" s="9" t="n">
        <v>0</v>
      </c>
      <c r="HG121" s="9" t="n">
        <v>0</v>
      </c>
      <c r="HK121" s="10" t="n">
        <v>46122</v>
      </c>
      <c r="HM121" s="9" t="n">
        <v>0</v>
      </c>
      <c r="HO121" s="9" t="n">
        <v>0</v>
      </c>
      <c r="HP121" s="9" t="n">
        <v>0</v>
      </c>
      <c r="HU121" s="10" t="n">
        <v>46122</v>
      </c>
      <c r="HW121" s="9" t="n">
        <v>0</v>
      </c>
      <c r="HY121" s="9" t="n">
        <v>0</v>
      </c>
      <c r="HZ121" s="9" t="n">
        <v>5120</v>
      </c>
      <c r="ID121" s="10" t="n">
        <v>46122</v>
      </c>
      <c r="IF121" s="9" t="n">
        <v>0</v>
      </c>
      <c r="IH121" s="9" t="n">
        <v>0</v>
      </c>
      <c r="II121" s="9" t="n">
        <v>6540</v>
      </c>
      <c r="IM121" s="10" t="n">
        <v>46122</v>
      </c>
      <c r="IO121" s="9" t="n">
        <v>0</v>
      </c>
      <c r="IQ121" s="9" t="n">
        <v>0</v>
      </c>
      <c r="IR121" s="9" t="n">
        <v>11540</v>
      </c>
      <c r="IV121" s="10" t="n">
        <v>46122</v>
      </c>
      <c r="IX121" s="9" t="n">
        <v>0</v>
      </c>
      <c r="IZ121" s="9" t="n">
        <v>0</v>
      </c>
      <c r="JA121" s="9" t="n">
        <v>15120</v>
      </c>
      <c r="JE121" s="10" t="n">
        <v>46122</v>
      </c>
      <c r="JG121" s="9" t="n">
        <v>0</v>
      </c>
      <c r="JI121" s="9" t="n">
        <v>0</v>
      </c>
      <c r="JJ121" s="9" t="n">
        <v>5040</v>
      </c>
      <c r="JN121" s="10" t="n">
        <v>46122</v>
      </c>
      <c r="JP121" s="9" t="n">
        <v>0</v>
      </c>
      <c r="JR121" s="9" t="n">
        <v>0</v>
      </c>
      <c r="JS121" s="9" t="n">
        <v>9100</v>
      </c>
      <c r="JW121" s="10" t="n">
        <v>46122</v>
      </c>
      <c r="JY121" s="9" t="n">
        <v>0</v>
      </c>
      <c r="JZ121" s="9" t="n">
        <v>600</v>
      </c>
      <c r="KA121" s="9" t="n">
        <v>-600</v>
      </c>
      <c r="KB121" s="9" t="n">
        <v>2940</v>
      </c>
      <c r="KC121" s="9" t="n">
        <v>30</v>
      </c>
      <c r="KF121" s="10" t="n">
        <v>46122</v>
      </c>
      <c r="KH121" s="9" t="n">
        <v>0</v>
      </c>
      <c r="KI121" s="9" t="n">
        <v>3120</v>
      </c>
      <c r="KJ121" s="9" t="n">
        <v>-3120</v>
      </c>
      <c r="KK121" s="9" t="n">
        <v>1579.5</v>
      </c>
      <c r="KL121" s="9" t="n">
        <v>160</v>
      </c>
      <c r="KO121" s="10" t="n">
        <v>46122</v>
      </c>
      <c r="KQ121" s="9" t="n">
        <v>491.4</v>
      </c>
      <c r="KR121" s="9" t="n">
        <v>944.9999999999999</v>
      </c>
      <c r="KS121" s="9" t="n">
        <v>-453.5999999999999</v>
      </c>
      <c r="KT121" s="9" t="n">
        <v>5216.4</v>
      </c>
      <c r="KU121" s="9" t="n">
        <v>50</v>
      </c>
      <c r="KX121" s="10" t="n">
        <v>46122</v>
      </c>
      <c r="KZ121" s="9" t="n">
        <v>0</v>
      </c>
      <c r="LB121" s="9" t="n">
        <v>0</v>
      </c>
      <c r="LC121" s="9" t="n">
        <v>0</v>
      </c>
      <c r="LG121" s="10" t="n">
        <v>46122</v>
      </c>
      <c r="LI121" s="9" t="n">
        <v>0</v>
      </c>
      <c r="LK121" s="9" t="n">
        <v>0</v>
      </c>
      <c r="LL121" s="9" t="n">
        <v>0</v>
      </c>
      <c r="LP121" s="10" t="n">
        <v>46122</v>
      </c>
      <c r="LR121" s="9" t="n">
        <v>0</v>
      </c>
      <c r="LT121" s="9" t="n">
        <v>0</v>
      </c>
      <c r="LU121" s="9" t="n">
        <v>0</v>
      </c>
      <c r="LY121" s="10" t="n">
        <v>46122</v>
      </c>
      <c r="MA121" s="9" t="n">
        <v>0</v>
      </c>
      <c r="MC121" s="9" t="n">
        <v>0</v>
      </c>
      <c r="MD121" s="9" t="n">
        <v>0</v>
      </c>
      <c r="MH121" s="10" t="n">
        <v>46122</v>
      </c>
      <c r="MJ121" s="9" t="n">
        <v>0</v>
      </c>
      <c r="ML121" s="9" t="n">
        <v>0</v>
      </c>
      <c r="MM121" s="9" t="n">
        <v>0</v>
      </c>
      <c r="MQ121" s="10" t="n">
        <v>46122</v>
      </c>
      <c r="MS121" s="9" t="n">
        <v>0</v>
      </c>
      <c r="MT121" s="9" t="n">
        <v>8</v>
      </c>
      <c r="MU121" s="9" t="n">
        <v>-8</v>
      </c>
      <c r="MV121" s="9" t="n">
        <v>4149</v>
      </c>
      <c r="MZ121" s="10" t="n">
        <v>46122</v>
      </c>
      <c r="NA121" s="9" t="n">
        <v>720</v>
      </c>
      <c r="NB121" s="9" t="n">
        <v>78</v>
      </c>
      <c r="NC121" s="9" t="n">
        <v>720</v>
      </c>
      <c r="ND121" s="9" t="n">
        <v>-642</v>
      </c>
      <c r="NE121" s="9" t="n">
        <v>0</v>
      </c>
      <c r="NI121" s="10" t="n">
        <v>46122</v>
      </c>
      <c r="NK121" s="9" t="n">
        <v>26</v>
      </c>
      <c r="NL121" s="9" t="n">
        <v>240</v>
      </c>
      <c r="NM121" s="9" t="n">
        <v>-214</v>
      </c>
      <c r="NN121" s="9" t="n">
        <v>1523</v>
      </c>
      <c r="NR121" s="10" t="n">
        <v>46122</v>
      </c>
      <c r="NT121" s="9" t="n">
        <v>31.2</v>
      </c>
      <c r="NU121" s="9" t="n">
        <v>258</v>
      </c>
      <c r="NV121" s="9" t="n">
        <v>-226.8</v>
      </c>
      <c r="NW121" s="9" t="n">
        <v>3566.1</v>
      </c>
      <c r="OA121" s="10" t="n">
        <v>46122</v>
      </c>
      <c r="OC121" s="9" t="n">
        <v>0</v>
      </c>
      <c r="OE121" s="9" t="n">
        <v>0</v>
      </c>
      <c r="OF121" s="9" t="n">
        <v>1680.5</v>
      </c>
      <c r="OJ121" s="10" t="n">
        <v>46122</v>
      </c>
      <c r="OK121" s="9" t="n">
        <v>705.5999999999999</v>
      </c>
      <c r="OL121" s="9" t="n">
        <v>72.79999999999998</v>
      </c>
      <c r="OM121" s="9" t="n">
        <v>705.5999999999999</v>
      </c>
      <c r="ON121" s="9" t="n">
        <v>-632.8</v>
      </c>
      <c r="OO121" s="9" t="n">
        <v>0</v>
      </c>
      <c r="OS121" s="10" t="n">
        <v>46122</v>
      </c>
      <c r="OU121" s="9" t="n">
        <v>0</v>
      </c>
      <c r="OW121" s="9" t="n">
        <v>0</v>
      </c>
      <c r="OX121" s="9" t="n">
        <v>1000</v>
      </c>
      <c r="PB121" s="10" t="n">
        <v>46122</v>
      </c>
      <c r="PD121" s="9" t="n">
        <v>0</v>
      </c>
      <c r="PF121" s="9" t="n">
        <v>0</v>
      </c>
      <c r="PG121" s="9" t="n">
        <v>0</v>
      </c>
      <c r="PK121" s="10" t="n">
        <v>46122</v>
      </c>
      <c r="PM121" s="9" t="n">
        <v>0</v>
      </c>
      <c r="PO121" s="9" t="n">
        <v>0</v>
      </c>
      <c r="PP121" s="9" t="n">
        <v>100</v>
      </c>
      <c r="PT121" s="10" t="n">
        <v>46122</v>
      </c>
      <c r="PV121" s="9" t="n">
        <v>0</v>
      </c>
      <c r="PX121" s="9" t="n">
        <v>0</v>
      </c>
      <c r="PY121" s="9" t="n">
        <v>13.96000000000004</v>
      </c>
      <c r="QC121" s="10" t="n">
        <v>46122</v>
      </c>
      <c r="QE121" s="9" t="n">
        <v>0</v>
      </c>
      <c r="QG121" s="9" t="n">
        <v>0</v>
      </c>
      <c r="QH121" s="9" t="n">
        <v>1212</v>
      </c>
      <c r="QL121" s="10" t="n">
        <v>46122</v>
      </c>
      <c r="QN121" s="9" t="n">
        <v>0</v>
      </c>
      <c r="QP121" s="9" t="n">
        <v>0</v>
      </c>
      <c r="QQ121" s="9" t="n">
        <v>400</v>
      </c>
      <c r="QU121" s="10" t="n">
        <v>46122</v>
      </c>
      <c r="QW121" s="9" t="n">
        <v>0</v>
      </c>
      <c r="QY121" s="9" t="n">
        <v>0</v>
      </c>
      <c r="QZ121" s="9" t="n">
        <v>207.6</v>
      </c>
      <c r="RD121" s="10" t="n">
        <v>46122</v>
      </c>
      <c r="RF121" s="9" t="n">
        <v>0</v>
      </c>
      <c r="RH121" s="9" t="n">
        <v>0</v>
      </c>
      <c r="RI121" s="9" t="n">
        <v>197.04</v>
      </c>
      <c r="RM121" s="10" t="n">
        <v>46122</v>
      </c>
      <c r="RO121" s="9" t="n">
        <v>0</v>
      </c>
      <c r="RQ121" s="9" t="n">
        <v>0</v>
      </c>
      <c r="RR121" s="9" t="n">
        <v>46.8</v>
      </c>
      <c r="RV121" s="10" t="n">
        <v>46122</v>
      </c>
      <c r="RX121" s="9" t="n">
        <v>0</v>
      </c>
      <c r="RZ121" s="9" t="n">
        <v>0</v>
      </c>
      <c r="SA121" s="9" t="n">
        <v>0</v>
      </c>
      <c r="SE121" s="10" t="n">
        <v>46122</v>
      </c>
      <c r="SG121" s="9" t="n">
        <v>0</v>
      </c>
      <c r="SI121" s="9" t="n">
        <v>0</v>
      </c>
      <c r="SJ121" s="9" t="n">
        <v>0</v>
      </c>
      <c r="SN121" s="10" t="n">
        <v>46122</v>
      </c>
      <c r="SP121" s="9" t="n">
        <v>0</v>
      </c>
      <c r="SR121" s="9" t="n">
        <v>0</v>
      </c>
      <c r="SS121" s="9" t="n">
        <v>0</v>
      </c>
      <c r="SW121" s="10" t="n">
        <v>46122</v>
      </c>
      <c r="SY121" s="9" t="n">
        <v>0</v>
      </c>
      <c r="TA121" s="9" t="n">
        <v>0</v>
      </c>
      <c r="TB121" s="9" t="n">
        <v>0</v>
      </c>
      <c r="TF121" s="10" t="n">
        <v>46122</v>
      </c>
      <c r="TH121" s="9" t="n">
        <v>0</v>
      </c>
      <c r="TJ121" s="9" t="n">
        <v>0</v>
      </c>
      <c r="TK121" s="9" t="n">
        <v>0</v>
      </c>
      <c r="TO121" s="10" t="n">
        <v>46122</v>
      </c>
      <c r="TQ121" s="9" t="n">
        <v>0</v>
      </c>
      <c r="TS121" s="9" t="n">
        <v>0</v>
      </c>
      <c r="TT121" s="9" t="n">
        <v>0</v>
      </c>
      <c r="TX121" s="10" t="n">
        <v>46122</v>
      </c>
      <c r="TZ121" s="9" t="n">
        <v>0</v>
      </c>
      <c r="UB121" s="9" t="n">
        <v>0</v>
      </c>
      <c r="UC121" s="9" t="n">
        <v>0</v>
      </c>
      <c r="UG121" s="10" t="n">
        <v>46122</v>
      </c>
      <c r="UI121" s="9" t="n">
        <v>0</v>
      </c>
      <c r="UK121" s="9" t="n">
        <v>0</v>
      </c>
      <c r="UL121" s="9" t="n">
        <v>0</v>
      </c>
      <c r="UP121" s="10" t="n">
        <v>46122</v>
      </c>
      <c r="UR121" s="9" t="n">
        <v>0</v>
      </c>
      <c r="UT121" s="9" t="n">
        <v>0</v>
      </c>
      <c r="UU121" s="9" t="n">
        <v>0</v>
      </c>
      <c r="UY121" s="10" t="n">
        <v>46122</v>
      </c>
      <c r="VA121" s="9" t="n">
        <v>0</v>
      </c>
      <c r="VC121" s="9" t="n">
        <v>0</v>
      </c>
      <c r="VD121" s="9" t="n">
        <v>41.60000000000002</v>
      </c>
      <c r="VH121" s="10" t="n">
        <v>46122</v>
      </c>
      <c r="VJ121" s="9" t="n">
        <v>0</v>
      </c>
      <c r="VL121" s="9" t="n">
        <v>0</v>
      </c>
      <c r="VM121" s="9" t="n">
        <v>0</v>
      </c>
      <c r="VQ121" s="10" t="n">
        <v>46122</v>
      </c>
      <c r="VS121" s="9" t="n">
        <v>0</v>
      </c>
      <c r="VU121" s="9" t="n">
        <v>0</v>
      </c>
      <c r="VV121" s="9" t="n">
        <v>0</v>
      </c>
      <c r="VZ121" s="10" t="n">
        <v>46122</v>
      </c>
      <c r="WB121" s="9" t="n">
        <v>0</v>
      </c>
      <c r="WD121" s="9" t="n">
        <v>0</v>
      </c>
      <c r="WE121" s="9" t="n">
        <v>0</v>
      </c>
      <c r="WI121" s="10" t="n">
        <v>46122</v>
      </c>
      <c r="WK121" s="9" t="n">
        <v>0</v>
      </c>
      <c r="WM121" s="9" t="n">
        <v>0</v>
      </c>
      <c r="WN121" s="9" t="n">
        <v>2317</v>
      </c>
      <c r="WR121" s="10" t="n">
        <v>46122</v>
      </c>
      <c r="WT121" s="9" t="n">
        <v>0</v>
      </c>
      <c r="WV121" s="9" t="n">
        <v>0</v>
      </c>
      <c r="WW121" s="9" t="n">
        <v>8000</v>
      </c>
      <c r="XA121" s="10" t="n">
        <v>46122</v>
      </c>
      <c r="XC121" s="9" t="n">
        <v>0</v>
      </c>
      <c r="XE121" s="9" t="n">
        <v>0</v>
      </c>
      <c r="XF121" s="9" t="n">
        <v>14868</v>
      </c>
      <c r="XJ121" s="10" t="n">
        <v>46122</v>
      </c>
      <c r="XL121" s="9" t="n">
        <v>0</v>
      </c>
      <c r="XM121" s="9" t="n">
        <v>124</v>
      </c>
      <c r="XN121" s="9" t="n">
        <v>-124</v>
      </c>
      <c r="XO121" s="9" t="n">
        <v>5867</v>
      </c>
      <c r="XS121" s="10" t="n">
        <v>46122</v>
      </c>
      <c r="XU121" s="9" t="n">
        <v>0</v>
      </c>
      <c r="XW121" s="9" t="n">
        <v>0</v>
      </c>
      <c r="XX121" s="9" t="n">
        <v>1901</v>
      </c>
      <c r="YB121" s="10" t="n">
        <v>46122</v>
      </c>
      <c r="YD121" s="9" t="n">
        <v>0</v>
      </c>
      <c r="YF121" s="9" t="n">
        <v>0</v>
      </c>
      <c r="YG121" s="9" t="n">
        <v>6459</v>
      </c>
      <c r="YK121" s="10" t="n">
        <v>46122</v>
      </c>
      <c r="YM121" s="9" t="n">
        <v>0</v>
      </c>
      <c r="YO121" s="9" t="n">
        <v>0</v>
      </c>
      <c r="YP121" s="9" t="n">
        <v>0</v>
      </c>
      <c r="YT121" s="10" t="n">
        <v>46122</v>
      </c>
      <c r="YV121" s="9" t="n">
        <v>0</v>
      </c>
      <c r="YX121" s="9" t="n">
        <v>0</v>
      </c>
      <c r="YY121" s="9" t="n">
        <v>0</v>
      </c>
      <c r="ZC121" s="10" t="n">
        <v>46122</v>
      </c>
      <c r="ZE121" s="9" t="n">
        <v>0</v>
      </c>
      <c r="ZG121" s="9" t="n">
        <v>0</v>
      </c>
      <c r="ZH121" s="9" t="n">
        <v>0</v>
      </c>
      <c r="ZL121" s="10" t="n">
        <v>46122</v>
      </c>
      <c r="ZN121" s="9" t="n">
        <v>0</v>
      </c>
      <c r="ZP121" s="9" t="n">
        <v>0</v>
      </c>
      <c r="ZQ121" s="9" t="n">
        <v>0</v>
      </c>
      <c r="ZU121" s="10" t="n">
        <v>46122</v>
      </c>
      <c r="ZW121" s="9" t="n">
        <v>0</v>
      </c>
      <c r="ZY121" s="9" t="n">
        <v>0</v>
      </c>
      <c r="ZZ121" s="9" t="n">
        <v>0</v>
      </c>
      <c r="AAD121" s="10" t="n">
        <v>46122</v>
      </c>
      <c r="AAF121" s="9" t="n">
        <v>0</v>
      </c>
      <c r="AAH121" s="9" t="n">
        <v>0</v>
      </c>
      <c r="AAI121" s="9" t="n">
        <v>0</v>
      </c>
      <c r="AAM121" s="10" t="n">
        <v>46122</v>
      </c>
      <c r="AAO121" s="9" t="n">
        <v>0</v>
      </c>
      <c r="AAQ121" s="9" t="n">
        <v>0</v>
      </c>
      <c r="AAR121" s="9" t="n">
        <v>0</v>
      </c>
      <c r="AAV121" s="10" t="n">
        <v>46122</v>
      </c>
      <c r="AAX121" s="9" t="n">
        <v>0</v>
      </c>
      <c r="AAZ121" s="9" t="n">
        <v>0</v>
      </c>
      <c r="ABA121" s="9" t="n">
        <v>0</v>
      </c>
      <c r="ABE121" s="10" t="n">
        <v>46122</v>
      </c>
      <c r="ABG121" s="9" t="n">
        <v>0</v>
      </c>
      <c r="ABI121" s="9" t="n">
        <v>0</v>
      </c>
      <c r="ABJ121" s="9" t="n">
        <v>0</v>
      </c>
    </row>
    <row r="122">
      <c r="B122" s="9" t="n">
        <v>70</v>
      </c>
      <c r="C122" s="10" t="n">
        <v>46123</v>
      </c>
      <c r="D122" s="9" t="n">
        <v>32620</v>
      </c>
      <c r="E122" s="9" t="n">
        <v>39322</v>
      </c>
      <c r="F122" s="9" t="n">
        <v>39326.2</v>
      </c>
      <c r="G122" s="9" t="n">
        <v>-4.19999999999709</v>
      </c>
      <c r="H122" s="9" t="n">
        <v>186334.6</v>
      </c>
      <c r="I122" s="9" t="inlineStr">
        <is>
          <t>122 20mt, 1102 50mt</t>
        </is>
      </c>
      <c r="L122" s="10" t="n">
        <v>46123</v>
      </c>
      <c r="N122" s="9" t="n">
        <v>16800</v>
      </c>
      <c r="O122" s="9" t="n">
        <v>16799.4</v>
      </c>
      <c r="P122" s="9" t="n">
        <v>0.5999999999985448</v>
      </c>
      <c r="Q122" s="9" t="n">
        <v>71899.2000000001</v>
      </c>
      <c r="U122" s="10" t="n">
        <v>46123</v>
      </c>
      <c r="W122" s="9" t="n">
        <v>2920</v>
      </c>
      <c r="X122" s="9" t="n">
        <v>2919.7</v>
      </c>
      <c r="Y122" s="9" t="n">
        <v>0.3000000000001819</v>
      </c>
      <c r="Z122" s="9" t="n">
        <v>40829.69999999997</v>
      </c>
      <c r="AD122" s="10" t="n">
        <v>46123</v>
      </c>
      <c r="AF122" s="9" t="n">
        <v>2760</v>
      </c>
      <c r="AG122" s="9" t="n">
        <v>2761.2</v>
      </c>
      <c r="AH122" s="9" t="n">
        <v>-1.199999999999818</v>
      </c>
      <c r="AI122" s="9" t="n">
        <v>43541.80000000002</v>
      </c>
      <c r="AM122" s="10" t="n">
        <v>46123</v>
      </c>
      <c r="AO122" s="9" t="n">
        <v>0</v>
      </c>
      <c r="AQ122" s="9" t="n">
        <v>0</v>
      </c>
      <c r="AR122" s="9" t="n">
        <v>0</v>
      </c>
      <c r="AV122" s="10" t="n">
        <v>46123</v>
      </c>
      <c r="AX122" s="9" t="n">
        <v>500</v>
      </c>
      <c r="AY122" s="9" t="n">
        <v>499.3</v>
      </c>
      <c r="AZ122" s="9" t="n">
        <v>0.6999999999999886</v>
      </c>
      <c r="BA122" s="9" t="n">
        <v>13617.69999999999</v>
      </c>
      <c r="BE122" s="10" t="n">
        <v>46123</v>
      </c>
      <c r="BG122" s="9" t="n">
        <v>2090</v>
      </c>
      <c r="BH122" s="9" t="n">
        <v>2089.3</v>
      </c>
      <c r="BI122" s="9" t="n">
        <v>0.6999999999998181</v>
      </c>
      <c r="BJ122" s="9" t="n">
        <v>13983.4</v>
      </c>
      <c r="BN122" s="10" t="n">
        <v>46123</v>
      </c>
      <c r="BO122" s="9" t="n">
        <v>1050</v>
      </c>
      <c r="BP122" s="9" t="n">
        <v>1650</v>
      </c>
      <c r="BQ122" s="9" t="n">
        <v>1050</v>
      </c>
      <c r="BR122" s="9" t="n">
        <v>600</v>
      </c>
      <c r="BS122" s="9" t="n">
        <v>0</v>
      </c>
      <c r="BW122" s="10" t="n">
        <v>46123</v>
      </c>
      <c r="BY122" s="9" t="n">
        <v>133</v>
      </c>
      <c r="CA122" s="9" t="n">
        <v>133</v>
      </c>
      <c r="CB122" s="9" t="n">
        <v>8228.799999999999</v>
      </c>
      <c r="CF122" s="10" t="n">
        <v>46123</v>
      </c>
      <c r="CH122" s="9" t="n">
        <v>450</v>
      </c>
      <c r="CJ122" s="9" t="n">
        <v>450</v>
      </c>
      <c r="CK122" s="9" t="n">
        <v>0</v>
      </c>
      <c r="CO122" s="10" t="n">
        <v>46123</v>
      </c>
      <c r="CQ122" s="9" t="n">
        <v>0</v>
      </c>
      <c r="CS122" s="9" t="n">
        <v>0</v>
      </c>
      <c r="CT122" s="9" t="n">
        <v>0</v>
      </c>
      <c r="CX122" s="10" t="n">
        <v>46123</v>
      </c>
      <c r="CZ122" s="9" t="n">
        <v>1000</v>
      </c>
      <c r="DA122" s="9" t="n">
        <v>1000.1</v>
      </c>
      <c r="DB122" s="9" t="n">
        <v>-0.1000000000000227</v>
      </c>
      <c r="DC122" s="9" t="n">
        <v>26858.10000000001</v>
      </c>
      <c r="DG122" s="10" t="n">
        <v>46123</v>
      </c>
      <c r="DI122" s="9" t="n">
        <v>800</v>
      </c>
      <c r="DJ122" s="9" t="n">
        <v>799.4</v>
      </c>
      <c r="DK122" s="9" t="n">
        <v>0.6000000000000227</v>
      </c>
      <c r="DL122" s="9" t="n">
        <v>24541.59999999999</v>
      </c>
      <c r="DP122" s="10" t="n">
        <v>46123</v>
      </c>
      <c r="DR122" s="9" t="n">
        <v>0</v>
      </c>
      <c r="DT122" s="9" t="n">
        <v>0</v>
      </c>
      <c r="DU122" s="9" t="n">
        <v>7050</v>
      </c>
      <c r="DY122" s="10" t="n">
        <v>46123</v>
      </c>
      <c r="EA122" s="9" t="n">
        <v>0</v>
      </c>
      <c r="EC122" s="9" t="n">
        <v>0</v>
      </c>
      <c r="ED122" s="9" t="n">
        <v>147.3000000000002</v>
      </c>
      <c r="EH122" s="10" t="n">
        <v>46123</v>
      </c>
      <c r="EJ122" s="9" t="n">
        <v>0</v>
      </c>
      <c r="EL122" s="9" t="n">
        <v>0</v>
      </c>
      <c r="EM122" s="9" t="n">
        <v>0</v>
      </c>
      <c r="EQ122" s="10" t="n">
        <v>46123</v>
      </c>
      <c r="ES122" s="9" t="n">
        <v>0</v>
      </c>
      <c r="EU122" s="9" t="n">
        <v>0</v>
      </c>
      <c r="EV122" s="9" t="n">
        <v>0</v>
      </c>
      <c r="EZ122" s="10" t="n">
        <v>46123</v>
      </c>
      <c r="FB122" s="9" t="n">
        <v>0</v>
      </c>
      <c r="FD122" s="9" t="n">
        <v>0</v>
      </c>
      <c r="FE122" s="9" t="n">
        <v>0</v>
      </c>
      <c r="FI122" s="10" t="n">
        <v>46123</v>
      </c>
      <c r="FK122" s="9" t="n">
        <v>0</v>
      </c>
      <c r="FM122" s="9" t="n">
        <v>0</v>
      </c>
      <c r="FN122" s="9" t="n">
        <v>0</v>
      </c>
      <c r="FR122" s="10" t="n">
        <v>46123</v>
      </c>
      <c r="FT122" s="9" t="n">
        <v>0</v>
      </c>
      <c r="FV122" s="9" t="n">
        <v>0</v>
      </c>
      <c r="FW122" s="9" t="n">
        <v>140</v>
      </c>
      <c r="GA122" s="10" t="n">
        <v>46123</v>
      </c>
      <c r="GC122" s="9" t="n">
        <v>1000</v>
      </c>
      <c r="GE122" s="9" t="n">
        <v>1000</v>
      </c>
      <c r="GF122" s="9" t="n">
        <v>6000</v>
      </c>
      <c r="GJ122" s="10" t="n">
        <v>46123</v>
      </c>
      <c r="GL122" s="9" t="n">
        <v>0</v>
      </c>
      <c r="GN122" s="9" t="n">
        <v>0</v>
      </c>
      <c r="GO122" s="9" t="n">
        <v>4800</v>
      </c>
      <c r="GS122" s="10" t="n">
        <v>46123</v>
      </c>
      <c r="GU122" s="9" t="n">
        <v>0</v>
      </c>
      <c r="GW122" s="9" t="n">
        <v>0</v>
      </c>
      <c r="GX122" s="9" t="n">
        <v>0</v>
      </c>
      <c r="HB122" s="10" t="n">
        <v>46123</v>
      </c>
      <c r="HD122" s="9" t="n">
        <v>0</v>
      </c>
      <c r="HF122" s="9" t="n">
        <v>0</v>
      </c>
      <c r="HG122" s="9" t="n">
        <v>0</v>
      </c>
      <c r="HK122" s="10" t="n">
        <v>46123</v>
      </c>
      <c r="HM122" s="9" t="n">
        <v>0</v>
      </c>
      <c r="HO122" s="9" t="n">
        <v>0</v>
      </c>
      <c r="HP122" s="9" t="n">
        <v>0</v>
      </c>
      <c r="HU122" s="10" t="n">
        <v>46123</v>
      </c>
      <c r="HW122" s="9" t="n">
        <v>0</v>
      </c>
      <c r="HY122" s="9" t="n">
        <v>0</v>
      </c>
      <c r="HZ122" s="9" t="n">
        <v>5120</v>
      </c>
      <c r="ID122" s="10" t="n">
        <v>46123</v>
      </c>
      <c r="IF122" s="9" t="n">
        <v>0</v>
      </c>
      <c r="IH122" s="9" t="n">
        <v>0</v>
      </c>
      <c r="II122" s="9" t="n">
        <v>6540</v>
      </c>
      <c r="IM122" s="10" t="n">
        <v>46123</v>
      </c>
      <c r="IO122" s="9" t="n">
        <v>0</v>
      </c>
      <c r="IQ122" s="9" t="n">
        <v>0</v>
      </c>
      <c r="IR122" s="9" t="n">
        <v>11540</v>
      </c>
      <c r="IV122" s="10" t="n">
        <v>46123</v>
      </c>
      <c r="IX122" s="9" t="n">
        <v>0</v>
      </c>
      <c r="IZ122" s="9" t="n">
        <v>0</v>
      </c>
      <c r="JA122" s="9" t="n">
        <v>15120</v>
      </c>
      <c r="JE122" s="10" t="n">
        <v>46123</v>
      </c>
      <c r="JG122" s="9" t="n">
        <v>0</v>
      </c>
      <c r="JI122" s="9" t="n">
        <v>0</v>
      </c>
      <c r="JJ122" s="9" t="n">
        <v>5040</v>
      </c>
      <c r="JN122" s="10" t="n">
        <v>46123</v>
      </c>
      <c r="JP122" s="9" t="n">
        <v>0</v>
      </c>
      <c r="JR122" s="9" t="n">
        <v>0</v>
      </c>
      <c r="JS122" s="9" t="n">
        <v>9100</v>
      </c>
      <c r="JW122" s="10" t="n">
        <v>46123</v>
      </c>
      <c r="JY122" s="9" t="n">
        <v>0</v>
      </c>
      <c r="KA122" s="9" t="n">
        <v>0</v>
      </c>
      <c r="KB122" s="9" t="n">
        <v>2940</v>
      </c>
      <c r="KF122" s="10" t="n">
        <v>46123</v>
      </c>
      <c r="KH122" s="9" t="n">
        <v>390</v>
      </c>
      <c r="KJ122" s="9" t="n">
        <v>390</v>
      </c>
      <c r="KK122" s="9" t="n">
        <v>1579.5</v>
      </c>
      <c r="KO122" s="10" t="n">
        <v>46123</v>
      </c>
      <c r="KQ122" s="9" t="n">
        <v>0</v>
      </c>
      <c r="KS122" s="9" t="n">
        <v>0</v>
      </c>
      <c r="KT122" s="9" t="n">
        <v>5216.4</v>
      </c>
      <c r="KW122" s="9" t="n">
        <v>0</v>
      </c>
      <c r="KX122" s="10" t="n">
        <v>46123</v>
      </c>
      <c r="KZ122" s="9" t="n">
        <v>0</v>
      </c>
      <c r="LB122" s="9" t="n">
        <v>0</v>
      </c>
      <c r="LC122" s="9" t="n">
        <v>0</v>
      </c>
      <c r="LG122" s="10" t="n">
        <v>46123</v>
      </c>
      <c r="LI122" s="9" t="n">
        <v>0</v>
      </c>
      <c r="LK122" s="9" t="n">
        <v>0</v>
      </c>
      <c r="LL122" s="9" t="n">
        <v>0</v>
      </c>
      <c r="LP122" s="10" t="n">
        <v>46123</v>
      </c>
      <c r="LR122" s="9" t="n">
        <v>0</v>
      </c>
      <c r="LT122" s="9" t="n">
        <v>0</v>
      </c>
      <c r="LU122" s="9" t="n">
        <v>0</v>
      </c>
      <c r="LY122" s="10" t="n">
        <v>46123</v>
      </c>
      <c r="MA122" s="9" t="n">
        <v>0</v>
      </c>
      <c r="MC122" s="9" t="n">
        <v>0</v>
      </c>
      <c r="MD122" s="9" t="n">
        <v>0</v>
      </c>
      <c r="MH122" s="10" t="n">
        <v>46123</v>
      </c>
      <c r="MJ122" s="9" t="n">
        <v>0</v>
      </c>
      <c r="ML122" s="9" t="n">
        <v>0</v>
      </c>
      <c r="MM122" s="9" t="n">
        <v>0</v>
      </c>
      <c r="MQ122" s="10" t="n">
        <v>46123</v>
      </c>
      <c r="MS122" s="9" t="n">
        <v>25</v>
      </c>
      <c r="MU122" s="9" t="n">
        <v>25</v>
      </c>
      <c r="MV122" s="9" t="n">
        <v>4149</v>
      </c>
      <c r="MZ122" s="10" t="n">
        <v>46123</v>
      </c>
      <c r="NB122" s="9" t="n">
        <v>60</v>
      </c>
      <c r="ND122" s="9" t="n">
        <v>60</v>
      </c>
      <c r="NE122" s="9" t="n">
        <v>0</v>
      </c>
      <c r="NI122" s="10" t="n">
        <v>46123</v>
      </c>
      <c r="NK122" s="9" t="n">
        <v>20</v>
      </c>
      <c r="NM122" s="9" t="n">
        <v>20</v>
      </c>
      <c r="NN122" s="9" t="n">
        <v>1523</v>
      </c>
      <c r="NR122" s="10" t="n">
        <v>46123</v>
      </c>
      <c r="NT122" s="9" t="n">
        <v>24</v>
      </c>
      <c r="NV122" s="9" t="n">
        <v>24</v>
      </c>
      <c r="NW122" s="9" t="n">
        <v>3566.1</v>
      </c>
      <c r="OA122" s="10" t="n">
        <v>46123</v>
      </c>
      <c r="OC122" s="9" t="n">
        <v>0</v>
      </c>
      <c r="OE122" s="9" t="n">
        <v>0</v>
      </c>
      <c r="OF122" s="9" t="n">
        <v>1680.5</v>
      </c>
      <c r="OJ122" s="10" t="n">
        <v>46123</v>
      </c>
      <c r="OL122" s="9" t="n">
        <v>55.99999999999999</v>
      </c>
      <c r="ON122" s="9" t="n">
        <v>55.99999999999999</v>
      </c>
      <c r="OO122" s="9" t="n">
        <v>0</v>
      </c>
      <c r="OS122" s="10" t="n">
        <v>46123</v>
      </c>
      <c r="OU122" s="9" t="n">
        <v>0</v>
      </c>
      <c r="OW122" s="9" t="n">
        <v>0</v>
      </c>
      <c r="OX122" s="9" t="n">
        <v>1000</v>
      </c>
      <c r="PB122" s="10" t="n">
        <v>46123</v>
      </c>
      <c r="PD122" s="9" t="n">
        <v>0</v>
      </c>
      <c r="PF122" s="9" t="n">
        <v>0</v>
      </c>
      <c r="PG122" s="9" t="n">
        <v>0</v>
      </c>
      <c r="PK122" s="10" t="n">
        <v>46123</v>
      </c>
      <c r="PM122" s="9" t="n">
        <v>0</v>
      </c>
      <c r="PO122" s="9" t="n">
        <v>0</v>
      </c>
      <c r="PP122" s="9" t="n">
        <v>100</v>
      </c>
      <c r="PT122" s="10" t="n">
        <v>46123</v>
      </c>
      <c r="PV122" s="9" t="n">
        <v>0</v>
      </c>
      <c r="PX122" s="9" t="n">
        <v>0</v>
      </c>
      <c r="PY122" s="9" t="n">
        <v>13.96000000000004</v>
      </c>
      <c r="QC122" s="10" t="n">
        <v>46123</v>
      </c>
      <c r="QE122" s="9" t="n">
        <v>0</v>
      </c>
      <c r="QG122" s="9" t="n">
        <v>0</v>
      </c>
      <c r="QH122" s="9" t="n">
        <v>1212</v>
      </c>
      <c r="QL122" s="10" t="n">
        <v>46123</v>
      </c>
      <c r="QN122" s="9" t="n">
        <v>0</v>
      </c>
      <c r="QP122" s="9" t="n">
        <v>0</v>
      </c>
      <c r="QQ122" s="9" t="n">
        <v>400</v>
      </c>
      <c r="QU122" s="10" t="n">
        <v>46123</v>
      </c>
      <c r="QW122" s="9" t="n">
        <v>0</v>
      </c>
      <c r="QY122" s="9" t="n">
        <v>0</v>
      </c>
      <c r="QZ122" s="9" t="n">
        <v>207.6</v>
      </c>
      <c r="RD122" s="10" t="n">
        <v>46123</v>
      </c>
      <c r="RF122" s="9" t="n">
        <v>0</v>
      </c>
      <c r="RH122" s="9" t="n">
        <v>0</v>
      </c>
      <c r="RI122" s="9" t="n">
        <v>197.04</v>
      </c>
      <c r="RM122" s="10" t="n">
        <v>46123</v>
      </c>
      <c r="RO122" s="9" t="n">
        <v>0</v>
      </c>
      <c r="RQ122" s="9" t="n">
        <v>0</v>
      </c>
      <c r="RR122" s="9" t="n">
        <v>46.8</v>
      </c>
      <c r="RV122" s="10" t="n">
        <v>46123</v>
      </c>
      <c r="RX122" s="9" t="n">
        <v>0</v>
      </c>
      <c r="RZ122" s="9" t="n">
        <v>0</v>
      </c>
      <c r="SA122" s="9" t="n">
        <v>0</v>
      </c>
      <c r="SE122" s="10" t="n">
        <v>46123</v>
      </c>
      <c r="SG122" s="9" t="n">
        <v>0</v>
      </c>
      <c r="SI122" s="9" t="n">
        <v>0</v>
      </c>
      <c r="SJ122" s="9" t="n">
        <v>0</v>
      </c>
      <c r="SN122" s="10" t="n">
        <v>46123</v>
      </c>
      <c r="SP122" s="9" t="n">
        <v>0</v>
      </c>
      <c r="SR122" s="9" t="n">
        <v>0</v>
      </c>
      <c r="SS122" s="9" t="n">
        <v>0</v>
      </c>
      <c r="SW122" s="10" t="n">
        <v>46123</v>
      </c>
      <c r="SY122" s="9" t="n">
        <v>0</v>
      </c>
      <c r="TA122" s="9" t="n">
        <v>0</v>
      </c>
      <c r="TB122" s="9" t="n">
        <v>0</v>
      </c>
      <c r="TF122" s="10" t="n">
        <v>46123</v>
      </c>
      <c r="TH122" s="9" t="n">
        <v>0</v>
      </c>
      <c r="TJ122" s="9" t="n">
        <v>0</v>
      </c>
      <c r="TK122" s="9" t="n">
        <v>0</v>
      </c>
      <c r="TO122" s="10" t="n">
        <v>46123</v>
      </c>
      <c r="TQ122" s="9" t="n">
        <v>0</v>
      </c>
      <c r="TS122" s="9" t="n">
        <v>0</v>
      </c>
      <c r="TT122" s="9" t="n">
        <v>0</v>
      </c>
      <c r="TX122" s="10" t="n">
        <v>46123</v>
      </c>
      <c r="TZ122" s="9" t="n">
        <v>0</v>
      </c>
      <c r="UB122" s="9" t="n">
        <v>0</v>
      </c>
      <c r="UC122" s="9" t="n">
        <v>0</v>
      </c>
      <c r="UG122" s="10" t="n">
        <v>46123</v>
      </c>
      <c r="UI122" s="9" t="n">
        <v>0</v>
      </c>
      <c r="UK122" s="9" t="n">
        <v>0</v>
      </c>
      <c r="UL122" s="9" t="n">
        <v>0</v>
      </c>
      <c r="UP122" s="10" t="n">
        <v>46123</v>
      </c>
      <c r="UR122" s="9" t="n">
        <v>0</v>
      </c>
      <c r="UT122" s="9" t="n">
        <v>0</v>
      </c>
      <c r="UU122" s="9" t="n">
        <v>0</v>
      </c>
      <c r="UY122" s="10" t="n">
        <v>46123</v>
      </c>
      <c r="VA122" s="9" t="n">
        <v>0</v>
      </c>
      <c r="VC122" s="9" t="n">
        <v>0</v>
      </c>
      <c r="VD122" s="9" t="n">
        <v>41.60000000000002</v>
      </c>
      <c r="VH122" s="10" t="n">
        <v>46123</v>
      </c>
      <c r="VJ122" s="9" t="n">
        <v>0</v>
      </c>
      <c r="VL122" s="9" t="n">
        <v>0</v>
      </c>
      <c r="VM122" s="9" t="n">
        <v>0</v>
      </c>
      <c r="VQ122" s="10" t="n">
        <v>46123</v>
      </c>
      <c r="VS122" s="9" t="n">
        <v>0</v>
      </c>
      <c r="VU122" s="9" t="n">
        <v>0</v>
      </c>
      <c r="VV122" s="9" t="n">
        <v>0</v>
      </c>
      <c r="VZ122" s="10" t="n">
        <v>46123</v>
      </c>
      <c r="WB122" s="9" t="n">
        <v>0</v>
      </c>
      <c r="WD122" s="9" t="n">
        <v>0</v>
      </c>
      <c r="WE122" s="9" t="n">
        <v>0</v>
      </c>
      <c r="WI122" s="10" t="n">
        <v>46123</v>
      </c>
      <c r="WK122" s="9" t="n">
        <v>0</v>
      </c>
      <c r="WM122" s="9" t="n">
        <v>0</v>
      </c>
      <c r="WN122" s="9" t="n">
        <v>2317</v>
      </c>
      <c r="WR122" s="10" t="n">
        <v>46123</v>
      </c>
      <c r="WT122" s="9" t="n">
        <v>0</v>
      </c>
      <c r="WU122" s="9" t="n">
        <v>1020</v>
      </c>
      <c r="WV122" s="9" t="n">
        <v>-1020</v>
      </c>
      <c r="WW122" s="9" t="n">
        <v>6980</v>
      </c>
      <c r="XA122" s="10" t="n">
        <v>46123</v>
      </c>
      <c r="XC122" s="9" t="n">
        <v>0</v>
      </c>
      <c r="XE122" s="9" t="n">
        <v>0</v>
      </c>
      <c r="XF122" s="9" t="n">
        <v>14868</v>
      </c>
      <c r="XJ122" s="10" t="n">
        <v>46123</v>
      </c>
      <c r="XL122" s="9" t="n">
        <v>0</v>
      </c>
      <c r="XM122" s="9" t="n">
        <v>420</v>
      </c>
      <c r="XN122" s="9" t="n">
        <v>-420</v>
      </c>
      <c r="XO122" s="9" t="n">
        <v>5447</v>
      </c>
      <c r="XS122" s="10" t="n">
        <v>46123</v>
      </c>
      <c r="XU122" s="9" t="n">
        <v>0</v>
      </c>
      <c r="XW122" s="9" t="n">
        <v>0</v>
      </c>
      <c r="XX122" s="9" t="n">
        <v>1901</v>
      </c>
      <c r="YB122" s="10" t="n">
        <v>46123</v>
      </c>
      <c r="YD122" s="9" t="n">
        <v>0</v>
      </c>
      <c r="YF122" s="9" t="n">
        <v>0</v>
      </c>
      <c r="YG122" s="9" t="n">
        <v>6459</v>
      </c>
      <c r="YK122" s="10" t="n">
        <v>46123</v>
      </c>
      <c r="YM122" s="9" t="n">
        <v>0</v>
      </c>
      <c r="YO122" s="9" t="n">
        <v>0</v>
      </c>
      <c r="YP122" s="9" t="n">
        <v>0</v>
      </c>
      <c r="YT122" s="10" t="n">
        <v>46123</v>
      </c>
      <c r="YV122" s="9" t="n">
        <v>0</v>
      </c>
      <c r="YX122" s="9" t="n">
        <v>0</v>
      </c>
      <c r="YY122" s="9" t="n">
        <v>0</v>
      </c>
      <c r="ZC122" s="10" t="n">
        <v>46123</v>
      </c>
      <c r="ZE122" s="9" t="n">
        <v>0</v>
      </c>
      <c r="ZG122" s="9" t="n">
        <v>0</v>
      </c>
      <c r="ZH122" s="9" t="n">
        <v>0</v>
      </c>
      <c r="ZL122" s="10" t="n">
        <v>46123</v>
      </c>
      <c r="ZN122" s="9" t="n">
        <v>0</v>
      </c>
      <c r="ZP122" s="9" t="n">
        <v>0</v>
      </c>
      <c r="ZQ122" s="9" t="n">
        <v>0</v>
      </c>
      <c r="ZU122" s="10" t="n">
        <v>46123</v>
      </c>
      <c r="ZW122" s="9" t="n">
        <v>0</v>
      </c>
      <c r="ZY122" s="9" t="n">
        <v>0</v>
      </c>
      <c r="ZZ122" s="9" t="n">
        <v>0</v>
      </c>
      <c r="AAD122" s="10" t="n">
        <v>46123</v>
      </c>
      <c r="AAF122" s="9" t="n">
        <v>0</v>
      </c>
      <c r="AAH122" s="9" t="n">
        <v>0</v>
      </c>
      <c r="AAI122" s="9" t="n">
        <v>0</v>
      </c>
      <c r="AAM122" s="10" t="n">
        <v>46123</v>
      </c>
      <c r="AAO122" s="9" t="n">
        <v>0</v>
      </c>
      <c r="AAQ122" s="9" t="n">
        <v>0</v>
      </c>
      <c r="AAR122" s="9" t="n">
        <v>0</v>
      </c>
      <c r="AAV122" s="10" t="n">
        <v>46123</v>
      </c>
      <c r="AAX122" s="9" t="n">
        <v>0</v>
      </c>
      <c r="AAZ122" s="9" t="n">
        <v>0</v>
      </c>
      <c r="ABA122" s="9" t="n">
        <v>0</v>
      </c>
      <c r="ABE122" s="10" t="n">
        <v>46123</v>
      </c>
      <c r="ABG122" s="9" t="n">
        <v>0</v>
      </c>
      <c r="ABI122" s="9" t="n">
        <v>0</v>
      </c>
      <c r="ABJ122" s="9" t="n">
        <v>0</v>
      </c>
    </row>
    <row r="123">
      <c r="C123" s="10" t="n">
        <v>46124</v>
      </c>
      <c r="E123" s="9" t="n">
        <v>0</v>
      </c>
      <c r="G123" s="9" t="n">
        <v>0</v>
      </c>
      <c r="H123" s="9" t="n">
        <v>186334.6</v>
      </c>
      <c r="L123" s="10" t="n">
        <v>46124</v>
      </c>
      <c r="N123" s="9" t="n">
        <v>0</v>
      </c>
      <c r="P123" s="9" t="n">
        <v>0</v>
      </c>
      <c r="Q123" s="9" t="n">
        <v>71899.2000000001</v>
      </c>
      <c r="U123" s="10" t="n">
        <v>46124</v>
      </c>
      <c r="W123" s="9" t="n">
        <v>0</v>
      </c>
      <c r="Y123" s="9" t="n">
        <v>0</v>
      </c>
      <c r="Z123" s="9" t="n">
        <v>40829.69999999997</v>
      </c>
      <c r="AD123" s="10" t="n">
        <v>46124</v>
      </c>
      <c r="AF123" s="9" t="n">
        <v>0</v>
      </c>
      <c r="AH123" s="9" t="n">
        <v>0</v>
      </c>
      <c r="AI123" s="9" t="n">
        <v>43541.80000000002</v>
      </c>
      <c r="AM123" s="10" t="n">
        <v>46124</v>
      </c>
      <c r="AO123" s="9" t="n">
        <v>0</v>
      </c>
      <c r="AQ123" s="9" t="n">
        <v>0</v>
      </c>
      <c r="AR123" s="9" t="n">
        <v>0</v>
      </c>
      <c r="AV123" s="10" t="n">
        <v>46124</v>
      </c>
      <c r="AX123" s="9" t="n">
        <v>0</v>
      </c>
      <c r="AZ123" s="9" t="n">
        <v>0</v>
      </c>
      <c r="BA123" s="9" t="n">
        <v>13617.69999999999</v>
      </c>
      <c r="BE123" s="10" t="n">
        <v>46124</v>
      </c>
      <c r="BG123" s="9" t="n">
        <v>0</v>
      </c>
      <c r="BI123" s="9" t="n">
        <v>0</v>
      </c>
      <c r="BJ123" s="9" t="n">
        <v>13983.4</v>
      </c>
      <c r="BN123" s="10" t="n">
        <v>46124</v>
      </c>
      <c r="BP123" s="9" t="n">
        <v>0</v>
      </c>
      <c r="BR123" s="9" t="n">
        <v>0</v>
      </c>
      <c r="BS123" s="9" t="n">
        <v>0</v>
      </c>
      <c r="BW123" s="10" t="n">
        <v>46124</v>
      </c>
      <c r="BY123" s="9" t="n">
        <v>0</v>
      </c>
      <c r="CA123" s="9" t="n">
        <v>0</v>
      </c>
      <c r="CB123" s="9" t="n">
        <v>8228.799999999999</v>
      </c>
      <c r="CF123" s="10" t="n">
        <v>46124</v>
      </c>
      <c r="CH123" s="9" t="n">
        <v>0</v>
      </c>
      <c r="CJ123" s="9" t="n">
        <v>0</v>
      </c>
      <c r="CK123" s="9" t="n">
        <v>0</v>
      </c>
      <c r="CO123" s="10" t="n">
        <v>46124</v>
      </c>
      <c r="CQ123" s="9" t="n">
        <v>0</v>
      </c>
      <c r="CS123" s="9" t="n">
        <v>0</v>
      </c>
      <c r="CT123" s="9" t="n">
        <v>0</v>
      </c>
      <c r="CX123" s="10" t="n">
        <v>46124</v>
      </c>
      <c r="CZ123" s="9" t="n">
        <v>0</v>
      </c>
      <c r="DB123" s="9" t="n">
        <v>0</v>
      </c>
      <c r="DC123" s="9" t="n">
        <v>26858.10000000001</v>
      </c>
      <c r="DG123" s="10" t="n">
        <v>46124</v>
      </c>
      <c r="DI123" s="9" t="n">
        <v>0</v>
      </c>
      <c r="DK123" s="9" t="n">
        <v>0</v>
      </c>
      <c r="DL123" s="9" t="n">
        <v>24541.59999999999</v>
      </c>
      <c r="DP123" s="10" t="n">
        <v>46124</v>
      </c>
      <c r="DR123" s="9" t="n">
        <v>0</v>
      </c>
      <c r="DT123" s="9" t="n">
        <v>0</v>
      </c>
      <c r="DU123" s="9" t="n">
        <v>7050</v>
      </c>
      <c r="DY123" s="10" t="n">
        <v>46124</v>
      </c>
      <c r="EA123" s="9" t="n">
        <v>0</v>
      </c>
      <c r="EC123" s="9" t="n">
        <v>0</v>
      </c>
      <c r="ED123" s="9" t="n">
        <v>147.3000000000002</v>
      </c>
      <c r="EH123" s="10" t="n">
        <v>46124</v>
      </c>
      <c r="EJ123" s="9" t="n">
        <v>0</v>
      </c>
      <c r="EL123" s="9" t="n">
        <v>0</v>
      </c>
      <c r="EM123" s="9" t="n">
        <v>0</v>
      </c>
      <c r="EQ123" s="10" t="n">
        <v>46124</v>
      </c>
      <c r="ES123" s="9" t="n">
        <v>0</v>
      </c>
      <c r="EU123" s="9" t="n">
        <v>0</v>
      </c>
      <c r="EV123" s="9" t="n">
        <v>0</v>
      </c>
      <c r="EZ123" s="10" t="n">
        <v>46124</v>
      </c>
      <c r="FB123" s="9" t="n">
        <v>0</v>
      </c>
      <c r="FD123" s="9" t="n">
        <v>0</v>
      </c>
      <c r="FE123" s="9" t="n">
        <v>0</v>
      </c>
      <c r="FI123" s="10" t="n">
        <v>46124</v>
      </c>
      <c r="FK123" s="9" t="n">
        <v>0</v>
      </c>
      <c r="FM123" s="9" t="n">
        <v>0</v>
      </c>
      <c r="FN123" s="9" t="n">
        <v>0</v>
      </c>
      <c r="FR123" s="10" t="n">
        <v>46124</v>
      </c>
      <c r="FT123" s="9" t="n">
        <v>0</v>
      </c>
      <c r="FV123" s="9" t="n">
        <v>0</v>
      </c>
      <c r="FW123" s="9" t="n">
        <v>140</v>
      </c>
      <c r="GA123" s="10" t="n">
        <v>46124</v>
      </c>
      <c r="GC123" s="9" t="n">
        <v>0</v>
      </c>
      <c r="GE123" s="9" t="n">
        <v>0</v>
      </c>
      <c r="GF123" s="9" t="n">
        <v>6000</v>
      </c>
      <c r="GJ123" s="10" t="n">
        <v>46124</v>
      </c>
      <c r="GL123" s="9" t="n">
        <v>0</v>
      </c>
      <c r="GN123" s="9" t="n">
        <v>0</v>
      </c>
      <c r="GO123" s="9" t="n">
        <v>4800</v>
      </c>
      <c r="GS123" s="10" t="n">
        <v>46124</v>
      </c>
      <c r="GU123" s="9" t="n">
        <v>0</v>
      </c>
      <c r="GW123" s="9" t="n">
        <v>0</v>
      </c>
      <c r="GX123" s="9" t="n">
        <v>0</v>
      </c>
      <c r="HB123" s="10" t="n">
        <v>46124</v>
      </c>
      <c r="HD123" s="9" t="n">
        <v>0</v>
      </c>
      <c r="HF123" s="9" t="n">
        <v>0</v>
      </c>
      <c r="HG123" s="9" t="n">
        <v>0</v>
      </c>
      <c r="HK123" s="10" t="n">
        <v>46124</v>
      </c>
      <c r="HM123" s="9" t="n">
        <v>0</v>
      </c>
      <c r="HO123" s="9" t="n">
        <v>0</v>
      </c>
      <c r="HP123" s="9" t="n">
        <v>0</v>
      </c>
      <c r="HU123" s="10" t="n">
        <v>46124</v>
      </c>
      <c r="HW123" s="9" t="n">
        <v>0</v>
      </c>
      <c r="HY123" s="9" t="n">
        <v>0</v>
      </c>
      <c r="HZ123" s="9" t="n">
        <v>5120</v>
      </c>
      <c r="ID123" s="10" t="n">
        <v>46124</v>
      </c>
      <c r="IF123" s="9" t="n">
        <v>0</v>
      </c>
      <c r="IH123" s="9" t="n">
        <v>0</v>
      </c>
      <c r="II123" s="9" t="n">
        <v>6540</v>
      </c>
      <c r="IM123" s="10" t="n">
        <v>46124</v>
      </c>
      <c r="IO123" s="9" t="n">
        <v>0</v>
      </c>
      <c r="IQ123" s="9" t="n">
        <v>0</v>
      </c>
      <c r="IR123" s="9" t="n">
        <v>11540</v>
      </c>
      <c r="IV123" s="10" t="n">
        <v>46124</v>
      </c>
      <c r="IX123" s="9" t="n">
        <v>0</v>
      </c>
      <c r="IZ123" s="9" t="n">
        <v>0</v>
      </c>
      <c r="JA123" s="9" t="n">
        <v>15120</v>
      </c>
      <c r="JE123" s="10" t="n">
        <v>46124</v>
      </c>
      <c r="JG123" s="9" t="n">
        <v>0</v>
      </c>
      <c r="JI123" s="9" t="n">
        <v>0</v>
      </c>
      <c r="JJ123" s="9" t="n">
        <v>5040</v>
      </c>
      <c r="JN123" s="10" t="n">
        <v>46124</v>
      </c>
      <c r="JP123" s="9" t="n">
        <v>0</v>
      </c>
      <c r="JR123" s="9" t="n">
        <v>0</v>
      </c>
      <c r="JS123" s="9" t="n">
        <v>9100</v>
      </c>
      <c r="JW123" s="10" t="n">
        <v>46124</v>
      </c>
      <c r="JY123" s="9" t="n">
        <v>0</v>
      </c>
      <c r="KA123" s="9" t="n">
        <v>0</v>
      </c>
      <c r="KB123" s="9" t="n">
        <v>2940</v>
      </c>
      <c r="KF123" s="10" t="n">
        <v>46124</v>
      </c>
      <c r="KH123" s="9" t="n">
        <v>0</v>
      </c>
      <c r="KJ123" s="9" t="n">
        <v>0</v>
      </c>
      <c r="KK123" s="9" t="n">
        <v>1579.5</v>
      </c>
      <c r="KO123" s="10" t="n">
        <v>46124</v>
      </c>
      <c r="KQ123" s="9" t="n">
        <v>0</v>
      </c>
      <c r="KS123" s="9" t="n">
        <v>0</v>
      </c>
      <c r="KT123" s="9" t="n">
        <v>5216.4</v>
      </c>
      <c r="KX123" s="10" t="n">
        <v>46124</v>
      </c>
      <c r="KZ123" s="9" t="n">
        <v>0</v>
      </c>
      <c r="LB123" s="9" t="n">
        <v>0</v>
      </c>
      <c r="LC123" s="9" t="n">
        <v>0</v>
      </c>
      <c r="LG123" s="10" t="n">
        <v>46124</v>
      </c>
      <c r="LI123" s="9" t="n">
        <v>0</v>
      </c>
      <c r="LK123" s="9" t="n">
        <v>0</v>
      </c>
      <c r="LL123" s="9" t="n">
        <v>0</v>
      </c>
      <c r="LP123" s="10" t="n">
        <v>46124</v>
      </c>
      <c r="LR123" s="9" t="n">
        <v>0</v>
      </c>
      <c r="LT123" s="9" t="n">
        <v>0</v>
      </c>
      <c r="LU123" s="9" t="n">
        <v>0</v>
      </c>
      <c r="LY123" s="10" t="n">
        <v>46124</v>
      </c>
      <c r="MA123" s="9" t="n">
        <v>0</v>
      </c>
      <c r="MC123" s="9" t="n">
        <v>0</v>
      </c>
      <c r="MD123" s="9" t="n">
        <v>0</v>
      </c>
      <c r="MH123" s="10" t="n">
        <v>46124</v>
      </c>
      <c r="MJ123" s="9" t="n">
        <v>0</v>
      </c>
      <c r="ML123" s="9" t="n">
        <v>0</v>
      </c>
      <c r="MM123" s="9" t="n">
        <v>0</v>
      </c>
      <c r="MQ123" s="10" t="n">
        <v>46124</v>
      </c>
      <c r="MS123" s="9" t="n">
        <v>0</v>
      </c>
      <c r="MU123" s="9" t="n">
        <v>0</v>
      </c>
      <c r="MV123" s="9" t="n">
        <v>4149</v>
      </c>
      <c r="MZ123" s="10" t="n">
        <v>46124</v>
      </c>
      <c r="NB123" s="9" t="n">
        <v>0</v>
      </c>
      <c r="ND123" s="9" t="n">
        <v>0</v>
      </c>
      <c r="NE123" s="9" t="n">
        <v>0</v>
      </c>
      <c r="NI123" s="10" t="n">
        <v>46124</v>
      </c>
      <c r="NK123" s="9" t="n">
        <v>0</v>
      </c>
      <c r="NM123" s="9" t="n">
        <v>0</v>
      </c>
      <c r="NN123" s="9" t="n">
        <v>1523</v>
      </c>
      <c r="NR123" s="10" t="n">
        <v>46124</v>
      </c>
      <c r="NT123" s="9" t="n">
        <v>0</v>
      </c>
      <c r="NV123" s="9" t="n">
        <v>0</v>
      </c>
      <c r="NW123" s="9" t="n">
        <v>3566.1</v>
      </c>
      <c r="OA123" s="10" t="n">
        <v>46124</v>
      </c>
      <c r="OC123" s="9" t="n">
        <v>0</v>
      </c>
      <c r="OE123" s="9" t="n">
        <v>0</v>
      </c>
      <c r="OF123" s="9" t="n">
        <v>1680.5</v>
      </c>
      <c r="OJ123" s="10" t="n">
        <v>46124</v>
      </c>
      <c r="OL123" s="9" t="n">
        <v>0</v>
      </c>
      <c r="ON123" s="9" t="n">
        <v>0</v>
      </c>
      <c r="OO123" s="9" t="n">
        <v>0</v>
      </c>
      <c r="OS123" s="10" t="n">
        <v>46124</v>
      </c>
      <c r="OU123" s="9" t="n">
        <v>0</v>
      </c>
      <c r="OW123" s="9" t="n">
        <v>0</v>
      </c>
      <c r="OX123" s="9" t="n">
        <v>1000</v>
      </c>
      <c r="PB123" s="10" t="n">
        <v>46124</v>
      </c>
      <c r="PD123" s="9" t="n">
        <v>0</v>
      </c>
      <c r="PF123" s="9" t="n">
        <v>0</v>
      </c>
      <c r="PG123" s="9" t="n">
        <v>0</v>
      </c>
      <c r="PK123" s="10" t="n">
        <v>46124</v>
      </c>
      <c r="PM123" s="9" t="n">
        <v>0</v>
      </c>
      <c r="PO123" s="9" t="n">
        <v>0</v>
      </c>
      <c r="PP123" s="9" t="n">
        <v>100</v>
      </c>
      <c r="PT123" s="10" t="n">
        <v>46124</v>
      </c>
      <c r="PV123" s="9" t="n">
        <v>0</v>
      </c>
      <c r="PX123" s="9" t="n">
        <v>0</v>
      </c>
      <c r="PY123" s="9" t="n">
        <v>13.96000000000004</v>
      </c>
      <c r="QC123" s="10" t="n">
        <v>46124</v>
      </c>
      <c r="QE123" s="9" t="n">
        <v>0</v>
      </c>
      <c r="QG123" s="9" t="n">
        <v>0</v>
      </c>
      <c r="QH123" s="9" t="n">
        <v>1212</v>
      </c>
      <c r="QL123" s="10" t="n">
        <v>46124</v>
      </c>
      <c r="QN123" s="9" t="n">
        <v>0</v>
      </c>
      <c r="QP123" s="9" t="n">
        <v>0</v>
      </c>
      <c r="QQ123" s="9" t="n">
        <v>400</v>
      </c>
      <c r="QU123" s="10" t="n">
        <v>46124</v>
      </c>
      <c r="QW123" s="9" t="n">
        <v>0</v>
      </c>
      <c r="QY123" s="9" t="n">
        <v>0</v>
      </c>
      <c r="QZ123" s="9" t="n">
        <v>207.6</v>
      </c>
      <c r="RD123" s="10" t="n">
        <v>46124</v>
      </c>
      <c r="RF123" s="9" t="n">
        <v>0</v>
      </c>
      <c r="RH123" s="9" t="n">
        <v>0</v>
      </c>
      <c r="RI123" s="9" t="n">
        <v>197.04</v>
      </c>
      <c r="RM123" s="10" t="n">
        <v>46124</v>
      </c>
      <c r="RO123" s="9" t="n">
        <v>0</v>
      </c>
      <c r="RQ123" s="9" t="n">
        <v>0</v>
      </c>
      <c r="RR123" s="9" t="n">
        <v>46.8</v>
      </c>
      <c r="RV123" s="10" t="n">
        <v>46124</v>
      </c>
      <c r="RX123" s="9" t="n">
        <v>0</v>
      </c>
      <c r="RZ123" s="9" t="n">
        <v>0</v>
      </c>
      <c r="SA123" s="9" t="n">
        <v>0</v>
      </c>
      <c r="SE123" s="10" t="n">
        <v>46124</v>
      </c>
      <c r="SG123" s="9" t="n">
        <v>0</v>
      </c>
      <c r="SI123" s="9" t="n">
        <v>0</v>
      </c>
      <c r="SJ123" s="9" t="n">
        <v>0</v>
      </c>
      <c r="SN123" s="10" t="n">
        <v>46124</v>
      </c>
      <c r="SP123" s="9" t="n">
        <v>0</v>
      </c>
      <c r="SR123" s="9" t="n">
        <v>0</v>
      </c>
      <c r="SS123" s="9" t="n">
        <v>0</v>
      </c>
      <c r="SW123" s="10" t="n">
        <v>46124</v>
      </c>
      <c r="SY123" s="9" t="n">
        <v>0</v>
      </c>
      <c r="TA123" s="9" t="n">
        <v>0</v>
      </c>
      <c r="TB123" s="9" t="n">
        <v>0</v>
      </c>
      <c r="TF123" s="10" t="n">
        <v>46124</v>
      </c>
      <c r="TH123" s="9" t="n">
        <v>0</v>
      </c>
      <c r="TJ123" s="9" t="n">
        <v>0</v>
      </c>
      <c r="TK123" s="9" t="n">
        <v>0</v>
      </c>
      <c r="TO123" s="10" t="n">
        <v>46124</v>
      </c>
      <c r="TQ123" s="9" t="n">
        <v>0</v>
      </c>
      <c r="TS123" s="9" t="n">
        <v>0</v>
      </c>
      <c r="TT123" s="9" t="n">
        <v>0</v>
      </c>
      <c r="TX123" s="10" t="n">
        <v>46124</v>
      </c>
      <c r="TZ123" s="9" t="n">
        <v>0</v>
      </c>
      <c r="UB123" s="9" t="n">
        <v>0</v>
      </c>
      <c r="UC123" s="9" t="n">
        <v>0</v>
      </c>
      <c r="UG123" s="10" t="n">
        <v>46124</v>
      </c>
      <c r="UI123" s="9" t="n">
        <v>0</v>
      </c>
      <c r="UK123" s="9" t="n">
        <v>0</v>
      </c>
      <c r="UL123" s="9" t="n">
        <v>0</v>
      </c>
      <c r="UP123" s="10" t="n">
        <v>46124</v>
      </c>
      <c r="UR123" s="9" t="n">
        <v>0</v>
      </c>
      <c r="UT123" s="9" t="n">
        <v>0</v>
      </c>
      <c r="UU123" s="9" t="n">
        <v>0</v>
      </c>
      <c r="UY123" s="10" t="n">
        <v>46124</v>
      </c>
      <c r="VA123" s="9" t="n">
        <v>0</v>
      </c>
      <c r="VC123" s="9" t="n">
        <v>0</v>
      </c>
      <c r="VD123" s="9" t="n">
        <v>41.60000000000002</v>
      </c>
      <c r="VH123" s="10" t="n">
        <v>46124</v>
      </c>
      <c r="VJ123" s="9" t="n">
        <v>0</v>
      </c>
      <c r="VL123" s="9" t="n">
        <v>0</v>
      </c>
      <c r="VM123" s="9" t="n">
        <v>0</v>
      </c>
      <c r="VQ123" s="10" t="n">
        <v>46124</v>
      </c>
      <c r="VS123" s="9" t="n">
        <v>0</v>
      </c>
      <c r="VU123" s="9" t="n">
        <v>0</v>
      </c>
      <c r="VV123" s="9" t="n">
        <v>0</v>
      </c>
      <c r="VZ123" s="10" t="n">
        <v>46124</v>
      </c>
      <c r="WB123" s="9" t="n">
        <v>0</v>
      </c>
      <c r="WD123" s="9" t="n">
        <v>0</v>
      </c>
      <c r="WE123" s="9" t="n">
        <v>0</v>
      </c>
      <c r="WI123" s="10" t="n">
        <v>46124</v>
      </c>
      <c r="WK123" s="9" t="n">
        <v>0</v>
      </c>
      <c r="WM123" s="9" t="n">
        <v>0</v>
      </c>
      <c r="WN123" s="9" t="n">
        <v>2317</v>
      </c>
      <c r="WR123" s="10" t="n">
        <v>46124</v>
      </c>
      <c r="WT123" s="9" t="n">
        <v>0</v>
      </c>
      <c r="WV123" s="9" t="n">
        <v>0</v>
      </c>
      <c r="WW123" s="9" t="n">
        <v>6980</v>
      </c>
      <c r="XA123" s="10" t="n">
        <v>46124</v>
      </c>
      <c r="XC123" s="9" t="n">
        <v>0</v>
      </c>
      <c r="XE123" s="9" t="n">
        <v>0</v>
      </c>
      <c r="XF123" s="9" t="n">
        <v>14868</v>
      </c>
      <c r="XJ123" s="10" t="n">
        <v>46124</v>
      </c>
      <c r="XL123" s="9" t="n">
        <v>0</v>
      </c>
      <c r="XN123" s="9" t="n">
        <v>0</v>
      </c>
      <c r="XO123" s="9" t="n">
        <v>5447</v>
      </c>
      <c r="XS123" s="10" t="n">
        <v>46124</v>
      </c>
      <c r="XU123" s="9" t="n">
        <v>0</v>
      </c>
      <c r="XW123" s="9" t="n">
        <v>0</v>
      </c>
      <c r="XX123" s="9" t="n">
        <v>1901</v>
      </c>
      <c r="YB123" s="10" t="n">
        <v>46124</v>
      </c>
      <c r="YD123" s="9" t="n">
        <v>0</v>
      </c>
      <c r="YF123" s="9" t="n">
        <v>0</v>
      </c>
      <c r="YG123" s="9" t="n">
        <v>6459</v>
      </c>
      <c r="YK123" s="10" t="n">
        <v>46124</v>
      </c>
      <c r="YM123" s="9" t="n">
        <v>0</v>
      </c>
      <c r="YO123" s="9" t="n">
        <v>0</v>
      </c>
      <c r="YP123" s="9" t="n">
        <v>0</v>
      </c>
      <c r="YT123" s="10" t="n">
        <v>46124</v>
      </c>
      <c r="YV123" s="9" t="n">
        <v>0</v>
      </c>
      <c r="YX123" s="9" t="n">
        <v>0</v>
      </c>
      <c r="YY123" s="9" t="n">
        <v>0</v>
      </c>
      <c r="ZC123" s="10" t="n">
        <v>46124</v>
      </c>
      <c r="ZE123" s="9" t="n">
        <v>0</v>
      </c>
      <c r="ZG123" s="9" t="n">
        <v>0</v>
      </c>
      <c r="ZH123" s="9" t="n">
        <v>0</v>
      </c>
      <c r="ZL123" s="10" t="n">
        <v>46124</v>
      </c>
      <c r="ZN123" s="9" t="n">
        <v>0</v>
      </c>
      <c r="ZP123" s="9" t="n">
        <v>0</v>
      </c>
      <c r="ZQ123" s="9" t="n">
        <v>0</v>
      </c>
      <c r="ZU123" s="10" t="n">
        <v>46124</v>
      </c>
      <c r="ZW123" s="9" t="n">
        <v>0</v>
      </c>
      <c r="ZY123" s="9" t="n">
        <v>0</v>
      </c>
      <c r="ZZ123" s="9" t="n">
        <v>0</v>
      </c>
      <c r="AAD123" s="10" t="n">
        <v>46124</v>
      </c>
      <c r="AAF123" s="9" t="n">
        <v>0</v>
      </c>
      <c r="AAH123" s="9" t="n">
        <v>0</v>
      </c>
      <c r="AAI123" s="9" t="n">
        <v>0</v>
      </c>
      <c r="AAM123" s="10" t="n">
        <v>46124</v>
      </c>
      <c r="AAO123" s="9" t="n">
        <v>0</v>
      </c>
      <c r="AAQ123" s="9" t="n">
        <v>0</v>
      </c>
      <c r="AAR123" s="9" t="n">
        <v>0</v>
      </c>
      <c r="AAV123" s="10" t="n">
        <v>46124</v>
      </c>
      <c r="AAX123" s="9" t="n">
        <v>0</v>
      </c>
      <c r="AAZ123" s="9" t="n">
        <v>0</v>
      </c>
      <c r="ABA123" s="9" t="n">
        <v>0</v>
      </c>
      <c r="ABE123" s="10" t="n">
        <v>46124</v>
      </c>
      <c r="ABG123" s="9" t="n">
        <v>0</v>
      </c>
      <c r="ABI123" s="9" t="n">
        <v>0</v>
      </c>
      <c r="ABJ123" s="9" t="n">
        <v>0</v>
      </c>
    </row>
    <row r="124">
      <c r="B124" s="9" t="n">
        <v>30</v>
      </c>
      <c r="C124" s="10" t="n">
        <v>46125</v>
      </c>
      <c r="D124" s="9" t="n">
        <v>18420</v>
      </c>
      <c r="E124" s="9" t="n">
        <v>15070.5</v>
      </c>
      <c r="F124" s="9" t="n">
        <v>15071.4</v>
      </c>
      <c r="G124" s="9" t="n">
        <v>-0.9000000000014552</v>
      </c>
      <c r="H124" s="9" t="n">
        <v>189683.2</v>
      </c>
      <c r="I124" s="9" t="inlineStr">
        <is>
          <t>122 30mt</t>
        </is>
      </c>
      <c r="L124" s="10" t="n">
        <v>46125</v>
      </c>
      <c r="M124" s="9" t="n">
        <v>29520</v>
      </c>
      <c r="N124" s="9" t="n">
        <v>6150</v>
      </c>
      <c r="O124" s="9" t="n">
        <v>6153.4</v>
      </c>
      <c r="P124" s="9" t="n">
        <v>-3.399999999999636</v>
      </c>
      <c r="Q124" s="9" t="n">
        <v>95265.8000000001</v>
      </c>
      <c r="U124" s="10" t="n">
        <v>46125</v>
      </c>
      <c r="W124" s="9" t="n">
        <v>2505</v>
      </c>
      <c r="X124" s="9" t="n">
        <v>2506.2</v>
      </c>
      <c r="Y124" s="9" t="n">
        <v>-1.200000000000273</v>
      </c>
      <c r="Z124" s="9" t="n">
        <v>38323.49999999997</v>
      </c>
      <c r="AD124" s="10" t="n">
        <v>46125</v>
      </c>
      <c r="AF124" s="9" t="n">
        <v>390.0000000000001</v>
      </c>
      <c r="AG124" s="9" t="n">
        <v>390.8</v>
      </c>
      <c r="AH124" s="9" t="n">
        <v>-0.7999999999999545</v>
      </c>
      <c r="AI124" s="9" t="n">
        <v>43151.00000000001</v>
      </c>
      <c r="AM124" s="10" t="n">
        <v>46125</v>
      </c>
      <c r="AO124" s="9" t="n">
        <v>0</v>
      </c>
      <c r="AQ124" s="9" t="n">
        <v>0</v>
      </c>
      <c r="AR124" s="9" t="n">
        <v>0</v>
      </c>
      <c r="AV124" s="10" t="n">
        <v>46125</v>
      </c>
      <c r="AX124" s="9" t="n">
        <v>0</v>
      </c>
      <c r="AZ124" s="9" t="n">
        <v>0</v>
      </c>
      <c r="BA124" s="9" t="n">
        <v>13617.69999999999</v>
      </c>
      <c r="BE124" s="10" t="n">
        <v>46125</v>
      </c>
      <c r="BG124" s="9" t="n">
        <v>1260</v>
      </c>
      <c r="BH124" s="9" t="n">
        <v>1260.4</v>
      </c>
      <c r="BI124" s="9" t="n">
        <v>-0.4000000000000909</v>
      </c>
      <c r="BJ124" s="9" t="n">
        <v>12723</v>
      </c>
      <c r="BN124" s="10" t="n">
        <v>46125</v>
      </c>
      <c r="BO124" s="9" t="n">
        <v>600</v>
      </c>
      <c r="BP124" s="9" t="n">
        <v>600</v>
      </c>
      <c r="BQ124" s="9" t="n">
        <v>600</v>
      </c>
      <c r="BR124" s="9" t="n">
        <v>0</v>
      </c>
      <c r="BS124" s="9" t="n">
        <v>0</v>
      </c>
      <c r="BW124" s="10" t="n">
        <v>46125</v>
      </c>
      <c r="BY124" s="9" t="n">
        <v>199.5</v>
      </c>
      <c r="CA124" s="9" t="n">
        <v>199.5</v>
      </c>
      <c r="CB124" s="9" t="n">
        <v>8228.799999999999</v>
      </c>
      <c r="CF124" s="10" t="n">
        <v>46125</v>
      </c>
      <c r="CH124" s="9" t="n">
        <v>300</v>
      </c>
      <c r="CJ124" s="9" t="n">
        <v>300</v>
      </c>
      <c r="CK124" s="9" t="n">
        <v>0</v>
      </c>
      <c r="CO124" s="10" t="n">
        <v>46125</v>
      </c>
      <c r="CQ124" s="9" t="n">
        <v>0</v>
      </c>
      <c r="CS124" s="9" t="n">
        <v>0</v>
      </c>
      <c r="CT124" s="9" t="n">
        <v>0</v>
      </c>
      <c r="CX124" s="10" t="n">
        <v>46125</v>
      </c>
      <c r="CZ124" s="9" t="n">
        <v>1500</v>
      </c>
      <c r="DA124" s="9" t="n">
        <v>1499.9</v>
      </c>
      <c r="DB124" s="9" t="n">
        <v>0.09999999999990905</v>
      </c>
      <c r="DC124" s="9" t="n">
        <v>25358.2</v>
      </c>
      <c r="DG124" s="10" t="n">
        <v>46125</v>
      </c>
      <c r="DI124" s="9" t="n">
        <v>1200</v>
      </c>
      <c r="DJ124" s="9" t="n">
        <v>1200.4</v>
      </c>
      <c r="DK124" s="9" t="n">
        <v>-0.4000000000000909</v>
      </c>
      <c r="DL124" s="9" t="n">
        <v>23341.19999999999</v>
      </c>
      <c r="DP124" s="10" t="n">
        <v>46125</v>
      </c>
      <c r="DR124" s="9" t="n">
        <v>0</v>
      </c>
      <c r="DT124" s="9" t="n">
        <v>0</v>
      </c>
      <c r="DU124" s="9" t="n">
        <v>7050</v>
      </c>
      <c r="DY124" s="10" t="n">
        <v>46125</v>
      </c>
      <c r="EA124" s="9" t="n">
        <v>0</v>
      </c>
      <c r="EC124" s="9" t="n">
        <v>0</v>
      </c>
      <c r="ED124" s="9" t="n">
        <v>147.3000000000002</v>
      </c>
      <c r="EH124" s="10" t="n">
        <v>46125</v>
      </c>
      <c r="EJ124" s="9" t="n">
        <v>0</v>
      </c>
      <c r="EL124" s="9" t="n">
        <v>0</v>
      </c>
      <c r="EM124" s="9" t="n">
        <v>0</v>
      </c>
      <c r="EQ124" s="10" t="n">
        <v>46125</v>
      </c>
      <c r="ES124" s="9" t="n">
        <v>0</v>
      </c>
      <c r="EU124" s="9" t="n">
        <v>0</v>
      </c>
      <c r="EV124" s="9" t="n">
        <v>0</v>
      </c>
      <c r="EZ124" s="10" t="n">
        <v>46125</v>
      </c>
      <c r="FB124" s="9" t="n">
        <v>0</v>
      </c>
      <c r="FD124" s="9" t="n">
        <v>0</v>
      </c>
      <c r="FE124" s="9" t="n">
        <v>0</v>
      </c>
      <c r="FI124" s="10" t="n">
        <v>46125</v>
      </c>
      <c r="FK124" s="9" t="n">
        <v>0</v>
      </c>
      <c r="FM124" s="9" t="n">
        <v>0</v>
      </c>
      <c r="FN124" s="9" t="n">
        <v>0</v>
      </c>
      <c r="FR124" s="10" t="n">
        <v>46125</v>
      </c>
      <c r="FT124" s="9" t="n">
        <v>0</v>
      </c>
      <c r="FV124" s="9" t="n">
        <v>0</v>
      </c>
      <c r="FW124" s="9" t="n">
        <v>140</v>
      </c>
      <c r="GA124" s="10" t="n">
        <v>46125</v>
      </c>
      <c r="GC124" s="9" t="n">
        <v>0</v>
      </c>
      <c r="GE124" s="9" t="n">
        <v>0</v>
      </c>
      <c r="GF124" s="9" t="n">
        <v>6000</v>
      </c>
      <c r="GJ124" s="10" t="n">
        <v>46125</v>
      </c>
      <c r="GL124" s="9" t="n">
        <v>0</v>
      </c>
      <c r="GN124" s="9" t="n">
        <v>0</v>
      </c>
      <c r="GO124" s="9" t="n">
        <v>4800</v>
      </c>
      <c r="GS124" s="10" t="n">
        <v>46125</v>
      </c>
      <c r="GU124" s="9" t="n">
        <v>0</v>
      </c>
      <c r="GW124" s="9" t="n">
        <v>0</v>
      </c>
      <c r="GX124" s="9" t="n">
        <v>0</v>
      </c>
      <c r="HB124" s="10" t="n">
        <v>46125</v>
      </c>
      <c r="HD124" s="9" t="n">
        <v>0</v>
      </c>
      <c r="HF124" s="9" t="n">
        <v>0</v>
      </c>
      <c r="HG124" s="9" t="n">
        <v>0</v>
      </c>
      <c r="HK124" s="10" t="n">
        <v>46125</v>
      </c>
      <c r="HM124" s="9" t="n">
        <v>0</v>
      </c>
      <c r="HO124" s="9" t="n">
        <v>0</v>
      </c>
      <c r="HP124" s="9" t="n">
        <v>0</v>
      </c>
      <c r="HU124" s="10" t="n">
        <v>46125</v>
      </c>
      <c r="HW124" s="9" t="n">
        <v>0</v>
      </c>
      <c r="HY124" s="9" t="n">
        <v>0</v>
      </c>
      <c r="HZ124" s="9" t="n">
        <v>5120</v>
      </c>
      <c r="ID124" s="10" t="n">
        <v>46125</v>
      </c>
      <c r="IF124" s="9" t="n">
        <v>0</v>
      </c>
      <c r="IH124" s="9" t="n">
        <v>0</v>
      </c>
      <c r="II124" s="9" t="n">
        <v>6540</v>
      </c>
      <c r="IM124" s="10" t="n">
        <v>46125</v>
      </c>
      <c r="IO124" s="9" t="n">
        <v>0</v>
      </c>
      <c r="IQ124" s="9" t="n">
        <v>0</v>
      </c>
      <c r="IR124" s="9" t="n">
        <v>11540</v>
      </c>
      <c r="IV124" s="10" t="n">
        <v>46125</v>
      </c>
      <c r="IX124" s="9" t="n">
        <v>0</v>
      </c>
      <c r="IZ124" s="9" t="n">
        <v>0</v>
      </c>
      <c r="JA124" s="9" t="n">
        <v>15120</v>
      </c>
      <c r="JE124" s="10" t="n">
        <v>46125</v>
      </c>
      <c r="JG124" s="9" t="n">
        <v>0</v>
      </c>
      <c r="JI124" s="9" t="n">
        <v>0</v>
      </c>
      <c r="JJ124" s="9" t="n">
        <v>5040</v>
      </c>
      <c r="JN124" s="10" t="n">
        <v>46125</v>
      </c>
      <c r="JP124" s="9" t="n">
        <v>0</v>
      </c>
      <c r="JR124" s="9" t="n">
        <v>0</v>
      </c>
      <c r="JS124" s="9" t="n">
        <v>9100</v>
      </c>
      <c r="JW124" s="10" t="n">
        <v>46125</v>
      </c>
      <c r="JY124" s="9" t="n">
        <v>0</v>
      </c>
      <c r="KA124" s="9" t="n">
        <v>0</v>
      </c>
      <c r="KB124" s="9" t="n">
        <v>2940</v>
      </c>
      <c r="KF124" s="10" t="n">
        <v>46125</v>
      </c>
      <c r="KH124" s="9" t="n">
        <v>585</v>
      </c>
      <c r="KJ124" s="9" t="n">
        <v>585</v>
      </c>
      <c r="KK124" s="9" t="n">
        <v>1579.5</v>
      </c>
      <c r="KO124" s="10" t="n">
        <v>46125</v>
      </c>
      <c r="KQ124" s="9" t="n">
        <v>0</v>
      </c>
      <c r="KS124" s="9" t="n">
        <v>0</v>
      </c>
      <c r="KT124" s="9" t="n">
        <v>5216.4</v>
      </c>
      <c r="KX124" s="10" t="n">
        <v>46125</v>
      </c>
      <c r="KZ124" s="9" t="n">
        <v>0</v>
      </c>
      <c r="LB124" s="9" t="n">
        <v>0</v>
      </c>
      <c r="LC124" s="9" t="n">
        <v>0</v>
      </c>
      <c r="LG124" s="10" t="n">
        <v>46125</v>
      </c>
      <c r="LI124" s="9" t="n">
        <v>0</v>
      </c>
      <c r="LK124" s="9" t="n">
        <v>0</v>
      </c>
      <c r="LL124" s="9" t="n">
        <v>0</v>
      </c>
      <c r="LP124" s="10" t="n">
        <v>46125</v>
      </c>
      <c r="LR124" s="9" t="n">
        <v>0</v>
      </c>
      <c r="LT124" s="9" t="n">
        <v>0</v>
      </c>
      <c r="LU124" s="9" t="n">
        <v>0</v>
      </c>
      <c r="LY124" s="10" t="n">
        <v>46125</v>
      </c>
      <c r="MA124" s="9" t="n">
        <v>0</v>
      </c>
      <c r="MC124" s="9" t="n">
        <v>0</v>
      </c>
      <c r="MD124" s="9" t="n">
        <v>0</v>
      </c>
      <c r="MH124" s="10" t="n">
        <v>46125</v>
      </c>
      <c r="MJ124" s="9" t="n">
        <v>0</v>
      </c>
      <c r="ML124" s="9" t="n">
        <v>0</v>
      </c>
      <c r="MM124" s="9" t="n">
        <v>0</v>
      </c>
      <c r="MQ124" s="10" t="n">
        <v>46125</v>
      </c>
      <c r="MS124" s="9" t="n">
        <v>0</v>
      </c>
      <c r="MU124" s="9" t="n">
        <v>0</v>
      </c>
      <c r="MV124" s="9" t="n">
        <v>4149</v>
      </c>
      <c r="MZ124" s="10" t="n">
        <v>46125</v>
      </c>
      <c r="NB124" s="9" t="n">
        <v>90</v>
      </c>
      <c r="ND124" s="9" t="n">
        <v>90</v>
      </c>
      <c r="NE124" s="9" t="n">
        <v>0</v>
      </c>
      <c r="NI124" s="10" t="n">
        <v>46125</v>
      </c>
      <c r="NK124" s="9" t="n">
        <v>30</v>
      </c>
      <c r="NM124" s="9" t="n">
        <v>30</v>
      </c>
      <c r="NN124" s="9" t="n">
        <v>1523</v>
      </c>
      <c r="NR124" s="10" t="n">
        <v>46125</v>
      </c>
      <c r="NT124" s="9" t="n">
        <v>36</v>
      </c>
      <c r="NV124" s="9" t="n">
        <v>36</v>
      </c>
      <c r="NW124" s="9" t="n">
        <v>3566.1</v>
      </c>
      <c r="OA124" s="10" t="n">
        <v>46125</v>
      </c>
      <c r="OC124" s="9" t="n">
        <v>0</v>
      </c>
      <c r="OE124" s="9" t="n">
        <v>0</v>
      </c>
      <c r="OF124" s="9" t="n">
        <v>1680.5</v>
      </c>
      <c r="OJ124" s="10" t="n">
        <v>46125</v>
      </c>
      <c r="OL124" s="9" t="n">
        <v>83.99999999999999</v>
      </c>
      <c r="ON124" s="9" t="n">
        <v>83.99999999999999</v>
      </c>
      <c r="OO124" s="9" t="n">
        <v>0</v>
      </c>
      <c r="OS124" s="10" t="n">
        <v>46125</v>
      </c>
      <c r="OU124" s="9" t="n">
        <v>0</v>
      </c>
      <c r="OW124" s="9" t="n">
        <v>0</v>
      </c>
      <c r="OX124" s="9" t="n">
        <v>1000</v>
      </c>
      <c r="PB124" s="10" t="n">
        <v>46125</v>
      </c>
      <c r="PD124" s="9" t="n">
        <v>0</v>
      </c>
      <c r="PF124" s="9" t="n">
        <v>0</v>
      </c>
      <c r="PG124" s="9" t="n">
        <v>0</v>
      </c>
      <c r="PK124" s="10" t="n">
        <v>46125</v>
      </c>
      <c r="PM124" s="9" t="n">
        <v>0</v>
      </c>
      <c r="PO124" s="9" t="n">
        <v>0</v>
      </c>
      <c r="PP124" s="9" t="n">
        <v>100</v>
      </c>
      <c r="PT124" s="10" t="n">
        <v>46125</v>
      </c>
      <c r="PV124" s="9" t="n">
        <v>0</v>
      </c>
      <c r="PX124" s="9" t="n">
        <v>0</v>
      </c>
      <c r="PY124" s="9" t="n">
        <v>13.96000000000004</v>
      </c>
      <c r="QC124" s="10" t="n">
        <v>46125</v>
      </c>
      <c r="QE124" s="9" t="n">
        <v>0</v>
      </c>
      <c r="QG124" s="9" t="n">
        <v>0</v>
      </c>
      <c r="QH124" s="9" t="n">
        <v>1212</v>
      </c>
      <c r="QL124" s="10" t="n">
        <v>46125</v>
      </c>
      <c r="QN124" s="9" t="n">
        <v>0</v>
      </c>
      <c r="QP124" s="9" t="n">
        <v>0</v>
      </c>
      <c r="QQ124" s="9" t="n">
        <v>400</v>
      </c>
      <c r="QU124" s="10" t="n">
        <v>46125</v>
      </c>
      <c r="QW124" s="9" t="n">
        <v>0</v>
      </c>
      <c r="QY124" s="9" t="n">
        <v>0</v>
      </c>
      <c r="QZ124" s="9" t="n">
        <v>207.6</v>
      </c>
      <c r="RD124" s="10" t="n">
        <v>46125</v>
      </c>
      <c r="RF124" s="9" t="n">
        <v>0</v>
      </c>
      <c r="RG124" s="9" t="n">
        <v>50</v>
      </c>
      <c r="RH124" s="9" t="n">
        <v>-50</v>
      </c>
      <c r="RI124" s="9" t="n">
        <v>147.04</v>
      </c>
      <c r="RM124" s="10" t="n">
        <v>46125</v>
      </c>
      <c r="RO124" s="9" t="n">
        <v>0</v>
      </c>
      <c r="RQ124" s="9" t="n">
        <v>0</v>
      </c>
      <c r="RR124" s="9" t="n">
        <v>46.8</v>
      </c>
      <c r="RV124" s="10" t="n">
        <v>46125</v>
      </c>
      <c r="RX124" s="9" t="n">
        <v>0</v>
      </c>
      <c r="RZ124" s="9" t="n">
        <v>0</v>
      </c>
      <c r="SA124" s="9" t="n">
        <v>0</v>
      </c>
      <c r="SE124" s="10" t="n">
        <v>46125</v>
      </c>
      <c r="SG124" s="9" t="n">
        <v>0</v>
      </c>
      <c r="SI124" s="9" t="n">
        <v>0</v>
      </c>
      <c r="SJ124" s="9" t="n">
        <v>0</v>
      </c>
      <c r="SN124" s="10" t="n">
        <v>46125</v>
      </c>
      <c r="SP124" s="9" t="n">
        <v>0</v>
      </c>
      <c r="SR124" s="9" t="n">
        <v>0</v>
      </c>
      <c r="SS124" s="9" t="n">
        <v>0</v>
      </c>
      <c r="SW124" s="10" t="n">
        <v>46125</v>
      </c>
      <c r="SY124" s="9" t="n">
        <v>0</v>
      </c>
      <c r="TA124" s="9" t="n">
        <v>0</v>
      </c>
      <c r="TB124" s="9" t="n">
        <v>0</v>
      </c>
      <c r="TF124" s="10" t="n">
        <v>46125</v>
      </c>
      <c r="TH124" s="9" t="n">
        <v>0</v>
      </c>
      <c r="TJ124" s="9" t="n">
        <v>0</v>
      </c>
      <c r="TK124" s="9" t="n">
        <v>0</v>
      </c>
      <c r="TO124" s="10" t="n">
        <v>46125</v>
      </c>
      <c r="TQ124" s="9" t="n">
        <v>0</v>
      </c>
      <c r="TS124" s="9" t="n">
        <v>0</v>
      </c>
      <c r="TT124" s="9" t="n">
        <v>0</v>
      </c>
      <c r="TX124" s="10" t="n">
        <v>46125</v>
      </c>
      <c r="TZ124" s="9" t="n">
        <v>0</v>
      </c>
      <c r="UB124" s="9" t="n">
        <v>0</v>
      </c>
      <c r="UC124" s="9" t="n">
        <v>0</v>
      </c>
      <c r="UG124" s="10" t="n">
        <v>46125</v>
      </c>
      <c r="UI124" s="9" t="n">
        <v>0</v>
      </c>
      <c r="UK124" s="9" t="n">
        <v>0</v>
      </c>
      <c r="UL124" s="9" t="n">
        <v>0</v>
      </c>
      <c r="UP124" s="10" t="n">
        <v>46125</v>
      </c>
      <c r="UR124" s="9" t="n">
        <v>0</v>
      </c>
      <c r="UT124" s="9" t="n">
        <v>0</v>
      </c>
      <c r="UU124" s="9" t="n">
        <v>0</v>
      </c>
      <c r="UY124" s="10" t="n">
        <v>46125</v>
      </c>
      <c r="VA124" s="9" t="n">
        <v>0</v>
      </c>
      <c r="VC124" s="9" t="n">
        <v>0</v>
      </c>
      <c r="VD124" s="9" t="n">
        <v>41.60000000000002</v>
      </c>
      <c r="VH124" s="10" t="n">
        <v>46125</v>
      </c>
      <c r="VJ124" s="9" t="n">
        <v>0</v>
      </c>
      <c r="VL124" s="9" t="n">
        <v>0</v>
      </c>
      <c r="VM124" s="9" t="n">
        <v>0</v>
      </c>
      <c r="VQ124" s="10" t="n">
        <v>46125</v>
      </c>
      <c r="VS124" s="9" t="n">
        <v>0</v>
      </c>
      <c r="VU124" s="9" t="n">
        <v>0</v>
      </c>
      <c r="VV124" s="9" t="n">
        <v>0</v>
      </c>
      <c r="VZ124" s="10" t="n">
        <v>46125</v>
      </c>
      <c r="WB124" s="9" t="n">
        <v>0</v>
      </c>
      <c r="WD124" s="9" t="n">
        <v>0</v>
      </c>
      <c r="WE124" s="9" t="n">
        <v>0</v>
      </c>
      <c r="WI124" s="10" t="n">
        <v>46125</v>
      </c>
      <c r="WK124" s="9" t="n">
        <v>0</v>
      </c>
      <c r="WM124" s="9" t="n">
        <v>0</v>
      </c>
      <c r="WN124" s="9" t="n">
        <v>2317</v>
      </c>
      <c r="WR124" s="10" t="n">
        <v>46125</v>
      </c>
      <c r="WT124" s="9" t="n">
        <v>0</v>
      </c>
      <c r="WV124" s="9" t="n">
        <v>0</v>
      </c>
      <c r="WW124" s="9" t="n">
        <v>6980</v>
      </c>
      <c r="XA124" s="10" t="n">
        <v>46125</v>
      </c>
      <c r="XC124" s="9" t="n">
        <v>0</v>
      </c>
      <c r="XE124" s="9" t="n">
        <v>0</v>
      </c>
      <c r="XF124" s="9" t="n">
        <v>14868</v>
      </c>
      <c r="XJ124" s="10" t="n">
        <v>46125</v>
      </c>
      <c r="XL124" s="9" t="n">
        <v>0</v>
      </c>
      <c r="XN124" s="9" t="n">
        <v>0</v>
      </c>
      <c r="XO124" s="9" t="n">
        <v>5447</v>
      </c>
      <c r="XS124" s="10" t="n">
        <v>46125</v>
      </c>
      <c r="XU124" s="9" t="n">
        <v>0</v>
      </c>
      <c r="XW124" s="9" t="n">
        <v>0</v>
      </c>
      <c r="XX124" s="9" t="n">
        <v>1901</v>
      </c>
      <c r="YB124" s="10" t="n">
        <v>46125</v>
      </c>
      <c r="YD124" s="9" t="n">
        <v>0</v>
      </c>
      <c r="YF124" s="9" t="n">
        <v>0</v>
      </c>
      <c r="YG124" s="9" t="n">
        <v>6459</v>
      </c>
      <c r="YK124" s="10" t="n">
        <v>46125</v>
      </c>
      <c r="YM124" s="9" t="n">
        <v>0</v>
      </c>
      <c r="YO124" s="9" t="n">
        <v>0</v>
      </c>
      <c r="YP124" s="9" t="n">
        <v>0</v>
      </c>
      <c r="YT124" s="10" t="n">
        <v>46125</v>
      </c>
      <c r="YV124" s="9" t="n">
        <v>0</v>
      </c>
      <c r="YX124" s="9" t="n">
        <v>0</v>
      </c>
      <c r="YY124" s="9" t="n">
        <v>0</v>
      </c>
      <c r="ZC124" s="10" t="n">
        <v>46125</v>
      </c>
      <c r="ZE124" s="9" t="n">
        <v>0</v>
      </c>
      <c r="ZG124" s="9" t="n">
        <v>0</v>
      </c>
      <c r="ZH124" s="9" t="n">
        <v>0</v>
      </c>
      <c r="ZL124" s="10" t="n">
        <v>46125</v>
      </c>
      <c r="ZN124" s="9" t="n">
        <v>0</v>
      </c>
      <c r="ZP124" s="9" t="n">
        <v>0</v>
      </c>
      <c r="ZQ124" s="9" t="n">
        <v>0</v>
      </c>
      <c r="ZU124" s="10" t="n">
        <v>46125</v>
      </c>
      <c r="ZW124" s="9" t="n">
        <v>0</v>
      </c>
      <c r="ZY124" s="9" t="n">
        <v>0</v>
      </c>
      <c r="ZZ124" s="9" t="n">
        <v>0</v>
      </c>
      <c r="AAD124" s="10" t="n">
        <v>46125</v>
      </c>
      <c r="AAF124" s="9" t="n">
        <v>0</v>
      </c>
      <c r="AAH124" s="9" t="n">
        <v>0</v>
      </c>
      <c r="AAI124" s="9" t="n">
        <v>0</v>
      </c>
      <c r="AAM124" s="10" t="n">
        <v>46125</v>
      </c>
      <c r="AAO124" s="9" t="n">
        <v>0</v>
      </c>
      <c r="AAQ124" s="9" t="n">
        <v>0</v>
      </c>
      <c r="AAR124" s="9" t="n">
        <v>0</v>
      </c>
      <c r="AAV124" s="10" t="n">
        <v>46125</v>
      </c>
      <c r="AAX124" s="9" t="n">
        <v>0</v>
      </c>
      <c r="AAZ124" s="9" t="n">
        <v>0</v>
      </c>
      <c r="ABA124" s="9" t="n">
        <v>0</v>
      </c>
      <c r="ABE124" s="10" t="n">
        <v>46125</v>
      </c>
      <c r="ABG124" s="9" t="n">
        <v>0</v>
      </c>
      <c r="ABI124" s="9" t="n">
        <v>0</v>
      </c>
      <c r="ABJ124" s="9" t="n">
        <v>0</v>
      </c>
    </row>
    <row r="125">
      <c r="B125" s="9" t="n">
        <v>130</v>
      </c>
      <c r="C125" s="10" t="n">
        <v>46126</v>
      </c>
      <c r="E125" s="9" t="n">
        <v>65806.95</v>
      </c>
      <c r="F125" s="9" t="n">
        <v>65810.60000000001</v>
      </c>
      <c r="G125" s="9" t="n">
        <v>-3.650000000008731</v>
      </c>
      <c r="H125" s="9" t="n">
        <v>123872.6</v>
      </c>
      <c r="I125" s="9" t="inlineStr">
        <is>
          <t>121 30mt, 122 100mt</t>
        </is>
      </c>
      <c r="L125" s="10" t="n">
        <v>46126</v>
      </c>
      <c r="N125" s="9" t="n">
        <v>27470.05</v>
      </c>
      <c r="O125" s="9" t="n">
        <v>27468.6</v>
      </c>
      <c r="P125" s="9" t="n">
        <v>1.450000000000728</v>
      </c>
      <c r="Q125" s="9" t="n">
        <v>67797.2000000001</v>
      </c>
      <c r="U125" s="10" t="n">
        <v>46126</v>
      </c>
      <c r="W125" s="9" t="n">
        <v>10349.95</v>
      </c>
      <c r="X125" s="9" t="n">
        <v>10345.7</v>
      </c>
      <c r="Y125" s="9" t="n">
        <v>4.249999999998181</v>
      </c>
      <c r="Z125" s="9" t="n">
        <v>27977.79999999997</v>
      </c>
      <c r="AD125" s="10" t="n">
        <v>46126</v>
      </c>
      <c r="AF125" s="9" t="n">
        <v>1660</v>
      </c>
      <c r="AG125" s="9" t="n">
        <v>1662.2</v>
      </c>
      <c r="AH125" s="9" t="n">
        <v>-2.199999999999818</v>
      </c>
      <c r="AI125" s="9" t="n">
        <v>41488.80000000002</v>
      </c>
      <c r="AM125" s="10" t="n">
        <v>46126</v>
      </c>
      <c r="AO125" s="9" t="n">
        <v>0</v>
      </c>
      <c r="AQ125" s="9" t="n">
        <v>0</v>
      </c>
      <c r="AR125" s="9" t="n">
        <v>0</v>
      </c>
      <c r="AV125" s="10" t="n">
        <v>46126</v>
      </c>
      <c r="AX125" s="9" t="n">
        <v>750</v>
      </c>
      <c r="AY125" s="9" t="n">
        <v>751.4</v>
      </c>
      <c r="AZ125" s="9" t="n">
        <v>-1.399999999999977</v>
      </c>
      <c r="BA125" s="9" t="n">
        <v>12866.29999999999</v>
      </c>
      <c r="BE125" s="10" t="n">
        <v>46126</v>
      </c>
      <c r="BG125" s="9" t="n">
        <v>5220</v>
      </c>
      <c r="BH125" s="9" t="n">
        <v>5219.9</v>
      </c>
      <c r="BI125" s="9" t="n">
        <v>0.1000000000003638</v>
      </c>
      <c r="BJ125" s="9" t="n">
        <v>7503.100000000002</v>
      </c>
      <c r="BN125" s="10" t="n">
        <v>46126</v>
      </c>
      <c r="BO125" s="9" t="n">
        <v>2439.3</v>
      </c>
      <c r="BP125" s="9" t="n">
        <v>2439.95</v>
      </c>
      <c r="BQ125" s="9" t="n">
        <v>2439.3</v>
      </c>
      <c r="BR125" s="9" t="n">
        <v>0.6499999999996362</v>
      </c>
      <c r="BS125" s="9" t="n">
        <v>0</v>
      </c>
      <c r="BW125" s="10" t="n">
        <v>46126</v>
      </c>
      <c r="BY125" s="9" t="n">
        <v>785</v>
      </c>
      <c r="CA125" s="9" t="n">
        <v>785</v>
      </c>
      <c r="CB125" s="9" t="n">
        <v>8228.799999999999</v>
      </c>
      <c r="CF125" s="10" t="n">
        <v>46126</v>
      </c>
      <c r="CH125" s="9" t="n">
        <v>1210</v>
      </c>
      <c r="CJ125" s="9" t="n">
        <v>1210</v>
      </c>
      <c r="CK125" s="9" t="n">
        <v>0</v>
      </c>
      <c r="CO125" s="10" t="n">
        <v>46126</v>
      </c>
      <c r="CQ125" s="9" t="n">
        <v>0</v>
      </c>
      <c r="CS125" s="9" t="n">
        <v>0</v>
      </c>
      <c r="CT125" s="9" t="n">
        <v>0</v>
      </c>
      <c r="CX125" s="10" t="n">
        <v>46126</v>
      </c>
      <c r="CZ125" s="9" t="n">
        <v>6000.05</v>
      </c>
      <c r="DA125" s="9" t="n">
        <v>6006.3</v>
      </c>
      <c r="DB125" s="9" t="n">
        <v>-6.25</v>
      </c>
      <c r="DC125" s="9" t="n">
        <v>19351.90000000001</v>
      </c>
      <c r="DG125" s="10" t="n">
        <v>46126</v>
      </c>
      <c r="DI125" s="9" t="n">
        <v>4000</v>
      </c>
      <c r="DJ125" s="9" t="n">
        <v>3999.6</v>
      </c>
      <c r="DK125" s="9" t="n">
        <v>0.4000000000000909</v>
      </c>
      <c r="DL125" s="9" t="n">
        <v>19341.59999999999</v>
      </c>
      <c r="DP125" s="10" t="n">
        <v>46126</v>
      </c>
      <c r="DR125" s="9" t="n">
        <v>750</v>
      </c>
      <c r="DS125" s="9" t="n">
        <v>750</v>
      </c>
      <c r="DT125" s="9" t="n">
        <v>0</v>
      </c>
      <c r="DU125" s="9" t="n">
        <v>6300</v>
      </c>
      <c r="DY125" s="10" t="n">
        <v>46126</v>
      </c>
      <c r="EA125" s="9" t="n">
        <v>0</v>
      </c>
      <c r="EC125" s="9" t="n">
        <v>0</v>
      </c>
      <c r="ED125" s="9" t="n">
        <v>147.3000000000002</v>
      </c>
      <c r="EH125" s="10" t="n">
        <v>46126</v>
      </c>
      <c r="EJ125" s="9" t="n">
        <v>0</v>
      </c>
      <c r="EL125" s="9" t="n">
        <v>0</v>
      </c>
      <c r="EM125" s="9" t="n">
        <v>0</v>
      </c>
      <c r="EQ125" s="10" t="n">
        <v>46126</v>
      </c>
      <c r="ES125" s="9" t="n">
        <v>0</v>
      </c>
      <c r="EU125" s="9" t="n">
        <v>0</v>
      </c>
      <c r="EV125" s="9" t="n">
        <v>0</v>
      </c>
      <c r="EZ125" s="10" t="n">
        <v>46126</v>
      </c>
      <c r="FB125" s="9" t="n">
        <v>0</v>
      </c>
      <c r="FD125" s="9" t="n">
        <v>0</v>
      </c>
      <c r="FE125" s="9" t="n">
        <v>0</v>
      </c>
      <c r="FI125" s="10" t="n">
        <v>46126</v>
      </c>
      <c r="FK125" s="9" t="n">
        <v>0</v>
      </c>
      <c r="FM125" s="9" t="n">
        <v>0</v>
      </c>
      <c r="FN125" s="9" t="n">
        <v>0</v>
      </c>
      <c r="FR125" s="10" t="n">
        <v>46126</v>
      </c>
      <c r="FS125" s="9" t="n">
        <v>1980</v>
      </c>
      <c r="FT125" s="9" t="n">
        <v>0</v>
      </c>
      <c r="FV125" s="9" t="n">
        <v>0</v>
      </c>
      <c r="FW125" s="9" t="n">
        <v>2120</v>
      </c>
      <c r="GA125" s="10" t="n">
        <v>46126</v>
      </c>
      <c r="GC125" s="9" t="n">
        <v>0</v>
      </c>
      <c r="GE125" s="9" t="n">
        <v>0</v>
      </c>
      <c r="GF125" s="9" t="n">
        <v>6000</v>
      </c>
      <c r="GJ125" s="10" t="n">
        <v>46126</v>
      </c>
      <c r="GL125" s="9" t="n">
        <v>0</v>
      </c>
      <c r="GN125" s="9" t="n">
        <v>0</v>
      </c>
      <c r="GO125" s="9" t="n">
        <v>4800</v>
      </c>
      <c r="GS125" s="10" t="n">
        <v>46126</v>
      </c>
      <c r="GU125" s="9" t="n">
        <v>0</v>
      </c>
      <c r="GW125" s="9" t="n">
        <v>0</v>
      </c>
      <c r="GX125" s="9" t="n">
        <v>0</v>
      </c>
      <c r="HB125" s="10" t="n">
        <v>46126</v>
      </c>
      <c r="HD125" s="9" t="n">
        <v>0</v>
      </c>
      <c r="HF125" s="9" t="n">
        <v>0</v>
      </c>
      <c r="HG125" s="9" t="n">
        <v>0</v>
      </c>
      <c r="HK125" s="10" t="n">
        <v>46126</v>
      </c>
      <c r="HM125" s="9" t="n">
        <v>0</v>
      </c>
      <c r="HO125" s="9" t="n">
        <v>0</v>
      </c>
      <c r="HP125" s="9" t="n">
        <v>0</v>
      </c>
      <c r="HU125" s="10" t="n">
        <v>46126</v>
      </c>
      <c r="HW125" s="9" t="n">
        <v>0</v>
      </c>
      <c r="HY125" s="9" t="n">
        <v>0</v>
      </c>
      <c r="HZ125" s="9" t="n">
        <v>5120</v>
      </c>
      <c r="ID125" s="10" t="n">
        <v>46126</v>
      </c>
      <c r="IF125" s="9" t="n">
        <v>0</v>
      </c>
      <c r="IH125" s="9" t="n">
        <v>0</v>
      </c>
      <c r="II125" s="9" t="n">
        <v>6540</v>
      </c>
      <c r="IM125" s="10" t="n">
        <v>46126</v>
      </c>
      <c r="IO125" s="9" t="n">
        <v>0</v>
      </c>
      <c r="IQ125" s="9" t="n">
        <v>0</v>
      </c>
      <c r="IR125" s="9" t="n">
        <v>11540</v>
      </c>
      <c r="IV125" s="10" t="n">
        <v>46126</v>
      </c>
      <c r="IX125" s="9" t="n">
        <v>0</v>
      </c>
      <c r="IZ125" s="9" t="n">
        <v>0</v>
      </c>
      <c r="JA125" s="9" t="n">
        <v>15120</v>
      </c>
      <c r="JE125" s="10" t="n">
        <v>46126</v>
      </c>
      <c r="JG125" s="9" t="n">
        <v>0</v>
      </c>
      <c r="JI125" s="9" t="n">
        <v>0</v>
      </c>
      <c r="JJ125" s="9" t="n">
        <v>5040</v>
      </c>
      <c r="JN125" s="10" t="n">
        <v>46126</v>
      </c>
      <c r="JP125" s="9" t="n">
        <v>0</v>
      </c>
      <c r="JR125" s="9" t="n">
        <v>0</v>
      </c>
      <c r="JS125" s="9" t="n">
        <v>9100</v>
      </c>
      <c r="JW125" s="10" t="n">
        <v>46126</v>
      </c>
      <c r="JY125" s="9" t="n">
        <v>600</v>
      </c>
      <c r="KA125" s="9" t="n">
        <v>600</v>
      </c>
      <c r="KB125" s="9" t="n">
        <v>2940</v>
      </c>
      <c r="KF125" s="10" t="n">
        <v>46126</v>
      </c>
      <c r="KH125" s="9" t="n">
        <v>1950</v>
      </c>
      <c r="KJ125" s="9" t="n">
        <v>1950</v>
      </c>
      <c r="KK125" s="9" t="n">
        <v>1579.5</v>
      </c>
      <c r="KO125" s="10" t="n">
        <v>46126</v>
      </c>
      <c r="KQ125" s="9" t="n">
        <v>0</v>
      </c>
      <c r="KS125" s="9" t="n">
        <v>0</v>
      </c>
      <c r="KT125" s="9" t="n">
        <v>5216.4</v>
      </c>
      <c r="KX125" s="10" t="n">
        <v>46126</v>
      </c>
      <c r="KZ125" s="9" t="n">
        <v>0</v>
      </c>
      <c r="LB125" s="9" t="n">
        <v>0</v>
      </c>
      <c r="LC125" s="9" t="n">
        <v>0</v>
      </c>
      <c r="LG125" s="10" t="n">
        <v>46126</v>
      </c>
      <c r="LI125" s="9" t="n">
        <v>0</v>
      </c>
      <c r="LK125" s="9" t="n">
        <v>0</v>
      </c>
      <c r="LL125" s="9" t="n">
        <v>0</v>
      </c>
      <c r="LP125" s="10" t="n">
        <v>46126</v>
      </c>
      <c r="LR125" s="9" t="n">
        <v>0</v>
      </c>
      <c r="LT125" s="9" t="n">
        <v>0</v>
      </c>
      <c r="LU125" s="9" t="n">
        <v>0</v>
      </c>
      <c r="LY125" s="10" t="n">
        <v>46126</v>
      </c>
      <c r="MA125" s="9" t="n">
        <v>0</v>
      </c>
      <c r="MC125" s="9" t="n">
        <v>0</v>
      </c>
      <c r="MD125" s="9" t="n">
        <v>0</v>
      </c>
      <c r="MH125" s="10" t="n">
        <v>46126</v>
      </c>
      <c r="MJ125" s="9" t="n">
        <v>0</v>
      </c>
      <c r="ML125" s="9" t="n">
        <v>0</v>
      </c>
      <c r="MM125" s="9" t="n">
        <v>0</v>
      </c>
      <c r="MQ125" s="10" t="n">
        <v>46126</v>
      </c>
      <c r="MS125" s="9" t="n">
        <v>0</v>
      </c>
      <c r="MU125" s="9" t="n">
        <v>0</v>
      </c>
      <c r="MV125" s="9" t="n">
        <v>4149</v>
      </c>
      <c r="MZ125" s="10" t="n">
        <v>46126</v>
      </c>
      <c r="NB125" s="9" t="n">
        <v>390</v>
      </c>
      <c r="ND125" s="9" t="n">
        <v>390</v>
      </c>
      <c r="NE125" s="9" t="n">
        <v>0</v>
      </c>
      <c r="NI125" s="10" t="n">
        <v>46126</v>
      </c>
      <c r="NK125" s="9" t="n">
        <v>130</v>
      </c>
      <c r="NM125" s="9" t="n">
        <v>130</v>
      </c>
      <c r="NN125" s="9" t="n">
        <v>1523</v>
      </c>
      <c r="NR125" s="10" t="n">
        <v>46126</v>
      </c>
      <c r="NT125" s="9" t="n">
        <v>126</v>
      </c>
      <c r="NV125" s="9" t="n">
        <v>126</v>
      </c>
      <c r="NW125" s="9" t="n">
        <v>3566.1</v>
      </c>
      <c r="OA125" s="10" t="n">
        <v>46126</v>
      </c>
      <c r="OC125" s="9" t="n">
        <v>0</v>
      </c>
      <c r="OE125" s="9" t="n">
        <v>0</v>
      </c>
      <c r="OF125" s="9" t="n">
        <v>1680.5</v>
      </c>
      <c r="OJ125" s="10" t="n">
        <v>46126</v>
      </c>
      <c r="OL125" s="9" t="n">
        <v>362.05</v>
      </c>
      <c r="ON125" s="9" t="n">
        <v>362.05</v>
      </c>
      <c r="OO125" s="9" t="n">
        <v>0</v>
      </c>
      <c r="OS125" s="10" t="n">
        <v>46126</v>
      </c>
      <c r="OU125" s="9" t="n">
        <v>0</v>
      </c>
      <c r="OW125" s="9" t="n">
        <v>0</v>
      </c>
      <c r="OX125" s="9" t="n">
        <v>1000</v>
      </c>
      <c r="PB125" s="10" t="n">
        <v>46126</v>
      </c>
      <c r="PD125" s="9" t="n">
        <v>0</v>
      </c>
      <c r="PF125" s="9" t="n">
        <v>0</v>
      </c>
      <c r="PG125" s="9" t="n">
        <v>0</v>
      </c>
      <c r="PK125" s="10" t="n">
        <v>46126</v>
      </c>
      <c r="PM125" s="9" t="n">
        <v>0</v>
      </c>
      <c r="PO125" s="9" t="n">
        <v>0</v>
      </c>
      <c r="PP125" s="9" t="n">
        <v>100</v>
      </c>
      <c r="PT125" s="10" t="n">
        <v>46126</v>
      </c>
      <c r="PV125" s="9" t="n">
        <v>0</v>
      </c>
      <c r="PX125" s="9" t="n">
        <v>0</v>
      </c>
      <c r="PY125" s="9" t="n">
        <v>13.96000000000004</v>
      </c>
      <c r="QC125" s="10" t="n">
        <v>46126</v>
      </c>
      <c r="QE125" s="9" t="n">
        <v>0</v>
      </c>
      <c r="QG125" s="9" t="n">
        <v>0</v>
      </c>
      <c r="QH125" s="9" t="n">
        <v>1212</v>
      </c>
      <c r="QL125" s="10" t="n">
        <v>46126</v>
      </c>
      <c r="QN125" s="9" t="n">
        <v>0</v>
      </c>
      <c r="QP125" s="9" t="n">
        <v>0</v>
      </c>
      <c r="QQ125" s="9" t="n">
        <v>400</v>
      </c>
      <c r="QU125" s="10" t="n">
        <v>46126</v>
      </c>
      <c r="QW125" s="9" t="n">
        <v>0</v>
      </c>
      <c r="QY125" s="9" t="n">
        <v>0</v>
      </c>
      <c r="QZ125" s="9" t="n">
        <v>207.6</v>
      </c>
      <c r="RD125" s="10" t="n">
        <v>46126</v>
      </c>
      <c r="RF125" s="9" t="n">
        <v>0</v>
      </c>
      <c r="RH125" s="9" t="n">
        <v>0</v>
      </c>
      <c r="RI125" s="9" t="n">
        <v>147.04</v>
      </c>
      <c r="RM125" s="10" t="n">
        <v>46126</v>
      </c>
      <c r="RO125" s="9" t="n">
        <v>0</v>
      </c>
      <c r="RQ125" s="9" t="n">
        <v>0</v>
      </c>
      <c r="RR125" s="9" t="n">
        <v>46.8</v>
      </c>
      <c r="RV125" s="10" t="n">
        <v>46126</v>
      </c>
      <c r="RX125" s="9" t="n">
        <v>0</v>
      </c>
      <c r="RZ125" s="9" t="n">
        <v>0</v>
      </c>
      <c r="SA125" s="9" t="n">
        <v>0</v>
      </c>
      <c r="SE125" s="10" t="n">
        <v>46126</v>
      </c>
      <c r="SF125" s="9" t="n">
        <v>125</v>
      </c>
      <c r="SG125" s="9" t="n">
        <v>0</v>
      </c>
      <c r="SI125" s="9" t="n">
        <v>0</v>
      </c>
      <c r="SJ125" s="9" t="n">
        <v>125</v>
      </c>
      <c r="SN125" s="10" t="n">
        <v>46126</v>
      </c>
      <c r="SO125" s="9" t="n">
        <v>200</v>
      </c>
      <c r="SP125" s="9" t="n">
        <v>0</v>
      </c>
      <c r="SR125" s="9" t="n">
        <v>0</v>
      </c>
      <c r="SS125" s="9" t="n">
        <v>200</v>
      </c>
      <c r="SW125" s="10" t="n">
        <v>46126</v>
      </c>
      <c r="SY125" s="9" t="n">
        <v>0</v>
      </c>
      <c r="TA125" s="9" t="n">
        <v>0</v>
      </c>
      <c r="TB125" s="9" t="n">
        <v>0</v>
      </c>
      <c r="TF125" s="10" t="n">
        <v>46126</v>
      </c>
      <c r="TH125" s="9" t="n">
        <v>0</v>
      </c>
      <c r="TJ125" s="9" t="n">
        <v>0</v>
      </c>
      <c r="TK125" s="9" t="n">
        <v>0</v>
      </c>
      <c r="TO125" s="10" t="n">
        <v>46126</v>
      </c>
      <c r="TQ125" s="9" t="n">
        <v>0</v>
      </c>
      <c r="TS125" s="9" t="n">
        <v>0</v>
      </c>
      <c r="TT125" s="9" t="n">
        <v>0</v>
      </c>
      <c r="TX125" s="10" t="n">
        <v>46126</v>
      </c>
      <c r="TZ125" s="9" t="n">
        <v>0</v>
      </c>
      <c r="UB125" s="9" t="n">
        <v>0</v>
      </c>
      <c r="UC125" s="9" t="n">
        <v>0</v>
      </c>
      <c r="UG125" s="10" t="n">
        <v>46126</v>
      </c>
      <c r="UI125" s="9" t="n">
        <v>0</v>
      </c>
      <c r="UK125" s="9" t="n">
        <v>0</v>
      </c>
      <c r="UL125" s="9" t="n">
        <v>0</v>
      </c>
      <c r="UP125" s="10" t="n">
        <v>46126</v>
      </c>
      <c r="UR125" s="9" t="n">
        <v>0</v>
      </c>
      <c r="UT125" s="9" t="n">
        <v>0</v>
      </c>
      <c r="UU125" s="9" t="n">
        <v>0</v>
      </c>
      <c r="UY125" s="10" t="n">
        <v>46126</v>
      </c>
      <c r="VA125" s="9" t="n">
        <v>0</v>
      </c>
      <c r="VC125" s="9" t="n">
        <v>0</v>
      </c>
      <c r="VD125" s="9" t="n">
        <v>41.60000000000002</v>
      </c>
      <c r="VH125" s="10" t="n">
        <v>46126</v>
      </c>
      <c r="VJ125" s="9" t="n">
        <v>0</v>
      </c>
      <c r="VL125" s="9" t="n">
        <v>0</v>
      </c>
      <c r="VM125" s="9" t="n">
        <v>0</v>
      </c>
      <c r="VQ125" s="10" t="n">
        <v>46126</v>
      </c>
      <c r="VS125" s="9" t="n">
        <v>0</v>
      </c>
      <c r="VU125" s="9" t="n">
        <v>0</v>
      </c>
      <c r="VV125" s="9" t="n">
        <v>0</v>
      </c>
      <c r="VZ125" s="10" t="n">
        <v>46126</v>
      </c>
      <c r="WB125" s="9" t="n">
        <v>0</v>
      </c>
      <c r="WD125" s="9" t="n">
        <v>0</v>
      </c>
      <c r="WE125" s="9" t="n">
        <v>0</v>
      </c>
      <c r="WI125" s="10" t="n">
        <v>46126</v>
      </c>
      <c r="WK125" s="9" t="n">
        <v>0</v>
      </c>
      <c r="WM125" s="9" t="n">
        <v>0</v>
      </c>
      <c r="WN125" s="9" t="n">
        <v>2317</v>
      </c>
      <c r="WR125" s="10" t="n">
        <v>46126</v>
      </c>
      <c r="WT125" s="9" t="n">
        <v>0</v>
      </c>
      <c r="WV125" s="9" t="n">
        <v>0</v>
      </c>
      <c r="WW125" s="9" t="n">
        <v>6980</v>
      </c>
      <c r="XA125" s="10" t="n">
        <v>46126</v>
      </c>
      <c r="XC125" s="9" t="n">
        <v>0</v>
      </c>
      <c r="XE125" s="9" t="n">
        <v>0</v>
      </c>
      <c r="XF125" s="9" t="n">
        <v>14868</v>
      </c>
      <c r="XJ125" s="10" t="n">
        <v>46126</v>
      </c>
      <c r="XL125" s="9" t="n">
        <v>0</v>
      </c>
      <c r="XM125" s="9" t="n">
        <v>615</v>
      </c>
      <c r="XN125" s="9" t="n">
        <v>-615</v>
      </c>
      <c r="XO125" s="9" t="n">
        <v>4832</v>
      </c>
      <c r="XS125" s="10" t="n">
        <v>46126</v>
      </c>
      <c r="XU125" s="9" t="n">
        <v>0</v>
      </c>
      <c r="XW125" s="9" t="n">
        <v>0</v>
      </c>
      <c r="XX125" s="9" t="n">
        <v>1901</v>
      </c>
      <c r="YB125" s="10" t="n">
        <v>46126</v>
      </c>
      <c r="YD125" s="9" t="n">
        <v>0</v>
      </c>
      <c r="YF125" s="9" t="n">
        <v>0</v>
      </c>
      <c r="YG125" s="9" t="n">
        <v>6459</v>
      </c>
      <c r="YK125" s="10" t="n">
        <v>46126</v>
      </c>
      <c r="YM125" s="9" t="n">
        <v>0</v>
      </c>
      <c r="YO125" s="9" t="n">
        <v>0</v>
      </c>
      <c r="YP125" s="9" t="n">
        <v>0</v>
      </c>
      <c r="YT125" s="10" t="n">
        <v>46126</v>
      </c>
      <c r="YV125" s="9" t="n">
        <v>0</v>
      </c>
      <c r="YX125" s="9" t="n">
        <v>0</v>
      </c>
      <c r="YY125" s="9" t="n">
        <v>0</v>
      </c>
      <c r="ZC125" s="10" t="n">
        <v>46126</v>
      </c>
      <c r="ZE125" s="9" t="n">
        <v>0</v>
      </c>
      <c r="ZG125" s="9" t="n">
        <v>0</v>
      </c>
      <c r="ZH125" s="9" t="n">
        <v>0</v>
      </c>
      <c r="ZL125" s="10" t="n">
        <v>46126</v>
      </c>
      <c r="ZN125" s="9" t="n">
        <v>0</v>
      </c>
      <c r="ZP125" s="9" t="n">
        <v>0</v>
      </c>
      <c r="ZQ125" s="9" t="n">
        <v>0</v>
      </c>
      <c r="ZU125" s="10" t="n">
        <v>46126</v>
      </c>
      <c r="ZW125" s="9" t="n">
        <v>0</v>
      </c>
      <c r="ZY125" s="9" t="n">
        <v>0</v>
      </c>
      <c r="ZZ125" s="9" t="n">
        <v>0</v>
      </c>
      <c r="AAD125" s="10" t="n">
        <v>46126</v>
      </c>
      <c r="AAF125" s="9" t="n">
        <v>0</v>
      </c>
      <c r="AAH125" s="9" t="n">
        <v>0</v>
      </c>
      <c r="AAI125" s="9" t="n">
        <v>0</v>
      </c>
      <c r="AAM125" s="10" t="n">
        <v>46126</v>
      </c>
      <c r="AAO125" s="9" t="n">
        <v>0</v>
      </c>
      <c r="AAQ125" s="9" t="n">
        <v>0</v>
      </c>
      <c r="AAR125" s="9" t="n">
        <v>0</v>
      </c>
      <c r="AAV125" s="10" t="n">
        <v>46126</v>
      </c>
      <c r="AAX125" s="9" t="n">
        <v>0</v>
      </c>
      <c r="AAZ125" s="9" t="n">
        <v>0</v>
      </c>
      <c r="ABA125" s="9" t="n">
        <v>0</v>
      </c>
      <c r="ABE125" s="10" t="n">
        <v>46126</v>
      </c>
      <c r="ABG125" s="9" t="n">
        <v>0</v>
      </c>
      <c r="ABI125" s="9" t="n">
        <v>0</v>
      </c>
      <c r="ABJ125" s="9" t="n">
        <v>0</v>
      </c>
    </row>
    <row r="126">
      <c r="B126" s="9" t="n">
        <v>38</v>
      </c>
      <c r="C126" s="10" t="n">
        <v>46127</v>
      </c>
      <c r="D126" s="9" t="n">
        <v>32240</v>
      </c>
      <c r="E126" s="9" t="n">
        <v>20352.8</v>
      </c>
      <c r="F126" s="9" t="n">
        <v>20350</v>
      </c>
      <c r="G126" s="9" t="n">
        <v>2.799999999999272</v>
      </c>
      <c r="H126" s="9" t="n">
        <v>135762.6</v>
      </c>
      <c r="I126" s="9" t="inlineStr">
        <is>
          <t>123 38mt</t>
        </is>
      </c>
      <c r="L126" s="10" t="n">
        <v>46127</v>
      </c>
      <c r="N126" s="9" t="n">
        <v>6517</v>
      </c>
      <c r="O126" s="9" t="n">
        <v>6517.8</v>
      </c>
      <c r="P126" s="9" t="n">
        <v>-0.8000000000001819</v>
      </c>
      <c r="Q126" s="9" t="n">
        <v>61279.4000000001</v>
      </c>
      <c r="U126" s="10" t="n">
        <v>46127</v>
      </c>
      <c r="W126" s="9" t="n">
        <v>3230</v>
      </c>
      <c r="X126" s="9" t="n">
        <v>3231.6</v>
      </c>
      <c r="Y126" s="9" t="n">
        <v>-1.599999999999909</v>
      </c>
      <c r="Z126" s="9" t="n">
        <v>24746.19999999997</v>
      </c>
      <c r="AD126" s="10" t="n">
        <v>46127</v>
      </c>
      <c r="AF126" s="9" t="n">
        <v>456</v>
      </c>
      <c r="AG126" s="9" t="n">
        <v>456.5</v>
      </c>
      <c r="AH126" s="9" t="n">
        <v>-0.5</v>
      </c>
      <c r="AI126" s="9" t="n">
        <v>41032.30000000002</v>
      </c>
      <c r="AM126" s="10" t="n">
        <v>46127</v>
      </c>
      <c r="AO126" s="9" t="n">
        <v>0</v>
      </c>
      <c r="AQ126" s="9" t="n">
        <v>0</v>
      </c>
      <c r="AR126" s="9" t="n">
        <v>0</v>
      </c>
      <c r="AV126" s="10" t="n">
        <v>46127</v>
      </c>
      <c r="AX126" s="9" t="n">
        <v>0</v>
      </c>
      <c r="AZ126" s="9" t="n">
        <v>0</v>
      </c>
      <c r="BA126" s="9" t="n">
        <v>12866.29999999999</v>
      </c>
      <c r="BE126" s="10" t="n">
        <v>46127</v>
      </c>
      <c r="BG126" s="9" t="n">
        <v>1710</v>
      </c>
      <c r="BH126" s="9" t="n">
        <v>1709.2</v>
      </c>
      <c r="BI126" s="9" t="n">
        <v>0.7999999999999545</v>
      </c>
      <c r="BJ126" s="9" t="n">
        <v>5793.900000000002</v>
      </c>
      <c r="BN126" s="10" t="n">
        <v>46127</v>
      </c>
      <c r="BO126" s="9" t="n">
        <v>741.1</v>
      </c>
      <c r="BP126" s="9" t="n">
        <v>741</v>
      </c>
      <c r="BQ126" s="9" t="n">
        <v>741.1</v>
      </c>
      <c r="BR126" s="9" t="n">
        <v>-0.1000000000000227</v>
      </c>
      <c r="BS126" s="9" t="n">
        <v>0</v>
      </c>
      <c r="BW126" s="10" t="n">
        <v>46127</v>
      </c>
      <c r="BY126" s="9" t="n">
        <v>209</v>
      </c>
      <c r="CA126" s="9" t="n">
        <v>209</v>
      </c>
      <c r="CB126" s="9" t="n">
        <v>8228.799999999999</v>
      </c>
      <c r="CF126" s="10" t="n">
        <v>46127</v>
      </c>
      <c r="CH126" s="9" t="n">
        <v>342.0000000000001</v>
      </c>
      <c r="CJ126" s="9" t="n">
        <v>342.0000000000001</v>
      </c>
      <c r="CK126" s="9" t="n">
        <v>0</v>
      </c>
      <c r="CO126" s="10" t="n">
        <v>46127</v>
      </c>
      <c r="CQ126" s="9" t="n">
        <v>0</v>
      </c>
      <c r="CS126" s="9" t="n">
        <v>0</v>
      </c>
      <c r="CT126" s="9" t="n">
        <v>0</v>
      </c>
      <c r="CX126" s="10" t="n">
        <v>46127</v>
      </c>
      <c r="CZ126" s="9" t="n">
        <v>1900</v>
      </c>
      <c r="DA126" s="9" t="n">
        <v>1900.5</v>
      </c>
      <c r="DB126" s="9" t="n">
        <v>-0.5</v>
      </c>
      <c r="DC126" s="9" t="n">
        <v>17451.40000000001</v>
      </c>
      <c r="DG126" s="10" t="n">
        <v>46127</v>
      </c>
      <c r="DI126" s="9" t="n">
        <v>1520</v>
      </c>
      <c r="DJ126" s="9" t="n">
        <v>1520.6</v>
      </c>
      <c r="DK126" s="9" t="n">
        <v>-0.5999999999999091</v>
      </c>
      <c r="DL126" s="9" t="n">
        <v>17820.99999999999</v>
      </c>
      <c r="DP126" s="10" t="n">
        <v>46127</v>
      </c>
      <c r="DR126" s="9" t="n">
        <v>0</v>
      </c>
      <c r="DT126" s="9" t="n">
        <v>0</v>
      </c>
      <c r="DU126" s="9" t="n">
        <v>6300</v>
      </c>
      <c r="DY126" s="10" t="n">
        <v>46127</v>
      </c>
      <c r="EA126" s="9" t="n">
        <v>0</v>
      </c>
      <c r="EC126" s="9" t="n">
        <v>0</v>
      </c>
      <c r="ED126" s="9" t="n">
        <v>147.3000000000002</v>
      </c>
      <c r="EH126" s="10" t="n">
        <v>46127</v>
      </c>
      <c r="EJ126" s="9" t="n">
        <v>0</v>
      </c>
      <c r="EL126" s="9" t="n">
        <v>0</v>
      </c>
      <c r="EM126" s="9" t="n">
        <v>0</v>
      </c>
      <c r="EQ126" s="10" t="n">
        <v>46127</v>
      </c>
      <c r="ES126" s="9" t="n">
        <v>0</v>
      </c>
      <c r="EU126" s="9" t="n">
        <v>0</v>
      </c>
      <c r="EV126" s="9" t="n">
        <v>0</v>
      </c>
      <c r="EZ126" s="10" t="n">
        <v>46127</v>
      </c>
      <c r="FB126" s="9" t="n">
        <v>0</v>
      </c>
      <c r="FD126" s="9" t="n">
        <v>0</v>
      </c>
      <c r="FE126" s="9" t="n">
        <v>0</v>
      </c>
      <c r="FI126" s="10" t="n">
        <v>46127</v>
      </c>
      <c r="FK126" s="9" t="n">
        <v>0</v>
      </c>
      <c r="FM126" s="9" t="n">
        <v>0</v>
      </c>
      <c r="FN126" s="9" t="n">
        <v>0</v>
      </c>
      <c r="FR126" s="10" t="n">
        <v>46127</v>
      </c>
      <c r="FT126" s="9" t="n">
        <v>0</v>
      </c>
      <c r="FV126" s="9" t="n">
        <v>0</v>
      </c>
      <c r="FW126" s="9" t="n">
        <v>2120</v>
      </c>
      <c r="GA126" s="10" t="n">
        <v>46127</v>
      </c>
      <c r="GB126" s="9" t="n">
        <v>4000</v>
      </c>
      <c r="GC126" s="9" t="n">
        <v>0</v>
      </c>
      <c r="GE126" s="9" t="n">
        <v>0</v>
      </c>
      <c r="GF126" s="9" t="n">
        <v>10000</v>
      </c>
      <c r="GJ126" s="10" t="n">
        <v>46127</v>
      </c>
      <c r="GL126" s="9" t="n">
        <v>0</v>
      </c>
      <c r="GN126" s="9" t="n">
        <v>0</v>
      </c>
      <c r="GO126" s="9" t="n">
        <v>4800</v>
      </c>
      <c r="GS126" s="10" t="n">
        <v>46127</v>
      </c>
      <c r="GU126" s="9" t="n">
        <v>0</v>
      </c>
      <c r="GW126" s="9" t="n">
        <v>0</v>
      </c>
      <c r="GX126" s="9" t="n">
        <v>0</v>
      </c>
      <c r="HB126" s="10" t="n">
        <v>46127</v>
      </c>
      <c r="HD126" s="9" t="n">
        <v>0</v>
      </c>
      <c r="HF126" s="9" t="n">
        <v>0</v>
      </c>
      <c r="HG126" s="9" t="n">
        <v>0</v>
      </c>
      <c r="HK126" s="10" t="n">
        <v>46127</v>
      </c>
      <c r="HM126" s="9" t="n">
        <v>0</v>
      </c>
      <c r="HO126" s="9" t="n">
        <v>0</v>
      </c>
      <c r="HP126" s="9" t="n">
        <v>0</v>
      </c>
      <c r="HU126" s="10" t="n">
        <v>46127</v>
      </c>
      <c r="HW126" s="9" t="n">
        <v>0</v>
      </c>
      <c r="HY126" s="9" t="n">
        <v>0</v>
      </c>
      <c r="HZ126" s="9" t="n">
        <v>5120</v>
      </c>
      <c r="ID126" s="10" t="n">
        <v>46127</v>
      </c>
      <c r="IF126" s="9" t="n">
        <v>0</v>
      </c>
      <c r="IH126" s="9" t="n">
        <v>0</v>
      </c>
      <c r="II126" s="9" t="n">
        <v>6540</v>
      </c>
      <c r="IM126" s="10" t="n">
        <v>46127</v>
      </c>
      <c r="IO126" s="9" t="n">
        <v>0</v>
      </c>
      <c r="IQ126" s="9" t="n">
        <v>0</v>
      </c>
      <c r="IR126" s="9" t="n">
        <v>11540</v>
      </c>
      <c r="IV126" s="10" t="n">
        <v>46127</v>
      </c>
      <c r="IX126" s="9" t="n">
        <v>0</v>
      </c>
      <c r="IZ126" s="9" t="n">
        <v>0</v>
      </c>
      <c r="JA126" s="9" t="n">
        <v>15120</v>
      </c>
      <c r="JE126" s="10" t="n">
        <v>46127</v>
      </c>
      <c r="JG126" s="9" t="n">
        <v>0</v>
      </c>
      <c r="JI126" s="9" t="n">
        <v>0</v>
      </c>
      <c r="JJ126" s="9" t="n">
        <v>5040</v>
      </c>
      <c r="JN126" s="10" t="n">
        <v>46127</v>
      </c>
      <c r="JP126" s="9" t="n">
        <v>0</v>
      </c>
      <c r="JR126" s="9" t="n">
        <v>0</v>
      </c>
      <c r="JS126" s="9" t="n">
        <v>9100</v>
      </c>
      <c r="JW126" s="10" t="n">
        <v>46127</v>
      </c>
      <c r="JY126" s="9" t="n">
        <v>0</v>
      </c>
      <c r="KA126" s="9" t="n">
        <v>0</v>
      </c>
      <c r="KB126" s="9" t="n">
        <v>2940</v>
      </c>
      <c r="KF126" s="10" t="n">
        <v>46127</v>
      </c>
      <c r="KH126" s="9" t="n">
        <v>0</v>
      </c>
      <c r="KJ126" s="9" t="n">
        <v>0</v>
      </c>
      <c r="KK126" s="9" t="n">
        <v>1579.5</v>
      </c>
      <c r="KO126" s="10" t="n">
        <v>46127</v>
      </c>
      <c r="KQ126" s="9" t="n">
        <v>718.1999999999999</v>
      </c>
      <c r="KS126" s="9" t="n">
        <v>718.1999999999999</v>
      </c>
      <c r="KT126" s="9" t="n">
        <v>5216.4</v>
      </c>
      <c r="KX126" s="10" t="n">
        <v>46127</v>
      </c>
      <c r="KZ126" s="9" t="n">
        <v>0</v>
      </c>
      <c r="LB126" s="9" t="n">
        <v>0</v>
      </c>
      <c r="LC126" s="9" t="n">
        <v>0</v>
      </c>
      <c r="LG126" s="10" t="n">
        <v>46127</v>
      </c>
      <c r="LI126" s="9" t="n">
        <v>0</v>
      </c>
      <c r="LK126" s="9" t="n">
        <v>0</v>
      </c>
      <c r="LL126" s="9" t="n">
        <v>0</v>
      </c>
      <c r="LP126" s="10" t="n">
        <v>46127</v>
      </c>
      <c r="LR126" s="9" t="n">
        <v>0</v>
      </c>
      <c r="LT126" s="9" t="n">
        <v>0</v>
      </c>
      <c r="LU126" s="9" t="n">
        <v>0</v>
      </c>
      <c r="LY126" s="10" t="n">
        <v>46127</v>
      </c>
      <c r="MA126" s="9" t="n">
        <v>0</v>
      </c>
      <c r="MC126" s="9" t="n">
        <v>0</v>
      </c>
      <c r="MD126" s="9" t="n">
        <v>0</v>
      </c>
      <c r="MH126" s="10" t="n">
        <v>46127</v>
      </c>
      <c r="MJ126" s="9" t="n">
        <v>0</v>
      </c>
      <c r="ML126" s="9" t="n">
        <v>0</v>
      </c>
      <c r="MM126" s="9" t="n">
        <v>0</v>
      </c>
      <c r="MQ126" s="10" t="n">
        <v>46127</v>
      </c>
      <c r="MS126" s="9" t="n">
        <v>0</v>
      </c>
      <c r="MU126" s="9" t="n">
        <v>0</v>
      </c>
      <c r="MV126" s="9" t="n">
        <v>4149</v>
      </c>
      <c r="MZ126" s="10" t="n">
        <v>46127</v>
      </c>
      <c r="NB126" s="9" t="n">
        <v>114</v>
      </c>
      <c r="ND126" s="9" t="n">
        <v>114</v>
      </c>
      <c r="NE126" s="9" t="n">
        <v>0</v>
      </c>
      <c r="NI126" s="10" t="n">
        <v>46127</v>
      </c>
      <c r="NK126" s="9" t="n">
        <v>38</v>
      </c>
      <c r="NM126" s="9" t="n">
        <v>38</v>
      </c>
      <c r="NN126" s="9" t="n">
        <v>1523</v>
      </c>
      <c r="NR126" s="10" t="n">
        <v>46127</v>
      </c>
      <c r="NT126" s="9" t="n">
        <v>45.6</v>
      </c>
      <c r="NV126" s="9" t="n">
        <v>45.6</v>
      </c>
      <c r="NW126" s="9" t="n">
        <v>3566.1</v>
      </c>
      <c r="OA126" s="10" t="n">
        <v>46127</v>
      </c>
      <c r="OC126" s="9" t="n">
        <v>0</v>
      </c>
      <c r="OE126" s="9" t="n">
        <v>0</v>
      </c>
      <c r="OF126" s="9" t="n">
        <v>1680.5</v>
      </c>
      <c r="OJ126" s="10" t="n">
        <v>46127</v>
      </c>
      <c r="OL126" s="9" t="n">
        <v>106.4</v>
      </c>
      <c r="ON126" s="9" t="n">
        <v>106.4</v>
      </c>
      <c r="OO126" s="9" t="n">
        <v>0</v>
      </c>
      <c r="OS126" s="10" t="n">
        <v>46127</v>
      </c>
      <c r="OU126" s="9" t="n">
        <v>0</v>
      </c>
      <c r="OW126" s="9" t="n">
        <v>0</v>
      </c>
      <c r="OX126" s="9" t="n">
        <v>1000</v>
      </c>
      <c r="PB126" s="10" t="n">
        <v>46127</v>
      </c>
      <c r="PD126" s="9" t="n">
        <v>0</v>
      </c>
      <c r="PF126" s="9" t="n">
        <v>0</v>
      </c>
      <c r="PG126" s="9" t="n">
        <v>0</v>
      </c>
      <c r="PK126" s="10" t="n">
        <v>46127</v>
      </c>
      <c r="PM126" s="9" t="n">
        <v>0</v>
      </c>
      <c r="PO126" s="9" t="n">
        <v>0</v>
      </c>
      <c r="PP126" s="9" t="n">
        <v>100</v>
      </c>
      <c r="PT126" s="10" t="n">
        <v>46127</v>
      </c>
      <c r="PV126" s="9" t="n">
        <v>0</v>
      </c>
      <c r="PX126" s="9" t="n">
        <v>0</v>
      </c>
      <c r="PY126" s="9" t="n">
        <v>13.96000000000004</v>
      </c>
      <c r="QC126" s="10" t="n">
        <v>46127</v>
      </c>
      <c r="QE126" s="9" t="n">
        <v>0</v>
      </c>
      <c r="QG126" s="9" t="n">
        <v>0</v>
      </c>
      <c r="QH126" s="9" t="n">
        <v>1212</v>
      </c>
      <c r="QL126" s="10" t="n">
        <v>46127</v>
      </c>
      <c r="QN126" s="9" t="n">
        <v>0</v>
      </c>
      <c r="QP126" s="9" t="n">
        <v>0</v>
      </c>
      <c r="QQ126" s="9" t="n">
        <v>400</v>
      </c>
      <c r="QU126" s="10" t="n">
        <v>46127</v>
      </c>
      <c r="QW126" s="9" t="n">
        <v>0</v>
      </c>
      <c r="QY126" s="9" t="n">
        <v>0</v>
      </c>
      <c r="QZ126" s="9" t="n">
        <v>207.6</v>
      </c>
      <c r="RD126" s="10" t="n">
        <v>46127</v>
      </c>
      <c r="RF126" s="9" t="n">
        <v>0</v>
      </c>
      <c r="RH126" s="9" t="n">
        <v>0</v>
      </c>
      <c r="RI126" s="9" t="n">
        <v>147.04</v>
      </c>
      <c r="RM126" s="10" t="n">
        <v>46127</v>
      </c>
      <c r="RO126" s="9" t="n">
        <v>0</v>
      </c>
      <c r="RQ126" s="9" t="n">
        <v>0</v>
      </c>
      <c r="RR126" s="9" t="n">
        <v>46.8</v>
      </c>
      <c r="RV126" s="10" t="n">
        <v>46127</v>
      </c>
      <c r="RX126" s="9" t="n">
        <v>0</v>
      </c>
      <c r="RZ126" s="9" t="n">
        <v>0</v>
      </c>
      <c r="SA126" s="9" t="n">
        <v>0</v>
      </c>
      <c r="SE126" s="10" t="n">
        <v>46127</v>
      </c>
      <c r="SG126" s="9" t="n">
        <v>0</v>
      </c>
      <c r="SI126" s="9" t="n">
        <v>0</v>
      </c>
      <c r="SJ126" s="9" t="n">
        <v>125</v>
      </c>
      <c r="SN126" s="10" t="n">
        <v>46127</v>
      </c>
      <c r="SP126" s="9" t="n">
        <v>0</v>
      </c>
      <c r="SR126" s="9" t="n">
        <v>0</v>
      </c>
      <c r="SS126" s="9" t="n">
        <v>200</v>
      </c>
      <c r="SW126" s="10" t="n">
        <v>46127</v>
      </c>
      <c r="SY126" s="9" t="n">
        <v>0</v>
      </c>
      <c r="TA126" s="9" t="n">
        <v>0</v>
      </c>
      <c r="TB126" s="9" t="n">
        <v>0</v>
      </c>
      <c r="TF126" s="10" t="n">
        <v>46127</v>
      </c>
      <c r="TH126" s="9" t="n">
        <v>0</v>
      </c>
      <c r="TJ126" s="9" t="n">
        <v>0</v>
      </c>
      <c r="TK126" s="9" t="n">
        <v>0</v>
      </c>
      <c r="TO126" s="10" t="n">
        <v>46127</v>
      </c>
      <c r="TQ126" s="9" t="n">
        <v>0</v>
      </c>
      <c r="TS126" s="9" t="n">
        <v>0</v>
      </c>
      <c r="TT126" s="9" t="n">
        <v>0</v>
      </c>
      <c r="TX126" s="10" t="n">
        <v>46127</v>
      </c>
      <c r="TZ126" s="9" t="n">
        <v>0</v>
      </c>
      <c r="UB126" s="9" t="n">
        <v>0</v>
      </c>
      <c r="UC126" s="9" t="n">
        <v>0</v>
      </c>
      <c r="UG126" s="10" t="n">
        <v>46127</v>
      </c>
      <c r="UI126" s="9" t="n">
        <v>0</v>
      </c>
      <c r="UK126" s="9" t="n">
        <v>0</v>
      </c>
      <c r="UL126" s="9" t="n">
        <v>0</v>
      </c>
      <c r="UP126" s="10" t="n">
        <v>46127</v>
      </c>
      <c r="UR126" s="9" t="n">
        <v>0</v>
      </c>
      <c r="UT126" s="9" t="n">
        <v>0</v>
      </c>
      <c r="UU126" s="9" t="n">
        <v>0</v>
      </c>
      <c r="UY126" s="10" t="n">
        <v>46127</v>
      </c>
      <c r="VA126" s="9" t="n">
        <v>0</v>
      </c>
      <c r="VC126" s="9" t="n">
        <v>0</v>
      </c>
      <c r="VD126" s="9" t="n">
        <v>41.60000000000002</v>
      </c>
      <c r="VH126" s="10" t="n">
        <v>46127</v>
      </c>
      <c r="VJ126" s="9" t="n">
        <v>0</v>
      </c>
      <c r="VL126" s="9" t="n">
        <v>0</v>
      </c>
      <c r="VM126" s="9" t="n">
        <v>0</v>
      </c>
      <c r="VQ126" s="10" t="n">
        <v>46127</v>
      </c>
      <c r="VS126" s="9" t="n">
        <v>0</v>
      </c>
      <c r="VU126" s="9" t="n">
        <v>0</v>
      </c>
      <c r="VV126" s="9" t="n">
        <v>0</v>
      </c>
      <c r="VZ126" s="10" t="n">
        <v>46127</v>
      </c>
      <c r="WB126" s="9" t="n">
        <v>0</v>
      </c>
      <c r="WD126" s="9" t="n">
        <v>0</v>
      </c>
      <c r="WE126" s="9" t="n">
        <v>0</v>
      </c>
      <c r="WI126" s="10" t="n">
        <v>46127</v>
      </c>
      <c r="WK126" s="9" t="n">
        <v>0</v>
      </c>
      <c r="WM126" s="9" t="n">
        <v>0</v>
      </c>
      <c r="WN126" s="9" t="n">
        <v>2317</v>
      </c>
      <c r="WR126" s="10" t="n">
        <v>46127</v>
      </c>
      <c r="WT126" s="9" t="n">
        <v>0</v>
      </c>
      <c r="WV126" s="9" t="n">
        <v>0</v>
      </c>
      <c r="WW126" s="9" t="n">
        <v>6980</v>
      </c>
      <c r="XA126" s="10" t="n">
        <v>46127</v>
      </c>
      <c r="XC126" s="9" t="n">
        <v>0</v>
      </c>
      <c r="XE126" s="9" t="n">
        <v>0</v>
      </c>
      <c r="XF126" s="9" t="n">
        <v>14868</v>
      </c>
      <c r="XJ126" s="10" t="n">
        <v>46127</v>
      </c>
      <c r="XL126" s="9" t="n">
        <v>0</v>
      </c>
      <c r="XM126" s="9" t="n">
        <v>829</v>
      </c>
      <c r="XN126" s="9" t="n">
        <v>-829</v>
      </c>
      <c r="XO126" s="9" t="n">
        <v>4003</v>
      </c>
      <c r="XS126" s="10" t="n">
        <v>46127</v>
      </c>
      <c r="XU126" s="9" t="n">
        <v>0</v>
      </c>
      <c r="XW126" s="9" t="n">
        <v>0</v>
      </c>
      <c r="XX126" s="9" t="n">
        <v>1901</v>
      </c>
      <c r="YB126" s="10" t="n">
        <v>46127</v>
      </c>
      <c r="YD126" s="9" t="n">
        <v>0</v>
      </c>
      <c r="YF126" s="9" t="n">
        <v>0</v>
      </c>
      <c r="YG126" s="9" t="n">
        <v>6459</v>
      </c>
      <c r="YK126" s="10" t="n">
        <v>46127</v>
      </c>
      <c r="YM126" s="9" t="n">
        <v>0</v>
      </c>
      <c r="YO126" s="9" t="n">
        <v>0</v>
      </c>
      <c r="YP126" s="9" t="n">
        <v>0</v>
      </c>
      <c r="YT126" s="10" t="n">
        <v>46127</v>
      </c>
      <c r="YV126" s="9" t="n">
        <v>0</v>
      </c>
      <c r="YX126" s="9" t="n">
        <v>0</v>
      </c>
      <c r="YY126" s="9" t="n">
        <v>0</v>
      </c>
      <c r="ZC126" s="10" t="n">
        <v>46127</v>
      </c>
      <c r="ZE126" s="9" t="n">
        <v>0</v>
      </c>
      <c r="ZG126" s="9" t="n">
        <v>0</v>
      </c>
      <c r="ZH126" s="9" t="n">
        <v>0</v>
      </c>
      <c r="ZL126" s="10" t="n">
        <v>46127</v>
      </c>
      <c r="ZN126" s="9" t="n">
        <v>0</v>
      </c>
      <c r="ZP126" s="9" t="n">
        <v>0</v>
      </c>
      <c r="ZQ126" s="9" t="n">
        <v>0</v>
      </c>
      <c r="ZU126" s="10" t="n">
        <v>46127</v>
      </c>
      <c r="ZW126" s="9" t="n">
        <v>0</v>
      </c>
      <c r="ZY126" s="9" t="n">
        <v>0</v>
      </c>
      <c r="ZZ126" s="9" t="n">
        <v>0</v>
      </c>
      <c r="AAD126" s="10" t="n">
        <v>46127</v>
      </c>
      <c r="AAF126" s="9" t="n">
        <v>0</v>
      </c>
      <c r="AAH126" s="9" t="n">
        <v>0</v>
      </c>
      <c r="AAI126" s="9" t="n">
        <v>0</v>
      </c>
      <c r="AAM126" s="10" t="n">
        <v>46127</v>
      </c>
      <c r="AAO126" s="9" t="n">
        <v>0</v>
      </c>
      <c r="AAQ126" s="9" t="n">
        <v>0</v>
      </c>
      <c r="AAR126" s="9" t="n">
        <v>0</v>
      </c>
      <c r="AAV126" s="10" t="n">
        <v>46127</v>
      </c>
      <c r="AAX126" s="9" t="n">
        <v>0</v>
      </c>
      <c r="AAZ126" s="9" t="n">
        <v>0</v>
      </c>
      <c r="ABA126" s="9" t="n">
        <v>0</v>
      </c>
      <c r="ABE126" s="10" t="n">
        <v>46127</v>
      </c>
      <c r="ABG126" s="9" t="n">
        <v>0</v>
      </c>
      <c r="ABI126" s="9" t="n">
        <v>0</v>
      </c>
      <c r="ABJ126" s="9" t="n">
        <v>0</v>
      </c>
    </row>
    <row r="127">
      <c r="B127" s="9" t="n">
        <v>60</v>
      </c>
      <c r="C127" s="10" t="n">
        <v>46128</v>
      </c>
      <c r="D127" s="9" t="n">
        <v>29570</v>
      </c>
      <c r="E127" s="9" t="n">
        <v>30141</v>
      </c>
      <c r="F127" s="9" t="n">
        <v>30137.4</v>
      </c>
      <c r="G127" s="9" t="n">
        <v>3.599999999994907</v>
      </c>
      <c r="H127" s="9" t="n">
        <v>135195.2</v>
      </c>
      <c r="I127" s="9" t="inlineStr">
        <is>
          <t>122 60mt</t>
        </is>
      </c>
      <c r="L127" s="10" t="n">
        <v>46128</v>
      </c>
      <c r="N127" s="9" t="n">
        <v>12300</v>
      </c>
      <c r="O127" s="9" t="n">
        <v>12299.6</v>
      </c>
      <c r="P127" s="9" t="n">
        <v>0.3999999999996362</v>
      </c>
      <c r="Q127" s="9" t="n">
        <v>48979.8000000001</v>
      </c>
      <c r="U127" s="10" t="n">
        <v>46128</v>
      </c>
      <c r="W127" s="9" t="n">
        <v>5009.999999999999</v>
      </c>
      <c r="X127" s="9" t="n">
        <v>5009.5</v>
      </c>
      <c r="Y127" s="9" t="n">
        <v>0.4999999999990905</v>
      </c>
      <c r="Z127" s="9" t="n">
        <v>19736.69999999997</v>
      </c>
      <c r="AD127" s="10" t="n">
        <v>46128</v>
      </c>
      <c r="AF127" s="9" t="n">
        <v>780.0000000000001</v>
      </c>
      <c r="AG127" s="9" t="n">
        <v>780.5</v>
      </c>
      <c r="AH127" s="9" t="n">
        <v>-0.4999999999998863</v>
      </c>
      <c r="AI127" s="9" t="n">
        <v>40251.80000000002</v>
      </c>
      <c r="AM127" s="10" t="n">
        <v>46128</v>
      </c>
      <c r="AO127" s="9" t="n">
        <v>0</v>
      </c>
      <c r="AQ127" s="9" t="n">
        <v>0</v>
      </c>
      <c r="AR127" s="9" t="n">
        <v>0</v>
      </c>
      <c r="AV127" s="10" t="n">
        <v>46128</v>
      </c>
      <c r="AX127" s="9" t="n">
        <v>0</v>
      </c>
      <c r="AZ127" s="9" t="n">
        <v>0</v>
      </c>
      <c r="BA127" s="9" t="n">
        <v>12866.29999999999</v>
      </c>
      <c r="BE127" s="10" t="n">
        <v>46128</v>
      </c>
      <c r="BF127" s="9" t="n">
        <v>28080</v>
      </c>
      <c r="BG127" s="9" t="n">
        <v>2520</v>
      </c>
      <c r="BH127" s="9" t="n">
        <v>2521</v>
      </c>
      <c r="BI127" s="9" t="n">
        <v>-1</v>
      </c>
      <c r="BJ127" s="9" t="n">
        <v>31352.9</v>
      </c>
      <c r="BN127" s="10" t="n">
        <v>46128</v>
      </c>
      <c r="BO127" s="9" t="n">
        <v>1200.2</v>
      </c>
      <c r="BP127" s="9" t="n">
        <v>1200</v>
      </c>
      <c r="BQ127" s="9" t="n">
        <v>1200.2</v>
      </c>
      <c r="BR127" s="9" t="n">
        <v>-0.2000000000000455</v>
      </c>
      <c r="BS127" s="9" t="n">
        <v>0</v>
      </c>
      <c r="BW127" s="10" t="n">
        <v>46128</v>
      </c>
      <c r="BY127" s="9" t="n">
        <v>399</v>
      </c>
      <c r="CA127" s="9" t="n">
        <v>399</v>
      </c>
      <c r="CB127" s="9" t="n">
        <v>8228.799999999999</v>
      </c>
      <c r="CF127" s="10" t="n">
        <v>46128</v>
      </c>
      <c r="CH127" s="9" t="n">
        <v>600</v>
      </c>
      <c r="CJ127" s="9" t="n">
        <v>600</v>
      </c>
      <c r="CK127" s="9" t="n">
        <v>0</v>
      </c>
      <c r="CO127" s="10" t="n">
        <v>46128</v>
      </c>
      <c r="CQ127" s="9" t="n">
        <v>0</v>
      </c>
      <c r="CS127" s="9" t="n">
        <v>0</v>
      </c>
      <c r="CT127" s="9" t="n">
        <v>0</v>
      </c>
      <c r="CX127" s="10" t="n">
        <v>46128</v>
      </c>
      <c r="CZ127" s="9" t="n">
        <v>3000</v>
      </c>
      <c r="DA127" s="9" t="n">
        <v>3000.6</v>
      </c>
      <c r="DB127" s="9" t="n">
        <v>-0.5999999999999091</v>
      </c>
      <c r="DC127" s="9" t="n">
        <v>14450.8</v>
      </c>
      <c r="DG127" s="10" t="n">
        <v>46128</v>
      </c>
      <c r="DI127" s="9" t="n">
        <v>2400</v>
      </c>
      <c r="DJ127" s="9" t="n">
        <v>2399.8</v>
      </c>
      <c r="DK127" s="9" t="n">
        <v>0.1999999999998181</v>
      </c>
      <c r="DL127" s="9" t="n">
        <v>15421.19999999999</v>
      </c>
      <c r="DP127" s="10" t="n">
        <v>46128</v>
      </c>
      <c r="DR127" s="9" t="n">
        <v>0</v>
      </c>
      <c r="DT127" s="9" t="n">
        <v>0</v>
      </c>
      <c r="DU127" s="9" t="n">
        <v>6300</v>
      </c>
      <c r="DY127" s="10" t="n">
        <v>46128</v>
      </c>
      <c r="EA127" s="9" t="n">
        <v>0</v>
      </c>
      <c r="EC127" s="9" t="n">
        <v>0</v>
      </c>
      <c r="ED127" s="9" t="n">
        <v>147.3000000000002</v>
      </c>
      <c r="EH127" s="10" t="n">
        <v>46128</v>
      </c>
      <c r="EJ127" s="9" t="n">
        <v>0</v>
      </c>
      <c r="EL127" s="9" t="n">
        <v>0</v>
      </c>
      <c r="EM127" s="9" t="n">
        <v>0</v>
      </c>
      <c r="EQ127" s="10" t="n">
        <v>46128</v>
      </c>
      <c r="ES127" s="9" t="n">
        <v>0</v>
      </c>
      <c r="EU127" s="9" t="n">
        <v>0</v>
      </c>
      <c r="EV127" s="9" t="n">
        <v>0</v>
      </c>
      <c r="EZ127" s="10" t="n">
        <v>46128</v>
      </c>
      <c r="FB127" s="9" t="n">
        <v>0</v>
      </c>
      <c r="FD127" s="9" t="n">
        <v>0</v>
      </c>
      <c r="FE127" s="9" t="n">
        <v>0</v>
      </c>
      <c r="FI127" s="10" t="n">
        <v>46128</v>
      </c>
      <c r="FK127" s="9" t="n">
        <v>0</v>
      </c>
      <c r="FM127" s="9" t="n">
        <v>0</v>
      </c>
      <c r="FN127" s="9" t="n">
        <v>0</v>
      </c>
      <c r="FR127" s="10" t="n">
        <v>46128</v>
      </c>
      <c r="FT127" s="9" t="n">
        <v>0</v>
      </c>
      <c r="FV127" s="9" t="n">
        <v>0</v>
      </c>
      <c r="FW127" s="9" t="n">
        <v>2120</v>
      </c>
      <c r="GA127" s="10" t="n">
        <v>46128</v>
      </c>
      <c r="GC127" s="9" t="n">
        <v>0</v>
      </c>
      <c r="GE127" s="9" t="n">
        <v>0</v>
      </c>
      <c r="GF127" s="9" t="n">
        <v>10000</v>
      </c>
      <c r="GJ127" s="10" t="n">
        <v>46128</v>
      </c>
      <c r="GL127" s="9" t="n">
        <v>0</v>
      </c>
      <c r="GN127" s="9" t="n">
        <v>0</v>
      </c>
      <c r="GO127" s="9" t="n">
        <v>4800</v>
      </c>
      <c r="GS127" s="10" t="n">
        <v>46128</v>
      </c>
      <c r="GU127" s="9" t="n">
        <v>0</v>
      </c>
      <c r="GW127" s="9" t="n">
        <v>0</v>
      </c>
      <c r="GX127" s="9" t="n">
        <v>0</v>
      </c>
      <c r="HB127" s="10" t="n">
        <v>46128</v>
      </c>
      <c r="HD127" s="9" t="n">
        <v>0</v>
      </c>
      <c r="HF127" s="9" t="n">
        <v>0</v>
      </c>
      <c r="HG127" s="9" t="n">
        <v>0</v>
      </c>
      <c r="HK127" s="10" t="n">
        <v>46128</v>
      </c>
      <c r="HM127" s="9" t="n">
        <v>0</v>
      </c>
      <c r="HO127" s="9" t="n">
        <v>0</v>
      </c>
      <c r="HP127" s="9" t="n">
        <v>0</v>
      </c>
      <c r="HU127" s="10" t="n">
        <v>46128</v>
      </c>
      <c r="HW127" s="9" t="n">
        <v>0</v>
      </c>
      <c r="HY127" s="9" t="n">
        <v>0</v>
      </c>
      <c r="HZ127" s="9" t="n">
        <v>5120</v>
      </c>
      <c r="ID127" s="10" t="n">
        <v>46128</v>
      </c>
      <c r="IF127" s="9" t="n">
        <v>0</v>
      </c>
      <c r="IH127" s="9" t="n">
        <v>0</v>
      </c>
      <c r="II127" s="9" t="n">
        <v>6540</v>
      </c>
      <c r="IM127" s="10" t="n">
        <v>46128</v>
      </c>
      <c r="IO127" s="9" t="n">
        <v>0</v>
      </c>
      <c r="IQ127" s="9" t="n">
        <v>0</v>
      </c>
      <c r="IR127" s="9" t="n">
        <v>11540</v>
      </c>
      <c r="IV127" s="10" t="n">
        <v>46128</v>
      </c>
      <c r="IX127" s="9" t="n">
        <v>0</v>
      </c>
      <c r="IZ127" s="9" t="n">
        <v>0</v>
      </c>
      <c r="JA127" s="9" t="n">
        <v>15120</v>
      </c>
      <c r="JE127" s="10" t="n">
        <v>46128</v>
      </c>
      <c r="JG127" s="9" t="n">
        <v>0</v>
      </c>
      <c r="JI127" s="9" t="n">
        <v>0</v>
      </c>
      <c r="JJ127" s="9" t="n">
        <v>5040</v>
      </c>
      <c r="JN127" s="10" t="n">
        <v>46128</v>
      </c>
      <c r="JP127" s="9" t="n">
        <v>0</v>
      </c>
      <c r="JR127" s="9" t="n">
        <v>0</v>
      </c>
      <c r="JS127" s="9" t="n">
        <v>9100</v>
      </c>
      <c r="JW127" s="10" t="n">
        <v>46128</v>
      </c>
      <c r="JY127" s="9" t="n">
        <v>0</v>
      </c>
      <c r="KA127" s="9" t="n">
        <v>0</v>
      </c>
      <c r="KB127" s="9" t="n">
        <v>2940</v>
      </c>
      <c r="KF127" s="10" t="n">
        <v>46128</v>
      </c>
      <c r="KH127" s="9" t="n">
        <v>1170</v>
      </c>
      <c r="KJ127" s="9" t="n">
        <v>1170</v>
      </c>
      <c r="KK127" s="9" t="n">
        <v>1579.5</v>
      </c>
      <c r="KO127" s="10" t="n">
        <v>46128</v>
      </c>
      <c r="KQ127" s="9" t="n">
        <v>0</v>
      </c>
      <c r="KS127" s="9" t="n">
        <v>0</v>
      </c>
      <c r="KT127" s="9" t="n">
        <v>5216.4</v>
      </c>
      <c r="KX127" s="10" t="n">
        <v>46128</v>
      </c>
      <c r="KZ127" s="9" t="n">
        <v>0</v>
      </c>
      <c r="LB127" s="9" t="n">
        <v>0</v>
      </c>
      <c r="LC127" s="9" t="n">
        <v>0</v>
      </c>
      <c r="LG127" s="10" t="n">
        <v>46128</v>
      </c>
      <c r="LI127" s="9" t="n">
        <v>0</v>
      </c>
      <c r="LK127" s="9" t="n">
        <v>0</v>
      </c>
      <c r="LL127" s="9" t="n">
        <v>0</v>
      </c>
      <c r="LP127" s="10" t="n">
        <v>46128</v>
      </c>
      <c r="LR127" s="9" t="n">
        <v>0</v>
      </c>
      <c r="LT127" s="9" t="n">
        <v>0</v>
      </c>
      <c r="LU127" s="9" t="n">
        <v>0</v>
      </c>
      <c r="LY127" s="10" t="n">
        <v>46128</v>
      </c>
      <c r="MA127" s="9" t="n">
        <v>0</v>
      </c>
      <c r="MC127" s="9" t="n">
        <v>0</v>
      </c>
      <c r="MD127" s="9" t="n">
        <v>0</v>
      </c>
      <c r="MH127" s="10" t="n">
        <v>46128</v>
      </c>
      <c r="MJ127" s="9" t="n">
        <v>0</v>
      </c>
      <c r="ML127" s="9" t="n">
        <v>0</v>
      </c>
      <c r="MM127" s="9" t="n">
        <v>0</v>
      </c>
      <c r="MQ127" s="10" t="n">
        <v>46128</v>
      </c>
      <c r="MS127" s="9" t="n">
        <v>0</v>
      </c>
      <c r="MU127" s="9" t="n">
        <v>0</v>
      </c>
      <c r="MV127" s="9" t="n">
        <v>4149</v>
      </c>
      <c r="MZ127" s="10" t="n">
        <v>46128</v>
      </c>
      <c r="NB127" s="9" t="n">
        <v>180</v>
      </c>
      <c r="ND127" s="9" t="n">
        <v>180</v>
      </c>
      <c r="NE127" s="9" t="n">
        <v>0</v>
      </c>
      <c r="NI127" s="10" t="n">
        <v>46128</v>
      </c>
      <c r="NK127" s="9" t="n">
        <v>60</v>
      </c>
      <c r="NM127" s="9" t="n">
        <v>60</v>
      </c>
      <c r="NN127" s="9" t="n">
        <v>1523</v>
      </c>
      <c r="NR127" s="10" t="n">
        <v>46128</v>
      </c>
      <c r="NT127" s="9" t="n">
        <v>72</v>
      </c>
      <c r="NV127" s="9" t="n">
        <v>72</v>
      </c>
      <c r="NW127" s="9" t="n">
        <v>3566.1</v>
      </c>
      <c r="OA127" s="10" t="n">
        <v>46128</v>
      </c>
      <c r="OC127" s="9" t="n">
        <v>0</v>
      </c>
      <c r="OE127" s="9" t="n">
        <v>0</v>
      </c>
      <c r="OF127" s="9" t="n">
        <v>1680.5</v>
      </c>
      <c r="OJ127" s="10" t="n">
        <v>46128</v>
      </c>
      <c r="OL127" s="9" t="n">
        <v>168</v>
      </c>
      <c r="ON127" s="9" t="n">
        <v>168</v>
      </c>
      <c r="OO127" s="9" t="n">
        <v>0</v>
      </c>
      <c r="OS127" s="10" t="n">
        <v>46128</v>
      </c>
      <c r="OU127" s="9" t="n">
        <v>0</v>
      </c>
      <c r="OW127" s="9" t="n">
        <v>0</v>
      </c>
      <c r="OX127" s="9" t="n">
        <v>1000</v>
      </c>
      <c r="PB127" s="10" t="n">
        <v>46128</v>
      </c>
      <c r="PD127" s="9" t="n">
        <v>0</v>
      </c>
      <c r="PF127" s="9" t="n">
        <v>0</v>
      </c>
      <c r="PG127" s="9" t="n">
        <v>0</v>
      </c>
      <c r="PK127" s="10" t="n">
        <v>46128</v>
      </c>
      <c r="PM127" s="9" t="n">
        <v>0</v>
      </c>
      <c r="PO127" s="9" t="n">
        <v>0</v>
      </c>
      <c r="PP127" s="9" t="n">
        <v>100</v>
      </c>
      <c r="PT127" s="10" t="n">
        <v>46128</v>
      </c>
      <c r="PV127" s="9" t="n">
        <v>0</v>
      </c>
      <c r="PX127" s="9" t="n">
        <v>0</v>
      </c>
      <c r="PY127" s="9" t="n">
        <v>13.96000000000004</v>
      </c>
      <c r="QC127" s="10" t="n">
        <v>46128</v>
      </c>
      <c r="QE127" s="9" t="n">
        <v>0</v>
      </c>
      <c r="QG127" s="9" t="n">
        <v>0</v>
      </c>
      <c r="QH127" s="9" t="n">
        <v>1212</v>
      </c>
      <c r="QL127" s="10" t="n">
        <v>46128</v>
      </c>
      <c r="QN127" s="9" t="n">
        <v>0</v>
      </c>
      <c r="QP127" s="9" t="n">
        <v>0</v>
      </c>
      <c r="QQ127" s="9" t="n">
        <v>400</v>
      </c>
      <c r="QU127" s="10" t="n">
        <v>46128</v>
      </c>
      <c r="QW127" s="9" t="n">
        <v>0</v>
      </c>
      <c r="QY127" s="9" t="n">
        <v>0</v>
      </c>
      <c r="QZ127" s="9" t="n">
        <v>207.6</v>
      </c>
      <c r="RD127" s="10" t="n">
        <v>46128</v>
      </c>
      <c r="RF127" s="9" t="n">
        <v>0</v>
      </c>
      <c r="RH127" s="9" t="n">
        <v>0</v>
      </c>
      <c r="RI127" s="9" t="n">
        <v>147.04</v>
      </c>
      <c r="RM127" s="10" t="n">
        <v>46128</v>
      </c>
      <c r="RO127" s="9" t="n">
        <v>0</v>
      </c>
      <c r="RQ127" s="9" t="n">
        <v>0</v>
      </c>
      <c r="RR127" s="9" t="n">
        <v>46.8</v>
      </c>
      <c r="RV127" s="10" t="n">
        <v>46128</v>
      </c>
      <c r="RX127" s="9" t="n">
        <v>0</v>
      </c>
      <c r="RZ127" s="9" t="n">
        <v>0</v>
      </c>
      <c r="SA127" s="9" t="n">
        <v>0</v>
      </c>
      <c r="SE127" s="10" t="n">
        <v>46128</v>
      </c>
      <c r="SG127" s="9" t="n">
        <v>0</v>
      </c>
      <c r="SI127" s="9" t="n">
        <v>0</v>
      </c>
      <c r="SJ127" s="9" t="n">
        <v>125</v>
      </c>
      <c r="SN127" s="10" t="n">
        <v>46128</v>
      </c>
      <c r="SP127" s="9" t="n">
        <v>0</v>
      </c>
      <c r="SR127" s="9" t="n">
        <v>0</v>
      </c>
      <c r="SS127" s="9" t="n">
        <v>200</v>
      </c>
      <c r="SW127" s="10" t="n">
        <v>46128</v>
      </c>
      <c r="SY127" s="9" t="n">
        <v>0</v>
      </c>
      <c r="TA127" s="9" t="n">
        <v>0</v>
      </c>
      <c r="TB127" s="9" t="n">
        <v>0</v>
      </c>
      <c r="TF127" s="10" t="n">
        <v>46128</v>
      </c>
      <c r="TH127" s="9" t="n">
        <v>0</v>
      </c>
      <c r="TJ127" s="9" t="n">
        <v>0</v>
      </c>
      <c r="TK127" s="9" t="n">
        <v>0</v>
      </c>
      <c r="TO127" s="10" t="n">
        <v>46128</v>
      </c>
      <c r="TQ127" s="9" t="n">
        <v>0</v>
      </c>
      <c r="TS127" s="9" t="n">
        <v>0</v>
      </c>
      <c r="TT127" s="9" t="n">
        <v>0</v>
      </c>
      <c r="TX127" s="10" t="n">
        <v>46128</v>
      </c>
      <c r="TZ127" s="9" t="n">
        <v>0</v>
      </c>
      <c r="UB127" s="9" t="n">
        <v>0</v>
      </c>
      <c r="UC127" s="9" t="n">
        <v>0</v>
      </c>
      <c r="UG127" s="10" t="n">
        <v>46128</v>
      </c>
      <c r="UI127" s="9" t="n">
        <v>0</v>
      </c>
      <c r="UK127" s="9" t="n">
        <v>0</v>
      </c>
      <c r="UL127" s="9" t="n">
        <v>0</v>
      </c>
      <c r="UP127" s="10" t="n">
        <v>46128</v>
      </c>
      <c r="UR127" s="9" t="n">
        <v>0</v>
      </c>
      <c r="UT127" s="9" t="n">
        <v>0</v>
      </c>
      <c r="UU127" s="9" t="n">
        <v>0</v>
      </c>
      <c r="UY127" s="10" t="n">
        <v>46128</v>
      </c>
      <c r="VA127" s="9" t="n">
        <v>0</v>
      </c>
      <c r="VC127" s="9" t="n">
        <v>0</v>
      </c>
      <c r="VD127" s="9" t="n">
        <v>41.60000000000002</v>
      </c>
      <c r="VH127" s="10" t="n">
        <v>46128</v>
      </c>
      <c r="VJ127" s="9" t="n">
        <v>0</v>
      </c>
      <c r="VL127" s="9" t="n">
        <v>0</v>
      </c>
      <c r="VM127" s="9" t="n">
        <v>0</v>
      </c>
      <c r="VQ127" s="10" t="n">
        <v>46128</v>
      </c>
      <c r="VS127" s="9" t="n">
        <v>0</v>
      </c>
      <c r="VU127" s="9" t="n">
        <v>0</v>
      </c>
      <c r="VV127" s="9" t="n">
        <v>0</v>
      </c>
      <c r="VZ127" s="10" t="n">
        <v>46128</v>
      </c>
      <c r="WB127" s="9" t="n">
        <v>0</v>
      </c>
      <c r="WD127" s="9" t="n">
        <v>0</v>
      </c>
      <c r="WE127" s="9" t="n">
        <v>0</v>
      </c>
      <c r="WI127" s="10" t="n">
        <v>46128</v>
      </c>
      <c r="WK127" s="9" t="n">
        <v>0</v>
      </c>
      <c r="WM127" s="9" t="n">
        <v>0</v>
      </c>
      <c r="WN127" s="9" t="n">
        <v>2317</v>
      </c>
      <c r="WR127" s="10" t="n">
        <v>46128</v>
      </c>
      <c r="WT127" s="9" t="n">
        <v>0</v>
      </c>
      <c r="WV127" s="9" t="n">
        <v>0</v>
      </c>
      <c r="WW127" s="9" t="n">
        <v>6980</v>
      </c>
      <c r="XA127" s="10" t="n">
        <v>46128</v>
      </c>
      <c r="XC127" s="9" t="n">
        <v>0</v>
      </c>
      <c r="XE127" s="9" t="n">
        <v>0</v>
      </c>
      <c r="XF127" s="9" t="n">
        <v>14868</v>
      </c>
      <c r="XJ127" s="10" t="n">
        <v>46128</v>
      </c>
      <c r="XL127" s="9" t="n">
        <v>0</v>
      </c>
      <c r="XN127" s="9" t="n">
        <v>0</v>
      </c>
      <c r="XO127" s="9" t="n">
        <v>4003</v>
      </c>
      <c r="XS127" s="10" t="n">
        <v>46128</v>
      </c>
      <c r="XU127" s="9" t="n">
        <v>0</v>
      </c>
      <c r="XW127" s="9" t="n">
        <v>0</v>
      </c>
      <c r="XX127" s="9" t="n">
        <v>1901</v>
      </c>
      <c r="YB127" s="10" t="n">
        <v>46128</v>
      </c>
      <c r="YD127" s="9" t="n">
        <v>0</v>
      </c>
      <c r="YF127" s="9" t="n">
        <v>0</v>
      </c>
      <c r="YG127" s="9" t="n">
        <v>6459</v>
      </c>
      <c r="YK127" s="10" t="n">
        <v>46128</v>
      </c>
      <c r="YM127" s="9" t="n">
        <v>0</v>
      </c>
      <c r="YO127" s="9" t="n">
        <v>0</v>
      </c>
      <c r="YP127" s="9" t="n">
        <v>0</v>
      </c>
      <c r="YT127" s="10" t="n">
        <v>46128</v>
      </c>
      <c r="YV127" s="9" t="n">
        <v>0</v>
      </c>
      <c r="YX127" s="9" t="n">
        <v>0</v>
      </c>
      <c r="YY127" s="9" t="n">
        <v>0</v>
      </c>
      <c r="ZC127" s="10" t="n">
        <v>46128</v>
      </c>
      <c r="ZE127" s="9" t="n">
        <v>0</v>
      </c>
      <c r="ZG127" s="9" t="n">
        <v>0</v>
      </c>
      <c r="ZH127" s="9" t="n">
        <v>0</v>
      </c>
      <c r="ZL127" s="10" t="n">
        <v>46128</v>
      </c>
      <c r="ZN127" s="9" t="n">
        <v>0</v>
      </c>
      <c r="ZP127" s="9" t="n">
        <v>0</v>
      </c>
      <c r="ZQ127" s="9" t="n">
        <v>0</v>
      </c>
      <c r="ZU127" s="10" t="n">
        <v>46128</v>
      </c>
      <c r="ZW127" s="9" t="n">
        <v>0</v>
      </c>
      <c r="ZY127" s="9" t="n">
        <v>0</v>
      </c>
      <c r="ZZ127" s="9" t="n">
        <v>0</v>
      </c>
      <c r="AAD127" s="10" t="n">
        <v>46128</v>
      </c>
      <c r="AAF127" s="9" t="n">
        <v>0</v>
      </c>
      <c r="AAH127" s="9" t="n">
        <v>0</v>
      </c>
      <c r="AAI127" s="9" t="n">
        <v>0</v>
      </c>
      <c r="AAM127" s="10" t="n">
        <v>46128</v>
      </c>
      <c r="AAO127" s="9" t="n">
        <v>0</v>
      </c>
      <c r="AAQ127" s="9" t="n">
        <v>0</v>
      </c>
      <c r="AAR127" s="9" t="n">
        <v>0</v>
      </c>
      <c r="AAV127" s="10" t="n">
        <v>46128</v>
      </c>
      <c r="AAX127" s="9" t="n">
        <v>0</v>
      </c>
      <c r="AAZ127" s="9" t="n">
        <v>0</v>
      </c>
      <c r="ABA127" s="9" t="n">
        <v>0</v>
      </c>
      <c r="ABE127" s="10" t="n">
        <v>46128</v>
      </c>
      <c r="ABG127" s="9" t="n">
        <v>0</v>
      </c>
      <c r="ABI127" s="9" t="n">
        <v>0</v>
      </c>
      <c r="ABJ127" s="9" t="n">
        <v>0</v>
      </c>
    </row>
    <row r="128">
      <c r="B128" s="9" t="n">
        <v>66</v>
      </c>
      <c r="C128" s="10" t="n">
        <v>46129</v>
      </c>
      <c r="E128" s="9" t="n">
        <v>36980</v>
      </c>
      <c r="F128" s="9" t="n">
        <v>36981.2</v>
      </c>
      <c r="G128" s="9" t="n">
        <v>-1.19999999999709</v>
      </c>
      <c r="H128" s="9" t="n">
        <v>98213.99999999999</v>
      </c>
      <c r="I128" s="9" t="inlineStr">
        <is>
          <t>122 20mt, 1102 46mt</t>
        </is>
      </c>
      <c r="L128" s="10" t="n">
        <v>46129</v>
      </c>
      <c r="M128" s="9" t="n">
        <v>42810</v>
      </c>
      <c r="N128" s="9" t="n">
        <v>15784</v>
      </c>
      <c r="O128" s="9" t="n">
        <v>15779.2</v>
      </c>
      <c r="P128" s="9" t="n">
        <v>4.799999999999272</v>
      </c>
      <c r="Q128" s="9" t="n">
        <v>76010.60000000011</v>
      </c>
      <c r="U128" s="10" t="n">
        <v>46129</v>
      </c>
      <c r="W128" s="9" t="n">
        <v>2820</v>
      </c>
      <c r="X128" s="9" t="n">
        <v>2821.7</v>
      </c>
      <c r="Y128" s="9" t="n">
        <v>-1.699999999999818</v>
      </c>
      <c r="Z128" s="9" t="n">
        <v>16914.99999999997</v>
      </c>
      <c r="AD128" s="10" t="n">
        <v>46129</v>
      </c>
      <c r="AF128" s="9" t="n">
        <v>2560</v>
      </c>
      <c r="AG128" s="9" t="n">
        <v>2562.1</v>
      </c>
      <c r="AH128" s="9" t="n">
        <v>-2.099999999999909</v>
      </c>
      <c r="AI128" s="9" t="n">
        <v>37689.70000000002</v>
      </c>
      <c r="AM128" s="10" t="n">
        <v>46129</v>
      </c>
      <c r="AO128" s="9" t="n">
        <v>0</v>
      </c>
      <c r="AQ128" s="9" t="n">
        <v>0</v>
      </c>
      <c r="AR128" s="9" t="n">
        <v>0</v>
      </c>
      <c r="AV128" s="10" t="n">
        <v>46129</v>
      </c>
      <c r="AX128" s="9" t="n">
        <v>460</v>
      </c>
      <c r="AY128" s="9" t="n">
        <v>459.9</v>
      </c>
      <c r="AZ128" s="9" t="n">
        <v>0.1000000000000227</v>
      </c>
      <c r="BA128" s="9" t="n">
        <v>12406.39999999999</v>
      </c>
      <c r="BE128" s="10" t="n">
        <v>46129</v>
      </c>
      <c r="BG128" s="9" t="n">
        <v>1990</v>
      </c>
      <c r="BH128" s="9" t="n">
        <v>1992.9</v>
      </c>
      <c r="BI128" s="9" t="n">
        <v>-2.900000000000091</v>
      </c>
      <c r="BJ128" s="9" t="n">
        <v>29360</v>
      </c>
      <c r="BN128" s="10" t="n">
        <v>46129</v>
      </c>
      <c r="BO128" s="9" t="n">
        <v>1650.1</v>
      </c>
      <c r="BP128" s="9" t="n">
        <v>1550</v>
      </c>
      <c r="BQ128" s="9" t="n">
        <v>1650.1</v>
      </c>
      <c r="BR128" s="9" t="n">
        <v>-100.0999999999999</v>
      </c>
      <c r="BS128" s="9" t="n">
        <v>0</v>
      </c>
      <c r="BW128" s="10" t="n">
        <v>46129</v>
      </c>
      <c r="BY128" s="9" t="n">
        <v>133</v>
      </c>
      <c r="CA128" s="9" t="n">
        <v>133</v>
      </c>
      <c r="CB128" s="9" t="n">
        <v>8228.799999999999</v>
      </c>
      <c r="CF128" s="10" t="n">
        <v>46129</v>
      </c>
      <c r="CH128" s="9" t="n">
        <v>430</v>
      </c>
      <c r="CJ128" s="9" t="n">
        <v>430</v>
      </c>
      <c r="CK128" s="9" t="n">
        <v>0</v>
      </c>
      <c r="CO128" s="10" t="n">
        <v>46129</v>
      </c>
      <c r="CQ128" s="9" t="n">
        <v>0</v>
      </c>
      <c r="CS128" s="9" t="n">
        <v>0</v>
      </c>
      <c r="CT128" s="9" t="n">
        <v>0</v>
      </c>
      <c r="CX128" s="10" t="n">
        <v>46129</v>
      </c>
      <c r="CZ128" s="9" t="n">
        <v>1000</v>
      </c>
      <c r="DA128" s="9" t="n">
        <v>999.8</v>
      </c>
      <c r="DB128" s="9" t="n">
        <v>0.2000000000000455</v>
      </c>
      <c r="DC128" s="9" t="n">
        <v>13451.00000000001</v>
      </c>
      <c r="DG128" s="10" t="n">
        <v>46129</v>
      </c>
      <c r="DI128" s="9" t="n">
        <v>800</v>
      </c>
      <c r="DJ128" s="9" t="n">
        <v>801.2</v>
      </c>
      <c r="DK128" s="9" t="n">
        <v>-1.200000000000045</v>
      </c>
      <c r="DL128" s="9" t="n">
        <v>14619.99999999999</v>
      </c>
      <c r="DP128" s="10" t="n">
        <v>46129</v>
      </c>
      <c r="DR128" s="9" t="n">
        <v>0</v>
      </c>
      <c r="DT128" s="9" t="n">
        <v>0</v>
      </c>
      <c r="DU128" s="9" t="n">
        <v>6300</v>
      </c>
      <c r="DY128" s="10" t="n">
        <v>46129</v>
      </c>
      <c r="EA128" s="9" t="n">
        <v>0</v>
      </c>
      <c r="EC128" s="9" t="n">
        <v>0</v>
      </c>
      <c r="ED128" s="9" t="n">
        <v>147.3000000000002</v>
      </c>
      <c r="EH128" s="10" t="n">
        <v>46129</v>
      </c>
      <c r="EJ128" s="9" t="n">
        <v>0</v>
      </c>
      <c r="EL128" s="9" t="n">
        <v>0</v>
      </c>
      <c r="EM128" s="9" t="n">
        <v>0</v>
      </c>
      <c r="EQ128" s="10" t="n">
        <v>46129</v>
      </c>
      <c r="ES128" s="9" t="n">
        <v>0</v>
      </c>
      <c r="EU128" s="9" t="n">
        <v>0</v>
      </c>
      <c r="EV128" s="9" t="n">
        <v>0</v>
      </c>
      <c r="EZ128" s="10" t="n">
        <v>46129</v>
      </c>
      <c r="FB128" s="9" t="n">
        <v>0</v>
      </c>
      <c r="FD128" s="9" t="n">
        <v>0</v>
      </c>
      <c r="FE128" s="9" t="n">
        <v>0</v>
      </c>
      <c r="FI128" s="10" t="n">
        <v>46129</v>
      </c>
      <c r="FK128" s="9" t="n">
        <v>0</v>
      </c>
      <c r="FM128" s="9" t="n">
        <v>0</v>
      </c>
      <c r="FN128" s="9" t="n">
        <v>0</v>
      </c>
      <c r="FR128" s="10" t="n">
        <v>46129</v>
      </c>
      <c r="FT128" s="9" t="n">
        <v>0</v>
      </c>
      <c r="FV128" s="9" t="n">
        <v>0</v>
      </c>
      <c r="FW128" s="9" t="n">
        <v>2120</v>
      </c>
      <c r="GA128" s="10" t="n">
        <v>46129</v>
      </c>
      <c r="GC128" s="9" t="n">
        <v>920</v>
      </c>
      <c r="GE128" s="9" t="n">
        <v>920</v>
      </c>
      <c r="GF128" s="9" t="n">
        <v>10000</v>
      </c>
      <c r="GJ128" s="10" t="n">
        <v>46129</v>
      </c>
      <c r="GL128" s="9" t="n">
        <v>0</v>
      </c>
      <c r="GN128" s="9" t="n">
        <v>0</v>
      </c>
      <c r="GO128" s="9" t="n">
        <v>4800</v>
      </c>
      <c r="GS128" s="10" t="n">
        <v>46129</v>
      </c>
      <c r="GU128" s="9" t="n">
        <v>0</v>
      </c>
      <c r="GW128" s="9" t="n">
        <v>0</v>
      </c>
      <c r="GX128" s="9" t="n">
        <v>0</v>
      </c>
      <c r="HB128" s="10" t="n">
        <v>46129</v>
      </c>
      <c r="HD128" s="9" t="n">
        <v>0</v>
      </c>
      <c r="HF128" s="9" t="n">
        <v>0</v>
      </c>
      <c r="HG128" s="9" t="n">
        <v>0</v>
      </c>
      <c r="HK128" s="10" t="n">
        <v>46129</v>
      </c>
      <c r="HM128" s="9" t="n">
        <v>0</v>
      </c>
      <c r="HO128" s="9" t="n">
        <v>0</v>
      </c>
      <c r="HP128" s="9" t="n">
        <v>0</v>
      </c>
      <c r="HU128" s="10" t="n">
        <v>46129</v>
      </c>
      <c r="HW128" s="9" t="n">
        <v>0</v>
      </c>
      <c r="HY128" s="9" t="n">
        <v>0</v>
      </c>
      <c r="HZ128" s="9" t="n">
        <v>5120</v>
      </c>
      <c r="ID128" s="10" t="n">
        <v>46129</v>
      </c>
      <c r="IF128" s="9" t="n">
        <v>0</v>
      </c>
      <c r="IH128" s="9" t="n">
        <v>0</v>
      </c>
      <c r="II128" s="9" t="n">
        <v>6540</v>
      </c>
      <c r="IM128" s="10" t="n">
        <v>46129</v>
      </c>
      <c r="IO128" s="9" t="n">
        <v>0</v>
      </c>
      <c r="IQ128" s="9" t="n">
        <v>0</v>
      </c>
      <c r="IR128" s="9" t="n">
        <v>11540</v>
      </c>
      <c r="IV128" s="10" t="n">
        <v>46129</v>
      </c>
      <c r="IX128" s="9" t="n">
        <v>0</v>
      </c>
      <c r="IZ128" s="9" t="n">
        <v>0</v>
      </c>
      <c r="JA128" s="9" t="n">
        <v>15120</v>
      </c>
      <c r="JE128" s="10" t="n">
        <v>46129</v>
      </c>
      <c r="JG128" s="9" t="n">
        <v>0</v>
      </c>
      <c r="JI128" s="9" t="n">
        <v>0</v>
      </c>
      <c r="JJ128" s="9" t="n">
        <v>5040</v>
      </c>
      <c r="JN128" s="10" t="n">
        <v>46129</v>
      </c>
      <c r="JP128" s="9" t="n">
        <v>0</v>
      </c>
      <c r="JR128" s="9" t="n">
        <v>0</v>
      </c>
      <c r="JS128" s="9" t="n">
        <v>9100</v>
      </c>
      <c r="JW128" s="10" t="n">
        <v>46129</v>
      </c>
      <c r="JY128" s="9" t="n">
        <v>0</v>
      </c>
      <c r="KA128" s="9" t="n">
        <v>0</v>
      </c>
      <c r="KB128" s="9" t="n">
        <v>2940</v>
      </c>
      <c r="KF128" s="10" t="n">
        <v>46129</v>
      </c>
      <c r="KH128" s="9" t="n">
        <v>390</v>
      </c>
      <c r="KJ128" s="9" t="n">
        <v>390</v>
      </c>
      <c r="KK128" s="9" t="n">
        <v>1579.5</v>
      </c>
      <c r="KO128" s="10" t="n">
        <v>46129</v>
      </c>
      <c r="KQ128" s="9" t="n">
        <v>0</v>
      </c>
      <c r="KS128" s="9" t="n">
        <v>0</v>
      </c>
      <c r="KT128" s="9" t="n">
        <v>5216.4</v>
      </c>
      <c r="KX128" s="10" t="n">
        <v>46129</v>
      </c>
      <c r="KZ128" s="9" t="n">
        <v>0</v>
      </c>
      <c r="LB128" s="9" t="n">
        <v>0</v>
      </c>
      <c r="LC128" s="9" t="n">
        <v>0</v>
      </c>
      <c r="LG128" s="10" t="n">
        <v>46129</v>
      </c>
      <c r="LI128" s="9" t="n">
        <v>0</v>
      </c>
      <c r="LK128" s="9" t="n">
        <v>0</v>
      </c>
      <c r="LL128" s="9" t="n">
        <v>0</v>
      </c>
      <c r="LP128" s="10" t="n">
        <v>46129</v>
      </c>
      <c r="LR128" s="9" t="n">
        <v>0</v>
      </c>
      <c r="LT128" s="9" t="n">
        <v>0</v>
      </c>
      <c r="LU128" s="9" t="n">
        <v>0</v>
      </c>
      <c r="LY128" s="10" t="n">
        <v>46129</v>
      </c>
      <c r="MA128" s="9" t="n">
        <v>0</v>
      </c>
      <c r="MC128" s="9" t="n">
        <v>0</v>
      </c>
      <c r="MD128" s="9" t="n">
        <v>0</v>
      </c>
      <c r="MH128" s="10" t="n">
        <v>46129</v>
      </c>
      <c r="MJ128" s="9" t="n">
        <v>0</v>
      </c>
      <c r="ML128" s="9" t="n">
        <v>0</v>
      </c>
      <c r="MM128" s="9" t="n">
        <v>0</v>
      </c>
      <c r="MQ128" s="10" t="n">
        <v>46129</v>
      </c>
      <c r="MS128" s="9" t="n">
        <v>23</v>
      </c>
      <c r="MU128" s="9" t="n">
        <v>23</v>
      </c>
      <c r="MV128" s="9" t="n">
        <v>4149</v>
      </c>
      <c r="MZ128" s="10" t="n">
        <v>46129</v>
      </c>
      <c r="NB128" s="9" t="n">
        <v>60</v>
      </c>
      <c r="ND128" s="9" t="n">
        <v>60</v>
      </c>
      <c r="NE128" s="9" t="n">
        <v>0</v>
      </c>
      <c r="NI128" s="10" t="n">
        <v>46129</v>
      </c>
      <c r="NK128" s="9" t="n">
        <v>20</v>
      </c>
      <c r="NM128" s="9" t="n">
        <v>20</v>
      </c>
      <c r="NN128" s="9" t="n">
        <v>1523</v>
      </c>
      <c r="NR128" s="10" t="n">
        <v>46129</v>
      </c>
      <c r="NT128" s="9" t="n">
        <v>24</v>
      </c>
      <c r="NV128" s="9" t="n">
        <v>24</v>
      </c>
      <c r="NW128" s="9" t="n">
        <v>3566.1</v>
      </c>
      <c r="OA128" s="10" t="n">
        <v>46129</v>
      </c>
      <c r="OC128" s="9" t="n">
        <v>0</v>
      </c>
      <c r="OE128" s="9" t="n">
        <v>0</v>
      </c>
      <c r="OF128" s="9" t="n">
        <v>1680.5</v>
      </c>
      <c r="OJ128" s="10" t="n">
        <v>46129</v>
      </c>
      <c r="OL128" s="9" t="n">
        <v>55.99999999999999</v>
      </c>
      <c r="ON128" s="9" t="n">
        <v>55.99999999999999</v>
      </c>
      <c r="OO128" s="9" t="n">
        <v>0</v>
      </c>
      <c r="OS128" s="10" t="n">
        <v>46129</v>
      </c>
      <c r="OU128" s="9" t="n">
        <v>0</v>
      </c>
      <c r="OW128" s="9" t="n">
        <v>0</v>
      </c>
      <c r="OX128" s="9" t="n">
        <v>1000</v>
      </c>
      <c r="PB128" s="10" t="n">
        <v>46129</v>
      </c>
      <c r="PD128" s="9" t="n">
        <v>0</v>
      </c>
      <c r="PF128" s="9" t="n">
        <v>0</v>
      </c>
      <c r="PG128" s="9" t="n">
        <v>0</v>
      </c>
      <c r="PK128" s="10" t="n">
        <v>46129</v>
      </c>
      <c r="PM128" s="9" t="n">
        <v>0</v>
      </c>
      <c r="PO128" s="9" t="n">
        <v>0</v>
      </c>
      <c r="PP128" s="9" t="n">
        <v>100</v>
      </c>
      <c r="PT128" s="10" t="n">
        <v>46129</v>
      </c>
      <c r="PV128" s="9" t="n">
        <v>0</v>
      </c>
      <c r="PX128" s="9" t="n">
        <v>0</v>
      </c>
      <c r="PY128" s="9" t="n">
        <v>13.96000000000004</v>
      </c>
      <c r="QC128" s="10" t="n">
        <v>46129</v>
      </c>
      <c r="QE128" s="9" t="n">
        <v>0</v>
      </c>
      <c r="QG128" s="9" t="n">
        <v>0</v>
      </c>
      <c r="QH128" s="9" t="n">
        <v>1212</v>
      </c>
      <c r="QL128" s="10" t="n">
        <v>46129</v>
      </c>
      <c r="QN128" s="9" t="n">
        <v>0</v>
      </c>
      <c r="QP128" s="9" t="n">
        <v>0</v>
      </c>
      <c r="QQ128" s="9" t="n">
        <v>400</v>
      </c>
      <c r="QU128" s="10" t="n">
        <v>46129</v>
      </c>
      <c r="QW128" s="9" t="n">
        <v>0</v>
      </c>
      <c r="QY128" s="9" t="n">
        <v>0</v>
      </c>
      <c r="QZ128" s="9" t="n">
        <v>207.6</v>
      </c>
      <c r="RD128" s="10" t="n">
        <v>46129</v>
      </c>
      <c r="RF128" s="9" t="n">
        <v>0</v>
      </c>
      <c r="RH128" s="9" t="n">
        <v>0</v>
      </c>
      <c r="RI128" s="9" t="n">
        <v>147.04</v>
      </c>
      <c r="RM128" s="10" t="n">
        <v>46129</v>
      </c>
      <c r="RO128" s="9" t="n">
        <v>0</v>
      </c>
      <c r="RQ128" s="9" t="n">
        <v>0</v>
      </c>
      <c r="RR128" s="9" t="n">
        <v>46.8</v>
      </c>
      <c r="RV128" s="10" t="n">
        <v>46129</v>
      </c>
      <c r="RX128" s="9" t="n">
        <v>0</v>
      </c>
      <c r="RZ128" s="9" t="n">
        <v>0</v>
      </c>
      <c r="SA128" s="9" t="n">
        <v>0</v>
      </c>
      <c r="SE128" s="10" t="n">
        <v>46129</v>
      </c>
      <c r="SG128" s="9" t="n">
        <v>0</v>
      </c>
      <c r="SI128" s="9" t="n">
        <v>0</v>
      </c>
      <c r="SJ128" s="9" t="n">
        <v>125</v>
      </c>
      <c r="SN128" s="10" t="n">
        <v>46129</v>
      </c>
      <c r="SP128" s="9" t="n">
        <v>0</v>
      </c>
      <c r="SR128" s="9" t="n">
        <v>0</v>
      </c>
      <c r="SS128" s="9" t="n">
        <v>200</v>
      </c>
      <c r="SW128" s="10" t="n">
        <v>46129</v>
      </c>
      <c r="SY128" s="9" t="n">
        <v>0</v>
      </c>
      <c r="TA128" s="9" t="n">
        <v>0</v>
      </c>
      <c r="TB128" s="9" t="n">
        <v>0</v>
      </c>
      <c r="TF128" s="10" t="n">
        <v>46129</v>
      </c>
      <c r="TH128" s="9" t="n">
        <v>0</v>
      </c>
      <c r="TJ128" s="9" t="n">
        <v>0</v>
      </c>
      <c r="TK128" s="9" t="n">
        <v>0</v>
      </c>
      <c r="TO128" s="10" t="n">
        <v>46129</v>
      </c>
      <c r="TQ128" s="9" t="n">
        <v>0</v>
      </c>
      <c r="TS128" s="9" t="n">
        <v>0</v>
      </c>
      <c r="TT128" s="9" t="n">
        <v>0</v>
      </c>
      <c r="TX128" s="10" t="n">
        <v>46129</v>
      </c>
      <c r="TZ128" s="9" t="n">
        <v>0</v>
      </c>
      <c r="UB128" s="9" t="n">
        <v>0</v>
      </c>
      <c r="UC128" s="9" t="n">
        <v>0</v>
      </c>
      <c r="UG128" s="10" t="n">
        <v>46129</v>
      </c>
      <c r="UI128" s="9" t="n">
        <v>0</v>
      </c>
      <c r="UK128" s="9" t="n">
        <v>0</v>
      </c>
      <c r="UL128" s="9" t="n">
        <v>0</v>
      </c>
      <c r="UP128" s="10" t="n">
        <v>46129</v>
      </c>
      <c r="UR128" s="9" t="n">
        <v>0</v>
      </c>
      <c r="UT128" s="9" t="n">
        <v>0</v>
      </c>
      <c r="UU128" s="9" t="n">
        <v>0</v>
      </c>
      <c r="UY128" s="10" t="n">
        <v>46129</v>
      </c>
      <c r="VA128" s="9" t="n">
        <v>0</v>
      </c>
      <c r="VC128" s="9" t="n">
        <v>0</v>
      </c>
      <c r="VD128" s="9" t="n">
        <v>41.60000000000002</v>
      </c>
      <c r="VH128" s="10" t="n">
        <v>46129</v>
      </c>
      <c r="VJ128" s="9" t="n">
        <v>0</v>
      </c>
      <c r="VL128" s="9" t="n">
        <v>0</v>
      </c>
      <c r="VM128" s="9" t="n">
        <v>0</v>
      </c>
      <c r="VQ128" s="10" t="n">
        <v>46129</v>
      </c>
      <c r="VS128" s="9" t="n">
        <v>0</v>
      </c>
      <c r="VU128" s="9" t="n">
        <v>0</v>
      </c>
      <c r="VV128" s="9" t="n">
        <v>0</v>
      </c>
      <c r="VZ128" s="10" t="n">
        <v>46129</v>
      </c>
      <c r="WB128" s="9" t="n">
        <v>0</v>
      </c>
      <c r="WD128" s="9" t="n">
        <v>0</v>
      </c>
      <c r="WE128" s="9" t="n">
        <v>0</v>
      </c>
      <c r="WI128" s="10" t="n">
        <v>46129</v>
      </c>
      <c r="WK128" s="9" t="n">
        <v>0</v>
      </c>
      <c r="WM128" s="9" t="n">
        <v>0</v>
      </c>
      <c r="WN128" s="9" t="n">
        <v>2317</v>
      </c>
      <c r="WR128" s="10" t="n">
        <v>46129</v>
      </c>
      <c r="WT128" s="9" t="n">
        <v>0</v>
      </c>
      <c r="WU128" s="9" t="n">
        <v>944</v>
      </c>
      <c r="WV128" s="9" t="n">
        <v>-944</v>
      </c>
      <c r="WW128" s="9" t="n">
        <v>6036</v>
      </c>
      <c r="XA128" s="10" t="n">
        <v>46129</v>
      </c>
      <c r="XC128" s="9" t="n">
        <v>0</v>
      </c>
      <c r="XE128" s="9" t="n">
        <v>0</v>
      </c>
      <c r="XF128" s="9" t="n">
        <v>14868</v>
      </c>
      <c r="XJ128" s="10" t="n">
        <v>46129</v>
      </c>
      <c r="XL128" s="9" t="n">
        <v>0</v>
      </c>
      <c r="XN128" s="9" t="n">
        <v>0</v>
      </c>
      <c r="XO128" s="9" t="n">
        <v>4003</v>
      </c>
      <c r="XS128" s="10" t="n">
        <v>46129</v>
      </c>
      <c r="XU128" s="9" t="n">
        <v>0</v>
      </c>
      <c r="XW128" s="9" t="n">
        <v>0</v>
      </c>
      <c r="XX128" s="9" t="n">
        <v>1901</v>
      </c>
      <c r="YB128" s="10" t="n">
        <v>46129</v>
      </c>
      <c r="YD128" s="9" t="n">
        <v>0</v>
      </c>
      <c r="YF128" s="9" t="n">
        <v>0</v>
      </c>
      <c r="YG128" s="9" t="n">
        <v>6459</v>
      </c>
      <c r="YK128" s="10" t="n">
        <v>46129</v>
      </c>
      <c r="YM128" s="9" t="n">
        <v>0</v>
      </c>
      <c r="YO128" s="9" t="n">
        <v>0</v>
      </c>
      <c r="YP128" s="9" t="n">
        <v>0</v>
      </c>
      <c r="YT128" s="10" t="n">
        <v>46129</v>
      </c>
      <c r="YV128" s="9" t="n">
        <v>0</v>
      </c>
      <c r="YX128" s="9" t="n">
        <v>0</v>
      </c>
      <c r="YY128" s="9" t="n">
        <v>0</v>
      </c>
      <c r="ZC128" s="10" t="n">
        <v>46129</v>
      </c>
      <c r="ZE128" s="9" t="n">
        <v>0</v>
      </c>
      <c r="ZG128" s="9" t="n">
        <v>0</v>
      </c>
      <c r="ZH128" s="9" t="n">
        <v>0</v>
      </c>
      <c r="ZL128" s="10" t="n">
        <v>46129</v>
      </c>
      <c r="ZN128" s="9" t="n">
        <v>0</v>
      </c>
      <c r="ZP128" s="9" t="n">
        <v>0</v>
      </c>
      <c r="ZQ128" s="9" t="n">
        <v>0</v>
      </c>
      <c r="ZU128" s="10" t="n">
        <v>46129</v>
      </c>
      <c r="ZW128" s="9" t="n">
        <v>0</v>
      </c>
      <c r="ZY128" s="9" t="n">
        <v>0</v>
      </c>
      <c r="ZZ128" s="9" t="n">
        <v>0</v>
      </c>
      <c r="AAD128" s="10" t="n">
        <v>46129</v>
      </c>
      <c r="AAF128" s="9" t="n">
        <v>0</v>
      </c>
      <c r="AAH128" s="9" t="n">
        <v>0</v>
      </c>
      <c r="AAI128" s="9" t="n">
        <v>0</v>
      </c>
      <c r="AAM128" s="10" t="n">
        <v>46129</v>
      </c>
      <c r="AAO128" s="9" t="n">
        <v>0</v>
      </c>
      <c r="AAQ128" s="9" t="n">
        <v>0</v>
      </c>
      <c r="AAR128" s="9" t="n">
        <v>0</v>
      </c>
      <c r="AAV128" s="10" t="n">
        <v>46129</v>
      </c>
      <c r="AAX128" s="9" t="n">
        <v>0</v>
      </c>
      <c r="AAZ128" s="9" t="n">
        <v>0</v>
      </c>
      <c r="ABA128" s="9" t="n">
        <v>0</v>
      </c>
      <c r="ABE128" s="10" t="n">
        <v>46129</v>
      </c>
      <c r="ABG128" s="9" t="n">
        <v>0</v>
      </c>
      <c r="ABI128" s="9" t="n">
        <v>0</v>
      </c>
      <c r="ABJ128" s="9" t="n">
        <v>0</v>
      </c>
    </row>
    <row r="129">
      <c r="B129" s="9" t="n">
        <v>56</v>
      </c>
      <c r="C129" s="10" t="n">
        <v>46130</v>
      </c>
      <c r="D129" s="9" t="n">
        <v>91960</v>
      </c>
      <c r="E129" s="9" t="n">
        <v>29993.6</v>
      </c>
      <c r="F129" s="9" t="n">
        <v>29985.4</v>
      </c>
      <c r="G129" s="9" t="n">
        <v>8.200000000000728</v>
      </c>
      <c r="H129" s="9" t="n">
        <v>160188.6</v>
      </c>
      <c r="I129" s="9" t="inlineStr">
        <is>
          <t>123 56mt</t>
        </is>
      </c>
      <c r="L129" s="10" t="n">
        <v>46130</v>
      </c>
      <c r="M129" s="9" t="n">
        <v>30640</v>
      </c>
      <c r="N129" s="9" t="n">
        <v>9604</v>
      </c>
      <c r="O129" s="9" t="n">
        <v>9605.4</v>
      </c>
      <c r="P129" s="9" t="n">
        <v>-1.399999999999636</v>
      </c>
      <c r="Q129" s="9" t="n">
        <v>97045.20000000011</v>
      </c>
      <c r="U129" s="10" t="n">
        <v>46130</v>
      </c>
      <c r="V129" s="9" t="n">
        <v>25050</v>
      </c>
      <c r="W129" s="9" t="n">
        <v>4760</v>
      </c>
      <c r="X129" s="9" t="n">
        <v>4760.8</v>
      </c>
      <c r="Y129" s="9" t="n">
        <v>-0.8000000000001819</v>
      </c>
      <c r="Z129" s="9" t="n">
        <v>37204.19999999997</v>
      </c>
      <c r="AD129" s="10" t="n">
        <v>46130</v>
      </c>
      <c r="AF129" s="9" t="n">
        <v>672</v>
      </c>
      <c r="AG129" s="9" t="n">
        <v>672.7</v>
      </c>
      <c r="AH129" s="9" t="n">
        <v>-0.7000000000000455</v>
      </c>
      <c r="AI129" s="9" t="n">
        <v>37017.00000000002</v>
      </c>
      <c r="AM129" s="10" t="n">
        <v>46130</v>
      </c>
      <c r="AO129" s="9" t="n">
        <v>0</v>
      </c>
      <c r="AQ129" s="9" t="n">
        <v>0</v>
      </c>
      <c r="AR129" s="9" t="n">
        <v>0</v>
      </c>
      <c r="AV129" s="10" t="n">
        <v>46130</v>
      </c>
      <c r="AX129" s="9" t="n">
        <v>0</v>
      </c>
      <c r="AZ129" s="9" t="n">
        <v>0</v>
      </c>
      <c r="BA129" s="9" t="n">
        <v>12406.39999999999</v>
      </c>
      <c r="BE129" s="10" t="n">
        <v>46130</v>
      </c>
      <c r="BF129" s="9" t="n">
        <v>22020</v>
      </c>
      <c r="BG129" s="9" t="n">
        <v>2520</v>
      </c>
      <c r="BH129" s="9" t="n">
        <v>2517.8</v>
      </c>
      <c r="BI129" s="9" t="n">
        <v>2.199999999999818</v>
      </c>
      <c r="BJ129" s="9" t="n">
        <v>48862.2</v>
      </c>
      <c r="BN129" s="10" t="n">
        <v>46130</v>
      </c>
      <c r="BO129" s="9" t="n">
        <v>1091.9</v>
      </c>
      <c r="BP129" s="9" t="n">
        <v>1092</v>
      </c>
      <c r="BQ129" s="9" t="n">
        <v>1091.9</v>
      </c>
      <c r="BR129" s="9" t="n">
        <v>0.09999999999990905</v>
      </c>
      <c r="BS129" s="9" t="n">
        <v>0</v>
      </c>
      <c r="BW129" s="10" t="n">
        <v>46130</v>
      </c>
      <c r="BY129" s="9" t="n">
        <v>308.0000000000001</v>
      </c>
      <c r="BZ129" s="9" t="n">
        <v>1019</v>
      </c>
      <c r="CA129" s="9" t="n">
        <v>-711</v>
      </c>
      <c r="CB129" s="9" t="n">
        <v>7209.799999999999</v>
      </c>
      <c r="CF129" s="10" t="n">
        <v>46130</v>
      </c>
      <c r="CG129" s="9" t="n">
        <v>2406</v>
      </c>
      <c r="CH129" s="9" t="n">
        <v>504.0000000000001</v>
      </c>
      <c r="CI129" s="9" t="n">
        <v>2406</v>
      </c>
      <c r="CJ129" s="9" t="n">
        <v>-1902</v>
      </c>
      <c r="CK129" s="9" t="n">
        <v>0</v>
      </c>
      <c r="CO129" s="10" t="n">
        <v>46130</v>
      </c>
      <c r="CQ129" s="9" t="n">
        <v>0</v>
      </c>
      <c r="CS129" s="9" t="n">
        <v>0</v>
      </c>
      <c r="CT129" s="9" t="n">
        <v>0</v>
      </c>
      <c r="CX129" s="10" t="n">
        <v>46130</v>
      </c>
      <c r="CZ129" s="9" t="n">
        <v>2800</v>
      </c>
      <c r="DA129" s="9" t="n">
        <v>2799.9</v>
      </c>
      <c r="DB129" s="9" t="n">
        <v>0.09999999999990905</v>
      </c>
      <c r="DC129" s="9" t="n">
        <v>10651.10000000001</v>
      </c>
      <c r="DG129" s="10" t="n">
        <v>46130</v>
      </c>
      <c r="DI129" s="9" t="n">
        <v>2240</v>
      </c>
      <c r="DJ129" s="9" t="n">
        <v>2237.2</v>
      </c>
      <c r="DK129" s="9" t="n">
        <v>2.800000000000182</v>
      </c>
      <c r="DL129" s="9" t="n">
        <v>12382.79999999999</v>
      </c>
      <c r="DP129" s="10" t="n">
        <v>46130</v>
      </c>
      <c r="DR129" s="9" t="n">
        <v>0</v>
      </c>
      <c r="DT129" s="9" t="n">
        <v>0</v>
      </c>
      <c r="DU129" s="9" t="n">
        <v>6300</v>
      </c>
      <c r="DY129" s="10" t="n">
        <v>46130</v>
      </c>
      <c r="EA129" s="9" t="n">
        <v>0</v>
      </c>
      <c r="EC129" s="9" t="n">
        <v>0</v>
      </c>
      <c r="ED129" s="9" t="n">
        <v>147.3000000000002</v>
      </c>
      <c r="EH129" s="10" t="n">
        <v>46130</v>
      </c>
      <c r="EJ129" s="9" t="n">
        <v>0</v>
      </c>
      <c r="EL129" s="9" t="n">
        <v>0</v>
      </c>
      <c r="EM129" s="9" t="n">
        <v>0</v>
      </c>
      <c r="EQ129" s="10" t="n">
        <v>46130</v>
      </c>
      <c r="ES129" s="9" t="n">
        <v>0</v>
      </c>
      <c r="EU129" s="9" t="n">
        <v>0</v>
      </c>
      <c r="EV129" s="9" t="n">
        <v>0</v>
      </c>
      <c r="EZ129" s="10" t="n">
        <v>46130</v>
      </c>
      <c r="FB129" s="9" t="n">
        <v>0</v>
      </c>
      <c r="FD129" s="9" t="n">
        <v>0</v>
      </c>
      <c r="FE129" s="9" t="n">
        <v>0</v>
      </c>
      <c r="FI129" s="10" t="n">
        <v>46130</v>
      </c>
      <c r="FK129" s="9" t="n">
        <v>0</v>
      </c>
      <c r="FM129" s="9" t="n">
        <v>0</v>
      </c>
      <c r="FN129" s="9" t="n">
        <v>0</v>
      </c>
      <c r="FR129" s="10" t="n">
        <v>46130</v>
      </c>
      <c r="FT129" s="9" t="n">
        <v>0</v>
      </c>
      <c r="FV129" s="9" t="n">
        <v>0</v>
      </c>
      <c r="FW129" s="9" t="n">
        <v>2120</v>
      </c>
      <c r="GA129" s="10" t="n">
        <v>46130</v>
      </c>
      <c r="GC129" s="9" t="n">
        <v>0</v>
      </c>
      <c r="GD129" s="9" t="n">
        <v>3200</v>
      </c>
      <c r="GE129" s="9" t="n">
        <v>-3200</v>
      </c>
      <c r="GF129" s="9" t="n">
        <v>6800</v>
      </c>
      <c r="GG129" s="9" t="n">
        <v>160</v>
      </c>
      <c r="GJ129" s="10" t="n">
        <v>46130</v>
      </c>
      <c r="GL129" s="9" t="n">
        <v>0</v>
      </c>
      <c r="GN129" s="9" t="n">
        <v>0</v>
      </c>
      <c r="GO129" s="9" t="n">
        <v>4800</v>
      </c>
      <c r="GS129" s="10" t="n">
        <v>46130</v>
      </c>
      <c r="GU129" s="9" t="n">
        <v>0</v>
      </c>
      <c r="GW129" s="9" t="n">
        <v>0</v>
      </c>
      <c r="GX129" s="9" t="n">
        <v>0</v>
      </c>
      <c r="HB129" s="10" t="n">
        <v>46130</v>
      </c>
      <c r="HD129" s="9" t="n">
        <v>0</v>
      </c>
      <c r="HF129" s="9" t="n">
        <v>0</v>
      </c>
      <c r="HG129" s="9" t="n">
        <v>0</v>
      </c>
      <c r="HK129" s="10" t="n">
        <v>46130</v>
      </c>
      <c r="HM129" s="9" t="n">
        <v>0</v>
      </c>
      <c r="HO129" s="9" t="n">
        <v>0</v>
      </c>
      <c r="HP129" s="9" t="n">
        <v>0</v>
      </c>
      <c r="HU129" s="10" t="n">
        <v>46130</v>
      </c>
      <c r="HW129" s="9" t="n">
        <v>0</v>
      </c>
      <c r="HY129" s="9" t="n">
        <v>0</v>
      </c>
      <c r="HZ129" s="9" t="n">
        <v>5120</v>
      </c>
      <c r="ID129" s="10" t="n">
        <v>46130</v>
      </c>
      <c r="IF129" s="9" t="n">
        <v>0</v>
      </c>
      <c r="IH129" s="9" t="n">
        <v>0</v>
      </c>
      <c r="II129" s="9" t="n">
        <v>6540</v>
      </c>
      <c r="IM129" s="10" t="n">
        <v>46130</v>
      </c>
      <c r="IO129" s="9" t="n">
        <v>0</v>
      </c>
      <c r="IQ129" s="9" t="n">
        <v>0</v>
      </c>
      <c r="IR129" s="9" t="n">
        <v>11540</v>
      </c>
      <c r="IV129" s="10" t="n">
        <v>46130</v>
      </c>
      <c r="IX129" s="9" t="n">
        <v>0</v>
      </c>
      <c r="IZ129" s="9" t="n">
        <v>0</v>
      </c>
      <c r="JA129" s="9" t="n">
        <v>15120</v>
      </c>
      <c r="JE129" s="10" t="n">
        <v>46130</v>
      </c>
      <c r="JG129" s="9" t="n">
        <v>0</v>
      </c>
      <c r="JI129" s="9" t="n">
        <v>0</v>
      </c>
      <c r="JJ129" s="9" t="n">
        <v>5040</v>
      </c>
      <c r="JN129" s="10" t="n">
        <v>46130</v>
      </c>
      <c r="JP129" s="9" t="n">
        <v>0</v>
      </c>
      <c r="JR129" s="9" t="n">
        <v>0</v>
      </c>
      <c r="JS129" s="9" t="n">
        <v>9100</v>
      </c>
      <c r="JW129" s="10" t="n">
        <v>46130</v>
      </c>
      <c r="JY129" s="9" t="n">
        <v>0</v>
      </c>
      <c r="JZ129" s="9" t="n">
        <v>400</v>
      </c>
      <c r="KA129" s="9" t="n">
        <v>-400</v>
      </c>
      <c r="KB129" s="9" t="n">
        <v>2540</v>
      </c>
      <c r="KC129" s="9" t="n">
        <v>20</v>
      </c>
      <c r="KF129" s="10" t="n">
        <v>46130</v>
      </c>
      <c r="KH129" s="9" t="n">
        <v>0</v>
      </c>
      <c r="KI129" s="9" t="n">
        <v>1560</v>
      </c>
      <c r="KJ129" s="9" t="n">
        <v>-1560</v>
      </c>
      <c r="KK129" s="9" t="n">
        <v>19.5</v>
      </c>
      <c r="KL129" s="9" t="n">
        <v>80</v>
      </c>
      <c r="KO129" s="10" t="n">
        <v>46130</v>
      </c>
      <c r="KQ129" s="9" t="n">
        <v>1058.4</v>
      </c>
      <c r="KR129" s="9" t="n">
        <v>1398.6</v>
      </c>
      <c r="KS129" s="9" t="n">
        <v>-340.2</v>
      </c>
      <c r="KT129" s="9" t="n">
        <v>3817.8</v>
      </c>
      <c r="KU129" s="9" t="n">
        <v>74</v>
      </c>
      <c r="KX129" s="10" t="n">
        <v>46130</v>
      </c>
      <c r="KZ129" s="9" t="n">
        <v>0</v>
      </c>
      <c r="LB129" s="9" t="n">
        <v>0</v>
      </c>
      <c r="LC129" s="9" t="n">
        <v>0</v>
      </c>
      <c r="LG129" s="10" t="n">
        <v>46130</v>
      </c>
      <c r="LI129" s="9" t="n">
        <v>0</v>
      </c>
      <c r="LK129" s="9" t="n">
        <v>0</v>
      </c>
      <c r="LL129" s="9" t="n">
        <v>0</v>
      </c>
      <c r="LP129" s="10" t="n">
        <v>46130</v>
      </c>
      <c r="LR129" s="9" t="n">
        <v>0</v>
      </c>
      <c r="LT129" s="9" t="n">
        <v>0</v>
      </c>
      <c r="LU129" s="9" t="n">
        <v>0</v>
      </c>
      <c r="LY129" s="10" t="n">
        <v>46130</v>
      </c>
      <c r="MA129" s="9" t="n">
        <v>0</v>
      </c>
      <c r="MC129" s="9" t="n">
        <v>0</v>
      </c>
      <c r="MD129" s="9" t="n">
        <v>0</v>
      </c>
      <c r="MH129" s="10" t="n">
        <v>46130</v>
      </c>
      <c r="MJ129" s="9" t="n">
        <v>0</v>
      </c>
      <c r="ML129" s="9" t="n">
        <v>0</v>
      </c>
      <c r="MM129" s="9" t="n">
        <v>0</v>
      </c>
      <c r="MQ129" s="10" t="n">
        <v>46130</v>
      </c>
      <c r="MS129" s="9" t="n">
        <v>0</v>
      </c>
      <c r="MT129" s="9" t="n">
        <v>80</v>
      </c>
      <c r="MU129" s="9" t="n">
        <v>-80</v>
      </c>
      <c r="MV129" s="9" t="n">
        <v>4069</v>
      </c>
      <c r="MZ129" s="10" t="n">
        <v>46130</v>
      </c>
      <c r="NA129" s="9" t="n">
        <v>522</v>
      </c>
      <c r="NB129" s="9" t="n">
        <v>168</v>
      </c>
      <c r="NC129" s="9" t="n">
        <v>522</v>
      </c>
      <c r="ND129" s="9" t="n">
        <v>-354</v>
      </c>
      <c r="NE129" s="9" t="n">
        <v>0</v>
      </c>
      <c r="NI129" s="10" t="n">
        <v>46130</v>
      </c>
      <c r="NK129" s="9" t="n">
        <v>56</v>
      </c>
      <c r="NL129" s="9" t="n">
        <v>174</v>
      </c>
      <c r="NM129" s="9" t="n">
        <v>-118</v>
      </c>
      <c r="NN129" s="9" t="n">
        <v>1349</v>
      </c>
      <c r="NR129" s="10" t="n">
        <v>46130</v>
      </c>
      <c r="NT129" s="9" t="n">
        <v>67.2</v>
      </c>
      <c r="NU129" s="9" t="n">
        <v>188.8</v>
      </c>
      <c r="NV129" s="9" t="n">
        <v>-121.6</v>
      </c>
      <c r="NW129" s="9" t="n">
        <v>3377.3</v>
      </c>
      <c r="OA129" s="10" t="n">
        <v>46130</v>
      </c>
      <c r="OC129" s="9" t="n">
        <v>0</v>
      </c>
      <c r="OE129" s="9" t="n">
        <v>0</v>
      </c>
      <c r="OF129" s="9" t="n">
        <v>1680.5</v>
      </c>
      <c r="OJ129" s="10" t="n">
        <v>46130</v>
      </c>
      <c r="OK129" s="9" t="n">
        <v>485.9</v>
      </c>
      <c r="OL129" s="9" t="n">
        <v>156.8</v>
      </c>
      <c r="OM129" s="9" t="n">
        <v>485.9</v>
      </c>
      <c r="ON129" s="9" t="n">
        <v>-329.1</v>
      </c>
      <c r="OO129" s="9" t="n">
        <v>0</v>
      </c>
      <c r="OS129" s="10" t="n">
        <v>46130</v>
      </c>
      <c r="OU129" s="9" t="n">
        <v>0</v>
      </c>
      <c r="OW129" s="9" t="n">
        <v>0</v>
      </c>
      <c r="OX129" s="9" t="n">
        <v>1000</v>
      </c>
      <c r="PB129" s="10" t="n">
        <v>46130</v>
      </c>
      <c r="PD129" s="9" t="n">
        <v>0</v>
      </c>
      <c r="PF129" s="9" t="n">
        <v>0</v>
      </c>
      <c r="PG129" s="9" t="n">
        <v>0</v>
      </c>
      <c r="PK129" s="10" t="n">
        <v>46130</v>
      </c>
      <c r="PM129" s="9" t="n">
        <v>0</v>
      </c>
      <c r="PO129" s="9" t="n">
        <v>0</v>
      </c>
      <c r="PP129" s="9" t="n">
        <v>100</v>
      </c>
      <c r="PT129" s="10" t="n">
        <v>46130</v>
      </c>
      <c r="PV129" s="9" t="n">
        <v>0</v>
      </c>
      <c r="PX129" s="9" t="n">
        <v>0</v>
      </c>
      <c r="PY129" s="9" t="n">
        <v>13.96000000000004</v>
      </c>
      <c r="QC129" s="10" t="n">
        <v>46130</v>
      </c>
      <c r="QE129" s="9" t="n">
        <v>0</v>
      </c>
      <c r="QG129" s="9" t="n">
        <v>0</v>
      </c>
      <c r="QH129" s="9" t="n">
        <v>1212</v>
      </c>
      <c r="QL129" s="10" t="n">
        <v>46130</v>
      </c>
      <c r="QN129" s="9" t="n">
        <v>0</v>
      </c>
      <c r="QP129" s="9" t="n">
        <v>0</v>
      </c>
      <c r="QQ129" s="9" t="n">
        <v>400</v>
      </c>
      <c r="QU129" s="10" t="n">
        <v>46130</v>
      </c>
      <c r="QW129" s="9" t="n">
        <v>0</v>
      </c>
      <c r="QY129" s="9" t="n">
        <v>0</v>
      </c>
      <c r="QZ129" s="9" t="n">
        <v>207.6</v>
      </c>
      <c r="RD129" s="10" t="n">
        <v>46130</v>
      </c>
      <c r="RF129" s="9" t="n">
        <v>0</v>
      </c>
      <c r="RH129" s="9" t="n">
        <v>0</v>
      </c>
      <c r="RI129" s="9" t="n">
        <v>147.04</v>
      </c>
      <c r="RM129" s="10" t="n">
        <v>46130</v>
      </c>
      <c r="RO129" s="9" t="n">
        <v>0</v>
      </c>
      <c r="RQ129" s="9" t="n">
        <v>0</v>
      </c>
      <c r="RR129" s="9" t="n">
        <v>46.8</v>
      </c>
      <c r="RV129" s="10" t="n">
        <v>46130</v>
      </c>
      <c r="RX129" s="9" t="n">
        <v>0</v>
      </c>
      <c r="RZ129" s="9" t="n">
        <v>0</v>
      </c>
      <c r="SA129" s="9" t="n">
        <v>0</v>
      </c>
      <c r="SE129" s="10" t="n">
        <v>46130</v>
      </c>
      <c r="SG129" s="9" t="n">
        <v>0</v>
      </c>
      <c r="SI129" s="9" t="n">
        <v>0</v>
      </c>
      <c r="SJ129" s="9" t="n">
        <v>125</v>
      </c>
      <c r="SN129" s="10" t="n">
        <v>46130</v>
      </c>
      <c r="SP129" s="9" t="n">
        <v>0</v>
      </c>
      <c r="SR129" s="9" t="n">
        <v>0</v>
      </c>
      <c r="SS129" s="9" t="n">
        <v>200</v>
      </c>
      <c r="SW129" s="10" t="n">
        <v>46130</v>
      </c>
      <c r="SY129" s="9" t="n">
        <v>0</v>
      </c>
      <c r="TA129" s="9" t="n">
        <v>0</v>
      </c>
      <c r="TB129" s="9" t="n">
        <v>0</v>
      </c>
      <c r="TF129" s="10" t="n">
        <v>46130</v>
      </c>
      <c r="TH129" s="9" t="n">
        <v>0</v>
      </c>
      <c r="TJ129" s="9" t="n">
        <v>0</v>
      </c>
      <c r="TK129" s="9" t="n">
        <v>0</v>
      </c>
      <c r="TO129" s="10" t="n">
        <v>46130</v>
      </c>
      <c r="TQ129" s="9" t="n">
        <v>0</v>
      </c>
      <c r="TS129" s="9" t="n">
        <v>0</v>
      </c>
      <c r="TT129" s="9" t="n">
        <v>0</v>
      </c>
      <c r="TX129" s="10" t="n">
        <v>46130</v>
      </c>
      <c r="TZ129" s="9" t="n">
        <v>0</v>
      </c>
      <c r="UB129" s="9" t="n">
        <v>0</v>
      </c>
      <c r="UC129" s="9" t="n">
        <v>0</v>
      </c>
      <c r="UG129" s="10" t="n">
        <v>46130</v>
      </c>
      <c r="UI129" s="9" t="n">
        <v>0</v>
      </c>
      <c r="UK129" s="9" t="n">
        <v>0</v>
      </c>
      <c r="UL129" s="9" t="n">
        <v>0</v>
      </c>
      <c r="UP129" s="10" t="n">
        <v>46130</v>
      </c>
      <c r="UR129" s="9" t="n">
        <v>0</v>
      </c>
      <c r="UT129" s="9" t="n">
        <v>0</v>
      </c>
      <c r="UU129" s="9" t="n">
        <v>0</v>
      </c>
      <c r="UY129" s="10" t="n">
        <v>46130</v>
      </c>
      <c r="VA129" s="9" t="n">
        <v>0</v>
      </c>
      <c r="VC129" s="9" t="n">
        <v>0</v>
      </c>
      <c r="VD129" s="9" t="n">
        <v>41.60000000000002</v>
      </c>
      <c r="VH129" s="10" t="n">
        <v>46130</v>
      </c>
      <c r="VJ129" s="9" t="n">
        <v>0</v>
      </c>
      <c r="VL129" s="9" t="n">
        <v>0</v>
      </c>
      <c r="VM129" s="9" t="n">
        <v>0</v>
      </c>
      <c r="VQ129" s="10" t="n">
        <v>46130</v>
      </c>
      <c r="VS129" s="9" t="n">
        <v>0</v>
      </c>
      <c r="VU129" s="9" t="n">
        <v>0</v>
      </c>
      <c r="VV129" s="9" t="n">
        <v>0</v>
      </c>
      <c r="VZ129" s="10" t="n">
        <v>46130</v>
      </c>
      <c r="WB129" s="9" t="n">
        <v>0</v>
      </c>
      <c r="WD129" s="9" t="n">
        <v>0</v>
      </c>
      <c r="WE129" s="9" t="n">
        <v>0</v>
      </c>
      <c r="WI129" s="10" t="n">
        <v>46130</v>
      </c>
      <c r="WK129" s="9" t="n">
        <v>0</v>
      </c>
      <c r="WM129" s="9" t="n">
        <v>0</v>
      </c>
      <c r="WN129" s="9" t="n">
        <v>2317</v>
      </c>
      <c r="WR129" s="10" t="n">
        <v>46130</v>
      </c>
      <c r="WT129" s="9" t="n">
        <v>0</v>
      </c>
      <c r="WV129" s="9" t="n">
        <v>0</v>
      </c>
      <c r="WW129" s="9" t="n">
        <v>6036</v>
      </c>
      <c r="XA129" s="10" t="n">
        <v>46130</v>
      </c>
      <c r="XC129" s="9" t="n">
        <v>0</v>
      </c>
      <c r="XE129" s="9" t="n">
        <v>0</v>
      </c>
      <c r="XF129" s="9" t="n">
        <v>14868</v>
      </c>
      <c r="XJ129" s="10" t="n">
        <v>46130</v>
      </c>
      <c r="XL129" s="9" t="n">
        <v>0</v>
      </c>
      <c r="XM129" s="9" t="n">
        <v>1219</v>
      </c>
      <c r="XN129" s="9" t="n">
        <v>-1219</v>
      </c>
      <c r="XO129" s="9" t="n">
        <v>2784</v>
      </c>
      <c r="XS129" s="10" t="n">
        <v>46130</v>
      </c>
      <c r="XU129" s="9" t="n">
        <v>0</v>
      </c>
      <c r="XW129" s="9" t="n">
        <v>0</v>
      </c>
      <c r="XX129" s="9" t="n">
        <v>1901</v>
      </c>
      <c r="YB129" s="10" t="n">
        <v>46130</v>
      </c>
      <c r="YD129" s="9" t="n">
        <v>0</v>
      </c>
      <c r="YF129" s="9" t="n">
        <v>0</v>
      </c>
      <c r="YG129" s="9" t="n">
        <v>6459</v>
      </c>
      <c r="YK129" s="10" t="n">
        <v>46130</v>
      </c>
      <c r="YM129" s="9" t="n">
        <v>0</v>
      </c>
      <c r="YO129" s="9" t="n">
        <v>0</v>
      </c>
      <c r="YP129" s="9" t="n">
        <v>0</v>
      </c>
      <c r="YT129" s="10" t="n">
        <v>46130</v>
      </c>
      <c r="YV129" s="9" t="n">
        <v>0</v>
      </c>
      <c r="YX129" s="9" t="n">
        <v>0</v>
      </c>
      <c r="YY129" s="9" t="n">
        <v>0</v>
      </c>
      <c r="ZC129" s="10" t="n">
        <v>46130</v>
      </c>
      <c r="ZE129" s="9" t="n">
        <v>0</v>
      </c>
      <c r="ZG129" s="9" t="n">
        <v>0</v>
      </c>
      <c r="ZH129" s="9" t="n">
        <v>0</v>
      </c>
      <c r="ZL129" s="10" t="n">
        <v>46130</v>
      </c>
      <c r="ZN129" s="9" t="n">
        <v>0</v>
      </c>
      <c r="ZP129" s="9" t="n">
        <v>0</v>
      </c>
      <c r="ZQ129" s="9" t="n">
        <v>0</v>
      </c>
      <c r="ZU129" s="10" t="n">
        <v>46130</v>
      </c>
      <c r="ZW129" s="9" t="n">
        <v>0</v>
      </c>
      <c r="ZY129" s="9" t="n">
        <v>0</v>
      </c>
      <c r="ZZ129" s="9" t="n">
        <v>0</v>
      </c>
      <c r="AAD129" s="10" t="n">
        <v>46130</v>
      </c>
      <c r="AAF129" s="9" t="n">
        <v>0</v>
      </c>
      <c r="AAH129" s="9" t="n">
        <v>0</v>
      </c>
      <c r="AAI129" s="9" t="n">
        <v>0</v>
      </c>
      <c r="AAM129" s="10" t="n">
        <v>46130</v>
      </c>
      <c r="AAO129" s="9" t="n">
        <v>0</v>
      </c>
      <c r="AAQ129" s="9" t="n">
        <v>0</v>
      </c>
      <c r="AAR129" s="9" t="n">
        <v>0</v>
      </c>
      <c r="AAV129" s="10" t="n">
        <v>46130</v>
      </c>
      <c r="AAX129" s="9" t="n">
        <v>0</v>
      </c>
      <c r="AAZ129" s="9" t="n">
        <v>0</v>
      </c>
      <c r="ABA129" s="9" t="n">
        <v>0</v>
      </c>
      <c r="ABE129" s="10" t="n">
        <v>46130</v>
      </c>
      <c r="ABG129" s="9" t="n">
        <v>0</v>
      </c>
      <c r="ABI129" s="9" t="n">
        <v>0</v>
      </c>
      <c r="ABJ129" s="9" t="n">
        <v>0</v>
      </c>
    </row>
    <row r="130">
      <c r="C130" s="10" t="n">
        <v>46131</v>
      </c>
      <c r="E130" s="9" t="n">
        <v>0</v>
      </c>
      <c r="G130" s="9" t="n">
        <v>0</v>
      </c>
      <c r="H130" s="9" t="n">
        <v>160188.6</v>
      </c>
      <c r="L130" s="10" t="n">
        <v>46131</v>
      </c>
      <c r="N130" s="9" t="n">
        <v>0</v>
      </c>
      <c r="P130" s="9" t="n">
        <v>0</v>
      </c>
      <c r="Q130" s="9" t="n">
        <v>97045.20000000011</v>
      </c>
      <c r="U130" s="10" t="n">
        <v>46131</v>
      </c>
      <c r="W130" s="9" t="n">
        <v>0</v>
      </c>
      <c r="Y130" s="9" t="n">
        <v>0</v>
      </c>
      <c r="Z130" s="9" t="n">
        <v>37204.19999999997</v>
      </c>
      <c r="AD130" s="10" t="n">
        <v>46131</v>
      </c>
      <c r="AF130" s="9" t="n">
        <v>0</v>
      </c>
      <c r="AH130" s="9" t="n">
        <v>0</v>
      </c>
      <c r="AI130" s="9" t="n">
        <v>37017.00000000002</v>
      </c>
      <c r="AM130" s="10" t="n">
        <v>46131</v>
      </c>
      <c r="AO130" s="9" t="n">
        <v>0</v>
      </c>
      <c r="AQ130" s="9" t="n">
        <v>0</v>
      </c>
      <c r="AR130" s="9" t="n">
        <v>0</v>
      </c>
      <c r="AV130" s="10" t="n">
        <v>46131</v>
      </c>
      <c r="AX130" s="9" t="n">
        <v>0</v>
      </c>
      <c r="AZ130" s="9" t="n">
        <v>0</v>
      </c>
      <c r="BA130" s="9" t="n">
        <v>12406.39999999999</v>
      </c>
      <c r="BE130" s="10" t="n">
        <v>46131</v>
      </c>
      <c r="BG130" s="9" t="n">
        <v>0</v>
      </c>
      <c r="BI130" s="9" t="n">
        <v>0</v>
      </c>
      <c r="BJ130" s="9" t="n">
        <v>48862.2</v>
      </c>
      <c r="BN130" s="10" t="n">
        <v>46131</v>
      </c>
      <c r="BP130" s="9" t="n">
        <v>0</v>
      </c>
      <c r="BR130" s="9" t="n">
        <v>0</v>
      </c>
      <c r="BS130" s="9" t="n">
        <v>0</v>
      </c>
      <c r="BW130" s="10" t="n">
        <v>46131</v>
      </c>
      <c r="BY130" s="9" t="n">
        <v>0</v>
      </c>
      <c r="CA130" s="9" t="n">
        <v>0</v>
      </c>
      <c r="CB130" s="9" t="n">
        <v>7209.799999999999</v>
      </c>
      <c r="CF130" s="10" t="n">
        <v>46131</v>
      </c>
      <c r="CH130" s="9" t="n">
        <v>0</v>
      </c>
      <c r="CJ130" s="9" t="n">
        <v>0</v>
      </c>
      <c r="CK130" s="9" t="n">
        <v>0</v>
      </c>
      <c r="CO130" s="10" t="n">
        <v>46131</v>
      </c>
      <c r="CQ130" s="9" t="n">
        <v>0</v>
      </c>
      <c r="CS130" s="9" t="n">
        <v>0</v>
      </c>
      <c r="CT130" s="9" t="n">
        <v>0</v>
      </c>
      <c r="CX130" s="10" t="n">
        <v>46131</v>
      </c>
      <c r="CZ130" s="9" t="n">
        <v>0</v>
      </c>
      <c r="DB130" s="9" t="n">
        <v>0</v>
      </c>
      <c r="DC130" s="9" t="n">
        <v>10651.10000000001</v>
      </c>
      <c r="DG130" s="10" t="n">
        <v>46131</v>
      </c>
      <c r="DI130" s="9" t="n">
        <v>0</v>
      </c>
      <c r="DK130" s="9" t="n">
        <v>0</v>
      </c>
      <c r="DL130" s="9" t="n">
        <v>12382.79999999999</v>
      </c>
      <c r="DP130" s="10" t="n">
        <v>46131</v>
      </c>
      <c r="DR130" s="9" t="n">
        <v>0</v>
      </c>
      <c r="DT130" s="9" t="n">
        <v>0</v>
      </c>
      <c r="DU130" s="9" t="n">
        <v>6300</v>
      </c>
      <c r="DY130" s="10" t="n">
        <v>46131</v>
      </c>
      <c r="EA130" s="9" t="n">
        <v>0</v>
      </c>
      <c r="EC130" s="9" t="n">
        <v>0</v>
      </c>
      <c r="ED130" s="9" t="n">
        <v>147.3000000000002</v>
      </c>
      <c r="EH130" s="10" t="n">
        <v>46131</v>
      </c>
      <c r="EJ130" s="9" t="n">
        <v>0</v>
      </c>
      <c r="EL130" s="9" t="n">
        <v>0</v>
      </c>
      <c r="EM130" s="9" t="n">
        <v>0</v>
      </c>
      <c r="EQ130" s="10" t="n">
        <v>46131</v>
      </c>
      <c r="ES130" s="9" t="n">
        <v>0</v>
      </c>
      <c r="EU130" s="9" t="n">
        <v>0</v>
      </c>
      <c r="EV130" s="9" t="n">
        <v>0</v>
      </c>
      <c r="EZ130" s="10" t="n">
        <v>46131</v>
      </c>
      <c r="FB130" s="9" t="n">
        <v>0</v>
      </c>
      <c r="FD130" s="9" t="n">
        <v>0</v>
      </c>
      <c r="FE130" s="9" t="n">
        <v>0</v>
      </c>
      <c r="FI130" s="10" t="n">
        <v>46131</v>
      </c>
      <c r="FK130" s="9" t="n">
        <v>0</v>
      </c>
      <c r="FM130" s="9" t="n">
        <v>0</v>
      </c>
      <c r="FN130" s="9" t="n">
        <v>0</v>
      </c>
      <c r="FR130" s="10" t="n">
        <v>46131</v>
      </c>
      <c r="FT130" s="9" t="n">
        <v>0</v>
      </c>
      <c r="FV130" s="9" t="n">
        <v>0</v>
      </c>
      <c r="FW130" s="9" t="n">
        <v>2120</v>
      </c>
      <c r="GA130" s="10" t="n">
        <v>46131</v>
      </c>
      <c r="GC130" s="9" t="n">
        <v>0</v>
      </c>
      <c r="GE130" s="9" t="n">
        <v>0</v>
      </c>
      <c r="GF130" s="9" t="n">
        <v>6800</v>
      </c>
      <c r="GJ130" s="10" t="n">
        <v>46131</v>
      </c>
      <c r="GL130" s="9" t="n">
        <v>0</v>
      </c>
      <c r="GN130" s="9" t="n">
        <v>0</v>
      </c>
      <c r="GO130" s="9" t="n">
        <v>4800</v>
      </c>
      <c r="GS130" s="10" t="n">
        <v>46131</v>
      </c>
      <c r="GU130" s="9" t="n">
        <v>0</v>
      </c>
      <c r="GW130" s="9" t="n">
        <v>0</v>
      </c>
      <c r="GX130" s="9" t="n">
        <v>0</v>
      </c>
      <c r="HB130" s="10" t="n">
        <v>46131</v>
      </c>
      <c r="HD130" s="9" t="n">
        <v>0</v>
      </c>
      <c r="HF130" s="9" t="n">
        <v>0</v>
      </c>
      <c r="HG130" s="9" t="n">
        <v>0</v>
      </c>
      <c r="HK130" s="10" t="n">
        <v>46131</v>
      </c>
      <c r="HM130" s="9" t="n">
        <v>0</v>
      </c>
      <c r="HO130" s="9" t="n">
        <v>0</v>
      </c>
      <c r="HP130" s="9" t="n">
        <v>0</v>
      </c>
      <c r="HU130" s="10" t="n">
        <v>46131</v>
      </c>
      <c r="HW130" s="9" t="n">
        <v>0</v>
      </c>
      <c r="HY130" s="9" t="n">
        <v>0</v>
      </c>
      <c r="HZ130" s="9" t="n">
        <v>5120</v>
      </c>
      <c r="ID130" s="10" t="n">
        <v>46131</v>
      </c>
      <c r="IF130" s="9" t="n">
        <v>0</v>
      </c>
      <c r="IH130" s="9" t="n">
        <v>0</v>
      </c>
      <c r="II130" s="9" t="n">
        <v>6540</v>
      </c>
      <c r="IM130" s="10" t="n">
        <v>46131</v>
      </c>
      <c r="IO130" s="9" t="n">
        <v>0</v>
      </c>
      <c r="IQ130" s="9" t="n">
        <v>0</v>
      </c>
      <c r="IR130" s="9" t="n">
        <v>11540</v>
      </c>
      <c r="IV130" s="10" t="n">
        <v>46131</v>
      </c>
      <c r="IX130" s="9" t="n">
        <v>0</v>
      </c>
      <c r="IZ130" s="9" t="n">
        <v>0</v>
      </c>
      <c r="JA130" s="9" t="n">
        <v>15120</v>
      </c>
      <c r="JE130" s="10" t="n">
        <v>46131</v>
      </c>
      <c r="JG130" s="9" t="n">
        <v>0</v>
      </c>
      <c r="JI130" s="9" t="n">
        <v>0</v>
      </c>
      <c r="JJ130" s="9" t="n">
        <v>5040</v>
      </c>
      <c r="JN130" s="10" t="n">
        <v>46131</v>
      </c>
      <c r="JP130" s="9" t="n">
        <v>0</v>
      </c>
      <c r="JR130" s="9" t="n">
        <v>0</v>
      </c>
      <c r="JS130" s="9" t="n">
        <v>9100</v>
      </c>
      <c r="JW130" s="10" t="n">
        <v>46131</v>
      </c>
      <c r="JY130" s="9" t="n">
        <v>0</v>
      </c>
      <c r="KA130" s="9" t="n">
        <v>0</v>
      </c>
      <c r="KB130" s="9" t="n">
        <v>2540</v>
      </c>
      <c r="KF130" s="10" t="n">
        <v>46131</v>
      </c>
      <c r="KH130" s="9" t="n">
        <v>0</v>
      </c>
      <c r="KJ130" s="9" t="n">
        <v>0</v>
      </c>
      <c r="KK130" s="9" t="n">
        <v>19.5</v>
      </c>
      <c r="KO130" s="10" t="n">
        <v>46131</v>
      </c>
      <c r="KQ130" s="9" t="n">
        <v>0</v>
      </c>
      <c r="KS130" s="9" t="n">
        <v>0</v>
      </c>
      <c r="KT130" s="9" t="n">
        <v>3817.8</v>
      </c>
      <c r="KX130" s="10" t="n">
        <v>46131</v>
      </c>
      <c r="KZ130" s="9" t="n">
        <v>0</v>
      </c>
      <c r="LB130" s="9" t="n">
        <v>0</v>
      </c>
      <c r="LC130" s="9" t="n">
        <v>0</v>
      </c>
      <c r="LG130" s="10" t="n">
        <v>46131</v>
      </c>
      <c r="LI130" s="9" t="n">
        <v>0</v>
      </c>
      <c r="LK130" s="9" t="n">
        <v>0</v>
      </c>
      <c r="LL130" s="9" t="n">
        <v>0</v>
      </c>
      <c r="LP130" s="10" t="n">
        <v>46131</v>
      </c>
      <c r="LR130" s="9" t="n">
        <v>0</v>
      </c>
      <c r="LT130" s="9" t="n">
        <v>0</v>
      </c>
      <c r="LU130" s="9" t="n">
        <v>0</v>
      </c>
      <c r="LY130" s="10" t="n">
        <v>46131</v>
      </c>
      <c r="MA130" s="9" t="n">
        <v>0</v>
      </c>
      <c r="MC130" s="9" t="n">
        <v>0</v>
      </c>
      <c r="MD130" s="9" t="n">
        <v>0</v>
      </c>
      <c r="MH130" s="10" t="n">
        <v>46131</v>
      </c>
      <c r="MJ130" s="9" t="n">
        <v>0</v>
      </c>
      <c r="ML130" s="9" t="n">
        <v>0</v>
      </c>
      <c r="MM130" s="9" t="n">
        <v>0</v>
      </c>
      <c r="MQ130" s="10" t="n">
        <v>46131</v>
      </c>
      <c r="MS130" s="9" t="n">
        <v>0</v>
      </c>
      <c r="MU130" s="9" t="n">
        <v>0</v>
      </c>
      <c r="MV130" s="9" t="n">
        <v>4069</v>
      </c>
      <c r="MZ130" s="10" t="n">
        <v>46131</v>
      </c>
      <c r="NB130" s="9" t="n">
        <v>0</v>
      </c>
      <c r="ND130" s="9" t="n">
        <v>0</v>
      </c>
      <c r="NE130" s="9" t="n">
        <v>0</v>
      </c>
      <c r="NI130" s="10" t="n">
        <v>46131</v>
      </c>
      <c r="NK130" s="9" t="n">
        <v>0</v>
      </c>
      <c r="NM130" s="9" t="n">
        <v>0</v>
      </c>
      <c r="NN130" s="9" t="n">
        <v>1349</v>
      </c>
      <c r="NR130" s="10" t="n">
        <v>46131</v>
      </c>
      <c r="NT130" s="9" t="n">
        <v>0</v>
      </c>
      <c r="NV130" s="9" t="n">
        <v>0</v>
      </c>
      <c r="NW130" s="9" t="n">
        <v>3377.3</v>
      </c>
      <c r="OA130" s="10" t="n">
        <v>46131</v>
      </c>
      <c r="OC130" s="9" t="n">
        <v>0</v>
      </c>
      <c r="OE130" s="9" t="n">
        <v>0</v>
      </c>
      <c r="OF130" s="9" t="n">
        <v>1680.5</v>
      </c>
      <c r="OJ130" s="10" t="n">
        <v>46131</v>
      </c>
      <c r="OL130" s="9" t="n">
        <v>0</v>
      </c>
      <c r="ON130" s="9" t="n">
        <v>0</v>
      </c>
      <c r="OO130" s="9" t="n">
        <v>0</v>
      </c>
      <c r="OS130" s="10" t="n">
        <v>46131</v>
      </c>
      <c r="OU130" s="9" t="n">
        <v>0</v>
      </c>
      <c r="OW130" s="9" t="n">
        <v>0</v>
      </c>
      <c r="OX130" s="9" t="n">
        <v>1000</v>
      </c>
      <c r="PB130" s="10" t="n">
        <v>46131</v>
      </c>
      <c r="PD130" s="9" t="n">
        <v>0</v>
      </c>
      <c r="PF130" s="9" t="n">
        <v>0</v>
      </c>
      <c r="PG130" s="9" t="n">
        <v>0</v>
      </c>
      <c r="PK130" s="10" t="n">
        <v>46131</v>
      </c>
      <c r="PM130" s="9" t="n">
        <v>0</v>
      </c>
      <c r="PO130" s="9" t="n">
        <v>0</v>
      </c>
      <c r="PP130" s="9" t="n">
        <v>100</v>
      </c>
      <c r="PT130" s="10" t="n">
        <v>46131</v>
      </c>
      <c r="PV130" s="9" t="n">
        <v>0</v>
      </c>
      <c r="PX130" s="9" t="n">
        <v>0</v>
      </c>
      <c r="PY130" s="9" t="n">
        <v>13.96000000000004</v>
      </c>
      <c r="QC130" s="10" t="n">
        <v>46131</v>
      </c>
      <c r="QE130" s="9" t="n">
        <v>0</v>
      </c>
      <c r="QG130" s="9" t="n">
        <v>0</v>
      </c>
      <c r="QH130" s="9" t="n">
        <v>1212</v>
      </c>
      <c r="QL130" s="10" t="n">
        <v>46131</v>
      </c>
      <c r="QN130" s="9" t="n">
        <v>0</v>
      </c>
      <c r="QP130" s="9" t="n">
        <v>0</v>
      </c>
      <c r="QQ130" s="9" t="n">
        <v>400</v>
      </c>
      <c r="QU130" s="10" t="n">
        <v>46131</v>
      </c>
      <c r="QW130" s="9" t="n">
        <v>0</v>
      </c>
      <c r="QY130" s="9" t="n">
        <v>0</v>
      </c>
      <c r="QZ130" s="9" t="n">
        <v>207.6</v>
      </c>
      <c r="RD130" s="10" t="n">
        <v>46131</v>
      </c>
      <c r="RF130" s="9" t="n">
        <v>0</v>
      </c>
      <c r="RH130" s="9" t="n">
        <v>0</v>
      </c>
      <c r="RI130" s="9" t="n">
        <v>147.04</v>
      </c>
      <c r="RM130" s="10" t="n">
        <v>46131</v>
      </c>
      <c r="RO130" s="9" t="n">
        <v>0</v>
      </c>
      <c r="RQ130" s="9" t="n">
        <v>0</v>
      </c>
      <c r="RR130" s="9" t="n">
        <v>46.8</v>
      </c>
      <c r="RV130" s="10" t="n">
        <v>46131</v>
      </c>
      <c r="RX130" s="9" t="n">
        <v>0</v>
      </c>
      <c r="RZ130" s="9" t="n">
        <v>0</v>
      </c>
      <c r="SA130" s="9" t="n">
        <v>0</v>
      </c>
      <c r="SE130" s="10" t="n">
        <v>46131</v>
      </c>
      <c r="SG130" s="9" t="n">
        <v>0</v>
      </c>
      <c r="SI130" s="9" t="n">
        <v>0</v>
      </c>
      <c r="SJ130" s="9" t="n">
        <v>125</v>
      </c>
      <c r="SN130" s="10" t="n">
        <v>46131</v>
      </c>
      <c r="SP130" s="9" t="n">
        <v>0</v>
      </c>
      <c r="SR130" s="9" t="n">
        <v>0</v>
      </c>
      <c r="SS130" s="9" t="n">
        <v>200</v>
      </c>
      <c r="SW130" s="10" t="n">
        <v>46131</v>
      </c>
      <c r="SY130" s="9" t="n">
        <v>0</v>
      </c>
      <c r="TA130" s="9" t="n">
        <v>0</v>
      </c>
      <c r="TB130" s="9" t="n">
        <v>0</v>
      </c>
      <c r="TF130" s="10" t="n">
        <v>46131</v>
      </c>
      <c r="TH130" s="9" t="n">
        <v>0</v>
      </c>
      <c r="TJ130" s="9" t="n">
        <v>0</v>
      </c>
      <c r="TK130" s="9" t="n">
        <v>0</v>
      </c>
      <c r="TO130" s="10" t="n">
        <v>46131</v>
      </c>
      <c r="TQ130" s="9" t="n">
        <v>0</v>
      </c>
      <c r="TS130" s="9" t="n">
        <v>0</v>
      </c>
      <c r="TT130" s="9" t="n">
        <v>0</v>
      </c>
      <c r="TX130" s="10" t="n">
        <v>46131</v>
      </c>
      <c r="TZ130" s="9" t="n">
        <v>0</v>
      </c>
      <c r="UB130" s="9" t="n">
        <v>0</v>
      </c>
      <c r="UC130" s="9" t="n">
        <v>0</v>
      </c>
      <c r="UG130" s="10" t="n">
        <v>46131</v>
      </c>
      <c r="UI130" s="9" t="n">
        <v>0</v>
      </c>
      <c r="UK130" s="9" t="n">
        <v>0</v>
      </c>
      <c r="UL130" s="9" t="n">
        <v>0</v>
      </c>
      <c r="UP130" s="10" t="n">
        <v>46131</v>
      </c>
      <c r="UR130" s="9" t="n">
        <v>0</v>
      </c>
      <c r="UT130" s="9" t="n">
        <v>0</v>
      </c>
      <c r="UU130" s="9" t="n">
        <v>0</v>
      </c>
      <c r="UY130" s="10" t="n">
        <v>46131</v>
      </c>
      <c r="VA130" s="9" t="n">
        <v>0</v>
      </c>
      <c r="VC130" s="9" t="n">
        <v>0</v>
      </c>
      <c r="VD130" s="9" t="n">
        <v>41.60000000000002</v>
      </c>
      <c r="VH130" s="10" t="n">
        <v>46131</v>
      </c>
      <c r="VJ130" s="9" t="n">
        <v>0</v>
      </c>
      <c r="VL130" s="9" t="n">
        <v>0</v>
      </c>
      <c r="VM130" s="9" t="n">
        <v>0</v>
      </c>
      <c r="VQ130" s="10" t="n">
        <v>46131</v>
      </c>
      <c r="VS130" s="9" t="n">
        <v>0</v>
      </c>
      <c r="VU130" s="9" t="n">
        <v>0</v>
      </c>
      <c r="VV130" s="9" t="n">
        <v>0</v>
      </c>
      <c r="VZ130" s="10" t="n">
        <v>46131</v>
      </c>
      <c r="WB130" s="9" t="n">
        <v>0</v>
      </c>
      <c r="WD130" s="9" t="n">
        <v>0</v>
      </c>
      <c r="WE130" s="9" t="n">
        <v>0</v>
      </c>
      <c r="WI130" s="10" t="n">
        <v>46131</v>
      </c>
      <c r="WK130" s="9" t="n">
        <v>0</v>
      </c>
      <c r="WM130" s="9" t="n">
        <v>0</v>
      </c>
      <c r="WN130" s="9" t="n">
        <v>2317</v>
      </c>
      <c r="WR130" s="10" t="n">
        <v>46131</v>
      </c>
      <c r="WT130" s="9" t="n">
        <v>0</v>
      </c>
      <c r="WV130" s="9" t="n">
        <v>0</v>
      </c>
      <c r="WW130" s="9" t="n">
        <v>6036</v>
      </c>
      <c r="XA130" s="10" t="n">
        <v>46131</v>
      </c>
      <c r="XC130" s="9" t="n">
        <v>0</v>
      </c>
      <c r="XE130" s="9" t="n">
        <v>0</v>
      </c>
      <c r="XF130" s="9" t="n">
        <v>14868</v>
      </c>
      <c r="XJ130" s="10" t="n">
        <v>46131</v>
      </c>
      <c r="XL130" s="9" t="n">
        <v>0</v>
      </c>
      <c r="XN130" s="9" t="n">
        <v>0</v>
      </c>
      <c r="XO130" s="9" t="n">
        <v>2784</v>
      </c>
      <c r="XS130" s="10" t="n">
        <v>46131</v>
      </c>
      <c r="XU130" s="9" t="n">
        <v>0</v>
      </c>
      <c r="XW130" s="9" t="n">
        <v>0</v>
      </c>
      <c r="XX130" s="9" t="n">
        <v>1901</v>
      </c>
      <c r="YB130" s="10" t="n">
        <v>46131</v>
      </c>
      <c r="YD130" s="9" t="n">
        <v>0</v>
      </c>
      <c r="YF130" s="9" t="n">
        <v>0</v>
      </c>
      <c r="YG130" s="9" t="n">
        <v>6459</v>
      </c>
      <c r="YK130" s="10" t="n">
        <v>46131</v>
      </c>
      <c r="YM130" s="9" t="n">
        <v>0</v>
      </c>
      <c r="YO130" s="9" t="n">
        <v>0</v>
      </c>
      <c r="YP130" s="9" t="n">
        <v>0</v>
      </c>
      <c r="YT130" s="10" t="n">
        <v>46131</v>
      </c>
      <c r="YV130" s="9" t="n">
        <v>0</v>
      </c>
      <c r="YX130" s="9" t="n">
        <v>0</v>
      </c>
      <c r="YY130" s="9" t="n">
        <v>0</v>
      </c>
      <c r="ZC130" s="10" t="n">
        <v>46131</v>
      </c>
      <c r="ZE130" s="9" t="n">
        <v>0</v>
      </c>
      <c r="ZG130" s="9" t="n">
        <v>0</v>
      </c>
      <c r="ZH130" s="9" t="n">
        <v>0</v>
      </c>
      <c r="ZL130" s="10" t="n">
        <v>46131</v>
      </c>
      <c r="ZN130" s="9" t="n">
        <v>0</v>
      </c>
      <c r="ZP130" s="9" t="n">
        <v>0</v>
      </c>
      <c r="ZQ130" s="9" t="n">
        <v>0</v>
      </c>
      <c r="ZU130" s="10" t="n">
        <v>46131</v>
      </c>
      <c r="ZW130" s="9" t="n">
        <v>0</v>
      </c>
      <c r="ZY130" s="9" t="n">
        <v>0</v>
      </c>
      <c r="ZZ130" s="9" t="n">
        <v>0</v>
      </c>
      <c r="AAD130" s="10" t="n">
        <v>46131</v>
      </c>
      <c r="AAF130" s="9" t="n">
        <v>0</v>
      </c>
      <c r="AAH130" s="9" t="n">
        <v>0</v>
      </c>
      <c r="AAI130" s="9" t="n">
        <v>0</v>
      </c>
      <c r="AAM130" s="10" t="n">
        <v>46131</v>
      </c>
      <c r="AAO130" s="9" t="n">
        <v>0</v>
      </c>
      <c r="AAQ130" s="9" t="n">
        <v>0</v>
      </c>
      <c r="AAR130" s="9" t="n">
        <v>0</v>
      </c>
      <c r="AAV130" s="10" t="n">
        <v>46131</v>
      </c>
      <c r="AAX130" s="9" t="n">
        <v>0</v>
      </c>
      <c r="AAZ130" s="9" t="n">
        <v>0</v>
      </c>
      <c r="ABA130" s="9" t="n">
        <v>0</v>
      </c>
      <c r="ABE130" s="10" t="n">
        <v>46131</v>
      </c>
      <c r="ABG130" s="9" t="n">
        <v>0</v>
      </c>
      <c r="ABI130" s="9" t="n">
        <v>0</v>
      </c>
      <c r="ABJ130" s="9" t="n">
        <v>0</v>
      </c>
    </row>
    <row r="131">
      <c r="B131" s="9" t="n">
        <v>90</v>
      </c>
      <c r="C131" s="10" t="n">
        <v>46132</v>
      </c>
      <c r="D131" s="9" t="n">
        <v>17340</v>
      </c>
      <c r="E131" s="9" t="n">
        <v>48821.5</v>
      </c>
      <c r="F131" s="9" t="n">
        <v>48825.4</v>
      </c>
      <c r="G131" s="9" t="n">
        <v>-3.900000000001455</v>
      </c>
      <c r="H131" s="9" t="n">
        <v>128703.2</v>
      </c>
      <c r="I131" s="9" t="inlineStr">
        <is>
          <t>121 20mt, 122 30mt, 1102 40mt</t>
        </is>
      </c>
      <c r="L131" s="10" t="n">
        <v>46132</v>
      </c>
      <c r="N131" s="9" t="n">
        <v>21080</v>
      </c>
      <c r="O131" s="9" t="n">
        <v>21090.8</v>
      </c>
      <c r="P131" s="9" t="n">
        <v>-10.79999999999927</v>
      </c>
      <c r="Q131" s="9" t="n">
        <v>75954.40000000011</v>
      </c>
      <c r="U131" s="10" t="n">
        <v>46132</v>
      </c>
      <c r="W131" s="9" t="n">
        <v>4835</v>
      </c>
      <c r="X131" s="9" t="n">
        <v>4835.8</v>
      </c>
      <c r="Y131" s="9" t="n">
        <v>-0.8000000000001819</v>
      </c>
      <c r="Z131" s="9" t="n">
        <v>32368.39999999997</v>
      </c>
      <c r="AD131" s="10" t="n">
        <v>46132</v>
      </c>
      <c r="AF131" s="9" t="n">
        <v>2590</v>
      </c>
      <c r="AG131" s="9" t="n">
        <v>2592.3</v>
      </c>
      <c r="AH131" s="9" t="n">
        <v>-2.300000000000182</v>
      </c>
      <c r="AI131" s="9" t="n">
        <v>34424.70000000002</v>
      </c>
      <c r="AM131" s="10" t="n">
        <v>46132</v>
      </c>
      <c r="AO131" s="9" t="n">
        <v>0</v>
      </c>
      <c r="AQ131" s="9" t="n">
        <v>0</v>
      </c>
      <c r="AR131" s="9" t="n">
        <v>0</v>
      </c>
      <c r="AV131" s="10" t="n">
        <v>46132</v>
      </c>
      <c r="AX131" s="9" t="n">
        <v>900</v>
      </c>
      <c r="AY131" s="9" t="n">
        <v>901.3</v>
      </c>
      <c r="AZ131" s="9" t="n">
        <v>-1.299999999999955</v>
      </c>
      <c r="BA131" s="9" t="n">
        <v>11505.09999999999</v>
      </c>
      <c r="BE131" s="10" t="n">
        <v>46132</v>
      </c>
      <c r="BG131" s="9" t="n">
        <v>2820</v>
      </c>
      <c r="BH131" s="9" t="n">
        <v>2822.8</v>
      </c>
      <c r="BI131" s="9" t="n">
        <v>-2.800000000000182</v>
      </c>
      <c r="BJ131" s="9" t="n">
        <v>46039.39999999999</v>
      </c>
      <c r="BN131" s="10" t="n">
        <v>46132</v>
      </c>
      <c r="BO131" s="9" t="n">
        <v>1900.1</v>
      </c>
      <c r="BP131" s="9" t="n">
        <v>1900</v>
      </c>
      <c r="BQ131" s="9" t="n">
        <v>1900.1</v>
      </c>
      <c r="BR131" s="9" t="n">
        <v>-0.09999999999990905</v>
      </c>
      <c r="BS131" s="9" t="n">
        <v>0</v>
      </c>
      <c r="BW131" s="10" t="n">
        <v>46132</v>
      </c>
      <c r="BY131" s="9" t="n">
        <v>289.5</v>
      </c>
      <c r="BZ131" s="9" t="n">
        <v>798</v>
      </c>
      <c r="CA131" s="9" t="n">
        <v>-508.5</v>
      </c>
      <c r="CB131" s="9" t="n">
        <v>6411.799999999999</v>
      </c>
      <c r="CF131" s="10" t="n">
        <v>46132</v>
      </c>
      <c r="CG131" s="9" t="n">
        <v>1200</v>
      </c>
      <c r="CH131" s="9" t="n">
        <v>640</v>
      </c>
      <c r="CI131" s="9" t="n">
        <v>1200</v>
      </c>
      <c r="CJ131" s="9" t="n">
        <v>-560</v>
      </c>
      <c r="CK131" s="9" t="n">
        <v>0</v>
      </c>
      <c r="CO131" s="10" t="n">
        <v>46132</v>
      </c>
      <c r="CQ131" s="9" t="n">
        <v>0</v>
      </c>
      <c r="CS131" s="9" t="n">
        <v>0</v>
      </c>
      <c r="CT131" s="9" t="n">
        <v>0</v>
      </c>
      <c r="CX131" s="10" t="n">
        <v>46132</v>
      </c>
      <c r="CZ131" s="9" t="n">
        <v>2170</v>
      </c>
      <c r="DA131" s="9" t="n">
        <v>2168.6</v>
      </c>
      <c r="DB131" s="9" t="n">
        <v>1.400000000000091</v>
      </c>
      <c r="DC131" s="9" t="n">
        <v>8482.500000000005</v>
      </c>
      <c r="DG131" s="10" t="n">
        <v>46132</v>
      </c>
      <c r="DI131" s="9" t="n">
        <v>1270</v>
      </c>
      <c r="DJ131" s="9" t="n">
        <v>1271.4</v>
      </c>
      <c r="DK131" s="9" t="n">
        <v>-1.400000000000091</v>
      </c>
      <c r="DL131" s="9" t="n">
        <v>11111.39999999999</v>
      </c>
      <c r="DP131" s="10" t="n">
        <v>46132</v>
      </c>
      <c r="DR131" s="9" t="n">
        <v>0</v>
      </c>
      <c r="DS131" s="9" t="n">
        <v>500</v>
      </c>
      <c r="DT131" s="9" t="n">
        <v>-500</v>
      </c>
      <c r="DU131" s="9" t="n">
        <v>5800</v>
      </c>
      <c r="DY131" s="10" t="n">
        <v>46132</v>
      </c>
      <c r="EA131" s="9" t="n">
        <v>500</v>
      </c>
      <c r="EC131" s="9" t="n">
        <v>500</v>
      </c>
      <c r="ED131" s="9" t="n">
        <v>147.3000000000002</v>
      </c>
      <c r="EH131" s="10" t="n">
        <v>46132</v>
      </c>
      <c r="EJ131" s="9" t="n">
        <v>0</v>
      </c>
      <c r="EL131" s="9" t="n">
        <v>0</v>
      </c>
      <c r="EM131" s="9" t="n">
        <v>0</v>
      </c>
      <c r="EQ131" s="10" t="n">
        <v>46132</v>
      </c>
      <c r="ES131" s="9" t="n">
        <v>0</v>
      </c>
      <c r="EU131" s="9" t="n">
        <v>0</v>
      </c>
      <c r="EV131" s="9" t="n">
        <v>0</v>
      </c>
      <c r="EZ131" s="10" t="n">
        <v>46132</v>
      </c>
      <c r="FB131" s="9" t="n">
        <v>0</v>
      </c>
      <c r="FD131" s="9" t="n">
        <v>0</v>
      </c>
      <c r="FE131" s="9" t="n">
        <v>0</v>
      </c>
      <c r="FI131" s="10" t="n">
        <v>46132</v>
      </c>
      <c r="FK131" s="9" t="n">
        <v>0</v>
      </c>
      <c r="FM131" s="9" t="n">
        <v>0</v>
      </c>
      <c r="FN131" s="9" t="n">
        <v>0</v>
      </c>
      <c r="FR131" s="10" t="n">
        <v>46132</v>
      </c>
      <c r="FT131" s="9" t="n">
        <v>0</v>
      </c>
      <c r="FV131" s="9" t="n">
        <v>0</v>
      </c>
      <c r="FW131" s="9" t="n">
        <v>2120</v>
      </c>
      <c r="GA131" s="10" t="n">
        <v>46132</v>
      </c>
      <c r="GC131" s="9" t="n">
        <v>800</v>
      </c>
      <c r="GE131" s="9" t="n">
        <v>800</v>
      </c>
      <c r="GF131" s="9" t="n">
        <v>6800</v>
      </c>
      <c r="GJ131" s="10" t="n">
        <v>46132</v>
      </c>
      <c r="GL131" s="9" t="n">
        <v>0</v>
      </c>
      <c r="GN131" s="9" t="n">
        <v>0</v>
      </c>
      <c r="GO131" s="9" t="n">
        <v>4800</v>
      </c>
      <c r="GS131" s="10" t="n">
        <v>46132</v>
      </c>
      <c r="GU131" s="9" t="n">
        <v>0</v>
      </c>
      <c r="GW131" s="9" t="n">
        <v>0</v>
      </c>
      <c r="GX131" s="9" t="n">
        <v>0</v>
      </c>
      <c r="HB131" s="10" t="n">
        <v>46132</v>
      </c>
      <c r="HD131" s="9" t="n">
        <v>0</v>
      </c>
      <c r="HF131" s="9" t="n">
        <v>0</v>
      </c>
      <c r="HG131" s="9" t="n">
        <v>0</v>
      </c>
      <c r="HK131" s="10" t="n">
        <v>46132</v>
      </c>
      <c r="HM131" s="9" t="n">
        <v>0</v>
      </c>
      <c r="HO131" s="9" t="n">
        <v>0</v>
      </c>
      <c r="HP131" s="9" t="n">
        <v>0</v>
      </c>
      <c r="HU131" s="10" t="n">
        <v>46132</v>
      </c>
      <c r="HW131" s="9" t="n">
        <v>0</v>
      </c>
      <c r="HY131" s="9" t="n">
        <v>0</v>
      </c>
      <c r="HZ131" s="9" t="n">
        <v>5120</v>
      </c>
      <c r="ID131" s="10" t="n">
        <v>46132</v>
      </c>
      <c r="IF131" s="9" t="n">
        <v>0</v>
      </c>
      <c r="IH131" s="9" t="n">
        <v>0</v>
      </c>
      <c r="II131" s="9" t="n">
        <v>6540</v>
      </c>
      <c r="IM131" s="10" t="n">
        <v>46132</v>
      </c>
      <c r="IO131" s="9" t="n">
        <v>0</v>
      </c>
      <c r="IQ131" s="9" t="n">
        <v>0</v>
      </c>
      <c r="IR131" s="9" t="n">
        <v>11540</v>
      </c>
      <c r="IV131" s="10" t="n">
        <v>46132</v>
      </c>
      <c r="IX131" s="9" t="n">
        <v>0</v>
      </c>
      <c r="IZ131" s="9" t="n">
        <v>0</v>
      </c>
      <c r="JA131" s="9" t="n">
        <v>15120</v>
      </c>
      <c r="JE131" s="10" t="n">
        <v>46132</v>
      </c>
      <c r="JG131" s="9" t="n">
        <v>0</v>
      </c>
      <c r="JI131" s="9" t="n">
        <v>0</v>
      </c>
      <c r="JJ131" s="9" t="n">
        <v>5040</v>
      </c>
      <c r="JN131" s="10" t="n">
        <v>46132</v>
      </c>
      <c r="JP131" s="9" t="n">
        <v>0</v>
      </c>
      <c r="JR131" s="9" t="n">
        <v>0</v>
      </c>
      <c r="JS131" s="9" t="n">
        <v>9100</v>
      </c>
      <c r="JW131" s="10" t="n">
        <v>46132</v>
      </c>
      <c r="JY131" s="9" t="n">
        <v>400</v>
      </c>
      <c r="KA131" s="9" t="n">
        <v>400</v>
      </c>
      <c r="KB131" s="9" t="n">
        <v>2540</v>
      </c>
      <c r="KF131" s="10" t="n">
        <v>46132</v>
      </c>
      <c r="KH131" s="9" t="n">
        <v>585</v>
      </c>
      <c r="KJ131" s="9" t="n">
        <v>585</v>
      </c>
      <c r="KK131" s="9" t="n">
        <v>19.5</v>
      </c>
      <c r="KO131" s="10" t="n">
        <v>46132</v>
      </c>
      <c r="KQ131" s="9" t="n">
        <v>0</v>
      </c>
      <c r="KS131" s="9" t="n">
        <v>0</v>
      </c>
      <c r="KT131" s="9" t="n">
        <v>3817.8</v>
      </c>
      <c r="KW131" s="9" t="n">
        <v>300</v>
      </c>
      <c r="KX131" s="10" t="n">
        <v>46132</v>
      </c>
      <c r="KY131" s="9" t="n">
        <v>6150</v>
      </c>
      <c r="KZ131" s="9" t="n">
        <v>0</v>
      </c>
      <c r="LA131" s="9" t="n">
        <v>2460</v>
      </c>
      <c r="LB131" s="9" t="n">
        <v>-2460</v>
      </c>
      <c r="LC131" s="9" t="n">
        <v>3690</v>
      </c>
      <c r="LG131" s="10" t="n">
        <v>46132</v>
      </c>
      <c r="LH131" s="9" t="n">
        <v>4000</v>
      </c>
      <c r="LI131" s="9" t="n">
        <v>0</v>
      </c>
      <c r="LK131" s="9" t="n">
        <v>0</v>
      </c>
      <c r="LL131" s="9" t="n">
        <v>4000</v>
      </c>
      <c r="LP131" s="10" t="n">
        <v>46132</v>
      </c>
      <c r="LR131" s="9" t="n">
        <v>0</v>
      </c>
      <c r="LT131" s="9" t="n">
        <v>0</v>
      </c>
      <c r="LU131" s="9" t="n">
        <v>0</v>
      </c>
      <c r="LY131" s="10" t="n">
        <v>46132</v>
      </c>
      <c r="MA131" s="9" t="n">
        <v>0</v>
      </c>
      <c r="MC131" s="9" t="n">
        <v>0</v>
      </c>
      <c r="MD131" s="9" t="n">
        <v>0</v>
      </c>
      <c r="MH131" s="10" t="n">
        <v>46132</v>
      </c>
      <c r="MJ131" s="9" t="n">
        <v>0</v>
      </c>
      <c r="ML131" s="9" t="n">
        <v>0</v>
      </c>
      <c r="MM131" s="9" t="n">
        <v>0</v>
      </c>
      <c r="MQ131" s="10" t="n">
        <v>46132</v>
      </c>
      <c r="MS131" s="9" t="n">
        <v>20</v>
      </c>
      <c r="MU131" s="9" t="n">
        <v>20</v>
      </c>
      <c r="MV131" s="9" t="n">
        <v>4069</v>
      </c>
      <c r="MZ131" s="10" t="n">
        <v>46132</v>
      </c>
      <c r="NA131" s="9" t="n">
        <v>360</v>
      </c>
      <c r="NB131" s="9" t="n">
        <v>150</v>
      </c>
      <c r="NC131" s="9" t="n">
        <v>360</v>
      </c>
      <c r="ND131" s="9" t="n">
        <v>-210</v>
      </c>
      <c r="NE131" s="9" t="n">
        <v>0</v>
      </c>
      <c r="NI131" s="10" t="n">
        <v>46132</v>
      </c>
      <c r="NK131" s="9" t="n">
        <v>50</v>
      </c>
      <c r="NL131" s="9" t="n">
        <v>120</v>
      </c>
      <c r="NM131" s="9" t="n">
        <v>-70</v>
      </c>
      <c r="NN131" s="9" t="n">
        <v>1229</v>
      </c>
      <c r="NR131" s="10" t="n">
        <v>46132</v>
      </c>
      <c r="NT131" s="9" t="n">
        <v>40</v>
      </c>
      <c r="NU131" s="9" t="n">
        <v>144</v>
      </c>
      <c r="NV131" s="9" t="n">
        <v>-104</v>
      </c>
      <c r="NW131" s="9" t="n">
        <v>3233.3</v>
      </c>
      <c r="OA131" s="10" t="n">
        <v>46132</v>
      </c>
      <c r="OC131" s="9" t="n">
        <v>0</v>
      </c>
      <c r="OE131" s="9" t="n">
        <v>0</v>
      </c>
      <c r="OF131" s="9" t="n">
        <v>1680.5</v>
      </c>
      <c r="OJ131" s="10" t="n">
        <v>46132</v>
      </c>
      <c r="OK131" s="9" t="n">
        <v>336</v>
      </c>
      <c r="OL131" s="9" t="n">
        <v>139</v>
      </c>
      <c r="OM131" s="9" t="n">
        <v>336</v>
      </c>
      <c r="ON131" s="9" t="n">
        <v>-197</v>
      </c>
      <c r="OO131" s="9" t="n">
        <v>0</v>
      </c>
      <c r="OS131" s="10" t="n">
        <v>46132</v>
      </c>
      <c r="OU131" s="9" t="n">
        <v>0</v>
      </c>
      <c r="OW131" s="9" t="n">
        <v>0</v>
      </c>
      <c r="OX131" s="9" t="n">
        <v>1000</v>
      </c>
      <c r="PB131" s="10" t="n">
        <v>46132</v>
      </c>
      <c r="PD131" s="9" t="n">
        <v>0</v>
      </c>
      <c r="PF131" s="9" t="n">
        <v>0</v>
      </c>
      <c r="PG131" s="9" t="n">
        <v>0</v>
      </c>
      <c r="PK131" s="10" t="n">
        <v>46132</v>
      </c>
      <c r="PM131" s="9" t="n">
        <v>0</v>
      </c>
      <c r="PO131" s="9" t="n">
        <v>0</v>
      </c>
      <c r="PP131" s="9" t="n">
        <v>100</v>
      </c>
      <c r="PT131" s="10" t="n">
        <v>46132</v>
      </c>
      <c r="PV131" s="9" t="n">
        <v>0</v>
      </c>
      <c r="PX131" s="9" t="n">
        <v>0</v>
      </c>
      <c r="PY131" s="9" t="n">
        <v>13.96000000000004</v>
      </c>
      <c r="QC131" s="10" t="n">
        <v>46132</v>
      </c>
      <c r="QE131" s="9" t="n">
        <v>0</v>
      </c>
      <c r="QG131" s="9" t="n">
        <v>0</v>
      </c>
      <c r="QH131" s="9" t="n">
        <v>1212</v>
      </c>
      <c r="QL131" s="10" t="n">
        <v>46132</v>
      </c>
      <c r="QN131" s="9" t="n">
        <v>0</v>
      </c>
      <c r="QP131" s="9" t="n">
        <v>0</v>
      </c>
      <c r="QQ131" s="9" t="n">
        <v>400</v>
      </c>
      <c r="QU131" s="10" t="n">
        <v>46132</v>
      </c>
      <c r="QW131" s="9" t="n">
        <v>0</v>
      </c>
      <c r="QY131" s="9" t="n">
        <v>0</v>
      </c>
      <c r="QZ131" s="9" t="n">
        <v>207.6</v>
      </c>
      <c r="RD131" s="10" t="n">
        <v>46132</v>
      </c>
      <c r="RF131" s="9" t="n">
        <v>0</v>
      </c>
      <c r="RH131" s="9" t="n">
        <v>0</v>
      </c>
      <c r="RI131" s="9" t="n">
        <v>147.04</v>
      </c>
      <c r="RM131" s="10" t="n">
        <v>46132</v>
      </c>
      <c r="RO131" s="9" t="n">
        <v>0</v>
      </c>
      <c r="RQ131" s="9" t="n">
        <v>0</v>
      </c>
      <c r="RR131" s="9" t="n">
        <v>46.8</v>
      </c>
      <c r="RV131" s="10" t="n">
        <v>46132</v>
      </c>
      <c r="RX131" s="9" t="n">
        <v>0</v>
      </c>
      <c r="RZ131" s="9" t="n">
        <v>0</v>
      </c>
      <c r="SA131" s="9" t="n">
        <v>0</v>
      </c>
      <c r="SE131" s="10" t="n">
        <v>46132</v>
      </c>
      <c r="SG131" s="9" t="n">
        <v>0</v>
      </c>
      <c r="SI131" s="9" t="n">
        <v>0</v>
      </c>
      <c r="SJ131" s="9" t="n">
        <v>125</v>
      </c>
      <c r="SN131" s="10" t="n">
        <v>46132</v>
      </c>
      <c r="SP131" s="9" t="n">
        <v>0</v>
      </c>
      <c r="SR131" s="9" t="n">
        <v>0</v>
      </c>
      <c r="SS131" s="9" t="n">
        <v>200</v>
      </c>
      <c r="SW131" s="10" t="n">
        <v>46132</v>
      </c>
      <c r="SY131" s="9" t="n">
        <v>0</v>
      </c>
      <c r="TA131" s="9" t="n">
        <v>0</v>
      </c>
      <c r="TB131" s="9" t="n">
        <v>0</v>
      </c>
      <c r="TF131" s="10" t="n">
        <v>46132</v>
      </c>
      <c r="TH131" s="9" t="n">
        <v>0</v>
      </c>
      <c r="TJ131" s="9" t="n">
        <v>0</v>
      </c>
      <c r="TK131" s="9" t="n">
        <v>0</v>
      </c>
      <c r="TO131" s="10" t="n">
        <v>46132</v>
      </c>
      <c r="TQ131" s="9" t="n">
        <v>0</v>
      </c>
      <c r="TS131" s="9" t="n">
        <v>0</v>
      </c>
      <c r="TT131" s="9" t="n">
        <v>0</v>
      </c>
      <c r="TX131" s="10" t="n">
        <v>46132</v>
      </c>
      <c r="TZ131" s="9" t="n">
        <v>0</v>
      </c>
      <c r="UB131" s="9" t="n">
        <v>0</v>
      </c>
      <c r="UC131" s="9" t="n">
        <v>0</v>
      </c>
      <c r="UG131" s="10" t="n">
        <v>46132</v>
      </c>
      <c r="UI131" s="9" t="n">
        <v>0</v>
      </c>
      <c r="UK131" s="9" t="n">
        <v>0</v>
      </c>
      <c r="UL131" s="9" t="n">
        <v>0</v>
      </c>
      <c r="UP131" s="10" t="n">
        <v>46132</v>
      </c>
      <c r="UR131" s="9" t="n">
        <v>0</v>
      </c>
      <c r="UT131" s="9" t="n">
        <v>0</v>
      </c>
      <c r="UU131" s="9" t="n">
        <v>0</v>
      </c>
      <c r="UY131" s="10" t="n">
        <v>46132</v>
      </c>
      <c r="VA131" s="9" t="n">
        <v>0</v>
      </c>
      <c r="VC131" s="9" t="n">
        <v>0</v>
      </c>
      <c r="VD131" s="9" t="n">
        <v>41.60000000000002</v>
      </c>
      <c r="VH131" s="10" t="n">
        <v>46132</v>
      </c>
      <c r="VJ131" s="9" t="n">
        <v>0</v>
      </c>
      <c r="VL131" s="9" t="n">
        <v>0</v>
      </c>
      <c r="VM131" s="9" t="n">
        <v>0</v>
      </c>
      <c r="VQ131" s="10" t="n">
        <v>46132</v>
      </c>
      <c r="VS131" s="9" t="n">
        <v>0</v>
      </c>
      <c r="VU131" s="9" t="n">
        <v>0</v>
      </c>
      <c r="VV131" s="9" t="n">
        <v>0</v>
      </c>
      <c r="VZ131" s="10" t="n">
        <v>46132</v>
      </c>
      <c r="WB131" s="9" t="n">
        <v>0</v>
      </c>
      <c r="WD131" s="9" t="n">
        <v>0</v>
      </c>
      <c r="WE131" s="9" t="n">
        <v>0</v>
      </c>
      <c r="WI131" s="10" t="n">
        <v>46132</v>
      </c>
      <c r="WK131" s="9" t="n">
        <v>0</v>
      </c>
      <c r="WM131" s="9" t="n">
        <v>0</v>
      </c>
      <c r="WN131" s="9" t="n">
        <v>2317</v>
      </c>
      <c r="WR131" s="10" t="n">
        <v>46132</v>
      </c>
      <c r="WT131" s="9" t="n">
        <v>0</v>
      </c>
      <c r="WU131" s="9" t="n">
        <v>181</v>
      </c>
      <c r="WV131" s="9" t="n">
        <v>-181</v>
      </c>
      <c r="WW131" s="9" t="n">
        <v>5855</v>
      </c>
      <c r="XA131" s="10" t="n">
        <v>46132</v>
      </c>
      <c r="XC131" s="9" t="n">
        <v>0</v>
      </c>
      <c r="XE131" s="9" t="n">
        <v>0</v>
      </c>
      <c r="XF131" s="9" t="n">
        <v>14868</v>
      </c>
      <c r="XJ131" s="10" t="n">
        <v>46132</v>
      </c>
      <c r="XL131" s="9" t="n">
        <v>0</v>
      </c>
      <c r="XM131" s="9" t="n">
        <v>408</v>
      </c>
      <c r="XN131" s="9" t="n">
        <v>-408</v>
      </c>
      <c r="XO131" s="9" t="n">
        <v>2376</v>
      </c>
      <c r="XS131" s="10" t="n">
        <v>46132</v>
      </c>
      <c r="XU131" s="9" t="n">
        <v>0</v>
      </c>
      <c r="XW131" s="9" t="n">
        <v>0</v>
      </c>
      <c r="XX131" s="9" t="n">
        <v>1901</v>
      </c>
      <c r="YB131" s="10" t="n">
        <v>46132</v>
      </c>
      <c r="YD131" s="9" t="n">
        <v>0</v>
      </c>
      <c r="YF131" s="9" t="n">
        <v>0</v>
      </c>
      <c r="YG131" s="9" t="n">
        <v>6459</v>
      </c>
      <c r="YK131" s="10" t="n">
        <v>46132</v>
      </c>
      <c r="YM131" s="9" t="n">
        <v>0</v>
      </c>
      <c r="YO131" s="9" t="n">
        <v>0</v>
      </c>
      <c r="YP131" s="9" t="n">
        <v>0</v>
      </c>
      <c r="YT131" s="10" t="n">
        <v>46132</v>
      </c>
      <c r="YV131" s="9" t="n">
        <v>0</v>
      </c>
      <c r="YX131" s="9" t="n">
        <v>0</v>
      </c>
      <c r="YY131" s="9" t="n">
        <v>0</v>
      </c>
      <c r="ZC131" s="10" t="n">
        <v>46132</v>
      </c>
      <c r="ZE131" s="9" t="n">
        <v>0</v>
      </c>
      <c r="ZG131" s="9" t="n">
        <v>0</v>
      </c>
      <c r="ZH131" s="9" t="n">
        <v>0</v>
      </c>
      <c r="ZL131" s="10" t="n">
        <v>46132</v>
      </c>
      <c r="ZN131" s="9" t="n">
        <v>0</v>
      </c>
      <c r="ZP131" s="9" t="n">
        <v>0</v>
      </c>
      <c r="ZQ131" s="9" t="n">
        <v>0</v>
      </c>
      <c r="ZU131" s="10" t="n">
        <v>46132</v>
      </c>
      <c r="ZW131" s="9" t="n">
        <v>0</v>
      </c>
      <c r="ZY131" s="9" t="n">
        <v>0</v>
      </c>
      <c r="ZZ131" s="9" t="n">
        <v>0</v>
      </c>
      <c r="AAD131" s="10" t="n">
        <v>46132</v>
      </c>
      <c r="AAF131" s="9" t="n">
        <v>0</v>
      </c>
      <c r="AAH131" s="9" t="n">
        <v>0</v>
      </c>
      <c r="AAI131" s="9" t="n">
        <v>0</v>
      </c>
      <c r="AAM131" s="10" t="n">
        <v>46132</v>
      </c>
      <c r="AAO131" s="9" t="n">
        <v>0</v>
      </c>
      <c r="AAQ131" s="9" t="n">
        <v>0</v>
      </c>
      <c r="AAR131" s="9" t="n">
        <v>0</v>
      </c>
      <c r="AAV131" s="10" t="n">
        <v>46132</v>
      </c>
      <c r="AAX131" s="9" t="n">
        <v>0</v>
      </c>
      <c r="AAZ131" s="9" t="n">
        <v>0</v>
      </c>
      <c r="ABA131" s="9" t="n">
        <v>0</v>
      </c>
      <c r="ABE131" s="10" t="n">
        <v>46132</v>
      </c>
      <c r="ABG131" s="9" t="n">
        <v>0</v>
      </c>
      <c r="ABI131" s="9" t="n">
        <v>0</v>
      </c>
      <c r="ABJ131" s="9" t="n">
        <v>0</v>
      </c>
    </row>
    <row r="132">
      <c r="B132" s="9" t="n">
        <v>90</v>
      </c>
      <c r="C132" s="10" t="n">
        <v>46133</v>
      </c>
      <c r="D132" s="9" t="n">
        <v>19480</v>
      </c>
      <c r="E132" s="9" t="n">
        <v>50200.5</v>
      </c>
      <c r="F132" s="9" t="n">
        <v>50202.4</v>
      </c>
      <c r="G132" s="9" t="n">
        <v>-1.900000000001455</v>
      </c>
      <c r="H132" s="9" t="n">
        <v>97980.80000000002</v>
      </c>
      <c r="I132" s="9" t="inlineStr">
        <is>
          <t>122 30mt, 1102 60mt</t>
        </is>
      </c>
      <c r="L132" s="10" t="n">
        <v>46133</v>
      </c>
      <c r="N132" s="9" t="n">
        <v>21390</v>
      </c>
      <c r="O132" s="9" t="n">
        <v>21387</v>
      </c>
      <c r="P132" s="9" t="n">
        <v>3</v>
      </c>
      <c r="Q132" s="9" t="n">
        <v>54567.40000000011</v>
      </c>
      <c r="U132" s="10" t="n">
        <v>46133</v>
      </c>
      <c r="W132" s="9" t="n">
        <v>4005</v>
      </c>
      <c r="X132" s="9" t="n">
        <v>4004.3</v>
      </c>
      <c r="Y132" s="9" t="n">
        <v>0.6999999999993634</v>
      </c>
      <c r="Z132" s="9" t="n">
        <v>28364.09999999997</v>
      </c>
      <c r="AD132" s="10" t="n">
        <v>46133</v>
      </c>
      <c r="AF132" s="9" t="n">
        <v>3390</v>
      </c>
      <c r="AG132" s="9" t="n">
        <v>3391.8</v>
      </c>
      <c r="AH132" s="9" t="n">
        <v>-1.800000000000182</v>
      </c>
      <c r="AI132" s="9" t="n">
        <v>31032.90000000002</v>
      </c>
      <c r="AM132" s="10" t="n">
        <v>46133</v>
      </c>
      <c r="AO132" s="9" t="n">
        <v>0</v>
      </c>
      <c r="AQ132" s="9" t="n">
        <v>0</v>
      </c>
      <c r="AR132" s="9" t="n">
        <v>0</v>
      </c>
      <c r="AV132" s="10" t="n">
        <v>46133</v>
      </c>
      <c r="AX132" s="9" t="n">
        <v>600</v>
      </c>
      <c r="AY132" s="9" t="n">
        <v>598.6</v>
      </c>
      <c r="AZ132" s="9" t="n">
        <v>1.399999999999977</v>
      </c>
      <c r="BA132" s="9" t="n">
        <v>10906.49999999999</v>
      </c>
      <c r="BE132" s="10" t="n">
        <v>46133</v>
      </c>
      <c r="BG132" s="9" t="n">
        <v>2760</v>
      </c>
      <c r="BH132" s="9" t="n">
        <v>2760.8</v>
      </c>
      <c r="BI132" s="9" t="n">
        <v>-0.8000000000001819</v>
      </c>
      <c r="BJ132" s="9" t="n">
        <v>43278.59999999999</v>
      </c>
      <c r="BN132" s="10" t="n">
        <v>46133</v>
      </c>
      <c r="BO132" s="9" t="n">
        <v>2100</v>
      </c>
      <c r="BP132" s="9" t="n">
        <v>2100</v>
      </c>
      <c r="BQ132" s="9" t="n">
        <v>2100</v>
      </c>
      <c r="BR132" s="9" t="n">
        <v>0</v>
      </c>
      <c r="BS132" s="9" t="n">
        <v>0</v>
      </c>
      <c r="BW132" s="10" t="n">
        <v>46133</v>
      </c>
      <c r="BY132" s="9" t="n">
        <v>199.5</v>
      </c>
      <c r="CA132" s="9" t="n">
        <v>199.5</v>
      </c>
      <c r="CB132" s="9" t="n">
        <v>6411.799999999999</v>
      </c>
      <c r="CF132" s="10" t="n">
        <v>46133</v>
      </c>
      <c r="CH132" s="9" t="n">
        <v>600</v>
      </c>
      <c r="CJ132" s="9" t="n">
        <v>600</v>
      </c>
      <c r="CK132" s="9" t="n">
        <v>0</v>
      </c>
      <c r="CO132" s="10" t="n">
        <v>46133</v>
      </c>
      <c r="CQ132" s="9" t="n">
        <v>0</v>
      </c>
      <c r="CS132" s="9" t="n">
        <v>0</v>
      </c>
      <c r="CT132" s="9" t="n">
        <v>0</v>
      </c>
      <c r="CX132" s="10" t="n">
        <v>46133</v>
      </c>
      <c r="CZ132" s="9" t="n">
        <v>1500</v>
      </c>
      <c r="DA132" s="9" t="n">
        <v>1501.6</v>
      </c>
      <c r="DB132" s="9" t="n">
        <v>-1.599999999999909</v>
      </c>
      <c r="DC132" s="9" t="n">
        <v>6980.900000000005</v>
      </c>
      <c r="DG132" s="10" t="n">
        <v>46133</v>
      </c>
      <c r="DI132" s="9" t="n">
        <v>1200</v>
      </c>
      <c r="DJ132" s="9" t="n">
        <v>1200.6</v>
      </c>
      <c r="DK132" s="9" t="n">
        <v>-0.5999999999999091</v>
      </c>
      <c r="DL132" s="9" t="n">
        <v>9910.799999999992</v>
      </c>
      <c r="DP132" s="10" t="n">
        <v>46133</v>
      </c>
      <c r="DR132" s="9" t="n">
        <v>0</v>
      </c>
      <c r="DT132" s="9" t="n">
        <v>0</v>
      </c>
      <c r="DU132" s="9" t="n">
        <v>5800</v>
      </c>
      <c r="DY132" s="10" t="n">
        <v>46133</v>
      </c>
      <c r="EA132" s="9" t="n">
        <v>0</v>
      </c>
      <c r="EC132" s="9" t="n">
        <v>0</v>
      </c>
      <c r="ED132" s="9" t="n">
        <v>147.3000000000002</v>
      </c>
      <c r="EH132" s="10" t="n">
        <v>46133</v>
      </c>
      <c r="EJ132" s="9" t="n">
        <v>0</v>
      </c>
      <c r="EL132" s="9" t="n">
        <v>0</v>
      </c>
      <c r="EM132" s="9" t="n">
        <v>0</v>
      </c>
      <c r="EQ132" s="10" t="n">
        <v>46133</v>
      </c>
      <c r="ES132" s="9" t="n">
        <v>0</v>
      </c>
      <c r="EU132" s="9" t="n">
        <v>0</v>
      </c>
      <c r="EV132" s="9" t="n">
        <v>0</v>
      </c>
      <c r="EZ132" s="10" t="n">
        <v>46133</v>
      </c>
      <c r="FB132" s="9" t="n">
        <v>0</v>
      </c>
      <c r="FD132" s="9" t="n">
        <v>0</v>
      </c>
      <c r="FE132" s="9" t="n">
        <v>0</v>
      </c>
      <c r="FI132" s="10" t="n">
        <v>46133</v>
      </c>
      <c r="FK132" s="9" t="n">
        <v>0</v>
      </c>
      <c r="FM132" s="9" t="n">
        <v>0</v>
      </c>
      <c r="FN132" s="9" t="n">
        <v>0</v>
      </c>
      <c r="FR132" s="10" t="n">
        <v>46133</v>
      </c>
      <c r="FT132" s="9" t="n">
        <v>0</v>
      </c>
      <c r="FV132" s="9" t="n">
        <v>0</v>
      </c>
      <c r="FW132" s="9" t="n">
        <v>2120</v>
      </c>
      <c r="GA132" s="10" t="n">
        <v>46133</v>
      </c>
      <c r="GC132" s="9" t="n">
        <v>1200</v>
      </c>
      <c r="GE132" s="9" t="n">
        <v>1200</v>
      </c>
      <c r="GF132" s="9" t="n">
        <v>6800</v>
      </c>
      <c r="GJ132" s="10" t="n">
        <v>46133</v>
      </c>
      <c r="GL132" s="9" t="n">
        <v>0</v>
      </c>
      <c r="GN132" s="9" t="n">
        <v>0</v>
      </c>
      <c r="GO132" s="9" t="n">
        <v>4800</v>
      </c>
      <c r="GS132" s="10" t="n">
        <v>46133</v>
      </c>
      <c r="GU132" s="9" t="n">
        <v>0</v>
      </c>
      <c r="GW132" s="9" t="n">
        <v>0</v>
      </c>
      <c r="GX132" s="9" t="n">
        <v>0</v>
      </c>
      <c r="HB132" s="10" t="n">
        <v>46133</v>
      </c>
      <c r="HD132" s="9" t="n">
        <v>0</v>
      </c>
      <c r="HF132" s="9" t="n">
        <v>0</v>
      </c>
      <c r="HG132" s="9" t="n">
        <v>0</v>
      </c>
      <c r="HK132" s="10" t="n">
        <v>46133</v>
      </c>
      <c r="HM132" s="9" t="n">
        <v>0</v>
      </c>
      <c r="HO132" s="9" t="n">
        <v>0</v>
      </c>
      <c r="HP132" s="9" t="n">
        <v>0</v>
      </c>
      <c r="HU132" s="10" t="n">
        <v>46133</v>
      </c>
      <c r="HW132" s="9" t="n">
        <v>0</v>
      </c>
      <c r="HY132" s="9" t="n">
        <v>0</v>
      </c>
      <c r="HZ132" s="9" t="n">
        <v>5120</v>
      </c>
      <c r="ID132" s="10" t="n">
        <v>46133</v>
      </c>
      <c r="IF132" s="9" t="n">
        <v>0</v>
      </c>
      <c r="IH132" s="9" t="n">
        <v>0</v>
      </c>
      <c r="II132" s="9" t="n">
        <v>6540</v>
      </c>
      <c r="IM132" s="10" t="n">
        <v>46133</v>
      </c>
      <c r="IO132" s="9" t="n">
        <v>0</v>
      </c>
      <c r="IQ132" s="9" t="n">
        <v>0</v>
      </c>
      <c r="IR132" s="9" t="n">
        <v>11540</v>
      </c>
      <c r="IV132" s="10" t="n">
        <v>46133</v>
      </c>
      <c r="IX132" s="9" t="n">
        <v>0</v>
      </c>
      <c r="IZ132" s="9" t="n">
        <v>0</v>
      </c>
      <c r="JA132" s="9" t="n">
        <v>15120</v>
      </c>
      <c r="JE132" s="10" t="n">
        <v>46133</v>
      </c>
      <c r="JG132" s="9" t="n">
        <v>0</v>
      </c>
      <c r="JI132" s="9" t="n">
        <v>0</v>
      </c>
      <c r="JJ132" s="9" t="n">
        <v>5040</v>
      </c>
      <c r="JN132" s="10" t="n">
        <v>46133</v>
      </c>
      <c r="JP132" s="9" t="n">
        <v>0</v>
      </c>
      <c r="JR132" s="9" t="n">
        <v>0</v>
      </c>
      <c r="JS132" s="9" t="n">
        <v>9100</v>
      </c>
      <c r="JW132" s="10" t="n">
        <v>46133</v>
      </c>
      <c r="JY132" s="9" t="n">
        <v>0</v>
      </c>
      <c r="KA132" s="9" t="n">
        <v>0</v>
      </c>
      <c r="KB132" s="9" t="n">
        <v>2540</v>
      </c>
      <c r="KF132" s="10" t="n">
        <v>46133</v>
      </c>
      <c r="KH132" s="9" t="n">
        <v>585</v>
      </c>
      <c r="KJ132" s="9" t="n">
        <v>585</v>
      </c>
      <c r="KK132" s="9" t="n">
        <v>19.5</v>
      </c>
      <c r="KO132" s="10" t="n">
        <v>46133</v>
      </c>
      <c r="KQ132" s="9" t="n">
        <v>0</v>
      </c>
      <c r="KS132" s="9" t="n">
        <v>0</v>
      </c>
      <c r="KT132" s="9" t="n">
        <v>3817.8</v>
      </c>
      <c r="KX132" s="10" t="n">
        <v>46133</v>
      </c>
      <c r="KZ132" s="9" t="n">
        <v>0</v>
      </c>
      <c r="LB132" s="9" t="n">
        <v>0</v>
      </c>
      <c r="LC132" s="9" t="n">
        <v>3690</v>
      </c>
      <c r="LG132" s="10" t="n">
        <v>46133</v>
      </c>
      <c r="LI132" s="9" t="n">
        <v>0</v>
      </c>
      <c r="LK132" s="9" t="n">
        <v>0</v>
      </c>
      <c r="LL132" s="9" t="n">
        <v>4000</v>
      </c>
      <c r="LP132" s="10" t="n">
        <v>46133</v>
      </c>
      <c r="LR132" s="9" t="n">
        <v>0</v>
      </c>
      <c r="LT132" s="9" t="n">
        <v>0</v>
      </c>
      <c r="LU132" s="9" t="n">
        <v>0</v>
      </c>
      <c r="LY132" s="10" t="n">
        <v>46133</v>
      </c>
      <c r="MA132" s="9" t="n">
        <v>0</v>
      </c>
      <c r="MC132" s="9" t="n">
        <v>0</v>
      </c>
      <c r="MD132" s="9" t="n">
        <v>0</v>
      </c>
      <c r="MH132" s="10" t="n">
        <v>46133</v>
      </c>
      <c r="MJ132" s="9" t="n">
        <v>0</v>
      </c>
      <c r="ML132" s="9" t="n">
        <v>0</v>
      </c>
      <c r="MM132" s="9" t="n">
        <v>0</v>
      </c>
      <c r="MQ132" s="10" t="n">
        <v>46133</v>
      </c>
      <c r="MS132" s="9" t="n">
        <v>30</v>
      </c>
      <c r="MU132" s="9" t="n">
        <v>30</v>
      </c>
      <c r="MV132" s="9" t="n">
        <v>4069</v>
      </c>
      <c r="MZ132" s="10" t="n">
        <v>46133</v>
      </c>
      <c r="NB132" s="9" t="n">
        <v>90</v>
      </c>
      <c r="ND132" s="9" t="n">
        <v>90</v>
      </c>
      <c r="NE132" s="9" t="n">
        <v>0</v>
      </c>
      <c r="NI132" s="10" t="n">
        <v>46133</v>
      </c>
      <c r="NK132" s="9" t="n">
        <v>30</v>
      </c>
      <c r="NM132" s="9" t="n">
        <v>30</v>
      </c>
      <c r="NN132" s="9" t="n">
        <v>1229</v>
      </c>
      <c r="NR132" s="10" t="n">
        <v>46133</v>
      </c>
      <c r="NT132" s="9" t="n">
        <v>36</v>
      </c>
      <c r="NV132" s="9" t="n">
        <v>36</v>
      </c>
      <c r="NW132" s="9" t="n">
        <v>3233.3</v>
      </c>
      <c r="OA132" s="10" t="n">
        <v>46133</v>
      </c>
      <c r="OC132" s="9" t="n">
        <v>0</v>
      </c>
      <c r="OE132" s="9" t="n">
        <v>0</v>
      </c>
      <c r="OF132" s="9" t="n">
        <v>1680.5</v>
      </c>
      <c r="OJ132" s="10" t="n">
        <v>46133</v>
      </c>
      <c r="OL132" s="9" t="n">
        <v>83.99999999999999</v>
      </c>
      <c r="ON132" s="9" t="n">
        <v>83.99999999999999</v>
      </c>
      <c r="OO132" s="9" t="n">
        <v>0</v>
      </c>
      <c r="OS132" s="10" t="n">
        <v>46133</v>
      </c>
      <c r="OU132" s="9" t="n">
        <v>0</v>
      </c>
      <c r="OW132" s="9" t="n">
        <v>0</v>
      </c>
      <c r="OX132" s="9" t="n">
        <v>1000</v>
      </c>
      <c r="PB132" s="10" t="n">
        <v>46133</v>
      </c>
      <c r="PD132" s="9" t="n">
        <v>0</v>
      </c>
      <c r="PF132" s="9" t="n">
        <v>0</v>
      </c>
      <c r="PG132" s="9" t="n">
        <v>0</v>
      </c>
      <c r="PK132" s="10" t="n">
        <v>46133</v>
      </c>
      <c r="PM132" s="9" t="n">
        <v>0</v>
      </c>
      <c r="PO132" s="9" t="n">
        <v>0</v>
      </c>
      <c r="PP132" s="9" t="n">
        <v>100</v>
      </c>
      <c r="PT132" s="10" t="n">
        <v>46133</v>
      </c>
      <c r="PV132" s="9" t="n">
        <v>0</v>
      </c>
      <c r="PX132" s="9" t="n">
        <v>0</v>
      </c>
      <c r="PY132" s="9" t="n">
        <v>13.96000000000004</v>
      </c>
      <c r="QC132" s="10" t="n">
        <v>46133</v>
      </c>
      <c r="QE132" s="9" t="n">
        <v>0</v>
      </c>
      <c r="QG132" s="9" t="n">
        <v>0</v>
      </c>
      <c r="QH132" s="9" t="n">
        <v>1212</v>
      </c>
      <c r="QL132" s="10" t="n">
        <v>46133</v>
      </c>
      <c r="QN132" s="9" t="n">
        <v>0</v>
      </c>
      <c r="QP132" s="9" t="n">
        <v>0</v>
      </c>
      <c r="QQ132" s="9" t="n">
        <v>400</v>
      </c>
      <c r="QU132" s="10" t="n">
        <v>46133</v>
      </c>
      <c r="QW132" s="9" t="n">
        <v>0</v>
      </c>
      <c r="QY132" s="9" t="n">
        <v>0</v>
      </c>
      <c r="QZ132" s="9" t="n">
        <v>207.6</v>
      </c>
      <c r="RD132" s="10" t="n">
        <v>46133</v>
      </c>
      <c r="RF132" s="9" t="n">
        <v>0</v>
      </c>
      <c r="RH132" s="9" t="n">
        <v>0</v>
      </c>
      <c r="RI132" s="9" t="n">
        <v>147.04</v>
      </c>
      <c r="RM132" s="10" t="n">
        <v>46133</v>
      </c>
      <c r="RO132" s="9" t="n">
        <v>0</v>
      </c>
      <c r="RQ132" s="9" t="n">
        <v>0</v>
      </c>
      <c r="RR132" s="9" t="n">
        <v>46.8</v>
      </c>
      <c r="RV132" s="10" t="n">
        <v>46133</v>
      </c>
      <c r="RX132" s="9" t="n">
        <v>0</v>
      </c>
      <c r="RZ132" s="9" t="n">
        <v>0</v>
      </c>
      <c r="SA132" s="9" t="n">
        <v>0</v>
      </c>
      <c r="SE132" s="10" t="n">
        <v>46133</v>
      </c>
      <c r="SG132" s="9" t="n">
        <v>0</v>
      </c>
      <c r="SI132" s="9" t="n">
        <v>0</v>
      </c>
      <c r="SJ132" s="9" t="n">
        <v>125</v>
      </c>
      <c r="SN132" s="10" t="n">
        <v>46133</v>
      </c>
      <c r="SP132" s="9" t="n">
        <v>0</v>
      </c>
      <c r="SR132" s="9" t="n">
        <v>0</v>
      </c>
      <c r="SS132" s="9" t="n">
        <v>200</v>
      </c>
      <c r="SW132" s="10" t="n">
        <v>46133</v>
      </c>
      <c r="SY132" s="9" t="n">
        <v>0</v>
      </c>
      <c r="TA132" s="9" t="n">
        <v>0</v>
      </c>
      <c r="TB132" s="9" t="n">
        <v>0</v>
      </c>
      <c r="TF132" s="10" t="n">
        <v>46133</v>
      </c>
      <c r="TH132" s="9" t="n">
        <v>0</v>
      </c>
      <c r="TJ132" s="9" t="n">
        <v>0</v>
      </c>
      <c r="TK132" s="9" t="n">
        <v>0</v>
      </c>
      <c r="TO132" s="10" t="n">
        <v>46133</v>
      </c>
      <c r="TQ132" s="9" t="n">
        <v>0</v>
      </c>
      <c r="TS132" s="9" t="n">
        <v>0</v>
      </c>
      <c r="TT132" s="9" t="n">
        <v>0</v>
      </c>
      <c r="TX132" s="10" t="n">
        <v>46133</v>
      </c>
      <c r="TZ132" s="9" t="n">
        <v>0</v>
      </c>
      <c r="UB132" s="9" t="n">
        <v>0</v>
      </c>
      <c r="UC132" s="9" t="n">
        <v>0</v>
      </c>
      <c r="UG132" s="10" t="n">
        <v>46133</v>
      </c>
      <c r="UI132" s="9" t="n">
        <v>0</v>
      </c>
      <c r="UK132" s="9" t="n">
        <v>0</v>
      </c>
      <c r="UL132" s="9" t="n">
        <v>0</v>
      </c>
      <c r="UP132" s="10" t="n">
        <v>46133</v>
      </c>
      <c r="UR132" s="9" t="n">
        <v>0</v>
      </c>
      <c r="UT132" s="9" t="n">
        <v>0</v>
      </c>
      <c r="UU132" s="9" t="n">
        <v>0</v>
      </c>
      <c r="UY132" s="10" t="n">
        <v>46133</v>
      </c>
      <c r="VA132" s="9" t="n">
        <v>0</v>
      </c>
      <c r="VC132" s="9" t="n">
        <v>0</v>
      </c>
      <c r="VD132" s="9" t="n">
        <v>41.60000000000002</v>
      </c>
      <c r="VH132" s="10" t="n">
        <v>46133</v>
      </c>
      <c r="VJ132" s="9" t="n">
        <v>0</v>
      </c>
      <c r="VL132" s="9" t="n">
        <v>0</v>
      </c>
      <c r="VM132" s="9" t="n">
        <v>0</v>
      </c>
      <c r="VQ132" s="10" t="n">
        <v>46133</v>
      </c>
      <c r="VS132" s="9" t="n">
        <v>0</v>
      </c>
      <c r="VU132" s="9" t="n">
        <v>0</v>
      </c>
      <c r="VV132" s="9" t="n">
        <v>0</v>
      </c>
      <c r="VZ132" s="10" t="n">
        <v>46133</v>
      </c>
      <c r="WB132" s="9" t="n">
        <v>0</v>
      </c>
      <c r="WD132" s="9" t="n">
        <v>0</v>
      </c>
      <c r="WE132" s="9" t="n">
        <v>0</v>
      </c>
      <c r="WI132" s="10" t="n">
        <v>46133</v>
      </c>
      <c r="WK132" s="9" t="n">
        <v>0</v>
      </c>
      <c r="WM132" s="9" t="n">
        <v>0</v>
      </c>
      <c r="WN132" s="9" t="n">
        <v>2317</v>
      </c>
      <c r="WR132" s="10" t="n">
        <v>46133</v>
      </c>
      <c r="WT132" s="9" t="n">
        <v>0</v>
      </c>
      <c r="WU132" s="9" t="n">
        <v>1921</v>
      </c>
      <c r="WV132" s="9" t="n">
        <v>-1921</v>
      </c>
      <c r="WW132" s="9" t="n">
        <v>3934</v>
      </c>
      <c r="XA132" s="10" t="n">
        <v>46133</v>
      </c>
      <c r="XC132" s="9" t="n">
        <v>0</v>
      </c>
      <c r="XE132" s="9" t="n">
        <v>0</v>
      </c>
      <c r="XF132" s="9" t="n">
        <v>14868</v>
      </c>
      <c r="XJ132" s="10" t="n">
        <v>46133</v>
      </c>
      <c r="XL132" s="9" t="n">
        <v>0</v>
      </c>
      <c r="XN132" s="9" t="n">
        <v>0</v>
      </c>
      <c r="XO132" s="9" t="n">
        <v>2376</v>
      </c>
      <c r="XS132" s="10" t="n">
        <v>46133</v>
      </c>
      <c r="XU132" s="9" t="n">
        <v>0</v>
      </c>
      <c r="XW132" s="9" t="n">
        <v>0</v>
      </c>
      <c r="XX132" s="9" t="n">
        <v>1901</v>
      </c>
      <c r="YB132" s="10" t="n">
        <v>46133</v>
      </c>
      <c r="YD132" s="9" t="n">
        <v>0</v>
      </c>
      <c r="YF132" s="9" t="n">
        <v>0</v>
      </c>
      <c r="YG132" s="9" t="n">
        <v>6459</v>
      </c>
      <c r="YK132" s="10" t="n">
        <v>46133</v>
      </c>
      <c r="YM132" s="9" t="n">
        <v>0</v>
      </c>
      <c r="YO132" s="9" t="n">
        <v>0</v>
      </c>
      <c r="YP132" s="9" t="n">
        <v>0</v>
      </c>
      <c r="YT132" s="10" t="n">
        <v>46133</v>
      </c>
      <c r="YV132" s="9" t="n">
        <v>0</v>
      </c>
      <c r="YX132" s="9" t="n">
        <v>0</v>
      </c>
      <c r="YY132" s="9" t="n">
        <v>0</v>
      </c>
      <c r="ZC132" s="10" t="n">
        <v>46133</v>
      </c>
      <c r="ZE132" s="9" t="n">
        <v>0</v>
      </c>
      <c r="ZG132" s="9" t="n">
        <v>0</v>
      </c>
      <c r="ZH132" s="9" t="n">
        <v>0</v>
      </c>
      <c r="ZL132" s="10" t="n">
        <v>46133</v>
      </c>
      <c r="ZN132" s="9" t="n">
        <v>0</v>
      </c>
      <c r="ZP132" s="9" t="n">
        <v>0</v>
      </c>
      <c r="ZQ132" s="9" t="n">
        <v>0</v>
      </c>
      <c r="ZU132" s="10" t="n">
        <v>46133</v>
      </c>
      <c r="ZW132" s="9" t="n">
        <v>0</v>
      </c>
      <c r="ZY132" s="9" t="n">
        <v>0</v>
      </c>
      <c r="ZZ132" s="9" t="n">
        <v>0</v>
      </c>
      <c r="AAD132" s="10" t="n">
        <v>46133</v>
      </c>
      <c r="AAF132" s="9" t="n">
        <v>0</v>
      </c>
      <c r="AAH132" s="9" t="n">
        <v>0</v>
      </c>
      <c r="AAI132" s="9" t="n">
        <v>0</v>
      </c>
      <c r="AAM132" s="10" t="n">
        <v>46133</v>
      </c>
      <c r="AAO132" s="9" t="n">
        <v>0</v>
      </c>
      <c r="AAQ132" s="9" t="n">
        <v>0</v>
      </c>
      <c r="AAR132" s="9" t="n">
        <v>0</v>
      </c>
      <c r="AAV132" s="10" t="n">
        <v>46133</v>
      </c>
      <c r="AAX132" s="9" t="n">
        <v>0</v>
      </c>
      <c r="AAZ132" s="9" t="n">
        <v>0</v>
      </c>
      <c r="ABA132" s="9" t="n">
        <v>0</v>
      </c>
      <c r="ABE132" s="10" t="n">
        <v>46133</v>
      </c>
      <c r="ABG132" s="9" t="n">
        <v>0</v>
      </c>
      <c r="ABI132" s="9" t="n">
        <v>0</v>
      </c>
      <c r="ABJ132" s="9" t="n">
        <v>0</v>
      </c>
    </row>
    <row r="133">
      <c r="C133" s="10" t="n">
        <v>46134</v>
      </c>
      <c r="D133" s="9" t="n">
        <v>91450</v>
      </c>
      <c r="E133" s="9" t="n">
        <v>0</v>
      </c>
      <c r="G133" s="9" t="n">
        <v>0</v>
      </c>
      <c r="H133" s="9" t="n">
        <v>189430.8</v>
      </c>
      <c r="L133" s="10" t="n">
        <v>46134</v>
      </c>
      <c r="M133" s="9" t="n">
        <v>21300</v>
      </c>
      <c r="N133" s="9" t="n">
        <v>0</v>
      </c>
      <c r="P133" s="9" t="n">
        <v>0</v>
      </c>
      <c r="Q133" s="9" t="n">
        <v>75867.40000000011</v>
      </c>
      <c r="U133" s="10" t="n">
        <v>46134</v>
      </c>
      <c r="W133" s="9" t="n">
        <v>0</v>
      </c>
      <c r="Y133" s="9" t="n">
        <v>0</v>
      </c>
      <c r="Z133" s="9" t="n">
        <v>28364.09999999997</v>
      </c>
      <c r="AD133" s="10" t="n">
        <v>46134</v>
      </c>
      <c r="AF133" s="9" t="n">
        <v>0</v>
      </c>
      <c r="AH133" s="9" t="n">
        <v>0</v>
      </c>
      <c r="AI133" s="9" t="n">
        <v>31032.90000000002</v>
      </c>
      <c r="AM133" s="10" t="n">
        <v>46134</v>
      </c>
      <c r="AO133" s="9" t="n">
        <v>0</v>
      </c>
      <c r="AQ133" s="9" t="n">
        <v>0</v>
      </c>
      <c r="AR133" s="9" t="n">
        <v>0</v>
      </c>
      <c r="AV133" s="10" t="n">
        <v>46134</v>
      </c>
      <c r="AX133" s="9" t="n">
        <v>0</v>
      </c>
      <c r="AZ133" s="9" t="n">
        <v>0</v>
      </c>
      <c r="BA133" s="9" t="n">
        <v>10906.49999999999</v>
      </c>
      <c r="BE133" s="10" t="n">
        <v>46134</v>
      </c>
      <c r="BG133" s="9" t="n">
        <v>0</v>
      </c>
      <c r="BI133" s="9" t="n">
        <v>0</v>
      </c>
      <c r="BJ133" s="9" t="n">
        <v>43278.59999999999</v>
      </c>
      <c r="BN133" s="10" t="n">
        <v>46134</v>
      </c>
      <c r="BP133" s="9" t="n">
        <v>0</v>
      </c>
      <c r="BR133" s="9" t="n">
        <v>0</v>
      </c>
      <c r="BS133" s="9" t="n">
        <v>0</v>
      </c>
      <c r="BW133" s="10" t="n">
        <v>46134</v>
      </c>
      <c r="BY133" s="9" t="n">
        <v>0</v>
      </c>
      <c r="CA133" s="9" t="n">
        <v>0</v>
      </c>
      <c r="CB133" s="9" t="n">
        <v>6411.799999999999</v>
      </c>
      <c r="CF133" s="10" t="n">
        <v>46134</v>
      </c>
      <c r="CH133" s="9" t="n">
        <v>0</v>
      </c>
      <c r="CJ133" s="9" t="n">
        <v>0</v>
      </c>
      <c r="CK133" s="9" t="n">
        <v>0</v>
      </c>
      <c r="CO133" s="10" t="n">
        <v>46134</v>
      </c>
      <c r="CQ133" s="9" t="n">
        <v>0</v>
      </c>
      <c r="CS133" s="9" t="n">
        <v>0</v>
      </c>
      <c r="CT133" s="9" t="n">
        <v>0</v>
      </c>
      <c r="CX133" s="10" t="n">
        <v>46134</v>
      </c>
      <c r="CZ133" s="9" t="n">
        <v>0</v>
      </c>
      <c r="DB133" s="9" t="n">
        <v>0</v>
      </c>
      <c r="DC133" s="9" t="n">
        <v>6980.900000000005</v>
      </c>
      <c r="DG133" s="10" t="n">
        <v>46134</v>
      </c>
      <c r="DH133" s="9" t="n">
        <v>10860</v>
      </c>
      <c r="DI133" s="9" t="n">
        <v>0</v>
      </c>
      <c r="DK133" s="9" t="n">
        <v>0</v>
      </c>
      <c r="DL133" s="9" t="n">
        <v>20770.79999999999</v>
      </c>
      <c r="DP133" s="10" t="n">
        <v>46134</v>
      </c>
      <c r="DR133" s="9" t="n">
        <v>0</v>
      </c>
      <c r="DT133" s="9" t="n">
        <v>0</v>
      </c>
      <c r="DU133" s="9" t="n">
        <v>5800</v>
      </c>
      <c r="DY133" s="10" t="n">
        <v>46134</v>
      </c>
      <c r="EA133" s="9" t="n">
        <v>0</v>
      </c>
      <c r="EC133" s="9" t="n">
        <v>0</v>
      </c>
      <c r="ED133" s="9" t="n">
        <v>147.3000000000002</v>
      </c>
      <c r="EH133" s="10" t="n">
        <v>46134</v>
      </c>
      <c r="EJ133" s="9" t="n">
        <v>0</v>
      </c>
      <c r="EL133" s="9" t="n">
        <v>0</v>
      </c>
      <c r="EM133" s="9" t="n">
        <v>0</v>
      </c>
      <c r="EQ133" s="10" t="n">
        <v>46134</v>
      </c>
      <c r="ES133" s="9" t="n">
        <v>0</v>
      </c>
      <c r="EU133" s="9" t="n">
        <v>0</v>
      </c>
      <c r="EV133" s="9" t="n">
        <v>0</v>
      </c>
      <c r="EZ133" s="10" t="n">
        <v>46134</v>
      </c>
      <c r="FB133" s="9" t="n">
        <v>0</v>
      </c>
      <c r="FD133" s="9" t="n">
        <v>0</v>
      </c>
      <c r="FE133" s="9" t="n">
        <v>0</v>
      </c>
      <c r="FI133" s="10" t="n">
        <v>46134</v>
      </c>
      <c r="FK133" s="9" t="n">
        <v>0</v>
      </c>
      <c r="FM133" s="9" t="n">
        <v>0</v>
      </c>
      <c r="FN133" s="9" t="n">
        <v>0</v>
      </c>
      <c r="FR133" s="10" t="n">
        <v>46134</v>
      </c>
      <c r="FT133" s="9" t="n">
        <v>0</v>
      </c>
      <c r="FV133" s="9" t="n">
        <v>0</v>
      </c>
      <c r="FW133" s="9" t="n">
        <v>2120</v>
      </c>
      <c r="GA133" s="10" t="n">
        <v>46134</v>
      </c>
      <c r="GC133" s="9" t="n">
        <v>0</v>
      </c>
      <c r="GE133" s="9" t="n">
        <v>0</v>
      </c>
      <c r="GF133" s="9" t="n">
        <v>6800</v>
      </c>
      <c r="GJ133" s="10" t="n">
        <v>46134</v>
      </c>
      <c r="GL133" s="9" t="n">
        <v>0</v>
      </c>
      <c r="GN133" s="9" t="n">
        <v>0</v>
      </c>
      <c r="GO133" s="9" t="n">
        <v>4800</v>
      </c>
      <c r="GS133" s="10" t="n">
        <v>46134</v>
      </c>
      <c r="GU133" s="9" t="n">
        <v>0</v>
      </c>
      <c r="GW133" s="9" t="n">
        <v>0</v>
      </c>
      <c r="GX133" s="9" t="n">
        <v>0</v>
      </c>
      <c r="HB133" s="10" t="n">
        <v>46134</v>
      </c>
      <c r="HD133" s="9" t="n">
        <v>0</v>
      </c>
      <c r="HF133" s="9" t="n">
        <v>0</v>
      </c>
      <c r="HG133" s="9" t="n">
        <v>0</v>
      </c>
      <c r="HK133" s="10" t="n">
        <v>46134</v>
      </c>
      <c r="HM133" s="9" t="n">
        <v>0</v>
      </c>
      <c r="HO133" s="9" t="n">
        <v>0</v>
      </c>
      <c r="HP133" s="9" t="n">
        <v>0</v>
      </c>
      <c r="HU133" s="10" t="n">
        <v>46134</v>
      </c>
      <c r="HW133" s="9" t="n">
        <v>0</v>
      </c>
      <c r="HY133" s="9" t="n">
        <v>0</v>
      </c>
      <c r="HZ133" s="9" t="n">
        <v>5120</v>
      </c>
      <c r="ID133" s="10" t="n">
        <v>46134</v>
      </c>
      <c r="IF133" s="9" t="n">
        <v>0</v>
      </c>
      <c r="IH133" s="9" t="n">
        <v>0</v>
      </c>
      <c r="II133" s="9" t="n">
        <v>6540</v>
      </c>
      <c r="IM133" s="10" t="n">
        <v>46134</v>
      </c>
      <c r="IO133" s="9" t="n">
        <v>0</v>
      </c>
      <c r="IQ133" s="9" t="n">
        <v>0</v>
      </c>
      <c r="IR133" s="9" t="n">
        <v>11540</v>
      </c>
      <c r="IV133" s="10" t="n">
        <v>46134</v>
      </c>
      <c r="IX133" s="9" t="n">
        <v>0</v>
      </c>
      <c r="IZ133" s="9" t="n">
        <v>0</v>
      </c>
      <c r="JA133" s="9" t="n">
        <v>15120</v>
      </c>
      <c r="JE133" s="10" t="n">
        <v>46134</v>
      </c>
      <c r="JG133" s="9" t="n">
        <v>0</v>
      </c>
      <c r="JI133" s="9" t="n">
        <v>0</v>
      </c>
      <c r="JJ133" s="9" t="n">
        <v>5040</v>
      </c>
      <c r="JN133" s="10" t="n">
        <v>46134</v>
      </c>
      <c r="JP133" s="9" t="n">
        <v>0</v>
      </c>
      <c r="JR133" s="9" t="n">
        <v>0</v>
      </c>
      <c r="JS133" s="9" t="n">
        <v>9100</v>
      </c>
      <c r="JW133" s="10" t="n">
        <v>46134</v>
      </c>
      <c r="JY133" s="9" t="n">
        <v>0</v>
      </c>
      <c r="KA133" s="9" t="n">
        <v>0</v>
      </c>
      <c r="KB133" s="9" t="n">
        <v>2540</v>
      </c>
      <c r="KF133" s="10" t="n">
        <v>46134</v>
      </c>
      <c r="KH133" s="9" t="n">
        <v>0</v>
      </c>
      <c r="KJ133" s="9" t="n">
        <v>0</v>
      </c>
      <c r="KK133" s="9" t="n">
        <v>19.5</v>
      </c>
      <c r="KO133" s="10" t="n">
        <v>46134</v>
      </c>
      <c r="KQ133" s="9" t="n">
        <v>0</v>
      </c>
      <c r="KS133" s="9" t="n">
        <v>0</v>
      </c>
      <c r="KT133" s="9" t="n">
        <v>3817.8</v>
      </c>
      <c r="KX133" s="10" t="n">
        <v>46134</v>
      </c>
      <c r="KZ133" s="9" t="n">
        <v>0</v>
      </c>
      <c r="LB133" s="9" t="n">
        <v>0</v>
      </c>
      <c r="LC133" s="9" t="n">
        <v>3690</v>
      </c>
      <c r="LG133" s="10" t="n">
        <v>46134</v>
      </c>
      <c r="LI133" s="9" t="n">
        <v>0</v>
      </c>
      <c r="LK133" s="9" t="n">
        <v>0</v>
      </c>
      <c r="LL133" s="9" t="n">
        <v>4000</v>
      </c>
      <c r="LP133" s="10" t="n">
        <v>46134</v>
      </c>
      <c r="LR133" s="9" t="n">
        <v>0</v>
      </c>
      <c r="LT133" s="9" t="n">
        <v>0</v>
      </c>
      <c r="LU133" s="9" t="n">
        <v>0</v>
      </c>
      <c r="LY133" s="10" t="n">
        <v>46134</v>
      </c>
      <c r="MA133" s="9" t="n">
        <v>0</v>
      </c>
      <c r="MC133" s="9" t="n">
        <v>0</v>
      </c>
      <c r="MD133" s="9" t="n">
        <v>0</v>
      </c>
      <c r="MH133" s="10" t="n">
        <v>46134</v>
      </c>
      <c r="MJ133" s="9" t="n">
        <v>0</v>
      </c>
      <c r="ML133" s="9" t="n">
        <v>0</v>
      </c>
      <c r="MM133" s="9" t="n">
        <v>0</v>
      </c>
      <c r="MQ133" s="10" t="n">
        <v>46134</v>
      </c>
      <c r="MS133" s="9" t="n">
        <v>0</v>
      </c>
      <c r="MU133" s="9" t="n">
        <v>0</v>
      </c>
      <c r="MV133" s="9" t="n">
        <v>4069</v>
      </c>
      <c r="MZ133" s="10" t="n">
        <v>46134</v>
      </c>
      <c r="NB133" s="9" t="n">
        <v>0</v>
      </c>
      <c r="ND133" s="9" t="n">
        <v>0</v>
      </c>
      <c r="NE133" s="9" t="n">
        <v>0</v>
      </c>
      <c r="NI133" s="10" t="n">
        <v>46134</v>
      </c>
      <c r="NK133" s="9" t="n">
        <v>0</v>
      </c>
      <c r="NM133" s="9" t="n">
        <v>0</v>
      </c>
      <c r="NN133" s="9" t="n">
        <v>1229</v>
      </c>
      <c r="NR133" s="10" t="n">
        <v>46134</v>
      </c>
      <c r="NT133" s="9" t="n">
        <v>0</v>
      </c>
      <c r="NV133" s="9" t="n">
        <v>0</v>
      </c>
      <c r="NW133" s="9" t="n">
        <v>3233.3</v>
      </c>
      <c r="OA133" s="10" t="n">
        <v>46134</v>
      </c>
      <c r="OC133" s="9" t="n">
        <v>0</v>
      </c>
      <c r="OE133" s="9" t="n">
        <v>0</v>
      </c>
      <c r="OF133" s="9" t="n">
        <v>1680.5</v>
      </c>
      <c r="OJ133" s="10" t="n">
        <v>46134</v>
      </c>
      <c r="OL133" s="9" t="n">
        <v>0</v>
      </c>
      <c r="ON133" s="9" t="n">
        <v>0</v>
      </c>
      <c r="OO133" s="9" t="n">
        <v>0</v>
      </c>
      <c r="OS133" s="10" t="n">
        <v>46134</v>
      </c>
      <c r="OU133" s="9" t="n">
        <v>0</v>
      </c>
      <c r="OW133" s="9" t="n">
        <v>0</v>
      </c>
      <c r="OX133" s="9" t="n">
        <v>1000</v>
      </c>
      <c r="PB133" s="10" t="n">
        <v>46134</v>
      </c>
      <c r="PD133" s="9" t="n">
        <v>0</v>
      </c>
      <c r="PF133" s="9" t="n">
        <v>0</v>
      </c>
      <c r="PG133" s="9" t="n">
        <v>0</v>
      </c>
      <c r="PK133" s="10" t="n">
        <v>46134</v>
      </c>
      <c r="PM133" s="9" t="n">
        <v>0</v>
      </c>
      <c r="PO133" s="9" t="n">
        <v>0</v>
      </c>
      <c r="PP133" s="9" t="n">
        <v>100</v>
      </c>
      <c r="PT133" s="10" t="n">
        <v>46134</v>
      </c>
      <c r="PV133" s="9" t="n">
        <v>0</v>
      </c>
      <c r="PX133" s="9" t="n">
        <v>0</v>
      </c>
      <c r="PY133" s="9" t="n">
        <v>13.96000000000004</v>
      </c>
      <c r="QC133" s="10" t="n">
        <v>46134</v>
      </c>
      <c r="QE133" s="9" t="n">
        <v>0</v>
      </c>
      <c r="QG133" s="9" t="n">
        <v>0</v>
      </c>
      <c r="QH133" s="9" t="n">
        <v>1212</v>
      </c>
      <c r="QL133" s="10" t="n">
        <v>46134</v>
      </c>
      <c r="QN133" s="9" t="n">
        <v>0</v>
      </c>
      <c r="QP133" s="9" t="n">
        <v>0</v>
      </c>
      <c r="QQ133" s="9" t="n">
        <v>400</v>
      </c>
      <c r="QU133" s="10" t="n">
        <v>46134</v>
      </c>
      <c r="QW133" s="9" t="n">
        <v>0</v>
      </c>
      <c r="QY133" s="9" t="n">
        <v>0</v>
      </c>
      <c r="QZ133" s="9" t="n">
        <v>207.6</v>
      </c>
      <c r="RD133" s="10" t="n">
        <v>46134</v>
      </c>
      <c r="RF133" s="9" t="n">
        <v>0</v>
      </c>
      <c r="RH133" s="9" t="n">
        <v>0</v>
      </c>
      <c r="RI133" s="9" t="n">
        <v>147.04</v>
      </c>
      <c r="RM133" s="10" t="n">
        <v>46134</v>
      </c>
      <c r="RO133" s="9" t="n">
        <v>0</v>
      </c>
      <c r="RQ133" s="9" t="n">
        <v>0</v>
      </c>
      <c r="RR133" s="9" t="n">
        <v>46.8</v>
      </c>
      <c r="RV133" s="10" t="n">
        <v>46134</v>
      </c>
      <c r="RX133" s="9" t="n">
        <v>0</v>
      </c>
      <c r="RZ133" s="9" t="n">
        <v>0</v>
      </c>
      <c r="SA133" s="9" t="n">
        <v>0</v>
      </c>
      <c r="SE133" s="10" t="n">
        <v>46134</v>
      </c>
      <c r="SG133" s="9" t="n">
        <v>0</v>
      </c>
      <c r="SI133" s="9" t="n">
        <v>0</v>
      </c>
      <c r="SJ133" s="9" t="n">
        <v>125</v>
      </c>
      <c r="SN133" s="10" t="n">
        <v>46134</v>
      </c>
      <c r="SP133" s="9" t="n">
        <v>0</v>
      </c>
      <c r="SR133" s="9" t="n">
        <v>0</v>
      </c>
      <c r="SS133" s="9" t="n">
        <v>200</v>
      </c>
      <c r="SW133" s="10" t="n">
        <v>46134</v>
      </c>
      <c r="SY133" s="9" t="n">
        <v>0</v>
      </c>
      <c r="TA133" s="9" t="n">
        <v>0</v>
      </c>
      <c r="TB133" s="9" t="n">
        <v>0</v>
      </c>
      <c r="TF133" s="10" t="n">
        <v>46134</v>
      </c>
      <c r="TH133" s="9" t="n">
        <v>0</v>
      </c>
      <c r="TJ133" s="9" t="n">
        <v>0</v>
      </c>
      <c r="TK133" s="9" t="n">
        <v>0</v>
      </c>
      <c r="TO133" s="10" t="n">
        <v>46134</v>
      </c>
      <c r="TQ133" s="9" t="n">
        <v>0</v>
      </c>
      <c r="TS133" s="9" t="n">
        <v>0</v>
      </c>
      <c r="TT133" s="9" t="n">
        <v>0</v>
      </c>
      <c r="TX133" s="10" t="n">
        <v>46134</v>
      </c>
      <c r="TZ133" s="9" t="n">
        <v>0</v>
      </c>
      <c r="UB133" s="9" t="n">
        <v>0</v>
      </c>
      <c r="UC133" s="9" t="n">
        <v>0</v>
      </c>
      <c r="UG133" s="10" t="n">
        <v>46134</v>
      </c>
      <c r="UI133" s="9" t="n">
        <v>0</v>
      </c>
      <c r="UK133" s="9" t="n">
        <v>0</v>
      </c>
      <c r="UL133" s="9" t="n">
        <v>0</v>
      </c>
      <c r="UP133" s="10" t="n">
        <v>46134</v>
      </c>
      <c r="UR133" s="9" t="n">
        <v>0</v>
      </c>
      <c r="UT133" s="9" t="n">
        <v>0</v>
      </c>
      <c r="UU133" s="9" t="n">
        <v>0</v>
      </c>
      <c r="UY133" s="10" t="n">
        <v>46134</v>
      </c>
      <c r="VA133" s="9" t="n">
        <v>0</v>
      </c>
      <c r="VC133" s="9" t="n">
        <v>0</v>
      </c>
      <c r="VD133" s="9" t="n">
        <v>41.60000000000002</v>
      </c>
      <c r="VH133" s="10" t="n">
        <v>46134</v>
      </c>
      <c r="VJ133" s="9" t="n">
        <v>0</v>
      </c>
      <c r="VL133" s="9" t="n">
        <v>0</v>
      </c>
      <c r="VM133" s="9" t="n">
        <v>0</v>
      </c>
      <c r="VQ133" s="10" t="n">
        <v>46134</v>
      </c>
      <c r="VS133" s="9" t="n">
        <v>0</v>
      </c>
      <c r="VU133" s="9" t="n">
        <v>0</v>
      </c>
      <c r="VV133" s="9" t="n">
        <v>0</v>
      </c>
      <c r="VZ133" s="10" t="n">
        <v>46134</v>
      </c>
      <c r="WB133" s="9" t="n">
        <v>0</v>
      </c>
      <c r="WD133" s="9" t="n">
        <v>0</v>
      </c>
      <c r="WE133" s="9" t="n">
        <v>0</v>
      </c>
      <c r="WI133" s="10" t="n">
        <v>46134</v>
      </c>
      <c r="WK133" s="9" t="n">
        <v>0</v>
      </c>
      <c r="WM133" s="9" t="n">
        <v>0</v>
      </c>
      <c r="WN133" s="9" t="n">
        <v>2317</v>
      </c>
      <c r="WR133" s="10" t="n">
        <v>46134</v>
      </c>
      <c r="WT133" s="9" t="n">
        <v>0</v>
      </c>
      <c r="WV133" s="9" t="n">
        <v>0</v>
      </c>
      <c r="WW133" s="9" t="n">
        <v>3934</v>
      </c>
      <c r="XA133" s="10" t="n">
        <v>46134</v>
      </c>
      <c r="XC133" s="9" t="n">
        <v>0</v>
      </c>
      <c r="XE133" s="9" t="n">
        <v>0</v>
      </c>
      <c r="XF133" s="9" t="n">
        <v>14868</v>
      </c>
      <c r="XJ133" s="10" t="n">
        <v>46134</v>
      </c>
      <c r="XL133" s="9" t="n">
        <v>0</v>
      </c>
      <c r="XN133" s="9" t="n">
        <v>0</v>
      </c>
      <c r="XO133" s="9" t="n">
        <v>2376</v>
      </c>
      <c r="XS133" s="10" t="n">
        <v>46134</v>
      </c>
      <c r="XU133" s="9" t="n">
        <v>0</v>
      </c>
      <c r="XW133" s="9" t="n">
        <v>0</v>
      </c>
      <c r="XX133" s="9" t="n">
        <v>1901</v>
      </c>
      <c r="YB133" s="10" t="n">
        <v>46134</v>
      </c>
      <c r="YD133" s="9" t="n">
        <v>0</v>
      </c>
      <c r="YF133" s="9" t="n">
        <v>0</v>
      </c>
      <c r="YG133" s="9" t="n">
        <v>6459</v>
      </c>
      <c r="YK133" s="10" t="n">
        <v>46134</v>
      </c>
      <c r="YM133" s="9" t="n">
        <v>0</v>
      </c>
      <c r="YO133" s="9" t="n">
        <v>0</v>
      </c>
      <c r="YP133" s="9" t="n">
        <v>0</v>
      </c>
      <c r="YT133" s="10" t="n">
        <v>46134</v>
      </c>
      <c r="YV133" s="9" t="n">
        <v>0</v>
      </c>
      <c r="YX133" s="9" t="n">
        <v>0</v>
      </c>
      <c r="YY133" s="9" t="n">
        <v>0</v>
      </c>
      <c r="ZC133" s="10" t="n">
        <v>46134</v>
      </c>
      <c r="ZE133" s="9" t="n">
        <v>0</v>
      </c>
      <c r="ZG133" s="9" t="n">
        <v>0</v>
      </c>
      <c r="ZH133" s="9" t="n">
        <v>0</v>
      </c>
      <c r="ZL133" s="10" t="n">
        <v>46134</v>
      </c>
      <c r="ZN133" s="9" t="n">
        <v>0</v>
      </c>
      <c r="ZP133" s="9" t="n">
        <v>0</v>
      </c>
      <c r="ZQ133" s="9" t="n">
        <v>0</v>
      </c>
      <c r="ZU133" s="10" t="n">
        <v>46134</v>
      </c>
      <c r="ZW133" s="9" t="n">
        <v>0</v>
      </c>
      <c r="ZY133" s="9" t="n">
        <v>0</v>
      </c>
      <c r="ZZ133" s="9" t="n">
        <v>0</v>
      </c>
      <c r="AAD133" s="10" t="n">
        <v>46134</v>
      </c>
      <c r="AAF133" s="9" t="n">
        <v>0</v>
      </c>
      <c r="AAH133" s="9" t="n">
        <v>0</v>
      </c>
      <c r="AAI133" s="9" t="n">
        <v>0</v>
      </c>
      <c r="AAM133" s="10" t="n">
        <v>46134</v>
      </c>
      <c r="AAO133" s="9" t="n">
        <v>0</v>
      </c>
      <c r="AAQ133" s="9" t="n">
        <v>0</v>
      </c>
      <c r="AAR133" s="9" t="n">
        <v>0</v>
      </c>
      <c r="AAV133" s="10" t="n">
        <v>46134</v>
      </c>
      <c r="AAX133" s="9" t="n">
        <v>0</v>
      </c>
      <c r="AAZ133" s="9" t="n">
        <v>0</v>
      </c>
      <c r="ABA133" s="9" t="n">
        <v>0</v>
      </c>
      <c r="ABE133" s="10" t="n">
        <v>46134</v>
      </c>
      <c r="ABG133" s="9" t="n">
        <v>0</v>
      </c>
      <c r="ABI133" s="9" t="n">
        <v>0</v>
      </c>
      <c r="ABJ133" s="9" t="n">
        <v>0</v>
      </c>
    </row>
    <row r="134">
      <c r="B134" s="9" t="n">
        <v>106</v>
      </c>
      <c r="C134" s="10" t="n">
        <v>46135</v>
      </c>
      <c r="D134" s="9" t="n">
        <v>62970</v>
      </c>
      <c r="E134" s="9" t="n">
        <v>58721</v>
      </c>
      <c r="F134" s="9" t="n">
        <v>58728.2</v>
      </c>
      <c r="G134" s="9" t="n">
        <v>-7.19999999999709</v>
      </c>
      <c r="H134" s="9" t="n">
        <v>193672.6</v>
      </c>
      <c r="I134" s="9" t="inlineStr">
        <is>
          <t>122 24mt, 122 16mt, 1102 66mt</t>
        </is>
      </c>
      <c r="L134" s="10" t="n">
        <v>46135</v>
      </c>
      <c r="M134" s="9" t="n">
        <v>12120</v>
      </c>
      <c r="N134" s="9" t="n">
        <v>24964</v>
      </c>
      <c r="O134" s="9" t="n">
        <v>24963.8</v>
      </c>
      <c r="P134" s="9" t="n">
        <v>0.2000000000007276</v>
      </c>
      <c r="Q134" s="9" t="n">
        <v>63023.60000000011</v>
      </c>
      <c r="U134" s="10" t="n">
        <v>46135</v>
      </c>
      <c r="V134" s="9" t="n">
        <v>30090</v>
      </c>
      <c r="W134" s="9" t="n">
        <v>4989.999999999999</v>
      </c>
      <c r="X134" s="9" t="n">
        <v>4993.7</v>
      </c>
      <c r="Y134" s="9" t="n">
        <v>-3.700000000000728</v>
      </c>
      <c r="Z134" s="9" t="n">
        <v>53460.39999999997</v>
      </c>
      <c r="AD134" s="10" t="n">
        <v>46135</v>
      </c>
      <c r="AF134" s="9" t="n">
        <v>3820</v>
      </c>
      <c r="AG134" s="9" t="n">
        <v>3822.2</v>
      </c>
      <c r="AH134" s="9" t="n">
        <v>-2.199999999999818</v>
      </c>
      <c r="AI134" s="9" t="n">
        <v>27210.70000000002</v>
      </c>
      <c r="AM134" s="10" t="n">
        <v>46135</v>
      </c>
      <c r="AO134" s="9" t="n">
        <v>0</v>
      </c>
      <c r="AQ134" s="9" t="n">
        <v>0</v>
      </c>
      <c r="AR134" s="9" t="n">
        <v>0</v>
      </c>
      <c r="AV134" s="10" t="n">
        <v>46135</v>
      </c>
      <c r="AX134" s="9" t="n">
        <v>660</v>
      </c>
      <c r="AY134" s="9" t="n">
        <v>660.4</v>
      </c>
      <c r="AZ134" s="9" t="n">
        <v>-0.3999999999999773</v>
      </c>
      <c r="BA134" s="9" t="n">
        <v>10246.09999999999</v>
      </c>
      <c r="BE134" s="10" t="n">
        <v>46135</v>
      </c>
      <c r="BG134" s="9" t="n">
        <v>3330</v>
      </c>
      <c r="BH134" s="9" t="n">
        <v>3329.8</v>
      </c>
      <c r="BI134" s="9" t="n">
        <v>0.1999999999998181</v>
      </c>
      <c r="BJ134" s="9" t="n">
        <v>39948.79999999999</v>
      </c>
      <c r="BN134" s="10" t="n">
        <v>46135</v>
      </c>
      <c r="BO134" s="9" t="n">
        <v>2450</v>
      </c>
      <c r="BP134" s="9" t="n">
        <v>2450</v>
      </c>
      <c r="BQ134" s="9" t="n">
        <v>2450</v>
      </c>
      <c r="BR134" s="9" t="n">
        <v>0</v>
      </c>
      <c r="BS134" s="9" t="n">
        <v>0</v>
      </c>
      <c r="BW134" s="10" t="n">
        <v>46135</v>
      </c>
      <c r="BY134" s="9" t="n">
        <v>266</v>
      </c>
      <c r="CA134" s="9" t="n">
        <v>266</v>
      </c>
      <c r="CB134" s="9" t="n">
        <v>6411.799999999999</v>
      </c>
      <c r="CF134" s="10" t="n">
        <v>46135</v>
      </c>
      <c r="CH134" s="9" t="n">
        <v>730</v>
      </c>
      <c r="CJ134" s="9" t="n">
        <v>730</v>
      </c>
      <c r="CK134" s="9" t="n">
        <v>0</v>
      </c>
      <c r="CO134" s="10" t="n">
        <v>46135</v>
      </c>
      <c r="CQ134" s="9" t="n">
        <v>0</v>
      </c>
      <c r="CS134" s="9" t="n">
        <v>0</v>
      </c>
      <c r="CT134" s="9" t="n">
        <v>0</v>
      </c>
      <c r="CX134" s="10" t="n">
        <v>46135</v>
      </c>
      <c r="CY134" s="9" t="n">
        <v>25180</v>
      </c>
      <c r="CZ134" s="9" t="n">
        <v>2000</v>
      </c>
      <c r="DA134" s="9" t="n">
        <v>2001</v>
      </c>
      <c r="DB134" s="9" t="n">
        <v>-1</v>
      </c>
      <c r="DC134" s="9" t="n">
        <v>30159.90000000001</v>
      </c>
      <c r="DG134" s="10" t="n">
        <v>46135</v>
      </c>
      <c r="DI134" s="9" t="n">
        <v>1600</v>
      </c>
      <c r="DJ134" s="9" t="n">
        <v>1600</v>
      </c>
      <c r="DK134" s="9" t="n">
        <v>0</v>
      </c>
      <c r="DL134" s="9" t="n">
        <v>19170.79999999999</v>
      </c>
      <c r="DP134" s="10" t="n">
        <v>46135</v>
      </c>
      <c r="DR134" s="9" t="n">
        <v>0</v>
      </c>
      <c r="DT134" s="9" t="n">
        <v>0</v>
      </c>
      <c r="DU134" s="9" t="n">
        <v>5800</v>
      </c>
      <c r="DY134" s="10" t="n">
        <v>46135</v>
      </c>
      <c r="EA134" s="9" t="n">
        <v>0</v>
      </c>
      <c r="EC134" s="9" t="n">
        <v>0</v>
      </c>
      <c r="ED134" s="9" t="n">
        <v>147.3000000000002</v>
      </c>
      <c r="EH134" s="10" t="n">
        <v>46135</v>
      </c>
      <c r="EJ134" s="9" t="n">
        <v>0</v>
      </c>
      <c r="EL134" s="9" t="n">
        <v>0</v>
      </c>
      <c r="EM134" s="9" t="n">
        <v>0</v>
      </c>
      <c r="EQ134" s="10" t="n">
        <v>46135</v>
      </c>
      <c r="ES134" s="9" t="n">
        <v>0</v>
      </c>
      <c r="EU134" s="9" t="n">
        <v>0</v>
      </c>
      <c r="EV134" s="9" t="n">
        <v>0</v>
      </c>
      <c r="EZ134" s="10" t="n">
        <v>46135</v>
      </c>
      <c r="FB134" s="9" t="n">
        <v>0</v>
      </c>
      <c r="FD134" s="9" t="n">
        <v>0</v>
      </c>
      <c r="FE134" s="9" t="n">
        <v>0</v>
      </c>
      <c r="FI134" s="10" t="n">
        <v>46135</v>
      </c>
      <c r="FK134" s="9" t="n">
        <v>0</v>
      </c>
      <c r="FM134" s="9" t="n">
        <v>0</v>
      </c>
      <c r="FN134" s="9" t="n">
        <v>0</v>
      </c>
      <c r="FR134" s="10" t="n">
        <v>46135</v>
      </c>
      <c r="FT134" s="9" t="n">
        <v>0</v>
      </c>
      <c r="FV134" s="9" t="n">
        <v>0</v>
      </c>
      <c r="FW134" s="9" t="n">
        <v>2120</v>
      </c>
      <c r="GA134" s="10" t="n">
        <v>46135</v>
      </c>
      <c r="GC134" s="9" t="n">
        <v>1320</v>
      </c>
      <c r="GE134" s="9" t="n">
        <v>1320</v>
      </c>
      <c r="GF134" s="9" t="n">
        <v>6800</v>
      </c>
      <c r="GJ134" s="10" t="n">
        <v>46135</v>
      </c>
      <c r="GL134" s="9" t="n">
        <v>0</v>
      </c>
      <c r="GN134" s="9" t="n">
        <v>0</v>
      </c>
      <c r="GO134" s="9" t="n">
        <v>4800</v>
      </c>
      <c r="GS134" s="10" t="n">
        <v>46135</v>
      </c>
      <c r="GU134" s="9" t="n">
        <v>0</v>
      </c>
      <c r="GW134" s="9" t="n">
        <v>0</v>
      </c>
      <c r="GX134" s="9" t="n">
        <v>0</v>
      </c>
      <c r="HB134" s="10" t="n">
        <v>46135</v>
      </c>
      <c r="HD134" s="9" t="n">
        <v>0</v>
      </c>
      <c r="HF134" s="9" t="n">
        <v>0</v>
      </c>
      <c r="HG134" s="9" t="n">
        <v>0</v>
      </c>
      <c r="HK134" s="10" t="n">
        <v>46135</v>
      </c>
      <c r="HM134" s="9" t="n">
        <v>0</v>
      </c>
      <c r="HO134" s="9" t="n">
        <v>0</v>
      </c>
      <c r="HP134" s="9" t="n">
        <v>0</v>
      </c>
      <c r="HU134" s="10" t="n">
        <v>46135</v>
      </c>
      <c r="HW134" s="9" t="n">
        <v>0</v>
      </c>
      <c r="HY134" s="9" t="n">
        <v>0</v>
      </c>
      <c r="HZ134" s="9" t="n">
        <v>5120</v>
      </c>
      <c r="ID134" s="10" t="n">
        <v>46135</v>
      </c>
      <c r="IF134" s="9" t="n">
        <v>0</v>
      </c>
      <c r="IH134" s="9" t="n">
        <v>0</v>
      </c>
      <c r="II134" s="9" t="n">
        <v>6540</v>
      </c>
      <c r="IM134" s="10" t="n">
        <v>46135</v>
      </c>
      <c r="IO134" s="9" t="n">
        <v>0</v>
      </c>
      <c r="IQ134" s="9" t="n">
        <v>0</v>
      </c>
      <c r="IR134" s="9" t="n">
        <v>11540</v>
      </c>
      <c r="IV134" s="10" t="n">
        <v>46135</v>
      </c>
      <c r="IX134" s="9" t="n">
        <v>0</v>
      </c>
      <c r="IZ134" s="9" t="n">
        <v>0</v>
      </c>
      <c r="JA134" s="9" t="n">
        <v>15120</v>
      </c>
      <c r="JE134" s="10" t="n">
        <v>46135</v>
      </c>
      <c r="JG134" s="9" t="n">
        <v>0</v>
      </c>
      <c r="JI134" s="9" t="n">
        <v>0</v>
      </c>
      <c r="JJ134" s="9" t="n">
        <v>5040</v>
      </c>
      <c r="JN134" s="10" t="n">
        <v>46135</v>
      </c>
      <c r="JP134" s="9" t="n">
        <v>0</v>
      </c>
      <c r="JR134" s="9" t="n">
        <v>0</v>
      </c>
      <c r="JS134" s="9" t="n">
        <v>9100</v>
      </c>
      <c r="JW134" s="10" t="n">
        <v>46135</v>
      </c>
      <c r="JY134" s="9" t="n">
        <v>0</v>
      </c>
      <c r="KA134" s="9" t="n">
        <v>0</v>
      </c>
      <c r="KB134" s="9" t="n">
        <v>2540</v>
      </c>
      <c r="KF134" s="10" t="n">
        <v>46135</v>
      </c>
      <c r="KH134" s="9" t="n">
        <v>468</v>
      </c>
      <c r="KJ134" s="9" t="n">
        <v>468</v>
      </c>
      <c r="KK134" s="9" t="n">
        <v>19.5</v>
      </c>
      <c r="KO134" s="10" t="n">
        <v>46135</v>
      </c>
      <c r="KQ134" s="9" t="n">
        <v>0</v>
      </c>
      <c r="KS134" s="9" t="n">
        <v>0</v>
      </c>
      <c r="KT134" s="9" t="n">
        <v>3817.8</v>
      </c>
      <c r="KX134" s="10" t="n">
        <v>46135</v>
      </c>
      <c r="KZ134" s="9" t="n">
        <v>327.9999999999999</v>
      </c>
      <c r="LB134" s="9" t="n">
        <v>327.9999999999999</v>
      </c>
      <c r="LC134" s="9" t="n">
        <v>3690</v>
      </c>
      <c r="LD134" s="9" t="inlineStr">
        <is>
          <t>usage need 2460, then balance will be 180 bag</t>
        </is>
      </c>
      <c r="LG134" s="10" t="n">
        <v>46135</v>
      </c>
      <c r="LI134" s="9" t="n">
        <v>0</v>
      </c>
      <c r="LK134" s="9" t="n">
        <v>0</v>
      </c>
      <c r="LL134" s="9" t="n">
        <v>4000</v>
      </c>
      <c r="LP134" s="10" t="n">
        <v>46135</v>
      </c>
      <c r="LR134" s="9" t="n">
        <v>0</v>
      </c>
      <c r="LT134" s="9" t="n">
        <v>0</v>
      </c>
      <c r="LU134" s="9" t="n">
        <v>0</v>
      </c>
      <c r="LY134" s="10" t="n">
        <v>46135</v>
      </c>
      <c r="MA134" s="9" t="n">
        <v>0</v>
      </c>
      <c r="MC134" s="9" t="n">
        <v>0</v>
      </c>
      <c r="MD134" s="9" t="n">
        <v>0</v>
      </c>
      <c r="MH134" s="10" t="n">
        <v>46135</v>
      </c>
      <c r="MJ134" s="9" t="n">
        <v>0</v>
      </c>
      <c r="ML134" s="9" t="n">
        <v>0</v>
      </c>
      <c r="MM134" s="9" t="n">
        <v>0</v>
      </c>
      <c r="MQ134" s="10" t="n">
        <v>46135</v>
      </c>
      <c r="MS134" s="9" t="n">
        <v>33</v>
      </c>
      <c r="MU134" s="9" t="n">
        <v>33</v>
      </c>
      <c r="MV134" s="9" t="n">
        <v>4069</v>
      </c>
      <c r="MZ134" s="10" t="n">
        <v>46135</v>
      </c>
      <c r="NB134" s="9" t="n">
        <v>120</v>
      </c>
      <c r="ND134" s="9" t="n">
        <v>120</v>
      </c>
      <c r="NE134" s="9" t="n">
        <v>0</v>
      </c>
      <c r="NI134" s="10" t="n">
        <v>46135</v>
      </c>
      <c r="NK134" s="9" t="n">
        <v>40</v>
      </c>
      <c r="NM134" s="9" t="n">
        <v>40</v>
      </c>
      <c r="NN134" s="9" t="n">
        <v>1229</v>
      </c>
      <c r="NR134" s="10" t="n">
        <v>46135</v>
      </c>
      <c r="NT134" s="9" t="n">
        <v>48</v>
      </c>
      <c r="NV134" s="9" t="n">
        <v>48</v>
      </c>
      <c r="NW134" s="9" t="n">
        <v>3233.3</v>
      </c>
      <c r="OA134" s="10" t="n">
        <v>46135</v>
      </c>
      <c r="OC134" s="9" t="n">
        <v>0</v>
      </c>
      <c r="OE134" s="9" t="n">
        <v>0</v>
      </c>
      <c r="OF134" s="9" t="n">
        <v>1680.5</v>
      </c>
      <c r="OJ134" s="10" t="n">
        <v>46135</v>
      </c>
      <c r="OL134" s="9" t="n">
        <v>112</v>
      </c>
      <c r="ON134" s="9" t="n">
        <v>112</v>
      </c>
      <c r="OO134" s="9" t="n">
        <v>0</v>
      </c>
      <c r="OS134" s="10" t="n">
        <v>46135</v>
      </c>
      <c r="OU134" s="9" t="n">
        <v>0</v>
      </c>
      <c r="OW134" s="9" t="n">
        <v>0</v>
      </c>
      <c r="OX134" s="9" t="n">
        <v>1000</v>
      </c>
      <c r="PB134" s="10" t="n">
        <v>46135</v>
      </c>
      <c r="PD134" s="9" t="n">
        <v>0</v>
      </c>
      <c r="PF134" s="9" t="n">
        <v>0</v>
      </c>
      <c r="PG134" s="9" t="n">
        <v>0</v>
      </c>
      <c r="PK134" s="10" t="n">
        <v>46135</v>
      </c>
      <c r="PM134" s="9" t="n">
        <v>0</v>
      </c>
      <c r="PO134" s="9" t="n">
        <v>0</v>
      </c>
      <c r="PP134" s="9" t="n">
        <v>100</v>
      </c>
      <c r="PT134" s="10" t="n">
        <v>46135</v>
      </c>
      <c r="PV134" s="9" t="n">
        <v>0</v>
      </c>
      <c r="PX134" s="9" t="n">
        <v>0</v>
      </c>
      <c r="PY134" s="9" t="n">
        <v>13.96000000000004</v>
      </c>
      <c r="QC134" s="10" t="n">
        <v>46135</v>
      </c>
      <c r="QE134" s="9" t="n">
        <v>0</v>
      </c>
      <c r="QG134" s="9" t="n">
        <v>0</v>
      </c>
      <c r="QH134" s="9" t="n">
        <v>1212</v>
      </c>
      <c r="QL134" s="10" t="n">
        <v>46135</v>
      </c>
      <c r="QN134" s="9" t="n">
        <v>0</v>
      </c>
      <c r="QP134" s="9" t="n">
        <v>0</v>
      </c>
      <c r="QQ134" s="9" t="n">
        <v>400</v>
      </c>
      <c r="QU134" s="10" t="n">
        <v>46135</v>
      </c>
      <c r="QW134" s="9" t="n">
        <v>0</v>
      </c>
      <c r="QY134" s="9" t="n">
        <v>0</v>
      </c>
      <c r="QZ134" s="9" t="n">
        <v>207.6</v>
      </c>
      <c r="RD134" s="10" t="n">
        <v>46135</v>
      </c>
      <c r="RF134" s="9" t="n">
        <v>0</v>
      </c>
      <c r="RH134" s="9" t="n">
        <v>0</v>
      </c>
      <c r="RI134" s="9" t="n">
        <v>147.04</v>
      </c>
      <c r="RM134" s="10" t="n">
        <v>46135</v>
      </c>
      <c r="RO134" s="9" t="n">
        <v>0</v>
      </c>
      <c r="RQ134" s="9" t="n">
        <v>0</v>
      </c>
      <c r="RR134" s="9" t="n">
        <v>46.8</v>
      </c>
      <c r="RV134" s="10" t="n">
        <v>46135</v>
      </c>
      <c r="RX134" s="9" t="n">
        <v>0</v>
      </c>
      <c r="RZ134" s="9" t="n">
        <v>0</v>
      </c>
      <c r="SA134" s="9" t="n">
        <v>0</v>
      </c>
      <c r="SE134" s="10" t="n">
        <v>46135</v>
      </c>
      <c r="SG134" s="9" t="n">
        <v>0</v>
      </c>
      <c r="SI134" s="9" t="n">
        <v>0</v>
      </c>
      <c r="SJ134" s="9" t="n">
        <v>125</v>
      </c>
      <c r="SN134" s="10" t="n">
        <v>46135</v>
      </c>
      <c r="SP134" s="9" t="n">
        <v>0</v>
      </c>
      <c r="SR134" s="9" t="n">
        <v>0</v>
      </c>
      <c r="SS134" s="9" t="n">
        <v>200</v>
      </c>
      <c r="SW134" s="10" t="n">
        <v>46135</v>
      </c>
      <c r="SY134" s="9" t="n">
        <v>0</v>
      </c>
      <c r="TA134" s="9" t="n">
        <v>0</v>
      </c>
      <c r="TB134" s="9" t="n">
        <v>0</v>
      </c>
      <c r="TF134" s="10" t="n">
        <v>46135</v>
      </c>
      <c r="TH134" s="9" t="n">
        <v>0</v>
      </c>
      <c r="TJ134" s="9" t="n">
        <v>0</v>
      </c>
      <c r="TK134" s="9" t="n">
        <v>0</v>
      </c>
      <c r="TO134" s="10" t="n">
        <v>46135</v>
      </c>
      <c r="TQ134" s="9" t="n">
        <v>0</v>
      </c>
      <c r="TS134" s="9" t="n">
        <v>0</v>
      </c>
      <c r="TT134" s="9" t="n">
        <v>0</v>
      </c>
      <c r="TX134" s="10" t="n">
        <v>46135</v>
      </c>
      <c r="TZ134" s="9" t="n">
        <v>0</v>
      </c>
      <c r="UB134" s="9" t="n">
        <v>0</v>
      </c>
      <c r="UC134" s="9" t="n">
        <v>0</v>
      </c>
      <c r="UG134" s="10" t="n">
        <v>46135</v>
      </c>
      <c r="UI134" s="9" t="n">
        <v>0</v>
      </c>
      <c r="UK134" s="9" t="n">
        <v>0</v>
      </c>
      <c r="UL134" s="9" t="n">
        <v>0</v>
      </c>
      <c r="UP134" s="10" t="n">
        <v>46135</v>
      </c>
      <c r="UR134" s="9" t="n">
        <v>0</v>
      </c>
      <c r="UT134" s="9" t="n">
        <v>0</v>
      </c>
      <c r="UU134" s="9" t="n">
        <v>0</v>
      </c>
      <c r="UY134" s="10" t="n">
        <v>46135</v>
      </c>
      <c r="VA134" s="9" t="n">
        <v>0</v>
      </c>
      <c r="VC134" s="9" t="n">
        <v>0</v>
      </c>
      <c r="VD134" s="9" t="n">
        <v>41.60000000000002</v>
      </c>
      <c r="VH134" s="10" t="n">
        <v>46135</v>
      </c>
      <c r="VJ134" s="9" t="n">
        <v>0</v>
      </c>
      <c r="VL134" s="9" t="n">
        <v>0</v>
      </c>
      <c r="VM134" s="9" t="n">
        <v>0</v>
      </c>
      <c r="VQ134" s="10" t="n">
        <v>46135</v>
      </c>
      <c r="VS134" s="9" t="n">
        <v>0</v>
      </c>
      <c r="VU134" s="9" t="n">
        <v>0</v>
      </c>
      <c r="VV134" s="9" t="n">
        <v>0</v>
      </c>
      <c r="VZ134" s="10" t="n">
        <v>46135</v>
      </c>
      <c r="WB134" s="9" t="n">
        <v>0</v>
      </c>
      <c r="WD134" s="9" t="n">
        <v>0</v>
      </c>
      <c r="WE134" s="9" t="n">
        <v>0</v>
      </c>
      <c r="WI134" s="10" t="n">
        <v>46135</v>
      </c>
      <c r="WK134" s="9" t="n">
        <v>0</v>
      </c>
      <c r="WM134" s="9" t="n">
        <v>0</v>
      </c>
      <c r="WN134" s="9" t="n">
        <v>2317</v>
      </c>
      <c r="WR134" s="10" t="n">
        <v>46135</v>
      </c>
      <c r="WT134" s="9" t="n">
        <v>0</v>
      </c>
      <c r="WU134" s="9" t="n">
        <v>1337</v>
      </c>
      <c r="WV134" s="9" t="n">
        <v>-1337</v>
      </c>
      <c r="WW134" s="9" t="n">
        <v>2597</v>
      </c>
      <c r="XA134" s="10" t="n">
        <v>46135</v>
      </c>
      <c r="XC134" s="9" t="n">
        <v>0</v>
      </c>
      <c r="XE134" s="9" t="n">
        <v>0</v>
      </c>
      <c r="XF134" s="9" t="n">
        <v>14868</v>
      </c>
      <c r="XJ134" s="10" t="n">
        <v>46135</v>
      </c>
      <c r="XL134" s="9" t="n">
        <v>0</v>
      </c>
      <c r="XN134" s="9" t="n">
        <v>0</v>
      </c>
      <c r="XO134" s="9" t="n">
        <v>2376</v>
      </c>
      <c r="XS134" s="10" t="n">
        <v>46135</v>
      </c>
      <c r="XU134" s="9" t="n">
        <v>0</v>
      </c>
      <c r="XW134" s="9" t="n">
        <v>0</v>
      </c>
      <c r="XX134" s="9" t="n">
        <v>1901</v>
      </c>
      <c r="YB134" s="10" t="n">
        <v>46135</v>
      </c>
      <c r="YD134" s="9" t="n">
        <v>0</v>
      </c>
      <c r="YF134" s="9" t="n">
        <v>0</v>
      </c>
      <c r="YG134" s="9" t="n">
        <v>6459</v>
      </c>
      <c r="YK134" s="10" t="n">
        <v>46135</v>
      </c>
      <c r="YM134" s="9" t="n">
        <v>0</v>
      </c>
      <c r="YO134" s="9" t="n">
        <v>0</v>
      </c>
      <c r="YP134" s="9" t="n">
        <v>0</v>
      </c>
      <c r="YT134" s="10" t="n">
        <v>46135</v>
      </c>
      <c r="YV134" s="9" t="n">
        <v>0</v>
      </c>
      <c r="YX134" s="9" t="n">
        <v>0</v>
      </c>
      <c r="YY134" s="9" t="n">
        <v>0</v>
      </c>
      <c r="ZC134" s="10" t="n">
        <v>46135</v>
      </c>
      <c r="ZE134" s="9" t="n">
        <v>0</v>
      </c>
      <c r="ZG134" s="9" t="n">
        <v>0</v>
      </c>
      <c r="ZH134" s="9" t="n">
        <v>0</v>
      </c>
      <c r="ZL134" s="10" t="n">
        <v>46135</v>
      </c>
      <c r="ZN134" s="9" t="n">
        <v>0</v>
      </c>
      <c r="ZP134" s="9" t="n">
        <v>0</v>
      </c>
      <c r="ZQ134" s="9" t="n">
        <v>0</v>
      </c>
      <c r="ZU134" s="10" t="n">
        <v>46135</v>
      </c>
      <c r="ZW134" s="9" t="n">
        <v>0</v>
      </c>
      <c r="ZY134" s="9" t="n">
        <v>0</v>
      </c>
      <c r="ZZ134" s="9" t="n">
        <v>0</v>
      </c>
      <c r="AAD134" s="10" t="n">
        <v>46135</v>
      </c>
      <c r="AAF134" s="9" t="n">
        <v>0</v>
      </c>
      <c r="AAH134" s="9" t="n">
        <v>0</v>
      </c>
      <c r="AAI134" s="9" t="n">
        <v>0</v>
      </c>
      <c r="AAM134" s="10" t="n">
        <v>46135</v>
      </c>
      <c r="AAO134" s="9" t="n">
        <v>0</v>
      </c>
      <c r="AAQ134" s="9" t="n">
        <v>0</v>
      </c>
      <c r="AAR134" s="9" t="n">
        <v>0</v>
      </c>
      <c r="AAV134" s="10" t="n">
        <v>46135</v>
      </c>
      <c r="AAX134" s="9" t="n">
        <v>0</v>
      </c>
      <c r="AAZ134" s="9" t="n">
        <v>0</v>
      </c>
      <c r="ABA134" s="9" t="n">
        <v>0</v>
      </c>
      <c r="ABE134" s="10" t="n">
        <v>46135</v>
      </c>
      <c r="ABG134" s="9" t="n">
        <v>0</v>
      </c>
      <c r="ABI134" s="9" t="n">
        <v>0</v>
      </c>
      <c r="ABJ134" s="9" t="n">
        <v>0</v>
      </c>
    </row>
    <row r="135">
      <c r="B135" s="9" t="n">
        <v>58</v>
      </c>
      <c r="C135" s="10" t="n">
        <v>46136</v>
      </c>
      <c r="D135" s="9" t="n">
        <v>29790</v>
      </c>
      <c r="E135" s="9" t="n">
        <v>36395</v>
      </c>
      <c r="F135" s="9" t="n">
        <v>36397.8</v>
      </c>
      <c r="G135" s="9" t="n">
        <v>-2.80000000000291</v>
      </c>
      <c r="H135" s="9" t="n">
        <v>187064.8</v>
      </c>
      <c r="I135" s="9" t="inlineStr">
        <is>
          <t>1103 58mt</t>
        </is>
      </c>
      <c r="L135" s="10" t="n">
        <v>46136</v>
      </c>
      <c r="M135" s="9" t="n">
        <v>53120</v>
      </c>
      <c r="N135" s="9" t="n">
        <v>7917</v>
      </c>
      <c r="O135" s="9" t="n">
        <v>7915.6</v>
      </c>
      <c r="P135" s="9" t="n">
        <v>1.399999999999636</v>
      </c>
      <c r="Q135" s="9" t="n">
        <v>108228.0000000001</v>
      </c>
      <c r="U135" s="10" t="n">
        <v>46136</v>
      </c>
      <c r="W135" s="9" t="n">
        <v>4640</v>
      </c>
      <c r="X135" s="9" t="n">
        <v>4641.3</v>
      </c>
      <c r="Y135" s="9" t="n">
        <v>-1.300000000000182</v>
      </c>
      <c r="Z135" s="9" t="n">
        <v>48819.09999999997</v>
      </c>
      <c r="AD135" s="10" t="n">
        <v>46136</v>
      </c>
      <c r="AF135" s="9" t="n">
        <v>4060</v>
      </c>
      <c r="AG135" s="9" t="n">
        <v>4060.9</v>
      </c>
      <c r="AH135" s="9" t="n">
        <v>-0.9000000000000909</v>
      </c>
      <c r="AI135" s="9" t="n">
        <v>23149.80000000002</v>
      </c>
      <c r="AM135" s="10" t="n">
        <v>46136</v>
      </c>
      <c r="AO135" s="9" t="n">
        <v>0</v>
      </c>
      <c r="AQ135" s="9" t="n">
        <v>0</v>
      </c>
      <c r="AR135" s="9" t="n">
        <v>0</v>
      </c>
      <c r="AV135" s="10" t="n">
        <v>46136</v>
      </c>
      <c r="AX135" s="9" t="n">
        <v>899</v>
      </c>
      <c r="AY135" s="9" t="n">
        <v>899.1</v>
      </c>
      <c r="AZ135" s="9" t="n">
        <v>-0.1000000000000227</v>
      </c>
      <c r="BA135" s="9" t="n">
        <v>9346.999999999993</v>
      </c>
      <c r="BE135" s="10" t="n">
        <v>46136</v>
      </c>
      <c r="BG135" s="9" t="n">
        <v>1450</v>
      </c>
      <c r="BH135" s="9" t="n">
        <v>1448.5</v>
      </c>
      <c r="BI135" s="9" t="n">
        <v>1.5</v>
      </c>
      <c r="BJ135" s="9" t="n">
        <v>38500.29999999999</v>
      </c>
      <c r="BN135" s="10" t="n">
        <v>46136</v>
      </c>
      <c r="BO135" s="9" t="n">
        <v>1450.1</v>
      </c>
      <c r="BP135" s="9" t="n">
        <v>1450</v>
      </c>
      <c r="BQ135" s="9" t="n">
        <v>1450.1</v>
      </c>
      <c r="BR135" s="9" t="n">
        <v>-0.09999999999990905</v>
      </c>
      <c r="BS135" s="9" t="n">
        <v>0</v>
      </c>
      <c r="BW135" s="10" t="n">
        <v>46136</v>
      </c>
      <c r="BY135" s="9" t="n">
        <v>0</v>
      </c>
      <c r="CA135" s="9" t="n">
        <v>0</v>
      </c>
      <c r="CB135" s="9" t="n">
        <v>6411.799999999999</v>
      </c>
      <c r="CF135" s="10" t="n">
        <v>46136</v>
      </c>
      <c r="CH135" s="9" t="n">
        <v>0</v>
      </c>
      <c r="CJ135" s="9" t="n">
        <v>0</v>
      </c>
      <c r="CK135" s="9" t="n">
        <v>0</v>
      </c>
      <c r="CO135" s="10" t="n">
        <v>46136</v>
      </c>
      <c r="CQ135" s="9" t="n">
        <v>0</v>
      </c>
      <c r="CS135" s="9" t="n">
        <v>0</v>
      </c>
      <c r="CT135" s="9" t="n">
        <v>0</v>
      </c>
      <c r="CX135" s="10" t="n">
        <v>46136</v>
      </c>
      <c r="CZ135" s="9" t="n">
        <v>0</v>
      </c>
      <c r="DB135" s="9" t="n">
        <v>0</v>
      </c>
      <c r="DC135" s="9" t="n">
        <v>30159.90000000001</v>
      </c>
      <c r="DG135" s="10" t="n">
        <v>46136</v>
      </c>
      <c r="DI135" s="9" t="n">
        <v>0</v>
      </c>
      <c r="DK135" s="9" t="n">
        <v>0</v>
      </c>
      <c r="DL135" s="9" t="n">
        <v>19170.79999999999</v>
      </c>
      <c r="DP135" s="10" t="n">
        <v>46136</v>
      </c>
      <c r="DR135" s="9" t="n">
        <v>0</v>
      </c>
      <c r="DT135" s="9" t="n">
        <v>0</v>
      </c>
      <c r="DU135" s="9" t="n">
        <v>5800</v>
      </c>
      <c r="DY135" s="10" t="n">
        <v>46136</v>
      </c>
      <c r="EA135" s="9" t="n">
        <v>0</v>
      </c>
      <c r="EC135" s="9" t="n">
        <v>0</v>
      </c>
      <c r="ED135" s="9" t="n">
        <v>147.3000000000002</v>
      </c>
      <c r="EH135" s="10" t="n">
        <v>46136</v>
      </c>
      <c r="EJ135" s="9" t="n">
        <v>0</v>
      </c>
      <c r="EL135" s="9" t="n">
        <v>0</v>
      </c>
      <c r="EM135" s="9" t="n">
        <v>0</v>
      </c>
      <c r="EQ135" s="10" t="n">
        <v>46136</v>
      </c>
      <c r="ES135" s="9" t="n">
        <v>0</v>
      </c>
      <c r="EU135" s="9" t="n">
        <v>0</v>
      </c>
      <c r="EV135" s="9" t="n">
        <v>0</v>
      </c>
      <c r="EZ135" s="10" t="n">
        <v>46136</v>
      </c>
      <c r="FB135" s="9" t="n">
        <v>0</v>
      </c>
      <c r="FD135" s="9" t="n">
        <v>0</v>
      </c>
      <c r="FE135" s="9" t="n">
        <v>0</v>
      </c>
      <c r="FI135" s="10" t="n">
        <v>46136</v>
      </c>
      <c r="FK135" s="9" t="n">
        <v>0</v>
      </c>
      <c r="FM135" s="9" t="n">
        <v>0</v>
      </c>
      <c r="FN135" s="9" t="n">
        <v>0</v>
      </c>
      <c r="FR135" s="10" t="n">
        <v>46136</v>
      </c>
      <c r="FT135" s="9" t="n">
        <v>0</v>
      </c>
      <c r="FV135" s="9" t="n">
        <v>0</v>
      </c>
      <c r="FW135" s="9" t="n">
        <v>2120</v>
      </c>
      <c r="GA135" s="10" t="n">
        <v>46136</v>
      </c>
      <c r="GC135" s="9" t="n">
        <v>0</v>
      </c>
      <c r="GE135" s="9" t="n">
        <v>0</v>
      </c>
      <c r="GF135" s="9" t="n">
        <v>6800</v>
      </c>
      <c r="GJ135" s="10" t="n">
        <v>46136</v>
      </c>
      <c r="GL135" s="9" t="n">
        <v>1160</v>
      </c>
      <c r="GN135" s="9" t="n">
        <v>1160</v>
      </c>
      <c r="GO135" s="9" t="n">
        <v>4800</v>
      </c>
      <c r="GS135" s="10" t="n">
        <v>46136</v>
      </c>
      <c r="GU135" s="9" t="n">
        <v>0</v>
      </c>
      <c r="GW135" s="9" t="n">
        <v>0</v>
      </c>
      <c r="GX135" s="9" t="n">
        <v>0</v>
      </c>
      <c r="HB135" s="10" t="n">
        <v>46136</v>
      </c>
      <c r="HD135" s="9" t="n">
        <v>0</v>
      </c>
      <c r="HF135" s="9" t="n">
        <v>0</v>
      </c>
      <c r="HG135" s="9" t="n">
        <v>0</v>
      </c>
      <c r="HK135" s="10" t="n">
        <v>46136</v>
      </c>
      <c r="HM135" s="9" t="n">
        <v>0</v>
      </c>
      <c r="HO135" s="9" t="n">
        <v>0</v>
      </c>
      <c r="HP135" s="9" t="n">
        <v>0</v>
      </c>
      <c r="HU135" s="10" t="n">
        <v>46136</v>
      </c>
      <c r="HW135" s="9" t="n">
        <v>0</v>
      </c>
      <c r="HY135" s="9" t="n">
        <v>0</v>
      </c>
      <c r="HZ135" s="9" t="n">
        <v>5120</v>
      </c>
      <c r="ID135" s="10" t="n">
        <v>46136</v>
      </c>
      <c r="IF135" s="9" t="n">
        <v>0</v>
      </c>
      <c r="IH135" s="9" t="n">
        <v>0</v>
      </c>
      <c r="II135" s="9" t="n">
        <v>6540</v>
      </c>
      <c r="IM135" s="10" t="n">
        <v>46136</v>
      </c>
      <c r="IO135" s="9" t="n">
        <v>0</v>
      </c>
      <c r="IQ135" s="9" t="n">
        <v>0</v>
      </c>
      <c r="IR135" s="9" t="n">
        <v>11540</v>
      </c>
      <c r="IV135" s="10" t="n">
        <v>46136</v>
      </c>
      <c r="IX135" s="9" t="n">
        <v>0</v>
      </c>
      <c r="IZ135" s="9" t="n">
        <v>0</v>
      </c>
      <c r="JA135" s="9" t="n">
        <v>15120</v>
      </c>
      <c r="JE135" s="10" t="n">
        <v>46136</v>
      </c>
      <c r="JG135" s="9" t="n">
        <v>0</v>
      </c>
      <c r="JI135" s="9" t="n">
        <v>0</v>
      </c>
      <c r="JJ135" s="9" t="n">
        <v>5040</v>
      </c>
      <c r="JN135" s="10" t="n">
        <v>46136</v>
      </c>
      <c r="JP135" s="9" t="n">
        <v>0</v>
      </c>
      <c r="JR135" s="9" t="n">
        <v>0</v>
      </c>
      <c r="JS135" s="9" t="n">
        <v>9100</v>
      </c>
      <c r="JW135" s="10" t="n">
        <v>46136</v>
      </c>
      <c r="JY135" s="9" t="n">
        <v>0</v>
      </c>
      <c r="KA135" s="9" t="n">
        <v>0</v>
      </c>
      <c r="KB135" s="9" t="n">
        <v>2540</v>
      </c>
      <c r="KF135" s="10" t="n">
        <v>46136</v>
      </c>
      <c r="KH135" s="9" t="n">
        <v>0</v>
      </c>
      <c r="KJ135" s="9" t="n">
        <v>0</v>
      </c>
      <c r="KK135" s="9" t="n">
        <v>19.5</v>
      </c>
      <c r="KO135" s="10" t="n">
        <v>46136</v>
      </c>
      <c r="KQ135" s="9" t="n">
        <v>0</v>
      </c>
      <c r="KS135" s="9" t="n">
        <v>0</v>
      </c>
      <c r="KT135" s="9" t="n">
        <v>3817.8</v>
      </c>
      <c r="KX135" s="10" t="n">
        <v>46136</v>
      </c>
      <c r="KZ135" s="9" t="n">
        <v>0</v>
      </c>
      <c r="LB135" s="9" t="n">
        <v>0</v>
      </c>
      <c r="LC135" s="9" t="n">
        <v>3690</v>
      </c>
      <c r="LG135" s="10" t="n">
        <v>46136</v>
      </c>
      <c r="LI135" s="9" t="n">
        <v>0</v>
      </c>
      <c r="LK135" s="9" t="n">
        <v>0</v>
      </c>
      <c r="LL135" s="9" t="n">
        <v>4000</v>
      </c>
      <c r="LP135" s="10" t="n">
        <v>46136</v>
      </c>
      <c r="LR135" s="9" t="n">
        <v>0</v>
      </c>
      <c r="LT135" s="9" t="n">
        <v>0</v>
      </c>
      <c r="LU135" s="9" t="n">
        <v>0</v>
      </c>
      <c r="LY135" s="10" t="n">
        <v>46136</v>
      </c>
      <c r="MA135" s="9" t="n">
        <v>0</v>
      </c>
      <c r="MC135" s="9" t="n">
        <v>0</v>
      </c>
      <c r="MD135" s="9" t="n">
        <v>0</v>
      </c>
      <c r="MH135" s="10" t="n">
        <v>46136</v>
      </c>
      <c r="MJ135" s="9" t="n">
        <v>0</v>
      </c>
      <c r="ML135" s="9" t="n">
        <v>0</v>
      </c>
      <c r="MM135" s="9" t="n">
        <v>0</v>
      </c>
      <c r="MQ135" s="10" t="n">
        <v>46136</v>
      </c>
      <c r="MS135" s="9" t="n">
        <v>29</v>
      </c>
      <c r="MU135" s="9" t="n">
        <v>29</v>
      </c>
      <c r="MV135" s="9" t="n">
        <v>4069</v>
      </c>
      <c r="MZ135" s="10" t="n">
        <v>46136</v>
      </c>
      <c r="NB135" s="9" t="n">
        <v>0</v>
      </c>
      <c r="ND135" s="9" t="n">
        <v>0</v>
      </c>
      <c r="NE135" s="9" t="n">
        <v>0</v>
      </c>
      <c r="NI135" s="10" t="n">
        <v>46136</v>
      </c>
      <c r="NK135" s="9" t="n">
        <v>0</v>
      </c>
      <c r="NM135" s="9" t="n">
        <v>0</v>
      </c>
      <c r="NN135" s="9" t="n">
        <v>1229</v>
      </c>
      <c r="NR135" s="10" t="n">
        <v>46136</v>
      </c>
      <c r="NT135" s="9" t="n">
        <v>0</v>
      </c>
      <c r="NV135" s="9" t="n">
        <v>0</v>
      </c>
      <c r="NW135" s="9" t="n">
        <v>3233.3</v>
      </c>
      <c r="OA135" s="10" t="n">
        <v>46136</v>
      </c>
      <c r="OC135" s="9" t="n">
        <v>0</v>
      </c>
      <c r="OE135" s="9" t="n">
        <v>0</v>
      </c>
      <c r="OF135" s="9" t="n">
        <v>1680.5</v>
      </c>
      <c r="OJ135" s="10" t="n">
        <v>46136</v>
      </c>
      <c r="OL135" s="9" t="n">
        <v>0</v>
      </c>
      <c r="ON135" s="9" t="n">
        <v>0</v>
      </c>
      <c r="OO135" s="9" t="n">
        <v>0</v>
      </c>
      <c r="OS135" s="10" t="n">
        <v>46136</v>
      </c>
      <c r="OU135" s="9" t="n">
        <v>0</v>
      </c>
      <c r="OW135" s="9" t="n">
        <v>0</v>
      </c>
      <c r="OX135" s="9" t="n">
        <v>1000</v>
      </c>
      <c r="PB135" s="10" t="n">
        <v>46136</v>
      </c>
      <c r="PD135" s="9" t="n">
        <v>0</v>
      </c>
      <c r="PF135" s="9" t="n">
        <v>0</v>
      </c>
      <c r="PG135" s="9" t="n">
        <v>0</v>
      </c>
      <c r="PK135" s="10" t="n">
        <v>46136</v>
      </c>
      <c r="PM135" s="9" t="n">
        <v>0</v>
      </c>
      <c r="PO135" s="9" t="n">
        <v>0</v>
      </c>
      <c r="PP135" s="9" t="n">
        <v>100</v>
      </c>
      <c r="PT135" s="10" t="n">
        <v>46136</v>
      </c>
      <c r="PV135" s="9" t="n">
        <v>0</v>
      </c>
      <c r="PX135" s="9" t="n">
        <v>0</v>
      </c>
      <c r="PY135" s="9" t="n">
        <v>13.96000000000004</v>
      </c>
      <c r="QC135" s="10" t="n">
        <v>46136</v>
      </c>
      <c r="QE135" s="9" t="n">
        <v>0</v>
      </c>
      <c r="QG135" s="9" t="n">
        <v>0</v>
      </c>
      <c r="QH135" s="9" t="n">
        <v>1212</v>
      </c>
      <c r="QL135" s="10" t="n">
        <v>46136</v>
      </c>
      <c r="QN135" s="9" t="n">
        <v>0</v>
      </c>
      <c r="QP135" s="9" t="n">
        <v>0</v>
      </c>
      <c r="QQ135" s="9" t="n">
        <v>400</v>
      </c>
      <c r="QU135" s="10" t="n">
        <v>46136</v>
      </c>
      <c r="QW135" s="9" t="n">
        <v>0</v>
      </c>
      <c r="QY135" s="9" t="n">
        <v>0</v>
      </c>
      <c r="QZ135" s="9" t="n">
        <v>207.6</v>
      </c>
      <c r="RD135" s="10" t="n">
        <v>46136</v>
      </c>
      <c r="RF135" s="9" t="n">
        <v>0</v>
      </c>
      <c r="RH135" s="9" t="n">
        <v>0</v>
      </c>
      <c r="RI135" s="9" t="n">
        <v>147.04</v>
      </c>
      <c r="RM135" s="10" t="n">
        <v>46136</v>
      </c>
      <c r="RO135" s="9" t="n">
        <v>0</v>
      </c>
      <c r="RQ135" s="9" t="n">
        <v>0</v>
      </c>
      <c r="RR135" s="9" t="n">
        <v>46.8</v>
      </c>
      <c r="RV135" s="10" t="n">
        <v>46136</v>
      </c>
      <c r="RX135" s="9" t="n">
        <v>0</v>
      </c>
      <c r="RZ135" s="9" t="n">
        <v>0</v>
      </c>
      <c r="SA135" s="9" t="n">
        <v>0</v>
      </c>
      <c r="SE135" s="10" t="n">
        <v>46136</v>
      </c>
      <c r="SG135" s="9" t="n">
        <v>0</v>
      </c>
      <c r="SI135" s="9" t="n">
        <v>0</v>
      </c>
      <c r="SJ135" s="9" t="n">
        <v>125</v>
      </c>
      <c r="SN135" s="10" t="n">
        <v>46136</v>
      </c>
      <c r="SP135" s="9" t="n">
        <v>0</v>
      </c>
      <c r="SR135" s="9" t="n">
        <v>0</v>
      </c>
      <c r="SS135" s="9" t="n">
        <v>200</v>
      </c>
      <c r="SW135" s="10" t="n">
        <v>46136</v>
      </c>
      <c r="SY135" s="9" t="n">
        <v>0</v>
      </c>
      <c r="TA135" s="9" t="n">
        <v>0</v>
      </c>
      <c r="TB135" s="9" t="n">
        <v>0</v>
      </c>
      <c r="TF135" s="10" t="n">
        <v>46136</v>
      </c>
      <c r="TH135" s="9" t="n">
        <v>0</v>
      </c>
      <c r="TJ135" s="9" t="n">
        <v>0</v>
      </c>
      <c r="TK135" s="9" t="n">
        <v>0</v>
      </c>
      <c r="TO135" s="10" t="n">
        <v>46136</v>
      </c>
      <c r="TQ135" s="9" t="n">
        <v>0</v>
      </c>
      <c r="TS135" s="9" t="n">
        <v>0</v>
      </c>
      <c r="TT135" s="9" t="n">
        <v>0</v>
      </c>
      <c r="TX135" s="10" t="n">
        <v>46136</v>
      </c>
      <c r="TZ135" s="9" t="n">
        <v>0</v>
      </c>
      <c r="UB135" s="9" t="n">
        <v>0</v>
      </c>
      <c r="UC135" s="9" t="n">
        <v>0</v>
      </c>
      <c r="UG135" s="10" t="n">
        <v>46136</v>
      </c>
      <c r="UI135" s="9" t="n">
        <v>0</v>
      </c>
      <c r="UK135" s="9" t="n">
        <v>0</v>
      </c>
      <c r="UL135" s="9" t="n">
        <v>0</v>
      </c>
      <c r="UP135" s="10" t="n">
        <v>46136</v>
      </c>
      <c r="UR135" s="9" t="n">
        <v>0</v>
      </c>
      <c r="UT135" s="9" t="n">
        <v>0</v>
      </c>
      <c r="UU135" s="9" t="n">
        <v>0</v>
      </c>
      <c r="UY135" s="10" t="n">
        <v>46136</v>
      </c>
      <c r="VA135" s="9" t="n">
        <v>0</v>
      </c>
      <c r="VC135" s="9" t="n">
        <v>0</v>
      </c>
      <c r="VD135" s="9" t="n">
        <v>41.60000000000002</v>
      </c>
      <c r="VH135" s="10" t="n">
        <v>46136</v>
      </c>
      <c r="VJ135" s="9" t="n">
        <v>0</v>
      </c>
      <c r="VL135" s="9" t="n">
        <v>0</v>
      </c>
      <c r="VM135" s="9" t="n">
        <v>0</v>
      </c>
      <c r="VQ135" s="10" t="n">
        <v>46136</v>
      </c>
      <c r="VS135" s="9" t="n">
        <v>0</v>
      </c>
      <c r="VU135" s="9" t="n">
        <v>0</v>
      </c>
      <c r="VV135" s="9" t="n">
        <v>0</v>
      </c>
      <c r="VZ135" s="10" t="n">
        <v>46136</v>
      </c>
      <c r="WB135" s="9" t="n">
        <v>0</v>
      </c>
      <c r="WD135" s="9" t="n">
        <v>0</v>
      </c>
      <c r="WE135" s="9" t="n">
        <v>0</v>
      </c>
      <c r="WI135" s="10" t="n">
        <v>46136</v>
      </c>
      <c r="WK135" s="9" t="n">
        <v>0</v>
      </c>
      <c r="WM135" s="9" t="n">
        <v>0</v>
      </c>
      <c r="WN135" s="9" t="n">
        <v>2317</v>
      </c>
      <c r="WR135" s="10" t="n">
        <v>46136</v>
      </c>
      <c r="WT135" s="9" t="n">
        <v>0</v>
      </c>
      <c r="WV135" s="9" t="n">
        <v>0</v>
      </c>
      <c r="WW135" s="9" t="n">
        <v>2597</v>
      </c>
      <c r="XA135" s="10" t="n">
        <v>46136</v>
      </c>
      <c r="XC135" s="9" t="n">
        <v>0</v>
      </c>
      <c r="XD135" s="9" t="n">
        <v>541</v>
      </c>
      <c r="XE135" s="9" t="n">
        <v>-541</v>
      </c>
      <c r="XF135" s="9" t="n">
        <v>14327</v>
      </c>
      <c r="XJ135" s="10" t="n">
        <v>46136</v>
      </c>
      <c r="XL135" s="9" t="n">
        <v>0</v>
      </c>
      <c r="XN135" s="9" t="n">
        <v>0</v>
      </c>
      <c r="XO135" s="9" t="n">
        <v>2376</v>
      </c>
      <c r="XS135" s="10" t="n">
        <v>46136</v>
      </c>
      <c r="XU135" s="9" t="n">
        <v>0</v>
      </c>
      <c r="XW135" s="9" t="n">
        <v>0</v>
      </c>
      <c r="XX135" s="9" t="n">
        <v>1901</v>
      </c>
      <c r="YB135" s="10" t="n">
        <v>46136</v>
      </c>
      <c r="YD135" s="9" t="n">
        <v>0</v>
      </c>
      <c r="YF135" s="9" t="n">
        <v>0</v>
      </c>
      <c r="YG135" s="9" t="n">
        <v>6459</v>
      </c>
      <c r="YK135" s="10" t="n">
        <v>46136</v>
      </c>
      <c r="YM135" s="9" t="n">
        <v>0</v>
      </c>
      <c r="YO135" s="9" t="n">
        <v>0</v>
      </c>
      <c r="YP135" s="9" t="n">
        <v>0</v>
      </c>
      <c r="YT135" s="10" t="n">
        <v>46136</v>
      </c>
      <c r="YV135" s="9" t="n">
        <v>0</v>
      </c>
      <c r="YX135" s="9" t="n">
        <v>0</v>
      </c>
      <c r="YY135" s="9" t="n">
        <v>0</v>
      </c>
      <c r="ZC135" s="10" t="n">
        <v>46136</v>
      </c>
      <c r="ZE135" s="9" t="n">
        <v>0</v>
      </c>
      <c r="ZG135" s="9" t="n">
        <v>0</v>
      </c>
      <c r="ZH135" s="9" t="n">
        <v>0</v>
      </c>
      <c r="ZL135" s="10" t="n">
        <v>46136</v>
      </c>
      <c r="ZN135" s="9" t="n">
        <v>0</v>
      </c>
      <c r="ZP135" s="9" t="n">
        <v>0</v>
      </c>
      <c r="ZQ135" s="9" t="n">
        <v>0</v>
      </c>
      <c r="ZU135" s="10" t="n">
        <v>46136</v>
      </c>
      <c r="ZW135" s="9" t="n">
        <v>0</v>
      </c>
      <c r="ZY135" s="9" t="n">
        <v>0</v>
      </c>
      <c r="ZZ135" s="9" t="n">
        <v>0</v>
      </c>
      <c r="AAD135" s="10" t="n">
        <v>46136</v>
      </c>
      <c r="AAF135" s="9" t="n">
        <v>0</v>
      </c>
      <c r="AAH135" s="9" t="n">
        <v>0</v>
      </c>
      <c r="AAI135" s="9" t="n">
        <v>0</v>
      </c>
      <c r="AAM135" s="10" t="n">
        <v>46136</v>
      </c>
      <c r="AAO135" s="9" t="n">
        <v>0</v>
      </c>
      <c r="AAQ135" s="9" t="n">
        <v>0</v>
      </c>
      <c r="AAR135" s="9" t="n">
        <v>0</v>
      </c>
      <c r="AAV135" s="10" t="n">
        <v>46136</v>
      </c>
      <c r="AAX135" s="9" t="n">
        <v>0</v>
      </c>
      <c r="AAZ135" s="9" t="n">
        <v>0</v>
      </c>
      <c r="ABA135" s="9" t="n">
        <v>0</v>
      </c>
      <c r="ABE135" s="10" t="n">
        <v>46136</v>
      </c>
      <c r="ABG135" s="9" t="n">
        <v>0</v>
      </c>
      <c r="ABI135" s="9" t="n">
        <v>0</v>
      </c>
      <c r="ABJ135" s="9" t="n">
        <v>0</v>
      </c>
    </row>
    <row r="136">
      <c r="B136" s="9" t="n">
        <v>98</v>
      </c>
      <c r="C136" s="10" t="n">
        <v>46137</v>
      </c>
      <c r="E136" s="9" t="n">
        <v>52773</v>
      </c>
      <c r="F136" s="9" t="n">
        <v>52770.4</v>
      </c>
      <c r="G136" s="9" t="n">
        <v>2.599999999998545</v>
      </c>
      <c r="H136" s="9" t="n">
        <v>134294.4000000001</v>
      </c>
      <c r="I136" s="9" t="inlineStr">
        <is>
          <t>122 40mt, 123 40mt, 1103 18mt</t>
        </is>
      </c>
      <c r="L136" s="10" t="n">
        <v>46137</v>
      </c>
      <c r="N136" s="9" t="n">
        <v>17517</v>
      </c>
      <c r="O136" s="9" t="n">
        <v>17521.4</v>
      </c>
      <c r="P136" s="9" t="n">
        <v>-4.400000000001455</v>
      </c>
      <c r="Q136" s="9" t="n">
        <v>90706.60000000009</v>
      </c>
      <c r="U136" s="10" t="n">
        <v>46137</v>
      </c>
      <c r="W136" s="9" t="n">
        <v>8180</v>
      </c>
      <c r="X136" s="9" t="n">
        <v>8180.7</v>
      </c>
      <c r="Y136" s="9" t="n">
        <v>-0.6999999999998181</v>
      </c>
      <c r="Z136" s="9" t="n">
        <v>40638.39999999997</v>
      </c>
      <c r="AD136" s="10" t="n">
        <v>46137</v>
      </c>
      <c r="AF136" s="9" t="n">
        <v>2260</v>
      </c>
      <c r="AG136" s="9" t="n">
        <v>2261.9</v>
      </c>
      <c r="AH136" s="9" t="n">
        <v>-1.900000000000091</v>
      </c>
      <c r="AI136" s="9" t="n">
        <v>20887.90000000002</v>
      </c>
      <c r="AM136" s="10" t="n">
        <v>46137</v>
      </c>
      <c r="AO136" s="9" t="n">
        <v>0</v>
      </c>
      <c r="AQ136" s="9" t="n">
        <v>0</v>
      </c>
      <c r="AR136" s="9" t="n">
        <v>0</v>
      </c>
      <c r="AV136" s="10" t="n">
        <v>46137</v>
      </c>
      <c r="AX136" s="9" t="n">
        <v>279</v>
      </c>
      <c r="AY136" s="9" t="n">
        <v>280</v>
      </c>
      <c r="AZ136" s="9" t="n">
        <v>-1</v>
      </c>
      <c r="BA136" s="9" t="n">
        <v>9066.999999999993</v>
      </c>
      <c r="BE136" s="10" t="n">
        <v>46137</v>
      </c>
      <c r="BG136" s="9" t="n">
        <v>3930</v>
      </c>
      <c r="BH136" s="9" t="n">
        <v>3930.9</v>
      </c>
      <c r="BI136" s="9" t="n">
        <v>-0.9000000000000909</v>
      </c>
      <c r="BJ136" s="9" t="n">
        <v>34569.39999999999</v>
      </c>
      <c r="BN136" s="10" t="n">
        <v>46137</v>
      </c>
      <c r="BO136" s="9" t="n">
        <v>2029.8</v>
      </c>
      <c r="BP136" s="9" t="n">
        <v>2030</v>
      </c>
      <c r="BQ136" s="9" t="n">
        <v>2029.8</v>
      </c>
      <c r="BR136" s="9" t="n">
        <v>0.2000000000000455</v>
      </c>
      <c r="BS136" s="9" t="n">
        <v>0</v>
      </c>
      <c r="BW136" s="10" t="n">
        <v>46137</v>
      </c>
      <c r="BY136" s="9" t="n">
        <v>486</v>
      </c>
      <c r="BZ136" s="9" t="n">
        <v>231</v>
      </c>
      <c r="CA136" s="9" t="n">
        <v>255</v>
      </c>
      <c r="CB136" s="9" t="n">
        <v>6180.799999999999</v>
      </c>
      <c r="CF136" s="10" t="n">
        <v>46137</v>
      </c>
      <c r="CG136" s="9" t="n">
        <v>1034.92</v>
      </c>
      <c r="CH136" s="9" t="n">
        <v>760</v>
      </c>
      <c r="CI136" s="9" t="n">
        <v>1034.92</v>
      </c>
      <c r="CJ136" s="9" t="n">
        <v>-274.9200000000001</v>
      </c>
      <c r="CK136" s="9" t="n">
        <v>0</v>
      </c>
      <c r="CO136" s="10" t="n">
        <v>46137</v>
      </c>
      <c r="CQ136" s="9" t="n">
        <v>0</v>
      </c>
      <c r="CS136" s="9" t="n">
        <v>0</v>
      </c>
      <c r="CT136" s="9" t="n">
        <v>0</v>
      </c>
      <c r="CX136" s="10" t="n">
        <v>46137</v>
      </c>
      <c r="CZ136" s="9" t="n">
        <v>4000</v>
      </c>
      <c r="DA136" s="9" t="n">
        <v>4001.2</v>
      </c>
      <c r="DB136" s="9" t="n">
        <v>-1.199999999999818</v>
      </c>
      <c r="DC136" s="9" t="n">
        <v>26158.7</v>
      </c>
      <c r="DG136" s="10" t="n">
        <v>46137</v>
      </c>
      <c r="DH136" s="9" t="n">
        <v>29570</v>
      </c>
      <c r="DI136" s="9" t="n">
        <v>3200</v>
      </c>
      <c r="DJ136" s="9" t="n">
        <v>3198.8</v>
      </c>
      <c r="DK136" s="9" t="n">
        <v>1.199999999999818</v>
      </c>
      <c r="DL136" s="9" t="n">
        <v>45541.99999999999</v>
      </c>
      <c r="DP136" s="10" t="n">
        <v>46137</v>
      </c>
      <c r="DR136" s="9" t="n">
        <v>0</v>
      </c>
      <c r="DT136" s="9" t="n">
        <v>0</v>
      </c>
      <c r="DU136" s="9" t="n">
        <v>5800</v>
      </c>
      <c r="DY136" s="10" t="n">
        <v>46137</v>
      </c>
      <c r="EA136" s="9" t="n">
        <v>0</v>
      </c>
      <c r="EC136" s="9" t="n">
        <v>0</v>
      </c>
      <c r="ED136" s="9" t="n">
        <v>147.3000000000002</v>
      </c>
      <c r="EH136" s="10" t="n">
        <v>46137</v>
      </c>
      <c r="EJ136" s="9" t="n">
        <v>0</v>
      </c>
      <c r="EL136" s="9" t="n">
        <v>0</v>
      </c>
      <c r="EM136" s="9" t="n">
        <v>0</v>
      </c>
      <c r="EQ136" s="10" t="n">
        <v>46137</v>
      </c>
      <c r="ES136" s="9" t="n">
        <v>0</v>
      </c>
      <c r="EU136" s="9" t="n">
        <v>0</v>
      </c>
      <c r="EV136" s="9" t="n">
        <v>0</v>
      </c>
      <c r="EZ136" s="10" t="n">
        <v>46137</v>
      </c>
      <c r="FB136" s="9" t="n">
        <v>0</v>
      </c>
      <c r="FD136" s="9" t="n">
        <v>0</v>
      </c>
      <c r="FE136" s="9" t="n">
        <v>0</v>
      </c>
      <c r="FI136" s="10" t="n">
        <v>46137</v>
      </c>
      <c r="FK136" s="9" t="n">
        <v>0</v>
      </c>
      <c r="FM136" s="9" t="n">
        <v>0</v>
      </c>
      <c r="FN136" s="9" t="n">
        <v>0</v>
      </c>
      <c r="FR136" s="10" t="n">
        <v>46137</v>
      </c>
      <c r="FT136" s="9" t="n">
        <v>0</v>
      </c>
      <c r="FV136" s="9" t="n">
        <v>0</v>
      </c>
      <c r="FW136" s="9" t="n">
        <v>2120</v>
      </c>
      <c r="GA136" s="10" t="n">
        <v>46137</v>
      </c>
      <c r="GC136" s="9" t="n">
        <v>0</v>
      </c>
      <c r="GD136" s="9" t="n">
        <v>1960</v>
      </c>
      <c r="GE136" s="9" t="n">
        <v>-1960</v>
      </c>
      <c r="GF136" s="9" t="n">
        <v>4840</v>
      </c>
      <c r="GG136" s="9" t="n">
        <v>98</v>
      </c>
      <c r="GJ136" s="10" t="n">
        <v>46137</v>
      </c>
      <c r="GL136" s="9" t="n">
        <v>360</v>
      </c>
      <c r="GM136" s="9" t="n">
        <v>1520</v>
      </c>
      <c r="GN136" s="9" t="n">
        <v>-1160</v>
      </c>
      <c r="GO136" s="9" t="n">
        <v>3280</v>
      </c>
      <c r="GP136" s="9" t="n">
        <v>76</v>
      </c>
      <c r="GS136" s="10" t="n">
        <v>46137</v>
      </c>
      <c r="GU136" s="9" t="n">
        <v>0</v>
      </c>
      <c r="GW136" s="9" t="n">
        <v>0</v>
      </c>
      <c r="GX136" s="9" t="n">
        <v>0</v>
      </c>
      <c r="HB136" s="10" t="n">
        <v>46137</v>
      </c>
      <c r="HD136" s="9" t="n">
        <v>0</v>
      </c>
      <c r="HF136" s="9" t="n">
        <v>0</v>
      </c>
      <c r="HG136" s="9" t="n">
        <v>0</v>
      </c>
      <c r="HK136" s="10" t="n">
        <v>46137</v>
      </c>
      <c r="HM136" s="9" t="n">
        <v>0</v>
      </c>
      <c r="HO136" s="9" t="n">
        <v>0</v>
      </c>
      <c r="HP136" s="9" t="n">
        <v>0</v>
      </c>
      <c r="HU136" s="10" t="n">
        <v>46137</v>
      </c>
      <c r="HW136" s="9" t="n">
        <v>0</v>
      </c>
      <c r="HY136" s="9" t="n">
        <v>0</v>
      </c>
      <c r="HZ136" s="9" t="n">
        <v>5120</v>
      </c>
      <c r="ID136" s="10" t="n">
        <v>46137</v>
      </c>
      <c r="IF136" s="9" t="n">
        <v>0</v>
      </c>
      <c r="IH136" s="9" t="n">
        <v>0</v>
      </c>
      <c r="II136" s="9" t="n">
        <v>6540</v>
      </c>
      <c r="IM136" s="10" t="n">
        <v>46137</v>
      </c>
      <c r="IO136" s="9" t="n">
        <v>0</v>
      </c>
      <c r="IQ136" s="9" t="n">
        <v>0</v>
      </c>
      <c r="IR136" s="9" t="n">
        <v>11540</v>
      </c>
      <c r="IV136" s="10" t="n">
        <v>46137</v>
      </c>
      <c r="IX136" s="9" t="n">
        <v>0</v>
      </c>
      <c r="IZ136" s="9" t="n">
        <v>0</v>
      </c>
      <c r="JA136" s="9" t="n">
        <v>15120</v>
      </c>
      <c r="JE136" s="10" t="n">
        <v>46137</v>
      </c>
      <c r="JG136" s="9" t="n">
        <v>0</v>
      </c>
      <c r="JH136" s="9" t="n">
        <v>520</v>
      </c>
      <c r="JI136" s="9" t="n">
        <v>-520</v>
      </c>
      <c r="JJ136" s="9" t="n">
        <v>4520</v>
      </c>
      <c r="JK136" s="9" t="n">
        <v>26</v>
      </c>
      <c r="JN136" s="10" t="n">
        <v>46137</v>
      </c>
      <c r="JP136" s="9" t="n">
        <v>0</v>
      </c>
      <c r="JR136" s="9" t="n">
        <v>0</v>
      </c>
      <c r="JS136" s="9" t="n">
        <v>9100</v>
      </c>
      <c r="JW136" s="10" t="n">
        <v>46137</v>
      </c>
      <c r="JY136" s="9" t="n">
        <v>0</v>
      </c>
      <c r="KA136" s="9" t="n">
        <v>0</v>
      </c>
      <c r="KB136" s="9" t="n">
        <v>2540</v>
      </c>
      <c r="KF136" s="10" t="n">
        <v>46137</v>
      </c>
      <c r="KH136" s="9" t="n">
        <v>0</v>
      </c>
      <c r="KJ136" s="9" t="n">
        <v>0</v>
      </c>
      <c r="KK136" s="9" t="n">
        <v>19.5</v>
      </c>
      <c r="KO136" s="10" t="n">
        <v>46137</v>
      </c>
      <c r="KQ136" s="9" t="n">
        <v>756</v>
      </c>
      <c r="KR136" s="9" t="n">
        <v>793.8</v>
      </c>
      <c r="KS136" s="9" t="n">
        <v>-37.79999999999995</v>
      </c>
      <c r="KT136" s="9" t="n">
        <v>3024</v>
      </c>
      <c r="KU136" s="9" t="n">
        <v>42</v>
      </c>
      <c r="KX136" s="10" t="n">
        <v>46137</v>
      </c>
      <c r="KY136" s="9" t="n">
        <v>2460</v>
      </c>
      <c r="KZ136" s="9" t="n">
        <v>819.9999999999999</v>
      </c>
      <c r="LB136" s="9" t="n">
        <v>819.9999999999999</v>
      </c>
      <c r="LC136" s="9" t="n">
        <v>6150</v>
      </c>
      <c r="LG136" s="10" t="n">
        <v>46137</v>
      </c>
      <c r="LI136" s="9" t="n">
        <v>0</v>
      </c>
      <c r="LK136" s="9" t="n">
        <v>0</v>
      </c>
      <c r="LL136" s="9" t="n">
        <v>4000</v>
      </c>
      <c r="LP136" s="10" t="n">
        <v>46137</v>
      </c>
      <c r="LR136" s="9" t="n">
        <v>0</v>
      </c>
      <c r="LT136" s="9" t="n">
        <v>0</v>
      </c>
      <c r="LU136" s="9" t="n">
        <v>0</v>
      </c>
      <c r="LY136" s="10" t="n">
        <v>46137</v>
      </c>
      <c r="MA136" s="9" t="n">
        <v>0</v>
      </c>
      <c r="MC136" s="9" t="n">
        <v>0</v>
      </c>
      <c r="MD136" s="9" t="n">
        <v>0</v>
      </c>
      <c r="MH136" s="10" t="n">
        <v>46137</v>
      </c>
      <c r="MJ136" s="9" t="n">
        <v>0</v>
      </c>
      <c r="ML136" s="9" t="n">
        <v>0</v>
      </c>
      <c r="MM136" s="9" t="n">
        <v>0</v>
      </c>
      <c r="MQ136" s="10" t="n">
        <v>46137</v>
      </c>
      <c r="MS136" s="9" t="n">
        <v>9</v>
      </c>
      <c r="MT136" s="9" t="n">
        <v>87</v>
      </c>
      <c r="MU136" s="9" t="n">
        <v>-78</v>
      </c>
      <c r="MV136" s="9" t="n">
        <v>3982</v>
      </c>
      <c r="MZ136" s="10" t="n">
        <v>46137</v>
      </c>
      <c r="NA136" s="9" t="n">
        <v>204</v>
      </c>
      <c r="NB136" s="9" t="n">
        <v>240</v>
      </c>
      <c r="NC136" s="9" t="n">
        <v>204</v>
      </c>
      <c r="ND136" s="9" t="n">
        <v>36</v>
      </c>
      <c r="NE136" s="9" t="n">
        <v>0</v>
      </c>
      <c r="NI136" s="10" t="n">
        <v>46137</v>
      </c>
      <c r="NK136" s="9" t="n">
        <v>80</v>
      </c>
      <c r="NL136" s="9" t="n">
        <v>42</v>
      </c>
      <c r="NM136" s="9" t="n">
        <v>38</v>
      </c>
      <c r="NN136" s="9" t="n">
        <v>1187</v>
      </c>
      <c r="NR136" s="10" t="n">
        <v>46137</v>
      </c>
      <c r="NT136" s="9" t="n">
        <v>96</v>
      </c>
      <c r="NU136" s="9" t="n">
        <v>50.4</v>
      </c>
      <c r="NV136" s="9" t="n">
        <v>45.6</v>
      </c>
      <c r="NW136" s="9" t="n">
        <v>3182.9</v>
      </c>
      <c r="OA136" s="10" t="n">
        <v>46137</v>
      </c>
      <c r="OC136" s="9" t="n">
        <v>0</v>
      </c>
      <c r="OE136" s="9" t="n">
        <v>0</v>
      </c>
      <c r="OF136" s="9" t="n">
        <v>1680.5</v>
      </c>
      <c r="OJ136" s="10" t="n">
        <v>46137</v>
      </c>
      <c r="OK136" s="9" t="n">
        <v>117.6</v>
      </c>
      <c r="OL136" s="9" t="n">
        <v>223.9999999999999</v>
      </c>
      <c r="OM136" s="9" t="n">
        <v>117.6</v>
      </c>
      <c r="ON136" s="9" t="n">
        <v>106.3999999999999</v>
      </c>
      <c r="OO136" s="9" t="n">
        <v>0</v>
      </c>
      <c r="OS136" s="10" t="n">
        <v>46137</v>
      </c>
      <c r="OU136" s="9" t="n">
        <v>0</v>
      </c>
      <c r="OW136" s="9" t="n">
        <v>0</v>
      </c>
      <c r="OX136" s="9" t="n">
        <v>1000</v>
      </c>
      <c r="PB136" s="10" t="n">
        <v>46137</v>
      </c>
      <c r="PD136" s="9" t="n">
        <v>0</v>
      </c>
      <c r="PF136" s="9" t="n">
        <v>0</v>
      </c>
      <c r="PG136" s="9" t="n">
        <v>0</v>
      </c>
      <c r="PK136" s="10" t="n">
        <v>46137</v>
      </c>
      <c r="PM136" s="9" t="n">
        <v>0</v>
      </c>
      <c r="PO136" s="9" t="n">
        <v>0</v>
      </c>
      <c r="PP136" s="9" t="n">
        <v>100</v>
      </c>
      <c r="PT136" s="10" t="n">
        <v>46137</v>
      </c>
      <c r="PV136" s="9" t="n">
        <v>0</v>
      </c>
      <c r="PX136" s="9" t="n">
        <v>0</v>
      </c>
      <c r="PY136" s="9" t="n">
        <v>13.96000000000004</v>
      </c>
      <c r="QC136" s="10" t="n">
        <v>46137</v>
      </c>
      <c r="QE136" s="9" t="n">
        <v>0</v>
      </c>
      <c r="QF136" s="9" t="n">
        <v>104</v>
      </c>
      <c r="QG136" s="9" t="n">
        <v>-104</v>
      </c>
      <c r="QH136" s="9" t="n">
        <v>1108</v>
      </c>
      <c r="QL136" s="10" t="n">
        <v>46137</v>
      </c>
      <c r="QN136" s="9" t="n">
        <v>0</v>
      </c>
      <c r="QP136" s="9" t="n">
        <v>0</v>
      </c>
      <c r="QQ136" s="9" t="n">
        <v>400</v>
      </c>
      <c r="QU136" s="10" t="n">
        <v>46137</v>
      </c>
      <c r="QW136" s="9" t="n">
        <v>0</v>
      </c>
      <c r="QY136" s="9" t="n">
        <v>0</v>
      </c>
      <c r="QZ136" s="9" t="n">
        <v>207.6</v>
      </c>
      <c r="RD136" s="10" t="n">
        <v>46137</v>
      </c>
      <c r="RF136" s="9" t="n">
        <v>0</v>
      </c>
      <c r="RH136" s="9" t="n">
        <v>0</v>
      </c>
      <c r="RI136" s="9" t="n">
        <v>147.04</v>
      </c>
      <c r="RM136" s="10" t="n">
        <v>46137</v>
      </c>
      <c r="RO136" s="9" t="n">
        <v>0</v>
      </c>
      <c r="RQ136" s="9" t="n">
        <v>0</v>
      </c>
      <c r="RR136" s="9" t="n">
        <v>46.8</v>
      </c>
      <c r="RV136" s="10" t="n">
        <v>46137</v>
      </c>
      <c r="RX136" s="9" t="n">
        <v>0</v>
      </c>
      <c r="RZ136" s="9" t="n">
        <v>0</v>
      </c>
      <c r="SA136" s="9" t="n">
        <v>0</v>
      </c>
      <c r="SE136" s="10" t="n">
        <v>46137</v>
      </c>
      <c r="SG136" s="9" t="n">
        <v>0</v>
      </c>
      <c r="SH136" s="9" t="n">
        <v>100.8</v>
      </c>
      <c r="SI136" s="9" t="n">
        <v>-100.8</v>
      </c>
      <c r="SJ136" s="9" t="n">
        <v>24.2</v>
      </c>
      <c r="SN136" s="10" t="n">
        <v>46137</v>
      </c>
      <c r="SP136" s="9" t="n">
        <v>0</v>
      </c>
      <c r="SQ136" s="9" t="n">
        <v>168</v>
      </c>
      <c r="SR136" s="9" t="n">
        <v>-168</v>
      </c>
      <c r="SS136" s="9" t="n">
        <v>32</v>
      </c>
      <c r="SW136" s="10" t="n">
        <v>46137</v>
      </c>
      <c r="SY136" s="9" t="n">
        <v>0</v>
      </c>
      <c r="TA136" s="9" t="n">
        <v>0</v>
      </c>
      <c r="TB136" s="9" t="n">
        <v>0</v>
      </c>
      <c r="TF136" s="10" t="n">
        <v>46137</v>
      </c>
      <c r="TH136" s="9" t="n">
        <v>0</v>
      </c>
      <c r="TJ136" s="9" t="n">
        <v>0</v>
      </c>
      <c r="TK136" s="9" t="n">
        <v>0</v>
      </c>
      <c r="TO136" s="10" t="n">
        <v>46137</v>
      </c>
      <c r="TQ136" s="9" t="n">
        <v>0</v>
      </c>
      <c r="TS136" s="9" t="n">
        <v>0</v>
      </c>
      <c r="TT136" s="9" t="n">
        <v>0</v>
      </c>
      <c r="TX136" s="10" t="n">
        <v>46137</v>
      </c>
      <c r="TZ136" s="9" t="n">
        <v>0</v>
      </c>
      <c r="UB136" s="9" t="n">
        <v>0</v>
      </c>
      <c r="UC136" s="9" t="n">
        <v>0</v>
      </c>
      <c r="UG136" s="10" t="n">
        <v>46137</v>
      </c>
      <c r="UI136" s="9" t="n">
        <v>0</v>
      </c>
      <c r="UK136" s="9" t="n">
        <v>0</v>
      </c>
      <c r="UL136" s="9" t="n">
        <v>0</v>
      </c>
      <c r="UP136" s="10" t="n">
        <v>46137</v>
      </c>
      <c r="UR136" s="9" t="n">
        <v>0</v>
      </c>
      <c r="UT136" s="9" t="n">
        <v>0</v>
      </c>
      <c r="UU136" s="9" t="n">
        <v>0</v>
      </c>
      <c r="UY136" s="10" t="n">
        <v>46137</v>
      </c>
      <c r="VA136" s="9" t="n">
        <v>0</v>
      </c>
      <c r="VC136" s="9" t="n">
        <v>0</v>
      </c>
      <c r="VD136" s="9" t="n">
        <v>41.60000000000002</v>
      </c>
      <c r="VH136" s="10" t="n">
        <v>46137</v>
      </c>
      <c r="VJ136" s="9" t="n">
        <v>0</v>
      </c>
      <c r="VL136" s="9" t="n">
        <v>0</v>
      </c>
      <c r="VM136" s="9" t="n">
        <v>0</v>
      </c>
      <c r="VQ136" s="10" t="n">
        <v>46137</v>
      </c>
      <c r="VS136" s="9" t="n">
        <v>0</v>
      </c>
      <c r="VU136" s="9" t="n">
        <v>0</v>
      </c>
      <c r="VV136" s="9" t="n">
        <v>0</v>
      </c>
      <c r="VZ136" s="10" t="n">
        <v>46137</v>
      </c>
      <c r="WB136" s="9" t="n">
        <v>0</v>
      </c>
      <c r="WD136" s="9" t="n">
        <v>0</v>
      </c>
      <c r="WE136" s="9" t="n">
        <v>0</v>
      </c>
      <c r="WI136" s="10" t="n">
        <v>46137</v>
      </c>
      <c r="WK136" s="9" t="n">
        <v>0</v>
      </c>
      <c r="WM136" s="9" t="n">
        <v>0</v>
      </c>
      <c r="WN136" s="9" t="n">
        <v>2317</v>
      </c>
      <c r="WR136" s="10" t="n">
        <v>46137</v>
      </c>
      <c r="WT136" s="9" t="n">
        <v>0</v>
      </c>
      <c r="WV136" s="9" t="n">
        <v>0</v>
      </c>
      <c r="WW136" s="9" t="n">
        <v>2597</v>
      </c>
      <c r="XA136" s="10" t="n">
        <v>46137</v>
      </c>
      <c r="XB136" s="9" t="n">
        <v>193</v>
      </c>
      <c r="XC136" s="9" t="n">
        <v>0</v>
      </c>
      <c r="XD136" s="9" t="n">
        <v>1065</v>
      </c>
      <c r="XE136" s="9" t="n">
        <v>-1065</v>
      </c>
      <c r="XF136" s="9" t="n">
        <v>13455</v>
      </c>
      <c r="XJ136" s="10" t="n">
        <v>46137</v>
      </c>
      <c r="XL136" s="9" t="n">
        <v>0</v>
      </c>
      <c r="XN136" s="9" t="n">
        <v>0</v>
      </c>
      <c r="XO136" s="9" t="n">
        <v>2376</v>
      </c>
      <c r="XS136" s="10" t="n">
        <v>46137</v>
      </c>
      <c r="XU136" s="9" t="n">
        <v>0</v>
      </c>
      <c r="XW136" s="9" t="n">
        <v>0</v>
      </c>
      <c r="XX136" s="9" t="n">
        <v>1901</v>
      </c>
      <c r="YB136" s="10" t="n">
        <v>46137</v>
      </c>
      <c r="YD136" s="9" t="n">
        <v>0</v>
      </c>
      <c r="YF136" s="9" t="n">
        <v>0</v>
      </c>
      <c r="YG136" s="9" t="n">
        <v>6459</v>
      </c>
      <c r="YK136" s="10" t="n">
        <v>46137</v>
      </c>
      <c r="YM136" s="9" t="n">
        <v>0</v>
      </c>
      <c r="YO136" s="9" t="n">
        <v>0</v>
      </c>
      <c r="YP136" s="9" t="n">
        <v>0</v>
      </c>
      <c r="YT136" s="10" t="n">
        <v>46137</v>
      </c>
      <c r="YV136" s="9" t="n">
        <v>0</v>
      </c>
      <c r="YX136" s="9" t="n">
        <v>0</v>
      </c>
      <c r="YY136" s="9" t="n">
        <v>0</v>
      </c>
      <c r="ZC136" s="10" t="n">
        <v>46137</v>
      </c>
      <c r="ZE136" s="9" t="n">
        <v>0</v>
      </c>
      <c r="ZG136" s="9" t="n">
        <v>0</v>
      </c>
      <c r="ZH136" s="9" t="n">
        <v>0</v>
      </c>
      <c r="ZL136" s="10" t="n">
        <v>46137</v>
      </c>
      <c r="ZN136" s="9" t="n">
        <v>0</v>
      </c>
      <c r="ZP136" s="9" t="n">
        <v>0</v>
      </c>
      <c r="ZQ136" s="9" t="n">
        <v>0</v>
      </c>
      <c r="ZU136" s="10" t="n">
        <v>46137</v>
      </c>
      <c r="ZW136" s="9" t="n">
        <v>0</v>
      </c>
      <c r="ZY136" s="9" t="n">
        <v>0</v>
      </c>
      <c r="ZZ136" s="9" t="n">
        <v>0</v>
      </c>
      <c r="AAD136" s="10" t="n">
        <v>46137</v>
      </c>
      <c r="AAF136" s="9" t="n">
        <v>0</v>
      </c>
      <c r="AAH136" s="9" t="n">
        <v>0</v>
      </c>
      <c r="AAI136" s="9" t="n">
        <v>0</v>
      </c>
      <c r="AAM136" s="10" t="n">
        <v>46137</v>
      </c>
      <c r="AAO136" s="9" t="n">
        <v>0</v>
      </c>
      <c r="AAQ136" s="9" t="n">
        <v>0</v>
      </c>
      <c r="AAR136" s="9" t="n">
        <v>0</v>
      </c>
      <c r="AAV136" s="10" t="n">
        <v>46137</v>
      </c>
      <c r="AAX136" s="9" t="n">
        <v>0</v>
      </c>
      <c r="AAZ136" s="9" t="n">
        <v>0</v>
      </c>
      <c r="ABA136" s="9" t="n">
        <v>0</v>
      </c>
      <c r="ABE136" s="10" t="n">
        <v>46137</v>
      </c>
      <c r="ABG136" s="9" t="n">
        <v>0</v>
      </c>
      <c r="ABI136" s="9" t="n">
        <v>0</v>
      </c>
      <c r="ABJ136" s="9" t="n">
        <v>0</v>
      </c>
    </row>
    <row r="137">
      <c r="C137" s="10" t="n">
        <v>46138</v>
      </c>
      <c r="E137" s="9" t="n">
        <v>0</v>
      </c>
      <c r="G137" s="9" t="n">
        <v>0</v>
      </c>
      <c r="H137" s="9" t="n">
        <v>134294.4000000001</v>
      </c>
      <c r="L137" s="10" t="n">
        <v>46138</v>
      </c>
      <c r="N137" s="9" t="n">
        <v>0</v>
      </c>
      <c r="P137" s="9" t="n">
        <v>0</v>
      </c>
      <c r="Q137" s="9" t="n">
        <v>90706.60000000009</v>
      </c>
      <c r="U137" s="10" t="n">
        <v>46138</v>
      </c>
      <c r="W137" s="9" t="n">
        <v>0</v>
      </c>
      <c r="Y137" s="9" t="n">
        <v>0</v>
      </c>
      <c r="Z137" s="9" t="n">
        <v>40638.39999999997</v>
      </c>
      <c r="AD137" s="10" t="n">
        <v>46138</v>
      </c>
      <c r="AF137" s="9" t="n">
        <v>0</v>
      </c>
      <c r="AH137" s="9" t="n">
        <v>0</v>
      </c>
      <c r="AI137" s="9" t="n">
        <v>20887.90000000002</v>
      </c>
      <c r="AM137" s="10" t="n">
        <v>46138</v>
      </c>
      <c r="AO137" s="9" t="n">
        <v>0</v>
      </c>
      <c r="AQ137" s="9" t="n">
        <v>0</v>
      </c>
      <c r="AR137" s="9" t="n">
        <v>0</v>
      </c>
      <c r="AV137" s="10" t="n">
        <v>46138</v>
      </c>
      <c r="AX137" s="9" t="n">
        <v>0</v>
      </c>
      <c r="AZ137" s="9" t="n">
        <v>0</v>
      </c>
      <c r="BA137" s="9" t="n">
        <v>9066.999999999993</v>
      </c>
      <c r="BE137" s="10" t="n">
        <v>46138</v>
      </c>
      <c r="BG137" s="9" t="n">
        <v>0</v>
      </c>
      <c r="BI137" s="9" t="n">
        <v>0</v>
      </c>
      <c r="BJ137" s="9" t="n">
        <v>34569.39999999999</v>
      </c>
      <c r="BN137" s="10" t="n">
        <v>46138</v>
      </c>
      <c r="BP137" s="9" t="n">
        <v>0</v>
      </c>
      <c r="BR137" s="9" t="n">
        <v>0</v>
      </c>
      <c r="BS137" s="9" t="n">
        <v>0</v>
      </c>
      <c r="BW137" s="10" t="n">
        <v>46138</v>
      </c>
      <c r="BY137" s="9" t="n">
        <v>0</v>
      </c>
      <c r="CA137" s="9" t="n">
        <v>0</v>
      </c>
      <c r="CB137" s="9" t="n">
        <v>6180.799999999999</v>
      </c>
      <c r="CF137" s="10" t="n">
        <v>46138</v>
      </c>
      <c r="CH137" s="9" t="n">
        <v>0</v>
      </c>
      <c r="CJ137" s="9" t="n">
        <v>0</v>
      </c>
      <c r="CK137" s="9" t="n">
        <v>0</v>
      </c>
      <c r="CO137" s="10" t="n">
        <v>46138</v>
      </c>
      <c r="CQ137" s="9" t="n">
        <v>0</v>
      </c>
      <c r="CS137" s="9" t="n">
        <v>0</v>
      </c>
      <c r="CT137" s="9" t="n">
        <v>0</v>
      </c>
      <c r="CX137" s="10" t="n">
        <v>46138</v>
      </c>
      <c r="CZ137" s="9" t="n">
        <v>0</v>
      </c>
      <c r="DB137" s="9" t="n">
        <v>0</v>
      </c>
      <c r="DC137" s="9" t="n">
        <v>26158.7</v>
      </c>
      <c r="DG137" s="10" t="n">
        <v>46138</v>
      </c>
      <c r="DI137" s="9" t="n">
        <v>0</v>
      </c>
      <c r="DK137" s="9" t="n">
        <v>0</v>
      </c>
      <c r="DL137" s="9" t="n">
        <v>45541.99999999999</v>
      </c>
      <c r="DP137" s="10" t="n">
        <v>46138</v>
      </c>
      <c r="DR137" s="9" t="n">
        <v>0</v>
      </c>
      <c r="DT137" s="9" t="n">
        <v>0</v>
      </c>
      <c r="DU137" s="9" t="n">
        <v>5800</v>
      </c>
      <c r="DY137" s="10" t="n">
        <v>46138</v>
      </c>
      <c r="EA137" s="9" t="n">
        <v>0</v>
      </c>
      <c r="EC137" s="9" t="n">
        <v>0</v>
      </c>
      <c r="ED137" s="9" t="n">
        <v>147.3000000000002</v>
      </c>
      <c r="EH137" s="10" t="n">
        <v>46138</v>
      </c>
      <c r="EJ137" s="9" t="n">
        <v>0</v>
      </c>
      <c r="EL137" s="9" t="n">
        <v>0</v>
      </c>
      <c r="EM137" s="9" t="n">
        <v>0</v>
      </c>
      <c r="EQ137" s="10" t="n">
        <v>46138</v>
      </c>
      <c r="ES137" s="9" t="n">
        <v>0</v>
      </c>
      <c r="EU137" s="9" t="n">
        <v>0</v>
      </c>
      <c r="EV137" s="9" t="n">
        <v>0</v>
      </c>
      <c r="EZ137" s="10" t="n">
        <v>46138</v>
      </c>
      <c r="FB137" s="9" t="n">
        <v>0</v>
      </c>
      <c r="FD137" s="9" t="n">
        <v>0</v>
      </c>
      <c r="FE137" s="9" t="n">
        <v>0</v>
      </c>
      <c r="FI137" s="10" t="n">
        <v>46138</v>
      </c>
      <c r="FK137" s="9" t="n">
        <v>0</v>
      </c>
      <c r="FM137" s="9" t="n">
        <v>0</v>
      </c>
      <c r="FN137" s="9" t="n">
        <v>0</v>
      </c>
      <c r="FR137" s="10" t="n">
        <v>46138</v>
      </c>
      <c r="FT137" s="9" t="n">
        <v>0</v>
      </c>
      <c r="FV137" s="9" t="n">
        <v>0</v>
      </c>
      <c r="FW137" s="9" t="n">
        <v>2120</v>
      </c>
      <c r="GA137" s="10" t="n">
        <v>46138</v>
      </c>
      <c r="GC137" s="9" t="n">
        <v>0</v>
      </c>
      <c r="GE137" s="9" t="n">
        <v>0</v>
      </c>
      <c r="GF137" s="9" t="n">
        <v>4840</v>
      </c>
      <c r="GJ137" s="10" t="n">
        <v>46138</v>
      </c>
      <c r="GL137" s="9" t="n">
        <v>0</v>
      </c>
      <c r="GN137" s="9" t="n">
        <v>0</v>
      </c>
      <c r="GO137" s="9" t="n">
        <v>3280</v>
      </c>
      <c r="GS137" s="10" t="n">
        <v>46138</v>
      </c>
      <c r="GU137" s="9" t="n">
        <v>0</v>
      </c>
      <c r="GW137" s="9" t="n">
        <v>0</v>
      </c>
      <c r="GX137" s="9" t="n">
        <v>0</v>
      </c>
      <c r="HB137" s="10" t="n">
        <v>46138</v>
      </c>
      <c r="HD137" s="9" t="n">
        <v>0</v>
      </c>
      <c r="HF137" s="9" t="n">
        <v>0</v>
      </c>
      <c r="HG137" s="9" t="n">
        <v>0</v>
      </c>
      <c r="HK137" s="10" t="n">
        <v>46138</v>
      </c>
      <c r="HM137" s="9" t="n">
        <v>0</v>
      </c>
      <c r="HO137" s="9" t="n">
        <v>0</v>
      </c>
      <c r="HP137" s="9" t="n">
        <v>0</v>
      </c>
      <c r="HU137" s="10" t="n">
        <v>46138</v>
      </c>
      <c r="HW137" s="9" t="n">
        <v>0</v>
      </c>
      <c r="HY137" s="9" t="n">
        <v>0</v>
      </c>
      <c r="HZ137" s="9" t="n">
        <v>5120</v>
      </c>
      <c r="ID137" s="10" t="n">
        <v>46138</v>
      </c>
      <c r="IF137" s="9" t="n">
        <v>0</v>
      </c>
      <c r="IH137" s="9" t="n">
        <v>0</v>
      </c>
      <c r="II137" s="9" t="n">
        <v>6540</v>
      </c>
      <c r="IM137" s="10" t="n">
        <v>46138</v>
      </c>
      <c r="IO137" s="9" t="n">
        <v>0</v>
      </c>
      <c r="IQ137" s="9" t="n">
        <v>0</v>
      </c>
      <c r="IR137" s="9" t="n">
        <v>11540</v>
      </c>
      <c r="IV137" s="10" t="n">
        <v>46138</v>
      </c>
      <c r="IX137" s="9" t="n">
        <v>0</v>
      </c>
      <c r="IZ137" s="9" t="n">
        <v>0</v>
      </c>
      <c r="JA137" s="9" t="n">
        <v>15120</v>
      </c>
      <c r="JE137" s="10" t="n">
        <v>46138</v>
      </c>
      <c r="JG137" s="9" t="n">
        <v>0</v>
      </c>
      <c r="JI137" s="9" t="n">
        <v>0</v>
      </c>
      <c r="JJ137" s="9" t="n">
        <v>4520</v>
      </c>
      <c r="JN137" s="10" t="n">
        <v>46138</v>
      </c>
      <c r="JP137" s="9" t="n">
        <v>0</v>
      </c>
      <c r="JR137" s="9" t="n">
        <v>0</v>
      </c>
      <c r="JS137" s="9" t="n">
        <v>9100</v>
      </c>
      <c r="JW137" s="10" t="n">
        <v>46138</v>
      </c>
      <c r="JY137" s="9" t="n">
        <v>0</v>
      </c>
      <c r="KA137" s="9" t="n">
        <v>0</v>
      </c>
      <c r="KB137" s="9" t="n">
        <v>2540</v>
      </c>
      <c r="KF137" s="10" t="n">
        <v>46138</v>
      </c>
      <c r="KH137" s="9" t="n">
        <v>0</v>
      </c>
      <c r="KJ137" s="9" t="n">
        <v>0</v>
      </c>
      <c r="KK137" s="9" t="n">
        <v>19.5</v>
      </c>
      <c r="KO137" s="10" t="n">
        <v>46138</v>
      </c>
      <c r="KQ137" s="9" t="n">
        <v>0</v>
      </c>
      <c r="KS137" s="9" t="n">
        <v>0</v>
      </c>
      <c r="KT137" s="9" t="n">
        <v>3024</v>
      </c>
      <c r="KX137" s="10" t="n">
        <v>46138</v>
      </c>
      <c r="KZ137" s="9" t="n">
        <v>0</v>
      </c>
      <c r="LB137" s="9" t="n">
        <v>0</v>
      </c>
      <c r="LC137" s="9" t="n">
        <v>6150</v>
      </c>
      <c r="LG137" s="10" t="n">
        <v>46138</v>
      </c>
      <c r="LI137" s="9" t="n">
        <v>0</v>
      </c>
      <c r="LK137" s="9" t="n">
        <v>0</v>
      </c>
      <c r="LL137" s="9" t="n">
        <v>4000</v>
      </c>
      <c r="LP137" s="10" t="n">
        <v>46138</v>
      </c>
      <c r="LR137" s="9" t="n">
        <v>0</v>
      </c>
      <c r="LT137" s="9" t="n">
        <v>0</v>
      </c>
      <c r="LU137" s="9" t="n">
        <v>0</v>
      </c>
      <c r="LY137" s="10" t="n">
        <v>46138</v>
      </c>
      <c r="MA137" s="9" t="n">
        <v>0</v>
      </c>
      <c r="MC137" s="9" t="n">
        <v>0</v>
      </c>
      <c r="MD137" s="9" t="n">
        <v>0</v>
      </c>
      <c r="MH137" s="10" t="n">
        <v>46138</v>
      </c>
      <c r="MJ137" s="9" t="n">
        <v>0</v>
      </c>
      <c r="ML137" s="9" t="n">
        <v>0</v>
      </c>
      <c r="MM137" s="9" t="n">
        <v>0</v>
      </c>
      <c r="MQ137" s="10" t="n">
        <v>46138</v>
      </c>
      <c r="MS137" s="9" t="n">
        <v>0</v>
      </c>
      <c r="MU137" s="9" t="n">
        <v>0</v>
      </c>
      <c r="MV137" s="9" t="n">
        <v>3982</v>
      </c>
      <c r="MZ137" s="10" t="n">
        <v>46138</v>
      </c>
      <c r="NB137" s="9" t="n">
        <v>0</v>
      </c>
      <c r="ND137" s="9" t="n">
        <v>0</v>
      </c>
      <c r="NE137" s="9" t="n">
        <v>0</v>
      </c>
      <c r="NI137" s="10" t="n">
        <v>46138</v>
      </c>
      <c r="NK137" s="9" t="n">
        <v>0</v>
      </c>
      <c r="NM137" s="9" t="n">
        <v>0</v>
      </c>
      <c r="NN137" s="9" t="n">
        <v>1187</v>
      </c>
      <c r="NR137" s="10" t="n">
        <v>46138</v>
      </c>
      <c r="NT137" s="9" t="n">
        <v>0</v>
      </c>
      <c r="NV137" s="9" t="n">
        <v>0</v>
      </c>
      <c r="NW137" s="9" t="n">
        <v>3182.9</v>
      </c>
      <c r="OA137" s="10" t="n">
        <v>46138</v>
      </c>
      <c r="OC137" s="9" t="n">
        <v>0</v>
      </c>
      <c r="OE137" s="9" t="n">
        <v>0</v>
      </c>
      <c r="OF137" s="9" t="n">
        <v>1680.5</v>
      </c>
      <c r="OJ137" s="10" t="n">
        <v>46138</v>
      </c>
      <c r="OL137" s="9" t="n">
        <v>0</v>
      </c>
      <c r="ON137" s="9" t="n">
        <v>0</v>
      </c>
      <c r="OO137" s="9" t="n">
        <v>0</v>
      </c>
      <c r="OS137" s="10" t="n">
        <v>46138</v>
      </c>
      <c r="OU137" s="9" t="n">
        <v>0</v>
      </c>
      <c r="OW137" s="9" t="n">
        <v>0</v>
      </c>
      <c r="OX137" s="9" t="n">
        <v>1000</v>
      </c>
      <c r="PB137" s="10" t="n">
        <v>46138</v>
      </c>
      <c r="PD137" s="9" t="n">
        <v>0</v>
      </c>
      <c r="PF137" s="9" t="n">
        <v>0</v>
      </c>
      <c r="PG137" s="9" t="n">
        <v>0</v>
      </c>
      <c r="PK137" s="10" t="n">
        <v>46138</v>
      </c>
      <c r="PM137" s="9" t="n">
        <v>0</v>
      </c>
      <c r="PO137" s="9" t="n">
        <v>0</v>
      </c>
      <c r="PP137" s="9" t="n">
        <v>100</v>
      </c>
      <c r="PT137" s="10" t="n">
        <v>46138</v>
      </c>
      <c r="PV137" s="9" t="n">
        <v>0</v>
      </c>
      <c r="PX137" s="9" t="n">
        <v>0</v>
      </c>
      <c r="PY137" s="9" t="n">
        <v>13.96000000000004</v>
      </c>
      <c r="QC137" s="10" t="n">
        <v>46138</v>
      </c>
      <c r="QE137" s="9" t="n">
        <v>0</v>
      </c>
      <c r="QG137" s="9" t="n">
        <v>0</v>
      </c>
      <c r="QH137" s="9" t="n">
        <v>1108</v>
      </c>
      <c r="QL137" s="10" t="n">
        <v>46138</v>
      </c>
      <c r="QN137" s="9" t="n">
        <v>0</v>
      </c>
      <c r="QP137" s="9" t="n">
        <v>0</v>
      </c>
      <c r="QQ137" s="9" t="n">
        <v>400</v>
      </c>
      <c r="QU137" s="10" t="n">
        <v>46138</v>
      </c>
      <c r="QW137" s="9" t="n">
        <v>0</v>
      </c>
      <c r="QY137" s="9" t="n">
        <v>0</v>
      </c>
      <c r="QZ137" s="9" t="n">
        <v>207.6</v>
      </c>
      <c r="RD137" s="10" t="n">
        <v>46138</v>
      </c>
      <c r="RF137" s="9" t="n">
        <v>0</v>
      </c>
      <c r="RH137" s="9" t="n">
        <v>0</v>
      </c>
      <c r="RI137" s="9" t="n">
        <v>147.04</v>
      </c>
      <c r="RM137" s="10" t="n">
        <v>46138</v>
      </c>
      <c r="RO137" s="9" t="n">
        <v>0</v>
      </c>
      <c r="RQ137" s="9" t="n">
        <v>0</v>
      </c>
      <c r="RR137" s="9" t="n">
        <v>46.8</v>
      </c>
      <c r="RV137" s="10" t="n">
        <v>46138</v>
      </c>
      <c r="RX137" s="9" t="n">
        <v>0</v>
      </c>
      <c r="RZ137" s="9" t="n">
        <v>0</v>
      </c>
      <c r="SA137" s="9" t="n">
        <v>0</v>
      </c>
      <c r="SE137" s="10" t="n">
        <v>46138</v>
      </c>
      <c r="SG137" s="9" t="n">
        <v>0</v>
      </c>
      <c r="SI137" s="9" t="n">
        <v>0</v>
      </c>
      <c r="SJ137" s="9" t="n">
        <v>24.2</v>
      </c>
      <c r="SN137" s="10" t="n">
        <v>46138</v>
      </c>
      <c r="SP137" s="9" t="n">
        <v>0</v>
      </c>
      <c r="SR137" s="9" t="n">
        <v>0</v>
      </c>
      <c r="SS137" s="9" t="n">
        <v>32</v>
      </c>
      <c r="SW137" s="10" t="n">
        <v>46138</v>
      </c>
      <c r="SY137" s="9" t="n">
        <v>0</v>
      </c>
      <c r="TA137" s="9" t="n">
        <v>0</v>
      </c>
      <c r="TB137" s="9" t="n">
        <v>0</v>
      </c>
      <c r="TF137" s="10" t="n">
        <v>46138</v>
      </c>
      <c r="TH137" s="9" t="n">
        <v>0</v>
      </c>
      <c r="TJ137" s="9" t="n">
        <v>0</v>
      </c>
      <c r="TK137" s="9" t="n">
        <v>0</v>
      </c>
      <c r="TO137" s="10" t="n">
        <v>46138</v>
      </c>
      <c r="TQ137" s="9" t="n">
        <v>0</v>
      </c>
      <c r="TS137" s="9" t="n">
        <v>0</v>
      </c>
      <c r="TT137" s="9" t="n">
        <v>0</v>
      </c>
      <c r="TX137" s="10" t="n">
        <v>46138</v>
      </c>
      <c r="TZ137" s="9" t="n">
        <v>0</v>
      </c>
      <c r="UB137" s="9" t="n">
        <v>0</v>
      </c>
      <c r="UC137" s="9" t="n">
        <v>0</v>
      </c>
      <c r="UG137" s="10" t="n">
        <v>46138</v>
      </c>
      <c r="UI137" s="9" t="n">
        <v>0</v>
      </c>
      <c r="UK137" s="9" t="n">
        <v>0</v>
      </c>
      <c r="UL137" s="9" t="n">
        <v>0</v>
      </c>
      <c r="UP137" s="10" t="n">
        <v>46138</v>
      </c>
      <c r="UR137" s="9" t="n">
        <v>0</v>
      </c>
      <c r="UT137" s="9" t="n">
        <v>0</v>
      </c>
      <c r="UU137" s="9" t="n">
        <v>0</v>
      </c>
      <c r="UY137" s="10" t="n">
        <v>46138</v>
      </c>
      <c r="VA137" s="9" t="n">
        <v>0</v>
      </c>
      <c r="VC137" s="9" t="n">
        <v>0</v>
      </c>
      <c r="VD137" s="9" t="n">
        <v>41.60000000000002</v>
      </c>
      <c r="VH137" s="10" t="n">
        <v>46138</v>
      </c>
      <c r="VJ137" s="9" t="n">
        <v>0</v>
      </c>
      <c r="VL137" s="9" t="n">
        <v>0</v>
      </c>
      <c r="VM137" s="9" t="n">
        <v>0</v>
      </c>
      <c r="VQ137" s="10" t="n">
        <v>46138</v>
      </c>
      <c r="VS137" s="9" t="n">
        <v>0</v>
      </c>
      <c r="VU137" s="9" t="n">
        <v>0</v>
      </c>
      <c r="VV137" s="9" t="n">
        <v>0</v>
      </c>
      <c r="VZ137" s="10" t="n">
        <v>46138</v>
      </c>
      <c r="WB137" s="9" t="n">
        <v>0</v>
      </c>
      <c r="WD137" s="9" t="n">
        <v>0</v>
      </c>
      <c r="WE137" s="9" t="n">
        <v>0</v>
      </c>
      <c r="WI137" s="10" t="n">
        <v>46138</v>
      </c>
      <c r="WK137" s="9" t="n">
        <v>0</v>
      </c>
      <c r="WM137" s="9" t="n">
        <v>0</v>
      </c>
      <c r="WN137" s="9" t="n">
        <v>2317</v>
      </c>
      <c r="WR137" s="10" t="n">
        <v>46138</v>
      </c>
      <c r="WT137" s="9" t="n">
        <v>0</v>
      </c>
      <c r="WV137" s="9" t="n">
        <v>0</v>
      </c>
      <c r="WW137" s="9" t="n">
        <v>2597</v>
      </c>
      <c r="XA137" s="10" t="n">
        <v>46138</v>
      </c>
      <c r="XC137" s="9" t="n">
        <v>0</v>
      </c>
      <c r="XE137" s="9" t="n">
        <v>0</v>
      </c>
      <c r="XF137" s="9" t="n">
        <v>13455</v>
      </c>
      <c r="XJ137" s="10" t="n">
        <v>46138</v>
      </c>
      <c r="XL137" s="9" t="n">
        <v>0</v>
      </c>
      <c r="XN137" s="9" t="n">
        <v>0</v>
      </c>
      <c r="XO137" s="9" t="n">
        <v>2376</v>
      </c>
      <c r="XS137" s="10" t="n">
        <v>46138</v>
      </c>
      <c r="XU137" s="9" t="n">
        <v>0</v>
      </c>
      <c r="XW137" s="9" t="n">
        <v>0</v>
      </c>
      <c r="XX137" s="9" t="n">
        <v>1901</v>
      </c>
      <c r="YB137" s="10" t="n">
        <v>46138</v>
      </c>
      <c r="YD137" s="9" t="n">
        <v>0</v>
      </c>
      <c r="YF137" s="9" t="n">
        <v>0</v>
      </c>
      <c r="YG137" s="9" t="n">
        <v>6459</v>
      </c>
      <c r="YK137" s="10" t="n">
        <v>46138</v>
      </c>
      <c r="YM137" s="9" t="n">
        <v>0</v>
      </c>
      <c r="YO137" s="9" t="n">
        <v>0</v>
      </c>
      <c r="YP137" s="9" t="n">
        <v>0</v>
      </c>
      <c r="YT137" s="10" t="n">
        <v>46138</v>
      </c>
      <c r="YV137" s="9" t="n">
        <v>0</v>
      </c>
      <c r="YX137" s="9" t="n">
        <v>0</v>
      </c>
      <c r="YY137" s="9" t="n">
        <v>0</v>
      </c>
      <c r="ZC137" s="10" t="n">
        <v>46138</v>
      </c>
      <c r="ZE137" s="9" t="n">
        <v>0</v>
      </c>
      <c r="ZG137" s="9" t="n">
        <v>0</v>
      </c>
      <c r="ZH137" s="9" t="n">
        <v>0</v>
      </c>
      <c r="ZL137" s="10" t="n">
        <v>46138</v>
      </c>
      <c r="ZN137" s="9" t="n">
        <v>0</v>
      </c>
      <c r="ZP137" s="9" t="n">
        <v>0</v>
      </c>
      <c r="ZQ137" s="9" t="n">
        <v>0</v>
      </c>
      <c r="ZU137" s="10" t="n">
        <v>46138</v>
      </c>
      <c r="ZW137" s="9" t="n">
        <v>0</v>
      </c>
      <c r="ZY137" s="9" t="n">
        <v>0</v>
      </c>
      <c r="ZZ137" s="9" t="n">
        <v>0</v>
      </c>
      <c r="AAD137" s="10" t="n">
        <v>46138</v>
      </c>
      <c r="AAF137" s="9" t="n">
        <v>0</v>
      </c>
      <c r="AAH137" s="9" t="n">
        <v>0</v>
      </c>
      <c r="AAI137" s="9" t="n">
        <v>0</v>
      </c>
      <c r="AAM137" s="10" t="n">
        <v>46138</v>
      </c>
      <c r="AAO137" s="9" t="n">
        <v>0</v>
      </c>
      <c r="AAQ137" s="9" t="n">
        <v>0</v>
      </c>
      <c r="AAR137" s="9" t="n">
        <v>0</v>
      </c>
      <c r="AAV137" s="10" t="n">
        <v>46138</v>
      </c>
      <c r="AAX137" s="9" t="n">
        <v>0</v>
      </c>
      <c r="AAZ137" s="9" t="n">
        <v>0</v>
      </c>
      <c r="ABA137" s="9" t="n">
        <v>0</v>
      </c>
      <c r="ABE137" s="10" t="n">
        <v>46138</v>
      </c>
      <c r="ABG137" s="9" t="n">
        <v>0</v>
      </c>
      <c r="ABI137" s="9" t="n">
        <v>0</v>
      </c>
      <c r="ABJ137" s="9" t="n">
        <v>0</v>
      </c>
    </row>
    <row r="138">
      <c r="B138" s="9" t="n">
        <v>156</v>
      </c>
      <c r="C138" s="10" t="n">
        <v>46139</v>
      </c>
      <c r="D138" s="9" t="n">
        <v>30620</v>
      </c>
      <c r="E138" s="9" t="n">
        <v>86705.04000000001</v>
      </c>
      <c r="F138" s="9" t="n">
        <v>86678.60000000001</v>
      </c>
      <c r="G138" s="9" t="n">
        <v>26.44000000000233</v>
      </c>
      <c r="H138" s="9" t="n">
        <v>78235.80000000005</v>
      </c>
      <c r="I138" s="9" t="inlineStr">
        <is>
          <t>1102 90mt, 8100 18mt, 8102 48mt</t>
        </is>
      </c>
      <c r="L138" s="10" t="n">
        <v>46139</v>
      </c>
      <c r="N138" s="9" t="n">
        <v>43521.6</v>
      </c>
      <c r="O138" s="9" t="n">
        <v>43509.8</v>
      </c>
      <c r="P138" s="9" t="n">
        <v>11.79999999999563</v>
      </c>
      <c r="Q138" s="9" t="n">
        <v>47196.80000000009</v>
      </c>
      <c r="U138" s="10" t="n">
        <v>46139</v>
      </c>
      <c r="W138" s="9" t="n">
        <v>5550</v>
      </c>
      <c r="X138" s="9" t="n">
        <v>5550.6</v>
      </c>
      <c r="Y138" s="9" t="n">
        <v>-0.6000000000003638</v>
      </c>
      <c r="Z138" s="9" t="n">
        <v>35087.79999999997</v>
      </c>
      <c r="AD138" s="10" t="n">
        <v>46139</v>
      </c>
      <c r="AF138" s="9" t="n">
        <v>7350</v>
      </c>
      <c r="AG138" s="9" t="n">
        <v>7354.1</v>
      </c>
      <c r="AH138" s="9" t="n">
        <v>-4.100000000000364</v>
      </c>
      <c r="AI138" s="9" t="n">
        <v>13533.80000000002</v>
      </c>
      <c r="AM138" s="10" t="n">
        <v>46139</v>
      </c>
      <c r="AO138" s="9" t="n">
        <v>0</v>
      </c>
      <c r="AQ138" s="9" t="n">
        <v>0</v>
      </c>
      <c r="AR138" s="9" t="n">
        <v>0</v>
      </c>
      <c r="AV138" s="10" t="n">
        <v>46139</v>
      </c>
      <c r="AW138" s="9" t="n">
        <v>29980</v>
      </c>
      <c r="AX138" s="9" t="n">
        <v>1260</v>
      </c>
      <c r="AY138" s="9" t="n">
        <v>1260.7</v>
      </c>
      <c r="AZ138" s="9" t="n">
        <v>-0.7000000000000455</v>
      </c>
      <c r="BA138" s="9" t="n">
        <v>37786.3</v>
      </c>
      <c r="BE138" s="10" t="n">
        <v>46139</v>
      </c>
      <c r="BG138" s="9" t="n">
        <v>3546</v>
      </c>
      <c r="BH138" s="9" t="n">
        <v>3549</v>
      </c>
      <c r="BI138" s="9" t="n">
        <v>-3</v>
      </c>
      <c r="BJ138" s="9" t="n">
        <v>31020.39999999999</v>
      </c>
      <c r="BN138" s="10" t="n">
        <v>46139</v>
      </c>
      <c r="BO138" s="9" t="n">
        <v>3612</v>
      </c>
      <c r="BP138" s="9" t="n">
        <v>3612</v>
      </c>
      <c r="BQ138" s="9" t="n">
        <v>3612</v>
      </c>
      <c r="BR138" s="9" t="n">
        <v>0</v>
      </c>
      <c r="BS138" s="9" t="n">
        <v>0</v>
      </c>
      <c r="BW138" s="10" t="n">
        <v>46139</v>
      </c>
      <c r="BY138" s="9" t="n">
        <v>27</v>
      </c>
      <c r="BZ138" s="9" t="n">
        <v>27</v>
      </c>
      <c r="CA138" s="9" t="n">
        <v>0</v>
      </c>
      <c r="CB138" s="9" t="n">
        <v>6153.799999999999</v>
      </c>
      <c r="CF138" s="10" t="n">
        <v>46139</v>
      </c>
      <c r="CG138" s="9" t="n">
        <v>157.56</v>
      </c>
      <c r="CH138" s="9" t="n">
        <v>864.36</v>
      </c>
      <c r="CI138" s="9" t="n">
        <v>157.56</v>
      </c>
      <c r="CJ138" s="9" t="n">
        <v>706.8</v>
      </c>
      <c r="CK138" s="9" t="n">
        <v>0</v>
      </c>
      <c r="CO138" s="10" t="n">
        <v>46139</v>
      </c>
      <c r="CQ138" s="9" t="n">
        <v>0</v>
      </c>
      <c r="CS138" s="9" t="n">
        <v>0</v>
      </c>
      <c r="CT138" s="9" t="n">
        <v>0</v>
      </c>
      <c r="CX138" s="10" t="n">
        <v>46139</v>
      </c>
      <c r="CZ138" s="9" t="n">
        <v>0</v>
      </c>
      <c r="DB138" s="9" t="n">
        <v>0</v>
      </c>
      <c r="DC138" s="9" t="n">
        <v>26158.7</v>
      </c>
      <c r="DG138" s="10" t="n">
        <v>46139</v>
      </c>
      <c r="DI138" s="9" t="n">
        <v>0</v>
      </c>
      <c r="DK138" s="9" t="n">
        <v>0</v>
      </c>
      <c r="DL138" s="9" t="n">
        <v>45541.99999999999</v>
      </c>
      <c r="DP138" s="10" t="n">
        <v>46139</v>
      </c>
      <c r="DR138" s="9" t="n">
        <v>0</v>
      </c>
      <c r="DT138" s="9" t="n">
        <v>0</v>
      </c>
      <c r="DU138" s="9" t="n">
        <v>5800</v>
      </c>
      <c r="DY138" s="10" t="n">
        <v>46139</v>
      </c>
      <c r="EA138" s="9" t="n">
        <v>0</v>
      </c>
      <c r="EC138" s="9" t="n">
        <v>0</v>
      </c>
      <c r="ED138" s="9" t="n">
        <v>147.3000000000002</v>
      </c>
      <c r="EH138" s="10" t="n">
        <v>46139</v>
      </c>
      <c r="EJ138" s="9" t="n">
        <v>0</v>
      </c>
      <c r="EL138" s="9" t="n">
        <v>0</v>
      </c>
      <c r="EM138" s="9" t="n">
        <v>0</v>
      </c>
      <c r="EQ138" s="10" t="n">
        <v>46139</v>
      </c>
      <c r="ES138" s="9" t="n">
        <v>0</v>
      </c>
      <c r="EU138" s="9" t="n">
        <v>0</v>
      </c>
      <c r="EV138" s="9" t="n">
        <v>0</v>
      </c>
      <c r="EZ138" s="10" t="n">
        <v>46139</v>
      </c>
      <c r="FB138" s="9" t="n">
        <v>0</v>
      </c>
      <c r="FD138" s="9" t="n">
        <v>0</v>
      </c>
      <c r="FE138" s="9" t="n">
        <v>0</v>
      </c>
      <c r="FI138" s="10" t="n">
        <v>46139</v>
      </c>
      <c r="FK138" s="9" t="n">
        <v>0</v>
      </c>
      <c r="FM138" s="9" t="n">
        <v>0</v>
      </c>
      <c r="FN138" s="9" t="n">
        <v>0</v>
      </c>
      <c r="FR138" s="10" t="n">
        <v>46139</v>
      </c>
      <c r="FT138" s="9" t="n">
        <v>0</v>
      </c>
      <c r="FV138" s="9" t="n">
        <v>0</v>
      </c>
      <c r="FW138" s="9" t="n">
        <v>2120</v>
      </c>
      <c r="GA138" s="10" t="n">
        <v>46139</v>
      </c>
      <c r="GC138" s="9" t="n">
        <v>1800</v>
      </c>
      <c r="GE138" s="9" t="n">
        <v>1800</v>
      </c>
      <c r="GF138" s="9" t="n">
        <v>4840</v>
      </c>
      <c r="GJ138" s="10" t="n">
        <v>46139</v>
      </c>
      <c r="GL138" s="9" t="n">
        <v>0</v>
      </c>
      <c r="GN138" s="9" t="n">
        <v>0</v>
      </c>
      <c r="GO138" s="9" t="n">
        <v>3280</v>
      </c>
      <c r="GS138" s="10" t="n">
        <v>46139</v>
      </c>
      <c r="GU138" s="9" t="n">
        <v>0</v>
      </c>
      <c r="GW138" s="9" t="n">
        <v>0</v>
      </c>
      <c r="GX138" s="9" t="n">
        <v>0</v>
      </c>
      <c r="HB138" s="10" t="n">
        <v>46139</v>
      </c>
      <c r="HD138" s="9" t="n">
        <v>0</v>
      </c>
      <c r="HF138" s="9" t="n">
        <v>0</v>
      </c>
      <c r="HG138" s="9" t="n">
        <v>0</v>
      </c>
      <c r="HK138" s="10" t="n">
        <v>46139</v>
      </c>
      <c r="HM138" s="9" t="n">
        <v>0</v>
      </c>
      <c r="HO138" s="9" t="n">
        <v>0</v>
      </c>
      <c r="HP138" s="9" t="n">
        <v>0</v>
      </c>
      <c r="HU138" s="10" t="n">
        <v>46139</v>
      </c>
      <c r="HW138" s="9" t="n">
        <v>360</v>
      </c>
      <c r="HX138" s="9" t="n">
        <v>360</v>
      </c>
      <c r="HY138" s="9" t="n">
        <v>0</v>
      </c>
      <c r="HZ138" s="9" t="n">
        <v>4760</v>
      </c>
      <c r="IA138" s="9" t="n">
        <v>18</v>
      </c>
      <c r="ID138" s="10" t="n">
        <v>46139</v>
      </c>
      <c r="IF138" s="9" t="n">
        <v>0</v>
      </c>
      <c r="IH138" s="9" t="n">
        <v>0</v>
      </c>
      <c r="II138" s="9" t="n">
        <v>6540</v>
      </c>
      <c r="IM138" s="10" t="n">
        <v>46139</v>
      </c>
      <c r="IO138" s="9" t="n">
        <v>0</v>
      </c>
      <c r="IQ138" s="9" t="n">
        <v>0</v>
      </c>
      <c r="IR138" s="9" t="n">
        <v>11540</v>
      </c>
      <c r="IV138" s="10" t="n">
        <v>46139</v>
      </c>
      <c r="IX138" s="9" t="n">
        <v>0</v>
      </c>
      <c r="IZ138" s="9" t="n">
        <v>0</v>
      </c>
      <c r="JA138" s="9" t="n">
        <v>15120</v>
      </c>
      <c r="JE138" s="10" t="n">
        <v>46139</v>
      </c>
      <c r="JG138" s="9" t="n">
        <v>960</v>
      </c>
      <c r="JH138" s="9" t="n">
        <v>160</v>
      </c>
      <c r="JI138" s="9" t="n">
        <v>800</v>
      </c>
      <c r="JJ138" s="9" t="n">
        <v>4360</v>
      </c>
      <c r="JK138" s="9" t="n">
        <v>8</v>
      </c>
      <c r="JN138" s="10" t="n">
        <v>46139</v>
      </c>
      <c r="JP138" s="9" t="n">
        <v>0</v>
      </c>
      <c r="JR138" s="9" t="n">
        <v>0</v>
      </c>
      <c r="JS138" s="9" t="n">
        <v>9100</v>
      </c>
      <c r="JW138" s="10" t="n">
        <v>46139</v>
      </c>
      <c r="JY138" s="9" t="n">
        <v>0</v>
      </c>
      <c r="KA138" s="9" t="n">
        <v>0</v>
      </c>
      <c r="KB138" s="9" t="n">
        <v>2540</v>
      </c>
      <c r="KF138" s="10" t="n">
        <v>46139</v>
      </c>
      <c r="KH138" s="9" t="n">
        <v>0</v>
      </c>
      <c r="KJ138" s="9" t="n">
        <v>0</v>
      </c>
      <c r="KK138" s="9" t="n">
        <v>19.5</v>
      </c>
      <c r="KO138" s="10" t="n">
        <v>46139</v>
      </c>
      <c r="KQ138" s="9" t="n">
        <v>0</v>
      </c>
      <c r="KS138" s="9" t="n">
        <v>0</v>
      </c>
      <c r="KT138" s="9" t="n">
        <v>3024</v>
      </c>
      <c r="KX138" s="10" t="n">
        <v>46139</v>
      </c>
      <c r="KZ138" s="9" t="n">
        <v>0</v>
      </c>
      <c r="LB138" s="9" t="n">
        <v>0</v>
      </c>
      <c r="LC138" s="9" t="n">
        <v>6150</v>
      </c>
      <c r="LG138" s="10" t="n">
        <v>46139</v>
      </c>
      <c r="LI138" s="9" t="n">
        <v>0</v>
      </c>
      <c r="LK138" s="9" t="n">
        <v>0</v>
      </c>
      <c r="LL138" s="9" t="n">
        <v>4000</v>
      </c>
      <c r="LP138" s="10" t="n">
        <v>46139</v>
      </c>
      <c r="LR138" s="9" t="n">
        <v>0</v>
      </c>
      <c r="LT138" s="9" t="n">
        <v>0</v>
      </c>
      <c r="LU138" s="9" t="n">
        <v>0</v>
      </c>
      <c r="LY138" s="10" t="n">
        <v>46139</v>
      </c>
      <c r="MA138" s="9" t="n">
        <v>0</v>
      </c>
      <c r="MC138" s="9" t="n">
        <v>0</v>
      </c>
      <c r="MD138" s="9" t="n">
        <v>0</v>
      </c>
      <c r="MH138" s="10" t="n">
        <v>46139</v>
      </c>
      <c r="MJ138" s="9" t="n">
        <v>0</v>
      </c>
      <c r="ML138" s="9" t="n">
        <v>0</v>
      </c>
      <c r="MM138" s="9" t="n">
        <v>0</v>
      </c>
      <c r="MQ138" s="10" t="n">
        <v>46139</v>
      </c>
      <c r="MS138" s="9" t="n">
        <v>54</v>
      </c>
      <c r="MT138" s="9" t="n">
        <v>9</v>
      </c>
      <c r="MU138" s="9" t="n">
        <v>45</v>
      </c>
      <c r="MV138" s="9" t="n">
        <v>3973</v>
      </c>
      <c r="MZ138" s="10" t="n">
        <v>46139</v>
      </c>
      <c r="NA138" s="9" t="n">
        <v>78</v>
      </c>
      <c r="NB138" s="9" t="n">
        <v>198</v>
      </c>
      <c r="NC138" s="9" t="n">
        <v>78</v>
      </c>
      <c r="ND138" s="9" t="n">
        <v>120</v>
      </c>
      <c r="NE138" s="9" t="n">
        <v>0</v>
      </c>
      <c r="NI138" s="10" t="n">
        <v>46139</v>
      </c>
      <c r="NK138" s="9" t="n">
        <v>0</v>
      </c>
      <c r="NM138" s="9" t="n">
        <v>0</v>
      </c>
      <c r="NN138" s="9" t="n">
        <v>1187</v>
      </c>
      <c r="NR138" s="10" t="n">
        <v>46139</v>
      </c>
      <c r="NT138" s="9" t="n">
        <v>0</v>
      </c>
      <c r="NV138" s="9" t="n">
        <v>0</v>
      </c>
      <c r="NW138" s="9" t="n">
        <v>3182.9</v>
      </c>
      <c r="OA138" s="10" t="n">
        <v>46139</v>
      </c>
      <c r="OC138" s="9" t="n">
        <v>0</v>
      </c>
      <c r="OE138" s="9" t="n">
        <v>0</v>
      </c>
      <c r="OF138" s="9" t="n">
        <v>1680.5</v>
      </c>
      <c r="OJ138" s="10" t="n">
        <v>46139</v>
      </c>
      <c r="OL138" s="9" t="n">
        <v>0</v>
      </c>
      <c r="ON138" s="9" t="n">
        <v>0</v>
      </c>
      <c r="OO138" s="9" t="n">
        <v>0</v>
      </c>
      <c r="OS138" s="10" t="n">
        <v>46139</v>
      </c>
      <c r="OU138" s="9" t="n">
        <v>0</v>
      </c>
      <c r="OV138" s="9" t="n">
        <v>18</v>
      </c>
      <c r="OW138" s="9" t="n">
        <v>-18</v>
      </c>
      <c r="OX138" s="9" t="n">
        <v>982</v>
      </c>
      <c r="PB138" s="10" t="n">
        <v>46139</v>
      </c>
      <c r="PD138" s="9" t="n">
        <v>0</v>
      </c>
      <c r="PF138" s="9" t="n">
        <v>0</v>
      </c>
      <c r="PG138" s="9" t="n">
        <v>0</v>
      </c>
      <c r="PK138" s="10" t="n">
        <v>46139</v>
      </c>
      <c r="PM138" s="9" t="n">
        <v>0</v>
      </c>
      <c r="PO138" s="9" t="n">
        <v>0</v>
      </c>
      <c r="PP138" s="9" t="n">
        <v>100</v>
      </c>
      <c r="PT138" s="10" t="n">
        <v>46139</v>
      </c>
      <c r="PV138" s="9" t="n">
        <v>0</v>
      </c>
      <c r="PX138" s="9" t="n">
        <v>0</v>
      </c>
      <c r="PY138" s="9" t="n">
        <v>13.96000000000004</v>
      </c>
      <c r="QC138" s="10" t="n">
        <v>46139</v>
      </c>
      <c r="QE138" s="9" t="n">
        <v>192</v>
      </c>
      <c r="QF138" s="9" t="n">
        <v>32</v>
      </c>
      <c r="QG138" s="9" t="n">
        <v>160</v>
      </c>
      <c r="QH138" s="9" t="n">
        <v>1076</v>
      </c>
      <c r="QL138" s="10" t="n">
        <v>46139</v>
      </c>
      <c r="QN138" s="9" t="n">
        <v>0</v>
      </c>
      <c r="QP138" s="9" t="n">
        <v>0</v>
      </c>
      <c r="QQ138" s="9" t="n">
        <v>400</v>
      </c>
      <c r="QU138" s="10" t="n">
        <v>46139</v>
      </c>
      <c r="QW138" s="9" t="n">
        <v>0</v>
      </c>
      <c r="QY138" s="9" t="n">
        <v>0</v>
      </c>
      <c r="QZ138" s="9" t="n">
        <v>207.6</v>
      </c>
      <c r="RD138" s="10" t="n">
        <v>46139</v>
      </c>
      <c r="RF138" s="9" t="n">
        <v>0</v>
      </c>
      <c r="RH138" s="9" t="n">
        <v>0</v>
      </c>
      <c r="RI138" s="9" t="n">
        <v>147.04</v>
      </c>
      <c r="RM138" s="10" t="n">
        <v>46139</v>
      </c>
      <c r="RO138" s="9" t="n">
        <v>0</v>
      </c>
      <c r="RQ138" s="9" t="n">
        <v>0</v>
      </c>
      <c r="RR138" s="9" t="n">
        <v>46.8</v>
      </c>
      <c r="RV138" s="10" t="n">
        <v>46139</v>
      </c>
      <c r="RX138" s="9" t="n">
        <v>0</v>
      </c>
      <c r="RZ138" s="9" t="n">
        <v>0</v>
      </c>
      <c r="SA138" s="9" t="n">
        <v>0</v>
      </c>
      <c r="SE138" s="10" t="n">
        <v>46139</v>
      </c>
      <c r="SG138" s="9" t="n">
        <v>0</v>
      </c>
      <c r="SI138" s="9" t="n">
        <v>0</v>
      </c>
      <c r="SJ138" s="9" t="n">
        <v>24.2</v>
      </c>
      <c r="SN138" s="10" t="n">
        <v>46139</v>
      </c>
      <c r="SP138" s="9" t="n">
        <v>0</v>
      </c>
      <c r="SR138" s="9" t="n">
        <v>0</v>
      </c>
      <c r="SS138" s="9" t="n">
        <v>32</v>
      </c>
      <c r="SW138" s="10" t="n">
        <v>46139</v>
      </c>
      <c r="SY138" s="9" t="n">
        <v>0</v>
      </c>
      <c r="TA138" s="9" t="n">
        <v>0</v>
      </c>
      <c r="TB138" s="9" t="n">
        <v>0</v>
      </c>
      <c r="TF138" s="10" t="n">
        <v>46139</v>
      </c>
      <c r="TH138" s="9" t="n">
        <v>0</v>
      </c>
      <c r="TJ138" s="9" t="n">
        <v>0</v>
      </c>
      <c r="TK138" s="9" t="n">
        <v>0</v>
      </c>
      <c r="TO138" s="10" t="n">
        <v>46139</v>
      </c>
      <c r="TQ138" s="9" t="n">
        <v>0</v>
      </c>
      <c r="TS138" s="9" t="n">
        <v>0</v>
      </c>
      <c r="TT138" s="9" t="n">
        <v>0</v>
      </c>
      <c r="TX138" s="10" t="n">
        <v>46139</v>
      </c>
      <c r="TZ138" s="9" t="n">
        <v>0</v>
      </c>
      <c r="UB138" s="9" t="n">
        <v>0</v>
      </c>
      <c r="UC138" s="9" t="n">
        <v>0</v>
      </c>
      <c r="UG138" s="10" t="n">
        <v>46139</v>
      </c>
      <c r="UI138" s="9" t="n">
        <v>0</v>
      </c>
      <c r="UK138" s="9" t="n">
        <v>0</v>
      </c>
      <c r="UL138" s="9" t="n">
        <v>0</v>
      </c>
      <c r="UP138" s="10" t="n">
        <v>46139</v>
      </c>
      <c r="UR138" s="9" t="n">
        <v>0</v>
      </c>
      <c r="UT138" s="9" t="n">
        <v>0</v>
      </c>
      <c r="UU138" s="9" t="n">
        <v>0</v>
      </c>
      <c r="UY138" s="10" t="n">
        <v>46139</v>
      </c>
      <c r="VA138" s="9" t="n">
        <v>0</v>
      </c>
      <c r="VC138" s="9" t="n">
        <v>0</v>
      </c>
      <c r="VD138" s="9" t="n">
        <v>41.60000000000002</v>
      </c>
      <c r="VH138" s="10" t="n">
        <v>46139</v>
      </c>
      <c r="VJ138" s="9" t="n">
        <v>0</v>
      </c>
      <c r="VL138" s="9" t="n">
        <v>0</v>
      </c>
      <c r="VM138" s="9" t="n">
        <v>0</v>
      </c>
      <c r="VQ138" s="10" t="n">
        <v>46139</v>
      </c>
      <c r="VS138" s="9" t="n">
        <v>0</v>
      </c>
      <c r="VU138" s="9" t="n">
        <v>0</v>
      </c>
      <c r="VV138" s="9" t="n">
        <v>0</v>
      </c>
      <c r="VZ138" s="10" t="n">
        <v>46139</v>
      </c>
      <c r="WB138" s="9" t="n">
        <v>0</v>
      </c>
      <c r="WD138" s="9" t="n">
        <v>0</v>
      </c>
      <c r="WE138" s="9" t="n">
        <v>0</v>
      </c>
      <c r="WI138" s="10" t="n">
        <v>46139</v>
      </c>
      <c r="WK138" s="9" t="n">
        <v>0</v>
      </c>
      <c r="WM138" s="9" t="n">
        <v>0</v>
      </c>
      <c r="WN138" s="9" t="n">
        <v>2317</v>
      </c>
      <c r="WR138" s="10" t="n">
        <v>46139</v>
      </c>
      <c r="WT138" s="9" t="n">
        <v>0</v>
      </c>
      <c r="WU138" s="9" t="n">
        <v>1821</v>
      </c>
      <c r="WV138" s="9" t="n">
        <v>-1821</v>
      </c>
      <c r="WW138" s="9" t="n">
        <v>776</v>
      </c>
      <c r="XA138" s="10" t="n">
        <v>46139</v>
      </c>
      <c r="XC138" s="9" t="n">
        <v>0</v>
      </c>
      <c r="XE138" s="9" t="n">
        <v>0</v>
      </c>
      <c r="XF138" s="9" t="n">
        <v>13455</v>
      </c>
      <c r="XJ138" s="10" t="n">
        <v>46139</v>
      </c>
      <c r="XL138" s="9" t="n">
        <v>0</v>
      </c>
      <c r="XM138" s="9" t="n">
        <v>504</v>
      </c>
      <c r="XN138" s="9" t="n">
        <v>-504</v>
      </c>
      <c r="XO138" s="9" t="n">
        <v>1872</v>
      </c>
      <c r="XS138" s="10" t="n">
        <v>46139</v>
      </c>
      <c r="XU138" s="9" t="n">
        <v>0</v>
      </c>
      <c r="XW138" s="9" t="n">
        <v>0</v>
      </c>
      <c r="XX138" s="9" t="n">
        <v>1901</v>
      </c>
      <c r="YB138" s="10" t="n">
        <v>46139</v>
      </c>
      <c r="YD138" s="9" t="n">
        <v>0</v>
      </c>
      <c r="YF138" s="9" t="n">
        <v>0</v>
      </c>
      <c r="YG138" s="9" t="n">
        <v>6459</v>
      </c>
      <c r="YK138" s="10" t="n">
        <v>46139</v>
      </c>
      <c r="YM138" s="9" t="n">
        <v>0</v>
      </c>
      <c r="YO138" s="9" t="n">
        <v>0</v>
      </c>
      <c r="YP138" s="9" t="n">
        <v>0</v>
      </c>
      <c r="YT138" s="10" t="n">
        <v>46139</v>
      </c>
      <c r="YV138" s="9" t="n">
        <v>0</v>
      </c>
      <c r="YX138" s="9" t="n">
        <v>0</v>
      </c>
      <c r="YY138" s="9" t="n">
        <v>0</v>
      </c>
      <c r="ZC138" s="10" t="n">
        <v>46139</v>
      </c>
      <c r="ZE138" s="9" t="n">
        <v>0</v>
      </c>
      <c r="ZG138" s="9" t="n">
        <v>0</v>
      </c>
      <c r="ZH138" s="9" t="n">
        <v>0</v>
      </c>
      <c r="ZL138" s="10" t="n">
        <v>46139</v>
      </c>
      <c r="ZN138" s="9" t="n">
        <v>0</v>
      </c>
      <c r="ZP138" s="9" t="n">
        <v>0</v>
      </c>
      <c r="ZQ138" s="9" t="n">
        <v>0</v>
      </c>
      <c r="ZU138" s="10" t="n">
        <v>46139</v>
      </c>
      <c r="ZW138" s="9" t="n">
        <v>0</v>
      </c>
      <c r="ZY138" s="9" t="n">
        <v>0</v>
      </c>
      <c r="ZZ138" s="9" t="n">
        <v>0</v>
      </c>
      <c r="AAD138" s="10" t="n">
        <v>46139</v>
      </c>
      <c r="AAF138" s="9" t="n">
        <v>0</v>
      </c>
      <c r="AAH138" s="9" t="n">
        <v>0</v>
      </c>
      <c r="AAI138" s="9" t="n">
        <v>0</v>
      </c>
      <c r="AAM138" s="10" t="n">
        <v>46139</v>
      </c>
      <c r="AAO138" s="9" t="n">
        <v>0</v>
      </c>
      <c r="AAQ138" s="9" t="n">
        <v>0</v>
      </c>
      <c r="AAR138" s="9" t="n">
        <v>0</v>
      </c>
      <c r="AAV138" s="10" t="n">
        <v>46139</v>
      </c>
      <c r="AAX138" s="9" t="n">
        <v>0</v>
      </c>
      <c r="AAZ138" s="9" t="n">
        <v>0</v>
      </c>
      <c r="ABA138" s="9" t="n">
        <v>0</v>
      </c>
      <c r="ABE138" s="10" t="n">
        <v>46139</v>
      </c>
      <c r="ABG138" s="9" t="n">
        <v>0</v>
      </c>
      <c r="ABI138" s="9" t="n">
        <v>0</v>
      </c>
      <c r="ABJ138" s="9" t="n">
        <v>0</v>
      </c>
    </row>
    <row r="139">
      <c r="B139" s="9" t="n">
        <v>40</v>
      </c>
      <c r="C139" s="10" t="n">
        <v>46140</v>
      </c>
      <c r="D139" s="9" t="n">
        <v>63800</v>
      </c>
      <c r="E139" s="9" t="n">
        <v>20739</v>
      </c>
      <c r="F139" s="9" t="n">
        <v>20745</v>
      </c>
      <c r="G139" s="9" t="n">
        <v>-6</v>
      </c>
      <c r="H139" s="9" t="n">
        <v>121290.8</v>
      </c>
      <c r="I139" s="9" t="inlineStr">
        <is>
          <t>122 20mt, 123 20mt</t>
        </is>
      </c>
      <c r="L139" s="10" t="n">
        <v>46140</v>
      </c>
      <c r="N139" s="9" t="n">
        <v>7530</v>
      </c>
      <c r="O139" s="9" t="n">
        <v>7537.2</v>
      </c>
      <c r="P139" s="9" t="n">
        <v>-7.199999999999818</v>
      </c>
      <c r="Q139" s="9" t="n">
        <v>39659.60000000009</v>
      </c>
      <c r="U139" s="10" t="n">
        <v>46140</v>
      </c>
      <c r="W139" s="9" t="n">
        <v>3370</v>
      </c>
      <c r="X139" s="9" t="n">
        <v>3370.2</v>
      </c>
      <c r="Y139" s="9" t="n">
        <v>-0.1999999999998181</v>
      </c>
      <c r="Z139" s="9" t="n">
        <v>31717.59999999997</v>
      </c>
      <c r="AD139" s="10" t="n">
        <v>46140</v>
      </c>
      <c r="AF139" s="9" t="n">
        <v>500.0000000000001</v>
      </c>
      <c r="AG139" s="9" t="n">
        <v>501.3</v>
      </c>
      <c r="AH139" s="9" t="n">
        <v>-1.299999999999955</v>
      </c>
      <c r="AI139" s="9" t="n">
        <v>13032.50000000002</v>
      </c>
      <c r="AM139" s="10" t="n">
        <v>46140</v>
      </c>
      <c r="AO139" s="9" t="n">
        <v>0</v>
      </c>
      <c r="AQ139" s="9" t="n">
        <v>0</v>
      </c>
      <c r="AR139" s="9" t="n">
        <v>0</v>
      </c>
      <c r="AV139" s="10" t="n">
        <v>46140</v>
      </c>
      <c r="AX139" s="9" t="n">
        <v>0</v>
      </c>
      <c r="AZ139" s="9" t="n">
        <v>0</v>
      </c>
      <c r="BA139" s="9" t="n">
        <v>37786.3</v>
      </c>
      <c r="BE139" s="10" t="n">
        <v>46140</v>
      </c>
      <c r="BG139" s="9" t="n">
        <v>1740</v>
      </c>
      <c r="BH139" s="9" t="n">
        <v>1740.2</v>
      </c>
      <c r="BI139" s="9" t="n">
        <v>-0.2000000000000455</v>
      </c>
      <c r="BJ139" s="9" t="n">
        <v>29280.19999999999</v>
      </c>
      <c r="BN139" s="10" t="n">
        <v>46140</v>
      </c>
      <c r="BO139" s="9" t="n">
        <v>790</v>
      </c>
      <c r="BP139" s="9" t="n">
        <v>790</v>
      </c>
      <c r="BQ139" s="9" t="n">
        <v>790</v>
      </c>
      <c r="BR139" s="9" t="n">
        <v>0</v>
      </c>
      <c r="BS139" s="9" t="n">
        <v>0</v>
      </c>
      <c r="BW139" s="10" t="n">
        <v>46140</v>
      </c>
      <c r="BY139" s="9" t="n">
        <v>243</v>
      </c>
      <c r="CA139" s="9" t="n">
        <v>243</v>
      </c>
      <c r="CB139" s="9" t="n">
        <v>6153.799999999999</v>
      </c>
      <c r="CF139" s="10" t="n">
        <v>46140</v>
      </c>
      <c r="CH139" s="9" t="n">
        <v>380</v>
      </c>
      <c r="CJ139" s="9" t="n">
        <v>380</v>
      </c>
      <c r="CK139" s="9" t="n">
        <v>0</v>
      </c>
      <c r="CO139" s="10" t="n">
        <v>46140</v>
      </c>
      <c r="CQ139" s="9" t="n">
        <v>0</v>
      </c>
      <c r="CS139" s="9" t="n">
        <v>0</v>
      </c>
      <c r="CT139" s="9" t="n">
        <v>0</v>
      </c>
      <c r="CX139" s="10" t="n">
        <v>46140</v>
      </c>
      <c r="CZ139" s="9" t="n">
        <v>2000</v>
      </c>
      <c r="DA139" s="9" t="n">
        <v>2000.4</v>
      </c>
      <c r="DB139" s="9" t="n">
        <v>-0.4000000000000909</v>
      </c>
      <c r="DC139" s="9" t="n">
        <v>24158.3</v>
      </c>
      <c r="DG139" s="10" t="n">
        <v>46140</v>
      </c>
      <c r="DI139" s="9" t="n">
        <v>1600</v>
      </c>
      <c r="DJ139" s="9" t="n">
        <v>1602</v>
      </c>
      <c r="DK139" s="9" t="n">
        <v>-2</v>
      </c>
      <c r="DL139" s="9" t="n">
        <v>43939.99999999999</v>
      </c>
      <c r="DP139" s="10" t="n">
        <v>46140</v>
      </c>
      <c r="DR139" s="9" t="n">
        <v>0</v>
      </c>
      <c r="DT139" s="9" t="n">
        <v>0</v>
      </c>
      <c r="DU139" s="9" t="n">
        <v>5800</v>
      </c>
      <c r="DY139" s="10" t="n">
        <v>46140</v>
      </c>
      <c r="EA139" s="9" t="n">
        <v>0</v>
      </c>
      <c r="EC139" s="9" t="n">
        <v>0</v>
      </c>
      <c r="ED139" s="9" t="n">
        <v>147.3000000000002</v>
      </c>
      <c r="EH139" s="10" t="n">
        <v>46140</v>
      </c>
      <c r="EJ139" s="9" t="n">
        <v>0</v>
      </c>
      <c r="EL139" s="9" t="n">
        <v>0</v>
      </c>
      <c r="EM139" s="9" t="n">
        <v>0</v>
      </c>
      <c r="EQ139" s="10" t="n">
        <v>46140</v>
      </c>
      <c r="ES139" s="9" t="n">
        <v>0</v>
      </c>
      <c r="EU139" s="9" t="n">
        <v>0</v>
      </c>
      <c r="EV139" s="9" t="n">
        <v>0</v>
      </c>
      <c r="EZ139" s="10" t="n">
        <v>46140</v>
      </c>
      <c r="FB139" s="9" t="n">
        <v>0</v>
      </c>
      <c r="FD139" s="9" t="n">
        <v>0</v>
      </c>
      <c r="FE139" s="9" t="n">
        <v>0</v>
      </c>
      <c r="FI139" s="10" t="n">
        <v>46140</v>
      </c>
      <c r="FK139" s="9" t="n">
        <v>0</v>
      </c>
      <c r="FM139" s="9" t="n">
        <v>0</v>
      </c>
      <c r="FN139" s="9" t="n">
        <v>0</v>
      </c>
      <c r="FR139" s="10" t="n">
        <v>46140</v>
      </c>
      <c r="FT139" s="9" t="n">
        <v>0</v>
      </c>
      <c r="FV139" s="9" t="n">
        <v>0</v>
      </c>
      <c r="FW139" s="9" t="n">
        <v>2120</v>
      </c>
      <c r="GA139" s="10" t="n">
        <v>46140</v>
      </c>
      <c r="GC139" s="9" t="n">
        <v>0</v>
      </c>
      <c r="GE139" s="9" t="n">
        <v>0</v>
      </c>
      <c r="GF139" s="9" t="n">
        <v>4840</v>
      </c>
      <c r="GJ139" s="10" t="n">
        <v>46140</v>
      </c>
      <c r="GL139" s="9" t="n">
        <v>0</v>
      </c>
      <c r="GN139" s="9" t="n">
        <v>0</v>
      </c>
      <c r="GO139" s="9" t="n">
        <v>3280</v>
      </c>
      <c r="GS139" s="10" t="n">
        <v>46140</v>
      </c>
      <c r="GU139" s="9" t="n">
        <v>0</v>
      </c>
      <c r="GW139" s="9" t="n">
        <v>0</v>
      </c>
      <c r="GX139" s="9" t="n">
        <v>0</v>
      </c>
      <c r="HB139" s="10" t="n">
        <v>46140</v>
      </c>
      <c r="HD139" s="9" t="n">
        <v>0</v>
      </c>
      <c r="HF139" s="9" t="n">
        <v>0</v>
      </c>
      <c r="HG139" s="9" t="n">
        <v>0</v>
      </c>
      <c r="HK139" s="10" t="n">
        <v>46140</v>
      </c>
      <c r="HM139" s="9" t="n">
        <v>0</v>
      </c>
      <c r="HO139" s="9" t="n">
        <v>0</v>
      </c>
      <c r="HP139" s="9" t="n">
        <v>0</v>
      </c>
      <c r="HU139" s="10" t="n">
        <v>46140</v>
      </c>
      <c r="HW139" s="9" t="n">
        <v>0</v>
      </c>
      <c r="HY139" s="9" t="n">
        <v>0</v>
      </c>
      <c r="HZ139" s="9" t="n">
        <v>4760</v>
      </c>
      <c r="ID139" s="10" t="n">
        <v>46140</v>
      </c>
      <c r="IF139" s="9" t="n">
        <v>0</v>
      </c>
      <c r="IH139" s="9" t="n">
        <v>0</v>
      </c>
      <c r="II139" s="9" t="n">
        <v>6540</v>
      </c>
      <c r="IM139" s="10" t="n">
        <v>46140</v>
      </c>
      <c r="IO139" s="9" t="n">
        <v>0</v>
      </c>
      <c r="IQ139" s="9" t="n">
        <v>0</v>
      </c>
      <c r="IR139" s="9" t="n">
        <v>11540</v>
      </c>
      <c r="IV139" s="10" t="n">
        <v>46140</v>
      </c>
      <c r="IX139" s="9" t="n">
        <v>0</v>
      </c>
      <c r="IZ139" s="9" t="n">
        <v>0</v>
      </c>
      <c r="JA139" s="9" t="n">
        <v>15120</v>
      </c>
      <c r="JE139" s="10" t="n">
        <v>46140</v>
      </c>
      <c r="JG139" s="9" t="n">
        <v>0</v>
      </c>
      <c r="JI139" s="9" t="n">
        <v>0</v>
      </c>
      <c r="JJ139" s="9" t="n">
        <v>4360</v>
      </c>
      <c r="JN139" s="10" t="n">
        <v>46140</v>
      </c>
      <c r="JP139" s="9" t="n">
        <v>0</v>
      </c>
      <c r="JR139" s="9" t="n">
        <v>0</v>
      </c>
      <c r="JS139" s="9" t="n">
        <v>9100</v>
      </c>
      <c r="JW139" s="10" t="n">
        <v>46140</v>
      </c>
      <c r="JY139" s="9" t="n">
        <v>0</v>
      </c>
      <c r="KA139" s="9" t="n">
        <v>0</v>
      </c>
      <c r="KB139" s="9" t="n">
        <v>2540</v>
      </c>
      <c r="KF139" s="10" t="n">
        <v>46140</v>
      </c>
      <c r="KH139" s="9" t="n">
        <v>0</v>
      </c>
      <c r="KJ139" s="9" t="n">
        <v>0</v>
      </c>
      <c r="KK139" s="9" t="n">
        <v>19.5</v>
      </c>
      <c r="KO139" s="10" t="n">
        <v>46140</v>
      </c>
      <c r="KQ139" s="9" t="n">
        <v>378</v>
      </c>
      <c r="KS139" s="9" t="n">
        <v>378</v>
      </c>
      <c r="KT139" s="9" t="n">
        <v>3024</v>
      </c>
      <c r="KX139" s="10" t="n">
        <v>46140</v>
      </c>
      <c r="KZ139" s="9" t="n">
        <v>409.9999999999999</v>
      </c>
      <c r="LB139" s="9" t="n">
        <v>409.9999999999999</v>
      </c>
      <c r="LC139" s="9" t="n">
        <v>6150</v>
      </c>
      <c r="LG139" s="10" t="n">
        <v>46140</v>
      </c>
      <c r="LI139" s="9" t="n">
        <v>0</v>
      </c>
      <c r="LK139" s="9" t="n">
        <v>0</v>
      </c>
      <c r="LL139" s="9" t="n">
        <v>4000</v>
      </c>
      <c r="LP139" s="10" t="n">
        <v>46140</v>
      </c>
      <c r="LR139" s="9" t="n">
        <v>0</v>
      </c>
      <c r="LT139" s="9" t="n">
        <v>0</v>
      </c>
      <c r="LU139" s="9" t="n">
        <v>0</v>
      </c>
      <c r="LY139" s="10" t="n">
        <v>46140</v>
      </c>
      <c r="MA139" s="9" t="n">
        <v>0</v>
      </c>
      <c r="MC139" s="9" t="n">
        <v>0</v>
      </c>
      <c r="MD139" s="9" t="n">
        <v>0</v>
      </c>
      <c r="MH139" s="10" t="n">
        <v>46140</v>
      </c>
      <c r="MJ139" s="9" t="n">
        <v>0</v>
      </c>
      <c r="ML139" s="9" t="n">
        <v>0</v>
      </c>
      <c r="MM139" s="9" t="n">
        <v>0</v>
      </c>
      <c r="MQ139" s="10" t="n">
        <v>46140</v>
      </c>
      <c r="MS139" s="9" t="n">
        <v>0</v>
      </c>
      <c r="MU139" s="9" t="n">
        <v>0</v>
      </c>
      <c r="MV139" s="9" t="n">
        <v>3973</v>
      </c>
      <c r="MZ139" s="10" t="n">
        <v>46140</v>
      </c>
      <c r="NB139" s="9" t="n">
        <v>120</v>
      </c>
      <c r="ND139" s="9" t="n">
        <v>120</v>
      </c>
      <c r="NE139" s="9" t="n">
        <v>0</v>
      </c>
      <c r="NI139" s="10" t="n">
        <v>46140</v>
      </c>
      <c r="NK139" s="9" t="n">
        <v>40</v>
      </c>
      <c r="NM139" s="9" t="n">
        <v>40</v>
      </c>
      <c r="NN139" s="9" t="n">
        <v>1187</v>
      </c>
      <c r="NR139" s="10" t="n">
        <v>46140</v>
      </c>
      <c r="NT139" s="9" t="n">
        <v>48</v>
      </c>
      <c r="NV139" s="9" t="n">
        <v>48</v>
      </c>
      <c r="NW139" s="9" t="n">
        <v>3182.9</v>
      </c>
      <c r="OA139" s="10" t="n">
        <v>46140</v>
      </c>
      <c r="OC139" s="9" t="n">
        <v>0</v>
      </c>
      <c r="OE139" s="9" t="n">
        <v>0</v>
      </c>
      <c r="OF139" s="9" t="n">
        <v>1680.5</v>
      </c>
      <c r="OJ139" s="10" t="n">
        <v>46140</v>
      </c>
      <c r="OL139" s="9" t="n">
        <v>112</v>
      </c>
      <c r="ON139" s="9" t="n">
        <v>112</v>
      </c>
      <c r="OO139" s="9" t="n">
        <v>0</v>
      </c>
      <c r="OS139" s="10" t="n">
        <v>46140</v>
      </c>
      <c r="OU139" s="9" t="n">
        <v>0</v>
      </c>
      <c r="OW139" s="9" t="n">
        <v>0</v>
      </c>
      <c r="OX139" s="9" t="n">
        <v>982</v>
      </c>
      <c r="PB139" s="10" t="n">
        <v>46140</v>
      </c>
      <c r="PD139" s="9" t="n">
        <v>0</v>
      </c>
      <c r="PF139" s="9" t="n">
        <v>0</v>
      </c>
      <c r="PG139" s="9" t="n">
        <v>0</v>
      </c>
      <c r="PK139" s="10" t="n">
        <v>46140</v>
      </c>
      <c r="PM139" s="9" t="n">
        <v>0</v>
      </c>
      <c r="PO139" s="9" t="n">
        <v>0</v>
      </c>
      <c r="PP139" s="9" t="n">
        <v>100</v>
      </c>
      <c r="PT139" s="10" t="n">
        <v>46140</v>
      </c>
      <c r="PV139" s="9" t="n">
        <v>0</v>
      </c>
      <c r="PX139" s="9" t="n">
        <v>0</v>
      </c>
      <c r="PY139" s="9" t="n">
        <v>13.96000000000004</v>
      </c>
      <c r="QC139" s="10" t="n">
        <v>46140</v>
      </c>
      <c r="QE139" s="9" t="n">
        <v>0</v>
      </c>
      <c r="QG139" s="9" t="n">
        <v>0</v>
      </c>
      <c r="QH139" s="9" t="n">
        <v>1076</v>
      </c>
      <c r="QL139" s="10" t="n">
        <v>46140</v>
      </c>
      <c r="QN139" s="9" t="n">
        <v>0</v>
      </c>
      <c r="QP139" s="9" t="n">
        <v>0</v>
      </c>
      <c r="QQ139" s="9" t="n">
        <v>400</v>
      </c>
      <c r="QU139" s="10" t="n">
        <v>46140</v>
      </c>
      <c r="QW139" s="9" t="n">
        <v>0</v>
      </c>
      <c r="QY139" s="9" t="n">
        <v>0</v>
      </c>
      <c r="QZ139" s="9" t="n">
        <v>207.6</v>
      </c>
      <c r="RD139" s="10" t="n">
        <v>46140</v>
      </c>
      <c r="RF139" s="9" t="n">
        <v>0</v>
      </c>
      <c r="RH139" s="9" t="n">
        <v>0</v>
      </c>
      <c r="RI139" s="9" t="n">
        <v>147.04</v>
      </c>
      <c r="RM139" s="10" t="n">
        <v>46140</v>
      </c>
      <c r="RO139" s="9" t="n">
        <v>0</v>
      </c>
      <c r="RQ139" s="9" t="n">
        <v>0</v>
      </c>
      <c r="RR139" s="9" t="n">
        <v>46.8</v>
      </c>
      <c r="RV139" s="10" t="n">
        <v>46140</v>
      </c>
      <c r="RX139" s="9" t="n">
        <v>0</v>
      </c>
      <c r="RZ139" s="9" t="n">
        <v>0</v>
      </c>
      <c r="SA139" s="9" t="n">
        <v>0</v>
      </c>
      <c r="SE139" s="10" t="n">
        <v>46140</v>
      </c>
      <c r="SG139" s="9" t="n">
        <v>0</v>
      </c>
      <c r="SI139" s="9" t="n">
        <v>0</v>
      </c>
      <c r="SJ139" s="9" t="n">
        <v>24.2</v>
      </c>
      <c r="SN139" s="10" t="n">
        <v>46140</v>
      </c>
      <c r="SP139" s="9" t="n">
        <v>0</v>
      </c>
      <c r="SR139" s="9" t="n">
        <v>0</v>
      </c>
      <c r="SS139" s="9" t="n">
        <v>32</v>
      </c>
      <c r="SW139" s="10" t="n">
        <v>46140</v>
      </c>
      <c r="SY139" s="9" t="n">
        <v>0</v>
      </c>
      <c r="TA139" s="9" t="n">
        <v>0</v>
      </c>
      <c r="TB139" s="9" t="n">
        <v>0</v>
      </c>
      <c r="TF139" s="10" t="n">
        <v>46140</v>
      </c>
      <c r="TH139" s="9" t="n">
        <v>0</v>
      </c>
      <c r="TJ139" s="9" t="n">
        <v>0</v>
      </c>
      <c r="TK139" s="9" t="n">
        <v>0</v>
      </c>
      <c r="TO139" s="10" t="n">
        <v>46140</v>
      </c>
      <c r="TQ139" s="9" t="n">
        <v>0</v>
      </c>
      <c r="TS139" s="9" t="n">
        <v>0</v>
      </c>
      <c r="TT139" s="9" t="n">
        <v>0</v>
      </c>
      <c r="TX139" s="10" t="n">
        <v>46140</v>
      </c>
      <c r="TZ139" s="9" t="n">
        <v>0</v>
      </c>
      <c r="UB139" s="9" t="n">
        <v>0</v>
      </c>
      <c r="UC139" s="9" t="n">
        <v>0</v>
      </c>
      <c r="UG139" s="10" t="n">
        <v>46140</v>
      </c>
      <c r="UI139" s="9" t="n">
        <v>0</v>
      </c>
      <c r="UK139" s="9" t="n">
        <v>0</v>
      </c>
      <c r="UL139" s="9" t="n">
        <v>0</v>
      </c>
      <c r="UP139" s="10" t="n">
        <v>46140</v>
      </c>
      <c r="UR139" s="9" t="n">
        <v>0</v>
      </c>
      <c r="UT139" s="9" t="n">
        <v>0</v>
      </c>
      <c r="UU139" s="9" t="n">
        <v>0</v>
      </c>
      <c r="UY139" s="10" t="n">
        <v>46140</v>
      </c>
      <c r="VA139" s="9" t="n">
        <v>0</v>
      </c>
      <c r="VC139" s="9" t="n">
        <v>0</v>
      </c>
      <c r="VD139" s="9" t="n">
        <v>41.60000000000002</v>
      </c>
      <c r="VH139" s="10" t="n">
        <v>46140</v>
      </c>
      <c r="VJ139" s="9" t="n">
        <v>0</v>
      </c>
      <c r="VL139" s="9" t="n">
        <v>0</v>
      </c>
      <c r="VM139" s="9" t="n">
        <v>0</v>
      </c>
      <c r="VQ139" s="10" t="n">
        <v>46140</v>
      </c>
      <c r="VS139" s="9" t="n">
        <v>0</v>
      </c>
      <c r="VU139" s="9" t="n">
        <v>0</v>
      </c>
      <c r="VV139" s="9" t="n">
        <v>0</v>
      </c>
      <c r="VZ139" s="10" t="n">
        <v>46140</v>
      </c>
      <c r="WB139" s="9" t="n">
        <v>0</v>
      </c>
      <c r="WD139" s="9" t="n">
        <v>0</v>
      </c>
      <c r="WE139" s="9" t="n">
        <v>0</v>
      </c>
      <c r="WI139" s="10" t="n">
        <v>46140</v>
      </c>
      <c r="WK139" s="9" t="n">
        <v>0</v>
      </c>
      <c r="WM139" s="9" t="n">
        <v>0</v>
      </c>
      <c r="WN139" s="9" t="n">
        <v>2317</v>
      </c>
      <c r="WR139" s="10" t="n">
        <v>46140</v>
      </c>
      <c r="WT139" s="9" t="n">
        <v>0</v>
      </c>
      <c r="WV139" s="9" t="n">
        <v>0</v>
      </c>
      <c r="WW139" s="9" t="n">
        <v>776</v>
      </c>
      <c r="XA139" s="10" t="n">
        <v>46140</v>
      </c>
      <c r="XC139" s="9" t="n">
        <v>0</v>
      </c>
      <c r="XE139" s="9" t="n">
        <v>0</v>
      </c>
      <c r="XF139" s="9" t="n">
        <v>13455</v>
      </c>
      <c r="XJ139" s="10" t="n">
        <v>46140</v>
      </c>
      <c r="XL139" s="9" t="n">
        <v>0</v>
      </c>
      <c r="XN139" s="9" t="n">
        <v>0</v>
      </c>
      <c r="XO139" s="9" t="n">
        <v>1872</v>
      </c>
      <c r="XS139" s="10" t="n">
        <v>46140</v>
      </c>
      <c r="XU139" s="9" t="n">
        <v>0</v>
      </c>
      <c r="XW139" s="9" t="n">
        <v>0</v>
      </c>
      <c r="XX139" s="9" t="n">
        <v>1901</v>
      </c>
      <c r="YB139" s="10" t="n">
        <v>46140</v>
      </c>
      <c r="YD139" s="9" t="n">
        <v>0</v>
      </c>
      <c r="YF139" s="9" t="n">
        <v>0</v>
      </c>
      <c r="YG139" s="9" t="n">
        <v>6459</v>
      </c>
      <c r="YK139" s="10" t="n">
        <v>46140</v>
      </c>
      <c r="YM139" s="9" t="n">
        <v>0</v>
      </c>
      <c r="YO139" s="9" t="n">
        <v>0</v>
      </c>
      <c r="YP139" s="9" t="n">
        <v>0</v>
      </c>
      <c r="YT139" s="10" t="n">
        <v>46140</v>
      </c>
      <c r="YV139" s="9" t="n">
        <v>0</v>
      </c>
      <c r="YX139" s="9" t="n">
        <v>0</v>
      </c>
      <c r="YY139" s="9" t="n">
        <v>0</v>
      </c>
      <c r="ZC139" s="10" t="n">
        <v>46140</v>
      </c>
      <c r="ZE139" s="9" t="n">
        <v>0</v>
      </c>
      <c r="ZG139" s="9" t="n">
        <v>0</v>
      </c>
      <c r="ZH139" s="9" t="n">
        <v>0</v>
      </c>
      <c r="ZL139" s="10" t="n">
        <v>46140</v>
      </c>
      <c r="ZN139" s="9" t="n">
        <v>0</v>
      </c>
      <c r="ZP139" s="9" t="n">
        <v>0</v>
      </c>
      <c r="ZQ139" s="9" t="n">
        <v>0</v>
      </c>
      <c r="ZU139" s="10" t="n">
        <v>46140</v>
      </c>
      <c r="ZW139" s="9" t="n">
        <v>0</v>
      </c>
      <c r="ZY139" s="9" t="n">
        <v>0</v>
      </c>
      <c r="ZZ139" s="9" t="n">
        <v>0</v>
      </c>
      <c r="AAD139" s="10" t="n">
        <v>46140</v>
      </c>
      <c r="AAF139" s="9" t="n">
        <v>0</v>
      </c>
      <c r="AAH139" s="9" t="n">
        <v>0</v>
      </c>
      <c r="AAI139" s="9" t="n">
        <v>0</v>
      </c>
      <c r="AAM139" s="10" t="n">
        <v>46140</v>
      </c>
      <c r="AAO139" s="9" t="n">
        <v>0</v>
      </c>
      <c r="AAQ139" s="9" t="n">
        <v>0</v>
      </c>
      <c r="AAR139" s="9" t="n">
        <v>0</v>
      </c>
      <c r="AAV139" s="10" t="n">
        <v>46140</v>
      </c>
      <c r="AAX139" s="9" t="n">
        <v>0</v>
      </c>
      <c r="AAZ139" s="9" t="n">
        <v>0</v>
      </c>
      <c r="ABA139" s="9" t="n">
        <v>0</v>
      </c>
      <c r="ABE139" s="10" t="n">
        <v>46140</v>
      </c>
      <c r="ABG139" s="9" t="n">
        <v>0</v>
      </c>
      <c r="ABI139" s="9" t="n">
        <v>0</v>
      </c>
      <c r="ABJ139" s="9" t="n">
        <v>0</v>
      </c>
    </row>
    <row r="140">
      <c r="C140" s="10" t="n">
        <v>46141</v>
      </c>
      <c r="D140" s="9" t="n">
        <v>30560</v>
      </c>
      <c r="E140" s="9" t="n">
        <v>0</v>
      </c>
      <c r="G140" s="9" t="n">
        <v>0</v>
      </c>
      <c r="H140" s="9" t="n">
        <v>151850.8</v>
      </c>
      <c r="L140" s="10" t="n">
        <v>46141</v>
      </c>
      <c r="M140" s="9" t="n">
        <v>28660</v>
      </c>
      <c r="N140" s="9" t="n">
        <v>0</v>
      </c>
      <c r="P140" s="9" t="n">
        <v>0</v>
      </c>
      <c r="Q140" s="9" t="n">
        <v>68319.60000000009</v>
      </c>
      <c r="U140" s="10" t="n">
        <v>46141</v>
      </c>
      <c r="W140" s="9" t="n">
        <v>0</v>
      </c>
      <c r="Y140" s="9" t="n">
        <v>0</v>
      </c>
      <c r="Z140" s="9" t="n">
        <v>31717.59999999997</v>
      </c>
      <c r="AD140" s="10" t="n">
        <v>46141</v>
      </c>
      <c r="AF140" s="9" t="n">
        <v>0</v>
      </c>
      <c r="AH140" s="9" t="n">
        <v>0</v>
      </c>
      <c r="AI140" s="9" t="n">
        <v>13032.50000000002</v>
      </c>
      <c r="AM140" s="10" t="n">
        <v>46141</v>
      </c>
      <c r="AO140" s="9" t="n">
        <v>0</v>
      </c>
      <c r="AQ140" s="9" t="n">
        <v>0</v>
      </c>
      <c r="AR140" s="9" t="n">
        <v>0</v>
      </c>
      <c r="AV140" s="10" t="n">
        <v>46141</v>
      </c>
      <c r="AX140" s="9" t="n">
        <v>0</v>
      </c>
      <c r="AZ140" s="9" t="n">
        <v>0</v>
      </c>
      <c r="BA140" s="9" t="n">
        <v>37786.3</v>
      </c>
      <c r="BE140" s="10" t="n">
        <v>46141</v>
      </c>
      <c r="BF140" s="9" t="n">
        <v>557.4</v>
      </c>
      <c r="BG140" s="9" t="n">
        <v>0</v>
      </c>
      <c r="BI140" s="9" t="n">
        <v>0</v>
      </c>
      <c r="BJ140" s="9" t="n">
        <v>29837.59999999999</v>
      </c>
      <c r="BN140" s="10" t="n">
        <v>46141</v>
      </c>
      <c r="BP140" s="9" t="n">
        <v>0</v>
      </c>
      <c r="BR140" s="9" t="n">
        <v>0</v>
      </c>
      <c r="BS140" s="9" t="n">
        <v>0</v>
      </c>
      <c r="BW140" s="10" t="n">
        <v>46141</v>
      </c>
      <c r="BY140" s="9" t="n">
        <v>0</v>
      </c>
      <c r="CA140" s="9" t="n">
        <v>0</v>
      </c>
      <c r="CB140" s="9" t="n">
        <v>6153.799999999999</v>
      </c>
      <c r="CF140" s="10" t="n">
        <v>46141</v>
      </c>
      <c r="CH140" s="9" t="n">
        <v>0</v>
      </c>
      <c r="CJ140" s="9" t="n">
        <v>0</v>
      </c>
      <c r="CK140" s="9" t="n">
        <v>0</v>
      </c>
      <c r="CO140" s="10" t="n">
        <v>46141</v>
      </c>
      <c r="CQ140" s="9" t="n">
        <v>0</v>
      </c>
      <c r="CS140" s="9" t="n">
        <v>0</v>
      </c>
      <c r="CT140" s="9" t="n">
        <v>0</v>
      </c>
      <c r="CX140" s="10" t="n">
        <v>46141</v>
      </c>
      <c r="CZ140" s="9" t="n">
        <v>0</v>
      </c>
      <c r="DB140" s="9" t="n">
        <v>0</v>
      </c>
      <c r="DC140" s="9" t="n">
        <v>24158.3</v>
      </c>
      <c r="DG140" s="10" t="n">
        <v>46141</v>
      </c>
      <c r="DI140" s="9" t="n">
        <v>0</v>
      </c>
      <c r="DK140" s="9" t="n">
        <v>0</v>
      </c>
      <c r="DL140" s="9" t="n">
        <v>43939.99999999999</v>
      </c>
      <c r="DP140" s="10" t="n">
        <v>46141</v>
      </c>
      <c r="DR140" s="9" t="n">
        <v>0</v>
      </c>
      <c r="DT140" s="9" t="n">
        <v>0</v>
      </c>
      <c r="DU140" s="9" t="n">
        <v>5800</v>
      </c>
      <c r="DY140" s="10" t="n">
        <v>46141</v>
      </c>
      <c r="EA140" s="9" t="n">
        <v>0</v>
      </c>
      <c r="EB140" s="9" t="n">
        <v>147.3</v>
      </c>
      <c r="EC140" s="9" t="n">
        <v>-147.3</v>
      </c>
      <c r="ED140" s="9" t="n">
        <v>0</v>
      </c>
      <c r="EH140" s="10" t="n">
        <v>46141</v>
      </c>
      <c r="EJ140" s="9" t="n">
        <v>0</v>
      </c>
      <c r="EL140" s="9" t="n">
        <v>0</v>
      </c>
      <c r="EM140" s="9" t="n">
        <v>0</v>
      </c>
      <c r="EQ140" s="10" t="n">
        <v>46141</v>
      </c>
      <c r="ES140" s="9" t="n">
        <v>0</v>
      </c>
      <c r="EU140" s="9" t="n">
        <v>0</v>
      </c>
      <c r="EV140" s="9" t="n">
        <v>0</v>
      </c>
      <c r="EZ140" s="10" t="n">
        <v>46141</v>
      </c>
      <c r="FB140" s="9" t="n">
        <v>0</v>
      </c>
      <c r="FD140" s="9" t="n">
        <v>0</v>
      </c>
      <c r="FE140" s="9" t="n">
        <v>0</v>
      </c>
      <c r="FI140" s="10" t="n">
        <v>46141</v>
      </c>
      <c r="FK140" s="9" t="n">
        <v>0</v>
      </c>
      <c r="FM140" s="9" t="n">
        <v>0</v>
      </c>
      <c r="FN140" s="9" t="n">
        <v>0</v>
      </c>
      <c r="FR140" s="10" t="n">
        <v>46141</v>
      </c>
      <c r="FT140" s="9" t="n">
        <v>0</v>
      </c>
      <c r="FV140" s="9" t="n">
        <v>0</v>
      </c>
      <c r="FW140" s="9" t="n">
        <v>2120</v>
      </c>
      <c r="GA140" s="10" t="n">
        <v>46141</v>
      </c>
      <c r="GC140" s="9" t="n">
        <v>0</v>
      </c>
      <c r="GE140" s="9" t="n">
        <v>0</v>
      </c>
      <c r="GF140" s="9" t="n">
        <v>4840</v>
      </c>
      <c r="GJ140" s="10" t="n">
        <v>46141</v>
      </c>
      <c r="GL140" s="9" t="n">
        <v>0</v>
      </c>
      <c r="GN140" s="9" t="n">
        <v>0</v>
      </c>
      <c r="GO140" s="9" t="n">
        <v>3280</v>
      </c>
      <c r="GS140" s="10" t="n">
        <v>46141</v>
      </c>
      <c r="GU140" s="9" t="n">
        <v>0</v>
      </c>
      <c r="GW140" s="9" t="n">
        <v>0</v>
      </c>
      <c r="GX140" s="9" t="n">
        <v>0</v>
      </c>
      <c r="HB140" s="10" t="n">
        <v>46141</v>
      </c>
      <c r="HD140" s="9" t="n">
        <v>0</v>
      </c>
      <c r="HF140" s="9" t="n">
        <v>0</v>
      </c>
      <c r="HG140" s="9" t="n">
        <v>0</v>
      </c>
      <c r="HK140" s="10" t="n">
        <v>46141</v>
      </c>
      <c r="HM140" s="9" t="n">
        <v>0</v>
      </c>
      <c r="HO140" s="9" t="n">
        <v>0</v>
      </c>
      <c r="HP140" s="9" t="n">
        <v>0</v>
      </c>
      <c r="HU140" s="10" t="n">
        <v>46141</v>
      </c>
      <c r="HW140" s="9" t="n">
        <v>0</v>
      </c>
      <c r="HY140" s="9" t="n">
        <v>0</v>
      </c>
      <c r="HZ140" s="9" t="n">
        <v>4760</v>
      </c>
      <c r="ID140" s="10" t="n">
        <v>46141</v>
      </c>
      <c r="IF140" s="9" t="n">
        <v>0</v>
      </c>
      <c r="IH140" s="9" t="n">
        <v>0</v>
      </c>
      <c r="II140" s="9" t="n">
        <v>6540</v>
      </c>
      <c r="IM140" s="10" t="n">
        <v>46141</v>
      </c>
      <c r="IO140" s="9" t="n">
        <v>0</v>
      </c>
      <c r="IQ140" s="9" t="n">
        <v>0</v>
      </c>
      <c r="IR140" s="9" t="n">
        <v>11540</v>
      </c>
      <c r="IV140" s="10" t="n">
        <v>46141</v>
      </c>
      <c r="IX140" s="9" t="n">
        <v>0</v>
      </c>
      <c r="IZ140" s="9" t="n">
        <v>0</v>
      </c>
      <c r="JA140" s="9" t="n">
        <v>15120</v>
      </c>
      <c r="JE140" s="10" t="n">
        <v>46141</v>
      </c>
      <c r="JG140" s="9" t="n">
        <v>0</v>
      </c>
      <c r="JI140" s="9" t="n">
        <v>0</v>
      </c>
      <c r="JJ140" s="9" t="n">
        <v>4360</v>
      </c>
      <c r="JN140" s="10" t="n">
        <v>46141</v>
      </c>
      <c r="JP140" s="9" t="n">
        <v>0</v>
      </c>
      <c r="JR140" s="9" t="n">
        <v>0</v>
      </c>
      <c r="JS140" s="9" t="n">
        <v>9100</v>
      </c>
      <c r="JW140" s="10" t="n">
        <v>46141</v>
      </c>
      <c r="JY140" s="9" t="n">
        <v>0</v>
      </c>
      <c r="KA140" s="9" t="n">
        <v>0</v>
      </c>
      <c r="KB140" s="9" t="n">
        <v>2540</v>
      </c>
      <c r="KF140" s="10" t="n">
        <v>46141</v>
      </c>
      <c r="KH140" s="9" t="n">
        <v>0</v>
      </c>
      <c r="KJ140" s="9" t="n">
        <v>0</v>
      </c>
      <c r="KK140" s="9" t="n">
        <v>19.5</v>
      </c>
      <c r="KO140" s="10" t="n">
        <v>46141</v>
      </c>
      <c r="KQ140" s="9" t="n">
        <v>0</v>
      </c>
      <c r="KS140" s="9" t="n">
        <v>0</v>
      </c>
      <c r="KT140" s="9" t="n">
        <v>3024</v>
      </c>
      <c r="KX140" s="10" t="n">
        <v>46141</v>
      </c>
      <c r="KZ140" s="9" t="n">
        <v>0</v>
      </c>
      <c r="LB140" s="9" t="n">
        <v>0</v>
      </c>
      <c r="LC140" s="9" t="n">
        <v>6150</v>
      </c>
      <c r="LG140" s="10" t="n">
        <v>46141</v>
      </c>
      <c r="LI140" s="9" t="n">
        <v>0</v>
      </c>
      <c r="LK140" s="9" t="n">
        <v>0</v>
      </c>
      <c r="LL140" s="9" t="n">
        <v>4000</v>
      </c>
      <c r="LP140" s="10" t="n">
        <v>46141</v>
      </c>
      <c r="LR140" s="9" t="n">
        <v>0</v>
      </c>
      <c r="LT140" s="9" t="n">
        <v>0</v>
      </c>
      <c r="LU140" s="9" t="n">
        <v>0</v>
      </c>
      <c r="LY140" s="10" t="n">
        <v>46141</v>
      </c>
      <c r="MA140" s="9" t="n">
        <v>0</v>
      </c>
      <c r="MC140" s="9" t="n">
        <v>0</v>
      </c>
      <c r="MD140" s="9" t="n">
        <v>0</v>
      </c>
      <c r="MH140" s="10" t="n">
        <v>46141</v>
      </c>
      <c r="MJ140" s="9" t="n">
        <v>0</v>
      </c>
      <c r="ML140" s="9" t="n">
        <v>0</v>
      </c>
      <c r="MM140" s="9" t="n">
        <v>0</v>
      </c>
      <c r="MQ140" s="10" t="n">
        <v>46141</v>
      </c>
      <c r="MS140" s="9" t="n">
        <v>0</v>
      </c>
      <c r="MU140" s="9" t="n">
        <v>0</v>
      </c>
      <c r="MV140" s="9" t="n">
        <v>3973</v>
      </c>
      <c r="MZ140" s="10" t="n">
        <v>46141</v>
      </c>
      <c r="NB140" s="9" t="n">
        <v>0</v>
      </c>
      <c r="ND140" s="9" t="n">
        <v>0</v>
      </c>
      <c r="NE140" s="9" t="n">
        <v>0</v>
      </c>
      <c r="NI140" s="10" t="n">
        <v>46141</v>
      </c>
      <c r="NK140" s="9" t="n">
        <v>0</v>
      </c>
      <c r="NM140" s="9" t="n">
        <v>0</v>
      </c>
      <c r="NN140" s="9" t="n">
        <v>1187</v>
      </c>
      <c r="NR140" s="10" t="n">
        <v>46141</v>
      </c>
      <c r="NT140" s="9" t="n">
        <v>0</v>
      </c>
      <c r="NV140" s="9" t="n">
        <v>0</v>
      </c>
      <c r="NW140" s="9" t="n">
        <v>3182.9</v>
      </c>
      <c r="OA140" s="10" t="n">
        <v>46141</v>
      </c>
      <c r="OC140" s="9" t="n">
        <v>0</v>
      </c>
      <c r="OE140" s="9" t="n">
        <v>0</v>
      </c>
      <c r="OF140" s="9" t="n">
        <v>1680.5</v>
      </c>
      <c r="OJ140" s="10" t="n">
        <v>46141</v>
      </c>
      <c r="OL140" s="9" t="n">
        <v>0</v>
      </c>
      <c r="ON140" s="9" t="n">
        <v>0</v>
      </c>
      <c r="OO140" s="9" t="n">
        <v>0</v>
      </c>
      <c r="OS140" s="10" t="n">
        <v>46141</v>
      </c>
      <c r="OU140" s="9" t="n">
        <v>0</v>
      </c>
      <c r="OW140" s="9" t="n">
        <v>0</v>
      </c>
      <c r="OX140" s="9" t="n">
        <v>982</v>
      </c>
      <c r="PB140" s="10" t="n">
        <v>46141</v>
      </c>
      <c r="PD140" s="9" t="n">
        <v>0</v>
      </c>
      <c r="PF140" s="9" t="n">
        <v>0</v>
      </c>
      <c r="PG140" s="9" t="n">
        <v>0</v>
      </c>
      <c r="PK140" s="10" t="n">
        <v>46141</v>
      </c>
      <c r="PM140" s="9" t="n">
        <v>0</v>
      </c>
      <c r="PO140" s="9" t="n">
        <v>0</v>
      </c>
      <c r="PP140" s="9" t="n">
        <v>100</v>
      </c>
      <c r="PT140" s="10" t="n">
        <v>46141</v>
      </c>
      <c r="PV140" s="9" t="n">
        <v>0</v>
      </c>
      <c r="PX140" s="9" t="n">
        <v>0</v>
      </c>
      <c r="PY140" s="9" t="n">
        <v>13.96000000000004</v>
      </c>
      <c r="QC140" s="10" t="n">
        <v>46141</v>
      </c>
      <c r="QE140" s="9" t="n">
        <v>0</v>
      </c>
      <c r="QG140" s="9" t="n">
        <v>0</v>
      </c>
      <c r="QH140" s="9" t="n">
        <v>1076</v>
      </c>
      <c r="QL140" s="10" t="n">
        <v>46141</v>
      </c>
      <c r="QN140" s="9" t="n">
        <v>0</v>
      </c>
      <c r="QP140" s="9" t="n">
        <v>0</v>
      </c>
      <c r="QQ140" s="9" t="n">
        <v>400</v>
      </c>
      <c r="QU140" s="10" t="n">
        <v>46141</v>
      </c>
      <c r="QW140" s="9" t="n">
        <v>0</v>
      </c>
      <c r="QY140" s="9" t="n">
        <v>0</v>
      </c>
      <c r="QZ140" s="9" t="n">
        <v>207.6</v>
      </c>
      <c r="RD140" s="10" t="n">
        <v>46141</v>
      </c>
      <c r="RF140" s="9" t="n">
        <v>0</v>
      </c>
      <c r="RH140" s="9" t="n">
        <v>0</v>
      </c>
      <c r="RI140" s="9" t="n">
        <v>147.04</v>
      </c>
      <c r="RM140" s="10" t="n">
        <v>46141</v>
      </c>
      <c r="RO140" s="9" t="n">
        <v>0</v>
      </c>
      <c r="RQ140" s="9" t="n">
        <v>0</v>
      </c>
      <c r="RR140" s="9" t="n">
        <v>46.8</v>
      </c>
      <c r="RV140" s="10" t="n">
        <v>46141</v>
      </c>
      <c r="RX140" s="9" t="n">
        <v>0</v>
      </c>
      <c r="RZ140" s="9" t="n">
        <v>0</v>
      </c>
      <c r="SA140" s="9" t="n">
        <v>0</v>
      </c>
      <c r="SE140" s="10" t="n">
        <v>46141</v>
      </c>
      <c r="SG140" s="9" t="n">
        <v>0</v>
      </c>
      <c r="SI140" s="9" t="n">
        <v>0</v>
      </c>
      <c r="SJ140" s="9" t="n">
        <v>24.2</v>
      </c>
      <c r="SN140" s="10" t="n">
        <v>46141</v>
      </c>
      <c r="SP140" s="9" t="n">
        <v>0</v>
      </c>
      <c r="SR140" s="9" t="n">
        <v>0</v>
      </c>
      <c r="SS140" s="9" t="n">
        <v>32</v>
      </c>
      <c r="SW140" s="10" t="n">
        <v>46141</v>
      </c>
      <c r="SY140" s="9" t="n">
        <v>0</v>
      </c>
      <c r="TA140" s="9" t="n">
        <v>0</v>
      </c>
      <c r="TB140" s="9" t="n">
        <v>0</v>
      </c>
      <c r="TF140" s="10" t="n">
        <v>46141</v>
      </c>
      <c r="TH140" s="9" t="n">
        <v>0</v>
      </c>
      <c r="TJ140" s="9" t="n">
        <v>0</v>
      </c>
      <c r="TK140" s="9" t="n">
        <v>0</v>
      </c>
      <c r="TO140" s="10" t="n">
        <v>46141</v>
      </c>
      <c r="TQ140" s="9" t="n">
        <v>0</v>
      </c>
      <c r="TS140" s="9" t="n">
        <v>0</v>
      </c>
      <c r="TT140" s="9" t="n">
        <v>0</v>
      </c>
      <c r="TX140" s="10" t="n">
        <v>46141</v>
      </c>
      <c r="TZ140" s="9" t="n">
        <v>0</v>
      </c>
      <c r="UB140" s="9" t="n">
        <v>0</v>
      </c>
      <c r="UC140" s="9" t="n">
        <v>0</v>
      </c>
      <c r="UG140" s="10" t="n">
        <v>46141</v>
      </c>
      <c r="UI140" s="9" t="n">
        <v>0</v>
      </c>
      <c r="UK140" s="9" t="n">
        <v>0</v>
      </c>
      <c r="UL140" s="9" t="n">
        <v>0</v>
      </c>
      <c r="UP140" s="10" t="n">
        <v>46141</v>
      </c>
      <c r="UR140" s="9" t="n">
        <v>0</v>
      </c>
      <c r="UT140" s="9" t="n">
        <v>0</v>
      </c>
      <c r="UU140" s="9" t="n">
        <v>0</v>
      </c>
      <c r="UY140" s="10" t="n">
        <v>46141</v>
      </c>
      <c r="VA140" s="9" t="n">
        <v>0</v>
      </c>
      <c r="VC140" s="9" t="n">
        <v>0</v>
      </c>
      <c r="VD140" s="9" t="n">
        <v>41.60000000000002</v>
      </c>
      <c r="VH140" s="10" t="n">
        <v>46141</v>
      </c>
      <c r="VJ140" s="9" t="n">
        <v>0</v>
      </c>
      <c r="VL140" s="9" t="n">
        <v>0</v>
      </c>
      <c r="VM140" s="9" t="n">
        <v>0</v>
      </c>
      <c r="VQ140" s="10" t="n">
        <v>46141</v>
      </c>
      <c r="VS140" s="9" t="n">
        <v>0</v>
      </c>
      <c r="VU140" s="9" t="n">
        <v>0</v>
      </c>
      <c r="VV140" s="9" t="n">
        <v>0</v>
      </c>
      <c r="VZ140" s="10" t="n">
        <v>46141</v>
      </c>
      <c r="WB140" s="9" t="n">
        <v>0</v>
      </c>
      <c r="WD140" s="9" t="n">
        <v>0</v>
      </c>
      <c r="WE140" s="9" t="n">
        <v>0</v>
      </c>
      <c r="WI140" s="10" t="n">
        <v>46141</v>
      </c>
      <c r="WK140" s="9" t="n">
        <v>0</v>
      </c>
      <c r="WM140" s="9" t="n">
        <v>0</v>
      </c>
      <c r="WN140" s="9" t="n">
        <v>2317</v>
      </c>
      <c r="WR140" s="10" t="n">
        <v>46141</v>
      </c>
      <c r="WT140" s="9" t="n">
        <v>0</v>
      </c>
      <c r="WV140" s="9" t="n">
        <v>0</v>
      </c>
      <c r="WW140" s="9" t="n">
        <v>776</v>
      </c>
      <c r="XA140" s="10" t="n">
        <v>46141</v>
      </c>
      <c r="XC140" s="9" t="n">
        <v>0</v>
      </c>
      <c r="XE140" s="9" t="n">
        <v>0</v>
      </c>
      <c r="XF140" s="9" t="n">
        <v>13455</v>
      </c>
      <c r="XJ140" s="10" t="n">
        <v>46141</v>
      </c>
      <c r="XL140" s="9" t="n">
        <v>0</v>
      </c>
      <c r="XN140" s="9" t="n">
        <v>0</v>
      </c>
      <c r="XO140" s="9" t="n">
        <v>1872</v>
      </c>
      <c r="XS140" s="10" t="n">
        <v>46141</v>
      </c>
      <c r="XU140" s="9" t="n">
        <v>0</v>
      </c>
      <c r="XW140" s="9" t="n">
        <v>0</v>
      </c>
      <c r="XX140" s="9" t="n">
        <v>1901</v>
      </c>
      <c r="YB140" s="10" t="n">
        <v>46141</v>
      </c>
      <c r="YD140" s="9" t="n">
        <v>0</v>
      </c>
      <c r="YF140" s="9" t="n">
        <v>0</v>
      </c>
      <c r="YG140" s="9" t="n">
        <v>6459</v>
      </c>
      <c r="YK140" s="10" t="n">
        <v>46141</v>
      </c>
      <c r="YM140" s="9" t="n">
        <v>0</v>
      </c>
      <c r="YO140" s="9" t="n">
        <v>0</v>
      </c>
      <c r="YP140" s="9" t="n">
        <v>0</v>
      </c>
      <c r="YT140" s="10" t="n">
        <v>46141</v>
      </c>
      <c r="YV140" s="9" t="n">
        <v>0</v>
      </c>
      <c r="YX140" s="9" t="n">
        <v>0</v>
      </c>
      <c r="YY140" s="9" t="n">
        <v>0</v>
      </c>
      <c r="ZC140" s="10" t="n">
        <v>46141</v>
      </c>
      <c r="ZE140" s="9" t="n">
        <v>0</v>
      </c>
      <c r="ZG140" s="9" t="n">
        <v>0</v>
      </c>
      <c r="ZH140" s="9" t="n">
        <v>0</v>
      </c>
      <c r="ZL140" s="10" t="n">
        <v>46141</v>
      </c>
      <c r="ZN140" s="9" t="n">
        <v>0</v>
      </c>
      <c r="ZP140" s="9" t="n">
        <v>0</v>
      </c>
      <c r="ZQ140" s="9" t="n">
        <v>0</v>
      </c>
      <c r="ZU140" s="10" t="n">
        <v>46141</v>
      </c>
      <c r="ZW140" s="9" t="n">
        <v>0</v>
      </c>
      <c r="ZY140" s="9" t="n">
        <v>0</v>
      </c>
      <c r="ZZ140" s="9" t="n">
        <v>0</v>
      </c>
      <c r="AAD140" s="10" t="n">
        <v>46141</v>
      </c>
      <c r="AAF140" s="9" t="n">
        <v>0</v>
      </c>
      <c r="AAH140" s="9" t="n">
        <v>0</v>
      </c>
      <c r="AAI140" s="9" t="n">
        <v>0</v>
      </c>
      <c r="AAM140" s="10" t="n">
        <v>46141</v>
      </c>
      <c r="AAO140" s="9" t="n">
        <v>0</v>
      </c>
      <c r="AAQ140" s="9" t="n">
        <v>0</v>
      </c>
      <c r="AAR140" s="9" t="n">
        <v>0</v>
      </c>
      <c r="AAV140" s="10" t="n">
        <v>46141</v>
      </c>
      <c r="AAX140" s="9" t="n">
        <v>0</v>
      </c>
      <c r="AAZ140" s="9" t="n">
        <v>0</v>
      </c>
      <c r="ABA140" s="9" t="n">
        <v>0</v>
      </c>
      <c r="ABE140" s="10" t="n">
        <v>46141</v>
      </c>
      <c r="ABG140" s="9" t="n">
        <v>0</v>
      </c>
      <c r="ABI140" s="9" t="n">
        <v>0</v>
      </c>
      <c r="ABJ140" s="9" t="n">
        <v>0</v>
      </c>
    </row>
    <row r="141">
      <c r="B141" s="9" t="n">
        <v>20</v>
      </c>
      <c r="C141" s="10" t="n">
        <v>46142</v>
      </c>
      <c r="D141" s="9" t="n">
        <v>27290</v>
      </c>
      <c r="E141" s="9" t="n">
        <v>10766.4</v>
      </c>
      <c r="F141" s="9" t="n">
        <v>10772.4</v>
      </c>
      <c r="G141" s="9" t="n">
        <v>-5.999999999996362</v>
      </c>
      <c r="H141" s="9" t="n">
        <v>168368.4000000001</v>
      </c>
      <c r="I141" s="9" t="inlineStr">
        <is>
          <t>8100 20mt</t>
        </is>
      </c>
      <c r="L141" s="10" t="n">
        <v>46142</v>
      </c>
      <c r="M141" s="9" t="n">
        <v>670</v>
      </c>
      <c r="N141" s="9" t="n">
        <v>5712</v>
      </c>
      <c r="O141" s="9" t="n">
        <v>5713.8</v>
      </c>
      <c r="P141" s="9" t="n">
        <v>-1.800000000000182</v>
      </c>
      <c r="Q141" s="9" t="n">
        <v>63275.80000000009</v>
      </c>
      <c r="U141" s="10" t="n">
        <v>46142</v>
      </c>
      <c r="W141" s="9" t="n">
        <v>1000</v>
      </c>
      <c r="X141" s="9" t="n">
        <v>700.4</v>
      </c>
      <c r="Y141" s="9" t="n">
        <v>299.6</v>
      </c>
      <c r="Z141" s="9" t="n">
        <v>31017.19999999997</v>
      </c>
      <c r="AD141" s="10" t="n">
        <v>46142</v>
      </c>
      <c r="AF141" s="9" t="n">
        <v>0</v>
      </c>
      <c r="AH141" s="9" t="n">
        <v>0</v>
      </c>
      <c r="AI141" s="9" t="n">
        <v>13032.50000000002</v>
      </c>
      <c r="AM141" s="10" t="n">
        <v>46142</v>
      </c>
      <c r="AO141" s="9" t="n">
        <v>0</v>
      </c>
      <c r="AQ141" s="9" t="n">
        <v>0</v>
      </c>
      <c r="AR141" s="9" t="n">
        <v>0</v>
      </c>
      <c r="AV141" s="10" t="n">
        <v>46142</v>
      </c>
      <c r="AX141" s="9" t="n">
        <v>400</v>
      </c>
      <c r="AY141" s="9" t="n">
        <v>399.1</v>
      </c>
      <c r="AZ141" s="9" t="n">
        <v>0.8999999999999773</v>
      </c>
      <c r="BA141" s="9" t="n">
        <v>37387.2</v>
      </c>
      <c r="BE141" s="10" t="n">
        <v>46142</v>
      </c>
      <c r="BG141" s="9" t="n">
        <v>300</v>
      </c>
      <c r="BH141" s="9" t="n">
        <v>300.4</v>
      </c>
      <c r="BI141" s="9" t="n">
        <v>-0.3999999999999773</v>
      </c>
      <c r="BJ141" s="9" t="n">
        <v>29537.19999999999</v>
      </c>
      <c r="BN141" s="10" t="n">
        <v>46142</v>
      </c>
      <c r="BO141" s="9" t="n">
        <v>199.9</v>
      </c>
      <c r="BP141" s="9" t="n">
        <v>200</v>
      </c>
      <c r="BQ141" s="9" t="n">
        <v>199.9</v>
      </c>
      <c r="BR141" s="9" t="n">
        <v>0.09999999999999432</v>
      </c>
      <c r="BS141" s="9" t="n">
        <v>0</v>
      </c>
      <c r="BW141" s="10" t="n">
        <v>46142</v>
      </c>
      <c r="BY141" s="9" t="n">
        <v>30</v>
      </c>
      <c r="BZ141" s="9" t="n">
        <v>305</v>
      </c>
      <c r="CA141" s="9" t="n">
        <v>-275</v>
      </c>
      <c r="CB141" s="9" t="n">
        <v>5848.799999999999</v>
      </c>
      <c r="CF141" s="10" t="n">
        <v>46142</v>
      </c>
      <c r="CG141" s="9" t="n">
        <v>1645.6</v>
      </c>
      <c r="CH141" s="9" t="n">
        <v>121.6</v>
      </c>
      <c r="CI141" s="9" t="n">
        <v>1645.6</v>
      </c>
      <c r="CJ141" s="9" t="n">
        <v>-1524</v>
      </c>
      <c r="CK141" s="9" t="n">
        <v>0</v>
      </c>
      <c r="CO141" s="10" t="n">
        <v>46142</v>
      </c>
      <c r="CQ141" s="9" t="n">
        <v>0</v>
      </c>
      <c r="CS141" s="9" t="n">
        <v>0</v>
      </c>
      <c r="CT141" s="9" t="n">
        <v>0</v>
      </c>
      <c r="CX141" s="10" t="n">
        <v>46142</v>
      </c>
      <c r="CZ141" s="9" t="n">
        <v>0</v>
      </c>
      <c r="DB141" s="9" t="n">
        <v>0</v>
      </c>
      <c r="DC141" s="9" t="n">
        <v>24158.3</v>
      </c>
      <c r="DG141" s="10" t="n">
        <v>46142</v>
      </c>
      <c r="DI141" s="9" t="n">
        <v>1000</v>
      </c>
      <c r="DJ141" s="9" t="n">
        <v>1000.4</v>
      </c>
      <c r="DK141" s="9" t="n">
        <v>-0.3999999999999773</v>
      </c>
      <c r="DL141" s="9" t="n">
        <v>42939.59999999998</v>
      </c>
      <c r="DP141" s="10" t="n">
        <v>46142</v>
      </c>
      <c r="DR141" s="9" t="n">
        <v>0</v>
      </c>
      <c r="DT141" s="9" t="n">
        <v>0</v>
      </c>
      <c r="DU141" s="9" t="n">
        <v>5800</v>
      </c>
      <c r="DY141" s="10" t="n">
        <v>46142</v>
      </c>
      <c r="EA141" s="9" t="n">
        <v>0</v>
      </c>
      <c r="EC141" s="9" t="n">
        <v>0</v>
      </c>
      <c r="ED141" s="9" t="n">
        <v>0</v>
      </c>
      <c r="EH141" s="10" t="n">
        <v>46142</v>
      </c>
      <c r="EJ141" s="9" t="n">
        <v>0</v>
      </c>
      <c r="EL141" s="9" t="n">
        <v>0</v>
      </c>
      <c r="EM141" s="9" t="n">
        <v>0</v>
      </c>
      <c r="EQ141" s="10" t="n">
        <v>46142</v>
      </c>
      <c r="ES141" s="9" t="n">
        <v>0</v>
      </c>
      <c r="EU141" s="9" t="n">
        <v>0</v>
      </c>
      <c r="EV141" s="9" t="n">
        <v>0</v>
      </c>
      <c r="EZ141" s="10" t="n">
        <v>46142</v>
      </c>
      <c r="FB141" s="9" t="n">
        <v>0</v>
      </c>
      <c r="FD141" s="9" t="n">
        <v>0</v>
      </c>
      <c r="FE141" s="9" t="n">
        <v>0</v>
      </c>
      <c r="FI141" s="10" t="n">
        <v>46142</v>
      </c>
      <c r="FK141" s="9" t="n">
        <v>0</v>
      </c>
      <c r="FM141" s="9" t="n">
        <v>0</v>
      </c>
      <c r="FN141" s="9" t="n">
        <v>0</v>
      </c>
      <c r="FR141" s="10" t="n">
        <v>46142</v>
      </c>
      <c r="FT141" s="9" t="n">
        <v>0</v>
      </c>
      <c r="FV141" s="9" t="n">
        <v>0</v>
      </c>
      <c r="FW141" s="9" t="n">
        <v>2120</v>
      </c>
      <c r="GA141" s="10" t="n">
        <v>46142</v>
      </c>
      <c r="GC141" s="9" t="n">
        <v>0</v>
      </c>
      <c r="GD141" s="9" t="n">
        <v>1200</v>
      </c>
      <c r="GE141" s="9" t="n">
        <v>-1200</v>
      </c>
      <c r="GF141" s="9" t="n">
        <v>3640</v>
      </c>
      <c r="GG141" s="9" t="n">
        <v>60</v>
      </c>
      <c r="GJ141" s="10" t="n">
        <v>46142</v>
      </c>
      <c r="GL141" s="9" t="n">
        <v>0</v>
      </c>
      <c r="GM141" s="9" t="n">
        <v>1200</v>
      </c>
      <c r="GN141" s="9" t="n">
        <v>-1200</v>
      </c>
      <c r="GO141" s="9" t="n">
        <v>2080</v>
      </c>
      <c r="GP141" s="9" t="n">
        <v>60</v>
      </c>
      <c r="GS141" s="10" t="n">
        <v>46142</v>
      </c>
      <c r="GU141" s="9" t="n">
        <v>0</v>
      </c>
      <c r="GW141" s="9" t="n">
        <v>0</v>
      </c>
      <c r="GX141" s="9" t="n">
        <v>0</v>
      </c>
      <c r="HB141" s="10" t="n">
        <v>46142</v>
      </c>
      <c r="HD141" s="9" t="n">
        <v>0</v>
      </c>
      <c r="HF141" s="9" t="n">
        <v>0</v>
      </c>
      <c r="HG141" s="9" t="n">
        <v>0</v>
      </c>
      <c r="HK141" s="10" t="n">
        <v>46142</v>
      </c>
      <c r="HM141" s="9" t="n">
        <v>0</v>
      </c>
      <c r="HO141" s="9" t="n">
        <v>0</v>
      </c>
      <c r="HP141" s="9" t="n">
        <v>0</v>
      </c>
      <c r="HU141" s="10" t="n">
        <v>46142</v>
      </c>
      <c r="HV141" s="9" t="n">
        <v>2000</v>
      </c>
      <c r="HW141" s="9" t="n">
        <v>400</v>
      </c>
      <c r="HX141" s="9" t="n">
        <v>400</v>
      </c>
      <c r="HY141" s="9" t="n">
        <v>0</v>
      </c>
      <c r="HZ141" s="9" t="n">
        <v>6360</v>
      </c>
      <c r="IA141" s="9" t="n">
        <v>20</v>
      </c>
      <c r="ID141" s="10" t="n">
        <v>46142</v>
      </c>
      <c r="IF141" s="9" t="n">
        <v>0</v>
      </c>
      <c r="IH141" s="9" t="n">
        <v>0</v>
      </c>
      <c r="II141" s="9" t="n">
        <v>6540</v>
      </c>
      <c r="IM141" s="10" t="n">
        <v>46142</v>
      </c>
      <c r="IO141" s="9" t="n">
        <v>0</v>
      </c>
      <c r="IQ141" s="9" t="n">
        <v>0</v>
      </c>
      <c r="IR141" s="9" t="n">
        <v>11540</v>
      </c>
      <c r="IV141" s="10" t="n">
        <v>46142</v>
      </c>
      <c r="IX141" s="9" t="n">
        <v>0</v>
      </c>
      <c r="IZ141" s="9" t="n">
        <v>0</v>
      </c>
      <c r="JA141" s="9" t="n">
        <v>15120</v>
      </c>
      <c r="JE141" s="10" t="n">
        <v>46142</v>
      </c>
      <c r="JG141" s="9" t="n">
        <v>0</v>
      </c>
      <c r="JH141" s="9" t="n">
        <v>2400</v>
      </c>
      <c r="JI141" s="9" t="n">
        <v>-2400</v>
      </c>
      <c r="JJ141" s="9" t="n">
        <v>1960</v>
      </c>
      <c r="JK141" s="9" t="n">
        <v>120</v>
      </c>
      <c r="JN141" s="10" t="n">
        <v>46142</v>
      </c>
      <c r="JP141" s="9" t="n">
        <v>0</v>
      </c>
      <c r="JR141" s="9" t="n">
        <v>0</v>
      </c>
      <c r="JS141" s="9" t="n">
        <v>9100</v>
      </c>
      <c r="JW141" s="10" t="n">
        <v>46142</v>
      </c>
      <c r="JY141" s="9" t="n">
        <v>0</v>
      </c>
      <c r="KA141" s="9" t="n">
        <v>0</v>
      </c>
      <c r="KB141" s="9" t="n">
        <v>2540</v>
      </c>
      <c r="KF141" s="10" t="n">
        <v>46142</v>
      </c>
      <c r="KH141" s="9" t="n">
        <v>0</v>
      </c>
      <c r="KJ141" s="9" t="n">
        <v>0</v>
      </c>
      <c r="KK141" s="9" t="n">
        <v>19.5</v>
      </c>
      <c r="KO141" s="10" t="n">
        <v>46142</v>
      </c>
      <c r="KQ141" s="9" t="n">
        <v>0</v>
      </c>
      <c r="KR141" s="9" t="n">
        <v>944.9999999999999</v>
      </c>
      <c r="KS141" s="9" t="n">
        <v>-944.9999999999999</v>
      </c>
      <c r="KT141" s="9" t="n">
        <v>2079</v>
      </c>
      <c r="KU141" s="9" t="n">
        <v>50</v>
      </c>
      <c r="KX141" s="10" t="n">
        <v>46142</v>
      </c>
      <c r="KZ141" s="9" t="n">
        <v>0</v>
      </c>
      <c r="LB141" s="9" t="n">
        <v>0</v>
      </c>
      <c r="LC141" s="9" t="n">
        <v>6150</v>
      </c>
      <c r="LG141" s="10" t="n">
        <v>46142</v>
      </c>
      <c r="LI141" s="9" t="n">
        <v>0</v>
      </c>
      <c r="LK141" s="9" t="n">
        <v>0</v>
      </c>
      <c r="LL141" s="9" t="n">
        <v>4000</v>
      </c>
      <c r="LP141" s="10" t="n">
        <v>46142</v>
      </c>
      <c r="LR141" s="9" t="n">
        <v>0</v>
      </c>
      <c r="LT141" s="9" t="n">
        <v>0</v>
      </c>
      <c r="LU141" s="9" t="n">
        <v>0</v>
      </c>
      <c r="LY141" s="10" t="n">
        <v>46142</v>
      </c>
      <c r="MA141" s="9" t="n">
        <v>0</v>
      </c>
      <c r="MC141" s="9" t="n">
        <v>0</v>
      </c>
      <c r="MD141" s="9" t="n">
        <v>0</v>
      </c>
      <c r="MH141" s="10" t="n">
        <v>46142</v>
      </c>
      <c r="MJ141" s="9" t="n">
        <v>0</v>
      </c>
      <c r="ML141" s="9" t="n">
        <v>0</v>
      </c>
      <c r="MM141" s="9" t="n">
        <v>0</v>
      </c>
      <c r="MQ141" s="10" t="n">
        <v>46142</v>
      </c>
      <c r="MS141" s="9" t="n">
        <v>10</v>
      </c>
      <c r="MT141" s="9" t="n">
        <v>70</v>
      </c>
      <c r="MU141" s="9" t="n">
        <v>-60</v>
      </c>
      <c r="MV141" s="9" t="n">
        <v>3903</v>
      </c>
      <c r="MZ141" s="10" t="n">
        <v>46142</v>
      </c>
      <c r="NA141" s="9" t="n">
        <v>570</v>
      </c>
      <c r="NB141" s="9" t="n">
        <v>60</v>
      </c>
      <c r="NC141" s="9" t="n">
        <v>570</v>
      </c>
      <c r="ND141" s="9" t="n">
        <v>-510</v>
      </c>
      <c r="NE141" s="9" t="n">
        <v>0</v>
      </c>
      <c r="NI141" s="10" t="n">
        <v>46142</v>
      </c>
      <c r="NK141" s="9" t="n">
        <v>0</v>
      </c>
      <c r="NL141" s="9" t="n">
        <v>50</v>
      </c>
      <c r="NM141" s="9" t="n">
        <v>-50</v>
      </c>
      <c r="NN141" s="9" t="n">
        <v>1137</v>
      </c>
      <c r="NR141" s="10" t="n">
        <v>46142</v>
      </c>
      <c r="NT141" s="9" t="n">
        <v>0</v>
      </c>
      <c r="NU141" s="9" t="n">
        <v>60</v>
      </c>
      <c r="NV141" s="9" t="n">
        <v>-60</v>
      </c>
      <c r="NW141" s="9" t="n">
        <v>3122.9</v>
      </c>
      <c r="OA141" s="10" t="n">
        <v>46142</v>
      </c>
      <c r="OC141" s="9" t="n">
        <v>0</v>
      </c>
      <c r="OE141" s="9" t="n">
        <v>0</v>
      </c>
      <c r="OF141" s="9" t="n">
        <v>1680.5</v>
      </c>
      <c r="OJ141" s="10" t="n">
        <v>46142</v>
      </c>
      <c r="OK141" s="9" t="n">
        <v>140</v>
      </c>
      <c r="OL141" s="9" t="n">
        <v>0</v>
      </c>
      <c r="OM141" s="9" t="n">
        <v>140</v>
      </c>
      <c r="ON141" s="9" t="n">
        <v>-140</v>
      </c>
      <c r="OO141" s="9" t="n">
        <v>0</v>
      </c>
      <c r="OS141" s="10" t="n">
        <v>46142</v>
      </c>
      <c r="OU141" s="9" t="n">
        <v>0</v>
      </c>
      <c r="OW141" s="9" t="n">
        <v>0</v>
      </c>
      <c r="OX141" s="9" t="n">
        <v>982</v>
      </c>
      <c r="PB141" s="10" t="n">
        <v>46142</v>
      </c>
      <c r="PD141" s="9" t="n">
        <v>0</v>
      </c>
      <c r="PF141" s="9" t="n">
        <v>0</v>
      </c>
      <c r="PG141" s="9" t="n">
        <v>0</v>
      </c>
      <c r="PK141" s="10" t="n">
        <v>46142</v>
      </c>
      <c r="PM141" s="9" t="n">
        <v>0</v>
      </c>
      <c r="PO141" s="9" t="n">
        <v>0</v>
      </c>
      <c r="PP141" s="9" t="n">
        <v>100</v>
      </c>
      <c r="PT141" s="10" t="n">
        <v>46142</v>
      </c>
      <c r="PV141" s="9" t="n">
        <v>0</v>
      </c>
      <c r="PX141" s="9" t="n">
        <v>0</v>
      </c>
      <c r="PY141" s="9" t="n">
        <v>13.96000000000004</v>
      </c>
      <c r="QC141" s="10" t="n">
        <v>46142</v>
      </c>
      <c r="QE141" s="9" t="n">
        <v>0</v>
      </c>
      <c r="QF141" s="9" t="n">
        <v>480</v>
      </c>
      <c r="QG141" s="9" t="n">
        <v>-480</v>
      </c>
      <c r="QH141" s="9" t="n">
        <v>596</v>
      </c>
      <c r="QL141" s="10" t="n">
        <v>46142</v>
      </c>
      <c r="QN141" s="9" t="n">
        <v>0</v>
      </c>
      <c r="QP141" s="9" t="n">
        <v>0</v>
      </c>
      <c r="QQ141" s="9" t="n">
        <v>400</v>
      </c>
      <c r="QU141" s="10" t="n">
        <v>46142</v>
      </c>
      <c r="QW141" s="9" t="n">
        <v>0</v>
      </c>
      <c r="QY141" s="9" t="n">
        <v>0</v>
      </c>
      <c r="QZ141" s="9" t="n">
        <v>207.6</v>
      </c>
      <c r="RD141" s="10" t="n">
        <v>46142</v>
      </c>
      <c r="RF141" s="9" t="n">
        <v>0</v>
      </c>
      <c r="RH141" s="9" t="n">
        <v>0</v>
      </c>
      <c r="RI141" s="9" t="n">
        <v>147.04</v>
      </c>
      <c r="RM141" s="10" t="n">
        <v>46142</v>
      </c>
      <c r="RO141" s="9" t="n">
        <v>0</v>
      </c>
      <c r="RQ141" s="9" t="n">
        <v>0</v>
      </c>
      <c r="RR141" s="9" t="n">
        <v>46.8</v>
      </c>
      <c r="RV141" s="10" t="n">
        <v>46142</v>
      </c>
      <c r="RX141" s="9" t="n">
        <v>0</v>
      </c>
      <c r="RZ141" s="9" t="n">
        <v>0</v>
      </c>
      <c r="SA141" s="9" t="n">
        <v>0</v>
      </c>
      <c r="SE141" s="10" t="n">
        <v>46142</v>
      </c>
      <c r="SG141" s="9" t="n">
        <v>0</v>
      </c>
      <c r="SI141" s="9" t="n">
        <v>0</v>
      </c>
      <c r="SJ141" s="9" t="n">
        <v>24.2</v>
      </c>
      <c r="SN141" s="10" t="n">
        <v>46142</v>
      </c>
      <c r="SP141" s="9" t="n">
        <v>0</v>
      </c>
      <c r="SR141" s="9" t="n">
        <v>0</v>
      </c>
      <c r="SS141" s="9" t="n">
        <v>32</v>
      </c>
      <c r="SW141" s="10" t="n">
        <v>46142</v>
      </c>
      <c r="SY141" s="9" t="n">
        <v>0</v>
      </c>
      <c r="TA141" s="9" t="n">
        <v>0</v>
      </c>
      <c r="TB141" s="9" t="n">
        <v>0</v>
      </c>
      <c r="TF141" s="10" t="n">
        <v>46142</v>
      </c>
      <c r="TH141" s="9" t="n">
        <v>0</v>
      </c>
      <c r="TJ141" s="9" t="n">
        <v>0</v>
      </c>
      <c r="TK141" s="9" t="n">
        <v>0</v>
      </c>
      <c r="TO141" s="10" t="n">
        <v>46142</v>
      </c>
      <c r="TQ141" s="9" t="n">
        <v>0</v>
      </c>
      <c r="TS141" s="9" t="n">
        <v>0</v>
      </c>
      <c r="TT141" s="9" t="n">
        <v>0</v>
      </c>
      <c r="TX141" s="10" t="n">
        <v>46142</v>
      </c>
      <c r="TZ141" s="9" t="n">
        <v>0</v>
      </c>
      <c r="UB141" s="9" t="n">
        <v>0</v>
      </c>
      <c r="UC141" s="9" t="n">
        <v>0</v>
      </c>
      <c r="UG141" s="10" t="n">
        <v>46142</v>
      </c>
      <c r="UI141" s="9" t="n">
        <v>0</v>
      </c>
      <c r="UK141" s="9" t="n">
        <v>0</v>
      </c>
      <c r="UL141" s="9" t="n">
        <v>0</v>
      </c>
      <c r="UP141" s="10" t="n">
        <v>46142</v>
      </c>
      <c r="UR141" s="9" t="n">
        <v>0</v>
      </c>
      <c r="UT141" s="9" t="n">
        <v>0</v>
      </c>
      <c r="UU141" s="9" t="n">
        <v>0</v>
      </c>
      <c r="UY141" s="10" t="n">
        <v>46142</v>
      </c>
      <c r="VA141" s="9" t="n">
        <v>0</v>
      </c>
      <c r="VC141" s="9" t="n">
        <v>0</v>
      </c>
      <c r="VD141" s="9" t="n">
        <v>41.60000000000002</v>
      </c>
      <c r="VH141" s="10" t="n">
        <v>46142</v>
      </c>
      <c r="VJ141" s="9" t="n">
        <v>0</v>
      </c>
      <c r="VL141" s="9" t="n">
        <v>0</v>
      </c>
      <c r="VM141" s="9" t="n">
        <v>0</v>
      </c>
      <c r="VQ141" s="10" t="n">
        <v>46142</v>
      </c>
      <c r="VS141" s="9" t="n">
        <v>0</v>
      </c>
      <c r="VU141" s="9" t="n">
        <v>0</v>
      </c>
      <c r="VV141" s="9" t="n">
        <v>0</v>
      </c>
      <c r="VZ141" s="10" t="n">
        <v>46142</v>
      </c>
      <c r="WB141" s="9" t="n">
        <v>0</v>
      </c>
      <c r="WD141" s="9" t="n">
        <v>0</v>
      </c>
      <c r="WE141" s="9" t="n">
        <v>0</v>
      </c>
      <c r="WI141" s="10" t="n">
        <v>46142</v>
      </c>
      <c r="WK141" s="9" t="n">
        <v>0</v>
      </c>
      <c r="WM141" s="9" t="n">
        <v>0</v>
      </c>
      <c r="WN141" s="9" t="n">
        <v>2317</v>
      </c>
      <c r="WR141" s="10" t="n">
        <v>46142</v>
      </c>
      <c r="WT141" s="9" t="n">
        <v>0</v>
      </c>
      <c r="WV141" s="9" t="n">
        <v>0</v>
      </c>
      <c r="WW141" s="9" t="n">
        <v>776</v>
      </c>
      <c r="XA141" s="10" t="n">
        <v>46142</v>
      </c>
      <c r="XC141" s="9" t="n">
        <v>0</v>
      </c>
      <c r="XE141" s="9" t="n">
        <v>0</v>
      </c>
      <c r="XF141" s="9" t="n">
        <v>13455</v>
      </c>
      <c r="XJ141" s="10" t="n">
        <v>46142</v>
      </c>
      <c r="XL141" s="9" t="n">
        <v>0</v>
      </c>
      <c r="XM141" s="9" t="n">
        <v>391</v>
      </c>
      <c r="XN141" s="9" t="n">
        <v>-391</v>
      </c>
      <c r="XO141" s="9" t="n">
        <v>1481</v>
      </c>
      <c r="XS141" s="10" t="n">
        <v>46142</v>
      </c>
      <c r="XU141" s="9" t="n">
        <v>0</v>
      </c>
      <c r="XW141" s="9" t="n">
        <v>0</v>
      </c>
      <c r="XX141" s="9" t="n">
        <v>1901</v>
      </c>
      <c r="YB141" s="10" t="n">
        <v>46142</v>
      </c>
      <c r="YD141" s="9" t="n">
        <v>0</v>
      </c>
      <c r="YF141" s="9" t="n">
        <v>0</v>
      </c>
      <c r="YG141" s="9" t="n">
        <v>6459</v>
      </c>
      <c r="YK141" s="10" t="n">
        <v>46142</v>
      </c>
      <c r="YM141" s="9" t="n">
        <v>0</v>
      </c>
      <c r="YO141" s="9" t="n">
        <v>0</v>
      </c>
      <c r="YP141" s="9" t="n">
        <v>0</v>
      </c>
      <c r="YT141" s="10" t="n">
        <v>46142</v>
      </c>
      <c r="YV141" s="9" t="n">
        <v>0</v>
      </c>
      <c r="YX141" s="9" t="n">
        <v>0</v>
      </c>
      <c r="YY141" s="9" t="n">
        <v>0</v>
      </c>
      <c r="ZC141" s="10" t="n">
        <v>46142</v>
      </c>
      <c r="ZE141" s="9" t="n">
        <v>0</v>
      </c>
      <c r="ZG141" s="9" t="n">
        <v>0</v>
      </c>
      <c r="ZH141" s="9" t="n">
        <v>0</v>
      </c>
      <c r="ZL141" s="10" t="n">
        <v>46142</v>
      </c>
      <c r="ZN141" s="9" t="n">
        <v>0</v>
      </c>
      <c r="ZP141" s="9" t="n">
        <v>0</v>
      </c>
      <c r="ZQ141" s="9" t="n">
        <v>0</v>
      </c>
      <c r="ZU141" s="10" t="n">
        <v>46142</v>
      </c>
      <c r="ZW141" s="9" t="n">
        <v>0</v>
      </c>
      <c r="ZY141" s="9" t="n">
        <v>0</v>
      </c>
      <c r="ZZ141" s="9" t="n">
        <v>0</v>
      </c>
      <c r="AAD141" s="10" t="n">
        <v>46142</v>
      </c>
      <c r="AAF141" s="9" t="n">
        <v>0</v>
      </c>
      <c r="AAH141" s="9" t="n">
        <v>0</v>
      </c>
      <c r="AAI141" s="9" t="n">
        <v>0</v>
      </c>
      <c r="AAM141" s="10" t="n">
        <v>46142</v>
      </c>
      <c r="AAO141" s="9" t="n">
        <v>0</v>
      </c>
      <c r="AAQ141" s="9" t="n">
        <v>0</v>
      </c>
      <c r="AAR141" s="9" t="n">
        <v>0</v>
      </c>
      <c r="AAV141" s="10" t="n">
        <v>46142</v>
      </c>
      <c r="AAX141" s="9" t="n">
        <v>0</v>
      </c>
      <c r="AAZ141" s="9" t="n">
        <v>0</v>
      </c>
      <c r="ABA141" s="9" t="n">
        <v>0</v>
      </c>
      <c r="ABE141" s="10" t="n">
        <v>46142</v>
      </c>
      <c r="ABG141" s="9" t="n">
        <v>0</v>
      </c>
      <c r="ABI141" s="9" t="n">
        <v>0</v>
      </c>
      <c r="ABJ141" s="9" t="n">
        <v>0</v>
      </c>
    </row>
    <row r="142">
      <c r="B142" s="9" t="n">
        <v>1492</v>
      </c>
      <c r="C142" s="9" t="inlineStr">
        <is>
          <t>TOTAL</t>
        </is>
      </c>
      <c r="D142" s="9" t="n">
        <v>940890</v>
      </c>
      <c r="E142" s="9" t="n">
        <v>800374.2200000001</v>
      </c>
      <c r="F142" s="9" t="n">
        <v>800361.6000000001</v>
      </c>
      <c r="G142" s="9" t="n">
        <v>12.6199999999817</v>
      </c>
      <c r="H142" s="9" t="n">
        <v>168368.4000000001</v>
      </c>
      <c r="L142" s="9" t="inlineStr">
        <is>
          <t>TOTAL</t>
        </is>
      </c>
      <c r="M142" s="9" t="n">
        <v>397200</v>
      </c>
      <c r="N142" s="9" t="n">
        <v>333251.3199999999</v>
      </c>
      <c r="O142" s="9" t="n">
        <v>333254.2</v>
      </c>
      <c r="P142" s="9" t="n">
        <v>-2.880000000001473</v>
      </c>
      <c r="Q142" s="9" t="n">
        <v>63275.80000000009</v>
      </c>
      <c r="U142" s="9" t="inlineStr">
        <is>
          <t>TOTAL</t>
        </is>
      </c>
      <c r="V142" s="9" t="n">
        <v>105360</v>
      </c>
      <c r="W142" s="9" t="n">
        <v>94650.28</v>
      </c>
      <c r="X142" s="9" t="n">
        <v>94361.2</v>
      </c>
      <c r="Y142" s="9" t="n">
        <v>289.0799999999936</v>
      </c>
      <c r="Z142" s="9" t="n">
        <v>31017.19999999997</v>
      </c>
      <c r="AD142" s="9" t="inlineStr">
        <is>
          <t>TOTAL</t>
        </is>
      </c>
      <c r="AE142" s="9" t="n">
        <v>27580</v>
      </c>
      <c r="AF142" s="9" t="n">
        <v>40808</v>
      </c>
      <c r="AG142" s="9" t="n">
        <v>40840.2</v>
      </c>
      <c r="AH142" s="9" t="n">
        <v>-32.20000000000016</v>
      </c>
      <c r="AI142" s="9" t="n">
        <v>13032.50000000002</v>
      </c>
      <c r="AM142" s="9" t="inlineStr">
        <is>
          <t>TOTAL</t>
        </is>
      </c>
      <c r="AN142" s="9" t="n">
        <v>0</v>
      </c>
      <c r="AO142" s="9" t="n">
        <v>0</v>
      </c>
      <c r="AP142" s="9" t="n">
        <v>0</v>
      </c>
      <c r="AQ142" s="9" t="n">
        <v>0</v>
      </c>
      <c r="AR142" s="9" t="n">
        <v>0</v>
      </c>
      <c r="AV142" s="9" t="inlineStr">
        <is>
          <t>TOTAL</t>
        </is>
      </c>
      <c r="AW142" s="9" t="n">
        <v>29980</v>
      </c>
      <c r="AX142" s="9" t="n">
        <v>9978</v>
      </c>
      <c r="AY142" s="9" t="n">
        <v>9979.500000000002</v>
      </c>
      <c r="AZ142" s="9" t="n">
        <v>-1.500000000000057</v>
      </c>
      <c r="BA142" s="9" t="n">
        <v>37387.2</v>
      </c>
      <c r="BE142" s="9" t="inlineStr">
        <is>
          <t>TOTAL</t>
        </is>
      </c>
      <c r="BF142" s="9" t="n">
        <v>78817.39999999999</v>
      </c>
      <c r="BG142" s="9" t="n">
        <v>49268</v>
      </c>
      <c r="BH142" s="9" t="n">
        <v>49280.2</v>
      </c>
      <c r="BI142" s="9" t="n">
        <v>-12.20000000000118</v>
      </c>
      <c r="BJ142" s="9" t="n">
        <v>29537.19999999999</v>
      </c>
      <c r="BN142" s="9" t="inlineStr">
        <is>
          <t>TOTAL</t>
        </is>
      </c>
      <c r="BO142" s="9" t="n">
        <v>30613.6</v>
      </c>
      <c r="BP142" s="9" t="n">
        <v>31115.28</v>
      </c>
      <c r="BQ142" s="9" t="n">
        <v>30613.6</v>
      </c>
      <c r="BR142" s="9" t="n">
        <v>501.6799999999998</v>
      </c>
      <c r="BS142" s="9" t="n">
        <v>0</v>
      </c>
      <c r="BW142" s="9" t="inlineStr">
        <is>
          <t>TOTAL</t>
        </is>
      </c>
      <c r="BX142" s="9" t="n">
        <v>0</v>
      </c>
      <c r="BY142" s="9" t="n">
        <v>5731.5</v>
      </c>
      <c r="BZ142" s="9" t="n">
        <v>5964.1</v>
      </c>
      <c r="CA142" s="9" t="n">
        <v>-232.5999999999999</v>
      </c>
      <c r="CB142" s="9" t="n">
        <v>5848.799999999999</v>
      </c>
      <c r="CF142" s="9" t="inlineStr">
        <is>
          <t>TOTAL</t>
        </is>
      </c>
      <c r="CG142" s="9" t="n">
        <v>12106.88</v>
      </c>
      <c r="CH142" s="9" t="n">
        <v>10832.36</v>
      </c>
      <c r="CI142" s="9" t="n">
        <v>12106.88</v>
      </c>
      <c r="CJ142" s="9" t="n">
        <v>-1274.52</v>
      </c>
      <c r="CK142" s="9" t="n">
        <v>0</v>
      </c>
      <c r="CO142" s="9" t="inlineStr">
        <is>
          <t>TOTAL</t>
        </is>
      </c>
      <c r="CP142" s="9" t="n">
        <v>0</v>
      </c>
      <c r="CQ142" s="9" t="n">
        <v>0</v>
      </c>
      <c r="CR142" s="9" t="n">
        <v>0</v>
      </c>
      <c r="CS142" s="9" t="n">
        <v>0</v>
      </c>
      <c r="CT142" s="9" t="n">
        <v>0</v>
      </c>
      <c r="CX142" s="9" t="inlineStr">
        <is>
          <t>TOTAL</t>
        </is>
      </c>
      <c r="CY142" s="9" t="n">
        <v>35420</v>
      </c>
      <c r="CZ142" s="9" t="n">
        <v>43114.72</v>
      </c>
      <c r="DA142" s="9" t="n">
        <v>43131.39999999999</v>
      </c>
      <c r="DB142" s="9" t="n">
        <v>-16.67999999999995</v>
      </c>
      <c r="DC142" s="9" t="n">
        <v>24158.3</v>
      </c>
      <c r="DG142" s="9" t="inlineStr">
        <is>
          <t>TOTAL</t>
        </is>
      </c>
      <c r="DH142" s="9" t="n">
        <v>68870</v>
      </c>
      <c r="DI142" s="9" t="n">
        <v>32588</v>
      </c>
      <c r="DJ142" s="9" t="n">
        <v>32589.4</v>
      </c>
      <c r="DK142" s="9" t="n">
        <v>-1.400000000000048</v>
      </c>
      <c r="DL142" s="9" t="n">
        <v>42939.59999999998</v>
      </c>
      <c r="DP142" s="9" t="inlineStr">
        <is>
          <t>TOTAL</t>
        </is>
      </c>
      <c r="DQ142" s="9" t="n">
        <v>0</v>
      </c>
      <c r="DR142" s="9" t="n">
        <v>800</v>
      </c>
      <c r="DS142" s="9" t="n">
        <v>1350</v>
      </c>
      <c r="DT142" s="9" t="n">
        <v>-550</v>
      </c>
      <c r="DU142" s="9" t="n">
        <v>5800</v>
      </c>
      <c r="DY142" s="9" t="inlineStr">
        <is>
          <t>TOTAL</t>
        </is>
      </c>
      <c r="DZ142" s="9" t="n">
        <v>0</v>
      </c>
      <c r="EA142" s="9" t="n">
        <v>2200</v>
      </c>
      <c r="EB142" s="9" t="n">
        <v>1847.3</v>
      </c>
      <c r="EC142" s="9" t="n">
        <v>352.7</v>
      </c>
      <c r="ED142" s="9" t="n">
        <v>0</v>
      </c>
      <c r="EH142" s="9" t="inlineStr">
        <is>
          <t>TOTAL</t>
        </is>
      </c>
      <c r="EI142" s="9" t="n">
        <v>0</v>
      </c>
      <c r="EJ142" s="9" t="n">
        <v>0</v>
      </c>
      <c r="EK142" s="9" t="n">
        <v>0</v>
      </c>
      <c r="EL142" s="9" t="n">
        <v>0</v>
      </c>
      <c r="EM142" s="9" t="n">
        <v>0</v>
      </c>
      <c r="EQ142" s="9" t="inlineStr">
        <is>
          <t>TOTAL</t>
        </is>
      </c>
      <c r="ER142" s="9" t="n">
        <v>0</v>
      </c>
      <c r="ES142" s="9" t="n">
        <v>0</v>
      </c>
      <c r="ET142" s="9" t="n">
        <v>0</v>
      </c>
      <c r="EU142" s="9" t="n">
        <v>0</v>
      </c>
      <c r="EV142" s="9" t="n">
        <v>0</v>
      </c>
      <c r="EZ142" s="9" t="inlineStr">
        <is>
          <t>TOTAL</t>
        </is>
      </c>
      <c r="FA142" s="9" t="n">
        <v>0</v>
      </c>
      <c r="FB142" s="9" t="n">
        <v>0</v>
      </c>
      <c r="FC142" s="9" t="n">
        <v>0</v>
      </c>
      <c r="FD142" s="9" t="n">
        <v>0</v>
      </c>
      <c r="FE142" s="9" t="n">
        <v>0</v>
      </c>
      <c r="FI142" s="9" t="inlineStr">
        <is>
          <t>TOTAL</t>
        </is>
      </c>
      <c r="FJ142" s="9" t="n">
        <v>0</v>
      </c>
      <c r="FK142" s="9" t="n">
        <v>0</v>
      </c>
      <c r="FL142" s="9" t="n">
        <v>0</v>
      </c>
      <c r="FM142" s="9" t="n">
        <v>0</v>
      </c>
      <c r="FN142" s="9" t="n">
        <v>0</v>
      </c>
      <c r="FR142" s="9" t="inlineStr">
        <is>
          <t>TOTAL</t>
        </is>
      </c>
      <c r="FS142" s="9" t="n">
        <v>1980</v>
      </c>
      <c r="FT142" s="9" t="n">
        <v>1520</v>
      </c>
      <c r="FU142" s="9" t="n">
        <v>1840</v>
      </c>
      <c r="FV142" s="9" t="n">
        <v>-320</v>
      </c>
      <c r="FW142" s="9" t="n">
        <v>2120</v>
      </c>
      <c r="FX142" s="9" t="n">
        <v>106</v>
      </c>
      <c r="FY142" s="9" t="inlineStr">
        <is>
          <t>bags</t>
        </is>
      </c>
      <c r="GA142" s="9" t="inlineStr">
        <is>
          <t>TOTAL</t>
        </is>
      </c>
      <c r="GB142" s="9" t="n">
        <v>8000</v>
      </c>
      <c r="GC142" s="9" t="n">
        <v>7040</v>
      </c>
      <c r="GD142" s="9" t="n">
        <v>6360</v>
      </c>
      <c r="GE142" s="9" t="n">
        <v>680</v>
      </c>
      <c r="GF142" s="9" t="n">
        <v>3640</v>
      </c>
      <c r="GG142" s="9" t="n">
        <v>182</v>
      </c>
      <c r="GH142" s="9" t="inlineStr">
        <is>
          <t>bags</t>
        </is>
      </c>
      <c r="GJ142" s="9" t="inlineStr">
        <is>
          <t>TOTAL</t>
        </is>
      </c>
      <c r="GK142" s="9" t="n">
        <v>0</v>
      </c>
      <c r="GL142" s="9" t="n">
        <v>1520</v>
      </c>
      <c r="GM142" s="9" t="n">
        <v>2720</v>
      </c>
      <c r="GN142" s="9" t="n">
        <v>-1200</v>
      </c>
      <c r="GO142" s="9" t="n">
        <v>2080</v>
      </c>
      <c r="GP142" s="9" t="n">
        <v>104</v>
      </c>
      <c r="GQ142" s="9" t="inlineStr">
        <is>
          <t>bags</t>
        </is>
      </c>
      <c r="GS142" s="9" t="inlineStr">
        <is>
          <t>TOTAL</t>
        </is>
      </c>
      <c r="GT142" s="9" t="n">
        <v>0</v>
      </c>
      <c r="GU142" s="9" t="n">
        <v>0</v>
      </c>
      <c r="GV142" s="9" t="n">
        <v>0</v>
      </c>
      <c r="GW142" s="9" t="n">
        <v>0</v>
      </c>
      <c r="GX142" s="9" t="n">
        <v>0</v>
      </c>
      <c r="HB142" s="9" t="inlineStr">
        <is>
          <t>TOTAL</t>
        </is>
      </c>
      <c r="HC142" s="9" t="n">
        <v>0</v>
      </c>
      <c r="HD142" s="9" t="n">
        <v>0</v>
      </c>
      <c r="HE142" s="9" t="n">
        <v>0</v>
      </c>
      <c r="HF142" s="9" t="n">
        <v>0</v>
      </c>
      <c r="HG142" s="9" t="n">
        <v>0</v>
      </c>
      <c r="HK142" s="9" t="inlineStr">
        <is>
          <t>TOTAL</t>
        </is>
      </c>
      <c r="HL142" s="9" t="n">
        <v>0</v>
      </c>
      <c r="HM142" s="9" t="n">
        <v>0</v>
      </c>
      <c r="HN142" s="9" t="n">
        <v>0</v>
      </c>
      <c r="HO142" s="9" t="n">
        <v>0</v>
      </c>
      <c r="HP142" s="9" t="n">
        <v>0</v>
      </c>
      <c r="HU142" s="9" t="inlineStr">
        <is>
          <t>TOTAL</t>
        </is>
      </c>
      <c r="HV142" s="9" t="n">
        <v>2000</v>
      </c>
      <c r="HW142" s="9" t="n">
        <v>760</v>
      </c>
      <c r="HX142" s="9" t="n">
        <v>760</v>
      </c>
      <c r="HY142" s="9" t="n">
        <v>0</v>
      </c>
      <c r="HZ142" s="9" t="n">
        <v>6360</v>
      </c>
      <c r="IA142" s="9" t="n">
        <v>318</v>
      </c>
      <c r="IB142" s="9" t="inlineStr">
        <is>
          <t>bags</t>
        </is>
      </c>
      <c r="ID142" s="9" t="inlineStr">
        <is>
          <t>TOTAL</t>
        </is>
      </c>
      <c r="IE142" s="9" t="n">
        <v>0</v>
      </c>
      <c r="IF142" s="9" t="n">
        <v>0</v>
      </c>
      <c r="IG142" s="9" t="n">
        <v>0</v>
      </c>
      <c r="IH142" s="9" t="n">
        <v>0</v>
      </c>
      <c r="II142" s="9" t="n">
        <v>6540</v>
      </c>
      <c r="IJ142" s="9" t="n">
        <v>327</v>
      </c>
      <c r="IK142" s="9" t="inlineStr">
        <is>
          <t>bags</t>
        </is>
      </c>
      <c r="IM142" s="9" t="inlineStr">
        <is>
          <t>TOTAL</t>
        </is>
      </c>
      <c r="IN142" s="9" t="n">
        <v>0</v>
      </c>
      <c r="IO142" s="9" t="n">
        <v>0</v>
      </c>
      <c r="IP142" s="9" t="n">
        <v>0</v>
      </c>
      <c r="IQ142" s="9" t="n">
        <v>0</v>
      </c>
      <c r="IR142" s="9" t="n">
        <v>11540</v>
      </c>
      <c r="IS142" s="9" t="n">
        <v>577</v>
      </c>
      <c r="IT142" s="9" t="inlineStr">
        <is>
          <t>bags</t>
        </is>
      </c>
      <c r="IV142" s="9" t="inlineStr">
        <is>
          <t>TOTAL</t>
        </is>
      </c>
      <c r="IW142" s="9" t="n">
        <v>0</v>
      </c>
      <c r="IX142" s="9" t="n">
        <v>0</v>
      </c>
      <c r="IY142" s="9" t="n">
        <v>0</v>
      </c>
      <c r="IZ142" s="9" t="n">
        <v>0</v>
      </c>
      <c r="JA142" s="9" t="n">
        <v>15120</v>
      </c>
      <c r="JB142" s="9" t="n">
        <v>756</v>
      </c>
      <c r="JC142" s="9" t="inlineStr">
        <is>
          <t>bags</t>
        </is>
      </c>
      <c r="JE142" s="9" t="inlineStr">
        <is>
          <t>TOTAL</t>
        </is>
      </c>
      <c r="JF142" s="9" t="n">
        <v>0</v>
      </c>
      <c r="JG142" s="9" t="n">
        <v>960</v>
      </c>
      <c r="JH142" s="9" t="n">
        <v>3080</v>
      </c>
      <c r="JI142" s="9" t="n">
        <v>-2120</v>
      </c>
      <c r="JJ142" s="9" t="n">
        <v>1960</v>
      </c>
      <c r="JK142" s="9" t="n">
        <v>98</v>
      </c>
      <c r="JL142" s="9" t="inlineStr">
        <is>
          <t>bags</t>
        </is>
      </c>
      <c r="JN142" s="9" t="inlineStr">
        <is>
          <t>TOTAL</t>
        </is>
      </c>
      <c r="JO142" s="9" t="n">
        <v>0</v>
      </c>
      <c r="JP142" s="9" t="n">
        <v>0</v>
      </c>
      <c r="JQ142" s="9" t="n">
        <v>0</v>
      </c>
      <c r="JR142" s="9" t="n">
        <v>0</v>
      </c>
      <c r="JS142" s="9" t="n">
        <v>9100</v>
      </c>
      <c r="JT142" s="9" t="n">
        <v>455</v>
      </c>
      <c r="JU142" s="9" t="inlineStr">
        <is>
          <t>bags</t>
        </is>
      </c>
      <c r="JW142" s="9" t="inlineStr">
        <is>
          <t>TOTAL</t>
        </is>
      </c>
      <c r="JX142" s="9" t="n">
        <v>0</v>
      </c>
      <c r="JY142" s="9" t="n">
        <v>2400</v>
      </c>
      <c r="JZ142" s="9" t="n">
        <v>1680</v>
      </c>
      <c r="KA142" s="9" t="n">
        <v>720</v>
      </c>
      <c r="KB142" s="9" t="n">
        <v>2540</v>
      </c>
      <c r="KC142" s="9" t="n">
        <v>127</v>
      </c>
      <c r="KD142" s="9" t="inlineStr">
        <is>
          <t>bags</t>
        </is>
      </c>
      <c r="KF142" s="9" t="inlineStr">
        <is>
          <t>TOTAL</t>
        </is>
      </c>
      <c r="KG142" s="9" t="n">
        <v>1950</v>
      </c>
      <c r="KH142" s="9" t="n">
        <v>10023</v>
      </c>
      <c r="KI142" s="9" t="n">
        <v>9633</v>
      </c>
      <c r="KJ142" s="9" t="n">
        <v>390</v>
      </c>
      <c r="KK142" s="9" t="n">
        <v>19.5</v>
      </c>
      <c r="KL142" s="9" t="n">
        <v>1</v>
      </c>
      <c r="KM142" s="9" t="inlineStr">
        <is>
          <t>bags</t>
        </is>
      </c>
      <c r="KO142" s="9" t="inlineStr">
        <is>
          <t>TOTAL</t>
        </is>
      </c>
      <c r="KP142" s="9" t="n">
        <v>0</v>
      </c>
      <c r="KQ142" s="9" t="n">
        <v>3628.8</v>
      </c>
      <c r="KR142" s="9" t="n">
        <v>4347</v>
      </c>
      <c r="KS142" s="9" t="n">
        <v>-718.1999999999998</v>
      </c>
      <c r="KT142" s="9" t="n">
        <v>2079</v>
      </c>
      <c r="KU142" s="9" t="n">
        <v>110</v>
      </c>
      <c r="KV142" s="9" t="inlineStr">
        <is>
          <t>bags</t>
        </is>
      </c>
      <c r="KX142" s="9" t="inlineStr">
        <is>
          <t>TOTAL</t>
        </is>
      </c>
      <c r="KY142" s="9" t="n">
        <v>8610</v>
      </c>
      <c r="KZ142" s="9" t="n">
        <v>1558</v>
      </c>
      <c r="LA142" s="9" t="n">
        <v>2460</v>
      </c>
      <c r="LB142" s="9" t="n">
        <v>-902</v>
      </c>
      <c r="LC142" s="9" t="n">
        <v>6150</v>
      </c>
      <c r="LD142" s="9" t="n">
        <v>300</v>
      </c>
      <c r="LE142" s="9" t="inlineStr">
        <is>
          <t>bags</t>
        </is>
      </c>
      <c r="LG142" s="9" t="inlineStr">
        <is>
          <t>TOTAL</t>
        </is>
      </c>
      <c r="LH142" s="9" t="n">
        <v>4000</v>
      </c>
      <c r="LI142" s="9" t="n">
        <v>0</v>
      </c>
      <c r="LJ142" s="9" t="n">
        <v>0</v>
      </c>
      <c r="LK142" s="9" t="n">
        <v>0</v>
      </c>
      <c r="LL142" s="9" t="n">
        <v>4000</v>
      </c>
      <c r="LM142" s="9" t="n">
        <v>200</v>
      </c>
      <c r="LN142" s="9" t="inlineStr">
        <is>
          <t>bags</t>
        </is>
      </c>
      <c r="LP142" s="9" t="inlineStr">
        <is>
          <t>TOTAL</t>
        </is>
      </c>
      <c r="LQ142" s="9" t="n">
        <v>0</v>
      </c>
      <c r="LR142" s="9" t="n">
        <v>0</v>
      </c>
      <c r="LS142" s="9" t="n">
        <v>0</v>
      </c>
      <c r="LT142" s="9" t="n">
        <v>0</v>
      </c>
      <c r="LU142" s="9" t="n">
        <v>0</v>
      </c>
      <c r="LY142" s="9" t="inlineStr">
        <is>
          <t>TOTAL</t>
        </is>
      </c>
      <c r="LZ142" s="9" t="n">
        <v>0</v>
      </c>
      <c r="MA142" s="9" t="n">
        <v>0</v>
      </c>
      <c r="MB142" s="9" t="n">
        <v>0</v>
      </c>
      <c r="MC142" s="9" t="n">
        <v>0</v>
      </c>
      <c r="MD142" s="9" t="n">
        <v>0</v>
      </c>
      <c r="MH142" s="9" t="inlineStr">
        <is>
          <t>TOTAL</t>
        </is>
      </c>
      <c r="MI142" s="9" t="n">
        <v>0</v>
      </c>
      <c r="MJ142" s="9" t="n">
        <v>0</v>
      </c>
      <c r="MK142" s="9" t="n">
        <v>0</v>
      </c>
      <c r="ML142" s="9" t="n">
        <v>0</v>
      </c>
      <c r="MM142" s="9" t="n">
        <v>0</v>
      </c>
      <c r="MQ142" s="9" t="inlineStr">
        <is>
          <t>TOTAL</t>
        </is>
      </c>
      <c r="MR142" s="9" t="n">
        <v>0</v>
      </c>
      <c r="MS142" s="9" t="n">
        <v>407</v>
      </c>
      <c r="MT142" s="9" t="n">
        <v>292</v>
      </c>
      <c r="MU142" s="9" t="n">
        <v>115</v>
      </c>
      <c r="MV142" s="9" t="n">
        <v>3903</v>
      </c>
      <c r="MZ142" s="9" t="inlineStr">
        <is>
          <t>TOTAL</t>
        </is>
      </c>
      <c r="NA142" s="9" t="n">
        <v>3360</v>
      </c>
      <c r="NB142" s="9" t="n">
        <v>2964</v>
      </c>
      <c r="NC142" s="9" t="n">
        <v>3360</v>
      </c>
      <c r="ND142" s="9" t="n">
        <v>-396</v>
      </c>
      <c r="NE142" s="9" t="n">
        <v>0</v>
      </c>
      <c r="NI142" s="9" t="inlineStr">
        <is>
          <t>TOTAL</t>
        </is>
      </c>
      <c r="NJ142" s="9" t="n">
        <v>0</v>
      </c>
      <c r="NK142" s="9" t="n">
        <v>834</v>
      </c>
      <c r="NL142" s="9" t="n">
        <v>928</v>
      </c>
      <c r="NM142" s="9" t="n">
        <v>-94</v>
      </c>
      <c r="NN142" s="9" t="n">
        <v>1137</v>
      </c>
      <c r="NR142" s="9" t="inlineStr">
        <is>
          <t>TOTAL</t>
        </is>
      </c>
      <c r="NS142" s="9" t="n">
        <v>0</v>
      </c>
      <c r="NT142" s="9" t="n">
        <v>962.4</v>
      </c>
      <c r="NU142" s="9" t="n">
        <v>1029.6</v>
      </c>
      <c r="NV142" s="9" t="n">
        <v>-67.20000000000007</v>
      </c>
      <c r="NW142" s="9" t="n">
        <v>3122.9</v>
      </c>
      <c r="OA142" s="9" t="inlineStr">
        <is>
          <t>TOTAL</t>
        </is>
      </c>
      <c r="OB142" s="9" t="n">
        <v>0</v>
      </c>
      <c r="OC142" s="9" t="n">
        <v>0</v>
      </c>
      <c r="OD142" s="9" t="n">
        <v>0</v>
      </c>
      <c r="OE142" s="9" t="n">
        <v>0</v>
      </c>
      <c r="OF142" s="9" t="n">
        <v>1680.5</v>
      </c>
      <c r="OJ142" s="9" t="inlineStr">
        <is>
          <t>TOTAL</t>
        </is>
      </c>
      <c r="OK142" s="9" t="n">
        <v>2629</v>
      </c>
      <c r="OL142" s="9" t="n">
        <v>2519.119999999999</v>
      </c>
      <c r="OM142" s="9" t="n">
        <v>2629</v>
      </c>
      <c r="ON142" s="9" t="n">
        <v>-109.8800000000001</v>
      </c>
      <c r="OO142" s="9" t="n">
        <v>0</v>
      </c>
      <c r="OS142" s="9" t="inlineStr">
        <is>
          <t>TOTAL</t>
        </is>
      </c>
      <c r="OT142" s="9" t="n">
        <v>0</v>
      </c>
      <c r="OU142" s="9" t="n">
        <v>0</v>
      </c>
      <c r="OV142" s="9" t="n">
        <v>18</v>
      </c>
      <c r="OW142" s="9" t="n">
        <v>-18</v>
      </c>
      <c r="OX142" s="9" t="n">
        <v>982</v>
      </c>
      <c r="PB142" s="9" t="inlineStr">
        <is>
          <t>TOTAL</t>
        </is>
      </c>
      <c r="PC142" s="9" t="n">
        <v>0</v>
      </c>
      <c r="PD142" s="9" t="n">
        <v>0</v>
      </c>
      <c r="PE142" s="9" t="n">
        <v>0</v>
      </c>
      <c r="PF142" s="9" t="n">
        <v>0</v>
      </c>
      <c r="PG142" s="9" t="n">
        <v>0</v>
      </c>
      <c r="PK142" s="9" t="inlineStr">
        <is>
          <t>TOTAL</t>
        </is>
      </c>
      <c r="PL142" s="9" t="n">
        <v>0</v>
      </c>
      <c r="PM142" s="9" t="n">
        <v>0</v>
      </c>
      <c r="PN142" s="9" t="n">
        <v>0</v>
      </c>
      <c r="PO142" s="9" t="n">
        <v>0</v>
      </c>
      <c r="PP142" s="9" t="n">
        <v>100</v>
      </c>
      <c r="PT142" s="9" t="inlineStr">
        <is>
          <t>TOTAL</t>
        </is>
      </c>
      <c r="PU142" s="9" t="n">
        <v>0</v>
      </c>
      <c r="PV142" s="9" t="n">
        <v>0</v>
      </c>
      <c r="PW142" s="9" t="n">
        <v>0</v>
      </c>
      <c r="PX142" s="9" t="n">
        <v>0</v>
      </c>
      <c r="PY142" s="9" t="n">
        <v>13.96000000000004</v>
      </c>
      <c r="QC142" s="9" t="inlineStr">
        <is>
          <t>TOTAL</t>
        </is>
      </c>
      <c r="QD142" s="9" t="n">
        <v>0</v>
      </c>
      <c r="QE142" s="9" t="n">
        <v>192</v>
      </c>
      <c r="QF142" s="9" t="n">
        <v>616</v>
      </c>
      <c r="QG142" s="9" t="n">
        <v>-424</v>
      </c>
      <c r="QH142" s="9" t="n">
        <v>596</v>
      </c>
      <c r="QL142" s="9" t="inlineStr">
        <is>
          <t>TOTAL</t>
        </is>
      </c>
      <c r="QM142" s="9" t="n">
        <v>0</v>
      </c>
      <c r="QN142" s="9" t="n">
        <v>0</v>
      </c>
      <c r="QO142" s="9" t="n">
        <v>0</v>
      </c>
      <c r="QP142" s="9" t="n">
        <v>0</v>
      </c>
      <c r="QQ142" s="9" t="n">
        <v>400</v>
      </c>
      <c r="QU142" s="9" t="inlineStr">
        <is>
          <t>TOTAL</t>
        </is>
      </c>
      <c r="QV142" s="9" t="n">
        <v>0</v>
      </c>
      <c r="QW142" s="9" t="n">
        <v>0</v>
      </c>
      <c r="QX142" s="9" t="n">
        <v>0</v>
      </c>
      <c r="QY142" s="9" t="n">
        <v>0</v>
      </c>
      <c r="QZ142" s="9" t="n">
        <v>207.6</v>
      </c>
      <c r="RD142" s="9" t="inlineStr">
        <is>
          <t>TOTAL</t>
        </is>
      </c>
      <c r="RE142" s="9" t="n">
        <v>0</v>
      </c>
      <c r="RF142" s="9" t="n">
        <v>0</v>
      </c>
      <c r="RG142" s="9" t="n">
        <v>50</v>
      </c>
      <c r="RH142" s="9" t="n">
        <v>-50</v>
      </c>
      <c r="RI142" s="9" t="n">
        <v>147.04</v>
      </c>
      <c r="RM142" s="9" t="inlineStr">
        <is>
          <t>TOTAL</t>
        </is>
      </c>
      <c r="RN142" s="9" t="n">
        <v>0</v>
      </c>
      <c r="RO142" s="9" t="n">
        <v>0</v>
      </c>
      <c r="RP142" s="9" t="n">
        <v>0</v>
      </c>
      <c r="RQ142" s="9" t="n">
        <v>0</v>
      </c>
      <c r="RR142" s="9" t="n">
        <v>46.8</v>
      </c>
      <c r="RV142" s="9" t="inlineStr">
        <is>
          <t>TOTAL</t>
        </is>
      </c>
      <c r="RW142" s="9" t="n">
        <v>0</v>
      </c>
      <c r="RX142" s="9" t="n">
        <v>0</v>
      </c>
      <c r="RY142" s="9" t="n">
        <v>0</v>
      </c>
      <c r="RZ142" s="9" t="n">
        <v>0</v>
      </c>
      <c r="SA142" s="9" t="n">
        <v>0</v>
      </c>
      <c r="SE142" s="9" t="inlineStr">
        <is>
          <t>TOTAL</t>
        </is>
      </c>
      <c r="SF142" s="9" t="n">
        <v>125</v>
      </c>
      <c r="SG142" s="9" t="n">
        <v>0</v>
      </c>
      <c r="SH142" s="9" t="n">
        <v>100.8</v>
      </c>
      <c r="SI142" s="9" t="n">
        <v>-100.8</v>
      </c>
      <c r="SJ142" s="9" t="n">
        <v>24.2</v>
      </c>
      <c r="SN142" s="9" t="inlineStr">
        <is>
          <t>TOTAL</t>
        </is>
      </c>
      <c r="SO142" s="9" t="n">
        <v>200</v>
      </c>
      <c r="SP142" s="9" t="n">
        <v>0</v>
      </c>
      <c r="SQ142" s="9" t="n">
        <v>168</v>
      </c>
      <c r="SR142" s="9" t="n">
        <v>-168</v>
      </c>
      <c r="SS142" s="9" t="n">
        <v>32</v>
      </c>
      <c r="SW142" s="9" t="inlineStr">
        <is>
          <t>TOTAL</t>
        </is>
      </c>
      <c r="SX142" s="9" t="n">
        <v>0</v>
      </c>
      <c r="SY142" s="9" t="n">
        <v>0</v>
      </c>
      <c r="SZ142" s="9" t="n">
        <v>0</v>
      </c>
      <c r="TA142" s="9" t="n">
        <v>0</v>
      </c>
      <c r="TB142" s="9" t="n">
        <v>0</v>
      </c>
      <c r="TF142" s="9" t="inlineStr">
        <is>
          <t>TOTAL</t>
        </is>
      </c>
      <c r="TG142" s="9" t="n">
        <v>0</v>
      </c>
      <c r="TH142" s="9" t="n">
        <v>0</v>
      </c>
      <c r="TI142" s="9" t="n">
        <v>0</v>
      </c>
      <c r="TJ142" s="9" t="n">
        <v>0</v>
      </c>
      <c r="TK142" s="9" t="n">
        <v>0</v>
      </c>
      <c r="TO142" s="9" t="inlineStr">
        <is>
          <t>TOTAL</t>
        </is>
      </c>
      <c r="TP142" s="9" t="n">
        <v>0</v>
      </c>
      <c r="TQ142" s="9" t="n">
        <v>0</v>
      </c>
      <c r="TR142" s="9" t="n">
        <v>0</v>
      </c>
      <c r="TS142" s="9" t="n">
        <v>0</v>
      </c>
      <c r="TT142" s="9" t="n">
        <v>0</v>
      </c>
      <c r="TX142" s="9" t="inlineStr">
        <is>
          <t>TOTAL</t>
        </is>
      </c>
      <c r="TY142" s="9" t="n">
        <v>0</v>
      </c>
      <c r="TZ142" s="9" t="n">
        <v>0</v>
      </c>
      <c r="UA142" s="9" t="n">
        <v>0</v>
      </c>
      <c r="UB142" s="9" t="n">
        <v>0</v>
      </c>
      <c r="UC142" s="9" t="n">
        <v>0</v>
      </c>
      <c r="UG142" s="9" t="inlineStr">
        <is>
          <t>TOTAL</t>
        </is>
      </c>
      <c r="UH142" s="9" t="n">
        <v>0</v>
      </c>
      <c r="UI142" s="9" t="n">
        <v>0</v>
      </c>
      <c r="UJ142" s="9" t="n">
        <v>0</v>
      </c>
      <c r="UK142" s="9" t="n">
        <v>0</v>
      </c>
      <c r="UL142" s="9" t="n">
        <v>0</v>
      </c>
      <c r="UP142" s="9" t="inlineStr">
        <is>
          <t>TOTAL</t>
        </is>
      </c>
      <c r="UQ142" s="9" t="n">
        <v>0</v>
      </c>
      <c r="UR142" s="9" t="n">
        <v>0</v>
      </c>
      <c r="US142" s="9" t="n">
        <v>0</v>
      </c>
      <c r="UT142" s="9" t="n">
        <v>0</v>
      </c>
      <c r="UU142" s="9" t="n">
        <v>0</v>
      </c>
      <c r="UY142" s="9" t="inlineStr">
        <is>
          <t>TOTAL</t>
        </is>
      </c>
      <c r="UZ142" s="9" t="n">
        <v>0</v>
      </c>
      <c r="VA142" s="9" t="n">
        <v>0</v>
      </c>
      <c r="VB142" s="9" t="n">
        <v>0</v>
      </c>
      <c r="VC142" s="9" t="n">
        <v>0</v>
      </c>
      <c r="VD142" s="9" t="n">
        <v>41.60000000000002</v>
      </c>
      <c r="VH142" s="9" t="inlineStr">
        <is>
          <t>TOTAL</t>
        </is>
      </c>
      <c r="VI142" s="9" t="n">
        <v>0</v>
      </c>
      <c r="VJ142" s="9" t="n">
        <v>0</v>
      </c>
      <c r="VK142" s="9" t="n">
        <v>0</v>
      </c>
      <c r="VL142" s="9" t="n">
        <v>0</v>
      </c>
      <c r="VM142" s="9" t="n">
        <v>0</v>
      </c>
      <c r="VQ142" s="9" t="inlineStr">
        <is>
          <t>TOTAL</t>
        </is>
      </c>
      <c r="VR142" s="9" t="n">
        <v>0</v>
      </c>
      <c r="VS142" s="9" t="n">
        <v>0</v>
      </c>
      <c r="VT142" s="9" t="n">
        <v>0</v>
      </c>
      <c r="VU142" s="9" t="n">
        <v>0</v>
      </c>
      <c r="VV142" s="9" t="n">
        <v>0</v>
      </c>
      <c r="VZ142" s="9" t="inlineStr">
        <is>
          <t>TOTAL</t>
        </is>
      </c>
      <c r="WA142" s="9" t="n">
        <v>0</v>
      </c>
      <c r="WB142" s="9" t="n">
        <v>0</v>
      </c>
      <c r="WC142" s="9" t="n">
        <v>0</v>
      </c>
      <c r="WD142" s="9" t="n">
        <v>0</v>
      </c>
      <c r="WE142" s="9" t="n">
        <v>0</v>
      </c>
      <c r="WI142" s="9" t="inlineStr">
        <is>
          <t>TOTAL</t>
        </is>
      </c>
      <c r="WJ142" s="9" t="n">
        <v>0</v>
      </c>
      <c r="WK142" s="9" t="n">
        <v>0</v>
      </c>
      <c r="WL142" s="9" t="n">
        <v>1572</v>
      </c>
      <c r="WM142" s="9" t="n">
        <v>-1572</v>
      </c>
      <c r="WN142" s="9" t="n">
        <v>2317</v>
      </c>
      <c r="WR142" s="9" t="inlineStr">
        <is>
          <t>TOTAL</t>
        </is>
      </c>
      <c r="WS142" s="9" t="n">
        <v>8000</v>
      </c>
      <c r="WT142" s="9" t="n">
        <v>0</v>
      </c>
      <c r="WU142" s="9" t="n">
        <v>7224</v>
      </c>
      <c r="WV142" s="9" t="n">
        <v>-7224</v>
      </c>
      <c r="WW142" s="9" t="n">
        <v>776</v>
      </c>
      <c r="XA142" s="9" t="inlineStr">
        <is>
          <t>TOTAL</t>
        </is>
      </c>
      <c r="XB142" s="9" t="n">
        <v>8712</v>
      </c>
      <c r="XC142" s="9" t="n">
        <v>0</v>
      </c>
      <c r="XD142" s="9" t="n">
        <v>1606</v>
      </c>
      <c r="XE142" s="9" t="n">
        <v>-1606</v>
      </c>
      <c r="XF142" s="9" t="n">
        <v>13455</v>
      </c>
      <c r="XJ142" s="9" t="inlineStr">
        <is>
          <t>TOTAL</t>
        </is>
      </c>
      <c r="XK142" s="9" t="n">
        <v>2000</v>
      </c>
      <c r="XL142" s="9" t="n">
        <v>0</v>
      </c>
      <c r="XM142" s="9" t="n">
        <v>6508</v>
      </c>
      <c r="XN142" s="9" t="n">
        <v>-6508</v>
      </c>
      <c r="XO142" s="9" t="n">
        <v>1481</v>
      </c>
      <c r="XS142" s="9" t="inlineStr">
        <is>
          <t>TOTAL</t>
        </is>
      </c>
      <c r="XT142" s="9" t="n">
        <v>0</v>
      </c>
      <c r="XU142" s="9" t="n">
        <v>0</v>
      </c>
      <c r="XV142" s="9" t="n">
        <v>0</v>
      </c>
      <c r="XW142" s="9" t="n">
        <v>0</v>
      </c>
      <c r="XX142" s="9" t="n">
        <v>1901</v>
      </c>
      <c r="YB142" s="9" t="inlineStr">
        <is>
          <t>TOTAL</t>
        </is>
      </c>
      <c r="YC142" s="9" t="n">
        <v>0</v>
      </c>
      <c r="YD142" s="9" t="n">
        <v>0</v>
      </c>
      <c r="YE142" s="9" t="n">
        <v>0</v>
      </c>
      <c r="YF142" s="9" t="n">
        <v>0</v>
      </c>
      <c r="YG142" s="9" t="n">
        <v>6459</v>
      </c>
      <c r="YK142" s="9" t="inlineStr">
        <is>
          <t>TOTAL</t>
        </is>
      </c>
      <c r="YL142" s="9" t="n">
        <v>0</v>
      </c>
      <c r="YM142" s="9" t="n">
        <v>0</v>
      </c>
      <c r="YN142" s="9" t="n">
        <v>0</v>
      </c>
      <c r="YO142" s="9" t="n">
        <v>0</v>
      </c>
      <c r="YP142" s="9" t="n">
        <v>0</v>
      </c>
      <c r="YT142" s="9" t="inlineStr">
        <is>
          <t>TOTAL</t>
        </is>
      </c>
      <c r="YU142" s="9" t="n">
        <v>0</v>
      </c>
      <c r="YV142" s="9" t="n">
        <v>0</v>
      </c>
      <c r="YW142" s="9" t="n">
        <v>0</v>
      </c>
      <c r="YX142" s="9" t="n">
        <v>0</v>
      </c>
      <c r="YY142" s="9" t="n">
        <v>0</v>
      </c>
      <c r="ZC142" s="9" t="inlineStr">
        <is>
          <t>TOTAL</t>
        </is>
      </c>
      <c r="ZD142" s="9" t="n">
        <v>0</v>
      </c>
      <c r="ZE142" s="9" t="n">
        <v>0</v>
      </c>
      <c r="ZF142" s="9" t="n">
        <v>0</v>
      </c>
      <c r="ZG142" s="9" t="n">
        <v>0</v>
      </c>
      <c r="ZH142" s="9" t="n">
        <v>0</v>
      </c>
      <c r="ZL142" s="9" t="inlineStr">
        <is>
          <t>TOTAL</t>
        </is>
      </c>
      <c r="ZM142" s="9" t="n">
        <v>0</v>
      </c>
      <c r="ZN142" s="9" t="n">
        <v>0</v>
      </c>
      <c r="ZO142" s="9" t="n">
        <v>0</v>
      </c>
      <c r="ZP142" s="9" t="n">
        <v>0</v>
      </c>
      <c r="ZQ142" s="9" t="n">
        <v>0</v>
      </c>
      <c r="ZU142" s="9" t="inlineStr">
        <is>
          <t>TOTAL</t>
        </is>
      </c>
      <c r="ZV142" s="9" t="n">
        <v>0</v>
      </c>
      <c r="ZW142" s="9" t="n">
        <v>0</v>
      </c>
      <c r="ZX142" s="9" t="n">
        <v>0</v>
      </c>
      <c r="ZY142" s="9" t="n">
        <v>0</v>
      </c>
      <c r="ZZ142" s="9" t="n">
        <v>0</v>
      </c>
      <c r="AAD142" s="9" t="inlineStr">
        <is>
          <t>TOTAL</t>
        </is>
      </c>
      <c r="AAE142" s="9" t="n">
        <v>0</v>
      </c>
      <c r="AAF142" s="9" t="n">
        <v>0</v>
      </c>
      <c r="AAG142" s="9" t="n">
        <v>0</v>
      </c>
      <c r="AAH142" s="9" t="n">
        <v>0</v>
      </c>
      <c r="AAI142" s="9" t="n">
        <v>0</v>
      </c>
      <c r="AAM142" s="9" t="inlineStr">
        <is>
          <t>TOTAL</t>
        </is>
      </c>
      <c r="AAN142" s="9" t="n">
        <v>0</v>
      </c>
      <c r="AAO142" s="9" t="n">
        <v>0</v>
      </c>
      <c r="AAP142" s="9" t="n">
        <v>0</v>
      </c>
      <c r="AAQ142" s="9" t="n">
        <v>0</v>
      </c>
      <c r="AAR142" s="9" t="n">
        <v>0</v>
      </c>
      <c r="AAV142" s="9" t="inlineStr">
        <is>
          <t>TOTAL</t>
        </is>
      </c>
      <c r="AAW142" s="9" t="n">
        <v>0</v>
      </c>
      <c r="AAX142" s="9" t="n">
        <v>0</v>
      </c>
      <c r="AAY142" s="9" t="n">
        <v>0</v>
      </c>
      <c r="AAZ142" s="9" t="n">
        <v>0</v>
      </c>
      <c r="ABA142" s="9" t="n">
        <v>0</v>
      </c>
      <c r="ABE142" s="9" t="inlineStr">
        <is>
          <t>TOTAL</t>
        </is>
      </c>
      <c r="ABF142" s="9" t="n">
        <v>0</v>
      </c>
      <c r="ABG142" s="9" t="n">
        <v>0</v>
      </c>
      <c r="ABH142" s="9" t="n">
        <v>0</v>
      </c>
      <c r="ABI142" s="9" t="n">
        <v>0</v>
      </c>
      <c r="ABJ142" s="9" t="n">
        <v>0</v>
      </c>
    </row>
    <row r="143"/>
    <row r="144">
      <c r="A144" s="9" t="inlineStr">
        <is>
          <t>MAY</t>
        </is>
      </c>
      <c r="C144" s="9" t="inlineStr">
        <is>
          <t>MAY</t>
        </is>
      </c>
      <c r="J144" s="9" t="inlineStr">
        <is>
          <t>MAY</t>
        </is>
      </c>
      <c r="L144" s="9" t="inlineStr">
        <is>
          <t>MAY</t>
        </is>
      </c>
      <c r="S144" s="9" t="inlineStr">
        <is>
          <t>MAY</t>
        </is>
      </c>
      <c r="U144" s="9" t="inlineStr">
        <is>
          <t>MAY</t>
        </is>
      </c>
      <c r="AB144" s="9" t="inlineStr">
        <is>
          <t>MAY</t>
        </is>
      </c>
      <c r="AD144" s="9" t="inlineStr">
        <is>
          <t>MAY</t>
        </is>
      </c>
      <c r="AK144" s="9" t="inlineStr">
        <is>
          <t>MAY</t>
        </is>
      </c>
      <c r="AM144" s="9" t="inlineStr">
        <is>
          <t>MAY</t>
        </is>
      </c>
      <c r="AT144" s="9" t="inlineStr">
        <is>
          <t>MAY</t>
        </is>
      </c>
      <c r="AV144" s="9" t="inlineStr">
        <is>
          <t>MAY</t>
        </is>
      </c>
      <c r="BC144" s="9" t="inlineStr">
        <is>
          <t>MAY</t>
        </is>
      </c>
      <c r="BE144" s="9" t="inlineStr">
        <is>
          <t>MAY</t>
        </is>
      </c>
      <c r="BL144" s="9" t="inlineStr">
        <is>
          <t>MAY</t>
        </is>
      </c>
      <c r="BN144" s="9" t="inlineStr">
        <is>
          <t>MAY</t>
        </is>
      </c>
      <c r="BU144" s="9" t="inlineStr">
        <is>
          <t>MAY</t>
        </is>
      </c>
      <c r="BW144" s="9" t="inlineStr">
        <is>
          <t>MAY</t>
        </is>
      </c>
      <c r="CD144" s="9" t="inlineStr">
        <is>
          <t>MAY</t>
        </is>
      </c>
      <c r="CF144" s="9" t="inlineStr">
        <is>
          <t>MAY</t>
        </is>
      </c>
      <c r="CM144" s="9" t="inlineStr">
        <is>
          <t>MAY</t>
        </is>
      </c>
      <c r="CO144" s="9" t="inlineStr">
        <is>
          <t>MAY</t>
        </is>
      </c>
      <c r="CV144" s="9" t="inlineStr">
        <is>
          <t>MAY</t>
        </is>
      </c>
      <c r="CX144" s="9" t="inlineStr">
        <is>
          <t>MAY</t>
        </is>
      </c>
      <c r="DE144" s="9" t="inlineStr">
        <is>
          <t>MAY</t>
        </is>
      </c>
      <c r="DG144" s="9" t="inlineStr">
        <is>
          <t>MAY</t>
        </is>
      </c>
      <c r="DN144" s="9" t="inlineStr">
        <is>
          <t>MAY</t>
        </is>
      </c>
      <c r="DP144" s="9" t="inlineStr">
        <is>
          <t>MAY</t>
        </is>
      </c>
      <c r="DW144" s="9" t="inlineStr">
        <is>
          <t>MAY</t>
        </is>
      </c>
      <c r="DY144" s="9" t="inlineStr">
        <is>
          <t>MAY</t>
        </is>
      </c>
      <c r="EF144" s="9" t="inlineStr">
        <is>
          <t>MAY</t>
        </is>
      </c>
      <c r="EH144" s="9" t="inlineStr">
        <is>
          <t>MAY</t>
        </is>
      </c>
      <c r="EO144" s="9" t="inlineStr">
        <is>
          <t>MAY</t>
        </is>
      </c>
      <c r="EQ144" s="9" t="inlineStr">
        <is>
          <t>MAY</t>
        </is>
      </c>
      <c r="EX144" s="9" t="inlineStr">
        <is>
          <t>MAY</t>
        </is>
      </c>
      <c r="EZ144" s="9" t="inlineStr">
        <is>
          <t>MAY</t>
        </is>
      </c>
      <c r="FG144" s="9" t="inlineStr">
        <is>
          <t>MAY</t>
        </is>
      </c>
      <c r="FI144" s="9" t="inlineStr">
        <is>
          <t>MAY</t>
        </is>
      </c>
      <c r="FP144" s="9" t="inlineStr">
        <is>
          <t>MAY</t>
        </is>
      </c>
      <c r="FR144" s="9" t="inlineStr">
        <is>
          <t>MAY</t>
        </is>
      </c>
      <c r="FY144" s="9" t="inlineStr">
        <is>
          <t>MAY</t>
        </is>
      </c>
      <c r="GA144" s="9" t="inlineStr">
        <is>
          <t>MAY</t>
        </is>
      </c>
      <c r="GH144" s="9" t="inlineStr">
        <is>
          <t>MAY</t>
        </is>
      </c>
      <c r="GJ144" s="9" t="inlineStr">
        <is>
          <t>MAY</t>
        </is>
      </c>
      <c r="GQ144" s="9" t="inlineStr">
        <is>
          <t>MAY</t>
        </is>
      </c>
      <c r="GS144" s="9" t="inlineStr">
        <is>
          <t>MAY</t>
        </is>
      </c>
      <c r="GZ144" s="9" t="inlineStr">
        <is>
          <t>MAY</t>
        </is>
      </c>
      <c r="HB144" s="9" t="inlineStr">
        <is>
          <t>MAY</t>
        </is>
      </c>
      <c r="HI144" s="9" t="inlineStr">
        <is>
          <t>MAY</t>
        </is>
      </c>
      <c r="HK144" s="9" t="inlineStr">
        <is>
          <t>MAY</t>
        </is>
      </c>
      <c r="HS144" s="9" t="inlineStr">
        <is>
          <t>MAY</t>
        </is>
      </c>
      <c r="HU144" s="9" t="inlineStr">
        <is>
          <t>MAY</t>
        </is>
      </c>
      <c r="IB144" s="9" t="inlineStr">
        <is>
          <t>MAY</t>
        </is>
      </c>
      <c r="ID144" s="9" t="inlineStr">
        <is>
          <t>MAY</t>
        </is>
      </c>
      <c r="IK144" s="9" t="inlineStr">
        <is>
          <t>MAY</t>
        </is>
      </c>
      <c r="IM144" s="9" t="inlineStr">
        <is>
          <t>MAY</t>
        </is>
      </c>
      <c r="IT144" s="9" t="inlineStr">
        <is>
          <t>MAY</t>
        </is>
      </c>
      <c r="IV144" s="9" t="inlineStr">
        <is>
          <t>MAY</t>
        </is>
      </c>
      <c r="JC144" s="9" t="inlineStr">
        <is>
          <t>MAY</t>
        </is>
      </c>
      <c r="JE144" s="9" t="inlineStr">
        <is>
          <t>MAY</t>
        </is>
      </c>
      <c r="JL144" s="9" t="inlineStr">
        <is>
          <t>MAY</t>
        </is>
      </c>
      <c r="JN144" s="9" t="inlineStr">
        <is>
          <t>MAY</t>
        </is>
      </c>
      <c r="JU144" s="9" t="inlineStr">
        <is>
          <t>MAY</t>
        </is>
      </c>
      <c r="JW144" s="9" t="inlineStr">
        <is>
          <t>MAY</t>
        </is>
      </c>
      <c r="KD144" s="9" t="inlineStr">
        <is>
          <t>MAY</t>
        </is>
      </c>
      <c r="KF144" s="9" t="inlineStr">
        <is>
          <t>MAY</t>
        </is>
      </c>
      <c r="KM144" s="9" t="inlineStr">
        <is>
          <t>MAY</t>
        </is>
      </c>
      <c r="KO144" s="9" t="inlineStr">
        <is>
          <t>MAY</t>
        </is>
      </c>
      <c r="KV144" s="9" t="inlineStr">
        <is>
          <t>MAY</t>
        </is>
      </c>
      <c r="KX144" s="9" t="inlineStr">
        <is>
          <t>MAY</t>
        </is>
      </c>
      <c r="LE144" s="9" t="inlineStr">
        <is>
          <t>MAY</t>
        </is>
      </c>
      <c r="LG144" s="9" t="inlineStr">
        <is>
          <t>MAY</t>
        </is>
      </c>
      <c r="LN144" s="9" t="inlineStr">
        <is>
          <t>MAY</t>
        </is>
      </c>
      <c r="LP144" s="9" t="inlineStr">
        <is>
          <t>MAY</t>
        </is>
      </c>
      <c r="LW144" s="9" t="inlineStr">
        <is>
          <t>MAY</t>
        </is>
      </c>
      <c r="LY144" s="9" t="inlineStr">
        <is>
          <t>MAY</t>
        </is>
      </c>
      <c r="MF144" s="9" t="inlineStr">
        <is>
          <t>MAY</t>
        </is>
      </c>
      <c r="MH144" s="9" t="inlineStr">
        <is>
          <t>MAY</t>
        </is>
      </c>
      <c r="MO144" s="9" t="inlineStr">
        <is>
          <t>MAY</t>
        </is>
      </c>
      <c r="MQ144" s="9" t="inlineStr">
        <is>
          <t>MAY</t>
        </is>
      </c>
      <c r="MX144" s="9" t="inlineStr">
        <is>
          <t>MAY</t>
        </is>
      </c>
      <c r="MZ144" s="9" t="inlineStr">
        <is>
          <t>MAY</t>
        </is>
      </c>
      <c r="NG144" s="9" t="inlineStr">
        <is>
          <t>MAY</t>
        </is>
      </c>
      <c r="NI144" s="9" t="inlineStr">
        <is>
          <t>MAY</t>
        </is>
      </c>
      <c r="NP144" s="9" t="inlineStr">
        <is>
          <t>MAY</t>
        </is>
      </c>
      <c r="NR144" s="9" t="inlineStr">
        <is>
          <t>MAY</t>
        </is>
      </c>
      <c r="NY144" s="9" t="inlineStr">
        <is>
          <t>MAY</t>
        </is>
      </c>
      <c r="OA144" s="9" t="inlineStr">
        <is>
          <t>MAY</t>
        </is>
      </c>
      <c r="OH144" s="9" t="inlineStr">
        <is>
          <t>MAY</t>
        </is>
      </c>
      <c r="OJ144" s="9" t="inlineStr">
        <is>
          <t>MAY</t>
        </is>
      </c>
      <c r="OQ144" s="9" t="inlineStr">
        <is>
          <t>MAY</t>
        </is>
      </c>
      <c r="OS144" s="9" t="inlineStr">
        <is>
          <t>MAY</t>
        </is>
      </c>
      <c r="OZ144" s="9" t="inlineStr">
        <is>
          <t>MAY</t>
        </is>
      </c>
      <c r="PB144" s="9" t="inlineStr">
        <is>
          <t>MAY</t>
        </is>
      </c>
      <c r="PI144" s="9" t="inlineStr">
        <is>
          <t>MAY</t>
        </is>
      </c>
      <c r="PK144" s="9" t="inlineStr">
        <is>
          <t>MAY</t>
        </is>
      </c>
      <c r="PR144" s="9" t="inlineStr">
        <is>
          <t>MAY</t>
        </is>
      </c>
      <c r="PT144" s="9" t="inlineStr">
        <is>
          <t>MAY</t>
        </is>
      </c>
      <c r="QA144" s="9" t="inlineStr">
        <is>
          <t>MAY</t>
        </is>
      </c>
      <c r="QC144" s="9" t="inlineStr">
        <is>
          <t>MAY</t>
        </is>
      </c>
      <c r="QJ144" s="9" t="inlineStr">
        <is>
          <t>MAY</t>
        </is>
      </c>
      <c r="QL144" s="9" t="inlineStr">
        <is>
          <t>MAY</t>
        </is>
      </c>
      <c r="QS144" s="9" t="inlineStr">
        <is>
          <t>MAY</t>
        </is>
      </c>
      <c r="QU144" s="9" t="inlineStr">
        <is>
          <t>MAY</t>
        </is>
      </c>
      <c r="RB144" s="9" t="inlineStr">
        <is>
          <t>MAY</t>
        </is>
      </c>
      <c r="RD144" s="9" t="inlineStr">
        <is>
          <t>MAY</t>
        </is>
      </c>
      <c r="RK144" s="9" t="inlineStr">
        <is>
          <t>MAY</t>
        </is>
      </c>
      <c r="RM144" s="9" t="inlineStr">
        <is>
          <t>MAY</t>
        </is>
      </c>
      <c r="RT144" s="9" t="inlineStr">
        <is>
          <t>MAY</t>
        </is>
      </c>
      <c r="RV144" s="9" t="inlineStr">
        <is>
          <t>MAY</t>
        </is>
      </c>
      <c r="SC144" s="9" t="inlineStr">
        <is>
          <t>MAY</t>
        </is>
      </c>
      <c r="SE144" s="9" t="inlineStr">
        <is>
          <t>MAY</t>
        </is>
      </c>
      <c r="SL144" s="9" t="inlineStr">
        <is>
          <t>MAY</t>
        </is>
      </c>
      <c r="SN144" s="9" t="inlineStr">
        <is>
          <t>MAY</t>
        </is>
      </c>
      <c r="SU144" s="9" t="inlineStr">
        <is>
          <t>MAY</t>
        </is>
      </c>
      <c r="SW144" s="9" t="inlineStr">
        <is>
          <t>MAY</t>
        </is>
      </c>
      <c r="TD144" s="9" t="inlineStr">
        <is>
          <t>MAY</t>
        </is>
      </c>
      <c r="TF144" s="9" t="inlineStr">
        <is>
          <t>MAY</t>
        </is>
      </c>
      <c r="TM144" s="9" t="inlineStr">
        <is>
          <t>MAY</t>
        </is>
      </c>
      <c r="TO144" s="9" t="inlineStr">
        <is>
          <t>MAY</t>
        </is>
      </c>
      <c r="TV144" s="9" t="inlineStr">
        <is>
          <t>MAY</t>
        </is>
      </c>
      <c r="TX144" s="9" t="inlineStr">
        <is>
          <t>MAY</t>
        </is>
      </c>
      <c r="UE144" s="9" t="inlineStr">
        <is>
          <t>MAY</t>
        </is>
      </c>
      <c r="UG144" s="9" t="inlineStr">
        <is>
          <t>MAY</t>
        </is>
      </c>
      <c r="UN144" s="9" t="inlineStr">
        <is>
          <t>MAY</t>
        </is>
      </c>
      <c r="UP144" s="9" t="inlineStr">
        <is>
          <t>MAY</t>
        </is>
      </c>
      <c r="UW144" s="9" t="inlineStr">
        <is>
          <t>MAY</t>
        </is>
      </c>
      <c r="UY144" s="9" t="inlineStr">
        <is>
          <t>MAY</t>
        </is>
      </c>
      <c r="VF144" s="9" t="inlineStr">
        <is>
          <t>MAY</t>
        </is>
      </c>
      <c r="VH144" s="9" t="inlineStr">
        <is>
          <t>MAY</t>
        </is>
      </c>
      <c r="VO144" s="9" t="inlineStr">
        <is>
          <t>MAY</t>
        </is>
      </c>
      <c r="VQ144" s="9" t="inlineStr">
        <is>
          <t>MAY</t>
        </is>
      </c>
      <c r="VX144" s="9" t="inlineStr">
        <is>
          <t>MAY</t>
        </is>
      </c>
      <c r="VZ144" s="9" t="inlineStr">
        <is>
          <t>MAY</t>
        </is>
      </c>
      <c r="WG144" s="9" t="inlineStr">
        <is>
          <t>MAY</t>
        </is>
      </c>
      <c r="WI144" s="9" t="inlineStr">
        <is>
          <t>MAY</t>
        </is>
      </c>
      <c r="WP144" s="9" t="inlineStr">
        <is>
          <t>MAY</t>
        </is>
      </c>
      <c r="WR144" s="9" t="inlineStr">
        <is>
          <t>MAY</t>
        </is>
      </c>
      <c r="WY144" s="9" t="inlineStr">
        <is>
          <t>MAY</t>
        </is>
      </c>
      <c r="XA144" s="9" t="inlineStr">
        <is>
          <t>MAY</t>
        </is>
      </c>
      <c r="XH144" s="9" t="inlineStr">
        <is>
          <t>MAY</t>
        </is>
      </c>
      <c r="XJ144" s="9" t="inlineStr">
        <is>
          <t>MAY</t>
        </is>
      </c>
      <c r="XQ144" s="9" t="inlineStr">
        <is>
          <t>MAY</t>
        </is>
      </c>
      <c r="XS144" s="9" t="inlineStr">
        <is>
          <t>MAY</t>
        </is>
      </c>
      <c r="XZ144" s="9" t="inlineStr">
        <is>
          <t>MAY</t>
        </is>
      </c>
      <c r="YB144" s="9" t="inlineStr">
        <is>
          <t>MAY</t>
        </is>
      </c>
      <c r="YI144" s="9" t="inlineStr">
        <is>
          <t>MAY</t>
        </is>
      </c>
      <c r="YK144" s="9" t="inlineStr">
        <is>
          <t>MAY</t>
        </is>
      </c>
      <c r="YR144" s="9" t="inlineStr">
        <is>
          <t>MAY</t>
        </is>
      </c>
      <c r="YT144" s="9" t="inlineStr">
        <is>
          <t>MAY</t>
        </is>
      </c>
      <c r="ZA144" s="9" t="inlineStr">
        <is>
          <t>MAY</t>
        </is>
      </c>
      <c r="ZC144" s="9" t="inlineStr">
        <is>
          <t>MAY</t>
        </is>
      </c>
      <c r="ZJ144" s="9" t="inlineStr">
        <is>
          <t>MAY</t>
        </is>
      </c>
      <c r="ZL144" s="9" t="inlineStr">
        <is>
          <t>MAY</t>
        </is>
      </c>
      <c r="ZS144" s="9" t="inlineStr">
        <is>
          <t>MAY</t>
        </is>
      </c>
      <c r="ZU144" s="9" t="inlineStr">
        <is>
          <t>MAY</t>
        </is>
      </c>
      <c r="AAB144" s="9" t="inlineStr">
        <is>
          <t>MAY</t>
        </is>
      </c>
      <c r="AAD144" s="9" t="inlineStr">
        <is>
          <t>MAY</t>
        </is>
      </c>
      <c r="AAK144" s="9" t="inlineStr">
        <is>
          <t>MAY</t>
        </is>
      </c>
      <c r="AAM144" s="9" t="inlineStr">
        <is>
          <t>MAY</t>
        </is>
      </c>
      <c r="AAT144" s="9" t="inlineStr">
        <is>
          <t>MAY</t>
        </is>
      </c>
      <c r="AAV144" s="9" t="inlineStr">
        <is>
          <t>MAY</t>
        </is>
      </c>
      <c r="ABC144" s="9" t="inlineStr">
        <is>
          <t>MAY</t>
        </is>
      </c>
      <c r="ABE144" s="9" t="inlineStr">
        <is>
          <t>MAY</t>
        </is>
      </c>
    </row>
    <row r="145">
      <c r="C145" s="9" t="inlineStr">
        <is>
          <t>Date</t>
        </is>
      </c>
      <c r="D145" s="9" t="inlineStr">
        <is>
          <t>Intake</t>
        </is>
      </c>
      <c r="E145" s="9" t="inlineStr">
        <is>
          <t>Usage</t>
        </is>
      </c>
      <c r="F145" s="9" t="inlineStr">
        <is>
          <t>Actual</t>
        </is>
      </c>
      <c r="G145" s="9" t="inlineStr">
        <is>
          <t>Adjustment</t>
        </is>
      </c>
      <c r="H145" s="9" t="inlineStr">
        <is>
          <t>Balance</t>
        </is>
      </c>
      <c r="I145" s="9" t="inlineStr">
        <is>
          <t>Remarks</t>
        </is>
      </c>
      <c r="L145" s="9" t="inlineStr">
        <is>
          <t>Date</t>
        </is>
      </c>
      <c r="M145" s="9" t="inlineStr">
        <is>
          <t>Intake</t>
        </is>
      </c>
      <c r="N145" s="9" t="inlineStr">
        <is>
          <t>Usage</t>
        </is>
      </c>
      <c r="O145" s="9" t="inlineStr">
        <is>
          <t>Actual</t>
        </is>
      </c>
      <c r="P145" s="9" t="inlineStr">
        <is>
          <t>Adjustment</t>
        </is>
      </c>
      <c r="Q145" s="9" t="inlineStr">
        <is>
          <t>Balance</t>
        </is>
      </c>
      <c r="R145" s="9" t="inlineStr">
        <is>
          <t>Remarks</t>
        </is>
      </c>
      <c r="U145" s="9" t="inlineStr">
        <is>
          <t>Date</t>
        </is>
      </c>
      <c r="V145" s="9" t="inlineStr">
        <is>
          <t>Intake</t>
        </is>
      </c>
      <c r="W145" s="9" t="inlineStr">
        <is>
          <t>Usage</t>
        </is>
      </c>
      <c r="X145" s="9" t="inlineStr">
        <is>
          <t>Actual</t>
        </is>
      </c>
      <c r="Y145" s="9" t="inlineStr">
        <is>
          <t>Adjustment</t>
        </is>
      </c>
      <c r="Z145" s="9" t="inlineStr">
        <is>
          <t>Balance</t>
        </is>
      </c>
      <c r="AA145" s="9" t="inlineStr">
        <is>
          <t>Remarks</t>
        </is>
      </c>
      <c r="AD145" s="9" t="inlineStr">
        <is>
          <t>Date</t>
        </is>
      </c>
      <c r="AE145" s="9" t="inlineStr">
        <is>
          <t>Intake</t>
        </is>
      </c>
      <c r="AF145" s="9" t="inlineStr">
        <is>
          <t>Usage</t>
        </is>
      </c>
      <c r="AG145" s="9" t="inlineStr">
        <is>
          <t>Actual</t>
        </is>
      </c>
      <c r="AH145" s="9" t="inlineStr">
        <is>
          <t>Adjustment</t>
        </is>
      </c>
      <c r="AI145" s="9" t="inlineStr">
        <is>
          <t>Balance</t>
        </is>
      </c>
      <c r="AJ145" s="9" t="inlineStr">
        <is>
          <t>Remarks</t>
        </is>
      </c>
      <c r="AM145" s="9" t="inlineStr">
        <is>
          <t>Date</t>
        </is>
      </c>
      <c r="AN145" s="9" t="inlineStr">
        <is>
          <t>Intake</t>
        </is>
      </c>
      <c r="AO145" s="9" t="inlineStr">
        <is>
          <t>Usage</t>
        </is>
      </c>
      <c r="AP145" s="9" t="inlineStr">
        <is>
          <t>Actual</t>
        </is>
      </c>
      <c r="AQ145" s="9" t="inlineStr">
        <is>
          <t>Adjustment</t>
        </is>
      </c>
      <c r="AR145" s="9" t="inlineStr">
        <is>
          <t>Balance</t>
        </is>
      </c>
      <c r="AS145" s="9" t="inlineStr">
        <is>
          <t>Remarks</t>
        </is>
      </c>
      <c r="AV145" s="9" t="inlineStr">
        <is>
          <t>Date</t>
        </is>
      </c>
      <c r="AW145" s="9" t="inlineStr">
        <is>
          <t>Intake</t>
        </is>
      </c>
      <c r="AX145" s="9" t="inlineStr">
        <is>
          <t>Usage</t>
        </is>
      </c>
      <c r="AY145" s="9" t="inlineStr">
        <is>
          <t>Actual</t>
        </is>
      </c>
      <c r="AZ145" s="9" t="inlineStr">
        <is>
          <t>Adjustment</t>
        </is>
      </c>
      <c r="BA145" s="9" t="inlineStr">
        <is>
          <t>Balance</t>
        </is>
      </c>
      <c r="BB145" s="9" t="inlineStr">
        <is>
          <t>Remarks</t>
        </is>
      </c>
      <c r="BE145" s="9" t="inlineStr">
        <is>
          <t>Date</t>
        </is>
      </c>
      <c r="BF145" s="9" t="inlineStr">
        <is>
          <t>Intake</t>
        </is>
      </c>
      <c r="BG145" s="9" t="inlineStr">
        <is>
          <t>Usage</t>
        </is>
      </c>
      <c r="BH145" s="9" t="inlineStr">
        <is>
          <t>Actual</t>
        </is>
      </c>
      <c r="BI145" s="9" t="inlineStr">
        <is>
          <t>Adjustment</t>
        </is>
      </c>
      <c r="BJ145" s="9" t="inlineStr">
        <is>
          <t>Balance</t>
        </is>
      </c>
      <c r="BK145" s="9" t="inlineStr">
        <is>
          <t>Remarks</t>
        </is>
      </c>
      <c r="BN145" s="9" t="inlineStr">
        <is>
          <t>Date</t>
        </is>
      </c>
      <c r="BO145" s="9" t="inlineStr">
        <is>
          <t>Intake</t>
        </is>
      </c>
      <c r="BP145" s="9" t="inlineStr">
        <is>
          <t>Usage</t>
        </is>
      </c>
      <c r="BQ145" s="9" t="inlineStr">
        <is>
          <t>Actual</t>
        </is>
      </c>
      <c r="BR145" s="9" t="inlineStr">
        <is>
          <t>Adjustment</t>
        </is>
      </c>
      <c r="BS145" s="9" t="inlineStr">
        <is>
          <t>Balance</t>
        </is>
      </c>
      <c r="BT145" s="9" t="inlineStr">
        <is>
          <t>Remarks</t>
        </is>
      </c>
      <c r="BW145" s="9" t="inlineStr">
        <is>
          <t>Date</t>
        </is>
      </c>
      <c r="BX145" s="9" t="inlineStr">
        <is>
          <t>Intake</t>
        </is>
      </c>
      <c r="BY145" s="9" t="inlineStr">
        <is>
          <t>Usage</t>
        </is>
      </c>
      <c r="BZ145" s="9" t="inlineStr">
        <is>
          <t>Actual</t>
        </is>
      </c>
      <c r="CA145" s="9" t="inlineStr">
        <is>
          <t>Adjustment</t>
        </is>
      </c>
      <c r="CB145" s="9" t="inlineStr">
        <is>
          <t>Balance</t>
        </is>
      </c>
      <c r="CC145" s="9" t="inlineStr">
        <is>
          <t>Remarks</t>
        </is>
      </c>
      <c r="CF145" s="9" t="inlineStr">
        <is>
          <t>Date</t>
        </is>
      </c>
      <c r="CG145" s="9" t="inlineStr">
        <is>
          <t>Intake</t>
        </is>
      </c>
      <c r="CH145" s="9" t="inlineStr">
        <is>
          <t>Usage</t>
        </is>
      </c>
      <c r="CI145" s="9" t="inlineStr">
        <is>
          <t>Actual</t>
        </is>
      </c>
      <c r="CJ145" s="9" t="inlineStr">
        <is>
          <t>Adjustment</t>
        </is>
      </c>
      <c r="CK145" s="9" t="inlineStr">
        <is>
          <t>Balance</t>
        </is>
      </c>
      <c r="CL145" s="9" t="inlineStr">
        <is>
          <t>Remarks</t>
        </is>
      </c>
      <c r="CO145" s="9" t="inlineStr">
        <is>
          <t>Date</t>
        </is>
      </c>
      <c r="CP145" s="9" t="inlineStr">
        <is>
          <t>Intake</t>
        </is>
      </c>
      <c r="CQ145" s="9" t="inlineStr">
        <is>
          <t>Usage</t>
        </is>
      </c>
      <c r="CR145" s="9" t="inlineStr">
        <is>
          <t>Actual</t>
        </is>
      </c>
      <c r="CS145" s="9" t="inlineStr">
        <is>
          <t>Adjustment</t>
        </is>
      </c>
      <c r="CT145" s="9" t="inlineStr">
        <is>
          <t>Balance</t>
        </is>
      </c>
      <c r="CU145" s="9" t="inlineStr">
        <is>
          <t>Remarks</t>
        </is>
      </c>
      <c r="CX145" s="9" t="inlineStr">
        <is>
          <t>Date</t>
        </is>
      </c>
      <c r="CY145" s="9" t="inlineStr">
        <is>
          <t>Intake</t>
        </is>
      </c>
      <c r="CZ145" s="9" t="inlineStr">
        <is>
          <t>Usage</t>
        </is>
      </c>
      <c r="DA145" s="9" t="inlineStr">
        <is>
          <t>Actual</t>
        </is>
      </c>
      <c r="DB145" s="9" t="inlineStr">
        <is>
          <t>Adjustment</t>
        </is>
      </c>
      <c r="DC145" s="9" t="inlineStr">
        <is>
          <t>Balance</t>
        </is>
      </c>
      <c r="DD145" s="9" t="inlineStr">
        <is>
          <t>Remarks</t>
        </is>
      </c>
      <c r="DG145" s="9" t="inlineStr">
        <is>
          <t>Date</t>
        </is>
      </c>
      <c r="DH145" s="9" t="inlineStr">
        <is>
          <t>Intake</t>
        </is>
      </c>
      <c r="DI145" s="9" t="inlineStr">
        <is>
          <t>Usage</t>
        </is>
      </c>
      <c r="DJ145" s="9" t="inlineStr">
        <is>
          <t>Actual</t>
        </is>
      </c>
      <c r="DK145" s="9" t="inlineStr">
        <is>
          <t>Adjustment</t>
        </is>
      </c>
      <c r="DL145" s="9" t="inlineStr">
        <is>
          <t>Balance</t>
        </is>
      </c>
      <c r="DM145" s="9" t="inlineStr">
        <is>
          <t>Remarks</t>
        </is>
      </c>
      <c r="DP145" s="9" t="inlineStr">
        <is>
          <t>Date</t>
        </is>
      </c>
      <c r="DQ145" s="9" t="inlineStr">
        <is>
          <t>Intake</t>
        </is>
      </c>
      <c r="DR145" s="9" t="inlineStr">
        <is>
          <t>Usage</t>
        </is>
      </c>
      <c r="DS145" s="9" t="inlineStr">
        <is>
          <t>Actual</t>
        </is>
      </c>
      <c r="DT145" s="9" t="inlineStr">
        <is>
          <t>Adjustment</t>
        </is>
      </c>
      <c r="DU145" s="9" t="inlineStr">
        <is>
          <t>Balance</t>
        </is>
      </c>
      <c r="DV145" s="9" t="inlineStr">
        <is>
          <t>Remarks</t>
        </is>
      </c>
      <c r="DY145" s="9" t="inlineStr">
        <is>
          <t>Date</t>
        </is>
      </c>
      <c r="DZ145" s="9" t="inlineStr">
        <is>
          <t>Intake</t>
        </is>
      </c>
      <c r="EA145" s="9" t="inlineStr">
        <is>
          <t>Usage</t>
        </is>
      </c>
      <c r="EB145" s="9" t="inlineStr">
        <is>
          <t>Actual</t>
        </is>
      </c>
      <c r="EC145" s="9" t="inlineStr">
        <is>
          <t>Adjustment</t>
        </is>
      </c>
      <c r="ED145" s="9" t="inlineStr">
        <is>
          <t>Balance</t>
        </is>
      </c>
      <c r="EE145" s="9" t="inlineStr">
        <is>
          <t>Remarks</t>
        </is>
      </c>
      <c r="EH145" s="9" t="inlineStr">
        <is>
          <t>Date</t>
        </is>
      </c>
      <c r="EI145" s="9" t="inlineStr">
        <is>
          <t>Intake</t>
        </is>
      </c>
      <c r="EJ145" s="9" t="inlineStr">
        <is>
          <t>Usage</t>
        </is>
      </c>
      <c r="EK145" s="9" t="inlineStr">
        <is>
          <t>Actual</t>
        </is>
      </c>
      <c r="EL145" s="9" t="inlineStr">
        <is>
          <t>Adjustment</t>
        </is>
      </c>
      <c r="EM145" s="9" t="inlineStr">
        <is>
          <t>Balance</t>
        </is>
      </c>
      <c r="EN145" s="9" t="inlineStr">
        <is>
          <t>Remarks</t>
        </is>
      </c>
      <c r="EQ145" s="9" t="inlineStr">
        <is>
          <t>Date</t>
        </is>
      </c>
      <c r="ER145" s="9" t="inlineStr">
        <is>
          <t>Intake</t>
        </is>
      </c>
      <c r="ES145" s="9" t="inlineStr">
        <is>
          <t>Usage</t>
        </is>
      </c>
      <c r="ET145" s="9" t="inlineStr">
        <is>
          <t>Actual</t>
        </is>
      </c>
      <c r="EU145" s="9" t="inlineStr">
        <is>
          <t>Adjustment</t>
        </is>
      </c>
      <c r="EV145" s="9" t="inlineStr">
        <is>
          <t>Balance</t>
        </is>
      </c>
      <c r="EW145" s="9" t="inlineStr">
        <is>
          <t>Remarks</t>
        </is>
      </c>
      <c r="EZ145" s="9" t="inlineStr">
        <is>
          <t>Date</t>
        </is>
      </c>
      <c r="FA145" s="9" t="inlineStr">
        <is>
          <t>Intake</t>
        </is>
      </c>
      <c r="FB145" s="9" t="inlineStr">
        <is>
          <t>Usage</t>
        </is>
      </c>
      <c r="FC145" s="9" t="inlineStr">
        <is>
          <t>Actual</t>
        </is>
      </c>
      <c r="FD145" s="9" t="inlineStr">
        <is>
          <t>Adjustment</t>
        </is>
      </c>
      <c r="FE145" s="9" t="inlineStr">
        <is>
          <t>Balance</t>
        </is>
      </c>
      <c r="FF145" s="9" t="inlineStr">
        <is>
          <t>Remarks</t>
        </is>
      </c>
      <c r="FI145" s="9" t="inlineStr">
        <is>
          <t>Date</t>
        </is>
      </c>
      <c r="FJ145" s="9" t="inlineStr">
        <is>
          <t>Intake</t>
        </is>
      </c>
      <c r="FK145" s="9" t="inlineStr">
        <is>
          <t>Usage</t>
        </is>
      </c>
      <c r="FL145" s="9" t="inlineStr">
        <is>
          <t>Actual</t>
        </is>
      </c>
      <c r="FM145" s="9" t="inlineStr">
        <is>
          <t>Adjustment</t>
        </is>
      </c>
      <c r="FN145" s="9" t="inlineStr">
        <is>
          <t>Balance</t>
        </is>
      </c>
      <c r="FO145" s="9" t="inlineStr">
        <is>
          <t>Remarks</t>
        </is>
      </c>
      <c r="FR145" s="9" t="inlineStr">
        <is>
          <t>Date</t>
        </is>
      </c>
      <c r="FS145" s="9" t="inlineStr">
        <is>
          <t>Intake</t>
        </is>
      </c>
      <c r="FT145" s="9" t="inlineStr">
        <is>
          <t>Usage</t>
        </is>
      </c>
      <c r="FU145" s="9" t="inlineStr">
        <is>
          <t>Actual</t>
        </is>
      </c>
      <c r="FV145" s="9" t="inlineStr">
        <is>
          <t>Adjustment</t>
        </is>
      </c>
      <c r="FW145" s="9" t="inlineStr">
        <is>
          <t>Balance</t>
        </is>
      </c>
      <c r="FX145" s="9" t="inlineStr">
        <is>
          <t>Remarks</t>
        </is>
      </c>
      <c r="GA145" s="9" t="inlineStr">
        <is>
          <t>Date</t>
        </is>
      </c>
      <c r="GB145" s="9" t="inlineStr">
        <is>
          <t>Intake</t>
        </is>
      </c>
      <c r="GC145" s="9" t="inlineStr">
        <is>
          <t>Usage</t>
        </is>
      </c>
      <c r="GD145" s="9" t="inlineStr">
        <is>
          <t>Actual</t>
        </is>
      </c>
      <c r="GE145" s="9" t="inlineStr">
        <is>
          <t>Adjustment</t>
        </is>
      </c>
      <c r="GF145" s="9" t="inlineStr">
        <is>
          <t>Balance</t>
        </is>
      </c>
      <c r="GG145" s="9" t="inlineStr">
        <is>
          <t>Remarks</t>
        </is>
      </c>
      <c r="GJ145" s="9" t="inlineStr">
        <is>
          <t>Date</t>
        </is>
      </c>
      <c r="GK145" s="9" t="inlineStr">
        <is>
          <t>Intake</t>
        </is>
      </c>
      <c r="GL145" s="9" t="inlineStr">
        <is>
          <t>Usage</t>
        </is>
      </c>
      <c r="GM145" s="9" t="inlineStr">
        <is>
          <t>Actual</t>
        </is>
      </c>
      <c r="GN145" s="9" t="inlineStr">
        <is>
          <t>Adjustment</t>
        </is>
      </c>
      <c r="GO145" s="9" t="inlineStr">
        <is>
          <t>Balance</t>
        </is>
      </c>
      <c r="GP145" s="9" t="inlineStr">
        <is>
          <t>Remarks</t>
        </is>
      </c>
      <c r="GS145" s="9" t="inlineStr">
        <is>
          <t>Date</t>
        </is>
      </c>
      <c r="GT145" s="9" t="inlineStr">
        <is>
          <t>Intake</t>
        </is>
      </c>
      <c r="GU145" s="9" t="inlineStr">
        <is>
          <t>Usage</t>
        </is>
      </c>
      <c r="GV145" s="9" t="inlineStr">
        <is>
          <t>Actual</t>
        </is>
      </c>
      <c r="GW145" s="9" t="inlineStr">
        <is>
          <t>Adjustment</t>
        </is>
      </c>
      <c r="GX145" s="9" t="inlineStr">
        <is>
          <t>Balance</t>
        </is>
      </c>
      <c r="GY145" s="9" t="inlineStr">
        <is>
          <t>Remarks</t>
        </is>
      </c>
      <c r="HB145" s="9" t="inlineStr">
        <is>
          <t>Date</t>
        </is>
      </c>
      <c r="HC145" s="9" t="inlineStr">
        <is>
          <t>Intake</t>
        </is>
      </c>
      <c r="HD145" s="9" t="inlineStr">
        <is>
          <t>Usage</t>
        </is>
      </c>
      <c r="HE145" s="9" t="inlineStr">
        <is>
          <t>Actual</t>
        </is>
      </c>
      <c r="HF145" s="9" t="inlineStr">
        <is>
          <t>Adjustment</t>
        </is>
      </c>
      <c r="HG145" s="9" t="inlineStr">
        <is>
          <t>Balance</t>
        </is>
      </c>
      <c r="HH145" s="9" t="inlineStr">
        <is>
          <t>Remarks</t>
        </is>
      </c>
      <c r="HK145" s="9" t="inlineStr">
        <is>
          <t>Date</t>
        </is>
      </c>
      <c r="HL145" s="9" t="inlineStr">
        <is>
          <t>Intake</t>
        </is>
      </c>
      <c r="HM145" s="9" t="inlineStr">
        <is>
          <t>Usage</t>
        </is>
      </c>
      <c r="HN145" s="9" t="inlineStr">
        <is>
          <t>Actual</t>
        </is>
      </c>
      <c r="HO145" s="9" t="inlineStr">
        <is>
          <t>Adjustment</t>
        </is>
      </c>
      <c r="HP145" s="9" t="inlineStr">
        <is>
          <t>Balance</t>
        </is>
      </c>
      <c r="HQ145" s="9" t="inlineStr">
        <is>
          <t>Remarks</t>
        </is>
      </c>
      <c r="HU145" s="9" t="inlineStr">
        <is>
          <t>Date</t>
        </is>
      </c>
      <c r="HV145" s="9" t="inlineStr">
        <is>
          <t>Intake</t>
        </is>
      </c>
      <c r="HW145" s="9" t="inlineStr">
        <is>
          <t>Usage</t>
        </is>
      </c>
      <c r="HX145" s="9" t="inlineStr">
        <is>
          <t>Actual</t>
        </is>
      </c>
      <c r="HY145" s="9" t="inlineStr">
        <is>
          <t>Adjustment</t>
        </is>
      </c>
      <c r="HZ145" s="9" t="inlineStr">
        <is>
          <t>Balance</t>
        </is>
      </c>
      <c r="IA145" s="9" t="inlineStr">
        <is>
          <t>Remarks</t>
        </is>
      </c>
      <c r="ID145" s="9" t="inlineStr">
        <is>
          <t>Date</t>
        </is>
      </c>
      <c r="IE145" s="9" t="inlineStr">
        <is>
          <t>Intake</t>
        </is>
      </c>
      <c r="IF145" s="9" t="inlineStr">
        <is>
          <t>Usage</t>
        </is>
      </c>
      <c r="IG145" s="9" t="inlineStr">
        <is>
          <t>Actual</t>
        </is>
      </c>
      <c r="IH145" s="9" t="inlineStr">
        <is>
          <t>Adjustment</t>
        </is>
      </c>
      <c r="II145" s="9" t="inlineStr">
        <is>
          <t>Balance</t>
        </is>
      </c>
      <c r="IJ145" s="9" t="inlineStr">
        <is>
          <t>Remarks</t>
        </is>
      </c>
      <c r="IM145" s="9" t="inlineStr">
        <is>
          <t>Date</t>
        </is>
      </c>
      <c r="IN145" s="9" t="inlineStr">
        <is>
          <t>Intake</t>
        </is>
      </c>
      <c r="IO145" s="9" t="inlineStr">
        <is>
          <t>Usage</t>
        </is>
      </c>
      <c r="IP145" s="9" t="inlineStr">
        <is>
          <t>Actual</t>
        </is>
      </c>
      <c r="IQ145" s="9" t="inlineStr">
        <is>
          <t>Adjustment</t>
        </is>
      </c>
      <c r="IR145" s="9" t="inlineStr">
        <is>
          <t>Balance</t>
        </is>
      </c>
      <c r="IS145" s="9" t="inlineStr">
        <is>
          <t>Remarks</t>
        </is>
      </c>
      <c r="IV145" s="9" t="inlineStr">
        <is>
          <t>Date</t>
        </is>
      </c>
      <c r="IW145" s="9" t="inlineStr">
        <is>
          <t>Intake</t>
        </is>
      </c>
      <c r="IX145" s="9" t="inlineStr">
        <is>
          <t>Usage</t>
        </is>
      </c>
      <c r="IY145" s="9" t="inlineStr">
        <is>
          <t>Actual</t>
        </is>
      </c>
      <c r="IZ145" s="9" t="inlineStr">
        <is>
          <t>Adjustment</t>
        </is>
      </c>
      <c r="JA145" s="9" t="inlineStr">
        <is>
          <t>Balance</t>
        </is>
      </c>
      <c r="JB145" s="9" t="inlineStr">
        <is>
          <t>Remarks</t>
        </is>
      </c>
      <c r="JE145" s="9" t="inlineStr">
        <is>
          <t>Date</t>
        </is>
      </c>
      <c r="JF145" s="9" t="inlineStr">
        <is>
          <t>Intake</t>
        </is>
      </c>
      <c r="JG145" s="9" t="inlineStr">
        <is>
          <t>Usage</t>
        </is>
      </c>
      <c r="JH145" s="9" t="inlineStr">
        <is>
          <t>Actual</t>
        </is>
      </c>
      <c r="JI145" s="9" t="inlineStr">
        <is>
          <t>Adjustment</t>
        </is>
      </c>
      <c r="JJ145" s="9" t="inlineStr">
        <is>
          <t>Balance</t>
        </is>
      </c>
      <c r="JK145" s="9" t="inlineStr">
        <is>
          <t>Remarks</t>
        </is>
      </c>
      <c r="JN145" s="9" t="inlineStr">
        <is>
          <t>Date</t>
        </is>
      </c>
      <c r="JO145" s="9" t="inlineStr">
        <is>
          <t>Intake</t>
        </is>
      </c>
      <c r="JP145" s="9" t="inlineStr">
        <is>
          <t>Usage</t>
        </is>
      </c>
      <c r="JQ145" s="9" t="inlineStr">
        <is>
          <t>Actual</t>
        </is>
      </c>
      <c r="JR145" s="9" t="inlineStr">
        <is>
          <t>Adjustment</t>
        </is>
      </c>
      <c r="JS145" s="9" t="inlineStr">
        <is>
          <t>Balance</t>
        </is>
      </c>
      <c r="JT145" s="9" t="inlineStr">
        <is>
          <t>Remarks</t>
        </is>
      </c>
      <c r="JW145" s="9" t="inlineStr">
        <is>
          <t>Date</t>
        </is>
      </c>
      <c r="JX145" s="9" t="inlineStr">
        <is>
          <t>Intake</t>
        </is>
      </c>
      <c r="JY145" s="9" t="inlineStr">
        <is>
          <t>Usage</t>
        </is>
      </c>
      <c r="JZ145" s="9" t="inlineStr">
        <is>
          <t>Actual</t>
        </is>
      </c>
      <c r="KA145" s="9" t="inlineStr">
        <is>
          <t>Adjustment</t>
        </is>
      </c>
      <c r="KB145" s="9" t="inlineStr">
        <is>
          <t>Balance</t>
        </is>
      </c>
      <c r="KC145" s="9" t="inlineStr">
        <is>
          <t>Remarks</t>
        </is>
      </c>
      <c r="KF145" s="9" t="inlineStr">
        <is>
          <t>Date</t>
        </is>
      </c>
      <c r="KG145" s="9" t="inlineStr">
        <is>
          <t>Intake</t>
        </is>
      </c>
      <c r="KH145" s="9" t="inlineStr">
        <is>
          <t>Usage</t>
        </is>
      </c>
      <c r="KI145" s="9" t="inlineStr">
        <is>
          <t>Actual</t>
        </is>
      </c>
      <c r="KJ145" s="9" t="inlineStr">
        <is>
          <t>Adjustment</t>
        </is>
      </c>
      <c r="KK145" s="9" t="inlineStr">
        <is>
          <t>Balance</t>
        </is>
      </c>
      <c r="KL145" s="9" t="inlineStr">
        <is>
          <t>Remarks</t>
        </is>
      </c>
      <c r="KO145" s="9" t="inlineStr">
        <is>
          <t>Date</t>
        </is>
      </c>
      <c r="KP145" s="9" t="inlineStr">
        <is>
          <t>Intake</t>
        </is>
      </c>
      <c r="KQ145" s="9" t="inlineStr">
        <is>
          <t>Usage</t>
        </is>
      </c>
      <c r="KR145" s="9" t="inlineStr">
        <is>
          <t>Actual</t>
        </is>
      </c>
      <c r="KS145" s="9" t="inlineStr">
        <is>
          <t>Adjustment</t>
        </is>
      </c>
      <c r="KT145" s="9" t="inlineStr">
        <is>
          <t>Balance</t>
        </is>
      </c>
      <c r="KU145" s="9" t="inlineStr">
        <is>
          <t>Remarks</t>
        </is>
      </c>
      <c r="KX145" s="9" t="inlineStr">
        <is>
          <t>Date</t>
        </is>
      </c>
      <c r="KY145" s="9" t="inlineStr">
        <is>
          <t>Intake</t>
        </is>
      </c>
      <c r="KZ145" s="9" t="inlineStr">
        <is>
          <t>Usage</t>
        </is>
      </c>
      <c r="LA145" s="9" t="inlineStr">
        <is>
          <t>Actual</t>
        </is>
      </c>
      <c r="LB145" s="9" t="inlineStr">
        <is>
          <t>Adjustment</t>
        </is>
      </c>
      <c r="LC145" s="9" t="inlineStr">
        <is>
          <t>Balance</t>
        </is>
      </c>
      <c r="LD145" s="9" t="inlineStr">
        <is>
          <t>Remarks</t>
        </is>
      </c>
      <c r="LG145" s="9" t="inlineStr">
        <is>
          <t>Date</t>
        </is>
      </c>
      <c r="LH145" s="9" t="inlineStr">
        <is>
          <t>Intake</t>
        </is>
      </c>
      <c r="LI145" s="9" t="inlineStr">
        <is>
          <t>Usage</t>
        </is>
      </c>
      <c r="LJ145" s="9" t="inlineStr">
        <is>
          <t>Actual</t>
        </is>
      </c>
      <c r="LK145" s="9" t="inlineStr">
        <is>
          <t>Adjustment</t>
        </is>
      </c>
      <c r="LL145" s="9" t="inlineStr">
        <is>
          <t>Balance</t>
        </is>
      </c>
      <c r="LM145" s="9" t="inlineStr">
        <is>
          <t>Remarks</t>
        </is>
      </c>
      <c r="LP145" s="9" t="inlineStr">
        <is>
          <t>Date</t>
        </is>
      </c>
      <c r="LQ145" s="9" t="inlineStr">
        <is>
          <t>Intake</t>
        </is>
      </c>
      <c r="LR145" s="9" t="inlineStr">
        <is>
          <t>Usage</t>
        </is>
      </c>
      <c r="LS145" s="9" t="inlineStr">
        <is>
          <t>Actual</t>
        </is>
      </c>
      <c r="LT145" s="9" t="inlineStr">
        <is>
          <t>Adjustment</t>
        </is>
      </c>
      <c r="LU145" s="9" t="inlineStr">
        <is>
          <t>Balance</t>
        </is>
      </c>
      <c r="LV145" s="9" t="inlineStr">
        <is>
          <t>Remarks</t>
        </is>
      </c>
      <c r="LY145" s="9" t="inlineStr">
        <is>
          <t>Date</t>
        </is>
      </c>
      <c r="LZ145" s="9" t="inlineStr">
        <is>
          <t>Intake</t>
        </is>
      </c>
      <c r="MA145" s="9" t="inlineStr">
        <is>
          <t>Usage</t>
        </is>
      </c>
      <c r="MB145" s="9" t="inlineStr">
        <is>
          <t>Actual</t>
        </is>
      </c>
      <c r="MC145" s="9" t="inlineStr">
        <is>
          <t>Adjustment</t>
        </is>
      </c>
      <c r="MD145" s="9" t="inlineStr">
        <is>
          <t>Balance</t>
        </is>
      </c>
      <c r="ME145" s="9" t="inlineStr">
        <is>
          <t>Remarks</t>
        </is>
      </c>
      <c r="MH145" s="9" t="inlineStr">
        <is>
          <t>Date</t>
        </is>
      </c>
      <c r="MI145" s="9" t="inlineStr">
        <is>
          <t>Intake</t>
        </is>
      </c>
      <c r="MJ145" s="9" t="inlineStr">
        <is>
          <t>Usage</t>
        </is>
      </c>
      <c r="MK145" s="9" t="inlineStr">
        <is>
          <t>Actual</t>
        </is>
      </c>
      <c r="ML145" s="9" t="inlineStr">
        <is>
          <t>Adjustment</t>
        </is>
      </c>
      <c r="MM145" s="9" t="inlineStr">
        <is>
          <t>Balance</t>
        </is>
      </c>
      <c r="MN145" s="9" t="inlineStr">
        <is>
          <t>Remarks</t>
        </is>
      </c>
      <c r="MQ145" s="9" t="inlineStr">
        <is>
          <t>Date</t>
        </is>
      </c>
      <c r="MR145" s="9" t="inlineStr">
        <is>
          <t>Intake</t>
        </is>
      </c>
      <c r="MS145" s="9" t="inlineStr">
        <is>
          <t>Usage</t>
        </is>
      </c>
      <c r="MT145" s="9" t="inlineStr">
        <is>
          <t>Actual</t>
        </is>
      </c>
      <c r="MU145" s="9" t="inlineStr">
        <is>
          <t>Adjustment</t>
        </is>
      </c>
      <c r="MV145" s="9" t="inlineStr">
        <is>
          <t>Balance</t>
        </is>
      </c>
      <c r="MW145" s="9" t="inlineStr">
        <is>
          <t>Remarks</t>
        </is>
      </c>
      <c r="MZ145" s="9" t="inlineStr">
        <is>
          <t>Date</t>
        </is>
      </c>
      <c r="NA145" s="9" t="inlineStr">
        <is>
          <t>Intake</t>
        </is>
      </c>
      <c r="NB145" s="9" t="inlineStr">
        <is>
          <t>Usage</t>
        </is>
      </c>
      <c r="NC145" s="9" t="inlineStr">
        <is>
          <t>Actual</t>
        </is>
      </c>
      <c r="ND145" s="9" t="inlineStr">
        <is>
          <t>Adjustment</t>
        </is>
      </c>
      <c r="NE145" s="9" t="inlineStr">
        <is>
          <t>Balance</t>
        </is>
      </c>
      <c r="NF145" s="9" t="inlineStr">
        <is>
          <t>Remarks</t>
        </is>
      </c>
      <c r="NI145" s="9" t="inlineStr">
        <is>
          <t>Date</t>
        </is>
      </c>
      <c r="NJ145" s="9" t="inlineStr">
        <is>
          <t>Intake</t>
        </is>
      </c>
      <c r="NK145" s="9" t="inlineStr">
        <is>
          <t>Usage</t>
        </is>
      </c>
      <c r="NL145" s="9" t="inlineStr">
        <is>
          <t>Actual</t>
        </is>
      </c>
      <c r="NM145" s="9" t="inlineStr">
        <is>
          <t>Adjustment</t>
        </is>
      </c>
      <c r="NN145" s="9" t="inlineStr">
        <is>
          <t>Balance</t>
        </is>
      </c>
      <c r="NO145" s="9" t="inlineStr">
        <is>
          <t>Remarks</t>
        </is>
      </c>
      <c r="NR145" s="9" t="inlineStr">
        <is>
          <t>Date</t>
        </is>
      </c>
      <c r="NS145" s="9" t="inlineStr">
        <is>
          <t>Intake</t>
        </is>
      </c>
      <c r="NT145" s="9" t="inlineStr">
        <is>
          <t>Usage</t>
        </is>
      </c>
      <c r="NU145" s="9" t="inlineStr">
        <is>
          <t>Actual</t>
        </is>
      </c>
      <c r="NV145" s="9" t="inlineStr">
        <is>
          <t>Adjustment</t>
        </is>
      </c>
      <c r="NW145" s="9" t="inlineStr">
        <is>
          <t>Balance</t>
        </is>
      </c>
      <c r="NX145" s="9" t="inlineStr">
        <is>
          <t>Remarks</t>
        </is>
      </c>
      <c r="OA145" s="9" t="inlineStr">
        <is>
          <t>Date</t>
        </is>
      </c>
      <c r="OB145" s="9" t="inlineStr">
        <is>
          <t>Intake</t>
        </is>
      </c>
      <c r="OC145" s="9" t="inlineStr">
        <is>
          <t>Usage</t>
        </is>
      </c>
      <c r="OD145" s="9" t="inlineStr">
        <is>
          <t>Actual</t>
        </is>
      </c>
      <c r="OE145" s="9" t="inlineStr">
        <is>
          <t>Adjustment</t>
        </is>
      </c>
      <c r="OF145" s="9" t="inlineStr">
        <is>
          <t>Balance</t>
        </is>
      </c>
      <c r="OG145" s="9" t="inlineStr">
        <is>
          <t>Remarks</t>
        </is>
      </c>
      <c r="OJ145" s="9" t="inlineStr">
        <is>
          <t>Date</t>
        </is>
      </c>
      <c r="OK145" s="9" t="inlineStr">
        <is>
          <t>Intake</t>
        </is>
      </c>
      <c r="OL145" s="9" t="inlineStr">
        <is>
          <t>Usage</t>
        </is>
      </c>
      <c r="OM145" s="9" t="inlineStr">
        <is>
          <t>Actual</t>
        </is>
      </c>
      <c r="ON145" s="9" t="inlineStr">
        <is>
          <t>Adjustment</t>
        </is>
      </c>
      <c r="OO145" s="9" t="inlineStr">
        <is>
          <t>Balance</t>
        </is>
      </c>
      <c r="OP145" s="9" t="inlineStr">
        <is>
          <t>Remarks</t>
        </is>
      </c>
      <c r="OS145" s="9" t="inlineStr">
        <is>
          <t>Date</t>
        </is>
      </c>
      <c r="OT145" s="9" t="inlineStr">
        <is>
          <t>Intake</t>
        </is>
      </c>
      <c r="OU145" s="9" t="inlineStr">
        <is>
          <t>Usage</t>
        </is>
      </c>
      <c r="OV145" s="9" t="inlineStr">
        <is>
          <t>Actual</t>
        </is>
      </c>
      <c r="OW145" s="9" t="inlineStr">
        <is>
          <t>Adjustment</t>
        </is>
      </c>
      <c r="OX145" s="9" t="inlineStr">
        <is>
          <t>Balance</t>
        </is>
      </c>
      <c r="OY145" s="9" t="inlineStr">
        <is>
          <t>Remarks</t>
        </is>
      </c>
      <c r="PB145" s="9" t="inlineStr">
        <is>
          <t>Date</t>
        </is>
      </c>
      <c r="PC145" s="9" t="inlineStr">
        <is>
          <t>Intake</t>
        </is>
      </c>
      <c r="PD145" s="9" t="inlineStr">
        <is>
          <t>Usage</t>
        </is>
      </c>
      <c r="PE145" s="9" t="inlineStr">
        <is>
          <t>Actual</t>
        </is>
      </c>
      <c r="PF145" s="9" t="inlineStr">
        <is>
          <t>Adjustment</t>
        </is>
      </c>
      <c r="PG145" s="9" t="inlineStr">
        <is>
          <t>Balance</t>
        </is>
      </c>
      <c r="PH145" s="9" t="inlineStr">
        <is>
          <t>Remarks</t>
        </is>
      </c>
      <c r="PK145" s="9" t="inlineStr">
        <is>
          <t>Date</t>
        </is>
      </c>
      <c r="PL145" s="9" t="inlineStr">
        <is>
          <t>Intake</t>
        </is>
      </c>
      <c r="PM145" s="9" t="inlineStr">
        <is>
          <t>Usage</t>
        </is>
      </c>
      <c r="PN145" s="9" t="inlineStr">
        <is>
          <t>Actual</t>
        </is>
      </c>
      <c r="PO145" s="9" t="inlineStr">
        <is>
          <t>Adjustment</t>
        </is>
      </c>
      <c r="PP145" s="9" t="inlineStr">
        <is>
          <t>Balance</t>
        </is>
      </c>
      <c r="PQ145" s="9" t="inlineStr">
        <is>
          <t>Remarks</t>
        </is>
      </c>
      <c r="PT145" s="9" t="inlineStr">
        <is>
          <t>Date</t>
        </is>
      </c>
      <c r="PU145" s="9" t="inlineStr">
        <is>
          <t>Intake</t>
        </is>
      </c>
      <c r="PV145" s="9" t="inlineStr">
        <is>
          <t>Usage</t>
        </is>
      </c>
      <c r="PW145" s="9" t="inlineStr">
        <is>
          <t>Actual</t>
        </is>
      </c>
      <c r="PX145" s="9" t="inlineStr">
        <is>
          <t>Adjustment</t>
        </is>
      </c>
      <c r="PY145" s="9" t="inlineStr">
        <is>
          <t>Balance</t>
        </is>
      </c>
      <c r="PZ145" s="9" t="inlineStr">
        <is>
          <t>Remarks</t>
        </is>
      </c>
      <c r="QC145" s="9" t="inlineStr">
        <is>
          <t>Date</t>
        </is>
      </c>
      <c r="QD145" s="9" t="inlineStr">
        <is>
          <t>Intake</t>
        </is>
      </c>
      <c r="QE145" s="9" t="inlineStr">
        <is>
          <t>Usage</t>
        </is>
      </c>
      <c r="QF145" s="9" t="inlineStr">
        <is>
          <t>Actual</t>
        </is>
      </c>
      <c r="QG145" s="9" t="inlineStr">
        <is>
          <t>Adjustment</t>
        </is>
      </c>
      <c r="QH145" s="9" t="inlineStr">
        <is>
          <t>Balance</t>
        </is>
      </c>
      <c r="QI145" s="9" t="inlineStr">
        <is>
          <t>Remarks</t>
        </is>
      </c>
      <c r="QL145" s="9" t="inlineStr">
        <is>
          <t>Date</t>
        </is>
      </c>
      <c r="QM145" s="9" t="inlineStr">
        <is>
          <t>Intake</t>
        </is>
      </c>
      <c r="QN145" s="9" t="inlineStr">
        <is>
          <t>Usage</t>
        </is>
      </c>
      <c r="QO145" s="9" t="inlineStr">
        <is>
          <t>Actual</t>
        </is>
      </c>
      <c r="QP145" s="9" t="inlineStr">
        <is>
          <t>Adjustment</t>
        </is>
      </c>
      <c r="QQ145" s="9" t="inlineStr">
        <is>
          <t>Balance</t>
        </is>
      </c>
      <c r="QR145" s="9" t="inlineStr">
        <is>
          <t>Remarks</t>
        </is>
      </c>
      <c r="QU145" s="9" t="inlineStr">
        <is>
          <t>Date</t>
        </is>
      </c>
      <c r="QV145" s="9" t="inlineStr">
        <is>
          <t>Intake</t>
        </is>
      </c>
      <c r="QW145" s="9" t="inlineStr">
        <is>
          <t>Usage</t>
        </is>
      </c>
      <c r="QX145" s="9" t="inlineStr">
        <is>
          <t>Actual</t>
        </is>
      </c>
      <c r="QY145" s="9" t="inlineStr">
        <is>
          <t>Adjustment</t>
        </is>
      </c>
      <c r="QZ145" s="9" t="inlineStr">
        <is>
          <t>Balance</t>
        </is>
      </c>
      <c r="RA145" s="9" t="inlineStr">
        <is>
          <t>Remarks</t>
        </is>
      </c>
      <c r="RD145" s="9" t="inlineStr">
        <is>
          <t>Date</t>
        </is>
      </c>
      <c r="RE145" s="9" t="inlineStr">
        <is>
          <t>Intake</t>
        </is>
      </c>
      <c r="RF145" s="9" t="inlineStr">
        <is>
          <t>Usage</t>
        </is>
      </c>
      <c r="RG145" s="9" t="inlineStr">
        <is>
          <t>Actual</t>
        </is>
      </c>
      <c r="RH145" s="9" t="inlineStr">
        <is>
          <t>Adjustment</t>
        </is>
      </c>
      <c r="RI145" s="9" t="inlineStr">
        <is>
          <t>Balance</t>
        </is>
      </c>
      <c r="RJ145" s="9" t="inlineStr">
        <is>
          <t>Remarks</t>
        </is>
      </c>
      <c r="RM145" s="9" t="inlineStr">
        <is>
          <t>Date</t>
        </is>
      </c>
      <c r="RN145" s="9" t="inlineStr">
        <is>
          <t>Intake</t>
        </is>
      </c>
      <c r="RO145" s="9" t="inlineStr">
        <is>
          <t>Usage</t>
        </is>
      </c>
      <c r="RP145" s="9" t="inlineStr">
        <is>
          <t>Actual</t>
        </is>
      </c>
      <c r="RQ145" s="9" t="inlineStr">
        <is>
          <t>Adjustment</t>
        </is>
      </c>
      <c r="RR145" s="9" t="inlineStr">
        <is>
          <t>Balance</t>
        </is>
      </c>
      <c r="RS145" s="9" t="inlineStr">
        <is>
          <t>Remarks</t>
        </is>
      </c>
      <c r="RV145" s="9" t="inlineStr">
        <is>
          <t>Date</t>
        </is>
      </c>
      <c r="RW145" s="9" t="inlineStr">
        <is>
          <t>Intake</t>
        </is>
      </c>
      <c r="RX145" s="9" t="inlineStr">
        <is>
          <t>Usage</t>
        </is>
      </c>
      <c r="RY145" s="9" t="inlineStr">
        <is>
          <t>Actual</t>
        </is>
      </c>
      <c r="RZ145" s="9" t="inlineStr">
        <is>
          <t>Adjustment</t>
        </is>
      </c>
      <c r="SA145" s="9" t="inlineStr">
        <is>
          <t>Balance</t>
        </is>
      </c>
      <c r="SB145" s="9" t="inlineStr">
        <is>
          <t>Remarks</t>
        </is>
      </c>
      <c r="SE145" s="9" t="inlineStr">
        <is>
          <t>Date</t>
        </is>
      </c>
      <c r="SF145" s="9" t="inlineStr">
        <is>
          <t>Intake</t>
        </is>
      </c>
      <c r="SG145" s="9" t="inlineStr">
        <is>
          <t>Usage</t>
        </is>
      </c>
      <c r="SH145" s="9" t="inlineStr">
        <is>
          <t>Actual</t>
        </is>
      </c>
      <c r="SI145" s="9" t="inlineStr">
        <is>
          <t>Adjustment</t>
        </is>
      </c>
      <c r="SJ145" s="9" t="inlineStr">
        <is>
          <t>Balance</t>
        </is>
      </c>
      <c r="SK145" s="9" t="inlineStr">
        <is>
          <t>Remarks</t>
        </is>
      </c>
      <c r="SN145" s="9" t="inlineStr">
        <is>
          <t>Date</t>
        </is>
      </c>
      <c r="SO145" s="9" t="inlineStr">
        <is>
          <t>Intake</t>
        </is>
      </c>
      <c r="SP145" s="9" t="inlineStr">
        <is>
          <t>Usage</t>
        </is>
      </c>
      <c r="SQ145" s="9" t="inlineStr">
        <is>
          <t>Actual</t>
        </is>
      </c>
      <c r="SR145" s="9" t="inlineStr">
        <is>
          <t>Adjustment</t>
        </is>
      </c>
      <c r="SS145" s="9" t="inlineStr">
        <is>
          <t>Balance</t>
        </is>
      </c>
      <c r="ST145" s="9" t="inlineStr">
        <is>
          <t>Remarks</t>
        </is>
      </c>
      <c r="SW145" s="9" t="inlineStr">
        <is>
          <t>Date</t>
        </is>
      </c>
      <c r="SX145" s="9" t="inlineStr">
        <is>
          <t>Intake</t>
        </is>
      </c>
      <c r="SY145" s="9" t="inlineStr">
        <is>
          <t>Usage</t>
        </is>
      </c>
      <c r="SZ145" s="9" t="inlineStr">
        <is>
          <t>Actual</t>
        </is>
      </c>
      <c r="TA145" s="9" t="inlineStr">
        <is>
          <t>Adjustment</t>
        </is>
      </c>
      <c r="TB145" s="9" t="inlineStr">
        <is>
          <t>Balance</t>
        </is>
      </c>
      <c r="TC145" s="9" t="inlineStr">
        <is>
          <t>Remarks</t>
        </is>
      </c>
      <c r="TF145" s="9" t="inlineStr">
        <is>
          <t>Date</t>
        </is>
      </c>
      <c r="TG145" s="9" t="inlineStr">
        <is>
          <t>Intake</t>
        </is>
      </c>
      <c r="TH145" s="9" t="inlineStr">
        <is>
          <t>Usage</t>
        </is>
      </c>
      <c r="TI145" s="9" t="inlineStr">
        <is>
          <t>Actual</t>
        </is>
      </c>
      <c r="TJ145" s="9" t="inlineStr">
        <is>
          <t>Adjustment</t>
        </is>
      </c>
      <c r="TK145" s="9" t="inlineStr">
        <is>
          <t>Balance</t>
        </is>
      </c>
      <c r="TL145" s="9" t="inlineStr">
        <is>
          <t>Remarks</t>
        </is>
      </c>
      <c r="TO145" s="9" t="inlineStr">
        <is>
          <t>Date</t>
        </is>
      </c>
      <c r="TP145" s="9" t="inlineStr">
        <is>
          <t>Intake</t>
        </is>
      </c>
      <c r="TQ145" s="9" t="inlineStr">
        <is>
          <t>Usage</t>
        </is>
      </c>
      <c r="TR145" s="9" t="inlineStr">
        <is>
          <t>Actual</t>
        </is>
      </c>
      <c r="TS145" s="9" t="inlineStr">
        <is>
          <t>Adjustment</t>
        </is>
      </c>
      <c r="TT145" s="9" t="inlineStr">
        <is>
          <t>Balance</t>
        </is>
      </c>
      <c r="TU145" s="9" t="inlineStr">
        <is>
          <t>Remarks</t>
        </is>
      </c>
      <c r="TX145" s="9" t="inlineStr">
        <is>
          <t>Date</t>
        </is>
      </c>
      <c r="TY145" s="9" t="inlineStr">
        <is>
          <t>Intake</t>
        </is>
      </c>
      <c r="TZ145" s="9" t="inlineStr">
        <is>
          <t>Usage</t>
        </is>
      </c>
      <c r="UA145" s="9" t="inlineStr">
        <is>
          <t>Actual</t>
        </is>
      </c>
      <c r="UB145" s="9" t="inlineStr">
        <is>
          <t>Adjustment</t>
        </is>
      </c>
      <c r="UC145" s="9" t="inlineStr">
        <is>
          <t>Balance</t>
        </is>
      </c>
      <c r="UD145" s="9" t="inlineStr">
        <is>
          <t>Remarks</t>
        </is>
      </c>
      <c r="UG145" s="9" t="inlineStr">
        <is>
          <t>Date</t>
        </is>
      </c>
      <c r="UH145" s="9" t="inlineStr">
        <is>
          <t>Intake</t>
        </is>
      </c>
      <c r="UI145" s="9" t="inlineStr">
        <is>
          <t>Usage</t>
        </is>
      </c>
      <c r="UJ145" s="9" t="inlineStr">
        <is>
          <t>Actual</t>
        </is>
      </c>
      <c r="UK145" s="9" t="inlineStr">
        <is>
          <t>Adjustment</t>
        </is>
      </c>
      <c r="UL145" s="9" t="inlineStr">
        <is>
          <t>Balance</t>
        </is>
      </c>
      <c r="UM145" s="9" t="inlineStr">
        <is>
          <t>Remarks</t>
        </is>
      </c>
      <c r="UP145" s="9" t="inlineStr">
        <is>
          <t>Date</t>
        </is>
      </c>
      <c r="UQ145" s="9" t="inlineStr">
        <is>
          <t>Intake</t>
        </is>
      </c>
      <c r="UR145" s="9" t="inlineStr">
        <is>
          <t>Usage</t>
        </is>
      </c>
      <c r="US145" s="9" t="inlineStr">
        <is>
          <t>Actual</t>
        </is>
      </c>
      <c r="UT145" s="9" t="inlineStr">
        <is>
          <t>Adjustment</t>
        </is>
      </c>
      <c r="UU145" s="9" t="inlineStr">
        <is>
          <t>Balance</t>
        </is>
      </c>
      <c r="UV145" s="9" t="inlineStr">
        <is>
          <t>Remarks</t>
        </is>
      </c>
      <c r="UY145" s="9" t="inlineStr">
        <is>
          <t>Date</t>
        </is>
      </c>
      <c r="UZ145" s="9" t="inlineStr">
        <is>
          <t>Intake</t>
        </is>
      </c>
      <c r="VA145" s="9" t="inlineStr">
        <is>
          <t>Usage</t>
        </is>
      </c>
      <c r="VB145" s="9" t="inlineStr">
        <is>
          <t>Actual</t>
        </is>
      </c>
      <c r="VC145" s="9" t="inlineStr">
        <is>
          <t>Adjustment</t>
        </is>
      </c>
      <c r="VD145" s="9" t="inlineStr">
        <is>
          <t>Balance</t>
        </is>
      </c>
      <c r="VE145" s="9" t="inlineStr">
        <is>
          <t>Remarks</t>
        </is>
      </c>
      <c r="VH145" s="9" t="inlineStr">
        <is>
          <t>Date</t>
        </is>
      </c>
      <c r="VI145" s="9" t="inlineStr">
        <is>
          <t>Intake</t>
        </is>
      </c>
      <c r="VJ145" s="9" t="inlineStr">
        <is>
          <t>Usage</t>
        </is>
      </c>
      <c r="VK145" s="9" t="inlineStr">
        <is>
          <t>Actual</t>
        </is>
      </c>
      <c r="VL145" s="9" t="inlineStr">
        <is>
          <t>Adjustment</t>
        </is>
      </c>
      <c r="VM145" s="9" t="inlineStr">
        <is>
          <t>Balance</t>
        </is>
      </c>
      <c r="VN145" s="9" t="inlineStr">
        <is>
          <t>Remarks</t>
        </is>
      </c>
      <c r="VQ145" s="9" t="inlineStr">
        <is>
          <t>Date</t>
        </is>
      </c>
      <c r="VR145" s="9" t="inlineStr">
        <is>
          <t>Intake</t>
        </is>
      </c>
      <c r="VS145" s="9" t="inlineStr">
        <is>
          <t>Usage</t>
        </is>
      </c>
      <c r="VT145" s="9" t="inlineStr">
        <is>
          <t>Actual</t>
        </is>
      </c>
      <c r="VU145" s="9" t="inlineStr">
        <is>
          <t>Adjustment</t>
        </is>
      </c>
      <c r="VV145" s="9" t="inlineStr">
        <is>
          <t>Balance</t>
        </is>
      </c>
      <c r="VW145" s="9" t="inlineStr">
        <is>
          <t>Remarks</t>
        </is>
      </c>
      <c r="VZ145" s="9" t="inlineStr">
        <is>
          <t>Date</t>
        </is>
      </c>
      <c r="WA145" s="9" t="inlineStr">
        <is>
          <t>Intake</t>
        </is>
      </c>
      <c r="WB145" s="9" t="inlineStr">
        <is>
          <t>Usage</t>
        </is>
      </c>
      <c r="WC145" s="9" t="inlineStr">
        <is>
          <t>Actual</t>
        </is>
      </c>
      <c r="WD145" s="9" t="inlineStr">
        <is>
          <t>Adjustment</t>
        </is>
      </c>
      <c r="WE145" s="9" t="inlineStr">
        <is>
          <t>Balance</t>
        </is>
      </c>
      <c r="WF145" s="9" t="inlineStr">
        <is>
          <t>Remarks</t>
        </is>
      </c>
      <c r="WI145" s="9" t="inlineStr">
        <is>
          <t>Date</t>
        </is>
      </c>
      <c r="WJ145" s="9" t="inlineStr">
        <is>
          <t>Intake</t>
        </is>
      </c>
      <c r="WK145" s="9" t="inlineStr">
        <is>
          <t>Usage</t>
        </is>
      </c>
      <c r="WL145" s="9" t="inlineStr">
        <is>
          <t>Actual</t>
        </is>
      </c>
      <c r="WM145" s="9" t="inlineStr">
        <is>
          <t>Adjustment</t>
        </is>
      </c>
      <c r="WN145" s="9" t="inlineStr">
        <is>
          <t>Balance</t>
        </is>
      </c>
      <c r="WO145" s="9" t="inlineStr">
        <is>
          <t>Remarks</t>
        </is>
      </c>
      <c r="WR145" s="9" t="inlineStr">
        <is>
          <t>Date</t>
        </is>
      </c>
      <c r="WS145" s="9" t="inlineStr">
        <is>
          <t>Intake</t>
        </is>
      </c>
      <c r="WT145" s="9" t="inlineStr">
        <is>
          <t>Usage</t>
        </is>
      </c>
      <c r="WU145" s="9" t="inlineStr">
        <is>
          <t>Actual</t>
        </is>
      </c>
      <c r="WV145" s="9" t="inlineStr">
        <is>
          <t>Adjustment</t>
        </is>
      </c>
      <c r="WW145" s="9" t="inlineStr">
        <is>
          <t>Balance</t>
        </is>
      </c>
      <c r="WX145" s="9" t="inlineStr">
        <is>
          <t>Remarks</t>
        </is>
      </c>
      <c r="XA145" s="9" t="inlineStr">
        <is>
          <t>Date</t>
        </is>
      </c>
      <c r="XB145" s="9" t="inlineStr">
        <is>
          <t>Intake</t>
        </is>
      </c>
      <c r="XC145" s="9" t="inlineStr">
        <is>
          <t>Usage</t>
        </is>
      </c>
      <c r="XD145" s="9" t="inlineStr">
        <is>
          <t>Actual</t>
        </is>
      </c>
      <c r="XE145" s="9" t="inlineStr">
        <is>
          <t>Adjustment</t>
        </is>
      </c>
      <c r="XF145" s="9" t="inlineStr">
        <is>
          <t>Balance</t>
        </is>
      </c>
      <c r="XG145" s="9" t="inlineStr">
        <is>
          <t>Remarks</t>
        </is>
      </c>
      <c r="XJ145" s="9" t="inlineStr">
        <is>
          <t>Date</t>
        </is>
      </c>
      <c r="XK145" s="9" t="inlineStr">
        <is>
          <t>Intake</t>
        </is>
      </c>
      <c r="XL145" s="9" t="inlineStr">
        <is>
          <t>Usage</t>
        </is>
      </c>
      <c r="XM145" s="9" t="inlineStr">
        <is>
          <t>Actual</t>
        </is>
      </c>
      <c r="XN145" s="9" t="inlineStr">
        <is>
          <t>Adjustment</t>
        </is>
      </c>
      <c r="XO145" s="9" t="inlineStr">
        <is>
          <t>Balance</t>
        </is>
      </c>
      <c r="XP145" s="9" t="inlineStr">
        <is>
          <t>Remarks</t>
        </is>
      </c>
      <c r="XS145" s="9" t="inlineStr">
        <is>
          <t>Date</t>
        </is>
      </c>
      <c r="XT145" s="9" t="inlineStr">
        <is>
          <t>Intake</t>
        </is>
      </c>
      <c r="XU145" s="9" t="inlineStr">
        <is>
          <t>Usage</t>
        </is>
      </c>
      <c r="XV145" s="9" t="inlineStr">
        <is>
          <t>Actual</t>
        </is>
      </c>
      <c r="XW145" s="9" t="inlineStr">
        <is>
          <t>Adjustment</t>
        </is>
      </c>
      <c r="XX145" s="9" t="inlineStr">
        <is>
          <t>Balance</t>
        </is>
      </c>
      <c r="XY145" s="9" t="inlineStr">
        <is>
          <t>Remarks</t>
        </is>
      </c>
      <c r="YB145" s="9" t="inlineStr">
        <is>
          <t>Date</t>
        </is>
      </c>
      <c r="YC145" s="9" t="inlineStr">
        <is>
          <t>Intake</t>
        </is>
      </c>
      <c r="YD145" s="9" t="inlineStr">
        <is>
          <t>Usage</t>
        </is>
      </c>
      <c r="YE145" s="9" t="inlineStr">
        <is>
          <t>Actual</t>
        </is>
      </c>
      <c r="YF145" s="9" t="inlineStr">
        <is>
          <t>Adjustment</t>
        </is>
      </c>
      <c r="YG145" s="9" t="inlineStr">
        <is>
          <t>Balance</t>
        </is>
      </c>
      <c r="YH145" s="9" t="inlineStr">
        <is>
          <t>Remarks</t>
        </is>
      </c>
      <c r="YK145" s="9" t="inlineStr">
        <is>
          <t>Date</t>
        </is>
      </c>
      <c r="YL145" s="9" t="inlineStr">
        <is>
          <t>Intake</t>
        </is>
      </c>
      <c r="YM145" s="9" t="inlineStr">
        <is>
          <t>Usage</t>
        </is>
      </c>
      <c r="YN145" s="9" t="inlineStr">
        <is>
          <t>Actual</t>
        </is>
      </c>
      <c r="YO145" s="9" t="inlineStr">
        <is>
          <t>Adjustment</t>
        </is>
      </c>
      <c r="YP145" s="9" t="inlineStr">
        <is>
          <t>Balance</t>
        </is>
      </c>
      <c r="YQ145" s="9" t="inlineStr">
        <is>
          <t>Remarks</t>
        </is>
      </c>
      <c r="YT145" s="9" t="inlineStr">
        <is>
          <t>Date</t>
        </is>
      </c>
      <c r="YU145" s="9" t="inlineStr">
        <is>
          <t>Intake</t>
        </is>
      </c>
      <c r="YV145" s="9" t="inlineStr">
        <is>
          <t>Usage</t>
        </is>
      </c>
      <c r="YW145" s="9" t="inlineStr">
        <is>
          <t>Actual</t>
        </is>
      </c>
      <c r="YX145" s="9" t="inlineStr">
        <is>
          <t>Adjustment</t>
        </is>
      </c>
      <c r="YY145" s="9" t="inlineStr">
        <is>
          <t>Balance</t>
        </is>
      </c>
      <c r="YZ145" s="9" t="inlineStr">
        <is>
          <t>Remarks</t>
        </is>
      </c>
      <c r="ZC145" s="9" t="inlineStr">
        <is>
          <t>Date</t>
        </is>
      </c>
      <c r="ZD145" s="9" t="inlineStr">
        <is>
          <t>Intake</t>
        </is>
      </c>
      <c r="ZE145" s="9" t="inlineStr">
        <is>
          <t>Usage</t>
        </is>
      </c>
      <c r="ZF145" s="9" t="inlineStr">
        <is>
          <t>Actual</t>
        </is>
      </c>
      <c r="ZG145" s="9" t="inlineStr">
        <is>
          <t>Adjustment</t>
        </is>
      </c>
      <c r="ZH145" s="9" t="inlineStr">
        <is>
          <t>Balance</t>
        </is>
      </c>
      <c r="ZI145" s="9" t="inlineStr">
        <is>
          <t>Remarks</t>
        </is>
      </c>
      <c r="ZL145" s="9" t="inlineStr">
        <is>
          <t>Date</t>
        </is>
      </c>
      <c r="ZM145" s="9" t="inlineStr">
        <is>
          <t>Intake</t>
        </is>
      </c>
      <c r="ZN145" s="9" t="inlineStr">
        <is>
          <t>Usage</t>
        </is>
      </c>
      <c r="ZO145" s="9" t="inlineStr">
        <is>
          <t>Actual</t>
        </is>
      </c>
      <c r="ZP145" s="9" t="inlineStr">
        <is>
          <t>Adjustment</t>
        </is>
      </c>
      <c r="ZQ145" s="9" t="inlineStr">
        <is>
          <t>Balance</t>
        </is>
      </c>
      <c r="ZR145" s="9" t="inlineStr">
        <is>
          <t>Remarks</t>
        </is>
      </c>
      <c r="ZU145" s="9" t="inlineStr">
        <is>
          <t>Date</t>
        </is>
      </c>
      <c r="ZV145" s="9" t="inlineStr">
        <is>
          <t>Intake</t>
        </is>
      </c>
      <c r="ZW145" s="9" t="inlineStr">
        <is>
          <t>Usage</t>
        </is>
      </c>
      <c r="ZX145" s="9" t="inlineStr">
        <is>
          <t>Actual</t>
        </is>
      </c>
      <c r="ZY145" s="9" t="inlineStr">
        <is>
          <t>Adjustment</t>
        </is>
      </c>
      <c r="ZZ145" s="9" t="inlineStr">
        <is>
          <t>Balance</t>
        </is>
      </c>
      <c r="AAA145" s="9" t="inlineStr">
        <is>
          <t>Remarks</t>
        </is>
      </c>
      <c r="AAD145" s="9" t="inlineStr">
        <is>
          <t>Date</t>
        </is>
      </c>
      <c r="AAE145" s="9" t="inlineStr">
        <is>
          <t>Intake</t>
        </is>
      </c>
      <c r="AAF145" s="9" t="inlineStr">
        <is>
          <t>Usage</t>
        </is>
      </c>
      <c r="AAG145" s="9" t="inlineStr">
        <is>
          <t>Actual</t>
        </is>
      </c>
      <c r="AAH145" s="9" t="inlineStr">
        <is>
          <t>Adjustment</t>
        </is>
      </c>
      <c r="AAI145" s="9" t="inlineStr">
        <is>
          <t>Balance</t>
        </is>
      </c>
      <c r="AAJ145" s="9" t="inlineStr">
        <is>
          <t>Remarks</t>
        </is>
      </c>
      <c r="AAM145" s="9" t="inlineStr">
        <is>
          <t>Date</t>
        </is>
      </c>
      <c r="AAN145" s="9" t="inlineStr">
        <is>
          <t>Intake</t>
        </is>
      </c>
      <c r="AAO145" s="9" t="inlineStr">
        <is>
          <t>Usage</t>
        </is>
      </c>
      <c r="AAP145" s="9" t="inlineStr">
        <is>
          <t>Actual</t>
        </is>
      </c>
      <c r="AAQ145" s="9" t="inlineStr">
        <is>
          <t>Adjustment</t>
        </is>
      </c>
      <c r="AAR145" s="9" t="inlineStr">
        <is>
          <t>Balance</t>
        </is>
      </c>
      <c r="AAS145" s="9" t="inlineStr">
        <is>
          <t>Remarks</t>
        </is>
      </c>
      <c r="AAV145" s="9" t="inlineStr">
        <is>
          <t>Date</t>
        </is>
      </c>
      <c r="AAW145" s="9" t="inlineStr">
        <is>
          <t>Intake</t>
        </is>
      </c>
      <c r="AAX145" s="9" t="inlineStr">
        <is>
          <t>Usage</t>
        </is>
      </c>
      <c r="AAY145" s="9" t="inlineStr">
        <is>
          <t>Actual</t>
        </is>
      </c>
      <c r="AAZ145" s="9" t="inlineStr">
        <is>
          <t>Adjustment</t>
        </is>
      </c>
      <c r="ABA145" s="9" t="inlineStr">
        <is>
          <t>Balance</t>
        </is>
      </c>
      <c r="ABB145" s="9" t="inlineStr">
        <is>
          <t>Remarks</t>
        </is>
      </c>
      <c r="ABE145" s="9" t="inlineStr">
        <is>
          <t>Date</t>
        </is>
      </c>
      <c r="ABF145" s="9" t="inlineStr">
        <is>
          <t>Intake</t>
        </is>
      </c>
      <c r="ABG145" s="9" t="inlineStr">
        <is>
          <t>Usage</t>
        </is>
      </c>
      <c r="ABH145" s="9" t="inlineStr">
        <is>
          <t>Actual</t>
        </is>
      </c>
      <c r="ABI145" s="9" t="inlineStr">
        <is>
          <t>Adjustment</t>
        </is>
      </c>
      <c r="ABJ145" s="9" t="inlineStr">
        <is>
          <t>Balance</t>
        </is>
      </c>
      <c r="ABK145" s="9" t="inlineStr">
        <is>
          <t>Remarks</t>
        </is>
      </c>
    </row>
    <row r="146">
      <c r="C146" s="9" t="inlineStr">
        <is>
          <t>BALANCE</t>
        </is>
      </c>
      <c r="D146" s="9" t="inlineStr">
        <is>
          <t>-</t>
        </is>
      </c>
      <c r="E146" s="9" t="inlineStr">
        <is>
          <t>-</t>
        </is>
      </c>
      <c r="F146" s="9" t="inlineStr">
        <is>
          <t>-</t>
        </is>
      </c>
      <c r="G146" s="9" t="inlineStr">
        <is>
          <t>-</t>
        </is>
      </c>
      <c r="H146" s="9" t="n">
        <v>168368.4000000001</v>
      </c>
      <c r="L146" s="9" t="inlineStr">
        <is>
          <t>BALANCE</t>
        </is>
      </c>
      <c r="M146" s="9" t="inlineStr">
        <is>
          <t>-</t>
        </is>
      </c>
      <c r="N146" s="9" t="inlineStr">
        <is>
          <t>-</t>
        </is>
      </c>
      <c r="O146" s="9" t="inlineStr">
        <is>
          <t>-</t>
        </is>
      </c>
      <c r="P146" s="9" t="inlineStr">
        <is>
          <t>-</t>
        </is>
      </c>
      <c r="Q146" s="9" t="n">
        <v>63275.80000000009</v>
      </c>
      <c r="U146" s="9" t="inlineStr">
        <is>
          <t>BALANCE</t>
        </is>
      </c>
      <c r="V146" s="9" t="inlineStr">
        <is>
          <t>-</t>
        </is>
      </c>
      <c r="W146" s="9" t="inlineStr">
        <is>
          <t>-</t>
        </is>
      </c>
      <c r="X146" s="9" t="inlineStr">
        <is>
          <t>-</t>
        </is>
      </c>
      <c r="Y146" s="9" t="inlineStr">
        <is>
          <t>-</t>
        </is>
      </c>
      <c r="Z146" s="9" t="n">
        <v>31017.19999999997</v>
      </c>
      <c r="AD146" s="9" t="inlineStr">
        <is>
          <t>BALANCE</t>
        </is>
      </c>
      <c r="AE146" s="9" t="inlineStr">
        <is>
          <t>-</t>
        </is>
      </c>
      <c r="AF146" s="9" t="inlineStr">
        <is>
          <t>-</t>
        </is>
      </c>
      <c r="AG146" s="9" t="inlineStr">
        <is>
          <t>-</t>
        </is>
      </c>
      <c r="AH146" s="9" t="inlineStr">
        <is>
          <t>-</t>
        </is>
      </c>
      <c r="AI146" s="9" t="n">
        <v>13032.50000000002</v>
      </c>
      <c r="AM146" s="9" t="inlineStr">
        <is>
          <t>BALANCE</t>
        </is>
      </c>
      <c r="AN146" s="9" t="inlineStr">
        <is>
          <t>-</t>
        </is>
      </c>
      <c r="AO146" s="9" t="inlineStr">
        <is>
          <t>-</t>
        </is>
      </c>
      <c r="AP146" s="9" t="inlineStr">
        <is>
          <t>-</t>
        </is>
      </c>
      <c r="AQ146" s="9" t="inlineStr">
        <is>
          <t>-</t>
        </is>
      </c>
      <c r="AR146" s="9" t="n">
        <v>0</v>
      </c>
      <c r="AV146" s="9" t="inlineStr">
        <is>
          <t>BALANCE</t>
        </is>
      </c>
      <c r="AW146" s="9" t="inlineStr">
        <is>
          <t>-</t>
        </is>
      </c>
      <c r="AX146" s="9" t="inlineStr">
        <is>
          <t>-</t>
        </is>
      </c>
      <c r="AY146" s="9" t="inlineStr">
        <is>
          <t>-</t>
        </is>
      </c>
      <c r="AZ146" s="9" t="inlineStr">
        <is>
          <t>-</t>
        </is>
      </c>
      <c r="BA146" s="9" t="n">
        <v>37387.2</v>
      </c>
      <c r="BE146" s="9" t="inlineStr">
        <is>
          <t>BALANCE</t>
        </is>
      </c>
      <c r="BF146" s="9" t="inlineStr">
        <is>
          <t>-</t>
        </is>
      </c>
      <c r="BG146" s="9" t="inlineStr">
        <is>
          <t>-</t>
        </is>
      </c>
      <c r="BH146" s="9" t="inlineStr">
        <is>
          <t>-</t>
        </is>
      </c>
      <c r="BI146" s="9" t="inlineStr">
        <is>
          <t>-</t>
        </is>
      </c>
      <c r="BJ146" s="9" t="n">
        <v>29537.19999999999</v>
      </c>
      <c r="BN146" s="9" t="inlineStr">
        <is>
          <t>BALANCE</t>
        </is>
      </c>
      <c r="BO146" s="9" t="inlineStr">
        <is>
          <t>-</t>
        </is>
      </c>
      <c r="BP146" s="9" t="inlineStr">
        <is>
          <t>-</t>
        </is>
      </c>
      <c r="BQ146" s="9" t="inlineStr">
        <is>
          <t>-</t>
        </is>
      </c>
      <c r="BR146" s="9" t="inlineStr">
        <is>
          <t>-</t>
        </is>
      </c>
      <c r="BS146" s="9" t="n">
        <v>0</v>
      </c>
      <c r="BW146" s="9" t="inlineStr">
        <is>
          <t>BALANCE</t>
        </is>
      </c>
      <c r="BX146" s="9" t="inlineStr">
        <is>
          <t>-</t>
        </is>
      </c>
      <c r="BY146" s="9" t="inlineStr">
        <is>
          <t>-</t>
        </is>
      </c>
      <c r="BZ146" s="9" t="inlineStr">
        <is>
          <t>-</t>
        </is>
      </c>
      <c r="CA146" s="9" t="inlineStr">
        <is>
          <t>-</t>
        </is>
      </c>
      <c r="CB146" s="9" t="n">
        <v>5848.799999999999</v>
      </c>
      <c r="CF146" s="9" t="inlineStr">
        <is>
          <t>BALANCE</t>
        </is>
      </c>
      <c r="CG146" s="9" t="inlineStr">
        <is>
          <t>-</t>
        </is>
      </c>
      <c r="CH146" s="9" t="inlineStr">
        <is>
          <t>-</t>
        </is>
      </c>
      <c r="CI146" s="9" t="inlineStr">
        <is>
          <t>-</t>
        </is>
      </c>
      <c r="CJ146" s="9" t="inlineStr">
        <is>
          <t>-</t>
        </is>
      </c>
      <c r="CK146" s="9" t="n">
        <v>0</v>
      </c>
      <c r="CO146" s="9" t="inlineStr">
        <is>
          <t>BALANCE</t>
        </is>
      </c>
      <c r="CP146" s="9" t="inlineStr">
        <is>
          <t>-</t>
        </is>
      </c>
      <c r="CQ146" s="9" t="inlineStr">
        <is>
          <t>-</t>
        </is>
      </c>
      <c r="CR146" s="9" t="inlineStr">
        <is>
          <t>-</t>
        </is>
      </c>
      <c r="CS146" s="9" t="inlineStr">
        <is>
          <t>-</t>
        </is>
      </c>
      <c r="CT146" s="9" t="n">
        <v>0</v>
      </c>
      <c r="CX146" s="9" t="inlineStr">
        <is>
          <t>BALANCE</t>
        </is>
      </c>
      <c r="CY146" s="9" t="inlineStr">
        <is>
          <t>-</t>
        </is>
      </c>
      <c r="CZ146" s="9" t="inlineStr">
        <is>
          <t>-</t>
        </is>
      </c>
      <c r="DA146" s="9" t="inlineStr">
        <is>
          <t>-</t>
        </is>
      </c>
      <c r="DB146" s="9" t="inlineStr">
        <is>
          <t>-</t>
        </is>
      </c>
      <c r="DC146" s="9" t="n">
        <v>24158.3</v>
      </c>
      <c r="DG146" s="9" t="inlineStr">
        <is>
          <t>BALANCE</t>
        </is>
      </c>
      <c r="DH146" s="9" t="inlineStr">
        <is>
          <t>-</t>
        </is>
      </c>
      <c r="DI146" s="9" t="inlineStr">
        <is>
          <t>-</t>
        </is>
      </c>
      <c r="DJ146" s="9" t="inlineStr">
        <is>
          <t>-</t>
        </is>
      </c>
      <c r="DK146" s="9" t="inlineStr">
        <is>
          <t>-</t>
        </is>
      </c>
      <c r="DL146" s="9" t="n">
        <v>42939.59999999998</v>
      </c>
      <c r="DP146" s="9" t="inlineStr">
        <is>
          <t>BALANCE</t>
        </is>
      </c>
      <c r="DQ146" s="9" t="inlineStr">
        <is>
          <t>-</t>
        </is>
      </c>
      <c r="DR146" s="9" t="inlineStr">
        <is>
          <t>-</t>
        </is>
      </c>
      <c r="DS146" s="9" t="inlineStr">
        <is>
          <t>-</t>
        </is>
      </c>
      <c r="DT146" s="9" t="inlineStr">
        <is>
          <t>-</t>
        </is>
      </c>
      <c r="DU146" s="9" t="n">
        <v>5800</v>
      </c>
      <c r="DY146" s="9" t="inlineStr">
        <is>
          <t>BALANCE</t>
        </is>
      </c>
      <c r="DZ146" s="9" t="inlineStr">
        <is>
          <t>-</t>
        </is>
      </c>
      <c r="EA146" s="9" t="inlineStr">
        <is>
          <t>-</t>
        </is>
      </c>
      <c r="EB146" s="9" t="inlineStr">
        <is>
          <t>-</t>
        </is>
      </c>
      <c r="EC146" s="9" t="inlineStr">
        <is>
          <t>-</t>
        </is>
      </c>
      <c r="ED146" s="9" t="n">
        <v>0</v>
      </c>
      <c r="EH146" s="9" t="inlineStr">
        <is>
          <t>BALANCE</t>
        </is>
      </c>
      <c r="EI146" s="9" t="inlineStr">
        <is>
          <t>-</t>
        </is>
      </c>
      <c r="EJ146" s="9" t="inlineStr">
        <is>
          <t>-</t>
        </is>
      </c>
      <c r="EK146" s="9" t="inlineStr">
        <is>
          <t>-</t>
        </is>
      </c>
      <c r="EL146" s="9" t="inlineStr">
        <is>
          <t>-</t>
        </is>
      </c>
      <c r="EM146" s="9" t="n">
        <v>0</v>
      </c>
      <c r="EQ146" s="9" t="inlineStr">
        <is>
          <t>BALANCE</t>
        </is>
      </c>
      <c r="ER146" s="9" t="inlineStr">
        <is>
          <t>-</t>
        </is>
      </c>
      <c r="ES146" s="9" t="inlineStr">
        <is>
          <t>-</t>
        </is>
      </c>
      <c r="ET146" s="9" t="inlineStr">
        <is>
          <t>-</t>
        </is>
      </c>
      <c r="EU146" s="9" t="inlineStr">
        <is>
          <t>-</t>
        </is>
      </c>
      <c r="EV146" s="9" t="n">
        <v>0</v>
      </c>
      <c r="EZ146" s="9" t="inlineStr">
        <is>
          <t>BALANCE</t>
        </is>
      </c>
      <c r="FA146" s="9" t="inlineStr">
        <is>
          <t>-</t>
        </is>
      </c>
      <c r="FB146" s="9" t="inlineStr">
        <is>
          <t>-</t>
        </is>
      </c>
      <c r="FC146" s="9" t="inlineStr">
        <is>
          <t>-</t>
        </is>
      </c>
      <c r="FD146" s="9" t="inlineStr">
        <is>
          <t>-</t>
        </is>
      </c>
      <c r="FE146" s="9" t="n">
        <v>0</v>
      </c>
      <c r="FI146" s="9" t="inlineStr">
        <is>
          <t>BALANCE</t>
        </is>
      </c>
      <c r="FJ146" s="9" t="inlineStr">
        <is>
          <t>-</t>
        </is>
      </c>
      <c r="FK146" s="9" t="inlineStr">
        <is>
          <t>-</t>
        </is>
      </c>
      <c r="FL146" s="9" t="inlineStr">
        <is>
          <t>-</t>
        </is>
      </c>
      <c r="FM146" s="9" t="inlineStr">
        <is>
          <t>-</t>
        </is>
      </c>
      <c r="FN146" s="9" t="n">
        <v>0</v>
      </c>
      <c r="FR146" s="9" t="inlineStr">
        <is>
          <t>BALANCE</t>
        </is>
      </c>
      <c r="FS146" s="9" t="inlineStr">
        <is>
          <t>-</t>
        </is>
      </c>
      <c r="FT146" s="9" t="inlineStr">
        <is>
          <t>-</t>
        </is>
      </c>
      <c r="FU146" s="9" t="inlineStr">
        <is>
          <t>-</t>
        </is>
      </c>
      <c r="FV146" s="9" t="inlineStr">
        <is>
          <t>-</t>
        </is>
      </c>
      <c r="FW146" s="9" t="n">
        <v>2120</v>
      </c>
      <c r="FX146" s="9" t="n">
        <v>106</v>
      </c>
      <c r="FY146" s="9" t="inlineStr">
        <is>
          <t>bags</t>
        </is>
      </c>
      <c r="GA146" s="9" t="inlineStr">
        <is>
          <t>BALANCE</t>
        </is>
      </c>
      <c r="GB146" s="9" t="inlineStr">
        <is>
          <t>-</t>
        </is>
      </c>
      <c r="GC146" s="9" t="inlineStr">
        <is>
          <t>-</t>
        </is>
      </c>
      <c r="GD146" s="9" t="inlineStr">
        <is>
          <t>-</t>
        </is>
      </c>
      <c r="GE146" s="9" t="inlineStr">
        <is>
          <t>-</t>
        </is>
      </c>
      <c r="GF146" s="9" t="n">
        <v>3640</v>
      </c>
      <c r="GG146" s="9" t="n">
        <v>182</v>
      </c>
      <c r="GH146" s="9" t="inlineStr">
        <is>
          <t>bags</t>
        </is>
      </c>
      <c r="GJ146" s="9" t="inlineStr">
        <is>
          <t>BALANCE</t>
        </is>
      </c>
      <c r="GK146" s="9" t="inlineStr">
        <is>
          <t>-</t>
        </is>
      </c>
      <c r="GL146" s="9" t="inlineStr">
        <is>
          <t>-</t>
        </is>
      </c>
      <c r="GM146" s="9" t="inlineStr">
        <is>
          <t>-</t>
        </is>
      </c>
      <c r="GN146" s="9" t="inlineStr">
        <is>
          <t>-</t>
        </is>
      </c>
      <c r="GO146" s="9" t="n">
        <v>2080</v>
      </c>
      <c r="GP146" s="9" t="n">
        <v>104</v>
      </c>
      <c r="GQ146" s="9" t="inlineStr">
        <is>
          <t>bags</t>
        </is>
      </c>
      <c r="GS146" s="9" t="inlineStr">
        <is>
          <t>BALANCE</t>
        </is>
      </c>
      <c r="GT146" s="9" t="inlineStr">
        <is>
          <t>-</t>
        </is>
      </c>
      <c r="GU146" s="9" t="inlineStr">
        <is>
          <t>-</t>
        </is>
      </c>
      <c r="GV146" s="9" t="inlineStr">
        <is>
          <t>-</t>
        </is>
      </c>
      <c r="GW146" s="9" t="inlineStr">
        <is>
          <t>-</t>
        </is>
      </c>
      <c r="GX146" s="9" t="n">
        <v>0</v>
      </c>
      <c r="GY146" s="9" t="n">
        <v>0</v>
      </c>
      <c r="GZ146" s="9" t="inlineStr">
        <is>
          <t>bags</t>
        </is>
      </c>
      <c r="HB146" s="9" t="inlineStr">
        <is>
          <t>BALANCE</t>
        </is>
      </c>
      <c r="HC146" s="9" t="inlineStr">
        <is>
          <t>-</t>
        </is>
      </c>
      <c r="HD146" s="9" t="inlineStr">
        <is>
          <t>-</t>
        </is>
      </c>
      <c r="HE146" s="9" t="inlineStr">
        <is>
          <t>-</t>
        </is>
      </c>
      <c r="HF146" s="9" t="inlineStr">
        <is>
          <t>-</t>
        </is>
      </c>
      <c r="HG146" s="9" t="n">
        <v>0</v>
      </c>
      <c r="HH146" s="9" t="n">
        <v>0</v>
      </c>
      <c r="HI146" s="9" t="inlineStr">
        <is>
          <t>bags</t>
        </is>
      </c>
      <c r="HK146" s="9" t="inlineStr">
        <is>
          <t>BALANCE</t>
        </is>
      </c>
      <c r="HL146" s="9" t="inlineStr">
        <is>
          <t>-</t>
        </is>
      </c>
      <c r="HM146" s="9" t="inlineStr">
        <is>
          <t>-</t>
        </is>
      </c>
      <c r="HN146" s="9" t="inlineStr">
        <is>
          <t>-</t>
        </is>
      </c>
      <c r="HO146" s="9" t="inlineStr">
        <is>
          <t>-</t>
        </is>
      </c>
      <c r="HP146" s="9" t="n">
        <v>0</v>
      </c>
      <c r="HU146" s="9" t="inlineStr">
        <is>
          <t>BALANCE</t>
        </is>
      </c>
      <c r="HV146" s="9" t="inlineStr">
        <is>
          <t>-</t>
        </is>
      </c>
      <c r="HW146" s="9" t="inlineStr">
        <is>
          <t>-</t>
        </is>
      </c>
      <c r="HX146" s="9" t="inlineStr">
        <is>
          <t>-</t>
        </is>
      </c>
      <c r="HY146" s="9" t="inlineStr">
        <is>
          <t>-</t>
        </is>
      </c>
      <c r="HZ146" s="9" t="n">
        <v>6360</v>
      </c>
      <c r="IA146" s="9" t="n">
        <v>318</v>
      </c>
      <c r="IB146" s="9" t="inlineStr">
        <is>
          <t>bags</t>
        </is>
      </c>
      <c r="ID146" s="9" t="inlineStr">
        <is>
          <t>BALANCE</t>
        </is>
      </c>
      <c r="IE146" s="9" t="inlineStr">
        <is>
          <t>-</t>
        </is>
      </c>
      <c r="IF146" s="9" t="inlineStr">
        <is>
          <t>-</t>
        </is>
      </c>
      <c r="IG146" s="9" t="inlineStr">
        <is>
          <t>-</t>
        </is>
      </c>
      <c r="IH146" s="9" t="inlineStr">
        <is>
          <t>-</t>
        </is>
      </c>
      <c r="II146" s="9" t="n">
        <v>6540</v>
      </c>
      <c r="IJ146" s="9" t="n">
        <v>327</v>
      </c>
      <c r="IK146" s="9" t="inlineStr">
        <is>
          <t>bags</t>
        </is>
      </c>
      <c r="IM146" s="9" t="inlineStr">
        <is>
          <t>BALANCE</t>
        </is>
      </c>
      <c r="IN146" s="9" t="inlineStr">
        <is>
          <t>-</t>
        </is>
      </c>
      <c r="IO146" s="9" t="inlineStr">
        <is>
          <t>-</t>
        </is>
      </c>
      <c r="IP146" s="9" t="inlineStr">
        <is>
          <t>-</t>
        </is>
      </c>
      <c r="IQ146" s="9" t="inlineStr">
        <is>
          <t>-</t>
        </is>
      </c>
      <c r="IR146" s="9" t="n">
        <v>11540</v>
      </c>
      <c r="IS146" s="9" t="n">
        <v>577</v>
      </c>
      <c r="IT146" s="9" t="inlineStr">
        <is>
          <t>bags</t>
        </is>
      </c>
      <c r="IV146" s="9" t="inlineStr">
        <is>
          <t>BALANCE</t>
        </is>
      </c>
      <c r="IW146" s="9" t="inlineStr">
        <is>
          <t>-</t>
        </is>
      </c>
      <c r="IX146" s="9" t="inlineStr">
        <is>
          <t>-</t>
        </is>
      </c>
      <c r="IY146" s="9" t="inlineStr">
        <is>
          <t>-</t>
        </is>
      </c>
      <c r="IZ146" s="9" t="inlineStr">
        <is>
          <t>-</t>
        </is>
      </c>
      <c r="JA146" s="9" t="n">
        <v>15120</v>
      </c>
      <c r="JB146" s="9" t="n">
        <v>756</v>
      </c>
      <c r="JC146" s="9" t="inlineStr">
        <is>
          <t>bags</t>
        </is>
      </c>
      <c r="JE146" s="9" t="inlineStr">
        <is>
          <t>BALANCE</t>
        </is>
      </c>
      <c r="JF146" s="9" t="inlineStr">
        <is>
          <t>-</t>
        </is>
      </c>
      <c r="JG146" s="9" t="inlineStr">
        <is>
          <t>-</t>
        </is>
      </c>
      <c r="JH146" s="9" t="inlineStr">
        <is>
          <t>-</t>
        </is>
      </c>
      <c r="JI146" s="9" t="inlineStr">
        <is>
          <t>-</t>
        </is>
      </c>
      <c r="JJ146" s="9" t="n">
        <v>1960</v>
      </c>
      <c r="JK146" s="9" t="n">
        <v>98</v>
      </c>
      <c r="JL146" s="9" t="inlineStr">
        <is>
          <t>bags</t>
        </is>
      </c>
      <c r="JN146" s="9" t="inlineStr">
        <is>
          <t>BALANCE</t>
        </is>
      </c>
      <c r="JO146" s="9" t="inlineStr">
        <is>
          <t>-</t>
        </is>
      </c>
      <c r="JP146" s="9" t="inlineStr">
        <is>
          <t>-</t>
        </is>
      </c>
      <c r="JQ146" s="9" t="inlineStr">
        <is>
          <t>-</t>
        </is>
      </c>
      <c r="JR146" s="9" t="inlineStr">
        <is>
          <t>-</t>
        </is>
      </c>
      <c r="JS146" s="9" t="n">
        <v>9100</v>
      </c>
      <c r="JT146" s="9" t="n">
        <v>455</v>
      </c>
      <c r="JU146" s="9" t="inlineStr">
        <is>
          <t>bags</t>
        </is>
      </c>
      <c r="JW146" s="9" t="inlineStr">
        <is>
          <t>BALANCE</t>
        </is>
      </c>
      <c r="JX146" s="9" t="inlineStr">
        <is>
          <t>-</t>
        </is>
      </c>
      <c r="JY146" s="9" t="inlineStr">
        <is>
          <t>-</t>
        </is>
      </c>
      <c r="JZ146" s="9" t="inlineStr">
        <is>
          <t>-</t>
        </is>
      </c>
      <c r="KA146" s="9" t="inlineStr">
        <is>
          <t>-</t>
        </is>
      </c>
      <c r="KB146" s="9" t="n">
        <v>2540</v>
      </c>
      <c r="KF146" s="9" t="inlineStr">
        <is>
          <t>BALANCE</t>
        </is>
      </c>
      <c r="KG146" s="9" t="inlineStr">
        <is>
          <t>-</t>
        </is>
      </c>
      <c r="KH146" s="9" t="inlineStr">
        <is>
          <t>-</t>
        </is>
      </c>
      <c r="KI146" s="9" t="inlineStr">
        <is>
          <t>-</t>
        </is>
      </c>
      <c r="KJ146" s="9" t="inlineStr">
        <is>
          <t>-</t>
        </is>
      </c>
      <c r="KK146" s="9" t="n">
        <v>19.5</v>
      </c>
      <c r="KL146" s="9" t="n">
        <v>1</v>
      </c>
      <c r="KM146" s="9" t="inlineStr">
        <is>
          <t>bags</t>
        </is>
      </c>
      <c r="KO146" s="9" t="inlineStr">
        <is>
          <t>BALANCE</t>
        </is>
      </c>
      <c r="KP146" s="9" t="inlineStr">
        <is>
          <t>-</t>
        </is>
      </c>
      <c r="KQ146" s="9" t="inlineStr">
        <is>
          <t>-</t>
        </is>
      </c>
      <c r="KR146" s="9" t="inlineStr">
        <is>
          <t>-</t>
        </is>
      </c>
      <c r="KS146" s="9" t="inlineStr">
        <is>
          <t>-</t>
        </is>
      </c>
      <c r="KT146" s="9" t="n">
        <v>2079</v>
      </c>
      <c r="KX146" s="9" t="inlineStr">
        <is>
          <t>BALANCE</t>
        </is>
      </c>
      <c r="KY146" s="9" t="inlineStr">
        <is>
          <t>-</t>
        </is>
      </c>
      <c r="KZ146" s="9" t="inlineStr">
        <is>
          <t>-</t>
        </is>
      </c>
      <c r="LA146" s="9" t="inlineStr">
        <is>
          <t>-</t>
        </is>
      </c>
      <c r="LB146" s="9" t="inlineStr">
        <is>
          <t>-</t>
        </is>
      </c>
      <c r="LC146" s="9" t="n">
        <v>6150</v>
      </c>
      <c r="LD146" s="9" t="n">
        <v>300</v>
      </c>
      <c r="LE146" s="9" t="inlineStr">
        <is>
          <t>bags</t>
        </is>
      </c>
      <c r="LG146" s="9" t="inlineStr">
        <is>
          <t>BALANCE</t>
        </is>
      </c>
      <c r="LH146" s="9" t="inlineStr">
        <is>
          <t>-</t>
        </is>
      </c>
      <c r="LI146" s="9" t="inlineStr">
        <is>
          <t>-</t>
        </is>
      </c>
      <c r="LJ146" s="9" t="inlineStr">
        <is>
          <t>-</t>
        </is>
      </c>
      <c r="LK146" s="9" t="inlineStr">
        <is>
          <t>-</t>
        </is>
      </c>
      <c r="LL146" s="9" t="n">
        <v>4000</v>
      </c>
      <c r="LM146" s="9" t="n">
        <v>200</v>
      </c>
      <c r="LN146" s="9" t="inlineStr">
        <is>
          <t>bags</t>
        </is>
      </c>
      <c r="LP146" s="9" t="inlineStr">
        <is>
          <t>BALANCE</t>
        </is>
      </c>
      <c r="LQ146" s="9" t="inlineStr">
        <is>
          <t>-</t>
        </is>
      </c>
      <c r="LR146" s="9" t="inlineStr">
        <is>
          <t>-</t>
        </is>
      </c>
      <c r="LS146" s="9" t="inlineStr">
        <is>
          <t>-</t>
        </is>
      </c>
      <c r="LT146" s="9" t="inlineStr">
        <is>
          <t>-</t>
        </is>
      </c>
      <c r="LU146" s="9" t="n">
        <v>0</v>
      </c>
      <c r="LY146" s="9" t="inlineStr">
        <is>
          <t>BALANCE</t>
        </is>
      </c>
      <c r="LZ146" s="9" t="inlineStr">
        <is>
          <t>-</t>
        </is>
      </c>
      <c r="MA146" s="9" t="inlineStr">
        <is>
          <t>-</t>
        </is>
      </c>
      <c r="MB146" s="9" t="inlineStr">
        <is>
          <t>-</t>
        </is>
      </c>
      <c r="MC146" s="9" t="inlineStr">
        <is>
          <t>-</t>
        </is>
      </c>
      <c r="MD146" s="9" t="n">
        <v>0</v>
      </c>
      <c r="MH146" s="9" t="inlineStr">
        <is>
          <t>BALANCE</t>
        </is>
      </c>
      <c r="MI146" s="9" t="inlineStr">
        <is>
          <t>-</t>
        </is>
      </c>
      <c r="MJ146" s="9" t="inlineStr">
        <is>
          <t>-</t>
        </is>
      </c>
      <c r="MK146" s="9" t="inlineStr">
        <is>
          <t>-</t>
        </is>
      </c>
      <c r="ML146" s="9" t="inlineStr">
        <is>
          <t>-</t>
        </is>
      </c>
      <c r="MM146" s="9" t="n">
        <v>0</v>
      </c>
      <c r="MQ146" s="9" t="inlineStr">
        <is>
          <t>BALANCE</t>
        </is>
      </c>
      <c r="MR146" s="9" t="inlineStr">
        <is>
          <t>-</t>
        </is>
      </c>
      <c r="MS146" s="9" t="inlineStr">
        <is>
          <t>-</t>
        </is>
      </c>
      <c r="MT146" s="9" t="inlineStr">
        <is>
          <t>-</t>
        </is>
      </c>
      <c r="MU146" s="9" t="inlineStr">
        <is>
          <t>-</t>
        </is>
      </c>
      <c r="MV146" s="9" t="n">
        <v>3903</v>
      </c>
      <c r="MZ146" s="9" t="inlineStr">
        <is>
          <t>BALANCE</t>
        </is>
      </c>
      <c r="NA146" s="9" t="inlineStr">
        <is>
          <t>-</t>
        </is>
      </c>
      <c r="NB146" s="9" t="inlineStr">
        <is>
          <t>-</t>
        </is>
      </c>
      <c r="NC146" s="9" t="inlineStr">
        <is>
          <t>-</t>
        </is>
      </c>
      <c r="ND146" s="9" t="inlineStr">
        <is>
          <t>-</t>
        </is>
      </c>
      <c r="NE146" s="9" t="n">
        <v>0</v>
      </c>
      <c r="NI146" s="9" t="inlineStr">
        <is>
          <t>BALANCE</t>
        </is>
      </c>
      <c r="NJ146" s="9" t="inlineStr">
        <is>
          <t>-</t>
        </is>
      </c>
      <c r="NK146" s="9" t="inlineStr">
        <is>
          <t>-</t>
        </is>
      </c>
      <c r="NL146" s="9" t="inlineStr">
        <is>
          <t>-</t>
        </is>
      </c>
      <c r="NM146" s="9" t="inlineStr">
        <is>
          <t>-</t>
        </is>
      </c>
      <c r="NN146" s="9" t="n">
        <v>1137</v>
      </c>
      <c r="NR146" s="9" t="inlineStr">
        <is>
          <t>BALANCE</t>
        </is>
      </c>
      <c r="NS146" s="9" t="inlineStr">
        <is>
          <t>-</t>
        </is>
      </c>
      <c r="NT146" s="9" t="inlineStr">
        <is>
          <t>-</t>
        </is>
      </c>
      <c r="NU146" s="9" t="inlineStr">
        <is>
          <t>-</t>
        </is>
      </c>
      <c r="NV146" s="9" t="inlineStr">
        <is>
          <t>-</t>
        </is>
      </c>
      <c r="NW146" s="9" t="n">
        <v>3122.9</v>
      </c>
      <c r="OA146" s="9" t="inlineStr">
        <is>
          <t>BALANCE</t>
        </is>
      </c>
      <c r="OB146" s="9" t="inlineStr">
        <is>
          <t>-</t>
        </is>
      </c>
      <c r="OC146" s="9" t="inlineStr">
        <is>
          <t>-</t>
        </is>
      </c>
      <c r="OD146" s="9" t="inlineStr">
        <is>
          <t>-</t>
        </is>
      </c>
      <c r="OE146" s="9" t="inlineStr">
        <is>
          <t>-</t>
        </is>
      </c>
      <c r="OF146" s="9" t="n">
        <v>1680.5</v>
      </c>
      <c r="OJ146" s="9" t="inlineStr">
        <is>
          <t>BALANCE</t>
        </is>
      </c>
      <c r="OK146" s="9" t="inlineStr">
        <is>
          <t>-</t>
        </is>
      </c>
      <c r="OL146" s="9" t="inlineStr">
        <is>
          <t>-</t>
        </is>
      </c>
      <c r="OM146" s="9" t="inlineStr">
        <is>
          <t>-</t>
        </is>
      </c>
      <c r="ON146" s="9" t="inlineStr">
        <is>
          <t>-</t>
        </is>
      </c>
      <c r="OS146" s="9" t="inlineStr">
        <is>
          <t>BALANCE</t>
        </is>
      </c>
      <c r="OT146" s="9" t="inlineStr">
        <is>
          <t>-</t>
        </is>
      </c>
      <c r="OU146" s="9" t="inlineStr">
        <is>
          <t>-</t>
        </is>
      </c>
      <c r="OV146" s="9" t="inlineStr">
        <is>
          <t>-</t>
        </is>
      </c>
      <c r="OW146" s="9" t="inlineStr">
        <is>
          <t>-</t>
        </is>
      </c>
      <c r="OX146" s="9" t="n">
        <v>982</v>
      </c>
      <c r="PB146" s="9" t="inlineStr">
        <is>
          <t>BALANCE</t>
        </is>
      </c>
      <c r="PC146" s="9" t="inlineStr">
        <is>
          <t>-</t>
        </is>
      </c>
      <c r="PD146" s="9" t="inlineStr">
        <is>
          <t>-</t>
        </is>
      </c>
      <c r="PE146" s="9" t="inlineStr">
        <is>
          <t>-</t>
        </is>
      </c>
      <c r="PF146" s="9" t="inlineStr">
        <is>
          <t>-</t>
        </is>
      </c>
      <c r="PG146" s="9" t="n">
        <v>0</v>
      </c>
      <c r="PK146" s="9" t="inlineStr">
        <is>
          <t>BALANCE</t>
        </is>
      </c>
      <c r="PL146" s="9" t="inlineStr">
        <is>
          <t>-</t>
        </is>
      </c>
      <c r="PM146" s="9" t="inlineStr">
        <is>
          <t>-</t>
        </is>
      </c>
      <c r="PN146" s="9" t="inlineStr">
        <is>
          <t>-</t>
        </is>
      </c>
      <c r="PO146" s="9" t="inlineStr">
        <is>
          <t>-</t>
        </is>
      </c>
      <c r="PP146" s="9" t="n">
        <v>100</v>
      </c>
      <c r="PT146" s="9" t="inlineStr">
        <is>
          <t>BALANCE</t>
        </is>
      </c>
      <c r="PU146" s="9" t="inlineStr">
        <is>
          <t>-</t>
        </is>
      </c>
      <c r="PV146" s="9" t="inlineStr">
        <is>
          <t>-</t>
        </is>
      </c>
      <c r="PW146" s="9" t="inlineStr">
        <is>
          <t>-</t>
        </is>
      </c>
      <c r="PX146" s="9" t="inlineStr">
        <is>
          <t>-</t>
        </is>
      </c>
      <c r="PY146" s="9" t="n">
        <v>13.96000000000004</v>
      </c>
      <c r="QC146" s="9" t="inlineStr">
        <is>
          <t>BALANCE</t>
        </is>
      </c>
      <c r="QD146" s="9" t="inlineStr">
        <is>
          <t>-</t>
        </is>
      </c>
      <c r="QE146" s="9" t="inlineStr">
        <is>
          <t>-</t>
        </is>
      </c>
      <c r="QF146" s="9" t="inlineStr">
        <is>
          <t>-</t>
        </is>
      </c>
      <c r="QG146" s="9" t="inlineStr">
        <is>
          <t>-</t>
        </is>
      </c>
      <c r="QH146" s="9" t="n">
        <v>596</v>
      </c>
      <c r="QL146" s="9" t="inlineStr">
        <is>
          <t>BALANCE</t>
        </is>
      </c>
      <c r="QM146" s="9" t="inlineStr">
        <is>
          <t>-</t>
        </is>
      </c>
      <c r="QN146" s="9" t="inlineStr">
        <is>
          <t>-</t>
        </is>
      </c>
      <c r="QO146" s="9" t="inlineStr">
        <is>
          <t>-</t>
        </is>
      </c>
      <c r="QP146" s="9" t="inlineStr">
        <is>
          <t>-</t>
        </is>
      </c>
      <c r="QQ146" s="9" t="n">
        <v>400</v>
      </c>
      <c r="QU146" s="9" t="inlineStr">
        <is>
          <t>BALANCE</t>
        </is>
      </c>
      <c r="QV146" s="9" t="inlineStr">
        <is>
          <t>-</t>
        </is>
      </c>
      <c r="QW146" s="9" t="inlineStr">
        <is>
          <t>-</t>
        </is>
      </c>
      <c r="QX146" s="9" t="inlineStr">
        <is>
          <t>-</t>
        </is>
      </c>
      <c r="QY146" s="9" t="inlineStr">
        <is>
          <t>-</t>
        </is>
      </c>
      <c r="QZ146" s="9" t="n">
        <v>207.6</v>
      </c>
      <c r="RD146" s="9" t="inlineStr">
        <is>
          <t>BALANCE</t>
        </is>
      </c>
      <c r="RE146" s="9" t="inlineStr">
        <is>
          <t>-</t>
        </is>
      </c>
      <c r="RF146" s="9" t="inlineStr">
        <is>
          <t>-</t>
        </is>
      </c>
      <c r="RG146" s="9" t="inlineStr">
        <is>
          <t>-</t>
        </is>
      </c>
      <c r="RH146" s="9" t="inlineStr">
        <is>
          <t>-</t>
        </is>
      </c>
      <c r="RI146" s="9" t="n">
        <v>147.04</v>
      </c>
      <c r="RM146" s="9" t="inlineStr">
        <is>
          <t>BALANCE</t>
        </is>
      </c>
      <c r="RN146" s="9" t="inlineStr">
        <is>
          <t>-</t>
        </is>
      </c>
      <c r="RO146" s="9" t="inlineStr">
        <is>
          <t>-</t>
        </is>
      </c>
      <c r="RP146" s="9" t="inlineStr">
        <is>
          <t>-</t>
        </is>
      </c>
      <c r="RQ146" s="9" t="inlineStr">
        <is>
          <t>-</t>
        </is>
      </c>
      <c r="RR146" s="9" t="n">
        <v>46.8</v>
      </c>
      <c r="RV146" s="9" t="inlineStr">
        <is>
          <t>BALANCE</t>
        </is>
      </c>
      <c r="RW146" s="9" t="inlineStr">
        <is>
          <t>-</t>
        </is>
      </c>
      <c r="RX146" s="9" t="inlineStr">
        <is>
          <t>-</t>
        </is>
      </c>
      <c r="RY146" s="9" t="inlineStr">
        <is>
          <t>-</t>
        </is>
      </c>
      <c r="RZ146" s="9" t="inlineStr">
        <is>
          <t>-</t>
        </is>
      </c>
      <c r="SA146" s="9" t="n">
        <v>0</v>
      </c>
      <c r="SE146" s="9" t="inlineStr">
        <is>
          <t>BALANCE</t>
        </is>
      </c>
      <c r="SF146" s="9" t="inlineStr">
        <is>
          <t>-</t>
        </is>
      </c>
      <c r="SG146" s="9" t="inlineStr">
        <is>
          <t>-</t>
        </is>
      </c>
      <c r="SH146" s="9" t="inlineStr">
        <is>
          <t>-</t>
        </is>
      </c>
      <c r="SI146" s="9" t="inlineStr">
        <is>
          <t>-</t>
        </is>
      </c>
      <c r="SJ146" s="9" t="n">
        <v>24.2</v>
      </c>
      <c r="SN146" s="9" t="inlineStr">
        <is>
          <t>BALANCE</t>
        </is>
      </c>
      <c r="SO146" s="9" t="inlineStr">
        <is>
          <t>-</t>
        </is>
      </c>
      <c r="SP146" s="9" t="inlineStr">
        <is>
          <t>-</t>
        </is>
      </c>
      <c r="SQ146" s="9" t="inlineStr">
        <is>
          <t>-</t>
        </is>
      </c>
      <c r="SR146" s="9" t="inlineStr">
        <is>
          <t>-</t>
        </is>
      </c>
      <c r="SS146" s="9" t="n">
        <v>32</v>
      </c>
      <c r="SW146" s="9" t="inlineStr">
        <is>
          <t>BALANCE</t>
        </is>
      </c>
      <c r="SX146" s="9" t="inlineStr">
        <is>
          <t>-</t>
        </is>
      </c>
      <c r="SY146" s="9" t="inlineStr">
        <is>
          <t>-</t>
        </is>
      </c>
      <c r="SZ146" s="9" t="inlineStr">
        <is>
          <t>-</t>
        </is>
      </c>
      <c r="TA146" s="9" t="inlineStr">
        <is>
          <t>-</t>
        </is>
      </c>
      <c r="TB146" s="9" t="n">
        <v>0</v>
      </c>
      <c r="TF146" s="9" t="inlineStr">
        <is>
          <t>BALANCE</t>
        </is>
      </c>
      <c r="TG146" s="9" t="inlineStr">
        <is>
          <t>-</t>
        </is>
      </c>
      <c r="TH146" s="9" t="inlineStr">
        <is>
          <t>-</t>
        </is>
      </c>
      <c r="TI146" s="9" t="inlineStr">
        <is>
          <t>-</t>
        </is>
      </c>
      <c r="TJ146" s="9" t="inlineStr">
        <is>
          <t>-</t>
        </is>
      </c>
      <c r="TK146" s="9" t="n">
        <v>0</v>
      </c>
      <c r="TO146" s="9" t="inlineStr">
        <is>
          <t>BALANCE</t>
        </is>
      </c>
      <c r="TP146" s="9" t="inlineStr">
        <is>
          <t>-</t>
        </is>
      </c>
      <c r="TQ146" s="9" t="inlineStr">
        <is>
          <t>-</t>
        </is>
      </c>
      <c r="TR146" s="9" t="inlineStr">
        <is>
          <t>-</t>
        </is>
      </c>
      <c r="TS146" s="9" t="inlineStr">
        <is>
          <t>-</t>
        </is>
      </c>
      <c r="TT146" s="9" t="n">
        <v>0</v>
      </c>
      <c r="TX146" s="9" t="inlineStr">
        <is>
          <t>BALANCE</t>
        </is>
      </c>
      <c r="TY146" s="9" t="inlineStr">
        <is>
          <t>-</t>
        </is>
      </c>
      <c r="TZ146" s="9" t="inlineStr">
        <is>
          <t>-</t>
        </is>
      </c>
      <c r="UA146" s="9" t="inlineStr">
        <is>
          <t>-</t>
        </is>
      </c>
      <c r="UB146" s="9" t="inlineStr">
        <is>
          <t>-</t>
        </is>
      </c>
      <c r="UC146" s="9" t="n">
        <v>0</v>
      </c>
      <c r="UG146" s="9" t="inlineStr">
        <is>
          <t>BALANCE</t>
        </is>
      </c>
      <c r="UH146" s="9" t="inlineStr">
        <is>
          <t>-</t>
        </is>
      </c>
      <c r="UI146" s="9" t="inlineStr">
        <is>
          <t>-</t>
        </is>
      </c>
      <c r="UJ146" s="9" t="inlineStr">
        <is>
          <t>-</t>
        </is>
      </c>
      <c r="UK146" s="9" t="inlineStr">
        <is>
          <t>-</t>
        </is>
      </c>
      <c r="UL146" s="9" t="n">
        <v>0</v>
      </c>
      <c r="UP146" s="9" t="inlineStr">
        <is>
          <t>BALANCE</t>
        </is>
      </c>
      <c r="UQ146" s="9" t="inlineStr">
        <is>
          <t>-</t>
        </is>
      </c>
      <c r="UR146" s="9" t="inlineStr">
        <is>
          <t>-</t>
        </is>
      </c>
      <c r="US146" s="9" t="inlineStr">
        <is>
          <t>-</t>
        </is>
      </c>
      <c r="UT146" s="9" t="inlineStr">
        <is>
          <t>-</t>
        </is>
      </c>
      <c r="UU146" s="9" t="n">
        <v>0</v>
      </c>
      <c r="UY146" s="9" t="inlineStr">
        <is>
          <t>BALANCE</t>
        </is>
      </c>
      <c r="UZ146" s="9" t="inlineStr">
        <is>
          <t>-</t>
        </is>
      </c>
      <c r="VA146" s="9" t="inlineStr">
        <is>
          <t>-</t>
        </is>
      </c>
      <c r="VB146" s="9" t="inlineStr">
        <is>
          <t>-</t>
        </is>
      </c>
      <c r="VC146" s="9" t="inlineStr">
        <is>
          <t>-</t>
        </is>
      </c>
      <c r="VD146" s="9" t="n">
        <v>41.60000000000002</v>
      </c>
      <c r="VH146" s="9" t="inlineStr">
        <is>
          <t>BALANCE</t>
        </is>
      </c>
      <c r="VI146" s="9" t="inlineStr">
        <is>
          <t>-</t>
        </is>
      </c>
      <c r="VJ146" s="9" t="inlineStr">
        <is>
          <t>-</t>
        </is>
      </c>
      <c r="VK146" s="9" t="inlineStr">
        <is>
          <t>-</t>
        </is>
      </c>
      <c r="VL146" s="9" t="inlineStr">
        <is>
          <t>-</t>
        </is>
      </c>
      <c r="VM146" s="9" t="n">
        <v>0</v>
      </c>
      <c r="VQ146" s="9" t="inlineStr">
        <is>
          <t>BALANCE</t>
        </is>
      </c>
      <c r="VR146" s="9" t="inlineStr">
        <is>
          <t>-</t>
        </is>
      </c>
      <c r="VS146" s="9" t="inlineStr">
        <is>
          <t>-</t>
        </is>
      </c>
      <c r="VT146" s="9" t="inlineStr">
        <is>
          <t>-</t>
        </is>
      </c>
      <c r="VU146" s="9" t="inlineStr">
        <is>
          <t>-</t>
        </is>
      </c>
      <c r="VV146" s="9" t="n">
        <v>0</v>
      </c>
      <c r="VZ146" s="9" t="inlineStr">
        <is>
          <t>BALANCE</t>
        </is>
      </c>
      <c r="WA146" s="9" t="inlineStr">
        <is>
          <t>-</t>
        </is>
      </c>
      <c r="WB146" s="9" t="inlineStr">
        <is>
          <t>-</t>
        </is>
      </c>
      <c r="WC146" s="9" t="inlineStr">
        <is>
          <t>-</t>
        </is>
      </c>
      <c r="WD146" s="9" t="inlineStr">
        <is>
          <t>-</t>
        </is>
      </c>
      <c r="WE146" s="9" t="n">
        <v>0</v>
      </c>
      <c r="WI146" s="9" t="inlineStr">
        <is>
          <t>BALANCE</t>
        </is>
      </c>
      <c r="WJ146" s="9" t="inlineStr">
        <is>
          <t>-</t>
        </is>
      </c>
      <c r="WK146" s="9" t="inlineStr">
        <is>
          <t>-</t>
        </is>
      </c>
      <c r="WL146" s="9" t="inlineStr">
        <is>
          <t>-</t>
        </is>
      </c>
      <c r="WM146" s="9" t="inlineStr">
        <is>
          <t>-</t>
        </is>
      </c>
      <c r="WN146" s="9" t="n">
        <v>2317</v>
      </c>
      <c r="WR146" s="9" t="inlineStr">
        <is>
          <t>BALANCE</t>
        </is>
      </c>
      <c r="WS146" s="9" t="inlineStr">
        <is>
          <t>-</t>
        </is>
      </c>
      <c r="WT146" s="9" t="inlineStr">
        <is>
          <t>-</t>
        </is>
      </c>
      <c r="WU146" s="9" t="inlineStr">
        <is>
          <t>-</t>
        </is>
      </c>
      <c r="WV146" s="9" t="inlineStr">
        <is>
          <t>-</t>
        </is>
      </c>
      <c r="WW146" s="9" t="n">
        <v>776</v>
      </c>
      <c r="XA146" s="9" t="inlineStr">
        <is>
          <t>BALANCE</t>
        </is>
      </c>
      <c r="XB146" s="9" t="inlineStr">
        <is>
          <t>-</t>
        </is>
      </c>
      <c r="XC146" s="9" t="inlineStr">
        <is>
          <t>-</t>
        </is>
      </c>
      <c r="XD146" s="9" t="inlineStr">
        <is>
          <t>-</t>
        </is>
      </c>
      <c r="XE146" s="9" t="inlineStr">
        <is>
          <t>-</t>
        </is>
      </c>
      <c r="XF146" s="9" t="n">
        <v>13455</v>
      </c>
      <c r="XJ146" s="9" t="inlineStr">
        <is>
          <t>BALANCE</t>
        </is>
      </c>
      <c r="XK146" s="9" t="inlineStr">
        <is>
          <t>-</t>
        </is>
      </c>
      <c r="XL146" s="9" t="inlineStr">
        <is>
          <t>-</t>
        </is>
      </c>
      <c r="XM146" s="9" t="inlineStr">
        <is>
          <t>-</t>
        </is>
      </c>
      <c r="XN146" s="9" t="inlineStr">
        <is>
          <t>-</t>
        </is>
      </c>
      <c r="XO146" s="9" t="n">
        <v>1481</v>
      </c>
      <c r="XS146" s="9" t="inlineStr">
        <is>
          <t>BALANCE</t>
        </is>
      </c>
      <c r="XT146" s="9" t="inlineStr">
        <is>
          <t>-</t>
        </is>
      </c>
      <c r="XU146" s="9" t="inlineStr">
        <is>
          <t>-</t>
        </is>
      </c>
      <c r="XV146" s="9" t="inlineStr">
        <is>
          <t>-</t>
        </is>
      </c>
      <c r="XW146" s="9" t="inlineStr">
        <is>
          <t>-</t>
        </is>
      </c>
      <c r="XX146" s="9" t="n">
        <v>1901</v>
      </c>
      <c r="YB146" s="9" t="inlineStr">
        <is>
          <t>BALANCE</t>
        </is>
      </c>
      <c r="YC146" s="9" t="inlineStr">
        <is>
          <t>-</t>
        </is>
      </c>
      <c r="YD146" s="9" t="inlineStr">
        <is>
          <t>-</t>
        </is>
      </c>
      <c r="YE146" s="9" t="inlineStr">
        <is>
          <t>-</t>
        </is>
      </c>
      <c r="YF146" s="9" t="inlineStr">
        <is>
          <t>-</t>
        </is>
      </c>
      <c r="YG146" s="9" t="n">
        <v>6459</v>
      </c>
      <c r="YK146" s="9" t="inlineStr">
        <is>
          <t>BALANCE</t>
        </is>
      </c>
      <c r="YL146" s="9" t="inlineStr">
        <is>
          <t>-</t>
        </is>
      </c>
      <c r="YM146" s="9" t="inlineStr">
        <is>
          <t>-</t>
        </is>
      </c>
      <c r="YN146" s="9" t="inlineStr">
        <is>
          <t>-</t>
        </is>
      </c>
      <c r="YO146" s="9" t="inlineStr">
        <is>
          <t>-</t>
        </is>
      </c>
      <c r="YP146" s="9" t="n">
        <v>0</v>
      </c>
      <c r="YT146" s="9" t="inlineStr">
        <is>
          <t>BALANCE</t>
        </is>
      </c>
      <c r="YU146" s="9" t="inlineStr">
        <is>
          <t>-</t>
        </is>
      </c>
      <c r="YV146" s="9" t="inlineStr">
        <is>
          <t>-</t>
        </is>
      </c>
      <c r="YW146" s="9" t="inlineStr">
        <is>
          <t>-</t>
        </is>
      </c>
      <c r="YX146" s="9" t="inlineStr">
        <is>
          <t>-</t>
        </is>
      </c>
      <c r="YY146" s="9" t="n">
        <v>0</v>
      </c>
      <c r="ZC146" s="9" t="inlineStr">
        <is>
          <t>BALANCE</t>
        </is>
      </c>
      <c r="ZD146" s="9" t="inlineStr">
        <is>
          <t>-</t>
        </is>
      </c>
      <c r="ZE146" s="9" t="inlineStr">
        <is>
          <t>-</t>
        </is>
      </c>
      <c r="ZF146" s="9" t="inlineStr">
        <is>
          <t>-</t>
        </is>
      </c>
      <c r="ZG146" s="9" t="inlineStr">
        <is>
          <t>-</t>
        </is>
      </c>
      <c r="ZH146" s="9" t="n">
        <v>0</v>
      </c>
      <c r="ZL146" s="9" t="inlineStr">
        <is>
          <t>BALANCE</t>
        </is>
      </c>
      <c r="ZM146" s="9" t="inlineStr">
        <is>
          <t>-</t>
        </is>
      </c>
      <c r="ZN146" s="9" t="inlineStr">
        <is>
          <t>-</t>
        </is>
      </c>
      <c r="ZO146" s="9" t="inlineStr">
        <is>
          <t>-</t>
        </is>
      </c>
      <c r="ZP146" s="9" t="inlineStr">
        <is>
          <t>-</t>
        </is>
      </c>
      <c r="ZQ146" s="9" t="n">
        <v>0</v>
      </c>
      <c r="ZU146" s="9" t="inlineStr">
        <is>
          <t>BALANCE</t>
        </is>
      </c>
      <c r="ZV146" s="9" t="inlineStr">
        <is>
          <t>-</t>
        </is>
      </c>
      <c r="ZW146" s="9" t="inlineStr">
        <is>
          <t>-</t>
        </is>
      </c>
      <c r="ZX146" s="9" t="inlineStr">
        <is>
          <t>-</t>
        </is>
      </c>
      <c r="ZY146" s="9" t="inlineStr">
        <is>
          <t>-</t>
        </is>
      </c>
      <c r="ZZ146" s="9" t="n">
        <v>0</v>
      </c>
      <c r="AAD146" s="9" t="inlineStr">
        <is>
          <t>BALANCE</t>
        </is>
      </c>
      <c r="AAE146" s="9" t="inlineStr">
        <is>
          <t>-</t>
        </is>
      </c>
      <c r="AAF146" s="9" t="inlineStr">
        <is>
          <t>-</t>
        </is>
      </c>
      <c r="AAG146" s="9" t="inlineStr">
        <is>
          <t>-</t>
        </is>
      </c>
      <c r="AAH146" s="9" t="inlineStr">
        <is>
          <t>-</t>
        </is>
      </c>
      <c r="AAI146" s="9" t="n">
        <v>0</v>
      </c>
      <c r="AAM146" s="9" t="inlineStr">
        <is>
          <t>BALANCE</t>
        </is>
      </c>
      <c r="AAN146" s="9" t="inlineStr">
        <is>
          <t>-</t>
        </is>
      </c>
      <c r="AAO146" s="9" t="inlineStr">
        <is>
          <t>-</t>
        </is>
      </c>
      <c r="AAP146" s="9" t="inlineStr">
        <is>
          <t>-</t>
        </is>
      </c>
      <c r="AAQ146" s="9" t="inlineStr">
        <is>
          <t>-</t>
        </is>
      </c>
      <c r="AAR146" s="9" t="n">
        <v>0</v>
      </c>
      <c r="AAV146" s="9" t="inlineStr">
        <is>
          <t>BALANCE</t>
        </is>
      </c>
      <c r="AAW146" s="9" t="inlineStr">
        <is>
          <t>-</t>
        </is>
      </c>
      <c r="AAX146" s="9" t="inlineStr">
        <is>
          <t>-</t>
        </is>
      </c>
      <c r="AAY146" s="9" t="inlineStr">
        <is>
          <t>-</t>
        </is>
      </c>
      <c r="AAZ146" s="9" t="inlineStr">
        <is>
          <t>-</t>
        </is>
      </c>
      <c r="ABA146" s="9" t="n">
        <v>0</v>
      </c>
      <c r="ABE146" s="9" t="inlineStr">
        <is>
          <t>BALANCE</t>
        </is>
      </c>
      <c r="ABF146" s="9" t="inlineStr">
        <is>
          <t>-</t>
        </is>
      </c>
      <c r="ABG146" s="9" t="inlineStr">
        <is>
          <t>-</t>
        </is>
      </c>
      <c r="ABH146" s="9" t="inlineStr">
        <is>
          <t>-</t>
        </is>
      </c>
      <c r="ABI146" s="9" t="inlineStr">
        <is>
          <t>-</t>
        </is>
      </c>
      <c r="ABJ146" s="9" t="n">
        <v>0</v>
      </c>
    </row>
    <row r="147">
      <c r="C147" s="10" t="n">
        <v>46143</v>
      </c>
      <c r="E147" s="9" t="n">
        <v>0</v>
      </c>
      <c r="G147" s="9" t="n">
        <v>0</v>
      </c>
      <c r="H147" s="9" t="n">
        <v>168368.4000000001</v>
      </c>
      <c r="L147" s="10" t="n">
        <v>46143</v>
      </c>
      <c r="N147" s="9" t="n">
        <v>0</v>
      </c>
      <c r="P147" s="9" t="n">
        <v>0</v>
      </c>
      <c r="Q147" s="9" t="n">
        <v>63275.80000000009</v>
      </c>
      <c r="U147" s="10" t="n">
        <v>46143</v>
      </c>
      <c r="W147" s="9" t="n">
        <v>0</v>
      </c>
      <c r="Y147" s="9" t="n">
        <v>0</v>
      </c>
      <c r="Z147" s="9" t="n">
        <v>31017.19999999997</v>
      </c>
      <c r="AD147" s="10" t="n">
        <v>46143</v>
      </c>
      <c r="AF147" s="9" t="n">
        <v>0</v>
      </c>
      <c r="AH147" s="9" t="n">
        <v>0</v>
      </c>
      <c r="AI147" s="9" t="n">
        <v>13032.50000000002</v>
      </c>
      <c r="AM147" s="10" t="n">
        <v>46143</v>
      </c>
      <c r="AO147" s="9" t="n">
        <v>0</v>
      </c>
      <c r="AQ147" s="9" t="n">
        <v>0</v>
      </c>
      <c r="AR147" s="9" t="n">
        <v>0</v>
      </c>
      <c r="AV147" s="10" t="n">
        <v>46143</v>
      </c>
      <c r="AX147" s="9" t="n">
        <v>0</v>
      </c>
      <c r="AZ147" s="9" t="n">
        <v>0</v>
      </c>
      <c r="BA147" s="9" t="n">
        <v>37387.2</v>
      </c>
      <c r="BE147" s="10" t="n">
        <v>46143</v>
      </c>
      <c r="BG147" s="9" t="n">
        <v>0</v>
      </c>
      <c r="BI147" s="9" t="n">
        <v>0</v>
      </c>
      <c r="BJ147" s="9" t="n">
        <v>29537.19999999999</v>
      </c>
      <c r="BN147" s="10" t="n">
        <v>46143</v>
      </c>
      <c r="BP147" s="9" t="n">
        <v>0</v>
      </c>
      <c r="BR147" s="9" t="n">
        <v>0</v>
      </c>
      <c r="BS147" s="9" t="n">
        <v>0</v>
      </c>
      <c r="BW147" s="10" t="n">
        <v>46143</v>
      </c>
      <c r="BY147" s="9" t="n">
        <v>0</v>
      </c>
      <c r="CA147" s="9" t="n">
        <v>0</v>
      </c>
      <c r="CB147" s="9" t="n">
        <v>5848.799999999999</v>
      </c>
      <c r="CF147" s="10" t="n">
        <v>46143</v>
      </c>
      <c r="CH147" s="9" t="n">
        <v>0</v>
      </c>
      <c r="CJ147" s="9" t="n">
        <v>0</v>
      </c>
      <c r="CK147" s="9" t="n">
        <v>0</v>
      </c>
      <c r="CO147" s="10" t="n">
        <v>46143</v>
      </c>
      <c r="CQ147" s="9" t="n">
        <v>0</v>
      </c>
      <c r="CS147" s="9" t="n">
        <v>0</v>
      </c>
      <c r="CT147" s="9" t="n">
        <v>0</v>
      </c>
      <c r="CX147" s="10" t="n">
        <v>46143</v>
      </c>
      <c r="CZ147" s="9" t="n">
        <v>0</v>
      </c>
      <c r="DB147" s="9" t="n">
        <v>0</v>
      </c>
      <c r="DC147" s="9" t="n">
        <v>24158.3</v>
      </c>
      <c r="DG147" s="10" t="n">
        <v>46143</v>
      </c>
      <c r="DI147" s="9" t="n">
        <v>0</v>
      </c>
      <c r="DK147" s="9" t="n">
        <v>0</v>
      </c>
      <c r="DL147" s="9" t="n">
        <v>42939.59999999998</v>
      </c>
      <c r="DP147" s="10" t="n">
        <v>46143</v>
      </c>
      <c r="DR147" s="9" t="n">
        <v>0</v>
      </c>
      <c r="DT147" s="9" t="n">
        <v>0</v>
      </c>
      <c r="DU147" s="9" t="n">
        <v>5800</v>
      </c>
      <c r="DY147" s="10" t="n">
        <v>46143</v>
      </c>
      <c r="EA147" s="9" t="n">
        <v>0</v>
      </c>
      <c r="EC147" s="9" t="n">
        <v>0</v>
      </c>
      <c r="ED147" s="9" t="n">
        <v>0</v>
      </c>
      <c r="EH147" s="10" t="n">
        <v>46143</v>
      </c>
      <c r="EJ147" s="9" t="n">
        <v>0</v>
      </c>
      <c r="EL147" s="9" t="n">
        <v>0</v>
      </c>
      <c r="EM147" s="9" t="n">
        <v>0</v>
      </c>
      <c r="EQ147" s="10" t="n">
        <v>46143</v>
      </c>
      <c r="ES147" s="9" t="n">
        <v>0</v>
      </c>
      <c r="EU147" s="9" t="n">
        <v>0</v>
      </c>
      <c r="EV147" s="9" t="n">
        <v>0</v>
      </c>
      <c r="EZ147" s="10" t="n">
        <v>46143</v>
      </c>
      <c r="FB147" s="9" t="n">
        <v>0</v>
      </c>
      <c r="FD147" s="9" t="n">
        <v>0</v>
      </c>
      <c r="FE147" s="9" t="n">
        <v>0</v>
      </c>
      <c r="FI147" s="10" t="n">
        <v>46143</v>
      </c>
      <c r="FK147" s="9" t="n">
        <v>0</v>
      </c>
      <c r="FM147" s="9" t="n">
        <v>0</v>
      </c>
      <c r="FN147" s="9" t="n">
        <v>0</v>
      </c>
      <c r="FR147" s="10" t="n">
        <v>46143</v>
      </c>
      <c r="FT147" s="9" t="n">
        <v>0</v>
      </c>
      <c r="FV147" s="9" t="n">
        <v>0</v>
      </c>
      <c r="FW147" s="9" t="n">
        <v>2120</v>
      </c>
      <c r="GA147" s="10" t="n">
        <v>46143</v>
      </c>
      <c r="GC147" s="9" t="n">
        <v>0</v>
      </c>
      <c r="GE147" s="9" t="n">
        <v>0</v>
      </c>
      <c r="GF147" s="9" t="n">
        <v>3640</v>
      </c>
      <c r="GJ147" s="10" t="n">
        <v>46143</v>
      </c>
      <c r="GL147" s="9" t="n">
        <v>0</v>
      </c>
      <c r="GN147" s="9" t="n">
        <v>0</v>
      </c>
      <c r="GO147" s="9" t="n">
        <v>2080</v>
      </c>
      <c r="GS147" s="10" t="n">
        <v>46143</v>
      </c>
      <c r="GU147" s="9" t="n">
        <v>0</v>
      </c>
      <c r="GW147" s="9" t="n">
        <v>0</v>
      </c>
      <c r="GX147" s="9" t="n">
        <v>0</v>
      </c>
      <c r="HB147" s="10" t="n">
        <v>46143</v>
      </c>
      <c r="HD147" s="9" t="n">
        <v>0</v>
      </c>
      <c r="HF147" s="9" t="n">
        <v>0</v>
      </c>
      <c r="HG147" s="9" t="n">
        <v>0</v>
      </c>
      <c r="HK147" s="10" t="n">
        <v>46143</v>
      </c>
      <c r="HM147" s="9" t="n">
        <v>0</v>
      </c>
      <c r="HO147" s="9" t="n">
        <v>0</v>
      </c>
      <c r="HP147" s="9" t="n">
        <v>0</v>
      </c>
      <c r="HU147" s="10" t="n">
        <v>46143</v>
      </c>
      <c r="HW147" s="9" t="n">
        <v>0</v>
      </c>
      <c r="HY147" s="9" t="n">
        <v>0</v>
      </c>
      <c r="HZ147" s="9" t="n">
        <v>6360</v>
      </c>
      <c r="ID147" s="10" t="n">
        <v>46143</v>
      </c>
      <c r="IF147" s="9" t="n">
        <v>0</v>
      </c>
      <c r="IH147" s="9" t="n">
        <v>0</v>
      </c>
      <c r="II147" s="9" t="n">
        <v>6540</v>
      </c>
      <c r="IM147" s="10" t="n">
        <v>46143</v>
      </c>
      <c r="IO147" s="9" t="n">
        <v>0</v>
      </c>
      <c r="IQ147" s="9" t="n">
        <v>0</v>
      </c>
      <c r="IR147" s="9" t="n">
        <v>11540</v>
      </c>
      <c r="IV147" s="10" t="n">
        <v>46143</v>
      </c>
      <c r="IX147" s="9" t="n">
        <v>0</v>
      </c>
      <c r="IZ147" s="9" t="n">
        <v>0</v>
      </c>
      <c r="JA147" s="9" t="n">
        <v>15120</v>
      </c>
      <c r="JE147" s="10" t="n">
        <v>46143</v>
      </c>
      <c r="JG147" s="9" t="n">
        <v>0</v>
      </c>
      <c r="JI147" s="9" t="n">
        <v>0</v>
      </c>
      <c r="JJ147" s="9" t="n">
        <v>1960</v>
      </c>
      <c r="JN147" s="10" t="n">
        <v>46143</v>
      </c>
      <c r="JP147" s="9" t="n">
        <v>0</v>
      </c>
      <c r="JR147" s="9" t="n">
        <v>0</v>
      </c>
      <c r="JS147" s="9" t="n">
        <v>9100</v>
      </c>
      <c r="JW147" s="10" t="n">
        <v>46143</v>
      </c>
      <c r="JY147" s="9" t="n">
        <v>0</v>
      </c>
      <c r="KA147" s="9" t="n">
        <v>0</v>
      </c>
      <c r="KB147" s="9" t="n">
        <v>2540</v>
      </c>
      <c r="KF147" s="10" t="n">
        <v>46143</v>
      </c>
      <c r="KH147" s="9" t="n">
        <v>0</v>
      </c>
      <c r="KJ147" s="9" t="n">
        <v>0</v>
      </c>
      <c r="KK147" s="9" t="n">
        <v>19.5</v>
      </c>
      <c r="KO147" s="10" t="n">
        <v>46143</v>
      </c>
      <c r="KQ147" s="9" t="n">
        <v>0</v>
      </c>
      <c r="KS147" s="9" t="n">
        <v>0</v>
      </c>
      <c r="KT147" s="9" t="n">
        <v>2079</v>
      </c>
      <c r="KX147" s="10" t="n">
        <v>46143</v>
      </c>
      <c r="KZ147" s="9" t="n">
        <v>0</v>
      </c>
      <c r="LB147" s="9" t="n">
        <v>0</v>
      </c>
      <c r="LC147" s="9" t="n">
        <v>6150</v>
      </c>
      <c r="LG147" s="10" t="n">
        <v>46143</v>
      </c>
      <c r="LI147" s="9" t="n">
        <v>0</v>
      </c>
      <c r="LK147" s="9" t="n">
        <v>0</v>
      </c>
      <c r="LL147" s="9" t="n">
        <v>4000</v>
      </c>
      <c r="LP147" s="10" t="n">
        <v>46143</v>
      </c>
      <c r="LR147" s="9" t="n">
        <v>0</v>
      </c>
      <c r="LT147" s="9" t="n">
        <v>0</v>
      </c>
      <c r="LU147" s="9" t="n">
        <v>0</v>
      </c>
      <c r="LY147" s="10" t="n">
        <v>46143</v>
      </c>
      <c r="MA147" s="9" t="n">
        <v>0</v>
      </c>
      <c r="MC147" s="9" t="n">
        <v>0</v>
      </c>
      <c r="MD147" s="9" t="n">
        <v>0</v>
      </c>
      <c r="MH147" s="10" t="n">
        <v>46143</v>
      </c>
      <c r="MJ147" s="9" t="n">
        <v>0</v>
      </c>
      <c r="ML147" s="9" t="n">
        <v>0</v>
      </c>
      <c r="MM147" s="9" t="n">
        <v>0</v>
      </c>
      <c r="MQ147" s="10" t="n">
        <v>46143</v>
      </c>
      <c r="MS147" s="9" t="n">
        <v>0</v>
      </c>
      <c r="MU147" s="9" t="n">
        <v>0</v>
      </c>
      <c r="MV147" s="9" t="n">
        <v>3903</v>
      </c>
      <c r="MZ147" s="10" t="n">
        <v>46143</v>
      </c>
      <c r="NB147" s="9" t="n">
        <v>0</v>
      </c>
      <c r="ND147" s="9" t="n">
        <v>0</v>
      </c>
      <c r="NE147" s="9" t="n">
        <v>0</v>
      </c>
      <c r="NI147" s="10" t="n">
        <v>46143</v>
      </c>
      <c r="NK147" s="9" t="n">
        <v>0</v>
      </c>
      <c r="NM147" s="9" t="n">
        <v>0</v>
      </c>
      <c r="NN147" s="9" t="n">
        <v>1137</v>
      </c>
      <c r="NR147" s="10" t="n">
        <v>46143</v>
      </c>
      <c r="NT147" s="9" t="n">
        <v>0</v>
      </c>
      <c r="NV147" s="9" t="n">
        <v>0</v>
      </c>
      <c r="NW147" s="9" t="n">
        <v>3122.9</v>
      </c>
      <c r="OA147" s="10" t="n">
        <v>46143</v>
      </c>
      <c r="OC147" s="9" t="n">
        <v>0</v>
      </c>
      <c r="OE147" s="9" t="n">
        <v>0</v>
      </c>
      <c r="OF147" s="9" t="n">
        <v>1680.5</v>
      </c>
      <c r="OJ147" s="10" t="n">
        <v>46143</v>
      </c>
      <c r="OL147" s="9" t="n">
        <v>0</v>
      </c>
      <c r="ON147" s="9" t="n">
        <v>0</v>
      </c>
      <c r="OO147" s="9" t="n">
        <v>0</v>
      </c>
      <c r="OS147" s="10" t="n">
        <v>46143</v>
      </c>
      <c r="OU147" s="9" t="n">
        <v>0</v>
      </c>
      <c r="OW147" s="9" t="n">
        <v>0</v>
      </c>
      <c r="OX147" s="9" t="n">
        <v>982</v>
      </c>
      <c r="PB147" s="10" t="n">
        <v>46143</v>
      </c>
      <c r="PD147" s="9" t="n">
        <v>0</v>
      </c>
      <c r="PF147" s="9" t="n">
        <v>0</v>
      </c>
      <c r="PG147" s="9" t="n">
        <v>0</v>
      </c>
      <c r="PK147" s="10" t="n">
        <v>46143</v>
      </c>
      <c r="PM147" s="9" t="n">
        <v>0</v>
      </c>
      <c r="PO147" s="9" t="n">
        <v>0</v>
      </c>
      <c r="PP147" s="9" t="n">
        <v>100</v>
      </c>
      <c r="PT147" s="10" t="n">
        <v>46143</v>
      </c>
      <c r="PV147" s="9" t="n">
        <v>0</v>
      </c>
      <c r="PX147" s="9" t="n">
        <v>0</v>
      </c>
      <c r="PY147" s="9" t="n">
        <v>13.96000000000004</v>
      </c>
      <c r="QC147" s="10" t="n">
        <v>46143</v>
      </c>
      <c r="QE147" s="9" t="n">
        <v>0</v>
      </c>
      <c r="QG147" s="9" t="n">
        <v>0</v>
      </c>
      <c r="QH147" s="9" t="n">
        <v>596</v>
      </c>
      <c r="QL147" s="10" t="n">
        <v>46143</v>
      </c>
      <c r="QN147" s="9" t="n">
        <v>0</v>
      </c>
      <c r="QP147" s="9" t="n">
        <v>0</v>
      </c>
      <c r="QQ147" s="9" t="n">
        <v>400</v>
      </c>
      <c r="QU147" s="10" t="n">
        <v>46143</v>
      </c>
      <c r="QW147" s="9" t="n">
        <v>0</v>
      </c>
      <c r="QY147" s="9" t="n">
        <v>0</v>
      </c>
      <c r="QZ147" s="9" t="n">
        <v>207.6</v>
      </c>
      <c r="RD147" s="10" t="n">
        <v>46143</v>
      </c>
      <c r="RF147" s="9" t="n">
        <v>0</v>
      </c>
      <c r="RH147" s="9" t="n">
        <v>0</v>
      </c>
      <c r="RI147" s="9" t="n">
        <v>147.04</v>
      </c>
      <c r="RM147" s="10" t="n">
        <v>46143</v>
      </c>
      <c r="RO147" s="9" t="n">
        <v>0</v>
      </c>
      <c r="RQ147" s="9" t="n">
        <v>0</v>
      </c>
      <c r="RR147" s="9" t="n">
        <v>46.8</v>
      </c>
      <c r="RV147" s="10" t="n">
        <v>46143</v>
      </c>
      <c r="RX147" s="9" t="n">
        <v>0</v>
      </c>
      <c r="RZ147" s="9" t="n">
        <v>0</v>
      </c>
      <c r="SA147" s="9" t="n">
        <v>0</v>
      </c>
      <c r="SE147" s="10" t="n">
        <v>46143</v>
      </c>
      <c r="SG147" s="9" t="n">
        <v>0</v>
      </c>
      <c r="SI147" s="9" t="n">
        <v>0</v>
      </c>
      <c r="SJ147" s="9" t="n">
        <v>24.2</v>
      </c>
      <c r="SN147" s="10" t="n">
        <v>46143</v>
      </c>
      <c r="SP147" s="9" t="n">
        <v>0</v>
      </c>
      <c r="SR147" s="9" t="n">
        <v>0</v>
      </c>
      <c r="SS147" s="9" t="n">
        <v>32</v>
      </c>
      <c r="SW147" s="10" t="n">
        <v>46143</v>
      </c>
      <c r="SY147" s="9" t="n">
        <v>0</v>
      </c>
      <c r="TA147" s="9" t="n">
        <v>0</v>
      </c>
      <c r="TB147" s="9" t="n">
        <v>0</v>
      </c>
      <c r="TF147" s="10" t="n">
        <v>46143</v>
      </c>
      <c r="TH147" s="9" t="n">
        <v>0</v>
      </c>
      <c r="TJ147" s="9" t="n">
        <v>0</v>
      </c>
      <c r="TK147" s="9" t="n">
        <v>0</v>
      </c>
      <c r="TO147" s="10" t="n">
        <v>46143</v>
      </c>
      <c r="TQ147" s="9" t="n">
        <v>0</v>
      </c>
      <c r="TS147" s="9" t="n">
        <v>0</v>
      </c>
      <c r="TT147" s="9" t="n">
        <v>0</v>
      </c>
      <c r="TX147" s="10" t="n">
        <v>46143</v>
      </c>
      <c r="TZ147" s="9" t="n">
        <v>0</v>
      </c>
      <c r="UB147" s="9" t="n">
        <v>0</v>
      </c>
      <c r="UC147" s="9" t="n">
        <v>0</v>
      </c>
      <c r="UG147" s="10" t="n">
        <v>46143</v>
      </c>
      <c r="UI147" s="9" t="n">
        <v>0</v>
      </c>
      <c r="UK147" s="9" t="n">
        <v>0</v>
      </c>
      <c r="UL147" s="9" t="n">
        <v>0</v>
      </c>
      <c r="UP147" s="10" t="n">
        <v>46143</v>
      </c>
      <c r="UR147" s="9" t="n">
        <v>0</v>
      </c>
      <c r="UT147" s="9" t="n">
        <v>0</v>
      </c>
      <c r="UU147" s="9" t="n">
        <v>0</v>
      </c>
      <c r="UY147" s="10" t="n">
        <v>46143</v>
      </c>
      <c r="VA147" s="9" t="n">
        <v>0</v>
      </c>
      <c r="VC147" s="9" t="n">
        <v>0</v>
      </c>
      <c r="VD147" s="9" t="n">
        <v>41.60000000000002</v>
      </c>
      <c r="VH147" s="10" t="n">
        <v>46143</v>
      </c>
      <c r="VJ147" s="9" t="n">
        <v>0</v>
      </c>
      <c r="VL147" s="9" t="n">
        <v>0</v>
      </c>
      <c r="VM147" s="9" t="n">
        <v>0</v>
      </c>
      <c r="VQ147" s="10" t="n">
        <v>46143</v>
      </c>
      <c r="VS147" s="9" t="n">
        <v>0</v>
      </c>
      <c r="VU147" s="9" t="n">
        <v>0</v>
      </c>
      <c r="VV147" s="9" t="n">
        <v>0</v>
      </c>
      <c r="VZ147" s="10" t="n">
        <v>46143</v>
      </c>
      <c r="WB147" s="9" t="n">
        <v>0</v>
      </c>
      <c r="WD147" s="9" t="n">
        <v>0</v>
      </c>
      <c r="WE147" s="9" t="n">
        <v>0</v>
      </c>
      <c r="WI147" s="10" t="n">
        <v>46143</v>
      </c>
      <c r="WK147" s="9" t="n">
        <v>0</v>
      </c>
      <c r="WM147" s="9" t="n">
        <v>0</v>
      </c>
      <c r="WN147" s="9" t="n">
        <v>2317</v>
      </c>
      <c r="WR147" s="10" t="n">
        <v>46143</v>
      </c>
      <c r="WT147" s="9" t="n">
        <v>0</v>
      </c>
      <c r="WV147" s="9" t="n">
        <v>0</v>
      </c>
      <c r="WW147" s="9" t="n">
        <v>776</v>
      </c>
      <c r="XA147" s="10" t="n">
        <v>46143</v>
      </c>
      <c r="XC147" s="9" t="n">
        <v>0</v>
      </c>
      <c r="XE147" s="9" t="n">
        <v>0</v>
      </c>
      <c r="XF147" s="9" t="n">
        <v>13455</v>
      </c>
      <c r="XJ147" s="10" t="n">
        <v>46143</v>
      </c>
      <c r="XL147" s="9" t="n">
        <v>0</v>
      </c>
      <c r="XN147" s="9" t="n">
        <v>0</v>
      </c>
      <c r="XO147" s="9" t="n">
        <v>1481</v>
      </c>
      <c r="XS147" s="10" t="n">
        <v>46143</v>
      </c>
      <c r="XU147" s="9" t="n">
        <v>0</v>
      </c>
      <c r="XW147" s="9" t="n">
        <v>0</v>
      </c>
      <c r="XX147" s="9" t="n">
        <v>1901</v>
      </c>
      <c r="YB147" s="10" t="n">
        <v>46143</v>
      </c>
      <c r="YD147" s="9" t="n">
        <v>0</v>
      </c>
      <c r="YF147" s="9" t="n">
        <v>0</v>
      </c>
      <c r="YG147" s="9" t="n">
        <v>6459</v>
      </c>
      <c r="YK147" s="10" t="n">
        <v>46143</v>
      </c>
      <c r="YM147" s="9" t="n">
        <v>0</v>
      </c>
      <c r="YO147" s="9" t="n">
        <v>0</v>
      </c>
      <c r="YP147" s="9" t="n">
        <v>0</v>
      </c>
      <c r="YT147" s="10" t="n">
        <v>46143</v>
      </c>
      <c r="YV147" s="9" t="n">
        <v>0</v>
      </c>
      <c r="YX147" s="9" t="n">
        <v>0</v>
      </c>
      <c r="YY147" s="9" t="n">
        <v>0</v>
      </c>
      <c r="ZC147" s="10" t="n">
        <v>46143</v>
      </c>
      <c r="ZE147" s="9" t="n">
        <v>0</v>
      </c>
      <c r="ZG147" s="9" t="n">
        <v>0</v>
      </c>
      <c r="ZH147" s="9" t="n">
        <v>0</v>
      </c>
      <c r="ZL147" s="10" t="n">
        <v>46143</v>
      </c>
      <c r="ZN147" s="9" t="n">
        <v>0</v>
      </c>
      <c r="ZP147" s="9" t="n">
        <v>0</v>
      </c>
      <c r="ZQ147" s="9" t="n">
        <v>0</v>
      </c>
      <c r="ZU147" s="10" t="n">
        <v>46143</v>
      </c>
      <c r="ZW147" s="9" t="n">
        <v>0</v>
      </c>
      <c r="ZY147" s="9" t="n">
        <v>0</v>
      </c>
      <c r="ZZ147" s="9" t="n">
        <v>0</v>
      </c>
      <c r="AAD147" s="10" t="n">
        <v>46143</v>
      </c>
      <c r="AAF147" s="9" t="n">
        <v>0</v>
      </c>
      <c r="AAH147" s="9" t="n">
        <v>0</v>
      </c>
      <c r="AAI147" s="9" t="n">
        <v>0</v>
      </c>
      <c r="AAM147" s="10" t="n">
        <v>46143</v>
      </c>
      <c r="AAO147" s="9" t="n">
        <v>0</v>
      </c>
      <c r="AAQ147" s="9" t="n">
        <v>0</v>
      </c>
      <c r="AAR147" s="9" t="n">
        <v>0</v>
      </c>
      <c r="AAV147" s="10" t="n">
        <v>46143</v>
      </c>
      <c r="AAX147" s="9" t="n">
        <v>0</v>
      </c>
      <c r="AAZ147" s="9" t="n">
        <v>0</v>
      </c>
      <c r="ABA147" s="9" t="n">
        <v>0</v>
      </c>
      <c r="ABE147" s="10" t="n">
        <v>46143</v>
      </c>
      <c r="ABG147" s="9" t="n">
        <v>0</v>
      </c>
      <c r="ABI147" s="9" t="n">
        <v>0</v>
      </c>
      <c r="ABJ147" s="9" t="n">
        <v>0</v>
      </c>
    </row>
    <row r="148">
      <c r="B148" s="9" t="n">
        <v>80</v>
      </c>
      <c r="C148" s="10" t="n">
        <v>46144</v>
      </c>
      <c r="D148" s="9" t="n">
        <v>30930</v>
      </c>
      <c r="E148" s="9" t="n">
        <v>40510.39999999999</v>
      </c>
      <c r="F148" s="9" t="n">
        <v>40512</v>
      </c>
      <c r="G148" s="9" t="n">
        <v>-1.600000000005821</v>
      </c>
      <c r="H148" s="9" t="n">
        <v>158786.4000000001</v>
      </c>
      <c r="I148" s="9" t="inlineStr">
        <is>
          <t>8102 80mt</t>
        </is>
      </c>
      <c r="L148" s="10" t="n">
        <v>46144</v>
      </c>
      <c r="N148" s="9" t="n">
        <v>25376</v>
      </c>
      <c r="O148" s="9" t="n">
        <v>25366.2</v>
      </c>
      <c r="P148" s="9" t="n">
        <v>9.799999999999272</v>
      </c>
      <c r="Q148" s="9" t="n">
        <v>37909.60000000009</v>
      </c>
      <c r="U148" s="10" t="n">
        <v>46144</v>
      </c>
      <c r="W148" s="9" t="n">
        <v>4000</v>
      </c>
      <c r="X148" s="9" t="n">
        <v>4001.5</v>
      </c>
      <c r="Y148" s="9" t="n">
        <v>-1.5</v>
      </c>
      <c r="Z148" s="9" t="n">
        <v>27015.69999999997</v>
      </c>
      <c r="AD148" s="10" t="n">
        <v>46144</v>
      </c>
      <c r="AF148" s="9" t="n">
        <v>4000</v>
      </c>
      <c r="AG148" s="9" t="n">
        <v>4001.2</v>
      </c>
      <c r="AH148" s="9" t="n">
        <v>-1.199999999999818</v>
      </c>
      <c r="AI148" s="9" t="n">
        <v>9031.300000000017</v>
      </c>
      <c r="AM148" s="10" t="n">
        <v>46144</v>
      </c>
      <c r="AO148" s="9" t="n">
        <v>0</v>
      </c>
      <c r="AQ148" s="9" t="n">
        <v>0</v>
      </c>
      <c r="AR148" s="9" t="n">
        <v>0</v>
      </c>
      <c r="AV148" s="10" t="n">
        <v>46144</v>
      </c>
      <c r="AX148" s="9" t="n">
        <v>0</v>
      </c>
      <c r="AZ148" s="9" t="n">
        <v>0</v>
      </c>
      <c r="BA148" s="9" t="n">
        <v>37387.2</v>
      </c>
      <c r="BE148" s="10" t="n">
        <v>46144</v>
      </c>
      <c r="BG148" s="9" t="n">
        <v>1560</v>
      </c>
      <c r="BH148" s="9" t="n">
        <v>1561.3</v>
      </c>
      <c r="BI148" s="9" t="n">
        <v>-1.299999999999955</v>
      </c>
      <c r="BJ148" s="9" t="n">
        <v>27975.89999999999</v>
      </c>
      <c r="BN148" s="10" t="n">
        <v>46144</v>
      </c>
      <c r="BO148" s="9" t="n">
        <v>1879.9</v>
      </c>
      <c r="BP148" s="9" t="n">
        <v>1880</v>
      </c>
      <c r="BQ148" s="9" t="n">
        <v>1879.9</v>
      </c>
      <c r="BR148" s="9" t="n">
        <v>0.09999999999990905</v>
      </c>
      <c r="BS148" s="9" t="n">
        <v>0</v>
      </c>
      <c r="BW148" s="10" t="n">
        <v>46144</v>
      </c>
      <c r="BY148" s="9" t="n">
        <v>0</v>
      </c>
      <c r="CA148" s="9" t="n">
        <v>0</v>
      </c>
      <c r="CB148" s="9" t="n">
        <v>5848.799999999999</v>
      </c>
      <c r="CF148" s="10" t="n">
        <v>46144</v>
      </c>
      <c r="CH148" s="9" t="n">
        <v>513.6</v>
      </c>
      <c r="CJ148" s="9" t="n">
        <v>513.6</v>
      </c>
      <c r="CK148" s="9" t="n">
        <v>0</v>
      </c>
      <c r="CO148" s="10" t="n">
        <v>46144</v>
      </c>
      <c r="CQ148" s="9" t="n">
        <v>0</v>
      </c>
      <c r="CS148" s="9" t="n">
        <v>0</v>
      </c>
      <c r="CT148" s="9" t="n">
        <v>0</v>
      </c>
      <c r="CX148" s="10" t="n">
        <v>46144</v>
      </c>
      <c r="CZ148" s="9" t="n">
        <v>0</v>
      </c>
      <c r="DB148" s="9" t="n">
        <v>0</v>
      </c>
      <c r="DC148" s="9" t="n">
        <v>24158.3</v>
      </c>
      <c r="DG148" s="10" t="n">
        <v>46144</v>
      </c>
      <c r="DI148" s="9" t="n">
        <v>0</v>
      </c>
      <c r="DK148" s="9" t="n">
        <v>0</v>
      </c>
      <c r="DL148" s="9" t="n">
        <v>42939.59999999998</v>
      </c>
      <c r="DP148" s="10" t="n">
        <v>46144</v>
      </c>
      <c r="DR148" s="9" t="n">
        <v>0</v>
      </c>
      <c r="DT148" s="9" t="n">
        <v>0</v>
      </c>
      <c r="DU148" s="9" t="n">
        <v>5800</v>
      </c>
      <c r="DY148" s="10" t="n">
        <v>46144</v>
      </c>
      <c r="EA148" s="9" t="n">
        <v>0</v>
      </c>
      <c r="EC148" s="9" t="n">
        <v>0</v>
      </c>
      <c r="ED148" s="9" t="n">
        <v>0</v>
      </c>
      <c r="EH148" s="10" t="n">
        <v>46144</v>
      </c>
      <c r="EJ148" s="9" t="n">
        <v>0</v>
      </c>
      <c r="EL148" s="9" t="n">
        <v>0</v>
      </c>
      <c r="EM148" s="9" t="n">
        <v>0</v>
      </c>
      <c r="EQ148" s="10" t="n">
        <v>46144</v>
      </c>
      <c r="ES148" s="9" t="n">
        <v>0</v>
      </c>
      <c r="EU148" s="9" t="n">
        <v>0</v>
      </c>
      <c r="EV148" s="9" t="n">
        <v>0</v>
      </c>
      <c r="EZ148" s="10" t="n">
        <v>46144</v>
      </c>
      <c r="FB148" s="9" t="n">
        <v>0</v>
      </c>
      <c r="FD148" s="9" t="n">
        <v>0</v>
      </c>
      <c r="FE148" s="9" t="n">
        <v>0</v>
      </c>
      <c r="FI148" s="10" t="n">
        <v>46144</v>
      </c>
      <c r="FK148" s="9" t="n">
        <v>0</v>
      </c>
      <c r="FM148" s="9" t="n">
        <v>0</v>
      </c>
      <c r="FN148" s="9" t="n">
        <v>0</v>
      </c>
      <c r="FR148" s="10" t="n">
        <v>46144</v>
      </c>
      <c r="FT148" s="9" t="n">
        <v>0</v>
      </c>
      <c r="FV148" s="9" t="n">
        <v>0</v>
      </c>
      <c r="FW148" s="9" t="n">
        <v>2120</v>
      </c>
      <c r="GA148" s="10" t="n">
        <v>46144</v>
      </c>
      <c r="GC148" s="9" t="n">
        <v>0</v>
      </c>
      <c r="GE148" s="9" t="n">
        <v>0</v>
      </c>
      <c r="GF148" s="9" t="n">
        <v>3640</v>
      </c>
      <c r="GJ148" s="10" t="n">
        <v>46144</v>
      </c>
      <c r="GL148" s="9" t="n">
        <v>0</v>
      </c>
      <c r="GN148" s="9" t="n">
        <v>0</v>
      </c>
      <c r="GO148" s="9" t="n">
        <v>2080</v>
      </c>
      <c r="GS148" s="10" t="n">
        <v>46144</v>
      </c>
      <c r="GU148" s="9" t="n">
        <v>0</v>
      </c>
      <c r="GW148" s="9" t="n">
        <v>0</v>
      </c>
      <c r="GX148" s="9" t="n">
        <v>0</v>
      </c>
      <c r="HB148" s="10" t="n">
        <v>46144</v>
      </c>
      <c r="HD148" s="9" t="n">
        <v>0</v>
      </c>
      <c r="HF148" s="9" t="n">
        <v>0</v>
      </c>
      <c r="HG148" s="9" t="n">
        <v>0</v>
      </c>
      <c r="HK148" s="10" t="n">
        <v>46144</v>
      </c>
      <c r="HM148" s="9" t="n">
        <v>0</v>
      </c>
      <c r="HO148" s="9" t="n">
        <v>0</v>
      </c>
      <c r="HP148" s="9" t="n">
        <v>0</v>
      </c>
      <c r="HU148" s="10" t="n">
        <v>46144</v>
      </c>
      <c r="HW148" s="9" t="n">
        <v>0</v>
      </c>
      <c r="HY148" s="9" t="n">
        <v>0</v>
      </c>
      <c r="HZ148" s="9" t="n">
        <v>6360</v>
      </c>
      <c r="ID148" s="10" t="n">
        <v>46144</v>
      </c>
      <c r="IF148" s="9" t="n">
        <v>0</v>
      </c>
      <c r="IH148" s="9" t="n">
        <v>0</v>
      </c>
      <c r="II148" s="9" t="n">
        <v>6540</v>
      </c>
      <c r="IM148" s="10" t="n">
        <v>46144</v>
      </c>
      <c r="IO148" s="9" t="n">
        <v>0</v>
      </c>
      <c r="IQ148" s="9" t="n">
        <v>0</v>
      </c>
      <c r="IR148" s="9" t="n">
        <v>11540</v>
      </c>
      <c r="IV148" s="10" t="n">
        <v>46144</v>
      </c>
      <c r="IX148" s="9" t="n">
        <v>0</v>
      </c>
      <c r="IZ148" s="9" t="n">
        <v>0</v>
      </c>
      <c r="JA148" s="9" t="n">
        <v>15120</v>
      </c>
      <c r="JE148" s="10" t="n">
        <v>46144</v>
      </c>
      <c r="JG148" s="9" t="n">
        <v>1600</v>
      </c>
      <c r="JI148" s="9" t="n">
        <v>1600</v>
      </c>
      <c r="JJ148" s="9" t="n">
        <v>1960</v>
      </c>
      <c r="JN148" s="10" t="n">
        <v>46144</v>
      </c>
      <c r="JP148" s="9" t="n">
        <v>0</v>
      </c>
      <c r="JR148" s="9" t="n">
        <v>0</v>
      </c>
      <c r="JS148" s="9" t="n">
        <v>9100</v>
      </c>
      <c r="JW148" s="10" t="n">
        <v>46144</v>
      </c>
      <c r="JY148" s="9" t="n">
        <v>0</v>
      </c>
      <c r="KA148" s="9" t="n">
        <v>0</v>
      </c>
      <c r="KB148" s="9" t="n">
        <v>2540</v>
      </c>
      <c r="KF148" s="10" t="n">
        <v>46144</v>
      </c>
      <c r="KH148" s="9" t="n">
        <v>0</v>
      </c>
      <c r="KJ148" s="9" t="n">
        <v>0</v>
      </c>
      <c r="KK148" s="9" t="n">
        <v>19.5</v>
      </c>
      <c r="KO148" s="10" t="n">
        <v>46144</v>
      </c>
      <c r="KQ148" s="9" t="n">
        <v>0</v>
      </c>
      <c r="KS148" s="9" t="n">
        <v>0</v>
      </c>
      <c r="KT148" s="9" t="n">
        <v>2079</v>
      </c>
      <c r="KX148" s="10" t="n">
        <v>46144</v>
      </c>
      <c r="KZ148" s="9" t="n">
        <v>0</v>
      </c>
      <c r="LB148" s="9" t="n">
        <v>0</v>
      </c>
      <c r="LC148" s="9" t="n">
        <v>6150</v>
      </c>
      <c r="LG148" s="10" t="n">
        <v>46144</v>
      </c>
      <c r="LI148" s="9" t="n">
        <v>0</v>
      </c>
      <c r="LK148" s="9" t="n">
        <v>0</v>
      </c>
      <c r="LL148" s="9" t="n">
        <v>4000</v>
      </c>
      <c r="LP148" s="10" t="n">
        <v>46144</v>
      </c>
      <c r="LR148" s="9" t="n">
        <v>0</v>
      </c>
      <c r="LT148" s="9" t="n">
        <v>0</v>
      </c>
      <c r="LU148" s="9" t="n">
        <v>0</v>
      </c>
      <c r="LY148" s="10" t="n">
        <v>46144</v>
      </c>
      <c r="MA148" s="9" t="n">
        <v>0</v>
      </c>
      <c r="MC148" s="9" t="n">
        <v>0</v>
      </c>
      <c r="MD148" s="9" t="n">
        <v>0</v>
      </c>
      <c r="MH148" s="10" t="n">
        <v>46144</v>
      </c>
      <c r="MJ148" s="9" t="n">
        <v>0</v>
      </c>
      <c r="ML148" s="9" t="n">
        <v>0</v>
      </c>
      <c r="MM148" s="9" t="n">
        <v>0</v>
      </c>
      <c r="MQ148" s="10" t="n">
        <v>46144</v>
      </c>
      <c r="MS148" s="9" t="n">
        <v>0</v>
      </c>
      <c r="MU148" s="9" t="n">
        <v>0</v>
      </c>
      <c r="MV148" s="9" t="n">
        <v>3903</v>
      </c>
      <c r="MZ148" s="10" t="n">
        <v>46144</v>
      </c>
      <c r="NB148" s="9" t="n">
        <v>240</v>
      </c>
      <c r="ND148" s="9" t="n">
        <v>240</v>
      </c>
      <c r="NE148" s="9" t="n">
        <v>0</v>
      </c>
      <c r="NI148" s="10" t="n">
        <v>46144</v>
      </c>
      <c r="NK148" s="9" t="n">
        <v>0</v>
      </c>
      <c r="NM148" s="9" t="n">
        <v>0</v>
      </c>
      <c r="NN148" s="9" t="n">
        <v>1137</v>
      </c>
      <c r="NR148" s="10" t="n">
        <v>46144</v>
      </c>
      <c r="NT148" s="9" t="n">
        <v>0</v>
      </c>
      <c r="NV148" s="9" t="n">
        <v>0</v>
      </c>
      <c r="NW148" s="9" t="n">
        <v>3122.9</v>
      </c>
      <c r="OA148" s="10" t="n">
        <v>46144</v>
      </c>
      <c r="OC148" s="9" t="n">
        <v>0</v>
      </c>
      <c r="OE148" s="9" t="n">
        <v>0</v>
      </c>
      <c r="OF148" s="9" t="n">
        <v>1680.5</v>
      </c>
      <c r="OJ148" s="10" t="n">
        <v>46144</v>
      </c>
      <c r="OL148" s="9" t="n">
        <v>0</v>
      </c>
      <c r="ON148" s="9" t="n">
        <v>0</v>
      </c>
      <c r="OO148" s="9" t="n">
        <v>0</v>
      </c>
      <c r="OS148" s="10" t="n">
        <v>46144</v>
      </c>
      <c r="OU148" s="9" t="n">
        <v>0</v>
      </c>
      <c r="OW148" s="9" t="n">
        <v>0</v>
      </c>
      <c r="OX148" s="9" t="n">
        <v>982</v>
      </c>
      <c r="PB148" s="10" t="n">
        <v>46144</v>
      </c>
      <c r="PD148" s="9" t="n">
        <v>0</v>
      </c>
      <c r="PF148" s="9" t="n">
        <v>0</v>
      </c>
      <c r="PG148" s="9" t="n">
        <v>0</v>
      </c>
      <c r="PK148" s="10" t="n">
        <v>46144</v>
      </c>
      <c r="PM148" s="9" t="n">
        <v>0</v>
      </c>
      <c r="PO148" s="9" t="n">
        <v>0</v>
      </c>
      <c r="PP148" s="9" t="n">
        <v>100</v>
      </c>
      <c r="PT148" s="10" t="n">
        <v>46144</v>
      </c>
      <c r="PV148" s="9" t="n">
        <v>0</v>
      </c>
      <c r="PX148" s="9" t="n">
        <v>0</v>
      </c>
      <c r="PY148" s="9" t="n">
        <v>13.96000000000004</v>
      </c>
      <c r="QC148" s="10" t="n">
        <v>46144</v>
      </c>
      <c r="QE148" s="9" t="n">
        <v>320</v>
      </c>
      <c r="QG148" s="9" t="n">
        <v>320</v>
      </c>
      <c r="QH148" s="9" t="n">
        <v>596</v>
      </c>
      <c r="QL148" s="10" t="n">
        <v>46144</v>
      </c>
      <c r="QN148" s="9" t="n">
        <v>0</v>
      </c>
      <c r="QP148" s="9" t="n">
        <v>0</v>
      </c>
      <c r="QQ148" s="9" t="n">
        <v>400</v>
      </c>
      <c r="QU148" s="10" t="n">
        <v>46144</v>
      </c>
      <c r="QW148" s="9" t="n">
        <v>0</v>
      </c>
      <c r="QY148" s="9" t="n">
        <v>0</v>
      </c>
      <c r="QZ148" s="9" t="n">
        <v>207.6</v>
      </c>
      <c r="RD148" s="10" t="n">
        <v>46144</v>
      </c>
      <c r="RF148" s="9" t="n">
        <v>0</v>
      </c>
      <c r="RH148" s="9" t="n">
        <v>0</v>
      </c>
      <c r="RI148" s="9" t="n">
        <v>147.04</v>
      </c>
      <c r="RM148" s="10" t="n">
        <v>46144</v>
      </c>
      <c r="RO148" s="9" t="n">
        <v>0</v>
      </c>
      <c r="RQ148" s="9" t="n">
        <v>0</v>
      </c>
      <c r="RR148" s="9" t="n">
        <v>46.8</v>
      </c>
      <c r="RV148" s="10" t="n">
        <v>46144</v>
      </c>
      <c r="RX148" s="9" t="n">
        <v>0</v>
      </c>
      <c r="RZ148" s="9" t="n">
        <v>0</v>
      </c>
      <c r="SA148" s="9" t="n">
        <v>0</v>
      </c>
      <c r="SE148" s="10" t="n">
        <v>46144</v>
      </c>
      <c r="SG148" s="9" t="n">
        <v>0</v>
      </c>
      <c r="SI148" s="9" t="n">
        <v>0</v>
      </c>
      <c r="SJ148" s="9" t="n">
        <v>24.2</v>
      </c>
      <c r="SN148" s="10" t="n">
        <v>46144</v>
      </c>
      <c r="SP148" s="9" t="n">
        <v>0</v>
      </c>
      <c r="SR148" s="9" t="n">
        <v>0</v>
      </c>
      <c r="SS148" s="9" t="n">
        <v>32</v>
      </c>
      <c r="SW148" s="10" t="n">
        <v>46144</v>
      </c>
      <c r="SY148" s="9" t="n">
        <v>0</v>
      </c>
      <c r="TA148" s="9" t="n">
        <v>0</v>
      </c>
      <c r="TB148" s="9" t="n">
        <v>0</v>
      </c>
      <c r="TF148" s="10" t="n">
        <v>46144</v>
      </c>
      <c r="TH148" s="9" t="n">
        <v>0</v>
      </c>
      <c r="TJ148" s="9" t="n">
        <v>0</v>
      </c>
      <c r="TK148" s="9" t="n">
        <v>0</v>
      </c>
      <c r="TO148" s="10" t="n">
        <v>46144</v>
      </c>
      <c r="TQ148" s="9" t="n">
        <v>0</v>
      </c>
      <c r="TS148" s="9" t="n">
        <v>0</v>
      </c>
      <c r="TT148" s="9" t="n">
        <v>0</v>
      </c>
      <c r="TX148" s="10" t="n">
        <v>46144</v>
      </c>
      <c r="TZ148" s="9" t="n">
        <v>0</v>
      </c>
      <c r="UB148" s="9" t="n">
        <v>0</v>
      </c>
      <c r="UC148" s="9" t="n">
        <v>0</v>
      </c>
      <c r="UG148" s="10" t="n">
        <v>46144</v>
      </c>
      <c r="UI148" s="9" t="n">
        <v>0</v>
      </c>
      <c r="UK148" s="9" t="n">
        <v>0</v>
      </c>
      <c r="UL148" s="9" t="n">
        <v>0</v>
      </c>
      <c r="UP148" s="10" t="n">
        <v>46144</v>
      </c>
      <c r="UR148" s="9" t="n">
        <v>0</v>
      </c>
      <c r="UT148" s="9" t="n">
        <v>0</v>
      </c>
      <c r="UU148" s="9" t="n">
        <v>0</v>
      </c>
      <c r="UY148" s="10" t="n">
        <v>46144</v>
      </c>
      <c r="VA148" s="9" t="n">
        <v>0</v>
      </c>
      <c r="VC148" s="9" t="n">
        <v>0</v>
      </c>
      <c r="VD148" s="9" t="n">
        <v>41.60000000000002</v>
      </c>
      <c r="VH148" s="10" t="n">
        <v>46144</v>
      </c>
      <c r="VJ148" s="9" t="n">
        <v>0</v>
      </c>
      <c r="VL148" s="9" t="n">
        <v>0</v>
      </c>
      <c r="VM148" s="9" t="n">
        <v>0</v>
      </c>
      <c r="VQ148" s="10" t="n">
        <v>46144</v>
      </c>
      <c r="VS148" s="9" t="n">
        <v>0</v>
      </c>
      <c r="VU148" s="9" t="n">
        <v>0</v>
      </c>
      <c r="VV148" s="9" t="n">
        <v>0</v>
      </c>
      <c r="VZ148" s="10" t="n">
        <v>46144</v>
      </c>
      <c r="WB148" s="9" t="n">
        <v>0</v>
      </c>
      <c r="WD148" s="9" t="n">
        <v>0</v>
      </c>
      <c r="WE148" s="9" t="n">
        <v>0</v>
      </c>
      <c r="WI148" s="10" t="n">
        <v>46144</v>
      </c>
      <c r="WK148" s="9" t="n">
        <v>0</v>
      </c>
      <c r="WM148" s="9" t="n">
        <v>0</v>
      </c>
      <c r="WN148" s="9" t="n">
        <v>2317</v>
      </c>
      <c r="WR148" s="10" t="n">
        <v>46144</v>
      </c>
      <c r="WT148" s="9" t="n">
        <v>0</v>
      </c>
      <c r="WV148" s="9" t="n">
        <v>0</v>
      </c>
      <c r="WW148" s="9" t="n">
        <v>776</v>
      </c>
      <c r="XA148" s="10" t="n">
        <v>46144</v>
      </c>
      <c r="XC148" s="9" t="n">
        <v>0</v>
      </c>
      <c r="XE148" s="9" t="n">
        <v>0</v>
      </c>
      <c r="XF148" s="9" t="n">
        <v>13455</v>
      </c>
      <c r="XJ148" s="10" t="n">
        <v>46144</v>
      </c>
      <c r="XL148" s="9" t="n">
        <v>0</v>
      </c>
      <c r="XN148" s="9" t="n">
        <v>0</v>
      </c>
      <c r="XO148" s="9" t="n">
        <v>1481</v>
      </c>
      <c r="XS148" s="10" t="n">
        <v>46144</v>
      </c>
      <c r="XU148" s="9" t="n">
        <v>0</v>
      </c>
      <c r="XW148" s="9" t="n">
        <v>0</v>
      </c>
      <c r="XX148" s="9" t="n">
        <v>1901</v>
      </c>
      <c r="YB148" s="10" t="n">
        <v>46144</v>
      </c>
      <c r="YD148" s="9" t="n">
        <v>0</v>
      </c>
      <c r="YF148" s="9" t="n">
        <v>0</v>
      </c>
      <c r="YG148" s="9" t="n">
        <v>6459</v>
      </c>
      <c r="YK148" s="10" t="n">
        <v>46144</v>
      </c>
      <c r="YM148" s="9" t="n">
        <v>0</v>
      </c>
      <c r="YO148" s="9" t="n">
        <v>0</v>
      </c>
      <c r="YP148" s="9" t="n">
        <v>0</v>
      </c>
      <c r="YT148" s="10" t="n">
        <v>46144</v>
      </c>
      <c r="YV148" s="9" t="n">
        <v>0</v>
      </c>
      <c r="YX148" s="9" t="n">
        <v>0</v>
      </c>
      <c r="YY148" s="9" t="n">
        <v>0</v>
      </c>
      <c r="ZC148" s="10" t="n">
        <v>46144</v>
      </c>
      <c r="ZE148" s="9" t="n">
        <v>0</v>
      </c>
      <c r="ZG148" s="9" t="n">
        <v>0</v>
      </c>
      <c r="ZH148" s="9" t="n">
        <v>0</v>
      </c>
      <c r="ZL148" s="10" t="n">
        <v>46144</v>
      </c>
      <c r="ZN148" s="9" t="n">
        <v>0</v>
      </c>
      <c r="ZP148" s="9" t="n">
        <v>0</v>
      </c>
      <c r="ZQ148" s="9" t="n">
        <v>0</v>
      </c>
      <c r="ZU148" s="10" t="n">
        <v>46144</v>
      </c>
      <c r="ZW148" s="9" t="n">
        <v>0</v>
      </c>
      <c r="ZY148" s="9" t="n">
        <v>0</v>
      </c>
      <c r="ZZ148" s="9" t="n">
        <v>0</v>
      </c>
      <c r="AAD148" s="10" t="n">
        <v>46144</v>
      </c>
      <c r="AAF148" s="9" t="n">
        <v>0</v>
      </c>
      <c r="AAH148" s="9" t="n">
        <v>0</v>
      </c>
      <c r="AAI148" s="9" t="n">
        <v>0</v>
      </c>
      <c r="AAM148" s="10" t="n">
        <v>46144</v>
      </c>
      <c r="AAO148" s="9" t="n">
        <v>0</v>
      </c>
      <c r="AAQ148" s="9" t="n">
        <v>0</v>
      </c>
      <c r="AAR148" s="9" t="n">
        <v>0</v>
      </c>
      <c r="AAV148" s="10" t="n">
        <v>46144</v>
      </c>
      <c r="AAX148" s="9" t="n">
        <v>0</v>
      </c>
      <c r="AAZ148" s="9" t="n">
        <v>0</v>
      </c>
      <c r="ABA148" s="9" t="n">
        <v>0</v>
      </c>
      <c r="ABE148" s="10" t="n">
        <v>46144</v>
      </c>
      <c r="ABG148" s="9" t="n">
        <v>0</v>
      </c>
      <c r="ABI148" s="9" t="n">
        <v>0</v>
      </c>
      <c r="ABJ148" s="9" t="n">
        <v>0</v>
      </c>
    </row>
    <row r="149">
      <c r="C149" s="10" t="n">
        <v>46145</v>
      </c>
      <c r="E149" s="9" t="n">
        <v>0</v>
      </c>
      <c r="G149" s="9" t="n">
        <v>0</v>
      </c>
      <c r="H149" s="9" t="n">
        <v>158786.4000000001</v>
      </c>
      <c r="L149" s="10" t="n">
        <v>46145</v>
      </c>
      <c r="N149" s="9" t="n">
        <v>0</v>
      </c>
      <c r="P149" s="9" t="n">
        <v>0</v>
      </c>
      <c r="Q149" s="9" t="n">
        <v>37909.60000000009</v>
      </c>
      <c r="U149" s="10" t="n">
        <v>46145</v>
      </c>
      <c r="W149" s="9" t="n">
        <v>0</v>
      </c>
      <c r="Y149" s="9" t="n">
        <v>0</v>
      </c>
      <c r="Z149" s="9" t="n">
        <v>27015.69999999997</v>
      </c>
      <c r="AD149" s="10" t="n">
        <v>46145</v>
      </c>
      <c r="AF149" s="9" t="n">
        <v>0</v>
      </c>
      <c r="AH149" s="9" t="n">
        <v>0</v>
      </c>
      <c r="AI149" s="9" t="n">
        <v>9031.300000000017</v>
      </c>
      <c r="AM149" s="10" t="n">
        <v>46145</v>
      </c>
      <c r="AO149" s="9" t="n">
        <v>0</v>
      </c>
      <c r="AQ149" s="9" t="n">
        <v>0</v>
      </c>
      <c r="AR149" s="9" t="n">
        <v>0</v>
      </c>
      <c r="AV149" s="10" t="n">
        <v>46145</v>
      </c>
      <c r="AX149" s="9" t="n">
        <v>0</v>
      </c>
      <c r="AZ149" s="9" t="n">
        <v>0</v>
      </c>
      <c r="BA149" s="9" t="n">
        <v>37387.2</v>
      </c>
      <c r="BE149" s="10" t="n">
        <v>46145</v>
      </c>
      <c r="BG149" s="9" t="n">
        <v>0</v>
      </c>
      <c r="BI149" s="9" t="n">
        <v>0</v>
      </c>
      <c r="BJ149" s="9" t="n">
        <v>27975.89999999999</v>
      </c>
      <c r="BN149" s="10" t="n">
        <v>46145</v>
      </c>
      <c r="BP149" s="9" t="n">
        <v>0</v>
      </c>
      <c r="BR149" s="9" t="n">
        <v>0</v>
      </c>
      <c r="BS149" s="9" t="n">
        <v>0</v>
      </c>
      <c r="BW149" s="10" t="n">
        <v>46145</v>
      </c>
      <c r="BY149" s="9" t="n">
        <v>0</v>
      </c>
      <c r="CA149" s="9" t="n">
        <v>0</v>
      </c>
      <c r="CB149" s="9" t="n">
        <v>5848.799999999999</v>
      </c>
      <c r="CF149" s="10" t="n">
        <v>46145</v>
      </c>
      <c r="CH149" s="9" t="n">
        <v>0</v>
      </c>
      <c r="CJ149" s="9" t="n">
        <v>0</v>
      </c>
      <c r="CK149" s="9" t="n">
        <v>0</v>
      </c>
      <c r="CO149" s="10" t="n">
        <v>46145</v>
      </c>
      <c r="CQ149" s="9" t="n">
        <v>0</v>
      </c>
      <c r="CS149" s="9" t="n">
        <v>0</v>
      </c>
      <c r="CT149" s="9" t="n">
        <v>0</v>
      </c>
      <c r="CX149" s="10" t="n">
        <v>46145</v>
      </c>
      <c r="CZ149" s="9" t="n">
        <v>0</v>
      </c>
      <c r="DB149" s="9" t="n">
        <v>0</v>
      </c>
      <c r="DC149" s="9" t="n">
        <v>24158.3</v>
      </c>
      <c r="DG149" s="10" t="n">
        <v>46145</v>
      </c>
      <c r="DI149" s="9" t="n">
        <v>0</v>
      </c>
      <c r="DK149" s="9" t="n">
        <v>0</v>
      </c>
      <c r="DL149" s="9" t="n">
        <v>42939.59999999998</v>
      </c>
      <c r="DP149" s="10" t="n">
        <v>46145</v>
      </c>
      <c r="DR149" s="9" t="n">
        <v>0</v>
      </c>
      <c r="DT149" s="9" t="n">
        <v>0</v>
      </c>
      <c r="DU149" s="9" t="n">
        <v>5800</v>
      </c>
      <c r="DY149" s="10" t="n">
        <v>46145</v>
      </c>
      <c r="EA149" s="9" t="n">
        <v>0</v>
      </c>
      <c r="EC149" s="9" t="n">
        <v>0</v>
      </c>
      <c r="ED149" s="9" t="n">
        <v>0</v>
      </c>
      <c r="EH149" s="10" t="n">
        <v>46145</v>
      </c>
      <c r="EJ149" s="9" t="n">
        <v>0</v>
      </c>
      <c r="EL149" s="9" t="n">
        <v>0</v>
      </c>
      <c r="EM149" s="9" t="n">
        <v>0</v>
      </c>
      <c r="EQ149" s="10" t="n">
        <v>46145</v>
      </c>
      <c r="ES149" s="9" t="n">
        <v>0</v>
      </c>
      <c r="EU149" s="9" t="n">
        <v>0</v>
      </c>
      <c r="EV149" s="9" t="n">
        <v>0</v>
      </c>
      <c r="EZ149" s="10" t="n">
        <v>46145</v>
      </c>
      <c r="FB149" s="9" t="n">
        <v>0</v>
      </c>
      <c r="FD149" s="9" t="n">
        <v>0</v>
      </c>
      <c r="FE149" s="9" t="n">
        <v>0</v>
      </c>
      <c r="FI149" s="10" t="n">
        <v>46145</v>
      </c>
      <c r="FK149" s="9" t="n">
        <v>0</v>
      </c>
      <c r="FM149" s="9" t="n">
        <v>0</v>
      </c>
      <c r="FN149" s="9" t="n">
        <v>0</v>
      </c>
      <c r="FR149" s="10" t="n">
        <v>46145</v>
      </c>
      <c r="FT149" s="9" t="n">
        <v>0</v>
      </c>
      <c r="FV149" s="9" t="n">
        <v>0</v>
      </c>
      <c r="FW149" s="9" t="n">
        <v>2120</v>
      </c>
      <c r="GA149" s="10" t="n">
        <v>46145</v>
      </c>
      <c r="GC149" s="9" t="n">
        <v>0</v>
      </c>
      <c r="GE149" s="9" t="n">
        <v>0</v>
      </c>
      <c r="GF149" s="9" t="n">
        <v>3640</v>
      </c>
      <c r="GJ149" s="10" t="n">
        <v>46145</v>
      </c>
      <c r="GL149" s="9" t="n">
        <v>0</v>
      </c>
      <c r="GN149" s="9" t="n">
        <v>0</v>
      </c>
      <c r="GO149" s="9" t="n">
        <v>2080</v>
      </c>
      <c r="GS149" s="10" t="n">
        <v>46145</v>
      </c>
      <c r="GU149" s="9" t="n">
        <v>0</v>
      </c>
      <c r="GW149" s="9" t="n">
        <v>0</v>
      </c>
      <c r="GX149" s="9" t="n">
        <v>0</v>
      </c>
      <c r="HB149" s="10" t="n">
        <v>46145</v>
      </c>
      <c r="HD149" s="9" t="n">
        <v>0</v>
      </c>
      <c r="HF149" s="9" t="n">
        <v>0</v>
      </c>
      <c r="HG149" s="9" t="n">
        <v>0</v>
      </c>
      <c r="HK149" s="10" t="n">
        <v>46145</v>
      </c>
      <c r="HM149" s="9" t="n">
        <v>0</v>
      </c>
      <c r="HO149" s="9" t="n">
        <v>0</v>
      </c>
      <c r="HP149" s="9" t="n">
        <v>0</v>
      </c>
      <c r="HU149" s="10" t="n">
        <v>46145</v>
      </c>
      <c r="HW149" s="9" t="n">
        <v>0</v>
      </c>
      <c r="HY149" s="9" t="n">
        <v>0</v>
      </c>
      <c r="HZ149" s="9" t="n">
        <v>6360</v>
      </c>
      <c r="ID149" s="10" t="n">
        <v>46145</v>
      </c>
      <c r="IF149" s="9" t="n">
        <v>0</v>
      </c>
      <c r="IH149" s="9" t="n">
        <v>0</v>
      </c>
      <c r="II149" s="9" t="n">
        <v>6540</v>
      </c>
      <c r="IM149" s="10" t="n">
        <v>46145</v>
      </c>
      <c r="IO149" s="9" t="n">
        <v>0</v>
      </c>
      <c r="IQ149" s="9" t="n">
        <v>0</v>
      </c>
      <c r="IR149" s="9" t="n">
        <v>11540</v>
      </c>
      <c r="IV149" s="10" t="n">
        <v>46145</v>
      </c>
      <c r="IX149" s="9" t="n">
        <v>0</v>
      </c>
      <c r="IZ149" s="9" t="n">
        <v>0</v>
      </c>
      <c r="JA149" s="9" t="n">
        <v>15120</v>
      </c>
      <c r="JE149" s="10" t="n">
        <v>46145</v>
      </c>
      <c r="JG149" s="9" t="n">
        <v>0</v>
      </c>
      <c r="JI149" s="9" t="n">
        <v>0</v>
      </c>
      <c r="JJ149" s="9" t="n">
        <v>1960</v>
      </c>
      <c r="JN149" s="10" t="n">
        <v>46145</v>
      </c>
      <c r="JP149" s="9" t="n">
        <v>0</v>
      </c>
      <c r="JR149" s="9" t="n">
        <v>0</v>
      </c>
      <c r="JS149" s="9" t="n">
        <v>9100</v>
      </c>
      <c r="JW149" s="10" t="n">
        <v>46145</v>
      </c>
      <c r="JY149" s="9" t="n">
        <v>0</v>
      </c>
      <c r="KA149" s="9" t="n">
        <v>0</v>
      </c>
      <c r="KB149" s="9" t="n">
        <v>2540</v>
      </c>
      <c r="KF149" s="10" t="n">
        <v>46145</v>
      </c>
      <c r="KG149" s="9" t="n">
        <v>2340</v>
      </c>
      <c r="KH149" s="9" t="n">
        <v>0</v>
      </c>
      <c r="KJ149" s="9" t="n">
        <v>0</v>
      </c>
      <c r="KK149" s="9" t="n">
        <v>2359.5</v>
      </c>
      <c r="KO149" s="10" t="n">
        <v>46145</v>
      </c>
      <c r="KQ149" s="9" t="n">
        <v>0</v>
      </c>
      <c r="KS149" s="9" t="n">
        <v>0</v>
      </c>
      <c r="KT149" s="9" t="n">
        <v>2079</v>
      </c>
      <c r="KX149" s="10" t="n">
        <v>46145</v>
      </c>
      <c r="KZ149" s="9" t="n">
        <v>0</v>
      </c>
      <c r="LA149" s="9" t="n">
        <v>2460</v>
      </c>
      <c r="LB149" s="9" t="n">
        <v>-2460</v>
      </c>
      <c r="LC149" s="9" t="n">
        <v>3690</v>
      </c>
      <c r="LG149" s="10" t="n">
        <v>46145</v>
      </c>
      <c r="LI149" s="9" t="n">
        <v>0</v>
      </c>
      <c r="LK149" s="9" t="n">
        <v>0</v>
      </c>
      <c r="LL149" s="9" t="n">
        <v>4000</v>
      </c>
      <c r="LP149" s="10" t="n">
        <v>46145</v>
      </c>
      <c r="LR149" s="9" t="n">
        <v>0</v>
      </c>
      <c r="LT149" s="9" t="n">
        <v>0</v>
      </c>
      <c r="LU149" s="9" t="n">
        <v>0</v>
      </c>
      <c r="LY149" s="10" t="n">
        <v>46145</v>
      </c>
      <c r="MA149" s="9" t="n">
        <v>0</v>
      </c>
      <c r="MC149" s="9" t="n">
        <v>0</v>
      </c>
      <c r="MD149" s="9" t="n">
        <v>0</v>
      </c>
      <c r="MH149" s="10" t="n">
        <v>46145</v>
      </c>
      <c r="MJ149" s="9" t="n">
        <v>0</v>
      </c>
      <c r="ML149" s="9" t="n">
        <v>0</v>
      </c>
      <c r="MM149" s="9" t="n">
        <v>0</v>
      </c>
      <c r="MQ149" s="10" t="n">
        <v>46145</v>
      </c>
      <c r="MS149" s="9" t="n">
        <v>0</v>
      </c>
      <c r="MU149" s="9" t="n">
        <v>0</v>
      </c>
      <c r="MV149" s="9" t="n">
        <v>3903</v>
      </c>
      <c r="MZ149" s="10" t="n">
        <v>46145</v>
      </c>
      <c r="NB149" s="9" t="n">
        <v>0</v>
      </c>
      <c r="ND149" s="9" t="n">
        <v>0</v>
      </c>
      <c r="NE149" s="9" t="n">
        <v>0</v>
      </c>
      <c r="NI149" s="10" t="n">
        <v>46145</v>
      </c>
      <c r="NK149" s="9" t="n">
        <v>0</v>
      </c>
      <c r="NM149" s="9" t="n">
        <v>0</v>
      </c>
      <c r="NN149" s="9" t="n">
        <v>1137</v>
      </c>
      <c r="NR149" s="10" t="n">
        <v>46145</v>
      </c>
      <c r="NT149" s="9" t="n">
        <v>0</v>
      </c>
      <c r="NV149" s="9" t="n">
        <v>0</v>
      </c>
      <c r="NW149" s="9" t="n">
        <v>3122.9</v>
      </c>
      <c r="OA149" s="10" t="n">
        <v>46145</v>
      </c>
      <c r="OC149" s="9" t="n">
        <v>0</v>
      </c>
      <c r="OE149" s="9" t="n">
        <v>0</v>
      </c>
      <c r="OF149" s="9" t="n">
        <v>1680.5</v>
      </c>
      <c r="OJ149" s="10" t="n">
        <v>46145</v>
      </c>
      <c r="OL149" s="9" t="n">
        <v>0</v>
      </c>
      <c r="ON149" s="9" t="n">
        <v>0</v>
      </c>
      <c r="OO149" s="9" t="n">
        <v>0</v>
      </c>
      <c r="OS149" s="10" t="n">
        <v>46145</v>
      </c>
      <c r="OU149" s="9" t="n">
        <v>0</v>
      </c>
      <c r="OW149" s="9" t="n">
        <v>0</v>
      </c>
      <c r="OX149" s="9" t="n">
        <v>982</v>
      </c>
      <c r="PB149" s="10" t="n">
        <v>46145</v>
      </c>
      <c r="PD149" s="9" t="n">
        <v>0</v>
      </c>
      <c r="PF149" s="9" t="n">
        <v>0</v>
      </c>
      <c r="PG149" s="9" t="n">
        <v>0</v>
      </c>
      <c r="PK149" s="10" t="n">
        <v>46145</v>
      </c>
      <c r="PM149" s="9" t="n">
        <v>0</v>
      </c>
      <c r="PO149" s="9" t="n">
        <v>0</v>
      </c>
      <c r="PP149" s="9" t="n">
        <v>100</v>
      </c>
      <c r="PT149" s="10" t="n">
        <v>46145</v>
      </c>
      <c r="PV149" s="9" t="n">
        <v>0</v>
      </c>
      <c r="PX149" s="9" t="n">
        <v>0</v>
      </c>
      <c r="PY149" s="9" t="n">
        <v>13.96000000000004</v>
      </c>
      <c r="QC149" s="10" t="n">
        <v>46145</v>
      </c>
      <c r="QE149" s="9" t="n">
        <v>0</v>
      </c>
      <c r="QG149" s="9" t="n">
        <v>0</v>
      </c>
      <c r="QH149" s="9" t="n">
        <v>596</v>
      </c>
      <c r="QL149" s="10" t="n">
        <v>46145</v>
      </c>
      <c r="QN149" s="9" t="n">
        <v>0</v>
      </c>
      <c r="QP149" s="9" t="n">
        <v>0</v>
      </c>
      <c r="QQ149" s="9" t="n">
        <v>400</v>
      </c>
      <c r="QU149" s="10" t="n">
        <v>46145</v>
      </c>
      <c r="QW149" s="9" t="n">
        <v>0</v>
      </c>
      <c r="QY149" s="9" t="n">
        <v>0</v>
      </c>
      <c r="QZ149" s="9" t="n">
        <v>207.6</v>
      </c>
      <c r="RD149" s="10" t="n">
        <v>46145</v>
      </c>
      <c r="RF149" s="9" t="n">
        <v>0</v>
      </c>
      <c r="RH149" s="9" t="n">
        <v>0</v>
      </c>
      <c r="RI149" s="9" t="n">
        <v>147.04</v>
      </c>
      <c r="RM149" s="10" t="n">
        <v>46145</v>
      </c>
      <c r="RO149" s="9" t="n">
        <v>0</v>
      </c>
      <c r="RQ149" s="9" t="n">
        <v>0</v>
      </c>
      <c r="RR149" s="9" t="n">
        <v>46.8</v>
      </c>
      <c r="RV149" s="10" t="n">
        <v>46145</v>
      </c>
      <c r="RX149" s="9" t="n">
        <v>0</v>
      </c>
      <c r="RZ149" s="9" t="n">
        <v>0</v>
      </c>
      <c r="SA149" s="9" t="n">
        <v>0</v>
      </c>
      <c r="SE149" s="10" t="n">
        <v>46145</v>
      </c>
      <c r="SG149" s="9" t="n">
        <v>0</v>
      </c>
      <c r="SI149" s="9" t="n">
        <v>0</v>
      </c>
      <c r="SJ149" s="9" t="n">
        <v>24.2</v>
      </c>
      <c r="SN149" s="10" t="n">
        <v>46145</v>
      </c>
      <c r="SP149" s="9" t="n">
        <v>0</v>
      </c>
      <c r="SR149" s="9" t="n">
        <v>0</v>
      </c>
      <c r="SS149" s="9" t="n">
        <v>32</v>
      </c>
      <c r="SW149" s="10" t="n">
        <v>46145</v>
      </c>
      <c r="SY149" s="9" t="n">
        <v>0</v>
      </c>
      <c r="TA149" s="9" t="n">
        <v>0</v>
      </c>
      <c r="TB149" s="9" t="n">
        <v>0</v>
      </c>
      <c r="TF149" s="10" t="n">
        <v>46145</v>
      </c>
      <c r="TH149" s="9" t="n">
        <v>0</v>
      </c>
      <c r="TJ149" s="9" t="n">
        <v>0</v>
      </c>
      <c r="TK149" s="9" t="n">
        <v>0</v>
      </c>
      <c r="TO149" s="10" t="n">
        <v>46145</v>
      </c>
      <c r="TQ149" s="9" t="n">
        <v>0</v>
      </c>
      <c r="TS149" s="9" t="n">
        <v>0</v>
      </c>
      <c r="TT149" s="9" t="n">
        <v>0</v>
      </c>
      <c r="TX149" s="10" t="n">
        <v>46145</v>
      </c>
      <c r="TZ149" s="9" t="n">
        <v>0</v>
      </c>
      <c r="UB149" s="9" t="n">
        <v>0</v>
      </c>
      <c r="UC149" s="9" t="n">
        <v>0</v>
      </c>
      <c r="UG149" s="10" t="n">
        <v>46145</v>
      </c>
      <c r="UI149" s="9" t="n">
        <v>0</v>
      </c>
      <c r="UK149" s="9" t="n">
        <v>0</v>
      </c>
      <c r="UL149" s="9" t="n">
        <v>0</v>
      </c>
      <c r="UP149" s="10" t="n">
        <v>46145</v>
      </c>
      <c r="UR149" s="9" t="n">
        <v>0</v>
      </c>
      <c r="UT149" s="9" t="n">
        <v>0</v>
      </c>
      <c r="UU149" s="9" t="n">
        <v>0</v>
      </c>
      <c r="UY149" s="10" t="n">
        <v>46145</v>
      </c>
      <c r="VA149" s="9" t="n">
        <v>0</v>
      </c>
      <c r="VC149" s="9" t="n">
        <v>0</v>
      </c>
      <c r="VD149" s="9" t="n">
        <v>41.60000000000002</v>
      </c>
      <c r="VH149" s="10" t="n">
        <v>46145</v>
      </c>
      <c r="VJ149" s="9" t="n">
        <v>0</v>
      </c>
      <c r="VL149" s="9" t="n">
        <v>0</v>
      </c>
      <c r="VM149" s="9" t="n">
        <v>0</v>
      </c>
      <c r="VQ149" s="10" t="n">
        <v>46145</v>
      </c>
      <c r="VS149" s="9" t="n">
        <v>0</v>
      </c>
      <c r="VU149" s="9" t="n">
        <v>0</v>
      </c>
      <c r="VV149" s="9" t="n">
        <v>0</v>
      </c>
      <c r="VZ149" s="10" t="n">
        <v>46145</v>
      </c>
      <c r="WB149" s="9" t="n">
        <v>0</v>
      </c>
      <c r="WD149" s="9" t="n">
        <v>0</v>
      </c>
      <c r="WE149" s="9" t="n">
        <v>0</v>
      </c>
      <c r="WI149" s="10" t="n">
        <v>46145</v>
      </c>
      <c r="WK149" s="9" t="n">
        <v>0</v>
      </c>
      <c r="WM149" s="9" t="n">
        <v>0</v>
      </c>
      <c r="WN149" s="9" t="n">
        <v>2317</v>
      </c>
      <c r="WR149" s="10" t="n">
        <v>46145</v>
      </c>
      <c r="WT149" s="9" t="n">
        <v>0</v>
      </c>
      <c r="WV149" s="9" t="n">
        <v>0</v>
      </c>
      <c r="WW149" s="9" t="n">
        <v>776</v>
      </c>
      <c r="XA149" s="10" t="n">
        <v>46145</v>
      </c>
      <c r="XC149" s="9" t="n">
        <v>0</v>
      </c>
      <c r="XE149" s="9" t="n">
        <v>0</v>
      </c>
      <c r="XF149" s="9" t="n">
        <v>13455</v>
      </c>
      <c r="XJ149" s="10" t="n">
        <v>46145</v>
      </c>
      <c r="XL149" s="9" t="n">
        <v>0</v>
      </c>
      <c r="XN149" s="9" t="n">
        <v>0</v>
      </c>
      <c r="XO149" s="9" t="n">
        <v>1481</v>
      </c>
      <c r="XS149" s="10" t="n">
        <v>46145</v>
      </c>
      <c r="XU149" s="9" t="n">
        <v>0</v>
      </c>
      <c r="XW149" s="9" t="n">
        <v>0</v>
      </c>
      <c r="XX149" s="9" t="n">
        <v>1901</v>
      </c>
      <c r="YB149" s="10" t="n">
        <v>46145</v>
      </c>
      <c r="YD149" s="9" t="n">
        <v>0</v>
      </c>
      <c r="YF149" s="9" t="n">
        <v>0</v>
      </c>
      <c r="YG149" s="9" t="n">
        <v>6459</v>
      </c>
      <c r="YK149" s="10" t="n">
        <v>46145</v>
      </c>
      <c r="YM149" s="9" t="n">
        <v>0</v>
      </c>
      <c r="YO149" s="9" t="n">
        <v>0</v>
      </c>
      <c r="YP149" s="9" t="n">
        <v>0</v>
      </c>
      <c r="YT149" s="10" t="n">
        <v>46145</v>
      </c>
      <c r="YV149" s="9" t="n">
        <v>0</v>
      </c>
      <c r="YX149" s="9" t="n">
        <v>0</v>
      </c>
      <c r="YY149" s="9" t="n">
        <v>0</v>
      </c>
      <c r="ZC149" s="10" t="n">
        <v>46145</v>
      </c>
      <c r="ZE149" s="9" t="n">
        <v>0</v>
      </c>
      <c r="ZG149" s="9" t="n">
        <v>0</v>
      </c>
      <c r="ZH149" s="9" t="n">
        <v>0</v>
      </c>
      <c r="ZL149" s="10" t="n">
        <v>46145</v>
      </c>
      <c r="ZN149" s="9" t="n">
        <v>0</v>
      </c>
      <c r="ZP149" s="9" t="n">
        <v>0</v>
      </c>
      <c r="ZQ149" s="9" t="n">
        <v>0</v>
      </c>
      <c r="ZU149" s="10" t="n">
        <v>46145</v>
      </c>
      <c r="ZW149" s="9" t="n">
        <v>0</v>
      </c>
      <c r="ZY149" s="9" t="n">
        <v>0</v>
      </c>
      <c r="ZZ149" s="9" t="n">
        <v>0</v>
      </c>
      <c r="AAD149" s="10" t="n">
        <v>46145</v>
      </c>
      <c r="AAF149" s="9" t="n">
        <v>0</v>
      </c>
      <c r="AAH149" s="9" t="n">
        <v>0</v>
      </c>
      <c r="AAI149" s="9" t="n">
        <v>0</v>
      </c>
      <c r="AAM149" s="10" t="n">
        <v>46145</v>
      </c>
      <c r="AAO149" s="9" t="n">
        <v>0</v>
      </c>
      <c r="AAQ149" s="9" t="n">
        <v>0</v>
      </c>
      <c r="AAR149" s="9" t="n">
        <v>0</v>
      </c>
      <c r="AAV149" s="10" t="n">
        <v>46145</v>
      </c>
      <c r="AAX149" s="9" t="n">
        <v>0</v>
      </c>
      <c r="AAZ149" s="9" t="n">
        <v>0</v>
      </c>
      <c r="ABA149" s="9" t="n">
        <v>0</v>
      </c>
      <c r="ABE149" s="10" t="n">
        <v>46145</v>
      </c>
      <c r="ABG149" s="9" t="n">
        <v>0</v>
      </c>
      <c r="ABI149" s="9" t="n">
        <v>0</v>
      </c>
      <c r="ABJ149" s="9" t="n">
        <v>0</v>
      </c>
    </row>
    <row r="150">
      <c r="B150" s="9" t="n">
        <v>100</v>
      </c>
      <c r="C150" s="10" t="n">
        <v>46146</v>
      </c>
      <c r="D150" s="9" t="n">
        <v>79550</v>
      </c>
      <c r="E150" s="9" t="n">
        <v>58155</v>
      </c>
      <c r="F150" s="9" t="n">
        <v>58158.8</v>
      </c>
      <c r="G150" s="9" t="n">
        <v>-3.80000000000291</v>
      </c>
      <c r="H150" s="9" t="n">
        <v>180177.6</v>
      </c>
      <c r="I150" s="9" t="inlineStr">
        <is>
          <t>123 50mt, 1103 50mt</t>
        </is>
      </c>
      <c r="L150" s="10" t="n">
        <v>46146</v>
      </c>
      <c r="M150" s="9" t="n">
        <v>29000</v>
      </c>
      <c r="N150" s="9" t="n">
        <v>15400</v>
      </c>
      <c r="O150" s="9" t="n">
        <v>15405.4</v>
      </c>
      <c r="P150" s="9" t="n">
        <v>-5.399999999999636</v>
      </c>
      <c r="Q150" s="9" t="n">
        <v>51504.20000000009</v>
      </c>
      <c r="U150" s="10" t="n">
        <v>46146</v>
      </c>
      <c r="W150" s="9" t="n">
        <v>8250</v>
      </c>
      <c r="X150" s="9" t="n">
        <v>8249.9</v>
      </c>
      <c r="Y150" s="9" t="n">
        <v>0.1000000000003638</v>
      </c>
      <c r="Z150" s="9" t="n">
        <v>18765.79999999997</v>
      </c>
      <c r="AD150" s="10" t="n">
        <v>46146</v>
      </c>
      <c r="AF150" s="9" t="n">
        <v>4100</v>
      </c>
      <c r="AG150" s="9" t="n">
        <v>4102.9</v>
      </c>
      <c r="AH150" s="9" t="n">
        <v>-2.899999999999636</v>
      </c>
      <c r="AI150" s="9" t="n">
        <v>4928.400000000018</v>
      </c>
      <c r="AM150" s="10" t="n">
        <v>46146</v>
      </c>
      <c r="AO150" s="9" t="n">
        <v>0</v>
      </c>
      <c r="AQ150" s="9" t="n">
        <v>0</v>
      </c>
      <c r="AR150" s="9" t="n">
        <v>0</v>
      </c>
      <c r="AV150" s="10" t="n">
        <v>46146</v>
      </c>
      <c r="AX150" s="9" t="n">
        <v>775</v>
      </c>
      <c r="AY150" s="9" t="n">
        <v>776.3</v>
      </c>
      <c r="AZ150" s="9" t="n">
        <v>-1.299999999999955</v>
      </c>
      <c r="BA150" s="9" t="n">
        <v>36610.89999999999</v>
      </c>
      <c r="BE150" s="10" t="n">
        <v>46146</v>
      </c>
      <c r="BG150" s="9" t="n">
        <v>3500</v>
      </c>
      <c r="BH150" s="9" t="n">
        <v>3500.1</v>
      </c>
      <c r="BI150" s="9" t="n">
        <v>-0.09999999999990905</v>
      </c>
      <c r="BJ150" s="9" t="n">
        <v>24475.79999999999</v>
      </c>
      <c r="BN150" s="10" t="n">
        <v>46146</v>
      </c>
      <c r="BO150" s="9" t="n">
        <v>2225.1</v>
      </c>
      <c r="BP150" s="9" t="n">
        <v>2225</v>
      </c>
      <c r="BQ150" s="9" t="n">
        <v>2225.1</v>
      </c>
      <c r="BR150" s="9" t="n">
        <v>-0.09999999999990905</v>
      </c>
      <c r="BS150" s="9" t="n">
        <v>0</v>
      </c>
      <c r="BW150" s="10" t="n">
        <v>46146</v>
      </c>
      <c r="BY150" s="9" t="n">
        <v>275.0000000000001</v>
      </c>
      <c r="CA150" s="9" t="n">
        <v>275.0000000000001</v>
      </c>
      <c r="CB150" s="9" t="n">
        <v>5848.799999999999</v>
      </c>
      <c r="CF150" s="10" t="n">
        <v>46146</v>
      </c>
      <c r="CH150" s="9" t="n">
        <v>450.0000000000001</v>
      </c>
      <c r="CJ150" s="9" t="n">
        <v>450.0000000000001</v>
      </c>
      <c r="CK150" s="9" t="n">
        <v>0</v>
      </c>
      <c r="CO150" s="10" t="n">
        <v>46146</v>
      </c>
      <c r="CQ150" s="9" t="n">
        <v>0</v>
      </c>
      <c r="CS150" s="9" t="n">
        <v>0</v>
      </c>
      <c r="CT150" s="9" t="n">
        <v>0</v>
      </c>
      <c r="CX150" s="10" t="n">
        <v>46146</v>
      </c>
      <c r="CZ150" s="9" t="n">
        <v>2500</v>
      </c>
      <c r="DA150" s="9" t="n">
        <v>2501.3</v>
      </c>
      <c r="DB150" s="9" t="n">
        <v>-1.300000000000182</v>
      </c>
      <c r="DC150" s="9" t="n">
        <v>21657</v>
      </c>
      <c r="DG150" s="10" t="n">
        <v>46146</v>
      </c>
      <c r="DI150" s="9" t="n">
        <v>2000</v>
      </c>
      <c r="DJ150" s="9" t="n">
        <v>2001.1</v>
      </c>
      <c r="DK150" s="9" t="n">
        <v>-1.099999999999909</v>
      </c>
      <c r="DL150" s="9" t="n">
        <v>40938.49999999999</v>
      </c>
      <c r="DP150" s="10" t="n">
        <v>46146</v>
      </c>
      <c r="DR150" s="9" t="n">
        <v>0</v>
      </c>
      <c r="DT150" s="9" t="n">
        <v>0</v>
      </c>
      <c r="DU150" s="9" t="n">
        <v>5800</v>
      </c>
      <c r="DY150" s="10" t="n">
        <v>46146</v>
      </c>
      <c r="EA150" s="9" t="n">
        <v>0</v>
      </c>
      <c r="EC150" s="9" t="n">
        <v>0</v>
      </c>
      <c r="ED150" s="9" t="n">
        <v>0</v>
      </c>
      <c r="EH150" s="10" t="n">
        <v>46146</v>
      </c>
      <c r="EJ150" s="9" t="n">
        <v>0</v>
      </c>
      <c r="EL150" s="9" t="n">
        <v>0</v>
      </c>
      <c r="EM150" s="9" t="n">
        <v>0</v>
      </c>
      <c r="EQ150" s="10" t="n">
        <v>46146</v>
      </c>
      <c r="ES150" s="9" t="n">
        <v>0</v>
      </c>
      <c r="EU150" s="9" t="n">
        <v>0</v>
      </c>
      <c r="EV150" s="9" t="n">
        <v>0</v>
      </c>
      <c r="EZ150" s="10" t="n">
        <v>46146</v>
      </c>
      <c r="FB150" s="9" t="n">
        <v>0</v>
      </c>
      <c r="FD150" s="9" t="n">
        <v>0</v>
      </c>
      <c r="FE150" s="9" t="n">
        <v>0</v>
      </c>
      <c r="FI150" s="10" t="n">
        <v>46146</v>
      </c>
      <c r="FK150" s="9" t="n">
        <v>0</v>
      </c>
      <c r="FM150" s="9" t="n">
        <v>0</v>
      </c>
      <c r="FN150" s="9" t="n">
        <v>0</v>
      </c>
      <c r="FR150" s="10" t="n">
        <v>46146</v>
      </c>
      <c r="FT150" s="9" t="n">
        <v>0</v>
      </c>
      <c r="FV150" s="9" t="n">
        <v>0</v>
      </c>
      <c r="FW150" s="9" t="n">
        <v>2120</v>
      </c>
      <c r="GA150" s="10" t="n">
        <v>46146</v>
      </c>
      <c r="GC150" s="9" t="n">
        <v>0</v>
      </c>
      <c r="GE150" s="9" t="n">
        <v>0</v>
      </c>
      <c r="GF150" s="9" t="n">
        <v>3640</v>
      </c>
      <c r="GJ150" s="10" t="n">
        <v>46146</v>
      </c>
      <c r="GL150" s="9" t="n">
        <v>1000</v>
      </c>
      <c r="GN150" s="9" t="n">
        <v>1000</v>
      </c>
      <c r="GO150" s="9" t="n">
        <v>2080</v>
      </c>
      <c r="GS150" s="10" t="n">
        <v>46146</v>
      </c>
      <c r="GU150" s="9" t="n">
        <v>0</v>
      </c>
      <c r="GW150" s="9" t="n">
        <v>0</v>
      </c>
      <c r="GX150" s="9" t="n">
        <v>0</v>
      </c>
      <c r="HB150" s="10" t="n">
        <v>46146</v>
      </c>
      <c r="HD150" s="9" t="n">
        <v>0</v>
      </c>
      <c r="HF150" s="9" t="n">
        <v>0</v>
      </c>
      <c r="HG150" s="9" t="n">
        <v>0</v>
      </c>
      <c r="HK150" s="10" t="n">
        <v>46146</v>
      </c>
      <c r="HM150" s="9" t="n">
        <v>0</v>
      </c>
      <c r="HO150" s="9" t="n">
        <v>0</v>
      </c>
      <c r="HP150" s="9" t="n">
        <v>0</v>
      </c>
      <c r="HU150" s="10" t="n">
        <v>46146</v>
      </c>
      <c r="HW150" s="9" t="n">
        <v>0</v>
      </c>
      <c r="HY150" s="9" t="n">
        <v>0</v>
      </c>
      <c r="HZ150" s="9" t="n">
        <v>6360</v>
      </c>
      <c r="ID150" s="10" t="n">
        <v>46146</v>
      </c>
      <c r="IF150" s="9" t="n">
        <v>0</v>
      </c>
      <c r="IH150" s="9" t="n">
        <v>0</v>
      </c>
      <c r="II150" s="9" t="n">
        <v>6540</v>
      </c>
      <c r="IM150" s="10" t="n">
        <v>46146</v>
      </c>
      <c r="IO150" s="9" t="n">
        <v>0</v>
      </c>
      <c r="IQ150" s="9" t="n">
        <v>0</v>
      </c>
      <c r="IR150" s="9" t="n">
        <v>11540</v>
      </c>
      <c r="IV150" s="10" t="n">
        <v>46146</v>
      </c>
      <c r="IX150" s="9" t="n">
        <v>0</v>
      </c>
      <c r="IZ150" s="9" t="n">
        <v>0</v>
      </c>
      <c r="JA150" s="9" t="n">
        <v>15120</v>
      </c>
      <c r="JE150" s="10" t="n">
        <v>46146</v>
      </c>
      <c r="JG150" s="9" t="n">
        <v>0</v>
      </c>
      <c r="JI150" s="9" t="n">
        <v>0</v>
      </c>
      <c r="JJ150" s="9" t="n">
        <v>1960</v>
      </c>
      <c r="JN150" s="10" t="n">
        <v>46146</v>
      </c>
      <c r="JP150" s="9" t="n">
        <v>0</v>
      </c>
      <c r="JR150" s="9" t="n">
        <v>0</v>
      </c>
      <c r="JS150" s="9" t="n">
        <v>9100</v>
      </c>
      <c r="JW150" s="10" t="n">
        <v>46146</v>
      </c>
      <c r="JY150" s="9" t="n">
        <v>0</v>
      </c>
      <c r="KA150" s="9" t="n">
        <v>0</v>
      </c>
      <c r="KB150" s="9" t="n">
        <v>2540</v>
      </c>
      <c r="KF150" s="10" t="n">
        <v>46146</v>
      </c>
      <c r="KH150" s="9" t="n">
        <v>0</v>
      </c>
      <c r="KJ150" s="9" t="n">
        <v>0</v>
      </c>
      <c r="KK150" s="9" t="n">
        <v>2359.5</v>
      </c>
      <c r="KO150" s="10" t="n">
        <v>46146</v>
      </c>
      <c r="KQ150" s="9" t="n">
        <v>944.9999999999999</v>
      </c>
      <c r="KS150" s="9" t="n">
        <v>944.9999999999999</v>
      </c>
      <c r="KT150" s="9" t="n">
        <v>2079</v>
      </c>
      <c r="KX150" s="10" t="n">
        <v>46146</v>
      </c>
      <c r="KZ150" s="9" t="n">
        <v>0</v>
      </c>
      <c r="LB150" s="9" t="n">
        <v>0</v>
      </c>
      <c r="LC150" s="9" t="n">
        <v>3690</v>
      </c>
      <c r="LG150" s="10" t="n">
        <v>46146</v>
      </c>
      <c r="LI150" s="9" t="n">
        <v>0</v>
      </c>
      <c r="LK150" s="9" t="n">
        <v>0</v>
      </c>
      <c r="LL150" s="9" t="n">
        <v>4000</v>
      </c>
      <c r="LP150" s="10" t="n">
        <v>46146</v>
      </c>
      <c r="LR150" s="9" t="n">
        <v>0</v>
      </c>
      <c r="LT150" s="9" t="n">
        <v>0</v>
      </c>
      <c r="LU150" s="9" t="n">
        <v>0</v>
      </c>
      <c r="LY150" s="10" t="n">
        <v>46146</v>
      </c>
      <c r="MA150" s="9" t="n">
        <v>0</v>
      </c>
      <c r="MC150" s="9" t="n">
        <v>0</v>
      </c>
      <c r="MD150" s="9" t="n">
        <v>0</v>
      </c>
      <c r="MH150" s="10" t="n">
        <v>46146</v>
      </c>
      <c r="MJ150" s="9" t="n">
        <v>0</v>
      </c>
      <c r="ML150" s="9" t="n">
        <v>0</v>
      </c>
      <c r="MM150" s="9" t="n">
        <v>0</v>
      </c>
      <c r="MQ150" s="10" t="n">
        <v>46146</v>
      </c>
      <c r="MS150" s="9" t="n">
        <v>25</v>
      </c>
      <c r="MU150" s="9" t="n">
        <v>25</v>
      </c>
      <c r="MV150" s="9" t="n">
        <v>3903</v>
      </c>
      <c r="MZ150" s="10" t="n">
        <v>46146</v>
      </c>
      <c r="NB150" s="9" t="n">
        <v>150</v>
      </c>
      <c r="ND150" s="9" t="n">
        <v>150</v>
      </c>
      <c r="NE150" s="9" t="n">
        <v>0</v>
      </c>
      <c r="NI150" s="10" t="n">
        <v>46146</v>
      </c>
      <c r="NK150" s="9" t="n">
        <v>50</v>
      </c>
      <c r="NM150" s="9" t="n">
        <v>50</v>
      </c>
      <c r="NN150" s="9" t="n">
        <v>1137</v>
      </c>
      <c r="NR150" s="10" t="n">
        <v>46146</v>
      </c>
      <c r="NT150" s="9" t="n">
        <v>60</v>
      </c>
      <c r="NV150" s="9" t="n">
        <v>60</v>
      </c>
      <c r="NW150" s="9" t="n">
        <v>3122.9</v>
      </c>
      <c r="OA150" s="10" t="n">
        <v>46146</v>
      </c>
      <c r="OC150" s="9" t="n">
        <v>0</v>
      </c>
      <c r="OE150" s="9" t="n">
        <v>0</v>
      </c>
      <c r="OF150" s="9" t="n">
        <v>1680.5</v>
      </c>
      <c r="OJ150" s="10" t="n">
        <v>46146</v>
      </c>
      <c r="OL150" s="9" t="n">
        <v>140</v>
      </c>
      <c r="ON150" s="9" t="n">
        <v>140</v>
      </c>
      <c r="OO150" s="9" t="n">
        <v>0</v>
      </c>
      <c r="OS150" s="10" t="n">
        <v>46146</v>
      </c>
      <c r="OU150" s="9" t="n">
        <v>0</v>
      </c>
      <c r="OW150" s="9" t="n">
        <v>0</v>
      </c>
      <c r="OX150" s="9" t="n">
        <v>982</v>
      </c>
      <c r="PB150" s="10" t="n">
        <v>46146</v>
      </c>
      <c r="PD150" s="9" t="n">
        <v>0</v>
      </c>
      <c r="PF150" s="9" t="n">
        <v>0</v>
      </c>
      <c r="PG150" s="9" t="n">
        <v>0</v>
      </c>
      <c r="PK150" s="10" t="n">
        <v>46146</v>
      </c>
      <c r="PM150" s="9" t="n">
        <v>0</v>
      </c>
      <c r="PO150" s="9" t="n">
        <v>0</v>
      </c>
      <c r="PP150" s="9" t="n">
        <v>100</v>
      </c>
      <c r="PT150" s="10" t="n">
        <v>46146</v>
      </c>
      <c r="PV150" s="9" t="n">
        <v>0</v>
      </c>
      <c r="PX150" s="9" t="n">
        <v>0</v>
      </c>
      <c r="PY150" s="9" t="n">
        <v>13.96000000000004</v>
      </c>
      <c r="QC150" s="10" t="n">
        <v>46146</v>
      </c>
      <c r="QE150" s="9" t="n">
        <v>0</v>
      </c>
      <c r="QG150" s="9" t="n">
        <v>0</v>
      </c>
      <c r="QH150" s="9" t="n">
        <v>596</v>
      </c>
      <c r="QL150" s="10" t="n">
        <v>46146</v>
      </c>
      <c r="QN150" s="9" t="n">
        <v>0</v>
      </c>
      <c r="QP150" s="9" t="n">
        <v>0</v>
      </c>
      <c r="QQ150" s="9" t="n">
        <v>400</v>
      </c>
      <c r="QU150" s="10" t="n">
        <v>46146</v>
      </c>
      <c r="QW150" s="9" t="n">
        <v>0</v>
      </c>
      <c r="QY150" s="9" t="n">
        <v>0</v>
      </c>
      <c r="QZ150" s="9" t="n">
        <v>207.6</v>
      </c>
      <c r="RD150" s="10" t="n">
        <v>46146</v>
      </c>
      <c r="RF150" s="9" t="n">
        <v>0</v>
      </c>
      <c r="RH150" s="9" t="n">
        <v>0</v>
      </c>
      <c r="RI150" s="9" t="n">
        <v>147.04</v>
      </c>
      <c r="RM150" s="10" t="n">
        <v>46146</v>
      </c>
      <c r="RO150" s="9" t="n">
        <v>0</v>
      </c>
      <c r="RQ150" s="9" t="n">
        <v>0</v>
      </c>
      <c r="RR150" s="9" t="n">
        <v>46.8</v>
      </c>
      <c r="RV150" s="10" t="n">
        <v>46146</v>
      </c>
      <c r="RX150" s="9" t="n">
        <v>0</v>
      </c>
      <c r="RZ150" s="9" t="n">
        <v>0</v>
      </c>
      <c r="SA150" s="9" t="n">
        <v>0</v>
      </c>
      <c r="SE150" s="10" t="n">
        <v>46146</v>
      </c>
      <c r="SG150" s="9" t="n">
        <v>0</v>
      </c>
      <c r="SI150" s="9" t="n">
        <v>0</v>
      </c>
      <c r="SJ150" s="9" t="n">
        <v>24.2</v>
      </c>
      <c r="SN150" s="10" t="n">
        <v>46146</v>
      </c>
      <c r="SP150" s="9" t="n">
        <v>0</v>
      </c>
      <c r="SR150" s="9" t="n">
        <v>0</v>
      </c>
      <c r="SS150" s="9" t="n">
        <v>32</v>
      </c>
      <c r="SW150" s="10" t="n">
        <v>46146</v>
      </c>
      <c r="SY150" s="9" t="n">
        <v>0</v>
      </c>
      <c r="TA150" s="9" t="n">
        <v>0</v>
      </c>
      <c r="TB150" s="9" t="n">
        <v>0</v>
      </c>
      <c r="TF150" s="10" t="n">
        <v>46146</v>
      </c>
      <c r="TH150" s="9" t="n">
        <v>0</v>
      </c>
      <c r="TJ150" s="9" t="n">
        <v>0</v>
      </c>
      <c r="TK150" s="9" t="n">
        <v>0</v>
      </c>
      <c r="TO150" s="10" t="n">
        <v>46146</v>
      </c>
      <c r="TQ150" s="9" t="n">
        <v>0</v>
      </c>
      <c r="TS150" s="9" t="n">
        <v>0</v>
      </c>
      <c r="TT150" s="9" t="n">
        <v>0</v>
      </c>
      <c r="TX150" s="10" t="n">
        <v>46146</v>
      </c>
      <c r="TZ150" s="9" t="n">
        <v>0</v>
      </c>
      <c r="UB150" s="9" t="n">
        <v>0</v>
      </c>
      <c r="UC150" s="9" t="n">
        <v>0</v>
      </c>
      <c r="UG150" s="10" t="n">
        <v>46146</v>
      </c>
      <c r="UI150" s="9" t="n">
        <v>0</v>
      </c>
      <c r="UK150" s="9" t="n">
        <v>0</v>
      </c>
      <c r="UL150" s="9" t="n">
        <v>0</v>
      </c>
      <c r="UP150" s="10" t="n">
        <v>46146</v>
      </c>
      <c r="UR150" s="9" t="n">
        <v>0</v>
      </c>
      <c r="UT150" s="9" t="n">
        <v>0</v>
      </c>
      <c r="UU150" s="9" t="n">
        <v>0</v>
      </c>
      <c r="UY150" s="10" t="n">
        <v>46146</v>
      </c>
      <c r="VA150" s="9" t="n">
        <v>0</v>
      </c>
      <c r="VC150" s="9" t="n">
        <v>0</v>
      </c>
      <c r="VD150" s="9" t="n">
        <v>41.60000000000002</v>
      </c>
      <c r="VH150" s="10" t="n">
        <v>46146</v>
      </c>
      <c r="VJ150" s="9" t="n">
        <v>0</v>
      </c>
      <c r="VL150" s="9" t="n">
        <v>0</v>
      </c>
      <c r="VM150" s="9" t="n">
        <v>0</v>
      </c>
      <c r="VQ150" s="10" t="n">
        <v>46146</v>
      </c>
      <c r="VS150" s="9" t="n">
        <v>0</v>
      </c>
      <c r="VU150" s="9" t="n">
        <v>0</v>
      </c>
      <c r="VV150" s="9" t="n">
        <v>0</v>
      </c>
      <c r="VZ150" s="10" t="n">
        <v>46146</v>
      </c>
      <c r="WB150" s="9" t="n">
        <v>0</v>
      </c>
      <c r="WD150" s="9" t="n">
        <v>0</v>
      </c>
      <c r="WE150" s="9" t="n">
        <v>0</v>
      </c>
      <c r="WI150" s="10" t="n">
        <v>46146</v>
      </c>
      <c r="WK150" s="9" t="n">
        <v>0</v>
      </c>
      <c r="WM150" s="9" t="n">
        <v>0</v>
      </c>
      <c r="WN150" s="9" t="n">
        <v>2317</v>
      </c>
      <c r="WR150" s="10" t="n">
        <v>46146</v>
      </c>
      <c r="WT150" s="9" t="n">
        <v>0</v>
      </c>
      <c r="WV150" s="9" t="n">
        <v>0</v>
      </c>
      <c r="WW150" s="9" t="n">
        <v>776</v>
      </c>
      <c r="XA150" s="10" t="n">
        <v>46146</v>
      </c>
      <c r="XC150" s="9" t="n">
        <v>0</v>
      </c>
      <c r="XD150" s="9" t="n">
        <v>1002</v>
      </c>
      <c r="XE150" s="9" t="n">
        <v>-1002</v>
      </c>
      <c r="XF150" s="9" t="n">
        <v>12453</v>
      </c>
      <c r="XJ150" s="10" t="n">
        <v>46146</v>
      </c>
      <c r="XL150" s="9" t="n">
        <v>0</v>
      </c>
      <c r="XN150" s="9" t="n">
        <v>0</v>
      </c>
      <c r="XO150" s="9" t="n">
        <v>1481</v>
      </c>
      <c r="XS150" s="10" t="n">
        <v>46146</v>
      </c>
      <c r="XU150" s="9" t="n">
        <v>0</v>
      </c>
      <c r="XW150" s="9" t="n">
        <v>0</v>
      </c>
      <c r="XX150" s="9" t="n">
        <v>1901</v>
      </c>
      <c r="YB150" s="10" t="n">
        <v>46146</v>
      </c>
      <c r="YD150" s="9" t="n">
        <v>0</v>
      </c>
      <c r="YF150" s="9" t="n">
        <v>0</v>
      </c>
      <c r="YG150" s="9" t="n">
        <v>6459</v>
      </c>
      <c r="YK150" s="10" t="n">
        <v>46146</v>
      </c>
      <c r="YM150" s="9" t="n">
        <v>0</v>
      </c>
      <c r="YO150" s="9" t="n">
        <v>0</v>
      </c>
      <c r="YP150" s="9" t="n">
        <v>0</v>
      </c>
      <c r="YT150" s="10" t="n">
        <v>46146</v>
      </c>
      <c r="YV150" s="9" t="n">
        <v>0</v>
      </c>
      <c r="YX150" s="9" t="n">
        <v>0</v>
      </c>
      <c r="YY150" s="9" t="n">
        <v>0</v>
      </c>
      <c r="ZC150" s="10" t="n">
        <v>46146</v>
      </c>
      <c r="ZE150" s="9" t="n">
        <v>0</v>
      </c>
      <c r="ZG150" s="9" t="n">
        <v>0</v>
      </c>
      <c r="ZH150" s="9" t="n">
        <v>0</v>
      </c>
      <c r="ZL150" s="10" t="n">
        <v>46146</v>
      </c>
      <c r="ZN150" s="9" t="n">
        <v>0</v>
      </c>
      <c r="ZP150" s="9" t="n">
        <v>0</v>
      </c>
      <c r="ZQ150" s="9" t="n">
        <v>0</v>
      </c>
      <c r="ZU150" s="10" t="n">
        <v>46146</v>
      </c>
      <c r="ZW150" s="9" t="n">
        <v>0</v>
      </c>
      <c r="ZY150" s="9" t="n">
        <v>0</v>
      </c>
      <c r="ZZ150" s="9" t="n">
        <v>0</v>
      </c>
      <c r="AAD150" s="10" t="n">
        <v>46146</v>
      </c>
      <c r="AAF150" s="9" t="n">
        <v>0</v>
      </c>
      <c r="AAH150" s="9" t="n">
        <v>0</v>
      </c>
      <c r="AAI150" s="9" t="n">
        <v>0</v>
      </c>
      <c r="AAM150" s="10" t="n">
        <v>46146</v>
      </c>
      <c r="AAO150" s="9" t="n">
        <v>0</v>
      </c>
      <c r="AAQ150" s="9" t="n">
        <v>0</v>
      </c>
      <c r="AAR150" s="9" t="n">
        <v>0</v>
      </c>
      <c r="AAV150" s="10" t="n">
        <v>46146</v>
      </c>
      <c r="AAX150" s="9" t="n">
        <v>0</v>
      </c>
      <c r="AAZ150" s="9" t="n">
        <v>0</v>
      </c>
      <c r="ABA150" s="9" t="n">
        <v>0</v>
      </c>
      <c r="ABE150" s="10" t="n">
        <v>46146</v>
      </c>
      <c r="ABG150" s="9" t="n">
        <v>0</v>
      </c>
      <c r="ABI150" s="9" t="n">
        <v>0</v>
      </c>
      <c r="ABJ150" s="9" t="n">
        <v>0</v>
      </c>
    </row>
    <row r="151">
      <c r="C151" s="10" t="n">
        <v>46147</v>
      </c>
      <c r="D151" s="9" t="n">
        <v>20920</v>
      </c>
      <c r="E151" s="9" t="n">
        <v>0</v>
      </c>
      <c r="G151" s="9" t="n">
        <v>0</v>
      </c>
      <c r="H151" s="9" t="n">
        <v>201097.6</v>
      </c>
      <c r="L151" s="10" t="n">
        <v>46147</v>
      </c>
      <c r="N151" s="9" t="n">
        <v>0</v>
      </c>
      <c r="P151" s="9" t="n">
        <v>0</v>
      </c>
      <c r="Q151" s="9" t="n">
        <v>51504.20000000009</v>
      </c>
      <c r="U151" s="10" t="n">
        <v>46147</v>
      </c>
      <c r="W151" s="9" t="n">
        <v>0</v>
      </c>
      <c r="Y151" s="9" t="n">
        <v>0</v>
      </c>
      <c r="Z151" s="9" t="n">
        <v>18765.79999999997</v>
      </c>
      <c r="AD151" s="10" t="n">
        <v>46147</v>
      </c>
      <c r="AF151" s="9" t="n">
        <v>0</v>
      </c>
      <c r="AH151" s="9" t="n">
        <v>0</v>
      </c>
      <c r="AI151" s="9" t="n">
        <v>4928.400000000018</v>
      </c>
      <c r="AM151" s="10" t="n">
        <v>46147</v>
      </c>
      <c r="AO151" s="9" t="n">
        <v>0</v>
      </c>
      <c r="AQ151" s="9" t="n">
        <v>0</v>
      </c>
      <c r="AR151" s="9" t="n">
        <v>0</v>
      </c>
      <c r="AV151" s="10" t="n">
        <v>46147</v>
      </c>
      <c r="AX151" s="9" t="n">
        <v>0</v>
      </c>
      <c r="AZ151" s="9" t="n">
        <v>0</v>
      </c>
      <c r="BA151" s="9" t="n">
        <v>36610.89999999999</v>
      </c>
      <c r="BE151" s="10" t="n">
        <v>46147</v>
      </c>
      <c r="BG151" s="9" t="n">
        <v>0</v>
      </c>
      <c r="BI151" s="9" t="n">
        <v>0</v>
      </c>
      <c r="BJ151" s="9" t="n">
        <v>24475.79999999999</v>
      </c>
      <c r="BN151" s="10" t="n">
        <v>46147</v>
      </c>
      <c r="BP151" s="9" t="n">
        <v>0</v>
      </c>
      <c r="BR151" s="9" t="n">
        <v>0</v>
      </c>
      <c r="BS151" s="9" t="n">
        <v>0</v>
      </c>
      <c r="BW151" s="10" t="n">
        <v>46147</v>
      </c>
      <c r="BY151" s="9" t="n">
        <v>0</v>
      </c>
      <c r="CA151" s="9" t="n">
        <v>0</v>
      </c>
      <c r="CB151" s="9" t="n">
        <v>5848.799999999999</v>
      </c>
      <c r="CF151" s="10" t="n">
        <v>46147</v>
      </c>
      <c r="CH151" s="9" t="n">
        <v>0</v>
      </c>
      <c r="CJ151" s="9" t="n">
        <v>0</v>
      </c>
      <c r="CK151" s="9" t="n">
        <v>0</v>
      </c>
      <c r="CO151" s="10" t="n">
        <v>46147</v>
      </c>
      <c r="CQ151" s="9" t="n">
        <v>0</v>
      </c>
      <c r="CS151" s="9" t="n">
        <v>0</v>
      </c>
      <c r="CT151" s="9" t="n">
        <v>0</v>
      </c>
      <c r="CX151" s="10" t="n">
        <v>46147</v>
      </c>
      <c r="CZ151" s="9" t="n">
        <v>0</v>
      </c>
      <c r="DB151" s="9" t="n">
        <v>0</v>
      </c>
      <c r="DC151" s="9" t="n">
        <v>21657</v>
      </c>
      <c r="DG151" s="10" t="n">
        <v>46147</v>
      </c>
      <c r="DI151" s="9" t="n">
        <v>0</v>
      </c>
      <c r="DK151" s="9" t="n">
        <v>0</v>
      </c>
      <c r="DL151" s="9" t="n">
        <v>40938.49999999999</v>
      </c>
      <c r="DP151" s="10" t="n">
        <v>46147</v>
      </c>
      <c r="DR151" s="9" t="n">
        <v>0</v>
      </c>
      <c r="DT151" s="9" t="n">
        <v>0</v>
      </c>
      <c r="DU151" s="9" t="n">
        <v>5800</v>
      </c>
      <c r="DY151" s="10" t="n">
        <v>46147</v>
      </c>
      <c r="EA151" s="9" t="n">
        <v>0</v>
      </c>
      <c r="EC151" s="9" t="n">
        <v>0</v>
      </c>
      <c r="ED151" s="9" t="n">
        <v>0</v>
      </c>
      <c r="EH151" s="10" t="n">
        <v>46147</v>
      </c>
      <c r="EJ151" s="9" t="n">
        <v>0</v>
      </c>
      <c r="EL151" s="9" t="n">
        <v>0</v>
      </c>
      <c r="EM151" s="9" t="n">
        <v>0</v>
      </c>
      <c r="EQ151" s="10" t="n">
        <v>46147</v>
      </c>
      <c r="ES151" s="9" t="n">
        <v>0</v>
      </c>
      <c r="EU151" s="9" t="n">
        <v>0</v>
      </c>
      <c r="EV151" s="9" t="n">
        <v>0</v>
      </c>
      <c r="EZ151" s="10" t="n">
        <v>46147</v>
      </c>
      <c r="FB151" s="9" t="n">
        <v>0</v>
      </c>
      <c r="FD151" s="9" t="n">
        <v>0</v>
      </c>
      <c r="FE151" s="9" t="n">
        <v>0</v>
      </c>
      <c r="FI151" s="10" t="n">
        <v>46147</v>
      </c>
      <c r="FK151" s="9" t="n">
        <v>0</v>
      </c>
      <c r="FM151" s="9" t="n">
        <v>0</v>
      </c>
      <c r="FN151" s="9" t="n">
        <v>0</v>
      </c>
      <c r="FR151" s="10" t="n">
        <v>46147</v>
      </c>
      <c r="FT151" s="9" t="n">
        <v>0</v>
      </c>
      <c r="FV151" s="9" t="n">
        <v>0</v>
      </c>
      <c r="FW151" s="9" t="n">
        <v>2120</v>
      </c>
      <c r="GA151" s="10" t="n">
        <v>46147</v>
      </c>
      <c r="GC151" s="9" t="n">
        <v>0</v>
      </c>
      <c r="GE151" s="9" t="n">
        <v>0</v>
      </c>
      <c r="GF151" s="9" t="n">
        <v>3640</v>
      </c>
      <c r="GJ151" s="10" t="n">
        <v>46147</v>
      </c>
      <c r="GL151" s="9" t="n">
        <v>0</v>
      </c>
      <c r="GN151" s="9" t="n">
        <v>0</v>
      </c>
      <c r="GO151" s="9" t="n">
        <v>2080</v>
      </c>
      <c r="GS151" s="10" t="n">
        <v>46147</v>
      </c>
      <c r="GU151" s="9" t="n">
        <v>0</v>
      </c>
      <c r="GW151" s="9" t="n">
        <v>0</v>
      </c>
      <c r="GX151" s="9" t="n">
        <v>0</v>
      </c>
      <c r="HB151" s="10" t="n">
        <v>46147</v>
      </c>
      <c r="HD151" s="9" t="n">
        <v>0</v>
      </c>
      <c r="HF151" s="9" t="n">
        <v>0</v>
      </c>
      <c r="HG151" s="9" t="n">
        <v>0</v>
      </c>
      <c r="HK151" s="10" t="n">
        <v>46147</v>
      </c>
      <c r="HM151" s="9" t="n">
        <v>0</v>
      </c>
      <c r="HO151" s="9" t="n">
        <v>0</v>
      </c>
      <c r="HP151" s="9" t="n">
        <v>0</v>
      </c>
      <c r="HU151" s="10" t="n">
        <v>46147</v>
      </c>
      <c r="HW151" s="9" t="n">
        <v>0</v>
      </c>
      <c r="HY151" s="9" t="n">
        <v>0</v>
      </c>
      <c r="HZ151" s="9" t="n">
        <v>6360</v>
      </c>
      <c r="ID151" s="10" t="n">
        <v>46147</v>
      </c>
      <c r="IF151" s="9" t="n">
        <v>0</v>
      </c>
      <c r="IH151" s="9" t="n">
        <v>0</v>
      </c>
      <c r="II151" s="9" t="n">
        <v>6540</v>
      </c>
      <c r="IM151" s="10" t="n">
        <v>46147</v>
      </c>
      <c r="IO151" s="9" t="n">
        <v>0</v>
      </c>
      <c r="IQ151" s="9" t="n">
        <v>0</v>
      </c>
      <c r="IR151" s="9" t="n">
        <v>11540</v>
      </c>
      <c r="IV151" s="10" t="n">
        <v>46147</v>
      </c>
      <c r="IX151" s="9" t="n">
        <v>0</v>
      </c>
      <c r="IZ151" s="9" t="n">
        <v>0</v>
      </c>
      <c r="JA151" s="9" t="n">
        <v>15120</v>
      </c>
      <c r="JE151" s="10" t="n">
        <v>46147</v>
      </c>
      <c r="JG151" s="9" t="n">
        <v>0</v>
      </c>
      <c r="JI151" s="9" t="n">
        <v>0</v>
      </c>
      <c r="JJ151" s="9" t="n">
        <v>1960</v>
      </c>
      <c r="JN151" s="10" t="n">
        <v>46147</v>
      </c>
      <c r="JP151" s="9" t="n">
        <v>0</v>
      </c>
      <c r="JR151" s="9" t="n">
        <v>0</v>
      </c>
      <c r="JS151" s="9" t="n">
        <v>9100</v>
      </c>
      <c r="JW151" s="10" t="n">
        <v>46147</v>
      </c>
      <c r="JY151" s="9" t="n">
        <v>0</v>
      </c>
      <c r="KA151" s="9" t="n">
        <v>0</v>
      </c>
      <c r="KB151" s="9" t="n">
        <v>2540</v>
      </c>
      <c r="KF151" s="10" t="n">
        <v>46147</v>
      </c>
      <c r="KH151" s="9" t="n">
        <v>0</v>
      </c>
      <c r="KJ151" s="9" t="n">
        <v>0</v>
      </c>
      <c r="KK151" s="9" t="n">
        <v>2359.5</v>
      </c>
      <c r="KO151" s="10" t="n">
        <v>46147</v>
      </c>
      <c r="KQ151" s="9" t="n">
        <v>0</v>
      </c>
      <c r="KS151" s="9" t="n">
        <v>0</v>
      </c>
      <c r="KT151" s="9" t="n">
        <v>2079</v>
      </c>
      <c r="KX151" s="10" t="n">
        <v>46147</v>
      </c>
      <c r="KZ151" s="9" t="n">
        <v>0</v>
      </c>
      <c r="LB151" s="9" t="n">
        <v>0</v>
      </c>
      <c r="LC151" s="9" t="n">
        <v>3690</v>
      </c>
      <c r="LG151" s="10" t="n">
        <v>46147</v>
      </c>
      <c r="LI151" s="9" t="n">
        <v>0</v>
      </c>
      <c r="LK151" s="9" t="n">
        <v>0</v>
      </c>
      <c r="LL151" s="9" t="n">
        <v>4000</v>
      </c>
      <c r="LP151" s="10" t="n">
        <v>46147</v>
      </c>
      <c r="LR151" s="9" t="n">
        <v>0</v>
      </c>
      <c r="LT151" s="9" t="n">
        <v>0</v>
      </c>
      <c r="LU151" s="9" t="n">
        <v>0</v>
      </c>
      <c r="LY151" s="10" t="n">
        <v>46147</v>
      </c>
      <c r="MA151" s="9" t="n">
        <v>0</v>
      </c>
      <c r="MC151" s="9" t="n">
        <v>0</v>
      </c>
      <c r="MD151" s="9" t="n">
        <v>0</v>
      </c>
      <c r="MH151" s="10" t="n">
        <v>46147</v>
      </c>
      <c r="MJ151" s="9" t="n">
        <v>0</v>
      </c>
      <c r="ML151" s="9" t="n">
        <v>0</v>
      </c>
      <c r="MM151" s="9" t="n">
        <v>0</v>
      </c>
      <c r="MQ151" s="10" t="n">
        <v>46147</v>
      </c>
      <c r="MS151" s="9" t="n">
        <v>0</v>
      </c>
      <c r="MU151" s="9" t="n">
        <v>0</v>
      </c>
      <c r="MV151" s="9" t="n">
        <v>3903</v>
      </c>
      <c r="MZ151" s="10" t="n">
        <v>46147</v>
      </c>
      <c r="NB151" s="9" t="n">
        <v>0</v>
      </c>
      <c r="ND151" s="9" t="n">
        <v>0</v>
      </c>
      <c r="NE151" s="9" t="n">
        <v>0</v>
      </c>
      <c r="NI151" s="10" t="n">
        <v>46147</v>
      </c>
      <c r="NK151" s="9" t="n">
        <v>0</v>
      </c>
      <c r="NM151" s="9" t="n">
        <v>0</v>
      </c>
      <c r="NN151" s="9" t="n">
        <v>1137</v>
      </c>
      <c r="NR151" s="10" t="n">
        <v>46147</v>
      </c>
      <c r="NT151" s="9" t="n">
        <v>0</v>
      </c>
      <c r="NV151" s="9" t="n">
        <v>0</v>
      </c>
      <c r="NW151" s="9" t="n">
        <v>3122.9</v>
      </c>
      <c r="OA151" s="10" t="n">
        <v>46147</v>
      </c>
      <c r="OC151" s="9" t="n">
        <v>0</v>
      </c>
      <c r="OE151" s="9" t="n">
        <v>0</v>
      </c>
      <c r="OF151" s="9" t="n">
        <v>1680.5</v>
      </c>
      <c r="OJ151" s="10" t="n">
        <v>46147</v>
      </c>
      <c r="OL151" s="9" t="n">
        <v>0</v>
      </c>
      <c r="ON151" s="9" t="n">
        <v>0</v>
      </c>
      <c r="OO151" s="9" t="n">
        <v>0</v>
      </c>
      <c r="OS151" s="10" t="n">
        <v>46147</v>
      </c>
      <c r="OU151" s="9" t="n">
        <v>0</v>
      </c>
      <c r="OW151" s="9" t="n">
        <v>0</v>
      </c>
      <c r="OX151" s="9" t="n">
        <v>982</v>
      </c>
      <c r="PB151" s="10" t="n">
        <v>46147</v>
      </c>
      <c r="PD151" s="9" t="n">
        <v>0</v>
      </c>
      <c r="PF151" s="9" t="n">
        <v>0</v>
      </c>
      <c r="PG151" s="9" t="n">
        <v>0</v>
      </c>
      <c r="PK151" s="10" t="n">
        <v>46147</v>
      </c>
      <c r="PM151" s="9" t="n">
        <v>0</v>
      </c>
      <c r="PO151" s="9" t="n">
        <v>0</v>
      </c>
      <c r="PP151" s="9" t="n">
        <v>100</v>
      </c>
      <c r="PT151" s="10" t="n">
        <v>46147</v>
      </c>
      <c r="PV151" s="9" t="n">
        <v>0</v>
      </c>
      <c r="PX151" s="9" t="n">
        <v>0</v>
      </c>
      <c r="PY151" s="9" t="n">
        <v>13.96000000000004</v>
      </c>
      <c r="QC151" s="10" t="n">
        <v>46147</v>
      </c>
      <c r="QE151" s="9" t="n">
        <v>0</v>
      </c>
      <c r="QG151" s="9" t="n">
        <v>0</v>
      </c>
      <c r="QH151" s="9" t="n">
        <v>596</v>
      </c>
      <c r="QL151" s="10" t="n">
        <v>46147</v>
      </c>
      <c r="QN151" s="9" t="n">
        <v>0</v>
      </c>
      <c r="QP151" s="9" t="n">
        <v>0</v>
      </c>
      <c r="QQ151" s="9" t="n">
        <v>400</v>
      </c>
      <c r="QU151" s="10" t="n">
        <v>46147</v>
      </c>
      <c r="QW151" s="9" t="n">
        <v>0</v>
      </c>
      <c r="QY151" s="9" t="n">
        <v>0</v>
      </c>
      <c r="QZ151" s="9" t="n">
        <v>207.6</v>
      </c>
      <c r="RD151" s="10" t="n">
        <v>46147</v>
      </c>
      <c r="RF151" s="9" t="n">
        <v>0</v>
      </c>
      <c r="RH151" s="9" t="n">
        <v>0</v>
      </c>
      <c r="RI151" s="9" t="n">
        <v>147.04</v>
      </c>
      <c r="RM151" s="10" t="n">
        <v>46147</v>
      </c>
      <c r="RO151" s="9" t="n">
        <v>0</v>
      </c>
      <c r="RQ151" s="9" t="n">
        <v>0</v>
      </c>
      <c r="RR151" s="9" t="n">
        <v>46.8</v>
      </c>
      <c r="RV151" s="10" t="n">
        <v>46147</v>
      </c>
      <c r="RX151" s="9" t="n">
        <v>0</v>
      </c>
      <c r="RZ151" s="9" t="n">
        <v>0</v>
      </c>
      <c r="SA151" s="9" t="n">
        <v>0</v>
      </c>
      <c r="SE151" s="10" t="n">
        <v>46147</v>
      </c>
      <c r="SG151" s="9" t="n">
        <v>0</v>
      </c>
      <c r="SI151" s="9" t="n">
        <v>0</v>
      </c>
      <c r="SJ151" s="9" t="n">
        <v>24.2</v>
      </c>
      <c r="SN151" s="10" t="n">
        <v>46147</v>
      </c>
      <c r="SP151" s="9" t="n">
        <v>0</v>
      </c>
      <c r="SR151" s="9" t="n">
        <v>0</v>
      </c>
      <c r="SS151" s="9" t="n">
        <v>32</v>
      </c>
      <c r="SW151" s="10" t="n">
        <v>46147</v>
      </c>
      <c r="SY151" s="9" t="n">
        <v>0</v>
      </c>
      <c r="TA151" s="9" t="n">
        <v>0</v>
      </c>
      <c r="TB151" s="9" t="n">
        <v>0</v>
      </c>
      <c r="TF151" s="10" t="n">
        <v>46147</v>
      </c>
      <c r="TH151" s="9" t="n">
        <v>0</v>
      </c>
      <c r="TJ151" s="9" t="n">
        <v>0</v>
      </c>
      <c r="TK151" s="9" t="n">
        <v>0</v>
      </c>
      <c r="TO151" s="10" t="n">
        <v>46147</v>
      </c>
      <c r="TQ151" s="9" t="n">
        <v>0</v>
      </c>
      <c r="TS151" s="9" t="n">
        <v>0</v>
      </c>
      <c r="TT151" s="9" t="n">
        <v>0</v>
      </c>
      <c r="TX151" s="10" t="n">
        <v>46147</v>
      </c>
      <c r="TZ151" s="9" t="n">
        <v>0</v>
      </c>
      <c r="UB151" s="9" t="n">
        <v>0</v>
      </c>
      <c r="UC151" s="9" t="n">
        <v>0</v>
      </c>
      <c r="UG151" s="10" t="n">
        <v>46147</v>
      </c>
      <c r="UI151" s="9" t="n">
        <v>0</v>
      </c>
      <c r="UK151" s="9" t="n">
        <v>0</v>
      </c>
      <c r="UL151" s="9" t="n">
        <v>0</v>
      </c>
      <c r="UP151" s="10" t="n">
        <v>46147</v>
      </c>
      <c r="UR151" s="9" t="n">
        <v>0</v>
      </c>
      <c r="UT151" s="9" t="n">
        <v>0</v>
      </c>
      <c r="UU151" s="9" t="n">
        <v>0</v>
      </c>
      <c r="UY151" s="10" t="n">
        <v>46147</v>
      </c>
      <c r="VA151" s="9" t="n">
        <v>0</v>
      </c>
      <c r="VC151" s="9" t="n">
        <v>0</v>
      </c>
      <c r="VD151" s="9" t="n">
        <v>41.60000000000002</v>
      </c>
      <c r="VH151" s="10" t="n">
        <v>46147</v>
      </c>
      <c r="VJ151" s="9" t="n">
        <v>0</v>
      </c>
      <c r="VL151" s="9" t="n">
        <v>0</v>
      </c>
      <c r="VM151" s="9" t="n">
        <v>0</v>
      </c>
      <c r="VQ151" s="10" t="n">
        <v>46147</v>
      </c>
      <c r="VS151" s="9" t="n">
        <v>0</v>
      </c>
      <c r="VU151" s="9" t="n">
        <v>0</v>
      </c>
      <c r="VV151" s="9" t="n">
        <v>0</v>
      </c>
      <c r="VZ151" s="10" t="n">
        <v>46147</v>
      </c>
      <c r="WB151" s="9" t="n">
        <v>0</v>
      </c>
      <c r="WD151" s="9" t="n">
        <v>0</v>
      </c>
      <c r="WE151" s="9" t="n">
        <v>0</v>
      </c>
      <c r="WI151" s="10" t="n">
        <v>46147</v>
      </c>
      <c r="WK151" s="9" t="n">
        <v>0</v>
      </c>
      <c r="WM151" s="9" t="n">
        <v>0</v>
      </c>
      <c r="WN151" s="9" t="n">
        <v>2317</v>
      </c>
      <c r="WR151" s="10" t="n">
        <v>46147</v>
      </c>
      <c r="WT151" s="9" t="n">
        <v>0</v>
      </c>
      <c r="WV151" s="9" t="n">
        <v>0</v>
      </c>
      <c r="WW151" s="9" t="n">
        <v>776</v>
      </c>
      <c r="XA151" s="10" t="n">
        <v>46147</v>
      </c>
      <c r="XC151" s="9" t="n">
        <v>0</v>
      </c>
      <c r="XE151" s="9" t="n">
        <v>0</v>
      </c>
      <c r="XF151" s="9" t="n">
        <v>12453</v>
      </c>
      <c r="XJ151" s="10" t="n">
        <v>46147</v>
      </c>
      <c r="XL151" s="9" t="n">
        <v>0</v>
      </c>
      <c r="XN151" s="9" t="n">
        <v>0</v>
      </c>
      <c r="XO151" s="9" t="n">
        <v>1481</v>
      </c>
      <c r="XS151" s="10" t="n">
        <v>46147</v>
      </c>
      <c r="XU151" s="9" t="n">
        <v>0</v>
      </c>
      <c r="XW151" s="9" t="n">
        <v>0</v>
      </c>
      <c r="XX151" s="9" t="n">
        <v>1901</v>
      </c>
      <c r="YB151" s="10" t="n">
        <v>46147</v>
      </c>
      <c r="YD151" s="9" t="n">
        <v>0</v>
      </c>
      <c r="YF151" s="9" t="n">
        <v>0</v>
      </c>
      <c r="YG151" s="9" t="n">
        <v>6459</v>
      </c>
      <c r="YK151" s="10" t="n">
        <v>46147</v>
      </c>
      <c r="YM151" s="9" t="n">
        <v>0</v>
      </c>
      <c r="YO151" s="9" t="n">
        <v>0</v>
      </c>
      <c r="YP151" s="9" t="n">
        <v>0</v>
      </c>
      <c r="YT151" s="10" t="n">
        <v>46147</v>
      </c>
      <c r="YV151" s="9" t="n">
        <v>0</v>
      </c>
      <c r="YX151" s="9" t="n">
        <v>0</v>
      </c>
      <c r="YY151" s="9" t="n">
        <v>0</v>
      </c>
      <c r="ZC151" s="10" t="n">
        <v>46147</v>
      </c>
      <c r="ZE151" s="9" t="n">
        <v>0</v>
      </c>
      <c r="ZG151" s="9" t="n">
        <v>0</v>
      </c>
      <c r="ZH151" s="9" t="n">
        <v>0</v>
      </c>
      <c r="ZL151" s="10" t="n">
        <v>46147</v>
      </c>
      <c r="ZN151" s="9" t="n">
        <v>0</v>
      </c>
      <c r="ZP151" s="9" t="n">
        <v>0</v>
      </c>
      <c r="ZQ151" s="9" t="n">
        <v>0</v>
      </c>
      <c r="ZU151" s="10" t="n">
        <v>46147</v>
      </c>
      <c r="ZW151" s="9" t="n">
        <v>0</v>
      </c>
      <c r="ZY151" s="9" t="n">
        <v>0</v>
      </c>
      <c r="ZZ151" s="9" t="n">
        <v>0</v>
      </c>
      <c r="AAD151" s="10" t="n">
        <v>46147</v>
      </c>
      <c r="AAF151" s="9" t="n">
        <v>0</v>
      </c>
      <c r="AAH151" s="9" t="n">
        <v>0</v>
      </c>
      <c r="AAI151" s="9" t="n">
        <v>0</v>
      </c>
      <c r="AAM151" s="10" t="n">
        <v>46147</v>
      </c>
      <c r="AAO151" s="9" t="n">
        <v>0</v>
      </c>
      <c r="AAQ151" s="9" t="n">
        <v>0</v>
      </c>
      <c r="AAR151" s="9" t="n">
        <v>0</v>
      </c>
      <c r="AAV151" s="10" t="n">
        <v>46147</v>
      </c>
      <c r="AAX151" s="9" t="n">
        <v>0</v>
      </c>
      <c r="AAZ151" s="9" t="n">
        <v>0</v>
      </c>
      <c r="ABA151" s="9" t="n">
        <v>0</v>
      </c>
      <c r="ABE151" s="10" t="n">
        <v>46147</v>
      </c>
      <c r="ABG151" s="9" t="n">
        <v>0</v>
      </c>
      <c r="ABI151" s="9" t="n">
        <v>0</v>
      </c>
      <c r="ABJ151" s="9" t="n">
        <v>0</v>
      </c>
    </row>
    <row r="152">
      <c r="B152" s="9" t="n">
        <v>38</v>
      </c>
      <c r="C152" s="10" t="n">
        <v>46148</v>
      </c>
      <c r="D152" s="9" t="n">
        <v>55480</v>
      </c>
      <c r="E152" s="9" t="n">
        <v>19242.44</v>
      </c>
      <c r="F152" s="9" t="n">
        <v>19243.4</v>
      </c>
      <c r="G152" s="9" t="n">
        <v>-0.9600000000027649</v>
      </c>
      <c r="H152" s="9" t="n">
        <v>237334.2</v>
      </c>
      <c r="I152" s="9" t="inlineStr">
        <is>
          <t>8102 38mt</t>
        </is>
      </c>
      <c r="L152" s="10" t="n">
        <v>46148</v>
      </c>
      <c r="N152" s="9" t="n">
        <v>12053.6</v>
      </c>
      <c r="O152" s="9" t="n">
        <v>12054.8</v>
      </c>
      <c r="P152" s="9" t="n">
        <v>-1.199999999998909</v>
      </c>
      <c r="Q152" s="9" t="n">
        <v>39449.4000000001</v>
      </c>
      <c r="U152" s="10" t="n">
        <v>46148</v>
      </c>
      <c r="W152" s="9" t="n">
        <v>1900</v>
      </c>
      <c r="X152" s="9" t="n">
        <v>1901.4</v>
      </c>
      <c r="Y152" s="9" t="n">
        <v>-1.400000000000091</v>
      </c>
      <c r="Z152" s="9" t="n">
        <v>16864.39999999997</v>
      </c>
      <c r="AD152" s="10" t="n">
        <v>46148</v>
      </c>
      <c r="AF152" s="9" t="n">
        <v>1900</v>
      </c>
      <c r="AG152" s="9" t="n">
        <v>1898.8</v>
      </c>
      <c r="AH152" s="9" t="n">
        <v>1.200000000000045</v>
      </c>
      <c r="AI152" s="9" t="n">
        <v>3029.600000000018</v>
      </c>
      <c r="AM152" s="10" t="n">
        <v>46148</v>
      </c>
      <c r="AO152" s="9" t="n">
        <v>0</v>
      </c>
      <c r="AQ152" s="9" t="n">
        <v>0</v>
      </c>
      <c r="AR152" s="9" t="n">
        <v>0</v>
      </c>
      <c r="AV152" s="10" t="n">
        <v>46148</v>
      </c>
      <c r="AX152" s="9" t="n">
        <v>0</v>
      </c>
      <c r="AZ152" s="9" t="n">
        <v>0</v>
      </c>
      <c r="BA152" s="9" t="n">
        <v>36610.89999999999</v>
      </c>
      <c r="BE152" s="10" t="n">
        <v>46148</v>
      </c>
      <c r="BG152" s="9" t="n">
        <v>741</v>
      </c>
      <c r="BH152" s="9" t="n">
        <v>741.1</v>
      </c>
      <c r="BI152" s="9" t="n">
        <v>-0.1000000000000227</v>
      </c>
      <c r="BJ152" s="9" t="n">
        <v>23734.69999999999</v>
      </c>
      <c r="BN152" s="10" t="n">
        <v>46148</v>
      </c>
      <c r="BO152" s="9" t="n">
        <v>893</v>
      </c>
      <c r="BP152" s="9" t="n">
        <v>893</v>
      </c>
      <c r="BQ152" s="9" t="n">
        <v>893</v>
      </c>
      <c r="BR152" s="9" t="n">
        <v>0</v>
      </c>
      <c r="BS152" s="9" t="n">
        <v>0</v>
      </c>
      <c r="BW152" s="10" t="n">
        <v>46148</v>
      </c>
      <c r="BY152" s="9" t="n">
        <v>0</v>
      </c>
      <c r="CA152" s="9" t="n">
        <v>0</v>
      </c>
      <c r="CB152" s="9" t="n">
        <v>5848.799999999999</v>
      </c>
      <c r="CF152" s="10" t="n">
        <v>46148</v>
      </c>
      <c r="CG152" s="9" t="n">
        <v>513.6</v>
      </c>
      <c r="CH152" s="9" t="n">
        <v>243.96</v>
      </c>
      <c r="CI152" s="9" t="n">
        <v>513.6</v>
      </c>
      <c r="CJ152" s="9" t="n">
        <v>-269.64</v>
      </c>
      <c r="CK152" s="9" t="n">
        <v>0</v>
      </c>
      <c r="CO152" s="10" t="n">
        <v>46148</v>
      </c>
      <c r="CQ152" s="9" t="n">
        <v>0</v>
      </c>
      <c r="CS152" s="9" t="n">
        <v>0</v>
      </c>
      <c r="CT152" s="9" t="n">
        <v>0</v>
      </c>
      <c r="CX152" s="10" t="n">
        <v>46148</v>
      </c>
      <c r="CZ152" s="9" t="n">
        <v>0</v>
      </c>
      <c r="DB152" s="9" t="n">
        <v>0</v>
      </c>
      <c r="DC152" s="9" t="n">
        <v>21657</v>
      </c>
      <c r="DG152" s="10" t="n">
        <v>46148</v>
      </c>
      <c r="DI152" s="9" t="n">
        <v>0</v>
      </c>
      <c r="DK152" s="9" t="n">
        <v>0</v>
      </c>
      <c r="DL152" s="9" t="n">
        <v>40938.49999999999</v>
      </c>
      <c r="DP152" s="10" t="n">
        <v>46148</v>
      </c>
      <c r="DR152" s="9" t="n">
        <v>0</v>
      </c>
      <c r="DT152" s="9" t="n">
        <v>0</v>
      </c>
      <c r="DU152" s="9" t="n">
        <v>5800</v>
      </c>
      <c r="DY152" s="10" t="n">
        <v>46148</v>
      </c>
      <c r="EA152" s="9" t="n">
        <v>0</v>
      </c>
      <c r="EC152" s="9" t="n">
        <v>0</v>
      </c>
      <c r="ED152" s="9" t="n">
        <v>0</v>
      </c>
      <c r="EH152" s="10" t="n">
        <v>46148</v>
      </c>
      <c r="EJ152" s="9" t="n">
        <v>0</v>
      </c>
      <c r="EL152" s="9" t="n">
        <v>0</v>
      </c>
      <c r="EM152" s="9" t="n">
        <v>0</v>
      </c>
      <c r="EQ152" s="10" t="n">
        <v>46148</v>
      </c>
      <c r="ES152" s="9" t="n">
        <v>0</v>
      </c>
      <c r="EU152" s="9" t="n">
        <v>0</v>
      </c>
      <c r="EV152" s="9" t="n">
        <v>0</v>
      </c>
      <c r="EZ152" s="10" t="n">
        <v>46148</v>
      </c>
      <c r="FB152" s="9" t="n">
        <v>0</v>
      </c>
      <c r="FD152" s="9" t="n">
        <v>0</v>
      </c>
      <c r="FE152" s="9" t="n">
        <v>0</v>
      </c>
      <c r="FI152" s="10" t="n">
        <v>46148</v>
      </c>
      <c r="FK152" s="9" t="n">
        <v>0</v>
      </c>
      <c r="FM152" s="9" t="n">
        <v>0</v>
      </c>
      <c r="FN152" s="9" t="n">
        <v>0</v>
      </c>
      <c r="FR152" s="10" t="n">
        <v>46148</v>
      </c>
      <c r="FT152" s="9" t="n">
        <v>0</v>
      </c>
      <c r="FV152" s="9" t="n">
        <v>0</v>
      </c>
      <c r="FW152" s="9" t="n">
        <v>2120</v>
      </c>
      <c r="GA152" s="10" t="n">
        <v>46148</v>
      </c>
      <c r="GC152" s="9" t="n">
        <v>0</v>
      </c>
      <c r="GE152" s="9" t="n">
        <v>0</v>
      </c>
      <c r="GF152" s="9" t="n">
        <v>3640</v>
      </c>
      <c r="GJ152" s="10" t="n">
        <v>46148</v>
      </c>
      <c r="GL152" s="9" t="n">
        <v>0</v>
      </c>
      <c r="GN152" s="9" t="n">
        <v>0</v>
      </c>
      <c r="GO152" s="9" t="n">
        <v>2080</v>
      </c>
      <c r="GS152" s="10" t="n">
        <v>46148</v>
      </c>
      <c r="GU152" s="9" t="n">
        <v>0</v>
      </c>
      <c r="GW152" s="9" t="n">
        <v>0</v>
      </c>
      <c r="GX152" s="9" t="n">
        <v>0</v>
      </c>
      <c r="HB152" s="10" t="n">
        <v>46148</v>
      </c>
      <c r="HD152" s="9" t="n">
        <v>0</v>
      </c>
      <c r="HF152" s="9" t="n">
        <v>0</v>
      </c>
      <c r="HG152" s="9" t="n">
        <v>0</v>
      </c>
      <c r="HK152" s="10" t="n">
        <v>46148</v>
      </c>
      <c r="HM152" s="9" t="n">
        <v>0</v>
      </c>
      <c r="HO152" s="9" t="n">
        <v>0</v>
      </c>
      <c r="HP152" s="9" t="n">
        <v>0</v>
      </c>
      <c r="HU152" s="10" t="n">
        <v>46148</v>
      </c>
      <c r="HW152" s="9" t="n">
        <v>0</v>
      </c>
      <c r="HY152" s="9" t="n">
        <v>0</v>
      </c>
      <c r="HZ152" s="9" t="n">
        <v>6360</v>
      </c>
      <c r="ID152" s="10" t="n">
        <v>46148</v>
      </c>
      <c r="IF152" s="9" t="n">
        <v>0</v>
      </c>
      <c r="IH152" s="9" t="n">
        <v>0</v>
      </c>
      <c r="II152" s="9" t="n">
        <v>6540</v>
      </c>
      <c r="IM152" s="10" t="n">
        <v>46148</v>
      </c>
      <c r="IO152" s="9" t="n">
        <v>0</v>
      </c>
      <c r="IQ152" s="9" t="n">
        <v>0</v>
      </c>
      <c r="IR152" s="9" t="n">
        <v>11540</v>
      </c>
      <c r="IV152" s="10" t="n">
        <v>46148</v>
      </c>
      <c r="IX152" s="9" t="n">
        <v>0</v>
      </c>
      <c r="IZ152" s="9" t="n">
        <v>0</v>
      </c>
      <c r="JA152" s="9" t="n">
        <v>15120</v>
      </c>
      <c r="JE152" s="10" t="n">
        <v>46148</v>
      </c>
      <c r="JG152" s="9" t="n">
        <v>760</v>
      </c>
      <c r="JH152" s="9" t="n">
        <v>1600</v>
      </c>
      <c r="JI152" s="9" t="n">
        <v>-840</v>
      </c>
      <c r="JJ152" s="9" t="n">
        <v>360</v>
      </c>
      <c r="JK152" s="9" t="n">
        <v>80</v>
      </c>
      <c r="JN152" s="10" t="n">
        <v>46148</v>
      </c>
      <c r="JP152" s="9" t="n">
        <v>0</v>
      </c>
      <c r="JR152" s="9" t="n">
        <v>0</v>
      </c>
      <c r="JS152" s="9" t="n">
        <v>9100</v>
      </c>
      <c r="JW152" s="10" t="n">
        <v>46148</v>
      </c>
      <c r="JY152" s="9" t="n">
        <v>0</v>
      </c>
      <c r="KA152" s="9" t="n">
        <v>0</v>
      </c>
      <c r="KB152" s="9" t="n">
        <v>2540</v>
      </c>
      <c r="KF152" s="10" t="n">
        <v>46148</v>
      </c>
      <c r="KH152" s="9" t="n">
        <v>0</v>
      </c>
      <c r="KJ152" s="9" t="n">
        <v>0</v>
      </c>
      <c r="KK152" s="9" t="n">
        <v>2359.5</v>
      </c>
      <c r="KO152" s="10" t="n">
        <v>46148</v>
      </c>
      <c r="KQ152" s="9" t="n">
        <v>0</v>
      </c>
      <c r="KS152" s="9" t="n">
        <v>0</v>
      </c>
      <c r="KT152" s="9" t="n">
        <v>2079</v>
      </c>
      <c r="KX152" s="10" t="n">
        <v>46148</v>
      </c>
      <c r="KZ152" s="9" t="n">
        <v>0</v>
      </c>
      <c r="LB152" s="9" t="n">
        <v>0</v>
      </c>
      <c r="LC152" s="9" t="n">
        <v>3690</v>
      </c>
      <c r="LG152" s="10" t="n">
        <v>46148</v>
      </c>
      <c r="LI152" s="9" t="n">
        <v>0</v>
      </c>
      <c r="LK152" s="9" t="n">
        <v>0</v>
      </c>
      <c r="LL152" s="9" t="n">
        <v>4000</v>
      </c>
      <c r="LP152" s="10" t="n">
        <v>46148</v>
      </c>
      <c r="LR152" s="9" t="n">
        <v>0</v>
      </c>
      <c r="LT152" s="9" t="n">
        <v>0</v>
      </c>
      <c r="LU152" s="9" t="n">
        <v>0</v>
      </c>
      <c r="LY152" s="10" t="n">
        <v>46148</v>
      </c>
      <c r="MA152" s="9" t="n">
        <v>0</v>
      </c>
      <c r="MC152" s="9" t="n">
        <v>0</v>
      </c>
      <c r="MD152" s="9" t="n">
        <v>0</v>
      </c>
      <c r="MH152" s="10" t="n">
        <v>46148</v>
      </c>
      <c r="MJ152" s="9" t="n">
        <v>0</v>
      </c>
      <c r="ML152" s="9" t="n">
        <v>0</v>
      </c>
      <c r="MM152" s="9" t="n">
        <v>0</v>
      </c>
      <c r="MQ152" s="10" t="n">
        <v>46148</v>
      </c>
      <c r="MS152" s="9" t="n">
        <v>0</v>
      </c>
      <c r="MU152" s="9" t="n">
        <v>0</v>
      </c>
      <c r="MV152" s="9" t="n">
        <v>3903</v>
      </c>
      <c r="MZ152" s="10" t="n">
        <v>46148</v>
      </c>
      <c r="NA152" s="9" t="n">
        <v>240</v>
      </c>
      <c r="NB152" s="9" t="n">
        <v>114</v>
      </c>
      <c r="NC152" s="9" t="n">
        <v>240</v>
      </c>
      <c r="ND152" s="9" t="n">
        <v>-126</v>
      </c>
      <c r="NE152" s="9" t="n">
        <v>0</v>
      </c>
      <c r="NI152" s="10" t="n">
        <v>46148</v>
      </c>
      <c r="NK152" s="9" t="n">
        <v>0</v>
      </c>
      <c r="NM152" s="9" t="n">
        <v>0</v>
      </c>
      <c r="NN152" s="9" t="n">
        <v>1137</v>
      </c>
      <c r="NR152" s="10" t="n">
        <v>46148</v>
      </c>
      <c r="NT152" s="9" t="n">
        <v>0</v>
      </c>
      <c r="NV152" s="9" t="n">
        <v>0</v>
      </c>
      <c r="NW152" s="9" t="n">
        <v>3122.9</v>
      </c>
      <c r="OA152" s="10" t="n">
        <v>46148</v>
      </c>
      <c r="OC152" s="9" t="n">
        <v>0</v>
      </c>
      <c r="OE152" s="9" t="n">
        <v>0</v>
      </c>
      <c r="OF152" s="9" t="n">
        <v>1680.5</v>
      </c>
      <c r="OJ152" s="10" t="n">
        <v>46148</v>
      </c>
      <c r="OL152" s="9" t="n">
        <v>0</v>
      </c>
      <c r="ON152" s="9" t="n">
        <v>0</v>
      </c>
      <c r="OO152" s="9" t="n">
        <v>0</v>
      </c>
      <c r="OS152" s="10" t="n">
        <v>46148</v>
      </c>
      <c r="OU152" s="9" t="n">
        <v>0</v>
      </c>
      <c r="OW152" s="9" t="n">
        <v>0</v>
      </c>
      <c r="OX152" s="9" t="n">
        <v>982</v>
      </c>
      <c r="PB152" s="10" t="n">
        <v>46148</v>
      </c>
      <c r="PD152" s="9" t="n">
        <v>0</v>
      </c>
      <c r="PF152" s="9" t="n">
        <v>0</v>
      </c>
      <c r="PG152" s="9" t="n">
        <v>0</v>
      </c>
      <c r="PK152" s="10" t="n">
        <v>46148</v>
      </c>
      <c r="PM152" s="9" t="n">
        <v>0</v>
      </c>
      <c r="PO152" s="9" t="n">
        <v>0</v>
      </c>
      <c r="PP152" s="9" t="n">
        <v>100</v>
      </c>
      <c r="PT152" s="10" t="n">
        <v>46148</v>
      </c>
      <c r="PV152" s="9" t="n">
        <v>0</v>
      </c>
      <c r="PX152" s="9" t="n">
        <v>0</v>
      </c>
      <c r="PY152" s="9" t="n">
        <v>13.96000000000004</v>
      </c>
      <c r="QC152" s="10" t="n">
        <v>46148</v>
      </c>
      <c r="QE152" s="9" t="n">
        <v>152</v>
      </c>
      <c r="QF152" s="9" t="n">
        <v>320</v>
      </c>
      <c r="QG152" s="9" t="n">
        <v>-168</v>
      </c>
      <c r="QH152" s="9" t="n">
        <v>276</v>
      </c>
      <c r="QL152" s="10" t="n">
        <v>46148</v>
      </c>
      <c r="QN152" s="9" t="n">
        <v>0</v>
      </c>
      <c r="QP152" s="9" t="n">
        <v>0</v>
      </c>
      <c r="QQ152" s="9" t="n">
        <v>400</v>
      </c>
      <c r="QU152" s="10" t="n">
        <v>46148</v>
      </c>
      <c r="QW152" s="9" t="n">
        <v>0</v>
      </c>
      <c r="QY152" s="9" t="n">
        <v>0</v>
      </c>
      <c r="QZ152" s="9" t="n">
        <v>207.6</v>
      </c>
      <c r="RD152" s="10" t="n">
        <v>46148</v>
      </c>
      <c r="RF152" s="9" t="n">
        <v>0</v>
      </c>
      <c r="RH152" s="9" t="n">
        <v>0</v>
      </c>
      <c r="RI152" s="9" t="n">
        <v>147.04</v>
      </c>
      <c r="RM152" s="10" t="n">
        <v>46148</v>
      </c>
      <c r="RO152" s="9" t="n">
        <v>0</v>
      </c>
      <c r="RQ152" s="9" t="n">
        <v>0</v>
      </c>
      <c r="RR152" s="9" t="n">
        <v>46.8</v>
      </c>
      <c r="RV152" s="10" t="n">
        <v>46148</v>
      </c>
      <c r="RX152" s="9" t="n">
        <v>0</v>
      </c>
      <c r="RZ152" s="9" t="n">
        <v>0</v>
      </c>
      <c r="SA152" s="9" t="n">
        <v>0</v>
      </c>
      <c r="SE152" s="10" t="n">
        <v>46148</v>
      </c>
      <c r="SG152" s="9" t="n">
        <v>0</v>
      </c>
      <c r="SI152" s="9" t="n">
        <v>0</v>
      </c>
      <c r="SJ152" s="9" t="n">
        <v>24.2</v>
      </c>
      <c r="SN152" s="10" t="n">
        <v>46148</v>
      </c>
      <c r="SP152" s="9" t="n">
        <v>0</v>
      </c>
      <c r="SR152" s="9" t="n">
        <v>0</v>
      </c>
      <c r="SS152" s="9" t="n">
        <v>32</v>
      </c>
      <c r="SW152" s="10" t="n">
        <v>46148</v>
      </c>
      <c r="SY152" s="9" t="n">
        <v>0</v>
      </c>
      <c r="TA152" s="9" t="n">
        <v>0</v>
      </c>
      <c r="TB152" s="9" t="n">
        <v>0</v>
      </c>
      <c r="TF152" s="10" t="n">
        <v>46148</v>
      </c>
      <c r="TH152" s="9" t="n">
        <v>0</v>
      </c>
      <c r="TJ152" s="9" t="n">
        <v>0</v>
      </c>
      <c r="TK152" s="9" t="n">
        <v>0</v>
      </c>
      <c r="TO152" s="10" t="n">
        <v>46148</v>
      </c>
      <c r="TQ152" s="9" t="n">
        <v>0</v>
      </c>
      <c r="TS152" s="9" t="n">
        <v>0</v>
      </c>
      <c r="TT152" s="9" t="n">
        <v>0</v>
      </c>
      <c r="TX152" s="10" t="n">
        <v>46148</v>
      </c>
      <c r="TZ152" s="9" t="n">
        <v>0</v>
      </c>
      <c r="UB152" s="9" t="n">
        <v>0</v>
      </c>
      <c r="UC152" s="9" t="n">
        <v>0</v>
      </c>
      <c r="UG152" s="10" t="n">
        <v>46148</v>
      </c>
      <c r="UI152" s="9" t="n">
        <v>0</v>
      </c>
      <c r="UK152" s="9" t="n">
        <v>0</v>
      </c>
      <c r="UL152" s="9" t="n">
        <v>0</v>
      </c>
      <c r="UP152" s="10" t="n">
        <v>46148</v>
      </c>
      <c r="UR152" s="9" t="n">
        <v>0</v>
      </c>
      <c r="UT152" s="9" t="n">
        <v>0</v>
      </c>
      <c r="UU152" s="9" t="n">
        <v>0</v>
      </c>
      <c r="UY152" s="10" t="n">
        <v>46148</v>
      </c>
      <c r="VA152" s="9" t="n">
        <v>0</v>
      </c>
      <c r="VC152" s="9" t="n">
        <v>0</v>
      </c>
      <c r="VD152" s="9" t="n">
        <v>41.60000000000002</v>
      </c>
      <c r="VH152" s="10" t="n">
        <v>46148</v>
      </c>
      <c r="VJ152" s="9" t="n">
        <v>0</v>
      </c>
      <c r="VL152" s="9" t="n">
        <v>0</v>
      </c>
      <c r="VM152" s="9" t="n">
        <v>0</v>
      </c>
      <c r="VQ152" s="10" t="n">
        <v>46148</v>
      </c>
      <c r="VS152" s="9" t="n">
        <v>0</v>
      </c>
      <c r="VU152" s="9" t="n">
        <v>0</v>
      </c>
      <c r="VV152" s="9" t="n">
        <v>0</v>
      </c>
      <c r="VZ152" s="10" t="n">
        <v>46148</v>
      </c>
      <c r="WB152" s="9" t="n">
        <v>0</v>
      </c>
      <c r="WD152" s="9" t="n">
        <v>0</v>
      </c>
      <c r="WE152" s="9" t="n">
        <v>0</v>
      </c>
      <c r="WI152" s="10" t="n">
        <v>46148</v>
      </c>
      <c r="WK152" s="9" t="n">
        <v>0</v>
      </c>
      <c r="WM152" s="9" t="n">
        <v>0</v>
      </c>
      <c r="WN152" s="9" t="n">
        <v>2317</v>
      </c>
      <c r="WR152" s="10" t="n">
        <v>46148</v>
      </c>
      <c r="WT152" s="9" t="n">
        <v>0</v>
      </c>
      <c r="WV152" s="9" t="n">
        <v>0</v>
      </c>
      <c r="WW152" s="9" t="n">
        <v>776</v>
      </c>
      <c r="XA152" s="10" t="n">
        <v>46148</v>
      </c>
      <c r="XC152" s="9" t="n">
        <v>0</v>
      </c>
      <c r="XE152" s="9" t="n">
        <v>0</v>
      </c>
      <c r="XF152" s="9" t="n">
        <v>12453</v>
      </c>
      <c r="XJ152" s="10" t="n">
        <v>46148</v>
      </c>
      <c r="XL152" s="9" t="n">
        <v>0</v>
      </c>
      <c r="XN152" s="9" t="n">
        <v>0</v>
      </c>
      <c r="XO152" s="9" t="n">
        <v>1481</v>
      </c>
      <c r="XS152" s="10" t="n">
        <v>46148</v>
      </c>
      <c r="XU152" s="9" t="n">
        <v>0</v>
      </c>
      <c r="XW152" s="9" t="n">
        <v>0</v>
      </c>
      <c r="XX152" s="9" t="n">
        <v>1901</v>
      </c>
      <c r="YB152" s="10" t="n">
        <v>46148</v>
      </c>
      <c r="YD152" s="9" t="n">
        <v>0</v>
      </c>
      <c r="YF152" s="9" t="n">
        <v>0</v>
      </c>
      <c r="YG152" s="9" t="n">
        <v>6459</v>
      </c>
      <c r="YK152" s="10" t="n">
        <v>46148</v>
      </c>
      <c r="YM152" s="9" t="n">
        <v>0</v>
      </c>
      <c r="YO152" s="9" t="n">
        <v>0</v>
      </c>
      <c r="YP152" s="9" t="n">
        <v>0</v>
      </c>
      <c r="YT152" s="10" t="n">
        <v>46148</v>
      </c>
      <c r="YV152" s="9" t="n">
        <v>0</v>
      </c>
      <c r="YX152" s="9" t="n">
        <v>0</v>
      </c>
      <c r="YY152" s="9" t="n">
        <v>0</v>
      </c>
      <c r="ZC152" s="10" t="n">
        <v>46148</v>
      </c>
      <c r="ZE152" s="9" t="n">
        <v>0</v>
      </c>
      <c r="ZG152" s="9" t="n">
        <v>0</v>
      </c>
      <c r="ZH152" s="9" t="n">
        <v>0</v>
      </c>
      <c r="ZL152" s="10" t="n">
        <v>46148</v>
      </c>
      <c r="ZN152" s="9" t="n">
        <v>0</v>
      </c>
      <c r="ZP152" s="9" t="n">
        <v>0</v>
      </c>
      <c r="ZQ152" s="9" t="n">
        <v>0</v>
      </c>
      <c r="ZU152" s="10" t="n">
        <v>46148</v>
      </c>
      <c r="ZW152" s="9" t="n">
        <v>0</v>
      </c>
      <c r="ZY152" s="9" t="n">
        <v>0</v>
      </c>
      <c r="ZZ152" s="9" t="n">
        <v>0</v>
      </c>
      <c r="AAD152" s="10" t="n">
        <v>46148</v>
      </c>
      <c r="AAF152" s="9" t="n">
        <v>0</v>
      </c>
      <c r="AAH152" s="9" t="n">
        <v>0</v>
      </c>
      <c r="AAI152" s="9" t="n">
        <v>0</v>
      </c>
      <c r="AAM152" s="10" t="n">
        <v>46148</v>
      </c>
      <c r="AAO152" s="9" t="n">
        <v>0</v>
      </c>
      <c r="AAQ152" s="9" t="n">
        <v>0</v>
      </c>
      <c r="AAR152" s="9" t="n">
        <v>0</v>
      </c>
      <c r="AAV152" s="10" t="n">
        <v>46148</v>
      </c>
      <c r="AAX152" s="9" t="n">
        <v>0</v>
      </c>
      <c r="AAZ152" s="9" t="n">
        <v>0</v>
      </c>
      <c r="ABA152" s="9" t="n">
        <v>0</v>
      </c>
      <c r="ABE152" s="10" t="n">
        <v>46148</v>
      </c>
      <c r="ABG152" s="9" t="n">
        <v>0</v>
      </c>
      <c r="ABI152" s="9" t="n">
        <v>0</v>
      </c>
      <c r="ABJ152" s="9" t="n">
        <v>0</v>
      </c>
    </row>
    <row r="153">
      <c r="B153" s="9" t="n">
        <v>82</v>
      </c>
      <c r="C153" s="10" t="n">
        <v>46149</v>
      </c>
      <c r="D153" s="9" t="n">
        <v>49000</v>
      </c>
      <c r="E153" s="9" t="n">
        <v>45623.16</v>
      </c>
      <c r="F153" s="9" t="n">
        <v>45612.6</v>
      </c>
      <c r="G153" s="9" t="n">
        <v>10.55999999999767</v>
      </c>
      <c r="H153" s="9" t="n">
        <v>240721.6000000001</v>
      </c>
      <c r="I153" s="9" t="inlineStr">
        <is>
          <t>8102 82mt</t>
        </is>
      </c>
      <c r="L153" s="10" t="n">
        <v>46149</v>
      </c>
      <c r="M153" s="9" t="n">
        <v>30430</v>
      </c>
      <c r="N153" s="9" t="n">
        <v>26010.4</v>
      </c>
      <c r="O153" s="9" t="n">
        <v>26008.8</v>
      </c>
      <c r="P153" s="9" t="n">
        <v>1.599999999998545</v>
      </c>
      <c r="Q153" s="9" t="n">
        <v>43870.60000000009</v>
      </c>
      <c r="U153" s="10" t="n">
        <v>46149</v>
      </c>
      <c r="W153" s="9" t="n">
        <v>4100</v>
      </c>
      <c r="X153" s="9" t="n">
        <v>4100.7</v>
      </c>
      <c r="Y153" s="9" t="n">
        <v>-0.6999999999998181</v>
      </c>
      <c r="Z153" s="9" t="n">
        <v>12763.69999999997</v>
      </c>
      <c r="AD153" s="10" t="n">
        <v>46149</v>
      </c>
      <c r="AF153" s="9" t="n">
        <v>0</v>
      </c>
      <c r="AH153" s="9" t="n">
        <v>0</v>
      </c>
      <c r="AI153" s="9" t="n">
        <v>3029.600000000018</v>
      </c>
      <c r="AM153" s="10" t="n">
        <v>46149</v>
      </c>
      <c r="AO153" s="9" t="n">
        <v>0</v>
      </c>
      <c r="AQ153" s="9" t="n">
        <v>0</v>
      </c>
      <c r="AR153" s="9" t="n">
        <v>0</v>
      </c>
      <c r="AV153" s="10" t="n">
        <v>46149</v>
      </c>
      <c r="AX153" s="9" t="n">
        <v>0</v>
      </c>
      <c r="AZ153" s="9" t="n">
        <v>0</v>
      </c>
      <c r="BA153" s="9" t="n">
        <v>36610.89999999999</v>
      </c>
      <c r="BE153" s="10" t="n">
        <v>46149</v>
      </c>
      <c r="BG153" s="9" t="n">
        <v>1599</v>
      </c>
      <c r="BH153" s="9" t="n">
        <v>1600.3</v>
      </c>
      <c r="BI153" s="9" t="n">
        <v>-1.299999999999955</v>
      </c>
      <c r="BJ153" s="9" t="n">
        <v>22134.39999999999</v>
      </c>
      <c r="BN153" s="10" t="n">
        <v>46149</v>
      </c>
      <c r="BO153" s="9" t="n">
        <v>1927</v>
      </c>
      <c r="BP153" s="9" t="n">
        <v>1927</v>
      </c>
      <c r="BQ153" s="9" t="n">
        <v>1927</v>
      </c>
      <c r="BR153" s="9" t="n">
        <v>0</v>
      </c>
      <c r="BS153" s="9" t="n">
        <v>0</v>
      </c>
      <c r="BW153" s="10" t="n">
        <v>46149</v>
      </c>
      <c r="BY153" s="9" t="n">
        <v>0</v>
      </c>
      <c r="CA153" s="9" t="n">
        <v>0</v>
      </c>
      <c r="CB153" s="9" t="n">
        <v>5848.799999999999</v>
      </c>
      <c r="CF153" s="10" t="n">
        <v>46149</v>
      </c>
      <c r="CH153" s="9" t="n">
        <v>526.4399999999999</v>
      </c>
      <c r="CJ153" s="9" t="n">
        <v>526.4399999999999</v>
      </c>
      <c r="CK153" s="9" t="n">
        <v>0</v>
      </c>
      <c r="CO153" s="10" t="n">
        <v>46149</v>
      </c>
      <c r="CQ153" s="9" t="n">
        <v>0</v>
      </c>
      <c r="CS153" s="9" t="n">
        <v>0</v>
      </c>
      <c r="CT153" s="9" t="n">
        <v>0</v>
      </c>
      <c r="CX153" s="10" t="n">
        <v>46149</v>
      </c>
      <c r="CZ153" s="9" t="n">
        <v>0</v>
      </c>
      <c r="DB153" s="9" t="n">
        <v>0</v>
      </c>
      <c r="DC153" s="9" t="n">
        <v>21657</v>
      </c>
      <c r="DG153" s="10" t="n">
        <v>46149</v>
      </c>
      <c r="DI153" s="9" t="n">
        <v>0</v>
      </c>
      <c r="DK153" s="9" t="n">
        <v>0</v>
      </c>
      <c r="DL153" s="9" t="n">
        <v>40938.49999999999</v>
      </c>
      <c r="DP153" s="10" t="n">
        <v>46149</v>
      </c>
      <c r="DR153" s="9" t="n">
        <v>0</v>
      </c>
      <c r="DT153" s="9" t="n">
        <v>0</v>
      </c>
      <c r="DU153" s="9" t="n">
        <v>5800</v>
      </c>
      <c r="DY153" s="10" t="n">
        <v>46149</v>
      </c>
      <c r="EA153" s="9" t="n">
        <v>0</v>
      </c>
      <c r="EC153" s="9" t="n">
        <v>0</v>
      </c>
      <c r="ED153" s="9" t="n">
        <v>0</v>
      </c>
      <c r="EH153" s="10" t="n">
        <v>46149</v>
      </c>
      <c r="EJ153" s="9" t="n">
        <v>0</v>
      </c>
      <c r="EL153" s="9" t="n">
        <v>0</v>
      </c>
      <c r="EM153" s="9" t="n">
        <v>0</v>
      </c>
      <c r="EQ153" s="10" t="n">
        <v>46149</v>
      </c>
      <c r="ES153" s="9" t="n">
        <v>0</v>
      </c>
      <c r="EU153" s="9" t="n">
        <v>0</v>
      </c>
      <c r="EV153" s="9" t="n">
        <v>0</v>
      </c>
      <c r="EZ153" s="10" t="n">
        <v>46149</v>
      </c>
      <c r="FB153" s="9" t="n">
        <v>0</v>
      </c>
      <c r="FD153" s="9" t="n">
        <v>0</v>
      </c>
      <c r="FE153" s="9" t="n">
        <v>0</v>
      </c>
      <c r="FI153" s="10" t="n">
        <v>46149</v>
      </c>
      <c r="FK153" s="9" t="n">
        <v>0</v>
      </c>
      <c r="FM153" s="9" t="n">
        <v>0</v>
      </c>
      <c r="FN153" s="9" t="n">
        <v>0</v>
      </c>
      <c r="FR153" s="10" t="n">
        <v>46149</v>
      </c>
      <c r="FT153" s="9" t="n">
        <v>0</v>
      </c>
      <c r="FV153" s="9" t="n">
        <v>0</v>
      </c>
      <c r="FW153" s="9" t="n">
        <v>2120</v>
      </c>
      <c r="GA153" s="10" t="n">
        <v>46149</v>
      </c>
      <c r="GC153" s="9" t="n">
        <v>0</v>
      </c>
      <c r="GE153" s="9" t="n">
        <v>0</v>
      </c>
      <c r="GF153" s="9" t="n">
        <v>3640</v>
      </c>
      <c r="GJ153" s="10" t="n">
        <v>46149</v>
      </c>
      <c r="GL153" s="9" t="n">
        <v>0</v>
      </c>
      <c r="GN153" s="9" t="n">
        <v>0</v>
      </c>
      <c r="GO153" s="9" t="n">
        <v>2080</v>
      </c>
      <c r="GS153" s="10" t="n">
        <v>46149</v>
      </c>
      <c r="GU153" s="9" t="n">
        <v>0</v>
      </c>
      <c r="GW153" s="9" t="n">
        <v>0</v>
      </c>
      <c r="GX153" s="9" t="n">
        <v>0</v>
      </c>
      <c r="HB153" s="10" t="n">
        <v>46149</v>
      </c>
      <c r="HD153" s="9" t="n">
        <v>0</v>
      </c>
      <c r="HF153" s="9" t="n">
        <v>0</v>
      </c>
      <c r="HG153" s="9" t="n">
        <v>0</v>
      </c>
      <c r="HK153" s="10" t="n">
        <v>46149</v>
      </c>
      <c r="HM153" s="9" t="n">
        <v>0</v>
      </c>
      <c r="HO153" s="9" t="n">
        <v>0</v>
      </c>
      <c r="HP153" s="9" t="n">
        <v>0</v>
      </c>
      <c r="HU153" s="10" t="n">
        <v>46149</v>
      </c>
      <c r="HW153" s="9" t="n">
        <v>0</v>
      </c>
      <c r="HY153" s="9" t="n">
        <v>0</v>
      </c>
      <c r="HZ153" s="9" t="n">
        <v>6360</v>
      </c>
      <c r="ID153" s="10" t="n">
        <v>46149</v>
      </c>
      <c r="IF153" s="9" t="n">
        <v>0</v>
      </c>
      <c r="IH153" s="9" t="n">
        <v>0</v>
      </c>
      <c r="II153" s="9" t="n">
        <v>6540</v>
      </c>
      <c r="IM153" s="10" t="n">
        <v>46149</v>
      </c>
      <c r="IO153" s="9" t="n">
        <v>0</v>
      </c>
      <c r="IQ153" s="9" t="n">
        <v>0</v>
      </c>
      <c r="IR153" s="9" t="n">
        <v>11540</v>
      </c>
      <c r="IV153" s="10" t="n">
        <v>46149</v>
      </c>
      <c r="IX153" s="9" t="n">
        <v>0</v>
      </c>
      <c r="IZ153" s="9" t="n">
        <v>0</v>
      </c>
      <c r="JA153" s="9" t="n">
        <v>15120</v>
      </c>
      <c r="JE153" s="10" t="n">
        <v>46149</v>
      </c>
      <c r="JG153" s="9" t="n">
        <v>1640</v>
      </c>
      <c r="JI153" s="9" t="n">
        <v>1640</v>
      </c>
      <c r="JJ153" s="9" t="n">
        <v>360</v>
      </c>
      <c r="JN153" s="10" t="n">
        <v>46149</v>
      </c>
      <c r="JP153" s="9" t="n">
        <v>0</v>
      </c>
      <c r="JR153" s="9" t="n">
        <v>0</v>
      </c>
      <c r="JS153" s="9" t="n">
        <v>9100</v>
      </c>
      <c r="JW153" s="10" t="n">
        <v>46149</v>
      </c>
      <c r="JY153" s="9" t="n">
        <v>0</v>
      </c>
      <c r="KA153" s="9" t="n">
        <v>0</v>
      </c>
      <c r="KB153" s="9" t="n">
        <v>2540</v>
      </c>
      <c r="KF153" s="10" t="n">
        <v>46149</v>
      </c>
      <c r="KH153" s="9" t="n">
        <v>0</v>
      </c>
      <c r="KJ153" s="9" t="n">
        <v>0</v>
      </c>
      <c r="KK153" s="9" t="n">
        <v>2359.5</v>
      </c>
      <c r="KO153" s="10" t="n">
        <v>46149</v>
      </c>
      <c r="KQ153" s="9" t="n">
        <v>0</v>
      </c>
      <c r="KS153" s="9" t="n">
        <v>0</v>
      </c>
      <c r="KT153" s="9" t="n">
        <v>2079</v>
      </c>
      <c r="KX153" s="10" t="n">
        <v>46149</v>
      </c>
      <c r="KZ153" s="9" t="n">
        <v>0</v>
      </c>
      <c r="LB153" s="9" t="n">
        <v>0</v>
      </c>
      <c r="LC153" s="9" t="n">
        <v>3690</v>
      </c>
      <c r="LG153" s="10" t="n">
        <v>46149</v>
      </c>
      <c r="LI153" s="9" t="n">
        <v>0</v>
      </c>
      <c r="LK153" s="9" t="n">
        <v>0</v>
      </c>
      <c r="LL153" s="9" t="n">
        <v>4000</v>
      </c>
      <c r="LP153" s="10" t="n">
        <v>46149</v>
      </c>
      <c r="LR153" s="9" t="n">
        <v>0</v>
      </c>
      <c r="LT153" s="9" t="n">
        <v>0</v>
      </c>
      <c r="LU153" s="9" t="n">
        <v>0</v>
      </c>
      <c r="LY153" s="10" t="n">
        <v>46149</v>
      </c>
      <c r="MA153" s="9" t="n">
        <v>0</v>
      </c>
      <c r="MC153" s="9" t="n">
        <v>0</v>
      </c>
      <c r="MD153" s="9" t="n">
        <v>0</v>
      </c>
      <c r="MH153" s="10" t="n">
        <v>46149</v>
      </c>
      <c r="MJ153" s="9" t="n">
        <v>0</v>
      </c>
      <c r="ML153" s="9" t="n">
        <v>0</v>
      </c>
      <c r="MM153" s="9" t="n">
        <v>0</v>
      </c>
      <c r="MQ153" s="10" t="n">
        <v>46149</v>
      </c>
      <c r="MS153" s="9" t="n">
        <v>0</v>
      </c>
      <c r="MU153" s="9" t="n">
        <v>0</v>
      </c>
      <c r="MV153" s="9" t="n">
        <v>3903</v>
      </c>
      <c r="MZ153" s="10" t="n">
        <v>46149</v>
      </c>
      <c r="NB153" s="9" t="n">
        <v>246</v>
      </c>
      <c r="ND153" s="9" t="n">
        <v>246</v>
      </c>
      <c r="NE153" s="9" t="n">
        <v>0</v>
      </c>
      <c r="NI153" s="10" t="n">
        <v>46149</v>
      </c>
      <c r="NK153" s="9" t="n">
        <v>0</v>
      </c>
      <c r="NM153" s="9" t="n">
        <v>0</v>
      </c>
      <c r="NN153" s="9" t="n">
        <v>1137</v>
      </c>
      <c r="NR153" s="10" t="n">
        <v>46149</v>
      </c>
      <c r="NT153" s="9" t="n">
        <v>0</v>
      </c>
      <c r="NV153" s="9" t="n">
        <v>0</v>
      </c>
      <c r="NW153" s="9" t="n">
        <v>3122.9</v>
      </c>
      <c r="OA153" s="10" t="n">
        <v>46149</v>
      </c>
      <c r="OC153" s="9" t="n">
        <v>0</v>
      </c>
      <c r="OE153" s="9" t="n">
        <v>0</v>
      </c>
      <c r="OF153" s="9" t="n">
        <v>1680.5</v>
      </c>
      <c r="OJ153" s="10" t="n">
        <v>46149</v>
      </c>
      <c r="OL153" s="9" t="n">
        <v>0</v>
      </c>
      <c r="ON153" s="9" t="n">
        <v>0</v>
      </c>
      <c r="OO153" s="9" t="n">
        <v>0</v>
      </c>
      <c r="OS153" s="10" t="n">
        <v>46149</v>
      </c>
      <c r="OU153" s="9" t="n">
        <v>0</v>
      </c>
      <c r="OW153" s="9" t="n">
        <v>0</v>
      </c>
      <c r="OX153" s="9" t="n">
        <v>982</v>
      </c>
      <c r="PB153" s="10" t="n">
        <v>46149</v>
      </c>
      <c r="PD153" s="9" t="n">
        <v>0</v>
      </c>
      <c r="PF153" s="9" t="n">
        <v>0</v>
      </c>
      <c r="PG153" s="9" t="n">
        <v>0</v>
      </c>
      <c r="PK153" s="10" t="n">
        <v>46149</v>
      </c>
      <c r="PM153" s="9" t="n">
        <v>0</v>
      </c>
      <c r="PO153" s="9" t="n">
        <v>0</v>
      </c>
      <c r="PP153" s="9" t="n">
        <v>100</v>
      </c>
      <c r="PT153" s="10" t="n">
        <v>46149</v>
      </c>
      <c r="PV153" s="9" t="n">
        <v>0</v>
      </c>
      <c r="PX153" s="9" t="n">
        <v>0</v>
      </c>
      <c r="PY153" s="9" t="n">
        <v>13.96000000000004</v>
      </c>
      <c r="QC153" s="10" t="n">
        <v>46149</v>
      </c>
      <c r="QE153" s="9" t="n">
        <v>328</v>
      </c>
      <c r="QG153" s="9" t="n">
        <v>328</v>
      </c>
      <c r="QH153" s="9" t="n">
        <v>276</v>
      </c>
      <c r="QL153" s="10" t="n">
        <v>46149</v>
      </c>
      <c r="QN153" s="9" t="n">
        <v>0</v>
      </c>
      <c r="QP153" s="9" t="n">
        <v>0</v>
      </c>
      <c r="QQ153" s="9" t="n">
        <v>400</v>
      </c>
      <c r="QU153" s="10" t="n">
        <v>46149</v>
      </c>
      <c r="QW153" s="9" t="n">
        <v>0</v>
      </c>
      <c r="QY153" s="9" t="n">
        <v>0</v>
      </c>
      <c r="QZ153" s="9" t="n">
        <v>207.6</v>
      </c>
      <c r="RD153" s="10" t="n">
        <v>46149</v>
      </c>
      <c r="RF153" s="9" t="n">
        <v>0</v>
      </c>
      <c r="RH153" s="9" t="n">
        <v>0</v>
      </c>
      <c r="RI153" s="9" t="n">
        <v>147.04</v>
      </c>
      <c r="RM153" s="10" t="n">
        <v>46149</v>
      </c>
      <c r="RO153" s="9" t="n">
        <v>0</v>
      </c>
      <c r="RQ153" s="9" t="n">
        <v>0</v>
      </c>
      <c r="RR153" s="9" t="n">
        <v>46.8</v>
      </c>
      <c r="RV153" s="10" t="n">
        <v>46149</v>
      </c>
      <c r="RX153" s="9" t="n">
        <v>0</v>
      </c>
      <c r="RZ153" s="9" t="n">
        <v>0</v>
      </c>
      <c r="SA153" s="9" t="n">
        <v>0</v>
      </c>
      <c r="SE153" s="10" t="n">
        <v>46149</v>
      </c>
      <c r="SG153" s="9" t="n">
        <v>0</v>
      </c>
      <c r="SI153" s="9" t="n">
        <v>0</v>
      </c>
      <c r="SJ153" s="9" t="n">
        <v>24.2</v>
      </c>
      <c r="SN153" s="10" t="n">
        <v>46149</v>
      </c>
      <c r="SP153" s="9" t="n">
        <v>0</v>
      </c>
      <c r="SR153" s="9" t="n">
        <v>0</v>
      </c>
      <c r="SS153" s="9" t="n">
        <v>32</v>
      </c>
      <c r="SW153" s="10" t="n">
        <v>46149</v>
      </c>
      <c r="SY153" s="9" t="n">
        <v>0</v>
      </c>
      <c r="TA153" s="9" t="n">
        <v>0</v>
      </c>
      <c r="TB153" s="9" t="n">
        <v>0</v>
      </c>
      <c r="TF153" s="10" t="n">
        <v>46149</v>
      </c>
      <c r="TH153" s="9" t="n">
        <v>0</v>
      </c>
      <c r="TJ153" s="9" t="n">
        <v>0</v>
      </c>
      <c r="TK153" s="9" t="n">
        <v>0</v>
      </c>
      <c r="TO153" s="10" t="n">
        <v>46149</v>
      </c>
      <c r="TQ153" s="9" t="n">
        <v>0</v>
      </c>
      <c r="TS153" s="9" t="n">
        <v>0</v>
      </c>
      <c r="TT153" s="9" t="n">
        <v>0</v>
      </c>
      <c r="TX153" s="10" t="n">
        <v>46149</v>
      </c>
      <c r="TZ153" s="9" t="n">
        <v>0</v>
      </c>
      <c r="UB153" s="9" t="n">
        <v>0</v>
      </c>
      <c r="UC153" s="9" t="n">
        <v>0</v>
      </c>
      <c r="UG153" s="10" t="n">
        <v>46149</v>
      </c>
      <c r="UI153" s="9" t="n">
        <v>0</v>
      </c>
      <c r="UK153" s="9" t="n">
        <v>0</v>
      </c>
      <c r="UL153" s="9" t="n">
        <v>0</v>
      </c>
      <c r="UP153" s="10" t="n">
        <v>46149</v>
      </c>
      <c r="UR153" s="9" t="n">
        <v>0</v>
      </c>
      <c r="UT153" s="9" t="n">
        <v>0</v>
      </c>
      <c r="UU153" s="9" t="n">
        <v>0</v>
      </c>
      <c r="UY153" s="10" t="n">
        <v>46149</v>
      </c>
      <c r="VA153" s="9" t="n">
        <v>0</v>
      </c>
      <c r="VC153" s="9" t="n">
        <v>0</v>
      </c>
      <c r="VD153" s="9" t="n">
        <v>41.60000000000002</v>
      </c>
      <c r="VH153" s="10" t="n">
        <v>46149</v>
      </c>
      <c r="VJ153" s="9" t="n">
        <v>0</v>
      </c>
      <c r="VL153" s="9" t="n">
        <v>0</v>
      </c>
      <c r="VM153" s="9" t="n">
        <v>0</v>
      </c>
      <c r="VQ153" s="10" t="n">
        <v>46149</v>
      </c>
      <c r="VS153" s="9" t="n">
        <v>0</v>
      </c>
      <c r="VU153" s="9" t="n">
        <v>0</v>
      </c>
      <c r="VV153" s="9" t="n">
        <v>0</v>
      </c>
      <c r="VZ153" s="10" t="n">
        <v>46149</v>
      </c>
      <c r="WB153" s="9" t="n">
        <v>0</v>
      </c>
      <c r="WD153" s="9" t="n">
        <v>0</v>
      </c>
      <c r="WE153" s="9" t="n">
        <v>0</v>
      </c>
      <c r="WI153" s="10" t="n">
        <v>46149</v>
      </c>
      <c r="WK153" s="9" t="n">
        <v>0</v>
      </c>
      <c r="WM153" s="9" t="n">
        <v>0</v>
      </c>
      <c r="WN153" s="9" t="n">
        <v>2317</v>
      </c>
      <c r="WR153" s="10" t="n">
        <v>46149</v>
      </c>
      <c r="WT153" s="9" t="n">
        <v>0</v>
      </c>
      <c r="WV153" s="9" t="n">
        <v>0</v>
      </c>
      <c r="WW153" s="9" t="n">
        <v>776</v>
      </c>
      <c r="XA153" s="10" t="n">
        <v>46149</v>
      </c>
      <c r="XC153" s="9" t="n">
        <v>0</v>
      </c>
      <c r="XE153" s="9" t="n">
        <v>0</v>
      </c>
      <c r="XF153" s="9" t="n">
        <v>12453</v>
      </c>
      <c r="XJ153" s="10" t="n">
        <v>46149</v>
      </c>
      <c r="XL153" s="9" t="n">
        <v>0</v>
      </c>
      <c r="XN153" s="9" t="n">
        <v>0</v>
      </c>
      <c r="XO153" s="9" t="n">
        <v>1481</v>
      </c>
      <c r="XS153" s="10" t="n">
        <v>46149</v>
      </c>
      <c r="XU153" s="9" t="n">
        <v>0</v>
      </c>
      <c r="XW153" s="9" t="n">
        <v>0</v>
      </c>
      <c r="XX153" s="9" t="n">
        <v>1901</v>
      </c>
      <c r="YB153" s="10" t="n">
        <v>46149</v>
      </c>
      <c r="YD153" s="9" t="n">
        <v>0</v>
      </c>
      <c r="YF153" s="9" t="n">
        <v>0</v>
      </c>
      <c r="YG153" s="9" t="n">
        <v>6459</v>
      </c>
      <c r="YK153" s="10" t="n">
        <v>46149</v>
      </c>
      <c r="YM153" s="9" t="n">
        <v>0</v>
      </c>
      <c r="YO153" s="9" t="n">
        <v>0</v>
      </c>
      <c r="YP153" s="9" t="n">
        <v>0</v>
      </c>
      <c r="YT153" s="10" t="n">
        <v>46149</v>
      </c>
      <c r="YV153" s="9" t="n">
        <v>0</v>
      </c>
      <c r="YX153" s="9" t="n">
        <v>0</v>
      </c>
      <c r="YY153" s="9" t="n">
        <v>0</v>
      </c>
      <c r="ZC153" s="10" t="n">
        <v>46149</v>
      </c>
      <c r="ZE153" s="9" t="n">
        <v>0</v>
      </c>
      <c r="ZG153" s="9" t="n">
        <v>0</v>
      </c>
      <c r="ZH153" s="9" t="n">
        <v>0</v>
      </c>
      <c r="ZL153" s="10" t="n">
        <v>46149</v>
      </c>
      <c r="ZN153" s="9" t="n">
        <v>0</v>
      </c>
      <c r="ZP153" s="9" t="n">
        <v>0</v>
      </c>
      <c r="ZQ153" s="9" t="n">
        <v>0</v>
      </c>
      <c r="ZU153" s="10" t="n">
        <v>46149</v>
      </c>
      <c r="ZW153" s="9" t="n">
        <v>0</v>
      </c>
      <c r="ZY153" s="9" t="n">
        <v>0</v>
      </c>
      <c r="ZZ153" s="9" t="n">
        <v>0</v>
      </c>
      <c r="AAD153" s="10" t="n">
        <v>46149</v>
      </c>
      <c r="AAF153" s="9" t="n">
        <v>0</v>
      </c>
      <c r="AAH153" s="9" t="n">
        <v>0</v>
      </c>
      <c r="AAI153" s="9" t="n">
        <v>0</v>
      </c>
      <c r="AAM153" s="10" t="n">
        <v>46149</v>
      </c>
      <c r="AAO153" s="9" t="n">
        <v>0</v>
      </c>
      <c r="AAQ153" s="9" t="n">
        <v>0</v>
      </c>
      <c r="AAR153" s="9" t="n">
        <v>0</v>
      </c>
      <c r="AAV153" s="10" t="n">
        <v>46149</v>
      </c>
      <c r="AAX153" s="9" t="n">
        <v>0</v>
      </c>
      <c r="AAZ153" s="9" t="n">
        <v>0</v>
      </c>
      <c r="ABA153" s="9" t="n">
        <v>0</v>
      </c>
      <c r="ABE153" s="10" t="n">
        <v>46149</v>
      </c>
      <c r="ABG153" s="9" t="n">
        <v>0</v>
      </c>
      <c r="ABI153" s="9" t="n">
        <v>0</v>
      </c>
      <c r="ABJ153" s="9" t="n">
        <v>0</v>
      </c>
    </row>
    <row r="154">
      <c r="B154" s="9" t="n">
        <v>72</v>
      </c>
      <c r="C154" s="10" t="n">
        <v>46150</v>
      </c>
      <c r="E154" s="9" t="n">
        <v>40032.36</v>
      </c>
      <c r="F154" s="9" t="n">
        <v>40013.2</v>
      </c>
      <c r="G154" s="9" t="n">
        <v>19.15999999999622</v>
      </c>
      <c r="H154" s="9" t="n">
        <v>200708.4000000001</v>
      </c>
      <c r="I154" s="9" t="inlineStr">
        <is>
          <t>8102 18mt, 20mt, 32mt, 2mt</t>
        </is>
      </c>
      <c r="L154" s="10" t="n">
        <v>46150</v>
      </c>
      <c r="N154" s="9" t="n">
        <v>22838.4</v>
      </c>
      <c r="O154" s="9" t="n">
        <v>22842.2</v>
      </c>
      <c r="P154" s="9" t="n">
        <v>-3.799999999999272</v>
      </c>
      <c r="Q154" s="9" t="n">
        <v>21028.4000000001</v>
      </c>
      <c r="U154" s="10" t="n">
        <v>46150</v>
      </c>
      <c r="V154" s="9" t="n">
        <v>30150</v>
      </c>
      <c r="W154" s="9" t="n">
        <v>3600</v>
      </c>
      <c r="X154" s="9" t="n">
        <v>3600.3</v>
      </c>
      <c r="Y154" s="9" t="n">
        <v>-0.3000000000001819</v>
      </c>
      <c r="Z154" s="9" t="n">
        <v>39313.39999999997</v>
      </c>
      <c r="AD154" s="10" t="n">
        <v>46150</v>
      </c>
      <c r="AF154" s="9" t="n">
        <v>0</v>
      </c>
      <c r="AH154" s="9" t="n">
        <v>0</v>
      </c>
      <c r="AI154" s="9" t="n">
        <v>3029.600000000018</v>
      </c>
      <c r="AM154" s="10" t="n">
        <v>46150</v>
      </c>
      <c r="AO154" s="9" t="n">
        <v>0</v>
      </c>
      <c r="AQ154" s="9" t="n">
        <v>0</v>
      </c>
      <c r="AR154" s="9" t="n">
        <v>0</v>
      </c>
      <c r="AV154" s="10" t="n">
        <v>46150</v>
      </c>
      <c r="AX154" s="9" t="n">
        <v>0</v>
      </c>
      <c r="AZ154" s="9" t="n">
        <v>0</v>
      </c>
      <c r="BA154" s="9" t="n">
        <v>36610.89999999999</v>
      </c>
      <c r="BE154" s="10" t="n">
        <v>46150</v>
      </c>
      <c r="BG154" s="9" t="n">
        <v>1404</v>
      </c>
      <c r="BH154" s="9" t="n">
        <v>1406.6</v>
      </c>
      <c r="BI154" s="9" t="n">
        <v>-2.600000000000136</v>
      </c>
      <c r="BJ154" s="9" t="n">
        <v>20727.79999999999</v>
      </c>
      <c r="BN154" s="10" t="n">
        <v>46150</v>
      </c>
      <c r="BO154" s="9" t="n">
        <v>1692</v>
      </c>
      <c r="BP154" s="9" t="n">
        <v>1692</v>
      </c>
      <c r="BQ154" s="9" t="n">
        <v>1692</v>
      </c>
      <c r="BR154" s="9" t="n">
        <v>0</v>
      </c>
      <c r="BS154" s="9" t="n">
        <v>0</v>
      </c>
      <c r="BW154" s="10" t="n">
        <v>46150</v>
      </c>
      <c r="BY154" s="9" t="n">
        <v>0</v>
      </c>
      <c r="BZ154" s="9" t="n">
        <v>15</v>
      </c>
      <c r="CA154" s="9" t="n">
        <v>-15</v>
      </c>
      <c r="CB154" s="9" t="n">
        <v>5833.799999999999</v>
      </c>
      <c r="CF154" s="10" t="n">
        <v>46150</v>
      </c>
      <c r="CG154" s="9" t="n">
        <v>1542.6</v>
      </c>
      <c r="CH154" s="9" t="n">
        <v>462.24</v>
      </c>
      <c r="CI154" s="9" t="n">
        <v>1542.6</v>
      </c>
      <c r="CJ154" s="9" t="n">
        <v>-1080.36</v>
      </c>
      <c r="CK154" s="9" t="n">
        <v>0</v>
      </c>
      <c r="CO154" s="10" t="n">
        <v>46150</v>
      </c>
      <c r="CQ154" s="9" t="n">
        <v>0</v>
      </c>
      <c r="CS154" s="9" t="n">
        <v>0</v>
      </c>
      <c r="CT154" s="9" t="n">
        <v>0</v>
      </c>
      <c r="CX154" s="10" t="n">
        <v>46150</v>
      </c>
      <c r="CZ154" s="9" t="n">
        <v>0</v>
      </c>
      <c r="DB154" s="9" t="n">
        <v>0</v>
      </c>
      <c r="DC154" s="9" t="n">
        <v>21657</v>
      </c>
      <c r="DG154" s="10" t="n">
        <v>46150</v>
      </c>
      <c r="DI154" s="9" t="n">
        <v>0</v>
      </c>
      <c r="DK154" s="9" t="n">
        <v>0</v>
      </c>
      <c r="DL154" s="9" t="n">
        <v>40938.49999999999</v>
      </c>
      <c r="DP154" s="10" t="n">
        <v>46150</v>
      </c>
      <c r="DR154" s="9" t="n">
        <v>0</v>
      </c>
      <c r="DT154" s="9" t="n">
        <v>0</v>
      </c>
      <c r="DU154" s="9" t="n">
        <v>5800</v>
      </c>
      <c r="DY154" s="10" t="n">
        <v>46150</v>
      </c>
      <c r="EA154" s="9" t="n">
        <v>0</v>
      </c>
      <c r="EC154" s="9" t="n">
        <v>0</v>
      </c>
      <c r="ED154" s="9" t="n">
        <v>0</v>
      </c>
      <c r="EH154" s="10" t="n">
        <v>46150</v>
      </c>
      <c r="EJ154" s="9" t="n">
        <v>0</v>
      </c>
      <c r="EL154" s="9" t="n">
        <v>0</v>
      </c>
      <c r="EM154" s="9" t="n">
        <v>0</v>
      </c>
      <c r="EQ154" s="10" t="n">
        <v>46150</v>
      </c>
      <c r="ES154" s="9" t="n">
        <v>0</v>
      </c>
      <c r="EU154" s="9" t="n">
        <v>0</v>
      </c>
      <c r="EV154" s="9" t="n">
        <v>0</v>
      </c>
      <c r="EZ154" s="10" t="n">
        <v>46150</v>
      </c>
      <c r="FB154" s="9" t="n">
        <v>0</v>
      </c>
      <c r="FD154" s="9" t="n">
        <v>0</v>
      </c>
      <c r="FE154" s="9" t="n">
        <v>0</v>
      </c>
      <c r="FI154" s="10" t="n">
        <v>46150</v>
      </c>
      <c r="FK154" s="9" t="n">
        <v>0</v>
      </c>
      <c r="FM154" s="9" t="n">
        <v>0</v>
      </c>
      <c r="FN154" s="9" t="n">
        <v>0</v>
      </c>
      <c r="FR154" s="10" t="n">
        <v>46150</v>
      </c>
      <c r="FT154" s="9" t="n">
        <v>0</v>
      </c>
      <c r="FV154" s="9" t="n">
        <v>0</v>
      </c>
      <c r="FW154" s="9" t="n">
        <v>2120</v>
      </c>
      <c r="GA154" s="10" t="n">
        <v>46150</v>
      </c>
      <c r="GC154" s="9" t="n">
        <v>0</v>
      </c>
      <c r="GE154" s="9" t="n">
        <v>0</v>
      </c>
      <c r="GF154" s="9" t="n">
        <v>3640</v>
      </c>
      <c r="GJ154" s="10" t="n">
        <v>46150</v>
      </c>
      <c r="GL154" s="9" t="n">
        <v>0</v>
      </c>
      <c r="GM154" s="9" t="n">
        <v>2080</v>
      </c>
      <c r="GN154" s="9" t="n">
        <v>-2080</v>
      </c>
      <c r="GO154" s="9" t="n">
        <v>0</v>
      </c>
      <c r="GP154" s="9" t="n">
        <v>104</v>
      </c>
      <c r="GS154" s="10" t="n">
        <v>46150</v>
      </c>
      <c r="GU154" s="9" t="n">
        <v>0</v>
      </c>
      <c r="GW154" s="9" t="n">
        <v>0</v>
      </c>
      <c r="GX154" s="9" t="n">
        <v>0</v>
      </c>
      <c r="HB154" s="10" t="n">
        <v>46150</v>
      </c>
      <c r="HD154" s="9" t="n">
        <v>0</v>
      </c>
      <c r="HF154" s="9" t="n">
        <v>0</v>
      </c>
      <c r="HG154" s="9" t="n">
        <v>0</v>
      </c>
      <c r="HK154" s="10" t="n">
        <v>46150</v>
      </c>
      <c r="HM154" s="9" t="n">
        <v>0</v>
      </c>
      <c r="HO154" s="9" t="n">
        <v>0</v>
      </c>
      <c r="HP154" s="9" t="n">
        <v>0</v>
      </c>
      <c r="HU154" s="10" t="n">
        <v>46150</v>
      </c>
      <c r="HW154" s="9" t="n">
        <v>0</v>
      </c>
      <c r="HX154" s="9" t="n">
        <v>200</v>
      </c>
      <c r="HY154" s="9" t="n">
        <v>-200</v>
      </c>
      <c r="HZ154" s="9" t="n">
        <v>6160</v>
      </c>
      <c r="IA154" s="9" t="n">
        <v>10</v>
      </c>
      <c r="ID154" s="10" t="n">
        <v>46150</v>
      </c>
      <c r="IF154" s="9" t="n">
        <v>0</v>
      </c>
      <c r="IG154" s="9" t="n">
        <v>6000</v>
      </c>
      <c r="IH154" s="9" t="n">
        <v>-6000</v>
      </c>
      <c r="II154" s="9" t="n">
        <v>540</v>
      </c>
      <c r="IM154" s="10" t="n">
        <v>46150</v>
      </c>
      <c r="IO154" s="9" t="n">
        <v>0</v>
      </c>
      <c r="IQ154" s="9" t="n">
        <v>0</v>
      </c>
      <c r="IR154" s="9" t="n">
        <v>11540</v>
      </c>
      <c r="IV154" s="10" t="n">
        <v>46150</v>
      </c>
      <c r="IX154" s="9" t="n">
        <v>0</v>
      </c>
      <c r="IZ154" s="9" t="n">
        <v>0</v>
      </c>
      <c r="JA154" s="9" t="n">
        <v>15120</v>
      </c>
      <c r="JE154" s="10" t="n">
        <v>46150</v>
      </c>
      <c r="JG154" s="9" t="n">
        <v>1440</v>
      </c>
      <c r="JH154" s="9" t="n">
        <v>360</v>
      </c>
      <c r="JI154" s="9" t="n">
        <v>1080</v>
      </c>
      <c r="JJ154" s="9" t="n">
        <v>0</v>
      </c>
      <c r="JK154" s="9" t="n">
        <v>18</v>
      </c>
      <c r="JN154" s="10" t="n">
        <v>46150</v>
      </c>
      <c r="JP154" s="9" t="n">
        <v>0</v>
      </c>
      <c r="JQ154" s="9" t="n">
        <v>2400</v>
      </c>
      <c r="JR154" s="9" t="n">
        <v>-2400</v>
      </c>
      <c r="JS154" s="9" t="n">
        <v>6700</v>
      </c>
      <c r="JT154" s="9" t="n">
        <v>120</v>
      </c>
      <c r="JW154" s="10" t="n">
        <v>46150</v>
      </c>
      <c r="JY154" s="9" t="n">
        <v>0</v>
      </c>
      <c r="KA154" s="9" t="n">
        <v>0</v>
      </c>
      <c r="KB154" s="9" t="n">
        <v>2540</v>
      </c>
      <c r="KF154" s="10" t="n">
        <v>46150</v>
      </c>
      <c r="KH154" s="9" t="n">
        <v>0</v>
      </c>
      <c r="KJ154" s="9" t="n">
        <v>0</v>
      </c>
      <c r="KK154" s="9" t="n">
        <v>2359.5</v>
      </c>
      <c r="KO154" s="10" t="n">
        <v>46150</v>
      </c>
      <c r="KQ154" s="9" t="n">
        <v>0</v>
      </c>
      <c r="KS154" s="9" t="n">
        <v>0</v>
      </c>
      <c r="KT154" s="9" t="n">
        <v>2079</v>
      </c>
      <c r="KX154" s="10" t="n">
        <v>46150</v>
      </c>
      <c r="KZ154" s="9" t="n">
        <v>0</v>
      </c>
      <c r="LB154" s="9" t="n">
        <v>0</v>
      </c>
      <c r="LC154" s="9" t="n">
        <v>3690</v>
      </c>
      <c r="LG154" s="10" t="n">
        <v>46150</v>
      </c>
      <c r="LI154" s="9" t="n">
        <v>0</v>
      </c>
      <c r="LK154" s="9" t="n">
        <v>0</v>
      </c>
      <c r="LL154" s="9" t="n">
        <v>4000</v>
      </c>
      <c r="LP154" s="10" t="n">
        <v>46150</v>
      </c>
      <c r="LR154" s="9" t="n">
        <v>0</v>
      </c>
      <c r="LT154" s="9" t="n">
        <v>0</v>
      </c>
      <c r="LU154" s="9" t="n">
        <v>0</v>
      </c>
      <c r="LY154" s="10" t="n">
        <v>46150</v>
      </c>
      <c r="MA154" s="9" t="n">
        <v>0</v>
      </c>
      <c r="MC154" s="9" t="n">
        <v>0</v>
      </c>
      <c r="MD154" s="9" t="n">
        <v>0</v>
      </c>
      <c r="MH154" s="10" t="n">
        <v>46150</v>
      </c>
      <c r="MJ154" s="9" t="n">
        <v>0</v>
      </c>
      <c r="ML154" s="9" t="n">
        <v>0</v>
      </c>
      <c r="MM154" s="9" t="n">
        <v>0</v>
      </c>
      <c r="MQ154" s="10" t="n">
        <v>46150</v>
      </c>
      <c r="MS154" s="9" t="n">
        <v>0</v>
      </c>
      <c r="MT154" s="9" t="n">
        <v>57</v>
      </c>
      <c r="MU154" s="9" t="n">
        <v>-57</v>
      </c>
      <c r="MV154" s="9" t="n">
        <v>3846</v>
      </c>
      <c r="MZ154" s="10" t="n">
        <v>46150</v>
      </c>
      <c r="NA154" s="9" t="n">
        <v>414</v>
      </c>
      <c r="NB154" s="9" t="n">
        <v>216</v>
      </c>
      <c r="NC154" s="9" t="n">
        <v>414</v>
      </c>
      <c r="ND154" s="9" t="n">
        <v>-198</v>
      </c>
      <c r="NE154" s="9" t="n">
        <v>0</v>
      </c>
      <c r="NI154" s="10" t="n">
        <v>46150</v>
      </c>
      <c r="NK154" s="9" t="n">
        <v>0</v>
      </c>
      <c r="NM154" s="9" t="n">
        <v>0</v>
      </c>
      <c r="NN154" s="9" t="n">
        <v>1137</v>
      </c>
      <c r="NR154" s="10" t="n">
        <v>46150</v>
      </c>
      <c r="NT154" s="9" t="n">
        <v>0</v>
      </c>
      <c r="NV154" s="9" t="n">
        <v>0</v>
      </c>
      <c r="NW154" s="9" t="n">
        <v>3122.9</v>
      </c>
      <c r="OA154" s="10" t="n">
        <v>46150</v>
      </c>
      <c r="OC154" s="9" t="n">
        <v>54</v>
      </c>
      <c r="OE154" s="9" t="n">
        <v>54</v>
      </c>
      <c r="OF154" s="9" t="n">
        <v>1680.5</v>
      </c>
      <c r="OJ154" s="10" t="n">
        <v>46150</v>
      </c>
      <c r="OL154" s="9" t="n">
        <v>0</v>
      </c>
      <c r="ON154" s="9" t="n">
        <v>0</v>
      </c>
      <c r="OO154" s="9" t="n">
        <v>0</v>
      </c>
      <c r="OS154" s="10" t="n">
        <v>46150</v>
      </c>
      <c r="OU154" s="9" t="n">
        <v>54</v>
      </c>
      <c r="OW154" s="9" t="n">
        <v>54</v>
      </c>
      <c r="OX154" s="9" t="n">
        <v>982</v>
      </c>
      <c r="PB154" s="10" t="n">
        <v>46150</v>
      </c>
      <c r="PD154" s="9" t="n">
        <v>0</v>
      </c>
      <c r="PF154" s="9" t="n">
        <v>0</v>
      </c>
      <c r="PG154" s="9" t="n">
        <v>0</v>
      </c>
      <c r="PK154" s="10" t="n">
        <v>46150</v>
      </c>
      <c r="PM154" s="9" t="n">
        <v>0</v>
      </c>
      <c r="PO154" s="9" t="n">
        <v>0</v>
      </c>
      <c r="PP154" s="9" t="n">
        <v>100</v>
      </c>
      <c r="PT154" s="10" t="n">
        <v>46150</v>
      </c>
      <c r="PV154" s="9" t="n">
        <v>0</v>
      </c>
      <c r="PX154" s="9" t="n">
        <v>0</v>
      </c>
      <c r="PY154" s="9" t="n">
        <v>13.96000000000004</v>
      </c>
      <c r="QC154" s="10" t="n">
        <v>46150</v>
      </c>
      <c r="QD154" s="9" t="n">
        <v>392</v>
      </c>
      <c r="QE154" s="9" t="n">
        <v>72</v>
      </c>
      <c r="QF154" s="9" t="n">
        <v>200</v>
      </c>
      <c r="QG154" s="9" t="n">
        <v>-128</v>
      </c>
      <c r="QH154" s="9" t="n">
        <v>468</v>
      </c>
      <c r="QL154" s="10" t="n">
        <v>46150</v>
      </c>
      <c r="QN154" s="9" t="n">
        <v>135</v>
      </c>
      <c r="QO154" s="9" t="n">
        <v>400</v>
      </c>
      <c r="QP154" s="9" t="n">
        <v>-265</v>
      </c>
      <c r="QQ154" s="9" t="n">
        <v>0</v>
      </c>
      <c r="QU154" s="10" t="n">
        <v>46150</v>
      </c>
      <c r="QW154" s="9" t="n">
        <v>0</v>
      </c>
      <c r="QY154" s="9" t="n">
        <v>0</v>
      </c>
      <c r="QZ154" s="9" t="n">
        <v>207.6</v>
      </c>
      <c r="RD154" s="10" t="n">
        <v>46150</v>
      </c>
      <c r="RF154" s="9" t="n">
        <v>0</v>
      </c>
      <c r="RH154" s="9" t="n">
        <v>0</v>
      </c>
      <c r="RI154" s="9" t="n">
        <v>147.04</v>
      </c>
      <c r="RM154" s="10" t="n">
        <v>46150</v>
      </c>
      <c r="RO154" s="9" t="n">
        <v>0</v>
      </c>
      <c r="RQ154" s="9" t="n">
        <v>0</v>
      </c>
      <c r="RR154" s="9" t="n">
        <v>46.8</v>
      </c>
      <c r="RV154" s="10" t="n">
        <v>46150</v>
      </c>
      <c r="RX154" s="9" t="n">
        <v>0</v>
      </c>
      <c r="RZ154" s="9" t="n">
        <v>0</v>
      </c>
      <c r="SA154" s="9" t="n">
        <v>0</v>
      </c>
      <c r="SE154" s="10" t="n">
        <v>46150</v>
      </c>
      <c r="SG154" s="9" t="n">
        <v>0</v>
      </c>
      <c r="SI154" s="9" t="n">
        <v>0</v>
      </c>
      <c r="SJ154" s="9" t="n">
        <v>24.2</v>
      </c>
      <c r="SN154" s="10" t="n">
        <v>46150</v>
      </c>
      <c r="SP154" s="9" t="n">
        <v>0</v>
      </c>
      <c r="SR154" s="9" t="n">
        <v>0</v>
      </c>
      <c r="SS154" s="9" t="n">
        <v>32</v>
      </c>
      <c r="SW154" s="10" t="n">
        <v>46150</v>
      </c>
      <c r="SY154" s="9" t="n">
        <v>0</v>
      </c>
      <c r="TA154" s="9" t="n">
        <v>0</v>
      </c>
      <c r="TB154" s="9" t="n">
        <v>0</v>
      </c>
      <c r="TF154" s="10" t="n">
        <v>46150</v>
      </c>
      <c r="TH154" s="9" t="n">
        <v>0</v>
      </c>
      <c r="TJ154" s="9" t="n">
        <v>0</v>
      </c>
      <c r="TK154" s="9" t="n">
        <v>0</v>
      </c>
      <c r="TO154" s="10" t="n">
        <v>46150</v>
      </c>
      <c r="TQ154" s="9" t="n">
        <v>0</v>
      </c>
      <c r="TS154" s="9" t="n">
        <v>0</v>
      </c>
      <c r="TT154" s="9" t="n">
        <v>0</v>
      </c>
      <c r="TX154" s="10" t="n">
        <v>46150</v>
      </c>
      <c r="TZ154" s="9" t="n">
        <v>0</v>
      </c>
      <c r="UB154" s="9" t="n">
        <v>0</v>
      </c>
      <c r="UC154" s="9" t="n">
        <v>0</v>
      </c>
      <c r="UG154" s="10" t="n">
        <v>46150</v>
      </c>
      <c r="UI154" s="9" t="n">
        <v>0</v>
      </c>
      <c r="UK154" s="9" t="n">
        <v>0</v>
      </c>
      <c r="UL154" s="9" t="n">
        <v>0</v>
      </c>
      <c r="UP154" s="10" t="n">
        <v>46150</v>
      </c>
      <c r="UR154" s="9" t="n">
        <v>0</v>
      </c>
      <c r="UT154" s="9" t="n">
        <v>0</v>
      </c>
      <c r="UU154" s="9" t="n">
        <v>0</v>
      </c>
      <c r="UY154" s="10" t="n">
        <v>46150</v>
      </c>
      <c r="VA154" s="9" t="n">
        <v>0</v>
      </c>
      <c r="VC154" s="9" t="n">
        <v>0</v>
      </c>
      <c r="VD154" s="9" t="n">
        <v>41.60000000000002</v>
      </c>
      <c r="VH154" s="10" t="n">
        <v>46150</v>
      </c>
      <c r="VJ154" s="9" t="n">
        <v>0</v>
      </c>
      <c r="VL154" s="9" t="n">
        <v>0</v>
      </c>
      <c r="VM154" s="9" t="n">
        <v>0</v>
      </c>
      <c r="VQ154" s="10" t="n">
        <v>46150</v>
      </c>
      <c r="VS154" s="9" t="n">
        <v>135</v>
      </c>
      <c r="VU154" s="9" t="n">
        <v>135</v>
      </c>
      <c r="VV154" s="9" t="n">
        <v>0</v>
      </c>
      <c r="VZ154" s="10" t="n">
        <v>46150</v>
      </c>
      <c r="WB154" s="9" t="n">
        <v>135</v>
      </c>
      <c r="WD154" s="9" t="n">
        <v>135</v>
      </c>
      <c r="WE154" s="9" t="n">
        <v>0</v>
      </c>
      <c r="WI154" s="10" t="n">
        <v>46150</v>
      </c>
      <c r="WK154" s="9" t="n">
        <v>0</v>
      </c>
      <c r="WM154" s="9" t="n">
        <v>0</v>
      </c>
      <c r="WN154" s="9" t="n">
        <v>2317</v>
      </c>
      <c r="WR154" s="10" t="n">
        <v>46150</v>
      </c>
      <c r="WT154" s="9" t="n">
        <v>0</v>
      </c>
      <c r="WV154" s="9" t="n">
        <v>0</v>
      </c>
      <c r="WW154" s="9" t="n">
        <v>776</v>
      </c>
      <c r="XA154" s="10" t="n">
        <v>46150</v>
      </c>
      <c r="XC154" s="9" t="n">
        <v>0</v>
      </c>
      <c r="XE154" s="9" t="n">
        <v>0</v>
      </c>
      <c r="XF154" s="9" t="n">
        <v>12453</v>
      </c>
      <c r="XJ154" s="10" t="n">
        <v>46150</v>
      </c>
      <c r="XL154" s="9" t="n">
        <v>0</v>
      </c>
      <c r="XN154" s="9" t="n">
        <v>0</v>
      </c>
      <c r="XO154" s="9" t="n">
        <v>1481</v>
      </c>
      <c r="XS154" s="10" t="n">
        <v>46150</v>
      </c>
      <c r="XU154" s="9" t="n">
        <v>0</v>
      </c>
      <c r="XW154" s="9" t="n">
        <v>0</v>
      </c>
      <c r="XX154" s="9" t="n">
        <v>1901</v>
      </c>
      <c r="YB154" s="10" t="n">
        <v>46150</v>
      </c>
      <c r="YD154" s="9" t="n">
        <v>0</v>
      </c>
      <c r="YF154" s="9" t="n">
        <v>0</v>
      </c>
      <c r="YG154" s="9" t="n">
        <v>6459</v>
      </c>
      <c r="YK154" s="10" t="n">
        <v>46150</v>
      </c>
      <c r="YM154" s="9" t="n">
        <v>0</v>
      </c>
      <c r="YO154" s="9" t="n">
        <v>0</v>
      </c>
      <c r="YP154" s="9" t="n">
        <v>0</v>
      </c>
      <c r="YT154" s="10" t="n">
        <v>46150</v>
      </c>
      <c r="YV154" s="9" t="n">
        <v>135</v>
      </c>
      <c r="YX154" s="9" t="n">
        <v>135</v>
      </c>
      <c r="YY154" s="9" t="n">
        <v>0</v>
      </c>
      <c r="ZC154" s="10" t="n">
        <v>46150</v>
      </c>
      <c r="ZE154" s="9" t="n">
        <v>135</v>
      </c>
      <c r="ZG154" s="9" t="n">
        <v>135</v>
      </c>
      <c r="ZH154" s="9" t="n">
        <v>0</v>
      </c>
      <c r="ZL154" s="10" t="n">
        <v>46150</v>
      </c>
      <c r="ZN154" s="9" t="n">
        <v>135</v>
      </c>
      <c r="ZP154" s="9" t="n">
        <v>135</v>
      </c>
      <c r="ZQ154" s="9" t="n">
        <v>0</v>
      </c>
      <c r="ZU154" s="10" t="n">
        <v>46150</v>
      </c>
      <c r="ZW154" s="9" t="n">
        <v>135</v>
      </c>
      <c r="ZY154" s="9" t="n">
        <v>135</v>
      </c>
      <c r="ZZ154" s="9" t="n">
        <v>0</v>
      </c>
      <c r="AAD154" s="10" t="n">
        <v>46150</v>
      </c>
      <c r="AAF154" s="9" t="n">
        <v>135</v>
      </c>
      <c r="AAH154" s="9" t="n">
        <v>135</v>
      </c>
      <c r="AAI154" s="9" t="n">
        <v>0</v>
      </c>
      <c r="AAM154" s="10" t="n">
        <v>46150</v>
      </c>
      <c r="AAO154" s="9" t="n">
        <v>135</v>
      </c>
      <c r="AAQ154" s="9" t="n">
        <v>135</v>
      </c>
      <c r="AAR154" s="9" t="n">
        <v>0</v>
      </c>
      <c r="AAV154" s="10" t="n">
        <v>46150</v>
      </c>
      <c r="AAX154" s="9" t="n">
        <v>135</v>
      </c>
      <c r="AAZ154" s="9" t="n">
        <v>135</v>
      </c>
      <c r="ABA154" s="9" t="n">
        <v>0</v>
      </c>
      <c r="ABE154" s="10" t="n">
        <v>46150</v>
      </c>
      <c r="ABG154" s="9" t="n">
        <v>135</v>
      </c>
      <c r="ABI154" s="9" t="n">
        <v>135</v>
      </c>
      <c r="ABJ154" s="9" t="n">
        <v>0</v>
      </c>
    </row>
    <row r="155">
      <c r="B155" s="9" t="n">
        <v>10</v>
      </c>
      <c r="C155" s="10" t="n">
        <v>46151</v>
      </c>
      <c r="E155" s="9" t="n">
        <v>5383.200000000002</v>
      </c>
      <c r="F155" s="9" t="n">
        <v>5388.4</v>
      </c>
      <c r="G155" s="9" t="n">
        <v>-5.199999999997999</v>
      </c>
      <c r="H155" s="9" t="n">
        <v>195320.0000000001</v>
      </c>
      <c r="I155" s="9" t="inlineStr">
        <is>
          <t>8100 10mt</t>
        </is>
      </c>
      <c r="L155" s="10" t="n">
        <v>46151</v>
      </c>
      <c r="M155" s="9" t="n">
        <v>30100</v>
      </c>
      <c r="N155" s="9" t="n">
        <v>2856</v>
      </c>
      <c r="O155" s="9" t="n">
        <v>2857</v>
      </c>
      <c r="P155" s="9" t="n">
        <v>-1</v>
      </c>
      <c r="Q155" s="9" t="n">
        <v>48271.4000000001</v>
      </c>
      <c r="U155" s="10" t="n">
        <v>46151</v>
      </c>
      <c r="W155" s="9" t="n">
        <v>500</v>
      </c>
      <c r="X155" s="9" t="n">
        <v>500.5</v>
      </c>
      <c r="Y155" s="9" t="n">
        <v>-0.5</v>
      </c>
      <c r="Z155" s="9" t="n">
        <v>38812.89999999997</v>
      </c>
      <c r="AD155" s="10" t="n">
        <v>46151</v>
      </c>
      <c r="AF155" s="9" t="n">
        <v>0</v>
      </c>
      <c r="AH155" s="9" t="n">
        <v>0</v>
      </c>
      <c r="AI155" s="9" t="n">
        <v>3029.600000000018</v>
      </c>
      <c r="AM155" s="10" t="n">
        <v>46151</v>
      </c>
      <c r="AO155" s="9" t="n">
        <v>0</v>
      </c>
      <c r="AQ155" s="9" t="n">
        <v>0</v>
      </c>
      <c r="AR155" s="9" t="n">
        <v>0</v>
      </c>
      <c r="AV155" s="10" t="n">
        <v>46151</v>
      </c>
      <c r="AX155" s="9" t="n">
        <v>200</v>
      </c>
      <c r="AY155" s="9" t="n">
        <v>201</v>
      </c>
      <c r="AZ155" s="9" t="n">
        <v>-1</v>
      </c>
      <c r="BA155" s="9" t="n">
        <v>36409.89999999999</v>
      </c>
      <c r="BE155" s="10" t="n">
        <v>46151</v>
      </c>
      <c r="BG155" s="9" t="n">
        <v>150</v>
      </c>
      <c r="BH155" s="9" t="n">
        <v>150.5</v>
      </c>
      <c r="BI155" s="9" t="n">
        <v>-0.5</v>
      </c>
      <c r="BJ155" s="9" t="n">
        <v>20577.29999999999</v>
      </c>
      <c r="BN155" s="10" t="n">
        <v>46151</v>
      </c>
      <c r="BO155" s="9" t="n">
        <v>100</v>
      </c>
      <c r="BP155" s="9" t="n">
        <v>100</v>
      </c>
      <c r="BQ155" s="9" t="n">
        <v>100</v>
      </c>
      <c r="BR155" s="9" t="n">
        <v>0</v>
      </c>
      <c r="BS155" s="9" t="n">
        <v>0</v>
      </c>
      <c r="BW155" s="10" t="n">
        <v>46151</v>
      </c>
      <c r="BY155" s="9" t="n">
        <v>15</v>
      </c>
      <c r="CA155" s="9" t="n">
        <v>15</v>
      </c>
      <c r="CB155" s="9" t="n">
        <v>5833.799999999999</v>
      </c>
      <c r="CF155" s="10" t="n">
        <v>46151</v>
      </c>
      <c r="CH155" s="9" t="n">
        <v>60.79999999999999</v>
      </c>
      <c r="CJ155" s="9" t="n">
        <v>60.79999999999999</v>
      </c>
      <c r="CK155" s="9" t="n">
        <v>0</v>
      </c>
      <c r="CO155" s="10" t="n">
        <v>46151</v>
      </c>
      <c r="CQ155" s="9" t="n">
        <v>0</v>
      </c>
      <c r="CS155" s="9" t="n">
        <v>0</v>
      </c>
      <c r="CT155" s="9" t="n">
        <v>0</v>
      </c>
      <c r="CX155" s="10" t="n">
        <v>46151</v>
      </c>
      <c r="CZ155" s="9" t="n">
        <v>0</v>
      </c>
      <c r="DB155" s="9" t="n">
        <v>0</v>
      </c>
      <c r="DC155" s="9" t="n">
        <v>21657</v>
      </c>
      <c r="DG155" s="10" t="n">
        <v>46151</v>
      </c>
      <c r="DI155" s="9" t="n">
        <v>500</v>
      </c>
      <c r="DJ155" s="9" t="n">
        <v>500.5</v>
      </c>
      <c r="DK155" s="9" t="n">
        <v>-0.5</v>
      </c>
      <c r="DL155" s="9" t="n">
        <v>40437.99999999999</v>
      </c>
      <c r="DP155" s="10" t="n">
        <v>46151</v>
      </c>
      <c r="DR155" s="9" t="n">
        <v>0</v>
      </c>
      <c r="DT155" s="9" t="n">
        <v>0</v>
      </c>
      <c r="DU155" s="9" t="n">
        <v>5800</v>
      </c>
      <c r="DY155" s="10" t="n">
        <v>46151</v>
      </c>
      <c r="EA155" s="9" t="n">
        <v>0</v>
      </c>
      <c r="EC155" s="9" t="n">
        <v>0</v>
      </c>
      <c r="ED155" s="9" t="n">
        <v>0</v>
      </c>
      <c r="EH155" s="10" t="n">
        <v>46151</v>
      </c>
      <c r="EJ155" s="9" t="n">
        <v>0</v>
      </c>
      <c r="EL155" s="9" t="n">
        <v>0</v>
      </c>
      <c r="EM155" s="9" t="n">
        <v>0</v>
      </c>
      <c r="EQ155" s="10" t="n">
        <v>46151</v>
      </c>
      <c r="ES155" s="9" t="n">
        <v>0</v>
      </c>
      <c r="EU155" s="9" t="n">
        <v>0</v>
      </c>
      <c r="EV155" s="9" t="n">
        <v>0</v>
      </c>
      <c r="EZ155" s="10" t="n">
        <v>46151</v>
      </c>
      <c r="FB155" s="9" t="n">
        <v>0</v>
      </c>
      <c r="FD155" s="9" t="n">
        <v>0</v>
      </c>
      <c r="FE155" s="9" t="n">
        <v>0</v>
      </c>
      <c r="FI155" s="10" t="n">
        <v>46151</v>
      </c>
      <c r="FK155" s="9" t="n">
        <v>0</v>
      </c>
      <c r="FM155" s="9" t="n">
        <v>0</v>
      </c>
      <c r="FN155" s="9" t="n">
        <v>0</v>
      </c>
      <c r="FR155" s="10" t="n">
        <v>46151</v>
      </c>
      <c r="FT155" s="9" t="n">
        <v>0</v>
      </c>
      <c r="FV155" s="9" t="n">
        <v>0</v>
      </c>
      <c r="FW155" s="9" t="n">
        <v>2120</v>
      </c>
      <c r="GA155" s="10" t="n">
        <v>46151</v>
      </c>
      <c r="GC155" s="9" t="n">
        <v>0</v>
      </c>
      <c r="GE155" s="9" t="n">
        <v>0</v>
      </c>
      <c r="GF155" s="9" t="n">
        <v>3640</v>
      </c>
      <c r="GJ155" s="10" t="n">
        <v>46151</v>
      </c>
      <c r="GL155" s="9" t="n">
        <v>0</v>
      </c>
      <c r="GN155" s="9" t="n">
        <v>0</v>
      </c>
      <c r="GO155" s="9" t="n">
        <v>0</v>
      </c>
      <c r="GS155" s="10" t="n">
        <v>46151</v>
      </c>
      <c r="GU155" s="9" t="n">
        <v>0</v>
      </c>
      <c r="GW155" s="9" t="n">
        <v>0</v>
      </c>
      <c r="GX155" s="9" t="n">
        <v>0</v>
      </c>
      <c r="HB155" s="10" t="n">
        <v>46151</v>
      </c>
      <c r="HD155" s="9" t="n">
        <v>0</v>
      </c>
      <c r="HF155" s="9" t="n">
        <v>0</v>
      </c>
      <c r="HG155" s="9" t="n">
        <v>0</v>
      </c>
      <c r="HK155" s="10" t="n">
        <v>46151</v>
      </c>
      <c r="HM155" s="9" t="n">
        <v>0</v>
      </c>
      <c r="HO155" s="9" t="n">
        <v>0</v>
      </c>
      <c r="HP155" s="9" t="n">
        <v>0</v>
      </c>
      <c r="HU155" s="10" t="n">
        <v>46151</v>
      </c>
      <c r="HW155" s="9" t="n">
        <v>200</v>
      </c>
      <c r="HY155" s="9" t="n">
        <v>200</v>
      </c>
      <c r="HZ155" s="9" t="n">
        <v>6160</v>
      </c>
      <c r="ID155" s="10" t="n">
        <v>46151</v>
      </c>
      <c r="IF155" s="9" t="n">
        <v>0</v>
      </c>
      <c r="IH155" s="9" t="n">
        <v>0</v>
      </c>
      <c r="II155" s="9" t="n">
        <v>540</v>
      </c>
      <c r="IM155" s="10" t="n">
        <v>46151</v>
      </c>
      <c r="IO155" s="9" t="n">
        <v>0</v>
      </c>
      <c r="IQ155" s="9" t="n">
        <v>0</v>
      </c>
      <c r="IR155" s="9" t="n">
        <v>11540</v>
      </c>
      <c r="IV155" s="10" t="n">
        <v>46151</v>
      </c>
      <c r="IX155" s="9" t="n">
        <v>0</v>
      </c>
      <c r="IZ155" s="9" t="n">
        <v>0</v>
      </c>
      <c r="JA155" s="9" t="n">
        <v>15120</v>
      </c>
      <c r="JE155" s="10" t="n">
        <v>46151</v>
      </c>
      <c r="JG155" s="9" t="n">
        <v>0</v>
      </c>
      <c r="JI155" s="9" t="n">
        <v>0</v>
      </c>
      <c r="JJ155" s="9" t="n">
        <v>0</v>
      </c>
      <c r="JN155" s="10" t="n">
        <v>46151</v>
      </c>
      <c r="JP155" s="9" t="n">
        <v>0</v>
      </c>
      <c r="JR155" s="9" t="n">
        <v>0</v>
      </c>
      <c r="JS155" s="9" t="n">
        <v>6700</v>
      </c>
      <c r="JW155" s="10" t="n">
        <v>46151</v>
      </c>
      <c r="JY155" s="9" t="n">
        <v>0</v>
      </c>
      <c r="KA155" s="9" t="n">
        <v>0</v>
      </c>
      <c r="KB155" s="9" t="n">
        <v>2540</v>
      </c>
      <c r="KF155" s="10" t="n">
        <v>46151</v>
      </c>
      <c r="KH155" s="9" t="n">
        <v>0</v>
      </c>
      <c r="KJ155" s="9" t="n">
        <v>0</v>
      </c>
      <c r="KK155" s="9" t="n">
        <v>2359.5</v>
      </c>
      <c r="KO155" s="10" t="n">
        <v>46151</v>
      </c>
      <c r="KQ155" s="9" t="n">
        <v>0</v>
      </c>
      <c r="KS155" s="9" t="n">
        <v>0</v>
      </c>
      <c r="KT155" s="9" t="n">
        <v>2079</v>
      </c>
      <c r="KX155" s="10" t="n">
        <v>46151</v>
      </c>
      <c r="KZ155" s="9" t="n">
        <v>0</v>
      </c>
      <c r="LB155" s="9" t="n">
        <v>0</v>
      </c>
      <c r="LC155" s="9" t="n">
        <v>3690</v>
      </c>
      <c r="LG155" s="10" t="n">
        <v>46151</v>
      </c>
      <c r="LI155" s="9" t="n">
        <v>0</v>
      </c>
      <c r="LK155" s="9" t="n">
        <v>0</v>
      </c>
      <c r="LL155" s="9" t="n">
        <v>4000</v>
      </c>
      <c r="LP155" s="10" t="n">
        <v>46151</v>
      </c>
      <c r="LR155" s="9" t="n">
        <v>0</v>
      </c>
      <c r="LT155" s="9" t="n">
        <v>0</v>
      </c>
      <c r="LU155" s="9" t="n">
        <v>0</v>
      </c>
      <c r="LY155" s="10" t="n">
        <v>46151</v>
      </c>
      <c r="MA155" s="9" t="n">
        <v>0</v>
      </c>
      <c r="MC155" s="9" t="n">
        <v>0</v>
      </c>
      <c r="MD155" s="9" t="n">
        <v>0</v>
      </c>
      <c r="MH155" s="10" t="n">
        <v>46151</v>
      </c>
      <c r="MJ155" s="9" t="n">
        <v>0</v>
      </c>
      <c r="ML155" s="9" t="n">
        <v>0</v>
      </c>
      <c r="MM155" s="9" t="n">
        <v>0</v>
      </c>
      <c r="MQ155" s="10" t="n">
        <v>46151</v>
      </c>
      <c r="MS155" s="9" t="n">
        <v>5</v>
      </c>
      <c r="MU155" s="9" t="n">
        <v>5</v>
      </c>
      <c r="MV155" s="9" t="n">
        <v>3846</v>
      </c>
      <c r="MZ155" s="10" t="n">
        <v>46151</v>
      </c>
      <c r="NB155" s="9" t="n">
        <v>30</v>
      </c>
      <c r="ND155" s="9" t="n">
        <v>30</v>
      </c>
      <c r="NE155" s="9" t="n">
        <v>0</v>
      </c>
      <c r="NI155" s="10" t="n">
        <v>46151</v>
      </c>
      <c r="NK155" s="9" t="n">
        <v>0</v>
      </c>
      <c r="NM155" s="9" t="n">
        <v>0</v>
      </c>
      <c r="NN155" s="9" t="n">
        <v>1137</v>
      </c>
      <c r="NR155" s="10" t="n">
        <v>46151</v>
      </c>
      <c r="NT155" s="9" t="n">
        <v>0</v>
      </c>
      <c r="NV155" s="9" t="n">
        <v>0</v>
      </c>
      <c r="NW155" s="9" t="n">
        <v>3122.9</v>
      </c>
      <c r="OA155" s="10" t="n">
        <v>46151</v>
      </c>
      <c r="OC155" s="9" t="n">
        <v>0</v>
      </c>
      <c r="OE155" s="9" t="n">
        <v>0</v>
      </c>
      <c r="OF155" s="9" t="n">
        <v>1680.5</v>
      </c>
      <c r="OJ155" s="10" t="n">
        <v>46151</v>
      </c>
      <c r="OL155" s="9" t="n">
        <v>0</v>
      </c>
      <c r="ON155" s="9" t="n">
        <v>0</v>
      </c>
      <c r="OO155" s="9" t="n">
        <v>0</v>
      </c>
      <c r="OS155" s="10" t="n">
        <v>46151</v>
      </c>
      <c r="OU155" s="9" t="n">
        <v>0</v>
      </c>
      <c r="OW155" s="9" t="n">
        <v>0</v>
      </c>
      <c r="OX155" s="9" t="n">
        <v>982</v>
      </c>
      <c r="PB155" s="10" t="n">
        <v>46151</v>
      </c>
      <c r="PD155" s="9" t="n">
        <v>0</v>
      </c>
      <c r="PF155" s="9" t="n">
        <v>0</v>
      </c>
      <c r="PG155" s="9" t="n">
        <v>0</v>
      </c>
      <c r="PK155" s="10" t="n">
        <v>46151</v>
      </c>
      <c r="PM155" s="9" t="n">
        <v>0</v>
      </c>
      <c r="PO155" s="9" t="n">
        <v>0</v>
      </c>
      <c r="PP155" s="9" t="n">
        <v>100</v>
      </c>
      <c r="PT155" s="10" t="n">
        <v>46151</v>
      </c>
      <c r="PV155" s="9" t="n">
        <v>0</v>
      </c>
      <c r="PX155" s="9" t="n">
        <v>0</v>
      </c>
      <c r="PY155" s="9" t="n">
        <v>13.96000000000004</v>
      </c>
      <c r="QC155" s="10" t="n">
        <v>46151</v>
      </c>
      <c r="QE155" s="9" t="n">
        <v>0</v>
      </c>
      <c r="QG155" s="9" t="n">
        <v>0</v>
      </c>
      <c r="QH155" s="9" t="n">
        <v>468</v>
      </c>
      <c r="QL155" s="10" t="n">
        <v>46151</v>
      </c>
      <c r="QN155" s="9" t="n">
        <v>0</v>
      </c>
      <c r="QP155" s="9" t="n">
        <v>0</v>
      </c>
      <c r="QQ155" s="9" t="n">
        <v>0</v>
      </c>
      <c r="QU155" s="10" t="n">
        <v>46151</v>
      </c>
      <c r="QW155" s="9" t="n">
        <v>0</v>
      </c>
      <c r="QY155" s="9" t="n">
        <v>0</v>
      </c>
      <c r="QZ155" s="9" t="n">
        <v>207.6</v>
      </c>
      <c r="RD155" s="10" t="n">
        <v>46151</v>
      </c>
      <c r="RF155" s="9" t="n">
        <v>0</v>
      </c>
      <c r="RH155" s="9" t="n">
        <v>0</v>
      </c>
      <c r="RI155" s="9" t="n">
        <v>147.04</v>
      </c>
      <c r="RM155" s="10" t="n">
        <v>46151</v>
      </c>
      <c r="RO155" s="9" t="n">
        <v>0</v>
      </c>
      <c r="RQ155" s="9" t="n">
        <v>0</v>
      </c>
      <c r="RR155" s="9" t="n">
        <v>46.8</v>
      </c>
      <c r="RV155" s="10" t="n">
        <v>46151</v>
      </c>
      <c r="RX155" s="9" t="n">
        <v>0</v>
      </c>
      <c r="RZ155" s="9" t="n">
        <v>0</v>
      </c>
      <c r="SA155" s="9" t="n">
        <v>0</v>
      </c>
      <c r="SE155" s="10" t="n">
        <v>46151</v>
      </c>
      <c r="SG155" s="9" t="n">
        <v>0</v>
      </c>
      <c r="SI155" s="9" t="n">
        <v>0</v>
      </c>
      <c r="SJ155" s="9" t="n">
        <v>24.2</v>
      </c>
      <c r="SN155" s="10" t="n">
        <v>46151</v>
      </c>
      <c r="SP155" s="9" t="n">
        <v>0</v>
      </c>
      <c r="SR155" s="9" t="n">
        <v>0</v>
      </c>
      <c r="SS155" s="9" t="n">
        <v>32</v>
      </c>
      <c r="SW155" s="10" t="n">
        <v>46151</v>
      </c>
      <c r="SY155" s="9" t="n">
        <v>0</v>
      </c>
      <c r="TA155" s="9" t="n">
        <v>0</v>
      </c>
      <c r="TB155" s="9" t="n">
        <v>0</v>
      </c>
      <c r="TF155" s="10" t="n">
        <v>46151</v>
      </c>
      <c r="TH155" s="9" t="n">
        <v>0</v>
      </c>
      <c r="TJ155" s="9" t="n">
        <v>0</v>
      </c>
      <c r="TK155" s="9" t="n">
        <v>0</v>
      </c>
      <c r="TO155" s="10" t="n">
        <v>46151</v>
      </c>
      <c r="TQ155" s="9" t="n">
        <v>0</v>
      </c>
      <c r="TS155" s="9" t="n">
        <v>0</v>
      </c>
      <c r="TT155" s="9" t="n">
        <v>0</v>
      </c>
      <c r="TX155" s="10" t="n">
        <v>46151</v>
      </c>
      <c r="TZ155" s="9" t="n">
        <v>0</v>
      </c>
      <c r="UB155" s="9" t="n">
        <v>0</v>
      </c>
      <c r="UC155" s="9" t="n">
        <v>0</v>
      </c>
      <c r="UG155" s="10" t="n">
        <v>46151</v>
      </c>
      <c r="UI155" s="9" t="n">
        <v>0</v>
      </c>
      <c r="UK155" s="9" t="n">
        <v>0</v>
      </c>
      <c r="UL155" s="9" t="n">
        <v>0</v>
      </c>
      <c r="UP155" s="10" t="n">
        <v>46151</v>
      </c>
      <c r="UR155" s="9" t="n">
        <v>0</v>
      </c>
      <c r="UT155" s="9" t="n">
        <v>0</v>
      </c>
      <c r="UU155" s="9" t="n">
        <v>0</v>
      </c>
      <c r="UY155" s="10" t="n">
        <v>46151</v>
      </c>
      <c r="VA155" s="9" t="n">
        <v>0</v>
      </c>
      <c r="VC155" s="9" t="n">
        <v>0</v>
      </c>
      <c r="VD155" s="9" t="n">
        <v>41.60000000000002</v>
      </c>
      <c r="VH155" s="10" t="n">
        <v>46151</v>
      </c>
      <c r="VJ155" s="9" t="n">
        <v>0</v>
      </c>
      <c r="VL155" s="9" t="n">
        <v>0</v>
      </c>
      <c r="VM155" s="9" t="n">
        <v>0</v>
      </c>
      <c r="VQ155" s="10" t="n">
        <v>46151</v>
      </c>
      <c r="VS155" s="9" t="n">
        <v>0</v>
      </c>
      <c r="VU155" s="9" t="n">
        <v>0</v>
      </c>
      <c r="VV155" s="9" t="n">
        <v>0</v>
      </c>
      <c r="VZ155" s="10" t="n">
        <v>46151</v>
      </c>
      <c r="WB155" s="9" t="n">
        <v>0</v>
      </c>
      <c r="WD155" s="9" t="n">
        <v>0</v>
      </c>
      <c r="WE155" s="9" t="n">
        <v>0</v>
      </c>
      <c r="WI155" s="10" t="n">
        <v>46151</v>
      </c>
      <c r="WK155" s="9" t="n">
        <v>0</v>
      </c>
      <c r="WM155" s="9" t="n">
        <v>0</v>
      </c>
      <c r="WN155" s="9" t="n">
        <v>2317</v>
      </c>
      <c r="WR155" s="10" t="n">
        <v>46151</v>
      </c>
      <c r="WT155" s="9" t="n">
        <v>0</v>
      </c>
      <c r="WV155" s="9" t="n">
        <v>0</v>
      </c>
      <c r="WW155" s="9" t="n">
        <v>776</v>
      </c>
      <c r="XA155" s="10" t="n">
        <v>46151</v>
      </c>
      <c r="XC155" s="9" t="n">
        <v>0</v>
      </c>
      <c r="XE155" s="9" t="n">
        <v>0</v>
      </c>
      <c r="XF155" s="9" t="n">
        <v>12453</v>
      </c>
      <c r="XJ155" s="10" t="n">
        <v>46151</v>
      </c>
      <c r="XL155" s="9" t="n">
        <v>0</v>
      </c>
      <c r="XM155" s="9" t="n">
        <v>192</v>
      </c>
      <c r="XN155" s="9" t="n">
        <v>-192</v>
      </c>
      <c r="XO155" s="9" t="n">
        <v>1289</v>
      </c>
      <c r="XS155" s="10" t="n">
        <v>46151</v>
      </c>
      <c r="XU155" s="9" t="n">
        <v>0</v>
      </c>
      <c r="XW155" s="9" t="n">
        <v>0</v>
      </c>
      <c r="XX155" s="9" t="n">
        <v>1901</v>
      </c>
      <c r="YB155" s="10" t="n">
        <v>46151</v>
      </c>
      <c r="YD155" s="9" t="n">
        <v>0</v>
      </c>
      <c r="YF155" s="9" t="n">
        <v>0</v>
      </c>
      <c r="YG155" s="9" t="n">
        <v>6459</v>
      </c>
      <c r="YK155" s="10" t="n">
        <v>46151</v>
      </c>
      <c r="YM155" s="9" t="n">
        <v>0</v>
      </c>
      <c r="YO155" s="9" t="n">
        <v>0</v>
      </c>
      <c r="YP155" s="9" t="n">
        <v>0</v>
      </c>
      <c r="YT155" s="10" t="n">
        <v>46151</v>
      </c>
      <c r="YV155" s="9" t="n">
        <v>0</v>
      </c>
      <c r="YX155" s="9" t="n">
        <v>0</v>
      </c>
      <c r="YY155" s="9" t="n">
        <v>0</v>
      </c>
      <c r="ZC155" s="10" t="n">
        <v>46151</v>
      </c>
      <c r="ZE155" s="9" t="n">
        <v>0</v>
      </c>
      <c r="ZG155" s="9" t="n">
        <v>0</v>
      </c>
      <c r="ZH155" s="9" t="n">
        <v>0</v>
      </c>
      <c r="ZL155" s="10" t="n">
        <v>46151</v>
      </c>
      <c r="ZN155" s="9" t="n">
        <v>0</v>
      </c>
      <c r="ZP155" s="9" t="n">
        <v>0</v>
      </c>
      <c r="ZQ155" s="9" t="n">
        <v>0</v>
      </c>
      <c r="ZU155" s="10" t="n">
        <v>46151</v>
      </c>
      <c r="ZW155" s="9" t="n">
        <v>0</v>
      </c>
      <c r="ZY155" s="9" t="n">
        <v>0</v>
      </c>
      <c r="ZZ155" s="9" t="n">
        <v>0</v>
      </c>
      <c r="AAD155" s="10" t="n">
        <v>46151</v>
      </c>
      <c r="AAF155" s="9" t="n">
        <v>0</v>
      </c>
      <c r="AAH155" s="9" t="n">
        <v>0</v>
      </c>
      <c r="AAI155" s="9" t="n">
        <v>0</v>
      </c>
      <c r="AAM155" s="10" t="n">
        <v>46151</v>
      </c>
      <c r="AAO155" s="9" t="n">
        <v>0</v>
      </c>
      <c r="AAQ155" s="9" t="n">
        <v>0</v>
      </c>
      <c r="AAR155" s="9" t="n">
        <v>0</v>
      </c>
      <c r="AAV155" s="10" t="n">
        <v>46151</v>
      </c>
      <c r="AAX155" s="9" t="n">
        <v>0</v>
      </c>
      <c r="AAZ155" s="9" t="n">
        <v>0</v>
      </c>
      <c r="ABA155" s="9" t="n">
        <v>0</v>
      </c>
      <c r="ABE155" s="10" t="n">
        <v>46151</v>
      </c>
      <c r="ABG155" s="9" t="n">
        <v>0</v>
      </c>
      <c r="ABI155" s="9" t="n">
        <v>0</v>
      </c>
      <c r="ABJ155" s="9" t="n">
        <v>0</v>
      </c>
    </row>
    <row r="156">
      <c r="C156" s="10" t="n">
        <v>46152</v>
      </c>
      <c r="E156" s="9" t="n">
        <v>0</v>
      </c>
      <c r="G156" s="9" t="n">
        <v>0</v>
      </c>
      <c r="H156" s="9" t="n">
        <v>195320.0000000001</v>
      </c>
      <c r="L156" s="10" t="n">
        <v>46152</v>
      </c>
      <c r="N156" s="9" t="n">
        <v>0</v>
      </c>
      <c r="P156" s="9" t="n">
        <v>0</v>
      </c>
      <c r="Q156" s="9" t="n">
        <v>48271.4000000001</v>
      </c>
      <c r="U156" s="10" t="n">
        <v>46152</v>
      </c>
      <c r="W156" s="9" t="n">
        <v>0</v>
      </c>
      <c r="Y156" s="9" t="n">
        <v>0</v>
      </c>
      <c r="Z156" s="9" t="n">
        <v>38812.89999999997</v>
      </c>
      <c r="AD156" s="10" t="n">
        <v>46152</v>
      </c>
      <c r="AF156" s="9" t="n">
        <v>0</v>
      </c>
      <c r="AH156" s="9" t="n">
        <v>0</v>
      </c>
      <c r="AI156" s="9" t="n">
        <v>3029.600000000018</v>
      </c>
      <c r="AM156" s="10" t="n">
        <v>46152</v>
      </c>
      <c r="AO156" s="9" t="n">
        <v>0</v>
      </c>
      <c r="AQ156" s="9" t="n">
        <v>0</v>
      </c>
      <c r="AR156" s="9" t="n">
        <v>0</v>
      </c>
      <c r="AV156" s="10" t="n">
        <v>46152</v>
      </c>
      <c r="AX156" s="9" t="n">
        <v>0</v>
      </c>
      <c r="AZ156" s="9" t="n">
        <v>0</v>
      </c>
      <c r="BA156" s="9" t="n">
        <v>36409.89999999999</v>
      </c>
      <c r="BE156" s="10" t="n">
        <v>46152</v>
      </c>
      <c r="BG156" s="9" t="n">
        <v>0</v>
      </c>
      <c r="BI156" s="9" t="n">
        <v>0</v>
      </c>
      <c r="BJ156" s="9" t="n">
        <v>20577.29999999999</v>
      </c>
      <c r="BN156" s="10" t="n">
        <v>46152</v>
      </c>
      <c r="BP156" s="9" t="n">
        <v>0</v>
      </c>
      <c r="BR156" s="9" t="n">
        <v>0</v>
      </c>
      <c r="BS156" s="9" t="n">
        <v>0</v>
      </c>
      <c r="BW156" s="10" t="n">
        <v>46152</v>
      </c>
      <c r="BY156" s="9" t="n">
        <v>0</v>
      </c>
      <c r="CA156" s="9" t="n">
        <v>0</v>
      </c>
      <c r="CB156" s="9" t="n">
        <v>5833.799999999999</v>
      </c>
      <c r="CF156" s="10" t="n">
        <v>46152</v>
      </c>
      <c r="CH156" s="9" t="n">
        <v>0</v>
      </c>
      <c r="CJ156" s="9" t="n">
        <v>0</v>
      </c>
      <c r="CK156" s="9" t="n">
        <v>0</v>
      </c>
      <c r="CO156" s="10" t="n">
        <v>46152</v>
      </c>
      <c r="CQ156" s="9" t="n">
        <v>0</v>
      </c>
      <c r="CS156" s="9" t="n">
        <v>0</v>
      </c>
      <c r="CT156" s="9" t="n">
        <v>0</v>
      </c>
      <c r="CX156" s="10" t="n">
        <v>46152</v>
      </c>
      <c r="CZ156" s="9" t="n">
        <v>0</v>
      </c>
      <c r="DB156" s="9" t="n">
        <v>0</v>
      </c>
      <c r="DC156" s="9" t="n">
        <v>21657</v>
      </c>
      <c r="DG156" s="10" t="n">
        <v>46152</v>
      </c>
      <c r="DI156" s="9" t="n">
        <v>0</v>
      </c>
      <c r="DK156" s="9" t="n">
        <v>0</v>
      </c>
      <c r="DL156" s="9" t="n">
        <v>40437.99999999999</v>
      </c>
      <c r="DP156" s="10" t="n">
        <v>46152</v>
      </c>
      <c r="DR156" s="9" t="n">
        <v>0</v>
      </c>
      <c r="DT156" s="9" t="n">
        <v>0</v>
      </c>
      <c r="DU156" s="9" t="n">
        <v>5800</v>
      </c>
      <c r="DY156" s="10" t="n">
        <v>46152</v>
      </c>
      <c r="EA156" s="9" t="n">
        <v>0</v>
      </c>
      <c r="EC156" s="9" t="n">
        <v>0</v>
      </c>
      <c r="ED156" s="9" t="n">
        <v>0</v>
      </c>
      <c r="EH156" s="10" t="n">
        <v>46152</v>
      </c>
      <c r="EJ156" s="9" t="n">
        <v>0</v>
      </c>
      <c r="EL156" s="9" t="n">
        <v>0</v>
      </c>
      <c r="EM156" s="9" t="n">
        <v>0</v>
      </c>
      <c r="EQ156" s="10" t="n">
        <v>46152</v>
      </c>
      <c r="ES156" s="9" t="n">
        <v>0</v>
      </c>
      <c r="EU156" s="9" t="n">
        <v>0</v>
      </c>
      <c r="EV156" s="9" t="n">
        <v>0</v>
      </c>
      <c r="EZ156" s="10" t="n">
        <v>46152</v>
      </c>
      <c r="FB156" s="9" t="n">
        <v>0</v>
      </c>
      <c r="FD156" s="9" t="n">
        <v>0</v>
      </c>
      <c r="FE156" s="9" t="n">
        <v>0</v>
      </c>
      <c r="FI156" s="10" t="n">
        <v>46152</v>
      </c>
      <c r="FK156" s="9" t="n">
        <v>0</v>
      </c>
      <c r="FM156" s="9" t="n">
        <v>0</v>
      </c>
      <c r="FN156" s="9" t="n">
        <v>0</v>
      </c>
      <c r="FR156" s="10" t="n">
        <v>46152</v>
      </c>
      <c r="FT156" s="9" t="n">
        <v>0</v>
      </c>
      <c r="FV156" s="9" t="n">
        <v>0</v>
      </c>
      <c r="FW156" s="9" t="n">
        <v>2120</v>
      </c>
      <c r="GA156" s="10" t="n">
        <v>46152</v>
      </c>
      <c r="GC156" s="9" t="n">
        <v>0</v>
      </c>
      <c r="GE156" s="9" t="n">
        <v>0</v>
      </c>
      <c r="GF156" s="9" t="n">
        <v>3640</v>
      </c>
      <c r="GJ156" s="10" t="n">
        <v>46152</v>
      </c>
      <c r="GL156" s="9" t="n">
        <v>0</v>
      </c>
      <c r="GN156" s="9" t="n">
        <v>0</v>
      </c>
      <c r="GO156" s="9" t="n">
        <v>0</v>
      </c>
      <c r="GS156" s="10" t="n">
        <v>46152</v>
      </c>
      <c r="GU156" s="9" t="n">
        <v>0</v>
      </c>
      <c r="GW156" s="9" t="n">
        <v>0</v>
      </c>
      <c r="GX156" s="9" t="n">
        <v>0</v>
      </c>
      <c r="HB156" s="10" t="n">
        <v>46152</v>
      </c>
      <c r="HD156" s="9" t="n">
        <v>0</v>
      </c>
      <c r="HF156" s="9" t="n">
        <v>0</v>
      </c>
      <c r="HG156" s="9" t="n">
        <v>0</v>
      </c>
      <c r="HK156" s="10" t="n">
        <v>46152</v>
      </c>
      <c r="HM156" s="9" t="n">
        <v>0</v>
      </c>
      <c r="HO156" s="9" t="n">
        <v>0</v>
      </c>
      <c r="HP156" s="9" t="n">
        <v>0</v>
      </c>
      <c r="HU156" s="10" t="n">
        <v>46152</v>
      </c>
      <c r="HW156" s="9" t="n">
        <v>0</v>
      </c>
      <c r="HY156" s="9" t="n">
        <v>0</v>
      </c>
      <c r="HZ156" s="9" t="n">
        <v>6160</v>
      </c>
      <c r="ID156" s="10" t="n">
        <v>46152</v>
      </c>
      <c r="IF156" s="9" t="n">
        <v>0</v>
      </c>
      <c r="IH156" s="9" t="n">
        <v>0</v>
      </c>
      <c r="II156" s="9" t="n">
        <v>540</v>
      </c>
      <c r="IM156" s="10" t="n">
        <v>46152</v>
      </c>
      <c r="IO156" s="9" t="n">
        <v>0</v>
      </c>
      <c r="IQ156" s="9" t="n">
        <v>0</v>
      </c>
      <c r="IR156" s="9" t="n">
        <v>11540</v>
      </c>
      <c r="IV156" s="10" t="n">
        <v>46152</v>
      </c>
      <c r="IX156" s="9" t="n">
        <v>0</v>
      </c>
      <c r="IZ156" s="9" t="n">
        <v>0</v>
      </c>
      <c r="JA156" s="9" t="n">
        <v>15120</v>
      </c>
      <c r="JE156" s="10" t="n">
        <v>46152</v>
      </c>
      <c r="JG156" s="9" t="n">
        <v>0</v>
      </c>
      <c r="JI156" s="9" t="n">
        <v>0</v>
      </c>
      <c r="JJ156" s="9" t="n">
        <v>0</v>
      </c>
      <c r="JN156" s="10" t="n">
        <v>46152</v>
      </c>
      <c r="JP156" s="9" t="n">
        <v>0</v>
      </c>
      <c r="JR156" s="9" t="n">
        <v>0</v>
      </c>
      <c r="JS156" s="9" t="n">
        <v>6700</v>
      </c>
      <c r="JW156" s="10" t="n">
        <v>46152</v>
      </c>
      <c r="JY156" s="9" t="n">
        <v>0</v>
      </c>
      <c r="KA156" s="9" t="n">
        <v>0</v>
      </c>
      <c r="KB156" s="9" t="n">
        <v>2540</v>
      </c>
      <c r="KF156" s="10" t="n">
        <v>46152</v>
      </c>
      <c r="KH156" s="9" t="n">
        <v>0</v>
      </c>
      <c r="KJ156" s="9" t="n">
        <v>0</v>
      </c>
      <c r="KK156" s="9" t="n">
        <v>2359.5</v>
      </c>
      <c r="KO156" s="10" t="n">
        <v>46152</v>
      </c>
      <c r="KQ156" s="9" t="n">
        <v>0</v>
      </c>
      <c r="KS156" s="9" t="n">
        <v>0</v>
      </c>
      <c r="KT156" s="9" t="n">
        <v>2079</v>
      </c>
      <c r="KX156" s="10" t="n">
        <v>46152</v>
      </c>
      <c r="KZ156" s="9" t="n">
        <v>0</v>
      </c>
      <c r="LB156" s="9" t="n">
        <v>0</v>
      </c>
      <c r="LC156" s="9" t="n">
        <v>3690</v>
      </c>
      <c r="LG156" s="10" t="n">
        <v>46152</v>
      </c>
      <c r="LI156" s="9" t="n">
        <v>0</v>
      </c>
      <c r="LK156" s="9" t="n">
        <v>0</v>
      </c>
      <c r="LL156" s="9" t="n">
        <v>4000</v>
      </c>
      <c r="LP156" s="10" t="n">
        <v>46152</v>
      </c>
      <c r="LR156" s="9" t="n">
        <v>0</v>
      </c>
      <c r="LT156" s="9" t="n">
        <v>0</v>
      </c>
      <c r="LU156" s="9" t="n">
        <v>0</v>
      </c>
      <c r="LY156" s="10" t="n">
        <v>46152</v>
      </c>
      <c r="MA156" s="9" t="n">
        <v>0</v>
      </c>
      <c r="MC156" s="9" t="n">
        <v>0</v>
      </c>
      <c r="MD156" s="9" t="n">
        <v>0</v>
      </c>
      <c r="MH156" s="10" t="n">
        <v>46152</v>
      </c>
      <c r="MJ156" s="9" t="n">
        <v>0</v>
      </c>
      <c r="ML156" s="9" t="n">
        <v>0</v>
      </c>
      <c r="MM156" s="9" t="n">
        <v>0</v>
      </c>
      <c r="MQ156" s="10" t="n">
        <v>46152</v>
      </c>
      <c r="MS156" s="9" t="n">
        <v>0</v>
      </c>
      <c r="MU156" s="9" t="n">
        <v>0</v>
      </c>
      <c r="MV156" s="9" t="n">
        <v>3846</v>
      </c>
      <c r="MZ156" s="10" t="n">
        <v>46152</v>
      </c>
      <c r="NB156" s="9" t="n">
        <v>0</v>
      </c>
      <c r="ND156" s="9" t="n">
        <v>0</v>
      </c>
      <c r="NE156" s="9" t="n">
        <v>0</v>
      </c>
      <c r="NI156" s="10" t="n">
        <v>46152</v>
      </c>
      <c r="NK156" s="9" t="n">
        <v>0</v>
      </c>
      <c r="NM156" s="9" t="n">
        <v>0</v>
      </c>
      <c r="NN156" s="9" t="n">
        <v>1137</v>
      </c>
      <c r="NR156" s="10" t="n">
        <v>46152</v>
      </c>
      <c r="NT156" s="9" t="n">
        <v>0</v>
      </c>
      <c r="NV156" s="9" t="n">
        <v>0</v>
      </c>
      <c r="NW156" s="9" t="n">
        <v>3122.9</v>
      </c>
      <c r="OA156" s="10" t="n">
        <v>46152</v>
      </c>
      <c r="OC156" s="9" t="n">
        <v>0</v>
      </c>
      <c r="OE156" s="9" t="n">
        <v>0</v>
      </c>
      <c r="OF156" s="9" t="n">
        <v>1680.5</v>
      </c>
      <c r="OJ156" s="10" t="n">
        <v>46152</v>
      </c>
      <c r="OL156" s="9" t="n">
        <v>0</v>
      </c>
      <c r="ON156" s="9" t="n">
        <v>0</v>
      </c>
      <c r="OO156" s="9" t="n">
        <v>0</v>
      </c>
      <c r="OS156" s="10" t="n">
        <v>46152</v>
      </c>
      <c r="OU156" s="9" t="n">
        <v>0</v>
      </c>
      <c r="OW156" s="9" t="n">
        <v>0</v>
      </c>
      <c r="OX156" s="9" t="n">
        <v>982</v>
      </c>
      <c r="PB156" s="10" t="n">
        <v>46152</v>
      </c>
      <c r="PD156" s="9" t="n">
        <v>0</v>
      </c>
      <c r="PF156" s="9" t="n">
        <v>0</v>
      </c>
      <c r="PG156" s="9" t="n">
        <v>0</v>
      </c>
      <c r="PK156" s="10" t="n">
        <v>46152</v>
      </c>
      <c r="PM156" s="9" t="n">
        <v>0</v>
      </c>
      <c r="PO156" s="9" t="n">
        <v>0</v>
      </c>
      <c r="PP156" s="9" t="n">
        <v>100</v>
      </c>
      <c r="PT156" s="10" t="n">
        <v>46152</v>
      </c>
      <c r="PV156" s="9" t="n">
        <v>0</v>
      </c>
      <c r="PX156" s="9" t="n">
        <v>0</v>
      </c>
      <c r="PY156" s="9" t="n">
        <v>13.96000000000004</v>
      </c>
      <c r="QC156" s="10" t="n">
        <v>46152</v>
      </c>
      <c r="QE156" s="9" t="n">
        <v>0</v>
      </c>
      <c r="QG156" s="9" t="n">
        <v>0</v>
      </c>
      <c r="QH156" s="9" t="n">
        <v>468</v>
      </c>
      <c r="QL156" s="10" t="n">
        <v>46152</v>
      </c>
      <c r="QN156" s="9" t="n">
        <v>0</v>
      </c>
      <c r="QP156" s="9" t="n">
        <v>0</v>
      </c>
      <c r="QQ156" s="9" t="n">
        <v>0</v>
      </c>
      <c r="QU156" s="10" t="n">
        <v>46152</v>
      </c>
      <c r="QW156" s="9" t="n">
        <v>0</v>
      </c>
      <c r="QY156" s="9" t="n">
        <v>0</v>
      </c>
      <c r="QZ156" s="9" t="n">
        <v>207.6</v>
      </c>
      <c r="RD156" s="10" t="n">
        <v>46152</v>
      </c>
      <c r="RF156" s="9" t="n">
        <v>0</v>
      </c>
      <c r="RH156" s="9" t="n">
        <v>0</v>
      </c>
      <c r="RI156" s="9" t="n">
        <v>147.04</v>
      </c>
      <c r="RM156" s="10" t="n">
        <v>46152</v>
      </c>
      <c r="RO156" s="9" t="n">
        <v>0</v>
      </c>
      <c r="RQ156" s="9" t="n">
        <v>0</v>
      </c>
      <c r="RR156" s="9" t="n">
        <v>46.8</v>
      </c>
      <c r="RV156" s="10" t="n">
        <v>46152</v>
      </c>
      <c r="RX156" s="9" t="n">
        <v>0</v>
      </c>
      <c r="RZ156" s="9" t="n">
        <v>0</v>
      </c>
      <c r="SA156" s="9" t="n">
        <v>0</v>
      </c>
      <c r="SE156" s="10" t="n">
        <v>46152</v>
      </c>
      <c r="SG156" s="9" t="n">
        <v>0</v>
      </c>
      <c r="SI156" s="9" t="n">
        <v>0</v>
      </c>
      <c r="SJ156" s="9" t="n">
        <v>24.2</v>
      </c>
      <c r="SN156" s="10" t="n">
        <v>46152</v>
      </c>
      <c r="SP156" s="9" t="n">
        <v>0</v>
      </c>
      <c r="SR156" s="9" t="n">
        <v>0</v>
      </c>
      <c r="SS156" s="9" t="n">
        <v>32</v>
      </c>
      <c r="SW156" s="10" t="n">
        <v>46152</v>
      </c>
      <c r="SY156" s="9" t="n">
        <v>0</v>
      </c>
      <c r="TA156" s="9" t="n">
        <v>0</v>
      </c>
      <c r="TB156" s="9" t="n">
        <v>0</v>
      </c>
      <c r="TF156" s="10" t="n">
        <v>46152</v>
      </c>
      <c r="TH156" s="9" t="n">
        <v>0</v>
      </c>
      <c r="TJ156" s="9" t="n">
        <v>0</v>
      </c>
      <c r="TK156" s="9" t="n">
        <v>0</v>
      </c>
      <c r="TO156" s="10" t="n">
        <v>46152</v>
      </c>
      <c r="TQ156" s="9" t="n">
        <v>0</v>
      </c>
      <c r="TS156" s="9" t="n">
        <v>0</v>
      </c>
      <c r="TT156" s="9" t="n">
        <v>0</v>
      </c>
      <c r="TX156" s="10" t="n">
        <v>46152</v>
      </c>
      <c r="TZ156" s="9" t="n">
        <v>0</v>
      </c>
      <c r="UB156" s="9" t="n">
        <v>0</v>
      </c>
      <c r="UC156" s="9" t="n">
        <v>0</v>
      </c>
      <c r="UG156" s="10" t="n">
        <v>46152</v>
      </c>
      <c r="UI156" s="9" t="n">
        <v>0</v>
      </c>
      <c r="UK156" s="9" t="n">
        <v>0</v>
      </c>
      <c r="UL156" s="9" t="n">
        <v>0</v>
      </c>
      <c r="UP156" s="10" t="n">
        <v>46152</v>
      </c>
      <c r="UR156" s="9" t="n">
        <v>0</v>
      </c>
      <c r="UT156" s="9" t="n">
        <v>0</v>
      </c>
      <c r="UU156" s="9" t="n">
        <v>0</v>
      </c>
      <c r="UY156" s="10" t="n">
        <v>46152</v>
      </c>
      <c r="VA156" s="9" t="n">
        <v>0</v>
      </c>
      <c r="VC156" s="9" t="n">
        <v>0</v>
      </c>
      <c r="VD156" s="9" t="n">
        <v>41.60000000000002</v>
      </c>
      <c r="VH156" s="10" t="n">
        <v>46152</v>
      </c>
      <c r="VJ156" s="9" t="n">
        <v>0</v>
      </c>
      <c r="VL156" s="9" t="n">
        <v>0</v>
      </c>
      <c r="VM156" s="9" t="n">
        <v>0</v>
      </c>
      <c r="VQ156" s="10" t="n">
        <v>46152</v>
      </c>
      <c r="VS156" s="9" t="n">
        <v>0</v>
      </c>
      <c r="VU156" s="9" t="n">
        <v>0</v>
      </c>
      <c r="VV156" s="9" t="n">
        <v>0</v>
      </c>
      <c r="VZ156" s="10" t="n">
        <v>46152</v>
      </c>
      <c r="WB156" s="9" t="n">
        <v>0</v>
      </c>
      <c r="WD156" s="9" t="n">
        <v>0</v>
      </c>
      <c r="WE156" s="9" t="n">
        <v>0</v>
      </c>
      <c r="WI156" s="10" t="n">
        <v>46152</v>
      </c>
      <c r="WK156" s="9" t="n">
        <v>0</v>
      </c>
      <c r="WM156" s="9" t="n">
        <v>0</v>
      </c>
      <c r="WN156" s="9" t="n">
        <v>2317</v>
      </c>
      <c r="WR156" s="10" t="n">
        <v>46152</v>
      </c>
      <c r="WT156" s="9" t="n">
        <v>0</v>
      </c>
      <c r="WV156" s="9" t="n">
        <v>0</v>
      </c>
      <c r="WW156" s="9" t="n">
        <v>776</v>
      </c>
      <c r="XA156" s="10" t="n">
        <v>46152</v>
      </c>
      <c r="XC156" s="9" t="n">
        <v>0</v>
      </c>
      <c r="XE156" s="9" t="n">
        <v>0</v>
      </c>
      <c r="XF156" s="9" t="n">
        <v>12453</v>
      </c>
      <c r="XJ156" s="10" t="n">
        <v>46152</v>
      </c>
      <c r="XL156" s="9" t="n">
        <v>0</v>
      </c>
      <c r="XN156" s="9" t="n">
        <v>0</v>
      </c>
      <c r="XO156" s="9" t="n">
        <v>1289</v>
      </c>
      <c r="XS156" s="10" t="n">
        <v>46152</v>
      </c>
      <c r="XU156" s="9" t="n">
        <v>0</v>
      </c>
      <c r="XW156" s="9" t="n">
        <v>0</v>
      </c>
      <c r="XX156" s="9" t="n">
        <v>1901</v>
      </c>
      <c r="YB156" s="10" t="n">
        <v>46152</v>
      </c>
      <c r="YD156" s="9" t="n">
        <v>0</v>
      </c>
      <c r="YF156" s="9" t="n">
        <v>0</v>
      </c>
      <c r="YG156" s="9" t="n">
        <v>6459</v>
      </c>
      <c r="YK156" s="10" t="n">
        <v>46152</v>
      </c>
      <c r="YM156" s="9" t="n">
        <v>0</v>
      </c>
      <c r="YO156" s="9" t="n">
        <v>0</v>
      </c>
      <c r="YP156" s="9" t="n">
        <v>0</v>
      </c>
      <c r="YT156" s="10" t="n">
        <v>46152</v>
      </c>
      <c r="YV156" s="9" t="n">
        <v>0</v>
      </c>
      <c r="YX156" s="9" t="n">
        <v>0</v>
      </c>
      <c r="YY156" s="9" t="n">
        <v>0</v>
      </c>
      <c r="ZC156" s="10" t="n">
        <v>46152</v>
      </c>
      <c r="ZE156" s="9" t="n">
        <v>0</v>
      </c>
      <c r="ZG156" s="9" t="n">
        <v>0</v>
      </c>
      <c r="ZH156" s="9" t="n">
        <v>0</v>
      </c>
      <c r="ZL156" s="10" t="n">
        <v>46152</v>
      </c>
      <c r="ZN156" s="9" t="n">
        <v>0</v>
      </c>
      <c r="ZP156" s="9" t="n">
        <v>0</v>
      </c>
      <c r="ZQ156" s="9" t="n">
        <v>0</v>
      </c>
      <c r="ZU156" s="10" t="n">
        <v>46152</v>
      </c>
      <c r="ZW156" s="9" t="n">
        <v>0</v>
      </c>
      <c r="ZY156" s="9" t="n">
        <v>0</v>
      </c>
      <c r="ZZ156" s="9" t="n">
        <v>0</v>
      </c>
      <c r="AAD156" s="10" t="n">
        <v>46152</v>
      </c>
      <c r="AAF156" s="9" t="n">
        <v>0</v>
      </c>
      <c r="AAH156" s="9" t="n">
        <v>0</v>
      </c>
      <c r="AAI156" s="9" t="n">
        <v>0</v>
      </c>
      <c r="AAM156" s="10" t="n">
        <v>46152</v>
      </c>
      <c r="AAO156" s="9" t="n">
        <v>0</v>
      </c>
      <c r="AAQ156" s="9" t="n">
        <v>0</v>
      </c>
      <c r="AAR156" s="9" t="n">
        <v>0</v>
      </c>
      <c r="AAV156" s="10" t="n">
        <v>46152</v>
      </c>
      <c r="AAX156" s="9" t="n">
        <v>0</v>
      </c>
      <c r="AAZ156" s="9" t="n">
        <v>0</v>
      </c>
      <c r="ABA156" s="9" t="n">
        <v>0</v>
      </c>
      <c r="ABE156" s="10" t="n">
        <v>46152</v>
      </c>
      <c r="ABG156" s="9" t="n">
        <v>0</v>
      </c>
      <c r="ABI156" s="9" t="n">
        <v>0</v>
      </c>
      <c r="ABJ156" s="9" t="n">
        <v>0</v>
      </c>
    </row>
    <row r="157">
      <c r="B157" s="9" t="n">
        <v>70</v>
      </c>
      <c r="C157" s="10" t="n">
        <v>46153</v>
      </c>
      <c r="E157" s="9" t="n">
        <v>38951.6</v>
      </c>
      <c r="F157" s="9" t="n">
        <v>38943</v>
      </c>
      <c r="G157" s="9" t="n">
        <v>8.599999999998545</v>
      </c>
      <c r="H157" s="9" t="n">
        <v>156377.0000000001</v>
      </c>
      <c r="I157" s="9" t="inlineStr">
        <is>
          <t>8102 20mt, 50mt</t>
        </is>
      </c>
      <c r="L157" s="10" t="n">
        <v>46153</v>
      </c>
      <c r="M157" s="9" t="n">
        <v>25720</v>
      </c>
      <c r="N157" s="9" t="n">
        <v>22204</v>
      </c>
      <c r="O157" s="9" t="n">
        <v>22206.8</v>
      </c>
      <c r="P157" s="9" t="n">
        <v>-2.799999999999272</v>
      </c>
      <c r="Q157" s="9" t="n">
        <v>51784.60000000009</v>
      </c>
      <c r="U157" s="10" t="n">
        <v>46153</v>
      </c>
      <c r="W157" s="9" t="n">
        <v>3500</v>
      </c>
      <c r="X157" s="9" t="n">
        <v>3500.2</v>
      </c>
      <c r="Y157" s="9" t="n">
        <v>-0.1999999999998181</v>
      </c>
      <c r="Z157" s="9" t="n">
        <v>35312.69999999997</v>
      </c>
      <c r="AD157" s="10" t="n">
        <v>46153</v>
      </c>
      <c r="AE157" s="9" t="n">
        <v>30400</v>
      </c>
      <c r="AF157" s="9" t="n">
        <v>0</v>
      </c>
      <c r="AH157" s="9" t="n">
        <v>0</v>
      </c>
      <c r="AI157" s="9" t="n">
        <v>33429.60000000002</v>
      </c>
      <c r="AM157" s="10" t="n">
        <v>46153</v>
      </c>
      <c r="AO157" s="9" t="n">
        <v>0</v>
      </c>
      <c r="AQ157" s="9" t="n">
        <v>0</v>
      </c>
      <c r="AR157" s="9" t="n">
        <v>0</v>
      </c>
      <c r="AV157" s="10" t="n">
        <v>46153</v>
      </c>
      <c r="AX157" s="9" t="n">
        <v>0</v>
      </c>
      <c r="AZ157" s="9" t="n">
        <v>0</v>
      </c>
      <c r="BA157" s="9" t="n">
        <v>36409.89999999999</v>
      </c>
      <c r="BE157" s="10" t="n">
        <v>46153</v>
      </c>
      <c r="BG157" s="9" t="n">
        <v>1365</v>
      </c>
      <c r="BH157" s="9" t="n">
        <v>1364</v>
      </c>
      <c r="BI157" s="9" t="n">
        <v>1</v>
      </c>
      <c r="BJ157" s="9" t="n">
        <v>19213.29999999999</v>
      </c>
      <c r="BN157" s="10" t="n">
        <v>46153</v>
      </c>
      <c r="BO157" s="9" t="n">
        <v>1645</v>
      </c>
      <c r="BP157" s="9" t="n">
        <v>1645</v>
      </c>
      <c r="BQ157" s="9" t="n">
        <v>1645</v>
      </c>
      <c r="BR157" s="9" t="n">
        <v>0</v>
      </c>
      <c r="BS157" s="9" t="n">
        <v>0</v>
      </c>
      <c r="BW157" s="10" t="n">
        <v>46153</v>
      </c>
      <c r="BY157" s="9" t="n">
        <v>0</v>
      </c>
      <c r="CA157" s="9" t="n">
        <v>0</v>
      </c>
      <c r="CB157" s="9" t="n">
        <v>5833.799999999999</v>
      </c>
      <c r="CF157" s="10" t="n">
        <v>46153</v>
      </c>
      <c r="CH157" s="9" t="n">
        <v>449.4</v>
      </c>
      <c r="CJ157" s="9" t="n">
        <v>449.4</v>
      </c>
      <c r="CK157" s="9" t="n">
        <v>0</v>
      </c>
      <c r="CO157" s="10" t="n">
        <v>46153</v>
      </c>
      <c r="CQ157" s="9" t="n">
        <v>0</v>
      </c>
      <c r="CS157" s="9" t="n">
        <v>0</v>
      </c>
      <c r="CT157" s="9" t="n">
        <v>0</v>
      </c>
      <c r="CX157" s="10" t="n">
        <v>46153</v>
      </c>
      <c r="CZ157" s="9" t="n">
        <v>0</v>
      </c>
      <c r="DB157" s="9" t="n">
        <v>0</v>
      </c>
      <c r="DC157" s="9" t="n">
        <v>21657</v>
      </c>
      <c r="DG157" s="10" t="n">
        <v>46153</v>
      </c>
      <c r="DI157" s="9" t="n">
        <v>0</v>
      </c>
      <c r="DK157" s="9" t="n">
        <v>0</v>
      </c>
      <c r="DL157" s="9" t="n">
        <v>40437.99999999999</v>
      </c>
      <c r="DP157" s="10" t="n">
        <v>46153</v>
      </c>
      <c r="DR157" s="9" t="n">
        <v>0</v>
      </c>
      <c r="DT157" s="9" t="n">
        <v>0</v>
      </c>
      <c r="DU157" s="9" t="n">
        <v>5800</v>
      </c>
      <c r="DY157" s="10" t="n">
        <v>46153</v>
      </c>
      <c r="EA157" s="9" t="n">
        <v>0</v>
      </c>
      <c r="EC157" s="9" t="n">
        <v>0</v>
      </c>
      <c r="ED157" s="9" t="n">
        <v>0</v>
      </c>
      <c r="EH157" s="10" t="n">
        <v>46153</v>
      </c>
      <c r="EJ157" s="9" t="n">
        <v>0</v>
      </c>
      <c r="EL157" s="9" t="n">
        <v>0</v>
      </c>
      <c r="EM157" s="9" t="n">
        <v>0</v>
      </c>
      <c r="EQ157" s="10" t="n">
        <v>46153</v>
      </c>
      <c r="ES157" s="9" t="n">
        <v>0</v>
      </c>
      <c r="EU157" s="9" t="n">
        <v>0</v>
      </c>
      <c r="EV157" s="9" t="n">
        <v>0</v>
      </c>
      <c r="EZ157" s="10" t="n">
        <v>46153</v>
      </c>
      <c r="FB157" s="9" t="n">
        <v>0</v>
      </c>
      <c r="FD157" s="9" t="n">
        <v>0</v>
      </c>
      <c r="FE157" s="9" t="n">
        <v>0</v>
      </c>
      <c r="FI157" s="10" t="n">
        <v>46153</v>
      </c>
      <c r="FK157" s="9" t="n">
        <v>0</v>
      </c>
      <c r="FM157" s="9" t="n">
        <v>0</v>
      </c>
      <c r="FN157" s="9" t="n">
        <v>0</v>
      </c>
      <c r="FR157" s="10" t="n">
        <v>46153</v>
      </c>
      <c r="FT157" s="9" t="n">
        <v>0</v>
      </c>
      <c r="FV157" s="9" t="n">
        <v>0</v>
      </c>
      <c r="FW157" s="9" t="n">
        <v>2120</v>
      </c>
      <c r="GA157" s="10" t="n">
        <v>46153</v>
      </c>
      <c r="GC157" s="9" t="n">
        <v>0</v>
      </c>
      <c r="GE157" s="9" t="n">
        <v>0</v>
      </c>
      <c r="GF157" s="9" t="n">
        <v>3640</v>
      </c>
      <c r="GJ157" s="10" t="n">
        <v>46153</v>
      </c>
      <c r="GL157" s="9" t="n">
        <v>0</v>
      </c>
      <c r="GN157" s="9" t="n">
        <v>0</v>
      </c>
      <c r="GO157" s="9" t="n">
        <v>0</v>
      </c>
      <c r="GS157" s="10" t="n">
        <v>46153</v>
      </c>
      <c r="GU157" s="9" t="n">
        <v>0</v>
      </c>
      <c r="GW157" s="9" t="n">
        <v>0</v>
      </c>
      <c r="GX157" s="9" t="n">
        <v>0</v>
      </c>
      <c r="HB157" s="10" t="n">
        <v>46153</v>
      </c>
      <c r="HD157" s="9" t="n">
        <v>0</v>
      </c>
      <c r="HF157" s="9" t="n">
        <v>0</v>
      </c>
      <c r="HG157" s="9" t="n">
        <v>0</v>
      </c>
      <c r="HK157" s="10" t="n">
        <v>46153</v>
      </c>
      <c r="HM157" s="9" t="n">
        <v>0</v>
      </c>
      <c r="HO157" s="9" t="n">
        <v>0</v>
      </c>
      <c r="HP157" s="9" t="n">
        <v>0</v>
      </c>
      <c r="HU157" s="10" t="n">
        <v>46153</v>
      </c>
      <c r="HW157" s="9" t="n">
        <v>0</v>
      </c>
      <c r="HY157" s="9" t="n">
        <v>0</v>
      </c>
      <c r="HZ157" s="9" t="n">
        <v>6160</v>
      </c>
      <c r="ID157" s="10" t="n">
        <v>46153</v>
      </c>
      <c r="IF157" s="9" t="n">
        <v>0</v>
      </c>
      <c r="IH157" s="9" t="n">
        <v>0</v>
      </c>
      <c r="II157" s="9" t="n">
        <v>540</v>
      </c>
      <c r="IM157" s="10" t="n">
        <v>46153</v>
      </c>
      <c r="IO157" s="9" t="n">
        <v>0</v>
      </c>
      <c r="IQ157" s="9" t="n">
        <v>0</v>
      </c>
      <c r="IR157" s="9" t="n">
        <v>11540</v>
      </c>
      <c r="IV157" s="10" t="n">
        <v>46153</v>
      </c>
      <c r="IX157" s="9" t="n">
        <v>0</v>
      </c>
      <c r="IZ157" s="9" t="n">
        <v>0</v>
      </c>
      <c r="JA157" s="9" t="n">
        <v>15120</v>
      </c>
      <c r="JE157" s="10" t="n">
        <v>46153</v>
      </c>
      <c r="JG157" s="9" t="n">
        <v>1000</v>
      </c>
      <c r="JI157" s="9" t="n">
        <v>1000</v>
      </c>
      <c r="JJ157" s="9" t="n">
        <v>0</v>
      </c>
      <c r="JN157" s="10" t="n">
        <v>46153</v>
      </c>
      <c r="JP157" s="9" t="n">
        <v>400</v>
      </c>
      <c r="JR157" s="9" t="n">
        <v>400</v>
      </c>
      <c r="JS157" s="9" t="n">
        <v>6700</v>
      </c>
      <c r="JW157" s="10" t="n">
        <v>46153</v>
      </c>
      <c r="JY157" s="9" t="n">
        <v>0</v>
      </c>
      <c r="KA157" s="9" t="n">
        <v>0</v>
      </c>
      <c r="KB157" s="9" t="n">
        <v>2540</v>
      </c>
      <c r="KF157" s="10" t="n">
        <v>46153</v>
      </c>
      <c r="KH157" s="9" t="n">
        <v>0</v>
      </c>
      <c r="KJ157" s="9" t="n">
        <v>0</v>
      </c>
      <c r="KK157" s="9" t="n">
        <v>2359.5</v>
      </c>
      <c r="KO157" s="10" t="n">
        <v>46153</v>
      </c>
      <c r="KQ157" s="9" t="n">
        <v>0</v>
      </c>
      <c r="KS157" s="9" t="n">
        <v>0</v>
      </c>
      <c r="KT157" s="9" t="n">
        <v>2079</v>
      </c>
      <c r="KX157" s="10" t="n">
        <v>46153</v>
      </c>
      <c r="KZ157" s="9" t="n">
        <v>0</v>
      </c>
      <c r="LB157" s="9" t="n">
        <v>0</v>
      </c>
      <c r="LC157" s="9" t="n">
        <v>3690</v>
      </c>
      <c r="LG157" s="10" t="n">
        <v>46153</v>
      </c>
      <c r="LI157" s="9" t="n">
        <v>0</v>
      </c>
      <c r="LK157" s="9" t="n">
        <v>0</v>
      </c>
      <c r="LL157" s="9" t="n">
        <v>4000</v>
      </c>
      <c r="LP157" s="10" t="n">
        <v>46153</v>
      </c>
      <c r="LR157" s="9" t="n">
        <v>0</v>
      </c>
      <c r="LT157" s="9" t="n">
        <v>0</v>
      </c>
      <c r="LU157" s="9" t="n">
        <v>0</v>
      </c>
      <c r="LY157" s="10" t="n">
        <v>46153</v>
      </c>
      <c r="MA157" s="9" t="n">
        <v>0</v>
      </c>
      <c r="MC157" s="9" t="n">
        <v>0</v>
      </c>
      <c r="MD157" s="9" t="n">
        <v>0</v>
      </c>
      <c r="MH157" s="10" t="n">
        <v>46153</v>
      </c>
      <c r="MJ157" s="9" t="n">
        <v>0</v>
      </c>
      <c r="ML157" s="9" t="n">
        <v>0</v>
      </c>
      <c r="MM157" s="9" t="n">
        <v>0</v>
      </c>
      <c r="MQ157" s="10" t="n">
        <v>46153</v>
      </c>
      <c r="MS157" s="9" t="n">
        <v>0</v>
      </c>
      <c r="MU157" s="9" t="n">
        <v>0</v>
      </c>
      <c r="MV157" s="9" t="n">
        <v>3846</v>
      </c>
      <c r="MZ157" s="10" t="n">
        <v>46153</v>
      </c>
      <c r="NB157" s="9" t="n">
        <v>210</v>
      </c>
      <c r="ND157" s="9" t="n">
        <v>210</v>
      </c>
      <c r="NE157" s="9" t="n">
        <v>0</v>
      </c>
      <c r="NI157" s="10" t="n">
        <v>46153</v>
      </c>
      <c r="NK157" s="9" t="n">
        <v>0</v>
      </c>
      <c r="NM157" s="9" t="n">
        <v>0</v>
      </c>
      <c r="NN157" s="9" t="n">
        <v>1137</v>
      </c>
      <c r="NR157" s="10" t="n">
        <v>46153</v>
      </c>
      <c r="NT157" s="9" t="n">
        <v>0</v>
      </c>
      <c r="NV157" s="9" t="n">
        <v>0</v>
      </c>
      <c r="NW157" s="9" t="n">
        <v>3122.9</v>
      </c>
      <c r="OA157" s="10" t="n">
        <v>46153</v>
      </c>
      <c r="OC157" s="9" t="n">
        <v>50</v>
      </c>
      <c r="OE157" s="9" t="n">
        <v>50</v>
      </c>
      <c r="OF157" s="9" t="n">
        <v>1680.5</v>
      </c>
      <c r="OJ157" s="10" t="n">
        <v>46153</v>
      </c>
      <c r="OL157" s="9" t="n">
        <v>0</v>
      </c>
      <c r="ON157" s="9" t="n">
        <v>0</v>
      </c>
      <c r="OO157" s="9" t="n">
        <v>0</v>
      </c>
      <c r="OS157" s="10" t="n">
        <v>46153</v>
      </c>
      <c r="OU157" s="9" t="n">
        <v>50</v>
      </c>
      <c r="OW157" s="9" t="n">
        <v>50</v>
      </c>
      <c r="OX157" s="9" t="n">
        <v>982</v>
      </c>
      <c r="PB157" s="10" t="n">
        <v>46153</v>
      </c>
      <c r="PD157" s="9" t="n">
        <v>0</v>
      </c>
      <c r="PF157" s="9" t="n">
        <v>0</v>
      </c>
      <c r="PG157" s="9" t="n">
        <v>0</v>
      </c>
      <c r="PK157" s="10" t="n">
        <v>46153</v>
      </c>
      <c r="PM157" s="9" t="n">
        <v>0</v>
      </c>
      <c r="PO157" s="9" t="n">
        <v>0</v>
      </c>
      <c r="PP157" s="9" t="n">
        <v>100</v>
      </c>
      <c r="PT157" s="10" t="n">
        <v>46153</v>
      </c>
      <c r="PV157" s="9" t="n">
        <v>0</v>
      </c>
      <c r="PX157" s="9" t="n">
        <v>0</v>
      </c>
      <c r="PY157" s="9" t="n">
        <v>13.96000000000004</v>
      </c>
      <c r="QC157" s="10" t="n">
        <v>46153</v>
      </c>
      <c r="QE157" s="9" t="n">
        <v>0</v>
      </c>
      <c r="QG157" s="9" t="n">
        <v>0</v>
      </c>
      <c r="QH157" s="9" t="n">
        <v>468</v>
      </c>
      <c r="QL157" s="10" t="n">
        <v>46153</v>
      </c>
      <c r="QN157" s="9" t="n">
        <v>175</v>
      </c>
      <c r="QP157" s="9" t="n">
        <v>175</v>
      </c>
      <c r="QQ157" s="9" t="n">
        <v>0</v>
      </c>
      <c r="QU157" s="10" t="n">
        <v>46153</v>
      </c>
      <c r="QW157" s="9" t="n">
        <v>0</v>
      </c>
      <c r="QY157" s="9" t="n">
        <v>0</v>
      </c>
      <c r="QZ157" s="9" t="n">
        <v>207.6</v>
      </c>
      <c r="RD157" s="10" t="n">
        <v>46153</v>
      </c>
      <c r="RF157" s="9" t="n">
        <v>0</v>
      </c>
      <c r="RH157" s="9" t="n">
        <v>0</v>
      </c>
      <c r="RI157" s="9" t="n">
        <v>147.04</v>
      </c>
      <c r="RM157" s="10" t="n">
        <v>46153</v>
      </c>
      <c r="RO157" s="9" t="n">
        <v>0</v>
      </c>
      <c r="RQ157" s="9" t="n">
        <v>0</v>
      </c>
      <c r="RR157" s="9" t="n">
        <v>46.8</v>
      </c>
      <c r="RV157" s="10" t="n">
        <v>46153</v>
      </c>
      <c r="RX157" s="9" t="n">
        <v>0</v>
      </c>
      <c r="RZ157" s="9" t="n">
        <v>0</v>
      </c>
      <c r="SA157" s="9" t="n">
        <v>0</v>
      </c>
      <c r="SE157" s="10" t="n">
        <v>46153</v>
      </c>
      <c r="SG157" s="9" t="n">
        <v>0</v>
      </c>
      <c r="SI157" s="9" t="n">
        <v>0</v>
      </c>
      <c r="SJ157" s="9" t="n">
        <v>24.2</v>
      </c>
      <c r="SN157" s="10" t="n">
        <v>46153</v>
      </c>
      <c r="SP157" s="9" t="n">
        <v>0</v>
      </c>
      <c r="SR157" s="9" t="n">
        <v>0</v>
      </c>
      <c r="SS157" s="9" t="n">
        <v>32</v>
      </c>
      <c r="SW157" s="10" t="n">
        <v>46153</v>
      </c>
      <c r="SY157" s="9" t="n">
        <v>0</v>
      </c>
      <c r="TA157" s="9" t="n">
        <v>0</v>
      </c>
      <c r="TB157" s="9" t="n">
        <v>0</v>
      </c>
      <c r="TF157" s="10" t="n">
        <v>46153</v>
      </c>
      <c r="TH157" s="9" t="n">
        <v>0</v>
      </c>
      <c r="TJ157" s="9" t="n">
        <v>0</v>
      </c>
      <c r="TK157" s="9" t="n">
        <v>0</v>
      </c>
      <c r="TO157" s="10" t="n">
        <v>46153</v>
      </c>
      <c r="TQ157" s="9" t="n">
        <v>0</v>
      </c>
      <c r="TS157" s="9" t="n">
        <v>0</v>
      </c>
      <c r="TT157" s="9" t="n">
        <v>0</v>
      </c>
      <c r="TX157" s="10" t="n">
        <v>46153</v>
      </c>
      <c r="TZ157" s="9" t="n">
        <v>0</v>
      </c>
      <c r="UB157" s="9" t="n">
        <v>0</v>
      </c>
      <c r="UC157" s="9" t="n">
        <v>0</v>
      </c>
      <c r="UG157" s="10" t="n">
        <v>46153</v>
      </c>
      <c r="UI157" s="9" t="n">
        <v>0</v>
      </c>
      <c r="UK157" s="9" t="n">
        <v>0</v>
      </c>
      <c r="UL157" s="9" t="n">
        <v>0</v>
      </c>
      <c r="UP157" s="10" t="n">
        <v>46153</v>
      </c>
      <c r="UR157" s="9" t="n">
        <v>0</v>
      </c>
      <c r="UT157" s="9" t="n">
        <v>0</v>
      </c>
      <c r="UU157" s="9" t="n">
        <v>0</v>
      </c>
      <c r="UY157" s="10" t="n">
        <v>46153</v>
      </c>
      <c r="VA157" s="9" t="n">
        <v>0</v>
      </c>
      <c r="VC157" s="9" t="n">
        <v>0</v>
      </c>
      <c r="VD157" s="9" t="n">
        <v>41.60000000000002</v>
      </c>
      <c r="VH157" s="10" t="n">
        <v>46153</v>
      </c>
      <c r="VJ157" s="9" t="n">
        <v>0</v>
      </c>
      <c r="VL157" s="9" t="n">
        <v>0</v>
      </c>
      <c r="VM157" s="9" t="n">
        <v>0</v>
      </c>
      <c r="VQ157" s="10" t="n">
        <v>46153</v>
      </c>
      <c r="VS157" s="9" t="n">
        <v>175</v>
      </c>
      <c r="VU157" s="9" t="n">
        <v>175</v>
      </c>
      <c r="VV157" s="9" t="n">
        <v>0</v>
      </c>
      <c r="VZ157" s="10" t="n">
        <v>46153</v>
      </c>
      <c r="WB157" s="9" t="n">
        <v>175</v>
      </c>
      <c r="WD157" s="9" t="n">
        <v>175</v>
      </c>
      <c r="WE157" s="9" t="n">
        <v>0</v>
      </c>
      <c r="WI157" s="10" t="n">
        <v>46153</v>
      </c>
      <c r="WK157" s="9" t="n">
        <v>0</v>
      </c>
      <c r="WM157" s="9" t="n">
        <v>0</v>
      </c>
      <c r="WN157" s="9" t="n">
        <v>2317</v>
      </c>
      <c r="WR157" s="10" t="n">
        <v>46153</v>
      </c>
      <c r="WT157" s="9" t="n">
        <v>0</v>
      </c>
      <c r="WV157" s="9" t="n">
        <v>0</v>
      </c>
      <c r="WW157" s="9" t="n">
        <v>776</v>
      </c>
      <c r="XA157" s="10" t="n">
        <v>46153</v>
      </c>
      <c r="XC157" s="9" t="n">
        <v>0</v>
      </c>
      <c r="XE157" s="9" t="n">
        <v>0</v>
      </c>
      <c r="XF157" s="9" t="n">
        <v>12453</v>
      </c>
      <c r="XJ157" s="10" t="n">
        <v>46153</v>
      </c>
      <c r="XL157" s="9" t="n">
        <v>0</v>
      </c>
      <c r="XN157" s="9" t="n">
        <v>0</v>
      </c>
      <c r="XO157" s="9" t="n">
        <v>1289</v>
      </c>
      <c r="XS157" s="10" t="n">
        <v>46153</v>
      </c>
      <c r="XU157" s="9" t="n">
        <v>0</v>
      </c>
      <c r="XW157" s="9" t="n">
        <v>0</v>
      </c>
      <c r="XX157" s="9" t="n">
        <v>1901</v>
      </c>
      <c r="YB157" s="10" t="n">
        <v>46153</v>
      </c>
      <c r="YD157" s="9" t="n">
        <v>0</v>
      </c>
      <c r="YF157" s="9" t="n">
        <v>0</v>
      </c>
      <c r="YG157" s="9" t="n">
        <v>6459</v>
      </c>
      <c r="YK157" s="10" t="n">
        <v>46153</v>
      </c>
      <c r="YM157" s="9" t="n">
        <v>0</v>
      </c>
      <c r="YO157" s="9" t="n">
        <v>0</v>
      </c>
      <c r="YP157" s="9" t="n">
        <v>0</v>
      </c>
      <c r="YT157" s="10" t="n">
        <v>46153</v>
      </c>
      <c r="YV157" s="9" t="n">
        <v>175</v>
      </c>
      <c r="YX157" s="9" t="n">
        <v>175</v>
      </c>
      <c r="YY157" s="9" t="n">
        <v>0</v>
      </c>
      <c r="ZC157" s="10" t="n">
        <v>46153</v>
      </c>
      <c r="ZE157" s="9" t="n">
        <v>175</v>
      </c>
      <c r="ZG157" s="9" t="n">
        <v>175</v>
      </c>
      <c r="ZH157" s="9" t="n">
        <v>0</v>
      </c>
      <c r="ZL157" s="10" t="n">
        <v>46153</v>
      </c>
      <c r="ZN157" s="9" t="n">
        <v>175</v>
      </c>
      <c r="ZP157" s="9" t="n">
        <v>175</v>
      </c>
      <c r="ZQ157" s="9" t="n">
        <v>0</v>
      </c>
      <c r="ZU157" s="10" t="n">
        <v>46153</v>
      </c>
      <c r="ZW157" s="9" t="n">
        <v>175</v>
      </c>
      <c r="ZY157" s="9" t="n">
        <v>175</v>
      </c>
      <c r="ZZ157" s="9" t="n">
        <v>0</v>
      </c>
      <c r="AAD157" s="10" t="n">
        <v>46153</v>
      </c>
      <c r="AAF157" s="9" t="n">
        <v>175</v>
      </c>
      <c r="AAH157" s="9" t="n">
        <v>175</v>
      </c>
      <c r="AAI157" s="9" t="n">
        <v>0</v>
      </c>
      <c r="AAM157" s="10" t="n">
        <v>46153</v>
      </c>
      <c r="AAO157" s="9" t="n">
        <v>175</v>
      </c>
      <c r="AAQ157" s="9" t="n">
        <v>175</v>
      </c>
      <c r="AAR157" s="9" t="n">
        <v>0</v>
      </c>
      <c r="AAV157" s="10" t="n">
        <v>46153</v>
      </c>
      <c r="AAX157" s="9" t="n">
        <v>175</v>
      </c>
      <c r="AAZ157" s="9" t="n">
        <v>175</v>
      </c>
      <c r="ABA157" s="9" t="n">
        <v>0</v>
      </c>
      <c r="ABE157" s="10" t="n">
        <v>46153</v>
      </c>
      <c r="ABG157" s="9" t="n">
        <v>175</v>
      </c>
      <c r="ABI157" s="9" t="n">
        <v>175</v>
      </c>
      <c r="ABJ157" s="9" t="n">
        <v>0</v>
      </c>
    </row>
    <row r="158">
      <c r="B158" s="9" t="n">
        <v>90</v>
      </c>
      <c r="C158" s="10" t="n">
        <v>46154</v>
      </c>
      <c r="D158" s="9" t="n">
        <v>13820</v>
      </c>
      <c r="E158" s="9" t="n">
        <v>56475</v>
      </c>
      <c r="F158" s="9" t="n">
        <v>56479.6</v>
      </c>
      <c r="G158" s="9" t="n">
        <v>-4.599999999998545</v>
      </c>
      <c r="H158" s="9" t="n">
        <v>113717.4000000001</v>
      </c>
      <c r="I158" s="9" t="inlineStr">
        <is>
          <t>1103 90mt</t>
        </is>
      </c>
      <c r="L158" s="10" t="n">
        <v>46154</v>
      </c>
      <c r="N158" s="9" t="n">
        <v>12285</v>
      </c>
      <c r="O158" s="9" t="n">
        <v>12280</v>
      </c>
      <c r="P158" s="9" t="n">
        <v>5</v>
      </c>
      <c r="Q158" s="9" t="n">
        <v>39504.60000000009</v>
      </c>
      <c r="U158" s="10" t="n">
        <v>46154</v>
      </c>
      <c r="W158" s="9" t="n">
        <v>7200</v>
      </c>
      <c r="X158" s="9" t="n">
        <v>7200.5</v>
      </c>
      <c r="Y158" s="9" t="n">
        <v>-0.5</v>
      </c>
      <c r="Z158" s="9" t="n">
        <v>28112.19999999997</v>
      </c>
      <c r="AD158" s="10" t="n">
        <v>46154</v>
      </c>
      <c r="AF158" s="9" t="n">
        <v>6300</v>
      </c>
      <c r="AG158" s="9" t="n">
        <v>6301.7</v>
      </c>
      <c r="AH158" s="9" t="n">
        <v>-1.699999999999818</v>
      </c>
      <c r="AI158" s="9" t="n">
        <v>27127.90000000002</v>
      </c>
      <c r="AM158" s="10" t="n">
        <v>46154</v>
      </c>
      <c r="AO158" s="9" t="n">
        <v>0</v>
      </c>
      <c r="AQ158" s="9" t="n">
        <v>0</v>
      </c>
      <c r="AR158" s="9" t="n">
        <v>0</v>
      </c>
      <c r="AV158" s="10" t="n">
        <v>46154</v>
      </c>
      <c r="AX158" s="9" t="n">
        <v>1395</v>
      </c>
      <c r="AY158" s="9" t="n">
        <v>1395.4</v>
      </c>
      <c r="AZ158" s="9" t="n">
        <v>-0.4000000000000909</v>
      </c>
      <c r="BA158" s="9" t="n">
        <v>35014.49999999999</v>
      </c>
      <c r="BE158" s="10" t="n">
        <v>46154</v>
      </c>
      <c r="BG158" s="9" t="n">
        <v>2250</v>
      </c>
      <c r="BH158" s="9" t="n">
        <v>2251.6</v>
      </c>
      <c r="BI158" s="9" t="n">
        <v>-1.599999999999909</v>
      </c>
      <c r="BJ158" s="9" t="n">
        <v>16961.69999999999</v>
      </c>
      <c r="BN158" s="10" t="n">
        <v>46154</v>
      </c>
      <c r="BO158" s="9" t="n">
        <v>2250</v>
      </c>
      <c r="BP158" s="9" t="n">
        <v>2250</v>
      </c>
      <c r="BQ158" s="9" t="n">
        <v>2250</v>
      </c>
      <c r="BR158" s="9" t="n">
        <v>0</v>
      </c>
      <c r="BS158" s="9" t="n">
        <v>0</v>
      </c>
      <c r="BW158" s="10" t="n">
        <v>46154</v>
      </c>
      <c r="BY158" s="9" t="n">
        <v>0</v>
      </c>
      <c r="BZ158" s="9" t="n">
        <v>82</v>
      </c>
      <c r="CA158" s="9" t="n">
        <v>-82</v>
      </c>
      <c r="CB158" s="9" t="n">
        <v>5751.799999999999</v>
      </c>
      <c r="CF158" s="10" t="n">
        <v>46154</v>
      </c>
      <c r="CG158" s="9" t="n">
        <v>204.12</v>
      </c>
      <c r="CH158" s="9" t="n">
        <v>0</v>
      </c>
      <c r="CI158" s="9" t="n">
        <v>204.12</v>
      </c>
      <c r="CJ158" s="9" t="n">
        <v>-204.12</v>
      </c>
      <c r="CK158" s="9" t="n">
        <v>0</v>
      </c>
      <c r="CO158" s="10" t="n">
        <v>46154</v>
      </c>
      <c r="CQ158" s="9" t="n">
        <v>0</v>
      </c>
      <c r="CS158" s="9" t="n">
        <v>0</v>
      </c>
      <c r="CT158" s="9" t="n">
        <v>0</v>
      </c>
      <c r="CX158" s="10" t="n">
        <v>46154</v>
      </c>
      <c r="CZ158" s="9" t="n">
        <v>0</v>
      </c>
      <c r="DB158" s="9" t="n">
        <v>0</v>
      </c>
      <c r="DC158" s="9" t="n">
        <v>21657</v>
      </c>
      <c r="DG158" s="10" t="n">
        <v>46154</v>
      </c>
      <c r="DI158" s="9" t="n">
        <v>0</v>
      </c>
      <c r="DK158" s="9" t="n">
        <v>0</v>
      </c>
      <c r="DL158" s="9" t="n">
        <v>40437.99999999999</v>
      </c>
      <c r="DP158" s="10" t="n">
        <v>46154</v>
      </c>
      <c r="DR158" s="9" t="n">
        <v>0</v>
      </c>
      <c r="DT158" s="9" t="n">
        <v>0</v>
      </c>
      <c r="DU158" s="9" t="n">
        <v>5800</v>
      </c>
      <c r="DY158" s="10" t="n">
        <v>46154</v>
      </c>
      <c r="EA158" s="9" t="n">
        <v>0</v>
      </c>
      <c r="EC158" s="9" t="n">
        <v>0</v>
      </c>
      <c r="ED158" s="9" t="n">
        <v>0</v>
      </c>
      <c r="EH158" s="10" t="n">
        <v>46154</v>
      </c>
      <c r="EJ158" s="9" t="n">
        <v>0</v>
      </c>
      <c r="EL158" s="9" t="n">
        <v>0</v>
      </c>
      <c r="EM158" s="9" t="n">
        <v>0</v>
      </c>
      <c r="EQ158" s="10" t="n">
        <v>46154</v>
      </c>
      <c r="ES158" s="9" t="n">
        <v>0</v>
      </c>
      <c r="EU158" s="9" t="n">
        <v>0</v>
      </c>
      <c r="EV158" s="9" t="n">
        <v>0</v>
      </c>
      <c r="EZ158" s="10" t="n">
        <v>46154</v>
      </c>
      <c r="FB158" s="9" t="n">
        <v>0</v>
      </c>
      <c r="FD158" s="9" t="n">
        <v>0</v>
      </c>
      <c r="FE158" s="9" t="n">
        <v>0</v>
      </c>
      <c r="FI158" s="10" t="n">
        <v>46154</v>
      </c>
      <c r="FK158" s="9" t="n">
        <v>0</v>
      </c>
      <c r="FM158" s="9" t="n">
        <v>0</v>
      </c>
      <c r="FN158" s="9" t="n">
        <v>0</v>
      </c>
      <c r="FR158" s="10" t="n">
        <v>46154</v>
      </c>
      <c r="FT158" s="9" t="n">
        <v>0</v>
      </c>
      <c r="FV158" s="9" t="n">
        <v>0</v>
      </c>
      <c r="FW158" s="9" t="n">
        <v>2120</v>
      </c>
      <c r="GA158" s="10" t="n">
        <v>46154</v>
      </c>
      <c r="GC158" s="9" t="n">
        <v>0</v>
      </c>
      <c r="GE158" s="9" t="n">
        <v>0</v>
      </c>
      <c r="GF158" s="9" t="n">
        <v>3640</v>
      </c>
      <c r="GJ158" s="10" t="n">
        <v>46154</v>
      </c>
      <c r="GL158" s="9" t="n">
        <v>1800</v>
      </c>
      <c r="GN158" s="9" t="n">
        <v>1800</v>
      </c>
      <c r="GO158" s="9" t="n">
        <v>0</v>
      </c>
      <c r="GS158" s="10" t="n">
        <v>46154</v>
      </c>
      <c r="GU158" s="9" t="n">
        <v>0</v>
      </c>
      <c r="GW158" s="9" t="n">
        <v>0</v>
      </c>
      <c r="GX158" s="9" t="n">
        <v>0</v>
      </c>
      <c r="HB158" s="10" t="n">
        <v>46154</v>
      </c>
      <c r="HD158" s="9" t="n">
        <v>0</v>
      </c>
      <c r="HF158" s="9" t="n">
        <v>0</v>
      </c>
      <c r="HG158" s="9" t="n">
        <v>0</v>
      </c>
      <c r="HK158" s="10" t="n">
        <v>46154</v>
      </c>
      <c r="HM158" s="9" t="n">
        <v>0</v>
      </c>
      <c r="HO158" s="9" t="n">
        <v>0</v>
      </c>
      <c r="HP158" s="9" t="n">
        <v>0</v>
      </c>
      <c r="HU158" s="10" t="n">
        <v>46154</v>
      </c>
      <c r="HW158" s="9" t="n">
        <v>0</v>
      </c>
      <c r="HX158" s="9" t="n">
        <v>880</v>
      </c>
      <c r="HY158" s="9" t="n">
        <v>-880</v>
      </c>
      <c r="HZ158" s="9" t="n">
        <v>5280</v>
      </c>
      <c r="IA158" s="9" t="n">
        <v>44</v>
      </c>
      <c r="ID158" s="10" t="n">
        <v>46154</v>
      </c>
      <c r="IE158" s="9" t="n">
        <v>180</v>
      </c>
      <c r="IF158" s="9" t="n">
        <v>0</v>
      </c>
      <c r="IH158" s="9" t="n">
        <v>0</v>
      </c>
      <c r="II158" s="9" t="n">
        <v>720</v>
      </c>
      <c r="IM158" s="10" t="n">
        <v>46154</v>
      </c>
      <c r="IO158" s="9" t="n">
        <v>0</v>
      </c>
      <c r="IQ158" s="9" t="n">
        <v>0</v>
      </c>
      <c r="IR158" s="9" t="n">
        <v>11540</v>
      </c>
      <c r="IV158" s="10" t="n">
        <v>46154</v>
      </c>
      <c r="IX158" s="9" t="n">
        <v>0</v>
      </c>
      <c r="IY158" s="9" t="n">
        <v>2260</v>
      </c>
      <c r="IZ158" s="9" t="n">
        <v>-2260</v>
      </c>
      <c r="JA158" s="9" t="n">
        <v>12860</v>
      </c>
      <c r="JE158" s="10" t="n">
        <v>46154</v>
      </c>
      <c r="JG158" s="9" t="n">
        <v>0</v>
      </c>
      <c r="JI158" s="9" t="n">
        <v>0</v>
      </c>
      <c r="JJ158" s="9" t="n">
        <v>0</v>
      </c>
      <c r="JN158" s="10" t="n">
        <v>46154</v>
      </c>
      <c r="JP158" s="9" t="n">
        <v>0</v>
      </c>
      <c r="JR158" s="9" t="n">
        <v>0</v>
      </c>
      <c r="JS158" s="9" t="n">
        <v>6700</v>
      </c>
      <c r="JW158" s="10" t="n">
        <v>46154</v>
      </c>
      <c r="JY158" s="9" t="n">
        <v>0</v>
      </c>
      <c r="KA158" s="9" t="n">
        <v>0</v>
      </c>
      <c r="KB158" s="9" t="n">
        <v>2540</v>
      </c>
      <c r="KF158" s="10" t="n">
        <v>46154</v>
      </c>
      <c r="KH158" s="9" t="n">
        <v>0</v>
      </c>
      <c r="KJ158" s="9" t="n">
        <v>0</v>
      </c>
      <c r="KK158" s="9" t="n">
        <v>2359.5</v>
      </c>
      <c r="KO158" s="10" t="n">
        <v>46154</v>
      </c>
      <c r="KQ158" s="9" t="n">
        <v>0</v>
      </c>
      <c r="KR158" s="9" t="n">
        <v>189</v>
      </c>
      <c r="KS158" s="9" t="n">
        <v>-189</v>
      </c>
      <c r="KT158" s="9" t="n">
        <v>1890</v>
      </c>
      <c r="KX158" s="10" t="n">
        <v>46154</v>
      </c>
      <c r="KZ158" s="9" t="n">
        <v>0</v>
      </c>
      <c r="LB158" s="9" t="n">
        <v>0</v>
      </c>
      <c r="LC158" s="9" t="n">
        <v>3690</v>
      </c>
      <c r="LG158" s="10" t="n">
        <v>46154</v>
      </c>
      <c r="LI158" s="9" t="n">
        <v>0</v>
      </c>
      <c r="LK158" s="9" t="n">
        <v>0</v>
      </c>
      <c r="LL158" s="9" t="n">
        <v>4000</v>
      </c>
      <c r="LP158" s="10" t="n">
        <v>46154</v>
      </c>
      <c r="LR158" s="9" t="n">
        <v>0</v>
      </c>
      <c r="LT158" s="9" t="n">
        <v>0</v>
      </c>
      <c r="LU158" s="9" t="n">
        <v>0</v>
      </c>
      <c r="LY158" s="10" t="n">
        <v>46154</v>
      </c>
      <c r="MA158" s="9" t="n">
        <v>0</v>
      </c>
      <c r="MC158" s="9" t="n">
        <v>0</v>
      </c>
      <c r="MD158" s="9" t="n">
        <v>0</v>
      </c>
      <c r="MH158" s="10" t="n">
        <v>46154</v>
      </c>
      <c r="MJ158" s="9" t="n">
        <v>0</v>
      </c>
      <c r="ML158" s="9" t="n">
        <v>0</v>
      </c>
      <c r="MM158" s="9" t="n">
        <v>0</v>
      </c>
      <c r="MQ158" s="10" t="n">
        <v>46154</v>
      </c>
      <c r="MS158" s="9" t="n">
        <v>45</v>
      </c>
      <c r="MT158" s="9" t="n">
        <v>9</v>
      </c>
      <c r="MU158" s="9" t="n">
        <v>36</v>
      </c>
      <c r="MV158" s="9" t="n">
        <v>3837</v>
      </c>
      <c r="MZ158" s="10" t="n">
        <v>46154</v>
      </c>
      <c r="NA158" s="9" t="n">
        <v>84</v>
      </c>
      <c r="NB158" s="9" t="n">
        <v>0</v>
      </c>
      <c r="NC158" s="9" t="n">
        <v>84</v>
      </c>
      <c r="ND158" s="9" t="n">
        <v>-84</v>
      </c>
      <c r="NE158" s="9" t="n">
        <v>0</v>
      </c>
      <c r="NI158" s="10" t="n">
        <v>46154</v>
      </c>
      <c r="NK158" s="9" t="n">
        <v>0</v>
      </c>
      <c r="NL158" s="9" t="n">
        <v>10</v>
      </c>
      <c r="NM158" s="9" t="n">
        <v>-10</v>
      </c>
      <c r="NN158" s="9" t="n">
        <v>1127</v>
      </c>
      <c r="NR158" s="10" t="n">
        <v>46154</v>
      </c>
      <c r="NT158" s="9" t="n">
        <v>0</v>
      </c>
      <c r="NU158" s="9" t="n">
        <v>12</v>
      </c>
      <c r="NV158" s="9" t="n">
        <v>-12</v>
      </c>
      <c r="NW158" s="9" t="n">
        <v>3110.9</v>
      </c>
      <c r="OA158" s="10" t="n">
        <v>46154</v>
      </c>
      <c r="OC158" s="9" t="n">
        <v>0</v>
      </c>
      <c r="OE158" s="9" t="n">
        <v>0</v>
      </c>
      <c r="OF158" s="9" t="n">
        <v>1680.5</v>
      </c>
      <c r="OJ158" s="10" t="n">
        <v>46154</v>
      </c>
      <c r="OK158" s="9" t="n">
        <v>28</v>
      </c>
      <c r="OL158" s="9" t="n">
        <v>0</v>
      </c>
      <c r="OM158" s="9" t="n">
        <v>28</v>
      </c>
      <c r="ON158" s="9" t="n">
        <v>-28</v>
      </c>
      <c r="OO158" s="9" t="n">
        <v>0</v>
      </c>
      <c r="OS158" s="10" t="n">
        <v>46154</v>
      </c>
      <c r="OU158" s="9" t="n">
        <v>0</v>
      </c>
      <c r="OW158" s="9" t="n">
        <v>0</v>
      </c>
      <c r="OX158" s="9" t="n">
        <v>982</v>
      </c>
      <c r="PB158" s="10" t="n">
        <v>46154</v>
      </c>
      <c r="PD158" s="9" t="n">
        <v>0</v>
      </c>
      <c r="PF158" s="9" t="n">
        <v>0</v>
      </c>
      <c r="PG158" s="9" t="n">
        <v>0</v>
      </c>
      <c r="PK158" s="10" t="n">
        <v>46154</v>
      </c>
      <c r="PM158" s="9" t="n">
        <v>0</v>
      </c>
      <c r="PO158" s="9" t="n">
        <v>0</v>
      </c>
      <c r="PP158" s="9" t="n">
        <v>100</v>
      </c>
      <c r="PT158" s="10" t="n">
        <v>46154</v>
      </c>
      <c r="PV158" s="9" t="n">
        <v>0</v>
      </c>
      <c r="PX158" s="9" t="n">
        <v>0</v>
      </c>
      <c r="PY158" s="9" t="n">
        <v>13.96000000000004</v>
      </c>
      <c r="QC158" s="10" t="n">
        <v>46154</v>
      </c>
      <c r="QD158" s="9" t="n">
        <v>408</v>
      </c>
      <c r="QE158" s="9" t="n">
        <v>0</v>
      </c>
      <c r="QG158" s="9" t="n">
        <v>0</v>
      </c>
      <c r="QH158" s="9" t="n">
        <v>876</v>
      </c>
      <c r="QL158" s="10" t="n">
        <v>46154</v>
      </c>
      <c r="QM158" s="9" t="n">
        <v>740</v>
      </c>
      <c r="QN158" s="9" t="n">
        <v>0</v>
      </c>
      <c r="QO158" s="9" t="n">
        <v>75</v>
      </c>
      <c r="QP158" s="9" t="n">
        <v>-75</v>
      </c>
      <c r="QQ158" s="9" t="n">
        <v>665</v>
      </c>
      <c r="QU158" s="10" t="n">
        <v>46154</v>
      </c>
      <c r="QW158" s="9" t="n">
        <v>0</v>
      </c>
      <c r="QY158" s="9" t="n">
        <v>0</v>
      </c>
      <c r="QZ158" s="9" t="n">
        <v>207.6</v>
      </c>
      <c r="RD158" s="10" t="n">
        <v>46154</v>
      </c>
      <c r="RF158" s="9" t="n">
        <v>0</v>
      </c>
      <c r="RH158" s="9" t="n">
        <v>0</v>
      </c>
      <c r="RI158" s="9" t="n">
        <v>147.04</v>
      </c>
      <c r="RM158" s="10" t="n">
        <v>46154</v>
      </c>
      <c r="RO158" s="9" t="n">
        <v>0</v>
      </c>
      <c r="RQ158" s="9" t="n">
        <v>0</v>
      </c>
      <c r="RR158" s="9" t="n">
        <v>46.8</v>
      </c>
      <c r="RV158" s="10" t="n">
        <v>46154</v>
      </c>
      <c r="RX158" s="9" t="n">
        <v>0</v>
      </c>
      <c r="RZ158" s="9" t="n">
        <v>0</v>
      </c>
      <c r="SA158" s="9" t="n">
        <v>0</v>
      </c>
      <c r="SE158" s="10" t="n">
        <v>46154</v>
      </c>
      <c r="SG158" s="9" t="n">
        <v>0</v>
      </c>
      <c r="SI158" s="9" t="n">
        <v>0</v>
      </c>
      <c r="SJ158" s="9" t="n">
        <v>24.2</v>
      </c>
      <c r="SN158" s="10" t="n">
        <v>46154</v>
      </c>
      <c r="SP158" s="9" t="n">
        <v>0</v>
      </c>
      <c r="SR158" s="9" t="n">
        <v>0</v>
      </c>
      <c r="SS158" s="9" t="n">
        <v>32</v>
      </c>
      <c r="SW158" s="10" t="n">
        <v>46154</v>
      </c>
      <c r="SY158" s="9" t="n">
        <v>0</v>
      </c>
      <c r="TA158" s="9" t="n">
        <v>0</v>
      </c>
      <c r="TB158" s="9" t="n">
        <v>0</v>
      </c>
      <c r="TF158" s="10" t="n">
        <v>46154</v>
      </c>
      <c r="TH158" s="9" t="n">
        <v>0</v>
      </c>
      <c r="TJ158" s="9" t="n">
        <v>0</v>
      </c>
      <c r="TK158" s="9" t="n">
        <v>0</v>
      </c>
      <c r="TO158" s="10" t="n">
        <v>46154</v>
      </c>
      <c r="TQ158" s="9" t="n">
        <v>0</v>
      </c>
      <c r="TS158" s="9" t="n">
        <v>0</v>
      </c>
      <c r="TT158" s="9" t="n">
        <v>0</v>
      </c>
      <c r="TX158" s="10" t="n">
        <v>46154</v>
      </c>
      <c r="TZ158" s="9" t="n">
        <v>0</v>
      </c>
      <c r="UB158" s="9" t="n">
        <v>0</v>
      </c>
      <c r="UC158" s="9" t="n">
        <v>0</v>
      </c>
      <c r="UG158" s="10" t="n">
        <v>46154</v>
      </c>
      <c r="UI158" s="9" t="n">
        <v>0</v>
      </c>
      <c r="UK158" s="9" t="n">
        <v>0</v>
      </c>
      <c r="UL158" s="9" t="n">
        <v>0</v>
      </c>
      <c r="UP158" s="10" t="n">
        <v>46154</v>
      </c>
      <c r="UR158" s="9" t="n">
        <v>0</v>
      </c>
      <c r="UT158" s="9" t="n">
        <v>0</v>
      </c>
      <c r="UU158" s="9" t="n">
        <v>0</v>
      </c>
      <c r="UY158" s="10" t="n">
        <v>46154</v>
      </c>
      <c r="VA158" s="9" t="n">
        <v>0</v>
      </c>
      <c r="VC158" s="9" t="n">
        <v>0</v>
      </c>
      <c r="VD158" s="9" t="n">
        <v>41.60000000000002</v>
      </c>
      <c r="VH158" s="10" t="n">
        <v>46154</v>
      </c>
      <c r="VJ158" s="9" t="n">
        <v>0</v>
      </c>
      <c r="VL158" s="9" t="n">
        <v>0</v>
      </c>
      <c r="VM158" s="9" t="n">
        <v>0</v>
      </c>
      <c r="VQ158" s="10" t="n">
        <v>46154</v>
      </c>
      <c r="VS158" s="9" t="n">
        <v>0</v>
      </c>
      <c r="VU158" s="9" t="n">
        <v>0</v>
      </c>
      <c r="VV158" s="9" t="n">
        <v>0</v>
      </c>
      <c r="VZ158" s="10" t="n">
        <v>46154</v>
      </c>
      <c r="WB158" s="9" t="n">
        <v>0</v>
      </c>
      <c r="WD158" s="9" t="n">
        <v>0</v>
      </c>
      <c r="WE158" s="9" t="n">
        <v>0</v>
      </c>
      <c r="WI158" s="10" t="n">
        <v>46154</v>
      </c>
      <c r="WK158" s="9" t="n">
        <v>0</v>
      </c>
      <c r="WM158" s="9" t="n">
        <v>0</v>
      </c>
      <c r="WN158" s="9" t="n">
        <v>2317</v>
      </c>
      <c r="WR158" s="10" t="n">
        <v>46154</v>
      </c>
      <c r="WT158" s="9" t="n">
        <v>0</v>
      </c>
      <c r="WV158" s="9" t="n">
        <v>0</v>
      </c>
      <c r="WW158" s="9" t="n">
        <v>776</v>
      </c>
      <c r="XA158" s="10" t="n">
        <v>46154</v>
      </c>
      <c r="XC158" s="9" t="n">
        <v>0</v>
      </c>
      <c r="XD158" s="9" t="n">
        <v>1826</v>
      </c>
      <c r="XE158" s="9" t="n">
        <v>-1826</v>
      </c>
      <c r="XF158" s="9" t="n">
        <v>10627</v>
      </c>
      <c r="XJ158" s="10" t="n">
        <v>46154</v>
      </c>
      <c r="XL158" s="9" t="n">
        <v>0</v>
      </c>
      <c r="XN158" s="9" t="n">
        <v>0</v>
      </c>
      <c r="XO158" s="9" t="n">
        <v>1289</v>
      </c>
      <c r="XS158" s="10" t="n">
        <v>46154</v>
      </c>
      <c r="XU158" s="9" t="n">
        <v>0</v>
      </c>
      <c r="XW158" s="9" t="n">
        <v>0</v>
      </c>
      <c r="XX158" s="9" t="n">
        <v>1901</v>
      </c>
      <c r="YB158" s="10" t="n">
        <v>46154</v>
      </c>
      <c r="YD158" s="9" t="n">
        <v>0</v>
      </c>
      <c r="YF158" s="9" t="n">
        <v>0</v>
      </c>
      <c r="YG158" s="9" t="n">
        <v>6459</v>
      </c>
      <c r="YK158" s="10" t="n">
        <v>46154</v>
      </c>
      <c r="YM158" s="9" t="n">
        <v>0</v>
      </c>
      <c r="YO158" s="9" t="n">
        <v>0</v>
      </c>
      <c r="YP158" s="9" t="n">
        <v>0</v>
      </c>
      <c r="YT158" s="10" t="n">
        <v>46154</v>
      </c>
      <c r="YV158" s="9" t="n">
        <v>0</v>
      </c>
      <c r="YX158" s="9" t="n">
        <v>0</v>
      </c>
      <c r="YY158" s="9" t="n">
        <v>0</v>
      </c>
      <c r="ZC158" s="10" t="n">
        <v>46154</v>
      </c>
      <c r="ZE158" s="9" t="n">
        <v>0</v>
      </c>
      <c r="ZG158" s="9" t="n">
        <v>0</v>
      </c>
      <c r="ZH158" s="9" t="n">
        <v>0</v>
      </c>
      <c r="ZL158" s="10" t="n">
        <v>46154</v>
      </c>
      <c r="ZN158" s="9" t="n">
        <v>0</v>
      </c>
      <c r="ZP158" s="9" t="n">
        <v>0</v>
      </c>
      <c r="ZQ158" s="9" t="n">
        <v>0</v>
      </c>
      <c r="ZU158" s="10" t="n">
        <v>46154</v>
      </c>
      <c r="ZW158" s="9" t="n">
        <v>0</v>
      </c>
      <c r="ZY158" s="9" t="n">
        <v>0</v>
      </c>
      <c r="ZZ158" s="9" t="n">
        <v>0</v>
      </c>
      <c r="AAD158" s="10" t="n">
        <v>46154</v>
      </c>
      <c r="AAF158" s="9" t="n">
        <v>0</v>
      </c>
      <c r="AAH158" s="9" t="n">
        <v>0</v>
      </c>
      <c r="AAI158" s="9" t="n">
        <v>0</v>
      </c>
      <c r="AAM158" s="10" t="n">
        <v>46154</v>
      </c>
      <c r="AAO158" s="9" t="n">
        <v>0</v>
      </c>
      <c r="AAQ158" s="9" t="n">
        <v>0</v>
      </c>
      <c r="AAR158" s="9" t="n">
        <v>0</v>
      </c>
      <c r="AAV158" s="10" t="n">
        <v>46154</v>
      </c>
      <c r="AAX158" s="9" t="n">
        <v>0</v>
      </c>
      <c r="AAZ158" s="9" t="n">
        <v>0</v>
      </c>
      <c r="ABA158" s="9" t="n">
        <v>0</v>
      </c>
      <c r="ABE158" s="10" t="n">
        <v>46154</v>
      </c>
      <c r="ABG158" s="9" t="n">
        <v>0</v>
      </c>
      <c r="ABI158" s="9" t="n">
        <v>0</v>
      </c>
      <c r="ABJ158" s="9" t="n">
        <v>0</v>
      </c>
    </row>
    <row r="159">
      <c r="B159" s="9" t="n">
        <v>90</v>
      </c>
      <c r="C159" s="10" t="n">
        <v>46155</v>
      </c>
      <c r="D159" s="9" t="n">
        <v>73300</v>
      </c>
      <c r="E159" s="9" t="n">
        <v>50619.08000000001</v>
      </c>
      <c r="F159" s="9" t="n">
        <v>50619.2</v>
      </c>
      <c r="G159" s="9" t="n">
        <v>-0.1199999999880674</v>
      </c>
      <c r="H159" s="9" t="n">
        <v>136398.2000000001</v>
      </c>
      <c r="I159" s="9" t="inlineStr">
        <is>
          <t>1102 46mt, 8100 44mt</t>
        </is>
      </c>
      <c r="L159" s="10" t="n">
        <v>46155</v>
      </c>
      <c r="N159" s="9" t="n">
        <v>24250.4</v>
      </c>
      <c r="O159" s="9" t="n">
        <v>24251.8</v>
      </c>
      <c r="P159" s="9" t="n">
        <v>-1.399999999997817</v>
      </c>
      <c r="Q159" s="9" t="n">
        <v>15252.80000000009</v>
      </c>
      <c r="U159" s="10" t="n">
        <v>46155</v>
      </c>
      <c r="W159" s="9" t="n">
        <v>3350</v>
      </c>
      <c r="X159" s="9" t="n">
        <v>3350.1</v>
      </c>
      <c r="Y159" s="9" t="n">
        <v>-0.09999999999990905</v>
      </c>
      <c r="Z159" s="9" t="n">
        <v>24762.09999999997</v>
      </c>
      <c r="AD159" s="10" t="n">
        <v>46155</v>
      </c>
      <c r="AF159" s="9" t="n">
        <v>2300</v>
      </c>
      <c r="AG159" s="9" t="n">
        <v>2300.4</v>
      </c>
      <c r="AH159" s="9" t="n">
        <v>-0.4000000000000909</v>
      </c>
      <c r="AI159" s="9" t="n">
        <v>24827.50000000002</v>
      </c>
      <c r="AM159" s="10" t="n">
        <v>46155</v>
      </c>
      <c r="AO159" s="9" t="n">
        <v>0</v>
      </c>
      <c r="AQ159" s="9" t="n">
        <v>0</v>
      </c>
      <c r="AR159" s="9" t="n">
        <v>0</v>
      </c>
      <c r="AV159" s="10" t="n">
        <v>46155</v>
      </c>
      <c r="AX159" s="9" t="n">
        <v>1340</v>
      </c>
      <c r="AY159" s="9" t="n">
        <v>1339.7</v>
      </c>
      <c r="AZ159" s="9" t="n">
        <v>0.2999999999999545</v>
      </c>
      <c r="BA159" s="9" t="n">
        <v>33674.8</v>
      </c>
      <c r="BE159" s="10" t="n">
        <v>46155</v>
      </c>
      <c r="BG159" s="9" t="n">
        <v>1810</v>
      </c>
      <c r="BH159" s="9" t="n">
        <v>1809.9</v>
      </c>
      <c r="BI159" s="9" t="n">
        <v>0.09999999999990905</v>
      </c>
      <c r="BJ159" s="9" t="n">
        <v>15151.79999999999</v>
      </c>
      <c r="BN159" s="10" t="n">
        <v>46155</v>
      </c>
      <c r="BO159" s="9" t="n">
        <v>1590.1</v>
      </c>
      <c r="BP159" s="9" t="n">
        <v>1590</v>
      </c>
      <c r="BQ159" s="9" t="n">
        <v>1590.1</v>
      </c>
      <c r="BR159" s="9" t="n">
        <v>-0.09999999999990905</v>
      </c>
      <c r="BS159" s="9" t="n">
        <v>0</v>
      </c>
      <c r="BW159" s="10" t="n">
        <v>46155</v>
      </c>
      <c r="BY159" s="9" t="n">
        <v>66</v>
      </c>
      <c r="CA159" s="9" t="n">
        <v>66</v>
      </c>
      <c r="CB159" s="9" t="n">
        <v>5751.799999999999</v>
      </c>
      <c r="CF159" s="10" t="n">
        <v>46155</v>
      </c>
      <c r="CH159" s="9" t="n">
        <v>497.52</v>
      </c>
      <c r="CJ159" s="9" t="n">
        <v>497.52</v>
      </c>
      <c r="CK159" s="9" t="n">
        <v>0</v>
      </c>
      <c r="CO159" s="10" t="n">
        <v>46155</v>
      </c>
      <c r="CQ159" s="9" t="n">
        <v>0</v>
      </c>
      <c r="CS159" s="9" t="n">
        <v>0</v>
      </c>
      <c r="CT159" s="9" t="n">
        <v>0</v>
      </c>
      <c r="CX159" s="10" t="n">
        <v>46155</v>
      </c>
      <c r="CZ159" s="9" t="n">
        <v>0</v>
      </c>
      <c r="DB159" s="9" t="n">
        <v>0</v>
      </c>
      <c r="DC159" s="9" t="n">
        <v>21657</v>
      </c>
      <c r="DG159" s="10" t="n">
        <v>46155</v>
      </c>
      <c r="DI159" s="9" t="n">
        <v>2200</v>
      </c>
      <c r="DJ159" s="9" t="n">
        <v>2200.9</v>
      </c>
      <c r="DK159" s="9" t="n">
        <v>-0.9000000000000909</v>
      </c>
      <c r="DL159" s="9" t="n">
        <v>38237.09999999998</v>
      </c>
      <c r="DP159" s="10" t="n">
        <v>46155</v>
      </c>
      <c r="DR159" s="9" t="n">
        <v>0</v>
      </c>
      <c r="DT159" s="9" t="n">
        <v>0</v>
      </c>
      <c r="DU159" s="9" t="n">
        <v>5800</v>
      </c>
      <c r="DY159" s="10" t="n">
        <v>46155</v>
      </c>
      <c r="EA159" s="9" t="n">
        <v>0</v>
      </c>
      <c r="EC159" s="9" t="n">
        <v>0</v>
      </c>
      <c r="ED159" s="9" t="n">
        <v>0</v>
      </c>
      <c r="EH159" s="10" t="n">
        <v>46155</v>
      </c>
      <c r="EJ159" s="9" t="n">
        <v>0</v>
      </c>
      <c r="EL159" s="9" t="n">
        <v>0</v>
      </c>
      <c r="EM159" s="9" t="n">
        <v>0</v>
      </c>
      <c r="EQ159" s="10" t="n">
        <v>46155</v>
      </c>
      <c r="ES159" s="9" t="n">
        <v>0</v>
      </c>
      <c r="EU159" s="9" t="n">
        <v>0</v>
      </c>
      <c r="EV159" s="9" t="n">
        <v>0</v>
      </c>
      <c r="EZ159" s="10" t="n">
        <v>46155</v>
      </c>
      <c r="FB159" s="9" t="n">
        <v>0</v>
      </c>
      <c r="FD159" s="9" t="n">
        <v>0</v>
      </c>
      <c r="FE159" s="9" t="n">
        <v>0</v>
      </c>
      <c r="FI159" s="10" t="n">
        <v>46155</v>
      </c>
      <c r="FK159" s="9" t="n">
        <v>0</v>
      </c>
      <c r="FM159" s="9" t="n">
        <v>0</v>
      </c>
      <c r="FN159" s="9" t="n">
        <v>0</v>
      </c>
      <c r="FR159" s="10" t="n">
        <v>46155</v>
      </c>
      <c r="FT159" s="9" t="n">
        <v>0</v>
      </c>
      <c r="FV159" s="9" t="n">
        <v>0</v>
      </c>
      <c r="FW159" s="9" t="n">
        <v>2120</v>
      </c>
      <c r="GA159" s="10" t="n">
        <v>46155</v>
      </c>
      <c r="GC159" s="9" t="n">
        <v>920</v>
      </c>
      <c r="GE159" s="9" t="n">
        <v>920</v>
      </c>
      <c r="GF159" s="9" t="n">
        <v>3640</v>
      </c>
      <c r="GJ159" s="10" t="n">
        <v>46155</v>
      </c>
      <c r="GL159" s="9" t="n">
        <v>0</v>
      </c>
      <c r="GN159" s="9" t="n">
        <v>0</v>
      </c>
      <c r="GO159" s="9" t="n">
        <v>0</v>
      </c>
      <c r="GS159" s="10" t="n">
        <v>46155</v>
      </c>
      <c r="GU159" s="9" t="n">
        <v>0</v>
      </c>
      <c r="GW159" s="9" t="n">
        <v>0</v>
      </c>
      <c r="GX159" s="9" t="n">
        <v>0</v>
      </c>
      <c r="HB159" s="10" t="n">
        <v>46155</v>
      </c>
      <c r="HD159" s="9" t="n">
        <v>0</v>
      </c>
      <c r="HF159" s="9" t="n">
        <v>0</v>
      </c>
      <c r="HG159" s="9" t="n">
        <v>0</v>
      </c>
      <c r="HK159" s="10" t="n">
        <v>46155</v>
      </c>
      <c r="HM159" s="9" t="n">
        <v>0</v>
      </c>
      <c r="HO159" s="9" t="n">
        <v>0</v>
      </c>
      <c r="HP159" s="9" t="n">
        <v>0</v>
      </c>
      <c r="HU159" s="10" t="n">
        <v>46155</v>
      </c>
      <c r="HW159" s="9" t="n">
        <v>880</v>
      </c>
      <c r="HY159" s="9" t="n">
        <v>880</v>
      </c>
      <c r="HZ159" s="9" t="n">
        <v>5280</v>
      </c>
      <c r="ID159" s="10" t="n">
        <v>46155</v>
      </c>
      <c r="IF159" s="9" t="n">
        <v>0</v>
      </c>
      <c r="IH159" s="9" t="n">
        <v>0</v>
      </c>
      <c r="II159" s="9" t="n">
        <v>720</v>
      </c>
      <c r="IM159" s="10" t="n">
        <v>46155</v>
      </c>
      <c r="IO159" s="9" t="n">
        <v>0</v>
      </c>
      <c r="IQ159" s="9" t="n">
        <v>0</v>
      </c>
      <c r="IR159" s="9" t="n">
        <v>11540</v>
      </c>
      <c r="IV159" s="10" t="n">
        <v>46155</v>
      </c>
      <c r="IX159" s="9" t="n">
        <v>0</v>
      </c>
      <c r="IZ159" s="9" t="n">
        <v>0</v>
      </c>
      <c r="JA159" s="9" t="n">
        <v>12860</v>
      </c>
      <c r="JE159" s="10" t="n">
        <v>46155</v>
      </c>
      <c r="JG159" s="9" t="n">
        <v>0</v>
      </c>
      <c r="JI159" s="9" t="n">
        <v>0</v>
      </c>
      <c r="JJ159" s="9" t="n">
        <v>0</v>
      </c>
      <c r="JN159" s="10" t="n">
        <v>46155</v>
      </c>
      <c r="JP159" s="9" t="n">
        <v>0</v>
      </c>
      <c r="JR159" s="9" t="n">
        <v>0</v>
      </c>
      <c r="JS159" s="9" t="n">
        <v>6700</v>
      </c>
      <c r="JW159" s="10" t="n">
        <v>46155</v>
      </c>
      <c r="JY159" s="9" t="n">
        <v>0</v>
      </c>
      <c r="KA159" s="9" t="n">
        <v>0</v>
      </c>
      <c r="KB159" s="9" t="n">
        <v>2540</v>
      </c>
      <c r="KF159" s="10" t="n">
        <v>46155</v>
      </c>
      <c r="KH159" s="9" t="n">
        <v>0</v>
      </c>
      <c r="KJ159" s="9" t="n">
        <v>0</v>
      </c>
      <c r="KK159" s="9" t="n">
        <v>2359.5</v>
      </c>
      <c r="KO159" s="10" t="n">
        <v>46155</v>
      </c>
      <c r="KQ159" s="9" t="n">
        <v>0</v>
      </c>
      <c r="KS159" s="9" t="n">
        <v>0</v>
      </c>
      <c r="KT159" s="9" t="n">
        <v>1890</v>
      </c>
      <c r="KX159" s="10" t="n">
        <v>46155</v>
      </c>
      <c r="KZ159" s="9" t="n">
        <v>0</v>
      </c>
      <c r="LB159" s="9" t="n">
        <v>0</v>
      </c>
      <c r="LC159" s="9" t="n">
        <v>3690</v>
      </c>
      <c r="LG159" s="10" t="n">
        <v>46155</v>
      </c>
      <c r="LI159" s="9" t="n">
        <v>0</v>
      </c>
      <c r="LK159" s="9" t="n">
        <v>0</v>
      </c>
      <c r="LL159" s="9" t="n">
        <v>4000</v>
      </c>
      <c r="LP159" s="10" t="n">
        <v>46155</v>
      </c>
      <c r="LR159" s="9" t="n">
        <v>0</v>
      </c>
      <c r="LT159" s="9" t="n">
        <v>0</v>
      </c>
      <c r="LU159" s="9" t="n">
        <v>0</v>
      </c>
      <c r="LY159" s="10" t="n">
        <v>46155</v>
      </c>
      <c r="MA159" s="9" t="n">
        <v>0</v>
      </c>
      <c r="MC159" s="9" t="n">
        <v>0</v>
      </c>
      <c r="MD159" s="9" t="n">
        <v>0</v>
      </c>
      <c r="MH159" s="10" t="n">
        <v>46155</v>
      </c>
      <c r="MJ159" s="9" t="n">
        <v>0</v>
      </c>
      <c r="ML159" s="9" t="n">
        <v>0</v>
      </c>
      <c r="MM159" s="9" t="n">
        <v>0</v>
      </c>
      <c r="MQ159" s="10" t="n">
        <v>46155</v>
      </c>
      <c r="MS159" s="9" t="n">
        <v>45</v>
      </c>
      <c r="MU159" s="9" t="n">
        <v>45</v>
      </c>
      <c r="MV159" s="9" t="n">
        <v>3837</v>
      </c>
      <c r="MZ159" s="10" t="n">
        <v>46155</v>
      </c>
      <c r="NB159" s="9" t="n">
        <v>132</v>
      </c>
      <c r="ND159" s="9" t="n">
        <v>132</v>
      </c>
      <c r="NE159" s="9" t="n">
        <v>0</v>
      </c>
      <c r="NI159" s="10" t="n">
        <v>46155</v>
      </c>
      <c r="NK159" s="9" t="n">
        <v>0</v>
      </c>
      <c r="NM159" s="9" t="n">
        <v>0</v>
      </c>
      <c r="NN159" s="9" t="n">
        <v>1127</v>
      </c>
      <c r="NR159" s="10" t="n">
        <v>46155</v>
      </c>
      <c r="NS159" s="9" t="n">
        <v>1.1</v>
      </c>
      <c r="NT159" s="9" t="n">
        <v>0</v>
      </c>
      <c r="NV159" s="9" t="n">
        <v>0</v>
      </c>
      <c r="NW159" s="9" t="n">
        <v>3112</v>
      </c>
      <c r="OA159" s="10" t="n">
        <v>46155</v>
      </c>
      <c r="OC159" s="9" t="n">
        <v>0</v>
      </c>
      <c r="OE159" s="9" t="n">
        <v>0</v>
      </c>
      <c r="OF159" s="9" t="n">
        <v>1680.5</v>
      </c>
      <c r="OJ159" s="10" t="n">
        <v>46155</v>
      </c>
      <c r="OL159" s="9" t="n">
        <v>0</v>
      </c>
      <c r="ON159" s="9" t="n">
        <v>0</v>
      </c>
      <c r="OO159" s="9" t="n">
        <v>0</v>
      </c>
      <c r="OS159" s="10" t="n">
        <v>46155</v>
      </c>
      <c r="OU159" s="9" t="n">
        <v>0</v>
      </c>
      <c r="OW159" s="9" t="n">
        <v>0</v>
      </c>
      <c r="OX159" s="9" t="n">
        <v>982</v>
      </c>
      <c r="PB159" s="10" t="n">
        <v>46155</v>
      </c>
      <c r="PD159" s="9" t="n">
        <v>0</v>
      </c>
      <c r="PF159" s="9" t="n">
        <v>0</v>
      </c>
      <c r="PG159" s="9" t="n">
        <v>0</v>
      </c>
      <c r="PK159" s="10" t="n">
        <v>46155</v>
      </c>
      <c r="PM159" s="9" t="n">
        <v>0</v>
      </c>
      <c r="PO159" s="9" t="n">
        <v>0</v>
      </c>
      <c r="PP159" s="9" t="n">
        <v>100</v>
      </c>
      <c r="PT159" s="10" t="n">
        <v>46155</v>
      </c>
      <c r="PV159" s="9" t="n">
        <v>0</v>
      </c>
      <c r="PX159" s="9" t="n">
        <v>0</v>
      </c>
      <c r="PY159" s="9" t="n">
        <v>13.96000000000004</v>
      </c>
      <c r="QC159" s="10" t="n">
        <v>46155</v>
      </c>
      <c r="QE159" s="9" t="n">
        <v>0</v>
      </c>
      <c r="QG159" s="9" t="n">
        <v>0</v>
      </c>
      <c r="QH159" s="9" t="n">
        <v>876</v>
      </c>
      <c r="QL159" s="10" t="n">
        <v>46155</v>
      </c>
      <c r="QN159" s="9" t="n">
        <v>0</v>
      </c>
      <c r="QP159" s="9" t="n">
        <v>0</v>
      </c>
      <c r="QQ159" s="9" t="n">
        <v>665</v>
      </c>
      <c r="QU159" s="10" t="n">
        <v>46155</v>
      </c>
      <c r="QW159" s="9" t="n">
        <v>0</v>
      </c>
      <c r="QY159" s="9" t="n">
        <v>0</v>
      </c>
      <c r="QZ159" s="9" t="n">
        <v>207.6</v>
      </c>
      <c r="RD159" s="10" t="n">
        <v>46155</v>
      </c>
      <c r="RF159" s="9" t="n">
        <v>0</v>
      </c>
      <c r="RH159" s="9" t="n">
        <v>0</v>
      </c>
      <c r="RI159" s="9" t="n">
        <v>147.04</v>
      </c>
      <c r="RM159" s="10" t="n">
        <v>46155</v>
      </c>
      <c r="RO159" s="9" t="n">
        <v>0</v>
      </c>
      <c r="RQ159" s="9" t="n">
        <v>0</v>
      </c>
      <c r="RR159" s="9" t="n">
        <v>46.8</v>
      </c>
      <c r="RV159" s="10" t="n">
        <v>46155</v>
      </c>
      <c r="RX159" s="9" t="n">
        <v>0</v>
      </c>
      <c r="RZ159" s="9" t="n">
        <v>0</v>
      </c>
      <c r="SA159" s="9" t="n">
        <v>0</v>
      </c>
      <c r="SE159" s="10" t="n">
        <v>46155</v>
      </c>
      <c r="SG159" s="9" t="n">
        <v>0</v>
      </c>
      <c r="SI159" s="9" t="n">
        <v>0</v>
      </c>
      <c r="SJ159" s="9" t="n">
        <v>24.2</v>
      </c>
      <c r="SN159" s="10" t="n">
        <v>46155</v>
      </c>
      <c r="SP159" s="9" t="n">
        <v>0</v>
      </c>
      <c r="SR159" s="9" t="n">
        <v>0</v>
      </c>
      <c r="SS159" s="9" t="n">
        <v>32</v>
      </c>
      <c r="SW159" s="10" t="n">
        <v>46155</v>
      </c>
      <c r="SY159" s="9" t="n">
        <v>0</v>
      </c>
      <c r="TA159" s="9" t="n">
        <v>0</v>
      </c>
      <c r="TB159" s="9" t="n">
        <v>0</v>
      </c>
      <c r="TF159" s="10" t="n">
        <v>46155</v>
      </c>
      <c r="TH159" s="9" t="n">
        <v>0</v>
      </c>
      <c r="TJ159" s="9" t="n">
        <v>0</v>
      </c>
      <c r="TK159" s="9" t="n">
        <v>0</v>
      </c>
      <c r="TO159" s="10" t="n">
        <v>46155</v>
      </c>
      <c r="TQ159" s="9" t="n">
        <v>0</v>
      </c>
      <c r="TS159" s="9" t="n">
        <v>0</v>
      </c>
      <c r="TT159" s="9" t="n">
        <v>0</v>
      </c>
      <c r="TX159" s="10" t="n">
        <v>46155</v>
      </c>
      <c r="TZ159" s="9" t="n">
        <v>0</v>
      </c>
      <c r="UB159" s="9" t="n">
        <v>0</v>
      </c>
      <c r="UC159" s="9" t="n">
        <v>0</v>
      </c>
      <c r="UG159" s="10" t="n">
        <v>46155</v>
      </c>
      <c r="UI159" s="9" t="n">
        <v>0</v>
      </c>
      <c r="UK159" s="9" t="n">
        <v>0</v>
      </c>
      <c r="UL159" s="9" t="n">
        <v>0</v>
      </c>
      <c r="UP159" s="10" t="n">
        <v>46155</v>
      </c>
      <c r="UR159" s="9" t="n">
        <v>0</v>
      </c>
      <c r="UT159" s="9" t="n">
        <v>0</v>
      </c>
      <c r="UU159" s="9" t="n">
        <v>0</v>
      </c>
      <c r="UY159" s="10" t="n">
        <v>46155</v>
      </c>
      <c r="VA159" s="9" t="n">
        <v>0</v>
      </c>
      <c r="VC159" s="9" t="n">
        <v>0</v>
      </c>
      <c r="VD159" s="9" t="n">
        <v>41.60000000000002</v>
      </c>
      <c r="VH159" s="10" t="n">
        <v>46155</v>
      </c>
      <c r="VJ159" s="9" t="n">
        <v>0</v>
      </c>
      <c r="VL159" s="9" t="n">
        <v>0</v>
      </c>
      <c r="VM159" s="9" t="n">
        <v>0</v>
      </c>
      <c r="VQ159" s="10" t="n">
        <v>46155</v>
      </c>
      <c r="VS159" s="9" t="n">
        <v>0</v>
      </c>
      <c r="VU159" s="9" t="n">
        <v>0</v>
      </c>
      <c r="VV159" s="9" t="n">
        <v>0</v>
      </c>
      <c r="VZ159" s="10" t="n">
        <v>46155</v>
      </c>
      <c r="WB159" s="9" t="n">
        <v>0</v>
      </c>
      <c r="WD159" s="9" t="n">
        <v>0</v>
      </c>
      <c r="WE159" s="9" t="n">
        <v>0</v>
      </c>
      <c r="WI159" s="10" t="n">
        <v>46155</v>
      </c>
      <c r="WK159" s="9" t="n">
        <v>0</v>
      </c>
      <c r="WM159" s="9" t="n">
        <v>0</v>
      </c>
      <c r="WN159" s="9" t="n">
        <v>2317</v>
      </c>
      <c r="WR159" s="10" t="n">
        <v>46155</v>
      </c>
      <c r="WT159" s="9" t="n">
        <v>0</v>
      </c>
      <c r="WU159" s="9" t="n">
        <v>776</v>
      </c>
      <c r="WV159" s="9" t="n">
        <v>-776</v>
      </c>
      <c r="WW159" s="9" t="n">
        <v>0</v>
      </c>
      <c r="XA159" s="10" t="n">
        <v>46155</v>
      </c>
      <c r="XC159" s="9" t="n">
        <v>0</v>
      </c>
      <c r="XE159" s="9" t="n">
        <v>0</v>
      </c>
      <c r="XF159" s="9" t="n">
        <v>10627</v>
      </c>
      <c r="XJ159" s="10" t="n">
        <v>46155</v>
      </c>
      <c r="XL159" s="9" t="n">
        <v>0</v>
      </c>
      <c r="XM159" s="9" t="n">
        <v>428</v>
      </c>
      <c r="XN159" s="9" t="n">
        <v>-428</v>
      </c>
      <c r="XO159" s="9" t="n">
        <v>861</v>
      </c>
      <c r="XS159" s="10" t="n">
        <v>46155</v>
      </c>
      <c r="XU159" s="9" t="n">
        <v>0</v>
      </c>
      <c r="XW159" s="9" t="n">
        <v>0</v>
      </c>
      <c r="XX159" s="9" t="n">
        <v>1901</v>
      </c>
      <c r="YB159" s="10" t="n">
        <v>46155</v>
      </c>
      <c r="YD159" s="9" t="n">
        <v>0</v>
      </c>
      <c r="YF159" s="9" t="n">
        <v>0</v>
      </c>
      <c r="YG159" s="9" t="n">
        <v>6459</v>
      </c>
      <c r="YK159" s="10" t="n">
        <v>46155</v>
      </c>
      <c r="YM159" s="9" t="n">
        <v>0</v>
      </c>
      <c r="YO159" s="9" t="n">
        <v>0</v>
      </c>
      <c r="YP159" s="9" t="n">
        <v>0</v>
      </c>
      <c r="YT159" s="10" t="n">
        <v>46155</v>
      </c>
      <c r="YV159" s="9" t="n">
        <v>0</v>
      </c>
      <c r="YX159" s="9" t="n">
        <v>0</v>
      </c>
      <c r="YY159" s="9" t="n">
        <v>0</v>
      </c>
      <c r="ZC159" s="10" t="n">
        <v>46155</v>
      </c>
      <c r="ZE159" s="9" t="n">
        <v>0</v>
      </c>
      <c r="ZG159" s="9" t="n">
        <v>0</v>
      </c>
      <c r="ZH159" s="9" t="n">
        <v>0</v>
      </c>
      <c r="ZL159" s="10" t="n">
        <v>46155</v>
      </c>
      <c r="ZN159" s="9" t="n">
        <v>0</v>
      </c>
      <c r="ZP159" s="9" t="n">
        <v>0</v>
      </c>
      <c r="ZQ159" s="9" t="n">
        <v>0</v>
      </c>
      <c r="ZU159" s="10" t="n">
        <v>46155</v>
      </c>
      <c r="ZW159" s="9" t="n">
        <v>0</v>
      </c>
      <c r="ZY159" s="9" t="n">
        <v>0</v>
      </c>
      <c r="ZZ159" s="9" t="n">
        <v>0</v>
      </c>
      <c r="AAD159" s="10" t="n">
        <v>46155</v>
      </c>
      <c r="AAF159" s="9" t="n">
        <v>0</v>
      </c>
      <c r="AAH159" s="9" t="n">
        <v>0</v>
      </c>
      <c r="AAI159" s="9" t="n">
        <v>0</v>
      </c>
      <c r="AAM159" s="10" t="n">
        <v>46155</v>
      </c>
      <c r="AAO159" s="9" t="n">
        <v>0</v>
      </c>
      <c r="AAQ159" s="9" t="n">
        <v>0</v>
      </c>
      <c r="AAR159" s="9" t="n">
        <v>0</v>
      </c>
      <c r="AAV159" s="10" t="n">
        <v>46155</v>
      </c>
      <c r="AAX159" s="9" t="n">
        <v>0</v>
      </c>
      <c r="AAZ159" s="9" t="n">
        <v>0</v>
      </c>
      <c r="ABA159" s="9" t="n">
        <v>0</v>
      </c>
      <c r="ABE159" s="10" t="n">
        <v>46155</v>
      </c>
      <c r="ABG159" s="9" t="n">
        <v>0</v>
      </c>
      <c r="ABI159" s="9" t="n">
        <v>0</v>
      </c>
      <c r="ABJ159" s="9" t="n">
        <v>0</v>
      </c>
    </row>
    <row r="160">
      <c r="B160" s="9" t="n">
        <v>14</v>
      </c>
      <c r="C160" s="10" t="n">
        <v>46156</v>
      </c>
      <c r="D160" s="9" t="n">
        <v>73340</v>
      </c>
      <c r="E160" s="9" t="n">
        <v>8078.000000000002</v>
      </c>
      <c r="F160" s="9" t="n">
        <v>8076</v>
      </c>
      <c r="G160" s="9" t="n">
        <v>2.000000000001819</v>
      </c>
      <c r="H160" s="9" t="n">
        <v>201662.2000000001</v>
      </c>
      <c r="I160" s="9" t="inlineStr">
        <is>
          <t>311 14mt</t>
        </is>
      </c>
      <c r="L160" s="10" t="n">
        <v>46156</v>
      </c>
      <c r="M160" s="9" t="n">
        <v>61220</v>
      </c>
      <c r="N160" s="9" t="n">
        <v>3598</v>
      </c>
      <c r="O160" s="9" t="n">
        <v>3599.2</v>
      </c>
      <c r="P160" s="9" t="n">
        <v>-1.199999999999818</v>
      </c>
      <c r="Q160" s="9" t="n">
        <v>72873.60000000009</v>
      </c>
      <c r="U160" s="10" t="n">
        <v>46156</v>
      </c>
      <c r="W160" s="9" t="n">
        <v>420</v>
      </c>
      <c r="X160" s="9" t="n">
        <v>420.7</v>
      </c>
      <c r="Y160" s="9" t="n">
        <v>-0.6999999999999886</v>
      </c>
      <c r="Z160" s="9" t="n">
        <v>24341.39999999997</v>
      </c>
      <c r="AD160" s="10" t="n">
        <v>46156</v>
      </c>
      <c r="AF160" s="9" t="n">
        <v>280</v>
      </c>
      <c r="AG160" s="9" t="n">
        <v>280.5</v>
      </c>
      <c r="AH160" s="9" t="n">
        <v>-0.5</v>
      </c>
      <c r="AI160" s="9" t="n">
        <v>24547.00000000002</v>
      </c>
      <c r="AM160" s="10" t="n">
        <v>46156</v>
      </c>
      <c r="AO160" s="9" t="n">
        <v>0</v>
      </c>
      <c r="AQ160" s="9" t="n">
        <v>0</v>
      </c>
      <c r="AR160" s="9" t="n">
        <v>0</v>
      </c>
      <c r="AV160" s="10" t="n">
        <v>46156</v>
      </c>
      <c r="AX160" s="9" t="n">
        <v>1050</v>
      </c>
      <c r="AY160" s="9" t="n">
        <v>1050.8</v>
      </c>
      <c r="AZ160" s="9" t="n">
        <v>-0.7999999999999545</v>
      </c>
      <c r="BA160" s="9" t="n">
        <v>32624</v>
      </c>
      <c r="BE160" s="10" t="n">
        <v>46156</v>
      </c>
      <c r="BG160" s="9" t="n">
        <v>0</v>
      </c>
      <c r="BI160" s="9" t="n">
        <v>0</v>
      </c>
      <c r="BJ160" s="9" t="n">
        <v>15151.79999999999</v>
      </c>
      <c r="BN160" s="10" t="n">
        <v>46156</v>
      </c>
      <c r="BO160" s="9" t="n">
        <v>182.1</v>
      </c>
      <c r="BP160" s="9" t="n">
        <v>182</v>
      </c>
      <c r="BQ160" s="9" t="n">
        <v>182.1</v>
      </c>
      <c r="BR160" s="9" t="n">
        <v>-0.09999999999996589</v>
      </c>
      <c r="BS160" s="9" t="n">
        <v>0</v>
      </c>
      <c r="BW160" s="10" t="n">
        <v>46156</v>
      </c>
      <c r="BY160" s="9" t="n">
        <v>0</v>
      </c>
      <c r="CA160" s="9" t="n">
        <v>0</v>
      </c>
      <c r="CB160" s="9" t="n">
        <v>5751.799999999999</v>
      </c>
      <c r="CF160" s="10" t="n">
        <v>46156</v>
      </c>
      <c r="CH160" s="9" t="n">
        <v>0</v>
      </c>
      <c r="CJ160" s="9" t="n">
        <v>0</v>
      </c>
      <c r="CK160" s="9" t="n">
        <v>0</v>
      </c>
      <c r="CO160" s="10" t="n">
        <v>46156</v>
      </c>
      <c r="CQ160" s="9" t="n">
        <v>0</v>
      </c>
      <c r="CS160" s="9" t="n">
        <v>0</v>
      </c>
      <c r="CT160" s="9" t="n">
        <v>0</v>
      </c>
      <c r="CX160" s="10" t="n">
        <v>46156</v>
      </c>
      <c r="CZ160" s="9" t="n">
        <v>0</v>
      </c>
      <c r="DB160" s="9" t="n">
        <v>0</v>
      </c>
      <c r="DC160" s="9" t="n">
        <v>21657</v>
      </c>
      <c r="DG160" s="10" t="n">
        <v>46156</v>
      </c>
      <c r="DI160" s="9" t="n">
        <v>0</v>
      </c>
      <c r="DK160" s="9" t="n">
        <v>0</v>
      </c>
      <c r="DL160" s="9" t="n">
        <v>38237.09999999998</v>
      </c>
      <c r="DP160" s="10" t="n">
        <v>46156</v>
      </c>
      <c r="DR160" s="9" t="n">
        <v>0</v>
      </c>
      <c r="DT160" s="9" t="n">
        <v>0</v>
      </c>
      <c r="DU160" s="9" t="n">
        <v>5800</v>
      </c>
      <c r="DY160" s="10" t="n">
        <v>46156</v>
      </c>
      <c r="EA160" s="9" t="n">
        <v>0</v>
      </c>
      <c r="EC160" s="9" t="n">
        <v>0</v>
      </c>
      <c r="ED160" s="9" t="n">
        <v>0</v>
      </c>
      <c r="EH160" s="10" t="n">
        <v>46156</v>
      </c>
      <c r="EJ160" s="9" t="n">
        <v>0</v>
      </c>
      <c r="EL160" s="9" t="n">
        <v>0</v>
      </c>
      <c r="EM160" s="9" t="n">
        <v>0</v>
      </c>
      <c r="EQ160" s="10" t="n">
        <v>46156</v>
      </c>
      <c r="ES160" s="9" t="n">
        <v>0</v>
      </c>
      <c r="EU160" s="9" t="n">
        <v>0</v>
      </c>
      <c r="EV160" s="9" t="n">
        <v>0</v>
      </c>
      <c r="EZ160" s="10" t="n">
        <v>46156</v>
      </c>
      <c r="FB160" s="9" t="n">
        <v>0</v>
      </c>
      <c r="FD160" s="9" t="n">
        <v>0</v>
      </c>
      <c r="FE160" s="9" t="n">
        <v>0</v>
      </c>
      <c r="FI160" s="10" t="n">
        <v>46156</v>
      </c>
      <c r="FK160" s="9" t="n">
        <v>0</v>
      </c>
      <c r="FM160" s="9" t="n">
        <v>0</v>
      </c>
      <c r="FN160" s="9" t="n">
        <v>0</v>
      </c>
      <c r="FR160" s="10" t="n">
        <v>46156</v>
      </c>
      <c r="FS160" s="9" t="n">
        <v>2020</v>
      </c>
      <c r="FT160" s="9" t="n">
        <v>0</v>
      </c>
      <c r="FV160" s="9" t="n">
        <v>0</v>
      </c>
      <c r="FW160" s="9" t="n">
        <v>4140</v>
      </c>
      <c r="GA160" s="10" t="n">
        <v>46156</v>
      </c>
      <c r="GB160" s="9" t="n">
        <v>2000</v>
      </c>
      <c r="GC160" s="9" t="n">
        <v>0</v>
      </c>
      <c r="GE160" s="9" t="n">
        <v>0</v>
      </c>
      <c r="GF160" s="9" t="n">
        <v>5640</v>
      </c>
      <c r="GJ160" s="10" t="n">
        <v>46156</v>
      </c>
      <c r="GK160" s="9" t="n">
        <v>4000</v>
      </c>
      <c r="GL160" s="9" t="n">
        <v>0</v>
      </c>
      <c r="GN160" s="9" t="n">
        <v>0</v>
      </c>
      <c r="GO160" s="9" t="n">
        <v>4000</v>
      </c>
      <c r="GS160" s="10" t="n">
        <v>46156</v>
      </c>
      <c r="GT160" s="9" t="n">
        <v>1600</v>
      </c>
      <c r="GU160" s="9" t="n">
        <v>280</v>
      </c>
      <c r="GW160" s="9" t="n">
        <v>280</v>
      </c>
      <c r="GX160" s="9" t="n">
        <v>1600</v>
      </c>
      <c r="HB160" s="10" t="n">
        <v>46156</v>
      </c>
      <c r="HC160" s="9" t="n">
        <v>3600</v>
      </c>
      <c r="HD160" s="9" t="n">
        <v>0</v>
      </c>
      <c r="HF160" s="9" t="n">
        <v>0</v>
      </c>
      <c r="HG160" s="9" t="n">
        <v>3600</v>
      </c>
      <c r="HK160" s="10" t="n">
        <v>46156</v>
      </c>
      <c r="HM160" s="9" t="n">
        <v>0</v>
      </c>
      <c r="HO160" s="9" t="n">
        <v>0</v>
      </c>
      <c r="HP160" s="9" t="n">
        <v>0</v>
      </c>
      <c r="HU160" s="10" t="n">
        <v>46156</v>
      </c>
      <c r="HW160" s="9" t="n">
        <v>0</v>
      </c>
      <c r="HY160" s="9" t="n">
        <v>0</v>
      </c>
      <c r="HZ160" s="9" t="n">
        <v>5280</v>
      </c>
      <c r="ID160" s="10" t="n">
        <v>46156</v>
      </c>
      <c r="IF160" s="9" t="n">
        <v>0</v>
      </c>
      <c r="IH160" s="9" t="n">
        <v>0</v>
      </c>
      <c r="II160" s="9" t="n">
        <v>720</v>
      </c>
      <c r="IM160" s="10" t="n">
        <v>46156</v>
      </c>
      <c r="IO160" s="9" t="n">
        <v>0</v>
      </c>
      <c r="IQ160" s="9" t="n">
        <v>0</v>
      </c>
      <c r="IR160" s="9" t="n">
        <v>11540</v>
      </c>
      <c r="IV160" s="10" t="n">
        <v>46156</v>
      </c>
      <c r="IX160" s="9" t="n">
        <v>0</v>
      </c>
      <c r="IZ160" s="9" t="n">
        <v>0</v>
      </c>
      <c r="JA160" s="9" t="n">
        <v>12860</v>
      </c>
      <c r="JE160" s="10" t="n">
        <v>46156</v>
      </c>
      <c r="JG160" s="9" t="n">
        <v>0</v>
      </c>
      <c r="JI160" s="9" t="n">
        <v>0</v>
      </c>
      <c r="JJ160" s="9" t="n">
        <v>0</v>
      </c>
      <c r="JN160" s="10" t="n">
        <v>46156</v>
      </c>
      <c r="JP160" s="9" t="n">
        <v>0</v>
      </c>
      <c r="JR160" s="9" t="n">
        <v>0</v>
      </c>
      <c r="JS160" s="9" t="n">
        <v>6700</v>
      </c>
      <c r="JW160" s="10" t="n">
        <v>46156</v>
      </c>
      <c r="JY160" s="9" t="n">
        <v>0</v>
      </c>
      <c r="KA160" s="9" t="n">
        <v>0</v>
      </c>
      <c r="KB160" s="9" t="n">
        <v>2540</v>
      </c>
      <c r="KF160" s="10" t="n">
        <v>46156</v>
      </c>
      <c r="KH160" s="9" t="n">
        <v>0</v>
      </c>
      <c r="KJ160" s="9" t="n">
        <v>0</v>
      </c>
      <c r="KK160" s="9" t="n">
        <v>2359.5</v>
      </c>
      <c r="KO160" s="10" t="n">
        <v>46156</v>
      </c>
      <c r="KQ160" s="9" t="n">
        <v>0</v>
      </c>
      <c r="KS160" s="9" t="n">
        <v>0</v>
      </c>
      <c r="KT160" s="9" t="n">
        <v>1890</v>
      </c>
      <c r="KX160" s="10" t="n">
        <v>46156</v>
      </c>
      <c r="KZ160" s="9" t="n">
        <v>0</v>
      </c>
      <c r="LB160" s="9" t="n">
        <v>0</v>
      </c>
      <c r="LC160" s="9" t="n">
        <v>3690</v>
      </c>
      <c r="LG160" s="10" t="n">
        <v>46156</v>
      </c>
      <c r="LI160" s="9" t="n">
        <v>0</v>
      </c>
      <c r="LK160" s="9" t="n">
        <v>0</v>
      </c>
      <c r="LL160" s="9" t="n">
        <v>4000</v>
      </c>
      <c r="LP160" s="10" t="n">
        <v>46156</v>
      </c>
      <c r="LR160" s="9" t="n">
        <v>0</v>
      </c>
      <c r="LT160" s="9" t="n">
        <v>0</v>
      </c>
      <c r="LU160" s="9" t="n">
        <v>0</v>
      </c>
      <c r="LY160" s="10" t="n">
        <v>46156</v>
      </c>
      <c r="MA160" s="9" t="n">
        <v>0</v>
      </c>
      <c r="MC160" s="9" t="n">
        <v>0</v>
      </c>
      <c r="MD160" s="9" t="n">
        <v>0</v>
      </c>
      <c r="MH160" s="10" t="n">
        <v>46156</v>
      </c>
      <c r="MJ160" s="9" t="n">
        <v>0</v>
      </c>
      <c r="ML160" s="9" t="n">
        <v>0</v>
      </c>
      <c r="MM160" s="9" t="n">
        <v>0</v>
      </c>
      <c r="MQ160" s="10" t="n">
        <v>46156</v>
      </c>
      <c r="MS160" s="9" t="n">
        <v>0</v>
      </c>
      <c r="MU160" s="9" t="n">
        <v>0</v>
      </c>
      <c r="MV160" s="9" t="n">
        <v>3837</v>
      </c>
      <c r="MZ160" s="10" t="n">
        <v>46156</v>
      </c>
      <c r="NB160" s="9" t="n">
        <v>70</v>
      </c>
      <c r="ND160" s="9" t="n">
        <v>70</v>
      </c>
      <c r="NE160" s="9" t="n">
        <v>0</v>
      </c>
      <c r="NI160" s="10" t="n">
        <v>46156</v>
      </c>
      <c r="NK160" s="9" t="n">
        <v>0</v>
      </c>
      <c r="NM160" s="9" t="n">
        <v>0</v>
      </c>
      <c r="NN160" s="9" t="n">
        <v>1127</v>
      </c>
      <c r="NR160" s="10" t="n">
        <v>46156</v>
      </c>
      <c r="NT160" s="9" t="n">
        <v>0</v>
      </c>
      <c r="NV160" s="9" t="n">
        <v>0</v>
      </c>
      <c r="NW160" s="9" t="n">
        <v>3112</v>
      </c>
      <c r="OA160" s="10" t="n">
        <v>46156</v>
      </c>
      <c r="OC160" s="9" t="n">
        <v>0</v>
      </c>
      <c r="OE160" s="9" t="n">
        <v>0</v>
      </c>
      <c r="OF160" s="9" t="n">
        <v>1680.5</v>
      </c>
      <c r="OJ160" s="10" t="n">
        <v>46156</v>
      </c>
      <c r="OL160" s="9" t="n">
        <v>28</v>
      </c>
      <c r="ON160" s="9" t="n">
        <v>28</v>
      </c>
      <c r="OO160" s="9" t="n">
        <v>0</v>
      </c>
      <c r="OS160" s="10" t="n">
        <v>46156</v>
      </c>
      <c r="OT160" s="9" t="n">
        <v>500</v>
      </c>
      <c r="OU160" s="9" t="n">
        <v>0</v>
      </c>
      <c r="OW160" s="9" t="n">
        <v>0</v>
      </c>
      <c r="OX160" s="9" t="n">
        <v>1482</v>
      </c>
      <c r="PB160" s="10" t="n">
        <v>46156</v>
      </c>
      <c r="PD160" s="9" t="n">
        <v>0</v>
      </c>
      <c r="PF160" s="9" t="n">
        <v>0</v>
      </c>
      <c r="PG160" s="9" t="n">
        <v>0</v>
      </c>
      <c r="PK160" s="10" t="n">
        <v>46156</v>
      </c>
      <c r="PM160" s="9" t="n">
        <v>0</v>
      </c>
      <c r="PO160" s="9" t="n">
        <v>0</v>
      </c>
      <c r="PP160" s="9" t="n">
        <v>100</v>
      </c>
      <c r="PT160" s="10" t="n">
        <v>46156</v>
      </c>
      <c r="PV160" s="9" t="n">
        <v>0</v>
      </c>
      <c r="PX160" s="9" t="n">
        <v>0</v>
      </c>
      <c r="PY160" s="9" t="n">
        <v>13.96000000000004</v>
      </c>
      <c r="QC160" s="10" t="n">
        <v>46156</v>
      </c>
      <c r="QE160" s="9" t="n">
        <v>0</v>
      </c>
      <c r="QG160" s="9" t="n">
        <v>0</v>
      </c>
      <c r="QH160" s="9" t="n">
        <v>876</v>
      </c>
      <c r="QL160" s="10" t="n">
        <v>46156</v>
      </c>
      <c r="QN160" s="9" t="n">
        <v>0</v>
      </c>
      <c r="QP160" s="9" t="n">
        <v>0</v>
      </c>
      <c r="QQ160" s="9" t="n">
        <v>665</v>
      </c>
      <c r="QU160" s="10" t="n">
        <v>46156</v>
      </c>
      <c r="QW160" s="9" t="n">
        <v>0</v>
      </c>
      <c r="QY160" s="9" t="n">
        <v>0</v>
      </c>
      <c r="QZ160" s="9" t="n">
        <v>207.6</v>
      </c>
      <c r="RD160" s="10" t="n">
        <v>46156</v>
      </c>
      <c r="RF160" s="9" t="n">
        <v>0</v>
      </c>
      <c r="RH160" s="9" t="n">
        <v>0</v>
      </c>
      <c r="RI160" s="9" t="n">
        <v>147.04</v>
      </c>
      <c r="RM160" s="10" t="n">
        <v>46156</v>
      </c>
      <c r="RO160" s="9" t="n">
        <v>0</v>
      </c>
      <c r="RQ160" s="9" t="n">
        <v>0</v>
      </c>
      <c r="RR160" s="9" t="n">
        <v>46.8</v>
      </c>
      <c r="RV160" s="10" t="n">
        <v>46156</v>
      </c>
      <c r="RX160" s="9" t="n">
        <v>0</v>
      </c>
      <c r="RZ160" s="9" t="n">
        <v>0</v>
      </c>
      <c r="SA160" s="9" t="n">
        <v>0</v>
      </c>
      <c r="SE160" s="10" t="n">
        <v>46156</v>
      </c>
      <c r="SG160" s="9" t="n">
        <v>0</v>
      </c>
      <c r="SI160" s="9" t="n">
        <v>0</v>
      </c>
      <c r="SJ160" s="9" t="n">
        <v>24.2</v>
      </c>
      <c r="SN160" s="10" t="n">
        <v>46156</v>
      </c>
      <c r="SP160" s="9" t="n">
        <v>0</v>
      </c>
      <c r="SR160" s="9" t="n">
        <v>0</v>
      </c>
      <c r="SS160" s="9" t="n">
        <v>32</v>
      </c>
      <c r="SW160" s="10" t="n">
        <v>46156</v>
      </c>
      <c r="SY160" s="9" t="n">
        <v>0</v>
      </c>
      <c r="TA160" s="9" t="n">
        <v>0</v>
      </c>
      <c r="TB160" s="9" t="n">
        <v>0</v>
      </c>
      <c r="TF160" s="10" t="n">
        <v>46156</v>
      </c>
      <c r="TH160" s="9" t="n">
        <v>14</v>
      </c>
      <c r="TJ160" s="9" t="n">
        <v>14</v>
      </c>
      <c r="TK160" s="9" t="n">
        <v>0</v>
      </c>
      <c r="TO160" s="10" t="n">
        <v>46156</v>
      </c>
      <c r="TQ160" s="9" t="n">
        <v>0</v>
      </c>
      <c r="TS160" s="9" t="n">
        <v>0</v>
      </c>
      <c r="TT160" s="9" t="n">
        <v>0</v>
      </c>
      <c r="TX160" s="10" t="n">
        <v>46156</v>
      </c>
      <c r="TZ160" s="9" t="n">
        <v>0</v>
      </c>
      <c r="UB160" s="9" t="n">
        <v>0</v>
      </c>
      <c r="UC160" s="9" t="n">
        <v>0</v>
      </c>
      <c r="UG160" s="10" t="n">
        <v>46156</v>
      </c>
      <c r="UI160" s="9" t="n">
        <v>0</v>
      </c>
      <c r="UK160" s="9" t="n">
        <v>0</v>
      </c>
      <c r="UL160" s="9" t="n">
        <v>0</v>
      </c>
      <c r="UP160" s="10" t="n">
        <v>46156</v>
      </c>
      <c r="UR160" s="9" t="n">
        <v>0</v>
      </c>
      <c r="UT160" s="9" t="n">
        <v>0</v>
      </c>
      <c r="UU160" s="9" t="n">
        <v>0</v>
      </c>
      <c r="UY160" s="10" t="n">
        <v>46156</v>
      </c>
      <c r="VA160" s="9" t="n">
        <v>0</v>
      </c>
      <c r="VC160" s="9" t="n">
        <v>0</v>
      </c>
      <c r="VD160" s="9" t="n">
        <v>41.60000000000002</v>
      </c>
      <c r="VH160" s="10" t="n">
        <v>46156</v>
      </c>
      <c r="VJ160" s="9" t="n">
        <v>0</v>
      </c>
      <c r="VL160" s="9" t="n">
        <v>0</v>
      </c>
      <c r="VM160" s="9" t="n">
        <v>0</v>
      </c>
      <c r="VQ160" s="10" t="n">
        <v>46156</v>
      </c>
      <c r="VS160" s="9" t="n">
        <v>0</v>
      </c>
      <c r="VU160" s="9" t="n">
        <v>0</v>
      </c>
      <c r="VV160" s="9" t="n">
        <v>0</v>
      </c>
      <c r="VZ160" s="10" t="n">
        <v>46156</v>
      </c>
      <c r="WB160" s="9" t="n">
        <v>0</v>
      </c>
      <c r="WD160" s="9" t="n">
        <v>0</v>
      </c>
      <c r="WE160" s="9" t="n">
        <v>0</v>
      </c>
      <c r="WI160" s="10" t="n">
        <v>46156</v>
      </c>
      <c r="WK160" s="9" t="n">
        <v>0</v>
      </c>
      <c r="WM160" s="9" t="n">
        <v>0</v>
      </c>
      <c r="WN160" s="9" t="n">
        <v>2317</v>
      </c>
      <c r="WR160" s="10" t="n">
        <v>46156</v>
      </c>
      <c r="WT160" s="9" t="n">
        <v>0</v>
      </c>
      <c r="WV160" s="9" t="n">
        <v>0</v>
      </c>
      <c r="WW160" s="9" t="n">
        <v>0</v>
      </c>
      <c r="XA160" s="10" t="n">
        <v>46156</v>
      </c>
      <c r="XC160" s="9" t="n">
        <v>0</v>
      </c>
      <c r="XE160" s="9" t="n">
        <v>0</v>
      </c>
      <c r="XF160" s="9" t="n">
        <v>10627</v>
      </c>
      <c r="XJ160" s="10" t="n">
        <v>46156</v>
      </c>
      <c r="XL160" s="9" t="n">
        <v>0</v>
      </c>
      <c r="XM160" s="9" t="n">
        <v>280</v>
      </c>
      <c r="XN160" s="9" t="n">
        <v>-280</v>
      </c>
      <c r="XO160" s="9" t="n">
        <v>581</v>
      </c>
      <c r="XS160" s="10" t="n">
        <v>46156</v>
      </c>
      <c r="XU160" s="9" t="n">
        <v>0</v>
      </c>
      <c r="XW160" s="9" t="n">
        <v>0</v>
      </c>
      <c r="XX160" s="9" t="n">
        <v>1901</v>
      </c>
      <c r="YB160" s="10" t="n">
        <v>46156</v>
      </c>
      <c r="YD160" s="9" t="n">
        <v>0</v>
      </c>
      <c r="YF160" s="9" t="n">
        <v>0</v>
      </c>
      <c r="YG160" s="9" t="n">
        <v>6459</v>
      </c>
      <c r="YK160" s="10" t="n">
        <v>46156</v>
      </c>
      <c r="YM160" s="9" t="n">
        <v>0</v>
      </c>
      <c r="YO160" s="9" t="n">
        <v>0</v>
      </c>
      <c r="YP160" s="9" t="n">
        <v>0</v>
      </c>
      <c r="YT160" s="10" t="n">
        <v>46156</v>
      </c>
      <c r="YV160" s="9" t="n">
        <v>0</v>
      </c>
      <c r="YX160" s="9" t="n">
        <v>0</v>
      </c>
      <c r="YY160" s="9" t="n">
        <v>0</v>
      </c>
      <c r="ZC160" s="10" t="n">
        <v>46156</v>
      </c>
      <c r="ZE160" s="9" t="n">
        <v>0</v>
      </c>
      <c r="ZG160" s="9" t="n">
        <v>0</v>
      </c>
      <c r="ZH160" s="9" t="n">
        <v>0</v>
      </c>
      <c r="ZL160" s="10" t="n">
        <v>46156</v>
      </c>
      <c r="ZN160" s="9" t="n">
        <v>0</v>
      </c>
      <c r="ZP160" s="9" t="n">
        <v>0</v>
      </c>
      <c r="ZQ160" s="9" t="n">
        <v>0</v>
      </c>
      <c r="ZU160" s="10" t="n">
        <v>46156</v>
      </c>
      <c r="ZW160" s="9" t="n">
        <v>0</v>
      </c>
      <c r="ZY160" s="9" t="n">
        <v>0</v>
      </c>
      <c r="ZZ160" s="9" t="n">
        <v>0</v>
      </c>
      <c r="AAD160" s="10" t="n">
        <v>46156</v>
      </c>
      <c r="AAF160" s="9" t="n">
        <v>0</v>
      </c>
      <c r="AAH160" s="9" t="n">
        <v>0</v>
      </c>
      <c r="AAI160" s="9" t="n">
        <v>0</v>
      </c>
      <c r="AAM160" s="10" t="n">
        <v>46156</v>
      </c>
      <c r="AAO160" s="9" t="n">
        <v>0</v>
      </c>
      <c r="AAQ160" s="9" t="n">
        <v>0</v>
      </c>
      <c r="AAR160" s="9" t="n">
        <v>0</v>
      </c>
      <c r="AAV160" s="10" t="n">
        <v>46156</v>
      </c>
      <c r="AAX160" s="9" t="n">
        <v>0</v>
      </c>
      <c r="AAZ160" s="9" t="n">
        <v>0</v>
      </c>
      <c r="ABA160" s="9" t="n">
        <v>0</v>
      </c>
      <c r="ABE160" s="10" t="n">
        <v>46156</v>
      </c>
      <c r="ABG160" s="9" t="n">
        <v>0</v>
      </c>
      <c r="ABI160" s="9" t="n">
        <v>0</v>
      </c>
      <c r="ABJ160" s="9" t="n">
        <v>0</v>
      </c>
    </row>
    <row r="161">
      <c r="B161" s="9" t="n">
        <v>40</v>
      </c>
      <c r="C161" s="10" t="n">
        <v>46157</v>
      </c>
      <c r="D161" s="9" t="n">
        <v>11360</v>
      </c>
      <c r="E161" s="9" t="n">
        <v>25100</v>
      </c>
      <c r="F161" s="9" t="n">
        <v>25106.4</v>
      </c>
      <c r="G161" s="9" t="n">
        <v>-6.400000000001455</v>
      </c>
      <c r="H161" s="9" t="n">
        <v>187915.8000000001</v>
      </c>
      <c r="I161" s="9" t="inlineStr">
        <is>
          <t>1103 40mt</t>
        </is>
      </c>
      <c r="L161" s="10" t="n">
        <v>46157</v>
      </c>
      <c r="M161" s="9" t="n">
        <v>36130</v>
      </c>
      <c r="N161" s="9" t="n">
        <v>5460</v>
      </c>
      <c r="O161" s="9" t="n">
        <v>5460.2</v>
      </c>
      <c r="P161" s="9" t="n">
        <v>-0.1999999999998181</v>
      </c>
      <c r="Q161" s="9" t="n">
        <v>103543.4000000001</v>
      </c>
      <c r="U161" s="10" t="n">
        <v>46157</v>
      </c>
      <c r="V161" s="9" t="n">
        <v>29960</v>
      </c>
      <c r="W161" s="9" t="n">
        <v>3200</v>
      </c>
      <c r="X161" s="9" t="n">
        <v>3199.3</v>
      </c>
      <c r="Y161" s="9" t="n">
        <v>0.6999999999998181</v>
      </c>
      <c r="Z161" s="9" t="n">
        <v>51102.09999999996</v>
      </c>
      <c r="AD161" s="10" t="n">
        <v>46157</v>
      </c>
      <c r="AF161" s="9" t="n">
        <v>2800</v>
      </c>
      <c r="AG161" s="9" t="n">
        <v>2800.9</v>
      </c>
      <c r="AH161" s="9" t="n">
        <v>-0.9000000000000909</v>
      </c>
      <c r="AI161" s="9" t="n">
        <v>21746.10000000002</v>
      </c>
      <c r="AM161" s="10" t="n">
        <v>46157</v>
      </c>
      <c r="AO161" s="9" t="n">
        <v>0</v>
      </c>
      <c r="AQ161" s="9" t="n">
        <v>0</v>
      </c>
      <c r="AR161" s="9" t="n">
        <v>0</v>
      </c>
      <c r="AV161" s="10" t="n">
        <v>46157</v>
      </c>
      <c r="AX161" s="9" t="n">
        <v>620</v>
      </c>
      <c r="AY161" s="9" t="n">
        <v>620.8</v>
      </c>
      <c r="AZ161" s="9" t="n">
        <v>-0.7999999999999545</v>
      </c>
      <c r="BA161" s="9" t="n">
        <v>32003.2</v>
      </c>
      <c r="BE161" s="10" t="n">
        <v>46157</v>
      </c>
      <c r="BF161" s="9" t="n">
        <v>27970</v>
      </c>
      <c r="BG161" s="9" t="n">
        <v>1000</v>
      </c>
      <c r="BH161" s="9" t="n">
        <v>999.8</v>
      </c>
      <c r="BI161" s="9" t="n">
        <v>0.2000000000000455</v>
      </c>
      <c r="BJ161" s="9" t="n">
        <v>42121.99999999999</v>
      </c>
      <c r="BN161" s="10" t="n">
        <v>46157</v>
      </c>
      <c r="BO161" s="9" t="n">
        <v>999.9</v>
      </c>
      <c r="BP161" s="9" t="n">
        <v>1000</v>
      </c>
      <c r="BQ161" s="9" t="n">
        <v>999.9</v>
      </c>
      <c r="BR161" s="9" t="n">
        <v>0.1000000000000227</v>
      </c>
      <c r="BS161" s="9" t="n">
        <v>0</v>
      </c>
      <c r="BW161" s="10" t="n">
        <v>46157</v>
      </c>
      <c r="BY161" s="9" t="n">
        <v>0</v>
      </c>
      <c r="BZ161" s="9" t="n">
        <v>15</v>
      </c>
      <c r="CA161" s="9" t="n">
        <v>-15</v>
      </c>
      <c r="CB161" s="9" t="n">
        <v>5736.799999999999</v>
      </c>
      <c r="CF161" s="10" t="n">
        <v>46157</v>
      </c>
      <c r="CG161" s="9" t="n">
        <v>596</v>
      </c>
      <c r="CH161" s="9" t="n">
        <v>0</v>
      </c>
      <c r="CI161" s="9" t="n">
        <v>596</v>
      </c>
      <c r="CJ161" s="9" t="n">
        <v>-596</v>
      </c>
      <c r="CK161" s="9" t="n">
        <v>0</v>
      </c>
      <c r="CO161" s="10" t="n">
        <v>46157</v>
      </c>
      <c r="CQ161" s="9" t="n">
        <v>0</v>
      </c>
      <c r="CS161" s="9" t="n">
        <v>0</v>
      </c>
      <c r="CT161" s="9" t="n">
        <v>0</v>
      </c>
      <c r="CX161" s="10" t="n">
        <v>46157</v>
      </c>
      <c r="CZ161" s="9" t="n">
        <v>0</v>
      </c>
      <c r="DB161" s="9" t="n">
        <v>0</v>
      </c>
      <c r="DC161" s="9" t="n">
        <v>21657</v>
      </c>
      <c r="DG161" s="10" t="n">
        <v>46157</v>
      </c>
      <c r="DI161" s="9" t="n">
        <v>0</v>
      </c>
      <c r="DK161" s="9" t="n">
        <v>0</v>
      </c>
      <c r="DL161" s="9" t="n">
        <v>38237.09999999998</v>
      </c>
      <c r="DP161" s="10" t="n">
        <v>46157</v>
      </c>
      <c r="DR161" s="9" t="n">
        <v>0</v>
      </c>
      <c r="DT161" s="9" t="n">
        <v>0</v>
      </c>
      <c r="DU161" s="9" t="n">
        <v>5800</v>
      </c>
      <c r="DY161" s="10" t="n">
        <v>46157</v>
      </c>
      <c r="EA161" s="9" t="n">
        <v>0</v>
      </c>
      <c r="EC161" s="9" t="n">
        <v>0</v>
      </c>
      <c r="ED161" s="9" t="n">
        <v>0</v>
      </c>
      <c r="EH161" s="10" t="n">
        <v>46157</v>
      </c>
      <c r="EJ161" s="9" t="n">
        <v>0</v>
      </c>
      <c r="EL161" s="9" t="n">
        <v>0</v>
      </c>
      <c r="EM161" s="9" t="n">
        <v>0</v>
      </c>
      <c r="EQ161" s="10" t="n">
        <v>46157</v>
      </c>
      <c r="ES161" s="9" t="n">
        <v>0</v>
      </c>
      <c r="EU161" s="9" t="n">
        <v>0</v>
      </c>
      <c r="EV161" s="9" t="n">
        <v>0</v>
      </c>
      <c r="EZ161" s="10" t="n">
        <v>46157</v>
      </c>
      <c r="FB161" s="9" t="n">
        <v>0</v>
      </c>
      <c r="FD161" s="9" t="n">
        <v>0</v>
      </c>
      <c r="FE161" s="9" t="n">
        <v>0</v>
      </c>
      <c r="FI161" s="10" t="n">
        <v>46157</v>
      </c>
      <c r="FK161" s="9" t="n">
        <v>0</v>
      </c>
      <c r="FM161" s="9" t="n">
        <v>0</v>
      </c>
      <c r="FN161" s="9" t="n">
        <v>0</v>
      </c>
      <c r="FR161" s="10" t="n">
        <v>46157</v>
      </c>
      <c r="FT161" s="9" t="n">
        <v>0</v>
      </c>
      <c r="FV161" s="9" t="n">
        <v>0</v>
      </c>
      <c r="FW161" s="9" t="n">
        <v>4140</v>
      </c>
      <c r="GA161" s="10" t="n">
        <v>46157</v>
      </c>
      <c r="GC161" s="9" t="n">
        <v>0</v>
      </c>
      <c r="GD161" s="9" t="n">
        <v>600</v>
      </c>
      <c r="GE161" s="9" t="n">
        <v>-600</v>
      </c>
      <c r="GF161" s="9" t="n">
        <v>5040</v>
      </c>
      <c r="GG161" s="9" t="n">
        <v>30</v>
      </c>
      <c r="GJ161" s="10" t="n">
        <v>46157</v>
      </c>
      <c r="GL161" s="9" t="n">
        <v>800</v>
      </c>
      <c r="GM161" s="9" t="n">
        <v>2240</v>
      </c>
      <c r="GN161" s="9" t="n">
        <v>-1440</v>
      </c>
      <c r="GO161" s="9" t="n">
        <v>1760</v>
      </c>
      <c r="GP161" s="9" t="n">
        <v>112</v>
      </c>
      <c r="GS161" s="10" t="n">
        <v>46157</v>
      </c>
      <c r="GU161" s="9" t="n">
        <v>0</v>
      </c>
      <c r="GV161" s="9" t="n">
        <v>280</v>
      </c>
      <c r="GW161" s="9" t="n">
        <v>-280</v>
      </c>
      <c r="GX161" s="9" t="n">
        <v>1320</v>
      </c>
      <c r="GY161" s="9" t="n">
        <v>14</v>
      </c>
      <c r="HB161" s="10" t="n">
        <v>46157</v>
      </c>
      <c r="HD161" s="9" t="n">
        <v>0</v>
      </c>
      <c r="HF161" s="9" t="n">
        <v>0</v>
      </c>
      <c r="HG161" s="9" t="n">
        <v>3600</v>
      </c>
      <c r="HK161" s="10" t="n">
        <v>46157</v>
      </c>
      <c r="HM161" s="9" t="n">
        <v>0</v>
      </c>
      <c r="HO161" s="9" t="n">
        <v>0</v>
      </c>
      <c r="HP161" s="9" t="n">
        <v>0</v>
      </c>
      <c r="HU161" s="10" t="n">
        <v>46157</v>
      </c>
      <c r="HW161" s="9" t="n">
        <v>0</v>
      </c>
      <c r="HX161" s="9" t="n">
        <v>200</v>
      </c>
      <c r="HY161" s="9" t="n">
        <v>-200</v>
      </c>
      <c r="HZ161" s="9" t="n">
        <v>5080</v>
      </c>
      <c r="IA161" s="9" t="n">
        <v>10</v>
      </c>
      <c r="ID161" s="10" t="n">
        <v>46157</v>
      </c>
      <c r="IF161" s="9" t="n">
        <v>0</v>
      </c>
      <c r="IH161" s="9" t="n">
        <v>0</v>
      </c>
      <c r="II161" s="9" t="n">
        <v>720</v>
      </c>
      <c r="IM161" s="10" t="n">
        <v>46157</v>
      </c>
      <c r="IO161" s="9" t="n">
        <v>0</v>
      </c>
      <c r="IQ161" s="9" t="n">
        <v>0</v>
      </c>
      <c r="IR161" s="9" t="n">
        <v>11540</v>
      </c>
      <c r="IV161" s="10" t="n">
        <v>46157</v>
      </c>
      <c r="IX161" s="9" t="n">
        <v>0</v>
      </c>
      <c r="IZ161" s="9" t="n">
        <v>0</v>
      </c>
      <c r="JA161" s="9" t="n">
        <v>12860</v>
      </c>
      <c r="JE161" s="10" t="n">
        <v>46157</v>
      </c>
      <c r="JG161" s="9" t="n">
        <v>0</v>
      </c>
      <c r="JI161" s="9" t="n">
        <v>0</v>
      </c>
      <c r="JJ161" s="9" t="n">
        <v>0</v>
      </c>
      <c r="JN161" s="10" t="n">
        <v>46157</v>
      </c>
      <c r="JP161" s="9" t="n">
        <v>0</v>
      </c>
      <c r="JQ161" s="9" t="n">
        <v>1200</v>
      </c>
      <c r="JR161" s="9" t="n">
        <v>-1200</v>
      </c>
      <c r="JS161" s="9" t="n">
        <v>5500</v>
      </c>
      <c r="JT161" s="9" t="n">
        <v>60</v>
      </c>
      <c r="JW161" s="10" t="n">
        <v>46157</v>
      </c>
      <c r="JY161" s="9" t="n">
        <v>0</v>
      </c>
      <c r="KA161" s="9" t="n">
        <v>0</v>
      </c>
      <c r="KB161" s="9" t="n">
        <v>2540</v>
      </c>
      <c r="KF161" s="10" t="n">
        <v>46157</v>
      </c>
      <c r="KH161" s="9" t="n">
        <v>0</v>
      </c>
      <c r="KJ161" s="9" t="n">
        <v>0</v>
      </c>
      <c r="KK161" s="9" t="n">
        <v>2359.5</v>
      </c>
      <c r="KO161" s="10" t="n">
        <v>46157</v>
      </c>
      <c r="KQ161" s="9" t="n">
        <v>0</v>
      </c>
      <c r="KS161" s="9" t="n">
        <v>0</v>
      </c>
      <c r="KT161" s="9" t="n">
        <v>1890</v>
      </c>
      <c r="KX161" s="10" t="n">
        <v>46157</v>
      </c>
      <c r="KZ161" s="9" t="n">
        <v>0</v>
      </c>
      <c r="LB161" s="9" t="n">
        <v>0</v>
      </c>
      <c r="LC161" s="9" t="n">
        <v>3690</v>
      </c>
      <c r="LG161" s="10" t="n">
        <v>46157</v>
      </c>
      <c r="LI161" s="9" t="n">
        <v>0</v>
      </c>
      <c r="LK161" s="9" t="n">
        <v>0</v>
      </c>
      <c r="LL161" s="9" t="n">
        <v>4000</v>
      </c>
      <c r="LP161" s="10" t="n">
        <v>46157</v>
      </c>
      <c r="LR161" s="9" t="n">
        <v>0</v>
      </c>
      <c r="LT161" s="9" t="n">
        <v>0</v>
      </c>
      <c r="LU161" s="9" t="n">
        <v>0</v>
      </c>
      <c r="LY161" s="10" t="n">
        <v>46157</v>
      </c>
      <c r="MA161" s="9" t="n">
        <v>0</v>
      </c>
      <c r="MC161" s="9" t="n">
        <v>0</v>
      </c>
      <c r="MD161" s="9" t="n">
        <v>0</v>
      </c>
      <c r="MH161" s="10" t="n">
        <v>46157</v>
      </c>
      <c r="MJ161" s="9" t="n">
        <v>0</v>
      </c>
      <c r="ML161" s="9" t="n">
        <v>0</v>
      </c>
      <c r="MM161" s="9" t="n">
        <v>0</v>
      </c>
      <c r="MQ161" s="10" t="n">
        <v>46157</v>
      </c>
      <c r="MS161" s="9" t="n">
        <v>20</v>
      </c>
      <c r="MT161" s="9" t="n">
        <v>76</v>
      </c>
      <c r="MU161" s="9" t="n">
        <v>-56</v>
      </c>
      <c r="MV161" s="9" t="n">
        <v>3761</v>
      </c>
      <c r="MZ161" s="10" t="n">
        <v>46157</v>
      </c>
      <c r="NA161" s="9" t="n">
        <v>280</v>
      </c>
      <c r="NB161" s="9" t="n">
        <v>0</v>
      </c>
      <c r="NC161" s="9" t="n">
        <v>280</v>
      </c>
      <c r="ND161" s="9" t="n">
        <v>-280</v>
      </c>
      <c r="NE161" s="9" t="n">
        <v>0</v>
      </c>
      <c r="NI161" s="10" t="n">
        <v>46157</v>
      </c>
      <c r="NK161" s="9" t="n">
        <v>0</v>
      </c>
      <c r="NM161" s="9" t="n">
        <v>0</v>
      </c>
      <c r="NN161" s="9" t="n">
        <v>1127</v>
      </c>
      <c r="NR161" s="10" t="n">
        <v>46157</v>
      </c>
      <c r="NT161" s="9" t="n">
        <v>0</v>
      </c>
      <c r="NV161" s="9" t="n">
        <v>0</v>
      </c>
      <c r="NW161" s="9" t="n">
        <v>3112</v>
      </c>
      <c r="OA161" s="10" t="n">
        <v>46157</v>
      </c>
      <c r="OC161" s="9" t="n">
        <v>0</v>
      </c>
      <c r="OE161" s="9" t="n">
        <v>0</v>
      </c>
      <c r="OF161" s="9" t="n">
        <v>1680.5</v>
      </c>
      <c r="OJ161" s="10" t="n">
        <v>46157</v>
      </c>
      <c r="OK161" s="9" t="n">
        <v>28</v>
      </c>
      <c r="OL161" s="9" t="n">
        <v>0</v>
      </c>
      <c r="OM161" s="9" t="n">
        <v>28</v>
      </c>
      <c r="ON161" s="9" t="n">
        <v>-28</v>
      </c>
      <c r="OO161" s="9" t="n">
        <v>0</v>
      </c>
      <c r="OS161" s="10" t="n">
        <v>46157</v>
      </c>
      <c r="OU161" s="9" t="n">
        <v>0</v>
      </c>
      <c r="OW161" s="9" t="n">
        <v>0</v>
      </c>
      <c r="OX161" s="9" t="n">
        <v>1482</v>
      </c>
      <c r="PB161" s="10" t="n">
        <v>46157</v>
      </c>
      <c r="PD161" s="9" t="n">
        <v>0</v>
      </c>
      <c r="PF161" s="9" t="n">
        <v>0</v>
      </c>
      <c r="PG161" s="9" t="n">
        <v>0</v>
      </c>
      <c r="PK161" s="10" t="n">
        <v>46157</v>
      </c>
      <c r="PM161" s="9" t="n">
        <v>0</v>
      </c>
      <c r="PO161" s="9" t="n">
        <v>0</v>
      </c>
      <c r="PP161" s="9" t="n">
        <v>100</v>
      </c>
      <c r="PT161" s="10" t="n">
        <v>46157</v>
      </c>
      <c r="PV161" s="9" t="n">
        <v>0</v>
      </c>
      <c r="PX161" s="9" t="n">
        <v>0</v>
      </c>
      <c r="PY161" s="9" t="n">
        <v>13.96000000000004</v>
      </c>
      <c r="QC161" s="10" t="n">
        <v>46157</v>
      </c>
      <c r="QE161" s="9" t="n">
        <v>0</v>
      </c>
      <c r="QG161" s="9" t="n">
        <v>0</v>
      </c>
      <c r="QH161" s="9" t="n">
        <v>876</v>
      </c>
      <c r="QL161" s="10" t="n">
        <v>46157</v>
      </c>
      <c r="QN161" s="9" t="n">
        <v>0</v>
      </c>
      <c r="QO161" s="9" t="n">
        <v>150</v>
      </c>
      <c r="QP161" s="9" t="n">
        <v>-150</v>
      </c>
      <c r="QQ161" s="9" t="n">
        <v>515</v>
      </c>
      <c r="QU161" s="10" t="n">
        <v>46157</v>
      </c>
      <c r="QW161" s="9" t="n">
        <v>0</v>
      </c>
      <c r="QY161" s="9" t="n">
        <v>0</v>
      </c>
      <c r="QZ161" s="9" t="n">
        <v>207.6</v>
      </c>
      <c r="RD161" s="10" t="n">
        <v>46157</v>
      </c>
      <c r="RF161" s="9" t="n">
        <v>0</v>
      </c>
      <c r="RH161" s="9" t="n">
        <v>0</v>
      </c>
      <c r="RI161" s="9" t="n">
        <v>147.04</v>
      </c>
      <c r="RM161" s="10" t="n">
        <v>46157</v>
      </c>
      <c r="RO161" s="9" t="n">
        <v>0</v>
      </c>
      <c r="RQ161" s="9" t="n">
        <v>0</v>
      </c>
      <c r="RR161" s="9" t="n">
        <v>46.8</v>
      </c>
      <c r="RV161" s="10" t="n">
        <v>46157</v>
      </c>
      <c r="RX161" s="9" t="n">
        <v>0</v>
      </c>
      <c r="RZ161" s="9" t="n">
        <v>0</v>
      </c>
      <c r="SA161" s="9" t="n">
        <v>0</v>
      </c>
      <c r="SE161" s="10" t="n">
        <v>46157</v>
      </c>
      <c r="SG161" s="9" t="n">
        <v>0</v>
      </c>
      <c r="SI161" s="9" t="n">
        <v>0</v>
      </c>
      <c r="SJ161" s="9" t="n">
        <v>24.2</v>
      </c>
      <c r="SN161" s="10" t="n">
        <v>46157</v>
      </c>
      <c r="SP161" s="9" t="n">
        <v>0</v>
      </c>
      <c r="SR161" s="9" t="n">
        <v>0</v>
      </c>
      <c r="SS161" s="9" t="n">
        <v>32</v>
      </c>
      <c r="SW161" s="10" t="n">
        <v>46157</v>
      </c>
      <c r="SY161" s="9" t="n">
        <v>0</v>
      </c>
      <c r="TA161" s="9" t="n">
        <v>0</v>
      </c>
      <c r="TB161" s="9" t="n">
        <v>0</v>
      </c>
      <c r="TF161" s="10" t="n">
        <v>46157</v>
      </c>
      <c r="TG161" s="9" t="n">
        <v>14</v>
      </c>
      <c r="TH161" s="9" t="n">
        <v>0</v>
      </c>
      <c r="TI161" s="9" t="n">
        <v>14</v>
      </c>
      <c r="TJ161" s="9" t="n">
        <v>-14</v>
      </c>
      <c r="TK161" s="9" t="n">
        <v>0</v>
      </c>
      <c r="TO161" s="10" t="n">
        <v>46157</v>
      </c>
      <c r="TQ161" s="9" t="n">
        <v>0</v>
      </c>
      <c r="TS161" s="9" t="n">
        <v>0</v>
      </c>
      <c r="TT161" s="9" t="n">
        <v>0</v>
      </c>
      <c r="TX161" s="10" t="n">
        <v>46157</v>
      </c>
      <c r="TZ161" s="9" t="n">
        <v>0</v>
      </c>
      <c r="UB161" s="9" t="n">
        <v>0</v>
      </c>
      <c r="UC161" s="9" t="n">
        <v>0</v>
      </c>
      <c r="UG161" s="10" t="n">
        <v>46157</v>
      </c>
      <c r="UI161" s="9" t="n">
        <v>0</v>
      </c>
      <c r="UK161" s="9" t="n">
        <v>0</v>
      </c>
      <c r="UL161" s="9" t="n">
        <v>0</v>
      </c>
      <c r="UP161" s="10" t="n">
        <v>46157</v>
      </c>
      <c r="UR161" s="9" t="n">
        <v>0</v>
      </c>
      <c r="UT161" s="9" t="n">
        <v>0</v>
      </c>
      <c r="UU161" s="9" t="n">
        <v>0</v>
      </c>
      <c r="UY161" s="10" t="n">
        <v>46157</v>
      </c>
      <c r="VA161" s="9" t="n">
        <v>0</v>
      </c>
      <c r="VC161" s="9" t="n">
        <v>0</v>
      </c>
      <c r="VD161" s="9" t="n">
        <v>41.60000000000002</v>
      </c>
      <c r="VH161" s="10" t="n">
        <v>46157</v>
      </c>
      <c r="VJ161" s="9" t="n">
        <v>0</v>
      </c>
      <c r="VL161" s="9" t="n">
        <v>0</v>
      </c>
      <c r="VM161" s="9" t="n">
        <v>0</v>
      </c>
      <c r="VQ161" s="10" t="n">
        <v>46157</v>
      </c>
      <c r="VS161" s="9" t="n">
        <v>0</v>
      </c>
      <c r="VU161" s="9" t="n">
        <v>0</v>
      </c>
      <c r="VV161" s="9" t="n">
        <v>0</v>
      </c>
      <c r="VZ161" s="10" t="n">
        <v>46157</v>
      </c>
      <c r="WB161" s="9" t="n">
        <v>0</v>
      </c>
      <c r="WD161" s="9" t="n">
        <v>0</v>
      </c>
      <c r="WE161" s="9" t="n">
        <v>0</v>
      </c>
      <c r="WI161" s="10" t="n">
        <v>46157</v>
      </c>
      <c r="WK161" s="9" t="n">
        <v>0</v>
      </c>
      <c r="WM161" s="9" t="n">
        <v>0</v>
      </c>
      <c r="WN161" s="9" t="n">
        <v>2317</v>
      </c>
      <c r="WR161" s="10" t="n">
        <v>46157</v>
      </c>
      <c r="WT161" s="9" t="n">
        <v>0</v>
      </c>
      <c r="WV161" s="9" t="n">
        <v>0</v>
      </c>
      <c r="WW161" s="9" t="n">
        <v>0</v>
      </c>
      <c r="XA161" s="10" t="n">
        <v>46157</v>
      </c>
      <c r="XC161" s="9" t="n">
        <v>0</v>
      </c>
      <c r="XD161" s="9" t="n">
        <v>694</v>
      </c>
      <c r="XE161" s="9" t="n">
        <v>-694</v>
      </c>
      <c r="XF161" s="9" t="n">
        <v>9933</v>
      </c>
      <c r="XJ161" s="10" t="n">
        <v>46157</v>
      </c>
      <c r="XL161" s="9" t="n">
        <v>0</v>
      </c>
      <c r="XN161" s="9" t="n">
        <v>0</v>
      </c>
      <c r="XO161" s="9" t="n">
        <v>581</v>
      </c>
      <c r="XS161" s="10" t="n">
        <v>46157</v>
      </c>
      <c r="XU161" s="9" t="n">
        <v>0</v>
      </c>
      <c r="XW161" s="9" t="n">
        <v>0</v>
      </c>
      <c r="XX161" s="9" t="n">
        <v>1901</v>
      </c>
      <c r="YB161" s="10" t="n">
        <v>46157</v>
      </c>
      <c r="YD161" s="9" t="n">
        <v>0</v>
      </c>
      <c r="YF161" s="9" t="n">
        <v>0</v>
      </c>
      <c r="YG161" s="9" t="n">
        <v>6459</v>
      </c>
      <c r="YK161" s="10" t="n">
        <v>46157</v>
      </c>
      <c r="YM161" s="9" t="n">
        <v>0</v>
      </c>
      <c r="YO161" s="9" t="n">
        <v>0</v>
      </c>
      <c r="YP161" s="9" t="n">
        <v>0</v>
      </c>
      <c r="YT161" s="10" t="n">
        <v>46157</v>
      </c>
      <c r="YV161" s="9" t="n">
        <v>0</v>
      </c>
      <c r="YX161" s="9" t="n">
        <v>0</v>
      </c>
      <c r="YY161" s="9" t="n">
        <v>0</v>
      </c>
      <c r="ZC161" s="10" t="n">
        <v>46157</v>
      </c>
      <c r="ZE161" s="9" t="n">
        <v>0</v>
      </c>
      <c r="ZG161" s="9" t="n">
        <v>0</v>
      </c>
      <c r="ZH161" s="9" t="n">
        <v>0</v>
      </c>
      <c r="ZL161" s="10" t="n">
        <v>46157</v>
      </c>
      <c r="ZN161" s="9" t="n">
        <v>0</v>
      </c>
      <c r="ZP161" s="9" t="n">
        <v>0</v>
      </c>
      <c r="ZQ161" s="9" t="n">
        <v>0</v>
      </c>
      <c r="ZU161" s="10" t="n">
        <v>46157</v>
      </c>
      <c r="ZW161" s="9" t="n">
        <v>0</v>
      </c>
      <c r="ZY161" s="9" t="n">
        <v>0</v>
      </c>
      <c r="ZZ161" s="9" t="n">
        <v>0</v>
      </c>
      <c r="AAD161" s="10" t="n">
        <v>46157</v>
      </c>
      <c r="AAF161" s="9" t="n">
        <v>0</v>
      </c>
      <c r="AAH161" s="9" t="n">
        <v>0</v>
      </c>
      <c r="AAI161" s="9" t="n">
        <v>0</v>
      </c>
      <c r="AAM161" s="10" t="n">
        <v>46157</v>
      </c>
      <c r="AAO161" s="9" t="n">
        <v>0</v>
      </c>
      <c r="AAQ161" s="9" t="n">
        <v>0</v>
      </c>
      <c r="AAR161" s="9" t="n">
        <v>0</v>
      </c>
      <c r="AAV161" s="10" t="n">
        <v>46157</v>
      </c>
      <c r="AAX161" s="9" t="n">
        <v>0</v>
      </c>
      <c r="AAZ161" s="9" t="n">
        <v>0</v>
      </c>
      <c r="ABA161" s="9" t="n">
        <v>0</v>
      </c>
      <c r="ABE161" s="10" t="n">
        <v>46157</v>
      </c>
      <c r="ABG161" s="9" t="n">
        <v>0</v>
      </c>
      <c r="ABI161" s="9" t="n">
        <v>0</v>
      </c>
      <c r="ABJ161" s="9" t="n">
        <v>0</v>
      </c>
    </row>
    <row r="162">
      <c r="B162" s="9" t="n">
        <v>60</v>
      </c>
      <c r="C162" s="10" t="n">
        <v>46158</v>
      </c>
      <c r="D162" s="9" t="n">
        <v>41920</v>
      </c>
      <c r="E162" s="9" t="n">
        <v>33472.8</v>
      </c>
      <c r="F162" s="9" t="n">
        <v>33465.8</v>
      </c>
      <c r="G162" s="9" t="n">
        <v>6.999999999992724</v>
      </c>
      <c r="H162" s="9" t="n">
        <v>196370.0000000001</v>
      </c>
      <c r="I162" s="9" t="inlineStr">
        <is>
          <t>8102 60mt</t>
        </is>
      </c>
      <c r="L162" s="10" t="n">
        <v>46158</v>
      </c>
      <c r="N162" s="9" t="n">
        <v>19032</v>
      </c>
      <c r="O162" s="9" t="n">
        <v>19028.4</v>
      </c>
      <c r="P162" s="9" t="n">
        <v>3.599999999998545</v>
      </c>
      <c r="Q162" s="9" t="n">
        <v>84515.00000000009</v>
      </c>
      <c r="U162" s="10" t="n">
        <v>46158</v>
      </c>
      <c r="W162" s="9" t="n">
        <v>3000</v>
      </c>
      <c r="X162" s="9" t="n">
        <v>3001.8</v>
      </c>
      <c r="Y162" s="9" t="n">
        <v>-1.800000000000182</v>
      </c>
      <c r="Z162" s="9" t="n">
        <v>48100.29999999996</v>
      </c>
      <c r="AD162" s="10" t="n">
        <v>46158</v>
      </c>
      <c r="AF162" s="9" t="n">
        <v>0</v>
      </c>
      <c r="AH162" s="9" t="n">
        <v>0</v>
      </c>
      <c r="AI162" s="9" t="n">
        <v>21746.10000000002</v>
      </c>
      <c r="AM162" s="10" t="n">
        <v>46158</v>
      </c>
      <c r="AO162" s="9" t="n">
        <v>0</v>
      </c>
      <c r="AQ162" s="9" t="n">
        <v>0</v>
      </c>
      <c r="AR162" s="9" t="n">
        <v>0</v>
      </c>
      <c r="AV162" s="10" t="n">
        <v>46158</v>
      </c>
      <c r="AX162" s="9" t="n">
        <v>0</v>
      </c>
      <c r="AY162" s="9" t="n">
        <v>19580</v>
      </c>
      <c r="AZ162" s="9" t="n">
        <v>-19580</v>
      </c>
      <c r="BA162" s="9" t="n">
        <v>12423.2</v>
      </c>
      <c r="BE162" s="10" t="n">
        <v>46158</v>
      </c>
      <c r="BG162" s="9" t="n">
        <v>1170</v>
      </c>
      <c r="BH162" s="9" t="n">
        <v>1168.7</v>
      </c>
      <c r="BI162" s="9" t="n">
        <v>1.299999999999955</v>
      </c>
      <c r="BJ162" s="9" t="n">
        <v>40953.3</v>
      </c>
      <c r="BN162" s="10" t="n">
        <v>46158</v>
      </c>
      <c r="BO162" s="9" t="n">
        <v>1409.9</v>
      </c>
      <c r="BP162" s="9" t="n">
        <v>1410</v>
      </c>
      <c r="BQ162" s="9" t="n">
        <v>1409.9</v>
      </c>
      <c r="BR162" s="9" t="n">
        <v>0.09999999999990905</v>
      </c>
      <c r="BS162" s="9" t="n">
        <v>0</v>
      </c>
      <c r="BW162" s="10" t="n">
        <v>46158</v>
      </c>
      <c r="BY162" s="9" t="n">
        <v>0</v>
      </c>
      <c r="CA162" s="9" t="n">
        <v>0</v>
      </c>
      <c r="CB162" s="9" t="n">
        <v>5736.799999999999</v>
      </c>
      <c r="CF162" s="10" t="n">
        <v>46158</v>
      </c>
      <c r="CH162" s="9" t="n">
        <v>385.2</v>
      </c>
      <c r="CJ162" s="9" t="n">
        <v>385.2</v>
      </c>
      <c r="CK162" s="9" t="n">
        <v>0</v>
      </c>
      <c r="CO162" s="10" t="n">
        <v>46158</v>
      </c>
      <c r="CQ162" s="9" t="n">
        <v>0</v>
      </c>
      <c r="CS162" s="9" t="n">
        <v>0</v>
      </c>
      <c r="CT162" s="9" t="n">
        <v>0</v>
      </c>
      <c r="CX162" s="10" t="n">
        <v>46158</v>
      </c>
      <c r="CZ162" s="9" t="n">
        <v>0</v>
      </c>
      <c r="DB162" s="9" t="n">
        <v>0</v>
      </c>
      <c r="DC162" s="9" t="n">
        <v>21657</v>
      </c>
      <c r="DG162" s="10" t="n">
        <v>46158</v>
      </c>
      <c r="DI162" s="9" t="n">
        <v>0</v>
      </c>
      <c r="DK162" s="9" t="n">
        <v>0</v>
      </c>
      <c r="DL162" s="9" t="n">
        <v>38237.09999999998</v>
      </c>
      <c r="DP162" s="10" t="n">
        <v>46158</v>
      </c>
      <c r="DR162" s="9" t="n">
        <v>0</v>
      </c>
      <c r="DT162" s="9" t="n">
        <v>0</v>
      </c>
      <c r="DU162" s="9" t="n">
        <v>5800</v>
      </c>
      <c r="DY162" s="10" t="n">
        <v>46158</v>
      </c>
      <c r="EA162" s="9" t="n">
        <v>0</v>
      </c>
      <c r="EC162" s="9" t="n">
        <v>0</v>
      </c>
      <c r="ED162" s="9" t="n">
        <v>0</v>
      </c>
      <c r="EH162" s="10" t="n">
        <v>46158</v>
      </c>
      <c r="EJ162" s="9" t="n">
        <v>0</v>
      </c>
      <c r="EL162" s="9" t="n">
        <v>0</v>
      </c>
      <c r="EM162" s="9" t="n">
        <v>0</v>
      </c>
      <c r="EQ162" s="10" t="n">
        <v>46158</v>
      </c>
      <c r="ES162" s="9" t="n">
        <v>0</v>
      </c>
      <c r="EU162" s="9" t="n">
        <v>0</v>
      </c>
      <c r="EV162" s="9" t="n">
        <v>0</v>
      </c>
      <c r="EZ162" s="10" t="n">
        <v>46158</v>
      </c>
      <c r="FB162" s="9" t="n">
        <v>0</v>
      </c>
      <c r="FD162" s="9" t="n">
        <v>0</v>
      </c>
      <c r="FE162" s="9" t="n">
        <v>0</v>
      </c>
      <c r="FI162" s="10" t="n">
        <v>46158</v>
      </c>
      <c r="FK162" s="9" t="n">
        <v>0</v>
      </c>
      <c r="FM162" s="9" t="n">
        <v>0</v>
      </c>
      <c r="FN162" s="9" t="n">
        <v>0</v>
      </c>
      <c r="FR162" s="10" t="n">
        <v>46158</v>
      </c>
      <c r="FT162" s="9" t="n">
        <v>0</v>
      </c>
      <c r="FV162" s="9" t="n">
        <v>0</v>
      </c>
      <c r="FW162" s="9" t="n">
        <v>4140</v>
      </c>
      <c r="GA162" s="10" t="n">
        <v>46158</v>
      </c>
      <c r="GC162" s="9" t="n">
        <v>0</v>
      </c>
      <c r="GE162" s="9" t="n">
        <v>0</v>
      </c>
      <c r="GF162" s="9" t="n">
        <v>5040</v>
      </c>
      <c r="GJ162" s="10" t="n">
        <v>46158</v>
      </c>
      <c r="GL162" s="9" t="n">
        <v>0</v>
      </c>
      <c r="GN162" s="9" t="n">
        <v>0</v>
      </c>
      <c r="GO162" s="9" t="n">
        <v>1760</v>
      </c>
      <c r="GS162" s="10" t="n">
        <v>46158</v>
      </c>
      <c r="GU162" s="9" t="n">
        <v>0</v>
      </c>
      <c r="GW162" s="9" t="n">
        <v>0</v>
      </c>
      <c r="GX162" s="9" t="n">
        <v>1320</v>
      </c>
      <c r="HB162" s="10" t="n">
        <v>46158</v>
      </c>
      <c r="HD162" s="9" t="n">
        <v>0</v>
      </c>
      <c r="HF162" s="9" t="n">
        <v>0</v>
      </c>
      <c r="HG162" s="9" t="n">
        <v>3600</v>
      </c>
      <c r="HK162" s="10" t="n">
        <v>46158</v>
      </c>
      <c r="HM162" s="9" t="n">
        <v>0</v>
      </c>
      <c r="HO162" s="9" t="n">
        <v>0</v>
      </c>
      <c r="HP162" s="9" t="n">
        <v>0</v>
      </c>
      <c r="HU162" s="10" t="n">
        <v>46158</v>
      </c>
      <c r="HW162" s="9" t="n">
        <v>0</v>
      </c>
      <c r="HY162" s="9" t="n">
        <v>0</v>
      </c>
      <c r="HZ162" s="9" t="n">
        <v>5080</v>
      </c>
      <c r="ID162" s="10" t="n">
        <v>46158</v>
      </c>
      <c r="IF162" s="9" t="n">
        <v>0</v>
      </c>
      <c r="IH162" s="9" t="n">
        <v>0</v>
      </c>
      <c r="II162" s="9" t="n">
        <v>720</v>
      </c>
      <c r="IM162" s="10" t="n">
        <v>46158</v>
      </c>
      <c r="IO162" s="9" t="n">
        <v>0</v>
      </c>
      <c r="IQ162" s="9" t="n">
        <v>0</v>
      </c>
      <c r="IR162" s="9" t="n">
        <v>11540</v>
      </c>
      <c r="IV162" s="10" t="n">
        <v>46158</v>
      </c>
      <c r="IX162" s="9" t="n">
        <v>0</v>
      </c>
      <c r="IZ162" s="9" t="n">
        <v>0</v>
      </c>
      <c r="JA162" s="9" t="n">
        <v>12860</v>
      </c>
      <c r="JE162" s="10" t="n">
        <v>46158</v>
      </c>
      <c r="JG162" s="9" t="n">
        <v>0</v>
      </c>
      <c r="JI162" s="9" t="n">
        <v>0</v>
      </c>
      <c r="JJ162" s="9" t="n">
        <v>0</v>
      </c>
      <c r="JN162" s="10" t="n">
        <v>46158</v>
      </c>
      <c r="JP162" s="9" t="n">
        <v>1200</v>
      </c>
      <c r="JR162" s="9" t="n">
        <v>1200</v>
      </c>
      <c r="JS162" s="9" t="n">
        <v>5500</v>
      </c>
      <c r="JW162" s="10" t="n">
        <v>46158</v>
      </c>
      <c r="JY162" s="9" t="n">
        <v>0</v>
      </c>
      <c r="KA162" s="9" t="n">
        <v>0</v>
      </c>
      <c r="KB162" s="9" t="n">
        <v>2540</v>
      </c>
      <c r="KF162" s="10" t="n">
        <v>46158</v>
      </c>
      <c r="KH162" s="9" t="n">
        <v>0</v>
      </c>
      <c r="KJ162" s="9" t="n">
        <v>0</v>
      </c>
      <c r="KK162" s="9" t="n">
        <v>2359.5</v>
      </c>
      <c r="KO162" s="10" t="n">
        <v>46158</v>
      </c>
      <c r="KQ162" s="9" t="n">
        <v>0</v>
      </c>
      <c r="KS162" s="9" t="n">
        <v>0</v>
      </c>
      <c r="KT162" s="9" t="n">
        <v>1890</v>
      </c>
      <c r="KX162" s="10" t="n">
        <v>46158</v>
      </c>
      <c r="KZ162" s="9" t="n">
        <v>0</v>
      </c>
      <c r="LB162" s="9" t="n">
        <v>0</v>
      </c>
      <c r="LC162" s="9" t="n">
        <v>3690</v>
      </c>
      <c r="LG162" s="10" t="n">
        <v>46158</v>
      </c>
      <c r="LI162" s="9" t="n">
        <v>0</v>
      </c>
      <c r="LK162" s="9" t="n">
        <v>0</v>
      </c>
      <c r="LL162" s="9" t="n">
        <v>4000</v>
      </c>
      <c r="LP162" s="10" t="n">
        <v>46158</v>
      </c>
      <c r="LR162" s="9" t="n">
        <v>0</v>
      </c>
      <c r="LT162" s="9" t="n">
        <v>0</v>
      </c>
      <c r="LU162" s="9" t="n">
        <v>0</v>
      </c>
      <c r="LY162" s="10" t="n">
        <v>46158</v>
      </c>
      <c r="MA162" s="9" t="n">
        <v>0</v>
      </c>
      <c r="MC162" s="9" t="n">
        <v>0</v>
      </c>
      <c r="MD162" s="9" t="n">
        <v>0</v>
      </c>
      <c r="MH162" s="10" t="n">
        <v>46158</v>
      </c>
      <c r="MJ162" s="9" t="n">
        <v>0</v>
      </c>
      <c r="ML162" s="9" t="n">
        <v>0</v>
      </c>
      <c r="MM162" s="9" t="n">
        <v>0</v>
      </c>
      <c r="MQ162" s="10" t="n">
        <v>46158</v>
      </c>
      <c r="MS162" s="9" t="n">
        <v>0</v>
      </c>
      <c r="MU162" s="9" t="n">
        <v>0</v>
      </c>
      <c r="MV162" s="9" t="n">
        <v>3761</v>
      </c>
      <c r="MZ162" s="10" t="n">
        <v>46158</v>
      </c>
      <c r="NB162" s="9" t="n">
        <v>180</v>
      </c>
      <c r="ND162" s="9" t="n">
        <v>180</v>
      </c>
      <c r="NE162" s="9" t="n">
        <v>0</v>
      </c>
      <c r="NI162" s="10" t="n">
        <v>46158</v>
      </c>
      <c r="NK162" s="9" t="n">
        <v>0</v>
      </c>
      <c r="NM162" s="9" t="n">
        <v>0</v>
      </c>
      <c r="NN162" s="9" t="n">
        <v>1127</v>
      </c>
      <c r="NR162" s="10" t="n">
        <v>46158</v>
      </c>
      <c r="NT162" s="9" t="n">
        <v>0</v>
      </c>
      <c r="NV162" s="9" t="n">
        <v>0</v>
      </c>
      <c r="NW162" s="9" t="n">
        <v>3112</v>
      </c>
      <c r="OA162" s="10" t="n">
        <v>46158</v>
      </c>
      <c r="OC162" s="9" t="n">
        <v>0</v>
      </c>
      <c r="OE162" s="9" t="n">
        <v>0</v>
      </c>
      <c r="OF162" s="9" t="n">
        <v>1680.5</v>
      </c>
      <c r="OJ162" s="10" t="n">
        <v>46158</v>
      </c>
      <c r="OL162" s="9" t="n">
        <v>0</v>
      </c>
      <c r="ON162" s="9" t="n">
        <v>0</v>
      </c>
      <c r="OO162" s="9" t="n">
        <v>0</v>
      </c>
      <c r="OS162" s="10" t="n">
        <v>46158</v>
      </c>
      <c r="OU162" s="9" t="n">
        <v>0</v>
      </c>
      <c r="OW162" s="9" t="n">
        <v>0</v>
      </c>
      <c r="OX162" s="9" t="n">
        <v>1482</v>
      </c>
      <c r="PB162" s="10" t="n">
        <v>46158</v>
      </c>
      <c r="PD162" s="9" t="n">
        <v>0</v>
      </c>
      <c r="PF162" s="9" t="n">
        <v>0</v>
      </c>
      <c r="PG162" s="9" t="n">
        <v>0</v>
      </c>
      <c r="PK162" s="10" t="n">
        <v>46158</v>
      </c>
      <c r="PM162" s="9" t="n">
        <v>0</v>
      </c>
      <c r="PO162" s="9" t="n">
        <v>0</v>
      </c>
      <c r="PP162" s="9" t="n">
        <v>100</v>
      </c>
      <c r="PT162" s="10" t="n">
        <v>46158</v>
      </c>
      <c r="PV162" s="9" t="n">
        <v>0</v>
      </c>
      <c r="PX162" s="9" t="n">
        <v>0</v>
      </c>
      <c r="PY162" s="9" t="n">
        <v>13.96000000000004</v>
      </c>
      <c r="QC162" s="10" t="n">
        <v>46158</v>
      </c>
      <c r="QE162" s="9" t="n">
        <v>0</v>
      </c>
      <c r="QG162" s="9" t="n">
        <v>0</v>
      </c>
      <c r="QH162" s="9" t="n">
        <v>876</v>
      </c>
      <c r="QL162" s="10" t="n">
        <v>46158</v>
      </c>
      <c r="QN162" s="9" t="n">
        <v>150</v>
      </c>
      <c r="QP162" s="9" t="n">
        <v>150</v>
      </c>
      <c r="QQ162" s="9" t="n">
        <v>515</v>
      </c>
      <c r="QU162" s="10" t="n">
        <v>46158</v>
      </c>
      <c r="QW162" s="9" t="n">
        <v>0</v>
      </c>
      <c r="QY162" s="9" t="n">
        <v>0</v>
      </c>
      <c r="QZ162" s="9" t="n">
        <v>207.6</v>
      </c>
      <c r="RD162" s="10" t="n">
        <v>46158</v>
      </c>
      <c r="RF162" s="9" t="n">
        <v>0</v>
      </c>
      <c r="RH162" s="9" t="n">
        <v>0</v>
      </c>
      <c r="RI162" s="9" t="n">
        <v>147.04</v>
      </c>
      <c r="RM162" s="10" t="n">
        <v>46158</v>
      </c>
      <c r="RO162" s="9" t="n">
        <v>0</v>
      </c>
      <c r="RQ162" s="9" t="n">
        <v>0</v>
      </c>
      <c r="RR162" s="9" t="n">
        <v>46.8</v>
      </c>
      <c r="RV162" s="10" t="n">
        <v>46158</v>
      </c>
      <c r="RX162" s="9" t="n">
        <v>0</v>
      </c>
      <c r="RZ162" s="9" t="n">
        <v>0</v>
      </c>
      <c r="SA162" s="9" t="n">
        <v>0</v>
      </c>
      <c r="SE162" s="10" t="n">
        <v>46158</v>
      </c>
      <c r="SG162" s="9" t="n">
        <v>0</v>
      </c>
      <c r="SI162" s="9" t="n">
        <v>0</v>
      </c>
      <c r="SJ162" s="9" t="n">
        <v>24.2</v>
      </c>
      <c r="SN162" s="10" t="n">
        <v>46158</v>
      </c>
      <c r="SP162" s="9" t="n">
        <v>0</v>
      </c>
      <c r="SR162" s="9" t="n">
        <v>0</v>
      </c>
      <c r="SS162" s="9" t="n">
        <v>32</v>
      </c>
      <c r="SW162" s="10" t="n">
        <v>46158</v>
      </c>
      <c r="SY162" s="9" t="n">
        <v>0</v>
      </c>
      <c r="TA162" s="9" t="n">
        <v>0</v>
      </c>
      <c r="TB162" s="9" t="n">
        <v>0</v>
      </c>
      <c r="TF162" s="10" t="n">
        <v>46158</v>
      </c>
      <c r="TH162" s="9" t="n">
        <v>0</v>
      </c>
      <c r="TJ162" s="9" t="n">
        <v>0</v>
      </c>
      <c r="TK162" s="9" t="n">
        <v>0</v>
      </c>
      <c r="TO162" s="10" t="n">
        <v>46158</v>
      </c>
      <c r="TQ162" s="9" t="n">
        <v>0</v>
      </c>
      <c r="TS162" s="9" t="n">
        <v>0</v>
      </c>
      <c r="TT162" s="9" t="n">
        <v>0</v>
      </c>
      <c r="TX162" s="10" t="n">
        <v>46158</v>
      </c>
      <c r="TZ162" s="9" t="n">
        <v>0</v>
      </c>
      <c r="UB162" s="9" t="n">
        <v>0</v>
      </c>
      <c r="UC162" s="9" t="n">
        <v>0</v>
      </c>
      <c r="UG162" s="10" t="n">
        <v>46158</v>
      </c>
      <c r="UI162" s="9" t="n">
        <v>0</v>
      </c>
      <c r="UK162" s="9" t="n">
        <v>0</v>
      </c>
      <c r="UL162" s="9" t="n">
        <v>0</v>
      </c>
      <c r="UP162" s="10" t="n">
        <v>46158</v>
      </c>
      <c r="UR162" s="9" t="n">
        <v>0</v>
      </c>
      <c r="UT162" s="9" t="n">
        <v>0</v>
      </c>
      <c r="UU162" s="9" t="n">
        <v>0</v>
      </c>
      <c r="UY162" s="10" t="n">
        <v>46158</v>
      </c>
      <c r="VA162" s="9" t="n">
        <v>0</v>
      </c>
      <c r="VC162" s="9" t="n">
        <v>0</v>
      </c>
      <c r="VD162" s="9" t="n">
        <v>41.60000000000002</v>
      </c>
      <c r="VH162" s="10" t="n">
        <v>46158</v>
      </c>
      <c r="VJ162" s="9" t="n">
        <v>0</v>
      </c>
      <c r="VL162" s="9" t="n">
        <v>0</v>
      </c>
      <c r="VM162" s="9" t="n">
        <v>0</v>
      </c>
      <c r="VQ162" s="10" t="n">
        <v>46158</v>
      </c>
      <c r="VS162" s="9" t="n">
        <v>150</v>
      </c>
      <c r="VU162" s="9" t="n">
        <v>150</v>
      </c>
      <c r="VV162" s="9" t="n">
        <v>0</v>
      </c>
      <c r="VZ162" s="10" t="n">
        <v>46158</v>
      </c>
      <c r="WB162" s="9" t="n">
        <v>150</v>
      </c>
      <c r="WD162" s="9" t="n">
        <v>150</v>
      </c>
      <c r="WE162" s="9" t="n">
        <v>0</v>
      </c>
      <c r="WI162" s="10" t="n">
        <v>46158</v>
      </c>
      <c r="WK162" s="9" t="n">
        <v>0</v>
      </c>
      <c r="WM162" s="9" t="n">
        <v>0</v>
      </c>
      <c r="WN162" s="9" t="n">
        <v>2317</v>
      </c>
      <c r="WR162" s="10" t="n">
        <v>46158</v>
      </c>
      <c r="WT162" s="9" t="n">
        <v>0</v>
      </c>
      <c r="WV162" s="9" t="n">
        <v>0</v>
      </c>
      <c r="WW162" s="9" t="n">
        <v>0</v>
      </c>
      <c r="XA162" s="10" t="n">
        <v>46158</v>
      </c>
      <c r="XC162" s="9" t="n">
        <v>0</v>
      </c>
      <c r="XE162" s="9" t="n">
        <v>0</v>
      </c>
      <c r="XF162" s="9" t="n">
        <v>9933</v>
      </c>
      <c r="XJ162" s="10" t="n">
        <v>46158</v>
      </c>
      <c r="XL162" s="9" t="n">
        <v>0</v>
      </c>
      <c r="XN162" s="9" t="n">
        <v>0</v>
      </c>
      <c r="XO162" s="9" t="n">
        <v>581</v>
      </c>
      <c r="XS162" s="10" t="n">
        <v>46158</v>
      </c>
      <c r="XU162" s="9" t="n">
        <v>0</v>
      </c>
      <c r="XW162" s="9" t="n">
        <v>0</v>
      </c>
      <c r="XX162" s="9" t="n">
        <v>1901</v>
      </c>
      <c r="YB162" s="10" t="n">
        <v>46158</v>
      </c>
      <c r="YD162" s="9" t="n">
        <v>0</v>
      </c>
      <c r="YF162" s="9" t="n">
        <v>0</v>
      </c>
      <c r="YG162" s="9" t="n">
        <v>6459</v>
      </c>
      <c r="YK162" s="10" t="n">
        <v>46158</v>
      </c>
      <c r="YM162" s="9" t="n">
        <v>0</v>
      </c>
      <c r="YO162" s="9" t="n">
        <v>0</v>
      </c>
      <c r="YP162" s="9" t="n">
        <v>0</v>
      </c>
      <c r="YT162" s="10" t="n">
        <v>46158</v>
      </c>
      <c r="YV162" s="9" t="n">
        <v>150</v>
      </c>
      <c r="YX162" s="9" t="n">
        <v>150</v>
      </c>
      <c r="YY162" s="9" t="n">
        <v>0</v>
      </c>
      <c r="ZC162" s="10" t="n">
        <v>46158</v>
      </c>
      <c r="ZE162" s="9" t="n">
        <v>150</v>
      </c>
      <c r="ZG162" s="9" t="n">
        <v>150</v>
      </c>
      <c r="ZH162" s="9" t="n">
        <v>0</v>
      </c>
      <c r="ZL162" s="10" t="n">
        <v>46158</v>
      </c>
      <c r="ZN162" s="9" t="n">
        <v>150</v>
      </c>
      <c r="ZP162" s="9" t="n">
        <v>150</v>
      </c>
      <c r="ZQ162" s="9" t="n">
        <v>0</v>
      </c>
      <c r="ZU162" s="10" t="n">
        <v>46158</v>
      </c>
      <c r="ZW162" s="9" t="n">
        <v>150</v>
      </c>
      <c r="ZY162" s="9" t="n">
        <v>150</v>
      </c>
      <c r="ZZ162" s="9" t="n">
        <v>0</v>
      </c>
      <c r="AAD162" s="10" t="n">
        <v>46158</v>
      </c>
      <c r="AAF162" s="9" t="n">
        <v>150</v>
      </c>
      <c r="AAH162" s="9" t="n">
        <v>150</v>
      </c>
      <c r="AAI162" s="9" t="n">
        <v>0</v>
      </c>
      <c r="AAM162" s="10" t="n">
        <v>46158</v>
      </c>
      <c r="AAO162" s="9" t="n">
        <v>150</v>
      </c>
      <c r="AAQ162" s="9" t="n">
        <v>150</v>
      </c>
      <c r="AAR162" s="9" t="n">
        <v>0</v>
      </c>
      <c r="AAV162" s="10" t="n">
        <v>46158</v>
      </c>
      <c r="AAX162" s="9" t="n">
        <v>150</v>
      </c>
      <c r="AAZ162" s="9" t="n">
        <v>150</v>
      </c>
      <c r="ABA162" s="9" t="n">
        <v>0</v>
      </c>
      <c r="ABE162" s="10" t="n">
        <v>46158</v>
      </c>
      <c r="ABG162" s="9" t="n">
        <v>150</v>
      </c>
      <c r="ABI162" s="9" t="n">
        <v>150</v>
      </c>
      <c r="ABJ162" s="9" t="n">
        <v>0</v>
      </c>
    </row>
    <row r="163">
      <c r="C163" s="10" t="n">
        <v>46159</v>
      </c>
      <c r="E163" s="9" t="n">
        <v>0</v>
      </c>
      <c r="G163" s="9" t="n">
        <v>0</v>
      </c>
      <c r="H163" s="9" t="n">
        <v>196370.0000000001</v>
      </c>
      <c r="L163" s="10" t="n">
        <v>46159</v>
      </c>
      <c r="N163" s="9" t="n">
        <v>0</v>
      </c>
      <c r="P163" s="9" t="n">
        <v>0</v>
      </c>
      <c r="Q163" s="9" t="n">
        <v>84515.00000000009</v>
      </c>
      <c r="U163" s="10" t="n">
        <v>46159</v>
      </c>
      <c r="W163" s="9" t="n">
        <v>0</v>
      </c>
      <c r="Y163" s="9" t="n">
        <v>0</v>
      </c>
      <c r="Z163" s="9" t="n">
        <v>48100.29999999996</v>
      </c>
      <c r="AD163" s="10" t="n">
        <v>46159</v>
      </c>
      <c r="AF163" s="9" t="n">
        <v>0</v>
      </c>
      <c r="AH163" s="9" t="n">
        <v>0</v>
      </c>
      <c r="AI163" s="9" t="n">
        <v>21746.10000000002</v>
      </c>
      <c r="AM163" s="10" t="n">
        <v>46159</v>
      </c>
      <c r="AO163" s="9" t="n">
        <v>0</v>
      </c>
      <c r="AQ163" s="9" t="n">
        <v>0</v>
      </c>
      <c r="AR163" s="9" t="n">
        <v>0</v>
      </c>
      <c r="AV163" s="10" t="n">
        <v>46159</v>
      </c>
      <c r="AX163" s="9" t="n">
        <v>0</v>
      </c>
      <c r="AZ163" s="9" t="n">
        <v>0</v>
      </c>
      <c r="BA163" s="9" t="n">
        <v>12423.2</v>
      </c>
      <c r="BE163" s="10" t="n">
        <v>46159</v>
      </c>
      <c r="BG163" s="9" t="n">
        <v>0</v>
      </c>
      <c r="BI163" s="9" t="n">
        <v>0</v>
      </c>
      <c r="BJ163" s="9" t="n">
        <v>40953.3</v>
      </c>
      <c r="BN163" s="10" t="n">
        <v>46159</v>
      </c>
      <c r="BP163" s="9" t="n">
        <v>0</v>
      </c>
      <c r="BR163" s="9" t="n">
        <v>0</v>
      </c>
      <c r="BS163" s="9" t="n">
        <v>0</v>
      </c>
      <c r="BW163" s="10" t="n">
        <v>46159</v>
      </c>
      <c r="BY163" s="9" t="n">
        <v>0</v>
      </c>
      <c r="CA163" s="9" t="n">
        <v>0</v>
      </c>
      <c r="CB163" s="9" t="n">
        <v>5736.799999999999</v>
      </c>
      <c r="CF163" s="10" t="n">
        <v>46159</v>
      </c>
      <c r="CH163" s="9" t="n">
        <v>0</v>
      </c>
      <c r="CJ163" s="9" t="n">
        <v>0</v>
      </c>
      <c r="CK163" s="9" t="n">
        <v>0</v>
      </c>
      <c r="CO163" s="10" t="n">
        <v>46159</v>
      </c>
      <c r="CQ163" s="9" t="n">
        <v>0</v>
      </c>
      <c r="CS163" s="9" t="n">
        <v>0</v>
      </c>
      <c r="CT163" s="9" t="n">
        <v>0</v>
      </c>
      <c r="CX163" s="10" t="n">
        <v>46159</v>
      </c>
      <c r="CZ163" s="9" t="n">
        <v>0</v>
      </c>
      <c r="DB163" s="9" t="n">
        <v>0</v>
      </c>
      <c r="DC163" s="9" t="n">
        <v>21657</v>
      </c>
      <c r="DG163" s="10" t="n">
        <v>46159</v>
      </c>
      <c r="DI163" s="9" t="n">
        <v>0</v>
      </c>
      <c r="DK163" s="9" t="n">
        <v>0</v>
      </c>
      <c r="DL163" s="9" t="n">
        <v>38237.09999999998</v>
      </c>
      <c r="DP163" s="10" t="n">
        <v>46159</v>
      </c>
      <c r="DR163" s="9" t="n">
        <v>0</v>
      </c>
      <c r="DT163" s="9" t="n">
        <v>0</v>
      </c>
      <c r="DU163" s="9" t="n">
        <v>5800</v>
      </c>
      <c r="DY163" s="10" t="n">
        <v>46159</v>
      </c>
      <c r="EA163" s="9" t="n">
        <v>0</v>
      </c>
      <c r="EC163" s="9" t="n">
        <v>0</v>
      </c>
      <c r="ED163" s="9" t="n">
        <v>0</v>
      </c>
      <c r="EH163" s="10" t="n">
        <v>46159</v>
      </c>
      <c r="EJ163" s="9" t="n">
        <v>0</v>
      </c>
      <c r="EL163" s="9" t="n">
        <v>0</v>
      </c>
      <c r="EM163" s="9" t="n">
        <v>0</v>
      </c>
      <c r="EQ163" s="10" t="n">
        <v>46159</v>
      </c>
      <c r="ES163" s="9" t="n">
        <v>0</v>
      </c>
      <c r="EU163" s="9" t="n">
        <v>0</v>
      </c>
      <c r="EV163" s="9" t="n">
        <v>0</v>
      </c>
      <c r="EZ163" s="10" t="n">
        <v>46159</v>
      </c>
      <c r="FB163" s="9" t="n">
        <v>0</v>
      </c>
      <c r="FD163" s="9" t="n">
        <v>0</v>
      </c>
      <c r="FE163" s="9" t="n">
        <v>0</v>
      </c>
      <c r="FI163" s="10" t="n">
        <v>46159</v>
      </c>
      <c r="FK163" s="9" t="n">
        <v>0</v>
      </c>
      <c r="FM163" s="9" t="n">
        <v>0</v>
      </c>
      <c r="FN163" s="9" t="n">
        <v>0</v>
      </c>
      <c r="FR163" s="10" t="n">
        <v>46159</v>
      </c>
      <c r="FT163" s="9" t="n">
        <v>0</v>
      </c>
      <c r="FV163" s="9" t="n">
        <v>0</v>
      </c>
      <c r="FW163" s="9" t="n">
        <v>4140</v>
      </c>
      <c r="GA163" s="10" t="n">
        <v>46159</v>
      </c>
      <c r="GC163" s="9" t="n">
        <v>0</v>
      </c>
      <c r="GE163" s="9" t="n">
        <v>0</v>
      </c>
      <c r="GF163" s="9" t="n">
        <v>5040</v>
      </c>
      <c r="GJ163" s="10" t="n">
        <v>46159</v>
      </c>
      <c r="GL163" s="9" t="n">
        <v>0</v>
      </c>
      <c r="GN163" s="9" t="n">
        <v>0</v>
      </c>
      <c r="GO163" s="9" t="n">
        <v>1760</v>
      </c>
      <c r="GS163" s="10" t="n">
        <v>46159</v>
      </c>
      <c r="GU163" s="9" t="n">
        <v>0</v>
      </c>
      <c r="GW163" s="9" t="n">
        <v>0</v>
      </c>
      <c r="GX163" s="9" t="n">
        <v>1320</v>
      </c>
      <c r="HB163" s="10" t="n">
        <v>46159</v>
      </c>
      <c r="HD163" s="9" t="n">
        <v>0</v>
      </c>
      <c r="HF163" s="9" t="n">
        <v>0</v>
      </c>
      <c r="HG163" s="9" t="n">
        <v>3600</v>
      </c>
      <c r="HK163" s="10" t="n">
        <v>46159</v>
      </c>
      <c r="HM163" s="9" t="n">
        <v>0</v>
      </c>
      <c r="HO163" s="9" t="n">
        <v>0</v>
      </c>
      <c r="HP163" s="9" t="n">
        <v>0</v>
      </c>
      <c r="HU163" s="10" t="n">
        <v>46159</v>
      </c>
      <c r="HW163" s="9" t="n">
        <v>0</v>
      </c>
      <c r="HY163" s="9" t="n">
        <v>0</v>
      </c>
      <c r="HZ163" s="9" t="n">
        <v>5080</v>
      </c>
      <c r="ID163" s="10" t="n">
        <v>46159</v>
      </c>
      <c r="IF163" s="9" t="n">
        <v>0</v>
      </c>
      <c r="IH163" s="9" t="n">
        <v>0</v>
      </c>
      <c r="II163" s="9" t="n">
        <v>720</v>
      </c>
      <c r="IM163" s="10" t="n">
        <v>46159</v>
      </c>
      <c r="IO163" s="9" t="n">
        <v>0</v>
      </c>
      <c r="IQ163" s="9" t="n">
        <v>0</v>
      </c>
      <c r="IR163" s="9" t="n">
        <v>11540</v>
      </c>
      <c r="IV163" s="10" t="n">
        <v>46159</v>
      </c>
      <c r="IX163" s="9" t="n">
        <v>0</v>
      </c>
      <c r="IZ163" s="9" t="n">
        <v>0</v>
      </c>
      <c r="JA163" s="9" t="n">
        <v>12860</v>
      </c>
      <c r="JE163" s="10" t="n">
        <v>46159</v>
      </c>
      <c r="JG163" s="9" t="n">
        <v>0</v>
      </c>
      <c r="JI163" s="9" t="n">
        <v>0</v>
      </c>
      <c r="JJ163" s="9" t="n">
        <v>0</v>
      </c>
      <c r="JN163" s="10" t="n">
        <v>46159</v>
      </c>
      <c r="JP163" s="9" t="n">
        <v>0</v>
      </c>
      <c r="JR163" s="9" t="n">
        <v>0</v>
      </c>
      <c r="JS163" s="9" t="n">
        <v>5500</v>
      </c>
      <c r="JW163" s="10" t="n">
        <v>46159</v>
      </c>
      <c r="JY163" s="9" t="n">
        <v>0</v>
      </c>
      <c r="KA163" s="9" t="n">
        <v>0</v>
      </c>
      <c r="KB163" s="9" t="n">
        <v>2540</v>
      </c>
      <c r="KF163" s="10" t="n">
        <v>46159</v>
      </c>
      <c r="KH163" s="9" t="n">
        <v>0</v>
      </c>
      <c r="KJ163" s="9" t="n">
        <v>0</v>
      </c>
      <c r="KK163" s="9" t="n">
        <v>2359.5</v>
      </c>
      <c r="KO163" s="10" t="n">
        <v>46159</v>
      </c>
      <c r="KQ163" s="9" t="n">
        <v>0</v>
      </c>
      <c r="KS163" s="9" t="n">
        <v>0</v>
      </c>
      <c r="KT163" s="9" t="n">
        <v>1890</v>
      </c>
      <c r="KX163" s="10" t="n">
        <v>46159</v>
      </c>
      <c r="KZ163" s="9" t="n">
        <v>0</v>
      </c>
      <c r="LB163" s="9" t="n">
        <v>0</v>
      </c>
      <c r="LC163" s="9" t="n">
        <v>3690</v>
      </c>
      <c r="LG163" s="10" t="n">
        <v>46159</v>
      </c>
      <c r="LI163" s="9" t="n">
        <v>0</v>
      </c>
      <c r="LK163" s="9" t="n">
        <v>0</v>
      </c>
      <c r="LL163" s="9" t="n">
        <v>4000</v>
      </c>
      <c r="LP163" s="10" t="n">
        <v>46159</v>
      </c>
      <c r="LR163" s="9" t="n">
        <v>0</v>
      </c>
      <c r="LT163" s="9" t="n">
        <v>0</v>
      </c>
      <c r="LU163" s="9" t="n">
        <v>0</v>
      </c>
      <c r="LY163" s="10" t="n">
        <v>46159</v>
      </c>
      <c r="MA163" s="9" t="n">
        <v>0</v>
      </c>
      <c r="MC163" s="9" t="n">
        <v>0</v>
      </c>
      <c r="MD163" s="9" t="n">
        <v>0</v>
      </c>
      <c r="MH163" s="10" t="n">
        <v>46159</v>
      </c>
      <c r="MJ163" s="9" t="n">
        <v>0</v>
      </c>
      <c r="ML163" s="9" t="n">
        <v>0</v>
      </c>
      <c r="MM163" s="9" t="n">
        <v>0</v>
      </c>
      <c r="MQ163" s="10" t="n">
        <v>46159</v>
      </c>
      <c r="MS163" s="9" t="n">
        <v>0</v>
      </c>
      <c r="MU163" s="9" t="n">
        <v>0</v>
      </c>
      <c r="MV163" s="9" t="n">
        <v>3761</v>
      </c>
      <c r="MZ163" s="10" t="n">
        <v>46159</v>
      </c>
      <c r="NB163" s="9" t="n">
        <v>0</v>
      </c>
      <c r="ND163" s="9" t="n">
        <v>0</v>
      </c>
      <c r="NE163" s="9" t="n">
        <v>0</v>
      </c>
      <c r="NI163" s="10" t="n">
        <v>46159</v>
      </c>
      <c r="NK163" s="9" t="n">
        <v>0</v>
      </c>
      <c r="NM163" s="9" t="n">
        <v>0</v>
      </c>
      <c r="NN163" s="9" t="n">
        <v>1127</v>
      </c>
      <c r="NR163" s="10" t="n">
        <v>46159</v>
      </c>
      <c r="NT163" s="9" t="n">
        <v>0</v>
      </c>
      <c r="NV163" s="9" t="n">
        <v>0</v>
      </c>
      <c r="NW163" s="9" t="n">
        <v>3112</v>
      </c>
      <c r="OA163" s="10" t="n">
        <v>46159</v>
      </c>
      <c r="OC163" s="9" t="n">
        <v>0</v>
      </c>
      <c r="OE163" s="9" t="n">
        <v>0</v>
      </c>
      <c r="OF163" s="9" t="n">
        <v>1680.5</v>
      </c>
      <c r="OJ163" s="10" t="n">
        <v>46159</v>
      </c>
      <c r="OL163" s="9" t="n">
        <v>0</v>
      </c>
      <c r="ON163" s="9" t="n">
        <v>0</v>
      </c>
      <c r="OO163" s="9" t="n">
        <v>0</v>
      </c>
      <c r="OS163" s="10" t="n">
        <v>46159</v>
      </c>
      <c r="OU163" s="9" t="n">
        <v>0</v>
      </c>
      <c r="OW163" s="9" t="n">
        <v>0</v>
      </c>
      <c r="OX163" s="9" t="n">
        <v>1482</v>
      </c>
      <c r="PB163" s="10" t="n">
        <v>46159</v>
      </c>
      <c r="PD163" s="9" t="n">
        <v>0</v>
      </c>
      <c r="PF163" s="9" t="n">
        <v>0</v>
      </c>
      <c r="PG163" s="9" t="n">
        <v>0</v>
      </c>
      <c r="PK163" s="10" t="n">
        <v>46159</v>
      </c>
      <c r="PM163" s="9" t="n">
        <v>0</v>
      </c>
      <c r="PO163" s="9" t="n">
        <v>0</v>
      </c>
      <c r="PP163" s="9" t="n">
        <v>100</v>
      </c>
      <c r="PT163" s="10" t="n">
        <v>46159</v>
      </c>
      <c r="PV163" s="9" t="n">
        <v>0</v>
      </c>
      <c r="PX163" s="9" t="n">
        <v>0</v>
      </c>
      <c r="PY163" s="9" t="n">
        <v>13.96000000000004</v>
      </c>
      <c r="QC163" s="10" t="n">
        <v>46159</v>
      </c>
      <c r="QE163" s="9" t="n">
        <v>0</v>
      </c>
      <c r="QG163" s="9" t="n">
        <v>0</v>
      </c>
      <c r="QH163" s="9" t="n">
        <v>876</v>
      </c>
      <c r="QL163" s="10" t="n">
        <v>46159</v>
      </c>
      <c r="QN163" s="9" t="n">
        <v>0</v>
      </c>
      <c r="QP163" s="9" t="n">
        <v>0</v>
      </c>
      <c r="QQ163" s="9" t="n">
        <v>515</v>
      </c>
      <c r="QU163" s="10" t="n">
        <v>46159</v>
      </c>
      <c r="QW163" s="9" t="n">
        <v>0</v>
      </c>
      <c r="QY163" s="9" t="n">
        <v>0</v>
      </c>
      <c r="QZ163" s="9" t="n">
        <v>207.6</v>
      </c>
      <c r="RD163" s="10" t="n">
        <v>46159</v>
      </c>
      <c r="RF163" s="9" t="n">
        <v>0</v>
      </c>
      <c r="RH163" s="9" t="n">
        <v>0</v>
      </c>
      <c r="RI163" s="9" t="n">
        <v>147.04</v>
      </c>
      <c r="RM163" s="10" t="n">
        <v>46159</v>
      </c>
      <c r="RO163" s="9" t="n">
        <v>0</v>
      </c>
      <c r="RQ163" s="9" t="n">
        <v>0</v>
      </c>
      <c r="RR163" s="9" t="n">
        <v>46.8</v>
      </c>
      <c r="RV163" s="10" t="n">
        <v>46159</v>
      </c>
      <c r="RX163" s="9" t="n">
        <v>0</v>
      </c>
      <c r="RZ163" s="9" t="n">
        <v>0</v>
      </c>
      <c r="SA163" s="9" t="n">
        <v>0</v>
      </c>
      <c r="SE163" s="10" t="n">
        <v>46159</v>
      </c>
      <c r="SG163" s="9" t="n">
        <v>0</v>
      </c>
      <c r="SI163" s="9" t="n">
        <v>0</v>
      </c>
      <c r="SJ163" s="9" t="n">
        <v>24.2</v>
      </c>
      <c r="SN163" s="10" t="n">
        <v>46159</v>
      </c>
      <c r="SP163" s="9" t="n">
        <v>0</v>
      </c>
      <c r="SR163" s="9" t="n">
        <v>0</v>
      </c>
      <c r="SS163" s="9" t="n">
        <v>32</v>
      </c>
      <c r="SW163" s="10" t="n">
        <v>46159</v>
      </c>
      <c r="SY163" s="9" t="n">
        <v>0</v>
      </c>
      <c r="TA163" s="9" t="n">
        <v>0</v>
      </c>
      <c r="TB163" s="9" t="n">
        <v>0</v>
      </c>
      <c r="TF163" s="10" t="n">
        <v>46159</v>
      </c>
      <c r="TH163" s="9" t="n">
        <v>0</v>
      </c>
      <c r="TJ163" s="9" t="n">
        <v>0</v>
      </c>
      <c r="TK163" s="9" t="n">
        <v>0</v>
      </c>
      <c r="TO163" s="10" t="n">
        <v>46159</v>
      </c>
      <c r="TQ163" s="9" t="n">
        <v>0</v>
      </c>
      <c r="TS163" s="9" t="n">
        <v>0</v>
      </c>
      <c r="TT163" s="9" t="n">
        <v>0</v>
      </c>
      <c r="TX163" s="10" t="n">
        <v>46159</v>
      </c>
      <c r="TZ163" s="9" t="n">
        <v>0</v>
      </c>
      <c r="UB163" s="9" t="n">
        <v>0</v>
      </c>
      <c r="UC163" s="9" t="n">
        <v>0</v>
      </c>
      <c r="UG163" s="10" t="n">
        <v>46159</v>
      </c>
      <c r="UI163" s="9" t="n">
        <v>0</v>
      </c>
      <c r="UK163" s="9" t="n">
        <v>0</v>
      </c>
      <c r="UL163" s="9" t="n">
        <v>0</v>
      </c>
      <c r="UP163" s="10" t="n">
        <v>46159</v>
      </c>
      <c r="UR163" s="9" t="n">
        <v>0</v>
      </c>
      <c r="UT163" s="9" t="n">
        <v>0</v>
      </c>
      <c r="UU163" s="9" t="n">
        <v>0</v>
      </c>
      <c r="UY163" s="10" t="n">
        <v>46159</v>
      </c>
      <c r="VA163" s="9" t="n">
        <v>0</v>
      </c>
      <c r="VC163" s="9" t="n">
        <v>0</v>
      </c>
      <c r="VD163" s="9" t="n">
        <v>41.60000000000002</v>
      </c>
      <c r="VH163" s="10" t="n">
        <v>46159</v>
      </c>
      <c r="VJ163" s="9" t="n">
        <v>0</v>
      </c>
      <c r="VL163" s="9" t="n">
        <v>0</v>
      </c>
      <c r="VM163" s="9" t="n">
        <v>0</v>
      </c>
      <c r="VQ163" s="10" t="n">
        <v>46159</v>
      </c>
      <c r="VS163" s="9" t="n">
        <v>0</v>
      </c>
      <c r="VU163" s="9" t="n">
        <v>0</v>
      </c>
      <c r="VV163" s="9" t="n">
        <v>0</v>
      </c>
      <c r="VZ163" s="10" t="n">
        <v>46159</v>
      </c>
      <c r="WB163" s="9" t="n">
        <v>0</v>
      </c>
      <c r="WD163" s="9" t="n">
        <v>0</v>
      </c>
      <c r="WE163" s="9" t="n">
        <v>0</v>
      </c>
      <c r="WI163" s="10" t="n">
        <v>46159</v>
      </c>
      <c r="WK163" s="9" t="n">
        <v>0</v>
      </c>
      <c r="WM163" s="9" t="n">
        <v>0</v>
      </c>
      <c r="WN163" s="9" t="n">
        <v>2317</v>
      </c>
      <c r="WR163" s="10" t="n">
        <v>46159</v>
      </c>
      <c r="WT163" s="9" t="n">
        <v>0</v>
      </c>
      <c r="WV163" s="9" t="n">
        <v>0</v>
      </c>
      <c r="WW163" s="9" t="n">
        <v>0</v>
      </c>
      <c r="XA163" s="10" t="n">
        <v>46159</v>
      </c>
      <c r="XC163" s="9" t="n">
        <v>0</v>
      </c>
      <c r="XE163" s="9" t="n">
        <v>0</v>
      </c>
      <c r="XF163" s="9" t="n">
        <v>9933</v>
      </c>
      <c r="XJ163" s="10" t="n">
        <v>46159</v>
      </c>
      <c r="XL163" s="9" t="n">
        <v>0</v>
      </c>
      <c r="XN163" s="9" t="n">
        <v>0</v>
      </c>
      <c r="XO163" s="9" t="n">
        <v>581</v>
      </c>
      <c r="XS163" s="10" t="n">
        <v>46159</v>
      </c>
      <c r="XU163" s="9" t="n">
        <v>0</v>
      </c>
      <c r="XW163" s="9" t="n">
        <v>0</v>
      </c>
      <c r="XX163" s="9" t="n">
        <v>1901</v>
      </c>
      <c r="YB163" s="10" t="n">
        <v>46159</v>
      </c>
      <c r="YD163" s="9" t="n">
        <v>0</v>
      </c>
      <c r="YF163" s="9" t="n">
        <v>0</v>
      </c>
      <c r="YG163" s="9" t="n">
        <v>6459</v>
      </c>
      <c r="YK163" s="10" t="n">
        <v>46159</v>
      </c>
      <c r="YM163" s="9" t="n">
        <v>0</v>
      </c>
      <c r="YO163" s="9" t="n">
        <v>0</v>
      </c>
      <c r="YP163" s="9" t="n">
        <v>0</v>
      </c>
      <c r="YT163" s="10" t="n">
        <v>46159</v>
      </c>
      <c r="YV163" s="9" t="n">
        <v>0</v>
      </c>
      <c r="YX163" s="9" t="n">
        <v>0</v>
      </c>
      <c r="YY163" s="9" t="n">
        <v>0</v>
      </c>
      <c r="ZC163" s="10" t="n">
        <v>46159</v>
      </c>
      <c r="ZE163" s="9" t="n">
        <v>0</v>
      </c>
      <c r="ZG163" s="9" t="n">
        <v>0</v>
      </c>
      <c r="ZH163" s="9" t="n">
        <v>0</v>
      </c>
      <c r="ZL163" s="10" t="n">
        <v>46159</v>
      </c>
      <c r="ZN163" s="9" t="n">
        <v>0</v>
      </c>
      <c r="ZP163" s="9" t="n">
        <v>0</v>
      </c>
      <c r="ZQ163" s="9" t="n">
        <v>0</v>
      </c>
      <c r="ZU163" s="10" t="n">
        <v>46159</v>
      </c>
      <c r="ZW163" s="9" t="n">
        <v>0</v>
      </c>
      <c r="ZY163" s="9" t="n">
        <v>0</v>
      </c>
      <c r="ZZ163" s="9" t="n">
        <v>0</v>
      </c>
      <c r="AAD163" s="10" t="n">
        <v>46159</v>
      </c>
      <c r="AAF163" s="9" t="n">
        <v>0</v>
      </c>
      <c r="AAH163" s="9" t="n">
        <v>0</v>
      </c>
      <c r="AAI163" s="9" t="n">
        <v>0</v>
      </c>
      <c r="AAM163" s="10" t="n">
        <v>46159</v>
      </c>
      <c r="AAO163" s="9" t="n">
        <v>0</v>
      </c>
      <c r="AAQ163" s="9" t="n">
        <v>0</v>
      </c>
      <c r="AAR163" s="9" t="n">
        <v>0</v>
      </c>
      <c r="AAV163" s="10" t="n">
        <v>46159</v>
      </c>
      <c r="AAX163" s="9" t="n">
        <v>0</v>
      </c>
      <c r="AAZ163" s="9" t="n">
        <v>0</v>
      </c>
      <c r="ABA163" s="9" t="n">
        <v>0</v>
      </c>
      <c r="ABE163" s="10" t="n">
        <v>46159</v>
      </c>
      <c r="ABG163" s="9" t="n">
        <v>0</v>
      </c>
      <c r="ABI163" s="9" t="n">
        <v>0</v>
      </c>
      <c r="ABJ163" s="9" t="n">
        <v>0</v>
      </c>
    </row>
    <row r="164">
      <c r="B164" s="9" t="n">
        <v>80</v>
      </c>
      <c r="C164" s="10" t="n">
        <v>46160</v>
      </c>
      <c r="E164" s="9" t="n">
        <v>45458.99999999999</v>
      </c>
      <c r="F164" s="9" t="n">
        <v>45461.2</v>
      </c>
      <c r="G164" s="9" t="n">
        <v>-2.200000000004366</v>
      </c>
      <c r="H164" s="9" t="n">
        <v>150908.8</v>
      </c>
      <c r="I164" s="9" t="inlineStr">
        <is>
          <t>1102 30mt, 8102 50mt</t>
        </is>
      </c>
      <c r="L164" s="10" t="n">
        <v>46160</v>
      </c>
      <c r="N164" s="9" t="n">
        <v>23480</v>
      </c>
      <c r="O164" s="9" t="n">
        <v>23481</v>
      </c>
      <c r="P164" s="9" t="n">
        <v>-1</v>
      </c>
      <c r="Q164" s="9" t="n">
        <v>61034.00000000009</v>
      </c>
      <c r="U164" s="10" t="n">
        <v>46160</v>
      </c>
      <c r="W164" s="9" t="n">
        <v>3250</v>
      </c>
      <c r="X164" s="9" t="n">
        <v>3252</v>
      </c>
      <c r="Y164" s="9" t="n">
        <v>-2</v>
      </c>
      <c r="Z164" s="9" t="n">
        <v>44848.29999999996</v>
      </c>
      <c r="AD164" s="10" t="n">
        <v>46160</v>
      </c>
      <c r="AF164" s="9" t="n">
        <v>1500</v>
      </c>
      <c r="AG164" s="9" t="n">
        <v>1500.8</v>
      </c>
      <c r="AH164" s="9" t="n">
        <v>-0.7999999999999545</v>
      </c>
      <c r="AI164" s="9" t="n">
        <v>20245.30000000002</v>
      </c>
      <c r="AM164" s="10" t="n">
        <v>46160</v>
      </c>
      <c r="AO164" s="9" t="n">
        <v>0</v>
      </c>
      <c r="AQ164" s="9" t="n">
        <v>0</v>
      </c>
      <c r="AR164" s="9" t="n">
        <v>0</v>
      </c>
      <c r="AV164" s="10" t="n">
        <v>46160</v>
      </c>
      <c r="AX164" s="9" t="n">
        <v>300</v>
      </c>
      <c r="AY164" s="9" t="n">
        <v>299.9</v>
      </c>
      <c r="AZ164" s="9" t="n">
        <v>0.1000000000000227</v>
      </c>
      <c r="BA164" s="9" t="n">
        <v>12123.3</v>
      </c>
      <c r="BE164" s="10" t="n">
        <v>46160</v>
      </c>
      <c r="BG164" s="9" t="n">
        <v>1725</v>
      </c>
      <c r="BH164" s="9" t="n">
        <v>1726.3</v>
      </c>
      <c r="BI164" s="9" t="n">
        <v>-1.299999999999955</v>
      </c>
      <c r="BJ164" s="9" t="n">
        <v>39226.99999999999</v>
      </c>
      <c r="BN164" s="10" t="n">
        <v>46160</v>
      </c>
      <c r="BO164" s="9" t="n">
        <v>1925</v>
      </c>
      <c r="BP164" s="9" t="n">
        <v>1925</v>
      </c>
      <c r="BQ164" s="9" t="n">
        <v>1925</v>
      </c>
      <c r="BR164" s="9" t="n">
        <v>0</v>
      </c>
      <c r="BS164" s="9" t="n">
        <v>0</v>
      </c>
      <c r="BW164" s="10" t="n">
        <v>46160</v>
      </c>
      <c r="BY164" s="9" t="n">
        <v>0</v>
      </c>
      <c r="CA164" s="9" t="n">
        <v>0</v>
      </c>
      <c r="CB164" s="9" t="n">
        <v>5736.799999999999</v>
      </c>
      <c r="CF164" s="10" t="n">
        <v>46160</v>
      </c>
      <c r="CH164" s="9" t="n">
        <v>471</v>
      </c>
      <c r="CJ164" s="9" t="n">
        <v>471</v>
      </c>
      <c r="CK164" s="9" t="n">
        <v>0</v>
      </c>
      <c r="CO164" s="10" t="n">
        <v>46160</v>
      </c>
      <c r="CQ164" s="9" t="n">
        <v>0</v>
      </c>
      <c r="CS164" s="9" t="n">
        <v>0</v>
      </c>
      <c r="CT164" s="9" t="n">
        <v>0</v>
      </c>
      <c r="CX164" s="10" t="n">
        <v>46160</v>
      </c>
      <c r="CZ164" s="9" t="n">
        <v>0</v>
      </c>
      <c r="DB164" s="9" t="n">
        <v>0</v>
      </c>
      <c r="DC164" s="9" t="n">
        <v>21657</v>
      </c>
      <c r="DG164" s="10" t="n">
        <v>46160</v>
      </c>
      <c r="DI164" s="9" t="n">
        <v>0</v>
      </c>
      <c r="DK164" s="9" t="n">
        <v>0</v>
      </c>
      <c r="DL164" s="9" t="n">
        <v>38237.09999999998</v>
      </c>
      <c r="DP164" s="10" t="n">
        <v>46160</v>
      </c>
      <c r="DR164" s="9" t="n">
        <v>0</v>
      </c>
      <c r="DT164" s="9" t="n">
        <v>0</v>
      </c>
      <c r="DU164" s="9" t="n">
        <v>5800</v>
      </c>
      <c r="DY164" s="10" t="n">
        <v>46160</v>
      </c>
      <c r="EA164" s="9" t="n">
        <v>0</v>
      </c>
      <c r="EC164" s="9" t="n">
        <v>0</v>
      </c>
      <c r="ED164" s="9" t="n">
        <v>0</v>
      </c>
      <c r="EH164" s="10" t="n">
        <v>46160</v>
      </c>
      <c r="EJ164" s="9" t="n">
        <v>0</v>
      </c>
      <c r="EL164" s="9" t="n">
        <v>0</v>
      </c>
      <c r="EM164" s="9" t="n">
        <v>0</v>
      </c>
      <c r="EQ164" s="10" t="n">
        <v>46160</v>
      </c>
      <c r="ES164" s="9" t="n">
        <v>0</v>
      </c>
      <c r="EU164" s="9" t="n">
        <v>0</v>
      </c>
      <c r="EV164" s="9" t="n">
        <v>0</v>
      </c>
      <c r="EZ164" s="10" t="n">
        <v>46160</v>
      </c>
      <c r="FB164" s="9" t="n">
        <v>0</v>
      </c>
      <c r="FD164" s="9" t="n">
        <v>0</v>
      </c>
      <c r="FE164" s="9" t="n">
        <v>0</v>
      </c>
      <c r="FI164" s="10" t="n">
        <v>46160</v>
      </c>
      <c r="FK164" s="9" t="n">
        <v>0</v>
      </c>
      <c r="FM164" s="9" t="n">
        <v>0</v>
      </c>
      <c r="FN164" s="9" t="n">
        <v>0</v>
      </c>
      <c r="FR164" s="10" t="n">
        <v>46160</v>
      </c>
      <c r="FT164" s="9" t="n">
        <v>0</v>
      </c>
      <c r="FV164" s="9" t="n">
        <v>0</v>
      </c>
      <c r="FW164" s="9" t="n">
        <v>4140</v>
      </c>
      <c r="GA164" s="10" t="n">
        <v>46160</v>
      </c>
      <c r="GC164" s="9" t="n">
        <v>600</v>
      </c>
      <c r="GE164" s="9" t="n">
        <v>600</v>
      </c>
      <c r="GF164" s="9" t="n">
        <v>5040</v>
      </c>
      <c r="GJ164" s="10" t="n">
        <v>46160</v>
      </c>
      <c r="GK164" s="9" t="n">
        <v>2000</v>
      </c>
      <c r="GL164" s="9" t="n">
        <v>0</v>
      </c>
      <c r="GN164" s="9" t="n">
        <v>0</v>
      </c>
      <c r="GO164" s="9" t="n">
        <v>3760</v>
      </c>
      <c r="GS164" s="10" t="n">
        <v>46160</v>
      </c>
      <c r="GU164" s="9" t="n">
        <v>0</v>
      </c>
      <c r="GW164" s="9" t="n">
        <v>0</v>
      </c>
      <c r="GX164" s="9" t="n">
        <v>1320</v>
      </c>
      <c r="HB164" s="10" t="n">
        <v>46160</v>
      </c>
      <c r="HD164" s="9" t="n">
        <v>0</v>
      </c>
      <c r="HF164" s="9" t="n">
        <v>0</v>
      </c>
      <c r="HG164" s="9" t="n">
        <v>3600</v>
      </c>
      <c r="HK164" s="10" t="n">
        <v>46160</v>
      </c>
      <c r="HM164" s="9" t="n">
        <v>0</v>
      </c>
      <c r="HO164" s="9" t="n">
        <v>0</v>
      </c>
      <c r="HP164" s="9" t="n">
        <v>0</v>
      </c>
      <c r="HU164" s="10" t="n">
        <v>46160</v>
      </c>
      <c r="HV164" s="9" t="n">
        <v>2000</v>
      </c>
      <c r="HW164" s="9" t="n">
        <v>0</v>
      </c>
      <c r="HY164" s="9" t="n">
        <v>0</v>
      </c>
      <c r="HZ164" s="9" t="n">
        <v>7080</v>
      </c>
      <c r="ID164" s="10" t="n">
        <v>46160</v>
      </c>
      <c r="IF164" s="9" t="n">
        <v>0</v>
      </c>
      <c r="IH164" s="9" t="n">
        <v>0</v>
      </c>
      <c r="II164" s="9" t="n">
        <v>720</v>
      </c>
      <c r="IM164" s="10" t="n">
        <v>46160</v>
      </c>
      <c r="IO164" s="9" t="n">
        <v>0</v>
      </c>
      <c r="IQ164" s="9" t="n">
        <v>0</v>
      </c>
      <c r="IR164" s="9" t="n">
        <v>11540</v>
      </c>
      <c r="IV164" s="10" t="n">
        <v>46160</v>
      </c>
      <c r="IX164" s="9" t="n">
        <v>0</v>
      </c>
      <c r="IZ164" s="9" t="n">
        <v>0</v>
      </c>
      <c r="JA164" s="9" t="n">
        <v>12860</v>
      </c>
      <c r="JE164" s="10" t="n">
        <v>46160</v>
      </c>
      <c r="JG164" s="9" t="n">
        <v>0</v>
      </c>
      <c r="JI164" s="9" t="n">
        <v>0</v>
      </c>
      <c r="JJ164" s="9" t="n">
        <v>0</v>
      </c>
      <c r="JN164" s="10" t="n">
        <v>46160</v>
      </c>
      <c r="JP164" s="9" t="n">
        <v>1000</v>
      </c>
      <c r="JR164" s="9" t="n">
        <v>1000</v>
      </c>
      <c r="JS164" s="9" t="n">
        <v>5500</v>
      </c>
      <c r="JW164" s="10" t="n">
        <v>46160</v>
      </c>
      <c r="JY164" s="9" t="n">
        <v>0</v>
      </c>
      <c r="KA164" s="9" t="n">
        <v>0</v>
      </c>
      <c r="KB164" s="9" t="n">
        <v>2540</v>
      </c>
      <c r="KF164" s="10" t="n">
        <v>46160</v>
      </c>
      <c r="KH164" s="9" t="n">
        <v>0</v>
      </c>
      <c r="KJ164" s="9" t="n">
        <v>0</v>
      </c>
      <c r="KK164" s="9" t="n">
        <v>2359.5</v>
      </c>
      <c r="KO164" s="10" t="n">
        <v>46160</v>
      </c>
      <c r="KQ164" s="9" t="n">
        <v>0</v>
      </c>
      <c r="KS164" s="9" t="n">
        <v>0</v>
      </c>
      <c r="KT164" s="9" t="n">
        <v>1890</v>
      </c>
      <c r="KX164" s="10" t="n">
        <v>46160</v>
      </c>
      <c r="KZ164" s="9" t="n">
        <v>0</v>
      </c>
      <c r="LB164" s="9" t="n">
        <v>0</v>
      </c>
      <c r="LC164" s="9" t="n">
        <v>3690</v>
      </c>
      <c r="LG164" s="10" t="n">
        <v>46160</v>
      </c>
      <c r="LI164" s="9" t="n">
        <v>0</v>
      </c>
      <c r="LK164" s="9" t="n">
        <v>0</v>
      </c>
      <c r="LL164" s="9" t="n">
        <v>4000</v>
      </c>
      <c r="LP164" s="10" t="n">
        <v>46160</v>
      </c>
      <c r="LR164" s="9" t="n">
        <v>0</v>
      </c>
      <c r="LT164" s="9" t="n">
        <v>0</v>
      </c>
      <c r="LU164" s="9" t="n">
        <v>0</v>
      </c>
      <c r="LY164" s="10" t="n">
        <v>46160</v>
      </c>
      <c r="MA164" s="9" t="n">
        <v>0</v>
      </c>
      <c r="MC164" s="9" t="n">
        <v>0</v>
      </c>
      <c r="MD164" s="9" t="n">
        <v>0</v>
      </c>
      <c r="MH164" s="10" t="n">
        <v>46160</v>
      </c>
      <c r="MJ164" s="9" t="n">
        <v>0</v>
      </c>
      <c r="ML164" s="9" t="n">
        <v>0</v>
      </c>
      <c r="MM164" s="9" t="n">
        <v>0</v>
      </c>
      <c r="MQ164" s="10" t="n">
        <v>46160</v>
      </c>
      <c r="MS164" s="9" t="n">
        <v>15</v>
      </c>
      <c r="MU164" s="9" t="n">
        <v>15</v>
      </c>
      <c r="MV164" s="9" t="n">
        <v>3761</v>
      </c>
      <c r="MZ164" s="10" t="n">
        <v>46160</v>
      </c>
      <c r="NB164" s="9" t="n">
        <v>150</v>
      </c>
      <c r="ND164" s="9" t="n">
        <v>150</v>
      </c>
      <c r="NE164" s="9" t="n">
        <v>0</v>
      </c>
      <c r="NI164" s="10" t="n">
        <v>46160</v>
      </c>
      <c r="NK164" s="9" t="n">
        <v>0</v>
      </c>
      <c r="NM164" s="9" t="n">
        <v>0</v>
      </c>
      <c r="NN164" s="9" t="n">
        <v>1127</v>
      </c>
      <c r="NR164" s="10" t="n">
        <v>46160</v>
      </c>
      <c r="NT164" s="9" t="n">
        <v>0</v>
      </c>
      <c r="NV164" s="9" t="n">
        <v>0</v>
      </c>
      <c r="NW164" s="9" t="n">
        <v>3112</v>
      </c>
      <c r="OA164" s="10" t="n">
        <v>46160</v>
      </c>
      <c r="OC164" s="9" t="n">
        <v>0</v>
      </c>
      <c r="OE164" s="9" t="n">
        <v>0</v>
      </c>
      <c r="OF164" s="9" t="n">
        <v>1680.5</v>
      </c>
      <c r="OJ164" s="10" t="n">
        <v>46160</v>
      </c>
      <c r="OL164" s="9" t="n">
        <v>0</v>
      </c>
      <c r="ON164" s="9" t="n">
        <v>0</v>
      </c>
      <c r="OO164" s="9" t="n">
        <v>0</v>
      </c>
      <c r="OS164" s="10" t="n">
        <v>46160</v>
      </c>
      <c r="OU164" s="9" t="n">
        <v>0</v>
      </c>
      <c r="OW164" s="9" t="n">
        <v>0</v>
      </c>
      <c r="OX164" s="9" t="n">
        <v>1482</v>
      </c>
      <c r="PB164" s="10" t="n">
        <v>46160</v>
      </c>
      <c r="PD164" s="9" t="n">
        <v>0</v>
      </c>
      <c r="PF164" s="9" t="n">
        <v>0</v>
      </c>
      <c r="PG164" s="9" t="n">
        <v>0</v>
      </c>
      <c r="PK164" s="10" t="n">
        <v>46160</v>
      </c>
      <c r="PM164" s="9" t="n">
        <v>0</v>
      </c>
      <c r="PO164" s="9" t="n">
        <v>0</v>
      </c>
      <c r="PP164" s="9" t="n">
        <v>100</v>
      </c>
      <c r="PT164" s="10" t="n">
        <v>46160</v>
      </c>
      <c r="PV164" s="9" t="n">
        <v>0</v>
      </c>
      <c r="PX164" s="9" t="n">
        <v>0</v>
      </c>
      <c r="PY164" s="9" t="n">
        <v>13.96000000000004</v>
      </c>
      <c r="QC164" s="10" t="n">
        <v>46160</v>
      </c>
      <c r="QE164" s="9" t="n">
        <v>0</v>
      </c>
      <c r="QG164" s="9" t="n">
        <v>0</v>
      </c>
      <c r="QH164" s="9" t="n">
        <v>876</v>
      </c>
      <c r="QL164" s="10" t="n">
        <v>46160</v>
      </c>
      <c r="QN164" s="9" t="n">
        <v>125</v>
      </c>
      <c r="QP164" s="9" t="n">
        <v>125</v>
      </c>
      <c r="QQ164" s="9" t="n">
        <v>515</v>
      </c>
      <c r="QU164" s="10" t="n">
        <v>46160</v>
      </c>
      <c r="QW164" s="9" t="n">
        <v>0</v>
      </c>
      <c r="QY164" s="9" t="n">
        <v>0</v>
      </c>
      <c r="QZ164" s="9" t="n">
        <v>207.6</v>
      </c>
      <c r="RD164" s="10" t="n">
        <v>46160</v>
      </c>
      <c r="RF164" s="9" t="n">
        <v>0</v>
      </c>
      <c r="RH164" s="9" t="n">
        <v>0</v>
      </c>
      <c r="RI164" s="9" t="n">
        <v>147.04</v>
      </c>
      <c r="RM164" s="10" t="n">
        <v>46160</v>
      </c>
      <c r="RO164" s="9" t="n">
        <v>0</v>
      </c>
      <c r="RQ164" s="9" t="n">
        <v>0</v>
      </c>
      <c r="RR164" s="9" t="n">
        <v>46.8</v>
      </c>
      <c r="RV164" s="10" t="n">
        <v>46160</v>
      </c>
      <c r="RX164" s="9" t="n">
        <v>0</v>
      </c>
      <c r="RZ164" s="9" t="n">
        <v>0</v>
      </c>
      <c r="SA164" s="9" t="n">
        <v>0</v>
      </c>
      <c r="SE164" s="10" t="n">
        <v>46160</v>
      </c>
      <c r="SG164" s="9" t="n">
        <v>0</v>
      </c>
      <c r="SI164" s="9" t="n">
        <v>0</v>
      </c>
      <c r="SJ164" s="9" t="n">
        <v>24.2</v>
      </c>
      <c r="SN164" s="10" t="n">
        <v>46160</v>
      </c>
      <c r="SP164" s="9" t="n">
        <v>0</v>
      </c>
      <c r="SR164" s="9" t="n">
        <v>0</v>
      </c>
      <c r="SS164" s="9" t="n">
        <v>32</v>
      </c>
      <c r="SW164" s="10" t="n">
        <v>46160</v>
      </c>
      <c r="SY164" s="9" t="n">
        <v>0</v>
      </c>
      <c r="TA164" s="9" t="n">
        <v>0</v>
      </c>
      <c r="TB164" s="9" t="n">
        <v>0</v>
      </c>
      <c r="TF164" s="10" t="n">
        <v>46160</v>
      </c>
      <c r="TH164" s="9" t="n">
        <v>0</v>
      </c>
      <c r="TJ164" s="9" t="n">
        <v>0</v>
      </c>
      <c r="TK164" s="9" t="n">
        <v>0</v>
      </c>
      <c r="TO164" s="10" t="n">
        <v>46160</v>
      </c>
      <c r="TQ164" s="9" t="n">
        <v>0</v>
      </c>
      <c r="TS164" s="9" t="n">
        <v>0</v>
      </c>
      <c r="TT164" s="9" t="n">
        <v>0</v>
      </c>
      <c r="TX164" s="10" t="n">
        <v>46160</v>
      </c>
      <c r="TZ164" s="9" t="n">
        <v>0</v>
      </c>
      <c r="UB164" s="9" t="n">
        <v>0</v>
      </c>
      <c r="UC164" s="9" t="n">
        <v>0</v>
      </c>
      <c r="UG164" s="10" t="n">
        <v>46160</v>
      </c>
      <c r="UI164" s="9" t="n">
        <v>0</v>
      </c>
      <c r="UK164" s="9" t="n">
        <v>0</v>
      </c>
      <c r="UL164" s="9" t="n">
        <v>0</v>
      </c>
      <c r="UP164" s="10" t="n">
        <v>46160</v>
      </c>
      <c r="UR164" s="9" t="n">
        <v>0</v>
      </c>
      <c r="UT164" s="9" t="n">
        <v>0</v>
      </c>
      <c r="UU164" s="9" t="n">
        <v>0</v>
      </c>
      <c r="UY164" s="10" t="n">
        <v>46160</v>
      </c>
      <c r="VA164" s="9" t="n">
        <v>0</v>
      </c>
      <c r="VC164" s="9" t="n">
        <v>0</v>
      </c>
      <c r="VD164" s="9" t="n">
        <v>41.60000000000002</v>
      </c>
      <c r="VH164" s="10" t="n">
        <v>46160</v>
      </c>
      <c r="VJ164" s="9" t="n">
        <v>0</v>
      </c>
      <c r="VL164" s="9" t="n">
        <v>0</v>
      </c>
      <c r="VM164" s="9" t="n">
        <v>0</v>
      </c>
      <c r="VQ164" s="10" t="n">
        <v>46160</v>
      </c>
      <c r="VS164" s="9" t="n">
        <v>125</v>
      </c>
      <c r="VU164" s="9" t="n">
        <v>125</v>
      </c>
      <c r="VV164" s="9" t="n">
        <v>0</v>
      </c>
      <c r="VZ164" s="10" t="n">
        <v>46160</v>
      </c>
      <c r="WB164" s="9" t="n">
        <v>125</v>
      </c>
      <c r="WD164" s="9" t="n">
        <v>125</v>
      </c>
      <c r="WE164" s="9" t="n">
        <v>0</v>
      </c>
      <c r="WI164" s="10" t="n">
        <v>46160</v>
      </c>
      <c r="WK164" s="9" t="n">
        <v>0</v>
      </c>
      <c r="WM164" s="9" t="n">
        <v>0</v>
      </c>
      <c r="WN164" s="9" t="n">
        <v>2317</v>
      </c>
      <c r="WR164" s="10" t="n">
        <v>46160</v>
      </c>
      <c r="WT164" s="9" t="n">
        <v>0</v>
      </c>
      <c r="WV164" s="9" t="n">
        <v>0</v>
      </c>
      <c r="WW164" s="9" t="n">
        <v>0</v>
      </c>
      <c r="XA164" s="10" t="n">
        <v>46160</v>
      </c>
      <c r="XC164" s="9" t="n">
        <v>0</v>
      </c>
      <c r="XE164" s="9" t="n">
        <v>0</v>
      </c>
      <c r="XF164" s="9" t="n">
        <v>9933</v>
      </c>
      <c r="XJ164" s="10" t="n">
        <v>46160</v>
      </c>
      <c r="XL164" s="9" t="n">
        <v>0</v>
      </c>
      <c r="XM164" s="9" t="n">
        <v>619</v>
      </c>
      <c r="XN164" s="9" t="n">
        <v>-619</v>
      </c>
      <c r="XO164" s="9" t="n">
        <v>-38</v>
      </c>
      <c r="XS164" s="10" t="n">
        <v>46160</v>
      </c>
      <c r="XU164" s="9" t="n">
        <v>0</v>
      </c>
      <c r="XW164" s="9" t="n">
        <v>0</v>
      </c>
      <c r="XX164" s="9" t="n">
        <v>1901</v>
      </c>
      <c r="YB164" s="10" t="n">
        <v>46160</v>
      </c>
      <c r="YD164" s="9" t="n">
        <v>0</v>
      </c>
      <c r="YF164" s="9" t="n">
        <v>0</v>
      </c>
      <c r="YG164" s="9" t="n">
        <v>6459</v>
      </c>
      <c r="YK164" s="10" t="n">
        <v>46160</v>
      </c>
      <c r="YM164" s="9" t="n">
        <v>0</v>
      </c>
      <c r="YO164" s="9" t="n">
        <v>0</v>
      </c>
      <c r="YP164" s="9" t="n">
        <v>0</v>
      </c>
      <c r="YT164" s="10" t="n">
        <v>46160</v>
      </c>
      <c r="YV164" s="9" t="n">
        <v>125</v>
      </c>
      <c r="YX164" s="9" t="n">
        <v>125</v>
      </c>
      <c r="YY164" s="9" t="n">
        <v>0</v>
      </c>
      <c r="ZC164" s="10" t="n">
        <v>46160</v>
      </c>
      <c r="ZE164" s="9" t="n">
        <v>125</v>
      </c>
      <c r="ZG164" s="9" t="n">
        <v>125</v>
      </c>
      <c r="ZH164" s="9" t="n">
        <v>0</v>
      </c>
      <c r="ZL164" s="10" t="n">
        <v>46160</v>
      </c>
      <c r="ZN164" s="9" t="n">
        <v>125</v>
      </c>
      <c r="ZP164" s="9" t="n">
        <v>125</v>
      </c>
      <c r="ZQ164" s="9" t="n">
        <v>0</v>
      </c>
      <c r="ZU164" s="10" t="n">
        <v>46160</v>
      </c>
      <c r="ZW164" s="9" t="n">
        <v>125</v>
      </c>
      <c r="ZY164" s="9" t="n">
        <v>125</v>
      </c>
      <c r="ZZ164" s="9" t="n">
        <v>0</v>
      </c>
      <c r="AAD164" s="10" t="n">
        <v>46160</v>
      </c>
      <c r="AAF164" s="9" t="n">
        <v>125</v>
      </c>
      <c r="AAH164" s="9" t="n">
        <v>125</v>
      </c>
      <c r="AAI164" s="9" t="n">
        <v>0</v>
      </c>
      <c r="AAM164" s="10" t="n">
        <v>46160</v>
      </c>
      <c r="AAO164" s="9" t="n">
        <v>125</v>
      </c>
      <c r="AAQ164" s="9" t="n">
        <v>125</v>
      </c>
      <c r="AAR164" s="9" t="n">
        <v>0</v>
      </c>
      <c r="AAV164" s="10" t="n">
        <v>46160</v>
      </c>
      <c r="AAX164" s="9" t="n">
        <v>125</v>
      </c>
      <c r="AAZ164" s="9" t="n">
        <v>125</v>
      </c>
      <c r="ABA164" s="9" t="n">
        <v>0</v>
      </c>
      <c r="ABE164" s="10" t="n">
        <v>46160</v>
      </c>
      <c r="ABG164" s="9" t="n">
        <v>125</v>
      </c>
      <c r="ABI164" s="9" t="n">
        <v>125</v>
      </c>
      <c r="ABJ164" s="9" t="n">
        <v>0</v>
      </c>
    </row>
    <row r="165">
      <c r="B165" s="9" t="n">
        <v>90</v>
      </c>
      <c r="C165" s="10" t="n">
        <v>46161</v>
      </c>
      <c r="E165" s="9" t="n">
        <v>56475</v>
      </c>
      <c r="F165" s="9" t="n">
        <v>56469.8</v>
      </c>
      <c r="G165" s="9" t="n">
        <v>5.19999999999709</v>
      </c>
      <c r="H165" s="9" t="n">
        <v>94439.00000000004</v>
      </c>
      <c r="I165" s="9" t="inlineStr">
        <is>
          <t>1103 90mt</t>
        </is>
      </c>
      <c r="L165" s="10" t="n">
        <v>46161</v>
      </c>
      <c r="N165" s="9" t="n">
        <v>12285</v>
      </c>
      <c r="O165" s="9" t="n">
        <v>12283.6</v>
      </c>
      <c r="P165" s="9" t="n">
        <v>1.399999999999636</v>
      </c>
      <c r="Q165" s="9" t="n">
        <v>48750.40000000009</v>
      </c>
      <c r="U165" s="10" t="n">
        <v>46161</v>
      </c>
      <c r="W165" s="9" t="n">
        <v>7200</v>
      </c>
      <c r="X165" s="9" t="n">
        <v>7199.2</v>
      </c>
      <c r="Y165" s="9" t="n">
        <v>0.8000000000001819</v>
      </c>
      <c r="Z165" s="9" t="n">
        <v>37649.09999999996</v>
      </c>
      <c r="AD165" s="10" t="n">
        <v>46161</v>
      </c>
      <c r="AF165" s="9" t="n">
        <v>6300</v>
      </c>
      <c r="AG165" s="9" t="n">
        <v>6301.8</v>
      </c>
      <c r="AH165" s="9" t="n">
        <v>-1.800000000000182</v>
      </c>
      <c r="AI165" s="9" t="n">
        <v>13943.50000000002</v>
      </c>
      <c r="AM165" s="10" t="n">
        <v>46161</v>
      </c>
      <c r="AO165" s="9" t="n">
        <v>0</v>
      </c>
      <c r="AQ165" s="9" t="n">
        <v>0</v>
      </c>
      <c r="AR165" s="9" t="n">
        <v>0</v>
      </c>
      <c r="AV165" s="10" t="n">
        <v>46161</v>
      </c>
      <c r="AX165" s="9" t="n">
        <v>1395</v>
      </c>
      <c r="AY165" s="9" t="n">
        <v>1396.2</v>
      </c>
      <c r="AZ165" s="9" t="n">
        <v>-1.200000000000045</v>
      </c>
      <c r="BA165" s="9" t="n">
        <v>10727.1</v>
      </c>
      <c r="BE165" s="10" t="n">
        <v>46161</v>
      </c>
      <c r="BG165" s="9" t="n">
        <v>2250</v>
      </c>
      <c r="BH165" s="9" t="n">
        <v>2252.5</v>
      </c>
      <c r="BI165" s="9" t="n">
        <v>-2.5</v>
      </c>
      <c r="BJ165" s="9" t="n">
        <v>36974.49999999999</v>
      </c>
      <c r="BN165" s="10" t="n">
        <v>46161</v>
      </c>
      <c r="BO165" s="9" t="n">
        <v>2250</v>
      </c>
      <c r="BP165" s="9" t="n">
        <v>2250</v>
      </c>
      <c r="BQ165" s="9" t="n">
        <v>2250</v>
      </c>
      <c r="BR165" s="9" t="n">
        <v>0</v>
      </c>
      <c r="BS165" s="9" t="n">
        <v>0</v>
      </c>
      <c r="BW165" s="10" t="n">
        <v>46161</v>
      </c>
      <c r="BY165" s="9" t="n">
        <v>0</v>
      </c>
      <c r="CA165" s="9" t="n">
        <v>0</v>
      </c>
      <c r="CB165" s="9" t="n">
        <v>5736.799999999999</v>
      </c>
      <c r="CF165" s="10" t="n">
        <v>46161</v>
      </c>
      <c r="CH165" s="9" t="n">
        <v>0</v>
      </c>
      <c r="CJ165" s="9" t="n">
        <v>0</v>
      </c>
      <c r="CK165" s="9" t="n">
        <v>0</v>
      </c>
      <c r="CO165" s="10" t="n">
        <v>46161</v>
      </c>
      <c r="CQ165" s="9" t="n">
        <v>0</v>
      </c>
      <c r="CS165" s="9" t="n">
        <v>0</v>
      </c>
      <c r="CT165" s="9" t="n">
        <v>0</v>
      </c>
      <c r="CX165" s="10" t="n">
        <v>46161</v>
      </c>
      <c r="CZ165" s="9" t="n">
        <v>0</v>
      </c>
      <c r="DB165" s="9" t="n">
        <v>0</v>
      </c>
      <c r="DC165" s="9" t="n">
        <v>21657</v>
      </c>
      <c r="DG165" s="10" t="n">
        <v>46161</v>
      </c>
      <c r="DI165" s="9" t="n">
        <v>0</v>
      </c>
      <c r="DK165" s="9" t="n">
        <v>0</v>
      </c>
      <c r="DL165" s="9" t="n">
        <v>38237.09999999998</v>
      </c>
      <c r="DP165" s="10" t="n">
        <v>46161</v>
      </c>
      <c r="DR165" s="9" t="n">
        <v>0</v>
      </c>
      <c r="DT165" s="9" t="n">
        <v>0</v>
      </c>
      <c r="DU165" s="9" t="n">
        <v>5800</v>
      </c>
      <c r="DY165" s="10" t="n">
        <v>46161</v>
      </c>
      <c r="EA165" s="9" t="n">
        <v>0</v>
      </c>
      <c r="EC165" s="9" t="n">
        <v>0</v>
      </c>
      <c r="ED165" s="9" t="n">
        <v>0</v>
      </c>
      <c r="EH165" s="10" t="n">
        <v>46161</v>
      </c>
      <c r="EJ165" s="9" t="n">
        <v>0</v>
      </c>
      <c r="EL165" s="9" t="n">
        <v>0</v>
      </c>
      <c r="EM165" s="9" t="n">
        <v>0</v>
      </c>
      <c r="EQ165" s="10" t="n">
        <v>46161</v>
      </c>
      <c r="ES165" s="9" t="n">
        <v>0</v>
      </c>
      <c r="EU165" s="9" t="n">
        <v>0</v>
      </c>
      <c r="EV165" s="9" t="n">
        <v>0</v>
      </c>
      <c r="EZ165" s="10" t="n">
        <v>46161</v>
      </c>
      <c r="FB165" s="9" t="n">
        <v>0</v>
      </c>
      <c r="FD165" s="9" t="n">
        <v>0</v>
      </c>
      <c r="FE165" s="9" t="n">
        <v>0</v>
      </c>
      <c r="FI165" s="10" t="n">
        <v>46161</v>
      </c>
      <c r="FK165" s="9" t="n">
        <v>0</v>
      </c>
      <c r="FM165" s="9" t="n">
        <v>0</v>
      </c>
      <c r="FN165" s="9" t="n">
        <v>0</v>
      </c>
      <c r="FR165" s="10" t="n">
        <v>46161</v>
      </c>
      <c r="FT165" s="9" t="n">
        <v>0</v>
      </c>
      <c r="FV165" s="9" t="n">
        <v>0</v>
      </c>
      <c r="FW165" s="9" t="n">
        <v>4140</v>
      </c>
      <c r="GA165" s="10" t="n">
        <v>46161</v>
      </c>
      <c r="GC165" s="9" t="n">
        <v>0</v>
      </c>
      <c r="GE165" s="9" t="n">
        <v>0</v>
      </c>
      <c r="GF165" s="9" t="n">
        <v>5040</v>
      </c>
      <c r="GJ165" s="10" t="n">
        <v>46161</v>
      </c>
      <c r="GL165" s="9" t="n">
        <v>1800</v>
      </c>
      <c r="GN165" s="9" t="n">
        <v>1800</v>
      </c>
      <c r="GO165" s="9" t="n">
        <v>3760</v>
      </c>
      <c r="GS165" s="10" t="n">
        <v>46161</v>
      </c>
      <c r="GU165" s="9" t="n">
        <v>0</v>
      </c>
      <c r="GW165" s="9" t="n">
        <v>0</v>
      </c>
      <c r="GX165" s="9" t="n">
        <v>1320</v>
      </c>
      <c r="HB165" s="10" t="n">
        <v>46161</v>
      </c>
      <c r="HD165" s="9" t="n">
        <v>0</v>
      </c>
      <c r="HF165" s="9" t="n">
        <v>0</v>
      </c>
      <c r="HG165" s="9" t="n">
        <v>3600</v>
      </c>
      <c r="HK165" s="10" t="n">
        <v>46161</v>
      </c>
      <c r="HM165" s="9" t="n">
        <v>0</v>
      </c>
      <c r="HO165" s="9" t="n">
        <v>0</v>
      </c>
      <c r="HP165" s="9" t="n">
        <v>0</v>
      </c>
      <c r="HU165" s="10" t="n">
        <v>46161</v>
      </c>
      <c r="HW165" s="9" t="n">
        <v>0</v>
      </c>
      <c r="HY165" s="9" t="n">
        <v>0</v>
      </c>
      <c r="HZ165" s="9" t="n">
        <v>7080</v>
      </c>
      <c r="ID165" s="10" t="n">
        <v>46161</v>
      </c>
      <c r="IF165" s="9" t="n">
        <v>0</v>
      </c>
      <c r="IH165" s="9" t="n">
        <v>0</v>
      </c>
      <c r="II165" s="9" t="n">
        <v>720</v>
      </c>
      <c r="IM165" s="10" t="n">
        <v>46161</v>
      </c>
      <c r="IO165" s="9" t="n">
        <v>0</v>
      </c>
      <c r="IQ165" s="9" t="n">
        <v>0</v>
      </c>
      <c r="IR165" s="9" t="n">
        <v>11540</v>
      </c>
      <c r="IV165" s="10" t="n">
        <v>46161</v>
      </c>
      <c r="IX165" s="9" t="n">
        <v>0</v>
      </c>
      <c r="IZ165" s="9" t="n">
        <v>0</v>
      </c>
      <c r="JA165" s="9" t="n">
        <v>12860</v>
      </c>
      <c r="JE165" s="10" t="n">
        <v>46161</v>
      </c>
      <c r="JG165" s="9" t="n">
        <v>0</v>
      </c>
      <c r="JI165" s="9" t="n">
        <v>0</v>
      </c>
      <c r="JJ165" s="9" t="n">
        <v>0</v>
      </c>
      <c r="JN165" s="10" t="n">
        <v>46161</v>
      </c>
      <c r="JP165" s="9" t="n">
        <v>0</v>
      </c>
      <c r="JR165" s="9" t="n">
        <v>0</v>
      </c>
      <c r="JS165" s="9" t="n">
        <v>5500</v>
      </c>
      <c r="JW165" s="10" t="n">
        <v>46161</v>
      </c>
      <c r="JY165" s="9" t="n">
        <v>0</v>
      </c>
      <c r="KA165" s="9" t="n">
        <v>0</v>
      </c>
      <c r="KB165" s="9" t="n">
        <v>2540</v>
      </c>
      <c r="KF165" s="10" t="n">
        <v>46161</v>
      </c>
      <c r="KH165" s="9" t="n">
        <v>0</v>
      </c>
      <c r="KJ165" s="9" t="n">
        <v>0</v>
      </c>
      <c r="KK165" s="9" t="n">
        <v>2359.5</v>
      </c>
      <c r="KO165" s="10" t="n">
        <v>46161</v>
      </c>
      <c r="KQ165" s="9" t="n">
        <v>0</v>
      </c>
      <c r="KS165" s="9" t="n">
        <v>0</v>
      </c>
      <c r="KT165" s="9" t="n">
        <v>1890</v>
      </c>
      <c r="KX165" s="10" t="n">
        <v>46161</v>
      </c>
      <c r="KZ165" s="9" t="n">
        <v>0</v>
      </c>
      <c r="LB165" s="9" t="n">
        <v>0</v>
      </c>
      <c r="LC165" s="9" t="n">
        <v>3690</v>
      </c>
      <c r="LG165" s="10" t="n">
        <v>46161</v>
      </c>
      <c r="LI165" s="9" t="n">
        <v>0</v>
      </c>
      <c r="LK165" s="9" t="n">
        <v>0</v>
      </c>
      <c r="LL165" s="9" t="n">
        <v>4000</v>
      </c>
      <c r="LP165" s="10" t="n">
        <v>46161</v>
      </c>
      <c r="LR165" s="9" t="n">
        <v>0</v>
      </c>
      <c r="LT165" s="9" t="n">
        <v>0</v>
      </c>
      <c r="LU165" s="9" t="n">
        <v>0</v>
      </c>
      <c r="LY165" s="10" t="n">
        <v>46161</v>
      </c>
      <c r="MA165" s="9" t="n">
        <v>0</v>
      </c>
      <c r="MC165" s="9" t="n">
        <v>0</v>
      </c>
      <c r="MD165" s="9" t="n">
        <v>0</v>
      </c>
      <c r="MH165" s="10" t="n">
        <v>46161</v>
      </c>
      <c r="MJ165" s="9" t="n">
        <v>0</v>
      </c>
      <c r="ML165" s="9" t="n">
        <v>0</v>
      </c>
      <c r="MM165" s="9" t="n">
        <v>0</v>
      </c>
      <c r="MQ165" s="10" t="n">
        <v>46161</v>
      </c>
      <c r="MS165" s="9" t="n">
        <v>45</v>
      </c>
      <c r="MU165" s="9" t="n">
        <v>45</v>
      </c>
      <c r="MV165" s="9" t="n">
        <v>3761</v>
      </c>
      <c r="MZ165" s="10" t="n">
        <v>46161</v>
      </c>
      <c r="NB165" s="9" t="n">
        <v>0</v>
      </c>
      <c r="ND165" s="9" t="n">
        <v>0</v>
      </c>
      <c r="NE165" s="9" t="n">
        <v>0</v>
      </c>
      <c r="NI165" s="10" t="n">
        <v>46161</v>
      </c>
      <c r="NK165" s="9" t="n">
        <v>0</v>
      </c>
      <c r="NM165" s="9" t="n">
        <v>0</v>
      </c>
      <c r="NN165" s="9" t="n">
        <v>1127</v>
      </c>
      <c r="NR165" s="10" t="n">
        <v>46161</v>
      </c>
      <c r="NT165" s="9" t="n">
        <v>0</v>
      </c>
      <c r="NV165" s="9" t="n">
        <v>0</v>
      </c>
      <c r="NW165" s="9" t="n">
        <v>3112</v>
      </c>
      <c r="OA165" s="10" t="n">
        <v>46161</v>
      </c>
      <c r="OC165" s="9" t="n">
        <v>0</v>
      </c>
      <c r="OE165" s="9" t="n">
        <v>0</v>
      </c>
      <c r="OF165" s="9" t="n">
        <v>1680.5</v>
      </c>
      <c r="OJ165" s="10" t="n">
        <v>46161</v>
      </c>
      <c r="OL165" s="9" t="n">
        <v>0</v>
      </c>
      <c r="ON165" s="9" t="n">
        <v>0</v>
      </c>
      <c r="OO165" s="9" t="n">
        <v>0</v>
      </c>
      <c r="OS165" s="10" t="n">
        <v>46161</v>
      </c>
      <c r="OU165" s="9" t="n">
        <v>0</v>
      </c>
      <c r="OW165" s="9" t="n">
        <v>0</v>
      </c>
      <c r="OX165" s="9" t="n">
        <v>1482</v>
      </c>
      <c r="PB165" s="10" t="n">
        <v>46161</v>
      </c>
      <c r="PD165" s="9" t="n">
        <v>0</v>
      </c>
      <c r="PF165" s="9" t="n">
        <v>0</v>
      </c>
      <c r="PG165" s="9" t="n">
        <v>0</v>
      </c>
      <c r="PK165" s="10" t="n">
        <v>46161</v>
      </c>
      <c r="PM165" s="9" t="n">
        <v>0</v>
      </c>
      <c r="PO165" s="9" t="n">
        <v>0</v>
      </c>
      <c r="PP165" s="9" t="n">
        <v>100</v>
      </c>
      <c r="PT165" s="10" t="n">
        <v>46161</v>
      </c>
      <c r="PV165" s="9" t="n">
        <v>0</v>
      </c>
      <c r="PX165" s="9" t="n">
        <v>0</v>
      </c>
      <c r="PY165" s="9" t="n">
        <v>13.96000000000004</v>
      </c>
      <c r="QC165" s="10" t="n">
        <v>46161</v>
      </c>
      <c r="QE165" s="9" t="n">
        <v>0</v>
      </c>
      <c r="QG165" s="9" t="n">
        <v>0</v>
      </c>
      <c r="QH165" s="9" t="n">
        <v>876</v>
      </c>
      <c r="QL165" s="10" t="n">
        <v>46161</v>
      </c>
      <c r="QN165" s="9" t="n">
        <v>0</v>
      </c>
      <c r="QP165" s="9" t="n">
        <v>0</v>
      </c>
      <c r="QQ165" s="9" t="n">
        <v>515</v>
      </c>
      <c r="QU165" s="10" t="n">
        <v>46161</v>
      </c>
      <c r="QW165" s="9" t="n">
        <v>0</v>
      </c>
      <c r="QY165" s="9" t="n">
        <v>0</v>
      </c>
      <c r="QZ165" s="9" t="n">
        <v>207.6</v>
      </c>
      <c r="RD165" s="10" t="n">
        <v>46161</v>
      </c>
      <c r="RF165" s="9" t="n">
        <v>0</v>
      </c>
      <c r="RH165" s="9" t="n">
        <v>0</v>
      </c>
      <c r="RI165" s="9" t="n">
        <v>147.04</v>
      </c>
      <c r="RM165" s="10" t="n">
        <v>46161</v>
      </c>
      <c r="RO165" s="9" t="n">
        <v>0</v>
      </c>
      <c r="RQ165" s="9" t="n">
        <v>0</v>
      </c>
      <c r="RR165" s="9" t="n">
        <v>46.8</v>
      </c>
      <c r="RV165" s="10" t="n">
        <v>46161</v>
      </c>
      <c r="RX165" s="9" t="n">
        <v>0</v>
      </c>
      <c r="RZ165" s="9" t="n">
        <v>0</v>
      </c>
      <c r="SA165" s="9" t="n">
        <v>0</v>
      </c>
      <c r="SE165" s="10" t="n">
        <v>46161</v>
      </c>
      <c r="SG165" s="9" t="n">
        <v>0</v>
      </c>
      <c r="SI165" s="9" t="n">
        <v>0</v>
      </c>
      <c r="SJ165" s="9" t="n">
        <v>24.2</v>
      </c>
      <c r="SN165" s="10" t="n">
        <v>46161</v>
      </c>
      <c r="SP165" s="9" t="n">
        <v>0</v>
      </c>
      <c r="SR165" s="9" t="n">
        <v>0</v>
      </c>
      <c r="SS165" s="9" t="n">
        <v>32</v>
      </c>
      <c r="SW165" s="10" t="n">
        <v>46161</v>
      </c>
      <c r="SY165" s="9" t="n">
        <v>0</v>
      </c>
      <c r="TA165" s="9" t="n">
        <v>0</v>
      </c>
      <c r="TB165" s="9" t="n">
        <v>0</v>
      </c>
      <c r="TF165" s="10" t="n">
        <v>46161</v>
      </c>
      <c r="TH165" s="9" t="n">
        <v>0</v>
      </c>
      <c r="TJ165" s="9" t="n">
        <v>0</v>
      </c>
      <c r="TK165" s="9" t="n">
        <v>0</v>
      </c>
      <c r="TO165" s="10" t="n">
        <v>46161</v>
      </c>
      <c r="TQ165" s="9" t="n">
        <v>0</v>
      </c>
      <c r="TS165" s="9" t="n">
        <v>0</v>
      </c>
      <c r="TT165" s="9" t="n">
        <v>0</v>
      </c>
      <c r="TX165" s="10" t="n">
        <v>46161</v>
      </c>
      <c r="TZ165" s="9" t="n">
        <v>0</v>
      </c>
      <c r="UB165" s="9" t="n">
        <v>0</v>
      </c>
      <c r="UC165" s="9" t="n">
        <v>0</v>
      </c>
      <c r="UG165" s="10" t="n">
        <v>46161</v>
      </c>
      <c r="UI165" s="9" t="n">
        <v>0</v>
      </c>
      <c r="UK165" s="9" t="n">
        <v>0</v>
      </c>
      <c r="UL165" s="9" t="n">
        <v>0</v>
      </c>
      <c r="UP165" s="10" t="n">
        <v>46161</v>
      </c>
      <c r="UR165" s="9" t="n">
        <v>0</v>
      </c>
      <c r="UT165" s="9" t="n">
        <v>0</v>
      </c>
      <c r="UU165" s="9" t="n">
        <v>0</v>
      </c>
      <c r="UY165" s="10" t="n">
        <v>46161</v>
      </c>
      <c r="VA165" s="9" t="n">
        <v>0</v>
      </c>
      <c r="VC165" s="9" t="n">
        <v>0</v>
      </c>
      <c r="VD165" s="9" t="n">
        <v>41.60000000000002</v>
      </c>
      <c r="VH165" s="10" t="n">
        <v>46161</v>
      </c>
      <c r="VJ165" s="9" t="n">
        <v>0</v>
      </c>
      <c r="VL165" s="9" t="n">
        <v>0</v>
      </c>
      <c r="VM165" s="9" t="n">
        <v>0</v>
      </c>
      <c r="VQ165" s="10" t="n">
        <v>46161</v>
      </c>
      <c r="VS165" s="9" t="n">
        <v>0</v>
      </c>
      <c r="VU165" s="9" t="n">
        <v>0</v>
      </c>
      <c r="VV165" s="9" t="n">
        <v>0</v>
      </c>
      <c r="VZ165" s="10" t="n">
        <v>46161</v>
      </c>
      <c r="WB165" s="9" t="n">
        <v>0</v>
      </c>
      <c r="WD165" s="9" t="n">
        <v>0</v>
      </c>
      <c r="WE165" s="9" t="n">
        <v>0</v>
      </c>
      <c r="WI165" s="10" t="n">
        <v>46161</v>
      </c>
      <c r="WK165" s="9" t="n">
        <v>0</v>
      </c>
      <c r="WM165" s="9" t="n">
        <v>0</v>
      </c>
      <c r="WN165" s="9" t="n">
        <v>2317</v>
      </c>
      <c r="WR165" s="10" t="n">
        <v>46161</v>
      </c>
      <c r="WT165" s="9" t="n">
        <v>0</v>
      </c>
      <c r="WV165" s="9" t="n">
        <v>0</v>
      </c>
      <c r="WW165" s="9" t="n">
        <v>0</v>
      </c>
      <c r="XA165" s="10" t="n">
        <v>46161</v>
      </c>
      <c r="XC165" s="9" t="n">
        <v>0</v>
      </c>
      <c r="XD165" s="9" t="n">
        <v>1910</v>
      </c>
      <c r="XE165" s="9" t="n">
        <v>-1910</v>
      </c>
      <c r="XF165" s="9" t="n">
        <v>8023</v>
      </c>
      <c r="XJ165" s="10" t="n">
        <v>46161</v>
      </c>
      <c r="XL165" s="9" t="n">
        <v>0</v>
      </c>
      <c r="XN165" s="9" t="n">
        <v>0</v>
      </c>
      <c r="XO165" s="9" t="n">
        <v>-38</v>
      </c>
      <c r="XS165" s="10" t="n">
        <v>46161</v>
      </c>
      <c r="XU165" s="9" t="n">
        <v>0</v>
      </c>
      <c r="XW165" s="9" t="n">
        <v>0</v>
      </c>
      <c r="XX165" s="9" t="n">
        <v>1901</v>
      </c>
      <c r="YB165" s="10" t="n">
        <v>46161</v>
      </c>
      <c r="YD165" s="9" t="n">
        <v>0</v>
      </c>
      <c r="YF165" s="9" t="n">
        <v>0</v>
      </c>
      <c r="YG165" s="9" t="n">
        <v>6459</v>
      </c>
      <c r="YK165" s="10" t="n">
        <v>46161</v>
      </c>
      <c r="YM165" s="9" t="n">
        <v>0</v>
      </c>
      <c r="YO165" s="9" t="n">
        <v>0</v>
      </c>
      <c r="YP165" s="9" t="n">
        <v>0</v>
      </c>
      <c r="YT165" s="10" t="n">
        <v>46161</v>
      </c>
      <c r="YV165" s="9" t="n">
        <v>0</v>
      </c>
      <c r="YX165" s="9" t="n">
        <v>0</v>
      </c>
      <c r="YY165" s="9" t="n">
        <v>0</v>
      </c>
      <c r="ZC165" s="10" t="n">
        <v>46161</v>
      </c>
      <c r="ZE165" s="9" t="n">
        <v>0</v>
      </c>
      <c r="ZG165" s="9" t="n">
        <v>0</v>
      </c>
      <c r="ZH165" s="9" t="n">
        <v>0</v>
      </c>
      <c r="ZL165" s="10" t="n">
        <v>46161</v>
      </c>
      <c r="ZN165" s="9" t="n">
        <v>0</v>
      </c>
      <c r="ZP165" s="9" t="n">
        <v>0</v>
      </c>
      <c r="ZQ165" s="9" t="n">
        <v>0</v>
      </c>
      <c r="ZU165" s="10" t="n">
        <v>46161</v>
      </c>
      <c r="ZW165" s="9" t="n">
        <v>0</v>
      </c>
      <c r="ZY165" s="9" t="n">
        <v>0</v>
      </c>
      <c r="ZZ165" s="9" t="n">
        <v>0</v>
      </c>
      <c r="AAD165" s="10" t="n">
        <v>46161</v>
      </c>
      <c r="AAF165" s="9" t="n">
        <v>0</v>
      </c>
      <c r="AAH165" s="9" t="n">
        <v>0</v>
      </c>
      <c r="AAI165" s="9" t="n">
        <v>0</v>
      </c>
      <c r="AAM165" s="10" t="n">
        <v>46161</v>
      </c>
      <c r="AAO165" s="9" t="n">
        <v>0</v>
      </c>
      <c r="AAQ165" s="9" t="n">
        <v>0</v>
      </c>
      <c r="AAR165" s="9" t="n">
        <v>0</v>
      </c>
      <c r="AAV165" s="10" t="n">
        <v>46161</v>
      </c>
      <c r="AAX165" s="9" t="n">
        <v>0</v>
      </c>
      <c r="AAZ165" s="9" t="n">
        <v>0</v>
      </c>
      <c r="ABA165" s="9" t="n">
        <v>0</v>
      </c>
      <c r="ABE165" s="10" t="n">
        <v>46161</v>
      </c>
      <c r="ABG165" s="9" t="n">
        <v>0</v>
      </c>
      <c r="ABI165" s="9" t="n">
        <v>0</v>
      </c>
      <c r="ABJ165" s="9" t="n">
        <v>0</v>
      </c>
    </row>
    <row r="166">
      <c r="B166" s="9" t="n">
        <v>10</v>
      </c>
      <c r="C166" s="10" t="n">
        <v>46162</v>
      </c>
      <c r="D166" s="9" t="n">
        <v>33450</v>
      </c>
      <c r="E166" s="9" t="n">
        <v>5383.200000000002</v>
      </c>
      <c r="F166" s="9" t="n">
        <v>5383.2</v>
      </c>
      <c r="G166" s="9" t="n">
        <v>0</v>
      </c>
      <c r="H166" s="9" t="n">
        <v>122505.8</v>
      </c>
      <c r="I166" s="9" t="inlineStr">
        <is>
          <t>8100 10mt</t>
        </is>
      </c>
      <c r="L166" s="10" t="n">
        <v>46162</v>
      </c>
      <c r="N166" s="9" t="n">
        <v>2856</v>
      </c>
      <c r="O166" s="9" t="n">
        <v>2856.8</v>
      </c>
      <c r="P166" s="9" t="n">
        <v>-0.8000000000001819</v>
      </c>
      <c r="Q166" s="9" t="n">
        <v>45893.60000000009</v>
      </c>
      <c r="U166" s="10" t="n">
        <v>46162</v>
      </c>
      <c r="W166" s="9" t="n">
        <v>500</v>
      </c>
      <c r="X166" s="9" t="n">
        <v>500.6</v>
      </c>
      <c r="Y166" s="9" t="n">
        <v>-0.6000000000000227</v>
      </c>
      <c r="Z166" s="9" t="n">
        <v>37148.49999999996</v>
      </c>
      <c r="AD166" s="10" t="n">
        <v>46162</v>
      </c>
      <c r="AF166" s="9" t="n">
        <v>0</v>
      </c>
      <c r="AH166" s="9" t="n">
        <v>0</v>
      </c>
      <c r="AI166" s="9" t="n">
        <v>13943.50000000002</v>
      </c>
      <c r="AM166" s="10" t="n">
        <v>46162</v>
      </c>
      <c r="AO166" s="9" t="n">
        <v>0</v>
      </c>
      <c r="AQ166" s="9" t="n">
        <v>0</v>
      </c>
      <c r="AR166" s="9" t="n">
        <v>0</v>
      </c>
      <c r="AV166" s="10" t="n">
        <v>46162</v>
      </c>
      <c r="AX166" s="9" t="n">
        <v>200</v>
      </c>
      <c r="AY166" s="9" t="n">
        <v>200.9</v>
      </c>
      <c r="AZ166" s="9" t="n">
        <v>-0.9000000000000057</v>
      </c>
      <c r="BA166" s="9" t="n">
        <v>10526.2</v>
      </c>
      <c r="BE166" s="10" t="n">
        <v>46162</v>
      </c>
      <c r="BG166" s="9" t="n">
        <v>150</v>
      </c>
      <c r="BH166" s="9" t="n">
        <v>149.9</v>
      </c>
      <c r="BI166" s="9" t="n">
        <v>0.09999999999999432</v>
      </c>
      <c r="BJ166" s="9" t="n">
        <v>36824.59999999999</v>
      </c>
      <c r="BN166" s="10" t="n">
        <v>46162</v>
      </c>
      <c r="BO166" s="9" t="n">
        <v>100</v>
      </c>
      <c r="BP166" s="9" t="n">
        <v>100</v>
      </c>
      <c r="BQ166" s="9" t="n">
        <v>100</v>
      </c>
      <c r="BR166" s="9" t="n">
        <v>0</v>
      </c>
      <c r="BS166" s="9" t="n">
        <v>0</v>
      </c>
      <c r="BW166" s="10" t="n">
        <v>46162</v>
      </c>
      <c r="BY166" s="9" t="n">
        <v>15</v>
      </c>
      <c r="CA166" s="9" t="n">
        <v>15</v>
      </c>
      <c r="CB166" s="9" t="n">
        <v>5736.799999999999</v>
      </c>
      <c r="CF166" s="10" t="n">
        <v>46162</v>
      </c>
      <c r="CH166" s="9" t="n">
        <v>60.79999999999999</v>
      </c>
      <c r="CJ166" s="9" t="n">
        <v>60.79999999999999</v>
      </c>
      <c r="CK166" s="9" t="n">
        <v>0</v>
      </c>
      <c r="CO166" s="10" t="n">
        <v>46162</v>
      </c>
      <c r="CQ166" s="9" t="n">
        <v>0</v>
      </c>
      <c r="CS166" s="9" t="n">
        <v>0</v>
      </c>
      <c r="CT166" s="9" t="n">
        <v>0</v>
      </c>
      <c r="CX166" s="10" t="n">
        <v>46162</v>
      </c>
      <c r="CZ166" s="9" t="n">
        <v>0</v>
      </c>
      <c r="DB166" s="9" t="n">
        <v>0</v>
      </c>
      <c r="DC166" s="9" t="n">
        <v>21657</v>
      </c>
      <c r="DG166" s="10" t="n">
        <v>46162</v>
      </c>
      <c r="DI166" s="9" t="n">
        <v>500</v>
      </c>
      <c r="DJ166" s="9" t="n">
        <v>499.8</v>
      </c>
      <c r="DK166" s="9" t="n">
        <v>0.1999999999999886</v>
      </c>
      <c r="DL166" s="9" t="n">
        <v>37737.29999999998</v>
      </c>
      <c r="DP166" s="10" t="n">
        <v>46162</v>
      </c>
      <c r="DR166" s="9" t="n">
        <v>0</v>
      </c>
      <c r="DT166" s="9" t="n">
        <v>0</v>
      </c>
      <c r="DU166" s="9" t="n">
        <v>5800</v>
      </c>
      <c r="DY166" s="10" t="n">
        <v>46162</v>
      </c>
      <c r="EA166" s="9" t="n">
        <v>0</v>
      </c>
      <c r="EC166" s="9" t="n">
        <v>0</v>
      </c>
      <c r="ED166" s="9" t="n">
        <v>0</v>
      </c>
      <c r="EH166" s="10" t="n">
        <v>46162</v>
      </c>
      <c r="EJ166" s="9" t="n">
        <v>0</v>
      </c>
      <c r="EL166" s="9" t="n">
        <v>0</v>
      </c>
      <c r="EM166" s="9" t="n">
        <v>0</v>
      </c>
      <c r="EQ166" s="10" t="n">
        <v>46162</v>
      </c>
      <c r="ES166" s="9" t="n">
        <v>0</v>
      </c>
      <c r="EU166" s="9" t="n">
        <v>0</v>
      </c>
      <c r="EV166" s="9" t="n">
        <v>0</v>
      </c>
      <c r="EZ166" s="10" t="n">
        <v>46162</v>
      </c>
      <c r="FB166" s="9" t="n">
        <v>0</v>
      </c>
      <c r="FD166" s="9" t="n">
        <v>0</v>
      </c>
      <c r="FE166" s="9" t="n">
        <v>0</v>
      </c>
      <c r="FI166" s="10" t="n">
        <v>46162</v>
      </c>
      <c r="FK166" s="9" t="n">
        <v>0</v>
      </c>
      <c r="FM166" s="9" t="n">
        <v>0</v>
      </c>
      <c r="FN166" s="9" t="n">
        <v>0</v>
      </c>
      <c r="FR166" s="10" t="n">
        <v>46162</v>
      </c>
      <c r="FT166" s="9" t="n">
        <v>0</v>
      </c>
      <c r="FV166" s="9" t="n">
        <v>0</v>
      </c>
      <c r="FW166" s="9" t="n">
        <v>4140</v>
      </c>
      <c r="GA166" s="10" t="n">
        <v>46162</v>
      </c>
      <c r="GC166" s="9" t="n">
        <v>0</v>
      </c>
      <c r="GE166" s="9" t="n">
        <v>0</v>
      </c>
      <c r="GF166" s="9" t="n">
        <v>5040</v>
      </c>
      <c r="GJ166" s="10" t="n">
        <v>46162</v>
      </c>
      <c r="GL166" s="9" t="n">
        <v>0</v>
      </c>
      <c r="GN166" s="9" t="n">
        <v>0</v>
      </c>
      <c r="GO166" s="9" t="n">
        <v>3760</v>
      </c>
      <c r="GS166" s="10" t="n">
        <v>46162</v>
      </c>
      <c r="GU166" s="9" t="n">
        <v>0</v>
      </c>
      <c r="GW166" s="9" t="n">
        <v>0</v>
      </c>
      <c r="GX166" s="9" t="n">
        <v>1320</v>
      </c>
      <c r="HB166" s="10" t="n">
        <v>46162</v>
      </c>
      <c r="HD166" s="9" t="n">
        <v>0</v>
      </c>
      <c r="HF166" s="9" t="n">
        <v>0</v>
      </c>
      <c r="HG166" s="9" t="n">
        <v>3600</v>
      </c>
      <c r="HK166" s="10" t="n">
        <v>46162</v>
      </c>
      <c r="HM166" s="9" t="n">
        <v>0</v>
      </c>
      <c r="HO166" s="9" t="n">
        <v>0</v>
      </c>
      <c r="HP166" s="9" t="n">
        <v>0</v>
      </c>
      <c r="HU166" s="10" t="n">
        <v>46162</v>
      </c>
      <c r="HW166" s="9" t="n">
        <v>200</v>
      </c>
      <c r="HY166" s="9" t="n">
        <v>200</v>
      </c>
      <c r="HZ166" s="9" t="n">
        <v>7080</v>
      </c>
      <c r="ID166" s="10" t="n">
        <v>46162</v>
      </c>
      <c r="IF166" s="9" t="n">
        <v>0</v>
      </c>
      <c r="IH166" s="9" t="n">
        <v>0</v>
      </c>
      <c r="II166" s="9" t="n">
        <v>720</v>
      </c>
      <c r="IM166" s="10" t="n">
        <v>46162</v>
      </c>
      <c r="IO166" s="9" t="n">
        <v>0</v>
      </c>
      <c r="IQ166" s="9" t="n">
        <v>0</v>
      </c>
      <c r="IR166" s="9" t="n">
        <v>11540</v>
      </c>
      <c r="IV166" s="10" t="n">
        <v>46162</v>
      </c>
      <c r="IX166" s="9" t="n">
        <v>0</v>
      </c>
      <c r="IZ166" s="9" t="n">
        <v>0</v>
      </c>
      <c r="JA166" s="9" t="n">
        <v>12860</v>
      </c>
      <c r="JE166" s="10" t="n">
        <v>46162</v>
      </c>
      <c r="JG166" s="9" t="n">
        <v>0</v>
      </c>
      <c r="JI166" s="9" t="n">
        <v>0</v>
      </c>
      <c r="JJ166" s="9" t="n">
        <v>0</v>
      </c>
      <c r="JN166" s="10" t="n">
        <v>46162</v>
      </c>
      <c r="JP166" s="9" t="n">
        <v>0</v>
      </c>
      <c r="JR166" s="9" t="n">
        <v>0</v>
      </c>
      <c r="JS166" s="9" t="n">
        <v>5500</v>
      </c>
      <c r="JW166" s="10" t="n">
        <v>46162</v>
      </c>
      <c r="JY166" s="9" t="n">
        <v>0</v>
      </c>
      <c r="KA166" s="9" t="n">
        <v>0</v>
      </c>
      <c r="KB166" s="9" t="n">
        <v>2540</v>
      </c>
      <c r="KF166" s="10" t="n">
        <v>46162</v>
      </c>
      <c r="KH166" s="9" t="n">
        <v>0</v>
      </c>
      <c r="KJ166" s="9" t="n">
        <v>0</v>
      </c>
      <c r="KK166" s="9" t="n">
        <v>2359.5</v>
      </c>
      <c r="KO166" s="10" t="n">
        <v>46162</v>
      </c>
      <c r="KQ166" s="9" t="n">
        <v>0</v>
      </c>
      <c r="KS166" s="9" t="n">
        <v>0</v>
      </c>
      <c r="KT166" s="9" t="n">
        <v>1890</v>
      </c>
      <c r="KX166" s="10" t="n">
        <v>46162</v>
      </c>
      <c r="KZ166" s="9" t="n">
        <v>0</v>
      </c>
      <c r="LB166" s="9" t="n">
        <v>0</v>
      </c>
      <c r="LC166" s="9" t="n">
        <v>3690</v>
      </c>
      <c r="LG166" s="10" t="n">
        <v>46162</v>
      </c>
      <c r="LI166" s="9" t="n">
        <v>0</v>
      </c>
      <c r="LK166" s="9" t="n">
        <v>0</v>
      </c>
      <c r="LL166" s="9" t="n">
        <v>4000</v>
      </c>
      <c r="LP166" s="10" t="n">
        <v>46162</v>
      </c>
      <c r="LR166" s="9" t="n">
        <v>0</v>
      </c>
      <c r="LT166" s="9" t="n">
        <v>0</v>
      </c>
      <c r="LU166" s="9" t="n">
        <v>0</v>
      </c>
      <c r="LY166" s="10" t="n">
        <v>46162</v>
      </c>
      <c r="MA166" s="9" t="n">
        <v>0</v>
      </c>
      <c r="MC166" s="9" t="n">
        <v>0</v>
      </c>
      <c r="MD166" s="9" t="n">
        <v>0</v>
      </c>
      <c r="MH166" s="10" t="n">
        <v>46162</v>
      </c>
      <c r="MJ166" s="9" t="n">
        <v>0</v>
      </c>
      <c r="ML166" s="9" t="n">
        <v>0</v>
      </c>
      <c r="MM166" s="9" t="n">
        <v>0</v>
      </c>
      <c r="MQ166" s="10" t="n">
        <v>46162</v>
      </c>
      <c r="MS166" s="9" t="n">
        <v>5</v>
      </c>
      <c r="MU166" s="9" t="n">
        <v>5</v>
      </c>
      <c r="MV166" s="9" t="n">
        <v>3761</v>
      </c>
      <c r="MZ166" s="10" t="n">
        <v>46162</v>
      </c>
      <c r="NB166" s="9" t="n">
        <v>30</v>
      </c>
      <c r="ND166" s="9" t="n">
        <v>30</v>
      </c>
      <c r="NE166" s="9" t="n">
        <v>0</v>
      </c>
      <c r="NI166" s="10" t="n">
        <v>46162</v>
      </c>
      <c r="NK166" s="9" t="n">
        <v>0</v>
      </c>
      <c r="NM166" s="9" t="n">
        <v>0</v>
      </c>
      <c r="NN166" s="9" t="n">
        <v>1127</v>
      </c>
      <c r="NR166" s="10" t="n">
        <v>46162</v>
      </c>
      <c r="NT166" s="9" t="n">
        <v>0</v>
      </c>
      <c r="NV166" s="9" t="n">
        <v>0</v>
      </c>
      <c r="NW166" s="9" t="n">
        <v>3112</v>
      </c>
      <c r="OA166" s="10" t="n">
        <v>46162</v>
      </c>
      <c r="OC166" s="9" t="n">
        <v>0</v>
      </c>
      <c r="OE166" s="9" t="n">
        <v>0</v>
      </c>
      <c r="OF166" s="9" t="n">
        <v>1680.5</v>
      </c>
      <c r="OJ166" s="10" t="n">
        <v>46162</v>
      </c>
      <c r="OL166" s="9" t="n">
        <v>0</v>
      </c>
      <c r="ON166" s="9" t="n">
        <v>0</v>
      </c>
      <c r="OO166" s="9" t="n">
        <v>0</v>
      </c>
      <c r="OS166" s="10" t="n">
        <v>46162</v>
      </c>
      <c r="OU166" s="9" t="n">
        <v>0</v>
      </c>
      <c r="OW166" s="9" t="n">
        <v>0</v>
      </c>
      <c r="OX166" s="9" t="n">
        <v>1482</v>
      </c>
      <c r="PB166" s="10" t="n">
        <v>46162</v>
      </c>
      <c r="PD166" s="9" t="n">
        <v>0</v>
      </c>
      <c r="PF166" s="9" t="n">
        <v>0</v>
      </c>
      <c r="PG166" s="9" t="n">
        <v>0</v>
      </c>
      <c r="PK166" s="10" t="n">
        <v>46162</v>
      </c>
      <c r="PM166" s="9" t="n">
        <v>0</v>
      </c>
      <c r="PO166" s="9" t="n">
        <v>0</v>
      </c>
      <c r="PP166" s="9" t="n">
        <v>100</v>
      </c>
      <c r="PT166" s="10" t="n">
        <v>46162</v>
      </c>
      <c r="PV166" s="9" t="n">
        <v>0</v>
      </c>
      <c r="PX166" s="9" t="n">
        <v>0</v>
      </c>
      <c r="PY166" s="9" t="n">
        <v>13.96000000000004</v>
      </c>
      <c r="QC166" s="10" t="n">
        <v>46162</v>
      </c>
      <c r="QE166" s="9" t="n">
        <v>0</v>
      </c>
      <c r="QG166" s="9" t="n">
        <v>0</v>
      </c>
      <c r="QH166" s="9" t="n">
        <v>876</v>
      </c>
      <c r="QL166" s="10" t="n">
        <v>46162</v>
      </c>
      <c r="QN166" s="9" t="n">
        <v>0</v>
      </c>
      <c r="QP166" s="9" t="n">
        <v>0</v>
      </c>
      <c r="QQ166" s="9" t="n">
        <v>515</v>
      </c>
      <c r="QU166" s="10" t="n">
        <v>46162</v>
      </c>
      <c r="QW166" s="9" t="n">
        <v>0</v>
      </c>
      <c r="QY166" s="9" t="n">
        <v>0</v>
      </c>
      <c r="QZ166" s="9" t="n">
        <v>207.6</v>
      </c>
      <c r="RD166" s="10" t="n">
        <v>46162</v>
      </c>
      <c r="RF166" s="9" t="n">
        <v>0</v>
      </c>
      <c r="RH166" s="9" t="n">
        <v>0</v>
      </c>
      <c r="RI166" s="9" t="n">
        <v>147.04</v>
      </c>
      <c r="RM166" s="10" t="n">
        <v>46162</v>
      </c>
      <c r="RO166" s="9" t="n">
        <v>0</v>
      </c>
      <c r="RQ166" s="9" t="n">
        <v>0</v>
      </c>
      <c r="RR166" s="9" t="n">
        <v>46.8</v>
      </c>
      <c r="RV166" s="10" t="n">
        <v>46162</v>
      </c>
      <c r="RX166" s="9" t="n">
        <v>0</v>
      </c>
      <c r="RZ166" s="9" t="n">
        <v>0</v>
      </c>
      <c r="SA166" s="9" t="n">
        <v>0</v>
      </c>
      <c r="SE166" s="10" t="n">
        <v>46162</v>
      </c>
      <c r="SG166" s="9" t="n">
        <v>0</v>
      </c>
      <c r="SI166" s="9" t="n">
        <v>0</v>
      </c>
      <c r="SJ166" s="9" t="n">
        <v>24.2</v>
      </c>
      <c r="SN166" s="10" t="n">
        <v>46162</v>
      </c>
      <c r="SP166" s="9" t="n">
        <v>0</v>
      </c>
      <c r="SR166" s="9" t="n">
        <v>0</v>
      </c>
      <c r="SS166" s="9" t="n">
        <v>32</v>
      </c>
      <c r="SW166" s="10" t="n">
        <v>46162</v>
      </c>
      <c r="SY166" s="9" t="n">
        <v>0</v>
      </c>
      <c r="TA166" s="9" t="n">
        <v>0</v>
      </c>
      <c r="TB166" s="9" t="n">
        <v>0</v>
      </c>
      <c r="TF166" s="10" t="n">
        <v>46162</v>
      </c>
      <c r="TH166" s="9" t="n">
        <v>0</v>
      </c>
      <c r="TJ166" s="9" t="n">
        <v>0</v>
      </c>
      <c r="TK166" s="9" t="n">
        <v>0</v>
      </c>
      <c r="TO166" s="10" t="n">
        <v>46162</v>
      </c>
      <c r="TQ166" s="9" t="n">
        <v>0</v>
      </c>
      <c r="TS166" s="9" t="n">
        <v>0</v>
      </c>
      <c r="TT166" s="9" t="n">
        <v>0</v>
      </c>
      <c r="TX166" s="10" t="n">
        <v>46162</v>
      </c>
      <c r="TZ166" s="9" t="n">
        <v>0</v>
      </c>
      <c r="UB166" s="9" t="n">
        <v>0</v>
      </c>
      <c r="UC166" s="9" t="n">
        <v>0</v>
      </c>
      <c r="UG166" s="10" t="n">
        <v>46162</v>
      </c>
      <c r="UI166" s="9" t="n">
        <v>0</v>
      </c>
      <c r="UK166" s="9" t="n">
        <v>0</v>
      </c>
      <c r="UL166" s="9" t="n">
        <v>0</v>
      </c>
      <c r="UP166" s="10" t="n">
        <v>46162</v>
      </c>
      <c r="UR166" s="9" t="n">
        <v>0</v>
      </c>
      <c r="UT166" s="9" t="n">
        <v>0</v>
      </c>
      <c r="UU166" s="9" t="n">
        <v>0</v>
      </c>
      <c r="UY166" s="10" t="n">
        <v>46162</v>
      </c>
      <c r="VA166" s="9" t="n">
        <v>0</v>
      </c>
      <c r="VC166" s="9" t="n">
        <v>0</v>
      </c>
      <c r="VD166" s="9" t="n">
        <v>41.60000000000002</v>
      </c>
      <c r="VH166" s="10" t="n">
        <v>46162</v>
      </c>
      <c r="VJ166" s="9" t="n">
        <v>0</v>
      </c>
      <c r="VL166" s="9" t="n">
        <v>0</v>
      </c>
      <c r="VM166" s="9" t="n">
        <v>0</v>
      </c>
      <c r="VQ166" s="10" t="n">
        <v>46162</v>
      </c>
      <c r="VS166" s="9" t="n">
        <v>0</v>
      </c>
      <c r="VU166" s="9" t="n">
        <v>0</v>
      </c>
      <c r="VV166" s="9" t="n">
        <v>0</v>
      </c>
      <c r="VZ166" s="10" t="n">
        <v>46162</v>
      </c>
      <c r="WB166" s="9" t="n">
        <v>0</v>
      </c>
      <c r="WD166" s="9" t="n">
        <v>0</v>
      </c>
      <c r="WE166" s="9" t="n">
        <v>0</v>
      </c>
      <c r="WI166" s="10" t="n">
        <v>46162</v>
      </c>
      <c r="WK166" s="9" t="n">
        <v>0</v>
      </c>
      <c r="WM166" s="9" t="n">
        <v>0</v>
      </c>
      <c r="WN166" s="9" t="n">
        <v>2317</v>
      </c>
      <c r="WR166" s="10" t="n">
        <v>46162</v>
      </c>
      <c r="WT166" s="9" t="n">
        <v>0</v>
      </c>
      <c r="WV166" s="9" t="n">
        <v>0</v>
      </c>
      <c r="WW166" s="9" t="n">
        <v>0</v>
      </c>
      <c r="XA166" s="10" t="n">
        <v>46162</v>
      </c>
      <c r="XC166" s="9" t="n">
        <v>0</v>
      </c>
      <c r="XE166" s="9" t="n">
        <v>0</v>
      </c>
      <c r="XF166" s="9" t="n">
        <v>8023</v>
      </c>
      <c r="XJ166" s="10" t="n">
        <v>46162</v>
      </c>
      <c r="XL166" s="9" t="n">
        <v>0</v>
      </c>
      <c r="XN166" s="9" t="n">
        <v>0</v>
      </c>
      <c r="XO166" s="9" t="n">
        <v>-38</v>
      </c>
      <c r="XS166" s="10" t="n">
        <v>46162</v>
      </c>
      <c r="XU166" s="9" t="n">
        <v>0</v>
      </c>
      <c r="XW166" s="9" t="n">
        <v>0</v>
      </c>
      <c r="XX166" s="9" t="n">
        <v>1901</v>
      </c>
      <c r="YB166" s="10" t="n">
        <v>46162</v>
      </c>
      <c r="YD166" s="9" t="n">
        <v>0</v>
      </c>
      <c r="YF166" s="9" t="n">
        <v>0</v>
      </c>
      <c r="YG166" s="9" t="n">
        <v>6459</v>
      </c>
      <c r="YK166" s="10" t="n">
        <v>46162</v>
      </c>
      <c r="YM166" s="9" t="n">
        <v>0</v>
      </c>
      <c r="YO166" s="9" t="n">
        <v>0</v>
      </c>
      <c r="YP166" s="9" t="n">
        <v>0</v>
      </c>
      <c r="YT166" s="10" t="n">
        <v>46162</v>
      </c>
      <c r="YV166" s="9" t="n">
        <v>0</v>
      </c>
      <c r="YX166" s="9" t="n">
        <v>0</v>
      </c>
      <c r="YY166" s="9" t="n">
        <v>0</v>
      </c>
      <c r="ZC166" s="10" t="n">
        <v>46162</v>
      </c>
      <c r="ZE166" s="9" t="n">
        <v>0</v>
      </c>
      <c r="ZG166" s="9" t="n">
        <v>0</v>
      </c>
      <c r="ZH166" s="9" t="n">
        <v>0</v>
      </c>
      <c r="ZL166" s="10" t="n">
        <v>46162</v>
      </c>
      <c r="ZN166" s="9" t="n">
        <v>0</v>
      </c>
      <c r="ZP166" s="9" t="n">
        <v>0</v>
      </c>
      <c r="ZQ166" s="9" t="n">
        <v>0</v>
      </c>
      <c r="ZU166" s="10" t="n">
        <v>46162</v>
      </c>
      <c r="ZW166" s="9" t="n">
        <v>0</v>
      </c>
      <c r="ZY166" s="9" t="n">
        <v>0</v>
      </c>
      <c r="ZZ166" s="9" t="n">
        <v>0</v>
      </c>
      <c r="AAD166" s="10" t="n">
        <v>46162</v>
      </c>
      <c r="AAF166" s="9" t="n">
        <v>0</v>
      </c>
      <c r="AAH166" s="9" t="n">
        <v>0</v>
      </c>
      <c r="AAI166" s="9" t="n">
        <v>0</v>
      </c>
      <c r="AAM166" s="10" t="n">
        <v>46162</v>
      </c>
      <c r="AAO166" s="9" t="n">
        <v>0</v>
      </c>
      <c r="AAQ166" s="9" t="n">
        <v>0</v>
      </c>
      <c r="AAR166" s="9" t="n">
        <v>0</v>
      </c>
      <c r="AAV166" s="10" t="n">
        <v>46162</v>
      </c>
      <c r="AAX166" s="9" t="n">
        <v>0</v>
      </c>
      <c r="AAZ166" s="9" t="n">
        <v>0</v>
      </c>
      <c r="ABA166" s="9" t="n">
        <v>0</v>
      </c>
      <c r="ABE166" s="10" t="n">
        <v>46162</v>
      </c>
      <c r="ABG166" s="9" t="n">
        <v>0</v>
      </c>
      <c r="ABI166" s="9" t="n">
        <v>0</v>
      </c>
      <c r="ABJ166" s="9" t="n">
        <v>0</v>
      </c>
    </row>
    <row r="167">
      <c r="B167" s="9" t="n">
        <v>10</v>
      </c>
      <c r="C167" s="10" t="n">
        <v>46163</v>
      </c>
      <c r="D167" s="9" t="n">
        <v>33170</v>
      </c>
      <c r="E167" s="9" t="n">
        <v>5248.5</v>
      </c>
      <c r="F167" s="9" t="n">
        <v>5245.4</v>
      </c>
      <c r="G167" s="9" t="n">
        <v>3.100000000000364</v>
      </c>
      <c r="H167" s="9" t="n">
        <v>150430.4000000001</v>
      </c>
      <c r="I167" s="9" t="inlineStr">
        <is>
          <t>5201 10mt</t>
        </is>
      </c>
      <c r="L167" s="10" t="n">
        <v>46163</v>
      </c>
      <c r="N167" s="9" t="n">
        <v>3360.7</v>
      </c>
      <c r="O167" s="9" t="n">
        <v>3363.4</v>
      </c>
      <c r="P167" s="9" t="n">
        <v>-2.700000000000273</v>
      </c>
      <c r="Q167" s="9" t="n">
        <v>42530.20000000008</v>
      </c>
      <c r="U167" s="10" t="n">
        <v>46163</v>
      </c>
      <c r="W167" s="9" t="n">
        <v>500</v>
      </c>
      <c r="X167" s="9" t="n">
        <v>500.2</v>
      </c>
      <c r="Y167" s="9" t="n">
        <v>-0.1999999999999886</v>
      </c>
      <c r="Z167" s="9" t="n">
        <v>36648.29999999997</v>
      </c>
      <c r="AD167" s="10" t="n">
        <v>46163</v>
      </c>
      <c r="AF167" s="9" t="n">
        <v>0</v>
      </c>
      <c r="AH167" s="9" t="n">
        <v>0</v>
      </c>
      <c r="AI167" s="9" t="n">
        <v>13943.50000000002</v>
      </c>
      <c r="AM167" s="10" t="n">
        <v>46163</v>
      </c>
      <c r="AO167" s="9" t="n">
        <v>0</v>
      </c>
      <c r="AQ167" s="9" t="n">
        <v>0</v>
      </c>
      <c r="AR167" s="9" t="n">
        <v>0</v>
      </c>
      <c r="AV167" s="10" t="n">
        <v>46163</v>
      </c>
      <c r="AX167" s="9" t="n">
        <v>0</v>
      </c>
      <c r="AZ167" s="9" t="n">
        <v>0</v>
      </c>
      <c r="BA167" s="9" t="n">
        <v>10526.2</v>
      </c>
      <c r="BE167" s="10" t="n">
        <v>46163</v>
      </c>
      <c r="BG167" s="9" t="n">
        <v>0</v>
      </c>
      <c r="BI167" s="9" t="n">
        <v>0</v>
      </c>
      <c r="BJ167" s="9" t="n">
        <v>36824.59999999999</v>
      </c>
      <c r="BN167" s="10" t="n">
        <v>46163</v>
      </c>
      <c r="BP167" s="9" t="n">
        <v>0</v>
      </c>
      <c r="BR167" s="9" t="n">
        <v>0</v>
      </c>
      <c r="BS167" s="9" t="n">
        <v>0</v>
      </c>
      <c r="BW167" s="10" t="n">
        <v>46163</v>
      </c>
      <c r="BY167" s="9" t="n">
        <v>117.75</v>
      </c>
      <c r="CA167" s="9" t="n">
        <v>117.75</v>
      </c>
      <c r="CB167" s="9" t="n">
        <v>5736.799999999999</v>
      </c>
      <c r="CF167" s="10" t="n">
        <v>46163</v>
      </c>
      <c r="CH167" s="9" t="n">
        <v>0</v>
      </c>
      <c r="CJ167" s="9" t="n">
        <v>0</v>
      </c>
      <c r="CK167" s="9" t="n">
        <v>0</v>
      </c>
      <c r="CO167" s="10" t="n">
        <v>46163</v>
      </c>
      <c r="CQ167" s="9" t="n">
        <v>0</v>
      </c>
      <c r="CS167" s="9" t="n">
        <v>0</v>
      </c>
      <c r="CT167" s="9" t="n">
        <v>0</v>
      </c>
      <c r="CX167" s="10" t="n">
        <v>46163</v>
      </c>
      <c r="CZ167" s="9" t="n">
        <v>200</v>
      </c>
      <c r="DA167" s="9" t="n">
        <v>200</v>
      </c>
      <c r="DB167" s="9" t="n">
        <v>0</v>
      </c>
      <c r="DC167" s="9" t="n">
        <v>21457</v>
      </c>
      <c r="DG167" s="10" t="n">
        <v>46163</v>
      </c>
      <c r="DI167" s="9" t="n">
        <v>0</v>
      </c>
      <c r="DK167" s="9" t="n">
        <v>0</v>
      </c>
      <c r="DL167" s="9" t="n">
        <v>37737.29999999998</v>
      </c>
      <c r="DP167" s="10" t="n">
        <v>46163</v>
      </c>
      <c r="DR167" s="9" t="n">
        <v>0</v>
      </c>
      <c r="DT167" s="9" t="n">
        <v>0</v>
      </c>
      <c r="DU167" s="9" t="n">
        <v>5800</v>
      </c>
      <c r="DY167" s="10" t="n">
        <v>46163</v>
      </c>
      <c r="EA167" s="9" t="n">
        <v>0</v>
      </c>
      <c r="EC167" s="9" t="n">
        <v>0</v>
      </c>
      <c r="ED167" s="9" t="n">
        <v>0</v>
      </c>
      <c r="EH167" s="10" t="n">
        <v>46163</v>
      </c>
      <c r="EJ167" s="9" t="n">
        <v>0</v>
      </c>
      <c r="EL167" s="9" t="n">
        <v>0</v>
      </c>
      <c r="EM167" s="9" t="n">
        <v>0</v>
      </c>
      <c r="EQ167" s="10" t="n">
        <v>46163</v>
      </c>
      <c r="ES167" s="9" t="n">
        <v>0</v>
      </c>
      <c r="EU167" s="9" t="n">
        <v>0</v>
      </c>
      <c r="EV167" s="9" t="n">
        <v>0</v>
      </c>
      <c r="EZ167" s="10" t="n">
        <v>46163</v>
      </c>
      <c r="FB167" s="9" t="n">
        <v>0</v>
      </c>
      <c r="FD167" s="9" t="n">
        <v>0</v>
      </c>
      <c r="FE167" s="9" t="n">
        <v>0</v>
      </c>
      <c r="FI167" s="10" t="n">
        <v>46163</v>
      </c>
      <c r="FK167" s="9" t="n">
        <v>0</v>
      </c>
      <c r="FM167" s="9" t="n">
        <v>0</v>
      </c>
      <c r="FN167" s="9" t="n">
        <v>0</v>
      </c>
      <c r="FR167" s="10" t="n">
        <v>46163</v>
      </c>
      <c r="FT167" s="9" t="n">
        <v>0</v>
      </c>
      <c r="FV167" s="9" t="n">
        <v>0</v>
      </c>
      <c r="FW167" s="9" t="n">
        <v>4140</v>
      </c>
      <c r="GA167" s="10" t="n">
        <v>46163</v>
      </c>
      <c r="GC167" s="9" t="n">
        <v>0</v>
      </c>
      <c r="GE167" s="9" t="n">
        <v>0</v>
      </c>
      <c r="GF167" s="9" t="n">
        <v>5040</v>
      </c>
      <c r="GJ167" s="10" t="n">
        <v>46163</v>
      </c>
      <c r="GL167" s="9" t="n">
        <v>0</v>
      </c>
      <c r="GN167" s="9" t="n">
        <v>0</v>
      </c>
      <c r="GO167" s="9" t="n">
        <v>3760</v>
      </c>
      <c r="GS167" s="10" t="n">
        <v>46163</v>
      </c>
      <c r="GU167" s="9" t="n">
        <v>0</v>
      </c>
      <c r="GW167" s="9" t="n">
        <v>0</v>
      </c>
      <c r="GX167" s="9" t="n">
        <v>1320</v>
      </c>
      <c r="HB167" s="10" t="n">
        <v>46163</v>
      </c>
      <c r="HD167" s="9" t="n">
        <v>0</v>
      </c>
      <c r="HF167" s="9" t="n">
        <v>0</v>
      </c>
      <c r="HG167" s="9" t="n">
        <v>3600</v>
      </c>
      <c r="HK167" s="10" t="n">
        <v>46163</v>
      </c>
      <c r="HM167" s="9" t="n">
        <v>0</v>
      </c>
      <c r="HO167" s="9" t="n">
        <v>0</v>
      </c>
      <c r="HP167" s="9" t="n">
        <v>0</v>
      </c>
      <c r="HU167" s="10" t="n">
        <v>46163</v>
      </c>
      <c r="HW167" s="9" t="n">
        <v>0</v>
      </c>
      <c r="HY167" s="9" t="n">
        <v>0</v>
      </c>
      <c r="HZ167" s="9" t="n">
        <v>7080</v>
      </c>
      <c r="ID167" s="10" t="n">
        <v>46163</v>
      </c>
      <c r="IF167" s="9" t="n">
        <v>0</v>
      </c>
      <c r="IH167" s="9" t="n">
        <v>0</v>
      </c>
      <c r="II167" s="9" t="n">
        <v>720</v>
      </c>
      <c r="IM167" s="10" t="n">
        <v>46163</v>
      </c>
      <c r="IO167" s="9" t="n">
        <v>0</v>
      </c>
      <c r="IQ167" s="9" t="n">
        <v>0</v>
      </c>
      <c r="IR167" s="9" t="n">
        <v>11540</v>
      </c>
      <c r="IV167" s="10" t="n">
        <v>46163</v>
      </c>
      <c r="IX167" s="9" t="n">
        <v>0</v>
      </c>
      <c r="IZ167" s="9" t="n">
        <v>0</v>
      </c>
      <c r="JA167" s="9" t="n">
        <v>12860</v>
      </c>
      <c r="JE167" s="10" t="n">
        <v>46163</v>
      </c>
      <c r="JG167" s="9" t="n">
        <v>0</v>
      </c>
      <c r="JI167" s="9" t="n">
        <v>0</v>
      </c>
      <c r="JJ167" s="9" t="n">
        <v>0</v>
      </c>
      <c r="JN167" s="10" t="n">
        <v>46163</v>
      </c>
      <c r="JP167" s="9" t="n">
        <v>0</v>
      </c>
      <c r="JR167" s="9" t="n">
        <v>0</v>
      </c>
      <c r="JS167" s="9" t="n">
        <v>5500</v>
      </c>
      <c r="JW167" s="10" t="n">
        <v>46163</v>
      </c>
      <c r="JY167" s="9" t="n">
        <v>0</v>
      </c>
      <c r="KA167" s="9" t="n">
        <v>0</v>
      </c>
      <c r="KB167" s="9" t="n">
        <v>2540</v>
      </c>
      <c r="KF167" s="10" t="n">
        <v>46163</v>
      </c>
      <c r="KH167" s="9" t="n">
        <v>0</v>
      </c>
      <c r="KJ167" s="9" t="n">
        <v>0</v>
      </c>
      <c r="KK167" s="9" t="n">
        <v>2359.5</v>
      </c>
      <c r="KO167" s="10" t="n">
        <v>46163</v>
      </c>
      <c r="KQ167" s="9" t="n">
        <v>0</v>
      </c>
      <c r="KS167" s="9" t="n">
        <v>0</v>
      </c>
      <c r="KT167" s="9" t="n">
        <v>1890</v>
      </c>
      <c r="KX167" s="10" t="n">
        <v>46163</v>
      </c>
      <c r="KZ167" s="9" t="n">
        <v>0</v>
      </c>
      <c r="LB167" s="9" t="n">
        <v>0</v>
      </c>
      <c r="LC167" s="9" t="n">
        <v>3690</v>
      </c>
      <c r="LG167" s="10" t="n">
        <v>46163</v>
      </c>
      <c r="LI167" s="9" t="n">
        <v>0</v>
      </c>
      <c r="LK167" s="9" t="n">
        <v>0</v>
      </c>
      <c r="LL167" s="9" t="n">
        <v>4000</v>
      </c>
      <c r="LP167" s="10" t="n">
        <v>46163</v>
      </c>
      <c r="LR167" s="9" t="n">
        <v>0</v>
      </c>
      <c r="LT167" s="9" t="n">
        <v>0</v>
      </c>
      <c r="LU167" s="9" t="n">
        <v>0</v>
      </c>
      <c r="LY167" s="10" t="n">
        <v>46163</v>
      </c>
      <c r="MA167" s="9" t="n">
        <v>0</v>
      </c>
      <c r="MC167" s="9" t="n">
        <v>0</v>
      </c>
      <c r="MD167" s="9" t="n">
        <v>0</v>
      </c>
      <c r="MH167" s="10" t="n">
        <v>46163</v>
      </c>
      <c r="MJ167" s="9" t="n">
        <v>0</v>
      </c>
      <c r="ML167" s="9" t="n">
        <v>0</v>
      </c>
      <c r="MM167" s="9" t="n">
        <v>0</v>
      </c>
      <c r="MQ167" s="10" t="n">
        <v>46163</v>
      </c>
      <c r="MS167" s="9" t="n">
        <v>0</v>
      </c>
      <c r="MU167" s="9" t="n">
        <v>0</v>
      </c>
      <c r="MV167" s="9" t="n">
        <v>3761</v>
      </c>
      <c r="MZ167" s="10" t="n">
        <v>46163</v>
      </c>
      <c r="NB167" s="9" t="n">
        <v>0</v>
      </c>
      <c r="ND167" s="9" t="n">
        <v>0</v>
      </c>
      <c r="NE167" s="9" t="n">
        <v>0</v>
      </c>
      <c r="NI167" s="10" t="n">
        <v>46163</v>
      </c>
      <c r="NK167" s="9" t="n">
        <v>0</v>
      </c>
      <c r="NM167" s="9" t="n">
        <v>0</v>
      </c>
      <c r="NN167" s="9" t="n">
        <v>1127</v>
      </c>
      <c r="NR167" s="10" t="n">
        <v>46163</v>
      </c>
      <c r="NT167" s="9" t="n">
        <v>0</v>
      </c>
      <c r="NV167" s="9" t="n">
        <v>0</v>
      </c>
      <c r="NW167" s="9" t="n">
        <v>3112</v>
      </c>
      <c r="OA167" s="10" t="n">
        <v>46163</v>
      </c>
      <c r="OC167" s="9" t="n">
        <v>0</v>
      </c>
      <c r="OE167" s="9" t="n">
        <v>0</v>
      </c>
      <c r="OF167" s="9" t="n">
        <v>1680.5</v>
      </c>
      <c r="OJ167" s="10" t="n">
        <v>46163</v>
      </c>
      <c r="OL167" s="9" t="n">
        <v>0</v>
      </c>
      <c r="ON167" s="9" t="n">
        <v>0</v>
      </c>
      <c r="OO167" s="9" t="n">
        <v>0</v>
      </c>
      <c r="OS167" s="10" t="n">
        <v>46163</v>
      </c>
      <c r="OU167" s="9" t="n">
        <v>0</v>
      </c>
      <c r="OW167" s="9" t="n">
        <v>0</v>
      </c>
      <c r="OX167" s="9" t="n">
        <v>1482</v>
      </c>
      <c r="PB167" s="10" t="n">
        <v>46163</v>
      </c>
      <c r="PD167" s="9" t="n">
        <v>0</v>
      </c>
      <c r="PF167" s="9" t="n">
        <v>0</v>
      </c>
      <c r="PG167" s="9" t="n">
        <v>0</v>
      </c>
      <c r="PK167" s="10" t="n">
        <v>46163</v>
      </c>
      <c r="PM167" s="9" t="n">
        <v>0</v>
      </c>
      <c r="PO167" s="9" t="n">
        <v>0</v>
      </c>
      <c r="PP167" s="9" t="n">
        <v>100</v>
      </c>
      <c r="PT167" s="10" t="n">
        <v>46163</v>
      </c>
      <c r="PV167" s="9" t="n">
        <v>0</v>
      </c>
      <c r="PX167" s="9" t="n">
        <v>0</v>
      </c>
      <c r="PY167" s="9" t="n">
        <v>13.96000000000004</v>
      </c>
      <c r="QC167" s="10" t="n">
        <v>46163</v>
      </c>
      <c r="QE167" s="9" t="n">
        <v>0</v>
      </c>
      <c r="QG167" s="9" t="n">
        <v>0</v>
      </c>
      <c r="QH167" s="9" t="n">
        <v>876</v>
      </c>
      <c r="QL167" s="10" t="n">
        <v>46163</v>
      </c>
      <c r="QN167" s="9" t="n">
        <v>0</v>
      </c>
      <c r="QP167" s="9" t="n">
        <v>0</v>
      </c>
      <c r="QQ167" s="9" t="n">
        <v>515</v>
      </c>
      <c r="QU167" s="10" t="n">
        <v>46163</v>
      </c>
      <c r="QW167" s="9" t="n">
        <v>0</v>
      </c>
      <c r="QY167" s="9" t="n">
        <v>0</v>
      </c>
      <c r="QZ167" s="9" t="n">
        <v>207.6</v>
      </c>
      <c r="RD167" s="10" t="n">
        <v>46163</v>
      </c>
      <c r="RF167" s="9" t="n">
        <v>0</v>
      </c>
      <c r="RH167" s="9" t="n">
        <v>0</v>
      </c>
      <c r="RI167" s="9" t="n">
        <v>147.04</v>
      </c>
      <c r="RM167" s="10" t="n">
        <v>46163</v>
      </c>
      <c r="RO167" s="9" t="n">
        <v>0</v>
      </c>
      <c r="RQ167" s="9" t="n">
        <v>0</v>
      </c>
      <c r="RR167" s="9" t="n">
        <v>46.8</v>
      </c>
      <c r="RV167" s="10" t="n">
        <v>46163</v>
      </c>
      <c r="RX167" s="9" t="n">
        <v>0</v>
      </c>
      <c r="RZ167" s="9" t="n">
        <v>0</v>
      </c>
      <c r="SA167" s="9" t="n">
        <v>0</v>
      </c>
      <c r="SE167" s="10" t="n">
        <v>46163</v>
      </c>
      <c r="SG167" s="9" t="n">
        <v>0</v>
      </c>
      <c r="SI167" s="9" t="n">
        <v>0</v>
      </c>
      <c r="SJ167" s="9" t="n">
        <v>24.2</v>
      </c>
      <c r="SN167" s="10" t="n">
        <v>46163</v>
      </c>
      <c r="SP167" s="9" t="n">
        <v>0</v>
      </c>
      <c r="SR167" s="9" t="n">
        <v>0</v>
      </c>
      <c r="SS167" s="9" t="n">
        <v>32</v>
      </c>
      <c r="SW167" s="10" t="n">
        <v>46163</v>
      </c>
      <c r="SY167" s="9" t="n">
        <v>0</v>
      </c>
      <c r="TA167" s="9" t="n">
        <v>0</v>
      </c>
      <c r="TB167" s="9" t="n">
        <v>0</v>
      </c>
      <c r="TF167" s="10" t="n">
        <v>46163</v>
      </c>
      <c r="TH167" s="9" t="n">
        <v>0</v>
      </c>
      <c r="TJ167" s="9" t="n">
        <v>0</v>
      </c>
      <c r="TK167" s="9" t="n">
        <v>0</v>
      </c>
      <c r="TO167" s="10" t="n">
        <v>46163</v>
      </c>
      <c r="TQ167" s="9" t="n">
        <v>0</v>
      </c>
      <c r="TS167" s="9" t="n">
        <v>0</v>
      </c>
      <c r="TT167" s="9" t="n">
        <v>0</v>
      </c>
      <c r="TX167" s="10" t="n">
        <v>46163</v>
      </c>
      <c r="TZ167" s="9" t="n">
        <v>0</v>
      </c>
      <c r="UB167" s="9" t="n">
        <v>0</v>
      </c>
      <c r="UC167" s="9" t="n">
        <v>0</v>
      </c>
      <c r="UG167" s="10" t="n">
        <v>46163</v>
      </c>
      <c r="UI167" s="9" t="n">
        <v>0</v>
      </c>
      <c r="UK167" s="9" t="n">
        <v>0</v>
      </c>
      <c r="UL167" s="9" t="n">
        <v>0</v>
      </c>
      <c r="UP167" s="10" t="n">
        <v>46163</v>
      </c>
      <c r="UR167" s="9" t="n">
        <v>0</v>
      </c>
      <c r="UT167" s="9" t="n">
        <v>0</v>
      </c>
      <c r="UU167" s="9" t="n">
        <v>0</v>
      </c>
      <c r="UY167" s="10" t="n">
        <v>46163</v>
      </c>
      <c r="VA167" s="9" t="n">
        <v>0</v>
      </c>
      <c r="VC167" s="9" t="n">
        <v>0</v>
      </c>
      <c r="VD167" s="9" t="n">
        <v>41.60000000000002</v>
      </c>
      <c r="VH167" s="10" t="n">
        <v>46163</v>
      </c>
      <c r="VJ167" s="9" t="n">
        <v>0</v>
      </c>
      <c r="VL167" s="9" t="n">
        <v>0</v>
      </c>
      <c r="VM167" s="9" t="n">
        <v>0</v>
      </c>
      <c r="VQ167" s="10" t="n">
        <v>46163</v>
      </c>
      <c r="VS167" s="9" t="n">
        <v>0</v>
      </c>
      <c r="VU167" s="9" t="n">
        <v>0</v>
      </c>
      <c r="VV167" s="9" t="n">
        <v>0</v>
      </c>
      <c r="VZ167" s="10" t="n">
        <v>46163</v>
      </c>
      <c r="WB167" s="9" t="n">
        <v>0</v>
      </c>
      <c r="WD167" s="9" t="n">
        <v>0</v>
      </c>
      <c r="WE167" s="9" t="n">
        <v>0</v>
      </c>
      <c r="WI167" s="10" t="n">
        <v>46163</v>
      </c>
      <c r="WK167" s="9" t="n">
        <v>0</v>
      </c>
      <c r="WM167" s="9" t="n">
        <v>0</v>
      </c>
      <c r="WN167" s="9" t="n">
        <v>2317</v>
      </c>
      <c r="WR167" s="10" t="n">
        <v>46163</v>
      </c>
      <c r="WT167" s="9" t="n">
        <v>0</v>
      </c>
      <c r="WV167" s="9" t="n">
        <v>0</v>
      </c>
      <c r="WW167" s="9" t="n">
        <v>0</v>
      </c>
      <c r="XA167" s="10" t="n">
        <v>46163</v>
      </c>
      <c r="XC167" s="9" t="n">
        <v>0</v>
      </c>
      <c r="XE167" s="9" t="n">
        <v>0</v>
      </c>
      <c r="XF167" s="9" t="n">
        <v>8023</v>
      </c>
      <c r="XJ167" s="10" t="n">
        <v>46163</v>
      </c>
      <c r="XL167" s="9" t="n">
        <v>0</v>
      </c>
      <c r="XM167" s="9" t="n">
        <v>196</v>
      </c>
      <c r="XN167" s="9" t="n">
        <v>-196</v>
      </c>
      <c r="XO167" s="9" t="n">
        <v>-234</v>
      </c>
      <c r="XS167" s="10" t="n">
        <v>46163</v>
      </c>
      <c r="XU167" s="9" t="n">
        <v>0</v>
      </c>
      <c r="XW167" s="9" t="n">
        <v>0</v>
      </c>
      <c r="XX167" s="9" t="n">
        <v>1901</v>
      </c>
      <c r="YB167" s="10" t="n">
        <v>46163</v>
      </c>
      <c r="YD167" s="9" t="n">
        <v>0</v>
      </c>
      <c r="YF167" s="9" t="n">
        <v>0</v>
      </c>
      <c r="YG167" s="9" t="n">
        <v>6459</v>
      </c>
      <c r="YK167" s="10" t="n">
        <v>46163</v>
      </c>
      <c r="YM167" s="9" t="n">
        <v>0</v>
      </c>
      <c r="YO167" s="9" t="n">
        <v>0</v>
      </c>
      <c r="YP167" s="9" t="n">
        <v>0</v>
      </c>
      <c r="YT167" s="10" t="n">
        <v>46163</v>
      </c>
      <c r="YV167" s="9" t="n">
        <v>0</v>
      </c>
      <c r="YX167" s="9" t="n">
        <v>0</v>
      </c>
      <c r="YY167" s="9" t="n">
        <v>0</v>
      </c>
      <c r="ZC167" s="10" t="n">
        <v>46163</v>
      </c>
      <c r="ZE167" s="9" t="n">
        <v>0</v>
      </c>
      <c r="ZG167" s="9" t="n">
        <v>0</v>
      </c>
      <c r="ZH167" s="9" t="n">
        <v>0</v>
      </c>
      <c r="ZL167" s="10" t="n">
        <v>46163</v>
      </c>
      <c r="ZN167" s="9" t="n">
        <v>0</v>
      </c>
      <c r="ZP167" s="9" t="n">
        <v>0</v>
      </c>
      <c r="ZQ167" s="9" t="n">
        <v>0</v>
      </c>
      <c r="ZU167" s="10" t="n">
        <v>46163</v>
      </c>
      <c r="ZW167" s="9" t="n">
        <v>0</v>
      </c>
      <c r="ZY167" s="9" t="n">
        <v>0</v>
      </c>
      <c r="ZZ167" s="9" t="n">
        <v>0</v>
      </c>
      <c r="AAD167" s="10" t="n">
        <v>46163</v>
      </c>
      <c r="AAF167" s="9" t="n">
        <v>0</v>
      </c>
      <c r="AAH167" s="9" t="n">
        <v>0</v>
      </c>
      <c r="AAI167" s="9" t="n">
        <v>0</v>
      </c>
      <c r="AAM167" s="10" t="n">
        <v>46163</v>
      </c>
      <c r="AAO167" s="9" t="n">
        <v>0</v>
      </c>
      <c r="AAQ167" s="9" t="n">
        <v>0</v>
      </c>
      <c r="AAR167" s="9" t="n">
        <v>0</v>
      </c>
      <c r="AAV167" s="10" t="n">
        <v>46163</v>
      </c>
      <c r="AAX167" s="9" t="n">
        <v>0</v>
      </c>
      <c r="AAZ167" s="9" t="n">
        <v>0</v>
      </c>
      <c r="ABA167" s="9" t="n">
        <v>0</v>
      </c>
      <c r="ABE167" s="10" t="n">
        <v>46163</v>
      </c>
      <c r="ABG167" s="9" t="n">
        <v>0</v>
      </c>
      <c r="ABI167" s="9" t="n">
        <v>0</v>
      </c>
      <c r="ABJ167" s="9" t="n">
        <v>0</v>
      </c>
    </row>
    <row r="168">
      <c r="B168" s="9" t="n">
        <v>36</v>
      </c>
      <c r="C168" s="10" t="n">
        <v>46164</v>
      </c>
      <c r="D168" s="9" t="n">
        <v>31590</v>
      </c>
      <c r="E168" s="9" t="n">
        <v>20772</v>
      </c>
      <c r="F168" s="9" t="n">
        <v>20775.4</v>
      </c>
      <c r="G168" s="9" t="n">
        <v>-3.399999999997817</v>
      </c>
      <c r="H168" s="9" t="n">
        <v>161245.0000000001</v>
      </c>
      <c r="I168" s="9" t="inlineStr">
        <is>
          <t>311 36mt</t>
        </is>
      </c>
      <c r="L168" s="10" t="n">
        <v>46164</v>
      </c>
      <c r="M168" s="9" t="n">
        <v>27380</v>
      </c>
      <c r="N168" s="9" t="n">
        <v>9252</v>
      </c>
      <c r="O168" s="9" t="n">
        <v>9253.4</v>
      </c>
      <c r="P168" s="9" t="n">
        <v>-1.399999999999636</v>
      </c>
      <c r="Q168" s="9" t="n">
        <v>60656.80000000008</v>
      </c>
      <c r="U168" s="10" t="n">
        <v>46164</v>
      </c>
      <c r="W168" s="9" t="n">
        <v>1080</v>
      </c>
      <c r="X168" s="9" t="n">
        <v>1081.5</v>
      </c>
      <c r="Y168" s="9" t="n">
        <v>-1.5</v>
      </c>
      <c r="Z168" s="9" t="n">
        <v>35566.79999999997</v>
      </c>
      <c r="AD168" s="10" t="n">
        <v>46164</v>
      </c>
      <c r="AF168" s="9" t="n">
        <v>720</v>
      </c>
      <c r="AG168" s="9" t="n">
        <v>720.5</v>
      </c>
      <c r="AH168" s="9" t="n">
        <v>-0.5</v>
      </c>
      <c r="AI168" s="9" t="n">
        <v>13223.00000000002</v>
      </c>
      <c r="AM168" s="10" t="n">
        <v>46164</v>
      </c>
      <c r="AO168" s="9" t="n">
        <v>0</v>
      </c>
      <c r="AQ168" s="9" t="n">
        <v>0</v>
      </c>
      <c r="AR168" s="9" t="n">
        <v>0</v>
      </c>
      <c r="AV168" s="10" t="n">
        <v>46164</v>
      </c>
      <c r="AX168" s="9" t="n">
        <v>2700</v>
      </c>
      <c r="AY168" s="9" t="n">
        <v>2699.3</v>
      </c>
      <c r="AZ168" s="9" t="n">
        <v>0.6999999999998181</v>
      </c>
      <c r="BA168" s="9" t="n">
        <v>7826.899999999997</v>
      </c>
      <c r="BE168" s="10" t="n">
        <v>46164</v>
      </c>
      <c r="BG168" s="9" t="n">
        <v>0</v>
      </c>
      <c r="BI168" s="9" t="n">
        <v>0</v>
      </c>
      <c r="BJ168" s="9" t="n">
        <v>36824.59999999999</v>
      </c>
      <c r="BN168" s="10" t="n">
        <v>46164</v>
      </c>
      <c r="BO168" s="9" t="n">
        <v>468</v>
      </c>
      <c r="BP168" s="9" t="n">
        <v>468.0000000000001</v>
      </c>
      <c r="BQ168" s="9" t="n">
        <v>468</v>
      </c>
      <c r="BR168" s="9" t="n">
        <v>0</v>
      </c>
      <c r="BS168" s="9" t="n">
        <v>0</v>
      </c>
      <c r="BW168" s="10" t="n">
        <v>46164</v>
      </c>
      <c r="BY168" s="9" t="n">
        <v>0</v>
      </c>
      <c r="CA168" s="9" t="n">
        <v>0</v>
      </c>
      <c r="CB168" s="9" t="n">
        <v>5736.799999999999</v>
      </c>
      <c r="CF168" s="10" t="n">
        <v>46164</v>
      </c>
      <c r="CH168" s="9" t="n">
        <v>0</v>
      </c>
      <c r="CJ168" s="9" t="n">
        <v>0</v>
      </c>
      <c r="CK168" s="9" t="n">
        <v>0</v>
      </c>
      <c r="CO168" s="10" t="n">
        <v>46164</v>
      </c>
      <c r="CQ168" s="9" t="n">
        <v>0</v>
      </c>
      <c r="CS168" s="9" t="n">
        <v>0</v>
      </c>
      <c r="CT168" s="9" t="n">
        <v>0</v>
      </c>
      <c r="CX168" s="10" t="n">
        <v>46164</v>
      </c>
      <c r="CZ168" s="9" t="n">
        <v>0</v>
      </c>
      <c r="DB168" s="9" t="n">
        <v>0</v>
      </c>
      <c r="DC168" s="9" t="n">
        <v>21457</v>
      </c>
      <c r="DG168" s="10" t="n">
        <v>46164</v>
      </c>
      <c r="DI168" s="9" t="n">
        <v>0</v>
      </c>
      <c r="DK168" s="9" t="n">
        <v>0</v>
      </c>
      <c r="DL168" s="9" t="n">
        <v>37737.29999999998</v>
      </c>
      <c r="DP168" s="10" t="n">
        <v>46164</v>
      </c>
      <c r="DR168" s="9" t="n">
        <v>0</v>
      </c>
      <c r="DT168" s="9" t="n">
        <v>0</v>
      </c>
      <c r="DU168" s="9" t="n">
        <v>5800</v>
      </c>
      <c r="DY168" s="10" t="n">
        <v>46164</v>
      </c>
      <c r="EA168" s="9" t="n">
        <v>0</v>
      </c>
      <c r="EC168" s="9" t="n">
        <v>0</v>
      </c>
      <c r="ED168" s="9" t="n">
        <v>0</v>
      </c>
      <c r="EH168" s="10" t="n">
        <v>46164</v>
      </c>
      <c r="EJ168" s="9" t="n">
        <v>0</v>
      </c>
      <c r="EL168" s="9" t="n">
        <v>0</v>
      </c>
      <c r="EM168" s="9" t="n">
        <v>0</v>
      </c>
      <c r="EQ168" s="10" t="n">
        <v>46164</v>
      </c>
      <c r="ES168" s="9" t="n">
        <v>0</v>
      </c>
      <c r="EU168" s="9" t="n">
        <v>0</v>
      </c>
      <c r="EV168" s="9" t="n">
        <v>0</v>
      </c>
      <c r="EZ168" s="10" t="n">
        <v>46164</v>
      </c>
      <c r="FB168" s="9" t="n">
        <v>0</v>
      </c>
      <c r="FD168" s="9" t="n">
        <v>0</v>
      </c>
      <c r="FE168" s="9" t="n">
        <v>0</v>
      </c>
      <c r="FI168" s="10" t="n">
        <v>46164</v>
      </c>
      <c r="FK168" s="9" t="n">
        <v>0</v>
      </c>
      <c r="FM168" s="9" t="n">
        <v>0</v>
      </c>
      <c r="FN168" s="9" t="n">
        <v>0</v>
      </c>
      <c r="FR168" s="10" t="n">
        <v>46164</v>
      </c>
      <c r="FT168" s="9" t="n">
        <v>0</v>
      </c>
      <c r="FV168" s="9" t="n">
        <v>0</v>
      </c>
      <c r="FW168" s="9" t="n">
        <v>4140</v>
      </c>
      <c r="GA168" s="10" t="n">
        <v>46164</v>
      </c>
      <c r="GC168" s="9" t="n">
        <v>0</v>
      </c>
      <c r="GE168" s="9" t="n">
        <v>0</v>
      </c>
      <c r="GF168" s="9" t="n">
        <v>5040</v>
      </c>
      <c r="GJ168" s="10" t="n">
        <v>46164</v>
      </c>
      <c r="GL168" s="9" t="n">
        <v>0</v>
      </c>
      <c r="GN168" s="9" t="n">
        <v>0</v>
      </c>
      <c r="GO168" s="9" t="n">
        <v>3760</v>
      </c>
      <c r="GS168" s="10" t="n">
        <v>46164</v>
      </c>
      <c r="GU168" s="9" t="n">
        <v>720</v>
      </c>
      <c r="GW168" s="9" t="n">
        <v>720</v>
      </c>
      <c r="GX168" s="9" t="n">
        <v>1320</v>
      </c>
      <c r="HB168" s="10" t="n">
        <v>46164</v>
      </c>
      <c r="HD168" s="9" t="n">
        <v>0</v>
      </c>
      <c r="HF168" s="9" t="n">
        <v>0</v>
      </c>
      <c r="HG168" s="9" t="n">
        <v>3600</v>
      </c>
      <c r="HK168" s="10" t="n">
        <v>46164</v>
      </c>
      <c r="HM168" s="9" t="n">
        <v>0</v>
      </c>
      <c r="HO168" s="9" t="n">
        <v>0</v>
      </c>
      <c r="HP168" s="9" t="n">
        <v>0</v>
      </c>
      <c r="HU168" s="10" t="n">
        <v>46164</v>
      </c>
      <c r="HW168" s="9" t="n">
        <v>0</v>
      </c>
      <c r="HY168" s="9" t="n">
        <v>0</v>
      </c>
      <c r="HZ168" s="9" t="n">
        <v>7080</v>
      </c>
      <c r="ID168" s="10" t="n">
        <v>46164</v>
      </c>
      <c r="IF168" s="9" t="n">
        <v>0</v>
      </c>
      <c r="IH168" s="9" t="n">
        <v>0</v>
      </c>
      <c r="II168" s="9" t="n">
        <v>720</v>
      </c>
      <c r="IM168" s="10" t="n">
        <v>46164</v>
      </c>
      <c r="IO168" s="9" t="n">
        <v>0</v>
      </c>
      <c r="IQ168" s="9" t="n">
        <v>0</v>
      </c>
      <c r="IR168" s="9" t="n">
        <v>11540</v>
      </c>
      <c r="IV168" s="10" t="n">
        <v>46164</v>
      </c>
      <c r="IX168" s="9" t="n">
        <v>0</v>
      </c>
      <c r="IZ168" s="9" t="n">
        <v>0</v>
      </c>
      <c r="JA168" s="9" t="n">
        <v>12860</v>
      </c>
      <c r="JE168" s="10" t="n">
        <v>46164</v>
      </c>
      <c r="JG168" s="9" t="n">
        <v>0</v>
      </c>
      <c r="JI168" s="9" t="n">
        <v>0</v>
      </c>
      <c r="JJ168" s="9" t="n">
        <v>0</v>
      </c>
      <c r="JN168" s="10" t="n">
        <v>46164</v>
      </c>
      <c r="JP168" s="9" t="n">
        <v>0</v>
      </c>
      <c r="JR168" s="9" t="n">
        <v>0</v>
      </c>
      <c r="JS168" s="9" t="n">
        <v>5500</v>
      </c>
      <c r="JW168" s="10" t="n">
        <v>46164</v>
      </c>
      <c r="JY168" s="9" t="n">
        <v>0</v>
      </c>
      <c r="KA168" s="9" t="n">
        <v>0</v>
      </c>
      <c r="KB168" s="9" t="n">
        <v>2540</v>
      </c>
      <c r="KF168" s="10" t="n">
        <v>46164</v>
      </c>
      <c r="KH168" s="9" t="n">
        <v>0</v>
      </c>
      <c r="KJ168" s="9" t="n">
        <v>0</v>
      </c>
      <c r="KK168" s="9" t="n">
        <v>2359.5</v>
      </c>
      <c r="KO168" s="10" t="n">
        <v>46164</v>
      </c>
      <c r="KQ168" s="9" t="n">
        <v>0</v>
      </c>
      <c r="KS168" s="9" t="n">
        <v>0</v>
      </c>
      <c r="KT168" s="9" t="n">
        <v>1890</v>
      </c>
      <c r="KX168" s="10" t="n">
        <v>46164</v>
      </c>
      <c r="KZ168" s="9" t="n">
        <v>0</v>
      </c>
      <c r="LB168" s="9" t="n">
        <v>0</v>
      </c>
      <c r="LC168" s="9" t="n">
        <v>3690</v>
      </c>
      <c r="LG168" s="10" t="n">
        <v>46164</v>
      </c>
      <c r="LI168" s="9" t="n">
        <v>0</v>
      </c>
      <c r="LK168" s="9" t="n">
        <v>0</v>
      </c>
      <c r="LL168" s="9" t="n">
        <v>4000</v>
      </c>
      <c r="LP168" s="10" t="n">
        <v>46164</v>
      </c>
      <c r="LR168" s="9" t="n">
        <v>0</v>
      </c>
      <c r="LT168" s="9" t="n">
        <v>0</v>
      </c>
      <c r="LU168" s="9" t="n">
        <v>0</v>
      </c>
      <c r="LY168" s="10" t="n">
        <v>46164</v>
      </c>
      <c r="MA168" s="9" t="n">
        <v>0</v>
      </c>
      <c r="MC168" s="9" t="n">
        <v>0</v>
      </c>
      <c r="MD168" s="9" t="n">
        <v>0</v>
      </c>
      <c r="MH168" s="10" t="n">
        <v>46164</v>
      </c>
      <c r="MJ168" s="9" t="n">
        <v>0</v>
      </c>
      <c r="ML168" s="9" t="n">
        <v>0</v>
      </c>
      <c r="MM168" s="9" t="n">
        <v>0</v>
      </c>
      <c r="MQ168" s="10" t="n">
        <v>46164</v>
      </c>
      <c r="MS168" s="9" t="n">
        <v>0</v>
      </c>
      <c r="MU168" s="9" t="n">
        <v>0</v>
      </c>
      <c r="MV168" s="9" t="n">
        <v>3761</v>
      </c>
      <c r="MZ168" s="10" t="n">
        <v>46164</v>
      </c>
      <c r="NB168" s="9" t="n">
        <v>180</v>
      </c>
      <c r="ND168" s="9" t="n">
        <v>180</v>
      </c>
      <c r="NE168" s="9" t="n">
        <v>0</v>
      </c>
      <c r="NI168" s="10" t="n">
        <v>46164</v>
      </c>
      <c r="NK168" s="9" t="n">
        <v>0</v>
      </c>
      <c r="NM168" s="9" t="n">
        <v>0</v>
      </c>
      <c r="NN168" s="9" t="n">
        <v>1127</v>
      </c>
      <c r="NR168" s="10" t="n">
        <v>46164</v>
      </c>
      <c r="NT168" s="9" t="n">
        <v>0</v>
      </c>
      <c r="NV168" s="9" t="n">
        <v>0</v>
      </c>
      <c r="NW168" s="9" t="n">
        <v>3112</v>
      </c>
      <c r="OA168" s="10" t="n">
        <v>46164</v>
      </c>
      <c r="OC168" s="9" t="n">
        <v>0</v>
      </c>
      <c r="OE168" s="9" t="n">
        <v>0</v>
      </c>
      <c r="OF168" s="9" t="n">
        <v>1680.5</v>
      </c>
      <c r="OJ168" s="10" t="n">
        <v>46164</v>
      </c>
      <c r="OL168" s="9" t="n">
        <v>72</v>
      </c>
      <c r="ON168" s="9" t="n">
        <v>72</v>
      </c>
      <c r="OO168" s="9" t="n">
        <v>0</v>
      </c>
      <c r="OS168" s="10" t="n">
        <v>46164</v>
      </c>
      <c r="OU168" s="9" t="n">
        <v>0</v>
      </c>
      <c r="OW168" s="9" t="n">
        <v>0</v>
      </c>
      <c r="OX168" s="9" t="n">
        <v>1482</v>
      </c>
      <c r="PB168" s="10" t="n">
        <v>46164</v>
      </c>
      <c r="PD168" s="9" t="n">
        <v>0</v>
      </c>
      <c r="PF168" s="9" t="n">
        <v>0</v>
      </c>
      <c r="PG168" s="9" t="n">
        <v>0</v>
      </c>
      <c r="PK168" s="10" t="n">
        <v>46164</v>
      </c>
      <c r="PM168" s="9" t="n">
        <v>0</v>
      </c>
      <c r="PO168" s="9" t="n">
        <v>0</v>
      </c>
      <c r="PP168" s="9" t="n">
        <v>100</v>
      </c>
      <c r="PT168" s="10" t="n">
        <v>46164</v>
      </c>
      <c r="PV168" s="9" t="n">
        <v>0</v>
      </c>
      <c r="PX168" s="9" t="n">
        <v>0</v>
      </c>
      <c r="PY168" s="9" t="n">
        <v>13.96000000000004</v>
      </c>
      <c r="QC168" s="10" t="n">
        <v>46164</v>
      </c>
      <c r="QE168" s="9" t="n">
        <v>0</v>
      </c>
      <c r="QG168" s="9" t="n">
        <v>0</v>
      </c>
      <c r="QH168" s="9" t="n">
        <v>876</v>
      </c>
      <c r="QL168" s="10" t="n">
        <v>46164</v>
      </c>
      <c r="QN168" s="9" t="n">
        <v>0</v>
      </c>
      <c r="QP168" s="9" t="n">
        <v>0</v>
      </c>
      <c r="QQ168" s="9" t="n">
        <v>515</v>
      </c>
      <c r="QU168" s="10" t="n">
        <v>46164</v>
      </c>
      <c r="QW168" s="9" t="n">
        <v>0</v>
      </c>
      <c r="QY168" s="9" t="n">
        <v>0</v>
      </c>
      <c r="QZ168" s="9" t="n">
        <v>207.6</v>
      </c>
      <c r="RD168" s="10" t="n">
        <v>46164</v>
      </c>
      <c r="RF168" s="9" t="n">
        <v>0</v>
      </c>
      <c r="RH168" s="9" t="n">
        <v>0</v>
      </c>
      <c r="RI168" s="9" t="n">
        <v>147.04</v>
      </c>
      <c r="RM168" s="10" t="n">
        <v>46164</v>
      </c>
      <c r="RO168" s="9" t="n">
        <v>0</v>
      </c>
      <c r="RQ168" s="9" t="n">
        <v>0</v>
      </c>
      <c r="RR168" s="9" t="n">
        <v>46.8</v>
      </c>
      <c r="RV168" s="10" t="n">
        <v>46164</v>
      </c>
      <c r="RX168" s="9" t="n">
        <v>0</v>
      </c>
      <c r="RZ168" s="9" t="n">
        <v>0</v>
      </c>
      <c r="SA168" s="9" t="n">
        <v>0</v>
      </c>
      <c r="SE168" s="10" t="n">
        <v>46164</v>
      </c>
      <c r="SG168" s="9" t="n">
        <v>0</v>
      </c>
      <c r="SI168" s="9" t="n">
        <v>0</v>
      </c>
      <c r="SJ168" s="9" t="n">
        <v>24.2</v>
      </c>
      <c r="SN168" s="10" t="n">
        <v>46164</v>
      </c>
      <c r="SP168" s="9" t="n">
        <v>0</v>
      </c>
      <c r="SR168" s="9" t="n">
        <v>0</v>
      </c>
      <c r="SS168" s="9" t="n">
        <v>32</v>
      </c>
      <c r="SW168" s="10" t="n">
        <v>46164</v>
      </c>
      <c r="SY168" s="9" t="n">
        <v>0</v>
      </c>
      <c r="TA168" s="9" t="n">
        <v>0</v>
      </c>
      <c r="TB168" s="9" t="n">
        <v>0</v>
      </c>
      <c r="TF168" s="10" t="n">
        <v>46164</v>
      </c>
      <c r="TH168" s="9" t="n">
        <v>36</v>
      </c>
      <c r="TJ168" s="9" t="n">
        <v>36</v>
      </c>
      <c r="TK168" s="9" t="n">
        <v>0</v>
      </c>
      <c r="TO168" s="10" t="n">
        <v>46164</v>
      </c>
      <c r="TQ168" s="9" t="n">
        <v>0</v>
      </c>
      <c r="TS168" s="9" t="n">
        <v>0</v>
      </c>
      <c r="TT168" s="9" t="n">
        <v>0</v>
      </c>
      <c r="TX168" s="10" t="n">
        <v>46164</v>
      </c>
      <c r="TZ168" s="9" t="n">
        <v>0</v>
      </c>
      <c r="UB168" s="9" t="n">
        <v>0</v>
      </c>
      <c r="UC168" s="9" t="n">
        <v>0</v>
      </c>
      <c r="UG168" s="10" t="n">
        <v>46164</v>
      </c>
      <c r="UI168" s="9" t="n">
        <v>0</v>
      </c>
      <c r="UK168" s="9" t="n">
        <v>0</v>
      </c>
      <c r="UL168" s="9" t="n">
        <v>0</v>
      </c>
      <c r="UP168" s="10" t="n">
        <v>46164</v>
      </c>
      <c r="UR168" s="9" t="n">
        <v>0</v>
      </c>
      <c r="UT168" s="9" t="n">
        <v>0</v>
      </c>
      <c r="UU168" s="9" t="n">
        <v>0</v>
      </c>
      <c r="UY168" s="10" t="n">
        <v>46164</v>
      </c>
      <c r="VA168" s="9" t="n">
        <v>0</v>
      </c>
      <c r="VC168" s="9" t="n">
        <v>0</v>
      </c>
      <c r="VD168" s="9" t="n">
        <v>41.60000000000002</v>
      </c>
      <c r="VH168" s="10" t="n">
        <v>46164</v>
      </c>
      <c r="VJ168" s="9" t="n">
        <v>0</v>
      </c>
      <c r="VL168" s="9" t="n">
        <v>0</v>
      </c>
      <c r="VM168" s="9" t="n">
        <v>0</v>
      </c>
      <c r="VQ168" s="10" t="n">
        <v>46164</v>
      </c>
      <c r="VS168" s="9" t="n">
        <v>0</v>
      </c>
      <c r="VU168" s="9" t="n">
        <v>0</v>
      </c>
      <c r="VV168" s="9" t="n">
        <v>0</v>
      </c>
      <c r="VZ168" s="10" t="n">
        <v>46164</v>
      </c>
      <c r="WB168" s="9" t="n">
        <v>0</v>
      </c>
      <c r="WD168" s="9" t="n">
        <v>0</v>
      </c>
      <c r="WE168" s="9" t="n">
        <v>0</v>
      </c>
      <c r="WI168" s="10" t="n">
        <v>46164</v>
      </c>
      <c r="WK168" s="9" t="n">
        <v>0</v>
      </c>
      <c r="WL168" s="9" t="n">
        <v>718</v>
      </c>
      <c r="WM168" s="9" t="n">
        <v>-718</v>
      </c>
      <c r="WN168" s="9" t="n">
        <v>1599</v>
      </c>
      <c r="WR168" s="10" t="n">
        <v>46164</v>
      </c>
      <c r="WT168" s="9" t="n">
        <v>0</v>
      </c>
      <c r="WV168" s="9" t="n">
        <v>0</v>
      </c>
      <c r="WW168" s="9" t="n">
        <v>0</v>
      </c>
      <c r="XA168" s="10" t="n">
        <v>46164</v>
      </c>
      <c r="XC168" s="9" t="n">
        <v>0</v>
      </c>
      <c r="XE168" s="9" t="n">
        <v>0</v>
      </c>
      <c r="XF168" s="9" t="n">
        <v>8023</v>
      </c>
      <c r="XJ168" s="10" t="n">
        <v>46164</v>
      </c>
      <c r="XL168" s="9" t="n">
        <v>0</v>
      </c>
      <c r="XN168" s="9" t="n">
        <v>0</v>
      </c>
      <c r="XO168" s="9" t="n">
        <v>-234</v>
      </c>
      <c r="XS168" s="10" t="n">
        <v>46164</v>
      </c>
      <c r="XU168" s="9" t="n">
        <v>0</v>
      </c>
      <c r="XW168" s="9" t="n">
        <v>0</v>
      </c>
      <c r="XX168" s="9" t="n">
        <v>1901</v>
      </c>
      <c r="YB168" s="10" t="n">
        <v>46164</v>
      </c>
      <c r="YD168" s="9" t="n">
        <v>0</v>
      </c>
      <c r="YF168" s="9" t="n">
        <v>0</v>
      </c>
      <c r="YG168" s="9" t="n">
        <v>6459</v>
      </c>
      <c r="YK168" s="10" t="n">
        <v>46164</v>
      </c>
      <c r="YM168" s="9" t="n">
        <v>0</v>
      </c>
      <c r="YO168" s="9" t="n">
        <v>0</v>
      </c>
      <c r="YP168" s="9" t="n">
        <v>0</v>
      </c>
      <c r="YT168" s="10" t="n">
        <v>46164</v>
      </c>
      <c r="YV168" s="9" t="n">
        <v>0</v>
      </c>
      <c r="YX168" s="9" t="n">
        <v>0</v>
      </c>
      <c r="YY168" s="9" t="n">
        <v>0</v>
      </c>
      <c r="ZC168" s="10" t="n">
        <v>46164</v>
      </c>
      <c r="ZE168" s="9" t="n">
        <v>0</v>
      </c>
      <c r="ZG168" s="9" t="n">
        <v>0</v>
      </c>
      <c r="ZH168" s="9" t="n">
        <v>0</v>
      </c>
      <c r="ZL168" s="10" t="n">
        <v>46164</v>
      </c>
      <c r="ZN168" s="9" t="n">
        <v>0</v>
      </c>
      <c r="ZP168" s="9" t="n">
        <v>0</v>
      </c>
      <c r="ZQ168" s="9" t="n">
        <v>0</v>
      </c>
      <c r="ZU168" s="10" t="n">
        <v>46164</v>
      </c>
      <c r="ZW168" s="9" t="n">
        <v>0</v>
      </c>
      <c r="ZY168" s="9" t="n">
        <v>0</v>
      </c>
      <c r="ZZ168" s="9" t="n">
        <v>0</v>
      </c>
      <c r="AAD168" s="10" t="n">
        <v>46164</v>
      </c>
      <c r="AAF168" s="9" t="n">
        <v>0</v>
      </c>
      <c r="AAH168" s="9" t="n">
        <v>0</v>
      </c>
      <c r="AAI168" s="9" t="n">
        <v>0</v>
      </c>
      <c r="AAM168" s="10" t="n">
        <v>46164</v>
      </c>
      <c r="AAO168" s="9" t="n">
        <v>0</v>
      </c>
      <c r="AAQ168" s="9" t="n">
        <v>0</v>
      </c>
      <c r="AAR168" s="9" t="n">
        <v>0</v>
      </c>
      <c r="AAV168" s="10" t="n">
        <v>46164</v>
      </c>
      <c r="AAX168" s="9" t="n">
        <v>0</v>
      </c>
      <c r="AAZ168" s="9" t="n">
        <v>0</v>
      </c>
      <c r="ABA168" s="9" t="n">
        <v>0</v>
      </c>
      <c r="ABE168" s="10" t="n">
        <v>46164</v>
      </c>
      <c r="ABG168" s="9" t="n">
        <v>0</v>
      </c>
      <c r="ABI168" s="9" t="n">
        <v>0</v>
      </c>
      <c r="ABJ168" s="9" t="n">
        <v>0</v>
      </c>
    </row>
    <row r="169">
      <c r="B169" s="9" t="n">
        <v>50</v>
      </c>
      <c r="C169" s="10" t="n">
        <v>46165</v>
      </c>
      <c r="E169" s="9" t="n">
        <v>27893.99999999999</v>
      </c>
      <c r="F169" s="9" t="n">
        <v>27886.4</v>
      </c>
      <c r="G169" s="9" t="n">
        <v>7.599999999991269</v>
      </c>
      <c r="H169" s="9" t="n">
        <v>133358.6000000001</v>
      </c>
      <c r="I169" s="9" t="inlineStr">
        <is>
          <t>8102 50mt</t>
        </is>
      </c>
      <c r="L169" s="10" t="n">
        <v>46165</v>
      </c>
      <c r="N169" s="9" t="n">
        <v>15860</v>
      </c>
      <c r="O169" s="9" t="n">
        <v>15859.2</v>
      </c>
      <c r="P169" s="9" t="n">
        <v>0.7999999999992724</v>
      </c>
      <c r="Q169" s="9" t="n">
        <v>44797.60000000008</v>
      </c>
      <c r="U169" s="10" t="n">
        <v>46165</v>
      </c>
      <c r="W169" s="9" t="n">
        <v>2500</v>
      </c>
      <c r="X169" s="9" t="n">
        <v>2499.7</v>
      </c>
      <c r="Y169" s="9" t="n">
        <v>0.3000000000001819</v>
      </c>
      <c r="Z169" s="9" t="n">
        <v>33067.09999999997</v>
      </c>
      <c r="AD169" s="10" t="n">
        <v>46165</v>
      </c>
      <c r="AF169" s="9" t="n">
        <v>0</v>
      </c>
      <c r="AH169" s="9" t="n">
        <v>0</v>
      </c>
      <c r="AI169" s="9" t="n">
        <v>13223.00000000002</v>
      </c>
      <c r="AM169" s="10" t="n">
        <v>46165</v>
      </c>
      <c r="AO169" s="9" t="n">
        <v>0</v>
      </c>
      <c r="AQ169" s="9" t="n">
        <v>0</v>
      </c>
      <c r="AR169" s="9" t="n">
        <v>0</v>
      </c>
      <c r="AV169" s="10" t="n">
        <v>46165</v>
      </c>
      <c r="AX169" s="9" t="n">
        <v>0</v>
      </c>
      <c r="AZ169" s="9" t="n">
        <v>0</v>
      </c>
      <c r="BA169" s="9" t="n">
        <v>7826.899999999997</v>
      </c>
      <c r="BE169" s="10" t="n">
        <v>46165</v>
      </c>
      <c r="BG169" s="9" t="n">
        <v>975</v>
      </c>
      <c r="BH169" s="9" t="n">
        <v>976.3</v>
      </c>
      <c r="BI169" s="9" t="n">
        <v>-1.299999999999955</v>
      </c>
      <c r="BJ169" s="9" t="n">
        <v>35848.29999999999</v>
      </c>
      <c r="BN169" s="10" t="n">
        <v>46165</v>
      </c>
      <c r="BO169" s="9" t="n">
        <v>1175.1</v>
      </c>
      <c r="BP169" s="9" t="n">
        <v>1175</v>
      </c>
      <c r="BQ169" s="9" t="n">
        <v>1175.1</v>
      </c>
      <c r="BR169" s="9" t="n">
        <v>-0.09999999999990905</v>
      </c>
      <c r="BS169" s="9" t="n">
        <v>0</v>
      </c>
      <c r="BW169" s="10" t="n">
        <v>46165</v>
      </c>
      <c r="BY169" s="9" t="n">
        <v>0</v>
      </c>
      <c r="BZ169" s="9" t="n">
        <v>235.5</v>
      </c>
      <c r="CA169" s="9" t="n">
        <v>-235.5</v>
      </c>
      <c r="CB169" s="9" t="n">
        <v>5501.299999999999</v>
      </c>
      <c r="CF169" s="10" t="n">
        <v>46165</v>
      </c>
      <c r="CG169" s="9" t="n">
        <v>313.6</v>
      </c>
      <c r="CH169" s="9" t="n">
        <v>321</v>
      </c>
      <c r="CI169" s="9" t="n">
        <v>313.6</v>
      </c>
      <c r="CJ169" s="9" t="n">
        <v>7.399999999999977</v>
      </c>
      <c r="CK169" s="9" t="n">
        <v>0</v>
      </c>
      <c r="CO169" s="10" t="n">
        <v>46165</v>
      </c>
      <c r="CQ169" s="9" t="n">
        <v>0</v>
      </c>
      <c r="CS169" s="9" t="n">
        <v>0</v>
      </c>
      <c r="CT169" s="9" t="n">
        <v>0</v>
      </c>
      <c r="CX169" s="10" t="n">
        <v>46165</v>
      </c>
      <c r="CZ169" s="9" t="n">
        <v>0</v>
      </c>
      <c r="DB169" s="9" t="n">
        <v>0</v>
      </c>
      <c r="DC169" s="9" t="n">
        <v>21457</v>
      </c>
      <c r="DG169" s="10" t="n">
        <v>46165</v>
      </c>
      <c r="DI169" s="9" t="n">
        <v>0</v>
      </c>
      <c r="DK169" s="9" t="n">
        <v>0</v>
      </c>
      <c r="DL169" s="9" t="n">
        <v>37737.29999999998</v>
      </c>
      <c r="DP169" s="10" t="n">
        <v>46165</v>
      </c>
      <c r="DR169" s="9" t="n">
        <v>0</v>
      </c>
      <c r="DT169" s="9" t="n">
        <v>0</v>
      </c>
      <c r="DU169" s="9" t="n">
        <v>5800</v>
      </c>
      <c r="DY169" s="10" t="n">
        <v>46165</v>
      </c>
      <c r="EA169" s="9" t="n">
        <v>0</v>
      </c>
      <c r="EC169" s="9" t="n">
        <v>0</v>
      </c>
      <c r="ED169" s="9" t="n">
        <v>0</v>
      </c>
      <c r="EH169" s="10" t="n">
        <v>46165</v>
      </c>
      <c r="EJ169" s="9" t="n">
        <v>0</v>
      </c>
      <c r="EL169" s="9" t="n">
        <v>0</v>
      </c>
      <c r="EM169" s="9" t="n">
        <v>0</v>
      </c>
      <c r="EQ169" s="10" t="n">
        <v>46165</v>
      </c>
      <c r="ES169" s="9" t="n">
        <v>0</v>
      </c>
      <c r="EU169" s="9" t="n">
        <v>0</v>
      </c>
      <c r="EV169" s="9" t="n">
        <v>0</v>
      </c>
      <c r="EZ169" s="10" t="n">
        <v>46165</v>
      </c>
      <c r="FB169" s="9" t="n">
        <v>0</v>
      </c>
      <c r="FD169" s="9" t="n">
        <v>0</v>
      </c>
      <c r="FE169" s="9" t="n">
        <v>0</v>
      </c>
      <c r="FI169" s="10" t="n">
        <v>46165</v>
      </c>
      <c r="FK169" s="9" t="n">
        <v>0</v>
      </c>
      <c r="FM169" s="9" t="n">
        <v>0</v>
      </c>
      <c r="FN169" s="9" t="n">
        <v>0</v>
      </c>
      <c r="FR169" s="10" t="n">
        <v>46165</v>
      </c>
      <c r="FT169" s="9" t="n">
        <v>0</v>
      </c>
      <c r="FV169" s="9" t="n">
        <v>0</v>
      </c>
      <c r="FW169" s="9" t="n">
        <v>4140</v>
      </c>
      <c r="GA169" s="10" t="n">
        <v>46165</v>
      </c>
      <c r="GC169" s="9" t="n">
        <v>0</v>
      </c>
      <c r="GE169" s="9" t="n">
        <v>0</v>
      </c>
      <c r="GF169" s="9" t="n">
        <v>5040</v>
      </c>
      <c r="GJ169" s="10" t="n">
        <v>46165</v>
      </c>
      <c r="GL169" s="9" t="n">
        <v>0</v>
      </c>
      <c r="GM169" s="9" t="n">
        <v>1200</v>
      </c>
      <c r="GN169" s="9" t="n">
        <v>-1200</v>
      </c>
      <c r="GO169" s="9" t="n">
        <v>2560</v>
      </c>
      <c r="GP169" s="9" t="n">
        <v>60</v>
      </c>
      <c r="GS169" s="10" t="n">
        <v>46165</v>
      </c>
      <c r="GU169" s="9" t="n">
        <v>0</v>
      </c>
      <c r="GV169" s="9" t="n">
        <v>720</v>
      </c>
      <c r="GW169" s="9" t="n">
        <v>-720</v>
      </c>
      <c r="GX169" s="9" t="n">
        <v>600</v>
      </c>
      <c r="GY169" s="9" t="n">
        <v>36</v>
      </c>
      <c r="HB169" s="10" t="n">
        <v>46165</v>
      </c>
      <c r="HD169" s="9" t="n">
        <v>0</v>
      </c>
      <c r="HF169" s="9" t="n">
        <v>0</v>
      </c>
      <c r="HG169" s="9" t="n">
        <v>3600</v>
      </c>
      <c r="HK169" s="10" t="n">
        <v>46165</v>
      </c>
      <c r="HM169" s="9" t="n">
        <v>0</v>
      </c>
      <c r="HO169" s="9" t="n">
        <v>0</v>
      </c>
      <c r="HP169" s="9" t="n">
        <v>0</v>
      </c>
      <c r="HU169" s="10" t="n">
        <v>46165</v>
      </c>
      <c r="HW169" s="9" t="n">
        <v>0</v>
      </c>
      <c r="HY169" s="9" t="n">
        <v>0</v>
      </c>
      <c r="HZ169" s="9" t="n">
        <v>7080</v>
      </c>
      <c r="ID169" s="10" t="n">
        <v>46165</v>
      </c>
      <c r="IF169" s="9" t="n">
        <v>0</v>
      </c>
      <c r="IH169" s="9" t="n">
        <v>0</v>
      </c>
      <c r="II169" s="9" t="n">
        <v>720</v>
      </c>
      <c r="IM169" s="10" t="n">
        <v>46165</v>
      </c>
      <c r="IO169" s="9" t="n">
        <v>0</v>
      </c>
      <c r="IP169" s="9" t="n">
        <v>3400</v>
      </c>
      <c r="IQ169" s="9" t="n">
        <v>-3400</v>
      </c>
      <c r="IR169" s="9" t="n">
        <v>8140</v>
      </c>
      <c r="IS169" s="9" t="n">
        <v>170</v>
      </c>
      <c r="IV169" s="10" t="n">
        <v>46165</v>
      </c>
      <c r="IX169" s="9" t="n">
        <v>0</v>
      </c>
      <c r="IY169" s="9" t="n">
        <v>3900</v>
      </c>
      <c r="IZ169" s="9" t="n">
        <v>-3900</v>
      </c>
      <c r="JA169" s="9" t="n">
        <v>8960</v>
      </c>
      <c r="JB169" s="9" t="n">
        <v>195</v>
      </c>
      <c r="JE169" s="10" t="n">
        <v>46165</v>
      </c>
      <c r="JG169" s="9" t="n">
        <v>0</v>
      </c>
      <c r="JI169" s="9" t="n">
        <v>0</v>
      </c>
      <c r="JJ169" s="9" t="n">
        <v>0</v>
      </c>
      <c r="JN169" s="10" t="n">
        <v>46165</v>
      </c>
      <c r="JP169" s="9" t="n">
        <v>1000</v>
      </c>
      <c r="JQ169" s="9" t="n">
        <v>200</v>
      </c>
      <c r="JR169" s="9" t="n">
        <v>800</v>
      </c>
      <c r="JS169" s="9" t="n">
        <v>5300</v>
      </c>
      <c r="JT169" s="9" t="n">
        <v>10</v>
      </c>
      <c r="JW169" s="10" t="n">
        <v>46165</v>
      </c>
      <c r="JY169" s="9" t="n">
        <v>0</v>
      </c>
      <c r="KA169" s="9" t="n">
        <v>0</v>
      </c>
      <c r="KB169" s="9" t="n">
        <v>2540</v>
      </c>
      <c r="KF169" s="10" t="n">
        <v>46165</v>
      </c>
      <c r="KH169" s="9" t="n">
        <v>0</v>
      </c>
      <c r="KJ169" s="9" t="n">
        <v>0</v>
      </c>
      <c r="KK169" s="9" t="n">
        <v>2359.5</v>
      </c>
      <c r="KO169" s="10" t="n">
        <v>46165</v>
      </c>
      <c r="KQ169" s="9" t="n">
        <v>0</v>
      </c>
      <c r="KS169" s="9" t="n">
        <v>0</v>
      </c>
      <c r="KT169" s="9" t="n">
        <v>1890</v>
      </c>
      <c r="KX169" s="10" t="n">
        <v>46165</v>
      </c>
      <c r="KZ169" s="9" t="n">
        <v>0</v>
      </c>
      <c r="LB169" s="9" t="n">
        <v>0</v>
      </c>
      <c r="LC169" s="9" t="n">
        <v>3690</v>
      </c>
      <c r="LG169" s="10" t="n">
        <v>46165</v>
      </c>
      <c r="LI169" s="9" t="n">
        <v>0</v>
      </c>
      <c r="LK169" s="9" t="n">
        <v>0</v>
      </c>
      <c r="LL169" s="9" t="n">
        <v>4000</v>
      </c>
      <c r="LP169" s="10" t="n">
        <v>46165</v>
      </c>
      <c r="LR169" s="9" t="n">
        <v>0</v>
      </c>
      <c r="LT169" s="9" t="n">
        <v>0</v>
      </c>
      <c r="LU169" s="9" t="n">
        <v>0</v>
      </c>
      <c r="LY169" s="10" t="n">
        <v>46165</v>
      </c>
      <c r="MA169" s="9" t="n">
        <v>0</v>
      </c>
      <c r="MC169" s="9" t="n">
        <v>0</v>
      </c>
      <c r="MD169" s="9" t="n">
        <v>0</v>
      </c>
      <c r="MH169" s="10" t="n">
        <v>46165</v>
      </c>
      <c r="MJ169" s="9" t="n">
        <v>0</v>
      </c>
      <c r="ML169" s="9" t="n">
        <v>0</v>
      </c>
      <c r="MM169" s="9" t="n">
        <v>0</v>
      </c>
      <c r="MQ169" s="10" t="n">
        <v>46165</v>
      </c>
      <c r="MS169" s="9" t="n">
        <v>0</v>
      </c>
      <c r="MT169" s="9" t="n">
        <v>30</v>
      </c>
      <c r="MU169" s="9" t="n">
        <v>-30</v>
      </c>
      <c r="MV169" s="9" t="n">
        <v>3731</v>
      </c>
      <c r="MZ169" s="10" t="n">
        <v>46165</v>
      </c>
      <c r="NA169" s="9" t="n">
        <v>180</v>
      </c>
      <c r="NB169" s="9" t="n">
        <v>150</v>
      </c>
      <c r="NC169" s="9" t="n">
        <v>180</v>
      </c>
      <c r="ND169" s="9" t="n">
        <v>-30</v>
      </c>
      <c r="NE169" s="9" t="n">
        <v>0</v>
      </c>
      <c r="NI169" s="10" t="n">
        <v>46165</v>
      </c>
      <c r="NK169" s="9" t="n">
        <v>0</v>
      </c>
      <c r="NM169" s="9" t="n">
        <v>0</v>
      </c>
      <c r="NN169" s="9" t="n">
        <v>1127</v>
      </c>
      <c r="NR169" s="10" t="n">
        <v>46165</v>
      </c>
      <c r="NT169" s="9" t="n">
        <v>0</v>
      </c>
      <c r="NV169" s="9" t="n">
        <v>0</v>
      </c>
      <c r="NW169" s="9" t="n">
        <v>3112</v>
      </c>
      <c r="OA169" s="10" t="n">
        <v>46165</v>
      </c>
      <c r="OC169" s="9" t="n">
        <v>0</v>
      </c>
      <c r="OE169" s="9" t="n">
        <v>0</v>
      </c>
      <c r="OF169" s="9" t="n">
        <v>1680.5</v>
      </c>
      <c r="OJ169" s="10" t="n">
        <v>46165</v>
      </c>
      <c r="OK169" s="9" t="n">
        <v>128</v>
      </c>
      <c r="OL169" s="9" t="n">
        <v>0</v>
      </c>
      <c r="OM169" s="9" t="n">
        <v>128</v>
      </c>
      <c r="ON169" s="9" t="n">
        <v>-128</v>
      </c>
      <c r="OO169" s="9" t="n">
        <v>0</v>
      </c>
      <c r="OS169" s="10" t="n">
        <v>46165</v>
      </c>
      <c r="OU169" s="9" t="n">
        <v>0</v>
      </c>
      <c r="OW169" s="9" t="n">
        <v>0</v>
      </c>
      <c r="OX169" s="9" t="n">
        <v>1482</v>
      </c>
      <c r="PB169" s="10" t="n">
        <v>46165</v>
      </c>
      <c r="PD169" s="9" t="n">
        <v>0</v>
      </c>
      <c r="PF169" s="9" t="n">
        <v>0</v>
      </c>
      <c r="PG169" s="9" t="n">
        <v>0</v>
      </c>
      <c r="PK169" s="10" t="n">
        <v>46165</v>
      </c>
      <c r="PM169" s="9" t="n">
        <v>0</v>
      </c>
      <c r="PO169" s="9" t="n">
        <v>0</v>
      </c>
      <c r="PP169" s="9" t="n">
        <v>100</v>
      </c>
      <c r="PT169" s="10" t="n">
        <v>46165</v>
      </c>
      <c r="PV169" s="9" t="n">
        <v>0</v>
      </c>
      <c r="PX169" s="9" t="n">
        <v>0</v>
      </c>
      <c r="PY169" s="9" t="n">
        <v>13.96000000000004</v>
      </c>
      <c r="QC169" s="10" t="n">
        <v>46165</v>
      </c>
      <c r="QE169" s="9" t="n">
        <v>0</v>
      </c>
      <c r="QF169" s="9" t="n">
        <v>700</v>
      </c>
      <c r="QG169" s="9" t="n">
        <v>-700</v>
      </c>
      <c r="QH169" s="9" t="n">
        <v>176</v>
      </c>
      <c r="QL169" s="10" t="n">
        <v>46165</v>
      </c>
      <c r="QN169" s="9" t="n">
        <v>125</v>
      </c>
      <c r="QO169" s="9" t="n">
        <v>25</v>
      </c>
      <c r="QP169" s="9" t="n">
        <v>100</v>
      </c>
      <c r="QQ169" s="9" t="n">
        <v>490</v>
      </c>
      <c r="QU169" s="10" t="n">
        <v>46165</v>
      </c>
      <c r="QW169" s="9" t="n">
        <v>0</v>
      </c>
      <c r="QY169" s="9" t="n">
        <v>0</v>
      </c>
      <c r="QZ169" s="9" t="n">
        <v>207.6</v>
      </c>
      <c r="RD169" s="10" t="n">
        <v>46165</v>
      </c>
      <c r="RF169" s="9" t="n">
        <v>0</v>
      </c>
      <c r="RH169" s="9" t="n">
        <v>0</v>
      </c>
      <c r="RI169" s="9" t="n">
        <v>147.04</v>
      </c>
      <c r="RM169" s="10" t="n">
        <v>46165</v>
      </c>
      <c r="RO169" s="9" t="n">
        <v>0</v>
      </c>
      <c r="RQ169" s="9" t="n">
        <v>0</v>
      </c>
      <c r="RR169" s="9" t="n">
        <v>46.8</v>
      </c>
      <c r="RV169" s="10" t="n">
        <v>46165</v>
      </c>
      <c r="RX169" s="9" t="n">
        <v>0</v>
      </c>
      <c r="RZ169" s="9" t="n">
        <v>0</v>
      </c>
      <c r="SA169" s="9" t="n">
        <v>0</v>
      </c>
      <c r="SE169" s="10" t="n">
        <v>46165</v>
      </c>
      <c r="SG169" s="9" t="n">
        <v>0</v>
      </c>
      <c r="SI169" s="9" t="n">
        <v>0</v>
      </c>
      <c r="SJ169" s="9" t="n">
        <v>24.2</v>
      </c>
      <c r="SN169" s="10" t="n">
        <v>46165</v>
      </c>
      <c r="SP169" s="9" t="n">
        <v>0</v>
      </c>
      <c r="SR169" s="9" t="n">
        <v>0</v>
      </c>
      <c r="SS169" s="9" t="n">
        <v>32</v>
      </c>
      <c r="SW169" s="10" t="n">
        <v>46165</v>
      </c>
      <c r="SY169" s="9" t="n">
        <v>0</v>
      </c>
      <c r="TA169" s="9" t="n">
        <v>0</v>
      </c>
      <c r="TB169" s="9" t="n">
        <v>0</v>
      </c>
      <c r="TF169" s="10" t="n">
        <v>46165</v>
      </c>
      <c r="TG169" s="9" t="n">
        <v>36</v>
      </c>
      <c r="TH169" s="9" t="n">
        <v>0</v>
      </c>
      <c r="TI169" s="9" t="n">
        <v>36</v>
      </c>
      <c r="TJ169" s="9" t="n">
        <v>-36</v>
      </c>
      <c r="TK169" s="9" t="n">
        <v>0</v>
      </c>
      <c r="TO169" s="10" t="n">
        <v>46165</v>
      </c>
      <c r="TQ169" s="9" t="n">
        <v>0</v>
      </c>
      <c r="TS169" s="9" t="n">
        <v>0</v>
      </c>
      <c r="TT169" s="9" t="n">
        <v>0</v>
      </c>
      <c r="TX169" s="10" t="n">
        <v>46165</v>
      </c>
      <c r="TZ169" s="9" t="n">
        <v>0</v>
      </c>
      <c r="UB169" s="9" t="n">
        <v>0</v>
      </c>
      <c r="UC169" s="9" t="n">
        <v>0</v>
      </c>
      <c r="UG169" s="10" t="n">
        <v>46165</v>
      </c>
      <c r="UI169" s="9" t="n">
        <v>0</v>
      </c>
      <c r="UK169" s="9" t="n">
        <v>0</v>
      </c>
      <c r="UL169" s="9" t="n">
        <v>0</v>
      </c>
      <c r="UP169" s="10" t="n">
        <v>46165</v>
      </c>
      <c r="UR169" s="9" t="n">
        <v>0</v>
      </c>
      <c r="UT169" s="9" t="n">
        <v>0</v>
      </c>
      <c r="UU169" s="9" t="n">
        <v>0</v>
      </c>
      <c r="UY169" s="10" t="n">
        <v>46165</v>
      </c>
      <c r="VA169" s="9" t="n">
        <v>0</v>
      </c>
      <c r="VC169" s="9" t="n">
        <v>0</v>
      </c>
      <c r="VD169" s="9" t="n">
        <v>41.60000000000002</v>
      </c>
      <c r="VH169" s="10" t="n">
        <v>46165</v>
      </c>
      <c r="VJ169" s="9" t="n">
        <v>0</v>
      </c>
      <c r="VL169" s="9" t="n">
        <v>0</v>
      </c>
      <c r="VM169" s="9" t="n">
        <v>0</v>
      </c>
      <c r="VQ169" s="10" t="n">
        <v>46165</v>
      </c>
      <c r="VS169" s="9" t="n">
        <v>125</v>
      </c>
      <c r="VU169" s="9" t="n">
        <v>125</v>
      </c>
      <c r="VV169" s="9" t="n">
        <v>0</v>
      </c>
      <c r="VZ169" s="10" t="n">
        <v>46165</v>
      </c>
      <c r="WB169" s="9" t="n">
        <v>125</v>
      </c>
      <c r="WD169" s="9" t="n">
        <v>125</v>
      </c>
      <c r="WE169" s="9" t="n">
        <v>0</v>
      </c>
      <c r="WI169" s="10" t="n">
        <v>46165</v>
      </c>
      <c r="WK169" s="9" t="n">
        <v>0</v>
      </c>
      <c r="WM169" s="9" t="n">
        <v>0</v>
      </c>
      <c r="WN169" s="9" t="n">
        <v>1599</v>
      </c>
      <c r="WR169" s="10" t="n">
        <v>46165</v>
      </c>
      <c r="WT169" s="9" t="n">
        <v>0</v>
      </c>
      <c r="WV169" s="9" t="n">
        <v>0</v>
      </c>
      <c r="WW169" s="9" t="n">
        <v>0</v>
      </c>
      <c r="XA169" s="10" t="n">
        <v>46165</v>
      </c>
      <c r="XC169" s="9" t="n">
        <v>0</v>
      </c>
      <c r="XE169" s="9" t="n">
        <v>0</v>
      </c>
      <c r="XF169" s="9" t="n">
        <v>8023</v>
      </c>
      <c r="XJ169" s="10" t="n">
        <v>46165</v>
      </c>
      <c r="XL169" s="9" t="n">
        <v>0</v>
      </c>
      <c r="XN169" s="9" t="n">
        <v>0</v>
      </c>
      <c r="XO169" s="9" t="n">
        <v>-234</v>
      </c>
      <c r="XS169" s="10" t="n">
        <v>46165</v>
      </c>
      <c r="XU169" s="9" t="n">
        <v>0</v>
      </c>
      <c r="XW169" s="9" t="n">
        <v>0</v>
      </c>
      <c r="XX169" s="9" t="n">
        <v>1901</v>
      </c>
      <c r="YB169" s="10" t="n">
        <v>46165</v>
      </c>
      <c r="YD169" s="9" t="n">
        <v>0</v>
      </c>
      <c r="YF169" s="9" t="n">
        <v>0</v>
      </c>
      <c r="YG169" s="9" t="n">
        <v>6459</v>
      </c>
      <c r="YK169" s="10" t="n">
        <v>46165</v>
      </c>
      <c r="YM169" s="9" t="n">
        <v>0</v>
      </c>
      <c r="YO169" s="9" t="n">
        <v>0</v>
      </c>
      <c r="YP169" s="9" t="n">
        <v>0</v>
      </c>
      <c r="YT169" s="10" t="n">
        <v>46165</v>
      </c>
      <c r="YV169" s="9" t="n">
        <v>125</v>
      </c>
      <c r="YX169" s="9" t="n">
        <v>125</v>
      </c>
      <c r="YY169" s="9" t="n">
        <v>0</v>
      </c>
      <c r="ZC169" s="10" t="n">
        <v>46165</v>
      </c>
      <c r="ZE169" s="9" t="n">
        <v>125</v>
      </c>
      <c r="ZG169" s="9" t="n">
        <v>125</v>
      </c>
      <c r="ZH169" s="9" t="n">
        <v>0</v>
      </c>
      <c r="ZL169" s="10" t="n">
        <v>46165</v>
      </c>
      <c r="ZN169" s="9" t="n">
        <v>125</v>
      </c>
      <c r="ZP169" s="9" t="n">
        <v>125</v>
      </c>
      <c r="ZQ169" s="9" t="n">
        <v>0</v>
      </c>
      <c r="ZU169" s="10" t="n">
        <v>46165</v>
      </c>
      <c r="ZW169" s="9" t="n">
        <v>125</v>
      </c>
      <c r="ZY169" s="9" t="n">
        <v>125</v>
      </c>
      <c r="ZZ169" s="9" t="n">
        <v>0</v>
      </c>
      <c r="AAD169" s="10" t="n">
        <v>46165</v>
      </c>
      <c r="AAF169" s="9" t="n">
        <v>125</v>
      </c>
      <c r="AAH169" s="9" t="n">
        <v>125</v>
      </c>
      <c r="AAI169" s="9" t="n">
        <v>0</v>
      </c>
      <c r="AAM169" s="10" t="n">
        <v>46165</v>
      </c>
      <c r="AAO169" s="9" t="n">
        <v>125</v>
      </c>
      <c r="AAQ169" s="9" t="n">
        <v>125</v>
      </c>
      <c r="AAR169" s="9" t="n">
        <v>0</v>
      </c>
      <c r="AAV169" s="10" t="n">
        <v>46165</v>
      </c>
      <c r="AAX169" s="9" t="n">
        <v>125</v>
      </c>
      <c r="AAZ169" s="9" t="n">
        <v>125</v>
      </c>
      <c r="ABA169" s="9" t="n">
        <v>0</v>
      </c>
      <c r="ABE169" s="10" t="n">
        <v>46165</v>
      </c>
      <c r="ABG169" s="9" t="n">
        <v>125</v>
      </c>
      <c r="ABI169" s="9" t="n">
        <v>125</v>
      </c>
      <c r="ABJ169" s="9" t="n">
        <v>0</v>
      </c>
    </row>
    <row r="170">
      <c r="C170" s="10" t="n">
        <v>46166</v>
      </c>
      <c r="E170" s="9" t="n">
        <v>0</v>
      </c>
      <c r="G170" s="9" t="n">
        <v>0</v>
      </c>
      <c r="H170" s="9" t="n">
        <v>133358.6000000001</v>
      </c>
      <c r="L170" s="10" t="n">
        <v>46166</v>
      </c>
      <c r="N170" s="9" t="n">
        <v>0</v>
      </c>
      <c r="P170" s="9" t="n">
        <v>0</v>
      </c>
      <c r="Q170" s="9" t="n">
        <v>44797.60000000008</v>
      </c>
      <c r="U170" s="10" t="n">
        <v>46166</v>
      </c>
      <c r="W170" s="9" t="n">
        <v>0</v>
      </c>
      <c r="Y170" s="9" t="n">
        <v>0</v>
      </c>
      <c r="Z170" s="9" t="n">
        <v>33067.09999999997</v>
      </c>
      <c r="AD170" s="10" t="n">
        <v>46166</v>
      </c>
      <c r="AF170" s="9" t="n">
        <v>0</v>
      </c>
      <c r="AH170" s="9" t="n">
        <v>0</v>
      </c>
      <c r="AI170" s="9" t="n">
        <v>13223.00000000002</v>
      </c>
      <c r="AM170" s="10" t="n">
        <v>46166</v>
      </c>
      <c r="AO170" s="9" t="n">
        <v>0</v>
      </c>
      <c r="AQ170" s="9" t="n">
        <v>0</v>
      </c>
      <c r="AR170" s="9" t="n">
        <v>0</v>
      </c>
      <c r="AV170" s="10" t="n">
        <v>46166</v>
      </c>
      <c r="AX170" s="9" t="n">
        <v>0</v>
      </c>
      <c r="AZ170" s="9" t="n">
        <v>0</v>
      </c>
      <c r="BA170" s="9" t="n">
        <v>7826.899999999997</v>
      </c>
      <c r="BE170" s="10" t="n">
        <v>46166</v>
      </c>
      <c r="BG170" s="9" t="n">
        <v>0</v>
      </c>
      <c r="BI170" s="9" t="n">
        <v>0</v>
      </c>
      <c r="BJ170" s="9" t="n">
        <v>35848.29999999999</v>
      </c>
      <c r="BN170" s="10" t="n">
        <v>46166</v>
      </c>
      <c r="BP170" s="9" t="n">
        <v>0</v>
      </c>
      <c r="BR170" s="9" t="n">
        <v>0</v>
      </c>
      <c r="BS170" s="9" t="n">
        <v>0</v>
      </c>
      <c r="BW170" s="10" t="n">
        <v>46166</v>
      </c>
      <c r="BY170" s="9" t="n">
        <v>0</v>
      </c>
      <c r="CA170" s="9" t="n">
        <v>0</v>
      </c>
      <c r="CB170" s="9" t="n">
        <v>5501.299999999999</v>
      </c>
      <c r="CF170" s="10" t="n">
        <v>46166</v>
      </c>
      <c r="CH170" s="9" t="n">
        <v>0</v>
      </c>
      <c r="CJ170" s="9" t="n">
        <v>0</v>
      </c>
      <c r="CK170" s="9" t="n">
        <v>0</v>
      </c>
      <c r="CO170" s="10" t="n">
        <v>46166</v>
      </c>
      <c r="CQ170" s="9" t="n">
        <v>0</v>
      </c>
      <c r="CS170" s="9" t="n">
        <v>0</v>
      </c>
      <c r="CT170" s="9" t="n">
        <v>0</v>
      </c>
      <c r="CX170" s="10" t="n">
        <v>46166</v>
      </c>
      <c r="CZ170" s="9" t="n">
        <v>0</v>
      </c>
      <c r="DB170" s="9" t="n">
        <v>0</v>
      </c>
      <c r="DC170" s="9" t="n">
        <v>21457</v>
      </c>
      <c r="DG170" s="10" t="n">
        <v>46166</v>
      </c>
      <c r="DI170" s="9" t="n">
        <v>0</v>
      </c>
      <c r="DK170" s="9" t="n">
        <v>0</v>
      </c>
      <c r="DL170" s="9" t="n">
        <v>37737.29999999998</v>
      </c>
      <c r="DP170" s="10" t="n">
        <v>46166</v>
      </c>
      <c r="DR170" s="9" t="n">
        <v>0</v>
      </c>
      <c r="DT170" s="9" t="n">
        <v>0</v>
      </c>
      <c r="DU170" s="9" t="n">
        <v>5800</v>
      </c>
      <c r="DY170" s="10" t="n">
        <v>46166</v>
      </c>
      <c r="EA170" s="9" t="n">
        <v>0</v>
      </c>
      <c r="EC170" s="9" t="n">
        <v>0</v>
      </c>
      <c r="ED170" s="9" t="n">
        <v>0</v>
      </c>
      <c r="EH170" s="10" t="n">
        <v>46166</v>
      </c>
      <c r="EJ170" s="9" t="n">
        <v>0</v>
      </c>
      <c r="EL170" s="9" t="n">
        <v>0</v>
      </c>
      <c r="EM170" s="9" t="n">
        <v>0</v>
      </c>
      <c r="EQ170" s="10" t="n">
        <v>46166</v>
      </c>
      <c r="ES170" s="9" t="n">
        <v>0</v>
      </c>
      <c r="EU170" s="9" t="n">
        <v>0</v>
      </c>
      <c r="EV170" s="9" t="n">
        <v>0</v>
      </c>
      <c r="EZ170" s="10" t="n">
        <v>46166</v>
      </c>
      <c r="FB170" s="9" t="n">
        <v>0</v>
      </c>
      <c r="FD170" s="9" t="n">
        <v>0</v>
      </c>
      <c r="FE170" s="9" t="n">
        <v>0</v>
      </c>
      <c r="FI170" s="10" t="n">
        <v>46166</v>
      </c>
      <c r="FK170" s="9" t="n">
        <v>0</v>
      </c>
      <c r="FM170" s="9" t="n">
        <v>0</v>
      </c>
      <c r="FN170" s="9" t="n">
        <v>0</v>
      </c>
      <c r="FR170" s="10" t="n">
        <v>46166</v>
      </c>
      <c r="FT170" s="9" t="n">
        <v>0</v>
      </c>
      <c r="FV170" s="9" t="n">
        <v>0</v>
      </c>
      <c r="FW170" s="9" t="n">
        <v>4140</v>
      </c>
      <c r="GA170" s="10" t="n">
        <v>46166</v>
      </c>
      <c r="GC170" s="9" t="n">
        <v>0</v>
      </c>
      <c r="GE170" s="9" t="n">
        <v>0</v>
      </c>
      <c r="GF170" s="9" t="n">
        <v>5040</v>
      </c>
      <c r="GJ170" s="10" t="n">
        <v>46166</v>
      </c>
      <c r="GL170" s="9" t="n">
        <v>0</v>
      </c>
      <c r="GN170" s="9" t="n">
        <v>0</v>
      </c>
      <c r="GO170" s="9" t="n">
        <v>2560</v>
      </c>
      <c r="GS170" s="10" t="n">
        <v>46166</v>
      </c>
      <c r="GU170" s="9" t="n">
        <v>0</v>
      </c>
      <c r="GW170" s="9" t="n">
        <v>0</v>
      </c>
      <c r="GX170" s="9" t="n">
        <v>600</v>
      </c>
      <c r="HB170" s="10" t="n">
        <v>46166</v>
      </c>
      <c r="HD170" s="9" t="n">
        <v>0</v>
      </c>
      <c r="HF170" s="9" t="n">
        <v>0</v>
      </c>
      <c r="HG170" s="9" t="n">
        <v>3600</v>
      </c>
      <c r="HK170" s="10" t="n">
        <v>46166</v>
      </c>
      <c r="HM170" s="9" t="n">
        <v>0</v>
      </c>
      <c r="HO170" s="9" t="n">
        <v>0</v>
      </c>
      <c r="HP170" s="9" t="n">
        <v>0</v>
      </c>
      <c r="HU170" s="10" t="n">
        <v>46166</v>
      </c>
      <c r="HW170" s="9" t="n">
        <v>0</v>
      </c>
      <c r="HY170" s="9" t="n">
        <v>0</v>
      </c>
      <c r="HZ170" s="9" t="n">
        <v>7080</v>
      </c>
      <c r="ID170" s="10" t="n">
        <v>46166</v>
      </c>
      <c r="IF170" s="9" t="n">
        <v>0</v>
      </c>
      <c r="IH170" s="9" t="n">
        <v>0</v>
      </c>
      <c r="II170" s="9" t="n">
        <v>720</v>
      </c>
      <c r="IM170" s="10" t="n">
        <v>46166</v>
      </c>
      <c r="IO170" s="9" t="n">
        <v>0</v>
      </c>
      <c r="IQ170" s="9" t="n">
        <v>0</v>
      </c>
      <c r="IR170" s="9" t="n">
        <v>8140</v>
      </c>
      <c r="IV170" s="10" t="n">
        <v>46166</v>
      </c>
      <c r="IX170" s="9" t="n">
        <v>0</v>
      </c>
      <c r="IZ170" s="9" t="n">
        <v>0</v>
      </c>
      <c r="JA170" s="9" t="n">
        <v>8960</v>
      </c>
      <c r="JE170" s="10" t="n">
        <v>46166</v>
      </c>
      <c r="JG170" s="9" t="n">
        <v>0</v>
      </c>
      <c r="JI170" s="9" t="n">
        <v>0</v>
      </c>
      <c r="JJ170" s="9" t="n">
        <v>0</v>
      </c>
      <c r="JN170" s="10" t="n">
        <v>46166</v>
      </c>
      <c r="JP170" s="9" t="n">
        <v>0</v>
      </c>
      <c r="JR170" s="9" t="n">
        <v>0</v>
      </c>
      <c r="JS170" s="9" t="n">
        <v>5300</v>
      </c>
      <c r="JW170" s="10" t="n">
        <v>46166</v>
      </c>
      <c r="JY170" s="9" t="n">
        <v>0</v>
      </c>
      <c r="KA170" s="9" t="n">
        <v>0</v>
      </c>
      <c r="KB170" s="9" t="n">
        <v>2540</v>
      </c>
      <c r="KF170" s="10" t="n">
        <v>46166</v>
      </c>
      <c r="KH170" s="9" t="n">
        <v>0</v>
      </c>
      <c r="KJ170" s="9" t="n">
        <v>0</v>
      </c>
      <c r="KK170" s="9" t="n">
        <v>2359.5</v>
      </c>
      <c r="KO170" s="10" t="n">
        <v>46166</v>
      </c>
      <c r="KQ170" s="9" t="n">
        <v>0</v>
      </c>
      <c r="KS170" s="9" t="n">
        <v>0</v>
      </c>
      <c r="KT170" s="9" t="n">
        <v>1890</v>
      </c>
      <c r="KX170" s="10" t="n">
        <v>46166</v>
      </c>
      <c r="KZ170" s="9" t="n">
        <v>0</v>
      </c>
      <c r="LB170" s="9" t="n">
        <v>0</v>
      </c>
      <c r="LC170" s="9" t="n">
        <v>3690</v>
      </c>
      <c r="LG170" s="10" t="n">
        <v>46166</v>
      </c>
      <c r="LI170" s="9" t="n">
        <v>0</v>
      </c>
      <c r="LK170" s="9" t="n">
        <v>0</v>
      </c>
      <c r="LL170" s="9" t="n">
        <v>4000</v>
      </c>
      <c r="LP170" s="10" t="n">
        <v>46166</v>
      </c>
      <c r="LR170" s="9" t="n">
        <v>0</v>
      </c>
      <c r="LT170" s="9" t="n">
        <v>0</v>
      </c>
      <c r="LU170" s="9" t="n">
        <v>0</v>
      </c>
      <c r="LY170" s="10" t="n">
        <v>46166</v>
      </c>
      <c r="MA170" s="9" t="n">
        <v>0</v>
      </c>
      <c r="MC170" s="9" t="n">
        <v>0</v>
      </c>
      <c r="MD170" s="9" t="n">
        <v>0</v>
      </c>
      <c r="MH170" s="10" t="n">
        <v>46166</v>
      </c>
      <c r="MJ170" s="9" t="n">
        <v>0</v>
      </c>
      <c r="ML170" s="9" t="n">
        <v>0</v>
      </c>
      <c r="MM170" s="9" t="n">
        <v>0</v>
      </c>
      <c r="MQ170" s="10" t="n">
        <v>46166</v>
      </c>
      <c r="MS170" s="9" t="n">
        <v>0</v>
      </c>
      <c r="MU170" s="9" t="n">
        <v>0</v>
      </c>
      <c r="MV170" s="9" t="n">
        <v>3731</v>
      </c>
      <c r="MZ170" s="10" t="n">
        <v>46166</v>
      </c>
      <c r="NB170" s="9" t="n">
        <v>0</v>
      </c>
      <c r="ND170" s="9" t="n">
        <v>0</v>
      </c>
      <c r="NE170" s="9" t="n">
        <v>0</v>
      </c>
      <c r="NI170" s="10" t="n">
        <v>46166</v>
      </c>
      <c r="NK170" s="9" t="n">
        <v>0</v>
      </c>
      <c r="NM170" s="9" t="n">
        <v>0</v>
      </c>
      <c r="NN170" s="9" t="n">
        <v>1127</v>
      </c>
      <c r="NR170" s="10" t="n">
        <v>46166</v>
      </c>
      <c r="NT170" s="9" t="n">
        <v>0</v>
      </c>
      <c r="NV170" s="9" t="n">
        <v>0</v>
      </c>
      <c r="NW170" s="9" t="n">
        <v>3112</v>
      </c>
      <c r="OA170" s="10" t="n">
        <v>46166</v>
      </c>
      <c r="OC170" s="9" t="n">
        <v>0</v>
      </c>
      <c r="OE170" s="9" t="n">
        <v>0</v>
      </c>
      <c r="OF170" s="9" t="n">
        <v>1680.5</v>
      </c>
      <c r="OJ170" s="10" t="n">
        <v>46166</v>
      </c>
      <c r="OL170" s="9" t="n">
        <v>0</v>
      </c>
      <c r="ON170" s="9" t="n">
        <v>0</v>
      </c>
      <c r="OO170" s="9" t="n">
        <v>0</v>
      </c>
      <c r="OS170" s="10" t="n">
        <v>46166</v>
      </c>
      <c r="OU170" s="9" t="n">
        <v>0</v>
      </c>
      <c r="OW170" s="9" t="n">
        <v>0</v>
      </c>
      <c r="OX170" s="9" t="n">
        <v>1482</v>
      </c>
      <c r="PB170" s="10" t="n">
        <v>46166</v>
      </c>
      <c r="PD170" s="9" t="n">
        <v>0</v>
      </c>
      <c r="PF170" s="9" t="n">
        <v>0</v>
      </c>
      <c r="PG170" s="9" t="n">
        <v>0</v>
      </c>
      <c r="PK170" s="10" t="n">
        <v>46166</v>
      </c>
      <c r="PM170" s="9" t="n">
        <v>0</v>
      </c>
      <c r="PO170" s="9" t="n">
        <v>0</v>
      </c>
      <c r="PP170" s="9" t="n">
        <v>100</v>
      </c>
      <c r="PT170" s="10" t="n">
        <v>46166</v>
      </c>
      <c r="PV170" s="9" t="n">
        <v>0</v>
      </c>
      <c r="PX170" s="9" t="n">
        <v>0</v>
      </c>
      <c r="PY170" s="9" t="n">
        <v>13.96000000000004</v>
      </c>
      <c r="QC170" s="10" t="n">
        <v>46166</v>
      </c>
      <c r="QE170" s="9" t="n">
        <v>0</v>
      </c>
      <c r="QG170" s="9" t="n">
        <v>0</v>
      </c>
      <c r="QH170" s="9" t="n">
        <v>176</v>
      </c>
      <c r="QL170" s="10" t="n">
        <v>46166</v>
      </c>
      <c r="QN170" s="9" t="n">
        <v>0</v>
      </c>
      <c r="QP170" s="9" t="n">
        <v>0</v>
      </c>
      <c r="QQ170" s="9" t="n">
        <v>490</v>
      </c>
      <c r="QU170" s="10" t="n">
        <v>46166</v>
      </c>
      <c r="QW170" s="9" t="n">
        <v>0</v>
      </c>
      <c r="QY170" s="9" t="n">
        <v>0</v>
      </c>
      <c r="QZ170" s="9" t="n">
        <v>207.6</v>
      </c>
      <c r="RD170" s="10" t="n">
        <v>46166</v>
      </c>
      <c r="RF170" s="9" t="n">
        <v>0</v>
      </c>
      <c r="RH170" s="9" t="n">
        <v>0</v>
      </c>
      <c r="RI170" s="9" t="n">
        <v>147.04</v>
      </c>
      <c r="RM170" s="10" t="n">
        <v>46166</v>
      </c>
      <c r="RO170" s="9" t="n">
        <v>0</v>
      </c>
      <c r="RQ170" s="9" t="n">
        <v>0</v>
      </c>
      <c r="RR170" s="9" t="n">
        <v>46.8</v>
      </c>
      <c r="RV170" s="10" t="n">
        <v>46166</v>
      </c>
      <c r="RX170" s="9" t="n">
        <v>0</v>
      </c>
      <c r="RZ170" s="9" t="n">
        <v>0</v>
      </c>
      <c r="SA170" s="9" t="n">
        <v>0</v>
      </c>
      <c r="SE170" s="10" t="n">
        <v>46166</v>
      </c>
      <c r="SG170" s="9" t="n">
        <v>0</v>
      </c>
      <c r="SI170" s="9" t="n">
        <v>0</v>
      </c>
      <c r="SJ170" s="9" t="n">
        <v>24.2</v>
      </c>
      <c r="SN170" s="10" t="n">
        <v>46166</v>
      </c>
      <c r="SP170" s="9" t="n">
        <v>0</v>
      </c>
      <c r="SR170" s="9" t="n">
        <v>0</v>
      </c>
      <c r="SS170" s="9" t="n">
        <v>32</v>
      </c>
      <c r="SW170" s="10" t="n">
        <v>46166</v>
      </c>
      <c r="SY170" s="9" t="n">
        <v>0</v>
      </c>
      <c r="TA170" s="9" t="n">
        <v>0</v>
      </c>
      <c r="TB170" s="9" t="n">
        <v>0</v>
      </c>
      <c r="TF170" s="10" t="n">
        <v>46166</v>
      </c>
      <c r="TH170" s="9" t="n">
        <v>0</v>
      </c>
      <c r="TJ170" s="9" t="n">
        <v>0</v>
      </c>
      <c r="TK170" s="9" t="n">
        <v>0</v>
      </c>
      <c r="TO170" s="10" t="n">
        <v>46166</v>
      </c>
      <c r="TQ170" s="9" t="n">
        <v>0</v>
      </c>
      <c r="TS170" s="9" t="n">
        <v>0</v>
      </c>
      <c r="TT170" s="9" t="n">
        <v>0</v>
      </c>
      <c r="TX170" s="10" t="n">
        <v>46166</v>
      </c>
      <c r="TZ170" s="9" t="n">
        <v>0</v>
      </c>
      <c r="UB170" s="9" t="n">
        <v>0</v>
      </c>
      <c r="UC170" s="9" t="n">
        <v>0</v>
      </c>
      <c r="UG170" s="10" t="n">
        <v>46166</v>
      </c>
      <c r="UI170" s="9" t="n">
        <v>0</v>
      </c>
      <c r="UK170" s="9" t="n">
        <v>0</v>
      </c>
      <c r="UL170" s="9" t="n">
        <v>0</v>
      </c>
      <c r="UP170" s="10" t="n">
        <v>46166</v>
      </c>
      <c r="UR170" s="9" t="n">
        <v>0</v>
      </c>
      <c r="UT170" s="9" t="n">
        <v>0</v>
      </c>
      <c r="UU170" s="9" t="n">
        <v>0</v>
      </c>
      <c r="UY170" s="10" t="n">
        <v>46166</v>
      </c>
      <c r="VA170" s="9" t="n">
        <v>0</v>
      </c>
      <c r="VC170" s="9" t="n">
        <v>0</v>
      </c>
      <c r="VD170" s="9" t="n">
        <v>41.60000000000002</v>
      </c>
      <c r="VH170" s="10" t="n">
        <v>46166</v>
      </c>
      <c r="VJ170" s="9" t="n">
        <v>0</v>
      </c>
      <c r="VL170" s="9" t="n">
        <v>0</v>
      </c>
      <c r="VM170" s="9" t="n">
        <v>0</v>
      </c>
      <c r="VQ170" s="10" t="n">
        <v>46166</v>
      </c>
      <c r="VS170" s="9" t="n">
        <v>0</v>
      </c>
      <c r="VU170" s="9" t="n">
        <v>0</v>
      </c>
      <c r="VV170" s="9" t="n">
        <v>0</v>
      </c>
      <c r="VZ170" s="10" t="n">
        <v>46166</v>
      </c>
      <c r="WB170" s="9" t="n">
        <v>0</v>
      </c>
      <c r="WD170" s="9" t="n">
        <v>0</v>
      </c>
      <c r="WE170" s="9" t="n">
        <v>0</v>
      </c>
      <c r="WI170" s="10" t="n">
        <v>46166</v>
      </c>
      <c r="WK170" s="9" t="n">
        <v>0</v>
      </c>
      <c r="WM170" s="9" t="n">
        <v>0</v>
      </c>
      <c r="WN170" s="9" t="n">
        <v>1599</v>
      </c>
      <c r="WR170" s="10" t="n">
        <v>46166</v>
      </c>
      <c r="WT170" s="9" t="n">
        <v>0</v>
      </c>
      <c r="WV170" s="9" t="n">
        <v>0</v>
      </c>
      <c r="WW170" s="9" t="n">
        <v>0</v>
      </c>
      <c r="XA170" s="10" t="n">
        <v>46166</v>
      </c>
      <c r="XC170" s="9" t="n">
        <v>0</v>
      </c>
      <c r="XE170" s="9" t="n">
        <v>0</v>
      </c>
      <c r="XF170" s="9" t="n">
        <v>8023</v>
      </c>
      <c r="XJ170" s="10" t="n">
        <v>46166</v>
      </c>
      <c r="XL170" s="9" t="n">
        <v>0</v>
      </c>
      <c r="XN170" s="9" t="n">
        <v>0</v>
      </c>
      <c r="XO170" s="9" t="n">
        <v>-234</v>
      </c>
      <c r="XS170" s="10" t="n">
        <v>46166</v>
      </c>
      <c r="XU170" s="9" t="n">
        <v>0</v>
      </c>
      <c r="XW170" s="9" t="n">
        <v>0</v>
      </c>
      <c r="XX170" s="9" t="n">
        <v>1901</v>
      </c>
      <c r="YB170" s="10" t="n">
        <v>46166</v>
      </c>
      <c r="YD170" s="9" t="n">
        <v>0</v>
      </c>
      <c r="YF170" s="9" t="n">
        <v>0</v>
      </c>
      <c r="YG170" s="9" t="n">
        <v>6459</v>
      </c>
      <c r="YK170" s="10" t="n">
        <v>46166</v>
      </c>
      <c r="YM170" s="9" t="n">
        <v>0</v>
      </c>
      <c r="YO170" s="9" t="n">
        <v>0</v>
      </c>
      <c r="YP170" s="9" t="n">
        <v>0</v>
      </c>
      <c r="YT170" s="10" t="n">
        <v>46166</v>
      </c>
      <c r="YV170" s="9" t="n">
        <v>0</v>
      </c>
      <c r="YX170" s="9" t="n">
        <v>0</v>
      </c>
      <c r="YY170" s="9" t="n">
        <v>0</v>
      </c>
      <c r="ZC170" s="10" t="n">
        <v>46166</v>
      </c>
      <c r="ZE170" s="9" t="n">
        <v>0</v>
      </c>
      <c r="ZG170" s="9" t="n">
        <v>0</v>
      </c>
      <c r="ZH170" s="9" t="n">
        <v>0</v>
      </c>
      <c r="ZL170" s="10" t="n">
        <v>46166</v>
      </c>
      <c r="ZN170" s="9" t="n">
        <v>0</v>
      </c>
      <c r="ZP170" s="9" t="n">
        <v>0</v>
      </c>
      <c r="ZQ170" s="9" t="n">
        <v>0</v>
      </c>
      <c r="ZU170" s="10" t="n">
        <v>46166</v>
      </c>
      <c r="ZW170" s="9" t="n">
        <v>0</v>
      </c>
      <c r="ZY170" s="9" t="n">
        <v>0</v>
      </c>
      <c r="ZZ170" s="9" t="n">
        <v>0</v>
      </c>
      <c r="AAD170" s="10" t="n">
        <v>46166</v>
      </c>
      <c r="AAF170" s="9" t="n">
        <v>0</v>
      </c>
      <c r="AAH170" s="9" t="n">
        <v>0</v>
      </c>
      <c r="AAI170" s="9" t="n">
        <v>0</v>
      </c>
      <c r="AAM170" s="10" t="n">
        <v>46166</v>
      </c>
      <c r="AAO170" s="9" t="n">
        <v>0</v>
      </c>
      <c r="AAQ170" s="9" t="n">
        <v>0</v>
      </c>
      <c r="AAR170" s="9" t="n">
        <v>0</v>
      </c>
      <c r="AAV170" s="10" t="n">
        <v>46166</v>
      </c>
      <c r="AAX170" s="9" t="n">
        <v>0</v>
      </c>
      <c r="AAZ170" s="9" t="n">
        <v>0</v>
      </c>
      <c r="ABA170" s="9" t="n">
        <v>0</v>
      </c>
      <c r="ABE170" s="10" t="n">
        <v>46166</v>
      </c>
      <c r="ABG170" s="9" t="n">
        <v>0</v>
      </c>
      <c r="ABI170" s="9" t="n">
        <v>0</v>
      </c>
      <c r="ABJ170" s="9" t="n">
        <v>0</v>
      </c>
    </row>
    <row r="171">
      <c r="B171" s="9" t="n">
        <v>34</v>
      </c>
      <c r="C171" s="10" t="n">
        <v>46167</v>
      </c>
      <c r="D171" s="9" t="n">
        <v>67690</v>
      </c>
      <c r="E171" s="9" t="n">
        <v>18033.48</v>
      </c>
      <c r="F171" s="9" t="n">
        <v>18045</v>
      </c>
      <c r="G171" s="9" t="n">
        <v>-11.5199999999968</v>
      </c>
      <c r="H171" s="9" t="n">
        <v>183003.6000000001</v>
      </c>
      <c r="I171" s="9" t="inlineStr">
        <is>
          <t>8100 14mt, 5201 20mt</t>
        </is>
      </c>
      <c r="L171" s="10" t="n">
        <v>46167</v>
      </c>
      <c r="M171" s="9" t="n">
        <v>30900</v>
      </c>
      <c r="N171" s="9" t="n">
        <v>10719.8</v>
      </c>
      <c r="O171" s="9" t="n">
        <v>10715.8</v>
      </c>
      <c r="P171" s="9" t="n">
        <v>4</v>
      </c>
      <c r="Q171" s="9" t="n">
        <v>64981.80000000008</v>
      </c>
      <c r="U171" s="10" t="n">
        <v>46167</v>
      </c>
      <c r="W171" s="9" t="n">
        <v>1700</v>
      </c>
      <c r="X171" s="9" t="n">
        <v>1700.1</v>
      </c>
      <c r="Y171" s="9" t="n">
        <v>-0.09999999999990905</v>
      </c>
      <c r="Z171" s="9" t="n">
        <v>31366.99999999997</v>
      </c>
      <c r="AD171" s="10" t="n">
        <v>46167</v>
      </c>
      <c r="AF171" s="9" t="n">
        <v>0</v>
      </c>
      <c r="AH171" s="9" t="n">
        <v>0</v>
      </c>
      <c r="AI171" s="9" t="n">
        <v>13223.00000000002</v>
      </c>
      <c r="AM171" s="10" t="n">
        <v>46167</v>
      </c>
      <c r="AO171" s="9" t="n">
        <v>0</v>
      </c>
      <c r="AQ171" s="9" t="n">
        <v>0</v>
      </c>
      <c r="AR171" s="9" t="n">
        <v>0</v>
      </c>
      <c r="AV171" s="10" t="n">
        <v>46167</v>
      </c>
      <c r="AX171" s="9" t="n">
        <v>280</v>
      </c>
      <c r="AY171" s="9" t="n">
        <v>280.4</v>
      </c>
      <c r="AZ171" s="9" t="n">
        <v>-0.3999999999999773</v>
      </c>
      <c r="BA171" s="9" t="n">
        <v>7546.499999999997</v>
      </c>
      <c r="BE171" s="10" t="n">
        <v>46167</v>
      </c>
      <c r="BG171" s="9" t="n">
        <v>210</v>
      </c>
      <c r="BH171" s="9" t="n">
        <v>210.1</v>
      </c>
      <c r="BI171" s="9" t="n">
        <v>-0.09999999999999432</v>
      </c>
      <c r="BJ171" s="9" t="n">
        <v>35638.19999999999</v>
      </c>
      <c r="BN171" s="10" t="n">
        <v>46167</v>
      </c>
      <c r="BO171" s="9" t="n">
        <v>140</v>
      </c>
      <c r="BP171" s="9" t="n">
        <v>140</v>
      </c>
      <c r="BQ171" s="9" t="n">
        <v>140</v>
      </c>
      <c r="BR171" s="9" t="n">
        <v>0</v>
      </c>
      <c r="BS171" s="9" t="n">
        <v>0</v>
      </c>
      <c r="BW171" s="10" t="n">
        <v>46167</v>
      </c>
      <c r="BY171" s="9" t="n">
        <v>256.5</v>
      </c>
      <c r="CA171" s="9" t="n">
        <v>256.5</v>
      </c>
      <c r="CB171" s="9" t="n">
        <v>5501.299999999999</v>
      </c>
      <c r="CF171" s="10" t="n">
        <v>46167</v>
      </c>
      <c r="CH171" s="9" t="n">
        <v>85.11999999999999</v>
      </c>
      <c r="CJ171" s="9" t="n">
        <v>85.11999999999999</v>
      </c>
      <c r="CK171" s="9" t="n">
        <v>0</v>
      </c>
      <c r="CO171" s="10" t="n">
        <v>46167</v>
      </c>
      <c r="CQ171" s="9" t="n">
        <v>0</v>
      </c>
      <c r="CS171" s="9" t="n">
        <v>0</v>
      </c>
      <c r="CT171" s="9" t="n">
        <v>0</v>
      </c>
      <c r="CX171" s="10" t="n">
        <v>46167</v>
      </c>
      <c r="CZ171" s="9" t="n">
        <v>400</v>
      </c>
      <c r="DA171" s="9" t="n">
        <v>399.1</v>
      </c>
      <c r="DB171" s="9" t="n">
        <v>0.8999999999999773</v>
      </c>
      <c r="DC171" s="9" t="n">
        <v>21057.90000000001</v>
      </c>
      <c r="DG171" s="10" t="n">
        <v>46167</v>
      </c>
      <c r="DI171" s="9" t="n">
        <v>700</v>
      </c>
      <c r="DJ171" s="9" t="n">
        <v>701.2</v>
      </c>
      <c r="DK171" s="9" t="n">
        <v>-1.200000000000045</v>
      </c>
      <c r="DL171" s="9" t="n">
        <v>37036.09999999998</v>
      </c>
      <c r="DP171" s="10" t="n">
        <v>46167</v>
      </c>
      <c r="DR171" s="9" t="n">
        <v>0</v>
      </c>
      <c r="DT171" s="9" t="n">
        <v>0</v>
      </c>
      <c r="DU171" s="9" t="n">
        <v>5800</v>
      </c>
      <c r="DY171" s="10" t="n">
        <v>46167</v>
      </c>
      <c r="EA171" s="9" t="n">
        <v>0</v>
      </c>
      <c r="EC171" s="9" t="n">
        <v>0</v>
      </c>
      <c r="ED171" s="9" t="n">
        <v>0</v>
      </c>
      <c r="EH171" s="10" t="n">
        <v>46167</v>
      </c>
      <c r="EJ171" s="9" t="n">
        <v>0</v>
      </c>
      <c r="EL171" s="9" t="n">
        <v>0</v>
      </c>
      <c r="EM171" s="9" t="n">
        <v>0</v>
      </c>
      <c r="EQ171" s="10" t="n">
        <v>46167</v>
      </c>
      <c r="ES171" s="9" t="n">
        <v>0</v>
      </c>
      <c r="EU171" s="9" t="n">
        <v>0</v>
      </c>
      <c r="EV171" s="9" t="n">
        <v>0</v>
      </c>
      <c r="EZ171" s="10" t="n">
        <v>46167</v>
      </c>
      <c r="FB171" s="9" t="n">
        <v>0</v>
      </c>
      <c r="FD171" s="9" t="n">
        <v>0</v>
      </c>
      <c r="FE171" s="9" t="n">
        <v>0</v>
      </c>
      <c r="FI171" s="10" t="n">
        <v>46167</v>
      </c>
      <c r="FK171" s="9" t="n">
        <v>0</v>
      </c>
      <c r="FM171" s="9" t="n">
        <v>0</v>
      </c>
      <c r="FN171" s="9" t="n">
        <v>0</v>
      </c>
      <c r="FR171" s="10" t="n">
        <v>46167</v>
      </c>
      <c r="FT171" s="9" t="n">
        <v>0</v>
      </c>
      <c r="FV171" s="9" t="n">
        <v>0</v>
      </c>
      <c r="FW171" s="9" t="n">
        <v>4140</v>
      </c>
      <c r="GA171" s="10" t="n">
        <v>46167</v>
      </c>
      <c r="GC171" s="9" t="n">
        <v>0</v>
      </c>
      <c r="GE171" s="9" t="n">
        <v>0</v>
      </c>
      <c r="GF171" s="9" t="n">
        <v>5040</v>
      </c>
      <c r="GJ171" s="10" t="n">
        <v>46167</v>
      </c>
      <c r="GL171" s="9" t="n">
        <v>0</v>
      </c>
      <c r="GN171" s="9" t="n">
        <v>0</v>
      </c>
      <c r="GO171" s="9" t="n">
        <v>2560</v>
      </c>
      <c r="GS171" s="10" t="n">
        <v>46167</v>
      </c>
      <c r="GU171" s="9" t="n">
        <v>0</v>
      </c>
      <c r="GW171" s="9" t="n">
        <v>0</v>
      </c>
      <c r="GX171" s="9" t="n">
        <v>600</v>
      </c>
      <c r="HB171" s="10" t="n">
        <v>46167</v>
      </c>
      <c r="HD171" s="9" t="n">
        <v>0</v>
      </c>
      <c r="HF171" s="9" t="n">
        <v>0</v>
      </c>
      <c r="HG171" s="9" t="n">
        <v>3600</v>
      </c>
      <c r="HK171" s="10" t="n">
        <v>46167</v>
      </c>
      <c r="HM171" s="9" t="n">
        <v>0</v>
      </c>
      <c r="HO171" s="9" t="n">
        <v>0</v>
      </c>
      <c r="HP171" s="9" t="n">
        <v>0</v>
      </c>
      <c r="HU171" s="10" t="n">
        <v>46167</v>
      </c>
      <c r="HW171" s="9" t="n">
        <v>280</v>
      </c>
      <c r="HY171" s="9" t="n">
        <v>280</v>
      </c>
      <c r="HZ171" s="9" t="n">
        <v>7080</v>
      </c>
      <c r="ID171" s="10" t="n">
        <v>46167</v>
      </c>
      <c r="IF171" s="9" t="n">
        <v>0</v>
      </c>
      <c r="IH171" s="9" t="n">
        <v>0</v>
      </c>
      <c r="II171" s="9" t="n">
        <v>720</v>
      </c>
      <c r="IM171" s="10" t="n">
        <v>46167</v>
      </c>
      <c r="IO171" s="9" t="n">
        <v>0</v>
      </c>
      <c r="IQ171" s="9" t="n">
        <v>0</v>
      </c>
      <c r="IR171" s="9" t="n">
        <v>8140</v>
      </c>
      <c r="IV171" s="10" t="n">
        <v>46167</v>
      </c>
      <c r="IX171" s="9" t="n">
        <v>0</v>
      </c>
      <c r="IZ171" s="9" t="n">
        <v>0</v>
      </c>
      <c r="JA171" s="9" t="n">
        <v>8960</v>
      </c>
      <c r="JE171" s="10" t="n">
        <v>46167</v>
      </c>
      <c r="JG171" s="9" t="n">
        <v>0</v>
      </c>
      <c r="JI171" s="9" t="n">
        <v>0</v>
      </c>
      <c r="JJ171" s="9" t="n">
        <v>0</v>
      </c>
      <c r="JN171" s="10" t="n">
        <v>46167</v>
      </c>
      <c r="JP171" s="9" t="n">
        <v>0</v>
      </c>
      <c r="JR171" s="9" t="n">
        <v>0</v>
      </c>
      <c r="JS171" s="9" t="n">
        <v>5300</v>
      </c>
      <c r="JW171" s="10" t="n">
        <v>46167</v>
      </c>
      <c r="JY171" s="9" t="n">
        <v>0</v>
      </c>
      <c r="KA171" s="9" t="n">
        <v>0</v>
      </c>
      <c r="KB171" s="9" t="n">
        <v>2540</v>
      </c>
      <c r="KF171" s="10" t="n">
        <v>46167</v>
      </c>
      <c r="KH171" s="9" t="n">
        <v>0</v>
      </c>
      <c r="KJ171" s="9" t="n">
        <v>0</v>
      </c>
      <c r="KK171" s="9" t="n">
        <v>2359.5</v>
      </c>
      <c r="KO171" s="10" t="n">
        <v>46167</v>
      </c>
      <c r="KQ171" s="9" t="n">
        <v>0</v>
      </c>
      <c r="KS171" s="9" t="n">
        <v>0</v>
      </c>
      <c r="KT171" s="9" t="n">
        <v>1890</v>
      </c>
      <c r="KX171" s="10" t="n">
        <v>46167</v>
      </c>
      <c r="KZ171" s="9" t="n">
        <v>0</v>
      </c>
      <c r="LB171" s="9" t="n">
        <v>0</v>
      </c>
      <c r="LC171" s="9" t="n">
        <v>3690</v>
      </c>
      <c r="LG171" s="10" t="n">
        <v>46167</v>
      </c>
      <c r="LI171" s="9" t="n">
        <v>0</v>
      </c>
      <c r="LK171" s="9" t="n">
        <v>0</v>
      </c>
      <c r="LL171" s="9" t="n">
        <v>4000</v>
      </c>
      <c r="LP171" s="10" t="n">
        <v>46167</v>
      </c>
      <c r="LR171" s="9" t="n">
        <v>0</v>
      </c>
      <c r="LT171" s="9" t="n">
        <v>0</v>
      </c>
      <c r="LU171" s="9" t="n">
        <v>0</v>
      </c>
      <c r="LY171" s="10" t="n">
        <v>46167</v>
      </c>
      <c r="MA171" s="9" t="n">
        <v>0</v>
      </c>
      <c r="MC171" s="9" t="n">
        <v>0</v>
      </c>
      <c r="MD171" s="9" t="n">
        <v>0</v>
      </c>
      <c r="MH171" s="10" t="n">
        <v>46167</v>
      </c>
      <c r="MJ171" s="9" t="n">
        <v>0</v>
      </c>
      <c r="ML171" s="9" t="n">
        <v>0</v>
      </c>
      <c r="MM171" s="9" t="n">
        <v>0</v>
      </c>
      <c r="MQ171" s="10" t="n">
        <v>46167</v>
      </c>
      <c r="MS171" s="9" t="n">
        <v>7</v>
      </c>
      <c r="MU171" s="9" t="n">
        <v>7</v>
      </c>
      <c r="MV171" s="9" t="n">
        <v>3731</v>
      </c>
      <c r="MZ171" s="10" t="n">
        <v>46167</v>
      </c>
      <c r="NB171" s="9" t="n">
        <v>42</v>
      </c>
      <c r="ND171" s="9" t="n">
        <v>42</v>
      </c>
      <c r="NE171" s="9" t="n">
        <v>0</v>
      </c>
      <c r="NI171" s="10" t="n">
        <v>46167</v>
      </c>
      <c r="NK171" s="9" t="n">
        <v>0</v>
      </c>
      <c r="NM171" s="9" t="n">
        <v>0</v>
      </c>
      <c r="NN171" s="9" t="n">
        <v>1127</v>
      </c>
      <c r="NR171" s="10" t="n">
        <v>46167</v>
      </c>
      <c r="NT171" s="9" t="n">
        <v>0</v>
      </c>
      <c r="NV171" s="9" t="n">
        <v>0</v>
      </c>
      <c r="NW171" s="9" t="n">
        <v>3112</v>
      </c>
      <c r="OA171" s="10" t="n">
        <v>46167</v>
      </c>
      <c r="OC171" s="9" t="n">
        <v>0</v>
      </c>
      <c r="OE171" s="9" t="n">
        <v>0</v>
      </c>
      <c r="OF171" s="9" t="n">
        <v>1680.5</v>
      </c>
      <c r="OJ171" s="10" t="n">
        <v>46167</v>
      </c>
      <c r="OL171" s="9" t="n">
        <v>0</v>
      </c>
      <c r="ON171" s="9" t="n">
        <v>0</v>
      </c>
      <c r="OO171" s="9" t="n">
        <v>0</v>
      </c>
      <c r="OS171" s="10" t="n">
        <v>46167</v>
      </c>
      <c r="OU171" s="9" t="n">
        <v>0</v>
      </c>
      <c r="OW171" s="9" t="n">
        <v>0</v>
      </c>
      <c r="OX171" s="9" t="n">
        <v>1482</v>
      </c>
      <c r="PB171" s="10" t="n">
        <v>46167</v>
      </c>
      <c r="PD171" s="9" t="n">
        <v>0</v>
      </c>
      <c r="PF171" s="9" t="n">
        <v>0</v>
      </c>
      <c r="PG171" s="9" t="n">
        <v>0</v>
      </c>
      <c r="PK171" s="10" t="n">
        <v>46167</v>
      </c>
      <c r="PM171" s="9" t="n">
        <v>0</v>
      </c>
      <c r="PO171" s="9" t="n">
        <v>0</v>
      </c>
      <c r="PP171" s="9" t="n">
        <v>100</v>
      </c>
      <c r="PT171" s="10" t="n">
        <v>46167</v>
      </c>
      <c r="PV171" s="9" t="n">
        <v>0</v>
      </c>
      <c r="PX171" s="9" t="n">
        <v>0</v>
      </c>
      <c r="PY171" s="9" t="n">
        <v>13.96000000000004</v>
      </c>
      <c r="QC171" s="10" t="n">
        <v>46167</v>
      </c>
      <c r="QE171" s="9" t="n">
        <v>0</v>
      </c>
      <c r="QG171" s="9" t="n">
        <v>0</v>
      </c>
      <c r="QH171" s="9" t="n">
        <v>176</v>
      </c>
      <c r="QL171" s="10" t="n">
        <v>46167</v>
      </c>
      <c r="QM171" s="9" t="n">
        <v>1200</v>
      </c>
      <c r="QN171" s="9" t="n">
        <v>0</v>
      </c>
      <c r="QP171" s="9" t="n">
        <v>0</v>
      </c>
      <c r="QQ171" s="9" t="n">
        <v>1690</v>
      </c>
      <c r="QU171" s="10" t="n">
        <v>46167</v>
      </c>
      <c r="QW171" s="9" t="n">
        <v>0</v>
      </c>
      <c r="QY171" s="9" t="n">
        <v>0</v>
      </c>
      <c r="QZ171" s="9" t="n">
        <v>207.6</v>
      </c>
      <c r="RD171" s="10" t="n">
        <v>46167</v>
      </c>
      <c r="RF171" s="9" t="n">
        <v>0</v>
      </c>
      <c r="RH171" s="9" t="n">
        <v>0</v>
      </c>
      <c r="RI171" s="9" t="n">
        <v>147.04</v>
      </c>
      <c r="RM171" s="10" t="n">
        <v>46167</v>
      </c>
      <c r="RO171" s="9" t="n">
        <v>0</v>
      </c>
      <c r="RQ171" s="9" t="n">
        <v>0</v>
      </c>
      <c r="RR171" s="9" t="n">
        <v>46.8</v>
      </c>
      <c r="RV171" s="10" t="n">
        <v>46167</v>
      </c>
      <c r="RX171" s="9" t="n">
        <v>0</v>
      </c>
      <c r="RZ171" s="9" t="n">
        <v>0</v>
      </c>
      <c r="SA171" s="9" t="n">
        <v>0</v>
      </c>
      <c r="SE171" s="10" t="n">
        <v>46167</v>
      </c>
      <c r="SG171" s="9" t="n">
        <v>0</v>
      </c>
      <c r="SI171" s="9" t="n">
        <v>0</v>
      </c>
      <c r="SJ171" s="9" t="n">
        <v>24.2</v>
      </c>
      <c r="SN171" s="10" t="n">
        <v>46167</v>
      </c>
      <c r="SP171" s="9" t="n">
        <v>0</v>
      </c>
      <c r="SR171" s="9" t="n">
        <v>0</v>
      </c>
      <c r="SS171" s="9" t="n">
        <v>32</v>
      </c>
      <c r="SW171" s="10" t="n">
        <v>46167</v>
      </c>
      <c r="SY171" s="9" t="n">
        <v>0</v>
      </c>
      <c r="TA171" s="9" t="n">
        <v>0</v>
      </c>
      <c r="TB171" s="9" t="n">
        <v>0</v>
      </c>
      <c r="TF171" s="10" t="n">
        <v>46167</v>
      </c>
      <c r="TH171" s="9" t="n">
        <v>0</v>
      </c>
      <c r="TJ171" s="9" t="n">
        <v>0</v>
      </c>
      <c r="TK171" s="9" t="n">
        <v>0</v>
      </c>
      <c r="TO171" s="10" t="n">
        <v>46167</v>
      </c>
      <c r="TQ171" s="9" t="n">
        <v>0</v>
      </c>
      <c r="TS171" s="9" t="n">
        <v>0</v>
      </c>
      <c r="TT171" s="9" t="n">
        <v>0</v>
      </c>
      <c r="TX171" s="10" t="n">
        <v>46167</v>
      </c>
      <c r="TY171" s="9" t="n">
        <v>228</v>
      </c>
      <c r="TZ171" s="9" t="n">
        <v>0</v>
      </c>
      <c r="UB171" s="9" t="n">
        <v>0</v>
      </c>
      <c r="UC171" s="9" t="n">
        <v>228</v>
      </c>
      <c r="UG171" s="10" t="n">
        <v>46167</v>
      </c>
      <c r="UH171" s="9" t="n">
        <v>1000</v>
      </c>
      <c r="UI171" s="9" t="n">
        <v>0</v>
      </c>
      <c r="UK171" s="9" t="n">
        <v>0</v>
      </c>
      <c r="UL171" s="9" t="n">
        <v>1000</v>
      </c>
      <c r="UP171" s="10" t="n">
        <v>46167</v>
      </c>
      <c r="UR171" s="9" t="n">
        <v>0</v>
      </c>
      <c r="UT171" s="9" t="n">
        <v>0</v>
      </c>
      <c r="UU171" s="9" t="n">
        <v>0</v>
      </c>
      <c r="UY171" s="10" t="n">
        <v>46167</v>
      </c>
      <c r="VA171" s="9" t="n">
        <v>0</v>
      </c>
      <c r="VC171" s="9" t="n">
        <v>0</v>
      </c>
      <c r="VD171" s="9" t="n">
        <v>41.60000000000002</v>
      </c>
      <c r="VH171" s="10" t="n">
        <v>46167</v>
      </c>
      <c r="VJ171" s="9" t="n">
        <v>0</v>
      </c>
      <c r="VL171" s="9" t="n">
        <v>0</v>
      </c>
      <c r="VM171" s="9" t="n">
        <v>0</v>
      </c>
      <c r="VQ171" s="10" t="n">
        <v>46167</v>
      </c>
      <c r="VS171" s="9" t="n">
        <v>0</v>
      </c>
      <c r="VU171" s="9" t="n">
        <v>0</v>
      </c>
      <c r="VV171" s="9" t="n">
        <v>0</v>
      </c>
      <c r="VZ171" s="10" t="n">
        <v>46167</v>
      </c>
      <c r="WB171" s="9" t="n">
        <v>0</v>
      </c>
      <c r="WD171" s="9" t="n">
        <v>0</v>
      </c>
      <c r="WE171" s="9" t="n">
        <v>0</v>
      </c>
      <c r="WI171" s="10" t="n">
        <v>46167</v>
      </c>
      <c r="WK171" s="9" t="n">
        <v>0</v>
      </c>
      <c r="WL171" s="9" t="n">
        <v>400</v>
      </c>
      <c r="WM171" s="9" t="n">
        <v>-400</v>
      </c>
      <c r="WN171" s="9" t="n">
        <v>1199</v>
      </c>
      <c r="WR171" s="10" t="n">
        <v>46167</v>
      </c>
      <c r="WT171" s="9" t="n">
        <v>0</v>
      </c>
      <c r="WV171" s="9" t="n">
        <v>0</v>
      </c>
      <c r="WW171" s="9" t="n">
        <v>0</v>
      </c>
      <c r="XA171" s="10" t="n">
        <v>46167</v>
      </c>
      <c r="XC171" s="9" t="n">
        <v>0</v>
      </c>
      <c r="XE171" s="9" t="n">
        <v>0</v>
      </c>
      <c r="XF171" s="9" t="n">
        <v>8023</v>
      </c>
      <c r="XJ171" s="10" t="n">
        <v>46167</v>
      </c>
      <c r="XL171" s="9" t="n">
        <v>0</v>
      </c>
      <c r="XN171" s="9" t="n">
        <v>0</v>
      </c>
      <c r="XO171" s="9" t="n">
        <v>-234</v>
      </c>
      <c r="XS171" s="10" t="n">
        <v>46167</v>
      </c>
      <c r="XU171" s="9" t="n">
        <v>0</v>
      </c>
      <c r="XV171" s="9" t="n">
        <v>280</v>
      </c>
      <c r="XW171" s="9" t="n">
        <v>-280</v>
      </c>
      <c r="XX171" s="9" t="n">
        <v>1621</v>
      </c>
      <c r="YB171" s="10" t="n">
        <v>46167</v>
      </c>
      <c r="YD171" s="9" t="n">
        <v>0</v>
      </c>
      <c r="YF171" s="9" t="n">
        <v>0</v>
      </c>
      <c r="YG171" s="9" t="n">
        <v>6459</v>
      </c>
      <c r="YK171" s="10" t="n">
        <v>46167</v>
      </c>
      <c r="YM171" s="9" t="n">
        <v>0</v>
      </c>
      <c r="YO171" s="9" t="n">
        <v>0</v>
      </c>
      <c r="YP171" s="9" t="n">
        <v>0</v>
      </c>
      <c r="YT171" s="10" t="n">
        <v>46167</v>
      </c>
      <c r="YV171" s="9" t="n">
        <v>0</v>
      </c>
      <c r="YX171" s="9" t="n">
        <v>0</v>
      </c>
      <c r="YY171" s="9" t="n">
        <v>0</v>
      </c>
      <c r="ZC171" s="10" t="n">
        <v>46167</v>
      </c>
      <c r="ZE171" s="9" t="n">
        <v>0</v>
      </c>
      <c r="ZG171" s="9" t="n">
        <v>0</v>
      </c>
      <c r="ZH171" s="9" t="n">
        <v>0</v>
      </c>
      <c r="ZL171" s="10" t="n">
        <v>46167</v>
      </c>
      <c r="ZN171" s="9" t="n">
        <v>0</v>
      </c>
      <c r="ZP171" s="9" t="n">
        <v>0</v>
      </c>
      <c r="ZQ171" s="9" t="n">
        <v>0</v>
      </c>
      <c r="ZU171" s="10" t="n">
        <v>46167</v>
      </c>
      <c r="ZW171" s="9" t="n">
        <v>0</v>
      </c>
      <c r="ZY171" s="9" t="n">
        <v>0</v>
      </c>
      <c r="ZZ171" s="9" t="n">
        <v>0</v>
      </c>
      <c r="AAD171" s="10" t="n">
        <v>46167</v>
      </c>
      <c r="AAF171" s="9" t="n">
        <v>0</v>
      </c>
      <c r="AAH171" s="9" t="n">
        <v>0</v>
      </c>
      <c r="AAI171" s="9" t="n">
        <v>0</v>
      </c>
      <c r="AAM171" s="10" t="n">
        <v>46167</v>
      </c>
      <c r="AAO171" s="9" t="n">
        <v>0</v>
      </c>
      <c r="AAQ171" s="9" t="n">
        <v>0</v>
      </c>
      <c r="AAR171" s="9" t="n">
        <v>0</v>
      </c>
      <c r="AAV171" s="10" t="n">
        <v>46167</v>
      </c>
      <c r="AAX171" s="9" t="n">
        <v>0</v>
      </c>
      <c r="AAZ171" s="9" t="n">
        <v>0</v>
      </c>
      <c r="ABA171" s="9" t="n">
        <v>0</v>
      </c>
      <c r="ABE171" s="10" t="n">
        <v>46167</v>
      </c>
      <c r="ABG171" s="9" t="n">
        <v>0</v>
      </c>
      <c r="ABI171" s="9" t="n">
        <v>0</v>
      </c>
      <c r="ABJ171" s="9" t="n">
        <v>0</v>
      </c>
    </row>
    <row r="172">
      <c r="B172" s="9" t="n">
        <v>60</v>
      </c>
      <c r="C172" s="10" t="n">
        <v>46168</v>
      </c>
      <c r="D172" s="9" t="n">
        <v>11120</v>
      </c>
      <c r="E172" s="9" t="n">
        <v>38952</v>
      </c>
      <c r="F172" s="9" t="n">
        <v>38942</v>
      </c>
      <c r="G172" s="9" t="n">
        <v>10</v>
      </c>
      <c r="H172" s="9" t="n">
        <v>155181.6000000001</v>
      </c>
      <c r="I172" s="9" t="inlineStr">
        <is>
          <t>1103 60mt</t>
        </is>
      </c>
      <c r="L172" s="10" t="n">
        <v>46168</v>
      </c>
      <c r="N172" s="9" t="n">
        <v>9693</v>
      </c>
      <c r="O172" s="9" t="n">
        <v>9692.6</v>
      </c>
      <c r="P172" s="9" t="n">
        <v>0.3999999999996362</v>
      </c>
      <c r="Q172" s="9" t="n">
        <v>55289.20000000008</v>
      </c>
      <c r="U172" s="10" t="n">
        <v>46168</v>
      </c>
      <c r="W172" s="9" t="n">
        <v>4500</v>
      </c>
      <c r="X172" s="9" t="n">
        <v>4499</v>
      </c>
      <c r="Y172" s="9" t="n">
        <v>1</v>
      </c>
      <c r="Z172" s="9" t="n">
        <v>26867.99999999997</v>
      </c>
      <c r="AD172" s="10" t="n">
        <v>46168</v>
      </c>
      <c r="AF172" s="9" t="n">
        <v>0</v>
      </c>
      <c r="AH172" s="9" t="n">
        <v>0</v>
      </c>
      <c r="AI172" s="9" t="n">
        <v>13223.00000000002</v>
      </c>
      <c r="AM172" s="10" t="n">
        <v>46168</v>
      </c>
      <c r="AO172" s="9" t="n">
        <v>0</v>
      </c>
      <c r="AQ172" s="9" t="n">
        <v>0</v>
      </c>
      <c r="AR172" s="9" t="n">
        <v>0</v>
      </c>
      <c r="AV172" s="10" t="n">
        <v>46168</v>
      </c>
      <c r="AX172" s="9" t="n">
        <v>900</v>
      </c>
      <c r="AY172" s="9" t="n">
        <v>899.8</v>
      </c>
      <c r="AZ172" s="9" t="n">
        <v>0.2000000000000455</v>
      </c>
      <c r="BA172" s="9" t="n">
        <v>6646.699999999997</v>
      </c>
      <c r="BE172" s="10" t="n">
        <v>46168</v>
      </c>
      <c r="BG172" s="9" t="n">
        <v>1200</v>
      </c>
      <c r="BH172" s="9" t="n">
        <v>1200</v>
      </c>
      <c r="BI172" s="9" t="n">
        <v>0</v>
      </c>
      <c r="BJ172" s="9" t="n">
        <v>34438.19999999999</v>
      </c>
      <c r="BN172" s="10" t="n">
        <v>46168</v>
      </c>
      <c r="BO172" s="9" t="n">
        <v>1620</v>
      </c>
      <c r="BP172" s="9" t="n">
        <v>1620</v>
      </c>
      <c r="BQ172" s="9" t="n">
        <v>1620</v>
      </c>
      <c r="BR172" s="9" t="n">
        <v>0</v>
      </c>
      <c r="BS172" s="9" t="n">
        <v>0</v>
      </c>
      <c r="BW172" s="10" t="n">
        <v>46168</v>
      </c>
      <c r="BY172" s="9" t="n">
        <v>0</v>
      </c>
      <c r="CA172" s="9" t="n">
        <v>0</v>
      </c>
      <c r="CB172" s="9" t="n">
        <v>5501.299999999999</v>
      </c>
      <c r="CF172" s="10" t="n">
        <v>46168</v>
      </c>
      <c r="CH172" s="9" t="n">
        <v>15</v>
      </c>
      <c r="CJ172" s="9" t="n">
        <v>15</v>
      </c>
      <c r="CK172" s="9" t="n">
        <v>0</v>
      </c>
      <c r="CO172" s="10" t="n">
        <v>46168</v>
      </c>
      <c r="CQ172" s="9" t="n">
        <v>0</v>
      </c>
      <c r="CS172" s="9" t="n">
        <v>0</v>
      </c>
      <c r="CT172" s="9" t="n">
        <v>0</v>
      </c>
      <c r="CX172" s="10" t="n">
        <v>46168</v>
      </c>
      <c r="CZ172" s="9" t="n">
        <v>0</v>
      </c>
      <c r="DB172" s="9" t="n">
        <v>0</v>
      </c>
      <c r="DC172" s="9" t="n">
        <v>21057.90000000001</v>
      </c>
      <c r="DG172" s="10" t="n">
        <v>46168</v>
      </c>
      <c r="DI172" s="9" t="n">
        <v>1800</v>
      </c>
      <c r="DJ172" s="9" t="n">
        <v>1801.1</v>
      </c>
      <c r="DK172" s="9" t="n">
        <v>-1.099999999999909</v>
      </c>
      <c r="DL172" s="9" t="n">
        <v>35234.99999999999</v>
      </c>
      <c r="DP172" s="10" t="n">
        <v>46168</v>
      </c>
      <c r="DR172" s="9" t="n">
        <v>0</v>
      </c>
      <c r="DT172" s="9" t="n">
        <v>0</v>
      </c>
      <c r="DU172" s="9" t="n">
        <v>5800</v>
      </c>
      <c r="DY172" s="10" t="n">
        <v>46168</v>
      </c>
      <c r="EA172" s="9" t="n">
        <v>0</v>
      </c>
      <c r="EC172" s="9" t="n">
        <v>0</v>
      </c>
      <c r="ED172" s="9" t="n">
        <v>0</v>
      </c>
      <c r="EH172" s="10" t="n">
        <v>46168</v>
      </c>
      <c r="EJ172" s="9" t="n">
        <v>0</v>
      </c>
      <c r="EL172" s="9" t="n">
        <v>0</v>
      </c>
      <c r="EM172" s="9" t="n">
        <v>0</v>
      </c>
      <c r="EQ172" s="10" t="n">
        <v>46168</v>
      </c>
      <c r="ES172" s="9" t="n">
        <v>0</v>
      </c>
      <c r="EU172" s="9" t="n">
        <v>0</v>
      </c>
      <c r="EV172" s="9" t="n">
        <v>0</v>
      </c>
      <c r="EZ172" s="10" t="n">
        <v>46168</v>
      </c>
      <c r="FB172" s="9" t="n">
        <v>0</v>
      </c>
      <c r="FD172" s="9" t="n">
        <v>0</v>
      </c>
      <c r="FE172" s="9" t="n">
        <v>0</v>
      </c>
      <c r="FI172" s="10" t="n">
        <v>46168</v>
      </c>
      <c r="FK172" s="9" t="n">
        <v>0</v>
      </c>
      <c r="FM172" s="9" t="n">
        <v>0</v>
      </c>
      <c r="FN172" s="9" t="n">
        <v>0</v>
      </c>
      <c r="FR172" s="10" t="n">
        <v>46168</v>
      </c>
      <c r="FT172" s="9" t="n">
        <v>0</v>
      </c>
      <c r="FV172" s="9" t="n">
        <v>0</v>
      </c>
      <c r="FW172" s="9" t="n">
        <v>4140</v>
      </c>
      <c r="GA172" s="10" t="n">
        <v>46168</v>
      </c>
      <c r="GC172" s="9" t="n">
        <v>0</v>
      </c>
      <c r="GE172" s="9" t="n">
        <v>0</v>
      </c>
      <c r="GF172" s="9" t="n">
        <v>5040</v>
      </c>
      <c r="GJ172" s="10" t="n">
        <v>46168</v>
      </c>
      <c r="GL172" s="9" t="n">
        <v>1200</v>
      </c>
      <c r="GN172" s="9" t="n">
        <v>1200</v>
      </c>
      <c r="GO172" s="9" t="n">
        <v>2560</v>
      </c>
      <c r="GS172" s="10" t="n">
        <v>46168</v>
      </c>
      <c r="GU172" s="9" t="n">
        <v>0</v>
      </c>
      <c r="GW172" s="9" t="n">
        <v>0</v>
      </c>
      <c r="GX172" s="9" t="n">
        <v>600</v>
      </c>
      <c r="HB172" s="10" t="n">
        <v>46168</v>
      </c>
      <c r="HD172" s="9" t="n">
        <v>0</v>
      </c>
      <c r="HF172" s="9" t="n">
        <v>0</v>
      </c>
      <c r="HG172" s="9" t="n">
        <v>3600</v>
      </c>
      <c r="HK172" s="10" t="n">
        <v>46168</v>
      </c>
      <c r="HM172" s="9" t="n">
        <v>0</v>
      </c>
      <c r="HO172" s="9" t="n">
        <v>0</v>
      </c>
      <c r="HP172" s="9" t="n">
        <v>0</v>
      </c>
      <c r="HU172" s="10" t="n">
        <v>46168</v>
      </c>
      <c r="HW172" s="9" t="n">
        <v>0</v>
      </c>
      <c r="HY172" s="9" t="n">
        <v>0</v>
      </c>
      <c r="HZ172" s="9" t="n">
        <v>7080</v>
      </c>
      <c r="ID172" s="10" t="n">
        <v>46168</v>
      </c>
      <c r="IF172" s="9" t="n">
        <v>0</v>
      </c>
      <c r="IH172" s="9" t="n">
        <v>0</v>
      </c>
      <c r="II172" s="9" t="n">
        <v>720</v>
      </c>
      <c r="IM172" s="10" t="n">
        <v>46168</v>
      </c>
      <c r="IO172" s="9" t="n">
        <v>0</v>
      </c>
      <c r="IQ172" s="9" t="n">
        <v>0</v>
      </c>
      <c r="IR172" s="9" t="n">
        <v>8140</v>
      </c>
      <c r="IV172" s="10" t="n">
        <v>46168</v>
      </c>
      <c r="IX172" s="9" t="n">
        <v>0</v>
      </c>
      <c r="IZ172" s="9" t="n">
        <v>0</v>
      </c>
      <c r="JA172" s="9" t="n">
        <v>8960</v>
      </c>
      <c r="JE172" s="10" t="n">
        <v>46168</v>
      </c>
      <c r="JG172" s="9" t="n">
        <v>0</v>
      </c>
      <c r="JI172" s="9" t="n">
        <v>0</v>
      </c>
      <c r="JJ172" s="9" t="n">
        <v>0</v>
      </c>
      <c r="JN172" s="10" t="n">
        <v>46168</v>
      </c>
      <c r="JP172" s="9" t="n">
        <v>0</v>
      </c>
      <c r="JR172" s="9" t="n">
        <v>0</v>
      </c>
      <c r="JS172" s="9" t="n">
        <v>5300</v>
      </c>
      <c r="JW172" s="10" t="n">
        <v>46168</v>
      </c>
      <c r="JY172" s="9" t="n">
        <v>0</v>
      </c>
      <c r="KA172" s="9" t="n">
        <v>0</v>
      </c>
      <c r="KB172" s="9" t="n">
        <v>2540</v>
      </c>
      <c r="KF172" s="10" t="n">
        <v>46168</v>
      </c>
      <c r="KH172" s="9" t="n">
        <v>0</v>
      </c>
      <c r="KJ172" s="9" t="n">
        <v>0</v>
      </c>
      <c r="KK172" s="9" t="n">
        <v>2359.5</v>
      </c>
      <c r="KO172" s="10" t="n">
        <v>46168</v>
      </c>
      <c r="KQ172" s="9" t="n">
        <v>0</v>
      </c>
      <c r="KS172" s="9" t="n">
        <v>0</v>
      </c>
      <c r="KT172" s="9" t="n">
        <v>1890</v>
      </c>
      <c r="KX172" s="10" t="n">
        <v>46168</v>
      </c>
      <c r="KZ172" s="9" t="n">
        <v>0</v>
      </c>
      <c r="LB172" s="9" t="n">
        <v>0</v>
      </c>
      <c r="LC172" s="9" t="n">
        <v>3690</v>
      </c>
      <c r="LG172" s="10" t="n">
        <v>46168</v>
      </c>
      <c r="LI172" s="9" t="n">
        <v>0</v>
      </c>
      <c r="LK172" s="9" t="n">
        <v>0</v>
      </c>
      <c r="LL172" s="9" t="n">
        <v>4000</v>
      </c>
      <c r="LP172" s="10" t="n">
        <v>46168</v>
      </c>
      <c r="LR172" s="9" t="n">
        <v>0</v>
      </c>
      <c r="LT172" s="9" t="n">
        <v>0</v>
      </c>
      <c r="LU172" s="9" t="n">
        <v>0</v>
      </c>
      <c r="LY172" s="10" t="n">
        <v>46168</v>
      </c>
      <c r="MA172" s="9" t="n">
        <v>0</v>
      </c>
      <c r="MC172" s="9" t="n">
        <v>0</v>
      </c>
      <c r="MD172" s="9" t="n">
        <v>0</v>
      </c>
      <c r="MH172" s="10" t="n">
        <v>46168</v>
      </c>
      <c r="MJ172" s="9" t="n">
        <v>0</v>
      </c>
      <c r="ML172" s="9" t="n">
        <v>0</v>
      </c>
      <c r="MM172" s="9" t="n">
        <v>0</v>
      </c>
      <c r="MQ172" s="10" t="n">
        <v>46168</v>
      </c>
      <c r="MS172" s="9" t="n">
        <v>0</v>
      </c>
      <c r="MU172" s="9" t="n">
        <v>0</v>
      </c>
      <c r="MV172" s="9" t="n">
        <v>3731</v>
      </c>
      <c r="MZ172" s="10" t="n">
        <v>46168</v>
      </c>
      <c r="NB172" s="9" t="n">
        <v>0</v>
      </c>
      <c r="ND172" s="9" t="n">
        <v>0</v>
      </c>
      <c r="NE172" s="9" t="n">
        <v>0</v>
      </c>
      <c r="NI172" s="10" t="n">
        <v>46168</v>
      </c>
      <c r="NK172" s="9" t="n">
        <v>0</v>
      </c>
      <c r="NM172" s="9" t="n">
        <v>0</v>
      </c>
      <c r="NN172" s="9" t="n">
        <v>1127</v>
      </c>
      <c r="NR172" s="10" t="n">
        <v>46168</v>
      </c>
      <c r="NT172" s="9" t="n">
        <v>0</v>
      </c>
      <c r="NV172" s="9" t="n">
        <v>0</v>
      </c>
      <c r="NW172" s="9" t="n">
        <v>3112</v>
      </c>
      <c r="OA172" s="10" t="n">
        <v>46168</v>
      </c>
      <c r="OC172" s="9" t="n">
        <v>0</v>
      </c>
      <c r="OE172" s="9" t="n">
        <v>0</v>
      </c>
      <c r="OF172" s="9" t="n">
        <v>1680.5</v>
      </c>
      <c r="OJ172" s="10" t="n">
        <v>46168</v>
      </c>
      <c r="OL172" s="9" t="n">
        <v>0</v>
      </c>
      <c r="ON172" s="9" t="n">
        <v>0</v>
      </c>
      <c r="OO172" s="9" t="n">
        <v>0</v>
      </c>
      <c r="OS172" s="10" t="n">
        <v>46168</v>
      </c>
      <c r="OU172" s="9" t="n">
        <v>0</v>
      </c>
      <c r="OW172" s="9" t="n">
        <v>0</v>
      </c>
      <c r="OX172" s="9" t="n">
        <v>1482</v>
      </c>
      <c r="PB172" s="10" t="n">
        <v>46168</v>
      </c>
      <c r="PD172" s="9" t="n">
        <v>0</v>
      </c>
      <c r="PF172" s="9" t="n">
        <v>0</v>
      </c>
      <c r="PG172" s="9" t="n">
        <v>0</v>
      </c>
      <c r="PK172" s="10" t="n">
        <v>46168</v>
      </c>
      <c r="PM172" s="9" t="n">
        <v>0</v>
      </c>
      <c r="PO172" s="9" t="n">
        <v>0</v>
      </c>
      <c r="PP172" s="9" t="n">
        <v>100</v>
      </c>
      <c r="PT172" s="10" t="n">
        <v>46168</v>
      </c>
      <c r="PV172" s="9" t="n">
        <v>0</v>
      </c>
      <c r="PX172" s="9" t="n">
        <v>0</v>
      </c>
      <c r="PY172" s="9" t="n">
        <v>13.96000000000004</v>
      </c>
      <c r="QC172" s="10" t="n">
        <v>46168</v>
      </c>
      <c r="QE172" s="9" t="n">
        <v>0</v>
      </c>
      <c r="QG172" s="9" t="n">
        <v>0</v>
      </c>
      <c r="QH172" s="9" t="n">
        <v>176</v>
      </c>
      <c r="QL172" s="10" t="n">
        <v>46168</v>
      </c>
      <c r="QN172" s="9" t="n">
        <v>0</v>
      </c>
      <c r="QP172" s="9" t="n">
        <v>0</v>
      </c>
      <c r="QQ172" s="9" t="n">
        <v>1690</v>
      </c>
      <c r="QU172" s="10" t="n">
        <v>46168</v>
      </c>
      <c r="QW172" s="9" t="n">
        <v>0</v>
      </c>
      <c r="QY172" s="9" t="n">
        <v>0</v>
      </c>
      <c r="QZ172" s="9" t="n">
        <v>207.6</v>
      </c>
      <c r="RD172" s="10" t="n">
        <v>46168</v>
      </c>
      <c r="RF172" s="9" t="n">
        <v>0</v>
      </c>
      <c r="RH172" s="9" t="n">
        <v>0</v>
      </c>
      <c r="RI172" s="9" t="n">
        <v>147.04</v>
      </c>
      <c r="RM172" s="10" t="n">
        <v>46168</v>
      </c>
      <c r="RO172" s="9" t="n">
        <v>0</v>
      </c>
      <c r="RQ172" s="9" t="n">
        <v>0</v>
      </c>
      <c r="RR172" s="9" t="n">
        <v>46.8</v>
      </c>
      <c r="RV172" s="10" t="n">
        <v>46168</v>
      </c>
      <c r="RX172" s="9" t="n">
        <v>0</v>
      </c>
      <c r="RZ172" s="9" t="n">
        <v>0</v>
      </c>
      <c r="SA172" s="9" t="n">
        <v>0</v>
      </c>
      <c r="SE172" s="10" t="n">
        <v>46168</v>
      </c>
      <c r="SG172" s="9" t="n">
        <v>0</v>
      </c>
      <c r="SI172" s="9" t="n">
        <v>0</v>
      </c>
      <c r="SJ172" s="9" t="n">
        <v>24.2</v>
      </c>
      <c r="SN172" s="10" t="n">
        <v>46168</v>
      </c>
      <c r="SP172" s="9" t="n">
        <v>0</v>
      </c>
      <c r="SR172" s="9" t="n">
        <v>0</v>
      </c>
      <c r="SS172" s="9" t="n">
        <v>32</v>
      </c>
      <c r="SW172" s="10" t="n">
        <v>46168</v>
      </c>
      <c r="SY172" s="9" t="n">
        <v>0</v>
      </c>
      <c r="TA172" s="9" t="n">
        <v>0</v>
      </c>
      <c r="TB172" s="9" t="n">
        <v>0</v>
      </c>
      <c r="TF172" s="10" t="n">
        <v>46168</v>
      </c>
      <c r="TH172" s="9" t="n">
        <v>0</v>
      </c>
      <c r="TJ172" s="9" t="n">
        <v>0</v>
      </c>
      <c r="TK172" s="9" t="n">
        <v>0</v>
      </c>
      <c r="TO172" s="10" t="n">
        <v>46168</v>
      </c>
      <c r="TQ172" s="9" t="n">
        <v>0</v>
      </c>
      <c r="TS172" s="9" t="n">
        <v>0</v>
      </c>
      <c r="TT172" s="9" t="n">
        <v>0</v>
      </c>
      <c r="TX172" s="10" t="n">
        <v>46168</v>
      </c>
      <c r="TZ172" s="9" t="n">
        <v>0</v>
      </c>
      <c r="UB172" s="9" t="n">
        <v>0</v>
      </c>
      <c r="UC172" s="9" t="n">
        <v>228</v>
      </c>
      <c r="UG172" s="10" t="n">
        <v>46168</v>
      </c>
      <c r="UI172" s="9" t="n">
        <v>120</v>
      </c>
      <c r="UK172" s="9" t="n">
        <v>120</v>
      </c>
      <c r="UL172" s="9" t="n">
        <v>1000</v>
      </c>
      <c r="UP172" s="10" t="n">
        <v>46168</v>
      </c>
      <c r="UR172" s="9" t="n">
        <v>0</v>
      </c>
      <c r="UT172" s="9" t="n">
        <v>0</v>
      </c>
      <c r="UU172" s="9" t="n">
        <v>0</v>
      </c>
      <c r="UY172" s="10" t="n">
        <v>46168</v>
      </c>
      <c r="VA172" s="9" t="n">
        <v>0</v>
      </c>
      <c r="VC172" s="9" t="n">
        <v>0</v>
      </c>
      <c r="VD172" s="9" t="n">
        <v>41.60000000000002</v>
      </c>
      <c r="VH172" s="10" t="n">
        <v>46168</v>
      </c>
      <c r="VJ172" s="9" t="n">
        <v>0</v>
      </c>
      <c r="VL172" s="9" t="n">
        <v>0</v>
      </c>
      <c r="VM172" s="9" t="n">
        <v>0</v>
      </c>
      <c r="VQ172" s="10" t="n">
        <v>46168</v>
      </c>
      <c r="VS172" s="9" t="n">
        <v>0</v>
      </c>
      <c r="VU172" s="9" t="n">
        <v>0</v>
      </c>
      <c r="VV172" s="9" t="n">
        <v>0</v>
      </c>
      <c r="VZ172" s="10" t="n">
        <v>46168</v>
      </c>
      <c r="WB172" s="9" t="n">
        <v>0</v>
      </c>
      <c r="WD172" s="9" t="n">
        <v>0</v>
      </c>
      <c r="WE172" s="9" t="n">
        <v>0</v>
      </c>
      <c r="WI172" s="10" t="n">
        <v>46168</v>
      </c>
      <c r="WK172" s="9" t="n">
        <v>0</v>
      </c>
      <c r="WM172" s="9" t="n">
        <v>0</v>
      </c>
      <c r="WN172" s="9" t="n">
        <v>1199</v>
      </c>
      <c r="WR172" s="10" t="n">
        <v>46168</v>
      </c>
      <c r="WT172" s="9" t="n">
        <v>0</v>
      </c>
      <c r="WV172" s="9" t="n">
        <v>0</v>
      </c>
      <c r="WW172" s="9" t="n">
        <v>0</v>
      </c>
      <c r="XA172" s="10" t="n">
        <v>46168</v>
      </c>
      <c r="XC172" s="9" t="n">
        <v>0</v>
      </c>
      <c r="XD172" s="9" t="n">
        <v>1210</v>
      </c>
      <c r="XE172" s="9" t="n">
        <v>-1210</v>
      </c>
      <c r="XF172" s="9" t="n">
        <v>6813</v>
      </c>
      <c r="XJ172" s="10" t="n">
        <v>46168</v>
      </c>
      <c r="XL172" s="9" t="n">
        <v>0</v>
      </c>
      <c r="XN172" s="9" t="n">
        <v>0</v>
      </c>
      <c r="XO172" s="9" t="n">
        <v>-234</v>
      </c>
      <c r="XS172" s="10" t="n">
        <v>46168</v>
      </c>
      <c r="XU172" s="9" t="n">
        <v>0</v>
      </c>
      <c r="XW172" s="9" t="n">
        <v>0</v>
      </c>
      <c r="XX172" s="9" t="n">
        <v>1621</v>
      </c>
      <c r="YB172" s="10" t="n">
        <v>46168</v>
      </c>
      <c r="YD172" s="9" t="n">
        <v>0</v>
      </c>
      <c r="YF172" s="9" t="n">
        <v>0</v>
      </c>
      <c r="YG172" s="9" t="n">
        <v>6459</v>
      </c>
      <c r="YK172" s="10" t="n">
        <v>46168</v>
      </c>
      <c r="YM172" s="9" t="n">
        <v>0</v>
      </c>
      <c r="YO172" s="9" t="n">
        <v>0</v>
      </c>
      <c r="YP172" s="9" t="n">
        <v>0</v>
      </c>
      <c r="YT172" s="10" t="n">
        <v>46168</v>
      </c>
      <c r="YV172" s="9" t="n">
        <v>0</v>
      </c>
      <c r="YX172" s="9" t="n">
        <v>0</v>
      </c>
      <c r="YY172" s="9" t="n">
        <v>0</v>
      </c>
      <c r="ZC172" s="10" t="n">
        <v>46168</v>
      </c>
      <c r="ZE172" s="9" t="n">
        <v>0</v>
      </c>
      <c r="ZG172" s="9" t="n">
        <v>0</v>
      </c>
      <c r="ZH172" s="9" t="n">
        <v>0</v>
      </c>
      <c r="ZL172" s="10" t="n">
        <v>46168</v>
      </c>
      <c r="ZN172" s="9" t="n">
        <v>0</v>
      </c>
      <c r="ZP172" s="9" t="n">
        <v>0</v>
      </c>
      <c r="ZQ172" s="9" t="n">
        <v>0</v>
      </c>
      <c r="ZU172" s="10" t="n">
        <v>46168</v>
      </c>
      <c r="ZW172" s="9" t="n">
        <v>0</v>
      </c>
      <c r="ZY172" s="9" t="n">
        <v>0</v>
      </c>
      <c r="ZZ172" s="9" t="n">
        <v>0</v>
      </c>
      <c r="AAD172" s="10" t="n">
        <v>46168</v>
      </c>
      <c r="AAF172" s="9" t="n">
        <v>0</v>
      </c>
      <c r="AAH172" s="9" t="n">
        <v>0</v>
      </c>
      <c r="AAI172" s="9" t="n">
        <v>0</v>
      </c>
      <c r="AAM172" s="10" t="n">
        <v>46168</v>
      </c>
      <c r="AAO172" s="9" t="n">
        <v>0</v>
      </c>
      <c r="AAQ172" s="9" t="n">
        <v>0</v>
      </c>
      <c r="AAR172" s="9" t="n">
        <v>0</v>
      </c>
      <c r="AAV172" s="10" t="n">
        <v>46168</v>
      </c>
      <c r="AAX172" s="9" t="n">
        <v>0</v>
      </c>
      <c r="AAZ172" s="9" t="n">
        <v>0</v>
      </c>
      <c r="ABA172" s="9" t="n">
        <v>0</v>
      </c>
      <c r="ABE172" s="10" t="n">
        <v>46168</v>
      </c>
      <c r="ABG172" s="9" t="n">
        <v>0</v>
      </c>
      <c r="ABI172" s="9" t="n">
        <v>0</v>
      </c>
      <c r="ABJ172" s="9" t="n">
        <v>0</v>
      </c>
    </row>
    <row r="173">
      <c r="C173" s="10" t="n">
        <v>46169</v>
      </c>
      <c r="E173" s="9" t="n">
        <v>0</v>
      </c>
      <c r="G173" s="9" t="n">
        <v>0</v>
      </c>
      <c r="H173" s="9" t="n">
        <v>155181.6000000001</v>
      </c>
      <c r="L173" s="10" t="n">
        <v>46169</v>
      </c>
      <c r="N173" s="9" t="n">
        <v>0</v>
      </c>
      <c r="P173" s="9" t="n">
        <v>0</v>
      </c>
      <c r="Q173" s="9" t="n">
        <v>55289.20000000008</v>
      </c>
      <c r="U173" s="10" t="n">
        <v>46169</v>
      </c>
      <c r="W173" s="9" t="n">
        <v>0</v>
      </c>
      <c r="Y173" s="9" t="n">
        <v>0</v>
      </c>
      <c r="Z173" s="9" t="n">
        <v>26867.99999999997</v>
      </c>
      <c r="AD173" s="10" t="n">
        <v>46169</v>
      </c>
      <c r="AF173" s="9" t="n">
        <v>0</v>
      </c>
      <c r="AH173" s="9" t="n">
        <v>0</v>
      </c>
      <c r="AI173" s="9" t="n">
        <v>13223.00000000002</v>
      </c>
      <c r="AM173" s="10" t="n">
        <v>46169</v>
      </c>
      <c r="AO173" s="9" t="n">
        <v>0</v>
      </c>
      <c r="AQ173" s="9" t="n">
        <v>0</v>
      </c>
      <c r="AR173" s="9" t="n">
        <v>0</v>
      </c>
      <c r="AV173" s="10" t="n">
        <v>46169</v>
      </c>
      <c r="AX173" s="9" t="n">
        <v>0</v>
      </c>
      <c r="AZ173" s="9" t="n">
        <v>0</v>
      </c>
      <c r="BA173" s="9" t="n">
        <v>6646.699999999997</v>
      </c>
      <c r="BE173" s="10" t="n">
        <v>46169</v>
      </c>
      <c r="BG173" s="9" t="n">
        <v>0</v>
      </c>
      <c r="BI173" s="9" t="n">
        <v>0</v>
      </c>
      <c r="BJ173" s="9" t="n">
        <v>34438.19999999999</v>
      </c>
      <c r="BN173" s="10" t="n">
        <v>46169</v>
      </c>
      <c r="BP173" s="9" t="n">
        <v>0</v>
      </c>
      <c r="BR173" s="9" t="n">
        <v>0</v>
      </c>
      <c r="BS173" s="9" t="n">
        <v>0</v>
      </c>
      <c r="BW173" s="10" t="n">
        <v>46169</v>
      </c>
      <c r="BY173" s="9" t="n">
        <v>0</v>
      </c>
      <c r="CA173" s="9" t="n">
        <v>0</v>
      </c>
      <c r="CB173" s="9" t="n">
        <v>5501.299999999999</v>
      </c>
      <c r="CF173" s="10" t="n">
        <v>46169</v>
      </c>
      <c r="CH173" s="9" t="n">
        <v>0</v>
      </c>
      <c r="CJ173" s="9" t="n">
        <v>0</v>
      </c>
      <c r="CK173" s="9" t="n">
        <v>0</v>
      </c>
      <c r="CO173" s="10" t="n">
        <v>46169</v>
      </c>
      <c r="CQ173" s="9" t="n">
        <v>0</v>
      </c>
      <c r="CS173" s="9" t="n">
        <v>0</v>
      </c>
      <c r="CT173" s="9" t="n">
        <v>0</v>
      </c>
      <c r="CX173" s="10" t="n">
        <v>46169</v>
      </c>
      <c r="CZ173" s="9" t="n">
        <v>0</v>
      </c>
      <c r="DB173" s="9" t="n">
        <v>0</v>
      </c>
      <c r="DC173" s="9" t="n">
        <v>21057.90000000001</v>
      </c>
      <c r="DG173" s="10" t="n">
        <v>46169</v>
      </c>
      <c r="DI173" s="9" t="n">
        <v>0</v>
      </c>
      <c r="DK173" s="9" t="n">
        <v>0</v>
      </c>
      <c r="DL173" s="9" t="n">
        <v>35234.99999999999</v>
      </c>
      <c r="DP173" s="10" t="n">
        <v>46169</v>
      </c>
      <c r="DR173" s="9" t="n">
        <v>0</v>
      </c>
      <c r="DT173" s="9" t="n">
        <v>0</v>
      </c>
      <c r="DU173" s="9" t="n">
        <v>5800</v>
      </c>
      <c r="DY173" s="10" t="n">
        <v>46169</v>
      </c>
      <c r="EA173" s="9" t="n">
        <v>0</v>
      </c>
      <c r="EC173" s="9" t="n">
        <v>0</v>
      </c>
      <c r="ED173" s="9" t="n">
        <v>0</v>
      </c>
      <c r="EH173" s="10" t="n">
        <v>46169</v>
      </c>
      <c r="EJ173" s="9" t="n">
        <v>0</v>
      </c>
      <c r="EL173" s="9" t="n">
        <v>0</v>
      </c>
      <c r="EM173" s="9" t="n">
        <v>0</v>
      </c>
      <c r="EQ173" s="10" t="n">
        <v>46169</v>
      </c>
      <c r="ES173" s="9" t="n">
        <v>0</v>
      </c>
      <c r="EU173" s="9" t="n">
        <v>0</v>
      </c>
      <c r="EV173" s="9" t="n">
        <v>0</v>
      </c>
      <c r="EZ173" s="10" t="n">
        <v>46169</v>
      </c>
      <c r="FB173" s="9" t="n">
        <v>0</v>
      </c>
      <c r="FD173" s="9" t="n">
        <v>0</v>
      </c>
      <c r="FE173" s="9" t="n">
        <v>0</v>
      </c>
      <c r="FI173" s="10" t="n">
        <v>46169</v>
      </c>
      <c r="FK173" s="9" t="n">
        <v>0</v>
      </c>
      <c r="FM173" s="9" t="n">
        <v>0</v>
      </c>
      <c r="FN173" s="9" t="n">
        <v>0</v>
      </c>
      <c r="FR173" s="10" t="n">
        <v>46169</v>
      </c>
      <c r="FT173" s="9" t="n">
        <v>0</v>
      </c>
      <c r="FV173" s="9" t="n">
        <v>0</v>
      </c>
      <c r="FW173" s="9" t="n">
        <v>4140</v>
      </c>
      <c r="GA173" s="10" t="n">
        <v>46169</v>
      </c>
      <c r="GC173" s="9" t="n">
        <v>0</v>
      </c>
      <c r="GE173" s="9" t="n">
        <v>0</v>
      </c>
      <c r="GF173" s="9" t="n">
        <v>5040</v>
      </c>
      <c r="GJ173" s="10" t="n">
        <v>46169</v>
      </c>
      <c r="GL173" s="9" t="n">
        <v>0</v>
      </c>
      <c r="GN173" s="9" t="n">
        <v>0</v>
      </c>
      <c r="GO173" s="9" t="n">
        <v>2560</v>
      </c>
      <c r="GS173" s="10" t="n">
        <v>46169</v>
      </c>
      <c r="GU173" s="9" t="n">
        <v>0</v>
      </c>
      <c r="GW173" s="9" t="n">
        <v>0</v>
      </c>
      <c r="GX173" s="9" t="n">
        <v>600</v>
      </c>
      <c r="HB173" s="10" t="n">
        <v>46169</v>
      </c>
      <c r="HD173" s="9" t="n">
        <v>0</v>
      </c>
      <c r="HF173" s="9" t="n">
        <v>0</v>
      </c>
      <c r="HG173" s="9" t="n">
        <v>3600</v>
      </c>
      <c r="HK173" s="10" t="n">
        <v>46169</v>
      </c>
      <c r="HM173" s="9" t="n">
        <v>0</v>
      </c>
      <c r="HO173" s="9" t="n">
        <v>0</v>
      </c>
      <c r="HP173" s="9" t="n">
        <v>0</v>
      </c>
      <c r="HU173" s="10" t="n">
        <v>46169</v>
      </c>
      <c r="HW173" s="9" t="n">
        <v>0</v>
      </c>
      <c r="HY173" s="9" t="n">
        <v>0</v>
      </c>
      <c r="HZ173" s="9" t="n">
        <v>7080</v>
      </c>
      <c r="ID173" s="10" t="n">
        <v>46169</v>
      </c>
      <c r="IF173" s="9" t="n">
        <v>0</v>
      </c>
      <c r="IH173" s="9" t="n">
        <v>0</v>
      </c>
      <c r="II173" s="9" t="n">
        <v>720</v>
      </c>
      <c r="IM173" s="10" t="n">
        <v>46169</v>
      </c>
      <c r="IO173" s="9" t="n">
        <v>0</v>
      </c>
      <c r="IQ173" s="9" t="n">
        <v>0</v>
      </c>
      <c r="IR173" s="9" t="n">
        <v>8140</v>
      </c>
      <c r="IV173" s="10" t="n">
        <v>46169</v>
      </c>
      <c r="IX173" s="9" t="n">
        <v>0</v>
      </c>
      <c r="IZ173" s="9" t="n">
        <v>0</v>
      </c>
      <c r="JA173" s="9" t="n">
        <v>8960</v>
      </c>
      <c r="JE173" s="10" t="n">
        <v>46169</v>
      </c>
      <c r="JG173" s="9" t="n">
        <v>0</v>
      </c>
      <c r="JI173" s="9" t="n">
        <v>0</v>
      </c>
      <c r="JJ173" s="9" t="n">
        <v>0</v>
      </c>
      <c r="JN173" s="10" t="n">
        <v>46169</v>
      </c>
      <c r="JP173" s="9" t="n">
        <v>0</v>
      </c>
      <c r="JR173" s="9" t="n">
        <v>0</v>
      </c>
      <c r="JS173" s="9" t="n">
        <v>5300</v>
      </c>
      <c r="JW173" s="10" t="n">
        <v>46169</v>
      </c>
      <c r="JY173" s="9" t="n">
        <v>0</v>
      </c>
      <c r="KA173" s="9" t="n">
        <v>0</v>
      </c>
      <c r="KB173" s="9" t="n">
        <v>2540</v>
      </c>
      <c r="KF173" s="10" t="n">
        <v>46169</v>
      </c>
      <c r="KH173" s="9" t="n">
        <v>0</v>
      </c>
      <c r="KJ173" s="9" t="n">
        <v>0</v>
      </c>
      <c r="KK173" s="9" t="n">
        <v>2359.5</v>
      </c>
      <c r="KO173" s="10" t="n">
        <v>46169</v>
      </c>
      <c r="KQ173" s="9" t="n">
        <v>0</v>
      </c>
      <c r="KS173" s="9" t="n">
        <v>0</v>
      </c>
      <c r="KT173" s="9" t="n">
        <v>1890</v>
      </c>
      <c r="KX173" s="10" t="n">
        <v>46169</v>
      </c>
      <c r="KZ173" s="9" t="n">
        <v>0</v>
      </c>
      <c r="LB173" s="9" t="n">
        <v>0</v>
      </c>
      <c r="LC173" s="9" t="n">
        <v>3690</v>
      </c>
      <c r="LG173" s="10" t="n">
        <v>46169</v>
      </c>
      <c r="LI173" s="9" t="n">
        <v>0</v>
      </c>
      <c r="LK173" s="9" t="n">
        <v>0</v>
      </c>
      <c r="LL173" s="9" t="n">
        <v>4000</v>
      </c>
      <c r="LP173" s="10" t="n">
        <v>46169</v>
      </c>
      <c r="LR173" s="9" t="n">
        <v>0</v>
      </c>
      <c r="LT173" s="9" t="n">
        <v>0</v>
      </c>
      <c r="LU173" s="9" t="n">
        <v>0</v>
      </c>
      <c r="LY173" s="10" t="n">
        <v>46169</v>
      </c>
      <c r="MA173" s="9" t="n">
        <v>0</v>
      </c>
      <c r="MC173" s="9" t="n">
        <v>0</v>
      </c>
      <c r="MD173" s="9" t="n">
        <v>0</v>
      </c>
      <c r="MH173" s="10" t="n">
        <v>46169</v>
      </c>
      <c r="MJ173" s="9" t="n">
        <v>0</v>
      </c>
      <c r="ML173" s="9" t="n">
        <v>0</v>
      </c>
      <c r="MM173" s="9" t="n">
        <v>0</v>
      </c>
      <c r="MQ173" s="10" t="n">
        <v>46169</v>
      </c>
      <c r="MS173" s="9" t="n">
        <v>0</v>
      </c>
      <c r="MU173" s="9" t="n">
        <v>0</v>
      </c>
      <c r="MV173" s="9" t="n">
        <v>3731</v>
      </c>
      <c r="MZ173" s="10" t="n">
        <v>46169</v>
      </c>
      <c r="NB173" s="9" t="n">
        <v>0</v>
      </c>
      <c r="ND173" s="9" t="n">
        <v>0</v>
      </c>
      <c r="NE173" s="9" t="n">
        <v>0</v>
      </c>
      <c r="NI173" s="10" t="n">
        <v>46169</v>
      </c>
      <c r="NK173" s="9" t="n">
        <v>0</v>
      </c>
      <c r="NM173" s="9" t="n">
        <v>0</v>
      </c>
      <c r="NN173" s="9" t="n">
        <v>1127</v>
      </c>
      <c r="NR173" s="10" t="n">
        <v>46169</v>
      </c>
      <c r="NT173" s="9" t="n">
        <v>0</v>
      </c>
      <c r="NV173" s="9" t="n">
        <v>0</v>
      </c>
      <c r="NW173" s="9" t="n">
        <v>3112</v>
      </c>
      <c r="OA173" s="10" t="n">
        <v>46169</v>
      </c>
      <c r="OC173" s="9" t="n">
        <v>0</v>
      </c>
      <c r="OE173" s="9" t="n">
        <v>0</v>
      </c>
      <c r="OF173" s="9" t="n">
        <v>1680.5</v>
      </c>
      <c r="OJ173" s="10" t="n">
        <v>46169</v>
      </c>
      <c r="OL173" s="9" t="n">
        <v>0</v>
      </c>
      <c r="ON173" s="9" t="n">
        <v>0</v>
      </c>
      <c r="OO173" s="9" t="n">
        <v>0</v>
      </c>
      <c r="OS173" s="10" t="n">
        <v>46169</v>
      </c>
      <c r="OU173" s="9" t="n">
        <v>0</v>
      </c>
      <c r="OW173" s="9" t="n">
        <v>0</v>
      </c>
      <c r="OX173" s="9" t="n">
        <v>1482</v>
      </c>
      <c r="PB173" s="10" t="n">
        <v>46169</v>
      </c>
      <c r="PD173" s="9" t="n">
        <v>0</v>
      </c>
      <c r="PF173" s="9" t="n">
        <v>0</v>
      </c>
      <c r="PG173" s="9" t="n">
        <v>0</v>
      </c>
      <c r="PK173" s="10" t="n">
        <v>46169</v>
      </c>
      <c r="PM173" s="9" t="n">
        <v>0</v>
      </c>
      <c r="PO173" s="9" t="n">
        <v>0</v>
      </c>
      <c r="PP173" s="9" t="n">
        <v>100</v>
      </c>
      <c r="PT173" s="10" t="n">
        <v>46169</v>
      </c>
      <c r="PV173" s="9" t="n">
        <v>0</v>
      </c>
      <c r="PX173" s="9" t="n">
        <v>0</v>
      </c>
      <c r="PY173" s="9" t="n">
        <v>13.96000000000004</v>
      </c>
      <c r="QC173" s="10" t="n">
        <v>46169</v>
      </c>
      <c r="QE173" s="9" t="n">
        <v>0</v>
      </c>
      <c r="QG173" s="9" t="n">
        <v>0</v>
      </c>
      <c r="QH173" s="9" t="n">
        <v>176</v>
      </c>
      <c r="QL173" s="10" t="n">
        <v>46169</v>
      </c>
      <c r="QN173" s="9" t="n">
        <v>0</v>
      </c>
      <c r="QP173" s="9" t="n">
        <v>0</v>
      </c>
      <c r="QQ173" s="9" t="n">
        <v>1690</v>
      </c>
      <c r="QU173" s="10" t="n">
        <v>46169</v>
      </c>
      <c r="QW173" s="9" t="n">
        <v>0</v>
      </c>
      <c r="QY173" s="9" t="n">
        <v>0</v>
      </c>
      <c r="QZ173" s="9" t="n">
        <v>207.6</v>
      </c>
      <c r="RD173" s="10" t="n">
        <v>46169</v>
      </c>
      <c r="RF173" s="9" t="n">
        <v>0</v>
      </c>
      <c r="RH173" s="9" t="n">
        <v>0</v>
      </c>
      <c r="RI173" s="9" t="n">
        <v>147.04</v>
      </c>
      <c r="RM173" s="10" t="n">
        <v>46169</v>
      </c>
      <c r="RO173" s="9" t="n">
        <v>0</v>
      </c>
      <c r="RQ173" s="9" t="n">
        <v>0</v>
      </c>
      <c r="RR173" s="9" t="n">
        <v>46.8</v>
      </c>
      <c r="RV173" s="10" t="n">
        <v>46169</v>
      </c>
      <c r="RX173" s="9" t="n">
        <v>0</v>
      </c>
      <c r="RZ173" s="9" t="n">
        <v>0</v>
      </c>
      <c r="SA173" s="9" t="n">
        <v>0</v>
      </c>
      <c r="SE173" s="10" t="n">
        <v>46169</v>
      </c>
      <c r="SG173" s="9" t="n">
        <v>0</v>
      </c>
      <c r="SI173" s="9" t="n">
        <v>0</v>
      </c>
      <c r="SJ173" s="9" t="n">
        <v>24.2</v>
      </c>
      <c r="SN173" s="10" t="n">
        <v>46169</v>
      </c>
      <c r="SP173" s="9" t="n">
        <v>0</v>
      </c>
      <c r="SR173" s="9" t="n">
        <v>0</v>
      </c>
      <c r="SS173" s="9" t="n">
        <v>32</v>
      </c>
      <c r="SW173" s="10" t="n">
        <v>46169</v>
      </c>
      <c r="SY173" s="9" t="n">
        <v>0</v>
      </c>
      <c r="TA173" s="9" t="n">
        <v>0</v>
      </c>
      <c r="TB173" s="9" t="n">
        <v>0</v>
      </c>
      <c r="TF173" s="10" t="n">
        <v>46169</v>
      </c>
      <c r="TH173" s="9" t="n">
        <v>0</v>
      </c>
      <c r="TJ173" s="9" t="n">
        <v>0</v>
      </c>
      <c r="TK173" s="9" t="n">
        <v>0</v>
      </c>
      <c r="TO173" s="10" t="n">
        <v>46169</v>
      </c>
      <c r="TQ173" s="9" t="n">
        <v>0</v>
      </c>
      <c r="TS173" s="9" t="n">
        <v>0</v>
      </c>
      <c r="TT173" s="9" t="n">
        <v>0</v>
      </c>
      <c r="TX173" s="10" t="n">
        <v>46169</v>
      </c>
      <c r="TZ173" s="9" t="n">
        <v>0</v>
      </c>
      <c r="UB173" s="9" t="n">
        <v>0</v>
      </c>
      <c r="UC173" s="9" t="n">
        <v>228</v>
      </c>
      <c r="UG173" s="10" t="n">
        <v>46169</v>
      </c>
      <c r="UI173" s="9" t="n">
        <v>0</v>
      </c>
      <c r="UJ173" s="9" t="n">
        <v>80</v>
      </c>
      <c r="UK173" s="9" t="n">
        <v>-80</v>
      </c>
      <c r="UL173" s="9" t="n">
        <v>920</v>
      </c>
      <c r="UP173" s="10" t="n">
        <v>46169</v>
      </c>
      <c r="UR173" s="9" t="n">
        <v>0</v>
      </c>
      <c r="UT173" s="9" t="n">
        <v>0</v>
      </c>
      <c r="UU173" s="9" t="n">
        <v>0</v>
      </c>
      <c r="UY173" s="10" t="n">
        <v>46169</v>
      </c>
      <c r="VA173" s="9" t="n">
        <v>0</v>
      </c>
      <c r="VC173" s="9" t="n">
        <v>0</v>
      </c>
      <c r="VD173" s="9" t="n">
        <v>41.60000000000002</v>
      </c>
      <c r="VH173" s="10" t="n">
        <v>46169</v>
      </c>
      <c r="VJ173" s="9" t="n">
        <v>0</v>
      </c>
      <c r="VL173" s="9" t="n">
        <v>0</v>
      </c>
      <c r="VM173" s="9" t="n">
        <v>0</v>
      </c>
      <c r="VQ173" s="10" t="n">
        <v>46169</v>
      </c>
      <c r="VS173" s="9" t="n">
        <v>0</v>
      </c>
      <c r="VU173" s="9" t="n">
        <v>0</v>
      </c>
      <c r="VV173" s="9" t="n">
        <v>0</v>
      </c>
      <c r="VZ173" s="10" t="n">
        <v>46169</v>
      </c>
      <c r="WB173" s="9" t="n">
        <v>0</v>
      </c>
      <c r="WD173" s="9" t="n">
        <v>0</v>
      </c>
      <c r="WE173" s="9" t="n">
        <v>0</v>
      </c>
      <c r="WI173" s="10" t="n">
        <v>46169</v>
      </c>
      <c r="WK173" s="9" t="n">
        <v>0</v>
      </c>
      <c r="WM173" s="9" t="n">
        <v>0</v>
      </c>
      <c r="WN173" s="9" t="n">
        <v>1199</v>
      </c>
      <c r="WR173" s="10" t="n">
        <v>46169</v>
      </c>
      <c r="WT173" s="9" t="n">
        <v>0</v>
      </c>
      <c r="WV173" s="9" t="n">
        <v>0</v>
      </c>
      <c r="WW173" s="9" t="n">
        <v>0</v>
      </c>
      <c r="XA173" s="10" t="n">
        <v>46169</v>
      </c>
      <c r="XC173" s="9" t="n">
        <v>0</v>
      </c>
      <c r="XE173" s="9" t="n">
        <v>0</v>
      </c>
      <c r="XF173" s="9" t="n">
        <v>6813</v>
      </c>
      <c r="XJ173" s="10" t="n">
        <v>46169</v>
      </c>
      <c r="XL173" s="9" t="n">
        <v>0</v>
      </c>
      <c r="XN173" s="9" t="n">
        <v>0</v>
      </c>
      <c r="XO173" s="9" t="n">
        <v>-234</v>
      </c>
      <c r="XS173" s="10" t="n">
        <v>46169</v>
      </c>
      <c r="XU173" s="9" t="n">
        <v>0</v>
      </c>
      <c r="XW173" s="9" t="n">
        <v>0</v>
      </c>
      <c r="XX173" s="9" t="n">
        <v>1621</v>
      </c>
      <c r="YB173" s="10" t="n">
        <v>46169</v>
      </c>
      <c r="YD173" s="9" t="n">
        <v>0</v>
      </c>
      <c r="YF173" s="9" t="n">
        <v>0</v>
      </c>
      <c r="YG173" s="9" t="n">
        <v>6459</v>
      </c>
      <c r="YK173" s="10" t="n">
        <v>46169</v>
      </c>
      <c r="YM173" s="9" t="n">
        <v>0</v>
      </c>
      <c r="YO173" s="9" t="n">
        <v>0</v>
      </c>
      <c r="YP173" s="9" t="n">
        <v>0</v>
      </c>
      <c r="YT173" s="10" t="n">
        <v>46169</v>
      </c>
      <c r="YV173" s="9" t="n">
        <v>0</v>
      </c>
      <c r="YX173" s="9" t="n">
        <v>0</v>
      </c>
      <c r="YY173" s="9" t="n">
        <v>0</v>
      </c>
      <c r="ZC173" s="10" t="n">
        <v>46169</v>
      </c>
      <c r="ZE173" s="9" t="n">
        <v>0</v>
      </c>
      <c r="ZG173" s="9" t="n">
        <v>0</v>
      </c>
      <c r="ZH173" s="9" t="n">
        <v>0</v>
      </c>
      <c r="ZL173" s="10" t="n">
        <v>46169</v>
      </c>
      <c r="ZN173" s="9" t="n">
        <v>0</v>
      </c>
      <c r="ZP173" s="9" t="n">
        <v>0</v>
      </c>
      <c r="ZQ173" s="9" t="n">
        <v>0</v>
      </c>
      <c r="ZU173" s="10" t="n">
        <v>46169</v>
      </c>
      <c r="ZW173" s="9" t="n">
        <v>0</v>
      </c>
      <c r="ZY173" s="9" t="n">
        <v>0</v>
      </c>
      <c r="ZZ173" s="9" t="n">
        <v>0</v>
      </c>
      <c r="AAD173" s="10" t="n">
        <v>46169</v>
      </c>
      <c r="AAF173" s="9" t="n">
        <v>0</v>
      </c>
      <c r="AAH173" s="9" t="n">
        <v>0</v>
      </c>
      <c r="AAI173" s="9" t="n">
        <v>0</v>
      </c>
      <c r="AAM173" s="10" t="n">
        <v>46169</v>
      </c>
      <c r="AAO173" s="9" t="n">
        <v>0</v>
      </c>
      <c r="AAQ173" s="9" t="n">
        <v>0</v>
      </c>
      <c r="AAR173" s="9" t="n">
        <v>0</v>
      </c>
      <c r="AAV173" s="10" t="n">
        <v>46169</v>
      </c>
      <c r="AAX173" s="9" t="n">
        <v>0</v>
      </c>
      <c r="AAZ173" s="9" t="n">
        <v>0</v>
      </c>
      <c r="ABA173" s="9" t="n">
        <v>0</v>
      </c>
      <c r="ABE173" s="10" t="n">
        <v>46169</v>
      </c>
      <c r="ABG173" s="9" t="n">
        <v>0</v>
      </c>
      <c r="ABI173" s="9" t="n">
        <v>0</v>
      </c>
      <c r="ABJ173" s="9" t="n">
        <v>0</v>
      </c>
    </row>
    <row r="174">
      <c r="B174" s="9" t="n">
        <v>14</v>
      </c>
      <c r="C174" s="10" t="n">
        <v>46170</v>
      </c>
      <c r="D174" s="9" t="n">
        <v>48940</v>
      </c>
      <c r="E174" s="9" t="n">
        <v>7810.319999999998</v>
      </c>
      <c r="F174" s="9" t="n">
        <v>7806</v>
      </c>
      <c r="G174" s="9" t="n">
        <v>4.31999999999789</v>
      </c>
      <c r="H174" s="9" t="n">
        <v>196315.6000000001</v>
      </c>
      <c r="I174" s="9" t="inlineStr">
        <is>
          <t>8102 14mt</t>
        </is>
      </c>
      <c r="L174" s="10" t="n">
        <v>46170</v>
      </c>
      <c r="N174" s="9" t="n">
        <v>4440.8</v>
      </c>
      <c r="O174" s="9" t="n">
        <v>4439.4</v>
      </c>
      <c r="P174" s="9" t="n">
        <v>1.400000000000546</v>
      </c>
      <c r="Q174" s="9" t="n">
        <v>50849.80000000008</v>
      </c>
      <c r="U174" s="10" t="n">
        <v>46170</v>
      </c>
      <c r="W174" s="9" t="n">
        <v>700</v>
      </c>
      <c r="X174" s="9" t="n">
        <v>701.9</v>
      </c>
      <c r="Y174" s="9" t="n">
        <v>-1.899999999999977</v>
      </c>
      <c r="Z174" s="9" t="n">
        <v>26166.09999999997</v>
      </c>
      <c r="AD174" s="10" t="n">
        <v>46170</v>
      </c>
      <c r="AF174" s="9" t="n">
        <v>0</v>
      </c>
      <c r="AH174" s="9" t="n">
        <v>0</v>
      </c>
      <c r="AI174" s="9" t="n">
        <v>13223.00000000002</v>
      </c>
      <c r="AM174" s="10" t="n">
        <v>46170</v>
      </c>
      <c r="AO174" s="9" t="n">
        <v>0</v>
      </c>
      <c r="AQ174" s="9" t="n">
        <v>0</v>
      </c>
      <c r="AR174" s="9" t="n">
        <v>0</v>
      </c>
      <c r="AV174" s="10" t="n">
        <v>46170</v>
      </c>
      <c r="AX174" s="9" t="n">
        <v>0</v>
      </c>
      <c r="AZ174" s="9" t="n">
        <v>0</v>
      </c>
      <c r="BA174" s="9" t="n">
        <v>6646.699999999997</v>
      </c>
      <c r="BE174" s="10" t="n">
        <v>46170</v>
      </c>
      <c r="BG174" s="9" t="n">
        <v>273</v>
      </c>
      <c r="BH174" s="9" t="n">
        <v>274.2</v>
      </c>
      <c r="BI174" s="9" t="n">
        <v>-1.199999999999989</v>
      </c>
      <c r="BJ174" s="9" t="n">
        <v>34163.99999999999</v>
      </c>
      <c r="BN174" s="10" t="n">
        <v>46170</v>
      </c>
      <c r="BO174" s="9" t="n">
        <v>329</v>
      </c>
      <c r="BP174" s="9" t="n">
        <v>329</v>
      </c>
      <c r="BQ174" s="9" t="n">
        <v>329</v>
      </c>
      <c r="BR174" s="9" t="n">
        <v>0</v>
      </c>
      <c r="BS174" s="9" t="n">
        <v>0</v>
      </c>
      <c r="BW174" s="10" t="n">
        <v>46170</v>
      </c>
      <c r="BY174" s="9" t="n">
        <v>0</v>
      </c>
      <c r="CA174" s="9" t="n">
        <v>0</v>
      </c>
      <c r="CB174" s="9" t="n">
        <v>5501.299999999999</v>
      </c>
      <c r="CF174" s="10" t="n">
        <v>46170</v>
      </c>
      <c r="CH174" s="9" t="n">
        <v>89.88</v>
      </c>
      <c r="CJ174" s="9" t="n">
        <v>89.88</v>
      </c>
      <c r="CK174" s="9" t="n">
        <v>0</v>
      </c>
      <c r="CO174" s="10" t="n">
        <v>46170</v>
      </c>
      <c r="CQ174" s="9" t="n">
        <v>0</v>
      </c>
      <c r="CS174" s="9" t="n">
        <v>0</v>
      </c>
      <c r="CT174" s="9" t="n">
        <v>0</v>
      </c>
      <c r="CX174" s="10" t="n">
        <v>46170</v>
      </c>
      <c r="CZ174" s="9" t="n">
        <v>0</v>
      </c>
      <c r="DB174" s="9" t="n">
        <v>0</v>
      </c>
      <c r="DC174" s="9" t="n">
        <v>21057.90000000001</v>
      </c>
      <c r="DG174" s="10" t="n">
        <v>46170</v>
      </c>
      <c r="DI174" s="9" t="n">
        <v>0</v>
      </c>
      <c r="DK174" s="9" t="n">
        <v>0</v>
      </c>
      <c r="DL174" s="9" t="n">
        <v>35234.99999999999</v>
      </c>
      <c r="DP174" s="10" t="n">
        <v>46170</v>
      </c>
      <c r="DR174" s="9" t="n">
        <v>0</v>
      </c>
      <c r="DT174" s="9" t="n">
        <v>0</v>
      </c>
      <c r="DU174" s="9" t="n">
        <v>5800</v>
      </c>
      <c r="DY174" s="10" t="n">
        <v>46170</v>
      </c>
      <c r="EA174" s="9" t="n">
        <v>0</v>
      </c>
      <c r="EC174" s="9" t="n">
        <v>0</v>
      </c>
      <c r="ED174" s="9" t="n">
        <v>0</v>
      </c>
      <c r="EH174" s="10" t="n">
        <v>46170</v>
      </c>
      <c r="EJ174" s="9" t="n">
        <v>0</v>
      </c>
      <c r="EL174" s="9" t="n">
        <v>0</v>
      </c>
      <c r="EM174" s="9" t="n">
        <v>0</v>
      </c>
      <c r="EQ174" s="10" t="n">
        <v>46170</v>
      </c>
      <c r="ES174" s="9" t="n">
        <v>0</v>
      </c>
      <c r="EU174" s="9" t="n">
        <v>0</v>
      </c>
      <c r="EV174" s="9" t="n">
        <v>0</v>
      </c>
      <c r="EZ174" s="10" t="n">
        <v>46170</v>
      </c>
      <c r="FB174" s="9" t="n">
        <v>0</v>
      </c>
      <c r="FD174" s="9" t="n">
        <v>0</v>
      </c>
      <c r="FE174" s="9" t="n">
        <v>0</v>
      </c>
      <c r="FI174" s="10" t="n">
        <v>46170</v>
      </c>
      <c r="FK174" s="9" t="n">
        <v>0</v>
      </c>
      <c r="FM174" s="9" t="n">
        <v>0</v>
      </c>
      <c r="FN174" s="9" t="n">
        <v>0</v>
      </c>
      <c r="FR174" s="10" t="n">
        <v>46170</v>
      </c>
      <c r="FT174" s="9" t="n">
        <v>0</v>
      </c>
      <c r="FV174" s="9" t="n">
        <v>0</v>
      </c>
      <c r="FW174" s="9" t="n">
        <v>4140</v>
      </c>
      <c r="GA174" s="10" t="n">
        <v>46170</v>
      </c>
      <c r="GC174" s="9" t="n">
        <v>0</v>
      </c>
      <c r="GE174" s="9" t="n">
        <v>0</v>
      </c>
      <c r="GF174" s="9" t="n">
        <v>5040</v>
      </c>
      <c r="GJ174" s="10" t="n">
        <v>46170</v>
      </c>
      <c r="GL174" s="9" t="n">
        <v>0</v>
      </c>
      <c r="GN174" s="9" t="n">
        <v>0</v>
      </c>
      <c r="GO174" s="9" t="n">
        <v>2560</v>
      </c>
      <c r="GS174" s="10" t="n">
        <v>46170</v>
      </c>
      <c r="GU174" s="9" t="n">
        <v>0</v>
      </c>
      <c r="GW174" s="9" t="n">
        <v>0</v>
      </c>
      <c r="GX174" s="9" t="n">
        <v>600</v>
      </c>
      <c r="HB174" s="10" t="n">
        <v>46170</v>
      </c>
      <c r="HD174" s="9" t="n">
        <v>0</v>
      </c>
      <c r="HF174" s="9" t="n">
        <v>0</v>
      </c>
      <c r="HG174" s="9" t="n">
        <v>3600</v>
      </c>
      <c r="HK174" s="10" t="n">
        <v>46170</v>
      </c>
      <c r="HM174" s="9" t="n">
        <v>0</v>
      </c>
      <c r="HO174" s="9" t="n">
        <v>0</v>
      </c>
      <c r="HP174" s="9" t="n">
        <v>0</v>
      </c>
      <c r="HU174" s="10" t="n">
        <v>46170</v>
      </c>
      <c r="HW174" s="9" t="n">
        <v>0</v>
      </c>
      <c r="HY174" s="9" t="n">
        <v>0</v>
      </c>
      <c r="HZ174" s="9" t="n">
        <v>7080</v>
      </c>
      <c r="ID174" s="10" t="n">
        <v>46170</v>
      </c>
      <c r="IF174" s="9" t="n">
        <v>0</v>
      </c>
      <c r="IH174" s="9" t="n">
        <v>0</v>
      </c>
      <c r="II174" s="9" t="n">
        <v>720</v>
      </c>
      <c r="IM174" s="10" t="n">
        <v>46170</v>
      </c>
      <c r="IO174" s="9" t="n">
        <v>0</v>
      </c>
      <c r="IQ174" s="9" t="n">
        <v>0</v>
      </c>
      <c r="IR174" s="9" t="n">
        <v>8140</v>
      </c>
      <c r="IV174" s="10" t="n">
        <v>46170</v>
      </c>
      <c r="IX174" s="9" t="n">
        <v>0</v>
      </c>
      <c r="IZ174" s="9" t="n">
        <v>0</v>
      </c>
      <c r="JA174" s="9" t="n">
        <v>8960</v>
      </c>
      <c r="JE174" s="10" t="n">
        <v>46170</v>
      </c>
      <c r="JG174" s="9" t="n">
        <v>0</v>
      </c>
      <c r="JI174" s="9" t="n">
        <v>0</v>
      </c>
      <c r="JJ174" s="9" t="n">
        <v>0</v>
      </c>
      <c r="JN174" s="10" t="n">
        <v>46170</v>
      </c>
      <c r="JP174" s="9" t="n">
        <v>280</v>
      </c>
      <c r="JR174" s="9" t="n">
        <v>280</v>
      </c>
      <c r="JS174" s="9" t="n">
        <v>5300</v>
      </c>
      <c r="JW174" s="10" t="n">
        <v>46170</v>
      </c>
      <c r="JY174" s="9" t="n">
        <v>0</v>
      </c>
      <c r="KA174" s="9" t="n">
        <v>0</v>
      </c>
      <c r="KB174" s="9" t="n">
        <v>2540</v>
      </c>
      <c r="KF174" s="10" t="n">
        <v>46170</v>
      </c>
      <c r="KH174" s="9" t="n">
        <v>0</v>
      </c>
      <c r="KJ174" s="9" t="n">
        <v>0</v>
      </c>
      <c r="KK174" s="9" t="n">
        <v>2359.5</v>
      </c>
      <c r="KO174" s="10" t="n">
        <v>46170</v>
      </c>
      <c r="KQ174" s="9" t="n">
        <v>0</v>
      </c>
      <c r="KS174" s="9" t="n">
        <v>0</v>
      </c>
      <c r="KT174" s="9" t="n">
        <v>1890</v>
      </c>
      <c r="KX174" s="10" t="n">
        <v>46170</v>
      </c>
      <c r="KZ174" s="9" t="n">
        <v>0</v>
      </c>
      <c r="LB174" s="9" t="n">
        <v>0</v>
      </c>
      <c r="LC174" s="9" t="n">
        <v>3690</v>
      </c>
      <c r="LG174" s="10" t="n">
        <v>46170</v>
      </c>
      <c r="LI174" s="9" t="n">
        <v>0</v>
      </c>
      <c r="LK174" s="9" t="n">
        <v>0</v>
      </c>
      <c r="LL174" s="9" t="n">
        <v>4000</v>
      </c>
      <c r="LP174" s="10" t="n">
        <v>46170</v>
      </c>
      <c r="LR174" s="9" t="n">
        <v>0</v>
      </c>
      <c r="LT174" s="9" t="n">
        <v>0</v>
      </c>
      <c r="LU174" s="9" t="n">
        <v>0</v>
      </c>
      <c r="LY174" s="10" t="n">
        <v>46170</v>
      </c>
      <c r="MA174" s="9" t="n">
        <v>0</v>
      </c>
      <c r="MC174" s="9" t="n">
        <v>0</v>
      </c>
      <c r="MD174" s="9" t="n">
        <v>0</v>
      </c>
      <c r="MH174" s="10" t="n">
        <v>46170</v>
      </c>
      <c r="MJ174" s="9" t="n">
        <v>0</v>
      </c>
      <c r="ML174" s="9" t="n">
        <v>0</v>
      </c>
      <c r="MM174" s="9" t="n">
        <v>0</v>
      </c>
      <c r="MQ174" s="10" t="n">
        <v>46170</v>
      </c>
      <c r="MS174" s="9" t="n">
        <v>0</v>
      </c>
      <c r="MU174" s="9" t="n">
        <v>0</v>
      </c>
      <c r="MV174" s="9" t="n">
        <v>3731</v>
      </c>
      <c r="MZ174" s="10" t="n">
        <v>46170</v>
      </c>
      <c r="NB174" s="9" t="n">
        <v>42</v>
      </c>
      <c r="ND174" s="9" t="n">
        <v>42</v>
      </c>
      <c r="NE174" s="9" t="n">
        <v>0</v>
      </c>
      <c r="NI174" s="10" t="n">
        <v>46170</v>
      </c>
      <c r="NK174" s="9" t="n">
        <v>0</v>
      </c>
      <c r="NM174" s="9" t="n">
        <v>0</v>
      </c>
      <c r="NN174" s="9" t="n">
        <v>1127</v>
      </c>
      <c r="NR174" s="10" t="n">
        <v>46170</v>
      </c>
      <c r="NT174" s="9" t="n">
        <v>0</v>
      </c>
      <c r="NV174" s="9" t="n">
        <v>0</v>
      </c>
      <c r="NW174" s="9" t="n">
        <v>3112</v>
      </c>
      <c r="OA174" s="10" t="n">
        <v>46170</v>
      </c>
      <c r="OC174" s="9" t="n">
        <v>0</v>
      </c>
      <c r="OE174" s="9" t="n">
        <v>0</v>
      </c>
      <c r="OF174" s="9" t="n">
        <v>1680.5</v>
      </c>
      <c r="OJ174" s="10" t="n">
        <v>46170</v>
      </c>
      <c r="OL174" s="9" t="n">
        <v>0</v>
      </c>
      <c r="ON174" s="9" t="n">
        <v>0</v>
      </c>
      <c r="OO174" s="9" t="n">
        <v>0</v>
      </c>
      <c r="OS174" s="10" t="n">
        <v>46170</v>
      </c>
      <c r="OU174" s="9" t="n">
        <v>0</v>
      </c>
      <c r="OW174" s="9" t="n">
        <v>0</v>
      </c>
      <c r="OX174" s="9" t="n">
        <v>1482</v>
      </c>
      <c r="PB174" s="10" t="n">
        <v>46170</v>
      </c>
      <c r="PD174" s="9" t="n">
        <v>0</v>
      </c>
      <c r="PF174" s="9" t="n">
        <v>0</v>
      </c>
      <c r="PG174" s="9" t="n">
        <v>0</v>
      </c>
      <c r="PK174" s="10" t="n">
        <v>46170</v>
      </c>
      <c r="PM174" s="9" t="n">
        <v>0</v>
      </c>
      <c r="PO174" s="9" t="n">
        <v>0</v>
      </c>
      <c r="PP174" s="9" t="n">
        <v>100</v>
      </c>
      <c r="PT174" s="10" t="n">
        <v>46170</v>
      </c>
      <c r="PV174" s="9" t="n">
        <v>0</v>
      </c>
      <c r="PX174" s="9" t="n">
        <v>0</v>
      </c>
      <c r="PY174" s="9" t="n">
        <v>13.96000000000004</v>
      </c>
      <c r="QC174" s="10" t="n">
        <v>46170</v>
      </c>
      <c r="QE174" s="9" t="n">
        <v>0</v>
      </c>
      <c r="QG174" s="9" t="n">
        <v>0</v>
      </c>
      <c r="QH174" s="9" t="n">
        <v>176</v>
      </c>
      <c r="QL174" s="10" t="n">
        <v>46170</v>
      </c>
      <c r="QN174" s="9" t="n">
        <v>35</v>
      </c>
      <c r="QP174" s="9" t="n">
        <v>35</v>
      </c>
      <c r="QQ174" s="9" t="n">
        <v>1690</v>
      </c>
      <c r="QU174" s="10" t="n">
        <v>46170</v>
      </c>
      <c r="QW174" s="9" t="n">
        <v>0</v>
      </c>
      <c r="QY174" s="9" t="n">
        <v>0</v>
      </c>
      <c r="QZ174" s="9" t="n">
        <v>207.6</v>
      </c>
      <c r="RD174" s="10" t="n">
        <v>46170</v>
      </c>
      <c r="RF174" s="9" t="n">
        <v>0</v>
      </c>
      <c r="RH174" s="9" t="n">
        <v>0</v>
      </c>
      <c r="RI174" s="9" t="n">
        <v>147.04</v>
      </c>
      <c r="RM174" s="10" t="n">
        <v>46170</v>
      </c>
      <c r="RO174" s="9" t="n">
        <v>0</v>
      </c>
      <c r="RQ174" s="9" t="n">
        <v>0</v>
      </c>
      <c r="RR174" s="9" t="n">
        <v>46.8</v>
      </c>
      <c r="RV174" s="10" t="n">
        <v>46170</v>
      </c>
      <c r="RX174" s="9" t="n">
        <v>0</v>
      </c>
      <c r="RZ174" s="9" t="n">
        <v>0</v>
      </c>
      <c r="SA174" s="9" t="n">
        <v>0</v>
      </c>
      <c r="SE174" s="10" t="n">
        <v>46170</v>
      </c>
      <c r="SG174" s="9" t="n">
        <v>0</v>
      </c>
      <c r="SI174" s="9" t="n">
        <v>0</v>
      </c>
      <c r="SJ174" s="9" t="n">
        <v>24.2</v>
      </c>
      <c r="SN174" s="10" t="n">
        <v>46170</v>
      </c>
      <c r="SP174" s="9" t="n">
        <v>0</v>
      </c>
      <c r="SR174" s="9" t="n">
        <v>0</v>
      </c>
      <c r="SS174" s="9" t="n">
        <v>32</v>
      </c>
      <c r="SW174" s="10" t="n">
        <v>46170</v>
      </c>
      <c r="SY174" s="9" t="n">
        <v>0</v>
      </c>
      <c r="TA174" s="9" t="n">
        <v>0</v>
      </c>
      <c r="TB174" s="9" t="n">
        <v>0</v>
      </c>
      <c r="TF174" s="10" t="n">
        <v>46170</v>
      </c>
      <c r="TH174" s="9" t="n">
        <v>0</v>
      </c>
      <c r="TJ174" s="9" t="n">
        <v>0</v>
      </c>
      <c r="TK174" s="9" t="n">
        <v>0</v>
      </c>
      <c r="TO174" s="10" t="n">
        <v>46170</v>
      </c>
      <c r="TQ174" s="9" t="n">
        <v>0</v>
      </c>
      <c r="TS174" s="9" t="n">
        <v>0</v>
      </c>
      <c r="TT174" s="9" t="n">
        <v>0</v>
      </c>
      <c r="TX174" s="10" t="n">
        <v>46170</v>
      </c>
      <c r="TZ174" s="9" t="n">
        <v>0</v>
      </c>
      <c r="UB174" s="9" t="n">
        <v>0</v>
      </c>
      <c r="UC174" s="9" t="n">
        <v>228</v>
      </c>
      <c r="UG174" s="10" t="n">
        <v>46170</v>
      </c>
      <c r="UI174" s="9" t="n">
        <v>0</v>
      </c>
      <c r="UJ174" s="9" t="n">
        <v>354</v>
      </c>
      <c r="UK174" s="9" t="n">
        <v>-354</v>
      </c>
      <c r="UL174" s="9" t="n">
        <v>566</v>
      </c>
      <c r="UP174" s="10" t="n">
        <v>46170</v>
      </c>
      <c r="UR174" s="9" t="n">
        <v>0</v>
      </c>
      <c r="UT174" s="9" t="n">
        <v>0</v>
      </c>
      <c r="UU174" s="9" t="n">
        <v>0</v>
      </c>
      <c r="UY174" s="10" t="n">
        <v>46170</v>
      </c>
      <c r="VA174" s="9" t="n">
        <v>0</v>
      </c>
      <c r="VC174" s="9" t="n">
        <v>0</v>
      </c>
      <c r="VD174" s="9" t="n">
        <v>41.60000000000002</v>
      </c>
      <c r="VH174" s="10" t="n">
        <v>46170</v>
      </c>
      <c r="VJ174" s="9" t="n">
        <v>0</v>
      </c>
      <c r="VL174" s="9" t="n">
        <v>0</v>
      </c>
      <c r="VM174" s="9" t="n">
        <v>0</v>
      </c>
      <c r="VQ174" s="10" t="n">
        <v>46170</v>
      </c>
      <c r="VS174" s="9" t="n">
        <v>35</v>
      </c>
      <c r="VU174" s="9" t="n">
        <v>35</v>
      </c>
      <c r="VV174" s="9" t="n">
        <v>0</v>
      </c>
      <c r="VZ174" s="10" t="n">
        <v>46170</v>
      </c>
      <c r="WB174" s="9" t="n">
        <v>35</v>
      </c>
      <c r="WD174" s="9" t="n">
        <v>35</v>
      </c>
      <c r="WE174" s="9" t="n">
        <v>0</v>
      </c>
      <c r="WI174" s="10" t="n">
        <v>46170</v>
      </c>
      <c r="WK174" s="9" t="n">
        <v>0</v>
      </c>
      <c r="WM174" s="9" t="n">
        <v>0</v>
      </c>
      <c r="WN174" s="9" t="n">
        <v>1199</v>
      </c>
      <c r="WR174" s="10" t="n">
        <v>46170</v>
      </c>
      <c r="WT174" s="9" t="n">
        <v>0</v>
      </c>
      <c r="WV174" s="9" t="n">
        <v>0</v>
      </c>
      <c r="WW174" s="9" t="n">
        <v>0</v>
      </c>
      <c r="XA174" s="10" t="n">
        <v>46170</v>
      </c>
      <c r="XC174" s="9" t="n">
        <v>0</v>
      </c>
      <c r="XE174" s="9" t="n">
        <v>0</v>
      </c>
      <c r="XF174" s="9" t="n">
        <v>6813</v>
      </c>
      <c r="XJ174" s="10" t="n">
        <v>46170</v>
      </c>
      <c r="XL174" s="9" t="n">
        <v>0</v>
      </c>
      <c r="XN174" s="9" t="n">
        <v>0</v>
      </c>
      <c r="XO174" s="9" t="n">
        <v>-234</v>
      </c>
      <c r="XS174" s="10" t="n">
        <v>46170</v>
      </c>
      <c r="XU174" s="9" t="n">
        <v>0</v>
      </c>
      <c r="XW174" s="9" t="n">
        <v>0</v>
      </c>
      <c r="XX174" s="9" t="n">
        <v>1621</v>
      </c>
      <c r="YB174" s="10" t="n">
        <v>46170</v>
      </c>
      <c r="YD174" s="9" t="n">
        <v>0</v>
      </c>
      <c r="YE174" s="9" t="n">
        <v>266</v>
      </c>
      <c r="YF174" s="9" t="n">
        <v>-266</v>
      </c>
      <c r="YG174" s="9" t="n">
        <v>6193</v>
      </c>
      <c r="YK174" s="10" t="n">
        <v>46170</v>
      </c>
      <c r="YM174" s="9" t="n">
        <v>0</v>
      </c>
      <c r="YO174" s="9" t="n">
        <v>0</v>
      </c>
      <c r="YP174" s="9" t="n">
        <v>0</v>
      </c>
      <c r="YT174" s="10" t="n">
        <v>46170</v>
      </c>
      <c r="YV174" s="9" t="n">
        <v>35</v>
      </c>
      <c r="YX174" s="9" t="n">
        <v>35</v>
      </c>
      <c r="YY174" s="9" t="n">
        <v>0</v>
      </c>
      <c r="ZC174" s="10" t="n">
        <v>46170</v>
      </c>
      <c r="ZE174" s="9" t="n">
        <v>35</v>
      </c>
      <c r="ZG174" s="9" t="n">
        <v>35</v>
      </c>
      <c r="ZH174" s="9" t="n">
        <v>0</v>
      </c>
      <c r="ZL174" s="10" t="n">
        <v>46170</v>
      </c>
      <c r="ZN174" s="9" t="n">
        <v>35</v>
      </c>
      <c r="ZP174" s="9" t="n">
        <v>35</v>
      </c>
      <c r="ZQ174" s="9" t="n">
        <v>0</v>
      </c>
      <c r="ZU174" s="10" t="n">
        <v>46170</v>
      </c>
      <c r="ZW174" s="9" t="n">
        <v>35</v>
      </c>
      <c r="ZY174" s="9" t="n">
        <v>35</v>
      </c>
      <c r="ZZ174" s="9" t="n">
        <v>0</v>
      </c>
      <c r="AAD174" s="10" t="n">
        <v>46170</v>
      </c>
      <c r="AAF174" s="9" t="n">
        <v>35</v>
      </c>
      <c r="AAH174" s="9" t="n">
        <v>35</v>
      </c>
      <c r="AAI174" s="9" t="n">
        <v>0</v>
      </c>
      <c r="AAM174" s="10" t="n">
        <v>46170</v>
      </c>
      <c r="AAO174" s="9" t="n">
        <v>35</v>
      </c>
      <c r="AAQ174" s="9" t="n">
        <v>35</v>
      </c>
      <c r="AAR174" s="9" t="n">
        <v>0</v>
      </c>
      <c r="AAV174" s="10" t="n">
        <v>46170</v>
      </c>
      <c r="AAX174" s="9" t="n">
        <v>35</v>
      </c>
      <c r="AAZ174" s="9" t="n">
        <v>35</v>
      </c>
      <c r="ABA174" s="9" t="n">
        <v>0</v>
      </c>
      <c r="ABE174" s="10" t="n">
        <v>46170</v>
      </c>
      <c r="ABG174" s="9" t="n">
        <v>35</v>
      </c>
      <c r="ABI174" s="9" t="n">
        <v>35</v>
      </c>
      <c r="ABJ174" s="9" t="n">
        <v>0</v>
      </c>
    </row>
    <row r="175">
      <c r="B175" s="9" t="n">
        <v>20</v>
      </c>
      <c r="C175" s="10" t="n">
        <v>46171</v>
      </c>
      <c r="D175" s="9" t="n">
        <v>25020</v>
      </c>
      <c r="E175" s="9" t="n">
        <v>10902.9</v>
      </c>
      <c r="F175" s="9" t="n">
        <v>11104.4</v>
      </c>
      <c r="G175" s="9" t="n">
        <v>-201.5</v>
      </c>
      <c r="H175" s="9" t="n">
        <v>210231.2000000001</v>
      </c>
      <c r="I175" s="9" t="inlineStr">
        <is>
          <t>5202 20mt</t>
        </is>
      </c>
      <c r="L175" s="10" t="n">
        <v>46171</v>
      </c>
      <c r="M175" s="9" t="n">
        <v>62250</v>
      </c>
      <c r="N175" s="9" t="n">
        <v>5949.700000000001</v>
      </c>
      <c r="O175" s="9" t="n">
        <v>5947.8</v>
      </c>
      <c r="P175" s="9" t="n">
        <v>1.900000000000546</v>
      </c>
      <c r="Q175" s="9" t="n">
        <v>107152.0000000001</v>
      </c>
      <c r="U175" s="10" t="n">
        <v>46171</v>
      </c>
      <c r="V175" s="9" t="n">
        <v>19960</v>
      </c>
      <c r="W175" s="9" t="n">
        <v>1200</v>
      </c>
      <c r="X175" s="9" t="n">
        <v>1199.6</v>
      </c>
      <c r="Y175" s="9" t="n">
        <v>0.4000000000000909</v>
      </c>
      <c r="Z175" s="9" t="n">
        <v>44926.49999999997</v>
      </c>
      <c r="AD175" s="10" t="n">
        <v>46171</v>
      </c>
      <c r="AF175" s="9" t="n">
        <v>0</v>
      </c>
      <c r="AH175" s="9" t="n">
        <v>0</v>
      </c>
      <c r="AI175" s="9" t="n">
        <v>13223.00000000002</v>
      </c>
      <c r="AM175" s="10" t="n">
        <v>46171</v>
      </c>
      <c r="AO175" s="9" t="n">
        <v>0</v>
      </c>
      <c r="AQ175" s="9" t="n">
        <v>0</v>
      </c>
      <c r="AR175" s="9" t="n">
        <v>0</v>
      </c>
      <c r="AV175" s="10" t="n">
        <v>46171</v>
      </c>
      <c r="AX175" s="9" t="n">
        <v>0</v>
      </c>
      <c r="AZ175" s="9" t="n">
        <v>0</v>
      </c>
      <c r="BA175" s="9" t="n">
        <v>6646.699999999997</v>
      </c>
      <c r="BE175" s="10" t="n">
        <v>46171</v>
      </c>
      <c r="BG175" s="9" t="n">
        <v>0</v>
      </c>
      <c r="BI175" s="9" t="n">
        <v>0</v>
      </c>
      <c r="BJ175" s="9" t="n">
        <v>34163.99999999999</v>
      </c>
      <c r="BN175" s="10" t="n">
        <v>46171</v>
      </c>
      <c r="BO175" s="9" t="n">
        <v>100</v>
      </c>
      <c r="BP175" s="9" t="n">
        <v>100</v>
      </c>
      <c r="BQ175" s="9" t="n">
        <v>100</v>
      </c>
      <c r="BR175" s="9" t="n">
        <v>0</v>
      </c>
      <c r="BS175" s="9" t="n">
        <v>0</v>
      </c>
      <c r="BW175" s="10" t="n">
        <v>46171</v>
      </c>
      <c r="BY175" s="9" t="n">
        <v>147.1</v>
      </c>
      <c r="BZ175" s="9" t="n">
        <v>388.75</v>
      </c>
      <c r="CA175" s="9" t="n">
        <v>-241.65</v>
      </c>
      <c r="CB175" s="9" t="n">
        <v>5112.549999999999</v>
      </c>
      <c r="CF175" s="10" t="n">
        <v>46171</v>
      </c>
      <c r="CG175" s="9" t="n">
        <v>1209.68</v>
      </c>
      <c r="CH175" s="9" t="n">
        <v>0</v>
      </c>
      <c r="CI175" s="9" t="n">
        <v>1209.68</v>
      </c>
      <c r="CJ175" s="9" t="n">
        <v>-1209.68</v>
      </c>
      <c r="CK175" s="9" t="n">
        <v>0</v>
      </c>
      <c r="CO175" s="10" t="n">
        <v>46171</v>
      </c>
      <c r="CQ175" s="9" t="n">
        <v>0</v>
      </c>
      <c r="CS175" s="9" t="n">
        <v>0</v>
      </c>
      <c r="CT175" s="9" t="n">
        <v>0</v>
      </c>
      <c r="CX175" s="10" t="n">
        <v>46171</v>
      </c>
      <c r="CZ175" s="9" t="n">
        <v>400</v>
      </c>
      <c r="DA175" s="9" t="n">
        <v>1354.6</v>
      </c>
      <c r="DB175" s="9" t="n">
        <v>-954.5999999999999</v>
      </c>
      <c r="DC175" s="9" t="n">
        <v>19703.30000000001</v>
      </c>
      <c r="DG175" s="10" t="n">
        <v>46171</v>
      </c>
      <c r="DI175" s="9" t="n">
        <v>0</v>
      </c>
      <c r="DK175" s="9" t="n">
        <v>0</v>
      </c>
      <c r="DL175" s="9" t="n">
        <v>35234.99999999999</v>
      </c>
      <c r="DP175" s="10" t="n">
        <v>46171</v>
      </c>
      <c r="DR175" s="9" t="n">
        <v>0</v>
      </c>
      <c r="DT175" s="9" t="n">
        <v>0</v>
      </c>
      <c r="DU175" s="9" t="n">
        <v>5800</v>
      </c>
      <c r="DY175" s="10" t="n">
        <v>46171</v>
      </c>
      <c r="EA175" s="9" t="n">
        <v>0</v>
      </c>
      <c r="EC175" s="9" t="n">
        <v>0</v>
      </c>
      <c r="ED175" s="9" t="n">
        <v>0</v>
      </c>
      <c r="EH175" s="10" t="n">
        <v>46171</v>
      </c>
      <c r="EJ175" s="9" t="n">
        <v>0</v>
      </c>
      <c r="EL175" s="9" t="n">
        <v>0</v>
      </c>
      <c r="EM175" s="9" t="n">
        <v>0</v>
      </c>
      <c r="EQ175" s="10" t="n">
        <v>46171</v>
      </c>
      <c r="ES175" s="9" t="n">
        <v>0</v>
      </c>
      <c r="EU175" s="9" t="n">
        <v>0</v>
      </c>
      <c r="EV175" s="9" t="n">
        <v>0</v>
      </c>
      <c r="EZ175" s="10" t="n">
        <v>46171</v>
      </c>
      <c r="FB175" s="9" t="n">
        <v>0</v>
      </c>
      <c r="FD175" s="9" t="n">
        <v>0</v>
      </c>
      <c r="FE175" s="9" t="n">
        <v>0</v>
      </c>
      <c r="FI175" s="10" t="n">
        <v>46171</v>
      </c>
      <c r="FK175" s="9" t="n">
        <v>0</v>
      </c>
      <c r="FM175" s="9" t="n">
        <v>0</v>
      </c>
      <c r="FN175" s="9" t="n">
        <v>0</v>
      </c>
      <c r="FR175" s="10" t="n">
        <v>46171</v>
      </c>
      <c r="FT175" s="9" t="n">
        <v>0</v>
      </c>
      <c r="FV175" s="9" t="n">
        <v>0</v>
      </c>
      <c r="FW175" s="9" t="n">
        <v>4140</v>
      </c>
      <c r="GA175" s="10" t="n">
        <v>46171</v>
      </c>
      <c r="GC175" s="9" t="n">
        <v>0</v>
      </c>
      <c r="GE175" s="9" t="n">
        <v>0</v>
      </c>
      <c r="GF175" s="9" t="n">
        <v>5040</v>
      </c>
      <c r="GJ175" s="10" t="n">
        <v>46171</v>
      </c>
      <c r="GL175" s="9" t="n">
        <v>0</v>
      </c>
      <c r="GM175" s="9" t="n">
        <v>800</v>
      </c>
      <c r="GN175" s="9" t="n">
        <v>-800</v>
      </c>
      <c r="GO175" s="9" t="n">
        <v>1760</v>
      </c>
      <c r="GP175" s="9" t="n">
        <v>40</v>
      </c>
      <c r="GS175" s="10" t="n">
        <v>46171</v>
      </c>
      <c r="GU175" s="9" t="n">
        <v>0</v>
      </c>
      <c r="GW175" s="9" t="n">
        <v>0</v>
      </c>
      <c r="GX175" s="9" t="n">
        <v>600</v>
      </c>
      <c r="HB175" s="10" t="n">
        <v>46171</v>
      </c>
      <c r="HD175" s="9" t="n">
        <v>0</v>
      </c>
      <c r="HF175" s="9" t="n">
        <v>0</v>
      </c>
      <c r="HG175" s="9" t="n">
        <v>3600</v>
      </c>
      <c r="HK175" s="10" t="n">
        <v>46171</v>
      </c>
      <c r="HM175" s="9" t="n">
        <v>0</v>
      </c>
      <c r="HO175" s="9" t="n">
        <v>0</v>
      </c>
      <c r="HP175" s="9" t="n">
        <v>0</v>
      </c>
      <c r="HU175" s="10" t="n">
        <v>46171</v>
      </c>
      <c r="HW175" s="9" t="n">
        <v>0</v>
      </c>
      <c r="HX175" s="9" t="n">
        <v>280</v>
      </c>
      <c r="HY175" s="9" t="n">
        <v>-280</v>
      </c>
      <c r="HZ175" s="9" t="n">
        <v>6800</v>
      </c>
      <c r="IA175" s="9" t="n">
        <v>14</v>
      </c>
      <c r="ID175" s="10" t="n">
        <v>46171</v>
      </c>
      <c r="IF175" s="9" t="n">
        <v>0</v>
      </c>
      <c r="IH175" s="9" t="n">
        <v>0</v>
      </c>
      <c r="II175" s="9" t="n">
        <v>720</v>
      </c>
      <c r="IM175" s="10" t="n">
        <v>46171</v>
      </c>
      <c r="IO175" s="9" t="n">
        <v>0</v>
      </c>
      <c r="IQ175" s="9" t="n">
        <v>0</v>
      </c>
      <c r="IR175" s="9" t="n">
        <v>8140</v>
      </c>
      <c r="IV175" s="10" t="n">
        <v>46171</v>
      </c>
      <c r="IX175" s="9" t="n">
        <v>0</v>
      </c>
      <c r="IY175" s="9" t="n">
        <v>4000</v>
      </c>
      <c r="IZ175" s="9" t="n">
        <v>-4000</v>
      </c>
      <c r="JA175" s="9" t="n">
        <v>4960</v>
      </c>
      <c r="JB175" s="9" t="n">
        <v>200</v>
      </c>
      <c r="JE175" s="10" t="n">
        <v>46171</v>
      </c>
      <c r="JG175" s="9" t="n">
        <v>0</v>
      </c>
      <c r="JI175" s="9" t="n">
        <v>0</v>
      </c>
      <c r="JJ175" s="9" t="n">
        <v>0</v>
      </c>
      <c r="JN175" s="10" t="n">
        <v>46171</v>
      </c>
      <c r="JP175" s="9" t="n">
        <v>0</v>
      </c>
      <c r="JQ175" s="9" t="n">
        <v>1960</v>
      </c>
      <c r="JR175" s="9" t="n">
        <v>-1960</v>
      </c>
      <c r="JS175" s="9" t="n">
        <v>3340</v>
      </c>
      <c r="JT175" s="9" t="n">
        <v>98</v>
      </c>
      <c r="JW175" s="10" t="n">
        <v>46171</v>
      </c>
      <c r="JY175" s="9" t="n">
        <v>0</v>
      </c>
      <c r="KA175" s="9" t="n">
        <v>0</v>
      </c>
      <c r="KB175" s="9" t="n">
        <v>2540</v>
      </c>
      <c r="KF175" s="10" t="n">
        <v>46171</v>
      </c>
      <c r="KH175" s="9" t="n">
        <v>0</v>
      </c>
      <c r="KJ175" s="9" t="n">
        <v>0</v>
      </c>
      <c r="KK175" s="9" t="n">
        <v>2359.5</v>
      </c>
      <c r="KO175" s="10" t="n">
        <v>46171</v>
      </c>
      <c r="KQ175" s="9" t="n">
        <v>0</v>
      </c>
      <c r="KS175" s="9" t="n">
        <v>0</v>
      </c>
      <c r="KT175" s="9" t="n">
        <v>1890</v>
      </c>
      <c r="KX175" s="10" t="n">
        <v>46171</v>
      </c>
      <c r="KZ175" s="9" t="n">
        <v>0</v>
      </c>
      <c r="LB175" s="9" t="n">
        <v>0</v>
      </c>
      <c r="LC175" s="9" t="n">
        <v>3690</v>
      </c>
      <c r="LG175" s="10" t="n">
        <v>46171</v>
      </c>
      <c r="LI175" s="9" t="n">
        <v>0</v>
      </c>
      <c r="LK175" s="9" t="n">
        <v>0</v>
      </c>
      <c r="LL175" s="9" t="n">
        <v>4000</v>
      </c>
      <c r="LP175" s="10" t="n">
        <v>46171</v>
      </c>
      <c r="LR175" s="9" t="n">
        <v>0</v>
      </c>
      <c r="LT175" s="9" t="n">
        <v>0</v>
      </c>
      <c r="LU175" s="9" t="n">
        <v>0</v>
      </c>
      <c r="LY175" s="10" t="n">
        <v>46171</v>
      </c>
      <c r="MA175" s="9" t="n">
        <v>0</v>
      </c>
      <c r="MC175" s="9" t="n">
        <v>0</v>
      </c>
      <c r="MD175" s="9" t="n">
        <v>0</v>
      </c>
      <c r="MH175" s="10" t="n">
        <v>46171</v>
      </c>
      <c r="MJ175" s="9" t="n">
        <v>0</v>
      </c>
      <c r="ML175" s="9" t="n">
        <v>0</v>
      </c>
      <c r="MM175" s="9" t="n">
        <v>0</v>
      </c>
      <c r="MQ175" s="10" t="n">
        <v>46171</v>
      </c>
      <c r="MS175" s="9" t="n">
        <v>0</v>
      </c>
      <c r="MT175" s="9" t="n">
        <v>7</v>
      </c>
      <c r="MU175" s="9" t="n">
        <v>-7</v>
      </c>
      <c r="MV175" s="9" t="n">
        <v>3724</v>
      </c>
      <c r="MZ175" s="10" t="n">
        <v>46171</v>
      </c>
      <c r="NA175" s="9" t="n">
        <v>936</v>
      </c>
      <c r="NB175" s="9" t="n">
        <v>0</v>
      </c>
      <c r="NC175" s="9" t="n">
        <v>936</v>
      </c>
      <c r="ND175" s="9" t="n">
        <v>-936</v>
      </c>
      <c r="NE175" s="9" t="n">
        <v>0</v>
      </c>
      <c r="NI175" s="10" t="n">
        <v>46171</v>
      </c>
      <c r="NK175" s="9" t="n">
        <v>0</v>
      </c>
      <c r="NM175" s="9" t="n">
        <v>0</v>
      </c>
      <c r="NN175" s="9" t="n">
        <v>1127</v>
      </c>
      <c r="NR175" s="10" t="n">
        <v>46171</v>
      </c>
      <c r="NT175" s="9" t="n">
        <v>0</v>
      </c>
      <c r="NV175" s="9" t="n">
        <v>0</v>
      </c>
      <c r="NW175" s="9" t="n">
        <v>3112</v>
      </c>
      <c r="OA175" s="10" t="n">
        <v>46171</v>
      </c>
      <c r="OC175" s="9" t="n">
        <v>0</v>
      </c>
      <c r="OE175" s="9" t="n">
        <v>0</v>
      </c>
      <c r="OF175" s="9" t="n">
        <v>1680.5</v>
      </c>
      <c r="OJ175" s="10" t="n">
        <v>46171</v>
      </c>
      <c r="OK175" s="9" t="n">
        <v>130</v>
      </c>
      <c r="OL175" s="9" t="n">
        <v>0</v>
      </c>
      <c r="OM175" s="9" t="n">
        <v>130</v>
      </c>
      <c r="ON175" s="9" t="n">
        <v>-130</v>
      </c>
      <c r="OO175" s="9" t="n">
        <v>0</v>
      </c>
      <c r="OS175" s="10" t="n">
        <v>46171</v>
      </c>
      <c r="OU175" s="9" t="n">
        <v>0</v>
      </c>
      <c r="OW175" s="9" t="n">
        <v>0</v>
      </c>
      <c r="OX175" s="9" t="n">
        <v>1482</v>
      </c>
      <c r="PB175" s="10" t="n">
        <v>46171</v>
      </c>
      <c r="PD175" s="9" t="n">
        <v>0</v>
      </c>
      <c r="PF175" s="9" t="n">
        <v>0</v>
      </c>
      <c r="PG175" s="9" t="n">
        <v>0</v>
      </c>
      <c r="PK175" s="10" t="n">
        <v>46171</v>
      </c>
      <c r="PM175" s="9" t="n">
        <v>0</v>
      </c>
      <c r="PO175" s="9" t="n">
        <v>0</v>
      </c>
      <c r="PP175" s="9" t="n">
        <v>100</v>
      </c>
      <c r="PT175" s="10" t="n">
        <v>46171</v>
      </c>
      <c r="PV175" s="9" t="n">
        <v>0</v>
      </c>
      <c r="PX175" s="9" t="n">
        <v>0</v>
      </c>
      <c r="PY175" s="9" t="n">
        <v>13.96000000000004</v>
      </c>
      <c r="QC175" s="10" t="n">
        <v>46171</v>
      </c>
      <c r="QE175" s="9" t="n">
        <v>0</v>
      </c>
      <c r="QF175" s="9" t="n">
        <v>68</v>
      </c>
      <c r="QG175" s="9" t="n">
        <v>-68</v>
      </c>
      <c r="QH175" s="9" t="n">
        <v>108</v>
      </c>
      <c r="QL175" s="10" t="n">
        <v>46171</v>
      </c>
      <c r="QN175" s="9" t="n">
        <v>0</v>
      </c>
      <c r="QO175" s="9" t="n">
        <v>245</v>
      </c>
      <c r="QP175" s="9" t="n">
        <v>-245</v>
      </c>
      <c r="QQ175" s="9" t="n">
        <v>1445</v>
      </c>
      <c r="QU175" s="10" t="n">
        <v>46171</v>
      </c>
      <c r="QW175" s="9" t="n">
        <v>0</v>
      </c>
      <c r="QY175" s="9" t="n">
        <v>0</v>
      </c>
      <c r="QZ175" s="9" t="n">
        <v>207.6</v>
      </c>
      <c r="RD175" s="10" t="n">
        <v>46171</v>
      </c>
      <c r="RF175" s="9" t="n">
        <v>0</v>
      </c>
      <c r="RH175" s="9" t="n">
        <v>0</v>
      </c>
      <c r="RI175" s="9" t="n">
        <v>147.04</v>
      </c>
      <c r="RM175" s="10" t="n">
        <v>46171</v>
      </c>
      <c r="RO175" s="9" t="n">
        <v>0</v>
      </c>
      <c r="RQ175" s="9" t="n">
        <v>0</v>
      </c>
      <c r="RR175" s="9" t="n">
        <v>46.8</v>
      </c>
      <c r="RV175" s="10" t="n">
        <v>46171</v>
      </c>
      <c r="RX175" s="9" t="n">
        <v>0</v>
      </c>
      <c r="RZ175" s="9" t="n">
        <v>0</v>
      </c>
      <c r="SA175" s="9" t="n">
        <v>0</v>
      </c>
      <c r="SE175" s="10" t="n">
        <v>46171</v>
      </c>
      <c r="SG175" s="9" t="n">
        <v>0</v>
      </c>
      <c r="SI175" s="9" t="n">
        <v>0</v>
      </c>
      <c r="SJ175" s="9" t="n">
        <v>24.2</v>
      </c>
      <c r="SN175" s="10" t="n">
        <v>46171</v>
      </c>
      <c r="SP175" s="9" t="n">
        <v>0</v>
      </c>
      <c r="SR175" s="9" t="n">
        <v>0</v>
      </c>
      <c r="SS175" s="9" t="n">
        <v>32</v>
      </c>
      <c r="SW175" s="10" t="n">
        <v>46171</v>
      </c>
      <c r="SY175" s="9" t="n">
        <v>0</v>
      </c>
      <c r="TA175" s="9" t="n">
        <v>0</v>
      </c>
      <c r="TB175" s="9" t="n">
        <v>0</v>
      </c>
      <c r="TF175" s="10" t="n">
        <v>46171</v>
      </c>
      <c r="TH175" s="9" t="n">
        <v>0</v>
      </c>
      <c r="TJ175" s="9" t="n">
        <v>0</v>
      </c>
      <c r="TK175" s="9" t="n">
        <v>0</v>
      </c>
      <c r="TO175" s="10" t="n">
        <v>46171</v>
      </c>
      <c r="TQ175" s="9" t="n">
        <v>0</v>
      </c>
      <c r="TS175" s="9" t="n">
        <v>0</v>
      </c>
      <c r="TT175" s="9" t="n">
        <v>0</v>
      </c>
      <c r="TX175" s="10" t="n">
        <v>46171</v>
      </c>
      <c r="TZ175" s="9" t="n">
        <v>0</v>
      </c>
      <c r="UA175" s="9" t="n">
        <v>92.40000000000001</v>
      </c>
      <c r="UB175" s="9" t="n">
        <v>-92.40000000000001</v>
      </c>
      <c r="UC175" s="9" t="n">
        <v>135.6</v>
      </c>
      <c r="UG175" s="10" t="n">
        <v>46171</v>
      </c>
      <c r="UI175" s="9" t="n">
        <v>0</v>
      </c>
      <c r="UJ175" s="9" t="n">
        <v>346</v>
      </c>
      <c r="UK175" s="9" t="n">
        <v>-346</v>
      </c>
      <c r="UL175" s="9" t="n">
        <v>220</v>
      </c>
      <c r="UP175" s="10" t="n">
        <v>46171</v>
      </c>
      <c r="UQ175" s="9" t="n">
        <v>40</v>
      </c>
      <c r="UR175" s="9" t="n">
        <v>0</v>
      </c>
      <c r="UT175" s="9" t="n">
        <v>0</v>
      </c>
      <c r="UU175" s="9" t="n">
        <v>40</v>
      </c>
      <c r="UY175" s="10" t="n">
        <v>46171</v>
      </c>
      <c r="VA175" s="9" t="n">
        <v>0</v>
      </c>
      <c r="VC175" s="9" t="n">
        <v>0</v>
      </c>
      <c r="VD175" s="9" t="n">
        <v>41.60000000000002</v>
      </c>
      <c r="VH175" s="10" t="n">
        <v>46171</v>
      </c>
      <c r="VJ175" s="9" t="n">
        <v>0</v>
      </c>
      <c r="VL175" s="9" t="n">
        <v>0</v>
      </c>
      <c r="VM175" s="9" t="n">
        <v>0</v>
      </c>
      <c r="VQ175" s="10" t="n">
        <v>46171</v>
      </c>
      <c r="VS175" s="9" t="n">
        <v>0</v>
      </c>
      <c r="VU175" s="9" t="n">
        <v>0</v>
      </c>
      <c r="VV175" s="9" t="n">
        <v>0</v>
      </c>
      <c r="VZ175" s="10" t="n">
        <v>46171</v>
      </c>
      <c r="WB175" s="9" t="n">
        <v>0</v>
      </c>
      <c r="WD175" s="9" t="n">
        <v>0</v>
      </c>
      <c r="WE175" s="9" t="n">
        <v>0</v>
      </c>
      <c r="WI175" s="10" t="n">
        <v>46171</v>
      </c>
      <c r="WK175" s="9" t="n">
        <v>0</v>
      </c>
      <c r="WM175" s="9" t="n">
        <v>0</v>
      </c>
      <c r="WN175" s="9" t="n">
        <v>1199</v>
      </c>
      <c r="WR175" s="10" t="n">
        <v>46171</v>
      </c>
      <c r="WT175" s="9" t="n">
        <v>0</v>
      </c>
      <c r="WV175" s="9" t="n">
        <v>0</v>
      </c>
      <c r="WW175" s="9" t="n">
        <v>0</v>
      </c>
      <c r="XA175" s="10" t="n">
        <v>46171</v>
      </c>
      <c r="XC175" s="9" t="n">
        <v>0</v>
      </c>
      <c r="XE175" s="9" t="n">
        <v>0</v>
      </c>
      <c r="XF175" s="9" t="n">
        <v>6813</v>
      </c>
      <c r="XJ175" s="10" t="n">
        <v>46171</v>
      </c>
      <c r="XK175" s="9" t="n">
        <v>8000</v>
      </c>
      <c r="XL175" s="9" t="n">
        <v>0</v>
      </c>
      <c r="XM175" s="9" t="n">
        <v>128</v>
      </c>
      <c r="XN175" s="9" t="n">
        <v>-128</v>
      </c>
      <c r="XO175" s="9" t="n">
        <v>7638</v>
      </c>
      <c r="XS175" s="10" t="n">
        <v>46171</v>
      </c>
      <c r="XU175" s="9" t="n">
        <v>0</v>
      </c>
      <c r="XW175" s="9" t="n">
        <v>0</v>
      </c>
      <c r="XX175" s="9" t="n">
        <v>1621</v>
      </c>
      <c r="YB175" s="10" t="n">
        <v>46171</v>
      </c>
      <c r="YD175" s="9" t="n">
        <v>0</v>
      </c>
      <c r="YF175" s="9" t="n">
        <v>0</v>
      </c>
      <c r="YG175" s="9" t="n">
        <v>6193</v>
      </c>
      <c r="YK175" s="10" t="n">
        <v>46171</v>
      </c>
      <c r="YM175" s="9" t="n">
        <v>0</v>
      </c>
      <c r="YO175" s="9" t="n">
        <v>0</v>
      </c>
      <c r="YP175" s="9" t="n">
        <v>0</v>
      </c>
      <c r="YT175" s="10" t="n">
        <v>46171</v>
      </c>
      <c r="YV175" s="9" t="n">
        <v>0</v>
      </c>
      <c r="YX175" s="9" t="n">
        <v>0</v>
      </c>
      <c r="YY175" s="9" t="n">
        <v>0</v>
      </c>
      <c r="ZC175" s="10" t="n">
        <v>46171</v>
      </c>
      <c r="ZE175" s="9" t="n">
        <v>0</v>
      </c>
      <c r="ZG175" s="9" t="n">
        <v>0</v>
      </c>
      <c r="ZH175" s="9" t="n">
        <v>0</v>
      </c>
      <c r="ZL175" s="10" t="n">
        <v>46171</v>
      </c>
      <c r="ZN175" s="9" t="n">
        <v>0</v>
      </c>
      <c r="ZP175" s="9" t="n">
        <v>0</v>
      </c>
      <c r="ZQ175" s="9" t="n">
        <v>0</v>
      </c>
      <c r="ZU175" s="10" t="n">
        <v>46171</v>
      </c>
      <c r="ZW175" s="9" t="n">
        <v>0</v>
      </c>
      <c r="ZY175" s="9" t="n">
        <v>0</v>
      </c>
      <c r="ZZ175" s="9" t="n">
        <v>0</v>
      </c>
      <c r="AAD175" s="10" t="n">
        <v>46171</v>
      </c>
      <c r="AAF175" s="9" t="n">
        <v>0</v>
      </c>
      <c r="AAH175" s="9" t="n">
        <v>0</v>
      </c>
      <c r="AAI175" s="9" t="n">
        <v>0</v>
      </c>
      <c r="AAM175" s="10" t="n">
        <v>46171</v>
      </c>
      <c r="AAO175" s="9" t="n">
        <v>0</v>
      </c>
      <c r="AAQ175" s="9" t="n">
        <v>0</v>
      </c>
      <c r="AAR175" s="9" t="n">
        <v>0</v>
      </c>
      <c r="AAV175" s="10" t="n">
        <v>46171</v>
      </c>
      <c r="AAX175" s="9" t="n">
        <v>0</v>
      </c>
      <c r="AAZ175" s="9" t="n">
        <v>0</v>
      </c>
      <c r="ABA175" s="9" t="n">
        <v>0</v>
      </c>
      <c r="ABE175" s="10" t="n">
        <v>46171</v>
      </c>
      <c r="ABG175" s="9" t="n">
        <v>0</v>
      </c>
      <c r="ABI175" s="9" t="n">
        <v>0</v>
      </c>
      <c r="ABJ175" s="9" t="n">
        <v>0</v>
      </c>
    </row>
    <row r="176">
      <c r="B176" s="9" t="n">
        <v>4</v>
      </c>
      <c r="C176" s="10" t="n">
        <v>46172</v>
      </c>
      <c r="D176" s="9" t="n">
        <v>36330</v>
      </c>
      <c r="E176" s="9" t="n">
        <v>2180.58</v>
      </c>
      <c r="F176" s="9" t="n">
        <v>2217.8</v>
      </c>
      <c r="G176" s="9" t="n">
        <v>-37.22000000000025</v>
      </c>
      <c r="H176" s="9" t="n">
        <v>244343.4000000001</v>
      </c>
      <c r="I176" s="9" t="inlineStr">
        <is>
          <t>5202 4mt</t>
        </is>
      </c>
      <c r="L176" s="10" t="n">
        <v>46172</v>
      </c>
      <c r="N176" s="9" t="n">
        <v>1189.94</v>
      </c>
      <c r="O176" s="9" t="n">
        <v>1194.8</v>
      </c>
      <c r="P176" s="9" t="n">
        <v>-4.8599999999999</v>
      </c>
      <c r="Q176" s="9" t="n">
        <v>105957.2000000001</v>
      </c>
      <c r="U176" s="10" t="n">
        <v>46172</v>
      </c>
      <c r="W176" s="9" t="n">
        <v>240</v>
      </c>
      <c r="X176" s="9" t="n">
        <v>240.2</v>
      </c>
      <c r="Y176" s="9" t="n">
        <v>-0.1999999999999886</v>
      </c>
      <c r="Z176" s="9" t="n">
        <v>44686.29999999997</v>
      </c>
      <c r="AD176" s="10" t="n">
        <v>46172</v>
      </c>
      <c r="AF176" s="9" t="n">
        <v>0</v>
      </c>
      <c r="AG176" s="9" t="n">
        <v>1029.6</v>
      </c>
      <c r="AH176" s="9" t="n">
        <v>-1029.6</v>
      </c>
      <c r="AI176" s="9" t="n">
        <v>12193.40000000002</v>
      </c>
      <c r="AM176" s="10" t="n">
        <v>46172</v>
      </c>
      <c r="AO176" s="9" t="n">
        <v>0</v>
      </c>
      <c r="AQ176" s="9" t="n">
        <v>0</v>
      </c>
      <c r="AR176" s="9" t="n">
        <v>0</v>
      </c>
      <c r="AV176" s="10" t="n">
        <v>46172</v>
      </c>
      <c r="AW176" s="9" t="n">
        <v>11920</v>
      </c>
      <c r="AX176" s="9" t="n">
        <v>0</v>
      </c>
      <c r="AZ176" s="9" t="n">
        <v>0</v>
      </c>
      <c r="BA176" s="9" t="n">
        <v>18566.7</v>
      </c>
      <c r="BE176" s="10" t="n">
        <v>46172</v>
      </c>
      <c r="BG176" s="9" t="n">
        <v>0</v>
      </c>
      <c r="BI176" s="9" t="n">
        <v>0</v>
      </c>
      <c r="BJ176" s="9" t="n">
        <v>34163.99999999999</v>
      </c>
      <c r="BN176" s="10" t="n">
        <v>46172</v>
      </c>
      <c r="BO176" s="9" t="n">
        <v>20.1</v>
      </c>
      <c r="BP176" s="9" t="n">
        <v>20</v>
      </c>
      <c r="BQ176" s="9" t="n">
        <v>20.1</v>
      </c>
      <c r="BR176" s="9" t="n">
        <v>-0.1000000000000014</v>
      </c>
      <c r="BS176" s="9" t="n">
        <v>0</v>
      </c>
      <c r="BW176" s="10" t="n">
        <v>46172</v>
      </c>
      <c r="BY176" s="9" t="n">
        <v>29.42</v>
      </c>
      <c r="BZ176" s="9" t="n">
        <v>29.42</v>
      </c>
      <c r="CA176" s="9" t="n">
        <v>0</v>
      </c>
      <c r="CB176" s="9" t="n">
        <v>5083.129999999999</v>
      </c>
      <c r="CF176" s="10" t="n">
        <v>46172</v>
      </c>
      <c r="CG176" s="9" t="n">
        <v>66.12</v>
      </c>
      <c r="CH176" s="9" t="n">
        <v>0</v>
      </c>
      <c r="CI176" s="9" t="n">
        <v>66.12</v>
      </c>
      <c r="CJ176" s="9" t="n">
        <v>-66.12</v>
      </c>
      <c r="CK176" s="9" t="n">
        <v>0</v>
      </c>
      <c r="CO176" s="10" t="n">
        <v>46172</v>
      </c>
      <c r="CQ176" s="9" t="n">
        <v>0</v>
      </c>
      <c r="CS176" s="9" t="n">
        <v>0</v>
      </c>
      <c r="CT176" s="9" t="n">
        <v>0</v>
      </c>
      <c r="CX176" s="10" t="n">
        <v>46172</v>
      </c>
      <c r="CZ176" s="9" t="n">
        <v>80</v>
      </c>
      <c r="DA176" s="9" t="n">
        <v>79.40000000000001</v>
      </c>
      <c r="DB176" s="9" t="n">
        <v>0.5999999999999943</v>
      </c>
      <c r="DC176" s="9" t="n">
        <v>19623.90000000001</v>
      </c>
      <c r="DG176" s="10" t="n">
        <v>46172</v>
      </c>
      <c r="DI176" s="9" t="n">
        <v>0</v>
      </c>
      <c r="DK176" s="9" t="n">
        <v>0</v>
      </c>
      <c r="DL176" s="9" t="n">
        <v>35234.99999999999</v>
      </c>
      <c r="DP176" s="10" t="n">
        <v>46172</v>
      </c>
      <c r="DR176" s="9" t="n">
        <v>0</v>
      </c>
      <c r="DT176" s="9" t="n">
        <v>0</v>
      </c>
      <c r="DU176" s="9" t="n">
        <v>5800</v>
      </c>
      <c r="DY176" s="10" t="n">
        <v>46172</v>
      </c>
      <c r="EA176" s="9" t="n">
        <v>0</v>
      </c>
      <c r="EC176" s="9" t="n">
        <v>0</v>
      </c>
      <c r="ED176" s="9" t="n">
        <v>0</v>
      </c>
      <c r="EH176" s="10" t="n">
        <v>46172</v>
      </c>
      <c r="EJ176" s="9" t="n">
        <v>0</v>
      </c>
      <c r="EL176" s="9" t="n">
        <v>0</v>
      </c>
      <c r="EM176" s="9" t="n">
        <v>0</v>
      </c>
      <c r="EQ176" s="10" t="n">
        <v>46172</v>
      </c>
      <c r="ES176" s="9" t="n">
        <v>0</v>
      </c>
      <c r="EU176" s="9" t="n">
        <v>0</v>
      </c>
      <c r="EV176" s="9" t="n">
        <v>0</v>
      </c>
      <c r="EZ176" s="10" t="n">
        <v>46172</v>
      </c>
      <c r="FB176" s="9" t="n">
        <v>0</v>
      </c>
      <c r="FD176" s="9" t="n">
        <v>0</v>
      </c>
      <c r="FE176" s="9" t="n">
        <v>0</v>
      </c>
      <c r="FI176" s="10" t="n">
        <v>46172</v>
      </c>
      <c r="FK176" s="9" t="n">
        <v>0</v>
      </c>
      <c r="FM176" s="9" t="n">
        <v>0</v>
      </c>
      <c r="FN176" s="9" t="n">
        <v>0</v>
      </c>
      <c r="FR176" s="10" t="n">
        <v>46172</v>
      </c>
      <c r="FT176" s="9" t="n">
        <v>0</v>
      </c>
      <c r="FV176" s="9" t="n">
        <v>0</v>
      </c>
      <c r="FW176" s="9" t="n">
        <v>4140</v>
      </c>
      <c r="GA176" s="10" t="n">
        <v>46172</v>
      </c>
      <c r="GC176" s="9" t="n">
        <v>0</v>
      </c>
      <c r="GE176" s="9" t="n">
        <v>0</v>
      </c>
      <c r="GF176" s="9" t="n">
        <v>5040</v>
      </c>
      <c r="GJ176" s="10" t="n">
        <v>46172</v>
      </c>
      <c r="GL176" s="9" t="n">
        <v>0</v>
      </c>
      <c r="GN176" s="9" t="n">
        <v>0</v>
      </c>
      <c r="GO176" s="9" t="n">
        <v>1760</v>
      </c>
      <c r="GS176" s="10" t="n">
        <v>46172</v>
      </c>
      <c r="GU176" s="9" t="n">
        <v>0</v>
      </c>
      <c r="GW176" s="9" t="n">
        <v>0</v>
      </c>
      <c r="GX176" s="9" t="n">
        <v>600</v>
      </c>
      <c r="HB176" s="10" t="n">
        <v>46172</v>
      </c>
      <c r="HD176" s="9" t="n">
        <v>0</v>
      </c>
      <c r="HF176" s="9" t="n">
        <v>0</v>
      </c>
      <c r="HG176" s="9" t="n">
        <v>3600</v>
      </c>
      <c r="HK176" s="10" t="n">
        <v>46172</v>
      </c>
      <c r="HM176" s="9" t="n">
        <v>0</v>
      </c>
      <c r="HO176" s="9" t="n">
        <v>0</v>
      </c>
      <c r="HP176" s="9" t="n">
        <v>0</v>
      </c>
      <c r="HU176" s="10" t="n">
        <v>46172</v>
      </c>
      <c r="HW176" s="9" t="n">
        <v>0</v>
      </c>
      <c r="HY176" s="9" t="n">
        <v>0</v>
      </c>
      <c r="HZ176" s="9" t="n">
        <v>6800</v>
      </c>
      <c r="ID176" s="10" t="n">
        <v>46172</v>
      </c>
      <c r="IF176" s="9" t="n">
        <v>0</v>
      </c>
      <c r="IH176" s="9" t="n">
        <v>0</v>
      </c>
      <c r="II176" s="9" t="n">
        <v>720</v>
      </c>
      <c r="IM176" s="10" t="n">
        <v>46172</v>
      </c>
      <c r="IO176" s="9" t="n">
        <v>0</v>
      </c>
      <c r="IQ176" s="9" t="n">
        <v>0</v>
      </c>
      <c r="IR176" s="9" t="n">
        <v>8140</v>
      </c>
      <c r="IV176" s="10" t="n">
        <v>46172</v>
      </c>
      <c r="IX176" s="9" t="n">
        <v>0</v>
      </c>
      <c r="IZ176" s="9" t="n">
        <v>0</v>
      </c>
      <c r="JA176" s="9" t="n">
        <v>4960</v>
      </c>
      <c r="JE176" s="10" t="n">
        <v>46172</v>
      </c>
      <c r="JG176" s="9" t="n">
        <v>0</v>
      </c>
      <c r="JI176" s="9" t="n">
        <v>0</v>
      </c>
      <c r="JJ176" s="9" t="n">
        <v>0</v>
      </c>
      <c r="JN176" s="10" t="n">
        <v>46172</v>
      </c>
      <c r="JP176" s="9" t="n">
        <v>0</v>
      </c>
      <c r="JR176" s="9" t="n">
        <v>0</v>
      </c>
      <c r="JS176" s="9" t="n">
        <v>3340</v>
      </c>
      <c r="JW176" s="10" t="n">
        <v>46172</v>
      </c>
      <c r="JY176" s="9" t="n">
        <v>0</v>
      </c>
      <c r="KA176" s="9" t="n">
        <v>0</v>
      </c>
      <c r="KB176" s="9" t="n">
        <v>2540</v>
      </c>
      <c r="KF176" s="10" t="n">
        <v>46172</v>
      </c>
      <c r="KH176" s="9" t="n">
        <v>0</v>
      </c>
      <c r="KJ176" s="9" t="n">
        <v>0</v>
      </c>
      <c r="KK176" s="9" t="n">
        <v>2359.5</v>
      </c>
      <c r="KO176" s="10" t="n">
        <v>46172</v>
      </c>
      <c r="KQ176" s="9" t="n">
        <v>0</v>
      </c>
      <c r="KS176" s="9" t="n">
        <v>0</v>
      </c>
      <c r="KT176" s="9" t="n">
        <v>1890</v>
      </c>
      <c r="KX176" s="10" t="n">
        <v>46172</v>
      </c>
      <c r="KZ176" s="9" t="n">
        <v>0</v>
      </c>
      <c r="LB176" s="9" t="n">
        <v>0</v>
      </c>
      <c r="LC176" s="9" t="n">
        <v>3690</v>
      </c>
      <c r="LG176" s="10" t="n">
        <v>46172</v>
      </c>
      <c r="LI176" s="9" t="n">
        <v>0</v>
      </c>
      <c r="LK176" s="9" t="n">
        <v>0</v>
      </c>
      <c r="LL176" s="9" t="n">
        <v>4000</v>
      </c>
      <c r="LP176" s="10" t="n">
        <v>46172</v>
      </c>
      <c r="LR176" s="9" t="n">
        <v>0</v>
      </c>
      <c r="LT176" s="9" t="n">
        <v>0</v>
      </c>
      <c r="LU176" s="9" t="n">
        <v>0</v>
      </c>
      <c r="LY176" s="10" t="n">
        <v>46172</v>
      </c>
      <c r="MA176" s="9" t="n">
        <v>0</v>
      </c>
      <c r="MC176" s="9" t="n">
        <v>0</v>
      </c>
      <c r="MD176" s="9" t="n">
        <v>0</v>
      </c>
      <c r="MH176" s="10" t="n">
        <v>46172</v>
      </c>
      <c r="MJ176" s="9" t="n">
        <v>0</v>
      </c>
      <c r="ML176" s="9" t="n">
        <v>0</v>
      </c>
      <c r="MM176" s="9" t="n">
        <v>0</v>
      </c>
      <c r="MQ176" s="10" t="n">
        <v>46172</v>
      </c>
      <c r="MS176" s="9" t="n">
        <v>0</v>
      </c>
      <c r="MU176" s="9" t="n">
        <v>0</v>
      </c>
      <c r="MV176" s="9" t="n">
        <v>3724</v>
      </c>
      <c r="MZ176" s="10" t="n">
        <v>46172</v>
      </c>
      <c r="NB176" s="9" t="n">
        <v>0</v>
      </c>
      <c r="ND176" s="9" t="n">
        <v>0</v>
      </c>
      <c r="NE176" s="9" t="n">
        <v>0</v>
      </c>
      <c r="NI176" s="10" t="n">
        <v>46172</v>
      </c>
      <c r="NK176" s="9" t="n">
        <v>0</v>
      </c>
      <c r="NM176" s="9" t="n">
        <v>0</v>
      </c>
      <c r="NN176" s="9" t="n">
        <v>1127</v>
      </c>
      <c r="NR176" s="10" t="n">
        <v>46172</v>
      </c>
      <c r="NT176" s="9" t="n">
        <v>0</v>
      </c>
      <c r="NV176" s="9" t="n">
        <v>0</v>
      </c>
      <c r="NW176" s="9" t="n">
        <v>3112</v>
      </c>
      <c r="OA176" s="10" t="n">
        <v>46172</v>
      </c>
      <c r="OC176" s="9" t="n">
        <v>0</v>
      </c>
      <c r="OE176" s="9" t="n">
        <v>0</v>
      </c>
      <c r="OF176" s="9" t="n">
        <v>1680.5</v>
      </c>
      <c r="OJ176" s="10" t="n">
        <v>46172</v>
      </c>
      <c r="OK176" s="9" t="n">
        <v>10.4</v>
      </c>
      <c r="OL176" s="9" t="n">
        <v>0</v>
      </c>
      <c r="OM176" s="9" t="n">
        <v>10.4</v>
      </c>
      <c r="ON176" s="9" t="n">
        <v>-10.4</v>
      </c>
      <c r="OO176" s="9" t="n">
        <v>0</v>
      </c>
      <c r="OS176" s="10" t="n">
        <v>46172</v>
      </c>
      <c r="OU176" s="9" t="n">
        <v>0</v>
      </c>
      <c r="OW176" s="9" t="n">
        <v>0</v>
      </c>
      <c r="OX176" s="9" t="n">
        <v>1482</v>
      </c>
      <c r="PB176" s="10" t="n">
        <v>46172</v>
      </c>
      <c r="PD176" s="9" t="n">
        <v>0</v>
      </c>
      <c r="PF176" s="9" t="n">
        <v>0</v>
      </c>
      <c r="PG176" s="9" t="n">
        <v>0</v>
      </c>
      <c r="PK176" s="10" t="n">
        <v>46172</v>
      </c>
      <c r="PM176" s="9" t="n">
        <v>0</v>
      </c>
      <c r="PO176" s="9" t="n">
        <v>0</v>
      </c>
      <c r="PP176" s="9" t="n">
        <v>100</v>
      </c>
      <c r="PT176" s="10" t="n">
        <v>46172</v>
      </c>
      <c r="PV176" s="9" t="n">
        <v>0</v>
      </c>
      <c r="PX176" s="9" t="n">
        <v>0</v>
      </c>
      <c r="PY176" s="9" t="n">
        <v>13.96000000000004</v>
      </c>
      <c r="QC176" s="10" t="n">
        <v>46172</v>
      </c>
      <c r="QE176" s="9" t="n">
        <v>0</v>
      </c>
      <c r="QG176" s="9" t="n">
        <v>0</v>
      </c>
      <c r="QH176" s="9" t="n">
        <v>108</v>
      </c>
      <c r="QL176" s="10" t="n">
        <v>46172</v>
      </c>
      <c r="QN176" s="9" t="n">
        <v>0</v>
      </c>
      <c r="QO176" s="9" t="n">
        <v>1200</v>
      </c>
      <c r="QP176" s="9" t="n">
        <v>-1200</v>
      </c>
      <c r="QQ176" s="9" t="n">
        <v>245</v>
      </c>
      <c r="QU176" s="10" t="n">
        <v>46172</v>
      </c>
      <c r="QW176" s="9" t="n">
        <v>0</v>
      </c>
      <c r="QY176" s="9" t="n">
        <v>0</v>
      </c>
      <c r="QZ176" s="9" t="n">
        <v>207.6</v>
      </c>
      <c r="RD176" s="10" t="n">
        <v>46172</v>
      </c>
      <c r="RF176" s="9" t="n">
        <v>0</v>
      </c>
      <c r="RH176" s="9" t="n">
        <v>0</v>
      </c>
      <c r="RI176" s="9" t="n">
        <v>147.04</v>
      </c>
      <c r="RM176" s="10" t="n">
        <v>46172</v>
      </c>
      <c r="RO176" s="9" t="n">
        <v>0</v>
      </c>
      <c r="RQ176" s="9" t="n">
        <v>0</v>
      </c>
      <c r="RR176" s="9" t="n">
        <v>46.8</v>
      </c>
      <c r="RV176" s="10" t="n">
        <v>46172</v>
      </c>
      <c r="RX176" s="9" t="n">
        <v>0</v>
      </c>
      <c r="RZ176" s="9" t="n">
        <v>0</v>
      </c>
      <c r="SA176" s="9" t="n">
        <v>0</v>
      </c>
      <c r="SE176" s="10" t="n">
        <v>46172</v>
      </c>
      <c r="SG176" s="9" t="n">
        <v>0</v>
      </c>
      <c r="SI176" s="9" t="n">
        <v>0</v>
      </c>
      <c r="SJ176" s="9" t="n">
        <v>24.2</v>
      </c>
      <c r="SN176" s="10" t="n">
        <v>46172</v>
      </c>
      <c r="SP176" s="9" t="n">
        <v>0</v>
      </c>
      <c r="SR176" s="9" t="n">
        <v>0</v>
      </c>
      <c r="SS176" s="9" t="n">
        <v>32</v>
      </c>
      <c r="SW176" s="10" t="n">
        <v>46172</v>
      </c>
      <c r="SY176" s="9" t="n">
        <v>0</v>
      </c>
      <c r="TA176" s="9" t="n">
        <v>0</v>
      </c>
      <c r="TB176" s="9" t="n">
        <v>0</v>
      </c>
      <c r="TF176" s="10" t="n">
        <v>46172</v>
      </c>
      <c r="TH176" s="9" t="n">
        <v>0</v>
      </c>
      <c r="TJ176" s="9" t="n">
        <v>0</v>
      </c>
      <c r="TK176" s="9" t="n">
        <v>0</v>
      </c>
      <c r="TO176" s="10" t="n">
        <v>46172</v>
      </c>
      <c r="TQ176" s="9" t="n">
        <v>0</v>
      </c>
      <c r="TS176" s="9" t="n">
        <v>0</v>
      </c>
      <c r="TT176" s="9" t="n">
        <v>0</v>
      </c>
      <c r="TX176" s="10" t="n">
        <v>46172</v>
      </c>
      <c r="TZ176" s="9" t="n">
        <v>0</v>
      </c>
      <c r="UB176" s="9" t="n">
        <v>0</v>
      </c>
      <c r="UC176" s="9" t="n">
        <v>135.6</v>
      </c>
      <c r="UG176" s="10" t="n">
        <v>46172</v>
      </c>
      <c r="UI176" s="9" t="n">
        <v>0</v>
      </c>
      <c r="UJ176" s="9" t="n">
        <v>92</v>
      </c>
      <c r="UK176" s="9" t="n">
        <v>-92</v>
      </c>
      <c r="UL176" s="9" t="n">
        <v>128</v>
      </c>
      <c r="UP176" s="10" t="n">
        <v>46172</v>
      </c>
      <c r="UR176" s="9" t="n">
        <v>0</v>
      </c>
      <c r="US176" s="9" t="n">
        <v>28.75</v>
      </c>
      <c r="UT176" s="9" t="n">
        <v>-28.75</v>
      </c>
      <c r="UU176" s="9" t="n">
        <v>11.25</v>
      </c>
      <c r="UY176" s="10" t="n">
        <v>46172</v>
      </c>
      <c r="VA176" s="9" t="n">
        <v>0</v>
      </c>
      <c r="VC176" s="9" t="n">
        <v>0</v>
      </c>
      <c r="VD176" s="9" t="n">
        <v>41.60000000000002</v>
      </c>
      <c r="VH176" s="10" t="n">
        <v>46172</v>
      </c>
      <c r="VJ176" s="9" t="n">
        <v>0</v>
      </c>
      <c r="VL176" s="9" t="n">
        <v>0</v>
      </c>
      <c r="VM176" s="9" t="n">
        <v>0</v>
      </c>
      <c r="VQ176" s="10" t="n">
        <v>46172</v>
      </c>
      <c r="VS176" s="9" t="n">
        <v>0</v>
      </c>
      <c r="VU176" s="9" t="n">
        <v>0</v>
      </c>
      <c r="VV176" s="9" t="n">
        <v>0</v>
      </c>
      <c r="VZ176" s="10" t="n">
        <v>46172</v>
      </c>
      <c r="WB176" s="9" t="n">
        <v>0</v>
      </c>
      <c r="WD176" s="9" t="n">
        <v>0</v>
      </c>
      <c r="WE176" s="9" t="n">
        <v>0</v>
      </c>
      <c r="WI176" s="10" t="n">
        <v>46172</v>
      </c>
      <c r="WK176" s="9" t="n">
        <v>0</v>
      </c>
      <c r="WM176" s="9" t="n">
        <v>0</v>
      </c>
      <c r="WN176" s="9" t="n">
        <v>1199</v>
      </c>
      <c r="WR176" s="10" t="n">
        <v>46172</v>
      </c>
      <c r="WT176" s="9" t="n">
        <v>0</v>
      </c>
      <c r="WV176" s="9" t="n">
        <v>0</v>
      </c>
      <c r="WW176" s="9" t="n">
        <v>0</v>
      </c>
      <c r="XA176" s="10" t="n">
        <v>46172</v>
      </c>
      <c r="XC176" s="9" t="n">
        <v>0</v>
      </c>
      <c r="XE176" s="9" t="n">
        <v>0</v>
      </c>
      <c r="XF176" s="9" t="n">
        <v>6813</v>
      </c>
      <c r="XJ176" s="10" t="n">
        <v>46172</v>
      </c>
      <c r="XL176" s="9" t="n">
        <v>0</v>
      </c>
      <c r="XM176" s="9" t="n">
        <v>80</v>
      </c>
      <c r="XN176" s="9" t="n">
        <v>-80</v>
      </c>
      <c r="XO176" s="9" t="n">
        <v>7558</v>
      </c>
      <c r="XS176" s="10" t="n">
        <v>46172</v>
      </c>
      <c r="XU176" s="9" t="n">
        <v>0</v>
      </c>
      <c r="XW176" s="9" t="n">
        <v>0</v>
      </c>
      <c r="XX176" s="9" t="n">
        <v>1621</v>
      </c>
      <c r="YB176" s="10" t="n">
        <v>46172</v>
      </c>
      <c r="YD176" s="9" t="n">
        <v>0</v>
      </c>
      <c r="YF176" s="9" t="n">
        <v>0</v>
      </c>
      <c r="YG176" s="9" t="n">
        <v>6193</v>
      </c>
      <c r="YK176" s="10" t="n">
        <v>46172</v>
      </c>
      <c r="YM176" s="9" t="n">
        <v>0</v>
      </c>
      <c r="YO176" s="9" t="n">
        <v>0</v>
      </c>
      <c r="YP176" s="9" t="n">
        <v>0</v>
      </c>
      <c r="YT176" s="10" t="n">
        <v>46172</v>
      </c>
      <c r="YV176" s="9" t="n">
        <v>0</v>
      </c>
      <c r="YX176" s="9" t="n">
        <v>0</v>
      </c>
      <c r="YY176" s="9" t="n">
        <v>0</v>
      </c>
      <c r="ZC176" s="10" t="n">
        <v>46172</v>
      </c>
      <c r="ZE176" s="9" t="n">
        <v>0</v>
      </c>
      <c r="ZG176" s="9" t="n">
        <v>0</v>
      </c>
      <c r="ZH176" s="9" t="n">
        <v>0</v>
      </c>
      <c r="ZL176" s="10" t="n">
        <v>46172</v>
      </c>
      <c r="ZN176" s="9" t="n">
        <v>0</v>
      </c>
      <c r="ZP176" s="9" t="n">
        <v>0</v>
      </c>
      <c r="ZQ176" s="9" t="n">
        <v>0</v>
      </c>
      <c r="ZU176" s="10" t="n">
        <v>46172</v>
      </c>
      <c r="ZW176" s="9" t="n">
        <v>0</v>
      </c>
      <c r="ZY176" s="9" t="n">
        <v>0</v>
      </c>
      <c r="ZZ176" s="9" t="n">
        <v>0</v>
      </c>
      <c r="AAD176" s="10" t="n">
        <v>46172</v>
      </c>
      <c r="AAF176" s="9" t="n">
        <v>0</v>
      </c>
      <c r="AAH176" s="9" t="n">
        <v>0</v>
      </c>
      <c r="AAI176" s="9" t="n">
        <v>0</v>
      </c>
      <c r="AAM176" s="10" t="n">
        <v>46172</v>
      </c>
      <c r="AAO176" s="9" t="n">
        <v>0</v>
      </c>
      <c r="AAQ176" s="9" t="n">
        <v>0</v>
      </c>
      <c r="AAR176" s="9" t="n">
        <v>0</v>
      </c>
      <c r="AAV176" s="10" t="n">
        <v>46172</v>
      </c>
      <c r="AAX176" s="9" t="n">
        <v>0</v>
      </c>
      <c r="AAZ176" s="9" t="n">
        <v>0</v>
      </c>
      <c r="ABA176" s="9" t="n">
        <v>0</v>
      </c>
      <c r="ABE176" s="10" t="n">
        <v>46172</v>
      </c>
      <c r="ABG176" s="9" t="n">
        <v>0</v>
      </c>
      <c r="ABI176" s="9" t="n">
        <v>0</v>
      </c>
      <c r="ABJ176" s="9" t="n">
        <v>0</v>
      </c>
    </row>
    <row r="177">
      <c r="C177" s="10" t="n">
        <v>46173</v>
      </c>
      <c r="E177" s="9" t="n">
        <v>0</v>
      </c>
      <c r="G177" s="9" t="n">
        <v>0</v>
      </c>
      <c r="H177" s="9" t="n">
        <v>244343.4000000001</v>
      </c>
      <c r="L177" s="10" t="n">
        <v>46173</v>
      </c>
      <c r="N177" s="9" t="n">
        <v>0</v>
      </c>
      <c r="P177" s="9" t="n">
        <v>0</v>
      </c>
      <c r="Q177" s="9" t="n">
        <v>105957.2000000001</v>
      </c>
      <c r="U177" s="10" t="n">
        <v>46173</v>
      </c>
      <c r="W177" s="9" t="n">
        <v>0</v>
      </c>
      <c r="Y177" s="9" t="n">
        <v>0</v>
      </c>
      <c r="Z177" s="9" t="n">
        <v>44686.29999999997</v>
      </c>
      <c r="AD177" s="10" t="n">
        <v>46173</v>
      </c>
      <c r="AF177" s="9" t="n">
        <v>0</v>
      </c>
      <c r="AH177" s="9" t="n">
        <v>0</v>
      </c>
      <c r="AI177" s="9" t="n">
        <v>12193.40000000002</v>
      </c>
      <c r="AM177" s="10" t="n">
        <v>46173</v>
      </c>
      <c r="AO177" s="9" t="n">
        <v>0</v>
      </c>
      <c r="AQ177" s="9" t="n">
        <v>0</v>
      </c>
      <c r="AR177" s="9" t="n">
        <v>0</v>
      </c>
      <c r="AV177" s="10" t="n">
        <v>46173</v>
      </c>
      <c r="AX177" s="9" t="n">
        <v>0</v>
      </c>
      <c r="AZ177" s="9" t="n">
        <v>0</v>
      </c>
      <c r="BA177" s="9" t="n">
        <v>18566.7</v>
      </c>
      <c r="BE177" s="10" t="n">
        <v>46173</v>
      </c>
      <c r="BG177" s="9" t="n">
        <v>0</v>
      </c>
      <c r="BI177" s="9" t="n">
        <v>0</v>
      </c>
      <c r="BJ177" s="9" t="n">
        <v>34163.99999999999</v>
      </c>
      <c r="BN177" s="10" t="n">
        <v>46173</v>
      </c>
      <c r="BP177" s="9" t="n">
        <v>0</v>
      </c>
      <c r="BR177" s="9" t="n">
        <v>0</v>
      </c>
      <c r="BS177" s="9" t="n">
        <v>0</v>
      </c>
      <c r="BW177" s="10" t="n">
        <v>46173</v>
      </c>
      <c r="BY177" s="9" t="n">
        <v>0</v>
      </c>
      <c r="CA177" s="9" t="n">
        <v>0</v>
      </c>
      <c r="CB177" s="9" t="n">
        <v>5083.129999999999</v>
      </c>
      <c r="CF177" s="10" t="n">
        <v>46173</v>
      </c>
      <c r="CH177" s="9" t="n">
        <v>0</v>
      </c>
      <c r="CJ177" s="9" t="n">
        <v>0</v>
      </c>
      <c r="CK177" s="9" t="n">
        <v>0</v>
      </c>
      <c r="CO177" s="10" t="n">
        <v>46173</v>
      </c>
      <c r="CQ177" s="9" t="n">
        <v>0</v>
      </c>
      <c r="CS177" s="9" t="n">
        <v>0</v>
      </c>
      <c r="CT177" s="9" t="n">
        <v>0</v>
      </c>
      <c r="CX177" s="10" t="n">
        <v>46173</v>
      </c>
      <c r="CZ177" s="9" t="n">
        <v>0</v>
      </c>
      <c r="DB177" s="9" t="n">
        <v>0</v>
      </c>
      <c r="DC177" s="9" t="n">
        <v>19623.90000000001</v>
      </c>
      <c r="DG177" s="10" t="n">
        <v>46173</v>
      </c>
      <c r="DI177" s="9" t="n">
        <v>0</v>
      </c>
      <c r="DK177" s="9" t="n">
        <v>0</v>
      </c>
      <c r="DL177" s="9" t="n">
        <v>35234.99999999999</v>
      </c>
      <c r="DP177" s="10" t="n">
        <v>46173</v>
      </c>
      <c r="DR177" s="9" t="n">
        <v>0</v>
      </c>
      <c r="DT177" s="9" t="n">
        <v>0</v>
      </c>
      <c r="DU177" s="9" t="n">
        <v>5800</v>
      </c>
      <c r="DY177" s="10" t="n">
        <v>46173</v>
      </c>
      <c r="EA177" s="9" t="n">
        <v>0</v>
      </c>
      <c r="EC177" s="9" t="n">
        <v>0</v>
      </c>
      <c r="ED177" s="9" t="n">
        <v>0</v>
      </c>
      <c r="EH177" s="10" t="n">
        <v>46173</v>
      </c>
      <c r="EJ177" s="9" t="n">
        <v>0</v>
      </c>
      <c r="EL177" s="9" t="n">
        <v>0</v>
      </c>
      <c r="EM177" s="9" t="n">
        <v>0</v>
      </c>
      <c r="EQ177" s="10" t="n">
        <v>46173</v>
      </c>
      <c r="ES177" s="9" t="n">
        <v>0</v>
      </c>
      <c r="EU177" s="9" t="n">
        <v>0</v>
      </c>
      <c r="EV177" s="9" t="n">
        <v>0</v>
      </c>
      <c r="EZ177" s="10" t="n">
        <v>46173</v>
      </c>
      <c r="FB177" s="9" t="n">
        <v>0</v>
      </c>
      <c r="FD177" s="9" t="n">
        <v>0</v>
      </c>
      <c r="FE177" s="9" t="n">
        <v>0</v>
      </c>
      <c r="FI177" s="10" t="n">
        <v>46173</v>
      </c>
      <c r="FK177" s="9" t="n">
        <v>0</v>
      </c>
      <c r="FM177" s="9" t="n">
        <v>0</v>
      </c>
      <c r="FN177" s="9" t="n">
        <v>0</v>
      </c>
      <c r="FR177" s="10" t="n">
        <v>46173</v>
      </c>
      <c r="FT177" s="9" t="n">
        <v>0</v>
      </c>
      <c r="FV177" s="9" t="n">
        <v>0</v>
      </c>
      <c r="FW177" s="9" t="n">
        <v>4140</v>
      </c>
      <c r="GA177" s="10" t="n">
        <v>46173</v>
      </c>
      <c r="GC177" s="9" t="n">
        <v>0</v>
      </c>
      <c r="GE177" s="9" t="n">
        <v>0</v>
      </c>
      <c r="GF177" s="9" t="n">
        <v>5040</v>
      </c>
      <c r="GJ177" s="10" t="n">
        <v>46173</v>
      </c>
      <c r="GL177" s="9" t="n">
        <v>0</v>
      </c>
      <c r="GN177" s="9" t="n">
        <v>0</v>
      </c>
      <c r="GO177" s="9" t="n">
        <v>1760</v>
      </c>
      <c r="GS177" s="10" t="n">
        <v>46173</v>
      </c>
      <c r="GU177" s="9" t="n">
        <v>0</v>
      </c>
      <c r="GW177" s="9" t="n">
        <v>0</v>
      </c>
      <c r="GX177" s="9" t="n">
        <v>600</v>
      </c>
      <c r="HB177" s="10" t="n">
        <v>46173</v>
      </c>
      <c r="HD177" s="9" t="n">
        <v>0</v>
      </c>
      <c r="HF177" s="9" t="n">
        <v>0</v>
      </c>
      <c r="HG177" s="9" t="n">
        <v>3600</v>
      </c>
      <c r="HK177" s="10" t="n">
        <v>46173</v>
      </c>
      <c r="HM177" s="9" t="n">
        <v>0</v>
      </c>
      <c r="HO177" s="9" t="n">
        <v>0</v>
      </c>
      <c r="HP177" s="9" t="n">
        <v>0</v>
      </c>
      <c r="HU177" s="10" t="n">
        <v>46173</v>
      </c>
      <c r="HW177" s="9" t="n">
        <v>0</v>
      </c>
      <c r="HY177" s="9" t="n">
        <v>0</v>
      </c>
      <c r="HZ177" s="9" t="n">
        <v>6800</v>
      </c>
      <c r="ID177" s="10" t="n">
        <v>46173</v>
      </c>
      <c r="IF177" s="9" t="n">
        <v>0</v>
      </c>
      <c r="IH177" s="9" t="n">
        <v>0</v>
      </c>
      <c r="II177" s="9" t="n">
        <v>720</v>
      </c>
      <c r="IM177" s="10" t="n">
        <v>46173</v>
      </c>
      <c r="IO177" s="9" t="n">
        <v>0</v>
      </c>
      <c r="IQ177" s="9" t="n">
        <v>0</v>
      </c>
      <c r="IR177" s="9" t="n">
        <v>8140</v>
      </c>
      <c r="IV177" s="10" t="n">
        <v>46173</v>
      </c>
      <c r="IX177" s="9" t="n">
        <v>0</v>
      </c>
      <c r="IZ177" s="9" t="n">
        <v>0</v>
      </c>
      <c r="JA177" s="9" t="n">
        <v>4960</v>
      </c>
      <c r="JE177" s="10" t="n">
        <v>46173</v>
      </c>
      <c r="JG177" s="9" t="n">
        <v>0</v>
      </c>
      <c r="JI177" s="9" t="n">
        <v>0</v>
      </c>
      <c r="JJ177" s="9" t="n">
        <v>0</v>
      </c>
      <c r="JN177" s="10" t="n">
        <v>46173</v>
      </c>
      <c r="JP177" s="9" t="n">
        <v>0</v>
      </c>
      <c r="JR177" s="9" t="n">
        <v>0</v>
      </c>
      <c r="JS177" s="9" t="n">
        <v>3340</v>
      </c>
      <c r="JW177" s="10" t="n">
        <v>46173</v>
      </c>
      <c r="JY177" s="9" t="n">
        <v>0</v>
      </c>
      <c r="KA177" s="9" t="n">
        <v>0</v>
      </c>
      <c r="KB177" s="9" t="n">
        <v>2540</v>
      </c>
      <c r="KF177" s="10" t="n">
        <v>46173</v>
      </c>
      <c r="KH177" s="9" t="n">
        <v>0</v>
      </c>
      <c r="KJ177" s="9" t="n">
        <v>0</v>
      </c>
      <c r="KK177" s="9" t="n">
        <v>2359.5</v>
      </c>
      <c r="KO177" s="10" t="n">
        <v>46173</v>
      </c>
      <c r="KQ177" s="9" t="n">
        <v>0</v>
      </c>
      <c r="KS177" s="9" t="n">
        <v>0</v>
      </c>
      <c r="KT177" s="9" t="n">
        <v>1890</v>
      </c>
      <c r="KX177" s="10" t="n">
        <v>46173</v>
      </c>
      <c r="KZ177" s="9" t="n">
        <v>0</v>
      </c>
      <c r="LB177" s="9" t="n">
        <v>0</v>
      </c>
      <c r="LC177" s="9" t="n">
        <v>3690</v>
      </c>
      <c r="LG177" s="10" t="n">
        <v>46173</v>
      </c>
      <c r="LI177" s="9" t="n">
        <v>0</v>
      </c>
      <c r="LK177" s="9" t="n">
        <v>0</v>
      </c>
      <c r="LL177" s="9" t="n">
        <v>4000</v>
      </c>
      <c r="LP177" s="10" t="n">
        <v>46173</v>
      </c>
      <c r="LR177" s="9" t="n">
        <v>0</v>
      </c>
      <c r="LT177" s="9" t="n">
        <v>0</v>
      </c>
      <c r="LU177" s="9" t="n">
        <v>0</v>
      </c>
      <c r="LY177" s="10" t="n">
        <v>46173</v>
      </c>
      <c r="MA177" s="9" t="n">
        <v>0</v>
      </c>
      <c r="MC177" s="9" t="n">
        <v>0</v>
      </c>
      <c r="MD177" s="9" t="n">
        <v>0</v>
      </c>
      <c r="MH177" s="10" t="n">
        <v>46173</v>
      </c>
      <c r="MJ177" s="9" t="n">
        <v>0</v>
      </c>
      <c r="ML177" s="9" t="n">
        <v>0</v>
      </c>
      <c r="MM177" s="9" t="n">
        <v>0</v>
      </c>
      <c r="MQ177" s="10" t="n">
        <v>46173</v>
      </c>
      <c r="MS177" s="9" t="n">
        <v>0</v>
      </c>
      <c r="MU177" s="9" t="n">
        <v>0</v>
      </c>
      <c r="MV177" s="9" t="n">
        <v>3724</v>
      </c>
      <c r="MZ177" s="10" t="n">
        <v>46173</v>
      </c>
      <c r="NB177" s="9" t="n">
        <v>0</v>
      </c>
      <c r="ND177" s="9" t="n">
        <v>0</v>
      </c>
      <c r="NE177" s="9" t="n">
        <v>0</v>
      </c>
      <c r="NI177" s="10" t="n">
        <v>46173</v>
      </c>
      <c r="NK177" s="9" t="n">
        <v>0</v>
      </c>
      <c r="NM177" s="9" t="n">
        <v>0</v>
      </c>
      <c r="NN177" s="9" t="n">
        <v>1127</v>
      </c>
      <c r="NR177" s="10" t="n">
        <v>46173</v>
      </c>
      <c r="NT177" s="9" t="n">
        <v>0</v>
      </c>
      <c r="NV177" s="9" t="n">
        <v>0</v>
      </c>
      <c r="NW177" s="9" t="n">
        <v>3112</v>
      </c>
      <c r="OA177" s="10" t="n">
        <v>46173</v>
      </c>
      <c r="OC177" s="9" t="n">
        <v>0</v>
      </c>
      <c r="OE177" s="9" t="n">
        <v>0</v>
      </c>
      <c r="OF177" s="9" t="n">
        <v>1680.5</v>
      </c>
      <c r="OJ177" s="10" t="n">
        <v>46173</v>
      </c>
      <c r="OL177" s="9" t="n">
        <v>0</v>
      </c>
      <c r="ON177" s="9" t="n">
        <v>0</v>
      </c>
      <c r="OO177" s="9" t="n">
        <v>0</v>
      </c>
      <c r="OS177" s="10" t="n">
        <v>46173</v>
      </c>
      <c r="OU177" s="9" t="n">
        <v>0</v>
      </c>
      <c r="OW177" s="9" t="n">
        <v>0</v>
      </c>
      <c r="OX177" s="9" t="n">
        <v>1482</v>
      </c>
      <c r="PB177" s="10" t="n">
        <v>46173</v>
      </c>
      <c r="PD177" s="9" t="n">
        <v>0</v>
      </c>
      <c r="PF177" s="9" t="n">
        <v>0</v>
      </c>
      <c r="PG177" s="9" t="n">
        <v>0</v>
      </c>
      <c r="PK177" s="10" t="n">
        <v>46173</v>
      </c>
      <c r="PM177" s="9" t="n">
        <v>0</v>
      </c>
      <c r="PO177" s="9" t="n">
        <v>0</v>
      </c>
      <c r="PP177" s="9" t="n">
        <v>100</v>
      </c>
      <c r="PT177" s="10" t="n">
        <v>46173</v>
      </c>
      <c r="PV177" s="9" t="n">
        <v>0</v>
      </c>
      <c r="PX177" s="9" t="n">
        <v>0</v>
      </c>
      <c r="PY177" s="9" t="n">
        <v>13.96000000000004</v>
      </c>
      <c r="QC177" s="10" t="n">
        <v>46173</v>
      </c>
      <c r="QE177" s="9" t="n">
        <v>0</v>
      </c>
      <c r="QG177" s="9" t="n">
        <v>0</v>
      </c>
      <c r="QH177" s="9" t="n">
        <v>108</v>
      </c>
      <c r="QL177" s="10" t="n">
        <v>46173</v>
      </c>
      <c r="QN177" s="9" t="n">
        <v>0</v>
      </c>
      <c r="QP177" s="9" t="n">
        <v>0</v>
      </c>
      <c r="QQ177" s="9" t="n">
        <v>245</v>
      </c>
      <c r="QU177" s="10" t="n">
        <v>46173</v>
      </c>
      <c r="QW177" s="9" t="n">
        <v>0</v>
      </c>
      <c r="QY177" s="9" t="n">
        <v>0</v>
      </c>
      <c r="QZ177" s="9" t="n">
        <v>207.6</v>
      </c>
      <c r="RD177" s="10" t="n">
        <v>46173</v>
      </c>
      <c r="RF177" s="9" t="n">
        <v>0</v>
      </c>
      <c r="RH177" s="9" t="n">
        <v>0</v>
      </c>
      <c r="RI177" s="9" t="n">
        <v>147.04</v>
      </c>
      <c r="RM177" s="10" t="n">
        <v>46173</v>
      </c>
      <c r="RO177" s="9" t="n">
        <v>0</v>
      </c>
      <c r="RQ177" s="9" t="n">
        <v>0</v>
      </c>
      <c r="RR177" s="9" t="n">
        <v>46.8</v>
      </c>
      <c r="RV177" s="10" t="n">
        <v>46173</v>
      </c>
      <c r="RX177" s="9" t="n">
        <v>0</v>
      </c>
      <c r="RZ177" s="9" t="n">
        <v>0</v>
      </c>
      <c r="SA177" s="9" t="n">
        <v>0</v>
      </c>
      <c r="SE177" s="10" t="n">
        <v>46173</v>
      </c>
      <c r="SG177" s="9" t="n">
        <v>0</v>
      </c>
      <c r="SI177" s="9" t="n">
        <v>0</v>
      </c>
      <c r="SJ177" s="9" t="n">
        <v>24.2</v>
      </c>
      <c r="SN177" s="10" t="n">
        <v>46173</v>
      </c>
      <c r="SP177" s="9" t="n">
        <v>0</v>
      </c>
      <c r="SR177" s="9" t="n">
        <v>0</v>
      </c>
      <c r="SS177" s="9" t="n">
        <v>32</v>
      </c>
      <c r="SW177" s="10" t="n">
        <v>46173</v>
      </c>
      <c r="SY177" s="9" t="n">
        <v>0</v>
      </c>
      <c r="TA177" s="9" t="n">
        <v>0</v>
      </c>
      <c r="TB177" s="9" t="n">
        <v>0</v>
      </c>
      <c r="TF177" s="10" t="n">
        <v>46173</v>
      </c>
      <c r="TH177" s="9" t="n">
        <v>0</v>
      </c>
      <c r="TJ177" s="9" t="n">
        <v>0</v>
      </c>
      <c r="TK177" s="9" t="n">
        <v>0</v>
      </c>
      <c r="TO177" s="10" t="n">
        <v>46173</v>
      </c>
      <c r="TQ177" s="9" t="n">
        <v>0</v>
      </c>
      <c r="TS177" s="9" t="n">
        <v>0</v>
      </c>
      <c r="TT177" s="9" t="n">
        <v>0</v>
      </c>
      <c r="TX177" s="10" t="n">
        <v>46173</v>
      </c>
      <c r="TZ177" s="9" t="n">
        <v>0</v>
      </c>
      <c r="UB177" s="9" t="n">
        <v>0</v>
      </c>
      <c r="UC177" s="9" t="n">
        <v>135.6</v>
      </c>
      <c r="UG177" s="10" t="n">
        <v>46173</v>
      </c>
      <c r="UI177" s="9" t="n">
        <v>0</v>
      </c>
      <c r="UK177" s="9" t="n">
        <v>0</v>
      </c>
      <c r="UL177" s="9" t="n">
        <v>128</v>
      </c>
      <c r="UP177" s="10" t="n">
        <v>46173</v>
      </c>
      <c r="UR177" s="9" t="n">
        <v>0</v>
      </c>
      <c r="UT177" s="9" t="n">
        <v>0</v>
      </c>
      <c r="UU177" s="9" t="n">
        <v>11.25</v>
      </c>
      <c r="UY177" s="10" t="n">
        <v>46173</v>
      </c>
      <c r="VA177" s="9" t="n">
        <v>0</v>
      </c>
      <c r="VC177" s="9" t="n">
        <v>0</v>
      </c>
      <c r="VD177" s="9" t="n">
        <v>41.60000000000002</v>
      </c>
      <c r="VH177" s="10" t="n">
        <v>46173</v>
      </c>
      <c r="VJ177" s="9" t="n">
        <v>0</v>
      </c>
      <c r="VL177" s="9" t="n">
        <v>0</v>
      </c>
      <c r="VM177" s="9" t="n">
        <v>0</v>
      </c>
      <c r="VQ177" s="10" t="n">
        <v>46173</v>
      </c>
      <c r="VS177" s="9" t="n">
        <v>0</v>
      </c>
      <c r="VU177" s="9" t="n">
        <v>0</v>
      </c>
      <c r="VV177" s="9" t="n">
        <v>0</v>
      </c>
      <c r="VZ177" s="10" t="n">
        <v>46173</v>
      </c>
      <c r="WB177" s="9" t="n">
        <v>0</v>
      </c>
      <c r="WD177" s="9" t="n">
        <v>0</v>
      </c>
      <c r="WE177" s="9" t="n">
        <v>0</v>
      </c>
      <c r="WI177" s="10" t="n">
        <v>46173</v>
      </c>
      <c r="WK177" s="9" t="n">
        <v>0</v>
      </c>
      <c r="WM177" s="9" t="n">
        <v>0</v>
      </c>
      <c r="WN177" s="9" t="n">
        <v>1199</v>
      </c>
      <c r="WR177" s="10" t="n">
        <v>46173</v>
      </c>
      <c r="WT177" s="9" t="n">
        <v>0</v>
      </c>
      <c r="WV177" s="9" t="n">
        <v>0</v>
      </c>
      <c r="WW177" s="9" t="n">
        <v>0</v>
      </c>
      <c r="XA177" s="10" t="n">
        <v>46173</v>
      </c>
      <c r="XC177" s="9" t="n">
        <v>0</v>
      </c>
      <c r="XE177" s="9" t="n">
        <v>0</v>
      </c>
      <c r="XF177" s="9" t="n">
        <v>6813</v>
      </c>
      <c r="XJ177" s="10" t="n">
        <v>46173</v>
      </c>
      <c r="XK177" s="9" t="n">
        <v>266</v>
      </c>
      <c r="XL177" s="9" t="n">
        <v>0</v>
      </c>
      <c r="XN177" s="9" t="n">
        <v>0</v>
      </c>
      <c r="XO177" s="9" t="n">
        <v>7824</v>
      </c>
      <c r="XS177" s="10" t="n">
        <v>46173</v>
      </c>
      <c r="XU177" s="9" t="n">
        <v>0</v>
      </c>
      <c r="XW177" s="9" t="n">
        <v>0</v>
      </c>
      <c r="XX177" s="9" t="n">
        <v>1621</v>
      </c>
      <c r="YB177" s="10" t="n">
        <v>46173</v>
      </c>
      <c r="YD177" s="9" t="n">
        <v>0</v>
      </c>
      <c r="YF177" s="9" t="n">
        <v>0</v>
      </c>
      <c r="YG177" s="9" t="n">
        <v>6193</v>
      </c>
      <c r="YK177" s="10" t="n">
        <v>46173</v>
      </c>
      <c r="YM177" s="9" t="n">
        <v>0</v>
      </c>
      <c r="YO177" s="9" t="n">
        <v>0</v>
      </c>
      <c r="YP177" s="9" t="n">
        <v>0</v>
      </c>
      <c r="YT177" s="10" t="n">
        <v>46173</v>
      </c>
      <c r="YV177" s="9" t="n">
        <v>0</v>
      </c>
      <c r="YX177" s="9" t="n">
        <v>0</v>
      </c>
      <c r="YY177" s="9" t="n">
        <v>0</v>
      </c>
      <c r="ZC177" s="10" t="n">
        <v>46173</v>
      </c>
      <c r="ZE177" s="9" t="n">
        <v>0</v>
      </c>
      <c r="ZG177" s="9" t="n">
        <v>0</v>
      </c>
      <c r="ZH177" s="9" t="n">
        <v>0</v>
      </c>
      <c r="ZL177" s="10" t="n">
        <v>46173</v>
      </c>
      <c r="ZN177" s="9" t="n">
        <v>0</v>
      </c>
      <c r="ZP177" s="9" t="n">
        <v>0</v>
      </c>
      <c r="ZQ177" s="9" t="n">
        <v>0</v>
      </c>
      <c r="ZU177" s="10" t="n">
        <v>46173</v>
      </c>
      <c r="ZW177" s="9" t="n">
        <v>0</v>
      </c>
      <c r="ZY177" s="9" t="n">
        <v>0</v>
      </c>
      <c r="ZZ177" s="9" t="n">
        <v>0</v>
      </c>
      <c r="AAD177" s="10" t="n">
        <v>46173</v>
      </c>
      <c r="AAF177" s="9" t="n">
        <v>0</v>
      </c>
      <c r="AAH177" s="9" t="n">
        <v>0</v>
      </c>
      <c r="AAI177" s="9" t="n">
        <v>0</v>
      </c>
      <c r="AAM177" s="10" t="n">
        <v>46173</v>
      </c>
      <c r="AAO177" s="9" t="n">
        <v>0</v>
      </c>
      <c r="AAQ177" s="9" t="n">
        <v>0</v>
      </c>
      <c r="AAR177" s="9" t="n">
        <v>0</v>
      </c>
      <c r="AAV177" s="10" t="n">
        <v>46173</v>
      </c>
      <c r="AAX177" s="9" t="n">
        <v>0</v>
      </c>
      <c r="AAZ177" s="9" t="n">
        <v>0</v>
      </c>
      <c r="ABA177" s="9" t="n">
        <v>0</v>
      </c>
      <c r="ABE177" s="10" t="n">
        <v>46173</v>
      </c>
      <c r="ABG177" s="9" t="n">
        <v>0</v>
      </c>
      <c r="ABI177" s="9" t="n">
        <v>0</v>
      </c>
      <c r="ABJ177" s="9" t="n">
        <v>0</v>
      </c>
    </row>
    <row r="178">
      <c r="B178" s="9" t="n">
        <v>1154</v>
      </c>
      <c r="C178" s="9" t="inlineStr">
        <is>
          <t>TOTAL</t>
        </is>
      </c>
      <c r="D178" s="9" t="n">
        <v>736930</v>
      </c>
      <c r="E178" s="9" t="n">
        <v>660754.0199999999</v>
      </c>
      <c r="F178" s="9" t="n">
        <v>660955.0000000001</v>
      </c>
      <c r="G178" s="9" t="n">
        <v>-200.9800000000232</v>
      </c>
      <c r="H178" s="9" t="n">
        <v>244343.4000000001</v>
      </c>
      <c r="L178" s="9" t="inlineStr">
        <is>
          <t>TOTAL</t>
        </is>
      </c>
      <c r="M178" s="9" t="n">
        <v>333130</v>
      </c>
      <c r="N178" s="9" t="n">
        <v>290450.74</v>
      </c>
      <c r="O178" s="9" t="n">
        <v>290448.6</v>
      </c>
      <c r="P178" s="9" t="n">
        <v>2.140000000001464</v>
      </c>
      <c r="Q178" s="9" t="n">
        <v>105957.2000000001</v>
      </c>
      <c r="U178" s="9" t="inlineStr">
        <is>
          <t>TOTAL</t>
        </is>
      </c>
      <c r="V178" s="9" t="n">
        <v>80070</v>
      </c>
      <c r="W178" s="9" t="n">
        <v>66390</v>
      </c>
      <c r="X178" s="9" t="n">
        <v>66400.89999999999</v>
      </c>
      <c r="Y178" s="9" t="n">
        <v>-10.89999999999924</v>
      </c>
      <c r="Z178" s="9" t="n">
        <v>44686.29999999997</v>
      </c>
      <c r="AD178" s="9" t="inlineStr">
        <is>
          <t>TOTAL</t>
        </is>
      </c>
      <c r="AE178" s="9" t="n">
        <v>30400</v>
      </c>
      <c r="AF178" s="9" t="n">
        <v>30200</v>
      </c>
      <c r="AG178" s="9" t="n">
        <v>31239.1</v>
      </c>
      <c r="AH178" s="9" t="n">
        <v>-1039.099999999999</v>
      </c>
      <c r="AI178" s="9" t="n">
        <v>12193.40000000002</v>
      </c>
      <c r="AM178" s="9" t="inlineStr">
        <is>
          <t>TOTAL</t>
        </is>
      </c>
      <c r="AN178" s="9" t="n">
        <v>0</v>
      </c>
      <c r="AO178" s="9" t="n">
        <v>0</v>
      </c>
      <c r="AP178" s="9" t="n">
        <v>0</v>
      </c>
      <c r="AQ178" s="9" t="n">
        <v>0</v>
      </c>
      <c r="AR178" s="9" t="n">
        <v>0</v>
      </c>
      <c r="AV178" s="9" t="inlineStr">
        <is>
          <t>TOTAL</t>
        </is>
      </c>
      <c r="AW178" s="9" t="n">
        <v>11920</v>
      </c>
      <c r="AX178" s="9" t="n">
        <v>11155</v>
      </c>
      <c r="AY178" s="9" t="n">
        <v>30740.5</v>
      </c>
      <c r="AZ178" s="9" t="n">
        <v>-19585.5</v>
      </c>
      <c r="BA178" s="9" t="n">
        <v>18566.7</v>
      </c>
      <c r="BE178" s="9" t="inlineStr">
        <is>
          <t>TOTAL</t>
        </is>
      </c>
      <c r="BF178" s="9" t="n">
        <v>27970</v>
      </c>
      <c r="BG178" s="9" t="n">
        <v>23332</v>
      </c>
      <c r="BH178" s="9" t="n">
        <v>23343.2</v>
      </c>
      <c r="BI178" s="9" t="n">
        <v>-11.19999999999987</v>
      </c>
      <c r="BJ178" s="9" t="n">
        <v>34163.99999999999</v>
      </c>
      <c r="BN178" s="9" t="inlineStr">
        <is>
          <t>TOTAL</t>
        </is>
      </c>
      <c r="BO178" s="9" t="n">
        <v>24921.2</v>
      </c>
      <c r="BP178" s="9" t="n">
        <v>24921</v>
      </c>
      <c r="BQ178" s="9" t="n">
        <v>24921.2</v>
      </c>
      <c r="BR178" s="9" t="n">
        <v>-0.1999999999998536</v>
      </c>
      <c r="BS178" s="9" t="n">
        <v>0</v>
      </c>
      <c r="BW178" s="9" t="inlineStr">
        <is>
          <t>TOTAL</t>
        </is>
      </c>
      <c r="BX178" s="9" t="n">
        <v>0</v>
      </c>
      <c r="BY178" s="9" t="n">
        <v>921.77</v>
      </c>
      <c r="BZ178" s="9" t="n">
        <v>765.67</v>
      </c>
      <c r="CA178" s="9" t="n">
        <v>156.1000000000001</v>
      </c>
      <c r="CB178" s="9" t="n">
        <v>5083.129999999999</v>
      </c>
      <c r="CF178" s="9" t="inlineStr">
        <is>
          <t>TOTAL</t>
        </is>
      </c>
      <c r="CG178" s="9" t="n">
        <v>4445.719999999999</v>
      </c>
      <c r="CH178" s="9" t="n">
        <v>4631.96</v>
      </c>
      <c r="CI178" s="9" t="n">
        <v>4445.719999999999</v>
      </c>
      <c r="CJ178" s="9" t="n">
        <v>186.2400000000001</v>
      </c>
      <c r="CK178" s="9" t="n">
        <v>0</v>
      </c>
      <c r="CO178" s="9" t="inlineStr">
        <is>
          <t>TOTAL</t>
        </is>
      </c>
      <c r="CP178" s="9" t="n">
        <v>0</v>
      </c>
      <c r="CQ178" s="9" t="n">
        <v>0</v>
      </c>
      <c r="CR178" s="9" t="n">
        <v>0</v>
      </c>
      <c r="CS178" s="9" t="n">
        <v>0</v>
      </c>
      <c r="CT178" s="9" t="n">
        <v>0</v>
      </c>
      <c r="CX178" s="9" t="inlineStr">
        <is>
          <t>TOTAL</t>
        </is>
      </c>
      <c r="CY178" s="9" t="n">
        <v>0</v>
      </c>
      <c r="CZ178" s="9" t="n">
        <v>3580</v>
      </c>
      <c r="DA178" s="9" t="n">
        <v>4534.4</v>
      </c>
      <c r="DB178" s="9" t="n">
        <v>-954.4000000000001</v>
      </c>
      <c r="DC178" s="9" t="n">
        <v>19623.90000000001</v>
      </c>
      <c r="DG178" s="9" t="inlineStr">
        <is>
          <t>TOTAL</t>
        </is>
      </c>
      <c r="DH178" s="9" t="n">
        <v>0</v>
      </c>
      <c r="DI178" s="9" t="n">
        <v>7700</v>
      </c>
      <c r="DJ178" s="9" t="n">
        <v>7704.6</v>
      </c>
      <c r="DK178" s="9" t="n">
        <v>-4.599999999999966</v>
      </c>
      <c r="DL178" s="9" t="n">
        <v>35234.99999999999</v>
      </c>
      <c r="DP178" s="9" t="inlineStr">
        <is>
          <t>TOTAL</t>
        </is>
      </c>
      <c r="DQ178" s="9" t="n">
        <v>0</v>
      </c>
      <c r="DR178" s="9" t="n">
        <v>0</v>
      </c>
      <c r="DS178" s="9" t="n">
        <v>0</v>
      </c>
      <c r="DT178" s="9" t="n">
        <v>0</v>
      </c>
      <c r="DU178" s="9" t="n">
        <v>5800</v>
      </c>
      <c r="DY178" s="9" t="inlineStr">
        <is>
          <t>TOTAL</t>
        </is>
      </c>
      <c r="DZ178" s="9" t="n">
        <v>0</v>
      </c>
      <c r="EA178" s="9" t="n">
        <v>0</v>
      </c>
      <c r="EB178" s="9" t="n">
        <v>0</v>
      </c>
      <c r="EC178" s="9" t="n">
        <v>0</v>
      </c>
      <c r="ED178" s="9" t="n">
        <v>0</v>
      </c>
      <c r="EH178" s="9" t="inlineStr">
        <is>
          <t>TOTAL</t>
        </is>
      </c>
      <c r="EI178" s="9" t="n">
        <v>0</v>
      </c>
      <c r="EJ178" s="9" t="n">
        <v>0</v>
      </c>
      <c r="EK178" s="9" t="n">
        <v>0</v>
      </c>
      <c r="EL178" s="9" t="n">
        <v>0</v>
      </c>
      <c r="EM178" s="9" t="n">
        <v>0</v>
      </c>
      <c r="EQ178" s="9" t="inlineStr">
        <is>
          <t>TOTAL</t>
        </is>
      </c>
      <c r="ER178" s="9" t="n">
        <v>0</v>
      </c>
      <c r="ES178" s="9" t="n">
        <v>0</v>
      </c>
      <c r="ET178" s="9" t="n">
        <v>0</v>
      </c>
      <c r="EU178" s="9" t="n">
        <v>0</v>
      </c>
      <c r="EV178" s="9" t="n">
        <v>0</v>
      </c>
      <c r="EZ178" s="9" t="inlineStr">
        <is>
          <t>TOTAL</t>
        </is>
      </c>
      <c r="FA178" s="9" t="n">
        <v>0</v>
      </c>
      <c r="FB178" s="9" t="n">
        <v>0</v>
      </c>
      <c r="FC178" s="9" t="n">
        <v>0</v>
      </c>
      <c r="FD178" s="9" t="n">
        <v>0</v>
      </c>
      <c r="FE178" s="9" t="n">
        <v>0</v>
      </c>
      <c r="FI178" s="9" t="inlineStr">
        <is>
          <t>TOTAL</t>
        </is>
      </c>
      <c r="FJ178" s="9" t="n">
        <v>0</v>
      </c>
      <c r="FK178" s="9" t="n">
        <v>0</v>
      </c>
      <c r="FL178" s="9" t="n">
        <v>0</v>
      </c>
      <c r="FM178" s="9" t="n">
        <v>0</v>
      </c>
      <c r="FN178" s="9" t="n">
        <v>0</v>
      </c>
      <c r="FR178" s="9" t="inlineStr">
        <is>
          <t>TOTAL</t>
        </is>
      </c>
      <c r="FS178" s="9" t="n">
        <v>2020</v>
      </c>
      <c r="FT178" s="9" t="n">
        <v>0</v>
      </c>
      <c r="FU178" s="9" t="n">
        <v>0</v>
      </c>
      <c r="FV178" s="9" t="n">
        <v>0</v>
      </c>
      <c r="FW178" s="9" t="n">
        <v>4140</v>
      </c>
      <c r="FX178" s="9" t="n">
        <v>207</v>
      </c>
      <c r="FY178" s="9" t="inlineStr">
        <is>
          <t>bags</t>
        </is>
      </c>
      <c r="GA178" s="9" t="inlineStr">
        <is>
          <t>TOTAL</t>
        </is>
      </c>
      <c r="GB178" s="9" t="n">
        <v>2000</v>
      </c>
      <c r="GC178" s="9" t="n">
        <v>1520</v>
      </c>
      <c r="GD178" s="9" t="n">
        <v>600</v>
      </c>
      <c r="GE178" s="9" t="n">
        <v>920</v>
      </c>
      <c r="GF178" s="9" t="n">
        <v>5040</v>
      </c>
      <c r="GG178" s="9" t="n">
        <v>252</v>
      </c>
      <c r="GH178" s="9" t="inlineStr">
        <is>
          <t>bags</t>
        </is>
      </c>
      <c r="GJ178" s="9" t="inlineStr">
        <is>
          <t>TOTAL</t>
        </is>
      </c>
      <c r="GK178" s="9" t="n">
        <v>6000</v>
      </c>
      <c r="GL178" s="9" t="n">
        <v>6600</v>
      </c>
      <c r="GM178" s="9" t="n">
        <v>6320</v>
      </c>
      <c r="GN178" s="9" t="n">
        <v>280</v>
      </c>
      <c r="GO178" s="9" t="n">
        <v>1760</v>
      </c>
      <c r="GP178" s="9" t="n">
        <v>88</v>
      </c>
      <c r="GQ178" s="9" t="inlineStr">
        <is>
          <t>bags</t>
        </is>
      </c>
      <c r="GS178" s="9" t="inlineStr">
        <is>
          <t>TOTAL</t>
        </is>
      </c>
      <c r="GT178" s="9" t="n">
        <v>1600</v>
      </c>
      <c r="GU178" s="9" t="n">
        <v>1000</v>
      </c>
      <c r="GV178" s="9" t="n">
        <v>1000</v>
      </c>
      <c r="GW178" s="9" t="n">
        <v>0</v>
      </c>
      <c r="GX178" s="9" t="n">
        <v>600</v>
      </c>
      <c r="GY178" s="9" t="n">
        <v>30</v>
      </c>
      <c r="GZ178" s="9" t="inlineStr">
        <is>
          <t>bags</t>
        </is>
      </c>
      <c r="HB178" s="9" t="inlineStr">
        <is>
          <t>TOTAL</t>
        </is>
      </c>
      <c r="HC178" s="9" t="n">
        <v>3600</v>
      </c>
      <c r="HD178" s="9" t="n">
        <v>0</v>
      </c>
      <c r="HE178" s="9" t="n">
        <v>0</v>
      </c>
      <c r="HF178" s="9" t="n">
        <v>0</v>
      </c>
      <c r="HG178" s="9" t="n">
        <v>3600</v>
      </c>
      <c r="HH178" s="9" t="n">
        <v>180</v>
      </c>
      <c r="HI178" s="9" t="inlineStr">
        <is>
          <t>bags</t>
        </is>
      </c>
      <c r="HK178" s="9" t="inlineStr">
        <is>
          <t>TOTAL</t>
        </is>
      </c>
      <c r="HL178" s="9" t="n">
        <v>0</v>
      </c>
      <c r="HM178" s="9" t="n">
        <v>0</v>
      </c>
      <c r="HN178" s="9" t="n">
        <v>0</v>
      </c>
      <c r="HO178" s="9" t="n">
        <v>0</v>
      </c>
      <c r="HP178" s="9" t="n">
        <v>0</v>
      </c>
      <c r="HU178" s="9" t="inlineStr">
        <is>
          <t>TOTAL</t>
        </is>
      </c>
      <c r="HV178" s="9" t="n">
        <v>2000</v>
      </c>
      <c r="HW178" s="9" t="n">
        <v>1560</v>
      </c>
      <c r="HX178" s="9" t="n">
        <v>1560</v>
      </c>
      <c r="HY178" s="9" t="n">
        <v>0</v>
      </c>
      <c r="HZ178" s="9" t="n">
        <v>6800</v>
      </c>
      <c r="IA178" s="9" t="n">
        <v>340</v>
      </c>
      <c r="IB178" s="9" t="inlineStr">
        <is>
          <t>bags</t>
        </is>
      </c>
      <c r="ID178" s="9" t="inlineStr">
        <is>
          <t>TOTAL</t>
        </is>
      </c>
      <c r="IE178" s="9" t="n">
        <v>180</v>
      </c>
      <c r="IF178" s="9" t="n">
        <v>0</v>
      </c>
      <c r="IG178" s="9" t="n">
        <v>6000</v>
      </c>
      <c r="IH178" s="9" t="n">
        <v>-6000</v>
      </c>
      <c r="II178" s="9" t="n">
        <v>720</v>
      </c>
      <c r="IJ178" s="9" t="n">
        <v>36</v>
      </c>
      <c r="IK178" s="9" t="inlineStr">
        <is>
          <t>bags</t>
        </is>
      </c>
      <c r="IM178" s="9" t="inlineStr">
        <is>
          <t>TOTAL</t>
        </is>
      </c>
      <c r="IN178" s="9" t="n">
        <v>0</v>
      </c>
      <c r="IO178" s="9" t="n">
        <v>0</v>
      </c>
      <c r="IP178" s="9" t="n">
        <v>3400</v>
      </c>
      <c r="IQ178" s="9" t="n">
        <v>-3400</v>
      </c>
      <c r="IR178" s="9" t="n">
        <v>8140</v>
      </c>
      <c r="IS178" s="9" t="n">
        <v>407</v>
      </c>
      <c r="IT178" s="9" t="inlineStr">
        <is>
          <t>bags</t>
        </is>
      </c>
      <c r="IV178" s="9" t="inlineStr">
        <is>
          <t>TOTAL</t>
        </is>
      </c>
      <c r="IW178" s="9" t="n">
        <v>0</v>
      </c>
      <c r="IX178" s="9" t="n">
        <v>0</v>
      </c>
      <c r="IY178" s="9" t="n">
        <v>10160</v>
      </c>
      <c r="IZ178" s="9" t="n">
        <v>-10160</v>
      </c>
      <c r="JA178" s="9" t="n">
        <v>4960</v>
      </c>
      <c r="JB178" s="9" t="n">
        <v>248</v>
      </c>
      <c r="JC178" s="9" t="inlineStr">
        <is>
          <t>bags</t>
        </is>
      </c>
      <c r="JE178" s="9" t="inlineStr">
        <is>
          <t>TOTAL</t>
        </is>
      </c>
      <c r="JF178" s="9" t="n">
        <v>0</v>
      </c>
      <c r="JG178" s="9" t="n">
        <v>6440</v>
      </c>
      <c r="JH178" s="9" t="n">
        <v>1960</v>
      </c>
      <c r="JI178" s="9" t="n">
        <v>4480</v>
      </c>
      <c r="JJ178" s="9" t="n">
        <v>0</v>
      </c>
      <c r="JK178" s="9" t="n">
        <v>0</v>
      </c>
      <c r="JL178" s="9" t="inlineStr">
        <is>
          <t>bags</t>
        </is>
      </c>
      <c r="JN178" s="9" t="inlineStr">
        <is>
          <t>TOTAL</t>
        </is>
      </c>
      <c r="JO178" s="9" t="n">
        <v>0</v>
      </c>
      <c r="JP178" s="9" t="n">
        <v>3880</v>
      </c>
      <c r="JQ178" s="9" t="n">
        <v>5760</v>
      </c>
      <c r="JR178" s="9" t="n">
        <v>-1880</v>
      </c>
      <c r="JS178" s="9" t="n">
        <v>3340</v>
      </c>
      <c r="JT178" s="9" t="n">
        <v>167</v>
      </c>
      <c r="JU178" s="9" t="inlineStr">
        <is>
          <t>bags</t>
        </is>
      </c>
      <c r="JW178" s="9" t="inlineStr">
        <is>
          <t>TOTAL</t>
        </is>
      </c>
      <c r="JX178" s="9" t="n">
        <v>0</v>
      </c>
      <c r="JY178" s="9" t="n">
        <v>0</v>
      </c>
      <c r="JZ178" s="9" t="n">
        <v>0</v>
      </c>
      <c r="KA178" s="9" t="n">
        <v>0</v>
      </c>
      <c r="KB178" s="9" t="n">
        <v>2540</v>
      </c>
      <c r="KC178" s="9" t="n">
        <v>127</v>
      </c>
      <c r="KD178" s="9" t="inlineStr">
        <is>
          <t>bags</t>
        </is>
      </c>
      <c r="KF178" s="9" t="inlineStr">
        <is>
          <t>TOTAL</t>
        </is>
      </c>
      <c r="KG178" s="9" t="n">
        <v>2340</v>
      </c>
      <c r="KH178" s="9" t="n">
        <v>0</v>
      </c>
      <c r="KI178" s="9" t="n">
        <v>0</v>
      </c>
      <c r="KJ178" s="9" t="n">
        <v>0</v>
      </c>
      <c r="KK178" s="9" t="n">
        <v>2359.5</v>
      </c>
      <c r="KL178" s="9" t="n">
        <v>121</v>
      </c>
      <c r="KM178" s="9" t="inlineStr">
        <is>
          <t>bags</t>
        </is>
      </c>
      <c r="KO178" s="9" t="inlineStr">
        <is>
          <t>TOTAL</t>
        </is>
      </c>
      <c r="KP178" s="9" t="n">
        <v>0</v>
      </c>
      <c r="KQ178" s="9" t="n">
        <v>944.9999999999999</v>
      </c>
      <c r="KR178" s="9" t="n">
        <v>189</v>
      </c>
      <c r="KS178" s="9" t="n">
        <v>755.9999999999999</v>
      </c>
      <c r="KT178" s="9" t="n">
        <v>1890</v>
      </c>
      <c r="KU178" s="9" t="n">
        <v>100</v>
      </c>
      <c r="KV178" s="9" t="inlineStr">
        <is>
          <t>bags</t>
        </is>
      </c>
      <c r="KX178" s="9" t="inlineStr">
        <is>
          <t>TOTAL</t>
        </is>
      </c>
      <c r="KY178" s="9" t="n">
        <v>0</v>
      </c>
      <c r="KZ178" s="9" t="n">
        <v>0</v>
      </c>
      <c r="LA178" s="9" t="n">
        <v>2460</v>
      </c>
      <c r="LB178" s="9" t="n">
        <v>-2460</v>
      </c>
      <c r="LC178" s="9" t="n">
        <v>3690</v>
      </c>
      <c r="LD178" s="9" t="n">
        <v>180</v>
      </c>
      <c r="LE178" s="9" t="inlineStr">
        <is>
          <t>bags</t>
        </is>
      </c>
      <c r="LG178" s="9" t="inlineStr">
        <is>
          <t>TOTAL</t>
        </is>
      </c>
      <c r="LH178" s="9" t="n">
        <v>0</v>
      </c>
      <c r="LI178" s="9" t="n">
        <v>0</v>
      </c>
      <c r="LJ178" s="9" t="n">
        <v>0</v>
      </c>
      <c r="LK178" s="9" t="n">
        <v>0</v>
      </c>
      <c r="LL178" s="9" t="n">
        <v>4000</v>
      </c>
      <c r="LM178" s="9" t="n">
        <v>200</v>
      </c>
      <c r="LN178" s="9" t="inlineStr">
        <is>
          <t>bags</t>
        </is>
      </c>
      <c r="LP178" s="9" t="inlineStr">
        <is>
          <t>TOTAL</t>
        </is>
      </c>
      <c r="LQ178" s="9" t="n">
        <v>0</v>
      </c>
      <c r="LR178" s="9" t="n">
        <v>0</v>
      </c>
      <c r="LS178" s="9" t="n">
        <v>0</v>
      </c>
      <c r="LT178" s="9" t="n">
        <v>0</v>
      </c>
      <c r="LU178" s="9" t="n">
        <v>0</v>
      </c>
      <c r="LY178" s="9" t="inlineStr">
        <is>
          <t>TOTAL</t>
        </is>
      </c>
      <c r="LZ178" s="9" t="n">
        <v>0</v>
      </c>
      <c r="MA178" s="9" t="n">
        <v>0</v>
      </c>
      <c r="MB178" s="9" t="n">
        <v>0</v>
      </c>
      <c r="MC178" s="9" t="n">
        <v>0</v>
      </c>
      <c r="MD178" s="9" t="n">
        <v>0</v>
      </c>
      <c r="MH178" s="9" t="inlineStr">
        <is>
          <t>TOTAL</t>
        </is>
      </c>
      <c r="MI178" s="9" t="n">
        <v>0</v>
      </c>
      <c r="MJ178" s="9" t="n">
        <v>0</v>
      </c>
      <c r="MK178" s="9" t="n">
        <v>0</v>
      </c>
      <c r="ML178" s="9" t="n">
        <v>0</v>
      </c>
      <c r="MM178" s="9" t="n">
        <v>0</v>
      </c>
      <c r="MQ178" s="9" t="inlineStr">
        <is>
          <t>TOTAL</t>
        </is>
      </c>
      <c r="MR178" s="9" t="n">
        <v>0</v>
      </c>
      <c r="MS178" s="9" t="n">
        <v>212</v>
      </c>
      <c r="MT178" s="9" t="n">
        <v>179</v>
      </c>
      <c r="MU178" s="9" t="n">
        <v>33</v>
      </c>
      <c r="MV178" s="9" t="n">
        <v>3724</v>
      </c>
      <c r="MZ178" s="9" t="inlineStr">
        <is>
          <t>TOTAL</t>
        </is>
      </c>
      <c r="NA178" s="9" t="n">
        <v>2134</v>
      </c>
      <c r="NB178" s="9" t="n">
        <v>2182</v>
      </c>
      <c r="NC178" s="9" t="n">
        <v>2134</v>
      </c>
      <c r="ND178" s="9" t="n">
        <v>48</v>
      </c>
      <c r="NE178" s="9" t="n">
        <v>0</v>
      </c>
      <c r="NI178" s="9" t="inlineStr">
        <is>
          <t>TOTAL</t>
        </is>
      </c>
      <c r="NJ178" s="9" t="n">
        <v>0</v>
      </c>
      <c r="NK178" s="9" t="n">
        <v>50</v>
      </c>
      <c r="NL178" s="9" t="n">
        <v>10</v>
      </c>
      <c r="NM178" s="9" t="n">
        <v>40</v>
      </c>
      <c r="NN178" s="9" t="n">
        <v>1127</v>
      </c>
      <c r="NR178" s="9" t="inlineStr">
        <is>
          <t>TOTAL</t>
        </is>
      </c>
      <c r="NS178" s="9" t="n">
        <v>1.1</v>
      </c>
      <c r="NT178" s="9" t="n">
        <v>60</v>
      </c>
      <c r="NU178" s="9" t="n">
        <v>12</v>
      </c>
      <c r="NV178" s="9" t="n">
        <v>48</v>
      </c>
      <c r="NW178" s="9" t="n">
        <v>3112</v>
      </c>
      <c r="OA178" s="9" t="inlineStr">
        <is>
          <t>TOTAL</t>
        </is>
      </c>
      <c r="OB178" s="9" t="n">
        <v>0</v>
      </c>
      <c r="OC178" s="9" t="n">
        <v>104</v>
      </c>
      <c r="OD178" s="9" t="n">
        <v>0</v>
      </c>
      <c r="OE178" s="9" t="n">
        <v>104</v>
      </c>
      <c r="OF178" s="9" t="n">
        <v>1680.5</v>
      </c>
      <c r="OJ178" s="9" t="inlineStr">
        <is>
          <t>TOTAL</t>
        </is>
      </c>
      <c r="OK178" s="9" t="n">
        <v>324.4</v>
      </c>
      <c r="OL178" s="9" t="n">
        <v>240</v>
      </c>
      <c r="OM178" s="9" t="n">
        <v>324.4</v>
      </c>
      <c r="ON178" s="9" t="n">
        <v>-84.40000000000003</v>
      </c>
      <c r="OO178" s="9" t="n">
        <v>0</v>
      </c>
      <c r="OS178" s="9" t="inlineStr">
        <is>
          <t>TOTAL</t>
        </is>
      </c>
      <c r="OT178" s="9" t="n">
        <v>500</v>
      </c>
      <c r="OU178" s="9" t="n">
        <v>104</v>
      </c>
      <c r="OV178" s="9" t="n">
        <v>0</v>
      </c>
      <c r="OW178" s="9" t="n">
        <v>104</v>
      </c>
      <c r="OX178" s="9" t="n">
        <v>1482</v>
      </c>
      <c r="PB178" s="9" t="inlineStr">
        <is>
          <t>TOTAL</t>
        </is>
      </c>
      <c r="PC178" s="9" t="n">
        <v>0</v>
      </c>
      <c r="PD178" s="9" t="n">
        <v>0</v>
      </c>
      <c r="PE178" s="9" t="n">
        <v>0</v>
      </c>
      <c r="PF178" s="9" t="n">
        <v>0</v>
      </c>
      <c r="PG178" s="9" t="n">
        <v>0</v>
      </c>
      <c r="PK178" s="9" t="inlineStr">
        <is>
          <t>TOTAL</t>
        </is>
      </c>
      <c r="PL178" s="9" t="n">
        <v>0</v>
      </c>
      <c r="PM178" s="9" t="n">
        <v>0</v>
      </c>
      <c r="PN178" s="9" t="n">
        <v>0</v>
      </c>
      <c r="PO178" s="9" t="n">
        <v>0</v>
      </c>
      <c r="PP178" s="9" t="n">
        <v>100</v>
      </c>
      <c r="PT178" s="9" t="inlineStr">
        <is>
          <t>TOTAL</t>
        </is>
      </c>
      <c r="PU178" s="9" t="n">
        <v>0</v>
      </c>
      <c r="PV178" s="9" t="n">
        <v>0</v>
      </c>
      <c r="PW178" s="9" t="n">
        <v>0</v>
      </c>
      <c r="PX178" s="9" t="n">
        <v>0</v>
      </c>
      <c r="PY178" s="9" t="n">
        <v>13.96000000000004</v>
      </c>
      <c r="QC178" s="9" t="inlineStr">
        <is>
          <t>TOTAL</t>
        </is>
      </c>
      <c r="QD178" s="9" t="n">
        <v>800</v>
      </c>
      <c r="QE178" s="9" t="n">
        <v>872</v>
      </c>
      <c r="QF178" s="9" t="n">
        <v>1288</v>
      </c>
      <c r="QG178" s="9" t="n">
        <v>-416</v>
      </c>
      <c r="QH178" s="9" t="n">
        <v>108</v>
      </c>
      <c r="QL178" s="9" t="inlineStr">
        <is>
          <t>TOTAL</t>
        </is>
      </c>
      <c r="QM178" s="9" t="n">
        <v>1940</v>
      </c>
      <c r="QN178" s="9" t="n">
        <v>745</v>
      </c>
      <c r="QO178" s="9" t="n">
        <v>2095</v>
      </c>
      <c r="QP178" s="9" t="n">
        <v>-1350</v>
      </c>
      <c r="QQ178" s="9" t="n">
        <v>245</v>
      </c>
      <c r="QU178" s="9" t="inlineStr">
        <is>
          <t>TOTAL</t>
        </is>
      </c>
      <c r="QV178" s="9" t="n">
        <v>0</v>
      </c>
      <c r="QW178" s="9" t="n">
        <v>0</v>
      </c>
      <c r="QX178" s="9" t="n">
        <v>0</v>
      </c>
      <c r="QY178" s="9" t="n">
        <v>0</v>
      </c>
      <c r="QZ178" s="9" t="n">
        <v>207.6</v>
      </c>
      <c r="RD178" s="9" t="inlineStr">
        <is>
          <t>TOTAL</t>
        </is>
      </c>
      <c r="RE178" s="9" t="n">
        <v>0</v>
      </c>
      <c r="RF178" s="9" t="n">
        <v>0</v>
      </c>
      <c r="RG178" s="9" t="n">
        <v>0</v>
      </c>
      <c r="RH178" s="9" t="n">
        <v>0</v>
      </c>
      <c r="RI178" s="9" t="n">
        <v>147.04</v>
      </c>
      <c r="RM178" s="9" t="inlineStr">
        <is>
          <t>TOTAL</t>
        </is>
      </c>
      <c r="RN178" s="9" t="n">
        <v>0</v>
      </c>
      <c r="RO178" s="9" t="n">
        <v>0</v>
      </c>
      <c r="RP178" s="9" t="n">
        <v>0</v>
      </c>
      <c r="RQ178" s="9" t="n">
        <v>0</v>
      </c>
      <c r="RR178" s="9" t="n">
        <v>46.8</v>
      </c>
      <c r="RV178" s="9" t="inlineStr">
        <is>
          <t>TOTAL</t>
        </is>
      </c>
      <c r="RW178" s="9" t="n">
        <v>0</v>
      </c>
      <c r="RX178" s="9" t="n">
        <v>0</v>
      </c>
      <c r="RY178" s="9" t="n">
        <v>0</v>
      </c>
      <c r="RZ178" s="9" t="n">
        <v>0</v>
      </c>
      <c r="SA178" s="9" t="n">
        <v>0</v>
      </c>
      <c r="SE178" s="9" t="inlineStr">
        <is>
          <t>TOTAL</t>
        </is>
      </c>
      <c r="SF178" s="9" t="n">
        <v>0</v>
      </c>
      <c r="SG178" s="9" t="n">
        <v>0</v>
      </c>
      <c r="SH178" s="9" t="n">
        <v>0</v>
      </c>
      <c r="SI178" s="9" t="n">
        <v>0</v>
      </c>
      <c r="SJ178" s="9" t="n">
        <v>24.2</v>
      </c>
      <c r="SN178" s="9" t="inlineStr">
        <is>
          <t>TOTAL</t>
        </is>
      </c>
      <c r="SO178" s="9" t="n">
        <v>0</v>
      </c>
      <c r="SP178" s="9" t="n">
        <v>0</v>
      </c>
      <c r="SQ178" s="9" t="n">
        <v>0</v>
      </c>
      <c r="SR178" s="9" t="n">
        <v>0</v>
      </c>
      <c r="SS178" s="9" t="n">
        <v>32</v>
      </c>
      <c r="SW178" s="9" t="inlineStr">
        <is>
          <t>TOTAL</t>
        </is>
      </c>
      <c r="SX178" s="9" t="n">
        <v>0</v>
      </c>
      <c r="SY178" s="9" t="n">
        <v>0</v>
      </c>
      <c r="SZ178" s="9" t="n">
        <v>0</v>
      </c>
      <c r="TA178" s="9" t="n">
        <v>0</v>
      </c>
      <c r="TB178" s="9" t="n">
        <v>0</v>
      </c>
      <c r="TF178" s="9" t="inlineStr">
        <is>
          <t>TOTAL</t>
        </is>
      </c>
      <c r="TG178" s="9" t="n">
        <v>50</v>
      </c>
      <c r="TH178" s="9" t="n">
        <v>50</v>
      </c>
      <c r="TI178" s="9" t="n">
        <v>50</v>
      </c>
      <c r="TJ178" s="9" t="n">
        <v>0</v>
      </c>
      <c r="TK178" s="9" t="n">
        <v>0</v>
      </c>
      <c r="TO178" s="9" t="inlineStr">
        <is>
          <t>TOTAL</t>
        </is>
      </c>
      <c r="TP178" s="9" t="n">
        <v>0</v>
      </c>
      <c r="TQ178" s="9" t="n">
        <v>0</v>
      </c>
      <c r="TR178" s="9" t="n">
        <v>0</v>
      </c>
      <c r="TS178" s="9" t="n">
        <v>0</v>
      </c>
      <c r="TT178" s="9" t="n">
        <v>0</v>
      </c>
      <c r="TX178" s="9" t="inlineStr">
        <is>
          <t>TOTAL</t>
        </is>
      </c>
      <c r="TY178" s="9" t="n">
        <v>228</v>
      </c>
      <c r="TZ178" s="9" t="n">
        <v>0</v>
      </c>
      <c r="UA178" s="9" t="n">
        <v>92.40000000000001</v>
      </c>
      <c r="UB178" s="9" t="n">
        <v>-92.40000000000001</v>
      </c>
      <c r="UC178" s="9" t="n">
        <v>135.6</v>
      </c>
      <c r="UG178" s="9" t="inlineStr">
        <is>
          <t>TOTAL</t>
        </is>
      </c>
      <c r="UH178" s="9" t="n">
        <v>1000</v>
      </c>
      <c r="UI178" s="9" t="n">
        <v>120</v>
      </c>
      <c r="UJ178" s="9" t="n">
        <v>872</v>
      </c>
      <c r="UK178" s="9" t="n">
        <v>-752</v>
      </c>
      <c r="UL178" s="9" t="n">
        <v>128</v>
      </c>
      <c r="UP178" s="9" t="inlineStr">
        <is>
          <t>TOTAL</t>
        </is>
      </c>
      <c r="UQ178" s="9" t="n">
        <v>40</v>
      </c>
      <c r="UR178" s="9" t="n">
        <v>0</v>
      </c>
      <c r="US178" s="9" t="n">
        <v>28.75</v>
      </c>
      <c r="UT178" s="9" t="n">
        <v>-28.75</v>
      </c>
      <c r="UU178" s="9" t="n">
        <v>11.25</v>
      </c>
      <c r="UY178" s="9" t="inlineStr">
        <is>
          <t>TOTAL</t>
        </is>
      </c>
      <c r="UZ178" s="9" t="n">
        <v>0</v>
      </c>
      <c r="VA178" s="9" t="n">
        <v>0</v>
      </c>
      <c r="VB178" s="9" t="n">
        <v>0</v>
      </c>
      <c r="VC178" s="9" t="n">
        <v>0</v>
      </c>
      <c r="VD178" s="9" t="n">
        <v>41.60000000000002</v>
      </c>
      <c r="VH178" s="9" t="inlineStr">
        <is>
          <t>TOTAL</t>
        </is>
      </c>
      <c r="VI178" s="9" t="n">
        <v>0</v>
      </c>
      <c r="VJ178" s="9" t="n">
        <v>0</v>
      </c>
      <c r="VK178" s="9" t="n">
        <v>0</v>
      </c>
      <c r="VL178" s="9" t="n">
        <v>0</v>
      </c>
      <c r="VM178" s="9" t="n">
        <v>0</v>
      </c>
      <c r="VQ178" s="9" t="inlineStr">
        <is>
          <t>TOTAL</t>
        </is>
      </c>
      <c r="VR178" s="9" t="n">
        <v>0</v>
      </c>
      <c r="VS178" s="9" t="n">
        <v>745</v>
      </c>
      <c r="VT178" s="9" t="n">
        <v>0</v>
      </c>
      <c r="VU178" s="9" t="n">
        <v>745</v>
      </c>
      <c r="VV178" s="9" t="n">
        <v>0</v>
      </c>
      <c r="VZ178" s="9" t="inlineStr">
        <is>
          <t>TOTAL</t>
        </is>
      </c>
      <c r="WA178" s="9" t="n">
        <v>0</v>
      </c>
      <c r="WB178" s="9" t="n">
        <v>745</v>
      </c>
      <c r="WC178" s="9" t="n">
        <v>0</v>
      </c>
      <c r="WD178" s="9" t="n">
        <v>745</v>
      </c>
      <c r="WE178" s="9" t="n">
        <v>0</v>
      </c>
      <c r="WI178" s="9" t="inlineStr">
        <is>
          <t>TOTAL</t>
        </is>
      </c>
      <c r="WJ178" s="9" t="n">
        <v>0</v>
      </c>
      <c r="WK178" s="9" t="n">
        <v>0</v>
      </c>
      <c r="WL178" s="9" t="n">
        <v>1118</v>
      </c>
      <c r="WM178" s="9" t="n">
        <v>-1118</v>
      </c>
      <c r="WN178" s="9" t="n">
        <v>1199</v>
      </c>
      <c r="WR178" s="9" t="inlineStr">
        <is>
          <t>TOTAL</t>
        </is>
      </c>
      <c r="WS178" s="9" t="n">
        <v>0</v>
      </c>
      <c r="WT178" s="9" t="n">
        <v>0</v>
      </c>
      <c r="WU178" s="9" t="n">
        <v>776</v>
      </c>
      <c r="WV178" s="9" t="n">
        <v>-776</v>
      </c>
      <c r="WW178" s="9" t="n">
        <v>0</v>
      </c>
      <c r="XA178" s="9" t="inlineStr">
        <is>
          <t>TOTAL</t>
        </is>
      </c>
      <c r="XB178" s="9" t="n">
        <v>0</v>
      </c>
      <c r="XC178" s="9" t="n">
        <v>0</v>
      </c>
      <c r="XD178" s="9" t="n">
        <v>6642</v>
      </c>
      <c r="XE178" s="9" t="n">
        <v>-6642</v>
      </c>
      <c r="XF178" s="9" t="n">
        <v>6813</v>
      </c>
      <c r="XJ178" s="9" t="inlineStr">
        <is>
          <t>TOTAL</t>
        </is>
      </c>
      <c r="XK178" s="9" t="n">
        <v>8266</v>
      </c>
      <c r="XL178" s="9" t="n">
        <v>0</v>
      </c>
      <c r="XM178" s="9" t="n">
        <v>1923</v>
      </c>
      <c r="XN178" s="9" t="n">
        <v>-1923</v>
      </c>
      <c r="XO178" s="9" t="n">
        <v>7824</v>
      </c>
      <c r="XS178" s="9" t="inlineStr">
        <is>
          <t>TOTAL</t>
        </is>
      </c>
      <c r="XT178" s="9" t="n">
        <v>0</v>
      </c>
      <c r="XU178" s="9" t="n">
        <v>0</v>
      </c>
      <c r="XV178" s="9" t="n">
        <v>280</v>
      </c>
      <c r="XW178" s="9" t="n">
        <v>-280</v>
      </c>
      <c r="XX178" s="9" t="n">
        <v>1621</v>
      </c>
      <c r="YB178" s="9" t="inlineStr">
        <is>
          <t>TOTAL</t>
        </is>
      </c>
      <c r="YC178" s="9" t="n">
        <v>0</v>
      </c>
      <c r="YD178" s="9" t="n">
        <v>0</v>
      </c>
      <c r="YE178" s="9" t="n">
        <v>266</v>
      </c>
      <c r="YF178" s="9" t="n">
        <v>-266</v>
      </c>
      <c r="YG178" s="9" t="n">
        <v>6193</v>
      </c>
      <c r="YK178" s="9" t="inlineStr">
        <is>
          <t>TOTAL</t>
        </is>
      </c>
      <c r="YL178" s="9" t="n">
        <v>0</v>
      </c>
      <c r="YM178" s="9" t="n">
        <v>0</v>
      </c>
      <c r="YN178" s="9" t="n">
        <v>0</v>
      </c>
      <c r="YO178" s="9" t="n">
        <v>0</v>
      </c>
      <c r="YP178" s="9" t="n">
        <v>0</v>
      </c>
      <c r="YT178" s="9" t="inlineStr">
        <is>
          <t>TOTAL</t>
        </is>
      </c>
      <c r="YU178" s="9" t="n">
        <v>0</v>
      </c>
      <c r="YV178" s="9" t="n">
        <v>745</v>
      </c>
      <c r="YW178" s="9" t="n">
        <v>0</v>
      </c>
      <c r="YX178" s="9" t="n">
        <v>745</v>
      </c>
      <c r="YY178" s="9" t="n">
        <v>0</v>
      </c>
      <c r="ZC178" s="9" t="inlineStr">
        <is>
          <t>TOTAL</t>
        </is>
      </c>
      <c r="ZD178" s="9" t="n">
        <v>0</v>
      </c>
      <c r="ZE178" s="9" t="n">
        <v>745</v>
      </c>
      <c r="ZF178" s="9" t="n">
        <v>0</v>
      </c>
      <c r="ZG178" s="9" t="n">
        <v>745</v>
      </c>
      <c r="ZH178" s="9" t="n">
        <v>0</v>
      </c>
      <c r="ZL178" s="9" t="inlineStr">
        <is>
          <t>TOTAL</t>
        </is>
      </c>
      <c r="ZM178" s="9" t="n">
        <v>0</v>
      </c>
      <c r="ZN178" s="9" t="n">
        <v>745</v>
      </c>
      <c r="ZO178" s="9" t="n">
        <v>0</v>
      </c>
      <c r="ZP178" s="9" t="n">
        <v>745</v>
      </c>
      <c r="ZQ178" s="9" t="n">
        <v>0</v>
      </c>
      <c r="ZU178" s="9" t="inlineStr">
        <is>
          <t>TOTAL</t>
        </is>
      </c>
      <c r="ZV178" s="9" t="n">
        <v>0</v>
      </c>
      <c r="ZW178" s="9" t="n">
        <v>745</v>
      </c>
      <c r="ZX178" s="9" t="n">
        <v>0</v>
      </c>
      <c r="ZY178" s="9" t="n">
        <v>745</v>
      </c>
      <c r="ZZ178" s="9" t="n">
        <v>0</v>
      </c>
      <c r="AAD178" s="9" t="inlineStr">
        <is>
          <t>TOTAL</t>
        </is>
      </c>
      <c r="AAE178" s="9" t="n">
        <v>0</v>
      </c>
      <c r="AAF178" s="9" t="n">
        <v>745</v>
      </c>
      <c r="AAG178" s="9" t="n">
        <v>0</v>
      </c>
      <c r="AAH178" s="9" t="n">
        <v>745</v>
      </c>
      <c r="AAI178" s="9" t="n">
        <v>0</v>
      </c>
      <c r="AAM178" s="9" t="inlineStr">
        <is>
          <t>TOTAL</t>
        </is>
      </c>
      <c r="AAN178" s="9" t="n">
        <v>0</v>
      </c>
      <c r="AAO178" s="9" t="n">
        <v>745</v>
      </c>
      <c r="AAP178" s="9" t="n">
        <v>0</v>
      </c>
      <c r="AAQ178" s="9" t="n">
        <v>745</v>
      </c>
      <c r="AAR178" s="9" t="n">
        <v>0</v>
      </c>
      <c r="AAV178" s="9" t="inlineStr">
        <is>
          <t>TOTAL</t>
        </is>
      </c>
      <c r="AAW178" s="9" t="n">
        <v>0</v>
      </c>
      <c r="AAX178" s="9" t="n">
        <v>745</v>
      </c>
      <c r="AAY178" s="9" t="n">
        <v>0</v>
      </c>
      <c r="AAZ178" s="9" t="n">
        <v>745</v>
      </c>
      <c r="ABA178" s="9" t="n">
        <v>0</v>
      </c>
      <c r="ABE178" s="9" t="inlineStr">
        <is>
          <t>TOTAL</t>
        </is>
      </c>
      <c r="ABF178" s="9" t="n">
        <v>0</v>
      </c>
      <c r="ABG178" s="9" t="n">
        <v>745</v>
      </c>
      <c r="ABH178" s="9" t="n">
        <v>0</v>
      </c>
      <c r="ABI178" s="9" t="n">
        <v>745</v>
      </c>
      <c r="ABJ178" s="9" t="n">
        <v>0</v>
      </c>
    </row>
    <row r="179"/>
    <row r="180">
      <c r="A180" s="9" t="inlineStr">
        <is>
          <t>JUN</t>
        </is>
      </c>
      <c r="C180" s="9" t="inlineStr">
        <is>
          <t>JUNE</t>
        </is>
      </c>
      <c r="J180" s="9" t="inlineStr">
        <is>
          <t>JUN</t>
        </is>
      </c>
      <c r="L180" s="9" t="inlineStr">
        <is>
          <t>JUNE</t>
        </is>
      </c>
      <c r="S180" s="9" t="inlineStr">
        <is>
          <t>JUN</t>
        </is>
      </c>
      <c r="U180" s="9" t="inlineStr">
        <is>
          <t>JUNE</t>
        </is>
      </c>
      <c r="AB180" s="9" t="inlineStr">
        <is>
          <t>JUN</t>
        </is>
      </c>
      <c r="AD180" s="9" t="inlineStr">
        <is>
          <t>JUNE</t>
        </is>
      </c>
      <c r="AK180" s="9" t="inlineStr">
        <is>
          <t>JUN</t>
        </is>
      </c>
      <c r="AM180" s="9" t="inlineStr">
        <is>
          <t>JUNE</t>
        </is>
      </c>
      <c r="AT180" s="9" t="inlineStr">
        <is>
          <t>JUN</t>
        </is>
      </c>
      <c r="AV180" s="9" t="inlineStr">
        <is>
          <t>JUNE</t>
        </is>
      </c>
      <c r="BC180" s="9" t="inlineStr">
        <is>
          <t>JUN</t>
        </is>
      </c>
      <c r="BE180" s="9" t="inlineStr">
        <is>
          <t>JUNE</t>
        </is>
      </c>
      <c r="BL180" s="9" t="inlineStr">
        <is>
          <t>JUN</t>
        </is>
      </c>
      <c r="BN180" s="9" t="inlineStr">
        <is>
          <t>JUNE</t>
        </is>
      </c>
      <c r="BU180" s="9" t="inlineStr">
        <is>
          <t>JUN</t>
        </is>
      </c>
      <c r="BW180" s="9" t="inlineStr">
        <is>
          <t>JUNE</t>
        </is>
      </c>
      <c r="CD180" s="9" t="inlineStr">
        <is>
          <t>JUN</t>
        </is>
      </c>
      <c r="CF180" s="9" t="inlineStr">
        <is>
          <t>JUNE</t>
        </is>
      </c>
      <c r="CM180" s="9" t="inlineStr">
        <is>
          <t>JUN</t>
        </is>
      </c>
      <c r="CO180" s="9" t="inlineStr">
        <is>
          <t>JUNE</t>
        </is>
      </c>
      <c r="CV180" s="9" t="inlineStr">
        <is>
          <t>JUN</t>
        </is>
      </c>
      <c r="CX180" s="9" t="inlineStr">
        <is>
          <t>JUNE</t>
        </is>
      </c>
      <c r="DE180" s="9" t="inlineStr">
        <is>
          <t>JUN</t>
        </is>
      </c>
      <c r="DG180" s="9" t="inlineStr">
        <is>
          <t>JUNE</t>
        </is>
      </c>
      <c r="DN180" s="9" t="inlineStr">
        <is>
          <t>JUN</t>
        </is>
      </c>
      <c r="DP180" s="9" t="inlineStr">
        <is>
          <t>JUNE</t>
        </is>
      </c>
      <c r="DW180" s="9" t="inlineStr">
        <is>
          <t>JUN</t>
        </is>
      </c>
      <c r="DY180" s="9" t="inlineStr">
        <is>
          <t>JUNE</t>
        </is>
      </c>
      <c r="EF180" s="9" t="inlineStr">
        <is>
          <t>JUN</t>
        </is>
      </c>
      <c r="EH180" s="9" t="inlineStr">
        <is>
          <t>JUNE</t>
        </is>
      </c>
      <c r="EO180" s="9" t="inlineStr">
        <is>
          <t>JUN</t>
        </is>
      </c>
      <c r="EQ180" s="9" t="inlineStr">
        <is>
          <t>JUNE</t>
        </is>
      </c>
      <c r="EX180" s="9" t="inlineStr">
        <is>
          <t>JUN</t>
        </is>
      </c>
      <c r="EZ180" s="9" t="inlineStr">
        <is>
          <t>JUNE</t>
        </is>
      </c>
      <c r="FG180" s="9" t="inlineStr">
        <is>
          <t>JUN</t>
        </is>
      </c>
      <c r="FI180" s="9" t="inlineStr">
        <is>
          <t>JUNE</t>
        </is>
      </c>
      <c r="FP180" s="9" t="inlineStr">
        <is>
          <t>JUN</t>
        </is>
      </c>
      <c r="FR180" s="9" t="inlineStr">
        <is>
          <t>JUNE</t>
        </is>
      </c>
      <c r="FY180" s="9" t="inlineStr">
        <is>
          <t>JUN</t>
        </is>
      </c>
      <c r="GA180" s="9" t="inlineStr">
        <is>
          <t>JUNE</t>
        </is>
      </c>
      <c r="GH180" s="9" t="inlineStr">
        <is>
          <t>JUN</t>
        </is>
      </c>
      <c r="GJ180" s="9" t="inlineStr">
        <is>
          <t>JUNE</t>
        </is>
      </c>
      <c r="GQ180" s="9" t="inlineStr">
        <is>
          <t>JUN</t>
        </is>
      </c>
      <c r="GS180" s="9" t="inlineStr">
        <is>
          <t>JUNE</t>
        </is>
      </c>
      <c r="GZ180" s="9" t="inlineStr">
        <is>
          <t>JUN</t>
        </is>
      </c>
      <c r="HB180" s="9" t="inlineStr">
        <is>
          <t>JUNE</t>
        </is>
      </c>
      <c r="HI180" s="9" t="inlineStr">
        <is>
          <t>JUN</t>
        </is>
      </c>
      <c r="HK180" s="9" t="inlineStr">
        <is>
          <t>JUNE</t>
        </is>
      </c>
      <c r="HS180" s="9" t="inlineStr">
        <is>
          <t>JUN</t>
        </is>
      </c>
      <c r="HU180" s="9" t="inlineStr">
        <is>
          <t>JUNE</t>
        </is>
      </c>
      <c r="IB180" s="9" t="inlineStr">
        <is>
          <t>JUN</t>
        </is>
      </c>
      <c r="ID180" s="9" t="inlineStr">
        <is>
          <t>JUNE</t>
        </is>
      </c>
      <c r="IK180" s="9" t="inlineStr">
        <is>
          <t>JUN</t>
        </is>
      </c>
      <c r="IM180" s="9" t="inlineStr">
        <is>
          <t>JUNE</t>
        </is>
      </c>
      <c r="IT180" s="9" t="inlineStr">
        <is>
          <t>JUN</t>
        </is>
      </c>
      <c r="IV180" s="9" t="inlineStr">
        <is>
          <t>JUNE</t>
        </is>
      </c>
      <c r="JC180" s="9" t="inlineStr">
        <is>
          <t>JUN</t>
        </is>
      </c>
      <c r="JE180" s="9" t="inlineStr">
        <is>
          <t>JUNE</t>
        </is>
      </c>
      <c r="JL180" s="9" t="inlineStr">
        <is>
          <t>JUN</t>
        </is>
      </c>
      <c r="JN180" s="9" t="inlineStr">
        <is>
          <t>JUNE</t>
        </is>
      </c>
      <c r="JU180" s="9" t="inlineStr">
        <is>
          <t>JUN</t>
        </is>
      </c>
      <c r="JW180" s="9" t="inlineStr">
        <is>
          <t>JUNE</t>
        </is>
      </c>
      <c r="KD180" s="9" t="inlineStr">
        <is>
          <t>JUN</t>
        </is>
      </c>
      <c r="KF180" s="9" t="inlineStr">
        <is>
          <t>JUNE</t>
        </is>
      </c>
      <c r="KM180" s="9" t="inlineStr">
        <is>
          <t>JUN</t>
        </is>
      </c>
      <c r="KO180" s="9" t="inlineStr">
        <is>
          <t>JUNE</t>
        </is>
      </c>
      <c r="KV180" s="9" t="inlineStr">
        <is>
          <t>JUN</t>
        </is>
      </c>
      <c r="KX180" s="9" t="inlineStr">
        <is>
          <t>JUNE</t>
        </is>
      </c>
      <c r="LE180" s="9" t="inlineStr">
        <is>
          <t>JUN</t>
        </is>
      </c>
      <c r="LG180" s="9" t="inlineStr">
        <is>
          <t>JUNE</t>
        </is>
      </c>
      <c r="LN180" s="9" t="inlineStr">
        <is>
          <t>JUN</t>
        </is>
      </c>
      <c r="LP180" s="9" t="inlineStr">
        <is>
          <t>JUNE</t>
        </is>
      </c>
      <c r="LW180" s="9" t="inlineStr">
        <is>
          <t>JUN</t>
        </is>
      </c>
      <c r="LY180" s="9" t="inlineStr">
        <is>
          <t>JUNE</t>
        </is>
      </c>
      <c r="MF180" s="9" t="inlineStr">
        <is>
          <t>JUN</t>
        </is>
      </c>
      <c r="MH180" s="9" t="inlineStr">
        <is>
          <t>JUNE</t>
        </is>
      </c>
      <c r="MO180" s="9" t="inlineStr">
        <is>
          <t>JUN</t>
        </is>
      </c>
      <c r="MQ180" s="9" t="inlineStr">
        <is>
          <t>JUNE</t>
        </is>
      </c>
      <c r="MX180" s="9" t="inlineStr">
        <is>
          <t>JUN</t>
        </is>
      </c>
      <c r="MZ180" s="9" t="inlineStr">
        <is>
          <t>JUNE</t>
        </is>
      </c>
      <c r="NG180" s="9" t="inlineStr">
        <is>
          <t>JUN</t>
        </is>
      </c>
      <c r="NI180" s="9" t="inlineStr">
        <is>
          <t>JUNE</t>
        </is>
      </c>
      <c r="NP180" s="9" t="inlineStr">
        <is>
          <t>JUN</t>
        </is>
      </c>
      <c r="NR180" s="9" t="inlineStr">
        <is>
          <t>JUNE</t>
        </is>
      </c>
      <c r="NY180" s="9" t="inlineStr">
        <is>
          <t>JUN</t>
        </is>
      </c>
      <c r="OA180" s="9" t="inlineStr">
        <is>
          <t>JUNE</t>
        </is>
      </c>
      <c r="OH180" s="9" t="inlineStr">
        <is>
          <t>JUN</t>
        </is>
      </c>
      <c r="OJ180" s="9" t="inlineStr">
        <is>
          <t>JUNE</t>
        </is>
      </c>
      <c r="OQ180" s="9" t="inlineStr">
        <is>
          <t>JUN</t>
        </is>
      </c>
      <c r="OS180" s="9" t="inlineStr">
        <is>
          <t>JUNE</t>
        </is>
      </c>
      <c r="OZ180" s="9" t="inlineStr">
        <is>
          <t>JUN</t>
        </is>
      </c>
      <c r="PB180" s="9" t="inlineStr">
        <is>
          <t>JUNE</t>
        </is>
      </c>
      <c r="PI180" s="9" t="inlineStr">
        <is>
          <t>JUN</t>
        </is>
      </c>
      <c r="PK180" s="9" t="inlineStr">
        <is>
          <t>JUNE</t>
        </is>
      </c>
      <c r="PR180" s="9" t="inlineStr">
        <is>
          <t>JUN</t>
        </is>
      </c>
      <c r="PT180" s="9" t="inlineStr">
        <is>
          <t>JUNE</t>
        </is>
      </c>
      <c r="QA180" s="9" t="inlineStr">
        <is>
          <t>JUN</t>
        </is>
      </c>
      <c r="QC180" s="9" t="inlineStr">
        <is>
          <t>JUNE</t>
        </is>
      </c>
      <c r="QJ180" s="9" t="inlineStr">
        <is>
          <t>JUN</t>
        </is>
      </c>
      <c r="QL180" s="9" t="inlineStr">
        <is>
          <t>JUNE</t>
        </is>
      </c>
      <c r="QS180" s="9" t="inlineStr">
        <is>
          <t>JUN</t>
        </is>
      </c>
      <c r="QU180" s="9" t="inlineStr">
        <is>
          <t>JUNE</t>
        </is>
      </c>
      <c r="RB180" s="9" t="inlineStr">
        <is>
          <t>JUN</t>
        </is>
      </c>
      <c r="RD180" s="9" t="inlineStr">
        <is>
          <t>JUNE</t>
        </is>
      </c>
      <c r="RK180" s="9" t="inlineStr">
        <is>
          <t>JUN</t>
        </is>
      </c>
      <c r="RM180" s="9" t="inlineStr">
        <is>
          <t>JUNE</t>
        </is>
      </c>
      <c r="RT180" s="9" t="inlineStr">
        <is>
          <t>JUN</t>
        </is>
      </c>
      <c r="RV180" s="9" t="inlineStr">
        <is>
          <t>JUNE</t>
        </is>
      </c>
      <c r="SC180" s="9" t="inlineStr">
        <is>
          <t>JUN</t>
        </is>
      </c>
      <c r="SE180" s="9" t="inlineStr">
        <is>
          <t>JUNE</t>
        </is>
      </c>
      <c r="SL180" s="9" t="inlineStr">
        <is>
          <t>JUN</t>
        </is>
      </c>
      <c r="SN180" s="9" t="inlineStr">
        <is>
          <t>JUNE</t>
        </is>
      </c>
      <c r="SU180" s="9" t="inlineStr">
        <is>
          <t>JUN</t>
        </is>
      </c>
      <c r="SW180" s="9" t="inlineStr">
        <is>
          <t>JUNE</t>
        </is>
      </c>
      <c r="TD180" s="9" t="inlineStr">
        <is>
          <t>JUN</t>
        </is>
      </c>
      <c r="TF180" s="9" t="inlineStr">
        <is>
          <t>JUNE</t>
        </is>
      </c>
      <c r="TM180" s="9" t="inlineStr">
        <is>
          <t>JUN</t>
        </is>
      </c>
      <c r="TO180" s="9" t="inlineStr">
        <is>
          <t>JUNE</t>
        </is>
      </c>
      <c r="TV180" s="9" t="inlineStr">
        <is>
          <t>JUN</t>
        </is>
      </c>
      <c r="TX180" s="9" t="inlineStr">
        <is>
          <t>JUNE</t>
        </is>
      </c>
      <c r="UE180" s="9" t="inlineStr">
        <is>
          <t>JUN</t>
        </is>
      </c>
      <c r="UG180" s="9" t="inlineStr">
        <is>
          <t>JUNE</t>
        </is>
      </c>
      <c r="UN180" s="9" t="inlineStr">
        <is>
          <t>JUN</t>
        </is>
      </c>
      <c r="UP180" s="9" t="inlineStr">
        <is>
          <t>JUNE</t>
        </is>
      </c>
      <c r="UW180" s="9" t="inlineStr">
        <is>
          <t>JUN</t>
        </is>
      </c>
      <c r="UY180" s="9" t="inlineStr">
        <is>
          <t>JUNE</t>
        </is>
      </c>
      <c r="VF180" s="9" t="inlineStr">
        <is>
          <t>JUN</t>
        </is>
      </c>
      <c r="VH180" s="9" t="inlineStr">
        <is>
          <t>JUNE</t>
        </is>
      </c>
      <c r="VO180" s="9" t="inlineStr">
        <is>
          <t>JUN</t>
        </is>
      </c>
      <c r="VQ180" s="9" t="inlineStr">
        <is>
          <t>JUNE</t>
        </is>
      </c>
      <c r="VX180" s="9" t="inlineStr">
        <is>
          <t>JUN</t>
        </is>
      </c>
      <c r="VZ180" s="9" t="inlineStr">
        <is>
          <t>JUNE</t>
        </is>
      </c>
      <c r="WG180" s="9" t="inlineStr">
        <is>
          <t>JUN</t>
        </is>
      </c>
      <c r="WI180" s="9" t="inlineStr">
        <is>
          <t>JUNE</t>
        </is>
      </c>
      <c r="WP180" s="9" t="inlineStr">
        <is>
          <t>JUN</t>
        </is>
      </c>
      <c r="WR180" s="9" t="inlineStr">
        <is>
          <t>JUNE</t>
        </is>
      </c>
      <c r="WY180" s="9" t="inlineStr">
        <is>
          <t>JUN</t>
        </is>
      </c>
      <c r="XA180" s="9" t="inlineStr">
        <is>
          <t>JUNE</t>
        </is>
      </c>
      <c r="XH180" s="9" t="inlineStr">
        <is>
          <t>JUN</t>
        </is>
      </c>
      <c r="XJ180" s="9" t="inlineStr">
        <is>
          <t>JUNE</t>
        </is>
      </c>
      <c r="XQ180" s="9" t="inlineStr">
        <is>
          <t>JUN</t>
        </is>
      </c>
      <c r="XS180" s="9" t="inlineStr">
        <is>
          <t>JUNE</t>
        </is>
      </c>
      <c r="XZ180" s="9" t="inlineStr">
        <is>
          <t>JUN</t>
        </is>
      </c>
      <c r="YB180" s="9" t="inlineStr">
        <is>
          <t>JUNE</t>
        </is>
      </c>
      <c r="YI180" s="9" t="inlineStr">
        <is>
          <t>JUN</t>
        </is>
      </c>
      <c r="YK180" s="9" t="inlineStr">
        <is>
          <t>JUNE</t>
        </is>
      </c>
      <c r="YR180" s="9" t="inlineStr">
        <is>
          <t>JUN</t>
        </is>
      </c>
      <c r="YT180" s="9" t="inlineStr">
        <is>
          <t>JUNE</t>
        </is>
      </c>
      <c r="ZA180" s="9" t="inlineStr">
        <is>
          <t>JUN</t>
        </is>
      </c>
      <c r="ZC180" s="9" t="inlineStr">
        <is>
          <t>JUNE</t>
        </is>
      </c>
      <c r="ZJ180" s="9" t="inlineStr">
        <is>
          <t>JUN</t>
        </is>
      </c>
      <c r="ZL180" s="9" t="inlineStr">
        <is>
          <t>JUNE</t>
        </is>
      </c>
      <c r="ZS180" s="9" t="inlineStr">
        <is>
          <t>JUN</t>
        </is>
      </c>
      <c r="ZU180" s="9" t="inlineStr">
        <is>
          <t>JUNE</t>
        </is>
      </c>
      <c r="AAB180" s="9" t="inlineStr">
        <is>
          <t>JUN</t>
        </is>
      </c>
      <c r="AAD180" s="9" t="inlineStr">
        <is>
          <t>JUNE</t>
        </is>
      </c>
      <c r="AAK180" s="9" t="inlineStr">
        <is>
          <t>JUN</t>
        </is>
      </c>
      <c r="AAM180" s="9" t="inlineStr">
        <is>
          <t>JUNE</t>
        </is>
      </c>
      <c r="AAT180" s="9" t="inlineStr">
        <is>
          <t>JUN</t>
        </is>
      </c>
      <c r="AAV180" s="9" t="inlineStr">
        <is>
          <t>JUNE</t>
        </is>
      </c>
      <c r="ABC180" s="9" t="inlineStr">
        <is>
          <t>JUN</t>
        </is>
      </c>
      <c r="ABE180" s="9" t="inlineStr">
        <is>
          <t>JUNE</t>
        </is>
      </c>
    </row>
    <row r="181">
      <c r="C181" s="9" t="inlineStr">
        <is>
          <t>Date</t>
        </is>
      </c>
      <c r="D181" s="9" t="inlineStr">
        <is>
          <t>Intake</t>
        </is>
      </c>
      <c r="E181" s="9" t="inlineStr">
        <is>
          <t>Usage</t>
        </is>
      </c>
      <c r="F181" s="9" t="inlineStr">
        <is>
          <t>Actual</t>
        </is>
      </c>
      <c r="G181" s="9" t="inlineStr">
        <is>
          <t>Adjustment</t>
        </is>
      </c>
      <c r="H181" s="9" t="inlineStr">
        <is>
          <t>Balance</t>
        </is>
      </c>
      <c r="I181" s="9" t="inlineStr">
        <is>
          <t>Remarks</t>
        </is>
      </c>
      <c r="L181" s="9" t="inlineStr">
        <is>
          <t>Date</t>
        </is>
      </c>
      <c r="M181" s="9" t="inlineStr">
        <is>
          <t>Intake</t>
        </is>
      </c>
      <c r="N181" s="9" t="inlineStr">
        <is>
          <t>Usage</t>
        </is>
      </c>
      <c r="O181" s="9" t="inlineStr">
        <is>
          <t>Actual</t>
        </is>
      </c>
      <c r="P181" s="9" t="inlineStr">
        <is>
          <t>Adjustment</t>
        </is>
      </c>
      <c r="Q181" s="9" t="inlineStr">
        <is>
          <t>Balance</t>
        </is>
      </c>
      <c r="R181" s="9" t="inlineStr">
        <is>
          <t>Remarks</t>
        </is>
      </c>
      <c r="U181" s="9" t="inlineStr">
        <is>
          <t>Date</t>
        </is>
      </c>
      <c r="V181" s="9" t="inlineStr">
        <is>
          <t>Intake</t>
        </is>
      </c>
      <c r="W181" s="9" t="inlineStr">
        <is>
          <t>Usage</t>
        </is>
      </c>
      <c r="X181" s="9" t="inlineStr">
        <is>
          <t>Actual</t>
        </is>
      </c>
      <c r="Y181" s="9" t="inlineStr">
        <is>
          <t>Adjustment</t>
        </is>
      </c>
      <c r="Z181" s="9" t="inlineStr">
        <is>
          <t>Balance</t>
        </is>
      </c>
      <c r="AA181" s="9" t="inlineStr">
        <is>
          <t>Remarks</t>
        </is>
      </c>
      <c r="AD181" s="9" t="inlineStr">
        <is>
          <t>Date</t>
        </is>
      </c>
      <c r="AE181" s="9" t="inlineStr">
        <is>
          <t>Intake</t>
        </is>
      </c>
      <c r="AF181" s="9" t="inlineStr">
        <is>
          <t>Usage</t>
        </is>
      </c>
      <c r="AG181" s="9" t="inlineStr">
        <is>
          <t>Actual</t>
        </is>
      </c>
      <c r="AH181" s="9" t="inlineStr">
        <is>
          <t>Adjustment</t>
        </is>
      </c>
      <c r="AI181" s="9" t="inlineStr">
        <is>
          <t>Balance</t>
        </is>
      </c>
      <c r="AJ181" s="9" t="inlineStr">
        <is>
          <t>Remarks</t>
        </is>
      </c>
      <c r="AM181" s="9" t="inlineStr">
        <is>
          <t>Date</t>
        </is>
      </c>
      <c r="AN181" s="9" t="inlineStr">
        <is>
          <t>Intake</t>
        </is>
      </c>
      <c r="AO181" s="9" t="inlineStr">
        <is>
          <t>Usage</t>
        </is>
      </c>
      <c r="AP181" s="9" t="inlineStr">
        <is>
          <t>Actual</t>
        </is>
      </c>
      <c r="AQ181" s="9" t="inlineStr">
        <is>
          <t>Adjustment</t>
        </is>
      </c>
      <c r="AR181" s="9" t="inlineStr">
        <is>
          <t>Balance</t>
        </is>
      </c>
      <c r="AS181" s="9" t="inlineStr">
        <is>
          <t>Remarks</t>
        </is>
      </c>
      <c r="AV181" s="9" t="inlineStr">
        <is>
          <t>Date</t>
        </is>
      </c>
      <c r="AW181" s="9" t="inlineStr">
        <is>
          <t>Intake</t>
        </is>
      </c>
      <c r="AX181" s="9" t="inlineStr">
        <is>
          <t>Usage</t>
        </is>
      </c>
      <c r="AY181" s="9" t="inlineStr">
        <is>
          <t>Actual</t>
        </is>
      </c>
      <c r="AZ181" s="9" t="inlineStr">
        <is>
          <t>Adjustment</t>
        </is>
      </c>
      <c r="BA181" s="9" t="inlineStr">
        <is>
          <t>Balance</t>
        </is>
      </c>
      <c r="BB181" s="9" t="inlineStr">
        <is>
          <t>Remarks</t>
        </is>
      </c>
      <c r="BE181" s="9" t="inlineStr">
        <is>
          <t>Date</t>
        </is>
      </c>
      <c r="BF181" s="9" t="inlineStr">
        <is>
          <t>Intake</t>
        </is>
      </c>
      <c r="BG181" s="9" t="inlineStr">
        <is>
          <t>Usage</t>
        </is>
      </c>
      <c r="BH181" s="9" t="inlineStr">
        <is>
          <t>Actual</t>
        </is>
      </c>
      <c r="BI181" s="9" t="inlineStr">
        <is>
          <t>Adjustment</t>
        </is>
      </c>
      <c r="BJ181" s="9" t="inlineStr">
        <is>
          <t>Balance</t>
        </is>
      </c>
      <c r="BK181" s="9" t="inlineStr">
        <is>
          <t>Remarks</t>
        </is>
      </c>
      <c r="BN181" s="9" t="inlineStr">
        <is>
          <t>Date</t>
        </is>
      </c>
      <c r="BO181" s="9" t="inlineStr">
        <is>
          <t>Intake</t>
        </is>
      </c>
      <c r="BP181" s="9" t="inlineStr">
        <is>
          <t>Usage</t>
        </is>
      </c>
      <c r="BQ181" s="9" t="inlineStr">
        <is>
          <t>Actual</t>
        </is>
      </c>
      <c r="BR181" s="9" t="inlineStr">
        <is>
          <t>Adjustment</t>
        </is>
      </c>
      <c r="BS181" s="9" t="inlineStr">
        <is>
          <t>Balance</t>
        </is>
      </c>
      <c r="BT181" s="9" t="inlineStr">
        <is>
          <t>Remarks</t>
        </is>
      </c>
      <c r="BW181" s="9" t="inlineStr">
        <is>
          <t>Date</t>
        </is>
      </c>
      <c r="BX181" s="9" t="inlineStr">
        <is>
          <t>Intake</t>
        </is>
      </c>
      <c r="BY181" s="9" t="inlineStr">
        <is>
          <t>Usage</t>
        </is>
      </c>
      <c r="BZ181" s="9" t="inlineStr">
        <is>
          <t>Actual</t>
        </is>
      </c>
      <c r="CA181" s="9" t="inlineStr">
        <is>
          <t>Adjustment</t>
        </is>
      </c>
      <c r="CB181" s="9" t="inlineStr">
        <is>
          <t>Balance</t>
        </is>
      </c>
      <c r="CC181" s="9" t="inlineStr">
        <is>
          <t>Remarks</t>
        </is>
      </c>
      <c r="CF181" s="9" t="inlineStr">
        <is>
          <t>Date</t>
        </is>
      </c>
      <c r="CG181" s="9" t="inlineStr">
        <is>
          <t>Intake</t>
        </is>
      </c>
      <c r="CH181" s="9" t="inlineStr">
        <is>
          <t>Usage</t>
        </is>
      </c>
      <c r="CI181" s="9" t="inlineStr">
        <is>
          <t>Actual</t>
        </is>
      </c>
      <c r="CJ181" s="9" t="inlineStr">
        <is>
          <t>Adjustment</t>
        </is>
      </c>
      <c r="CK181" s="9" t="inlineStr">
        <is>
          <t>Balance</t>
        </is>
      </c>
      <c r="CL181" s="9" t="inlineStr">
        <is>
          <t>Remarks</t>
        </is>
      </c>
      <c r="CO181" s="9" t="inlineStr">
        <is>
          <t>Date</t>
        </is>
      </c>
      <c r="CP181" s="9" t="inlineStr">
        <is>
          <t>Intake</t>
        </is>
      </c>
      <c r="CQ181" s="9" t="inlineStr">
        <is>
          <t>Usage</t>
        </is>
      </c>
      <c r="CR181" s="9" t="inlineStr">
        <is>
          <t>Actual</t>
        </is>
      </c>
      <c r="CS181" s="9" t="inlineStr">
        <is>
          <t>Adjustment</t>
        </is>
      </c>
      <c r="CT181" s="9" t="inlineStr">
        <is>
          <t>Balance</t>
        </is>
      </c>
      <c r="CU181" s="9" t="inlineStr">
        <is>
          <t>Remarks</t>
        </is>
      </c>
      <c r="CX181" s="9" t="inlineStr">
        <is>
          <t>Date</t>
        </is>
      </c>
      <c r="CY181" s="9" t="inlineStr">
        <is>
          <t>Intake</t>
        </is>
      </c>
      <c r="CZ181" s="9" t="inlineStr">
        <is>
          <t>Usage</t>
        </is>
      </c>
      <c r="DA181" s="9" t="inlineStr">
        <is>
          <t>Actual</t>
        </is>
      </c>
      <c r="DB181" s="9" t="inlineStr">
        <is>
          <t>Adjustment</t>
        </is>
      </c>
      <c r="DC181" s="9" t="inlineStr">
        <is>
          <t>Balance</t>
        </is>
      </c>
      <c r="DD181" s="9" t="inlineStr">
        <is>
          <t>Remarks</t>
        </is>
      </c>
      <c r="DG181" s="9" t="inlineStr">
        <is>
          <t>Date</t>
        </is>
      </c>
      <c r="DH181" s="9" t="inlineStr">
        <is>
          <t>Intake</t>
        </is>
      </c>
      <c r="DI181" s="9" t="inlineStr">
        <is>
          <t>Usage</t>
        </is>
      </c>
      <c r="DJ181" s="9" t="inlineStr">
        <is>
          <t>Actual</t>
        </is>
      </c>
      <c r="DK181" s="9" t="inlineStr">
        <is>
          <t>Adjustment</t>
        </is>
      </c>
      <c r="DL181" s="9" t="inlineStr">
        <is>
          <t>Balance</t>
        </is>
      </c>
      <c r="DM181" s="9" t="inlineStr">
        <is>
          <t>Remarks</t>
        </is>
      </c>
      <c r="DP181" s="9" t="inlineStr">
        <is>
          <t>Date</t>
        </is>
      </c>
      <c r="DQ181" s="9" t="inlineStr">
        <is>
          <t>Intake</t>
        </is>
      </c>
      <c r="DR181" s="9" t="inlineStr">
        <is>
          <t>Usage</t>
        </is>
      </c>
      <c r="DS181" s="9" t="inlineStr">
        <is>
          <t>Actual</t>
        </is>
      </c>
      <c r="DT181" s="9" t="inlineStr">
        <is>
          <t>Adjustment</t>
        </is>
      </c>
      <c r="DU181" s="9" t="inlineStr">
        <is>
          <t>Balance</t>
        </is>
      </c>
      <c r="DV181" s="9" t="inlineStr">
        <is>
          <t>Remarks</t>
        </is>
      </c>
      <c r="DY181" s="9" t="inlineStr">
        <is>
          <t>Date</t>
        </is>
      </c>
      <c r="DZ181" s="9" t="inlineStr">
        <is>
          <t>Intake</t>
        </is>
      </c>
      <c r="EA181" s="9" t="inlineStr">
        <is>
          <t>Usage</t>
        </is>
      </c>
      <c r="EB181" s="9" t="inlineStr">
        <is>
          <t>Actual</t>
        </is>
      </c>
      <c r="EC181" s="9" t="inlineStr">
        <is>
          <t>Adjustment</t>
        </is>
      </c>
      <c r="ED181" s="9" t="inlineStr">
        <is>
          <t>Balance</t>
        </is>
      </c>
      <c r="EE181" s="9" t="inlineStr">
        <is>
          <t>Remarks</t>
        </is>
      </c>
      <c r="EH181" s="9" t="inlineStr">
        <is>
          <t>Date</t>
        </is>
      </c>
      <c r="EI181" s="9" t="inlineStr">
        <is>
          <t>Intake</t>
        </is>
      </c>
      <c r="EJ181" s="9" t="inlineStr">
        <is>
          <t>Usage</t>
        </is>
      </c>
      <c r="EK181" s="9" t="inlineStr">
        <is>
          <t>Actual</t>
        </is>
      </c>
      <c r="EL181" s="9" t="inlineStr">
        <is>
          <t>Adjustment</t>
        </is>
      </c>
      <c r="EM181" s="9" t="inlineStr">
        <is>
          <t>Balance</t>
        </is>
      </c>
      <c r="EN181" s="9" t="inlineStr">
        <is>
          <t>Remarks</t>
        </is>
      </c>
      <c r="EQ181" s="9" t="inlineStr">
        <is>
          <t>Date</t>
        </is>
      </c>
      <c r="ER181" s="9" t="inlineStr">
        <is>
          <t>Intake</t>
        </is>
      </c>
      <c r="ES181" s="9" t="inlineStr">
        <is>
          <t>Usage</t>
        </is>
      </c>
      <c r="ET181" s="9" t="inlineStr">
        <is>
          <t>Actual</t>
        </is>
      </c>
      <c r="EU181" s="9" t="inlineStr">
        <is>
          <t>Adjustment</t>
        </is>
      </c>
      <c r="EV181" s="9" t="inlineStr">
        <is>
          <t>Balance</t>
        </is>
      </c>
      <c r="EW181" s="9" t="inlineStr">
        <is>
          <t>Remarks</t>
        </is>
      </c>
      <c r="EZ181" s="9" t="inlineStr">
        <is>
          <t>Date</t>
        </is>
      </c>
      <c r="FA181" s="9" t="inlineStr">
        <is>
          <t>Intake</t>
        </is>
      </c>
      <c r="FB181" s="9" t="inlineStr">
        <is>
          <t>Usage</t>
        </is>
      </c>
      <c r="FC181" s="9" t="inlineStr">
        <is>
          <t>Actual</t>
        </is>
      </c>
      <c r="FD181" s="9" t="inlineStr">
        <is>
          <t>Adjustment</t>
        </is>
      </c>
      <c r="FE181" s="9" t="inlineStr">
        <is>
          <t>Balance</t>
        </is>
      </c>
      <c r="FF181" s="9" t="inlineStr">
        <is>
          <t>Remarks</t>
        </is>
      </c>
      <c r="FI181" s="9" t="inlineStr">
        <is>
          <t>Date</t>
        </is>
      </c>
      <c r="FJ181" s="9" t="inlineStr">
        <is>
          <t>Intake</t>
        </is>
      </c>
      <c r="FK181" s="9" t="inlineStr">
        <is>
          <t>Usage</t>
        </is>
      </c>
      <c r="FL181" s="9" t="inlineStr">
        <is>
          <t>Actual</t>
        </is>
      </c>
      <c r="FM181" s="9" t="inlineStr">
        <is>
          <t>Adjustment</t>
        </is>
      </c>
      <c r="FN181" s="9" t="inlineStr">
        <is>
          <t>Balance</t>
        </is>
      </c>
      <c r="FO181" s="9" t="inlineStr">
        <is>
          <t>Remarks</t>
        </is>
      </c>
      <c r="FR181" s="9" t="inlineStr">
        <is>
          <t>Date</t>
        </is>
      </c>
      <c r="FS181" s="9" t="inlineStr">
        <is>
          <t>Intake</t>
        </is>
      </c>
      <c r="FT181" s="9" t="inlineStr">
        <is>
          <t>Usage</t>
        </is>
      </c>
      <c r="FU181" s="9" t="inlineStr">
        <is>
          <t>Actual</t>
        </is>
      </c>
      <c r="FV181" s="9" t="inlineStr">
        <is>
          <t>Adjustment</t>
        </is>
      </c>
      <c r="FW181" s="9" t="inlineStr">
        <is>
          <t>Balance</t>
        </is>
      </c>
      <c r="FX181" s="9" t="inlineStr">
        <is>
          <t>Remarks</t>
        </is>
      </c>
      <c r="GA181" s="9" t="inlineStr">
        <is>
          <t>Date</t>
        </is>
      </c>
      <c r="GB181" s="9" t="inlineStr">
        <is>
          <t>Intake</t>
        </is>
      </c>
      <c r="GC181" s="9" t="inlineStr">
        <is>
          <t>Usage</t>
        </is>
      </c>
      <c r="GD181" s="9" t="inlineStr">
        <is>
          <t>Actual</t>
        </is>
      </c>
      <c r="GE181" s="9" t="inlineStr">
        <is>
          <t>Adjustment</t>
        </is>
      </c>
      <c r="GF181" s="9" t="inlineStr">
        <is>
          <t>Balance</t>
        </is>
      </c>
      <c r="GG181" s="9" t="inlineStr">
        <is>
          <t>Remarks</t>
        </is>
      </c>
      <c r="GJ181" s="9" t="inlineStr">
        <is>
          <t>Date</t>
        </is>
      </c>
      <c r="GK181" s="9" t="inlineStr">
        <is>
          <t>Intake</t>
        </is>
      </c>
      <c r="GL181" s="9" t="inlineStr">
        <is>
          <t>Usage</t>
        </is>
      </c>
      <c r="GM181" s="9" t="inlineStr">
        <is>
          <t>Actual</t>
        </is>
      </c>
      <c r="GN181" s="9" t="inlineStr">
        <is>
          <t>Adjustment</t>
        </is>
      </c>
      <c r="GO181" s="9" t="inlineStr">
        <is>
          <t>Balance</t>
        </is>
      </c>
      <c r="GP181" s="9" t="inlineStr">
        <is>
          <t>Remarks</t>
        </is>
      </c>
      <c r="GS181" s="9" t="inlineStr">
        <is>
          <t>Date</t>
        </is>
      </c>
      <c r="GT181" s="9" t="inlineStr">
        <is>
          <t>Intake</t>
        </is>
      </c>
      <c r="GU181" s="9" t="inlineStr">
        <is>
          <t>Usage</t>
        </is>
      </c>
      <c r="GV181" s="9" t="inlineStr">
        <is>
          <t>Actual</t>
        </is>
      </c>
      <c r="GW181" s="9" t="inlineStr">
        <is>
          <t>Adjustment</t>
        </is>
      </c>
      <c r="GX181" s="9" t="inlineStr">
        <is>
          <t>Balance</t>
        </is>
      </c>
      <c r="GY181" s="9" t="inlineStr">
        <is>
          <t>Remarks</t>
        </is>
      </c>
      <c r="HB181" s="9" t="inlineStr">
        <is>
          <t>Date</t>
        </is>
      </c>
      <c r="HC181" s="9" t="inlineStr">
        <is>
          <t>Intake</t>
        </is>
      </c>
      <c r="HD181" s="9" t="inlineStr">
        <is>
          <t>Usage</t>
        </is>
      </c>
      <c r="HE181" s="9" t="inlineStr">
        <is>
          <t>Actual</t>
        </is>
      </c>
      <c r="HF181" s="9" t="inlineStr">
        <is>
          <t>Adjustment</t>
        </is>
      </c>
      <c r="HG181" s="9" t="inlineStr">
        <is>
          <t>Balance</t>
        </is>
      </c>
      <c r="HH181" s="9" t="inlineStr">
        <is>
          <t>Remarks</t>
        </is>
      </c>
      <c r="HK181" s="9" t="inlineStr">
        <is>
          <t>Date</t>
        </is>
      </c>
      <c r="HL181" s="9" t="inlineStr">
        <is>
          <t>Intake</t>
        </is>
      </c>
      <c r="HM181" s="9" t="inlineStr">
        <is>
          <t>Usage</t>
        </is>
      </c>
      <c r="HN181" s="9" t="inlineStr">
        <is>
          <t>Actual</t>
        </is>
      </c>
      <c r="HO181" s="9" t="inlineStr">
        <is>
          <t>Adjustment</t>
        </is>
      </c>
      <c r="HP181" s="9" t="inlineStr">
        <is>
          <t>Balance</t>
        </is>
      </c>
      <c r="HQ181" s="9" t="inlineStr">
        <is>
          <t>Remarks</t>
        </is>
      </c>
      <c r="HU181" s="9" t="inlineStr">
        <is>
          <t>Date</t>
        </is>
      </c>
      <c r="HV181" s="9" t="inlineStr">
        <is>
          <t>Intake</t>
        </is>
      </c>
      <c r="HW181" s="9" t="inlineStr">
        <is>
          <t>Usage</t>
        </is>
      </c>
      <c r="HX181" s="9" t="inlineStr">
        <is>
          <t>Actual</t>
        </is>
      </c>
      <c r="HY181" s="9" t="inlineStr">
        <is>
          <t>Adjustment</t>
        </is>
      </c>
      <c r="HZ181" s="9" t="inlineStr">
        <is>
          <t>Balance</t>
        </is>
      </c>
      <c r="IA181" s="9" t="inlineStr">
        <is>
          <t>Remarks</t>
        </is>
      </c>
      <c r="ID181" s="9" t="inlineStr">
        <is>
          <t>Date</t>
        </is>
      </c>
      <c r="IE181" s="9" t="inlineStr">
        <is>
          <t>Intake</t>
        </is>
      </c>
      <c r="IF181" s="9" t="inlineStr">
        <is>
          <t>Usage</t>
        </is>
      </c>
      <c r="IG181" s="9" t="inlineStr">
        <is>
          <t>Actual</t>
        </is>
      </c>
      <c r="IH181" s="9" t="inlineStr">
        <is>
          <t>Adjustment</t>
        </is>
      </c>
      <c r="II181" s="9" t="inlineStr">
        <is>
          <t>Balance</t>
        </is>
      </c>
      <c r="IJ181" s="9" t="inlineStr">
        <is>
          <t>Remarks</t>
        </is>
      </c>
      <c r="IM181" s="9" t="inlineStr">
        <is>
          <t>Date</t>
        </is>
      </c>
      <c r="IN181" s="9" t="inlineStr">
        <is>
          <t>Intake</t>
        </is>
      </c>
      <c r="IO181" s="9" t="inlineStr">
        <is>
          <t>Usage</t>
        </is>
      </c>
      <c r="IP181" s="9" t="inlineStr">
        <is>
          <t>Actual</t>
        </is>
      </c>
      <c r="IQ181" s="9" t="inlineStr">
        <is>
          <t>Adjustment</t>
        </is>
      </c>
      <c r="IR181" s="9" t="inlineStr">
        <is>
          <t>Balance</t>
        </is>
      </c>
      <c r="IS181" s="9" t="inlineStr">
        <is>
          <t>Remarks</t>
        </is>
      </c>
      <c r="IV181" s="9" t="inlineStr">
        <is>
          <t>Date</t>
        </is>
      </c>
      <c r="IW181" s="9" t="inlineStr">
        <is>
          <t>Intake</t>
        </is>
      </c>
      <c r="IX181" s="9" t="inlineStr">
        <is>
          <t>Usage</t>
        </is>
      </c>
      <c r="IY181" s="9" t="inlineStr">
        <is>
          <t>Actual</t>
        </is>
      </c>
      <c r="IZ181" s="9" t="inlineStr">
        <is>
          <t>Adjustment</t>
        </is>
      </c>
      <c r="JA181" s="9" t="inlineStr">
        <is>
          <t>Balance</t>
        </is>
      </c>
      <c r="JB181" s="9" t="inlineStr">
        <is>
          <t>Remarks</t>
        </is>
      </c>
      <c r="JE181" s="9" t="inlineStr">
        <is>
          <t>Date</t>
        </is>
      </c>
      <c r="JF181" s="9" t="inlineStr">
        <is>
          <t>Intake</t>
        </is>
      </c>
      <c r="JG181" s="9" t="inlineStr">
        <is>
          <t>Usage</t>
        </is>
      </c>
      <c r="JH181" s="9" t="inlineStr">
        <is>
          <t>Actual</t>
        </is>
      </c>
      <c r="JI181" s="9" t="inlineStr">
        <is>
          <t>Adjustment</t>
        </is>
      </c>
      <c r="JJ181" s="9" t="inlineStr">
        <is>
          <t>Balance</t>
        </is>
      </c>
      <c r="JK181" s="9" t="inlineStr">
        <is>
          <t>Remarks</t>
        </is>
      </c>
      <c r="JN181" s="9" t="inlineStr">
        <is>
          <t>Date</t>
        </is>
      </c>
      <c r="JO181" s="9" t="inlineStr">
        <is>
          <t>Intake</t>
        </is>
      </c>
      <c r="JP181" s="9" t="inlineStr">
        <is>
          <t>Usage</t>
        </is>
      </c>
      <c r="JQ181" s="9" t="inlineStr">
        <is>
          <t>Actual</t>
        </is>
      </c>
      <c r="JR181" s="9" t="inlineStr">
        <is>
          <t>Adjustment</t>
        </is>
      </c>
      <c r="JS181" s="9" t="inlineStr">
        <is>
          <t>Balance</t>
        </is>
      </c>
      <c r="JT181" s="9" t="inlineStr">
        <is>
          <t>Remarks</t>
        </is>
      </c>
      <c r="JW181" s="9" t="inlineStr">
        <is>
          <t>Date</t>
        </is>
      </c>
      <c r="JX181" s="9" t="inlineStr">
        <is>
          <t>Intake</t>
        </is>
      </c>
      <c r="JY181" s="9" t="inlineStr">
        <is>
          <t>Usage</t>
        </is>
      </c>
      <c r="JZ181" s="9" t="inlineStr">
        <is>
          <t>Actual</t>
        </is>
      </c>
      <c r="KA181" s="9" t="inlineStr">
        <is>
          <t>Adjustment</t>
        </is>
      </c>
      <c r="KB181" s="9" t="inlineStr">
        <is>
          <t>Balance</t>
        </is>
      </c>
      <c r="KC181" s="9" t="inlineStr">
        <is>
          <t>Remarks</t>
        </is>
      </c>
      <c r="KF181" s="9" t="inlineStr">
        <is>
          <t>Date</t>
        </is>
      </c>
      <c r="KG181" s="9" t="inlineStr">
        <is>
          <t>Intake</t>
        </is>
      </c>
      <c r="KH181" s="9" t="inlineStr">
        <is>
          <t>Usage</t>
        </is>
      </c>
      <c r="KI181" s="9" t="inlineStr">
        <is>
          <t>Actual</t>
        </is>
      </c>
      <c r="KJ181" s="9" t="inlineStr">
        <is>
          <t>Adjustment</t>
        </is>
      </c>
      <c r="KK181" s="9" t="inlineStr">
        <is>
          <t>Balance</t>
        </is>
      </c>
      <c r="KL181" s="9" t="inlineStr">
        <is>
          <t>Remarks</t>
        </is>
      </c>
      <c r="KO181" s="9" t="inlineStr">
        <is>
          <t>Date</t>
        </is>
      </c>
      <c r="KP181" s="9" t="inlineStr">
        <is>
          <t>Intake</t>
        </is>
      </c>
      <c r="KQ181" s="9" t="inlineStr">
        <is>
          <t>Usage</t>
        </is>
      </c>
      <c r="KR181" s="9" t="inlineStr">
        <is>
          <t>Actual</t>
        </is>
      </c>
      <c r="KS181" s="9" t="inlineStr">
        <is>
          <t>Adjustment</t>
        </is>
      </c>
      <c r="KT181" s="9" t="inlineStr">
        <is>
          <t>Balance</t>
        </is>
      </c>
      <c r="KU181" s="9" t="inlineStr">
        <is>
          <t>Remarks</t>
        </is>
      </c>
      <c r="KX181" s="9" t="inlineStr">
        <is>
          <t>Date</t>
        </is>
      </c>
      <c r="KY181" s="9" t="inlineStr">
        <is>
          <t>Intake</t>
        </is>
      </c>
      <c r="KZ181" s="9" t="inlineStr">
        <is>
          <t>Usage</t>
        </is>
      </c>
      <c r="LA181" s="9" t="inlineStr">
        <is>
          <t>Actual</t>
        </is>
      </c>
      <c r="LB181" s="9" t="inlineStr">
        <is>
          <t>Adjustment</t>
        </is>
      </c>
      <c r="LC181" s="9" t="inlineStr">
        <is>
          <t>Balance</t>
        </is>
      </c>
      <c r="LD181" s="9" t="inlineStr">
        <is>
          <t>Remarks</t>
        </is>
      </c>
      <c r="LG181" s="9" t="inlineStr">
        <is>
          <t>Date</t>
        </is>
      </c>
      <c r="LH181" s="9" t="inlineStr">
        <is>
          <t>Intake</t>
        </is>
      </c>
      <c r="LI181" s="9" t="inlineStr">
        <is>
          <t>Usage</t>
        </is>
      </c>
      <c r="LJ181" s="9" t="inlineStr">
        <is>
          <t>Actual</t>
        </is>
      </c>
      <c r="LK181" s="9" t="inlineStr">
        <is>
          <t>Adjustment</t>
        </is>
      </c>
      <c r="LL181" s="9" t="inlineStr">
        <is>
          <t>Balance</t>
        </is>
      </c>
      <c r="LM181" s="9" t="inlineStr">
        <is>
          <t>Remarks</t>
        </is>
      </c>
      <c r="LP181" s="9" t="inlineStr">
        <is>
          <t>Date</t>
        </is>
      </c>
      <c r="LQ181" s="9" t="inlineStr">
        <is>
          <t>Intake</t>
        </is>
      </c>
      <c r="LR181" s="9" t="inlineStr">
        <is>
          <t>Usage</t>
        </is>
      </c>
      <c r="LS181" s="9" t="inlineStr">
        <is>
          <t>Actual</t>
        </is>
      </c>
      <c r="LT181" s="9" t="inlineStr">
        <is>
          <t>Adjustment</t>
        </is>
      </c>
      <c r="LU181" s="9" t="inlineStr">
        <is>
          <t>Balance</t>
        </is>
      </c>
      <c r="LV181" s="9" t="inlineStr">
        <is>
          <t>Remarks</t>
        </is>
      </c>
      <c r="LY181" s="9" t="inlineStr">
        <is>
          <t>Date</t>
        </is>
      </c>
      <c r="LZ181" s="9" t="inlineStr">
        <is>
          <t>Intake</t>
        </is>
      </c>
      <c r="MA181" s="9" t="inlineStr">
        <is>
          <t>Usage</t>
        </is>
      </c>
      <c r="MB181" s="9" t="inlineStr">
        <is>
          <t>Actual</t>
        </is>
      </c>
      <c r="MC181" s="9" t="inlineStr">
        <is>
          <t>Adjustment</t>
        </is>
      </c>
      <c r="MD181" s="9" t="inlineStr">
        <is>
          <t>Balance</t>
        </is>
      </c>
      <c r="ME181" s="9" t="inlineStr">
        <is>
          <t>Remarks</t>
        </is>
      </c>
      <c r="MH181" s="9" t="inlineStr">
        <is>
          <t>Date</t>
        </is>
      </c>
      <c r="MI181" s="9" t="inlineStr">
        <is>
          <t>Intake</t>
        </is>
      </c>
      <c r="MJ181" s="9" t="inlineStr">
        <is>
          <t>Usage</t>
        </is>
      </c>
      <c r="MK181" s="9" t="inlineStr">
        <is>
          <t>Actual</t>
        </is>
      </c>
      <c r="ML181" s="9" t="inlineStr">
        <is>
          <t>Adjustment</t>
        </is>
      </c>
      <c r="MM181" s="9" t="inlineStr">
        <is>
          <t>Balance</t>
        </is>
      </c>
      <c r="MN181" s="9" t="inlineStr">
        <is>
          <t>Remarks</t>
        </is>
      </c>
      <c r="MQ181" s="9" t="inlineStr">
        <is>
          <t>Date</t>
        </is>
      </c>
      <c r="MR181" s="9" t="inlineStr">
        <is>
          <t>Intake</t>
        </is>
      </c>
      <c r="MS181" s="9" t="inlineStr">
        <is>
          <t>Usage</t>
        </is>
      </c>
      <c r="MT181" s="9" t="inlineStr">
        <is>
          <t>Actual</t>
        </is>
      </c>
      <c r="MU181" s="9" t="inlineStr">
        <is>
          <t>Adjustment</t>
        </is>
      </c>
      <c r="MV181" s="9" t="inlineStr">
        <is>
          <t>Balance</t>
        </is>
      </c>
      <c r="MW181" s="9" t="inlineStr">
        <is>
          <t>Remarks</t>
        </is>
      </c>
      <c r="MZ181" s="9" t="inlineStr">
        <is>
          <t>Date</t>
        </is>
      </c>
      <c r="NA181" s="9" t="inlineStr">
        <is>
          <t>Intake</t>
        </is>
      </c>
      <c r="NB181" s="9" t="inlineStr">
        <is>
          <t>Usage</t>
        </is>
      </c>
      <c r="NC181" s="9" t="inlineStr">
        <is>
          <t>Actual</t>
        </is>
      </c>
      <c r="ND181" s="9" t="inlineStr">
        <is>
          <t>Adjustment</t>
        </is>
      </c>
      <c r="NE181" s="9" t="inlineStr">
        <is>
          <t>Balance</t>
        </is>
      </c>
      <c r="NF181" s="9" t="inlineStr">
        <is>
          <t>Remarks</t>
        </is>
      </c>
      <c r="NI181" s="9" t="inlineStr">
        <is>
          <t>Date</t>
        </is>
      </c>
      <c r="NJ181" s="9" t="inlineStr">
        <is>
          <t>Intake</t>
        </is>
      </c>
      <c r="NK181" s="9" t="inlineStr">
        <is>
          <t>Usage</t>
        </is>
      </c>
      <c r="NL181" s="9" t="inlineStr">
        <is>
          <t>Actual</t>
        </is>
      </c>
      <c r="NM181" s="9" t="inlineStr">
        <is>
          <t>Adjustment</t>
        </is>
      </c>
      <c r="NN181" s="9" t="inlineStr">
        <is>
          <t>Balance</t>
        </is>
      </c>
      <c r="NO181" s="9" t="inlineStr">
        <is>
          <t>Remarks</t>
        </is>
      </c>
      <c r="NR181" s="9" t="inlineStr">
        <is>
          <t>Date</t>
        </is>
      </c>
      <c r="NS181" s="9" t="inlineStr">
        <is>
          <t>Intake</t>
        </is>
      </c>
      <c r="NT181" s="9" t="inlineStr">
        <is>
          <t>Usage</t>
        </is>
      </c>
      <c r="NU181" s="9" t="inlineStr">
        <is>
          <t>Actual</t>
        </is>
      </c>
      <c r="NV181" s="9" t="inlineStr">
        <is>
          <t>Adjustment</t>
        </is>
      </c>
      <c r="NW181" s="9" t="inlineStr">
        <is>
          <t>Balance</t>
        </is>
      </c>
      <c r="NX181" s="9" t="inlineStr">
        <is>
          <t>Remarks</t>
        </is>
      </c>
      <c r="OA181" s="9" t="inlineStr">
        <is>
          <t>Date</t>
        </is>
      </c>
      <c r="OB181" s="9" t="inlineStr">
        <is>
          <t>Intake</t>
        </is>
      </c>
      <c r="OC181" s="9" t="inlineStr">
        <is>
          <t>Usage</t>
        </is>
      </c>
      <c r="OD181" s="9" t="inlineStr">
        <is>
          <t>Actual</t>
        </is>
      </c>
      <c r="OE181" s="9" t="inlineStr">
        <is>
          <t>Adjustment</t>
        </is>
      </c>
      <c r="OF181" s="9" t="inlineStr">
        <is>
          <t>Balance</t>
        </is>
      </c>
      <c r="OG181" s="9" t="inlineStr">
        <is>
          <t>Remarks</t>
        </is>
      </c>
      <c r="OJ181" s="9" t="inlineStr">
        <is>
          <t>Date</t>
        </is>
      </c>
      <c r="OK181" s="9" t="inlineStr">
        <is>
          <t>Intake</t>
        </is>
      </c>
      <c r="OL181" s="9" t="inlineStr">
        <is>
          <t>Usage</t>
        </is>
      </c>
      <c r="OM181" s="9" t="inlineStr">
        <is>
          <t>Actual</t>
        </is>
      </c>
      <c r="ON181" s="9" t="inlineStr">
        <is>
          <t>Adjustment</t>
        </is>
      </c>
      <c r="OO181" s="9" t="inlineStr">
        <is>
          <t>Balance</t>
        </is>
      </c>
      <c r="OP181" s="9" t="inlineStr">
        <is>
          <t>Remarks</t>
        </is>
      </c>
      <c r="OS181" s="9" t="inlineStr">
        <is>
          <t>Date</t>
        </is>
      </c>
      <c r="OT181" s="9" t="inlineStr">
        <is>
          <t>Intake</t>
        </is>
      </c>
      <c r="OU181" s="9" t="inlineStr">
        <is>
          <t>Usage</t>
        </is>
      </c>
      <c r="OV181" s="9" t="inlineStr">
        <is>
          <t>Actual</t>
        </is>
      </c>
      <c r="OW181" s="9" t="inlineStr">
        <is>
          <t>Adjustment</t>
        </is>
      </c>
      <c r="OX181" s="9" t="inlineStr">
        <is>
          <t>Balance</t>
        </is>
      </c>
      <c r="OY181" s="9" t="inlineStr">
        <is>
          <t>Remarks</t>
        </is>
      </c>
      <c r="PB181" s="9" t="inlineStr">
        <is>
          <t>Date</t>
        </is>
      </c>
      <c r="PC181" s="9" t="inlineStr">
        <is>
          <t>Intake</t>
        </is>
      </c>
      <c r="PD181" s="9" t="inlineStr">
        <is>
          <t>Usage</t>
        </is>
      </c>
      <c r="PE181" s="9" t="inlineStr">
        <is>
          <t>Actual</t>
        </is>
      </c>
      <c r="PF181" s="9" t="inlineStr">
        <is>
          <t>Adjustment</t>
        </is>
      </c>
      <c r="PG181" s="9" t="inlineStr">
        <is>
          <t>Balance</t>
        </is>
      </c>
      <c r="PH181" s="9" t="inlineStr">
        <is>
          <t>Remarks</t>
        </is>
      </c>
      <c r="PK181" s="9" t="inlineStr">
        <is>
          <t>Date</t>
        </is>
      </c>
      <c r="PL181" s="9" t="inlineStr">
        <is>
          <t>Intake</t>
        </is>
      </c>
      <c r="PM181" s="9" t="inlineStr">
        <is>
          <t>Usage</t>
        </is>
      </c>
      <c r="PN181" s="9" t="inlineStr">
        <is>
          <t>Actual</t>
        </is>
      </c>
      <c r="PO181" s="9" t="inlineStr">
        <is>
          <t>Adjustment</t>
        </is>
      </c>
      <c r="PP181" s="9" t="inlineStr">
        <is>
          <t>Balance</t>
        </is>
      </c>
      <c r="PQ181" s="9" t="inlineStr">
        <is>
          <t>Remarks</t>
        </is>
      </c>
      <c r="PT181" s="9" t="inlineStr">
        <is>
          <t>Date</t>
        </is>
      </c>
      <c r="PU181" s="9" t="inlineStr">
        <is>
          <t>Intake</t>
        </is>
      </c>
      <c r="PV181" s="9" t="inlineStr">
        <is>
          <t>Usage</t>
        </is>
      </c>
      <c r="PW181" s="9" t="inlineStr">
        <is>
          <t>Actual</t>
        </is>
      </c>
      <c r="PX181" s="9" t="inlineStr">
        <is>
          <t>Adjustment</t>
        </is>
      </c>
      <c r="PY181" s="9" t="inlineStr">
        <is>
          <t>Balance</t>
        </is>
      </c>
      <c r="PZ181" s="9" t="inlineStr">
        <is>
          <t>Remarks</t>
        </is>
      </c>
      <c r="QC181" s="9" t="inlineStr">
        <is>
          <t>Date</t>
        </is>
      </c>
      <c r="QD181" s="9" t="inlineStr">
        <is>
          <t>Intake</t>
        </is>
      </c>
      <c r="QE181" s="9" t="inlineStr">
        <is>
          <t>Usage</t>
        </is>
      </c>
      <c r="QF181" s="9" t="inlineStr">
        <is>
          <t>Actual</t>
        </is>
      </c>
      <c r="QG181" s="9" t="inlineStr">
        <is>
          <t>Adjustment</t>
        </is>
      </c>
      <c r="QH181" s="9" t="inlineStr">
        <is>
          <t>Balance</t>
        </is>
      </c>
      <c r="QI181" s="9" t="inlineStr">
        <is>
          <t>Remarks</t>
        </is>
      </c>
      <c r="QL181" s="9" t="inlineStr">
        <is>
          <t>Date</t>
        </is>
      </c>
      <c r="QM181" s="9" t="inlineStr">
        <is>
          <t>Intake</t>
        </is>
      </c>
      <c r="QN181" s="9" t="inlineStr">
        <is>
          <t>Usage</t>
        </is>
      </c>
      <c r="QO181" s="9" t="inlineStr">
        <is>
          <t>Actual</t>
        </is>
      </c>
      <c r="QP181" s="9" t="inlineStr">
        <is>
          <t>Adjustment</t>
        </is>
      </c>
      <c r="QQ181" s="9" t="inlineStr">
        <is>
          <t>Balance</t>
        </is>
      </c>
      <c r="QR181" s="9" t="inlineStr">
        <is>
          <t>Remarks</t>
        </is>
      </c>
      <c r="QU181" s="9" t="inlineStr">
        <is>
          <t>Date</t>
        </is>
      </c>
      <c r="QV181" s="9" t="inlineStr">
        <is>
          <t>Intake</t>
        </is>
      </c>
      <c r="QW181" s="9" t="inlineStr">
        <is>
          <t>Usage</t>
        </is>
      </c>
      <c r="QX181" s="9" t="inlineStr">
        <is>
          <t>Actual</t>
        </is>
      </c>
      <c r="QY181" s="9" t="inlineStr">
        <is>
          <t>Adjustment</t>
        </is>
      </c>
      <c r="QZ181" s="9" t="inlineStr">
        <is>
          <t>Balance</t>
        </is>
      </c>
      <c r="RA181" s="9" t="inlineStr">
        <is>
          <t>Remarks</t>
        </is>
      </c>
      <c r="RD181" s="9" t="inlineStr">
        <is>
          <t>Date</t>
        </is>
      </c>
      <c r="RE181" s="9" t="inlineStr">
        <is>
          <t>Intake</t>
        </is>
      </c>
      <c r="RF181" s="9" t="inlineStr">
        <is>
          <t>Usage</t>
        </is>
      </c>
      <c r="RG181" s="9" t="inlineStr">
        <is>
          <t>Actual</t>
        </is>
      </c>
      <c r="RH181" s="9" t="inlineStr">
        <is>
          <t>Adjustment</t>
        </is>
      </c>
      <c r="RI181" s="9" t="inlineStr">
        <is>
          <t>Balance</t>
        </is>
      </c>
      <c r="RJ181" s="9" t="inlineStr">
        <is>
          <t>Remarks</t>
        </is>
      </c>
      <c r="RM181" s="9" t="inlineStr">
        <is>
          <t>Date</t>
        </is>
      </c>
      <c r="RN181" s="9" t="inlineStr">
        <is>
          <t>Intake</t>
        </is>
      </c>
      <c r="RO181" s="9" t="inlineStr">
        <is>
          <t>Usage</t>
        </is>
      </c>
      <c r="RP181" s="9" t="inlineStr">
        <is>
          <t>Actual</t>
        </is>
      </c>
      <c r="RQ181" s="9" t="inlineStr">
        <is>
          <t>Adjustment</t>
        </is>
      </c>
      <c r="RR181" s="9" t="inlineStr">
        <is>
          <t>Balance</t>
        </is>
      </c>
      <c r="RS181" s="9" t="inlineStr">
        <is>
          <t>Remarks</t>
        </is>
      </c>
      <c r="RV181" s="9" t="inlineStr">
        <is>
          <t>Date</t>
        </is>
      </c>
      <c r="RW181" s="9" t="inlineStr">
        <is>
          <t>Intake</t>
        </is>
      </c>
      <c r="RX181" s="9" t="inlineStr">
        <is>
          <t>Usage</t>
        </is>
      </c>
      <c r="RY181" s="9" t="inlineStr">
        <is>
          <t>Actual</t>
        </is>
      </c>
      <c r="RZ181" s="9" t="inlineStr">
        <is>
          <t>Adjustment</t>
        </is>
      </c>
      <c r="SA181" s="9" t="inlineStr">
        <is>
          <t>Balance</t>
        </is>
      </c>
      <c r="SB181" s="9" t="inlineStr">
        <is>
          <t>Remarks</t>
        </is>
      </c>
      <c r="SE181" s="9" t="inlineStr">
        <is>
          <t>Date</t>
        </is>
      </c>
      <c r="SF181" s="9" t="inlineStr">
        <is>
          <t>Intake</t>
        </is>
      </c>
      <c r="SG181" s="9" t="inlineStr">
        <is>
          <t>Usage</t>
        </is>
      </c>
      <c r="SH181" s="9" t="inlineStr">
        <is>
          <t>Actual</t>
        </is>
      </c>
      <c r="SI181" s="9" t="inlineStr">
        <is>
          <t>Adjustment</t>
        </is>
      </c>
      <c r="SJ181" s="9" t="inlineStr">
        <is>
          <t>Balance</t>
        </is>
      </c>
      <c r="SK181" s="9" t="inlineStr">
        <is>
          <t>Remarks</t>
        </is>
      </c>
      <c r="SN181" s="9" t="inlineStr">
        <is>
          <t>Date</t>
        </is>
      </c>
      <c r="SO181" s="9" t="inlineStr">
        <is>
          <t>Intake</t>
        </is>
      </c>
      <c r="SP181" s="9" t="inlineStr">
        <is>
          <t>Usage</t>
        </is>
      </c>
      <c r="SQ181" s="9" t="inlineStr">
        <is>
          <t>Actual</t>
        </is>
      </c>
      <c r="SR181" s="9" t="inlineStr">
        <is>
          <t>Adjustment</t>
        </is>
      </c>
      <c r="SS181" s="9" t="inlineStr">
        <is>
          <t>Balance</t>
        </is>
      </c>
      <c r="ST181" s="9" t="inlineStr">
        <is>
          <t>Remarks</t>
        </is>
      </c>
      <c r="SW181" s="9" t="inlineStr">
        <is>
          <t>Date</t>
        </is>
      </c>
      <c r="SX181" s="9" t="inlineStr">
        <is>
          <t>Intake</t>
        </is>
      </c>
      <c r="SY181" s="9" t="inlineStr">
        <is>
          <t>Usage</t>
        </is>
      </c>
      <c r="SZ181" s="9" t="inlineStr">
        <is>
          <t>Actual</t>
        </is>
      </c>
      <c r="TA181" s="9" t="inlineStr">
        <is>
          <t>Adjustment</t>
        </is>
      </c>
      <c r="TB181" s="9" t="inlineStr">
        <is>
          <t>Balance</t>
        </is>
      </c>
      <c r="TC181" s="9" t="inlineStr">
        <is>
          <t>Remarks</t>
        </is>
      </c>
      <c r="TF181" s="9" t="inlineStr">
        <is>
          <t>Date</t>
        </is>
      </c>
      <c r="TG181" s="9" t="inlineStr">
        <is>
          <t>Intake</t>
        </is>
      </c>
      <c r="TH181" s="9" t="inlineStr">
        <is>
          <t>Usage</t>
        </is>
      </c>
      <c r="TI181" s="9" t="inlineStr">
        <is>
          <t>Actual</t>
        </is>
      </c>
      <c r="TJ181" s="9" t="inlineStr">
        <is>
          <t>Adjustment</t>
        </is>
      </c>
      <c r="TK181" s="9" t="inlineStr">
        <is>
          <t>Balance</t>
        </is>
      </c>
      <c r="TL181" s="9" t="inlineStr">
        <is>
          <t>Remarks</t>
        </is>
      </c>
      <c r="TO181" s="9" t="inlineStr">
        <is>
          <t>Date</t>
        </is>
      </c>
      <c r="TP181" s="9" t="inlineStr">
        <is>
          <t>Intake</t>
        </is>
      </c>
      <c r="TQ181" s="9" t="inlineStr">
        <is>
          <t>Usage</t>
        </is>
      </c>
      <c r="TR181" s="9" t="inlineStr">
        <is>
          <t>Actual</t>
        </is>
      </c>
      <c r="TS181" s="9" t="inlineStr">
        <is>
          <t>Adjustment</t>
        </is>
      </c>
      <c r="TT181" s="9" t="inlineStr">
        <is>
          <t>Balance</t>
        </is>
      </c>
      <c r="TU181" s="9" t="inlineStr">
        <is>
          <t>Remarks</t>
        </is>
      </c>
      <c r="TX181" s="9" t="inlineStr">
        <is>
          <t>Date</t>
        </is>
      </c>
      <c r="TY181" s="9" t="inlineStr">
        <is>
          <t>Intake</t>
        </is>
      </c>
      <c r="TZ181" s="9" t="inlineStr">
        <is>
          <t>Usage</t>
        </is>
      </c>
      <c r="UA181" s="9" t="inlineStr">
        <is>
          <t>Actual</t>
        </is>
      </c>
      <c r="UB181" s="9" t="inlineStr">
        <is>
          <t>Adjustment</t>
        </is>
      </c>
      <c r="UC181" s="9" t="inlineStr">
        <is>
          <t>Balance</t>
        </is>
      </c>
      <c r="UD181" s="9" t="inlineStr">
        <is>
          <t>Remarks</t>
        </is>
      </c>
      <c r="UG181" s="9" t="inlineStr">
        <is>
          <t>Date</t>
        </is>
      </c>
      <c r="UH181" s="9" t="inlineStr">
        <is>
          <t>Intake</t>
        </is>
      </c>
      <c r="UI181" s="9" t="inlineStr">
        <is>
          <t>Usage</t>
        </is>
      </c>
      <c r="UJ181" s="9" t="inlineStr">
        <is>
          <t>Actual</t>
        </is>
      </c>
      <c r="UK181" s="9" t="inlineStr">
        <is>
          <t>Adjustment</t>
        </is>
      </c>
      <c r="UL181" s="9" t="inlineStr">
        <is>
          <t>Balance</t>
        </is>
      </c>
      <c r="UM181" s="9" t="inlineStr">
        <is>
          <t>Remarks</t>
        </is>
      </c>
      <c r="UP181" s="9" t="inlineStr">
        <is>
          <t>Date</t>
        </is>
      </c>
      <c r="UQ181" s="9" t="inlineStr">
        <is>
          <t>Intake</t>
        </is>
      </c>
      <c r="UR181" s="9" t="inlineStr">
        <is>
          <t>Usage</t>
        </is>
      </c>
      <c r="US181" s="9" t="inlineStr">
        <is>
          <t>Actual</t>
        </is>
      </c>
      <c r="UT181" s="9" t="inlineStr">
        <is>
          <t>Adjustment</t>
        </is>
      </c>
      <c r="UU181" s="9" t="inlineStr">
        <is>
          <t>Balance</t>
        </is>
      </c>
      <c r="UV181" s="9" t="inlineStr">
        <is>
          <t>Remarks</t>
        </is>
      </c>
      <c r="UY181" s="9" t="inlineStr">
        <is>
          <t>Date</t>
        </is>
      </c>
      <c r="UZ181" s="9" t="inlineStr">
        <is>
          <t>Intake</t>
        </is>
      </c>
      <c r="VA181" s="9" t="inlineStr">
        <is>
          <t>Usage</t>
        </is>
      </c>
      <c r="VB181" s="9" t="inlineStr">
        <is>
          <t>Actual</t>
        </is>
      </c>
      <c r="VC181" s="9" t="inlineStr">
        <is>
          <t>Adjustment</t>
        </is>
      </c>
      <c r="VD181" s="9" t="inlineStr">
        <is>
          <t>Balance</t>
        </is>
      </c>
      <c r="VE181" s="9" t="inlineStr">
        <is>
          <t>Remarks</t>
        </is>
      </c>
      <c r="VH181" s="9" t="inlineStr">
        <is>
          <t>Date</t>
        </is>
      </c>
      <c r="VI181" s="9" t="inlineStr">
        <is>
          <t>Intake</t>
        </is>
      </c>
      <c r="VJ181" s="9" t="inlineStr">
        <is>
          <t>Usage</t>
        </is>
      </c>
      <c r="VK181" s="9" t="inlineStr">
        <is>
          <t>Actual</t>
        </is>
      </c>
      <c r="VL181" s="9" t="inlineStr">
        <is>
          <t>Adjustment</t>
        </is>
      </c>
      <c r="VM181" s="9" t="inlineStr">
        <is>
          <t>Balance</t>
        </is>
      </c>
      <c r="VN181" s="9" t="inlineStr">
        <is>
          <t>Remarks</t>
        </is>
      </c>
      <c r="VQ181" s="9" t="inlineStr">
        <is>
          <t>Date</t>
        </is>
      </c>
      <c r="VR181" s="9" t="inlineStr">
        <is>
          <t>Intake</t>
        </is>
      </c>
      <c r="VS181" s="9" t="inlineStr">
        <is>
          <t>Usage</t>
        </is>
      </c>
      <c r="VT181" s="9" t="inlineStr">
        <is>
          <t>Actual</t>
        </is>
      </c>
      <c r="VU181" s="9" t="inlineStr">
        <is>
          <t>Adjustment</t>
        </is>
      </c>
      <c r="VV181" s="9" t="inlineStr">
        <is>
          <t>Balance</t>
        </is>
      </c>
      <c r="VW181" s="9" t="inlineStr">
        <is>
          <t>Remarks</t>
        </is>
      </c>
      <c r="VZ181" s="9" t="inlineStr">
        <is>
          <t>Date</t>
        </is>
      </c>
      <c r="WA181" s="9" t="inlineStr">
        <is>
          <t>Intake</t>
        </is>
      </c>
      <c r="WB181" s="9" t="inlineStr">
        <is>
          <t>Usage</t>
        </is>
      </c>
      <c r="WC181" s="9" t="inlineStr">
        <is>
          <t>Actual</t>
        </is>
      </c>
      <c r="WD181" s="9" t="inlineStr">
        <is>
          <t>Adjustment</t>
        </is>
      </c>
      <c r="WE181" s="9" t="inlineStr">
        <is>
          <t>Balance</t>
        </is>
      </c>
      <c r="WF181" s="9" t="inlineStr">
        <is>
          <t>Remarks</t>
        </is>
      </c>
      <c r="WI181" s="9" t="inlineStr">
        <is>
          <t>Date</t>
        </is>
      </c>
      <c r="WJ181" s="9" t="inlineStr">
        <is>
          <t>Intake</t>
        </is>
      </c>
      <c r="WK181" s="9" t="inlineStr">
        <is>
          <t>Usage</t>
        </is>
      </c>
      <c r="WL181" s="9" t="inlineStr">
        <is>
          <t>Actual</t>
        </is>
      </c>
      <c r="WM181" s="9" t="inlineStr">
        <is>
          <t>Adjustment</t>
        </is>
      </c>
      <c r="WN181" s="9" t="inlineStr">
        <is>
          <t>Balance</t>
        </is>
      </c>
      <c r="WO181" s="9" t="inlineStr">
        <is>
          <t>Remarks</t>
        </is>
      </c>
      <c r="WR181" s="9" t="inlineStr">
        <is>
          <t>Date</t>
        </is>
      </c>
      <c r="WS181" s="9" t="inlineStr">
        <is>
          <t>Intake</t>
        </is>
      </c>
      <c r="WT181" s="9" t="inlineStr">
        <is>
          <t>Usage</t>
        </is>
      </c>
      <c r="WU181" s="9" t="inlineStr">
        <is>
          <t>Actual</t>
        </is>
      </c>
      <c r="WV181" s="9" t="inlineStr">
        <is>
          <t>Adjustment</t>
        </is>
      </c>
      <c r="WW181" s="9" t="inlineStr">
        <is>
          <t>Balance</t>
        </is>
      </c>
      <c r="WX181" s="9" t="inlineStr">
        <is>
          <t>Remarks</t>
        </is>
      </c>
      <c r="XA181" s="9" t="inlineStr">
        <is>
          <t>Date</t>
        </is>
      </c>
      <c r="XB181" s="9" t="inlineStr">
        <is>
          <t>Intake</t>
        </is>
      </c>
      <c r="XC181" s="9" t="inlineStr">
        <is>
          <t>Usage</t>
        </is>
      </c>
      <c r="XD181" s="9" t="inlineStr">
        <is>
          <t>Actual</t>
        </is>
      </c>
      <c r="XE181" s="9" t="inlineStr">
        <is>
          <t>Adjustment</t>
        </is>
      </c>
      <c r="XF181" s="9" t="inlineStr">
        <is>
          <t>Balance</t>
        </is>
      </c>
      <c r="XG181" s="9" t="inlineStr">
        <is>
          <t>Remarks</t>
        </is>
      </c>
      <c r="XJ181" s="9" t="inlineStr">
        <is>
          <t>Date</t>
        </is>
      </c>
      <c r="XK181" s="9" t="inlineStr">
        <is>
          <t>Intake</t>
        </is>
      </c>
      <c r="XL181" s="9" t="inlineStr">
        <is>
          <t>Usage</t>
        </is>
      </c>
      <c r="XM181" s="9" t="inlineStr">
        <is>
          <t>Actual</t>
        </is>
      </c>
      <c r="XN181" s="9" t="inlineStr">
        <is>
          <t>Adjustment</t>
        </is>
      </c>
      <c r="XO181" s="9" t="inlineStr">
        <is>
          <t>Balance</t>
        </is>
      </c>
      <c r="XP181" s="9" t="inlineStr">
        <is>
          <t>Remarks</t>
        </is>
      </c>
      <c r="XS181" s="9" t="inlineStr">
        <is>
          <t>Date</t>
        </is>
      </c>
      <c r="XT181" s="9" t="inlineStr">
        <is>
          <t>Intake</t>
        </is>
      </c>
      <c r="XU181" s="9" t="inlineStr">
        <is>
          <t>Usage</t>
        </is>
      </c>
      <c r="XV181" s="9" t="inlineStr">
        <is>
          <t>Actual</t>
        </is>
      </c>
      <c r="XW181" s="9" t="inlineStr">
        <is>
          <t>Adjustment</t>
        </is>
      </c>
      <c r="XX181" s="9" t="inlineStr">
        <is>
          <t>Balance</t>
        </is>
      </c>
      <c r="XY181" s="9" t="inlineStr">
        <is>
          <t>Remarks</t>
        </is>
      </c>
      <c r="YB181" s="9" t="inlineStr">
        <is>
          <t>Date</t>
        </is>
      </c>
      <c r="YC181" s="9" t="inlineStr">
        <is>
          <t>Intake</t>
        </is>
      </c>
      <c r="YD181" s="9" t="inlineStr">
        <is>
          <t>Usage</t>
        </is>
      </c>
      <c r="YE181" s="9" t="inlineStr">
        <is>
          <t>Actual</t>
        </is>
      </c>
      <c r="YF181" s="9" t="inlineStr">
        <is>
          <t>Adjustment</t>
        </is>
      </c>
      <c r="YG181" s="9" t="inlineStr">
        <is>
          <t>Balance</t>
        </is>
      </c>
      <c r="YH181" s="9" t="inlineStr">
        <is>
          <t>Remarks</t>
        </is>
      </c>
      <c r="YK181" s="9" t="inlineStr">
        <is>
          <t>Date</t>
        </is>
      </c>
      <c r="YL181" s="9" t="inlineStr">
        <is>
          <t>Intake</t>
        </is>
      </c>
      <c r="YM181" s="9" t="inlineStr">
        <is>
          <t>Usage</t>
        </is>
      </c>
      <c r="YN181" s="9" t="inlineStr">
        <is>
          <t>Actual</t>
        </is>
      </c>
      <c r="YO181" s="9" t="inlineStr">
        <is>
          <t>Adjustment</t>
        </is>
      </c>
      <c r="YP181" s="9" t="inlineStr">
        <is>
          <t>Balance</t>
        </is>
      </c>
      <c r="YQ181" s="9" t="inlineStr">
        <is>
          <t>Remarks</t>
        </is>
      </c>
      <c r="YT181" s="9" t="inlineStr">
        <is>
          <t>Date</t>
        </is>
      </c>
      <c r="YU181" s="9" t="inlineStr">
        <is>
          <t>Intake</t>
        </is>
      </c>
      <c r="YV181" s="9" t="inlineStr">
        <is>
          <t>Usage</t>
        </is>
      </c>
      <c r="YW181" s="9" t="inlineStr">
        <is>
          <t>Actual</t>
        </is>
      </c>
      <c r="YX181" s="9" t="inlineStr">
        <is>
          <t>Adjustment</t>
        </is>
      </c>
      <c r="YY181" s="9" t="inlineStr">
        <is>
          <t>Balance</t>
        </is>
      </c>
      <c r="YZ181" s="9" t="inlineStr">
        <is>
          <t>Remarks</t>
        </is>
      </c>
      <c r="ZC181" s="9" t="inlineStr">
        <is>
          <t>Date</t>
        </is>
      </c>
      <c r="ZD181" s="9" t="inlineStr">
        <is>
          <t>Intake</t>
        </is>
      </c>
      <c r="ZE181" s="9" t="inlineStr">
        <is>
          <t>Usage</t>
        </is>
      </c>
      <c r="ZF181" s="9" t="inlineStr">
        <is>
          <t>Actual</t>
        </is>
      </c>
      <c r="ZG181" s="9" t="inlineStr">
        <is>
          <t>Adjustment</t>
        </is>
      </c>
      <c r="ZH181" s="9" t="inlineStr">
        <is>
          <t>Balance</t>
        </is>
      </c>
      <c r="ZI181" s="9" t="inlineStr">
        <is>
          <t>Remarks</t>
        </is>
      </c>
      <c r="ZL181" s="9" t="inlineStr">
        <is>
          <t>Date</t>
        </is>
      </c>
      <c r="ZM181" s="9" t="inlineStr">
        <is>
          <t>Intake</t>
        </is>
      </c>
      <c r="ZN181" s="9" t="inlineStr">
        <is>
          <t>Usage</t>
        </is>
      </c>
      <c r="ZO181" s="9" t="inlineStr">
        <is>
          <t>Actual</t>
        </is>
      </c>
      <c r="ZP181" s="9" t="inlineStr">
        <is>
          <t>Adjustment</t>
        </is>
      </c>
      <c r="ZQ181" s="9" t="inlineStr">
        <is>
          <t>Balance</t>
        </is>
      </c>
      <c r="ZR181" s="9" t="inlineStr">
        <is>
          <t>Remarks</t>
        </is>
      </c>
      <c r="ZU181" s="9" t="inlineStr">
        <is>
          <t>Date</t>
        </is>
      </c>
      <c r="ZV181" s="9" t="inlineStr">
        <is>
          <t>Intake</t>
        </is>
      </c>
      <c r="ZW181" s="9" t="inlineStr">
        <is>
          <t>Usage</t>
        </is>
      </c>
      <c r="ZX181" s="9" t="inlineStr">
        <is>
          <t>Actual</t>
        </is>
      </c>
      <c r="ZY181" s="9" t="inlineStr">
        <is>
          <t>Adjustment</t>
        </is>
      </c>
      <c r="ZZ181" s="9" t="inlineStr">
        <is>
          <t>Balance</t>
        </is>
      </c>
      <c r="AAA181" s="9" t="inlineStr">
        <is>
          <t>Remarks</t>
        </is>
      </c>
      <c r="AAD181" s="9" t="inlineStr">
        <is>
          <t>Date</t>
        </is>
      </c>
      <c r="AAE181" s="9" t="inlineStr">
        <is>
          <t>Intake</t>
        </is>
      </c>
      <c r="AAF181" s="9" t="inlineStr">
        <is>
          <t>Usage</t>
        </is>
      </c>
      <c r="AAG181" s="9" t="inlineStr">
        <is>
          <t>Actual</t>
        </is>
      </c>
      <c r="AAH181" s="9" t="inlineStr">
        <is>
          <t>Adjustment</t>
        </is>
      </c>
      <c r="AAI181" s="9" t="inlineStr">
        <is>
          <t>Balance</t>
        </is>
      </c>
      <c r="AAJ181" s="9" t="inlineStr">
        <is>
          <t>Remarks</t>
        </is>
      </c>
      <c r="AAM181" s="9" t="inlineStr">
        <is>
          <t>Date</t>
        </is>
      </c>
      <c r="AAN181" s="9" t="inlineStr">
        <is>
          <t>Intake</t>
        </is>
      </c>
      <c r="AAO181" s="9" t="inlineStr">
        <is>
          <t>Usage</t>
        </is>
      </c>
      <c r="AAP181" s="9" t="inlineStr">
        <is>
          <t>Actual</t>
        </is>
      </c>
      <c r="AAQ181" s="9" t="inlineStr">
        <is>
          <t>Adjustment</t>
        </is>
      </c>
      <c r="AAR181" s="9" t="inlineStr">
        <is>
          <t>Balance</t>
        </is>
      </c>
      <c r="AAS181" s="9" t="inlineStr">
        <is>
          <t>Remarks</t>
        </is>
      </c>
      <c r="AAV181" s="9" t="inlineStr">
        <is>
          <t>Date</t>
        </is>
      </c>
      <c r="AAW181" s="9" t="inlineStr">
        <is>
          <t>Intake</t>
        </is>
      </c>
      <c r="AAX181" s="9" t="inlineStr">
        <is>
          <t>Usage</t>
        </is>
      </c>
      <c r="AAY181" s="9" t="inlineStr">
        <is>
          <t>Actual</t>
        </is>
      </c>
      <c r="AAZ181" s="9" t="inlineStr">
        <is>
          <t>Adjustment</t>
        </is>
      </c>
      <c r="ABA181" s="9" t="inlineStr">
        <is>
          <t>Balance</t>
        </is>
      </c>
      <c r="ABB181" s="9" t="inlineStr">
        <is>
          <t>Remarks</t>
        </is>
      </c>
      <c r="ABE181" s="9" t="inlineStr">
        <is>
          <t>Date</t>
        </is>
      </c>
      <c r="ABF181" s="9" t="inlineStr">
        <is>
          <t>Intake</t>
        </is>
      </c>
      <c r="ABG181" s="9" t="inlineStr">
        <is>
          <t>Usage</t>
        </is>
      </c>
      <c r="ABH181" s="9" t="inlineStr">
        <is>
          <t>Actual</t>
        </is>
      </c>
      <c r="ABI181" s="9" t="inlineStr">
        <is>
          <t>Adjustment</t>
        </is>
      </c>
      <c r="ABJ181" s="9" t="inlineStr">
        <is>
          <t>Balance</t>
        </is>
      </c>
      <c r="ABK181" s="9" t="inlineStr">
        <is>
          <t>Remarks</t>
        </is>
      </c>
    </row>
    <row r="182">
      <c r="C182" s="9" t="inlineStr">
        <is>
          <t>BALANCE</t>
        </is>
      </c>
      <c r="D182" s="9" t="inlineStr">
        <is>
          <t>-</t>
        </is>
      </c>
      <c r="E182" s="9" t="inlineStr">
        <is>
          <t>-</t>
        </is>
      </c>
      <c r="F182" s="9" t="inlineStr">
        <is>
          <t>-</t>
        </is>
      </c>
      <c r="G182" s="9" t="inlineStr">
        <is>
          <t>-</t>
        </is>
      </c>
      <c r="H182" s="9" t="n">
        <v>244343.4000000001</v>
      </c>
      <c r="L182" s="9" t="inlineStr">
        <is>
          <t>BALANCE</t>
        </is>
      </c>
      <c r="M182" s="9" t="inlineStr">
        <is>
          <t>-</t>
        </is>
      </c>
      <c r="N182" s="9" t="inlineStr">
        <is>
          <t>-</t>
        </is>
      </c>
      <c r="O182" s="9" t="inlineStr">
        <is>
          <t>-</t>
        </is>
      </c>
      <c r="P182" s="9" t="inlineStr">
        <is>
          <t>-</t>
        </is>
      </c>
      <c r="Q182" s="9" t="n">
        <v>105957.2000000001</v>
      </c>
      <c r="U182" s="9" t="inlineStr">
        <is>
          <t>BALANCE</t>
        </is>
      </c>
      <c r="V182" s="9" t="inlineStr">
        <is>
          <t>-</t>
        </is>
      </c>
      <c r="W182" s="9" t="inlineStr">
        <is>
          <t>-</t>
        </is>
      </c>
      <c r="X182" s="9" t="inlineStr">
        <is>
          <t>-</t>
        </is>
      </c>
      <c r="Y182" s="9" t="inlineStr">
        <is>
          <t>-</t>
        </is>
      </c>
      <c r="Z182" s="9" t="n">
        <v>44686.29999999997</v>
      </c>
      <c r="AD182" s="9" t="inlineStr">
        <is>
          <t>BALANCE</t>
        </is>
      </c>
      <c r="AE182" s="9" t="inlineStr">
        <is>
          <t>-</t>
        </is>
      </c>
      <c r="AF182" s="9" t="inlineStr">
        <is>
          <t>-</t>
        </is>
      </c>
      <c r="AG182" s="9" t="inlineStr">
        <is>
          <t>-</t>
        </is>
      </c>
      <c r="AH182" s="9" t="inlineStr">
        <is>
          <t>-</t>
        </is>
      </c>
      <c r="AI182" s="9" t="n">
        <v>12193.40000000002</v>
      </c>
      <c r="AM182" s="9" t="inlineStr">
        <is>
          <t>BALANCE</t>
        </is>
      </c>
      <c r="AN182" s="9" t="inlineStr">
        <is>
          <t>-</t>
        </is>
      </c>
      <c r="AO182" s="9" t="inlineStr">
        <is>
          <t>-</t>
        </is>
      </c>
      <c r="AP182" s="9" t="inlineStr">
        <is>
          <t>-</t>
        </is>
      </c>
      <c r="AQ182" s="9" t="inlineStr">
        <is>
          <t>-</t>
        </is>
      </c>
      <c r="AR182" s="9" t="n">
        <v>0</v>
      </c>
      <c r="AV182" s="9" t="inlineStr">
        <is>
          <t>BALANCE</t>
        </is>
      </c>
      <c r="AW182" s="9" t="inlineStr">
        <is>
          <t>-</t>
        </is>
      </c>
      <c r="AX182" s="9" t="inlineStr">
        <is>
          <t>-</t>
        </is>
      </c>
      <c r="AY182" s="9" t="inlineStr">
        <is>
          <t>-</t>
        </is>
      </c>
      <c r="AZ182" s="9" t="inlineStr">
        <is>
          <t>-</t>
        </is>
      </c>
      <c r="BA182" s="9" t="n">
        <v>18566.7</v>
      </c>
      <c r="BE182" s="9" t="inlineStr">
        <is>
          <t>BALANCE</t>
        </is>
      </c>
      <c r="BF182" s="9" t="inlineStr">
        <is>
          <t>-</t>
        </is>
      </c>
      <c r="BG182" s="9" t="inlineStr">
        <is>
          <t>-</t>
        </is>
      </c>
      <c r="BH182" s="9" t="inlineStr">
        <is>
          <t>-</t>
        </is>
      </c>
      <c r="BI182" s="9" t="inlineStr">
        <is>
          <t>-</t>
        </is>
      </c>
      <c r="BJ182" s="9" t="n">
        <v>34163.99999999999</v>
      </c>
      <c r="BN182" s="9" t="inlineStr">
        <is>
          <t>BALANCE</t>
        </is>
      </c>
      <c r="BO182" s="9" t="inlineStr">
        <is>
          <t>-</t>
        </is>
      </c>
      <c r="BP182" s="9" t="inlineStr">
        <is>
          <t>-</t>
        </is>
      </c>
      <c r="BQ182" s="9" t="inlineStr">
        <is>
          <t>-</t>
        </is>
      </c>
      <c r="BR182" s="9" t="inlineStr">
        <is>
          <t>-</t>
        </is>
      </c>
      <c r="BS182" s="9" t="n">
        <v>0</v>
      </c>
      <c r="BW182" s="9" t="inlineStr">
        <is>
          <t>BALANCE</t>
        </is>
      </c>
      <c r="BX182" s="9" t="inlineStr">
        <is>
          <t>-</t>
        </is>
      </c>
      <c r="BY182" s="9" t="inlineStr">
        <is>
          <t>-</t>
        </is>
      </c>
      <c r="BZ182" s="9" t="inlineStr">
        <is>
          <t>-</t>
        </is>
      </c>
      <c r="CA182" s="9" t="inlineStr">
        <is>
          <t>-</t>
        </is>
      </c>
      <c r="CB182" s="9" t="n">
        <v>5083.129999999999</v>
      </c>
      <c r="CF182" s="9" t="inlineStr">
        <is>
          <t>BALANCE</t>
        </is>
      </c>
      <c r="CG182" s="9" t="inlineStr">
        <is>
          <t>-</t>
        </is>
      </c>
      <c r="CH182" s="9" t="inlineStr">
        <is>
          <t>-</t>
        </is>
      </c>
      <c r="CI182" s="9" t="inlineStr">
        <is>
          <t>-</t>
        </is>
      </c>
      <c r="CJ182" s="9" t="inlineStr">
        <is>
          <t>-</t>
        </is>
      </c>
      <c r="CK182" s="9" t="n">
        <v>0</v>
      </c>
      <c r="CO182" s="9" t="inlineStr">
        <is>
          <t>BALANCE</t>
        </is>
      </c>
      <c r="CP182" s="9" t="inlineStr">
        <is>
          <t>-</t>
        </is>
      </c>
      <c r="CQ182" s="9" t="inlineStr">
        <is>
          <t>-</t>
        </is>
      </c>
      <c r="CR182" s="9" t="inlineStr">
        <is>
          <t>-</t>
        </is>
      </c>
      <c r="CS182" s="9" t="inlineStr">
        <is>
          <t>-</t>
        </is>
      </c>
      <c r="CT182" s="9" t="n">
        <v>0</v>
      </c>
      <c r="CX182" s="9" t="inlineStr">
        <is>
          <t>BALANCE</t>
        </is>
      </c>
      <c r="CY182" s="9" t="inlineStr">
        <is>
          <t>-</t>
        </is>
      </c>
      <c r="CZ182" s="9" t="inlineStr">
        <is>
          <t>-</t>
        </is>
      </c>
      <c r="DA182" s="9" t="inlineStr">
        <is>
          <t>-</t>
        </is>
      </c>
      <c r="DB182" s="9" t="inlineStr">
        <is>
          <t>-</t>
        </is>
      </c>
      <c r="DC182" s="9" t="n">
        <v>19623.90000000001</v>
      </c>
      <c r="DG182" s="9" t="inlineStr">
        <is>
          <t>BALANCE</t>
        </is>
      </c>
      <c r="DH182" s="9" t="inlineStr">
        <is>
          <t>-</t>
        </is>
      </c>
      <c r="DI182" s="9" t="inlineStr">
        <is>
          <t>-</t>
        </is>
      </c>
      <c r="DJ182" s="9" t="inlineStr">
        <is>
          <t>-</t>
        </is>
      </c>
      <c r="DK182" s="9" t="inlineStr">
        <is>
          <t>-</t>
        </is>
      </c>
      <c r="DL182" s="9" t="n">
        <v>35234.99999999999</v>
      </c>
      <c r="DP182" s="9" t="inlineStr">
        <is>
          <t>BALANCE</t>
        </is>
      </c>
      <c r="DQ182" s="9" t="inlineStr">
        <is>
          <t>-</t>
        </is>
      </c>
      <c r="DR182" s="9" t="inlineStr">
        <is>
          <t>-</t>
        </is>
      </c>
      <c r="DS182" s="9" t="inlineStr">
        <is>
          <t>-</t>
        </is>
      </c>
      <c r="DT182" s="9" t="inlineStr">
        <is>
          <t>-</t>
        </is>
      </c>
      <c r="DU182" s="9" t="n">
        <v>5800</v>
      </c>
      <c r="DY182" s="9" t="inlineStr">
        <is>
          <t>BALANCE</t>
        </is>
      </c>
      <c r="DZ182" s="9" t="inlineStr">
        <is>
          <t>-</t>
        </is>
      </c>
      <c r="EA182" s="9" t="inlineStr">
        <is>
          <t>-</t>
        </is>
      </c>
      <c r="EB182" s="9" t="inlineStr">
        <is>
          <t>-</t>
        </is>
      </c>
      <c r="EC182" s="9" t="inlineStr">
        <is>
          <t>-</t>
        </is>
      </c>
      <c r="ED182" s="9" t="n">
        <v>0</v>
      </c>
      <c r="EH182" s="9" t="inlineStr">
        <is>
          <t>BALANCE</t>
        </is>
      </c>
      <c r="EI182" s="9" t="inlineStr">
        <is>
          <t>-</t>
        </is>
      </c>
      <c r="EJ182" s="9" t="inlineStr">
        <is>
          <t>-</t>
        </is>
      </c>
      <c r="EK182" s="9" t="inlineStr">
        <is>
          <t>-</t>
        </is>
      </c>
      <c r="EL182" s="9" t="inlineStr">
        <is>
          <t>-</t>
        </is>
      </c>
      <c r="EM182" s="9" t="n">
        <v>0</v>
      </c>
      <c r="EQ182" s="9" t="inlineStr">
        <is>
          <t>BALANCE</t>
        </is>
      </c>
      <c r="ER182" s="9" t="inlineStr">
        <is>
          <t>-</t>
        </is>
      </c>
      <c r="ES182" s="9" t="inlineStr">
        <is>
          <t>-</t>
        </is>
      </c>
      <c r="ET182" s="9" t="inlineStr">
        <is>
          <t>-</t>
        </is>
      </c>
      <c r="EU182" s="9" t="inlineStr">
        <is>
          <t>-</t>
        </is>
      </c>
      <c r="EV182" s="9" t="n">
        <v>0</v>
      </c>
      <c r="EZ182" s="9" t="inlineStr">
        <is>
          <t>BALANCE</t>
        </is>
      </c>
      <c r="FA182" s="9" t="inlineStr">
        <is>
          <t>-</t>
        </is>
      </c>
      <c r="FB182" s="9" t="inlineStr">
        <is>
          <t>-</t>
        </is>
      </c>
      <c r="FC182" s="9" t="inlineStr">
        <is>
          <t>-</t>
        </is>
      </c>
      <c r="FD182" s="9" t="inlineStr">
        <is>
          <t>-</t>
        </is>
      </c>
      <c r="FE182" s="9" t="n">
        <v>0</v>
      </c>
      <c r="FI182" s="9" t="inlineStr">
        <is>
          <t>BALANCE</t>
        </is>
      </c>
      <c r="FJ182" s="9" t="inlineStr">
        <is>
          <t>-</t>
        </is>
      </c>
      <c r="FK182" s="9" t="inlineStr">
        <is>
          <t>-</t>
        </is>
      </c>
      <c r="FL182" s="9" t="inlineStr">
        <is>
          <t>-</t>
        </is>
      </c>
      <c r="FM182" s="9" t="inlineStr">
        <is>
          <t>-</t>
        </is>
      </c>
      <c r="FN182" s="9" t="n">
        <v>0</v>
      </c>
      <c r="FR182" s="9" t="inlineStr">
        <is>
          <t>BALANCE</t>
        </is>
      </c>
      <c r="FS182" s="9" t="inlineStr">
        <is>
          <t>-</t>
        </is>
      </c>
      <c r="FT182" s="9" t="inlineStr">
        <is>
          <t>-</t>
        </is>
      </c>
      <c r="FU182" s="9" t="inlineStr">
        <is>
          <t>-</t>
        </is>
      </c>
      <c r="FV182" s="9" t="inlineStr">
        <is>
          <t>-</t>
        </is>
      </c>
      <c r="FW182" s="9" t="n">
        <v>4140</v>
      </c>
      <c r="FX182" s="9" t="n">
        <v>207</v>
      </c>
      <c r="FY182" s="9" t="inlineStr">
        <is>
          <t>bags</t>
        </is>
      </c>
      <c r="GA182" s="9" t="inlineStr">
        <is>
          <t>BALANCE</t>
        </is>
      </c>
      <c r="GB182" s="9" t="inlineStr">
        <is>
          <t>-</t>
        </is>
      </c>
      <c r="GC182" s="9" t="inlineStr">
        <is>
          <t>-</t>
        </is>
      </c>
      <c r="GD182" s="9" t="inlineStr">
        <is>
          <t>-</t>
        </is>
      </c>
      <c r="GE182" s="9" t="inlineStr">
        <is>
          <t>-</t>
        </is>
      </c>
      <c r="GF182" s="9" t="n">
        <v>5040</v>
      </c>
      <c r="GG182" s="9" t="n">
        <v>252</v>
      </c>
      <c r="GH182" s="9" t="inlineStr">
        <is>
          <t>bags</t>
        </is>
      </c>
      <c r="GJ182" s="9" t="inlineStr">
        <is>
          <t>BALANCE</t>
        </is>
      </c>
      <c r="GK182" s="9" t="inlineStr">
        <is>
          <t>-</t>
        </is>
      </c>
      <c r="GL182" s="9" t="inlineStr">
        <is>
          <t>-</t>
        </is>
      </c>
      <c r="GM182" s="9" t="inlineStr">
        <is>
          <t>-</t>
        </is>
      </c>
      <c r="GN182" s="9" t="inlineStr">
        <is>
          <t>-</t>
        </is>
      </c>
      <c r="GO182" s="9" t="n">
        <v>1760</v>
      </c>
      <c r="GP182" s="9" t="n">
        <v>88</v>
      </c>
      <c r="GQ182" s="9" t="inlineStr">
        <is>
          <t>bags</t>
        </is>
      </c>
      <c r="GS182" s="9" t="inlineStr">
        <is>
          <t>BALANCE</t>
        </is>
      </c>
      <c r="GT182" s="9" t="inlineStr">
        <is>
          <t>-</t>
        </is>
      </c>
      <c r="GU182" s="9" t="inlineStr">
        <is>
          <t>-</t>
        </is>
      </c>
      <c r="GV182" s="9" t="inlineStr">
        <is>
          <t>-</t>
        </is>
      </c>
      <c r="GW182" s="9" t="inlineStr">
        <is>
          <t>-</t>
        </is>
      </c>
      <c r="GX182" s="9" t="n">
        <v>600</v>
      </c>
      <c r="GY182" s="9" t="n">
        <v>30</v>
      </c>
      <c r="GZ182" s="9" t="inlineStr">
        <is>
          <t>bags</t>
        </is>
      </c>
      <c r="HB182" s="9" t="inlineStr">
        <is>
          <t>BALANCE</t>
        </is>
      </c>
      <c r="HC182" s="9" t="inlineStr">
        <is>
          <t>-</t>
        </is>
      </c>
      <c r="HD182" s="9" t="inlineStr">
        <is>
          <t>-</t>
        </is>
      </c>
      <c r="HE182" s="9" t="inlineStr">
        <is>
          <t>-</t>
        </is>
      </c>
      <c r="HF182" s="9" t="inlineStr">
        <is>
          <t>-</t>
        </is>
      </c>
      <c r="HG182" s="9" t="n">
        <v>3600</v>
      </c>
      <c r="HH182" s="9" t="n">
        <v>180</v>
      </c>
      <c r="HI182" s="9" t="inlineStr">
        <is>
          <t>bags</t>
        </is>
      </c>
      <c r="HK182" s="9" t="inlineStr">
        <is>
          <t>BALANCE</t>
        </is>
      </c>
      <c r="HL182" s="9" t="inlineStr">
        <is>
          <t>-</t>
        </is>
      </c>
      <c r="HM182" s="9" t="inlineStr">
        <is>
          <t>-</t>
        </is>
      </c>
      <c r="HN182" s="9" t="inlineStr">
        <is>
          <t>-</t>
        </is>
      </c>
      <c r="HO182" s="9" t="inlineStr">
        <is>
          <t>-</t>
        </is>
      </c>
      <c r="HP182" s="9" t="n">
        <v>0</v>
      </c>
      <c r="HU182" s="9" t="inlineStr">
        <is>
          <t>BALANCE</t>
        </is>
      </c>
      <c r="HV182" s="9" t="inlineStr">
        <is>
          <t>-</t>
        </is>
      </c>
      <c r="HW182" s="9" t="inlineStr">
        <is>
          <t>-</t>
        </is>
      </c>
      <c r="HX182" s="9" t="inlineStr">
        <is>
          <t>-</t>
        </is>
      </c>
      <c r="HY182" s="9" t="inlineStr">
        <is>
          <t>-</t>
        </is>
      </c>
      <c r="HZ182" s="9" t="n">
        <v>6800</v>
      </c>
      <c r="IA182" s="9" t="n">
        <v>340</v>
      </c>
      <c r="IB182" s="9" t="inlineStr">
        <is>
          <t>bags</t>
        </is>
      </c>
      <c r="ID182" s="9" t="inlineStr">
        <is>
          <t>BALANCE</t>
        </is>
      </c>
      <c r="IE182" s="9" t="inlineStr">
        <is>
          <t>-</t>
        </is>
      </c>
      <c r="IF182" s="9" t="inlineStr">
        <is>
          <t>-</t>
        </is>
      </c>
      <c r="IG182" s="9" t="inlineStr">
        <is>
          <t>-</t>
        </is>
      </c>
      <c r="IH182" s="9" t="inlineStr">
        <is>
          <t>-</t>
        </is>
      </c>
      <c r="II182" s="9" t="n">
        <v>720</v>
      </c>
      <c r="IJ182" s="9" t="n">
        <v>36</v>
      </c>
      <c r="IK182" s="9" t="inlineStr">
        <is>
          <t>bags</t>
        </is>
      </c>
      <c r="IM182" s="9" t="inlineStr">
        <is>
          <t>BALANCE</t>
        </is>
      </c>
      <c r="IN182" s="9" t="inlineStr">
        <is>
          <t>-</t>
        </is>
      </c>
      <c r="IO182" s="9" t="inlineStr">
        <is>
          <t>-</t>
        </is>
      </c>
      <c r="IP182" s="9" t="inlineStr">
        <is>
          <t>-</t>
        </is>
      </c>
      <c r="IQ182" s="9" t="inlineStr">
        <is>
          <t>-</t>
        </is>
      </c>
      <c r="IR182" s="9" t="n">
        <v>8140</v>
      </c>
      <c r="IS182" s="9" t="n">
        <v>407</v>
      </c>
      <c r="IT182" s="9" t="inlineStr">
        <is>
          <t>bags</t>
        </is>
      </c>
      <c r="IV182" s="9" t="inlineStr">
        <is>
          <t>BALANCE</t>
        </is>
      </c>
      <c r="IW182" s="9" t="inlineStr">
        <is>
          <t>-</t>
        </is>
      </c>
      <c r="IX182" s="9" t="inlineStr">
        <is>
          <t>-</t>
        </is>
      </c>
      <c r="IY182" s="9" t="inlineStr">
        <is>
          <t>-</t>
        </is>
      </c>
      <c r="IZ182" s="9" t="inlineStr">
        <is>
          <t>-</t>
        </is>
      </c>
      <c r="JA182" s="9" t="n">
        <v>4960</v>
      </c>
      <c r="JB182" s="9" t="n">
        <v>248</v>
      </c>
      <c r="JC182" s="9" t="inlineStr">
        <is>
          <t>bags</t>
        </is>
      </c>
      <c r="JE182" s="9" t="inlineStr">
        <is>
          <t>BALANCE</t>
        </is>
      </c>
      <c r="JF182" s="9" t="inlineStr">
        <is>
          <t>-</t>
        </is>
      </c>
      <c r="JG182" s="9" t="inlineStr">
        <is>
          <t>-</t>
        </is>
      </c>
      <c r="JH182" s="9" t="inlineStr">
        <is>
          <t>-</t>
        </is>
      </c>
      <c r="JI182" s="9" t="inlineStr">
        <is>
          <t>-</t>
        </is>
      </c>
      <c r="JJ182" s="9" t="n">
        <v>0</v>
      </c>
      <c r="JN182" s="9" t="inlineStr">
        <is>
          <t>BALANCE</t>
        </is>
      </c>
      <c r="JO182" s="9" t="inlineStr">
        <is>
          <t>-</t>
        </is>
      </c>
      <c r="JP182" s="9" t="inlineStr">
        <is>
          <t>-</t>
        </is>
      </c>
      <c r="JQ182" s="9" t="inlineStr">
        <is>
          <t>-</t>
        </is>
      </c>
      <c r="JR182" s="9" t="inlineStr">
        <is>
          <t>-</t>
        </is>
      </c>
      <c r="JS182" s="9" t="n">
        <v>3340</v>
      </c>
      <c r="JT182" s="9" t="n">
        <v>167</v>
      </c>
      <c r="JU182" s="9" t="inlineStr">
        <is>
          <t>bags</t>
        </is>
      </c>
      <c r="JW182" s="9" t="inlineStr">
        <is>
          <t>BALANCE</t>
        </is>
      </c>
      <c r="JX182" s="9" t="inlineStr">
        <is>
          <t>-</t>
        </is>
      </c>
      <c r="JY182" s="9" t="inlineStr">
        <is>
          <t>-</t>
        </is>
      </c>
      <c r="JZ182" s="9" t="inlineStr">
        <is>
          <t>-</t>
        </is>
      </c>
      <c r="KA182" s="9" t="inlineStr">
        <is>
          <t>-</t>
        </is>
      </c>
      <c r="KB182" s="9" t="n">
        <v>2540</v>
      </c>
      <c r="KC182" s="9" t="n">
        <v>127</v>
      </c>
      <c r="KD182" s="9" t="inlineStr">
        <is>
          <t>bags</t>
        </is>
      </c>
      <c r="KF182" s="9" t="inlineStr">
        <is>
          <t>BALANCE</t>
        </is>
      </c>
      <c r="KG182" s="9" t="inlineStr">
        <is>
          <t>-</t>
        </is>
      </c>
      <c r="KH182" s="9" t="inlineStr">
        <is>
          <t>-</t>
        </is>
      </c>
      <c r="KI182" s="9" t="inlineStr">
        <is>
          <t>-</t>
        </is>
      </c>
      <c r="KJ182" s="9" t="inlineStr">
        <is>
          <t>-</t>
        </is>
      </c>
      <c r="KK182" s="9" t="n">
        <v>2359.5</v>
      </c>
      <c r="KL182" s="9" t="n">
        <v>121</v>
      </c>
      <c r="KM182" s="9" t="inlineStr">
        <is>
          <t>bags</t>
        </is>
      </c>
      <c r="KO182" s="9" t="inlineStr">
        <is>
          <t>BALANCE</t>
        </is>
      </c>
      <c r="KP182" s="9" t="inlineStr">
        <is>
          <t>-</t>
        </is>
      </c>
      <c r="KQ182" s="9" t="inlineStr">
        <is>
          <t>-</t>
        </is>
      </c>
      <c r="KR182" s="9" t="inlineStr">
        <is>
          <t>-</t>
        </is>
      </c>
      <c r="KS182" s="9" t="inlineStr">
        <is>
          <t>-</t>
        </is>
      </c>
      <c r="KT182" s="9" t="n">
        <v>1890</v>
      </c>
      <c r="KU182" s="9" t="n">
        <v>100</v>
      </c>
      <c r="KV182" s="9" t="inlineStr">
        <is>
          <t>bags</t>
        </is>
      </c>
      <c r="KX182" s="9" t="inlineStr">
        <is>
          <t>BALANCE</t>
        </is>
      </c>
      <c r="KY182" s="9" t="inlineStr">
        <is>
          <t>-</t>
        </is>
      </c>
      <c r="KZ182" s="9" t="inlineStr">
        <is>
          <t>-</t>
        </is>
      </c>
      <c r="LA182" s="9" t="inlineStr">
        <is>
          <t>-</t>
        </is>
      </c>
      <c r="LB182" s="9" t="inlineStr">
        <is>
          <t>-</t>
        </is>
      </c>
      <c r="LC182" s="9" t="n">
        <v>3690</v>
      </c>
      <c r="LD182" s="9" t="n">
        <v>180</v>
      </c>
      <c r="LE182" s="9" t="inlineStr">
        <is>
          <t>bags</t>
        </is>
      </c>
      <c r="LG182" s="9" t="inlineStr">
        <is>
          <t>BALANCE</t>
        </is>
      </c>
      <c r="LH182" s="9" t="inlineStr">
        <is>
          <t>-</t>
        </is>
      </c>
      <c r="LI182" s="9" t="inlineStr">
        <is>
          <t>-</t>
        </is>
      </c>
      <c r="LJ182" s="9" t="inlineStr">
        <is>
          <t>-</t>
        </is>
      </c>
      <c r="LK182" s="9" t="inlineStr">
        <is>
          <t>-</t>
        </is>
      </c>
      <c r="LL182" s="9" t="n">
        <v>4000</v>
      </c>
      <c r="LM182" s="9" t="n">
        <v>200</v>
      </c>
      <c r="LN182" s="9" t="inlineStr">
        <is>
          <t>bags</t>
        </is>
      </c>
      <c r="LP182" s="9" t="inlineStr">
        <is>
          <t>BALANCE</t>
        </is>
      </c>
      <c r="LQ182" s="9" t="inlineStr">
        <is>
          <t>-</t>
        </is>
      </c>
      <c r="LR182" s="9" t="inlineStr">
        <is>
          <t>-</t>
        </is>
      </c>
      <c r="LS182" s="9" t="inlineStr">
        <is>
          <t>-</t>
        </is>
      </c>
      <c r="LT182" s="9" t="inlineStr">
        <is>
          <t>-</t>
        </is>
      </c>
      <c r="LU182" s="9" t="n">
        <v>0</v>
      </c>
      <c r="LY182" s="9" t="inlineStr">
        <is>
          <t>BALANCE</t>
        </is>
      </c>
      <c r="LZ182" s="9" t="inlineStr">
        <is>
          <t>-</t>
        </is>
      </c>
      <c r="MA182" s="9" t="inlineStr">
        <is>
          <t>-</t>
        </is>
      </c>
      <c r="MB182" s="9" t="inlineStr">
        <is>
          <t>-</t>
        </is>
      </c>
      <c r="MC182" s="9" t="inlineStr">
        <is>
          <t>-</t>
        </is>
      </c>
      <c r="MD182" s="9" t="n">
        <v>0</v>
      </c>
      <c r="MH182" s="9" t="inlineStr">
        <is>
          <t>BALANCE</t>
        </is>
      </c>
      <c r="MI182" s="9" t="inlineStr">
        <is>
          <t>-</t>
        </is>
      </c>
      <c r="MJ182" s="9" t="inlineStr">
        <is>
          <t>-</t>
        </is>
      </c>
      <c r="MK182" s="9" t="inlineStr">
        <is>
          <t>-</t>
        </is>
      </c>
      <c r="ML182" s="9" t="inlineStr">
        <is>
          <t>-</t>
        </is>
      </c>
      <c r="MM182" s="9" t="n">
        <v>0</v>
      </c>
      <c r="MQ182" s="9" t="inlineStr">
        <is>
          <t>BALANCE</t>
        </is>
      </c>
      <c r="MR182" s="9" t="inlineStr">
        <is>
          <t>-</t>
        </is>
      </c>
      <c r="MS182" s="9" t="inlineStr">
        <is>
          <t>-</t>
        </is>
      </c>
      <c r="MT182" s="9" t="inlineStr">
        <is>
          <t>-</t>
        </is>
      </c>
      <c r="MU182" s="9" t="inlineStr">
        <is>
          <t>-</t>
        </is>
      </c>
      <c r="MV182" s="9" t="n">
        <v>3724</v>
      </c>
      <c r="MZ182" s="9" t="inlineStr">
        <is>
          <t>BALANCE</t>
        </is>
      </c>
      <c r="NA182" s="9" t="inlineStr">
        <is>
          <t>-</t>
        </is>
      </c>
      <c r="NB182" s="9" t="inlineStr">
        <is>
          <t>-</t>
        </is>
      </c>
      <c r="NC182" s="9" t="inlineStr">
        <is>
          <t>-</t>
        </is>
      </c>
      <c r="ND182" s="9" t="inlineStr">
        <is>
          <t>-</t>
        </is>
      </c>
      <c r="NE182" s="9" t="n">
        <v>0</v>
      </c>
      <c r="NI182" s="9" t="inlineStr">
        <is>
          <t>BALANCE</t>
        </is>
      </c>
      <c r="NJ182" s="9" t="inlineStr">
        <is>
          <t>-</t>
        </is>
      </c>
      <c r="NK182" s="9" t="inlineStr">
        <is>
          <t>-</t>
        </is>
      </c>
      <c r="NL182" s="9" t="inlineStr">
        <is>
          <t>-</t>
        </is>
      </c>
      <c r="NM182" s="9" t="inlineStr">
        <is>
          <t>-</t>
        </is>
      </c>
      <c r="NN182" s="9" t="n">
        <v>1127</v>
      </c>
      <c r="NR182" s="9" t="inlineStr">
        <is>
          <t>BALANCE</t>
        </is>
      </c>
      <c r="NS182" s="9" t="inlineStr">
        <is>
          <t>-</t>
        </is>
      </c>
      <c r="NT182" s="9" t="inlineStr">
        <is>
          <t>-</t>
        </is>
      </c>
      <c r="NU182" s="9" t="inlineStr">
        <is>
          <t>-</t>
        </is>
      </c>
      <c r="NV182" s="9" t="inlineStr">
        <is>
          <t>-</t>
        </is>
      </c>
      <c r="NW182" s="9" t="n">
        <v>3112</v>
      </c>
      <c r="OA182" s="9" t="inlineStr">
        <is>
          <t>BALANCE</t>
        </is>
      </c>
      <c r="OB182" s="9" t="inlineStr">
        <is>
          <t>-</t>
        </is>
      </c>
      <c r="OC182" s="9" t="inlineStr">
        <is>
          <t>-</t>
        </is>
      </c>
      <c r="OD182" s="9" t="inlineStr">
        <is>
          <t>-</t>
        </is>
      </c>
      <c r="OE182" s="9" t="inlineStr">
        <is>
          <t>-</t>
        </is>
      </c>
      <c r="OF182" s="9" t="n">
        <v>1680.5</v>
      </c>
      <c r="OJ182" s="9" t="inlineStr">
        <is>
          <t>BALANCE</t>
        </is>
      </c>
      <c r="OK182" s="9" t="inlineStr">
        <is>
          <t>-</t>
        </is>
      </c>
      <c r="OL182" s="9" t="inlineStr">
        <is>
          <t>-</t>
        </is>
      </c>
      <c r="OM182" s="9" t="inlineStr">
        <is>
          <t>-</t>
        </is>
      </c>
      <c r="ON182" s="9" t="inlineStr">
        <is>
          <t>-</t>
        </is>
      </c>
      <c r="OO182" s="9" t="n">
        <v>0</v>
      </c>
      <c r="OS182" s="9" t="inlineStr">
        <is>
          <t>BALANCE</t>
        </is>
      </c>
      <c r="OT182" s="9" t="inlineStr">
        <is>
          <t>-</t>
        </is>
      </c>
      <c r="OU182" s="9" t="inlineStr">
        <is>
          <t>-</t>
        </is>
      </c>
      <c r="OV182" s="9" t="inlineStr">
        <is>
          <t>-</t>
        </is>
      </c>
      <c r="OW182" s="9" t="inlineStr">
        <is>
          <t>-</t>
        </is>
      </c>
      <c r="OX182" s="9" t="n">
        <v>1482</v>
      </c>
      <c r="PB182" s="9" t="inlineStr">
        <is>
          <t>BALANCE</t>
        </is>
      </c>
      <c r="PC182" s="9" t="inlineStr">
        <is>
          <t>-</t>
        </is>
      </c>
      <c r="PD182" s="9" t="inlineStr">
        <is>
          <t>-</t>
        </is>
      </c>
      <c r="PE182" s="9" t="inlineStr">
        <is>
          <t>-</t>
        </is>
      </c>
      <c r="PF182" s="9" t="inlineStr">
        <is>
          <t>-</t>
        </is>
      </c>
      <c r="PG182" s="9" t="n">
        <v>0</v>
      </c>
      <c r="PK182" s="9" t="inlineStr">
        <is>
          <t>BALANCE</t>
        </is>
      </c>
      <c r="PL182" s="9" t="inlineStr">
        <is>
          <t>-</t>
        </is>
      </c>
      <c r="PM182" s="9" t="inlineStr">
        <is>
          <t>-</t>
        </is>
      </c>
      <c r="PN182" s="9" t="inlineStr">
        <is>
          <t>-</t>
        </is>
      </c>
      <c r="PO182" s="9" t="inlineStr">
        <is>
          <t>-</t>
        </is>
      </c>
      <c r="PP182" s="9" t="n">
        <v>100</v>
      </c>
      <c r="PT182" s="9" t="inlineStr">
        <is>
          <t>BALANCE</t>
        </is>
      </c>
      <c r="PU182" s="9" t="inlineStr">
        <is>
          <t>-</t>
        </is>
      </c>
      <c r="PV182" s="9" t="inlineStr">
        <is>
          <t>-</t>
        </is>
      </c>
      <c r="PW182" s="9" t="inlineStr">
        <is>
          <t>-</t>
        </is>
      </c>
      <c r="PX182" s="9" t="inlineStr">
        <is>
          <t>-</t>
        </is>
      </c>
      <c r="PY182" s="9" t="n">
        <v>13.96000000000004</v>
      </c>
      <c r="QC182" s="9" t="inlineStr">
        <is>
          <t>BALANCE</t>
        </is>
      </c>
      <c r="QD182" s="9" t="inlineStr">
        <is>
          <t>-</t>
        </is>
      </c>
      <c r="QE182" s="9" t="inlineStr">
        <is>
          <t>-</t>
        </is>
      </c>
      <c r="QF182" s="9" t="inlineStr">
        <is>
          <t>-</t>
        </is>
      </c>
      <c r="QG182" s="9" t="inlineStr">
        <is>
          <t>-</t>
        </is>
      </c>
      <c r="QH182" s="9" t="n">
        <v>108</v>
      </c>
      <c r="QL182" s="9" t="inlineStr">
        <is>
          <t>BALANCE</t>
        </is>
      </c>
      <c r="QM182" s="9" t="inlineStr">
        <is>
          <t>-</t>
        </is>
      </c>
      <c r="QN182" s="9" t="inlineStr">
        <is>
          <t>-</t>
        </is>
      </c>
      <c r="QO182" s="9" t="inlineStr">
        <is>
          <t>-</t>
        </is>
      </c>
      <c r="QP182" s="9" t="inlineStr">
        <is>
          <t>-</t>
        </is>
      </c>
      <c r="QQ182" s="9" t="n">
        <v>245</v>
      </c>
      <c r="QU182" s="9" t="inlineStr">
        <is>
          <t>BALANCE</t>
        </is>
      </c>
      <c r="QV182" s="9" t="inlineStr">
        <is>
          <t>-</t>
        </is>
      </c>
      <c r="QW182" s="9" t="inlineStr">
        <is>
          <t>-</t>
        </is>
      </c>
      <c r="QX182" s="9" t="inlineStr">
        <is>
          <t>-</t>
        </is>
      </c>
      <c r="QY182" s="9" t="inlineStr">
        <is>
          <t>-</t>
        </is>
      </c>
      <c r="QZ182" s="9" t="n">
        <v>207.6</v>
      </c>
      <c r="RD182" s="9" t="inlineStr">
        <is>
          <t>BALANCE</t>
        </is>
      </c>
      <c r="RE182" s="9" t="inlineStr">
        <is>
          <t>-</t>
        </is>
      </c>
      <c r="RF182" s="9" t="inlineStr">
        <is>
          <t>-</t>
        </is>
      </c>
      <c r="RG182" s="9" t="inlineStr">
        <is>
          <t>-</t>
        </is>
      </c>
      <c r="RH182" s="9" t="inlineStr">
        <is>
          <t>-</t>
        </is>
      </c>
      <c r="RI182" s="9" t="n">
        <v>147.04</v>
      </c>
      <c r="RM182" s="9" t="inlineStr">
        <is>
          <t>BALANCE</t>
        </is>
      </c>
      <c r="RN182" s="9" t="inlineStr">
        <is>
          <t>-</t>
        </is>
      </c>
      <c r="RO182" s="9" t="inlineStr">
        <is>
          <t>-</t>
        </is>
      </c>
      <c r="RP182" s="9" t="inlineStr">
        <is>
          <t>-</t>
        </is>
      </c>
      <c r="RQ182" s="9" t="inlineStr">
        <is>
          <t>-</t>
        </is>
      </c>
      <c r="RR182" s="9" t="n">
        <v>46.8</v>
      </c>
      <c r="RV182" s="9" t="inlineStr">
        <is>
          <t>BALANCE</t>
        </is>
      </c>
      <c r="RW182" s="9" t="inlineStr">
        <is>
          <t>-</t>
        </is>
      </c>
      <c r="RX182" s="9" t="inlineStr">
        <is>
          <t>-</t>
        </is>
      </c>
      <c r="RY182" s="9" t="inlineStr">
        <is>
          <t>-</t>
        </is>
      </c>
      <c r="RZ182" s="9" t="inlineStr">
        <is>
          <t>-</t>
        </is>
      </c>
      <c r="SA182" s="9" t="n">
        <v>0</v>
      </c>
      <c r="SE182" s="9" t="inlineStr">
        <is>
          <t>BALANCE</t>
        </is>
      </c>
      <c r="SF182" s="9" t="inlineStr">
        <is>
          <t>-</t>
        </is>
      </c>
      <c r="SG182" s="9" t="inlineStr">
        <is>
          <t>-</t>
        </is>
      </c>
      <c r="SH182" s="9" t="inlineStr">
        <is>
          <t>-</t>
        </is>
      </c>
      <c r="SI182" s="9" t="inlineStr">
        <is>
          <t>-</t>
        </is>
      </c>
      <c r="SJ182" s="9" t="n">
        <v>24.2</v>
      </c>
      <c r="SN182" s="9" t="inlineStr">
        <is>
          <t>BALANCE</t>
        </is>
      </c>
      <c r="SO182" s="9" t="inlineStr">
        <is>
          <t>-</t>
        </is>
      </c>
      <c r="SP182" s="9" t="inlineStr">
        <is>
          <t>-</t>
        </is>
      </c>
      <c r="SQ182" s="9" t="inlineStr">
        <is>
          <t>-</t>
        </is>
      </c>
      <c r="SR182" s="9" t="inlineStr">
        <is>
          <t>-</t>
        </is>
      </c>
      <c r="SS182" s="9" t="n">
        <v>32</v>
      </c>
      <c r="SW182" s="9" t="inlineStr">
        <is>
          <t>BALANCE</t>
        </is>
      </c>
      <c r="SX182" s="9" t="inlineStr">
        <is>
          <t>-</t>
        </is>
      </c>
      <c r="SY182" s="9" t="inlineStr">
        <is>
          <t>-</t>
        </is>
      </c>
      <c r="SZ182" s="9" t="inlineStr">
        <is>
          <t>-</t>
        </is>
      </c>
      <c r="TA182" s="9" t="inlineStr">
        <is>
          <t>-</t>
        </is>
      </c>
      <c r="TB182" s="9" t="n">
        <v>0</v>
      </c>
      <c r="TF182" s="9" t="inlineStr">
        <is>
          <t>BALANCE</t>
        </is>
      </c>
      <c r="TG182" s="9" t="inlineStr">
        <is>
          <t>-</t>
        </is>
      </c>
      <c r="TH182" s="9" t="inlineStr">
        <is>
          <t>-</t>
        </is>
      </c>
      <c r="TI182" s="9" t="inlineStr">
        <is>
          <t>-</t>
        </is>
      </c>
      <c r="TJ182" s="9" t="inlineStr">
        <is>
          <t>-</t>
        </is>
      </c>
      <c r="TK182" s="9" t="n">
        <v>0</v>
      </c>
      <c r="TO182" s="9" t="inlineStr">
        <is>
          <t>BALANCE</t>
        </is>
      </c>
      <c r="TP182" s="9" t="inlineStr">
        <is>
          <t>-</t>
        </is>
      </c>
      <c r="TQ182" s="9" t="inlineStr">
        <is>
          <t>-</t>
        </is>
      </c>
      <c r="TR182" s="9" t="inlineStr">
        <is>
          <t>-</t>
        </is>
      </c>
      <c r="TS182" s="9" t="inlineStr">
        <is>
          <t>-</t>
        </is>
      </c>
      <c r="TT182" s="9" t="n">
        <v>0</v>
      </c>
      <c r="TX182" s="9" t="inlineStr">
        <is>
          <t>BALANCE</t>
        </is>
      </c>
      <c r="TY182" s="9" t="inlineStr">
        <is>
          <t>-</t>
        </is>
      </c>
      <c r="TZ182" s="9" t="inlineStr">
        <is>
          <t>-</t>
        </is>
      </c>
      <c r="UA182" s="9" t="inlineStr">
        <is>
          <t>-</t>
        </is>
      </c>
      <c r="UB182" s="9" t="inlineStr">
        <is>
          <t>-</t>
        </is>
      </c>
      <c r="UC182" s="9" t="n">
        <v>135.6</v>
      </c>
      <c r="UG182" s="9" t="inlineStr">
        <is>
          <t>BALANCE</t>
        </is>
      </c>
      <c r="UH182" s="9" t="inlineStr">
        <is>
          <t>-</t>
        </is>
      </c>
      <c r="UI182" s="9" t="inlineStr">
        <is>
          <t>-</t>
        </is>
      </c>
      <c r="UJ182" s="9" t="inlineStr">
        <is>
          <t>-</t>
        </is>
      </c>
      <c r="UK182" s="9" t="inlineStr">
        <is>
          <t>-</t>
        </is>
      </c>
      <c r="UL182" s="9" t="n">
        <v>128</v>
      </c>
      <c r="UP182" s="9" t="inlineStr">
        <is>
          <t>BALANCE</t>
        </is>
      </c>
      <c r="UQ182" s="9" t="inlineStr">
        <is>
          <t>-</t>
        </is>
      </c>
      <c r="UR182" s="9" t="inlineStr">
        <is>
          <t>-</t>
        </is>
      </c>
      <c r="US182" s="9" t="inlineStr">
        <is>
          <t>-</t>
        </is>
      </c>
      <c r="UT182" s="9" t="inlineStr">
        <is>
          <t>-</t>
        </is>
      </c>
      <c r="UU182" s="9" t="n">
        <v>11.25</v>
      </c>
      <c r="UY182" s="9" t="inlineStr">
        <is>
          <t>BALANCE</t>
        </is>
      </c>
      <c r="UZ182" s="9" t="inlineStr">
        <is>
          <t>-</t>
        </is>
      </c>
      <c r="VA182" s="9" t="inlineStr">
        <is>
          <t>-</t>
        </is>
      </c>
      <c r="VB182" s="9" t="inlineStr">
        <is>
          <t>-</t>
        </is>
      </c>
      <c r="VC182" s="9" t="inlineStr">
        <is>
          <t>-</t>
        </is>
      </c>
      <c r="VD182" s="9" t="n">
        <v>41.60000000000002</v>
      </c>
      <c r="VH182" s="9" t="inlineStr">
        <is>
          <t>BALANCE</t>
        </is>
      </c>
      <c r="VI182" s="9" t="inlineStr">
        <is>
          <t>-</t>
        </is>
      </c>
      <c r="VJ182" s="9" t="inlineStr">
        <is>
          <t>-</t>
        </is>
      </c>
      <c r="VK182" s="9" t="inlineStr">
        <is>
          <t>-</t>
        </is>
      </c>
      <c r="VL182" s="9" t="inlineStr">
        <is>
          <t>-</t>
        </is>
      </c>
      <c r="VM182" s="9" t="n">
        <v>0</v>
      </c>
      <c r="VQ182" s="9" t="inlineStr">
        <is>
          <t>BALANCE</t>
        </is>
      </c>
      <c r="VR182" s="9" t="inlineStr">
        <is>
          <t>-</t>
        </is>
      </c>
      <c r="VS182" s="9" t="inlineStr">
        <is>
          <t>-</t>
        </is>
      </c>
      <c r="VT182" s="9" t="inlineStr">
        <is>
          <t>-</t>
        </is>
      </c>
      <c r="VU182" s="9" t="inlineStr">
        <is>
          <t>-</t>
        </is>
      </c>
      <c r="VV182" s="9" t="n">
        <v>0</v>
      </c>
      <c r="VZ182" s="9" t="inlineStr">
        <is>
          <t>BALANCE</t>
        </is>
      </c>
      <c r="WA182" s="9" t="inlineStr">
        <is>
          <t>-</t>
        </is>
      </c>
      <c r="WB182" s="9" t="inlineStr">
        <is>
          <t>-</t>
        </is>
      </c>
      <c r="WC182" s="9" t="inlineStr">
        <is>
          <t>-</t>
        </is>
      </c>
      <c r="WD182" s="9" t="inlineStr">
        <is>
          <t>-</t>
        </is>
      </c>
      <c r="WE182" s="9" t="n">
        <v>0</v>
      </c>
      <c r="WI182" s="9" t="inlineStr">
        <is>
          <t>BALANCE</t>
        </is>
      </c>
      <c r="WJ182" s="9" t="inlineStr">
        <is>
          <t>-</t>
        </is>
      </c>
      <c r="WK182" s="9" t="inlineStr">
        <is>
          <t>-</t>
        </is>
      </c>
      <c r="WL182" s="9" t="inlineStr">
        <is>
          <t>-</t>
        </is>
      </c>
      <c r="WM182" s="9" t="inlineStr">
        <is>
          <t>-</t>
        </is>
      </c>
      <c r="WN182" s="9" t="n">
        <v>1199</v>
      </c>
      <c r="WR182" s="9" t="inlineStr">
        <is>
          <t>BALANCE</t>
        </is>
      </c>
      <c r="WS182" s="9" t="inlineStr">
        <is>
          <t>-</t>
        </is>
      </c>
      <c r="WT182" s="9" t="inlineStr">
        <is>
          <t>-</t>
        </is>
      </c>
      <c r="WU182" s="9" t="inlineStr">
        <is>
          <t>-</t>
        </is>
      </c>
      <c r="WV182" s="9" t="inlineStr">
        <is>
          <t>-</t>
        </is>
      </c>
      <c r="WW182" s="9" t="n">
        <v>0</v>
      </c>
      <c r="XA182" s="9" t="inlineStr">
        <is>
          <t>BALANCE</t>
        </is>
      </c>
      <c r="XB182" s="9" t="inlineStr">
        <is>
          <t>-</t>
        </is>
      </c>
      <c r="XC182" s="9" t="inlineStr">
        <is>
          <t>-</t>
        </is>
      </c>
      <c r="XD182" s="9" t="inlineStr">
        <is>
          <t>-</t>
        </is>
      </c>
      <c r="XE182" s="9" t="inlineStr">
        <is>
          <t>-</t>
        </is>
      </c>
      <c r="XF182" s="9" t="n">
        <v>6813</v>
      </c>
      <c r="XJ182" s="9" t="inlineStr">
        <is>
          <t>BALANCE</t>
        </is>
      </c>
      <c r="XK182" s="9" t="inlineStr">
        <is>
          <t>-</t>
        </is>
      </c>
      <c r="XL182" s="9" t="inlineStr">
        <is>
          <t>-</t>
        </is>
      </c>
      <c r="XM182" s="9" t="inlineStr">
        <is>
          <t>-</t>
        </is>
      </c>
      <c r="XN182" s="9" t="inlineStr">
        <is>
          <t>-</t>
        </is>
      </c>
      <c r="XO182" s="9" t="n">
        <v>7824</v>
      </c>
      <c r="XS182" s="9" t="inlineStr">
        <is>
          <t>BALANCE</t>
        </is>
      </c>
      <c r="XT182" s="9" t="inlineStr">
        <is>
          <t>-</t>
        </is>
      </c>
      <c r="XU182" s="9" t="inlineStr">
        <is>
          <t>-</t>
        </is>
      </c>
      <c r="XV182" s="9" t="inlineStr">
        <is>
          <t>-</t>
        </is>
      </c>
      <c r="XW182" s="9" t="inlineStr">
        <is>
          <t>-</t>
        </is>
      </c>
      <c r="XX182" s="9" t="n">
        <v>1621</v>
      </c>
      <c r="YB182" s="9" t="inlineStr">
        <is>
          <t>BALANCE</t>
        </is>
      </c>
      <c r="YC182" s="9" t="inlineStr">
        <is>
          <t>-</t>
        </is>
      </c>
      <c r="YD182" s="9" t="inlineStr">
        <is>
          <t>-</t>
        </is>
      </c>
      <c r="YE182" s="9" t="inlineStr">
        <is>
          <t>-</t>
        </is>
      </c>
      <c r="YF182" s="9" t="inlineStr">
        <is>
          <t>-</t>
        </is>
      </c>
      <c r="YG182" s="9" t="n">
        <v>6193</v>
      </c>
      <c r="YK182" s="9" t="inlineStr">
        <is>
          <t>BALANCE</t>
        </is>
      </c>
      <c r="YL182" s="9" t="inlineStr">
        <is>
          <t>-</t>
        </is>
      </c>
      <c r="YM182" s="9" t="inlineStr">
        <is>
          <t>-</t>
        </is>
      </c>
      <c r="YN182" s="9" t="inlineStr">
        <is>
          <t>-</t>
        </is>
      </c>
      <c r="YO182" s="9" t="inlineStr">
        <is>
          <t>-</t>
        </is>
      </c>
      <c r="YP182" s="9" t="n">
        <v>0</v>
      </c>
      <c r="YT182" s="9" t="inlineStr">
        <is>
          <t>BALANCE</t>
        </is>
      </c>
      <c r="YU182" s="9" t="inlineStr">
        <is>
          <t>-</t>
        </is>
      </c>
      <c r="YV182" s="9" t="inlineStr">
        <is>
          <t>-</t>
        </is>
      </c>
      <c r="YW182" s="9" t="inlineStr">
        <is>
          <t>-</t>
        </is>
      </c>
      <c r="YX182" s="9" t="inlineStr">
        <is>
          <t>-</t>
        </is>
      </c>
      <c r="YY182" s="9" t="n">
        <v>0</v>
      </c>
      <c r="ZC182" s="9" t="inlineStr">
        <is>
          <t>BALANCE</t>
        </is>
      </c>
      <c r="ZD182" s="9" t="inlineStr">
        <is>
          <t>-</t>
        </is>
      </c>
      <c r="ZE182" s="9" t="inlineStr">
        <is>
          <t>-</t>
        </is>
      </c>
      <c r="ZF182" s="9" t="inlineStr">
        <is>
          <t>-</t>
        </is>
      </c>
      <c r="ZG182" s="9" t="inlineStr">
        <is>
          <t>-</t>
        </is>
      </c>
      <c r="ZH182" s="9" t="n">
        <v>0</v>
      </c>
      <c r="ZL182" s="9" t="inlineStr">
        <is>
          <t>BALANCE</t>
        </is>
      </c>
      <c r="ZM182" s="9" t="inlineStr">
        <is>
          <t>-</t>
        </is>
      </c>
      <c r="ZN182" s="9" t="inlineStr">
        <is>
          <t>-</t>
        </is>
      </c>
      <c r="ZO182" s="9" t="inlineStr">
        <is>
          <t>-</t>
        </is>
      </c>
      <c r="ZP182" s="9" t="inlineStr">
        <is>
          <t>-</t>
        </is>
      </c>
      <c r="ZQ182" s="9" t="n">
        <v>0</v>
      </c>
      <c r="ZU182" s="9" t="inlineStr">
        <is>
          <t>BALANCE</t>
        </is>
      </c>
      <c r="ZV182" s="9" t="inlineStr">
        <is>
          <t>-</t>
        </is>
      </c>
      <c r="ZW182" s="9" t="inlineStr">
        <is>
          <t>-</t>
        </is>
      </c>
      <c r="ZX182" s="9" t="inlineStr">
        <is>
          <t>-</t>
        </is>
      </c>
      <c r="ZY182" s="9" t="inlineStr">
        <is>
          <t>-</t>
        </is>
      </c>
      <c r="ZZ182" s="9" t="n">
        <v>0</v>
      </c>
      <c r="AAD182" s="9" t="inlineStr">
        <is>
          <t>BALANCE</t>
        </is>
      </c>
      <c r="AAE182" s="9" t="inlineStr">
        <is>
          <t>-</t>
        </is>
      </c>
      <c r="AAF182" s="9" t="inlineStr">
        <is>
          <t>-</t>
        </is>
      </c>
      <c r="AAG182" s="9" t="inlineStr">
        <is>
          <t>-</t>
        </is>
      </c>
      <c r="AAH182" s="9" t="inlineStr">
        <is>
          <t>-</t>
        </is>
      </c>
      <c r="AAI182" s="9" t="n">
        <v>0</v>
      </c>
      <c r="AAM182" s="9" t="inlineStr">
        <is>
          <t>BALANCE</t>
        </is>
      </c>
      <c r="AAN182" s="9" t="inlineStr">
        <is>
          <t>-</t>
        </is>
      </c>
      <c r="AAO182" s="9" t="inlineStr">
        <is>
          <t>-</t>
        </is>
      </c>
      <c r="AAP182" s="9" t="inlineStr">
        <is>
          <t>-</t>
        </is>
      </c>
      <c r="AAQ182" s="9" t="inlineStr">
        <is>
          <t>-</t>
        </is>
      </c>
      <c r="AAR182" s="9" t="n">
        <v>0</v>
      </c>
      <c r="AAV182" s="9" t="inlineStr">
        <is>
          <t>BALANCE</t>
        </is>
      </c>
      <c r="AAW182" s="9" t="inlineStr">
        <is>
          <t>-</t>
        </is>
      </c>
      <c r="AAX182" s="9" t="inlineStr">
        <is>
          <t>-</t>
        </is>
      </c>
      <c r="AAY182" s="9" t="inlineStr">
        <is>
          <t>-</t>
        </is>
      </c>
      <c r="AAZ182" s="9" t="inlineStr">
        <is>
          <t>-</t>
        </is>
      </c>
      <c r="ABA182" s="9" t="n">
        <v>0</v>
      </c>
      <c r="ABE182" s="9" t="inlineStr">
        <is>
          <t>BALANCE</t>
        </is>
      </c>
      <c r="ABF182" s="9" t="inlineStr">
        <is>
          <t>-</t>
        </is>
      </c>
      <c r="ABG182" s="9" t="inlineStr">
        <is>
          <t>-</t>
        </is>
      </c>
      <c r="ABH182" s="9" t="inlineStr">
        <is>
          <t>-</t>
        </is>
      </c>
      <c r="ABI182" s="9" t="inlineStr">
        <is>
          <t>-</t>
        </is>
      </c>
      <c r="ABJ182" s="9" t="n">
        <v>0</v>
      </c>
    </row>
    <row r="183">
      <c r="C183" s="10" t="n">
        <v>46174</v>
      </c>
      <c r="E183" s="9" t="n">
        <v>0</v>
      </c>
      <c r="G183" s="9" t="n">
        <v>0</v>
      </c>
      <c r="H183" s="9" t="n">
        <v>244343.4000000001</v>
      </c>
      <c r="L183" s="10" t="n">
        <v>46174</v>
      </c>
      <c r="N183" s="9" t="n">
        <v>0</v>
      </c>
      <c r="P183" s="9" t="n">
        <v>0</v>
      </c>
      <c r="Q183" s="9" t="n">
        <v>105957.2000000001</v>
      </c>
      <c r="U183" s="10" t="n">
        <v>46174</v>
      </c>
      <c r="W183" s="9" t="n">
        <v>0</v>
      </c>
      <c r="Y183" s="9" t="n">
        <v>0</v>
      </c>
      <c r="Z183" s="9" t="n">
        <v>44686.29999999997</v>
      </c>
      <c r="AD183" s="10" t="n">
        <v>46174</v>
      </c>
      <c r="AF183" s="9" t="n">
        <v>0</v>
      </c>
      <c r="AH183" s="9" t="n">
        <v>0</v>
      </c>
      <c r="AI183" s="9" t="n">
        <v>12193.40000000002</v>
      </c>
      <c r="AM183" s="10" t="n">
        <v>46174</v>
      </c>
      <c r="AO183" s="9" t="n">
        <v>0</v>
      </c>
      <c r="AQ183" s="9" t="n">
        <v>0</v>
      </c>
      <c r="AR183" s="9" t="n">
        <v>0</v>
      </c>
      <c r="AV183" s="10" t="n">
        <v>46174</v>
      </c>
      <c r="AX183" s="9" t="n">
        <v>0</v>
      </c>
      <c r="AZ183" s="9" t="n">
        <v>0</v>
      </c>
      <c r="BA183" s="9" t="n">
        <v>18566.7</v>
      </c>
      <c r="BE183" s="10" t="n">
        <v>46174</v>
      </c>
      <c r="BG183" s="9" t="n">
        <v>0</v>
      </c>
      <c r="BI183" s="9" t="n">
        <v>0</v>
      </c>
      <c r="BJ183" s="9" t="n">
        <v>34163.99999999999</v>
      </c>
      <c r="BN183" s="10" t="n">
        <v>46174</v>
      </c>
      <c r="BP183" s="9" t="n">
        <v>0</v>
      </c>
      <c r="BR183" s="9" t="n">
        <v>0</v>
      </c>
      <c r="BS183" s="9" t="n">
        <v>0</v>
      </c>
      <c r="BW183" s="10" t="n">
        <v>46174</v>
      </c>
      <c r="BY183" s="9" t="n">
        <v>0</v>
      </c>
      <c r="CA183" s="9" t="n">
        <v>0</v>
      </c>
      <c r="CB183" s="9" t="n">
        <v>5083.129999999999</v>
      </c>
      <c r="CF183" s="10" t="n">
        <v>46174</v>
      </c>
      <c r="CH183" s="9" t="n">
        <v>0</v>
      </c>
      <c r="CJ183" s="9" t="n">
        <v>0</v>
      </c>
      <c r="CK183" s="9" t="n">
        <v>0</v>
      </c>
      <c r="CO183" s="10" t="n">
        <v>46174</v>
      </c>
      <c r="CQ183" s="9" t="n">
        <v>0</v>
      </c>
      <c r="CS183" s="9" t="n">
        <v>0</v>
      </c>
      <c r="CT183" s="9" t="n">
        <v>0</v>
      </c>
      <c r="CX183" s="10" t="n">
        <v>46174</v>
      </c>
      <c r="CZ183" s="9" t="n">
        <v>0</v>
      </c>
      <c r="DB183" s="9" t="n">
        <v>0</v>
      </c>
      <c r="DC183" s="9" t="n">
        <v>19623.90000000001</v>
      </c>
      <c r="DG183" s="10" t="n">
        <v>46174</v>
      </c>
      <c r="DI183" s="9" t="n">
        <v>0</v>
      </c>
      <c r="DK183" s="9" t="n">
        <v>0</v>
      </c>
      <c r="DL183" s="9" t="n">
        <v>35234.99999999999</v>
      </c>
      <c r="DP183" s="10" t="n">
        <v>46174</v>
      </c>
      <c r="DR183" s="9" t="n">
        <v>0</v>
      </c>
      <c r="DT183" s="9" t="n">
        <v>0</v>
      </c>
      <c r="DU183" s="9" t="n">
        <v>5800</v>
      </c>
      <c r="DY183" s="10" t="n">
        <v>46174</v>
      </c>
      <c r="EA183" s="9" t="n">
        <v>0</v>
      </c>
      <c r="EC183" s="9" t="n">
        <v>0</v>
      </c>
      <c r="ED183" s="9" t="n">
        <v>0</v>
      </c>
      <c r="EH183" s="10" t="n">
        <v>46174</v>
      </c>
      <c r="EJ183" s="9" t="n">
        <v>0</v>
      </c>
      <c r="EL183" s="9" t="n">
        <v>0</v>
      </c>
      <c r="EM183" s="9" t="n">
        <v>0</v>
      </c>
      <c r="EQ183" s="10" t="n">
        <v>46174</v>
      </c>
      <c r="ES183" s="9" t="n">
        <v>0</v>
      </c>
      <c r="EU183" s="9" t="n">
        <v>0</v>
      </c>
      <c r="EV183" s="9" t="n">
        <v>0</v>
      </c>
      <c r="EZ183" s="10" t="n">
        <v>46174</v>
      </c>
      <c r="FB183" s="9" t="n">
        <v>0</v>
      </c>
      <c r="FD183" s="9" t="n">
        <v>0</v>
      </c>
      <c r="FE183" s="9" t="n">
        <v>0</v>
      </c>
      <c r="FI183" s="10" t="n">
        <v>46174</v>
      </c>
      <c r="FK183" s="9" t="n">
        <v>0</v>
      </c>
      <c r="FM183" s="9" t="n">
        <v>0</v>
      </c>
      <c r="FN183" s="9" t="n">
        <v>0</v>
      </c>
      <c r="FR183" s="10" t="n">
        <v>46174</v>
      </c>
      <c r="FT183" s="9" t="n">
        <v>0</v>
      </c>
      <c r="FV183" s="9" t="n">
        <v>0</v>
      </c>
      <c r="FW183" s="9" t="n">
        <v>4140</v>
      </c>
      <c r="GA183" s="10" t="n">
        <v>46174</v>
      </c>
      <c r="GC183" s="9" t="n">
        <v>0</v>
      </c>
      <c r="GE183" s="9" t="n">
        <v>0</v>
      </c>
      <c r="GF183" s="9" t="n">
        <v>5040</v>
      </c>
      <c r="GJ183" s="10" t="n">
        <v>46174</v>
      </c>
      <c r="GL183" s="9" t="n">
        <v>0</v>
      </c>
      <c r="GN183" s="9" t="n">
        <v>0</v>
      </c>
      <c r="GO183" s="9" t="n">
        <v>1760</v>
      </c>
      <c r="GS183" s="10" t="n">
        <v>46174</v>
      </c>
      <c r="GU183" s="9" t="n">
        <v>0</v>
      </c>
      <c r="GW183" s="9" t="n">
        <v>0</v>
      </c>
      <c r="GX183" s="9" t="n">
        <v>600</v>
      </c>
      <c r="HB183" s="10" t="n">
        <v>46174</v>
      </c>
      <c r="HD183" s="9" t="n">
        <v>0</v>
      </c>
      <c r="HF183" s="9" t="n">
        <v>0</v>
      </c>
      <c r="HG183" s="9" t="n">
        <v>3600</v>
      </c>
      <c r="HK183" s="10" t="n">
        <v>46174</v>
      </c>
      <c r="HM183" s="9" t="n">
        <v>0</v>
      </c>
      <c r="HO183" s="9" t="n">
        <v>0</v>
      </c>
      <c r="HP183" s="9" t="n">
        <v>0</v>
      </c>
      <c r="HU183" s="10" t="n">
        <v>46174</v>
      </c>
      <c r="HW183" s="9" t="n">
        <v>0</v>
      </c>
      <c r="HY183" s="9" t="n">
        <v>0</v>
      </c>
      <c r="HZ183" s="9" t="n">
        <v>6800</v>
      </c>
      <c r="ID183" s="10" t="n">
        <v>46174</v>
      </c>
      <c r="IF183" s="9" t="n">
        <v>0</v>
      </c>
      <c r="IH183" s="9" t="n">
        <v>0</v>
      </c>
      <c r="II183" s="9" t="n">
        <v>720</v>
      </c>
      <c r="IM183" s="10" t="n">
        <v>46174</v>
      </c>
      <c r="IO183" s="9" t="n">
        <v>0</v>
      </c>
      <c r="IQ183" s="9" t="n">
        <v>0</v>
      </c>
      <c r="IR183" s="9" t="n">
        <v>8140</v>
      </c>
      <c r="IV183" s="10" t="n">
        <v>46174</v>
      </c>
      <c r="IX183" s="9" t="n">
        <v>0</v>
      </c>
      <c r="IZ183" s="9" t="n">
        <v>0</v>
      </c>
      <c r="JA183" s="9" t="n">
        <v>4960</v>
      </c>
      <c r="JE183" s="10" t="n">
        <v>46174</v>
      </c>
      <c r="JG183" s="9" t="n">
        <v>0</v>
      </c>
      <c r="JI183" s="9" t="n">
        <v>0</v>
      </c>
      <c r="JJ183" s="9" t="n">
        <v>0</v>
      </c>
      <c r="JN183" s="10" t="n">
        <v>46174</v>
      </c>
      <c r="JP183" s="9" t="n">
        <v>0</v>
      </c>
      <c r="JR183" s="9" t="n">
        <v>0</v>
      </c>
      <c r="JS183" s="9" t="n">
        <v>3340</v>
      </c>
      <c r="JW183" s="10" t="n">
        <v>46174</v>
      </c>
      <c r="JY183" s="9" t="n">
        <v>0</v>
      </c>
      <c r="KA183" s="9" t="n">
        <v>0</v>
      </c>
      <c r="KB183" s="9" t="n">
        <v>2540</v>
      </c>
      <c r="KF183" s="10" t="n">
        <v>46174</v>
      </c>
      <c r="KH183" s="9" t="n">
        <v>0</v>
      </c>
      <c r="KJ183" s="9" t="n">
        <v>0</v>
      </c>
      <c r="KK183" s="9" t="n">
        <v>2359.5</v>
      </c>
      <c r="KO183" s="10" t="n">
        <v>46174</v>
      </c>
      <c r="KQ183" s="9" t="n">
        <v>0</v>
      </c>
      <c r="KS183" s="9" t="n">
        <v>0</v>
      </c>
      <c r="KT183" s="9" t="n">
        <v>1890</v>
      </c>
      <c r="KX183" s="10" t="n">
        <v>46174</v>
      </c>
      <c r="KZ183" s="9" t="n">
        <v>0</v>
      </c>
      <c r="LB183" s="9" t="n">
        <v>0</v>
      </c>
      <c r="LC183" s="9" t="n">
        <v>3690</v>
      </c>
      <c r="LG183" s="10" t="n">
        <v>46174</v>
      </c>
      <c r="LI183" s="9" t="n">
        <v>0</v>
      </c>
      <c r="LK183" s="9" t="n">
        <v>0</v>
      </c>
      <c r="LL183" s="9" t="n">
        <v>4000</v>
      </c>
      <c r="LP183" s="10" t="n">
        <v>46174</v>
      </c>
      <c r="LR183" s="9" t="n">
        <v>0</v>
      </c>
      <c r="LT183" s="9" t="n">
        <v>0</v>
      </c>
      <c r="LU183" s="9" t="n">
        <v>0</v>
      </c>
      <c r="LY183" s="10" t="n">
        <v>46174</v>
      </c>
      <c r="MA183" s="9" t="n">
        <v>0</v>
      </c>
      <c r="MC183" s="9" t="n">
        <v>0</v>
      </c>
      <c r="MD183" s="9" t="n">
        <v>0</v>
      </c>
      <c r="MH183" s="10" t="n">
        <v>46174</v>
      </c>
      <c r="MJ183" s="9" t="n">
        <v>0</v>
      </c>
      <c r="ML183" s="9" t="n">
        <v>0</v>
      </c>
      <c r="MM183" s="9" t="n">
        <v>0</v>
      </c>
      <c r="MQ183" s="10" t="n">
        <v>46174</v>
      </c>
      <c r="MS183" s="9" t="n">
        <v>0</v>
      </c>
      <c r="MU183" s="9" t="n">
        <v>0</v>
      </c>
      <c r="MV183" s="9" t="n">
        <v>3724</v>
      </c>
      <c r="MZ183" s="10" t="n">
        <v>46174</v>
      </c>
      <c r="NB183" s="9" t="n">
        <v>0</v>
      </c>
      <c r="ND183" s="9" t="n">
        <v>0</v>
      </c>
      <c r="NE183" s="9" t="n">
        <v>0</v>
      </c>
      <c r="NI183" s="10" t="n">
        <v>46174</v>
      </c>
      <c r="NK183" s="9" t="n">
        <v>0</v>
      </c>
      <c r="NM183" s="9" t="n">
        <v>0</v>
      </c>
      <c r="NN183" s="9" t="n">
        <v>1127</v>
      </c>
      <c r="NR183" s="10" t="n">
        <v>46174</v>
      </c>
      <c r="NT183" s="9" t="n">
        <v>0</v>
      </c>
      <c r="NV183" s="9" t="n">
        <v>0</v>
      </c>
      <c r="NW183" s="9" t="n">
        <v>3112</v>
      </c>
      <c r="OA183" s="10" t="n">
        <v>46174</v>
      </c>
      <c r="OC183" s="9" t="n">
        <v>0</v>
      </c>
      <c r="OE183" s="9" t="n">
        <v>0</v>
      </c>
      <c r="OF183" s="9" t="n">
        <v>1680.5</v>
      </c>
      <c r="OJ183" s="10" t="n">
        <v>46174</v>
      </c>
      <c r="OL183" s="9" t="n">
        <v>0</v>
      </c>
      <c r="ON183" s="9" t="n">
        <v>0</v>
      </c>
      <c r="OO183" s="9" t="n">
        <v>0</v>
      </c>
      <c r="OS183" s="10" t="n">
        <v>46174</v>
      </c>
      <c r="OU183" s="9" t="n">
        <v>0</v>
      </c>
      <c r="OW183" s="9" t="n">
        <v>0</v>
      </c>
      <c r="OX183" s="9" t="n">
        <v>1482</v>
      </c>
      <c r="PB183" s="10" t="n">
        <v>46174</v>
      </c>
      <c r="PD183" s="9" t="n">
        <v>0</v>
      </c>
      <c r="PF183" s="9" t="n">
        <v>0</v>
      </c>
      <c r="PG183" s="9" t="n">
        <v>0</v>
      </c>
      <c r="PK183" s="10" t="n">
        <v>46174</v>
      </c>
      <c r="PM183" s="9" t="n">
        <v>0</v>
      </c>
      <c r="PO183" s="9" t="n">
        <v>0</v>
      </c>
      <c r="PP183" s="9" t="n">
        <v>100</v>
      </c>
      <c r="PT183" s="10" t="n">
        <v>46174</v>
      </c>
      <c r="PV183" s="9" t="n">
        <v>0</v>
      </c>
      <c r="PX183" s="9" t="n">
        <v>0</v>
      </c>
      <c r="PY183" s="9" t="n">
        <v>13.96000000000004</v>
      </c>
      <c r="QC183" s="10" t="n">
        <v>46174</v>
      </c>
      <c r="QE183" s="9" t="n">
        <v>0</v>
      </c>
      <c r="QG183" s="9" t="n">
        <v>0</v>
      </c>
      <c r="QH183" s="9" t="n">
        <v>108</v>
      </c>
      <c r="QL183" s="10" t="n">
        <v>46174</v>
      </c>
      <c r="QN183" s="9" t="n">
        <v>0</v>
      </c>
      <c r="QP183" s="9" t="n">
        <v>0</v>
      </c>
      <c r="QQ183" s="9" t="n">
        <v>245</v>
      </c>
      <c r="QU183" s="10" t="n">
        <v>46174</v>
      </c>
      <c r="QW183" s="9" t="n">
        <v>0</v>
      </c>
      <c r="QY183" s="9" t="n">
        <v>0</v>
      </c>
      <c r="QZ183" s="9" t="n">
        <v>207.6</v>
      </c>
      <c r="RD183" s="10" t="n">
        <v>46174</v>
      </c>
      <c r="RF183" s="9" t="n">
        <v>0</v>
      </c>
      <c r="RH183" s="9" t="n">
        <v>0</v>
      </c>
      <c r="RI183" s="9" t="n">
        <v>147.04</v>
      </c>
      <c r="RM183" s="10" t="n">
        <v>46174</v>
      </c>
      <c r="RO183" s="9" t="n">
        <v>0</v>
      </c>
      <c r="RQ183" s="9" t="n">
        <v>0</v>
      </c>
      <c r="RR183" s="9" t="n">
        <v>46.8</v>
      </c>
      <c r="RV183" s="10" t="n">
        <v>46174</v>
      </c>
      <c r="RX183" s="9" t="n">
        <v>0</v>
      </c>
      <c r="RZ183" s="9" t="n">
        <v>0</v>
      </c>
      <c r="SA183" s="9" t="n">
        <v>0</v>
      </c>
      <c r="SE183" s="10" t="n">
        <v>46174</v>
      </c>
      <c r="SG183" s="9" t="n">
        <v>0</v>
      </c>
      <c r="SI183" s="9" t="n">
        <v>0</v>
      </c>
      <c r="SJ183" s="9" t="n">
        <v>24.2</v>
      </c>
      <c r="SN183" s="10" t="n">
        <v>46174</v>
      </c>
      <c r="SP183" s="9" t="n">
        <v>0</v>
      </c>
      <c r="SR183" s="9" t="n">
        <v>0</v>
      </c>
      <c r="SS183" s="9" t="n">
        <v>32</v>
      </c>
      <c r="SW183" s="10" t="n">
        <v>46174</v>
      </c>
      <c r="SY183" s="9" t="n">
        <v>0</v>
      </c>
      <c r="TA183" s="9" t="n">
        <v>0</v>
      </c>
      <c r="TB183" s="9" t="n">
        <v>0</v>
      </c>
      <c r="TF183" s="10" t="n">
        <v>46174</v>
      </c>
      <c r="TH183" s="9" t="n">
        <v>0</v>
      </c>
      <c r="TJ183" s="9" t="n">
        <v>0</v>
      </c>
      <c r="TK183" s="9" t="n">
        <v>0</v>
      </c>
      <c r="TO183" s="10" t="n">
        <v>46174</v>
      </c>
      <c r="TQ183" s="9" t="n">
        <v>0</v>
      </c>
      <c r="TS183" s="9" t="n">
        <v>0</v>
      </c>
      <c r="TT183" s="9" t="n">
        <v>0</v>
      </c>
      <c r="TX183" s="10" t="n">
        <v>46174</v>
      </c>
      <c r="TZ183" s="9" t="n">
        <v>0</v>
      </c>
      <c r="UB183" s="9" t="n">
        <v>0</v>
      </c>
      <c r="UC183" s="9" t="n">
        <v>135.6</v>
      </c>
      <c r="UG183" s="10" t="n">
        <v>46174</v>
      </c>
      <c r="UI183" s="9" t="n">
        <v>0</v>
      </c>
      <c r="UK183" s="9" t="n">
        <v>0</v>
      </c>
      <c r="UL183" s="9" t="n">
        <v>128</v>
      </c>
      <c r="UP183" s="10" t="n">
        <v>46174</v>
      </c>
      <c r="UR183" s="9" t="n">
        <v>0</v>
      </c>
      <c r="UT183" s="9" t="n">
        <v>0</v>
      </c>
      <c r="UU183" s="9" t="n">
        <v>11.25</v>
      </c>
      <c r="UY183" s="10" t="n">
        <v>46174</v>
      </c>
      <c r="VA183" s="9" t="n">
        <v>0</v>
      </c>
      <c r="VC183" s="9" t="n">
        <v>0</v>
      </c>
      <c r="VD183" s="9" t="n">
        <v>41.60000000000002</v>
      </c>
      <c r="VH183" s="10" t="n">
        <v>46174</v>
      </c>
      <c r="VJ183" s="9" t="n">
        <v>0</v>
      </c>
      <c r="VL183" s="9" t="n">
        <v>0</v>
      </c>
      <c r="VM183" s="9" t="n">
        <v>0</v>
      </c>
      <c r="VQ183" s="10" t="n">
        <v>46174</v>
      </c>
      <c r="VS183" s="9" t="n">
        <v>0</v>
      </c>
      <c r="VU183" s="9" t="n">
        <v>0</v>
      </c>
      <c r="VV183" s="9" t="n">
        <v>0</v>
      </c>
      <c r="VZ183" s="10" t="n">
        <v>46174</v>
      </c>
      <c r="WB183" s="9" t="n">
        <v>0</v>
      </c>
      <c r="WD183" s="9" t="n">
        <v>0</v>
      </c>
      <c r="WE183" s="9" t="n">
        <v>0</v>
      </c>
      <c r="WI183" s="10" t="n">
        <v>46174</v>
      </c>
      <c r="WK183" s="9" t="n">
        <v>0</v>
      </c>
      <c r="WM183" s="9" t="n">
        <v>0</v>
      </c>
      <c r="WN183" s="9" t="n">
        <v>1199</v>
      </c>
      <c r="WR183" s="10" t="n">
        <v>46174</v>
      </c>
      <c r="WT183" s="9" t="n">
        <v>0</v>
      </c>
      <c r="WV183" s="9" t="n">
        <v>0</v>
      </c>
      <c r="WW183" s="9" t="n">
        <v>0</v>
      </c>
      <c r="XA183" s="10" t="n">
        <v>46174</v>
      </c>
      <c r="XC183" s="9" t="n">
        <v>0</v>
      </c>
      <c r="XE183" s="9" t="n">
        <v>0</v>
      </c>
      <c r="XF183" s="9" t="n">
        <v>6813</v>
      </c>
      <c r="XJ183" s="10" t="n">
        <v>46174</v>
      </c>
      <c r="XL183" s="9" t="n">
        <v>0</v>
      </c>
      <c r="XN183" s="9" t="n">
        <v>0</v>
      </c>
      <c r="XO183" s="9" t="n">
        <v>7824</v>
      </c>
      <c r="XS183" s="10" t="n">
        <v>46174</v>
      </c>
      <c r="XU183" s="9" t="n">
        <v>0</v>
      </c>
      <c r="XW183" s="9" t="n">
        <v>0</v>
      </c>
      <c r="XX183" s="9" t="n">
        <v>1621</v>
      </c>
      <c r="YB183" s="10" t="n">
        <v>46174</v>
      </c>
      <c r="YD183" s="9" t="n">
        <v>0</v>
      </c>
      <c r="YF183" s="9" t="n">
        <v>0</v>
      </c>
      <c r="YG183" s="9" t="n">
        <v>6193</v>
      </c>
      <c r="YK183" s="10" t="n">
        <v>46174</v>
      </c>
      <c r="YM183" s="9" t="n">
        <v>0</v>
      </c>
      <c r="YO183" s="9" t="n">
        <v>0</v>
      </c>
      <c r="YP183" s="9" t="n">
        <v>0</v>
      </c>
      <c r="YT183" s="10" t="n">
        <v>46174</v>
      </c>
      <c r="YV183" s="9" t="n">
        <v>0</v>
      </c>
      <c r="YX183" s="9" t="n">
        <v>0</v>
      </c>
      <c r="YY183" s="9" t="n">
        <v>0</v>
      </c>
      <c r="ZC183" s="10" t="n">
        <v>46174</v>
      </c>
      <c r="ZE183" s="9" t="n">
        <v>0</v>
      </c>
      <c r="ZG183" s="9" t="n">
        <v>0</v>
      </c>
      <c r="ZH183" s="9" t="n">
        <v>0</v>
      </c>
      <c r="ZL183" s="10" t="n">
        <v>46174</v>
      </c>
      <c r="ZN183" s="9" t="n">
        <v>0</v>
      </c>
      <c r="ZP183" s="9" t="n">
        <v>0</v>
      </c>
      <c r="ZQ183" s="9" t="n">
        <v>0</v>
      </c>
      <c r="ZU183" s="10" t="n">
        <v>46174</v>
      </c>
      <c r="ZW183" s="9" t="n">
        <v>0</v>
      </c>
      <c r="ZY183" s="9" t="n">
        <v>0</v>
      </c>
      <c r="ZZ183" s="9" t="n">
        <v>0</v>
      </c>
      <c r="AAD183" s="10" t="n">
        <v>46174</v>
      </c>
      <c r="AAF183" s="9" t="n">
        <v>0</v>
      </c>
      <c r="AAH183" s="9" t="n">
        <v>0</v>
      </c>
      <c r="AAI183" s="9" t="n">
        <v>0</v>
      </c>
      <c r="AAM183" s="10" t="n">
        <v>46174</v>
      </c>
      <c r="AAO183" s="9" t="n">
        <v>0</v>
      </c>
      <c r="AAQ183" s="9" t="n">
        <v>0</v>
      </c>
      <c r="AAR183" s="9" t="n">
        <v>0</v>
      </c>
      <c r="AAV183" s="10" t="n">
        <v>46174</v>
      </c>
      <c r="AAX183" s="9" t="n">
        <v>0</v>
      </c>
      <c r="AAZ183" s="9" t="n">
        <v>0</v>
      </c>
      <c r="ABA183" s="9" t="n">
        <v>0</v>
      </c>
      <c r="ABE183" s="10" t="n">
        <v>46174</v>
      </c>
      <c r="ABG183" s="9" t="n">
        <v>0</v>
      </c>
      <c r="ABI183" s="9" t="n">
        <v>0</v>
      </c>
      <c r="ABJ183" s="9" t="n">
        <v>0</v>
      </c>
    </row>
    <row r="184">
      <c r="B184" s="9" t="n">
        <v>16</v>
      </c>
      <c r="C184" s="10" t="n">
        <v>46175</v>
      </c>
      <c r="E184" s="9" t="n">
        <v>8926.079999999998</v>
      </c>
      <c r="F184" s="9" t="n">
        <v>8928.200000000001</v>
      </c>
      <c r="G184" s="9" t="n">
        <v>-2.120000000002619</v>
      </c>
      <c r="H184" s="9" t="n">
        <v>235415.2000000001</v>
      </c>
      <c r="I184" s="9" t="inlineStr">
        <is>
          <t>8102 16mt</t>
        </is>
      </c>
      <c r="L184" s="10" t="n">
        <v>46175</v>
      </c>
      <c r="N184" s="9" t="n">
        <v>5075.2</v>
      </c>
      <c r="O184" s="9" t="n">
        <v>5073.4</v>
      </c>
      <c r="P184" s="9" t="n">
        <v>1.800000000000182</v>
      </c>
      <c r="Q184" s="9" t="n">
        <v>100883.8000000001</v>
      </c>
      <c r="U184" s="10" t="n">
        <v>46175</v>
      </c>
      <c r="W184" s="9" t="n">
        <v>800</v>
      </c>
      <c r="X184" s="9" t="n">
        <v>799.9</v>
      </c>
      <c r="Y184" s="9" t="n">
        <v>0.1000000000000227</v>
      </c>
      <c r="Z184" s="9" t="n">
        <v>43886.39999999997</v>
      </c>
      <c r="AD184" s="10" t="n">
        <v>46175</v>
      </c>
      <c r="AF184" s="9" t="n">
        <v>0</v>
      </c>
      <c r="AH184" s="9" t="n">
        <v>0</v>
      </c>
      <c r="AI184" s="9" t="n">
        <v>12193.40000000002</v>
      </c>
      <c r="AM184" s="10" t="n">
        <v>46175</v>
      </c>
      <c r="AO184" s="9" t="n">
        <v>0</v>
      </c>
      <c r="AQ184" s="9" t="n">
        <v>0</v>
      </c>
      <c r="AR184" s="9" t="n">
        <v>0</v>
      </c>
      <c r="AV184" s="10" t="n">
        <v>46175</v>
      </c>
      <c r="AX184" s="9" t="n">
        <v>0</v>
      </c>
      <c r="AZ184" s="9" t="n">
        <v>0</v>
      </c>
      <c r="BA184" s="9" t="n">
        <v>18566.7</v>
      </c>
      <c r="BE184" s="10" t="n">
        <v>46175</v>
      </c>
      <c r="BG184" s="9" t="n">
        <v>312</v>
      </c>
      <c r="BH184" s="9" t="n">
        <v>312.1</v>
      </c>
      <c r="BI184" s="9" t="n">
        <v>-0.1000000000000227</v>
      </c>
      <c r="BJ184" s="9" t="n">
        <v>33851.89999999999</v>
      </c>
      <c r="BN184" s="10" t="n">
        <v>46175</v>
      </c>
      <c r="BO184" s="9" t="n">
        <v>376</v>
      </c>
      <c r="BP184" s="9" t="n">
        <v>376</v>
      </c>
      <c r="BQ184" s="9" t="n">
        <v>376</v>
      </c>
      <c r="BR184" s="9" t="n">
        <v>0</v>
      </c>
      <c r="BS184" s="9" t="n">
        <v>0</v>
      </c>
      <c r="BW184" s="10" t="n">
        <v>46175</v>
      </c>
      <c r="BY184" s="9" t="n">
        <v>0</v>
      </c>
      <c r="CA184" s="9" t="n">
        <v>0</v>
      </c>
      <c r="CB184" s="9" t="n">
        <v>5083.129999999999</v>
      </c>
      <c r="CF184" s="10" t="n">
        <v>46175</v>
      </c>
      <c r="CH184" s="9" t="n">
        <v>102.72</v>
      </c>
      <c r="CJ184" s="9" t="n">
        <v>102.72</v>
      </c>
      <c r="CK184" s="9" t="n">
        <v>0</v>
      </c>
      <c r="CO184" s="10" t="n">
        <v>46175</v>
      </c>
      <c r="CQ184" s="9" t="n">
        <v>0</v>
      </c>
      <c r="CS184" s="9" t="n">
        <v>0</v>
      </c>
      <c r="CT184" s="9" t="n">
        <v>0</v>
      </c>
      <c r="CX184" s="10" t="n">
        <v>46175</v>
      </c>
      <c r="CZ184" s="9" t="n">
        <v>0</v>
      </c>
      <c r="DB184" s="9" t="n">
        <v>0</v>
      </c>
      <c r="DC184" s="9" t="n">
        <v>19623.90000000001</v>
      </c>
      <c r="DG184" s="10" t="n">
        <v>46175</v>
      </c>
      <c r="DI184" s="9" t="n">
        <v>0</v>
      </c>
      <c r="DK184" s="9" t="n">
        <v>0</v>
      </c>
      <c r="DL184" s="9" t="n">
        <v>35234.99999999999</v>
      </c>
      <c r="DP184" s="10" t="n">
        <v>46175</v>
      </c>
      <c r="DR184" s="9" t="n">
        <v>0</v>
      </c>
      <c r="DT184" s="9" t="n">
        <v>0</v>
      </c>
      <c r="DU184" s="9" t="n">
        <v>5800</v>
      </c>
      <c r="DY184" s="10" t="n">
        <v>46175</v>
      </c>
      <c r="EA184" s="9" t="n">
        <v>0</v>
      </c>
      <c r="EC184" s="9" t="n">
        <v>0</v>
      </c>
      <c r="ED184" s="9" t="n">
        <v>0</v>
      </c>
      <c r="EH184" s="10" t="n">
        <v>46175</v>
      </c>
      <c r="EJ184" s="9" t="n">
        <v>0</v>
      </c>
      <c r="EL184" s="9" t="n">
        <v>0</v>
      </c>
      <c r="EM184" s="9" t="n">
        <v>0</v>
      </c>
      <c r="EQ184" s="10" t="n">
        <v>46175</v>
      </c>
      <c r="ES184" s="9" t="n">
        <v>0</v>
      </c>
      <c r="EU184" s="9" t="n">
        <v>0</v>
      </c>
      <c r="EV184" s="9" t="n">
        <v>0</v>
      </c>
      <c r="EZ184" s="10" t="n">
        <v>46175</v>
      </c>
      <c r="FB184" s="9" t="n">
        <v>0</v>
      </c>
      <c r="FD184" s="9" t="n">
        <v>0</v>
      </c>
      <c r="FE184" s="9" t="n">
        <v>0</v>
      </c>
      <c r="FI184" s="10" t="n">
        <v>46175</v>
      </c>
      <c r="FK184" s="9" t="n">
        <v>0</v>
      </c>
      <c r="FM184" s="9" t="n">
        <v>0</v>
      </c>
      <c r="FN184" s="9" t="n">
        <v>0</v>
      </c>
      <c r="FR184" s="10" t="n">
        <v>46175</v>
      </c>
      <c r="FT184" s="9" t="n">
        <v>0</v>
      </c>
      <c r="FV184" s="9" t="n">
        <v>0</v>
      </c>
      <c r="FW184" s="9" t="n">
        <v>4140</v>
      </c>
      <c r="GA184" s="10" t="n">
        <v>46175</v>
      </c>
      <c r="GC184" s="9" t="n">
        <v>0</v>
      </c>
      <c r="GE184" s="9" t="n">
        <v>0</v>
      </c>
      <c r="GF184" s="9" t="n">
        <v>5040</v>
      </c>
      <c r="GJ184" s="10" t="n">
        <v>46175</v>
      </c>
      <c r="GL184" s="9" t="n">
        <v>0</v>
      </c>
      <c r="GN184" s="9" t="n">
        <v>0</v>
      </c>
      <c r="GO184" s="9" t="n">
        <v>1760</v>
      </c>
      <c r="GS184" s="10" t="n">
        <v>46175</v>
      </c>
      <c r="GU184" s="9" t="n">
        <v>0</v>
      </c>
      <c r="GW184" s="9" t="n">
        <v>0</v>
      </c>
      <c r="GX184" s="9" t="n">
        <v>600</v>
      </c>
      <c r="HB184" s="10" t="n">
        <v>46175</v>
      </c>
      <c r="HD184" s="9" t="n">
        <v>0</v>
      </c>
      <c r="HF184" s="9" t="n">
        <v>0</v>
      </c>
      <c r="HG184" s="9" t="n">
        <v>3600</v>
      </c>
      <c r="HK184" s="10" t="n">
        <v>46175</v>
      </c>
      <c r="HM184" s="9" t="n">
        <v>0</v>
      </c>
      <c r="HO184" s="9" t="n">
        <v>0</v>
      </c>
      <c r="HP184" s="9" t="n">
        <v>0</v>
      </c>
      <c r="HU184" s="10" t="n">
        <v>46175</v>
      </c>
      <c r="HW184" s="9" t="n">
        <v>0</v>
      </c>
      <c r="HY184" s="9" t="n">
        <v>0</v>
      </c>
      <c r="HZ184" s="9" t="n">
        <v>6800</v>
      </c>
      <c r="ID184" s="10" t="n">
        <v>46175</v>
      </c>
      <c r="IF184" s="9" t="n">
        <v>0</v>
      </c>
      <c r="IH184" s="9" t="n">
        <v>0</v>
      </c>
      <c r="II184" s="9" t="n">
        <v>720</v>
      </c>
      <c r="IM184" s="10" t="n">
        <v>46175</v>
      </c>
      <c r="IO184" s="9" t="n">
        <v>0</v>
      </c>
      <c r="IQ184" s="9" t="n">
        <v>0</v>
      </c>
      <c r="IR184" s="9" t="n">
        <v>8140</v>
      </c>
      <c r="IV184" s="10" t="n">
        <v>46175</v>
      </c>
      <c r="IX184" s="9" t="n">
        <v>0</v>
      </c>
      <c r="IZ184" s="9" t="n">
        <v>0</v>
      </c>
      <c r="JA184" s="9" t="n">
        <v>4960</v>
      </c>
      <c r="JE184" s="10" t="n">
        <v>46175</v>
      </c>
      <c r="JG184" s="9" t="n">
        <v>0</v>
      </c>
      <c r="JI184" s="9" t="n">
        <v>0</v>
      </c>
      <c r="JJ184" s="9" t="n">
        <v>0</v>
      </c>
      <c r="JN184" s="10" t="n">
        <v>46175</v>
      </c>
      <c r="JP184" s="9" t="n">
        <v>320</v>
      </c>
      <c r="JR184" s="9" t="n">
        <v>320</v>
      </c>
      <c r="JS184" s="9" t="n">
        <v>3340</v>
      </c>
      <c r="JW184" s="10" t="n">
        <v>46175</v>
      </c>
      <c r="JY184" s="9" t="n">
        <v>0</v>
      </c>
      <c r="KA184" s="9" t="n">
        <v>0</v>
      </c>
      <c r="KB184" s="9" t="n">
        <v>2540</v>
      </c>
      <c r="KF184" s="10" t="n">
        <v>46175</v>
      </c>
      <c r="KH184" s="9" t="n">
        <v>0</v>
      </c>
      <c r="KJ184" s="9" t="n">
        <v>0</v>
      </c>
      <c r="KK184" s="9" t="n">
        <v>2359.5</v>
      </c>
      <c r="KO184" s="10" t="n">
        <v>46175</v>
      </c>
      <c r="KQ184" s="9" t="n">
        <v>0</v>
      </c>
      <c r="KS184" s="9" t="n">
        <v>0</v>
      </c>
      <c r="KT184" s="9" t="n">
        <v>1890</v>
      </c>
      <c r="KX184" s="10" t="n">
        <v>46175</v>
      </c>
      <c r="KZ184" s="9" t="n">
        <v>0</v>
      </c>
      <c r="LB184" s="9" t="n">
        <v>0</v>
      </c>
      <c r="LC184" s="9" t="n">
        <v>3690</v>
      </c>
      <c r="LG184" s="10" t="n">
        <v>46175</v>
      </c>
      <c r="LI184" s="9" t="n">
        <v>0</v>
      </c>
      <c r="LK184" s="9" t="n">
        <v>0</v>
      </c>
      <c r="LL184" s="9" t="n">
        <v>4000</v>
      </c>
      <c r="LP184" s="10" t="n">
        <v>46175</v>
      </c>
      <c r="LR184" s="9" t="n">
        <v>0</v>
      </c>
      <c r="LT184" s="9" t="n">
        <v>0</v>
      </c>
      <c r="LU184" s="9" t="n">
        <v>0</v>
      </c>
      <c r="LY184" s="10" t="n">
        <v>46175</v>
      </c>
      <c r="MA184" s="9" t="n">
        <v>0</v>
      </c>
      <c r="MC184" s="9" t="n">
        <v>0</v>
      </c>
      <c r="MD184" s="9" t="n">
        <v>0</v>
      </c>
      <c r="MH184" s="10" t="n">
        <v>46175</v>
      </c>
      <c r="MJ184" s="9" t="n">
        <v>0</v>
      </c>
      <c r="ML184" s="9" t="n">
        <v>0</v>
      </c>
      <c r="MM184" s="9" t="n">
        <v>0</v>
      </c>
      <c r="MQ184" s="10" t="n">
        <v>46175</v>
      </c>
      <c r="MS184" s="9" t="n">
        <v>0</v>
      </c>
      <c r="MU184" s="9" t="n">
        <v>0</v>
      </c>
      <c r="MV184" s="9" t="n">
        <v>3724</v>
      </c>
      <c r="MZ184" s="10" t="n">
        <v>46175</v>
      </c>
      <c r="NB184" s="9" t="n">
        <v>48</v>
      </c>
      <c r="ND184" s="9" t="n">
        <v>48</v>
      </c>
      <c r="NE184" s="9" t="n">
        <v>0</v>
      </c>
      <c r="NI184" s="10" t="n">
        <v>46175</v>
      </c>
      <c r="NK184" s="9" t="n">
        <v>0</v>
      </c>
      <c r="NM184" s="9" t="n">
        <v>0</v>
      </c>
      <c r="NN184" s="9" t="n">
        <v>1127</v>
      </c>
      <c r="NR184" s="10" t="n">
        <v>46175</v>
      </c>
      <c r="NT184" s="9" t="n">
        <v>0</v>
      </c>
      <c r="NV184" s="9" t="n">
        <v>0</v>
      </c>
      <c r="NW184" s="9" t="n">
        <v>3112</v>
      </c>
      <c r="OA184" s="10" t="n">
        <v>46175</v>
      </c>
      <c r="OC184" s="9" t="n">
        <v>0</v>
      </c>
      <c r="OE184" s="9" t="n">
        <v>0</v>
      </c>
      <c r="OF184" s="9" t="n">
        <v>1680.5</v>
      </c>
      <c r="OJ184" s="10" t="n">
        <v>46175</v>
      </c>
      <c r="OL184" s="9" t="n">
        <v>0</v>
      </c>
      <c r="ON184" s="9" t="n">
        <v>0</v>
      </c>
      <c r="OO184" s="9" t="n">
        <v>0</v>
      </c>
      <c r="OS184" s="10" t="n">
        <v>46175</v>
      </c>
      <c r="OU184" s="9" t="n">
        <v>0</v>
      </c>
      <c r="OW184" s="9" t="n">
        <v>0</v>
      </c>
      <c r="OX184" s="9" t="n">
        <v>1482</v>
      </c>
      <c r="PB184" s="10" t="n">
        <v>46175</v>
      </c>
      <c r="PD184" s="9" t="n">
        <v>0</v>
      </c>
      <c r="PF184" s="9" t="n">
        <v>0</v>
      </c>
      <c r="PG184" s="9" t="n">
        <v>0</v>
      </c>
      <c r="PK184" s="10" t="n">
        <v>46175</v>
      </c>
      <c r="PM184" s="9" t="n">
        <v>0</v>
      </c>
      <c r="PO184" s="9" t="n">
        <v>0</v>
      </c>
      <c r="PP184" s="9" t="n">
        <v>100</v>
      </c>
      <c r="PT184" s="10" t="n">
        <v>46175</v>
      </c>
      <c r="PV184" s="9" t="n">
        <v>0</v>
      </c>
      <c r="PX184" s="9" t="n">
        <v>0</v>
      </c>
      <c r="PY184" s="9" t="n">
        <v>13.96000000000004</v>
      </c>
      <c r="QC184" s="10" t="n">
        <v>46175</v>
      </c>
      <c r="QE184" s="9" t="n">
        <v>0</v>
      </c>
      <c r="QG184" s="9" t="n">
        <v>0</v>
      </c>
      <c r="QH184" s="9" t="n">
        <v>108</v>
      </c>
      <c r="QL184" s="10" t="n">
        <v>46175</v>
      </c>
      <c r="QN184" s="9" t="n">
        <v>40</v>
      </c>
      <c r="QP184" s="9" t="n">
        <v>40</v>
      </c>
      <c r="QQ184" s="9" t="n">
        <v>245</v>
      </c>
      <c r="QU184" s="10" t="n">
        <v>46175</v>
      </c>
      <c r="QW184" s="9" t="n">
        <v>0</v>
      </c>
      <c r="QY184" s="9" t="n">
        <v>0</v>
      </c>
      <c r="QZ184" s="9" t="n">
        <v>207.6</v>
      </c>
      <c r="RD184" s="10" t="n">
        <v>46175</v>
      </c>
      <c r="RF184" s="9" t="n">
        <v>0</v>
      </c>
      <c r="RH184" s="9" t="n">
        <v>0</v>
      </c>
      <c r="RI184" s="9" t="n">
        <v>147.04</v>
      </c>
      <c r="RM184" s="10" t="n">
        <v>46175</v>
      </c>
      <c r="RO184" s="9" t="n">
        <v>0</v>
      </c>
      <c r="RQ184" s="9" t="n">
        <v>0</v>
      </c>
      <c r="RR184" s="9" t="n">
        <v>46.8</v>
      </c>
      <c r="RV184" s="10" t="n">
        <v>46175</v>
      </c>
      <c r="RX184" s="9" t="n">
        <v>0</v>
      </c>
      <c r="RZ184" s="9" t="n">
        <v>0</v>
      </c>
      <c r="SA184" s="9" t="n">
        <v>0</v>
      </c>
      <c r="SE184" s="10" t="n">
        <v>46175</v>
      </c>
      <c r="SG184" s="9" t="n">
        <v>0</v>
      </c>
      <c r="SI184" s="9" t="n">
        <v>0</v>
      </c>
      <c r="SJ184" s="9" t="n">
        <v>24.2</v>
      </c>
      <c r="SN184" s="10" t="n">
        <v>46175</v>
      </c>
      <c r="SP184" s="9" t="n">
        <v>0</v>
      </c>
      <c r="SR184" s="9" t="n">
        <v>0</v>
      </c>
      <c r="SS184" s="9" t="n">
        <v>32</v>
      </c>
      <c r="SW184" s="10" t="n">
        <v>46175</v>
      </c>
      <c r="SY184" s="9" t="n">
        <v>0</v>
      </c>
      <c r="TA184" s="9" t="n">
        <v>0</v>
      </c>
      <c r="TB184" s="9" t="n">
        <v>0</v>
      </c>
      <c r="TF184" s="10" t="n">
        <v>46175</v>
      </c>
      <c r="TH184" s="9" t="n">
        <v>0</v>
      </c>
      <c r="TJ184" s="9" t="n">
        <v>0</v>
      </c>
      <c r="TK184" s="9" t="n">
        <v>0</v>
      </c>
      <c r="TO184" s="10" t="n">
        <v>46175</v>
      </c>
      <c r="TQ184" s="9" t="n">
        <v>0</v>
      </c>
      <c r="TS184" s="9" t="n">
        <v>0</v>
      </c>
      <c r="TT184" s="9" t="n">
        <v>0</v>
      </c>
      <c r="TX184" s="10" t="n">
        <v>46175</v>
      </c>
      <c r="TZ184" s="9" t="n">
        <v>0</v>
      </c>
      <c r="UB184" s="9" t="n">
        <v>0</v>
      </c>
      <c r="UC184" s="9" t="n">
        <v>135.6</v>
      </c>
      <c r="UG184" s="10" t="n">
        <v>46175</v>
      </c>
      <c r="UI184" s="9" t="n">
        <v>0</v>
      </c>
      <c r="UK184" s="9" t="n">
        <v>0</v>
      </c>
      <c r="UL184" s="9" t="n">
        <v>128</v>
      </c>
      <c r="UP184" s="10" t="n">
        <v>46175</v>
      </c>
      <c r="UR184" s="9" t="n">
        <v>0</v>
      </c>
      <c r="UT184" s="9" t="n">
        <v>0</v>
      </c>
      <c r="UU184" s="9" t="n">
        <v>11.25</v>
      </c>
      <c r="UY184" s="10" t="n">
        <v>46175</v>
      </c>
      <c r="VA184" s="9" t="n">
        <v>0</v>
      </c>
      <c r="VC184" s="9" t="n">
        <v>0</v>
      </c>
      <c r="VD184" s="9" t="n">
        <v>41.60000000000002</v>
      </c>
      <c r="VH184" s="10" t="n">
        <v>46175</v>
      </c>
      <c r="VJ184" s="9" t="n">
        <v>0</v>
      </c>
      <c r="VL184" s="9" t="n">
        <v>0</v>
      </c>
      <c r="VM184" s="9" t="n">
        <v>0</v>
      </c>
      <c r="VQ184" s="10" t="n">
        <v>46175</v>
      </c>
      <c r="VS184" s="9" t="n">
        <v>40</v>
      </c>
      <c r="VU184" s="9" t="n">
        <v>40</v>
      </c>
      <c r="VV184" s="9" t="n">
        <v>0</v>
      </c>
      <c r="VZ184" s="10" t="n">
        <v>46175</v>
      </c>
      <c r="WB184" s="9" t="n">
        <v>40</v>
      </c>
      <c r="WD184" s="9" t="n">
        <v>40</v>
      </c>
      <c r="WE184" s="9" t="n">
        <v>0</v>
      </c>
      <c r="WI184" s="10" t="n">
        <v>46175</v>
      </c>
      <c r="WK184" s="9" t="n">
        <v>0</v>
      </c>
      <c r="WM184" s="9" t="n">
        <v>0</v>
      </c>
      <c r="WN184" s="9" t="n">
        <v>1199</v>
      </c>
      <c r="WR184" s="10" t="n">
        <v>46175</v>
      </c>
      <c r="WT184" s="9" t="n">
        <v>0</v>
      </c>
      <c r="WV184" s="9" t="n">
        <v>0</v>
      </c>
      <c r="WW184" s="9" t="n">
        <v>0</v>
      </c>
      <c r="XA184" s="10" t="n">
        <v>46175</v>
      </c>
      <c r="XC184" s="9" t="n">
        <v>0</v>
      </c>
      <c r="XE184" s="9" t="n">
        <v>0</v>
      </c>
      <c r="XF184" s="9" t="n">
        <v>6813</v>
      </c>
      <c r="XJ184" s="10" t="n">
        <v>46175</v>
      </c>
      <c r="XL184" s="9" t="n">
        <v>0</v>
      </c>
      <c r="XN184" s="9" t="n">
        <v>0</v>
      </c>
      <c r="XO184" s="9" t="n">
        <v>7824</v>
      </c>
      <c r="XS184" s="10" t="n">
        <v>46175</v>
      </c>
      <c r="XU184" s="9" t="n">
        <v>0</v>
      </c>
      <c r="XW184" s="9" t="n">
        <v>0</v>
      </c>
      <c r="XX184" s="9" t="n">
        <v>1621</v>
      </c>
      <c r="YB184" s="10" t="n">
        <v>46175</v>
      </c>
      <c r="YD184" s="9" t="n">
        <v>0</v>
      </c>
      <c r="YF184" s="9" t="n">
        <v>0</v>
      </c>
      <c r="YG184" s="9" t="n">
        <v>6193</v>
      </c>
      <c r="YK184" s="10" t="n">
        <v>46175</v>
      </c>
      <c r="YM184" s="9" t="n">
        <v>0</v>
      </c>
      <c r="YO184" s="9" t="n">
        <v>0</v>
      </c>
      <c r="YP184" s="9" t="n">
        <v>0</v>
      </c>
      <c r="YT184" s="10" t="n">
        <v>46175</v>
      </c>
      <c r="YV184" s="9" t="n">
        <v>40</v>
      </c>
      <c r="YX184" s="9" t="n">
        <v>40</v>
      </c>
      <c r="YY184" s="9" t="n">
        <v>0</v>
      </c>
      <c r="ZC184" s="10" t="n">
        <v>46175</v>
      </c>
      <c r="ZE184" s="9" t="n">
        <v>40</v>
      </c>
      <c r="ZG184" s="9" t="n">
        <v>40</v>
      </c>
      <c r="ZH184" s="9" t="n">
        <v>0</v>
      </c>
      <c r="ZL184" s="10" t="n">
        <v>46175</v>
      </c>
      <c r="ZN184" s="9" t="n">
        <v>40</v>
      </c>
      <c r="ZP184" s="9" t="n">
        <v>40</v>
      </c>
      <c r="ZQ184" s="9" t="n">
        <v>0</v>
      </c>
      <c r="ZU184" s="10" t="n">
        <v>46175</v>
      </c>
      <c r="ZW184" s="9" t="n">
        <v>40</v>
      </c>
      <c r="ZY184" s="9" t="n">
        <v>40</v>
      </c>
      <c r="ZZ184" s="9" t="n">
        <v>0</v>
      </c>
      <c r="AAD184" s="10" t="n">
        <v>46175</v>
      </c>
      <c r="AAF184" s="9" t="n">
        <v>40</v>
      </c>
      <c r="AAH184" s="9" t="n">
        <v>40</v>
      </c>
      <c r="AAI184" s="9" t="n">
        <v>0</v>
      </c>
      <c r="AAM184" s="10" t="n">
        <v>46175</v>
      </c>
      <c r="AAO184" s="9" t="n">
        <v>40</v>
      </c>
      <c r="AAQ184" s="9" t="n">
        <v>40</v>
      </c>
      <c r="AAR184" s="9" t="n">
        <v>0</v>
      </c>
      <c r="AAV184" s="10" t="n">
        <v>46175</v>
      </c>
      <c r="AAX184" s="9" t="n">
        <v>40</v>
      </c>
      <c r="AAZ184" s="9" t="n">
        <v>40</v>
      </c>
      <c r="ABA184" s="9" t="n">
        <v>0</v>
      </c>
      <c r="ABE184" s="10" t="n">
        <v>46175</v>
      </c>
      <c r="ABG184" s="9" t="n">
        <v>40</v>
      </c>
      <c r="ABI184" s="9" t="n">
        <v>40</v>
      </c>
      <c r="ABJ184" s="9" t="n">
        <v>0</v>
      </c>
    </row>
    <row r="185">
      <c r="B185" s="9" t="n">
        <v>20</v>
      </c>
      <c r="C185" s="10" t="n">
        <v>46176</v>
      </c>
      <c r="E185" s="9" t="n">
        <v>11157.6</v>
      </c>
      <c r="F185" s="9" t="n">
        <v>11153.4</v>
      </c>
      <c r="G185" s="9" t="n">
        <v>4.199999999998909</v>
      </c>
      <c r="H185" s="9" t="n">
        <v>224261.8000000001</v>
      </c>
      <c r="I185" s="9" t="inlineStr">
        <is>
          <t>8102 20mt</t>
        </is>
      </c>
      <c r="L185" s="10" t="n">
        <v>46176</v>
      </c>
      <c r="N185" s="9" t="n">
        <v>6344</v>
      </c>
      <c r="O185" s="9" t="n">
        <v>6344.6</v>
      </c>
      <c r="P185" s="9" t="n">
        <v>-0.6000000000003638</v>
      </c>
      <c r="Q185" s="9" t="n">
        <v>94539.20000000007</v>
      </c>
      <c r="U185" s="10" t="n">
        <v>46176</v>
      </c>
      <c r="W185" s="9" t="n">
        <v>1000</v>
      </c>
      <c r="X185" s="9" t="n">
        <v>1001.5</v>
      </c>
      <c r="Y185" s="9" t="n">
        <v>-1.5</v>
      </c>
      <c r="Z185" s="9" t="n">
        <v>42884.89999999997</v>
      </c>
      <c r="AD185" s="10" t="n">
        <v>46176</v>
      </c>
      <c r="AF185" s="9" t="n">
        <v>0</v>
      </c>
      <c r="AH185" s="9" t="n">
        <v>0</v>
      </c>
      <c r="AI185" s="9" t="n">
        <v>12193.40000000002</v>
      </c>
      <c r="AM185" s="10" t="n">
        <v>46176</v>
      </c>
      <c r="AO185" s="9" t="n">
        <v>0</v>
      </c>
      <c r="AQ185" s="9" t="n">
        <v>0</v>
      </c>
      <c r="AR185" s="9" t="n">
        <v>0</v>
      </c>
      <c r="AV185" s="10" t="n">
        <v>46176</v>
      </c>
      <c r="AX185" s="9" t="n">
        <v>0</v>
      </c>
      <c r="AZ185" s="9" t="n">
        <v>0</v>
      </c>
      <c r="BA185" s="9" t="n">
        <v>18566.7</v>
      </c>
      <c r="BE185" s="10" t="n">
        <v>46176</v>
      </c>
      <c r="BG185" s="9" t="n">
        <v>390</v>
      </c>
      <c r="BH185" s="9" t="n">
        <v>391.2</v>
      </c>
      <c r="BI185" s="9" t="n">
        <v>-1.199999999999989</v>
      </c>
      <c r="BJ185" s="9" t="n">
        <v>33460.7</v>
      </c>
      <c r="BN185" s="10" t="n">
        <v>46176</v>
      </c>
      <c r="BO185" s="9" t="n">
        <v>470.1</v>
      </c>
      <c r="BP185" s="9" t="n">
        <v>470</v>
      </c>
      <c r="BQ185" s="9" t="n">
        <v>470.1</v>
      </c>
      <c r="BR185" s="9" t="n">
        <v>-0.1000000000000227</v>
      </c>
      <c r="BS185" s="9" t="n">
        <v>0</v>
      </c>
      <c r="BW185" s="10" t="n">
        <v>46176</v>
      </c>
      <c r="BY185" s="9" t="n">
        <v>0</v>
      </c>
      <c r="CA185" s="9" t="n">
        <v>0</v>
      </c>
      <c r="CB185" s="9" t="n">
        <v>5083.129999999999</v>
      </c>
      <c r="CF185" s="10" t="n">
        <v>46176</v>
      </c>
      <c r="CH185" s="9" t="n">
        <v>128.4</v>
      </c>
      <c r="CJ185" s="9" t="n">
        <v>128.4</v>
      </c>
      <c r="CK185" s="9" t="n">
        <v>0</v>
      </c>
      <c r="CO185" s="10" t="n">
        <v>46176</v>
      </c>
      <c r="CQ185" s="9" t="n">
        <v>0</v>
      </c>
      <c r="CS185" s="9" t="n">
        <v>0</v>
      </c>
      <c r="CT185" s="9" t="n">
        <v>0</v>
      </c>
      <c r="CX185" s="10" t="n">
        <v>46176</v>
      </c>
      <c r="CZ185" s="9" t="n">
        <v>0</v>
      </c>
      <c r="DB185" s="9" t="n">
        <v>0</v>
      </c>
      <c r="DC185" s="9" t="n">
        <v>19623.90000000001</v>
      </c>
      <c r="DG185" s="10" t="n">
        <v>46176</v>
      </c>
      <c r="DI185" s="9" t="n">
        <v>0</v>
      </c>
      <c r="DK185" s="9" t="n">
        <v>0</v>
      </c>
      <c r="DL185" s="9" t="n">
        <v>35234.99999999999</v>
      </c>
      <c r="DP185" s="10" t="n">
        <v>46176</v>
      </c>
      <c r="DR185" s="9" t="n">
        <v>0</v>
      </c>
      <c r="DT185" s="9" t="n">
        <v>0</v>
      </c>
      <c r="DU185" s="9" t="n">
        <v>5800</v>
      </c>
      <c r="DY185" s="10" t="n">
        <v>46176</v>
      </c>
      <c r="EA185" s="9" t="n">
        <v>0</v>
      </c>
      <c r="EC185" s="9" t="n">
        <v>0</v>
      </c>
      <c r="ED185" s="9" t="n">
        <v>0</v>
      </c>
      <c r="EH185" s="10" t="n">
        <v>46176</v>
      </c>
      <c r="EJ185" s="9" t="n">
        <v>0</v>
      </c>
      <c r="EL185" s="9" t="n">
        <v>0</v>
      </c>
      <c r="EM185" s="9" t="n">
        <v>0</v>
      </c>
      <c r="EQ185" s="10" t="n">
        <v>46176</v>
      </c>
      <c r="ES185" s="9" t="n">
        <v>0</v>
      </c>
      <c r="EU185" s="9" t="n">
        <v>0</v>
      </c>
      <c r="EV185" s="9" t="n">
        <v>0</v>
      </c>
      <c r="EZ185" s="10" t="n">
        <v>46176</v>
      </c>
      <c r="FB185" s="9" t="n">
        <v>0</v>
      </c>
      <c r="FD185" s="9" t="n">
        <v>0</v>
      </c>
      <c r="FE185" s="9" t="n">
        <v>0</v>
      </c>
      <c r="FI185" s="10" t="n">
        <v>46176</v>
      </c>
      <c r="FK185" s="9" t="n">
        <v>0</v>
      </c>
      <c r="FM185" s="9" t="n">
        <v>0</v>
      </c>
      <c r="FN185" s="9" t="n">
        <v>0</v>
      </c>
      <c r="FR185" s="10" t="n">
        <v>46176</v>
      </c>
      <c r="FT185" s="9" t="n">
        <v>0</v>
      </c>
      <c r="FV185" s="9" t="n">
        <v>0</v>
      </c>
      <c r="FW185" s="9" t="n">
        <v>4140</v>
      </c>
      <c r="GA185" s="10" t="n">
        <v>46176</v>
      </c>
      <c r="GC185" s="9" t="n">
        <v>0</v>
      </c>
      <c r="GE185" s="9" t="n">
        <v>0</v>
      </c>
      <c r="GF185" s="9" t="n">
        <v>5040</v>
      </c>
      <c r="GJ185" s="10" t="n">
        <v>46176</v>
      </c>
      <c r="GL185" s="9" t="n">
        <v>0</v>
      </c>
      <c r="GN185" s="9" t="n">
        <v>0</v>
      </c>
      <c r="GO185" s="9" t="n">
        <v>1760</v>
      </c>
      <c r="GS185" s="10" t="n">
        <v>46176</v>
      </c>
      <c r="GU185" s="9" t="n">
        <v>0</v>
      </c>
      <c r="GW185" s="9" t="n">
        <v>0</v>
      </c>
      <c r="GX185" s="9" t="n">
        <v>600</v>
      </c>
      <c r="HB185" s="10" t="n">
        <v>46176</v>
      </c>
      <c r="HD185" s="9" t="n">
        <v>0</v>
      </c>
      <c r="HF185" s="9" t="n">
        <v>0</v>
      </c>
      <c r="HG185" s="9" t="n">
        <v>3600</v>
      </c>
      <c r="HK185" s="10" t="n">
        <v>46176</v>
      </c>
      <c r="HM185" s="9" t="n">
        <v>0</v>
      </c>
      <c r="HO185" s="9" t="n">
        <v>0</v>
      </c>
      <c r="HP185" s="9" t="n">
        <v>0</v>
      </c>
      <c r="HU185" s="10" t="n">
        <v>46176</v>
      </c>
      <c r="HW185" s="9" t="n">
        <v>0</v>
      </c>
      <c r="HY185" s="9" t="n">
        <v>0</v>
      </c>
      <c r="HZ185" s="9" t="n">
        <v>6800</v>
      </c>
      <c r="ID185" s="10" t="n">
        <v>46176</v>
      </c>
      <c r="IF185" s="9" t="n">
        <v>0</v>
      </c>
      <c r="IH185" s="9" t="n">
        <v>0</v>
      </c>
      <c r="II185" s="9" t="n">
        <v>720</v>
      </c>
      <c r="IM185" s="10" t="n">
        <v>46176</v>
      </c>
      <c r="IO185" s="9" t="n">
        <v>0</v>
      </c>
      <c r="IQ185" s="9" t="n">
        <v>0</v>
      </c>
      <c r="IR185" s="9" t="n">
        <v>8140</v>
      </c>
      <c r="IV185" s="10" t="n">
        <v>46176</v>
      </c>
      <c r="IX185" s="9" t="n">
        <v>0</v>
      </c>
      <c r="IZ185" s="9" t="n">
        <v>0</v>
      </c>
      <c r="JA185" s="9" t="n">
        <v>4960</v>
      </c>
      <c r="JE185" s="10" t="n">
        <v>46176</v>
      </c>
      <c r="JG185" s="9" t="n">
        <v>0</v>
      </c>
      <c r="JI185" s="9" t="n">
        <v>0</v>
      </c>
      <c r="JJ185" s="9" t="n">
        <v>0</v>
      </c>
      <c r="JN185" s="10" t="n">
        <v>46176</v>
      </c>
      <c r="JP185" s="9" t="n">
        <v>400</v>
      </c>
      <c r="JR185" s="9" t="n">
        <v>400</v>
      </c>
      <c r="JS185" s="9" t="n">
        <v>3340</v>
      </c>
      <c r="JW185" s="10" t="n">
        <v>46176</v>
      </c>
      <c r="JY185" s="9" t="n">
        <v>0</v>
      </c>
      <c r="KA185" s="9" t="n">
        <v>0</v>
      </c>
      <c r="KB185" s="9" t="n">
        <v>2540</v>
      </c>
      <c r="KF185" s="10" t="n">
        <v>46176</v>
      </c>
      <c r="KH185" s="9" t="n">
        <v>0</v>
      </c>
      <c r="KJ185" s="9" t="n">
        <v>0</v>
      </c>
      <c r="KK185" s="9" t="n">
        <v>2359.5</v>
      </c>
      <c r="KO185" s="10" t="n">
        <v>46176</v>
      </c>
      <c r="KQ185" s="9" t="n">
        <v>0</v>
      </c>
      <c r="KS185" s="9" t="n">
        <v>0</v>
      </c>
      <c r="KT185" s="9" t="n">
        <v>1890</v>
      </c>
      <c r="KX185" s="10" t="n">
        <v>46176</v>
      </c>
      <c r="KZ185" s="9" t="n">
        <v>0</v>
      </c>
      <c r="LB185" s="9" t="n">
        <v>0</v>
      </c>
      <c r="LC185" s="9" t="n">
        <v>3690</v>
      </c>
      <c r="LG185" s="10" t="n">
        <v>46176</v>
      </c>
      <c r="LI185" s="9" t="n">
        <v>0</v>
      </c>
      <c r="LK185" s="9" t="n">
        <v>0</v>
      </c>
      <c r="LL185" s="9" t="n">
        <v>4000</v>
      </c>
      <c r="LP185" s="10" t="n">
        <v>46176</v>
      </c>
      <c r="LR185" s="9" t="n">
        <v>0</v>
      </c>
      <c r="LT185" s="9" t="n">
        <v>0</v>
      </c>
      <c r="LU185" s="9" t="n">
        <v>0</v>
      </c>
      <c r="LY185" s="10" t="n">
        <v>46176</v>
      </c>
      <c r="MA185" s="9" t="n">
        <v>0</v>
      </c>
      <c r="MC185" s="9" t="n">
        <v>0</v>
      </c>
      <c r="MD185" s="9" t="n">
        <v>0</v>
      </c>
      <c r="MH185" s="10" t="n">
        <v>46176</v>
      </c>
      <c r="MJ185" s="9" t="n">
        <v>0</v>
      </c>
      <c r="ML185" s="9" t="n">
        <v>0</v>
      </c>
      <c r="MM185" s="9" t="n">
        <v>0</v>
      </c>
      <c r="MQ185" s="10" t="n">
        <v>46176</v>
      </c>
      <c r="MS185" s="9" t="n">
        <v>0</v>
      </c>
      <c r="MU185" s="9" t="n">
        <v>0</v>
      </c>
      <c r="MV185" s="9" t="n">
        <v>3724</v>
      </c>
      <c r="MZ185" s="10" t="n">
        <v>46176</v>
      </c>
      <c r="NB185" s="9" t="n">
        <v>60</v>
      </c>
      <c r="ND185" s="9" t="n">
        <v>60</v>
      </c>
      <c r="NE185" s="9" t="n">
        <v>0</v>
      </c>
      <c r="NI185" s="10" t="n">
        <v>46176</v>
      </c>
      <c r="NK185" s="9" t="n">
        <v>0</v>
      </c>
      <c r="NM185" s="9" t="n">
        <v>0</v>
      </c>
      <c r="NN185" s="9" t="n">
        <v>1127</v>
      </c>
      <c r="NR185" s="10" t="n">
        <v>46176</v>
      </c>
      <c r="NT185" s="9" t="n">
        <v>0</v>
      </c>
      <c r="NV185" s="9" t="n">
        <v>0</v>
      </c>
      <c r="NW185" s="9" t="n">
        <v>3112</v>
      </c>
      <c r="OA185" s="10" t="n">
        <v>46176</v>
      </c>
      <c r="OC185" s="9" t="n">
        <v>0</v>
      </c>
      <c r="OE185" s="9" t="n">
        <v>0</v>
      </c>
      <c r="OF185" s="9" t="n">
        <v>1680.5</v>
      </c>
      <c r="OJ185" s="10" t="n">
        <v>46176</v>
      </c>
      <c r="OL185" s="9" t="n">
        <v>0</v>
      </c>
      <c r="ON185" s="9" t="n">
        <v>0</v>
      </c>
      <c r="OO185" s="9" t="n">
        <v>0</v>
      </c>
      <c r="OS185" s="10" t="n">
        <v>46176</v>
      </c>
      <c r="OU185" s="9" t="n">
        <v>0</v>
      </c>
      <c r="OW185" s="9" t="n">
        <v>0</v>
      </c>
      <c r="OX185" s="9" t="n">
        <v>1482</v>
      </c>
      <c r="PB185" s="10" t="n">
        <v>46176</v>
      </c>
      <c r="PD185" s="9" t="n">
        <v>0</v>
      </c>
      <c r="PF185" s="9" t="n">
        <v>0</v>
      </c>
      <c r="PG185" s="9" t="n">
        <v>0</v>
      </c>
      <c r="PK185" s="10" t="n">
        <v>46176</v>
      </c>
      <c r="PM185" s="9" t="n">
        <v>0</v>
      </c>
      <c r="PO185" s="9" t="n">
        <v>0</v>
      </c>
      <c r="PP185" s="9" t="n">
        <v>100</v>
      </c>
      <c r="PT185" s="10" t="n">
        <v>46176</v>
      </c>
      <c r="PV185" s="9" t="n">
        <v>0</v>
      </c>
      <c r="PX185" s="9" t="n">
        <v>0</v>
      </c>
      <c r="PY185" s="9" t="n">
        <v>13.96000000000004</v>
      </c>
      <c r="QC185" s="10" t="n">
        <v>46176</v>
      </c>
      <c r="QE185" s="9" t="n">
        <v>0</v>
      </c>
      <c r="QG185" s="9" t="n">
        <v>0</v>
      </c>
      <c r="QH185" s="9" t="n">
        <v>108</v>
      </c>
      <c r="QL185" s="10" t="n">
        <v>46176</v>
      </c>
      <c r="QN185" s="9" t="n">
        <v>50</v>
      </c>
      <c r="QP185" s="9" t="n">
        <v>50</v>
      </c>
      <c r="QQ185" s="9" t="n">
        <v>245</v>
      </c>
      <c r="QU185" s="10" t="n">
        <v>46176</v>
      </c>
      <c r="QW185" s="9" t="n">
        <v>0</v>
      </c>
      <c r="QY185" s="9" t="n">
        <v>0</v>
      </c>
      <c r="QZ185" s="9" t="n">
        <v>207.6</v>
      </c>
      <c r="RD185" s="10" t="n">
        <v>46176</v>
      </c>
      <c r="RF185" s="9" t="n">
        <v>0</v>
      </c>
      <c r="RH185" s="9" t="n">
        <v>0</v>
      </c>
      <c r="RI185" s="9" t="n">
        <v>147.04</v>
      </c>
      <c r="RM185" s="10" t="n">
        <v>46176</v>
      </c>
      <c r="RO185" s="9" t="n">
        <v>0</v>
      </c>
      <c r="RQ185" s="9" t="n">
        <v>0</v>
      </c>
      <c r="RR185" s="9" t="n">
        <v>46.8</v>
      </c>
      <c r="RV185" s="10" t="n">
        <v>46176</v>
      </c>
      <c r="RX185" s="9" t="n">
        <v>0</v>
      </c>
      <c r="RZ185" s="9" t="n">
        <v>0</v>
      </c>
      <c r="SA185" s="9" t="n">
        <v>0</v>
      </c>
      <c r="SE185" s="10" t="n">
        <v>46176</v>
      </c>
      <c r="SG185" s="9" t="n">
        <v>0</v>
      </c>
      <c r="SI185" s="9" t="n">
        <v>0</v>
      </c>
      <c r="SJ185" s="9" t="n">
        <v>24.2</v>
      </c>
      <c r="SN185" s="10" t="n">
        <v>46176</v>
      </c>
      <c r="SP185" s="9" t="n">
        <v>0</v>
      </c>
      <c r="SR185" s="9" t="n">
        <v>0</v>
      </c>
      <c r="SS185" s="9" t="n">
        <v>32</v>
      </c>
      <c r="SW185" s="10" t="n">
        <v>46176</v>
      </c>
      <c r="SY185" s="9" t="n">
        <v>0</v>
      </c>
      <c r="TA185" s="9" t="n">
        <v>0</v>
      </c>
      <c r="TB185" s="9" t="n">
        <v>0</v>
      </c>
      <c r="TF185" s="10" t="n">
        <v>46176</v>
      </c>
      <c r="TH185" s="9" t="n">
        <v>0</v>
      </c>
      <c r="TJ185" s="9" t="n">
        <v>0</v>
      </c>
      <c r="TK185" s="9" t="n">
        <v>0</v>
      </c>
      <c r="TO185" s="10" t="n">
        <v>46176</v>
      </c>
      <c r="TQ185" s="9" t="n">
        <v>0</v>
      </c>
      <c r="TS185" s="9" t="n">
        <v>0</v>
      </c>
      <c r="TT185" s="9" t="n">
        <v>0</v>
      </c>
      <c r="TX185" s="10" t="n">
        <v>46176</v>
      </c>
      <c r="TZ185" s="9" t="n">
        <v>0</v>
      </c>
      <c r="UB185" s="9" t="n">
        <v>0</v>
      </c>
      <c r="UC185" s="9" t="n">
        <v>135.6</v>
      </c>
      <c r="UG185" s="10" t="n">
        <v>46176</v>
      </c>
      <c r="UI185" s="9" t="n">
        <v>0</v>
      </c>
      <c r="UK185" s="9" t="n">
        <v>0</v>
      </c>
      <c r="UL185" s="9" t="n">
        <v>128</v>
      </c>
      <c r="UP185" s="10" t="n">
        <v>46176</v>
      </c>
      <c r="UR185" s="9" t="n">
        <v>0</v>
      </c>
      <c r="UT185" s="9" t="n">
        <v>0</v>
      </c>
      <c r="UU185" s="9" t="n">
        <v>11.25</v>
      </c>
      <c r="UY185" s="10" t="n">
        <v>46176</v>
      </c>
      <c r="VA185" s="9" t="n">
        <v>0</v>
      </c>
      <c r="VC185" s="9" t="n">
        <v>0</v>
      </c>
      <c r="VD185" s="9" t="n">
        <v>41.60000000000002</v>
      </c>
      <c r="VH185" s="10" t="n">
        <v>46176</v>
      </c>
      <c r="VJ185" s="9" t="n">
        <v>0</v>
      </c>
      <c r="VL185" s="9" t="n">
        <v>0</v>
      </c>
      <c r="VM185" s="9" t="n">
        <v>0</v>
      </c>
      <c r="VQ185" s="10" t="n">
        <v>46176</v>
      </c>
      <c r="VS185" s="9" t="n">
        <v>50</v>
      </c>
      <c r="VU185" s="9" t="n">
        <v>50</v>
      </c>
      <c r="VV185" s="9" t="n">
        <v>0</v>
      </c>
      <c r="VZ185" s="10" t="n">
        <v>46176</v>
      </c>
      <c r="WB185" s="9" t="n">
        <v>50</v>
      </c>
      <c r="WD185" s="9" t="n">
        <v>50</v>
      </c>
      <c r="WE185" s="9" t="n">
        <v>0</v>
      </c>
      <c r="WI185" s="10" t="n">
        <v>46176</v>
      </c>
      <c r="WK185" s="9" t="n">
        <v>0</v>
      </c>
      <c r="WM185" s="9" t="n">
        <v>0</v>
      </c>
      <c r="WN185" s="9" t="n">
        <v>1199</v>
      </c>
      <c r="WR185" s="10" t="n">
        <v>46176</v>
      </c>
      <c r="WT185" s="9" t="n">
        <v>0</v>
      </c>
      <c r="WV185" s="9" t="n">
        <v>0</v>
      </c>
      <c r="WW185" s="9" t="n">
        <v>0</v>
      </c>
      <c r="XA185" s="10" t="n">
        <v>46176</v>
      </c>
      <c r="XC185" s="9" t="n">
        <v>0</v>
      </c>
      <c r="XE185" s="9" t="n">
        <v>0</v>
      </c>
      <c r="XF185" s="9" t="n">
        <v>6813</v>
      </c>
      <c r="XJ185" s="10" t="n">
        <v>46176</v>
      </c>
      <c r="XL185" s="9" t="n">
        <v>0</v>
      </c>
      <c r="XN185" s="9" t="n">
        <v>0</v>
      </c>
      <c r="XO185" s="9" t="n">
        <v>7824</v>
      </c>
      <c r="XS185" s="10" t="n">
        <v>46176</v>
      </c>
      <c r="XU185" s="9" t="n">
        <v>0</v>
      </c>
      <c r="XW185" s="9" t="n">
        <v>0</v>
      </c>
      <c r="XX185" s="9" t="n">
        <v>1621</v>
      </c>
      <c r="YB185" s="10" t="n">
        <v>46176</v>
      </c>
      <c r="YD185" s="9" t="n">
        <v>0</v>
      </c>
      <c r="YE185" s="9" t="n">
        <v>318</v>
      </c>
      <c r="YF185" s="9" t="n">
        <v>-318</v>
      </c>
      <c r="YG185" s="9" t="n">
        <v>5875</v>
      </c>
      <c r="YK185" s="10" t="n">
        <v>46176</v>
      </c>
      <c r="YM185" s="9" t="n">
        <v>0</v>
      </c>
      <c r="YO185" s="9" t="n">
        <v>0</v>
      </c>
      <c r="YP185" s="9" t="n">
        <v>0</v>
      </c>
      <c r="YT185" s="10" t="n">
        <v>46176</v>
      </c>
      <c r="YV185" s="9" t="n">
        <v>50</v>
      </c>
      <c r="YX185" s="9" t="n">
        <v>50</v>
      </c>
      <c r="YY185" s="9" t="n">
        <v>0</v>
      </c>
      <c r="ZC185" s="10" t="n">
        <v>46176</v>
      </c>
      <c r="ZE185" s="9" t="n">
        <v>50</v>
      </c>
      <c r="ZG185" s="9" t="n">
        <v>50</v>
      </c>
      <c r="ZH185" s="9" t="n">
        <v>0</v>
      </c>
      <c r="ZL185" s="10" t="n">
        <v>46176</v>
      </c>
      <c r="ZN185" s="9" t="n">
        <v>50</v>
      </c>
      <c r="ZP185" s="9" t="n">
        <v>50</v>
      </c>
      <c r="ZQ185" s="9" t="n">
        <v>0</v>
      </c>
      <c r="ZU185" s="10" t="n">
        <v>46176</v>
      </c>
      <c r="ZW185" s="9" t="n">
        <v>50</v>
      </c>
      <c r="ZY185" s="9" t="n">
        <v>50</v>
      </c>
      <c r="ZZ185" s="9" t="n">
        <v>0</v>
      </c>
      <c r="AAD185" s="10" t="n">
        <v>46176</v>
      </c>
      <c r="AAF185" s="9" t="n">
        <v>50</v>
      </c>
      <c r="AAH185" s="9" t="n">
        <v>50</v>
      </c>
      <c r="AAI185" s="9" t="n">
        <v>0</v>
      </c>
      <c r="AAM185" s="10" t="n">
        <v>46176</v>
      </c>
      <c r="AAO185" s="9" t="n">
        <v>50</v>
      </c>
      <c r="AAQ185" s="9" t="n">
        <v>50</v>
      </c>
      <c r="AAR185" s="9" t="n">
        <v>0</v>
      </c>
      <c r="AAV185" s="10" t="n">
        <v>46176</v>
      </c>
      <c r="AAX185" s="9" t="n">
        <v>50</v>
      </c>
      <c r="AAZ185" s="9" t="n">
        <v>50</v>
      </c>
      <c r="ABA185" s="9" t="n">
        <v>0</v>
      </c>
      <c r="ABE185" s="10" t="n">
        <v>46176</v>
      </c>
      <c r="ABG185" s="9" t="n">
        <v>50</v>
      </c>
      <c r="ABI185" s="9" t="n">
        <v>50</v>
      </c>
      <c r="ABJ185" s="9" t="n">
        <v>0</v>
      </c>
    </row>
    <row r="186">
      <c r="B186" s="9" t="n">
        <v>90</v>
      </c>
      <c r="C186" s="10" t="n">
        <v>46177</v>
      </c>
      <c r="D186" s="9" t="n">
        <v>25370</v>
      </c>
      <c r="E186" s="9" t="n">
        <v>48894.55</v>
      </c>
      <c r="F186" s="9" t="n">
        <v>48895.4</v>
      </c>
      <c r="G186" s="9" t="n">
        <v>-0.8500000000058208</v>
      </c>
      <c r="H186" s="9" t="n">
        <v>200736.4000000001</v>
      </c>
      <c r="I186" s="9" t="inlineStr">
        <is>
          <t>8102 40mt, 5201 20mt, 5202 30mt</t>
        </is>
      </c>
      <c r="L186" s="10" t="n">
        <v>46177</v>
      </c>
      <c r="N186" s="9" t="n">
        <v>28333.95</v>
      </c>
      <c r="O186" s="9" t="n">
        <v>28335</v>
      </c>
      <c r="P186" s="9" t="n">
        <v>-1.049999999995634</v>
      </c>
      <c r="Q186" s="9" t="n">
        <v>66204.20000000007</v>
      </c>
      <c r="U186" s="10" t="n">
        <v>46177</v>
      </c>
      <c r="W186" s="9" t="n">
        <v>4800</v>
      </c>
      <c r="X186" s="9" t="n">
        <v>4801</v>
      </c>
      <c r="Y186" s="9" t="n">
        <v>-1</v>
      </c>
      <c r="Z186" s="9" t="n">
        <v>38083.89999999997</v>
      </c>
      <c r="AD186" s="10" t="n">
        <v>46177</v>
      </c>
      <c r="AF186" s="9" t="n">
        <v>0</v>
      </c>
      <c r="AH186" s="9" t="n">
        <v>0</v>
      </c>
      <c r="AI186" s="9" t="n">
        <v>12193.40000000002</v>
      </c>
      <c r="AM186" s="10" t="n">
        <v>46177</v>
      </c>
      <c r="AO186" s="9" t="n">
        <v>0</v>
      </c>
      <c r="AQ186" s="9" t="n">
        <v>0</v>
      </c>
      <c r="AR186" s="9" t="n">
        <v>0</v>
      </c>
      <c r="AV186" s="10" t="n">
        <v>46177</v>
      </c>
      <c r="AX186" s="9" t="n">
        <v>0</v>
      </c>
      <c r="AZ186" s="9" t="n">
        <v>0</v>
      </c>
      <c r="BA186" s="9" t="n">
        <v>18566.7</v>
      </c>
      <c r="BE186" s="10" t="n">
        <v>46177</v>
      </c>
      <c r="BG186" s="9" t="n">
        <v>780</v>
      </c>
      <c r="BH186" s="9" t="n">
        <v>779.2</v>
      </c>
      <c r="BI186" s="9" t="n">
        <v>0.7999999999999545</v>
      </c>
      <c r="BJ186" s="9" t="n">
        <v>32681.5</v>
      </c>
      <c r="BN186" s="10" t="n">
        <v>46177</v>
      </c>
      <c r="BO186" s="9" t="n">
        <v>1090.3</v>
      </c>
      <c r="BP186" s="9" t="n">
        <v>1090</v>
      </c>
      <c r="BQ186" s="9" t="n">
        <v>1090.3</v>
      </c>
      <c r="BR186" s="9" t="n">
        <v>-0.2999999999999545</v>
      </c>
      <c r="BS186" s="9" t="n">
        <v>0</v>
      </c>
      <c r="BW186" s="10" t="n">
        <v>46177</v>
      </c>
      <c r="BY186" s="9" t="n">
        <v>456.15</v>
      </c>
      <c r="BZ186" s="9" t="n">
        <v>235.5</v>
      </c>
      <c r="CA186" s="9" t="n">
        <v>220.65</v>
      </c>
      <c r="CB186" s="9" t="n">
        <v>4847.629999999999</v>
      </c>
      <c r="CF186" s="10" t="n">
        <v>46177</v>
      </c>
      <c r="CG186" s="9" t="n">
        <v>249.4</v>
      </c>
      <c r="CH186" s="9" t="n">
        <v>256.8</v>
      </c>
      <c r="CI186" s="9" t="n">
        <v>249.4</v>
      </c>
      <c r="CJ186" s="9" t="n">
        <v>7.400000000000006</v>
      </c>
      <c r="CK186" s="9" t="n">
        <v>0</v>
      </c>
      <c r="CO186" s="10" t="n">
        <v>46177</v>
      </c>
      <c r="CQ186" s="9" t="n">
        <v>0</v>
      </c>
      <c r="CS186" s="9" t="n">
        <v>0</v>
      </c>
      <c r="CT186" s="9" t="n">
        <v>0</v>
      </c>
      <c r="CX186" s="10" t="n">
        <v>46177</v>
      </c>
      <c r="CZ186" s="9" t="n">
        <v>1000</v>
      </c>
      <c r="DA186" s="9" t="n">
        <v>1002.4</v>
      </c>
      <c r="DB186" s="9" t="n">
        <v>-2.399999999999977</v>
      </c>
      <c r="DC186" s="9" t="n">
        <v>18621.5</v>
      </c>
      <c r="DG186" s="10" t="n">
        <v>46177</v>
      </c>
      <c r="DI186" s="9" t="n">
        <v>0</v>
      </c>
      <c r="DK186" s="9" t="n">
        <v>0</v>
      </c>
      <c r="DL186" s="9" t="n">
        <v>35234.99999999999</v>
      </c>
      <c r="DP186" s="10" t="n">
        <v>46177</v>
      </c>
      <c r="DR186" s="9" t="n">
        <v>0</v>
      </c>
      <c r="DT186" s="9" t="n">
        <v>0</v>
      </c>
      <c r="DU186" s="9" t="n">
        <v>5800</v>
      </c>
      <c r="DY186" s="10" t="n">
        <v>46177</v>
      </c>
      <c r="EA186" s="9" t="n">
        <v>0</v>
      </c>
      <c r="EC186" s="9" t="n">
        <v>0</v>
      </c>
      <c r="ED186" s="9" t="n">
        <v>0</v>
      </c>
      <c r="EH186" s="10" t="n">
        <v>46177</v>
      </c>
      <c r="EJ186" s="9" t="n">
        <v>0</v>
      </c>
      <c r="EL186" s="9" t="n">
        <v>0</v>
      </c>
      <c r="EM186" s="9" t="n">
        <v>0</v>
      </c>
      <c r="EQ186" s="10" t="n">
        <v>46177</v>
      </c>
      <c r="ES186" s="9" t="n">
        <v>0</v>
      </c>
      <c r="EU186" s="9" t="n">
        <v>0</v>
      </c>
      <c r="EV186" s="9" t="n">
        <v>0</v>
      </c>
      <c r="EZ186" s="10" t="n">
        <v>46177</v>
      </c>
      <c r="FB186" s="9" t="n">
        <v>0</v>
      </c>
      <c r="FD186" s="9" t="n">
        <v>0</v>
      </c>
      <c r="FE186" s="9" t="n">
        <v>0</v>
      </c>
      <c r="FI186" s="10" t="n">
        <v>46177</v>
      </c>
      <c r="FK186" s="9" t="n">
        <v>0</v>
      </c>
      <c r="FM186" s="9" t="n">
        <v>0</v>
      </c>
      <c r="FN186" s="9" t="n">
        <v>0</v>
      </c>
      <c r="FR186" s="10" t="n">
        <v>46177</v>
      </c>
      <c r="FT186" s="9" t="n">
        <v>0</v>
      </c>
      <c r="FV186" s="9" t="n">
        <v>0</v>
      </c>
      <c r="FW186" s="9" t="n">
        <v>4140</v>
      </c>
      <c r="GA186" s="10" t="n">
        <v>46177</v>
      </c>
      <c r="GC186" s="9" t="n">
        <v>0</v>
      </c>
      <c r="GE186" s="9" t="n">
        <v>0</v>
      </c>
      <c r="GF186" s="9" t="n">
        <v>5040</v>
      </c>
      <c r="GJ186" s="10" t="n">
        <v>46177</v>
      </c>
      <c r="GL186" s="9" t="n">
        <v>0</v>
      </c>
      <c r="GN186" s="9" t="n">
        <v>0</v>
      </c>
      <c r="GO186" s="9" t="n">
        <v>1760</v>
      </c>
      <c r="GS186" s="10" t="n">
        <v>46177</v>
      </c>
      <c r="GU186" s="9" t="n">
        <v>0</v>
      </c>
      <c r="GW186" s="9" t="n">
        <v>0</v>
      </c>
      <c r="GX186" s="9" t="n">
        <v>600</v>
      </c>
      <c r="HB186" s="10" t="n">
        <v>46177</v>
      </c>
      <c r="HD186" s="9" t="n">
        <v>0</v>
      </c>
      <c r="HF186" s="9" t="n">
        <v>0</v>
      </c>
      <c r="HG186" s="9" t="n">
        <v>3600</v>
      </c>
      <c r="HK186" s="10" t="n">
        <v>46177</v>
      </c>
      <c r="HM186" s="9" t="n">
        <v>0</v>
      </c>
      <c r="HO186" s="9" t="n">
        <v>0</v>
      </c>
      <c r="HP186" s="9" t="n">
        <v>0</v>
      </c>
      <c r="HU186" s="10" t="n">
        <v>46177</v>
      </c>
      <c r="HW186" s="9" t="n">
        <v>0</v>
      </c>
      <c r="HY186" s="9" t="n">
        <v>0</v>
      </c>
      <c r="HZ186" s="9" t="n">
        <v>6800</v>
      </c>
      <c r="ID186" s="10" t="n">
        <v>46177</v>
      </c>
      <c r="IF186" s="9" t="n">
        <v>0</v>
      </c>
      <c r="IH186" s="9" t="n">
        <v>0</v>
      </c>
      <c r="II186" s="9" t="n">
        <v>720</v>
      </c>
      <c r="IM186" s="10" t="n">
        <v>46177</v>
      </c>
      <c r="IO186" s="9" t="n">
        <v>0</v>
      </c>
      <c r="IQ186" s="9" t="n">
        <v>0</v>
      </c>
      <c r="IR186" s="9" t="n">
        <v>8140</v>
      </c>
      <c r="IV186" s="10" t="n">
        <v>46177</v>
      </c>
      <c r="IX186" s="9" t="n">
        <v>0</v>
      </c>
      <c r="IZ186" s="9" t="n">
        <v>0</v>
      </c>
      <c r="JA186" s="9" t="n">
        <v>4960</v>
      </c>
      <c r="JE186" s="10" t="n">
        <v>46177</v>
      </c>
      <c r="JG186" s="9" t="n">
        <v>0</v>
      </c>
      <c r="JI186" s="9" t="n">
        <v>0</v>
      </c>
      <c r="JJ186" s="9" t="n">
        <v>0</v>
      </c>
      <c r="JN186" s="10" t="n">
        <v>46177</v>
      </c>
      <c r="JP186" s="9" t="n">
        <v>800</v>
      </c>
      <c r="JR186" s="9" t="n">
        <v>800</v>
      </c>
      <c r="JS186" s="9" t="n">
        <v>3340</v>
      </c>
      <c r="JW186" s="10" t="n">
        <v>46177</v>
      </c>
      <c r="JY186" s="9" t="n">
        <v>0</v>
      </c>
      <c r="KA186" s="9" t="n">
        <v>0</v>
      </c>
      <c r="KB186" s="9" t="n">
        <v>2540</v>
      </c>
      <c r="KF186" s="10" t="n">
        <v>46177</v>
      </c>
      <c r="KH186" s="9" t="n">
        <v>0</v>
      </c>
      <c r="KJ186" s="9" t="n">
        <v>0</v>
      </c>
      <c r="KK186" s="9" t="n">
        <v>2359.5</v>
      </c>
      <c r="KO186" s="10" t="n">
        <v>46177</v>
      </c>
      <c r="KQ186" s="9" t="n">
        <v>0</v>
      </c>
      <c r="KS186" s="9" t="n">
        <v>0</v>
      </c>
      <c r="KT186" s="9" t="n">
        <v>1890</v>
      </c>
      <c r="KX186" s="10" t="n">
        <v>46177</v>
      </c>
      <c r="KZ186" s="9" t="n">
        <v>0</v>
      </c>
      <c r="LB186" s="9" t="n">
        <v>0</v>
      </c>
      <c r="LC186" s="9" t="n">
        <v>3690</v>
      </c>
      <c r="LG186" s="10" t="n">
        <v>46177</v>
      </c>
      <c r="LI186" s="9" t="n">
        <v>0</v>
      </c>
      <c r="LK186" s="9" t="n">
        <v>0</v>
      </c>
      <c r="LL186" s="9" t="n">
        <v>4000</v>
      </c>
      <c r="LP186" s="10" t="n">
        <v>46177</v>
      </c>
      <c r="LR186" s="9" t="n">
        <v>0</v>
      </c>
      <c r="LT186" s="9" t="n">
        <v>0</v>
      </c>
      <c r="LU186" s="9" t="n">
        <v>0</v>
      </c>
      <c r="LY186" s="10" t="n">
        <v>46177</v>
      </c>
      <c r="MA186" s="9" t="n">
        <v>0</v>
      </c>
      <c r="MC186" s="9" t="n">
        <v>0</v>
      </c>
      <c r="MD186" s="9" t="n">
        <v>0</v>
      </c>
      <c r="MH186" s="10" t="n">
        <v>46177</v>
      </c>
      <c r="MJ186" s="9" t="n">
        <v>0</v>
      </c>
      <c r="ML186" s="9" t="n">
        <v>0</v>
      </c>
      <c r="MM186" s="9" t="n">
        <v>0</v>
      </c>
      <c r="MQ186" s="10" t="n">
        <v>46177</v>
      </c>
      <c r="MS186" s="9" t="n">
        <v>0</v>
      </c>
      <c r="MU186" s="9" t="n">
        <v>0</v>
      </c>
      <c r="MV186" s="9" t="n">
        <v>3724</v>
      </c>
      <c r="MZ186" s="10" t="n">
        <v>46177</v>
      </c>
      <c r="NA186" s="9" t="n">
        <v>240</v>
      </c>
      <c r="NB186" s="9" t="n">
        <v>120</v>
      </c>
      <c r="NC186" s="9" t="n">
        <v>240</v>
      </c>
      <c r="ND186" s="9" t="n">
        <v>-120</v>
      </c>
      <c r="NE186" s="9" t="n">
        <v>0</v>
      </c>
      <c r="NI186" s="10" t="n">
        <v>46177</v>
      </c>
      <c r="NK186" s="9" t="n">
        <v>0</v>
      </c>
      <c r="NM186" s="9" t="n">
        <v>0</v>
      </c>
      <c r="NN186" s="9" t="n">
        <v>1127</v>
      </c>
      <c r="NR186" s="10" t="n">
        <v>46177</v>
      </c>
      <c r="NT186" s="9" t="n">
        <v>0</v>
      </c>
      <c r="NV186" s="9" t="n">
        <v>0</v>
      </c>
      <c r="NW186" s="9" t="n">
        <v>3112</v>
      </c>
      <c r="OA186" s="10" t="n">
        <v>46177</v>
      </c>
      <c r="OC186" s="9" t="n">
        <v>0</v>
      </c>
      <c r="OE186" s="9" t="n">
        <v>0</v>
      </c>
      <c r="OF186" s="9" t="n">
        <v>1680.5</v>
      </c>
      <c r="OJ186" s="10" t="n">
        <v>46177</v>
      </c>
      <c r="OK186" s="9" t="n">
        <v>56</v>
      </c>
      <c r="OL186" s="9" t="n">
        <v>0</v>
      </c>
      <c r="OM186" s="9" t="n">
        <v>56</v>
      </c>
      <c r="ON186" s="9" t="n">
        <v>-56</v>
      </c>
      <c r="OO186" s="9" t="n">
        <v>0</v>
      </c>
      <c r="OS186" s="10" t="n">
        <v>46177</v>
      </c>
      <c r="OU186" s="9" t="n">
        <v>0</v>
      </c>
      <c r="OW186" s="9" t="n">
        <v>0</v>
      </c>
      <c r="OX186" s="9" t="n">
        <v>1482</v>
      </c>
      <c r="PB186" s="10" t="n">
        <v>46177</v>
      </c>
      <c r="PD186" s="9" t="n">
        <v>0</v>
      </c>
      <c r="PF186" s="9" t="n">
        <v>0</v>
      </c>
      <c r="PG186" s="9" t="n">
        <v>0</v>
      </c>
      <c r="PK186" s="10" t="n">
        <v>46177</v>
      </c>
      <c r="PM186" s="9" t="n">
        <v>0</v>
      </c>
      <c r="PO186" s="9" t="n">
        <v>0</v>
      </c>
      <c r="PP186" s="9" t="n">
        <v>100</v>
      </c>
      <c r="PT186" s="10" t="n">
        <v>46177</v>
      </c>
      <c r="PV186" s="9" t="n">
        <v>0</v>
      </c>
      <c r="PX186" s="9" t="n">
        <v>0</v>
      </c>
      <c r="PY186" s="9" t="n">
        <v>13.96000000000004</v>
      </c>
      <c r="QC186" s="10" t="n">
        <v>46177</v>
      </c>
      <c r="QE186" s="9" t="n">
        <v>0</v>
      </c>
      <c r="QG186" s="9" t="n">
        <v>0</v>
      </c>
      <c r="QH186" s="9" t="n">
        <v>108</v>
      </c>
      <c r="QL186" s="10" t="n">
        <v>46177</v>
      </c>
      <c r="QM186" s="9" t="n">
        <v>625</v>
      </c>
      <c r="QN186" s="9" t="n">
        <v>100</v>
      </c>
      <c r="QP186" s="9" t="n">
        <v>100</v>
      </c>
      <c r="QQ186" s="9" t="n">
        <v>870</v>
      </c>
      <c r="QU186" s="10" t="n">
        <v>46177</v>
      </c>
      <c r="QW186" s="9" t="n">
        <v>0</v>
      </c>
      <c r="QY186" s="9" t="n">
        <v>0</v>
      </c>
      <c r="QZ186" s="9" t="n">
        <v>207.6</v>
      </c>
      <c r="RD186" s="10" t="n">
        <v>46177</v>
      </c>
      <c r="RF186" s="9" t="n">
        <v>0</v>
      </c>
      <c r="RH186" s="9" t="n">
        <v>0</v>
      </c>
      <c r="RI186" s="9" t="n">
        <v>147.04</v>
      </c>
      <c r="RM186" s="10" t="n">
        <v>46177</v>
      </c>
      <c r="RO186" s="9" t="n">
        <v>0</v>
      </c>
      <c r="RQ186" s="9" t="n">
        <v>0</v>
      </c>
      <c r="RR186" s="9" t="n">
        <v>46.8</v>
      </c>
      <c r="RV186" s="10" t="n">
        <v>46177</v>
      </c>
      <c r="RX186" s="9" t="n">
        <v>0</v>
      </c>
      <c r="RZ186" s="9" t="n">
        <v>0</v>
      </c>
      <c r="SA186" s="9" t="n">
        <v>0</v>
      </c>
      <c r="SE186" s="10" t="n">
        <v>46177</v>
      </c>
      <c r="SG186" s="9" t="n">
        <v>0</v>
      </c>
      <c r="SI186" s="9" t="n">
        <v>0</v>
      </c>
      <c r="SJ186" s="9" t="n">
        <v>24.2</v>
      </c>
      <c r="SN186" s="10" t="n">
        <v>46177</v>
      </c>
      <c r="SP186" s="9" t="n">
        <v>0</v>
      </c>
      <c r="SR186" s="9" t="n">
        <v>0</v>
      </c>
      <c r="SS186" s="9" t="n">
        <v>32</v>
      </c>
      <c r="SW186" s="10" t="n">
        <v>46177</v>
      </c>
      <c r="SY186" s="9" t="n">
        <v>0</v>
      </c>
      <c r="TA186" s="9" t="n">
        <v>0</v>
      </c>
      <c r="TB186" s="9" t="n">
        <v>0</v>
      </c>
      <c r="TF186" s="10" t="n">
        <v>46177</v>
      </c>
      <c r="TH186" s="9" t="n">
        <v>0</v>
      </c>
      <c r="TJ186" s="9" t="n">
        <v>0</v>
      </c>
      <c r="TK186" s="9" t="n">
        <v>0</v>
      </c>
      <c r="TO186" s="10" t="n">
        <v>46177</v>
      </c>
      <c r="TP186" s="9" t="n">
        <v>82.40000000000001</v>
      </c>
      <c r="TQ186" s="9" t="n">
        <v>0</v>
      </c>
      <c r="TS186" s="9" t="n">
        <v>0</v>
      </c>
      <c r="TT186" s="9" t="n">
        <v>82.40000000000001</v>
      </c>
      <c r="TX186" s="10" t="n">
        <v>46177</v>
      </c>
      <c r="TY186" s="9" t="n">
        <v>33.6</v>
      </c>
      <c r="TZ186" s="9" t="n">
        <v>0</v>
      </c>
      <c r="UB186" s="9" t="n">
        <v>0</v>
      </c>
      <c r="UC186" s="9" t="n">
        <v>169.2</v>
      </c>
      <c r="UG186" s="10" t="n">
        <v>46177</v>
      </c>
      <c r="UH186" s="9" t="n">
        <v>76</v>
      </c>
      <c r="UI186" s="9" t="n">
        <v>0</v>
      </c>
      <c r="UK186" s="9" t="n">
        <v>0</v>
      </c>
      <c r="UL186" s="9" t="n">
        <v>204</v>
      </c>
      <c r="UP186" s="10" t="n">
        <v>46177</v>
      </c>
      <c r="UQ186" s="9" t="n">
        <v>240</v>
      </c>
      <c r="UR186" s="9" t="n">
        <v>0</v>
      </c>
      <c r="UT186" s="9" t="n">
        <v>0</v>
      </c>
      <c r="UU186" s="9" t="n">
        <v>251.25</v>
      </c>
      <c r="UY186" s="10" t="n">
        <v>46177</v>
      </c>
      <c r="VA186" s="9" t="n">
        <v>0</v>
      </c>
      <c r="VC186" s="9" t="n">
        <v>0</v>
      </c>
      <c r="VD186" s="9" t="n">
        <v>41.60000000000002</v>
      </c>
      <c r="VH186" s="10" t="n">
        <v>46177</v>
      </c>
      <c r="VI186" s="9" t="n">
        <v>250</v>
      </c>
      <c r="VJ186" s="9" t="n">
        <v>0</v>
      </c>
      <c r="VL186" s="9" t="n">
        <v>0</v>
      </c>
      <c r="VM186" s="9" t="n">
        <v>250</v>
      </c>
      <c r="VQ186" s="10" t="n">
        <v>46177</v>
      </c>
      <c r="VS186" s="9" t="n">
        <v>100</v>
      </c>
      <c r="VU186" s="9" t="n">
        <v>100</v>
      </c>
      <c r="VV186" s="9" t="n">
        <v>0</v>
      </c>
      <c r="VZ186" s="10" t="n">
        <v>46177</v>
      </c>
      <c r="WB186" s="9" t="n">
        <v>100</v>
      </c>
      <c r="WD186" s="9" t="n">
        <v>100</v>
      </c>
      <c r="WE186" s="9" t="n">
        <v>0</v>
      </c>
      <c r="WI186" s="10" t="n">
        <v>46177</v>
      </c>
      <c r="WK186" s="9" t="n">
        <v>0</v>
      </c>
      <c r="WM186" s="9" t="n">
        <v>0</v>
      </c>
      <c r="WN186" s="9" t="n">
        <v>1199</v>
      </c>
      <c r="WR186" s="10" t="n">
        <v>46177</v>
      </c>
      <c r="WT186" s="9" t="n">
        <v>0</v>
      </c>
      <c r="WV186" s="9" t="n">
        <v>0</v>
      </c>
      <c r="WW186" s="9" t="n">
        <v>0</v>
      </c>
      <c r="XA186" s="10" t="n">
        <v>46177</v>
      </c>
      <c r="XC186" s="9" t="n">
        <v>0</v>
      </c>
      <c r="XE186" s="9" t="n">
        <v>0</v>
      </c>
      <c r="XF186" s="9" t="n">
        <v>6813</v>
      </c>
      <c r="XJ186" s="10" t="n">
        <v>46177</v>
      </c>
      <c r="XL186" s="9" t="n">
        <v>0</v>
      </c>
      <c r="XM186" s="9" t="n">
        <v>255</v>
      </c>
      <c r="XN186" s="9" t="n">
        <v>-255</v>
      </c>
      <c r="XO186" s="9" t="n">
        <v>7569</v>
      </c>
      <c r="XS186" s="10" t="n">
        <v>46177</v>
      </c>
      <c r="XU186" s="9" t="n">
        <v>0</v>
      </c>
      <c r="XW186" s="9" t="n">
        <v>0</v>
      </c>
      <c r="XX186" s="9" t="n">
        <v>1621</v>
      </c>
      <c r="YB186" s="10" t="n">
        <v>46177</v>
      </c>
      <c r="YD186" s="9" t="n">
        <v>0</v>
      </c>
      <c r="YF186" s="9" t="n">
        <v>0</v>
      </c>
      <c r="YG186" s="9" t="n">
        <v>5875</v>
      </c>
      <c r="YK186" s="10" t="n">
        <v>46177</v>
      </c>
      <c r="YM186" s="9" t="n">
        <v>0</v>
      </c>
      <c r="YO186" s="9" t="n">
        <v>0</v>
      </c>
      <c r="YP186" s="9" t="n">
        <v>0</v>
      </c>
      <c r="YT186" s="10" t="n">
        <v>46177</v>
      </c>
      <c r="YV186" s="9" t="n">
        <v>100</v>
      </c>
      <c r="YX186" s="9" t="n">
        <v>100</v>
      </c>
      <c r="YY186" s="9" t="n">
        <v>0</v>
      </c>
      <c r="ZC186" s="10" t="n">
        <v>46177</v>
      </c>
      <c r="ZE186" s="9" t="n">
        <v>100</v>
      </c>
      <c r="ZG186" s="9" t="n">
        <v>100</v>
      </c>
      <c r="ZH186" s="9" t="n">
        <v>0</v>
      </c>
      <c r="ZL186" s="10" t="n">
        <v>46177</v>
      </c>
      <c r="ZN186" s="9" t="n">
        <v>100</v>
      </c>
      <c r="ZP186" s="9" t="n">
        <v>100</v>
      </c>
      <c r="ZQ186" s="9" t="n">
        <v>0</v>
      </c>
      <c r="ZU186" s="10" t="n">
        <v>46177</v>
      </c>
      <c r="ZW186" s="9" t="n">
        <v>100</v>
      </c>
      <c r="ZY186" s="9" t="n">
        <v>100</v>
      </c>
      <c r="ZZ186" s="9" t="n">
        <v>0</v>
      </c>
      <c r="AAD186" s="10" t="n">
        <v>46177</v>
      </c>
      <c r="AAF186" s="9" t="n">
        <v>100</v>
      </c>
      <c r="AAH186" s="9" t="n">
        <v>100</v>
      </c>
      <c r="AAI186" s="9" t="n">
        <v>0</v>
      </c>
      <c r="AAM186" s="10" t="n">
        <v>46177</v>
      </c>
      <c r="AAO186" s="9" t="n">
        <v>100</v>
      </c>
      <c r="AAQ186" s="9" t="n">
        <v>100</v>
      </c>
      <c r="AAR186" s="9" t="n">
        <v>0</v>
      </c>
      <c r="AAV186" s="10" t="n">
        <v>46177</v>
      </c>
      <c r="AAX186" s="9" t="n">
        <v>100</v>
      </c>
      <c r="AAZ186" s="9" t="n">
        <v>100</v>
      </c>
      <c r="ABA186" s="9" t="n">
        <v>0</v>
      </c>
      <c r="ABE186" s="10" t="n">
        <v>46177</v>
      </c>
      <c r="ABG186" s="9" t="n">
        <v>100</v>
      </c>
      <c r="ABI186" s="9" t="n">
        <v>100</v>
      </c>
      <c r="ABJ186" s="9" t="n">
        <v>0</v>
      </c>
    </row>
    <row r="187">
      <c r="B187" s="9" t="n">
        <v>30</v>
      </c>
      <c r="C187" s="10" t="n">
        <v>46178</v>
      </c>
      <c r="D187" s="9" t="n">
        <v>39780</v>
      </c>
      <c r="E187" s="9" t="n">
        <v>15337.5</v>
      </c>
      <c r="F187" s="9" t="n">
        <v>15332</v>
      </c>
      <c r="G187" s="9" t="n">
        <v>5.5</v>
      </c>
      <c r="H187" s="9" t="n">
        <v>225184.4000000001</v>
      </c>
      <c r="I187" s="9" t="inlineStr">
        <is>
          <t>5201 30mt</t>
        </is>
      </c>
      <c r="L187" s="10" t="n">
        <v>46178</v>
      </c>
      <c r="M187" s="9" t="n">
        <v>30460</v>
      </c>
      <c r="N187" s="9" t="n">
        <v>10082.1</v>
      </c>
      <c r="O187" s="9" t="n">
        <v>10082</v>
      </c>
      <c r="P187" s="9" t="n">
        <v>0.1000000000003638</v>
      </c>
      <c r="Q187" s="9" t="n">
        <v>86582.20000000007</v>
      </c>
      <c r="U187" s="10" t="n">
        <v>46178</v>
      </c>
      <c r="W187" s="9" t="n">
        <v>1500</v>
      </c>
      <c r="X187" s="9" t="n">
        <v>1500.5</v>
      </c>
      <c r="Y187" s="9" t="n">
        <v>-0.5</v>
      </c>
      <c r="Z187" s="9" t="n">
        <v>36583.39999999997</v>
      </c>
      <c r="AD187" s="10" t="n">
        <v>46178</v>
      </c>
      <c r="AF187" s="9" t="n">
        <v>0</v>
      </c>
      <c r="AH187" s="9" t="n">
        <v>0</v>
      </c>
      <c r="AI187" s="9" t="n">
        <v>12193.40000000002</v>
      </c>
      <c r="AM187" s="10" t="n">
        <v>46178</v>
      </c>
      <c r="AO187" s="9" t="n">
        <v>0</v>
      </c>
      <c r="AQ187" s="9" t="n">
        <v>0</v>
      </c>
      <c r="AR187" s="9" t="n">
        <v>0</v>
      </c>
      <c r="AV187" s="10" t="n">
        <v>46178</v>
      </c>
      <c r="AX187" s="9" t="n">
        <v>0</v>
      </c>
      <c r="AZ187" s="9" t="n">
        <v>0</v>
      </c>
      <c r="BA187" s="9" t="n">
        <v>18566.7</v>
      </c>
      <c r="BE187" s="10" t="n">
        <v>46178</v>
      </c>
      <c r="BG187" s="9" t="n">
        <v>0</v>
      </c>
      <c r="BI187" s="9" t="n">
        <v>0</v>
      </c>
      <c r="BJ187" s="9" t="n">
        <v>32681.5</v>
      </c>
      <c r="BN187" s="10" t="n">
        <v>46178</v>
      </c>
      <c r="BP187" s="9" t="n">
        <v>0</v>
      </c>
      <c r="BR187" s="9" t="n">
        <v>0</v>
      </c>
      <c r="BS187" s="9" t="n">
        <v>0</v>
      </c>
      <c r="BW187" s="10" t="n">
        <v>46178</v>
      </c>
      <c r="BY187" s="9" t="n">
        <v>353.25</v>
      </c>
      <c r="BZ187" s="9" t="n">
        <v>721</v>
      </c>
      <c r="CA187" s="9" t="n">
        <v>-367.75</v>
      </c>
      <c r="CB187" s="9" t="n">
        <v>4126.629999999999</v>
      </c>
      <c r="CF187" s="10" t="n">
        <v>46178</v>
      </c>
      <c r="CG187" s="9" t="n">
        <v>1883.76</v>
      </c>
      <c r="CH187" s="9" t="n">
        <v>0</v>
      </c>
      <c r="CI187" s="9" t="n">
        <v>1883.76</v>
      </c>
      <c r="CJ187" s="9" t="n">
        <v>-1883.76</v>
      </c>
      <c r="CK187" s="9" t="n">
        <v>0</v>
      </c>
      <c r="CO187" s="10" t="n">
        <v>46178</v>
      </c>
      <c r="CQ187" s="9" t="n">
        <v>0</v>
      </c>
      <c r="CS187" s="9" t="n">
        <v>0</v>
      </c>
      <c r="CT187" s="9" t="n">
        <v>0</v>
      </c>
      <c r="CX187" s="10" t="n">
        <v>46178</v>
      </c>
      <c r="CZ187" s="9" t="n">
        <v>600</v>
      </c>
      <c r="DA187" s="9" t="n">
        <v>598.8</v>
      </c>
      <c r="DB187" s="9" t="n">
        <v>1.200000000000045</v>
      </c>
      <c r="DC187" s="9" t="n">
        <v>18022.7</v>
      </c>
      <c r="DG187" s="10" t="n">
        <v>46178</v>
      </c>
      <c r="DI187" s="9" t="n">
        <v>0</v>
      </c>
      <c r="DK187" s="9" t="n">
        <v>0</v>
      </c>
      <c r="DL187" s="9" t="n">
        <v>35234.99999999999</v>
      </c>
      <c r="DP187" s="10" t="n">
        <v>46178</v>
      </c>
      <c r="DR187" s="9" t="n">
        <v>0</v>
      </c>
      <c r="DT187" s="9" t="n">
        <v>0</v>
      </c>
      <c r="DU187" s="9" t="n">
        <v>5800</v>
      </c>
      <c r="DY187" s="10" t="n">
        <v>46178</v>
      </c>
      <c r="EA187" s="9" t="n">
        <v>0</v>
      </c>
      <c r="EC187" s="9" t="n">
        <v>0</v>
      </c>
      <c r="ED187" s="9" t="n">
        <v>0</v>
      </c>
      <c r="EH187" s="10" t="n">
        <v>46178</v>
      </c>
      <c r="EJ187" s="9" t="n">
        <v>0</v>
      </c>
      <c r="EL187" s="9" t="n">
        <v>0</v>
      </c>
      <c r="EM187" s="9" t="n">
        <v>0</v>
      </c>
      <c r="EQ187" s="10" t="n">
        <v>46178</v>
      </c>
      <c r="ES187" s="9" t="n">
        <v>0</v>
      </c>
      <c r="EU187" s="9" t="n">
        <v>0</v>
      </c>
      <c r="EV187" s="9" t="n">
        <v>0</v>
      </c>
      <c r="EZ187" s="10" t="n">
        <v>46178</v>
      </c>
      <c r="FB187" s="9" t="n">
        <v>0</v>
      </c>
      <c r="FD187" s="9" t="n">
        <v>0</v>
      </c>
      <c r="FE187" s="9" t="n">
        <v>0</v>
      </c>
      <c r="FI187" s="10" t="n">
        <v>46178</v>
      </c>
      <c r="FK187" s="9" t="n">
        <v>0</v>
      </c>
      <c r="FM187" s="9" t="n">
        <v>0</v>
      </c>
      <c r="FN187" s="9" t="n">
        <v>0</v>
      </c>
      <c r="FR187" s="10" t="n">
        <v>46178</v>
      </c>
      <c r="FT187" s="9" t="n">
        <v>0</v>
      </c>
      <c r="FV187" s="9" t="n">
        <v>0</v>
      </c>
      <c r="FW187" s="9" t="n">
        <v>4140</v>
      </c>
      <c r="GA187" s="10" t="n">
        <v>46178</v>
      </c>
      <c r="GC187" s="9" t="n">
        <v>0</v>
      </c>
      <c r="GE187" s="9" t="n">
        <v>0</v>
      </c>
      <c r="GF187" s="9" t="n">
        <v>5040</v>
      </c>
      <c r="GJ187" s="10" t="n">
        <v>46178</v>
      </c>
      <c r="GL187" s="9" t="n">
        <v>0</v>
      </c>
      <c r="GN187" s="9" t="n">
        <v>0</v>
      </c>
      <c r="GO187" s="9" t="n">
        <v>1760</v>
      </c>
      <c r="GS187" s="10" t="n">
        <v>46178</v>
      </c>
      <c r="GU187" s="9" t="n">
        <v>0</v>
      </c>
      <c r="GV187" s="9" t="n">
        <v>600</v>
      </c>
      <c r="GW187" s="9" t="n">
        <v>-600</v>
      </c>
      <c r="GX187" s="9" t="n">
        <v>0</v>
      </c>
      <c r="GY187" s="9" t="n">
        <v>30</v>
      </c>
      <c r="HB187" s="10" t="n">
        <v>46178</v>
      </c>
      <c r="HD187" s="9" t="n">
        <v>0</v>
      </c>
      <c r="HF187" s="9" t="n">
        <v>0</v>
      </c>
      <c r="HG187" s="9" t="n">
        <v>3600</v>
      </c>
      <c r="HK187" s="10" t="n">
        <v>46178</v>
      </c>
      <c r="HM187" s="9" t="n">
        <v>0</v>
      </c>
      <c r="HO187" s="9" t="n">
        <v>0</v>
      </c>
      <c r="HP187" s="9" t="n">
        <v>0</v>
      </c>
      <c r="HU187" s="10" t="n">
        <v>46178</v>
      </c>
      <c r="HW187" s="9" t="n">
        <v>0</v>
      </c>
      <c r="HY187" s="9" t="n">
        <v>0</v>
      </c>
      <c r="HZ187" s="9" t="n">
        <v>6800</v>
      </c>
      <c r="ID187" s="10" t="n">
        <v>46178</v>
      </c>
      <c r="IF187" s="9" t="n">
        <v>0</v>
      </c>
      <c r="IH187" s="9" t="n">
        <v>0</v>
      </c>
      <c r="II187" s="9" t="n">
        <v>720</v>
      </c>
      <c r="IM187" s="10" t="n">
        <v>46178</v>
      </c>
      <c r="IO187" s="9" t="n">
        <v>0</v>
      </c>
      <c r="IQ187" s="9" t="n">
        <v>0</v>
      </c>
      <c r="IR187" s="9" t="n">
        <v>8140</v>
      </c>
      <c r="IV187" s="10" t="n">
        <v>46178</v>
      </c>
      <c r="IX187" s="9" t="n">
        <v>0</v>
      </c>
      <c r="IZ187" s="9" t="n">
        <v>0</v>
      </c>
      <c r="JA187" s="9" t="n">
        <v>4960</v>
      </c>
      <c r="JE187" s="10" t="n">
        <v>46178</v>
      </c>
      <c r="JG187" s="9" t="n">
        <v>0</v>
      </c>
      <c r="JI187" s="9" t="n">
        <v>0</v>
      </c>
      <c r="JJ187" s="9" t="n">
        <v>0</v>
      </c>
      <c r="JN187" s="10" t="n">
        <v>46178</v>
      </c>
      <c r="JP187" s="9" t="n">
        <v>0</v>
      </c>
      <c r="JQ187" s="9" t="n">
        <v>3160</v>
      </c>
      <c r="JR187" s="9" t="n">
        <v>-3160</v>
      </c>
      <c r="JS187" s="9" t="n">
        <v>180</v>
      </c>
      <c r="JT187" s="9" t="n">
        <v>158</v>
      </c>
      <c r="JW187" s="10" t="n">
        <v>46178</v>
      </c>
      <c r="JY187" s="9" t="n">
        <v>0</v>
      </c>
      <c r="KA187" s="9" t="n">
        <v>0</v>
      </c>
      <c r="KB187" s="9" t="n">
        <v>2540</v>
      </c>
      <c r="KF187" s="10" t="n">
        <v>46178</v>
      </c>
      <c r="KH187" s="9" t="n">
        <v>0</v>
      </c>
      <c r="KJ187" s="9" t="n">
        <v>0</v>
      </c>
      <c r="KK187" s="9" t="n">
        <v>2359.5</v>
      </c>
      <c r="KO187" s="10" t="n">
        <v>46178</v>
      </c>
      <c r="KQ187" s="9" t="n">
        <v>0</v>
      </c>
      <c r="KS187" s="9" t="n">
        <v>0</v>
      </c>
      <c r="KT187" s="9" t="n">
        <v>1890</v>
      </c>
      <c r="KX187" s="10" t="n">
        <v>46178</v>
      </c>
      <c r="KZ187" s="9" t="n">
        <v>0</v>
      </c>
      <c r="LB187" s="9" t="n">
        <v>0</v>
      </c>
      <c r="LC187" s="9" t="n">
        <v>3690</v>
      </c>
      <c r="LG187" s="10" t="n">
        <v>46178</v>
      </c>
      <c r="LI187" s="9" t="n">
        <v>0</v>
      </c>
      <c r="LK187" s="9" t="n">
        <v>0</v>
      </c>
      <c r="LL187" s="9" t="n">
        <v>4000</v>
      </c>
      <c r="LP187" s="10" t="n">
        <v>46178</v>
      </c>
      <c r="LR187" s="9" t="n">
        <v>0</v>
      </c>
      <c r="LT187" s="9" t="n">
        <v>0</v>
      </c>
      <c r="LU187" s="9" t="n">
        <v>0</v>
      </c>
      <c r="LY187" s="10" t="n">
        <v>46178</v>
      </c>
      <c r="MA187" s="9" t="n">
        <v>0</v>
      </c>
      <c r="MC187" s="9" t="n">
        <v>0</v>
      </c>
      <c r="MD187" s="9" t="n">
        <v>0</v>
      </c>
      <c r="MH187" s="10" t="n">
        <v>46178</v>
      </c>
      <c r="MJ187" s="9" t="n">
        <v>0</v>
      </c>
      <c r="ML187" s="9" t="n">
        <v>0</v>
      </c>
      <c r="MM187" s="9" t="n">
        <v>0</v>
      </c>
      <c r="MQ187" s="10" t="n">
        <v>46178</v>
      </c>
      <c r="MS187" s="9" t="n">
        <v>0</v>
      </c>
      <c r="MU187" s="9" t="n">
        <v>0</v>
      </c>
      <c r="MV187" s="9" t="n">
        <v>3724</v>
      </c>
      <c r="MZ187" s="10" t="n">
        <v>46178</v>
      </c>
      <c r="NA187" s="9" t="n">
        <v>1584</v>
      </c>
      <c r="NB187" s="9" t="n">
        <v>0</v>
      </c>
      <c r="NC187" s="9" t="n">
        <v>1584</v>
      </c>
      <c r="ND187" s="9" t="n">
        <v>-1584</v>
      </c>
      <c r="NE187" s="9" t="n">
        <v>0</v>
      </c>
      <c r="NI187" s="10" t="n">
        <v>46178</v>
      </c>
      <c r="NK187" s="9" t="n">
        <v>0</v>
      </c>
      <c r="NM187" s="9" t="n">
        <v>0</v>
      </c>
      <c r="NN187" s="9" t="n">
        <v>1127</v>
      </c>
      <c r="NR187" s="10" t="n">
        <v>46178</v>
      </c>
      <c r="NT187" s="9" t="n">
        <v>0</v>
      </c>
      <c r="NV187" s="9" t="n">
        <v>0</v>
      </c>
      <c r="NW187" s="9" t="n">
        <v>3112</v>
      </c>
      <c r="OA187" s="10" t="n">
        <v>46178</v>
      </c>
      <c r="OC187" s="9" t="n">
        <v>0</v>
      </c>
      <c r="OE187" s="9" t="n">
        <v>0</v>
      </c>
      <c r="OF187" s="9" t="n">
        <v>1680.5</v>
      </c>
      <c r="OJ187" s="10" t="n">
        <v>46178</v>
      </c>
      <c r="OK187" s="9" t="n">
        <v>274</v>
      </c>
      <c r="OL187" s="9" t="n">
        <v>0</v>
      </c>
      <c r="OM187" s="9" t="n">
        <v>274</v>
      </c>
      <c r="ON187" s="9" t="n">
        <v>-274</v>
      </c>
      <c r="OO187" s="9" t="n">
        <v>0</v>
      </c>
      <c r="OS187" s="10" t="n">
        <v>46178</v>
      </c>
      <c r="OU187" s="9" t="n">
        <v>0</v>
      </c>
      <c r="OW187" s="9" t="n">
        <v>0</v>
      </c>
      <c r="OX187" s="9" t="n">
        <v>1482</v>
      </c>
      <c r="PB187" s="10" t="n">
        <v>46178</v>
      </c>
      <c r="PD187" s="9" t="n">
        <v>0</v>
      </c>
      <c r="PF187" s="9" t="n">
        <v>0</v>
      </c>
      <c r="PG187" s="9" t="n">
        <v>0</v>
      </c>
      <c r="PK187" s="10" t="n">
        <v>46178</v>
      </c>
      <c r="PM187" s="9" t="n">
        <v>0</v>
      </c>
      <c r="PO187" s="9" t="n">
        <v>0</v>
      </c>
      <c r="PP187" s="9" t="n">
        <v>100</v>
      </c>
      <c r="PT187" s="10" t="n">
        <v>46178</v>
      </c>
      <c r="PV187" s="9" t="n">
        <v>0</v>
      </c>
      <c r="PX187" s="9" t="n">
        <v>0</v>
      </c>
      <c r="PY187" s="9" t="n">
        <v>13.96000000000004</v>
      </c>
      <c r="QC187" s="10" t="n">
        <v>46178</v>
      </c>
      <c r="QD187" s="9" t="n">
        <v>1628</v>
      </c>
      <c r="QE187" s="9" t="n">
        <v>0</v>
      </c>
      <c r="QG187" s="9" t="n">
        <v>0</v>
      </c>
      <c r="QH187" s="9" t="n">
        <v>1736</v>
      </c>
      <c r="QL187" s="10" t="n">
        <v>46178</v>
      </c>
      <c r="QN187" s="9" t="n">
        <v>0</v>
      </c>
      <c r="QO187" s="9" t="n">
        <v>395</v>
      </c>
      <c r="QP187" s="9" t="n">
        <v>-395</v>
      </c>
      <c r="QQ187" s="9" t="n">
        <v>475</v>
      </c>
      <c r="QU187" s="10" t="n">
        <v>46178</v>
      </c>
      <c r="QW187" s="9" t="n">
        <v>0</v>
      </c>
      <c r="QY187" s="9" t="n">
        <v>0</v>
      </c>
      <c r="QZ187" s="9" t="n">
        <v>207.6</v>
      </c>
      <c r="RD187" s="10" t="n">
        <v>46178</v>
      </c>
      <c r="RF187" s="9" t="n">
        <v>0</v>
      </c>
      <c r="RH187" s="9" t="n">
        <v>0</v>
      </c>
      <c r="RI187" s="9" t="n">
        <v>147.04</v>
      </c>
      <c r="RM187" s="10" t="n">
        <v>46178</v>
      </c>
      <c r="RO187" s="9" t="n">
        <v>0</v>
      </c>
      <c r="RQ187" s="9" t="n">
        <v>0</v>
      </c>
      <c r="RR187" s="9" t="n">
        <v>46.8</v>
      </c>
      <c r="RV187" s="10" t="n">
        <v>46178</v>
      </c>
      <c r="RX187" s="9" t="n">
        <v>0</v>
      </c>
      <c r="RZ187" s="9" t="n">
        <v>0</v>
      </c>
      <c r="SA187" s="9" t="n">
        <v>0</v>
      </c>
      <c r="SE187" s="10" t="n">
        <v>46178</v>
      </c>
      <c r="SG187" s="9" t="n">
        <v>0</v>
      </c>
      <c r="SI187" s="9" t="n">
        <v>0</v>
      </c>
      <c r="SJ187" s="9" t="n">
        <v>24.2</v>
      </c>
      <c r="SN187" s="10" t="n">
        <v>46178</v>
      </c>
      <c r="SP187" s="9" t="n">
        <v>0</v>
      </c>
      <c r="SR187" s="9" t="n">
        <v>0</v>
      </c>
      <c r="SS187" s="9" t="n">
        <v>32</v>
      </c>
      <c r="SW187" s="10" t="n">
        <v>46178</v>
      </c>
      <c r="SY187" s="9" t="n">
        <v>0</v>
      </c>
      <c r="TA187" s="9" t="n">
        <v>0</v>
      </c>
      <c r="TB187" s="9" t="n">
        <v>0</v>
      </c>
      <c r="TF187" s="10" t="n">
        <v>46178</v>
      </c>
      <c r="TG187" s="9" t="n">
        <v>30</v>
      </c>
      <c r="TH187" s="9" t="n">
        <v>0</v>
      </c>
      <c r="TI187" s="9" t="n">
        <v>30</v>
      </c>
      <c r="TJ187" s="9" t="n">
        <v>-30</v>
      </c>
      <c r="TK187" s="9" t="n">
        <v>0</v>
      </c>
      <c r="TO187" s="10" t="n">
        <v>46178</v>
      </c>
      <c r="TQ187" s="9" t="n">
        <v>0</v>
      </c>
      <c r="TS187" s="9" t="n">
        <v>0</v>
      </c>
      <c r="TT187" s="9" t="n">
        <v>82.40000000000001</v>
      </c>
      <c r="TX187" s="10" t="n">
        <v>46178</v>
      </c>
      <c r="TZ187" s="9" t="n">
        <v>0</v>
      </c>
      <c r="UB187" s="9" t="n">
        <v>0</v>
      </c>
      <c r="UC187" s="9" t="n">
        <v>169.2</v>
      </c>
      <c r="UG187" s="10" t="n">
        <v>46178</v>
      </c>
      <c r="UI187" s="9" t="n">
        <v>0</v>
      </c>
      <c r="UK187" s="9" t="n">
        <v>0</v>
      </c>
      <c r="UL187" s="9" t="n">
        <v>204</v>
      </c>
      <c r="UP187" s="10" t="n">
        <v>46178</v>
      </c>
      <c r="UR187" s="9" t="n">
        <v>0</v>
      </c>
      <c r="UT187" s="9" t="n">
        <v>0</v>
      </c>
      <c r="UU187" s="9" t="n">
        <v>251.25</v>
      </c>
      <c r="UY187" s="10" t="n">
        <v>46178</v>
      </c>
      <c r="VA187" s="9" t="n">
        <v>0</v>
      </c>
      <c r="VC187" s="9" t="n">
        <v>0</v>
      </c>
      <c r="VD187" s="9" t="n">
        <v>41.60000000000002</v>
      </c>
      <c r="VH187" s="10" t="n">
        <v>46178</v>
      </c>
      <c r="VJ187" s="9" t="n">
        <v>0</v>
      </c>
      <c r="VK187" s="9" t="n">
        <v>40</v>
      </c>
      <c r="VL187" s="9" t="n">
        <v>-40</v>
      </c>
      <c r="VM187" s="9" t="n">
        <v>210</v>
      </c>
      <c r="VQ187" s="10" t="n">
        <v>46178</v>
      </c>
      <c r="VS187" s="9" t="n">
        <v>0</v>
      </c>
      <c r="VU187" s="9" t="n">
        <v>0</v>
      </c>
      <c r="VV187" s="9" t="n">
        <v>0</v>
      </c>
      <c r="VZ187" s="10" t="n">
        <v>46178</v>
      </c>
      <c r="WB187" s="9" t="n">
        <v>0</v>
      </c>
      <c r="WD187" s="9" t="n">
        <v>0</v>
      </c>
      <c r="WE187" s="9" t="n">
        <v>0</v>
      </c>
      <c r="WI187" s="10" t="n">
        <v>46178</v>
      </c>
      <c r="WK187" s="9" t="n">
        <v>0</v>
      </c>
      <c r="WM187" s="9" t="n">
        <v>0</v>
      </c>
      <c r="WN187" s="9" t="n">
        <v>1199</v>
      </c>
      <c r="WR187" s="10" t="n">
        <v>46178</v>
      </c>
      <c r="WT187" s="9" t="n">
        <v>0</v>
      </c>
      <c r="WV187" s="9" t="n">
        <v>0</v>
      </c>
      <c r="WW187" s="9" t="n">
        <v>0</v>
      </c>
      <c r="XA187" s="10" t="n">
        <v>46178</v>
      </c>
      <c r="XC187" s="9" t="n">
        <v>0</v>
      </c>
      <c r="XE187" s="9" t="n">
        <v>0</v>
      </c>
      <c r="XF187" s="9" t="n">
        <v>6813</v>
      </c>
      <c r="XJ187" s="10" t="n">
        <v>46178</v>
      </c>
      <c r="XL187" s="9" t="n">
        <v>0</v>
      </c>
      <c r="XM187" s="9" t="n">
        <v>936</v>
      </c>
      <c r="XN187" s="9" t="n">
        <v>-936</v>
      </c>
      <c r="XO187" s="9" t="n">
        <v>6633</v>
      </c>
      <c r="XS187" s="10" t="n">
        <v>46178</v>
      </c>
      <c r="XU187" s="9" t="n">
        <v>0</v>
      </c>
      <c r="XW187" s="9" t="n">
        <v>0</v>
      </c>
      <c r="XX187" s="9" t="n">
        <v>1621</v>
      </c>
      <c r="YB187" s="10" t="n">
        <v>46178</v>
      </c>
      <c r="YD187" s="9" t="n">
        <v>0</v>
      </c>
      <c r="YF187" s="9" t="n">
        <v>0</v>
      </c>
      <c r="YG187" s="9" t="n">
        <v>5875</v>
      </c>
      <c r="YK187" s="10" t="n">
        <v>46178</v>
      </c>
      <c r="YM187" s="9" t="n">
        <v>0</v>
      </c>
      <c r="YO187" s="9" t="n">
        <v>0</v>
      </c>
      <c r="YP187" s="9" t="n">
        <v>0</v>
      </c>
      <c r="YT187" s="10" t="n">
        <v>46178</v>
      </c>
      <c r="YV187" s="9" t="n">
        <v>0</v>
      </c>
      <c r="YX187" s="9" t="n">
        <v>0</v>
      </c>
      <c r="YY187" s="9" t="n">
        <v>0</v>
      </c>
      <c r="ZC187" s="10" t="n">
        <v>46178</v>
      </c>
      <c r="ZE187" s="9" t="n">
        <v>0</v>
      </c>
      <c r="ZG187" s="9" t="n">
        <v>0</v>
      </c>
      <c r="ZH187" s="9" t="n">
        <v>0</v>
      </c>
      <c r="ZL187" s="10" t="n">
        <v>46178</v>
      </c>
      <c r="ZN187" s="9" t="n">
        <v>0</v>
      </c>
      <c r="ZP187" s="9" t="n">
        <v>0</v>
      </c>
      <c r="ZQ187" s="9" t="n">
        <v>0</v>
      </c>
      <c r="ZU187" s="10" t="n">
        <v>46178</v>
      </c>
      <c r="ZW187" s="9" t="n">
        <v>0</v>
      </c>
      <c r="ZY187" s="9" t="n">
        <v>0</v>
      </c>
      <c r="ZZ187" s="9" t="n">
        <v>0</v>
      </c>
      <c r="AAD187" s="10" t="n">
        <v>46178</v>
      </c>
      <c r="AAF187" s="9" t="n">
        <v>0</v>
      </c>
      <c r="AAH187" s="9" t="n">
        <v>0</v>
      </c>
      <c r="AAI187" s="9" t="n">
        <v>0</v>
      </c>
      <c r="AAM187" s="10" t="n">
        <v>46178</v>
      </c>
      <c r="AAO187" s="9" t="n">
        <v>0</v>
      </c>
      <c r="AAQ187" s="9" t="n">
        <v>0</v>
      </c>
      <c r="AAR187" s="9" t="n">
        <v>0</v>
      </c>
      <c r="AAV187" s="10" t="n">
        <v>46178</v>
      </c>
      <c r="AAX187" s="9" t="n">
        <v>0</v>
      </c>
      <c r="AAZ187" s="9" t="n">
        <v>0</v>
      </c>
      <c r="ABA187" s="9" t="n">
        <v>0</v>
      </c>
      <c r="ABE187" s="10" t="n">
        <v>46178</v>
      </c>
      <c r="ABG187" s="9" t="n">
        <v>0</v>
      </c>
      <c r="ABI187" s="9" t="n">
        <v>0</v>
      </c>
      <c r="ABJ187" s="9" t="n">
        <v>0</v>
      </c>
    </row>
    <row r="188">
      <c r="B188" s="9" t="n">
        <v>68</v>
      </c>
      <c r="C188" s="10" t="n">
        <v>46179</v>
      </c>
      <c r="E188" s="9" t="n">
        <v>38509.44</v>
      </c>
      <c r="F188" s="9" t="n">
        <v>38509</v>
      </c>
      <c r="G188" s="9" t="n">
        <v>0.4400000000023283</v>
      </c>
      <c r="H188" s="9" t="n">
        <v>186675.4000000001</v>
      </c>
      <c r="I188" s="9" t="inlineStr">
        <is>
          <t xml:space="preserve">311 30mt, 8102 38mt </t>
        </is>
      </c>
      <c r="L188" s="10" t="n">
        <v>46179</v>
      </c>
      <c r="N188" s="9" t="n">
        <v>19763.6</v>
      </c>
      <c r="O188" s="9" t="n">
        <v>19759.6</v>
      </c>
      <c r="P188" s="9" t="n">
        <v>4</v>
      </c>
      <c r="Q188" s="9" t="n">
        <v>66822.60000000006</v>
      </c>
      <c r="U188" s="10" t="n">
        <v>46179</v>
      </c>
      <c r="W188" s="9" t="n">
        <v>2800</v>
      </c>
      <c r="X188" s="9" t="n">
        <v>2800.5</v>
      </c>
      <c r="Y188" s="9" t="n">
        <v>-0.5</v>
      </c>
      <c r="Z188" s="9" t="n">
        <v>33782.89999999997</v>
      </c>
      <c r="AD188" s="10" t="n">
        <v>46179</v>
      </c>
      <c r="AF188" s="9" t="n">
        <v>600</v>
      </c>
      <c r="AG188" s="9" t="n">
        <v>600.3</v>
      </c>
      <c r="AH188" s="9" t="n">
        <v>-0.2999999999999545</v>
      </c>
      <c r="AI188" s="9" t="n">
        <v>11593.10000000002</v>
      </c>
      <c r="AM188" s="10" t="n">
        <v>46179</v>
      </c>
      <c r="AO188" s="9" t="n">
        <v>0</v>
      </c>
      <c r="AQ188" s="9" t="n">
        <v>0</v>
      </c>
      <c r="AR188" s="9" t="n">
        <v>0</v>
      </c>
      <c r="AV188" s="10" t="n">
        <v>46179</v>
      </c>
      <c r="AX188" s="9" t="n">
        <v>2250</v>
      </c>
      <c r="AY188" s="9" t="n">
        <v>2250.7</v>
      </c>
      <c r="AZ188" s="9" t="n">
        <v>-0.6999999999998181</v>
      </c>
      <c r="BA188" s="9" t="n">
        <v>16316</v>
      </c>
      <c r="BE188" s="10" t="n">
        <v>46179</v>
      </c>
      <c r="BG188" s="9" t="n">
        <v>741</v>
      </c>
      <c r="BH188" s="9" t="n">
        <v>740.8</v>
      </c>
      <c r="BI188" s="9" t="n">
        <v>0.2000000000000455</v>
      </c>
      <c r="BJ188" s="9" t="n">
        <v>31940.7</v>
      </c>
      <c r="BN188" s="10" t="n">
        <v>46179</v>
      </c>
      <c r="BO188" s="9" t="n">
        <v>1283</v>
      </c>
      <c r="BP188" s="9" t="n">
        <v>1283</v>
      </c>
      <c r="BQ188" s="9" t="n">
        <v>1283</v>
      </c>
      <c r="BR188" s="9" t="n">
        <v>0</v>
      </c>
      <c r="BS188" s="9" t="n">
        <v>0</v>
      </c>
      <c r="BW188" s="10" t="n">
        <v>46179</v>
      </c>
      <c r="BY188" s="9" t="n">
        <v>0</v>
      </c>
      <c r="CA188" s="9" t="n">
        <v>0</v>
      </c>
      <c r="CB188" s="9" t="n">
        <v>4126.629999999999</v>
      </c>
      <c r="CF188" s="10" t="n">
        <v>46179</v>
      </c>
      <c r="CH188" s="9" t="n">
        <v>243.96</v>
      </c>
      <c r="CJ188" s="9" t="n">
        <v>243.96</v>
      </c>
      <c r="CK188" s="9" t="n">
        <v>0</v>
      </c>
      <c r="CO188" s="10" t="n">
        <v>46179</v>
      </c>
      <c r="CQ188" s="9" t="n">
        <v>0</v>
      </c>
      <c r="CS188" s="9" t="n">
        <v>0</v>
      </c>
      <c r="CT188" s="9" t="n">
        <v>0</v>
      </c>
      <c r="CX188" s="10" t="n">
        <v>46179</v>
      </c>
      <c r="CZ188" s="9" t="n">
        <v>0</v>
      </c>
      <c r="DB188" s="9" t="n">
        <v>0</v>
      </c>
      <c r="DC188" s="9" t="n">
        <v>18022.7</v>
      </c>
      <c r="DG188" s="10" t="n">
        <v>46179</v>
      </c>
      <c r="DI188" s="9" t="n">
        <v>0</v>
      </c>
      <c r="DK188" s="9" t="n">
        <v>0</v>
      </c>
      <c r="DL188" s="9" t="n">
        <v>35234.99999999999</v>
      </c>
      <c r="DP188" s="10" t="n">
        <v>46179</v>
      </c>
      <c r="DR188" s="9" t="n">
        <v>0</v>
      </c>
      <c r="DT188" s="9" t="n">
        <v>0</v>
      </c>
      <c r="DU188" s="9" t="n">
        <v>5800</v>
      </c>
      <c r="DY188" s="10" t="n">
        <v>46179</v>
      </c>
      <c r="EA188" s="9" t="n">
        <v>0</v>
      </c>
      <c r="EC188" s="9" t="n">
        <v>0</v>
      </c>
      <c r="ED188" s="9" t="n">
        <v>0</v>
      </c>
      <c r="EH188" s="10" t="n">
        <v>46179</v>
      </c>
      <c r="EJ188" s="9" t="n">
        <v>0</v>
      </c>
      <c r="EL188" s="9" t="n">
        <v>0</v>
      </c>
      <c r="EM188" s="9" t="n">
        <v>0</v>
      </c>
      <c r="EQ188" s="10" t="n">
        <v>46179</v>
      </c>
      <c r="ES188" s="9" t="n">
        <v>0</v>
      </c>
      <c r="EU188" s="9" t="n">
        <v>0</v>
      </c>
      <c r="EV188" s="9" t="n">
        <v>0</v>
      </c>
      <c r="EZ188" s="10" t="n">
        <v>46179</v>
      </c>
      <c r="FB188" s="9" t="n">
        <v>0</v>
      </c>
      <c r="FD188" s="9" t="n">
        <v>0</v>
      </c>
      <c r="FE188" s="9" t="n">
        <v>0</v>
      </c>
      <c r="FI188" s="10" t="n">
        <v>46179</v>
      </c>
      <c r="FK188" s="9" t="n">
        <v>0</v>
      </c>
      <c r="FM188" s="9" t="n">
        <v>0</v>
      </c>
      <c r="FN188" s="9" t="n">
        <v>0</v>
      </c>
      <c r="FR188" s="10" t="n">
        <v>46179</v>
      </c>
      <c r="FT188" s="9" t="n">
        <v>0</v>
      </c>
      <c r="FV188" s="9" t="n">
        <v>0</v>
      </c>
      <c r="FW188" s="9" t="n">
        <v>4140</v>
      </c>
      <c r="GA188" s="10" t="n">
        <v>46179</v>
      </c>
      <c r="GC188" s="9" t="n">
        <v>0</v>
      </c>
      <c r="GE188" s="9" t="n">
        <v>0</v>
      </c>
      <c r="GF188" s="9" t="n">
        <v>5040</v>
      </c>
      <c r="GJ188" s="10" t="n">
        <v>46179</v>
      </c>
      <c r="GL188" s="9" t="n">
        <v>0</v>
      </c>
      <c r="GN188" s="9" t="n">
        <v>0</v>
      </c>
      <c r="GO188" s="9" t="n">
        <v>1760</v>
      </c>
      <c r="GS188" s="10" t="n">
        <v>46179</v>
      </c>
      <c r="GU188" s="9" t="n">
        <v>600</v>
      </c>
      <c r="GW188" s="9" t="n">
        <v>600</v>
      </c>
      <c r="GX188" s="9" t="n">
        <v>0</v>
      </c>
      <c r="HB188" s="10" t="n">
        <v>46179</v>
      </c>
      <c r="HD188" s="9" t="n">
        <v>0</v>
      </c>
      <c r="HF188" s="9" t="n">
        <v>0</v>
      </c>
      <c r="HG188" s="9" t="n">
        <v>3600</v>
      </c>
      <c r="HK188" s="10" t="n">
        <v>46179</v>
      </c>
      <c r="HM188" s="9" t="n">
        <v>0</v>
      </c>
      <c r="HO188" s="9" t="n">
        <v>0</v>
      </c>
      <c r="HP188" s="9" t="n">
        <v>0</v>
      </c>
      <c r="HU188" s="10" t="n">
        <v>46179</v>
      </c>
      <c r="HW188" s="9" t="n">
        <v>0</v>
      </c>
      <c r="HY188" s="9" t="n">
        <v>0</v>
      </c>
      <c r="HZ188" s="9" t="n">
        <v>6800</v>
      </c>
      <c r="ID188" s="10" t="n">
        <v>46179</v>
      </c>
      <c r="IF188" s="9" t="n">
        <v>0</v>
      </c>
      <c r="IH188" s="9" t="n">
        <v>0</v>
      </c>
      <c r="II188" s="9" t="n">
        <v>720</v>
      </c>
      <c r="IM188" s="10" t="n">
        <v>46179</v>
      </c>
      <c r="IO188" s="9" t="n">
        <v>0</v>
      </c>
      <c r="IQ188" s="9" t="n">
        <v>0</v>
      </c>
      <c r="IR188" s="9" t="n">
        <v>8140</v>
      </c>
      <c r="IV188" s="10" t="n">
        <v>46179</v>
      </c>
      <c r="IX188" s="9" t="n">
        <v>0</v>
      </c>
      <c r="IZ188" s="9" t="n">
        <v>0</v>
      </c>
      <c r="JA188" s="9" t="n">
        <v>4960</v>
      </c>
      <c r="JE188" s="10" t="n">
        <v>46179</v>
      </c>
      <c r="JG188" s="9" t="n">
        <v>0</v>
      </c>
      <c r="JI188" s="9" t="n">
        <v>0</v>
      </c>
      <c r="JJ188" s="9" t="n">
        <v>0</v>
      </c>
      <c r="JN188" s="10" t="n">
        <v>46179</v>
      </c>
      <c r="JP188" s="9" t="n">
        <v>760</v>
      </c>
      <c r="JR188" s="9" t="n">
        <v>760</v>
      </c>
      <c r="JS188" s="9" t="n">
        <v>180</v>
      </c>
      <c r="JW188" s="10" t="n">
        <v>46179</v>
      </c>
      <c r="JY188" s="9" t="n">
        <v>0</v>
      </c>
      <c r="KA188" s="9" t="n">
        <v>0</v>
      </c>
      <c r="KB188" s="9" t="n">
        <v>2540</v>
      </c>
      <c r="KF188" s="10" t="n">
        <v>46179</v>
      </c>
      <c r="KH188" s="9" t="n">
        <v>0</v>
      </c>
      <c r="KJ188" s="9" t="n">
        <v>0</v>
      </c>
      <c r="KK188" s="9" t="n">
        <v>2359.5</v>
      </c>
      <c r="KO188" s="10" t="n">
        <v>46179</v>
      </c>
      <c r="KQ188" s="9" t="n">
        <v>0</v>
      </c>
      <c r="KS188" s="9" t="n">
        <v>0</v>
      </c>
      <c r="KT188" s="9" t="n">
        <v>1890</v>
      </c>
      <c r="KX188" s="10" t="n">
        <v>46179</v>
      </c>
      <c r="KZ188" s="9" t="n">
        <v>0</v>
      </c>
      <c r="LB188" s="9" t="n">
        <v>0</v>
      </c>
      <c r="LC188" s="9" t="n">
        <v>3690</v>
      </c>
      <c r="LG188" s="10" t="n">
        <v>46179</v>
      </c>
      <c r="LI188" s="9" t="n">
        <v>0</v>
      </c>
      <c r="LK188" s="9" t="n">
        <v>0</v>
      </c>
      <c r="LL188" s="9" t="n">
        <v>4000</v>
      </c>
      <c r="LP188" s="10" t="n">
        <v>46179</v>
      </c>
      <c r="LR188" s="9" t="n">
        <v>0</v>
      </c>
      <c r="LT188" s="9" t="n">
        <v>0</v>
      </c>
      <c r="LU188" s="9" t="n">
        <v>0</v>
      </c>
      <c r="LY188" s="10" t="n">
        <v>46179</v>
      </c>
      <c r="MA188" s="9" t="n">
        <v>0</v>
      </c>
      <c r="MC188" s="9" t="n">
        <v>0</v>
      </c>
      <c r="MD188" s="9" t="n">
        <v>0</v>
      </c>
      <c r="MH188" s="10" t="n">
        <v>46179</v>
      </c>
      <c r="MJ188" s="9" t="n">
        <v>0</v>
      </c>
      <c r="ML188" s="9" t="n">
        <v>0</v>
      </c>
      <c r="MM188" s="9" t="n">
        <v>0</v>
      </c>
      <c r="MQ188" s="10" t="n">
        <v>46179</v>
      </c>
      <c r="MS188" s="9" t="n">
        <v>0</v>
      </c>
      <c r="MU188" s="9" t="n">
        <v>0</v>
      </c>
      <c r="MV188" s="9" t="n">
        <v>3724</v>
      </c>
      <c r="MZ188" s="10" t="n">
        <v>46179</v>
      </c>
      <c r="NB188" s="9" t="n">
        <v>264</v>
      </c>
      <c r="ND188" s="9" t="n">
        <v>264</v>
      </c>
      <c r="NE188" s="9" t="n">
        <v>0</v>
      </c>
      <c r="NI188" s="10" t="n">
        <v>46179</v>
      </c>
      <c r="NK188" s="9" t="n">
        <v>0</v>
      </c>
      <c r="NM188" s="9" t="n">
        <v>0</v>
      </c>
      <c r="NN188" s="9" t="n">
        <v>1127</v>
      </c>
      <c r="NR188" s="10" t="n">
        <v>46179</v>
      </c>
      <c r="NT188" s="9" t="n">
        <v>0</v>
      </c>
      <c r="NV188" s="9" t="n">
        <v>0</v>
      </c>
      <c r="NW188" s="9" t="n">
        <v>3112</v>
      </c>
      <c r="OA188" s="10" t="n">
        <v>46179</v>
      </c>
      <c r="OC188" s="9" t="n">
        <v>0</v>
      </c>
      <c r="OE188" s="9" t="n">
        <v>0</v>
      </c>
      <c r="OF188" s="9" t="n">
        <v>1680.5</v>
      </c>
      <c r="OJ188" s="10" t="n">
        <v>46179</v>
      </c>
      <c r="OL188" s="9" t="n">
        <v>60</v>
      </c>
      <c r="ON188" s="9" t="n">
        <v>60</v>
      </c>
      <c r="OO188" s="9" t="n">
        <v>0</v>
      </c>
      <c r="OS188" s="10" t="n">
        <v>46179</v>
      </c>
      <c r="OU188" s="9" t="n">
        <v>0</v>
      </c>
      <c r="OW188" s="9" t="n">
        <v>0</v>
      </c>
      <c r="OX188" s="9" t="n">
        <v>1482</v>
      </c>
      <c r="PB188" s="10" t="n">
        <v>46179</v>
      </c>
      <c r="PD188" s="9" t="n">
        <v>0</v>
      </c>
      <c r="PF188" s="9" t="n">
        <v>0</v>
      </c>
      <c r="PG188" s="9" t="n">
        <v>0</v>
      </c>
      <c r="PK188" s="10" t="n">
        <v>46179</v>
      </c>
      <c r="PM188" s="9" t="n">
        <v>0</v>
      </c>
      <c r="PO188" s="9" t="n">
        <v>0</v>
      </c>
      <c r="PP188" s="9" t="n">
        <v>100</v>
      </c>
      <c r="PT188" s="10" t="n">
        <v>46179</v>
      </c>
      <c r="PV188" s="9" t="n">
        <v>0</v>
      </c>
      <c r="PX188" s="9" t="n">
        <v>0</v>
      </c>
      <c r="PY188" s="9" t="n">
        <v>13.96000000000004</v>
      </c>
      <c r="QC188" s="10" t="n">
        <v>46179</v>
      </c>
      <c r="QE188" s="9" t="n">
        <v>0</v>
      </c>
      <c r="QG188" s="9" t="n">
        <v>0</v>
      </c>
      <c r="QH188" s="9" t="n">
        <v>1736</v>
      </c>
      <c r="QL188" s="10" t="n">
        <v>46179</v>
      </c>
      <c r="QN188" s="9" t="n">
        <v>95</v>
      </c>
      <c r="QP188" s="9" t="n">
        <v>95</v>
      </c>
      <c r="QQ188" s="9" t="n">
        <v>475</v>
      </c>
      <c r="QU188" s="10" t="n">
        <v>46179</v>
      </c>
      <c r="QW188" s="9" t="n">
        <v>0</v>
      </c>
      <c r="QY188" s="9" t="n">
        <v>0</v>
      </c>
      <c r="QZ188" s="9" t="n">
        <v>207.6</v>
      </c>
      <c r="RD188" s="10" t="n">
        <v>46179</v>
      </c>
      <c r="RF188" s="9" t="n">
        <v>0</v>
      </c>
      <c r="RH188" s="9" t="n">
        <v>0</v>
      </c>
      <c r="RI188" s="9" t="n">
        <v>147.04</v>
      </c>
      <c r="RM188" s="10" t="n">
        <v>46179</v>
      </c>
      <c r="RO188" s="9" t="n">
        <v>0</v>
      </c>
      <c r="RQ188" s="9" t="n">
        <v>0</v>
      </c>
      <c r="RR188" s="9" t="n">
        <v>46.8</v>
      </c>
      <c r="RV188" s="10" t="n">
        <v>46179</v>
      </c>
      <c r="RX188" s="9" t="n">
        <v>0</v>
      </c>
      <c r="RZ188" s="9" t="n">
        <v>0</v>
      </c>
      <c r="SA188" s="9" t="n">
        <v>0</v>
      </c>
      <c r="SE188" s="10" t="n">
        <v>46179</v>
      </c>
      <c r="SG188" s="9" t="n">
        <v>0</v>
      </c>
      <c r="SI188" s="9" t="n">
        <v>0</v>
      </c>
      <c r="SJ188" s="9" t="n">
        <v>24.2</v>
      </c>
      <c r="SN188" s="10" t="n">
        <v>46179</v>
      </c>
      <c r="SP188" s="9" t="n">
        <v>0</v>
      </c>
      <c r="SR188" s="9" t="n">
        <v>0</v>
      </c>
      <c r="SS188" s="9" t="n">
        <v>32</v>
      </c>
      <c r="SW188" s="10" t="n">
        <v>46179</v>
      </c>
      <c r="SY188" s="9" t="n">
        <v>0</v>
      </c>
      <c r="TA188" s="9" t="n">
        <v>0</v>
      </c>
      <c r="TB188" s="9" t="n">
        <v>0</v>
      </c>
      <c r="TF188" s="10" t="n">
        <v>46179</v>
      </c>
      <c r="TH188" s="9" t="n">
        <v>30</v>
      </c>
      <c r="TJ188" s="9" t="n">
        <v>30</v>
      </c>
      <c r="TK188" s="9" t="n">
        <v>0</v>
      </c>
      <c r="TO188" s="10" t="n">
        <v>46179</v>
      </c>
      <c r="TQ188" s="9" t="n">
        <v>0</v>
      </c>
      <c r="TS188" s="9" t="n">
        <v>0</v>
      </c>
      <c r="TT188" s="9" t="n">
        <v>82.40000000000001</v>
      </c>
      <c r="TX188" s="10" t="n">
        <v>46179</v>
      </c>
      <c r="TZ188" s="9" t="n">
        <v>0</v>
      </c>
      <c r="UB188" s="9" t="n">
        <v>0</v>
      </c>
      <c r="UC188" s="9" t="n">
        <v>169.2</v>
      </c>
      <c r="UG188" s="10" t="n">
        <v>46179</v>
      </c>
      <c r="UI188" s="9" t="n">
        <v>0</v>
      </c>
      <c r="UK188" s="9" t="n">
        <v>0</v>
      </c>
      <c r="UL188" s="9" t="n">
        <v>204</v>
      </c>
      <c r="UP188" s="10" t="n">
        <v>46179</v>
      </c>
      <c r="UR188" s="9" t="n">
        <v>0</v>
      </c>
      <c r="UT188" s="9" t="n">
        <v>0</v>
      </c>
      <c r="UU188" s="9" t="n">
        <v>251.25</v>
      </c>
      <c r="UY188" s="10" t="n">
        <v>46179</v>
      </c>
      <c r="VA188" s="9" t="n">
        <v>0</v>
      </c>
      <c r="VC188" s="9" t="n">
        <v>0</v>
      </c>
      <c r="VD188" s="9" t="n">
        <v>41.60000000000002</v>
      </c>
      <c r="VH188" s="10" t="n">
        <v>46179</v>
      </c>
      <c r="VJ188" s="9" t="n">
        <v>0</v>
      </c>
      <c r="VL188" s="9" t="n">
        <v>0</v>
      </c>
      <c r="VM188" s="9" t="n">
        <v>210</v>
      </c>
      <c r="VQ188" s="10" t="n">
        <v>46179</v>
      </c>
      <c r="VS188" s="9" t="n">
        <v>95</v>
      </c>
      <c r="VU188" s="9" t="n">
        <v>95</v>
      </c>
      <c r="VV188" s="9" t="n">
        <v>0</v>
      </c>
      <c r="VZ188" s="10" t="n">
        <v>46179</v>
      </c>
      <c r="WB188" s="9" t="n">
        <v>95</v>
      </c>
      <c r="WD188" s="9" t="n">
        <v>95</v>
      </c>
      <c r="WE188" s="9" t="n">
        <v>0</v>
      </c>
      <c r="WI188" s="10" t="n">
        <v>46179</v>
      </c>
      <c r="WK188" s="9" t="n">
        <v>0</v>
      </c>
      <c r="WM188" s="9" t="n">
        <v>0</v>
      </c>
      <c r="WN188" s="9" t="n">
        <v>1199</v>
      </c>
      <c r="WR188" s="10" t="n">
        <v>46179</v>
      </c>
      <c r="WT188" s="9" t="n">
        <v>0</v>
      </c>
      <c r="WV188" s="9" t="n">
        <v>0</v>
      </c>
      <c r="WW188" s="9" t="n">
        <v>0</v>
      </c>
      <c r="XA188" s="10" t="n">
        <v>46179</v>
      </c>
      <c r="XC188" s="9" t="n">
        <v>0</v>
      </c>
      <c r="XE188" s="9" t="n">
        <v>0</v>
      </c>
      <c r="XF188" s="9" t="n">
        <v>6813</v>
      </c>
      <c r="XJ188" s="10" t="n">
        <v>46179</v>
      </c>
      <c r="XL188" s="9" t="n">
        <v>0</v>
      </c>
      <c r="XM188" s="9" t="n">
        <v>436</v>
      </c>
      <c r="XN188" s="9" t="n">
        <v>-436</v>
      </c>
      <c r="XO188" s="9" t="n">
        <v>6197</v>
      </c>
      <c r="XS188" s="10" t="n">
        <v>46179</v>
      </c>
      <c r="XU188" s="9" t="n">
        <v>0</v>
      </c>
      <c r="XW188" s="9" t="n">
        <v>0</v>
      </c>
      <c r="XX188" s="9" t="n">
        <v>1621</v>
      </c>
      <c r="YB188" s="10" t="n">
        <v>46179</v>
      </c>
      <c r="YD188" s="9" t="n">
        <v>0</v>
      </c>
      <c r="YE188" s="9" t="n">
        <v>792</v>
      </c>
      <c r="YF188" s="9" t="n">
        <v>-792</v>
      </c>
      <c r="YG188" s="9" t="n">
        <v>5083</v>
      </c>
      <c r="YK188" s="10" t="n">
        <v>46179</v>
      </c>
      <c r="YM188" s="9" t="n">
        <v>0</v>
      </c>
      <c r="YO188" s="9" t="n">
        <v>0</v>
      </c>
      <c r="YP188" s="9" t="n">
        <v>0</v>
      </c>
      <c r="YT188" s="10" t="n">
        <v>46179</v>
      </c>
      <c r="YV188" s="9" t="n">
        <v>95</v>
      </c>
      <c r="YX188" s="9" t="n">
        <v>95</v>
      </c>
      <c r="YY188" s="9" t="n">
        <v>0</v>
      </c>
      <c r="ZC188" s="10" t="n">
        <v>46179</v>
      </c>
      <c r="ZE188" s="9" t="n">
        <v>95</v>
      </c>
      <c r="ZG188" s="9" t="n">
        <v>95</v>
      </c>
      <c r="ZH188" s="9" t="n">
        <v>0</v>
      </c>
      <c r="ZL188" s="10" t="n">
        <v>46179</v>
      </c>
      <c r="ZN188" s="9" t="n">
        <v>95</v>
      </c>
      <c r="ZP188" s="9" t="n">
        <v>95</v>
      </c>
      <c r="ZQ188" s="9" t="n">
        <v>0</v>
      </c>
      <c r="ZU188" s="10" t="n">
        <v>46179</v>
      </c>
      <c r="ZW188" s="9" t="n">
        <v>95</v>
      </c>
      <c r="ZY188" s="9" t="n">
        <v>95</v>
      </c>
      <c r="ZZ188" s="9" t="n">
        <v>0</v>
      </c>
      <c r="AAD188" s="10" t="n">
        <v>46179</v>
      </c>
      <c r="AAF188" s="9" t="n">
        <v>95</v>
      </c>
      <c r="AAH188" s="9" t="n">
        <v>95</v>
      </c>
      <c r="AAI188" s="9" t="n">
        <v>0</v>
      </c>
      <c r="AAM188" s="10" t="n">
        <v>46179</v>
      </c>
      <c r="AAO188" s="9" t="n">
        <v>95</v>
      </c>
      <c r="AAQ188" s="9" t="n">
        <v>95</v>
      </c>
      <c r="AAR188" s="9" t="n">
        <v>0</v>
      </c>
      <c r="AAV188" s="10" t="n">
        <v>46179</v>
      </c>
      <c r="AAX188" s="9" t="n">
        <v>95</v>
      </c>
      <c r="AAZ188" s="9" t="n">
        <v>95</v>
      </c>
      <c r="ABA188" s="9" t="n">
        <v>0</v>
      </c>
      <c r="ABE188" s="10" t="n">
        <v>46179</v>
      </c>
      <c r="ABG188" s="9" t="n">
        <v>95</v>
      </c>
      <c r="ABI188" s="9" t="n">
        <v>95</v>
      </c>
      <c r="ABJ188" s="9" t="n">
        <v>0</v>
      </c>
    </row>
    <row r="189">
      <c r="C189" s="10" t="n">
        <v>46180</v>
      </c>
      <c r="E189" s="9" t="n">
        <v>0</v>
      </c>
      <c r="G189" s="9" t="n">
        <v>0</v>
      </c>
      <c r="H189" s="9" t="n">
        <v>186675.4000000001</v>
      </c>
      <c r="L189" s="10" t="n">
        <v>46180</v>
      </c>
      <c r="N189" s="9" t="n">
        <v>0</v>
      </c>
      <c r="P189" s="9" t="n">
        <v>0</v>
      </c>
      <c r="Q189" s="9" t="n">
        <v>66822.60000000006</v>
      </c>
      <c r="U189" s="10" t="n">
        <v>46180</v>
      </c>
      <c r="W189" s="9" t="n">
        <v>0</v>
      </c>
      <c r="Y189" s="9" t="n">
        <v>0</v>
      </c>
      <c r="Z189" s="9" t="n">
        <v>33782.89999999997</v>
      </c>
      <c r="AD189" s="10" t="n">
        <v>46180</v>
      </c>
      <c r="AF189" s="9" t="n">
        <v>0</v>
      </c>
      <c r="AH189" s="9" t="n">
        <v>0</v>
      </c>
      <c r="AI189" s="9" t="n">
        <v>11593.10000000002</v>
      </c>
      <c r="AM189" s="10" t="n">
        <v>46180</v>
      </c>
      <c r="AO189" s="9" t="n">
        <v>0</v>
      </c>
      <c r="AQ189" s="9" t="n">
        <v>0</v>
      </c>
      <c r="AR189" s="9" t="n">
        <v>0</v>
      </c>
      <c r="AV189" s="10" t="n">
        <v>46180</v>
      </c>
      <c r="AX189" s="9" t="n">
        <v>0</v>
      </c>
      <c r="AZ189" s="9" t="n">
        <v>0</v>
      </c>
      <c r="BA189" s="9" t="n">
        <v>16316</v>
      </c>
      <c r="BE189" s="10" t="n">
        <v>46180</v>
      </c>
      <c r="BG189" s="9" t="n">
        <v>0</v>
      </c>
      <c r="BI189" s="9" t="n">
        <v>0</v>
      </c>
      <c r="BJ189" s="9" t="n">
        <v>31940.7</v>
      </c>
      <c r="BN189" s="10" t="n">
        <v>46180</v>
      </c>
      <c r="BP189" s="9" t="n">
        <v>0</v>
      </c>
      <c r="BR189" s="9" t="n">
        <v>0</v>
      </c>
      <c r="BS189" s="9" t="n">
        <v>0</v>
      </c>
      <c r="BW189" s="10" t="n">
        <v>46180</v>
      </c>
      <c r="BY189" s="9" t="n">
        <v>0</v>
      </c>
      <c r="CA189" s="9" t="n">
        <v>0</v>
      </c>
      <c r="CB189" s="9" t="n">
        <v>4126.629999999999</v>
      </c>
      <c r="CF189" s="10" t="n">
        <v>46180</v>
      </c>
      <c r="CH189" s="9" t="n">
        <v>0</v>
      </c>
      <c r="CJ189" s="9" t="n">
        <v>0</v>
      </c>
      <c r="CK189" s="9" t="n">
        <v>0</v>
      </c>
      <c r="CO189" s="10" t="n">
        <v>46180</v>
      </c>
      <c r="CQ189" s="9" t="n">
        <v>0</v>
      </c>
      <c r="CS189" s="9" t="n">
        <v>0</v>
      </c>
      <c r="CT189" s="9" t="n">
        <v>0</v>
      </c>
      <c r="CX189" s="10" t="n">
        <v>46180</v>
      </c>
      <c r="CZ189" s="9" t="n">
        <v>0</v>
      </c>
      <c r="DB189" s="9" t="n">
        <v>0</v>
      </c>
      <c r="DC189" s="9" t="n">
        <v>18022.7</v>
      </c>
      <c r="DG189" s="10" t="n">
        <v>46180</v>
      </c>
      <c r="DI189" s="9" t="n">
        <v>0</v>
      </c>
      <c r="DK189" s="9" t="n">
        <v>0</v>
      </c>
      <c r="DL189" s="9" t="n">
        <v>35234.99999999999</v>
      </c>
      <c r="DP189" s="10" t="n">
        <v>46180</v>
      </c>
      <c r="DR189" s="9" t="n">
        <v>0</v>
      </c>
      <c r="DT189" s="9" t="n">
        <v>0</v>
      </c>
      <c r="DU189" s="9" t="n">
        <v>5800</v>
      </c>
      <c r="DY189" s="10" t="n">
        <v>46180</v>
      </c>
      <c r="EA189" s="9" t="n">
        <v>0</v>
      </c>
      <c r="EC189" s="9" t="n">
        <v>0</v>
      </c>
      <c r="ED189" s="9" t="n">
        <v>0</v>
      </c>
      <c r="EH189" s="10" t="n">
        <v>46180</v>
      </c>
      <c r="EJ189" s="9" t="n">
        <v>0</v>
      </c>
      <c r="EL189" s="9" t="n">
        <v>0</v>
      </c>
      <c r="EM189" s="9" t="n">
        <v>0</v>
      </c>
      <c r="EQ189" s="10" t="n">
        <v>46180</v>
      </c>
      <c r="ES189" s="9" t="n">
        <v>0</v>
      </c>
      <c r="EU189" s="9" t="n">
        <v>0</v>
      </c>
      <c r="EV189" s="9" t="n">
        <v>0</v>
      </c>
      <c r="EZ189" s="10" t="n">
        <v>46180</v>
      </c>
      <c r="FB189" s="9" t="n">
        <v>0</v>
      </c>
      <c r="FD189" s="9" t="n">
        <v>0</v>
      </c>
      <c r="FE189" s="9" t="n">
        <v>0</v>
      </c>
      <c r="FI189" s="10" t="n">
        <v>46180</v>
      </c>
      <c r="FK189" s="9" t="n">
        <v>0</v>
      </c>
      <c r="FM189" s="9" t="n">
        <v>0</v>
      </c>
      <c r="FN189" s="9" t="n">
        <v>0</v>
      </c>
      <c r="FR189" s="10" t="n">
        <v>46180</v>
      </c>
      <c r="FT189" s="9" t="n">
        <v>0</v>
      </c>
      <c r="FV189" s="9" t="n">
        <v>0</v>
      </c>
      <c r="FW189" s="9" t="n">
        <v>4140</v>
      </c>
      <c r="GA189" s="10" t="n">
        <v>46180</v>
      </c>
      <c r="GC189" s="9" t="n">
        <v>0</v>
      </c>
      <c r="GE189" s="9" t="n">
        <v>0</v>
      </c>
      <c r="GF189" s="9" t="n">
        <v>5040</v>
      </c>
      <c r="GJ189" s="10" t="n">
        <v>46180</v>
      </c>
      <c r="GL189" s="9" t="n">
        <v>0</v>
      </c>
      <c r="GN189" s="9" t="n">
        <v>0</v>
      </c>
      <c r="GO189" s="9" t="n">
        <v>1760</v>
      </c>
      <c r="GS189" s="10" t="n">
        <v>46180</v>
      </c>
      <c r="GU189" s="9" t="n">
        <v>0</v>
      </c>
      <c r="GW189" s="9" t="n">
        <v>0</v>
      </c>
      <c r="GX189" s="9" t="n">
        <v>0</v>
      </c>
      <c r="HB189" s="10" t="n">
        <v>46180</v>
      </c>
      <c r="HD189" s="9" t="n">
        <v>0</v>
      </c>
      <c r="HF189" s="9" t="n">
        <v>0</v>
      </c>
      <c r="HG189" s="9" t="n">
        <v>3600</v>
      </c>
      <c r="HK189" s="10" t="n">
        <v>46180</v>
      </c>
      <c r="HM189" s="9" t="n">
        <v>0</v>
      </c>
      <c r="HO189" s="9" t="n">
        <v>0</v>
      </c>
      <c r="HP189" s="9" t="n">
        <v>0</v>
      </c>
      <c r="HU189" s="10" t="n">
        <v>46180</v>
      </c>
      <c r="HW189" s="9" t="n">
        <v>0</v>
      </c>
      <c r="HY189" s="9" t="n">
        <v>0</v>
      </c>
      <c r="HZ189" s="9" t="n">
        <v>6800</v>
      </c>
      <c r="ID189" s="10" t="n">
        <v>46180</v>
      </c>
      <c r="IF189" s="9" t="n">
        <v>0</v>
      </c>
      <c r="IH189" s="9" t="n">
        <v>0</v>
      </c>
      <c r="II189" s="9" t="n">
        <v>720</v>
      </c>
      <c r="IM189" s="10" t="n">
        <v>46180</v>
      </c>
      <c r="IO189" s="9" t="n">
        <v>0</v>
      </c>
      <c r="IQ189" s="9" t="n">
        <v>0</v>
      </c>
      <c r="IR189" s="9" t="n">
        <v>8140</v>
      </c>
      <c r="IV189" s="10" t="n">
        <v>46180</v>
      </c>
      <c r="IX189" s="9" t="n">
        <v>0</v>
      </c>
      <c r="IZ189" s="9" t="n">
        <v>0</v>
      </c>
      <c r="JA189" s="9" t="n">
        <v>4960</v>
      </c>
      <c r="JE189" s="10" t="n">
        <v>46180</v>
      </c>
      <c r="JG189" s="9" t="n">
        <v>0</v>
      </c>
      <c r="JI189" s="9" t="n">
        <v>0</v>
      </c>
      <c r="JJ189" s="9" t="n">
        <v>0</v>
      </c>
      <c r="JN189" s="10" t="n">
        <v>46180</v>
      </c>
      <c r="JP189" s="9" t="n">
        <v>0</v>
      </c>
      <c r="JR189" s="9" t="n">
        <v>0</v>
      </c>
      <c r="JS189" s="9" t="n">
        <v>180</v>
      </c>
      <c r="JW189" s="10" t="n">
        <v>46180</v>
      </c>
      <c r="JY189" s="9" t="n">
        <v>0</v>
      </c>
      <c r="KA189" s="9" t="n">
        <v>0</v>
      </c>
      <c r="KB189" s="9" t="n">
        <v>2540</v>
      </c>
      <c r="KF189" s="10" t="n">
        <v>46180</v>
      </c>
      <c r="KH189" s="9" t="n">
        <v>0</v>
      </c>
      <c r="KJ189" s="9" t="n">
        <v>0</v>
      </c>
      <c r="KK189" s="9" t="n">
        <v>2359.5</v>
      </c>
      <c r="KO189" s="10" t="n">
        <v>46180</v>
      </c>
      <c r="KQ189" s="9" t="n">
        <v>0</v>
      </c>
      <c r="KS189" s="9" t="n">
        <v>0</v>
      </c>
      <c r="KT189" s="9" t="n">
        <v>1890</v>
      </c>
      <c r="KX189" s="10" t="n">
        <v>46180</v>
      </c>
      <c r="KZ189" s="9" t="n">
        <v>0</v>
      </c>
      <c r="LB189" s="9" t="n">
        <v>0</v>
      </c>
      <c r="LC189" s="9" t="n">
        <v>3690</v>
      </c>
      <c r="LG189" s="10" t="n">
        <v>46180</v>
      </c>
      <c r="LI189" s="9" t="n">
        <v>0</v>
      </c>
      <c r="LK189" s="9" t="n">
        <v>0</v>
      </c>
      <c r="LL189" s="9" t="n">
        <v>4000</v>
      </c>
      <c r="LP189" s="10" t="n">
        <v>46180</v>
      </c>
      <c r="LR189" s="9" t="n">
        <v>0</v>
      </c>
      <c r="LT189" s="9" t="n">
        <v>0</v>
      </c>
      <c r="LU189" s="9" t="n">
        <v>0</v>
      </c>
      <c r="LY189" s="10" t="n">
        <v>46180</v>
      </c>
      <c r="MA189" s="9" t="n">
        <v>0</v>
      </c>
      <c r="MC189" s="9" t="n">
        <v>0</v>
      </c>
      <c r="MD189" s="9" t="n">
        <v>0</v>
      </c>
      <c r="MH189" s="10" t="n">
        <v>46180</v>
      </c>
      <c r="MJ189" s="9" t="n">
        <v>0</v>
      </c>
      <c r="ML189" s="9" t="n">
        <v>0</v>
      </c>
      <c r="MM189" s="9" t="n">
        <v>0</v>
      </c>
      <c r="MQ189" s="10" t="n">
        <v>46180</v>
      </c>
      <c r="MS189" s="9" t="n">
        <v>0</v>
      </c>
      <c r="MU189" s="9" t="n">
        <v>0</v>
      </c>
      <c r="MV189" s="9" t="n">
        <v>3724</v>
      </c>
      <c r="MZ189" s="10" t="n">
        <v>46180</v>
      </c>
      <c r="NB189" s="9" t="n">
        <v>0</v>
      </c>
      <c r="ND189" s="9" t="n">
        <v>0</v>
      </c>
      <c r="NE189" s="9" t="n">
        <v>0</v>
      </c>
      <c r="NI189" s="10" t="n">
        <v>46180</v>
      </c>
      <c r="NK189" s="9" t="n">
        <v>0</v>
      </c>
      <c r="NM189" s="9" t="n">
        <v>0</v>
      </c>
      <c r="NN189" s="9" t="n">
        <v>1127</v>
      </c>
      <c r="NR189" s="10" t="n">
        <v>46180</v>
      </c>
      <c r="NT189" s="9" t="n">
        <v>0</v>
      </c>
      <c r="NV189" s="9" t="n">
        <v>0</v>
      </c>
      <c r="NW189" s="9" t="n">
        <v>3112</v>
      </c>
      <c r="OA189" s="10" t="n">
        <v>46180</v>
      </c>
      <c r="OC189" s="9" t="n">
        <v>0</v>
      </c>
      <c r="OE189" s="9" t="n">
        <v>0</v>
      </c>
      <c r="OF189" s="9" t="n">
        <v>1680.5</v>
      </c>
      <c r="OJ189" s="10" t="n">
        <v>46180</v>
      </c>
      <c r="OL189" s="9" t="n">
        <v>0</v>
      </c>
      <c r="ON189" s="9" t="n">
        <v>0</v>
      </c>
      <c r="OO189" s="9" t="n">
        <v>0</v>
      </c>
      <c r="OS189" s="10" t="n">
        <v>46180</v>
      </c>
      <c r="OU189" s="9" t="n">
        <v>0</v>
      </c>
      <c r="OW189" s="9" t="n">
        <v>0</v>
      </c>
      <c r="OX189" s="9" t="n">
        <v>1482</v>
      </c>
      <c r="PB189" s="10" t="n">
        <v>46180</v>
      </c>
      <c r="PD189" s="9" t="n">
        <v>0</v>
      </c>
      <c r="PF189" s="9" t="n">
        <v>0</v>
      </c>
      <c r="PG189" s="9" t="n">
        <v>0</v>
      </c>
      <c r="PK189" s="10" t="n">
        <v>46180</v>
      </c>
      <c r="PM189" s="9" t="n">
        <v>0</v>
      </c>
      <c r="PO189" s="9" t="n">
        <v>0</v>
      </c>
      <c r="PP189" s="9" t="n">
        <v>100</v>
      </c>
      <c r="PT189" s="10" t="n">
        <v>46180</v>
      </c>
      <c r="PV189" s="9" t="n">
        <v>0</v>
      </c>
      <c r="PX189" s="9" t="n">
        <v>0</v>
      </c>
      <c r="PY189" s="9" t="n">
        <v>13.96000000000004</v>
      </c>
      <c r="QC189" s="10" t="n">
        <v>46180</v>
      </c>
      <c r="QE189" s="9" t="n">
        <v>0</v>
      </c>
      <c r="QG189" s="9" t="n">
        <v>0</v>
      </c>
      <c r="QH189" s="9" t="n">
        <v>1736</v>
      </c>
      <c r="QL189" s="10" t="n">
        <v>46180</v>
      </c>
      <c r="QN189" s="9" t="n">
        <v>0</v>
      </c>
      <c r="QP189" s="9" t="n">
        <v>0</v>
      </c>
      <c r="QQ189" s="9" t="n">
        <v>475</v>
      </c>
      <c r="QU189" s="10" t="n">
        <v>46180</v>
      </c>
      <c r="QW189" s="9" t="n">
        <v>0</v>
      </c>
      <c r="QY189" s="9" t="n">
        <v>0</v>
      </c>
      <c r="QZ189" s="9" t="n">
        <v>207.6</v>
      </c>
      <c r="RD189" s="10" t="n">
        <v>46180</v>
      </c>
      <c r="RF189" s="9" t="n">
        <v>0</v>
      </c>
      <c r="RH189" s="9" t="n">
        <v>0</v>
      </c>
      <c r="RI189" s="9" t="n">
        <v>147.04</v>
      </c>
      <c r="RM189" s="10" t="n">
        <v>46180</v>
      </c>
      <c r="RO189" s="9" t="n">
        <v>0</v>
      </c>
      <c r="RQ189" s="9" t="n">
        <v>0</v>
      </c>
      <c r="RR189" s="9" t="n">
        <v>46.8</v>
      </c>
      <c r="RV189" s="10" t="n">
        <v>46180</v>
      </c>
      <c r="RX189" s="9" t="n">
        <v>0</v>
      </c>
      <c r="RZ189" s="9" t="n">
        <v>0</v>
      </c>
      <c r="SA189" s="9" t="n">
        <v>0</v>
      </c>
      <c r="SE189" s="10" t="n">
        <v>46180</v>
      </c>
      <c r="SG189" s="9" t="n">
        <v>0</v>
      </c>
      <c r="SI189" s="9" t="n">
        <v>0</v>
      </c>
      <c r="SJ189" s="9" t="n">
        <v>24.2</v>
      </c>
      <c r="SN189" s="10" t="n">
        <v>46180</v>
      </c>
      <c r="SP189" s="9" t="n">
        <v>0</v>
      </c>
      <c r="SR189" s="9" t="n">
        <v>0</v>
      </c>
      <c r="SS189" s="9" t="n">
        <v>32</v>
      </c>
      <c r="SW189" s="10" t="n">
        <v>46180</v>
      </c>
      <c r="SY189" s="9" t="n">
        <v>0</v>
      </c>
      <c r="TA189" s="9" t="n">
        <v>0</v>
      </c>
      <c r="TB189" s="9" t="n">
        <v>0</v>
      </c>
      <c r="TF189" s="10" t="n">
        <v>46180</v>
      </c>
      <c r="TH189" s="9" t="n">
        <v>0</v>
      </c>
      <c r="TJ189" s="9" t="n">
        <v>0</v>
      </c>
      <c r="TK189" s="9" t="n">
        <v>0</v>
      </c>
      <c r="TO189" s="10" t="n">
        <v>46180</v>
      </c>
      <c r="TQ189" s="9" t="n">
        <v>0</v>
      </c>
      <c r="TS189" s="9" t="n">
        <v>0</v>
      </c>
      <c r="TT189" s="9" t="n">
        <v>82.40000000000001</v>
      </c>
      <c r="TX189" s="10" t="n">
        <v>46180</v>
      </c>
      <c r="TZ189" s="9" t="n">
        <v>0</v>
      </c>
      <c r="UB189" s="9" t="n">
        <v>0</v>
      </c>
      <c r="UC189" s="9" t="n">
        <v>169.2</v>
      </c>
      <c r="UG189" s="10" t="n">
        <v>46180</v>
      </c>
      <c r="UI189" s="9" t="n">
        <v>0</v>
      </c>
      <c r="UK189" s="9" t="n">
        <v>0</v>
      </c>
      <c r="UL189" s="9" t="n">
        <v>204</v>
      </c>
      <c r="UP189" s="10" t="n">
        <v>46180</v>
      </c>
      <c r="UR189" s="9" t="n">
        <v>0</v>
      </c>
      <c r="UT189" s="9" t="n">
        <v>0</v>
      </c>
      <c r="UU189" s="9" t="n">
        <v>251.25</v>
      </c>
      <c r="UY189" s="10" t="n">
        <v>46180</v>
      </c>
      <c r="VA189" s="9" t="n">
        <v>0</v>
      </c>
      <c r="VC189" s="9" t="n">
        <v>0</v>
      </c>
      <c r="VD189" s="9" t="n">
        <v>41.60000000000002</v>
      </c>
      <c r="VH189" s="10" t="n">
        <v>46180</v>
      </c>
      <c r="VJ189" s="9" t="n">
        <v>0</v>
      </c>
      <c r="VL189" s="9" t="n">
        <v>0</v>
      </c>
      <c r="VM189" s="9" t="n">
        <v>210</v>
      </c>
      <c r="VQ189" s="10" t="n">
        <v>46180</v>
      </c>
      <c r="VS189" s="9" t="n">
        <v>0</v>
      </c>
      <c r="VU189" s="9" t="n">
        <v>0</v>
      </c>
      <c r="VV189" s="9" t="n">
        <v>0</v>
      </c>
      <c r="VZ189" s="10" t="n">
        <v>46180</v>
      </c>
      <c r="WB189" s="9" t="n">
        <v>0</v>
      </c>
      <c r="WD189" s="9" t="n">
        <v>0</v>
      </c>
      <c r="WE189" s="9" t="n">
        <v>0</v>
      </c>
      <c r="WI189" s="10" t="n">
        <v>46180</v>
      </c>
      <c r="WK189" s="9" t="n">
        <v>0</v>
      </c>
      <c r="WM189" s="9" t="n">
        <v>0</v>
      </c>
      <c r="WN189" s="9" t="n">
        <v>1199</v>
      </c>
      <c r="WR189" s="10" t="n">
        <v>46180</v>
      </c>
      <c r="WT189" s="9" t="n">
        <v>0</v>
      </c>
      <c r="WV189" s="9" t="n">
        <v>0</v>
      </c>
      <c r="WW189" s="9" t="n">
        <v>0</v>
      </c>
      <c r="XA189" s="10" t="n">
        <v>46180</v>
      </c>
      <c r="XC189" s="9" t="n">
        <v>0</v>
      </c>
      <c r="XE189" s="9" t="n">
        <v>0</v>
      </c>
      <c r="XF189" s="9" t="n">
        <v>6813</v>
      </c>
      <c r="XJ189" s="10" t="n">
        <v>46180</v>
      </c>
      <c r="XL189" s="9" t="n">
        <v>0</v>
      </c>
      <c r="XN189" s="9" t="n">
        <v>0</v>
      </c>
      <c r="XO189" s="9" t="n">
        <v>6197</v>
      </c>
      <c r="XS189" s="10" t="n">
        <v>46180</v>
      </c>
      <c r="XU189" s="9" t="n">
        <v>0</v>
      </c>
      <c r="XW189" s="9" t="n">
        <v>0</v>
      </c>
      <c r="XX189" s="9" t="n">
        <v>1621</v>
      </c>
      <c r="YB189" s="10" t="n">
        <v>46180</v>
      </c>
      <c r="YD189" s="9" t="n">
        <v>0</v>
      </c>
      <c r="YF189" s="9" t="n">
        <v>0</v>
      </c>
      <c r="YG189" s="9" t="n">
        <v>5083</v>
      </c>
      <c r="YK189" s="10" t="n">
        <v>46180</v>
      </c>
      <c r="YM189" s="9" t="n">
        <v>0</v>
      </c>
      <c r="YO189" s="9" t="n">
        <v>0</v>
      </c>
      <c r="YP189" s="9" t="n">
        <v>0</v>
      </c>
      <c r="YT189" s="10" t="n">
        <v>46180</v>
      </c>
      <c r="YV189" s="9" t="n">
        <v>0</v>
      </c>
      <c r="YX189" s="9" t="n">
        <v>0</v>
      </c>
      <c r="YY189" s="9" t="n">
        <v>0</v>
      </c>
      <c r="ZC189" s="10" t="n">
        <v>46180</v>
      </c>
      <c r="ZE189" s="9" t="n">
        <v>0</v>
      </c>
      <c r="ZG189" s="9" t="n">
        <v>0</v>
      </c>
      <c r="ZH189" s="9" t="n">
        <v>0</v>
      </c>
      <c r="ZL189" s="10" t="n">
        <v>46180</v>
      </c>
      <c r="ZN189" s="9" t="n">
        <v>0</v>
      </c>
      <c r="ZP189" s="9" t="n">
        <v>0</v>
      </c>
      <c r="ZQ189" s="9" t="n">
        <v>0</v>
      </c>
      <c r="ZU189" s="10" t="n">
        <v>46180</v>
      </c>
      <c r="ZW189" s="9" t="n">
        <v>0</v>
      </c>
      <c r="ZY189" s="9" t="n">
        <v>0</v>
      </c>
      <c r="ZZ189" s="9" t="n">
        <v>0</v>
      </c>
      <c r="AAD189" s="10" t="n">
        <v>46180</v>
      </c>
      <c r="AAF189" s="9" t="n">
        <v>0</v>
      </c>
      <c r="AAH189" s="9" t="n">
        <v>0</v>
      </c>
      <c r="AAI189" s="9" t="n">
        <v>0</v>
      </c>
      <c r="AAM189" s="10" t="n">
        <v>46180</v>
      </c>
      <c r="AAO189" s="9" t="n">
        <v>0</v>
      </c>
      <c r="AAQ189" s="9" t="n">
        <v>0</v>
      </c>
      <c r="AAR189" s="9" t="n">
        <v>0</v>
      </c>
      <c r="AAV189" s="10" t="n">
        <v>46180</v>
      </c>
      <c r="AAX189" s="9" t="n">
        <v>0</v>
      </c>
      <c r="AAZ189" s="9" t="n">
        <v>0</v>
      </c>
      <c r="ABA189" s="9" t="n">
        <v>0</v>
      </c>
      <c r="ABE189" s="10" t="n">
        <v>46180</v>
      </c>
      <c r="ABG189" s="9" t="n">
        <v>0</v>
      </c>
      <c r="ABI189" s="9" t="n">
        <v>0</v>
      </c>
      <c r="ABJ189" s="9" t="n">
        <v>0</v>
      </c>
    </row>
    <row r="190">
      <c r="B190" s="9" t="n">
        <v>60</v>
      </c>
      <c r="C190" s="10" t="n">
        <v>46181</v>
      </c>
      <c r="E190" s="9" t="n">
        <v>33218.1</v>
      </c>
      <c r="F190" s="9" t="n">
        <v>33221.4</v>
      </c>
      <c r="G190" s="9" t="n">
        <v>-3.30000000000291</v>
      </c>
      <c r="H190" s="9" t="n">
        <v>153454.0000000001</v>
      </c>
      <c r="I190" s="9" t="inlineStr">
        <is>
          <t>5202 20mt, 8102 40mt</t>
        </is>
      </c>
      <c r="L190" s="10" t="n">
        <v>46181</v>
      </c>
      <c r="N190" s="9" t="n">
        <v>18637.7</v>
      </c>
      <c r="O190" s="9" t="n">
        <v>18636</v>
      </c>
      <c r="P190" s="9" t="n">
        <v>1.700000000000728</v>
      </c>
      <c r="Q190" s="9" t="n">
        <v>48186.60000000006</v>
      </c>
      <c r="U190" s="10" t="n">
        <v>46181</v>
      </c>
      <c r="W190" s="9" t="n">
        <v>3200</v>
      </c>
      <c r="X190" s="9" t="n">
        <v>3200.8</v>
      </c>
      <c r="Y190" s="9" t="n">
        <v>-0.8000000000001819</v>
      </c>
      <c r="Z190" s="9" t="n">
        <v>30582.09999999997</v>
      </c>
      <c r="AD190" s="10" t="n">
        <v>46181</v>
      </c>
      <c r="AF190" s="9" t="n">
        <v>0</v>
      </c>
      <c r="AH190" s="9" t="n">
        <v>0</v>
      </c>
      <c r="AI190" s="9" t="n">
        <v>11593.10000000002</v>
      </c>
      <c r="AM190" s="10" t="n">
        <v>46181</v>
      </c>
      <c r="AO190" s="9" t="n">
        <v>0</v>
      </c>
      <c r="AQ190" s="9" t="n">
        <v>0</v>
      </c>
      <c r="AR190" s="9" t="n">
        <v>0</v>
      </c>
      <c r="AV190" s="10" t="n">
        <v>46181</v>
      </c>
      <c r="AX190" s="9" t="n">
        <v>0</v>
      </c>
      <c r="AZ190" s="9" t="n">
        <v>0</v>
      </c>
      <c r="BA190" s="9" t="n">
        <v>16316</v>
      </c>
      <c r="BE190" s="10" t="n">
        <v>46181</v>
      </c>
      <c r="BG190" s="9" t="n">
        <v>780</v>
      </c>
      <c r="BH190" s="9" t="n">
        <v>780.7</v>
      </c>
      <c r="BI190" s="9" t="n">
        <v>-0.7000000000000455</v>
      </c>
      <c r="BJ190" s="9" t="n">
        <v>31160</v>
      </c>
      <c r="BN190" s="10" t="n">
        <v>46181</v>
      </c>
      <c r="BO190" s="9" t="n">
        <v>1040.1</v>
      </c>
      <c r="BP190" s="9" t="n">
        <v>1040</v>
      </c>
      <c r="BQ190" s="9" t="n">
        <v>1040.1</v>
      </c>
      <c r="BR190" s="9" t="n">
        <v>-0.09999999999990905</v>
      </c>
      <c r="BS190" s="9" t="n">
        <v>0</v>
      </c>
      <c r="BW190" s="10" t="n">
        <v>46181</v>
      </c>
      <c r="BY190" s="9" t="n">
        <v>147.1</v>
      </c>
      <c r="CA190" s="9" t="n">
        <v>147.1</v>
      </c>
      <c r="CB190" s="9" t="n">
        <v>4126.629999999999</v>
      </c>
      <c r="CF190" s="10" t="n">
        <v>46181</v>
      </c>
      <c r="CH190" s="9" t="n">
        <v>256.8</v>
      </c>
      <c r="CJ190" s="9" t="n">
        <v>256.8</v>
      </c>
      <c r="CK190" s="9" t="n">
        <v>0</v>
      </c>
      <c r="CO190" s="10" t="n">
        <v>46181</v>
      </c>
      <c r="CQ190" s="9" t="n">
        <v>0</v>
      </c>
      <c r="CS190" s="9" t="n">
        <v>0</v>
      </c>
      <c r="CT190" s="9" t="n">
        <v>0</v>
      </c>
      <c r="CX190" s="10" t="n">
        <v>46181</v>
      </c>
      <c r="CZ190" s="9" t="n">
        <v>400</v>
      </c>
      <c r="DA190" s="9" t="n">
        <v>399.1</v>
      </c>
      <c r="DB190" s="9" t="n">
        <v>0.8999999999999773</v>
      </c>
      <c r="DC190" s="9" t="n">
        <v>17623.60000000001</v>
      </c>
      <c r="DG190" s="10" t="n">
        <v>46181</v>
      </c>
      <c r="DI190" s="9" t="n">
        <v>0</v>
      </c>
      <c r="DK190" s="9" t="n">
        <v>0</v>
      </c>
      <c r="DL190" s="9" t="n">
        <v>35234.99999999999</v>
      </c>
      <c r="DP190" s="10" t="n">
        <v>46181</v>
      </c>
      <c r="DR190" s="9" t="n">
        <v>0</v>
      </c>
      <c r="DT190" s="9" t="n">
        <v>0</v>
      </c>
      <c r="DU190" s="9" t="n">
        <v>5800</v>
      </c>
      <c r="DY190" s="10" t="n">
        <v>46181</v>
      </c>
      <c r="EA190" s="9" t="n">
        <v>0</v>
      </c>
      <c r="EC190" s="9" t="n">
        <v>0</v>
      </c>
      <c r="ED190" s="9" t="n">
        <v>0</v>
      </c>
      <c r="EH190" s="10" t="n">
        <v>46181</v>
      </c>
      <c r="EJ190" s="9" t="n">
        <v>0</v>
      </c>
      <c r="EL190" s="9" t="n">
        <v>0</v>
      </c>
      <c r="EM190" s="9" t="n">
        <v>0</v>
      </c>
      <c r="EQ190" s="10" t="n">
        <v>46181</v>
      </c>
      <c r="ES190" s="9" t="n">
        <v>0</v>
      </c>
      <c r="EU190" s="9" t="n">
        <v>0</v>
      </c>
      <c r="EV190" s="9" t="n">
        <v>0</v>
      </c>
      <c r="EZ190" s="10" t="n">
        <v>46181</v>
      </c>
      <c r="FB190" s="9" t="n">
        <v>0</v>
      </c>
      <c r="FD190" s="9" t="n">
        <v>0</v>
      </c>
      <c r="FE190" s="9" t="n">
        <v>0</v>
      </c>
      <c r="FI190" s="10" t="n">
        <v>46181</v>
      </c>
      <c r="FK190" s="9" t="n">
        <v>0</v>
      </c>
      <c r="FM190" s="9" t="n">
        <v>0</v>
      </c>
      <c r="FN190" s="9" t="n">
        <v>0</v>
      </c>
      <c r="FR190" s="10" t="n">
        <v>46181</v>
      </c>
      <c r="FT190" s="9" t="n">
        <v>0</v>
      </c>
      <c r="FV190" s="9" t="n">
        <v>0</v>
      </c>
      <c r="FW190" s="9" t="n">
        <v>4140</v>
      </c>
      <c r="GA190" s="10" t="n">
        <v>46181</v>
      </c>
      <c r="GC190" s="9" t="n">
        <v>0</v>
      </c>
      <c r="GE190" s="9" t="n">
        <v>0</v>
      </c>
      <c r="GF190" s="9" t="n">
        <v>5040</v>
      </c>
      <c r="GJ190" s="10" t="n">
        <v>46181</v>
      </c>
      <c r="GL190" s="9" t="n">
        <v>0</v>
      </c>
      <c r="GN190" s="9" t="n">
        <v>0</v>
      </c>
      <c r="GO190" s="9" t="n">
        <v>1760</v>
      </c>
      <c r="GS190" s="10" t="n">
        <v>46181</v>
      </c>
      <c r="GU190" s="9" t="n">
        <v>0</v>
      </c>
      <c r="GW190" s="9" t="n">
        <v>0</v>
      </c>
      <c r="GX190" s="9" t="n">
        <v>0</v>
      </c>
      <c r="HB190" s="10" t="n">
        <v>46181</v>
      </c>
      <c r="HD190" s="9" t="n">
        <v>0</v>
      </c>
      <c r="HF190" s="9" t="n">
        <v>0</v>
      </c>
      <c r="HG190" s="9" t="n">
        <v>3600</v>
      </c>
      <c r="HK190" s="10" t="n">
        <v>46181</v>
      </c>
      <c r="HM190" s="9" t="n">
        <v>0</v>
      </c>
      <c r="HO190" s="9" t="n">
        <v>0</v>
      </c>
      <c r="HP190" s="9" t="n">
        <v>0</v>
      </c>
      <c r="HU190" s="10" t="n">
        <v>46181</v>
      </c>
      <c r="HW190" s="9" t="n">
        <v>0</v>
      </c>
      <c r="HY190" s="9" t="n">
        <v>0</v>
      </c>
      <c r="HZ190" s="9" t="n">
        <v>6800</v>
      </c>
      <c r="ID190" s="10" t="n">
        <v>46181</v>
      </c>
      <c r="IF190" s="9" t="n">
        <v>0</v>
      </c>
      <c r="IH190" s="9" t="n">
        <v>0</v>
      </c>
      <c r="II190" s="9" t="n">
        <v>720</v>
      </c>
      <c r="IM190" s="10" t="n">
        <v>46181</v>
      </c>
      <c r="IO190" s="9" t="n">
        <v>0</v>
      </c>
      <c r="IQ190" s="9" t="n">
        <v>0</v>
      </c>
      <c r="IR190" s="9" t="n">
        <v>8140</v>
      </c>
      <c r="IV190" s="10" t="n">
        <v>46181</v>
      </c>
      <c r="IX190" s="9" t="n">
        <v>0</v>
      </c>
      <c r="IZ190" s="9" t="n">
        <v>0</v>
      </c>
      <c r="JA190" s="9" t="n">
        <v>4960</v>
      </c>
      <c r="JE190" s="10" t="n">
        <v>46181</v>
      </c>
      <c r="JG190" s="9" t="n">
        <v>0</v>
      </c>
      <c r="JI190" s="9" t="n">
        <v>0</v>
      </c>
      <c r="JJ190" s="9" t="n">
        <v>0</v>
      </c>
      <c r="JN190" s="10" t="n">
        <v>46181</v>
      </c>
      <c r="JP190" s="9" t="n">
        <v>800</v>
      </c>
      <c r="JR190" s="9" t="n">
        <v>800</v>
      </c>
      <c r="JS190" s="9" t="n">
        <v>180</v>
      </c>
      <c r="JW190" s="10" t="n">
        <v>46181</v>
      </c>
      <c r="JY190" s="9" t="n">
        <v>0</v>
      </c>
      <c r="KA190" s="9" t="n">
        <v>0</v>
      </c>
      <c r="KB190" s="9" t="n">
        <v>2540</v>
      </c>
      <c r="KF190" s="10" t="n">
        <v>46181</v>
      </c>
      <c r="KH190" s="9" t="n">
        <v>0</v>
      </c>
      <c r="KJ190" s="9" t="n">
        <v>0</v>
      </c>
      <c r="KK190" s="9" t="n">
        <v>2359.5</v>
      </c>
      <c r="KO190" s="10" t="n">
        <v>46181</v>
      </c>
      <c r="KQ190" s="9" t="n">
        <v>0</v>
      </c>
      <c r="KS190" s="9" t="n">
        <v>0</v>
      </c>
      <c r="KT190" s="9" t="n">
        <v>1890</v>
      </c>
      <c r="KX190" s="10" t="n">
        <v>46181</v>
      </c>
      <c r="KZ190" s="9" t="n">
        <v>0</v>
      </c>
      <c r="LB190" s="9" t="n">
        <v>0</v>
      </c>
      <c r="LC190" s="9" t="n">
        <v>3690</v>
      </c>
      <c r="LG190" s="10" t="n">
        <v>46181</v>
      </c>
      <c r="LI190" s="9" t="n">
        <v>0</v>
      </c>
      <c r="LK190" s="9" t="n">
        <v>0</v>
      </c>
      <c r="LL190" s="9" t="n">
        <v>4000</v>
      </c>
      <c r="LP190" s="10" t="n">
        <v>46181</v>
      </c>
      <c r="LR190" s="9" t="n">
        <v>0</v>
      </c>
      <c r="LT190" s="9" t="n">
        <v>0</v>
      </c>
      <c r="LU190" s="9" t="n">
        <v>0</v>
      </c>
      <c r="LY190" s="10" t="n">
        <v>46181</v>
      </c>
      <c r="MA190" s="9" t="n">
        <v>0</v>
      </c>
      <c r="MC190" s="9" t="n">
        <v>0</v>
      </c>
      <c r="MD190" s="9" t="n">
        <v>0</v>
      </c>
      <c r="MH190" s="10" t="n">
        <v>46181</v>
      </c>
      <c r="MJ190" s="9" t="n">
        <v>0</v>
      </c>
      <c r="ML190" s="9" t="n">
        <v>0</v>
      </c>
      <c r="MM190" s="9" t="n">
        <v>0</v>
      </c>
      <c r="MQ190" s="10" t="n">
        <v>46181</v>
      </c>
      <c r="MS190" s="9" t="n">
        <v>0</v>
      </c>
      <c r="MU190" s="9" t="n">
        <v>0</v>
      </c>
      <c r="MV190" s="9" t="n">
        <v>3724</v>
      </c>
      <c r="MZ190" s="10" t="n">
        <v>46181</v>
      </c>
      <c r="NB190" s="9" t="n">
        <v>120</v>
      </c>
      <c r="ND190" s="9" t="n">
        <v>120</v>
      </c>
      <c r="NE190" s="9" t="n">
        <v>0</v>
      </c>
      <c r="NI190" s="10" t="n">
        <v>46181</v>
      </c>
      <c r="NK190" s="9" t="n">
        <v>0</v>
      </c>
      <c r="NM190" s="9" t="n">
        <v>0</v>
      </c>
      <c r="NN190" s="9" t="n">
        <v>1127</v>
      </c>
      <c r="NR190" s="10" t="n">
        <v>46181</v>
      </c>
      <c r="NT190" s="9" t="n">
        <v>0</v>
      </c>
      <c r="NV190" s="9" t="n">
        <v>0</v>
      </c>
      <c r="NW190" s="9" t="n">
        <v>3112</v>
      </c>
      <c r="OA190" s="10" t="n">
        <v>46181</v>
      </c>
      <c r="OC190" s="9" t="n">
        <v>0</v>
      </c>
      <c r="OE190" s="9" t="n">
        <v>0</v>
      </c>
      <c r="OF190" s="9" t="n">
        <v>1680.5</v>
      </c>
      <c r="OJ190" s="10" t="n">
        <v>46181</v>
      </c>
      <c r="OL190" s="9" t="n">
        <v>0</v>
      </c>
      <c r="ON190" s="9" t="n">
        <v>0</v>
      </c>
      <c r="OO190" s="9" t="n">
        <v>0</v>
      </c>
      <c r="OS190" s="10" t="n">
        <v>46181</v>
      </c>
      <c r="OU190" s="9" t="n">
        <v>0</v>
      </c>
      <c r="OW190" s="9" t="n">
        <v>0</v>
      </c>
      <c r="OX190" s="9" t="n">
        <v>1482</v>
      </c>
      <c r="PB190" s="10" t="n">
        <v>46181</v>
      </c>
      <c r="PD190" s="9" t="n">
        <v>0</v>
      </c>
      <c r="PF190" s="9" t="n">
        <v>0</v>
      </c>
      <c r="PG190" s="9" t="n">
        <v>0</v>
      </c>
      <c r="PK190" s="10" t="n">
        <v>46181</v>
      </c>
      <c r="PM190" s="9" t="n">
        <v>0</v>
      </c>
      <c r="PO190" s="9" t="n">
        <v>0</v>
      </c>
      <c r="PP190" s="9" t="n">
        <v>100</v>
      </c>
      <c r="PT190" s="10" t="n">
        <v>46181</v>
      </c>
      <c r="PV190" s="9" t="n">
        <v>0</v>
      </c>
      <c r="PX190" s="9" t="n">
        <v>0</v>
      </c>
      <c r="PY190" s="9" t="n">
        <v>13.96000000000004</v>
      </c>
      <c r="QC190" s="10" t="n">
        <v>46181</v>
      </c>
      <c r="QE190" s="9" t="n">
        <v>0</v>
      </c>
      <c r="QG190" s="9" t="n">
        <v>0</v>
      </c>
      <c r="QH190" s="9" t="n">
        <v>1736</v>
      </c>
      <c r="QL190" s="10" t="n">
        <v>46181</v>
      </c>
      <c r="QN190" s="9" t="n">
        <v>100</v>
      </c>
      <c r="QP190" s="9" t="n">
        <v>100</v>
      </c>
      <c r="QQ190" s="9" t="n">
        <v>475</v>
      </c>
      <c r="QU190" s="10" t="n">
        <v>46181</v>
      </c>
      <c r="QW190" s="9" t="n">
        <v>0</v>
      </c>
      <c r="QY190" s="9" t="n">
        <v>0</v>
      </c>
      <c r="QZ190" s="9" t="n">
        <v>207.6</v>
      </c>
      <c r="RD190" s="10" t="n">
        <v>46181</v>
      </c>
      <c r="RF190" s="9" t="n">
        <v>0</v>
      </c>
      <c r="RH190" s="9" t="n">
        <v>0</v>
      </c>
      <c r="RI190" s="9" t="n">
        <v>147.04</v>
      </c>
      <c r="RM190" s="10" t="n">
        <v>46181</v>
      </c>
      <c r="RO190" s="9" t="n">
        <v>0</v>
      </c>
      <c r="RQ190" s="9" t="n">
        <v>0</v>
      </c>
      <c r="RR190" s="9" t="n">
        <v>46.8</v>
      </c>
      <c r="RV190" s="10" t="n">
        <v>46181</v>
      </c>
      <c r="RX190" s="9" t="n">
        <v>0</v>
      </c>
      <c r="RZ190" s="9" t="n">
        <v>0</v>
      </c>
      <c r="SA190" s="9" t="n">
        <v>0</v>
      </c>
      <c r="SE190" s="10" t="n">
        <v>46181</v>
      </c>
      <c r="SG190" s="9" t="n">
        <v>0</v>
      </c>
      <c r="SI190" s="9" t="n">
        <v>0</v>
      </c>
      <c r="SJ190" s="9" t="n">
        <v>24.2</v>
      </c>
      <c r="SN190" s="10" t="n">
        <v>46181</v>
      </c>
      <c r="SP190" s="9" t="n">
        <v>0</v>
      </c>
      <c r="SR190" s="9" t="n">
        <v>0</v>
      </c>
      <c r="SS190" s="9" t="n">
        <v>32</v>
      </c>
      <c r="SW190" s="10" t="n">
        <v>46181</v>
      </c>
      <c r="SY190" s="9" t="n">
        <v>0</v>
      </c>
      <c r="TA190" s="9" t="n">
        <v>0</v>
      </c>
      <c r="TB190" s="9" t="n">
        <v>0</v>
      </c>
      <c r="TF190" s="10" t="n">
        <v>46181</v>
      </c>
      <c r="TH190" s="9" t="n">
        <v>0</v>
      </c>
      <c r="TJ190" s="9" t="n">
        <v>0</v>
      </c>
      <c r="TK190" s="9" t="n">
        <v>0</v>
      </c>
      <c r="TO190" s="10" t="n">
        <v>46181</v>
      </c>
      <c r="TQ190" s="9" t="n">
        <v>0</v>
      </c>
      <c r="TS190" s="9" t="n">
        <v>0</v>
      </c>
      <c r="TT190" s="9" t="n">
        <v>82.40000000000001</v>
      </c>
      <c r="TX190" s="10" t="n">
        <v>46181</v>
      </c>
      <c r="TZ190" s="9" t="n">
        <v>0</v>
      </c>
      <c r="UB190" s="9" t="n">
        <v>0</v>
      </c>
      <c r="UC190" s="9" t="n">
        <v>169.2</v>
      </c>
      <c r="UG190" s="10" t="n">
        <v>46181</v>
      </c>
      <c r="UI190" s="9" t="n">
        <v>0</v>
      </c>
      <c r="UK190" s="9" t="n">
        <v>0</v>
      </c>
      <c r="UL190" s="9" t="n">
        <v>204</v>
      </c>
      <c r="UP190" s="10" t="n">
        <v>46181</v>
      </c>
      <c r="UR190" s="9" t="n">
        <v>0</v>
      </c>
      <c r="UT190" s="9" t="n">
        <v>0</v>
      </c>
      <c r="UU190" s="9" t="n">
        <v>251.25</v>
      </c>
      <c r="UY190" s="10" t="n">
        <v>46181</v>
      </c>
      <c r="VA190" s="9" t="n">
        <v>0</v>
      </c>
      <c r="VC190" s="9" t="n">
        <v>0</v>
      </c>
      <c r="VD190" s="9" t="n">
        <v>41.60000000000002</v>
      </c>
      <c r="VH190" s="10" t="n">
        <v>46181</v>
      </c>
      <c r="VJ190" s="9" t="n">
        <v>0</v>
      </c>
      <c r="VL190" s="9" t="n">
        <v>0</v>
      </c>
      <c r="VM190" s="9" t="n">
        <v>210</v>
      </c>
      <c r="VQ190" s="10" t="n">
        <v>46181</v>
      </c>
      <c r="VS190" s="9" t="n">
        <v>100</v>
      </c>
      <c r="VU190" s="9" t="n">
        <v>100</v>
      </c>
      <c r="VV190" s="9" t="n">
        <v>0</v>
      </c>
      <c r="VZ190" s="10" t="n">
        <v>46181</v>
      </c>
      <c r="WB190" s="9" t="n">
        <v>100</v>
      </c>
      <c r="WD190" s="9" t="n">
        <v>100</v>
      </c>
      <c r="WE190" s="9" t="n">
        <v>0</v>
      </c>
      <c r="WI190" s="10" t="n">
        <v>46181</v>
      </c>
      <c r="WK190" s="9" t="n">
        <v>0</v>
      </c>
      <c r="WM190" s="9" t="n">
        <v>0</v>
      </c>
      <c r="WN190" s="9" t="n">
        <v>1199</v>
      </c>
      <c r="WR190" s="10" t="n">
        <v>46181</v>
      </c>
      <c r="WT190" s="9" t="n">
        <v>0</v>
      </c>
      <c r="WV190" s="9" t="n">
        <v>0</v>
      </c>
      <c r="WW190" s="9" t="n">
        <v>0</v>
      </c>
      <c r="XA190" s="10" t="n">
        <v>46181</v>
      </c>
      <c r="XC190" s="9" t="n">
        <v>0</v>
      </c>
      <c r="XE190" s="9" t="n">
        <v>0</v>
      </c>
      <c r="XF190" s="9" t="n">
        <v>6813</v>
      </c>
      <c r="XJ190" s="10" t="n">
        <v>46181</v>
      </c>
      <c r="XL190" s="9" t="n">
        <v>0</v>
      </c>
      <c r="XN190" s="9" t="n">
        <v>0</v>
      </c>
      <c r="XO190" s="9" t="n">
        <v>6197</v>
      </c>
      <c r="XS190" s="10" t="n">
        <v>46181</v>
      </c>
      <c r="XU190" s="9" t="n">
        <v>0</v>
      </c>
      <c r="XW190" s="9" t="n">
        <v>0</v>
      </c>
      <c r="XX190" s="9" t="n">
        <v>1621</v>
      </c>
      <c r="YB190" s="10" t="n">
        <v>46181</v>
      </c>
      <c r="YD190" s="9" t="n">
        <v>0</v>
      </c>
      <c r="YF190" s="9" t="n">
        <v>0</v>
      </c>
      <c r="YG190" s="9" t="n">
        <v>5083</v>
      </c>
      <c r="YK190" s="10" t="n">
        <v>46181</v>
      </c>
      <c r="YM190" s="9" t="n">
        <v>0</v>
      </c>
      <c r="YO190" s="9" t="n">
        <v>0</v>
      </c>
      <c r="YP190" s="9" t="n">
        <v>0</v>
      </c>
      <c r="YT190" s="10" t="n">
        <v>46181</v>
      </c>
      <c r="YV190" s="9" t="n">
        <v>100</v>
      </c>
      <c r="YX190" s="9" t="n">
        <v>100</v>
      </c>
      <c r="YY190" s="9" t="n">
        <v>0</v>
      </c>
      <c r="ZC190" s="10" t="n">
        <v>46181</v>
      </c>
      <c r="ZE190" s="9" t="n">
        <v>100</v>
      </c>
      <c r="ZG190" s="9" t="n">
        <v>100</v>
      </c>
      <c r="ZH190" s="9" t="n">
        <v>0</v>
      </c>
      <c r="ZL190" s="10" t="n">
        <v>46181</v>
      </c>
      <c r="ZN190" s="9" t="n">
        <v>100</v>
      </c>
      <c r="ZP190" s="9" t="n">
        <v>100</v>
      </c>
      <c r="ZQ190" s="9" t="n">
        <v>0</v>
      </c>
      <c r="ZU190" s="10" t="n">
        <v>46181</v>
      </c>
      <c r="ZW190" s="9" t="n">
        <v>100</v>
      </c>
      <c r="ZY190" s="9" t="n">
        <v>100</v>
      </c>
      <c r="ZZ190" s="9" t="n">
        <v>0</v>
      </c>
      <c r="AAD190" s="10" t="n">
        <v>46181</v>
      </c>
      <c r="AAF190" s="9" t="n">
        <v>100</v>
      </c>
      <c r="AAH190" s="9" t="n">
        <v>100</v>
      </c>
      <c r="AAI190" s="9" t="n">
        <v>0</v>
      </c>
      <c r="AAM190" s="10" t="n">
        <v>46181</v>
      </c>
      <c r="AAO190" s="9" t="n">
        <v>100</v>
      </c>
      <c r="AAQ190" s="9" t="n">
        <v>100</v>
      </c>
      <c r="AAR190" s="9" t="n">
        <v>0</v>
      </c>
      <c r="AAV190" s="10" t="n">
        <v>46181</v>
      </c>
      <c r="AAX190" s="9" t="n">
        <v>100</v>
      </c>
      <c r="AAZ190" s="9" t="n">
        <v>100</v>
      </c>
      <c r="ABA190" s="9" t="n">
        <v>0</v>
      </c>
      <c r="ABE190" s="10" t="n">
        <v>46181</v>
      </c>
      <c r="ABG190" s="9" t="n">
        <v>100</v>
      </c>
      <c r="ABI190" s="9" t="n">
        <v>100</v>
      </c>
      <c r="ABJ190" s="9" t="n">
        <v>0</v>
      </c>
    </row>
    <row r="191">
      <c r="B191" s="9" t="n">
        <v>60</v>
      </c>
      <c r="C191" s="10" t="n">
        <v>46182</v>
      </c>
      <c r="D191" s="9" t="n">
        <v>25680</v>
      </c>
      <c r="E191" s="9" t="n">
        <v>33472.8</v>
      </c>
      <c r="F191" s="9" t="n">
        <v>33476.8</v>
      </c>
      <c r="G191" s="9" t="n">
        <v>-4.000000000007276</v>
      </c>
      <c r="H191" s="9" t="n">
        <v>145657.2000000001</v>
      </c>
      <c r="I191" s="9" t="inlineStr">
        <is>
          <t>8102 60mt</t>
        </is>
      </c>
      <c r="L191" s="10" t="n">
        <v>46182</v>
      </c>
      <c r="N191" s="9" t="n">
        <v>19032</v>
      </c>
      <c r="O191" s="9" t="n">
        <v>19037</v>
      </c>
      <c r="P191" s="9" t="n">
        <v>-5</v>
      </c>
      <c r="Q191" s="9" t="n">
        <v>29149.60000000006</v>
      </c>
      <c r="U191" s="10" t="n">
        <v>46182</v>
      </c>
      <c r="W191" s="9" t="n">
        <v>3000</v>
      </c>
      <c r="X191" s="9" t="n">
        <v>3001.1</v>
      </c>
      <c r="Y191" s="9" t="n">
        <v>-1.099999999999909</v>
      </c>
      <c r="Z191" s="9" t="n">
        <v>27580.99999999997</v>
      </c>
      <c r="AD191" s="10" t="n">
        <v>46182</v>
      </c>
      <c r="AF191" s="9" t="n">
        <v>0</v>
      </c>
      <c r="AH191" s="9" t="n">
        <v>0</v>
      </c>
      <c r="AI191" s="9" t="n">
        <v>11593.10000000002</v>
      </c>
      <c r="AM191" s="10" t="n">
        <v>46182</v>
      </c>
      <c r="AO191" s="9" t="n">
        <v>0</v>
      </c>
      <c r="AQ191" s="9" t="n">
        <v>0</v>
      </c>
      <c r="AR191" s="9" t="n">
        <v>0</v>
      </c>
      <c r="AV191" s="10" t="n">
        <v>46182</v>
      </c>
      <c r="AX191" s="9" t="n">
        <v>0</v>
      </c>
      <c r="AZ191" s="9" t="n">
        <v>0</v>
      </c>
      <c r="BA191" s="9" t="n">
        <v>16316</v>
      </c>
      <c r="BE191" s="10" t="n">
        <v>46182</v>
      </c>
      <c r="BG191" s="9" t="n">
        <v>1170</v>
      </c>
      <c r="BH191" s="9" t="n">
        <v>1168.7</v>
      </c>
      <c r="BI191" s="9" t="n">
        <v>1.299999999999955</v>
      </c>
      <c r="BJ191" s="9" t="n">
        <v>29991.3</v>
      </c>
      <c r="BN191" s="10" t="n">
        <v>46182</v>
      </c>
      <c r="BO191" s="9" t="n">
        <v>1410</v>
      </c>
      <c r="BP191" s="9" t="n">
        <v>1410</v>
      </c>
      <c r="BQ191" s="9" t="n">
        <v>1410</v>
      </c>
      <c r="BR191" s="9" t="n">
        <v>0</v>
      </c>
      <c r="BS191" s="9" t="n">
        <v>0</v>
      </c>
      <c r="BW191" s="10" t="n">
        <v>46182</v>
      </c>
      <c r="BY191" s="9" t="n">
        <v>0</v>
      </c>
      <c r="CA191" s="9" t="n">
        <v>0</v>
      </c>
      <c r="CB191" s="9" t="n">
        <v>4126.629999999999</v>
      </c>
      <c r="CF191" s="10" t="n">
        <v>46182</v>
      </c>
      <c r="CH191" s="9" t="n">
        <v>385.2</v>
      </c>
      <c r="CJ191" s="9" t="n">
        <v>385.2</v>
      </c>
      <c r="CK191" s="9" t="n">
        <v>0</v>
      </c>
      <c r="CO191" s="10" t="n">
        <v>46182</v>
      </c>
      <c r="CQ191" s="9" t="n">
        <v>0</v>
      </c>
      <c r="CS191" s="9" t="n">
        <v>0</v>
      </c>
      <c r="CT191" s="9" t="n">
        <v>0</v>
      </c>
      <c r="CX191" s="10" t="n">
        <v>46182</v>
      </c>
      <c r="CZ191" s="9" t="n">
        <v>0</v>
      </c>
      <c r="DB191" s="9" t="n">
        <v>0</v>
      </c>
      <c r="DC191" s="9" t="n">
        <v>17623.60000000001</v>
      </c>
      <c r="DG191" s="10" t="n">
        <v>46182</v>
      </c>
      <c r="DI191" s="9" t="n">
        <v>0</v>
      </c>
      <c r="DK191" s="9" t="n">
        <v>0</v>
      </c>
      <c r="DL191" s="9" t="n">
        <v>35234.99999999999</v>
      </c>
      <c r="DP191" s="10" t="n">
        <v>46182</v>
      </c>
      <c r="DR191" s="9" t="n">
        <v>0</v>
      </c>
      <c r="DT191" s="9" t="n">
        <v>0</v>
      </c>
      <c r="DU191" s="9" t="n">
        <v>5800</v>
      </c>
      <c r="DY191" s="10" t="n">
        <v>46182</v>
      </c>
      <c r="EA191" s="9" t="n">
        <v>0</v>
      </c>
      <c r="EC191" s="9" t="n">
        <v>0</v>
      </c>
      <c r="ED191" s="9" t="n">
        <v>0</v>
      </c>
      <c r="EH191" s="10" t="n">
        <v>46182</v>
      </c>
      <c r="EJ191" s="9" t="n">
        <v>0</v>
      </c>
      <c r="EL191" s="9" t="n">
        <v>0</v>
      </c>
      <c r="EM191" s="9" t="n">
        <v>0</v>
      </c>
      <c r="EQ191" s="10" t="n">
        <v>46182</v>
      </c>
      <c r="ES191" s="9" t="n">
        <v>0</v>
      </c>
      <c r="EU191" s="9" t="n">
        <v>0</v>
      </c>
      <c r="EV191" s="9" t="n">
        <v>0</v>
      </c>
      <c r="EZ191" s="10" t="n">
        <v>46182</v>
      </c>
      <c r="FB191" s="9" t="n">
        <v>0</v>
      </c>
      <c r="FD191" s="9" t="n">
        <v>0</v>
      </c>
      <c r="FE191" s="9" t="n">
        <v>0</v>
      </c>
      <c r="FI191" s="10" t="n">
        <v>46182</v>
      </c>
      <c r="FK191" s="9" t="n">
        <v>0</v>
      </c>
      <c r="FM191" s="9" t="n">
        <v>0</v>
      </c>
      <c r="FN191" s="9" t="n">
        <v>0</v>
      </c>
      <c r="FR191" s="10" t="n">
        <v>46182</v>
      </c>
      <c r="FT191" s="9" t="n">
        <v>0</v>
      </c>
      <c r="FV191" s="9" t="n">
        <v>0</v>
      </c>
      <c r="FW191" s="9" t="n">
        <v>4140</v>
      </c>
      <c r="GA191" s="10" t="n">
        <v>46182</v>
      </c>
      <c r="GC191" s="9" t="n">
        <v>0</v>
      </c>
      <c r="GE191" s="9" t="n">
        <v>0</v>
      </c>
      <c r="GF191" s="9" t="n">
        <v>5040</v>
      </c>
      <c r="GJ191" s="10" t="n">
        <v>46182</v>
      </c>
      <c r="GL191" s="9" t="n">
        <v>0</v>
      </c>
      <c r="GN191" s="9" t="n">
        <v>0</v>
      </c>
      <c r="GO191" s="9" t="n">
        <v>1760</v>
      </c>
      <c r="GS191" s="10" t="n">
        <v>46182</v>
      </c>
      <c r="GU191" s="9" t="n">
        <v>0</v>
      </c>
      <c r="GW191" s="9" t="n">
        <v>0</v>
      </c>
      <c r="GX191" s="9" t="n">
        <v>0</v>
      </c>
      <c r="HB191" s="10" t="n">
        <v>46182</v>
      </c>
      <c r="HD191" s="9" t="n">
        <v>0</v>
      </c>
      <c r="HF191" s="9" t="n">
        <v>0</v>
      </c>
      <c r="HG191" s="9" t="n">
        <v>3600</v>
      </c>
      <c r="HK191" s="10" t="n">
        <v>46182</v>
      </c>
      <c r="HM191" s="9" t="n">
        <v>0</v>
      </c>
      <c r="HO191" s="9" t="n">
        <v>0</v>
      </c>
      <c r="HP191" s="9" t="n">
        <v>0</v>
      </c>
      <c r="HU191" s="10" t="n">
        <v>46182</v>
      </c>
      <c r="HW191" s="9" t="n">
        <v>0</v>
      </c>
      <c r="HY191" s="9" t="n">
        <v>0</v>
      </c>
      <c r="HZ191" s="9" t="n">
        <v>6800</v>
      </c>
      <c r="ID191" s="10" t="n">
        <v>46182</v>
      </c>
      <c r="IF191" s="9" t="n">
        <v>0</v>
      </c>
      <c r="IH191" s="9" t="n">
        <v>0</v>
      </c>
      <c r="II191" s="9" t="n">
        <v>720</v>
      </c>
      <c r="IM191" s="10" t="n">
        <v>46182</v>
      </c>
      <c r="IO191" s="9" t="n">
        <v>0</v>
      </c>
      <c r="IQ191" s="9" t="n">
        <v>0</v>
      </c>
      <c r="IR191" s="9" t="n">
        <v>8140</v>
      </c>
      <c r="IV191" s="10" t="n">
        <v>46182</v>
      </c>
      <c r="IX191" s="9" t="n">
        <v>0</v>
      </c>
      <c r="IZ191" s="9" t="n">
        <v>0</v>
      </c>
      <c r="JA191" s="9" t="n">
        <v>4960</v>
      </c>
      <c r="JE191" s="10" t="n">
        <v>46182</v>
      </c>
      <c r="JG191" s="9" t="n">
        <v>0</v>
      </c>
      <c r="JI191" s="9" t="n">
        <v>0</v>
      </c>
      <c r="JJ191" s="9" t="n">
        <v>0</v>
      </c>
      <c r="JN191" s="10" t="n">
        <v>46182</v>
      </c>
      <c r="JP191" s="9" t="n">
        <v>1200</v>
      </c>
      <c r="JR191" s="9" t="n">
        <v>1200</v>
      </c>
      <c r="JS191" s="9" t="n">
        <v>180</v>
      </c>
      <c r="JW191" s="10" t="n">
        <v>46182</v>
      </c>
      <c r="JY191" s="9" t="n">
        <v>0</v>
      </c>
      <c r="KA191" s="9" t="n">
        <v>0</v>
      </c>
      <c r="KB191" s="9" t="n">
        <v>2540</v>
      </c>
      <c r="KF191" s="10" t="n">
        <v>46182</v>
      </c>
      <c r="KH191" s="9" t="n">
        <v>0</v>
      </c>
      <c r="KJ191" s="9" t="n">
        <v>0</v>
      </c>
      <c r="KK191" s="9" t="n">
        <v>2359.5</v>
      </c>
      <c r="KO191" s="10" t="n">
        <v>46182</v>
      </c>
      <c r="KQ191" s="9" t="n">
        <v>0</v>
      </c>
      <c r="KS191" s="9" t="n">
        <v>0</v>
      </c>
      <c r="KT191" s="9" t="n">
        <v>1890</v>
      </c>
      <c r="KX191" s="10" t="n">
        <v>46182</v>
      </c>
      <c r="KZ191" s="9" t="n">
        <v>0</v>
      </c>
      <c r="LB191" s="9" t="n">
        <v>0</v>
      </c>
      <c r="LC191" s="9" t="n">
        <v>3690</v>
      </c>
      <c r="LG191" s="10" t="n">
        <v>46182</v>
      </c>
      <c r="LI191" s="9" t="n">
        <v>0</v>
      </c>
      <c r="LK191" s="9" t="n">
        <v>0</v>
      </c>
      <c r="LL191" s="9" t="n">
        <v>4000</v>
      </c>
      <c r="LP191" s="10" t="n">
        <v>46182</v>
      </c>
      <c r="LR191" s="9" t="n">
        <v>0</v>
      </c>
      <c r="LT191" s="9" t="n">
        <v>0</v>
      </c>
      <c r="LU191" s="9" t="n">
        <v>0</v>
      </c>
      <c r="LY191" s="10" t="n">
        <v>46182</v>
      </c>
      <c r="MA191" s="9" t="n">
        <v>0</v>
      </c>
      <c r="MC191" s="9" t="n">
        <v>0</v>
      </c>
      <c r="MD191" s="9" t="n">
        <v>0</v>
      </c>
      <c r="MH191" s="10" t="n">
        <v>46182</v>
      </c>
      <c r="MJ191" s="9" t="n">
        <v>0</v>
      </c>
      <c r="ML191" s="9" t="n">
        <v>0</v>
      </c>
      <c r="MM191" s="9" t="n">
        <v>0</v>
      </c>
      <c r="MQ191" s="10" t="n">
        <v>46182</v>
      </c>
      <c r="MS191" s="9" t="n">
        <v>0</v>
      </c>
      <c r="MU191" s="9" t="n">
        <v>0</v>
      </c>
      <c r="MV191" s="9" t="n">
        <v>3724</v>
      </c>
      <c r="MZ191" s="10" t="n">
        <v>46182</v>
      </c>
      <c r="NB191" s="9" t="n">
        <v>180</v>
      </c>
      <c r="ND191" s="9" t="n">
        <v>180</v>
      </c>
      <c r="NE191" s="9" t="n">
        <v>0</v>
      </c>
      <c r="NI191" s="10" t="n">
        <v>46182</v>
      </c>
      <c r="NK191" s="9" t="n">
        <v>0</v>
      </c>
      <c r="NM191" s="9" t="n">
        <v>0</v>
      </c>
      <c r="NN191" s="9" t="n">
        <v>1127</v>
      </c>
      <c r="NR191" s="10" t="n">
        <v>46182</v>
      </c>
      <c r="NT191" s="9" t="n">
        <v>0</v>
      </c>
      <c r="NV191" s="9" t="n">
        <v>0</v>
      </c>
      <c r="NW191" s="9" t="n">
        <v>3112</v>
      </c>
      <c r="OA191" s="10" t="n">
        <v>46182</v>
      </c>
      <c r="OC191" s="9" t="n">
        <v>0</v>
      </c>
      <c r="OE191" s="9" t="n">
        <v>0</v>
      </c>
      <c r="OF191" s="9" t="n">
        <v>1680.5</v>
      </c>
      <c r="OJ191" s="10" t="n">
        <v>46182</v>
      </c>
      <c r="OL191" s="9" t="n">
        <v>0</v>
      </c>
      <c r="ON191" s="9" t="n">
        <v>0</v>
      </c>
      <c r="OO191" s="9" t="n">
        <v>0</v>
      </c>
      <c r="OS191" s="10" t="n">
        <v>46182</v>
      </c>
      <c r="OU191" s="9" t="n">
        <v>0</v>
      </c>
      <c r="OW191" s="9" t="n">
        <v>0</v>
      </c>
      <c r="OX191" s="9" t="n">
        <v>1482</v>
      </c>
      <c r="PB191" s="10" t="n">
        <v>46182</v>
      </c>
      <c r="PD191" s="9" t="n">
        <v>0</v>
      </c>
      <c r="PF191" s="9" t="n">
        <v>0</v>
      </c>
      <c r="PG191" s="9" t="n">
        <v>0</v>
      </c>
      <c r="PK191" s="10" t="n">
        <v>46182</v>
      </c>
      <c r="PM191" s="9" t="n">
        <v>0</v>
      </c>
      <c r="PO191" s="9" t="n">
        <v>0</v>
      </c>
      <c r="PP191" s="9" t="n">
        <v>100</v>
      </c>
      <c r="PT191" s="10" t="n">
        <v>46182</v>
      </c>
      <c r="PV191" s="9" t="n">
        <v>0</v>
      </c>
      <c r="PX191" s="9" t="n">
        <v>0</v>
      </c>
      <c r="PY191" s="9" t="n">
        <v>13.96000000000004</v>
      </c>
      <c r="QC191" s="10" t="n">
        <v>46182</v>
      </c>
      <c r="QE191" s="9" t="n">
        <v>0</v>
      </c>
      <c r="QG191" s="9" t="n">
        <v>0</v>
      </c>
      <c r="QH191" s="9" t="n">
        <v>1736</v>
      </c>
      <c r="QL191" s="10" t="n">
        <v>46182</v>
      </c>
      <c r="QN191" s="9" t="n">
        <v>150</v>
      </c>
      <c r="QP191" s="9" t="n">
        <v>150</v>
      </c>
      <c r="QQ191" s="9" t="n">
        <v>475</v>
      </c>
      <c r="QU191" s="10" t="n">
        <v>46182</v>
      </c>
      <c r="QW191" s="9" t="n">
        <v>0</v>
      </c>
      <c r="QY191" s="9" t="n">
        <v>0</v>
      </c>
      <c r="QZ191" s="9" t="n">
        <v>207.6</v>
      </c>
      <c r="RD191" s="10" t="n">
        <v>46182</v>
      </c>
      <c r="RF191" s="9" t="n">
        <v>0</v>
      </c>
      <c r="RH191" s="9" t="n">
        <v>0</v>
      </c>
      <c r="RI191" s="9" t="n">
        <v>147.04</v>
      </c>
      <c r="RM191" s="10" t="n">
        <v>46182</v>
      </c>
      <c r="RO191" s="9" t="n">
        <v>0</v>
      </c>
      <c r="RQ191" s="9" t="n">
        <v>0</v>
      </c>
      <c r="RR191" s="9" t="n">
        <v>46.8</v>
      </c>
      <c r="RV191" s="10" t="n">
        <v>46182</v>
      </c>
      <c r="RX191" s="9" t="n">
        <v>0</v>
      </c>
      <c r="RZ191" s="9" t="n">
        <v>0</v>
      </c>
      <c r="SA191" s="9" t="n">
        <v>0</v>
      </c>
      <c r="SE191" s="10" t="n">
        <v>46182</v>
      </c>
      <c r="SG191" s="9" t="n">
        <v>0</v>
      </c>
      <c r="SI191" s="9" t="n">
        <v>0</v>
      </c>
      <c r="SJ191" s="9" t="n">
        <v>24.2</v>
      </c>
      <c r="SN191" s="10" t="n">
        <v>46182</v>
      </c>
      <c r="SP191" s="9" t="n">
        <v>0</v>
      </c>
      <c r="SR191" s="9" t="n">
        <v>0</v>
      </c>
      <c r="SS191" s="9" t="n">
        <v>32</v>
      </c>
      <c r="SW191" s="10" t="n">
        <v>46182</v>
      </c>
      <c r="SY191" s="9" t="n">
        <v>0</v>
      </c>
      <c r="TA191" s="9" t="n">
        <v>0</v>
      </c>
      <c r="TB191" s="9" t="n">
        <v>0</v>
      </c>
      <c r="TF191" s="10" t="n">
        <v>46182</v>
      </c>
      <c r="TH191" s="9" t="n">
        <v>0</v>
      </c>
      <c r="TJ191" s="9" t="n">
        <v>0</v>
      </c>
      <c r="TK191" s="9" t="n">
        <v>0</v>
      </c>
      <c r="TO191" s="10" t="n">
        <v>46182</v>
      </c>
      <c r="TQ191" s="9" t="n">
        <v>0</v>
      </c>
      <c r="TS191" s="9" t="n">
        <v>0</v>
      </c>
      <c r="TT191" s="9" t="n">
        <v>82.40000000000001</v>
      </c>
      <c r="TX191" s="10" t="n">
        <v>46182</v>
      </c>
      <c r="TZ191" s="9" t="n">
        <v>0</v>
      </c>
      <c r="UB191" s="9" t="n">
        <v>0</v>
      </c>
      <c r="UC191" s="9" t="n">
        <v>169.2</v>
      </c>
      <c r="UG191" s="10" t="n">
        <v>46182</v>
      </c>
      <c r="UI191" s="9" t="n">
        <v>0</v>
      </c>
      <c r="UK191" s="9" t="n">
        <v>0</v>
      </c>
      <c r="UL191" s="9" t="n">
        <v>204</v>
      </c>
      <c r="UP191" s="10" t="n">
        <v>46182</v>
      </c>
      <c r="UR191" s="9" t="n">
        <v>0</v>
      </c>
      <c r="UT191" s="9" t="n">
        <v>0</v>
      </c>
      <c r="UU191" s="9" t="n">
        <v>251.25</v>
      </c>
      <c r="UY191" s="10" t="n">
        <v>46182</v>
      </c>
      <c r="VA191" s="9" t="n">
        <v>0</v>
      </c>
      <c r="VC191" s="9" t="n">
        <v>0</v>
      </c>
      <c r="VD191" s="9" t="n">
        <v>41.60000000000002</v>
      </c>
      <c r="VH191" s="10" t="n">
        <v>46182</v>
      </c>
      <c r="VJ191" s="9" t="n">
        <v>0</v>
      </c>
      <c r="VL191" s="9" t="n">
        <v>0</v>
      </c>
      <c r="VM191" s="9" t="n">
        <v>210</v>
      </c>
      <c r="VQ191" s="10" t="n">
        <v>46182</v>
      </c>
      <c r="VS191" s="9" t="n">
        <v>150</v>
      </c>
      <c r="VU191" s="9" t="n">
        <v>150</v>
      </c>
      <c r="VV191" s="9" t="n">
        <v>0</v>
      </c>
      <c r="VZ191" s="10" t="n">
        <v>46182</v>
      </c>
      <c r="WB191" s="9" t="n">
        <v>150</v>
      </c>
      <c r="WD191" s="9" t="n">
        <v>150</v>
      </c>
      <c r="WE191" s="9" t="n">
        <v>0</v>
      </c>
      <c r="WI191" s="10" t="n">
        <v>46182</v>
      </c>
      <c r="WK191" s="9" t="n">
        <v>0</v>
      </c>
      <c r="WM191" s="9" t="n">
        <v>0</v>
      </c>
      <c r="WN191" s="9" t="n">
        <v>1199</v>
      </c>
      <c r="WR191" s="10" t="n">
        <v>46182</v>
      </c>
      <c r="WT191" s="9" t="n">
        <v>0</v>
      </c>
      <c r="WV191" s="9" t="n">
        <v>0</v>
      </c>
      <c r="WW191" s="9" t="n">
        <v>0</v>
      </c>
      <c r="XA191" s="10" t="n">
        <v>46182</v>
      </c>
      <c r="XC191" s="9" t="n">
        <v>0</v>
      </c>
      <c r="XE191" s="9" t="n">
        <v>0</v>
      </c>
      <c r="XF191" s="9" t="n">
        <v>6813</v>
      </c>
      <c r="XJ191" s="10" t="n">
        <v>46182</v>
      </c>
      <c r="XL191" s="9" t="n">
        <v>0</v>
      </c>
      <c r="XN191" s="9" t="n">
        <v>0</v>
      </c>
      <c r="XO191" s="9" t="n">
        <v>6197</v>
      </c>
      <c r="XS191" s="10" t="n">
        <v>46182</v>
      </c>
      <c r="XU191" s="9" t="n">
        <v>0</v>
      </c>
      <c r="XW191" s="9" t="n">
        <v>0</v>
      </c>
      <c r="XX191" s="9" t="n">
        <v>1621</v>
      </c>
      <c r="YB191" s="10" t="n">
        <v>46182</v>
      </c>
      <c r="YD191" s="9" t="n">
        <v>0</v>
      </c>
      <c r="YF191" s="9" t="n">
        <v>0</v>
      </c>
      <c r="YG191" s="9" t="n">
        <v>5083</v>
      </c>
      <c r="YK191" s="10" t="n">
        <v>46182</v>
      </c>
      <c r="YM191" s="9" t="n">
        <v>0</v>
      </c>
      <c r="YO191" s="9" t="n">
        <v>0</v>
      </c>
      <c r="YP191" s="9" t="n">
        <v>0</v>
      </c>
      <c r="YT191" s="10" t="n">
        <v>46182</v>
      </c>
      <c r="YV191" s="9" t="n">
        <v>150</v>
      </c>
      <c r="YX191" s="9" t="n">
        <v>150</v>
      </c>
      <c r="YY191" s="9" t="n">
        <v>0</v>
      </c>
      <c r="ZC191" s="10" t="n">
        <v>46182</v>
      </c>
      <c r="ZE191" s="9" t="n">
        <v>150</v>
      </c>
      <c r="ZG191" s="9" t="n">
        <v>150</v>
      </c>
      <c r="ZH191" s="9" t="n">
        <v>0</v>
      </c>
      <c r="ZL191" s="10" t="n">
        <v>46182</v>
      </c>
      <c r="ZN191" s="9" t="n">
        <v>150</v>
      </c>
      <c r="ZP191" s="9" t="n">
        <v>150</v>
      </c>
      <c r="ZQ191" s="9" t="n">
        <v>0</v>
      </c>
      <c r="ZU191" s="10" t="n">
        <v>46182</v>
      </c>
      <c r="ZW191" s="9" t="n">
        <v>150</v>
      </c>
      <c r="ZY191" s="9" t="n">
        <v>150</v>
      </c>
      <c r="ZZ191" s="9" t="n">
        <v>0</v>
      </c>
      <c r="AAD191" s="10" t="n">
        <v>46182</v>
      </c>
      <c r="AAF191" s="9" t="n">
        <v>150</v>
      </c>
      <c r="AAH191" s="9" t="n">
        <v>150</v>
      </c>
      <c r="AAI191" s="9" t="n">
        <v>0</v>
      </c>
      <c r="AAM191" s="10" t="n">
        <v>46182</v>
      </c>
      <c r="AAO191" s="9" t="n">
        <v>150</v>
      </c>
      <c r="AAQ191" s="9" t="n">
        <v>150</v>
      </c>
      <c r="AAR191" s="9" t="n">
        <v>0</v>
      </c>
      <c r="AAV191" s="10" t="n">
        <v>46182</v>
      </c>
      <c r="AAX191" s="9" t="n">
        <v>150</v>
      </c>
      <c r="AAZ191" s="9" t="n">
        <v>150</v>
      </c>
      <c r="ABA191" s="9" t="n">
        <v>0</v>
      </c>
      <c r="ABE191" s="10" t="n">
        <v>46182</v>
      </c>
      <c r="ABG191" s="9" t="n">
        <v>150</v>
      </c>
      <c r="ABI191" s="9" t="n">
        <v>150</v>
      </c>
      <c r="ABJ191" s="9" t="n">
        <v>0</v>
      </c>
    </row>
    <row r="192">
      <c r="C192" s="10" t="n">
        <v>46183</v>
      </c>
      <c r="D192" s="9" t="n">
        <v>25240</v>
      </c>
      <c r="E192" s="9" t="n">
        <v>0</v>
      </c>
      <c r="G192" s="9" t="n">
        <v>0</v>
      </c>
      <c r="H192" s="9" t="n">
        <v>170897.2000000001</v>
      </c>
      <c r="L192" s="10" t="n">
        <v>46183</v>
      </c>
      <c r="M192" s="9" t="n">
        <v>56040</v>
      </c>
      <c r="N192" s="9" t="n">
        <v>0</v>
      </c>
      <c r="P192" s="9" t="n">
        <v>0</v>
      </c>
      <c r="Q192" s="9" t="n">
        <v>85189.60000000006</v>
      </c>
      <c r="U192" s="10" t="n">
        <v>46183</v>
      </c>
      <c r="W192" s="9" t="n">
        <v>0</v>
      </c>
      <c r="Y192" s="9" t="n">
        <v>0</v>
      </c>
      <c r="Z192" s="9" t="n">
        <v>27580.99999999997</v>
      </c>
      <c r="AD192" s="10" t="n">
        <v>46183</v>
      </c>
      <c r="AE192" s="9" t="n">
        <v>22380</v>
      </c>
      <c r="AF192" s="9" t="n">
        <v>0</v>
      </c>
      <c r="AH192" s="9" t="n">
        <v>0</v>
      </c>
      <c r="AI192" s="9" t="n">
        <v>33973.10000000002</v>
      </c>
      <c r="AM192" s="10" t="n">
        <v>46183</v>
      </c>
      <c r="AO192" s="9" t="n">
        <v>0</v>
      </c>
      <c r="AQ192" s="9" t="n">
        <v>0</v>
      </c>
      <c r="AR192" s="9" t="n">
        <v>0</v>
      </c>
      <c r="AV192" s="10" t="n">
        <v>46183</v>
      </c>
      <c r="AX192" s="9" t="n">
        <v>0</v>
      </c>
      <c r="AZ192" s="9" t="n">
        <v>0</v>
      </c>
      <c r="BA192" s="9" t="n">
        <v>16316</v>
      </c>
      <c r="BE192" s="10" t="n">
        <v>46183</v>
      </c>
      <c r="BG192" s="9" t="n">
        <v>0</v>
      </c>
      <c r="BI192" s="9" t="n">
        <v>0</v>
      </c>
      <c r="BJ192" s="9" t="n">
        <v>29991.3</v>
      </c>
      <c r="BN192" s="10" t="n">
        <v>46183</v>
      </c>
      <c r="BP192" s="9" t="n">
        <v>0</v>
      </c>
      <c r="BR192" s="9" t="n">
        <v>0</v>
      </c>
      <c r="BS192" s="9" t="n">
        <v>0</v>
      </c>
      <c r="BW192" s="10" t="n">
        <v>46183</v>
      </c>
      <c r="BY192" s="9" t="n">
        <v>0</v>
      </c>
      <c r="CA192" s="9" t="n">
        <v>0</v>
      </c>
      <c r="CB192" s="9" t="n">
        <v>4126.629999999999</v>
      </c>
      <c r="CF192" s="10" t="n">
        <v>46183</v>
      </c>
      <c r="CH192" s="9" t="n">
        <v>0</v>
      </c>
      <c r="CJ192" s="9" t="n">
        <v>0</v>
      </c>
      <c r="CK192" s="9" t="n">
        <v>0</v>
      </c>
      <c r="CO192" s="10" t="n">
        <v>46183</v>
      </c>
      <c r="CQ192" s="9" t="n">
        <v>0</v>
      </c>
      <c r="CS192" s="9" t="n">
        <v>0</v>
      </c>
      <c r="CT192" s="9" t="n">
        <v>0</v>
      </c>
      <c r="CX192" s="10" t="n">
        <v>46183</v>
      </c>
      <c r="CZ192" s="9" t="n">
        <v>0</v>
      </c>
      <c r="DB192" s="9" t="n">
        <v>0</v>
      </c>
      <c r="DC192" s="9" t="n">
        <v>17623.60000000001</v>
      </c>
      <c r="DG192" s="10" t="n">
        <v>46183</v>
      </c>
      <c r="DI192" s="9" t="n">
        <v>0</v>
      </c>
      <c r="DK192" s="9" t="n">
        <v>0</v>
      </c>
      <c r="DL192" s="9" t="n">
        <v>35234.99999999999</v>
      </c>
      <c r="DP192" s="10" t="n">
        <v>46183</v>
      </c>
      <c r="DR192" s="9" t="n">
        <v>0</v>
      </c>
      <c r="DT192" s="9" t="n">
        <v>0</v>
      </c>
      <c r="DU192" s="9" t="n">
        <v>5800</v>
      </c>
      <c r="DY192" s="10" t="n">
        <v>46183</v>
      </c>
      <c r="EA192" s="9" t="n">
        <v>0</v>
      </c>
      <c r="EC192" s="9" t="n">
        <v>0</v>
      </c>
      <c r="ED192" s="9" t="n">
        <v>0</v>
      </c>
      <c r="EH192" s="10" t="n">
        <v>46183</v>
      </c>
      <c r="EJ192" s="9" t="n">
        <v>0</v>
      </c>
      <c r="EL192" s="9" t="n">
        <v>0</v>
      </c>
      <c r="EM192" s="9" t="n">
        <v>0</v>
      </c>
      <c r="EQ192" s="10" t="n">
        <v>46183</v>
      </c>
      <c r="ES192" s="9" t="n">
        <v>0</v>
      </c>
      <c r="EU192" s="9" t="n">
        <v>0</v>
      </c>
      <c r="EV192" s="9" t="n">
        <v>0</v>
      </c>
      <c r="EZ192" s="10" t="n">
        <v>46183</v>
      </c>
      <c r="FB192" s="9" t="n">
        <v>0</v>
      </c>
      <c r="FD192" s="9" t="n">
        <v>0</v>
      </c>
      <c r="FE192" s="9" t="n">
        <v>0</v>
      </c>
      <c r="FI192" s="10" t="n">
        <v>46183</v>
      </c>
      <c r="FK192" s="9" t="n">
        <v>0</v>
      </c>
      <c r="FM192" s="9" t="n">
        <v>0</v>
      </c>
      <c r="FN192" s="9" t="n">
        <v>0</v>
      </c>
      <c r="FR192" s="10" t="n">
        <v>46183</v>
      </c>
      <c r="FT192" s="9" t="n">
        <v>0</v>
      </c>
      <c r="FU192" s="9" t="n">
        <v>2980</v>
      </c>
      <c r="FV192" s="9" t="n">
        <v>-2980</v>
      </c>
      <c r="FW192" s="9" t="n">
        <v>1160</v>
      </c>
      <c r="FX192" s="9" t="n">
        <v>149</v>
      </c>
      <c r="GA192" s="10" t="n">
        <v>46183</v>
      </c>
      <c r="GC192" s="9" t="n">
        <v>0</v>
      </c>
      <c r="GD192" s="9" t="n">
        <v>4080</v>
      </c>
      <c r="GE192" s="9" t="n">
        <v>-4080</v>
      </c>
      <c r="GF192" s="9" t="n">
        <v>960</v>
      </c>
      <c r="GJ192" s="10" t="n">
        <v>46183</v>
      </c>
      <c r="GL192" s="9" t="n">
        <v>0</v>
      </c>
      <c r="GN192" s="9" t="n">
        <v>0</v>
      </c>
      <c r="GO192" s="9" t="n">
        <v>1760</v>
      </c>
      <c r="GS192" s="10" t="n">
        <v>46183</v>
      </c>
      <c r="GU192" s="9" t="n">
        <v>0</v>
      </c>
      <c r="GW192" s="9" t="n">
        <v>0</v>
      </c>
      <c r="GX192" s="9" t="n">
        <v>0</v>
      </c>
      <c r="HB192" s="10" t="n">
        <v>46183</v>
      </c>
      <c r="HD192" s="9" t="n">
        <v>0</v>
      </c>
      <c r="HF192" s="9" t="n">
        <v>0</v>
      </c>
      <c r="HG192" s="9" t="n">
        <v>3600</v>
      </c>
      <c r="HK192" s="10" t="n">
        <v>46183</v>
      </c>
      <c r="HM192" s="9" t="n">
        <v>0</v>
      </c>
      <c r="HO192" s="9" t="n">
        <v>0</v>
      </c>
      <c r="HP192" s="9" t="n">
        <v>0</v>
      </c>
      <c r="HU192" s="10" t="n">
        <v>46183</v>
      </c>
      <c r="HW192" s="9" t="n">
        <v>0</v>
      </c>
      <c r="HY192" s="9" t="n">
        <v>0</v>
      </c>
      <c r="HZ192" s="9" t="n">
        <v>6800</v>
      </c>
      <c r="ID192" s="10" t="n">
        <v>46183</v>
      </c>
      <c r="IF192" s="9" t="n">
        <v>0</v>
      </c>
      <c r="IH192" s="9" t="n">
        <v>0</v>
      </c>
      <c r="II192" s="9" t="n">
        <v>720</v>
      </c>
      <c r="IM192" s="10" t="n">
        <v>46183</v>
      </c>
      <c r="IO192" s="9" t="n">
        <v>0</v>
      </c>
      <c r="IQ192" s="9" t="n">
        <v>0</v>
      </c>
      <c r="IR192" s="9" t="n">
        <v>8140</v>
      </c>
      <c r="IV192" s="10" t="n">
        <v>46183</v>
      </c>
      <c r="IX192" s="9" t="n">
        <v>0</v>
      </c>
      <c r="IZ192" s="9" t="n">
        <v>0</v>
      </c>
      <c r="JA192" s="9" t="n">
        <v>4960</v>
      </c>
      <c r="JE192" s="10" t="n">
        <v>46183</v>
      </c>
      <c r="JG192" s="9" t="n">
        <v>0</v>
      </c>
      <c r="JI192" s="9" t="n">
        <v>0</v>
      </c>
      <c r="JJ192" s="9" t="n">
        <v>0</v>
      </c>
      <c r="JN192" s="10" t="n">
        <v>46183</v>
      </c>
      <c r="JP192" s="9" t="n">
        <v>0</v>
      </c>
      <c r="JR192" s="9" t="n">
        <v>0</v>
      </c>
      <c r="JS192" s="9" t="n">
        <v>180</v>
      </c>
      <c r="JW192" s="10" t="n">
        <v>46183</v>
      </c>
      <c r="JY192" s="9" t="n">
        <v>0</v>
      </c>
      <c r="KA192" s="9" t="n">
        <v>0</v>
      </c>
      <c r="KB192" s="9" t="n">
        <v>2540</v>
      </c>
      <c r="KF192" s="10" t="n">
        <v>46183</v>
      </c>
      <c r="KH192" s="9" t="n">
        <v>0</v>
      </c>
      <c r="KJ192" s="9" t="n">
        <v>0</v>
      </c>
      <c r="KK192" s="9" t="n">
        <v>2359.5</v>
      </c>
      <c r="KO192" s="10" t="n">
        <v>46183</v>
      </c>
      <c r="KQ192" s="9" t="n">
        <v>0</v>
      </c>
      <c r="KS192" s="9" t="n">
        <v>0</v>
      </c>
      <c r="KT192" s="9" t="n">
        <v>1890</v>
      </c>
      <c r="KX192" s="10" t="n">
        <v>46183</v>
      </c>
      <c r="KZ192" s="9" t="n">
        <v>0</v>
      </c>
      <c r="LB192" s="9" t="n">
        <v>0</v>
      </c>
      <c r="LC192" s="9" t="n">
        <v>3690</v>
      </c>
      <c r="LG192" s="10" t="n">
        <v>46183</v>
      </c>
      <c r="LI192" s="9" t="n">
        <v>0</v>
      </c>
      <c r="LK192" s="9" t="n">
        <v>0</v>
      </c>
      <c r="LL192" s="9" t="n">
        <v>4000</v>
      </c>
      <c r="LP192" s="10" t="n">
        <v>46183</v>
      </c>
      <c r="LR192" s="9" t="n">
        <v>0</v>
      </c>
      <c r="LT192" s="9" t="n">
        <v>0</v>
      </c>
      <c r="LU192" s="9" t="n">
        <v>0</v>
      </c>
      <c r="LY192" s="10" t="n">
        <v>46183</v>
      </c>
      <c r="MA192" s="9" t="n">
        <v>0</v>
      </c>
      <c r="MC192" s="9" t="n">
        <v>0</v>
      </c>
      <c r="MD192" s="9" t="n">
        <v>0</v>
      </c>
      <c r="MH192" s="10" t="n">
        <v>46183</v>
      </c>
      <c r="MJ192" s="9" t="n">
        <v>0</v>
      </c>
      <c r="ML192" s="9" t="n">
        <v>0</v>
      </c>
      <c r="MM192" s="9" t="n">
        <v>0</v>
      </c>
      <c r="MQ192" s="10" t="n">
        <v>46183</v>
      </c>
      <c r="MS192" s="9" t="n">
        <v>0</v>
      </c>
      <c r="MU192" s="9" t="n">
        <v>0</v>
      </c>
      <c r="MV192" s="9" t="n">
        <v>3724</v>
      </c>
      <c r="MZ192" s="10" t="n">
        <v>46183</v>
      </c>
      <c r="NB192" s="9" t="n">
        <v>0</v>
      </c>
      <c r="ND192" s="9" t="n">
        <v>0</v>
      </c>
      <c r="NE192" s="9" t="n">
        <v>0</v>
      </c>
      <c r="NI192" s="10" t="n">
        <v>46183</v>
      </c>
      <c r="NK192" s="9" t="n">
        <v>0</v>
      </c>
      <c r="NM192" s="9" t="n">
        <v>0</v>
      </c>
      <c r="NN192" s="9" t="n">
        <v>1127</v>
      </c>
      <c r="NR192" s="10" t="n">
        <v>46183</v>
      </c>
      <c r="NT192" s="9" t="n">
        <v>0</v>
      </c>
      <c r="NV192" s="9" t="n">
        <v>0</v>
      </c>
      <c r="NW192" s="9" t="n">
        <v>3112</v>
      </c>
      <c r="OA192" s="10" t="n">
        <v>46183</v>
      </c>
      <c r="OC192" s="9" t="n">
        <v>0</v>
      </c>
      <c r="OE192" s="9" t="n">
        <v>0</v>
      </c>
      <c r="OF192" s="9" t="n">
        <v>1680.5</v>
      </c>
      <c r="OJ192" s="10" t="n">
        <v>46183</v>
      </c>
      <c r="OL192" s="9" t="n">
        <v>0</v>
      </c>
      <c r="ON192" s="9" t="n">
        <v>0</v>
      </c>
      <c r="OO192" s="9" t="n">
        <v>0</v>
      </c>
      <c r="OS192" s="10" t="n">
        <v>46183</v>
      </c>
      <c r="OU192" s="9" t="n">
        <v>0</v>
      </c>
      <c r="OW192" s="9" t="n">
        <v>0</v>
      </c>
      <c r="OX192" s="9" t="n">
        <v>1482</v>
      </c>
      <c r="PB192" s="10" t="n">
        <v>46183</v>
      </c>
      <c r="PD192" s="9" t="n">
        <v>0</v>
      </c>
      <c r="PF192" s="9" t="n">
        <v>0</v>
      </c>
      <c r="PG192" s="9" t="n">
        <v>0</v>
      </c>
      <c r="PK192" s="10" t="n">
        <v>46183</v>
      </c>
      <c r="PM192" s="9" t="n">
        <v>0</v>
      </c>
      <c r="PO192" s="9" t="n">
        <v>0</v>
      </c>
      <c r="PP192" s="9" t="n">
        <v>100</v>
      </c>
      <c r="PT192" s="10" t="n">
        <v>46183</v>
      </c>
      <c r="PV192" s="9" t="n">
        <v>0</v>
      </c>
      <c r="PX192" s="9" t="n">
        <v>0</v>
      </c>
      <c r="PY192" s="9" t="n">
        <v>13.96000000000004</v>
      </c>
      <c r="QC192" s="10" t="n">
        <v>46183</v>
      </c>
      <c r="QE192" s="9" t="n">
        <v>0</v>
      </c>
      <c r="QG192" s="9" t="n">
        <v>0</v>
      </c>
      <c r="QH192" s="9" t="n">
        <v>1736</v>
      </c>
      <c r="QL192" s="10" t="n">
        <v>46183</v>
      </c>
      <c r="QN192" s="9" t="n">
        <v>0</v>
      </c>
      <c r="QP192" s="9" t="n">
        <v>0</v>
      </c>
      <c r="QQ192" s="9" t="n">
        <v>475</v>
      </c>
      <c r="QU192" s="10" t="n">
        <v>46183</v>
      </c>
      <c r="QW192" s="9" t="n">
        <v>0</v>
      </c>
      <c r="QY192" s="9" t="n">
        <v>0</v>
      </c>
      <c r="QZ192" s="9" t="n">
        <v>207.6</v>
      </c>
      <c r="RD192" s="10" t="n">
        <v>46183</v>
      </c>
      <c r="RF192" s="9" t="n">
        <v>0</v>
      </c>
      <c r="RH192" s="9" t="n">
        <v>0</v>
      </c>
      <c r="RI192" s="9" t="n">
        <v>147.04</v>
      </c>
      <c r="RM192" s="10" t="n">
        <v>46183</v>
      </c>
      <c r="RO192" s="9" t="n">
        <v>0</v>
      </c>
      <c r="RQ192" s="9" t="n">
        <v>0</v>
      </c>
      <c r="RR192" s="9" t="n">
        <v>46.8</v>
      </c>
      <c r="RV192" s="10" t="n">
        <v>46183</v>
      </c>
      <c r="RX192" s="9" t="n">
        <v>0</v>
      </c>
      <c r="RZ192" s="9" t="n">
        <v>0</v>
      </c>
      <c r="SA192" s="9" t="n">
        <v>0</v>
      </c>
      <c r="SE192" s="10" t="n">
        <v>46183</v>
      </c>
      <c r="SG192" s="9" t="n">
        <v>0</v>
      </c>
      <c r="SI192" s="9" t="n">
        <v>0</v>
      </c>
      <c r="SJ192" s="9" t="n">
        <v>24.2</v>
      </c>
      <c r="SN192" s="10" t="n">
        <v>46183</v>
      </c>
      <c r="SP192" s="9" t="n">
        <v>0</v>
      </c>
      <c r="SR192" s="9" t="n">
        <v>0</v>
      </c>
      <c r="SS192" s="9" t="n">
        <v>32</v>
      </c>
      <c r="SW192" s="10" t="n">
        <v>46183</v>
      </c>
      <c r="SY192" s="9" t="n">
        <v>0</v>
      </c>
      <c r="TA192" s="9" t="n">
        <v>0</v>
      </c>
      <c r="TB192" s="9" t="n">
        <v>0</v>
      </c>
      <c r="TF192" s="10" t="n">
        <v>46183</v>
      </c>
      <c r="TH192" s="9" t="n">
        <v>0</v>
      </c>
      <c r="TJ192" s="9" t="n">
        <v>0</v>
      </c>
      <c r="TK192" s="9" t="n">
        <v>0</v>
      </c>
      <c r="TO192" s="10" t="n">
        <v>46183</v>
      </c>
      <c r="TQ192" s="9" t="n">
        <v>0</v>
      </c>
      <c r="TR192" s="9" t="n">
        <v>60</v>
      </c>
      <c r="TS192" s="9" t="n">
        <v>-60</v>
      </c>
      <c r="TT192" s="9" t="n">
        <v>22.40000000000001</v>
      </c>
      <c r="TX192" s="10" t="n">
        <v>46183</v>
      </c>
      <c r="TZ192" s="9" t="n">
        <v>0</v>
      </c>
      <c r="UA192" s="9" t="n">
        <v>122.4</v>
      </c>
      <c r="UB192" s="9" t="n">
        <v>-122.4</v>
      </c>
      <c r="UC192" s="9" t="n">
        <v>46.79999999999998</v>
      </c>
      <c r="UG192" s="10" t="n">
        <v>46183</v>
      </c>
      <c r="UI192" s="9" t="n">
        <v>0</v>
      </c>
      <c r="UK192" s="9" t="n">
        <v>0</v>
      </c>
      <c r="UL192" s="9" t="n">
        <v>204</v>
      </c>
      <c r="UP192" s="10" t="n">
        <v>46183</v>
      </c>
      <c r="UR192" s="9" t="n">
        <v>0</v>
      </c>
      <c r="UT192" s="9" t="n">
        <v>0</v>
      </c>
      <c r="UU192" s="9" t="n">
        <v>251.25</v>
      </c>
      <c r="UY192" s="10" t="n">
        <v>46183</v>
      </c>
      <c r="VA192" s="9" t="n">
        <v>0</v>
      </c>
      <c r="VC192" s="9" t="n">
        <v>0</v>
      </c>
      <c r="VD192" s="9" t="n">
        <v>41.60000000000002</v>
      </c>
      <c r="VH192" s="10" t="n">
        <v>46183</v>
      </c>
      <c r="VJ192" s="9" t="n">
        <v>0</v>
      </c>
      <c r="VL192" s="9" t="n">
        <v>0</v>
      </c>
      <c r="VM192" s="9" t="n">
        <v>210</v>
      </c>
      <c r="VQ192" s="10" t="n">
        <v>46183</v>
      </c>
      <c r="VS192" s="9" t="n">
        <v>0</v>
      </c>
      <c r="VU192" s="9" t="n">
        <v>0</v>
      </c>
      <c r="VV192" s="9" t="n">
        <v>0</v>
      </c>
      <c r="VZ192" s="10" t="n">
        <v>46183</v>
      </c>
      <c r="WB192" s="9" t="n">
        <v>0</v>
      </c>
      <c r="WD192" s="9" t="n">
        <v>0</v>
      </c>
      <c r="WE192" s="9" t="n">
        <v>0</v>
      </c>
      <c r="WI192" s="10" t="n">
        <v>46183</v>
      </c>
      <c r="WK192" s="9" t="n">
        <v>0</v>
      </c>
      <c r="WM192" s="9" t="n">
        <v>0</v>
      </c>
      <c r="WN192" s="9" t="n">
        <v>1199</v>
      </c>
      <c r="WR192" s="10" t="n">
        <v>46183</v>
      </c>
      <c r="WT192" s="9" t="n">
        <v>0</v>
      </c>
      <c r="WV192" s="9" t="n">
        <v>0</v>
      </c>
      <c r="WW192" s="9" t="n">
        <v>0</v>
      </c>
      <c r="XA192" s="10" t="n">
        <v>46183</v>
      </c>
      <c r="XC192" s="9" t="n">
        <v>0</v>
      </c>
      <c r="XE192" s="9" t="n">
        <v>0</v>
      </c>
      <c r="XF192" s="9" t="n">
        <v>6813</v>
      </c>
      <c r="XJ192" s="10" t="n">
        <v>46183</v>
      </c>
      <c r="XL192" s="9" t="n">
        <v>0</v>
      </c>
      <c r="XN192" s="9" t="n">
        <v>0</v>
      </c>
      <c r="XO192" s="9" t="n">
        <v>6197</v>
      </c>
      <c r="XS192" s="10" t="n">
        <v>46183</v>
      </c>
      <c r="XU192" s="9" t="n">
        <v>0</v>
      </c>
      <c r="XW192" s="9" t="n">
        <v>0</v>
      </c>
      <c r="XX192" s="9" t="n">
        <v>1621</v>
      </c>
      <c r="YB192" s="10" t="n">
        <v>46183</v>
      </c>
      <c r="YD192" s="9" t="n">
        <v>0</v>
      </c>
      <c r="YF192" s="9" t="n">
        <v>0</v>
      </c>
      <c r="YG192" s="9" t="n">
        <v>5083</v>
      </c>
      <c r="YK192" s="10" t="n">
        <v>46183</v>
      </c>
      <c r="YM192" s="9" t="n">
        <v>0</v>
      </c>
      <c r="YO192" s="9" t="n">
        <v>0</v>
      </c>
      <c r="YP192" s="9" t="n">
        <v>0</v>
      </c>
      <c r="YT192" s="10" t="n">
        <v>46183</v>
      </c>
      <c r="YV192" s="9" t="n">
        <v>0</v>
      </c>
      <c r="YX192" s="9" t="n">
        <v>0</v>
      </c>
      <c r="YY192" s="9" t="n">
        <v>0</v>
      </c>
      <c r="ZC192" s="10" t="n">
        <v>46183</v>
      </c>
      <c r="ZE192" s="9" t="n">
        <v>0</v>
      </c>
      <c r="ZG192" s="9" t="n">
        <v>0</v>
      </c>
      <c r="ZH192" s="9" t="n">
        <v>0</v>
      </c>
      <c r="ZL192" s="10" t="n">
        <v>46183</v>
      </c>
      <c r="ZN192" s="9" t="n">
        <v>0</v>
      </c>
      <c r="ZP192" s="9" t="n">
        <v>0</v>
      </c>
      <c r="ZQ192" s="9" t="n">
        <v>0</v>
      </c>
      <c r="ZU192" s="10" t="n">
        <v>46183</v>
      </c>
      <c r="ZW192" s="9" t="n">
        <v>0</v>
      </c>
      <c r="ZY192" s="9" t="n">
        <v>0</v>
      </c>
      <c r="ZZ192" s="9" t="n">
        <v>0</v>
      </c>
      <c r="AAD192" s="10" t="n">
        <v>46183</v>
      </c>
      <c r="AAF192" s="9" t="n">
        <v>0</v>
      </c>
      <c r="AAH192" s="9" t="n">
        <v>0</v>
      </c>
      <c r="AAI192" s="9" t="n">
        <v>0</v>
      </c>
      <c r="AAM192" s="10" t="n">
        <v>46183</v>
      </c>
      <c r="AAO192" s="9" t="n">
        <v>0</v>
      </c>
      <c r="AAQ192" s="9" t="n">
        <v>0</v>
      </c>
      <c r="AAR192" s="9" t="n">
        <v>0</v>
      </c>
      <c r="AAV192" s="10" t="n">
        <v>46183</v>
      </c>
      <c r="AAX192" s="9" t="n">
        <v>0</v>
      </c>
      <c r="AAZ192" s="9" t="n">
        <v>0</v>
      </c>
      <c r="ABA192" s="9" t="n">
        <v>0</v>
      </c>
      <c r="ABE192" s="10" t="n">
        <v>46183</v>
      </c>
      <c r="ABG192" s="9" t="n">
        <v>0</v>
      </c>
      <c r="ABI192" s="9" t="n">
        <v>0</v>
      </c>
      <c r="ABJ192" s="9" t="n">
        <v>0</v>
      </c>
    </row>
    <row r="193">
      <c r="B193" s="9" t="n">
        <v>14</v>
      </c>
      <c r="C193" s="10" t="n">
        <v>46184</v>
      </c>
      <c r="E193" s="9" t="n">
        <v>7496.45</v>
      </c>
      <c r="F193" s="9" t="n">
        <v>7495.6</v>
      </c>
      <c r="G193" s="9" t="n">
        <v>0.8499999999994543</v>
      </c>
      <c r="H193" s="9" t="n">
        <v>163401.6000000001</v>
      </c>
      <c r="I193" s="9" t="inlineStr">
        <is>
          <t>5201 4mt, 5202 10mt</t>
        </is>
      </c>
      <c r="L193" s="10" t="n">
        <v>46184</v>
      </c>
      <c r="N193" s="9" t="n">
        <v>4319.13</v>
      </c>
      <c r="O193" s="9" t="n">
        <v>4316.2</v>
      </c>
      <c r="P193" s="9" t="n">
        <v>2.930000000000291</v>
      </c>
      <c r="Q193" s="9" t="n">
        <v>80873.40000000007</v>
      </c>
      <c r="U193" s="10" t="n">
        <v>46184</v>
      </c>
      <c r="W193" s="9" t="n">
        <v>800</v>
      </c>
      <c r="X193" s="9" t="n">
        <v>799.9</v>
      </c>
      <c r="Y193" s="9" t="n">
        <v>0.1000000000000227</v>
      </c>
      <c r="Z193" s="9" t="n">
        <v>26781.09999999997</v>
      </c>
      <c r="AD193" s="10" t="n">
        <v>46184</v>
      </c>
      <c r="AF193" s="9" t="n">
        <v>0</v>
      </c>
      <c r="AH193" s="9" t="n">
        <v>0</v>
      </c>
      <c r="AI193" s="9" t="n">
        <v>33973.10000000002</v>
      </c>
      <c r="AM193" s="10" t="n">
        <v>46184</v>
      </c>
      <c r="AO193" s="9" t="n">
        <v>0</v>
      </c>
      <c r="AQ193" s="9" t="n">
        <v>0</v>
      </c>
      <c r="AR193" s="9" t="n">
        <v>0</v>
      </c>
      <c r="AV193" s="10" t="n">
        <v>46184</v>
      </c>
      <c r="AX193" s="9" t="n">
        <v>0</v>
      </c>
      <c r="AZ193" s="9" t="n">
        <v>0</v>
      </c>
      <c r="BA193" s="9" t="n">
        <v>16316</v>
      </c>
      <c r="BE193" s="10" t="n">
        <v>46184</v>
      </c>
      <c r="BF193" s="9" t="n">
        <v>11000</v>
      </c>
      <c r="BG193" s="9" t="n">
        <v>0</v>
      </c>
      <c r="BI193" s="9" t="n">
        <v>0</v>
      </c>
      <c r="BJ193" s="9" t="n">
        <v>40991.3</v>
      </c>
      <c r="BN193" s="10" t="n">
        <v>46184</v>
      </c>
      <c r="BO193" s="9" t="n">
        <v>50</v>
      </c>
      <c r="BP193" s="9" t="n">
        <v>50</v>
      </c>
      <c r="BQ193" s="9" t="n">
        <v>50</v>
      </c>
      <c r="BR193" s="9" t="n">
        <v>0</v>
      </c>
      <c r="BS193" s="9" t="n">
        <v>0</v>
      </c>
      <c r="BW193" s="10" t="n">
        <v>46184</v>
      </c>
      <c r="BY193" s="9" t="n">
        <v>120.65</v>
      </c>
      <c r="CA193" s="9" t="n">
        <v>120.65</v>
      </c>
      <c r="CB193" s="9" t="n">
        <v>4126.629999999999</v>
      </c>
      <c r="CF193" s="10" t="n">
        <v>46184</v>
      </c>
      <c r="CH193" s="9" t="n">
        <v>0</v>
      </c>
      <c r="CJ193" s="9" t="n">
        <v>0</v>
      </c>
      <c r="CK193" s="9" t="n">
        <v>0</v>
      </c>
      <c r="CO193" s="10" t="n">
        <v>46184</v>
      </c>
      <c r="CQ193" s="9" t="n">
        <v>0</v>
      </c>
      <c r="CS193" s="9" t="n">
        <v>0</v>
      </c>
      <c r="CT193" s="9" t="n">
        <v>0</v>
      </c>
      <c r="CX193" s="10" t="n">
        <v>46184</v>
      </c>
      <c r="CZ193" s="9" t="n">
        <v>280</v>
      </c>
      <c r="DA193" s="9" t="n">
        <v>279.8</v>
      </c>
      <c r="DB193" s="9" t="n">
        <v>0.1999999999999886</v>
      </c>
      <c r="DC193" s="9" t="n">
        <v>17343.80000000001</v>
      </c>
      <c r="DG193" s="10" t="n">
        <v>46184</v>
      </c>
      <c r="DI193" s="9" t="n">
        <v>0</v>
      </c>
      <c r="DK193" s="9" t="n">
        <v>0</v>
      </c>
      <c r="DL193" s="9" t="n">
        <v>35234.99999999999</v>
      </c>
      <c r="DP193" s="10" t="n">
        <v>46184</v>
      </c>
      <c r="DR193" s="9" t="n">
        <v>0</v>
      </c>
      <c r="DT193" s="9" t="n">
        <v>0</v>
      </c>
      <c r="DU193" s="9" t="n">
        <v>5800</v>
      </c>
      <c r="DY193" s="10" t="n">
        <v>46184</v>
      </c>
      <c r="EA193" s="9" t="n">
        <v>0</v>
      </c>
      <c r="EC193" s="9" t="n">
        <v>0</v>
      </c>
      <c r="ED193" s="9" t="n">
        <v>0</v>
      </c>
      <c r="EH193" s="10" t="n">
        <v>46184</v>
      </c>
      <c r="EJ193" s="9" t="n">
        <v>0</v>
      </c>
      <c r="EL193" s="9" t="n">
        <v>0</v>
      </c>
      <c r="EM193" s="9" t="n">
        <v>0</v>
      </c>
      <c r="EQ193" s="10" t="n">
        <v>46184</v>
      </c>
      <c r="ES193" s="9" t="n">
        <v>0</v>
      </c>
      <c r="EU193" s="9" t="n">
        <v>0</v>
      </c>
      <c r="EV193" s="9" t="n">
        <v>0</v>
      </c>
      <c r="EZ193" s="10" t="n">
        <v>46184</v>
      </c>
      <c r="FB193" s="9" t="n">
        <v>0</v>
      </c>
      <c r="FD193" s="9" t="n">
        <v>0</v>
      </c>
      <c r="FE193" s="9" t="n">
        <v>0</v>
      </c>
      <c r="FI193" s="10" t="n">
        <v>46184</v>
      </c>
      <c r="FK193" s="9" t="n">
        <v>0</v>
      </c>
      <c r="FM193" s="9" t="n">
        <v>0</v>
      </c>
      <c r="FN193" s="9" t="n">
        <v>0</v>
      </c>
      <c r="FR193" s="10" t="n">
        <v>46184</v>
      </c>
      <c r="FT193" s="9" t="n">
        <v>0</v>
      </c>
      <c r="FV193" s="9" t="n">
        <v>0</v>
      </c>
      <c r="FW193" s="9" t="n">
        <v>1160</v>
      </c>
      <c r="GA193" s="10" t="n">
        <v>46184</v>
      </c>
      <c r="GC193" s="9" t="n">
        <v>0</v>
      </c>
      <c r="GE193" s="9" t="n">
        <v>0</v>
      </c>
      <c r="GF193" s="9" t="n">
        <v>960</v>
      </c>
      <c r="GJ193" s="10" t="n">
        <v>46184</v>
      </c>
      <c r="GL193" s="9" t="n">
        <v>0</v>
      </c>
      <c r="GN193" s="9" t="n">
        <v>0</v>
      </c>
      <c r="GO193" s="9" t="n">
        <v>1760</v>
      </c>
      <c r="GS193" s="10" t="n">
        <v>46184</v>
      </c>
      <c r="GU193" s="9" t="n">
        <v>0</v>
      </c>
      <c r="GW193" s="9" t="n">
        <v>0</v>
      </c>
      <c r="GX193" s="9" t="n">
        <v>0</v>
      </c>
      <c r="HB193" s="10" t="n">
        <v>46184</v>
      </c>
      <c r="HD193" s="9" t="n">
        <v>0</v>
      </c>
      <c r="HF193" s="9" t="n">
        <v>0</v>
      </c>
      <c r="HG193" s="9" t="n">
        <v>3600</v>
      </c>
      <c r="HK193" s="10" t="n">
        <v>46184</v>
      </c>
      <c r="HM193" s="9" t="n">
        <v>0</v>
      </c>
      <c r="HO193" s="9" t="n">
        <v>0</v>
      </c>
      <c r="HP193" s="9" t="n">
        <v>0</v>
      </c>
      <c r="HU193" s="10" t="n">
        <v>46184</v>
      </c>
      <c r="HW193" s="9" t="n">
        <v>0</v>
      </c>
      <c r="HY193" s="9" t="n">
        <v>0</v>
      </c>
      <c r="HZ193" s="9" t="n">
        <v>6800</v>
      </c>
      <c r="ID193" s="10" t="n">
        <v>46184</v>
      </c>
      <c r="IF193" s="9" t="n">
        <v>0</v>
      </c>
      <c r="IH193" s="9" t="n">
        <v>0</v>
      </c>
      <c r="II193" s="9" t="n">
        <v>720</v>
      </c>
      <c r="IM193" s="10" t="n">
        <v>46184</v>
      </c>
      <c r="IO193" s="9" t="n">
        <v>0</v>
      </c>
      <c r="IQ193" s="9" t="n">
        <v>0</v>
      </c>
      <c r="IR193" s="9" t="n">
        <v>8140</v>
      </c>
      <c r="IV193" s="10" t="n">
        <v>46184</v>
      </c>
      <c r="IX193" s="9" t="n">
        <v>0</v>
      </c>
      <c r="IZ193" s="9" t="n">
        <v>0</v>
      </c>
      <c r="JA193" s="9" t="n">
        <v>4960</v>
      </c>
      <c r="JE193" s="10" t="n">
        <v>46184</v>
      </c>
      <c r="JG193" s="9" t="n">
        <v>0</v>
      </c>
      <c r="JI193" s="9" t="n">
        <v>0</v>
      </c>
      <c r="JJ193" s="9" t="n">
        <v>0</v>
      </c>
      <c r="JN193" s="10" t="n">
        <v>46184</v>
      </c>
      <c r="JP193" s="9" t="n">
        <v>0</v>
      </c>
      <c r="JR193" s="9" t="n">
        <v>0</v>
      </c>
      <c r="JS193" s="9" t="n">
        <v>180</v>
      </c>
      <c r="JW193" s="10" t="n">
        <v>46184</v>
      </c>
      <c r="JY193" s="9" t="n">
        <v>0</v>
      </c>
      <c r="KA193" s="9" t="n">
        <v>0</v>
      </c>
      <c r="KB193" s="9" t="n">
        <v>2540</v>
      </c>
      <c r="KF193" s="10" t="n">
        <v>46184</v>
      </c>
      <c r="KH193" s="9" t="n">
        <v>0</v>
      </c>
      <c r="KJ193" s="9" t="n">
        <v>0</v>
      </c>
      <c r="KK193" s="9" t="n">
        <v>2359.5</v>
      </c>
      <c r="KO193" s="10" t="n">
        <v>46184</v>
      </c>
      <c r="KQ193" s="9" t="n">
        <v>0</v>
      </c>
      <c r="KS193" s="9" t="n">
        <v>0</v>
      </c>
      <c r="KT193" s="9" t="n">
        <v>1890</v>
      </c>
      <c r="KX193" s="10" t="n">
        <v>46184</v>
      </c>
      <c r="KZ193" s="9" t="n">
        <v>0</v>
      </c>
      <c r="LB193" s="9" t="n">
        <v>0</v>
      </c>
      <c r="LC193" s="9" t="n">
        <v>3690</v>
      </c>
      <c r="LG193" s="10" t="n">
        <v>46184</v>
      </c>
      <c r="LI193" s="9" t="n">
        <v>0</v>
      </c>
      <c r="LK193" s="9" t="n">
        <v>0</v>
      </c>
      <c r="LL193" s="9" t="n">
        <v>4000</v>
      </c>
      <c r="LP193" s="10" t="n">
        <v>46184</v>
      </c>
      <c r="LR193" s="9" t="n">
        <v>0</v>
      </c>
      <c r="LT193" s="9" t="n">
        <v>0</v>
      </c>
      <c r="LU193" s="9" t="n">
        <v>0</v>
      </c>
      <c r="LY193" s="10" t="n">
        <v>46184</v>
      </c>
      <c r="MA193" s="9" t="n">
        <v>0</v>
      </c>
      <c r="MC193" s="9" t="n">
        <v>0</v>
      </c>
      <c r="MD193" s="9" t="n">
        <v>0</v>
      </c>
      <c r="MH193" s="10" t="n">
        <v>46184</v>
      </c>
      <c r="MJ193" s="9" t="n">
        <v>0</v>
      </c>
      <c r="ML193" s="9" t="n">
        <v>0</v>
      </c>
      <c r="MM193" s="9" t="n">
        <v>0</v>
      </c>
      <c r="MQ193" s="10" t="n">
        <v>46184</v>
      </c>
      <c r="MS193" s="9" t="n">
        <v>0</v>
      </c>
      <c r="MU193" s="9" t="n">
        <v>0</v>
      </c>
      <c r="MV193" s="9" t="n">
        <v>3724</v>
      </c>
      <c r="MZ193" s="10" t="n">
        <v>46184</v>
      </c>
      <c r="NB193" s="9" t="n">
        <v>0</v>
      </c>
      <c r="ND193" s="9" t="n">
        <v>0</v>
      </c>
      <c r="NE193" s="9" t="n">
        <v>0</v>
      </c>
      <c r="NI193" s="10" t="n">
        <v>46184</v>
      </c>
      <c r="NK193" s="9" t="n">
        <v>0</v>
      </c>
      <c r="NM193" s="9" t="n">
        <v>0</v>
      </c>
      <c r="NN193" s="9" t="n">
        <v>1127</v>
      </c>
      <c r="NR193" s="10" t="n">
        <v>46184</v>
      </c>
      <c r="NT193" s="9" t="n">
        <v>0</v>
      </c>
      <c r="NV193" s="9" t="n">
        <v>0</v>
      </c>
      <c r="NW193" s="9" t="n">
        <v>3112</v>
      </c>
      <c r="OA193" s="10" t="n">
        <v>46184</v>
      </c>
      <c r="OC193" s="9" t="n">
        <v>0</v>
      </c>
      <c r="OE193" s="9" t="n">
        <v>0</v>
      </c>
      <c r="OF193" s="9" t="n">
        <v>1680.5</v>
      </c>
      <c r="OJ193" s="10" t="n">
        <v>46184</v>
      </c>
      <c r="OL193" s="9" t="n">
        <v>0</v>
      </c>
      <c r="ON193" s="9" t="n">
        <v>0</v>
      </c>
      <c r="OO193" s="9" t="n">
        <v>0</v>
      </c>
      <c r="OS193" s="10" t="n">
        <v>46184</v>
      </c>
      <c r="OU193" s="9" t="n">
        <v>0</v>
      </c>
      <c r="OW193" s="9" t="n">
        <v>0</v>
      </c>
      <c r="OX193" s="9" t="n">
        <v>1482</v>
      </c>
      <c r="PB193" s="10" t="n">
        <v>46184</v>
      </c>
      <c r="PD193" s="9" t="n">
        <v>0</v>
      </c>
      <c r="PF193" s="9" t="n">
        <v>0</v>
      </c>
      <c r="PG193" s="9" t="n">
        <v>0</v>
      </c>
      <c r="PK193" s="10" t="n">
        <v>46184</v>
      </c>
      <c r="PM193" s="9" t="n">
        <v>0</v>
      </c>
      <c r="PO193" s="9" t="n">
        <v>0</v>
      </c>
      <c r="PP193" s="9" t="n">
        <v>100</v>
      </c>
      <c r="PT193" s="10" t="n">
        <v>46184</v>
      </c>
      <c r="PV193" s="9" t="n">
        <v>0</v>
      </c>
      <c r="PX193" s="9" t="n">
        <v>0</v>
      </c>
      <c r="PY193" s="9" t="n">
        <v>13.96000000000004</v>
      </c>
      <c r="QC193" s="10" t="n">
        <v>46184</v>
      </c>
      <c r="QE193" s="9" t="n">
        <v>0</v>
      </c>
      <c r="QG193" s="9" t="n">
        <v>0</v>
      </c>
      <c r="QH193" s="9" t="n">
        <v>1736</v>
      </c>
      <c r="QL193" s="10" t="n">
        <v>46184</v>
      </c>
      <c r="QN193" s="9" t="n">
        <v>0</v>
      </c>
      <c r="QP193" s="9" t="n">
        <v>0</v>
      </c>
      <c r="QQ193" s="9" t="n">
        <v>475</v>
      </c>
      <c r="QU193" s="10" t="n">
        <v>46184</v>
      </c>
      <c r="QW193" s="9" t="n">
        <v>0</v>
      </c>
      <c r="QY193" s="9" t="n">
        <v>0</v>
      </c>
      <c r="QZ193" s="9" t="n">
        <v>207.6</v>
      </c>
      <c r="RD193" s="10" t="n">
        <v>46184</v>
      </c>
      <c r="RF193" s="9" t="n">
        <v>0</v>
      </c>
      <c r="RH193" s="9" t="n">
        <v>0</v>
      </c>
      <c r="RI193" s="9" t="n">
        <v>147.04</v>
      </c>
      <c r="RM193" s="10" t="n">
        <v>46184</v>
      </c>
      <c r="RO193" s="9" t="n">
        <v>0</v>
      </c>
      <c r="RQ193" s="9" t="n">
        <v>0</v>
      </c>
      <c r="RR193" s="9" t="n">
        <v>46.8</v>
      </c>
      <c r="RV193" s="10" t="n">
        <v>46184</v>
      </c>
      <c r="RX193" s="9" t="n">
        <v>0</v>
      </c>
      <c r="RZ193" s="9" t="n">
        <v>0</v>
      </c>
      <c r="SA193" s="9" t="n">
        <v>0</v>
      </c>
      <c r="SE193" s="10" t="n">
        <v>46184</v>
      </c>
      <c r="SG193" s="9" t="n">
        <v>0</v>
      </c>
      <c r="SI193" s="9" t="n">
        <v>0</v>
      </c>
      <c r="SJ193" s="9" t="n">
        <v>24.2</v>
      </c>
      <c r="SN193" s="10" t="n">
        <v>46184</v>
      </c>
      <c r="SP193" s="9" t="n">
        <v>0</v>
      </c>
      <c r="SR193" s="9" t="n">
        <v>0</v>
      </c>
      <c r="SS193" s="9" t="n">
        <v>32</v>
      </c>
      <c r="SW193" s="10" t="n">
        <v>46184</v>
      </c>
      <c r="SY193" s="9" t="n">
        <v>0</v>
      </c>
      <c r="TA193" s="9" t="n">
        <v>0</v>
      </c>
      <c r="TB193" s="9" t="n">
        <v>0</v>
      </c>
      <c r="TF193" s="10" t="n">
        <v>46184</v>
      </c>
      <c r="TH193" s="9" t="n">
        <v>0</v>
      </c>
      <c r="TJ193" s="9" t="n">
        <v>0</v>
      </c>
      <c r="TK193" s="9" t="n">
        <v>0</v>
      </c>
      <c r="TO193" s="10" t="n">
        <v>46184</v>
      </c>
      <c r="TQ193" s="9" t="n">
        <v>0</v>
      </c>
      <c r="TS193" s="9" t="n">
        <v>0</v>
      </c>
      <c r="TT193" s="9" t="n">
        <v>22.40000000000001</v>
      </c>
      <c r="TX193" s="10" t="n">
        <v>46184</v>
      </c>
      <c r="TZ193" s="9" t="n">
        <v>0</v>
      </c>
      <c r="UB193" s="9" t="n">
        <v>0</v>
      </c>
      <c r="UC193" s="9" t="n">
        <v>46.79999999999998</v>
      </c>
      <c r="UG193" s="10" t="n">
        <v>46184</v>
      </c>
      <c r="UI193" s="9" t="n">
        <v>0</v>
      </c>
      <c r="UK193" s="9" t="n">
        <v>0</v>
      </c>
      <c r="UL193" s="9" t="n">
        <v>204</v>
      </c>
      <c r="UP193" s="10" t="n">
        <v>46184</v>
      </c>
      <c r="UR193" s="9" t="n">
        <v>0</v>
      </c>
      <c r="UT193" s="9" t="n">
        <v>0</v>
      </c>
      <c r="UU193" s="9" t="n">
        <v>251.25</v>
      </c>
      <c r="UY193" s="10" t="n">
        <v>46184</v>
      </c>
      <c r="VA193" s="9" t="n">
        <v>0</v>
      </c>
      <c r="VC193" s="9" t="n">
        <v>0</v>
      </c>
      <c r="VD193" s="9" t="n">
        <v>41.60000000000002</v>
      </c>
      <c r="VH193" s="10" t="n">
        <v>46184</v>
      </c>
      <c r="VJ193" s="9" t="n">
        <v>0</v>
      </c>
      <c r="VL193" s="9" t="n">
        <v>0</v>
      </c>
      <c r="VM193" s="9" t="n">
        <v>210</v>
      </c>
      <c r="VQ193" s="10" t="n">
        <v>46184</v>
      </c>
      <c r="VS193" s="9" t="n">
        <v>0</v>
      </c>
      <c r="VU193" s="9" t="n">
        <v>0</v>
      </c>
      <c r="VV193" s="9" t="n">
        <v>0</v>
      </c>
      <c r="VZ193" s="10" t="n">
        <v>46184</v>
      </c>
      <c r="WB193" s="9" t="n">
        <v>0</v>
      </c>
      <c r="WD193" s="9" t="n">
        <v>0</v>
      </c>
      <c r="WE193" s="9" t="n">
        <v>0</v>
      </c>
      <c r="WI193" s="10" t="n">
        <v>46184</v>
      </c>
      <c r="WK193" s="9" t="n">
        <v>0</v>
      </c>
      <c r="WM193" s="9" t="n">
        <v>0</v>
      </c>
      <c r="WN193" s="9" t="n">
        <v>1199</v>
      </c>
      <c r="WR193" s="10" t="n">
        <v>46184</v>
      </c>
      <c r="WT193" s="9" t="n">
        <v>0</v>
      </c>
      <c r="WV193" s="9" t="n">
        <v>0</v>
      </c>
      <c r="WW193" s="9" t="n">
        <v>0</v>
      </c>
      <c r="XA193" s="10" t="n">
        <v>46184</v>
      </c>
      <c r="XC193" s="9" t="n">
        <v>0</v>
      </c>
      <c r="XE193" s="9" t="n">
        <v>0</v>
      </c>
      <c r="XF193" s="9" t="n">
        <v>6813</v>
      </c>
      <c r="XJ193" s="10" t="n">
        <v>46184</v>
      </c>
      <c r="XL193" s="9" t="n">
        <v>0</v>
      </c>
      <c r="XM193" s="9" t="n">
        <v>80</v>
      </c>
      <c r="XN193" s="9" t="n">
        <v>-80</v>
      </c>
      <c r="XO193" s="9" t="n">
        <v>6117</v>
      </c>
      <c r="XS193" s="10" t="n">
        <v>46184</v>
      </c>
      <c r="XU193" s="9" t="n">
        <v>0</v>
      </c>
      <c r="XW193" s="9" t="n">
        <v>0</v>
      </c>
      <c r="XX193" s="9" t="n">
        <v>1621</v>
      </c>
      <c r="YB193" s="10" t="n">
        <v>46184</v>
      </c>
      <c r="YD193" s="9" t="n">
        <v>0</v>
      </c>
      <c r="YF193" s="9" t="n">
        <v>0</v>
      </c>
      <c r="YG193" s="9" t="n">
        <v>5083</v>
      </c>
      <c r="YK193" s="10" t="n">
        <v>46184</v>
      </c>
      <c r="YM193" s="9" t="n">
        <v>0</v>
      </c>
      <c r="YO193" s="9" t="n">
        <v>0</v>
      </c>
      <c r="YP193" s="9" t="n">
        <v>0</v>
      </c>
      <c r="YT193" s="10" t="n">
        <v>46184</v>
      </c>
      <c r="YV193" s="9" t="n">
        <v>0</v>
      </c>
      <c r="YX193" s="9" t="n">
        <v>0</v>
      </c>
      <c r="YY193" s="9" t="n">
        <v>0</v>
      </c>
      <c r="ZC193" s="10" t="n">
        <v>46184</v>
      </c>
      <c r="ZE193" s="9" t="n">
        <v>0</v>
      </c>
      <c r="ZG193" s="9" t="n">
        <v>0</v>
      </c>
      <c r="ZH193" s="9" t="n">
        <v>0</v>
      </c>
      <c r="ZL193" s="10" t="n">
        <v>46184</v>
      </c>
      <c r="ZN193" s="9" t="n">
        <v>0</v>
      </c>
      <c r="ZP193" s="9" t="n">
        <v>0</v>
      </c>
      <c r="ZQ193" s="9" t="n">
        <v>0</v>
      </c>
      <c r="ZU193" s="10" t="n">
        <v>46184</v>
      </c>
      <c r="ZW193" s="9" t="n">
        <v>0</v>
      </c>
      <c r="ZY193" s="9" t="n">
        <v>0</v>
      </c>
      <c r="ZZ193" s="9" t="n">
        <v>0</v>
      </c>
      <c r="AAD193" s="10" t="n">
        <v>46184</v>
      </c>
      <c r="AAF193" s="9" t="n">
        <v>0</v>
      </c>
      <c r="AAH193" s="9" t="n">
        <v>0</v>
      </c>
      <c r="AAI193" s="9" t="n">
        <v>0</v>
      </c>
      <c r="AAM193" s="10" t="n">
        <v>46184</v>
      </c>
      <c r="AAO193" s="9" t="n">
        <v>0</v>
      </c>
      <c r="AAQ193" s="9" t="n">
        <v>0</v>
      </c>
      <c r="AAR193" s="9" t="n">
        <v>0</v>
      </c>
      <c r="AAV193" s="10" t="n">
        <v>46184</v>
      </c>
      <c r="AAX193" s="9" t="n">
        <v>0</v>
      </c>
      <c r="AAZ193" s="9" t="n">
        <v>0</v>
      </c>
      <c r="ABA193" s="9" t="n">
        <v>0</v>
      </c>
      <c r="ABE193" s="10" t="n">
        <v>46184</v>
      </c>
      <c r="ABG193" s="9" t="n">
        <v>0</v>
      </c>
      <c r="ABI193" s="9" t="n">
        <v>0</v>
      </c>
      <c r="ABJ193" s="9" t="n">
        <v>0</v>
      </c>
    </row>
    <row r="194">
      <c r="B194" s="9" t="n">
        <v>120</v>
      </c>
      <c r="C194" s="10" t="n">
        <v>46185</v>
      </c>
      <c r="E194" s="9" t="n">
        <v>67519.2</v>
      </c>
      <c r="F194" s="9" t="n">
        <v>67513.2</v>
      </c>
      <c r="G194" s="9" t="n">
        <v>6</v>
      </c>
      <c r="H194" s="9" t="n">
        <v>95888.40000000007</v>
      </c>
      <c r="I194" s="9" t="inlineStr">
        <is>
          <t>311 30mt, 8102 90mt</t>
        </is>
      </c>
      <c r="L194" s="10" t="n">
        <v>46185</v>
      </c>
      <c r="M194" s="9" t="n">
        <v>26950</v>
      </c>
      <c r="N194" s="9" t="n">
        <v>36258</v>
      </c>
      <c r="O194" s="9" t="n">
        <v>36262.2</v>
      </c>
      <c r="P194" s="9" t="n">
        <v>-4.19999999999709</v>
      </c>
      <c r="Q194" s="9" t="n">
        <v>71561.20000000007</v>
      </c>
      <c r="U194" s="10" t="n">
        <v>46185</v>
      </c>
      <c r="V194" s="9" t="n">
        <v>25050</v>
      </c>
      <c r="W194" s="9" t="n">
        <v>5400</v>
      </c>
      <c r="X194" s="9" t="n">
        <v>5399.7</v>
      </c>
      <c r="Y194" s="9" t="n">
        <v>0.3000000000001819</v>
      </c>
      <c r="Z194" s="9" t="n">
        <v>46431.39999999998</v>
      </c>
      <c r="AD194" s="10" t="n">
        <v>46185</v>
      </c>
      <c r="AF194" s="9" t="n">
        <v>600</v>
      </c>
      <c r="AG194" s="9" t="n">
        <v>600.4</v>
      </c>
      <c r="AH194" s="9" t="n">
        <v>-0.3999999999999773</v>
      </c>
      <c r="AI194" s="9" t="n">
        <v>33372.70000000002</v>
      </c>
      <c r="AM194" s="10" t="n">
        <v>46185</v>
      </c>
      <c r="AO194" s="9" t="n">
        <v>0</v>
      </c>
      <c r="AQ194" s="9" t="n">
        <v>0</v>
      </c>
      <c r="AR194" s="9" t="n">
        <v>0</v>
      </c>
      <c r="AV194" s="10" t="n">
        <v>46185</v>
      </c>
      <c r="AX194" s="9" t="n">
        <v>2250</v>
      </c>
      <c r="AY194" s="9" t="n">
        <v>2249.5</v>
      </c>
      <c r="AZ194" s="9" t="n">
        <v>0.5</v>
      </c>
      <c r="BA194" s="9" t="n">
        <v>14066.5</v>
      </c>
      <c r="BE194" s="10" t="n">
        <v>46185</v>
      </c>
      <c r="BG194" s="9" t="n">
        <v>1755</v>
      </c>
      <c r="BH194" s="9" t="n">
        <v>1755.9</v>
      </c>
      <c r="BI194" s="9" t="n">
        <v>-0.9000000000000909</v>
      </c>
      <c r="BJ194" s="9" t="n">
        <v>39235.39999999999</v>
      </c>
      <c r="BN194" s="10" t="n">
        <v>46185</v>
      </c>
      <c r="BO194" s="9" t="n">
        <v>2504.9</v>
      </c>
      <c r="BP194" s="9" t="n">
        <v>2505</v>
      </c>
      <c r="BQ194" s="9" t="n">
        <v>2504.9</v>
      </c>
      <c r="BR194" s="9" t="n">
        <v>0.09999999999990905</v>
      </c>
      <c r="BS194" s="9" t="n">
        <v>0</v>
      </c>
      <c r="BW194" s="10" t="n">
        <v>46185</v>
      </c>
      <c r="BY194" s="9" t="n">
        <v>0</v>
      </c>
      <c r="BZ194" s="9" t="n">
        <v>541.13</v>
      </c>
      <c r="CA194" s="9" t="n">
        <v>-541.13</v>
      </c>
      <c r="CB194" s="9" t="n">
        <v>3585.499999999999</v>
      </c>
      <c r="CF194" s="10" t="n">
        <v>46185</v>
      </c>
      <c r="CG194" s="9" t="n">
        <v>1342.99</v>
      </c>
      <c r="CH194" s="9" t="n">
        <v>577.8</v>
      </c>
      <c r="CI194" s="9" t="n">
        <v>1342.99</v>
      </c>
      <c r="CJ194" s="9" t="n">
        <v>-765.1900000000001</v>
      </c>
      <c r="CK194" s="9" t="n">
        <v>0</v>
      </c>
      <c r="CO194" s="10" t="n">
        <v>46185</v>
      </c>
      <c r="CQ194" s="9" t="n">
        <v>0</v>
      </c>
      <c r="CS194" s="9" t="n">
        <v>0</v>
      </c>
      <c r="CT194" s="9" t="n">
        <v>0</v>
      </c>
      <c r="CX194" s="10" t="n">
        <v>46185</v>
      </c>
      <c r="CZ194" s="9" t="n">
        <v>0</v>
      </c>
      <c r="DB194" s="9" t="n">
        <v>0</v>
      </c>
      <c r="DC194" s="9" t="n">
        <v>17343.80000000001</v>
      </c>
      <c r="DG194" s="10" t="n">
        <v>46185</v>
      </c>
      <c r="DI194" s="9" t="n">
        <v>0</v>
      </c>
      <c r="DK194" s="9" t="n">
        <v>0</v>
      </c>
      <c r="DL194" s="9" t="n">
        <v>35234.99999999999</v>
      </c>
      <c r="DP194" s="10" t="n">
        <v>46185</v>
      </c>
      <c r="DR194" s="9" t="n">
        <v>0</v>
      </c>
      <c r="DT194" s="9" t="n">
        <v>0</v>
      </c>
      <c r="DU194" s="9" t="n">
        <v>5800</v>
      </c>
      <c r="DY194" s="10" t="n">
        <v>46185</v>
      </c>
      <c r="EA194" s="9" t="n">
        <v>0</v>
      </c>
      <c r="EC194" s="9" t="n">
        <v>0</v>
      </c>
      <c r="ED194" s="9" t="n">
        <v>0</v>
      </c>
      <c r="EH194" s="10" t="n">
        <v>46185</v>
      </c>
      <c r="EJ194" s="9" t="n">
        <v>0</v>
      </c>
      <c r="EL194" s="9" t="n">
        <v>0</v>
      </c>
      <c r="EM194" s="9" t="n">
        <v>0</v>
      </c>
      <c r="EQ194" s="10" t="n">
        <v>46185</v>
      </c>
      <c r="ES194" s="9" t="n">
        <v>0</v>
      </c>
      <c r="EU194" s="9" t="n">
        <v>0</v>
      </c>
      <c r="EV194" s="9" t="n">
        <v>0</v>
      </c>
      <c r="EZ194" s="10" t="n">
        <v>46185</v>
      </c>
      <c r="FB194" s="9" t="n">
        <v>0</v>
      </c>
      <c r="FD194" s="9" t="n">
        <v>0</v>
      </c>
      <c r="FE194" s="9" t="n">
        <v>0</v>
      </c>
      <c r="FI194" s="10" t="n">
        <v>46185</v>
      </c>
      <c r="FK194" s="9" t="n">
        <v>0</v>
      </c>
      <c r="FM194" s="9" t="n">
        <v>0</v>
      </c>
      <c r="FN194" s="9" t="n">
        <v>0</v>
      </c>
      <c r="FR194" s="10" t="n">
        <v>46185</v>
      </c>
      <c r="FT194" s="9" t="n">
        <v>0</v>
      </c>
      <c r="FV194" s="9" t="n">
        <v>0</v>
      </c>
      <c r="FW194" s="9" t="n">
        <v>1160</v>
      </c>
      <c r="GA194" s="10" t="n">
        <v>46185</v>
      </c>
      <c r="GC194" s="9" t="n">
        <v>0</v>
      </c>
      <c r="GE194" s="9" t="n">
        <v>0</v>
      </c>
      <c r="GF194" s="9" t="n">
        <v>960</v>
      </c>
      <c r="GJ194" s="10" t="n">
        <v>46185</v>
      </c>
      <c r="GL194" s="9" t="n">
        <v>0</v>
      </c>
      <c r="GN194" s="9" t="n">
        <v>0</v>
      </c>
      <c r="GO194" s="9" t="n">
        <v>1760</v>
      </c>
      <c r="GS194" s="10" t="n">
        <v>46185</v>
      </c>
      <c r="GT194" s="9" t="n">
        <v>1000</v>
      </c>
      <c r="GU194" s="9" t="n">
        <v>600</v>
      </c>
      <c r="GV194" s="9" t="n">
        <v>600</v>
      </c>
      <c r="GW194" s="9" t="n">
        <v>0</v>
      </c>
      <c r="GX194" s="9" t="n">
        <v>400</v>
      </c>
      <c r="GY194" s="9" t="n">
        <v>30</v>
      </c>
      <c r="HB194" s="10" t="n">
        <v>46185</v>
      </c>
      <c r="HD194" s="9" t="n">
        <v>0</v>
      </c>
      <c r="HF194" s="9" t="n">
        <v>0</v>
      </c>
      <c r="HG194" s="9" t="n">
        <v>3600</v>
      </c>
      <c r="HK194" s="10" t="n">
        <v>46185</v>
      </c>
      <c r="HM194" s="9" t="n">
        <v>0</v>
      </c>
      <c r="HO194" s="9" t="n">
        <v>0</v>
      </c>
      <c r="HP194" s="9" t="n">
        <v>0</v>
      </c>
      <c r="HU194" s="10" t="n">
        <v>46185</v>
      </c>
      <c r="HW194" s="9" t="n">
        <v>0</v>
      </c>
      <c r="HY194" s="9" t="n">
        <v>0</v>
      </c>
      <c r="HZ194" s="9" t="n">
        <v>6800</v>
      </c>
      <c r="ID194" s="10" t="n">
        <v>46185</v>
      </c>
      <c r="IF194" s="9" t="n">
        <v>0</v>
      </c>
      <c r="IH194" s="9" t="n">
        <v>0</v>
      </c>
      <c r="II194" s="9" t="n">
        <v>720</v>
      </c>
      <c r="IM194" s="10" t="n">
        <v>46185</v>
      </c>
      <c r="IO194" s="9" t="n">
        <v>0</v>
      </c>
      <c r="IP194" s="9" t="n">
        <v>1620</v>
      </c>
      <c r="IQ194" s="9" t="n">
        <v>-1620</v>
      </c>
      <c r="IR194" s="9" t="n">
        <v>6520</v>
      </c>
      <c r="IS194" s="9" t="n">
        <v>81</v>
      </c>
      <c r="IV194" s="10" t="n">
        <v>46185</v>
      </c>
      <c r="IX194" s="9" t="n">
        <v>0</v>
      </c>
      <c r="IZ194" s="9" t="n">
        <v>0</v>
      </c>
      <c r="JA194" s="9" t="n">
        <v>4960</v>
      </c>
      <c r="JE194" s="10" t="n">
        <v>46185</v>
      </c>
      <c r="JG194" s="9" t="n">
        <v>0</v>
      </c>
      <c r="JI194" s="9" t="n">
        <v>0</v>
      </c>
      <c r="JJ194" s="9" t="n">
        <v>0</v>
      </c>
      <c r="JN194" s="10" t="n">
        <v>46185</v>
      </c>
      <c r="JP194" s="9" t="n">
        <v>1800</v>
      </c>
      <c r="JQ194" s="9" t="n">
        <v>180</v>
      </c>
      <c r="JR194" s="9" t="n">
        <v>1620</v>
      </c>
      <c r="JS194" s="9" t="n">
        <v>0</v>
      </c>
      <c r="JT194" s="9" t="n">
        <v>9</v>
      </c>
      <c r="JW194" s="10" t="n">
        <v>46185</v>
      </c>
      <c r="JY194" s="9" t="n">
        <v>0</v>
      </c>
      <c r="KA194" s="9" t="n">
        <v>0</v>
      </c>
      <c r="KB194" s="9" t="n">
        <v>2540</v>
      </c>
      <c r="KF194" s="10" t="n">
        <v>46185</v>
      </c>
      <c r="KH194" s="9" t="n">
        <v>0</v>
      </c>
      <c r="KJ194" s="9" t="n">
        <v>0</v>
      </c>
      <c r="KK194" s="9" t="n">
        <v>2359.5</v>
      </c>
      <c r="KO194" s="10" t="n">
        <v>46185</v>
      </c>
      <c r="KQ194" s="9" t="n">
        <v>0</v>
      </c>
      <c r="KS194" s="9" t="n">
        <v>0</v>
      </c>
      <c r="KT194" s="9" t="n">
        <v>1890</v>
      </c>
      <c r="KX194" s="10" t="n">
        <v>46185</v>
      </c>
      <c r="KZ194" s="9" t="n">
        <v>0</v>
      </c>
      <c r="LB194" s="9" t="n">
        <v>0</v>
      </c>
      <c r="LC194" s="9" t="n">
        <v>3690</v>
      </c>
      <c r="LG194" s="10" t="n">
        <v>46185</v>
      </c>
      <c r="LI194" s="9" t="n">
        <v>0</v>
      </c>
      <c r="LK194" s="9" t="n">
        <v>0</v>
      </c>
      <c r="LL194" s="9" t="n">
        <v>4000</v>
      </c>
      <c r="LP194" s="10" t="n">
        <v>46185</v>
      </c>
      <c r="LR194" s="9" t="n">
        <v>0</v>
      </c>
      <c r="LT194" s="9" t="n">
        <v>0</v>
      </c>
      <c r="LU194" s="9" t="n">
        <v>0</v>
      </c>
      <c r="LY194" s="10" t="n">
        <v>46185</v>
      </c>
      <c r="MA194" s="9" t="n">
        <v>0</v>
      </c>
      <c r="MC194" s="9" t="n">
        <v>0</v>
      </c>
      <c r="MD194" s="9" t="n">
        <v>0</v>
      </c>
      <c r="MH194" s="10" t="n">
        <v>46185</v>
      </c>
      <c r="MJ194" s="9" t="n">
        <v>0</v>
      </c>
      <c r="ML194" s="9" t="n">
        <v>0</v>
      </c>
      <c r="MM194" s="9" t="n">
        <v>0</v>
      </c>
      <c r="MQ194" s="10" t="n">
        <v>46185</v>
      </c>
      <c r="MS194" s="9" t="n">
        <v>0</v>
      </c>
      <c r="MU194" s="9" t="n">
        <v>0</v>
      </c>
      <c r="MV194" s="9" t="n">
        <v>3724</v>
      </c>
      <c r="MZ194" s="10" t="n">
        <v>46185</v>
      </c>
      <c r="NA194" s="9" t="n">
        <v>1380</v>
      </c>
      <c r="NB194" s="9" t="n">
        <v>420</v>
      </c>
      <c r="NC194" s="9" t="n">
        <v>1380</v>
      </c>
      <c r="ND194" s="9" t="n">
        <v>-960</v>
      </c>
      <c r="NE194" s="9" t="n">
        <v>0</v>
      </c>
      <c r="NI194" s="10" t="n">
        <v>46185</v>
      </c>
      <c r="NK194" s="9" t="n">
        <v>0</v>
      </c>
      <c r="NM194" s="9" t="n">
        <v>0</v>
      </c>
      <c r="NN194" s="9" t="n">
        <v>1127</v>
      </c>
      <c r="NR194" s="10" t="n">
        <v>46185</v>
      </c>
      <c r="NT194" s="9" t="n">
        <v>0</v>
      </c>
      <c r="NV194" s="9" t="n">
        <v>0</v>
      </c>
      <c r="NW194" s="9" t="n">
        <v>3112</v>
      </c>
      <c r="OA194" s="10" t="n">
        <v>46185</v>
      </c>
      <c r="OC194" s="9" t="n">
        <v>0</v>
      </c>
      <c r="OE194" s="9" t="n">
        <v>0</v>
      </c>
      <c r="OF194" s="9" t="n">
        <v>1680.5</v>
      </c>
      <c r="OJ194" s="10" t="n">
        <v>46185</v>
      </c>
      <c r="OK194" s="9" t="n">
        <v>246</v>
      </c>
      <c r="OL194" s="9" t="n">
        <v>60</v>
      </c>
      <c r="OM194" s="9" t="n">
        <v>246</v>
      </c>
      <c r="ON194" s="9" t="n">
        <v>-186</v>
      </c>
      <c r="OO194" s="9" t="n">
        <v>0</v>
      </c>
      <c r="OS194" s="10" t="n">
        <v>46185</v>
      </c>
      <c r="OU194" s="9" t="n">
        <v>0</v>
      </c>
      <c r="OW194" s="9" t="n">
        <v>0</v>
      </c>
      <c r="OX194" s="9" t="n">
        <v>1482</v>
      </c>
      <c r="PB194" s="10" t="n">
        <v>46185</v>
      </c>
      <c r="PD194" s="9" t="n">
        <v>0</v>
      </c>
      <c r="PF194" s="9" t="n">
        <v>0</v>
      </c>
      <c r="PG194" s="9" t="n">
        <v>0</v>
      </c>
      <c r="PK194" s="10" t="n">
        <v>46185</v>
      </c>
      <c r="PM194" s="9" t="n">
        <v>0</v>
      </c>
      <c r="PO194" s="9" t="n">
        <v>0</v>
      </c>
      <c r="PP194" s="9" t="n">
        <v>100</v>
      </c>
      <c r="PT194" s="10" t="n">
        <v>46185</v>
      </c>
      <c r="PV194" s="9" t="n">
        <v>0</v>
      </c>
      <c r="PX194" s="9" t="n">
        <v>0</v>
      </c>
      <c r="PY194" s="9" t="n">
        <v>13.96000000000004</v>
      </c>
      <c r="QC194" s="10" t="n">
        <v>46185</v>
      </c>
      <c r="QE194" s="9" t="n">
        <v>0</v>
      </c>
      <c r="QG194" s="9" t="n">
        <v>0</v>
      </c>
      <c r="QH194" s="9" t="n">
        <v>1736</v>
      </c>
      <c r="QL194" s="10" t="n">
        <v>46185</v>
      </c>
      <c r="QN194" s="9" t="n">
        <v>225</v>
      </c>
      <c r="QO194" s="9" t="n">
        <v>225</v>
      </c>
      <c r="QP194" s="9" t="n">
        <v>0</v>
      </c>
      <c r="QQ194" s="9" t="n">
        <v>250</v>
      </c>
      <c r="QU194" s="10" t="n">
        <v>46185</v>
      </c>
      <c r="QW194" s="9" t="n">
        <v>0</v>
      </c>
      <c r="QY194" s="9" t="n">
        <v>0</v>
      </c>
      <c r="QZ194" s="9" t="n">
        <v>207.6</v>
      </c>
      <c r="RD194" s="10" t="n">
        <v>46185</v>
      </c>
      <c r="RF194" s="9" t="n">
        <v>0</v>
      </c>
      <c r="RH194" s="9" t="n">
        <v>0</v>
      </c>
      <c r="RI194" s="9" t="n">
        <v>147.04</v>
      </c>
      <c r="RM194" s="10" t="n">
        <v>46185</v>
      </c>
      <c r="RO194" s="9" t="n">
        <v>0</v>
      </c>
      <c r="RQ194" s="9" t="n">
        <v>0</v>
      </c>
      <c r="RR194" s="9" t="n">
        <v>46.8</v>
      </c>
      <c r="RV194" s="10" t="n">
        <v>46185</v>
      </c>
      <c r="RX194" s="9" t="n">
        <v>0</v>
      </c>
      <c r="RZ194" s="9" t="n">
        <v>0</v>
      </c>
      <c r="SA194" s="9" t="n">
        <v>0</v>
      </c>
      <c r="SE194" s="10" t="n">
        <v>46185</v>
      </c>
      <c r="SG194" s="9" t="n">
        <v>0</v>
      </c>
      <c r="SI194" s="9" t="n">
        <v>0</v>
      </c>
      <c r="SJ194" s="9" t="n">
        <v>24.2</v>
      </c>
      <c r="SN194" s="10" t="n">
        <v>46185</v>
      </c>
      <c r="SP194" s="9" t="n">
        <v>0</v>
      </c>
      <c r="SR194" s="9" t="n">
        <v>0</v>
      </c>
      <c r="SS194" s="9" t="n">
        <v>32</v>
      </c>
      <c r="SW194" s="10" t="n">
        <v>46185</v>
      </c>
      <c r="SY194" s="9" t="n">
        <v>0</v>
      </c>
      <c r="TA194" s="9" t="n">
        <v>0</v>
      </c>
      <c r="TB194" s="9" t="n">
        <v>0</v>
      </c>
      <c r="TF194" s="10" t="n">
        <v>46185</v>
      </c>
      <c r="TG194" s="9" t="n">
        <v>30</v>
      </c>
      <c r="TH194" s="9" t="n">
        <v>30</v>
      </c>
      <c r="TI194" s="9" t="n">
        <v>30</v>
      </c>
      <c r="TJ194" s="9" t="n">
        <v>0</v>
      </c>
      <c r="TK194" s="9" t="n">
        <v>0</v>
      </c>
      <c r="TO194" s="10" t="n">
        <v>46185</v>
      </c>
      <c r="TQ194" s="9" t="n">
        <v>0</v>
      </c>
      <c r="TS194" s="9" t="n">
        <v>0</v>
      </c>
      <c r="TT194" s="9" t="n">
        <v>22.40000000000001</v>
      </c>
      <c r="TX194" s="10" t="n">
        <v>46185</v>
      </c>
      <c r="TZ194" s="9" t="n">
        <v>0</v>
      </c>
      <c r="UB194" s="9" t="n">
        <v>0</v>
      </c>
      <c r="UC194" s="9" t="n">
        <v>46.79999999999998</v>
      </c>
      <c r="UG194" s="10" t="n">
        <v>46185</v>
      </c>
      <c r="UI194" s="9" t="n">
        <v>0</v>
      </c>
      <c r="UK194" s="9" t="n">
        <v>0</v>
      </c>
      <c r="UL194" s="9" t="n">
        <v>204</v>
      </c>
      <c r="UP194" s="10" t="n">
        <v>46185</v>
      </c>
      <c r="UR194" s="9" t="n">
        <v>0</v>
      </c>
      <c r="UT194" s="9" t="n">
        <v>0</v>
      </c>
      <c r="UU194" s="9" t="n">
        <v>251.25</v>
      </c>
      <c r="UY194" s="10" t="n">
        <v>46185</v>
      </c>
      <c r="VA194" s="9" t="n">
        <v>0</v>
      </c>
      <c r="VC194" s="9" t="n">
        <v>0</v>
      </c>
      <c r="VD194" s="9" t="n">
        <v>41.60000000000002</v>
      </c>
      <c r="VH194" s="10" t="n">
        <v>46185</v>
      </c>
      <c r="VJ194" s="9" t="n">
        <v>0</v>
      </c>
      <c r="VL194" s="9" t="n">
        <v>0</v>
      </c>
      <c r="VM194" s="9" t="n">
        <v>210</v>
      </c>
      <c r="VQ194" s="10" t="n">
        <v>46185</v>
      </c>
      <c r="VS194" s="9" t="n">
        <v>225</v>
      </c>
      <c r="VU194" s="9" t="n">
        <v>225</v>
      </c>
      <c r="VV194" s="9" t="n">
        <v>0</v>
      </c>
      <c r="VZ194" s="10" t="n">
        <v>46185</v>
      </c>
      <c r="WB194" s="9" t="n">
        <v>225</v>
      </c>
      <c r="WD194" s="9" t="n">
        <v>225</v>
      </c>
      <c r="WE194" s="9" t="n">
        <v>0</v>
      </c>
      <c r="WI194" s="10" t="n">
        <v>46185</v>
      </c>
      <c r="WK194" s="9" t="n">
        <v>0</v>
      </c>
      <c r="WM194" s="9" t="n">
        <v>0</v>
      </c>
      <c r="WN194" s="9" t="n">
        <v>1199</v>
      </c>
      <c r="WR194" s="10" t="n">
        <v>46185</v>
      </c>
      <c r="WT194" s="9" t="n">
        <v>0</v>
      </c>
      <c r="WV194" s="9" t="n">
        <v>0</v>
      </c>
      <c r="WW194" s="9" t="n">
        <v>0</v>
      </c>
      <c r="XA194" s="10" t="n">
        <v>46185</v>
      </c>
      <c r="XC194" s="9" t="n">
        <v>0</v>
      </c>
      <c r="XE194" s="9" t="n">
        <v>0</v>
      </c>
      <c r="XF194" s="9" t="n">
        <v>6813</v>
      </c>
      <c r="XJ194" s="10" t="n">
        <v>46185</v>
      </c>
      <c r="XL194" s="9" t="n">
        <v>0</v>
      </c>
      <c r="XN194" s="9" t="n">
        <v>0</v>
      </c>
      <c r="XO194" s="9" t="n">
        <v>6117</v>
      </c>
      <c r="XS194" s="10" t="n">
        <v>46185</v>
      </c>
      <c r="XU194" s="9" t="n">
        <v>0</v>
      </c>
      <c r="XW194" s="9" t="n">
        <v>0</v>
      </c>
      <c r="XX194" s="9" t="n">
        <v>1621</v>
      </c>
      <c r="YB194" s="10" t="n">
        <v>46185</v>
      </c>
      <c r="YD194" s="9" t="n">
        <v>0</v>
      </c>
      <c r="YE194" s="9" t="n">
        <v>1011</v>
      </c>
      <c r="YF194" s="9" t="n">
        <v>-1011</v>
      </c>
      <c r="YG194" s="9" t="n">
        <v>4072</v>
      </c>
      <c r="YK194" s="10" t="n">
        <v>46185</v>
      </c>
      <c r="YM194" s="9" t="n">
        <v>0</v>
      </c>
      <c r="YO194" s="9" t="n">
        <v>0</v>
      </c>
      <c r="YP194" s="9" t="n">
        <v>0</v>
      </c>
      <c r="YT194" s="10" t="n">
        <v>46185</v>
      </c>
      <c r="YV194" s="9" t="n">
        <v>225</v>
      </c>
      <c r="YX194" s="9" t="n">
        <v>225</v>
      </c>
      <c r="YY194" s="9" t="n">
        <v>0</v>
      </c>
      <c r="ZC194" s="10" t="n">
        <v>46185</v>
      </c>
      <c r="ZE194" s="9" t="n">
        <v>225</v>
      </c>
      <c r="ZG194" s="9" t="n">
        <v>225</v>
      </c>
      <c r="ZH194" s="9" t="n">
        <v>0</v>
      </c>
      <c r="ZL194" s="10" t="n">
        <v>46185</v>
      </c>
      <c r="ZN194" s="9" t="n">
        <v>225</v>
      </c>
      <c r="ZP194" s="9" t="n">
        <v>225</v>
      </c>
      <c r="ZQ194" s="9" t="n">
        <v>0</v>
      </c>
      <c r="ZU194" s="10" t="n">
        <v>46185</v>
      </c>
      <c r="ZW194" s="9" t="n">
        <v>225</v>
      </c>
      <c r="ZY194" s="9" t="n">
        <v>225</v>
      </c>
      <c r="ZZ194" s="9" t="n">
        <v>0</v>
      </c>
      <c r="AAD194" s="10" t="n">
        <v>46185</v>
      </c>
      <c r="AAF194" s="9" t="n">
        <v>225</v>
      </c>
      <c r="AAH194" s="9" t="n">
        <v>225</v>
      </c>
      <c r="AAI194" s="9" t="n">
        <v>0</v>
      </c>
      <c r="AAM194" s="10" t="n">
        <v>46185</v>
      </c>
      <c r="AAO194" s="9" t="n">
        <v>225</v>
      </c>
      <c r="AAQ194" s="9" t="n">
        <v>225</v>
      </c>
      <c r="AAR194" s="9" t="n">
        <v>0</v>
      </c>
      <c r="AAV194" s="10" t="n">
        <v>46185</v>
      </c>
      <c r="AAX194" s="9" t="n">
        <v>225</v>
      </c>
      <c r="AAZ194" s="9" t="n">
        <v>225</v>
      </c>
      <c r="ABA194" s="9" t="n">
        <v>0</v>
      </c>
      <c r="ABE194" s="10" t="n">
        <v>46185</v>
      </c>
      <c r="ABG194" s="9" t="n">
        <v>225</v>
      </c>
      <c r="ABI194" s="9" t="n">
        <v>225</v>
      </c>
      <c r="ABJ194" s="9" t="n">
        <v>0</v>
      </c>
    </row>
    <row r="195">
      <c r="B195" s="9" t="n">
        <v>36</v>
      </c>
      <c r="C195" s="10" t="n">
        <v>46186</v>
      </c>
      <c r="D195" s="9" t="n">
        <v>26250</v>
      </c>
      <c r="E195" s="9" t="n">
        <v>19421.85</v>
      </c>
      <c r="F195" s="9" t="n">
        <v>19422.8</v>
      </c>
      <c r="G195" s="9" t="n">
        <v>-0.9500000000007276</v>
      </c>
      <c r="H195" s="9" t="n">
        <v>102715.6000000001</v>
      </c>
      <c r="I195" s="9" t="inlineStr">
        <is>
          <t>5201 6mt, 5202 30mt</t>
        </is>
      </c>
      <c r="L195" s="10" t="n">
        <v>46186</v>
      </c>
      <c r="N195" s="9" t="n">
        <v>10940.97</v>
      </c>
      <c r="O195" s="9" t="n">
        <v>10939.2</v>
      </c>
      <c r="P195" s="9" t="n">
        <v>1.770000000000437</v>
      </c>
      <c r="Q195" s="9" t="n">
        <v>60622.00000000007</v>
      </c>
      <c r="U195" s="10" t="n">
        <v>46186</v>
      </c>
      <c r="W195" s="9" t="n">
        <v>2100</v>
      </c>
      <c r="X195" s="9" t="n">
        <v>2101.7</v>
      </c>
      <c r="Y195" s="9" t="n">
        <v>-1.699999999999818</v>
      </c>
      <c r="Z195" s="9" t="n">
        <v>44329.69999999998</v>
      </c>
      <c r="AD195" s="10" t="n">
        <v>46186</v>
      </c>
      <c r="AF195" s="9" t="n">
        <v>0</v>
      </c>
      <c r="AH195" s="9" t="n">
        <v>0</v>
      </c>
      <c r="AI195" s="9" t="n">
        <v>33372.70000000002</v>
      </c>
      <c r="AM195" s="10" t="n">
        <v>46186</v>
      </c>
      <c r="AO195" s="9" t="n">
        <v>0</v>
      </c>
      <c r="AQ195" s="9" t="n">
        <v>0</v>
      </c>
      <c r="AR195" s="9" t="n">
        <v>0</v>
      </c>
      <c r="AV195" s="10" t="n">
        <v>46186</v>
      </c>
      <c r="AX195" s="9" t="n">
        <v>0</v>
      </c>
      <c r="AZ195" s="9" t="n">
        <v>0</v>
      </c>
      <c r="BA195" s="9" t="n">
        <v>14066.5</v>
      </c>
      <c r="BE195" s="10" t="n">
        <v>46186</v>
      </c>
      <c r="BG195" s="9" t="n">
        <v>0</v>
      </c>
      <c r="BI195" s="9" t="n">
        <v>0</v>
      </c>
      <c r="BJ195" s="9" t="n">
        <v>39235.39999999999</v>
      </c>
      <c r="BN195" s="10" t="n">
        <v>46186</v>
      </c>
      <c r="BO195" s="9" t="n">
        <v>150.1</v>
      </c>
      <c r="BP195" s="9" t="n">
        <v>150</v>
      </c>
      <c r="BQ195" s="9" t="n">
        <v>150.1</v>
      </c>
      <c r="BR195" s="9" t="n">
        <v>-0.09999999999999432</v>
      </c>
      <c r="BS195" s="9" t="n">
        <v>0</v>
      </c>
      <c r="BW195" s="10" t="n">
        <v>46186</v>
      </c>
      <c r="BY195" s="9" t="n">
        <v>291.3</v>
      </c>
      <c r="CA195" s="9" t="n">
        <v>291.3</v>
      </c>
      <c r="CB195" s="9" t="n">
        <v>3585.499999999999</v>
      </c>
      <c r="CF195" s="10" t="n">
        <v>46186</v>
      </c>
      <c r="CH195" s="9" t="n">
        <v>0</v>
      </c>
      <c r="CJ195" s="9" t="n">
        <v>0</v>
      </c>
      <c r="CK195" s="9" t="n">
        <v>0</v>
      </c>
      <c r="CO195" s="10" t="n">
        <v>46186</v>
      </c>
      <c r="CQ195" s="9" t="n">
        <v>0</v>
      </c>
      <c r="CS195" s="9" t="n">
        <v>0</v>
      </c>
      <c r="CT195" s="9" t="n">
        <v>0</v>
      </c>
      <c r="CX195" s="10" t="n">
        <v>46186</v>
      </c>
      <c r="CZ195" s="9" t="n">
        <v>720</v>
      </c>
      <c r="DA195" s="9" t="n">
        <v>720.3</v>
      </c>
      <c r="DB195" s="9" t="n">
        <v>-0.2999999999999545</v>
      </c>
      <c r="DC195" s="9" t="n">
        <v>16623.50000000001</v>
      </c>
      <c r="DG195" s="10" t="n">
        <v>46186</v>
      </c>
      <c r="DI195" s="9" t="n">
        <v>0</v>
      </c>
      <c r="DK195" s="9" t="n">
        <v>0</v>
      </c>
      <c r="DL195" s="9" t="n">
        <v>35234.99999999999</v>
      </c>
      <c r="DP195" s="10" t="n">
        <v>46186</v>
      </c>
      <c r="DR195" s="9" t="n">
        <v>0</v>
      </c>
      <c r="DT195" s="9" t="n">
        <v>0</v>
      </c>
      <c r="DU195" s="9" t="n">
        <v>5800</v>
      </c>
      <c r="DY195" s="10" t="n">
        <v>46186</v>
      </c>
      <c r="EA195" s="9" t="n">
        <v>0</v>
      </c>
      <c r="EC195" s="9" t="n">
        <v>0</v>
      </c>
      <c r="ED195" s="9" t="n">
        <v>0</v>
      </c>
      <c r="EH195" s="10" t="n">
        <v>46186</v>
      </c>
      <c r="EJ195" s="9" t="n">
        <v>0</v>
      </c>
      <c r="EL195" s="9" t="n">
        <v>0</v>
      </c>
      <c r="EM195" s="9" t="n">
        <v>0</v>
      </c>
      <c r="EQ195" s="10" t="n">
        <v>46186</v>
      </c>
      <c r="ES195" s="9" t="n">
        <v>0</v>
      </c>
      <c r="EU195" s="9" t="n">
        <v>0</v>
      </c>
      <c r="EV195" s="9" t="n">
        <v>0</v>
      </c>
      <c r="EZ195" s="10" t="n">
        <v>46186</v>
      </c>
      <c r="FB195" s="9" t="n">
        <v>0</v>
      </c>
      <c r="FD195" s="9" t="n">
        <v>0</v>
      </c>
      <c r="FE195" s="9" t="n">
        <v>0</v>
      </c>
      <c r="FI195" s="10" t="n">
        <v>46186</v>
      </c>
      <c r="FK195" s="9" t="n">
        <v>0</v>
      </c>
      <c r="FM195" s="9" t="n">
        <v>0</v>
      </c>
      <c r="FN195" s="9" t="n">
        <v>0</v>
      </c>
      <c r="FR195" s="10" t="n">
        <v>46186</v>
      </c>
      <c r="FT195" s="9" t="n">
        <v>0</v>
      </c>
      <c r="FV195" s="9" t="n">
        <v>0</v>
      </c>
      <c r="FW195" s="9" t="n">
        <v>1160</v>
      </c>
      <c r="GA195" s="10" t="n">
        <v>46186</v>
      </c>
      <c r="GC195" s="9" t="n">
        <v>0</v>
      </c>
      <c r="GE195" s="9" t="n">
        <v>0</v>
      </c>
      <c r="GF195" s="9" t="n">
        <v>960</v>
      </c>
      <c r="GJ195" s="10" t="n">
        <v>46186</v>
      </c>
      <c r="GL195" s="9" t="n">
        <v>0</v>
      </c>
      <c r="GN195" s="9" t="n">
        <v>0</v>
      </c>
      <c r="GO195" s="9" t="n">
        <v>1760</v>
      </c>
      <c r="GS195" s="10" t="n">
        <v>46186</v>
      </c>
      <c r="GU195" s="9" t="n">
        <v>0</v>
      </c>
      <c r="GW195" s="9" t="n">
        <v>0</v>
      </c>
      <c r="GX195" s="9" t="n">
        <v>400</v>
      </c>
      <c r="HB195" s="10" t="n">
        <v>46186</v>
      </c>
      <c r="HD195" s="9" t="n">
        <v>0</v>
      </c>
      <c r="HF195" s="9" t="n">
        <v>0</v>
      </c>
      <c r="HG195" s="9" t="n">
        <v>3600</v>
      </c>
      <c r="HK195" s="10" t="n">
        <v>46186</v>
      </c>
      <c r="HM195" s="9" t="n">
        <v>0</v>
      </c>
      <c r="HO195" s="9" t="n">
        <v>0</v>
      </c>
      <c r="HP195" s="9" t="n">
        <v>0</v>
      </c>
      <c r="HU195" s="10" t="n">
        <v>46186</v>
      </c>
      <c r="HW195" s="9" t="n">
        <v>0</v>
      </c>
      <c r="HY195" s="9" t="n">
        <v>0</v>
      </c>
      <c r="HZ195" s="9" t="n">
        <v>6800</v>
      </c>
      <c r="ID195" s="10" t="n">
        <v>46186</v>
      </c>
      <c r="IF195" s="9" t="n">
        <v>0</v>
      </c>
      <c r="IH195" s="9" t="n">
        <v>0</v>
      </c>
      <c r="II195" s="9" t="n">
        <v>720</v>
      </c>
      <c r="IM195" s="10" t="n">
        <v>46186</v>
      </c>
      <c r="IO195" s="9" t="n">
        <v>0</v>
      </c>
      <c r="IQ195" s="9" t="n">
        <v>0</v>
      </c>
      <c r="IR195" s="9" t="n">
        <v>6520</v>
      </c>
      <c r="IV195" s="10" t="n">
        <v>46186</v>
      </c>
      <c r="IX195" s="9" t="n">
        <v>0</v>
      </c>
      <c r="IZ195" s="9" t="n">
        <v>0</v>
      </c>
      <c r="JA195" s="9" t="n">
        <v>4960</v>
      </c>
      <c r="JE195" s="10" t="n">
        <v>46186</v>
      </c>
      <c r="JG195" s="9" t="n">
        <v>0</v>
      </c>
      <c r="JI195" s="9" t="n">
        <v>0</v>
      </c>
      <c r="JJ195" s="9" t="n">
        <v>0</v>
      </c>
      <c r="JN195" s="10" t="n">
        <v>46186</v>
      </c>
      <c r="JP195" s="9" t="n">
        <v>0</v>
      </c>
      <c r="JR195" s="9" t="n">
        <v>0</v>
      </c>
      <c r="JS195" s="9" t="n">
        <v>0</v>
      </c>
      <c r="JW195" s="10" t="n">
        <v>46186</v>
      </c>
      <c r="JY195" s="9" t="n">
        <v>0</v>
      </c>
      <c r="KA195" s="9" t="n">
        <v>0</v>
      </c>
      <c r="KB195" s="9" t="n">
        <v>2540</v>
      </c>
      <c r="KF195" s="10" t="n">
        <v>46186</v>
      </c>
      <c r="KH195" s="9" t="n">
        <v>0</v>
      </c>
      <c r="KJ195" s="9" t="n">
        <v>0</v>
      </c>
      <c r="KK195" s="9" t="n">
        <v>2359.5</v>
      </c>
      <c r="KO195" s="10" t="n">
        <v>46186</v>
      </c>
      <c r="KQ195" s="9" t="n">
        <v>0</v>
      </c>
      <c r="KS195" s="9" t="n">
        <v>0</v>
      </c>
      <c r="KT195" s="9" t="n">
        <v>1890</v>
      </c>
      <c r="KX195" s="10" t="n">
        <v>46186</v>
      </c>
      <c r="KZ195" s="9" t="n">
        <v>0</v>
      </c>
      <c r="LB195" s="9" t="n">
        <v>0</v>
      </c>
      <c r="LC195" s="9" t="n">
        <v>3690</v>
      </c>
      <c r="LG195" s="10" t="n">
        <v>46186</v>
      </c>
      <c r="LI195" s="9" t="n">
        <v>0</v>
      </c>
      <c r="LK195" s="9" t="n">
        <v>0</v>
      </c>
      <c r="LL195" s="9" t="n">
        <v>4000</v>
      </c>
      <c r="LP195" s="10" t="n">
        <v>46186</v>
      </c>
      <c r="LR195" s="9" t="n">
        <v>0</v>
      </c>
      <c r="LT195" s="9" t="n">
        <v>0</v>
      </c>
      <c r="LU195" s="9" t="n">
        <v>0</v>
      </c>
      <c r="LY195" s="10" t="n">
        <v>46186</v>
      </c>
      <c r="MA195" s="9" t="n">
        <v>0</v>
      </c>
      <c r="MC195" s="9" t="n">
        <v>0</v>
      </c>
      <c r="MD195" s="9" t="n">
        <v>0</v>
      </c>
      <c r="MH195" s="10" t="n">
        <v>46186</v>
      </c>
      <c r="MJ195" s="9" t="n">
        <v>0</v>
      </c>
      <c r="ML195" s="9" t="n">
        <v>0</v>
      </c>
      <c r="MM195" s="9" t="n">
        <v>0</v>
      </c>
      <c r="MQ195" s="10" t="n">
        <v>46186</v>
      </c>
      <c r="MS195" s="9" t="n">
        <v>0</v>
      </c>
      <c r="MU195" s="9" t="n">
        <v>0</v>
      </c>
      <c r="MV195" s="9" t="n">
        <v>3724</v>
      </c>
      <c r="MZ195" s="10" t="n">
        <v>46186</v>
      </c>
      <c r="NB195" s="9" t="n">
        <v>0</v>
      </c>
      <c r="ND195" s="9" t="n">
        <v>0</v>
      </c>
      <c r="NE195" s="9" t="n">
        <v>0</v>
      </c>
      <c r="NI195" s="10" t="n">
        <v>46186</v>
      </c>
      <c r="NK195" s="9" t="n">
        <v>0</v>
      </c>
      <c r="NM195" s="9" t="n">
        <v>0</v>
      </c>
      <c r="NN195" s="9" t="n">
        <v>1127</v>
      </c>
      <c r="NR195" s="10" t="n">
        <v>46186</v>
      </c>
      <c r="NT195" s="9" t="n">
        <v>0</v>
      </c>
      <c r="NV195" s="9" t="n">
        <v>0</v>
      </c>
      <c r="NW195" s="9" t="n">
        <v>3112</v>
      </c>
      <c r="OA195" s="10" t="n">
        <v>46186</v>
      </c>
      <c r="OC195" s="9" t="n">
        <v>0</v>
      </c>
      <c r="OE195" s="9" t="n">
        <v>0</v>
      </c>
      <c r="OF195" s="9" t="n">
        <v>1680.5</v>
      </c>
      <c r="OJ195" s="10" t="n">
        <v>46186</v>
      </c>
      <c r="OL195" s="9" t="n">
        <v>0</v>
      </c>
      <c r="ON195" s="9" t="n">
        <v>0</v>
      </c>
      <c r="OO195" s="9" t="n">
        <v>0</v>
      </c>
      <c r="OS195" s="10" t="n">
        <v>46186</v>
      </c>
      <c r="OU195" s="9" t="n">
        <v>0</v>
      </c>
      <c r="OW195" s="9" t="n">
        <v>0</v>
      </c>
      <c r="OX195" s="9" t="n">
        <v>1482</v>
      </c>
      <c r="PB195" s="10" t="n">
        <v>46186</v>
      </c>
      <c r="PD195" s="9" t="n">
        <v>0</v>
      </c>
      <c r="PF195" s="9" t="n">
        <v>0</v>
      </c>
      <c r="PG195" s="9" t="n">
        <v>0</v>
      </c>
      <c r="PK195" s="10" t="n">
        <v>46186</v>
      </c>
      <c r="PM195" s="9" t="n">
        <v>0</v>
      </c>
      <c r="PO195" s="9" t="n">
        <v>0</v>
      </c>
      <c r="PP195" s="9" t="n">
        <v>100</v>
      </c>
      <c r="PT195" s="10" t="n">
        <v>46186</v>
      </c>
      <c r="PV195" s="9" t="n">
        <v>0</v>
      </c>
      <c r="PX195" s="9" t="n">
        <v>0</v>
      </c>
      <c r="PY195" s="9" t="n">
        <v>13.96000000000004</v>
      </c>
      <c r="QC195" s="10" t="n">
        <v>46186</v>
      </c>
      <c r="QE195" s="9" t="n">
        <v>0</v>
      </c>
      <c r="QG195" s="9" t="n">
        <v>0</v>
      </c>
      <c r="QH195" s="9" t="n">
        <v>1736</v>
      </c>
      <c r="QL195" s="10" t="n">
        <v>46186</v>
      </c>
      <c r="QN195" s="9" t="n">
        <v>0</v>
      </c>
      <c r="QP195" s="9" t="n">
        <v>0</v>
      </c>
      <c r="QQ195" s="9" t="n">
        <v>250</v>
      </c>
      <c r="QU195" s="10" t="n">
        <v>46186</v>
      </c>
      <c r="QW195" s="9" t="n">
        <v>0</v>
      </c>
      <c r="QY195" s="9" t="n">
        <v>0</v>
      </c>
      <c r="QZ195" s="9" t="n">
        <v>207.6</v>
      </c>
      <c r="RD195" s="10" t="n">
        <v>46186</v>
      </c>
      <c r="RF195" s="9" t="n">
        <v>0</v>
      </c>
      <c r="RH195" s="9" t="n">
        <v>0</v>
      </c>
      <c r="RI195" s="9" t="n">
        <v>147.04</v>
      </c>
      <c r="RM195" s="10" t="n">
        <v>46186</v>
      </c>
      <c r="RO195" s="9" t="n">
        <v>0</v>
      </c>
      <c r="RQ195" s="9" t="n">
        <v>0</v>
      </c>
      <c r="RR195" s="9" t="n">
        <v>46.8</v>
      </c>
      <c r="RV195" s="10" t="n">
        <v>46186</v>
      </c>
      <c r="RX195" s="9" t="n">
        <v>0</v>
      </c>
      <c r="RZ195" s="9" t="n">
        <v>0</v>
      </c>
      <c r="SA195" s="9" t="n">
        <v>0</v>
      </c>
      <c r="SE195" s="10" t="n">
        <v>46186</v>
      </c>
      <c r="SG195" s="9" t="n">
        <v>0</v>
      </c>
      <c r="SI195" s="9" t="n">
        <v>0</v>
      </c>
      <c r="SJ195" s="9" t="n">
        <v>24.2</v>
      </c>
      <c r="SN195" s="10" t="n">
        <v>46186</v>
      </c>
      <c r="SP195" s="9" t="n">
        <v>0</v>
      </c>
      <c r="SR195" s="9" t="n">
        <v>0</v>
      </c>
      <c r="SS195" s="9" t="n">
        <v>32</v>
      </c>
      <c r="SW195" s="10" t="n">
        <v>46186</v>
      </c>
      <c r="SY195" s="9" t="n">
        <v>0</v>
      </c>
      <c r="TA195" s="9" t="n">
        <v>0</v>
      </c>
      <c r="TB195" s="9" t="n">
        <v>0</v>
      </c>
      <c r="TF195" s="10" t="n">
        <v>46186</v>
      </c>
      <c r="TH195" s="9" t="n">
        <v>0</v>
      </c>
      <c r="TJ195" s="9" t="n">
        <v>0</v>
      </c>
      <c r="TK195" s="9" t="n">
        <v>0</v>
      </c>
      <c r="TO195" s="10" t="n">
        <v>46186</v>
      </c>
      <c r="TQ195" s="9" t="n">
        <v>0</v>
      </c>
      <c r="TS195" s="9" t="n">
        <v>0</v>
      </c>
      <c r="TT195" s="9" t="n">
        <v>22.40000000000001</v>
      </c>
      <c r="TX195" s="10" t="n">
        <v>46186</v>
      </c>
      <c r="TZ195" s="9" t="n">
        <v>0</v>
      </c>
      <c r="UB195" s="9" t="n">
        <v>0</v>
      </c>
      <c r="UC195" s="9" t="n">
        <v>46.79999999999998</v>
      </c>
      <c r="UG195" s="10" t="n">
        <v>46186</v>
      </c>
      <c r="UI195" s="9" t="n">
        <v>0</v>
      </c>
      <c r="UK195" s="9" t="n">
        <v>0</v>
      </c>
      <c r="UL195" s="9" t="n">
        <v>204</v>
      </c>
      <c r="UP195" s="10" t="n">
        <v>46186</v>
      </c>
      <c r="UR195" s="9" t="n">
        <v>0</v>
      </c>
      <c r="UT195" s="9" t="n">
        <v>0</v>
      </c>
      <c r="UU195" s="9" t="n">
        <v>251.25</v>
      </c>
      <c r="UY195" s="10" t="n">
        <v>46186</v>
      </c>
      <c r="VA195" s="9" t="n">
        <v>0</v>
      </c>
      <c r="VC195" s="9" t="n">
        <v>0</v>
      </c>
      <c r="VD195" s="9" t="n">
        <v>41.60000000000002</v>
      </c>
      <c r="VH195" s="10" t="n">
        <v>46186</v>
      </c>
      <c r="VJ195" s="9" t="n">
        <v>0</v>
      </c>
      <c r="VL195" s="9" t="n">
        <v>0</v>
      </c>
      <c r="VM195" s="9" t="n">
        <v>210</v>
      </c>
      <c r="VQ195" s="10" t="n">
        <v>46186</v>
      </c>
      <c r="VS195" s="9" t="n">
        <v>0</v>
      </c>
      <c r="VU195" s="9" t="n">
        <v>0</v>
      </c>
      <c r="VV195" s="9" t="n">
        <v>0</v>
      </c>
      <c r="VZ195" s="10" t="n">
        <v>46186</v>
      </c>
      <c r="WB195" s="9" t="n">
        <v>0</v>
      </c>
      <c r="WD195" s="9" t="n">
        <v>0</v>
      </c>
      <c r="WE195" s="9" t="n">
        <v>0</v>
      </c>
      <c r="WI195" s="10" t="n">
        <v>46186</v>
      </c>
      <c r="WK195" s="9" t="n">
        <v>0</v>
      </c>
      <c r="WM195" s="9" t="n">
        <v>0</v>
      </c>
      <c r="WN195" s="9" t="n">
        <v>1199</v>
      </c>
      <c r="WR195" s="10" t="n">
        <v>46186</v>
      </c>
      <c r="WT195" s="9" t="n">
        <v>0</v>
      </c>
      <c r="WV195" s="9" t="n">
        <v>0</v>
      </c>
      <c r="WW195" s="9" t="n">
        <v>0</v>
      </c>
      <c r="XA195" s="10" t="n">
        <v>46186</v>
      </c>
      <c r="XC195" s="9" t="n">
        <v>0</v>
      </c>
      <c r="XE195" s="9" t="n">
        <v>0</v>
      </c>
      <c r="XF195" s="9" t="n">
        <v>6813</v>
      </c>
      <c r="XJ195" s="10" t="n">
        <v>46186</v>
      </c>
      <c r="XL195" s="9" t="n">
        <v>0</v>
      </c>
      <c r="XM195" s="9" t="n">
        <v>400</v>
      </c>
      <c r="XN195" s="9" t="n">
        <v>-400</v>
      </c>
      <c r="XO195" s="9" t="n">
        <v>5717</v>
      </c>
      <c r="XS195" s="10" t="n">
        <v>46186</v>
      </c>
      <c r="XU195" s="9" t="n">
        <v>0</v>
      </c>
      <c r="XW195" s="9" t="n">
        <v>0</v>
      </c>
      <c r="XX195" s="9" t="n">
        <v>1621</v>
      </c>
      <c r="YB195" s="10" t="n">
        <v>46186</v>
      </c>
      <c r="YD195" s="9" t="n">
        <v>0</v>
      </c>
      <c r="YF195" s="9" t="n">
        <v>0</v>
      </c>
      <c r="YG195" s="9" t="n">
        <v>4072</v>
      </c>
      <c r="YK195" s="10" t="n">
        <v>46186</v>
      </c>
      <c r="YM195" s="9" t="n">
        <v>0</v>
      </c>
      <c r="YO195" s="9" t="n">
        <v>0</v>
      </c>
      <c r="YP195" s="9" t="n">
        <v>0</v>
      </c>
      <c r="YT195" s="10" t="n">
        <v>46186</v>
      </c>
      <c r="YV195" s="9" t="n">
        <v>0</v>
      </c>
      <c r="YX195" s="9" t="n">
        <v>0</v>
      </c>
      <c r="YY195" s="9" t="n">
        <v>0</v>
      </c>
      <c r="ZC195" s="10" t="n">
        <v>46186</v>
      </c>
      <c r="ZE195" s="9" t="n">
        <v>0</v>
      </c>
      <c r="ZG195" s="9" t="n">
        <v>0</v>
      </c>
      <c r="ZH195" s="9" t="n">
        <v>0</v>
      </c>
      <c r="ZL195" s="10" t="n">
        <v>46186</v>
      </c>
      <c r="ZN195" s="9" t="n">
        <v>0</v>
      </c>
      <c r="ZP195" s="9" t="n">
        <v>0</v>
      </c>
      <c r="ZQ195" s="9" t="n">
        <v>0</v>
      </c>
      <c r="ZU195" s="10" t="n">
        <v>46186</v>
      </c>
      <c r="ZW195" s="9" t="n">
        <v>0</v>
      </c>
      <c r="ZY195" s="9" t="n">
        <v>0</v>
      </c>
      <c r="ZZ195" s="9" t="n">
        <v>0</v>
      </c>
      <c r="AAD195" s="10" t="n">
        <v>46186</v>
      </c>
      <c r="AAF195" s="9" t="n">
        <v>0</v>
      </c>
      <c r="AAH195" s="9" t="n">
        <v>0</v>
      </c>
      <c r="AAI195" s="9" t="n">
        <v>0</v>
      </c>
      <c r="AAM195" s="10" t="n">
        <v>46186</v>
      </c>
      <c r="AAO195" s="9" t="n">
        <v>0</v>
      </c>
      <c r="AAQ195" s="9" t="n">
        <v>0</v>
      </c>
      <c r="AAR195" s="9" t="n">
        <v>0</v>
      </c>
      <c r="AAV195" s="10" t="n">
        <v>46186</v>
      </c>
      <c r="AAX195" s="9" t="n">
        <v>0</v>
      </c>
      <c r="AAZ195" s="9" t="n">
        <v>0</v>
      </c>
      <c r="ABA195" s="9" t="n">
        <v>0</v>
      </c>
      <c r="ABE195" s="10" t="n">
        <v>46186</v>
      </c>
      <c r="ABG195" s="9" t="n">
        <v>0</v>
      </c>
      <c r="ABI195" s="9" t="n">
        <v>0</v>
      </c>
      <c r="ABJ195" s="9" t="n">
        <v>0</v>
      </c>
    </row>
    <row r="196">
      <c r="C196" s="10" t="n">
        <v>46187</v>
      </c>
      <c r="E196" s="9" t="n">
        <v>0</v>
      </c>
      <c r="G196" s="9" t="n">
        <v>0</v>
      </c>
      <c r="H196" s="9" t="n">
        <v>102715.6000000001</v>
      </c>
      <c r="L196" s="10" t="n">
        <v>46187</v>
      </c>
      <c r="N196" s="9" t="n">
        <v>0</v>
      </c>
      <c r="P196" s="9" t="n">
        <v>0</v>
      </c>
      <c r="Q196" s="9" t="n">
        <v>60622.00000000007</v>
      </c>
      <c r="U196" s="10" t="n">
        <v>46187</v>
      </c>
      <c r="W196" s="9" t="n">
        <v>0</v>
      </c>
      <c r="Y196" s="9" t="n">
        <v>0</v>
      </c>
      <c r="Z196" s="9" t="n">
        <v>44329.69999999998</v>
      </c>
      <c r="AD196" s="10" t="n">
        <v>46187</v>
      </c>
      <c r="AF196" s="9" t="n">
        <v>0</v>
      </c>
      <c r="AH196" s="9" t="n">
        <v>0</v>
      </c>
      <c r="AI196" s="9" t="n">
        <v>33372.70000000002</v>
      </c>
      <c r="AM196" s="10" t="n">
        <v>46187</v>
      </c>
      <c r="AO196" s="9" t="n">
        <v>0</v>
      </c>
      <c r="AQ196" s="9" t="n">
        <v>0</v>
      </c>
      <c r="AR196" s="9" t="n">
        <v>0</v>
      </c>
      <c r="AV196" s="10" t="n">
        <v>46187</v>
      </c>
      <c r="AX196" s="9" t="n">
        <v>0</v>
      </c>
      <c r="AZ196" s="9" t="n">
        <v>0</v>
      </c>
      <c r="BA196" s="9" t="n">
        <v>14066.5</v>
      </c>
      <c r="BE196" s="10" t="n">
        <v>46187</v>
      </c>
      <c r="BG196" s="9" t="n">
        <v>0</v>
      </c>
      <c r="BI196" s="9" t="n">
        <v>0</v>
      </c>
      <c r="BJ196" s="9" t="n">
        <v>39235.39999999999</v>
      </c>
      <c r="BN196" s="10" t="n">
        <v>46187</v>
      </c>
      <c r="BP196" s="9" t="n">
        <v>0</v>
      </c>
      <c r="BR196" s="9" t="n">
        <v>0</v>
      </c>
      <c r="BS196" s="9" t="n">
        <v>0</v>
      </c>
      <c r="BW196" s="10" t="n">
        <v>46187</v>
      </c>
      <c r="BY196" s="9" t="n">
        <v>0</v>
      </c>
      <c r="CA196" s="9" t="n">
        <v>0</v>
      </c>
      <c r="CB196" s="9" t="n">
        <v>3585.499999999999</v>
      </c>
      <c r="CF196" s="10" t="n">
        <v>46187</v>
      </c>
      <c r="CH196" s="9" t="n">
        <v>0</v>
      </c>
      <c r="CJ196" s="9" t="n">
        <v>0</v>
      </c>
      <c r="CK196" s="9" t="n">
        <v>0</v>
      </c>
      <c r="CO196" s="10" t="n">
        <v>46187</v>
      </c>
      <c r="CQ196" s="9" t="n">
        <v>0</v>
      </c>
      <c r="CS196" s="9" t="n">
        <v>0</v>
      </c>
      <c r="CT196" s="9" t="n">
        <v>0</v>
      </c>
      <c r="CX196" s="10" t="n">
        <v>46187</v>
      </c>
      <c r="CZ196" s="9" t="n">
        <v>0</v>
      </c>
      <c r="DB196" s="9" t="n">
        <v>0</v>
      </c>
      <c r="DC196" s="9" t="n">
        <v>16623.50000000001</v>
      </c>
      <c r="DG196" s="10" t="n">
        <v>46187</v>
      </c>
      <c r="DI196" s="9" t="n">
        <v>0</v>
      </c>
      <c r="DK196" s="9" t="n">
        <v>0</v>
      </c>
      <c r="DL196" s="9" t="n">
        <v>35234.99999999999</v>
      </c>
      <c r="DP196" s="10" t="n">
        <v>46187</v>
      </c>
      <c r="DR196" s="9" t="n">
        <v>0</v>
      </c>
      <c r="DT196" s="9" t="n">
        <v>0</v>
      </c>
      <c r="DU196" s="9" t="n">
        <v>5800</v>
      </c>
      <c r="DY196" s="10" t="n">
        <v>46187</v>
      </c>
      <c r="EA196" s="9" t="n">
        <v>0</v>
      </c>
      <c r="EC196" s="9" t="n">
        <v>0</v>
      </c>
      <c r="ED196" s="9" t="n">
        <v>0</v>
      </c>
      <c r="EH196" s="10" t="n">
        <v>46187</v>
      </c>
      <c r="EJ196" s="9" t="n">
        <v>0</v>
      </c>
      <c r="EL196" s="9" t="n">
        <v>0</v>
      </c>
      <c r="EM196" s="9" t="n">
        <v>0</v>
      </c>
      <c r="EQ196" s="10" t="n">
        <v>46187</v>
      </c>
      <c r="ES196" s="9" t="n">
        <v>0</v>
      </c>
      <c r="EU196" s="9" t="n">
        <v>0</v>
      </c>
      <c r="EV196" s="9" t="n">
        <v>0</v>
      </c>
      <c r="EZ196" s="10" t="n">
        <v>46187</v>
      </c>
      <c r="FB196" s="9" t="n">
        <v>0</v>
      </c>
      <c r="FD196" s="9" t="n">
        <v>0</v>
      </c>
      <c r="FE196" s="9" t="n">
        <v>0</v>
      </c>
      <c r="FI196" s="10" t="n">
        <v>46187</v>
      </c>
      <c r="FK196" s="9" t="n">
        <v>0</v>
      </c>
      <c r="FM196" s="9" t="n">
        <v>0</v>
      </c>
      <c r="FN196" s="9" t="n">
        <v>0</v>
      </c>
      <c r="FR196" s="10" t="n">
        <v>46187</v>
      </c>
      <c r="FT196" s="9" t="n">
        <v>0</v>
      </c>
      <c r="FV196" s="9" t="n">
        <v>0</v>
      </c>
      <c r="FW196" s="9" t="n">
        <v>1160</v>
      </c>
      <c r="GA196" s="10" t="n">
        <v>46187</v>
      </c>
      <c r="GC196" s="9" t="n">
        <v>0</v>
      </c>
      <c r="GE196" s="9" t="n">
        <v>0</v>
      </c>
      <c r="GF196" s="9" t="n">
        <v>960</v>
      </c>
      <c r="GJ196" s="10" t="n">
        <v>46187</v>
      </c>
      <c r="GL196" s="9" t="n">
        <v>0</v>
      </c>
      <c r="GN196" s="9" t="n">
        <v>0</v>
      </c>
      <c r="GO196" s="9" t="n">
        <v>1760</v>
      </c>
      <c r="GS196" s="10" t="n">
        <v>46187</v>
      </c>
      <c r="GU196" s="9" t="n">
        <v>0</v>
      </c>
      <c r="GW196" s="9" t="n">
        <v>0</v>
      </c>
      <c r="GX196" s="9" t="n">
        <v>400</v>
      </c>
      <c r="HB196" s="10" t="n">
        <v>46187</v>
      </c>
      <c r="HD196" s="9" t="n">
        <v>0</v>
      </c>
      <c r="HF196" s="9" t="n">
        <v>0</v>
      </c>
      <c r="HG196" s="9" t="n">
        <v>3600</v>
      </c>
      <c r="HK196" s="10" t="n">
        <v>46187</v>
      </c>
      <c r="HM196" s="9" t="n">
        <v>0</v>
      </c>
      <c r="HO196" s="9" t="n">
        <v>0</v>
      </c>
      <c r="HP196" s="9" t="n">
        <v>0</v>
      </c>
      <c r="HU196" s="10" t="n">
        <v>46187</v>
      </c>
      <c r="HW196" s="9" t="n">
        <v>0</v>
      </c>
      <c r="HY196" s="9" t="n">
        <v>0</v>
      </c>
      <c r="HZ196" s="9" t="n">
        <v>6800</v>
      </c>
      <c r="ID196" s="10" t="n">
        <v>46187</v>
      </c>
      <c r="IF196" s="9" t="n">
        <v>0</v>
      </c>
      <c r="IH196" s="9" t="n">
        <v>0</v>
      </c>
      <c r="II196" s="9" t="n">
        <v>720</v>
      </c>
      <c r="IM196" s="10" t="n">
        <v>46187</v>
      </c>
      <c r="IO196" s="9" t="n">
        <v>0</v>
      </c>
      <c r="IQ196" s="9" t="n">
        <v>0</v>
      </c>
      <c r="IR196" s="9" t="n">
        <v>6520</v>
      </c>
      <c r="IV196" s="10" t="n">
        <v>46187</v>
      </c>
      <c r="IX196" s="9" t="n">
        <v>0</v>
      </c>
      <c r="IZ196" s="9" t="n">
        <v>0</v>
      </c>
      <c r="JA196" s="9" t="n">
        <v>4960</v>
      </c>
      <c r="JE196" s="10" t="n">
        <v>46187</v>
      </c>
      <c r="JG196" s="9" t="n">
        <v>0</v>
      </c>
      <c r="JI196" s="9" t="n">
        <v>0</v>
      </c>
      <c r="JJ196" s="9" t="n">
        <v>0</v>
      </c>
      <c r="JN196" s="10" t="n">
        <v>46187</v>
      </c>
      <c r="JP196" s="9" t="n">
        <v>0</v>
      </c>
      <c r="JR196" s="9" t="n">
        <v>0</v>
      </c>
      <c r="JS196" s="9" t="n">
        <v>0</v>
      </c>
      <c r="JW196" s="10" t="n">
        <v>46187</v>
      </c>
      <c r="JY196" s="9" t="n">
        <v>0</v>
      </c>
      <c r="KA196" s="9" t="n">
        <v>0</v>
      </c>
      <c r="KB196" s="9" t="n">
        <v>2540</v>
      </c>
      <c r="KF196" s="10" t="n">
        <v>46187</v>
      </c>
      <c r="KH196" s="9" t="n">
        <v>0</v>
      </c>
      <c r="KJ196" s="9" t="n">
        <v>0</v>
      </c>
      <c r="KK196" s="9" t="n">
        <v>2359.5</v>
      </c>
      <c r="KO196" s="10" t="n">
        <v>46187</v>
      </c>
      <c r="KQ196" s="9" t="n">
        <v>0</v>
      </c>
      <c r="KS196" s="9" t="n">
        <v>0</v>
      </c>
      <c r="KT196" s="9" t="n">
        <v>1890</v>
      </c>
      <c r="KX196" s="10" t="n">
        <v>46187</v>
      </c>
      <c r="KZ196" s="9" t="n">
        <v>0</v>
      </c>
      <c r="LB196" s="9" t="n">
        <v>0</v>
      </c>
      <c r="LC196" s="9" t="n">
        <v>3690</v>
      </c>
      <c r="LG196" s="10" t="n">
        <v>46187</v>
      </c>
      <c r="LI196" s="9" t="n">
        <v>0</v>
      </c>
      <c r="LK196" s="9" t="n">
        <v>0</v>
      </c>
      <c r="LL196" s="9" t="n">
        <v>4000</v>
      </c>
      <c r="LP196" s="10" t="n">
        <v>46187</v>
      </c>
      <c r="LR196" s="9" t="n">
        <v>0</v>
      </c>
      <c r="LT196" s="9" t="n">
        <v>0</v>
      </c>
      <c r="LU196" s="9" t="n">
        <v>0</v>
      </c>
      <c r="LY196" s="10" t="n">
        <v>46187</v>
      </c>
      <c r="MA196" s="9" t="n">
        <v>0</v>
      </c>
      <c r="MC196" s="9" t="n">
        <v>0</v>
      </c>
      <c r="MD196" s="9" t="n">
        <v>0</v>
      </c>
      <c r="MH196" s="10" t="n">
        <v>46187</v>
      </c>
      <c r="MJ196" s="9" t="n">
        <v>0</v>
      </c>
      <c r="ML196" s="9" t="n">
        <v>0</v>
      </c>
      <c r="MM196" s="9" t="n">
        <v>0</v>
      </c>
      <c r="MQ196" s="10" t="n">
        <v>46187</v>
      </c>
      <c r="MS196" s="9" t="n">
        <v>0</v>
      </c>
      <c r="MU196" s="9" t="n">
        <v>0</v>
      </c>
      <c r="MV196" s="9" t="n">
        <v>3724</v>
      </c>
      <c r="MZ196" s="10" t="n">
        <v>46187</v>
      </c>
      <c r="NB196" s="9" t="n">
        <v>0</v>
      </c>
      <c r="ND196" s="9" t="n">
        <v>0</v>
      </c>
      <c r="NE196" s="9" t="n">
        <v>0</v>
      </c>
      <c r="NI196" s="10" t="n">
        <v>46187</v>
      </c>
      <c r="NK196" s="9" t="n">
        <v>0</v>
      </c>
      <c r="NM196" s="9" t="n">
        <v>0</v>
      </c>
      <c r="NN196" s="9" t="n">
        <v>1127</v>
      </c>
      <c r="NR196" s="10" t="n">
        <v>46187</v>
      </c>
      <c r="NT196" s="9" t="n">
        <v>0</v>
      </c>
      <c r="NV196" s="9" t="n">
        <v>0</v>
      </c>
      <c r="NW196" s="9" t="n">
        <v>3112</v>
      </c>
      <c r="OA196" s="10" t="n">
        <v>46187</v>
      </c>
      <c r="OC196" s="9" t="n">
        <v>0</v>
      </c>
      <c r="OE196" s="9" t="n">
        <v>0</v>
      </c>
      <c r="OF196" s="9" t="n">
        <v>1680.5</v>
      </c>
      <c r="OJ196" s="10" t="n">
        <v>46187</v>
      </c>
      <c r="OL196" s="9" t="n">
        <v>0</v>
      </c>
      <c r="ON196" s="9" t="n">
        <v>0</v>
      </c>
      <c r="OO196" s="9" t="n">
        <v>0</v>
      </c>
      <c r="OS196" s="10" t="n">
        <v>46187</v>
      </c>
      <c r="OU196" s="9" t="n">
        <v>0</v>
      </c>
      <c r="OW196" s="9" t="n">
        <v>0</v>
      </c>
      <c r="OX196" s="9" t="n">
        <v>1482</v>
      </c>
      <c r="PB196" s="10" t="n">
        <v>46187</v>
      </c>
      <c r="PD196" s="9" t="n">
        <v>0</v>
      </c>
      <c r="PF196" s="9" t="n">
        <v>0</v>
      </c>
      <c r="PG196" s="9" t="n">
        <v>0</v>
      </c>
      <c r="PK196" s="10" t="n">
        <v>46187</v>
      </c>
      <c r="PM196" s="9" t="n">
        <v>0</v>
      </c>
      <c r="PO196" s="9" t="n">
        <v>0</v>
      </c>
      <c r="PP196" s="9" t="n">
        <v>100</v>
      </c>
      <c r="PT196" s="10" t="n">
        <v>46187</v>
      </c>
      <c r="PV196" s="9" t="n">
        <v>0</v>
      </c>
      <c r="PX196" s="9" t="n">
        <v>0</v>
      </c>
      <c r="PY196" s="9" t="n">
        <v>13.96000000000004</v>
      </c>
      <c r="QC196" s="10" t="n">
        <v>46187</v>
      </c>
      <c r="QE196" s="9" t="n">
        <v>0</v>
      </c>
      <c r="QG196" s="9" t="n">
        <v>0</v>
      </c>
      <c r="QH196" s="9" t="n">
        <v>1736</v>
      </c>
      <c r="QL196" s="10" t="n">
        <v>46187</v>
      </c>
      <c r="QN196" s="9" t="n">
        <v>0</v>
      </c>
      <c r="QP196" s="9" t="n">
        <v>0</v>
      </c>
      <c r="QQ196" s="9" t="n">
        <v>250</v>
      </c>
      <c r="QU196" s="10" t="n">
        <v>46187</v>
      </c>
      <c r="QW196" s="9" t="n">
        <v>0</v>
      </c>
      <c r="QY196" s="9" t="n">
        <v>0</v>
      </c>
      <c r="QZ196" s="9" t="n">
        <v>207.6</v>
      </c>
      <c r="RD196" s="10" t="n">
        <v>46187</v>
      </c>
      <c r="RF196" s="9" t="n">
        <v>0</v>
      </c>
      <c r="RH196" s="9" t="n">
        <v>0</v>
      </c>
      <c r="RI196" s="9" t="n">
        <v>147.04</v>
      </c>
      <c r="RM196" s="10" t="n">
        <v>46187</v>
      </c>
      <c r="RO196" s="9" t="n">
        <v>0</v>
      </c>
      <c r="RQ196" s="9" t="n">
        <v>0</v>
      </c>
      <c r="RR196" s="9" t="n">
        <v>46.8</v>
      </c>
      <c r="RV196" s="10" t="n">
        <v>46187</v>
      </c>
      <c r="RX196" s="9" t="n">
        <v>0</v>
      </c>
      <c r="RZ196" s="9" t="n">
        <v>0</v>
      </c>
      <c r="SA196" s="9" t="n">
        <v>0</v>
      </c>
      <c r="SE196" s="10" t="n">
        <v>46187</v>
      </c>
      <c r="SG196" s="9" t="n">
        <v>0</v>
      </c>
      <c r="SI196" s="9" t="n">
        <v>0</v>
      </c>
      <c r="SJ196" s="9" t="n">
        <v>24.2</v>
      </c>
      <c r="SN196" s="10" t="n">
        <v>46187</v>
      </c>
      <c r="SP196" s="9" t="n">
        <v>0</v>
      </c>
      <c r="SR196" s="9" t="n">
        <v>0</v>
      </c>
      <c r="SS196" s="9" t="n">
        <v>32</v>
      </c>
      <c r="SW196" s="10" t="n">
        <v>46187</v>
      </c>
      <c r="SY196" s="9" t="n">
        <v>0</v>
      </c>
      <c r="TA196" s="9" t="n">
        <v>0</v>
      </c>
      <c r="TB196" s="9" t="n">
        <v>0</v>
      </c>
      <c r="TF196" s="10" t="n">
        <v>46187</v>
      </c>
      <c r="TH196" s="9" t="n">
        <v>0</v>
      </c>
      <c r="TJ196" s="9" t="n">
        <v>0</v>
      </c>
      <c r="TK196" s="9" t="n">
        <v>0</v>
      </c>
      <c r="TO196" s="10" t="n">
        <v>46187</v>
      </c>
      <c r="TQ196" s="9" t="n">
        <v>0</v>
      </c>
      <c r="TS196" s="9" t="n">
        <v>0</v>
      </c>
      <c r="TT196" s="9" t="n">
        <v>22.40000000000001</v>
      </c>
      <c r="TX196" s="10" t="n">
        <v>46187</v>
      </c>
      <c r="TZ196" s="9" t="n">
        <v>0</v>
      </c>
      <c r="UB196" s="9" t="n">
        <v>0</v>
      </c>
      <c r="UC196" s="9" t="n">
        <v>46.79999999999998</v>
      </c>
      <c r="UG196" s="10" t="n">
        <v>46187</v>
      </c>
      <c r="UI196" s="9" t="n">
        <v>0</v>
      </c>
      <c r="UK196" s="9" t="n">
        <v>0</v>
      </c>
      <c r="UL196" s="9" t="n">
        <v>204</v>
      </c>
      <c r="UP196" s="10" t="n">
        <v>46187</v>
      </c>
      <c r="UR196" s="9" t="n">
        <v>0</v>
      </c>
      <c r="UT196" s="9" t="n">
        <v>0</v>
      </c>
      <c r="UU196" s="9" t="n">
        <v>251.25</v>
      </c>
      <c r="UY196" s="10" t="n">
        <v>46187</v>
      </c>
      <c r="VA196" s="9" t="n">
        <v>0</v>
      </c>
      <c r="VC196" s="9" t="n">
        <v>0</v>
      </c>
      <c r="VD196" s="9" t="n">
        <v>41.60000000000002</v>
      </c>
      <c r="VH196" s="10" t="n">
        <v>46187</v>
      </c>
      <c r="VJ196" s="9" t="n">
        <v>0</v>
      </c>
      <c r="VL196" s="9" t="n">
        <v>0</v>
      </c>
      <c r="VM196" s="9" t="n">
        <v>210</v>
      </c>
      <c r="VQ196" s="10" t="n">
        <v>46187</v>
      </c>
      <c r="VS196" s="9" t="n">
        <v>0</v>
      </c>
      <c r="VU196" s="9" t="n">
        <v>0</v>
      </c>
      <c r="VV196" s="9" t="n">
        <v>0</v>
      </c>
      <c r="VZ196" s="10" t="n">
        <v>46187</v>
      </c>
      <c r="WB196" s="9" t="n">
        <v>0</v>
      </c>
      <c r="WD196" s="9" t="n">
        <v>0</v>
      </c>
      <c r="WE196" s="9" t="n">
        <v>0</v>
      </c>
      <c r="WI196" s="10" t="n">
        <v>46187</v>
      </c>
      <c r="WK196" s="9" t="n">
        <v>0</v>
      </c>
      <c r="WM196" s="9" t="n">
        <v>0</v>
      </c>
      <c r="WN196" s="9" t="n">
        <v>1199</v>
      </c>
      <c r="WR196" s="10" t="n">
        <v>46187</v>
      </c>
      <c r="WT196" s="9" t="n">
        <v>0</v>
      </c>
      <c r="WV196" s="9" t="n">
        <v>0</v>
      </c>
      <c r="WW196" s="9" t="n">
        <v>0</v>
      </c>
      <c r="XA196" s="10" t="n">
        <v>46187</v>
      </c>
      <c r="XC196" s="9" t="n">
        <v>0</v>
      </c>
      <c r="XE196" s="9" t="n">
        <v>0</v>
      </c>
      <c r="XF196" s="9" t="n">
        <v>6813</v>
      </c>
      <c r="XJ196" s="10" t="n">
        <v>46187</v>
      </c>
      <c r="XL196" s="9" t="n">
        <v>0</v>
      </c>
      <c r="XN196" s="9" t="n">
        <v>0</v>
      </c>
      <c r="XO196" s="9" t="n">
        <v>5717</v>
      </c>
      <c r="XS196" s="10" t="n">
        <v>46187</v>
      </c>
      <c r="XU196" s="9" t="n">
        <v>0</v>
      </c>
      <c r="XW196" s="9" t="n">
        <v>0</v>
      </c>
      <c r="XX196" s="9" t="n">
        <v>1621</v>
      </c>
      <c r="YB196" s="10" t="n">
        <v>46187</v>
      </c>
      <c r="YD196" s="9" t="n">
        <v>0</v>
      </c>
      <c r="YF196" s="9" t="n">
        <v>0</v>
      </c>
      <c r="YG196" s="9" t="n">
        <v>4072</v>
      </c>
      <c r="YK196" s="10" t="n">
        <v>46187</v>
      </c>
      <c r="YM196" s="9" t="n">
        <v>0</v>
      </c>
      <c r="YO196" s="9" t="n">
        <v>0</v>
      </c>
      <c r="YP196" s="9" t="n">
        <v>0</v>
      </c>
      <c r="YT196" s="10" t="n">
        <v>46187</v>
      </c>
      <c r="YV196" s="9" t="n">
        <v>0</v>
      </c>
      <c r="YX196" s="9" t="n">
        <v>0</v>
      </c>
      <c r="YY196" s="9" t="n">
        <v>0</v>
      </c>
      <c r="ZC196" s="10" t="n">
        <v>46187</v>
      </c>
      <c r="ZE196" s="9" t="n">
        <v>0</v>
      </c>
      <c r="ZG196" s="9" t="n">
        <v>0</v>
      </c>
      <c r="ZH196" s="9" t="n">
        <v>0</v>
      </c>
      <c r="ZL196" s="10" t="n">
        <v>46187</v>
      </c>
      <c r="ZN196" s="9" t="n">
        <v>0</v>
      </c>
      <c r="ZP196" s="9" t="n">
        <v>0</v>
      </c>
      <c r="ZQ196" s="9" t="n">
        <v>0</v>
      </c>
      <c r="ZU196" s="10" t="n">
        <v>46187</v>
      </c>
      <c r="ZW196" s="9" t="n">
        <v>0</v>
      </c>
      <c r="ZY196" s="9" t="n">
        <v>0</v>
      </c>
      <c r="ZZ196" s="9" t="n">
        <v>0</v>
      </c>
      <c r="AAD196" s="10" t="n">
        <v>46187</v>
      </c>
      <c r="AAF196" s="9" t="n">
        <v>0</v>
      </c>
      <c r="AAH196" s="9" t="n">
        <v>0</v>
      </c>
      <c r="AAI196" s="9" t="n">
        <v>0</v>
      </c>
      <c r="AAM196" s="10" t="n">
        <v>46187</v>
      </c>
      <c r="AAO196" s="9" t="n">
        <v>0</v>
      </c>
      <c r="AAQ196" s="9" t="n">
        <v>0</v>
      </c>
      <c r="AAR196" s="9" t="n">
        <v>0</v>
      </c>
      <c r="AAV196" s="10" t="n">
        <v>46187</v>
      </c>
      <c r="AAX196" s="9" t="n">
        <v>0</v>
      </c>
      <c r="AAZ196" s="9" t="n">
        <v>0</v>
      </c>
      <c r="ABA196" s="9" t="n">
        <v>0</v>
      </c>
      <c r="ABE196" s="10" t="n">
        <v>46187</v>
      </c>
      <c r="ABG196" s="9" t="n">
        <v>0</v>
      </c>
      <c r="ABI196" s="9" t="n">
        <v>0</v>
      </c>
      <c r="ABJ196" s="9" t="n">
        <v>0</v>
      </c>
    </row>
    <row r="197">
      <c r="B197" s="9" t="n">
        <v>44</v>
      </c>
      <c r="C197" s="10" t="n">
        <v>46188</v>
      </c>
      <c r="D197" s="9" t="n">
        <v>11150</v>
      </c>
      <c r="E197" s="9" t="n">
        <v>23986.38</v>
      </c>
      <c r="F197" s="9" t="n">
        <v>23989.6</v>
      </c>
      <c r="G197" s="9" t="n">
        <v>-3.220000000001164</v>
      </c>
      <c r="H197" s="9" t="n">
        <v>89876.00000000006</v>
      </c>
      <c r="I197" s="9" t="inlineStr">
        <is>
          <t>5202 44mt</t>
        </is>
      </c>
      <c r="L197" s="10" t="n">
        <v>46188</v>
      </c>
      <c r="N197" s="9" t="n">
        <v>13089.34</v>
      </c>
      <c r="O197" s="9" t="n">
        <v>13085.6</v>
      </c>
      <c r="P197" s="9" t="n">
        <v>3.739999999999782</v>
      </c>
      <c r="Q197" s="9" t="n">
        <v>47536.40000000007</v>
      </c>
      <c r="U197" s="10" t="n">
        <v>46188</v>
      </c>
      <c r="W197" s="9" t="n">
        <v>2640</v>
      </c>
      <c r="X197" s="9" t="n">
        <v>2641.2</v>
      </c>
      <c r="Y197" s="9" t="n">
        <v>-1.199999999999818</v>
      </c>
      <c r="Z197" s="9" t="n">
        <v>41688.49999999999</v>
      </c>
      <c r="AD197" s="10" t="n">
        <v>46188</v>
      </c>
      <c r="AF197" s="9" t="n">
        <v>0</v>
      </c>
      <c r="AH197" s="9" t="n">
        <v>0</v>
      </c>
      <c r="AI197" s="9" t="n">
        <v>33372.70000000002</v>
      </c>
      <c r="AM197" s="10" t="n">
        <v>46188</v>
      </c>
      <c r="AO197" s="9" t="n">
        <v>0</v>
      </c>
      <c r="AQ197" s="9" t="n">
        <v>0</v>
      </c>
      <c r="AR197" s="9" t="n">
        <v>0</v>
      </c>
      <c r="AV197" s="10" t="n">
        <v>46188</v>
      </c>
      <c r="AX197" s="9" t="n">
        <v>0</v>
      </c>
      <c r="AZ197" s="9" t="n">
        <v>0</v>
      </c>
      <c r="BA197" s="9" t="n">
        <v>14066.5</v>
      </c>
      <c r="BE197" s="10" t="n">
        <v>46188</v>
      </c>
      <c r="BG197" s="9" t="n">
        <v>0</v>
      </c>
      <c r="BI197" s="9" t="n">
        <v>0</v>
      </c>
      <c r="BJ197" s="9" t="n">
        <v>39235.39999999999</v>
      </c>
      <c r="BN197" s="10" t="n">
        <v>46188</v>
      </c>
      <c r="BO197" s="9" t="n">
        <v>220</v>
      </c>
      <c r="BP197" s="9" t="n">
        <v>220</v>
      </c>
      <c r="BQ197" s="9" t="n">
        <v>220</v>
      </c>
      <c r="BR197" s="9" t="n">
        <v>0</v>
      </c>
      <c r="BS197" s="9" t="n">
        <v>0</v>
      </c>
      <c r="BW197" s="10" t="n">
        <v>46188</v>
      </c>
      <c r="BY197" s="9" t="n">
        <v>323.62</v>
      </c>
      <c r="BZ197" s="9" t="n">
        <v>367.75</v>
      </c>
      <c r="CA197" s="9" t="n">
        <v>-44.13</v>
      </c>
      <c r="CB197" s="9" t="n">
        <v>3217.749999999999</v>
      </c>
      <c r="CF197" s="10" t="n">
        <v>46188</v>
      </c>
      <c r="CG197" s="9" t="n">
        <v>495.3</v>
      </c>
      <c r="CH197" s="9" t="n">
        <v>0</v>
      </c>
      <c r="CI197" s="9" t="n">
        <v>495.3</v>
      </c>
      <c r="CJ197" s="9" t="n">
        <v>-495.3</v>
      </c>
      <c r="CK197" s="9" t="n">
        <v>0</v>
      </c>
      <c r="CO197" s="10" t="n">
        <v>46188</v>
      </c>
      <c r="CQ197" s="9" t="n">
        <v>0</v>
      </c>
      <c r="CS197" s="9" t="n">
        <v>0</v>
      </c>
      <c r="CT197" s="9" t="n">
        <v>0</v>
      </c>
      <c r="CX197" s="10" t="n">
        <v>46188</v>
      </c>
      <c r="CZ197" s="9" t="n">
        <v>880</v>
      </c>
      <c r="DA197" s="9" t="n">
        <v>882</v>
      </c>
      <c r="DB197" s="9" t="n">
        <v>-2</v>
      </c>
      <c r="DC197" s="9" t="n">
        <v>15741.50000000001</v>
      </c>
      <c r="DG197" s="10" t="n">
        <v>46188</v>
      </c>
      <c r="DI197" s="9" t="n">
        <v>0</v>
      </c>
      <c r="DK197" s="9" t="n">
        <v>0</v>
      </c>
      <c r="DL197" s="9" t="n">
        <v>35234.99999999999</v>
      </c>
      <c r="DP197" s="10" t="n">
        <v>46188</v>
      </c>
      <c r="DR197" s="9" t="n">
        <v>0</v>
      </c>
      <c r="DT197" s="9" t="n">
        <v>0</v>
      </c>
      <c r="DU197" s="9" t="n">
        <v>5800</v>
      </c>
      <c r="DY197" s="10" t="n">
        <v>46188</v>
      </c>
      <c r="EA197" s="9" t="n">
        <v>0</v>
      </c>
      <c r="EC197" s="9" t="n">
        <v>0</v>
      </c>
      <c r="ED197" s="9" t="n">
        <v>0</v>
      </c>
      <c r="EH197" s="10" t="n">
        <v>46188</v>
      </c>
      <c r="EJ197" s="9" t="n">
        <v>0</v>
      </c>
      <c r="EL197" s="9" t="n">
        <v>0</v>
      </c>
      <c r="EM197" s="9" t="n">
        <v>0</v>
      </c>
      <c r="EQ197" s="10" t="n">
        <v>46188</v>
      </c>
      <c r="ES197" s="9" t="n">
        <v>0</v>
      </c>
      <c r="EU197" s="9" t="n">
        <v>0</v>
      </c>
      <c r="EV197" s="9" t="n">
        <v>0</v>
      </c>
      <c r="EZ197" s="10" t="n">
        <v>46188</v>
      </c>
      <c r="FB197" s="9" t="n">
        <v>0</v>
      </c>
      <c r="FD197" s="9" t="n">
        <v>0</v>
      </c>
      <c r="FE197" s="9" t="n">
        <v>0</v>
      </c>
      <c r="FI197" s="10" t="n">
        <v>46188</v>
      </c>
      <c r="FK197" s="9" t="n">
        <v>0</v>
      </c>
      <c r="FM197" s="9" t="n">
        <v>0</v>
      </c>
      <c r="FN197" s="9" t="n">
        <v>0</v>
      </c>
      <c r="FR197" s="10" t="n">
        <v>46188</v>
      </c>
      <c r="FT197" s="9" t="n">
        <v>0</v>
      </c>
      <c r="FV197" s="9" t="n">
        <v>0</v>
      </c>
      <c r="FW197" s="9" t="n">
        <v>1160</v>
      </c>
      <c r="GA197" s="10" t="n">
        <v>46188</v>
      </c>
      <c r="GC197" s="9" t="n">
        <v>0</v>
      </c>
      <c r="GE197" s="9" t="n">
        <v>0</v>
      </c>
      <c r="GF197" s="9" t="n">
        <v>960</v>
      </c>
      <c r="GJ197" s="10" t="n">
        <v>46188</v>
      </c>
      <c r="GL197" s="9" t="n">
        <v>0</v>
      </c>
      <c r="GN197" s="9" t="n">
        <v>0</v>
      </c>
      <c r="GO197" s="9" t="n">
        <v>1760</v>
      </c>
      <c r="GS197" s="10" t="n">
        <v>46188</v>
      </c>
      <c r="GU197" s="9" t="n">
        <v>0</v>
      </c>
      <c r="GW197" s="9" t="n">
        <v>0</v>
      </c>
      <c r="GX197" s="9" t="n">
        <v>400</v>
      </c>
      <c r="HB197" s="10" t="n">
        <v>46188</v>
      </c>
      <c r="HD197" s="9" t="n">
        <v>0</v>
      </c>
      <c r="HF197" s="9" t="n">
        <v>0</v>
      </c>
      <c r="HG197" s="9" t="n">
        <v>3600</v>
      </c>
      <c r="HK197" s="10" t="n">
        <v>46188</v>
      </c>
      <c r="HM197" s="9" t="n">
        <v>0</v>
      </c>
      <c r="HO197" s="9" t="n">
        <v>0</v>
      </c>
      <c r="HP197" s="9" t="n">
        <v>0</v>
      </c>
      <c r="HU197" s="10" t="n">
        <v>46188</v>
      </c>
      <c r="HW197" s="9" t="n">
        <v>0</v>
      </c>
      <c r="HY197" s="9" t="n">
        <v>0</v>
      </c>
      <c r="HZ197" s="9" t="n">
        <v>6800</v>
      </c>
      <c r="ID197" s="10" t="n">
        <v>46188</v>
      </c>
      <c r="IF197" s="9" t="n">
        <v>0</v>
      </c>
      <c r="IH197" s="9" t="n">
        <v>0</v>
      </c>
      <c r="II197" s="9" t="n">
        <v>720</v>
      </c>
      <c r="IM197" s="10" t="n">
        <v>46188</v>
      </c>
      <c r="IO197" s="9" t="n">
        <v>0</v>
      </c>
      <c r="IQ197" s="9" t="n">
        <v>0</v>
      </c>
      <c r="IR197" s="9" t="n">
        <v>6520</v>
      </c>
      <c r="IV197" s="10" t="n">
        <v>46188</v>
      </c>
      <c r="IX197" s="9" t="n">
        <v>0</v>
      </c>
      <c r="IZ197" s="9" t="n">
        <v>0</v>
      </c>
      <c r="JA197" s="9" t="n">
        <v>4960</v>
      </c>
      <c r="JE197" s="10" t="n">
        <v>46188</v>
      </c>
      <c r="JG197" s="9" t="n">
        <v>0</v>
      </c>
      <c r="JI197" s="9" t="n">
        <v>0</v>
      </c>
      <c r="JJ197" s="9" t="n">
        <v>0</v>
      </c>
      <c r="JN197" s="10" t="n">
        <v>46188</v>
      </c>
      <c r="JP197" s="9" t="n">
        <v>0</v>
      </c>
      <c r="JR197" s="9" t="n">
        <v>0</v>
      </c>
      <c r="JS197" s="9" t="n">
        <v>0</v>
      </c>
      <c r="JW197" s="10" t="n">
        <v>46188</v>
      </c>
      <c r="JY197" s="9" t="n">
        <v>0</v>
      </c>
      <c r="KA197" s="9" t="n">
        <v>0</v>
      </c>
      <c r="KB197" s="9" t="n">
        <v>2540</v>
      </c>
      <c r="KF197" s="10" t="n">
        <v>46188</v>
      </c>
      <c r="KH197" s="9" t="n">
        <v>0</v>
      </c>
      <c r="KJ197" s="9" t="n">
        <v>0</v>
      </c>
      <c r="KK197" s="9" t="n">
        <v>2359.5</v>
      </c>
      <c r="KO197" s="10" t="n">
        <v>46188</v>
      </c>
      <c r="KQ197" s="9" t="n">
        <v>0</v>
      </c>
      <c r="KS197" s="9" t="n">
        <v>0</v>
      </c>
      <c r="KT197" s="9" t="n">
        <v>1890</v>
      </c>
      <c r="KX197" s="10" t="n">
        <v>46188</v>
      </c>
      <c r="KZ197" s="9" t="n">
        <v>0</v>
      </c>
      <c r="LB197" s="9" t="n">
        <v>0</v>
      </c>
      <c r="LC197" s="9" t="n">
        <v>3690</v>
      </c>
      <c r="LG197" s="10" t="n">
        <v>46188</v>
      </c>
      <c r="LI197" s="9" t="n">
        <v>0</v>
      </c>
      <c r="LK197" s="9" t="n">
        <v>0</v>
      </c>
      <c r="LL197" s="9" t="n">
        <v>4000</v>
      </c>
      <c r="LP197" s="10" t="n">
        <v>46188</v>
      </c>
      <c r="LR197" s="9" t="n">
        <v>0</v>
      </c>
      <c r="LT197" s="9" t="n">
        <v>0</v>
      </c>
      <c r="LU197" s="9" t="n">
        <v>0</v>
      </c>
      <c r="LY197" s="10" t="n">
        <v>46188</v>
      </c>
      <c r="MA197" s="9" t="n">
        <v>0</v>
      </c>
      <c r="MC197" s="9" t="n">
        <v>0</v>
      </c>
      <c r="MD197" s="9" t="n">
        <v>0</v>
      </c>
      <c r="MH197" s="10" t="n">
        <v>46188</v>
      </c>
      <c r="MJ197" s="9" t="n">
        <v>0</v>
      </c>
      <c r="ML197" s="9" t="n">
        <v>0</v>
      </c>
      <c r="MM197" s="9" t="n">
        <v>0</v>
      </c>
      <c r="MQ197" s="10" t="n">
        <v>46188</v>
      </c>
      <c r="MS197" s="9" t="n">
        <v>0</v>
      </c>
      <c r="MU197" s="9" t="n">
        <v>0</v>
      </c>
      <c r="MV197" s="9" t="n">
        <v>3724</v>
      </c>
      <c r="MZ197" s="10" t="n">
        <v>46188</v>
      </c>
      <c r="NA197" s="9" t="n">
        <v>600</v>
      </c>
      <c r="NB197" s="9" t="n">
        <v>0</v>
      </c>
      <c r="NC197" s="9" t="n">
        <v>600</v>
      </c>
      <c r="ND197" s="9" t="n">
        <v>-600</v>
      </c>
      <c r="NE197" s="9" t="n">
        <v>0</v>
      </c>
      <c r="NI197" s="10" t="n">
        <v>46188</v>
      </c>
      <c r="NK197" s="9" t="n">
        <v>0</v>
      </c>
      <c r="NM197" s="9" t="n">
        <v>0</v>
      </c>
      <c r="NN197" s="9" t="n">
        <v>1127</v>
      </c>
      <c r="NR197" s="10" t="n">
        <v>46188</v>
      </c>
      <c r="NT197" s="9" t="n">
        <v>0</v>
      </c>
      <c r="NV197" s="9" t="n">
        <v>0</v>
      </c>
      <c r="NW197" s="9" t="n">
        <v>3112</v>
      </c>
      <c r="OA197" s="10" t="n">
        <v>46188</v>
      </c>
      <c r="OC197" s="9" t="n">
        <v>0</v>
      </c>
      <c r="OE197" s="9" t="n">
        <v>0</v>
      </c>
      <c r="OF197" s="9" t="n">
        <v>1680.5</v>
      </c>
      <c r="OJ197" s="10" t="n">
        <v>46188</v>
      </c>
      <c r="OK197" s="9" t="n">
        <v>130</v>
      </c>
      <c r="OL197" s="9" t="n">
        <v>0</v>
      </c>
      <c r="OM197" s="9" t="n">
        <v>130</v>
      </c>
      <c r="ON197" s="9" t="n">
        <v>-130</v>
      </c>
      <c r="OO197" s="9" t="n">
        <v>0</v>
      </c>
      <c r="OS197" s="10" t="n">
        <v>46188</v>
      </c>
      <c r="OU197" s="9" t="n">
        <v>0</v>
      </c>
      <c r="OW197" s="9" t="n">
        <v>0</v>
      </c>
      <c r="OX197" s="9" t="n">
        <v>1482</v>
      </c>
      <c r="PB197" s="10" t="n">
        <v>46188</v>
      </c>
      <c r="PD197" s="9" t="n">
        <v>0</v>
      </c>
      <c r="PF197" s="9" t="n">
        <v>0</v>
      </c>
      <c r="PG197" s="9" t="n">
        <v>0</v>
      </c>
      <c r="PK197" s="10" t="n">
        <v>46188</v>
      </c>
      <c r="PM197" s="9" t="n">
        <v>0</v>
      </c>
      <c r="PO197" s="9" t="n">
        <v>0</v>
      </c>
      <c r="PP197" s="9" t="n">
        <v>100</v>
      </c>
      <c r="PT197" s="10" t="n">
        <v>46188</v>
      </c>
      <c r="PV197" s="9" t="n">
        <v>0</v>
      </c>
      <c r="PX197" s="9" t="n">
        <v>0</v>
      </c>
      <c r="PY197" s="9" t="n">
        <v>13.96000000000004</v>
      </c>
      <c r="QC197" s="10" t="n">
        <v>46188</v>
      </c>
      <c r="QE197" s="9" t="n">
        <v>0</v>
      </c>
      <c r="QG197" s="9" t="n">
        <v>0</v>
      </c>
      <c r="QH197" s="9" t="n">
        <v>1736</v>
      </c>
      <c r="QL197" s="10" t="n">
        <v>46188</v>
      </c>
      <c r="QN197" s="9" t="n">
        <v>0</v>
      </c>
      <c r="QP197" s="9" t="n">
        <v>0</v>
      </c>
      <c r="QQ197" s="9" t="n">
        <v>250</v>
      </c>
      <c r="QU197" s="10" t="n">
        <v>46188</v>
      </c>
      <c r="QW197" s="9" t="n">
        <v>0</v>
      </c>
      <c r="QY197" s="9" t="n">
        <v>0</v>
      </c>
      <c r="QZ197" s="9" t="n">
        <v>207.6</v>
      </c>
      <c r="RD197" s="10" t="n">
        <v>46188</v>
      </c>
      <c r="RF197" s="9" t="n">
        <v>0</v>
      </c>
      <c r="RH197" s="9" t="n">
        <v>0</v>
      </c>
      <c r="RI197" s="9" t="n">
        <v>147.04</v>
      </c>
      <c r="RM197" s="10" t="n">
        <v>46188</v>
      </c>
      <c r="RO197" s="9" t="n">
        <v>0</v>
      </c>
      <c r="RQ197" s="9" t="n">
        <v>0</v>
      </c>
      <c r="RR197" s="9" t="n">
        <v>46.8</v>
      </c>
      <c r="RV197" s="10" t="n">
        <v>46188</v>
      </c>
      <c r="RX197" s="9" t="n">
        <v>0</v>
      </c>
      <c r="RZ197" s="9" t="n">
        <v>0</v>
      </c>
      <c r="SA197" s="9" t="n">
        <v>0</v>
      </c>
      <c r="SE197" s="10" t="n">
        <v>46188</v>
      </c>
      <c r="SG197" s="9" t="n">
        <v>0</v>
      </c>
      <c r="SI197" s="9" t="n">
        <v>0</v>
      </c>
      <c r="SJ197" s="9" t="n">
        <v>24.2</v>
      </c>
      <c r="SN197" s="10" t="n">
        <v>46188</v>
      </c>
      <c r="SP197" s="9" t="n">
        <v>0</v>
      </c>
      <c r="SR197" s="9" t="n">
        <v>0</v>
      </c>
      <c r="SS197" s="9" t="n">
        <v>32</v>
      </c>
      <c r="SW197" s="10" t="n">
        <v>46188</v>
      </c>
      <c r="SY197" s="9" t="n">
        <v>0</v>
      </c>
      <c r="TA197" s="9" t="n">
        <v>0</v>
      </c>
      <c r="TB197" s="9" t="n">
        <v>0</v>
      </c>
      <c r="TF197" s="10" t="n">
        <v>46188</v>
      </c>
      <c r="TH197" s="9" t="n">
        <v>0</v>
      </c>
      <c r="TJ197" s="9" t="n">
        <v>0</v>
      </c>
      <c r="TK197" s="9" t="n">
        <v>0</v>
      </c>
      <c r="TO197" s="10" t="n">
        <v>46188</v>
      </c>
      <c r="TQ197" s="9" t="n">
        <v>0</v>
      </c>
      <c r="TS197" s="9" t="n">
        <v>0</v>
      </c>
      <c r="TT197" s="9" t="n">
        <v>22.40000000000001</v>
      </c>
      <c r="TX197" s="10" t="n">
        <v>46188</v>
      </c>
      <c r="TZ197" s="9" t="n">
        <v>0</v>
      </c>
      <c r="UB197" s="9" t="n">
        <v>0</v>
      </c>
      <c r="UC197" s="9" t="n">
        <v>46.79999999999998</v>
      </c>
      <c r="UG197" s="10" t="n">
        <v>46188</v>
      </c>
      <c r="UI197" s="9" t="n">
        <v>0</v>
      </c>
      <c r="UK197" s="9" t="n">
        <v>0</v>
      </c>
      <c r="UL197" s="9" t="n">
        <v>204</v>
      </c>
      <c r="UP197" s="10" t="n">
        <v>46188</v>
      </c>
      <c r="UR197" s="9" t="n">
        <v>0</v>
      </c>
      <c r="UT197" s="9" t="n">
        <v>0</v>
      </c>
      <c r="UU197" s="9" t="n">
        <v>251.25</v>
      </c>
      <c r="UY197" s="10" t="n">
        <v>46188</v>
      </c>
      <c r="VA197" s="9" t="n">
        <v>0</v>
      </c>
      <c r="VC197" s="9" t="n">
        <v>0</v>
      </c>
      <c r="VD197" s="9" t="n">
        <v>41.60000000000002</v>
      </c>
      <c r="VH197" s="10" t="n">
        <v>46188</v>
      </c>
      <c r="VJ197" s="9" t="n">
        <v>0</v>
      </c>
      <c r="VL197" s="9" t="n">
        <v>0</v>
      </c>
      <c r="VM197" s="9" t="n">
        <v>210</v>
      </c>
      <c r="VQ197" s="10" t="n">
        <v>46188</v>
      </c>
      <c r="VS197" s="9" t="n">
        <v>0</v>
      </c>
      <c r="VU197" s="9" t="n">
        <v>0</v>
      </c>
      <c r="VV197" s="9" t="n">
        <v>0</v>
      </c>
      <c r="VZ197" s="10" t="n">
        <v>46188</v>
      </c>
      <c r="WB197" s="9" t="n">
        <v>0</v>
      </c>
      <c r="WD197" s="9" t="n">
        <v>0</v>
      </c>
      <c r="WE197" s="9" t="n">
        <v>0</v>
      </c>
      <c r="WI197" s="10" t="n">
        <v>46188</v>
      </c>
      <c r="WK197" s="9" t="n">
        <v>0</v>
      </c>
      <c r="WM197" s="9" t="n">
        <v>0</v>
      </c>
      <c r="WN197" s="9" t="n">
        <v>1199</v>
      </c>
      <c r="WR197" s="10" t="n">
        <v>46188</v>
      </c>
      <c r="WT197" s="9" t="n">
        <v>0</v>
      </c>
      <c r="WV197" s="9" t="n">
        <v>0</v>
      </c>
      <c r="WW197" s="9" t="n">
        <v>0</v>
      </c>
      <c r="XA197" s="10" t="n">
        <v>46188</v>
      </c>
      <c r="XC197" s="9" t="n">
        <v>0</v>
      </c>
      <c r="XE197" s="9" t="n">
        <v>0</v>
      </c>
      <c r="XF197" s="9" t="n">
        <v>6813</v>
      </c>
      <c r="XJ197" s="10" t="n">
        <v>46188</v>
      </c>
      <c r="XL197" s="9" t="n">
        <v>0</v>
      </c>
      <c r="XN197" s="9" t="n">
        <v>0</v>
      </c>
      <c r="XO197" s="9" t="n">
        <v>5717</v>
      </c>
      <c r="XS197" s="10" t="n">
        <v>46188</v>
      </c>
      <c r="XU197" s="9" t="n">
        <v>0</v>
      </c>
      <c r="XW197" s="9" t="n">
        <v>0</v>
      </c>
      <c r="XX197" s="9" t="n">
        <v>1621</v>
      </c>
      <c r="YB197" s="10" t="n">
        <v>46188</v>
      </c>
      <c r="YD197" s="9" t="n">
        <v>0</v>
      </c>
      <c r="YF197" s="9" t="n">
        <v>0</v>
      </c>
      <c r="YG197" s="9" t="n">
        <v>4072</v>
      </c>
      <c r="YK197" s="10" t="n">
        <v>46188</v>
      </c>
      <c r="YM197" s="9" t="n">
        <v>0</v>
      </c>
      <c r="YO197" s="9" t="n">
        <v>0</v>
      </c>
      <c r="YP197" s="9" t="n">
        <v>0</v>
      </c>
      <c r="YT197" s="10" t="n">
        <v>46188</v>
      </c>
      <c r="YV197" s="9" t="n">
        <v>0</v>
      </c>
      <c r="YX197" s="9" t="n">
        <v>0</v>
      </c>
      <c r="YY197" s="9" t="n">
        <v>0</v>
      </c>
      <c r="ZC197" s="10" t="n">
        <v>46188</v>
      </c>
      <c r="ZE197" s="9" t="n">
        <v>0</v>
      </c>
      <c r="ZG197" s="9" t="n">
        <v>0</v>
      </c>
      <c r="ZH197" s="9" t="n">
        <v>0</v>
      </c>
      <c r="ZL197" s="10" t="n">
        <v>46188</v>
      </c>
      <c r="ZN197" s="9" t="n">
        <v>0</v>
      </c>
      <c r="ZP197" s="9" t="n">
        <v>0</v>
      </c>
      <c r="ZQ197" s="9" t="n">
        <v>0</v>
      </c>
      <c r="ZU197" s="10" t="n">
        <v>46188</v>
      </c>
      <c r="ZW197" s="9" t="n">
        <v>0</v>
      </c>
      <c r="ZY197" s="9" t="n">
        <v>0</v>
      </c>
      <c r="ZZ197" s="9" t="n">
        <v>0</v>
      </c>
      <c r="AAD197" s="10" t="n">
        <v>46188</v>
      </c>
      <c r="AAF197" s="9" t="n">
        <v>0</v>
      </c>
      <c r="AAH197" s="9" t="n">
        <v>0</v>
      </c>
      <c r="AAI197" s="9" t="n">
        <v>0</v>
      </c>
      <c r="AAM197" s="10" t="n">
        <v>46188</v>
      </c>
      <c r="AAO197" s="9" t="n">
        <v>0</v>
      </c>
      <c r="AAQ197" s="9" t="n">
        <v>0</v>
      </c>
      <c r="AAR197" s="9" t="n">
        <v>0</v>
      </c>
      <c r="AAV197" s="10" t="n">
        <v>46188</v>
      </c>
      <c r="AAX197" s="9" t="n">
        <v>0</v>
      </c>
      <c r="AAZ197" s="9" t="n">
        <v>0</v>
      </c>
      <c r="ABA197" s="9" t="n">
        <v>0</v>
      </c>
      <c r="ABE197" s="10" t="n">
        <v>46188</v>
      </c>
      <c r="ABG197" s="9" t="n">
        <v>0</v>
      </c>
      <c r="ABI197" s="9" t="n">
        <v>0</v>
      </c>
      <c r="ABJ197" s="9" t="n">
        <v>0</v>
      </c>
    </row>
    <row r="198">
      <c r="B198" s="9" t="n">
        <v>20</v>
      </c>
      <c r="C198" s="10" t="n">
        <v>46189</v>
      </c>
      <c r="D198" s="9" t="n">
        <v>26150</v>
      </c>
      <c r="E198" s="9" t="n">
        <v>10902.9</v>
      </c>
      <c r="F198" s="9" t="n">
        <v>10890</v>
      </c>
      <c r="G198" s="9" t="n">
        <v>12.89999999999964</v>
      </c>
      <c r="H198" s="9" t="n">
        <v>105136.0000000001</v>
      </c>
      <c r="I198" s="9" t="inlineStr">
        <is>
          <t>5202 20mt</t>
        </is>
      </c>
      <c r="L198" s="10" t="n">
        <v>46189</v>
      </c>
      <c r="M198" s="9" t="n">
        <v>27850</v>
      </c>
      <c r="N198" s="9" t="n">
        <v>5949.700000000001</v>
      </c>
      <c r="O198" s="9" t="n">
        <v>5954</v>
      </c>
      <c r="P198" s="9" t="n">
        <v>-4.299999999999272</v>
      </c>
      <c r="Q198" s="9" t="n">
        <v>69432.40000000008</v>
      </c>
      <c r="U198" s="10" t="n">
        <v>46189</v>
      </c>
      <c r="W198" s="9" t="n">
        <v>1200</v>
      </c>
      <c r="X198" s="9" t="n">
        <v>1199.3</v>
      </c>
      <c r="Y198" s="9" t="n">
        <v>0.7000000000000455</v>
      </c>
      <c r="Z198" s="9" t="n">
        <v>40489.19999999998</v>
      </c>
      <c r="AD198" s="10" t="n">
        <v>46189</v>
      </c>
      <c r="AF198" s="9" t="n">
        <v>0</v>
      </c>
      <c r="AH198" s="9" t="n">
        <v>0</v>
      </c>
      <c r="AI198" s="9" t="n">
        <v>33372.70000000002</v>
      </c>
      <c r="AM198" s="10" t="n">
        <v>46189</v>
      </c>
      <c r="AO198" s="9" t="n">
        <v>0</v>
      </c>
      <c r="AQ198" s="9" t="n">
        <v>0</v>
      </c>
      <c r="AR198" s="9" t="n">
        <v>0</v>
      </c>
      <c r="AV198" s="10" t="n">
        <v>46189</v>
      </c>
      <c r="AX198" s="9" t="n">
        <v>0</v>
      </c>
      <c r="AZ198" s="9" t="n">
        <v>0</v>
      </c>
      <c r="BA198" s="9" t="n">
        <v>14066.5</v>
      </c>
      <c r="BE198" s="10" t="n">
        <v>46189</v>
      </c>
      <c r="BG198" s="9" t="n">
        <v>0</v>
      </c>
      <c r="BI198" s="9" t="n">
        <v>0</v>
      </c>
      <c r="BJ198" s="9" t="n">
        <v>39235.39999999999</v>
      </c>
      <c r="BN198" s="10" t="n">
        <v>46189</v>
      </c>
      <c r="BO198" s="9" t="n">
        <v>100</v>
      </c>
      <c r="BP198" s="9" t="n">
        <v>100</v>
      </c>
      <c r="BQ198" s="9" t="n">
        <v>100</v>
      </c>
      <c r="BR198" s="9" t="n">
        <v>0</v>
      </c>
      <c r="BS198" s="9" t="n">
        <v>0</v>
      </c>
      <c r="BW198" s="10" t="n">
        <v>46189</v>
      </c>
      <c r="BY198" s="9" t="n">
        <v>147.1</v>
      </c>
      <c r="CA198" s="9" t="n">
        <v>147.1</v>
      </c>
      <c r="CB198" s="9" t="n">
        <v>3217.749999999999</v>
      </c>
      <c r="CF198" s="10" t="n">
        <v>46189</v>
      </c>
      <c r="CH198" s="9" t="n">
        <v>0</v>
      </c>
      <c r="CJ198" s="9" t="n">
        <v>0</v>
      </c>
      <c r="CK198" s="9" t="n">
        <v>0</v>
      </c>
      <c r="CO198" s="10" t="n">
        <v>46189</v>
      </c>
      <c r="CQ198" s="9" t="n">
        <v>0</v>
      </c>
      <c r="CS198" s="9" t="n">
        <v>0</v>
      </c>
      <c r="CT198" s="9" t="n">
        <v>0</v>
      </c>
      <c r="CX198" s="10" t="n">
        <v>46189</v>
      </c>
      <c r="CZ198" s="9" t="n">
        <v>400</v>
      </c>
      <c r="DA198" s="9" t="n">
        <v>399.7</v>
      </c>
      <c r="DB198" s="9" t="n">
        <v>0.3000000000000114</v>
      </c>
      <c r="DC198" s="9" t="n">
        <v>15341.80000000001</v>
      </c>
      <c r="DG198" s="10" t="n">
        <v>46189</v>
      </c>
      <c r="DI198" s="9" t="n">
        <v>0</v>
      </c>
      <c r="DK198" s="9" t="n">
        <v>0</v>
      </c>
      <c r="DL198" s="9" t="n">
        <v>35234.99999999999</v>
      </c>
      <c r="DP198" s="10" t="n">
        <v>46189</v>
      </c>
      <c r="DR198" s="9" t="n">
        <v>0</v>
      </c>
      <c r="DT198" s="9" t="n">
        <v>0</v>
      </c>
      <c r="DU198" s="9" t="n">
        <v>5800</v>
      </c>
      <c r="DY198" s="10" t="n">
        <v>46189</v>
      </c>
      <c r="EA198" s="9" t="n">
        <v>0</v>
      </c>
      <c r="EC198" s="9" t="n">
        <v>0</v>
      </c>
      <c r="ED198" s="9" t="n">
        <v>0</v>
      </c>
      <c r="EH198" s="10" t="n">
        <v>46189</v>
      </c>
      <c r="EJ198" s="9" t="n">
        <v>0</v>
      </c>
      <c r="EL198" s="9" t="n">
        <v>0</v>
      </c>
      <c r="EM198" s="9" t="n">
        <v>0</v>
      </c>
      <c r="EQ198" s="10" t="n">
        <v>46189</v>
      </c>
      <c r="ES198" s="9" t="n">
        <v>0</v>
      </c>
      <c r="EU198" s="9" t="n">
        <v>0</v>
      </c>
      <c r="EV198" s="9" t="n">
        <v>0</v>
      </c>
      <c r="EZ198" s="10" t="n">
        <v>46189</v>
      </c>
      <c r="FB198" s="9" t="n">
        <v>0</v>
      </c>
      <c r="FD198" s="9" t="n">
        <v>0</v>
      </c>
      <c r="FE198" s="9" t="n">
        <v>0</v>
      </c>
      <c r="FI198" s="10" t="n">
        <v>46189</v>
      </c>
      <c r="FK198" s="9" t="n">
        <v>0</v>
      </c>
      <c r="FM198" s="9" t="n">
        <v>0</v>
      </c>
      <c r="FN198" s="9" t="n">
        <v>0</v>
      </c>
      <c r="FR198" s="10" t="n">
        <v>46189</v>
      </c>
      <c r="FT198" s="9" t="n">
        <v>0</v>
      </c>
      <c r="FV198" s="9" t="n">
        <v>0</v>
      </c>
      <c r="FW198" s="9" t="n">
        <v>1160</v>
      </c>
      <c r="GA198" s="10" t="n">
        <v>46189</v>
      </c>
      <c r="GC198" s="9" t="n">
        <v>0</v>
      </c>
      <c r="GE198" s="9" t="n">
        <v>0</v>
      </c>
      <c r="GF198" s="9" t="n">
        <v>960</v>
      </c>
      <c r="GJ198" s="10" t="n">
        <v>46189</v>
      </c>
      <c r="GL198" s="9" t="n">
        <v>0</v>
      </c>
      <c r="GN198" s="9" t="n">
        <v>0</v>
      </c>
      <c r="GO198" s="9" t="n">
        <v>1760</v>
      </c>
      <c r="GS198" s="10" t="n">
        <v>46189</v>
      </c>
      <c r="GU198" s="9" t="n">
        <v>0</v>
      </c>
      <c r="GW198" s="9" t="n">
        <v>0</v>
      </c>
      <c r="GX198" s="9" t="n">
        <v>400</v>
      </c>
      <c r="HB198" s="10" t="n">
        <v>46189</v>
      </c>
      <c r="HD198" s="9" t="n">
        <v>0</v>
      </c>
      <c r="HF198" s="9" t="n">
        <v>0</v>
      </c>
      <c r="HG198" s="9" t="n">
        <v>3600</v>
      </c>
      <c r="HK198" s="10" t="n">
        <v>46189</v>
      </c>
      <c r="HM198" s="9" t="n">
        <v>0</v>
      </c>
      <c r="HO198" s="9" t="n">
        <v>0</v>
      </c>
      <c r="HP198" s="9" t="n">
        <v>0</v>
      </c>
      <c r="HU198" s="10" t="n">
        <v>46189</v>
      </c>
      <c r="HW198" s="9" t="n">
        <v>0</v>
      </c>
      <c r="HY198" s="9" t="n">
        <v>0</v>
      </c>
      <c r="HZ198" s="9" t="n">
        <v>6800</v>
      </c>
      <c r="ID198" s="10" t="n">
        <v>46189</v>
      </c>
      <c r="IF198" s="9" t="n">
        <v>0</v>
      </c>
      <c r="IH198" s="9" t="n">
        <v>0</v>
      </c>
      <c r="II198" s="9" t="n">
        <v>720</v>
      </c>
      <c r="IM198" s="10" t="n">
        <v>46189</v>
      </c>
      <c r="IO198" s="9" t="n">
        <v>0</v>
      </c>
      <c r="IQ198" s="9" t="n">
        <v>0</v>
      </c>
      <c r="IR198" s="9" t="n">
        <v>6520</v>
      </c>
      <c r="IV198" s="10" t="n">
        <v>46189</v>
      </c>
      <c r="IX198" s="9" t="n">
        <v>0</v>
      </c>
      <c r="IZ198" s="9" t="n">
        <v>0</v>
      </c>
      <c r="JA198" s="9" t="n">
        <v>4960</v>
      </c>
      <c r="JE198" s="10" t="n">
        <v>46189</v>
      </c>
      <c r="JG198" s="9" t="n">
        <v>0</v>
      </c>
      <c r="JI198" s="9" t="n">
        <v>0</v>
      </c>
      <c r="JJ198" s="9" t="n">
        <v>0</v>
      </c>
      <c r="JN198" s="10" t="n">
        <v>46189</v>
      </c>
      <c r="JP198" s="9" t="n">
        <v>0</v>
      </c>
      <c r="JR198" s="9" t="n">
        <v>0</v>
      </c>
      <c r="JS198" s="9" t="n">
        <v>0</v>
      </c>
      <c r="JW198" s="10" t="n">
        <v>46189</v>
      </c>
      <c r="JY198" s="9" t="n">
        <v>0</v>
      </c>
      <c r="KA198" s="9" t="n">
        <v>0</v>
      </c>
      <c r="KB198" s="9" t="n">
        <v>2540</v>
      </c>
      <c r="KF198" s="10" t="n">
        <v>46189</v>
      </c>
      <c r="KH198" s="9" t="n">
        <v>0</v>
      </c>
      <c r="KJ198" s="9" t="n">
        <v>0</v>
      </c>
      <c r="KK198" s="9" t="n">
        <v>2359.5</v>
      </c>
      <c r="KO198" s="10" t="n">
        <v>46189</v>
      </c>
      <c r="KQ198" s="9" t="n">
        <v>0</v>
      </c>
      <c r="KS198" s="9" t="n">
        <v>0</v>
      </c>
      <c r="KT198" s="9" t="n">
        <v>1890</v>
      </c>
      <c r="KX198" s="10" t="n">
        <v>46189</v>
      </c>
      <c r="KZ198" s="9" t="n">
        <v>0</v>
      </c>
      <c r="LB198" s="9" t="n">
        <v>0</v>
      </c>
      <c r="LC198" s="9" t="n">
        <v>3690</v>
      </c>
      <c r="LG198" s="10" t="n">
        <v>46189</v>
      </c>
      <c r="LI198" s="9" t="n">
        <v>0</v>
      </c>
      <c r="LK198" s="9" t="n">
        <v>0</v>
      </c>
      <c r="LL198" s="9" t="n">
        <v>4000</v>
      </c>
      <c r="LP198" s="10" t="n">
        <v>46189</v>
      </c>
      <c r="LR198" s="9" t="n">
        <v>0</v>
      </c>
      <c r="LT198" s="9" t="n">
        <v>0</v>
      </c>
      <c r="LU198" s="9" t="n">
        <v>0</v>
      </c>
      <c r="LY198" s="10" t="n">
        <v>46189</v>
      </c>
      <c r="MA198" s="9" t="n">
        <v>0</v>
      </c>
      <c r="MC198" s="9" t="n">
        <v>0</v>
      </c>
      <c r="MD198" s="9" t="n">
        <v>0</v>
      </c>
      <c r="MH198" s="10" t="n">
        <v>46189</v>
      </c>
      <c r="MJ198" s="9" t="n">
        <v>0</v>
      </c>
      <c r="ML198" s="9" t="n">
        <v>0</v>
      </c>
      <c r="MM198" s="9" t="n">
        <v>0</v>
      </c>
      <c r="MQ198" s="10" t="n">
        <v>46189</v>
      </c>
      <c r="MS198" s="9" t="n">
        <v>0</v>
      </c>
      <c r="MU198" s="9" t="n">
        <v>0</v>
      </c>
      <c r="MV198" s="9" t="n">
        <v>3724</v>
      </c>
      <c r="MZ198" s="10" t="n">
        <v>46189</v>
      </c>
      <c r="NB198" s="9" t="n">
        <v>0</v>
      </c>
      <c r="ND198" s="9" t="n">
        <v>0</v>
      </c>
      <c r="NE198" s="9" t="n">
        <v>0</v>
      </c>
      <c r="NI198" s="10" t="n">
        <v>46189</v>
      </c>
      <c r="NK198" s="9" t="n">
        <v>0</v>
      </c>
      <c r="NM198" s="9" t="n">
        <v>0</v>
      </c>
      <c r="NN198" s="9" t="n">
        <v>1127</v>
      </c>
      <c r="NR198" s="10" t="n">
        <v>46189</v>
      </c>
      <c r="NT198" s="9" t="n">
        <v>0</v>
      </c>
      <c r="NV198" s="9" t="n">
        <v>0</v>
      </c>
      <c r="NW198" s="9" t="n">
        <v>3112</v>
      </c>
      <c r="OA198" s="10" t="n">
        <v>46189</v>
      </c>
      <c r="OC198" s="9" t="n">
        <v>0</v>
      </c>
      <c r="OE198" s="9" t="n">
        <v>0</v>
      </c>
      <c r="OF198" s="9" t="n">
        <v>1680.5</v>
      </c>
      <c r="OJ198" s="10" t="n">
        <v>46189</v>
      </c>
      <c r="OL198" s="9" t="n">
        <v>0</v>
      </c>
      <c r="ON198" s="9" t="n">
        <v>0</v>
      </c>
      <c r="OO198" s="9" t="n">
        <v>0</v>
      </c>
      <c r="OS198" s="10" t="n">
        <v>46189</v>
      </c>
      <c r="OU198" s="9" t="n">
        <v>0</v>
      </c>
      <c r="OW198" s="9" t="n">
        <v>0</v>
      </c>
      <c r="OX198" s="9" t="n">
        <v>1482</v>
      </c>
      <c r="PB198" s="10" t="n">
        <v>46189</v>
      </c>
      <c r="PD198" s="9" t="n">
        <v>0</v>
      </c>
      <c r="PF198" s="9" t="n">
        <v>0</v>
      </c>
      <c r="PG198" s="9" t="n">
        <v>0</v>
      </c>
      <c r="PK198" s="10" t="n">
        <v>46189</v>
      </c>
      <c r="PM198" s="9" t="n">
        <v>0</v>
      </c>
      <c r="PO198" s="9" t="n">
        <v>0</v>
      </c>
      <c r="PP198" s="9" t="n">
        <v>100</v>
      </c>
      <c r="PT198" s="10" t="n">
        <v>46189</v>
      </c>
      <c r="PV198" s="9" t="n">
        <v>0</v>
      </c>
      <c r="PX198" s="9" t="n">
        <v>0</v>
      </c>
      <c r="PY198" s="9" t="n">
        <v>13.96000000000004</v>
      </c>
      <c r="QC198" s="10" t="n">
        <v>46189</v>
      </c>
      <c r="QE198" s="9" t="n">
        <v>0</v>
      </c>
      <c r="QG198" s="9" t="n">
        <v>0</v>
      </c>
      <c r="QH198" s="9" t="n">
        <v>1736</v>
      </c>
      <c r="QL198" s="10" t="n">
        <v>46189</v>
      </c>
      <c r="QN198" s="9" t="n">
        <v>0</v>
      </c>
      <c r="QP198" s="9" t="n">
        <v>0</v>
      </c>
      <c r="QQ198" s="9" t="n">
        <v>250</v>
      </c>
      <c r="QU198" s="10" t="n">
        <v>46189</v>
      </c>
      <c r="QW198" s="9" t="n">
        <v>0</v>
      </c>
      <c r="QY198" s="9" t="n">
        <v>0</v>
      </c>
      <c r="QZ198" s="9" t="n">
        <v>207.6</v>
      </c>
      <c r="RD198" s="10" t="n">
        <v>46189</v>
      </c>
      <c r="RF198" s="9" t="n">
        <v>0</v>
      </c>
      <c r="RH198" s="9" t="n">
        <v>0</v>
      </c>
      <c r="RI198" s="9" t="n">
        <v>147.04</v>
      </c>
      <c r="RM198" s="10" t="n">
        <v>46189</v>
      </c>
      <c r="RO198" s="9" t="n">
        <v>0</v>
      </c>
      <c r="RQ198" s="9" t="n">
        <v>0</v>
      </c>
      <c r="RR198" s="9" t="n">
        <v>46.8</v>
      </c>
      <c r="RV198" s="10" t="n">
        <v>46189</v>
      </c>
      <c r="RX198" s="9" t="n">
        <v>0</v>
      </c>
      <c r="RZ198" s="9" t="n">
        <v>0</v>
      </c>
      <c r="SA198" s="9" t="n">
        <v>0</v>
      </c>
      <c r="SE198" s="10" t="n">
        <v>46189</v>
      </c>
      <c r="SG198" s="9" t="n">
        <v>0</v>
      </c>
      <c r="SI198" s="9" t="n">
        <v>0</v>
      </c>
      <c r="SJ198" s="9" t="n">
        <v>24.2</v>
      </c>
      <c r="SN198" s="10" t="n">
        <v>46189</v>
      </c>
      <c r="SP198" s="9" t="n">
        <v>0</v>
      </c>
      <c r="SR198" s="9" t="n">
        <v>0</v>
      </c>
      <c r="SS198" s="9" t="n">
        <v>32</v>
      </c>
      <c r="SW198" s="10" t="n">
        <v>46189</v>
      </c>
      <c r="SY198" s="9" t="n">
        <v>0</v>
      </c>
      <c r="TA198" s="9" t="n">
        <v>0</v>
      </c>
      <c r="TB198" s="9" t="n">
        <v>0</v>
      </c>
      <c r="TF198" s="10" t="n">
        <v>46189</v>
      </c>
      <c r="TH198" s="9" t="n">
        <v>0</v>
      </c>
      <c r="TJ198" s="9" t="n">
        <v>0</v>
      </c>
      <c r="TK198" s="9" t="n">
        <v>0</v>
      </c>
      <c r="TO198" s="10" t="n">
        <v>46189</v>
      </c>
      <c r="TQ198" s="9" t="n">
        <v>0</v>
      </c>
      <c r="TS198" s="9" t="n">
        <v>0</v>
      </c>
      <c r="TT198" s="9" t="n">
        <v>22.40000000000001</v>
      </c>
      <c r="TX198" s="10" t="n">
        <v>46189</v>
      </c>
      <c r="TZ198" s="9" t="n">
        <v>0</v>
      </c>
      <c r="UB198" s="9" t="n">
        <v>0</v>
      </c>
      <c r="UC198" s="9" t="n">
        <v>46.79999999999998</v>
      </c>
      <c r="UG198" s="10" t="n">
        <v>46189</v>
      </c>
      <c r="UI198" s="9" t="n">
        <v>0</v>
      </c>
      <c r="UK198" s="9" t="n">
        <v>0</v>
      </c>
      <c r="UL198" s="9" t="n">
        <v>204</v>
      </c>
      <c r="UP198" s="10" t="n">
        <v>46189</v>
      </c>
      <c r="UR198" s="9" t="n">
        <v>0</v>
      </c>
      <c r="UT198" s="9" t="n">
        <v>0</v>
      </c>
      <c r="UU198" s="9" t="n">
        <v>251.25</v>
      </c>
      <c r="UY198" s="10" t="n">
        <v>46189</v>
      </c>
      <c r="VA198" s="9" t="n">
        <v>0</v>
      </c>
      <c r="VC198" s="9" t="n">
        <v>0</v>
      </c>
      <c r="VD198" s="9" t="n">
        <v>41.60000000000002</v>
      </c>
      <c r="VH198" s="10" t="n">
        <v>46189</v>
      </c>
      <c r="VJ198" s="9" t="n">
        <v>0</v>
      </c>
      <c r="VL198" s="9" t="n">
        <v>0</v>
      </c>
      <c r="VM198" s="9" t="n">
        <v>210</v>
      </c>
      <c r="VQ198" s="10" t="n">
        <v>46189</v>
      </c>
      <c r="VS198" s="9" t="n">
        <v>0</v>
      </c>
      <c r="VU198" s="9" t="n">
        <v>0</v>
      </c>
      <c r="VV198" s="9" t="n">
        <v>0</v>
      </c>
      <c r="VZ198" s="10" t="n">
        <v>46189</v>
      </c>
      <c r="WB198" s="9" t="n">
        <v>0</v>
      </c>
      <c r="WD198" s="9" t="n">
        <v>0</v>
      </c>
      <c r="WE198" s="9" t="n">
        <v>0</v>
      </c>
      <c r="WI198" s="10" t="n">
        <v>46189</v>
      </c>
      <c r="WK198" s="9" t="n">
        <v>0</v>
      </c>
      <c r="WM198" s="9" t="n">
        <v>0</v>
      </c>
      <c r="WN198" s="9" t="n">
        <v>1199</v>
      </c>
      <c r="WR198" s="10" t="n">
        <v>46189</v>
      </c>
      <c r="WT198" s="9" t="n">
        <v>0</v>
      </c>
      <c r="WV198" s="9" t="n">
        <v>0</v>
      </c>
      <c r="WW198" s="9" t="n">
        <v>0</v>
      </c>
      <c r="XA198" s="10" t="n">
        <v>46189</v>
      </c>
      <c r="XC198" s="9" t="n">
        <v>0</v>
      </c>
      <c r="XE198" s="9" t="n">
        <v>0</v>
      </c>
      <c r="XF198" s="9" t="n">
        <v>6813</v>
      </c>
      <c r="XJ198" s="10" t="n">
        <v>46189</v>
      </c>
      <c r="XL198" s="9" t="n">
        <v>0</v>
      </c>
      <c r="XM198" s="9" t="n">
        <v>419</v>
      </c>
      <c r="XN198" s="9" t="n">
        <v>-419</v>
      </c>
      <c r="XO198" s="9" t="n">
        <v>5298</v>
      </c>
      <c r="XS198" s="10" t="n">
        <v>46189</v>
      </c>
      <c r="XU198" s="9" t="n">
        <v>0</v>
      </c>
      <c r="XW198" s="9" t="n">
        <v>0</v>
      </c>
      <c r="XX198" s="9" t="n">
        <v>1621</v>
      </c>
      <c r="YB198" s="10" t="n">
        <v>46189</v>
      </c>
      <c r="YD198" s="9" t="n">
        <v>0</v>
      </c>
      <c r="YF198" s="9" t="n">
        <v>0</v>
      </c>
      <c r="YG198" s="9" t="n">
        <v>4072</v>
      </c>
      <c r="YK198" s="10" t="n">
        <v>46189</v>
      </c>
      <c r="YM198" s="9" t="n">
        <v>0</v>
      </c>
      <c r="YO198" s="9" t="n">
        <v>0</v>
      </c>
      <c r="YP198" s="9" t="n">
        <v>0</v>
      </c>
      <c r="YT198" s="10" t="n">
        <v>46189</v>
      </c>
      <c r="YV198" s="9" t="n">
        <v>0</v>
      </c>
      <c r="YX198" s="9" t="n">
        <v>0</v>
      </c>
      <c r="YY198" s="9" t="n">
        <v>0</v>
      </c>
      <c r="ZC198" s="10" t="n">
        <v>46189</v>
      </c>
      <c r="ZE198" s="9" t="n">
        <v>0</v>
      </c>
      <c r="ZG198" s="9" t="n">
        <v>0</v>
      </c>
      <c r="ZH198" s="9" t="n">
        <v>0</v>
      </c>
      <c r="ZL198" s="10" t="n">
        <v>46189</v>
      </c>
      <c r="ZN198" s="9" t="n">
        <v>0</v>
      </c>
      <c r="ZP198" s="9" t="n">
        <v>0</v>
      </c>
      <c r="ZQ198" s="9" t="n">
        <v>0</v>
      </c>
      <c r="ZU198" s="10" t="n">
        <v>46189</v>
      </c>
      <c r="ZW198" s="9" t="n">
        <v>0</v>
      </c>
      <c r="ZY198" s="9" t="n">
        <v>0</v>
      </c>
      <c r="ZZ198" s="9" t="n">
        <v>0</v>
      </c>
      <c r="AAD198" s="10" t="n">
        <v>46189</v>
      </c>
      <c r="AAF198" s="9" t="n">
        <v>0</v>
      </c>
      <c r="AAH198" s="9" t="n">
        <v>0</v>
      </c>
      <c r="AAI198" s="9" t="n">
        <v>0</v>
      </c>
      <c r="AAM198" s="10" t="n">
        <v>46189</v>
      </c>
      <c r="AAO198" s="9" t="n">
        <v>0</v>
      </c>
      <c r="AAQ198" s="9" t="n">
        <v>0</v>
      </c>
      <c r="AAR198" s="9" t="n">
        <v>0</v>
      </c>
      <c r="AAV198" s="10" t="n">
        <v>46189</v>
      </c>
      <c r="AAX198" s="9" t="n">
        <v>0</v>
      </c>
      <c r="AAZ198" s="9" t="n">
        <v>0</v>
      </c>
      <c r="ABA198" s="9" t="n">
        <v>0</v>
      </c>
      <c r="ABE198" s="10" t="n">
        <v>46189</v>
      </c>
      <c r="ABG198" s="9" t="n">
        <v>0</v>
      </c>
      <c r="ABI198" s="9" t="n">
        <v>0</v>
      </c>
      <c r="ABJ198" s="9" t="n">
        <v>0</v>
      </c>
    </row>
    <row r="199">
      <c r="B199" s="9" t="n">
        <v>10</v>
      </c>
      <c r="C199" s="10" t="n">
        <v>46190</v>
      </c>
      <c r="E199" s="9" t="n">
        <v>5451.45</v>
      </c>
      <c r="F199" s="9" t="n">
        <v>5454</v>
      </c>
      <c r="G199" s="9" t="n">
        <v>-2.550000000000182</v>
      </c>
      <c r="H199" s="9" t="n">
        <v>99682.00000000006</v>
      </c>
      <c r="I199" s="9" t="inlineStr">
        <is>
          <t>5202 10mt</t>
        </is>
      </c>
      <c r="L199" s="10" t="n">
        <v>46190</v>
      </c>
      <c r="N199" s="9" t="n">
        <v>2974.85</v>
      </c>
      <c r="O199" s="9" t="n">
        <v>2976.4</v>
      </c>
      <c r="P199" s="9" t="n">
        <v>-1.549999999999727</v>
      </c>
      <c r="Q199" s="9" t="n">
        <v>66456.00000000009</v>
      </c>
      <c r="U199" s="10" t="n">
        <v>46190</v>
      </c>
      <c r="W199" s="9" t="n">
        <v>600</v>
      </c>
      <c r="X199" s="9" t="n">
        <v>600.9</v>
      </c>
      <c r="Y199" s="9" t="n">
        <v>-0.8999999999999773</v>
      </c>
      <c r="Z199" s="9" t="n">
        <v>39888.29999999998</v>
      </c>
      <c r="AD199" s="10" t="n">
        <v>46190</v>
      </c>
      <c r="AF199" s="9" t="n">
        <v>0</v>
      </c>
      <c r="AH199" s="9" t="n">
        <v>0</v>
      </c>
      <c r="AI199" s="9" t="n">
        <v>33372.70000000002</v>
      </c>
      <c r="AM199" s="10" t="n">
        <v>46190</v>
      </c>
      <c r="AO199" s="9" t="n">
        <v>0</v>
      </c>
      <c r="AQ199" s="9" t="n">
        <v>0</v>
      </c>
      <c r="AR199" s="9" t="n">
        <v>0</v>
      </c>
      <c r="AV199" s="10" t="n">
        <v>46190</v>
      </c>
      <c r="AX199" s="9" t="n">
        <v>0</v>
      </c>
      <c r="AZ199" s="9" t="n">
        <v>0</v>
      </c>
      <c r="BA199" s="9" t="n">
        <v>14066.5</v>
      </c>
      <c r="BE199" s="10" t="n">
        <v>46190</v>
      </c>
      <c r="BG199" s="9" t="n">
        <v>0</v>
      </c>
      <c r="BI199" s="9" t="n">
        <v>0</v>
      </c>
      <c r="BJ199" s="9" t="n">
        <v>39235.39999999999</v>
      </c>
      <c r="BN199" s="10" t="n">
        <v>46190</v>
      </c>
      <c r="BO199" s="9" t="n">
        <v>49.9</v>
      </c>
      <c r="BP199" s="9" t="n">
        <v>50</v>
      </c>
      <c r="BQ199" s="9" t="n">
        <v>49.9</v>
      </c>
      <c r="BR199" s="9" t="n">
        <v>0.1000000000000014</v>
      </c>
      <c r="BS199" s="9" t="n">
        <v>0</v>
      </c>
      <c r="BW199" s="10" t="n">
        <v>46190</v>
      </c>
      <c r="BY199" s="9" t="n">
        <v>73.55000000000001</v>
      </c>
      <c r="BZ199" s="9" t="n">
        <v>29.42</v>
      </c>
      <c r="CA199" s="9" t="n">
        <v>44.13000000000001</v>
      </c>
      <c r="CB199" s="9" t="n">
        <v>3188.329999999999</v>
      </c>
      <c r="CF199" s="10" t="n">
        <v>46190</v>
      </c>
      <c r="CG199" s="9" t="n">
        <v>39.62</v>
      </c>
      <c r="CH199" s="9" t="n">
        <v>0</v>
      </c>
      <c r="CI199" s="9" t="n">
        <v>39.62</v>
      </c>
      <c r="CJ199" s="9" t="n">
        <v>-39.62</v>
      </c>
      <c r="CK199" s="9" t="n">
        <v>0</v>
      </c>
      <c r="CO199" s="10" t="n">
        <v>46190</v>
      </c>
      <c r="CQ199" s="9" t="n">
        <v>0</v>
      </c>
      <c r="CS199" s="9" t="n">
        <v>0</v>
      </c>
      <c r="CT199" s="9" t="n">
        <v>0</v>
      </c>
      <c r="CX199" s="10" t="n">
        <v>46190</v>
      </c>
      <c r="CZ199" s="9" t="n">
        <v>200</v>
      </c>
      <c r="DA199" s="9" t="n">
        <v>199.6</v>
      </c>
      <c r="DB199" s="9" t="n">
        <v>0.4000000000000057</v>
      </c>
      <c r="DC199" s="9" t="n">
        <v>15142.20000000001</v>
      </c>
      <c r="DG199" s="10" t="n">
        <v>46190</v>
      </c>
      <c r="DI199" s="9" t="n">
        <v>0</v>
      </c>
      <c r="DK199" s="9" t="n">
        <v>0</v>
      </c>
      <c r="DL199" s="9" t="n">
        <v>35234.99999999999</v>
      </c>
      <c r="DP199" s="10" t="n">
        <v>46190</v>
      </c>
      <c r="DR199" s="9" t="n">
        <v>0</v>
      </c>
      <c r="DT199" s="9" t="n">
        <v>0</v>
      </c>
      <c r="DU199" s="9" t="n">
        <v>5800</v>
      </c>
      <c r="DY199" s="10" t="n">
        <v>46190</v>
      </c>
      <c r="EA199" s="9" t="n">
        <v>0</v>
      </c>
      <c r="EC199" s="9" t="n">
        <v>0</v>
      </c>
      <c r="ED199" s="9" t="n">
        <v>0</v>
      </c>
      <c r="EH199" s="10" t="n">
        <v>46190</v>
      </c>
      <c r="EJ199" s="9" t="n">
        <v>0</v>
      </c>
      <c r="EL199" s="9" t="n">
        <v>0</v>
      </c>
      <c r="EM199" s="9" t="n">
        <v>0</v>
      </c>
      <c r="EQ199" s="10" t="n">
        <v>46190</v>
      </c>
      <c r="ES199" s="9" t="n">
        <v>0</v>
      </c>
      <c r="EU199" s="9" t="n">
        <v>0</v>
      </c>
      <c r="EV199" s="9" t="n">
        <v>0</v>
      </c>
      <c r="EZ199" s="10" t="n">
        <v>46190</v>
      </c>
      <c r="FB199" s="9" t="n">
        <v>0</v>
      </c>
      <c r="FD199" s="9" t="n">
        <v>0</v>
      </c>
      <c r="FE199" s="9" t="n">
        <v>0</v>
      </c>
      <c r="FI199" s="10" t="n">
        <v>46190</v>
      </c>
      <c r="FK199" s="9" t="n">
        <v>0</v>
      </c>
      <c r="FM199" s="9" t="n">
        <v>0</v>
      </c>
      <c r="FN199" s="9" t="n">
        <v>0</v>
      </c>
      <c r="FR199" s="10" t="n">
        <v>46190</v>
      </c>
      <c r="FT199" s="9" t="n">
        <v>0</v>
      </c>
      <c r="FV199" s="9" t="n">
        <v>0</v>
      </c>
      <c r="FW199" s="9" t="n">
        <v>1160</v>
      </c>
      <c r="GA199" s="10" t="n">
        <v>46190</v>
      </c>
      <c r="GC199" s="9" t="n">
        <v>0</v>
      </c>
      <c r="GE199" s="9" t="n">
        <v>0</v>
      </c>
      <c r="GF199" s="9" t="n">
        <v>960</v>
      </c>
      <c r="GJ199" s="10" t="n">
        <v>46190</v>
      </c>
      <c r="GL199" s="9" t="n">
        <v>0</v>
      </c>
      <c r="GN199" s="9" t="n">
        <v>0</v>
      </c>
      <c r="GO199" s="9" t="n">
        <v>1760</v>
      </c>
      <c r="GS199" s="10" t="n">
        <v>46190</v>
      </c>
      <c r="GU199" s="9" t="n">
        <v>0</v>
      </c>
      <c r="GW199" s="9" t="n">
        <v>0</v>
      </c>
      <c r="GX199" s="9" t="n">
        <v>400</v>
      </c>
      <c r="HB199" s="10" t="n">
        <v>46190</v>
      </c>
      <c r="HD199" s="9" t="n">
        <v>0</v>
      </c>
      <c r="HF199" s="9" t="n">
        <v>0</v>
      </c>
      <c r="HG199" s="9" t="n">
        <v>3600</v>
      </c>
      <c r="HK199" s="10" t="n">
        <v>46190</v>
      </c>
      <c r="HM199" s="9" t="n">
        <v>0</v>
      </c>
      <c r="HO199" s="9" t="n">
        <v>0</v>
      </c>
      <c r="HP199" s="9" t="n">
        <v>0</v>
      </c>
      <c r="HU199" s="10" t="n">
        <v>46190</v>
      </c>
      <c r="HW199" s="9" t="n">
        <v>0</v>
      </c>
      <c r="HY199" s="9" t="n">
        <v>0</v>
      </c>
      <c r="HZ199" s="9" t="n">
        <v>6800</v>
      </c>
      <c r="ID199" s="10" t="n">
        <v>46190</v>
      </c>
      <c r="IF199" s="9" t="n">
        <v>0</v>
      </c>
      <c r="IH199" s="9" t="n">
        <v>0</v>
      </c>
      <c r="II199" s="9" t="n">
        <v>720</v>
      </c>
      <c r="IM199" s="10" t="n">
        <v>46190</v>
      </c>
      <c r="IO199" s="9" t="n">
        <v>0</v>
      </c>
      <c r="IQ199" s="9" t="n">
        <v>0</v>
      </c>
      <c r="IR199" s="9" t="n">
        <v>6520</v>
      </c>
      <c r="IV199" s="10" t="n">
        <v>46190</v>
      </c>
      <c r="IX199" s="9" t="n">
        <v>0</v>
      </c>
      <c r="IZ199" s="9" t="n">
        <v>0</v>
      </c>
      <c r="JA199" s="9" t="n">
        <v>4960</v>
      </c>
      <c r="JE199" s="10" t="n">
        <v>46190</v>
      </c>
      <c r="JG199" s="9" t="n">
        <v>0</v>
      </c>
      <c r="JI199" s="9" t="n">
        <v>0</v>
      </c>
      <c r="JJ199" s="9" t="n">
        <v>0</v>
      </c>
      <c r="JN199" s="10" t="n">
        <v>46190</v>
      </c>
      <c r="JP199" s="9" t="n">
        <v>0</v>
      </c>
      <c r="JR199" s="9" t="n">
        <v>0</v>
      </c>
      <c r="JS199" s="9" t="n">
        <v>0</v>
      </c>
      <c r="JW199" s="10" t="n">
        <v>46190</v>
      </c>
      <c r="JY199" s="9" t="n">
        <v>0</v>
      </c>
      <c r="KA199" s="9" t="n">
        <v>0</v>
      </c>
      <c r="KB199" s="9" t="n">
        <v>2540</v>
      </c>
      <c r="KF199" s="10" t="n">
        <v>46190</v>
      </c>
      <c r="KH199" s="9" t="n">
        <v>0</v>
      </c>
      <c r="KJ199" s="9" t="n">
        <v>0</v>
      </c>
      <c r="KK199" s="9" t="n">
        <v>2359.5</v>
      </c>
      <c r="KO199" s="10" t="n">
        <v>46190</v>
      </c>
      <c r="KQ199" s="9" t="n">
        <v>0</v>
      </c>
      <c r="KS199" s="9" t="n">
        <v>0</v>
      </c>
      <c r="KT199" s="9" t="n">
        <v>1890</v>
      </c>
      <c r="KX199" s="10" t="n">
        <v>46190</v>
      </c>
      <c r="KZ199" s="9" t="n">
        <v>0</v>
      </c>
      <c r="LB199" s="9" t="n">
        <v>0</v>
      </c>
      <c r="LC199" s="9" t="n">
        <v>3690</v>
      </c>
      <c r="LG199" s="10" t="n">
        <v>46190</v>
      </c>
      <c r="LI199" s="9" t="n">
        <v>0</v>
      </c>
      <c r="LK199" s="9" t="n">
        <v>0</v>
      </c>
      <c r="LL199" s="9" t="n">
        <v>4000</v>
      </c>
      <c r="LP199" s="10" t="n">
        <v>46190</v>
      </c>
      <c r="LR199" s="9" t="n">
        <v>0</v>
      </c>
      <c r="LT199" s="9" t="n">
        <v>0</v>
      </c>
      <c r="LU199" s="9" t="n">
        <v>0</v>
      </c>
      <c r="LY199" s="10" t="n">
        <v>46190</v>
      </c>
      <c r="MA199" s="9" t="n">
        <v>0</v>
      </c>
      <c r="MC199" s="9" t="n">
        <v>0</v>
      </c>
      <c r="MD199" s="9" t="n">
        <v>0</v>
      </c>
      <c r="MH199" s="10" t="n">
        <v>46190</v>
      </c>
      <c r="MJ199" s="9" t="n">
        <v>0</v>
      </c>
      <c r="ML199" s="9" t="n">
        <v>0</v>
      </c>
      <c r="MM199" s="9" t="n">
        <v>0</v>
      </c>
      <c r="MQ199" s="10" t="n">
        <v>46190</v>
      </c>
      <c r="MS199" s="9" t="n">
        <v>0</v>
      </c>
      <c r="MU199" s="9" t="n">
        <v>0</v>
      </c>
      <c r="MV199" s="9" t="n">
        <v>3724</v>
      </c>
      <c r="MZ199" s="10" t="n">
        <v>46190</v>
      </c>
      <c r="NA199" s="9" t="n">
        <v>48</v>
      </c>
      <c r="NB199" s="9" t="n">
        <v>0</v>
      </c>
      <c r="NC199" s="9" t="n">
        <v>48</v>
      </c>
      <c r="ND199" s="9" t="n">
        <v>-48</v>
      </c>
      <c r="NE199" s="9" t="n">
        <v>0</v>
      </c>
      <c r="NI199" s="10" t="n">
        <v>46190</v>
      </c>
      <c r="NK199" s="9" t="n">
        <v>0</v>
      </c>
      <c r="NM199" s="9" t="n">
        <v>0</v>
      </c>
      <c r="NN199" s="9" t="n">
        <v>1127</v>
      </c>
      <c r="NR199" s="10" t="n">
        <v>46190</v>
      </c>
      <c r="NT199" s="9" t="n">
        <v>0</v>
      </c>
      <c r="NV199" s="9" t="n">
        <v>0</v>
      </c>
      <c r="NW199" s="9" t="n">
        <v>3112</v>
      </c>
      <c r="OA199" s="10" t="n">
        <v>46190</v>
      </c>
      <c r="OC199" s="9" t="n">
        <v>0</v>
      </c>
      <c r="OE199" s="9" t="n">
        <v>0</v>
      </c>
      <c r="OF199" s="9" t="n">
        <v>1680.5</v>
      </c>
      <c r="OJ199" s="10" t="n">
        <v>46190</v>
      </c>
      <c r="OK199" s="9" t="n">
        <v>10.4</v>
      </c>
      <c r="OL199" s="9" t="n">
        <v>0</v>
      </c>
      <c r="OM199" s="9" t="n">
        <v>10.4</v>
      </c>
      <c r="ON199" s="9" t="n">
        <v>-10.4</v>
      </c>
      <c r="OO199" s="9" t="n">
        <v>0</v>
      </c>
      <c r="OS199" s="10" t="n">
        <v>46190</v>
      </c>
      <c r="OU199" s="9" t="n">
        <v>0</v>
      </c>
      <c r="OW199" s="9" t="n">
        <v>0</v>
      </c>
      <c r="OX199" s="9" t="n">
        <v>1482</v>
      </c>
      <c r="PB199" s="10" t="n">
        <v>46190</v>
      </c>
      <c r="PD199" s="9" t="n">
        <v>0</v>
      </c>
      <c r="PF199" s="9" t="n">
        <v>0</v>
      </c>
      <c r="PG199" s="9" t="n">
        <v>0</v>
      </c>
      <c r="PK199" s="10" t="n">
        <v>46190</v>
      </c>
      <c r="PM199" s="9" t="n">
        <v>0</v>
      </c>
      <c r="PO199" s="9" t="n">
        <v>0</v>
      </c>
      <c r="PP199" s="9" t="n">
        <v>100</v>
      </c>
      <c r="PT199" s="10" t="n">
        <v>46190</v>
      </c>
      <c r="PV199" s="9" t="n">
        <v>0</v>
      </c>
      <c r="PX199" s="9" t="n">
        <v>0</v>
      </c>
      <c r="PY199" s="9" t="n">
        <v>13.96000000000004</v>
      </c>
      <c r="QC199" s="10" t="n">
        <v>46190</v>
      </c>
      <c r="QE199" s="9" t="n">
        <v>0</v>
      </c>
      <c r="QG199" s="9" t="n">
        <v>0</v>
      </c>
      <c r="QH199" s="9" t="n">
        <v>1736</v>
      </c>
      <c r="QL199" s="10" t="n">
        <v>46190</v>
      </c>
      <c r="QN199" s="9" t="n">
        <v>0</v>
      </c>
      <c r="QP199" s="9" t="n">
        <v>0</v>
      </c>
      <c r="QQ199" s="9" t="n">
        <v>250</v>
      </c>
      <c r="QU199" s="10" t="n">
        <v>46190</v>
      </c>
      <c r="QW199" s="9" t="n">
        <v>0</v>
      </c>
      <c r="QY199" s="9" t="n">
        <v>0</v>
      </c>
      <c r="QZ199" s="9" t="n">
        <v>207.6</v>
      </c>
      <c r="RD199" s="10" t="n">
        <v>46190</v>
      </c>
      <c r="RF199" s="9" t="n">
        <v>0</v>
      </c>
      <c r="RH199" s="9" t="n">
        <v>0</v>
      </c>
      <c r="RI199" s="9" t="n">
        <v>147.04</v>
      </c>
      <c r="RM199" s="10" t="n">
        <v>46190</v>
      </c>
      <c r="RO199" s="9" t="n">
        <v>0</v>
      </c>
      <c r="RQ199" s="9" t="n">
        <v>0</v>
      </c>
      <c r="RR199" s="9" t="n">
        <v>46.8</v>
      </c>
      <c r="RV199" s="10" t="n">
        <v>46190</v>
      </c>
      <c r="RX199" s="9" t="n">
        <v>0</v>
      </c>
      <c r="RZ199" s="9" t="n">
        <v>0</v>
      </c>
      <c r="SA199" s="9" t="n">
        <v>0</v>
      </c>
      <c r="SE199" s="10" t="n">
        <v>46190</v>
      </c>
      <c r="SG199" s="9" t="n">
        <v>0</v>
      </c>
      <c r="SI199" s="9" t="n">
        <v>0</v>
      </c>
      <c r="SJ199" s="9" t="n">
        <v>24.2</v>
      </c>
      <c r="SN199" s="10" t="n">
        <v>46190</v>
      </c>
      <c r="SP199" s="9" t="n">
        <v>0</v>
      </c>
      <c r="SR199" s="9" t="n">
        <v>0</v>
      </c>
      <c r="SS199" s="9" t="n">
        <v>32</v>
      </c>
      <c r="SW199" s="10" t="n">
        <v>46190</v>
      </c>
      <c r="SY199" s="9" t="n">
        <v>0</v>
      </c>
      <c r="TA199" s="9" t="n">
        <v>0</v>
      </c>
      <c r="TB199" s="9" t="n">
        <v>0</v>
      </c>
      <c r="TF199" s="10" t="n">
        <v>46190</v>
      </c>
      <c r="TH199" s="9" t="n">
        <v>0</v>
      </c>
      <c r="TJ199" s="9" t="n">
        <v>0</v>
      </c>
      <c r="TK199" s="9" t="n">
        <v>0</v>
      </c>
      <c r="TO199" s="10" t="n">
        <v>46190</v>
      </c>
      <c r="TQ199" s="9" t="n">
        <v>0</v>
      </c>
      <c r="TS199" s="9" t="n">
        <v>0</v>
      </c>
      <c r="TT199" s="9" t="n">
        <v>22.40000000000001</v>
      </c>
      <c r="TX199" s="10" t="n">
        <v>46190</v>
      </c>
      <c r="TZ199" s="9" t="n">
        <v>0</v>
      </c>
      <c r="UB199" s="9" t="n">
        <v>0</v>
      </c>
      <c r="UC199" s="9" t="n">
        <v>46.79999999999998</v>
      </c>
      <c r="UG199" s="10" t="n">
        <v>46190</v>
      </c>
      <c r="UI199" s="9" t="n">
        <v>0</v>
      </c>
      <c r="UK199" s="9" t="n">
        <v>0</v>
      </c>
      <c r="UL199" s="9" t="n">
        <v>204</v>
      </c>
      <c r="UP199" s="10" t="n">
        <v>46190</v>
      </c>
      <c r="UR199" s="9" t="n">
        <v>0</v>
      </c>
      <c r="UT199" s="9" t="n">
        <v>0</v>
      </c>
      <c r="UU199" s="9" t="n">
        <v>251.25</v>
      </c>
      <c r="UY199" s="10" t="n">
        <v>46190</v>
      </c>
      <c r="VA199" s="9" t="n">
        <v>0</v>
      </c>
      <c r="VC199" s="9" t="n">
        <v>0</v>
      </c>
      <c r="VD199" s="9" t="n">
        <v>41.60000000000002</v>
      </c>
      <c r="VH199" s="10" t="n">
        <v>46190</v>
      </c>
      <c r="VJ199" s="9" t="n">
        <v>0</v>
      </c>
      <c r="VL199" s="9" t="n">
        <v>0</v>
      </c>
      <c r="VM199" s="9" t="n">
        <v>210</v>
      </c>
      <c r="VQ199" s="10" t="n">
        <v>46190</v>
      </c>
      <c r="VS199" s="9" t="n">
        <v>0</v>
      </c>
      <c r="VU199" s="9" t="n">
        <v>0</v>
      </c>
      <c r="VV199" s="9" t="n">
        <v>0</v>
      </c>
      <c r="VZ199" s="10" t="n">
        <v>46190</v>
      </c>
      <c r="WB199" s="9" t="n">
        <v>0</v>
      </c>
      <c r="WD199" s="9" t="n">
        <v>0</v>
      </c>
      <c r="WE199" s="9" t="n">
        <v>0</v>
      </c>
      <c r="WI199" s="10" t="n">
        <v>46190</v>
      </c>
      <c r="WK199" s="9" t="n">
        <v>0</v>
      </c>
      <c r="WM199" s="9" t="n">
        <v>0</v>
      </c>
      <c r="WN199" s="9" t="n">
        <v>1199</v>
      </c>
      <c r="WR199" s="10" t="n">
        <v>46190</v>
      </c>
      <c r="WT199" s="9" t="n">
        <v>0</v>
      </c>
      <c r="WV199" s="9" t="n">
        <v>0</v>
      </c>
      <c r="WW199" s="9" t="n">
        <v>0</v>
      </c>
      <c r="XA199" s="10" t="n">
        <v>46190</v>
      </c>
      <c r="XC199" s="9" t="n">
        <v>0</v>
      </c>
      <c r="XE199" s="9" t="n">
        <v>0</v>
      </c>
      <c r="XF199" s="9" t="n">
        <v>6813</v>
      </c>
      <c r="XJ199" s="10" t="n">
        <v>46190</v>
      </c>
      <c r="XL199" s="9" t="n">
        <v>0</v>
      </c>
      <c r="XN199" s="9" t="n">
        <v>0</v>
      </c>
      <c r="XO199" s="9" t="n">
        <v>5298</v>
      </c>
      <c r="XS199" s="10" t="n">
        <v>46190</v>
      </c>
      <c r="XU199" s="9" t="n">
        <v>0</v>
      </c>
      <c r="XW199" s="9" t="n">
        <v>0</v>
      </c>
      <c r="XX199" s="9" t="n">
        <v>1621</v>
      </c>
      <c r="YB199" s="10" t="n">
        <v>46190</v>
      </c>
      <c r="YD199" s="9" t="n">
        <v>0</v>
      </c>
      <c r="YF199" s="9" t="n">
        <v>0</v>
      </c>
      <c r="YG199" s="9" t="n">
        <v>4072</v>
      </c>
      <c r="YK199" s="10" t="n">
        <v>46190</v>
      </c>
      <c r="YM199" s="9" t="n">
        <v>0</v>
      </c>
      <c r="YO199" s="9" t="n">
        <v>0</v>
      </c>
      <c r="YP199" s="9" t="n">
        <v>0</v>
      </c>
      <c r="YT199" s="10" t="n">
        <v>46190</v>
      </c>
      <c r="YV199" s="9" t="n">
        <v>0</v>
      </c>
      <c r="YX199" s="9" t="n">
        <v>0</v>
      </c>
      <c r="YY199" s="9" t="n">
        <v>0</v>
      </c>
      <c r="ZC199" s="10" t="n">
        <v>46190</v>
      </c>
      <c r="ZE199" s="9" t="n">
        <v>0</v>
      </c>
      <c r="ZG199" s="9" t="n">
        <v>0</v>
      </c>
      <c r="ZH199" s="9" t="n">
        <v>0</v>
      </c>
      <c r="ZL199" s="10" t="n">
        <v>46190</v>
      </c>
      <c r="ZN199" s="9" t="n">
        <v>0</v>
      </c>
      <c r="ZP199" s="9" t="n">
        <v>0</v>
      </c>
      <c r="ZQ199" s="9" t="n">
        <v>0</v>
      </c>
      <c r="ZU199" s="10" t="n">
        <v>46190</v>
      </c>
      <c r="ZW199" s="9" t="n">
        <v>0</v>
      </c>
      <c r="ZY199" s="9" t="n">
        <v>0</v>
      </c>
      <c r="ZZ199" s="9" t="n">
        <v>0</v>
      </c>
      <c r="AAD199" s="10" t="n">
        <v>46190</v>
      </c>
      <c r="AAF199" s="9" t="n">
        <v>0</v>
      </c>
      <c r="AAH199" s="9" t="n">
        <v>0</v>
      </c>
      <c r="AAI199" s="9" t="n">
        <v>0</v>
      </c>
      <c r="AAM199" s="10" t="n">
        <v>46190</v>
      </c>
      <c r="AAO199" s="9" t="n">
        <v>0</v>
      </c>
      <c r="AAQ199" s="9" t="n">
        <v>0</v>
      </c>
      <c r="AAR199" s="9" t="n">
        <v>0</v>
      </c>
      <c r="AAV199" s="10" t="n">
        <v>46190</v>
      </c>
      <c r="AAX199" s="9" t="n">
        <v>0</v>
      </c>
      <c r="AAZ199" s="9" t="n">
        <v>0</v>
      </c>
      <c r="ABA199" s="9" t="n">
        <v>0</v>
      </c>
      <c r="ABE199" s="10" t="n">
        <v>46190</v>
      </c>
      <c r="ABG199" s="9" t="n">
        <v>0</v>
      </c>
      <c r="ABI199" s="9" t="n">
        <v>0</v>
      </c>
      <c r="ABJ199" s="9" t="n">
        <v>0</v>
      </c>
    </row>
    <row r="200">
      <c r="C200" s="10" t="n">
        <v>46191</v>
      </c>
      <c r="D200" s="9" t="n">
        <v>35850</v>
      </c>
      <c r="E200" s="9" t="n">
        <v>0</v>
      </c>
      <c r="F200" s="9" t="n">
        <v>37505.8</v>
      </c>
      <c r="G200" s="9" t="n">
        <v>-37505.8</v>
      </c>
      <c r="H200" s="9" t="n">
        <v>98026.20000000006</v>
      </c>
      <c r="L200" s="10" t="n">
        <v>46191</v>
      </c>
      <c r="M200" s="9" t="n">
        <v>10000</v>
      </c>
      <c r="N200" s="9" t="n">
        <v>0</v>
      </c>
      <c r="P200" s="9" t="n">
        <v>0</v>
      </c>
      <c r="Q200" s="9" t="n">
        <v>76456.00000000009</v>
      </c>
      <c r="U200" s="10" t="n">
        <v>46191</v>
      </c>
      <c r="W200" s="9" t="n">
        <v>0</v>
      </c>
      <c r="Y200" s="9" t="n">
        <v>0</v>
      </c>
      <c r="Z200" s="9" t="n">
        <v>39888.29999999998</v>
      </c>
      <c r="AD200" s="10" t="n">
        <v>46191</v>
      </c>
      <c r="AF200" s="9" t="n">
        <v>0</v>
      </c>
      <c r="AH200" s="9" t="n">
        <v>0</v>
      </c>
      <c r="AI200" s="9" t="n">
        <v>33372.70000000002</v>
      </c>
      <c r="AM200" s="10" t="n">
        <v>46191</v>
      </c>
      <c r="AO200" s="9" t="n">
        <v>0</v>
      </c>
      <c r="AQ200" s="9" t="n">
        <v>0</v>
      </c>
      <c r="AR200" s="9" t="n">
        <v>0</v>
      </c>
      <c r="AV200" s="10" t="n">
        <v>46191</v>
      </c>
      <c r="AX200" s="9" t="n">
        <v>0</v>
      </c>
      <c r="AZ200" s="9" t="n">
        <v>0</v>
      </c>
      <c r="BA200" s="9" t="n">
        <v>14066.5</v>
      </c>
      <c r="BE200" s="10" t="n">
        <v>46191</v>
      </c>
      <c r="BG200" s="9" t="n">
        <v>0</v>
      </c>
      <c r="BI200" s="9" t="n">
        <v>0</v>
      </c>
      <c r="BJ200" s="9" t="n">
        <v>39235.39999999999</v>
      </c>
      <c r="BN200" s="10" t="n">
        <v>46191</v>
      </c>
      <c r="BP200" s="9" t="n">
        <v>0</v>
      </c>
      <c r="BR200" s="9" t="n">
        <v>0</v>
      </c>
      <c r="BS200" s="9" t="n">
        <v>0</v>
      </c>
      <c r="BW200" s="10" t="n">
        <v>46191</v>
      </c>
      <c r="BY200" s="9" t="n">
        <v>0</v>
      </c>
      <c r="CA200" s="9" t="n">
        <v>0</v>
      </c>
      <c r="CB200" s="9" t="n">
        <v>3188.329999999999</v>
      </c>
      <c r="CF200" s="10" t="n">
        <v>46191</v>
      </c>
      <c r="CH200" s="9" t="n">
        <v>0</v>
      </c>
      <c r="CJ200" s="9" t="n">
        <v>0</v>
      </c>
      <c r="CK200" s="9" t="n">
        <v>0</v>
      </c>
      <c r="CO200" s="10" t="n">
        <v>46191</v>
      </c>
      <c r="CQ200" s="9" t="n">
        <v>0</v>
      </c>
      <c r="CS200" s="9" t="n">
        <v>0</v>
      </c>
      <c r="CT200" s="9" t="n">
        <v>0</v>
      </c>
      <c r="CX200" s="10" t="n">
        <v>46191</v>
      </c>
      <c r="CZ200" s="9" t="n">
        <v>0</v>
      </c>
      <c r="DB200" s="9" t="n">
        <v>0</v>
      </c>
      <c r="DC200" s="9" t="n">
        <v>15142.20000000001</v>
      </c>
      <c r="DG200" s="10" t="n">
        <v>46191</v>
      </c>
      <c r="DI200" s="9" t="n">
        <v>0</v>
      </c>
      <c r="DK200" s="9" t="n">
        <v>0</v>
      </c>
      <c r="DL200" s="9" t="n">
        <v>35234.99999999999</v>
      </c>
      <c r="DP200" s="10" t="n">
        <v>46191</v>
      </c>
      <c r="DR200" s="9" t="n">
        <v>0</v>
      </c>
      <c r="DT200" s="9" t="n">
        <v>0</v>
      </c>
      <c r="DU200" s="9" t="n">
        <v>5800</v>
      </c>
      <c r="DY200" s="10" t="n">
        <v>46191</v>
      </c>
      <c r="EA200" s="9" t="n">
        <v>0</v>
      </c>
      <c r="EC200" s="9" t="n">
        <v>0</v>
      </c>
      <c r="ED200" s="9" t="n">
        <v>0</v>
      </c>
      <c r="EH200" s="10" t="n">
        <v>46191</v>
      </c>
      <c r="EJ200" s="9" t="n">
        <v>0</v>
      </c>
      <c r="EL200" s="9" t="n">
        <v>0</v>
      </c>
      <c r="EM200" s="9" t="n">
        <v>0</v>
      </c>
      <c r="EQ200" s="10" t="n">
        <v>46191</v>
      </c>
      <c r="ES200" s="9" t="n">
        <v>0</v>
      </c>
      <c r="EU200" s="9" t="n">
        <v>0</v>
      </c>
      <c r="EV200" s="9" t="n">
        <v>0</v>
      </c>
      <c r="EZ200" s="10" t="n">
        <v>46191</v>
      </c>
      <c r="FB200" s="9" t="n">
        <v>0</v>
      </c>
      <c r="FD200" s="9" t="n">
        <v>0</v>
      </c>
      <c r="FE200" s="9" t="n">
        <v>0</v>
      </c>
      <c r="FI200" s="10" t="n">
        <v>46191</v>
      </c>
      <c r="FK200" s="9" t="n">
        <v>0</v>
      </c>
      <c r="FM200" s="9" t="n">
        <v>0</v>
      </c>
      <c r="FN200" s="9" t="n">
        <v>0</v>
      </c>
      <c r="FR200" s="10" t="n">
        <v>46191</v>
      </c>
      <c r="FT200" s="9" t="n">
        <v>0</v>
      </c>
      <c r="FV200" s="9" t="n">
        <v>0</v>
      </c>
      <c r="FW200" s="9" t="n">
        <v>1160</v>
      </c>
      <c r="GA200" s="10" t="n">
        <v>46191</v>
      </c>
      <c r="GC200" s="9" t="n">
        <v>0</v>
      </c>
      <c r="GE200" s="9" t="n">
        <v>0</v>
      </c>
      <c r="GF200" s="9" t="n">
        <v>960</v>
      </c>
      <c r="GJ200" s="10" t="n">
        <v>46191</v>
      </c>
      <c r="GL200" s="9" t="n">
        <v>0</v>
      </c>
      <c r="GN200" s="9" t="n">
        <v>0</v>
      </c>
      <c r="GO200" s="9" t="n">
        <v>1760</v>
      </c>
      <c r="GS200" s="10" t="n">
        <v>46191</v>
      </c>
      <c r="GU200" s="9" t="n">
        <v>0</v>
      </c>
      <c r="GW200" s="9" t="n">
        <v>0</v>
      </c>
      <c r="GX200" s="9" t="n">
        <v>400</v>
      </c>
      <c r="HB200" s="10" t="n">
        <v>46191</v>
      </c>
      <c r="HD200" s="9" t="n">
        <v>0</v>
      </c>
      <c r="HF200" s="9" t="n">
        <v>0</v>
      </c>
      <c r="HG200" s="9" t="n">
        <v>3600</v>
      </c>
      <c r="HK200" s="10" t="n">
        <v>46191</v>
      </c>
      <c r="HM200" s="9" t="n">
        <v>0</v>
      </c>
      <c r="HO200" s="9" t="n">
        <v>0</v>
      </c>
      <c r="HP200" s="9" t="n">
        <v>0</v>
      </c>
      <c r="HU200" s="10" t="n">
        <v>46191</v>
      </c>
      <c r="HW200" s="9" t="n">
        <v>0</v>
      </c>
      <c r="HY200" s="9" t="n">
        <v>0</v>
      </c>
      <c r="HZ200" s="9" t="n">
        <v>6800</v>
      </c>
      <c r="ID200" s="10" t="n">
        <v>46191</v>
      </c>
      <c r="IF200" s="9" t="n">
        <v>0</v>
      </c>
      <c r="IH200" s="9" t="n">
        <v>0</v>
      </c>
      <c r="II200" s="9" t="n">
        <v>720</v>
      </c>
      <c r="IM200" s="10" t="n">
        <v>46191</v>
      </c>
      <c r="IO200" s="9" t="n">
        <v>0</v>
      </c>
      <c r="IQ200" s="9" t="n">
        <v>0</v>
      </c>
      <c r="IR200" s="9" t="n">
        <v>6520</v>
      </c>
      <c r="IV200" s="10" t="n">
        <v>46191</v>
      </c>
      <c r="IX200" s="9" t="n">
        <v>0</v>
      </c>
      <c r="IZ200" s="9" t="n">
        <v>0</v>
      </c>
      <c r="JA200" s="9" t="n">
        <v>4960</v>
      </c>
      <c r="JE200" s="10" t="n">
        <v>46191</v>
      </c>
      <c r="JG200" s="9" t="n">
        <v>0</v>
      </c>
      <c r="JI200" s="9" t="n">
        <v>0</v>
      </c>
      <c r="JJ200" s="9" t="n">
        <v>0</v>
      </c>
      <c r="JN200" s="10" t="n">
        <v>46191</v>
      </c>
      <c r="JP200" s="9" t="n">
        <v>0</v>
      </c>
      <c r="JR200" s="9" t="n">
        <v>0</v>
      </c>
      <c r="JS200" s="9" t="n">
        <v>0</v>
      </c>
      <c r="JW200" s="10" t="n">
        <v>46191</v>
      </c>
      <c r="JY200" s="9" t="n">
        <v>0</v>
      </c>
      <c r="KA200" s="9" t="n">
        <v>0</v>
      </c>
      <c r="KB200" s="9" t="n">
        <v>2540</v>
      </c>
      <c r="KF200" s="10" t="n">
        <v>46191</v>
      </c>
      <c r="KH200" s="9" t="n">
        <v>0</v>
      </c>
      <c r="KJ200" s="9" t="n">
        <v>0</v>
      </c>
      <c r="KK200" s="9" t="n">
        <v>2359.5</v>
      </c>
      <c r="KO200" s="10" t="n">
        <v>46191</v>
      </c>
      <c r="KQ200" s="9" t="n">
        <v>0</v>
      </c>
      <c r="KS200" s="9" t="n">
        <v>0</v>
      </c>
      <c r="KT200" s="9" t="n">
        <v>1890</v>
      </c>
      <c r="KX200" s="10" t="n">
        <v>46191</v>
      </c>
      <c r="KZ200" s="9" t="n">
        <v>0</v>
      </c>
      <c r="LB200" s="9" t="n">
        <v>0</v>
      </c>
      <c r="LC200" s="9" t="n">
        <v>3690</v>
      </c>
      <c r="LG200" s="10" t="n">
        <v>46191</v>
      </c>
      <c r="LI200" s="9" t="n">
        <v>0</v>
      </c>
      <c r="LK200" s="9" t="n">
        <v>0</v>
      </c>
      <c r="LL200" s="9" t="n">
        <v>4000</v>
      </c>
      <c r="LP200" s="10" t="n">
        <v>46191</v>
      </c>
      <c r="LR200" s="9" t="n">
        <v>0</v>
      </c>
      <c r="LT200" s="9" t="n">
        <v>0</v>
      </c>
      <c r="LU200" s="9" t="n">
        <v>0</v>
      </c>
      <c r="LY200" s="10" t="n">
        <v>46191</v>
      </c>
      <c r="MA200" s="9" t="n">
        <v>0</v>
      </c>
      <c r="MC200" s="9" t="n">
        <v>0</v>
      </c>
      <c r="MD200" s="9" t="n">
        <v>0</v>
      </c>
      <c r="MH200" s="10" t="n">
        <v>46191</v>
      </c>
      <c r="MJ200" s="9" t="n">
        <v>0</v>
      </c>
      <c r="ML200" s="9" t="n">
        <v>0</v>
      </c>
      <c r="MM200" s="9" t="n">
        <v>0</v>
      </c>
      <c r="MQ200" s="10" t="n">
        <v>46191</v>
      </c>
      <c r="MS200" s="9" t="n">
        <v>0</v>
      </c>
      <c r="MU200" s="9" t="n">
        <v>0</v>
      </c>
      <c r="MV200" s="9" t="n">
        <v>3724</v>
      </c>
      <c r="MZ200" s="10" t="n">
        <v>46191</v>
      </c>
      <c r="NB200" s="9" t="n">
        <v>0</v>
      </c>
      <c r="ND200" s="9" t="n">
        <v>0</v>
      </c>
      <c r="NE200" s="9" t="n">
        <v>0</v>
      </c>
      <c r="NI200" s="10" t="n">
        <v>46191</v>
      </c>
      <c r="NK200" s="9" t="n">
        <v>0</v>
      </c>
      <c r="NM200" s="9" t="n">
        <v>0</v>
      </c>
      <c r="NN200" s="9" t="n">
        <v>1127</v>
      </c>
      <c r="NR200" s="10" t="n">
        <v>46191</v>
      </c>
      <c r="NT200" s="9" t="n">
        <v>0</v>
      </c>
      <c r="NV200" s="9" t="n">
        <v>0</v>
      </c>
      <c r="NW200" s="9" t="n">
        <v>3112</v>
      </c>
      <c r="OA200" s="10" t="n">
        <v>46191</v>
      </c>
      <c r="OC200" s="9" t="n">
        <v>0</v>
      </c>
      <c r="OE200" s="9" t="n">
        <v>0</v>
      </c>
      <c r="OF200" s="9" t="n">
        <v>1680.5</v>
      </c>
      <c r="OJ200" s="10" t="n">
        <v>46191</v>
      </c>
      <c r="OL200" s="9" t="n">
        <v>0</v>
      </c>
      <c r="ON200" s="9" t="n">
        <v>0</v>
      </c>
      <c r="OO200" s="9" t="n">
        <v>0</v>
      </c>
      <c r="OS200" s="10" t="n">
        <v>46191</v>
      </c>
      <c r="OU200" s="9" t="n">
        <v>0</v>
      </c>
      <c r="OW200" s="9" t="n">
        <v>0</v>
      </c>
      <c r="OX200" s="9" t="n">
        <v>1482</v>
      </c>
      <c r="PB200" s="10" t="n">
        <v>46191</v>
      </c>
      <c r="PD200" s="9" t="n">
        <v>0</v>
      </c>
      <c r="PF200" s="9" t="n">
        <v>0</v>
      </c>
      <c r="PG200" s="9" t="n">
        <v>0</v>
      </c>
      <c r="PK200" s="10" t="n">
        <v>46191</v>
      </c>
      <c r="PM200" s="9" t="n">
        <v>0</v>
      </c>
      <c r="PO200" s="9" t="n">
        <v>0</v>
      </c>
      <c r="PP200" s="9" t="n">
        <v>100</v>
      </c>
      <c r="PT200" s="10" t="n">
        <v>46191</v>
      </c>
      <c r="PV200" s="9" t="n">
        <v>0</v>
      </c>
      <c r="PX200" s="9" t="n">
        <v>0</v>
      </c>
      <c r="PY200" s="9" t="n">
        <v>13.96000000000004</v>
      </c>
      <c r="QC200" s="10" t="n">
        <v>46191</v>
      </c>
      <c r="QE200" s="9" t="n">
        <v>0</v>
      </c>
      <c r="QG200" s="9" t="n">
        <v>0</v>
      </c>
      <c r="QH200" s="9" t="n">
        <v>1736</v>
      </c>
      <c r="QL200" s="10" t="n">
        <v>46191</v>
      </c>
      <c r="QN200" s="9" t="n">
        <v>0</v>
      </c>
      <c r="QP200" s="9" t="n">
        <v>0</v>
      </c>
      <c r="QQ200" s="9" t="n">
        <v>250</v>
      </c>
      <c r="QU200" s="10" t="n">
        <v>46191</v>
      </c>
      <c r="QW200" s="9" t="n">
        <v>0</v>
      </c>
      <c r="QY200" s="9" t="n">
        <v>0</v>
      </c>
      <c r="QZ200" s="9" t="n">
        <v>207.6</v>
      </c>
      <c r="RD200" s="10" t="n">
        <v>46191</v>
      </c>
      <c r="RF200" s="9" t="n">
        <v>0</v>
      </c>
      <c r="RH200" s="9" t="n">
        <v>0</v>
      </c>
      <c r="RI200" s="9" t="n">
        <v>147.04</v>
      </c>
      <c r="RM200" s="10" t="n">
        <v>46191</v>
      </c>
      <c r="RO200" s="9" t="n">
        <v>0</v>
      </c>
      <c r="RQ200" s="9" t="n">
        <v>0</v>
      </c>
      <c r="RR200" s="9" t="n">
        <v>46.8</v>
      </c>
      <c r="RV200" s="10" t="n">
        <v>46191</v>
      </c>
      <c r="RX200" s="9" t="n">
        <v>0</v>
      </c>
      <c r="RZ200" s="9" t="n">
        <v>0</v>
      </c>
      <c r="SA200" s="9" t="n">
        <v>0</v>
      </c>
      <c r="SE200" s="10" t="n">
        <v>46191</v>
      </c>
      <c r="SG200" s="9" t="n">
        <v>0</v>
      </c>
      <c r="SI200" s="9" t="n">
        <v>0</v>
      </c>
      <c r="SJ200" s="9" t="n">
        <v>24.2</v>
      </c>
      <c r="SN200" s="10" t="n">
        <v>46191</v>
      </c>
      <c r="SP200" s="9" t="n">
        <v>0</v>
      </c>
      <c r="SR200" s="9" t="n">
        <v>0</v>
      </c>
      <c r="SS200" s="9" t="n">
        <v>32</v>
      </c>
      <c r="SW200" s="10" t="n">
        <v>46191</v>
      </c>
      <c r="SY200" s="9" t="n">
        <v>0</v>
      </c>
      <c r="TA200" s="9" t="n">
        <v>0</v>
      </c>
      <c r="TB200" s="9" t="n">
        <v>0</v>
      </c>
      <c r="TF200" s="10" t="n">
        <v>46191</v>
      </c>
      <c r="TH200" s="9" t="n">
        <v>0</v>
      </c>
      <c r="TJ200" s="9" t="n">
        <v>0</v>
      </c>
      <c r="TK200" s="9" t="n">
        <v>0</v>
      </c>
      <c r="TO200" s="10" t="n">
        <v>46191</v>
      </c>
      <c r="TQ200" s="9" t="n">
        <v>0</v>
      </c>
      <c r="TS200" s="9" t="n">
        <v>0</v>
      </c>
      <c r="TT200" s="9" t="n">
        <v>22.40000000000001</v>
      </c>
      <c r="TX200" s="10" t="n">
        <v>46191</v>
      </c>
      <c r="TZ200" s="9" t="n">
        <v>0</v>
      </c>
      <c r="UB200" s="9" t="n">
        <v>0</v>
      </c>
      <c r="UC200" s="9" t="n">
        <v>46.79999999999998</v>
      </c>
      <c r="UG200" s="10" t="n">
        <v>46191</v>
      </c>
      <c r="UI200" s="9" t="n">
        <v>0</v>
      </c>
      <c r="UK200" s="9" t="n">
        <v>0</v>
      </c>
      <c r="UL200" s="9" t="n">
        <v>204</v>
      </c>
      <c r="UP200" s="10" t="n">
        <v>46191</v>
      </c>
      <c r="UR200" s="9" t="n">
        <v>0</v>
      </c>
      <c r="UT200" s="9" t="n">
        <v>0</v>
      </c>
      <c r="UU200" s="9" t="n">
        <v>251.25</v>
      </c>
      <c r="UY200" s="10" t="n">
        <v>46191</v>
      </c>
      <c r="VA200" s="9" t="n">
        <v>0</v>
      </c>
      <c r="VC200" s="9" t="n">
        <v>0</v>
      </c>
      <c r="VD200" s="9" t="n">
        <v>41.60000000000002</v>
      </c>
      <c r="VH200" s="10" t="n">
        <v>46191</v>
      </c>
      <c r="VJ200" s="9" t="n">
        <v>0</v>
      </c>
      <c r="VL200" s="9" t="n">
        <v>0</v>
      </c>
      <c r="VM200" s="9" t="n">
        <v>210</v>
      </c>
      <c r="VQ200" s="10" t="n">
        <v>46191</v>
      </c>
      <c r="VS200" s="9" t="n">
        <v>0</v>
      </c>
      <c r="VU200" s="9" t="n">
        <v>0</v>
      </c>
      <c r="VV200" s="9" t="n">
        <v>0</v>
      </c>
      <c r="VZ200" s="10" t="n">
        <v>46191</v>
      </c>
      <c r="WB200" s="9" t="n">
        <v>0</v>
      </c>
      <c r="WD200" s="9" t="n">
        <v>0</v>
      </c>
      <c r="WE200" s="9" t="n">
        <v>0</v>
      </c>
      <c r="WI200" s="10" t="n">
        <v>46191</v>
      </c>
      <c r="WK200" s="9" t="n">
        <v>0</v>
      </c>
      <c r="WM200" s="9" t="n">
        <v>0</v>
      </c>
      <c r="WN200" s="9" t="n">
        <v>1199</v>
      </c>
      <c r="WR200" s="10" t="n">
        <v>46191</v>
      </c>
      <c r="WT200" s="9" t="n">
        <v>0</v>
      </c>
      <c r="WV200" s="9" t="n">
        <v>0</v>
      </c>
      <c r="WW200" s="9" t="n">
        <v>0</v>
      </c>
      <c r="XA200" s="10" t="n">
        <v>46191</v>
      </c>
      <c r="XC200" s="9" t="n">
        <v>0</v>
      </c>
      <c r="XE200" s="9" t="n">
        <v>0</v>
      </c>
      <c r="XF200" s="9" t="n">
        <v>6813</v>
      </c>
      <c r="XJ200" s="10" t="n">
        <v>46191</v>
      </c>
      <c r="XL200" s="9" t="n">
        <v>0</v>
      </c>
      <c r="XN200" s="9" t="n">
        <v>0</v>
      </c>
      <c r="XO200" s="9" t="n">
        <v>5298</v>
      </c>
      <c r="XS200" s="10" t="n">
        <v>46191</v>
      </c>
      <c r="XU200" s="9" t="n">
        <v>0</v>
      </c>
      <c r="XW200" s="9" t="n">
        <v>0</v>
      </c>
      <c r="XX200" s="9" t="n">
        <v>1621</v>
      </c>
      <c r="YB200" s="10" t="n">
        <v>46191</v>
      </c>
      <c r="YD200" s="9" t="n">
        <v>0</v>
      </c>
      <c r="YF200" s="9" t="n">
        <v>0</v>
      </c>
      <c r="YG200" s="9" t="n">
        <v>4072</v>
      </c>
      <c r="YK200" s="10" t="n">
        <v>46191</v>
      </c>
      <c r="YM200" s="9" t="n">
        <v>0</v>
      </c>
      <c r="YO200" s="9" t="n">
        <v>0</v>
      </c>
      <c r="YP200" s="9" t="n">
        <v>0</v>
      </c>
      <c r="YT200" s="10" t="n">
        <v>46191</v>
      </c>
      <c r="YV200" s="9" t="n">
        <v>0</v>
      </c>
      <c r="YX200" s="9" t="n">
        <v>0</v>
      </c>
      <c r="YY200" s="9" t="n">
        <v>0</v>
      </c>
      <c r="ZC200" s="10" t="n">
        <v>46191</v>
      </c>
      <c r="ZE200" s="9" t="n">
        <v>0</v>
      </c>
      <c r="ZG200" s="9" t="n">
        <v>0</v>
      </c>
      <c r="ZH200" s="9" t="n">
        <v>0</v>
      </c>
      <c r="ZL200" s="10" t="n">
        <v>46191</v>
      </c>
      <c r="ZN200" s="9" t="n">
        <v>0</v>
      </c>
      <c r="ZP200" s="9" t="n">
        <v>0</v>
      </c>
      <c r="ZQ200" s="9" t="n">
        <v>0</v>
      </c>
      <c r="ZU200" s="10" t="n">
        <v>46191</v>
      </c>
      <c r="ZW200" s="9" t="n">
        <v>0</v>
      </c>
      <c r="ZY200" s="9" t="n">
        <v>0</v>
      </c>
      <c r="ZZ200" s="9" t="n">
        <v>0</v>
      </c>
      <c r="AAD200" s="10" t="n">
        <v>46191</v>
      </c>
      <c r="AAF200" s="9" t="n">
        <v>0</v>
      </c>
      <c r="AAH200" s="9" t="n">
        <v>0</v>
      </c>
      <c r="AAI200" s="9" t="n">
        <v>0</v>
      </c>
      <c r="AAM200" s="10" t="n">
        <v>46191</v>
      </c>
      <c r="AAO200" s="9" t="n">
        <v>0</v>
      </c>
      <c r="AAQ200" s="9" t="n">
        <v>0</v>
      </c>
      <c r="AAR200" s="9" t="n">
        <v>0</v>
      </c>
      <c r="AAV200" s="10" t="n">
        <v>46191</v>
      </c>
      <c r="AAX200" s="9" t="n">
        <v>0</v>
      </c>
      <c r="AAZ200" s="9" t="n">
        <v>0</v>
      </c>
      <c r="ABA200" s="9" t="n">
        <v>0</v>
      </c>
      <c r="ABE200" s="10" t="n">
        <v>46191</v>
      </c>
      <c r="ABG200" s="9" t="n">
        <v>0</v>
      </c>
      <c r="ABI200" s="9" t="n">
        <v>0</v>
      </c>
      <c r="ABJ200" s="9" t="n">
        <v>0</v>
      </c>
    </row>
    <row r="201">
      <c r="B201" s="9" t="n">
        <v>90</v>
      </c>
      <c r="C201" s="10" t="n">
        <v>46192</v>
      </c>
      <c r="E201" s="9" t="n">
        <v>49063.05</v>
      </c>
      <c r="F201" s="9" t="n">
        <v>49059.2</v>
      </c>
      <c r="G201" s="9" t="n">
        <v>3.849999999998545</v>
      </c>
      <c r="H201" s="9" t="n">
        <v>48967.00000000006</v>
      </c>
      <c r="I201" s="9" t="inlineStr">
        <is>
          <t>5202 90mt</t>
        </is>
      </c>
      <c r="L201" s="10" t="n">
        <v>46192</v>
      </c>
      <c r="M201" s="9" t="n">
        <v>23600</v>
      </c>
      <c r="N201" s="9" t="n">
        <v>26773.65</v>
      </c>
      <c r="O201" s="9" t="n">
        <v>26772.8</v>
      </c>
      <c r="P201" s="9" t="n">
        <v>0.8500000000021828</v>
      </c>
      <c r="Q201" s="9" t="n">
        <v>73283.20000000008</v>
      </c>
      <c r="U201" s="10" t="n">
        <v>46192</v>
      </c>
      <c r="W201" s="9" t="n">
        <v>5400</v>
      </c>
      <c r="X201" s="9" t="n">
        <v>5400.3</v>
      </c>
      <c r="Y201" s="9" t="n">
        <v>-0.3000000000001819</v>
      </c>
      <c r="Z201" s="9" t="n">
        <v>34487.99999999998</v>
      </c>
      <c r="AD201" s="10" t="n">
        <v>46192</v>
      </c>
      <c r="AF201" s="9" t="n">
        <v>0</v>
      </c>
      <c r="AH201" s="9" t="n">
        <v>0</v>
      </c>
      <c r="AI201" s="9" t="n">
        <v>33372.70000000002</v>
      </c>
      <c r="AM201" s="10" t="n">
        <v>46192</v>
      </c>
      <c r="AO201" s="9" t="n">
        <v>0</v>
      </c>
      <c r="AQ201" s="9" t="n">
        <v>0</v>
      </c>
      <c r="AR201" s="9" t="n">
        <v>0</v>
      </c>
      <c r="AV201" s="10" t="n">
        <v>46192</v>
      </c>
      <c r="AX201" s="9" t="n">
        <v>0</v>
      </c>
      <c r="AZ201" s="9" t="n">
        <v>0</v>
      </c>
      <c r="BA201" s="9" t="n">
        <v>14066.5</v>
      </c>
      <c r="BE201" s="10" t="n">
        <v>46192</v>
      </c>
      <c r="BG201" s="9" t="n">
        <v>0</v>
      </c>
      <c r="BI201" s="9" t="n">
        <v>0</v>
      </c>
      <c r="BJ201" s="9" t="n">
        <v>39235.39999999999</v>
      </c>
      <c r="BN201" s="10" t="n">
        <v>46192</v>
      </c>
      <c r="BO201" s="9" t="n">
        <v>450</v>
      </c>
      <c r="BP201" s="9" t="n">
        <v>450</v>
      </c>
      <c r="BQ201" s="9" t="n">
        <v>450</v>
      </c>
      <c r="BR201" s="9" t="n">
        <v>0</v>
      </c>
      <c r="BS201" s="9" t="n">
        <v>0</v>
      </c>
      <c r="BW201" s="10" t="n">
        <v>46192</v>
      </c>
      <c r="BY201" s="9" t="n">
        <v>661.95</v>
      </c>
      <c r="CA201" s="9" t="n">
        <v>661.95</v>
      </c>
      <c r="CB201" s="9" t="n">
        <v>3188.329999999999</v>
      </c>
      <c r="CF201" s="10" t="n">
        <v>46192</v>
      </c>
      <c r="CH201" s="9" t="n">
        <v>0</v>
      </c>
      <c r="CJ201" s="9" t="n">
        <v>0</v>
      </c>
      <c r="CK201" s="9" t="n">
        <v>0</v>
      </c>
      <c r="CO201" s="10" t="n">
        <v>46192</v>
      </c>
      <c r="CQ201" s="9" t="n">
        <v>0</v>
      </c>
      <c r="CS201" s="9" t="n">
        <v>0</v>
      </c>
      <c r="CT201" s="9" t="n">
        <v>0</v>
      </c>
      <c r="CX201" s="10" t="n">
        <v>46192</v>
      </c>
      <c r="CY201" s="9" t="n">
        <v>1880.8</v>
      </c>
      <c r="CZ201" s="9" t="n">
        <v>1800</v>
      </c>
      <c r="DA201" s="9" t="n">
        <v>1800.8</v>
      </c>
      <c r="DB201" s="9" t="n">
        <v>-0.7999999999999545</v>
      </c>
      <c r="DC201" s="9" t="n">
        <v>15222.20000000001</v>
      </c>
      <c r="DG201" s="10" t="n">
        <v>46192</v>
      </c>
      <c r="DI201" s="9" t="n">
        <v>0</v>
      </c>
      <c r="DK201" s="9" t="n">
        <v>0</v>
      </c>
      <c r="DL201" s="9" t="n">
        <v>35234.99999999999</v>
      </c>
      <c r="DP201" s="10" t="n">
        <v>46192</v>
      </c>
      <c r="DR201" s="9" t="n">
        <v>0</v>
      </c>
      <c r="DT201" s="9" t="n">
        <v>0</v>
      </c>
      <c r="DU201" s="9" t="n">
        <v>5800</v>
      </c>
      <c r="DY201" s="10" t="n">
        <v>46192</v>
      </c>
      <c r="EA201" s="9" t="n">
        <v>0</v>
      </c>
      <c r="EC201" s="9" t="n">
        <v>0</v>
      </c>
      <c r="ED201" s="9" t="n">
        <v>0</v>
      </c>
      <c r="EH201" s="10" t="n">
        <v>46192</v>
      </c>
      <c r="EJ201" s="9" t="n">
        <v>0</v>
      </c>
      <c r="EL201" s="9" t="n">
        <v>0</v>
      </c>
      <c r="EM201" s="9" t="n">
        <v>0</v>
      </c>
      <c r="EQ201" s="10" t="n">
        <v>46192</v>
      </c>
      <c r="ES201" s="9" t="n">
        <v>0</v>
      </c>
      <c r="EU201" s="9" t="n">
        <v>0</v>
      </c>
      <c r="EV201" s="9" t="n">
        <v>0</v>
      </c>
      <c r="EZ201" s="10" t="n">
        <v>46192</v>
      </c>
      <c r="FB201" s="9" t="n">
        <v>0</v>
      </c>
      <c r="FD201" s="9" t="n">
        <v>0</v>
      </c>
      <c r="FE201" s="9" t="n">
        <v>0</v>
      </c>
      <c r="FI201" s="10" t="n">
        <v>46192</v>
      </c>
      <c r="FK201" s="9" t="n">
        <v>0</v>
      </c>
      <c r="FM201" s="9" t="n">
        <v>0</v>
      </c>
      <c r="FN201" s="9" t="n">
        <v>0</v>
      </c>
      <c r="FR201" s="10" t="n">
        <v>46192</v>
      </c>
      <c r="FT201" s="9" t="n">
        <v>0</v>
      </c>
      <c r="FV201" s="9" t="n">
        <v>0</v>
      </c>
      <c r="FW201" s="9" t="n">
        <v>1160</v>
      </c>
      <c r="GA201" s="10" t="n">
        <v>46192</v>
      </c>
      <c r="GC201" s="9" t="n">
        <v>0</v>
      </c>
      <c r="GE201" s="9" t="n">
        <v>0</v>
      </c>
      <c r="GF201" s="9" t="n">
        <v>960</v>
      </c>
      <c r="GJ201" s="10" t="n">
        <v>46192</v>
      </c>
      <c r="GL201" s="9" t="n">
        <v>0</v>
      </c>
      <c r="GN201" s="9" t="n">
        <v>0</v>
      </c>
      <c r="GO201" s="9" t="n">
        <v>1760</v>
      </c>
      <c r="GS201" s="10" t="n">
        <v>46192</v>
      </c>
      <c r="GU201" s="9" t="n">
        <v>0</v>
      </c>
      <c r="GW201" s="9" t="n">
        <v>0</v>
      </c>
      <c r="GX201" s="9" t="n">
        <v>400</v>
      </c>
      <c r="HB201" s="10" t="n">
        <v>46192</v>
      </c>
      <c r="HD201" s="9" t="n">
        <v>0</v>
      </c>
      <c r="HF201" s="9" t="n">
        <v>0</v>
      </c>
      <c r="HG201" s="9" t="n">
        <v>3600</v>
      </c>
      <c r="HK201" s="10" t="n">
        <v>46192</v>
      </c>
      <c r="HM201" s="9" t="n">
        <v>0</v>
      </c>
      <c r="HO201" s="9" t="n">
        <v>0</v>
      </c>
      <c r="HP201" s="9" t="n">
        <v>0</v>
      </c>
      <c r="HU201" s="10" t="n">
        <v>46192</v>
      </c>
      <c r="HW201" s="9" t="n">
        <v>0</v>
      </c>
      <c r="HY201" s="9" t="n">
        <v>0</v>
      </c>
      <c r="HZ201" s="9" t="n">
        <v>6800</v>
      </c>
      <c r="ID201" s="10" t="n">
        <v>46192</v>
      </c>
      <c r="IF201" s="9" t="n">
        <v>0</v>
      </c>
      <c r="IH201" s="9" t="n">
        <v>0</v>
      </c>
      <c r="II201" s="9" t="n">
        <v>720</v>
      </c>
      <c r="IM201" s="10" t="n">
        <v>46192</v>
      </c>
      <c r="IO201" s="9" t="n">
        <v>0</v>
      </c>
      <c r="IQ201" s="9" t="n">
        <v>0</v>
      </c>
      <c r="IR201" s="9" t="n">
        <v>6520</v>
      </c>
      <c r="IV201" s="10" t="n">
        <v>46192</v>
      </c>
      <c r="IX201" s="9" t="n">
        <v>0</v>
      </c>
      <c r="IZ201" s="9" t="n">
        <v>0</v>
      </c>
      <c r="JA201" s="9" t="n">
        <v>4960</v>
      </c>
      <c r="JE201" s="10" t="n">
        <v>46192</v>
      </c>
      <c r="JG201" s="9" t="n">
        <v>0</v>
      </c>
      <c r="JI201" s="9" t="n">
        <v>0</v>
      </c>
      <c r="JJ201" s="9" t="n">
        <v>0</v>
      </c>
      <c r="JN201" s="10" t="n">
        <v>46192</v>
      </c>
      <c r="JP201" s="9" t="n">
        <v>0</v>
      </c>
      <c r="JR201" s="9" t="n">
        <v>0</v>
      </c>
      <c r="JS201" s="9" t="n">
        <v>0</v>
      </c>
      <c r="JW201" s="10" t="n">
        <v>46192</v>
      </c>
      <c r="JY201" s="9" t="n">
        <v>0</v>
      </c>
      <c r="KA201" s="9" t="n">
        <v>0</v>
      </c>
      <c r="KB201" s="9" t="n">
        <v>2540</v>
      </c>
      <c r="KF201" s="10" t="n">
        <v>46192</v>
      </c>
      <c r="KH201" s="9" t="n">
        <v>0</v>
      </c>
      <c r="KJ201" s="9" t="n">
        <v>0</v>
      </c>
      <c r="KK201" s="9" t="n">
        <v>2359.5</v>
      </c>
      <c r="KO201" s="10" t="n">
        <v>46192</v>
      </c>
      <c r="KQ201" s="9" t="n">
        <v>0</v>
      </c>
      <c r="KS201" s="9" t="n">
        <v>0</v>
      </c>
      <c r="KT201" s="9" t="n">
        <v>1890</v>
      </c>
      <c r="KX201" s="10" t="n">
        <v>46192</v>
      </c>
      <c r="KZ201" s="9" t="n">
        <v>0</v>
      </c>
      <c r="LB201" s="9" t="n">
        <v>0</v>
      </c>
      <c r="LC201" s="9" t="n">
        <v>3690</v>
      </c>
      <c r="LG201" s="10" t="n">
        <v>46192</v>
      </c>
      <c r="LI201" s="9" t="n">
        <v>0</v>
      </c>
      <c r="LK201" s="9" t="n">
        <v>0</v>
      </c>
      <c r="LL201" s="9" t="n">
        <v>4000</v>
      </c>
      <c r="LP201" s="10" t="n">
        <v>46192</v>
      </c>
      <c r="LR201" s="9" t="n">
        <v>0</v>
      </c>
      <c r="LT201" s="9" t="n">
        <v>0</v>
      </c>
      <c r="LU201" s="9" t="n">
        <v>0</v>
      </c>
      <c r="LY201" s="10" t="n">
        <v>46192</v>
      </c>
      <c r="MA201" s="9" t="n">
        <v>0</v>
      </c>
      <c r="MC201" s="9" t="n">
        <v>0</v>
      </c>
      <c r="MD201" s="9" t="n">
        <v>0</v>
      </c>
      <c r="MH201" s="10" t="n">
        <v>46192</v>
      </c>
      <c r="MJ201" s="9" t="n">
        <v>0</v>
      </c>
      <c r="ML201" s="9" t="n">
        <v>0</v>
      </c>
      <c r="MM201" s="9" t="n">
        <v>0</v>
      </c>
      <c r="MQ201" s="10" t="n">
        <v>46192</v>
      </c>
      <c r="MS201" s="9" t="n">
        <v>0</v>
      </c>
      <c r="MU201" s="9" t="n">
        <v>0</v>
      </c>
      <c r="MV201" s="9" t="n">
        <v>3724</v>
      </c>
      <c r="MZ201" s="10" t="n">
        <v>46192</v>
      </c>
      <c r="NB201" s="9" t="n">
        <v>0</v>
      </c>
      <c r="ND201" s="9" t="n">
        <v>0</v>
      </c>
      <c r="NE201" s="9" t="n">
        <v>0</v>
      </c>
      <c r="NI201" s="10" t="n">
        <v>46192</v>
      </c>
      <c r="NK201" s="9" t="n">
        <v>0</v>
      </c>
      <c r="NM201" s="9" t="n">
        <v>0</v>
      </c>
      <c r="NN201" s="9" t="n">
        <v>1127</v>
      </c>
      <c r="NR201" s="10" t="n">
        <v>46192</v>
      </c>
      <c r="NT201" s="9" t="n">
        <v>0</v>
      </c>
      <c r="NV201" s="9" t="n">
        <v>0</v>
      </c>
      <c r="NW201" s="9" t="n">
        <v>3112</v>
      </c>
      <c r="OA201" s="10" t="n">
        <v>46192</v>
      </c>
      <c r="OC201" s="9" t="n">
        <v>0</v>
      </c>
      <c r="OE201" s="9" t="n">
        <v>0</v>
      </c>
      <c r="OF201" s="9" t="n">
        <v>1680.5</v>
      </c>
      <c r="OJ201" s="10" t="n">
        <v>46192</v>
      </c>
      <c r="OL201" s="9" t="n">
        <v>0</v>
      </c>
      <c r="ON201" s="9" t="n">
        <v>0</v>
      </c>
      <c r="OO201" s="9" t="n">
        <v>0</v>
      </c>
      <c r="OS201" s="10" t="n">
        <v>46192</v>
      </c>
      <c r="OU201" s="9" t="n">
        <v>0</v>
      </c>
      <c r="OW201" s="9" t="n">
        <v>0</v>
      </c>
      <c r="OX201" s="9" t="n">
        <v>1482</v>
      </c>
      <c r="PB201" s="10" t="n">
        <v>46192</v>
      </c>
      <c r="PD201" s="9" t="n">
        <v>0</v>
      </c>
      <c r="PF201" s="9" t="n">
        <v>0</v>
      </c>
      <c r="PG201" s="9" t="n">
        <v>0</v>
      </c>
      <c r="PK201" s="10" t="n">
        <v>46192</v>
      </c>
      <c r="PM201" s="9" t="n">
        <v>0</v>
      </c>
      <c r="PO201" s="9" t="n">
        <v>0</v>
      </c>
      <c r="PP201" s="9" t="n">
        <v>100</v>
      </c>
      <c r="PT201" s="10" t="n">
        <v>46192</v>
      </c>
      <c r="PV201" s="9" t="n">
        <v>0</v>
      </c>
      <c r="PX201" s="9" t="n">
        <v>0</v>
      </c>
      <c r="PY201" s="9" t="n">
        <v>13.96000000000004</v>
      </c>
      <c r="QC201" s="10" t="n">
        <v>46192</v>
      </c>
      <c r="QE201" s="9" t="n">
        <v>0</v>
      </c>
      <c r="QG201" s="9" t="n">
        <v>0</v>
      </c>
      <c r="QH201" s="9" t="n">
        <v>1736</v>
      </c>
      <c r="QL201" s="10" t="n">
        <v>46192</v>
      </c>
      <c r="QN201" s="9" t="n">
        <v>0</v>
      </c>
      <c r="QP201" s="9" t="n">
        <v>0</v>
      </c>
      <c r="QQ201" s="9" t="n">
        <v>250</v>
      </c>
      <c r="QU201" s="10" t="n">
        <v>46192</v>
      </c>
      <c r="QW201" s="9" t="n">
        <v>0</v>
      </c>
      <c r="QY201" s="9" t="n">
        <v>0</v>
      </c>
      <c r="QZ201" s="9" t="n">
        <v>207.6</v>
      </c>
      <c r="RD201" s="10" t="n">
        <v>46192</v>
      </c>
      <c r="RF201" s="9" t="n">
        <v>0</v>
      </c>
      <c r="RH201" s="9" t="n">
        <v>0</v>
      </c>
      <c r="RI201" s="9" t="n">
        <v>147.04</v>
      </c>
      <c r="RM201" s="10" t="n">
        <v>46192</v>
      </c>
      <c r="RO201" s="9" t="n">
        <v>0</v>
      </c>
      <c r="RQ201" s="9" t="n">
        <v>0</v>
      </c>
      <c r="RR201" s="9" t="n">
        <v>46.8</v>
      </c>
      <c r="RV201" s="10" t="n">
        <v>46192</v>
      </c>
      <c r="RX201" s="9" t="n">
        <v>0</v>
      </c>
      <c r="RZ201" s="9" t="n">
        <v>0</v>
      </c>
      <c r="SA201" s="9" t="n">
        <v>0</v>
      </c>
      <c r="SE201" s="10" t="n">
        <v>46192</v>
      </c>
      <c r="SG201" s="9" t="n">
        <v>0</v>
      </c>
      <c r="SI201" s="9" t="n">
        <v>0</v>
      </c>
      <c r="SJ201" s="9" t="n">
        <v>24.2</v>
      </c>
      <c r="SN201" s="10" t="n">
        <v>46192</v>
      </c>
      <c r="SP201" s="9" t="n">
        <v>0</v>
      </c>
      <c r="SR201" s="9" t="n">
        <v>0</v>
      </c>
      <c r="SS201" s="9" t="n">
        <v>32</v>
      </c>
      <c r="SW201" s="10" t="n">
        <v>46192</v>
      </c>
      <c r="SY201" s="9" t="n">
        <v>0</v>
      </c>
      <c r="TA201" s="9" t="n">
        <v>0</v>
      </c>
      <c r="TB201" s="9" t="n">
        <v>0</v>
      </c>
      <c r="TF201" s="10" t="n">
        <v>46192</v>
      </c>
      <c r="TH201" s="9" t="n">
        <v>0</v>
      </c>
      <c r="TJ201" s="9" t="n">
        <v>0</v>
      </c>
      <c r="TK201" s="9" t="n">
        <v>0</v>
      </c>
      <c r="TO201" s="10" t="n">
        <v>46192</v>
      </c>
      <c r="TQ201" s="9" t="n">
        <v>0</v>
      </c>
      <c r="TS201" s="9" t="n">
        <v>0</v>
      </c>
      <c r="TT201" s="9" t="n">
        <v>22.40000000000001</v>
      </c>
      <c r="TX201" s="10" t="n">
        <v>46192</v>
      </c>
      <c r="TZ201" s="9" t="n">
        <v>0</v>
      </c>
      <c r="UB201" s="9" t="n">
        <v>0</v>
      </c>
      <c r="UC201" s="9" t="n">
        <v>46.79999999999998</v>
      </c>
      <c r="UG201" s="10" t="n">
        <v>46192</v>
      </c>
      <c r="UI201" s="9" t="n">
        <v>0</v>
      </c>
      <c r="UK201" s="9" t="n">
        <v>0</v>
      </c>
      <c r="UL201" s="9" t="n">
        <v>204</v>
      </c>
      <c r="UP201" s="10" t="n">
        <v>46192</v>
      </c>
      <c r="UR201" s="9" t="n">
        <v>0</v>
      </c>
      <c r="UT201" s="9" t="n">
        <v>0</v>
      </c>
      <c r="UU201" s="9" t="n">
        <v>251.25</v>
      </c>
      <c r="UY201" s="10" t="n">
        <v>46192</v>
      </c>
      <c r="VA201" s="9" t="n">
        <v>0</v>
      </c>
      <c r="VC201" s="9" t="n">
        <v>0</v>
      </c>
      <c r="VD201" s="9" t="n">
        <v>41.60000000000002</v>
      </c>
      <c r="VH201" s="10" t="n">
        <v>46192</v>
      </c>
      <c r="VJ201" s="9" t="n">
        <v>0</v>
      </c>
      <c r="VL201" s="9" t="n">
        <v>0</v>
      </c>
      <c r="VM201" s="9" t="n">
        <v>210</v>
      </c>
      <c r="VQ201" s="10" t="n">
        <v>46192</v>
      </c>
      <c r="VS201" s="9" t="n">
        <v>0</v>
      </c>
      <c r="VU201" s="9" t="n">
        <v>0</v>
      </c>
      <c r="VV201" s="9" t="n">
        <v>0</v>
      </c>
      <c r="VZ201" s="10" t="n">
        <v>46192</v>
      </c>
      <c r="WB201" s="9" t="n">
        <v>0</v>
      </c>
      <c r="WD201" s="9" t="n">
        <v>0</v>
      </c>
      <c r="WE201" s="9" t="n">
        <v>0</v>
      </c>
      <c r="WI201" s="10" t="n">
        <v>46192</v>
      </c>
      <c r="WK201" s="9" t="n">
        <v>0</v>
      </c>
      <c r="WM201" s="9" t="n">
        <v>0</v>
      </c>
      <c r="WN201" s="9" t="n">
        <v>1199</v>
      </c>
      <c r="WR201" s="10" t="n">
        <v>46192</v>
      </c>
      <c r="WT201" s="9" t="n">
        <v>0</v>
      </c>
      <c r="WV201" s="9" t="n">
        <v>0</v>
      </c>
      <c r="WW201" s="9" t="n">
        <v>0</v>
      </c>
      <c r="XA201" s="10" t="n">
        <v>46192</v>
      </c>
      <c r="XC201" s="9" t="n">
        <v>0</v>
      </c>
      <c r="XE201" s="9" t="n">
        <v>0</v>
      </c>
      <c r="XF201" s="9" t="n">
        <v>6813</v>
      </c>
      <c r="XJ201" s="10" t="n">
        <v>46192</v>
      </c>
      <c r="XL201" s="9" t="n">
        <v>0</v>
      </c>
      <c r="XM201" s="9" t="n">
        <v>609</v>
      </c>
      <c r="XN201" s="9" t="n">
        <v>-609</v>
      </c>
      <c r="XO201" s="9" t="n">
        <v>4689</v>
      </c>
      <c r="XS201" s="10" t="n">
        <v>46192</v>
      </c>
      <c r="XU201" s="9" t="n">
        <v>0</v>
      </c>
      <c r="XW201" s="9" t="n">
        <v>0</v>
      </c>
      <c r="XX201" s="9" t="n">
        <v>1621</v>
      </c>
      <c r="YB201" s="10" t="n">
        <v>46192</v>
      </c>
      <c r="YD201" s="9" t="n">
        <v>0</v>
      </c>
      <c r="YF201" s="9" t="n">
        <v>0</v>
      </c>
      <c r="YG201" s="9" t="n">
        <v>4072</v>
      </c>
      <c r="YK201" s="10" t="n">
        <v>46192</v>
      </c>
      <c r="YM201" s="9" t="n">
        <v>0</v>
      </c>
      <c r="YO201" s="9" t="n">
        <v>0</v>
      </c>
      <c r="YP201" s="9" t="n">
        <v>0</v>
      </c>
      <c r="YT201" s="10" t="n">
        <v>46192</v>
      </c>
      <c r="YV201" s="9" t="n">
        <v>0</v>
      </c>
      <c r="YX201" s="9" t="n">
        <v>0</v>
      </c>
      <c r="YY201" s="9" t="n">
        <v>0</v>
      </c>
      <c r="ZC201" s="10" t="n">
        <v>46192</v>
      </c>
      <c r="ZE201" s="9" t="n">
        <v>0</v>
      </c>
      <c r="ZG201" s="9" t="n">
        <v>0</v>
      </c>
      <c r="ZH201" s="9" t="n">
        <v>0</v>
      </c>
      <c r="ZL201" s="10" t="n">
        <v>46192</v>
      </c>
      <c r="ZN201" s="9" t="n">
        <v>0</v>
      </c>
      <c r="ZP201" s="9" t="n">
        <v>0</v>
      </c>
      <c r="ZQ201" s="9" t="n">
        <v>0</v>
      </c>
      <c r="ZU201" s="10" t="n">
        <v>46192</v>
      </c>
      <c r="ZW201" s="9" t="n">
        <v>0</v>
      </c>
      <c r="ZY201" s="9" t="n">
        <v>0</v>
      </c>
      <c r="ZZ201" s="9" t="n">
        <v>0</v>
      </c>
      <c r="AAD201" s="10" t="n">
        <v>46192</v>
      </c>
      <c r="AAF201" s="9" t="n">
        <v>0</v>
      </c>
      <c r="AAH201" s="9" t="n">
        <v>0</v>
      </c>
      <c r="AAI201" s="9" t="n">
        <v>0</v>
      </c>
      <c r="AAM201" s="10" t="n">
        <v>46192</v>
      </c>
      <c r="AAO201" s="9" t="n">
        <v>0</v>
      </c>
      <c r="AAQ201" s="9" t="n">
        <v>0</v>
      </c>
      <c r="AAR201" s="9" t="n">
        <v>0</v>
      </c>
      <c r="AAV201" s="10" t="n">
        <v>46192</v>
      </c>
      <c r="AAX201" s="9" t="n">
        <v>0</v>
      </c>
      <c r="AAZ201" s="9" t="n">
        <v>0</v>
      </c>
      <c r="ABA201" s="9" t="n">
        <v>0</v>
      </c>
      <c r="ABE201" s="10" t="n">
        <v>46192</v>
      </c>
      <c r="ABG201" s="9" t="n">
        <v>0</v>
      </c>
      <c r="ABI201" s="9" t="n">
        <v>0</v>
      </c>
      <c r="ABJ201" s="9" t="n">
        <v>0</v>
      </c>
    </row>
    <row r="202">
      <c r="B202" s="9" t="n">
        <v>20</v>
      </c>
      <c r="C202" s="10" t="n">
        <v>46193</v>
      </c>
      <c r="E202" s="9" t="n">
        <v>12288</v>
      </c>
      <c r="F202" s="9" t="n">
        <v>12286</v>
      </c>
      <c r="G202" s="9" t="n">
        <v>2</v>
      </c>
      <c r="H202" s="9" t="n">
        <v>36681.00000000006</v>
      </c>
      <c r="I202" s="9" t="inlineStr">
        <is>
          <t>5203 20mt</t>
        </is>
      </c>
      <c r="L202" s="10" t="n">
        <v>46193</v>
      </c>
      <c r="N202" s="9" t="n">
        <v>4476.000000000001</v>
      </c>
      <c r="O202" s="9" t="n">
        <v>4479.6</v>
      </c>
      <c r="P202" s="9" t="n">
        <v>-3.599999999999454</v>
      </c>
      <c r="Q202" s="9" t="n">
        <v>68803.60000000008</v>
      </c>
      <c r="U202" s="10" t="n">
        <v>46193</v>
      </c>
      <c r="W202" s="9" t="n">
        <v>1400</v>
      </c>
      <c r="X202" s="9" t="n">
        <v>1400.3</v>
      </c>
      <c r="Y202" s="9" t="n">
        <v>-0.2999999999999545</v>
      </c>
      <c r="Z202" s="9" t="n">
        <v>33087.69999999998</v>
      </c>
      <c r="AD202" s="10" t="n">
        <v>46193</v>
      </c>
      <c r="AF202" s="9" t="n">
        <v>0</v>
      </c>
      <c r="AH202" s="9" t="n">
        <v>0</v>
      </c>
      <c r="AI202" s="9" t="n">
        <v>33372.70000000002</v>
      </c>
      <c r="AM202" s="10" t="n">
        <v>46193</v>
      </c>
      <c r="AO202" s="9" t="n">
        <v>0</v>
      </c>
      <c r="AQ202" s="9" t="n">
        <v>0</v>
      </c>
      <c r="AR202" s="9" t="n">
        <v>0</v>
      </c>
      <c r="AV202" s="10" t="n">
        <v>46193</v>
      </c>
      <c r="AX202" s="9" t="n">
        <v>0</v>
      </c>
      <c r="AZ202" s="9" t="n">
        <v>0</v>
      </c>
      <c r="BA202" s="9" t="n">
        <v>14066.5</v>
      </c>
      <c r="BE202" s="10" t="n">
        <v>46193</v>
      </c>
      <c r="BG202" s="9" t="n">
        <v>200</v>
      </c>
      <c r="BI202" s="9" t="n">
        <v>200</v>
      </c>
      <c r="BJ202" s="9" t="n">
        <v>39235.39999999999</v>
      </c>
      <c r="BN202" s="10" t="n">
        <v>46193</v>
      </c>
      <c r="BO202" s="9" t="n">
        <v>100</v>
      </c>
      <c r="BP202" s="9" t="n">
        <v>100</v>
      </c>
      <c r="BQ202" s="9" t="n">
        <v>100</v>
      </c>
      <c r="BR202" s="9" t="n">
        <v>0</v>
      </c>
      <c r="BS202" s="9" t="n">
        <v>0</v>
      </c>
      <c r="BW202" s="10" t="n">
        <v>46193</v>
      </c>
      <c r="BY202" s="9" t="n">
        <v>86.09999999999999</v>
      </c>
      <c r="CA202" s="9" t="n">
        <v>86.09999999999999</v>
      </c>
      <c r="CB202" s="9" t="n">
        <v>3188.329999999999</v>
      </c>
      <c r="CF202" s="10" t="n">
        <v>46193</v>
      </c>
      <c r="CH202" s="9" t="n">
        <v>0</v>
      </c>
      <c r="CJ202" s="9" t="n">
        <v>0</v>
      </c>
      <c r="CK202" s="9" t="n">
        <v>0</v>
      </c>
      <c r="CO202" s="10" t="n">
        <v>46193</v>
      </c>
      <c r="CQ202" s="9" t="n">
        <v>0</v>
      </c>
      <c r="CS202" s="9" t="n">
        <v>0</v>
      </c>
      <c r="CT202" s="9" t="n">
        <v>0</v>
      </c>
      <c r="CX202" s="10" t="n">
        <v>46193</v>
      </c>
      <c r="CZ202" s="9" t="n">
        <v>400</v>
      </c>
      <c r="DA202" s="9" t="n">
        <v>399.2</v>
      </c>
      <c r="DB202" s="9" t="n">
        <v>0.8000000000000114</v>
      </c>
      <c r="DC202" s="9" t="n">
        <v>14823.00000000001</v>
      </c>
      <c r="DG202" s="10" t="n">
        <v>46193</v>
      </c>
      <c r="DI202" s="9" t="n">
        <v>0</v>
      </c>
      <c r="DK202" s="9" t="n">
        <v>0</v>
      </c>
      <c r="DL202" s="9" t="n">
        <v>35234.99999999999</v>
      </c>
      <c r="DP202" s="10" t="n">
        <v>46193</v>
      </c>
      <c r="DR202" s="9" t="n">
        <v>0</v>
      </c>
      <c r="DT202" s="9" t="n">
        <v>0</v>
      </c>
      <c r="DU202" s="9" t="n">
        <v>5800</v>
      </c>
      <c r="DY202" s="10" t="n">
        <v>46193</v>
      </c>
      <c r="EA202" s="9" t="n">
        <v>0</v>
      </c>
      <c r="EC202" s="9" t="n">
        <v>0</v>
      </c>
      <c r="ED202" s="9" t="n">
        <v>0</v>
      </c>
      <c r="EH202" s="10" t="n">
        <v>46193</v>
      </c>
      <c r="EJ202" s="9" t="n">
        <v>0</v>
      </c>
      <c r="EL202" s="9" t="n">
        <v>0</v>
      </c>
      <c r="EM202" s="9" t="n">
        <v>0</v>
      </c>
      <c r="EQ202" s="10" t="n">
        <v>46193</v>
      </c>
      <c r="ES202" s="9" t="n">
        <v>0</v>
      </c>
      <c r="EU202" s="9" t="n">
        <v>0</v>
      </c>
      <c r="EV202" s="9" t="n">
        <v>0</v>
      </c>
      <c r="EZ202" s="10" t="n">
        <v>46193</v>
      </c>
      <c r="FB202" s="9" t="n">
        <v>0</v>
      </c>
      <c r="FD202" s="9" t="n">
        <v>0</v>
      </c>
      <c r="FE202" s="9" t="n">
        <v>0</v>
      </c>
      <c r="FI202" s="10" t="n">
        <v>46193</v>
      </c>
      <c r="FK202" s="9" t="n">
        <v>0</v>
      </c>
      <c r="FM202" s="9" t="n">
        <v>0</v>
      </c>
      <c r="FN202" s="9" t="n">
        <v>0</v>
      </c>
      <c r="FR202" s="10" t="n">
        <v>46193</v>
      </c>
      <c r="FT202" s="9" t="n">
        <v>0</v>
      </c>
      <c r="FV202" s="9" t="n">
        <v>0</v>
      </c>
      <c r="FW202" s="9" t="n">
        <v>1160</v>
      </c>
      <c r="GA202" s="10" t="n">
        <v>46193</v>
      </c>
      <c r="GC202" s="9" t="n">
        <v>0</v>
      </c>
      <c r="GE202" s="9" t="n">
        <v>0</v>
      </c>
      <c r="GF202" s="9" t="n">
        <v>960</v>
      </c>
      <c r="GJ202" s="10" t="n">
        <v>46193</v>
      </c>
      <c r="GL202" s="9" t="n">
        <v>0</v>
      </c>
      <c r="GN202" s="9" t="n">
        <v>0</v>
      </c>
      <c r="GO202" s="9" t="n">
        <v>1760</v>
      </c>
      <c r="GS202" s="10" t="n">
        <v>46193</v>
      </c>
      <c r="GU202" s="9" t="n">
        <v>0</v>
      </c>
      <c r="GW202" s="9" t="n">
        <v>0</v>
      </c>
      <c r="GX202" s="9" t="n">
        <v>400</v>
      </c>
      <c r="HB202" s="10" t="n">
        <v>46193</v>
      </c>
      <c r="HD202" s="9" t="n">
        <v>0</v>
      </c>
      <c r="HF202" s="9" t="n">
        <v>0</v>
      </c>
      <c r="HG202" s="9" t="n">
        <v>3600</v>
      </c>
      <c r="HK202" s="10" t="n">
        <v>46193</v>
      </c>
      <c r="HM202" s="9" t="n">
        <v>0</v>
      </c>
      <c r="HO202" s="9" t="n">
        <v>0</v>
      </c>
      <c r="HP202" s="9" t="n">
        <v>0</v>
      </c>
      <c r="HU202" s="10" t="n">
        <v>46193</v>
      </c>
      <c r="HW202" s="9" t="n">
        <v>0</v>
      </c>
      <c r="HY202" s="9" t="n">
        <v>0</v>
      </c>
      <c r="HZ202" s="9" t="n">
        <v>6800</v>
      </c>
      <c r="ID202" s="10" t="n">
        <v>46193</v>
      </c>
      <c r="IF202" s="9" t="n">
        <v>0</v>
      </c>
      <c r="IH202" s="9" t="n">
        <v>0</v>
      </c>
      <c r="II202" s="9" t="n">
        <v>720</v>
      </c>
      <c r="IM202" s="10" t="n">
        <v>46193</v>
      </c>
      <c r="IO202" s="9" t="n">
        <v>0</v>
      </c>
      <c r="IQ202" s="9" t="n">
        <v>0</v>
      </c>
      <c r="IR202" s="9" t="n">
        <v>6520</v>
      </c>
      <c r="IV202" s="10" t="n">
        <v>46193</v>
      </c>
      <c r="IX202" s="9" t="n">
        <v>0</v>
      </c>
      <c r="IZ202" s="9" t="n">
        <v>0</v>
      </c>
      <c r="JA202" s="9" t="n">
        <v>4960</v>
      </c>
      <c r="JE202" s="10" t="n">
        <v>46193</v>
      </c>
      <c r="JG202" s="9" t="n">
        <v>0</v>
      </c>
      <c r="JI202" s="9" t="n">
        <v>0</v>
      </c>
      <c r="JJ202" s="9" t="n">
        <v>0</v>
      </c>
      <c r="JN202" s="10" t="n">
        <v>46193</v>
      </c>
      <c r="JP202" s="9" t="n">
        <v>0</v>
      </c>
      <c r="JR202" s="9" t="n">
        <v>0</v>
      </c>
      <c r="JS202" s="9" t="n">
        <v>0</v>
      </c>
      <c r="JW202" s="10" t="n">
        <v>46193</v>
      </c>
      <c r="JY202" s="9" t="n">
        <v>0</v>
      </c>
      <c r="KA202" s="9" t="n">
        <v>0</v>
      </c>
      <c r="KB202" s="9" t="n">
        <v>2540</v>
      </c>
      <c r="KF202" s="10" t="n">
        <v>46193</v>
      </c>
      <c r="KH202" s="9" t="n">
        <v>0</v>
      </c>
      <c r="KJ202" s="9" t="n">
        <v>0</v>
      </c>
      <c r="KK202" s="9" t="n">
        <v>2359.5</v>
      </c>
      <c r="KO202" s="10" t="n">
        <v>46193</v>
      </c>
      <c r="KQ202" s="9" t="n">
        <v>0</v>
      </c>
      <c r="KS202" s="9" t="n">
        <v>0</v>
      </c>
      <c r="KT202" s="9" t="n">
        <v>1890</v>
      </c>
      <c r="KX202" s="10" t="n">
        <v>46193</v>
      </c>
      <c r="KZ202" s="9" t="n">
        <v>0</v>
      </c>
      <c r="LB202" s="9" t="n">
        <v>0</v>
      </c>
      <c r="LC202" s="9" t="n">
        <v>3690</v>
      </c>
      <c r="LG202" s="10" t="n">
        <v>46193</v>
      </c>
      <c r="LI202" s="9" t="n">
        <v>0</v>
      </c>
      <c r="LK202" s="9" t="n">
        <v>0</v>
      </c>
      <c r="LL202" s="9" t="n">
        <v>4000</v>
      </c>
      <c r="LP202" s="10" t="n">
        <v>46193</v>
      </c>
      <c r="LR202" s="9" t="n">
        <v>0</v>
      </c>
      <c r="LT202" s="9" t="n">
        <v>0</v>
      </c>
      <c r="LU202" s="9" t="n">
        <v>0</v>
      </c>
      <c r="LY202" s="10" t="n">
        <v>46193</v>
      </c>
      <c r="MA202" s="9" t="n">
        <v>0</v>
      </c>
      <c r="MC202" s="9" t="n">
        <v>0</v>
      </c>
      <c r="MD202" s="9" t="n">
        <v>0</v>
      </c>
      <c r="MH202" s="10" t="n">
        <v>46193</v>
      </c>
      <c r="MJ202" s="9" t="n">
        <v>0</v>
      </c>
      <c r="ML202" s="9" t="n">
        <v>0</v>
      </c>
      <c r="MM202" s="9" t="n">
        <v>0</v>
      </c>
      <c r="MQ202" s="10" t="n">
        <v>46193</v>
      </c>
      <c r="MS202" s="9" t="n">
        <v>0</v>
      </c>
      <c r="MU202" s="9" t="n">
        <v>0</v>
      </c>
      <c r="MV202" s="9" t="n">
        <v>3724</v>
      </c>
      <c r="MZ202" s="10" t="n">
        <v>46193</v>
      </c>
      <c r="NB202" s="9" t="n">
        <v>0</v>
      </c>
      <c r="ND202" s="9" t="n">
        <v>0</v>
      </c>
      <c r="NE202" s="9" t="n">
        <v>0</v>
      </c>
      <c r="NI202" s="10" t="n">
        <v>46193</v>
      </c>
      <c r="NK202" s="9" t="n">
        <v>0</v>
      </c>
      <c r="NM202" s="9" t="n">
        <v>0</v>
      </c>
      <c r="NN202" s="9" t="n">
        <v>1127</v>
      </c>
      <c r="NR202" s="10" t="n">
        <v>46193</v>
      </c>
      <c r="NT202" s="9" t="n">
        <v>0</v>
      </c>
      <c r="NV202" s="9" t="n">
        <v>0</v>
      </c>
      <c r="NW202" s="9" t="n">
        <v>3112</v>
      </c>
      <c r="OA202" s="10" t="n">
        <v>46193</v>
      </c>
      <c r="OC202" s="9" t="n">
        <v>0</v>
      </c>
      <c r="OE202" s="9" t="n">
        <v>0</v>
      </c>
      <c r="OF202" s="9" t="n">
        <v>1680.5</v>
      </c>
      <c r="OJ202" s="10" t="n">
        <v>46193</v>
      </c>
      <c r="OL202" s="9" t="n">
        <v>0</v>
      </c>
      <c r="ON202" s="9" t="n">
        <v>0</v>
      </c>
      <c r="OO202" s="9" t="n">
        <v>0</v>
      </c>
      <c r="OS202" s="10" t="n">
        <v>46193</v>
      </c>
      <c r="OU202" s="9" t="n">
        <v>0</v>
      </c>
      <c r="OW202" s="9" t="n">
        <v>0</v>
      </c>
      <c r="OX202" s="9" t="n">
        <v>1482</v>
      </c>
      <c r="PB202" s="10" t="n">
        <v>46193</v>
      </c>
      <c r="PD202" s="9" t="n">
        <v>0</v>
      </c>
      <c r="PF202" s="9" t="n">
        <v>0</v>
      </c>
      <c r="PG202" s="9" t="n">
        <v>0</v>
      </c>
      <c r="PK202" s="10" t="n">
        <v>46193</v>
      </c>
      <c r="PM202" s="9" t="n">
        <v>0</v>
      </c>
      <c r="PO202" s="9" t="n">
        <v>0</v>
      </c>
      <c r="PP202" s="9" t="n">
        <v>100</v>
      </c>
      <c r="PT202" s="10" t="n">
        <v>46193</v>
      </c>
      <c r="PV202" s="9" t="n">
        <v>0</v>
      </c>
      <c r="PX202" s="9" t="n">
        <v>0</v>
      </c>
      <c r="PY202" s="9" t="n">
        <v>13.96000000000004</v>
      </c>
      <c r="QC202" s="10" t="n">
        <v>46193</v>
      </c>
      <c r="QE202" s="9" t="n">
        <v>0</v>
      </c>
      <c r="QG202" s="9" t="n">
        <v>0</v>
      </c>
      <c r="QH202" s="9" t="n">
        <v>1736</v>
      </c>
      <c r="QL202" s="10" t="n">
        <v>46193</v>
      </c>
      <c r="QN202" s="9" t="n">
        <v>0</v>
      </c>
      <c r="QP202" s="9" t="n">
        <v>0</v>
      </c>
      <c r="QQ202" s="9" t="n">
        <v>250</v>
      </c>
      <c r="QU202" s="10" t="n">
        <v>46193</v>
      </c>
      <c r="QW202" s="9" t="n">
        <v>0</v>
      </c>
      <c r="QY202" s="9" t="n">
        <v>0</v>
      </c>
      <c r="QZ202" s="9" t="n">
        <v>207.6</v>
      </c>
      <c r="RD202" s="10" t="n">
        <v>46193</v>
      </c>
      <c r="RF202" s="9" t="n">
        <v>0</v>
      </c>
      <c r="RH202" s="9" t="n">
        <v>0</v>
      </c>
      <c r="RI202" s="9" t="n">
        <v>147.04</v>
      </c>
      <c r="RM202" s="10" t="n">
        <v>46193</v>
      </c>
      <c r="RO202" s="9" t="n">
        <v>0</v>
      </c>
      <c r="RQ202" s="9" t="n">
        <v>0</v>
      </c>
      <c r="RR202" s="9" t="n">
        <v>46.8</v>
      </c>
      <c r="RV202" s="10" t="n">
        <v>46193</v>
      </c>
      <c r="RX202" s="9" t="n">
        <v>0</v>
      </c>
      <c r="RZ202" s="9" t="n">
        <v>0</v>
      </c>
      <c r="SA202" s="9" t="n">
        <v>0</v>
      </c>
      <c r="SE202" s="10" t="n">
        <v>46193</v>
      </c>
      <c r="SG202" s="9" t="n">
        <v>0</v>
      </c>
      <c r="SI202" s="9" t="n">
        <v>0</v>
      </c>
      <c r="SJ202" s="9" t="n">
        <v>24.2</v>
      </c>
      <c r="SN202" s="10" t="n">
        <v>46193</v>
      </c>
      <c r="SP202" s="9" t="n">
        <v>0</v>
      </c>
      <c r="SR202" s="9" t="n">
        <v>0</v>
      </c>
      <c r="SS202" s="9" t="n">
        <v>32</v>
      </c>
      <c r="SW202" s="10" t="n">
        <v>46193</v>
      </c>
      <c r="SY202" s="9" t="n">
        <v>0</v>
      </c>
      <c r="TA202" s="9" t="n">
        <v>0</v>
      </c>
      <c r="TB202" s="9" t="n">
        <v>0</v>
      </c>
      <c r="TF202" s="10" t="n">
        <v>46193</v>
      </c>
      <c r="TH202" s="9" t="n">
        <v>0</v>
      </c>
      <c r="TJ202" s="9" t="n">
        <v>0</v>
      </c>
      <c r="TK202" s="9" t="n">
        <v>0</v>
      </c>
      <c r="TO202" s="10" t="n">
        <v>46193</v>
      </c>
      <c r="TQ202" s="9" t="n">
        <v>0</v>
      </c>
      <c r="TS202" s="9" t="n">
        <v>0</v>
      </c>
      <c r="TT202" s="9" t="n">
        <v>22.40000000000001</v>
      </c>
      <c r="TX202" s="10" t="n">
        <v>46193</v>
      </c>
      <c r="TZ202" s="9" t="n">
        <v>0</v>
      </c>
      <c r="UB202" s="9" t="n">
        <v>0</v>
      </c>
      <c r="UC202" s="9" t="n">
        <v>46.79999999999998</v>
      </c>
      <c r="UG202" s="10" t="n">
        <v>46193</v>
      </c>
      <c r="UI202" s="9" t="n">
        <v>0</v>
      </c>
      <c r="UK202" s="9" t="n">
        <v>0</v>
      </c>
      <c r="UL202" s="9" t="n">
        <v>204</v>
      </c>
      <c r="UP202" s="10" t="n">
        <v>46193</v>
      </c>
      <c r="UR202" s="9" t="n">
        <v>0</v>
      </c>
      <c r="UT202" s="9" t="n">
        <v>0</v>
      </c>
      <c r="UU202" s="9" t="n">
        <v>251.25</v>
      </c>
      <c r="UY202" s="10" t="n">
        <v>46193</v>
      </c>
      <c r="VA202" s="9" t="n">
        <v>0</v>
      </c>
      <c r="VC202" s="9" t="n">
        <v>0</v>
      </c>
      <c r="VD202" s="9" t="n">
        <v>41.60000000000002</v>
      </c>
      <c r="VH202" s="10" t="n">
        <v>46193</v>
      </c>
      <c r="VJ202" s="9" t="n">
        <v>0</v>
      </c>
      <c r="VL202" s="9" t="n">
        <v>0</v>
      </c>
      <c r="VM202" s="9" t="n">
        <v>210</v>
      </c>
      <c r="VQ202" s="10" t="n">
        <v>46193</v>
      </c>
      <c r="VS202" s="9" t="n">
        <v>0</v>
      </c>
      <c r="VU202" s="9" t="n">
        <v>0</v>
      </c>
      <c r="VV202" s="9" t="n">
        <v>0</v>
      </c>
      <c r="VZ202" s="10" t="n">
        <v>46193</v>
      </c>
      <c r="WB202" s="9" t="n">
        <v>0</v>
      </c>
      <c r="WD202" s="9" t="n">
        <v>0</v>
      </c>
      <c r="WE202" s="9" t="n">
        <v>0</v>
      </c>
      <c r="WI202" s="10" t="n">
        <v>46193</v>
      </c>
      <c r="WK202" s="9" t="n">
        <v>0</v>
      </c>
      <c r="WM202" s="9" t="n">
        <v>0</v>
      </c>
      <c r="WN202" s="9" t="n">
        <v>1199</v>
      </c>
      <c r="WR202" s="10" t="n">
        <v>46193</v>
      </c>
      <c r="WT202" s="9" t="n">
        <v>0</v>
      </c>
      <c r="WV202" s="9" t="n">
        <v>0</v>
      </c>
      <c r="WW202" s="9" t="n">
        <v>0</v>
      </c>
      <c r="XA202" s="10" t="n">
        <v>46193</v>
      </c>
      <c r="XC202" s="9" t="n">
        <v>0</v>
      </c>
      <c r="XE202" s="9" t="n">
        <v>0</v>
      </c>
      <c r="XF202" s="9" t="n">
        <v>6813</v>
      </c>
      <c r="XJ202" s="10" t="n">
        <v>46193</v>
      </c>
      <c r="XL202" s="9" t="n">
        <v>0</v>
      </c>
      <c r="XN202" s="9" t="n">
        <v>0</v>
      </c>
      <c r="XO202" s="9" t="n">
        <v>4689</v>
      </c>
      <c r="XS202" s="10" t="n">
        <v>46193</v>
      </c>
      <c r="XU202" s="9" t="n">
        <v>0</v>
      </c>
      <c r="XW202" s="9" t="n">
        <v>0</v>
      </c>
      <c r="XX202" s="9" t="n">
        <v>1621</v>
      </c>
      <c r="YB202" s="10" t="n">
        <v>46193</v>
      </c>
      <c r="YD202" s="9" t="n">
        <v>0</v>
      </c>
      <c r="YF202" s="9" t="n">
        <v>0</v>
      </c>
      <c r="YG202" s="9" t="n">
        <v>4072</v>
      </c>
      <c r="YK202" s="10" t="n">
        <v>46193</v>
      </c>
      <c r="YM202" s="9" t="n">
        <v>0</v>
      </c>
      <c r="YO202" s="9" t="n">
        <v>0</v>
      </c>
      <c r="YP202" s="9" t="n">
        <v>0</v>
      </c>
      <c r="YT202" s="10" t="n">
        <v>46193</v>
      </c>
      <c r="YV202" s="9" t="n">
        <v>0</v>
      </c>
      <c r="YX202" s="9" t="n">
        <v>0</v>
      </c>
      <c r="YY202" s="9" t="n">
        <v>0</v>
      </c>
      <c r="ZC202" s="10" t="n">
        <v>46193</v>
      </c>
      <c r="ZE202" s="9" t="n">
        <v>0</v>
      </c>
      <c r="ZG202" s="9" t="n">
        <v>0</v>
      </c>
      <c r="ZH202" s="9" t="n">
        <v>0</v>
      </c>
      <c r="ZL202" s="10" t="n">
        <v>46193</v>
      </c>
      <c r="ZN202" s="9" t="n">
        <v>0</v>
      </c>
      <c r="ZP202" s="9" t="n">
        <v>0</v>
      </c>
      <c r="ZQ202" s="9" t="n">
        <v>0</v>
      </c>
      <c r="ZU202" s="10" t="n">
        <v>46193</v>
      </c>
      <c r="ZW202" s="9" t="n">
        <v>0</v>
      </c>
      <c r="ZY202" s="9" t="n">
        <v>0</v>
      </c>
      <c r="ZZ202" s="9" t="n">
        <v>0</v>
      </c>
      <c r="AAD202" s="10" t="n">
        <v>46193</v>
      </c>
      <c r="AAF202" s="9" t="n">
        <v>0</v>
      </c>
      <c r="AAH202" s="9" t="n">
        <v>0</v>
      </c>
      <c r="AAI202" s="9" t="n">
        <v>0</v>
      </c>
      <c r="AAM202" s="10" t="n">
        <v>46193</v>
      </c>
      <c r="AAO202" s="9" t="n">
        <v>0</v>
      </c>
      <c r="AAQ202" s="9" t="n">
        <v>0</v>
      </c>
      <c r="AAR202" s="9" t="n">
        <v>0</v>
      </c>
      <c r="AAV202" s="10" t="n">
        <v>46193</v>
      </c>
      <c r="AAX202" s="9" t="n">
        <v>0</v>
      </c>
      <c r="AAZ202" s="9" t="n">
        <v>0</v>
      </c>
      <c r="ABA202" s="9" t="n">
        <v>0</v>
      </c>
      <c r="ABE202" s="10" t="n">
        <v>46193</v>
      </c>
      <c r="ABG202" s="9" t="n">
        <v>0</v>
      </c>
      <c r="ABI202" s="9" t="n">
        <v>0</v>
      </c>
      <c r="ABJ202" s="9" t="n">
        <v>0</v>
      </c>
    </row>
    <row r="203">
      <c r="C203" s="10" t="n">
        <v>46194</v>
      </c>
      <c r="E203" s="9" t="n">
        <v>0</v>
      </c>
      <c r="G203" s="9" t="n">
        <v>0</v>
      </c>
      <c r="H203" s="9" t="n">
        <v>36681.00000000006</v>
      </c>
      <c r="L203" s="10" t="n">
        <v>46194</v>
      </c>
      <c r="N203" s="9" t="n">
        <v>0</v>
      </c>
      <c r="P203" s="9" t="n">
        <v>0</v>
      </c>
      <c r="Q203" s="9" t="n">
        <v>68803.60000000008</v>
      </c>
      <c r="U203" s="10" t="n">
        <v>46194</v>
      </c>
      <c r="W203" s="9" t="n">
        <v>0</v>
      </c>
      <c r="Y203" s="9" t="n">
        <v>0</v>
      </c>
      <c r="Z203" s="9" t="n">
        <v>33087.69999999998</v>
      </c>
      <c r="AD203" s="10" t="n">
        <v>46194</v>
      </c>
      <c r="AF203" s="9" t="n">
        <v>0</v>
      </c>
      <c r="AH203" s="9" t="n">
        <v>0</v>
      </c>
      <c r="AI203" s="9" t="n">
        <v>33372.70000000002</v>
      </c>
      <c r="AM203" s="10" t="n">
        <v>46194</v>
      </c>
      <c r="AO203" s="9" t="n">
        <v>0</v>
      </c>
      <c r="AQ203" s="9" t="n">
        <v>0</v>
      </c>
      <c r="AR203" s="9" t="n">
        <v>0</v>
      </c>
      <c r="AV203" s="10" t="n">
        <v>46194</v>
      </c>
      <c r="AX203" s="9" t="n">
        <v>0</v>
      </c>
      <c r="AZ203" s="9" t="n">
        <v>0</v>
      </c>
      <c r="BA203" s="9" t="n">
        <v>14066.5</v>
      </c>
      <c r="BE203" s="10" t="n">
        <v>46194</v>
      </c>
      <c r="BG203" s="9" t="n">
        <v>0</v>
      </c>
      <c r="BI203" s="9" t="n">
        <v>0</v>
      </c>
      <c r="BJ203" s="9" t="n">
        <v>39235.39999999999</v>
      </c>
      <c r="BN203" s="10" t="n">
        <v>46194</v>
      </c>
      <c r="BP203" s="9" t="n">
        <v>0</v>
      </c>
      <c r="BR203" s="9" t="n">
        <v>0</v>
      </c>
      <c r="BS203" s="9" t="n">
        <v>0</v>
      </c>
      <c r="BW203" s="10" t="n">
        <v>46194</v>
      </c>
      <c r="BY203" s="9" t="n">
        <v>0</v>
      </c>
      <c r="CA203" s="9" t="n">
        <v>0</v>
      </c>
      <c r="CB203" s="9" t="n">
        <v>3188.329999999999</v>
      </c>
      <c r="CF203" s="10" t="n">
        <v>46194</v>
      </c>
      <c r="CH203" s="9" t="n">
        <v>0</v>
      </c>
      <c r="CJ203" s="9" t="n">
        <v>0</v>
      </c>
      <c r="CK203" s="9" t="n">
        <v>0</v>
      </c>
      <c r="CO203" s="10" t="n">
        <v>46194</v>
      </c>
      <c r="CQ203" s="9" t="n">
        <v>0</v>
      </c>
      <c r="CS203" s="9" t="n">
        <v>0</v>
      </c>
      <c r="CT203" s="9" t="n">
        <v>0</v>
      </c>
      <c r="CX203" s="10" t="n">
        <v>46194</v>
      </c>
      <c r="CZ203" s="9" t="n">
        <v>0</v>
      </c>
      <c r="DB203" s="9" t="n">
        <v>0</v>
      </c>
      <c r="DC203" s="9" t="n">
        <v>14823.00000000001</v>
      </c>
      <c r="DG203" s="10" t="n">
        <v>46194</v>
      </c>
      <c r="DI203" s="9" t="n">
        <v>0</v>
      </c>
      <c r="DK203" s="9" t="n">
        <v>0</v>
      </c>
      <c r="DL203" s="9" t="n">
        <v>35234.99999999999</v>
      </c>
      <c r="DP203" s="10" t="n">
        <v>46194</v>
      </c>
      <c r="DR203" s="9" t="n">
        <v>0</v>
      </c>
      <c r="DT203" s="9" t="n">
        <v>0</v>
      </c>
      <c r="DU203" s="9" t="n">
        <v>5800</v>
      </c>
      <c r="DY203" s="10" t="n">
        <v>46194</v>
      </c>
      <c r="EA203" s="9" t="n">
        <v>0</v>
      </c>
      <c r="EC203" s="9" t="n">
        <v>0</v>
      </c>
      <c r="ED203" s="9" t="n">
        <v>0</v>
      </c>
      <c r="EH203" s="10" t="n">
        <v>46194</v>
      </c>
      <c r="EJ203" s="9" t="n">
        <v>0</v>
      </c>
      <c r="EL203" s="9" t="n">
        <v>0</v>
      </c>
      <c r="EM203" s="9" t="n">
        <v>0</v>
      </c>
      <c r="EQ203" s="10" t="n">
        <v>46194</v>
      </c>
      <c r="ES203" s="9" t="n">
        <v>0</v>
      </c>
      <c r="EU203" s="9" t="n">
        <v>0</v>
      </c>
      <c r="EV203" s="9" t="n">
        <v>0</v>
      </c>
      <c r="EZ203" s="10" t="n">
        <v>46194</v>
      </c>
      <c r="FB203" s="9" t="n">
        <v>0</v>
      </c>
      <c r="FD203" s="9" t="n">
        <v>0</v>
      </c>
      <c r="FE203" s="9" t="n">
        <v>0</v>
      </c>
      <c r="FI203" s="10" t="n">
        <v>46194</v>
      </c>
      <c r="FK203" s="9" t="n">
        <v>0</v>
      </c>
      <c r="FM203" s="9" t="n">
        <v>0</v>
      </c>
      <c r="FN203" s="9" t="n">
        <v>0</v>
      </c>
      <c r="FR203" s="10" t="n">
        <v>46194</v>
      </c>
      <c r="FT203" s="9" t="n">
        <v>0</v>
      </c>
      <c r="FV203" s="9" t="n">
        <v>0</v>
      </c>
      <c r="FW203" s="9" t="n">
        <v>1160</v>
      </c>
      <c r="GA203" s="10" t="n">
        <v>46194</v>
      </c>
      <c r="GC203" s="9" t="n">
        <v>0</v>
      </c>
      <c r="GE203" s="9" t="n">
        <v>0</v>
      </c>
      <c r="GF203" s="9" t="n">
        <v>960</v>
      </c>
      <c r="GJ203" s="10" t="n">
        <v>46194</v>
      </c>
      <c r="GL203" s="9" t="n">
        <v>0</v>
      </c>
      <c r="GN203" s="9" t="n">
        <v>0</v>
      </c>
      <c r="GO203" s="9" t="n">
        <v>1760</v>
      </c>
      <c r="GS203" s="10" t="n">
        <v>46194</v>
      </c>
      <c r="GU203" s="9" t="n">
        <v>0</v>
      </c>
      <c r="GW203" s="9" t="n">
        <v>0</v>
      </c>
      <c r="GX203" s="9" t="n">
        <v>400</v>
      </c>
      <c r="HB203" s="10" t="n">
        <v>46194</v>
      </c>
      <c r="HD203" s="9" t="n">
        <v>0</v>
      </c>
      <c r="HF203" s="9" t="n">
        <v>0</v>
      </c>
      <c r="HG203" s="9" t="n">
        <v>3600</v>
      </c>
      <c r="HK203" s="10" t="n">
        <v>46194</v>
      </c>
      <c r="HM203" s="9" t="n">
        <v>0</v>
      </c>
      <c r="HO203" s="9" t="n">
        <v>0</v>
      </c>
      <c r="HP203" s="9" t="n">
        <v>0</v>
      </c>
      <c r="HU203" s="10" t="n">
        <v>46194</v>
      </c>
      <c r="HW203" s="9" t="n">
        <v>0</v>
      </c>
      <c r="HY203" s="9" t="n">
        <v>0</v>
      </c>
      <c r="HZ203" s="9" t="n">
        <v>6800</v>
      </c>
      <c r="ID203" s="10" t="n">
        <v>46194</v>
      </c>
      <c r="IF203" s="9" t="n">
        <v>0</v>
      </c>
      <c r="IH203" s="9" t="n">
        <v>0</v>
      </c>
      <c r="II203" s="9" t="n">
        <v>720</v>
      </c>
      <c r="IM203" s="10" t="n">
        <v>46194</v>
      </c>
      <c r="IO203" s="9" t="n">
        <v>0</v>
      </c>
      <c r="IQ203" s="9" t="n">
        <v>0</v>
      </c>
      <c r="IR203" s="9" t="n">
        <v>6520</v>
      </c>
      <c r="IV203" s="10" t="n">
        <v>46194</v>
      </c>
      <c r="IX203" s="9" t="n">
        <v>0</v>
      </c>
      <c r="IZ203" s="9" t="n">
        <v>0</v>
      </c>
      <c r="JA203" s="9" t="n">
        <v>4960</v>
      </c>
      <c r="JE203" s="10" t="n">
        <v>46194</v>
      </c>
      <c r="JG203" s="9" t="n">
        <v>0</v>
      </c>
      <c r="JI203" s="9" t="n">
        <v>0</v>
      </c>
      <c r="JJ203" s="9" t="n">
        <v>0</v>
      </c>
      <c r="JN203" s="10" t="n">
        <v>46194</v>
      </c>
      <c r="JP203" s="9" t="n">
        <v>0</v>
      </c>
      <c r="JR203" s="9" t="n">
        <v>0</v>
      </c>
      <c r="JS203" s="9" t="n">
        <v>0</v>
      </c>
      <c r="JW203" s="10" t="n">
        <v>46194</v>
      </c>
      <c r="JY203" s="9" t="n">
        <v>0</v>
      </c>
      <c r="KA203" s="9" t="n">
        <v>0</v>
      </c>
      <c r="KB203" s="9" t="n">
        <v>2540</v>
      </c>
      <c r="KF203" s="10" t="n">
        <v>46194</v>
      </c>
      <c r="KH203" s="9" t="n">
        <v>0</v>
      </c>
      <c r="KJ203" s="9" t="n">
        <v>0</v>
      </c>
      <c r="KK203" s="9" t="n">
        <v>2359.5</v>
      </c>
      <c r="KO203" s="10" t="n">
        <v>46194</v>
      </c>
      <c r="KQ203" s="9" t="n">
        <v>0</v>
      </c>
      <c r="KS203" s="9" t="n">
        <v>0</v>
      </c>
      <c r="KT203" s="9" t="n">
        <v>1890</v>
      </c>
      <c r="KX203" s="10" t="n">
        <v>46194</v>
      </c>
      <c r="KZ203" s="9" t="n">
        <v>0</v>
      </c>
      <c r="LB203" s="9" t="n">
        <v>0</v>
      </c>
      <c r="LC203" s="9" t="n">
        <v>3690</v>
      </c>
      <c r="LG203" s="10" t="n">
        <v>46194</v>
      </c>
      <c r="LI203" s="9" t="n">
        <v>0</v>
      </c>
      <c r="LK203" s="9" t="n">
        <v>0</v>
      </c>
      <c r="LL203" s="9" t="n">
        <v>4000</v>
      </c>
      <c r="LP203" s="10" t="n">
        <v>46194</v>
      </c>
      <c r="LR203" s="9" t="n">
        <v>0</v>
      </c>
      <c r="LT203" s="9" t="n">
        <v>0</v>
      </c>
      <c r="LU203" s="9" t="n">
        <v>0</v>
      </c>
      <c r="LY203" s="10" t="n">
        <v>46194</v>
      </c>
      <c r="MA203" s="9" t="n">
        <v>0</v>
      </c>
      <c r="MC203" s="9" t="n">
        <v>0</v>
      </c>
      <c r="MD203" s="9" t="n">
        <v>0</v>
      </c>
      <c r="MH203" s="10" t="n">
        <v>46194</v>
      </c>
      <c r="MJ203" s="9" t="n">
        <v>0</v>
      </c>
      <c r="ML203" s="9" t="n">
        <v>0</v>
      </c>
      <c r="MM203" s="9" t="n">
        <v>0</v>
      </c>
      <c r="MQ203" s="10" t="n">
        <v>46194</v>
      </c>
      <c r="MS203" s="9" t="n">
        <v>0</v>
      </c>
      <c r="MU203" s="9" t="n">
        <v>0</v>
      </c>
      <c r="MV203" s="9" t="n">
        <v>3724</v>
      </c>
      <c r="MZ203" s="10" t="n">
        <v>46194</v>
      </c>
      <c r="NB203" s="9" t="n">
        <v>0</v>
      </c>
      <c r="ND203" s="9" t="n">
        <v>0</v>
      </c>
      <c r="NE203" s="9" t="n">
        <v>0</v>
      </c>
      <c r="NI203" s="10" t="n">
        <v>46194</v>
      </c>
      <c r="NK203" s="9" t="n">
        <v>0</v>
      </c>
      <c r="NM203" s="9" t="n">
        <v>0</v>
      </c>
      <c r="NN203" s="9" t="n">
        <v>1127</v>
      </c>
      <c r="NR203" s="10" t="n">
        <v>46194</v>
      </c>
      <c r="NT203" s="9" t="n">
        <v>0</v>
      </c>
      <c r="NV203" s="9" t="n">
        <v>0</v>
      </c>
      <c r="NW203" s="9" t="n">
        <v>3112</v>
      </c>
      <c r="OA203" s="10" t="n">
        <v>46194</v>
      </c>
      <c r="OC203" s="9" t="n">
        <v>0</v>
      </c>
      <c r="OE203" s="9" t="n">
        <v>0</v>
      </c>
      <c r="OF203" s="9" t="n">
        <v>1680.5</v>
      </c>
      <c r="OJ203" s="10" t="n">
        <v>46194</v>
      </c>
      <c r="OL203" s="9" t="n">
        <v>0</v>
      </c>
      <c r="ON203" s="9" t="n">
        <v>0</v>
      </c>
      <c r="OO203" s="9" t="n">
        <v>0</v>
      </c>
      <c r="OS203" s="10" t="n">
        <v>46194</v>
      </c>
      <c r="OU203" s="9" t="n">
        <v>0</v>
      </c>
      <c r="OW203" s="9" t="n">
        <v>0</v>
      </c>
      <c r="OX203" s="9" t="n">
        <v>1482</v>
      </c>
      <c r="PB203" s="10" t="n">
        <v>46194</v>
      </c>
      <c r="PD203" s="9" t="n">
        <v>0</v>
      </c>
      <c r="PF203" s="9" t="n">
        <v>0</v>
      </c>
      <c r="PG203" s="9" t="n">
        <v>0</v>
      </c>
      <c r="PK203" s="10" t="n">
        <v>46194</v>
      </c>
      <c r="PM203" s="9" t="n">
        <v>0</v>
      </c>
      <c r="PO203" s="9" t="n">
        <v>0</v>
      </c>
      <c r="PP203" s="9" t="n">
        <v>100</v>
      </c>
      <c r="PT203" s="10" t="n">
        <v>46194</v>
      </c>
      <c r="PV203" s="9" t="n">
        <v>0</v>
      </c>
      <c r="PX203" s="9" t="n">
        <v>0</v>
      </c>
      <c r="PY203" s="9" t="n">
        <v>13.96000000000004</v>
      </c>
      <c r="QC203" s="10" t="n">
        <v>46194</v>
      </c>
      <c r="QE203" s="9" t="n">
        <v>0</v>
      </c>
      <c r="QG203" s="9" t="n">
        <v>0</v>
      </c>
      <c r="QH203" s="9" t="n">
        <v>1736</v>
      </c>
      <c r="QL203" s="10" t="n">
        <v>46194</v>
      </c>
      <c r="QN203" s="9" t="n">
        <v>0</v>
      </c>
      <c r="QP203" s="9" t="n">
        <v>0</v>
      </c>
      <c r="QQ203" s="9" t="n">
        <v>250</v>
      </c>
      <c r="QU203" s="10" t="n">
        <v>46194</v>
      </c>
      <c r="QW203" s="9" t="n">
        <v>0</v>
      </c>
      <c r="QY203" s="9" t="n">
        <v>0</v>
      </c>
      <c r="QZ203" s="9" t="n">
        <v>207.6</v>
      </c>
      <c r="RD203" s="10" t="n">
        <v>46194</v>
      </c>
      <c r="RF203" s="9" t="n">
        <v>0</v>
      </c>
      <c r="RH203" s="9" t="n">
        <v>0</v>
      </c>
      <c r="RI203" s="9" t="n">
        <v>147.04</v>
      </c>
      <c r="RM203" s="10" t="n">
        <v>46194</v>
      </c>
      <c r="RO203" s="9" t="n">
        <v>0</v>
      </c>
      <c r="RQ203" s="9" t="n">
        <v>0</v>
      </c>
      <c r="RR203" s="9" t="n">
        <v>46.8</v>
      </c>
      <c r="RV203" s="10" t="n">
        <v>46194</v>
      </c>
      <c r="RX203" s="9" t="n">
        <v>0</v>
      </c>
      <c r="RZ203" s="9" t="n">
        <v>0</v>
      </c>
      <c r="SA203" s="9" t="n">
        <v>0</v>
      </c>
      <c r="SE203" s="10" t="n">
        <v>46194</v>
      </c>
      <c r="SG203" s="9" t="n">
        <v>0</v>
      </c>
      <c r="SI203" s="9" t="n">
        <v>0</v>
      </c>
      <c r="SJ203" s="9" t="n">
        <v>24.2</v>
      </c>
      <c r="SN203" s="10" t="n">
        <v>46194</v>
      </c>
      <c r="SP203" s="9" t="n">
        <v>0</v>
      </c>
      <c r="SR203" s="9" t="n">
        <v>0</v>
      </c>
      <c r="SS203" s="9" t="n">
        <v>32</v>
      </c>
      <c r="SW203" s="10" t="n">
        <v>46194</v>
      </c>
      <c r="SY203" s="9" t="n">
        <v>0</v>
      </c>
      <c r="TA203" s="9" t="n">
        <v>0</v>
      </c>
      <c r="TB203" s="9" t="n">
        <v>0</v>
      </c>
      <c r="TF203" s="10" t="n">
        <v>46194</v>
      </c>
      <c r="TH203" s="9" t="n">
        <v>0</v>
      </c>
      <c r="TJ203" s="9" t="n">
        <v>0</v>
      </c>
      <c r="TK203" s="9" t="n">
        <v>0</v>
      </c>
      <c r="TO203" s="10" t="n">
        <v>46194</v>
      </c>
      <c r="TQ203" s="9" t="n">
        <v>0</v>
      </c>
      <c r="TS203" s="9" t="n">
        <v>0</v>
      </c>
      <c r="TT203" s="9" t="n">
        <v>22.40000000000001</v>
      </c>
      <c r="TX203" s="10" t="n">
        <v>46194</v>
      </c>
      <c r="TZ203" s="9" t="n">
        <v>0</v>
      </c>
      <c r="UB203" s="9" t="n">
        <v>0</v>
      </c>
      <c r="UC203" s="9" t="n">
        <v>46.79999999999998</v>
      </c>
      <c r="UG203" s="10" t="n">
        <v>46194</v>
      </c>
      <c r="UI203" s="9" t="n">
        <v>0</v>
      </c>
      <c r="UK203" s="9" t="n">
        <v>0</v>
      </c>
      <c r="UL203" s="9" t="n">
        <v>204</v>
      </c>
      <c r="UP203" s="10" t="n">
        <v>46194</v>
      </c>
      <c r="UR203" s="9" t="n">
        <v>0</v>
      </c>
      <c r="UT203" s="9" t="n">
        <v>0</v>
      </c>
      <c r="UU203" s="9" t="n">
        <v>251.25</v>
      </c>
      <c r="UY203" s="10" t="n">
        <v>46194</v>
      </c>
      <c r="VA203" s="9" t="n">
        <v>0</v>
      </c>
      <c r="VC203" s="9" t="n">
        <v>0</v>
      </c>
      <c r="VD203" s="9" t="n">
        <v>41.60000000000002</v>
      </c>
      <c r="VH203" s="10" t="n">
        <v>46194</v>
      </c>
      <c r="VJ203" s="9" t="n">
        <v>0</v>
      </c>
      <c r="VL203" s="9" t="n">
        <v>0</v>
      </c>
      <c r="VM203" s="9" t="n">
        <v>210</v>
      </c>
      <c r="VQ203" s="10" t="n">
        <v>46194</v>
      </c>
      <c r="VS203" s="9" t="n">
        <v>0</v>
      </c>
      <c r="VU203" s="9" t="n">
        <v>0</v>
      </c>
      <c r="VV203" s="9" t="n">
        <v>0</v>
      </c>
      <c r="VZ203" s="10" t="n">
        <v>46194</v>
      </c>
      <c r="WB203" s="9" t="n">
        <v>0</v>
      </c>
      <c r="WD203" s="9" t="n">
        <v>0</v>
      </c>
      <c r="WE203" s="9" t="n">
        <v>0</v>
      </c>
      <c r="WI203" s="10" t="n">
        <v>46194</v>
      </c>
      <c r="WK203" s="9" t="n">
        <v>0</v>
      </c>
      <c r="WM203" s="9" t="n">
        <v>0</v>
      </c>
      <c r="WN203" s="9" t="n">
        <v>1199</v>
      </c>
      <c r="WR203" s="10" t="n">
        <v>46194</v>
      </c>
      <c r="WT203" s="9" t="n">
        <v>0</v>
      </c>
      <c r="WV203" s="9" t="n">
        <v>0</v>
      </c>
      <c r="WW203" s="9" t="n">
        <v>0</v>
      </c>
      <c r="XA203" s="10" t="n">
        <v>46194</v>
      </c>
      <c r="XC203" s="9" t="n">
        <v>0</v>
      </c>
      <c r="XE203" s="9" t="n">
        <v>0</v>
      </c>
      <c r="XF203" s="9" t="n">
        <v>6813</v>
      </c>
      <c r="XJ203" s="10" t="n">
        <v>46194</v>
      </c>
      <c r="XL203" s="9" t="n">
        <v>0</v>
      </c>
      <c r="XN203" s="9" t="n">
        <v>0</v>
      </c>
      <c r="XO203" s="9" t="n">
        <v>4689</v>
      </c>
      <c r="XS203" s="10" t="n">
        <v>46194</v>
      </c>
      <c r="XU203" s="9" t="n">
        <v>0</v>
      </c>
      <c r="XW203" s="9" t="n">
        <v>0</v>
      </c>
      <c r="XX203" s="9" t="n">
        <v>1621</v>
      </c>
      <c r="YB203" s="10" t="n">
        <v>46194</v>
      </c>
      <c r="YD203" s="9" t="n">
        <v>0</v>
      </c>
      <c r="YF203" s="9" t="n">
        <v>0</v>
      </c>
      <c r="YG203" s="9" t="n">
        <v>4072</v>
      </c>
      <c r="YK203" s="10" t="n">
        <v>46194</v>
      </c>
      <c r="YM203" s="9" t="n">
        <v>0</v>
      </c>
      <c r="YO203" s="9" t="n">
        <v>0</v>
      </c>
      <c r="YP203" s="9" t="n">
        <v>0</v>
      </c>
      <c r="YT203" s="10" t="n">
        <v>46194</v>
      </c>
      <c r="YV203" s="9" t="n">
        <v>0</v>
      </c>
      <c r="YX203" s="9" t="n">
        <v>0</v>
      </c>
      <c r="YY203" s="9" t="n">
        <v>0</v>
      </c>
      <c r="ZC203" s="10" t="n">
        <v>46194</v>
      </c>
      <c r="ZE203" s="9" t="n">
        <v>0</v>
      </c>
      <c r="ZG203" s="9" t="n">
        <v>0</v>
      </c>
      <c r="ZH203" s="9" t="n">
        <v>0</v>
      </c>
      <c r="ZL203" s="10" t="n">
        <v>46194</v>
      </c>
      <c r="ZN203" s="9" t="n">
        <v>0</v>
      </c>
      <c r="ZP203" s="9" t="n">
        <v>0</v>
      </c>
      <c r="ZQ203" s="9" t="n">
        <v>0</v>
      </c>
      <c r="ZU203" s="10" t="n">
        <v>46194</v>
      </c>
      <c r="ZW203" s="9" t="n">
        <v>0</v>
      </c>
      <c r="ZY203" s="9" t="n">
        <v>0</v>
      </c>
      <c r="ZZ203" s="9" t="n">
        <v>0</v>
      </c>
      <c r="AAD203" s="10" t="n">
        <v>46194</v>
      </c>
      <c r="AAF203" s="9" t="n">
        <v>0</v>
      </c>
      <c r="AAH203" s="9" t="n">
        <v>0</v>
      </c>
      <c r="AAI203" s="9" t="n">
        <v>0</v>
      </c>
      <c r="AAM203" s="10" t="n">
        <v>46194</v>
      </c>
      <c r="AAO203" s="9" t="n">
        <v>0</v>
      </c>
      <c r="AAQ203" s="9" t="n">
        <v>0</v>
      </c>
      <c r="AAR203" s="9" t="n">
        <v>0</v>
      </c>
      <c r="AAV203" s="10" t="n">
        <v>46194</v>
      </c>
      <c r="AAX203" s="9" t="n">
        <v>0</v>
      </c>
      <c r="AAZ203" s="9" t="n">
        <v>0</v>
      </c>
      <c r="ABA203" s="9" t="n">
        <v>0</v>
      </c>
      <c r="ABE203" s="10" t="n">
        <v>46194</v>
      </c>
      <c r="ABG203" s="9" t="n">
        <v>0</v>
      </c>
      <c r="ABI203" s="9" t="n">
        <v>0</v>
      </c>
      <c r="ABJ203" s="9" t="n">
        <v>0</v>
      </c>
    </row>
    <row r="204">
      <c r="C204" s="10" t="n">
        <v>46195</v>
      </c>
      <c r="D204" s="9" t="n">
        <v>70350</v>
      </c>
      <c r="E204" s="9" t="n">
        <v>0</v>
      </c>
      <c r="G204" s="9" t="n">
        <v>0</v>
      </c>
      <c r="H204" s="9" t="n">
        <v>107031.0000000001</v>
      </c>
      <c r="L204" s="10" t="n">
        <v>46195</v>
      </c>
      <c r="N204" s="9" t="n">
        <v>0</v>
      </c>
      <c r="P204" s="9" t="n">
        <v>0</v>
      </c>
      <c r="Q204" s="9" t="n">
        <v>68803.60000000008</v>
      </c>
      <c r="U204" s="10" t="n">
        <v>46195</v>
      </c>
      <c r="W204" s="9" t="n">
        <v>0</v>
      </c>
      <c r="Y204" s="9" t="n">
        <v>0</v>
      </c>
      <c r="Z204" s="9" t="n">
        <v>33087.69999999998</v>
      </c>
      <c r="AD204" s="10" t="n">
        <v>46195</v>
      </c>
      <c r="AF204" s="9" t="n">
        <v>0</v>
      </c>
      <c r="AH204" s="9" t="n">
        <v>0</v>
      </c>
      <c r="AI204" s="9" t="n">
        <v>33372.70000000002</v>
      </c>
      <c r="AM204" s="10" t="n">
        <v>46195</v>
      </c>
      <c r="AO204" s="9" t="n">
        <v>0</v>
      </c>
      <c r="AQ204" s="9" t="n">
        <v>0</v>
      </c>
      <c r="AR204" s="9" t="n">
        <v>0</v>
      </c>
      <c r="AV204" s="10" t="n">
        <v>46195</v>
      </c>
      <c r="AX204" s="9" t="n">
        <v>0</v>
      </c>
      <c r="AZ204" s="9" t="n">
        <v>0</v>
      </c>
      <c r="BA204" s="9" t="n">
        <v>14066.5</v>
      </c>
      <c r="BE204" s="10" t="n">
        <v>46195</v>
      </c>
      <c r="BG204" s="9" t="n">
        <v>0</v>
      </c>
      <c r="BI204" s="9" t="n">
        <v>0</v>
      </c>
      <c r="BJ204" s="9" t="n">
        <v>39235.39999999999</v>
      </c>
      <c r="BN204" s="10" t="n">
        <v>46195</v>
      </c>
      <c r="BP204" s="9" t="n">
        <v>0</v>
      </c>
      <c r="BR204" s="9" t="n">
        <v>0</v>
      </c>
      <c r="BS204" s="9" t="n">
        <v>0</v>
      </c>
      <c r="BW204" s="10" t="n">
        <v>46195</v>
      </c>
      <c r="BY204" s="9" t="n">
        <v>0</v>
      </c>
      <c r="BZ204" s="9" t="n">
        <v>43.06</v>
      </c>
      <c r="CA204" s="9" t="n">
        <v>-43.06</v>
      </c>
      <c r="CB204" s="9" t="n">
        <v>3145.269999999999</v>
      </c>
      <c r="CF204" s="10" t="n">
        <v>46195</v>
      </c>
      <c r="CG204" s="9" t="n">
        <v>81.42</v>
      </c>
      <c r="CH204" s="9" t="n">
        <v>0</v>
      </c>
      <c r="CI204" s="9" t="n">
        <v>81.42</v>
      </c>
      <c r="CJ204" s="9" t="n">
        <v>-81.42</v>
      </c>
      <c r="CK204" s="9" t="n">
        <v>0</v>
      </c>
      <c r="CO204" s="10" t="n">
        <v>46195</v>
      </c>
      <c r="CQ204" s="9" t="n">
        <v>0</v>
      </c>
      <c r="CS204" s="9" t="n">
        <v>0</v>
      </c>
      <c r="CT204" s="9" t="n">
        <v>0</v>
      </c>
      <c r="CX204" s="10" t="n">
        <v>46195</v>
      </c>
      <c r="CZ204" s="9" t="n">
        <v>0</v>
      </c>
      <c r="DB204" s="9" t="n">
        <v>0</v>
      </c>
      <c r="DC204" s="9" t="n">
        <v>14823.00000000001</v>
      </c>
      <c r="DG204" s="10" t="n">
        <v>46195</v>
      </c>
      <c r="DI204" s="9" t="n">
        <v>0</v>
      </c>
      <c r="DK204" s="9" t="n">
        <v>0</v>
      </c>
      <c r="DL204" s="9" t="n">
        <v>35234.99999999999</v>
      </c>
      <c r="DP204" s="10" t="n">
        <v>46195</v>
      </c>
      <c r="DR204" s="9" t="n">
        <v>0</v>
      </c>
      <c r="DT204" s="9" t="n">
        <v>0</v>
      </c>
      <c r="DU204" s="9" t="n">
        <v>5800</v>
      </c>
      <c r="DY204" s="10" t="n">
        <v>46195</v>
      </c>
      <c r="EA204" s="9" t="n">
        <v>0</v>
      </c>
      <c r="EC204" s="9" t="n">
        <v>0</v>
      </c>
      <c r="ED204" s="9" t="n">
        <v>0</v>
      </c>
      <c r="EH204" s="10" t="n">
        <v>46195</v>
      </c>
      <c r="EJ204" s="9" t="n">
        <v>0</v>
      </c>
      <c r="EL204" s="9" t="n">
        <v>0</v>
      </c>
      <c r="EM204" s="9" t="n">
        <v>0</v>
      </c>
      <c r="EQ204" s="10" t="n">
        <v>46195</v>
      </c>
      <c r="ES204" s="9" t="n">
        <v>0</v>
      </c>
      <c r="EU204" s="9" t="n">
        <v>0</v>
      </c>
      <c r="EV204" s="9" t="n">
        <v>0</v>
      </c>
      <c r="EZ204" s="10" t="n">
        <v>46195</v>
      </c>
      <c r="FB204" s="9" t="n">
        <v>0</v>
      </c>
      <c r="FD204" s="9" t="n">
        <v>0</v>
      </c>
      <c r="FE204" s="9" t="n">
        <v>0</v>
      </c>
      <c r="FI204" s="10" t="n">
        <v>46195</v>
      </c>
      <c r="FK204" s="9" t="n">
        <v>0</v>
      </c>
      <c r="FM204" s="9" t="n">
        <v>0</v>
      </c>
      <c r="FN204" s="9" t="n">
        <v>0</v>
      </c>
      <c r="FR204" s="10" t="n">
        <v>46195</v>
      </c>
      <c r="FT204" s="9" t="n">
        <v>0</v>
      </c>
      <c r="FV204" s="9" t="n">
        <v>0</v>
      </c>
      <c r="FW204" s="9" t="n">
        <v>1160</v>
      </c>
      <c r="GA204" s="10" t="n">
        <v>46195</v>
      </c>
      <c r="GC204" s="9" t="n">
        <v>0</v>
      </c>
      <c r="GE204" s="9" t="n">
        <v>0</v>
      </c>
      <c r="GF204" s="9" t="n">
        <v>960</v>
      </c>
      <c r="GJ204" s="10" t="n">
        <v>46195</v>
      </c>
      <c r="GL204" s="9" t="n">
        <v>0</v>
      </c>
      <c r="GN204" s="9" t="n">
        <v>0</v>
      </c>
      <c r="GO204" s="9" t="n">
        <v>1760</v>
      </c>
      <c r="GS204" s="10" t="n">
        <v>46195</v>
      </c>
      <c r="GU204" s="9" t="n">
        <v>0</v>
      </c>
      <c r="GW204" s="9" t="n">
        <v>0</v>
      </c>
      <c r="GX204" s="9" t="n">
        <v>400</v>
      </c>
      <c r="HB204" s="10" t="n">
        <v>46195</v>
      </c>
      <c r="HD204" s="9" t="n">
        <v>0</v>
      </c>
      <c r="HF204" s="9" t="n">
        <v>0</v>
      </c>
      <c r="HG204" s="9" t="n">
        <v>3600</v>
      </c>
      <c r="HK204" s="10" t="n">
        <v>46195</v>
      </c>
      <c r="HM204" s="9" t="n">
        <v>0</v>
      </c>
      <c r="HO204" s="9" t="n">
        <v>0</v>
      </c>
      <c r="HP204" s="9" t="n">
        <v>0</v>
      </c>
      <c r="HU204" s="10" t="n">
        <v>46195</v>
      </c>
      <c r="HW204" s="9" t="n">
        <v>0</v>
      </c>
      <c r="HY204" s="9" t="n">
        <v>0</v>
      </c>
      <c r="HZ204" s="9" t="n">
        <v>6800</v>
      </c>
      <c r="ID204" s="10" t="n">
        <v>46195</v>
      </c>
      <c r="IF204" s="9" t="n">
        <v>0</v>
      </c>
      <c r="IH204" s="9" t="n">
        <v>0</v>
      </c>
      <c r="II204" s="9" t="n">
        <v>720</v>
      </c>
      <c r="IM204" s="10" t="n">
        <v>46195</v>
      </c>
      <c r="IO204" s="9" t="n">
        <v>0</v>
      </c>
      <c r="IQ204" s="9" t="n">
        <v>0</v>
      </c>
      <c r="IR204" s="9" t="n">
        <v>6520</v>
      </c>
      <c r="IV204" s="10" t="n">
        <v>46195</v>
      </c>
      <c r="IX204" s="9" t="n">
        <v>0</v>
      </c>
      <c r="IZ204" s="9" t="n">
        <v>0</v>
      </c>
      <c r="JA204" s="9" t="n">
        <v>4960</v>
      </c>
      <c r="JE204" s="10" t="n">
        <v>46195</v>
      </c>
      <c r="JG204" s="9" t="n">
        <v>0</v>
      </c>
      <c r="JI204" s="9" t="n">
        <v>0</v>
      </c>
      <c r="JJ204" s="9" t="n">
        <v>0</v>
      </c>
      <c r="JN204" s="10" t="n">
        <v>46195</v>
      </c>
      <c r="JP204" s="9" t="n">
        <v>0</v>
      </c>
      <c r="JR204" s="9" t="n">
        <v>0</v>
      </c>
      <c r="JS204" s="9" t="n">
        <v>0</v>
      </c>
      <c r="JW204" s="10" t="n">
        <v>46195</v>
      </c>
      <c r="JY204" s="9" t="n">
        <v>0</v>
      </c>
      <c r="KA204" s="9" t="n">
        <v>0</v>
      </c>
      <c r="KB204" s="9" t="n">
        <v>2540</v>
      </c>
      <c r="KF204" s="10" t="n">
        <v>46195</v>
      </c>
      <c r="KH204" s="9" t="n">
        <v>0</v>
      </c>
      <c r="KJ204" s="9" t="n">
        <v>0</v>
      </c>
      <c r="KK204" s="9" t="n">
        <v>2359.5</v>
      </c>
      <c r="KO204" s="10" t="n">
        <v>46195</v>
      </c>
      <c r="KQ204" s="9" t="n">
        <v>0</v>
      </c>
      <c r="KS204" s="9" t="n">
        <v>0</v>
      </c>
      <c r="KT204" s="9" t="n">
        <v>1890</v>
      </c>
      <c r="KX204" s="10" t="n">
        <v>46195</v>
      </c>
      <c r="KZ204" s="9" t="n">
        <v>0</v>
      </c>
      <c r="LB204" s="9" t="n">
        <v>0</v>
      </c>
      <c r="LC204" s="9" t="n">
        <v>3690</v>
      </c>
      <c r="LG204" s="10" t="n">
        <v>46195</v>
      </c>
      <c r="LI204" s="9" t="n">
        <v>0</v>
      </c>
      <c r="LK204" s="9" t="n">
        <v>0</v>
      </c>
      <c r="LL204" s="9" t="n">
        <v>4000</v>
      </c>
      <c r="LP204" s="10" t="n">
        <v>46195</v>
      </c>
      <c r="LR204" s="9" t="n">
        <v>0</v>
      </c>
      <c r="LT204" s="9" t="n">
        <v>0</v>
      </c>
      <c r="LU204" s="9" t="n">
        <v>0</v>
      </c>
      <c r="LY204" s="10" t="n">
        <v>46195</v>
      </c>
      <c r="MA204" s="9" t="n">
        <v>0</v>
      </c>
      <c r="MC204" s="9" t="n">
        <v>0</v>
      </c>
      <c r="MD204" s="9" t="n">
        <v>0</v>
      </c>
      <c r="MH204" s="10" t="n">
        <v>46195</v>
      </c>
      <c r="MJ204" s="9" t="n">
        <v>0</v>
      </c>
      <c r="ML204" s="9" t="n">
        <v>0</v>
      </c>
      <c r="MM204" s="9" t="n">
        <v>0</v>
      </c>
      <c r="MQ204" s="10" t="n">
        <v>46195</v>
      </c>
      <c r="MS204" s="9" t="n">
        <v>0</v>
      </c>
      <c r="MT204" s="9" t="n">
        <v>20</v>
      </c>
      <c r="MU204" s="9" t="n">
        <v>-20</v>
      </c>
      <c r="MV204" s="9" t="n">
        <v>3704</v>
      </c>
      <c r="MZ204" s="10" t="n">
        <v>46195</v>
      </c>
      <c r="NA204" s="9" t="n">
        <v>120</v>
      </c>
      <c r="NB204" s="9" t="n">
        <v>0</v>
      </c>
      <c r="NC204" s="9" t="n">
        <v>120</v>
      </c>
      <c r="ND204" s="9" t="n">
        <v>-120</v>
      </c>
      <c r="NE204" s="9" t="n">
        <v>0</v>
      </c>
      <c r="NI204" s="10" t="n">
        <v>46195</v>
      </c>
      <c r="NK204" s="9" t="n">
        <v>0</v>
      </c>
      <c r="NM204" s="9" t="n">
        <v>0</v>
      </c>
      <c r="NN204" s="9" t="n">
        <v>1127</v>
      </c>
      <c r="NR204" s="10" t="n">
        <v>46195</v>
      </c>
      <c r="NT204" s="9" t="n">
        <v>0</v>
      </c>
      <c r="NV204" s="9" t="n">
        <v>0</v>
      </c>
      <c r="NW204" s="9" t="n">
        <v>3112</v>
      </c>
      <c r="OA204" s="10" t="n">
        <v>46195</v>
      </c>
      <c r="OC204" s="9" t="n">
        <v>0</v>
      </c>
      <c r="OE204" s="9" t="n">
        <v>0</v>
      </c>
      <c r="OF204" s="9" t="n">
        <v>1680.5</v>
      </c>
      <c r="OJ204" s="10" t="n">
        <v>46195</v>
      </c>
      <c r="OK204" s="9" t="n">
        <v>18</v>
      </c>
      <c r="OL204" s="9" t="n">
        <v>0</v>
      </c>
      <c r="OM204" s="9" t="n">
        <v>18</v>
      </c>
      <c r="ON204" s="9" t="n">
        <v>-18</v>
      </c>
      <c r="OO204" s="9" t="n">
        <v>0</v>
      </c>
      <c r="OS204" s="10" t="n">
        <v>46195</v>
      </c>
      <c r="OU204" s="9" t="n">
        <v>0</v>
      </c>
      <c r="OW204" s="9" t="n">
        <v>0</v>
      </c>
      <c r="OX204" s="9" t="n">
        <v>1482</v>
      </c>
      <c r="PB204" s="10" t="n">
        <v>46195</v>
      </c>
      <c r="PD204" s="9" t="n">
        <v>0</v>
      </c>
      <c r="PF204" s="9" t="n">
        <v>0</v>
      </c>
      <c r="PG204" s="9" t="n">
        <v>0</v>
      </c>
      <c r="PK204" s="10" t="n">
        <v>46195</v>
      </c>
      <c r="PM204" s="9" t="n">
        <v>0</v>
      </c>
      <c r="PO204" s="9" t="n">
        <v>0</v>
      </c>
      <c r="PP204" s="9" t="n">
        <v>100</v>
      </c>
      <c r="PT204" s="10" t="n">
        <v>46195</v>
      </c>
      <c r="PV204" s="9" t="n">
        <v>0</v>
      </c>
      <c r="PX204" s="9" t="n">
        <v>0</v>
      </c>
      <c r="PY204" s="9" t="n">
        <v>13.96000000000004</v>
      </c>
      <c r="QC204" s="10" t="n">
        <v>46195</v>
      </c>
      <c r="QE204" s="9" t="n">
        <v>0</v>
      </c>
      <c r="QG204" s="9" t="n">
        <v>0</v>
      </c>
      <c r="QH204" s="9" t="n">
        <v>1736</v>
      </c>
      <c r="QL204" s="10" t="n">
        <v>46195</v>
      </c>
      <c r="QN204" s="9" t="n">
        <v>0</v>
      </c>
      <c r="QP204" s="9" t="n">
        <v>0</v>
      </c>
      <c r="QQ204" s="9" t="n">
        <v>250</v>
      </c>
      <c r="QU204" s="10" t="n">
        <v>46195</v>
      </c>
      <c r="QW204" s="9" t="n">
        <v>0</v>
      </c>
      <c r="QY204" s="9" t="n">
        <v>0</v>
      </c>
      <c r="QZ204" s="9" t="n">
        <v>207.6</v>
      </c>
      <c r="RD204" s="10" t="n">
        <v>46195</v>
      </c>
      <c r="RF204" s="9" t="n">
        <v>0</v>
      </c>
      <c r="RH204" s="9" t="n">
        <v>0</v>
      </c>
      <c r="RI204" s="9" t="n">
        <v>147.04</v>
      </c>
      <c r="RM204" s="10" t="n">
        <v>46195</v>
      </c>
      <c r="RO204" s="9" t="n">
        <v>0</v>
      </c>
      <c r="RQ204" s="9" t="n">
        <v>0</v>
      </c>
      <c r="RR204" s="9" t="n">
        <v>46.8</v>
      </c>
      <c r="RV204" s="10" t="n">
        <v>46195</v>
      </c>
      <c r="RX204" s="9" t="n">
        <v>0</v>
      </c>
      <c r="RZ204" s="9" t="n">
        <v>0</v>
      </c>
      <c r="SA204" s="9" t="n">
        <v>0</v>
      </c>
      <c r="SE204" s="10" t="n">
        <v>46195</v>
      </c>
      <c r="SG204" s="9" t="n">
        <v>0</v>
      </c>
      <c r="SI204" s="9" t="n">
        <v>0</v>
      </c>
      <c r="SJ204" s="9" t="n">
        <v>24.2</v>
      </c>
      <c r="SN204" s="10" t="n">
        <v>46195</v>
      </c>
      <c r="SP204" s="9" t="n">
        <v>0</v>
      </c>
      <c r="SR204" s="9" t="n">
        <v>0</v>
      </c>
      <c r="SS204" s="9" t="n">
        <v>32</v>
      </c>
      <c r="SW204" s="10" t="n">
        <v>46195</v>
      </c>
      <c r="SY204" s="9" t="n">
        <v>0</v>
      </c>
      <c r="TA204" s="9" t="n">
        <v>0</v>
      </c>
      <c r="TB204" s="9" t="n">
        <v>0</v>
      </c>
      <c r="TF204" s="10" t="n">
        <v>46195</v>
      </c>
      <c r="TH204" s="9" t="n">
        <v>0</v>
      </c>
      <c r="TJ204" s="9" t="n">
        <v>0</v>
      </c>
      <c r="TK204" s="9" t="n">
        <v>0</v>
      </c>
      <c r="TO204" s="10" t="n">
        <v>46195</v>
      </c>
      <c r="TQ204" s="9" t="n">
        <v>0</v>
      </c>
      <c r="TS204" s="9" t="n">
        <v>0</v>
      </c>
      <c r="TT204" s="9" t="n">
        <v>22.40000000000001</v>
      </c>
      <c r="TX204" s="10" t="n">
        <v>46195</v>
      </c>
      <c r="TZ204" s="9" t="n">
        <v>0</v>
      </c>
      <c r="UB204" s="9" t="n">
        <v>0</v>
      </c>
      <c r="UC204" s="9" t="n">
        <v>46.79999999999998</v>
      </c>
      <c r="UG204" s="10" t="n">
        <v>46195</v>
      </c>
      <c r="UI204" s="9" t="n">
        <v>0</v>
      </c>
      <c r="UK204" s="9" t="n">
        <v>0</v>
      </c>
      <c r="UL204" s="9" t="n">
        <v>204</v>
      </c>
      <c r="UP204" s="10" t="n">
        <v>46195</v>
      </c>
      <c r="UR204" s="9" t="n">
        <v>0</v>
      </c>
      <c r="UT204" s="9" t="n">
        <v>0</v>
      </c>
      <c r="UU204" s="9" t="n">
        <v>251.25</v>
      </c>
      <c r="UY204" s="10" t="n">
        <v>46195</v>
      </c>
      <c r="VA204" s="9" t="n">
        <v>0</v>
      </c>
      <c r="VC204" s="9" t="n">
        <v>0</v>
      </c>
      <c r="VD204" s="9" t="n">
        <v>41.60000000000002</v>
      </c>
      <c r="VH204" s="10" t="n">
        <v>46195</v>
      </c>
      <c r="VJ204" s="9" t="n">
        <v>0</v>
      </c>
      <c r="VL204" s="9" t="n">
        <v>0</v>
      </c>
      <c r="VM204" s="9" t="n">
        <v>210</v>
      </c>
      <c r="VQ204" s="10" t="n">
        <v>46195</v>
      </c>
      <c r="VS204" s="9" t="n">
        <v>0</v>
      </c>
      <c r="VU204" s="9" t="n">
        <v>0</v>
      </c>
      <c r="VV204" s="9" t="n">
        <v>0</v>
      </c>
      <c r="VZ204" s="10" t="n">
        <v>46195</v>
      </c>
      <c r="WB204" s="9" t="n">
        <v>0</v>
      </c>
      <c r="WD204" s="9" t="n">
        <v>0</v>
      </c>
      <c r="WE204" s="9" t="n">
        <v>0</v>
      </c>
      <c r="WI204" s="10" t="n">
        <v>46195</v>
      </c>
      <c r="WK204" s="9" t="n">
        <v>0</v>
      </c>
      <c r="WM204" s="9" t="n">
        <v>0</v>
      </c>
      <c r="WN204" s="9" t="n">
        <v>1199</v>
      </c>
      <c r="WR204" s="10" t="n">
        <v>46195</v>
      </c>
      <c r="WT204" s="9" t="n">
        <v>0</v>
      </c>
      <c r="WV204" s="9" t="n">
        <v>0</v>
      </c>
      <c r="WW204" s="9" t="n">
        <v>0</v>
      </c>
      <c r="XA204" s="10" t="n">
        <v>46195</v>
      </c>
      <c r="XC204" s="9" t="n">
        <v>0</v>
      </c>
      <c r="XE204" s="9" t="n">
        <v>0</v>
      </c>
      <c r="XF204" s="9" t="n">
        <v>6813</v>
      </c>
      <c r="XJ204" s="10" t="n">
        <v>46195</v>
      </c>
      <c r="XL204" s="9" t="n">
        <v>0</v>
      </c>
      <c r="XN204" s="9" t="n">
        <v>0</v>
      </c>
      <c r="XO204" s="9" t="n">
        <v>4689</v>
      </c>
      <c r="XS204" s="10" t="n">
        <v>46195</v>
      </c>
      <c r="XU204" s="9" t="n">
        <v>0</v>
      </c>
      <c r="XW204" s="9" t="n">
        <v>0</v>
      </c>
      <c r="XX204" s="9" t="n">
        <v>1621</v>
      </c>
      <c r="YB204" s="10" t="n">
        <v>46195</v>
      </c>
      <c r="YD204" s="9" t="n">
        <v>0</v>
      </c>
      <c r="YF204" s="9" t="n">
        <v>0</v>
      </c>
      <c r="YG204" s="9" t="n">
        <v>4072</v>
      </c>
      <c r="YK204" s="10" t="n">
        <v>46195</v>
      </c>
      <c r="YM204" s="9" t="n">
        <v>0</v>
      </c>
      <c r="YO204" s="9" t="n">
        <v>0</v>
      </c>
      <c r="YP204" s="9" t="n">
        <v>0</v>
      </c>
      <c r="YT204" s="10" t="n">
        <v>46195</v>
      </c>
      <c r="YV204" s="9" t="n">
        <v>0</v>
      </c>
      <c r="YX204" s="9" t="n">
        <v>0</v>
      </c>
      <c r="YY204" s="9" t="n">
        <v>0</v>
      </c>
      <c r="ZC204" s="10" t="n">
        <v>46195</v>
      </c>
      <c r="ZE204" s="9" t="n">
        <v>0</v>
      </c>
      <c r="ZG204" s="9" t="n">
        <v>0</v>
      </c>
      <c r="ZH204" s="9" t="n">
        <v>0</v>
      </c>
      <c r="ZL204" s="10" t="n">
        <v>46195</v>
      </c>
      <c r="ZN204" s="9" t="n">
        <v>0</v>
      </c>
      <c r="ZP204" s="9" t="n">
        <v>0</v>
      </c>
      <c r="ZQ204" s="9" t="n">
        <v>0</v>
      </c>
      <c r="ZU204" s="10" t="n">
        <v>46195</v>
      </c>
      <c r="ZW204" s="9" t="n">
        <v>0</v>
      </c>
      <c r="ZY204" s="9" t="n">
        <v>0</v>
      </c>
      <c r="ZZ204" s="9" t="n">
        <v>0</v>
      </c>
      <c r="AAD204" s="10" t="n">
        <v>46195</v>
      </c>
      <c r="AAF204" s="9" t="n">
        <v>0</v>
      </c>
      <c r="AAH204" s="9" t="n">
        <v>0</v>
      </c>
      <c r="AAI204" s="9" t="n">
        <v>0</v>
      </c>
      <c r="AAM204" s="10" t="n">
        <v>46195</v>
      </c>
      <c r="AAO204" s="9" t="n">
        <v>0</v>
      </c>
      <c r="AAQ204" s="9" t="n">
        <v>0</v>
      </c>
      <c r="AAR204" s="9" t="n">
        <v>0</v>
      </c>
      <c r="AAV204" s="10" t="n">
        <v>46195</v>
      </c>
      <c r="AAX204" s="9" t="n">
        <v>0</v>
      </c>
      <c r="AAZ204" s="9" t="n">
        <v>0</v>
      </c>
      <c r="ABA204" s="9" t="n">
        <v>0</v>
      </c>
      <c r="ABE204" s="10" t="n">
        <v>46195</v>
      </c>
      <c r="ABG204" s="9" t="n">
        <v>0</v>
      </c>
      <c r="ABI204" s="9" t="n">
        <v>0</v>
      </c>
      <c r="ABJ204" s="9" t="n">
        <v>0</v>
      </c>
    </row>
    <row r="205">
      <c r="B205" s="9" t="n">
        <v>20</v>
      </c>
      <c r="C205" s="10" t="n">
        <v>46196</v>
      </c>
      <c r="D205" s="9" t="n">
        <v>26600</v>
      </c>
      <c r="E205" s="9" t="n">
        <v>12288</v>
      </c>
      <c r="F205" s="9" t="n">
        <v>12273.8</v>
      </c>
      <c r="G205" s="9" t="n">
        <v>14.20000000000073</v>
      </c>
      <c r="H205" s="9" t="n">
        <v>121357.2000000001</v>
      </c>
      <c r="I205" s="9" t="inlineStr">
        <is>
          <t>5203 20mt</t>
        </is>
      </c>
      <c r="L205" s="10" t="n">
        <v>46196</v>
      </c>
      <c r="M205" s="9" t="n">
        <v>27650</v>
      </c>
      <c r="N205" s="9" t="n">
        <v>4476.000000000001</v>
      </c>
      <c r="O205" s="9" t="n">
        <v>4474.2</v>
      </c>
      <c r="P205" s="9" t="n">
        <v>1.800000000001091</v>
      </c>
      <c r="Q205" s="9" t="n">
        <v>91979.40000000008</v>
      </c>
      <c r="U205" s="10" t="n">
        <v>46196</v>
      </c>
      <c r="W205" s="9" t="n">
        <v>1400</v>
      </c>
      <c r="X205" s="9" t="n">
        <v>1401</v>
      </c>
      <c r="Y205" s="9" t="n">
        <v>-1</v>
      </c>
      <c r="Z205" s="9" t="n">
        <v>31686.69999999998</v>
      </c>
      <c r="AD205" s="10" t="n">
        <v>46196</v>
      </c>
      <c r="AF205" s="9" t="n">
        <v>0</v>
      </c>
      <c r="AH205" s="9" t="n">
        <v>0</v>
      </c>
      <c r="AI205" s="9" t="n">
        <v>33372.70000000002</v>
      </c>
      <c r="AM205" s="10" t="n">
        <v>46196</v>
      </c>
      <c r="AO205" s="9" t="n">
        <v>0</v>
      </c>
      <c r="AQ205" s="9" t="n">
        <v>0</v>
      </c>
      <c r="AR205" s="9" t="n">
        <v>0</v>
      </c>
      <c r="AV205" s="10" t="n">
        <v>46196</v>
      </c>
      <c r="AX205" s="9" t="n">
        <v>0</v>
      </c>
      <c r="AZ205" s="9" t="n">
        <v>0</v>
      </c>
      <c r="BA205" s="9" t="n">
        <v>14066.5</v>
      </c>
      <c r="BE205" s="10" t="n">
        <v>46196</v>
      </c>
      <c r="BG205" s="9" t="n">
        <v>200</v>
      </c>
      <c r="BI205" s="9" t="n">
        <v>200</v>
      </c>
      <c r="BJ205" s="9" t="n">
        <v>39235.39999999999</v>
      </c>
      <c r="BN205" s="10" t="n">
        <v>46196</v>
      </c>
      <c r="BO205" s="9" t="n">
        <v>100</v>
      </c>
      <c r="BP205" s="9" t="n">
        <v>100</v>
      </c>
      <c r="BQ205" s="9" t="n">
        <v>100</v>
      </c>
      <c r="BR205" s="9" t="n">
        <v>0</v>
      </c>
      <c r="BS205" s="9" t="n">
        <v>0</v>
      </c>
      <c r="BW205" s="10" t="n">
        <v>46196</v>
      </c>
      <c r="BY205" s="9" t="n">
        <v>86.09999999999999</v>
      </c>
      <c r="CA205" s="9" t="n">
        <v>86.09999999999999</v>
      </c>
      <c r="CB205" s="9" t="n">
        <v>3145.269999999999</v>
      </c>
      <c r="CF205" s="10" t="n">
        <v>46196</v>
      </c>
      <c r="CH205" s="9" t="n">
        <v>0</v>
      </c>
      <c r="CJ205" s="9" t="n">
        <v>0</v>
      </c>
      <c r="CK205" s="9" t="n">
        <v>0</v>
      </c>
      <c r="CO205" s="10" t="n">
        <v>46196</v>
      </c>
      <c r="CQ205" s="9" t="n">
        <v>0</v>
      </c>
      <c r="CS205" s="9" t="n">
        <v>0</v>
      </c>
      <c r="CT205" s="9" t="n">
        <v>0</v>
      </c>
      <c r="CX205" s="10" t="n">
        <v>46196</v>
      </c>
      <c r="CZ205" s="9" t="n">
        <v>400</v>
      </c>
      <c r="DA205" s="9" t="n">
        <v>401</v>
      </c>
      <c r="DB205" s="9" t="n">
        <v>-1</v>
      </c>
      <c r="DC205" s="9" t="n">
        <v>14422.00000000001</v>
      </c>
      <c r="DG205" s="10" t="n">
        <v>46196</v>
      </c>
      <c r="DI205" s="9" t="n">
        <v>0</v>
      </c>
      <c r="DK205" s="9" t="n">
        <v>0</v>
      </c>
      <c r="DL205" s="9" t="n">
        <v>35234.99999999999</v>
      </c>
      <c r="DP205" s="10" t="n">
        <v>46196</v>
      </c>
      <c r="DR205" s="9" t="n">
        <v>0</v>
      </c>
      <c r="DT205" s="9" t="n">
        <v>0</v>
      </c>
      <c r="DU205" s="9" t="n">
        <v>5800</v>
      </c>
      <c r="DY205" s="10" t="n">
        <v>46196</v>
      </c>
      <c r="EA205" s="9" t="n">
        <v>0</v>
      </c>
      <c r="EC205" s="9" t="n">
        <v>0</v>
      </c>
      <c r="ED205" s="9" t="n">
        <v>0</v>
      </c>
      <c r="EH205" s="10" t="n">
        <v>46196</v>
      </c>
      <c r="EJ205" s="9" t="n">
        <v>0</v>
      </c>
      <c r="EL205" s="9" t="n">
        <v>0</v>
      </c>
      <c r="EM205" s="9" t="n">
        <v>0</v>
      </c>
      <c r="EQ205" s="10" t="n">
        <v>46196</v>
      </c>
      <c r="ES205" s="9" t="n">
        <v>0</v>
      </c>
      <c r="EU205" s="9" t="n">
        <v>0</v>
      </c>
      <c r="EV205" s="9" t="n">
        <v>0</v>
      </c>
      <c r="EZ205" s="10" t="n">
        <v>46196</v>
      </c>
      <c r="FB205" s="9" t="n">
        <v>0</v>
      </c>
      <c r="FD205" s="9" t="n">
        <v>0</v>
      </c>
      <c r="FE205" s="9" t="n">
        <v>0</v>
      </c>
      <c r="FI205" s="10" t="n">
        <v>46196</v>
      </c>
      <c r="FK205" s="9" t="n">
        <v>0</v>
      </c>
      <c r="FM205" s="9" t="n">
        <v>0</v>
      </c>
      <c r="FN205" s="9" t="n">
        <v>0</v>
      </c>
      <c r="FR205" s="10" t="n">
        <v>46196</v>
      </c>
      <c r="FT205" s="9" t="n">
        <v>0</v>
      </c>
      <c r="FV205" s="9" t="n">
        <v>0</v>
      </c>
      <c r="FW205" s="9" t="n">
        <v>1160</v>
      </c>
      <c r="GA205" s="10" t="n">
        <v>46196</v>
      </c>
      <c r="GC205" s="9" t="n">
        <v>0</v>
      </c>
      <c r="GE205" s="9" t="n">
        <v>0</v>
      </c>
      <c r="GF205" s="9" t="n">
        <v>960</v>
      </c>
      <c r="GJ205" s="10" t="n">
        <v>46196</v>
      </c>
      <c r="GL205" s="9" t="n">
        <v>0</v>
      </c>
      <c r="GN205" s="9" t="n">
        <v>0</v>
      </c>
      <c r="GO205" s="9" t="n">
        <v>1760</v>
      </c>
      <c r="GS205" s="10" t="n">
        <v>46196</v>
      </c>
      <c r="GU205" s="9" t="n">
        <v>0</v>
      </c>
      <c r="GW205" s="9" t="n">
        <v>0</v>
      </c>
      <c r="GX205" s="9" t="n">
        <v>400</v>
      </c>
      <c r="HB205" s="10" t="n">
        <v>46196</v>
      </c>
      <c r="HD205" s="9" t="n">
        <v>0</v>
      </c>
      <c r="HF205" s="9" t="n">
        <v>0</v>
      </c>
      <c r="HG205" s="9" t="n">
        <v>3600</v>
      </c>
      <c r="HK205" s="10" t="n">
        <v>46196</v>
      </c>
      <c r="HM205" s="9" t="n">
        <v>0</v>
      </c>
      <c r="HO205" s="9" t="n">
        <v>0</v>
      </c>
      <c r="HP205" s="9" t="n">
        <v>0</v>
      </c>
      <c r="HU205" s="10" t="n">
        <v>46196</v>
      </c>
      <c r="HW205" s="9" t="n">
        <v>0</v>
      </c>
      <c r="HY205" s="9" t="n">
        <v>0</v>
      </c>
      <c r="HZ205" s="9" t="n">
        <v>6800</v>
      </c>
      <c r="ID205" s="10" t="n">
        <v>46196</v>
      </c>
      <c r="IF205" s="9" t="n">
        <v>0</v>
      </c>
      <c r="IH205" s="9" t="n">
        <v>0</v>
      </c>
      <c r="II205" s="9" t="n">
        <v>720</v>
      </c>
      <c r="IM205" s="10" t="n">
        <v>46196</v>
      </c>
      <c r="IO205" s="9" t="n">
        <v>0</v>
      </c>
      <c r="IQ205" s="9" t="n">
        <v>0</v>
      </c>
      <c r="IR205" s="9" t="n">
        <v>6520</v>
      </c>
      <c r="IV205" s="10" t="n">
        <v>46196</v>
      </c>
      <c r="IX205" s="9" t="n">
        <v>0</v>
      </c>
      <c r="IZ205" s="9" t="n">
        <v>0</v>
      </c>
      <c r="JA205" s="9" t="n">
        <v>4960</v>
      </c>
      <c r="JE205" s="10" t="n">
        <v>46196</v>
      </c>
      <c r="JG205" s="9" t="n">
        <v>0</v>
      </c>
      <c r="JI205" s="9" t="n">
        <v>0</v>
      </c>
      <c r="JJ205" s="9" t="n">
        <v>0</v>
      </c>
      <c r="JN205" s="10" t="n">
        <v>46196</v>
      </c>
      <c r="JP205" s="9" t="n">
        <v>0</v>
      </c>
      <c r="JR205" s="9" t="n">
        <v>0</v>
      </c>
      <c r="JS205" s="9" t="n">
        <v>0</v>
      </c>
      <c r="JW205" s="10" t="n">
        <v>46196</v>
      </c>
      <c r="JY205" s="9" t="n">
        <v>0</v>
      </c>
      <c r="KA205" s="9" t="n">
        <v>0</v>
      </c>
      <c r="KB205" s="9" t="n">
        <v>2540</v>
      </c>
      <c r="KF205" s="10" t="n">
        <v>46196</v>
      </c>
      <c r="KH205" s="9" t="n">
        <v>0</v>
      </c>
      <c r="KJ205" s="9" t="n">
        <v>0</v>
      </c>
      <c r="KK205" s="9" t="n">
        <v>2359.5</v>
      </c>
      <c r="KO205" s="10" t="n">
        <v>46196</v>
      </c>
      <c r="KQ205" s="9" t="n">
        <v>0</v>
      </c>
      <c r="KS205" s="9" t="n">
        <v>0</v>
      </c>
      <c r="KT205" s="9" t="n">
        <v>1890</v>
      </c>
      <c r="KX205" s="10" t="n">
        <v>46196</v>
      </c>
      <c r="KZ205" s="9" t="n">
        <v>0</v>
      </c>
      <c r="LB205" s="9" t="n">
        <v>0</v>
      </c>
      <c r="LC205" s="9" t="n">
        <v>3690</v>
      </c>
      <c r="LG205" s="10" t="n">
        <v>46196</v>
      </c>
      <c r="LI205" s="9" t="n">
        <v>0</v>
      </c>
      <c r="LK205" s="9" t="n">
        <v>0</v>
      </c>
      <c r="LL205" s="9" t="n">
        <v>4000</v>
      </c>
      <c r="LP205" s="10" t="n">
        <v>46196</v>
      </c>
      <c r="LR205" s="9" t="n">
        <v>0</v>
      </c>
      <c r="LT205" s="9" t="n">
        <v>0</v>
      </c>
      <c r="LU205" s="9" t="n">
        <v>0</v>
      </c>
      <c r="LY205" s="10" t="n">
        <v>46196</v>
      </c>
      <c r="MA205" s="9" t="n">
        <v>0</v>
      </c>
      <c r="MC205" s="9" t="n">
        <v>0</v>
      </c>
      <c r="MD205" s="9" t="n">
        <v>0</v>
      </c>
      <c r="MH205" s="10" t="n">
        <v>46196</v>
      </c>
      <c r="MJ205" s="9" t="n">
        <v>0</v>
      </c>
      <c r="ML205" s="9" t="n">
        <v>0</v>
      </c>
      <c r="MM205" s="9" t="n">
        <v>0</v>
      </c>
      <c r="MQ205" s="10" t="n">
        <v>46196</v>
      </c>
      <c r="MS205" s="9" t="n">
        <v>0</v>
      </c>
      <c r="MU205" s="9" t="n">
        <v>0</v>
      </c>
      <c r="MV205" s="9" t="n">
        <v>3704</v>
      </c>
      <c r="MZ205" s="10" t="n">
        <v>46196</v>
      </c>
      <c r="NB205" s="9" t="n">
        <v>0</v>
      </c>
      <c r="ND205" s="9" t="n">
        <v>0</v>
      </c>
      <c r="NE205" s="9" t="n">
        <v>0</v>
      </c>
      <c r="NI205" s="10" t="n">
        <v>46196</v>
      </c>
      <c r="NK205" s="9" t="n">
        <v>0</v>
      </c>
      <c r="NM205" s="9" t="n">
        <v>0</v>
      </c>
      <c r="NN205" s="9" t="n">
        <v>1127</v>
      </c>
      <c r="NR205" s="10" t="n">
        <v>46196</v>
      </c>
      <c r="NT205" s="9" t="n">
        <v>0</v>
      </c>
      <c r="NV205" s="9" t="n">
        <v>0</v>
      </c>
      <c r="NW205" s="9" t="n">
        <v>3112</v>
      </c>
      <c r="OA205" s="10" t="n">
        <v>46196</v>
      </c>
      <c r="OC205" s="9" t="n">
        <v>0</v>
      </c>
      <c r="OE205" s="9" t="n">
        <v>0</v>
      </c>
      <c r="OF205" s="9" t="n">
        <v>1680.5</v>
      </c>
      <c r="OJ205" s="10" t="n">
        <v>46196</v>
      </c>
      <c r="OL205" s="9" t="n">
        <v>0</v>
      </c>
      <c r="ON205" s="9" t="n">
        <v>0</v>
      </c>
      <c r="OO205" s="9" t="n">
        <v>0</v>
      </c>
      <c r="OS205" s="10" t="n">
        <v>46196</v>
      </c>
      <c r="OU205" s="9" t="n">
        <v>0</v>
      </c>
      <c r="OW205" s="9" t="n">
        <v>0</v>
      </c>
      <c r="OX205" s="9" t="n">
        <v>1482</v>
      </c>
      <c r="PB205" s="10" t="n">
        <v>46196</v>
      </c>
      <c r="PD205" s="9" t="n">
        <v>0</v>
      </c>
      <c r="PF205" s="9" t="n">
        <v>0</v>
      </c>
      <c r="PG205" s="9" t="n">
        <v>0</v>
      </c>
      <c r="PK205" s="10" t="n">
        <v>46196</v>
      </c>
      <c r="PM205" s="9" t="n">
        <v>0</v>
      </c>
      <c r="PO205" s="9" t="n">
        <v>0</v>
      </c>
      <c r="PP205" s="9" t="n">
        <v>100</v>
      </c>
      <c r="PT205" s="10" t="n">
        <v>46196</v>
      </c>
      <c r="PV205" s="9" t="n">
        <v>0</v>
      </c>
      <c r="PX205" s="9" t="n">
        <v>0</v>
      </c>
      <c r="PY205" s="9" t="n">
        <v>13.96000000000004</v>
      </c>
      <c r="QC205" s="10" t="n">
        <v>46196</v>
      </c>
      <c r="QE205" s="9" t="n">
        <v>0</v>
      </c>
      <c r="QG205" s="9" t="n">
        <v>0</v>
      </c>
      <c r="QH205" s="9" t="n">
        <v>1736</v>
      </c>
      <c r="QL205" s="10" t="n">
        <v>46196</v>
      </c>
      <c r="QN205" s="9" t="n">
        <v>0</v>
      </c>
      <c r="QP205" s="9" t="n">
        <v>0</v>
      </c>
      <c r="QQ205" s="9" t="n">
        <v>250</v>
      </c>
      <c r="QU205" s="10" t="n">
        <v>46196</v>
      </c>
      <c r="QW205" s="9" t="n">
        <v>0</v>
      </c>
      <c r="QY205" s="9" t="n">
        <v>0</v>
      </c>
      <c r="QZ205" s="9" t="n">
        <v>207.6</v>
      </c>
      <c r="RD205" s="10" t="n">
        <v>46196</v>
      </c>
      <c r="RF205" s="9" t="n">
        <v>0</v>
      </c>
      <c r="RH205" s="9" t="n">
        <v>0</v>
      </c>
      <c r="RI205" s="9" t="n">
        <v>147.04</v>
      </c>
      <c r="RM205" s="10" t="n">
        <v>46196</v>
      </c>
      <c r="RO205" s="9" t="n">
        <v>0</v>
      </c>
      <c r="RQ205" s="9" t="n">
        <v>0</v>
      </c>
      <c r="RR205" s="9" t="n">
        <v>46.8</v>
      </c>
      <c r="RV205" s="10" t="n">
        <v>46196</v>
      </c>
      <c r="RX205" s="9" t="n">
        <v>0</v>
      </c>
      <c r="RZ205" s="9" t="n">
        <v>0</v>
      </c>
      <c r="SA205" s="9" t="n">
        <v>0</v>
      </c>
      <c r="SE205" s="10" t="n">
        <v>46196</v>
      </c>
      <c r="SG205" s="9" t="n">
        <v>0</v>
      </c>
      <c r="SI205" s="9" t="n">
        <v>0</v>
      </c>
      <c r="SJ205" s="9" t="n">
        <v>24.2</v>
      </c>
      <c r="SN205" s="10" t="n">
        <v>46196</v>
      </c>
      <c r="SP205" s="9" t="n">
        <v>0</v>
      </c>
      <c r="SR205" s="9" t="n">
        <v>0</v>
      </c>
      <c r="SS205" s="9" t="n">
        <v>32</v>
      </c>
      <c r="SW205" s="10" t="n">
        <v>46196</v>
      </c>
      <c r="SY205" s="9" t="n">
        <v>0</v>
      </c>
      <c r="TA205" s="9" t="n">
        <v>0</v>
      </c>
      <c r="TB205" s="9" t="n">
        <v>0</v>
      </c>
      <c r="TF205" s="10" t="n">
        <v>46196</v>
      </c>
      <c r="TH205" s="9" t="n">
        <v>0</v>
      </c>
      <c r="TJ205" s="9" t="n">
        <v>0</v>
      </c>
      <c r="TK205" s="9" t="n">
        <v>0</v>
      </c>
      <c r="TO205" s="10" t="n">
        <v>46196</v>
      </c>
      <c r="TQ205" s="9" t="n">
        <v>0</v>
      </c>
      <c r="TS205" s="9" t="n">
        <v>0</v>
      </c>
      <c r="TT205" s="9" t="n">
        <v>22.40000000000001</v>
      </c>
      <c r="TX205" s="10" t="n">
        <v>46196</v>
      </c>
      <c r="TZ205" s="9" t="n">
        <v>0</v>
      </c>
      <c r="UB205" s="9" t="n">
        <v>0</v>
      </c>
      <c r="UC205" s="9" t="n">
        <v>46.79999999999998</v>
      </c>
      <c r="UG205" s="10" t="n">
        <v>46196</v>
      </c>
      <c r="UI205" s="9" t="n">
        <v>0</v>
      </c>
      <c r="UK205" s="9" t="n">
        <v>0</v>
      </c>
      <c r="UL205" s="9" t="n">
        <v>204</v>
      </c>
      <c r="UP205" s="10" t="n">
        <v>46196</v>
      </c>
      <c r="UR205" s="9" t="n">
        <v>0</v>
      </c>
      <c r="UT205" s="9" t="n">
        <v>0</v>
      </c>
      <c r="UU205" s="9" t="n">
        <v>251.25</v>
      </c>
      <c r="UY205" s="10" t="n">
        <v>46196</v>
      </c>
      <c r="VA205" s="9" t="n">
        <v>0</v>
      </c>
      <c r="VC205" s="9" t="n">
        <v>0</v>
      </c>
      <c r="VD205" s="9" t="n">
        <v>41.60000000000002</v>
      </c>
      <c r="VH205" s="10" t="n">
        <v>46196</v>
      </c>
      <c r="VJ205" s="9" t="n">
        <v>0</v>
      </c>
      <c r="VL205" s="9" t="n">
        <v>0</v>
      </c>
      <c r="VM205" s="9" t="n">
        <v>210</v>
      </c>
      <c r="VQ205" s="10" t="n">
        <v>46196</v>
      </c>
      <c r="VS205" s="9" t="n">
        <v>0</v>
      </c>
      <c r="VU205" s="9" t="n">
        <v>0</v>
      </c>
      <c r="VV205" s="9" t="n">
        <v>0</v>
      </c>
      <c r="VZ205" s="10" t="n">
        <v>46196</v>
      </c>
      <c r="WB205" s="9" t="n">
        <v>0</v>
      </c>
      <c r="WD205" s="9" t="n">
        <v>0</v>
      </c>
      <c r="WE205" s="9" t="n">
        <v>0</v>
      </c>
      <c r="WI205" s="10" t="n">
        <v>46196</v>
      </c>
      <c r="WK205" s="9" t="n">
        <v>0</v>
      </c>
      <c r="WM205" s="9" t="n">
        <v>0</v>
      </c>
      <c r="WN205" s="9" t="n">
        <v>1199</v>
      </c>
      <c r="WR205" s="10" t="n">
        <v>46196</v>
      </c>
      <c r="WT205" s="9" t="n">
        <v>0</v>
      </c>
      <c r="WV205" s="9" t="n">
        <v>0</v>
      </c>
      <c r="WW205" s="9" t="n">
        <v>0</v>
      </c>
      <c r="XA205" s="10" t="n">
        <v>46196</v>
      </c>
      <c r="XC205" s="9" t="n">
        <v>0</v>
      </c>
      <c r="XE205" s="9" t="n">
        <v>0</v>
      </c>
      <c r="XF205" s="9" t="n">
        <v>6813</v>
      </c>
      <c r="XJ205" s="10" t="n">
        <v>46196</v>
      </c>
      <c r="XL205" s="9" t="n">
        <v>0</v>
      </c>
      <c r="XN205" s="9" t="n">
        <v>0</v>
      </c>
      <c r="XO205" s="9" t="n">
        <v>4689</v>
      </c>
      <c r="XS205" s="10" t="n">
        <v>46196</v>
      </c>
      <c r="XU205" s="9" t="n">
        <v>0</v>
      </c>
      <c r="XW205" s="9" t="n">
        <v>0</v>
      </c>
      <c r="XX205" s="9" t="n">
        <v>1621</v>
      </c>
      <c r="YB205" s="10" t="n">
        <v>46196</v>
      </c>
      <c r="YD205" s="9" t="n">
        <v>0</v>
      </c>
      <c r="YF205" s="9" t="n">
        <v>0</v>
      </c>
      <c r="YG205" s="9" t="n">
        <v>4072</v>
      </c>
      <c r="YK205" s="10" t="n">
        <v>46196</v>
      </c>
      <c r="YM205" s="9" t="n">
        <v>0</v>
      </c>
      <c r="YO205" s="9" t="n">
        <v>0</v>
      </c>
      <c r="YP205" s="9" t="n">
        <v>0</v>
      </c>
      <c r="YT205" s="10" t="n">
        <v>46196</v>
      </c>
      <c r="YV205" s="9" t="n">
        <v>0</v>
      </c>
      <c r="YX205" s="9" t="n">
        <v>0</v>
      </c>
      <c r="YY205" s="9" t="n">
        <v>0</v>
      </c>
      <c r="ZC205" s="10" t="n">
        <v>46196</v>
      </c>
      <c r="ZE205" s="9" t="n">
        <v>0</v>
      </c>
      <c r="ZG205" s="9" t="n">
        <v>0</v>
      </c>
      <c r="ZH205" s="9" t="n">
        <v>0</v>
      </c>
      <c r="ZL205" s="10" t="n">
        <v>46196</v>
      </c>
      <c r="ZN205" s="9" t="n">
        <v>0</v>
      </c>
      <c r="ZP205" s="9" t="n">
        <v>0</v>
      </c>
      <c r="ZQ205" s="9" t="n">
        <v>0</v>
      </c>
      <c r="ZU205" s="10" t="n">
        <v>46196</v>
      </c>
      <c r="ZW205" s="9" t="n">
        <v>0</v>
      </c>
      <c r="ZY205" s="9" t="n">
        <v>0</v>
      </c>
      <c r="ZZ205" s="9" t="n">
        <v>0</v>
      </c>
      <c r="AAD205" s="10" t="n">
        <v>46196</v>
      </c>
      <c r="AAF205" s="9" t="n">
        <v>0</v>
      </c>
      <c r="AAH205" s="9" t="n">
        <v>0</v>
      </c>
      <c r="AAI205" s="9" t="n">
        <v>0</v>
      </c>
      <c r="AAM205" s="10" t="n">
        <v>46196</v>
      </c>
      <c r="AAO205" s="9" t="n">
        <v>0</v>
      </c>
      <c r="AAQ205" s="9" t="n">
        <v>0</v>
      </c>
      <c r="AAR205" s="9" t="n">
        <v>0</v>
      </c>
      <c r="AAV205" s="10" t="n">
        <v>46196</v>
      </c>
      <c r="AAX205" s="9" t="n">
        <v>0</v>
      </c>
      <c r="AAZ205" s="9" t="n">
        <v>0</v>
      </c>
      <c r="ABA205" s="9" t="n">
        <v>0</v>
      </c>
      <c r="ABE205" s="10" t="n">
        <v>46196</v>
      </c>
      <c r="ABG205" s="9" t="n">
        <v>0</v>
      </c>
      <c r="ABI205" s="9" t="n">
        <v>0</v>
      </c>
      <c r="ABJ205" s="9" t="n">
        <v>0</v>
      </c>
    </row>
    <row r="206">
      <c r="B206" s="9" t="n">
        <v>24</v>
      </c>
      <c r="C206" s="10" t="n">
        <v>46197</v>
      </c>
      <c r="E206" s="9" t="n">
        <v>13054.8</v>
      </c>
      <c r="F206" s="9" t="n">
        <v>13049.6</v>
      </c>
      <c r="G206" s="9" t="n">
        <v>5.200000000000728</v>
      </c>
      <c r="H206" s="9" t="n">
        <v>108307.6</v>
      </c>
      <c r="I206" s="9" t="inlineStr">
        <is>
          <t>5202 24mt</t>
        </is>
      </c>
      <c r="L206" s="10" t="n">
        <v>46197</v>
      </c>
      <c r="N206" s="9" t="n">
        <v>7140</v>
      </c>
      <c r="O206" s="9" t="n">
        <v>7132.8</v>
      </c>
      <c r="P206" s="9" t="n">
        <v>7.199999999999818</v>
      </c>
      <c r="Q206" s="9" t="n">
        <v>84846.60000000008</v>
      </c>
      <c r="U206" s="10" t="n">
        <v>46197</v>
      </c>
      <c r="W206" s="9" t="n">
        <v>1440</v>
      </c>
      <c r="X206" s="9" t="n">
        <v>1439.5</v>
      </c>
      <c r="Y206" s="9" t="n">
        <v>0.5</v>
      </c>
      <c r="Z206" s="9" t="n">
        <v>30247.19999999998</v>
      </c>
      <c r="AD206" s="10" t="n">
        <v>46197</v>
      </c>
      <c r="AF206" s="9" t="n">
        <v>0</v>
      </c>
      <c r="AH206" s="9" t="n">
        <v>0</v>
      </c>
      <c r="AI206" s="9" t="n">
        <v>33372.70000000002</v>
      </c>
      <c r="AM206" s="10" t="n">
        <v>46197</v>
      </c>
      <c r="AO206" s="9" t="n">
        <v>0</v>
      </c>
      <c r="AQ206" s="9" t="n">
        <v>0</v>
      </c>
      <c r="AR206" s="9" t="n">
        <v>0</v>
      </c>
      <c r="AV206" s="10" t="n">
        <v>46197</v>
      </c>
      <c r="AX206" s="9" t="n">
        <v>0</v>
      </c>
      <c r="AZ206" s="9" t="n">
        <v>0</v>
      </c>
      <c r="BA206" s="9" t="n">
        <v>14066.5</v>
      </c>
      <c r="BE206" s="10" t="n">
        <v>46197</v>
      </c>
      <c r="BG206" s="9" t="n">
        <v>0</v>
      </c>
      <c r="BI206" s="9" t="n">
        <v>0</v>
      </c>
      <c r="BJ206" s="9" t="n">
        <v>39235.39999999999</v>
      </c>
      <c r="BN206" s="10" t="n">
        <v>46197</v>
      </c>
      <c r="BO206" s="9" t="n">
        <v>119.9</v>
      </c>
      <c r="BP206" s="9" t="n">
        <v>120</v>
      </c>
      <c r="BQ206" s="9" t="n">
        <v>119.9</v>
      </c>
      <c r="BR206" s="9" t="n">
        <v>0.09999999999999432</v>
      </c>
      <c r="BS206" s="9" t="n">
        <v>0</v>
      </c>
      <c r="BW206" s="10" t="n">
        <v>46197</v>
      </c>
      <c r="BY206" s="9" t="n">
        <v>176.52</v>
      </c>
      <c r="CA206" s="9" t="n">
        <v>176.52</v>
      </c>
      <c r="CB206" s="9" t="n">
        <v>3145.269999999999</v>
      </c>
      <c r="CF206" s="10" t="n">
        <v>46197</v>
      </c>
      <c r="CH206" s="9" t="n">
        <v>0</v>
      </c>
      <c r="CJ206" s="9" t="n">
        <v>0</v>
      </c>
      <c r="CK206" s="9" t="n">
        <v>0</v>
      </c>
      <c r="CO206" s="10" t="n">
        <v>46197</v>
      </c>
      <c r="CQ206" s="9" t="n">
        <v>0</v>
      </c>
      <c r="CS206" s="9" t="n">
        <v>0</v>
      </c>
      <c r="CT206" s="9" t="n">
        <v>0</v>
      </c>
      <c r="CX206" s="10" t="n">
        <v>46197</v>
      </c>
      <c r="CZ206" s="9" t="n">
        <v>480</v>
      </c>
      <c r="DA206" s="9" t="n">
        <v>480.6</v>
      </c>
      <c r="DB206" s="9" t="n">
        <v>-0.6000000000000227</v>
      </c>
      <c r="DC206" s="9" t="n">
        <v>13941.40000000001</v>
      </c>
      <c r="DG206" s="10" t="n">
        <v>46197</v>
      </c>
      <c r="DI206" s="9" t="n">
        <v>0</v>
      </c>
      <c r="DK206" s="9" t="n">
        <v>0</v>
      </c>
      <c r="DL206" s="9" t="n">
        <v>35234.99999999999</v>
      </c>
      <c r="DP206" s="10" t="n">
        <v>46197</v>
      </c>
      <c r="DR206" s="9" t="n">
        <v>0</v>
      </c>
      <c r="DT206" s="9" t="n">
        <v>0</v>
      </c>
      <c r="DU206" s="9" t="n">
        <v>5800</v>
      </c>
      <c r="DY206" s="10" t="n">
        <v>46197</v>
      </c>
      <c r="EA206" s="9" t="n">
        <v>0</v>
      </c>
      <c r="EC206" s="9" t="n">
        <v>0</v>
      </c>
      <c r="ED206" s="9" t="n">
        <v>0</v>
      </c>
      <c r="EH206" s="10" t="n">
        <v>46197</v>
      </c>
      <c r="EJ206" s="9" t="n">
        <v>0</v>
      </c>
      <c r="EL206" s="9" t="n">
        <v>0</v>
      </c>
      <c r="EM206" s="9" t="n">
        <v>0</v>
      </c>
      <c r="EQ206" s="10" t="n">
        <v>46197</v>
      </c>
      <c r="ES206" s="9" t="n">
        <v>0</v>
      </c>
      <c r="EU206" s="9" t="n">
        <v>0</v>
      </c>
      <c r="EV206" s="9" t="n">
        <v>0</v>
      </c>
      <c r="EZ206" s="10" t="n">
        <v>46197</v>
      </c>
      <c r="FB206" s="9" t="n">
        <v>0</v>
      </c>
      <c r="FD206" s="9" t="n">
        <v>0</v>
      </c>
      <c r="FE206" s="9" t="n">
        <v>0</v>
      </c>
      <c r="FI206" s="10" t="n">
        <v>46197</v>
      </c>
      <c r="FK206" s="9" t="n">
        <v>0</v>
      </c>
      <c r="FM206" s="9" t="n">
        <v>0</v>
      </c>
      <c r="FN206" s="9" t="n">
        <v>0</v>
      </c>
      <c r="FR206" s="10" t="n">
        <v>46197</v>
      </c>
      <c r="FT206" s="9" t="n">
        <v>0</v>
      </c>
      <c r="FV206" s="9" t="n">
        <v>0</v>
      </c>
      <c r="FW206" s="9" t="n">
        <v>1160</v>
      </c>
      <c r="GA206" s="10" t="n">
        <v>46197</v>
      </c>
      <c r="GC206" s="9" t="n">
        <v>0</v>
      </c>
      <c r="GE206" s="9" t="n">
        <v>0</v>
      </c>
      <c r="GF206" s="9" t="n">
        <v>960</v>
      </c>
      <c r="GJ206" s="10" t="n">
        <v>46197</v>
      </c>
      <c r="GL206" s="9" t="n">
        <v>0</v>
      </c>
      <c r="GN206" s="9" t="n">
        <v>0</v>
      </c>
      <c r="GO206" s="9" t="n">
        <v>1760</v>
      </c>
      <c r="GS206" s="10" t="n">
        <v>46197</v>
      </c>
      <c r="GU206" s="9" t="n">
        <v>0</v>
      </c>
      <c r="GW206" s="9" t="n">
        <v>0</v>
      </c>
      <c r="GX206" s="9" t="n">
        <v>400</v>
      </c>
      <c r="HB206" s="10" t="n">
        <v>46197</v>
      </c>
      <c r="HD206" s="9" t="n">
        <v>0</v>
      </c>
      <c r="HF206" s="9" t="n">
        <v>0</v>
      </c>
      <c r="HG206" s="9" t="n">
        <v>3600</v>
      </c>
      <c r="HK206" s="10" t="n">
        <v>46197</v>
      </c>
      <c r="HM206" s="9" t="n">
        <v>0</v>
      </c>
      <c r="HO206" s="9" t="n">
        <v>0</v>
      </c>
      <c r="HP206" s="9" t="n">
        <v>0</v>
      </c>
      <c r="HU206" s="10" t="n">
        <v>46197</v>
      </c>
      <c r="HW206" s="9" t="n">
        <v>0</v>
      </c>
      <c r="HY206" s="9" t="n">
        <v>0</v>
      </c>
      <c r="HZ206" s="9" t="n">
        <v>6800</v>
      </c>
      <c r="ID206" s="10" t="n">
        <v>46197</v>
      </c>
      <c r="IF206" s="9" t="n">
        <v>0</v>
      </c>
      <c r="IH206" s="9" t="n">
        <v>0</v>
      </c>
      <c r="II206" s="9" t="n">
        <v>720</v>
      </c>
      <c r="IM206" s="10" t="n">
        <v>46197</v>
      </c>
      <c r="IO206" s="9" t="n">
        <v>0</v>
      </c>
      <c r="IQ206" s="9" t="n">
        <v>0</v>
      </c>
      <c r="IR206" s="9" t="n">
        <v>6520</v>
      </c>
      <c r="IV206" s="10" t="n">
        <v>46197</v>
      </c>
      <c r="IX206" s="9" t="n">
        <v>0</v>
      </c>
      <c r="IZ206" s="9" t="n">
        <v>0</v>
      </c>
      <c r="JA206" s="9" t="n">
        <v>4960</v>
      </c>
      <c r="JE206" s="10" t="n">
        <v>46197</v>
      </c>
      <c r="JG206" s="9" t="n">
        <v>0</v>
      </c>
      <c r="JI206" s="9" t="n">
        <v>0</v>
      </c>
      <c r="JJ206" s="9" t="n">
        <v>0</v>
      </c>
      <c r="JN206" s="10" t="n">
        <v>46197</v>
      </c>
      <c r="JP206" s="9" t="n">
        <v>0</v>
      </c>
      <c r="JR206" s="9" t="n">
        <v>0</v>
      </c>
      <c r="JS206" s="9" t="n">
        <v>0</v>
      </c>
      <c r="JW206" s="10" t="n">
        <v>46197</v>
      </c>
      <c r="JY206" s="9" t="n">
        <v>0</v>
      </c>
      <c r="KA206" s="9" t="n">
        <v>0</v>
      </c>
      <c r="KB206" s="9" t="n">
        <v>2540</v>
      </c>
      <c r="KF206" s="10" t="n">
        <v>46197</v>
      </c>
      <c r="KH206" s="9" t="n">
        <v>0</v>
      </c>
      <c r="KJ206" s="9" t="n">
        <v>0</v>
      </c>
      <c r="KK206" s="9" t="n">
        <v>2359.5</v>
      </c>
      <c r="KO206" s="10" t="n">
        <v>46197</v>
      </c>
      <c r="KQ206" s="9" t="n">
        <v>0</v>
      </c>
      <c r="KS206" s="9" t="n">
        <v>0</v>
      </c>
      <c r="KT206" s="9" t="n">
        <v>1890</v>
      </c>
      <c r="KX206" s="10" t="n">
        <v>46197</v>
      </c>
      <c r="KZ206" s="9" t="n">
        <v>0</v>
      </c>
      <c r="LB206" s="9" t="n">
        <v>0</v>
      </c>
      <c r="LC206" s="9" t="n">
        <v>3690</v>
      </c>
      <c r="LG206" s="10" t="n">
        <v>46197</v>
      </c>
      <c r="LI206" s="9" t="n">
        <v>0</v>
      </c>
      <c r="LK206" s="9" t="n">
        <v>0</v>
      </c>
      <c r="LL206" s="9" t="n">
        <v>4000</v>
      </c>
      <c r="LP206" s="10" t="n">
        <v>46197</v>
      </c>
      <c r="LR206" s="9" t="n">
        <v>0</v>
      </c>
      <c r="LT206" s="9" t="n">
        <v>0</v>
      </c>
      <c r="LU206" s="9" t="n">
        <v>0</v>
      </c>
      <c r="LY206" s="10" t="n">
        <v>46197</v>
      </c>
      <c r="MA206" s="9" t="n">
        <v>0</v>
      </c>
      <c r="MC206" s="9" t="n">
        <v>0</v>
      </c>
      <c r="MD206" s="9" t="n">
        <v>0</v>
      </c>
      <c r="MH206" s="10" t="n">
        <v>46197</v>
      </c>
      <c r="MJ206" s="9" t="n">
        <v>0</v>
      </c>
      <c r="ML206" s="9" t="n">
        <v>0</v>
      </c>
      <c r="MM206" s="9" t="n">
        <v>0</v>
      </c>
      <c r="MQ206" s="10" t="n">
        <v>46197</v>
      </c>
      <c r="MS206" s="9" t="n">
        <v>0</v>
      </c>
      <c r="MU206" s="9" t="n">
        <v>0</v>
      </c>
      <c r="MV206" s="9" t="n">
        <v>3704</v>
      </c>
      <c r="MZ206" s="10" t="n">
        <v>46197</v>
      </c>
      <c r="NB206" s="9" t="n">
        <v>0</v>
      </c>
      <c r="ND206" s="9" t="n">
        <v>0</v>
      </c>
      <c r="NE206" s="9" t="n">
        <v>0</v>
      </c>
      <c r="NI206" s="10" t="n">
        <v>46197</v>
      </c>
      <c r="NK206" s="9" t="n">
        <v>0</v>
      </c>
      <c r="NM206" s="9" t="n">
        <v>0</v>
      </c>
      <c r="NN206" s="9" t="n">
        <v>1127</v>
      </c>
      <c r="NR206" s="10" t="n">
        <v>46197</v>
      </c>
      <c r="NT206" s="9" t="n">
        <v>0</v>
      </c>
      <c r="NV206" s="9" t="n">
        <v>0</v>
      </c>
      <c r="NW206" s="9" t="n">
        <v>3112</v>
      </c>
      <c r="OA206" s="10" t="n">
        <v>46197</v>
      </c>
      <c r="OC206" s="9" t="n">
        <v>0</v>
      </c>
      <c r="OE206" s="9" t="n">
        <v>0</v>
      </c>
      <c r="OF206" s="9" t="n">
        <v>1680.5</v>
      </c>
      <c r="OJ206" s="10" t="n">
        <v>46197</v>
      </c>
      <c r="OL206" s="9" t="n">
        <v>0</v>
      </c>
      <c r="ON206" s="9" t="n">
        <v>0</v>
      </c>
      <c r="OO206" s="9" t="n">
        <v>0</v>
      </c>
      <c r="OS206" s="10" t="n">
        <v>46197</v>
      </c>
      <c r="OU206" s="9" t="n">
        <v>0</v>
      </c>
      <c r="OW206" s="9" t="n">
        <v>0</v>
      </c>
      <c r="OX206" s="9" t="n">
        <v>1482</v>
      </c>
      <c r="PB206" s="10" t="n">
        <v>46197</v>
      </c>
      <c r="PD206" s="9" t="n">
        <v>0</v>
      </c>
      <c r="PF206" s="9" t="n">
        <v>0</v>
      </c>
      <c r="PG206" s="9" t="n">
        <v>0</v>
      </c>
      <c r="PK206" s="10" t="n">
        <v>46197</v>
      </c>
      <c r="PM206" s="9" t="n">
        <v>0</v>
      </c>
      <c r="PO206" s="9" t="n">
        <v>0</v>
      </c>
      <c r="PP206" s="9" t="n">
        <v>100</v>
      </c>
      <c r="PT206" s="10" t="n">
        <v>46197</v>
      </c>
      <c r="PV206" s="9" t="n">
        <v>0</v>
      </c>
      <c r="PX206" s="9" t="n">
        <v>0</v>
      </c>
      <c r="PY206" s="9" t="n">
        <v>13.96000000000004</v>
      </c>
      <c r="QC206" s="10" t="n">
        <v>46197</v>
      </c>
      <c r="QE206" s="9" t="n">
        <v>0</v>
      </c>
      <c r="QG206" s="9" t="n">
        <v>0</v>
      </c>
      <c r="QH206" s="9" t="n">
        <v>1736</v>
      </c>
      <c r="QL206" s="10" t="n">
        <v>46197</v>
      </c>
      <c r="QN206" s="9" t="n">
        <v>0</v>
      </c>
      <c r="QP206" s="9" t="n">
        <v>0</v>
      </c>
      <c r="QQ206" s="9" t="n">
        <v>250</v>
      </c>
      <c r="QU206" s="10" t="n">
        <v>46197</v>
      </c>
      <c r="QW206" s="9" t="n">
        <v>0</v>
      </c>
      <c r="QY206" s="9" t="n">
        <v>0</v>
      </c>
      <c r="QZ206" s="9" t="n">
        <v>207.6</v>
      </c>
      <c r="RD206" s="10" t="n">
        <v>46197</v>
      </c>
      <c r="RF206" s="9" t="n">
        <v>0</v>
      </c>
      <c r="RH206" s="9" t="n">
        <v>0</v>
      </c>
      <c r="RI206" s="9" t="n">
        <v>147.04</v>
      </c>
      <c r="RM206" s="10" t="n">
        <v>46197</v>
      </c>
      <c r="RO206" s="9" t="n">
        <v>0</v>
      </c>
      <c r="RQ206" s="9" t="n">
        <v>0</v>
      </c>
      <c r="RR206" s="9" t="n">
        <v>46.8</v>
      </c>
      <c r="RV206" s="10" t="n">
        <v>46197</v>
      </c>
      <c r="RX206" s="9" t="n">
        <v>0</v>
      </c>
      <c r="RZ206" s="9" t="n">
        <v>0</v>
      </c>
      <c r="SA206" s="9" t="n">
        <v>0</v>
      </c>
      <c r="SE206" s="10" t="n">
        <v>46197</v>
      </c>
      <c r="SG206" s="9" t="n">
        <v>0</v>
      </c>
      <c r="SI206" s="9" t="n">
        <v>0</v>
      </c>
      <c r="SJ206" s="9" t="n">
        <v>24.2</v>
      </c>
      <c r="SN206" s="10" t="n">
        <v>46197</v>
      </c>
      <c r="SP206" s="9" t="n">
        <v>0</v>
      </c>
      <c r="SR206" s="9" t="n">
        <v>0</v>
      </c>
      <c r="SS206" s="9" t="n">
        <v>32</v>
      </c>
      <c r="SW206" s="10" t="n">
        <v>46197</v>
      </c>
      <c r="SY206" s="9" t="n">
        <v>0</v>
      </c>
      <c r="TA206" s="9" t="n">
        <v>0</v>
      </c>
      <c r="TB206" s="9" t="n">
        <v>0</v>
      </c>
      <c r="TF206" s="10" t="n">
        <v>46197</v>
      </c>
      <c r="TH206" s="9" t="n">
        <v>0</v>
      </c>
      <c r="TJ206" s="9" t="n">
        <v>0</v>
      </c>
      <c r="TK206" s="9" t="n">
        <v>0</v>
      </c>
      <c r="TO206" s="10" t="n">
        <v>46197</v>
      </c>
      <c r="TQ206" s="9" t="n">
        <v>0</v>
      </c>
      <c r="TS206" s="9" t="n">
        <v>0</v>
      </c>
      <c r="TT206" s="9" t="n">
        <v>22.40000000000001</v>
      </c>
      <c r="TX206" s="10" t="n">
        <v>46197</v>
      </c>
      <c r="TZ206" s="9" t="n">
        <v>0</v>
      </c>
      <c r="UB206" s="9" t="n">
        <v>0</v>
      </c>
      <c r="UC206" s="9" t="n">
        <v>46.79999999999998</v>
      </c>
      <c r="UG206" s="10" t="n">
        <v>46197</v>
      </c>
      <c r="UI206" s="9" t="n">
        <v>0</v>
      </c>
      <c r="UK206" s="9" t="n">
        <v>0</v>
      </c>
      <c r="UL206" s="9" t="n">
        <v>204</v>
      </c>
      <c r="UP206" s="10" t="n">
        <v>46197</v>
      </c>
      <c r="UR206" s="9" t="n">
        <v>0</v>
      </c>
      <c r="UT206" s="9" t="n">
        <v>0</v>
      </c>
      <c r="UU206" s="9" t="n">
        <v>251.25</v>
      </c>
      <c r="UY206" s="10" t="n">
        <v>46197</v>
      </c>
      <c r="VA206" s="9" t="n">
        <v>0</v>
      </c>
      <c r="VC206" s="9" t="n">
        <v>0</v>
      </c>
      <c r="VD206" s="9" t="n">
        <v>41.60000000000002</v>
      </c>
      <c r="VH206" s="10" t="n">
        <v>46197</v>
      </c>
      <c r="VJ206" s="9" t="n">
        <v>0</v>
      </c>
      <c r="VL206" s="9" t="n">
        <v>0</v>
      </c>
      <c r="VM206" s="9" t="n">
        <v>210</v>
      </c>
      <c r="VQ206" s="10" t="n">
        <v>46197</v>
      </c>
      <c r="VS206" s="9" t="n">
        <v>0</v>
      </c>
      <c r="VU206" s="9" t="n">
        <v>0</v>
      </c>
      <c r="VV206" s="9" t="n">
        <v>0</v>
      </c>
      <c r="VZ206" s="10" t="n">
        <v>46197</v>
      </c>
      <c r="WB206" s="9" t="n">
        <v>0</v>
      </c>
      <c r="WD206" s="9" t="n">
        <v>0</v>
      </c>
      <c r="WE206" s="9" t="n">
        <v>0</v>
      </c>
      <c r="WI206" s="10" t="n">
        <v>46197</v>
      </c>
      <c r="WK206" s="9" t="n">
        <v>0</v>
      </c>
      <c r="WM206" s="9" t="n">
        <v>0</v>
      </c>
      <c r="WN206" s="9" t="n">
        <v>1199</v>
      </c>
      <c r="WR206" s="10" t="n">
        <v>46197</v>
      </c>
      <c r="WT206" s="9" t="n">
        <v>0</v>
      </c>
      <c r="WV206" s="9" t="n">
        <v>0</v>
      </c>
      <c r="WW206" s="9" t="n">
        <v>0</v>
      </c>
      <c r="XA206" s="10" t="n">
        <v>46197</v>
      </c>
      <c r="XC206" s="9" t="n">
        <v>0</v>
      </c>
      <c r="XE206" s="9" t="n">
        <v>0</v>
      </c>
      <c r="XF206" s="9" t="n">
        <v>6813</v>
      </c>
      <c r="XJ206" s="10" t="n">
        <v>46197</v>
      </c>
      <c r="XL206" s="9" t="n">
        <v>0</v>
      </c>
      <c r="XN206" s="9" t="n">
        <v>0</v>
      </c>
      <c r="XO206" s="9" t="n">
        <v>4689</v>
      </c>
      <c r="XS206" s="10" t="n">
        <v>46197</v>
      </c>
      <c r="XU206" s="9" t="n">
        <v>0</v>
      </c>
      <c r="XW206" s="9" t="n">
        <v>0</v>
      </c>
      <c r="XX206" s="9" t="n">
        <v>1621</v>
      </c>
      <c r="YB206" s="10" t="n">
        <v>46197</v>
      </c>
      <c r="YD206" s="9" t="n">
        <v>0</v>
      </c>
      <c r="YF206" s="9" t="n">
        <v>0</v>
      </c>
      <c r="YG206" s="9" t="n">
        <v>4072</v>
      </c>
      <c r="YK206" s="10" t="n">
        <v>46197</v>
      </c>
      <c r="YM206" s="9" t="n">
        <v>0</v>
      </c>
      <c r="YO206" s="9" t="n">
        <v>0</v>
      </c>
      <c r="YP206" s="9" t="n">
        <v>0</v>
      </c>
      <c r="YT206" s="10" t="n">
        <v>46197</v>
      </c>
      <c r="YV206" s="9" t="n">
        <v>0</v>
      </c>
      <c r="YX206" s="9" t="n">
        <v>0</v>
      </c>
      <c r="YY206" s="9" t="n">
        <v>0</v>
      </c>
      <c r="ZC206" s="10" t="n">
        <v>46197</v>
      </c>
      <c r="ZE206" s="9" t="n">
        <v>0</v>
      </c>
      <c r="ZG206" s="9" t="n">
        <v>0</v>
      </c>
      <c r="ZH206" s="9" t="n">
        <v>0</v>
      </c>
      <c r="ZL206" s="10" t="n">
        <v>46197</v>
      </c>
      <c r="ZN206" s="9" t="n">
        <v>0</v>
      </c>
      <c r="ZP206" s="9" t="n">
        <v>0</v>
      </c>
      <c r="ZQ206" s="9" t="n">
        <v>0</v>
      </c>
      <c r="ZU206" s="10" t="n">
        <v>46197</v>
      </c>
      <c r="ZW206" s="9" t="n">
        <v>0</v>
      </c>
      <c r="ZY206" s="9" t="n">
        <v>0</v>
      </c>
      <c r="ZZ206" s="9" t="n">
        <v>0</v>
      </c>
      <c r="AAD206" s="10" t="n">
        <v>46197</v>
      </c>
      <c r="AAF206" s="9" t="n">
        <v>0</v>
      </c>
      <c r="AAH206" s="9" t="n">
        <v>0</v>
      </c>
      <c r="AAI206" s="9" t="n">
        <v>0</v>
      </c>
      <c r="AAM206" s="10" t="n">
        <v>46197</v>
      </c>
      <c r="AAO206" s="9" t="n">
        <v>0</v>
      </c>
      <c r="AAQ206" s="9" t="n">
        <v>0</v>
      </c>
      <c r="AAR206" s="9" t="n">
        <v>0</v>
      </c>
      <c r="AAV206" s="10" t="n">
        <v>46197</v>
      </c>
      <c r="AAX206" s="9" t="n">
        <v>0</v>
      </c>
      <c r="AAZ206" s="9" t="n">
        <v>0</v>
      </c>
      <c r="ABA206" s="9" t="n">
        <v>0</v>
      </c>
      <c r="ABE206" s="10" t="n">
        <v>46197</v>
      </c>
      <c r="ABG206" s="9" t="n">
        <v>0</v>
      </c>
      <c r="ABI206" s="9" t="n">
        <v>0</v>
      </c>
      <c r="ABJ206" s="9" t="n">
        <v>0</v>
      </c>
    </row>
    <row r="207">
      <c r="B207" s="9" t="n">
        <v>20</v>
      </c>
      <c r="C207" s="10" t="n">
        <v>46198</v>
      </c>
      <c r="D207" s="9" t="n">
        <v>13950</v>
      </c>
      <c r="E207" s="9" t="n">
        <v>12134</v>
      </c>
      <c r="F207" s="9" t="n">
        <v>12108.8</v>
      </c>
      <c r="G207" s="9" t="n">
        <v>25.20000000000073</v>
      </c>
      <c r="H207" s="9" t="n">
        <v>110148.8</v>
      </c>
      <c r="I207" s="9" t="inlineStr">
        <is>
          <t>5203 20mt</t>
        </is>
      </c>
      <c r="L207" s="10" t="n">
        <v>46198</v>
      </c>
      <c r="N207" s="9" t="n">
        <v>4312</v>
      </c>
      <c r="O207" s="9" t="n">
        <v>4318.8</v>
      </c>
      <c r="P207" s="9" t="n">
        <v>-6.800000000000182</v>
      </c>
      <c r="Q207" s="9" t="n">
        <v>80527.80000000008</v>
      </c>
      <c r="U207" s="10" t="n">
        <v>46198</v>
      </c>
      <c r="W207" s="9" t="n">
        <v>1400</v>
      </c>
      <c r="X207" s="9" t="n">
        <v>1399.8</v>
      </c>
      <c r="Y207" s="9" t="n">
        <v>0.2000000000000455</v>
      </c>
      <c r="Z207" s="9" t="n">
        <v>28847.39999999998</v>
      </c>
      <c r="AD207" s="10" t="n">
        <v>46198</v>
      </c>
      <c r="AF207" s="9" t="n">
        <v>0</v>
      </c>
      <c r="AH207" s="9" t="n">
        <v>0</v>
      </c>
      <c r="AI207" s="9" t="n">
        <v>33372.70000000002</v>
      </c>
      <c r="AM207" s="10" t="n">
        <v>46198</v>
      </c>
      <c r="AO207" s="9" t="n">
        <v>0</v>
      </c>
      <c r="AQ207" s="9" t="n">
        <v>0</v>
      </c>
      <c r="AR207" s="9" t="n">
        <v>0</v>
      </c>
      <c r="AV207" s="10" t="n">
        <v>46198</v>
      </c>
      <c r="AX207" s="9" t="n">
        <v>0</v>
      </c>
      <c r="AZ207" s="9" t="n">
        <v>0</v>
      </c>
      <c r="BA207" s="9" t="n">
        <v>14066.5</v>
      </c>
      <c r="BE207" s="10" t="n">
        <v>46198</v>
      </c>
      <c r="BG207" s="9" t="n">
        <v>200</v>
      </c>
      <c r="BH207" s="9" t="n">
        <v>200.6</v>
      </c>
      <c r="BI207" s="9" t="n">
        <v>-0.5999999999999943</v>
      </c>
      <c r="BJ207" s="9" t="n">
        <v>39034.8</v>
      </c>
      <c r="BN207" s="10" t="n">
        <v>46198</v>
      </c>
      <c r="BO207" s="9" t="n">
        <v>200.1</v>
      </c>
      <c r="BP207" s="9" t="n">
        <v>100</v>
      </c>
      <c r="BQ207" s="9" t="n">
        <v>200.1</v>
      </c>
      <c r="BR207" s="9" t="n">
        <v>-100.1</v>
      </c>
      <c r="BS207" s="9" t="n">
        <v>0</v>
      </c>
      <c r="BW207" s="10" t="n">
        <v>46198</v>
      </c>
      <c r="BY207" s="9" t="n">
        <v>86.09999999999999</v>
      </c>
      <c r="BZ207" s="9" t="n">
        <v>43.97</v>
      </c>
      <c r="CA207" s="9" t="n">
        <v>42.13</v>
      </c>
      <c r="CB207" s="9" t="n">
        <v>3101.299999999999</v>
      </c>
      <c r="CF207" s="10" t="n">
        <v>46198</v>
      </c>
      <c r="CG207" s="9" t="n">
        <v>81.52</v>
      </c>
      <c r="CH207" s="9" t="n">
        <v>0</v>
      </c>
      <c r="CI207" s="9" t="n">
        <v>81.52</v>
      </c>
      <c r="CJ207" s="9" t="n">
        <v>-81.52</v>
      </c>
      <c r="CK207" s="9" t="n">
        <v>0</v>
      </c>
      <c r="CO207" s="10" t="n">
        <v>46198</v>
      </c>
      <c r="CQ207" s="9" t="n">
        <v>0</v>
      </c>
      <c r="CS207" s="9" t="n">
        <v>0</v>
      </c>
      <c r="CT207" s="9" t="n">
        <v>0</v>
      </c>
      <c r="CX207" s="10" t="n">
        <v>46198</v>
      </c>
      <c r="CZ207" s="9" t="n">
        <v>400</v>
      </c>
      <c r="DA207" s="9" t="n">
        <v>399.4</v>
      </c>
      <c r="DB207" s="9" t="n">
        <v>0.6000000000000227</v>
      </c>
      <c r="DC207" s="9" t="n">
        <v>13542.00000000001</v>
      </c>
      <c r="DG207" s="10" t="n">
        <v>46198</v>
      </c>
      <c r="DI207" s="9" t="n">
        <v>0</v>
      </c>
      <c r="DK207" s="9" t="n">
        <v>0</v>
      </c>
      <c r="DL207" s="9" t="n">
        <v>35234.99999999999</v>
      </c>
      <c r="DP207" s="10" t="n">
        <v>46198</v>
      </c>
      <c r="DR207" s="9" t="n">
        <v>0</v>
      </c>
      <c r="DT207" s="9" t="n">
        <v>0</v>
      </c>
      <c r="DU207" s="9" t="n">
        <v>5800</v>
      </c>
      <c r="DY207" s="10" t="n">
        <v>46198</v>
      </c>
      <c r="EA207" s="9" t="n">
        <v>0</v>
      </c>
      <c r="EC207" s="9" t="n">
        <v>0</v>
      </c>
      <c r="ED207" s="9" t="n">
        <v>0</v>
      </c>
      <c r="EH207" s="10" t="n">
        <v>46198</v>
      </c>
      <c r="EJ207" s="9" t="n">
        <v>0</v>
      </c>
      <c r="EL207" s="9" t="n">
        <v>0</v>
      </c>
      <c r="EM207" s="9" t="n">
        <v>0</v>
      </c>
      <c r="EQ207" s="10" t="n">
        <v>46198</v>
      </c>
      <c r="ES207" s="9" t="n">
        <v>0</v>
      </c>
      <c r="EU207" s="9" t="n">
        <v>0</v>
      </c>
      <c r="EV207" s="9" t="n">
        <v>0</v>
      </c>
      <c r="EZ207" s="10" t="n">
        <v>46198</v>
      </c>
      <c r="FB207" s="9" t="n">
        <v>0</v>
      </c>
      <c r="FD207" s="9" t="n">
        <v>0</v>
      </c>
      <c r="FE207" s="9" t="n">
        <v>0</v>
      </c>
      <c r="FI207" s="10" t="n">
        <v>46198</v>
      </c>
      <c r="FK207" s="9" t="n">
        <v>0</v>
      </c>
      <c r="FM207" s="9" t="n">
        <v>0</v>
      </c>
      <c r="FN207" s="9" t="n">
        <v>0</v>
      </c>
      <c r="FR207" s="10" t="n">
        <v>46198</v>
      </c>
      <c r="FT207" s="9" t="n">
        <v>0</v>
      </c>
      <c r="FV207" s="9" t="n">
        <v>0</v>
      </c>
      <c r="FW207" s="9" t="n">
        <v>1160</v>
      </c>
      <c r="GA207" s="10" t="n">
        <v>46198</v>
      </c>
      <c r="GC207" s="9" t="n">
        <v>0</v>
      </c>
      <c r="GE207" s="9" t="n">
        <v>0</v>
      </c>
      <c r="GF207" s="9" t="n">
        <v>960</v>
      </c>
      <c r="GJ207" s="10" t="n">
        <v>46198</v>
      </c>
      <c r="GL207" s="9" t="n">
        <v>0</v>
      </c>
      <c r="GN207" s="9" t="n">
        <v>0</v>
      </c>
      <c r="GO207" s="9" t="n">
        <v>1760</v>
      </c>
      <c r="GS207" s="10" t="n">
        <v>46198</v>
      </c>
      <c r="GU207" s="9" t="n">
        <v>0</v>
      </c>
      <c r="GW207" s="9" t="n">
        <v>0</v>
      </c>
      <c r="GX207" s="9" t="n">
        <v>400</v>
      </c>
      <c r="HB207" s="10" t="n">
        <v>46198</v>
      </c>
      <c r="HD207" s="9" t="n">
        <v>0</v>
      </c>
      <c r="HF207" s="9" t="n">
        <v>0</v>
      </c>
      <c r="HG207" s="9" t="n">
        <v>3600</v>
      </c>
      <c r="HK207" s="10" t="n">
        <v>46198</v>
      </c>
      <c r="HM207" s="9" t="n">
        <v>0</v>
      </c>
      <c r="HO207" s="9" t="n">
        <v>0</v>
      </c>
      <c r="HP207" s="9" t="n">
        <v>0</v>
      </c>
      <c r="HU207" s="10" t="n">
        <v>46198</v>
      </c>
      <c r="HW207" s="9" t="n">
        <v>0</v>
      </c>
      <c r="HY207" s="9" t="n">
        <v>0</v>
      </c>
      <c r="HZ207" s="9" t="n">
        <v>6800</v>
      </c>
      <c r="ID207" s="10" t="n">
        <v>46198</v>
      </c>
      <c r="IF207" s="9" t="n">
        <v>0</v>
      </c>
      <c r="IH207" s="9" t="n">
        <v>0</v>
      </c>
      <c r="II207" s="9" t="n">
        <v>720</v>
      </c>
      <c r="IM207" s="10" t="n">
        <v>46198</v>
      </c>
      <c r="IO207" s="9" t="n">
        <v>0</v>
      </c>
      <c r="IQ207" s="9" t="n">
        <v>0</v>
      </c>
      <c r="IR207" s="9" t="n">
        <v>6520</v>
      </c>
      <c r="IV207" s="10" t="n">
        <v>46198</v>
      </c>
      <c r="IX207" s="9" t="n">
        <v>0</v>
      </c>
      <c r="IZ207" s="9" t="n">
        <v>0</v>
      </c>
      <c r="JA207" s="9" t="n">
        <v>4960</v>
      </c>
      <c r="JE207" s="10" t="n">
        <v>46198</v>
      </c>
      <c r="JG207" s="9" t="n">
        <v>0</v>
      </c>
      <c r="JI207" s="9" t="n">
        <v>0</v>
      </c>
      <c r="JJ207" s="9" t="n">
        <v>0</v>
      </c>
      <c r="JN207" s="10" t="n">
        <v>46198</v>
      </c>
      <c r="JP207" s="9" t="n">
        <v>0</v>
      </c>
      <c r="JR207" s="9" t="n">
        <v>0</v>
      </c>
      <c r="JS207" s="9" t="n">
        <v>0</v>
      </c>
      <c r="JW207" s="10" t="n">
        <v>46198</v>
      </c>
      <c r="JY207" s="9" t="n">
        <v>0</v>
      </c>
      <c r="KA207" s="9" t="n">
        <v>0</v>
      </c>
      <c r="KB207" s="9" t="n">
        <v>2540</v>
      </c>
      <c r="KF207" s="10" t="n">
        <v>46198</v>
      </c>
      <c r="KH207" s="9" t="n">
        <v>0</v>
      </c>
      <c r="KJ207" s="9" t="n">
        <v>0</v>
      </c>
      <c r="KK207" s="9" t="n">
        <v>2359.5</v>
      </c>
      <c r="KO207" s="10" t="n">
        <v>46198</v>
      </c>
      <c r="KQ207" s="9" t="n">
        <v>0</v>
      </c>
      <c r="KS207" s="9" t="n">
        <v>0</v>
      </c>
      <c r="KT207" s="9" t="n">
        <v>1890</v>
      </c>
      <c r="KX207" s="10" t="n">
        <v>46198</v>
      </c>
      <c r="KZ207" s="9" t="n">
        <v>0</v>
      </c>
      <c r="LB207" s="9" t="n">
        <v>0</v>
      </c>
      <c r="LC207" s="9" t="n">
        <v>3690</v>
      </c>
      <c r="LG207" s="10" t="n">
        <v>46198</v>
      </c>
      <c r="LI207" s="9" t="n">
        <v>0</v>
      </c>
      <c r="LK207" s="9" t="n">
        <v>0</v>
      </c>
      <c r="LL207" s="9" t="n">
        <v>4000</v>
      </c>
      <c r="LP207" s="10" t="n">
        <v>46198</v>
      </c>
      <c r="LR207" s="9" t="n">
        <v>0</v>
      </c>
      <c r="LT207" s="9" t="n">
        <v>0</v>
      </c>
      <c r="LU207" s="9" t="n">
        <v>0</v>
      </c>
      <c r="LY207" s="10" t="n">
        <v>46198</v>
      </c>
      <c r="MA207" s="9" t="n">
        <v>0</v>
      </c>
      <c r="MC207" s="9" t="n">
        <v>0</v>
      </c>
      <c r="MD207" s="9" t="n">
        <v>0</v>
      </c>
      <c r="MH207" s="10" t="n">
        <v>46198</v>
      </c>
      <c r="MJ207" s="9" t="n">
        <v>0</v>
      </c>
      <c r="ML207" s="9" t="n">
        <v>0</v>
      </c>
      <c r="MM207" s="9" t="n">
        <v>0</v>
      </c>
      <c r="MQ207" s="10" t="n">
        <v>46198</v>
      </c>
      <c r="MS207" s="9" t="n">
        <v>0</v>
      </c>
      <c r="MT207" s="9" t="n">
        <v>10</v>
      </c>
      <c r="MU207" s="9" t="n">
        <v>-10</v>
      </c>
      <c r="MV207" s="9" t="n">
        <v>3694</v>
      </c>
      <c r="MZ207" s="10" t="n">
        <v>46198</v>
      </c>
      <c r="NA207" s="9" t="n">
        <v>120</v>
      </c>
      <c r="NB207" s="9" t="n">
        <v>0</v>
      </c>
      <c r="NC207" s="9" t="n">
        <v>120</v>
      </c>
      <c r="ND207" s="9" t="n">
        <v>-120</v>
      </c>
      <c r="NE207" s="9" t="n">
        <v>0</v>
      </c>
      <c r="NI207" s="10" t="n">
        <v>46198</v>
      </c>
      <c r="NK207" s="9" t="n">
        <v>0</v>
      </c>
      <c r="NM207" s="9" t="n">
        <v>0</v>
      </c>
      <c r="NN207" s="9" t="n">
        <v>1127</v>
      </c>
      <c r="NR207" s="10" t="n">
        <v>46198</v>
      </c>
      <c r="NT207" s="9" t="n">
        <v>0</v>
      </c>
      <c r="NV207" s="9" t="n">
        <v>0</v>
      </c>
      <c r="NW207" s="9" t="n">
        <v>3112</v>
      </c>
      <c r="OA207" s="10" t="n">
        <v>46198</v>
      </c>
      <c r="OC207" s="9" t="n">
        <v>0</v>
      </c>
      <c r="OE207" s="9" t="n">
        <v>0</v>
      </c>
      <c r="OF207" s="9" t="n">
        <v>1680.5</v>
      </c>
      <c r="OJ207" s="10" t="n">
        <v>46198</v>
      </c>
      <c r="OK207" s="9" t="n">
        <v>19</v>
      </c>
      <c r="OL207" s="9" t="n">
        <v>0</v>
      </c>
      <c r="OM207" s="9" t="n">
        <v>19</v>
      </c>
      <c r="ON207" s="9" t="n">
        <v>-19</v>
      </c>
      <c r="OO207" s="9" t="n">
        <v>0</v>
      </c>
      <c r="OS207" s="10" t="n">
        <v>46198</v>
      </c>
      <c r="OU207" s="9" t="n">
        <v>0</v>
      </c>
      <c r="OW207" s="9" t="n">
        <v>0</v>
      </c>
      <c r="OX207" s="9" t="n">
        <v>1482</v>
      </c>
      <c r="PB207" s="10" t="n">
        <v>46198</v>
      </c>
      <c r="PD207" s="9" t="n">
        <v>0</v>
      </c>
      <c r="PF207" s="9" t="n">
        <v>0</v>
      </c>
      <c r="PG207" s="9" t="n">
        <v>0</v>
      </c>
      <c r="PK207" s="10" t="n">
        <v>46198</v>
      </c>
      <c r="PM207" s="9" t="n">
        <v>0</v>
      </c>
      <c r="PO207" s="9" t="n">
        <v>0</v>
      </c>
      <c r="PP207" s="9" t="n">
        <v>100</v>
      </c>
      <c r="PT207" s="10" t="n">
        <v>46198</v>
      </c>
      <c r="PV207" s="9" t="n">
        <v>0</v>
      </c>
      <c r="PX207" s="9" t="n">
        <v>0</v>
      </c>
      <c r="PY207" s="9" t="n">
        <v>13.96000000000004</v>
      </c>
      <c r="QC207" s="10" t="n">
        <v>46198</v>
      </c>
      <c r="QE207" s="9" t="n">
        <v>0</v>
      </c>
      <c r="QG207" s="9" t="n">
        <v>0</v>
      </c>
      <c r="QH207" s="9" t="n">
        <v>1736</v>
      </c>
      <c r="QL207" s="10" t="n">
        <v>46198</v>
      </c>
      <c r="QN207" s="9" t="n">
        <v>0</v>
      </c>
      <c r="QP207" s="9" t="n">
        <v>0</v>
      </c>
      <c r="QQ207" s="9" t="n">
        <v>250</v>
      </c>
      <c r="QU207" s="10" t="n">
        <v>46198</v>
      </c>
      <c r="QW207" s="9" t="n">
        <v>0</v>
      </c>
      <c r="QY207" s="9" t="n">
        <v>0</v>
      </c>
      <c r="QZ207" s="9" t="n">
        <v>207.6</v>
      </c>
      <c r="RD207" s="10" t="n">
        <v>46198</v>
      </c>
      <c r="RF207" s="9" t="n">
        <v>0</v>
      </c>
      <c r="RH207" s="9" t="n">
        <v>0</v>
      </c>
      <c r="RI207" s="9" t="n">
        <v>147.04</v>
      </c>
      <c r="RM207" s="10" t="n">
        <v>46198</v>
      </c>
      <c r="RO207" s="9" t="n">
        <v>0</v>
      </c>
      <c r="RQ207" s="9" t="n">
        <v>0</v>
      </c>
      <c r="RR207" s="9" t="n">
        <v>46.8</v>
      </c>
      <c r="RV207" s="10" t="n">
        <v>46198</v>
      </c>
      <c r="RX207" s="9" t="n">
        <v>0</v>
      </c>
      <c r="RZ207" s="9" t="n">
        <v>0</v>
      </c>
      <c r="SA207" s="9" t="n">
        <v>0</v>
      </c>
      <c r="SE207" s="10" t="n">
        <v>46198</v>
      </c>
      <c r="SG207" s="9" t="n">
        <v>0</v>
      </c>
      <c r="SI207" s="9" t="n">
        <v>0</v>
      </c>
      <c r="SJ207" s="9" t="n">
        <v>24.2</v>
      </c>
      <c r="SN207" s="10" t="n">
        <v>46198</v>
      </c>
      <c r="SP207" s="9" t="n">
        <v>0</v>
      </c>
      <c r="SR207" s="9" t="n">
        <v>0</v>
      </c>
      <c r="SS207" s="9" t="n">
        <v>32</v>
      </c>
      <c r="SW207" s="10" t="n">
        <v>46198</v>
      </c>
      <c r="SY207" s="9" t="n">
        <v>0</v>
      </c>
      <c r="TA207" s="9" t="n">
        <v>0</v>
      </c>
      <c r="TB207" s="9" t="n">
        <v>0</v>
      </c>
      <c r="TF207" s="10" t="n">
        <v>46198</v>
      </c>
      <c r="TH207" s="9" t="n">
        <v>0</v>
      </c>
      <c r="TJ207" s="9" t="n">
        <v>0</v>
      </c>
      <c r="TK207" s="9" t="n">
        <v>0</v>
      </c>
      <c r="TO207" s="10" t="n">
        <v>46198</v>
      </c>
      <c r="TQ207" s="9" t="n">
        <v>0</v>
      </c>
      <c r="TS207" s="9" t="n">
        <v>0</v>
      </c>
      <c r="TT207" s="9" t="n">
        <v>22.40000000000001</v>
      </c>
      <c r="TX207" s="10" t="n">
        <v>46198</v>
      </c>
      <c r="TZ207" s="9" t="n">
        <v>0</v>
      </c>
      <c r="UB207" s="9" t="n">
        <v>0</v>
      </c>
      <c r="UC207" s="9" t="n">
        <v>46.79999999999998</v>
      </c>
      <c r="UG207" s="10" t="n">
        <v>46198</v>
      </c>
      <c r="UI207" s="9" t="n">
        <v>0</v>
      </c>
      <c r="UK207" s="9" t="n">
        <v>0</v>
      </c>
      <c r="UL207" s="9" t="n">
        <v>204</v>
      </c>
      <c r="UP207" s="10" t="n">
        <v>46198</v>
      </c>
      <c r="UR207" s="9" t="n">
        <v>0</v>
      </c>
      <c r="UT207" s="9" t="n">
        <v>0</v>
      </c>
      <c r="UU207" s="9" t="n">
        <v>251.25</v>
      </c>
      <c r="UY207" s="10" t="n">
        <v>46198</v>
      </c>
      <c r="VA207" s="9" t="n">
        <v>0</v>
      </c>
      <c r="VC207" s="9" t="n">
        <v>0</v>
      </c>
      <c r="VD207" s="9" t="n">
        <v>41.60000000000002</v>
      </c>
      <c r="VH207" s="10" t="n">
        <v>46198</v>
      </c>
      <c r="VJ207" s="9" t="n">
        <v>0</v>
      </c>
      <c r="VL207" s="9" t="n">
        <v>0</v>
      </c>
      <c r="VM207" s="9" t="n">
        <v>210</v>
      </c>
      <c r="VQ207" s="10" t="n">
        <v>46198</v>
      </c>
      <c r="VS207" s="9" t="n">
        <v>0</v>
      </c>
      <c r="VU207" s="9" t="n">
        <v>0</v>
      </c>
      <c r="VV207" s="9" t="n">
        <v>0</v>
      </c>
      <c r="VZ207" s="10" t="n">
        <v>46198</v>
      </c>
      <c r="WB207" s="9" t="n">
        <v>0</v>
      </c>
      <c r="WD207" s="9" t="n">
        <v>0</v>
      </c>
      <c r="WE207" s="9" t="n">
        <v>0</v>
      </c>
      <c r="WI207" s="10" t="n">
        <v>46198</v>
      </c>
      <c r="WK207" s="9" t="n">
        <v>0</v>
      </c>
      <c r="WM207" s="9" t="n">
        <v>0</v>
      </c>
      <c r="WN207" s="9" t="n">
        <v>1199</v>
      </c>
      <c r="WR207" s="10" t="n">
        <v>46198</v>
      </c>
      <c r="WT207" s="9" t="n">
        <v>0</v>
      </c>
      <c r="WV207" s="9" t="n">
        <v>0</v>
      </c>
      <c r="WW207" s="9" t="n">
        <v>0</v>
      </c>
      <c r="XA207" s="10" t="n">
        <v>46198</v>
      </c>
      <c r="XC207" s="9" t="n">
        <v>0</v>
      </c>
      <c r="XE207" s="9" t="n">
        <v>0</v>
      </c>
      <c r="XF207" s="9" t="n">
        <v>6813</v>
      </c>
      <c r="XJ207" s="10" t="n">
        <v>46198</v>
      </c>
      <c r="XL207" s="9" t="n">
        <v>0</v>
      </c>
      <c r="XN207" s="9" t="n">
        <v>0</v>
      </c>
      <c r="XO207" s="9" t="n">
        <v>4689</v>
      </c>
      <c r="XS207" s="10" t="n">
        <v>46198</v>
      </c>
      <c r="XU207" s="9" t="n">
        <v>0</v>
      </c>
      <c r="XW207" s="9" t="n">
        <v>0</v>
      </c>
      <c r="XX207" s="9" t="n">
        <v>1621</v>
      </c>
      <c r="YB207" s="10" t="n">
        <v>46198</v>
      </c>
      <c r="YD207" s="9" t="n">
        <v>0</v>
      </c>
      <c r="YF207" s="9" t="n">
        <v>0</v>
      </c>
      <c r="YG207" s="9" t="n">
        <v>4072</v>
      </c>
      <c r="YK207" s="10" t="n">
        <v>46198</v>
      </c>
      <c r="YM207" s="9" t="n">
        <v>0</v>
      </c>
      <c r="YO207" s="9" t="n">
        <v>0</v>
      </c>
      <c r="YP207" s="9" t="n">
        <v>0</v>
      </c>
      <c r="YT207" s="10" t="n">
        <v>46198</v>
      </c>
      <c r="YV207" s="9" t="n">
        <v>0</v>
      </c>
      <c r="YX207" s="9" t="n">
        <v>0</v>
      </c>
      <c r="YY207" s="9" t="n">
        <v>0</v>
      </c>
      <c r="ZC207" s="10" t="n">
        <v>46198</v>
      </c>
      <c r="ZE207" s="9" t="n">
        <v>0</v>
      </c>
      <c r="ZG207" s="9" t="n">
        <v>0</v>
      </c>
      <c r="ZH207" s="9" t="n">
        <v>0</v>
      </c>
      <c r="ZL207" s="10" t="n">
        <v>46198</v>
      </c>
      <c r="ZN207" s="9" t="n">
        <v>0</v>
      </c>
      <c r="ZP207" s="9" t="n">
        <v>0</v>
      </c>
      <c r="ZQ207" s="9" t="n">
        <v>0</v>
      </c>
      <c r="ZU207" s="10" t="n">
        <v>46198</v>
      </c>
      <c r="ZW207" s="9" t="n">
        <v>0</v>
      </c>
      <c r="ZY207" s="9" t="n">
        <v>0</v>
      </c>
      <c r="ZZ207" s="9" t="n">
        <v>0</v>
      </c>
      <c r="AAD207" s="10" t="n">
        <v>46198</v>
      </c>
      <c r="AAF207" s="9" t="n">
        <v>0</v>
      </c>
      <c r="AAH207" s="9" t="n">
        <v>0</v>
      </c>
      <c r="AAI207" s="9" t="n">
        <v>0</v>
      </c>
      <c r="AAM207" s="10" t="n">
        <v>46198</v>
      </c>
      <c r="AAO207" s="9" t="n">
        <v>0</v>
      </c>
      <c r="AAQ207" s="9" t="n">
        <v>0</v>
      </c>
      <c r="AAR207" s="9" t="n">
        <v>0</v>
      </c>
      <c r="AAV207" s="10" t="n">
        <v>46198</v>
      </c>
      <c r="AAX207" s="9" t="n">
        <v>0</v>
      </c>
      <c r="AAZ207" s="9" t="n">
        <v>0</v>
      </c>
      <c r="ABA207" s="9" t="n">
        <v>0</v>
      </c>
      <c r="ABE207" s="10" t="n">
        <v>46198</v>
      </c>
      <c r="ABG207" s="9" t="n">
        <v>0</v>
      </c>
      <c r="ABI207" s="9" t="n">
        <v>0</v>
      </c>
      <c r="ABJ207" s="9" t="n">
        <v>0</v>
      </c>
    </row>
    <row r="208">
      <c r="B208" s="9" t="n">
        <v>116</v>
      </c>
      <c r="C208" s="10" t="n">
        <v>46199</v>
      </c>
      <c r="E208" s="9" t="n">
        <v>67002.5</v>
      </c>
      <c r="F208" s="9" t="n">
        <v>67008.60000000001</v>
      </c>
      <c r="G208" s="9" t="n">
        <v>-6.100000000005821</v>
      </c>
      <c r="H208" s="9" t="n">
        <v>43140.20000000004</v>
      </c>
      <c r="I208" s="9" t="inlineStr">
        <is>
          <t>8102 10mt, 5202 46mt, 5203 60mt</t>
        </is>
      </c>
      <c r="L208" s="10" t="n">
        <v>46199</v>
      </c>
      <c r="N208" s="9" t="n">
        <v>29793</v>
      </c>
      <c r="O208" s="9" t="n">
        <v>29796</v>
      </c>
      <c r="P208" s="9" t="n">
        <v>-3</v>
      </c>
      <c r="Q208" s="9" t="n">
        <v>50731.80000000008</v>
      </c>
      <c r="U208" s="10" t="n">
        <v>46199</v>
      </c>
      <c r="W208" s="9" t="n">
        <v>7460</v>
      </c>
      <c r="X208" s="9" t="n">
        <v>7462.6</v>
      </c>
      <c r="Y208" s="9" t="n">
        <v>-2.600000000000364</v>
      </c>
      <c r="Z208" s="9" t="n">
        <v>21384.79999999997</v>
      </c>
      <c r="AD208" s="10" t="n">
        <v>46199</v>
      </c>
      <c r="AF208" s="9" t="n">
        <v>0</v>
      </c>
      <c r="AH208" s="9" t="n">
        <v>0</v>
      </c>
      <c r="AI208" s="9" t="n">
        <v>33372.70000000002</v>
      </c>
      <c r="AM208" s="10" t="n">
        <v>46199</v>
      </c>
      <c r="AO208" s="9" t="n">
        <v>0</v>
      </c>
      <c r="AQ208" s="9" t="n">
        <v>0</v>
      </c>
      <c r="AR208" s="9" t="n">
        <v>0</v>
      </c>
      <c r="AV208" s="10" t="n">
        <v>46199</v>
      </c>
      <c r="AX208" s="9" t="n">
        <v>0</v>
      </c>
      <c r="AZ208" s="9" t="n">
        <v>0</v>
      </c>
      <c r="BA208" s="9" t="n">
        <v>14066.5</v>
      </c>
      <c r="BE208" s="10" t="n">
        <v>46199</v>
      </c>
      <c r="BG208" s="9" t="n">
        <v>795</v>
      </c>
      <c r="BH208" s="9" t="n">
        <v>793.8</v>
      </c>
      <c r="BI208" s="9" t="n">
        <v>1.200000000000045</v>
      </c>
      <c r="BJ208" s="9" t="n">
        <v>38240.99999999999</v>
      </c>
      <c r="BN208" s="10" t="n">
        <v>46199</v>
      </c>
      <c r="BO208" s="9" t="n">
        <v>1064.9</v>
      </c>
      <c r="BP208" s="9" t="n">
        <v>765</v>
      </c>
      <c r="BQ208" s="9" t="n">
        <v>1064.9</v>
      </c>
      <c r="BR208" s="9" t="n">
        <v>-299.9000000000001</v>
      </c>
      <c r="BS208" s="9" t="n">
        <v>0</v>
      </c>
      <c r="BW208" s="10" t="n">
        <v>46199</v>
      </c>
      <c r="BY208" s="9" t="n">
        <v>596.63</v>
      </c>
      <c r="BZ208" s="9" t="n">
        <v>360.76</v>
      </c>
      <c r="CA208" s="9" t="n">
        <v>235.87</v>
      </c>
      <c r="CB208" s="9" t="n">
        <v>2740.539999999999</v>
      </c>
      <c r="CF208" s="10" t="n">
        <v>46199</v>
      </c>
      <c r="CG208" s="9" t="n">
        <v>688.64</v>
      </c>
      <c r="CH208" s="9" t="n">
        <v>64.2</v>
      </c>
      <c r="CI208" s="9" t="n">
        <v>688.64</v>
      </c>
      <c r="CJ208" s="9" t="n">
        <v>-624.4399999999999</v>
      </c>
      <c r="CK208" s="9" t="n">
        <v>0</v>
      </c>
      <c r="CO208" s="10" t="n">
        <v>46199</v>
      </c>
      <c r="CQ208" s="9" t="n">
        <v>0</v>
      </c>
      <c r="CS208" s="9" t="n">
        <v>0</v>
      </c>
      <c r="CT208" s="9" t="n">
        <v>0</v>
      </c>
      <c r="CX208" s="10" t="n">
        <v>46199</v>
      </c>
      <c r="CZ208" s="9" t="n">
        <v>2120</v>
      </c>
      <c r="DA208" s="9" t="n">
        <v>2121.5</v>
      </c>
      <c r="DB208" s="9" t="n">
        <v>-1.5</v>
      </c>
      <c r="DC208" s="9" t="n">
        <v>11420.50000000001</v>
      </c>
      <c r="DG208" s="10" t="n">
        <v>46199</v>
      </c>
      <c r="DI208" s="9" t="n">
        <v>0</v>
      </c>
      <c r="DK208" s="9" t="n">
        <v>0</v>
      </c>
      <c r="DL208" s="9" t="n">
        <v>35234.99999999999</v>
      </c>
      <c r="DP208" s="10" t="n">
        <v>46199</v>
      </c>
      <c r="DR208" s="9" t="n">
        <v>0</v>
      </c>
      <c r="DT208" s="9" t="n">
        <v>0</v>
      </c>
      <c r="DU208" s="9" t="n">
        <v>5800</v>
      </c>
      <c r="DY208" s="10" t="n">
        <v>46199</v>
      </c>
      <c r="EA208" s="9" t="n">
        <v>0</v>
      </c>
      <c r="EC208" s="9" t="n">
        <v>0</v>
      </c>
      <c r="ED208" s="9" t="n">
        <v>0</v>
      </c>
      <c r="EH208" s="10" t="n">
        <v>46199</v>
      </c>
      <c r="EJ208" s="9" t="n">
        <v>0</v>
      </c>
      <c r="EL208" s="9" t="n">
        <v>0</v>
      </c>
      <c r="EM208" s="9" t="n">
        <v>0</v>
      </c>
      <c r="EQ208" s="10" t="n">
        <v>46199</v>
      </c>
      <c r="ES208" s="9" t="n">
        <v>0</v>
      </c>
      <c r="EU208" s="9" t="n">
        <v>0</v>
      </c>
      <c r="EV208" s="9" t="n">
        <v>0</v>
      </c>
      <c r="EZ208" s="10" t="n">
        <v>46199</v>
      </c>
      <c r="FB208" s="9" t="n">
        <v>0</v>
      </c>
      <c r="FD208" s="9" t="n">
        <v>0</v>
      </c>
      <c r="FE208" s="9" t="n">
        <v>0</v>
      </c>
      <c r="FI208" s="10" t="n">
        <v>46199</v>
      </c>
      <c r="FK208" s="9" t="n">
        <v>0</v>
      </c>
      <c r="FM208" s="9" t="n">
        <v>0</v>
      </c>
      <c r="FN208" s="9" t="n">
        <v>0</v>
      </c>
      <c r="FR208" s="10" t="n">
        <v>46199</v>
      </c>
      <c r="FT208" s="9" t="n">
        <v>0</v>
      </c>
      <c r="FV208" s="9" t="n">
        <v>0</v>
      </c>
      <c r="FW208" s="9" t="n">
        <v>1160</v>
      </c>
      <c r="GA208" s="10" t="n">
        <v>46199</v>
      </c>
      <c r="GC208" s="9" t="n">
        <v>0</v>
      </c>
      <c r="GE208" s="9" t="n">
        <v>0</v>
      </c>
      <c r="GF208" s="9" t="n">
        <v>960</v>
      </c>
      <c r="GJ208" s="10" t="n">
        <v>46199</v>
      </c>
      <c r="GL208" s="9" t="n">
        <v>0</v>
      </c>
      <c r="GN208" s="9" t="n">
        <v>0</v>
      </c>
      <c r="GO208" s="9" t="n">
        <v>1760</v>
      </c>
      <c r="GS208" s="10" t="n">
        <v>46199</v>
      </c>
      <c r="GU208" s="9" t="n">
        <v>0</v>
      </c>
      <c r="GW208" s="9" t="n">
        <v>0</v>
      </c>
      <c r="GX208" s="9" t="n">
        <v>400</v>
      </c>
      <c r="HB208" s="10" t="n">
        <v>46199</v>
      </c>
      <c r="HD208" s="9" t="n">
        <v>0</v>
      </c>
      <c r="HF208" s="9" t="n">
        <v>0</v>
      </c>
      <c r="HG208" s="9" t="n">
        <v>3600</v>
      </c>
      <c r="HK208" s="10" t="n">
        <v>46199</v>
      </c>
      <c r="HM208" s="9" t="n">
        <v>0</v>
      </c>
      <c r="HO208" s="9" t="n">
        <v>0</v>
      </c>
      <c r="HP208" s="9" t="n">
        <v>0</v>
      </c>
      <c r="HU208" s="10" t="n">
        <v>46199</v>
      </c>
      <c r="HW208" s="9" t="n">
        <v>0</v>
      </c>
      <c r="HX208" s="9" t="n">
        <v>120</v>
      </c>
      <c r="HY208" s="9" t="n">
        <v>-120</v>
      </c>
      <c r="HZ208" s="9" t="n">
        <v>6680</v>
      </c>
      <c r="IA208" s="9" t="n">
        <v>6</v>
      </c>
      <c r="ID208" s="10" t="n">
        <v>46199</v>
      </c>
      <c r="IF208" s="9" t="n">
        <v>0</v>
      </c>
      <c r="IH208" s="9" t="n">
        <v>0</v>
      </c>
      <c r="II208" s="9" t="n">
        <v>720</v>
      </c>
      <c r="IM208" s="10" t="n">
        <v>46199</v>
      </c>
      <c r="IO208" s="9" t="n">
        <v>0</v>
      </c>
      <c r="IQ208" s="9" t="n">
        <v>0</v>
      </c>
      <c r="IR208" s="9" t="n">
        <v>6520</v>
      </c>
      <c r="IV208" s="10" t="n">
        <v>46199</v>
      </c>
      <c r="IX208" s="9" t="n">
        <v>0</v>
      </c>
      <c r="IZ208" s="9" t="n">
        <v>0</v>
      </c>
      <c r="JA208" s="9" t="n">
        <v>4960</v>
      </c>
      <c r="JE208" s="10" t="n">
        <v>46199</v>
      </c>
      <c r="JG208" s="9" t="n">
        <v>0</v>
      </c>
      <c r="JI208" s="9" t="n">
        <v>0</v>
      </c>
      <c r="JJ208" s="9" t="n">
        <v>0</v>
      </c>
      <c r="JN208" s="10" t="n">
        <v>46199</v>
      </c>
      <c r="JP208" s="9" t="n">
        <v>200</v>
      </c>
      <c r="JR208" s="9" t="n">
        <v>200</v>
      </c>
      <c r="JS208" s="9" t="n">
        <v>0</v>
      </c>
      <c r="JW208" s="10" t="n">
        <v>46199</v>
      </c>
      <c r="JY208" s="9" t="n">
        <v>0</v>
      </c>
      <c r="KA208" s="9" t="n">
        <v>0</v>
      </c>
      <c r="KB208" s="9" t="n">
        <v>2540</v>
      </c>
      <c r="KF208" s="10" t="n">
        <v>46199</v>
      </c>
      <c r="KH208" s="9" t="n">
        <v>0</v>
      </c>
      <c r="KJ208" s="9" t="n">
        <v>0</v>
      </c>
      <c r="KK208" s="9" t="n">
        <v>2359.5</v>
      </c>
      <c r="KO208" s="10" t="n">
        <v>46199</v>
      </c>
      <c r="KQ208" s="9" t="n">
        <v>0</v>
      </c>
      <c r="KS208" s="9" t="n">
        <v>0</v>
      </c>
      <c r="KT208" s="9" t="n">
        <v>1890</v>
      </c>
      <c r="KX208" s="10" t="n">
        <v>46199</v>
      </c>
      <c r="KZ208" s="9" t="n">
        <v>0</v>
      </c>
      <c r="LB208" s="9" t="n">
        <v>0</v>
      </c>
      <c r="LC208" s="9" t="n">
        <v>3690</v>
      </c>
      <c r="LG208" s="10" t="n">
        <v>46199</v>
      </c>
      <c r="LI208" s="9" t="n">
        <v>0</v>
      </c>
      <c r="LK208" s="9" t="n">
        <v>0</v>
      </c>
      <c r="LL208" s="9" t="n">
        <v>4000</v>
      </c>
      <c r="LP208" s="10" t="n">
        <v>46199</v>
      </c>
      <c r="LR208" s="9" t="n">
        <v>0</v>
      </c>
      <c r="LT208" s="9" t="n">
        <v>0</v>
      </c>
      <c r="LU208" s="9" t="n">
        <v>0</v>
      </c>
      <c r="LY208" s="10" t="n">
        <v>46199</v>
      </c>
      <c r="MA208" s="9" t="n">
        <v>0</v>
      </c>
      <c r="MC208" s="9" t="n">
        <v>0</v>
      </c>
      <c r="MD208" s="9" t="n">
        <v>0</v>
      </c>
      <c r="MH208" s="10" t="n">
        <v>46199</v>
      </c>
      <c r="MJ208" s="9" t="n">
        <v>0</v>
      </c>
      <c r="ML208" s="9" t="n">
        <v>0</v>
      </c>
      <c r="MM208" s="9" t="n">
        <v>0</v>
      </c>
      <c r="MQ208" s="10" t="n">
        <v>46199</v>
      </c>
      <c r="MS208" s="9" t="n">
        <v>0</v>
      </c>
      <c r="MT208" s="9" t="n">
        <v>83</v>
      </c>
      <c r="MU208" s="9" t="n">
        <v>-83</v>
      </c>
      <c r="MV208" s="9" t="n">
        <v>3611</v>
      </c>
      <c r="MZ208" s="10" t="n">
        <v>46199</v>
      </c>
      <c r="NA208" s="9" t="n">
        <v>978</v>
      </c>
      <c r="NB208" s="9" t="n">
        <v>30</v>
      </c>
      <c r="NC208" s="9" t="n">
        <v>978</v>
      </c>
      <c r="ND208" s="9" t="n">
        <v>-948</v>
      </c>
      <c r="NE208" s="9" t="n">
        <v>0</v>
      </c>
      <c r="NI208" s="10" t="n">
        <v>46199</v>
      </c>
      <c r="NK208" s="9" t="n">
        <v>0</v>
      </c>
      <c r="NM208" s="9" t="n">
        <v>0</v>
      </c>
      <c r="NN208" s="9" t="n">
        <v>1127</v>
      </c>
      <c r="NR208" s="10" t="n">
        <v>46199</v>
      </c>
      <c r="NT208" s="9" t="n">
        <v>0</v>
      </c>
      <c r="NV208" s="9" t="n">
        <v>0</v>
      </c>
      <c r="NW208" s="9" t="n">
        <v>3112</v>
      </c>
      <c r="OA208" s="10" t="n">
        <v>46199</v>
      </c>
      <c r="OC208" s="9" t="n">
        <v>0</v>
      </c>
      <c r="OE208" s="9" t="n">
        <v>0</v>
      </c>
      <c r="OF208" s="9" t="n">
        <v>1680.5</v>
      </c>
      <c r="OJ208" s="10" t="n">
        <v>46199</v>
      </c>
      <c r="OK208" s="9" t="n">
        <v>152</v>
      </c>
      <c r="OL208" s="9" t="n">
        <v>0</v>
      </c>
      <c r="OM208" s="9" t="n">
        <v>152</v>
      </c>
      <c r="ON208" s="9" t="n">
        <v>-152</v>
      </c>
      <c r="OO208" s="9" t="n">
        <v>0</v>
      </c>
      <c r="OS208" s="10" t="n">
        <v>46199</v>
      </c>
      <c r="OU208" s="9" t="n">
        <v>0</v>
      </c>
      <c r="OW208" s="9" t="n">
        <v>0</v>
      </c>
      <c r="OX208" s="9" t="n">
        <v>1482</v>
      </c>
      <c r="PB208" s="10" t="n">
        <v>46199</v>
      </c>
      <c r="PD208" s="9" t="n">
        <v>0</v>
      </c>
      <c r="PF208" s="9" t="n">
        <v>0</v>
      </c>
      <c r="PG208" s="9" t="n">
        <v>0</v>
      </c>
      <c r="PK208" s="10" t="n">
        <v>46199</v>
      </c>
      <c r="PM208" s="9" t="n">
        <v>0</v>
      </c>
      <c r="PO208" s="9" t="n">
        <v>0</v>
      </c>
      <c r="PP208" s="9" t="n">
        <v>100</v>
      </c>
      <c r="PT208" s="10" t="n">
        <v>46199</v>
      </c>
      <c r="PV208" s="9" t="n">
        <v>0</v>
      </c>
      <c r="PX208" s="9" t="n">
        <v>0</v>
      </c>
      <c r="PY208" s="9" t="n">
        <v>13.96000000000004</v>
      </c>
      <c r="QC208" s="10" t="n">
        <v>46199</v>
      </c>
      <c r="QE208" s="9" t="n">
        <v>0</v>
      </c>
      <c r="QG208" s="9" t="n">
        <v>0</v>
      </c>
      <c r="QH208" s="9" t="n">
        <v>1736</v>
      </c>
      <c r="QL208" s="10" t="n">
        <v>46199</v>
      </c>
      <c r="QN208" s="9" t="n">
        <v>25</v>
      </c>
      <c r="QP208" s="9" t="n">
        <v>25</v>
      </c>
      <c r="QQ208" s="9" t="n">
        <v>250</v>
      </c>
      <c r="QU208" s="10" t="n">
        <v>46199</v>
      </c>
      <c r="QW208" s="9" t="n">
        <v>0</v>
      </c>
      <c r="QY208" s="9" t="n">
        <v>0</v>
      </c>
      <c r="QZ208" s="9" t="n">
        <v>207.6</v>
      </c>
      <c r="RD208" s="10" t="n">
        <v>46199</v>
      </c>
      <c r="RF208" s="9" t="n">
        <v>0</v>
      </c>
      <c r="RH208" s="9" t="n">
        <v>0</v>
      </c>
      <c r="RI208" s="9" t="n">
        <v>147.04</v>
      </c>
      <c r="RM208" s="10" t="n">
        <v>46199</v>
      </c>
      <c r="RO208" s="9" t="n">
        <v>0</v>
      </c>
      <c r="RQ208" s="9" t="n">
        <v>0</v>
      </c>
      <c r="RR208" s="9" t="n">
        <v>46.8</v>
      </c>
      <c r="RV208" s="10" t="n">
        <v>46199</v>
      </c>
      <c r="RX208" s="9" t="n">
        <v>0</v>
      </c>
      <c r="RZ208" s="9" t="n">
        <v>0</v>
      </c>
      <c r="SA208" s="9" t="n">
        <v>0</v>
      </c>
      <c r="SE208" s="10" t="n">
        <v>46199</v>
      </c>
      <c r="SG208" s="9" t="n">
        <v>0</v>
      </c>
      <c r="SI208" s="9" t="n">
        <v>0</v>
      </c>
      <c r="SJ208" s="9" t="n">
        <v>24.2</v>
      </c>
      <c r="SN208" s="10" t="n">
        <v>46199</v>
      </c>
      <c r="SP208" s="9" t="n">
        <v>0</v>
      </c>
      <c r="SR208" s="9" t="n">
        <v>0</v>
      </c>
      <c r="SS208" s="9" t="n">
        <v>32</v>
      </c>
      <c r="SW208" s="10" t="n">
        <v>46199</v>
      </c>
      <c r="SY208" s="9" t="n">
        <v>0</v>
      </c>
      <c r="TA208" s="9" t="n">
        <v>0</v>
      </c>
      <c r="TB208" s="9" t="n">
        <v>0</v>
      </c>
      <c r="TF208" s="10" t="n">
        <v>46199</v>
      </c>
      <c r="TH208" s="9" t="n">
        <v>0</v>
      </c>
      <c r="TJ208" s="9" t="n">
        <v>0</v>
      </c>
      <c r="TK208" s="9" t="n">
        <v>0</v>
      </c>
      <c r="TO208" s="10" t="n">
        <v>46199</v>
      </c>
      <c r="TQ208" s="9" t="n">
        <v>0</v>
      </c>
      <c r="TS208" s="9" t="n">
        <v>0</v>
      </c>
      <c r="TT208" s="9" t="n">
        <v>22.40000000000001</v>
      </c>
      <c r="TX208" s="10" t="n">
        <v>46199</v>
      </c>
      <c r="TZ208" s="9" t="n">
        <v>0</v>
      </c>
      <c r="UB208" s="9" t="n">
        <v>0</v>
      </c>
      <c r="UC208" s="9" t="n">
        <v>46.79999999999998</v>
      </c>
      <c r="UG208" s="10" t="n">
        <v>46199</v>
      </c>
      <c r="UI208" s="9" t="n">
        <v>0</v>
      </c>
      <c r="UK208" s="9" t="n">
        <v>0</v>
      </c>
      <c r="UL208" s="9" t="n">
        <v>204</v>
      </c>
      <c r="UP208" s="10" t="n">
        <v>46199</v>
      </c>
      <c r="UR208" s="9" t="n">
        <v>0</v>
      </c>
      <c r="UT208" s="9" t="n">
        <v>0</v>
      </c>
      <c r="UU208" s="9" t="n">
        <v>251.25</v>
      </c>
      <c r="UY208" s="10" t="n">
        <v>46199</v>
      </c>
      <c r="VA208" s="9" t="n">
        <v>0</v>
      </c>
      <c r="VC208" s="9" t="n">
        <v>0</v>
      </c>
      <c r="VD208" s="9" t="n">
        <v>41.60000000000002</v>
      </c>
      <c r="VH208" s="10" t="n">
        <v>46199</v>
      </c>
      <c r="VJ208" s="9" t="n">
        <v>0</v>
      </c>
      <c r="VL208" s="9" t="n">
        <v>0</v>
      </c>
      <c r="VM208" s="9" t="n">
        <v>210</v>
      </c>
      <c r="VQ208" s="10" t="n">
        <v>46199</v>
      </c>
      <c r="VS208" s="9" t="n">
        <v>25</v>
      </c>
      <c r="VU208" s="9" t="n">
        <v>25</v>
      </c>
      <c r="VV208" s="9" t="n">
        <v>0</v>
      </c>
      <c r="VZ208" s="10" t="n">
        <v>46199</v>
      </c>
      <c r="WB208" s="9" t="n">
        <v>25</v>
      </c>
      <c r="WD208" s="9" t="n">
        <v>25</v>
      </c>
      <c r="WE208" s="9" t="n">
        <v>0</v>
      </c>
      <c r="WI208" s="10" t="n">
        <v>46199</v>
      </c>
      <c r="WK208" s="9" t="n">
        <v>0</v>
      </c>
      <c r="WM208" s="9" t="n">
        <v>0</v>
      </c>
      <c r="WN208" s="9" t="n">
        <v>1199</v>
      </c>
      <c r="WR208" s="10" t="n">
        <v>46199</v>
      </c>
      <c r="WT208" s="9" t="n">
        <v>0</v>
      </c>
      <c r="WV208" s="9" t="n">
        <v>0</v>
      </c>
      <c r="WW208" s="9" t="n">
        <v>0</v>
      </c>
      <c r="XA208" s="10" t="n">
        <v>46199</v>
      </c>
      <c r="XC208" s="9" t="n">
        <v>0</v>
      </c>
      <c r="XE208" s="9" t="n">
        <v>0</v>
      </c>
      <c r="XF208" s="9" t="n">
        <v>6813</v>
      </c>
      <c r="XJ208" s="10" t="n">
        <v>46199</v>
      </c>
      <c r="XL208" s="9" t="n">
        <v>0</v>
      </c>
      <c r="XM208" s="9" t="n">
        <v>734</v>
      </c>
      <c r="XN208" s="9" t="n">
        <v>-734</v>
      </c>
      <c r="XO208" s="9" t="n">
        <v>3955</v>
      </c>
      <c r="XS208" s="10" t="n">
        <v>46199</v>
      </c>
      <c r="XU208" s="9" t="n">
        <v>0</v>
      </c>
      <c r="XW208" s="9" t="n">
        <v>0</v>
      </c>
      <c r="XX208" s="9" t="n">
        <v>1621</v>
      </c>
      <c r="YB208" s="10" t="n">
        <v>46199</v>
      </c>
      <c r="YD208" s="9" t="n">
        <v>0</v>
      </c>
      <c r="YE208" s="9" t="n">
        <v>174</v>
      </c>
      <c r="YF208" s="9" t="n">
        <v>-174</v>
      </c>
      <c r="YG208" s="9" t="n">
        <v>3898</v>
      </c>
      <c r="YK208" s="10" t="n">
        <v>46199</v>
      </c>
      <c r="YM208" s="9" t="n">
        <v>0</v>
      </c>
      <c r="YO208" s="9" t="n">
        <v>0</v>
      </c>
      <c r="YP208" s="9" t="n">
        <v>0</v>
      </c>
      <c r="YT208" s="10" t="n">
        <v>46199</v>
      </c>
      <c r="YV208" s="9" t="n">
        <v>25</v>
      </c>
      <c r="YX208" s="9" t="n">
        <v>25</v>
      </c>
      <c r="YY208" s="9" t="n">
        <v>0</v>
      </c>
      <c r="ZC208" s="10" t="n">
        <v>46199</v>
      </c>
      <c r="ZE208" s="9" t="n">
        <v>25</v>
      </c>
      <c r="ZG208" s="9" t="n">
        <v>25</v>
      </c>
      <c r="ZH208" s="9" t="n">
        <v>0</v>
      </c>
      <c r="ZL208" s="10" t="n">
        <v>46199</v>
      </c>
      <c r="ZN208" s="9" t="n">
        <v>25</v>
      </c>
      <c r="ZP208" s="9" t="n">
        <v>25</v>
      </c>
      <c r="ZQ208" s="9" t="n">
        <v>0</v>
      </c>
      <c r="ZU208" s="10" t="n">
        <v>46199</v>
      </c>
      <c r="ZW208" s="9" t="n">
        <v>25</v>
      </c>
      <c r="ZY208" s="9" t="n">
        <v>25</v>
      </c>
      <c r="ZZ208" s="9" t="n">
        <v>0</v>
      </c>
      <c r="AAD208" s="10" t="n">
        <v>46199</v>
      </c>
      <c r="AAF208" s="9" t="n">
        <v>25</v>
      </c>
      <c r="AAH208" s="9" t="n">
        <v>25</v>
      </c>
      <c r="AAI208" s="9" t="n">
        <v>0</v>
      </c>
      <c r="AAM208" s="10" t="n">
        <v>46199</v>
      </c>
      <c r="AAO208" s="9" t="n">
        <v>25</v>
      </c>
      <c r="AAQ208" s="9" t="n">
        <v>25</v>
      </c>
      <c r="AAR208" s="9" t="n">
        <v>0</v>
      </c>
      <c r="AAV208" s="10" t="n">
        <v>46199</v>
      </c>
      <c r="AAX208" s="9" t="n">
        <v>25</v>
      </c>
      <c r="AAZ208" s="9" t="n">
        <v>25</v>
      </c>
      <c r="ABA208" s="9" t="n">
        <v>0</v>
      </c>
      <c r="ABE208" s="10" t="n">
        <v>46199</v>
      </c>
      <c r="ABG208" s="9" t="n">
        <v>25</v>
      </c>
      <c r="ABI208" s="9" t="n">
        <v>25</v>
      </c>
      <c r="ABJ208" s="9" t="n">
        <v>0</v>
      </c>
    </row>
    <row r="209">
      <c r="B209" s="9" t="n">
        <v>6</v>
      </c>
      <c r="C209" s="10" t="n">
        <v>46200</v>
      </c>
      <c r="D209" s="9" t="n">
        <v>112150</v>
      </c>
      <c r="E209" s="9" t="n">
        <v>3229.920000000001</v>
      </c>
      <c r="F209" s="9" t="n">
        <v>3227</v>
      </c>
      <c r="G209" s="9" t="n">
        <v>2.920000000000982</v>
      </c>
      <c r="H209" s="9" t="n">
        <v>152063.2</v>
      </c>
      <c r="I209" s="9" t="inlineStr">
        <is>
          <t>8100 6mt</t>
        </is>
      </c>
      <c r="L209" s="10" t="n">
        <v>46200</v>
      </c>
      <c r="M209" s="9" t="n">
        <v>28350</v>
      </c>
      <c r="N209" s="9" t="n">
        <v>1713.6</v>
      </c>
      <c r="O209" s="9" t="n">
        <v>1714</v>
      </c>
      <c r="P209" s="9" t="n">
        <v>-0.3999999999998636</v>
      </c>
      <c r="Q209" s="9" t="n">
        <v>77367.80000000008</v>
      </c>
      <c r="U209" s="10" t="n">
        <v>46200</v>
      </c>
      <c r="V209" s="9" t="n">
        <v>20050</v>
      </c>
      <c r="W209" s="9" t="n">
        <v>300</v>
      </c>
      <c r="X209" s="9" t="n">
        <v>300.4</v>
      </c>
      <c r="Y209" s="9" t="n">
        <v>-0.3999999999999773</v>
      </c>
      <c r="Z209" s="9" t="n">
        <v>41134.39999999997</v>
      </c>
      <c r="AD209" s="10" t="n">
        <v>46200</v>
      </c>
      <c r="AF209" s="9" t="n">
        <v>0</v>
      </c>
      <c r="AH209" s="9" t="n">
        <v>0</v>
      </c>
      <c r="AI209" s="9" t="n">
        <v>33372.70000000002</v>
      </c>
      <c r="AM209" s="10" t="n">
        <v>46200</v>
      </c>
      <c r="AO209" s="9" t="n">
        <v>0</v>
      </c>
      <c r="AQ209" s="9" t="n">
        <v>0</v>
      </c>
      <c r="AR209" s="9" t="n">
        <v>0</v>
      </c>
      <c r="AV209" s="10" t="n">
        <v>46200</v>
      </c>
      <c r="AX209" s="9" t="n">
        <v>120</v>
      </c>
      <c r="AY209" s="9" t="n">
        <v>120.3</v>
      </c>
      <c r="AZ209" s="9" t="n">
        <v>-0.2999999999999972</v>
      </c>
      <c r="BA209" s="9" t="n">
        <v>13946.2</v>
      </c>
      <c r="BE209" s="10" t="n">
        <v>46200</v>
      </c>
      <c r="BG209" s="9" t="n">
        <v>90</v>
      </c>
      <c r="BH209" s="9" t="n">
        <v>90.59999999999999</v>
      </c>
      <c r="BI209" s="9" t="n">
        <v>-0.5999999999999943</v>
      </c>
      <c r="BJ209" s="9" t="n">
        <v>38150.39999999999</v>
      </c>
      <c r="BN209" s="10" t="n">
        <v>46200</v>
      </c>
      <c r="BO209" s="9" t="n">
        <v>60</v>
      </c>
      <c r="BP209" s="9" t="n">
        <v>60</v>
      </c>
      <c r="BQ209" s="9" t="n">
        <v>60</v>
      </c>
      <c r="BR209" s="9" t="n">
        <v>0</v>
      </c>
      <c r="BS209" s="9" t="n">
        <v>0</v>
      </c>
      <c r="BW209" s="10" t="n">
        <v>46200</v>
      </c>
      <c r="BY209" s="9" t="n">
        <v>9</v>
      </c>
      <c r="BZ209" s="9" t="n">
        <v>351.76</v>
      </c>
      <c r="CA209" s="9" t="n">
        <v>-342.76</v>
      </c>
      <c r="CB209" s="9" t="n">
        <v>2388.779999999999</v>
      </c>
      <c r="CF209" s="10" t="n">
        <v>46200</v>
      </c>
      <c r="CG209" s="9" t="n">
        <v>1304.32</v>
      </c>
      <c r="CH209" s="9" t="n">
        <v>36.48</v>
      </c>
      <c r="CI209" s="9" t="n">
        <v>1304.32</v>
      </c>
      <c r="CJ209" s="9" t="n">
        <v>-1267.84</v>
      </c>
      <c r="CK209" s="9" t="n">
        <v>0</v>
      </c>
      <c r="CO209" s="10" t="n">
        <v>46200</v>
      </c>
      <c r="CQ209" s="9" t="n">
        <v>0</v>
      </c>
      <c r="CS209" s="9" t="n">
        <v>0</v>
      </c>
      <c r="CT209" s="9" t="n">
        <v>0</v>
      </c>
      <c r="CX209" s="10" t="n">
        <v>46200</v>
      </c>
      <c r="CZ209" s="9" t="n">
        <v>0</v>
      </c>
      <c r="DB209" s="9" t="n">
        <v>0</v>
      </c>
      <c r="DC209" s="9" t="n">
        <v>11420.50000000001</v>
      </c>
      <c r="DG209" s="10" t="n">
        <v>46200</v>
      </c>
      <c r="DI209" s="9" t="n">
        <v>300</v>
      </c>
      <c r="DJ209" s="9" t="n">
        <v>300.5</v>
      </c>
      <c r="DK209" s="9" t="n">
        <v>-0.5</v>
      </c>
      <c r="DL209" s="9" t="n">
        <v>34934.49999999999</v>
      </c>
      <c r="DP209" s="10" t="n">
        <v>46200</v>
      </c>
      <c r="DR209" s="9" t="n">
        <v>0</v>
      </c>
      <c r="DT209" s="9" t="n">
        <v>0</v>
      </c>
      <c r="DU209" s="9" t="n">
        <v>5800</v>
      </c>
      <c r="DY209" s="10" t="n">
        <v>46200</v>
      </c>
      <c r="EA209" s="9" t="n">
        <v>0</v>
      </c>
      <c r="EC209" s="9" t="n">
        <v>0</v>
      </c>
      <c r="ED209" s="9" t="n">
        <v>0</v>
      </c>
      <c r="EH209" s="10" t="n">
        <v>46200</v>
      </c>
      <c r="EI209" s="9" t="n">
        <v>351.76</v>
      </c>
      <c r="EJ209" s="9" t="n">
        <v>0</v>
      </c>
      <c r="EK209" s="9" t="n">
        <v>351.76</v>
      </c>
      <c r="EL209" s="9" t="n">
        <v>-351.76</v>
      </c>
      <c r="EM209" s="9" t="n">
        <v>0</v>
      </c>
      <c r="EQ209" s="10" t="n">
        <v>46200</v>
      </c>
      <c r="ES209" s="9" t="n">
        <v>0</v>
      </c>
      <c r="EU209" s="9" t="n">
        <v>0</v>
      </c>
      <c r="EV209" s="9" t="n">
        <v>0</v>
      </c>
      <c r="EZ209" s="10" t="n">
        <v>46200</v>
      </c>
      <c r="FB209" s="9" t="n">
        <v>0</v>
      </c>
      <c r="FD209" s="9" t="n">
        <v>0</v>
      </c>
      <c r="FE209" s="9" t="n">
        <v>0</v>
      </c>
      <c r="FI209" s="10" t="n">
        <v>46200</v>
      </c>
      <c r="FK209" s="9" t="n">
        <v>0</v>
      </c>
      <c r="FM209" s="9" t="n">
        <v>0</v>
      </c>
      <c r="FN209" s="9" t="n">
        <v>0</v>
      </c>
      <c r="FR209" s="10" t="n">
        <v>46200</v>
      </c>
      <c r="FT209" s="9" t="n">
        <v>0</v>
      </c>
      <c r="FV209" s="9" t="n">
        <v>0</v>
      </c>
      <c r="FW209" s="9" t="n">
        <v>1160</v>
      </c>
      <c r="GA209" s="10" t="n">
        <v>46200</v>
      </c>
      <c r="GC209" s="9" t="n">
        <v>0</v>
      </c>
      <c r="GE209" s="9" t="n">
        <v>0</v>
      </c>
      <c r="GF209" s="9" t="n">
        <v>960</v>
      </c>
      <c r="GJ209" s="10" t="n">
        <v>46200</v>
      </c>
      <c r="GL209" s="9" t="n">
        <v>0</v>
      </c>
      <c r="GN209" s="9" t="n">
        <v>0</v>
      </c>
      <c r="GO209" s="9" t="n">
        <v>1760</v>
      </c>
      <c r="GS209" s="10" t="n">
        <v>46200</v>
      </c>
      <c r="GU209" s="9" t="n">
        <v>0</v>
      </c>
      <c r="GW209" s="9" t="n">
        <v>0</v>
      </c>
      <c r="GX209" s="9" t="n">
        <v>400</v>
      </c>
      <c r="HB209" s="10" t="n">
        <v>46200</v>
      </c>
      <c r="HD209" s="9" t="n">
        <v>0</v>
      </c>
      <c r="HF209" s="9" t="n">
        <v>0</v>
      </c>
      <c r="HG209" s="9" t="n">
        <v>3600</v>
      </c>
      <c r="HK209" s="10" t="n">
        <v>46200</v>
      </c>
      <c r="HM209" s="9" t="n">
        <v>0</v>
      </c>
      <c r="HO209" s="9" t="n">
        <v>0</v>
      </c>
      <c r="HP209" s="9" t="n">
        <v>0</v>
      </c>
      <c r="HU209" s="10" t="n">
        <v>46200</v>
      </c>
      <c r="HW209" s="9" t="n">
        <v>120</v>
      </c>
      <c r="HY209" s="9" t="n">
        <v>120</v>
      </c>
      <c r="HZ209" s="9" t="n">
        <v>6680</v>
      </c>
      <c r="ID209" s="10" t="n">
        <v>46200</v>
      </c>
      <c r="IF209" s="9" t="n">
        <v>0</v>
      </c>
      <c r="IH209" s="9" t="n">
        <v>0</v>
      </c>
      <c r="II209" s="9" t="n">
        <v>720</v>
      </c>
      <c r="IM209" s="10" t="n">
        <v>46200</v>
      </c>
      <c r="IO209" s="9" t="n">
        <v>0</v>
      </c>
      <c r="IQ209" s="9" t="n">
        <v>0</v>
      </c>
      <c r="IR209" s="9" t="n">
        <v>6520</v>
      </c>
      <c r="IV209" s="10" t="n">
        <v>46200</v>
      </c>
      <c r="IX209" s="9" t="n">
        <v>0</v>
      </c>
      <c r="IZ209" s="9" t="n">
        <v>0</v>
      </c>
      <c r="JA209" s="9" t="n">
        <v>4960</v>
      </c>
      <c r="JE209" s="10" t="n">
        <v>46200</v>
      </c>
      <c r="JG209" s="9" t="n">
        <v>0</v>
      </c>
      <c r="JI209" s="9" t="n">
        <v>0</v>
      </c>
      <c r="JJ209" s="9" t="n">
        <v>0</v>
      </c>
      <c r="JN209" s="10" t="n">
        <v>46200</v>
      </c>
      <c r="JP209" s="9" t="n">
        <v>0</v>
      </c>
      <c r="JR209" s="9" t="n">
        <v>0</v>
      </c>
      <c r="JS209" s="9" t="n">
        <v>0</v>
      </c>
      <c r="JW209" s="10" t="n">
        <v>46200</v>
      </c>
      <c r="JY209" s="9" t="n">
        <v>0</v>
      </c>
      <c r="KA209" s="9" t="n">
        <v>0</v>
      </c>
      <c r="KB209" s="9" t="n">
        <v>2540</v>
      </c>
      <c r="KF209" s="10" t="n">
        <v>46200</v>
      </c>
      <c r="KH209" s="9" t="n">
        <v>0</v>
      </c>
      <c r="KJ209" s="9" t="n">
        <v>0</v>
      </c>
      <c r="KK209" s="9" t="n">
        <v>2359.5</v>
      </c>
      <c r="KO209" s="10" t="n">
        <v>46200</v>
      </c>
      <c r="KQ209" s="9" t="n">
        <v>0</v>
      </c>
      <c r="KS209" s="9" t="n">
        <v>0</v>
      </c>
      <c r="KT209" s="9" t="n">
        <v>1890</v>
      </c>
      <c r="KX209" s="10" t="n">
        <v>46200</v>
      </c>
      <c r="KZ209" s="9" t="n">
        <v>0</v>
      </c>
      <c r="LB209" s="9" t="n">
        <v>0</v>
      </c>
      <c r="LC209" s="9" t="n">
        <v>3690</v>
      </c>
      <c r="LG209" s="10" t="n">
        <v>46200</v>
      </c>
      <c r="LI209" s="9" t="n">
        <v>0</v>
      </c>
      <c r="LK209" s="9" t="n">
        <v>0</v>
      </c>
      <c r="LL209" s="9" t="n">
        <v>4000</v>
      </c>
      <c r="LP209" s="10" t="n">
        <v>46200</v>
      </c>
      <c r="LR209" s="9" t="n">
        <v>0</v>
      </c>
      <c r="LT209" s="9" t="n">
        <v>0</v>
      </c>
      <c r="LU209" s="9" t="n">
        <v>0</v>
      </c>
      <c r="LY209" s="10" t="n">
        <v>46200</v>
      </c>
      <c r="MA209" s="9" t="n">
        <v>0</v>
      </c>
      <c r="MC209" s="9" t="n">
        <v>0</v>
      </c>
      <c r="MD209" s="9" t="n">
        <v>0</v>
      </c>
      <c r="MH209" s="10" t="n">
        <v>46200</v>
      </c>
      <c r="MJ209" s="9" t="n">
        <v>0</v>
      </c>
      <c r="ML209" s="9" t="n">
        <v>0</v>
      </c>
      <c r="MM209" s="9" t="n">
        <v>0</v>
      </c>
      <c r="MQ209" s="10" t="n">
        <v>46200</v>
      </c>
      <c r="MS209" s="9" t="n">
        <v>3</v>
      </c>
      <c r="MT209" s="9" t="n">
        <v>160</v>
      </c>
      <c r="MU209" s="9" t="n">
        <v>-157</v>
      </c>
      <c r="MV209" s="9" t="n">
        <v>3451</v>
      </c>
      <c r="MZ209" s="10" t="n">
        <v>46200</v>
      </c>
      <c r="NA209" s="9" t="n">
        <v>1920</v>
      </c>
      <c r="NB209" s="9" t="n">
        <v>18</v>
      </c>
      <c r="NC209" s="9" t="n">
        <v>1920</v>
      </c>
      <c r="ND209" s="9" t="n">
        <v>-1902</v>
      </c>
      <c r="NE209" s="9" t="n">
        <v>0</v>
      </c>
      <c r="NI209" s="10" t="n">
        <v>46200</v>
      </c>
      <c r="NK209" s="9" t="n">
        <v>0</v>
      </c>
      <c r="NM209" s="9" t="n">
        <v>0</v>
      </c>
      <c r="NN209" s="9" t="n">
        <v>1127</v>
      </c>
      <c r="NR209" s="10" t="n">
        <v>46200</v>
      </c>
      <c r="NT209" s="9" t="n">
        <v>0</v>
      </c>
      <c r="NV209" s="9" t="n">
        <v>0</v>
      </c>
      <c r="NW209" s="9" t="n">
        <v>3112</v>
      </c>
      <c r="OA209" s="10" t="n">
        <v>46200</v>
      </c>
      <c r="OC209" s="9" t="n">
        <v>0</v>
      </c>
      <c r="OE209" s="9" t="n">
        <v>0</v>
      </c>
      <c r="OF209" s="9" t="n">
        <v>1680.5</v>
      </c>
      <c r="OJ209" s="10" t="n">
        <v>46200</v>
      </c>
      <c r="OK209" s="9" t="n">
        <v>304</v>
      </c>
      <c r="OL209" s="9" t="n">
        <v>0</v>
      </c>
      <c r="OM209" s="9" t="n">
        <v>304</v>
      </c>
      <c r="ON209" s="9" t="n">
        <v>-304</v>
      </c>
      <c r="OO209" s="9" t="n">
        <v>0</v>
      </c>
      <c r="OS209" s="10" t="n">
        <v>46200</v>
      </c>
      <c r="OU209" s="9" t="n">
        <v>0</v>
      </c>
      <c r="OW209" s="9" t="n">
        <v>0</v>
      </c>
      <c r="OX209" s="9" t="n">
        <v>1482</v>
      </c>
      <c r="PB209" s="10" t="n">
        <v>46200</v>
      </c>
      <c r="PD209" s="9" t="n">
        <v>0</v>
      </c>
      <c r="PF209" s="9" t="n">
        <v>0</v>
      </c>
      <c r="PG209" s="9" t="n">
        <v>0</v>
      </c>
      <c r="PK209" s="10" t="n">
        <v>46200</v>
      </c>
      <c r="PM209" s="9" t="n">
        <v>0</v>
      </c>
      <c r="PO209" s="9" t="n">
        <v>0</v>
      </c>
      <c r="PP209" s="9" t="n">
        <v>100</v>
      </c>
      <c r="PT209" s="10" t="n">
        <v>46200</v>
      </c>
      <c r="PV209" s="9" t="n">
        <v>0</v>
      </c>
      <c r="PX209" s="9" t="n">
        <v>0</v>
      </c>
      <c r="PY209" s="9" t="n">
        <v>13.96000000000004</v>
      </c>
      <c r="QC209" s="10" t="n">
        <v>46200</v>
      </c>
      <c r="QE209" s="9" t="n">
        <v>0</v>
      </c>
      <c r="QG209" s="9" t="n">
        <v>0</v>
      </c>
      <c r="QH209" s="9" t="n">
        <v>1736</v>
      </c>
      <c r="QL209" s="10" t="n">
        <v>46200</v>
      </c>
      <c r="QN209" s="9" t="n">
        <v>0</v>
      </c>
      <c r="QP209" s="9" t="n">
        <v>0</v>
      </c>
      <c r="QQ209" s="9" t="n">
        <v>250</v>
      </c>
      <c r="QU209" s="10" t="n">
        <v>46200</v>
      </c>
      <c r="QW209" s="9" t="n">
        <v>0</v>
      </c>
      <c r="QY209" s="9" t="n">
        <v>0</v>
      </c>
      <c r="QZ209" s="9" t="n">
        <v>207.6</v>
      </c>
      <c r="RD209" s="10" t="n">
        <v>46200</v>
      </c>
      <c r="RF209" s="9" t="n">
        <v>0</v>
      </c>
      <c r="RH209" s="9" t="n">
        <v>0</v>
      </c>
      <c r="RI209" s="9" t="n">
        <v>147.04</v>
      </c>
      <c r="RM209" s="10" t="n">
        <v>46200</v>
      </c>
      <c r="RO209" s="9" t="n">
        <v>0</v>
      </c>
      <c r="RQ209" s="9" t="n">
        <v>0</v>
      </c>
      <c r="RR209" s="9" t="n">
        <v>46.8</v>
      </c>
      <c r="RV209" s="10" t="n">
        <v>46200</v>
      </c>
      <c r="RX209" s="9" t="n">
        <v>0</v>
      </c>
      <c r="RZ209" s="9" t="n">
        <v>0</v>
      </c>
      <c r="SA209" s="9" t="n">
        <v>0</v>
      </c>
      <c r="SE209" s="10" t="n">
        <v>46200</v>
      </c>
      <c r="SG209" s="9" t="n">
        <v>0</v>
      </c>
      <c r="SI209" s="9" t="n">
        <v>0</v>
      </c>
      <c r="SJ209" s="9" t="n">
        <v>24.2</v>
      </c>
      <c r="SN209" s="10" t="n">
        <v>46200</v>
      </c>
      <c r="SP209" s="9" t="n">
        <v>0</v>
      </c>
      <c r="SR209" s="9" t="n">
        <v>0</v>
      </c>
      <c r="SS209" s="9" t="n">
        <v>32</v>
      </c>
      <c r="SW209" s="10" t="n">
        <v>46200</v>
      </c>
      <c r="SY209" s="9" t="n">
        <v>0</v>
      </c>
      <c r="TA209" s="9" t="n">
        <v>0</v>
      </c>
      <c r="TB209" s="9" t="n">
        <v>0</v>
      </c>
      <c r="TF209" s="10" t="n">
        <v>46200</v>
      </c>
      <c r="TH209" s="9" t="n">
        <v>0</v>
      </c>
      <c r="TJ209" s="9" t="n">
        <v>0</v>
      </c>
      <c r="TK209" s="9" t="n">
        <v>0</v>
      </c>
      <c r="TO209" s="10" t="n">
        <v>46200</v>
      </c>
      <c r="TQ209" s="9" t="n">
        <v>0</v>
      </c>
      <c r="TS209" s="9" t="n">
        <v>0</v>
      </c>
      <c r="TT209" s="9" t="n">
        <v>22.40000000000001</v>
      </c>
      <c r="TX209" s="10" t="n">
        <v>46200</v>
      </c>
      <c r="TZ209" s="9" t="n">
        <v>0</v>
      </c>
      <c r="UB209" s="9" t="n">
        <v>0</v>
      </c>
      <c r="UC209" s="9" t="n">
        <v>46.79999999999998</v>
      </c>
      <c r="UG209" s="10" t="n">
        <v>46200</v>
      </c>
      <c r="UI209" s="9" t="n">
        <v>0</v>
      </c>
      <c r="UK209" s="9" t="n">
        <v>0</v>
      </c>
      <c r="UL209" s="9" t="n">
        <v>204</v>
      </c>
      <c r="UP209" s="10" t="n">
        <v>46200</v>
      </c>
      <c r="UR209" s="9" t="n">
        <v>0</v>
      </c>
      <c r="UT209" s="9" t="n">
        <v>0</v>
      </c>
      <c r="UU209" s="9" t="n">
        <v>251.25</v>
      </c>
      <c r="UY209" s="10" t="n">
        <v>46200</v>
      </c>
      <c r="VA209" s="9" t="n">
        <v>0</v>
      </c>
      <c r="VC209" s="9" t="n">
        <v>0</v>
      </c>
      <c r="VD209" s="9" t="n">
        <v>41.60000000000002</v>
      </c>
      <c r="VH209" s="10" t="n">
        <v>46200</v>
      </c>
      <c r="VJ209" s="9" t="n">
        <v>0</v>
      </c>
      <c r="VL209" s="9" t="n">
        <v>0</v>
      </c>
      <c r="VM209" s="9" t="n">
        <v>210</v>
      </c>
      <c r="VQ209" s="10" t="n">
        <v>46200</v>
      </c>
      <c r="VS209" s="9" t="n">
        <v>0</v>
      </c>
      <c r="VU209" s="9" t="n">
        <v>0</v>
      </c>
      <c r="VV209" s="9" t="n">
        <v>0</v>
      </c>
      <c r="VZ209" s="10" t="n">
        <v>46200</v>
      </c>
      <c r="WB209" s="9" t="n">
        <v>0</v>
      </c>
      <c r="WD209" s="9" t="n">
        <v>0</v>
      </c>
      <c r="WE209" s="9" t="n">
        <v>0</v>
      </c>
      <c r="WI209" s="10" t="n">
        <v>46200</v>
      </c>
      <c r="WK209" s="9" t="n">
        <v>0</v>
      </c>
      <c r="WM209" s="9" t="n">
        <v>0</v>
      </c>
      <c r="WN209" s="9" t="n">
        <v>1199</v>
      </c>
      <c r="WR209" s="10" t="n">
        <v>46200</v>
      </c>
      <c r="WT209" s="9" t="n">
        <v>0</v>
      </c>
      <c r="WV209" s="9" t="n">
        <v>0</v>
      </c>
      <c r="WW209" s="9" t="n">
        <v>0</v>
      </c>
      <c r="XA209" s="10" t="n">
        <v>46200</v>
      </c>
      <c r="XC209" s="9" t="n">
        <v>0</v>
      </c>
      <c r="XE209" s="9" t="n">
        <v>0</v>
      </c>
      <c r="XF209" s="9" t="n">
        <v>6813</v>
      </c>
      <c r="XJ209" s="10" t="n">
        <v>46200</v>
      </c>
      <c r="XL209" s="9" t="n">
        <v>0</v>
      </c>
      <c r="XM209" s="9" t="n">
        <v>120</v>
      </c>
      <c r="XN209" s="9" t="n">
        <v>-120</v>
      </c>
      <c r="XO209" s="9" t="n">
        <v>3835</v>
      </c>
      <c r="XS209" s="10" t="n">
        <v>46200</v>
      </c>
      <c r="XU209" s="9" t="n">
        <v>0</v>
      </c>
      <c r="XW209" s="9" t="n">
        <v>0</v>
      </c>
      <c r="XX209" s="9" t="n">
        <v>1621</v>
      </c>
      <c r="YB209" s="10" t="n">
        <v>46200</v>
      </c>
      <c r="YD209" s="9" t="n">
        <v>0</v>
      </c>
      <c r="YF209" s="9" t="n">
        <v>0</v>
      </c>
      <c r="YG209" s="9" t="n">
        <v>3898</v>
      </c>
      <c r="YK209" s="10" t="n">
        <v>46200</v>
      </c>
      <c r="YM209" s="9" t="n">
        <v>0</v>
      </c>
      <c r="YO209" s="9" t="n">
        <v>0</v>
      </c>
      <c r="YP209" s="9" t="n">
        <v>0</v>
      </c>
      <c r="YT209" s="10" t="n">
        <v>46200</v>
      </c>
      <c r="YV209" s="9" t="n">
        <v>0</v>
      </c>
      <c r="YX209" s="9" t="n">
        <v>0</v>
      </c>
      <c r="YY209" s="9" t="n">
        <v>0</v>
      </c>
      <c r="ZC209" s="10" t="n">
        <v>46200</v>
      </c>
      <c r="ZE209" s="9" t="n">
        <v>0</v>
      </c>
      <c r="ZG209" s="9" t="n">
        <v>0</v>
      </c>
      <c r="ZH209" s="9" t="n">
        <v>0</v>
      </c>
      <c r="ZL209" s="10" t="n">
        <v>46200</v>
      </c>
      <c r="ZN209" s="9" t="n">
        <v>0</v>
      </c>
      <c r="ZP209" s="9" t="n">
        <v>0</v>
      </c>
      <c r="ZQ209" s="9" t="n">
        <v>0</v>
      </c>
      <c r="ZU209" s="10" t="n">
        <v>46200</v>
      </c>
      <c r="ZW209" s="9" t="n">
        <v>0</v>
      </c>
      <c r="ZY209" s="9" t="n">
        <v>0</v>
      </c>
      <c r="ZZ209" s="9" t="n">
        <v>0</v>
      </c>
      <c r="AAD209" s="10" t="n">
        <v>46200</v>
      </c>
      <c r="AAF209" s="9" t="n">
        <v>0</v>
      </c>
      <c r="AAH209" s="9" t="n">
        <v>0</v>
      </c>
      <c r="AAI209" s="9" t="n">
        <v>0</v>
      </c>
      <c r="AAM209" s="10" t="n">
        <v>46200</v>
      </c>
      <c r="AAO209" s="9" t="n">
        <v>0</v>
      </c>
      <c r="AAQ209" s="9" t="n">
        <v>0</v>
      </c>
      <c r="AAR209" s="9" t="n">
        <v>0</v>
      </c>
      <c r="AAV209" s="10" t="n">
        <v>46200</v>
      </c>
      <c r="AAX209" s="9" t="n">
        <v>0</v>
      </c>
      <c r="AAZ209" s="9" t="n">
        <v>0</v>
      </c>
      <c r="ABA209" s="9" t="n">
        <v>0</v>
      </c>
      <c r="ABE209" s="10" t="n">
        <v>46200</v>
      </c>
      <c r="ABG209" s="9" t="n">
        <v>0</v>
      </c>
      <c r="ABI209" s="9" t="n">
        <v>0</v>
      </c>
      <c r="ABJ209" s="9" t="n">
        <v>0</v>
      </c>
    </row>
    <row r="210">
      <c r="C210" s="10" t="n">
        <v>46201</v>
      </c>
      <c r="E210" s="9" t="n">
        <v>0</v>
      </c>
      <c r="G210" s="9" t="n">
        <v>0</v>
      </c>
      <c r="H210" s="9" t="n">
        <v>152063.2</v>
      </c>
      <c r="L210" s="10" t="n">
        <v>46201</v>
      </c>
      <c r="N210" s="9" t="n">
        <v>0</v>
      </c>
      <c r="P210" s="9" t="n">
        <v>0</v>
      </c>
      <c r="Q210" s="9" t="n">
        <v>77367.80000000008</v>
      </c>
      <c r="U210" s="10" t="n">
        <v>46201</v>
      </c>
      <c r="W210" s="9" t="n">
        <v>0</v>
      </c>
      <c r="Y210" s="9" t="n">
        <v>0</v>
      </c>
      <c r="Z210" s="9" t="n">
        <v>41134.39999999997</v>
      </c>
      <c r="AD210" s="10" t="n">
        <v>46201</v>
      </c>
      <c r="AF210" s="9" t="n">
        <v>0</v>
      </c>
      <c r="AH210" s="9" t="n">
        <v>0</v>
      </c>
      <c r="AI210" s="9" t="n">
        <v>33372.70000000002</v>
      </c>
      <c r="AM210" s="10" t="n">
        <v>46201</v>
      </c>
      <c r="AO210" s="9" t="n">
        <v>0</v>
      </c>
      <c r="AQ210" s="9" t="n">
        <v>0</v>
      </c>
      <c r="AR210" s="9" t="n">
        <v>0</v>
      </c>
      <c r="AV210" s="10" t="n">
        <v>46201</v>
      </c>
      <c r="AX210" s="9" t="n">
        <v>0</v>
      </c>
      <c r="AZ210" s="9" t="n">
        <v>0</v>
      </c>
      <c r="BA210" s="9" t="n">
        <v>13946.2</v>
      </c>
      <c r="BE210" s="10" t="n">
        <v>46201</v>
      </c>
      <c r="BG210" s="9" t="n">
        <v>0</v>
      </c>
      <c r="BI210" s="9" t="n">
        <v>0</v>
      </c>
      <c r="BJ210" s="9" t="n">
        <v>38150.39999999999</v>
      </c>
      <c r="BN210" s="10" t="n">
        <v>46201</v>
      </c>
      <c r="BP210" s="9" t="n">
        <v>0</v>
      </c>
      <c r="BR210" s="9" t="n">
        <v>0</v>
      </c>
      <c r="BS210" s="9" t="n">
        <v>0</v>
      </c>
      <c r="BW210" s="10" t="n">
        <v>46201</v>
      </c>
      <c r="BY210" s="9" t="n">
        <v>0</v>
      </c>
      <c r="CA210" s="9" t="n">
        <v>0</v>
      </c>
      <c r="CB210" s="9" t="n">
        <v>2388.779999999999</v>
      </c>
      <c r="CF210" s="10" t="n">
        <v>46201</v>
      </c>
      <c r="CH210" s="9" t="n">
        <v>0</v>
      </c>
      <c r="CJ210" s="9" t="n">
        <v>0</v>
      </c>
      <c r="CK210" s="9" t="n">
        <v>0</v>
      </c>
      <c r="CO210" s="10" t="n">
        <v>46201</v>
      </c>
      <c r="CQ210" s="9" t="n">
        <v>0</v>
      </c>
      <c r="CS210" s="9" t="n">
        <v>0</v>
      </c>
      <c r="CT210" s="9" t="n">
        <v>0</v>
      </c>
      <c r="CX210" s="10" t="n">
        <v>46201</v>
      </c>
      <c r="CZ210" s="9" t="n">
        <v>0</v>
      </c>
      <c r="DA210" s="9" t="n">
        <v>530.5</v>
      </c>
      <c r="DB210" s="9" t="n">
        <v>-530.5</v>
      </c>
      <c r="DC210" s="9" t="n">
        <v>10890.00000000001</v>
      </c>
      <c r="DG210" s="10" t="n">
        <v>46201</v>
      </c>
      <c r="DI210" s="9" t="n">
        <v>0</v>
      </c>
      <c r="DK210" s="9" t="n">
        <v>0</v>
      </c>
      <c r="DL210" s="9" t="n">
        <v>34934.49999999999</v>
      </c>
      <c r="DP210" s="10" t="n">
        <v>46201</v>
      </c>
      <c r="DR210" s="9" t="n">
        <v>0</v>
      </c>
      <c r="DT210" s="9" t="n">
        <v>0</v>
      </c>
      <c r="DU210" s="9" t="n">
        <v>5800</v>
      </c>
      <c r="DY210" s="10" t="n">
        <v>46201</v>
      </c>
      <c r="EA210" s="9" t="n">
        <v>0</v>
      </c>
      <c r="EC210" s="9" t="n">
        <v>0</v>
      </c>
      <c r="ED210" s="9" t="n">
        <v>0</v>
      </c>
      <c r="EH210" s="10" t="n">
        <v>46201</v>
      </c>
      <c r="EJ210" s="9" t="n">
        <v>0</v>
      </c>
      <c r="EL210" s="9" t="n">
        <v>0</v>
      </c>
      <c r="EM210" s="9" t="n">
        <v>0</v>
      </c>
      <c r="EQ210" s="10" t="n">
        <v>46201</v>
      </c>
      <c r="ES210" s="9" t="n">
        <v>0</v>
      </c>
      <c r="EU210" s="9" t="n">
        <v>0</v>
      </c>
      <c r="EV210" s="9" t="n">
        <v>0</v>
      </c>
      <c r="EZ210" s="10" t="n">
        <v>46201</v>
      </c>
      <c r="FB210" s="9" t="n">
        <v>0</v>
      </c>
      <c r="FD210" s="9" t="n">
        <v>0</v>
      </c>
      <c r="FE210" s="9" t="n">
        <v>0</v>
      </c>
      <c r="FI210" s="10" t="n">
        <v>46201</v>
      </c>
      <c r="FK210" s="9" t="n">
        <v>0</v>
      </c>
      <c r="FM210" s="9" t="n">
        <v>0</v>
      </c>
      <c r="FN210" s="9" t="n">
        <v>0</v>
      </c>
      <c r="FR210" s="10" t="n">
        <v>46201</v>
      </c>
      <c r="FT210" s="9" t="n">
        <v>0</v>
      </c>
      <c r="FV210" s="9" t="n">
        <v>0</v>
      </c>
      <c r="FW210" s="9" t="n">
        <v>1160</v>
      </c>
      <c r="GA210" s="10" t="n">
        <v>46201</v>
      </c>
      <c r="GC210" s="9" t="n">
        <v>0</v>
      </c>
      <c r="GE210" s="9" t="n">
        <v>0</v>
      </c>
      <c r="GF210" s="9" t="n">
        <v>960</v>
      </c>
      <c r="GJ210" s="10" t="n">
        <v>46201</v>
      </c>
      <c r="GL210" s="9" t="n">
        <v>0</v>
      </c>
      <c r="GN210" s="9" t="n">
        <v>0</v>
      </c>
      <c r="GO210" s="9" t="n">
        <v>1760</v>
      </c>
      <c r="GS210" s="10" t="n">
        <v>46201</v>
      </c>
      <c r="GU210" s="9" t="n">
        <v>0</v>
      </c>
      <c r="GW210" s="9" t="n">
        <v>0</v>
      </c>
      <c r="GX210" s="9" t="n">
        <v>400</v>
      </c>
      <c r="HB210" s="10" t="n">
        <v>46201</v>
      </c>
      <c r="HD210" s="9" t="n">
        <v>0</v>
      </c>
      <c r="HF210" s="9" t="n">
        <v>0</v>
      </c>
      <c r="HG210" s="9" t="n">
        <v>3600</v>
      </c>
      <c r="HK210" s="10" t="n">
        <v>46201</v>
      </c>
      <c r="HM210" s="9" t="n">
        <v>0</v>
      </c>
      <c r="HO210" s="9" t="n">
        <v>0</v>
      </c>
      <c r="HP210" s="9" t="n">
        <v>0</v>
      </c>
      <c r="HU210" s="10" t="n">
        <v>46201</v>
      </c>
      <c r="HW210" s="9" t="n">
        <v>0</v>
      </c>
      <c r="HY210" s="9" t="n">
        <v>0</v>
      </c>
      <c r="HZ210" s="9" t="n">
        <v>6680</v>
      </c>
      <c r="ID210" s="10" t="n">
        <v>46201</v>
      </c>
      <c r="IF210" s="9" t="n">
        <v>0</v>
      </c>
      <c r="IH210" s="9" t="n">
        <v>0</v>
      </c>
      <c r="II210" s="9" t="n">
        <v>720</v>
      </c>
      <c r="IM210" s="10" t="n">
        <v>46201</v>
      </c>
      <c r="IO210" s="9" t="n">
        <v>0</v>
      </c>
      <c r="IQ210" s="9" t="n">
        <v>0</v>
      </c>
      <c r="IR210" s="9" t="n">
        <v>6520</v>
      </c>
      <c r="IV210" s="10" t="n">
        <v>46201</v>
      </c>
      <c r="IX210" s="9" t="n">
        <v>0</v>
      </c>
      <c r="IZ210" s="9" t="n">
        <v>0</v>
      </c>
      <c r="JA210" s="9" t="n">
        <v>4960</v>
      </c>
      <c r="JE210" s="10" t="n">
        <v>46201</v>
      </c>
      <c r="JG210" s="9" t="n">
        <v>0</v>
      </c>
      <c r="JI210" s="9" t="n">
        <v>0</v>
      </c>
      <c r="JJ210" s="9" t="n">
        <v>0</v>
      </c>
      <c r="JN210" s="10" t="n">
        <v>46201</v>
      </c>
      <c r="JP210" s="9" t="n">
        <v>0</v>
      </c>
      <c r="JR210" s="9" t="n">
        <v>0</v>
      </c>
      <c r="JS210" s="9" t="n">
        <v>0</v>
      </c>
      <c r="JW210" s="10" t="n">
        <v>46201</v>
      </c>
      <c r="JY210" s="9" t="n">
        <v>0</v>
      </c>
      <c r="KA210" s="9" t="n">
        <v>0</v>
      </c>
      <c r="KB210" s="9" t="n">
        <v>2540</v>
      </c>
      <c r="KF210" s="10" t="n">
        <v>46201</v>
      </c>
      <c r="KH210" s="9" t="n">
        <v>0</v>
      </c>
      <c r="KJ210" s="9" t="n">
        <v>0</v>
      </c>
      <c r="KK210" s="9" t="n">
        <v>2359.5</v>
      </c>
      <c r="KO210" s="10" t="n">
        <v>46201</v>
      </c>
      <c r="KQ210" s="9" t="n">
        <v>0</v>
      </c>
      <c r="KS210" s="9" t="n">
        <v>0</v>
      </c>
      <c r="KT210" s="9" t="n">
        <v>1890</v>
      </c>
      <c r="KX210" s="10" t="n">
        <v>46201</v>
      </c>
      <c r="KZ210" s="9" t="n">
        <v>0</v>
      </c>
      <c r="LB210" s="9" t="n">
        <v>0</v>
      </c>
      <c r="LC210" s="9" t="n">
        <v>3690</v>
      </c>
      <c r="LG210" s="10" t="n">
        <v>46201</v>
      </c>
      <c r="LI210" s="9" t="n">
        <v>0</v>
      </c>
      <c r="LK210" s="9" t="n">
        <v>0</v>
      </c>
      <c r="LL210" s="9" t="n">
        <v>4000</v>
      </c>
      <c r="LP210" s="10" t="n">
        <v>46201</v>
      </c>
      <c r="LR210" s="9" t="n">
        <v>0</v>
      </c>
      <c r="LT210" s="9" t="n">
        <v>0</v>
      </c>
      <c r="LU210" s="9" t="n">
        <v>0</v>
      </c>
      <c r="LY210" s="10" t="n">
        <v>46201</v>
      </c>
      <c r="MA210" s="9" t="n">
        <v>0</v>
      </c>
      <c r="MC210" s="9" t="n">
        <v>0</v>
      </c>
      <c r="MD210" s="9" t="n">
        <v>0</v>
      </c>
      <c r="MH210" s="10" t="n">
        <v>46201</v>
      </c>
      <c r="MJ210" s="9" t="n">
        <v>0</v>
      </c>
      <c r="ML210" s="9" t="n">
        <v>0</v>
      </c>
      <c r="MM210" s="9" t="n">
        <v>0</v>
      </c>
      <c r="MQ210" s="10" t="n">
        <v>46201</v>
      </c>
      <c r="MS210" s="9" t="n">
        <v>0</v>
      </c>
      <c r="MU210" s="9" t="n">
        <v>0</v>
      </c>
      <c r="MV210" s="9" t="n">
        <v>3451</v>
      </c>
      <c r="MZ210" s="10" t="n">
        <v>46201</v>
      </c>
      <c r="NB210" s="9" t="n">
        <v>0</v>
      </c>
      <c r="ND210" s="9" t="n">
        <v>0</v>
      </c>
      <c r="NE210" s="9" t="n">
        <v>0</v>
      </c>
      <c r="NI210" s="10" t="n">
        <v>46201</v>
      </c>
      <c r="NK210" s="9" t="n">
        <v>0</v>
      </c>
      <c r="NM210" s="9" t="n">
        <v>0</v>
      </c>
      <c r="NN210" s="9" t="n">
        <v>1127</v>
      </c>
      <c r="NR210" s="10" t="n">
        <v>46201</v>
      </c>
      <c r="NT210" s="9" t="n">
        <v>0</v>
      </c>
      <c r="NV210" s="9" t="n">
        <v>0</v>
      </c>
      <c r="NW210" s="9" t="n">
        <v>3112</v>
      </c>
      <c r="OA210" s="10" t="n">
        <v>46201</v>
      </c>
      <c r="OC210" s="9" t="n">
        <v>0</v>
      </c>
      <c r="OE210" s="9" t="n">
        <v>0</v>
      </c>
      <c r="OF210" s="9" t="n">
        <v>1680.5</v>
      </c>
      <c r="OJ210" s="10" t="n">
        <v>46201</v>
      </c>
      <c r="OL210" s="9" t="n">
        <v>0</v>
      </c>
      <c r="ON210" s="9" t="n">
        <v>0</v>
      </c>
      <c r="OO210" s="9" t="n">
        <v>0</v>
      </c>
      <c r="OS210" s="10" t="n">
        <v>46201</v>
      </c>
      <c r="OU210" s="9" t="n">
        <v>0</v>
      </c>
      <c r="OW210" s="9" t="n">
        <v>0</v>
      </c>
      <c r="OX210" s="9" t="n">
        <v>1482</v>
      </c>
      <c r="PB210" s="10" t="n">
        <v>46201</v>
      </c>
      <c r="PD210" s="9" t="n">
        <v>0</v>
      </c>
      <c r="PF210" s="9" t="n">
        <v>0</v>
      </c>
      <c r="PG210" s="9" t="n">
        <v>0</v>
      </c>
      <c r="PK210" s="10" t="n">
        <v>46201</v>
      </c>
      <c r="PM210" s="9" t="n">
        <v>0</v>
      </c>
      <c r="PO210" s="9" t="n">
        <v>0</v>
      </c>
      <c r="PP210" s="9" t="n">
        <v>100</v>
      </c>
      <c r="PT210" s="10" t="n">
        <v>46201</v>
      </c>
      <c r="PV210" s="9" t="n">
        <v>0</v>
      </c>
      <c r="PX210" s="9" t="n">
        <v>0</v>
      </c>
      <c r="PY210" s="9" t="n">
        <v>13.96000000000004</v>
      </c>
      <c r="QC210" s="10" t="n">
        <v>46201</v>
      </c>
      <c r="QE210" s="9" t="n">
        <v>0</v>
      </c>
      <c r="QG210" s="9" t="n">
        <v>0</v>
      </c>
      <c r="QH210" s="9" t="n">
        <v>1736</v>
      </c>
      <c r="QL210" s="10" t="n">
        <v>46201</v>
      </c>
      <c r="QN210" s="9" t="n">
        <v>0</v>
      </c>
      <c r="QP210" s="9" t="n">
        <v>0</v>
      </c>
      <c r="QQ210" s="9" t="n">
        <v>250</v>
      </c>
      <c r="QU210" s="10" t="n">
        <v>46201</v>
      </c>
      <c r="QW210" s="9" t="n">
        <v>0</v>
      </c>
      <c r="QY210" s="9" t="n">
        <v>0</v>
      </c>
      <c r="QZ210" s="9" t="n">
        <v>207.6</v>
      </c>
      <c r="RD210" s="10" t="n">
        <v>46201</v>
      </c>
      <c r="RF210" s="9" t="n">
        <v>0</v>
      </c>
      <c r="RH210" s="9" t="n">
        <v>0</v>
      </c>
      <c r="RI210" s="9" t="n">
        <v>147.04</v>
      </c>
      <c r="RM210" s="10" t="n">
        <v>46201</v>
      </c>
      <c r="RO210" s="9" t="n">
        <v>0</v>
      </c>
      <c r="RQ210" s="9" t="n">
        <v>0</v>
      </c>
      <c r="RR210" s="9" t="n">
        <v>46.8</v>
      </c>
      <c r="RV210" s="10" t="n">
        <v>46201</v>
      </c>
      <c r="RX210" s="9" t="n">
        <v>0</v>
      </c>
      <c r="RZ210" s="9" t="n">
        <v>0</v>
      </c>
      <c r="SA210" s="9" t="n">
        <v>0</v>
      </c>
      <c r="SE210" s="10" t="n">
        <v>46201</v>
      </c>
      <c r="SG210" s="9" t="n">
        <v>0</v>
      </c>
      <c r="SI210" s="9" t="n">
        <v>0</v>
      </c>
      <c r="SJ210" s="9" t="n">
        <v>24.2</v>
      </c>
      <c r="SN210" s="10" t="n">
        <v>46201</v>
      </c>
      <c r="SP210" s="9" t="n">
        <v>0</v>
      </c>
      <c r="SR210" s="9" t="n">
        <v>0</v>
      </c>
      <c r="SS210" s="9" t="n">
        <v>32</v>
      </c>
      <c r="SW210" s="10" t="n">
        <v>46201</v>
      </c>
      <c r="SY210" s="9" t="n">
        <v>0</v>
      </c>
      <c r="TA210" s="9" t="n">
        <v>0</v>
      </c>
      <c r="TB210" s="9" t="n">
        <v>0</v>
      </c>
      <c r="TF210" s="10" t="n">
        <v>46201</v>
      </c>
      <c r="TH210" s="9" t="n">
        <v>0</v>
      </c>
      <c r="TJ210" s="9" t="n">
        <v>0</v>
      </c>
      <c r="TK210" s="9" t="n">
        <v>0</v>
      </c>
      <c r="TO210" s="10" t="n">
        <v>46201</v>
      </c>
      <c r="TQ210" s="9" t="n">
        <v>0</v>
      </c>
      <c r="TS210" s="9" t="n">
        <v>0</v>
      </c>
      <c r="TT210" s="9" t="n">
        <v>22.40000000000001</v>
      </c>
      <c r="TX210" s="10" t="n">
        <v>46201</v>
      </c>
      <c r="TZ210" s="9" t="n">
        <v>0</v>
      </c>
      <c r="UB210" s="9" t="n">
        <v>0</v>
      </c>
      <c r="UC210" s="9" t="n">
        <v>46.79999999999998</v>
      </c>
      <c r="UG210" s="10" t="n">
        <v>46201</v>
      </c>
      <c r="UI210" s="9" t="n">
        <v>0</v>
      </c>
      <c r="UK210" s="9" t="n">
        <v>0</v>
      </c>
      <c r="UL210" s="9" t="n">
        <v>204</v>
      </c>
      <c r="UP210" s="10" t="n">
        <v>46201</v>
      </c>
      <c r="UR210" s="9" t="n">
        <v>0</v>
      </c>
      <c r="UT210" s="9" t="n">
        <v>0</v>
      </c>
      <c r="UU210" s="9" t="n">
        <v>251.25</v>
      </c>
      <c r="UY210" s="10" t="n">
        <v>46201</v>
      </c>
      <c r="VA210" s="9" t="n">
        <v>0</v>
      </c>
      <c r="VC210" s="9" t="n">
        <v>0</v>
      </c>
      <c r="VD210" s="9" t="n">
        <v>41.60000000000002</v>
      </c>
      <c r="VH210" s="10" t="n">
        <v>46201</v>
      </c>
      <c r="VJ210" s="9" t="n">
        <v>0</v>
      </c>
      <c r="VL210" s="9" t="n">
        <v>0</v>
      </c>
      <c r="VM210" s="9" t="n">
        <v>210</v>
      </c>
      <c r="VQ210" s="10" t="n">
        <v>46201</v>
      </c>
      <c r="VS210" s="9" t="n">
        <v>0</v>
      </c>
      <c r="VU210" s="9" t="n">
        <v>0</v>
      </c>
      <c r="VV210" s="9" t="n">
        <v>0</v>
      </c>
      <c r="VZ210" s="10" t="n">
        <v>46201</v>
      </c>
      <c r="WB210" s="9" t="n">
        <v>0</v>
      </c>
      <c r="WD210" s="9" t="n">
        <v>0</v>
      </c>
      <c r="WE210" s="9" t="n">
        <v>0</v>
      </c>
      <c r="WI210" s="10" t="n">
        <v>46201</v>
      </c>
      <c r="WK210" s="9" t="n">
        <v>0</v>
      </c>
      <c r="WM210" s="9" t="n">
        <v>0</v>
      </c>
      <c r="WN210" s="9" t="n">
        <v>1199</v>
      </c>
      <c r="WR210" s="10" t="n">
        <v>46201</v>
      </c>
      <c r="WT210" s="9" t="n">
        <v>0</v>
      </c>
      <c r="WV210" s="9" t="n">
        <v>0</v>
      </c>
      <c r="WW210" s="9" t="n">
        <v>0</v>
      </c>
      <c r="XA210" s="10" t="n">
        <v>46201</v>
      </c>
      <c r="XC210" s="9" t="n">
        <v>0</v>
      </c>
      <c r="XE210" s="9" t="n">
        <v>0</v>
      </c>
      <c r="XF210" s="9" t="n">
        <v>6813</v>
      </c>
      <c r="XJ210" s="10" t="n">
        <v>46201</v>
      </c>
      <c r="XL210" s="9" t="n">
        <v>0</v>
      </c>
      <c r="XN210" s="9" t="n">
        <v>0</v>
      </c>
      <c r="XO210" s="9" t="n">
        <v>3835</v>
      </c>
      <c r="XS210" s="10" t="n">
        <v>46201</v>
      </c>
      <c r="XU210" s="9" t="n">
        <v>0</v>
      </c>
      <c r="XW210" s="9" t="n">
        <v>0</v>
      </c>
      <c r="XX210" s="9" t="n">
        <v>1621</v>
      </c>
      <c r="YB210" s="10" t="n">
        <v>46201</v>
      </c>
      <c r="YD210" s="9" t="n">
        <v>0</v>
      </c>
      <c r="YF210" s="9" t="n">
        <v>0</v>
      </c>
      <c r="YG210" s="9" t="n">
        <v>3898</v>
      </c>
      <c r="YK210" s="10" t="n">
        <v>46201</v>
      </c>
      <c r="YM210" s="9" t="n">
        <v>0</v>
      </c>
      <c r="YO210" s="9" t="n">
        <v>0</v>
      </c>
      <c r="YP210" s="9" t="n">
        <v>0</v>
      </c>
      <c r="YT210" s="10" t="n">
        <v>46201</v>
      </c>
      <c r="YV210" s="9" t="n">
        <v>0</v>
      </c>
      <c r="YX210" s="9" t="n">
        <v>0</v>
      </c>
      <c r="YY210" s="9" t="n">
        <v>0</v>
      </c>
      <c r="ZC210" s="10" t="n">
        <v>46201</v>
      </c>
      <c r="ZE210" s="9" t="n">
        <v>0</v>
      </c>
      <c r="ZG210" s="9" t="n">
        <v>0</v>
      </c>
      <c r="ZH210" s="9" t="n">
        <v>0</v>
      </c>
      <c r="ZL210" s="10" t="n">
        <v>46201</v>
      </c>
      <c r="ZN210" s="9" t="n">
        <v>0</v>
      </c>
      <c r="ZP210" s="9" t="n">
        <v>0</v>
      </c>
      <c r="ZQ210" s="9" t="n">
        <v>0</v>
      </c>
      <c r="ZU210" s="10" t="n">
        <v>46201</v>
      </c>
      <c r="ZW210" s="9" t="n">
        <v>0</v>
      </c>
      <c r="ZY210" s="9" t="n">
        <v>0</v>
      </c>
      <c r="ZZ210" s="9" t="n">
        <v>0</v>
      </c>
      <c r="AAD210" s="10" t="n">
        <v>46201</v>
      </c>
      <c r="AAF210" s="9" t="n">
        <v>0</v>
      </c>
      <c r="AAH210" s="9" t="n">
        <v>0</v>
      </c>
      <c r="AAI210" s="9" t="n">
        <v>0</v>
      </c>
      <c r="AAM210" s="10" t="n">
        <v>46201</v>
      </c>
      <c r="AAO210" s="9" t="n">
        <v>0</v>
      </c>
      <c r="AAQ210" s="9" t="n">
        <v>0</v>
      </c>
      <c r="AAR210" s="9" t="n">
        <v>0</v>
      </c>
      <c r="AAV210" s="10" t="n">
        <v>46201</v>
      </c>
      <c r="AAX210" s="9" t="n">
        <v>0</v>
      </c>
      <c r="AAZ210" s="9" t="n">
        <v>0</v>
      </c>
      <c r="ABA210" s="9" t="n">
        <v>0</v>
      </c>
      <c r="ABE210" s="10" t="n">
        <v>46201</v>
      </c>
      <c r="ABG210" s="9" t="n">
        <v>0</v>
      </c>
      <c r="ABI210" s="9" t="n">
        <v>0</v>
      </c>
      <c r="ABJ210" s="9" t="n">
        <v>0</v>
      </c>
    </row>
    <row r="211">
      <c r="B211" s="9" t="n">
        <v>60</v>
      </c>
      <c r="C211" s="10" t="n">
        <v>46202</v>
      </c>
      <c r="D211" s="9" t="n">
        <v>24350</v>
      </c>
      <c r="E211" s="9" t="n">
        <v>36402</v>
      </c>
      <c r="F211" s="9" t="n">
        <v>36409.2</v>
      </c>
      <c r="G211" s="9" t="n">
        <v>-7.19999999999709</v>
      </c>
      <c r="H211" s="9" t="n">
        <v>140004.0000000001</v>
      </c>
      <c r="I211" s="9" t="inlineStr">
        <is>
          <t>5203 60mt</t>
        </is>
      </c>
      <c r="L211" s="10" t="n">
        <v>46202</v>
      </c>
      <c r="N211" s="9" t="n">
        <v>12936</v>
      </c>
      <c r="O211" s="9" t="n">
        <v>12929.4</v>
      </c>
      <c r="P211" s="9" t="n">
        <v>6.600000000000364</v>
      </c>
      <c r="Q211" s="9" t="n">
        <v>64438.40000000007</v>
      </c>
      <c r="U211" s="10" t="n">
        <v>46202</v>
      </c>
      <c r="W211" s="9" t="n">
        <v>4200</v>
      </c>
      <c r="X211" s="9" t="n">
        <v>4200.9</v>
      </c>
      <c r="Y211" s="9" t="n">
        <v>-0.8999999999996362</v>
      </c>
      <c r="Z211" s="9" t="n">
        <v>36933.49999999997</v>
      </c>
      <c r="AD211" s="10" t="n">
        <v>46202</v>
      </c>
      <c r="AF211" s="9" t="n">
        <v>0</v>
      </c>
      <c r="AH211" s="9" t="n">
        <v>0</v>
      </c>
      <c r="AI211" s="9" t="n">
        <v>33372.70000000002</v>
      </c>
      <c r="AM211" s="10" t="n">
        <v>46202</v>
      </c>
      <c r="AO211" s="9" t="n">
        <v>0</v>
      </c>
      <c r="AQ211" s="9" t="n">
        <v>0</v>
      </c>
      <c r="AR211" s="9" t="n">
        <v>0</v>
      </c>
      <c r="AV211" s="10" t="n">
        <v>46202</v>
      </c>
      <c r="AX211" s="9" t="n">
        <v>0</v>
      </c>
      <c r="AZ211" s="9" t="n">
        <v>0</v>
      </c>
      <c r="BA211" s="9" t="n">
        <v>13946.2</v>
      </c>
      <c r="BE211" s="10" t="n">
        <v>46202</v>
      </c>
      <c r="BG211" s="9" t="n">
        <v>600</v>
      </c>
      <c r="BH211" s="9" t="n">
        <v>603.2</v>
      </c>
      <c r="BI211" s="9" t="n">
        <v>-3.200000000000045</v>
      </c>
      <c r="BJ211" s="9" t="n">
        <v>37547.2</v>
      </c>
      <c r="BN211" s="10" t="n">
        <v>46202</v>
      </c>
      <c r="BO211" s="9" t="n">
        <v>600</v>
      </c>
      <c r="BP211" s="9" t="n">
        <v>300</v>
      </c>
      <c r="BQ211" s="9" t="n">
        <v>600</v>
      </c>
      <c r="BR211" s="9" t="n">
        <v>-300</v>
      </c>
      <c r="BS211" s="9" t="n">
        <v>0</v>
      </c>
      <c r="BW211" s="10" t="n">
        <v>46202</v>
      </c>
      <c r="BY211" s="9" t="n">
        <v>258.3</v>
      </c>
      <c r="CA211" s="9" t="n">
        <v>258.3</v>
      </c>
      <c r="CB211" s="9" t="n">
        <v>2388.779999999999</v>
      </c>
      <c r="CF211" s="10" t="n">
        <v>46202</v>
      </c>
      <c r="CH211" s="9" t="n">
        <v>0</v>
      </c>
      <c r="CJ211" s="9" t="n">
        <v>0</v>
      </c>
      <c r="CK211" s="9" t="n">
        <v>0</v>
      </c>
      <c r="CO211" s="10" t="n">
        <v>46202</v>
      </c>
      <c r="CQ211" s="9" t="n">
        <v>0</v>
      </c>
      <c r="CS211" s="9" t="n">
        <v>0</v>
      </c>
      <c r="CT211" s="9" t="n">
        <v>0</v>
      </c>
      <c r="CX211" s="10" t="n">
        <v>46202</v>
      </c>
      <c r="CZ211" s="9" t="n">
        <v>1200</v>
      </c>
      <c r="DA211" s="9" t="n">
        <v>1198.7</v>
      </c>
      <c r="DB211" s="9" t="n">
        <v>1.299999999999955</v>
      </c>
      <c r="DC211" s="9" t="n">
        <v>9691.300000000007</v>
      </c>
      <c r="DG211" s="10" t="n">
        <v>46202</v>
      </c>
      <c r="DI211" s="9" t="n">
        <v>0</v>
      </c>
      <c r="DK211" s="9" t="n">
        <v>0</v>
      </c>
      <c r="DL211" s="9" t="n">
        <v>34934.49999999999</v>
      </c>
      <c r="DP211" s="10" t="n">
        <v>46202</v>
      </c>
      <c r="DR211" s="9" t="n">
        <v>0</v>
      </c>
      <c r="DT211" s="9" t="n">
        <v>0</v>
      </c>
      <c r="DU211" s="9" t="n">
        <v>5800</v>
      </c>
      <c r="DY211" s="10" t="n">
        <v>46202</v>
      </c>
      <c r="EA211" s="9" t="n">
        <v>0</v>
      </c>
      <c r="EC211" s="9" t="n">
        <v>0</v>
      </c>
      <c r="ED211" s="9" t="n">
        <v>0</v>
      </c>
      <c r="EH211" s="10" t="n">
        <v>46202</v>
      </c>
      <c r="EJ211" s="9" t="n">
        <v>0</v>
      </c>
      <c r="EL211" s="9" t="n">
        <v>0</v>
      </c>
      <c r="EM211" s="9" t="n">
        <v>0</v>
      </c>
      <c r="EQ211" s="10" t="n">
        <v>46202</v>
      </c>
      <c r="ES211" s="9" t="n">
        <v>0</v>
      </c>
      <c r="EU211" s="9" t="n">
        <v>0</v>
      </c>
      <c r="EV211" s="9" t="n">
        <v>0</v>
      </c>
      <c r="EZ211" s="10" t="n">
        <v>46202</v>
      </c>
      <c r="FB211" s="9" t="n">
        <v>0</v>
      </c>
      <c r="FD211" s="9" t="n">
        <v>0</v>
      </c>
      <c r="FE211" s="9" t="n">
        <v>0</v>
      </c>
      <c r="FI211" s="10" t="n">
        <v>46202</v>
      </c>
      <c r="FK211" s="9" t="n">
        <v>0</v>
      </c>
      <c r="FM211" s="9" t="n">
        <v>0</v>
      </c>
      <c r="FN211" s="9" t="n">
        <v>0</v>
      </c>
      <c r="FR211" s="10" t="n">
        <v>46202</v>
      </c>
      <c r="FT211" s="9" t="n">
        <v>0</v>
      </c>
      <c r="FV211" s="9" t="n">
        <v>0</v>
      </c>
      <c r="FW211" s="9" t="n">
        <v>1160</v>
      </c>
      <c r="GA211" s="10" t="n">
        <v>46202</v>
      </c>
      <c r="GC211" s="9" t="n">
        <v>0</v>
      </c>
      <c r="GE211" s="9" t="n">
        <v>0</v>
      </c>
      <c r="GF211" s="9" t="n">
        <v>960</v>
      </c>
      <c r="GJ211" s="10" t="n">
        <v>46202</v>
      </c>
      <c r="GL211" s="9" t="n">
        <v>0</v>
      </c>
      <c r="GN211" s="9" t="n">
        <v>0</v>
      </c>
      <c r="GO211" s="9" t="n">
        <v>1760</v>
      </c>
      <c r="GS211" s="10" t="n">
        <v>46202</v>
      </c>
      <c r="GU211" s="9" t="n">
        <v>0</v>
      </c>
      <c r="GW211" s="9" t="n">
        <v>0</v>
      </c>
      <c r="GX211" s="9" t="n">
        <v>400</v>
      </c>
      <c r="HB211" s="10" t="n">
        <v>46202</v>
      </c>
      <c r="HD211" s="9" t="n">
        <v>0</v>
      </c>
      <c r="HF211" s="9" t="n">
        <v>0</v>
      </c>
      <c r="HG211" s="9" t="n">
        <v>3600</v>
      </c>
      <c r="HK211" s="10" t="n">
        <v>46202</v>
      </c>
      <c r="HM211" s="9" t="n">
        <v>0</v>
      </c>
      <c r="HO211" s="9" t="n">
        <v>0</v>
      </c>
      <c r="HP211" s="9" t="n">
        <v>0</v>
      </c>
      <c r="HU211" s="10" t="n">
        <v>46202</v>
      </c>
      <c r="HW211" s="9" t="n">
        <v>0</v>
      </c>
      <c r="HY211" s="9" t="n">
        <v>0</v>
      </c>
      <c r="HZ211" s="9" t="n">
        <v>6680</v>
      </c>
      <c r="ID211" s="10" t="n">
        <v>46202</v>
      </c>
      <c r="IF211" s="9" t="n">
        <v>0</v>
      </c>
      <c r="IH211" s="9" t="n">
        <v>0</v>
      </c>
      <c r="II211" s="9" t="n">
        <v>720</v>
      </c>
      <c r="IM211" s="10" t="n">
        <v>46202</v>
      </c>
      <c r="IO211" s="9" t="n">
        <v>0</v>
      </c>
      <c r="IQ211" s="9" t="n">
        <v>0</v>
      </c>
      <c r="IR211" s="9" t="n">
        <v>6520</v>
      </c>
      <c r="IV211" s="10" t="n">
        <v>46202</v>
      </c>
      <c r="IX211" s="9" t="n">
        <v>0</v>
      </c>
      <c r="IZ211" s="9" t="n">
        <v>0</v>
      </c>
      <c r="JA211" s="9" t="n">
        <v>4960</v>
      </c>
      <c r="JE211" s="10" t="n">
        <v>46202</v>
      </c>
      <c r="JG211" s="9" t="n">
        <v>0</v>
      </c>
      <c r="JI211" s="9" t="n">
        <v>0</v>
      </c>
      <c r="JJ211" s="9" t="n">
        <v>0</v>
      </c>
      <c r="JN211" s="10" t="n">
        <v>46202</v>
      </c>
      <c r="JP211" s="9" t="n">
        <v>0</v>
      </c>
      <c r="JR211" s="9" t="n">
        <v>0</v>
      </c>
      <c r="JS211" s="9" t="n">
        <v>0</v>
      </c>
      <c r="JW211" s="10" t="n">
        <v>46202</v>
      </c>
      <c r="JY211" s="9" t="n">
        <v>0</v>
      </c>
      <c r="KA211" s="9" t="n">
        <v>0</v>
      </c>
      <c r="KB211" s="9" t="n">
        <v>2540</v>
      </c>
      <c r="KF211" s="10" t="n">
        <v>46202</v>
      </c>
      <c r="KH211" s="9" t="n">
        <v>0</v>
      </c>
      <c r="KJ211" s="9" t="n">
        <v>0</v>
      </c>
      <c r="KK211" s="9" t="n">
        <v>2359.5</v>
      </c>
      <c r="KO211" s="10" t="n">
        <v>46202</v>
      </c>
      <c r="KQ211" s="9" t="n">
        <v>0</v>
      </c>
      <c r="KS211" s="9" t="n">
        <v>0</v>
      </c>
      <c r="KT211" s="9" t="n">
        <v>1890</v>
      </c>
      <c r="KX211" s="10" t="n">
        <v>46202</v>
      </c>
      <c r="KZ211" s="9" t="n">
        <v>0</v>
      </c>
      <c r="LB211" s="9" t="n">
        <v>0</v>
      </c>
      <c r="LC211" s="9" t="n">
        <v>3690</v>
      </c>
      <c r="LG211" s="10" t="n">
        <v>46202</v>
      </c>
      <c r="LI211" s="9" t="n">
        <v>0</v>
      </c>
      <c r="LK211" s="9" t="n">
        <v>0</v>
      </c>
      <c r="LL211" s="9" t="n">
        <v>4000</v>
      </c>
      <c r="LP211" s="10" t="n">
        <v>46202</v>
      </c>
      <c r="LR211" s="9" t="n">
        <v>0</v>
      </c>
      <c r="LT211" s="9" t="n">
        <v>0</v>
      </c>
      <c r="LU211" s="9" t="n">
        <v>0</v>
      </c>
      <c r="LY211" s="10" t="n">
        <v>46202</v>
      </c>
      <c r="MA211" s="9" t="n">
        <v>0</v>
      </c>
      <c r="MC211" s="9" t="n">
        <v>0</v>
      </c>
      <c r="MD211" s="9" t="n">
        <v>0</v>
      </c>
      <c r="MH211" s="10" t="n">
        <v>46202</v>
      </c>
      <c r="MJ211" s="9" t="n">
        <v>0</v>
      </c>
      <c r="ML211" s="9" t="n">
        <v>0</v>
      </c>
      <c r="MM211" s="9" t="n">
        <v>0</v>
      </c>
      <c r="MQ211" s="10" t="n">
        <v>46202</v>
      </c>
      <c r="MR211" s="9" t="n">
        <v>144</v>
      </c>
      <c r="MS211" s="9" t="n">
        <v>0</v>
      </c>
      <c r="MU211" s="9" t="n">
        <v>0</v>
      </c>
      <c r="MV211" s="9" t="n">
        <v>3595</v>
      </c>
      <c r="MZ211" s="10" t="n">
        <v>46202</v>
      </c>
      <c r="NB211" s="9" t="n">
        <v>0</v>
      </c>
      <c r="ND211" s="9" t="n">
        <v>0</v>
      </c>
      <c r="NE211" s="9" t="n">
        <v>0</v>
      </c>
      <c r="NI211" s="10" t="n">
        <v>46202</v>
      </c>
      <c r="NK211" s="9" t="n">
        <v>0</v>
      </c>
      <c r="NM211" s="9" t="n">
        <v>0</v>
      </c>
      <c r="NN211" s="9" t="n">
        <v>1127</v>
      </c>
      <c r="NR211" s="10" t="n">
        <v>46202</v>
      </c>
      <c r="NT211" s="9" t="n">
        <v>0</v>
      </c>
      <c r="NV211" s="9" t="n">
        <v>0</v>
      </c>
      <c r="NW211" s="9" t="n">
        <v>3112</v>
      </c>
      <c r="OA211" s="10" t="n">
        <v>46202</v>
      </c>
      <c r="OC211" s="9" t="n">
        <v>0</v>
      </c>
      <c r="OE211" s="9" t="n">
        <v>0</v>
      </c>
      <c r="OF211" s="9" t="n">
        <v>1680.5</v>
      </c>
      <c r="OJ211" s="10" t="n">
        <v>46202</v>
      </c>
      <c r="OL211" s="9" t="n">
        <v>0</v>
      </c>
      <c r="ON211" s="9" t="n">
        <v>0</v>
      </c>
      <c r="OO211" s="9" t="n">
        <v>0</v>
      </c>
      <c r="OS211" s="10" t="n">
        <v>46202</v>
      </c>
      <c r="OU211" s="9" t="n">
        <v>0</v>
      </c>
      <c r="OW211" s="9" t="n">
        <v>0</v>
      </c>
      <c r="OX211" s="9" t="n">
        <v>1482</v>
      </c>
      <c r="PB211" s="10" t="n">
        <v>46202</v>
      </c>
      <c r="PD211" s="9" t="n">
        <v>0</v>
      </c>
      <c r="PF211" s="9" t="n">
        <v>0</v>
      </c>
      <c r="PG211" s="9" t="n">
        <v>0</v>
      </c>
      <c r="PK211" s="10" t="n">
        <v>46202</v>
      </c>
      <c r="PM211" s="9" t="n">
        <v>0</v>
      </c>
      <c r="PO211" s="9" t="n">
        <v>0</v>
      </c>
      <c r="PP211" s="9" t="n">
        <v>100</v>
      </c>
      <c r="PT211" s="10" t="n">
        <v>46202</v>
      </c>
      <c r="PV211" s="9" t="n">
        <v>0</v>
      </c>
      <c r="PX211" s="9" t="n">
        <v>0</v>
      </c>
      <c r="PY211" s="9" t="n">
        <v>13.96000000000004</v>
      </c>
      <c r="QC211" s="10" t="n">
        <v>46202</v>
      </c>
      <c r="QE211" s="9" t="n">
        <v>0</v>
      </c>
      <c r="QG211" s="9" t="n">
        <v>0</v>
      </c>
      <c r="QH211" s="9" t="n">
        <v>1736</v>
      </c>
      <c r="QL211" s="10" t="n">
        <v>46202</v>
      </c>
      <c r="QN211" s="9" t="n">
        <v>0</v>
      </c>
      <c r="QP211" s="9" t="n">
        <v>0</v>
      </c>
      <c r="QQ211" s="9" t="n">
        <v>250</v>
      </c>
      <c r="QU211" s="10" t="n">
        <v>46202</v>
      </c>
      <c r="QW211" s="9" t="n">
        <v>0</v>
      </c>
      <c r="QY211" s="9" t="n">
        <v>0</v>
      </c>
      <c r="QZ211" s="9" t="n">
        <v>207.6</v>
      </c>
      <c r="RD211" s="10" t="n">
        <v>46202</v>
      </c>
      <c r="RF211" s="9" t="n">
        <v>0</v>
      </c>
      <c r="RH211" s="9" t="n">
        <v>0</v>
      </c>
      <c r="RI211" s="9" t="n">
        <v>147.04</v>
      </c>
      <c r="RM211" s="10" t="n">
        <v>46202</v>
      </c>
      <c r="RO211" s="9" t="n">
        <v>0</v>
      </c>
      <c r="RQ211" s="9" t="n">
        <v>0</v>
      </c>
      <c r="RR211" s="9" t="n">
        <v>46.8</v>
      </c>
      <c r="RV211" s="10" t="n">
        <v>46202</v>
      </c>
      <c r="RX211" s="9" t="n">
        <v>0</v>
      </c>
      <c r="RZ211" s="9" t="n">
        <v>0</v>
      </c>
      <c r="SA211" s="9" t="n">
        <v>0</v>
      </c>
      <c r="SE211" s="10" t="n">
        <v>46202</v>
      </c>
      <c r="SG211" s="9" t="n">
        <v>0</v>
      </c>
      <c r="SI211" s="9" t="n">
        <v>0</v>
      </c>
      <c r="SJ211" s="9" t="n">
        <v>24.2</v>
      </c>
      <c r="SN211" s="10" t="n">
        <v>46202</v>
      </c>
      <c r="SP211" s="9" t="n">
        <v>0</v>
      </c>
      <c r="SR211" s="9" t="n">
        <v>0</v>
      </c>
      <c r="SS211" s="9" t="n">
        <v>32</v>
      </c>
      <c r="SW211" s="10" t="n">
        <v>46202</v>
      </c>
      <c r="SY211" s="9" t="n">
        <v>0</v>
      </c>
      <c r="TA211" s="9" t="n">
        <v>0</v>
      </c>
      <c r="TB211" s="9" t="n">
        <v>0</v>
      </c>
      <c r="TF211" s="10" t="n">
        <v>46202</v>
      </c>
      <c r="TH211" s="9" t="n">
        <v>0</v>
      </c>
      <c r="TJ211" s="9" t="n">
        <v>0</v>
      </c>
      <c r="TK211" s="9" t="n">
        <v>0</v>
      </c>
      <c r="TO211" s="10" t="n">
        <v>46202</v>
      </c>
      <c r="TQ211" s="9" t="n">
        <v>0</v>
      </c>
      <c r="TS211" s="9" t="n">
        <v>0</v>
      </c>
      <c r="TT211" s="9" t="n">
        <v>22.40000000000001</v>
      </c>
      <c r="TX211" s="10" t="n">
        <v>46202</v>
      </c>
      <c r="TZ211" s="9" t="n">
        <v>0</v>
      </c>
      <c r="UB211" s="9" t="n">
        <v>0</v>
      </c>
      <c r="UC211" s="9" t="n">
        <v>46.79999999999998</v>
      </c>
      <c r="UG211" s="10" t="n">
        <v>46202</v>
      </c>
      <c r="UI211" s="9" t="n">
        <v>0</v>
      </c>
      <c r="UK211" s="9" t="n">
        <v>0</v>
      </c>
      <c r="UL211" s="9" t="n">
        <v>204</v>
      </c>
      <c r="UP211" s="10" t="n">
        <v>46202</v>
      </c>
      <c r="UR211" s="9" t="n">
        <v>0</v>
      </c>
      <c r="UT211" s="9" t="n">
        <v>0</v>
      </c>
      <c r="UU211" s="9" t="n">
        <v>251.25</v>
      </c>
      <c r="UY211" s="10" t="n">
        <v>46202</v>
      </c>
      <c r="VA211" s="9" t="n">
        <v>0</v>
      </c>
      <c r="VC211" s="9" t="n">
        <v>0</v>
      </c>
      <c r="VD211" s="9" t="n">
        <v>41.60000000000002</v>
      </c>
      <c r="VH211" s="10" t="n">
        <v>46202</v>
      </c>
      <c r="VJ211" s="9" t="n">
        <v>0</v>
      </c>
      <c r="VL211" s="9" t="n">
        <v>0</v>
      </c>
      <c r="VM211" s="9" t="n">
        <v>210</v>
      </c>
      <c r="VQ211" s="10" t="n">
        <v>46202</v>
      </c>
      <c r="VS211" s="9" t="n">
        <v>0</v>
      </c>
      <c r="VU211" s="9" t="n">
        <v>0</v>
      </c>
      <c r="VV211" s="9" t="n">
        <v>0</v>
      </c>
      <c r="VZ211" s="10" t="n">
        <v>46202</v>
      </c>
      <c r="WB211" s="9" t="n">
        <v>0</v>
      </c>
      <c r="WD211" s="9" t="n">
        <v>0</v>
      </c>
      <c r="WE211" s="9" t="n">
        <v>0</v>
      </c>
      <c r="WI211" s="10" t="n">
        <v>46202</v>
      </c>
      <c r="WK211" s="9" t="n">
        <v>0</v>
      </c>
      <c r="WL211" s="9" t="n">
        <v>142</v>
      </c>
      <c r="WM211" s="9" t="n">
        <v>-142</v>
      </c>
      <c r="WN211" s="9" t="n">
        <v>1057</v>
      </c>
      <c r="WR211" s="10" t="n">
        <v>46202</v>
      </c>
      <c r="WT211" s="9" t="n">
        <v>0</v>
      </c>
      <c r="WV211" s="9" t="n">
        <v>0</v>
      </c>
      <c r="WW211" s="9" t="n">
        <v>0</v>
      </c>
      <c r="XA211" s="10" t="n">
        <v>46202</v>
      </c>
      <c r="XB211" s="9" t="n">
        <v>694</v>
      </c>
      <c r="XC211" s="9" t="n">
        <v>0</v>
      </c>
      <c r="XE211" s="9" t="n">
        <v>0</v>
      </c>
      <c r="XF211" s="9" t="n">
        <v>7507</v>
      </c>
      <c r="XJ211" s="10" t="n">
        <v>46202</v>
      </c>
      <c r="XK211" s="9" t="n">
        <v>417</v>
      </c>
      <c r="XL211" s="9" t="n">
        <v>0</v>
      </c>
      <c r="XN211" s="9" t="n">
        <v>0</v>
      </c>
      <c r="XO211" s="9" t="n">
        <v>4252</v>
      </c>
      <c r="XS211" s="10" t="n">
        <v>46202</v>
      </c>
      <c r="XT211" s="9" t="n">
        <v>558</v>
      </c>
      <c r="XU211" s="9" t="n">
        <v>0</v>
      </c>
      <c r="XW211" s="9" t="n">
        <v>0</v>
      </c>
      <c r="XX211" s="9" t="n">
        <v>2179</v>
      </c>
      <c r="YB211" s="10" t="n">
        <v>46202</v>
      </c>
      <c r="YC211" s="9" t="n">
        <v>121</v>
      </c>
      <c r="YD211" s="9" t="n">
        <v>0</v>
      </c>
      <c r="YF211" s="9" t="n">
        <v>0</v>
      </c>
      <c r="YG211" s="9" t="n">
        <v>4019</v>
      </c>
      <c r="YK211" s="10" t="n">
        <v>46202</v>
      </c>
      <c r="YM211" s="9" t="n">
        <v>0</v>
      </c>
      <c r="YO211" s="9" t="n">
        <v>0</v>
      </c>
      <c r="YP211" s="9" t="n">
        <v>0</v>
      </c>
      <c r="YT211" s="10" t="n">
        <v>46202</v>
      </c>
      <c r="YV211" s="9" t="n">
        <v>0</v>
      </c>
      <c r="YX211" s="9" t="n">
        <v>0</v>
      </c>
      <c r="YY211" s="9" t="n">
        <v>0</v>
      </c>
      <c r="ZC211" s="10" t="n">
        <v>46202</v>
      </c>
      <c r="ZE211" s="9" t="n">
        <v>0</v>
      </c>
      <c r="ZG211" s="9" t="n">
        <v>0</v>
      </c>
      <c r="ZH211" s="9" t="n">
        <v>0</v>
      </c>
      <c r="ZL211" s="10" t="n">
        <v>46202</v>
      </c>
      <c r="ZN211" s="9" t="n">
        <v>0</v>
      </c>
      <c r="ZP211" s="9" t="n">
        <v>0</v>
      </c>
      <c r="ZQ211" s="9" t="n">
        <v>0</v>
      </c>
      <c r="ZU211" s="10" t="n">
        <v>46202</v>
      </c>
      <c r="ZW211" s="9" t="n">
        <v>0</v>
      </c>
      <c r="ZY211" s="9" t="n">
        <v>0</v>
      </c>
      <c r="ZZ211" s="9" t="n">
        <v>0</v>
      </c>
      <c r="AAD211" s="10" t="n">
        <v>46202</v>
      </c>
      <c r="AAF211" s="9" t="n">
        <v>0</v>
      </c>
      <c r="AAH211" s="9" t="n">
        <v>0</v>
      </c>
      <c r="AAI211" s="9" t="n">
        <v>0</v>
      </c>
      <c r="AAM211" s="10" t="n">
        <v>46202</v>
      </c>
      <c r="AAO211" s="9" t="n">
        <v>0</v>
      </c>
      <c r="AAQ211" s="9" t="n">
        <v>0</v>
      </c>
      <c r="AAR211" s="9" t="n">
        <v>0</v>
      </c>
      <c r="AAV211" s="10" t="n">
        <v>46202</v>
      </c>
      <c r="AAX211" s="9" t="n">
        <v>0</v>
      </c>
      <c r="AAZ211" s="9" t="n">
        <v>0</v>
      </c>
      <c r="ABA211" s="9" t="n">
        <v>0</v>
      </c>
      <c r="ABE211" s="10" t="n">
        <v>46202</v>
      </c>
      <c r="ABG211" s="9" t="n">
        <v>0</v>
      </c>
      <c r="ABI211" s="9" t="n">
        <v>0</v>
      </c>
      <c r="ABJ211" s="9" t="n">
        <v>0</v>
      </c>
    </row>
    <row r="212">
      <c r="B212" s="9" t="n">
        <v>60</v>
      </c>
      <c r="C212" s="10" t="n">
        <v>46203</v>
      </c>
      <c r="E212" s="9" t="n">
        <v>36402</v>
      </c>
      <c r="F212" s="9" t="n">
        <v>36396.2</v>
      </c>
      <c r="G212" s="9" t="n">
        <v>5.80000000000291</v>
      </c>
      <c r="H212" s="9" t="n">
        <v>103607.8000000001</v>
      </c>
      <c r="I212" s="9" t="inlineStr">
        <is>
          <t>5203 60mt</t>
        </is>
      </c>
      <c r="L212" s="10" t="n">
        <v>46203</v>
      </c>
      <c r="N212" s="9" t="n">
        <v>12936</v>
      </c>
      <c r="O212" s="9" t="n">
        <v>12939.2</v>
      </c>
      <c r="P212" s="9" t="n">
        <v>-3.200000000000728</v>
      </c>
      <c r="Q212" s="9" t="n">
        <v>51499.20000000007</v>
      </c>
      <c r="U212" s="10" t="n">
        <v>46203</v>
      </c>
      <c r="W212" s="9" t="n">
        <v>4200</v>
      </c>
      <c r="X212" s="9" t="n">
        <v>4201.5</v>
      </c>
      <c r="Y212" s="9" t="n">
        <v>-1.5</v>
      </c>
      <c r="Z212" s="9" t="n">
        <v>32731.99999999997</v>
      </c>
      <c r="AD212" s="10" t="n">
        <v>46203</v>
      </c>
      <c r="AF212" s="9" t="n">
        <v>0</v>
      </c>
      <c r="AH212" s="9" t="n">
        <v>0</v>
      </c>
      <c r="AI212" s="9" t="n">
        <v>33372.70000000002</v>
      </c>
      <c r="AM212" s="10" t="n">
        <v>46203</v>
      </c>
      <c r="AO212" s="9" t="n">
        <v>0</v>
      </c>
      <c r="AQ212" s="9" t="n">
        <v>0</v>
      </c>
      <c r="AR212" s="9" t="n">
        <v>0</v>
      </c>
      <c r="AV212" s="10" t="n">
        <v>46203</v>
      </c>
      <c r="AX212" s="9" t="n">
        <v>0</v>
      </c>
      <c r="AZ212" s="9" t="n">
        <v>0</v>
      </c>
      <c r="BA212" s="9" t="n">
        <v>13946.2</v>
      </c>
      <c r="BE212" s="10" t="n">
        <v>46203</v>
      </c>
      <c r="BG212" s="9" t="n">
        <v>600</v>
      </c>
      <c r="BH212" s="9" t="n">
        <v>599.5</v>
      </c>
      <c r="BI212" s="9" t="n">
        <v>0.5</v>
      </c>
      <c r="BJ212" s="9" t="n">
        <v>36947.7</v>
      </c>
      <c r="BN212" s="10" t="n">
        <v>46203</v>
      </c>
      <c r="BO212" s="9" t="n">
        <v>600</v>
      </c>
      <c r="BP212" s="9" t="n">
        <v>300</v>
      </c>
      <c r="BQ212" s="9" t="n">
        <v>600</v>
      </c>
      <c r="BR212" s="9" t="n">
        <v>-300</v>
      </c>
      <c r="BS212" s="9" t="n">
        <v>0</v>
      </c>
      <c r="BW212" s="10" t="n">
        <v>46203</v>
      </c>
      <c r="BY212" s="9" t="n">
        <v>258.3</v>
      </c>
      <c r="CA212" s="9" t="n">
        <v>258.3</v>
      </c>
      <c r="CB212" s="9" t="n">
        <v>2388.779999999999</v>
      </c>
      <c r="CF212" s="10" t="n">
        <v>46203</v>
      </c>
      <c r="CH212" s="9" t="n">
        <v>0</v>
      </c>
      <c r="CJ212" s="9" t="n">
        <v>0</v>
      </c>
      <c r="CK212" s="9" t="n">
        <v>0</v>
      </c>
      <c r="CO212" s="10" t="n">
        <v>46203</v>
      </c>
      <c r="CQ212" s="9" t="n">
        <v>0</v>
      </c>
      <c r="CS212" s="9" t="n">
        <v>0</v>
      </c>
      <c r="CT212" s="9" t="n">
        <v>0</v>
      </c>
      <c r="CX212" s="10" t="n">
        <v>46203</v>
      </c>
      <c r="CZ212" s="9" t="n">
        <v>1200</v>
      </c>
      <c r="DA212" s="9" t="n">
        <v>1201.4</v>
      </c>
      <c r="DB212" s="9" t="n">
        <v>-1.400000000000091</v>
      </c>
      <c r="DC212" s="9" t="n">
        <v>8489.900000000007</v>
      </c>
      <c r="DG212" s="10" t="n">
        <v>46203</v>
      </c>
      <c r="DI212" s="9" t="n">
        <v>0</v>
      </c>
      <c r="DK212" s="9" t="n">
        <v>0</v>
      </c>
      <c r="DL212" s="9" t="n">
        <v>34934.49999999999</v>
      </c>
      <c r="DP212" s="10" t="n">
        <v>46203</v>
      </c>
      <c r="DR212" s="9" t="n">
        <v>0</v>
      </c>
      <c r="DT212" s="9" t="n">
        <v>0</v>
      </c>
      <c r="DU212" s="9" t="n">
        <v>5800</v>
      </c>
      <c r="DY212" s="10" t="n">
        <v>46203</v>
      </c>
      <c r="EA212" s="9" t="n">
        <v>0</v>
      </c>
      <c r="EC212" s="9" t="n">
        <v>0</v>
      </c>
      <c r="ED212" s="9" t="n">
        <v>0</v>
      </c>
      <c r="EH212" s="10" t="n">
        <v>46203</v>
      </c>
      <c r="EJ212" s="9" t="n">
        <v>0</v>
      </c>
      <c r="EL212" s="9" t="n">
        <v>0</v>
      </c>
      <c r="EM212" s="9" t="n">
        <v>0</v>
      </c>
      <c r="EQ212" s="10" t="n">
        <v>46203</v>
      </c>
      <c r="ES212" s="9" t="n">
        <v>0</v>
      </c>
      <c r="EU212" s="9" t="n">
        <v>0</v>
      </c>
      <c r="EV212" s="9" t="n">
        <v>0</v>
      </c>
      <c r="EZ212" s="10" t="n">
        <v>46203</v>
      </c>
      <c r="FB212" s="9" t="n">
        <v>0</v>
      </c>
      <c r="FD212" s="9" t="n">
        <v>0</v>
      </c>
      <c r="FE212" s="9" t="n">
        <v>0</v>
      </c>
      <c r="FI212" s="10" t="n">
        <v>46203</v>
      </c>
      <c r="FK212" s="9" t="n">
        <v>0</v>
      </c>
      <c r="FM212" s="9" t="n">
        <v>0</v>
      </c>
      <c r="FN212" s="9" t="n">
        <v>0</v>
      </c>
      <c r="FR212" s="10" t="n">
        <v>46203</v>
      </c>
      <c r="FT212" s="9" t="n">
        <v>0</v>
      </c>
      <c r="FV212" s="9" t="n">
        <v>0</v>
      </c>
      <c r="FW212" s="9" t="n">
        <v>1160</v>
      </c>
      <c r="GA212" s="10" t="n">
        <v>46203</v>
      </c>
      <c r="GC212" s="9" t="n">
        <v>0</v>
      </c>
      <c r="GE212" s="9" t="n">
        <v>0</v>
      </c>
      <c r="GF212" s="9" t="n">
        <v>960</v>
      </c>
      <c r="GJ212" s="10" t="n">
        <v>46203</v>
      </c>
      <c r="GL212" s="9" t="n">
        <v>0</v>
      </c>
      <c r="GN212" s="9" t="n">
        <v>0</v>
      </c>
      <c r="GO212" s="9" t="n">
        <v>1760</v>
      </c>
      <c r="GS212" s="10" t="n">
        <v>46203</v>
      </c>
      <c r="GU212" s="9" t="n">
        <v>0</v>
      </c>
      <c r="GW212" s="9" t="n">
        <v>0</v>
      </c>
      <c r="GX212" s="9" t="n">
        <v>400</v>
      </c>
      <c r="HB212" s="10" t="n">
        <v>46203</v>
      </c>
      <c r="HD212" s="9" t="n">
        <v>0</v>
      </c>
      <c r="HF212" s="9" t="n">
        <v>0</v>
      </c>
      <c r="HG212" s="9" t="n">
        <v>3600</v>
      </c>
      <c r="HK212" s="10" t="n">
        <v>46203</v>
      </c>
      <c r="HM212" s="9" t="n">
        <v>0</v>
      </c>
      <c r="HO212" s="9" t="n">
        <v>0</v>
      </c>
      <c r="HP212" s="9" t="n">
        <v>0</v>
      </c>
      <c r="HU212" s="10" t="n">
        <v>46203</v>
      </c>
      <c r="HW212" s="9" t="n">
        <v>0</v>
      </c>
      <c r="HY212" s="9" t="n">
        <v>0</v>
      </c>
      <c r="HZ212" s="9" t="n">
        <v>6680</v>
      </c>
      <c r="ID212" s="10" t="n">
        <v>46203</v>
      </c>
      <c r="IF212" s="9" t="n">
        <v>0</v>
      </c>
      <c r="IH212" s="9" t="n">
        <v>0</v>
      </c>
      <c r="II212" s="9" t="n">
        <v>720</v>
      </c>
      <c r="IM212" s="10" t="n">
        <v>46203</v>
      </c>
      <c r="IO212" s="9" t="n">
        <v>0</v>
      </c>
      <c r="IQ212" s="9" t="n">
        <v>0</v>
      </c>
      <c r="IR212" s="9" t="n">
        <v>6520</v>
      </c>
      <c r="IV212" s="10" t="n">
        <v>46203</v>
      </c>
      <c r="IX212" s="9" t="n">
        <v>0</v>
      </c>
      <c r="IZ212" s="9" t="n">
        <v>0</v>
      </c>
      <c r="JA212" s="9" t="n">
        <v>4960</v>
      </c>
      <c r="JE212" s="10" t="n">
        <v>46203</v>
      </c>
      <c r="JG212" s="9" t="n">
        <v>0</v>
      </c>
      <c r="JI212" s="9" t="n">
        <v>0</v>
      </c>
      <c r="JJ212" s="9" t="n">
        <v>0</v>
      </c>
      <c r="JN212" s="10" t="n">
        <v>46203</v>
      </c>
      <c r="JP212" s="9" t="n">
        <v>0</v>
      </c>
      <c r="JR212" s="9" t="n">
        <v>0</v>
      </c>
      <c r="JS212" s="9" t="n">
        <v>0</v>
      </c>
      <c r="JW212" s="10" t="n">
        <v>46203</v>
      </c>
      <c r="JY212" s="9" t="n">
        <v>0</v>
      </c>
      <c r="KA212" s="9" t="n">
        <v>0</v>
      </c>
      <c r="KB212" s="9" t="n">
        <v>2540</v>
      </c>
      <c r="KF212" s="10" t="n">
        <v>46203</v>
      </c>
      <c r="KH212" s="9" t="n">
        <v>0</v>
      </c>
      <c r="KJ212" s="9" t="n">
        <v>0</v>
      </c>
      <c r="KK212" s="9" t="n">
        <v>2359.5</v>
      </c>
      <c r="KO212" s="10" t="n">
        <v>46203</v>
      </c>
      <c r="KQ212" s="9" t="n">
        <v>0</v>
      </c>
      <c r="KS212" s="9" t="n">
        <v>0</v>
      </c>
      <c r="KT212" s="9" t="n">
        <v>1890</v>
      </c>
      <c r="KX212" s="10" t="n">
        <v>46203</v>
      </c>
      <c r="KZ212" s="9" t="n">
        <v>0</v>
      </c>
      <c r="LB212" s="9" t="n">
        <v>0</v>
      </c>
      <c r="LC212" s="9" t="n">
        <v>3690</v>
      </c>
      <c r="LG212" s="10" t="n">
        <v>46203</v>
      </c>
      <c r="LI212" s="9" t="n">
        <v>0</v>
      </c>
      <c r="LK212" s="9" t="n">
        <v>0</v>
      </c>
      <c r="LL212" s="9" t="n">
        <v>4000</v>
      </c>
      <c r="LP212" s="10" t="n">
        <v>46203</v>
      </c>
      <c r="LR212" s="9" t="n">
        <v>0</v>
      </c>
      <c r="LT212" s="9" t="n">
        <v>0</v>
      </c>
      <c r="LU212" s="9" t="n">
        <v>0</v>
      </c>
      <c r="LY212" s="10" t="n">
        <v>46203</v>
      </c>
      <c r="MA212" s="9" t="n">
        <v>0</v>
      </c>
      <c r="MC212" s="9" t="n">
        <v>0</v>
      </c>
      <c r="MD212" s="9" t="n">
        <v>0</v>
      </c>
      <c r="MH212" s="10" t="n">
        <v>46203</v>
      </c>
      <c r="MJ212" s="9" t="n">
        <v>0</v>
      </c>
      <c r="ML212" s="9" t="n">
        <v>0</v>
      </c>
      <c r="MM212" s="9" t="n">
        <v>0</v>
      </c>
      <c r="MQ212" s="10" t="n">
        <v>46203</v>
      </c>
      <c r="MS212" s="9" t="n">
        <v>0</v>
      </c>
      <c r="MU212" s="9" t="n">
        <v>0</v>
      </c>
      <c r="MV212" s="9" t="n">
        <v>3595</v>
      </c>
      <c r="MZ212" s="10" t="n">
        <v>46203</v>
      </c>
      <c r="NB212" s="9" t="n">
        <v>0</v>
      </c>
      <c r="ND212" s="9" t="n">
        <v>0</v>
      </c>
      <c r="NE212" s="9" t="n">
        <v>0</v>
      </c>
      <c r="NI212" s="10" t="n">
        <v>46203</v>
      </c>
      <c r="NK212" s="9" t="n">
        <v>0</v>
      </c>
      <c r="NM212" s="9" t="n">
        <v>0</v>
      </c>
      <c r="NN212" s="9" t="n">
        <v>1127</v>
      </c>
      <c r="NR212" s="10" t="n">
        <v>46203</v>
      </c>
      <c r="NT212" s="9" t="n">
        <v>0</v>
      </c>
      <c r="NV212" s="9" t="n">
        <v>0</v>
      </c>
      <c r="NW212" s="9" t="n">
        <v>3112</v>
      </c>
      <c r="OA212" s="10" t="n">
        <v>46203</v>
      </c>
      <c r="OC212" s="9" t="n">
        <v>0</v>
      </c>
      <c r="OE212" s="9" t="n">
        <v>0</v>
      </c>
      <c r="OF212" s="9" t="n">
        <v>1680.5</v>
      </c>
      <c r="OJ212" s="10" t="n">
        <v>46203</v>
      </c>
      <c r="OL212" s="9" t="n">
        <v>0</v>
      </c>
      <c r="ON212" s="9" t="n">
        <v>0</v>
      </c>
      <c r="OO212" s="9" t="n">
        <v>0</v>
      </c>
      <c r="OS212" s="10" t="n">
        <v>46203</v>
      </c>
      <c r="OU212" s="9" t="n">
        <v>0</v>
      </c>
      <c r="OW212" s="9" t="n">
        <v>0</v>
      </c>
      <c r="OX212" s="9" t="n">
        <v>1482</v>
      </c>
      <c r="PB212" s="10" t="n">
        <v>46203</v>
      </c>
      <c r="PD212" s="9" t="n">
        <v>0</v>
      </c>
      <c r="PF212" s="9" t="n">
        <v>0</v>
      </c>
      <c r="PG212" s="9" t="n">
        <v>0</v>
      </c>
      <c r="PK212" s="10" t="n">
        <v>46203</v>
      </c>
      <c r="PM212" s="9" t="n">
        <v>0</v>
      </c>
      <c r="PO212" s="9" t="n">
        <v>0</v>
      </c>
      <c r="PP212" s="9" t="n">
        <v>100</v>
      </c>
      <c r="PT212" s="10" t="n">
        <v>46203</v>
      </c>
      <c r="PV212" s="9" t="n">
        <v>0</v>
      </c>
      <c r="PX212" s="9" t="n">
        <v>0</v>
      </c>
      <c r="PY212" s="9" t="n">
        <v>13.96000000000004</v>
      </c>
      <c r="QC212" s="10" t="n">
        <v>46203</v>
      </c>
      <c r="QE212" s="9" t="n">
        <v>0</v>
      </c>
      <c r="QG212" s="9" t="n">
        <v>0</v>
      </c>
      <c r="QH212" s="9" t="n">
        <v>1736</v>
      </c>
      <c r="QL212" s="10" t="n">
        <v>46203</v>
      </c>
      <c r="QN212" s="9" t="n">
        <v>0</v>
      </c>
      <c r="QP212" s="9" t="n">
        <v>0</v>
      </c>
      <c r="QQ212" s="9" t="n">
        <v>250</v>
      </c>
      <c r="QU212" s="10" t="n">
        <v>46203</v>
      </c>
      <c r="QW212" s="9" t="n">
        <v>0</v>
      </c>
      <c r="QY212" s="9" t="n">
        <v>0</v>
      </c>
      <c r="QZ212" s="9" t="n">
        <v>207.6</v>
      </c>
      <c r="RD212" s="10" t="n">
        <v>46203</v>
      </c>
      <c r="RF212" s="9" t="n">
        <v>0</v>
      </c>
      <c r="RH212" s="9" t="n">
        <v>0</v>
      </c>
      <c r="RI212" s="9" t="n">
        <v>147.04</v>
      </c>
      <c r="RM212" s="10" t="n">
        <v>46203</v>
      </c>
      <c r="RO212" s="9" t="n">
        <v>0</v>
      </c>
      <c r="RQ212" s="9" t="n">
        <v>0</v>
      </c>
      <c r="RR212" s="9" t="n">
        <v>46.8</v>
      </c>
      <c r="RV212" s="10" t="n">
        <v>46203</v>
      </c>
      <c r="RX212" s="9" t="n">
        <v>0</v>
      </c>
      <c r="RZ212" s="9" t="n">
        <v>0</v>
      </c>
      <c r="SA212" s="9" t="n">
        <v>0</v>
      </c>
      <c r="SE212" s="10" t="n">
        <v>46203</v>
      </c>
      <c r="SG212" s="9" t="n">
        <v>0</v>
      </c>
      <c r="SI212" s="9" t="n">
        <v>0</v>
      </c>
      <c r="SJ212" s="9" t="n">
        <v>24.2</v>
      </c>
      <c r="SN212" s="10" t="n">
        <v>46203</v>
      </c>
      <c r="SP212" s="9" t="n">
        <v>0</v>
      </c>
      <c r="SR212" s="9" t="n">
        <v>0</v>
      </c>
      <c r="SS212" s="9" t="n">
        <v>32</v>
      </c>
      <c r="SW212" s="10" t="n">
        <v>46203</v>
      </c>
      <c r="SY212" s="9" t="n">
        <v>0</v>
      </c>
      <c r="TA212" s="9" t="n">
        <v>0</v>
      </c>
      <c r="TB212" s="9" t="n">
        <v>0</v>
      </c>
      <c r="TF212" s="10" t="n">
        <v>46203</v>
      </c>
      <c r="TH212" s="9" t="n">
        <v>0</v>
      </c>
      <c r="TJ212" s="9" t="n">
        <v>0</v>
      </c>
      <c r="TK212" s="9" t="n">
        <v>0</v>
      </c>
      <c r="TO212" s="10" t="n">
        <v>46203</v>
      </c>
      <c r="TQ212" s="9" t="n">
        <v>0</v>
      </c>
      <c r="TS212" s="9" t="n">
        <v>0</v>
      </c>
      <c r="TT212" s="9" t="n">
        <v>22.40000000000001</v>
      </c>
      <c r="TX212" s="10" t="n">
        <v>46203</v>
      </c>
      <c r="TZ212" s="9" t="n">
        <v>0</v>
      </c>
      <c r="UB212" s="9" t="n">
        <v>0</v>
      </c>
      <c r="UC212" s="9" t="n">
        <v>46.79999999999998</v>
      </c>
      <c r="UG212" s="10" t="n">
        <v>46203</v>
      </c>
      <c r="UI212" s="9" t="n">
        <v>0</v>
      </c>
      <c r="UK212" s="9" t="n">
        <v>0</v>
      </c>
      <c r="UL212" s="9" t="n">
        <v>204</v>
      </c>
      <c r="UP212" s="10" t="n">
        <v>46203</v>
      </c>
      <c r="UR212" s="9" t="n">
        <v>0</v>
      </c>
      <c r="UT212" s="9" t="n">
        <v>0</v>
      </c>
      <c r="UU212" s="9" t="n">
        <v>251.25</v>
      </c>
      <c r="UY212" s="10" t="n">
        <v>46203</v>
      </c>
      <c r="VA212" s="9" t="n">
        <v>0</v>
      </c>
      <c r="VC212" s="9" t="n">
        <v>0</v>
      </c>
      <c r="VD212" s="9" t="n">
        <v>41.60000000000002</v>
      </c>
      <c r="VH212" s="10" t="n">
        <v>46203</v>
      </c>
      <c r="VJ212" s="9" t="n">
        <v>0</v>
      </c>
      <c r="VL212" s="9" t="n">
        <v>0</v>
      </c>
      <c r="VM212" s="9" t="n">
        <v>210</v>
      </c>
      <c r="VQ212" s="10" t="n">
        <v>46203</v>
      </c>
      <c r="VS212" s="9" t="n">
        <v>0</v>
      </c>
      <c r="VU212" s="9" t="n">
        <v>0</v>
      </c>
      <c r="VV212" s="9" t="n">
        <v>0</v>
      </c>
      <c r="VZ212" s="10" t="n">
        <v>46203</v>
      </c>
      <c r="WB212" s="9" t="n">
        <v>0</v>
      </c>
      <c r="WD212" s="9" t="n">
        <v>0</v>
      </c>
      <c r="WE212" s="9" t="n">
        <v>0</v>
      </c>
      <c r="WI212" s="10" t="n">
        <v>46203</v>
      </c>
      <c r="WK212" s="9" t="n">
        <v>0</v>
      </c>
      <c r="WM212" s="9" t="n">
        <v>0</v>
      </c>
      <c r="WN212" s="9" t="n">
        <v>1057</v>
      </c>
      <c r="WR212" s="10" t="n">
        <v>46203</v>
      </c>
      <c r="WT212" s="9" t="n">
        <v>0</v>
      </c>
      <c r="WV212" s="9" t="n">
        <v>0</v>
      </c>
      <c r="WW212" s="9" t="n">
        <v>0</v>
      </c>
      <c r="XA212" s="10" t="n">
        <v>46203</v>
      </c>
      <c r="XC212" s="9" t="n">
        <v>0</v>
      </c>
      <c r="XE212" s="9" t="n">
        <v>0</v>
      </c>
      <c r="XF212" s="9" t="n">
        <v>7507</v>
      </c>
      <c r="XJ212" s="10" t="n">
        <v>46203</v>
      </c>
      <c r="XL212" s="9" t="n">
        <v>0</v>
      </c>
      <c r="XN212" s="9" t="n">
        <v>0</v>
      </c>
      <c r="XO212" s="9" t="n">
        <v>4252</v>
      </c>
      <c r="XS212" s="10" t="n">
        <v>46203</v>
      </c>
      <c r="XU212" s="9" t="n">
        <v>0</v>
      </c>
      <c r="XW212" s="9" t="n">
        <v>0</v>
      </c>
      <c r="XX212" s="9" t="n">
        <v>2179</v>
      </c>
      <c r="YB212" s="10" t="n">
        <v>46203</v>
      </c>
      <c r="YD212" s="9" t="n">
        <v>0</v>
      </c>
      <c r="YF212" s="9" t="n">
        <v>0</v>
      </c>
      <c r="YG212" s="9" t="n">
        <v>4019</v>
      </c>
      <c r="YK212" s="10" t="n">
        <v>46203</v>
      </c>
      <c r="YM212" s="9" t="n">
        <v>0</v>
      </c>
      <c r="YO212" s="9" t="n">
        <v>0</v>
      </c>
      <c r="YP212" s="9" t="n">
        <v>0</v>
      </c>
      <c r="YT212" s="10" t="n">
        <v>46203</v>
      </c>
      <c r="YV212" s="9" t="n">
        <v>0</v>
      </c>
      <c r="YX212" s="9" t="n">
        <v>0</v>
      </c>
      <c r="YY212" s="9" t="n">
        <v>0</v>
      </c>
      <c r="ZC212" s="10" t="n">
        <v>46203</v>
      </c>
      <c r="ZE212" s="9" t="n">
        <v>0</v>
      </c>
      <c r="ZG212" s="9" t="n">
        <v>0</v>
      </c>
      <c r="ZH212" s="9" t="n">
        <v>0</v>
      </c>
      <c r="ZL212" s="10" t="n">
        <v>46203</v>
      </c>
      <c r="ZN212" s="9" t="n">
        <v>0</v>
      </c>
      <c r="ZP212" s="9" t="n">
        <v>0</v>
      </c>
      <c r="ZQ212" s="9" t="n">
        <v>0</v>
      </c>
      <c r="ZU212" s="10" t="n">
        <v>46203</v>
      </c>
      <c r="ZW212" s="9" t="n">
        <v>0</v>
      </c>
      <c r="ZY212" s="9" t="n">
        <v>0</v>
      </c>
      <c r="ZZ212" s="9" t="n">
        <v>0</v>
      </c>
      <c r="AAD212" s="10" t="n">
        <v>46203</v>
      </c>
      <c r="AAF212" s="9" t="n">
        <v>0</v>
      </c>
      <c r="AAH212" s="9" t="n">
        <v>0</v>
      </c>
      <c r="AAI212" s="9" t="n">
        <v>0</v>
      </c>
      <c r="AAM212" s="10" t="n">
        <v>46203</v>
      </c>
      <c r="AAO212" s="9" t="n">
        <v>0</v>
      </c>
      <c r="AAQ212" s="9" t="n">
        <v>0</v>
      </c>
      <c r="AAR212" s="9" t="n">
        <v>0</v>
      </c>
      <c r="AAV212" s="10" t="n">
        <v>46203</v>
      </c>
      <c r="AAX212" s="9" t="n">
        <v>0</v>
      </c>
      <c r="AAZ212" s="9" t="n">
        <v>0</v>
      </c>
      <c r="ABA212" s="9" t="n">
        <v>0</v>
      </c>
      <c r="ABE212" s="10" t="n">
        <v>46203</v>
      </c>
      <c r="ABG212" s="9" t="n">
        <v>0</v>
      </c>
      <c r="ABI212" s="9" t="n">
        <v>0</v>
      </c>
      <c r="ABJ212" s="9" t="n">
        <v>0</v>
      </c>
    </row>
    <row r="213">
      <c r="B213" s="9" t="n">
        <v>1004</v>
      </c>
      <c r="C213" s="9" t="inlineStr">
        <is>
          <t>TOTAL</t>
        </is>
      </c>
      <c r="D213" s="9" t="n">
        <v>462870</v>
      </c>
      <c r="E213" s="9" t="n">
        <v>566158.5699999999</v>
      </c>
      <c r="F213" s="9" t="n">
        <v>603605.5999999999</v>
      </c>
      <c r="G213" s="9" t="n">
        <v>-37447.03000000003</v>
      </c>
      <c r="H213" s="9" t="n">
        <v>103607.8000000001</v>
      </c>
      <c r="L213" s="9" t="inlineStr">
        <is>
          <t>TOTAL</t>
        </is>
      </c>
      <c r="M213" s="9" t="n">
        <v>230900</v>
      </c>
      <c r="N213" s="9" t="n">
        <v>285356.79</v>
      </c>
      <c r="O213" s="9" t="n">
        <v>285358</v>
      </c>
      <c r="P213" s="9" t="n">
        <v>-1.209999999987076</v>
      </c>
      <c r="Q213" s="9" t="n">
        <v>51499.20000000007</v>
      </c>
      <c r="U213" s="9" t="inlineStr">
        <is>
          <t>TOTAL</t>
        </is>
      </c>
      <c r="V213" s="9" t="n">
        <v>45100</v>
      </c>
      <c r="W213" s="9" t="n">
        <v>57040</v>
      </c>
      <c r="X213" s="9" t="n">
        <v>57054.30000000001</v>
      </c>
      <c r="Y213" s="9" t="n">
        <v>-14.2999999999995</v>
      </c>
      <c r="Z213" s="9" t="n">
        <v>32731.99999999997</v>
      </c>
      <c r="AD213" s="9" t="inlineStr">
        <is>
          <t>TOTAL</t>
        </is>
      </c>
      <c r="AE213" s="9" t="n">
        <v>22380</v>
      </c>
      <c r="AF213" s="9" t="n">
        <v>1200</v>
      </c>
      <c r="AG213" s="9" t="n">
        <v>1200.7</v>
      </c>
      <c r="AH213" s="9" t="n">
        <v>-0.6999999999999318</v>
      </c>
      <c r="AI213" s="9" t="n">
        <v>33372.70000000002</v>
      </c>
      <c r="AM213" s="9" t="inlineStr">
        <is>
          <t>TOTAL</t>
        </is>
      </c>
      <c r="AN213" s="9" t="n">
        <v>0</v>
      </c>
      <c r="AO213" s="9" t="n">
        <v>0</v>
      </c>
      <c r="AP213" s="9" t="n">
        <v>0</v>
      </c>
      <c r="AQ213" s="9" t="n">
        <v>0</v>
      </c>
      <c r="AR213" s="9" t="n">
        <v>0</v>
      </c>
      <c r="AV213" s="9" t="inlineStr">
        <is>
          <t>TOTAL</t>
        </is>
      </c>
      <c r="AW213" s="9" t="n">
        <v>0</v>
      </c>
      <c r="AX213" s="9" t="n">
        <v>4620</v>
      </c>
      <c r="AY213" s="9" t="n">
        <v>4620.5</v>
      </c>
      <c r="AZ213" s="9" t="n">
        <v>-0.4999999999998153</v>
      </c>
      <c r="BA213" s="9" t="n">
        <v>13946.2</v>
      </c>
      <c r="BE213" s="9" t="inlineStr">
        <is>
          <t>TOTAL</t>
        </is>
      </c>
      <c r="BF213" s="9" t="n">
        <v>11000</v>
      </c>
      <c r="BG213" s="9" t="n">
        <v>8613</v>
      </c>
      <c r="BH213" s="9" t="n">
        <v>8216.300000000001</v>
      </c>
      <c r="BI213" s="9" t="n">
        <v>396.6999999999998</v>
      </c>
      <c r="BJ213" s="9" t="n">
        <v>36947.7</v>
      </c>
      <c r="BN213" s="9" t="inlineStr">
        <is>
          <t>TOTAL</t>
        </is>
      </c>
      <c r="BO213" s="9" t="n">
        <v>12039.3</v>
      </c>
      <c r="BP213" s="9" t="n">
        <v>11039</v>
      </c>
      <c r="BQ213" s="9" t="n">
        <v>12039.3</v>
      </c>
      <c r="BR213" s="9" t="n">
        <v>-1000.3</v>
      </c>
      <c r="BS213" s="9" t="n">
        <v>0</v>
      </c>
      <c r="BW213" s="9" t="inlineStr">
        <is>
          <t>TOTAL</t>
        </is>
      </c>
      <c r="BX213" s="9" t="n">
        <v>0</v>
      </c>
      <c r="BY213" s="9" t="n">
        <v>4131.72</v>
      </c>
      <c r="BZ213" s="9" t="n">
        <v>2694.35</v>
      </c>
      <c r="CA213" s="9" t="n">
        <v>1437.37</v>
      </c>
      <c r="CB213" s="9" t="n">
        <v>2388.779999999999</v>
      </c>
      <c r="CF213" s="9" t="inlineStr">
        <is>
          <t>TOTAL</t>
        </is>
      </c>
      <c r="CG213" s="9" t="n">
        <v>6166.970000000001</v>
      </c>
      <c r="CH213" s="9" t="n">
        <v>2052.36</v>
      </c>
      <c r="CI213" s="9" t="n">
        <v>6166.970000000001</v>
      </c>
      <c r="CJ213" s="9" t="n">
        <v>-4114.610000000001</v>
      </c>
      <c r="CK213" s="9" t="n">
        <v>0</v>
      </c>
      <c r="CO213" s="9" t="inlineStr">
        <is>
          <t>TOTAL</t>
        </is>
      </c>
      <c r="CP213" s="9" t="n">
        <v>0</v>
      </c>
      <c r="CQ213" s="9" t="n">
        <v>0</v>
      </c>
      <c r="CR213" s="9" t="n">
        <v>0</v>
      </c>
      <c r="CS213" s="9" t="n">
        <v>0</v>
      </c>
      <c r="CT213" s="9" t="n">
        <v>0</v>
      </c>
      <c r="CX213" s="9" t="inlineStr">
        <is>
          <t>TOTAL</t>
        </is>
      </c>
      <c r="CY213" s="9" t="n">
        <v>1880.8</v>
      </c>
      <c r="CZ213" s="9" t="n">
        <v>12480</v>
      </c>
      <c r="DA213" s="9" t="n">
        <v>13014.8</v>
      </c>
      <c r="DB213" s="9" t="n">
        <v>-534.8</v>
      </c>
      <c r="DC213" s="9" t="n">
        <v>8489.900000000007</v>
      </c>
      <c r="DG213" s="9" t="inlineStr">
        <is>
          <t>TOTAL</t>
        </is>
      </c>
      <c r="DH213" s="9" t="n">
        <v>0</v>
      </c>
      <c r="DI213" s="9" t="n">
        <v>300</v>
      </c>
      <c r="DJ213" s="9" t="n">
        <v>300.5</v>
      </c>
      <c r="DK213" s="9" t="n">
        <v>-0.5</v>
      </c>
      <c r="DL213" s="9" t="n">
        <v>34934.49999999999</v>
      </c>
      <c r="DP213" s="9" t="inlineStr">
        <is>
          <t>TOTAL</t>
        </is>
      </c>
      <c r="DQ213" s="9" t="n">
        <v>0</v>
      </c>
      <c r="DR213" s="9" t="n">
        <v>0</v>
      </c>
      <c r="DS213" s="9" t="n">
        <v>0</v>
      </c>
      <c r="DT213" s="9" t="n">
        <v>0</v>
      </c>
      <c r="DU213" s="9" t="n">
        <v>5800</v>
      </c>
      <c r="DY213" s="9" t="inlineStr">
        <is>
          <t>TOTAL</t>
        </is>
      </c>
      <c r="DZ213" s="9" t="n">
        <v>0</v>
      </c>
      <c r="EA213" s="9" t="n">
        <v>0</v>
      </c>
      <c r="EB213" s="9" t="n">
        <v>0</v>
      </c>
      <c r="EC213" s="9" t="n">
        <v>0</v>
      </c>
      <c r="ED213" s="9" t="n">
        <v>0</v>
      </c>
      <c r="EH213" s="9" t="inlineStr">
        <is>
          <t>TOTAL</t>
        </is>
      </c>
      <c r="EI213" s="9" t="n">
        <v>351.76</v>
      </c>
      <c r="EJ213" s="9" t="n">
        <v>0</v>
      </c>
      <c r="EK213" s="9" t="n">
        <v>351.76</v>
      </c>
      <c r="EL213" s="9" t="n">
        <v>-351.76</v>
      </c>
      <c r="EM213" s="9" t="n">
        <v>0</v>
      </c>
      <c r="EQ213" s="9" t="inlineStr">
        <is>
          <t>TOTAL</t>
        </is>
      </c>
      <c r="ER213" s="9" t="n">
        <v>0</v>
      </c>
      <c r="ES213" s="9" t="n">
        <v>0</v>
      </c>
      <c r="ET213" s="9" t="n">
        <v>0</v>
      </c>
      <c r="EU213" s="9" t="n">
        <v>0</v>
      </c>
      <c r="EV213" s="9" t="n">
        <v>0</v>
      </c>
      <c r="EZ213" s="9" t="inlineStr">
        <is>
          <t>TOTAL</t>
        </is>
      </c>
      <c r="FA213" s="9" t="n">
        <v>0</v>
      </c>
      <c r="FB213" s="9" t="n">
        <v>0</v>
      </c>
      <c r="FC213" s="9" t="n">
        <v>0</v>
      </c>
      <c r="FD213" s="9" t="n">
        <v>0</v>
      </c>
      <c r="FE213" s="9" t="n">
        <v>0</v>
      </c>
      <c r="FI213" s="9" t="inlineStr">
        <is>
          <t>TOTAL</t>
        </is>
      </c>
      <c r="FJ213" s="9" t="n">
        <v>0</v>
      </c>
      <c r="FK213" s="9" t="n">
        <v>0</v>
      </c>
      <c r="FL213" s="9" t="n">
        <v>0</v>
      </c>
      <c r="FM213" s="9" t="n">
        <v>0</v>
      </c>
      <c r="FN213" s="9" t="n">
        <v>0</v>
      </c>
      <c r="FR213" s="9" t="inlineStr">
        <is>
          <t>TOTAL</t>
        </is>
      </c>
      <c r="FS213" s="9" t="n">
        <v>0</v>
      </c>
      <c r="FT213" s="9" t="n">
        <v>0</v>
      </c>
      <c r="FU213" s="9" t="n">
        <v>2980</v>
      </c>
      <c r="FV213" s="9" t="n">
        <v>-2980</v>
      </c>
      <c r="FW213" s="9" t="n">
        <v>1160</v>
      </c>
      <c r="FX213" s="9" t="n">
        <v>58</v>
      </c>
      <c r="FY213" s="9" t="inlineStr">
        <is>
          <t>bags</t>
        </is>
      </c>
      <c r="GA213" s="9" t="inlineStr">
        <is>
          <t>TOTAL</t>
        </is>
      </c>
      <c r="GB213" s="9" t="n">
        <v>0</v>
      </c>
      <c r="GC213" s="9" t="n">
        <v>0</v>
      </c>
      <c r="GD213" s="9" t="n">
        <v>4080</v>
      </c>
      <c r="GE213" s="9" t="n">
        <v>-4080</v>
      </c>
      <c r="GF213" s="9" t="n">
        <v>960</v>
      </c>
      <c r="GG213" s="9" t="n">
        <v>48</v>
      </c>
      <c r="GH213" s="9" t="inlineStr">
        <is>
          <t>bags</t>
        </is>
      </c>
      <c r="GJ213" s="9" t="inlineStr">
        <is>
          <t>TOTAL</t>
        </is>
      </c>
      <c r="GK213" s="9" t="n">
        <v>0</v>
      </c>
      <c r="GL213" s="9" t="n">
        <v>0</v>
      </c>
      <c r="GM213" s="9" t="n">
        <v>0</v>
      </c>
      <c r="GN213" s="9" t="n">
        <v>0</v>
      </c>
      <c r="GO213" s="9" t="n">
        <v>1760</v>
      </c>
      <c r="GP213" s="9" t="n">
        <v>88</v>
      </c>
      <c r="GQ213" s="9" t="inlineStr">
        <is>
          <t>bags</t>
        </is>
      </c>
      <c r="GS213" s="9" t="inlineStr">
        <is>
          <t>TOTAL</t>
        </is>
      </c>
      <c r="GT213" s="9" t="n">
        <v>1000</v>
      </c>
      <c r="GU213" s="9" t="n">
        <v>1200</v>
      </c>
      <c r="GV213" s="9" t="n">
        <v>1200</v>
      </c>
      <c r="GW213" s="9" t="n">
        <v>0</v>
      </c>
      <c r="GX213" s="9" t="n">
        <v>400</v>
      </c>
      <c r="GY213" s="9" t="n">
        <v>20</v>
      </c>
      <c r="GZ213" s="9" t="inlineStr">
        <is>
          <t>bags</t>
        </is>
      </c>
      <c r="HB213" s="9" t="inlineStr">
        <is>
          <t>TOTAL</t>
        </is>
      </c>
      <c r="HC213" s="9" t="n">
        <v>0</v>
      </c>
      <c r="HD213" s="9" t="n">
        <v>0</v>
      </c>
      <c r="HE213" s="9" t="n">
        <v>0</v>
      </c>
      <c r="HF213" s="9" t="n">
        <v>0</v>
      </c>
      <c r="HG213" s="9" t="n">
        <v>3600</v>
      </c>
      <c r="HH213" s="9" t="n">
        <v>180</v>
      </c>
      <c r="HI213" s="9" t="inlineStr">
        <is>
          <t>bags</t>
        </is>
      </c>
      <c r="HK213" s="9" t="inlineStr">
        <is>
          <t>TOTAL</t>
        </is>
      </c>
      <c r="HL213" s="9" t="n">
        <v>0</v>
      </c>
      <c r="HM213" s="9" t="n">
        <v>0</v>
      </c>
      <c r="HN213" s="9" t="n">
        <v>0</v>
      </c>
      <c r="HO213" s="9" t="n">
        <v>0</v>
      </c>
      <c r="HP213" s="9" t="n">
        <v>0</v>
      </c>
      <c r="HU213" s="9" t="inlineStr">
        <is>
          <t>TOTAL</t>
        </is>
      </c>
      <c r="HV213" s="9" t="n">
        <v>0</v>
      </c>
      <c r="HW213" s="9" t="n">
        <v>120</v>
      </c>
      <c r="HX213" s="9" t="n">
        <v>120</v>
      </c>
      <c r="HY213" s="9" t="n">
        <v>0</v>
      </c>
      <c r="HZ213" s="9" t="n">
        <v>6680</v>
      </c>
      <c r="IA213" s="9" t="n">
        <v>334</v>
      </c>
      <c r="IB213" s="9" t="inlineStr">
        <is>
          <t>bags</t>
        </is>
      </c>
      <c r="ID213" s="9" t="inlineStr">
        <is>
          <t>TOTAL</t>
        </is>
      </c>
      <c r="IE213" s="9" t="n">
        <v>0</v>
      </c>
      <c r="IF213" s="9" t="n">
        <v>0</v>
      </c>
      <c r="IG213" s="9" t="n">
        <v>0</v>
      </c>
      <c r="IH213" s="9" t="n">
        <v>0</v>
      </c>
      <c r="II213" s="9" t="n">
        <v>720</v>
      </c>
      <c r="IJ213" s="9" t="n">
        <v>36</v>
      </c>
      <c r="IK213" s="9" t="inlineStr">
        <is>
          <t>bags</t>
        </is>
      </c>
      <c r="IM213" s="9" t="inlineStr">
        <is>
          <t>TOTAL</t>
        </is>
      </c>
      <c r="IN213" s="9" t="n">
        <v>0</v>
      </c>
      <c r="IO213" s="9" t="n">
        <v>0</v>
      </c>
      <c r="IP213" s="9" t="n">
        <v>1620</v>
      </c>
      <c r="IQ213" s="9" t="n">
        <v>-1620</v>
      </c>
      <c r="IR213" s="9" t="n">
        <v>6520</v>
      </c>
      <c r="IS213" s="9" t="n">
        <v>326</v>
      </c>
      <c r="IT213" s="9" t="inlineStr">
        <is>
          <t>bags</t>
        </is>
      </c>
      <c r="IV213" s="9" t="inlineStr">
        <is>
          <t>TOTAL</t>
        </is>
      </c>
      <c r="IW213" s="9" t="n">
        <v>0</v>
      </c>
      <c r="IX213" s="9" t="n">
        <v>0</v>
      </c>
      <c r="IY213" s="9" t="n">
        <v>0</v>
      </c>
      <c r="IZ213" s="9" t="n">
        <v>0</v>
      </c>
      <c r="JA213" s="9" t="n">
        <v>4960</v>
      </c>
      <c r="JB213" s="9" t="n">
        <v>248</v>
      </c>
      <c r="JC213" s="9" t="inlineStr">
        <is>
          <t>bags</t>
        </is>
      </c>
      <c r="JE213" s="9" t="inlineStr">
        <is>
          <t>TOTAL</t>
        </is>
      </c>
      <c r="JF213" s="9" t="n">
        <v>0</v>
      </c>
      <c r="JG213" s="9" t="n">
        <v>0</v>
      </c>
      <c r="JH213" s="9" t="n">
        <v>0</v>
      </c>
      <c r="JI213" s="9" t="n">
        <v>0</v>
      </c>
      <c r="JJ213" s="9" t="n">
        <v>0</v>
      </c>
      <c r="JN213" s="9" t="inlineStr">
        <is>
          <t>TOTAL</t>
        </is>
      </c>
      <c r="JO213" s="9" t="n">
        <v>0</v>
      </c>
      <c r="JP213" s="9" t="n">
        <v>6280</v>
      </c>
      <c r="JQ213" s="9" t="n">
        <v>3340</v>
      </c>
      <c r="JR213" s="9" t="n">
        <v>2940</v>
      </c>
      <c r="JS213" s="9" t="n">
        <v>0</v>
      </c>
      <c r="JT213" s="9" t="n">
        <v>0</v>
      </c>
      <c r="JU213" s="9" t="inlineStr">
        <is>
          <t>bags</t>
        </is>
      </c>
      <c r="JW213" s="9" t="inlineStr">
        <is>
          <t>TOTAL</t>
        </is>
      </c>
      <c r="JX213" s="9" t="n">
        <v>0</v>
      </c>
      <c r="JY213" s="9" t="n">
        <v>0</v>
      </c>
      <c r="JZ213" s="9" t="n">
        <v>0</v>
      </c>
      <c r="KA213" s="9" t="n">
        <v>0</v>
      </c>
      <c r="KB213" s="9" t="n">
        <v>2540</v>
      </c>
      <c r="KC213" s="9" t="n">
        <v>127</v>
      </c>
      <c r="KD213" s="9" t="inlineStr">
        <is>
          <t>bags</t>
        </is>
      </c>
      <c r="KF213" s="9" t="inlineStr">
        <is>
          <t>TOTAL</t>
        </is>
      </c>
      <c r="KG213" s="9" t="n">
        <v>0</v>
      </c>
      <c r="KH213" s="9" t="n">
        <v>0</v>
      </c>
      <c r="KI213" s="9" t="n">
        <v>0</v>
      </c>
      <c r="KJ213" s="9" t="n">
        <v>0</v>
      </c>
      <c r="KK213" s="9" t="n">
        <v>2359.5</v>
      </c>
      <c r="KL213" s="9" t="n">
        <v>121</v>
      </c>
      <c r="KM213" s="9" t="inlineStr">
        <is>
          <t>bags</t>
        </is>
      </c>
      <c r="KO213" s="9" t="inlineStr">
        <is>
          <t>TOTAL</t>
        </is>
      </c>
      <c r="KP213" s="9" t="n">
        <v>0</v>
      </c>
      <c r="KQ213" s="9" t="n">
        <v>0</v>
      </c>
      <c r="KR213" s="9" t="n">
        <v>0</v>
      </c>
      <c r="KS213" s="9" t="n">
        <v>0</v>
      </c>
      <c r="KT213" s="9" t="n">
        <v>1890</v>
      </c>
      <c r="KU213" s="9" t="n">
        <v>100</v>
      </c>
      <c r="KV213" s="9" t="inlineStr">
        <is>
          <t>bags</t>
        </is>
      </c>
      <c r="KX213" s="9" t="inlineStr">
        <is>
          <t>TOTAL</t>
        </is>
      </c>
      <c r="KY213" s="9" t="n">
        <v>0</v>
      </c>
      <c r="KZ213" s="9" t="n">
        <v>0</v>
      </c>
      <c r="LA213" s="9" t="n">
        <v>0</v>
      </c>
      <c r="LB213" s="9" t="n">
        <v>0</v>
      </c>
      <c r="LC213" s="9" t="n">
        <v>3690</v>
      </c>
      <c r="LD213" s="9" t="n">
        <v>180</v>
      </c>
      <c r="LE213" s="9" t="inlineStr">
        <is>
          <t>bags</t>
        </is>
      </c>
      <c r="LG213" s="9" t="inlineStr">
        <is>
          <t>TOTAL</t>
        </is>
      </c>
      <c r="LH213" s="9" t="n">
        <v>0</v>
      </c>
      <c r="LI213" s="9" t="n">
        <v>0</v>
      </c>
      <c r="LJ213" s="9" t="n">
        <v>0</v>
      </c>
      <c r="LK213" s="9" t="n">
        <v>0</v>
      </c>
      <c r="LL213" s="9" t="n">
        <v>4000</v>
      </c>
      <c r="LM213" s="9" t="n">
        <v>200</v>
      </c>
      <c r="LN213" s="9" t="inlineStr">
        <is>
          <t>bags</t>
        </is>
      </c>
      <c r="LP213" s="9" t="inlineStr">
        <is>
          <t>TOTAL</t>
        </is>
      </c>
      <c r="LQ213" s="9" t="n">
        <v>0</v>
      </c>
      <c r="LR213" s="9" t="n">
        <v>0</v>
      </c>
      <c r="LS213" s="9" t="n">
        <v>0</v>
      </c>
      <c r="LT213" s="9" t="n">
        <v>0</v>
      </c>
      <c r="LU213" s="9" t="n">
        <v>0</v>
      </c>
      <c r="LY213" s="9" t="inlineStr">
        <is>
          <t>TOTAL</t>
        </is>
      </c>
      <c r="LZ213" s="9" t="n">
        <v>0</v>
      </c>
      <c r="MA213" s="9" t="n">
        <v>0</v>
      </c>
      <c r="MB213" s="9" t="n">
        <v>0</v>
      </c>
      <c r="MC213" s="9" t="n">
        <v>0</v>
      </c>
      <c r="MD213" s="9" t="n">
        <v>0</v>
      </c>
      <c r="MH213" s="9" t="inlineStr">
        <is>
          <t>TOTAL</t>
        </is>
      </c>
      <c r="MI213" s="9" t="n">
        <v>0</v>
      </c>
      <c r="MJ213" s="9" t="n">
        <v>0</v>
      </c>
      <c r="MK213" s="9" t="n">
        <v>0</v>
      </c>
      <c r="ML213" s="9" t="n">
        <v>0</v>
      </c>
      <c r="MM213" s="9" t="n">
        <v>0</v>
      </c>
      <c r="MQ213" s="9" t="inlineStr">
        <is>
          <t>TOTAL</t>
        </is>
      </c>
      <c r="MR213" s="9" t="n">
        <v>144</v>
      </c>
      <c r="MS213" s="9" t="n">
        <v>3</v>
      </c>
      <c r="MT213" s="9" t="n">
        <v>273</v>
      </c>
      <c r="MU213" s="9" t="n">
        <v>-270</v>
      </c>
      <c r="MV213" s="9" t="n">
        <v>3595</v>
      </c>
      <c r="MZ213" s="9" t="inlineStr">
        <is>
          <t>TOTAL</t>
        </is>
      </c>
      <c r="NA213" s="9" t="n">
        <v>6990</v>
      </c>
      <c r="NB213" s="9" t="n">
        <v>1260</v>
      </c>
      <c r="NC213" s="9" t="n">
        <v>6990</v>
      </c>
      <c r="ND213" s="9" t="n">
        <v>-5730</v>
      </c>
      <c r="NE213" s="9" t="n">
        <v>0</v>
      </c>
      <c r="NI213" s="9" t="inlineStr">
        <is>
          <t>TOTAL</t>
        </is>
      </c>
      <c r="NJ213" s="9" t="n">
        <v>0</v>
      </c>
      <c r="NK213" s="9" t="n">
        <v>0</v>
      </c>
      <c r="NL213" s="9" t="n">
        <v>0</v>
      </c>
      <c r="NM213" s="9" t="n">
        <v>0</v>
      </c>
      <c r="NN213" s="9" t="n">
        <v>1127</v>
      </c>
      <c r="NR213" s="9" t="inlineStr">
        <is>
          <t>TOTAL</t>
        </is>
      </c>
      <c r="NS213" s="9" t="n">
        <v>0</v>
      </c>
      <c r="NT213" s="9" t="n">
        <v>0</v>
      </c>
      <c r="NU213" s="9" t="n">
        <v>0</v>
      </c>
      <c r="NV213" s="9" t="n">
        <v>0</v>
      </c>
      <c r="NW213" s="9" t="n">
        <v>3112</v>
      </c>
      <c r="OA213" s="9" t="inlineStr">
        <is>
          <t>TOTAL</t>
        </is>
      </c>
      <c r="OB213" s="9" t="n">
        <v>0</v>
      </c>
      <c r="OC213" s="9" t="n">
        <v>0</v>
      </c>
      <c r="OD213" s="9" t="n">
        <v>0</v>
      </c>
      <c r="OE213" s="9" t="n">
        <v>0</v>
      </c>
      <c r="OF213" s="9" t="n">
        <v>1680.5</v>
      </c>
      <c r="OJ213" s="9" t="inlineStr">
        <is>
          <t>TOTAL</t>
        </is>
      </c>
      <c r="OK213" s="9" t="n">
        <v>1209.4</v>
      </c>
      <c r="OL213" s="9" t="n">
        <v>120</v>
      </c>
      <c r="OM213" s="9" t="n">
        <v>1209.4</v>
      </c>
      <c r="ON213" s="9" t="n">
        <v>-1089.4</v>
      </c>
      <c r="OO213" s="9" t="n">
        <v>0</v>
      </c>
      <c r="OS213" s="9" t="inlineStr">
        <is>
          <t>TOTAL</t>
        </is>
      </c>
      <c r="OT213" s="9" t="n">
        <v>0</v>
      </c>
      <c r="OU213" s="9" t="n">
        <v>0</v>
      </c>
      <c r="OV213" s="9" t="n">
        <v>0</v>
      </c>
      <c r="OW213" s="9" t="n">
        <v>0</v>
      </c>
      <c r="OX213" s="9" t="n">
        <v>1482</v>
      </c>
      <c r="PB213" s="9" t="inlineStr">
        <is>
          <t>TOTAL</t>
        </is>
      </c>
      <c r="PC213" s="9" t="n">
        <v>0</v>
      </c>
      <c r="PD213" s="9" t="n">
        <v>0</v>
      </c>
      <c r="PE213" s="9" t="n">
        <v>0</v>
      </c>
      <c r="PF213" s="9" t="n">
        <v>0</v>
      </c>
      <c r="PG213" s="9" t="n">
        <v>0</v>
      </c>
      <c r="PK213" s="9" t="inlineStr">
        <is>
          <t>TOTAL</t>
        </is>
      </c>
      <c r="PL213" s="9" t="n">
        <v>0</v>
      </c>
      <c r="PM213" s="9" t="n">
        <v>0</v>
      </c>
      <c r="PN213" s="9" t="n">
        <v>0</v>
      </c>
      <c r="PO213" s="9" t="n">
        <v>0</v>
      </c>
      <c r="PP213" s="9" t="n">
        <v>100</v>
      </c>
      <c r="PT213" s="9" t="inlineStr">
        <is>
          <t>TOTAL</t>
        </is>
      </c>
      <c r="PU213" s="9" t="n">
        <v>0</v>
      </c>
      <c r="PV213" s="9" t="n">
        <v>0</v>
      </c>
      <c r="PW213" s="9" t="n">
        <v>0</v>
      </c>
      <c r="PX213" s="9" t="n">
        <v>0</v>
      </c>
      <c r="PY213" s="9" t="n">
        <v>13.96000000000004</v>
      </c>
      <c r="QC213" s="9" t="inlineStr">
        <is>
          <t>TOTAL</t>
        </is>
      </c>
      <c r="QD213" s="9" t="n">
        <v>1628</v>
      </c>
      <c r="QE213" s="9" t="n">
        <v>0</v>
      </c>
      <c r="QF213" s="9" t="n">
        <v>0</v>
      </c>
      <c r="QG213" s="9" t="n">
        <v>0</v>
      </c>
      <c r="QH213" s="9" t="n">
        <v>1736</v>
      </c>
      <c r="QL213" s="9" t="inlineStr">
        <is>
          <t>TOTAL</t>
        </is>
      </c>
      <c r="QM213" s="9" t="n">
        <v>625</v>
      </c>
      <c r="QN213" s="9" t="n">
        <v>785</v>
      </c>
      <c r="QO213" s="9" t="n">
        <v>620</v>
      </c>
      <c r="QP213" s="9" t="n">
        <v>165</v>
      </c>
      <c r="QQ213" s="9" t="n">
        <v>250</v>
      </c>
      <c r="QU213" s="9" t="inlineStr">
        <is>
          <t>TOTAL</t>
        </is>
      </c>
      <c r="QV213" s="9" t="n">
        <v>0</v>
      </c>
      <c r="QW213" s="9" t="n">
        <v>0</v>
      </c>
      <c r="QX213" s="9" t="n">
        <v>0</v>
      </c>
      <c r="QY213" s="9" t="n">
        <v>0</v>
      </c>
      <c r="QZ213" s="9" t="n">
        <v>207.6</v>
      </c>
      <c r="RD213" s="9" t="inlineStr">
        <is>
          <t>TOTAL</t>
        </is>
      </c>
      <c r="RE213" s="9" t="n">
        <v>0</v>
      </c>
      <c r="RF213" s="9" t="n">
        <v>0</v>
      </c>
      <c r="RG213" s="9" t="n">
        <v>0</v>
      </c>
      <c r="RH213" s="9" t="n">
        <v>0</v>
      </c>
      <c r="RI213" s="9" t="n">
        <v>147.04</v>
      </c>
      <c r="RM213" s="9" t="inlineStr">
        <is>
          <t>TOTAL</t>
        </is>
      </c>
      <c r="RN213" s="9" t="n">
        <v>0</v>
      </c>
      <c r="RO213" s="9" t="n">
        <v>0</v>
      </c>
      <c r="RP213" s="9" t="n">
        <v>0</v>
      </c>
      <c r="RQ213" s="9" t="n">
        <v>0</v>
      </c>
      <c r="RR213" s="9" t="n">
        <v>46.8</v>
      </c>
      <c r="RV213" s="9" t="inlineStr">
        <is>
          <t>TOTAL</t>
        </is>
      </c>
      <c r="RW213" s="9" t="n">
        <v>0</v>
      </c>
      <c r="RX213" s="9" t="n">
        <v>0</v>
      </c>
      <c r="RY213" s="9" t="n">
        <v>0</v>
      </c>
      <c r="RZ213" s="9" t="n">
        <v>0</v>
      </c>
      <c r="SA213" s="9" t="n">
        <v>0</v>
      </c>
      <c r="SE213" s="9" t="inlineStr">
        <is>
          <t>TOTAL</t>
        </is>
      </c>
      <c r="SF213" s="9" t="n">
        <v>0</v>
      </c>
      <c r="SG213" s="9" t="n">
        <v>0</v>
      </c>
      <c r="SH213" s="9" t="n">
        <v>0</v>
      </c>
      <c r="SI213" s="9" t="n">
        <v>0</v>
      </c>
      <c r="SJ213" s="9" t="n">
        <v>24.2</v>
      </c>
      <c r="SN213" s="9" t="inlineStr">
        <is>
          <t>TOTAL</t>
        </is>
      </c>
      <c r="SO213" s="9" t="n">
        <v>0</v>
      </c>
      <c r="SP213" s="9" t="n">
        <v>0</v>
      </c>
      <c r="SQ213" s="9" t="n">
        <v>0</v>
      </c>
      <c r="SR213" s="9" t="n">
        <v>0</v>
      </c>
      <c r="SS213" s="9" t="n">
        <v>32</v>
      </c>
      <c r="SW213" s="9" t="inlineStr">
        <is>
          <t>TOTAL</t>
        </is>
      </c>
      <c r="SX213" s="9" t="n">
        <v>0</v>
      </c>
      <c r="SY213" s="9" t="n">
        <v>0</v>
      </c>
      <c r="SZ213" s="9" t="n">
        <v>0</v>
      </c>
      <c r="TA213" s="9" t="n">
        <v>0</v>
      </c>
      <c r="TB213" s="9" t="n">
        <v>0</v>
      </c>
      <c r="TF213" s="9" t="inlineStr">
        <is>
          <t>TOTAL</t>
        </is>
      </c>
      <c r="TG213" s="9" t="n">
        <v>60</v>
      </c>
      <c r="TH213" s="9" t="n">
        <v>60</v>
      </c>
      <c r="TI213" s="9" t="n">
        <v>60</v>
      </c>
      <c r="TJ213" s="9" t="n">
        <v>0</v>
      </c>
      <c r="TK213" s="9" t="n">
        <v>0</v>
      </c>
      <c r="TO213" s="9" t="inlineStr">
        <is>
          <t>TOTAL</t>
        </is>
      </c>
      <c r="TP213" s="9" t="n">
        <v>82.40000000000001</v>
      </c>
      <c r="TQ213" s="9" t="n">
        <v>0</v>
      </c>
      <c r="TR213" s="9" t="n">
        <v>60</v>
      </c>
      <c r="TS213" s="9" t="n">
        <v>-60</v>
      </c>
      <c r="TT213" s="9" t="n">
        <v>22.40000000000001</v>
      </c>
      <c r="TX213" s="9" t="inlineStr">
        <is>
          <t>TOTAL</t>
        </is>
      </c>
      <c r="TY213" s="9" t="n">
        <v>33.6</v>
      </c>
      <c r="TZ213" s="9" t="n">
        <v>0</v>
      </c>
      <c r="UA213" s="9" t="n">
        <v>122.4</v>
      </c>
      <c r="UB213" s="9" t="n">
        <v>-122.4</v>
      </c>
      <c r="UC213" s="9" t="n">
        <v>46.79999999999998</v>
      </c>
      <c r="UG213" s="9" t="inlineStr">
        <is>
          <t>TOTAL</t>
        </is>
      </c>
      <c r="UH213" s="9" t="n">
        <v>76</v>
      </c>
      <c r="UI213" s="9" t="n">
        <v>0</v>
      </c>
      <c r="UJ213" s="9" t="n">
        <v>0</v>
      </c>
      <c r="UK213" s="9" t="n">
        <v>0</v>
      </c>
      <c r="UL213" s="9" t="n">
        <v>204</v>
      </c>
      <c r="UP213" s="9" t="inlineStr">
        <is>
          <t>TOTAL</t>
        </is>
      </c>
      <c r="UQ213" s="9" t="n">
        <v>240</v>
      </c>
      <c r="UR213" s="9" t="n">
        <v>0</v>
      </c>
      <c r="US213" s="9" t="n">
        <v>0</v>
      </c>
      <c r="UT213" s="9" t="n">
        <v>0</v>
      </c>
      <c r="UU213" s="9" t="n">
        <v>251.25</v>
      </c>
      <c r="UY213" s="9" t="inlineStr">
        <is>
          <t>TOTAL</t>
        </is>
      </c>
      <c r="UZ213" s="9" t="n">
        <v>0</v>
      </c>
      <c r="VA213" s="9" t="n">
        <v>0</v>
      </c>
      <c r="VB213" s="9" t="n">
        <v>0</v>
      </c>
      <c r="VC213" s="9" t="n">
        <v>0</v>
      </c>
      <c r="VD213" s="9" t="n">
        <v>41.60000000000002</v>
      </c>
      <c r="VH213" s="9" t="inlineStr">
        <is>
          <t>TOTAL</t>
        </is>
      </c>
      <c r="VI213" s="9" t="n">
        <v>250</v>
      </c>
      <c r="VJ213" s="9" t="n">
        <v>0</v>
      </c>
      <c r="VK213" s="9" t="n">
        <v>40</v>
      </c>
      <c r="VL213" s="9" t="n">
        <v>-40</v>
      </c>
      <c r="VM213" s="9" t="n">
        <v>210</v>
      </c>
      <c r="VQ213" s="9" t="inlineStr">
        <is>
          <t>TOTAL</t>
        </is>
      </c>
      <c r="VR213" s="9" t="n">
        <v>0</v>
      </c>
      <c r="VS213" s="9" t="n">
        <v>785</v>
      </c>
      <c r="VT213" s="9" t="n">
        <v>0</v>
      </c>
      <c r="VU213" s="9" t="n">
        <v>785</v>
      </c>
      <c r="VV213" s="9" t="n">
        <v>0</v>
      </c>
      <c r="VZ213" s="9" t="inlineStr">
        <is>
          <t>TOTAL</t>
        </is>
      </c>
      <c r="WA213" s="9" t="n">
        <v>0</v>
      </c>
      <c r="WB213" s="9" t="n">
        <v>785</v>
      </c>
      <c r="WC213" s="9" t="n">
        <v>0</v>
      </c>
      <c r="WD213" s="9" t="n">
        <v>785</v>
      </c>
      <c r="WE213" s="9" t="n">
        <v>0</v>
      </c>
      <c r="WI213" s="9" t="inlineStr">
        <is>
          <t>TOTAL</t>
        </is>
      </c>
      <c r="WJ213" s="9" t="n">
        <v>0</v>
      </c>
      <c r="WK213" s="9" t="n">
        <v>0</v>
      </c>
      <c r="WL213" s="9" t="n">
        <v>142</v>
      </c>
      <c r="WM213" s="9" t="n">
        <v>-142</v>
      </c>
      <c r="WN213" s="9" t="n">
        <v>1057</v>
      </c>
      <c r="WR213" s="9" t="inlineStr">
        <is>
          <t>TOTAL</t>
        </is>
      </c>
      <c r="WS213" s="9" t="n">
        <v>0</v>
      </c>
      <c r="WT213" s="9" t="n">
        <v>0</v>
      </c>
      <c r="WU213" s="9" t="n">
        <v>0</v>
      </c>
      <c r="WV213" s="9" t="n">
        <v>0</v>
      </c>
      <c r="WW213" s="9" t="n">
        <v>0</v>
      </c>
      <c r="XA213" s="9" t="inlineStr">
        <is>
          <t>TOTAL</t>
        </is>
      </c>
      <c r="XB213" s="9" t="n">
        <v>694</v>
      </c>
      <c r="XC213" s="9" t="n">
        <v>0</v>
      </c>
      <c r="XD213" s="9" t="n">
        <v>0</v>
      </c>
      <c r="XE213" s="9" t="n">
        <v>0</v>
      </c>
      <c r="XF213" s="9" t="n">
        <v>7507</v>
      </c>
      <c r="XJ213" s="9" t="inlineStr">
        <is>
          <t>TOTAL</t>
        </is>
      </c>
      <c r="XK213" s="9" t="n">
        <v>417</v>
      </c>
      <c r="XL213" s="9" t="n">
        <v>0</v>
      </c>
      <c r="XM213" s="9" t="n">
        <v>3989</v>
      </c>
      <c r="XN213" s="9" t="n">
        <v>-3989</v>
      </c>
      <c r="XO213" s="9" t="n">
        <v>4252</v>
      </c>
      <c r="XS213" s="9" t="inlineStr">
        <is>
          <t>TOTAL</t>
        </is>
      </c>
      <c r="XT213" s="9" t="n">
        <v>558</v>
      </c>
      <c r="XU213" s="9" t="n">
        <v>0</v>
      </c>
      <c r="XV213" s="9" t="n">
        <v>0</v>
      </c>
      <c r="XW213" s="9" t="n">
        <v>0</v>
      </c>
      <c r="XX213" s="9" t="n">
        <v>2179</v>
      </c>
      <c r="YB213" s="9" t="inlineStr">
        <is>
          <t>TOTAL</t>
        </is>
      </c>
      <c r="YC213" s="9" t="n">
        <v>121</v>
      </c>
      <c r="YD213" s="9" t="n">
        <v>0</v>
      </c>
      <c r="YE213" s="9" t="n">
        <v>2295</v>
      </c>
      <c r="YF213" s="9" t="n">
        <v>-2295</v>
      </c>
      <c r="YG213" s="9" t="n">
        <v>4019</v>
      </c>
      <c r="YK213" s="9" t="inlineStr">
        <is>
          <t>TOTAL</t>
        </is>
      </c>
      <c r="YL213" s="9" t="n">
        <v>0</v>
      </c>
      <c r="YM213" s="9" t="n">
        <v>0</v>
      </c>
      <c r="YN213" s="9" t="n">
        <v>0</v>
      </c>
      <c r="YO213" s="9" t="n">
        <v>0</v>
      </c>
      <c r="YP213" s="9" t="n">
        <v>0</v>
      </c>
      <c r="YT213" s="9" t="inlineStr">
        <is>
          <t>TOTAL</t>
        </is>
      </c>
      <c r="YU213" s="9" t="n">
        <v>0</v>
      </c>
      <c r="YV213" s="9" t="n">
        <v>785</v>
      </c>
      <c r="YW213" s="9" t="n">
        <v>0</v>
      </c>
      <c r="YX213" s="9" t="n">
        <v>785</v>
      </c>
      <c r="YY213" s="9" t="n">
        <v>0</v>
      </c>
      <c r="ZC213" s="9" t="inlineStr">
        <is>
          <t>TOTAL</t>
        </is>
      </c>
      <c r="ZD213" s="9" t="n">
        <v>0</v>
      </c>
      <c r="ZE213" s="9" t="n">
        <v>785</v>
      </c>
      <c r="ZF213" s="9" t="n">
        <v>0</v>
      </c>
      <c r="ZG213" s="9" t="n">
        <v>785</v>
      </c>
      <c r="ZH213" s="9" t="n">
        <v>0</v>
      </c>
      <c r="ZL213" s="9" t="inlineStr">
        <is>
          <t>TOTAL</t>
        </is>
      </c>
      <c r="ZM213" s="9" t="n">
        <v>0</v>
      </c>
      <c r="ZN213" s="9" t="n">
        <v>785</v>
      </c>
      <c r="ZO213" s="9" t="n">
        <v>0</v>
      </c>
      <c r="ZP213" s="9" t="n">
        <v>785</v>
      </c>
      <c r="ZQ213" s="9" t="n">
        <v>0</v>
      </c>
      <c r="ZU213" s="9" t="inlineStr">
        <is>
          <t>TOTAL</t>
        </is>
      </c>
      <c r="ZV213" s="9" t="n">
        <v>0</v>
      </c>
      <c r="ZW213" s="9" t="n">
        <v>785</v>
      </c>
      <c r="ZX213" s="9" t="n">
        <v>0</v>
      </c>
      <c r="ZY213" s="9" t="n">
        <v>785</v>
      </c>
      <c r="ZZ213" s="9" t="n">
        <v>0</v>
      </c>
      <c r="AAD213" s="9" t="inlineStr">
        <is>
          <t>TOTAL</t>
        </is>
      </c>
      <c r="AAE213" s="9" t="n">
        <v>0</v>
      </c>
      <c r="AAF213" s="9" t="n">
        <v>785</v>
      </c>
      <c r="AAG213" s="9" t="n">
        <v>0</v>
      </c>
      <c r="AAH213" s="9" t="n">
        <v>785</v>
      </c>
      <c r="AAI213" s="9" t="n">
        <v>0</v>
      </c>
      <c r="AAM213" s="9" t="inlineStr">
        <is>
          <t>TOTAL</t>
        </is>
      </c>
      <c r="AAN213" s="9" t="n">
        <v>0</v>
      </c>
      <c r="AAO213" s="9" t="n">
        <v>785</v>
      </c>
      <c r="AAP213" s="9" t="n">
        <v>0</v>
      </c>
      <c r="AAQ213" s="9" t="n">
        <v>785</v>
      </c>
      <c r="AAR213" s="9" t="n">
        <v>0</v>
      </c>
      <c r="AAV213" s="9" t="inlineStr">
        <is>
          <t>TOTAL</t>
        </is>
      </c>
      <c r="AAW213" s="9" t="n">
        <v>0</v>
      </c>
      <c r="AAX213" s="9" t="n">
        <v>785</v>
      </c>
      <c r="AAY213" s="9" t="n">
        <v>0</v>
      </c>
      <c r="AAZ213" s="9" t="n">
        <v>785</v>
      </c>
      <c r="ABA213" s="9" t="n">
        <v>0</v>
      </c>
      <c r="ABE213" s="9" t="inlineStr">
        <is>
          <t>TOTAL</t>
        </is>
      </c>
      <c r="ABF213" s="9" t="n">
        <v>0</v>
      </c>
      <c r="ABG213" s="9" t="n">
        <v>785</v>
      </c>
      <c r="ABH213" s="9" t="n">
        <v>0</v>
      </c>
      <c r="ABI213" s="9" t="n">
        <v>785</v>
      </c>
      <c r="ABJ213" s="9" t="n">
        <v>0</v>
      </c>
    </row>
    <row r="214"/>
    <row r="215">
      <c r="A215" s="9" t="inlineStr">
        <is>
          <t>JUL</t>
        </is>
      </c>
      <c r="C215" s="9" t="inlineStr">
        <is>
          <t>JULY</t>
        </is>
      </c>
      <c r="J215" s="9" t="inlineStr">
        <is>
          <t>JUL</t>
        </is>
      </c>
      <c r="L215" s="9" t="inlineStr">
        <is>
          <t>JULY</t>
        </is>
      </c>
      <c r="S215" s="9" t="inlineStr">
        <is>
          <t>JUL</t>
        </is>
      </c>
      <c r="U215" s="9" t="inlineStr">
        <is>
          <t>JULY</t>
        </is>
      </c>
      <c r="AB215" s="9" t="inlineStr">
        <is>
          <t>JUL</t>
        </is>
      </c>
      <c r="AD215" s="9" t="inlineStr">
        <is>
          <t>JULY</t>
        </is>
      </c>
      <c r="AK215" s="9" t="inlineStr">
        <is>
          <t>JUL</t>
        </is>
      </c>
      <c r="AM215" s="9" t="inlineStr">
        <is>
          <t>JULY</t>
        </is>
      </c>
      <c r="AT215" s="9" t="inlineStr">
        <is>
          <t>JUL</t>
        </is>
      </c>
      <c r="AV215" s="9" t="inlineStr">
        <is>
          <t>JULY</t>
        </is>
      </c>
      <c r="BC215" s="9" t="inlineStr">
        <is>
          <t>JUL</t>
        </is>
      </c>
      <c r="BE215" s="9" t="inlineStr">
        <is>
          <t>JULY</t>
        </is>
      </c>
      <c r="BL215" s="9" t="inlineStr">
        <is>
          <t>JUL</t>
        </is>
      </c>
      <c r="BN215" s="9" t="inlineStr">
        <is>
          <t>JULY</t>
        </is>
      </c>
      <c r="BU215" s="9" t="inlineStr">
        <is>
          <t>JUL</t>
        </is>
      </c>
      <c r="BW215" s="9" t="inlineStr">
        <is>
          <t>JULY</t>
        </is>
      </c>
      <c r="CD215" s="9" t="inlineStr">
        <is>
          <t>JUL</t>
        </is>
      </c>
      <c r="CF215" s="9" t="inlineStr">
        <is>
          <t>JULY</t>
        </is>
      </c>
      <c r="CM215" s="9" t="inlineStr">
        <is>
          <t>JUL</t>
        </is>
      </c>
      <c r="CO215" s="9" t="inlineStr">
        <is>
          <t>JULY</t>
        </is>
      </c>
      <c r="CV215" s="9" t="inlineStr">
        <is>
          <t>JUL</t>
        </is>
      </c>
      <c r="CX215" s="9" t="inlineStr">
        <is>
          <t>JULY</t>
        </is>
      </c>
      <c r="DE215" s="9" t="inlineStr">
        <is>
          <t>JUL</t>
        </is>
      </c>
      <c r="DG215" s="9" t="inlineStr">
        <is>
          <t>JULY</t>
        </is>
      </c>
      <c r="DN215" s="9" t="inlineStr">
        <is>
          <t>JUL</t>
        </is>
      </c>
      <c r="DP215" s="9" t="inlineStr">
        <is>
          <t>JULY</t>
        </is>
      </c>
      <c r="DW215" s="9" t="inlineStr">
        <is>
          <t>JUL</t>
        </is>
      </c>
      <c r="DY215" s="9" t="inlineStr">
        <is>
          <t>JULY</t>
        </is>
      </c>
      <c r="EF215" s="9" t="inlineStr">
        <is>
          <t>JUL</t>
        </is>
      </c>
      <c r="EH215" s="9" t="inlineStr">
        <is>
          <t>JULY</t>
        </is>
      </c>
      <c r="EO215" s="9" t="inlineStr">
        <is>
          <t>JUL</t>
        </is>
      </c>
      <c r="EQ215" s="9" t="inlineStr">
        <is>
          <t>JULY</t>
        </is>
      </c>
      <c r="EX215" s="9" t="inlineStr">
        <is>
          <t>JUL</t>
        </is>
      </c>
      <c r="EZ215" s="9" t="inlineStr">
        <is>
          <t>JULY</t>
        </is>
      </c>
      <c r="FG215" s="9" t="inlineStr">
        <is>
          <t>JUL</t>
        </is>
      </c>
      <c r="FI215" s="9" t="inlineStr">
        <is>
          <t>JULY</t>
        </is>
      </c>
      <c r="FP215" s="9" t="inlineStr">
        <is>
          <t>JUL</t>
        </is>
      </c>
      <c r="FR215" s="9" t="inlineStr">
        <is>
          <t>JULY</t>
        </is>
      </c>
      <c r="FY215" s="9" t="inlineStr">
        <is>
          <t>JUL</t>
        </is>
      </c>
      <c r="GA215" s="9" t="inlineStr">
        <is>
          <t>JULY</t>
        </is>
      </c>
      <c r="GH215" s="9" t="inlineStr">
        <is>
          <t>JUL</t>
        </is>
      </c>
      <c r="GJ215" s="9" t="inlineStr">
        <is>
          <t>JULY</t>
        </is>
      </c>
      <c r="GQ215" s="9" t="inlineStr">
        <is>
          <t>JUL</t>
        </is>
      </c>
      <c r="GS215" s="9" t="inlineStr">
        <is>
          <t>JULY</t>
        </is>
      </c>
      <c r="GZ215" s="9" t="inlineStr">
        <is>
          <t>JUL</t>
        </is>
      </c>
      <c r="HB215" s="9" t="inlineStr">
        <is>
          <t>JULY</t>
        </is>
      </c>
      <c r="HI215" s="9" t="inlineStr">
        <is>
          <t>JUL</t>
        </is>
      </c>
      <c r="HK215" s="9" t="inlineStr">
        <is>
          <t>JULY</t>
        </is>
      </c>
      <c r="HS215" s="9" t="inlineStr">
        <is>
          <t>JUL</t>
        </is>
      </c>
      <c r="HU215" s="9" t="inlineStr">
        <is>
          <t>JULY</t>
        </is>
      </c>
      <c r="IB215" s="9" t="inlineStr">
        <is>
          <t>JUL</t>
        </is>
      </c>
      <c r="ID215" s="9" t="inlineStr">
        <is>
          <t>JULY</t>
        </is>
      </c>
      <c r="IK215" s="9" t="inlineStr">
        <is>
          <t>JUL</t>
        </is>
      </c>
      <c r="IM215" s="9" t="inlineStr">
        <is>
          <t>JULY</t>
        </is>
      </c>
      <c r="IT215" s="9" t="inlineStr">
        <is>
          <t>JUL</t>
        </is>
      </c>
      <c r="IV215" s="9" t="inlineStr">
        <is>
          <t>JULY</t>
        </is>
      </c>
      <c r="JC215" s="9" t="inlineStr">
        <is>
          <t>JUL</t>
        </is>
      </c>
      <c r="JE215" s="9" t="inlineStr">
        <is>
          <t>JULY</t>
        </is>
      </c>
      <c r="JL215" s="9" t="inlineStr">
        <is>
          <t>JUL</t>
        </is>
      </c>
      <c r="JN215" s="9" t="inlineStr">
        <is>
          <t>JULY</t>
        </is>
      </c>
      <c r="JU215" s="9" t="inlineStr">
        <is>
          <t>JUL</t>
        </is>
      </c>
      <c r="JW215" s="9" t="inlineStr">
        <is>
          <t>JULY</t>
        </is>
      </c>
      <c r="KD215" s="9" t="inlineStr">
        <is>
          <t>JUL</t>
        </is>
      </c>
      <c r="KF215" s="9" t="inlineStr">
        <is>
          <t>JULY</t>
        </is>
      </c>
      <c r="KM215" s="9" t="inlineStr">
        <is>
          <t>JUL</t>
        </is>
      </c>
      <c r="KO215" s="9" t="inlineStr">
        <is>
          <t>JULY</t>
        </is>
      </c>
      <c r="KV215" s="9" t="inlineStr">
        <is>
          <t>JUL</t>
        </is>
      </c>
      <c r="KX215" s="9" t="inlineStr">
        <is>
          <t>JULY</t>
        </is>
      </c>
      <c r="LE215" s="9" t="inlineStr">
        <is>
          <t>JUL</t>
        </is>
      </c>
      <c r="LG215" s="9" t="inlineStr">
        <is>
          <t>JULY</t>
        </is>
      </c>
      <c r="LN215" s="9" t="inlineStr">
        <is>
          <t>JUL</t>
        </is>
      </c>
      <c r="LP215" s="9" t="inlineStr">
        <is>
          <t>JULY</t>
        </is>
      </c>
      <c r="LW215" s="9" t="inlineStr">
        <is>
          <t>JUL</t>
        </is>
      </c>
      <c r="LY215" s="9" t="inlineStr">
        <is>
          <t>JULY</t>
        </is>
      </c>
      <c r="MF215" s="9" t="inlineStr">
        <is>
          <t>JUL</t>
        </is>
      </c>
      <c r="MH215" s="9" t="inlineStr">
        <is>
          <t>JULY</t>
        </is>
      </c>
      <c r="MO215" s="9" t="inlineStr">
        <is>
          <t>JUL</t>
        </is>
      </c>
      <c r="MQ215" s="9" t="inlineStr">
        <is>
          <t>JULY</t>
        </is>
      </c>
      <c r="MX215" s="9" t="inlineStr">
        <is>
          <t>JUL</t>
        </is>
      </c>
      <c r="MZ215" s="9" t="inlineStr">
        <is>
          <t>JULY</t>
        </is>
      </c>
      <c r="NG215" s="9" t="inlineStr">
        <is>
          <t>JUL</t>
        </is>
      </c>
      <c r="NI215" s="9" t="inlineStr">
        <is>
          <t>JULY</t>
        </is>
      </c>
      <c r="NP215" s="9" t="inlineStr">
        <is>
          <t>JUL</t>
        </is>
      </c>
      <c r="NR215" s="9" t="inlineStr">
        <is>
          <t>JULY</t>
        </is>
      </c>
      <c r="NY215" s="9" t="inlineStr">
        <is>
          <t>JUL</t>
        </is>
      </c>
      <c r="OA215" s="9" t="inlineStr">
        <is>
          <t>JULY</t>
        </is>
      </c>
      <c r="OH215" s="9" t="inlineStr">
        <is>
          <t>JUL</t>
        </is>
      </c>
      <c r="OJ215" s="9" t="inlineStr">
        <is>
          <t>JULY</t>
        </is>
      </c>
      <c r="OQ215" s="9" t="inlineStr">
        <is>
          <t>JUL</t>
        </is>
      </c>
      <c r="OS215" s="9" t="inlineStr">
        <is>
          <t>JULY</t>
        </is>
      </c>
      <c r="OZ215" s="9" t="inlineStr">
        <is>
          <t>JUL</t>
        </is>
      </c>
      <c r="PB215" s="9" t="inlineStr">
        <is>
          <t>JULY</t>
        </is>
      </c>
      <c r="PI215" s="9" t="inlineStr">
        <is>
          <t>JUL</t>
        </is>
      </c>
      <c r="PK215" s="9" t="inlineStr">
        <is>
          <t>JULY</t>
        </is>
      </c>
      <c r="PR215" s="9" t="inlineStr">
        <is>
          <t>JUL</t>
        </is>
      </c>
      <c r="PT215" s="9" t="inlineStr">
        <is>
          <t>JULY</t>
        </is>
      </c>
      <c r="QA215" s="9" t="inlineStr">
        <is>
          <t>JUL</t>
        </is>
      </c>
      <c r="QC215" s="9" t="inlineStr">
        <is>
          <t>JULY</t>
        </is>
      </c>
      <c r="QJ215" s="9" t="inlineStr">
        <is>
          <t>JUL</t>
        </is>
      </c>
      <c r="QL215" s="9" t="inlineStr">
        <is>
          <t>JULY</t>
        </is>
      </c>
      <c r="QS215" s="9" t="inlineStr">
        <is>
          <t>JUL</t>
        </is>
      </c>
      <c r="QU215" s="9" t="inlineStr">
        <is>
          <t>JULY</t>
        </is>
      </c>
      <c r="RB215" s="9" t="inlineStr">
        <is>
          <t>JUL</t>
        </is>
      </c>
      <c r="RD215" s="9" t="inlineStr">
        <is>
          <t>JULY</t>
        </is>
      </c>
      <c r="RK215" s="9" t="inlineStr">
        <is>
          <t>JUL</t>
        </is>
      </c>
      <c r="RM215" s="9" t="inlineStr">
        <is>
          <t>JULY</t>
        </is>
      </c>
      <c r="RT215" s="9" t="inlineStr">
        <is>
          <t>JUL</t>
        </is>
      </c>
      <c r="RV215" s="9" t="inlineStr">
        <is>
          <t>JULY</t>
        </is>
      </c>
      <c r="SC215" s="9" t="inlineStr">
        <is>
          <t>JUL</t>
        </is>
      </c>
      <c r="SE215" s="9" t="inlineStr">
        <is>
          <t>JULY</t>
        </is>
      </c>
      <c r="SL215" s="9" t="inlineStr">
        <is>
          <t>JUL</t>
        </is>
      </c>
      <c r="SN215" s="9" t="inlineStr">
        <is>
          <t>JULY</t>
        </is>
      </c>
      <c r="SU215" s="9" t="inlineStr">
        <is>
          <t>JUL</t>
        </is>
      </c>
      <c r="SW215" s="9" t="inlineStr">
        <is>
          <t>JULY</t>
        </is>
      </c>
      <c r="TD215" s="9" t="inlineStr">
        <is>
          <t>JUL</t>
        </is>
      </c>
      <c r="TF215" s="9" t="inlineStr">
        <is>
          <t>JULY</t>
        </is>
      </c>
      <c r="TM215" s="9" t="inlineStr">
        <is>
          <t>JUL</t>
        </is>
      </c>
      <c r="TO215" s="9" t="inlineStr">
        <is>
          <t>JULY</t>
        </is>
      </c>
      <c r="TV215" s="9" t="inlineStr">
        <is>
          <t>JUL</t>
        </is>
      </c>
      <c r="TX215" s="9" t="inlineStr">
        <is>
          <t>JULY</t>
        </is>
      </c>
      <c r="UE215" s="9" t="inlineStr">
        <is>
          <t>JUL</t>
        </is>
      </c>
      <c r="UG215" s="9" t="inlineStr">
        <is>
          <t>JULY</t>
        </is>
      </c>
      <c r="UN215" s="9" t="inlineStr">
        <is>
          <t>JUL</t>
        </is>
      </c>
      <c r="UP215" s="9" t="inlineStr">
        <is>
          <t>JULY</t>
        </is>
      </c>
      <c r="UW215" s="9" t="inlineStr">
        <is>
          <t>JUL</t>
        </is>
      </c>
      <c r="UY215" s="9" t="inlineStr">
        <is>
          <t>JULY</t>
        </is>
      </c>
      <c r="VF215" s="9" t="inlineStr">
        <is>
          <t>JUL</t>
        </is>
      </c>
      <c r="VH215" s="9" t="inlineStr">
        <is>
          <t>JULY</t>
        </is>
      </c>
      <c r="VO215" s="9" t="inlineStr">
        <is>
          <t>JUL</t>
        </is>
      </c>
      <c r="VQ215" s="9" t="inlineStr">
        <is>
          <t>JULY</t>
        </is>
      </c>
      <c r="VX215" s="9" t="inlineStr">
        <is>
          <t>JUL</t>
        </is>
      </c>
      <c r="VZ215" s="9" t="inlineStr">
        <is>
          <t>JULY</t>
        </is>
      </c>
      <c r="WG215" s="9" t="inlineStr">
        <is>
          <t>JUL</t>
        </is>
      </c>
      <c r="WI215" s="9" t="inlineStr">
        <is>
          <t>JULY</t>
        </is>
      </c>
      <c r="WP215" s="9" t="inlineStr">
        <is>
          <t>JUL</t>
        </is>
      </c>
      <c r="WR215" s="9" t="inlineStr">
        <is>
          <t>JULY</t>
        </is>
      </c>
      <c r="WY215" s="9" t="inlineStr">
        <is>
          <t>JUL</t>
        </is>
      </c>
      <c r="XA215" s="9" t="inlineStr">
        <is>
          <t>JULY</t>
        </is>
      </c>
      <c r="XH215" s="9" t="inlineStr">
        <is>
          <t>JUL</t>
        </is>
      </c>
      <c r="XJ215" s="9" t="inlineStr">
        <is>
          <t>JULY</t>
        </is>
      </c>
      <c r="XQ215" s="9" t="inlineStr">
        <is>
          <t>JUL</t>
        </is>
      </c>
      <c r="XS215" s="9" t="inlineStr">
        <is>
          <t>JULY</t>
        </is>
      </c>
      <c r="XZ215" s="9" t="inlineStr">
        <is>
          <t>JUL</t>
        </is>
      </c>
      <c r="YB215" s="9" t="inlineStr">
        <is>
          <t>JULY</t>
        </is>
      </c>
      <c r="YI215" s="9" t="inlineStr">
        <is>
          <t>JUL</t>
        </is>
      </c>
      <c r="YK215" s="9" t="inlineStr">
        <is>
          <t>JULY</t>
        </is>
      </c>
      <c r="YR215" s="9" t="inlineStr">
        <is>
          <t>JUL</t>
        </is>
      </c>
      <c r="YT215" s="9" t="inlineStr">
        <is>
          <t>JULY</t>
        </is>
      </c>
      <c r="ZA215" s="9" t="inlineStr">
        <is>
          <t>JUL</t>
        </is>
      </c>
      <c r="ZC215" s="9" t="inlineStr">
        <is>
          <t>JULY</t>
        </is>
      </c>
      <c r="ZJ215" s="9" t="inlineStr">
        <is>
          <t>JUL</t>
        </is>
      </c>
      <c r="ZL215" s="9" t="inlineStr">
        <is>
          <t>JULY</t>
        </is>
      </c>
      <c r="ZS215" s="9" t="inlineStr">
        <is>
          <t>JUL</t>
        </is>
      </c>
      <c r="ZU215" s="9" t="inlineStr">
        <is>
          <t>JULY</t>
        </is>
      </c>
      <c r="AAB215" s="9" t="inlineStr">
        <is>
          <t>JUL</t>
        </is>
      </c>
      <c r="AAD215" s="9" t="inlineStr">
        <is>
          <t>JULY</t>
        </is>
      </c>
      <c r="AAK215" s="9" t="inlineStr">
        <is>
          <t>JUL</t>
        </is>
      </c>
      <c r="AAM215" s="9" t="inlineStr">
        <is>
          <t>JULY</t>
        </is>
      </c>
      <c r="AAT215" s="9" t="inlineStr">
        <is>
          <t>JUL</t>
        </is>
      </c>
      <c r="AAV215" s="9" t="inlineStr">
        <is>
          <t>JULY</t>
        </is>
      </c>
      <c r="ABC215" s="9" t="inlineStr">
        <is>
          <t>JUL</t>
        </is>
      </c>
      <c r="ABE215" s="9" t="inlineStr">
        <is>
          <t>JULY</t>
        </is>
      </c>
    </row>
    <row r="216">
      <c r="C216" s="9" t="inlineStr">
        <is>
          <t>Date</t>
        </is>
      </c>
      <c r="D216" s="9" t="inlineStr">
        <is>
          <t>Intake</t>
        </is>
      </c>
      <c r="E216" s="9" t="inlineStr">
        <is>
          <t>Usage</t>
        </is>
      </c>
      <c r="F216" s="9" t="inlineStr">
        <is>
          <t>Actual</t>
        </is>
      </c>
      <c r="G216" s="9" t="inlineStr">
        <is>
          <t>Adjustment</t>
        </is>
      </c>
      <c r="H216" s="9" t="inlineStr">
        <is>
          <t>Balance</t>
        </is>
      </c>
      <c r="I216" s="9" t="inlineStr">
        <is>
          <t>Remarks</t>
        </is>
      </c>
      <c r="L216" s="9" t="inlineStr">
        <is>
          <t>Date</t>
        </is>
      </c>
      <c r="M216" s="9" t="inlineStr">
        <is>
          <t>Intake</t>
        </is>
      </c>
      <c r="N216" s="9" t="inlineStr">
        <is>
          <t>Usage</t>
        </is>
      </c>
      <c r="O216" s="9" t="inlineStr">
        <is>
          <t>Actual</t>
        </is>
      </c>
      <c r="P216" s="9" t="inlineStr">
        <is>
          <t>Adjustment</t>
        </is>
      </c>
      <c r="Q216" s="9" t="inlineStr">
        <is>
          <t>Balance</t>
        </is>
      </c>
      <c r="R216" s="9" t="inlineStr">
        <is>
          <t>Remarks</t>
        </is>
      </c>
      <c r="U216" s="9" t="inlineStr">
        <is>
          <t>Date</t>
        </is>
      </c>
      <c r="V216" s="9" t="inlineStr">
        <is>
          <t>Intake</t>
        </is>
      </c>
      <c r="W216" s="9" t="inlineStr">
        <is>
          <t>Usage</t>
        </is>
      </c>
      <c r="X216" s="9" t="inlineStr">
        <is>
          <t>Actual</t>
        </is>
      </c>
      <c r="Y216" s="9" t="inlineStr">
        <is>
          <t>Adjustment</t>
        </is>
      </c>
      <c r="Z216" s="9" t="inlineStr">
        <is>
          <t>Balance</t>
        </is>
      </c>
      <c r="AA216" s="9" t="inlineStr">
        <is>
          <t>Remarks</t>
        </is>
      </c>
      <c r="AD216" s="9" t="inlineStr">
        <is>
          <t>Date</t>
        </is>
      </c>
      <c r="AE216" s="9" t="inlineStr">
        <is>
          <t>Intake</t>
        </is>
      </c>
      <c r="AF216" s="9" t="inlineStr">
        <is>
          <t>Usage</t>
        </is>
      </c>
      <c r="AG216" s="9" t="inlineStr">
        <is>
          <t>Actual</t>
        </is>
      </c>
      <c r="AH216" s="9" t="inlineStr">
        <is>
          <t>Adjustment</t>
        </is>
      </c>
      <c r="AI216" s="9" t="inlineStr">
        <is>
          <t>Balance</t>
        </is>
      </c>
      <c r="AJ216" s="9" t="inlineStr">
        <is>
          <t>Remarks</t>
        </is>
      </c>
      <c r="AM216" s="9" t="inlineStr">
        <is>
          <t>Date</t>
        </is>
      </c>
      <c r="AN216" s="9" t="inlineStr">
        <is>
          <t>Intake</t>
        </is>
      </c>
      <c r="AO216" s="9" t="inlineStr">
        <is>
          <t>Usage</t>
        </is>
      </c>
      <c r="AP216" s="9" t="inlineStr">
        <is>
          <t>Actual</t>
        </is>
      </c>
      <c r="AQ216" s="9" t="inlineStr">
        <is>
          <t>Adjustment</t>
        </is>
      </c>
      <c r="AR216" s="9" t="inlineStr">
        <is>
          <t>Balance</t>
        </is>
      </c>
      <c r="AS216" s="9" t="inlineStr">
        <is>
          <t>Remarks</t>
        </is>
      </c>
      <c r="AV216" s="9" t="inlineStr">
        <is>
          <t>Date</t>
        </is>
      </c>
      <c r="AW216" s="9" t="inlineStr">
        <is>
          <t>Intake</t>
        </is>
      </c>
      <c r="AX216" s="9" t="inlineStr">
        <is>
          <t>Usage</t>
        </is>
      </c>
      <c r="AY216" s="9" t="inlineStr">
        <is>
          <t>Actual</t>
        </is>
      </c>
      <c r="AZ216" s="9" t="inlineStr">
        <is>
          <t>Adjustment</t>
        </is>
      </c>
      <c r="BA216" s="9" t="inlineStr">
        <is>
          <t>Balance</t>
        </is>
      </c>
      <c r="BB216" s="9" t="inlineStr">
        <is>
          <t>Remarks</t>
        </is>
      </c>
      <c r="BE216" s="9" t="inlineStr">
        <is>
          <t>Date</t>
        </is>
      </c>
      <c r="BF216" s="9" t="inlineStr">
        <is>
          <t>Intake</t>
        </is>
      </c>
      <c r="BG216" s="9" t="inlineStr">
        <is>
          <t>Usage</t>
        </is>
      </c>
      <c r="BH216" s="9" t="inlineStr">
        <is>
          <t>Actual</t>
        </is>
      </c>
      <c r="BI216" s="9" t="inlineStr">
        <is>
          <t>Adjustment</t>
        </is>
      </c>
      <c r="BJ216" s="9" t="inlineStr">
        <is>
          <t>Balance</t>
        </is>
      </c>
      <c r="BK216" s="9" t="inlineStr">
        <is>
          <t>Remarks</t>
        </is>
      </c>
      <c r="BN216" s="9" t="inlineStr">
        <is>
          <t>Date</t>
        </is>
      </c>
      <c r="BO216" s="9" t="inlineStr">
        <is>
          <t>Intake</t>
        </is>
      </c>
      <c r="BP216" s="9" t="inlineStr">
        <is>
          <t>Usage</t>
        </is>
      </c>
      <c r="BQ216" s="9" t="inlineStr">
        <is>
          <t>Actual</t>
        </is>
      </c>
      <c r="BR216" s="9" t="inlineStr">
        <is>
          <t>Adjustment</t>
        </is>
      </c>
      <c r="BS216" s="9" t="inlineStr">
        <is>
          <t>Balance</t>
        </is>
      </c>
      <c r="BT216" s="9" t="inlineStr">
        <is>
          <t>Remarks</t>
        </is>
      </c>
      <c r="BW216" s="9" t="inlineStr">
        <is>
          <t>Date</t>
        </is>
      </c>
      <c r="BX216" s="9" t="inlineStr">
        <is>
          <t>Intake</t>
        </is>
      </c>
      <c r="BY216" s="9" t="inlineStr">
        <is>
          <t>Usage</t>
        </is>
      </c>
      <c r="BZ216" s="9" t="inlineStr">
        <is>
          <t>Actual</t>
        </is>
      </c>
      <c r="CA216" s="9" t="inlineStr">
        <is>
          <t>Adjustment</t>
        </is>
      </c>
      <c r="CB216" s="9" t="inlineStr">
        <is>
          <t>Balance</t>
        </is>
      </c>
      <c r="CC216" s="9" t="inlineStr">
        <is>
          <t>Remarks</t>
        </is>
      </c>
      <c r="CF216" s="9" t="inlineStr">
        <is>
          <t>Date</t>
        </is>
      </c>
      <c r="CG216" s="9" t="inlineStr">
        <is>
          <t>Intake</t>
        </is>
      </c>
      <c r="CH216" s="9" t="inlineStr">
        <is>
          <t>Usage</t>
        </is>
      </c>
      <c r="CI216" s="9" t="inlineStr">
        <is>
          <t>Actual</t>
        </is>
      </c>
      <c r="CJ216" s="9" t="inlineStr">
        <is>
          <t>Adjustment</t>
        </is>
      </c>
      <c r="CK216" s="9" t="inlineStr">
        <is>
          <t>Balance</t>
        </is>
      </c>
      <c r="CL216" s="9" t="inlineStr">
        <is>
          <t>Remarks</t>
        </is>
      </c>
      <c r="CO216" s="9" t="inlineStr">
        <is>
          <t>Date</t>
        </is>
      </c>
      <c r="CP216" s="9" t="inlineStr">
        <is>
          <t>Intake</t>
        </is>
      </c>
      <c r="CQ216" s="9" t="inlineStr">
        <is>
          <t>Usage</t>
        </is>
      </c>
      <c r="CR216" s="9" t="inlineStr">
        <is>
          <t>Actual</t>
        </is>
      </c>
      <c r="CS216" s="9" t="inlineStr">
        <is>
          <t>Adjustment</t>
        </is>
      </c>
      <c r="CT216" s="9" t="inlineStr">
        <is>
          <t>Balance</t>
        </is>
      </c>
      <c r="CU216" s="9" t="inlineStr">
        <is>
          <t>Remarks</t>
        </is>
      </c>
      <c r="CX216" s="9" t="inlineStr">
        <is>
          <t>Date</t>
        </is>
      </c>
      <c r="CY216" s="9" t="inlineStr">
        <is>
          <t>Intake</t>
        </is>
      </c>
      <c r="CZ216" s="9" t="inlineStr">
        <is>
          <t>Usage</t>
        </is>
      </c>
      <c r="DA216" s="9" t="inlineStr">
        <is>
          <t>Actual</t>
        </is>
      </c>
      <c r="DB216" s="9" t="inlineStr">
        <is>
          <t>Adjustment</t>
        </is>
      </c>
      <c r="DC216" s="9" t="inlineStr">
        <is>
          <t>Balance</t>
        </is>
      </c>
      <c r="DD216" s="9" t="inlineStr">
        <is>
          <t>Remarks</t>
        </is>
      </c>
      <c r="DG216" s="9" t="inlineStr">
        <is>
          <t>Date</t>
        </is>
      </c>
      <c r="DH216" s="9" t="inlineStr">
        <is>
          <t>Intake</t>
        </is>
      </c>
      <c r="DI216" s="9" t="inlineStr">
        <is>
          <t>Usage</t>
        </is>
      </c>
      <c r="DJ216" s="9" t="inlineStr">
        <is>
          <t>Actual</t>
        </is>
      </c>
      <c r="DK216" s="9" t="inlineStr">
        <is>
          <t>Adjustment</t>
        </is>
      </c>
      <c r="DL216" s="9" t="inlineStr">
        <is>
          <t>Balance</t>
        </is>
      </c>
      <c r="DM216" s="9" t="inlineStr">
        <is>
          <t>Remarks</t>
        </is>
      </c>
      <c r="DP216" s="9" t="inlineStr">
        <is>
          <t>Date</t>
        </is>
      </c>
      <c r="DQ216" s="9" t="inlineStr">
        <is>
          <t>Intake</t>
        </is>
      </c>
      <c r="DR216" s="9" t="inlineStr">
        <is>
          <t>Usage</t>
        </is>
      </c>
      <c r="DS216" s="9" t="inlineStr">
        <is>
          <t>Actual</t>
        </is>
      </c>
      <c r="DT216" s="9" t="inlineStr">
        <is>
          <t>Adjustment</t>
        </is>
      </c>
      <c r="DU216" s="9" t="inlineStr">
        <is>
          <t>Balance</t>
        </is>
      </c>
      <c r="DV216" s="9" t="inlineStr">
        <is>
          <t>Remarks</t>
        </is>
      </c>
      <c r="DY216" s="9" t="inlineStr">
        <is>
          <t>Date</t>
        </is>
      </c>
      <c r="DZ216" s="9" t="inlineStr">
        <is>
          <t>Intake</t>
        </is>
      </c>
      <c r="EA216" s="9" t="inlineStr">
        <is>
          <t>Usage</t>
        </is>
      </c>
      <c r="EB216" s="9" t="inlineStr">
        <is>
          <t>Actual</t>
        </is>
      </c>
      <c r="EC216" s="9" t="inlineStr">
        <is>
          <t>Adjustment</t>
        </is>
      </c>
      <c r="ED216" s="9" t="inlineStr">
        <is>
          <t>Balance</t>
        </is>
      </c>
      <c r="EE216" s="9" t="inlineStr">
        <is>
          <t>Remarks</t>
        </is>
      </c>
      <c r="EH216" s="9" t="inlineStr">
        <is>
          <t>Date</t>
        </is>
      </c>
      <c r="EI216" s="9" t="inlineStr">
        <is>
          <t>Intake</t>
        </is>
      </c>
      <c r="EJ216" s="9" t="inlineStr">
        <is>
          <t>Usage</t>
        </is>
      </c>
      <c r="EK216" s="9" t="inlineStr">
        <is>
          <t>Actual</t>
        </is>
      </c>
      <c r="EL216" s="9" t="inlineStr">
        <is>
          <t>Adjustment</t>
        </is>
      </c>
      <c r="EM216" s="9" t="inlineStr">
        <is>
          <t>Balance</t>
        </is>
      </c>
      <c r="EN216" s="9" t="inlineStr">
        <is>
          <t>Remarks</t>
        </is>
      </c>
      <c r="EQ216" s="9" t="inlineStr">
        <is>
          <t>Date</t>
        </is>
      </c>
      <c r="ER216" s="9" t="inlineStr">
        <is>
          <t>Intake</t>
        </is>
      </c>
      <c r="ES216" s="9" t="inlineStr">
        <is>
          <t>Usage</t>
        </is>
      </c>
      <c r="ET216" s="9" t="inlineStr">
        <is>
          <t>Actual</t>
        </is>
      </c>
      <c r="EU216" s="9" t="inlineStr">
        <is>
          <t>Adjustment</t>
        </is>
      </c>
      <c r="EV216" s="9" t="inlineStr">
        <is>
          <t>Balance</t>
        </is>
      </c>
      <c r="EW216" s="9" t="inlineStr">
        <is>
          <t>Remarks</t>
        </is>
      </c>
      <c r="EZ216" s="9" t="inlineStr">
        <is>
          <t>Date</t>
        </is>
      </c>
      <c r="FA216" s="9" t="inlineStr">
        <is>
          <t>Intake</t>
        </is>
      </c>
      <c r="FB216" s="9" t="inlineStr">
        <is>
          <t>Usage</t>
        </is>
      </c>
      <c r="FC216" s="9" t="inlineStr">
        <is>
          <t>Actual</t>
        </is>
      </c>
      <c r="FD216" s="9" t="inlineStr">
        <is>
          <t>Adjustment</t>
        </is>
      </c>
      <c r="FE216" s="9" t="inlineStr">
        <is>
          <t>Balance</t>
        </is>
      </c>
      <c r="FF216" s="9" t="inlineStr">
        <is>
          <t>Remarks</t>
        </is>
      </c>
      <c r="FI216" s="9" t="inlineStr">
        <is>
          <t>Date</t>
        </is>
      </c>
      <c r="FJ216" s="9" t="inlineStr">
        <is>
          <t>Intake</t>
        </is>
      </c>
      <c r="FK216" s="9" t="inlineStr">
        <is>
          <t>Usage</t>
        </is>
      </c>
      <c r="FL216" s="9" t="inlineStr">
        <is>
          <t>Actual</t>
        </is>
      </c>
      <c r="FM216" s="9" t="inlineStr">
        <is>
          <t>Adjustment</t>
        </is>
      </c>
      <c r="FN216" s="9" t="inlineStr">
        <is>
          <t>Balance</t>
        </is>
      </c>
      <c r="FO216" s="9" t="inlineStr">
        <is>
          <t>Remarks</t>
        </is>
      </c>
      <c r="FR216" s="9" t="inlineStr">
        <is>
          <t>Date</t>
        </is>
      </c>
      <c r="FS216" s="9" t="inlineStr">
        <is>
          <t>Intake</t>
        </is>
      </c>
      <c r="FT216" s="9" t="inlineStr">
        <is>
          <t>Usage</t>
        </is>
      </c>
      <c r="FU216" s="9" t="inlineStr">
        <is>
          <t>Actual</t>
        </is>
      </c>
      <c r="FV216" s="9" t="inlineStr">
        <is>
          <t>Adjustment</t>
        </is>
      </c>
      <c r="FW216" s="9" t="inlineStr">
        <is>
          <t>Balance</t>
        </is>
      </c>
      <c r="FX216" s="9" t="inlineStr">
        <is>
          <t>Remarks</t>
        </is>
      </c>
      <c r="GA216" s="9" t="inlineStr">
        <is>
          <t>Date</t>
        </is>
      </c>
      <c r="GB216" s="9" t="inlineStr">
        <is>
          <t>Intake</t>
        </is>
      </c>
      <c r="GC216" s="9" t="inlineStr">
        <is>
          <t>Usage</t>
        </is>
      </c>
      <c r="GD216" s="9" t="inlineStr">
        <is>
          <t>Actual</t>
        </is>
      </c>
      <c r="GE216" s="9" t="inlineStr">
        <is>
          <t>Adjustment</t>
        </is>
      </c>
      <c r="GF216" s="9" t="inlineStr">
        <is>
          <t>Balance</t>
        </is>
      </c>
      <c r="GG216" s="9" t="inlineStr">
        <is>
          <t>Remarks</t>
        </is>
      </c>
      <c r="GJ216" s="9" t="inlineStr">
        <is>
          <t>Date</t>
        </is>
      </c>
      <c r="GK216" s="9" t="inlineStr">
        <is>
          <t>Intake</t>
        </is>
      </c>
      <c r="GL216" s="9" t="inlineStr">
        <is>
          <t>Usage</t>
        </is>
      </c>
      <c r="GM216" s="9" t="inlineStr">
        <is>
          <t>Actual</t>
        </is>
      </c>
      <c r="GN216" s="9" t="inlineStr">
        <is>
          <t>Adjustment</t>
        </is>
      </c>
      <c r="GO216" s="9" t="inlineStr">
        <is>
          <t>Balance</t>
        </is>
      </c>
      <c r="GP216" s="9" t="inlineStr">
        <is>
          <t>Remarks</t>
        </is>
      </c>
      <c r="GS216" s="9" t="inlineStr">
        <is>
          <t>Date</t>
        </is>
      </c>
      <c r="GT216" s="9" t="inlineStr">
        <is>
          <t>Intake</t>
        </is>
      </c>
      <c r="GU216" s="9" t="inlineStr">
        <is>
          <t>Usage</t>
        </is>
      </c>
      <c r="GV216" s="9" t="inlineStr">
        <is>
          <t>Actual</t>
        </is>
      </c>
      <c r="GW216" s="9" t="inlineStr">
        <is>
          <t>Adjustment</t>
        </is>
      </c>
      <c r="GX216" s="9" t="inlineStr">
        <is>
          <t>Balance</t>
        </is>
      </c>
      <c r="GY216" s="9" t="inlineStr">
        <is>
          <t>Remarks</t>
        </is>
      </c>
      <c r="HB216" s="9" t="inlineStr">
        <is>
          <t>Date</t>
        </is>
      </c>
      <c r="HC216" s="9" t="inlineStr">
        <is>
          <t>Intake</t>
        </is>
      </c>
      <c r="HD216" s="9" t="inlineStr">
        <is>
          <t>Usage</t>
        </is>
      </c>
      <c r="HE216" s="9" t="inlineStr">
        <is>
          <t>Actual</t>
        </is>
      </c>
      <c r="HF216" s="9" t="inlineStr">
        <is>
          <t>Adjustment</t>
        </is>
      </c>
      <c r="HG216" s="9" t="inlineStr">
        <is>
          <t>Balance</t>
        </is>
      </c>
      <c r="HH216" s="9" t="inlineStr">
        <is>
          <t>Remarks</t>
        </is>
      </c>
      <c r="HK216" s="9" t="inlineStr">
        <is>
          <t>Date</t>
        </is>
      </c>
      <c r="HL216" s="9" t="inlineStr">
        <is>
          <t>Intake</t>
        </is>
      </c>
      <c r="HM216" s="9" t="inlineStr">
        <is>
          <t>Usage</t>
        </is>
      </c>
      <c r="HN216" s="9" t="inlineStr">
        <is>
          <t>Actual</t>
        </is>
      </c>
      <c r="HO216" s="9" t="inlineStr">
        <is>
          <t>Adjustment</t>
        </is>
      </c>
      <c r="HP216" s="9" t="inlineStr">
        <is>
          <t>Balance</t>
        </is>
      </c>
      <c r="HQ216" s="9" t="inlineStr">
        <is>
          <t>Remarks</t>
        </is>
      </c>
      <c r="HU216" s="9" t="inlineStr">
        <is>
          <t>Date</t>
        </is>
      </c>
      <c r="HV216" s="9" t="inlineStr">
        <is>
          <t>Intake</t>
        </is>
      </c>
      <c r="HW216" s="9" t="inlineStr">
        <is>
          <t>Usage</t>
        </is>
      </c>
      <c r="HX216" s="9" t="inlineStr">
        <is>
          <t>Actual</t>
        </is>
      </c>
      <c r="HY216" s="9" t="inlineStr">
        <is>
          <t>Adjustment</t>
        </is>
      </c>
      <c r="HZ216" s="9" t="inlineStr">
        <is>
          <t>Balance</t>
        </is>
      </c>
      <c r="IA216" s="9" t="inlineStr">
        <is>
          <t>Remarks</t>
        </is>
      </c>
      <c r="ID216" s="9" t="inlineStr">
        <is>
          <t>Date</t>
        </is>
      </c>
      <c r="IE216" s="9" t="inlineStr">
        <is>
          <t>Intake</t>
        </is>
      </c>
      <c r="IF216" s="9" t="inlineStr">
        <is>
          <t>Usage</t>
        </is>
      </c>
      <c r="IG216" s="9" t="inlineStr">
        <is>
          <t>Actual</t>
        </is>
      </c>
      <c r="IH216" s="9" t="inlineStr">
        <is>
          <t>Adjustment</t>
        </is>
      </c>
      <c r="II216" s="9" t="inlineStr">
        <is>
          <t>Balance</t>
        </is>
      </c>
      <c r="IJ216" s="9" t="inlineStr">
        <is>
          <t>Remarks</t>
        </is>
      </c>
      <c r="IM216" s="9" t="inlineStr">
        <is>
          <t>Date</t>
        </is>
      </c>
      <c r="IN216" s="9" t="inlineStr">
        <is>
          <t>Intake</t>
        </is>
      </c>
      <c r="IO216" s="9" t="inlineStr">
        <is>
          <t>Usage</t>
        </is>
      </c>
      <c r="IP216" s="9" t="inlineStr">
        <is>
          <t>Actual</t>
        </is>
      </c>
      <c r="IQ216" s="9" t="inlineStr">
        <is>
          <t>Adjustment</t>
        </is>
      </c>
      <c r="IR216" s="9" t="inlineStr">
        <is>
          <t>Balance</t>
        </is>
      </c>
      <c r="IS216" s="9" t="inlineStr">
        <is>
          <t>Remarks</t>
        </is>
      </c>
      <c r="IV216" s="9" t="inlineStr">
        <is>
          <t>Date</t>
        </is>
      </c>
      <c r="IW216" s="9" t="inlineStr">
        <is>
          <t>Intake</t>
        </is>
      </c>
      <c r="IX216" s="9" t="inlineStr">
        <is>
          <t>Usage</t>
        </is>
      </c>
      <c r="IY216" s="9" t="inlineStr">
        <is>
          <t>Actual</t>
        </is>
      </c>
      <c r="IZ216" s="9" t="inlineStr">
        <is>
          <t>Adjustment</t>
        </is>
      </c>
      <c r="JA216" s="9" t="inlineStr">
        <is>
          <t>Balance</t>
        </is>
      </c>
      <c r="JB216" s="9" t="inlineStr">
        <is>
          <t>Remarks</t>
        </is>
      </c>
      <c r="JE216" s="9" t="inlineStr">
        <is>
          <t>Date</t>
        </is>
      </c>
      <c r="JF216" s="9" t="inlineStr">
        <is>
          <t>Intake</t>
        </is>
      </c>
      <c r="JG216" s="9" t="inlineStr">
        <is>
          <t>Usage</t>
        </is>
      </c>
      <c r="JH216" s="9" t="inlineStr">
        <is>
          <t>Actual</t>
        </is>
      </c>
      <c r="JI216" s="9" t="inlineStr">
        <is>
          <t>Adjustment</t>
        </is>
      </c>
      <c r="JJ216" s="9" t="inlineStr">
        <is>
          <t>Balance</t>
        </is>
      </c>
      <c r="JK216" s="9" t="inlineStr">
        <is>
          <t>Remarks</t>
        </is>
      </c>
      <c r="JN216" s="9" t="inlineStr">
        <is>
          <t>Date</t>
        </is>
      </c>
      <c r="JO216" s="9" t="inlineStr">
        <is>
          <t>Intake</t>
        </is>
      </c>
      <c r="JP216" s="9" t="inlineStr">
        <is>
          <t>Usage</t>
        </is>
      </c>
      <c r="JQ216" s="9" t="inlineStr">
        <is>
          <t>Actual</t>
        </is>
      </c>
      <c r="JR216" s="9" t="inlineStr">
        <is>
          <t>Adjustment</t>
        </is>
      </c>
      <c r="JS216" s="9" t="inlineStr">
        <is>
          <t>Balance</t>
        </is>
      </c>
      <c r="JT216" s="9" t="inlineStr">
        <is>
          <t>Remarks</t>
        </is>
      </c>
      <c r="JW216" s="9" t="inlineStr">
        <is>
          <t>Date</t>
        </is>
      </c>
      <c r="JX216" s="9" t="inlineStr">
        <is>
          <t>Intake</t>
        </is>
      </c>
      <c r="JY216" s="9" t="inlineStr">
        <is>
          <t>Usage</t>
        </is>
      </c>
      <c r="JZ216" s="9" t="inlineStr">
        <is>
          <t>Actual</t>
        </is>
      </c>
      <c r="KA216" s="9" t="inlineStr">
        <is>
          <t>Adjustment</t>
        </is>
      </c>
      <c r="KB216" s="9" t="inlineStr">
        <is>
          <t>Balance</t>
        </is>
      </c>
      <c r="KC216" s="9" t="inlineStr">
        <is>
          <t>Remarks</t>
        </is>
      </c>
      <c r="KF216" s="9" t="inlineStr">
        <is>
          <t>Date</t>
        </is>
      </c>
      <c r="KG216" s="9" t="inlineStr">
        <is>
          <t>Intake</t>
        </is>
      </c>
      <c r="KH216" s="9" t="inlineStr">
        <is>
          <t>Usage</t>
        </is>
      </c>
      <c r="KI216" s="9" t="inlineStr">
        <is>
          <t>Actual</t>
        </is>
      </c>
      <c r="KJ216" s="9" t="inlineStr">
        <is>
          <t>Adjustment</t>
        </is>
      </c>
      <c r="KK216" s="9" t="inlineStr">
        <is>
          <t>Balance</t>
        </is>
      </c>
      <c r="KL216" s="9" t="inlineStr">
        <is>
          <t>Remarks</t>
        </is>
      </c>
      <c r="KO216" s="9" t="inlineStr">
        <is>
          <t>Date</t>
        </is>
      </c>
      <c r="KP216" s="9" t="inlineStr">
        <is>
          <t>Intake</t>
        </is>
      </c>
      <c r="KQ216" s="9" t="inlineStr">
        <is>
          <t>Usage</t>
        </is>
      </c>
      <c r="KR216" s="9" t="inlineStr">
        <is>
          <t>Actual</t>
        </is>
      </c>
      <c r="KS216" s="9" t="inlineStr">
        <is>
          <t>Adjustment</t>
        </is>
      </c>
      <c r="KT216" s="9" t="inlineStr">
        <is>
          <t>Balance</t>
        </is>
      </c>
      <c r="KU216" s="9" t="inlineStr">
        <is>
          <t>Remarks</t>
        </is>
      </c>
      <c r="KX216" s="9" t="inlineStr">
        <is>
          <t>Date</t>
        </is>
      </c>
      <c r="KY216" s="9" t="inlineStr">
        <is>
          <t>Intake</t>
        </is>
      </c>
      <c r="KZ216" s="9" t="inlineStr">
        <is>
          <t>Usage</t>
        </is>
      </c>
      <c r="LA216" s="9" t="inlineStr">
        <is>
          <t>Actual</t>
        </is>
      </c>
      <c r="LB216" s="9" t="inlineStr">
        <is>
          <t>Adjustment</t>
        </is>
      </c>
      <c r="LC216" s="9" t="inlineStr">
        <is>
          <t>Balance</t>
        </is>
      </c>
      <c r="LD216" s="9" t="inlineStr">
        <is>
          <t>Remarks</t>
        </is>
      </c>
      <c r="LG216" s="9" t="inlineStr">
        <is>
          <t>Date</t>
        </is>
      </c>
      <c r="LH216" s="9" t="inlineStr">
        <is>
          <t>Intake</t>
        </is>
      </c>
      <c r="LI216" s="9" t="inlineStr">
        <is>
          <t>Usage</t>
        </is>
      </c>
      <c r="LJ216" s="9" t="inlineStr">
        <is>
          <t>Actual</t>
        </is>
      </c>
      <c r="LK216" s="9" t="inlineStr">
        <is>
          <t>Adjustment</t>
        </is>
      </c>
      <c r="LL216" s="9" t="inlineStr">
        <is>
          <t>Balance</t>
        </is>
      </c>
      <c r="LM216" s="9" t="inlineStr">
        <is>
          <t>Remarks</t>
        </is>
      </c>
      <c r="LP216" s="9" t="inlineStr">
        <is>
          <t>Date</t>
        </is>
      </c>
      <c r="LQ216" s="9" t="inlineStr">
        <is>
          <t>Intake</t>
        </is>
      </c>
      <c r="LR216" s="9" t="inlineStr">
        <is>
          <t>Usage</t>
        </is>
      </c>
      <c r="LS216" s="9" t="inlineStr">
        <is>
          <t>Actual</t>
        </is>
      </c>
      <c r="LT216" s="9" t="inlineStr">
        <is>
          <t>Adjustment</t>
        </is>
      </c>
      <c r="LU216" s="9" t="inlineStr">
        <is>
          <t>Balance</t>
        </is>
      </c>
      <c r="LV216" s="9" t="inlineStr">
        <is>
          <t>Remarks</t>
        </is>
      </c>
      <c r="LY216" s="9" t="inlineStr">
        <is>
          <t>Date</t>
        </is>
      </c>
      <c r="LZ216" s="9" t="inlineStr">
        <is>
          <t>Intake</t>
        </is>
      </c>
      <c r="MA216" s="9" t="inlineStr">
        <is>
          <t>Usage</t>
        </is>
      </c>
      <c r="MB216" s="9" t="inlineStr">
        <is>
          <t>Actual</t>
        </is>
      </c>
      <c r="MC216" s="9" t="inlineStr">
        <is>
          <t>Adjustment</t>
        </is>
      </c>
      <c r="MD216" s="9" t="inlineStr">
        <is>
          <t>Balance</t>
        </is>
      </c>
      <c r="ME216" s="9" t="inlineStr">
        <is>
          <t>Remarks</t>
        </is>
      </c>
      <c r="MH216" s="9" t="inlineStr">
        <is>
          <t>Date</t>
        </is>
      </c>
      <c r="MI216" s="9" t="inlineStr">
        <is>
          <t>Intake</t>
        </is>
      </c>
      <c r="MJ216" s="9" t="inlineStr">
        <is>
          <t>Usage</t>
        </is>
      </c>
      <c r="MK216" s="9" t="inlineStr">
        <is>
          <t>Actual</t>
        </is>
      </c>
      <c r="ML216" s="9" t="inlineStr">
        <is>
          <t>Adjustment</t>
        </is>
      </c>
      <c r="MM216" s="9" t="inlineStr">
        <is>
          <t>Balance</t>
        </is>
      </c>
      <c r="MN216" s="9" t="inlineStr">
        <is>
          <t>Remarks</t>
        </is>
      </c>
      <c r="MQ216" s="9" t="inlineStr">
        <is>
          <t>Date</t>
        </is>
      </c>
      <c r="MR216" s="9" t="inlineStr">
        <is>
          <t>Intake</t>
        </is>
      </c>
      <c r="MS216" s="9" t="inlineStr">
        <is>
          <t>Usage</t>
        </is>
      </c>
      <c r="MT216" s="9" t="inlineStr">
        <is>
          <t>Actual</t>
        </is>
      </c>
      <c r="MU216" s="9" t="inlineStr">
        <is>
          <t>Adjustment</t>
        </is>
      </c>
      <c r="MV216" s="9" t="inlineStr">
        <is>
          <t>Balance</t>
        </is>
      </c>
      <c r="MW216" s="9" t="inlineStr">
        <is>
          <t>Remarks</t>
        </is>
      </c>
      <c r="MZ216" s="9" t="inlineStr">
        <is>
          <t>Date</t>
        </is>
      </c>
      <c r="NA216" s="9" t="inlineStr">
        <is>
          <t>Intake</t>
        </is>
      </c>
      <c r="NB216" s="9" t="inlineStr">
        <is>
          <t>Usage</t>
        </is>
      </c>
      <c r="NC216" s="9" t="inlineStr">
        <is>
          <t>Actual</t>
        </is>
      </c>
      <c r="ND216" s="9" t="inlineStr">
        <is>
          <t>Adjustment</t>
        </is>
      </c>
      <c r="NE216" s="9" t="inlineStr">
        <is>
          <t>Balance</t>
        </is>
      </c>
      <c r="NF216" s="9" t="inlineStr">
        <is>
          <t>Remarks</t>
        </is>
      </c>
      <c r="NI216" s="9" t="inlineStr">
        <is>
          <t>Date</t>
        </is>
      </c>
      <c r="NJ216" s="9" t="inlineStr">
        <is>
          <t>Intake</t>
        </is>
      </c>
      <c r="NK216" s="9" t="inlineStr">
        <is>
          <t>Usage</t>
        </is>
      </c>
      <c r="NL216" s="9" t="inlineStr">
        <is>
          <t>Actual</t>
        </is>
      </c>
      <c r="NM216" s="9" t="inlineStr">
        <is>
          <t>Adjustment</t>
        </is>
      </c>
      <c r="NN216" s="9" t="inlineStr">
        <is>
          <t>Balance</t>
        </is>
      </c>
      <c r="NO216" s="9" t="inlineStr">
        <is>
          <t>Remarks</t>
        </is>
      </c>
      <c r="NR216" s="9" t="inlineStr">
        <is>
          <t>Date</t>
        </is>
      </c>
      <c r="NS216" s="9" t="inlineStr">
        <is>
          <t>Intake</t>
        </is>
      </c>
      <c r="NT216" s="9" t="inlineStr">
        <is>
          <t>Usage</t>
        </is>
      </c>
      <c r="NU216" s="9" t="inlineStr">
        <is>
          <t>Actual</t>
        </is>
      </c>
      <c r="NV216" s="9" t="inlineStr">
        <is>
          <t>Adjustment</t>
        </is>
      </c>
      <c r="NW216" s="9" t="inlineStr">
        <is>
          <t>Balance</t>
        </is>
      </c>
      <c r="NX216" s="9" t="inlineStr">
        <is>
          <t>Remarks</t>
        </is>
      </c>
      <c r="OA216" s="9" t="inlineStr">
        <is>
          <t>Date</t>
        </is>
      </c>
      <c r="OB216" s="9" t="inlineStr">
        <is>
          <t>Intake</t>
        </is>
      </c>
      <c r="OC216" s="9" t="inlineStr">
        <is>
          <t>Usage</t>
        </is>
      </c>
      <c r="OD216" s="9" t="inlineStr">
        <is>
          <t>Actual</t>
        </is>
      </c>
      <c r="OE216" s="9" t="inlineStr">
        <is>
          <t>Adjustment</t>
        </is>
      </c>
      <c r="OF216" s="9" t="inlineStr">
        <is>
          <t>Balance</t>
        </is>
      </c>
      <c r="OG216" s="9" t="inlineStr">
        <is>
          <t>Remarks</t>
        </is>
      </c>
      <c r="OJ216" s="9" t="inlineStr">
        <is>
          <t>Date</t>
        </is>
      </c>
      <c r="OK216" s="9" t="inlineStr">
        <is>
          <t>Intake</t>
        </is>
      </c>
      <c r="OL216" s="9" t="inlineStr">
        <is>
          <t>Usage</t>
        </is>
      </c>
      <c r="OM216" s="9" t="inlineStr">
        <is>
          <t>Actual</t>
        </is>
      </c>
      <c r="ON216" s="9" t="inlineStr">
        <is>
          <t>Adjustment</t>
        </is>
      </c>
      <c r="OO216" s="9" t="inlineStr">
        <is>
          <t>Balance</t>
        </is>
      </c>
      <c r="OP216" s="9" t="inlineStr">
        <is>
          <t>Remarks</t>
        </is>
      </c>
      <c r="OS216" s="9" t="inlineStr">
        <is>
          <t>Date</t>
        </is>
      </c>
      <c r="OT216" s="9" t="inlineStr">
        <is>
          <t>Intake</t>
        </is>
      </c>
      <c r="OU216" s="9" t="inlineStr">
        <is>
          <t>Usage</t>
        </is>
      </c>
      <c r="OV216" s="9" t="inlineStr">
        <is>
          <t>Actual</t>
        </is>
      </c>
      <c r="OW216" s="9" t="inlineStr">
        <is>
          <t>Adjustment</t>
        </is>
      </c>
      <c r="OX216" s="9" t="inlineStr">
        <is>
          <t>Balance</t>
        </is>
      </c>
      <c r="OY216" s="9" t="inlineStr">
        <is>
          <t>Remarks</t>
        </is>
      </c>
      <c r="PB216" s="9" t="inlineStr">
        <is>
          <t>Date</t>
        </is>
      </c>
      <c r="PC216" s="9" t="inlineStr">
        <is>
          <t>Intake</t>
        </is>
      </c>
      <c r="PD216" s="9" t="inlineStr">
        <is>
          <t>Usage</t>
        </is>
      </c>
      <c r="PE216" s="9" t="inlineStr">
        <is>
          <t>Actual</t>
        </is>
      </c>
      <c r="PF216" s="9" t="inlineStr">
        <is>
          <t>Adjustment</t>
        </is>
      </c>
      <c r="PG216" s="9" t="inlineStr">
        <is>
          <t>Balance</t>
        </is>
      </c>
      <c r="PH216" s="9" t="inlineStr">
        <is>
          <t>Remarks</t>
        </is>
      </c>
      <c r="PK216" s="9" t="inlineStr">
        <is>
          <t>Date</t>
        </is>
      </c>
      <c r="PL216" s="9" t="inlineStr">
        <is>
          <t>Intake</t>
        </is>
      </c>
      <c r="PM216" s="9" t="inlineStr">
        <is>
          <t>Usage</t>
        </is>
      </c>
      <c r="PN216" s="9" t="inlineStr">
        <is>
          <t>Actual</t>
        </is>
      </c>
      <c r="PO216" s="9" t="inlineStr">
        <is>
          <t>Adjustment</t>
        </is>
      </c>
      <c r="PP216" s="9" t="inlineStr">
        <is>
          <t>Balance</t>
        </is>
      </c>
      <c r="PQ216" s="9" t="inlineStr">
        <is>
          <t>Remarks</t>
        </is>
      </c>
      <c r="PT216" s="9" t="inlineStr">
        <is>
          <t>Date</t>
        </is>
      </c>
      <c r="PU216" s="9" t="inlineStr">
        <is>
          <t>Intake</t>
        </is>
      </c>
      <c r="PV216" s="9" t="inlineStr">
        <is>
          <t>Usage</t>
        </is>
      </c>
      <c r="PW216" s="9" t="inlineStr">
        <is>
          <t>Actual</t>
        </is>
      </c>
      <c r="PX216" s="9" t="inlineStr">
        <is>
          <t>Adjustment</t>
        </is>
      </c>
      <c r="PY216" s="9" t="inlineStr">
        <is>
          <t>Balance</t>
        </is>
      </c>
      <c r="PZ216" s="9" t="inlineStr">
        <is>
          <t>Remarks</t>
        </is>
      </c>
      <c r="QC216" s="9" t="inlineStr">
        <is>
          <t>Date</t>
        </is>
      </c>
      <c r="QD216" s="9" t="inlineStr">
        <is>
          <t>Intake</t>
        </is>
      </c>
      <c r="QE216" s="9" t="inlineStr">
        <is>
          <t>Usage</t>
        </is>
      </c>
      <c r="QF216" s="9" t="inlineStr">
        <is>
          <t>Actual</t>
        </is>
      </c>
      <c r="QG216" s="9" t="inlineStr">
        <is>
          <t>Adjustment</t>
        </is>
      </c>
      <c r="QH216" s="9" t="inlineStr">
        <is>
          <t>Balance</t>
        </is>
      </c>
      <c r="QI216" s="9" t="inlineStr">
        <is>
          <t>Remarks</t>
        </is>
      </c>
      <c r="QL216" s="9" t="inlineStr">
        <is>
          <t>Date</t>
        </is>
      </c>
      <c r="QM216" s="9" t="inlineStr">
        <is>
          <t>Intake</t>
        </is>
      </c>
      <c r="QN216" s="9" t="inlineStr">
        <is>
          <t>Usage</t>
        </is>
      </c>
      <c r="QO216" s="9" t="inlineStr">
        <is>
          <t>Actual</t>
        </is>
      </c>
      <c r="QP216" s="9" t="inlineStr">
        <is>
          <t>Adjustment</t>
        </is>
      </c>
      <c r="QQ216" s="9" t="inlineStr">
        <is>
          <t>Balance</t>
        </is>
      </c>
      <c r="QR216" s="9" t="inlineStr">
        <is>
          <t>Remarks</t>
        </is>
      </c>
      <c r="QU216" s="9" t="inlineStr">
        <is>
          <t>Date</t>
        </is>
      </c>
      <c r="QV216" s="9" t="inlineStr">
        <is>
          <t>Intake</t>
        </is>
      </c>
      <c r="QW216" s="9" t="inlineStr">
        <is>
          <t>Usage</t>
        </is>
      </c>
      <c r="QX216" s="9" t="inlineStr">
        <is>
          <t>Actual</t>
        </is>
      </c>
      <c r="QY216" s="9" t="inlineStr">
        <is>
          <t>Adjustment</t>
        </is>
      </c>
      <c r="QZ216" s="9" t="inlineStr">
        <is>
          <t>Balance</t>
        </is>
      </c>
      <c r="RA216" s="9" t="inlineStr">
        <is>
          <t>Remarks</t>
        </is>
      </c>
      <c r="RD216" s="9" t="inlineStr">
        <is>
          <t>Date</t>
        </is>
      </c>
      <c r="RE216" s="9" t="inlineStr">
        <is>
          <t>Intake</t>
        </is>
      </c>
      <c r="RF216" s="9" t="inlineStr">
        <is>
          <t>Usage</t>
        </is>
      </c>
      <c r="RG216" s="9" t="inlineStr">
        <is>
          <t>Actual</t>
        </is>
      </c>
      <c r="RH216" s="9" t="inlineStr">
        <is>
          <t>Adjustment</t>
        </is>
      </c>
      <c r="RI216" s="9" t="inlineStr">
        <is>
          <t>Balance</t>
        </is>
      </c>
      <c r="RJ216" s="9" t="inlineStr">
        <is>
          <t>Remarks</t>
        </is>
      </c>
      <c r="RM216" s="9" t="inlineStr">
        <is>
          <t>Date</t>
        </is>
      </c>
      <c r="RN216" s="9" t="inlineStr">
        <is>
          <t>Intake</t>
        </is>
      </c>
      <c r="RO216" s="9" t="inlineStr">
        <is>
          <t>Usage</t>
        </is>
      </c>
      <c r="RP216" s="9" t="inlineStr">
        <is>
          <t>Actual</t>
        </is>
      </c>
      <c r="RQ216" s="9" t="inlineStr">
        <is>
          <t>Adjustment</t>
        </is>
      </c>
      <c r="RR216" s="9" t="inlineStr">
        <is>
          <t>Balance</t>
        </is>
      </c>
      <c r="RS216" s="9" t="inlineStr">
        <is>
          <t>Remarks</t>
        </is>
      </c>
      <c r="RV216" s="9" t="inlineStr">
        <is>
          <t>Date</t>
        </is>
      </c>
      <c r="RW216" s="9" t="inlineStr">
        <is>
          <t>Intake</t>
        </is>
      </c>
      <c r="RX216" s="9" t="inlineStr">
        <is>
          <t>Usage</t>
        </is>
      </c>
      <c r="RY216" s="9" t="inlineStr">
        <is>
          <t>Actual</t>
        </is>
      </c>
      <c r="RZ216" s="9" t="inlineStr">
        <is>
          <t>Adjustment</t>
        </is>
      </c>
      <c r="SA216" s="9" t="inlineStr">
        <is>
          <t>Balance</t>
        </is>
      </c>
      <c r="SB216" s="9" t="inlineStr">
        <is>
          <t>Remarks</t>
        </is>
      </c>
      <c r="SE216" s="9" t="inlineStr">
        <is>
          <t>Date</t>
        </is>
      </c>
      <c r="SF216" s="9" t="inlineStr">
        <is>
          <t>Intake</t>
        </is>
      </c>
      <c r="SG216" s="9" t="inlineStr">
        <is>
          <t>Usage</t>
        </is>
      </c>
      <c r="SH216" s="9" t="inlineStr">
        <is>
          <t>Actual</t>
        </is>
      </c>
      <c r="SI216" s="9" t="inlineStr">
        <is>
          <t>Adjustment</t>
        </is>
      </c>
      <c r="SJ216" s="9" t="inlineStr">
        <is>
          <t>Balance</t>
        </is>
      </c>
      <c r="SK216" s="9" t="inlineStr">
        <is>
          <t>Remarks</t>
        </is>
      </c>
      <c r="SN216" s="9" t="inlineStr">
        <is>
          <t>Date</t>
        </is>
      </c>
      <c r="SO216" s="9" t="inlineStr">
        <is>
          <t>Intake</t>
        </is>
      </c>
      <c r="SP216" s="9" t="inlineStr">
        <is>
          <t>Usage</t>
        </is>
      </c>
      <c r="SQ216" s="9" t="inlineStr">
        <is>
          <t>Actual</t>
        </is>
      </c>
      <c r="SR216" s="9" t="inlineStr">
        <is>
          <t>Adjustment</t>
        </is>
      </c>
      <c r="SS216" s="9" t="inlineStr">
        <is>
          <t>Balance</t>
        </is>
      </c>
      <c r="ST216" s="9" t="inlineStr">
        <is>
          <t>Remarks</t>
        </is>
      </c>
      <c r="SW216" s="9" t="inlineStr">
        <is>
          <t>Date</t>
        </is>
      </c>
      <c r="SX216" s="9" t="inlineStr">
        <is>
          <t>Intake</t>
        </is>
      </c>
      <c r="SY216" s="9" t="inlineStr">
        <is>
          <t>Usage</t>
        </is>
      </c>
      <c r="SZ216" s="9" t="inlineStr">
        <is>
          <t>Actual</t>
        </is>
      </c>
      <c r="TA216" s="9" t="inlineStr">
        <is>
          <t>Adjustment</t>
        </is>
      </c>
      <c r="TB216" s="9" t="inlineStr">
        <is>
          <t>Balance</t>
        </is>
      </c>
      <c r="TC216" s="9" t="inlineStr">
        <is>
          <t>Remarks</t>
        </is>
      </c>
      <c r="TF216" s="9" t="inlineStr">
        <is>
          <t>Date</t>
        </is>
      </c>
      <c r="TG216" s="9" t="inlineStr">
        <is>
          <t>Intake</t>
        </is>
      </c>
      <c r="TH216" s="9" t="inlineStr">
        <is>
          <t>Usage</t>
        </is>
      </c>
      <c r="TI216" s="9" t="inlineStr">
        <is>
          <t>Actual</t>
        </is>
      </c>
      <c r="TJ216" s="9" t="inlineStr">
        <is>
          <t>Adjustment</t>
        </is>
      </c>
      <c r="TK216" s="9" t="inlineStr">
        <is>
          <t>Balance</t>
        </is>
      </c>
      <c r="TL216" s="9" t="inlineStr">
        <is>
          <t>Remarks</t>
        </is>
      </c>
      <c r="TO216" s="9" t="inlineStr">
        <is>
          <t>Date</t>
        </is>
      </c>
      <c r="TP216" s="9" t="inlineStr">
        <is>
          <t>Intake</t>
        </is>
      </c>
      <c r="TQ216" s="9" t="inlineStr">
        <is>
          <t>Usage</t>
        </is>
      </c>
      <c r="TR216" s="9" t="inlineStr">
        <is>
          <t>Actual</t>
        </is>
      </c>
      <c r="TS216" s="9" t="inlineStr">
        <is>
          <t>Adjustment</t>
        </is>
      </c>
      <c r="TT216" s="9" t="inlineStr">
        <is>
          <t>Balance</t>
        </is>
      </c>
      <c r="TU216" s="9" t="inlineStr">
        <is>
          <t>Remarks</t>
        </is>
      </c>
      <c r="TX216" s="9" t="inlineStr">
        <is>
          <t>Date</t>
        </is>
      </c>
      <c r="TY216" s="9" t="inlineStr">
        <is>
          <t>Intake</t>
        </is>
      </c>
      <c r="TZ216" s="9" t="inlineStr">
        <is>
          <t>Usage</t>
        </is>
      </c>
      <c r="UA216" s="9" t="inlineStr">
        <is>
          <t>Actual</t>
        </is>
      </c>
      <c r="UB216" s="9" t="inlineStr">
        <is>
          <t>Adjustment</t>
        </is>
      </c>
      <c r="UC216" s="9" t="inlineStr">
        <is>
          <t>Balance</t>
        </is>
      </c>
      <c r="UD216" s="9" t="inlineStr">
        <is>
          <t>Remarks</t>
        </is>
      </c>
      <c r="UG216" s="9" t="inlineStr">
        <is>
          <t>Date</t>
        </is>
      </c>
      <c r="UH216" s="9" t="inlineStr">
        <is>
          <t>Intake</t>
        </is>
      </c>
      <c r="UI216" s="9" t="inlineStr">
        <is>
          <t>Usage</t>
        </is>
      </c>
      <c r="UJ216" s="9" t="inlineStr">
        <is>
          <t>Actual</t>
        </is>
      </c>
      <c r="UK216" s="9" t="inlineStr">
        <is>
          <t>Adjustment</t>
        </is>
      </c>
      <c r="UL216" s="9" t="inlineStr">
        <is>
          <t>Balance</t>
        </is>
      </c>
      <c r="UM216" s="9" t="inlineStr">
        <is>
          <t>Remarks</t>
        </is>
      </c>
      <c r="UP216" s="9" t="inlineStr">
        <is>
          <t>Date</t>
        </is>
      </c>
      <c r="UQ216" s="9" t="inlineStr">
        <is>
          <t>Intake</t>
        </is>
      </c>
      <c r="UR216" s="9" t="inlineStr">
        <is>
          <t>Usage</t>
        </is>
      </c>
      <c r="US216" s="9" t="inlineStr">
        <is>
          <t>Actual</t>
        </is>
      </c>
      <c r="UT216" s="9" t="inlineStr">
        <is>
          <t>Adjustment</t>
        </is>
      </c>
      <c r="UU216" s="9" t="inlineStr">
        <is>
          <t>Balance</t>
        </is>
      </c>
      <c r="UV216" s="9" t="inlineStr">
        <is>
          <t>Remarks</t>
        </is>
      </c>
      <c r="UY216" s="9" t="inlineStr">
        <is>
          <t>Date</t>
        </is>
      </c>
      <c r="UZ216" s="9" t="inlineStr">
        <is>
          <t>Intake</t>
        </is>
      </c>
      <c r="VA216" s="9" t="inlineStr">
        <is>
          <t>Usage</t>
        </is>
      </c>
      <c r="VB216" s="9" t="inlineStr">
        <is>
          <t>Actual</t>
        </is>
      </c>
      <c r="VC216" s="9" t="inlineStr">
        <is>
          <t>Adjustment</t>
        </is>
      </c>
      <c r="VD216" s="9" t="inlineStr">
        <is>
          <t>Balance</t>
        </is>
      </c>
      <c r="VE216" s="9" t="inlineStr">
        <is>
          <t>Remarks</t>
        </is>
      </c>
      <c r="VH216" s="9" t="inlineStr">
        <is>
          <t>Date</t>
        </is>
      </c>
      <c r="VI216" s="9" t="inlineStr">
        <is>
          <t>Intake</t>
        </is>
      </c>
      <c r="VJ216" s="9" t="inlineStr">
        <is>
          <t>Usage</t>
        </is>
      </c>
      <c r="VK216" s="9" t="inlineStr">
        <is>
          <t>Actual</t>
        </is>
      </c>
      <c r="VL216" s="9" t="inlineStr">
        <is>
          <t>Adjustment</t>
        </is>
      </c>
      <c r="VM216" s="9" t="inlineStr">
        <is>
          <t>Balance</t>
        </is>
      </c>
      <c r="VN216" s="9" t="inlineStr">
        <is>
          <t>Remarks</t>
        </is>
      </c>
      <c r="VQ216" s="9" t="inlineStr">
        <is>
          <t>Date</t>
        </is>
      </c>
      <c r="VR216" s="9" t="inlineStr">
        <is>
          <t>Intake</t>
        </is>
      </c>
      <c r="VS216" s="9" t="inlineStr">
        <is>
          <t>Usage</t>
        </is>
      </c>
      <c r="VT216" s="9" t="inlineStr">
        <is>
          <t>Actual</t>
        </is>
      </c>
      <c r="VU216" s="9" t="inlineStr">
        <is>
          <t>Adjustment</t>
        </is>
      </c>
      <c r="VV216" s="9" t="inlineStr">
        <is>
          <t>Balance</t>
        </is>
      </c>
      <c r="VW216" s="9" t="inlineStr">
        <is>
          <t>Remarks</t>
        </is>
      </c>
      <c r="VZ216" s="9" t="inlineStr">
        <is>
          <t>Date</t>
        </is>
      </c>
      <c r="WA216" s="9" t="inlineStr">
        <is>
          <t>Intake</t>
        </is>
      </c>
      <c r="WB216" s="9" t="inlineStr">
        <is>
          <t>Usage</t>
        </is>
      </c>
      <c r="WC216" s="9" t="inlineStr">
        <is>
          <t>Actual</t>
        </is>
      </c>
      <c r="WD216" s="9" t="inlineStr">
        <is>
          <t>Adjustment</t>
        </is>
      </c>
      <c r="WE216" s="9" t="inlineStr">
        <is>
          <t>Balance</t>
        </is>
      </c>
      <c r="WF216" s="9" t="inlineStr">
        <is>
          <t>Remarks</t>
        </is>
      </c>
      <c r="WI216" s="9" t="inlineStr">
        <is>
          <t>Date</t>
        </is>
      </c>
      <c r="WJ216" s="9" t="inlineStr">
        <is>
          <t>Intake</t>
        </is>
      </c>
      <c r="WK216" s="9" t="inlineStr">
        <is>
          <t>Usage</t>
        </is>
      </c>
      <c r="WL216" s="9" t="inlineStr">
        <is>
          <t>Actual</t>
        </is>
      </c>
      <c r="WM216" s="9" t="inlineStr">
        <is>
          <t>Adjustment</t>
        </is>
      </c>
      <c r="WN216" s="9" t="inlineStr">
        <is>
          <t>Balance</t>
        </is>
      </c>
      <c r="WO216" s="9" t="inlineStr">
        <is>
          <t>Remarks</t>
        </is>
      </c>
      <c r="WR216" s="9" t="inlineStr">
        <is>
          <t>Date</t>
        </is>
      </c>
      <c r="WS216" s="9" t="inlineStr">
        <is>
          <t>Intake</t>
        </is>
      </c>
      <c r="WT216" s="9" t="inlineStr">
        <is>
          <t>Usage</t>
        </is>
      </c>
      <c r="WU216" s="9" t="inlineStr">
        <is>
          <t>Actual</t>
        </is>
      </c>
      <c r="WV216" s="9" t="inlineStr">
        <is>
          <t>Adjustment</t>
        </is>
      </c>
      <c r="WW216" s="9" t="inlineStr">
        <is>
          <t>Balance</t>
        </is>
      </c>
      <c r="WX216" s="9" t="inlineStr">
        <is>
          <t>Remarks</t>
        </is>
      </c>
      <c r="XA216" s="9" t="inlineStr">
        <is>
          <t>Date</t>
        </is>
      </c>
      <c r="XB216" s="9" t="inlineStr">
        <is>
          <t>Intake</t>
        </is>
      </c>
      <c r="XC216" s="9" t="inlineStr">
        <is>
          <t>Usage</t>
        </is>
      </c>
      <c r="XD216" s="9" t="inlineStr">
        <is>
          <t>Actual</t>
        </is>
      </c>
      <c r="XE216" s="9" t="inlineStr">
        <is>
          <t>Adjustment</t>
        </is>
      </c>
      <c r="XF216" s="9" t="inlineStr">
        <is>
          <t>Balance</t>
        </is>
      </c>
      <c r="XG216" s="9" t="inlineStr">
        <is>
          <t>Remarks</t>
        </is>
      </c>
      <c r="XJ216" s="9" t="inlineStr">
        <is>
          <t>Date</t>
        </is>
      </c>
      <c r="XK216" s="9" t="inlineStr">
        <is>
          <t>Intake</t>
        </is>
      </c>
      <c r="XL216" s="9" t="inlineStr">
        <is>
          <t>Usage</t>
        </is>
      </c>
      <c r="XM216" s="9" t="inlineStr">
        <is>
          <t>Actual</t>
        </is>
      </c>
      <c r="XN216" s="9" t="inlineStr">
        <is>
          <t>Adjustment</t>
        </is>
      </c>
      <c r="XO216" s="9" t="inlineStr">
        <is>
          <t>Balance</t>
        </is>
      </c>
      <c r="XP216" s="9" t="inlineStr">
        <is>
          <t>Remarks</t>
        </is>
      </c>
      <c r="XS216" s="9" t="inlineStr">
        <is>
          <t>Date</t>
        </is>
      </c>
      <c r="XT216" s="9" t="inlineStr">
        <is>
          <t>Intake</t>
        </is>
      </c>
      <c r="XU216" s="9" t="inlineStr">
        <is>
          <t>Usage</t>
        </is>
      </c>
      <c r="XV216" s="9" t="inlineStr">
        <is>
          <t>Actual</t>
        </is>
      </c>
      <c r="XW216" s="9" t="inlineStr">
        <is>
          <t>Adjustment</t>
        </is>
      </c>
      <c r="XX216" s="9" t="inlineStr">
        <is>
          <t>Balance</t>
        </is>
      </c>
      <c r="XY216" s="9" t="inlineStr">
        <is>
          <t>Remarks</t>
        </is>
      </c>
      <c r="YB216" s="9" t="inlineStr">
        <is>
          <t>Date</t>
        </is>
      </c>
      <c r="YC216" s="9" t="inlineStr">
        <is>
          <t>Intake</t>
        </is>
      </c>
      <c r="YD216" s="9" t="inlineStr">
        <is>
          <t>Usage</t>
        </is>
      </c>
      <c r="YE216" s="9" t="inlineStr">
        <is>
          <t>Actual</t>
        </is>
      </c>
      <c r="YF216" s="9" t="inlineStr">
        <is>
          <t>Adjustment</t>
        </is>
      </c>
      <c r="YG216" s="9" t="inlineStr">
        <is>
          <t>Balance</t>
        </is>
      </c>
      <c r="YH216" s="9" t="inlineStr">
        <is>
          <t>Remarks</t>
        </is>
      </c>
      <c r="YK216" s="9" t="inlineStr">
        <is>
          <t>Date</t>
        </is>
      </c>
      <c r="YL216" s="9" t="inlineStr">
        <is>
          <t>Intake</t>
        </is>
      </c>
      <c r="YM216" s="9" t="inlineStr">
        <is>
          <t>Usage</t>
        </is>
      </c>
      <c r="YN216" s="9" t="inlineStr">
        <is>
          <t>Actual</t>
        </is>
      </c>
      <c r="YO216" s="9" t="inlineStr">
        <is>
          <t>Adjustment</t>
        </is>
      </c>
      <c r="YP216" s="9" t="inlineStr">
        <is>
          <t>Balance</t>
        </is>
      </c>
      <c r="YQ216" s="9" t="inlineStr">
        <is>
          <t>Remarks</t>
        </is>
      </c>
      <c r="YT216" s="9" t="inlineStr">
        <is>
          <t>Date</t>
        </is>
      </c>
      <c r="YU216" s="9" t="inlineStr">
        <is>
          <t>Intake</t>
        </is>
      </c>
      <c r="YV216" s="9" t="inlineStr">
        <is>
          <t>Usage</t>
        </is>
      </c>
      <c r="YW216" s="9" t="inlineStr">
        <is>
          <t>Actual</t>
        </is>
      </c>
      <c r="YX216" s="9" t="inlineStr">
        <is>
          <t>Adjustment</t>
        </is>
      </c>
      <c r="YY216" s="9" t="inlineStr">
        <is>
          <t>Balance</t>
        </is>
      </c>
      <c r="YZ216" s="9" t="inlineStr">
        <is>
          <t>Remarks</t>
        </is>
      </c>
      <c r="ZC216" s="9" t="inlineStr">
        <is>
          <t>Date</t>
        </is>
      </c>
      <c r="ZD216" s="9" t="inlineStr">
        <is>
          <t>Intake</t>
        </is>
      </c>
      <c r="ZE216" s="9" t="inlineStr">
        <is>
          <t>Usage</t>
        </is>
      </c>
      <c r="ZF216" s="9" t="inlineStr">
        <is>
          <t>Actual</t>
        </is>
      </c>
      <c r="ZG216" s="9" t="inlineStr">
        <is>
          <t>Adjustment</t>
        </is>
      </c>
      <c r="ZH216" s="9" t="inlineStr">
        <is>
          <t>Balance</t>
        </is>
      </c>
      <c r="ZI216" s="9" t="inlineStr">
        <is>
          <t>Remarks</t>
        </is>
      </c>
      <c r="ZL216" s="9" t="inlineStr">
        <is>
          <t>Date</t>
        </is>
      </c>
      <c r="ZM216" s="9" t="inlineStr">
        <is>
          <t>Intake</t>
        </is>
      </c>
      <c r="ZN216" s="9" t="inlineStr">
        <is>
          <t>Usage</t>
        </is>
      </c>
      <c r="ZO216" s="9" t="inlineStr">
        <is>
          <t>Actual</t>
        </is>
      </c>
      <c r="ZP216" s="9" t="inlineStr">
        <is>
          <t>Adjustment</t>
        </is>
      </c>
      <c r="ZQ216" s="9" t="inlineStr">
        <is>
          <t>Balance</t>
        </is>
      </c>
      <c r="ZR216" s="9" t="inlineStr">
        <is>
          <t>Remarks</t>
        </is>
      </c>
      <c r="ZU216" s="9" t="inlineStr">
        <is>
          <t>Date</t>
        </is>
      </c>
      <c r="ZV216" s="9" t="inlineStr">
        <is>
          <t>Intake</t>
        </is>
      </c>
      <c r="ZW216" s="9" t="inlineStr">
        <is>
          <t>Usage</t>
        </is>
      </c>
      <c r="ZX216" s="9" t="inlineStr">
        <is>
          <t>Actual</t>
        </is>
      </c>
      <c r="ZY216" s="9" t="inlineStr">
        <is>
          <t>Adjustment</t>
        </is>
      </c>
      <c r="ZZ216" s="9" t="inlineStr">
        <is>
          <t>Balance</t>
        </is>
      </c>
      <c r="AAA216" s="9" t="inlineStr">
        <is>
          <t>Remarks</t>
        </is>
      </c>
      <c r="AAD216" s="9" t="inlineStr">
        <is>
          <t>Date</t>
        </is>
      </c>
      <c r="AAE216" s="9" t="inlineStr">
        <is>
          <t>Intake</t>
        </is>
      </c>
      <c r="AAF216" s="9" t="inlineStr">
        <is>
          <t>Usage</t>
        </is>
      </c>
      <c r="AAG216" s="9" t="inlineStr">
        <is>
          <t>Actual</t>
        </is>
      </c>
      <c r="AAH216" s="9" t="inlineStr">
        <is>
          <t>Adjustment</t>
        </is>
      </c>
      <c r="AAI216" s="9" t="inlineStr">
        <is>
          <t>Balance</t>
        </is>
      </c>
      <c r="AAJ216" s="9" t="inlineStr">
        <is>
          <t>Remarks</t>
        </is>
      </c>
      <c r="AAM216" s="9" t="inlineStr">
        <is>
          <t>Date</t>
        </is>
      </c>
      <c r="AAN216" s="9" t="inlineStr">
        <is>
          <t>Intake</t>
        </is>
      </c>
      <c r="AAO216" s="9" t="inlineStr">
        <is>
          <t>Usage</t>
        </is>
      </c>
      <c r="AAP216" s="9" t="inlineStr">
        <is>
          <t>Actual</t>
        </is>
      </c>
      <c r="AAQ216" s="9" t="inlineStr">
        <is>
          <t>Adjustment</t>
        </is>
      </c>
      <c r="AAR216" s="9" t="inlineStr">
        <is>
          <t>Balance</t>
        </is>
      </c>
      <c r="AAS216" s="9" t="inlineStr">
        <is>
          <t>Remarks</t>
        </is>
      </c>
      <c r="AAV216" s="9" t="inlineStr">
        <is>
          <t>Date</t>
        </is>
      </c>
      <c r="AAW216" s="9" t="inlineStr">
        <is>
          <t>Intake</t>
        </is>
      </c>
      <c r="AAX216" s="9" t="inlineStr">
        <is>
          <t>Usage</t>
        </is>
      </c>
      <c r="AAY216" s="9" t="inlineStr">
        <is>
          <t>Actual</t>
        </is>
      </c>
      <c r="AAZ216" s="9" t="inlineStr">
        <is>
          <t>Adjustment</t>
        </is>
      </c>
      <c r="ABA216" s="9" t="inlineStr">
        <is>
          <t>Balance</t>
        </is>
      </c>
      <c r="ABB216" s="9" t="inlineStr">
        <is>
          <t>Remarks</t>
        </is>
      </c>
      <c r="ABE216" s="9" t="inlineStr">
        <is>
          <t>Date</t>
        </is>
      </c>
      <c r="ABF216" s="9" t="inlineStr">
        <is>
          <t>Intake</t>
        </is>
      </c>
      <c r="ABG216" s="9" t="inlineStr">
        <is>
          <t>Usage</t>
        </is>
      </c>
      <c r="ABH216" s="9" t="inlineStr">
        <is>
          <t>Actual</t>
        </is>
      </c>
      <c r="ABI216" s="9" t="inlineStr">
        <is>
          <t>Adjustment</t>
        </is>
      </c>
      <c r="ABJ216" s="9" t="inlineStr">
        <is>
          <t>Balance</t>
        </is>
      </c>
      <c r="ABK216" s="9" t="inlineStr">
        <is>
          <t>Remarks</t>
        </is>
      </c>
    </row>
    <row r="217">
      <c r="C217" s="9" t="inlineStr">
        <is>
          <t>BALANCE</t>
        </is>
      </c>
      <c r="D217" s="9" t="inlineStr">
        <is>
          <t>-</t>
        </is>
      </c>
      <c r="E217" s="9" t="inlineStr">
        <is>
          <t>-</t>
        </is>
      </c>
      <c r="F217" s="9" t="inlineStr">
        <is>
          <t>-</t>
        </is>
      </c>
      <c r="G217" s="9" t="inlineStr">
        <is>
          <t>-</t>
        </is>
      </c>
      <c r="H217" s="9" t="n">
        <v>103607.8000000001</v>
      </c>
      <c r="L217" s="9" t="inlineStr">
        <is>
          <t>BALANCE</t>
        </is>
      </c>
      <c r="M217" s="9" t="inlineStr">
        <is>
          <t>-</t>
        </is>
      </c>
      <c r="N217" s="9" t="inlineStr">
        <is>
          <t>-</t>
        </is>
      </c>
      <c r="O217" s="9" t="inlineStr">
        <is>
          <t>-</t>
        </is>
      </c>
      <c r="P217" s="9" t="inlineStr">
        <is>
          <t>-</t>
        </is>
      </c>
      <c r="Q217" s="9" t="n">
        <v>51499.20000000007</v>
      </c>
      <c r="U217" s="9" t="inlineStr">
        <is>
          <t>BALANCE</t>
        </is>
      </c>
      <c r="V217" s="9" t="inlineStr">
        <is>
          <t>-</t>
        </is>
      </c>
      <c r="W217" s="9" t="inlineStr">
        <is>
          <t>-</t>
        </is>
      </c>
      <c r="X217" s="9" t="inlineStr">
        <is>
          <t>-</t>
        </is>
      </c>
      <c r="Y217" s="9" t="inlineStr">
        <is>
          <t>-</t>
        </is>
      </c>
      <c r="Z217" s="9" t="n">
        <v>32731.99999999997</v>
      </c>
      <c r="AD217" s="9" t="inlineStr">
        <is>
          <t>BALANCE</t>
        </is>
      </c>
      <c r="AE217" s="9" t="inlineStr">
        <is>
          <t>-</t>
        </is>
      </c>
      <c r="AF217" s="9" t="inlineStr">
        <is>
          <t>-</t>
        </is>
      </c>
      <c r="AG217" s="9" t="inlineStr">
        <is>
          <t>-</t>
        </is>
      </c>
      <c r="AH217" s="9" t="inlineStr">
        <is>
          <t>-</t>
        </is>
      </c>
      <c r="AI217" s="9" t="n">
        <v>33372.70000000002</v>
      </c>
      <c r="AM217" s="9" t="inlineStr">
        <is>
          <t>BALANCE</t>
        </is>
      </c>
      <c r="AN217" s="9" t="inlineStr">
        <is>
          <t>-</t>
        </is>
      </c>
      <c r="AO217" s="9" t="inlineStr">
        <is>
          <t>-</t>
        </is>
      </c>
      <c r="AP217" s="9" t="inlineStr">
        <is>
          <t>-</t>
        </is>
      </c>
      <c r="AQ217" s="9" t="inlineStr">
        <is>
          <t>-</t>
        </is>
      </c>
      <c r="AR217" s="9" t="n">
        <v>0</v>
      </c>
      <c r="AV217" s="9" t="inlineStr">
        <is>
          <t>BALANCE</t>
        </is>
      </c>
      <c r="AW217" s="9" t="inlineStr">
        <is>
          <t>-</t>
        </is>
      </c>
      <c r="AX217" s="9" t="inlineStr">
        <is>
          <t>-</t>
        </is>
      </c>
      <c r="AY217" s="9" t="inlineStr">
        <is>
          <t>-</t>
        </is>
      </c>
      <c r="AZ217" s="9" t="inlineStr">
        <is>
          <t>-</t>
        </is>
      </c>
      <c r="BA217" s="9" t="n">
        <v>13946.2</v>
      </c>
      <c r="BE217" s="9" t="inlineStr">
        <is>
          <t>BALANCE</t>
        </is>
      </c>
      <c r="BF217" s="9" t="inlineStr">
        <is>
          <t>-</t>
        </is>
      </c>
      <c r="BG217" s="9" t="inlineStr">
        <is>
          <t>-</t>
        </is>
      </c>
      <c r="BH217" s="9" t="inlineStr">
        <is>
          <t>-</t>
        </is>
      </c>
      <c r="BI217" s="9" t="inlineStr">
        <is>
          <t>-</t>
        </is>
      </c>
      <c r="BJ217" s="9" t="n">
        <v>36947.7</v>
      </c>
      <c r="BN217" s="9" t="inlineStr">
        <is>
          <t>BALANCE</t>
        </is>
      </c>
      <c r="BO217" s="9" t="inlineStr">
        <is>
          <t>-</t>
        </is>
      </c>
      <c r="BP217" s="9" t="inlineStr">
        <is>
          <t>-</t>
        </is>
      </c>
      <c r="BQ217" s="9" t="inlineStr">
        <is>
          <t>-</t>
        </is>
      </c>
      <c r="BR217" s="9" t="inlineStr">
        <is>
          <t>-</t>
        </is>
      </c>
      <c r="BS217" s="9" t="n">
        <v>0</v>
      </c>
      <c r="BW217" s="9" t="inlineStr">
        <is>
          <t>BALANCE</t>
        </is>
      </c>
      <c r="BX217" s="9" t="inlineStr">
        <is>
          <t>-</t>
        </is>
      </c>
      <c r="BY217" s="9" t="inlineStr">
        <is>
          <t>-</t>
        </is>
      </c>
      <c r="BZ217" s="9" t="inlineStr">
        <is>
          <t>-</t>
        </is>
      </c>
      <c r="CA217" s="9" t="inlineStr">
        <is>
          <t>-</t>
        </is>
      </c>
      <c r="CB217" s="9" t="n">
        <v>2388.779999999999</v>
      </c>
      <c r="CF217" s="9" t="inlineStr">
        <is>
          <t>BALANCE</t>
        </is>
      </c>
      <c r="CG217" s="9" t="inlineStr">
        <is>
          <t>-</t>
        </is>
      </c>
      <c r="CH217" s="9" t="inlineStr">
        <is>
          <t>-</t>
        </is>
      </c>
      <c r="CI217" s="9" t="inlineStr">
        <is>
          <t>-</t>
        </is>
      </c>
      <c r="CJ217" s="9" t="inlineStr">
        <is>
          <t>-</t>
        </is>
      </c>
      <c r="CK217" s="9" t="n">
        <v>0</v>
      </c>
      <c r="CO217" s="9" t="inlineStr">
        <is>
          <t>BALANCE</t>
        </is>
      </c>
      <c r="CP217" s="9" t="inlineStr">
        <is>
          <t>-</t>
        </is>
      </c>
      <c r="CQ217" s="9" t="inlineStr">
        <is>
          <t>-</t>
        </is>
      </c>
      <c r="CR217" s="9" t="inlineStr">
        <is>
          <t>-</t>
        </is>
      </c>
      <c r="CS217" s="9" t="inlineStr">
        <is>
          <t>-</t>
        </is>
      </c>
      <c r="CT217" s="9" t="n">
        <v>0</v>
      </c>
      <c r="CX217" s="9" t="inlineStr">
        <is>
          <t>BALANCE</t>
        </is>
      </c>
      <c r="CY217" s="9" t="inlineStr">
        <is>
          <t>-</t>
        </is>
      </c>
      <c r="CZ217" s="9" t="inlineStr">
        <is>
          <t>-</t>
        </is>
      </c>
      <c r="DA217" s="9" t="inlineStr">
        <is>
          <t>-</t>
        </is>
      </c>
      <c r="DB217" s="9" t="inlineStr">
        <is>
          <t>-</t>
        </is>
      </c>
      <c r="DC217" s="9" t="n">
        <v>8489.900000000007</v>
      </c>
      <c r="DG217" s="9" t="inlineStr">
        <is>
          <t>BALANCE</t>
        </is>
      </c>
      <c r="DH217" s="9" t="inlineStr">
        <is>
          <t>-</t>
        </is>
      </c>
      <c r="DI217" s="9" t="inlineStr">
        <is>
          <t>-</t>
        </is>
      </c>
      <c r="DJ217" s="9" t="inlineStr">
        <is>
          <t>-</t>
        </is>
      </c>
      <c r="DK217" s="9" t="inlineStr">
        <is>
          <t>-</t>
        </is>
      </c>
      <c r="DL217" s="9" t="n">
        <v>34934.49999999999</v>
      </c>
      <c r="DP217" s="9" t="inlineStr">
        <is>
          <t>BALANCE</t>
        </is>
      </c>
      <c r="DQ217" s="9" t="inlineStr">
        <is>
          <t>-</t>
        </is>
      </c>
      <c r="DR217" s="9" t="inlineStr">
        <is>
          <t>-</t>
        </is>
      </c>
      <c r="DS217" s="9" t="inlineStr">
        <is>
          <t>-</t>
        </is>
      </c>
      <c r="DT217" s="9" t="inlineStr">
        <is>
          <t>-</t>
        </is>
      </c>
      <c r="DU217" s="9" t="n">
        <v>5800</v>
      </c>
      <c r="DY217" s="9" t="inlineStr">
        <is>
          <t>BALANCE</t>
        </is>
      </c>
      <c r="DZ217" s="9" t="inlineStr">
        <is>
          <t>-</t>
        </is>
      </c>
      <c r="EA217" s="9" t="inlineStr">
        <is>
          <t>-</t>
        </is>
      </c>
      <c r="EB217" s="9" t="inlineStr">
        <is>
          <t>-</t>
        </is>
      </c>
      <c r="EC217" s="9" t="inlineStr">
        <is>
          <t>-</t>
        </is>
      </c>
      <c r="ED217" s="9" t="n">
        <v>0</v>
      </c>
      <c r="EH217" s="9" t="inlineStr">
        <is>
          <t>BALANCE</t>
        </is>
      </c>
      <c r="EI217" s="9" t="inlineStr">
        <is>
          <t>-</t>
        </is>
      </c>
      <c r="EJ217" s="9" t="inlineStr">
        <is>
          <t>-</t>
        </is>
      </c>
      <c r="EK217" s="9" t="inlineStr">
        <is>
          <t>-</t>
        </is>
      </c>
      <c r="EL217" s="9" t="inlineStr">
        <is>
          <t>-</t>
        </is>
      </c>
      <c r="EM217" s="9" t="n">
        <v>0</v>
      </c>
      <c r="EQ217" s="9" t="inlineStr">
        <is>
          <t>BALANCE</t>
        </is>
      </c>
      <c r="ER217" s="9" t="inlineStr">
        <is>
          <t>-</t>
        </is>
      </c>
      <c r="ES217" s="9" t="inlineStr">
        <is>
          <t>-</t>
        </is>
      </c>
      <c r="ET217" s="9" t="inlineStr">
        <is>
          <t>-</t>
        </is>
      </c>
      <c r="EU217" s="9" t="inlineStr">
        <is>
          <t>-</t>
        </is>
      </c>
      <c r="EV217" s="9" t="n">
        <v>0</v>
      </c>
      <c r="EZ217" s="9" t="inlineStr">
        <is>
          <t>BALANCE</t>
        </is>
      </c>
      <c r="FA217" s="9" t="inlineStr">
        <is>
          <t>-</t>
        </is>
      </c>
      <c r="FB217" s="9" t="inlineStr">
        <is>
          <t>-</t>
        </is>
      </c>
      <c r="FC217" s="9" t="inlineStr">
        <is>
          <t>-</t>
        </is>
      </c>
      <c r="FD217" s="9" t="inlineStr">
        <is>
          <t>-</t>
        </is>
      </c>
      <c r="FE217" s="9" t="n">
        <v>0</v>
      </c>
      <c r="FI217" s="9" t="inlineStr">
        <is>
          <t>BALANCE</t>
        </is>
      </c>
      <c r="FJ217" s="9" t="inlineStr">
        <is>
          <t>-</t>
        </is>
      </c>
      <c r="FK217" s="9" t="inlineStr">
        <is>
          <t>-</t>
        </is>
      </c>
      <c r="FL217" s="9" t="inlineStr">
        <is>
          <t>-</t>
        </is>
      </c>
      <c r="FM217" s="9" t="inlineStr">
        <is>
          <t>-</t>
        </is>
      </c>
      <c r="FN217" s="9" t="n">
        <v>0</v>
      </c>
      <c r="FR217" s="9" t="inlineStr">
        <is>
          <t>BALANCE</t>
        </is>
      </c>
      <c r="FS217" s="9" t="inlineStr">
        <is>
          <t>-</t>
        </is>
      </c>
      <c r="FT217" s="9" t="inlineStr">
        <is>
          <t>-</t>
        </is>
      </c>
      <c r="FU217" s="9" t="inlineStr">
        <is>
          <t>-</t>
        </is>
      </c>
      <c r="FV217" s="9" t="inlineStr">
        <is>
          <t>-</t>
        </is>
      </c>
      <c r="FW217" s="9" t="n">
        <v>1160</v>
      </c>
      <c r="FX217" s="9" t="n">
        <v>58</v>
      </c>
      <c r="FY217" s="9" t="inlineStr">
        <is>
          <t>bags</t>
        </is>
      </c>
      <c r="GA217" s="9" t="inlineStr">
        <is>
          <t>BALANCE</t>
        </is>
      </c>
      <c r="GB217" s="9" t="inlineStr">
        <is>
          <t>-</t>
        </is>
      </c>
      <c r="GC217" s="9" t="inlineStr">
        <is>
          <t>-</t>
        </is>
      </c>
      <c r="GD217" s="9" t="inlineStr">
        <is>
          <t>-</t>
        </is>
      </c>
      <c r="GE217" s="9" t="inlineStr">
        <is>
          <t>-</t>
        </is>
      </c>
      <c r="GF217" s="9" t="n">
        <v>960</v>
      </c>
      <c r="GG217" s="9" t="n">
        <v>48</v>
      </c>
      <c r="GH217" s="9" t="inlineStr">
        <is>
          <t>bags</t>
        </is>
      </c>
      <c r="GJ217" s="9" t="inlineStr">
        <is>
          <t>BALANCE</t>
        </is>
      </c>
      <c r="GK217" s="9" t="inlineStr">
        <is>
          <t>-</t>
        </is>
      </c>
      <c r="GL217" s="9" t="inlineStr">
        <is>
          <t>-</t>
        </is>
      </c>
      <c r="GM217" s="9" t="inlineStr">
        <is>
          <t>-</t>
        </is>
      </c>
      <c r="GN217" s="9" t="inlineStr">
        <is>
          <t>-</t>
        </is>
      </c>
      <c r="GO217" s="9" t="n">
        <v>1760</v>
      </c>
      <c r="GP217" s="9" t="n">
        <v>88</v>
      </c>
      <c r="GQ217" s="9" t="inlineStr">
        <is>
          <t>bags</t>
        </is>
      </c>
      <c r="GS217" s="9" t="inlineStr">
        <is>
          <t>BALANCE</t>
        </is>
      </c>
      <c r="GT217" s="9" t="inlineStr">
        <is>
          <t>-</t>
        </is>
      </c>
      <c r="GU217" s="9" t="inlineStr">
        <is>
          <t>-</t>
        </is>
      </c>
      <c r="GV217" s="9" t="inlineStr">
        <is>
          <t>-</t>
        </is>
      </c>
      <c r="GW217" s="9" t="inlineStr">
        <is>
          <t>-</t>
        </is>
      </c>
      <c r="GX217" s="9" t="n">
        <v>400</v>
      </c>
      <c r="GY217" s="9" t="n">
        <v>20</v>
      </c>
      <c r="GZ217" s="9" t="inlineStr">
        <is>
          <t>bags</t>
        </is>
      </c>
      <c r="HB217" s="9" t="inlineStr">
        <is>
          <t>BALANCE</t>
        </is>
      </c>
      <c r="HC217" s="9" t="inlineStr">
        <is>
          <t>-</t>
        </is>
      </c>
      <c r="HD217" s="9" t="inlineStr">
        <is>
          <t>-</t>
        </is>
      </c>
      <c r="HE217" s="9" t="inlineStr">
        <is>
          <t>-</t>
        </is>
      </c>
      <c r="HF217" s="9" t="inlineStr">
        <is>
          <t>-</t>
        </is>
      </c>
      <c r="HG217" s="9" t="n">
        <v>3600</v>
      </c>
      <c r="HH217" s="9" t="n">
        <v>180</v>
      </c>
      <c r="HI217" s="9" t="inlineStr">
        <is>
          <t>bags</t>
        </is>
      </c>
      <c r="HK217" s="9" t="inlineStr">
        <is>
          <t>BALANCE</t>
        </is>
      </c>
      <c r="HL217" s="9" t="inlineStr">
        <is>
          <t>-</t>
        </is>
      </c>
      <c r="HM217" s="9" t="inlineStr">
        <is>
          <t>-</t>
        </is>
      </c>
      <c r="HN217" s="9" t="inlineStr">
        <is>
          <t>-</t>
        </is>
      </c>
      <c r="HO217" s="9" t="inlineStr">
        <is>
          <t>-</t>
        </is>
      </c>
      <c r="HP217" s="9" t="n">
        <v>0</v>
      </c>
      <c r="HU217" s="9" t="inlineStr">
        <is>
          <t>BALANCE</t>
        </is>
      </c>
      <c r="HV217" s="9" t="inlineStr">
        <is>
          <t>-</t>
        </is>
      </c>
      <c r="HW217" s="9" t="inlineStr">
        <is>
          <t>-</t>
        </is>
      </c>
      <c r="HX217" s="9" t="inlineStr">
        <is>
          <t>-</t>
        </is>
      </c>
      <c r="HY217" s="9" t="inlineStr">
        <is>
          <t>-</t>
        </is>
      </c>
      <c r="HZ217" s="9" t="n">
        <v>6680</v>
      </c>
      <c r="IA217" s="9" t="n">
        <v>334</v>
      </c>
      <c r="IB217" s="9" t="inlineStr">
        <is>
          <t>bags</t>
        </is>
      </c>
      <c r="ID217" s="9" t="inlineStr">
        <is>
          <t>BALANCE</t>
        </is>
      </c>
      <c r="IE217" s="9" t="inlineStr">
        <is>
          <t>-</t>
        </is>
      </c>
      <c r="IF217" s="9" t="inlineStr">
        <is>
          <t>-</t>
        </is>
      </c>
      <c r="IG217" s="9" t="inlineStr">
        <is>
          <t>-</t>
        </is>
      </c>
      <c r="IH217" s="9" t="inlineStr">
        <is>
          <t>-</t>
        </is>
      </c>
      <c r="II217" s="9" t="n">
        <v>720</v>
      </c>
      <c r="IJ217" s="9" t="n">
        <v>36</v>
      </c>
      <c r="IK217" s="9" t="inlineStr">
        <is>
          <t>bags</t>
        </is>
      </c>
      <c r="IM217" s="9" t="inlineStr">
        <is>
          <t>BALANCE</t>
        </is>
      </c>
      <c r="IN217" s="9" t="inlineStr">
        <is>
          <t>-</t>
        </is>
      </c>
      <c r="IO217" s="9" t="inlineStr">
        <is>
          <t>-</t>
        </is>
      </c>
      <c r="IP217" s="9" t="inlineStr">
        <is>
          <t>-</t>
        </is>
      </c>
      <c r="IQ217" s="9" t="inlineStr">
        <is>
          <t>-</t>
        </is>
      </c>
      <c r="IR217" s="9" t="n">
        <v>6520</v>
      </c>
      <c r="IS217" s="9" t="n">
        <v>326</v>
      </c>
      <c r="IT217" s="9" t="inlineStr">
        <is>
          <t>bags</t>
        </is>
      </c>
      <c r="IV217" s="9" t="inlineStr">
        <is>
          <t>BALANCE</t>
        </is>
      </c>
      <c r="IW217" s="9" t="inlineStr">
        <is>
          <t>-</t>
        </is>
      </c>
      <c r="IX217" s="9" t="inlineStr">
        <is>
          <t>-</t>
        </is>
      </c>
      <c r="IY217" s="9" t="inlineStr">
        <is>
          <t>-</t>
        </is>
      </c>
      <c r="IZ217" s="9" t="inlineStr">
        <is>
          <t>-</t>
        </is>
      </c>
      <c r="JA217" s="9" t="n">
        <v>4960</v>
      </c>
      <c r="JB217" s="9" t="n">
        <v>248</v>
      </c>
      <c r="JC217" s="9" t="inlineStr">
        <is>
          <t>bags</t>
        </is>
      </c>
      <c r="JE217" s="9" t="inlineStr">
        <is>
          <t>BALANCE</t>
        </is>
      </c>
      <c r="JF217" s="9" t="inlineStr">
        <is>
          <t>-</t>
        </is>
      </c>
      <c r="JG217" s="9" t="inlineStr">
        <is>
          <t>-</t>
        </is>
      </c>
      <c r="JH217" s="9" t="inlineStr">
        <is>
          <t>-</t>
        </is>
      </c>
      <c r="JI217" s="9" t="inlineStr">
        <is>
          <t>-</t>
        </is>
      </c>
      <c r="JJ217" s="9" t="n">
        <v>0</v>
      </c>
      <c r="JN217" s="9" t="inlineStr">
        <is>
          <t>BALANCE</t>
        </is>
      </c>
      <c r="JO217" s="9" t="inlineStr">
        <is>
          <t>-</t>
        </is>
      </c>
      <c r="JP217" s="9" t="inlineStr">
        <is>
          <t>-</t>
        </is>
      </c>
      <c r="JQ217" s="9" t="inlineStr">
        <is>
          <t>-</t>
        </is>
      </c>
      <c r="JR217" s="9" t="inlineStr">
        <is>
          <t>-</t>
        </is>
      </c>
      <c r="JS217" s="9" t="n">
        <v>0</v>
      </c>
      <c r="JT217" s="9" t="n">
        <v>0</v>
      </c>
      <c r="JU217" s="9" t="inlineStr">
        <is>
          <t>bags</t>
        </is>
      </c>
      <c r="JW217" s="9" t="inlineStr">
        <is>
          <t>BALANCE</t>
        </is>
      </c>
      <c r="JX217" s="9" t="inlineStr">
        <is>
          <t>-</t>
        </is>
      </c>
      <c r="JY217" s="9" t="inlineStr">
        <is>
          <t>-</t>
        </is>
      </c>
      <c r="JZ217" s="9" t="inlineStr">
        <is>
          <t>-</t>
        </is>
      </c>
      <c r="KA217" s="9" t="inlineStr">
        <is>
          <t>-</t>
        </is>
      </c>
      <c r="KB217" s="9" t="n">
        <v>2540</v>
      </c>
      <c r="KC217" s="9" t="n">
        <v>127</v>
      </c>
      <c r="KD217" s="9" t="inlineStr">
        <is>
          <t>bags</t>
        </is>
      </c>
      <c r="KF217" s="9" t="inlineStr">
        <is>
          <t>BALANCE</t>
        </is>
      </c>
      <c r="KG217" s="9" t="inlineStr">
        <is>
          <t>-</t>
        </is>
      </c>
      <c r="KH217" s="9" t="inlineStr">
        <is>
          <t>-</t>
        </is>
      </c>
      <c r="KI217" s="9" t="inlineStr">
        <is>
          <t>-</t>
        </is>
      </c>
      <c r="KJ217" s="9" t="inlineStr">
        <is>
          <t>-</t>
        </is>
      </c>
      <c r="KK217" s="9" t="n">
        <v>2359.5</v>
      </c>
      <c r="KL217" s="9" t="n">
        <v>121</v>
      </c>
      <c r="KM217" s="9" t="inlineStr">
        <is>
          <t>bags</t>
        </is>
      </c>
      <c r="KO217" s="9" t="inlineStr">
        <is>
          <t>BALANCE</t>
        </is>
      </c>
      <c r="KP217" s="9" t="inlineStr">
        <is>
          <t>-</t>
        </is>
      </c>
      <c r="KQ217" s="9" t="inlineStr">
        <is>
          <t>-</t>
        </is>
      </c>
      <c r="KR217" s="9" t="inlineStr">
        <is>
          <t>-</t>
        </is>
      </c>
      <c r="KS217" s="9" t="inlineStr">
        <is>
          <t>-</t>
        </is>
      </c>
      <c r="KT217" s="9" t="n">
        <v>1890</v>
      </c>
      <c r="KU217" s="9" t="n">
        <v>100</v>
      </c>
      <c r="KV217" s="9" t="inlineStr">
        <is>
          <t>bags</t>
        </is>
      </c>
      <c r="KX217" s="9" t="inlineStr">
        <is>
          <t>BALANCE</t>
        </is>
      </c>
      <c r="KY217" s="9" t="inlineStr">
        <is>
          <t>-</t>
        </is>
      </c>
      <c r="KZ217" s="9" t="inlineStr">
        <is>
          <t>-</t>
        </is>
      </c>
      <c r="LA217" s="9" t="inlineStr">
        <is>
          <t>-</t>
        </is>
      </c>
      <c r="LB217" s="9" t="inlineStr">
        <is>
          <t>-</t>
        </is>
      </c>
      <c r="LC217" s="9" t="n">
        <v>3690</v>
      </c>
      <c r="LD217" s="9" t="n">
        <v>180</v>
      </c>
      <c r="LE217" s="9" t="inlineStr">
        <is>
          <t>bags</t>
        </is>
      </c>
      <c r="LG217" s="9" t="inlineStr">
        <is>
          <t>BALANCE</t>
        </is>
      </c>
      <c r="LH217" s="9" t="inlineStr">
        <is>
          <t>-</t>
        </is>
      </c>
      <c r="LI217" s="9" t="inlineStr">
        <is>
          <t>-</t>
        </is>
      </c>
      <c r="LJ217" s="9" t="inlineStr">
        <is>
          <t>-</t>
        </is>
      </c>
      <c r="LK217" s="9" t="inlineStr">
        <is>
          <t>-</t>
        </is>
      </c>
      <c r="LL217" s="9" t="n">
        <v>4000</v>
      </c>
      <c r="LM217" s="9" t="n">
        <v>200</v>
      </c>
      <c r="LN217" s="9" t="inlineStr">
        <is>
          <t>bags</t>
        </is>
      </c>
      <c r="LP217" s="9" t="inlineStr">
        <is>
          <t>BALANCE</t>
        </is>
      </c>
      <c r="LQ217" s="9" t="inlineStr">
        <is>
          <t>-</t>
        </is>
      </c>
      <c r="LR217" s="9" t="inlineStr">
        <is>
          <t>-</t>
        </is>
      </c>
      <c r="LS217" s="9" t="inlineStr">
        <is>
          <t>-</t>
        </is>
      </c>
      <c r="LT217" s="9" t="inlineStr">
        <is>
          <t>-</t>
        </is>
      </c>
      <c r="LU217" s="9" t="n">
        <v>0</v>
      </c>
      <c r="LY217" s="9" t="inlineStr">
        <is>
          <t>BALANCE</t>
        </is>
      </c>
      <c r="LZ217" s="9" t="inlineStr">
        <is>
          <t>-</t>
        </is>
      </c>
      <c r="MA217" s="9" t="inlineStr">
        <is>
          <t>-</t>
        </is>
      </c>
      <c r="MB217" s="9" t="inlineStr">
        <is>
          <t>-</t>
        </is>
      </c>
      <c r="MC217" s="9" t="inlineStr">
        <is>
          <t>-</t>
        </is>
      </c>
      <c r="MD217" s="9" t="n">
        <v>0</v>
      </c>
      <c r="MH217" s="9" t="inlineStr">
        <is>
          <t>BALANCE</t>
        </is>
      </c>
      <c r="MI217" s="9" t="inlineStr">
        <is>
          <t>-</t>
        </is>
      </c>
      <c r="MJ217" s="9" t="inlineStr">
        <is>
          <t>-</t>
        </is>
      </c>
      <c r="MK217" s="9" t="inlineStr">
        <is>
          <t>-</t>
        </is>
      </c>
      <c r="ML217" s="9" t="inlineStr">
        <is>
          <t>-</t>
        </is>
      </c>
      <c r="MM217" s="9" t="n">
        <v>0</v>
      </c>
      <c r="MQ217" s="9" t="inlineStr">
        <is>
          <t>BALANCE</t>
        </is>
      </c>
      <c r="MR217" s="9" t="inlineStr">
        <is>
          <t>-</t>
        </is>
      </c>
      <c r="MS217" s="9" t="inlineStr">
        <is>
          <t>-</t>
        </is>
      </c>
      <c r="MT217" s="9" t="inlineStr">
        <is>
          <t>-</t>
        </is>
      </c>
      <c r="MU217" s="9" t="inlineStr">
        <is>
          <t>-</t>
        </is>
      </c>
      <c r="MV217" s="9" t="n">
        <v>3595</v>
      </c>
      <c r="MZ217" s="9" t="inlineStr">
        <is>
          <t>BALANCE</t>
        </is>
      </c>
      <c r="NA217" s="9" t="inlineStr">
        <is>
          <t>-</t>
        </is>
      </c>
      <c r="NB217" s="9" t="inlineStr">
        <is>
          <t>-</t>
        </is>
      </c>
      <c r="NC217" s="9" t="inlineStr">
        <is>
          <t>-</t>
        </is>
      </c>
      <c r="ND217" s="9" t="inlineStr">
        <is>
          <t>-</t>
        </is>
      </c>
      <c r="NE217" s="9" t="n">
        <v>0</v>
      </c>
      <c r="NI217" s="9" t="inlineStr">
        <is>
          <t>BALANCE</t>
        </is>
      </c>
      <c r="NJ217" s="9" t="inlineStr">
        <is>
          <t>-</t>
        </is>
      </c>
      <c r="NK217" s="9" t="inlineStr">
        <is>
          <t>-</t>
        </is>
      </c>
      <c r="NL217" s="9" t="inlineStr">
        <is>
          <t>-</t>
        </is>
      </c>
      <c r="NM217" s="9" t="inlineStr">
        <is>
          <t>-</t>
        </is>
      </c>
      <c r="NN217" s="9" t="n">
        <v>1127</v>
      </c>
      <c r="NR217" s="9" t="inlineStr">
        <is>
          <t>BALANCE</t>
        </is>
      </c>
      <c r="NS217" s="9" t="inlineStr">
        <is>
          <t>-</t>
        </is>
      </c>
      <c r="NT217" s="9" t="inlineStr">
        <is>
          <t>-</t>
        </is>
      </c>
      <c r="NU217" s="9" t="inlineStr">
        <is>
          <t>-</t>
        </is>
      </c>
      <c r="NV217" s="9" t="inlineStr">
        <is>
          <t>-</t>
        </is>
      </c>
      <c r="NW217" s="9" t="n">
        <v>3112</v>
      </c>
      <c r="OA217" s="9" t="inlineStr">
        <is>
          <t>BALANCE</t>
        </is>
      </c>
      <c r="OB217" s="9" t="inlineStr">
        <is>
          <t>-</t>
        </is>
      </c>
      <c r="OC217" s="9" t="inlineStr">
        <is>
          <t>-</t>
        </is>
      </c>
      <c r="OD217" s="9" t="inlineStr">
        <is>
          <t>-</t>
        </is>
      </c>
      <c r="OE217" s="9" t="inlineStr">
        <is>
          <t>-</t>
        </is>
      </c>
      <c r="OF217" s="9" t="n">
        <v>1680.5</v>
      </c>
      <c r="OJ217" s="9" t="inlineStr">
        <is>
          <t>BALANCE</t>
        </is>
      </c>
      <c r="OK217" s="9" t="inlineStr">
        <is>
          <t>-</t>
        </is>
      </c>
      <c r="OL217" s="9" t="inlineStr">
        <is>
          <t>-</t>
        </is>
      </c>
      <c r="OM217" s="9" t="inlineStr">
        <is>
          <t>-</t>
        </is>
      </c>
      <c r="ON217" s="9" t="inlineStr">
        <is>
          <t>-</t>
        </is>
      </c>
      <c r="OO217" s="9" t="n">
        <v>0</v>
      </c>
      <c r="OS217" s="9" t="inlineStr">
        <is>
          <t>BALANCE</t>
        </is>
      </c>
      <c r="OT217" s="9" t="inlineStr">
        <is>
          <t>-</t>
        </is>
      </c>
      <c r="OU217" s="9" t="inlineStr">
        <is>
          <t>-</t>
        </is>
      </c>
      <c r="OV217" s="9" t="inlineStr">
        <is>
          <t>-</t>
        </is>
      </c>
      <c r="OW217" s="9" t="inlineStr">
        <is>
          <t>-</t>
        </is>
      </c>
      <c r="OX217" s="9" t="n">
        <v>1482</v>
      </c>
      <c r="PB217" s="9" t="inlineStr">
        <is>
          <t>BALANCE</t>
        </is>
      </c>
      <c r="PC217" s="9" t="inlineStr">
        <is>
          <t>-</t>
        </is>
      </c>
      <c r="PD217" s="9" t="inlineStr">
        <is>
          <t>-</t>
        </is>
      </c>
      <c r="PE217" s="9" t="inlineStr">
        <is>
          <t>-</t>
        </is>
      </c>
      <c r="PF217" s="9" t="inlineStr">
        <is>
          <t>-</t>
        </is>
      </c>
      <c r="PG217" s="9" t="n">
        <v>0</v>
      </c>
      <c r="PK217" s="9" t="inlineStr">
        <is>
          <t>BALANCE</t>
        </is>
      </c>
      <c r="PL217" s="9" t="inlineStr">
        <is>
          <t>-</t>
        </is>
      </c>
      <c r="PM217" s="9" t="inlineStr">
        <is>
          <t>-</t>
        </is>
      </c>
      <c r="PN217" s="9" t="inlineStr">
        <is>
          <t>-</t>
        </is>
      </c>
      <c r="PO217" s="9" t="inlineStr">
        <is>
          <t>-</t>
        </is>
      </c>
      <c r="PP217" s="9" t="n">
        <v>100</v>
      </c>
      <c r="PT217" s="9" t="inlineStr">
        <is>
          <t>BALANCE</t>
        </is>
      </c>
      <c r="PU217" s="9" t="inlineStr">
        <is>
          <t>-</t>
        </is>
      </c>
      <c r="PV217" s="9" t="inlineStr">
        <is>
          <t>-</t>
        </is>
      </c>
      <c r="PW217" s="9" t="inlineStr">
        <is>
          <t>-</t>
        </is>
      </c>
      <c r="PX217" s="9" t="inlineStr">
        <is>
          <t>-</t>
        </is>
      </c>
      <c r="PY217" s="9" t="n">
        <v>13.96000000000004</v>
      </c>
      <c r="QC217" s="9" t="inlineStr">
        <is>
          <t>BALANCE</t>
        </is>
      </c>
      <c r="QD217" s="9" t="inlineStr">
        <is>
          <t>-</t>
        </is>
      </c>
      <c r="QE217" s="9" t="inlineStr">
        <is>
          <t>-</t>
        </is>
      </c>
      <c r="QF217" s="9" t="inlineStr">
        <is>
          <t>-</t>
        </is>
      </c>
      <c r="QG217" s="9" t="inlineStr">
        <is>
          <t>-</t>
        </is>
      </c>
      <c r="QH217" s="9" t="n">
        <v>1736</v>
      </c>
      <c r="QL217" s="9" t="inlineStr">
        <is>
          <t>BALANCE</t>
        </is>
      </c>
      <c r="QM217" s="9" t="inlineStr">
        <is>
          <t>-</t>
        </is>
      </c>
      <c r="QN217" s="9" t="inlineStr">
        <is>
          <t>-</t>
        </is>
      </c>
      <c r="QO217" s="9" t="inlineStr">
        <is>
          <t>-</t>
        </is>
      </c>
      <c r="QP217" s="9" t="inlineStr">
        <is>
          <t>-</t>
        </is>
      </c>
      <c r="QQ217" s="9" t="n">
        <v>250</v>
      </c>
      <c r="QU217" s="9" t="inlineStr">
        <is>
          <t>BALANCE</t>
        </is>
      </c>
      <c r="QV217" s="9" t="inlineStr">
        <is>
          <t>-</t>
        </is>
      </c>
      <c r="QW217" s="9" t="inlineStr">
        <is>
          <t>-</t>
        </is>
      </c>
      <c r="QX217" s="9" t="inlineStr">
        <is>
          <t>-</t>
        </is>
      </c>
      <c r="QY217" s="9" t="inlineStr">
        <is>
          <t>-</t>
        </is>
      </c>
      <c r="QZ217" s="9" t="n">
        <v>207.6</v>
      </c>
      <c r="RD217" s="9" t="inlineStr">
        <is>
          <t>BALANCE</t>
        </is>
      </c>
      <c r="RE217" s="9" t="inlineStr">
        <is>
          <t>-</t>
        </is>
      </c>
      <c r="RF217" s="9" t="inlineStr">
        <is>
          <t>-</t>
        </is>
      </c>
      <c r="RG217" s="9" t="inlineStr">
        <is>
          <t>-</t>
        </is>
      </c>
      <c r="RH217" s="9" t="inlineStr">
        <is>
          <t>-</t>
        </is>
      </c>
      <c r="RI217" s="9" t="n">
        <v>147.04</v>
      </c>
      <c r="RM217" s="9" t="inlineStr">
        <is>
          <t>BALANCE</t>
        </is>
      </c>
      <c r="RN217" s="9" t="inlineStr">
        <is>
          <t>-</t>
        </is>
      </c>
      <c r="RO217" s="9" t="inlineStr">
        <is>
          <t>-</t>
        </is>
      </c>
      <c r="RP217" s="9" t="inlineStr">
        <is>
          <t>-</t>
        </is>
      </c>
      <c r="RQ217" s="9" t="inlineStr">
        <is>
          <t>-</t>
        </is>
      </c>
      <c r="RR217" s="9" t="n">
        <v>46.8</v>
      </c>
      <c r="RV217" s="9" t="inlineStr">
        <is>
          <t>BALANCE</t>
        </is>
      </c>
      <c r="RW217" s="9" t="inlineStr">
        <is>
          <t>-</t>
        </is>
      </c>
      <c r="RX217" s="9" t="inlineStr">
        <is>
          <t>-</t>
        </is>
      </c>
      <c r="RY217" s="9" t="inlineStr">
        <is>
          <t>-</t>
        </is>
      </c>
      <c r="RZ217" s="9" t="inlineStr">
        <is>
          <t>-</t>
        </is>
      </c>
      <c r="SA217" s="9" t="n">
        <v>0</v>
      </c>
      <c r="SE217" s="9" t="inlineStr">
        <is>
          <t>BALANCE</t>
        </is>
      </c>
      <c r="SF217" s="9" t="inlineStr">
        <is>
          <t>-</t>
        </is>
      </c>
      <c r="SG217" s="9" t="inlineStr">
        <is>
          <t>-</t>
        </is>
      </c>
      <c r="SH217" s="9" t="inlineStr">
        <is>
          <t>-</t>
        </is>
      </c>
      <c r="SI217" s="9" t="inlineStr">
        <is>
          <t>-</t>
        </is>
      </c>
      <c r="SJ217" s="9" t="n">
        <v>24.2</v>
      </c>
      <c r="SN217" s="9" t="inlineStr">
        <is>
          <t>BALANCE</t>
        </is>
      </c>
      <c r="SO217" s="9" t="inlineStr">
        <is>
          <t>-</t>
        </is>
      </c>
      <c r="SP217" s="9" t="inlineStr">
        <is>
          <t>-</t>
        </is>
      </c>
      <c r="SQ217" s="9" t="inlineStr">
        <is>
          <t>-</t>
        </is>
      </c>
      <c r="SR217" s="9" t="inlineStr">
        <is>
          <t>-</t>
        </is>
      </c>
      <c r="SS217" s="9" t="n">
        <v>32</v>
      </c>
      <c r="SW217" s="9" t="inlineStr">
        <is>
          <t>BALANCE</t>
        </is>
      </c>
      <c r="SX217" s="9" t="inlineStr">
        <is>
          <t>-</t>
        </is>
      </c>
      <c r="SY217" s="9" t="inlineStr">
        <is>
          <t>-</t>
        </is>
      </c>
      <c r="SZ217" s="9" t="inlineStr">
        <is>
          <t>-</t>
        </is>
      </c>
      <c r="TA217" s="9" t="inlineStr">
        <is>
          <t>-</t>
        </is>
      </c>
      <c r="TB217" s="9" t="n">
        <v>0</v>
      </c>
      <c r="TF217" s="9" t="inlineStr">
        <is>
          <t>BALANCE</t>
        </is>
      </c>
      <c r="TG217" s="9" t="inlineStr">
        <is>
          <t>-</t>
        </is>
      </c>
      <c r="TH217" s="9" t="inlineStr">
        <is>
          <t>-</t>
        </is>
      </c>
      <c r="TI217" s="9" t="inlineStr">
        <is>
          <t>-</t>
        </is>
      </c>
      <c r="TJ217" s="9" t="inlineStr">
        <is>
          <t>-</t>
        </is>
      </c>
      <c r="TK217" s="9" t="n">
        <v>0</v>
      </c>
      <c r="TO217" s="9" t="inlineStr">
        <is>
          <t>BALANCE</t>
        </is>
      </c>
      <c r="TP217" s="9" t="inlineStr">
        <is>
          <t>-</t>
        </is>
      </c>
      <c r="TQ217" s="9" t="inlineStr">
        <is>
          <t>-</t>
        </is>
      </c>
      <c r="TR217" s="9" t="inlineStr">
        <is>
          <t>-</t>
        </is>
      </c>
      <c r="TS217" s="9" t="inlineStr">
        <is>
          <t>-</t>
        </is>
      </c>
      <c r="TT217" s="9" t="n">
        <v>22.40000000000001</v>
      </c>
      <c r="TX217" s="9" t="inlineStr">
        <is>
          <t>BALANCE</t>
        </is>
      </c>
      <c r="TY217" s="9" t="inlineStr">
        <is>
          <t>-</t>
        </is>
      </c>
      <c r="TZ217" s="9" t="inlineStr">
        <is>
          <t>-</t>
        </is>
      </c>
      <c r="UA217" s="9" t="inlineStr">
        <is>
          <t>-</t>
        </is>
      </c>
      <c r="UB217" s="9" t="inlineStr">
        <is>
          <t>-</t>
        </is>
      </c>
      <c r="UC217" s="9" t="n">
        <v>46.79999999999998</v>
      </c>
      <c r="UG217" s="9" t="inlineStr">
        <is>
          <t>BALANCE</t>
        </is>
      </c>
      <c r="UH217" s="9" t="inlineStr">
        <is>
          <t>-</t>
        </is>
      </c>
      <c r="UI217" s="9" t="inlineStr">
        <is>
          <t>-</t>
        </is>
      </c>
      <c r="UJ217" s="9" t="inlineStr">
        <is>
          <t>-</t>
        </is>
      </c>
      <c r="UK217" s="9" t="inlineStr">
        <is>
          <t>-</t>
        </is>
      </c>
      <c r="UL217" s="9" t="n">
        <v>204</v>
      </c>
      <c r="UP217" s="9" t="inlineStr">
        <is>
          <t>BALANCE</t>
        </is>
      </c>
      <c r="UQ217" s="9" t="inlineStr">
        <is>
          <t>-</t>
        </is>
      </c>
      <c r="UR217" s="9" t="inlineStr">
        <is>
          <t>-</t>
        </is>
      </c>
      <c r="US217" s="9" t="inlineStr">
        <is>
          <t>-</t>
        </is>
      </c>
      <c r="UT217" s="9" t="inlineStr">
        <is>
          <t>-</t>
        </is>
      </c>
      <c r="UU217" s="9" t="n">
        <v>251.25</v>
      </c>
      <c r="UY217" s="9" t="inlineStr">
        <is>
          <t>BALANCE</t>
        </is>
      </c>
      <c r="UZ217" s="9" t="inlineStr">
        <is>
          <t>-</t>
        </is>
      </c>
      <c r="VA217" s="9" t="inlineStr">
        <is>
          <t>-</t>
        </is>
      </c>
      <c r="VB217" s="9" t="inlineStr">
        <is>
          <t>-</t>
        </is>
      </c>
      <c r="VC217" s="9" t="inlineStr">
        <is>
          <t>-</t>
        </is>
      </c>
      <c r="VD217" s="9" t="n">
        <v>41.60000000000002</v>
      </c>
      <c r="VH217" s="9" t="inlineStr">
        <is>
          <t>BALANCE</t>
        </is>
      </c>
      <c r="VI217" s="9" t="inlineStr">
        <is>
          <t>-</t>
        </is>
      </c>
      <c r="VJ217" s="9" t="inlineStr">
        <is>
          <t>-</t>
        </is>
      </c>
      <c r="VK217" s="9" t="inlineStr">
        <is>
          <t>-</t>
        </is>
      </c>
      <c r="VL217" s="9" t="inlineStr">
        <is>
          <t>-</t>
        </is>
      </c>
      <c r="VM217" s="9" t="n">
        <v>210</v>
      </c>
      <c r="VQ217" s="9" t="inlineStr">
        <is>
          <t>BALANCE</t>
        </is>
      </c>
      <c r="VR217" s="9" t="inlineStr">
        <is>
          <t>-</t>
        </is>
      </c>
      <c r="VS217" s="9" t="inlineStr">
        <is>
          <t>-</t>
        </is>
      </c>
      <c r="VT217" s="9" t="inlineStr">
        <is>
          <t>-</t>
        </is>
      </c>
      <c r="VU217" s="9" t="inlineStr">
        <is>
          <t>-</t>
        </is>
      </c>
      <c r="VV217" s="9" t="n">
        <v>0</v>
      </c>
      <c r="VZ217" s="9" t="inlineStr">
        <is>
          <t>BALANCE</t>
        </is>
      </c>
      <c r="WA217" s="9" t="inlineStr">
        <is>
          <t>-</t>
        </is>
      </c>
      <c r="WB217" s="9" t="inlineStr">
        <is>
          <t>-</t>
        </is>
      </c>
      <c r="WC217" s="9" t="inlineStr">
        <is>
          <t>-</t>
        </is>
      </c>
      <c r="WD217" s="9" t="inlineStr">
        <is>
          <t>-</t>
        </is>
      </c>
      <c r="WE217" s="9" t="n">
        <v>0</v>
      </c>
      <c r="WI217" s="9" t="inlineStr">
        <is>
          <t>BALANCE</t>
        </is>
      </c>
      <c r="WJ217" s="9" t="inlineStr">
        <is>
          <t>-</t>
        </is>
      </c>
      <c r="WK217" s="9" t="inlineStr">
        <is>
          <t>-</t>
        </is>
      </c>
      <c r="WL217" s="9" t="inlineStr">
        <is>
          <t>-</t>
        </is>
      </c>
      <c r="WM217" s="9" t="inlineStr">
        <is>
          <t>-</t>
        </is>
      </c>
      <c r="WN217" s="9" t="n">
        <v>1057</v>
      </c>
      <c r="WR217" s="9" t="inlineStr">
        <is>
          <t>BALANCE</t>
        </is>
      </c>
      <c r="WS217" s="9" t="inlineStr">
        <is>
          <t>-</t>
        </is>
      </c>
      <c r="WT217" s="9" t="inlineStr">
        <is>
          <t>-</t>
        </is>
      </c>
      <c r="WU217" s="9" t="inlineStr">
        <is>
          <t>-</t>
        </is>
      </c>
      <c r="WV217" s="9" t="inlineStr">
        <is>
          <t>-</t>
        </is>
      </c>
      <c r="WW217" s="9" t="n">
        <v>0</v>
      </c>
      <c r="XA217" s="9" t="inlineStr">
        <is>
          <t>BALANCE</t>
        </is>
      </c>
      <c r="XB217" s="9" t="inlineStr">
        <is>
          <t>-</t>
        </is>
      </c>
      <c r="XC217" s="9" t="inlineStr">
        <is>
          <t>-</t>
        </is>
      </c>
      <c r="XD217" s="9" t="inlineStr">
        <is>
          <t>-</t>
        </is>
      </c>
      <c r="XE217" s="9" t="inlineStr">
        <is>
          <t>-</t>
        </is>
      </c>
      <c r="XF217" s="9" t="n">
        <v>7507</v>
      </c>
      <c r="XJ217" s="9" t="inlineStr">
        <is>
          <t>BALANCE</t>
        </is>
      </c>
      <c r="XK217" s="9" t="inlineStr">
        <is>
          <t>-</t>
        </is>
      </c>
      <c r="XL217" s="9" t="inlineStr">
        <is>
          <t>-</t>
        </is>
      </c>
      <c r="XM217" s="9" t="inlineStr">
        <is>
          <t>-</t>
        </is>
      </c>
      <c r="XN217" s="9" t="inlineStr">
        <is>
          <t>-</t>
        </is>
      </c>
      <c r="XO217" s="9" t="n">
        <v>4252</v>
      </c>
      <c r="XS217" s="9" t="inlineStr">
        <is>
          <t>BALANCE</t>
        </is>
      </c>
      <c r="XT217" s="9" t="inlineStr">
        <is>
          <t>-</t>
        </is>
      </c>
      <c r="XU217" s="9" t="inlineStr">
        <is>
          <t>-</t>
        </is>
      </c>
      <c r="XV217" s="9" t="inlineStr">
        <is>
          <t>-</t>
        </is>
      </c>
      <c r="XW217" s="9" t="inlineStr">
        <is>
          <t>-</t>
        </is>
      </c>
      <c r="XX217" s="9" t="n">
        <v>2179</v>
      </c>
      <c r="YB217" s="9" t="inlineStr">
        <is>
          <t>BALANCE</t>
        </is>
      </c>
      <c r="YC217" s="9" t="inlineStr">
        <is>
          <t>-</t>
        </is>
      </c>
      <c r="YD217" s="9" t="inlineStr">
        <is>
          <t>-</t>
        </is>
      </c>
      <c r="YE217" s="9" t="inlineStr">
        <is>
          <t>-</t>
        </is>
      </c>
      <c r="YF217" s="9" t="inlineStr">
        <is>
          <t>-</t>
        </is>
      </c>
      <c r="YG217" s="9" t="n">
        <v>4019</v>
      </c>
      <c r="YK217" s="9" t="inlineStr">
        <is>
          <t>BALANCE</t>
        </is>
      </c>
      <c r="YL217" s="9" t="inlineStr">
        <is>
          <t>-</t>
        </is>
      </c>
      <c r="YM217" s="9" t="inlineStr">
        <is>
          <t>-</t>
        </is>
      </c>
      <c r="YN217" s="9" t="inlineStr">
        <is>
          <t>-</t>
        </is>
      </c>
      <c r="YO217" s="9" t="inlineStr">
        <is>
          <t>-</t>
        </is>
      </c>
      <c r="YP217" s="9" t="n">
        <v>0</v>
      </c>
      <c r="YT217" s="9" t="inlineStr">
        <is>
          <t>BALANCE</t>
        </is>
      </c>
      <c r="YU217" s="9" t="inlineStr">
        <is>
          <t>-</t>
        </is>
      </c>
      <c r="YV217" s="9" t="inlineStr">
        <is>
          <t>-</t>
        </is>
      </c>
      <c r="YW217" s="9" t="inlineStr">
        <is>
          <t>-</t>
        </is>
      </c>
      <c r="YX217" s="9" t="inlineStr">
        <is>
          <t>-</t>
        </is>
      </c>
      <c r="YY217" s="9" t="n">
        <v>0</v>
      </c>
      <c r="ZC217" s="9" t="inlineStr">
        <is>
          <t>BALANCE</t>
        </is>
      </c>
      <c r="ZD217" s="9" t="inlineStr">
        <is>
          <t>-</t>
        </is>
      </c>
      <c r="ZE217" s="9" t="inlineStr">
        <is>
          <t>-</t>
        </is>
      </c>
      <c r="ZF217" s="9" t="inlineStr">
        <is>
          <t>-</t>
        </is>
      </c>
      <c r="ZG217" s="9" t="inlineStr">
        <is>
          <t>-</t>
        </is>
      </c>
      <c r="ZH217" s="9" t="n">
        <v>0</v>
      </c>
      <c r="ZL217" s="9" t="inlineStr">
        <is>
          <t>BALANCE</t>
        </is>
      </c>
      <c r="ZM217" s="9" t="inlineStr">
        <is>
          <t>-</t>
        </is>
      </c>
      <c r="ZN217" s="9" t="inlineStr">
        <is>
          <t>-</t>
        </is>
      </c>
      <c r="ZO217" s="9" t="inlineStr">
        <is>
          <t>-</t>
        </is>
      </c>
      <c r="ZP217" s="9" t="inlineStr">
        <is>
          <t>-</t>
        </is>
      </c>
      <c r="ZQ217" s="9" t="n">
        <v>0</v>
      </c>
      <c r="ZU217" s="9" t="inlineStr">
        <is>
          <t>BALANCE</t>
        </is>
      </c>
      <c r="ZV217" s="9" t="inlineStr">
        <is>
          <t>-</t>
        </is>
      </c>
      <c r="ZW217" s="9" t="inlineStr">
        <is>
          <t>-</t>
        </is>
      </c>
      <c r="ZX217" s="9" t="inlineStr">
        <is>
          <t>-</t>
        </is>
      </c>
      <c r="ZY217" s="9" t="inlineStr">
        <is>
          <t>-</t>
        </is>
      </c>
      <c r="ZZ217" s="9" t="n">
        <v>0</v>
      </c>
      <c r="AAD217" s="9" t="inlineStr">
        <is>
          <t>BALANCE</t>
        </is>
      </c>
      <c r="AAE217" s="9" t="inlineStr">
        <is>
          <t>-</t>
        </is>
      </c>
      <c r="AAF217" s="9" t="inlineStr">
        <is>
          <t>-</t>
        </is>
      </c>
      <c r="AAG217" s="9" t="inlineStr">
        <is>
          <t>-</t>
        </is>
      </c>
      <c r="AAH217" s="9" t="inlineStr">
        <is>
          <t>-</t>
        </is>
      </c>
      <c r="AAI217" s="9" t="n">
        <v>0</v>
      </c>
      <c r="AAM217" s="9" t="inlineStr">
        <is>
          <t>BALANCE</t>
        </is>
      </c>
      <c r="AAN217" s="9" t="inlineStr">
        <is>
          <t>-</t>
        </is>
      </c>
      <c r="AAO217" s="9" t="inlineStr">
        <is>
          <t>-</t>
        </is>
      </c>
      <c r="AAP217" s="9" t="inlineStr">
        <is>
          <t>-</t>
        </is>
      </c>
      <c r="AAQ217" s="9" t="inlineStr">
        <is>
          <t>-</t>
        </is>
      </c>
      <c r="AAR217" s="9" t="n">
        <v>0</v>
      </c>
      <c r="AAV217" s="9" t="inlineStr">
        <is>
          <t>BALANCE</t>
        </is>
      </c>
      <c r="AAW217" s="9" t="inlineStr">
        <is>
          <t>-</t>
        </is>
      </c>
      <c r="AAX217" s="9" t="inlineStr">
        <is>
          <t>-</t>
        </is>
      </c>
      <c r="AAY217" s="9" t="inlineStr">
        <is>
          <t>-</t>
        </is>
      </c>
      <c r="AAZ217" s="9" t="inlineStr">
        <is>
          <t>-</t>
        </is>
      </c>
      <c r="ABA217" s="9" t="n">
        <v>0</v>
      </c>
      <c r="ABE217" s="9" t="inlineStr">
        <is>
          <t>BALANCE</t>
        </is>
      </c>
      <c r="ABF217" s="9" t="inlineStr">
        <is>
          <t>-</t>
        </is>
      </c>
      <c r="ABG217" s="9" t="inlineStr">
        <is>
          <t>-</t>
        </is>
      </c>
      <c r="ABH217" s="9" t="inlineStr">
        <is>
          <t>-</t>
        </is>
      </c>
      <c r="ABI217" s="9" t="inlineStr">
        <is>
          <t>-</t>
        </is>
      </c>
      <c r="ABJ217" s="9" t="n">
        <v>0</v>
      </c>
    </row>
    <row r="218">
      <c r="C218" s="10" t="n">
        <v>46204</v>
      </c>
      <c r="D218" s="9" t="n">
        <v>28000</v>
      </c>
      <c r="E218" s="9" t="n">
        <v>3263.7</v>
      </c>
      <c r="F218" s="9" t="n">
        <v>3074</v>
      </c>
      <c r="G218" s="9" t="n">
        <v>189.7000000000003</v>
      </c>
      <c r="H218" s="9" t="n">
        <v>128533.8</v>
      </c>
      <c r="L218" s="10" t="n">
        <v>46204</v>
      </c>
      <c r="N218" s="9" t="n">
        <v>1785</v>
      </c>
      <c r="O218" s="9" t="n">
        <v>2016.4</v>
      </c>
      <c r="P218" s="9" t="n">
        <v>-231.4000000000001</v>
      </c>
      <c r="Q218" s="9" t="n">
        <v>49482.80000000007</v>
      </c>
      <c r="U218" s="10" t="n">
        <v>46204</v>
      </c>
      <c r="W218" s="9" t="n">
        <v>360</v>
      </c>
      <c r="X218" s="9" t="n">
        <v>297.6</v>
      </c>
      <c r="Y218" s="9" t="n">
        <v>62.39999999999998</v>
      </c>
      <c r="Z218" s="9" t="n">
        <v>32434.39999999997</v>
      </c>
      <c r="AD218" s="10" t="n">
        <v>46204</v>
      </c>
      <c r="AF218" s="9" t="n">
        <v>0</v>
      </c>
      <c r="AH218" s="9" t="n">
        <v>0</v>
      </c>
      <c r="AI218" s="9" t="n">
        <v>33372.70000000002</v>
      </c>
      <c r="AM218" s="10" t="n">
        <v>46204</v>
      </c>
      <c r="AO218" s="9" t="n">
        <v>0</v>
      </c>
      <c r="AQ218" s="9" t="n">
        <v>0</v>
      </c>
      <c r="AR218" s="9" t="n">
        <v>0</v>
      </c>
      <c r="AV218" s="10" t="n">
        <v>46204</v>
      </c>
      <c r="AX218" s="9" t="n">
        <v>0</v>
      </c>
      <c r="AZ218" s="9" t="n">
        <v>0</v>
      </c>
      <c r="BA218" s="9" t="n">
        <v>13946.2</v>
      </c>
      <c r="BE218" s="10" t="n">
        <v>46204</v>
      </c>
      <c r="BG218" s="9" t="n">
        <v>0</v>
      </c>
      <c r="BI218" s="9" t="n">
        <v>0</v>
      </c>
      <c r="BJ218" s="9" t="n">
        <v>36947.7</v>
      </c>
      <c r="BN218" s="10" t="n">
        <v>46204</v>
      </c>
      <c r="BP218" s="9" t="n">
        <v>30</v>
      </c>
      <c r="BR218" s="9" t="n">
        <v>30</v>
      </c>
      <c r="BS218" s="9" t="n">
        <v>0</v>
      </c>
      <c r="BW218" s="10" t="n">
        <v>46204</v>
      </c>
      <c r="BY218" s="9" t="n">
        <v>44.13</v>
      </c>
      <c r="CA218" s="9" t="n">
        <v>44.13</v>
      </c>
      <c r="CB218" s="9" t="n">
        <v>2388.779999999999</v>
      </c>
      <c r="CF218" s="10" t="n">
        <v>46204</v>
      </c>
      <c r="CH218" s="9" t="n">
        <v>0</v>
      </c>
      <c r="CJ218" s="9" t="n">
        <v>0</v>
      </c>
      <c r="CK218" s="9" t="n">
        <v>0</v>
      </c>
      <c r="CO218" s="10" t="n">
        <v>46204</v>
      </c>
      <c r="CQ218" s="9" t="n">
        <v>0</v>
      </c>
      <c r="CS218" s="9" t="n">
        <v>0</v>
      </c>
      <c r="CT218" s="9" t="n">
        <v>0</v>
      </c>
      <c r="CX218" s="10" t="n">
        <v>46204</v>
      </c>
      <c r="CZ218" s="9" t="n">
        <v>120</v>
      </c>
      <c r="DA218" s="9" t="n">
        <v>120</v>
      </c>
      <c r="DB218" s="9" t="n">
        <v>0</v>
      </c>
      <c r="DC218" s="9" t="n">
        <v>8369.900000000007</v>
      </c>
      <c r="DG218" s="10" t="n">
        <v>46204</v>
      </c>
      <c r="DI218" s="9" t="n">
        <v>0</v>
      </c>
      <c r="DK218" s="9" t="n">
        <v>0</v>
      </c>
      <c r="DL218" s="9" t="n">
        <v>34934.49999999999</v>
      </c>
      <c r="DP218" s="10" t="n">
        <v>46204</v>
      </c>
      <c r="DR218" s="9" t="n">
        <v>0</v>
      </c>
      <c r="DT218" s="9" t="n">
        <v>0</v>
      </c>
      <c r="DU218" s="9" t="n">
        <v>5800</v>
      </c>
      <c r="DY218" s="10" t="n">
        <v>46204</v>
      </c>
      <c r="EA218" s="9" t="n">
        <v>0</v>
      </c>
      <c r="EC218" s="9" t="n">
        <v>0</v>
      </c>
      <c r="ED218" s="9" t="n">
        <v>0</v>
      </c>
      <c r="EH218" s="10" t="n">
        <v>46204</v>
      </c>
      <c r="EJ218" s="9" t="n">
        <v>0</v>
      </c>
      <c r="EL218" s="9" t="n">
        <v>0</v>
      </c>
      <c r="EM218" s="9" t="n">
        <v>0</v>
      </c>
      <c r="EQ218" s="10" t="n">
        <v>46204</v>
      </c>
      <c r="ES218" s="9" t="n">
        <v>0</v>
      </c>
      <c r="EU218" s="9" t="n">
        <v>0</v>
      </c>
      <c r="EV218" s="9" t="n">
        <v>0</v>
      </c>
      <c r="EZ218" s="10" t="n">
        <v>46204</v>
      </c>
      <c r="FB218" s="9" t="n">
        <v>0</v>
      </c>
      <c r="FD218" s="9" t="n">
        <v>0</v>
      </c>
      <c r="FE218" s="9" t="n">
        <v>0</v>
      </c>
      <c r="FI218" s="10" t="n">
        <v>46204</v>
      </c>
      <c r="FK218" s="9" t="n">
        <v>0</v>
      </c>
      <c r="FM218" s="9" t="n">
        <v>0</v>
      </c>
      <c r="FN218" s="9" t="n">
        <v>0</v>
      </c>
      <c r="FR218" s="10" t="n">
        <v>46204</v>
      </c>
      <c r="FT218" s="9" t="n">
        <v>0</v>
      </c>
      <c r="FV218" s="9" t="n">
        <v>0</v>
      </c>
      <c r="FW218" s="9" t="n">
        <v>1160</v>
      </c>
      <c r="GA218" s="10" t="n">
        <v>46204</v>
      </c>
      <c r="GC218" s="9" t="n">
        <v>0</v>
      </c>
      <c r="GE218" s="9" t="n">
        <v>0</v>
      </c>
      <c r="GF218" s="9" t="n">
        <v>960</v>
      </c>
      <c r="GJ218" s="10" t="n">
        <v>46204</v>
      </c>
      <c r="GL218" s="9" t="n">
        <v>0</v>
      </c>
      <c r="GN218" s="9" t="n">
        <v>0</v>
      </c>
      <c r="GO218" s="9" t="n">
        <v>1760</v>
      </c>
      <c r="GS218" s="10" t="n">
        <v>46204</v>
      </c>
      <c r="GU218" s="9" t="n">
        <v>0</v>
      </c>
      <c r="GW218" s="9" t="n">
        <v>0</v>
      </c>
      <c r="GX218" s="9" t="n">
        <v>400</v>
      </c>
      <c r="HB218" s="10" t="n">
        <v>46204</v>
      </c>
      <c r="HD218" s="9" t="n">
        <v>0</v>
      </c>
      <c r="HF218" s="9" t="n">
        <v>0</v>
      </c>
      <c r="HG218" s="9" t="n">
        <v>3600</v>
      </c>
      <c r="HK218" s="10" t="n">
        <v>46204</v>
      </c>
      <c r="HM218" s="9" t="n">
        <v>0</v>
      </c>
      <c r="HO218" s="9" t="n">
        <v>0</v>
      </c>
      <c r="HP218" s="9" t="n">
        <v>0</v>
      </c>
      <c r="HU218" s="10" t="n">
        <v>46204</v>
      </c>
      <c r="HW218" s="9" t="n">
        <v>0</v>
      </c>
      <c r="HY218" s="9" t="n">
        <v>0</v>
      </c>
      <c r="HZ218" s="9" t="n">
        <v>6680</v>
      </c>
      <c r="ID218" s="10" t="n">
        <v>46204</v>
      </c>
      <c r="IF218" s="9" t="n">
        <v>0</v>
      </c>
      <c r="IH218" s="9" t="n">
        <v>0</v>
      </c>
      <c r="II218" s="9" t="n">
        <v>720</v>
      </c>
      <c r="IM218" s="10" t="n">
        <v>46204</v>
      </c>
      <c r="IO218" s="9" t="n">
        <v>0</v>
      </c>
      <c r="IQ218" s="9" t="n">
        <v>0</v>
      </c>
      <c r="IR218" s="9" t="n">
        <v>6520</v>
      </c>
      <c r="IV218" s="10" t="n">
        <v>46204</v>
      </c>
      <c r="IX218" s="9" t="n">
        <v>0</v>
      </c>
      <c r="IZ218" s="9" t="n">
        <v>0</v>
      </c>
      <c r="JA218" s="9" t="n">
        <v>4960</v>
      </c>
      <c r="JE218" s="10" t="n">
        <v>46204</v>
      </c>
      <c r="JG218" s="9" t="n">
        <v>0</v>
      </c>
      <c r="JI218" s="9" t="n">
        <v>0</v>
      </c>
      <c r="JJ218" s="9" t="n">
        <v>0</v>
      </c>
      <c r="JN218" s="10" t="n">
        <v>46204</v>
      </c>
      <c r="JP218" s="9" t="n">
        <v>0</v>
      </c>
      <c r="JR218" s="9" t="n">
        <v>0</v>
      </c>
      <c r="JS218" s="9" t="n">
        <v>0</v>
      </c>
      <c r="JW218" s="10" t="n">
        <v>46204</v>
      </c>
      <c r="JY218" s="9" t="n">
        <v>0</v>
      </c>
      <c r="KA218" s="9" t="n">
        <v>0</v>
      </c>
      <c r="KB218" s="9" t="n">
        <v>2540</v>
      </c>
      <c r="KF218" s="10" t="n">
        <v>46204</v>
      </c>
      <c r="KH218" s="9" t="n">
        <v>0</v>
      </c>
      <c r="KJ218" s="9" t="n">
        <v>0</v>
      </c>
      <c r="KK218" s="9" t="n">
        <v>2359.5</v>
      </c>
      <c r="KO218" s="10" t="n">
        <v>46204</v>
      </c>
      <c r="KQ218" s="9" t="n">
        <v>0</v>
      </c>
      <c r="KS218" s="9" t="n">
        <v>0</v>
      </c>
      <c r="KT218" s="9" t="n">
        <v>1890</v>
      </c>
      <c r="KX218" s="10" t="n">
        <v>46204</v>
      </c>
      <c r="KZ218" s="9" t="n">
        <v>0</v>
      </c>
      <c r="LB218" s="9" t="n">
        <v>0</v>
      </c>
      <c r="LC218" s="9" t="n">
        <v>3690</v>
      </c>
      <c r="LG218" s="10" t="n">
        <v>46204</v>
      </c>
      <c r="LI218" s="9" t="n">
        <v>0</v>
      </c>
      <c r="LK218" s="9" t="n">
        <v>0</v>
      </c>
      <c r="LL218" s="9" t="n">
        <v>4000</v>
      </c>
      <c r="LP218" s="10" t="n">
        <v>46204</v>
      </c>
      <c r="LR218" s="9" t="n">
        <v>0</v>
      </c>
      <c r="LT218" s="9" t="n">
        <v>0</v>
      </c>
      <c r="LU218" s="9" t="n">
        <v>0</v>
      </c>
      <c r="LY218" s="10" t="n">
        <v>46204</v>
      </c>
      <c r="MA218" s="9" t="n">
        <v>0</v>
      </c>
      <c r="MC218" s="9" t="n">
        <v>0</v>
      </c>
      <c r="MD218" s="9" t="n">
        <v>0</v>
      </c>
      <c r="MH218" s="10" t="n">
        <v>46204</v>
      </c>
      <c r="MJ218" s="9" t="n">
        <v>0</v>
      </c>
      <c r="ML218" s="9" t="n">
        <v>0</v>
      </c>
      <c r="MM218" s="9" t="n">
        <v>0</v>
      </c>
      <c r="MQ218" s="10" t="n">
        <v>46204</v>
      </c>
      <c r="MS218" s="9" t="n">
        <v>0</v>
      </c>
      <c r="MU218" s="9" t="n">
        <v>0</v>
      </c>
      <c r="MV218" s="9" t="n">
        <v>3595</v>
      </c>
      <c r="MZ218" s="10" t="n">
        <v>46204</v>
      </c>
      <c r="NB218" s="9" t="n">
        <v>0</v>
      </c>
      <c r="ND218" s="9" t="n">
        <v>0</v>
      </c>
      <c r="NE218" s="9" t="n">
        <v>0</v>
      </c>
      <c r="NI218" s="10" t="n">
        <v>46204</v>
      </c>
      <c r="NK218" s="9" t="n">
        <v>0</v>
      </c>
      <c r="NM218" s="9" t="n">
        <v>0</v>
      </c>
      <c r="NN218" s="9" t="n">
        <v>1127</v>
      </c>
      <c r="NR218" s="10" t="n">
        <v>46204</v>
      </c>
      <c r="NT218" s="9" t="n">
        <v>0</v>
      </c>
      <c r="NV218" s="9" t="n">
        <v>0</v>
      </c>
      <c r="NW218" s="9" t="n">
        <v>3112</v>
      </c>
      <c r="OA218" s="10" t="n">
        <v>46204</v>
      </c>
      <c r="OC218" s="9" t="n">
        <v>0</v>
      </c>
      <c r="OE218" s="9" t="n">
        <v>0</v>
      </c>
      <c r="OF218" s="9" t="n">
        <v>1680.5</v>
      </c>
      <c r="OJ218" s="10" t="n">
        <v>46204</v>
      </c>
      <c r="OL218" s="9" t="n">
        <v>0</v>
      </c>
      <c r="ON218" s="9" t="n">
        <v>0</v>
      </c>
      <c r="OO218" s="9" t="n">
        <v>0</v>
      </c>
      <c r="OS218" s="10" t="n">
        <v>46204</v>
      </c>
      <c r="OU218" s="9" t="n">
        <v>0</v>
      </c>
      <c r="OW218" s="9" t="n">
        <v>0</v>
      </c>
      <c r="OX218" s="9" t="n">
        <v>1482</v>
      </c>
      <c r="PB218" s="10" t="n">
        <v>46204</v>
      </c>
      <c r="PD218" s="9" t="n">
        <v>0</v>
      </c>
      <c r="PF218" s="9" t="n">
        <v>0</v>
      </c>
      <c r="PG218" s="9" t="n">
        <v>0</v>
      </c>
      <c r="PK218" s="10" t="n">
        <v>46204</v>
      </c>
      <c r="PM218" s="9" t="n">
        <v>0</v>
      </c>
      <c r="PO218" s="9" t="n">
        <v>0</v>
      </c>
      <c r="PP218" s="9" t="n">
        <v>100</v>
      </c>
      <c r="PT218" s="10" t="n">
        <v>46204</v>
      </c>
      <c r="PV218" s="9" t="n">
        <v>0</v>
      </c>
      <c r="PX218" s="9" t="n">
        <v>0</v>
      </c>
      <c r="PY218" s="9" t="n">
        <v>13.96000000000004</v>
      </c>
      <c r="QC218" s="10" t="n">
        <v>46204</v>
      </c>
      <c r="QE218" s="9" t="n">
        <v>0</v>
      </c>
      <c r="QG218" s="9" t="n">
        <v>0</v>
      </c>
      <c r="QH218" s="9" t="n">
        <v>1736</v>
      </c>
      <c r="QL218" s="10" t="n">
        <v>46204</v>
      </c>
      <c r="QN218" s="9" t="n">
        <v>0</v>
      </c>
      <c r="QP218" s="9" t="n">
        <v>0</v>
      </c>
      <c r="QQ218" s="9" t="n">
        <v>250</v>
      </c>
      <c r="QU218" s="10" t="n">
        <v>46204</v>
      </c>
      <c r="QW218" s="9" t="n">
        <v>0</v>
      </c>
      <c r="QY218" s="9" t="n">
        <v>0</v>
      </c>
      <c r="QZ218" s="9" t="n">
        <v>207.6</v>
      </c>
      <c r="RD218" s="10" t="n">
        <v>46204</v>
      </c>
      <c r="RF218" s="9" t="n">
        <v>0</v>
      </c>
      <c r="RH218" s="9" t="n">
        <v>0</v>
      </c>
      <c r="RI218" s="9" t="n">
        <v>147.04</v>
      </c>
      <c r="RM218" s="10" t="n">
        <v>46204</v>
      </c>
      <c r="RO218" s="9" t="n">
        <v>0</v>
      </c>
      <c r="RQ218" s="9" t="n">
        <v>0</v>
      </c>
      <c r="RR218" s="9" t="n">
        <v>46.8</v>
      </c>
      <c r="RV218" s="10" t="n">
        <v>46204</v>
      </c>
      <c r="RX218" s="9" t="n">
        <v>0</v>
      </c>
      <c r="RZ218" s="9" t="n">
        <v>0</v>
      </c>
      <c r="SA218" s="9" t="n">
        <v>0</v>
      </c>
      <c r="SE218" s="10" t="n">
        <v>46204</v>
      </c>
      <c r="SG218" s="9" t="n">
        <v>0</v>
      </c>
      <c r="SI218" s="9" t="n">
        <v>0</v>
      </c>
      <c r="SJ218" s="9" t="n">
        <v>24.2</v>
      </c>
      <c r="SN218" s="10" t="n">
        <v>46204</v>
      </c>
      <c r="SP218" s="9" t="n">
        <v>0</v>
      </c>
      <c r="SR218" s="9" t="n">
        <v>0</v>
      </c>
      <c r="SS218" s="9" t="n">
        <v>32</v>
      </c>
      <c r="SW218" s="10" t="n">
        <v>46204</v>
      </c>
      <c r="SY218" s="9" t="n">
        <v>0</v>
      </c>
      <c r="TA218" s="9" t="n">
        <v>0</v>
      </c>
      <c r="TB218" s="9" t="n">
        <v>0</v>
      </c>
      <c r="TF218" s="10" t="n">
        <v>46204</v>
      </c>
      <c r="TH218" s="9" t="n">
        <v>0</v>
      </c>
      <c r="TJ218" s="9" t="n">
        <v>0</v>
      </c>
      <c r="TK218" s="9" t="n">
        <v>0</v>
      </c>
      <c r="TO218" s="10" t="n">
        <v>46204</v>
      </c>
      <c r="TQ218" s="9" t="n">
        <v>0</v>
      </c>
      <c r="TS218" s="9" t="n">
        <v>0</v>
      </c>
      <c r="TT218" s="9" t="n">
        <v>22.40000000000001</v>
      </c>
      <c r="TX218" s="10" t="n">
        <v>46204</v>
      </c>
      <c r="TZ218" s="9" t="n">
        <v>0</v>
      </c>
      <c r="UB218" s="9" t="n">
        <v>0</v>
      </c>
      <c r="UC218" s="9" t="n">
        <v>46.79999999999998</v>
      </c>
      <c r="UG218" s="10" t="n">
        <v>46204</v>
      </c>
      <c r="UI218" s="9" t="n">
        <v>0</v>
      </c>
      <c r="UK218" s="9" t="n">
        <v>0</v>
      </c>
      <c r="UL218" s="9" t="n">
        <v>204</v>
      </c>
      <c r="UP218" s="10" t="n">
        <v>46204</v>
      </c>
      <c r="UR218" s="9" t="n">
        <v>0</v>
      </c>
      <c r="UT218" s="9" t="n">
        <v>0</v>
      </c>
      <c r="UU218" s="9" t="n">
        <v>251.25</v>
      </c>
      <c r="UY218" s="10" t="n">
        <v>46204</v>
      </c>
      <c r="VA218" s="9" t="n">
        <v>0</v>
      </c>
      <c r="VC218" s="9" t="n">
        <v>0</v>
      </c>
      <c r="VD218" s="9" t="n">
        <v>41.60000000000002</v>
      </c>
      <c r="VH218" s="10" t="n">
        <v>46204</v>
      </c>
      <c r="VJ218" s="9" t="n">
        <v>0</v>
      </c>
      <c r="VL218" s="9" t="n">
        <v>0</v>
      </c>
      <c r="VM218" s="9" t="n">
        <v>210</v>
      </c>
      <c r="VQ218" s="10" t="n">
        <v>46204</v>
      </c>
      <c r="VS218" s="9" t="n">
        <v>0</v>
      </c>
      <c r="VU218" s="9" t="n">
        <v>0</v>
      </c>
      <c r="VV218" s="9" t="n">
        <v>0</v>
      </c>
      <c r="VZ218" s="10" t="n">
        <v>46204</v>
      </c>
      <c r="WB218" s="9" t="n">
        <v>0</v>
      </c>
      <c r="WD218" s="9" t="n">
        <v>0</v>
      </c>
      <c r="WE218" s="9" t="n">
        <v>0</v>
      </c>
      <c r="WI218" s="10" t="n">
        <v>46204</v>
      </c>
      <c r="WK218" s="9" t="n">
        <v>0</v>
      </c>
      <c r="WM218" s="9" t="n">
        <v>0</v>
      </c>
      <c r="WN218" s="9" t="n">
        <v>1057</v>
      </c>
      <c r="WR218" s="10" t="n">
        <v>46204</v>
      </c>
      <c r="WT218" s="9" t="n">
        <v>0</v>
      </c>
      <c r="WV218" s="9" t="n">
        <v>0</v>
      </c>
      <c r="WW218" s="9" t="n">
        <v>0</v>
      </c>
      <c r="XA218" s="10" t="n">
        <v>46204</v>
      </c>
      <c r="XC218" s="9" t="n">
        <v>0</v>
      </c>
      <c r="XE218" s="9" t="n">
        <v>0</v>
      </c>
      <c r="XF218" s="9" t="n">
        <v>7507</v>
      </c>
      <c r="XJ218" s="10" t="n">
        <v>46204</v>
      </c>
      <c r="XL218" s="9" t="n">
        <v>0</v>
      </c>
      <c r="XN218" s="9" t="n">
        <v>0</v>
      </c>
      <c r="XO218" s="9" t="n">
        <v>4252</v>
      </c>
      <c r="XS218" s="10" t="n">
        <v>46204</v>
      </c>
      <c r="XU218" s="9" t="n">
        <v>0</v>
      </c>
      <c r="XW218" s="9" t="n">
        <v>0</v>
      </c>
      <c r="XX218" s="9" t="n">
        <v>2179</v>
      </c>
      <c r="YB218" s="10" t="n">
        <v>46204</v>
      </c>
      <c r="YD218" s="9" t="n">
        <v>0</v>
      </c>
      <c r="YF218" s="9" t="n">
        <v>0</v>
      </c>
      <c r="YG218" s="9" t="n">
        <v>4019</v>
      </c>
      <c r="YK218" s="10" t="n">
        <v>46204</v>
      </c>
      <c r="YM218" s="9" t="n">
        <v>0</v>
      </c>
      <c r="YO218" s="9" t="n">
        <v>0</v>
      </c>
      <c r="YP218" s="9" t="n">
        <v>0</v>
      </c>
      <c r="YT218" s="10" t="n">
        <v>46204</v>
      </c>
      <c r="YV218" s="9" t="n">
        <v>0</v>
      </c>
      <c r="YX218" s="9" t="n">
        <v>0</v>
      </c>
      <c r="YY218" s="9" t="n">
        <v>0</v>
      </c>
      <c r="ZC218" s="10" t="n">
        <v>46204</v>
      </c>
      <c r="ZE218" s="9" t="n">
        <v>0</v>
      </c>
      <c r="ZG218" s="9" t="n">
        <v>0</v>
      </c>
      <c r="ZH218" s="9" t="n">
        <v>0</v>
      </c>
      <c r="ZL218" s="10" t="n">
        <v>46204</v>
      </c>
      <c r="ZN218" s="9" t="n">
        <v>0</v>
      </c>
      <c r="ZP218" s="9" t="n">
        <v>0</v>
      </c>
      <c r="ZQ218" s="9" t="n">
        <v>0</v>
      </c>
      <c r="ZU218" s="10" t="n">
        <v>46204</v>
      </c>
      <c r="ZW218" s="9" t="n">
        <v>0</v>
      </c>
      <c r="ZY218" s="9" t="n">
        <v>0</v>
      </c>
      <c r="ZZ218" s="9" t="n">
        <v>0</v>
      </c>
      <c r="AAD218" s="10" t="n">
        <v>46204</v>
      </c>
      <c r="AAF218" s="9" t="n">
        <v>0</v>
      </c>
      <c r="AAH218" s="9" t="n">
        <v>0</v>
      </c>
      <c r="AAI218" s="9" t="n">
        <v>0</v>
      </c>
      <c r="AAM218" s="10" t="n">
        <v>46204</v>
      </c>
      <c r="AAO218" s="9" t="n">
        <v>0</v>
      </c>
      <c r="AAQ218" s="9" t="n">
        <v>0</v>
      </c>
      <c r="AAR218" s="9" t="n">
        <v>0</v>
      </c>
      <c r="AAV218" s="10" t="n">
        <v>46204</v>
      </c>
      <c r="AAX218" s="9" t="n">
        <v>0</v>
      </c>
      <c r="AAZ218" s="9" t="n">
        <v>0</v>
      </c>
      <c r="ABA218" s="9" t="n">
        <v>0</v>
      </c>
      <c r="ABE218" s="10" t="n">
        <v>46204</v>
      </c>
      <c r="ABG218" s="9" t="n">
        <v>0</v>
      </c>
      <c r="ABI218" s="9" t="n">
        <v>0</v>
      </c>
      <c r="ABJ218" s="9" t="n">
        <v>0</v>
      </c>
    </row>
    <row r="219">
      <c r="C219" s="10" t="n">
        <v>46205</v>
      </c>
      <c r="D219" s="9" t="n">
        <v>45100</v>
      </c>
      <c r="E219" s="9" t="n">
        <v>0</v>
      </c>
      <c r="F219" s="9" t="n">
        <v>30335.6</v>
      </c>
      <c r="G219" s="9" t="n">
        <v>-30335.6</v>
      </c>
      <c r="H219" s="9" t="n">
        <v>143298.2</v>
      </c>
      <c r="L219" s="10" t="n">
        <v>46205</v>
      </c>
      <c r="N219" s="9" t="n">
        <v>0</v>
      </c>
      <c r="O219" s="9" t="n">
        <v>10783.8</v>
      </c>
      <c r="P219" s="9" t="n">
        <v>-10783.8</v>
      </c>
      <c r="Q219" s="9" t="n">
        <v>38699.00000000007</v>
      </c>
      <c r="U219" s="10" t="n">
        <v>46205</v>
      </c>
      <c r="W219" s="9" t="n">
        <v>0</v>
      </c>
      <c r="X219" s="9" t="n">
        <v>3500.9</v>
      </c>
      <c r="Y219" s="9" t="n">
        <v>-3500.9</v>
      </c>
      <c r="Z219" s="9" t="n">
        <v>28933.49999999997</v>
      </c>
      <c r="AD219" s="10" t="n">
        <v>46205</v>
      </c>
      <c r="AF219" s="9" t="n">
        <v>0</v>
      </c>
      <c r="AH219" s="9" t="n">
        <v>0</v>
      </c>
      <c r="AI219" s="9" t="n">
        <v>33372.70000000002</v>
      </c>
      <c r="AM219" s="10" t="n">
        <v>46205</v>
      </c>
      <c r="AO219" s="9" t="n">
        <v>0</v>
      </c>
      <c r="AQ219" s="9" t="n">
        <v>0</v>
      </c>
      <c r="AR219" s="9" t="n">
        <v>0</v>
      </c>
      <c r="AV219" s="10" t="n">
        <v>46205</v>
      </c>
      <c r="AX219" s="9" t="n">
        <v>0</v>
      </c>
      <c r="AZ219" s="9" t="n">
        <v>0</v>
      </c>
      <c r="BA219" s="9" t="n">
        <v>13946.2</v>
      </c>
      <c r="BE219" s="10" t="n">
        <v>46205</v>
      </c>
      <c r="BG219" s="9" t="n">
        <v>0</v>
      </c>
      <c r="BH219" s="9" t="n">
        <v>500.8</v>
      </c>
      <c r="BI219" s="9" t="n">
        <v>-500.8</v>
      </c>
      <c r="BJ219" s="9" t="n">
        <v>36446.89999999999</v>
      </c>
      <c r="BN219" s="10" t="n">
        <v>46205</v>
      </c>
      <c r="BO219" s="9" t="n">
        <v>500</v>
      </c>
      <c r="BP219" s="9" t="n">
        <v>0</v>
      </c>
      <c r="BQ219" s="9" t="n">
        <v>500</v>
      </c>
      <c r="BR219" s="9" t="n">
        <v>-500</v>
      </c>
      <c r="BS219" s="9" t="n">
        <v>0</v>
      </c>
      <c r="BW219" s="10" t="n">
        <v>46205</v>
      </c>
      <c r="BY219" s="9" t="n">
        <v>0</v>
      </c>
      <c r="CA219" s="9" t="n">
        <v>0</v>
      </c>
      <c r="CB219" s="9" t="n">
        <v>2388.779999999999</v>
      </c>
      <c r="CF219" s="10" t="n">
        <v>46205</v>
      </c>
      <c r="CH219" s="9" t="n">
        <v>0</v>
      </c>
      <c r="CJ219" s="9" t="n">
        <v>0</v>
      </c>
      <c r="CK219" s="9" t="n">
        <v>0</v>
      </c>
      <c r="CO219" s="10" t="n">
        <v>46205</v>
      </c>
      <c r="CQ219" s="9" t="n">
        <v>0</v>
      </c>
      <c r="CS219" s="9" t="n">
        <v>0</v>
      </c>
      <c r="CT219" s="9" t="n">
        <v>0</v>
      </c>
      <c r="CX219" s="10" t="n">
        <v>46205</v>
      </c>
      <c r="CZ219" s="9" t="n">
        <v>0</v>
      </c>
      <c r="DA219" s="9" t="n">
        <v>1000.2</v>
      </c>
      <c r="DB219" s="9" t="n">
        <v>-1000.2</v>
      </c>
      <c r="DC219" s="9" t="n">
        <v>7369.700000000007</v>
      </c>
      <c r="DG219" s="10" t="n">
        <v>46205</v>
      </c>
      <c r="DI219" s="9" t="n">
        <v>0</v>
      </c>
      <c r="DK219" s="9" t="n">
        <v>0</v>
      </c>
      <c r="DL219" s="9" t="n">
        <v>34934.49999999999</v>
      </c>
      <c r="DP219" s="10" t="n">
        <v>46205</v>
      </c>
      <c r="DR219" s="9" t="n">
        <v>0</v>
      </c>
      <c r="DT219" s="9" t="n">
        <v>0</v>
      </c>
      <c r="DU219" s="9" t="n">
        <v>5800</v>
      </c>
      <c r="DY219" s="10" t="n">
        <v>46205</v>
      </c>
      <c r="EA219" s="9" t="n">
        <v>0</v>
      </c>
      <c r="EC219" s="9" t="n">
        <v>0</v>
      </c>
      <c r="ED219" s="9" t="n">
        <v>0</v>
      </c>
      <c r="EH219" s="10" t="n">
        <v>46205</v>
      </c>
      <c r="EJ219" s="9" t="n">
        <v>0</v>
      </c>
      <c r="EL219" s="9" t="n">
        <v>0</v>
      </c>
      <c r="EM219" s="9" t="n">
        <v>0</v>
      </c>
      <c r="EQ219" s="10" t="n">
        <v>46205</v>
      </c>
      <c r="ES219" s="9" t="n">
        <v>0</v>
      </c>
      <c r="EU219" s="9" t="n">
        <v>0</v>
      </c>
      <c r="EV219" s="9" t="n">
        <v>0</v>
      </c>
      <c r="EZ219" s="10" t="n">
        <v>46205</v>
      </c>
      <c r="FB219" s="9" t="n">
        <v>0</v>
      </c>
      <c r="FD219" s="9" t="n">
        <v>0</v>
      </c>
      <c r="FE219" s="9" t="n">
        <v>0</v>
      </c>
      <c r="FI219" s="10" t="n">
        <v>46205</v>
      </c>
      <c r="FK219" s="9" t="n">
        <v>0</v>
      </c>
      <c r="FM219" s="9" t="n">
        <v>0</v>
      </c>
      <c r="FN219" s="9" t="n">
        <v>0</v>
      </c>
      <c r="FR219" s="10" t="n">
        <v>46205</v>
      </c>
      <c r="FT219" s="9" t="n">
        <v>0</v>
      </c>
      <c r="FV219" s="9" t="n">
        <v>0</v>
      </c>
      <c r="FW219" s="9" t="n">
        <v>1160</v>
      </c>
      <c r="GA219" s="10" t="n">
        <v>46205</v>
      </c>
      <c r="GC219" s="9" t="n">
        <v>0</v>
      </c>
      <c r="GE219" s="9" t="n">
        <v>0</v>
      </c>
      <c r="GF219" s="9" t="n">
        <v>960</v>
      </c>
      <c r="GJ219" s="10" t="n">
        <v>46205</v>
      </c>
      <c r="GL219" s="9" t="n">
        <v>0</v>
      </c>
      <c r="GN219" s="9" t="n">
        <v>0</v>
      </c>
      <c r="GO219" s="9" t="n">
        <v>1760</v>
      </c>
      <c r="GS219" s="10" t="n">
        <v>46205</v>
      </c>
      <c r="GU219" s="9" t="n">
        <v>0</v>
      </c>
      <c r="GW219" s="9" t="n">
        <v>0</v>
      </c>
      <c r="GX219" s="9" t="n">
        <v>400</v>
      </c>
      <c r="HB219" s="10" t="n">
        <v>46205</v>
      </c>
      <c r="HD219" s="9" t="n">
        <v>0</v>
      </c>
      <c r="HF219" s="9" t="n">
        <v>0</v>
      </c>
      <c r="HG219" s="9" t="n">
        <v>3600</v>
      </c>
      <c r="HK219" s="10" t="n">
        <v>46205</v>
      </c>
      <c r="HM219" s="9" t="n">
        <v>0</v>
      </c>
      <c r="HO219" s="9" t="n">
        <v>0</v>
      </c>
      <c r="HP219" s="9" t="n">
        <v>0</v>
      </c>
      <c r="HU219" s="10" t="n">
        <v>46205</v>
      </c>
      <c r="HW219" s="9" t="n">
        <v>0</v>
      </c>
      <c r="HY219" s="9" t="n">
        <v>0</v>
      </c>
      <c r="HZ219" s="9" t="n">
        <v>6680</v>
      </c>
      <c r="ID219" s="10" t="n">
        <v>46205</v>
      </c>
      <c r="IF219" s="9" t="n">
        <v>0</v>
      </c>
      <c r="IH219" s="9" t="n">
        <v>0</v>
      </c>
      <c r="II219" s="9" t="n">
        <v>720</v>
      </c>
      <c r="IM219" s="10" t="n">
        <v>46205</v>
      </c>
      <c r="IO219" s="9" t="n">
        <v>0</v>
      </c>
      <c r="IQ219" s="9" t="n">
        <v>0</v>
      </c>
      <c r="IR219" s="9" t="n">
        <v>6520</v>
      </c>
      <c r="IV219" s="10" t="n">
        <v>46205</v>
      </c>
      <c r="IX219" s="9" t="n">
        <v>0</v>
      </c>
      <c r="IZ219" s="9" t="n">
        <v>0</v>
      </c>
      <c r="JA219" s="9" t="n">
        <v>4960</v>
      </c>
      <c r="JE219" s="10" t="n">
        <v>46205</v>
      </c>
      <c r="JG219" s="9" t="n">
        <v>0</v>
      </c>
      <c r="JI219" s="9" t="n">
        <v>0</v>
      </c>
      <c r="JJ219" s="9" t="n">
        <v>0</v>
      </c>
      <c r="JN219" s="10" t="n">
        <v>46205</v>
      </c>
      <c r="JP219" s="9" t="n">
        <v>0</v>
      </c>
      <c r="JR219" s="9" t="n">
        <v>0</v>
      </c>
      <c r="JS219" s="9" t="n">
        <v>0</v>
      </c>
      <c r="JW219" s="10" t="n">
        <v>46205</v>
      </c>
      <c r="JY219" s="9" t="n">
        <v>0</v>
      </c>
      <c r="KA219" s="9" t="n">
        <v>0</v>
      </c>
      <c r="KB219" s="9" t="n">
        <v>2540</v>
      </c>
      <c r="KF219" s="10" t="n">
        <v>46205</v>
      </c>
      <c r="KH219" s="9" t="n">
        <v>0</v>
      </c>
      <c r="KJ219" s="9" t="n">
        <v>0</v>
      </c>
      <c r="KK219" s="9" t="n">
        <v>2359.5</v>
      </c>
      <c r="KO219" s="10" t="n">
        <v>46205</v>
      </c>
      <c r="KQ219" s="9" t="n">
        <v>0</v>
      </c>
      <c r="KS219" s="9" t="n">
        <v>0</v>
      </c>
      <c r="KT219" s="9" t="n">
        <v>1890</v>
      </c>
      <c r="KX219" s="10" t="n">
        <v>46205</v>
      </c>
      <c r="KZ219" s="9" t="n">
        <v>0</v>
      </c>
      <c r="LB219" s="9" t="n">
        <v>0</v>
      </c>
      <c r="LC219" s="9" t="n">
        <v>3690</v>
      </c>
      <c r="LG219" s="10" t="n">
        <v>46205</v>
      </c>
      <c r="LI219" s="9" t="n">
        <v>0</v>
      </c>
      <c r="LK219" s="9" t="n">
        <v>0</v>
      </c>
      <c r="LL219" s="9" t="n">
        <v>4000</v>
      </c>
      <c r="LP219" s="10" t="n">
        <v>46205</v>
      </c>
      <c r="LR219" s="9" t="n">
        <v>0</v>
      </c>
      <c r="LT219" s="9" t="n">
        <v>0</v>
      </c>
      <c r="LU219" s="9" t="n">
        <v>0</v>
      </c>
      <c r="LY219" s="10" t="n">
        <v>46205</v>
      </c>
      <c r="MA219" s="9" t="n">
        <v>0</v>
      </c>
      <c r="MC219" s="9" t="n">
        <v>0</v>
      </c>
      <c r="MD219" s="9" t="n">
        <v>0</v>
      </c>
      <c r="MH219" s="10" t="n">
        <v>46205</v>
      </c>
      <c r="MJ219" s="9" t="n">
        <v>0</v>
      </c>
      <c r="ML219" s="9" t="n">
        <v>0</v>
      </c>
      <c r="MM219" s="9" t="n">
        <v>0</v>
      </c>
      <c r="MQ219" s="10" t="n">
        <v>46205</v>
      </c>
      <c r="MS219" s="9" t="n">
        <v>0</v>
      </c>
      <c r="MU219" s="9" t="n">
        <v>0</v>
      </c>
      <c r="MV219" s="9" t="n">
        <v>3595</v>
      </c>
      <c r="MZ219" s="10" t="n">
        <v>46205</v>
      </c>
      <c r="NB219" s="9" t="n">
        <v>0</v>
      </c>
      <c r="ND219" s="9" t="n">
        <v>0</v>
      </c>
      <c r="NE219" s="9" t="n">
        <v>0</v>
      </c>
      <c r="NI219" s="10" t="n">
        <v>46205</v>
      </c>
      <c r="NK219" s="9" t="n">
        <v>0</v>
      </c>
      <c r="NM219" s="9" t="n">
        <v>0</v>
      </c>
      <c r="NN219" s="9" t="n">
        <v>1127</v>
      </c>
      <c r="NR219" s="10" t="n">
        <v>46205</v>
      </c>
      <c r="NT219" s="9" t="n">
        <v>0</v>
      </c>
      <c r="NV219" s="9" t="n">
        <v>0</v>
      </c>
      <c r="NW219" s="9" t="n">
        <v>3112</v>
      </c>
      <c r="OA219" s="10" t="n">
        <v>46205</v>
      </c>
      <c r="OC219" s="9" t="n">
        <v>0</v>
      </c>
      <c r="OE219" s="9" t="n">
        <v>0</v>
      </c>
      <c r="OF219" s="9" t="n">
        <v>1680.5</v>
      </c>
      <c r="OJ219" s="10" t="n">
        <v>46205</v>
      </c>
      <c r="OL219" s="9" t="n">
        <v>0</v>
      </c>
      <c r="ON219" s="9" t="n">
        <v>0</v>
      </c>
      <c r="OO219" s="9" t="n">
        <v>0</v>
      </c>
      <c r="OS219" s="10" t="n">
        <v>46205</v>
      </c>
      <c r="OU219" s="9" t="n">
        <v>0</v>
      </c>
      <c r="OW219" s="9" t="n">
        <v>0</v>
      </c>
      <c r="OX219" s="9" t="n">
        <v>1482</v>
      </c>
      <c r="PB219" s="10" t="n">
        <v>46205</v>
      </c>
      <c r="PD219" s="9" t="n">
        <v>0</v>
      </c>
      <c r="PF219" s="9" t="n">
        <v>0</v>
      </c>
      <c r="PG219" s="9" t="n">
        <v>0</v>
      </c>
      <c r="PK219" s="10" t="n">
        <v>46205</v>
      </c>
      <c r="PM219" s="9" t="n">
        <v>0</v>
      </c>
      <c r="PO219" s="9" t="n">
        <v>0</v>
      </c>
      <c r="PP219" s="9" t="n">
        <v>100</v>
      </c>
      <c r="PT219" s="10" t="n">
        <v>46205</v>
      </c>
      <c r="PV219" s="9" t="n">
        <v>0</v>
      </c>
      <c r="PX219" s="9" t="n">
        <v>0</v>
      </c>
      <c r="PY219" s="9" t="n">
        <v>13.96000000000004</v>
      </c>
      <c r="QC219" s="10" t="n">
        <v>46205</v>
      </c>
      <c r="QE219" s="9" t="n">
        <v>0</v>
      </c>
      <c r="QG219" s="9" t="n">
        <v>0</v>
      </c>
      <c r="QH219" s="9" t="n">
        <v>1736</v>
      </c>
      <c r="QL219" s="10" t="n">
        <v>46205</v>
      </c>
      <c r="QN219" s="9" t="n">
        <v>0</v>
      </c>
      <c r="QP219" s="9" t="n">
        <v>0</v>
      </c>
      <c r="QQ219" s="9" t="n">
        <v>250</v>
      </c>
      <c r="QU219" s="10" t="n">
        <v>46205</v>
      </c>
      <c r="QW219" s="9" t="n">
        <v>0</v>
      </c>
      <c r="QY219" s="9" t="n">
        <v>0</v>
      </c>
      <c r="QZ219" s="9" t="n">
        <v>207.6</v>
      </c>
      <c r="RD219" s="10" t="n">
        <v>46205</v>
      </c>
      <c r="RF219" s="9" t="n">
        <v>0</v>
      </c>
      <c r="RH219" s="9" t="n">
        <v>0</v>
      </c>
      <c r="RI219" s="9" t="n">
        <v>147.04</v>
      </c>
      <c r="RM219" s="10" t="n">
        <v>46205</v>
      </c>
      <c r="RO219" s="9" t="n">
        <v>0</v>
      </c>
      <c r="RQ219" s="9" t="n">
        <v>0</v>
      </c>
      <c r="RR219" s="9" t="n">
        <v>46.8</v>
      </c>
      <c r="RV219" s="10" t="n">
        <v>46205</v>
      </c>
      <c r="RX219" s="9" t="n">
        <v>0</v>
      </c>
      <c r="RZ219" s="9" t="n">
        <v>0</v>
      </c>
      <c r="SA219" s="9" t="n">
        <v>0</v>
      </c>
      <c r="SE219" s="10" t="n">
        <v>46205</v>
      </c>
      <c r="SG219" s="9" t="n">
        <v>0</v>
      </c>
      <c r="SI219" s="9" t="n">
        <v>0</v>
      </c>
      <c r="SJ219" s="9" t="n">
        <v>24.2</v>
      </c>
      <c r="SN219" s="10" t="n">
        <v>46205</v>
      </c>
      <c r="SP219" s="9" t="n">
        <v>0</v>
      </c>
      <c r="SR219" s="9" t="n">
        <v>0</v>
      </c>
      <c r="SS219" s="9" t="n">
        <v>32</v>
      </c>
      <c r="SW219" s="10" t="n">
        <v>46205</v>
      </c>
      <c r="SY219" s="9" t="n">
        <v>0</v>
      </c>
      <c r="TA219" s="9" t="n">
        <v>0</v>
      </c>
      <c r="TB219" s="9" t="n">
        <v>0</v>
      </c>
      <c r="TF219" s="10" t="n">
        <v>46205</v>
      </c>
      <c r="TH219" s="9" t="n">
        <v>0</v>
      </c>
      <c r="TJ219" s="9" t="n">
        <v>0</v>
      </c>
      <c r="TK219" s="9" t="n">
        <v>0</v>
      </c>
      <c r="TO219" s="10" t="n">
        <v>46205</v>
      </c>
      <c r="TQ219" s="9" t="n">
        <v>0</v>
      </c>
      <c r="TS219" s="9" t="n">
        <v>0</v>
      </c>
      <c r="TT219" s="9" t="n">
        <v>22.40000000000001</v>
      </c>
      <c r="TX219" s="10" t="n">
        <v>46205</v>
      </c>
      <c r="TZ219" s="9" t="n">
        <v>0</v>
      </c>
      <c r="UB219" s="9" t="n">
        <v>0</v>
      </c>
      <c r="UC219" s="9" t="n">
        <v>46.79999999999998</v>
      </c>
      <c r="UG219" s="10" t="n">
        <v>46205</v>
      </c>
      <c r="UI219" s="9" t="n">
        <v>0</v>
      </c>
      <c r="UK219" s="9" t="n">
        <v>0</v>
      </c>
      <c r="UL219" s="9" t="n">
        <v>204</v>
      </c>
      <c r="UP219" s="10" t="n">
        <v>46205</v>
      </c>
      <c r="UR219" s="9" t="n">
        <v>0</v>
      </c>
      <c r="UT219" s="9" t="n">
        <v>0</v>
      </c>
      <c r="UU219" s="9" t="n">
        <v>251.25</v>
      </c>
      <c r="UY219" s="10" t="n">
        <v>46205</v>
      </c>
      <c r="VA219" s="9" t="n">
        <v>0</v>
      </c>
      <c r="VC219" s="9" t="n">
        <v>0</v>
      </c>
      <c r="VD219" s="9" t="n">
        <v>41.60000000000002</v>
      </c>
      <c r="VH219" s="10" t="n">
        <v>46205</v>
      </c>
      <c r="VJ219" s="9" t="n">
        <v>0</v>
      </c>
      <c r="VL219" s="9" t="n">
        <v>0</v>
      </c>
      <c r="VM219" s="9" t="n">
        <v>210</v>
      </c>
      <c r="VQ219" s="10" t="n">
        <v>46205</v>
      </c>
      <c r="VS219" s="9" t="n">
        <v>0</v>
      </c>
      <c r="VU219" s="9" t="n">
        <v>0</v>
      </c>
      <c r="VV219" s="9" t="n">
        <v>0</v>
      </c>
      <c r="VZ219" s="10" t="n">
        <v>46205</v>
      </c>
      <c r="WB219" s="9" t="n">
        <v>0</v>
      </c>
      <c r="WD219" s="9" t="n">
        <v>0</v>
      </c>
      <c r="WE219" s="9" t="n">
        <v>0</v>
      </c>
      <c r="WI219" s="10" t="n">
        <v>46205</v>
      </c>
      <c r="WK219" s="9" t="n">
        <v>0</v>
      </c>
      <c r="WM219" s="9" t="n">
        <v>0</v>
      </c>
      <c r="WN219" s="9" t="n">
        <v>1057</v>
      </c>
      <c r="WR219" s="10" t="n">
        <v>46205</v>
      </c>
      <c r="WT219" s="9" t="n">
        <v>0</v>
      </c>
      <c r="WV219" s="9" t="n">
        <v>0</v>
      </c>
      <c r="WW219" s="9" t="n">
        <v>0</v>
      </c>
      <c r="XA219" s="10" t="n">
        <v>46205</v>
      </c>
      <c r="XC219" s="9" t="n">
        <v>0</v>
      </c>
      <c r="XE219" s="9" t="n">
        <v>0</v>
      </c>
      <c r="XF219" s="9" t="n">
        <v>7507</v>
      </c>
      <c r="XJ219" s="10" t="n">
        <v>46205</v>
      </c>
      <c r="XL219" s="9" t="n">
        <v>0</v>
      </c>
      <c r="XN219" s="9" t="n">
        <v>0</v>
      </c>
      <c r="XO219" s="9" t="n">
        <v>4252</v>
      </c>
      <c r="XS219" s="10" t="n">
        <v>46205</v>
      </c>
      <c r="XU219" s="9" t="n">
        <v>0</v>
      </c>
      <c r="XW219" s="9" t="n">
        <v>0</v>
      </c>
      <c r="XX219" s="9" t="n">
        <v>2179</v>
      </c>
      <c r="YB219" s="10" t="n">
        <v>46205</v>
      </c>
      <c r="YD219" s="9" t="n">
        <v>0</v>
      </c>
      <c r="YF219" s="9" t="n">
        <v>0</v>
      </c>
      <c r="YG219" s="9" t="n">
        <v>4019</v>
      </c>
      <c r="YK219" s="10" t="n">
        <v>46205</v>
      </c>
      <c r="YM219" s="9" t="n">
        <v>0</v>
      </c>
      <c r="YO219" s="9" t="n">
        <v>0</v>
      </c>
      <c r="YP219" s="9" t="n">
        <v>0</v>
      </c>
      <c r="YT219" s="10" t="n">
        <v>46205</v>
      </c>
      <c r="YV219" s="9" t="n">
        <v>0</v>
      </c>
      <c r="YX219" s="9" t="n">
        <v>0</v>
      </c>
      <c r="YY219" s="9" t="n">
        <v>0</v>
      </c>
      <c r="ZC219" s="10" t="n">
        <v>46205</v>
      </c>
      <c r="ZE219" s="9" t="n">
        <v>0</v>
      </c>
      <c r="ZG219" s="9" t="n">
        <v>0</v>
      </c>
      <c r="ZH219" s="9" t="n">
        <v>0</v>
      </c>
      <c r="ZL219" s="10" t="n">
        <v>46205</v>
      </c>
      <c r="ZN219" s="9" t="n">
        <v>0</v>
      </c>
      <c r="ZP219" s="9" t="n">
        <v>0</v>
      </c>
      <c r="ZQ219" s="9" t="n">
        <v>0</v>
      </c>
      <c r="ZU219" s="10" t="n">
        <v>46205</v>
      </c>
      <c r="ZW219" s="9" t="n">
        <v>0</v>
      </c>
      <c r="ZY219" s="9" t="n">
        <v>0</v>
      </c>
      <c r="ZZ219" s="9" t="n">
        <v>0</v>
      </c>
      <c r="AAD219" s="10" t="n">
        <v>46205</v>
      </c>
      <c r="AAF219" s="9" t="n">
        <v>0</v>
      </c>
      <c r="AAH219" s="9" t="n">
        <v>0</v>
      </c>
      <c r="AAI219" s="9" t="n">
        <v>0</v>
      </c>
      <c r="AAM219" s="10" t="n">
        <v>46205</v>
      </c>
      <c r="AAO219" s="9" t="n">
        <v>0</v>
      </c>
      <c r="AAQ219" s="9" t="n">
        <v>0</v>
      </c>
      <c r="AAR219" s="9" t="n">
        <v>0</v>
      </c>
      <c r="AAV219" s="10" t="n">
        <v>46205</v>
      </c>
      <c r="AAX219" s="9" t="n">
        <v>0</v>
      </c>
      <c r="AAZ219" s="9" t="n">
        <v>0</v>
      </c>
      <c r="ABA219" s="9" t="n">
        <v>0</v>
      </c>
      <c r="ABE219" s="10" t="n">
        <v>46205</v>
      </c>
      <c r="ABG219" s="9" t="n">
        <v>0</v>
      </c>
      <c r="ABI219" s="9" t="n">
        <v>0</v>
      </c>
      <c r="ABJ219" s="9" t="n">
        <v>0</v>
      </c>
    </row>
    <row r="220">
      <c r="C220" s="10" t="n">
        <v>46206</v>
      </c>
      <c r="D220" s="9" t="n">
        <v>55450</v>
      </c>
      <c r="E220" s="9" t="n">
        <v>13347.4</v>
      </c>
      <c r="F220" s="9" t="n">
        <v>24252.8</v>
      </c>
      <c r="G220" s="9" t="n">
        <v>-10905.4</v>
      </c>
      <c r="H220" s="9" t="n">
        <v>174495.4000000001</v>
      </c>
      <c r="L220" s="10" t="n">
        <v>46206</v>
      </c>
      <c r="M220" s="9" t="n">
        <v>24550</v>
      </c>
      <c r="N220" s="9" t="n">
        <v>4743.2</v>
      </c>
      <c r="O220" s="9" t="n">
        <v>10693.8</v>
      </c>
      <c r="P220" s="9" t="n">
        <v>-5950.599999999999</v>
      </c>
      <c r="Q220" s="9" t="n">
        <v>52555.20000000007</v>
      </c>
      <c r="U220" s="10" t="n">
        <v>46206</v>
      </c>
      <c r="W220" s="9" t="n">
        <v>1540</v>
      </c>
      <c r="X220" s="9" t="n">
        <v>2741.6</v>
      </c>
      <c r="Y220" s="9" t="n">
        <v>-1201.6</v>
      </c>
      <c r="Z220" s="9" t="n">
        <v>26191.89999999997</v>
      </c>
      <c r="AD220" s="10" t="n">
        <v>46206</v>
      </c>
      <c r="AF220" s="9" t="n">
        <v>0</v>
      </c>
      <c r="AH220" s="9" t="n">
        <v>0</v>
      </c>
      <c r="AI220" s="9" t="n">
        <v>33372.70000000002</v>
      </c>
      <c r="AM220" s="10" t="n">
        <v>46206</v>
      </c>
      <c r="AO220" s="9" t="n">
        <v>0</v>
      </c>
      <c r="AQ220" s="9" t="n">
        <v>0</v>
      </c>
      <c r="AR220" s="9" t="n">
        <v>0</v>
      </c>
      <c r="AV220" s="10" t="n">
        <v>46206</v>
      </c>
      <c r="AX220" s="9" t="n">
        <v>0</v>
      </c>
      <c r="AZ220" s="9" t="n">
        <v>0</v>
      </c>
      <c r="BA220" s="9" t="n">
        <v>13946.2</v>
      </c>
      <c r="BE220" s="10" t="n">
        <v>46206</v>
      </c>
      <c r="BG220" s="9" t="n">
        <v>220</v>
      </c>
      <c r="BH220" s="9" t="n">
        <v>220.1</v>
      </c>
      <c r="BI220" s="9" t="n">
        <v>-0.09999999999999432</v>
      </c>
      <c r="BJ220" s="9" t="n">
        <v>36226.8</v>
      </c>
      <c r="BN220" s="10" t="n">
        <v>46206</v>
      </c>
      <c r="BO220" s="9" t="n">
        <v>320.3</v>
      </c>
      <c r="BP220" s="9" t="n">
        <v>110</v>
      </c>
      <c r="BQ220" s="9" t="n">
        <v>320.3</v>
      </c>
      <c r="BR220" s="9" t="n">
        <v>-210.3</v>
      </c>
      <c r="BS220" s="9" t="n">
        <v>0</v>
      </c>
      <c r="BW220" s="10" t="n">
        <v>46206</v>
      </c>
      <c r="BY220" s="9" t="n">
        <v>94.70999999999999</v>
      </c>
      <c r="BZ220" s="9" t="n">
        <v>9</v>
      </c>
      <c r="CA220" s="9" t="n">
        <v>85.70999999999999</v>
      </c>
      <c r="CB220" s="9" t="n">
        <v>2379.779999999999</v>
      </c>
      <c r="CF220" s="10" t="n">
        <v>46206</v>
      </c>
      <c r="CH220" s="9" t="n">
        <v>0</v>
      </c>
      <c r="CI220" s="9" t="n">
        <v>75</v>
      </c>
      <c r="CJ220" s="9" t="n">
        <v>-75</v>
      </c>
      <c r="CK220" s="9" t="n">
        <v>-75</v>
      </c>
      <c r="CO220" s="10" t="n">
        <v>46206</v>
      </c>
      <c r="CQ220" s="9" t="n">
        <v>0</v>
      </c>
      <c r="CS220" s="9" t="n">
        <v>0</v>
      </c>
      <c r="CT220" s="9" t="n">
        <v>0</v>
      </c>
      <c r="CX220" s="10" t="n">
        <v>46206</v>
      </c>
      <c r="CZ220" s="9" t="n">
        <v>440</v>
      </c>
      <c r="DA220" s="9" t="n">
        <v>839</v>
      </c>
      <c r="DB220" s="9" t="n">
        <v>-399</v>
      </c>
      <c r="DC220" s="9" t="n">
        <v>6530.700000000007</v>
      </c>
      <c r="DG220" s="10" t="n">
        <v>46206</v>
      </c>
      <c r="DI220" s="9" t="n">
        <v>0</v>
      </c>
      <c r="DK220" s="9" t="n">
        <v>0</v>
      </c>
      <c r="DL220" s="9" t="n">
        <v>34934.49999999999</v>
      </c>
      <c r="DP220" s="10" t="n">
        <v>46206</v>
      </c>
      <c r="DR220" s="9" t="n">
        <v>0</v>
      </c>
      <c r="DT220" s="9" t="n">
        <v>0</v>
      </c>
      <c r="DU220" s="9" t="n">
        <v>5800</v>
      </c>
      <c r="DY220" s="10" t="n">
        <v>46206</v>
      </c>
      <c r="EA220" s="9" t="n">
        <v>0</v>
      </c>
      <c r="EC220" s="9" t="n">
        <v>0</v>
      </c>
      <c r="ED220" s="9" t="n">
        <v>0</v>
      </c>
      <c r="EH220" s="10" t="n">
        <v>46206</v>
      </c>
      <c r="EJ220" s="9" t="n">
        <v>0</v>
      </c>
      <c r="EL220" s="9" t="n">
        <v>0</v>
      </c>
      <c r="EM220" s="9" t="n">
        <v>0</v>
      </c>
      <c r="EQ220" s="10" t="n">
        <v>46206</v>
      </c>
      <c r="ES220" s="9" t="n">
        <v>0</v>
      </c>
      <c r="EU220" s="9" t="n">
        <v>0</v>
      </c>
      <c r="EV220" s="9" t="n">
        <v>0</v>
      </c>
      <c r="EZ220" s="10" t="n">
        <v>46206</v>
      </c>
      <c r="FB220" s="9" t="n">
        <v>0</v>
      </c>
      <c r="FD220" s="9" t="n">
        <v>0</v>
      </c>
      <c r="FE220" s="9" t="n">
        <v>0</v>
      </c>
      <c r="FI220" s="10" t="n">
        <v>46206</v>
      </c>
      <c r="FK220" s="9" t="n">
        <v>0</v>
      </c>
      <c r="FM220" s="9" t="n">
        <v>0</v>
      </c>
      <c r="FN220" s="9" t="n">
        <v>0</v>
      </c>
      <c r="FR220" s="10" t="n">
        <v>46206</v>
      </c>
      <c r="FT220" s="9" t="n">
        <v>0</v>
      </c>
      <c r="FV220" s="9" t="n">
        <v>0</v>
      </c>
      <c r="FW220" s="9" t="n">
        <v>1160</v>
      </c>
      <c r="GA220" s="10" t="n">
        <v>46206</v>
      </c>
      <c r="GC220" s="9" t="n">
        <v>0</v>
      </c>
      <c r="GE220" s="9" t="n">
        <v>0</v>
      </c>
      <c r="GF220" s="9" t="n">
        <v>960</v>
      </c>
      <c r="GJ220" s="10" t="n">
        <v>46206</v>
      </c>
      <c r="GL220" s="9" t="n">
        <v>0</v>
      </c>
      <c r="GN220" s="9" t="n">
        <v>0</v>
      </c>
      <c r="GO220" s="9" t="n">
        <v>1760</v>
      </c>
      <c r="GS220" s="10" t="n">
        <v>46206</v>
      </c>
      <c r="GU220" s="9" t="n">
        <v>0</v>
      </c>
      <c r="GW220" s="9" t="n">
        <v>0</v>
      </c>
      <c r="GX220" s="9" t="n">
        <v>400</v>
      </c>
      <c r="HB220" s="10" t="n">
        <v>46206</v>
      </c>
      <c r="HD220" s="9" t="n">
        <v>0</v>
      </c>
      <c r="HF220" s="9" t="n">
        <v>0</v>
      </c>
      <c r="HG220" s="9" t="n">
        <v>3600</v>
      </c>
      <c r="HK220" s="10" t="n">
        <v>46206</v>
      </c>
      <c r="HM220" s="9" t="n">
        <v>0</v>
      </c>
      <c r="HO220" s="9" t="n">
        <v>0</v>
      </c>
      <c r="HP220" s="9" t="n">
        <v>0</v>
      </c>
      <c r="HU220" s="10" t="n">
        <v>46206</v>
      </c>
      <c r="HW220" s="9" t="n">
        <v>0</v>
      </c>
      <c r="HX220" s="9" t="n">
        <v>120</v>
      </c>
      <c r="HY220" s="9" t="n">
        <v>-120</v>
      </c>
      <c r="HZ220" s="9" t="n">
        <v>6560</v>
      </c>
      <c r="IA220" s="9" t="n">
        <v>6</v>
      </c>
      <c r="ID220" s="10" t="n">
        <v>46206</v>
      </c>
      <c r="IF220" s="9" t="n">
        <v>0</v>
      </c>
      <c r="IH220" s="9" t="n">
        <v>0</v>
      </c>
      <c r="II220" s="9" t="n">
        <v>720</v>
      </c>
      <c r="IM220" s="10" t="n">
        <v>46206</v>
      </c>
      <c r="IO220" s="9" t="n">
        <v>0</v>
      </c>
      <c r="IP220" s="9" t="n">
        <v>120</v>
      </c>
      <c r="IQ220" s="9" t="n">
        <v>-120</v>
      </c>
      <c r="IR220" s="9" t="n">
        <v>6400</v>
      </c>
      <c r="IS220" s="9" t="n">
        <v>6</v>
      </c>
      <c r="IV220" s="10" t="n">
        <v>46206</v>
      </c>
      <c r="IX220" s="9" t="n">
        <v>0</v>
      </c>
      <c r="IZ220" s="9" t="n">
        <v>0</v>
      </c>
      <c r="JA220" s="9" t="n">
        <v>4960</v>
      </c>
      <c r="JE220" s="10" t="n">
        <v>46206</v>
      </c>
      <c r="JG220" s="9" t="n">
        <v>0</v>
      </c>
      <c r="JI220" s="9" t="n">
        <v>0</v>
      </c>
      <c r="JJ220" s="9" t="n">
        <v>0</v>
      </c>
      <c r="JN220" s="10" t="n">
        <v>46206</v>
      </c>
      <c r="JP220" s="9" t="n">
        <v>0</v>
      </c>
      <c r="JR220" s="9" t="n">
        <v>0</v>
      </c>
      <c r="JS220" s="9" t="n">
        <v>0</v>
      </c>
      <c r="JW220" s="10" t="n">
        <v>46206</v>
      </c>
      <c r="JY220" s="9" t="n">
        <v>0</v>
      </c>
      <c r="KA220" s="9" t="n">
        <v>0</v>
      </c>
      <c r="KB220" s="9" t="n">
        <v>2540</v>
      </c>
      <c r="KF220" s="10" t="n">
        <v>46206</v>
      </c>
      <c r="KH220" s="9" t="n">
        <v>0</v>
      </c>
      <c r="KJ220" s="9" t="n">
        <v>0</v>
      </c>
      <c r="KK220" s="9" t="n">
        <v>2359.5</v>
      </c>
      <c r="KO220" s="10" t="n">
        <v>46206</v>
      </c>
      <c r="KQ220" s="9" t="n">
        <v>0</v>
      </c>
      <c r="KS220" s="9" t="n">
        <v>0</v>
      </c>
      <c r="KT220" s="9" t="n">
        <v>1890</v>
      </c>
      <c r="KX220" s="10" t="n">
        <v>46206</v>
      </c>
      <c r="KZ220" s="9" t="n">
        <v>0</v>
      </c>
      <c r="LB220" s="9" t="n">
        <v>0</v>
      </c>
      <c r="LC220" s="9" t="n">
        <v>3690</v>
      </c>
      <c r="LG220" s="10" t="n">
        <v>46206</v>
      </c>
      <c r="LI220" s="9" t="n">
        <v>0</v>
      </c>
      <c r="LK220" s="9" t="n">
        <v>0</v>
      </c>
      <c r="LL220" s="9" t="n">
        <v>4000</v>
      </c>
      <c r="LP220" s="10" t="n">
        <v>46206</v>
      </c>
      <c r="LR220" s="9" t="n">
        <v>0</v>
      </c>
      <c r="LT220" s="9" t="n">
        <v>0</v>
      </c>
      <c r="LU220" s="9" t="n">
        <v>0</v>
      </c>
      <c r="LY220" s="10" t="n">
        <v>46206</v>
      </c>
      <c r="MA220" s="9" t="n">
        <v>0</v>
      </c>
      <c r="MC220" s="9" t="n">
        <v>0</v>
      </c>
      <c r="MD220" s="9" t="n">
        <v>0</v>
      </c>
      <c r="MH220" s="10" t="n">
        <v>46206</v>
      </c>
      <c r="MJ220" s="9" t="n">
        <v>0</v>
      </c>
      <c r="ML220" s="9" t="n">
        <v>0</v>
      </c>
      <c r="MM220" s="9" t="n">
        <v>0</v>
      </c>
      <c r="MQ220" s="10" t="n">
        <v>46206</v>
      </c>
      <c r="MS220" s="9" t="n">
        <v>0</v>
      </c>
      <c r="MT220" s="9" t="n">
        <v>67</v>
      </c>
      <c r="MU220" s="9" t="n">
        <v>-67</v>
      </c>
      <c r="MV220" s="9" t="n">
        <v>3528</v>
      </c>
      <c r="MZ220" s="10" t="n">
        <v>46206</v>
      </c>
      <c r="NA220" s="9" t="n">
        <v>36</v>
      </c>
      <c r="NB220" s="9" t="n">
        <v>0</v>
      </c>
      <c r="NC220" s="9" t="n">
        <v>36</v>
      </c>
      <c r="ND220" s="9" t="n">
        <v>-36</v>
      </c>
      <c r="NE220" s="9" t="n">
        <v>0</v>
      </c>
      <c r="NI220" s="10" t="n">
        <v>46206</v>
      </c>
      <c r="NK220" s="9" t="n">
        <v>0</v>
      </c>
      <c r="NM220" s="9" t="n">
        <v>0</v>
      </c>
      <c r="NN220" s="9" t="n">
        <v>1127</v>
      </c>
      <c r="NR220" s="10" t="n">
        <v>46206</v>
      </c>
      <c r="NT220" s="9" t="n">
        <v>0</v>
      </c>
      <c r="NV220" s="9" t="n">
        <v>0</v>
      </c>
      <c r="NW220" s="9" t="n">
        <v>3112</v>
      </c>
      <c r="OA220" s="10" t="n">
        <v>46206</v>
      </c>
      <c r="OC220" s="9" t="n">
        <v>0</v>
      </c>
      <c r="OE220" s="9" t="n">
        <v>0</v>
      </c>
      <c r="OF220" s="9" t="n">
        <v>1680.5</v>
      </c>
      <c r="OJ220" s="10" t="n">
        <v>46206</v>
      </c>
      <c r="OL220" s="9" t="n">
        <v>0</v>
      </c>
      <c r="ON220" s="9" t="n">
        <v>0</v>
      </c>
      <c r="OO220" s="9" t="n">
        <v>0</v>
      </c>
      <c r="OS220" s="10" t="n">
        <v>46206</v>
      </c>
      <c r="OU220" s="9" t="n">
        <v>0</v>
      </c>
      <c r="OW220" s="9" t="n">
        <v>0</v>
      </c>
      <c r="OX220" s="9" t="n">
        <v>1482</v>
      </c>
      <c r="PB220" s="10" t="n">
        <v>46206</v>
      </c>
      <c r="PD220" s="9" t="n">
        <v>0</v>
      </c>
      <c r="PF220" s="9" t="n">
        <v>0</v>
      </c>
      <c r="PG220" s="9" t="n">
        <v>0</v>
      </c>
      <c r="PK220" s="10" t="n">
        <v>46206</v>
      </c>
      <c r="PM220" s="9" t="n">
        <v>0</v>
      </c>
      <c r="PO220" s="9" t="n">
        <v>0</v>
      </c>
      <c r="PP220" s="9" t="n">
        <v>100</v>
      </c>
      <c r="PT220" s="10" t="n">
        <v>46206</v>
      </c>
      <c r="PV220" s="9" t="n">
        <v>0</v>
      </c>
      <c r="PX220" s="9" t="n">
        <v>0</v>
      </c>
      <c r="PY220" s="9" t="n">
        <v>13.96000000000004</v>
      </c>
      <c r="QC220" s="10" t="n">
        <v>46206</v>
      </c>
      <c r="QE220" s="9" t="n">
        <v>0</v>
      </c>
      <c r="QG220" s="9" t="n">
        <v>0</v>
      </c>
      <c r="QH220" s="9" t="n">
        <v>1736</v>
      </c>
      <c r="QL220" s="10" t="n">
        <v>46206</v>
      </c>
      <c r="QN220" s="9" t="n">
        <v>0</v>
      </c>
      <c r="QO220" s="9" t="n">
        <v>15</v>
      </c>
      <c r="QP220" s="9" t="n">
        <v>-15</v>
      </c>
      <c r="QQ220" s="9" t="n">
        <v>235</v>
      </c>
      <c r="QU220" s="10" t="n">
        <v>46206</v>
      </c>
      <c r="QW220" s="9" t="n">
        <v>0</v>
      </c>
      <c r="QY220" s="9" t="n">
        <v>0</v>
      </c>
      <c r="QZ220" s="9" t="n">
        <v>207.6</v>
      </c>
      <c r="RD220" s="10" t="n">
        <v>46206</v>
      </c>
      <c r="RF220" s="9" t="n">
        <v>0</v>
      </c>
      <c r="RH220" s="9" t="n">
        <v>0</v>
      </c>
      <c r="RI220" s="9" t="n">
        <v>147.04</v>
      </c>
      <c r="RM220" s="10" t="n">
        <v>46206</v>
      </c>
      <c r="RO220" s="9" t="n">
        <v>0</v>
      </c>
      <c r="RQ220" s="9" t="n">
        <v>0</v>
      </c>
      <c r="RR220" s="9" t="n">
        <v>46.8</v>
      </c>
      <c r="RV220" s="10" t="n">
        <v>46206</v>
      </c>
      <c r="RX220" s="9" t="n">
        <v>0</v>
      </c>
      <c r="RZ220" s="9" t="n">
        <v>0</v>
      </c>
      <c r="SA220" s="9" t="n">
        <v>0</v>
      </c>
      <c r="SE220" s="10" t="n">
        <v>46206</v>
      </c>
      <c r="SG220" s="9" t="n">
        <v>0</v>
      </c>
      <c r="SI220" s="9" t="n">
        <v>0</v>
      </c>
      <c r="SJ220" s="9" t="n">
        <v>24.2</v>
      </c>
      <c r="SN220" s="10" t="n">
        <v>46206</v>
      </c>
      <c r="SP220" s="9" t="n">
        <v>0</v>
      </c>
      <c r="SR220" s="9" t="n">
        <v>0</v>
      </c>
      <c r="SS220" s="9" t="n">
        <v>32</v>
      </c>
      <c r="SW220" s="10" t="n">
        <v>46206</v>
      </c>
      <c r="SY220" s="9" t="n">
        <v>0</v>
      </c>
      <c r="TA220" s="9" t="n">
        <v>0</v>
      </c>
      <c r="TB220" s="9" t="n">
        <v>0</v>
      </c>
      <c r="TF220" s="10" t="n">
        <v>46206</v>
      </c>
      <c r="TH220" s="9" t="n">
        <v>0</v>
      </c>
      <c r="TJ220" s="9" t="n">
        <v>0</v>
      </c>
      <c r="TK220" s="9" t="n">
        <v>0</v>
      </c>
      <c r="TO220" s="10" t="n">
        <v>46206</v>
      </c>
      <c r="TQ220" s="9" t="n">
        <v>0</v>
      </c>
      <c r="TS220" s="9" t="n">
        <v>0</v>
      </c>
      <c r="TT220" s="9" t="n">
        <v>22.40000000000001</v>
      </c>
      <c r="TX220" s="10" t="n">
        <v>46206</v>
      </c>
      <c r="TZ220" s="9" t="n">
        <v>0</v>
      </c>
      <c r="UB220" s="9" t="n">
        <v>0</v>
      </c>
      <c r="UC220" s="9" t="n">
        <v>46.79999999999998</v>
      </c>
      <c r="UG220" s="10" t="n">
        <v>46206</v>
      </c>
      <c r="UI220" s="9" t="n">
        <v>0</v>
      </c>
      <c r="UK220" s="9" t="n">
        <v>0</v>
      </c>
      <c r="UL220" s="9" t="n">
        <v>204</v>
      </c>
      <c r="UP220" s="10" t="n">
        <v>46206</v>
      </c>
      <c r="UR220" s="9" t="n">
        <v>0</v>
      </c>
      <c r="UT220" s="9" t="n">
        <v>0</v>
      </c>
      <c r="UU220" s="9" t="n">
        <v>251.25</v>
      </c>
      <c r="UY220" s="10" t="n">
        <v>46206</v>
      </c>
      <c r="VA220" s="9" t="n">
        <v>0</v>
      </c>
      <c r="VC220" s="9" t="n">
        <v>0</v>
      </c>
      <c r="VD220" s="9" t="n">
        <v>41.60000000000002</v>
      </c>
      <c r="VH220" s="10" t="n">
        <v>46206</v>
      </c>
      <c r="VJ220" s="9" t="n">
        <v>0</v>
      </c>
      <c r="VL220" s="9" t="n">
        <v>0</v>
      </c>
      <c r="VM220" s="9" t="n">
        <v>210</v>
      </c>
      <c r="VQ220" s="10" t="n">
        <v>46206</v>
      </c>
      <c r="VS220" s="9" t="n">
        <v>0</v>
      </c>
      <c r="VU220" s="9" t="n">
        <v>0</v>
      </c>
      <c r="VV220" s="9" t="n">
        <v>0</v>
      </c>
      <c r="VZ220" s="10" t="n">
        <v>46206</v>
      </c>
      <c r="WB220" s="9" t="n">
        <v>0</v>
      </c>
      <c r="WD220" s="9" t="n">
        <v>0</v>
      </c>
      <c r="WE220" s="9" t="n">
        <v>0</v>
      </c>
      <c r="WI220" s="10" t="n">
        <v>46206</v>
      </c>
      <c r="WK220" s="9" t="n">
        <v>0</v>
      </c>
      <c r="WM220" s="9" t="n">
        <v>0</v>
      </c>
      <c r="WN220" s="9" t="n">
        <v>1057</v>
      </c>
      <c r="WR220" s="10" t="n">
        <v>46206</v>
      </c>
      <c r="WT220" s="9" t="n">
        <v>0</v>
      </c>
      <c r="WV220" s="9" t="n">
        <v>0</v>
      </c>
      <c r="WW220" s="9" t="n">
        <v>0</v>
      </c>
      <c r="XA220" s="10" t="n">
        <v>46206</v>
      </c>
      <c r="XC220" s="9" t="n">
        <v>0</v>
      </c>
      <c r="XE220" s="9" t="n">
        <v>0</v>
      </c>
      <c r="XF220" s="9" t="n">
        <v>7507</v>
      </c>
      <c r="XJ220" s="10" t="n">
        <v>46206</v>
      </c>
      <c r="XL220" s="9" t="n">
        <v>0</v>
      </c>
      <c r="XN220" s="9" t="n">
        <v>0</v>
      </c>
      <c r="XO220" s="9" t="n">
        <v>4252</v>
      </c>
      <c r="XS220" s="10" t="n">
        <v>46206</v>
      </c>
      <c r="XU220" s="9" t="n">
        <v>0</v>
      </c>
      <c r="XW220" s="9" t="n">
        <v>0</v>
      </c>
      <c r="XX220" s="9" t="n">
        <v>2179</v>
      </c>
      <c r="YB220" s="10" t="n">
        <v>46206</v>
      </c>
      <c r="YD220" s="9" t="n">
        <v>0</v>
      </c>
      <c r="YF220" s="9" t="n">
        <v>0</v>
      </c>
      <c r="YG220" s="9" t="n">
        <v>4019</v>
      </c>
      <c r="YK220" s="10" t="n">
        <v>46206</v>
      </c>
      <c r="YM220" s="9" t="n">
        <v>0</v>
      </c>
      <c r="YO220" s="9" t="n">
        <v>0</v>
      </c>
      <c r="YP220" s="9" t="n">
        <v>0</v>
      </c>
      <c r="YT220" s="10" t="n">
        <v>46206</v>
      </c>
      <c r="YV220" s="9" t="n">
        <v>0</v>
      </c>
      <c r="YX220" s="9" t="n">
        <v>0</v>
      </c>
      <c r="YY220" s="9" t="n">
        <v>0</v>
      </c>
      <c r="ZC220" s="10" t="n">
        <v>46206</v>
      </c>
      <c r="ZE220" s="9" t="n">
        <v>0</v>
      </c>
      <c r="ZG220" s="9" t="n">
        <v>0</v>
      </c>
      <c r="ZH220" s="9" t="n">
        <v>0</v>
      </c>
      <c r="ZL220" s="10" t="n">
        <v>46206</v>
      </c>
      <c r="ZN220" s="9" t="n">
        <v>0</v>
      </c>
      <c r="ZP220" s="9" t="n">
        <v>0</v>
      </c>
      <c r="ZQ220" s="9" t="n">
        <v>0</v>
      </c>
      <c r="ZU220" s="10" t="n">
        <v>46206</v>
      </c>
      <c r="ZW220" s="9" t="n">
        <v>0</v>
      </c>
      <c r="ZY220" s="9" t="n">
        <v>0</v>
      </c>
      <c r="ZZ220" s="9" t="n">
        <v>0</v>
      </c>
      <c r="AAD220" s="10" t="n">
        <v>46206</v>
      </c>
      <c r="AAF220" s="9" t="n">
        <v>0</v>
      </c>
      <c r="AAH220" s="9" t="n">
        <v>0</v>
      </c>
      <c r="AAI220" s="9" t="n">
        <v>0</v>
      </c>
      <c r="AAM220" s="10" t="n">
        <v>46206</v>
      </c>
      <c r="AAO220" s="9" t="n">
        <v>0</v>
      </c>
      <c r="AAQ220" s="9" t="n">
        <v>0</v>
      </c>
      <c r="AAR220" s="9" t="n">
        <v>0</v>
      </c>
      <c r="AAV220" s="10" t="n">
        <v>46206</v>
      </c>
      <c r="AAX220" s="9" t="n">
        <v>0</v>
      </c>
      <c r="AAZ220" s="9" t="n">
        <v>0</v>
      </c>
      <c r="ABA220" s="9" t="n">
        <v>0</v>
      </c>
      <c r="ABE220" s="10" t="n">
        <v>46206</v>
      </c>
      <c r="ABG220" s="9" t="n">
        <v>0</v>
      </c>
      <c r="ABI220" s="9" t="n">
        <v>0</v>
      </c>
      <c r="ABJ220" s="9" t="n">
        <v>0</v>
      </c>
    </row>
    <row r="221">
      <c r="C221" s="10" t="n">
        <v>46207</v>
      </c>
      <c r="E221" s="9" t="n">
        <v>2231.52</v>
      </c>
      <c r="F221" s="9" t="n">
        <v>44706.2</v>
      </c>
      <c r="G221" s="9" t="n">
        <v>-42474.68</v>
      </c>
      <c r="H221" s="9" t="n">
        <v>129789.2000000001</v>
      </c>
      <c r="L221" s="10" t="n">
        <v>46207</v>
      </c>
      <c r="N221" s="9" t="n">
        <v>1268.8</v>
      </c>
      <c r="O221" s="9" t="n">
        <v>16355</v>
      </c>
      <c r="P221" s="9" t="n">
        <v>-15086.2</v>
      </c>
      <c r="Q221" s="9" t="n">
        <v>36200.20000000007</v>
      </c>
      <c r="U221" s="10" t="n">
        <v>46207</v>
      </c>
      <c r="W221" s="9" t="n">
        <v>200</v>
      </c>
      <c r="X221" s="9" t="n">
        <v>5100.4</v>
      </c>
      <c r="Y221" s="9" t="n">
        <v>-4900.4</v>
      </c>
      <c r="Z221" s="9" t="n">
        <v>21091.49999999997</v>
      </c>
      <c r="AD221" s="10" t="n">
        <v>46207</v>
      </c>
      <c r="AF221" s="9" t="n">
        <v>0</v>
      </c>
      <c r="AH221" s="9" t="n">
        <v>0</v>
      </c>
      <c r="AI221" s="9" t="n">
        <v>33372.70000000002</v>
      </c>
      <c r="AM221" s="10" t="n">
        <v>46207</v>
      </c>
      <c r="AO221" s="9" t="n">
        <v>0</v>
      </c>
      <c r="AQ221" s="9" t="n">
        <v>0</v>
      </c>
      <c r="AR221" s="9" t="n">
        <v>0</v>
      </c>
      <c r="AV221" s="10" t="n">
        <v>46207</v>
      </c>
      <c r="AX221" s="9" t="n">
        <v>0</v>
      </c>
      <c r="AZ221" s="9" t="n">
        <v>0</v>
      </c>
      <c r="BA221" s="9" t="n">
        <v>13946.2</v>
      </c>
      <c r="BE221" s="10" t="n">
        <v>46207</v>
      </c>
      <c r="BG221" s="9" t="n">
        <v>78</v>
      </c>
      <c r="BH221" s="9" t="n">
        <v>776.4</v>
      </c>
      <c r="BI221" s="9" t="n">
        <v>-698.4</v>
      </c>
      <c r="BJ221" s="9" t="n">
        <v>35450.39999999999</v>
      </c>
      <c r="BN221" s="10" t="n">
        <v>46207</v>
      </c>
      <c r="BO221" s="9" t="n">
        <v>793.9</v>
      </c>
      <c r="BP221" s="9" t="n">
        <v>94</v>
      </c>
      <c r="BQ221" s="9" t="n">
        <v>793.9</v>
      </c>
      <c r="BR221" s="9" t="n">
        <v>-699.9</v>
      </c>
      <c r="BS221" s="9" t="n">
        <v>0</v>
      </c>
      <c r="BW221" s="10" t="n">
        <v>46207</v>
      </c>
      <c r="BY221" s="9" t="n">
        <v>0</v>
      </c>
      <c r="CA221" s="9" t="n">
        <v>0</v>
      </c>
      <c r="CB221" s="9" t="n">
        <v>2379.779999999999</v>
      </c>
      <c r="CF221" s="10" t="n">
        <v>46207</v>
      </c>
      <c r="CH221" s="9" t="n">
        <v>25.68</v>
      </c>
      <c r="CI221" s="9" t="n">
        <v>3373.94</v>
      </c>
      <c r="CJ221" s="9" t="n">
        <v>-3348.26</v>
      </c>
      <c r="CK221" s="9" t="n">
        <v>-3448.94</v>
      </c>
      <c r="CO221" s="10" t="n">
        <v>46207</v>
      </c>
      <c r="CQ221" s="9" t="n">
        <v>0</v>
      </c>
      <c r="CS221" s="9" t="n">
        <v>0</v>
      </c>
      <c r="CT221" s="9" t="n">
        <v>0</v>
      </c>
      <c r="CX221" s="10" t="n">
        <v>46207</v>
      </c>
      <c r="CZ221" s="9" t="n">
        <v>0</v>
      </c>
      <c r="DA221" s="9" t="n">
        <v>1400.7</v>
      </c>
      <c r="DB221" s="9" t="n">
        <v>-1400.7</v>
      </c>
      <c r="DC221" s="9" t="n">
        <v>5130.000000000007</v>
      </c>
      <c r="DG221" s="10" t="n">
        <v>46207</v>
      </c>
      <c r="DI221" s="9" t="n">
        <v>0</v>
      </c>
      <c r="DK221" s="9" t="n">
        <v>0</v>
      </c>
      <c r="DL221" s="9" t="n">
        <v>34934.49999999999</v>
      </c>
      <c r="DP221" s="10" t="n">
        <v>46207</v>
      </c>
      <c r="DR221" s="9" t="n">
        <v>0</v>
      </c>
      <c r="DT221" s="9" t="n">
        <v>0</v>
      </c>
      <c r="DU221" s="9" t="n">
        <v>5800</v>
      </c>
      <c r="DY221" s="10" t="n">
        <v>46207</v>
      </c>
      <c r="EA221" s="9" t="n">
        <v>0</v>
      </c>
      <c r="EC221" s="9" t="n">
        <v>0</v>
      </c>
      <c r="ED221" s="9" t="n">
        <v>0</v>
      </c>
      <c r="EH221" s="10" t="n">
        <v>46207</v>
      </c>
      <c r="EI221" s="9" t="n">
        <v>1894.46</v>
      </c>
      <c r="EJ221" s="9" t="n">
        <v>0</v>
      </c>
      <c r="EK221" s="9" t="n">
        <v>1894.46</v>
      </c>
      <c r="EL221" s="9" t="n">
        <v>-1894.46</v>
      </c>
      <c r="EM221" s="9" t="n">
        <v>0</v>
      </c>
      <c r="EQ221" s="10" t="n">
        <v>46207</v>
      </c>
      <c r="ES221" s="9" t="n">
        <v>0</v>
      </c>
      <c r="EU221" s="9" t="n">
        <v>0</v>
      </c>
      <c r="EV221" s="9" t="n">
        <v>0</v>
      </c>
      <c r="EZ221" s="10" t="n">
        <v>46207</v>
      </c>
      <c r="FB221" s="9" t="n">
        <v>0</v>
      </c>
      <c r="FD221" s="9" t="n">
        <v>0</v>
      </c>
      <c r="FE221" s="9" t="n">
        <v>0</v>
      </c>
      <c r="FI221" s="10" t="n">
        <v>46207</v>
      </c>
      <c r="FK221" s="9" t="n">
        <v>0</v>
      </c>
      <c r="FM221" s="9" t="n">
        <v>0</v>
      </c>
      <c r="FN221" s="9" t="n">
        <v>0</v>
      </c>
      <c r="FR221" s="10" t="n">
        <v>46207</v>
      </c>
      <c r="FT221" s="9" t="n">
        <v>0</v>
      </c>
      <c r="FV221" s="9" t="n">
        <v>0</v>
      </c>
      <c r="FW221" s="9" t="n">
        <v>1160</v>
      </c>
      <c r="GA221" s="10" t="n">
        <v>46207</v>
      </c>
      <c r="GC221" s="9" t="n">
        <v>0</v>
      </c>
      <c r="GE221" s="9" t="n">
        <v>0</v>
      </c>
      <c r="GF221" s="9" t="n">
        <v>960</v>
      </c>
      <c r="GJ221" s="10" t="n">
        <v>46207</v>
      </c>
      <c r="GL221" s="9" t="n">
        <v>0</v>
      </c>
      <c r="GN221" s="9" t="n">
        <v>0</v>
      </c>
      <c r="GO221" s="9" t="n">
        <v>1760</v>
      </c>
      <c r="GS221" s="10" t="n">
        <v>46207</v>
      </c>
      <c r="GU221" s="9" t="n">
        <v>0</v>
      </c>
      <c r="GW221" s="9" t="n">
        <v>0</v>
      </c>
      <c r="GX221" s="9" t="n">
        <v>400</v>
      </c>
      <c r="HB221" s="10" t="n">
        <v>46207</v>
      </c>
      <c r="HD221" s="9" t="n">
        <v>0</v>
      </c>
      <c r="HF221" s="9" t="n">
        <v>0</v>
      </c>
      <c r="HG221" s="9" t="n">
        <v>3600</v>
      </c>
      <c r="HK221" s="10" t="n">
        <v>46207</v>
      </c>
      <c r="HM221" s="9" t="n">
        <v>0</v>
      </c>
      <c r="HO221" s="9" t="n">
        <v>0</v>
      </c>
      <c r="HP221" s="9" t="n">
        <v>0</v>
      </c>
      <c r="HU221" s="10" t="n">
        <v>46207</v>
      </c>
      <c r="HW221" s="9" t="n">
        <v>0</v>
      </c>
      <c r="HY221" s="9" t="n">
        <v>0</v>
      </c>
      <c r="HZ221" s="9" t="n">
        <v>6560</v>
      </c>
      <c r="ID221" s="10" t="n">
        <v>46207</v>
      </c>
      <c r="IF221" s="9" t="n">
        <v>0</v>
      </c>
      <c r="IH221" s="9" t="n">
        <v>0</v>
      </c>
      <c r="II221" s="9" t="n">
        <v>720</v>
      </c>
      <c r="IM221" s="10" t="n">
        <v>46207</v>
      </c>
      <c r="IO221" s="9" t="n">
        <v>0</v>
      </c>
      <c r="IQ221" s="9" t="n">
        <v>0</v>
      </c>
      <c r="IR221" s="9" t="n">
        <v>6400</v>
      </c>
      <c r="IV221" s="10" t="n">
        <v>46207</v>
      </c>
      <c r="IX221" s="9" t="n">
        <v>0</v>
      </c>
      <c r="IZ221" s="9" t="n">
        <v>0</v>
      </c>
      <c r="JA221" s="9" t="n">
        <v>4960</v>
      </c>
      <c r="JE221" s="10" t="n">
        <v>46207</v>
      </c>
      <c r="JG221" s="9" t="n">
        <v>0</v>
      </c>
      <c r="JI221" s="9" t="n">
        <v>0</v>
      </c>
      <c r="JJ221" s="9" t="n">
        <v>0</v>
      </c>
      <c r="JN221" s="10" t="n">
        <v>46207</v>
      </c>
      <c r="JP221" s="9" t="n">
        <v>80</v>
      </c>
      <c r="JR221" s="9" t="n">
        <v>80</v>
      </c>
      <c r="JS221" s="9" t="n">
        <v>0</v>
      </c>
      <c r="JW221" s="10" t="n">
        <v>46207</v>
      </c>
      <c r="JY221" s="9" t="n">
        <v>0</v>
      </c>
      <c r="KA221" s="9" t="n">
        <v>0</v>
      </c>
      <c r="KB221" s="9" t="n">
        <v>2540</v>
      </c>
      <c r="KF221" s="10" t="n">
        <v>46207</v>
      </c>
      <c r="KH221" s="9" t="n">
        <v>0</v>
      </c>
      <c r="KJ221" s="9" t="n">
        <v>0</v>
      </c>
      <c r="KK221" s="9" t="n">
        <v>2359.5</v>
      </c>
      <c r="KO221" s="10" t="n">
        <v>46207</v>
      </c>
      <c r="KQ221" s="9" t="n">
        <v>0</v>
      </c>
      <c r="KS221" s="9" t="n">
        <v>0</v>
      </c>
      <c r="KT221" s="9" t="n">
        <v>1890</v>
      </c>
      <c r="KX221" s="10" t="n">
        <v>46207</v>
      </c>
      <c r="KZ221" s="9" t="n">
        <v>0</v>
      </c>
      <c r="LB221" s="9" t="n">
        <v>0</v>
      </c>
      <c r="LC221" s="9" t="n">
        <v>3690</v>
      </c>
      <c r="LG221" s="10" t="n">
        <v>46207</v>
      </c>
      <c r="LI221" s="9" t="n">
        <v>0</v>
      </c>
      <c r="LK221" s="9" t="n">
        <v>0</v>
      </c>
      <c r="LL221" s="9" t="n">
        <v>4000</v>
      </c>
      <c r="LP221" s="10" t="n">
        <v>46207</v>
      </c>
      <c r="LR221" s="9" t="n">
        <v>0</v>
      </c>
      <c r="LT221" s="9" t="n">
        <v>0</v>
      </c>
      <c r="LU221" s="9" t="n">
        <v>0</v>
      </c>
      <c r="LY221" s="10" t="n">
        <v>46207</v>
      </c>
      <c r="MA221" s="9" t="n">
        <v>0</v>
      </c>
      <c r="MC221" s="9" t="n">
        <v>0</v>
      </c>
      <c r="MD221" s="9" t="n">
        <v>0</v>
      </c>
      <c r="MH221" s="10" t="n">
        <v>46207</v>
      </c>
      <c r="MJ221" s="9" t="n">
        <v>0</v>
      </c>
      <c r="ML221" s="9" t="n">
        <v>0</v>
      </c>
      <c r="MM221" s="9" t="n">
        <v>0</v>
      </c>
      <c r="MQ221" s="10" t="n">
        <v>46207</v>
      </c>
      <c r="MS221" s="9" t="n">
        <v>0</v>
      </c>
      <c r="MT221" s="9" t="n">
        <v>406</v>
      </c>
      <c r="MU221" s="9" t="n">
        <v>-406</v>
      </c>
      <c r="MV221" s="9" t="n">
        <v>3122</v>
      </c>
      <c r="MZ221" s="10" t="n">
        <v>46207</v>
      </c>
      <c r="NA221" s="9" t="n">
        <v>4872</v>
      </c>
      <c r="NB221" s="9" t="n">
        <v>12</v>
      </c>
      <c r="NC221" s="9" t="n">
        <v>4872</v>
      </c>
      <c r="ND221" s="9" t="n">
        <v>-4860</v>
      </c>
      <c r="NE221" s="9" t="n">
        <v>0</v>
      </c>
      <c r="NI221" s="10" t="n">
        <v>46207</v>
      </c>
      <c r="NK221" s="9" t="n">
        <v>0</v>
      </c>
      <c r="NM221" s="9" t="n">
        <v>0</v>
      </c>
      <c r="NN221" s="9" t="n">
        <v>1127</v>
      </c>
      <c r="NR221" s="10" t="n">
        <v>46207</v>
      </c>
      <c r="NT221" s="9" t="n">
        <v>0</v>
      </c>
      <c r="NV221" s="9" t="n">
        <v>0</v>
      </c>
      <c r="NW221" s="9" t="n">
        <v>3112</v>
      </c>
      <c r="OA221" s="10" t="n">
        <v>46207</v>
      </c>
      <c r="OC221" s="9" t="n">
        <v>0</v>
      </c>
      <c r="OE221" s="9" t="n">
        <v>0</v>
      </c>
      <c r="OF221" s="9" t="n">
        <v>1680.5</v>
      </c>
      <c r="OJ221" s="10" t="n">
        <v>46207</v>
      </c>
      <c r="OK221" s="9" t="n">
        <v>788.8000000000001</v>
      </c>
      <c r="OL221" s="9" t="n">
        <v>0</v>
      </c>
      <c r="OM221" s="9" t="n">
        <v>788.8000000000001</v>
      </c>
      <c r="ON221" s="9" t="n">
        <v>-788.8000000000001</v>
      </c>
      <c r="OO221" s="9" t="n">
        <v>0</v>
      </c>
      <c r="OS221" s="10" t="n">
        <v>46207</v>
      </c>
      <c r="OU221" s="9" t="n">
        <v>0</v>
      </c>
      <c r="OW221" s="9" t="n">
        <v>0</v>
      </c>
      <c r="OX221" s="9" t="n">
        <v>1482</v>
      </c>
      <c r="PB221" s="10" t="n">
        <v>46207</v>
      </c>
      <c r="PD221" s="9" t="n">
        <v>0</v>
      </c>
      <c r="PF221" s="9" t="n">
        <v>0</v>
      </c>
      <c r="PG221" s="9" t="n">
        <v>0</v>
      </c>
      <c r="PK221" s="10" t="n">
        <v>46207</v>
      </c>
      <c r="PM221" s="9" t="n">
        <v>0</v>
      </c>
      <c r="PO221" s="9" t="n">
        <v>0</v>
      </c>
      <c r="PP221" s="9" t="n">
        <v>100</v>
      </c>
      <c r="PT221" s="10" t="n">
        <v>46207</v>
      </c>
      <c r="PV221" s="9" t="n">
        <v>0</v>
      </c>
      <c r="PX221" s="9" t="n">
        <v>0</v>
      </c>
      <c r="PY221" s="9" t="n">
        <v>13.96000000000004</v>
      </c>
      <c r="QC221" s="10" t="n">
        <v>46207</v>
      </c>
      <c r="QE221" s="9" t="n">
        <v>0</v>
      </c>
      <c r="QG221" s="9" t="n">
        <v>0</v>
      </c>
      <c r="QH221" s="9" t="n">
        <v>1736</v>
      </c>
      <c r="QL221" s="10" t="n">
        <v>46207</v>
      </c>
      <c r="QN221" s="9" t="n">
        <v>10</v>
      </c>
      <c r="QP221" s="9" t="n">
        <v>10</v>
      </c>
      <c r="QQ221" s="9" t="n">
        <v>235</v>
      </c>
      <c r="QU221" s="10" t="n">
        <v>46207</v>
      </c>
      <c r="QW221" s="9" t="n">
        <v>0</v>
      </c>
      <c r="QY221" s="9" t="n">
        <v>0</v>
      </c>
      <c r="QZ221" s="9" t="n">
        <v>207.6</v>
      </c>
      <c r="RD221" s="10" t="n">
        <v>46207</v>
      </c>
      <c r="RF221" s="9" t="n">
        <v>0</v>
      </c>
      <c r="RH221" s="9" t="n">
        <v>0</v>
      </c>
      <c r="RI221" s="9" t="n">
        <v>147.04</v>
      </c>
      <c r="RM221" s="10" t="n">
        <v>46207</v>
      </c>
      <c r="RO221" s="9" t="n">
        <v>0</v>
      </c>
      <c r="RQ221" s="9" t="n">
        <v>0</v>
      </c>
      <c r="RR221" s="9" t="n">
        <v>46.8</v>
      </c>
      <c r="RV221" s="10" t="n">
        <v>46207</v>
      </c>
      <c r="RX221" s="9" t="n">
        <v>0</v>
      </c>
      <c r="RZ221" s="9" t="n">
        <v>0</v>
      </c>
      <c r="SA221" s="9" t="n">
        <v>0</v>
      </c>
      <c r="SE221" s="10" t="n">
        <v>46207</v>
      </c>
      <c r="SG221" s="9" t="n">
        <v>0</v>
      </c>
      <c r="SI221" s="9" t="n">
        <v>0</v>
      </c>
      <c r="SJ221" s="9" t="n">
        <v>24.2</v>
      </c>
      <c r="SN221" s="10" t="n">
        <v>46207</v>
      </c>
      <c r="SP221" s="9" t="n">
        <v>0</v>
      </c>
      <c r="SR221" s="9" t="n">
        <v>0</v>
      </c>
      <c r="SS221" s="9" t="n">
        <v>32</v>
      </c>
      <c r="SW221" s="10" t="n">
        <v>46207</v>
      </c>
      <c r="SY221" s="9" t="n">
        <v>0</v>
      </c>
      <c r="TA221" s="9" t="n">
        <v>0</v>
      </c>
      <c r="TB221" s="9" t="n">
        <v>0</v>
      </c>
      <c r="TF221" s="10" t="n">
        <v>46207</v>
      </c>
      <c r="TH221" s="9" t="n">
        <v>10</v>
      </c>
      <c r="TJ221" s="9" t="n">
        <v>10</v>
      </c>
      <c r="TK221" s="9" t="n">
        <v>0</v>
      </c>
      <c r="TO221" s="10" t="n">
        <v>46207</v>
      </c>
      <c r="TQ221" s="9" t="n">
        <v>10</v>
      </c>
      <c r="TS221" s="9" t="n">
        <v>10</v>
      </c>
      <c r="TT221" s="9" t="n">
        <v>22.40000000000001</v>
      </c>
      <c r="TX221" s="10" t="n">
        <v>46207</v>
      </c>
      <c r="TZ221" s="9" t="n">
        <v>10</v>
      </c>
      <c r="UB221" s="9" t="n">
        <v>10</v>
      </c>
      <c r="UC221" s="9" t="n">
        <v>46.79999999999998</v>
      </c>
      <c r="UG221" s="10" t="n">
        <v>46207</v>
      </c>
      <c r="UI221" s="9" t="n">
        <v>10</v>
      </c>
      <c r="UK221" s="9" t="n">
        <v>10</v>
      </c>
      <c r="UL221" s="9" t="n">
        <v>204</v>
      </c>
      <c r="UP221" s="10" t="n">
        <v>46207</v>
      </c>
      <c r="UR221" s="9" t="n">
        <v>0</v>
      </c>
      <c r="UT221" s="9" t="n">
        <v>0</v>
      </c>
      <c r="UU221" s="9" t="n">
        <v>251.25</v>
      </c>
      <c r="UY221" s="10" t="n">
        <v>46207</v>
      </c>
      <c r="VA221" s="9" t="n">
        <v>0</v>
      </c>
      <c r="VC221" s="9" t="n">
        <v>0</v>
      </c>
      <c r="VD221" s="9" t="n">
        <v>41.60000000000002</v>
      </c>
      <c r="VH221" s="10" t="n">
        <v>46207</v>
      </c>
      <c r="VJ221" s="9" t="n">
        <v>0</v>
      </c>
      <c r="VL221" s="9" t="n">
        <v>0</v>
      </c>
      <c r="VM221" s="9" t="n">
        <v>210</v>
      </c>
      <c r="VQ221" s="10" t="n">
        <v>46207</v>
      </c>
      <c r="VS221" s="9" t="n">
        <v>10</v>
      </c>
      <c r="VU221" s="9" t="n">
        <v>10</v>
      </c>
      <c r="VV221" s="9" t="n">
        <v>0</v>
      </c>
      <c r="VZ221" s="10" t="n">
        <v>46207</v>
      </c>
      <c r="WB221" s="9" t="n">
        <v>10</v>
      </c>
      <c r="WD221" s="9" t="n">
        <v>10</v>
      </c>
      <c r="WE221" s="9" t="n">
        <v>0</v>
      </c>
      <c r="WI221" s="10" t="n">
        <v>46207</v>
      </c>
      <c r="WK221" s="9" t="n">
        <v>10</v>
      </c>
      <c r="WM221" s="9" t="n">
        <v>10</v>
      </c>
      <c r="WN221" s="9" t="n">
        <v>1057</v>
      </c>
      <c r="WR221" s="10" t="n">
        <v>46207</v>
      </c>
      <c r="WT221" s="9" t="n">
        <v>10</v>
      </c>
      <c r="WV221" s="9" t="n">
        <v>10</v>
      </c>
      <c r="WW221" s="9" t="n">
        <v>0</v>
      </c>
      <c r="XA221" s="10" t="n">
        <v>46207</v>
      </c>
      <c r="XC221" s="9" t="n">
        <v>10</v>
      </c>
      <c r="XE221" s="9" t="n">
        <v>10</v>
      </c>
      <c r="XF221" s="9" t="n">
        <v>7507</v>
      </c>
      <c r="XJ221" s="10" t="n">
        <v>46207</v>
      </c>
      <c r="XL221" s="9" t="n">
        <v>10</v>
      </c>
      <c r="XN221" s="9" t="n">
        <v>10</v>
      </c>
      <c r="XO221" s="9" t="n">
        <v>4252</v>
      </c>
      <c r="XS221" s="10" t="n">
        <v>46207</v>
      </c>
      <c r="XU221" s="9" t="n">
        <v>10</v>
      </c>
      <c r="XW221" s="9" t="n">
        <v>10</v>
      </c>
      <c r="XX221" s="9" t="n">
        <v>2179</v>
      </c>
      <c r="YB221" s="10" t="n">
        <v>46207</v>
      </c>
      <c r="YD221" s="9" t="n">
        <v>10</v>
      </c>
      <c r="YF221" s="9" t="n">
        <v>10</v>
      </c>
      <c r="YG221" s="9" t="n">
        <v>4019</v>
      </c>
      <c r="YK221" s="10" t="n">
        <v>46207</v>
      </c>
      <c r="YM221" s="9" t="n">
        <v>10</v>
      </c>
      <c r="YO221" s="9" t="n">
        <v>10</v>
      </c>
      <c r="YP221" s="9" t="n">
        <v>0</v>
      </c>
      <c r="YT221" s="10" t="n">
        <v>46207</v>
      </c>
      <c r="YV221" s="9" t="n">
        <v>10</v>
      </c>
      <c r="YX221" s="9" t="n">
        <v>10</v>
      </c>
      <c r="YY221" s="9" t="n">
        <v>0</v>
      </c>
      <c r="ZC221" s="10" t="n">
        <v>46207</v>
      </c>
      <c r="ZE221" s="9" t="n">
        <v>10</v>
      </c>
      <c r="ZG221" s="9" t="n">
        <v>10</v>
      </c>
      <c r="ZH221" s="9" t="n">
        <v>0</v>
      </c>
      <c r="ZL221" s="10" t="n">
        <v>46207</v>
      </c>
      <c r="ZN221" s="9" t="n">
        <v>10</v>
      </c>
      <c r="ZP221" s="9" t="n">
        <v>10</v>
      </c>
      <c r="ZQ221" s="9" t="n">
        <v>0</v>
      </c>
      <c r="ZU221" s="10" t="n">
        <v>46207</v>
      </c>
      <c r="ZW221" s="9" t="n">
        <v>10</v>
      </c>
      <c r="ZY221" s="9" t="n">
        <v>10</v>
      </c>
      <c r="ZZ221" s="9" t="n">
        <v>0</v>
      </c>
      <c r="AAD221" s="10" t="n">
        <v>46207</v>
      </c>
      <c r="AAF221" s="9" t="n">
        <v>10</v>
      </c>
      <c r="AAH221" s="9" t="n">
        <v>10</v>
      </c>
      <c r="AAI221" s="9" t="n">
        <v>0</v>
      </c>
      <c r="AAM221" s="10" t="n">
        <v>46207</v>
      </c>
      <c r="AAO221" s="9" t="n">
        <v>10</v>
      </c>
      <c r="AAQ221" s="9" t="n">
        <v>10</v>
      </c>
      <c r="AAR221" s="9" t="n">
        <v>0</v>
      </c>
      <c r="AAV221" s="10" t="n">
        <v>46207</v>
      </c>
      <c r="AAX221" s="9" t="n">
        <v>10</v>
      </c>
      <c r="AAZ221" s="9" t="n">
        <v>10</v>
      </c>
      <c r="ABA221" s="9" t="n">
        <v>0</v>
      </c>
      <c r="ABE221" s="10" t="n">
        <v>46207</v>
      </c>
      <c r="ABG221" s="9" t="n">
        <v>10</v>
      </c>
      <c r="ABI221" s="9" t="n">
        <v>10</v>
      </c>
      <c r="ABJ221" s="9" t="n">
        <v>0</v>
      </c>
    </row>
    <row r="222">
      <c r="C222" s="10" t="n">
        <v>46208</v>
      </c>
      <c r="E222" s="9" t="n">
        <v>0</v>
      </c>
      <c r="G222" s="9" t="n">
        <v>0</v>
      </c>
      <c r="H222" s="9" t="n">
        <v>129789.2000000001</v>
      </c>
      <c r="L222" s="10" t="n">
        <v>46208</v>
      </c>
      <c r="N222" s="9" t="n">
        <v>0</v>
      </c>
      <c r="P222" s="9" t="n">
        <v>0</v>
      </c>
      <c r="Q222" s="9" t="n">
        <v>36200.20000000007</v>
      </c>
      <c r="U222" s="10" t="n">
        <v>46208</v>
      </c>
      <c r="W222" s="9" t="n">
        <v>0</v>
      </c>
      <c r="Y222" s="9" t="n">
        <v>0</v>
      </c>
      <c r="Z222" s="9" t="n">
        <v>21091.49999999997</v>
      </c>
      <c r="AD222" s="10" t="n">
        <v>46208</v>
      </c>
      <c r="AF222" s="9" t="n">
        <v>0</v>
      </c>
      <c r="AH222" s="9" t="n">
        <v>0</v>
      </c>
      <c r="AI222" s="9" t="n">
        <v>33372.70000000002</v>
      </c>
      <c r="AM222" s="10" t="n">
        <v>46208</v>
      </c>
      <c r="AO222" s="9" t="n">
        <v>0</v>
      </c>
      <c r="AQ222" s="9" t="n">
        <v>0</v>
      </c>
      <c r="AR222" s="9" t="n">
        <v>0</v>
      </c>
      <c r="AV222" s="10" t="n">
        <v>46208</v>
      </c>
      <c r="AX222" s="9" t="n">
        <v>0</v>
      </c>
      <c r="AZ222" s="9" t="n">
        <v>0</v>
      </c>
      <c r="BA222" s="9" t="n">
        <v>13946.2</v>
      </c>
      <c r="BE222" s="10" t="n">
        <v>46208</v>
      </c>
      <c r="BG222" s="9" t="n">
        <v>0</v>
      </c>
      <c r="BI222" s="9" t="n">
        <v>0</v>
      </c>
      <c r="BJ222" s="9" t="n">
        <v>35450.39999999999</v>
      </c>
      <c r="BN222" s="10" t="n">
        <v>46208</v>
      </c>
      <c r="BP222" s="9" t="n">
        <v>0</v>
      </c>
      <c r="BR222" s="9" t="n">
        <v>0</v>
      </c>
      <c r="BS222" s="9" t="n">
        <v>0</v>
      </c>
      <c r="BW222" s="10" t="n">
        <v>46208</v>
      </c>
      <c r="BY222" s="9" t="n">
        <v>0</v>
      </c>
      <c r="CA222" s="9" t="n">
        <v>0</v>
      </c>
      <c r="CB222" s="9" t="n">
        <v>2379.779999999999</v>
      </c>
      <c r="CF222" s="10" t="n">
        <v>46208</v>
      </c>
      <c r="CH222" s="9" t="n">
        <v>0</v>
      </c>
      <c r="CJ222" s="9" t="n">
        <v>0</v>
      </c>
      <c r="CK222" s="9" t="n">
        <v>-3448.94</v>
      </c>
      <c r="CO222" s="10" t="n">
        <v>46208</v>
      </c>
      <c r="CQ222" s="9" t="n">
        <v>0</v>
      </c>
      <c r="CS222" s="9" t="n">
        <v>0</v>
      </c>
      <c r="CT222" s="9" t="n">
        <v>0</v>
      </c>
      <c r="CX222" s="10" t="n">
        <v>46208</v>
      </c>
      <c r="CZ222" s="9" t="n">
        <v>0</v>
      </c>
      <c r="DB222" s="9" t="n">
        <v>0</v>
      </c>
      <c r="DC222" s="9" t="n">
        <v>5130.000000000007</v>
      </c>
      <c r="DG222" s="10" t="n">
        <v>46208</v>
      </c>
      <c r="DI222" s="9" t="n">
        <v>0</v>
      </c>
      <c r="DK222" s="9" t="n">
        <v>0</v>
      </c>
      <c r="DL222" s="9" t="n">
        <v>34934.49999999999</v>
      </c>
      <c r="DP222" s="10" t="n">
        <v>46208</v>
      </c>
      <c r="DR222" s="9" t="n">
        <v>0</v>
      </c>
      <c r="DT222" s="9" t="n">
        <v>0</v>
      </c>
      <c r="DU222" s="9" t="n">
        <v>5800</v>
      </c>
      <c r="DY222" s="10" t="n">
        <v>46208</v>
      </c>
      <c r="EA222" s="9" t="n">
        <v>0</v>
      </c>
      <c r="EC222" s="9" t="n">
        <v>0</v>
      </c>
      <c r="ED222" s="9" t="n">
        <v>0</v>
      </c>
      <c r="EH222" s="10" t="n">
        <v>46208</v>
      </c>
      <c r="EJ222" s="9" t="n">
        <v>0</v>
      </c>
      <c r="EL222" s="9" t="n">
        <v>0</v>
      </c>
      <c r="EM222" s="9" t="n">
        <v>0</v>
      </c>
      <c r="EQ222" s="10" t="n">
        <v>46208</v>
      </c>
      <c r="ES222" s="9" t="n">
        <v>0</v>
      </c>
      <c r="EU222" s="9" t="n">
        <v>0</v>
      </c>
      <c r="EV222" s="9" t="n">
        <v>0</v>
      </c>
      <c r="EZ222" s="10" t="n">
        <v>46208</v>
      </c>
      <c r="FB222" s="9" t="n">
        <v>0</v>
      </c>
      <c r="FD222" s="9" t="n">
        <v>0</v>
      </c>
      <c r="FE222" s="9" t="n">
        <v>0</v>
      </c>
      <c r="FI222" s="10" t="n">
        <v>46208</v>
      </c>
      <c r="FK222" s="9" t="n">
        <v>0</v>
      </c>
      <c r="FM222" s="9" t="n">
        <v>0</v>
      </c>
      <c r="FN222" s="9" t="n">
        <v>0</v>
      </c>
      <c r="FR222" s="10" t="n">
        <v>46208</v>
      </c>
      <c r="FT222" s="9" t="n">
        <v>0</v>
      </c>
      <c r="FV222" s="9" t="n">
        <v>0</v>
      </c>
      <c r="FW222" s="9" t="n">
        <v>1160</v>
      </c>
      <c r="GA222" s="10" t="n">
        <v>46208</v>
      </c>
      <c r="GC222" s="9" t="n">
        <v>0</v>
      </c>
      <c r="GE222" s="9" t="n">
        <v>0</v>
      </c>
      <c r="GF222" s="9" t="n">
        <v>960</v>
      </c>
      <c r="GJ222" s="10" t="n">
        <v>46208</v>
      </c>
      <c r="GL222" s="9" t="n">
        <v>0</v>
      </c>
      <c r="GN222" s="9" t="n">
        <v>0</v>
      </c>
      <c r="GO222" s="9" t="n">
        <v>1760</v>
      </c>
      <c r="GS222" s="10" t="n">
        <v>46208</v>
      </c>
      <c r="GU222" s="9" t="n">
        <v>0</v>
      </c>
      <c r="GW222" s="9" t="n">
        <v>0</v>
      </c>
      <c r="GX222" s="9" t="n">
        <v>400</v>
      </c>
      <c r="HB222" s="10" t="n">
        <v>46208</v>
      </c>
      <c r="HD222" s="9" t="n">
        <v>0</v>
      </c>
      <c r="HF222" s="9" t="n">
        <v>0</v>
      </c>
      <c r="HG222" s="9" t="n">
        <v>3600</v>
      </c>
      <c r="HK222" s="10" t="n">
        <v>46208</v>
      </c>
      <c r="HM222" s="9" t="n">
        <v>0</v>
      </c>
      <c r="HO222" s="9" t="n">
        <v>0</v>
      </c>
      <c r="HP222" s="9" t="n">
        <v>0</v>
      </c>
      <c r="HU222" s="10" t="n">
        <v>46208</v>
      </c>
      <c r="HW222" s="9" t="n">
        <v>0</v>
      </c>
      <c r="HY222" s="9" t="n">
        <v>0</v>
      </c>
      <c r="HZ222" s="9" t="n">
        <v>6560</v>
      </c>
      <c r="ID222" s="10" t="n">
        <v>46208</v>
      </c>
      <c r="IF222" s="9" t="n">
        <v>0</v>
      </c>
      <c r="IH222" s="9" t="n">
        <v>0</v>
      </c>
      <c r="II222" s="9" t="n">
        <v>720</v>
      </c>
      <c r="IM222" s="10" t="n">
        <v>46208</v>
      </c>
      <c r="IO222" s="9" t="n">
        <v>0</v>
      </c>
      <c r="IQ222" s="9" t="n">
        <v>0</v>
      </c>
      <c r="IR222" s="9" t="n">
        <v>6400</v>
      </c>
      <c r="IV222" s="10" t="n">
        <v>46208</v>
      </c>
      <c r="IX222" s="9" t="n">
        <v>0</v>
      </c>
      <c r="IZ222" s="9" t="n">
        <v>0</v>
      </c>
      <c r="JA222" s="9" t="n">
        <v>4960</v>
      </c>
      <c r="JE222" s="10" t="n">
        <v>46208</v>
      </c>
      <c r="JG222" s="9" t="n">
        <v>0</v>
      </c>
      <c r="JI222" s="9" t="n">
        <v>0</v>
      </c>
      <c r="JJ222" s="9" t="n">
        <v>0</v>
      </c>
      <c r="JN222" s="10" t="n">
        <v>46208</v>
      </c>
      <c r="JP222" s="9" t="n">
        <v>0</v>
      </c>
      <c r="JR222" s="9" t="n">
        <v>0</v>
      </c>
      <c r="JS222" s="9" t="n">
        <v>0</v>
      </c>
      <c r="JW222" s="10" t="n">
        <v>46208</v>
      </c>
      <c r="JY222" s="9" t="n">
        <v>0</v>
      </c>
      <c r="KA222" s="9" t="n">
        <v>0</v>
      </c>
      <c r="KB222" s="9" t="n">
        <v>2540</v>
      </c>
      <c r="KF222" s="10" t="n">
        <v>46208</v>
      </c>
      <c r="KH222" s="9" t="n">
        <v>0</v>
      </c>
      <c r="KJ222" s="9" t="n">
        <v>0</v>
      </c>
      <c r="KK222" s="9" t="n">
        <v>2359.5</v>
      </c>
      <c r="KO222" s="10" t="n">
        <v>46208</v>
      </c>
      <c r="KQ222" s="9" t="n">
        <v>0</v>
      </c>
      <c r="KS222" s="9" t="n">
        <v>0</v>
      </c>
      <c r="KT222" s="9" t="n">
        <v>1890</v>
      </c>
      <c r="KX222" s="10" t="n">
        <v>46208</v>
      </c>
      <c r="KZ222" s="9" t="n">
        <v>0</v>
      </c>
      <c r="LB222" s="9" t="n">
        <v>0</v>
      </c>
      <c r="LC222" s="9" t="n">
        <v>3690</v>
      </c>
      <c r="LG222" s="10" t="n">
        <v>46208</v>
      </c>
      <c r="LI222" s="9" t="n">
        <v>0</v>
      </c>
      <c r="LK222" s="9" t="n">
        <v>0</v>
      </c>
      <c r="LL222" s="9" t="n">
        <v>4000</v>
      </c>
      <c r="LP222" s="10" t="n">
        <v>46208</v>
      </c>
      <c r="LR222" s="9" t="n">
        <v>0</v>
      </c>
      <c r="LT222" s="9" t="n">
        <v>0</v>
      </c>
      <c r="LU222" s="9" t="n">
        <v>0</v>
      </c>
      <c r="LY222" s="10" t="n">
        <v>46208</v>
      </c>
      <c r="MA222" s="9" t="n">
        <v>0</v>
      </c>
      <c r="MC222" s="9" t="n">
        <v>0</v>
      </c>
      <c r="MD222" s="9" t="n">
        <v>0</v>
      </c>
      <c r="MH222" s="10" t="n">
        <v>46208</v>
      </c>
      <c r="MJ222" s="9" t="n">
        <v>0</v>
      </c>
      <c r="ML222" s="9" t="n">
        <v>0</v>
      </c>
      <c r="MM222" s="9" t="n">
        <v>0</v>
      </c>
      <c r="MQ222" s="10" t="n">
        <v>46208</v>
      </c>
      <c r="MS222" s="9" t="n">
        <v>0</v>
      </c>
      <c r="MU222" s="9" t="n">
        <v>0</v>
      </c>
      <c r="MV222" s="9" t="n">
        <v>3122</v>
      </c>
      <c r="MZ222" s="10" t="n">
        <v>46208</v>
      </c>
      <c r="NB222" s="9" t="n">
        <v>0</v>
      </c>
      <c r="ND222" s="9" t="n">
        <v>0</v>
      </c>
      <c r="NE222" s="9" t="n">
        <v>0</v>
      </c>
      <c r="NI222" s="10" t="n">
        <v>46208</v>
      </c>
      <c r="NK222" s="9" t="n">
        <v>0</v>
      </c>
      <c r="NM222" s="9" t="n">
        <v>0</v>
      </c>
      <c r="NN222" s="9" t="n">
        <v>1127</v>
      </c>
      <c r="NR222" s="10" t="n">
        <v>46208</v>
      </c>
      <c r="NT222" s="9" t="n">
        <v>0</v>
      </c>
      <c r="NV222" s="9" t="n">
        <v>0</v>
      </c>
      <c r="NW222" s="9" t="n">
        <v>3112</v>
      </c>
      <c r="OA222" s="10" t="n">
        <v>46208</v>
      </c>
      <c r="OC222" s="9" t="n">
        <v>0</v>
      </c>
      <c r="OE222" s="9" t="n">
        <v>0</v>
      </c>
      <c r="OF222" s="9" t="n">
        <v>1680.5</v>
      </c>
      <c r="OJ222" s="10" t="n">
        <v>46208</v>
      </c>
      <c r="OL222" s="9" t="n">
        <v>0</v>
      </c>
      <c r="ON222" s="9" t="n">
        <v>0</v>
      </c>
      <c r="OO222" s="9" t="n">
        <v>0</v>
      </c>
      <c r="OS222" s="10" t="n">
        <v>46208</v>
      </c>
      <c r="OU222" s="9" t="n">
        <v>0</v>
      </c>
      <c r="OW222" s="9" t="n">
        <v>0</v>
      </c>
      <c r="OX222" s="9" t="n">
        <v>1482</v>
      </c>
      <c r="PB222" s="10" t="n">
        <v>46208</v>
      </c>
      <c r="PD222" s="9" t="n">
        <v>0</v>
      </c>
      <c r="PF222" s="9" t="n">
        <v>0</v>
      </c>
      <c r="PG222" s="9" t="n">
        <v>0</v>
      </c>
      <c r="PK222" s="10" t="n">
        <v>46208</v>
      </c>
      <c r="PM222" s="9" t="n">
        <v>0</v>
      </c>
      <c r="PO222" s="9" t="n">
        <v>0</v>
      </c>
      <c r="PP222" s="9" t="n">
        <v>100</v>
      </c>
      <c r="PT222" s="10" t="n">
        <v>46208</v>
      </c>
      <c r="PV222" s="9" t="n">
        <v>0</v>
      </c>
      <c r="PX222" s="9" t="n">
        <v>0</v>
      </c>
      <c r="PY222" s="9" t="n">
        <v>13.96000000000004</v>
      </c>
      <c r="QC222" s="10" t="n">
        <v>46208</v>
      </c>
      <c r="QE222" s="9" t="n">
        <v>0</v>
      </c>
      <c r="QG222" s="9" t="n">
        <v>0</v>
      </c>
      <c r="QH222" s="9" t="n">
        <v>1736</v>
      </c>
      <c r="QL222" s="10" t="n">
        <v>46208</v>
      </c>
      <c r="QN222" s="9" t="n">
        <v>0</v>
      </c>
      <c r="QP222" s="9" t="n">
        <v>0</v>
      </c>
      <c r="QQ222" s="9" t="n">
        <v>235</v>
      </c>
      <c r="QU222" s="10" t="n">
        <v>46208</v>
      </c>
      <c r="QW222" s="9" t="n">
        <v>0</v>
      </c>
      <c r="QY222" s="9" t="n">
        <v>0</v>
      </c>
      <c r="QZ222" s="9" t="n">
        <v>207.6</v>
      </c>
      <c r="RD222" s="10" t="n">
        <v>46208</v>
      </c>
      <c r="RF222" s="9" t="n">
        <v>0</v>
      </c>
      <c r="RH222" s="9" t="n">
        <v>0</v>
      </c>
      <c r="RI222" s="9" t="n">
        <v>147.04</v>
      </c>
      <c r="RM222" s="10" t="n">
        <v>46208</v>
      </c>
      <c r="RO222" s="9" t="n">
        <v>0</v>
      </c>
      <c r="RQ222" s="9" t="n">
        <v>0</v>
      </c>
      <c r="RR222" s="9" t="n">
        <v>46.8</v>
      </c>
      <c r="RV222" s="10" t="n">
        <v>46208</v>
      </c>
      <c r="RX222" s="9" t="n">
        <v>0</v>
      </c>
      <c r="RZ222" s="9" t="n">
        <v>0</v>
      </c>
      <c r="SA222" s="9" t="n">
        <v>0</v>
      </c>
      <c r="SE222" s="10" t="n">
        <v>46208</v>
      </c>
      <c r="SG222" s="9" t="n">
        <v>0</v>
      </c>
      <c r="SI222" s="9" t="n">
        <v>0</v>
      </c>
      <c r="SJ222" s="9" t="n">
        <v>24.2</v>
      </c>
      <c r="SN222" s="10" t="n">
        <v>46208</v>
      </c>
      <c r="SP222" s="9" t="n">
        <v>0</v>
      </c>
      <c r="SR222" s="9" t="n">
        <v>0</v>
      </c>
      <c r="SS222" s="9" t="n">
        <v>32</v>
      </c>
      <c r="SW222" s="10" t="n">
        <v>46208</v>
      </c>
      <c r="SY222" s="9" t="n">
        <v>0</v>
      </c>
      <c r="TA222" s="9" t="n">
        <v>0</v>
      </c>
      <c r="TB222" s="9" t="n">
        <v>0</v>
      </c>
      <c r="TF222" s="10" t="n">
        <v>46208</v>
      </c>
      <c r="TH222" s="9" t="n">
        <v>0</v>
      </c>
      <c r="TJ222" s="9" t="n">
        <v>0</v>
      </c>
      <c r="TK222" s="9" t="n">
        <v>0</v>
      </c>
      <c r="TO222" s="10" t="n">
        <v>46208</v>
      </c>
      <c r="TQ222" s="9" t="n">
        <v>0</v>
      </c>
      <c r="TS222" s="9" t="n">
        <v>0</v>
      </c>
      <c r="TT222" s="9" t="n">
        <v>22.40000000000001</v>
      </c>
      <c r="TX222" s="10" t="n">
        <v>46208</v>
      </c>
      <c r="TZ222" s="9" t="n">
        <v>0</v>
      </c>
      <c r="UB222" s="9" t="n">
        <v>0</v>
      </c>
      <c r="UC222" s="9" t="n">
        <v>46.79999999999998</v>
      </c>
      <c r="UG222" s="10" t="n">
        <v>46208</v>
      </c>
      <c r="UI222" s="9" t="n">
        <v>0</v>
      </c>
      <c r="UK222" s="9" t="n">
        <v>0</v>
      </c>
      <c r="UL222" s="9" t="n">
        <v>204</v>
      </c>
      <c r="UP222" s="10" t="n">
        <v>46208</v>
      </c>
      <c r="UR222" s="9" t="n">
        <v>0</v>
      </c>
      <c r="UT222" s="9" t="n">
        <v>0</v>
      </c>
      <c r="UU222" s="9" t="n">
        <v>251.25</v>
      </c>
      <c r="UY222" s="10" t="n">
        <v>46208</v>
      </c>
      <c r="VA222" s="9" t="n">
        <v>0</v>
      </c>
      <c r="VC222" s="9" t="n">
        <v>0</v>
      </c>
      <c r="VD222" s="9" t="n">
        <v>41.60000000000002</v>
      </c>
      <c r="VH222" s="10" t="n">
        <v>46208</v>
      </c>
      <c r="VJ222" s="9" t="n">
        <v>0</v>
      </c>
      <c r="VL222" s="9" t="n">
        <v>0</v>
      </c>
      <c r="VM222" s="9" t="n">
        <v>210</v>
      </c>
      <c r="VQ222" s="10" t="n">
        <v>46208</v>
      </c>
      <c r="VS222" s="9" t="n">
        <v>0</v>
      </c>
      <c r="VU222" s="9" t="n">
        <v>0</v>
      </c>
      <c r="VV222" s="9" t="n">
        <v>0</v>
      </c>
      <c r="VZ222" s="10" t="n">
        <v>46208</v>
      </c>
      <c r="WB222" s="9" t="n">
        <v>0</v>
      </c>
      <c r="WD222" s="9" t="n">
        <v>0</v>
      </c>
      <c r="WE222" s="9" t="n">
        <v>0</v>
      </c>
      <c r="WI222" s="10" t="n">
        <v>46208</v>
      </c>
      <c r="WK222" s="9" t="n">
        <v>0</v>
      </c>
      <c r="WM222" s="9" t="n">
        <v>0</v>
      </c>
      <c r="WN222" s="9" t="n">
        <v>1057</v>
      </c>
      <c r="WR222" s="10" t="n">
        <v>46208</v>
      </c>
      <c r="WT222" s="9" t="n">
        <v>0</v>
      </c>
      <c r="WV222" s="9" t="n">
        <v>0</v>
      </c>
      <c r="WW222" s="9" t="n">
        <v>0</v>
      </c>
      <c r="XA222" s="10" t="n">
        <v>46208</v>
      </c>
      <c r="XC222" s="9" t="n">
        <v>0</v>
      </c>
      <c r="XE222" s="9" t="n">
        <v>0</v>
      </c>
      <c r="XF222" s="9" t="n">
        <v>7507</v>
      </c>
      <c r="XJ222" s="10" t="n">
        <v>46208</v>
      </c>
      <c r="XL222" s="9" t="n">
        <v>0</v>
      </c>
      <c r="XN222" s="9" t="n">
        <v>0</v>
      </c>
      <c r="XO222" s="9" t="n">
        <v>4252</v>
      </c>
      <c r="XS222" s="10" t="n">
        <v>46208</v>
      </c>
      <c r="XU222" s="9" t="n">
        <v>0</v>
      </c>
      <c r="XW222" s="9" t="n">
        <v>0</v>
      </c>
      <c r="XX222" s="9" t="n">
        <v>2179</v>
      </c>
      <c r="YB222" s="10" t="n">
        <v>46208</v>
      </c>
      <c r="YD222" s="9" t="n">
        <v>0</v>
      </c>
      <c r="YF222" s="9" t="n">
        <v>0</v>
      </c>
      <c r="YG222" s="9" t="n">
        <v>4019</v>
      </c>
      <c r="YK222" s="10" t="n">
        <v>46208</v>
      </c>
      <c r="YM222" s="9" t="n">
        <v>0</v>
      </c>
      <c r="YO222" s="9" t="n">
        <v>0</v>
      </c>
      <c r="YP222" s="9" t="n">
        <v>0</v>
      </c>
      <c r="YT222" s="10" t="n">
        <v>46208</v>
      </c>
      <c r="YV222" s="9" t="n">
        <v>0</v>
      </c>
      <c r="YX222" s="9" t="n">
        <v>0</v>
      </c>
      <c r="YY222" s="9" t="n">
        <v>0</v>
      </c>
      <c r="ZC222" s="10" t="n">
        <v>46208</v>
      </c>
      <c r="ZE222" s="9" t="n">
        <v>0</v>
      </c>
      <c r="ZG222" s="9" t="n">
        <v>0</v>
      </c>
      <c r="ZH222" s="9" t="n">
        <v>0</v>
      </c>
      <c r="ZL222" s="10" t="n">
        <v>46208</v>
      </c>
      <c r="ZN222" s="9" t="n">
        <v>0</v>
      </c>
      <c r="ZP222" s="9" t="n">
        <v>0</v>
      </c>
      <c r="ZQ222" s="9" t="n">
        <v>0</v>
      </c>
      <c r="ZU222" s="10" t="n">
        <v>46208</v>
      </c>
      <c r="ZW222" s="9" t="n">
        <v>0</v>
      </c>
      <c r="ZY222" s="9" t="n">
        <v>0</v>
      </c>
      <c r="ZZ222" s="9" t="n">
        <v>0</v>
      </c>
      <c r="AAD222" s="10" t="n">
        <v>46208</v>
      </c>
      <c r="AAF222" s="9" t="n">
        <v>0</v>
      </c>
      <c r="AAH222" s="9" t="n">
        <v>0</v>
      </c>
      <c r="AAI222" s="9" t="n">
        <v>0</v>
      </c>
      <c r="AAM222" s="10" t="n">
        <v>46208</v>
      </c>
      <c r="AAO222" s="9" t="n">
        <v>0</v>
      </c>
      <c r="AAQ222" s="9" t="n">
        <v>0</v>
      </c>
      <c r="AAR222" s="9" t="n">
        <v>0</v>
      </c>
      <c r="AAV222" s="10" t="n">
        <v>46208</v>
      </c>
      <c r="AAX222" s="9" t="n">
        <v>0</v>
      </c>
      <c r="AAZ222" s="9" t="n">
        <v>0</v>
      </c>
      <c r="ABA222" s="9" t="n">
        <v>0</v>
      </c>
      <c r="ABE222" s="10" t="n">
        <v>46208</v>
      </c>
      <c r="ABG222" s="9" t="n">
        <v>0</v>
      </c>
      <c r="ABI222" s="9" t="n">
        <v>0</v>
      </c>
      <c r="ABJ222" s="9" t="n">
        <v>0</v>
      </c>
    </row>
    <row r="223">
      <c r="C223" s="10" t="n">
        <v>46209</v>
      </c>
      <c r="E223" s="9" t="n">
        <v>16904.02</v>
      </c>
      <c r="F223" s="9" t="n">
        <v>16914.4</v>
      </c>
      <c r="G223" s="9" t="n">
        <v>-10.38000000000102</v>
      </c>
      <c r="H223" s="9" t="n">
        <v>112874.8</v>
      </c>
      <c r="L223" s="10" t="n">
        <v>46209</v>
      </c>
      <c r="N223" s="9" t="n">
        <v>10294.3</v>
      </c>
      <c r="O223" s="9" t="n">
        <v>10293.6</v>
      </c>
      <c r="P223" s="9" t="n">
        <v>0.6999999999989086</v>
      </c>
      <c r="Q223" s="9" t="n">
        <v>25906.60000000007</v>
      </c>
      <c r="U223" s="10" t="n">
        <v>46209</v>
      </c>
      <c r="W223" s="9" t="n">
        <v>1200</v>
      </c>
      <c r="X223" s="9" t="n">
        <v>1200.1</v>
      </c>
      <c r="Y223" s="9" t="n">
        <v>-0.09999999999990905</v>
      </c>
      <c r="Z223" s="9" t="n">
        <v>19891.39999999997</v>
      </c>
      <c r="AD223" s="10" t="n">
        <v>46209</v>
      </c>
      <c r="AF223" s="9" t="n">
        <v>800</v>
      </c>
      <c r="AG223" s="9" t="n">
        <v>800.7</v>
      </c>
      <c r="AH223" s="9" t="n">
        <v>-0.7000000000000455</v>
      </c>
      <c r="AI223" s="9" t="n">
        <v>32572.00000000002</v>
      </c>
      <c r="AM223" s="10" t="n">
        <v>46209</v>
      </c>
      <c r="AO223" s="9" t="n">
        <v>0</v>
      </c>
      <c r="AQ223" s="9" t="n">
        <v>0</v>
      </c>
      <c r="AR223" s="9" t="n">
        <v>0</v>
      </c>
      <c r="AV223" s="10" t="n">
        <v>46209</v>
      </c>
      <c r="AX223" s="9" t="n">
        <v>440</v>
      </c>
      <c r="AY223" s="9" t="n">
        <v>440.1</v>
      </c>
      <c r="AZ223" s="9" t="n">
        <v>-0.1000000000000227</v>
      </c>
      <c r="BA223" s="9" t="n">
        <v>13506.1</v>
      </c>
      <c r="BE223" s="10" t="n">
        <v>46209</v>
      </c>
      <c r="BG223" s="9" t="n">
        <v>90</v>
      </c>
      <c r="BH223" s="9" t="n">
        <v>92.3</v>
      </c>
      <c r="BI223" s="9" t="n">
        <v>-2.299999999999997</v>
      </c>
      <c r="BJ223" s="9" t="n">
        <v>35358.09999999999</v>
      </c>
      <c r="BN223" s="10" t="n">
        <v>46209</v>
      </c>
      <c r="BO223" s="9" t="n">
        <v>380</v>
      </c>
      <c r="BP223" s="9" t="n">
        <v>380</v>
      </c>
      <c r="BQ223" s="9" t="n">
        <v>380</v>
      </c>
      <c r="BR223" s="9" t="n">
        <v>0</v>
      </c>
      <c r="BS223" s="9" t="n">
        <v>0</v>
      </c>
      <c r="BW223" s="10" t="n">
        <v>46209</v>
      </c>
      <c r="BY223" s="9" t="n">
        <v>162.75</v>
      </c>
      <c r="CA223" s="9" t="n">
        <v>162.75</v>
      </c>
      <c r="CB223" s="9" t="n">
        <v>2379.779999999999</v>
      </c>
      <c r="CF223" s="10" t="n">
        <v>46209</v>
      </c>
      <c r="CH223" s="9" t="n">
        <v>50.88</v>
      </c>
      <c r="CI223" s="9" t="n">
        <v>124.7</v>
      </c>
      <c r="CJ223" s="9" t="n">
        <v>-73.82000000000001</v>
      </c>
      <c r="CK223" s="9" t="n">
        <v>-3573.639999999999</v>
      </c>
      <c r="CO223" s="10" t="n">
        <v>46209</v>
      </c>
      <c r="CQ223" s="9" t="n">
        <v>0</v>
      </c>
      <c r="CS223" s="9" t="n">
        <v>0</v>
      </c>
      <c r="CT223" s="9" t="n">
        <v>0</v>
      </c>
      <c r="CX223" s="10" t="n">
        <v>46209</v>
      </c>
      <c r="CZ223" s="9" t="n">
        <v>200</v>
      </c>
      <c r="DA223" s="9" t="n">
        <v>200.1</v>
      </c>
      <c r="DB223" s="9" t="n">
        <v>-0.09999999999999432</v>
      </c>
      <c r="DC223" s="9" t="n">
        <v>4929.900000000007</v>
      </c>
      <c r="DG223" s="10" t="n">
        <v>46209</v>
      </c>
      <c r="DI223" s="9" t="n">
        <v>300</v>
      </c>
      <c r="DJ223" s="9" t="n">
        <v>299.8</v>
      </c>
      <c r="DK223" s="9" t="n">
        <v>0.1999999999999886</v>
      </c>
      <c r="DL223" s="9" t="n">
        <v>34634.69999999998</v>
      </c>
      <c r="DP223" s="10" t="n">
        <v>46209</v>
      </c>
      <c r="DR223" s="9" t="n">
        <v>0</v>
      </c>
      <c r="DT223" s="9" t="n">
        <v>0</v>
      </c>
      <c r="DU223" s="9" t="n">
        <v>5800</v>
      </c>
      <c r="DY223" s="10" t="n">
        <v>46209</v>
      </c>
      <c r="EA223" s="9" t="n">
        <v>0</v>
      </c>
      <c r="EC223" s="9" t="n">
        <v>0</v>
      </c>
      <c r="ED223" s="9" t="n">
        <v>0</v>
      </c>
      <c r="EH223" s="10" t="n">
        <v>46209</v>
      </c>
      <c r="EI223" s="9" t="n">
        <v>117.75</v>
      </c>
      <c r="EJ223" s="9" t="n">
        <v>0</v>
      </c>
      <c r="EK223" s="9" t="n">
        <v>117.75</v>
      </c>
      <c r="EL223" s="9" t="n">
        <v>-117.75</v>
      </c>
      <c r="EM223" s="9" t="n">
        <v>0</v>
      </c>
      <c r="EQ223" s="10" t="n">
        <v>46209</v>
      </c>
      <c r="ES223" s="9" t="n">
        <v>0</v>
      </c>
      <c r="EU223" s="9" t="n">
        <v>0</v>
      </c>
      <c r="EV223" s="9" t="n">
        <v>0</v>
      </c>
      <c r="EZ223" s="10" t="n">
        <v>46209</v>
      </c>
      <c r="FB223" s="9" t="n">
        <v>0</v>
      </c>
      <c r="FD223" s="9" t="n">
        <v>0</v>
      </c>
      <c r="FE223" s="9" t="n">
        <v>0</v>
      </c>
      <c r="FI223" s="10" t="n">
        <v>46209</v>
      </c>
      <c r="FK223" s="9" t="n">
        <v>0</v>
      </c>
      <c r="FM223" s="9" t="n">
        <v>0</v>
      </c>
      <c r="FN223" s="9" t="n">
        <v>0</v>
      </c>
      <c r="FR223" s="10" t="n">
        <v>46209</v>
      </c>
      <c r="FT223" s="9" t="n">
        <v>320</v>
      </c>
      <c r="FV223" s="9" t="n">
        <v>320</v>
      </c>
      <c r="FW223" s="9" t="n">
        <v>1160</v>
      </c>
      <c r="GA223" s="10" t="n">
        <v>46209</v>
      </c>
      <c r="GC223" s="9" t="n">
        <v>0</v>
      </c>
      <c r="GE223" s="9" t="n">
        <v>0</v>
      </c>
      <c r="GF223" s="9" t="n">
        <v>960</v>
      </c>
      <c r="GJ223" s="10" t="n">
        <v>46209</v>
      </c>
      <c r="GL223" s="9" t="n">
        <v>0</v>
      </c>
      <c r="GN223" s="9" t="n">
        <v>0</v>
      </c>
      <c r="GO223" s="9" t="n">
        <v>1760</v>
      </c>
      <c r="GS223" s="10" t="n">
        <v>46209</v>
      </c>
      <c r="GU223" s="9" t="n">
        <v>0</v>
      </c>
      <c r="GW223" s="9" t="n">
        <v>0</v>
      </c>
      <c r="GX223" s="9" t="n">
        <v>400</v>
      </c>
      <c r="HB223" s="10" t="n">
        <v>46209</v>
      </c>
      <c r="HD223" s="9" t="n">
        <v>0</v>
      </c>
      <c r="HF223" s="9" t="n">
        <v>0</v>
      </c>
      <c r="HG223" s="9" t="n">
        <v>3600</v>
      </c>
      <c r="HK223" s="10" t="n">
        <v>46209</v>
      </c>
      <c r="HM223" s="9" t="n">
        <v>0</v>
      </c>
      <c r="HO223" s="9" t="n">
        <v>0</v>
      </c>
      <c r="HP223" s="9" t="n">
        <v>0</v>
      </c>
      <c r="HU223" s="10" t="n">
        <v>46209</v>
      </c>
      <c r="HW223" s="9" t="n">
        <v>120</v>
      </c>
      <c r="HY223" s="9" t="n">
        <v>120</v>
      </c>
      <c r="HZ223" s="9" t="n">
        <v>6560</v>
      </c>
      <c r="ID223" s="10" t="n">
        <v>46209</v>
      </c>
      <c r="IF223" s="9" t="n">
        <v>0</v>
      </c>
      <c r="IH223" s="9" t="n">
        <v>0</v>
      </c>
      <c r="II223" s="9" t="n">
        <v>720</v>
      </c>
      <c r="IM223" s="10" t="n">
        <v>46209</v>
      </c>
      <c r="IO223" s="9" t="n">
        <v>0</v>
      </c>
      <c r="IQ223" s="9" t="n">
        <v>0</v>
      </c>
      <c r="IR223" s="9" t="n">
        <v>6400</v>
      </c>
      <c r="IV223" s="10" t="n">
        <v>46209</v>
      </c>
      <c r="IX223" s="9" t="n">
        <v>0</v>
      </c>
      <c r="IZ223" s="9" t="n">
        <v>0</v>
      </c>
      <c r="JA223" s="9" t="n">
        <v>4960</v>
      </c>
      <c r="JE223" s="10" t="n">
        <v>46209</v>
      </c>
      <c r="JG223" s="9" t="n">
        <v>0</v>
      </c>
      <c r="JI223" s="9" t="n">
        <v>0</v>
      </c>
      <c r="JJ223" s="9" t="n">
        <v>0</v>
      </c>
      <c r="JN223" s="10" t="n">
        <v>46209</v>
      </c>
      <c r="JP223" s="9" t="n">
        <v>0</v>
      </c>
      <c r="JR223" s="9" t="n">
        <v>0</v>
      </c>
      <c r="JS223" s="9" t="n">
        <v>0</v>
      </c>
      <c r="JW223" s="10" t="n">
        <v>46209</v>
      </c>
      <c r="JY223" s="9" t="n">
        <v>0</v>
      </c>
      <c r="KA223" s="9" t="n">
        <v>0</v>
      </c>
      <c r="KB223" s="9" t="n">
        <v>2540</v>
      </c>
      <c r="KF223" s="10" t="n">
        <v>46209</v>
      </c>
      <c r="KH223" s="9" t="n">
        <v>0</v>
      </c>
      <c r="KJ223" s="9" t="n">
        <v>0</v>
      </c>
      <c r="KK223" s="9" t="n">
        <v>2359.5</v>
      </c>
      <c r="KO223" s="10" t="n">
        <v>46209</v>
      </c>
      <c r="KQ223" s="9" t="n">
        <v>0</v>
      </c>
      <c r="KS223" s="9" t="n">
        <v>0</v>
      </c>
      <c r="KT223" s="9" t="n">
        <v>1890</v>
      </c>
      <c r="KX223" s="10" t="n">
        <v>46209</v>
      </c>
      <c r="KZ223" s="9" t="n">
        <v>0</v>
      </c>
      <c r="LB223" s="9" t="n">
        <v>0</v>
      </c>
      <c r="LC223" s="9" t="n">
        <v>3690</v>
      </c>
      <c r="LG223" s="10" t="n">
        <v>46209</v>
      </c>
      <c r="LI223" s="9" t="n">
        <v>0</v>
      </c>
      <c r="LK223" s="9" t="n">
        <v>0</v>
      </c>
      <c r="LL223" s="9" t="n">
        <v>4000</v>
      </c>
      <c r="LP223" s="10" t="n">
        <v>46209</v>
      </c>
      <c r="LR223" s="9" t="n">
        <v>0</v>
      </c>
      <c r="LT223" s="9" t="n">
        <v>0</v>
      </c>
      <c r="LU223" s="9" t="n">
        <v>0</v>
      </c>
      <c r="LY223" s="10" t="n">
        <v>46209</v>
      </c>
      <c r="MA223" s="9" t="n">
        <v>0</v>
      </c>
      <c r="MC223" s="9" t="n">
        <v>0</v>
      </c>
      <c r="MD223" s="9" t="n">
        <v>0</v>
      </c>
      <c r="MH223" s="10" t="n">
        <v>46209</v>
      </c>
      <c r="MJ223" s="9" t="n">
        <v>0</v>
      </c>
      <c r="ML223" s="9" t="n">
        <v>0</v>
      </c>
      <c r="MM223" s="9" t="n">
        <v>0</v>
      </c>
      <c r="MQ223" s="10" t="n">
        <v>46209</v>
      </c>
      <c r="MS223" s="9" t="n">
        <v>11</v>
      </c>
      <c r="MT223" s="9" t="n">
        <v>10</v>
      </c>
      <c r="MU223" s="9" t="n">
        <v>1</v>
      </c>
      <c r="MV223" s="9" t="n">
        <v>3112</v>
      </c>
      <c r="MZ223" s="10" t="n">
        <v>46209</v>
      </c>
      <c r="NA223" s="9" t="n">
        <v>120</v>
      </c>
      <c r="NB223" s="9" t="n">
        <v>18</v>
      </c>
      <c r="NC223" s="9" t="n">
        <v>120</v>
      </c>
      <c r="ND223" s="9" t="n">
        <v>-102</v>
      </c>
      <c r="NE223" s="9" t="n">
        <v>0</v>
      </c>
      <c r="NI223" s="10" t="n">
        <v>46209</v>
      </c>
      <c r="NK223" s="9" t="n">
        <v>0</v>
      </c>
      <c r="NM223" s="9" t="n">
        <v>0</v>
      </c>
      <c r="NN223" s="9" t="n">
        <v>1127</v>
      </c>
      <c r="NR223" s="10" t="n">
        <v>46209</v>
      </c>
      <c r="NT223" s="9" t="n">
        <v>0</v>
      </c>
      <c r="NV223" s="9" t="n">
        <v>0</v>
      </c>
      <c r="NW223" s="9" t="n">
        <v>3112</v>
      </c>
      <c r="OA223" s="10" t="n">
        <v>46209</v>
      </c>
      <c r="OC223" s="9" t="n">
        <v>0</v>
      </c>
      <c r="OE223" s="9" t="n">
        <v>0</v>
      </c>
      <c r="OF223" s="9" t="n">
        <v>1680.5</v>
      </c>
      <c r="OJ223" s="10" t="n">
        <v>46209</v>
      </c>
      <c r="OK223" s="9" t="n">
        <v>28</v>
      </c>
      <c r="OL223" s="9" t="n">
        <v>0</v>
      </c>
      <c r="OM223" s="9" t="n">
        <v>28</v>
      </c>
      <c r="ON223" s="9" t="n">
        <v>-28</v>
      </c>
      <c r="OO223" s="9" t="n">
        <v>0</v>
      </c>
      <c r="OS223" s="10" t="n">
        <v>46209</v>
      </c>
      <c r="OU223" s="9" t="n">
        <v>0</v>
      </c>
      <c r="OW223" s="9" t="n">
        <v>0</v>
      </c>
      <c r="OX223" s="9" t="n">
        <v>1482</v>
      </c>
      <c r="PB223" s="10" t="n">
        <v>46209</v>
      </c>
      <c r="PD223" s="9" t="n">
        <v>0</v>
      </c>
      <c r="PF223" s="9" t="n">
        <v>0</v>
      </c>
      <c r="PG223" s="9" t="n">
        <v>0</v>
      </c>
      <c r="PK223" s="10" t="n">
        <v>46209</v>
      </c>
      <c r="PM223" s="9" t="n">
        <v>0</v>
      </c>
      <c r="PO223" s="9" t="n">
        <v>0</v>
      </c>
      <c r="PP223" s="9" t="n">
        <v>100</v>
      </c>
      <c r="PT223" s="10" t="n">
        <v>46209</v>
      </c>
      <c r="PV223" s="9" t="n">
        <v>0</v>
      </c>
      <c r="PX223" s="9" t="n">
        <v>0</v>
      </c>
      <c r="PY223" s="9" t="n">
        <v>13.96000000000004</v>
      </c>
      <c r="QC223" s="10" t="n">
        <v>46209</v>
      </c>
      <c r="QE223" s="9" t="n">
        <v>0</v>
      </c>
      <c r="QG223" s="9" t="n">
        <v>0</v>
      </c>
      <c r="QH223" s="9" t="n">
        <v>1736</v>
      </c>
      <c r="QL223" s="10" t="n">
        <v>46209</v>
      </c>
      <c r="QN223" s="9" t="n">
        <v>0</v>
      </c>
      <c r="QP223" s="9" t="n">
        <v>0</v>
      </c>
      <c r="QQ223" s="9" t="n">
        <v>235</v>
      </c>
      <c r="QU223" s="10" t="n">
        <v>46209</v>
      </c>
      <c r="QW223" s="9" t="n">
        <v>0</v>
      </c>
      <c r="QY223" s="9" t="n">
        <v>0</v>
      </c>
      <c r="QZ223" s="9" t="n">
        <v>207.6</v>
      </c>
      <c r="RD223" s="10" t="n">
        <v>46209</v>
      </c>
      <c r="RF223" s="9" t="n">
        <v>0</v>
      </c>
      <c r="RH223" s="9" t="n">
        <v>0</v>
      </c>
      <c r="RI223" s="9" t="n">
        <v>147.04</v>
      </c>
      <c r="RM223" s="10" t="n">
        <v>46209</v>
      </c>
      <c r="RO223" s="9" t="n">
        <v>0</v>
      </c>
      <c r="RQ223" s="9" t="n">
        <v>0</v>
      </c>
      <c r="RR223" s="9" t="n">
        <v>46.8</v>
      </c>
      <c r="RV223" s="10" t="n">
        <v>46209</v>
      </c>
      <c r="RX223" s="9" t="n">
        <v>0</v>
      </c>
      <c r="RZ223" s="9" t="n">
        <v>0</v>
      </c>
      <c r="SA223" s="9" t="n">
        <v>0</v>
      </c>
      <c r="SE223" s="10" t="n">
        <v>46209</v>
      </c>
      <c r="SG223" s="9" t="n">
        <v>0</v>
      </c>
      <c r="SI223" s="9" t="n">
        <v>0</v>
      </c>
      <c r="SJ223" s="9" t="n">
        <v>24.2</v>
      </c>
      <c r="SN223" s="10" t="n">
        <v>46209</v>
      </c>
      <c r="SP223" s="9" t="n">
        <v>0</v>
      </c>
      <c r="SR223" s="9" t="n">
        <v>0</v>
      </c>
      <c r="SS223" s="9" t="n">
        <v>32</v>
      </c>
      <c r="SW223" s="10" t="n">
        <v>46209</v>
      </c>
      <c r="SY223" s="9" t="n">
        <v>0</v>
      </c>
      <c r="TA223" s="9" t="n">
        <v>0</v>
      </c>
      <c r="TB223" s="9" t="n">
        <v>0</v>
      </c>
      <c r="TF223" s="10" t="n">
        <v>46209</v>
      </c>
      <c r="TH223" s="9" t="n">
        <v>0</v>
      </c>
      <c r="TJ223" s="9" t="n">
        <v>0</v>
      </c>
      <c r="TK223" s="9" t="n">
        <v>0</v>
      </c>
      <c r="TO223" s="10" t="n">
        <v>46209</v>
      </c>
      <c r="TQ223" s="9" t="n">
        <v>0</v>
      </c>
      <c r="TS223" s="9" t="n">
        <v>0</v>
      </c>
      <c r="TT223" s="9" t="n">
        <v>22.40000000000001</v>
      </c>
      <c r="TX223" s="10" t="n">
        <v>46209</v>
      </c>
      <c r="TZ223" s="9" t="n">
        <v>0</v>
      </c>
      <c r="UB223" s="9" t="n">
        <v>0</v>
      </c>
      <c r="UC223" s="9" t="n">
        <v>46.79999999999998</v>
      </c>
      <c r="UG223" s="10" t="n">
        <v>46209</v>
      </c>
      <c r="UI223" s="9" t="n">
        <v>0</v>
      </c>
      <c r="UK223" s="9" t="n">
        <v>0</v>
      </c>
      <c r="UL223" s="9" t="n">
        <v>204</v>
      </c>
      <c r="UP223" s="10" t="n">
        <v>46209</v>
      </c>
      <c r="UR223" s="9" t="n">
        <v>0</v>
      </c>
      <c r="UT223" s="9" t="n">
        <v>0</v>
      </c>
      <c r="UU223" s="9" t="n">
        <v>251.25</v>
      </c>
      <c r="UY223" s="10" t="n">
        <v>46209</v>
      </c>
      <c r="VA223" s="9" t="n">
        <v>0</v>
      </c>
      <c r="VC223" s="9" t="n">
        <v>0</v>
      </c>
      <c r="VD223" s="9" t="n">
        <v>41.60000000000002</v>
      </c>
      <c r="VH223" s="10" t="n">
        <v>46209</v>
      </c>
      <c r="VJ223" s="9" t="n">
        <v>0</v>
      </c>
      <c r="VL223" s="9" t="n">
        <v>0</v>
      </c>
      <c r="VM223" s="9" t="n">
        <v>210</v>
      </c>
      <c r="VQ223" s="10" t="n">
        <v>46209</v>
      </c>
      <c r="VS223" s="9" t="n">
        <v>0</v>
      </c>
      <c r="VU223" s="9" t="n">
        <v>0</v>
      </c>
      <c r="VV223" s="9" t="n">
        <v>0</v>
      </c>
      <c r="VZ223" s="10" t="n">
        <v>46209</v>
      </c>
      <c r="WB223" s="9" t="n">
        <v>0</v>
      </c>
      <c r="WD223" s="9" t="n">
        <v>0</v>
      </c>
      <c r="WE223" s="9" t="n">
        <v>0</v>
      </c>
      <c r="WI223" s="10" t="n">
        <v>46209</v>
      </c>
      <c r="WK223" s="9" t="n">
        <v>0</v>
      </c>
      <c r="WM223" s="9" t="n">
        <v>0</v>
      </c>
      <c r="WN223" s="9" t="n">
        <v>1057</v>
      </c>
      <c r="WR223" s="10" t="n">
        <v>46209</v>
      </c>
      <c r="WT223" s="9" t="n">
        <v>0</v>
      </c>
      <c r="WV223" s="9" t="n">
        <v>0</v>
      </c>
      <c r="WW223" s="9" t="n">
        <v>0</v>
      </c>
      <c r="XA223" s="10" t="n">
        <v>46209</v>
      </c>
      <c r="XC223" s="9" t="n">
        <v>0</v>
      </c>
      <c r="XE223" s="9" t="n">
        <v>0</v>
      </c>
      <c r="XF223" s="9" t="n">
        <v>7507</v>
      </c>
      <c r="XJ223" s="10" t="n">
        <v>46209</v>
      </c>
      <c r="XL223" s="9" t="n">
        <v>0</v>
      </c>
      <c r="XN223" s="9" t="n">
        <v>0</v>
      </c>
      <c r="XO223" s="9" t="n">
        <v>4252</v>
      </c>
      <c r="XS223" s="10" t="n">
        <v>46209</v>
      </c>
      <c r="XU223" s="9" t="n">
        <v>0</v>
      </c>
      <c r="XW223" s="9" t="n">
        <v>0</v>
      </c>
      <c r="XX223" s="9" t="n">
        <v>2179</v>
      </c>
      <c r="YB223" s="10" t="n">
        <v>46209</v>
      </c>
      <c r="YD223" s="9" t="n">
        <v>0</v>
      </c>
      <c r="YF223" s="9" t="n">
        <v>0</v>
      </c>
      <c r="YG223" s="9" t="n">
        <v>4019</v>
      </c>
      <c r="YK223" s="10" t="n">
        <v>46209</v>
      </c>
      <c r="YM223" s="9" t="n">
        <v>0</v>
      </c>
      <c r="YO223" s="9" t="n">
        <v>0</v>
      </c>
      <c r="YP223" s="9" t="n">
        <v>0</v>
      </c>
      <c r="YT223" s="10" t="n">
        <v>46209</v>
      </c>
      <c r="YV223" s="9" t="n">
        <v>0</v>
      </c>
      <c r="YX223" s="9" t="n">
        <v>0</v>
      </c>
      <c r="YY223" s="9" t="n">
        <v>0</v>
      </c>
      <c r="ZC223" s="10" t="n">
        <v>46209</v>
      </c>
      <c r="ZE223" s="9" t="n">
        <v>0</v>
      </c>
      <c r="ZG223" s="9" t="n">
        <v>0</v>
      </c>
      <c r="ZH223" s="9" t="n">
        <v>0</v>
      </c>
      <c r="ZL223" s="10" t="n">
        <v>46209</v>
      </c>
      <c r="ZN223" s="9" t="n">
        <v>0</v>
      </c>
      <c r="ZP223" s="9" t="n">
        <v>0</v>
      </c>
      <c r="ZQ223" s="9" t="n">
        <v>0</v>
      </c>
      <c r="ZU223" s="10" t="n">
        <v>46209</v>
      </c>
      <c r="ZW223" s="9" t="n">
        <v>0</v>
      </c>
      <c r="ZY223" s="9" t="n">
        <v>0</v>
      </c>
      <c r="ZZ223" s="9" t="n">
        <v>0</v>
      </c>
      <c r="AAD223" s="10" t="n">
        <v>46209</v>
      </c>
      <c r="AAF223" s="9" t="n">
        <v>0</v>
      </c>
      <c r="AAH223" s="9" t="n">
        <v>0</v>
      </c>
      <c r="AAI223" s="9" t="n">
        <v>0</v>
      </c>
      <c r="AAM223" s="10" t="n">
        <v>46209</v>
      </c>
      <c r="AAO223" s="9" t="n">
        <v>0</v>
      </c>
      <c r="AAQ223" s="9" t="n">
        <v>0</v>
      </c>
      <c r="AAR223" s="9" t="n">
        <v>0</v>
      </c>
      <c r="AAV223" s="10" t="n">
        <v>46209</v>
      </c>
      <c r="AAX223" s="9" t="n">
        <v>0</v>
      </c>
      <c r="AAZ223" s="9" t="n">
        <v>0</v>
      </c>
      <c r="ABA223" s="9" t="n">
        <v>0</v>
      </c>
      <c r="ABE223" s="10" t="n">
        <v>46209</v>
      </c>
      <c r="ABG223" s="9" t="n">
        <v>0</v>
      </c>
      <c r="ABI223" s="9" t="n">
        <v>0</v>
      </c>
      <c r="ABJ223" s="9" t="n">
        <v>0</v>
      </c>
    </row>
    <row r="224">
      <c r="C224" s="10" t="n">
        <v>46210</v>
      </c>
      <c r="D224" s="9" t="n">
        <v>11010</v>
      </c>
      <c r="E224" s="9" t="n">
        <v>12270</v>
      </c>
      <c r="F224" s="9" t="n">
        <v>24424.6</v>
      </c>
      <c r="G224" s="9" t="n">
        <v>-12154.6</v>
      </c>
      <c r="H224" s="9" t="n">
        <v>99460.20000000004</v>
      </c>
      <c r="L224" s="10" t="n">
        <v>46210</v>
      </c>
      <c r="N224" s="9" t="n">
        <v>8065.68</v>
      </c>
      <c r="O224" s="9" t="n">
        <v>12376.6</v>
      </c>
      <c r="P224" s="9" t="n">
        <v>-4310.92</v>
      </c>
      <c r="Q224" s="9" t="n">
        <v>13530.00000000007</v>
      </c>
      <c r="U224" s="10" t="n">
        <v>46210</v>
      </c>
      <c r="W224" s="9" t="n">
        <v>1200</v>
      </c>
      <c r="X224" s="9" t="n">
        <v>2601.3</v>
      </c>
      <c r="Y224" s="9" t="n">
        <v>-1401.3</v>
      </c>
      <c r="Z224" s="9" t="n">
        <v>17290.09999999997</v>
      </c>
      <c r="AD224" s="10" t="n">
        <v>46210</v>
      </c>
      <c r="AF224" s="9" t="n">
        <v>0</v>
      </c>
      <c r="AH224" s="9" t="n">
        <v>0</v>
      </c>
      <c r="AI224" s="9" t="n">
        <v>32572.00000000002</v>
      </c>
      <c r="AM224" s="10" t="n">
        <v>46210</v>
      </c>
      <c r="AO224" s="9" t="n">
        <v>0</v>
      </c>
      <c r="AQ224" s="9" t="n">
        <v>0</v>
      </c>
      <c r="AR224" s="9" t="n">
        <v>0</v>
      </c>
      <c r="AV224" s="10" t="n">
        <v>46210</v>
      </c>
      <c r="AX224" s="9" t="n">
        <v>0</v>
      </c>
      <c r="AZ224" s="9" t="n">
        <v>0</v>
      </c>
      <c r="BA224" s="9" t="n">
        <v>13506.1</v>
      </c>
      <c r="BE224" s="10" t="n">
        <v>46210</v>
      </c>
      <c r="BG224" s="9" t="n">
        <v>0</v>
      </c>
      <c r="BH224" s="9" t="n">
        <v>199.9</v>
      </c>
      <c r="BI224" s="9" t="n">
        <v>-199.9</v>
      </c>
      <c r="BJ224" s="9" t="n">
        <v>35158.19999999999</v>
      </c>
      <c r="BN224" s="10" t="n">
        <v>46210</v>
      </c>
      <c r="BO224" s="9" t="n">
        <v>200</v>
      </c>
      <c r="BP224" s="9" t="n">
        <v>0</v>
      </c>
      <c r="BQ224" s="9" t="n">
        <v>200</v>
      </c>
      <c r="BR224" s="9" t="n">
        <v>-200</v>
      </c>
      <c r="BS224" s="9" t="n">
        <v>0</v>
      </c>
      <c r="BW224" s="10" t="n">
        <v>46210</v>
      </c>
      <c r="BY224" s="9" t="n">
        <v>282.6</v>
      </c>
      <c r="CA224" s="9" t="n">
        <v>282.6</v>
      </c>
      <c r="CB224" s="9" t="n">
        <v>2379.779999999999</v>
      </c>
      <c r="CF224" s="10" t="n">
        <v>46210</v>
      </c>
      <c r="CH224" s="9" t="n">
        <v>0</v>
      </c>
      <c r="CI224" s="9" t="n">
        <v>432.14</v>
      </c>
      <c r="CJ224" s="9" t="n">
        <v>-432.14</v>
      </c>
      <c r="CK224" s="9" t="n">
        <v>-4005.779999999999</v>
      </c>
      <c r="CO224" s="10" t="n">
        <v>46210</v>
      </c>
      <c r="CQ224" s="9" t="n">
        <v>0</v>
      </c>
      <c r="CS224" s="9" t="n">
        <v>0</v>
      </c>
      <c r="CT224" s="9" t="n">
        <v>0</v>
      </c>
      <c r="CX224" s="10" t="n">
        <v>46210</v>
      </c>
      <c r="CZ224" s="9" t="n">
        <v>480</v>
      </c>
      <c r="DA224" s="9" t="n">
        <v>880.7</v>
      </c>
      <c r="DB224" s="9" t="n">
        <v>-400.7</v>
      </c>
      <c r="DC224" s="9" t="n">
        <v>4049.200000000007</v>
      </c>
      <c r="DG224" s="10" t="n">
        <v>46210</v>
      </c>
      <c r="DI224" s="9" t="n">
        <v>0</v>
      </c>
      <c r="DK224" s="9" t="n">
        <v>0</v>
      </c>
      <c r="DL224" s="9" t="n">
        <v>34634.69999999998</v>
      </c>
      <c r="DP224" s="10" t="n">
        <v>46210</v>
      </c>
      <c r="DR224" s="9" t="n">
        <v>0</v>
      </c>
      <c r="DT224" s="9" t="n">
        <v>0</v>
      </c>
      <c r="DU224" s="9" t="n">
        <v>5800</v>
      </c>
      <c r="DY224" s="10" t="n">
        <v>46210</v>
      </c>
      <c r="EA224" s="9" t="n">
        <v>0</v>
      </c>
      <c r="EC224" s="9" t="n">
        <v>0</v>
      </c>
      <c r="ED224" s="9" t="n">
        <v>0</v>
      </c>
      <c r="EH224" s="10" t="n">
        <v>46210</v>
      </c>
      <c r="EI224" s="9" t="n">
        <v>356.08</v>
      </c>
      <c r="EJ224" s="9" t="n">
        <v>0</v>
      </c>
      <c r="EK224" s="9" t="n">
        <v>356.08</v>
      </c>
      <c r="EL224" s="9" t="n">
        <v>-356.08</v>
      </c>
      <c r="EM224" s="9" t="n">
        <v>0</v>
      </c>
      <c r="EQ224" s="10" t="n">
        <v>46210</v>
      </c>
      <c r="ES224" s="9" t="n">
        <v>0</v>
      </c>
      <c r="EU224" s="9" t="n">
        <v>0</v>
      </c>
      <c r="EV224" s="9" t="n">
        <v>0</v>
      </c>
      <c r="EZ224" s="10" t="n">
        <v>46210</v>
      </c>
      <c r="FB224" s="9" t="n">
        <v>0</v>
      </c>
      <c r="FD224" s="9" t="n">
        <v>0</v>
      </c>
      <c r="FE224" s="9" t="n">
        <v>0</v>
      </c>
      <c r="FI224" s="10" t="n">
        <v>46210</v>
      </c>
      <c r="FK224" s="9" t="n">
        <v>0</v>
      </c>
      <c r="FM224" s="9" t="n">
        <v>0</v>
      </c>
      <c r="FN224" s="9" t="n">
        <v>0</v>
      </c>
      <c r="FR224" s="10" t="n">
        <v>46210</v>
      </c>
      <c r="FT224" s="9" t="n">
        <v>0</v>
      </c>
      <c r="FV224" s="9" t="n">
        <v>0</v>
      </c>
      <c r="FW224" s="9" t="n">
        <v>1160</v>
      </c>
      <c r="GA224" s="10" t="n">
        <v>46210</v>
      </c>
      <c r="GC224" s="9" t="n">
        <v>0</v>
      </c>
      <c r="GE224" s="9" t="n">
        <v>0</v>
      </c>
      <c r="GF224" s="9" t="n">
        <v>960</v>
      </c>
      <c r="GJ224" s="10" t="n">
        <v>46210</v>
      </c>
      <c r="GL224" s="9" t="n">
        <v>0</v>
      </c>
      <c r="GN224" s="9" t="n">
        <v>0</v>
      </c>
      <c r="GO224" s="9" t="n">
        <v>1760</v>
      </c>
      <c r="GS224" s="10" t="n">
        <v>46210</v>
      </c>
      <c r="GU224" s="9" t="n">
        <v>0</v>
      </c>
      <c r="GW224" s="9" t="n">
        <v>0</v>
      </c>
      <c r="GX224" s="9" t="n">
        <v>400</v>
      </c>
      <c r="HB224" s="10" t="n">
        <v>46210</v>
      </c>
      <c r="HD224" s="9" t="n">
        <v>0</v>
      </c>
      <c r="HF224" s="9" t="n">
        <v>0</v>
      </c>
      <c r="HG224" s="9" t="n">
        <v>3600</v>
      </c>
      <c r="HK224" s="10" t="n">
        <v>46210</v>
      </c>
      <c r="HM224" s="9" t="n">
        <v>0</v>
      </c>
      <c r="HO224" s="9" t="n">
        <v>0</v>
      </c>
      <c r="HP224" s="9" t="n">
        <v>0</v>
      </c>
      <c r="HU224" s="10" t="n">
        <v>46210</v>
      </c>
      <c r="HW224" s="9" t="n">
        <v>0</v>
      </c>
      <c r="HY224" s="9" t="n">
        <v>0</v>
      </c>
      <c r="HZ224" s="9" t="n">
        <v>6560</v>
      </c>
      <c r="ID224" s="10" t="n">
        <v>46210</v>
      </c>
      <c r="IF224" s="9" t="n">
        <v>0</v>
      </c>
      <c r="IH224" s="9" t="n">
        <v>0</v>
      </c>
      <c r="II224" s="9" t="n">
        <v>720</v>
      </c>
      <c r="IM224" s="10" t="n">
        <v>46210</v>
      </c>
      <c r="IO224" s="9" t="n">
        <v>0</v>
      </c>
      <c r="IQ224" s="9" t="n">
        <v>0</v>
      </c>
      <c r="IR224" s="9" t="n">
        <v>6400</v>
      </c>
      <c r="IV224" s="10" t="n">
        <v>46210</v>
      </c>
      <c r="IX224" s="9" t="n">
        <v>0</v>
      </c>
      <c r="IZ224" s="9" t="n">
        <v>0</v>
      </c>
      <c r="JA224" s="9" t="n">
        <v>4960</v>
      </c>
      <c r="JE224" s="10" t="n">
        <v>46210</v>
      </c>
      <c r="JG224" s="9" t="n">
        <v>0</v>
      </c>
      <c r="JI224" s="9" t="n">
        <v>0</v>
      </c>
      <c r="JJ224" s="9" t="n">
        <v>0</v>
      </c>
      <c r="JN224" s="10" t="n">
        <v>46210</v>
      </c>
      <c r="JP224" s="9" t="n">
        <v>0</v>
      </c>
      <c r="JR224" s="9" t="n">
        <v>0</v>
      </c>
      <c r="JS224" s="9" t="n">
        <v>0</v>
      </c>
      <c r="JW224" s="10" t="n">
        <v>46210</v>
      </c>
      <c r="JY224" s="9" t="n">
        <v>0</v>
      </c>
      <c r="KA224" s="9" t="n">
        <v>0</v>
      </c>
      <c r="KB224" s="9" t="n">
        <v>2540</v>
      </c>
      <c r="KF224" s="10" t="n">
        <v>46210</v>
      </c>
      <c r="KH224" s="9" t="n">
        <v>0</v>
      </c>
      <c r="KJ224" s="9" t="n">
        <v>0</v>
      </c>
      <c r="KK224" s="9" t="n">
        <v>2359.5</v>
      </c>
      <c r="KO224" s="10" t="n">
        <v>46210</v>
      </c>
      <c r="KQ224" s="9" t="n">
        <v>0</v>
      </c>
      <c r="KS224" s="9" t="n">
        <v>0</v>
      </c>
      <c r="KT224" s="9" t="n">
        <v>1890</v>
      </c>
      <c r="KX224" s="10" t="n">
        <v>46210</v>
      </c>
      <c r="KZ224" s="9" t="n">
        <v>0</v>
      </c>
      <c r="LB224" s="9" t="n">
        <v>0</v>
      </c>
      <c r="LC224" s="9" t="n">
        <v>3690</v>
      </c>
      <c r="LG224" s="10" t="n">
        <v>46210</v>
      </c>
      <c r="LI224" s="9" t="n">
        <v>0</v>
      </c>
      <c r="LK224" s="9" t="n">
        <v>0</v>
      </c>
      <c r="LL224" s="9" t="n">
        <v>4000</v>
      </c>
      <c r="LP224" s="10" t="n">
        <v>46210</v>
      </c>
      <c r="LR224" s="9" t="n">
        <v>0</v>
      </c>
      <c r="LT224" s="9" t="n">
        <v>0</v>
      </c>
      <c r="LU224" s="9" t="n">
        <v>0</v>
      </c>
      <c r="LY224" s="10" t="n">
        <v>46210</v>
      </c>
      <c r="MA224" s="9" t="n">
        <v>0</v>
      </c>
      <c r="MC224" s="9" t="n">
        <v>0</v>
      </c>
      <c r="MD224" s="9" t="n">
        <v>0</v>
      </c>
      <c r="MH224" s="10" t="n">
        <v>46210</v>
      </c>
      <c r="MJ224" s="9" t="n">
        <v>0</v>
      </c>
      <c r="ML224" s="9" t="n">
        <v>0</v>
      </c>
      <c r="MM224" s="9" t="n">
        <v>0</v>
      </c>
      <c r="MQ224" s="10" t="n">
        <v>46210</v>
      </c>
      <c r="MS224" s="9" t="n">
        <v>0</v>
      </c>
      <c r="MT224" s="9" t="n">
        <v>40</v>
      </c>
      <c r="MU224" s="9" t="n">
        <v>-40</v>
      </c>
      <c r="MV224" s="9" t="n">
        <v>3072</v>
      </c>
      <c r="MZ224" s="10" t="n">
        <v>46210</v>
      </c>
      <c r="NA224" s="9" t="n">
        <v>480</v>
      </c>
      <c r="NB224" s="9" t="n">
        <v>0</v>
      </c>
      <c r="NC224" s="9" t="n">
        <v>480</v>
      </c>
      <c r="ND224" s="9" t="n">
        <v>-480</v>
      </c>
      <c r="NE224" s="9" t="n">
        <v>0</v>
      </c>
      <c r="NI224" s="10" t="n">
        <v>46210</v>
      </c>
      <c r="NK224" s="9" t="n">
        <v>0</v>
      </c>
      <c r="NM224" s="9" t="n">
        <v>0</v>
      </c>
      <c r="NN224" s="9" t="n">
        <v>1127</v>
      </c>
      <c r="NR224" s="10" t="n">
        <v>46210</v>
      </c>
      <c r="NT224" s="9" t="n">
        <v>0</v>
      </c>
      <c r="NV224" s="9" t="n">
        <v>0</v>
      </c>
      <c r="NW224" s="9" t="n">
        <v>3112</v>
      </c>
      <c r="OA224" s="10" t="n">
        <v>46210</v>
      </c>
      <c r="OC224" s="9" t="n">
        <v>0</v>
      </c>
      <c r="OE224" s="9" t="n">
        <v>0</v>
      </c>
      <c r="OF224" s="9" t="n">
        <v>1680.5</v>
      </c>
      <c r="OJ224" s="10" t="n">
        <v>46210</v>
      </c>
      <c r="OK224" s="9" t="n">
        <v>106.8</v>
      </c>
      <c r="OL224" s="9" t="n">
        <v>0</v>
      </c>
      <c r="OM224" s="9" t="n">
        <v>106.8</v>
      </c>
      <c r="ON224" s="9" t="n">
        <v>-106.8</v>
      </c>
      <c r="OO224" s="9" t="n">
        <v>0</v>
      </c>
      <c r="OS224" s="10" t="n">
        <v>46210</v>
      </c>
      <c r="OU224" s="9" t="n">
        <v>0</v>
      </c>
      <c r="OW224" s="9" t="n">
        <v>0</v>
      </c>
      <c r="OX224" s="9" t="n">
        <v>1482</v>
      </c>
      <c r="PB224" s="10" t="n">
        <v>46210</v>
      </c>
      <c r="PD224" s="9" t="n">
        <v>0</v>
      </c>
      <c r="PF224" s="9" t="n">
        <v>0</v>
      </c>
      <c r="PG224" s="9" t="n">
        <v>0</v>
      </c>
      <c r="PK224" s="10" t="n">
        <v>46210</v>
      </c>
      <c r="PM224" s="9" t="n">
        <v>0</v>
      </c>
      <c r="PO224" s="9" t="n">
        <v>0</v>
      </c>
      <c r="PP224" s="9" t="n">
        <v>100</v>
      </c>
      <c r="PT224" s="10" t="n">
        <v>46210</v>
      </c>
      <c r="PV224" s="9" t="n">
        <v>0</v>
      </c>
      <c r="PX224" s="9" t="n">
        <v>0</v>
      </c>
      <c r="PY224" s="9" t="n">
        <v>13.96000000000004</v>
      </c>
      <c r="QC224" s="10" t="n">
        <v>46210</v>
      </c>
      <c r="QE224" s="9" t="n">
        <v>0</v>
      </c>
      <c r="QG224" s="9" t="n">
        <v>0</v>
      </c>
      <c r="QH224" s="9" t="n">
        <v>1736</v>
      </c>
      <c r="QL224" s="10" t="n">
        <v>46210</v>
      </c>
      <c r="QN224" s="9" t="n">
        <v>0</v>
      </c>
      <c r="QP224" s="9" t="n">
        <v>0</v>
      </c>
      <c r="QQ224" s="9" t="n">
        <v>235</v>
      </c>
      <c r="QU224" s="10" t="n">
        <v>46210</v>
      </c>
      <c r="QW224" s="9" t="n">
        <v>0</v>
      </c>
      <c r="QY224" s="9" t="n">
        <v>0</v>
      </c>
      <c r="QZ224" s="9" t="n">
        <v>207.6</v>
      </c>
      <c r="RD224" s="10" t="n">
        <v>46210</v>
      </c>
      <c r="RF224" s="9" t="n">
        <v>0</v>
      </c>
      <c r="RH224" s="9" t="n">
        <v>0</v>
      </c>
      <c r="RI224" s="9" t="n">
        <v>147.04</v>
      </c>
      <c r="RM224" s="10" t="n">
        <v>46210</v>
      </c>
      <c r="RO224" s="9" t="n">
        <v>0</v>
      </c>
      <c r="RQ224" s="9" t="n">
        <v>0</v>
      </c>
      <c r="RR224" s="9" t="n">
        <v>46.8</v>
      </c>
      <c r="RV224" s="10" t="n">
        <v>46210</v>
      </c>
      <c r="RX224" s="9" t="n">
        <v>0</v>
      </c>
      <c r="RZ224" s="9" t="n">
        <v>0</v>
      </c>
      <c r="SA224" s="9" t="n">
        <v>0</v>
      </c>
      <c r="SE224" s="10" t="n">
        <v>46210</v>
      </c>
      <c r="SG224" s="9" t="n">
        <v>0</v>
      </c>
      <c r="SI224" s="9" t="n">
        <v>0</v>
      </c>
      <c r="SJ224" s="9" t="n">
        <v>24.2</v>
      </c>
      <c r="SN224" s="10" t="n">
        <v>46210</v>
      </c>
      <c r="SP224" s="9" t="n">
        <v>0</v>
      </c>
      <c r="SR224" s="9" t="n">
        <v>0</v>
      </c>
      <c r="SS224" s="9" t="n">
        <v>32</v>
      </c>
      <c r="SW224" s="10" t="n">
        <v>46210</v>
      </c>
      <c r="SY224" s="9" t="n">
        <v>0</v>
      </c>
      <c r="TA224" s="9" t="n">
        <v>0</v>
      </c>
      <c r="TB224" s="9" t="n">
        <v>0</v>
      </c>
      <c r="TF224" s="10" t="n">
        <v>46210</v>
      </c>
      <c r="TH224" s="9" t="n">
        <v>0</v>
      </c>
      <c r="TJ224" s="9" t="n">
        <v>0</v>
      </c>
      <c r="TK224" s="9" t="n">
        <v>0</v>
      </c>
      <c r="TO224" s="10" t="n">
        <v>46210</v>
      </c>
      <c r="TQ224" s="9" t="n">
        <v>0</v>
      </c>
      <c r="TS224" s="9" t="n">
        <v>0</v>
      </c>
      <c r="TT224" s="9" t="n">
        <v>22.40000000000001</v>
      </c>
      <c r="TX224" s="10" t="n">
        <v>46210</v>
      </c>
      <c r="TZ224" s="9" t="n">
        <v>0</v>
      </c>
      <c r="UB224" s="9" t="n">
        <v>0</v>
      </c>
      <c r="UC224" s="9" t="n">
        <v>46.79999999999998</v>
      </c>
      <c r="UG224" s="10" t="n">
        <v>46210</v>
      </c>
      <c r="UI224" s="9" t="n">
        <v>0</v>
      </c>
      <c r="UK224" s="9" t="n">
        <v>0</v>
      </c>
      <c r="UL224" s="9" t="n">
        <v>204</v>
      </c>
      <c r="UP224" s="10" t="n">
        <v>46210</v>
      </c>
      <c r="UR224" s="9" t="n">
        <v>0</v>
      </c>
      <c r="UT224" s="9" t="n">
        <v>0</v>
      </c>
      <c r="UU224" s="9" t="n">
        <v>251.25</v>
      </c>
      <c r="UY224" s="10" t="n">
        <v>46210</v>
      </c>
      <c r="VA224" s="9" t="n">
        <v>0</v>
      </c>
      <c r="VC224" s="9" t="n">
        <v>0</v>
      </c>
      <c r="VD224" s="9" t="n">
        <v>41.60000000000002</v>
      </c>
      <c r="VH224" s="10" t="n">
        <v>46210</v>
      </c>
      <c r="VJ224" s="9" t="n">
        <v>0</v>
      </c>
      <c r="VL224" s="9" t="n">
        <v>0</v>
      </c>
      <c r="VM224" s="9" t="n">
        <v>210</v>
      </c>
      <c r="VQ224" s="10" t="n">
        <v>46210</v>
      </c>
      <c r="VS224" s="9" t="n">
        <v>0</v>
      </c>
      <c r="VU224" s="9" t="n">
        <v>0</v>
      </c>
      <c r="VV224" s="9" t="n">
        <v>0</v>
      </c>
      <c r="VZ224" s="10" t="n">
        <v>46210</v>
      </c>
      <c r="WB224" s="9" t="n">
        <v>0</v>
      </c>
      <c r="WD224" s="9" t="n">
        <v>0</v>
      </c>
      <c r="WE224" s="9" t="n">
        <v>0</v>
      </c>
      <c r="WI224" s="10" t="n">
        <v>46210</v>
      </c>
      <c r="WK224" s="9" t="n">
        <v>0</v>
      </c>
      <c r="WM224" s="9" t="n">
        <v>0</v>
      </c>
      <c r="WN224" s="9" t="n">
        <v>1057</v>
      </c>
      <c r="WR224" s="10" t="n">
        <v>46210</v>
      </c>
      <c r="WT224" s="9" t="n">
        <v>0</v>
      </c>
      <c r="WV224" s="9" t="n">
        <v>0</v>
      </c>
      <c r="WW224" s="9" t="n">
        <v>0</v>
      </c>
      <c r="XA224" s="10" t="n">
        <v>46210</v>
      </c>
      <c r="XC224" s="9" t="n">
        <v>0</v>
      </c>
      <c r="XE224" s="9" t="n">
        <v>0</v>
      </c>
      <c r="XF224" s="9" t="n">
        <v>7507</v>
      </c>
      <c r="XJ224" s="10" t="n">
        <v>46210</v>
      </c>
      <c r="XL224" s="9" t="n">
        <v>0</v>
      </c>
      <c r="XN224" s="9" t="n">
        <v>0</v>
      </c>
      <c r="XO224" s="9" t="n">
        <v>4252</v>
      </c>
      <c r="XS224" s="10" t="n">
        <v>46210</v>
      </c>
      <c r="XU224" s="9" t="n">
        <v>0</v>
      </c>
      <c r="XW224" s="9" t="n">
        <v>0</v>
      </c>
      <c r="XX224" s="9" t="n">
        <v>2179</v>
      </c>
      <c r="YB224" s="10" t="n">
        <v>46210</v>
      </c>
      <c r="YD224" s="9" t="n">
        <v>0</v>
      </c>
      <c r="YF224" s="9" t="n">
        <v>0</v>
      </c>
      <c r="YG224" s="9" t="n">
        <v>4019</v>
      </c>
      <c r="YK224" s="10" t="n">
        <v>46210</v>
      </c>
      <c r="YM224" s="9" t="n">
        <v>0</v>
      </c>
      <c r="YO224" s="9" t="n">
        <v>0</v>
      </c>
      <c r="YP224" s="9" t="n">
        <v>0</v>
      </c>
      <c r="YT224" s="10" t="n">
        <v>46210</v>
      </c>
      <c r="YV224" s="9" t="n">
        <v>0</v>
      </c>
      <c r="YX224" s="9" t="n">
        <v>0</v>
      </c>
      <c r="YY224" s="9" t="n">
        <v>0</v>
      </c>
      <c r="ZC224" s="10" t="n">
        <v>46210</v>
      </c>
      <c r="ZE224" s="9" t="n">
        <v>0</v>
      </c>
      <c r="ZG224" s="9" t="n">
        <v>0</v>
      </c>
      <c r="ZH224" s="9" t="n">
        <v>0</v>
      </c>
      <c r="ZL224" s="10" t="n">
        <v>46210</v>
      </c>
      <c r="ZN224" s="9" t="n">
        <v>0</v>
      </c>
      <c r="ZP224" s="9" t="n">
        <v>0</v>
      </c>
      <c r="ZQ224" s="9" t="n">
        <v>0</v>
      </c>
      <c r="ZU224" s="10" t="n">
        <v>46210</v>
      </c>
      <c r="ZW224" s="9" t="n">
        <v>0</v>
      </c>
      <c r="ZY224" s="9" t="n">
        <v>0</v>
      </c>
      <c r="ZZ224" s="9" t="n">
        <v>0</v>
      </c>
      <c r="AAD224" s="10" t="n">
        <v>46210</v>
      </c>
      <c r="AAF224" s="9" t="n">
        <v>0</v>
      </c>
      <c r="AAH224" s="9" t="n">
        <v>0</v>
      </c>
      <c r="AAI224" s="9" t="n">
        <v>0</v>
      </c>
      <c r="AAM224" s="10" t="n">
        <v>46210</v>
      </c>
      <c r="AAO224" s="9" t="n">
        <v>0</v>
      </c>
      <c r="AAQ224" s="9" t="n">
        <v>0</v>
      </c>
      <c r="AAR224" s="9" t="n">
        <v>0</v>
      </c>
      <c r="AAV224" s="10" t="n">
        <v>46210</v>
      </c>
      <c r="AAX224" s="9" t="n">
        <v>0</v>
      </c>
      <c r="AAZ224" s="9" t="n">
        <v>0</v>
      </c>
      <c r="ABA224" s="9" t="n">
        <v>0</v>
      </c>
      <c r="ABE224" s="10" t="n">
        <v>46210</v>
      </c>
      <c r="ABG224" s="9" t="n">
        <v>0</v>
      </c>
      <c r="ABI224" s="9" t="n">
        <v>0</v>
      </c>
      <c r="ABJ224" s="9" t="n">
        <v>0</v>
      </c>
    </row>
    <row r="225">
      <c r="C225" s="10" t="n">
        <v>46211</v>
      </c>
      <c r="D225" s="9" t="n">
        <v>116850</v>
      </c>
      <c r="E225" s="9" t="n">
        <v>0</v>
      </c>
      <c r="F225" s="9" t="n">
        <v>12126.2</v>
      </c>
      <c r="G225" s="9" t="n">
        <v>-12126.2</v>
      </c>
      <c r="H225" s="9" t="n">
        <v>204184</v>
      </c>
      <c r="L225" s="10" t="n">
        <v>46211</v>
      </c>
      <c r="M225" s="9" t="n">
        <v>30800</v>
      </c>
      <c r="N225" s="9" t="n">
        <v>0</v>
      </c>
      <c r="O225" s="9" t="n">
        <v>4308.4</v>
      </c>
      <c r="P225" s="9" t="n">
        <v>-4308.4</v>
      </c>
      <c r="Q225" s="9" t="n">
        <v>40021.60000000007</v>
      </c>
      <c r="U225" s="10" t="n">
        <v>46211</v>
      </c>
      <c r="W225" s="9" t="n">
        <v>0</v>
      </c>
      <c r="X225" s="9" t="n">
        <v>1400.5</v>
      </c>
      <c r="Y225" s="9" t="n">
        <v>-1400.5</v>
      </c>
      <c r="Z225" s="9" t="n">
        <v>15889.59999999997</v>
      </c>
      <c r="AD225" s="10" t="n">
        <v>46211</v>
      </c>
      <c r="AF225" s="9" t="n">
        <v>0</v>
      </c>
      <c r="AH225" s="9" t="n">
        <v>0</v>
      </c>
      <c r="AI225" s="9" t="n">
        <v>32572.00000000002</v>
      </c>
      <c r="AM225" s="10" t="n">
        <v>46211</v>
      </c>
      <c r="AO225" s="9" t="n">
        <v>0</v>
      </c>
      <c r="AQ225" s="9" t="n">
        <v>0</v>
      </c>
      <c r="AR225" s="9" t="n">
        <v>0</v>
      </c>
      <c r="AV225" s="10" t="n">
        <v>46211</v>
      </c>
      <c r="AX225" s="9" t="n">
        <v>0</v>
      </c>
      <c r="AZ225" s="9" t="n">
        <v>0</v>
      </c>
      <c r="BA225" s="9" t="n">
        <v>13506.1</v>
      </c>
      <c r="BE225" s="10" t="n">
        <v>46211</v>
      </c>
      <c r="BG225" s="9" t="n">
        <v>0</v>
      </c>
      <c r="BH225" s="9" t="n">
        <v>199</v>
      </c>
      <c r="BI225" s="9" t="n">
        <v>-199</v>
      </c>
      <c r="BJ225" s="9" t="n">
        <v>34959.19999999999</v>
      </c>
      <c r="BN225" s="10" t="n">
        <v>46211</v>
      </c>
      <c r="BO225" s="9" t="n">
        <v>200</v>
      </c>
      <c r="BP225" s="9" t="n">
        <v>0</v>
      </c>
      <c r="BQ225" s="9" t="n">
        <v>200</v>
      </c>
      <c r="BR225" s="9" t="n">
        <v>-200</v>
      </c>
      <c r="BS225" s="9" t="n">
        <v>0</v>
      </c>
      <c r="BW225" s="10" t="n">
        <v>46211</v>
      </c>
      <c r="BY225" s="9" t="n">
        <v>0</v>
      </c>
      <c r="CA225" s="9" t="n">
        <v>0</v>
      </c>
      <c r="CB225" s="9" t="n">
        <v>2379.779999999999</v>
      </c>
      <c r="CF225" s="10" t="n">
        <v>46211</v>
      </c>
      <c r="CH225" s="9" t="n">
        <v>0</v>
      </c>
      <c r="CJ225" s="9" t="n">
        <v>0</v>
      </c>
      <c r="CK225" s="9" t="n">
        <v>-4005.779999999999</v>
      </c>
      <c r="CO225" s="10" t="n">
        <v>46211</v>
      </c>
      <c r="CQ225" s="9" t="n">
        <v>0</v>
      </c>
      <c r="CS225" s="9" t="n">
        <v>0</v>
      </c>
      <c r="CT225" s="9" t="n">
        <v>0</v>
      </c>
      <c r="CX225" s="10" t="n">
        <v>46211</v>
      </c>
      <c r="CZ225" s="9" t="n">
        <v>0</v>
      </c>
      <c r="DA225" s="9" t="n">
        <v>401</v>
      </c>
      <c r="DB225" s="9" t="n">
        <v>-401</v>
      </c>
      <c r="DC225" s="9" t="n">
        <v>3648.200000000007</v>
      </c>
      <c r="DG225" s="10" t="n">
        <v>46211</v>
      </c>
      <c r="DI225" s="9" t="n">
        <v>0</v>
      </c>
      <c r="DK225" s="9" t="n">
        <v>0</v>
      </c>
      <c r="DL225" s="9" t="n">
        <v>34634.69999999998</v>
      </c>
      <c r="DP225" s="10" t="n">
        <v>46211</v>
      </c>
      <c r="DR225" s="9" t="n">
        <v>0</v>
      </c>
      <c r="DT225" s="9" t="n">
        <v>0</v>
      </c>
      <c r="DU225" s="9" t="n">
        <v>5800</v>
      </c>
      <c r="DY225" s="10" t="n">
        <v>46211</v>
      </c>
      <c r="EA225" s="9" t="n">
        <v>0</v>
      </c>
      <c r="EC225" s="9" t="n">
        <v>0</v>
      </c>
      <c r="ED225" s="9" t="n">
        <v>0</v>
      </c>
      <c r="EH225" s="10" t="n">
        <v>46211</v>
      </c>
      <c r="EJ225" s="9" t="n">
        <v>0</v>
      </c>
      <c r="EL225" s="9" t="n">
        <v>0</v>
      </c>
      <c r="EM225" s="9" t="n">
        <v>0</v>
      </c>
      <c r="EQ225" s="10" t="n">
        <v>46211</v>
      </c>
      <c r="ES225" s="9" t="n">
        <v>0</v>
      </c>
      <c r="EU225" s="9" t="n">
        <v>0</v>
      </c>
      <c r="EV225" s="9" t="n">
        <v>0</v>
      </c>
      <c r="EZ225" s="10" t="n">
        <v>46211</v>
      </c>
      <c r="FB225" s="9" t="n">
        <v>0</v>
      </c>
      <c r="FD225" s="9" t="n">
        <v>0</v>
      </c>
      <c r="FE225" s="9" t="n">
        <v>0</v>
      </c>
      <c r="FI225" s="10" t="n">
        <v>46211</v>
      </c>
      <c r="FK225" s="9" t="n">
        <v>0</v>
      </c>
      <c r="FM225" s="9" t="n">
        <v>0</v>
      </c>
      <c r="FN225" s="9" t="n">
        <v>0</v>
      </c>
      <c r="FR225" s="10" t="n">
        <v>46211</v>
      </c>
      <c r="FT225" s="9" t="n">
        <v>0</v>
      </c>
      <c r="FV225" s="9" t="n">
        <v>0</v>
      </c>
      <c r="FW225" s="9" t="n">
        <v>1160</v>
      </c>
      <c r="GA225" s="10" t="n">
        <v>46211</v>
      </c>
      <c r="GC225" s="9" t="n">
        <v>0</v>
      </c>
      <c r="GE225" s="9" t="n">
        <v>0</v>
      </c>
      <c r="GF225" s="9" t="n">
        <v>960</v>
      </c>
      <c r="GJ225" s="10" t="n">
        <v>46211</v>
      </c>
      <c r="GL225" s="9" t="n">
        <v>0</v>
      </c>
      <c r="GN225" s="9" t="n">
        <v>0</v>
      </c>
      <c r="GO225" s="9" t="n">
        <v>1760</v>
      </c>
      <c r="GS225" s="10" t="n">
        <v>46211</v>
      </c>
      <c r="GU225" s="9" t="n">
        <v>0</v>
      </c>
      <c r="GW225" s="9" t="n">
        <v>0</v>
      </c>
      <c r="GX225" s="9" t="n">
        <v>400</v>
      </c>
      <c r="HB225" s="10" t="n">
        <v>46211</v>
      </c>
      <c r="HD225" s="9" t="n">
        <v>0</v>
      </c>
      <c r="HF225" s="9" t="n">
        <v>0</v>
      </c>
      <c r="HG225" s="9" t="n">
        <v>3600</v>
      </c>
      <c r="HK225" s="10" t="n">
        <v>46211</v>
      </c>
      <c r="HM225" s="9" t="n">
        <v>0</v>
      </c>
      <c r="HO225" s="9" t="n">
        <v>0</v>
      </c>
      <c r="HP225" s="9" t="n">
        <v>0</v>
      </c>
      <c r="HU225" s="10" t="n">
        <v>46211</v>
      </c>
      <c r="HW225" s="9" t="n">
        <v>0</v>
      </c>
      <c r="HY225" s="9" t="n">
        <v>0</v>
      </c>
      <c r="HZ225" s="9" t="n">
        <v>6560</v>
      </c>
      <c r="ID225" s="10" t="n">
        <v>46211</v>
      </c>
      <c r="IF225" s="9" t="n">
        <v>0</v>
      </c>
      <c r="IH225" s="9" t="n">
        <v>0</v>
      </c>
      <c r="II225" s="9" t="n">
        <v>720</v>
      </c>
      <c r="IM225" s="10" t="n">
        <v>46211</v>
      </c>
      <c r="IO225" s="9" t="n">
        <v>0</v>
      </c>
      <c r="IQ225" s="9" t="n">
        <v>0</v>
      </c>
      <c r="IR225" s="9" t="n">
        <v>6400</v>
      </c>
      <c r="IV225" s="10" t="n">
        <v>46211</v>
      </c>
      <c r="IX225" s="9" t="n">
        <v>0</v>
      </c>
      <c r="IZ225" s="9" t="n">
        <v>0</v>
      </c>
      <c r="JA225" s="9" t="n">
        <v>4960</v>
      </c>
      <c r="JE225" s="10" t="n">
        <v>46211</v>
      </c>
      <c r="JG225" s="9" t="n">
        <v>0</v>
      </c>
      <c r="JI225" s="9" t="n">
        <v>0</v>
      </c>
      <c r="JJ225" s="9" t="n">
        <v>0</v>
      </c>
      <c r="JN225" s="10" t="n">
        <v>46211</v>
      </c>
      <c r="JP225" s="9" t="n">
        <v>0</v>
      </c>
      <c r="JR225" s="9" t="n">
        <v>0</v>
      </c>
      <c r="JS225" s="9" t="n">
        <v>0</v>
      </c>
      <c r="JW225" s="10" t="n">
        <v>46211</v>
      </c>
      <c r="JY225" s="9" t="n">
        <v>0</v>
      </c>
      <c r="KA225" s="9" t="n">
        <v>0</v>
      </c>
      <c r="KB225" s="9" t="n">
        <v>2540</v>
      </c>
      <c r="KF225" s="10" t="n">
        <v>46211</v>
      </c>
      <c r="KH225" s="9" t="n">
        <v>0</v>
      </c>
      <c r="KJ225" s="9" t="n">
        <v>0</v>
      </c>
      <c r="KK225" s="9" t="n">
        <v>2359.5</v>
      </c>
      <c r="KO225" s="10" t="n">
        <v>46211</v>
      </c>
      <c r="KQ225" s="9" t="n">
        <v>0</v>
      </c>
      <c r="KS225" s="9" t="n">
        <v>0</v>
      </c>
      <c r="KT225" s="9" t="n">
        <v>1890</v>
      </c>
      <c r="KX225" s="10" t="n">
        <v>46211</v>
      </c>
      <c r="KZ225" s="9" t="n">
        <v>0</v>
      </c>
      <c r="LB225" s="9" t="n">
        <v>0</v>
      </c>
      <c r="LC225" s="9" t="n">
        <v>3690</v>
      </c>
      <c r="LG225" s="10" t="n">
        <v>46211</v>
      </c>
      <c r="LI225" s="9" t="n">
        <v>0</v>
      </c>
      <c r="LK225" s="9" t="n">
        <v>0</v>
      </c>
      <c r="LL225" s="9" t="n">
        <v>4000</v>
      </c>
      <c r="LP225" s="10" t="n">
        <v>46211</v>
      </c>
      <c r="LR225" s="9" t="n">
        <v>0</v>
      </c>
      <c r="LT225" s="9" t="n">
        <v>0</v>
      </c>
      <c r="LU225" s="9" t="n">
        <v>0</v>
      </c>
      <c r="LY225" s="10" t="n">
        <v>46211</v>
      </c>
      <c r="MA225" s="9" t="n">
        <v>0</v>
      </c>
      <c r="MC225" s="9" t="n">
        <v>0</v>
      </c>
      <c r="MD225" s="9" t="n">
        <v>0</v>
      </c>
      <c r="MH225" s="10" t="n">
        <v>46211</v>
      </c>
      <c r="MJ225" s="9" t="n">
        <v>0</v>
      </c>
      <c r="ML225" s="9" t="n">
        <v>0</v>
      </c>
      <c r="MM225" s="9" t="n">
        <v>0</v>
      </c>
      <c r="MQ225" s="10" t="n">
        <v>46211</v>
      </c>
      <c r="MS225" s="9" t="n">
        <v>0</v>
      </c>
      <c r="MU225" s="9" t="n">
        <v>0</v>
      </c>
      <c r="MV225" s="9" t="n">
        <v>3072</v>
      </c>
      <c r="MZ225" s="10" t="n">
        <v>46211</v>
      </c>
      <c r="NB225" s="9" t="n">
        <v>0</v>
      </c>
      <c r="ND225" s="9" t="n">
        <v>0</v>
      </c>
      <c r="NE225" s="9" t="n">
        <v>0</v>
      </c>
      <c r="NI225" s="10" t="n">
        <v>46211</v>
      </c>
      <c r="NK225" s="9" t="n">
        <v>0</v>
      </c>
      <c r="NM225" s="9" t="n">
        <v>0</v>
      </c>
      <c r="NN225" s="9" t="n">
        <v>1127</v>
      </c>
      <c r="NR225" s="10" t="n">
        <v>46211</v>
      </c>
      <c r="NT225" s="9" t="n">
        <v>0</v>
      </c>
      <c r="NV225" s="9" t="n">
        <v>0</v>
      </c>
      <c r="NW225" s="9" t="n">
        <v>3112</v>
      </c>
      <c r="OA225" s="10" t="n">
        <v>46211</v>
      </c>
      <c r="OC225" s="9" t="n">
        <v>0</v>
      </c>
      <c r="OE225" s="9" t="n">
        <v>0</v>
      </c>
      <c r="OF225" s="9" t="n">
        <v>1680.5</v>
      </c>
      <c r="OJ225" s="10" t="n">
        <v>46211</v>
      </c>
      <c r="OL225" s="9" t="n">
        <v>0</v>
      </c>
      <c r="ON225" s="9" t="n">
        <v>0</v>
      </c>
      <c r="OO225" s="9" t="n">
        <v>0</v>
      </c>
      <c r="OS225" s="10" t="n">
        <v>46211</v>
      </c>
      <c r="OU225" s="9" t="n">
        <v>0</v>
      </c>
      <c r="OW225" s="9" t="n">
        <v>0</v>
      </c>
      <c r="OX225" s="9" t="n">
        <v>1482</v>
      </c>
      <c r="PB225" s="10" t="n">
        <v>46211</v>
      </c>
      <c r="PD225" s="9" t="n">
        <v>0</v>
      </c>
      <c r="PF225" s="9" t="n">
        <v>0</v>
      </c>
      <c r="PG225" s="9" t="n">
        <v>0</v>
      </c>
      <c r="PK225" s="10" t="n">
        <v>46211</v>
      </c>
      <c r="PM225" s="9" t="n">
        <v>0</v>
      </c>
      <c r="PO225" s="9" t="n">
        <v>0</v>
      </c>
      <c r="PP225" s="9" t="n">
        <v>100</v>
      </c>
      <c r="PT225" s="10" t="n">
        <v>46211</v>
      </c>
      <c r="PV225" s="9" t="n">
        <v>0</v>
      </c>
      <c r="PX225" s="9" t="n">
        <v>0</v>
      </c>
      <c r="PY225" s="9" t="n">
        <v>13.96000000000004</v>
      </c>
      <c r="QC225" s="10" t="n">
        <v>46211</v>
      </c>
      <c r="QE225" s="9" t="n">
        <v>0</v>
      </c>
      <c r="QG225" s="9" t="n">
        <v>0</v>
      </c>
      <c r="QH225" s="9" t="n">
        <v>1736</v>
      </c>
      <c r="QL225" s="10" t="n">
        <v>46211</v>
      </c>
      <c r="QN225" s="9" t="n">
        <v>0</v>
      </c>
      <c r="QP225" s="9" t="n">
        <v>0</v>
      </c>
      <c r="QQ225" s="9" t="n">
        <v>235</v>
      </c>
      <c r="QU225" s="10" t="n">
        <v>46211</v>
      </c>
      <c r="QW225" s="9" t="n">
        <v>0</v>
      </c>
      <c r="QY225" s="9" t="n">
        <v>0</v>
      </c>
      <c r="QZ225" s="9" t="n">
        <v>207.6</v>
      </c>
      <c r="RD225" s="10" t="n">
        <v>46211</v>
      </c>
      <c r="RF225" s="9" t="n">
        <v>0</v>
      </c>
      <c r="RH225" s="9" t="n">
        <v>0</v>
      </c>
      <c r="RI225" s="9" t="n">
        <v>147.04</v>
      </c>
      <c r="RM225" s="10" t="n">
        <v>46211</v>
      </c>
      <c r="RO225" s="9" t="n">
        <v>0</v>
      </c>
      <c r="RQ225" s="9" t="n">
        <v>0</v>
      </c>
      <c r="RR225" s="9" t="n">
        <v>46.8</v>
      </c>
      <c r="RV225" s="10" t="n">
        <v>46211</v>
      </c>
      <c r="RX225" s="9" t="n">
        <v>0</v>
      </c>
      <c r="RZ225" s="9" t="n">
        <v>0</v>
      </c>
      <c r="SA225" s="9" t="n">
        <v>0</v>
      </c>
      <c r="SE225" s="10" t="n">
        <v>46211</v>
      </c>
      <c r="SG225" s="9" t="n">
        <v>0</v>
      </c>
      <c r="SI225" s="9" t="n">
        <v>0</v>
      </c>
      <c r="SJ225" s="9" t="n">
        <v>24.2</v>
      </c>
      <c r="SN225" s="10" t="n">
        <v>46211</v>
      </c>
      <c r="SP225" s="9" t="n">
        <v>0</v>
      </c>
      <c r="SR225" s="9" t="n">
        <v>0</v>
      </c>
      <c r="SS225" s="9" t="n">
        <v>32</v>
      </c>
      <c r="SW225" s="10" t="n">
        <v>46211</v>
      </c>
      <c r="SY225" s="9" t="n">
        <v>0</v>
      </c>
      <c r="TA225" s="9" t="n">
        <v>0</v>
      </c>
      <c r="TB225" s="9" t="n">
        <v>0</v>
      </c>
      <c r="TF225" s="10" t="n">
        <v>46211</v>
      </c>
      <c r="TH225" s="9" t="n">
        <v>0</v>
      </c>
      <c r="TJ225" s="9" t="n">
        <v>0</v>
      </c>
      <c r="TK225" s="9" t="n">
        <v>0</v>
      </c>
      <c r="TO225" s="10" t="n">
        <v>46211</v>
      </c>
      <c r="TQ225" s="9" t="n">
        <v>0</v>
      </c>
      <c r="TS225" s="9" t="n">
        <v>0</v>
      </c>
      <c r="TT225" s="9" t="n">
        <v>22.40000000000001</v>
      </c>
      <c r="TX225" s="10" t="n">
        <v>46211</v>
      </c>
      <c r="TZ225" s="9" t="n">
        <v>0</v>
      </c>
      <c r="UB225" s="9" t="n">
        <v>0</v>
      </c>
      <c r="UC225" s="9" t="n">
        <v>46.79999999999998</v>
      </c>
      <c r="UG225" s="10" t="n">
        <v>46211</v>
      </c>
      <c r="UI225" s="9" t="n">
        <v>0</v>
      </c>
      <c r="UK225" s="9" t="n">
        <v>0</v>
      </c>
      <c r="UL225" s="9" t="n">
        <v>204</v>
      </c>
      <c r="UP225" s="10" t="n">
        <v>46211</v>
      </c>
      <c r="UR225" s="9" t="n">
        <v>0</v>
      </c>
      <c r="UT225" s="9" t="n">
        <v>0</v>
      </c>
      <c r="UU225" s="9" t="n">
        <v>251.25</v>
      </c>
      <c r="UY225" s="10" t="n">
        <v>46211</v>
      </c>
      <c r="VA225" s="9" t="n">
        <v>0</v>
      </c>
      <c r="VC225" s="9" t="n">
        <v>0</v>
      </c>
      <c r="VD225" s="9" t="n">
        <v>41.60000000000002</v>
      </c>
      <c r="VH225" s="10" t="n">
        <v>46211</v>
      </c>
      <c r="VJ225" s="9" t="n">
        <v>0</v>
      </c>
      <c r="VL225" s="9" t="n">
        <v>0</v>
      </c>
      <c r="VM225" s="9" t="n">
        <v>210</v>
      </c>
      <c r="VQ225" s="10" t="n">
        <v>46211</v>
      </c>
      <c r="VS225" s="9" t="n">
        <v>0</v>
      </c>
      <c r="VU225" s="9" t="n">
        <v>0</v>
      </c>
      <c r="VV225" s="9" t="n">
        <v>0</v>
      </c>
      <c r="VZ225" s="10" t="n">
        <v>46211</v>
      </c>
      <c r="WB225" s="9" t="n">
        <v>0</v>
      </c>
      <c r="WD225" s="9" t="n">
        <v>0</v>
      </c>
      <c r="WE225" s="9" t="n">
        <v>0</v>
      </c>
      <c r="WI225" s="10" t="n">
        <v>46211</v>
      </c>
      <c r="WK225" s="9" t="n">
        <v>0</v>
      </c>
      <c r="WM225" s="9" t="n">
        <v>0</v>
      </c>
      <c r="WN225" s="9" t="n">
        <v>1057</v>
      </c>
      <c r="WR225" s="10" t="n">
        <v>46211</v>
      </c>
      <c r="WT225" s="9" t="n">
        <v>0</v>
      </c>
      <c r="WV225" s="9" t="n">
        <v>0</v>
      </c>
      <c r="WW225" s="9" t="n">
        <v>0</v>
      </c>
      <c r="XA225" s="10" t="n">
        <v>46211</v>
      </c>
      <c r="XC225" s="9" t="n">
        <v>0</v>
      </c>
      <c r="XE225" s="9" t="n">
        <v>0</v>
      </c>
      <c r="XF225" s="9" t="n">
        <v>7507</v>
      </c>
      <c r="XJ225" s="10" t="n">
        <v>46211</v>
      </c>
      <c r="XL225" s="9" t="n">
        <v>0</v>
      </c>
      <c r="XN225" s="9" t="n">
        <v>0</v>
      </c>
      <c r="XO225" s="9" t="n">
        <v>4252</v>
      </c>
      <c r="XS225" s="10" t="n">
        <v>46211</v>
      </c>
      <c r="XU225" s="9" t="n">
        <v>0</v>
      </c>
      <c r="XW225" s="9" t="n">
        <v>0</v>
      </c>
      <c r="XX225" s="9" t="n">
        <v>2179</v>
      </c>
      <c r="YB225" s="10" t="n">
        <v>46211</v>
      </c>
      <c r="YD225" s="9" t="n">
        <v>0</v>
      </c>
      <c r="YF225" s="9" t="n">
        <v>0</v>
      </c>
      <c r="YG225" s="9" t="n">
        <v>4019</v>
      </c>
      <c r="YK225" s="10" t="n">
        <v>46211</v>
      </c>
      <c r="YM225" s="9" t="n">
        <v>0</v>
      </c>
      <c r="YO225" s="9" t="n">
        <v>0</v>
      </c>
      <c r="YP225" s="9" t="n">
        <v>0</v>
      </c>
      <c r="YT225" s="10" t="n">
        <v>46211</v>
      </c>
      <c r="YV225" s="9" t="n">
        <v>0</v>
      </c>
      <c r="YX225" s="9" t="n">
        <v>0</v>
      </c>
      <c r="YY225" s="9" t="n">
        <v>0</v>
      </c>
      <c r="ZC225" s="10" t="n">
        <v>46211</v>
      </c>
      <c r="ZE225" s="9" t="n">
        <v>0</v>
      </c>
      <c r="ZG225" s="9" t="n">
        <v>0</v>
      </c>
      <c r="ZH225" s="9" t="n">
        <v>0</v>
      </c>
      <c r="ZL225" s="10" t="n">
        <v>46211</v>
      </c>
      <c r="ZN225" s="9" t="n">
        <v>0</v>
      </c>
      <c r="ZP225" s="9" t="n">
        <v>0</v>
      </c>
      <c r="ZQ225" s="9" t="n">
        <v>0</v>
      </c>
      <c r="ZU225" s="10" t="n">
        <v>46211</v>
      </c>
      <c r="ZW225" s="9" t="n">
        <v>0</v>
      </c>
      <c r="ZY225" s="9" t="n">
        <v>0</v>
      </c>
      <c r="ZZ225" s="9" t="n">
        <v>0</v>
      </c>
      <c r="AAD225" s="10" t="n">
        <v>46211</v>
      </c>
      <c r="AAF225" s="9" t="n">
        <v>0</v>
      </c>
      <c r="AAH225" s="9" t="n">
        <v>0</v>
      </c>
      <c r="AAI225" s="9" t="n">
        <v>0</v>
      </c>
      <c r="AAM225" s="10" t="n">
        <v>46211</v>
      </c>
      <c r="AAO225" s="9" t="n">
        <v>0</v>
      </c>
      <c r="AAQ225" s="9" t="n">
        <v>0</v>
      </c>
      <c r="AAR225" s="9" t="n">
        <v>0</v>
      </c>
      <c r="AAV225" s="10" t="n">
        <v>46211</v>
      </c>
      <c r="AAX225" s="9" t="n">
        <v>0</v>
      </c>
      <c r="AAZ225" s="9" t="n">
        <v>0</v>
      </c>
      <c r="ABA225" s="9" t="n">
        <v>0</v>
      </c>
      <c r="ABE225" s="10" t="n">
        <v>46211</v>
      </c>
      <c r="ABG225" s="9" t="n">
        <v>0</v>
      </c>
      <c r="ABI225" s="9" t="n">
        <v>0</v>
      </c>
      <c r="ABJ225" s="9" t="n">
        <v>0</v>
      </c>
    </row>
    <row r="226">
      <c r="C226" s="10" t="n">
        <v>46212</v>
      </c>
      <c r="E226" s="9" t="n">
        <v>9791.1</v>
      </c>
      <c r="F226" s="9" t="n">
        <v>40155.2</v>
      </c>
      <c r="G226" s="9" t="n">
        <v>-30364.1</v>
      </c>
      <c r="H226" s="9" t="n">
        <v>164028.8</v>
      </c>
      <c r="L226" s="10" t="n">
        <v>46212</v>
      </c>
      <c r="M226" s="9" t="n">
        <v>30350</v>
      </c>
      <c r="N226" s="9" t="n">
        <v>5355</v>
      </c>
      <c r="O226" s="9" t="n">
        <v>16140.2</v>
      </c>
      <c r="P226" s="9" t="n">
        <v>-10785.2</v>
      </c>
      <c r="Q226" s="9" t="n">
        <v>54231.40000000007</v>
      </c>
      <c r="U226" s="10" t="n">
        <v>46212</v>
      </c>
      <c r="W226" s="9" t="n">
        <v>1080</v>
      </c>
      <c r="X226" s="9" t="n">
        <v>4580.1</v>
      </c>
      <c r="Y226" s="9" t="n">
        <v>-3500.1</v>
      </c>
      <c r="Z226" s="9" t="n">
        <v>11309.49999999997</v>
      </c>
      <c r="AD226" s="10" t="n">
        <v>46212</v>
      </c>
      <c r="AF226" s="9" t="n">
        <v>0</v>
      </c>
      <c r="AH226" s="9" t="n">
        <v>0</v>
      </c>
      <c r="AI226" s="9" t="n">
        <v>32572.00000000002</v>
      </c>
      <c r="AM226" s="10" t="n">
        <v>46212</v>
      </c>
      <c r="AO226" s="9" t="n">
        <v>0</v>
      </c>
      <c r="AQ226" s="9" t="n">
        <v>0</v>
      </c>
      <c r="AR226" s="9" t="n">
        <v>0</v>
      </c>
      <c r="AV226" s="10" t="n">
        <v>46212</v>
      </c>
      <c r="AX226" s="9" t="n">
        <v>0</v>
      </c>
      <c r="AZ226" s="9" t="n">
        <v>0</v>
      </c>
      <c r="BA226" s="9" t="n">
        <v>13506.1</v>
      </c>
      <c r="BE226" s="10" t="n">
        <v>46212</v>
      </c>
      <c r="BG226" s="9" t="n">
        <v>0</v>
      </c>
      <c r="BH226" s="9" t="n">
        <v>501.2</v>
      </c>
      <c r="BI226" s="9" t="n">
        <v>-501.2</v>
      </c>
      <c r="BJ226" s="9" t="n">
        <v>34457.99999999999</v>
      </c>
      <c r="BN226" s="10" t="n">
        <v>46212</v>
      </c>
      <c r="BO226" s="9" t="n">
        <v>590</v>
      </c>
      <c r="BP226" s="9" t="n">
        <v>90</v>
      </c>
      <c r="BQ226" s="9" t="n">
        <v>590</v>
      </c>
      <c r="BR226" s="9" t="n">
        <v>-500</v>
      </c>
      <c r="BS226" s="9" t="n">
        <v>0</v>
      </c>
      <c r="BW226" s="10" t="n">
        <v>46212</v>
      </c>
      <c r="BX226" s="9" t="n">
        <v>6000</v>
      </c>
      <c r="BY226" s="9" t="n">
        <v>132.39</v>
      </c>
      <c r="CA226" s="9" t="n">
        <v>132.39</v>
      </c>
      <c r="CB226" s="9" t="n">
        <v>8379.779999999999</v>
      </c>
      <c r="CF226" s="10" t="n">
        <v>46212</v>
      </c>
      <c r="CH226" s="9" t="n">
        <v>0</v>
      </c>
      <c r="CI226" s="9" t="n">
        <v>99.06</v>
      </c>
      <c r="CJ226" s="9" t="n">
        <v>-99.06</v>
      </c>
      <c r="CK226" s="9" t="n">
        <v>-4104.839999999999</v>
      </c>
      <c r="CO226" s="10" t="n">
        <v>46212</v>
      </c>
      <c r="CQ226" s="9" t="n">
        <v>0</v>
      </c>
      <c r="CS226" s="9" t="n">
        <v>0</v>
      </c>
      <c r="CT226" s="9" t="n">
        <v>0</v>
      </c>
      <c r="CX226" s="10" t="n">
        <v>46212</v>
      </c>
      <c r="CZ226" s="9" t="n">
        <v>360</v>
      </c>
      <c r="DA226" s="9" t="n">
        <v>1336</v>
      </c>
      <c r="DB226" s="9" t="n">
        <v>-976</v>
      </c>
      <c r="DC226" s="9" t="n">
        <v>2312.200000000007</v>
      </c>
      <c r="DG226" s="10" t="n">
        <v>46212</v>
      </c>
      <c r="DI226" s="9" t="n">
        <v>0</v>
      </c>
      <c r="DK226" s="9" t="n">
        <v>0</v>
      </c>
      <c r="DL226" s="9" t="n">
        <v>34634.69999999998</v>
      </c>
      <c r="DP226" s="10" t="n">
        <v>46212</v>
      </c>
      <c r="DR226" s="9" t="n">
        <v>0</v>
      </c>
      <c r="DT226" s="9" t="n">
        <v>0</v>
      </c>
      <c r="DU226" s="9" t="n">
        <v>5800</v>
      </c>
      <c r="DY226" s="10" t="n">
        <v>46212</v>
      </c>
      <c r="EA226" s="9" t="n">
        <v>0</v>
      </c>
      <c r="EC226" s="9" t="n">
        <v>0</v>
      </c>
      <c r="ED226" s="9" t="n">
        <v>0</v>
      </c>
      <c r="EH226" s="10" t="n">
        <v>46212</v>
      </c>
      <c r="EI226" s="9" t="n">
        <v>73.55</v>
      </c>
      <c r="EJ226" s="9" t="n">
        <v>0</v>
      </c>
      <c r="EK226" s="9" t="n">
        <v>73.55</v>
      </c>
      <c r="EL226" s="9" t="n">
        <v>-73.55</v>
      </c>
      <c r="EM226" s="9" t="n">
        <v>0</v>
      </c>
      <c r="EQ226" s="10" t="n">
        <v>46212</v>
      </c>
      <c r="ES226" s="9" t="n">
        <v>0</v>
      </c>
      <c r="EU226" s="9" t="n">
        <v>0</v>
      </c>
      <c r="EV226" s="9" t="n">
        <v>0</v>
      </c>
      <c r="EZ226" s="10" t="n">
        <v>46212</v>
      </c>
      <c r="FB226" s="9" t="n">
        <v>0</v>
      </c>
      <c r="FD226" s="9" t="n">
        <v>0</v>
      </c>
      <c r="FE226" s="9" t="n">
        <v>0</v>
      </c>
      <c r="FI226" s="10" t="n">
        <v>46212</v>
      </c>
      <c r="FK226" s="9" t="n">
        <v>0</v>
      </c>
      <c r="FM226" s="9" t="n">
        <v>0</v>
      </c>
      <c r="FN226" s="9" t="n">
        <v>0</v>
      </c>
      <c r="FR226" s="10" t="n">
        <v>46212</v>
      </c>
      <c r="FT226" s="9" t="n">
        <v>0</v>
      </c>
      <c r="FV226" s="9" t="n">
        <v>0</v>
      </c>
      <c r="FW226" s="9" t="n">
        <v>1160</v>
      </c>
      <c r="GA226" s="10" t="n">
        <v>46212</v>
      </c>
      <c r="GC226" s="9" t="n">
        <v>0</v>
      </c>
      <c r="GE226" s="9" t="n">
        <v>0</v>
      </c>
      <c r="GF226" s="9" t="n">
        <v>960</v>
      </c>
      <c r="GJ226" s="10" t="n">
        <v>46212</v>
      </c>
      <c r="GL226" s="9" t="n">
        <v>0</v>
      </c>
      <c r="GN226" s="9" t="n">
        <v>0</v>
      </c>
      <c r="GO226" s="9" t="n">
        <v>1760</v>
      </c>
      <c r="GS226" s="10" t="n">
        <v>46212</v>
      </c>
      <c r="GU226" s="9" t="n">
        <v>0</v>
      </c>
      <c r="GW226" s="9" t="n">
        <v>0</v>
      </c>
      <c r="GX226" s="9" t="n">
        <v>400</v>
      </c>
      <c r="HB226" s="10" t="n">
        <v>46212</v>
      </c>
      <c r="HD226" s="9" t="n">
        <v>0</v>
      </c>
      <c r="HF226" s="9" t="n">
        <v>0</v>
      </c>
      <c r="HG226" s="9" t="n">
        <v>3600</v>
      </c>
      <c r="HK226" s="10" t="n">
        <v>46212</v>
      </c>
      <c r="HM226" s="9" t="n">
        <v>0</v>
      </c>
      <c r="HO226" s="9" t="n">
        <v>0</v>
      </c>
      <c r="HP226" s="9" t="n">
        <v>0</v>
      </c>
      <c r="HU226" s="10" t="n">
        <v>46212</v>
      </c>
      <c r="HW226" s="9" t="n">
        <v>0</v>
      </c>
      <c r="HY226" s="9" t="n">
        <v>0</v>
      </c>
      <c r="HZ226" s="9" t="n">
        <v>6560</v>
      </c>
      <c r="ID226" s="10" t="n">
        <v>46212</v>
      </c>
      <c r="IF226" s="9" t="n">
        <v>0</v>
      </c>
      <c r="IH226" s="9" t="n">
        <v>0</v>
      </c>
      <c r="II226" s="9" t="n">
        <v>720</v>
      </c>
      <c r="IM226" s="10" t="n">
        <v>46212</v>
      </c>
      <c r="IO226" s="9" t="n">
        <v>0</v>
      </c>
      <c r="IQ226" s="9" t="n">
        <v>0</v>
      </c>
      <c r="IR226" s="9" t="n">
        <v>6400</v>
      </c>
      <c r="IV226" s="10" t="n">
        <v>46212</v>
      </c>
      <c r="IX226" s="9" t="n">
        <v>0</v>
      </c>
      <c r="IZ226" s="9" t="n">
        <v>0</v>
      </c>
      <c r="JA226" s="9" t="n">
        <v>4960</v>
      </c>
      <c r="JE226" s="10" t="n">
        <v>46212</v>
      </c>
      <c r="JG226" s="9" t="n">
        <v>0</v>
      </c>
      <c r="JI226" s="9" t="n">
        <v>0</v>
      </c>
      <c r="JJ226" s="9" t="n">
        <v>0</v>
      </c>
      <c r="JN226" s="10" t="n">
        <v>46212</v>
      </c>
      <c r="JP226" s="9" t="n">
        <v>0</v>
      </c>
      <c r="JR226" s="9" t="n">
        <v>0</v>
      </c>
      <c r="JS226" s="9" t="n">
        <v>0</v>
      </c>
      <c r="JW226" s="10" t="n">
        <v>46212</v>
      </c>
      <c r="JY226" s="9" t="n">
        <v>0</v>
      </c>
      <c r="KA226" s="9" t="n">
        <v>0</v>
      </c>
      <c r="KB226" s="9" t="n">
        <v>2540</v>
      </c>
      <c r="KF226" s="10" t="n">
        <v>46212</v>
      </c>
      <c r="KH226" s="9" t="n">
        <v>0</v>
      </c>
      <c r="KJ226" s="9" t="n">
        <v>0</v>
      </c>
      <c r="KK226" s="9" t="n">
        <v>2359.5</v>
      </c>
      <c r="KO226" s="10" t="n">
        <v>46212</v>
      </c>
      <c r="KQ226" s="9" t="n">
        <v>0</v>
      </c>
      <c r="KS226" s="9" t="n">
        <v>0</v>
      </c>
      <c r="KT226" s="9" t="n">
        <v>1890</v>
      </c>
      <c r="KX226" s="10" t="n">
        <v>46212</v>
      </c>
      <c r="KZ226" s="9" t="n">
        <v>0</v>
      </c>
      <c r="LB226" s="9" t="n">
        <v>0</v>
      </c>
      <c r="LC226" s="9" t="n">
        <v>3690</v>
      </c>
      <c r="LG226" s="10" t="n">
        <v>46212</v>
      </c>
      <c r="LI226" s="9" t="n">
        <v>0</v>
      </c>
      <c r="LK226" s="9" t="n">
        <v>0</v>
      </c>
      <c r="LL226" s="9" t="n">
        <v>4000</v>
      </c>
      <c r="LP226" s="10" t="n">
        <v>46212</v>
      </c>
      <c r="LR226" s="9" t="n">
        <v>0</v>
      </c>
      <c r="LT226" s="9" t="n">
        <v>0</v>
      </c>
      <c r="LU226" s="9" t="n">
        <v>0</v>
      </c>
      <c r="LY226" s="10" t="n">
        <v>46212</v>
      </c>
      <c r="MA226" s="9" t="n">
        <v>0</v>
      </c>
      <c r="MC226" s="9" t="n">
        <v>0</v>
      </c>
      <c r="MD226" s="9" t="n">
        <v>0</v>
      </c>
      <c r="MH226" s="10" t="n">
        <v>46212</v>
      </c>
      <c r="MJ226" s="9" t="n">
        <v>0</v>
      </c>
      <c r="ML226" s="9" t="n">
        <v>0</v>
      </c>
      <c r="MM226" s="9" t="n">
        <v>0</v>
      </c>
      <c r="MQ226" s="10" t="n">
        <v>46212</v>
      </c>
      <c r="MS226" s="9" t="n">
        <v>0</v>
      </c>
      <c r="MT226" s="9" t="n">
        <v>10</v>
      </c>
      <c r="MU226" s="9" t="n">
        <v>-10</v>
      </c>
      <c r="MV226" s="9" t="n">
        <v>3062</v>
      </c>
      <c r="MZ226" s="10" t="n">
        <v>46212</v>
      </c>
      <c r="NA226" s="9" t="n">
        <v>120</v>
      </c>
      <c r="NB226" s="9" t="n">
        <v>0</v>
      </c>
      <c r="NC226" s="9" t="n">
        <v>120</v>
      </c>
      <c r="ND226" s="9" t="n">
        <v>-120</v>
      </c>
      <c r="NE226" s="9" t="n">
        <v>0</v>
      </c>
      <c r="NI226" s="10" t="n">
        <v>46212</v>
      </c>
      <c r="NK226" s="9" t="n">
        <v>0</v>
      </c>
      <c r="NM226" s="9" t="n">
        <v>0</v>
      </c>
      <c r="NN226" s="9" t="n">
        <v>1127</v>
      </c>
      <c r="NR226" s="10" t="n">
        <v>46212</v>
      </c>
      <c r="NT226" s="9" t="n">
        <v>0</v>
      </c>
      <c r="NV226" s="9" t="n">
        <v>0</v>
      </c>
      <c r="NW226" s="9" t="n">
        <v>3112</v>
      </c>
      <c r="OA226" s="10" t="n">
        <v>46212</v>
      </c>
      <c r="OC226" s="9" t="n">
        <v>0</v>
      </c>
      <c r="OE226" s="9" t="n">
        <v>0</v>
      </c>
      <c r="OF226" s="9" t="n">
        <v>1680.5</v>
      </c>
      <c r="OJ226" s="10" t="n">
        <v>46212</v>
      </c>
      <c r="OK226" s="9" t="n">
        <v>26</v>
      </c>
      <c r="OL226" s="9" t="n">
        <v>0</v>
      </c>
      <c r="OM226" s="9" t="n">
        <v>26</v>
      </c>
      <c r="ON226" s="9" t="n">
        <v>-26</v>
      </c>
      <c r="OO226" s="9" t="n">
        <v>0</v>
      </c>
      <c r="OS226" s="10" t="n">
        <v>46212</v>
      </c>
      <c r="OU226" s="9" t="n">
        <v>0</v>
      </c>
      <c r="OW226" s="9" t="n">
        <v>0</v>
      </c>
      <c r="OX226" s="9" t="n">
        <v>1482</v>
      </c>
      <c r="PB226" s="10" t="n">
        <v>46212</v>
      </c>
      <c r="PD226" s="9" t="n">
        <v>0</v>
      </c>
      <c r="PF226" s="9" t="n">
        <v>0</v>
      </c>
      <c r="PG226" s="9" t="n">
        <v>0</v>
      </c>
      <c r="PK226" s="10" t="n">
        <v>46212</v>
      </c>
      <c r="PM226" s="9" t="n">
        <v>0</v>
      </c>
      <c r="PO226" s="9" t="n">
        <v>0</v>
      </c>
      <c r="PP226" s="9" t="n">
        <v>100</v>
      </c>
      <c r="PT226" s="10" t="n">
        <v>46212</v>
      </c>
      <c r="PV226" s="9" t="n">
        <v>0</v>
      </c>
      <c r="PX226" s="9" t="n">
        <v>0</v>
      </c>
      <c r="PY226" s="9" t="n">
        <v>13.96000000000004</v>
      </c>
      <c r="QC226" s="10" t="n">
        <v>46212</v>
      </c>
      <c r="QE226" s="9" t="n">
        <v>0</v>
      </c>
      <c r="QG226" s="9" t="n">
        <v>0</v>
      </c>
      <c r="QH226" s="9" t="n">
        <v>1736</v>
      </c>
      <c r="QL226" s="10" t="n">
        <v>46212</v>
      </c>
      <c r="QN226" s="9" t="n">
        <v>0</v>
      </c>
      <c r="QP226" s="9" t="n">
        <v>0</v>
      </c>
      <c r="QQ226" s="9" t="n">
        <v>235</v>
      </c>
      <c r="QU226" s="10" t="n">
        <v>46212</v>
      </c>
      <c r="QW226" s="9" t="n">
        <v>0</v>
      </c>
      <c r="QY226" s="9" t="n">
        <v>0</v>
      </c>
      <c r="QZ226" s="9" t="n">
        <v>207.6</v>
      </c>
      <c r="RD226" s="10" t="n">
        <v>46212</v>
      </c>
      <c r="RF226" s="9" t="n">
        <v>0</v>
      </c>
      <c r="RH226" s="9" t="n">
        <v>0</v>
      </c>
      <c r="RI226" s="9" t="n">
        <v>147.04</v>
      </c>
      <c r="RM226" s="10" t="n">
        <v>46212</v>
      </c>
      <c r="RO226" s="9" t="n">
        <v>0</v>
      </c>
      <c r="RQ226" s="9" t="n">
        <v>0</v>
      </c>
      <c r="RR226" s="9" t="n">
        <v>46.8</v>
      </c>
      <c r="RV226" s="10" t="n">
        <v>46212</v>
      </c>
      <c r="RX226" s="9" t="n">
        <v>0</v>
      </c>
      <c r="RZ226" s="9" t="n">
        <v>0</v>
      </c>
      <c r="SA226" s="9" t="n">
        <v>0</v>
      </c>
      <c r="SE226" s="10" t="n">
        <v>46212</v>
      </c>
      <c r="SG226" s="9" t="n">
        <v>0</v>
      </c>
      <c r="SI226" s="9" t="n">
        <v>0</v>
      </c>
      <c r="SJ226" s="9" t="n">
        <v>24.2</v>
      </c>
      <c r="SN226" s="10" t="n">
        <v>46212</v>
      </c>
      <c r="SP226" s="9" t="n">
        <v>0</v>
      </c>
      <c r="SR226" s="9" t="n">
        <v>0</v>
      </c>
      <c r="SS226" s="9" t="n">
        <v>32</v>
      </c>
      <c r="SW226" s="10" t="n">
        <v>46212</v>
      </c>
      <c r="SY226" s="9" t="n">
        <v>0</v>
      </c>
      <c r="TA226" s="9" t="n">
        <v>0</v>
      </c>
      <c r="TB226" s="9" t="n">
        <v>0</v>
      </c>
      <c r="TF226" s="10" t="n">
        <v>46212</v>
      </c>
      <c r="TH226" s="9" t="n">
        <v>0</v>
      </c>
      <c r="TJ226" s="9" t="n">
        <v>0</v>
      </c>
      <c r="TK226" s="9" t="n">
        <v>0</v>
      </c>
      <c r="TO226" s="10" t="n">
        <v>46212</v>
      </c>
      <c r="TQ226" s="9" t="n">
        <v>0</v>
      </c>
      <c r="TS226" s="9" t="n">
        <v>0</v>
      </c>
      <c r="TT226" s="9" t="n">
        <v>22.40000000000001</v>
      </c>
      <c r="TX226" s="10" t="n">
        <v>46212</v>
      </c>
      <c r="TZ226" s="9" t="n">
        <v>0</v>
      </c>
      <c r="UB226" s="9" t="n">
        <v>0</v>
      </c>
      <c r="UC226" s="9" t="n">
        <v>46.79999999999998</v>
      </c>
      <c r="UG226" s="10" t="n">
        <v>46212</v>
      </c>
      <c r="UI226" s="9" t="n">
        <v>0</v>
      </c>
      <c r="UK226" s="9" t="n">
        <v>0</v>
      </c>
      <c r="UL226" s="9" t="n">
        <v>204</v>
      </c>
      <c r="UP226" s="10" t="n">
        <v>46212</v>
      </c>
      <c r="UR226" s="9" t="n">
        <v>0</v>
      </c>
      <c r="UT226" s="9" t="n">
        <v>0</v>
      </c>
      <c r="UU226" s="9" t="n">
        <v>251.25</v>
      </c>
      <c r="UY226" s="10" t="n">
        <v>46212</v>
      </c>
      <c r="VA226" s="9" t="n">
        <v>0</v>
      </c>
      <c r="VC226" s="9" t="n">
        <v>0</v>
      </c>
      <c r="VD226" s="9" t="n">
        <v>41.60000000000002</v>
      </c>
      <c r="VH226" s="10" t="n">
        <v>46212</v>
      </c>
      <c r="VJ226" s="9" t="n">
        <v>0</v>
      </c>
      <c r="VL226" s="9" t="n">
        <v>0</v>
      </c>
      <c r="VM226" s="9" t="n">
        <v>210</v>
      </c>
      <c r="VQ226" s="10" t="n">
        <v>46212</v>
      </c>
      <c r="VS226" s="9" t="n">
        <v>0</v>
      </c>
      <c r="VU226" s="9" t="n">
        <v>0</v>
      </c>
      <c r="VV226" s="9" t="n">
        <v>0</v>
      </c>
      <c r="VZ226" s="10" t="n">
        <v>46212</v>
      </c>
      <c r="WB226" s="9" t="n">
        <v>0</v>
      </c>
      <c r="WD226" s="9" t="n">
        <v>0</v>
      </c>
      <c r="WE226" s="9" t="n">
        <v>0</v>
      </c>
      <c r="WI226" s="10" t="n">
        <v>46212</v>
      </c>
      <c r="WK226" s="9" t="n">
        <v>0</v>
      </c>
      <c r="WM226" s="9" t="n">
        <v>0</v>
      </c>
      <c r="WN226" s="9" t="n">
        <v>1057</v>
      </c>
      <c r="WR226" s="10" t="n">
        <v>46212</v>
      </c>
      <c r="WT226" s="9" t="n">
        <v>0</v>
      </c>
      <c r="WV226" s="9" t="n">
        <v>0</v>
      </c>
      <c r="WW226" s="9" t="n">
        <v>0</v>
      </c>
      <c r="XA226" s="10" t="n">
        <v>46212</v>
      </c>
      <c r="XC226" s="9" t="n">
        <v>0</v>
      </c>
      <c r="XE226" s="9" t="n">
        <v>0</v>
      </c>
      <c r="XF226" s="9" t="n">
        <v>7507</v>
      </c>
      <c r="XJ226" s="10" t="n">
        <v>46212</v>
      </c>
      <c r="XL226" s="9" t="n">
        <v>0</v>
      </c>
      <c r="XN226" s="9" t="n">
        <v>0</v>
      </c>
      <c r="XO226" s="9" t="n">
        <v>4252</v>
      </c>
      <c r="XS226" s="10" t="n">
        <v>46212</v>
      </c>
      <c r="XU226" s="9" t="n">
        <v>0</v>
      </c>
      <c r="XW226" s="9" t="n">
        <v>0</v>
      </c>
      <c r="XX226" s="9" t="n">
        <v>2179</v>
      </c>
      <c r="YB226" s="10" t="n">
        <v>46212</v>
      </c>
      <c r="YD226" s="9" t="n">
        <v>0</v>
      </c>
      <c r="YF226" s="9" t="n">
        <v>0</v>
      </c>
      <c r="YG226" s="9" t="n">
        <v>4019</v>
      </c>
      <c r="YK226" s="10" t="n">
        <v>46212</v>
      </c>
      <c r="YM226" s="9" t="n">
        <v>0</v>
      </c>
      <c r="YO226" s="9" t="n">
        <v>0</v>
      </c>
      <c r="YP226" s="9" t="n">
        <v>0</v>
      </c>
      <c r="YT226" s="10" t="n">
        <v>46212</v>
      </c>
      <c r="YV226" s="9" t="n">
        <v>0</v>
      </c>
      <c r="YX226" s="9" t="n">
        <v>0</v>
      </c>
      <c r="YY226" s="9" t="n">
        <v>0</v>
      </c>
      <c r="ZC226" s="10" t="n">
        <v>46212</v>
      </c>
      <c r="ZE226" s="9" t="n">
        <v>0</v>
      </c>
      <c r="ZG226" s="9" t="n">
        <v>0</v>
      </c>
      <c r="ZH226" s="9" t="n">
        <v>0</v>
      </c>
      <c r="ZL226" s="10" t="n">
        <v>46212</v>
      </c>
      <c r="ZN226" s="9" t="n">
        <v>0</v>
      </c>
      <c r="ZP226" s="9" t="n">
        <v>0</v>
      </c>
      <c r="ZQ226" s="9" t="n">
        <v>0</v>
      </c>
      <c r="ZU226" s="10" t="n">
        <v>46212</v>
      </c>
      <c r="ZW226" s="9" t="n">
        <v>0</v>
      </c>
      <c r="ZY226" s="9" t="n">
        <v>0</v>
      </c>
      <c r="ZZ226" s="9" t="n">
        <v>0</v>
      </c>
      <c r="AAD226" s="10" t="n">
        <v>46212</v>
      </c>
      <c r="AAF226" s="9" t="n">
        <v>0</v>
      </c>
      <c r="AAH226" s="9" t="n">
        <v>0</v>
      </c>
      <c r="AAI226" s="9" t="n">
        <v>0</v>
      </c>
      <c r="AAM226" s="10" t="n">
        <v>46212</v>
      </c>
      <c r="AAO226" s="9" t="n">
        <v>0</v>
      </c>
      <c r="AAQ226" s="9" t="n">
        <v>0</v>
      </c>
      <c r="AAR226" s="9" t="n">
        <v>0</v>
      </c>
      <c r="AAV226" s="10" t="n">
        <v>46212</v>
      </c>
      <c r="AAX226" s="9" t="n">
        <v>0</v>
      </c>
      <c r="AAZ226" s="9" t="n">
        <v>0</v>
      </c>
      <c r="ABA226" s="9" t="n">
        <v>0</v>
      </c>
      <c r="ABE226" s="10" t="n">
        <v>46212</v>
      </c>
      <c r="ABG226" s="9" t="n">
        <v>0</v>
      </c>
      <c r="ABI226" s="9" t="n">
        <v>0</v>
      </c>
      <c r="ABJ226" s="9" t="n">
        <v>0</v>
      </c>
    </row>
    <row r="227">
      <c r="C227" s="10" t="n">
        <v>46213</v>
      </c>
      <c r="D227" s="9" t="n">
        <v>25700</v>
      </c>
      <c r="E227" s="9" t="n">
        <v>91880.35999999999</v>
      </c>
      <c r="F227" s="9" t="n">
        <v>91985.8</v>
      </c>
      <c r="G227" s="9" t="n">
        <v>-105.4400000000169</v>
      </c>
      <c r="H227" s="9" t="n">
        <v>97743.00000000004</v>
      </c>
      <c r="L227" s="10" t="n">
        <v>46213</v>
      </c>
      <c r="N227" s="9" t="n">
        <v>50194.39999999999</v>
      </c>
      <c r="O227" s="9" t="n">
        <v>50192.2</v>
      </c>
      <c r="P227" s="9" t="n">
        <v>2.19999999999709</v>
      </c>
      <c r="Q227" s="9" t="n">
        <v>4039.20000000007</v>
      </c>
      <c r="U227" s="10" t="n">
        <v>46213</v>
      </c>
      <c r="V227" s="9" t="n">
        <v>30100</v>
      </c>
      <c r="W227" s="9" t="n">
        <v>8750</v>
      </c>
      <c r="X227" s="9" t="n">
        <v>8750.700000000001</v>
      </c>
      <c r="Y227" s="9" t="n">
        <v>-0.7000000000007276</v>
      </c>
      <c r="Z227" s="9" t="n">
        <v>32658.79999999997</v>
      </c>
      <c r="AD227" s="10" t="n">
        <v>46213</v>
      </c>
      <c r="AF227" s="9" t="n">
        <v>700</v>
      </c>
      <c r="AG227" s="9" t="n">
        <v>699.8</v>
      </c>
      <c r="AH227" s="9" t="n">
        <v>0.2000000000000455</v>
      </c>
      <c r="AI227" s="9" t="n">
        <v>31872.20000000002</v>
      </c>
      <c r="AM227" s="10" t="n">
        <v>46213</v>
      </c>
      <c r="AO227" s="9" t="n">
        <v>0</v>
      </c>
      <c r="AQ227" s="9" t="n">
        <v>0</v>
      </c>
      <c r="AR227" s="9" t="n">
        <v>0</v>
      </c>
      <c r="AV227" s="10" t="n">
        <v>46213</v>
      </c>
      <c r="AX227" s="9" t="n">
        <v>140</v>
      </c>
      <c r="AY227" s="9" t="n">
        <v>140.7</v>
      </c>
      <c r="AZ227" s="9" t="n">
        <v>-0.6999999999999886</v>
      </c>
      <c r="BA227" s="9" t="n">
        <v>13365.4</v>
      </c>
      <c r="BE227" s="10" t="n">
        <v>46213</v>
      </c>
      <c r="BG227" s="9" t="n">
        <v>1754</v>
      </c>
      <c r="BH227" s="9" t="n">
        <v>1754.3</v>
      </c>
      <c r="BI227" s="9" t="n">
        <v>-0.2999999999999545</v>
      </c>
      <c r="BJ227" s="9" t="n">
        <v>32703.69999999999</v>
      </c>
      <c r="BN227" s="10" t="n">
        <v>46213</v>
      </c>
      <c r="BO227" s="9" t="n">
        <v>2441.9</v>
      </c>
      <c r="BP227" s="9" t="n">
        <v>2442</v>
      </c>
      <c r="BQ227" s="9" t="n">
        <v>2441.9</v>
      </c>
      <c r="BR227" s="9" t="n">
        <v>0.09999999999990905</v>
      </c>
      <c r="BS227" s="9" t="n">
        <v>0</v>
      </c>
      <c r="BW227" s="10" t="n">
        <v>46213</v>
      </c>
      <c r="BY227" s="9" t="n">
        <v>588.4000000000001</v>
      </c>
      <c r="BZ227" s="9" t="n">
        <v>981.34</v>
      </c>
      <c r="CA227" s="9" t="n">
        <v>-392.9399999999999</v>
      </c>
      <c r="CB227" s="9" t="n">
        <v>7398.439999999999</v>
      </c>
      <c r="CF227" s="10" t="n">
        <v>46213</v>
      </c>
      <c r="CH227" s="9" t="n">
        <v>532.24</v>
      </c>
      <c r="CI227" s="9" t="n">
        <v>2018.49</v>
      </c>
      <c r="CJ227" s="9" t="n">
        <v>-1486.25</v>
      </c>
      <c r="CK227" s="9" t="n">
        <v>-6123.329999999999</v>
      </c>
      <c r="CO227" s="10" t="n">
        <v>46213</v>
      </c>
      <c r="CQ227" s="9" t="n">
        <v>0</v>
      </c>
      <c r="CS227" s="9" t="n">
        <v>0</v>
      </c>
      <c r="CT227" s="9" t="n">
        <v>0</v>
      </c>
      <c r="CX227" s="10" t="n">
        <v>46213</v>
      </c>
      <c r="CZ227" s="9" t="n">
        <v>1600</v>
      </c>
      <c r="DA227" s="9" t="n">
        <v>1600.6</v>
      </c>
      <c r="DB227" s="9" t="n">
        <v>-0.5999999999999091</v>
      </c>
      <c r="DC227" s="9" t="n">
        <v>711.6000000000072</v>
      </c>
      <c r="DG227" s="10" t="n">
        <v>46213</v>
      </c>
      <c r="DI227" s="9" t="n">
        <v>0</v>
      </c>
      <c r="DK227" s="9" t="n">
        <v>0</v>
      </c>
      <c r="DL227" s="9" t="n">
        <v>34634.69999999998</v>
      </c>
      <c r="DP227" s="10" t="n">
        <v>46213</v>
      </c>
      <c r="DR227" s="9" t="n">
        <v>0</v>
      </c>
      <c r="DT227" s="9" t="n">
        <v>0</v>
      </c>
      <c r="DU227" s="9" t="n">
        <v>5800</v>
      </c>
      <c r="DY227" s="10" t="n">
        <v>46213</v>
      </c>
      <c r="EA227" s="9" t="n">
        <v>0</v>
      </c>
      <c r="EC227" s="9" t="n">
        <v>0</v>
      </c>
      <c r="ED227" s="9" t="n">
        <v>0</v>
      </c>
      <c r="EH227" s="10" t="n">
        <v>46213</v>
      </c>
      <c r="EI227" s="9" t="n">
        <v>1569.74</v>
      </c>
      <c r="EJ227" s="9" t="n">
        <v>0</v>
      </c>
      <c r="EK227" s="9" t="n">
        <v>1569.74</v>
      </c>
      <c r="EL227" s="9" t="n">
        <v>-1569.74</v>
      </c>
      <c r="EM227" s="9" t="n">
        <v>0</v>
      </c>
      <c r="EQ227" s="10" t="n">
        <v>46213</v>
      </c>
      <c r="ES227" s="9" t="n">
        <v>0</v>
      </c>
      <c r="EU227" s="9" t="n">
        <v>0</v>
      </c>
      <c r="EV227" s="9" t="n">
        <v>0</v>
      </c>
      <c r="EZ227" s="10" t="n">
        <v>46213</v>
      </c>
      <c r="FB227" s="9" t="n">
        <v>0</v>
      </c>
      <c r="FD227" s="9" t="n">
        <v>0</v>
      </c>
      <c r="FE227" s="9" t="n">
        <v>0</v>
      </c>
      <c r="FI227" s="10" t="n">
        <v>46213</v>
      </c>
      <c r="FK227" s="9" t="n">
        <v>0</v>
      </c>
      <c r="FM227" s="9" t="n">
        <v>0</v>
      </c>
      <c r="FN227" s="9" t="n">
        <v>0</v>
      </c>
      <c r="FR227" s="10" t="n">
        <v>46213</v>
      </c>
      <c r="FT227" s="9" t="n">
        <v>0</v>
      </c>
      <c r="FV227" s="9" t="n">
        <v>0</v>
      </c>
      <c r="FW227" s="9" t="n">
        <v>1160</v>
      </c>
      <c r="GA227" s="10" t="n">
        <v>46213</v>
      </c>
      <c r="GC227" s="9" t="n">
        <v>280</v>
      </c>
      <c r="GE227" s="9" t="n">
        <v>280</v>
      </c>
      <c r="GF227" s="9" t="n">
        <v>960</v>
      </c>
      <c r="GJ227" s="10" t="n">
        <v>46213</v>
      </c>
      <c r="GL227" s="9" t="n">
        <v>0</v>
      </c>
      <c r="GN227" s="9" t="n">
        <v>0</v>
      </c>
      <c r="GO227" s="9" t="n">
        <v>1760</v>
      </c>
      <c r="GS227" s="10" t="n">
        <v>46213</v>
      </c>
      <c r="GU227" s="9" t="n">
        <v>0</v>
      </c>
      <c r="GW227" s="9" t="n">
        <v>0</v>
      </c>
      <c r="GX227" s="9" t="n">
        <v>400</v>
      </c>
      <c r="HB227" s="10" t="n">
        <v>46213</v>
      </c>
      <c r="HD227" s="9" t="n">
        <v>0</v>
      </c>
      <c r="HF227" s="9" t="n">
        <v>0</v>
      </c>
      <c r="HG227" s="9" t="n">
        <v>3600</v>
      </c>
      <c r="HK227" s="10" t="n">
        <v>46213</v>
      </c>
      <c r="HM227" s="9" t="n">
        <v>0</v>
      </c>
      <c r="HO227" s="9" t="n">
        <v>0</v>
      </c>
      <c r="HP227" s="9" t="n">
        <v>0</v>
      </c>
      <c r="HU227" s="10" t="n">
        <v>46213</v>
      </c>
      <c r="HW227" s="9" t="n">
        <v>0</v>
      </c>
      <c r="HX227" s="9" t="n">
        <v>320</v>
      </c>
      <c r="HY227" s="9" t="n">
        <v>-320</v>
      </c>
      <c r="HZ227" s="9" t="n">
        <v>6240</v>
      </c>
      <c r="IA227" s="9" t="n">
        <v>16</v>
      </c>
      <c r="ID227" s="10" t="n">
        <v>46213</v>
      </c>
      <c r="IF227" s="9" t="n">
        <v>0</v>
      </c>
      <c r="IH227" s="9" t="n">
        <v>0</v>
      </c>
      <c r="II227" s="9" t="n">
        <v>720</v>
      </c>
      <c r="IM227" s="10" t="n">
        <v>46213</v>
      </c>
      <c r="IO227" s="9" t="n">
        <v>0</v>
      </c>
      <c r="IP227" s="9" t="n">
        <v>1200</v>
      </c>
      <c r="IQ227" s="9" t="n">
        <v>-1200</v>
      </c>
      <c r="IR227" s="9" t="n">
        <v>5200</v>
      </c>
      <c r="IS227" s="9" t="n">
        <v>60</v>
      </c>
      <c r="IV227" s="10" t="n">
        <v>46213</v>
      </c>
      <c r="IX227" s="9" t="n">
        <v>0</v>
      </c>
      <c r="IZ227" s="9" t="n">
        <v>0</v>
      </c>
      <c r="JA227" s="9" t="n">
        <v>4960</v>
      </c>
      <c r="JE227" s="10" t="n">
        <v>46213</v>
      </c>
      <c r="JG227" s="9" t="n">
        <v>0</v>
      </c>
      <c r="JI227" s="9" t="n">
        <v>0</v>
      </c>
      <c r="JJ227" s="9" t="n">
        <v>0</v>
      </c>
      <c r="JN227" s="10" t="n">
        <v>46213</v>
      </c>
      <c r="JP227" s="9" t="n">
        <v>1440</v>
      </c>
      <c r="JR227" s="9" t="n">
        <v>1440</v>
      </c>
      <c r="JS227" s="9" t="n">
        <v>0</v>
      </c>
      <c r="JW227" s="10" t="n">
        <v>46213</v>
      </c>
      <c r="JY227" s="9" t="n">
        <v>0</v>
      </c>
      <c r="KA227" s="9" t="n">
        <v>0</v>
      </c>
      <c r="KB227" s="9" t="n">
        <v>2540</v>
      </c>
      <c r="KF227" s="10" t="n">
        <v>46213</v>
      </c>
      <c r="KH227" s="9" t="n">
        <v>0</v>
      </c>
      <c r="KJ227" s="9" t="n">
        <v>0</v>
      </c>
      <c r="KK227" s="9" t="n">
        <v>2359.5</v>
      </c>
      <c r="KO227" s="10" t="n">
        <v>46213</v>
      </c>
      <c r="KQ227" s="9" t="n">
        <v>0</v>
      </c>
      <c r="KS227" s="9" t="n">
        <v>0</v>
      </c>
      <c r="KT227" s="9" t="n">
        <v>1890</v>
      </c>
      <c r="KX227" s="10" t="n">
        <v>46213</v>
      </c>
      <c r="KZ227" s="9" t="n">
        <v>0</v>
      </c>
      <c r="LB227" s="9" t="n">
        <v>0</v>
      </c>
      <c r="LC227" s="9" t="n">
        <v>3690</v>
      </c>
      <c r="LG227" s="10" t="n">
        <v>46213</v>
      </c>
      <c r="LI227" s="9" t="n">
        <v>0</v>
      </c>
      <c r="LK227" s="9" t="n">
        <v>0</v>
      </c>
      <c r="LL227" s="9" t="n">
        <v>4000</v>
      </c>
      <c r="LP227" s="10" t="n">
        <v>46213</v>
      </c>
      <c r="LR227" s="9" t="n">
        <v>0</v>
      </c>
      <c r="LT227" s="9" t="n">
        <v>0</v>
      </c>
      <c r="LU227" s="9" t="n">
        <v>0</v>
      </c>
      <c r="LY227" s="10" t="n">
        <v>46213</v>
      </c>
      <c r="MA227" s="9" t="n">
        <v>0</v>
      </c>
      <c r="MC227" s="9" t="n">
        <v>0</v>
      </c>
      <c r="MD227" s="9" t="n">
        <v>0</v>
      </c>
      <c r="MH227" s="10" t="n">
        <v>46213</v>
      </c>
      <c r="MJ227" s="9" t="n">
        <v>0</v>
      </c>
      <c r="ML227" s="9" t="n">
        <v>0</v>
      </c>
      <c r="MM227" s="9" t="n">
        <v>0</v>
      </c>
      <c r="MQ227" s="10" t="n">
        <v>46213</v>
      </c>
      <c r="MS227" s="9" t="n">
        <v>7</v>
      </c>
      <c r="MT227" s="9" t="n">
        <v>234</v>
      </c>
      <c r="MU227" s="9" t="n">
        <v>-227</v>
      </c>
      <c r="MV227" s="9" t="n">
        <v>2828</v>
      </c>
      <c r="MZ227" s="10" t="n">
        <v>46213</v>
      </c>
      <c r="NA227" s="9" t="n">
        <v>2124</v>
      </c>
      <c r="NB227" s="9" t="n">
        <v>216</v>
      </c>
      <c r="NC227" s="9" t="n">
        <v>2124</v>
      </c>
      <c r="ND227" s="9" t="n">
        <v>-1908</v>
      </c>
      <c r="NE227" s="9" t="n">
        <v>0</v>
      </c>
      <c r="NI227" s="10" t="n">
        <v>46213</v>
      </c>
      <c r="NK227" s="9" t="n">
        <v>0</v>
      </c>
      <c r="NM227" s="9" t="n">
        <v>0</v>
      </c>
      <c r="NN227" s="9" t="n">
        <v>1127</v>
      </c>
      <c r="NR227" s="10" t="n">
        <v>46213</v>
      </c>
      <c r="NT227" s="9" t="n">
        <v>0</v>
      </c>
      <c r="NV227" s="9" t="n">
        <v>0</v>
      </c>
      <c r="NW227" s="9" t="n">
        <v>3112</v>
      </c>
      <c r="OA227" s="10" t="n">
        <v>46213</v>
      </c>
      <c r="OC227" s="9" t="n">
        <v>0</v>
      </c>
      <c r="OE227" s="9" t="n">
        <v>0</v>
      </c>
      <c r="OF227" s="9" t="n">
        <v>1680.5</v>
      </c>
      <c r="OJ227" s="10" t="n">
        <v>46213</v>
      </c>
      <c r="OK227" s="9" t="n">
        <v>386</v>
      </c>
      <c r="OL227" s="9" t="n">
        <v>0</v>
      </c>
      <c r="OM227" s="9" t="n">
        <v>386</v>
      </c>
      <c r="ON227" s="9" t="n">
        <v>-386</v>
      </c>
      <c r="OO227" s="9" t="n">
        <v>0</v>
      </c>
      <c r="OS227" s="10" t="n">
        <v>46213</v>
      </c>
      <c r="OU227" s="9" t="n">
        <v>0</v>
      </c>
      <c r="OW227" s="9" t="n">
        <v>0</v>
      </c>
      <c r="OX227" s="9" t="n">
        <v>1482</v>
      </c>
      <c r="PB227" s="10" t="n">
        <v>46213</v>
      </c>
      <c r="PD227" s="9" t="n">
        <v>0</v>
      </c>
      <c r="PF227" s="9" t="n">
        <v>0</v>
      </c>
      <c r="PG227" s="9" t="n">
        <v>0</v>
      </c>
      <c r="PK227" s="10" t="n">
        <v>46213</v>
      </c>
      <c r="PM227" s="9" t="n">
        <v>0</v>
      </c>
      <c r="PO227" s="9" t="n">
        <v>0</v>
      </c>
      <c r="PP227" s="9" t="n">
        <v>100</v>
      </c>
      <c r="PT227" s="10" t="n">
        <v>46213</v>
      </c>
      <c r="PV227" s="9" t="n">
        <v>0</v>
      </c>
      <c r="PX227" s="9" t="n">
        <v>0</v>
      </c>
      <c r="PY227" s="9" t="n">
        <v>13.96000000000004</v>
      </c>
      <c r="QC227" s="10" t="n">
        <v>46213</v>
      </c>
      <c r="QE227" s="9" t="n">
        <v>0</v>
      </c>
      <c r="QG227" s="9" t="n">
        <v>0</v>
      </c>
      <c r="QH227" s="9" t="n">
        <v>1736</v>
      </c>
      <c r="QL227" s="10" t="n">
        <v>46213</v>
      </c>
      <c r="QN227" s="9" t="n">
        <v>180</v>
      </c>
      <c r="QO227" s="9" t="n">
        <v>150</v>
      </c>
      <c r="QP227" s="9" t="n">
        <v>30</v>
      </c>
      <c r="QQ227" s="9" t="n">
        <v>85</v>
      </c>
      <c r="QU227" s="10" t="n">
        <v>46213</v>
      </c>
      <c r="QW227" s="9" t="n">
        <v>0</v>
      </c>
      <c r="QY227" s="9" t="n">
        <v>0</v>
      </c>
      <c r="QZ227" s="9" t="n">
        <v>207.6</v>
      </c>
      <c r="RD227" s="10" t="n">
        <v>46213</v>
      </c>
      <c r="RF227" s="9" t="n">
        <v>0</v>
      </c>
      <c r="RH227" s="9" t="n">
        <v>0</v>
      </c>
      <c r="RI227" s="9" t="n">
        <v>147.04</v>
      </c>
      <c r="RM227" s="10" t="n">
        <v>46213</v>
      </c>
      <c r="RO227" s="9" t="n">
        <v>0</v>
      </c>
      <c r="RQ227" s="9" t="n">
        <v>0</v>
      </c>
      <c r="RR227" s="9" t="n">
        <v>46.8</v>
      </c>
      <c r="RV227" s="10" t="n">
        <v>46213</v>
      </c>
      <c r="RX227" s="9" t="n">
        <v>0</v>
      </c>
      <c r="RZ227" s="9" t="n">
        <v>0</v>
      </c>
      <c r="SA227" s="9" t="n">
        <v>0</v>
      </c>
      <c r="SE227" s="10" t="n">
        <v>46213</v>
      </c>
      <c r="SG227" s="9" t="n">
        <v>0</v>
      </c>
      <c r="SI227" s="9" t="n">
        <v>0</v>
      </c>
      <c r="SJ227" s="9" t="n">
        <v>24.2</v>
      </c>
      <c r="SN227" s="10" t="n">
        <v>46213</v>
      </c>
      <c r="SP227" s="9" t="n">
        <v>0</v>
      </c>
      <c r="SR227" s="9" t="n">
        <v>0</v>
      </c>
      <c r="SS227" s="9" t="n">
        <v>32</v>
      </c>
      <c r="SW227" s="10" t="n">
        <v>46213</v>
      </c>
      <c r="SY227" s="9" t="n">
        <v>0</v>
      </c>
      <c r="TA227" s="9" t="n">
        <v>0</v>
      </c>
      <c r="TB227" s="9" t="n">
        <v>0</v>
      </c>
      <c r="TF227" s="10" t="n">
        <v>46213</v>
      </c>
      <c r="TH227" s="9" t="n">
        <v>180</v>
      </c>
      <c r="TJ227" s="9" t="n">
        <v>180</v>
      </c>
      <c r="TK227" s="9" t="n">
        <v>0</v>
      </c>
      <c r="TO227" s="10" t="n">
        <v>46213</v>
      </c>
      <c r="TQ227" s="9" t="n">
        <v>180</v>
      </c>
      <c r="TS227" s="9" t="n">
        <v>180</v>
      </c>
      <c r="TT227" s="9" t="n">
        <v>22.40000000000001</v>
      </c>
      <c r="TX227" s="10" t="n">
        <v>46213</v>
      </c>
      <c r="TZ227" s="9" t="n">
        <v>180</v>
      </c>
      <c r="UB227" s="9" t="n">
        <v>180</v>
      </c>
      <c r="UC227" s="9" t="n">
        <v>46.79999999999998</v>
      </c>
      <c r="UG227" s="10" t="n">
        <v>46213</v>
      </c>
      <c r="UI227" s="9" t="n">
        <v>180</v>
      </c>
      <c r="UK227" s="9" t="n">
        <v>180</v>
      </c>
      <c r="UL227" s="9" t="n">
        <v>204</v>
      </c>
      <c r="UP227" s="10" t="n">
        <v>46213</v>
      </c>
      <c r="UR227" s="9" t="n">
        <v>0</v>
      </c>
      <c r="US227" s="9" t="n">
        <v>8.75</v>
      </c>
      <c r="UT227" s="9" t="n">
        <v>-8.75</v>
      </c>
      <c r="UU227" s="9" t="n">
        <v>242.5</v>
      </c>
      <c r="UY227" s="10" t="n">
        <v>46213</v>
      </c>
      <c r="VA227" s="9" t="n">
        <v>0</v>
      </c>
      <c r="VC227" s="9" t="n">
        <v>0</v>
      </c>
      <c r="VD227" s="9" t="n">
        <v>41.60000000000002</v>
      </c>
      <c r="VH227" s="10" t="n">
        <v>46213</v>
      </c>
      <c r="VJ227" s="9" t="n">
        <v>0</v>
      </c>
      <c r="VL227" s="9" t="n">
        <v>0</v>
      </c>
      <c r="VM227" s="9" t="n">
        <v>210</v>
      </c>
      <c r="VQ227" s="10" t="n">
        <v>46213</v>
      </c>
      <c r="VS227" s="9" t="n">
        <v>180</v>
      </c>
      <c r="VU227" s="9" t="n">
        <v>180</v>
      </c>
      <c r="VV227" s="9" t="n">
        <v>0</v>
      </c>
      <c r="VZ227" s="10" t="n">
        <v>46213</v>
      </c>
      <c r="WB227" s="9" t="n">
        <v>180</v>
      </c>
      <c r="WD227" s="9" t="n">
        <v>180</v>
      </c>
      <c r="WE227" s="9" t="n">
        <v>0</v>
      </c>
      <c r="WI227" s="10" t="n">
        <v>46213</v>
      </c>
      <c r="WK227" s="9" t="n">
        <v>180</v>
      </c>
      <c r="WM227" s="9" t="n">
        <v>180</v>
      </c>
      <c r="WN227" s="9" t="n">
        <v>1057</v>
      </c>
      <c r="WR227" s="10" t="n">
        <v>46213</v>
      </c>
      <c r="WT227" s="9" t="n">
        <v>180</v>
      </c>
      <c r="WV227" s="9" t="n">
        <v>180</v>
      </c>
      <c r="WW227" s="9" t="n">
        <v>0</v>
      </c>
      <c r="XA227" s="10" t="n">
        <v>46213</v>
      </c>
      <c r="XC227" s="9" t="n">
        <v>180</v>
      </c>
      <c r="XE227" s="9" t="n">
        <v>180</v>
      </c>
      <c r="XF227" s="9" t="n">
        <v>7507</v>
      </c>
      <c r="XJ227" s="10" t="n">
        <v>46213</v>
      </c>
      <c r="XL227" s="9" t="n">
        <v>180</v>
      </c>
      <c r="XN227" s="9" t="n">
        <v>180</v>
      </c>
      <c r="XO227" s="9" t="n">
        <v>4252</v>
      </c>
      <c r="XS227" s="10" t="n">
        <v>46213</v>
      </c>
      <c r="XU227" s="9" t="n">
        <v>180</v>
      </c>
      <c r="XW227" s="9" t="n">
        <v>180</v>
      </c>
      <c r="XX227" s="9" t="n">
        <v>2179</v>
      </c>
      <c r="YB227" s="10" t="n">
        <v>46213</v>
      </c>
      <c r="YD227" s="9" t="n">
        <v>180</v>
      </c>
      <c r="YF227" s="9" t="n">
        <v>180</v>
      </c>
      <c r="YG227" s="9" t="n">
        <v>4019</v>
      </c>
      <c r="YK227" s="10" t="n">
        <v>46213</v>
      </c>
      <c r="YM227" s="9" t="n">
        <v>180</v>
      </c>
      <c r="YO227" s="9" t="n">
        <v>180</v>
      </c>
      <c r="YP227" s="9" t="n">
        <v>0</v>
      </c>
      <c r="YT227" s="10" t="n">
        <v>46213</v>
      </c>
      <c r="YV227" s="9" t="n">
        <v>180</v>
      </c>
      <c r="YX227" s="9" t="n">
        <v>180</v>
      </c>
      <c r="YY227" s="9" t="n">
        <v>0</v>
      </c>
      <c r="ZC227" s="10" t="n">
        <v>46213</v>
      </c>
      <c r="ZE227" s="9" t="n">
        <v>180</v>
      </c>
      <c r="ZG227" s="9" t="n">
        <v>180</v>
      </c>
      <c r="ZH227" s="9" t="n">
        <v>0</v>
      </c>
      <c r="ZL227" s="10" t="n">
        <v>46213</v>
      </c>
      <c r="ZN227" s="9" t="n">
        <v>180</v>
      </c>
      <c r="ZP227" s="9" t="n">
        <v>180</v>
      </c>
      <c r="ZQ227" s="9" t="n">
        <v>0</v>
      </c>
      <c r="ZU227" s="10" t="n">
        <v>46213</v>
      </c>
      <c r="ZW227" s="9" t="n">
        <v>180</v>
      </c>
      <c r="ZY227" s="9" t="n">
        <v>180</v>
      </c>
      <c r="ZZ227" s="9" t="n">
        <v>0</v>
      </c>
      <c r="AAD227" s="10" t="n">
        <v>46213</v>
      </c>
      <c r="AAF227" s="9" t="n">
        <v>180</v>
      </c>
      <c r="AAH227" s="9" t="n">
        <v>180</v>
      </c>
      <c r="AAI227" s="9" t="n">
        <v>0</v>
      </c>
      <c r="AAM227" s="10" t="n">
        <v>46213</v>
      </c>
      <c r="AAO227" s="9" t="n">
        <v>180</v>
      </c>
      <c r="AAQ227" s="9" t="n">
        <v>180</v>
      </c>
      <c r="AAR227" s="9" t="n">
        <v>0</v>
      </c>
      <c r="AAV227" s="10" t="n">
        <v>46213</v>
      </c>
      <c r="AAX227" s="9" t="n">
        <v>180</v>
      </c>
      <c r="AAZ227" s="9" t="n">
        <v>180</v>
      </c>
      <c r="ABA227" s="9" t="n">
        <v>0</v>
      </c>
      <c r="ABE227" s="10" t="n">
        <v>46213</v>
      </c>
      <c r="ABG227" s="9" t="n">
        <v>180</v>
      </c>
      <c r="ABI227" s="9" t="n">
        <v>180</v>
      </c>
      <c r="ABJ227" s="9" t="n">
        <v>0</v>
      </c>
    </row>
    <row r="228">
      <c r="C228" s="10" t="n">
        <v>46214</v>
      </c>
      <c r="D228" s="9" t="n">
        <v>25700</v>
      </c>
      <c r="E228" s="9" t="n">
        <v>0</v>
      </c>
      <c r="G228" s="9" t="n">
        <v>0</v>
      </c>
      <c r="H228" s="9" t="n">
        <v>123443</v>
      </c>
      <c r="L228" s="10" t="n">
        <v>46214</v>
      </c>
      <c r="M228" s="9" t="n">
        <v>32220</v>
      </c>
      <c r="N228" s="9" t="n">
        <v>0</v>
      </c>
      <c r="P228" s="9" t="n">
        <v>0</v>
      </c>
      <c r="Q228" s="9" t="n">
        <v>36259.20000000007</v>
      </c>
      <c r="U228" s="10" t="n">
        <v>46214</v>
      </c>
      <c r="W228" s="9" t="n">
        <v>0</v>
      </c>
      <c r="Y228" s="9" t="n">
        <v>0</v>
      </c>
      <c r="Z228" s="9" t="n">
        <v>32658.79999999997</v>
      </c>
      <c r="AD228" s="10" t="n">
        <v>46214</v>
      </c>
      <c r="AF228" s="9" t="n">
        <v>0</v>
      </c>
      <c r="AH228" s="9" t="n">
        <v>0</v>
      </c>
      <c r="AI228" s="9" t="n">
        <v>31872.20000000002</v>
      </c>
      <c r="AM228" s="10" t="n">
        <v>46214</v>
      </c>
      <c r="AO228" s="9" t="n">
        <v>0</v>
      </c>
      <c r="AQ228" s="9" t="n">
        <v>0</v>
      </c>
      <c r="AR228" s="9" t="n">
        <v>0</v>
      </c>
      <c r="AV228" s="10" t="n">
        <v>46214</v>
      </c>
      <c r="AX228" s="9" t="n">
        <v>0</v>
      </c>
      <c r="AZ228" s="9" t="n">
        <v>0</v>
      </c>
      <c r="BA228" s="9" t="n">
        <v>13365.4</v>
      </c>
      <c r="BE228" s="10" t="n">
        <v>46214</v>
      </c>
      <c r="BG228" s="9" t="n">
        <v>0</v>
      </c>
      <c r="BI228" s="9" t="n">
        <v>0</v>
      </c>
      <c r="BJ228" s="9" t="n">
        <v>32703.69999999999</v>
      </c>
      <c r="BN228" s="10" t="n">
        <v>46214</v>
      </c>
      <c r="BP228" s="9" t="n">
        <v>0</v>
      </c>
      <c r="BR228" s="9" t="n">
        <v>0</v>
      </c>
      <c r="BS228" s="9" t="n">
        <v>0</v>
      </c>
      <c r="BW228" s="10" t="n">
        <v>46214</v>
      </c>
      <c r="BY228" s="9" t="n">
        <v>0</v>
      </c>
      <c r="CA228" s="9" t="n">
        <v>0</v>
      </c>
      <c r="CB228" s="9" t="n">
        <v>7398.439999999999</v>
      </c>
      <c r="CF228" s="10" t="n">
        <v>46214</v>
      </c>
      <c r="CH228" s="9" t="n">
        <v>0</v>
      </c>
      <c r="CJ228" s="9" t="n">
        <v>0</v>
      </c>
      <c r="CK228" s="9" t="n">
        <v>-6123.329999999999</v>
      </c>
      <c r="CO228" s="10" t="n">
        <v>46214</v>
      </c>
      <c r="CQ228" s="9" t="n">
        <v>0</v>
      </c>
      <c r="CS228" s="9" t="n">
        <v>0</v>
      </c>
      <c r="CT228" s="9" t="n">
        <v>0</v>
      </c>
      <c r="CX228" s="10" t="n">
        <v>46214</v>
      </c>
      <c r="CZ228" s="9" t="n">
        <v>0</v>
      </c>
      <c r="DB228" s="9" t="n">
        <v>0</v>
      </c>
      <c r="DC228" s="9" t="n">
        <v>711.6000000000072</v>
      </c>
      <c r="DG228" s="10" t="n">
        <v>46214</v>
      </c>
      <c r="DI228" s="9" t="n">
        <v>0</v>
      </c>
      <c r="DK228" s="9" t="n">
        <v>0</v>
      </c>
      <c r="DL228" s="9" t="n">
        <v>34634.69999999998</v>
      </c>
      <c r="DP228" s="10" t="n">
        <v>46214</v>
      </c>
      <c r="DR228" s="9" t="n">
        <v>0</v>
      </c>
      <c r="DT228" s="9" t="n">
        <v>0</v>
      </c>
      <c r="DU228" s="9" t="n">
        <v>5800</v>
      </c>
      <c r="DY228" s="10" t="n">
        <v>46214</v>
      </c>
      <c r="EA228" s="9" t="n">
        <v>0</v>
      </c>
      <c r="EC228" s="9" t="n">
        <v>0</v>
      </c>
      <c r="ED228" s="9" t="n">
        <v>0</v>
      </c>
      <c r="EH228" s="10" t="n">
        <v>46214</v>
      </c>
      <c r="EJ228" s="9" t="n">
        <v>0</v>
      </c>
      <c r="EL228" s="9" t="n">
        <v>0</v>
      </c>
      <c r="EM228" s="9" t="n">
        <v>0</v>
      </c>
      <c r="EQ228" s="10" t="n">
        <v>46214</v>
      </c>
      <c r="ES228" s="9" t="n">
        <v>0</v>
      </c>
      <c r="EU228" s="9" t="n">
        <v>0</v>
      </c>
      <c r="EV228" s="9" t="n">
        <v>0</v>
      </c>
      <c r="EZ228" s="10" t="n">
        <v>46214</v>
      </c>
      <c r="FB228" s="9" t="n">
        <v>0</v>
      </c>
      <c r="FD228" s="9" t="n">
        <v>0</v>
      </c>
      <c r="FE228" s="9" t="n">
        <v>0</v>
      </c>
      <c r="FI228" s="10" t="n">
        <v>46214</v>
      </c>
      <c r="FK228" s="9" t="n">
        <v>0</v>
      </c>
      <c r="FM228" s="9" t="n">
        <v>0</v>
      </c>
      <c r="FN228" s="9" t="n">
        <v>0</v>
      </c>
      <c r="FR228" s="10" t="n">
        <v>46214</v>
      </c>
      <c r="FT228" s="9" t="n">
        <v>0</v>
      </c>
      <c r="FV228" s="9" t="n">
        <v>0</v>
      </c>
      <c r="FW228" s="9" t="n">
        <v>1160</v>
      </c>
      <c r="GA228" s="10" t="n">
        <v>46214</v>
      </c>
      <c r="GC228" s="9" t="n">
        <v>0</v>
      </c>
      <c r="GE228" s="9" t="n">
        <v>0</v>
      </c>
      <c r="GF228" s="9" t="n">
        <v>960</v>
      </c>
      <c r="GJ228" s="10" t="n">
        <v>46214</v>
      </c>
      <c r="GL228" s="9" t="n">
        <v>0</v>
      </c>
      <c r="GN228" s="9" t="n">
        <v>0</v>
      </c>
      <c r="GO228" s="9" t="n">
        <v>1760</v>
      </c>
      <c r="GS228" s="10" t="n">
        <v>46214</v>
      </c>
      <c r="GU228" s="9" t="n">
        <v>0</v>
      </c>
      <c r="GW228" s="9" t="n">
        <v>0</v>
      </c>
      <c r="GX228" s="9" t="n">
        <v>400</v>
      </c>
      <c r="HB228" s="10" t="n">
        <v>46214</v>
      </c>
      <c r="HD228" s="9" t="n">
        <v>0</v>
      </c>
      <c r="HF228" s="9" t="n">
        <v>0</v>
      </c>
      <c r="HG228" s="9" t="n">
        <v>3600</v>
      </c>
      <c r="HK228" s="10" t="n">
        <v>46214</v>
      </c>
      <c r="HM228" s="9" t="n">
        <v>0</v>
      </c>
      <c r="HO228" s="9" t="n">
        <v>0</v>
      </c>
      <c r="HP228" s="9" t="n">
        <v>0</v>
      </c>
      <c r="HU228" s="10" t="n">
        <v>46214</v>
      </c>
      <c r="HW228" s="9" t="n">
        <v>0</v>
      </c>
      <c r="HY228" s="9" t="n">
        <v>0</v>
      </c>
      <c r="HZ228" s="9" t="n">
        <v>6240</v>
      </c>
      <c r="ID228" s="10" t="n">
        <v>46214</v>
      </c>
      <c r="IF228" s="9" t="n">
        <v>0</v>
      </c>
      <c r="IH228" s="9" t="n">
        <v>0</v>
      </c>
      <c r="II228" s="9" t="n">
        <v>720</v>
      </c>
      <c r="IM228" s="10" t="n">
        <v>46214</v>
      </c>
      <c r="IO228" s="9" t="n">
        <v>0</v>
      </c>
      <c r="IQ228" s="9" t="n">
        <v>0</v>
      </c>
      <c r="IR228" s="9" t="n">
        <v>5200</v>
      </c>
      <c r="IV228" s="10" t="n">
        <v>46214</v>
      </c>
      <c r="IX228" s="9" t="n">
        <v>0</v>
      </c>
      <c r="IZ228" s="9" t="n">
        <v>0</v>
      </c>
      <c r="JA228" s="9" t="n">
        <v>4960</v>
      </c>
      <c r="JE228" s="10" t="n">
        <v>46214</v>
      </c>
      <c r="JG228" s="9" t="n">
        <v>0</v>
      </c>
      <c r="JI228" s="9" t="n">
        <v>0</v>
      </c>
      <c r="JJ228" s="9" t="n">
        <v>0</v>
      </c>
      <c r="JN228" s="10" t="n">
        <v>46214</v>
      </c>
      <c r="JP228" s="9" t="n">
        <v>0</v>
      </c>
      <c r="JR228" s="9" t="n">
        <v>0</v>
      </c>
      <c r="JS228" s="9" t="n">
        <v>0</v>
      </c>
      <c r="JW228" s="10" t="n">
        <v>46214</v>
      </c>
      <c r="JY228" s="9" t="n">
        <v>0</v>
      </c>
      <c r="KA228" s="9" t="n">
        <v>0</v>
      </c>
      <c r="KB228" s="9" t="n">
        <v>2540</v>
      </c>
      <c r="KF228" s="10" t="n">
        <v>46214</v>
      </c>
      <c r="KH228" s="9" t="n">
        <v>0</v>
      </c>
      <c r="KJ228" s="9" t="n">
        <v>0</v>
      </c>
      <c r="KK228" s="9" t="n">
        <v>2359.5</v>
      </c>
      <c r="KO228" s="10" t="n">
        <v>46214</v>
      </c>
      <c r="KQ228" s="9" t="n">
        <v>0</v>
      </c>
      <c r="KS228" s="9" t="n">
        <v>0</v>
      </c>
      <c r="KT228" s="9" t="n">
        <v>1890</v>
      </c>
      <c r="KX228" s="10" t="n">
        <v>46214</v>
      </c>
      <c r="KZ228" s="9" t="n">
        <v>0</v>
      </c>
      <c r="LB228" s="9" t="n">
        <v>0</v>
      </c>
      <c r="LC228" s="9" t="n">
        <v>3690</v>
      </c>
      <c r="LG228" s="10" t="n">
        <v>46214</v>
      </c>
      <c r="LI228" s="9" t="n">
        <v>0</v>
      </c>
      <c r="LK228" s="9" t="n">
        <v>0</v>
      </c>
      <c r="LL228" s="9" t="n">
        <v>4000</v>
      </c>
      <c r="LP228" s="10" t="n">
        <v>46214</v>
      </c>
      <c r="LR228" s="9" t="n">
        <v>0</v>
      </c>
      <c r="LT228" s="9" t="n">
        <v>0</v>
      </c>
      <c r="LU228" s="9" t="n">
        <v>0</v>
      </c>
      <c r="LY228" s="10" t="n">
        <v>46214</v>
      </c>
      <c r="MA228" s="9" t="n">
        <v>0</v>
      </c>
      <c r="MC228" s="9" t="n">
        <v>0</v>
      </c>
      <c r="MD228" s="9" t="n">
        <v>0</v>
      </c>
      <c r="MH228" s="10" t="n">
        <v>46214</v>
      </c>
      <c r="MJ228" s="9" t="n">
        <v>0</v>
      </c>
      <c r="ML228" s="9" t="n">
        <v>0</v>
      </c>
      <c r="MM228" s="9" t="n">
        <v>0</v>
      </c>
      <c r="MQ228" s="10" t="n">
        <v>46214</v>
      </c>
      <c r="MS228" s="9" t="n">
        <v>0</v>
      </c>
      <c r="MU228" s="9" t="n">
        <v>0</v>
      </c>
      <c r="MV228" s="9" t="n">
        <v>2828</v>
      </c>
      <c r="MZ228" s="10" t="n">
        <v>46214</v>
      </c>
      <c r="NB228" s="9" t="n">
        <v>0</v>
      </c>
      <c r="ND228" s="9" t="n">
        <v>0</v>
      </c>
      <c r="NE228" s="9" t="n">
        <v>0</v>
      </c>
      <c r="NI228" s="10" t="n">
        <v>46214</v>
      </c>
      <c r="NK228" s="9" t="n">
        <v>0</v>
      </c>
      <c r="NM228" s="9" t="n">
        <v>0</v>
      </c>
      <c r="NN228" s="9" t="n">
        <v>1127</v>
      </c>
      <c r="NR228" s="10" t="n">
        <v>46214</v>
      </c>
      <c r="NT228" s="9" t="n">
        <v>0</v>
      </c>
      <c r="NV228" s="9" t="n">
        <v>0</v>
      </c>
      <c r="NW228" s="9" t="n">
        <v>3112</v>
      </c>
      <c r="OA228" s="10" t="n">
        <v>46214</v>
      </c>
      <c r="OC228" s="9" t="n">
        <v>0</v>
      </c>
      <c r="OE228" s="9" t="n">
        <v>0</v>
      </c>
      <c r="OF228" s="9" t="n">
        <v>1680.5</v>
      </c>
      <c r="OJ228" s="10" t="n">
        <v>46214</v>
      </c>
      <c r="OL228" s="9" t="n">
        <v>0</v>
      </c>
      <c r="ON228" s="9" t="n">
        <v>0</v>
      </c>
      <c r="OO228" s="9" t="n">
        <v>0</v>
      </c>
      <c r="OS228" s="10" t="n">
        <v>46214</v>
      </c>
      <c r="OU228" s="9" t="n">
        <v>0</v>
      </c>
      <c r="OW228" s="9" t="n">
        <v>0</v>
      </c>
      <c r="OX228" s="9" t="n">
        <v>1482</v>
      </c>
      <c r="PB228" s="10" t="n">
        <v>46214</v>
      </c>
      <c r="PD228" s="9" t="n">
        <v>0</v>
      </c>
      <c r="PF228" s="9" t="n">
        <v>0</v>
      </c>
      <c r="PG228" s="9" t="n">
        <v>0</v>
      </c>
      <c r="PK228" s="10" t="n">
        <v>46214</v>
      </c>
      <c r="PM228" s="9" t="n">
        <v>0</v>
      </c>
      <c r="PO228" s="9" t="n">
        <v>0</v>
      </c>
      <c r="PP228" s="9" t="n">
        <v>100</v>
      </c>
      <c r="PT228" s="10" t="n">
        <v>46214</v>
      </c>
      <c r="PV228" s="9" t="n">
        <v>0</v>
      </c>
      <c r="PX228" s="9" t="n">
        <v>0</v>
      </c>
      <c r="PY228" s="9" t="n">
        <v>13.96000000000004</v>
      </c>
      <c r="QC228" s="10" t="n">
        <v>46214</v>
      </c>
      <c r="QE228" s="9" t="n">
        <v>0</v>
      </c>
      <c r="QG228" s="9" t="n">
        <v>0</v>
      </c>
      <c r="QH228" s="9" t="n">
        <v>1736</v>
      </c>
      <c r="QL228" s="10" t="n">
        <v>46214</v>
      </c>
      <c r="QN228" s="9" t="n">
        <v>0</v>
      </c>
      <c r="QP228" s="9" t="n">
        <v>0</v>
      </c>
      <c r="QQ228" s="9" t="n">
        <v>85</v>
      </c>
      <c r="QU228" s="10" t="n">
        <v>46214</v>
      </c>
      <c r="QW228" s="9" t="n">
        <v>0</v>
      </c>
      <c r="QY228" s="9" t="n">
        <v>0</v>
      </c>
      <c r="QZ228" s="9" t="n">
        <v>207.6</v>
      </c>
      <c r="RD228" s="10" t="n">
        <v>46214</v>
      </c>
      <c r="RF228" s="9" t="n">
        <v>0</v>
      </c>
      <c r="RH228" s="9" t="n">
        <v>0</v>
      </c>
      <c r="RI228" s="9" t="n">
        <v>147.04</v>
      </c>
      <c r="RM228" s="10" t="n">
        <v>46214</v>
      </c>
      <c r="RO228" s="9" t="n">
        <v>0</v>
      </c>
      <c r="RQ228" s="9" t="n">
        <v>0</v>
      </c>
      <c r="RR228" s="9" t="n">
        <v>46.8</v>
      </c>
      <c r="RV228" s="10" t="n">
        <v>46214</v>
      </c>
      <c r="RX228" s="9" t="n">
        <v>0</v>
      </c>
      <c r="RZ228" s="9" t="n">
        <v>0</v>
      </c>
      <c r="SA228" s="9" t="n">
        <v>0</v>
      </c>
      <c r="SE228" s="10" t="n">
        <v>46214</v>
      </c>
      <c r="SG228" s="9" t="n">
        <v>0</v>
      </c>
      <c r="SI228" s="9" t="n">
        <v>0</v>
      </c>
      <c r="SJ228" s="9" t="n">
        <v>24.2</v>
      </c>
      <c r="SN228" s="10" t="n">
        <v>46214</v>
      </c>
      <c r="SP228" s="9" t="n">
        <v>0</v>
      </c>
      <c r="SR228" s="9" t="n">
        <v>0</v>
      </c>
      <c r="SS228" s="9" t="n">
        <v>32</v>
      </c>
      <c r="SW228" s="10" t="n">
        <v>46214</v>
      </c>
      <c r="SY228" s="9" t="n">
        <v>0</v>
      </c>
      <c r="TA228" s="9" t="n">
        <v>0</v>
      </c>
      <c r="TB228" s="9" t="n">
        <v>0</v>
      </c>
      <c r="TF228" s="10" t="n">
        <v>46214</v>
      </c>
      <c r="TH228" s="9" t="n">
        <v>0</v>
      </c>
      <c r="TJ228" s="9" t="n">
        <v>0</v>
      </c>
      <c r="TK228" s="9" t="n">
        <v>0</v>
      </c>
      <c r="TO228" s="10" t="n">
        <v>46214</v>
      </c>
      <c r="TQ228" s="9" t="n">
        <v>0</v>
      </c>
      <c r="TS228" s="9" t="n">
        <v>0</v>
      </c>
      <c r="TT228" s="9" t="n">
        <v>22.40000000000001</v>
      </c>
      <c r="TX228" s="10" t="n">
        <v>46214</v>
      </c>
      <c r="TZ228" s="9" t="n">
        <v>0</v>
      </c>
      <c r="UB228" s="9" t="n">
        <v>0</v>
      </c>
      <c r="UC228" s="9" t="n">
        <v>46.79999999999998</v>
      </c>
      <c r="UG228" s="10" t="n">
        <v>46214</v>
      </c>
      <c r="UI228" s="9" t="n">
        <v>0</v>
      </c>
      <c r="UK228" s="9" t="n">
        <v>0</v>
      </c>
      <c r="UL228" s="9" t="n">
        <v>204</v>
      </c>
      <c r="UP228" s="10" t="n">
        <v>46214</v>
      </c>
      <c r="UR228" s="9" t="n">
        <v>0</v>
      </c>
      <c r="UT228" s="9" t="n">
        <v>0</v>
      </c>
      <c r="UU228" s="9" t="n">
        <v>242.5</v>
      </c>
      <c r="UY228" s="10" t="n">
        <v>46214</v>
      </c>
      <c r="VA228" s="9" t="n">
        <v>0</v>
      </c>
      <c r="VC228" s="9" t="n">
        <v>0</v>
      </c>
      <c r="VD228" s="9" t="n">
        <v>41.60000000000002</v>
      </c>
      <c r="VH228" s="10" t="n">
        <v>46214</v>
      </c>
      <c r="VJ228" s="9" t="n">
        <v>0</v>
      </c>
      <c r="VL228" s="9" t="n">
        <v>0</v>
      </c>
      <c r="VM228" s="9" t="n">
        <v>210</v>
      </c>
      <c r="VQ228" s="10" t="n">
        <v>46214</v>
      </c>
      <c r="VS228" s="9" t="n">
        <v>0</v>
      </c>
      <c r="VU228" s="9" t="n">
        <v>0</v>
      </c>
      <c r="VV228" s="9" t="n">
        <v>0</v>
      </c>
      <c r="VZ228" s="10" t="n">
        <v>46214</v>
      </c>
      <c r="WB228" s="9" t="n">
        <v>0</v>
      </c>
      <c r="WD228" s="9" t="n">
        <v>0</v>
      </c>
      <c r="WE228" s="9" t="n">
        <v>0</v>
      </c>
      <c r="WI228" s="10" t="n">
        <v>46214</v>
      </c>
      <c r="WK228" s="9" t="n">
        <v>0</v>
      </c>
      <c r="WM228" s="9" t="n">
        <v>0</v>
      </c>
      <c r="WN228" s="9" t="n">
        <v>1057</v>
      </c>
      <c r="WR228" s="10" t="n">
        <v>46214</v>
      </c>
      <c r="WT228" s="9" t="n">
        <v>0</v>
      </c>
      <c r="WV228" s="9" t="n">
        <v>0</v>
      </c>
      <c r="WW228" s="9" t="n">
        <v>0</v>
      </c>
      <c r="XA228" s="10" t="n">
        <v>46214</v>
      </c>
      <c r="XC228" s="9" t="n">
        <v>0</v>
      </c>
      <c r="XE228" s="9" t="n">
        <v>0</v>
      </c>
      <c r="XF228" s="9" t="n">
        <v>7507</v>
      </c>
      <c r="XJ228" s="10" t="n">
        <v>46214</v>
      </c>
      <c r="XL228" s="9" t="n">
        <v>0</v>
      </c>
      <c r="XN228" s="9" t="n">
        <v>0</v>
      </c>
      <c r="XO228" s="9" t="n">
        <v>4252</v>
      </c>
      <c r="XS228" s="10" t="n">
        <v>46214</v>
      </c>
      <c r="XU228" s="9" t="n">
        <v>0</v>
      </c>
      <c r="XW228" s="9" t="n">
        <v>0</v>
      </c>
      <c r="XX228" s="9" t="n">
        <v>2179</v>
      </c>
      <c r="YB228" s="10" t="n">
        <v>46214</v>
      </c>
      <c r="YD228" s="9" t="n">
        <v>0</v>
      </c>
      <c r="YF228" s="9" t="n">
        <v>0</v>
      </c>
      <c r="YG228" s="9" t="n">
        <v>4019</v>
      </c>
      <c r="YK228" s="10" t="n">
        <v>46214</v>
      </c>
      <c r="YM228" s="9" t="n">
        <v>0</v>
      </c>
      <c r="YO228" s="9" t="n">
        <v>0</v>
      </c>
      <c r="YP228" s="9" t="n">
        <v>0</v>
      </c>
      <c r="YT228" s="10" t="n">
        <v>46214</v>
      </c>
      <c r="YV228" s="9" t="n">
        <v>0</v>
      </c>
      <c r="YX228" s="9" t="n">
        <v>0</v>
      </c>
      <c r="YY228" s="9" t="n">
        <v>0</v>
      </c>
      <c r="ZC228" s="10" t="n">
        <v>46214</v>
      </c>
      <c r="ZE228" s="9" t="n">
        <v>0</v>
      </c>
      <c r="ZG228" s="9" t="n">
        <v>0</v>
      </c>
      <c r="ZH228" s="9" t="n">
        <v>0</v>
      </c>
      <c r="ZL228" s="10" t="n">
        <v>46214</v>
      </c>
      <c r="ZN228" s="9" t="n">
        <v>0</v>
      </c>
      <c r="ZP228" s="9" t="n">
        <v>0</v>
      </c>
      <c r="ZQ228" s="9" t="n">
        <v>0</v>
      </c>
      <c r="ZU228" s="10" t="n">
        <v>46214</v>
      </c>
      <c r="ZW228" s="9" t="n">
        <v>0</v>
      </c>
      <c r="ZY228" s="9" t="n">
        <v>0</v>
      </c>
      <c r="ZZ228" s="9" t="n">
        <v>0</v>
      </c>
      <c r="AAD228" s="10" t="n">
        <v>46214</v>
      </c>
      <c r="AAF228" s="9" t="n">
        <v>0</v>
      </c>
      <c r="AAH228" s="9" t="n">
        <v>0</v>
      </c>
      <c r="AAI228" s="9" t="n">
        <v>0</v>
      </c>
      <c r="AAM228" s="10" t="n">
        <v>46214</v>
      </c>
      <c r="AAO228" s="9" t="n">
        <v>0</v>
      </c>
      <c r="AAQ228" s="9" t="n">
        <v>0</v>
      </c>
      <c r="AAR228" s="9" t="n">
        <v>0</v>
      </c>
      <c r="AAV228" s="10" t="n">
        <v>46214</v>
      </c>
      <c r="AAX228" s="9" t="n">
        <v>0</v>
      </c>
      <c r="AAZ228" s="9" t="n">
        <v>0</v>
      </c>
      <c r="ABA228" s="9" t="n">
        <v>0</v>
      </c>
      <c r="ABE228" s="10" t="n">
        <v>46214</v>
      </c>
      <c r="ABG228" s="9" t="n">
        <v>0</v>
      </c>
      <c r="ABI228" s="9" t="n">
        <v>0</v>
      </c>
      <c r="ABJ228" s="9" t="n">
        <v>0</v>
      </c>
    </row>
    <row r="229">
      <c r="C229" s="10" t="n">
        <v>46215</v>
      </c>
      <c r="E229" s="9" t="n">
        <v>0</v>
      </c>
      <c r="G229" s="9" t="n">
        <v>0</v>
      </c>
      <c r="H229" s="9" t="n">
        <v>123443</v>
      </c>
      <c r="L229" s="10" t="n">
        <v>46215</v>
      </c>
      <c r="N229" s="9" t="n">
        <v>0</v>
      </c>
      <c r="P229" s="9" t="n">
        <v>0</v>
      </c>
      <c r="Q229" s="9" t="n">
        <v>36259.20000000007</v>
      </c>
      <c r="U229" s="10" t="n">
        <v>46215</v>
      </c>
      <c r="W229" s="9" t="n">
        <v>0</v>
      </c>
      <c r="Y229" s="9" t="n">
        <v>0</v>
      </c>
      <c r="Z229" s="9" t="n">
        <v>32658.79999999997</v>
      </c>
      <c r="AD229" s="10" t="n">
        <v>46215</v>
      </c>
      <c r="AF229" s="9" t="n">
        <v>0</v>
      </c>
      <c r="AH229" s="9" t="n">
        <v>0</v>
      </c>
      <c r="AI229" s="9" t="n">
        <v>31872.20000000002</v>
      </c>
      <c r="AM229" s="10" t="n">
        <v>46215</v>
      </c>
      <c r="AO229" s="9" t="n">
        <v>0</v>
      </c>
      <c r="AQ229" s="9" t="n">
        <v>0</v>
      </c>
      <c r="AR229" s="9" t="n">
        <v>0</v>
      </c>
      <c r="AV229" s="10" t="n">
        <v>46215</v>
      </c>
      <c r="AX229" s="9" t="n">
        <v>0</v>
      </c>
      <c r="AZ229" s="9" t="n">
        <v>0</v>
      </c>
      <c r="BA229" s="9" t="n">
        <v>13365.4</v>
      </c>
      <c r="BE229" s="10" t="n">
        <v>46215</v>
      </c>
      <c r="BG229" s="9" t="n">
        <v>0</v>
      </c>
      <c r="BI229" s="9" t="n">
        <v>0</v>
      </c>
      <c r="BJ229" s="9" t="n">
        <v>32703.69999999999</v>
      </c>
      <c r="BN229" s="10" t="n">
        <v>46215</v>
      </c>
      <c r="BP229" s="9" t="n">
        <v>0</v>
      </c>
      <c r="BR229" s="9" t="n">
        <v>0</v>
      </c>
      <c r="BS229" s="9" t="n">
        <v>0</v>
      </c>
      <c r="BW229" s="10" t="n">
        <v>46215</v>
      </c>
      <c r="BY229" s="9" t="n">
        <v>0</v>
      </c>
      <c r="CA229" s="9" t="n">
        <v>0</v>
      </c>
      <c r="CB229" s="9" t="n">
        <v>7398.439999999999</v>
      </c>
      <c r="CF229" s="10" t="n">
        <v>46215</v>
      </c>
      <c r="CH229" s="9" t="n">
        <v>0</v>
      </c>
      <c r="CJ229" s="9" t="n">
        <v>0</v>
      </c>
      <c r="CK229" s="9" t="n">
        <v>-6123.329999999999</v>
      </c>
      <c r="CO229" s="10" t="n">
        <v>46215</v>
      </c>
      <c r="CQ229" s="9" t="n">
        <v>0</v>
      </c>
      <c r="CS229" s="9" t="n">
        <v>0</v>
      </c>
      <c r="CT229" s="9" t="n">
        <v>0</v>
      </c>
      <c r="CX229" s="10" t="n">
        <v>46215</v>
      </c>
      <c r="CZ229" s="9" t="n">
        <v>0</v>
      </c>
      <c r="DB229" s="9" t="n">
        <v>0</v>
      </c>
      <c r="DC229" s="9" t="n">
        <v>711.6000000000072</v>
      </c>
      <c r="DG229" s="10" t="n">
        <v>46215</v>
      </c>
      <c r="DI229" s="9" t="n">
        <v>0</v>
      </c>
      <c r="DK229" s="9" t="n">
        <v>0</v>
      </c>
      <c r="DL229" s="9" t="n">
        <v>34634.69999999998</v>
      </c>
      <c r="DP229" s="10" t="n">
        <v>46215</v>
      </c>
      <c r="DR229" s="9" t="n">
        <v>0</v>
      </c>
      <c r="DT229" s="9" t="n">
        <v>0</v>
      </c>
      <c r="DU229" s="9" t="n">
        <v>5800</v>
      </c>
      <c r="DY229" s="10" t="n">
        <v>46215</v>
      </c>
      <c r="EA229" s="9" t="n">
        <v>0</v>
      </c>
      <c r="EC229" s="9" t="n">
        <v>0</v>
      </c>
      <c r="ED229" s="9" t="n">
        <v>0</v>
      </c>
      <c r="EH229" s="10" t="n">
        <v>46215</v>
      </c>
      <c r="EJ229" s="9" t="n">
        <v>0</v>
      </c>
      <c r="EL229" s="9" t="n">
        <v>0</v>
      </c>
      <c r="EM229" s="9" t="n">
        <v>0</v>
      </c>
      <c r="EQ229" s="10" t="n">
        <v>46215</v>
      </c>
      <c r="ES229" s="9" t="n">
        <v>0</v>
      </c>
      <c r="EU229" s="9" t="n">
        <v>0</v>
      </c>
      <c r="EV229" s="9" t="n">
        <v>0</v>
      </c>
      <c r="EZ229" s="10" t="n">
        <v>46215</v>
      </c>
      <c r="FB229" s="9" t="n">
        <v>0</v>
      </c>
      <c r="FD229" s="9" t="n">
        <v>0</v>
      </c>
      <c r="FE229" s="9" t="n">
        <v>0</v>
      </c>
      <c r="FI229" s="10" t="n">
        <v>46215</v>
      </c>
      <c r="FK229" s="9" t="n">
        <v>0</v>
      </c>
      <c r="FM229" s="9" t="n">
        <v>0</v>
      </c>
      <c r="FN229" s="9" t="n">
        <v>0</v>
      </c>
      <c r="FR229" s="10" t="n">
        <v>46215</v>
      </c>
      <c r="FT229" s="9" t="n">
        <v>0</v>
      </c>
      <c r="FV229" s="9" t="n">
        <v>0</v>
      </c>
      <c r="FW229" s="9" t="n">
        <v>1160</v>
      </c>
      <c r="GA229" s="10" t="n">
        <v>46215</v>
      </c>
      <c r="GC229" s="9" t="n">
        <v>0</v>
      </c>
      <c r="GE229" s="9" t="n">
        <v>0</v>
      </c>
      <c r="GF229" s="9" t="n">
        <v>960</v>
      </c>
      <c r="GJ229" s="10" t="n">
        <v>46215</v>
      </c>
      <c r="GL229" s="9" t="n">
        <v>0</v>
      </c>
      <c r="GN229" s="9" t="n">
        <v>0</v>
      </c>
      <c r="GO229" s="9" t="n">
        <v>1760</v>
      </c>
      <c r="GS229" s="10" t="n">
        <v>46215</v>
      </c>
      <c r="GU229" s="9" t="n">
        <v>0</v>
      </c>
      <c r="GW229" s="9" t="n">
        <v>0</v>
      </c>
      <c r="GX229" s="9" t="n">
        <v>400</v>
      </c>
      <c r="HB229" s="10" t="n">
        <v>46215</v>
      </c>
      <c r="HD229" s="9" t="n">
        <v>0</v>
      </c>
      <c r="HF229" s="9" t="n">
        <v>0</v>
      </c>
      <c r="HG229" s="9" t="n">
        <v>3600</v>
      </c>
      <c r="HK229" s="10" t="n">
        <v>46215</v>
      </c>
      <c r="HM229" s="9" t="n">
        <v>0</v>
      </c>
      <c r="HO229" s="9" t="n">
        <v>0</v>
      </c>
      <c r="HP229" s="9" t="n">
        <v>0</v>
      </c>
      <c r="HU229" s="10" t="n">
        <v>46215</v>
      </c>
      <c r="HW229" s="9" t="n">
        <v>0</v>
      </c>
      <c r="HY229" s="9" t="n">
        <v>0</v>
      </c>
      <c r="HZ229" s="9" t="n">
        <v>6240</v>
      </c>
      <c r="ID229" s="10" t="n">
        <v>46215</v>
      </c>
      <c r="IF229" s="9" t="n">
        <v>0</v>
      </c>
      <c r="IH229" s="9" t="n">
        <v>0</v>
      </c>
      <c r="II229" s="9" t="n">
        <v>720</v>
      </c>
      <c r="IM229" s="10" t="n">
        <v>46215</v>
      </c>
      <c r="IO229" s="9" t="n">
        <v>0</v>
      </c>
      <c r="IQ229" s="9" t="n">
        <v>0</v>
      </c>
      <c r="IR229" s="9" t="n">
        <v>5200</v>
      </c>
      <c r="IV229" s="10" t="n">
        <v>46215</v>
      </c>
      <c r="IX229" s="9" t="n">
        <v>0</v>
      </c>
      <c r="IZ229" s="9" t="n">
        <v>0</v>
      </c>
      <c r="JA229" s="9" t="n">
        <v>4960</v>
      </c>
      <c r="JE229" s="10" t="n">
        <v>46215</v>
      </c>
      <c r="JG229" s="9" t="n">
        <v>0</v>
      </c>
      <c r="JI229" s="9" t="n">
        <v>0</v>
      </c>
      <c r="JJ229" s="9" t="n">
        <v>0</v>
      </c>
      <c r="JN229" s="10" t="n">
        <v>46215</v>
      </c>
      <c r="JP229" s="9" t="n">
        <v>0</v>
      </c>
      <c r="JR229" s="9" t="n">
        <v>0</v>
      </c>
      <c r="JS229" s="9" t="n">
        <v>0</v>
      </c>
      <c r="JW229" s="10" t="n">
        <v>46215</v>
      </c>
      <c r="JY229" s="9" t="n">
        <v>0</v>
      </c>
      <c r="KA229" s="9" t="n">
        <v>0</v>
      </c>
      <c r="KB229" s="9" t="n">
        <v>2540</v>
      </c>
      <c r="KF229" s="10" t="n">
        <v>46215</v>
      </c>
      <c r="KH229" s="9" t="n">
        <v>0</v>
      </c>
      <c r="KJ229" s="9" t="n">
        <v>0</v>
      </c>
      <c r="KK229" s="9" t="n">
        <v>2359.5</v>
      </c>
      <c r="KO229" s="10" t="n">
        <v>46215</v>
      </c>
      <c r="KQ229" s="9" t="n">
        <v>0</v>
      </c>
      <c r="KS229" s="9" t="n">
        <v>0</v>
      </c>
      <c r="KT229" s="9" t="n">
        <v>1890</v>
      </c>
      <c r="KX229" s="10" t="n">
        <v>46215</v>
      </c>
      <c r="KZ229" s="9" t="n">
        <v>0</v>
      </c>
      <c r="LB229" s="9" t="n">
        <v>0</v>
      </c>
      <c r="LC229" s="9" t="n">
        <v>3690</v>
      </c>
      <c r="LG229" s="10" t="n">
        <v>46215</v>
      </c>
      <c r="LI229" s="9" t="n">
        <v>0</v>
      </c>
      <c r="LK229" s="9" t="n">
        <v>0</v>
      </c>
      <c r="LL229" s="9" t="n">
        <v>4000</v>
      </c>
      <c r="LP229" s="10" t="n">
        <v>46215</v>
      </c>
      <c r="LR229" s="9" t="n">
        <v>0</v>
      </c>
      <c r="LT229" s="9" t="n">
        <v>0</v>
      </c>
      <c r="LU229" s="9" t="n">
        <v>0</v>
      </c>
      <c r="LY229" s="10" t="n">
        <v>46215</v>
      </c>
      <c r="MA229" s="9" t="n">
        <v>0</v>
      </c>
      <c r="MC229" s="9" t="n">
        <v>0</v>
      </c>
      <c r="MD229" s="9" t="n">
        <v>0</v>
      </c>
      <c r="MH229" s="10" t="n">
        <v>46215</v>
      </c>
      <c r="MJ229" s="9" t="n">
        <v>0</v>
      </c>
      <c r="ML229" s="9" t="n">
        <v>0</v>
      </c>
      <c r="MM229" s="9" t="n">
        <v>0</v>
      </c>
      <c r="MQ229" s="10" t="n">
        <v>46215</v>
      </c>
      <c r="MS229" s="9" t="n">
        <v>0</v>
      </c>
      <c r="MU229" s="9" t="n">
        <v>0</v>
      </c>
      <c r="MV229" s="9" t="n">
        <v>2828</v>
      </c>
      <c r="MZ229" s="10" t="n">
        <v>46215</v>
      </c>
      <c r="NB229" s="9" t="n">
        <v>0</v>
      </c>
      <c r="ND229" s="9" t="n">
        <v>0</v>
      </c>
      <c r="NE229" s="9" t="n">
        <v>0</v>
      </c>
      <c r="NI229" s="10" t="n">
        <v>46215</v>
      </c>
      <c r="NK229" s="9" t="n">
        <v>0</v>
      </c>
      <c r="NM229" s="9" t="n">
        <v>0</v>
      </c>
      <c r="NN229" s="9" t="n">
        <v>1127</v>
      </c>
      <c r="NR229" s="10" t="n">
        <v>46215</v>
      </c>
      <c r="NT229" s="9" t="n">
        <v>0</v>
      </c>
      <c r="NV229" s="9" t="n">
        <v>0</v>
      </c>
      <c r="NW229" s="9" t="n">
        <v>3112</v>
      </c>
      <c r="OA229" s="10" t="n">
        <v>46215</v>
      </c>
      <c r="OC229" s="9" t="n">
        <v>0</v>
      </c>
      <c r="OE229" s="9" t="n">
        <v>0</v>
      </c>
      <c r="OF229" s="9" t="n">
        <v>1680.5</v>
      </c>
      <c r="OJ229" s="10" t="n">
        <v>46215</v>
      </c>
      <c r="OL229" s="9" t="n">
        <v>0</v>
      </c>
      <c r="ON229" s="9" t="n">
        <v>0</v>
      </c>
      <c r="OO229" s="9" t="n">
        <v>0</v>
      </c>
      <c r="OS229" s="10" t="n">
        <v>46215</v>
      </c>
      <c r="OU229" s="9" t="n">
        <v>0</v>
      </c>
      <c r="OW229" s="9" t="n">
        <v>0</v>
      </c>
      <c r="OX229" s="9" t="n">
        <v>1482</v>
      </c>
      <c r="PB229" s="10" t="n">
        <v>46215</v>
      </c>
      <c r="PD229" s="9" t="n">
        <v>0</v>
      </c>
      <c r="PF229" s="9" t="n">
        <v>0</v>
      </c>
      <c r="PG229" s="9" t="n">
        <v>0</v>
      </c>
      <c r="PK229" s="10" t="n">
        <v>46215</v>
      </c>
      <c r="PM229" s="9" t="n">
        <v>0</v>
      </c>
      <c r="PO229" s="9" t="n">
        <v>0</v>
      </c>
      <c r="PP229" s="9" t="n">
        <v>100</v>
      </c>
      <c r="PT229" s="10" t="n">
        <v>46215</v>
      </c>
      <c r="PV229" s="9" t="n">
        <v>0</v>
      </c>
      <c r="PX229" s="9" t="n">
        <v>0</v>
      </c>
      <c r="PY229" s="9" t="n">
        <v>13.96000000000004</v>
      </c>
      <c r="QC229" s="10" t="n">
        <v>46215</v>
      </c>
      <c r="QE229" s="9" t="n">
        <v>0</v>
      </c>
      <c r="QG229" s="9" t="n">
        <v>0</v>
      </c>
      <c r="QH229" s="9" t="n">
        <v>1736</v>
      </c>
      <c r="QL229" s="10" t="n">
        <v>46215</v>
      </c>
      <c r="QN229" s="9" t="n">
        <v>0</v>
      </c>
      <c r="QP229" s="9" t="n">
        <v>0</v>
      </c>
      <c r="QQ229" s="9" t="n">
        <v>85</v>
      </c>
      <c r="QU229" s="10" t="n">
        <v>46215</v>
      </c>
      <c r="QW229" s="9" t="n">
        <v>0</v>
      </c>
      <c r="QY229" s="9" t="n">
        <v>0</v>
      </c>
      <c r="QZ229" s="9" t="n">
        <v>207.6</v>
      </c>
      <c r="RD229" s="10" t="n">
        <v>46215</v>
      </c>
      <c r="RF229" s="9" t="n">
        <v>0</v>
      </c>
      <c r="RH229" s="9" t="n">
        <v>0</v>
      </c>
      <c r="RI229" s="9" t="n">
        <v>147.04</v>
      </c>
      <c r="RM229" s="10" t="n">
        <v>46215</v>
      </c>
      <c r="RO229" s="9" t="n">
        <v>0</v>
      </c>
      <c r="RQ229" s="9" t="n">
        <v>0</v>
      </c>
      <c r="RR229" s="9" t="n">
        <v>46.8</v>
      </c>
      <c r="RV229" s="10" t="n">
        <v>46215</v>
      </c>
      <c r="RX229" s="9" t="n">
        <v>0</v>
      </c>
      <c r="RZ229" s="9" t="n">
        <v>0</v>
      </c>
      <c r="SA229" s="9" t="n">
        <v>0</v>
      </c>
      <c r="SE229" s="10" t="n">
        <v>46215</v>
      </c>
      <c r="SG229" s="9" t="n">
        <v>0</v>
      </c>
      <c r="SI229" s="9" t="n">
        <v>0</v>
      </c>
      <c r="SJ229" s="9" t="n">
        <v>24.2</v>
      </c>
      <c r="SN229" s="10" t="n">
        <v>46215</v>
      </c>
      <c r="SP229" s="9" t="n">
        <v>0</v>
      </c>
      <c r="SR229" s="9" t="n">
        <v>0</v>
      </c>
      <c r="SS229" s="9" t="n">
        <v>32</v>
      </c>
      <c r="SW229" s="10" t="n">
        <v>46215</v>
      </c>
      <c r="SY229" s="9" t="n">
        <v>0</v>
      </c>
      <c r="TA229" s="9" t="n">
        <v>0</v>
      </c>
      <c r="TB229" s="9" t="n">
        <v>0</v>
      </c>
      <c r="TF229" s="10" t="n">
        <v>46215</v>
      </c>
      <c r="TH229" s="9" t="n">
        <v>0</v>
      </c>
      <c r="TJ229" s="9" t="n">
        <v>0</v>
      </c>
      <c r="TK229" s="9" t="n">
        <v>0</v>
      </c>
      <c r="TO229" s="10" t="n">
        <v>46215</v>
      </c>
      <c r="TQ229" s="9" t="n">
        <v>0</v>
      </c>
      <c r="TS229" s="9" t="n">
        <v>0</v>
      </c>
      <c r="TT229" s="9" t="n">
        <v>22.40000000000001</v>
      </c>
      <c r="TX229" s="10" t="n">
        <v>46215</v>
      </c>
      <c r="TZ229" s="9" t="n">
        <v>0</v>
      </c>
      <c r="UB229" s="9" t="n">
        <v>0</v>
      </c>
      <c r="UC229" s="9" t="n">
        <v>46.79999999999998</v>
      </c>
      <c r="UG229" s="10" t="n">
        <v>46215</v>
      </c>
      <c r="UI229" s="9" t="n">
        <v>0</v>
      </c>
      <c r="UK229" s="9" t="n">
        <v>0</v>
      </c>
      <c r="UL229" s="9" t="n">
        <v>204</v>
      </c>
      <c r="UP229" s="10" t="n">
        <v>46215</v>
      </c>
      <c r="UR229" s="9" t="n">
        <v>0</v>
      </c>
      <c r="UT229" s="9" t="n">
        <v>0</v>
      </c>
      <c r="UU229" s="9" t="n">
        <v>242.5</v>
      </c>
      <c r="UY229" s="10" t="n">
        <v>46215</v>
      </c>
      <c r="VA229" s="9" t="n">
        <v>0</v>
      </c>
      <c r="VC229" s="9" t="n">
        <v>0</v>
      </c>
      <c r="VD229" s="9" t="n">
        <v>41.60000000000002</v>
      </c>
      <c r="VH229" s="10" t="n">
        <v>46215</v>
      </c>
      <c r="VJ229" s="9" t="n">
        <v>0</v>
      </c>
      <c r="VL229" s="9" t="n">
        <v>0</v>
      </c>
      <c r="VM229" s="9" t="n">
        <v>210</v>
      </c>
      <c r="VQ229" s="10" t="n">
        <v>46215</v>
      </c>
      <c r="VS229" s="9" t="n">
        <v>0</v>
      </c>
      <c r="VU229" s="9" t="n">
        <v>0</v>
      </c>
      <c r="VV229" s="9" t="n">
        <v>0</v>
      </c>
      <c r="VZ229" s="10" t="n">
        <v>46215</v>
      </c>
      <c r="WB229" s="9" t="n">
        <v>0</v>
      </c>
      <c r="WD229" s="9" t="n">
        <v>0</v>
      </c>
      <c r="WE229" s="9" t="n">
        <v>0</v>
      </c>
      <c r="WI229" s="10" t="n">
        <v>46215</v>
      </c>
      <c r="WK229" s="9" t="n">
        <v>0</v>
      </c>
      <c r="WM229" s="9" t="n">
        <v>0</v>
      </c>
      <c r="WN229" s="9" t="n">
        <v>1057</v>
      </c>
      <c r="WR229" s="10" t="n">
        <v>46215</v>
      </c>
      <c r="WT229" s="9" t="n">
        <v>0</v>
      </c>
      <c r="WV229" s="9" t="n">
        <v>0</v>
      </c>
      <c r="WW229" s="9" t="n">
        <v>0</v>
      </c>
      <c r="XA229" s="10" t="n">
        <v>46215</v>
      </c>
      <c r="XC229" s="9" t="n">
        <v>0</v>
      </c>
      <c r="XE229" s="9" t="n">
        <v>0</v>
      </c>
      <c r="XF229" s="9" t="n">
        <v>7507</v>
      </c>
      <c r="XJ229" s="10" t="n">
        <v>46215</v>
      </c>
      <c r="XL229" s="9" t="n">
        <v>0</v>
      </c>
      <c r="XN229" s="9" t="n">
        <v>0</v>
      </c>
      <c r="XO229" s="9" t="n">
        <v>4252</v>
      </c>
      <c r="XS229" s="10" t="n">
        <v>46215</v>
      </c>
      <c r="XU229" s="9" t="n">
        <v>0</v>
      </c>
      <c r="XW229" s="9" t="n">
        <v>0</v>
      </c>
      <c r="XX229" s="9" t="n">
        <v>2179</v>
      </c>
      <c r="YB229" s="10" t="n">
        <v>46215</v>
      </c>
      <c r="YD229" s="9" t="n">
        <v>0</v>
      </c>
      <c r="YF229" s="9" t="n">
        <v>0</v>
      </c>
      <c r="YG229" s="9" t="n">
        <v>4019</v>
      </c>
      <c r="YK229" s="10" t="n">
        <v>46215</v>
      </c>
      <c r="YM229" s="9" t="n">
        <v>0</v>
      </c>
      <c r="YO229" s="9" t="n">
        <v>0</v>
      </c>
      <c r="YP229" s="9" t="n">
        <v>0</v>
      </c>
      <c r="YT229" s="10" t="n">
        <v>46215</v>
      </c>
      <c r="YV229" s="9" t="n">
        <v>0</v>
      </c>
      <c r="YX229" s="9" t="n">
        <v>0</v>
      </c>
      <c r="YY229" s="9" t="n">
        <v>0</v>
      </c>
      <c r="ZC229" s="10" t="n">
        <v>46215</v>
      </c>
      <c r="ZE229" s="9" t="n">
        <v>0</v>
      </c>
      <c r="ZG229" s="9" t="n">
        <v>0</v>
      </c>
      <c r="ZH229" s="9" t="n">
        <v>0</v>
      </c>
      <c r="ZL229" s="10" t="n">
        <v>46215</v>
      </c>
      <c r="ZN229" s="9" t="n">
        <v>0</v>
      </c>
      <c r="ZP229" s="9" t="n">
        <v>0</v>
      </c>
      <c r="ZQ229" s="9" t="n">
        <v>0</v>
      </c>
      <c r="ZU229" s="10" t="n">
        <v>46215</v>
      </c>
      <c r="ZW229" s="9" t="n">
        <v>0</v>
      </c>
      <c r="ZY229" s="9" t="n">
        <v>0</v>
      </c>
      <c r="ZZ229" s="9" t="n">
        <v>0</v>
      </c>
      <c r="AAD229" s="10" t="n">
        <v>46215</v>
      </c>
      <c r="AAF229" s="9" t="n">
        <v>0</v>
      </c>
      <c r="AAH229" s="9" t="n">
        <v>0</v>
      </c>
      <c r="AAI229" s="9" t="n">
        <v>0</v>
      </c>
      <c r="AAM229" s="10" t="n">
        <v>46215</v>
      </c>
      <c r="AAO229" s="9" t="n">
        <v>0</v>
      </c>
      <c r="AAQ229" s="9" t="n">
        <v>0</v>
      </c>
      <c r="AAR229" s="9" t="n">
        <v>0</v>
      </c>
      <c r="AAV229" s="10" t="n">
        <v>46215</v>
      </c>
      <c r="AAX229" s="9" t="n">
        <v>0</v>
      </c>
      <c r="AAZ229" s="9" t="n">
        <v>0</v>
      </c>
      <c r="ABA229" s="9" t="n">
        <v>0</v>
      </c>
      <c r="ABE229" s="10" t="n">
        <v>46215</v>
      </c>
      <c r="ABG229" s="9" t="n">
        <v>0</v>
      </c>
      <c r="ABI229" s="9" t="n">
        <v>0</v>
      </c>
      <c r="ABJ229" s="9" t="n">
        <v>0</v>
      </c>
    </row>
    <row r="230">
      <c r="C230" s="10" t="n">
        <v>46216</v>
      </c>
      <c r="E230" s="9" t="n">
        <v>5112.5</v>
      </c>
      <c r="F230" s="9" t="n">
        <v>16042.2</v>
      </c>
      <c r="G230" s="9" t="n">
        <v>-10929.7</v>
      </c>
      <c r="H230" s="9" t="n">
        <v>107400.8</v>
      </c>
      <c r="L230" s="10" t="n">
        <v>46216</v>
      </c>
      <c r="N230" s="9" t="n">
        <v>3360.7</v>
      </c>
      <c r="O230" s="9" t="n">
        <v>7239</v>
      </c>
      <c r="P230" s="9" t="n">
        <v>-3878.3</v>
      </c>
      <c r="Q230" s="9" t="n">
        <v>29020.20000000007</v>
      </c>
      <c r="U230" s="10" t="n">
        <v>46216</v>
      </c>
      <c r="W230" s="9" t="n">
        <v>500</v>
      </c>
      <c r="X230" s="9" t="n">
        <v>1760.1</v>
      </c>
      <c r="Y230" s="9" t="n">
        <v>-1260.1</v>
      </c>
      <c r="Z230" s="9" t="n">
        <v>30898.69999999997</v>
      </c>
      <c r="AD230" s="10" t="n">
        <v>46216</v>
      </c>
      <c r="AF230" s="9" t="n">
        <v>0</v>
      </c>
      <c r="AH230" s="9" t="n">
        <v>0</v>
      </c>
      <c r="AI230" s="9" t="n">
        <v>31872.20000000002</v>
      </c>
      <c r="AM230" s="10" t="n">
        <v>46216</v>
      </c>
      <c r="AO230" s="9" t="n">
        <v>0</v>
      </c>
      <c r="AQ230" s="9" t="n">
        <v>0</v>
      </c>
      <c r="AR230" s="9" t="n">
        <v>0</v>
      </c>
      <c r="AV230" s="10" t="n">
        <v>46216</v>
      </c>
      <c r="AX230" s="9" t="n">
        <v>0</v>
      </c>
      <c r="AZ230" s="9" t="n">
        <v>0</v>
      </c>
      <c r="BA230" s="9" t="n">
        <v>13365.4</v>
      </c>
      <c r="BE230" s="10" t="n">
        <v>46216</v>
      </c>
      <c r="BG230" s="9" t="n">
        <v>0</v>
      </c>
      <c r="BH230" s="9" t="n">
        <v>180.3</v>
      </c>
      <c r="BI230" s="9" t="n">
        <v>-180.3</v>
      </c>
      <c r="BJ230" s="9" t="n">
        <v>32523.39999999999</v>
      </c>
      <c r="BN230" s="10" t="n">
        <v>46216</v>
      </c>
      <c r="BO230" s="9" t="n">
        <v>180</v>
      </c>
      <c r="BP230" s="9" t="n">
        <v>0</v>
      </c>
      <c r="BQ230" s="9" t="n">
        <v>180</v>
      </c>
      <c r="BR230" s="9" t="n">
        <v>-180</v>
      </c>
      <c r="BS230" s="9" t="n">
        <v>0</v>
      </c>
      <c r="BW230" s="10" t="n">
        <v>46216</v>
      </c>
      <c r="BY230" s="9" t="n">
        <v>117.75</v>
      </c>
      <c r="BZ230" s="9" t="n">
        <v>158.59</v>
      </c>
      <c r="CA230" s="9" t="n">
        <v>-40.84</v>
      </c>
      <c r="CB230" s="9" t="n">
        <v>7239.849999999999</v>
      </c>
      <c r="CF230" s="10" t="n">
        <v>46216</v>
      </c>
      <c r="CH230" s="9" t="n">
        <v>0</v>
      </c>
      <c r="CI230" s="9" t="n">
        <v>237.86</v>
      </c>
      <c r="CJ230" s="9" t="n">
        <v>-237.86</v>
      </c>
      <c r="CK230" s="9" t="n">
        <v>-6361.189999999999</v>
      </c>
      <c r="CO230" s="10" t="n">
        <v>46216</v>
      </c>
      <c r="CQ230" s="9" t="n">
        <v>0</v>
      </c>
      <c r="CS230" s="9" t="n">
        <v>0</v>
      </c>
      <c r="CT230" s="9" t="n">
        <v>0</v>
      </c>
      <c r="CX230" s="10" t="n">
        <v>46216</v>
      </c>
      <c r="CY230" s="9" t="n">
        <v>562</v>
      </c>
      <c r="CZ230" s="9" t="n">
        <v>200</v>
      </c>
      <c r="DA230" s="9" t="n">
        <v>562</v>
      </c>
      <c r="DB230" s="9" t="n">
        <v>-362</v>
      </c>
      <c r="DC230" s="9" t="n">
        <v>711.6000000000072</v>
      </c>
      <c r="DG230" s="10" t="n">
        <v>46216</v>
      </c>
      <c r="DI230" s="9" t="n">
        <v>0</v>
      </c>
      <c r="DK230" s="9" t="n">
        <v>0</v>
      </c>
      <c r="DL230" s="9" t="n">
        <v>34634.69999999998</v>
      </c>
      <c r="DP230" s="10" t="n">
        <v>46216</v>
      </c>
      <c r="DR230" s="9" t="n">
        <v>0</v>
      </c>
      <c r="DT230" s="9" t="n">
        <v>0</v>
      </c>
      <c r="DU230" s="9" t="n">
        <v>5800</v>
      </c>
      <c r="DY230" s="10" t="n">
        <v>46216</v>
      </c>
      <c r="EA230" s="9" t="n">
        <v>0</v>
      </c>
      <c r="EC230" s="9" t="n">
        <v>0</v>
      </c>
      <c r="ED230" s="9" t="n">
        <v>0</v>
      </c>
      <c r="EH230" s="10" t="n">
        <v>46216</v>
      </c>
      <c r="EJ230" s="9" t="n">
        <v>0</v>
      </c>
      <c r="EL230" s="9" t="n">
        <v>0</v>
      </c>
      <c r="EM230" s="9" t="n">
        <v>0</v>
      </c>
      <c r="EQ230" s="10" t="n">
        <v>46216</v>
      </c>
      <c r="ES230" s="9" t="n">
        <v>0</v>
      </c>
      <c r="EU230" s="9" t="n">
        <v>0</v>
      </c>
      <c r="EV230" s="9" t="n">
        <v>0</v>
      </c>
      <c r="EZ230" s="10" t="n">
        <v>46216</v>
      </c>
      <c r="FB230" s="9" t="n">
        <v>0</v>
      </c>
      <c r="FD230" s="9" t="n">
        <v>0</v>
      </c>
      <c r="FE230" s="9" t="n">
        <v>0</v>
      </c>
      <c r="FI230" s="10" t="n">
        <v>46216</v>
      </c>
      <c r="FK230" s="9" t="n">
        <v>0</v>
      </c>
      <c r="FM230" s="9" t="n">
        <v>0</v>
      </c>
      <c r="FN230" s="9" t="n">
        <v>0</v>
      </c>
      <c r="FR230" s="10" t="n">
        <v>46216</v>
      </c>
      <c r="FT230" s="9" t="n">
        <v>0</v>
      </c>
      <c r="FV230" s="9" t="n">
        <v>0</v>
      </c>
      <c r="FW230" s="9" t="n">
        <v>1160</v>
      </c>
      <c r="GA230" s="10" t="n">
        <v>46216</v>
      </c>
      <c r="GC230" s="9" t="n">
        <v>0</v>
      </c>
      <c r="GE230" s="9" t="n">
        <v>0</v>
      </c>
      <c r="GF230" s="9" t="n">
        <v>960</v>
      </c>
      <c r="GJ230" s="10" t="n">
        <v>46216</v>
      </c>
      <c r="GL230" s="9" t="n">
        <v>0</v>
      </c>
      <c r="GN230" s="9" t="n">
        <v>0</v>
      </c>
      <c r="GO230" s="9" t="n">
        <v>1760</v>
      </c>
      <c r="GS230" s="10" t="n">
        <v>46216</v>
      </c>
      <c r="GU230" s="9" t="n">
        <v>0</v>
      </c>
      <c r="GW230" s="9" t="n">
        <v>0</v>
      </c>
      <c r="GX230" s="9" t="n">
        <v>400</v>
      </c>
      <c r="HB230" s="10" t="n">
        <v>46216</v>
      </c>
      <c r="HD230" s="9" t="n">
        <v>0</v>
      </c>
      <c r="HF230" s="9" t="n">
        <v>0</v>
      </c>
      <c r="HG230" s="9" t="n">
        <v>3600</v>
      </c>
      <c r="HK230" s="10" t="n">
        <v>46216</v>
      </c>
      <c r="HM230" s="9" t="n">
        <v>0</v>
      </c>
      <c r="HO230" s="9" t="n">
        <v>0</v>
      </c>
      <c r="HP230" s="9" t="n">
        <v>0</v>
      </c>
      <c r="HU230" s="10" t="n">
        <v>46216</v>
      </c>
      <c r="HW230" s="9" t="n">
        <v>0</v>
      </c>
      <c r="HY230" s="9" t="n">
        <v>0</v>
      </c>
      <c r="HZ230" s="9" t="n">
        <v>6240</v>
      </c>
      <c r="ID230" s="10" t="n">
        <v>46216</v>
      </c>
      <c r="IF230" s="9" t="n">
        <v>0</v>
      </c>
      <c r="IH230" s="9" t="n">
        <v>0</v>
      </c>
      <c r="II230" s="9" t="n">
        <v>720</v>
      </c>
      <c r="IM230" s="10" t="n">
        <v>46216</v>
      </c>
      <c r="IO230" s="9" t="n">
        <v>0</v>
      </c>
      <c r="IQ230" s="9" t="n">
        <v>0</v>
      </c>
      <c r="IR230" s="9" t="n">
        <v>5200</v>
      </c>
      <c r="IV230" s="10" t="n">
        <v>46216</v>
      </c>
      <c r="IX230" s="9" t="n">
        <v>0</v>
      </c>
      <c r="IZ230" s="9" t="n">
        <v>0</v>
      </c>
      <c r="JA230" s="9" t="n">
        <v>4960</v>
      </c>
      <c r="JE230" s="10" t="n">
        <v>46216</v>
      </c>
      <c r="JG230" s="9" t="n">
        <v>0</v>
      </c>
      <c r="JI230" s="9" t="n">
        <v>0</v>
      </c>
      <c r="JJ230" s="9" t="n">
        <v>0</v>
      </c>
      <c r="JN230" s="10" t="n">
        <v>46216</v>
      </c>
      <c r="JP230" s="9" t="n">
        <v>0</v>
      </c>
      <c r="JR230" s="9" t="n">
        <v>0</v>
      </c>
      <c r="JS230" s="9" t="n">
        <v>0</v>
      </c>
      <c r="JW230" s="10" t="n">
        <v>46216</v>
      </c>
      <c r="JY230" s="9" t="n">
        <v>0</v>
      </c>
      <c r="KA230" s="9" t="n">
        <v>0</v>
      </c>
      <c r="KB230" s="9" t="n">
        <v>2540</v>
      </c>
      <c r="KF230" s="10" t="n">
        <v>46216</v>
      </c>
      <c r="KH230" s="9" t="n">
        <v>0</v>
      </c>
      <c r="KJ230" s="9" t="n">
        <v>0</v>
      </c>
      <c r="KK230" s="9" t="n">
        <v>2359.5</v>
      </c>
      <c r="KO230" s="10" t="n">
        <v>46216</v>
      </c>
      <c r="KQ230" s="9" t="n">
        <v>0</v>
      </c>
      <c r="KS230" s="9" t="n">
        <v>0</v>
      </c>
      <c r="KT230" s="9" t="n">
        <v>1890</v>
      </c>
      <c r="KX230" s="10" t="n">
        <v>46216</v>
      </c>
      <c r="KZ230" s="9" t="n">
        <v>0</v>
      </c>
      <c r="LB230" s="9" t="n">
        <v>0</v>
      </c>
      <c r="LC230" s="9" t="n">
        <v>3690</v>
      </c>
      <c r="LG230" s="10" t="n">
        <v>46216</v>
      </c>
      <c r="LI230" s="9" t="n">
        <v>0</v>
      </c>
      <c r="LK230" s="9" t="n">
        <v>0</v>
      </c>
      <c r="LL230" s="9" t="n">
        <v>4000</v>
      </c>
      <c r="LP230" s="10" t="n">
        <v>46216</v>
      </c>
      <c r="LR230" s="9" t="n">
        <v>0</v>
      </c>
      <c r="LT230" s="9" t="n">
        <v>0</v>
      </c>
      <c r="LU230" s="9" t="n">
        <v>0</v>
      </c>
      <c r="LY230" s="10" t="n">
        <v>46216</v>
      </c>
      <c r="MA230" s="9" t="n">
        <v>0</v>
      </c>
      <c r="MC230" s="9" t="n">
        <v>0</v>
      </c>
      <c r="MD230" s="9" t="n">
        <v>0</v>
      </c>
      <c r="MH230" s="10" t="n">
        <v>46216</v>
      </c>
      <c r="MJ230" s="9" t="n">
        <v>0</v>
      </c>
      <c r="ML230" s="9" t="n">
        <v>0</v>
      </c>
      <c r="MM230" s="9" t="n">
        <v>0</v>
      </c>
      <c r="MQ230" s="10" t="n">
        <v>46216</v>
      </c>
      <c r="MS230" s="9" t="n">
        <v>0</v>
      </c>
      <c r="MT230" s="9" t="n">
        <v>26</v>
      </c>
      <c r="MU230" s="9" t="n">
        <v>-26</v>
      </c>
      <c r="MV230" s="9" t="n">
        <v>2802</v>
      </c>
      <c r="MZ230" s="10" t="n">
        <v>46216</v>
      </c>
      <c r="NA230" s="9" t="n">
        <v>312</v>
      </c>
      <c r="NB230" s="9" t="n">
        <v>0</v>
      </c>
      <c r="NC230" s="9" t="n">
        <v>312</v>
      </c>
      <c r="ND230" s="9" t="n">
        <v>-312</v>
      </c>
      <c r="NE230" s="9" t="n">
        <v>0</v>
      </c>
      <c r="NI230" s="10" t="n">
        <v>46216</v>
      </c>
      <c r="NK230" s="9" t="n">
        <v>0</v>
      </c>
      <c r="NM230" s="9" t="n">
        <v>0</v>
      </c>
      <c r="NN230" s="9" t="n">
        <v>1127</v>
      </c>
      <c r="NR230" s="10" t="n">
        <v>46216</v>
      </c>
      <c r="NT230" s="9" t="n">
        <v>0</v>
      </c>
      <c r="NV230" s="9" t="n">
        <v>0</v>
      </c>
      <c r="NW230" s="9" t="n">
        <v>3112</v>
      </c>
      <c r="OA230" s="10" t="n">
        <v>46216</v>
      </c>
      <c r="OC230" s="9" t="n">
        <v>0</v>
      </c>
      <c r="OE230" s="9" t="n">
        <v>0</v>
      </c>
      <c r="OF230" s="9" t="n">
        <v>1680.5</v>
      </c>
      <c r="OJ230" s="10" t="n">
        <v>46216</v>
      </c>
      <c r="OK230" s="9" t="n">
        <v>54.8</v>
      </c>
      <c r="OL230" s="9" t="n">
        <v>0</v>
      </c>
      <c r="OM230" s="9" t="n">
        <v>54.8</v>
      </c>
      <c r="ON230" s="9" t="n">
        <v>-54.8</v>
      </c>
      <c r="OO230" s="9" t="n">
        <v>0</v>
      </c>
      <c r="OS230" s="10" t="n">
        <v>46216</v>
      </c>
      <c r="OU230" s="9" t="n">
        <v>0</v>
      </c>
      <c r="OW230" s="9" t="n">
        <v>0</v>
      </c>
      <c r="OX230" s="9" t="n">
        <v>1482</v>
      </c>
      <c r="PB230" s="10" t="n">
        <v>46216</v>
      </c>
      <c r="PD230" s="9" t="n">
        <v>0</v>
      </c>
      <c r="PF230" s="9" t="n">
        <v>0</v>
      </c>
      <c r="PG230" s="9" t="n">
        <v>0</v>
      </c>
      <c r="PK230" s="10" t="n">
        <v>46216</v>
      </c>
      <c r="PM230" s="9" t="n">
        <v>0</v>
      </c>
      <c r="PO230" s="9" t="n">
        <v>0</v>
      </c>
      <c r="PP230" s="9" t="n">
        <v>100</v>
      </c>
      <c r="PT230" s="10" t="n">
        <v>46216</v>
      </c>
      <c r="PV230" s="9" t="n">
        <v>0</v>
      </c>
      <c r="PX230" s="9" t="n">
        <v>0</v>
      </c>
      <c r="PY230" s="9" t="n">
        <v>13.96000000000004</v>
      </c>
      <c r="QC230" s="10" t="n">
        <v>46216</v>
      </c>
      <c r="QE230" s="9" t="n">
        <v>0</v>
      </c>
      <c r="QG230" s="9" t="n">
        <v>0</v>
      </c>
      <c r="QH230" s="9" t="n">
        <v>1736</v>
      </c>
      <c r="QL230" s="10" t="n">
        <v>46216</v>
      </c>
      <c r="QN230" s="9" t="n">
        <v>0</v>
      </c>
      <c r="QP230" s="9" t="n">
        <v>0</v>
      </c>
      <c r="QQ230" s="9" t="n">
        <v>85</v>
      </c>
      <c r="QU230" s="10" t="n">
        <v>46216</v>
      </c>
      <c r="QW230" s="9" t="n">
        <v>0</v>
      </c>
      <c r="QY230" s="9" t="n">
        <v>0</v>
      </c>
      <c r="QZ230" s="9" t="n">
        <v>207.6</v>
      </c>
      <c r="RD230" s="10" t="n">
        <v>46216</v>
      </c>
      <c r="RF230" s="9" t="n">
        <v>0</v>
      </c>
      <c r="RH230" s="9" t="n">
        <v>0</v>
      </c>
      <c r="RI230" s="9" t="n">
        <v>147.04</v>
      </c>
      <c r="RM230" s="10" t="n">
        <v>46216</v>
      </c>
      <c r="RO230" s="9" t="n">
        <v>0</v>
      </c>
      <c r="RQ230" s="9" t="n">
        <v>0</v>
      </c>
      <c r="RR230" s="9" t="n">
        <v>46.8</v>
      </c>
      <c r="RV230" s="10" t="n">
        <v>46216</v>
      </c>
      <c r="RX230" s="9" t="n">
        <v>0</v>
      </c>
      <c r="RZ230" s="9" t="n">
        <v>0</v>
      </c>
      <c r="SA230" s="9" t="n">
        <v>0</v>
      </c>
      <c r="SE230" s="10" t="n">
        <v>46216</v>
      </c>
      <c r="SG230" s="9" t="n">
        <v>0</v>
      </c>
      <c r="SI230" s="9" t="n">
        <v>0</v>
      </c>
      <c r="SJ230" s="9" t="n">
        <v>24.2</v>
      </c>
      <c r="SN230" s="10" t="n">
        <v>46216</v>
      </c>
      <c r="SP230" s="9" t="n">
        <v>0</v>
      </c>
      <c r="SR230" s="9" t="n">
        <v>0</v>
      </c>
      <c r="SS230" s="9" t="n">
        <v>32</v>
      </c>
      <c r="SW230" s="10" t="n">
        <v>46216</v>
      </c>
      <c r="SY230" s="9" t="n">
        <v>0</v>
      </c>
      <c r="TA230" s="9" t="n">
        <v>0</v>
      </c>
      <c r="TB230" s="9" t="n">
        <v>0</v>
      </c>
      <c r="TF230" s="10" t="n">
        <v>46216</v>
      </c>
      <c r="TH230" s="9" t="n">
        <v>0</v>
      </c>
      <c r="TJ230" s="9" t="n">
        <v>0</v>
      </c>
      <c r="TK230" s="9" t="n">
        <v>0</v>
      </c>
      <c r="TO230" s="10" t="n">
        <v>46216</v>
      </c>
      <c r="TQ230" s="9" t="n">
        <v>0</v>
      </c>
      <c r="TS230" s="9" t="n">
        <v>0</v>
      </c>
      <c r="TT230" s="9" t="n">
        <v>22.40000000000001</v>
      </c>
      <c r="TX230" s="10" t="n">
        <v>46216</v>
      </c>
      <c r="TZ230" s="9" t="n">
        <v>0</v>
      </c>
      <c r="UB230" s="9" t="n">
        <v>0</v>
      </c>
      <c r="UC230" s="9" t="n">
        <v>46.79999999999998</v>
      </c>
      <c r="UG230" s="10" t="n">
        <v>46216</v>
      </c>
      <c r="UI230" s="9" t="n">
        <v>0</v>
      </c>
      <c r="UK230" s="9" t="n">
        <v>0</v>
      </c>
      <c r="UL230" s="9" t="n">
        <v>204</v>
      </c>
      <c r="UP230" s="10" t="n">
        <v>46216</v>
      </c>
      <c r="UR230" s="9" t="n">
        <v>0</v>
      </c>
      <c r="UT230" s="9" t="n">
        <v>0</v>
      </c>
      <c r="UU230" s="9" t="n">
        <v>242.5</v>
      </c>
      <c r="UY230" s="10" t="n">
        <v>46216</v>
      </c>
      <c r="VA230" s="9" t="n">
        <v>0</v>
      </c>
      <c r="VC230" s="9" t="n">
        <v>0</v>
      </c>
      <c r="VD230" s="9" t="n">
        <v>41.60000000000002</v>
      </c>
      <c r="VH230" s="10" t="n">
        <v>46216</v>
      </c>
      <c r="VJ230" s="9" t="n">
        <v>0</v>
      </c>
      <c r="VL230" s="9" t="n">
        <v>0</v>
      </c>
      <c r="VM230" s="9" t="n">
        <v>210</v>
      </c>
      <c r="VQ230" s="10" t="n">
        <v>46216</v>
      </c>
      <c r="VS230" s="9" t="n">
        <v>0</v>
      </c>
      <c r="VU230" s="9" t="n">
        <v>0</v>
      </c>
      <c r="VV230" s="9" t="n">
        <v>0</v>
      </c>
      <c r="VZ230" s="10" t="n">
        <v>46216</v>
      </c>
      <c r="WB230" s="9" t="n">
        <v>0</v>
      </c>
      <c r="WD230" s="9" t="n">
        <v>0</v>
      </c>
      <c r="WE230" s="9" t="n">
        <v>0</v>
      </c>
      <c r="WI230" s="10" t="n">
        <v>46216</v>
      </c>
      <c r="WK230" s="9" t="n">
        <v>0</v>
      </c>
      <c r="WM230" s="9" t="n">
        <v>0</v>
      </c>
      <c r="WN230" s="9" t="n">
        <v>1057</v>
      </c>
      <c r="WR230" s="10" t="n">
        <v>46216</v>
      </c>
      <c r="WT230" s="9" t="n">
        <v>0</v>
      </c>
      <c r="WV230" s="9" t="n">
        <v>0</v>
      </c>
      <c r="WW230" s="9" t="n">
        <v>0</v>
      </c>
      <c r="XA230" s="10" t="n">
        <v>46216</v>
      </c>
      <c r="XC230" s="9" t="n">
        <v>0</v>
      </c>
      <c r="XE230" s="9" t="n">
        <v>0</v>
      </c>
      <c r="XF230" s="9" t="n">
        <v>7507</v>
      </c>
      <c r="XJ230" s="10" t="n">
        <v>46216</v>
      </c>
      <c r="XL230" s="9" t="n">
        <v>0</v>
      </c>
      <c r="XN230" s="9" t="n">
        <v>0</v>
      </c>
      <c r="XO230" s="9" t="n">
        <v>4252</v>
      </c>
      <c r="XS230" s="10" t="n">
        <v>46216</v>
      </c>
      <c r="XU230" s="9" t="n">
        <v>0</v>
      </c>
      <c r="XW230" s="9" t="n">
        <v>0</v>
      </c>
      <c r="XX230" s="9" t="n">
        <v>2179</v>
      </c>
      <c r="YB230" s="10" t="n">
        <v>46216</v>
      </c>
      <c r="YD230" s="9" t="n">
        <v>0</v>
      </c>
      <c r="YF230" s="9" t="n">
        <v>0</v>
      </c>
      <c r="YG230" s="9" t="n">
        <v>4019</v>
      </c>
      <c r="YK230" s="10" t="n">
        <v>46216</v>
      </c>
      <c r="YM230" s="9" t="n">
        <v>0</v>
      </c>
      <c r="YO230" s="9" t="n">
        <v>0</v>
      </c>
      <c r="YP230" s="9" t="n">
        <v>0</v>
      </c>
      <c r="YT230" s="10" t="n">
        <v>46216</v>
      </c>
      <c r="YV230" s="9" t="n">
        <v>0</v>
      </c>
      <c r="YX230" s="9" t="n">
        <v>0</v>
      </c>
      <c r="YY230" s="9" t="n">
        <v>0</v>
      </c>
      <c r="ZC230" s="10" t="n">
        <v>46216</v>
      </c>
      <c r="ZE230" s="9" t="n">
        <v>0</v>
      </c>
      <c r="ZG230" s="9" t="n">
        <v>0</v>
      </c>
      <c r="ZH230" s="9" t="n">
        <v>0</v>
      </c>
      <c r="ZL230" s="10" t="n">
        <v>46216</v>
      </c>
      <c r="ZN230" s="9" t="n">
        <v>0</v>
      </c>
      <c r="ZP230" s="9" t="n">
        <v>0</v>
      </c>
      <c r="ZQ230" s="9" t="n">
        <v>0</v>
      </c>
      <c r="ZU230" s="10" t="n">
        <v>46216</v>
      </c>
      <c r="ZW230" s="9" t="n">
        <v>0</v>
      </c>
      <c r="ZY230" s="9" t="n">
        <v>0</v>
      </c>
      <c r="ZZ230" s="9" t="n">
        <v>0</v>
      </c>
      <c r="AAD230" s="10" t="n">
        <v>46216</v>
      </c>
      <c r="AAF230" s="9" t="n">
        <v>0</v>
      </c>
      <c r="AAH230" s="9" t="n">
        <v>0</v>
      </c>
      <c r="AAI230" s="9" t="n">
        <v>0</v>
      </c>
      <c r="AAM230" s="10" t="n">
        <v>46216</v>
      </c>
      <c r="AAO230" s="9" t="n">
        <v>0</v>
      </c>
      <c r="AAQ230" s="9" t="n">
        <v>0</v>
      </c>
      <c r="AAR230" s="9" t="n">
        <v>0</v>
      </c>
      <c r="AAV230" s="10" t="n">
        <v>46216</v>
      </c>
      <c r="AAX230" s="9" t="n">
        <v>0</v>
      </c>
      <c r="AAZ230" s="9" t="n">
        <v>0</v>
      </c>
      <c r="ABA230" s="9" t="n">
        <v>0</v>
      </c>
      <c r="ABE230" s="10" t="n">
        <v>46216</v>
      </c>
      <c r="ABG230" s="9" t="n">
        <v>0</v>
      </c>
      <c r="ABI230" s="9" t="n">
        <v>0</v>
      </c>
      <c r="ABJ230" s="9" t="n">
        <v>0</v>
      </c>
    </row>
    <row r="231">
      <c r="C231" s="10" t="n">
        <v>46217</v>
      </c>
      <c r="E231" s="9" t="n">
        <v>25349.52</v>
      </c>
      <c r="F231" s="9" t="n">
        <v>73880.8</v>
      </c>
      <c r="G231" s="9" t="n">
        <v>-48531.28</v>
      </c>
      <c r="H231" s="9" t="n">
        <v>33520.00000000004</v>
      </c>
      <c r="L231" s="10" t="n">
        <v>46217</v>
      </c>
      <c r="N231" s="9" t="n">
        <v>14085.6</v>
      </c>
      <c r="O231" s="9" t="n">
        <v>31335.2</v>
      </c>
      <c r="P231" s="9" t="n">
        <v>-17249.6</v>
      </c>
      <c r="Q231" s="9" t="n">
        <v>-2314.999999999931</v>
      </c>
      <c r="U231" s="10" t="n">
        <v>46217</v>
      </c>
      <c r="W231" s="9" t="n">
        <v>2300</v>
      </c>
      <c r="X231" s="9" t="n">
        <v>7902.6</v>
      </c>
      <c r="Y231" s="9" t="n">
        <v>-5602.6</v>
      </c>
      <c r="Z231" s="9" t="n">
        <v>22996.09999999997</v>
      </c>
      <c r="AD231" s="10" t="n">
        <v>46217</v>
      </c>
      <c r="AF231" s="9" t="n">
        <v>0</v>
      </c>
      <c r="AH231" s="9" t="n">
        <v>0</v>
      </c>
      <c r="AI231" s="9" t="n">
        <v>31872.20000000002</v>
      </c>
      <c r="AM231" s="10" t="n">
        <v>46217</v>
      </c>
      <c r="AO231" s="9" t="n">
        <v>0</v>
      </c>
      <c r="AQ231" s="9" t="n">
        <v>0</v>
      </c>
      <c r="AR231" s="9" t="n">
        <v>0</v>
      </c>
      <c r="AV231" s="10" t="n">
        <v>46217</v>
      </c>
      <c r="AX231" s="9" t="n">
        <v>320</v>
      </c>
      <c r="AY231" s="9" t="n">
        <v>319.2</v>
      </c>
      <c r="AZ231" s="9" t="n">
        <v>0.8000000000000114</v>
      </c>
      <c r="BA231" s="9" t="n">
        <v>13046.2</v>
      </c>
      <c r="BE231" s="10" t="n">
        <v>46217</v>
      </c>
      <c r="BG231" s="9" t="n">
        <v>825</v>
      </c>
      <c r="BH231" s="9" t="n">
        <v>1626.7</v>
      </c>
      <c r="BI231" s="9" t="n">
        <v>-801.7</v>
      </c>
      <c r="BJ231" s="9" t="n">
        <v>30896.69999999999</v>
      </c>
      <c r="BN231" s="10" t="n">
        <v>46217</v>
      </c>
      <c r="BO231" s="9" t="n">
        <v>1665</v>
      </c>
      <c r="BP231" s="9" t="n">
        <v>865</v>
      </c>
      <c r="BQ231" s="9" t="n">
        <v>1665</v>
      </c>
      <c r="BR231" s="9" t="n">
        <v>-800</v>
      </c>
      <c r="BS231" s="9" t="n">
        <v>0</v>
      </c>
      <c r="BW231" s="10" t="n">
        <v>46217</v>
      </c>
      <c r="BY231" s="9" t="n">
        <v>24</v>
      </c>
      <c r="BZ231" s="9" t="n">
        <v>175.88</v>
      </c>
      <c r="CA231" s="9" t="n">
        <v>-151.88</v>
      </c>
      <c r="CB231" s="9" t="n">
        <v>7063.969999999998</v>
      </c>
      <c r="CF231" s="10" t="n">
        <v>46217</v>
      </c>
      <c r="CH231" s="9" t="n">
        <v>289.88</v>
      </c>
      <c r="CJ231" s="9" t="n">
        <v>289.88</v>
      </c>
      <c r="CK231" s="9" t="n">
        <v>-6361.189999999999</v>
      </c>
      <c r="CO231" s="10" t="n">
        <v>46217</v>
      </c>
      <c r="CQ231" s="9" t="n">
        <v>0</v>
      </c>
      <c r="CS231" s="9" t="n">
        <v>0</v>
      </c>
      <c r="CT231" s="9" t="n">
        <v>0</v>
      </c>
      <c r="CX231" s="10" t="n">
        <v>46217</v>
      </c>
      <c r="CY231" s="9" t="n">
        <v>1600</v>
      </c>
      <c r="CZ231" s="9" t="n">
        <v>0</v>
      </c>
      <c r="DA231" s="9" t="n">
        <v>1600</v>
      </c>
      <c r="DB231" s="9" t="n">
        <v>-1600</v>
      </c>
      <c r="DC231" s="9" t="n">
        <v>711.6000000000072</v>
      </c>
      <c r="DG231" s="10" t="n">
        <v>46217</v>
      </c>
      <c r="DI231" s="9" t="n">
        <v>800</v>
      </c>
      <c r="DJ231" s="9" t="n">
        <v>800.5</v>
      </c>
      <c r="DK231" s="9" t="n">
        <v>-0.5</v>
      </c>
      <c r="DL231" s="9" t="n">
        <v>33834.19999999998</v>
      </c>
      <c r="DP231" s="10" t="n">
        <v>46217</v>
      </c>
      <c r="DR231" s="9" t="n">
        <v>0</v>
      </c>
      <c r="DT231" s="9" t="n">
        <v>0</v>
      </c>
      <c r="DU231" s="9" t="n">
        <v>5800</v>
      </c>
      <c r="DY231" s="10" t="n">
        <v>46217</v>
      </c>
      <c r="EA231" s="9" t="n">
        <v>0</v>
      </c>
      <c r="EC231" s="9" t="n">
        <v>0</v>
      </c>
      <c r="ED231" s="9" t="n">
        <v>0</v>
      </c>
      <c r="EH231" s="10" t="n">
        <v>46217</v>
      </c>
      <c r="EJ231" s="9" t="n">
        <v>0</v>
      </c>
      <c r="EL231" s="9" t="n">
        <v>0</v>
      </c>
      <c r="EM231" s="9" t="n">
        <v>0</v>
      </c>
      <c r="EQ231" s="10" t="n">
        <v>46217</v>
      </c>
      <c r="ES231" s="9" t="n">
        <v>0</v>
      </c>
      <c r="EU231" s="9" t="n">
        <v>0</v>
      </c>
      <c r="EV231" s="9" t="n">
        <v>0</v>
      </c>
      <c r="EZ231" s="10" t="n">
        <v>46217</v>
      </c>
      <c r="FB231" s="9" t="n">
        <v>0</v>
      </c>
      <c r="FD231" s="9" t="n">
        <v>0</v>
      </c>
      <c r="FE231" s="9" t="n">
        <v>0</v>
      </c>
      <c r="FI231" s="10" t="n">
        <v>46217</v>
      </c>
      <c r="FK231" s="9" t="n">
        <v>0</v>
      </c>
      <c r="FM231" s="9" t="n">
        <v>0</v>
      </c>
      <c r="FN231" s="9" t="n">
        <v>0</v>
      </c>
      <c r="FR231" s="10" t="n">
        <v>46217</v>
      </c>
      <c r="FT231" s="9" t="n">
        <v>0</v>
      </c>
      <c r="FV231" s="9" t="n">
        <v>0</v>
      </c>
      <c r="FW231" s="9" t="n">
        <v>1160</v>
      </c>
      <c r="GA231" s="10" t="n">
        <v>46217</v>
      </c>
      <c r="GC231" s="9" t="n">
        <v>0</v>
      </c>
      <c r="GE231" s="9" t="n">
        <v>0</v>
      </c>
      <c r="GF231" s="9" t="n">
        <v>960</v>
      </c>
      <c r="GJ231" s="10" t="n">
        <v>46217</v>
      </c>
      <c r="GL231" s="9" t="n">
        <v>0</v>
      </c>
      <c r="GN231" s="9" t="n">
        <v>0</v>
      </c>
      <c r="GO231" s="9" t="n">
        <v>1760</v>
      </c>
      <c r="GS231" s="10" t="n">
        <v>46217</v>
      </c>
      <c r="GU231" s="9" t="n">
        <v>0</v>
      </c>
      <c r="GW231" s="9" t="n">
        <v>0</v>
      </c>
      <c r="GX231" s="9" t="n">
        <v>400</v>
      </c>
      <c r="HB231" s="10" t="n">
        <v>46217</v>
      </c>
      <c r="HD231" s="9" t="n">
        <v>0</v>
      </c>
      <c r="HF231" s="9" t="n">
        <v>0</v>
      </c>
      <c r="HG231" s="9" t="n">
        <v>3600</v>
      </c>
      <c r="HK231" s="10" t="n">
        <v>46217</v>
      </c>
      <c r="HM231" s="9" t="n">
        <v>0</v>
      </c>
      <c r="HO231" s="9" t="n">
        <v>0</v>
      </c>
      <c r="HP231" s="9" t="n">
        <v>0</v>
      </c>
      <c r="HU231" s="10" t="n">
        <v>46217</v>
      </c>
      <c r="HW231" s="9" t="n">
        <v>320</v>
      </c>
      <c r="HY231" s="9" t="n">
        <v>320</v>
      </c>
      <c r="HZ231" s="9" t="n">
        <v>6240</v>
      </c>
      <c r="ID231" s="10" t="n">
        <v>46217</v>
      </c>
      <c r="IF231" s="9" t="n">
        <v>0</v>
      </c>
      <c r="IH231" s="9" t="n">
        <v>0</v>
      </c>
      <c r="II231" s="9" t="n">
        <v>720</v>
      </c>
      <c r="IM231" s="10" t="n">
        <v>46217</v>
      </c>
      <c r="IO231" s="9" t="n">
        <v>0</v>
      </c>
      <c r="IP231" s="9" t="n">
        <v>600</v>
      </c>
      <c r="IQ231" s="9" t="n">
        <v>-600</v>
      </c>
      <c r="IR231" s="9" t="n">
        <v>4600</v>
      </c>
      <c r="IS231" s="9" t="n">
        <v>30</v>
      </c>
      <c r="IV231" s="10" t="n">
        <v>46217</v>
      </c>
      <c r="IX231" s="9" t="n">
        <v>0</v>
      </c>
      <c r="IZ231" s="9" t="n">
        <v>0</v>
      </c>
      <c r="JA231" s="9" t="n">
        <v>4960</v>
      </c>
      <c r="JE231" s="10" t="n">
        <v>46217</v>
      </c>
      <c r="JG231" s="9" t="n">
        <v>0</v>
      </c>
      <c r="JI231" s="9" t="n">
        <v>0</v>
      </c>
      <c r="JJ231" s="9" t="n">
        <v>0</v>
      </c>
      <c r="JN231" s="10" t="n">
        <v>46217</v>
      </c>
      <c r="JP231" s="9" t="n">
        <v>600</v>
      </c>
      <c r="JR231" s="9" t="n">
        <v>600</v>
      </c>
      <c r="JS231" s="9" t="n">
        <v>0</v>
      </c>
      <c r="JW231" s="10" t="n">
        <v>46217</v>
      </c>
      <c r="JY231" s="9" t="n">
        <v>0</v>
      </c>
      <c r="KA231" s="9" t="n">
        <v>0</v>
      </c>
      <c r="KB231" s="9" t="n">
        <v>2540</v>
      </c>
      <c r="KF231" s="10" t="n">
        <v>46217</v>
      </c>
      <c r="KH231" s="9" t="n">
        <v>0</v>
      </c>
      <c r="KJ231" s="9" t="n">
        <v>0</v>
      </c>
      <c r="KK231" s="9" t="n">
        <v>2359.5</v>
      </c>
      <c r="KO231" s="10" t="n">
        <v>46217</v>
      </c>
      <c r="KQ231" s="9" t="n">
        <v>0</v>
      </c>
      <c r="KS231" s="9" t="n">
        <v>0</v>
      </c>
      <c r="KT231" s="9" t="n">
        <v>1890</v>
      </c>
      <c r="KX231" s="10" t="n">
        <v>46217</v>
      </c>
      <c r="KZ231" s="9" t="n">
        <v>0</v>
      </c>
      <c r="LB231" s="9" t="n">
        <v>0</v>
      </c>
      <c r="LC231" s="9" t="n">
        <v>3690</v>
      </c>
      <c r="LG231" s="10" t="n">
        <v>46217</v>
      </c>
      <c r="LI231" s="9" t="n">
        <v>0</v>
      </c>
      <c r="LK231" s="9" t="n">
        <v>0</v>
      </c>
      <c r="LL231" s="9" t="n">
        <v>4000</v>
      </c>
      <c r="LP231" s="10" t="n">
        <v>46217</v>
      </c>
      <c r="LR231" s="9" t="n">
        <v>0</v>
      </c>
      <c r="LT231" s="9" t="n">
        <v>0</v>
      </c>
      <c r="LU231" s="9" t="n">
        <v>0</v>
      </c>
      <c r="LY231" s="10" t="n">
        <v>46217</v>
      </c>
      <c r="MA231" s="9" t="n">
        <v>0</v>
      </c>
      <c r="MC231" s="9" t="n">
        <v>0</v>
      </c>
      <c r="MD231" s="9" t="n">
        <v>0</v>
      </c>
      <c r="MH231" s="10" t="n">
        <v>46217</v>
      </c>
      <c r="MJ231" s="9" t="n">
        <v>0</v>
      </c>
      <c r="ML231" s="9" t="n">
        <v>0</v>
      </c>
      <c r="MM231" s="9" t="n">
        <v>0</v>
      </c>
      <c r="MQ231" s="10" t="n">
        <v>46217</v>
      </c>
      <c r="MS231" s="9" t="n">
        <v>8</v>
      </c>
      <c r="MT231" s="9" t="n">
        <v>70</v>
      </c>
      <c r="MU231" s="9" t="n">
        <v>-62</v>
      </c>
      <c r="MV231" s="9" t="n">
        <v>2732</v>
      </c>
      <c r="MZ231" s="10" t="n">
        <v>46217</v>
      </c>
      <c r="NB231" s="9" t="n">
        <v>138</v>
      </c>
      <c r="ND231" s="9" t="n">
        <v>138</v>
      </c>
      <c r="NE231" s="9" t="n">
        <v>0</v>
      </c>
      <c r="NI231" s="10" t="n">
        <v>46217</v>
      </c>
      <c r="NK231" s="9" t="n">
        <v>0</v>
      </c>
      <c r="NM231" s="9" t="n">
        <v>0</v>
      </c>
      <c r="NN231" s="9" t="n">
        <v>1127</v>
      </c>
      <c r="NR231" s="10" t="n">
        <v>46217</v>
      </c>
      <c r="NT231" s="9" t="n">
        <v>0</v>
      </c>
      <c r="NV231" s="9" t="n">
        <v>0</v>
      </c>
      <c r="NW231" s="9" t="n">
        <v>3112</v>
      </c>
      <c r="OA231" s="10" t="n">
        <v>46217</v>
      </c>
      <c r="OC231" s="9" t="n">
        <v>0</v>
      </c>
      <c r="OE231" s="9" t="n">
        <v>0</v>
      </c>
      <c r="OF231" s="9" t="n">
        <v>1680.5</v>
      </c>
      <c r="OJ231" s="10" t="n">
        <v>46217</v>
      </c>
      <c r="OL231" s="9" t="n">
        <v>0</v>
      </c>
      <c r="ON231" s="9" t="n">
        <v>0</v>
      </c>
      <c r="OO231" s="9" t="n">
        <v>0</v>
      </c>
      <c r="OS231" s="10" t="n">
        <v>46217</v>
      </c>
      <c r="OU231" s="9" t="n">
        <v>0</v>
      </c>
      <c r="OW231" s="9" t="n">
        <v>0</v>
      </c>
      <c r="OX231" s="9" t="n">
        <v>1482</v>
      </c>
      <c r="PB231" s="10" t="n">
        <v>46217</v>
      </c>
      <c r="PD231" s="9" t="n">
        <v>0</v>
      </c>
      <c r="PF231" s="9" t="n">
        <v>0</v>
      </c>
      <c r="PG231" s="9" t="n">
        <v>0</v>
      </c>
      <c r="PK231" s="10" t="n">
        <v>46217</v>
      </c>
      <c r="PM231" s="9" t="n">
        <v>0</v>
      </c>
      <c r="PO231" s="9" t="n">
        <v>0</v>
      </c>
      <c r="PP231" s="9" t="n">
        <v>100</v>
      </c>
      <c r="PT231" s="10" t="n">
        <v>46217</v>
      </c>
      <c r="PV231" s="9" t="n">
        <v>0</v>
      </c>
      <c r="PX231" s="9" t="n">
        <v>0</v>
      </c>
      <c r="PY231" s="9" t="n">
        <v>13.96000000000004</v>
      </c>
      <c r="QC231" s="10" t="n">
        <v>46217</v>
      </c>
      <c r="QE231" s="9" t="n">
        <v>0</v>
      </c>
      <c r="QG231" s="9" t="n">
        <v>0</v>
      </c>
      <c r="QH231" s="9" t="n">
        <v>1736</v>
      </c>
      <c r="QL231" s="10" t="n">
        <v>46217</v>
      </c>
      <c r="QN231" s="9" t="n">
        <v>75</v>
      </c>
      <c r="QO231" s="9" t="n">
        <v>75</v>
      </c>
      <c r="QP231" s="9" t="n">
        <v>0</v>
      </c>
      <c r="QQ231" s="9" t="n">
        <v>10</v>
      </c>
      <c r="QU231" s="10" t="n">
        <v>46217</v>
      </c>
      <c r="QW231" s="9" t="n">
        <v>0</v>
      </c>
      <c r="QY231" s="9" t="n">
        <v>0</v>
      </c>
      <c r="QZ231" s="9" t="n">
        <v>207.6</v>
      </c>
      <c r="RD231" s="10" t="n">
        <v>46217</v>
      </c>
      <c r="RF231" s="9" t="n">
        <v>0</v>
      </c>
      <c r="RH231" s="9" t="n">
        <v>0</v>
      </c>
      <c r="RI231" s="9" t="n">
        <v>147.04</v>
      </c>
      <c r="RM231" s="10" t="n">
        <v>46217</v>
      </c>
      <c r="RO231" s="9" t="n">
        <v>0</v>
      </c>
      <c r="RQ231" s="9" t="n">
        <v>0</v>
      </c>
      <c r="RR231" s="9" t="n">
        <v>46.8</v>
      </c>
      <c r="RV231" s="10" t="n">
        <v>46217</v>
      </c>
      <c r="RX231" s="9" t="n">
        <v>0</v>
      </c>
      <c r="RZ231" s="9" t="n">
        <v>0</v>
      </c>
      <c r="SA231" s="9" t="n">
        <v>0</v>
      </c>
      <c r="SE231" s="10" t="n">
        <v>46217</v>
      </c>
      <c r="SG231" s="9" t="n">
        <v>0</v>
      </c>
      <c r="SI231" s="9" t="n">
        <v>0</v>
      </c>
      <c r="SJ231" s="9" t="n">
        <v>24.2</v>
      </c>
      <c r="SN231" s="10" t="n">
        <v>46217</v>
      </c>
      <c r="SP231" s="9" t="n">
        <v>0</v>
      </c>
      <c r="SR231" s="9" t="n">
        <v>0</v>
      </c>
      <c r="SS231" s="9" t="n">
        <v>32</v>
      </c>
      <c r="SW231" s="10" t="n">
        <v>46217</v>
      </c>
      <c r="SY231" s="9" t="n">
        <v>0</v>
      </c>
      <c r="TA231" s="9" t="n">
        <v>0</v>
      </c>
      <c r="TB231" s="9" t="n">
        <v>0</v>
      </c>
      <c r="TF231" s="10" t="n">
        <v>46217</v>
      </c>
      <c r="TH231" s="9" t="n">
        <v>75</v>
      </c>
      <c r="TJ231" s="9" t="n">
        <v>75</v>
      </c>
      <c r="TK231" s="9" t="n">
        <v>0</v>
      </c>
      <c r="TO231" s="10" t="n">
        <v>46217</v>
      </c>
      <c r="TQ231" s="9" t="n">
        <v>75</v>
      </c>
      <c r="TS231" s="9" t="n">
        <v>75</v>
      </c>
      <c r="TT231" s="9" t="n">
        <v>22.40000000000001</v>
      </c>
      <c r="TX231" s="10" t="n">
        <v>46217</v>
      </c>
      <c r="TZ231" s="9" t="n">
        <v>75</v>
      </c>
      <c r="UB231" s="9" t="n">
        <v>75</v>
      </c>
      <c r="UC231" s="9" t="n">
        <v>46.79999999999998</v>
      </c>
      <c r="UG231" s="10" t="n">
        <v>46217</v>
      </c>
      <c r="UI231" s="9" t="n">
        <v>75</v>
      </c>
      <c r="UK231" s="9" t="n">
        <v>75</v>
      </c>
      <c r="UL231" s="9" t="n">
        <v>204</v>
      </c>
      <c r="UP231" s="10" t="n">
        <v>46217</v>
      </c>
      <c r="UR231" s="9" t="n">
        <v>0</v>
      </c>
      <c r="UT231" s="9" t="n">
        <v>0</v>
      </c>
      <c r="UU231" s="9" t="n">
        <v>242.5</v>
      </c>
      <c r="UY231" s="10" t="n">
        <v>46217</v>
      </c>
      <c r="VA231" s="9" t="n">
        <v>0</v>
      </c>
      <c r="VC231" s="9" t="n">
        <v>0</v>
      </c>
      <c r="VD231" s="9" t="n">
        <v>41.60000000000002</v>
      </c>
      <c r="VH231" s="10" t="n">
        <v>46217</v>
      </c>
      <c r="VJ231" s="9" t="n">
        <v>0</v>
      </c>
      <c r="VL231" s="9" t="n">
        <v>0</v>
      </c>
      <c r="VM231" s="9" t="n">
        <v>210</v>
      </c>
      <c r="VQ231" s="10" t="n">
        <v>46217</v>
      </c>
      <c r="VS231" s="9" t="n">
        <v>75</v>
      </c>
      <c r="VU231" s="9" t="n">
        <v>75</v>
      </c>
      <c r="VV231" s="9" t="n">
        <v>0</v>
      </c>
      <c r="VZ231" s="10" t="n">
        <v>46217</v>
      </c>
      <c r="WB231" s="9" t="n">
        <v>75</v>
      </c>
      <c r="WD231" s="9" t="n">
        <v>75</v>
      </c>
      <c r="WE231" s="9" t="n">
        <v>0</v>
      </c>
      <c r="WI231" s="10" t="n">
        <v>46217</v>
      </c>
      <c r="WK231" s="9" t="n">
        <v>75</v>
      </c>
      <c r="WM231" s="9" t="n">
        <v>75</v>
      </c>
      <c r="WN231" s="9" t="n">
        <v>1057</v>
      </c>
      <c r="WR231" s="10" t="n">
        <v>46217</v>
      </c>
      <c r="WT231" s="9" t="n">
        <v>75</v>
      </c>
      <c r="WV231" s="9" t="n">
        <v>75</v>
      </c>
      <c r="WW231" s="9" t="n">
        <v>0</v>
      </c>
      <c r="XA231" s="10" t="n">
        <v>46217</v>
      </c>
      <c r="XC231" s="9" t="n">
        <v>75</v>
      </c>
      <c r="XE231" s="9" t="n">
        <v>75</v>
      </c>
      <c r="XF231" s="9" t="n">
        <v>7507</v>
      </c>
      <c r="XJ231" s="10" t="n">
        <v>46217</v>
      </c>
      <c r="XL231" s="9" t="n">
        <v>75</v>
      </c>
      <c r="XN231" s="9" t="n">
        <v>75</v>
      </c>
      <c r="XO231" s="9" t="n">
        <v>4252</v>
      </c>
      <c r="XS231" s="10" t="n">
        <v>46217</v>
      </c>
      <c r="XU231" s="9" t="n">
        <v>75</v>
      </c>
      <c r="XW231" s="9" t="n">
        <v>75</v>
      </c>
      <c r="XX231" s="9" t="n">
        <v>2179</v>
      </c>
      <c r="YB231" s="10" t="n">
        <v>46217</v>
      </c>
      <c r="YD231" s="9" t="n">
        <v>75</v>
      </c>
      <c r="YF231" s="9" t="n">
        <v>75</v>
      </c>
      <c r="YG231" s="9" t="n">
        <v>4019</v>
      </c>
      <c r="YK231" s="10" t="n">
        <v>46217</v>
      </c>
      <c r="YM231" s="9" t="n">
        <v>75</v>
      </c>
      <c r="YO231" s="9" t="n">
        <v>75</v>
      </c>
      <c r="YP231" s="9" t="n">
        <v>0</v>
      </c>
      <c r="YT231" s="10" t="n">
        <v>46217</v>
      </c>
      <c r="YV231" s="9" t="n">
        <v>75</v>
      </c>
      <c r="YX231" s="9" t="n">
        <v>75</v>
      </c>
      <c r="YY231" s="9" t="n">
        <v>0</v>
      </c>
      <c r="ZC231" s="10" t="n">
        <v>46217</v>
      </c>
      <c r="ZE231" s="9" t="n">
        <v>75</v>
      </c>
      <c r="ZG231" s="9" t="n">
        <v>75</v>
      </c>
      <c r="ZH231" s="9" t="n">
        <v>0</v>
      </c>
      <c r="ZL231" s="10" t="n">
        <v>46217</v>
      </c>
      <c r="ZN231" s="9" t="n">
        <v>75</v>
      </c>
      <c r="ZP231" s="9" t="n">
        <v>75</v>
      </c>
      <c r="ZQ231" s="9" t="n">
        <v>0</v>
      </c>
      <c r="ZU231" s="10" t="n">
        <v>46217</v>
      </c>
      <c r="ZW231" s="9" t="n">
        <v>75</v>
      </c>
      <c r="ZY231" s="9" t="n">
        <v>75</v>
      </c>
      <c r="ZZ231" s="9" t="n">
        <v>0</v>
      </c>
      <c r="AAD231" s="10" t="n">
        <v>46217</v>
      </c>
      <c r="AAF231" s="9" t="n">
        <v>75</v>
      </c>
      <c r="AAH231" s="9" t="n">
        <v>75</v>
      </c>
      <c r="AAI231" s="9" t="n">
        <v>0</v>
      </c>
      <c r="AAM231" s="10" t="n">
        <v>46217</v>
      </c>
      <c r="AAO231" s="9" t="n">
        <v>75</v>
      </c>
      <c r="AAQ231" s="9" t="n">
        <v>75</v>
      </c>
      <c r="AAR231" s="9" t="n">
        <v>0</v>
      </c>
      <c r="AAV231" s="10" t="n">
        <v>46217</v>
      </c>
      <c r="AAX231" s="9" t="n">
        <v>75</v>
      </c>
      <c r="AAZ231" s="9" t="n">
        <v>75</v>
      </c>
      <c r="ABA231" s="9" t="n">
        <v>0</v>
      </c>
      <c r="ABE231" s="10" t="n">
        <v>46217</v>
      </c>
      <c r="ABG231" s="9" t="n">
        <v>75</v>
      </c>
      <c r="ABI231" s="9" t="n">
        <v>75</v>
      </c>
      <c r="ABJ231" s="9" t="n">
        <v>0</v>
      </c>
    </row>
    <row r="232">
      <c r="C232" s="10" t="n">
        <v>46218</v>
      </c>
      <c r="D232" s="9" t="n">
        <v>35700</v>
      </c>
      <c r="E232" s="9" t="n">
        <v>24825.5</v>
      </c>
      <c r="F232" s="9" t="n">
        <v>24884.4</v>
      </c>
      <c r="G232" s="9" t="n">
        <v>-58.90000000000146</v>
      </c>
      <c r="H232" s="9" t="n">
        <v>44335.60000000004</v>
      </c>
      <c r="L232" s="10" t="n">
        <v>46218</v>
      </c>
      <c r="M232" s="9" t="n">
        <v>12500</v>
      </c>
      <c r="N232" s="9" t="n">
        <v>13916.42</v>
      </c>
      <c r="O232" s="9" t="n">
        <v>13908</v>
      </c>
      <c r="P232" s="9" t="n">
        <v>8.420000000000073</v>
      </c>
      <c r="Q232" s="9" t="n">
        <v>-3722.999999999931</v>
      </c>
      <c r="U232" s="10" t="n">
        <v>46218</v>
      </c>
      <c r="W232" s="9" t="n">
        <v>2700</v>
      </c>
      <c r="X232" s="9" t="n">
        <v>2695.9</v>
      </c>
      <c r="Y232" s="9" t="n">
        <v>4.099999999999909</v>
      </c>
      <c r="Z232" s="9" t="n">
        <v>20300.19999999997</v>
      </c>
      <c r="AD232" s="10" t="n">
        <v>46218</v>
      </c>
      <c r="AF232" s="9" t="n">
        <v>0</v>
      </c>
      <c r="AH232" s="9" t="n">
        <v>0</v>
      </c>
      <c r="AI232" s="9" t="n">
        <v>31872.20000000002</v>
      </c>
      <c r="AM232" s="10" t="n">
        <v>46218</v>
      </c>
      <c r="AO232" s="9" t="n">
        <v>0</v>
      </c>
      <c r="AQ232" s="9" t="n">
        <v>0</v>
      </c>
      <c r="AR232" s="9" t="n">
        <v>0</v>
      </c>
      <c r="AV232" s="10" t="n">
        <v>46218</v>
      </c>
      <c r="AX232" s="9" t="n">
        <v>0</v>
      </c>
      <c r="AY232" s="9" t="n">
        <v>12000</v>
      </c>
      <c r="AZ232" s="9" t="n">
        <v>-12000</v>
      </c>
      <c r="BA232" s="9" t="n">
        <v>1046.199999999995</v>
      </c>
      <c r="BE232" s="10" t="n">
        <v>46218</v>
      </c>
      <c r="BG232" s="9" t="n">
        <v>0</v>
      </c>
      <c r="BI232" s="9" t="n">
        <v>0</v>
      </c>
      <c r="BJ232" s="9" t="n">
        <v>30896.69999999999</v>
      </c>
      <c r="BN232" s="10" t="n">
        <v>46218</v>
      </c>
      <c r="BO232" s="9" t="n">
        <v>200</v>
      </c>
      <c r="BP232" s="9" t="n">
        <v>200</v>
      </c>
      <c r="BQ232" s="9" t="n">
        <v>200</v>
      </c>
      <c r="BR232" s="9" t="n">
        <v>0</v>
      </c>
      <c r="BS232" s="9" t="n">
        <v>0</v>
      </c>
      <c r="BW232" s="10" t="n">
        <v>46218</v>
      </c>
      <c r="BY232" s="9" t="n">
        <v>364.85</v>
      </c>
      <c r="CA232" s="9" t="n">
        <v>364.85</v>
      </c>
      <c r="CB232" s="9" t="n">
        <v>7063.969999999998</v>
      </c>
      <c r="CF232" s="10" t="n">
        <v>46218</v>
      </c>
      <c r="CH232" s="9" t="n">
        <v>0</v>
      </c>
      <c r="CJ232" s="9" t="n">
        <v>0</v>
      </c>
      <c r="CK232" s="9" t="n">
        <v>-6361.189999999999</v>
      </c>
      <c r="CO232" s="10" t="n">
        <v>46218</v>
      </c>
      <c r="CQ232" s="9" t="n">
        <v>0</v>
      </c>
      <c r="CS232" s="9" t="n">
        <v>0</v>
      </c>
      <c r="CT232" s="9" t="n">
        <v>0</v>
      </c>
      <c r="CX232" s="10" t="n">
        <v>46218</v>
      </c>
      <c r="CY232" s="9" t="n">
        <v>918</v>
      </c>
      <c r="CZ232" s="9" t="n">
        <v>920</v>
      </c>
      <c r="DA232" s="9" t="n">
        <v>918</v>
      </c>
      <c r="DB232" s="9" t="n">
        <v>2</v>
      </c>
      <c r="DC232" s="9" t="n">
        <v>711.6000000000072</v>
      </c>
      <c r="DG232" s="10" t="n">
        <v>46218</v>
      </c>
      <c r="DI232" s="9" t="n">
        <v>0</v>
      </c>
      <c r="DK232" s="9" t="n">
        <v>0</v>
      </c>
      <c r="DL232" s="9" t="n">
        <v>33834.19999999998</v>
      </c>
      <c r="DP232" s="10" t="n">
        <v>46218</v>
      </c>
      <c r="DR232" s="9" t="n">
        <v>0</v>
      </c>
      <c r="DT232" s="9" t="n">
        <v>0</v>
      </c>
      <c r="DU232" s="9" t="n">
        <v>5800</v>
      </c>
      <c r="DY232" s="10" t="n">
        <v>46218</v>
      </c>
      <c r="EA232" s="9" t="n">
        <v>0</v>
      </c>
      <c r="EC232" s="9" t="n">
        <v>0</v>
      </c>
      <c r="ED232" s="9" t="n">
        <v>0</v>
      </c>
      <c r="EH232" s="10" t="n">
        <v>46218</v>
      </c>
      <c r="EJ232" s="9" t="n">
        <v>0</v>
      </c>
      <c r="EL232" s="9" t="n">
        <v>0</v>
      </c>
      <c r="EM232" s="9" t="n">
        <v>0</v>
      </c>
      <c r="EQ232" s="10" t="n">
        <v>46218</v>
      </c>
      <c r="ES232" s="9" t="n">
        <v>0</v>
      </c>
      <c r="EU232" s="9" t="n">
        <v>0</v>
      </c>
      <c r="EV232" s="9" t="n">
        <v>0</v>
      </c>
      <c r="EZ232" s="10" t="n">
        <v>46218</v>
      </c>
      <c r="FB232" s="9" t="n">
        <v>0</v>
      </c>
      <c r="FD232" s="9" t="n">
        <v>0</v>
      </c>
      <c r="FE232" s="9" t="n">
        <v>0</v>
      </c>
      <c r="FI232" s="10" t="n">
        <v>46218</v>
      </c>
      <c r="FK232" s="9" t="n">
        <v>0</v>
      </c>
      <c r="FM232" s="9" t="n">
        <v>0</v>
      </c>
      <c r="FN232" s="9" t="n">
        <v>0</v>
      </c>
      <c r="FR232" s="10" t="n">
        <v>46218</v>
      </c>
      <c r="FT232" s="9" t="n">
        <v>0</v>
      </c>
      <c r="FV232" s="9" t="n">
        <v>0</v>
      </c>
      <c r="FW232" s="9" t="n">
        <v>1160</v>
      </c>
      <c r="GA232" s="10" t="n">
        <v>46218</v>
      </c>
      <c r="GC232" s="9" t="n">
        <v>0</v>
      </c>
      <c r="GE232" s="9" t="n">
        <v>0</v>
      </c>
      <c r="GF232" s="9" t="n">
        <v>960</v>
      </c>
      <c r="GJ232" s="10" t="n">
        <v>46218</v>
      </c>
      <c r="GL232" s="9" t="n">
        <v>0</v>
      </c>
      <c r="GN232" s="9" t="n">
        <v>0</v>
      </c>
      <c r="GO232" s="9" t="n">
        <v>1760</v>
      </c>
      <c r="GS232" s="10" t="n">
        <v>46218</v>
      </c>
      <c r="GU232" s="9" t="n">
        <v>0</v>
      </c>
      <c r="GW232" s="9" t="n">
        <v>0</v>
      </c>
      <c r="GX232" s="9" t="n">
        <v>400</v>
      </c>
      <c r="HB232" s="10" t="n">
        <v>46218</v>
      </c>
      <c r="HD232" s="9" t="n">
        <v>0</v>
      </c>
      <c r="HF232" s="9" t="n">
        <v>0</v>
      </c>
      <c r="HG232" s="9" t="n">
        <v>3600</v>
      </c>
      <c r="HK232" s="10" t="n">
        <v>46218</v>
      </c>
      <c r="HM232" s="9" t="n">
        <v>0</v>
      </c>
      <c r="HO232" s="9" t="n">
        <v>0</v>
      </c>
      <c r="HP232" s="9" t="n">
        <v>0</v>
      </c>
      <c r="HU232" s="10" t="n">
        <v>46218</v>
      </c>
      <c r="HW232" s="9" t="n">
        <v>0</v>
      </c>
      <c r="HY232" s="9" t="n">
        <v>0</v>
      </c>
      <c r="HZ232" s="9" t="n">
        <v>6240</v>
      </c>
      <c r="ID232" s="10" t="n">
        <v>46218</v>
      </c>
      <c r="IF232" s="9" t="n">
        <v>0</v>
      </c>
      <c r="IH232" s="9" t="n">
        <v>0</v>
      </c>
      <c r="II232" s="9" t="n">
        <v>720</v>
      </c>
      <c r="IM232" s="10" t="n">
        <v>46218</v>
      </c>
      <c r="IO232" s="9" t="n">
        <v>0</v>
      </c>
      <c r="IQ232" s="9" t="n">
        <v>0</v>
      </c>
      <c r="IR232" s="9" t="n">
        <v>4600</v>
      </c>
      <c r="IV232" s="10" t="n">
        <v>46218</v>
      </c>
      <c r="IX232" s="9" t="n">
        <v>0</v>
      </c>
      <c r="IZ232" s="9" t="n">
        <v>0</v>
      </c>
      <c r="JA232" s="9" t="n">
        <v>4960</v>
      </c>
      <c r="JE232" s="10" t="n">
        <v>46218</v>
      </c>
      <c r="JG232" s="9" t="n">
        <v>0</v>
      </c>
      <c r="JI232" s="9" t="n">
        <v>0</v>
      </c>
      <c r="JJ232" s="9" t="n">
        <v>0</v>
      </c>
      <c r="JN232" s="10" t="n">
        <v>46218</v>
      </c>
      <c r="JP232" s="9" t="n">
        <v>0</v>
      </c>
      <c r="JR232" s="9" t="n">
        <v>0</v>
      </c>
      <c r="JS232" s="9" t="n">
        <v>0</v>
      </c>
      <c r="JW232" s="10" t="n">
        <v>46218</v>
      </c>
      <c r="JY232" s="9" t="n">
        <v>0</v>
      </c>
      <c r="KA232" s="9" t="n">
        <v>0</v>
      </c>
      <c r="KB232" s="9" t="n">
        <v>2540</v>
      </c>
      <c r="KF232" s="10" t="n">
        <v>46218</v>
      </c>
      <c r="KH232" s="9" t="n">
        <v>0</v>
      </c>
      <c r="KJ232" s="9" t="n">
        <v>0</v>
      </c>
      <c r="KK232" s="9" t="n">
        <v>2359.5</v>
      </c>
      <c r="KO232" s="10" t="n">
        <v>46218</v>
      </c>
      <c r="KQ232" s="9" t="n">
        <v>0</v>
      </c>
      <c r="KS232" s="9" t="n">
        <v>0</v>
      </c>
      <c r="KT232" s="9" t="n">
        <v>1890</v>
      </c>
      <c r="KX232" s="10" t="n">
        <v>46218</v>
      </c>
      <c r="KZ232" s="9" t="n">
        <v>0</v>
      </c>
      <c r="LB232" s="9" t="n">
        <v>0</v>
      </c>
      <c r="LC232" s="9" t="n">
        <v>3690</v>
      </c>
      <c r="LG232" s="10" t="n">
        <v>46218</v>
      </c>
      <c r="LI232" s="9" t="n">
        <v>0</v>
      </c>
      <c r="LK232" s="9" t="n">
        <v>0</v>
      </c>
      <c r="LL232" s="9" t="n">
        <v>4000</v>
      </c>
      <c r="LP232" s="10" t="n">
        <v>46218</v>
      </c>
      <c r="LR232" s="9" t="n">
        <v>0</v>
      </c>
      <c r="LT232" s="9" t="n">
        <v>0</v>
      </c>
      <c r="LU232" s="9" t="n">
        <v>0</v>
      </c>
      <c r="LY232" s="10" t="n">
        <v>46218</v>
      </c>
      <c r="MA232" s="9" t="n">
        <v>0</v>
      </c>
      <c r="MC232" s="9" t="n">
        <v>0</v>
      </c>
      <c r="MD232" s="9" t="n">
        <v>0</v>
      </c>
      <c r="MH232" s="10" t="n">
        <v>46218</v>
      </c>
      <c r="MJ232" s="9" t="n">
        <v>0</v>
      </c>
      <c r="ML232" s="9" t="n">
        <v>0</v>
      </c>
      <c r="MM232" s="9" t="n">
        <v>0</v>
      </c>
      <c r="MQ232" s="10" t="n">
        <v>46218</v>
      </c>
      <c r="MS232" s="9" t="n">
        <v>0</v>
      </c>
      <c r="MU232" s="9" t="n">
        <v>0</v>
      </c>
      <c r="MV232" s="9" t="n">
        <v>2732</v>
      </c>
      <c r="MZ232" s="10" t="n">
        <v>46218</v>
      </c>
      <c r="NB232" s="9" t="n">
        <v>0</v>
      </c>
      <c r="ND232" s="9" t="n">
        <v>0</v>
      </c>
      <c r="NE232" s="9" t="n">
        <v>0</v>
      </c>
      <c r="NI232" s="10" t="n">
        <v>46218</v>
      </c>
      <c r="NK232" s="9" t="n">
        <v>0</v>
      </c>
      <c r="NM232" s="9" t="n">
        <v>0</v>
      </c>
      <c r="NN232" s="9" t="n">
        <v>1127</v>
      </c>
      <c r="NR232" s="10" t="n">
        <v>46218</v>
      </c>
      <c r="NT232" s="9" t="n">
        <v>0</v>
      </c>
      <c r="NV232" s="9" t="n">
        <v>0</v>
      </c>
      <c r="NW232" s="9" t="n">
        <v>3112</v>
      </c>
      <c r="OA232" s="10" t="n">
        <v>46218</v>
      </c>
      <c r="OC232" s="9" t="n">
        <v>0</v>
      </c>
      <c r="OE232" s="9" t="n">
        <v>0</v>
      </c>
      <c r="OF232" s="9" t="n">
        <v>1680.5</v>
      </c>
      <c r="OJ232" s="10" t="n">
        <v>46218</v>
      </c>
      <c r="OL232" s="9" t="n">
        <v>0</v>
      </c>
      <c r="ON232" s="9" t="n">
        <v>0</v>
      </c>
      <c r="OO232" s="9" t="n">
        <v>0</v>
      </c>
      <c r="OS232" s="10" t="n">
        <v>46218</v>
      </c>
      <c r="OU232" s="9" t="n">
        <v>0</v>
      </c>
      <c r="OW232" s="9" t="n">
        <v>0</v>
      </c>
      <c r="OX232" s="9" t="n">
        <v>1482</v>
      </c>
      <c r="PB232" s="10" t="n">
        <v>46218</v>
      </c>
      <c r="PD232" s="9" t="n">
        <v>0</v>
      </c>
      <c r="PF232" s="9" t="n">
        <v>0</v>
      </c>
      <c r="PG232" s="9" t="n">
        <v>0</v>
      </c>
      <c r="PK232" s="10" t="n">
        <v>46218</v>
      </c>
      <c r="PM232" s="9" t="n">
        <v>0</v>
      </c>
      <c r="PO232" s="9" t="n">
        <v>0</v>
      </c>
      <c r="PP232" s="9" t="n">
        <v>100</v>
      </c>
      <c r="PT232" s="10" t="n">
        <v>46218</v>
      </c>
      <c r="PV232" s="9" t="n">
        <v>0</v>
      </c>
      <c r="PX232" s="9" t="n">
        <v>0</v>
      </c>
      <c r="PY232" s="9" t="n">
        <v>13.96000000000004</v>
      </c>
      <c r="QC232" s="10" t="n">
        <v>46218</v>
      </c>
      <c r="QE232" s="9" t="n">
        <v>0</v>
      </c>
      <c r="QG232" s="9" t="n">
        <v>0</v>
      </c>
      <c r="QH232" s="9" t="n">
        <v>1736</v>
      </c>
      <c r="QL232" s="10" t="n">
        <v>46218</v>
      </c>
      <c r="QN232" s="9" t="n">
        <v>0</v>
      </c>
      <c r="QP232" s="9" t="n">
        <v>0</v>
      </c>
      <c r="QQ232" s="9" t="n">
        <v>10</v>
      </c>
      <c r="QU232" s="10" t="n">
        <v>46218</v>
      </c>
      <c r="QW232" s="9" t="n">
        <v>0</v>
      </c>
      <c r="QY232" s="9" t="n">
        <v>0</v>
      </c>
      <c r="QZ232" s="9" t="n">
        <v>207.6</v>
      </c>
      <c r="RD232" s="10" t="n">
        <v>46218</v>
      </c>
      <c r="RF232" s="9" t="n">
        <v>0</v>
      </c>
      <c r="RH232" s="9" t="n">
        <v>0</v>
      </c>
      <c r="RI232" s="9" t="n">
        <v>147.04</v>
      </c>
      <c r="RM232" s="10" t="n">
        <v>46218</v>
      </c>
      <c r="RO232" s="9" t="n">
        <v>0</v>
      </c>
      <c r="RQ232" s="9" t="n">
        <v>0</v>
      </c>
      <c r="RR232" s="9" t="n">
        <v>46.8</v>
      </c>
      <c r="RV232" s="10" t="n">
        <v>46218</v>
      </c>
      <c r="RX232" s="9" t="n">
        <v>0</v>
      </c>
      <c r="RZ232" s="9" t="n">
        <v>0</v>
      </c>
      <c r="SA232" s="9" t="n">
        <v>0</v>
      </c>
      <c r="SE232" s="10" t="n">
        <v>46218</v>
      </c>
      <c r="SG232" s="9" t="n">
        <v>0</v>
      </c>
      <c r="SI232" s="9" t="n">
        <v>0</v>
      </c>
      <c r="SJ232" s="9" t="n">
        <v>24.2</v>
      </c>
      <c r="SN232" s="10" t="n">
        <v>46218</v>
      </c>
      <c r="SP232" s="9" t="n">
        <v>0</v>
      </c>
      <c r="SR232" s="9" t="n">
        <v>0</v>
      </c>
      <c r="SS232" s="9" t="n">
        <v>32</v>
      </c>
      <c r="SW232" s="10" t="n">
        <v>46218</v>
      </c>
      <c r="SY232" s="9" t="n">
        <v>0</v>
      </c>
      <c r="TA232" s="9" t="n">
        <v>0</v>
      </c>
      <c r="TB232" s="9" t="n">
        <v>0</v>
      </c>
      <c r="TF232" s="10" t="n">
        <v>46218</v>
      </c>
      <c r="TH232" s="9" t="n">
        <v>0</v>
      </c>
      <c r="TJ232" s="9" t="n">
        <v>0</v>
      </c>
      <c r="TK232" s="9" t="n">
        <v>0</v>
      </c>
      <c r="TO232" s="10" t="n">
        <v>46218</v>
      </c>
      <c r="TQ232" s="9" t="n">
        <v>0</v>
      </c>
      <c r="TS232" s="9" t="n">
        <v>0</v>
      </c>
      <c r="TT232" s="9" t="n">
        <v>22.40000000000001</v>
      </c>
      <c r="TX232" s="10" t="n">
        <v>46218</v>
      </c>
      <c r="TZ232" s="9" t="n">
        <v>0</v>
      </c>
      <c r="UB232" s="9" t="n">
        <v>0</v>
      </c>
      <c r="UC232" s="9" t="n">
        <v>46.79999999999998</v>
      </c>
      <c r="UG232" s="10" t="n">
        <v>46218</v>
      </c>
      <c r="UI232" s="9" t="n">
        <v>0</v>
      </c>
      <c r="UK232" s="9" t="n">
        <v>0</v>
      </c>
      <c r="UL232" s="9" t="n">
        <v>204</v>
      </c>
      <c r="UP232" s="10" t="n">
        <v>46218</v>
      </c>
      <c r="UR232" s="9" t="n">
        <v>0</v>
      </c>
      <c r="UT232" s="9" t="n">
        <v>0</v>
      </c>
      <c r="UU232" s="9" t="n">
        <v>242.5</v>
      </c>
      <c r="UY232" s="10" t="n">
        <v>46218</v>
      </c>
      <c r="VA232" s="9" t="n">
        <v>0</v>
      </c>
      <c r="VC232" s="9" t="n">
        <v>0</v>
      </c>
      <c r="VD232" s="9" t="n">
        <v>41.60000000000002</v>
      </c>
      <c r="VH232" s="10" t="n">
        <v>46218</v>
      </c>
      <c r="VJ232" s="9" t="n">
        <v>0</v>
      </c>
      <c r="VL232" s="9" t="n">
        <v>0</v>
      </c>
      <c r="VM232" s="9" t="n">
        <v>210</v>
      </c>
      <c r="VQ232" s="10" t="n">
        <v>46218</v>
      </c>
      <c r="VS232" s="9" t="n">
        <v>0</v>
      </c>
      <c r="VU232" s="9" t="n">
        <v>0</v>
      </c>
      <c r="VV232" s="9" t="n">
        <v>0</v>
      </c>
      <c r="VZ232" s="10" t="n">
        <v>46218</v>
      </c>
      <c r="WB232" s="9" t="n">
        <v>0</v>
      </c>
      <c r="WD232" s="9" t="n">
        <v>0</v>
      </c>
      <c r="WE232" s="9" t="n">
        <v>0</v>
      </c>
      <c r="WI232" s="10" t="n">
        <v>46218</v>
      </c>
      <c r="WK232" s="9" t="n">
        <v>0</v>
      </c>
      <c r="WM232" s="9" t="n">
        <v>0</v>
      </c>
      <c r="WN232" s="9" t="n">
        <v>1057</v>
      </c>
      <c r="WR232" s="10" t="n">
        <v>46218</v>
      </c>
      <c r="WT232" s="9" t="n">
        <v>0</v>
      </c>
      <c r="WV232" s="9" t="n">
        <v>0</v>
      </c>
      <c r="WW232" s="9" t="n">
        <v>0</v>
      </c>
      <c r="XA232" s="10" t="n">
        <v>46218</v>
      </c>
      <c r="XC232" s="9" t="n">
        <v>0</v>
      </c>
      <c r="XE232" s="9" t="n">
        <v>0</v>
      </c>
      <c r="XF232" s="9" t="n">
        <v>7507</v>
      </c>
      <c r="XJ232" s="10" t="n">
        <v>46218</v>
      </c>
      <c r="XL232" s="9" t="n">
        <v>0</v>
      </c>
      <c r="XN232" s="9" t="n">
        <v>0</v>
      </c>
      <c r="XO232" s="9" t="n">
        <v>4252</v>
      </c>
      <c r="XS232" s="10" t="n">
        <v>46218</v>
      </c>
      <c r="XU232" s="9" t="n">
        <v>0</v>
      </c>
      <c r="XW232" s="9" t="n">
        <v>0</v>
      </c>
      <c r="XX232" s="9" t="n">
        <v>2179</v>
      </c>
      <c r="YB232" s="10" t="n">
        <v>46218</v>
      </c>
      <c r="YD232" s="9" t="n">
        <v>0</v>
      </c>
      <c r="YF232" s="9" t="n">
        <v>0</v>
      </c>
      <c r="YG232" s="9" t="n">
        <v>4019</v>
      </c>
      <c r="YK232" s="10" t="n">
        <v>46218</v>
      </c>
      <c r="YM232" s="9" t="n">
        <v>0</v>
      </c>
      <c r="YO232" s="9" t="n">
        <v>0</v>
      </c>
      <c r="YP232" s="9" t="n">
        <v>0</v>
      </c>
      <c r="YT232" s="10" t="n">
        <v>46218</v>
      </c>
      <c r="YV232" s="9" t="n">
        <v>0</v>
      </c>
      <c r="YX232" s="9" t="n">
        <v>0</v>
      </c>
      <c r="YY232" s="9" t="n">
        <v>0</v>
      </c>
      <c r="ZC232" s="10" t="n">
        <v>46218</v>
      </c>
      <c r="ZE232" s="9" t="n">
        <v>0</v>
      </c>
      <c r="ZG232" s="9" t="n">
        <v>0</v>
      </c>
      <c r="ZH232" s="9" t="n">
        <v>0</v>
      </c>
      <c r="ZL232" s="10" t="n">
        <v>46218</v>
      </c>
      <c r="ZN232" s="9" t="n">
        <v>0</v>
      </c>
      <c r="ZP232" s="9" t="n">
        <v>0</v>
      </c>
      <c r="ZQ232" s="9" t="n">
        <v>0</v>
      </c>
      <c r="ZU232" s="10" t="n">
        <v>46218</v>
      </c>
      <c r="ZW232" s="9" t="n">
        <v>0</v>
      </c>
      <c r="ZY232" s="9" t="n">
        <v>0</v>
      </c>
      <c r="ZZ232" s="9" t="n">
        <v>0</v>
      </c>
      <c r="AAD232" s="10" t="n">
        <v>46218</v>
      </c>
      <c r="AAF232" s="9" t="n">
        <v>0</v>
      </c>
      <c r="AAH232" s="9" t="n">
        <v>0</v>
      </c>
      <c r="AAI232" s="9" t="n">
        <v>0</v>
      </c>
      <c r="AAM232" s="10" t="n">
        <v>46218</v>
      </c>
      <c r="AAO232" s="9" t="n">
        <v>0</v>
      </c>
      <c r="AAQ232" s="9" t="n">
        <v>0</v>
      </c>
      <c r="AAR232" s="9" t="n">
        <v>0</v>
      </c>
      <c r="AAV232" s="10" t="n">
        <v>46218</v>
      </c>
      <c r="AAX232" s="9" t="n">
        <v>0</v>
      </c>
      <c r="AAZ232" s="9" t="n">
        <v>0</v>
      </c>
      <c r="ABA232" s="9" t="n">
        <v>0</v>
      </c>
      <c r="ABE232" s="10" t="n">
        <v>46218</v>
      </c>
      <c r="ABG232" s="9" t="n">
        <v>0</v>
      </c>
      <c r="ABI232" s="9" t="n">
        <v>0</v>
      </c>
      <c r="ABJ232" s="9" t="n">
        <v>0</v>
      </c>
    </row>
    <row r="233">
      <c r="C233" s="10" t="n">
        <v>46219</v>
      </c>
      <c r="D233" s="9" t="n">
        <v>66850</v>
      </c>
      <c r="E233" s="9" t="n">
        <v>8926.079999999998</v>
      </c>
      <c r="F233" s="9" t="n">
        <v>45329.2</v>
      </c>
      <c r="G233" s="9" t="n">
        <v>-36403.12</v>
      </c>
      <c r="H233" s="9" t="n">
        <v>65856.40000000004</v>
      </c>
      <c r="L233" s="10" t="n">
        <v>46219</v>
      </c>
      <c r="M233" s="9" t="n">
        <v>25150</v>
      </c>
      <c r="N233" s="9" t="n">
        <v>5075.2</v>
      </c>
      <c r="O233" s="9" t="n">
        <v>18017.6</v>
      </c>
      <c r="P233" s="9" t="n">
        <v>-12942.4</v>
      </c>
      <c r="Q233" s="9" t="n">
        <v>3409.400000000071</v>
      </c>
      <c r="U233" s="10" t="n">
        <v>46219</v>
      </c>
      <c r="W233" s="9" t="n">
        <v>800</v>
      </c>
      <c r="X233" s="9" t="n">
        <v>5001.9</v>
      </c>
      <c r="Y233" s="9" t="n">
        <v>-4201.9</v>
      </c>
      <c r="Z233" s="9" t="n">
        <v>15298.29999999997</v>
      </c>
      <c r="AD233" s="10" t="n">
        <v>46219</v>
      </c>
      <c r="AF233" s="9" t="n">
        <v>0</v>
      </c>
      <c r="AH233" s="9" t="n">
        <v>0</v>
      </c>
      <c r="AI233" s="9" t="n">
        <v>31872.20000000002</v>
      </c>
      <c r="AM233" s="10" t="n">
        <v>46219</v>
      </c>
      <c r="AO233" s="9" t="n">
        <v>0</v>
      </c>
      <c r="AQ233" s="9" t="n">
        <v>0</v>
      </c>
      <c r="AR233" s="9" t="n">
        <v>0</v>
      </c>
      <c r="AV233" s="10" t="n">
        <v>46219</v>
      </c>
      <c r="AX233" s="9" t="n">
        <v>0</v>
      </c>
      <c r="AZ233" s="9" t="n">
        <v>0</v>
      </c>
      <c r="BA233" s="9" t="n">
        <v>1046.199999999995</v>
      </c>
      <c r="BE233" s="10" t="n">
        <v>46219</v>
      </c>
      <c r="BG233" s="9" t="n">
        <v>312</v>
      </c>
      <c r="BH233" s="9" t="n">
        <v>909.3</v>
      </c>
      <c r="BI233" s="9" t="n">
        <v>-597.3</v>
      </c>
      <c r="BJ233" s="9" t="n">
        <v>29987.39999999999</v>
      </c>
      <c r="BN233" s="10" t="n">
        <v>46219</v>
      </c>
      <c r="BO233" s="9" t="n">
        <v>976.3</v>
      </c>
      <c r="BP233" s="9" t="n">
        <v>376</v>
      </c>
      <c r="BQ233" s="9" t="n">
        <v>976.3</v>
      </c>
      <c r="BR233" s="9" t="n">
        <v>-600.3</v>
      </c>
      <c r="BS233" s="9" t="n">
        <v>0</v>
      </c>
      <c r="BW233" s="10" t="n">
        <v>46219</v>
      </c>
      <c r="BY233" s="9" t="n">
        <v>0</v>
      </c>
      <c r="BZ233" s="9" t="n">
        <v>87.94</v>
      </c>
      <c r="CA233" s="9" t="n">
        <v>-87.94</v>
      </c>
      <c r="CB233" s="9" t="n">
        <v>6976.029999999999</v>
      </c>
      <c r="CF233" s="10" t="n">
        <v>46219</v>
      </c>
      <c r="CH233" s="9" t="n">
        <v>102.72</v>
      </c>
      <c r="CI233" s="9" t="n">
        <v>163.04</v>
      </c>
      <c r="CJ233" s="9" t="n">
        <v>-60.31999999999999</v>
      </c>
      <c r="CK233" s="9" t="n">
        <v>-6524.229999999999</v>
      </c>
      <c r="CO233" s="10" t="n">
        <v>46219</v>
      </c>
      <c r="CQ233" s="9" t="n">
        <v>0</v>
      </c>
      <c r="CS233" s="9" t="n">
        <v>0</v>
      </c>
      <c r="CT233" s="9" t="n">
        <v>0</v>
      </c>
      <c r="CX233" s="10" t="n">
        <v>46219</v>
      </c>
      <c r="CY233" s="9" t="n">
        <v>1203.6</v>
      </c>
      <c r="CZ233" s="9" t="n">
        <v>0</v>
      </c>
      <c r="DA233" s="9" t="n">
        <v>1203.6</v>
      </c>
      <c r="DB233" s="9" t="n">
        <v>-1203.6</v>
      </c>
      <c r="DC233" s="9" t="n">
        <v>711.6000000000072</v>
      </c>
      <c r="DG233" s="10" t="n">
        <v>46219</v>
      </c>
      <c r="DI233" s="9" t="n">
        <v>0</v>
      </c>
      <c r="DK233" s="9" t="n">
        <v>0</v>
      </c>
      <c r="DL233" s="9" t="n">
        <v>33834.19999999998</v>
      </c>
      <c r="DP233" s="10" t="n">
        <v>46219</v>
      </c>
      <c r="DR233" s="9" t="n">
        <v>0</v>
      </c>
      <c r="DT233" s="9" t="n">
        <v>0</v>
      </c>
      <c r="DU233" s="9" t="n">
        <v>5800</v>
      </c>
      <c r="DY233" s="10" t="n">
        <v>46219</v>
      </c>
      <c r="EA233" s="9" t="n">
        <v>0</v>
      </c>
      <c r="EC233" s="9" t="n">
        <v>0</v>
      </c>
      <c r="ED233" s="9" t="n">
        <v>0</v>
      </c>
      <c r="EH233" s="10" t="n">
        <v>46219</v>
      </c>
      <c r="EJ233" s="9" t="n">
        <v>0</v>
      </c>
      <c r="EL233" s="9" t="n">
        <v>0</v>
      </c>
      <c r="EM233" s="9" t="n">
        <v>0</v>
      </c>
      <c r="EQ233" s="10" t="n">
        <v>46219</v>
      </c>
      <c r="ES233" s="9" t="n">
        <v>0</v>
      </c>
      <c r="EU233" s="9" t="n">
        <v>0</v>
      </c>
      <c r="EV233" s="9" t="n">
        <v>0</v>
      </c>
      <c r="EZ233" s="10" t="n">
        <v>46219</v>
      </c>
      <c r="FB233" s="9" t="n">
        <v>0</v>
      </c>
      <c r="FD233" s="9" t="n">
        <v>0</v>
      </c>
      <c r="FE233" s="9" t="n">
        <v>0</v>
      </c>
      <c r="FI233" s="10" t="n">
        <v>46219</v>
      </c>
      <c r="FK233" s="9" t="n">
        <v>0</v>
      </c>
      <c r="FM233" s="9" t="n">
        <v>0</v>
      </c>
      <c r="FN233" s="9" t="n">
        <v>0</v>
      </c>
      <c r="FR233" s="10" t="n">
        <v>46219</v>
      </c>
      <c r="FT233" s="9" t="n">
        <v>0</v>
      </c>
      <c r="FV233" s="9" t="n">
        <v>0</v>
      </c>
      <c r="FW233" s="9" t="n">
        <v>1160</v>
      </c>
      <c r="GA233" s="10" t="n">
        <v>46219</v>
      </c>
      <c r="GC233" s="9" t="n">
        <v>0</v>
      </c>
      <c r="GE233" s="9" t="n">
        <v>0</v>
      </c>
      <c r="GF233" s="9" t="n">
        <v>960</v>
      </c>
      <c r="GJ233" s="10" t="n">
        <v>46219</v>
      </c>
      <c r="GL233" s="9" t="n">
        <v>0</v>
      </c>
      <c r="GN233" s="9" t="n">
        <v>0</v>
      </c>
      <c r="GO233" s="9" t="n">
        <v>1760</v>
      </c>
      <c r="GS233" s="10" t="n">
        <v>46219</v>
      </c>
      <c r="GU233" s="9" t="n">
        <v>0</v>
      </c>
      <c r="GW233" s="9" t="n">
        <v>0</v>
      </c>
      <c r="GX233" s="9" t="n">
        <v>400</v>
      </c>
      <c r="HB233" s="10" t="n">
        <v>46219</v>
      </c>
      <c r="HD233" s="9" t="n">
        <v>0</v>
      </c>
      <c r="HF233" s="9" t="n">
        <v>0</v>
      </c>
      <c r="HG233" s="9" t="n">
        <v>3600</v>
      </c>
      <c r="HK233" s="10" t="n">
        <v>46219</v>
      </c>
      <c r="HM233" s="9" t="n">
        <v>0</v>
      </c>
      <c r="HO233" s="9" t="n">
        <v>0</v>
      </c>
      <c r="HP233" s="9" t="n">
        <v>0</v>
      </c>
      <c r="HU233" s="10" t="n">
        <v>46219</v>
      </c>
      <c r="HW233" s="9" t="n">
        <v>0</v>
      </c>
      <c r="HY233" s="9" t="n">
        <v>0</v>
      </c>
      <c r="HZ233" s="9" t="n">
        <v>6240</v>
      </c>
      <c r="ID233" s="10" t="n">
        <v>46219</v>
      </c>
      <c r="IF233" s="9" t="n">
        <v>0</v>
      </c>
      <c r="IH233" s="9" t="n">
        <v>0</v>
      </c>
      <c r="II233" s="9" t="n">
        <v>720</v>
      </c>
      <c r="IM233" s="10" t="n">
        <v>46219</v>
      </c>
      <c r="IO233" s="9" t="n">
        <v>0</v>
      </c>
      <c r="IQ233" s="9" t="n">
        <v>0</v>
      </c>
      <c r="IR233" s="9" t="n">
        <v>4600</v>
      </c>
      <c r="IV233" s="10" t="n">
        <v>46219</v>
      </c>
      <c r="IX233" s="9" t="n">
        <v>0</v>
      </c>
      <c r="IZ233" s="9" t="n">
        <v>0</v>
      </c>
      <c r="JA233" s="9" t="n">
        <v>4960</v>
      </c>
      <c r="JE233" s="10" t="n">
        <v>46219</v>
      </c>
      <c r="JG233" s="9" t="n">
        <v>0</v>
      </c>
      <c r="JI233" s="9" t="n">
        <v>0</v>
      </c>
      <c r="JJ233" s="9" t="n">
        <v>0</v>
      </c>
      <c r="JN233" s="10" t="n">
        <v>46219</v>
      </c>
      <c r="JP233" s="9" t="n">
        <v>320</v>
      </c>
      <c r="JR233" s="9" t="n">
        <v>320</v>
      </c>
      <c r="JS233" s="9" t="n">
        <v>0</v>
      </c>
      <c r="JW233" s="10" t="n">
        <v>46219</v>
      </c>
      <c r="JY233" s="9" t="n">
        <v>0</v>
      </c>
      <c r="KA233" s="9" t="n">
        <v>0</v>
      </c>
      <c r="KB233" s="9" t="n">
        <v>2540</v>
      </c>
      <c r="KF233" s="10" t="n">
        <v>46219</v>
      </c>
      <c r="KH233" s="9" t="n">
        <v>0</v>
      </c>
      <c r="KJ233" s="9" t="n">
        <v>0</v>
      </c>
      <c r="KK233" s="9" t="n">
        <v>2359.5</v>
      </c>
      <c r="KO233" s="10" t="n">
        <v>46219</v>
      </c>
      <c r="KQ233" s="9" t="n">
        <v>0</v>
      </c>
      <c r="KS233" s="9" t="n">
        <v>0</v>
      </c>
      <c r="KT233" s="9" t="n">
        <v>1890</v>
      </c>
      <c r="KX233" s="10" t="n">
        <v>46219</v>
      </c>
      <c r="KZ233" s="9" t="n">
        <v>0</v>
      </c>
      <c r="LB233" s="9" t="n">
        <v>0</v>
      </c>
      <c r="LC233" s="9" t="n">
        <v>3690</v>
      </c>
      <c r="LG233" s="10" t="n">
        <v>46219</v>
      </c>
      <c r="LI233" s="9" t="n">
        <v>0</v>
      </c>
      <c r="LK233" s="9" t="n">
        <v>0</v>
      </c>
      <c r="LL233" s="9" t="n">
        <v>4000</v>
      </c>
      <c r="LP233" s="10" t="n">
        <v>46219</v>
      </c>
      <c r="LR233" s="9" t="n">
        <v>0</v>
      </c>
      <c r="LT233" s="9" t="n">
        <v>0</v>
      </c>
      <c r="LU233" s="9" t="n">
        <v>0</v>
      </c>
      <c r="LY233" s="10" t="n">
        <v>46219</v>
      </c>
      <c r="MA233" s="9" t="n">
        <v>0</v>
      </c>
      <c r="MC233" s="9" t="n">
        <v>0</v>
      </c>
      <c r="MD233" s="9" t="n">
        <v>0</v>
      </c>
      <c r="MH233" s="10" t="n">
        <v>46219</v>
      </c>
      <c r="MJ233" s="9" t="n">
        <v>0</v>
      </c>
      <c r="ML233" s="9" t="n">
        <v>0</v>
      </c>
      <c r="MM233" s="9" t="n">
        <v>0</v>
      </c>
      <c r="MQ233" s="10" t="n">
        <v>46219</v>
      </c>
      <c r="MS233" s="9" t="n">
        <v>0</v>
      </c>
      <c r="MT233" s="9" t="n">
        <v>20</v>
      </c>
      <c r="MU233" s="9" t="n">
        <v>-20</v>
      </c>
      <c r="MV233" s="9" t="n">
        <v>2712</v>
      </c>
      <c r="MZ233" s="10" t="n">
        <v>46219</v>
      </c>
      <c r="NA233" s="9" t="n">
        <v>240</v>
      </c>
      <c r="NB233" s="9" t="n">
        <v>48</v>
      </c>
      <c r="NC233" s="9" t="n">
        <v>240</v>
      </c>
      <c r="ND233" s="9" t="n">
        <v>-192</v>
      </c>
      <c r="NE233" s="9" t="n">
        <v>0</v>
      </c>
      <c r="NI233" s="10" t="n">
        <v>46219</v>
      </c>
      <c r="NK233" s="9" t="n">
        <v>0</v>
      </c>
      <c r="NM233" s="9" t="n">
        <v>0</v>
      </c>
      <c r="NN233" s="9" t="n">
        <v>1127</v>
      </c>
      <c r="NR233" s="10" t="n">
        <v>46219</v>
      </c>
      <c r="NT233" s="9" t="n">
        <v>0</v>
      </c>
      <c r="NV233" s="9" t="n">
        <v>0</v>
      </c>
      <c r="NW233" s="9" t="n">
        <v>3112</v>
      </c>
      <c r="OA233" s="10" t="n">
        <v>46219</v>
      </c>
      <c r="OC233" s="9" t="n">
        <v>0</v>
      </c>
      <c r="OE233" s="9" t="n">
        <v>0</v>
      </c>
      <c r="OF233" s="9" t="n">
        <v>1680.5</v>
      </c>
      <c r="OJ233" s="10" t="n">
        <v>46219</v>
      </c>
      <c r="OK233" s="9" t="n">
        <v>38</v>
      </c>
      <c r="OL233" s="9" t="n">
        <v>0</v>
      </c>
      <c r="OM233" s="9" t="n">
        <v>38</v>
      </c>
      <c r="ON233" s="9" t="n">
        <v>-38</v>
      </c>
      <c r="OO233" s="9" t="n">
        <v>0</v>
      </c>
      <c r="OS233" s="10" t="n">
        <v>46219</v>
      </c>
      <c r="OU233" s="9" t="n">
        <v>0</v>
      </c>
      <c r="OW233" s="9" t="n">
        <v>0</v>
      </c>
      <c r="OX233" s="9" t="n">
        <v>1482</v>
      </c>
      <c r="PB233" s="10" t="n">
        <v>46219</v>
      </c>
      <c r="PD233" s="9" t="n">
        <v>0</v>
      </c>
      <c r="PF233" s="9" t="n">
        <v>0</v>
      </c>
      <c r="PG233" s="9" t="n">
        <v>0</v>
      </c>
      <c r="PK233" s="10" t="n">
        <v>46219</v>
      </c>
      <c r="PM233" s="9" t="n">
        <v>0</v>
      </c>
      <c r="PO233" s="9" t="n">
        <v>0</v>
      </c>
      <c r="PP233" s="9" t="n">
        <v>100</v>
      </c>
      <c r="PT233" s="10" t="n">
        <v>46219</v>
      </c>
      <c r="PV233" s="9" t="n">
        <v>0</v>
      </c>
      <c r="PX233" s="9" t="n">
        <v>0</v>
      </c>
      <c r="PY233" s="9" t="n">
        <v>13.96000000000004</v>
      </c>
      <c r="QC233" s="10" t="n">
        <v>46219</v>
      </c>
      <c r="QE233" s="9" t="n">
        <v>0</v>
      </c>
      <c r="QG233" s="9" t="n">
        <v>0</v>
      </c>
      <c r="QH233" s="9" t="n">
        <v>1736</v>
      </c>
      <c r="QL233" s="10" t="n">
        <v>46219</v>
      </c>
      <c r="QN233" s="9" t="n">
        <v>40</v>
      </c>
      <c r="QP233" s="9" t="n">
        <v>40</v>
      </c>
      <c r="QQ233" s="9" t="n">
        <v>10</v>
      </c>
      <c r="QU233" s="10" t="n">
        <v>46219</v>
      </c>
      <c r="QW233" s="9" t="n">
        <v>0</v>
      </c>
      <c r="QY233" s="9" t="n">
        <v>0</v>
      </c>
      <c r="QZ233" s="9" t="n">
        <v>207.6</v>
      </c>
      <c r="RD233" s="10" t="n">
        <v>46219</v>
      </c>
      <c r="RF233" s="9" t="n">
        <v>0</v>
      </c>
      <c r="RH233" s="9" t="n">
        <v>0</v>
      </c>
      <c r="RI233" s="9" t="n">
        <v>147.04</v>
      </c>
      <c r="RM233" s="10" t="n">
        <v>46219</v>
      </c>
      <c r="RO233" s="9" t="n">
        <v>0</v>
      </c>
      <c r="RQ233" s="9" t="n">
        <v>0</v>
      </c>
      <c r="RR233" s="9" t="n">
        <v>46.8</v>
      </c>
      <c r="RV233" s="10" t="n">
        <v>46219</v>
      </c>
      <c r="RX233" s="9" t="n">
        <v>0</v>
      </c>
      <c r="RZ233" s="9" t="n">
        <v>0</v>
      </c>
      <c r="SA233" s="9" t="n">
        <v>0</v>
      </c>
      <c r="SE233" s="10" t="n">
        <v>46219</v>
      </c>
      <c r="SG233" s="9" t="n">
        <v>0</v>
      </c>
      <c r="SI233" s="9" t="n">
        <v>0</v>
      </c>
      <c r="SJ233" s="9" t="n">
        <v>24.2</v>
      </c>
      <c r="SN233" s="10" t="n">
        <v>46219</v>
      </c>
      <c r="SP233" s="9" t="n">
        <v>0</v>
      </c>
      <c r="SR233" s="9" t="n">
        <v>0</v>
      </c>
      <c r="SS233" s="9" t="n">
        <v>32</v>
      </c>
      <c r="SW233" s="10" t="n">
        <v>46219</v>
      </c>
      <c r="SY233" s="9" t="n">
        <v>0</v>
      </c>
      <c r="TA233" s="9" t="n">
        <v>0</v>
      </c>
      <c r="TB233" s="9" t="n">
        <v>0</v>
      </c>
      <c r="TF233" s="10" t="n">
        <v>46219</v>
      </c>
      <c r="TH233" s="9" t="n">
        <v>40</v>
      </c>
      <c r="TJ233" s="9" t="n">
        <v>40</v>
      </c>
      <c r="TK233" s="9" t="n">
        <v>0</v>
      </c>
      <c r="TO233" s="10" t="n">
        <v>46219</v>
      </c>
      <c r="TQ233" s="9" t="n">
        <v>40</v>
      </c>
      <c r="TS233" s="9" t="n">
        <v>40</v>
      </c>
      <c r="TT233" s="9" t="n">
        <v>22.40000000000001</v>
      </c>
      <c r="TX233" s="10" t="n">
        <v>46219</v>
      </c>
      <c r="TZ233" s="9" t="n">
        <v>40</v>
      </c>
      <c r="UB233" s="9" t="n">
        <v>40</v>
      </c>
      <c r="UC233" s="9" t="n">
        <v>46.79999999999998</v>
      </c>
      <c r="UG233" s="10" t="n">
        <v>46219</v>
      </c>
      <c r="UI233" s="9" t="n">
        <v>40</v>
      </c>
      <c r="UK233" s="9" t="n">
        <v>40</v>
      </c>
      <c r="UL233" s="9" t="n">
        <v>204</v>
      </c>
      <c r="UP233" s="10" t="n">
        <v>46219</v>
      </c>
      <c r="UR233" s="9" t="n">
        <v>0</v>
      </c>
      <c r="UT233" s="9" t="n">
        <v>0</v>
      </c>
      <c r="UU233" s="9" t="n">
        <v>242.5</v>
      </c>
      <c r="UY233" s="10" t="n">
        <v>46219</v>
      </c>
      <c r="VA233" s="9" t="n">
        <v>0</v>
      </c>
      <c r="VC233" s="9" t="n">
        <v>0</v>
      </c>
      <c r="VD233" s="9" t="n">
        <v>41.60000000000002</v>
      </c>
      <c r="VH233" s="10" t="n">
        <v>46219</v>
      </c>
      <c r="VJ233" s="9" t="n">
        <v>0</v>
      </c>
      <c r="VL233" s="9" t="n">
        <v>0</v>
      </c>
      <c r="VM233" s="9" t="n">
        <v>210</v>
      </c>
      <c r="VQ233" s="10" t="n">
        <v>46219</v>
      </c>
      <c r="VS233" s="9" t="n">
        <v>40</v>
      </c>
      <c r="VU233" s="9" t="n">
        <v>40</v>
      </c>
      <c r="VV233" s="9" t="n">
        <v>0</v>
      </c>
      <c r="VZ233" s="10" t="n">
        <v>46219</v>
      </c>
      <c r="WB233" s="9" t="n">
        <v>40</v>
      </c>
      <c r="WD233" s="9" t="n">
        <v>40</v>
      </c>
      <c r="WE233" s="9" t="n">
        <v>0</v>
      </c>
      <c r="WI233" s="10" t="n">
        <v>46219</v>
      </c>
      <c r="WK233" s="9" t="n">
        <v>40</v>
      </c>
      <c r="WM233" s="9" t="n">
        <v>40</v>
      </c>
      <c r="WN233" s="9" t="n">
        <v>1057</v>
      </c>
      <c r="WR233" s="10" t="n">
        <v>46219</v>
      </c>
      <c r="WT233" s="9" t="n">
        <v>40</v>
      </c>
      <c r="WV233" s="9" t="n">
        <v>40</v>
      </c>
      <c r="WW233" s="9" t="n">
        <v>0</v>
      </c>
      <c r="XA233" s="10" t="n">
        <v>46219</v>
      </c>
      <c r="XC233" s="9" t="n">
        <v>40</v>
      </c>
      <c r="XE233" s="9" t="n">
        <v>40</v>
      </c>
      <c r="XF233" s="9" t="n">
        <v>7507</v>
      </c>
      <c r="XJ233" s="10" t="n">
        <v>46219</v>
      </c>
      <c r="XL233" s="9" t="n">
        <v>40</v>
      </c>
      <c r="XN233" s="9" t="n">
        <v>40</v>
      </c>
      <c r="XO233" s="9" t="n">
        <v>4252</v>
      </c>
      <c r="XS233" s="10" t="n">
        <v>46219</v>
      </c>
      <c r="XU233" s="9" t="n">
        <v>40</v>
      </c>
      <c r="XW233" s="9" t="n">
        <v>40</v>
      </c>
      <c r="XX233" s="9" t="n">
        <v>2179</v>
      </c>
      <c r="YB233" s="10" t="n">
        <v>46219</v>
      </c>
      <c r="YD233" s="9" t="n">
        <v>40</v>
      </c>
      <c r="YF233" s="9" t="n">
        <v>40</v>
      </c>
      <c r="YG233" s="9" t="n">
        <v>4019</v>
      </c>
      <c r="YK233" s="10" t="n">
        <v>46219</v>
      </c>
      <c r="YM233" s="9" t="n">
        <v>40</v>
      </c>
      <c r="YO233" s="9" t="n">
        <v>40</v>
      </c>
      <c r="YP233" s="9" t="n">
        <v>0</v>
      </c>
      <c r="YT233" s="10" t="n">
        <v>46219</v>
      </c>
      <c r="YV233" s="9" t="n">
        <v>40</v>
      </c>
      <c r="YX233" s="9" t="n">
        <v>40</v>
      </c>
      <c r="YY233" s="9" t="n">
        <v>0</v>
      </c>
      <c r="ZC233" s="10" t="n">
        <v>46219</v>
      </c>
      <c r="ZE233" s="9" t="n">
        <v>40</v>
      </c>
      <c r="ZG233" s="9" t="n">
        <v>40</v>
      </c>
      <c r="ZH233" s="9" t="n">
        <v>0</v>
      </c>
      <c r="ZL233" s="10" t="n">
        <v>46219</v>
      </c>
      <c r="ZN233" s="9" t="n">
        <v>40</v>
      </c>
      <c r="ZP233" s="9" t="n">
        <v>40</v>
      </c>
      <c r="ZQ233" s="9" t="n">
        <v>0</v>
      </c>
      <c r="ZU233" s="10" t="n">
        <v>46219</v>
      </c>
      <c r="ZW233" s="9" t="n">
        <v>40</v>
      </c>
      <c r="ZY233" s="9" t="n">
        <v>40</v>
      </c>
      <c r="ZZ233" s="9" t="n">
        <v>0</v>
      </c>
      <c r="AAD233" s="10" t="n">
        <v>46219</v>
      </c>
      <c r="AAF233" s="9" t="n">
        <v>40</v>
      </c>
      <c r="AAH233" s="9" t="n">
        <v>40</v>
      </c>
      <c r="AAI233" s="9" t="n">
        <v>0</v>
      </c>
      <c r="AAM233" s="10" t="n">
        <v>46219</v>
      </c>
      <c r="AAO233" s="9" t="n">
        <v>40</v>
      </c>
      <c r="AAQ233" s="9" t="n">
        <v>40</v>
      </c>
      <c r="AAR233" s="9" t="n">
        <v>0</v>
      </c>
      <c r="AAV233" s="10" t="n">
        <v>46219</v>
      </c>
      <c r="AAX233" s="9" t="n">
        <v>40</v>
      </c>
      <c r="AAZ233" s="9" t="n">
        <v>40</v>
      </c>
      <c r="ABA233" s="9" t="n">
        <v>0</v>
      </c>
      <c r="ABE233" s="10" t="n">
        <v>46219</v>
      </c>
      <c r="ABG233" s="9" t="n">
        <v>40</v>
      </c>
      <c r="ABI233" s="9" t="n">
        <v>40</v>
      </c>
      <c r="ABJ233" s="9" t="n">
        <v>0</v>
      </c>
    </row>
    <row r="234">
      <c r="C234" s="10" t="n">
        <v>46220</v>
      </c>
      <c r="D234" s="9" t="n">
        <v>28300</v>
      </c>
      <c r="E234" s="9" t="n">
        <v>16318.5</v>
      </c>
      <c r="F234" s="9" t="n">
        <v>16369</v>
      </c>
      <c r="G234" s="9" t="n">
        <v>-50.49999999999818</v>
      </c>
      <c r="H234" s="9" t="n">
        <v>77787.40000000004</v>
      </c>
      <c r="L234" s="10" t="n">
        <v>46220</v>
      </c>
      <c r="N234" s="9" t="n">
        <v>8925</v>
      </c>
      <c r="O234" s="9" t="n">
        <v>8926.200000000001</v>
      </c>
      <c r="P234" s="9" t="n">
        <v>-1.200000000000728</v>
      </c>
      <c r="Q234" s="9" t="n">
        <v>-5516.79999999993</v>
      </c>
      <c r="U234" s="10" t="n">
        <v>46220</v>
      </c>
      <c r="V234" s="9" t="n">
        <v>30100</v>
      </c>
      <c r="W234" s="9" t="n">
        <v>1800</v>
      </c>
      <c r="Y234" s="9" t="n">
        <v>1800</v>
      </c>
      <c r="Z234" s="9" t="n">
        <v>45398.29999999997</v>
      </c>
      <c r="AD234" s="10" t="n">
        <v>46220</v>
      </c>
      <c r="AF234" s="9" t="n">
        <v>0</v>
      </c>
      <c r="AH234" s="9" t="n">
        <v>0</v>
      </c>
      <c r="AI234" s="9" t="n">
        <v>31872.20000000002</v>
      </c>
      <c r="AM234" s="10" t="n">
        <v>46220</v>
      </c>
      <c r="AO234" s="9" t="n">
        <v>0</v>
      </c>
      <c r="AQ234" s="9" t="n">
        <v>0</v>
      </c>
      <c r="AR234" s="9" t="n">
        <v>0</v>
      </c>
      <c r="AV234" s="10" t="n">
        <v>46220</v>
      </c>
      <c r="AX234" s="9" t="n">
        <v>0</v>
      </c>
      <c r="AZ234" s="9" t="n">
        <v>0</v>
      </c>
      <c r="BA234" s="9" t="n">
        <v>1046.199999999995</v>
      </c>
      <c r="BE234" s="10" t="n">
        <v>46220</v>
      </c>
      <c r="BG234" s="9" t="n">
        <v>0</v>
      </c>
      <c r="BI234" s="9" t="n">
        <v>0</v>
      </c>
      <c r="BJ234" s="9" t="n">
        <v>29987.39999999999</v>
      </c>
      <c r="BN234" s="10" t="n">
        <v>46220</v>
      </c>
      <c r="BO234" s="9" t="n">
        <v>150.2</v>
      </c>
      <c r="BP234" s="9" t="n">
        <v>150</v>
      </c>
      <c r="BQ234" s="9" t="n">
        <v>150.2</v>
      </c>
      <c r="BR234" s="9" t="n">
        <v>-0.1999999999999886</v>
      </c>
      <c r="BS234" s="9" t="n">
        <v>0</v>
      </c>
      <c r="BW234" s="10" t="n">
        <v>46220</v>
      </c>
      <c r="BY234" s="9" t="n">
        <v>220.65</v>
      </c>
      <c r="BZ234" s="9" t="n">
        <v>920.9200000000001</v>
      </c>
      <c r="CA234" s="9" t="n">
        <v>-700.2700000000001</v>
      </c>
      <c r="CB234" s="9" t="n">
        <v>6055.109999999999</v>
      </c>
      <c r="CF234" s="10" t="n">
        <v>46220</v>
      </c>
      <c r="CH234" s="9" t="n">
        <v>0</v>
      </c>
      <c r="CI234" s="9" t="n">
        <v>1452.43</v>
      </c>
      <c r="CJ234" s="9" t="n">
        <v>-1452.43</v>
      </c>
      <c r="CK234" s="9" t="n">
        <v>-7976.659999999999</v>
      </c>
      <c r="CO234" s="10" t="n">
        <v>46220</v>
      </c>
      <c r="CQ234" s="9" t="n">
        <v>0</v>
      </c>
      <c r="CS234" s="9" t="n">
        <v>0</v>
      </c>
      <c r="CT234" s="9" t="n">
        <v>0</v>
      </c>
      <c r="CX234" s="10" t="n">
        <v>46220</v>
      </c>
      <c r="CY234" s="9" t="n">
        <v>600</v>
      </c>
      <c r="CZ234" s="9" t="n">
        <v>600</v>
      </c>
      <c r="DB234" s="9" t="n">
        <v>600</v>
      </c>
      <c r="DC234" s="9" t="n">
        <v>1311.600000000007</v>
      </c>
      <c r="DG234" s="10" t="n">
        <v>46220</v>
      </c>
      <c r="DI234" s="9" t="n">
        <v>0</v>
      </c>
      <c r="DK234" s="9" t="n">
        <v>0</v>
      </c>
      <c r="DL234" s="9" t="n">
        <v>33834.19999999998</v>
      </c>
      <c r="DP234" s="10" t="n">
        <v>46220</v>
      </c>
      <c r="DR234" s="9" t="n">
        <v>0</v>
      </c>
      <c r="DT234" s="9" t="n">
        <v>0</v>
      </c>
      <c r="DU234" s="9" t="n">
        <v>5800</v>
      </c>
      <c r="DY234" s="10" t="n">
        <v>46220</v>
      </c>
      <c r="EA234" s="9" t="n">
        <v>0</v>
      </c>
      <c r="EC234" s="9" t="n">
        <v>0</v>
      </c>
      <c r="ED234" s="9" t="n">
        <v>0</v>
      </c>
      <c r="EH234" s="10" t="n">
        <v>46220</v>
      </c>
      <c r="EJ234" s="9" t="n">
        <v>0</v>
      </c>
      <c r="EL234" s="9" t="n">
        <v>0</v>
      </c>
      <c r="EM234" s="9" t="n">
        <v>0</v>
      </c>
      <c r="EQ234" s="10" t="n">
        <v>46220</v>
      </c>
      <c r="ES234" s="9" t="n">
        <v>0</v>
      </c>
      <c r="EU234" s="9" t="n">
        <v>0</v>
      </c>
      <c r="EV234" s="9" t="n">
        <v>0</v>
      </c>
      <c r="EZ234" s="10" t="n">
        <v>46220</v>
      </c>
      <c r="FB234" s="9" t="n">
        <v>0</v>
      </c>
      <c r="FD234" s="9" t="n">
        <v>0</v>
      </c>
      <c r="FE234" s="9" t="n">
        <v>0</v>
      </c>
      <c r="FI234" s="10" t="n">
        <v>46220</v>
      </c>
      <c r="FK234" s="9" t="n">
        <v>0</v>
      </c>
      <c r="FM234" s="9" t="n">
        <v>0</v>
      </c>
      <c r="FN234" s="9" t="n">
        <v>0</v>
      </c>
      <c r="FR234" s="10" t="n">
        <v>46220</v>
      </c>
      <c r="FT234" s="9" t="n">
        <v>0</v>
      </c>
      <c r="FV234" s="9" t="n">
        <v>0</v>
      </c>
      <c r="FW234" s="9" t="n">
        <v>1160</v>
      </c>
      <c r="GA234" s="10" t="n">
        <v>46220</v>
      </c>
      <c r="GC234" s="9" t="n">
        <v>0</v>
      </c>
      <c r="GE234" s="9" t="n">
        <v>0</v>
      </c>
      <c r="GF234" s="9" t="n">
        <v>960</v>
      </c>
      <c r="GJ234" s="10" t="n">
        <v>46220</v>
      </c>
      <c r="GL234" s="9" t="n">
        <v>0</v>
      </c>
      <c r="GN234" s="9" t="n">
        <v>0</v>
      </c>
      <c r="GO234" s="9" t="n">
        <v>1760</v>
      </c>
      <c r="GS234" s="10" t="n">
        <v>46220</v>
      </c>
      <c r="GU234" s="9" t="n">
        <v>0</v>
      </c>
      <c r="GW234" s="9" t="n">
        <v>0</v>
      </c>
      <c r="GX234" s="9" t="n">
        <v>400</v>
      </c>
      <c r="HB234" s="10" t="n">
        <v>46220</v>
      </c>
      <c r="HD234" s="9" t="n">
        <v>0</v>
      </c>
      <c r="HF234" s="9" t="n">
        <v>0</v>
      </c>
      <c r="HG234" s="9" t="n">
        <v>3600</v>
      </c>
      <c r="HK234" s="10" t="n">
        <v>46220</v>
      </c>
      <c r="HM234" s="9" t="n">
        <v>0</v>
      </c>
      <c r="HO234" s="9" t="n">
        <v>0</v>
      </c>
      <c r="HP234" s="9" t="n">
        <v>0</v>
      </c>
      <c r="HU234" s="10" t="n">
        <v>46220</v>
      </c>
      <c r="HW234" s="9" t="n">
        <v>0</v>
      </c>
      <c r="HX234" s="9" t="n">
        <v>320</v>
      </c>
      <c r="HY234" s="9" t="n">
        <v>-320</v>
      </c>
      <c r="HZ234" s="9" t="n">
        <v>5920</v>
      </c>
      <c r="IA234" s="9" t="n">
        <v>16</v>
      </c>
      <c r="ID234" s="10" t="n">
        <v>46220</v>
      </c>
      <c r="IF234" s="9" t="n">
        <v>0</v>
      </c>
      <c r="IH234" s="9" t="n">
        <v>0</v>
      </c>
      <c r="II234" s="9" t="n">
        <v>720</v>
      </c>
      <c r="IM234" s="10" t="n">
        <v>46220</v>
      </c>
      <c r="IO234" s="9" t="n">
        <v>0</v>
      </c>
      <c r="IP234" s="9" t="n">
        <v>320</v>
      </c>
      <c r="IQ234" s="9" t="n">
        <v>-320</v>
      </c>
      <c r="IR234" s="9" t="n">
        <v>4280</v>
      </c>
      <c r="IS234" s="9" t="n">
        <v>16</v>
      </c>
      <c r="IV234" s="10" t="n">
        <v>46220</v>
      </c>
      <c r="IX234" s="9" t="n">
        <v>0</v>
      </c>
      <c r="IZ234" s="9" t="n">
        <v>0</v>
      </c>
      <c r="JA234" s="9" t="n">
        <v>4960</v>
      </c>
      <c r="JE234" s="10" t="n">
        <v>46220</v>
      </c>
      <c r="JG234" s="9" t="n">
        <v>0</v>
      </c>
      <c r="JI234" s="9" t="n">
        <v>0</v>
      </c>
      <c r="JJ234" s="9" t="n">
        <v>0</v>
      </c>
      <c r="JN234" s="10" t="n">
        <v>46220</v>
      </c>
      <c r="JP234" s="9" t="n">
        <v>0</v>
      </c>
      <c r="JR234" s="9" t="n">
        <v>0</v>
      </c>
      <c r="JS234" s="9" t="n">
        <v>0</v>
      </c>
      <c r="JW234" s="10" t="n">
        <v>46220</v>
      </c>
      <c r="JY234" s="9" t="n">
        <v>0</v>
      </c>
      <c r="KA234" s="9" t="n">
        <v>0</v>
      </c>
      <c r="KB234" s="9" t="n">
        <v>2540</v>
      </c>
      <c r="KF234" s="10" t="n">
        <v>46220</v>
      </c>
      <c r="KH234" s="9" t="n">
        <v>0</v>
      </c>
      <c r="KJ234" s="9" t="n">
        <v>0</v>
      </c>
      <c r="KK234" s="9" t="n">
        <v>2359.5</v>
      </c>
      <c r="KO234" s="10" t="n">
        <v>46220</v>
      </c>
      <c r="KQ234" s="9" t="n">
        <v>0</v>
      </c>
      <c r="KS234" s="9" t="n">
        <v>0</v>
      </c>
      <c r="KT234" s="9" t="n">
        <v>1890</v>
      </c>
      <c r="KX234" s="10" t="n">
        <v>46220</v>
      </c>
      <c r="KZ234" s="9" t="n">
        <v>0</v>
      </c>
      <c r="LB234" s="9" t="n">
        <v>0</v>
      </c>
      <c r="LC234" s="9" t="n">
        <v>3690</v>
      </c>
      <c r="LG234" s="10" t="n">
        <v>46220</v>
      </c>
      <c r="LI234" s="9" t="n">
        <v>0</v>
      </c>
      <c r="LK234" s="9" t="n">
        <v>0</v>
      </c>
      <c r="LL234" s="9" t="n">
        <v>4000</v>
      </c>
      <c r="LP234" s="10" t="n">
        <v>46220</v>
      </c>
      <c r="LR234" s="9" t="n">
        <v>0</v>
      </c>
      <c r="LT234" s="9" t="n">
        <v>0</v>
      </c>
      <c r="LU234" s="9" t="n">
        <v>0</v>
      </c>
      <c r="LY234" s="10" t="n">
        <v>46220</v>
      </c>
      <c r="MA234" s="9" t="n">
        <v>0</v>
      </c>
      <c r="MC234" s="9" t="n">
        <v>0</v>
      </c>
      <c r="MD234" s="9" t="n">
        <v>0</v>
      </c>
      <c r="MH234" s="10" t="n">
        <v>46220</v>
      </c>
      <c r="MJ234" s="9" t="n">
        <v>0</v>
      </c>
      <c r="ML234" s="9" t="n">
        <v>0</v>
      </c>
      <c r="MM234" s="9" t="n">
        <v>0</v>
      </c>
      <c r="MQ234" s="10" t="n">
        <v>46220</v>
      </c>
      <c r="MS234" s="9" t="n">
        <v>0</v>
      </c>
      <c r="MT234" s="9" t="n">
        <v>162</v>
      </c>
      <c r="MU234" s="9" t="n">
        <v>-162</v>
      </c>
      <c r="MV234" s="9" t="n">
        <v>2550</v>
      </c>
      <c r="MZ234" s="10" t="n">
        <v>46220</v>
      </c>
      <c r="NA234" s="9" t="n">
        <v>1656</v>
      </c>
      <c r="NB234" s="9" t="n">
        <v>0</v>
      </c>
      <c r="NC234" s="9" t="n">
        <v>1656</v>
      </c>
      <c r="ND234" s="9" t="n">
        <v>-1656</v>
      </c>
      <c r="NE234" s="9" t="n">
        <v>0</v>
      </c>
      <c r="NI234" s="10" t="n">
        <v>46220</v>
      </c>
      <c r="NK234" s="9" t="n">
        <v>0</v>
      </c>
      <c r="NM234" s="9" t="n">
        <v>0</v>
      </c>
      <c r="NN234" s="9" t="n">
        <v>1127</v>
      </c>
      <c r="NR234" s="10" t="n">
        <v>46220</v>
      </c>
      <c r="NT234" s="9" t="n">
        <v>0</v>
      </c>
      <c r="NV234" s="9" t="n">
        <v>0</v>
      </c>
      <c r="NW234" s="9" t="n">
        <v>3112</v>
      </c>
      <c r="OA234" s="10" t="n">
        <v>46220</v>
      </c>
      <c r="OC234" s="9" t="n">
        <v>0</v>
      </c>
      <c r="OE234" s="9" t="n">
        <v>0</v>
      </c>
      <c r="OF234" s="9" t="n">
        <v>1680.5</v>
      </c>
      <c r="OJ234" s="10" t="n">
        <v>46220</v>
      </c>
      <c r="OK234" s="9" t="n">
        <v>320.6</v>
      </c>
      <c r="OL234" s="9" t="n">
        <v>0</v>
      </c>
      <c r="OM234" s="9" t="n">
        <v>320.6</v>
      </c>
      <c r="ON234" s="9" t="n">
        <v>-320.6</v>
      </c>
      <c r="OO234" s="9" t="n">
        <v>0</v>
      </c>
      <c r="OS234" s="10" t="n">
        <v>46220</v>
      </c>
      <c r="OU234" s="9" t="n">
        <v>0</v>
      </c>
      <c r="OW234" s="9" t="n">
        <v>0</v>
      </c>
      <c r="OX234" s="9" t="n">
        <v>1482</v>
      </c>
      <c r="PB234" s="10" t="n">
        <v>46220</v>
      </c>
      <c r="PD234" s="9" t="n">
        <v>0</v>
      </c>
      <c r="PF234" s="9" t="n">
        <v>0</v>
      </c>
      <c r="PG234" s="9" t="n">
        <v>0</v>
      </c>
      <c r="PK234" s="10" t="n">
        <v>46220</v>
      </c>
      <c r="PM234" s="9" t="n">
        <v>0</v>
      </c>
      <c r="PO234" s="9" t="n">
        <v>0</v>
      </c>
      <c r="PP234" s="9" t="n">
        <v>100</v>
      </c>
      <c r="PT234" s="10" t="n">
        <v>46220</v>
      </c>
      <c r="PV234" s="9" t="n">
        <v>0</v>
      </c>
      <c r="PX234" s="9" t="n">
        <v>0</v>
      </c>
      <c r="PY234" s="9" t="n">
        <v>13.96000000000004</v>
      </c>
      <c r="QC234" s="10" t="n">
        <v>46220</v>
      </c>
      <c r="QE234" s="9" t="n">
        <v>0</v>
      </c>
      <c r="QF234" s="9" t="n">
        <v>48</v>
      </c>
      <c r="QG234" s="9" t="n">
        <v>-48</v>
      </c>
      <c r="QH234" s="9" t="n">
        <v>1688</v>
      </c>
      <c r="QL234" s="10" t="n">
        <v>46220</v>
      </c>
      <c r="QN234" s="9" t="n">
        <v>0</v>
      </c>
      <c r="QO234" s="9" t="n">
        <v>10</v>
      </c>
      <c r="QP234" s="9" t="n">
        <v>-10</v>
      </c>
      <c r="QQ234" s="9" t="n">
        <v>0</v>
      </c>
      <c r="QU234" s="10" t="n">
        <v>46220</v>
      </c>
      <c r="QW234" s="9" t="n">
        <v>0</v>
      </c>
      <c r="QY234" s="9" t="n">
        <v>0</v>
      </c>
      <c r="QZ234" s="9" t="n">
        <v>207.6</v>
      </c>
      <c r="RD234" s="10" t="n">
        <v>46220</v>
      </c>
      <c r="RF234" s="9" t="n">
        <v>0</v>
      </c>
      <c r="RH234" s="9" t="n">
        <v>0</v>
      </c>
      <c r="RI234" s="9" t="n">
        <v>147.04</v>
      </c>
      <c r="RM234" s="10" t="n">
        <v>46220</v>
      </c>
      <c r="RO234" s="9" t="n">
        <v>0</v>
      </c>
      <c r="RQ234" s="9" t="n">
        <v>0</v>
      </c>
      <c r="RR234" s="9" t="n">
        <v>46.8</v>
      </c>
      <c r="RV234" s="10" t="n">
        <v>46220</v>
      </c>
      <c r="RX234" s="9" t="n">
        <v>0</v>
      </c>
      <c r="RZ234" s="9" t="n">
        <v>0</v>
      </c>
      <c r="SA234" s="9" t="n">
        <v>0</v>
      </c>
      <c r="SE234" s="10" t="n">
        <v>46220</v>
      </c>
      <c r="SG234" s="9" t="n">
        <v>0</v>
      </c>
      <c r="SI234" s="9" t="n">
        <v>0</v>
      </c>
      <c r="SJ234" s="9" t="n">
        <v>24.2</v>
      </c>
      <c r="SN234" s="10" t="n">
        <v>46220</v>
      </c>
      <c r="SP234" s="9" t="n">
        <v>0</v>
      </c>
      <c r="SR234" s="9" t="n">
        <v>0</v>
      </c>
      <c r="SS234" s="9" t="n">
        <v>32</v>
      </c>
      <c r="SW234" s="10" t="n">
        <v>46220</v>
      </c>
      <c r="SY234" s="9" t="n">
        <v>0</v>
      </c>
      <c r="TA234" s="9" t="n">
        <v>0</v>
      </c>
      <c r="TB234" s="9" t="n">
        <v>0</v>
      </c>
      <c r="TF234" s="10" t="n">
        <v>46220</v>
      </c>
      <c r="TH234" s="9" t="n">
        <v>0</v>
      </c>
      <c r="TJ234" s="9" t="n">
        <v>0</v>
      </c>
      <c r="TK234" s="9" t="n">
        <v>0</v>
      </c>
      <c r="TO234" s="10" t="n">
        <v>46220</v>
      </c>
      <c r="TQ234" s="9" t="n">
        <v>0</v>
      </c>
      <c r="TS234" s="9" t="n">
        <v>0</v>
      </c>
      <c r="TT234" s="9" t="n">
        <v>22.40000000000001</v>
      </c>
      <c r="TX234" s="10" t="n">
        <v>46220</v>
      </c>
      <c r="TZ234" s="9" t="n">
        <v>0</v>
      </c>
      <c r="UB234" s="9" t="n">
        <v>0</v>
      </c>
      <c r="UC234" s="9" t="n">
        <v>46.79999999999998</v>
      </c>
      <c r="UG234" s="10" t="n">
        <v>46220</v>
      </c>
      <c r="UI234" s="9" t="n">
        <v>0</v>
      </c>
      <c r="UK234" s="9" t="n">
        <v>0</v>
      </c>
      <c r="UL234" s="9" t="n">
        <v>204</v>
      </c>
      <c r="UP234" s="10" t="n">
        <v>46220</v>
      </c>
      <c r="UR234" s="9" t="n">
        <v>0</v>
      </c>
      <c r="UT234" s="9" t="n">
        <v>0</v>
      </c>
      <c r="UU234" s="9" t="n">
        <v>242.5</v>
      </c>
      <c r="UY234" s="10" t="n">
        <v>46220</v>
      </c>
      <c r="VA234" s="9" t="n">
        <v>0</v>
      </c>
      <c r="VC234" s="9" t="n">
        <v>0</v>
      </c>
      <c r="VD234" s="9" t="n">
        <v>41.60000000000002</v>
      </c>
      <c r="VH234" s="10" t="n">
        <v>46220</v>
      </c>
      <c r="VJ234" s="9" t="n">
        <v>0</v>
      </c>
      <c r="VL234" s="9" t="n">
        <v>0</v>
      </c>
      <c r="VM234" s="9" t="n">
        <v>210</v>
      </c>
      <c r="VQ234" s="10" t="n">
        <v>46220</v>
      </c>
      <c r="VS234" s="9" t="n">
        <v>0</v>
      </c>
      <c r="VU234" s="9" t="n">
        <v>0</v>
      </c>
      <c r="VV234" s="9" t="n">
        <v>0</v>
      </c>
      <c r="VZ234" s="10" t="n">
        <v>46220</v>
      </c>
      <c r="WB234" s="9" t="n">
        <v>0</v>
      </c>
      <c r="WD234" s="9" t="n">
        <v>0</v>
      </c>
      <c r="WE234" s="9" t="n">
        <v>0</v>
      </c>
      <c r="WI234" s="10" t="n">
        <v>46220</v>
      </c>
      <c r="WK234" s="9" t="n">
        <v>0</v>
      </c>
      <c r="WM234" s="9" t="n">
        <v>0</v>
      </c>
      <c r="WN234" s="9" t="n">
        <v>1057</v>
      </c>
      <c r="WR234" s="10" t="n">
        <v>46220</v>
      </c>
      <c r="WT234" s="9" t="n">
        <v>0</v>
      </c>
      <c r="WV234" s="9" t="n">
        <v>0</v>
      </c>
      <c r="WW234" s="9" t="n">
        <v>0</v>
      </c>
      <c r="XA234" s="10" t="n">
        <v>46220</v>
      </c>
      <c r="XC234" s="9" t="n">
        <v>0</v>
      </c>
      <c r="XE234" s="9" t="n">
        <v>0</v>
      </c>
      <c r="XF234" s="9" t="n">
        <v>7507</v>
      </c>
      <c r="XJ234" s="10" t="n">
        <v>46220</v>
      </c>
      <c r="XL234" s="9" t="n">
        <v>0</v>
      </c>
      <c r="XN234" s="9" t="n">
        <v>0</v>
      </c>
      <c r="XO234" s="9" t="n">
        <v>4252</v>
      </c>
      <c r="XS234" s="10" t="n">
        <v>46220</v>
      </c>
      <c r="XU234" s="9" t="n">
        <v>0</v>
      </c>
      <c r="XW234" s="9" t="n">
        <v>0</v>
      </c>
      <c r="XX234" s="9" t="n">
        <v>2179</v>
      </c>
      <c r="YB234" s="10" t="n">
        <v>46220</v>
      </c>
      <c r="YD234" s="9" t="n">
        <v>0</v>
      </c>
      <c r="YF234" s="9" t="n">
        <v>0</v>
      </c>
      <c r="YG234" s="9" t="n">
        <v>4019</v>
      </c>
      <c r="YK234" s="10" t="n">
        <v>46220</v>
      </c>
      <c r="YM234" s="9" t="n">
        <v>0</v>
      </c>
      <c r="YO234" s="9" t="n">
        <v>0</v>
      </c>
      <c r="YP234" s="9" t="n">
        <v>0</v>
      </c>
      <c r="YT234" s="10" t="n">
        <v>46220</v>
      </c>
      <c r="YV234" s="9" t="n">
        <v>0</v>
      </c>
      <c r="YX234" s="9" t="n">
        <v>0</v>
      </c>
      <c r="YY234" s="9" t="n">
        <v>0</v>
      </c>
      <c r="ZC234" s="10" t="n">
        <v>46220</v>
      </c>
      <c r="ZE234" s="9" t="n">
        <v>0</v>
      </c>
      <c r="ZG234" s="9" t="n">
        <v>0</v>
      </c>
      <c r="ZH234" s="9" t="n">
        <v>0</v>
      </c>
      <c r="ZL234" s="10" t="n">
        <v>46220</v>
      </c>
      <c r="ZN234" s="9" t="n">
        <v>0</v>
      </c>
      <c r="ZP234" s="9" t="n">
        <v>0</v>
      </c>
      <c r="ZQ234" s="9" t="n">
        <v>0</v>
      </c>
      <c r="ZU234" s="10" t="n">
        <v>46220</v>
      </c>
      <c r="ZW234" s="9" t="n">
        <v>0</v>
      </c>
      <c r="ZY234" s="9" t="n">
        <v>0</v>
      </c>
      <c r="ZZ234" s="9" t="n">
        <v>0</v>
      </c>
      <c r="AAD234" s="10" t="n">
        <v>46220</v>
      </c>
      <c r="AAF234" s="9" t="n">
        <v>0</v>
      </c>
      <c r="AAH234" s="9" t="n">
        <v>0</v>
      </c>
      <c r="AAI234" s="9" t="n">
        <v>0</v>
      </c>
      <c r="AAM234" s="10" t="n">
        <v>46220</v>
      </c>
      <c r="AAO234" s="9" t="n">
        <v>0</v>
      </c>
      <c r="AAQ234" s="9" t="n">
        <v>0</v>
      </c>
      <c r="AAR234" s="9" t="n">
        <v>0</v>
      </c>
      <c r="AAV234" s="10" t="n">
        <v>46220</v>
      </c>
      <c r="AAX234" s="9" t="n">
        <v>0</v>
      </c>
      <c r="AAZ234" s="9" t="n">
        <v>0</v>
      </c>
      <c r="ABA234" s="9" t="n">
        <v>0</v>
      </c>
      <c r="ABE234" s="10" t="n">
        <v>46220</v>
      </c>
      <c r="ABG234" s="9" t="n">
        <v>0</v>
      </c>
      <c r="ABI234" s="9" t="n">
        <v>0</v>
      </c>
      <c r="ABJ234" s="9" t="n">
        <v>0</v>
      </c>
    </row>
    <row r="235">
      <c r="C235" s="10" t="n">
        <v>46221</v>
      </c>
      <c r="D235" s="9" t="n">
        <v>64300</v>
      </c>
      <c r="E235" s="9" t="n">
        <v>28073.2</v>
      </c>
      <c r="F235" s="9" t="n">
        <v>28065.4</v>
      </c>
      <c r="G235" s="9" t="n">
        <v>7.799999999999272</v>
      </c>
      <c r="H235" s="9" t="n">
        <v>114022</v>
      </c>
      <c r="L235" s="10" t="n">
        <v>46221</v>
      </c>
      <c r="M235" s="9" t="n">
        <v>24600</v>
      </c>
      <c r="N235" s="9" t="n">
        <v>15980.5</v>
      </c>
      <c r="O235" s="9" t="n">
        <v>15987.2</v>
      </c>
      <c r="P235" s="9" t="n">
        <v>-6.700000000000728</v>
      </c>
      <c r="Q235" s="9" t="n">
        <v>3096.000000000069</v>
      </c>
      <c r="U235" s="10" t="n">
        <v>46221</v>
      </c>
      <c r="W235" s="9" t="n">
        <v>2700</v>
      </c>
      <c r="X235" s="9" t="n">
        <v>2700.5</v>
      </c>
      <c r="Y235" s="9" t="n">
        <v>-0.5</v>
      </c>
      <c r="Z235" s="9" t="n">
        <v>42697.79999999997</v>
      </c>
      <c r="AD235" s="10" t="n">
        <v>46221</v>
      </c>
      <c r="AF235" s="9" t="n">
        <v>0</v>
      </c>
      <c r="AH235" s="9" t="n">
        <v>0</v>
      </c>
      <c r="AI235" s="9" t="n">
        <v>31872.20000000002</v>
      </c>
      <c r="AM235" s="10" t="n">
        <v>46221</v>
      </c>
      <c r="AO235" s="9" t="n">
        <v>0</v>
      </c>
      <c r="AQ235" s="9" t="n">
        <v>0</v>
      </c>
      <c r="AR235" s="9" t="n">
        <v>0</v>
      </c>
      <c r="AV235" s="10" t="n">
        <v>46221</v>
      </c>
      <c r="AX235" s="9" t="n">
        <v>320</v>
      </c>
      <c r="AY235" s="9" t="n">
        <v>319.6</v>
      </c>
      <c r="AZ235" s="9" t="n">
        <v>0.3999999999999773</v>
      </c>
      <c r="BA235" s="9" t="n">
        <v>726.5999999999952</v>
      </c>
      <c r="BE235" s="10" t="n">
        <v>46221</v>
      </c>
      <c r="BG235" s="9" t="n">
        <v>552</v>
      </c>
      <c r="BH235" s="9" t="n">
        <v>554.8</v>
      </c>
      <c r="BI235" s="9" t="n">
        <v>-2.799999999999955</v>
      </c>
      <c r="BJ235" s="9" t="n">
        <v>29432.59999999999</v>
      </c>
      <c r="BN235" s="10" t="n">
        <v>46221</v>
      </c>
      <c r="BO235" s="9" t="n">
        <v>586</v>
      </c>
      <c r="BP235" s="9" t="n">
        <v>586</v>
      </c>
      <c r="BQ235" s="9" t="n">
        <v>586</v>
      </c>
      <c r="BR235" s="9" t="n">
        <v>0</v>
      </c>
      <c r="BS235" s="9" t="n">
        <v>0</v>
      </c>
      <c r="BW235" s="10" t="n">
        <v>46221</v>
      </c>
      <c r="BY235" s="9" t="n">
        <v>215.3</v>
      </c>
      <c r="CA235" s="9" t="n">
        <v>215.3</v>
      </c>
      <c r="CB235" s="9" t="n">
        <v>6055.109999999999</v>
      </c>
      <c r="CF235" s="10" t="n">
        <v>46221</v>
      </c>
      <c r="CH235" s="9" t="n">
        <v>200</v>
      </c>
      <c r="CJ235" s="9" t="n">
        <v>200</v>
      </c>
      <c r="CK235" s="9" t="n">
        <v>-7976.659999999999</v>
      </c>
      <c r="CO235" s="10" t="n">
        <v>46221</v>
      </c>
      <c r="CQ235" s="9" t="n">
        <v>0</v>
      </c>
      <c r="CS235" s="9" t="n">
        <v>0</v>
      </c>
      <c r="CT235" s="9" t="n">
        <v>0</v>
      </c>
      <c r="CX235" s="10" t="n">
        <v>46221</v>
      </c>
      <c r="CZ235" s="9" t="n">
        <v>400</v>
      </c>
      <c r="DB235" s="9" t="n">
        <v>400</v>
      </c>
      <c r="DC235" s="9" t="n">
        <v>1311.600000000007</v>
      </c>
      <c r="DG235" s="10" t="n">
        <v>46221</v>
      </c>
      <c r="DI235" s="9" t="n">
        <v>800</v>
      </c>
      <c r="DJ235" s="9" t="n">
        <v>800.3</v>
      </c>
      <c r="DK235" s="9" t="n">
        <v>-0.2999999999999545</v>
      </c>
      <c r="DL235" s="9" t="n">
        <v>33033.89999999998</v>
      </c>
      <c r="DP235" s="10" t="n">
        <v>46221</v>
      </c>
      <c r="DR235" s="9" t="n">
        <v>0</v>
      </c>
      <c r="DT235" s="9" t="n">
        <v>0</v>
      </c>
      <c r="DU235" s="9" t="n">
        <v>5800</v>
      </c>
      <c r="DY235" s="10" t="n">
        <v>46221</v>
      </c>
      <c r="EA235" s="9" t="n">
        <v>0</v>
      </c>
      <c r="EC235" s="9" t="n">
        <v>0</v>
      </c>
      <c r="ED235" s="9" t="n">
        <v>0</v>
      </c>
      <c r="EH235" s="10" t="n">
        <v>46221</v>
      </c>
      <c r="EJ235" s="9" t="n">
        <v>0</v>
      </c>
      <c r="EL235" s="9" t="n">
        <v>0</v>
      </c>
      <c r="EM235" s="9" t="n">
        <v>0</v>
      </c>
      <c r="EQ235" s="10" t="n">
        <v>46221</v>
      </c>
      <c r="ES235" s="9" t="n">
        <v>0</v>
      </c>
      <c r="EU235" s="9" t="n">
        <v>0</v>
      </c>
      <c r="EV235" s="9" t="n">
        <v>0</v>
      </c>
      <c r="EZ235" s="10" t="n">
        <v>46221</v>
      </c>
      <c r="FB235" s="9" t="n">
        <v>0</v>
      </c>
      <c r="FD235" s="9" t="n">
        <v>0</v>
      </c>
      <c r="FE235" s="9" t="n">
        <v>0</v>
      </c>
      <c r="FI235" s="10" t="n">
        <v>46221</v>
      </c>
      <c r="FK235" s="9" t="n">
        <v>0</v>
      </c>
      <c r="FM235" s="9" t="n">
        <v>0</v>
      </c>
      <c r="FN235" s="9" t="n">
        <v>0</v>
      </c>
      <c r="FR235" s="10" t="n">
        <v>46221</v>
      </c>
      <c r="FT235" s="9" t="n">
        <v>0</v>
      </c>
      <c r="FV235" s="9" t="n">
        <v>0</v>
      </c>
      <c r="FW235" s="9" t="n">
        <v>1160</v>
      </c>
      <c r="GA235" s="10" t="n">
        <v>46221</v>
      </c>
      <c r="GC235" s="9" t="n">
        <v>0</v>
      </c>
      <c r="GE235" s="9" t="n">
        <v>0</v>
      </c>
      <c r="GF235" s="9" t="n">
        <v>960</v>
      </c>
      <c r="GJ235" s="10" t="n">
        <v>46221</v>
      </c>
      <c r="GL235" s="9" t="n">
        <v>0</v>
      </c>
      <c r="GN235" s="9" t="n">
        <v>0</v>
      </c>
      <c r="GO235" s="9" t="n">
        <v>1760</v>
      </c>
      <c r="GS235" s="10" t="n">
        <v>46221</v>
      </c>
      <c r="GU235" s="9" t="n">
        <v>0</v>
      </c>
      <c r="GW235" s="9" t="n">
        <v>0</v>
      </c>
      <c r="GX235" s="9" t="n">
        <v>400</v>
      </c>
      <c r="HB235" s="10" t="n">
        <v>46221</v>
      </c>
      <c r="HD235" s="9" t="n">
        <v>0</v>
      </c>
      <c r="HF235" s="9" t="n">
        <v>0</v>
      </c>
      <c r="HG235" s="9" t="n">
        <v>3600</v>
      </c>
      <c r="HK235" s="10" t="n">
        <v>46221</v>
      </c>
      <c r="HM235" s="9" t="n">
        <v>0</v>
      </c>
      <c r="HO235" s="9" t="n">
        <v>0</v>
      </c>
      <c r="HP235" s="9" t="n">
        <v>0</v>
      </c>
      <c r="HU235" s="10" t="n">
        <v>46221</v>
      </c>
      <c r="HW235" s="9" t="n">
        <v>320</v>
      </c>
      <c r="HY235" s="9" t="n">
        <v>320</v>
      </c>
      <c r="HZ235" s="9" t="n">
        <v>5920</v>
      </c>
      <c r="ID235" s="10" t="n">
        <v>46221</v>
      </c>
      <c r="IF235" s="9" t="n">
        <v>0</v>
      </c>
      <c r="IH235" s="9" t="n">
        <v>0</v>
      </c>
      <c r="II235" s="9" t="n">
        <v>720</v>
      </c>
      <c r="IM235" s="10" t="n">
        <v>46221</v>
      </c>
      <c r="IO235" s="9" t="n">
        <v>240</v>
      </c>
      <c r="IQ235" s="9" t="n">
        <v>240</v>
      </c>
      <c r="IR235" s="9" t="n">
        <v>4280</v>
      </c>
      <c r="IV235" s="10" t="n">
        <v>46221</v>
      </c>
      <c r="IX235" s="9" t="n">
        <v>0</v>
      </c>
      <c r="IZ235" s="9" t="n">
        <v>0</v>
      </c>
      <c r="JA235" s="9" t="n">
        <v>4960</v>
      </c>
      <c r="JE235" s="10" t="n">
        <v>46221</v>
      </c>
      <c r="JG235" s="9" t="n">
        <v>0</v>
      </c>
      <c r="JI235" s="9" t="n">
        <v>0</v>
      </c>
      <c r="JJ235" s="9" t="n">
        <v>0</v>
      </c>
      <c r="JN235" s="10" t="n">
        <v>46221</v>
      </c>
      <c r="JP235" s="9" t="n">
        <v>80</v>
      </c>
      <c r="JR235" s="9" t="n">
        <v>80</v>
      </c>
      <c r="JS235" s="9" t="n">
        <v>0</v>
      </c>
      <c r="JW235" s="10" t="n">
        <v>46221</v>
      </c>
      <c r="JY235" s="9" t="n">
        <v>0</v>
      </c>
      <c r="KA235" s="9" t="n">
        <v>0</v>
      </c>
      <c r="KB235" s="9" t="n">
        <v>2540</v>
      </c>
      <c r="KF235" s="10" t="n">
        <v>46221</v>
      </c>
      <c r="KH235" s="9" t="n">
        <v>0</v>
      </c>
      <c r="KJ235" s="9" t="n">
        <v>0</v>
      </c>
      <c r="KK235" s="9" t="n">
        <v>2359.5</v>
      </c>
      <c r="KO235" s="10" t="n">
        <v>46221</v>
      </c>
      <c r="KQ235" s="9" t="n">
        <v>0</v>
      </c>
      <c r="KS235" s="9" t="n">
        <v>0</v>
      </c>
      <c r="KT235" s="9" t="n">
        <v>1890</v>
      </c>
      <c r="KX235" s="10" t="n">
        <v>46221</v>
      </c>
      <c r="KZ235" s="9" t="n">
        <v>0</v>
      </c>
      <c r="LB235" s="9" t="n">
        <v>0</v>
      </c>
      <c r="LC235" s="9" t="n">
        <v>3690</v>
      </c>
      <c r="LG235" s="10" t="n">
        <v>46221</v>
      </c>
      <c r="LI235" s="9" t="n">
        <v>0</v>
      </c>
      <c r="LK235" s="9" t="n">
        <v>0</v>
      </c>
      <c r="LL235" s="9" t="n">
        <v>4000</v>
      </c>
      <c r="LP235" s="10" t="n">
        <v>46221</v>
      </c>
      <c r="LR235" s="9" t="n">
        <v>0</v>
      </c>
      <c r="LT235" s="9" t="n">
        <v>0</v>
      </c>
      <c r="LU235" s="9" t="n">
        <v>0</v>
      </c>
      <c r="LY235" s="10" t="n">
        <v>46221</v>
      </c>
      <c r="MA235" s="9" t="n">
        <v>0</v>
      </c>
      <c r="MC235" s="9" t="n">
        <v>0</v>
      </c>
      <c r="MD235" s="9" t="n">
        <v>0</v>
      </c>
      <c r="MH235" s="10" t="n">
        <v>46221</v>
      </c>
      <c r="MJ235" s="9" t="n">
        <v>0</v>
      </c>
      <c r="ML235" s="9" t="n">
        <v>0</v>
      </c>
      <c r="MM235" s="9" t="n">
        <v>0</v>
      </c>
      <c r="MQ235" s="10" t="n">
        <v>46221</v>
      </c>
      <c r="MS235" s="9" t="n">
        <v>8</v>
      </c>
      <c r="MU235" s="9" t="n">
        <v>8</v>
      </c>
      <c r="MV235" s="9" t="n">
        <v>2550</v>
      </c>
      <c r="MZ235" s="10" t="n">
        <v>46221</v>
      </c>
      <c r="NB235" s="9" t="n">
        <v>96</v>
      </c>
      <c r="ND235" s="9" t="n">
        <v>96</v>
      </c>
      <c r="NE235" s="9" t="n">
        <v>0</v>
      </c>
      <c r="NI235" s="10" t="n">
        <v>46221</v>
      </c>
      <c r="NK235" s="9" t="n">
        <v>0</v>
      </c>
      <c r="NM235" s="9" t="n">
        <v>0</v>
      </c>
      <c r="NN235" s="9" t="n">
        <v>1127</v>
      </c>
      <c r="NR235" s="10" t="n">
        <v>46221</v>
      </c>
      <c r="NT235" s="9" t="n">
        <v>0</v>
      </c>
      <c r="NV235" s="9" t="n">
        <v>0</v>
      </c>
      <c r="NW235" s="9" t="n">
        <v>3112</v>
      </c>
      <c r="OA235" s="10" t="n">
        <v>46221</v>
      </c>
      <c r="OC235" s="9" t="n">
        <v>0</v>
      </c>
      <c r="OE235" s="9" t="n">
        <v>0</v>
      </c>
      <c r="OF235" s="9" t="n">
        <v>1680.5</v>
      </c>
      <c r="OJ235" s="10" t="n">
        <v>46221</v>
      </c>
      <c r="OL235" s="9" t="n">
        <v>0</v>
      </c>
      <c r="ON235" s="9" t="n">
        <v>0</v>
      </c>
      <c r="OO235" s="9" t="n">
        <v>0</v>
      </c>
      <c r="OS235" s="10" t="n">
        <v>46221</v>
      </c>
      <c r="OU235" s="9" t="n">
        <v>0</v>
      </c>
      <c r="OW235" s="9" t="n">
        <v>0</v>
      </c>
      <c r="OX235" s="9" t="n">
        <v>1482</v>
      </c>
      <c r="PB235" s="10" t="n">
        <v>46221</v>
      </c>
      <c r="PD235" s="9" t="n">
        <v>0</v>
      </c>
      <c r="PF235" s="9" t="n">
        <v>0</v>
      </c>
      <c r="PG235" s="9" t="n">
        <v>0</v>
      </c>
      <c r="PK235" s="10" t="n">
        <v>46221</v>
      </c>
      <c r="PM235" s="9" t="n">
        <v>0</v>
      </c>
      <c r="PO235" s="9" t="n">
        <v>0</v>
      </c>
      <c r="PP235" s="9" t="n">
        <v>100</v>
      </c>
      <c r="PT235" s="10" t="n">
        <v>46221</v>
      </c>
      <c r="PV235" s="9" t="n">
        <v>0</v>
      </c>
      <c r="PX235" s="9" t="n">
        <v>0</v>
      </c>
      <c r="PY235" s="9" t="n">
        <v>13.96000000000004</v>
      </c>
      <c r="QC235" s="10" t="n">
        <v>46221</v>
      </c>
      <c r="QE235" s="9" t="n">
        <v>48</v>
      </c>
      <c r="QG235" s="9" t="n">
        <v>48</v>
      </c>
      <c r="QH235" s="9" t="n">
        <v>1688</v>
      </c>
      <c r="QL235" s="10" t="n">
        <v>46221</v>
      </c>
      <c r="QN235" s="9" t="n">
        <v>10</v>
      </c>
      <c r="QP235" s="9" t="n">
        <v>10</v>
      </c>
      <c r="QQ235" s="9" t="n">
        <v>0</v>
      </c>
      <c r="QU235" s="10" t="n">
        <v>46221</v>
      </c>
      <c r="QW235" s="9" t="n">
        <v>0</v>
      </c>
      <c r="QY235" s="9" t="n">
        <v>0</v>
      </c>
      <c r="QZ235" s="9" t="n">
        <v>207.6</v>
      </c>
      <c r="RD235" s="10" t="n">
        <v>46221</v>
      </c>
      <c r="RF235" s="9" t="n">
        <v>0</v>
      </c>
      <c r="RH235" s="9" t="n">
        <v>0</v>
      </c>
      <c r="RI235" s="9" t="n">
        <v>147.04</v>
      </c>
      <c r="RM235" s="10" t="n">
        <v>46221</v>
      </c>
      <c r="RO235" s="9" t="n">
        <v>0</v>
      </c>
      <c r="RQ235" s="9" t="n">
        <v>0</v>
      </c>
      <c r="RR235" s="9" t="n">
        <v>46.8</v>
      </c>
      <c r="RV235" s="10" t="n">
        <v>46221</v>
      </c>
      <c r="RX235" s="9" t="n">
        <v>0</v>
      </c>
      <c r="RZ235" s="9" t="n">
        <v>0</v>
      </c>
      <c r="SA235" s="9" t="n">
        <v>0</v>
      </c>
      <c r="SE235" s="10" t="n">
        <v>46221</v>
      </c>
      <c r="SG235" s="9" t="n">
        <v>0</v>
      </c>
      <c r="SI235" s="9" t="n">
        <v>0</v>
      </c>
      <c r="SJ235" s="9" t="n">
        <v>24.2</v>
      </c>
      <c r="SN235" s="10" t="n">
        <v>46221</v>
      </c>
      <c r="SP235" s="9" t="n">
        <v>0</v>
      </c>
      <c r="SR235" s="9" t="n">
        <v>0</v>
      </c>
      <c r="SS235" s="9" t="n">
        <v>32</v>
      </c>
      <c r="SW235" s="10" t="n">
        <v>46221</v>
      </c>
      <c r="SY235" s="9" t="n">
        <v>0</v>
      </c>
      <c r="TA235" s="9" t="n">
        <v>0</v>
      </c>
      <c r="TB235" s="9" t="n">
        <v>0</v>
      </c>
      <c r="TF235" s="10" t="n">
        <v>46221</v>
      </c>
      <c r="TH235" s="9" t="n">
        <v>10</v>
      </c>
      <c r="TJ235" s="9" t="n">
        <v>10</v>
      </c>
      <c r="TK235" s="9" t="n">
        <v>0</v>
      </c>
      <c r="TO235" s="10" t="n">
        <v>46221</v>
      </c>
      <c r="TQ235" s="9" t="n">
        <v>10</v>
      </c>
      <c r="TS235" s="9" t="n">
        <v>10</v>
      </c>
      <c r="TT235" s="9" t="n">
        <v>22.40000000000001</v>
      </c>
      <c r="TX235" s="10" t="n">
        <v>46221</v>
      </c>
      <c r="TZ235" s="9" t="n">
        <v>10</v>
      </c>
      <c r="UB235" s="9" t="n">
        <v>10</v>
      </c>
      <c r="UC235" s="9" t="n">
        <v>46.79999999999998</v>
      </c>
      <c r="UG235" s="10" t="n">
        <v>46221</v>
      </c>
      <c r="UI235" s="9" t="n">
        <v>10</v>
      </c>
      <c r="UK235" s="9" t="n">
        <v>10</v>
      </c>
      <c r="UL235" s="9" t="n">
        <v>204</v>
      </c>
      <c r="UP235" s="10" t="n">
        <v>46221</v>
      </c>
      <c r="UR235" s="9" t="n">
        <v>0</v>
      </c>
      <c r="UT235" s="9" t="n">
        <v>0</v>
      </c>
      <c r="UU235" s="9" t="n">
        <v>242.5</v>
      </c>
      <c r="UY235" s="10" t="n">
        <v>46221</v>
      </c>
      <c r="VA235" s="9" t="n">
        <v>0</v>
      </c>
      <c r="VC235" s="9" t="n">
        <v>0</v>
      </c>
      <c r="VD235" s="9" t="n">
        <v>41.60000000000002</v>
      </c>
      <c r="VH235" s="10" t="n">
        <v>46221</v>
      </c>
      <c r="VJ235" s="9" t="n">
        <v>0</v>
      </c>
      <c r="VL235" s="9" t="n">
        <v>0</v>
      </c>
      <c r="VM235" s="9" t="n">
        <v>210</v>
      </c>
      <c r="VQ235" s="10" t="n">
        <v>46221</v>
      </c>
      <c r="VS235" s="9" t="n">
        <v>10</v>
      </c>
      <c r="VU235" s="9" t="n">
        <v>10</v>
      </c>
      <c r="VV235" s="9" t="n">
        <v>0</v>
      </c>
      <c r="VZ235" s="10" t="n">
        <v>46221</v>
      </c>
      <c r="WB235" s="9" t="n">
        <v>10</v>
      </c>
      <c r="WD235" s="9" t="n">
        <v>10</v>
      </c>
      <c r="WE235" s="9" t="n">
        <v>0</v>
      </c>
      <c r="WI235" s="10" t="n">
        <v>46221</v>
      </c>
      <c r="WK235" s="9" t="n">
        <v>10</v>
      </c>
      <c r="WM235" s="9" t="n">
        <v>10</v>
      </c>
      <c r="WN235" s="9" t="n">
        <v>1057</v>
      </c>
      <c r="WR235" s="10" t="n">
        <v>46221</v>
      </c>
      <c r="WT235" s="9" t="n">
        <v>10</v>
      </c>
      <c r="WV235" s="9" t="n">
        <v>10</v>
      </c>
      <c r="WW235" s="9" t="n">
        <v>0</v>
      </c>
      <c r="XA235" s="10" t="n">
        <v>46221</v>
      </c>
      <c r="XC235" s="9" t="n">
        <v>10</v>
      </c>
      <c r="XE235" s="9" t="n">
        <v>10</v>
      </c>
      <c r="XF235" s="9" t="n">
        <v>7507</v>
      </c>
      <c r="XJ235" s="10" t="n">
        <v>46221</v>
      </c>
      <c r="XL235" s="9" t="n">
        <v>10</v>
      </c>
      <c r="XN235" s="9" t="n">
        <v>10</v>
      </c>
      <c r="XO235" s="9" t="n">
        <v>4252</v>
      </c>
      <c r="XS235" s="10" t="n">
        <v>46221</v>
      </c>
      <c r="XU235" s="9" t="n">
        <v>10</v>
      </c>
      <c r="XW235" s="9" t="n">
        <v>10</v>
      </c>
      <c r="XX235" s="9" t="n">
        <v>2179</v>
      </c>
      <c r="YB235" s="10" t="n">
        <v>46221</v>
      </c>
      <c r="YD235" s="9" t="n">
        <v>10</v>
      </c>
      <c r="YF235" s="9" t="n">
        <v>10</v>
      </c>
      <c r="YG235" s="9" t="n">
        <v>4019</v>
      </c>
      <c r="YK235" s="10" t="n">
        <v>46221</v>
      </c>
      <c r="YM235" s="9" t="n">
        <v>10</v>
      </c>
      <c r="YO235" s="9" t="n">
        <v>10</v>
      </c>
      <c r="YP235" s="9" t="n">
        <v>0</v>
      </c>
      <c r="YT235" s="10" t="n">
        <v>46221</v>
      </c>
      <c r="YV235" s="9" t="n">
        <v>10</v>
      </c>
      <c r="YX235" s="9" t="n">
        <v>10</v>
      </c>
      <c r="YY235" s="9" t="n">
        <v>0</v>
      </c>
      <c r="ZC235" s="10" t="n">
        <v>46221</v>
      </c>
      <c r="ZE235" s="9" t="n">
        <v>10</v>
      </c>
      <c r="ZG235" s="9" t="n">
        <v>10</v>
      </c>
      <c r="ZH235" s="9" t="n">
        <v>0</v>
      </c>
      <c r="ZL235" s="10" t="n">
        <v>46221</v>
      </c>
      <c r="ZN235" s="9" t="n">
        <v>10</v>
      </c>
      <c r="ZP235" s="9" t="n">
        <v>10</v>
      </c>
      <c r="ZQ235" s="9" t="n">
        <v>0</v>
      </c>
      <c r="ZU235" s="10" t="n">
        <v>46221</v>
      </c>
      <c r="ZW235" s="9" t="n">
        <v>10</v>
      </c>
      <c r="ZY235" s="9" t="n">
        <v>10</v>
      </c>
      <c r="ZZ235" s="9" t="n">
        <v>0</v>
      </c>
      <c r="AAD235" s="10" t="n">
        <v>46221</v>
      </c>
      <c r="AAF235" s="9" t="n">
        <v>10</v>
      </c>
      <c r="AAH235" s="9" t="n">
        <v>10</v>
      </c>
      <c r="AAI235" s="9" t="n">
        <v>0</v>
      </c>
      <c r="AAM235" s="10" t="n">
        <v>46221</v>
      </c>
      <c r="AAO235" s="9" t="n">
        <v>10</v>
      </c>
      <c r="AAQ235" s="9" t="n">
        <v>10</v>
      </c>
      <c r="AAR235" s="9" t="n">
        <v>0</v>
      </c>
      <c r="AAV235" s="10" t="n">
        <v>46221</v>
      </c>
      <c r="AAX235" s="9" t="n">
        <v>10</v>
      </c>
      <c r="AAZ235" s="9" t="n">
        <v>10</v>
      </c>
      <c r="ABA235" s="9" t="n">
        <v>0</v>
      </c>
      <c r="ABE235" s="10" t="n">
        <v>46221</v>
      </c>
      <c r="ABG235" s="9" t="n">
        <v>10</v>
      </c>
      <c r="ABI235" s="9" t="n">
        <v>10</v>
      </c>
      <c r="ABJ235" s="9" t="n">
        <v>0</v>
      </c>
    </row>
    <row r="236">
      <c r="C236" s="10" t="n">
        <v>46222</v>
      </c>
      <c r="E236" s="9" t="n">
        <v>0</v>
      </c>
      <c r="G236" s="9" t="n">
        <v>0</v>
      </c>
      <c r="H236" s="9" t="n">
        <v>114022</v>
      </c>
      <c r="L236" s="10" t="n">
        <v>46222</v>
      </c>
      <c r="N236" s="9" t="n">
        <v>0</v>
      </c>
      <c r="P236" s="9" t="n">
        <v>0</v>
      </c>
      <c r="Q236" s="9" t="n">
        <v>3096.000000000069</v>
      </c>
      <c r="U236" s="10" t="n">
        <v>46222</v>
      </c>
      <c r="W236" s="9" t="n">
        <v>0</v>
      </c>
      <c r="Y236" s="9" t="n">
        <v>0</v>
      </c>
      <c r="Z236" s="9" t="n">
        <v>42697.79999999997</v>
      </c>
      <c r="AD236" s="10" t="n">
        <v>46222</v>
      </c>
      <c r="AF236" s="9" t="n">
        <v>0</v>
      </c>
      <c r="AH236" s="9" t="n">
        <v>0</v>
      </c>
      <c r="AI236" s="9" t="n">
        <v>31872.20000000002</v>
      </c>
      <c r="AM236" s="10" t="n">
        <v>46222</v>
      </c>
      <c r="AO236" s="9" t="n">
        <v>0</v>
      </c>
      <c r="AQ236" s="9" t="n">
        <v>0</v>
      </c>
      <c r="AR236" s="9" t="n">
        <v>0</v>
      </c>
      <c r="AV236" s="10" t="n">
        <v>46222</v>
      </c>
      <c r="AX236" s="9" t="n">
        <v>0</v>
      </c>
      <c r="AZ236" s="9" t="n">
        <v>0</v>
      </c>
      <c r="BA236" s="9" t="n">
        <v>726.5999999999952</v>
      </c>
      <c r="BE236" s="10" t="n">
        <v>46222</v>
      </c>
      <c r="BG236" s="9" t="n">
        <v>0</v>
      </c>
      <c r="BI236" s="9" t="n">
        <v>0</v>
      </c>
      <c r="BJ236" s="9" t="n">
        <v>29432.59999999999</v>
      </c>
      <c r="BN236" s="10" t="n">
        <v>46222</v>
      </c>
      <c r="BP236" s="9" t="n">
        <v>0</v>
      </c>
      <c r="BR236" s="9" t="n">
        <v>0</v>
      </c>
      <c r="BS236" s="9" t="n">
        <v>0</v>
      </c>
      <c r="BW236" s="10" t="n">
        <v>46222</v>
      </c>
      <c r="BY236" s="9" t="n">
        <v>0</v>
      </c>
      <c r="CA236" s="9" t="n">
        <v>0</v>
      </c>
      <c r="CB236" s="9" t="n">
        <v>6055.109999999999</v>
      </c>
      <c r="CF236" s="10" t="n">
        <v>46222</v>
      </c>
      <c r="CH236" s="9" t="n">
        <v>0</v>
      </c>
      <c r="CJ236" s="9" t="n">
        <v>0</v>
      </c>
      <c r="CK236" s="9" t="n">
        <v>-7976.659999999999</v>
      </c>
      <c r="CO236" s="10" t="n">
        <v>46222</v>
      </c>
      <c r="CQ236" s="9" t="n">
        <v>0</v>
      </c>
      <c r="CS236" s="9" t="n">
        <v>0</v>
      </c>
      <c r="CT236" s="9" t="n">
        <v>0</v>
      </c>
      <c r="CX236" s="10" t="n">
        <v>46222</v>
      </c>
      <c r="CZ236" s="9" t="n">
        <v>0</v>
      </c>
      <c r="DB236" s="9" t="n">
        <v>0</v>
      </c>
      <c r="DC236" s="9" t="n">
        <v>1311.600000000007</v>
      </c>
      <c r="DG236" s="10" t="n">
        <v>46222</v>
      </c>
      <c r="DI236" s="9" t="n">
        <v>0</v>
      </c>
      <c r="DK236" s="9" t="n">
        <v>0</v>
      </c>
      <c r="DL236" s="9" t="n">
        <v>33033.89999999998</v>
      </c>
      <c r="DP236" s="10" t="n">
        <v>46222</v>
      </c>
      <c r="DR236" s="9" t="n">
        <v>0</v>
      </c>
      <c r="DT236" s="9" t="n">
        <v>0</v>
      </c>
      <c r="DU236" s="9" t="n">
        <v>5800</v>
      </c>
      <c r="DY236" s="10" t="n">
        <v>46222</v>
      </c>
      <c r="EA236" s="9" t="n">
        <v>0</v>
      </c>
      <c r="EC236" s="9" t="n">
        <v>0</v>
      </c>
      <c r="ED236" s="9" t="n">
        <v>0</v>
      </c>
      <c r="EH236" s="10" t="n">
        <v>46222</v>
      </c>
      <c r="EJ236" s="9" t="n">
        <v>0</v>
      </c>
      <c r="EL236" s="9" t="n">
        <v>0</v>
      </c>
      <c r="EM236" s="9" t="n">
        <v>0</v>
      </c>
      <c r="EQ236" s="10" t="n">
        <v>46222</v>
      </c>
      <c r="ES236" s="9" t="n">
        <v>0</v>
      </c>
      <c r="EU236" s="9" t="n">
        <v>0</v>
      </c>
      <c r="EV236" s="9" t="n">
        <v>0</v>
      </c>
      <c r="EZ236" s="10" t="n">
        <v>46222</v>
      </c>
      <c r="FB236" s="9" t="n">
        <v>0</v>
      </c>
      <c r="FD236" s="9" t="n">
        <v>0</v>
      </c>
      <c r="FE236" s="9" t="n">
        <v>0</v>
      </c>
      <c r="FI236" s="10" t="n">
        <v>46222</v>
      </c>
      <c r="FK236" s="9" t="n">
        <v>0</v>
      </c>
      <c r="FM236" s="9" t="n">
        <v>0</v>
      </c>
      <c r="FN236" s="9" t="n">
        <v>0</v>
      </c>
      <c r="FR236" s="10" t="n">
        <v>46222</v>
      </c>
      <c r="FT236" s="9" t="n">
        <v>0</v>
      </c>
      <c r="FV236" s="9" t="n">
        <v>0</v>
      </c>
      <c r="FW236" s="9" t="n">
        <v>1160</v>
      </c>
      <c r="GA236" s="10" t="n">
        <v>46222</v>
      </c>
      <c r="GC236" s="9" t="n">
        <v>0</v>
      </c>
      <c r="GE236" s="9" t="n">
        <v>0</v>
      </c>
      <c r="GF236" s="9" t="n">
        <v>960</v>
      </c>
      <c r="GJ236" s="10" t="n">
        <v>46222</v>
      </c>
      <c r="GL236" s="9" t="n">
        <v>0</v>
      </c>
      <c r="GN236" s="9" t="n">
        <v>0</v>
      </c>
      <c r="GO236" s="9" t="n">
        <v>1760</v>
      </c>
      <c r="GS236" s="10" t="n">
        <v>46222</v>
      </c>
      <c r="GU236" s="9" t="n">
        <v>0</v>
      </c>
      <c r="GW236" s="9" t="n">
        <v>0</v>
      </c>
      <c r="GX236" s="9" t="n">
        <v>400</v>
      </c>
      <c r="HB236" s="10" t="n">
        <v>46222</v>
      </c>
      <c r="HD236" s="9" t="n">
        <v>0</v>
      </c>
      <c r="HF236" s="9" t="n">
        <v>0</v>
      </c>
      <c r="HG236" s="9" t="n">
        <v>3600</v>
      </c>
      <c r="HK236" s="10" t="n">
        <v>46222</v>
      </c>
      <c r="HM236" s="9" t="n">
        <v>0</v>
      </c>
      <c r="HO236" s="9" t="n">
        <v>0</v>
      </c>
      <c r="HP236" s="9" t="n">
        <v>0</v>
      </c>
      <c r="HU236" s="10" t="n">
        <v>46222</v>
      </c>
      <c r="HW236" s="9" t="n">
        <v>0</v>
      </c>
      <c r="HY236" s="9" t="n">
        <v>0</v>
      </c>
      <c r="HZ236" s="9" t="n">
        <v>5920</v>
      </c>
      <c r="ID236" s="10" t="n">
        <v>46222</v>
      </c>
      <c r="IF236" s="9" t="n">
        <v>0</v>
      </c>
      <c r="IH236" s="9" t="n">
        <v>0</v>
      </c>
      <c r="II236" s="9" t="n">
        <v>720</v>
      </c>
      <c r="IM236" s="10" t="n">
        <v>46222</v>
      </c>
      <c r="IO236" s="9" t="n">
        <v>0</v>
      </c>
      <c r="IQ236" s="9" t="n">
        <v>0</v>
      </c>
      <c r="IR236" s="9" t="n">
        <v>4280</v>
      </c>
      <c r="IV236" s="10" t="n">
        <v>46222</v>
      </c>
      <c r="IX236" s="9" t="n">
        <v>0</v>
      </c>
      <c r="IZ236" s="9" t="n">
        <v>0</v>
      </c>
      <c r="JA236" s="9" t="n">
        <v>4960</v>
      </c>
      <c r="JE236" s="10" t="n">
        <v>46222</v>
      </c>
      <c r="JG236" s="9" t="n">
        <v>0</v>
      </c>
      <c r="JI236" s="9" t="n">
        <v>0</v>
      </c>
      <c r="JJ236" s="9" t="n">
        <v>0</v>
      </c>
      <c r="JN236" s="10" t="n">
        <v>46222</v>
      </c>
      <c r="JP236" s="9" t="n">
        <v>0</v>
      </c>
      <c r="JR236" s="9" t="n">
        <v>0</v>
      </c>
      <c r="JS236" s="9" t="n">
        <v>0</v>
      </c>
      <c r="JW236" s="10" t="n">
        <v>46222</v>
      </c>
      <c r="JY236" s="9" t="n">
        <v>0</v>
      </c>
      <c r="KA236" s="9" t="n">
        <v>0</v>
      </c>
      <c r="KB236" s="9" t="n">
        <v>2540</v>
      </c>
      <c r="KF236" s="10" t="n">
        <v>46222</v>
      </c>
      <c r="KH236" s="9" t="n">
        <v>0</v>
      </c>
      <c r="KJ236" s="9" t="n">
        <v>0</v>
      </c>
      <c r="KK236" s="9" t="n">
        <v>2359.5</v>
      </c>
      <c r="KO236" s="10" t="n">
        <v>46222</v>
      </c>
      <c r="KQ236" s="9" t="n">
        <v>0</v>
      </c>
      <c r="KS236" s="9" t="n">
        <v>0</v>
      </c>
      <c r="KT236" s="9" t="n">
        <v>1890</v>
      </c>
      <c r="KX236" s="10" t="n">
        <v>46222</v>
      </c>
      <c r="KZ236" s="9" t="n">
        <v>0</v>
      </c>
      <c r="LB236" s="9" t="n">
        <v>0</v>
      </c>
      <c r="LC236" s="9" t="n">
        <v>3690</v>
      </c>
      <c r="LG236" s="10" t="n">
        <v>46222</v>
      </c>
      <c r="LI236" s="9" t="n">
        <v>0</v>
      </c>
      <c r="LK236" s="9" t="n">
        <v>0</v>
      </c>
      <c r="LL236" s="9" t="n">
        <v>4000</v>
      </c>
      <c r="LP236" s="10" t="n">
        <v>46222</v>
      </c>
      <c r="LR236" s="9" t="n">
        <v>0</v>
      </c>
      <c r="LT236" s="9" t="n">
        <v>0</v>
      </c>
      <c r="LU236" s="9" t="n">
        <v>0</v>
      </c>
      <c r="LY236" s="10" t="n">
        <v>46222</v>
      </c>
      <c r="MA236" s="9" t="n">
        <v>0</v>
      </c>
      <c r="MC236" s="9" t="n">
        <v>0</v>
      </c>
      <c r="MD236" s="9" t="n">
        <v>0</v>
      </c>
      <c r="MH236" s="10" t="n">
        <v>46222</v>
      </c>
      <c r="MJ236" s="9" t="n">
        <v>0</v>
      </c>
      <c r="ML236" s="9" t="n">
        <v>0</v>
      </c>
      <c r="MM236" s="9" t="n">
        <v>0</v>
      </c>
      <c r="MQ236" s="10" t="n">
        <v>46222</v>
      </c>
      <c r="MS236" s="9" t="n">
        <v>0</v>
      </c>
      <c r="MU236" s="9" t="n">
        <v>0</v>
      </c>
      <c r="MV236" s="9" t="n">
        <v>2550</v>
      </c>
      <c r="MZ236" s="10" t="n">
        <v>46222</v>
      </c>
      <c r="NB236" s="9" t="n">
        <v>0</v>
      </c>
      <c r="ND236" s="9" t="n">
        <v>0</v>
      </c>
      <c r="NE236" s="9" t="n">
        <v>0</v>
      </c>
      <c r="NI236" s="10" t="n">
        <v>46222</v>
      </c>
      <c r="NK236" s="9" t="n">
        <v>0</v>
      </c>
      <c r="NM236" s="9" t="n">
        <v>0</v>
      </c>
      <c r="NN236" s="9" t="n">
        <v>1127</v>
      </c>
      <c r="NR236" s="10" t="n">
        <v>46222</v>
      </c>
      <c r="NT236" s="9" t="n">
        <v>0</v>
      </c>
      <c r="NV236" s="9" t="n">
        <v>0</v>
      </c>
      <c r="NW236" s="9" t="n">
        <v>3112</v>
      </c>
      <c r="OA236" s="10" t="n">
        <v>46222</v>
      </c>
      <c r="OC236" s="9" t="n">
        <v>0</v>
      </c>
      <c r="OE236" s="9" t="n">
        <v>0</v>
      </c>
      <c r="OF236" s="9" t="n">
        <v>1680.5</v>
      </c>
      <c r="OJ236" s="10" t="n">
        <v>46222</v>
      </c>
      <c r="OL236" s="9" t="n">
        <v>0</v>
      </c>
      <c r="ON236" s="9" t="n">
        <v>0</v>
      </c>
      <c r="OO236" s="9" t="n">
        <v>0</v>
      </c>
      <c r="OS236" s="10" t="n">
        <v>46222</v>
      </c>
      <c r="OU236" s="9" t="n">
        <v>0</v>
      </c>
      <c r="OW236" s="9" t="n">
        <v>0</v>
      </c>
      <c r="OX236" s="9" t="n">
        <v>1482</v>
      </c>
      <c r="PB236" s="10" t="n">
        <v>46222</v>
      </c>
      <c r="PD236" s="9" t="n">
        <v>0</v>
      </c>
      <c r="PF236" s="9" t="n">
        <v>0</v>
      </c>
      <c r="PG236" s="9" t="n">
        <v>0</v>
      </c>
      <c r="PK236" s="10" t="n">
        <v>46222</v>
      </c>
      <c r="PM236" s="9" t="n">
        <v>0</v>
      </c>
      <c r="PO236" s="9" t="n">
        <v>0</v>
      </c>
      <c r="PP236" s="9" t="n">
        <v>100</v>
      </c>
      <c r="PT236" s="10" t="n">
        <v>46222</v>
      </c>
      <c r="PV236" s="9" t="n">
        <v>0</v>
      </c>
      <c r="PX236" s="9" t="n">
        <v>0</v>
      </c>
      <c r="PY236" s="9" t="n">
        <v>13.96000000000004</v>
      </c>
      <c r="QC236" s="10" t="n">
        <v>46222</v>
      </c>
      <c r="QE236" s="9" t="n">
        <v>0</v>
      </c>
      <c r="QG236" s="9" t="n">
        <v>0</v>
      </c>
      <c r="QH236" s="9" t="n">
        <v>1688</v>
      </c>
      <c r="QL236" s="10" t="n">
        <v>46222</v>
      </c>
      <c r="QN236" s="9" t="n">
        <v>0</v>
      </c>
      <c r="QP236" s="9" t="n">
        <v>0</v>
      </c>
      <c r="QQ236" s="9" t="n">
        <v>0</v>
      </c>
      <c r="QU236" s="10" t="n">
        <v>46222</v>
      </c>
      <c r="QW236" s="9" t="n">
        <v>0</v>
      </c>
      <c r="QY236" s="9" t="n">
        <v>0</v>
      </c>
      <c r="QZ236" s="9" t="n">
        <v>207.6</v>
      </c>
      <c r="RD236" s="10" t="n">
        <v>46222</v>
      </c>
      <c r="RF236" s="9" t="n">
        <v>0</v>
      </c>
      <c r="RH236" s="9" t="n">
        <v>0</v>
      </c>
      <c r="RI236" s="9" t="n">
        <v>147.04</v>
      </c>
      <c r="RM236" s="10" t="n">
        <v>46222</v>
      </c>
      <c r="RO236" s="9" t="n">
        <v>0</v>
      </c>
      <c r="RQ236" s="9" t="n">
        <v>0</v>
      </c>
      <c r="RR236" s="9" t="n">
        <v>46.8</v>
      </c>
      <c r="RV236" s="10" t="n">
        <v>46222</v>
      </c>
      <c r="RX236" s="9" t="n">
        <v>0</v>
      </c>
      <c r="RZ236" s="9" t="n">
        <v>0</v>
      </c>
      <c r="SA236" s="9" t="n">
        <v>0</v>
      </c>
      <c r="SE236" s="10" t="n">
        <v>46222</v>
      </c>
      <c r="SG236" s="9" t="n">
        <v>0</v>
      </c>
      <c r="SI236" s="9" t="n">
        <v>0</v>
      </c>
      <c r="SJ236" s="9" t="n">
        <v>24.2</v>
      </c>
      <c r="SN236" s="10" t="n">
        <v>46222</v>
      </c>
      <c r="SP236" s="9" t="n">
        <v>0</v>
      </c>
      <c r="SR236" s="9" t="n">
        <v>0</v>
      </c>
      <c r="SS236" s="9" t="n">
        <v>32</v>
      </c>
      <c r="SW236" s="10" t="n">
        <v>46222</v>
      </c>
      <c r="SY236" s="9" t="n">
        <v>0</v>
      </c>
      <c r="TA236" s="9" t="n">
        <v>0</v>
      </c>
      <c r="TB236" s="9" t="n">
        <v>0</v>
      </c>
      <c r="TF236" s="10" t="n">
        <v>46222</v>
      </c>
      <c r="TH236" s="9" t="n">
        <v>0</v>
      </c>
      <c r="TJ236" s="9" t="n">
        <v>0</v>
      </c>
      <c r="TK236" s="9" t="n">
        <v>0</v>
      </c>
      <c r="TO236" s="10" t="n">
        <v>46222</v>
      </c>
      <c r="TQ236" s="9" t="n">
        <v>0</v>
      </c>
      <c r="TS236" s="9" t="n">
        <v>0</v>
      </c>
      <c r="TT236" s="9" t="n">
        <v>22.40000000000001</v>
      </c>
      <c r="TX236" s="10" t="n">
        <v>46222</v>
      </c>
      <c r="TZ236" s="9" t="n">
        <v>0</v>
      </c>
      <c r="UB236" s="9" t="n">
        <v>0</v>
      </c>
      <c r="UC236" s="9" t="n">
        <v>46.79999999999998</v>
      </c>
      <c r="UG236" s="10" t="n">
        <v>46222</v>
      </c>
      <c r="UI236" s="9" t="n">
        <v>0</v>
      </c>
      <c r="UK236" s="9" t="n">
        <v>0</v>
      </c>
      <c r="UL236" s="9" t="n">
        <v>204</v>
      </c>
      <c r="UP236" s="10" t="n">
        <v>46222</v>
      </c>
      <c r="UR236" s="9" t="n">
        <v>0</v>
      </c>
      <c r="UT236" s="9" t="n">
        <v>0</v>
      </c>
      <c r="UU236" s="9" t="n">
        <v>242.5</v>
      </c>
      <c r="UY236" s="10" t="n">
        <v>46222</v>
      </c>
      <c r="VA236" s="9" t="n">
        <v>0</v>
      </c>
      <c r="VC236" s="9" t="n">
        <v>0</v>
      </c>
      <c r="VD236" s="9" t="n">
        <v>41.60000000000002</v>
      </c>
      <c r="VH236" s="10" t="n">
        <v>46222</v>
      </c>
      <c r="VJ236" s="9" t="n">
        <v>0</v>
      </c>
      <c r="VL236" s="9" t="n">
        <v>0</v>
      </c>
      <c r="VM236" s="9" t="n">
        <v>210</v>
      </c>
      <c r="VQ236" s="10" t="n">
        <v>46222</v>
      </c>
      <c r="VS236" s="9" t="n">
        <v>0</v>
      </c>
      <c r="VU236" s="9" t="n">
        <v>0</v>
      </c>
      <c r="VV236" s="9" t="n">
        <v>0</v>
      </c>
      <c r="VZ236" s="10" t="n">
        <v>46222</v>
      </c>
      <c r="WB236" s="9" t="n">
        <v>0</v>
      </c>
      <c r="WD236" s="9" t="n">
        <v>0</v>
      </c>
      <c r="WE236" s="9" t="n">
        <v>0</v>
      </c>
      <c r="WI236" s="10" t="n">
        <v>46222</v>
      </c>
      <c r="WK236" s="9" t="n">
        <v>0</v>
      </c>
      <c r="WM236" s="9" t="n">
        <v>0</v>
      </c>
      <c r="WN236" s="9" t="n">
        <v>1057</v>
      </c>
      <c r="WR236" s="10" t="n">
        <v>46222</v>
      </c>
      <c r="WT236" s="9" t="n">
        <v>0</v>
      </c>
      <c r="WV236" s="9" t="n">
        <v>0</v>
      </c>
      <c r="WW236" s="9" t="n">
        <v>0</v>
      </c>
      <c r="XA236" s="10" t="n">
        <v>46222</v>
      </c>
      <c r="XC236" s="9" t="n">
        <v>0</v>
      </c>
      <c r="XE236" s="9" t="n">
        <v>0</v>
      </c>
      <c r="XF236" s="9" t="n">
        <v>7507</v>
      </c>
      <c r="XJ236" s="10" t="n">
        <v>46222</v>
      </c>
      <c r="XL236" s="9" t="n">
        <v>0</v>
      </c>
      <c r="XN236" s="9" t="n">
        <v>0</v>
      </c>
      <c r="XO236" s="9" t="n">
        <v>4252</v>
      </c>
      <c r="XS236" s="10" t="n">
        <v>46222</v>
      </c>
      <c r="XU236" s="9" t="n">
        <v>0</v>
      </c>
      <c r="XW236" s="9" t="n">
        <v>0</v>
      </c>
      <c r="XX236" s="9" t="n">
        <v>2179</v>
      </c>
      <c r="YB236" s="10" t="n">
        <v>46222</v>
      </c>
      <c r="YD236" s="9" t="n">
        <v>0</v>
      </c>
      <c r="YF236" s="9" t="n">
        <v>0</v>
      </c>
      <c r="YG236" s="9" t="n">
        <v>4019</v>
      </c>
      <c r="YK236" s="10" t="n">
        <v>46222</v>
      </c>
      <c r="YM236" s="9" t="n">
        <v>0</v>
      </c>
      <c r="YO236" s="9" t="n">
        <v>0</v>
      </c>
      <c r="YP236" s="9" t="n">
        <v>0</v>
      </c>
      <c r="YT236" s="10" t="n">
        <v>46222</v>
      </c>
      <c r="YV236" s="9" t="n">
        <v>0</v>
      </c>
      <c r="YX236" s="9" t="n">
        <v>0</v>
      </c>
      <c r="YY236" s="9" t="n">
        <v>0</v>
      </c>
      <c r="ZC236" s="10" t="n">
        <v>46222</v>
      </c>
      <c r="ZE236" s="9" t="n">
        <v>0</v>
      </c>
      <c r="ZG236" s="9" t="n">
        <v>0</v>
      </c>
      <c r="ZH236" s="9" t="n">
        <v>0</v>
      </c>
      <c r="ZL236" s="10" t="n">
        <v>46222</v>
      </c>
      <c r="ZN236" s="9" t="n">
        <v>0</v>
      </c>
      <c r="ZP236" s="9" t="n">
        <v>0</v>
      </c>
      <c r="ZQ236" s="9" t="n">
        <v>0</v>
      </c>
      <c r="ZU236" s="10" t="n">
        <v>46222</v>
      </c>
      <c r="ZW236" s="9" t="n">
        <v>0</v>
      </c>
      <c r="ZY236" s="9" t="n">
        <v>0</v>
      </c>
      <c r="ZZ236" s="9" t="n">
        <v>0</v>
      </c>
      <c r="AAD236" s="10" t="n">
        <v>46222</v>
      </c>
      <c r="AAF236" s="9" t="n">
        <v>0</v>
      </c>
      <c r="AAH236" s="9" t="n">
        <v>0</v>
      </c>
      <c r="AAI236" s="9" t="n">
        <v>0</v>
      </c>
      <c r="AAM236" s="10" t="n">
        <v>46222</v>
      </c>
      <c r="AAO236" s="9" t="n">
        <v>0</v>
      </c>
      <c r="AAQ236" s="9" t="n">
        <v>0</v>
      </c>
      <c r="AAR236" s="9" t="n">
        <v>0</v>
      </c>
      <c r="AAV236" s="10" t="n">
        <v>46222</v>
      </c>
      <c r="AAX236" s="9" t="n">
        <v>0</v>
      </c>
      <c r="AAZ236" s="9" t="n">
        <v>0</v>
      </c>
      <c r="ABA236" s="9" t="n">
        <v>0</v>
      </c>
      <c r="ABE236" s="10" t="n">
        <v>46222</v>
      </c>
      <c r="ABG236" s="9" t="n">
        <v>0</v>
      </c>
      <c r="ABI236" s="9" t="n">
        <v>0</v>
      </c>
      <c r="ABJ236" s="9" t="n">
        <v>0</v>
      </c>
    </row>
    <row r="237">
      <c r="C237" s="10" t="n">
        <v>46223</v>
      </c>
      <c r="D237" s="9" t="n">
        <v>40150</v>
      </c>
      <c r="E237" s="9" t="n">
        <v>0</v>
      </c>
      <c r="G237" s="9" t="n">
        <v>0</v>
      </c>
      <c r="H237" s="9" t="n">
        <v>154172</v>
      </c>
      <c r="L237" s="10" t="n">
        <v>46223</v>
      </c>
      <c r="N237" s="9" t="n">
        <v>0</v>
      </c>
      <c r="P237" s="9" t="n">
        <v>0</v>
      </c>
      <c r="Q237" s="9" t="n">
        <v>3096.000000000069</v>
      </c>
      <c r="U237" s="10" t="n">
        <v>46223</v>
      </c>
      <c r="W237" s="9" t="n">
        <v>0</v>
      </c>
      <c r="Y237" s="9" t="n">
        <v>0</v>
      </c>
      <c r="Z237" s="9" t="n">
        <v>42697.79999999997</v>
      </c>
      <c r="AD237" s="10" t="n">
        <v>46223</v>
      </c>
      <c r="AF237" s="9" t="n">
        <v>0</v>
      </c>
      <c r="AH237" s="9" t="n">
        <v>0</v>
      </c>
      <c r="AI237" s="9" t="n">
        <v>31872.20000000002</v>
      </c>
      <c r="AM237" s="10" t="n">
        <v>46223</v>
      </c>
      <c r="AO237" s="9" t="n">
        <v>0</v>
      </c>
      <c r="AQ237" s="9" t="n">
        <v>0</v>
      </c>
      <c r="AR237" s="9" t="n">
        <v>0</v>
      </c>
      <c r="AV237" s="10" t="n">
        <v>46223</v>
      </c>
      <c r="AX237" s="9" t="n">
        <v>0</v>
      </c>
      <c r="AZ237" s="9" t="n">
        <v>0</v>
      </c>
      <c r="BA237" s="9" t="n">
        <v>726.5999999999952</v>
      </c>
      <c r="BE237" s="10" t="n">
        <v>46223</v>
      </c>
      <c r="BG237" s="9" t="n">
        <v>0</v>
      </c>
      <c r="BI237" s="9" t="n">
        <v>0</v>
      </c>
      <c r="BJ237" s="9" t="n">
        <v>29432.59999999999</v>
      </c>
      <c r="BN237" s="10" t="n">
        <v>46223</v>
      </c>
      <c r="BP237" s="9" t="n">
        <v>0</v>
      </c>
      <c r="BR237" s="9" t="n">
        <v>0</v>
      </c>
      <c r="BS237" s="9" t="n">
        <v>0</v>
      </c>
      <c r="BW237" s="10" t="n">
        <v>46223</v>
      </c>
      <c r="BY237" s="9" t="n">
        <v>0</v>
      </c>
      <c r="BZ237" s="9" t="n">
        <v>117.75</v>
      </c>
      <c r="CA237" s="9" t="n">
        <v>-117.75</v>
      </c>
      <c r="CB237" s="9" t="n">
        <v>5937.359999999999</v>
      </c>
      <c r="CF237" s="10" t="n">
        <v>46223</v>
      </c>
      <c r="CH237" s="9" t="n">
        <v>0</v>
      </c>
      <c r="CI237" s="9" t="n">
        <v>124.7</v>
      </c>
      <c r="CJ237" s="9" t="n">
        <v>-124.7</v>
      </c>
      <c r="CK237" s="9" t="n">
        <v>-8101.359999999999</v>
      </c>
      <c r="CO237" s="10" t="n">
        <v>46223</v>
      </c>
      <c r="CQ237" s="9" t="n">
        <v>0</v>
      </c>
      <c r="CS237" s="9" t="n">
        <v>0</v>
      </c>
      <c r="CT237" s="9" t="n">
        <v>0</v>
      </c>
      <c r="CX237" s="10" t="n">
        <v>46223</v>
      </c>
      <c r="CZ237" s="9" t="n">
        <v>0</v>
      </c>
      <c r="DB237" s="9" t="n">
        <v>0</v>
      </c>
      <c r="DC237" s="9" t="n">
        <v>1311.600000000007</v>
      </c>
      <c r="DG237" s="10" t="n">
        <v>46223</v>
      </c>
      <c r="DI237" s="9" t="n">
        <v>0</v>
      </c>
      <c r="DK237" s="9" t="n">
        <v>0</v>
      </c>
      <c r="DL237" s="9" t="n">
        <v>33033.89999999998</v>
      </c>
      <c r="DP237" s="10" t="n">
        <v>46223</v>
      </c>
      <c r="DR237" s="9" t="n">
        <v>0</v>
      </c>
      <c r="DT237" s="9" t="n">
        <v>0</v>
      </c>
      <c r="DU237" s="9" t="n">
        <v>5800</v>
      </c>
      <c r="DY237" s="10" t="n">
        <v>46223</v>
      </c>
      <c r="EA237" s="9" t="n">
        <v>0</v>
      </c>
      <c r="EC237" s="9" t="n">
        <v>0</v>
      </c>
      <c r="ED237" s="9" t="n">
        <v>0</v>
      </c>
      <c r="EH237" s="10" t="n">
        <v>46223</v>
      </c>
      <c r="EJ237" s="9" t="n">
        <v>0</v>
      </c>
      <c r="EL237" s="9" t="n">
        <v>0</v>
      </c>
      <c r="EM237" s="9" t="n">
        <v>0</v>
      </c>
      <c r="EQ237" s="10" t="n">
        <v>46223</v>
      </c>
      <c r="ES237" s="9" t="n">
        <v>0</v>
      </c>
      <c r="EU237" s="9" t="n">
        <v>0</v>
      </c>
      <c r="EV237" s="9" t="n">
        <v>0</v>
      </c>
      <c r="EZ237" s="10" t="n">
        <v>46223</v>
      </c>
      <c r="FB237" s="9" t="n">
        <v>0</v>
      </c>
      <c r="FD237" s="9" t="n">
        <v>0</v>
      </c>
      <c r="FE237" s="9" t="n">
        <v>0</v>
      </c>
      <c r="FI237" s="10" t="n">
        <v>46223</v>
      </c>
      <c r="FK237" s="9" t="n">
        <v>0</v>
      </c>
      <c r="FM237" s="9" t="n">
        <v>0</v>
      </c>
      <c r="FN237" s="9" t="n">
        <v>0</v>
      </c>
      <c r="FR237" s="10" t="n">
        <v>46223</v>
      </c>
      <c r="FT237" s="9" t="n">
        <v>0</v>
      </c>
      <c r="FV237" s="9" t="n">
        <v>0</v>
      </c>
      <c r="FW237" s="9" t="n">
        <v>1160</v>
      </c>
      <c r="GA237" s="10" t="n">
        <v>46223</v>
      </c>
      <c r="GC237" s="9" t="n">
        <v>0</v>
      </c>
      <c r="GE237" s="9" t="n">
        <v>0</v>
      </c>
      <c r="GF237" s="9" t="n">
        <v>960</v>
      </c>
      <c r="GJ237" s="10" t="n">
        <v>46223</v>
      </c>
      <c r="GL237" s="9" t="n">
        <v>0</v>
      </c>
      <c r="GN237" s="9" t="n">
        <v>0</v>
      </c>
      <c r="GO237" s="9" t="n">
        <v>1760</v>
      </c>
      <c r="GS237" s="10" t="n">
        <v>46223</v>
      </c>
      <c r="GU237" s="9" t="n">
        <v>0</v>
      </c>
      <c r="GW237" s="9" t="n">
        <v>0</v>
      </c>
      <c r="GX237" s="9" t="n">
        <v>400</v>
      </c>
      <c r="HB237" s="10" t="n">
        <v>46223</v>
      </c>
      <c r="HD237" s="9" t="n">
        <v>0</v>
      </c>
      <c r="HF237" s="9" t="n">
        <v>0</v>
      </c>
      <c r="HG237" s="9" t="n">
        <v>3600</v>
      </c>
      <c r="HK237" s="10" t="n">
        <v>46223</v>
      </c>
      <c r="HM237" s="9" t="n">
        <v>0</v>
      </c>
      <c r="HO237" s="9" t="n">
        <v>0</v>
      </c>
      <c r="HP237" s="9" t="n">
        <v>0</v>
      </c>
      <c r="HU237" s="10" t="n">
        <v>46223</v>
      </c>
      <c r="HW237" s="9" t="n">
        <v>0</v>
      </c>
      <c r="HY237" s="9" t="n">
        <v>0</v>
      </c>
      <c r="HZ237" s="9" t="n">
        <v>5920</v>
      </c>
      <c r="ID237" s="10" t="n">
        <v>46223</v>
      </c>
      <c r="IF237" s="9" t="n">
        <v>0</v>
      </c>
      <c r="IH237" s="9" t="n">
        <v>0</v>
      </c>
      <c r="II237" s="9" t="n">
        <v>720</v>
      </c>
      <c r="IM237" s="10" t="n">
        <v>46223</v>
      </c>
      <c r="IO237" s="9" t="n">
        <v>0</v>
      </c>
      <c r="IQ237" s="9" t="n">
        <v>0</v>
      </c>
      <c r="IR237" s="9" t="n">
        <v>4280</v>
      </c>
      <c r="IV237" s="10" t="n">
        <v>46223</v>
      </c>
      <c r="IX237" s="9" t="n">
        <v>0</v>
      </c>
      <c r="IZ237" s="9" t="n">
        <v>0</v>
      </c>
      <c r="JA237" s="9" t="n">
        <v>4960</v>
      </c>
      <c r="JE237" s="10" t="n">
        <v>46223</v>
      </c>
      <c r="JG237" s="9" t="n">
        <v>0</v>
      </c>
      <c r="JI237" s="9" t="n">
        <v>0</v>
      </c>
      <c r="JJ237" s="9" t="n">
        <v>0</v>
      </c>
      <c r="JN237" s="10" t="n">
        <v>46223</v>
      </c>
      <c r="JP237" s="9" t="n">
        <v>0</v>
      </c>
      <c r="JR237" s="9" t="n">
        <v>0</v>
      </c>
      <c r="JS237" s="9" t="n">
        <v>0</v>
      </c>
      <c r="JW237" s="10" t="n">
        <v>46223</v>
      </c>
      <c r="JY237" s="9" t="n">
        <v>0</v>
      </c>
      <c r="KA237" s="9" t="n">
        <v>0</v>
      </c>
      <c r="KB237" s="9" t="n">
        <v>2540</v>
      </c>
      <c r="KF237" s="10" t="n">
        <v>46223</v>
      </c>
      <c r="KH237" s="9" t="n">
        <v>0</v>
      </c>
      <c r="KJ237" s="9" t="n">
        <v>0</v>
      </c>
      <c r="KK237" s="9" t="n">
        <v>2359.5</v>
      </c>
      <c r="KO237" s="10" t="n">
        <v>46223</v>
      </c>
      <c r="KQ237" s="9" t="n">
        <v>0</v>
      </c>
      <c r="KS237" s="9" t="n">
        <v>0</v>
      </c>
      <c r="KT237" s="9" t="n">
        <v>1890</v>
      </c>
      <c r="KX237" s="10" t="n">
        <v>46223</v>
      </c>
      <c r="KZ237" s="9" t="n">
        <v>0</v>
      </c>
      <c r="LB237" s="9" t="n">
        <v>0</v>
      </c>
      <c r="LC237" s="9" t="n">
        <v>3690</v>
      </c>
      <c r="LG237" s="10" t="n">
        <v>46223</v>
      </c>
      <c r="LI237" s="9" t="n">
        <v>0</v>
      </c>
      <c r="LK237" s="9" t="n">
        <v>0</v>
      </c>
      <c r="LL237" s="9" t="n">
        <v>4000</v>
      </c>
      <c r="LP237" s="10" t="n">
        <v>46223</v>
      </c>
      <c r="LR237" s="9" t="n">
        <v>0</v>
      </c>
      <c r="LT237" s="9" t="n">
        <v>0</v>
      </c>
      <c r="LU237" s="9" t="n">
        <v>0</v>
      </c>
      <c r="LY237" s="10" t="n">
        <v>46223</v>
      </c>
      <c r="MA237" s="9" t="n">
        <v>0</v>
      </c>
      <c r="MC237" s="9" t="n">
        <v>0</v>
      </c>
      <c r="MD237" s="9" t="n">
        <v>0</v>
      </c>
      <c r="MH237" s="10" t="n">
        <v>46223</v>
      </c>
      <c r="MJ237" s="9" t="n">
        <v>0</v>
      </c>
      <c r="ML237" s="9" t="n">
        <v>0</v>
      </c>
      <c r="MM237" s="9" t="n">
        <v>0</v>
      </c>
      <c r="MQ237" s="10" t="n">
        <v>46223</v>
      </c>
      <c r="MS237" s="9" t="n">
        <v>0</v>
      </c>
      <c r="MT237" s="9" t="n">
        <v>10</v>
      </c>
      <c r="MU237" s="9" t="n">
        <v>-10</v>
      </c>
      <c r="MV237" s="9" t="n">
        <v>2540</v>
      </c>
      <c r="MZ237" s="10" t="n">
        <v>46223</v>
      </c>
      <c r="NA237" s="9" t="n">
        <v>120</v>
      </c>
      <c r="NB237" s="9" t="n">
        <v>0</v>
      </c>
      <c r="NC237" s="9" t="n">
        <v>120</v>
      </c>
      <c r="ND237" s="9" t="n">
        <v>-120</v>
      </c>
      <c r="NE237" s="9" t="n">
        <v>0</v>
      </c>
      <c r="NI237" s="10" t="n">
        <v>46223</v>
      </c>
      <c r="NK237" s="9" t="n">
        <v>0</v>
      </c>
      <c r="NM237" s="9" t="n">
        <v>0</v>
      </c>
      <c r="NN237" s="9" t="n">
        <v>1127</v>
      </c>
      <c r="NR237" s="10" t="n">
        <v>46223</v>
      </c>
      <c r="NT237" s="9" t="n">
        <v>0</v>
      </c>
      <c r="NV237" s="9" t="n">
        <v>0</v>
      </c>
      <c r="NW237" s="9" t="n">
        <v>3112</v>
      </c>
      <c r="OA237" s="10" t="n">
        <v>46223</v>
      </c>
      <c r="OC237" s="9" t="n">
        <v>0</v>
      </c>
      <c r="OE237" s="9" t="n">
        <v>0</v>
      </c>
      <c r="OF237" s="9" t="n">
        <v>1680.5</v>
      </c>
      <c r="OJ237" s="10" t="n">
        <v>46223</v>
      </c>
      <c r="OK237" s="9" t="n">
        <v>28</v>
      </c>
      <c r="OL237" s="9" t="n">
        <v>0</v>
      </c>
      <c r="OM237" s="9" t="n">
        <v>28</v>
      </c>
      <c r="ON237" s="9" t="n">
        <v>-28</v>
      </c>
      <c r="OO237" s="9" t="n">
        <v>0</v>
      </c>
      <c r="OS237" s="10" t="n">
        <v>46223</v>
      </c>
      <c r="OU237" s="9" t="n">
        <v>0</v>
      </c>
      <c r="OW237" s="9" t="n">
        <v>0</v>
      </c>
      <c r="OX237" s="9" t="n">
        <v>1482</v>
      </c>
      <c r="PB237" s="10" t="n">
        <v>46223</v>
      </c>
      <c r="PD237" s="9" t="n">
        <v>0</v>
      </c>
      <c r="PF237" s="9" t="n">
        <v>0</v>
      </c>
      <c r="PG237" s="9" t="n">
        <v>0</v>
      </c>
      <c r="PK237" s="10" t="n">
        <v>46223</v>
      </c>
      <c r="PM237" s="9" t="n">
        <v>0</v>
      </c>
      <c r="PO237" s="9" t="n">
        <v>0</v>
      </c>
      <c r="PP237" s="9" t="n">
        <v>100</v>
      </c>
      <c r="PT237" s="10" t="n">
        <v>46223</v>
      </c>
      <c r="PV237" s="9" t="n">
        <v>0</v>
      </c>
      <c r="PX237" s="9" t="n">
        <v>0</v>
      </c>
      <c r="PY237" s="9" t="n">
        <v>13.96000000000004</v>
      </c>
      <c r="QC237" s="10" t="n">
        <v>46223</v>
      </c>
      <c r="QE237" s="9" t="n">
        <v>0</v>
      </c>
      <c r="QG237" s="9" t="n">
        <v>0</v>
      </c>
      <c r="QH237" s="9" t="n">
        <v>1688</v>
      </c>
      <c r="QL237" s="10" t="n">
        <v>46223</v>
      </c>
      <c r="QN237" s="9" t="n">
        <v>0</v>
      </c>
      <c r="QP237" s="9" t="n">
        <v>0</v>
      </c>
      <c r="QQ237" s="9" t="n">
        <v>0</v>
      </c>
      <c r="QU237" s="10" t="n">
        <v>46223</v>
      </c>
      <c r="QW237" s="9" t="n">
        <v>0</v>
      </c>
      <c r="QY237" s="9" t="n">
        <v>0</v>
      </c>
      <c r="QZ237" s="9" t="n">
        <v>207.6</v>
      </c>
      <c r="RD237" s="10" t="n">
        <v>46223</v>
      </c>
      <c r="RF237" s="9" t="n">
        <v>0</v>
      </c>
      <c r="RH237" s="9" t="n">
        <v>0</v>
      </c>
      <c r="RI237" s="9" t="n">
        <v>147.04</v>
      </c>
      <c r="RM237" s="10" t="n">
        <v>46223</v>
      </c>
      <c r="RO237" s="9" t="n">
        <v>0</v>
      </c>
      <c r="RQ237" s="9" t="n">
        <v>0</v>
      </c>
      <c r="RR237" s="9" t="n">
        <v>46.8</v>
      </c>
      <c r="RV237" s="10" t="n">
        <v>46223</v>
      </c>
      <c r="RX237" s="9" t="n">
        <v>0</v>
      </c>
      <c r="RZ237" s="9" t="n">
        <v>0</v>
      </c>
      <c r="SA237" s="9" t="n">
        <v>0</v>
      </c>
      <c r="SE237" s="10" t="n">
        <v>46223</v>
      </c>
      <c r="SG237" s="9" t="n">
        <v>0</v>
      </c>
      <c r="SI237" s="9" t="n">
        <v>0</v>
      </c>
      <c r="SJ237" s="9" t="n">
        <v>24.2</v>
      </c>
      <c r="SN237" s="10" t="n">
        <v>46223</v>
      </c>
      <c r="SP237" s="9" t="n">
        <v>0</v>
      </c>
      <c r="SR237" s="9" t="n">
        <v>0</v>
      </c>
      <c r="SS237" s="9" t="n">
        <v>32</v>
      </c>
      <c r="SW237" s="10" t="n">
        <v>46223</v>
      </c>
      <c r="SY237" s="9" t="n">
        <v>0</v>
      </c>
      <c r="TA237" s="9" t="n">
        <v>0</v>
      </c>
      <c r="TB237" s="9" t="n">
        <v>0</v>
      </c>
      <c r="TF237" s="10" t="n">
        <v>46223</v>
      </c>
      <c r="TH237" s="9" t="n">
        <v>0</v>
      </c>
      <c r="TJ237" s="9" t="n">
        <v>0</v>
      </c>
      <c r="TK237" s="9" t="n">
        <v>0</v>
      </c>
      <c r="TO237" s="10" t="n">
        <v>46223</v>
      </c>
      <c r="TQ237" s="9" t="n">
        <v>0</v>
      </c>
      <c r="TS237" s="9" t="n">
        <v>0</v>
      </c>
      <c r="TT237" s="9" t="n">
        <v>22.40000000000001</v>
      </c>
      <c r="TX237" s="10" t="n">
        <v>46223</v>
      </c>
      <c r="TZ237" s="9" t="n">
        <v>0</v>
      </c>
      <c r="UB237" s="9" t="n">
        <v>0</v>
      </c>
      <c r="UC237" s="9" t="n">
        <v>46.79999999999998</v>
      </c>
      <c r="UG237" s="10" t="n">
        <v>46223</v>
      </c>
      <c r="UI237" s="9" t="n">
        <v>0</v>
      </c>
      <c r="UK237" s="9" t="n">
        <v>0</v>
      </c>
      <c r="UL237" s="9" t="n">
        <v>204</v>
      </c>
      <c r="UP237" s="10" t="n">
        <v>46223</v>
      </c>
      <c r="UR237" s="9" t="n">
        <v>0</v>
      </c>
      <c r="UT237" s="9" t="n">
        <v>0</v>
      </c>
      <c r="UU237" s="9" t="n">
        <v>242.5</v>
      </c>
      <c r="UY237" s="10" t="n">
        <v>46223</v>
      </c>
      <c r="VA237" s="9" t="n">
        <v>0</v>
      </c>
      <c r="VC237" s="9" t="n">
        <v>0</v>
      </c>
      <c r="VD237" s="9" t="n">
        <v>41.60000000000002</v>
      </c>
      <c r="VH237" s="10" t="n">
        <v>46223</v>
      </c>
      <c r="VJ237" s="9" t="n">
        <v>0</v>
      </c>
      <c r="VL237" s="9" t="n">
        <v>0</v>
      </c>
      <c r="VM237" s="9" t="n">
        <v>210</v>
      </c>
      <c r="VQ237" s="10" t="n">
        <v>46223</v>
      </c>
      <c r="VS237" s="9" t="n">
        <v>0</v>
      </c>
      <c r="VU237" s="9" t="n">
        <v>0</v>
      </c>
      <c r="VV237" s="9" t="n">
        <v>0</v>
      </c>
      <c r="VZ237" s="10" t="n">
        <v>46223</v>
      </c>
      <c r="WB237" s="9" t="n">
        <v>0</v>
      </c>
      <c r="WD237" s="9" t="n">
        <v>0</v>
      </c>
      <c r="WE237" s="9" t="n">
        <v>0</v>
      </c>
      <c r="WI237" s="10" t="n">
        <v>46223</v>
      </c>
      <c r="WK237" s="9" t="n">
        <v>0</v>
      </c>
      <c r="WM237" s="9" t="n">
        <v>0</v>
      </c>
      <c r="WN237" s="9" t="n">
        <v>1057</v>
      </c>
      <c r="WR237" s="10" t="n">
        <v>46223</v>
      </c>
      <c r="WT237" s="9" t="n">
        <v>0</v>
      </c>
      <c r="WV237" s="9" t="n">
        <v>0</v>
      </c>
      <c r="WW237" s="9" t="n">
        <v>0</v>
      </c>
      <c r="XA237" s="10" t="n">
        <v>46223</v>
      </c>
      <c r="XC237" s="9" t="n">
        <v>0</v>
      </c>
      <c r="XE237" s="9" t="n">
        <v>0</v>
      </c>
      <c r="XF237" s="9" t="n">
        <v>7507</v>
      </c>
      <c r="XJ237" s="10" t="n">
        <v>46223</v>
      </c>
      <c r="XL237" s="9" t="n">
        <v>0</v>
      </c>
      <c r="XN237" s="9" t="n">
        <v>0</v>
      </c>
      <c r="XO237" s="9" t="n">
        <v>4252</v>
      </c>
      <c r="XS237" s="10" t="n">
        <v>46223</v>
      </c>
      <c r="XU237" s="9" t="n">
        <v>0</v>
      </c>
      <c r="XW237" s="9" t="n">
        <v>0</v>
      </c>
      <c r="XX237" s="9" t="n">
        <v>2179</v>
      </c>
      <c r="YB237" s="10" t="n">
        <v>46223</v>
      </c>
      <c r="YD237" s="9" t="n">
        <v>0</v>
      </c>
      <c r="YF237" s="9" t="n">
        <v>0</v>
      </c>
      <c r="YG237" s="9" t="n">
        <v>4019</v>
      </c>
      <c r="YK237" s="10" t="n">
        <v>46223</v>
      </c>
      <c r="YM237" s="9" t="n">
        <v>0</v>
      </c>
      <c r="YO237" s="9" t="n">
        <v>0</v>
      </c>
      <c r="YP237" s="9" t="n">
        <v>0</v>
      </c>
      <c r="YT237" s="10" t="n">
        <v>46223</v>
      </c>
      <c r="YV237" s="9" t="n">
        <v>0</v>
      </c>
      <c r="YX237" s="9" t="n">
        <v>0</v>
      </c>
      <c r="YY237" s="9" t="n">
        <v>0</v>
      </c>
      <c r="ZC237" s="10" t="n">
        <v>46223</v>
      </c>
      <c r="ZE237" s="9" t="n">
        <v>0</v>
      </c>
      <c r="ZG237" s="9" t="n">
        <v>0</v>
      </c>
      <c r="ZH237" s="9" t="n">
        <v>0</v>
      </c>
      <c r="ZL237" s="10" t="n">
        <v>46223</v>
      </c>
      <c r="ZN237" s="9" t="n">
        <v>0</v>
      </c>
      <c r="ZP237" s="9" t="n">
        <v>0</v>
      </c>
      <c r="ZQ237" s="9" t="n">
        <v>0</v>
      </c>
      <c r="ZU237" s="10" t="n">
        <v>46223</v>
      </c>
      <c r="ZW237" s="9" t="n">
        <v>0</v>
      </c>
      <c r="ZY237" s="9" t="n">
        <v>0</v>
      </c>
      <c r="ZZ237" s="9" t="n">
        <v>0</v>
      </c>
      <c r="AAD237" s="10" t="n">
        <v>46223</v>
      </c>
      <c r="AAF237" s="9" t="n">
        <v>0</v>
      </c>
      <c r="AAH237" s="9" t="n">
        <v>0</v>
      </c>
      <c r="AAI237" s="9" t="n">
        <v>0</v>
      </c>
      <c r="AAM237" s="10" t="n">
        <v>46223</v>
      </c>
      <c r="AAO237" s="9" t="n">
        <v>0</v>
      </c>
      <c r="AAQ237" s="9" t="n">
        <v>0</v>
      </c>
      <c r="AAR237" s="9" t="n">
        <v>0</v>
      </c>
      <c r="AAV237" s="10" t="n">
        <v>46223</v>
      </c>
      <c r="AAX237" s="9" t="n">
        <v>0</v>
      </c>
      <c r="AAZ237" s="9" t="n">
        <v>0</v>
      </c>
      <c r="ABA237" s="9" t="n">
        <v>0</v>
      </c>
      <c r="ABE237" s="10" t="n">
        <v>46223</v>
      </c>
      <c r="ABG237" s="9" t="n">
        <v>0</v>
      </c>
      <c r="ABI237" s="9" t="n">
        <v>0</v>
      </c>
      <c r="ABJ237" s="9" t="n">
        <v>0</v>
      </c>
    </row>
    <row r="238">
      <c r="C238" s="10" t="n">
        <v>46224</v>
      </c>
      <c r="E238" s="9" t="n">
        <v>21431</v>
      </c>
      <c r="F238" s="9" t="n">
        <v>37245.6</v>
      </c>
      <c r="G238" s="9" t="n">
        <v>-15814.6</v>
      </c>
      <c r="H238" s="9" t="n">
        <v>116926.4</v>
      </c>
      <c r="L238" s="10" t="n">
        <v>46224</v>
      </c>
      <c r="M238" s="9" t="n">
        <v>13550</v>
      </c>
      <c r="N238" s="9" t="n">
        <v>12285.7</v>
      </c>
      <c r="O238" s="9" t="n">
        <v>17881</v>
      </c>
      <c r="P238" s="9" t="n">
        <v>-5595.299999999999</v>
      </c>
      <c r="Q238" s="9" t="n">
        <v>-1234.999999999931</v>
      </c>
      <c r="U238" s="10" t="n">
        <v>46224</v>
      </c>
      <c r="W238" s="9" t="n">
        <v>2300</v>
      </c>
      <c r="X238" s="9" t="n">
        <v>4120.7</v>
      </c>
      <c r="Y238" s="9" t="n">
        <v>-1820.7</v>
      </c>
      <c r="Z238" s="9" t="n">
        <v>38577.09999999997</v>
      </c>
      <c r="AD238" s="10" t="n">
        <v>46224</v>
      </c>
      <c r="AF238" s="9" t="n">
        <v>0</v>
      </c>
      <c r="AH238" s="9" t="n">
        <v>0</v>
      </c>
      <c r="AI238" s="9" t="n">
        <v>31872.20000000002</v>
      </c>
      <c r="AM238" s="10" t="n">
        <v>46224</v>
      </c>
      <c r="AO238" s="9" t="n">
        <v>0</v>
      </c>
      <c r="AQ238" s="9" t="n">
        <v>0</v>
      </c>
      <c r="AR238" s="9" t="n">
        <v>0</v>
      </c>
      <c r="AV238" s="10" t="n">
        <v>46224</v>
      </c>
      <c r="AX238" s="9" t="n">
        <v>0</v>
      </c>
      <c r="AZ238" s="9" t="n">
        <v>0</v>
      </c>
      <c r="BA238" s="9" t="n">
        <v>726.5999999999952</v>
      </c>
      <c r="BE238" s="10" t="n">
        <v>46224</v>
      </c>
      <c r="BG238" s="9" t="n">
        <v>0</v>
      </c>
      <c r="BH238" s="9" t="n">
        <v>259.5</v>
      </c>
      <c r="BI238" s="9" t="n">
        <v>-259.5</v>
      </c>
      <c r="BJ238" s="9" t="n">
        <v>29173.09999999999</v>
      </c>
      <c r="BN238" s="10" t="n">
        <v>46224</v>
      </c>
      <c r="BO238" s="9" t="n">
        <v>410</v>
      </c>
      <c r="BP238" s="9" t="n">
        <v>150</v>
      </c>
      <c r="BQ238" s="9" t="n">
        <v>410</v>
      </c>
      <c r="BR238" s="9" t="n">
        <v>-260</v>
      </c>
      <c r="BS238" s="9" t="n">
        <v>0</v>
      </c>
      <c r="BW238" s="10" t="n">
        <v>46224</v>
      </c>
      <c r="BY238" s="9" t="n">
        <v>338.4</v>
      </c>
      <c r="CA238" s="9" t="n">
        <v>338.4</v>
      </c>
      <c r="CB238" s="9" t="n">
        <v>5937.359999999999</v>
      </c>
      <c r="CF238" s="10" t="n">
        <v>46224</v>
      </c>
      <c r="CH238" s="9" t="n">
        <v>0</v>
      </c>
      <c r="CJ238" s="9" t="n">
        <v>0</v>
      </c>
      <c r="CK238" s="9" t="n">
        <v>-8101.359999999999</v>
      </c>
      <c r="CO238" s="10" t="n">
        <v>46224</v>
      </c>
      <c r="CQ238" s="9" t="n">
        <v>0</v>
      </c>
      <c r="CS238" s="9" t="n">
        <v>0</v>
      </c>
      <c r="CT238" s="9" t="n">
        <v>0</v>
      </c>
      <c r="CX238" s="10" t="n">
        <v>46224</v>
      </c>
      <c r="CY238" s="9" t="n">
        <v>475.4</v>
      </c>
      <c r="CZ238" s="9" t="n">
        <v>800</v>
      </c>
      <c r="DA238" s="9" t="n">
        <v>475.4</v>
      </c>
      <c r="DB238" s="9" t="n">
        <v>324.6</v>
      </c>
      <c r="DC238" s="9" t="n">
        <v>1311.600000000007</v>
      </c>
      <c r="DG238" s="10" t="n">
        <v>46224</v>
      </c>
      <c r="DI238" s="9" t="n">
        <v>0</v>
      </c>
      <c r="DK238" s="9" t="n">
        <v>0</v>
      </c>
      <c r="DL238" s="9" t="n">
        <v>33033.89999999998</v>
      </c>
      <c r="DP238" s="10" t="n">
        <v>46224</v>
      </c>
      <c r="DR238" s="9" t="n">
        <v>0</v>
      </c>
      <c r="DT238" s="9" t="n">
        <v>0</v>
      </c>
      <c r="DU238" s="9" t="n">
        <v>5800</v>
      </c>
      <c r="DY238" s="10" t="n">
        <v>46224</v>
      </c>
      <c r="EA238" s="9" t="n">
        <v>0</v>
      </c>
      <c r="EC238" s="9" t="n">
        <v>0</v>
      </c>
      <c r="ED238" s="9" t="n">
        <v>0</v>
      </c>
      <c r="EH238" s="10" t="n">
        <v>46224</v>
      </c>
      <c r="EJ238" s="9" t="n">
        <v>0</v>
      </c>
      <c r="EL238" s="9" t="n">
        <v>0</v>
      </c>
      <c r="EM238" s="9" t="n">
        <v>0</v>
      </c>
      <c r="EQ238" s="10" t="n">
        <v>46224</v>
      </c>
      <c r="ES238" s="9" t="n">
        <v>0</v>
      </c>
      <c r="EU238" s="9" t="n">
        <v>0</v>
      </c>
      <c r="EV238" s="9" t="n">
        <v>0</v>
      </c>
      <c r="EZ238" s="10" t="n">
        <v>46224</v>
      </c>
      <c r="FB238" s="9" t="n">
        <v>0</v>
      </c>
      <c r="FD238" s="9" t="n">
        <v>0</v>
      </c>
      <c r="FE238" s="9" t="n">
        <v>0</v>
      </c>
      <c r="FI238" s="10" t="n">
        <v>46224</v>
      </c>
      <c r="FK238" s="9" t="n">
        <v>0</v>
      </c>
      <c r="FM238" s="9" t="n">
        <v>0</v>
      </c>
      <c r="FN238" s="9" t="n">
        <v>0</v>
      </c>
      <c r="FR238" s="10" t="n">
        <v>46224</v>
      </c>
      <c r="FT238" s="9" t="n">
        <v>0</v>
      </c>
      <c r="FV238" s="9" t="n">
        <v>0</v>
      </c>
      <c r="FW238" s="9" t="n">
        <v>1160</v>
      </c>
      <c r="GA238" s="10" t="n">
        <v>46224</v>
      </c>
      <c r="GC238" s="9" t="n">
        <v>0</v>
      </c>
      <c r="GE238" s="9" t="n">
        <v>0</v>
      </c>
      <c r="GF238" s="9" t="n">
        <v>960</v>
      </c>
      <c r="GJ238" s="10" t="n">
        <v>46224</v>
      </c>
      <c r="GL238" s="9" t="n">
        <v>0</v>
      </c>
      <c r="GN238" s="9" t="n">
        <v>0</v>
      </c>
      <c r="GO238" s="9" t="n">
        <v>1760</v>
      </c>
      <c r="GS238" s="10" t="n">
        <v>46224</v>
      </c>
      <c r="GU238" s="9" t="n">
        <v>0</v>
      </c>
      <c r="GW238" s="9" t="n">
        <v>0</v>
      </c>
      <c r="GX238" s="9" t="n">
        <v>400</v>
      </c>
      <c r="HB238" s="10" t="n">
        <v>46224</v>
      </c>
      <c r="HD238" s="9" t="n">
        <v>0</v>
      </c>
      <c r="HF238" s="9" t="n">
        <v>0</v>
      </c>
      <c r="HG238" s="9" t="n">
        <v>3600</v>
      </c>
      <c r="HK238" s="10" t="n">
        <v>46224</v>
      </c>
      <c r="HM238" s="9" t="n">
        <v>0</v>
      </c>
      <c r="HO238" s="9" t="n">
        <v>0</v>
      </c>
      <c r="HP238" s="9" t="n">
        <v>0</v>
      </c>
      <c r="HU238" s="10" t="n">
        <v>46224</v>
      </c>
      <c r="HW238" s="9" t="n">
        <v>0</v>
      </c>
      <c r="HY238" s="9" t="n">
        <v>0</v>
      </c>
      <c r="HZ238" s="9" t="n">
        <v>5920</v>
      </c>
      <c r="ID238" s="10" t="n">
        <v>46224</v>
      </c>
      <c r="IF238" s="9" t="n">
        <v>0</v>
      </c>
      <c r="IH238" s="9" t="n">
        <v>0</v>
      </c>
      <c r="II238" s="9" t="n">
        <v>720</v>
      </c>
      <c r="IM238" s="10" t="n">
        <v>46224</v>
      </c>
      <c r="IO238" s="9" t="n">
        <v>0</v>
      </c>
      <c r="IQ238" s="9" t="n">
        <v>0</v>
      </c>
      <c r="IR238" s="9" t="n">
        <v>4280</v>
      </c>
      <c r="IV238" s="10" t="n">
        <v>46224</v>
      </c>
      <c r="IX238" s="9" t="n">
        <v>0</v>
      </c>
      <c r="IZ238" s="9" t="n">
        <v>0</v>
      </c>
      <c r="JA238" s="9" t="n">
        <v>4960</v>
      </c>
      <c r="JE238" s="10" t="n">
        <v>46224</v>
      </c>
      <c r="JG238" s="9" t="n">
        <v>0</v>
      </c>
      <c r="JI238" s="9" t="n">
        <v>0</v>
      </c>
      <c r="JJ238" s="9" t="n">
        <v>0</v>
      </c>
      <c r="JN238" s="10" t="n">
        <v>46224</v>
      </c>
      <c r="JP238" s="9" t="n">
        <v>0</v>
      </c>
      <c r="JR238" s="9" t="n">
        <v>0</v>
      </c>
      <c r="JS238" s="9" t="n">
        <v>0</v>
      </c>
      <c r="JW238" s="10" t="n">
        <v>46224</v>
      </c>
      <c r="JY238" s="9" t="n">
        <v>0</v>
      </c>
      <c r="KA238" s="9" t="n">
        <v>0</v>
      </c>
      <c r="KB238" s="9" t="n">
        <v>2540</v>
      </c>
      <c r="KF238" s="10" t="n">
        <v>46224</v>
      </c>
      <c r="KH238" s="9" t="n">
        <v>0</v>
      </c>
      <c r="KJ238" s="9" t="n">
        <v>0</v>
      </c>
      <c r="KK238" s="9" t="n">
        <v>2359.5</v>
      </c>
      <c r="KO238" s="10" t="n">
        <v>46224</v>
      </c>
      <c r="KQ238" s="9" t="n">
        <v>0</v>
      </c>
      <c r="KS238" s="9" t="n">
        <v>0</v>
      </c>
      <c r="KT238" s="9" t="n">
        <v>1890</v>
      </c>
      <c r="KX238" s="10" t="n">
        <v>46224</v>
      </c>
      <c r="KZ238" s="9" t="n">
        <v>0</v>
      </c>
      <c r="LB238" s="9" t="n">
        <v>0</v>
      </c>
      <c r="LC238" s="9" t="n">
        <v>3690</v>
      </c>
      <c r="LG238" s="10" t="n">
        <v>46224</v>
      </c>
      <c r="LI238" s="9" t="n">
        <v>0</v>
      </c>
      <c r="LK238" s="9" t="n">
        <v>0</v>
      </c>
      <c r="LL238" s="9" t="n">
        <v>4000</v>
      </c>
      <c r="LP238" s="10" t="n">
        <v>46224</v>
      </c>
      <c r="LR238" s="9" t="n">
        <v>0</v>
      </c>
      <c r="LT238" s="9" t="n">
        <v>0</v>
      </c>
      <c r="LU238" s="9" t="n">
        <v>0</v>
      </c>
      <c r="LY238" s="10" t="n">
        <v>46224</v>
      </c>
      <c r="MA238" s="9" t="n">
        <v>0</v>
      </c>
      <c r="MC238" s="9" t="n">
        <v>0</v>
      </c>
      <c r="MD238" s="9" t="n">
        <v>0</v>
      </c>
      <c r="MH238" s="10" t="n">
        <v>46224</v>
      </c>
      <c r="MJ238" s="9" t="n">
        <v>0</v>
      </c>
      <c r="ML238" s="9" t="n">
        <v>0</v>
      </c>
      <c r="MM238" s="9" t="n">
        <v>0</v>
      </c>
      <c r="MQ238" s="10" t="n">
        <v>46224</v>
      </c>
      <c r="MS238" s="9" t="n">
        <v>0</v>
      </c>
      <c r="MU238" s="9" t="n">
        <v>0</v>
      </c>
      <c r="MV238" s="9" t="n">
        <v>2540</v>
      </c>
      <c r="MZ238" s="10" t="n">
        <v>46224</v>
      </c>
      <c r="NB238" s="9" t="n">
        <v>0</v>
      </c>
      <c r="ND238" s="9" t="n">
        <v>0</v>
      </c>
      <c r="NE238" s="9" t="n">
        <v>0</v>
      </c>
      <c r="NI238" s="10" t="n">
        <v>46224</v>
      </c>
      <c r="NK238" s="9" t="n">
        <v>0</v>
      </c>
      <c r="NM238" s="9" t="n">
        <v>0</v>
      </c>
      <c r="NN238" s="9" t="n">
        <v>1127</v>
      </c>
      <c r="NR238" s="10" t="n">
        <v>46224</v>
      </c>
      <c r="NT238" s="9" t="n">
        <v>0</v>
      </c>
      <c r="NV238" s="9" t="n">
        <v>0</v>
      </c>
      <c r="NW238" s="9" t="n">
        <v>3112</v>
      </c>
      <c r="OA238" s="10" t="n">
        <v>46224</v>
      </c>
      <c r="OC238" s="9" t="n">
        <v>0</v>
      </c>
      <c r="OE238" s="9" t="n">
        <v>0</v>
      </c>
      <c r="OF238" s="9" t="n">
        <v>1680.5</v>
      </c>
      <c r="OJ238" s="10" t="n">
        <v>46224</v>
      </c>
      <c r="OL238" s="9" t="n">
        <v>0</v>
      </c>
      <c r="ON238" s="9" t="n">
        <v>0</v>
      </c>
      <c r="OO238" s="9" t="n">
        <v>0</v>
      </c>
      <c r="OS238" s="10" t="n">
        <v>46224</v>
      </c>
      <c r="OU238" s="9" t="n">
        <v>0</v>
      </c>
      <c r="OW238" s="9" t="n">
        <v>0</v>
      </c>
      <c r="OX238" s="9" t="n">
        <v>1482</v>
      </c>
      <c r="PB238" s="10" t="n">
        <v>46224</v>
      </c>
      <c r="PD238" s="9" t="n">
        <v>0</v>
      </c>
      <c r="PF238" s="9" t="n">
        <v>0</v>
      </c>
      <c r="PG238" s="9" t="n">
        <v>0</v>
      </c>
      <c r="PK238" s="10" t="n">
        <v>46224</v>
      </c>
      <c r="PM238" s="9" t="n">
        <v>0</v>
      </c>
      <c r="PO238" s="9" t="n">
        <v>0</v>
      </c>
      <c r="PP238" s="9" t="n">
        <v>100</v>
      </c>
      <c r="PT238" s="10" t="n">
        <v>46224</v>
      </c>
      <c r="PV238" s="9" t="n">
        <v>0</v>
      </c>
      <c r="PX238" s="9" t="n">
        <v>0</v>
      </c>
      <c r="PY238" s="9" t="n">
        <v>13.96000000000004</v>
      </c>
      <c r="QC238" s="10" t="n">
        <v>46224</v>
      </c>
      <c r="QE238" s="9" t="n">
        <v>0</v>
      </c>
      <c r="QG238" s="9" t="n">
        <v>0</v>
      </c>
      <c r="QH238" s="9" t="n">
        <v>1688</v>
      </c>
      <c r="QL238" s="10" t="n">
        <v>46224</v>
      </c>
      <c r="QN238" s="9" t="n">
        <v>0</v>
      </c>
      <c r="QP238" s="9" t="n">
        <v>0</v>
      </c>
      <c r="QQ238" s="9" t="n">
        <v>0</v>
      </c>
      <c r="QU238" s="10" t="n">
        <v>46224</v>
      </c>
      <c r="QW238" s="9" t="n">
        <v>0</v>
      </c>
      <c r="QY238" s="9" t="n">
        <v>0</v>
      </c>
      <c r="QZ238" s="9" t="n">
        <v>207.6</v>
      </c>
      <c r="RD238" s="10" t="n">
        <v>46224</v>
      </c>
      <c r="RF238" s="9" t="n">
        <v>0</v>
      </c>
      <c r="RH238" s="9" t="n">
        <v>0</v>
      </c>
      <c r="RI238" s="9" t="n">
        <v>147.04</v>
      </c>
      <c r="RM238" s="10" t="n">
        <v>46224</v>
      </c>
      <c r="RO238" s="9" t="n">
        <v>0</v>
      </c>
      <c r="RQ238" s="9" t="n">
        <v>0</v>
      </c>
      <c r="RR238" s="9" t="n">
        <v>46.8</v>
      </c>
      <c r="RV238" s="10" t="n">
        <v>46224</v>
      </c>
      <c r="RX238" s="9" t="n">
        <v>0</v>
      </c>
      <c r="RZ238" s="9" t="n">
        <v>0</v>
      </c>
      <c r="SA238" s="9" t="n">
        <v>0</v>
      </c>
      <c r="SE238" s="10" t="n">
        <v>46224</v>
      </c>
      <c r="SG238" s="9" t="n">
        <v>0</v>
      </c>
      <c r="SI238" s="9" t="n">
        <v>0</v>
      </c>
      <c r="SJ238" s="9" t="n">
        <v>24.2</v>
      </c>
      <c r="SN238" s="10" t="n">
        <v>46224</v>
      </c>
      <c r="SP238" s="9" t="n">
        <v>0</v>
      </c>
      <c r="SR238" s="9" t="n">
        <v>0</v>
      </c>
      <c r="SS238" s="9" t="n">
        <v>32</v>
      </c>
      <c r="SW238" s="10" t="n">
        <v>46224</v>
      </c>
      <c r="SY238" s="9" t="n">
        <v>0</v>
      </c>
      <c r="TA238" s="9" t="n">
        <v>0</v>
      </c>
      <c r="TB238" s="9" t="n">
        <v>0</v>
      </c>
      <c r="TF238" s="10" t="n">
        <v>46224</v>
      </c>
      <c r="TH238" s="9" t="n">
        <v>0</v>
      </c>
      <c r="TJ238" s="9" t="n">
        <v>0</v>
      </c>
      <c r="TK238" s="9" t="n">
        <v>0</v>
      </c>
      <c r="TO238" s="10" t="n">
        <v>46224</v>
      </c>
      <c r="TQ238" s="9" t="n">
        <v>0</v>
      </c>
      <c r="TS238" s="9" t="n">
        <v>0</v>
      </c>
      <c r="TT238" s="9" t="n">
        <v>22.40000000000001</v>
      </c>
      <c r="TX238" s="10" t="n">
        <v>46224</v>
      </c>
      <c r="TZ238" s="9" t="n">
        <v>0</v>
      </c>
      <c r="UB238" s="9" t="n">
        <v>0</v>
      </c>
      <c r="UC238" s="9" t="n">
        <v>46.79999999999998</v>
      </c>
      <c r="UG238" s="10" t="n">
        <v>46224</v>
      </c>
      <c r="UI238" s="9" t="n">
        <v>0</v>
      </c>
      <c r="UK238" s="9" t="n">
        <v>0</v>
      </c>
      <c r="UL238" s="9" t="n">
        <v>204</v>
      </c>
      <c r="UP238" s="10" t="n">
        <v>46224</v>
      </c>
      <c r="UR238" s="9" t="n">
        <v>0</v>
      </c>
      <c r="UT238" s="9" t="n">
        <v>0</v>
      </c>
      <c r="UU238" s="9" t="n">
        <v>242.5</v>
      </c>
      <c r="UY238" s="10" t="n">
        <v>46224</v>
      </c>
      <c r="VA238" s="9" t="n">
        <v>0</v>
      </c>
      <c r="VC238" s="9" t="n">
        <v>0</v>
      </c>
      <c r="VD238" s="9" t="n">
        <v>41.60000000000002</v>
      </c>
      <c r="VH238" s="10" t="n">
        <v>46224</v>
      </c>
      <c r="VJ238" s="9" t="n">
        <v>0</v>
      </c>
      <c r="VL238" s="9" t="n">
        <v>0</v>
      </c>
      <c r="VM238" s="9" t="n">
        <v>210</v>
      </c>
      <c r="VQ238" s="10" t="n">
        <v>46224</v>
      </c>
      <c r="VS238" s="9" t="n">
        <v>0</v>
      </c>
      <c r="VU238" s="9" t="n">
        <v>0</v>
      </c>
      <c r="VV238" s="9" t="n">
        <v>0</v>
      </c>
      <c r="VZ238" s="10" t="n">
        <v>46224</v>
      </c>
      <c r="WB238" s="9" t="n">
        <v>0</v>
      </c>
      <c r="WD238" s="9" t="n">
        <v>0</v>
      </c>
      <c r="WE238" s="9" t="n">
        <v>0</v>
      </c>
      <c r="WI238" s="10" t="n">
        <v>46224</v>
      </c>
      <c r="WK238" s="9" t="n">
        <v>0</v>
      </c>
      <c r="WM238" s="9" t="n">
        <v>0</v>
      </c>
      <c r="WN238" s="9" t="n">
        <v>1057</v>
      </c>
      <c r="WR238" s="10" t="n">
        <v>46224</v>
      </c>
      <c r="WT238" s="9" t="n">
        <v>0</v>
      </c>
      <c r="WV238" s="9" t="n">
        <v>0</v>
      </c>
      <c r="WW238" s="9" t="n">
        <v>0</v>
      </c>
      <c r="XA238" s="10" t="n">
        <v>46224</v>
      </c>
      <c r="XC238" s="9" t="n">
        <v>0</v>
      </c>
      <c r="XE238" s="9" t="n">
        <v>0</v>
      </c>
      <c r="XF238" s="9" t="n">
        <v>7507</v>
      </c>
      <c r="XJ238" s="10" t="n">
        <v>46224</v>
      </c>
      <c r="XL238" s="9" t="n">
        <v>0</v>
      </c>
      <c r="XN238" s="9" t="n">
        <v>0</v>
      </c>
      <c r="XO238" s="9" t="n">
        <v>4252</v>
      </c>
      <c r="XS238" s="10" t="n">
        <v>46224</v>
      </c>
      <c r="XU238" s="9" t="n">
        <v>0</v>
      </c>
      <c r="XW238" s="9" t="n">
        <v>0</v>
      </c>
      <c r="XX238" s="9" t="n">
        <v>2179</v>
      </c>
      <c r="YB238" s="10" t="n">
        <v>46224</v>
      </c>
      <c r="YD238" s="9" t="n">
        <v>0</v>
      </c>
      <c r="YF238" s="9" t="n">
        <v>0</v>
      </c>
      <c r="YG238" s="9" t="n">
        <v>4019</v>
      </c>
      <c r="YK238" s="10" t="n">
        <v>46224</v>
      </c>
      <c r="YM238" s="9" t="n">
        <v>0</v>
      </c>
      <c r="YO238" s="9" t="n">
        <v>0</v>
      </c>
      <c r="YP238" s="9" t="n">
        <v>0</v>
      </c>
      <c r="YT238" s="10" t="n">
        <v>46224</v>
      </c>
      <c r="YV238" s="9" t="n">
        <v>0</v>
      </c>
      <c r="YX238" s="9" t="n">
        <v>0</v>
      </c>
      <c r="YY238" s="9" t="n">
        <v>0</v>
      </c>
      <c r="ZC238" s="10" t="n">
        <v>46224</v>
      </c>
      <c r="ZE238" s="9" t="n">
        <v>0</v>
      </c>
      <c r="ZG238" s="9" t="n">
        <v>0</v>
      </c>
      <c r="ZH238" s="9" t="n">
        <v>0</v>
      </c>
      <c r="ZL238" s="10" t="n">
        <v>46224</v>
      </c>
      <c r="ZN238" s="9" t="n">
        <v>0</v>
      </c>
      <c r="ZP238" s="9" t="n">
        <v>0</v>
      </c>
      <c r="ZQ238" s="9" t="n">
        <v>0</v>
      </c>
      <c r="ZU238" s="10" t="n">
        <v>46224</v>
      </c>
      <c r="ZW238" s="9" t="n">
        <v>0</v>
      </c>
      <c r="ZY238" s="9" t="n">
        <v>0</v>
      </c>
      <c r="ZZ238" s="9" t="n">
        <v>0</v>
      </c>
      <c r="AAD238" s="10" t="n">
        <v>46224</v>
      </c>
      <c r="AAF238" s="9" t="n">
        <v>0</v>
      </c>
      <c r="AAH238" s="9" t="n">
        <v>0</v>
      </c>
      <c r="AAI238" s="9" t="n">
        <v>0</v>
      </c>
      <c r="AAM238" s="10" t="n">
        <v>46224</v>
      </c>
      <c r="AAO238" s="9" t="n">
        <v>0</v>
      </c>
      <c r="AAQ238" s="9" t="n">
        <v>0</v>
      </c>
      <c r="AAR238" s="9" t="n">
        <v>0</v>
      </c>
      <c r="AAV238" s="10" t="n">
        <v>46224</v>
      </c>
      <c r="AAX238" s="9" t="n">
        <v>0</v>
      </c>
      <c r="AAZ238" s="9" t="n">
        <v>0</v>
      </c>
      <c r="ABA238" s="9" t="n">
        <v>0</v>
      </c>
      <c r="ABE238" s="10" t="n">
        <v>46224</v>
      </c>
      <c r="ABG238" s="9" t="n">
        <v>0</v>
      </c>
      <c r="ABI238" s="9" t="n">
        <v>0</v>
      </c>
      <c r="ABJ238" s="9" t="n">
        <v>0</v>
      </c>
    </row>
    <row r="239">
      <c r="C239" s="10" t="n">
        <v>46225</v>
      </c>
      <c r="D239" s="9" t="n">
        <v>57000</v>
      </c>
      <c r="E239" s="9" t="n">
        <v>0</v>
      </c>
      <c r="G239" s="9" t="n">
        <v>0</v>
      </c>
      <c r="H239" s="9" t="n">
        <v>173926.4</v>
      </c>
      <c r="L239" s="10" t="n">
        <v>46225</v>
      </c>
      <c r="N239" s="9" t="n">
        <v>0</v>
      </c>
      <c r="P239" s="9" t="n">
        <v>0</v>
      </c>
      <c r="Q239" s="9" t="n">
        <v>-1234.999999999931</v>
      </c>
      <c r="U239" s="10" t="n">
        <v>46225</v>
      </c>
      <c r="W239" s="9" t="n">
        <v>0</v>
      </c>
      <c r="Y239" s="9" t="n">
        <v>0</v>
      </c>
      <c r="Z239" s="9" t="n">
        <v>38577.09999999997</v>
      </c>
      <c r="AD239" s="10" t="n">
        <v>46225</v>
      </c>
      <c r="AF239" s="9" t="n">
        <v>0</v>
      </c>
      <c r="AH239" s="9" t="n">
        <v>0</v>
      </c>
      <c r="AI239" s="9" t="n">
        <v>31872.20000000002</v>
      </c>
      <c r="AM239" s="10" t="n">
        <v>46225</v>
      </c>
      <c r="AO239" s="9" t="n">
        <v>0</v>
      </c>
      <c r="AQ239" s="9" t="n">
        <v>0</v>
      </c>
      <c r="AR239" s="9" t="n">
        <v>0</v>
      </c>
      <c r="AV239" s="10" t="n">
        <v>46225</v>
      </c>
      <c r="AX239" s="9" t="n">
        <v>0</v>
      </c>
      <c r="AZ239" s="9" t="n">
        <v>0</v>
      </c>
      <c r="BA239" s="9" t="n">
        <v>726.5999999999952</v>
      </c>
      <c r="BE239" s="10" t="n">
        <v>46225</v>
      </c>
      <c r="BG239" s="9" t="n">
        <v>0</v>
      </c>
      <c r="BI239" s="9" t="n">
        <v>0</v>
      </c>
      <c r="BJ239" s="9" t="n">
        <v>29173.09999999999</v>
      </c>
      <c r="BN239" s="10" t="n">
        <v>46225</v>
      </c>
      <c r="BP239" s="9" t="n">
        <v>0</v>
      </c>
      <c r="BR239" s="9" t="n">
        <v>0</v>
      </c>
      <c r="BS239" s="9" t="n">
        <v>0</v>
      </c>
      <c r="BW239" s="10" t="n">
        <v>46225</v>
      </c>
      <c r="BY239" s="9" t="n">
        <v>0</v>
      </c>
      <c r="CA239" s="9" t="n">
        <v>0</v>
      </c>
      <c r="CB239" s="9" t="n">
        <v>5937.359999999999</v>
      </c>
      <c r="CF239" s="10" t="n">
        <v>46225</v>
      </c>
      <c r="CH239" s="9" t="n">
        <v>0</v>
      </c>
      <c r="CJ239" s="9" t="n">
        <v>0</v>
      </c>
      <c r="CK239" s="9" t="n">
        <v>-8101.359999999999</v>
      </c>
      <c r="CO239" s="10" t="n">
        <v>46225</v>
      </c>
      <c r="CQ239" s="9" t="n">
        <v>0</v>
      </c>
      <c r="CS239" s="9" t="n">
        <v>0</v>
      </c>
      <c r="CT239" s="9" t="n">
        <v>0</v>
      </c>
      <c r="CX239" s="10" t="n">
        <v>46225</v>
      </c>
      <c r="CZ239" s="9" t="n">
        <v>0</v>
      </c>
      <c r="DB239" s="9" t="n">
        <v>0</v>
      </c>
      <c r="DC239" s="9" t="n">
        <v>1311.600000000007</v>
      </c>
      <c r="DG239" s="10" t="n">
        <v>46225</v>
      </c>
      <c r="DI239" s="9" t="n">
        <v>0</v>
      </c>
      <c r="DK239" s="9" t="n">
        <v>0</v>
      </c>
      <c r="DL239" s="9" t="n">
        <v>33033.89999999998</v>
      </c>
      <c r="DP239" s="10" t="n">
        <v>46225</v>
      </c>
      <c r="DR239" s="9" t="n">
        <v>0</v>
      </c>
      <c r="DT239" s="9" t="n">
        <v>0</v>
      </c>
      <c r="DU239" s="9" t="n">
        <v>5800</v>
      </c>
      <c r="DY239" s="10" t="n">
        <v>46225</v>
      </c>
      <c r="EA239" s="9" t="n">
        <v>0</v>
      </c>
      <c r="EC239" s="9" t="n">
        <v>0</v>
      </c>
      <c r="ED239" s="9" t="n">
        <v>0</v>
      </c>
      <c r="EH239" s="10" t="n">
        <v>46225</v>
      </c>
      <c r="EJ239" s="9" t="n">
        <v>0</v>
      </c>
      <c r="EL239" s="9" t="n">
        <v>0</v>
      </c>
      <c r="EM239" s="9" t="n">
        <v>0</v>
      </c>
      <c r="EQ239" s="10" t="n">
        <v>46225</v>
      </c>
      <c r="ES239" s="9" t="n">
        <v>0</v>
      </c>
      <c r="EU239" s="9" t="n">
        <v>0</v>
      </c>
      <c r="EV239" s="9" t="n">
        <v>0</v>
      </c>
      <c r="EZ239" s="10" t="n">
        <v>46225</v>
      </c>
      <c r="FB239" s="9" t="n">
        <v>0</v>
      </c>
      <c r="FD239" s="9" t="n">
        <v>0</v>
      </c>
      <c r="FE239" s="9" t="n">
        <v>0</v>
      </c>
      <c r="FI239" s="10" t="n">
        <v>46225</v>
      </c>
      <c r="FK239" s="9" t="n">
        <v>0</v>
      </c>
      <c r="FM239" s="9" t="n">
        <v>0</v>
      </c>
      <c r="FN239" s="9" t="n">
        <v>0</v>
      </c>
      <c r="FR239" s="10" t="n">
        <v>46225</v>
      </c>
      <c r="FT239" s="9" t="n">
        <v>0</v>
      </c>
      <c r="FV239" s="9" t="n">
        <v>0</v>
      </c>
      <c r="FW239" s="9" t="n">
        <v>1160</v>
      </c>
      <c r="GA239" s="10" t="n">
        <v>46225</v>
      </c>
      <c r="GC239" s="9" t="n">
        <v>0</v>
      </c>
      <c r="GE239" s="9" t="n">
        <v>0</v>
      </c>
      <c r="GF239" s="9" t="n">
        <v>960</v>
      </c>
      <c r="GJ239" s="10" t="n">
        <v>46225</v>
      </c>
      <c r="GL239" s="9" t="n">
        <v>0</v>
      </c>
      <c r="GN239" s="9" t="n">
        <v>0</v>
      </c>
      <c r="GO239" s="9" t="n">
        <v>1760</v>
      </c>
      <c r="GS239" s="10" t="n">
        <v>46225</v>
      </c>
      <c r="GU239" s="9" t="n">
        <v>0</v>
      </c>
      <c r="GW239" s="9" t="n">
        <v>0</v>
      </c>
      <c r="GX239" s="9" t="n">
        <v>400</v>
      </c>
      <c r="HB239" s="10" t="n">
        <v>46225</v>
      </c>
      <c r="HD239" s="9" t="n">
        <v>0</v>
      </c>
      <c r="HF239" s="9" t="n">
        <v>0</v>
      </c>
      <c r="HG239" s="9" t="n">
        <v>3600</v>
      </c>
      <c r="HK239" s="10" t="n">
        <v>46225</v>
      </c>
      <c r="HM239" s="9" t="n">
        <v>0</v>
      </c>
      <c r="HO239" s="9" t="n">
        <v>0</v>
      </c>
      <c r="HP239" s="9" t="n">
        <v>0</v>
      </c>
      <c r="HU239" s="10" t="n">
        <v>46225</v>
      </c>
      <c r="HW239" s="9" t="n">
        <v>0</v>
      </c>
      <c r="HY239" s="9" t="n">
        <v>0</v>
      </c>
      <c r="HZ239" s="9" t="n">
        <v>5920</v>
      </c>
      <c r="ID239" s="10" t="n">
        <v>46225</v>
      </c>
      <c r="IF239" s="9" t="n">
        <v>0</v>
      </c>
      <c r="IH239" s="9" t="n">
        <v>0</v>
      </c>
      <c r="II239" s="9" t="n">
        <v>720</v>
      </c>
      <c r="IM239" s="10" t="n">
        <v>46225</v>
      </c>
      <c r="IO239" s="9" t="n">
        <v>0</v>
      </c>
      <c r="IQ239" s="9" t="n">
        <v>0</v>
      </c>
      <c r="IR239" s="9" t="n">
        <v>4280</v>
      </c>
      <c r="IV239" s="10" t="n">
        <v>46225</v>
      </c>
      <c r="IX239" s="9" t="n">
        <v>0</v>
      </c>
      <c r="IZ239" s="9" t="n">
        <v>0</v>
      </c>
      <c r="JA239" s="9" t="n">
        <v>4960</v>
      </c>
      <c r="JE239" s="10" t="n">
        <v>46225</v>
      </c>
      <c r="JG239" s="9" t="n">
        <v>0</v>
      </c>
      <c r="JI239" s="9" t="n">
        <v>0</v>
      </c>
      <c r="JJ239" s="9" t="n">
        <v>0</v>
      </c>
      <c r="JN239" s="10" t="n">
        <v>46225</v>
      </c>
      <c r="JP239" s="9" t="n">
        <v>0</v>
      </c>
      <c r="JR239" s="9" t="n">
        <v>0</v>
      </c>
      <c r="JS239" s="9" t="n">
        <v>0</v>
      </c>
      <c r="JW239" s="10" t="n">
        <v>46225</v>
      </c>
      <c r="JY239" s="9" t="n">
        <v>0</v>
      </c>
      <c r="KA239" s="9" t="n">
        <v>0</v>
      </c>
      <c r="KB239" s="9" t="n">
        <v>2540</v>
      </c>
      <c r="KF239" s="10" t="n">
        <v>46225</v>
      </c>
      <c r="KH239" s="9" t="n">
        <v>0</v>
      </c>
      <c r="KJ239" s="9" t="n">
        <v>0</v>
      </c>
      <c r="KK239" s="9" t="n">
        <v>2359.5</v>
      </c>
      <c r="KO239" s="10" t="n">
        <v>46225</v>
      </c>
      <c r="KQ239" s="9" t="n">
        <v>0</v>
      </c>
      <c r="KS239" s="9" t="n">
        <v>0</v>
      </c>
      <c r="KT239" s="9" t="n">
        <v>1890</v>
      </c>
      <c r="KX239" s="10" t="n">
        <v>46225</v>
      </c>
      <c r="KZ239" s="9" t="n">
        <v>0</v>
      </c>
      <c r="LB239" s="9" t="n">
        <v>0</v>
      </c>
      <c r="LC239" s="9" t="n">
        <v>3690</v>
      </c>
      <c r="LG239" s="10" t="n">
        <v>46225</v>
      </c>
      <c r="LI239" s="9" t="n">
        <v>0</v>
      </c>
      <c r="LK239" s="9" t="n">
        <v>0</v>
      </c>
      <c r="LL239" s="9" t="n">
        <v>4000</v>
      </c>
      <c r="LP239" s="10" t="n">
        <v>46225</v>
      </c>
      <c r="LR239" s="9" t="n">
        <v>0</v>
      </c>
      <c r="LT239" s="9" t="n">
        <v>0</v>
      </c>
      <c r="LU239" s="9" t="n">
        <v>0</v>
      </c>
      <c r="LY239" s="10" t="n">
        <v>46225</v>
      </c>
      <c r="MA239" s="9" t="n">
        <v>0</v>
      </c>
      <c r="MC239" s="9" t="n">
        <v>0</v>
      </c>
      <c r="MD239" s="9" t="n">
        <v>0</v>
      </c>
      <c r="MH239" s="10" t="n">
        <v>46225</v>
      </c>
      <c r="MJ239" s="9" t="n">
        <v>0</v>
      </c>
      <c r="ML239" s="9" t="n">
        <v>0</v>
      </c>
      <c r="MM239" s="9" t="n">
        <v>0</v>
      </c>
      <c r="MQ239" s="10" t="n">
        <v>46225</v>
      </c>
      <c r="MS239" s="9" t="n">
        <v>0</v>
      </c>
      <c r="MU239" s="9" t="n">
        <v>0</v>
      </c>
      <c r="MV239" s="9" t="n">
        <v>2540</v>
      </c>
      <c r="MZ239" s="10" t="n">
        <v>46225</v>
      </c>
      <c r="NB239" s="9" t="n">
        <v>0</v>
      </c>
      <c r="ND239" s="9" t="n">
        <v>0</v>
      </c>
      <c r="NE239" s="9" t="n">
        <v>0</v>
      </c>
      <c r="NI239" s="10" t="n">
        <v>46225</v>
      </c>
      <c r="NK239" s="9" t="n">
        <v>0</v>
      </c>
      <c r="NM239" s="9" t="n">
        <v>0</v>
      </c>
      <c r="NN239" s="9" t="n">
        <v>1127</v>
      </c>
      <c r="NR239" s="10" t="n">
        <v>46225</v>
      </c>
      <c r="NT239" s="9" t="n">
        <v>0</v>
      </c>
      <c r="NV239" s="9" t="n">
        <v>0</v>
      </c>
      <c r="NW239" s="9" t="n">
        <v>3112</v>
      </c>
      <c r="OA239" s="10" t="n">
        <v>46225</v>
      </c>
      <c r="OC239" s="9" t="n">
        <v>0</v>
      </c>
      <c r="OE239" s="9" t="n">
        <v>0</v>
      </c>
      <c r="OF239" s="9" t="n">
        <v>1680.5</v>
      </c>
      <c r="OJ239" s="10" t="n">
        <v>46225</v>
      </c>
      <c r="OL239" s="9" t="n">
        <v>0</v>
      </c>
      <c r="ON239" s="9" t="n">
        <v>0</v>
      </c>
      <c r="OO239" s="9" t="n">
        <v>0</v>
      </c>
      <c r="OS239" s="10" t="n">
        <v>46225</v>
      </c>
      <c r="OU239" s="9" t="n">
        <v>0</v>
      </c>
      <c r="OW239" s="9" t="n">
        <v>0</v>
      </c>
      <c r="OX239" s="9" t="n">
        <v>1482</v>
      </c>
      <c r="PB239" s="10" t="n">
        <v>46225</v>
      </c>
      <c r="PD239" s="9" t="n">
        <v>0</v>
      </c>
      <c r="PF239" s="9" t="n">
        <v>0</v>
      </c>
      <c r="PG239" s="9" t="n">
        <v>0</v>
      </c>
      <c r="PK239" s="10" t="n">
        <v>46225</v>
      </c>
      <c r="PM239" s="9" t="n">
        <v>0</v>
      </c>
      <c r="PO239" s="9" t="n">
        <v>0</v>
      </c>
      <c r="PP239" s="9" t="n">
        <v>100</v>
      </c>
      <c r="PT239" s="10" t="n">
        <v>46225</v>
      </c>
      <c r="PV239" s="9" t="n">
        <v>0</v>
      </c>
      <c r="PX239" s="9" t="n">
        <v>0</v>
      </c>
      <c r="PY239" s="9" t="n">
        <v>13.96000000000004</v>
      </c>
      <c r="QC239" s="10" t="n">
        <v>46225</v>
      </c>
      <c r="QE239" s="9" t="n">
        <v>0</v>
      </c>
      <c r="QG239" s="9" t="n">
        <v>0</v>
      </c>
      <c r="QH239" s="9" t="n">
        <v>1688</v>
      </c>
      <c r="QL239" s="10" t="n">
        <v>46225</v>
      </c>
      <c r="QN239" s="9" t="n">
        <v>0</v>
      </c>
      <c r="QP239" s="9" t="n">
        <v>0</v>
      </c>
      <c r="QQ239" s="9" t="n">
        <v>0</v>
      </c>
      <c r="QU239" s="10" t="n">
        <v>46225</v>
      </c>
      <c r="QW239" s="9" t="n">
        <v>0</v>
      </c>
      <c r="QY239" s="9" t="n">
        <v>0</v>
      </c>
      <c r="QZ239" s="9" t="n">
        <v>207.6</v>
      </c>
      <c r="RD239" s="10" t="n">
        <v>46225</v>
      </c>
      <c r="RF239" s="9" t="n">
        <v>0</v>
      </c>
      <c r="RH239" s="9" t="n">
        <v>0</v>
      </c>
      <c r="RI239" s="9" t="n">
        <v>147.04</v>
      </c>
      <c r="RM239" s="10" t="n">
        <v>46225</v>
      </c>
      <c r="RO239" s="9" t="n">
        <v>0</v>
      </c>
      <c r="RQ239" s="9" t="n">
        <v>0</v>
      </c>
      <c r="RR239" s="9" t="n">
        <v>46.8</v>
      </c>
      <c r="RV239" s="10" t="n">
        <v>46225</v>
      </c>
      <c r="RX239" s="9" t="n">
        <v>0</v>
      </c>
      <c r="RZ239" s="9" t="n">
        <v>0</v>
      </c>
      <c r="SA239" s="9" t="n">
        <v>0</v>
      </c>
      <c r="SE239" s="10" t="n">
        <v>46225</v>
      </c>
      <c r="SG239" s="9" t="n">
        <v>0</v>
      </c>
      <c r="SI239" s="9" t="n">
        <v>0</v>
      </c>
      <c r="SJ239" s="9" t="n">
        <v>24.2</v>
      </c>
      <c r="SN239" s="10" t="n">
        <v>46225</v>
      </c>
      <c r="SP239" s="9" t="n">
        <v>0</v>
      </c>
      <c r="SR239" s="9" t="n">
        <v>0</v>
      </c>
      <c r="SS239" s="9" t="n">
        <v>32</v>
      </c>
      <c r="SW239" s="10" t="n">
        <v>46225</v>
      </c>
      <c r="SY239" s="9" t="n">
        <v>0</v>
      </c>
      <c r="TA239" s="9" t="n">
        <v>0</v>
      </c>
      <c r="TB239" s="9" t="n">
        <v>0</v>
      </c>
      <c r="TF239" s="10" t="n">
        <v>46225</v>
      </c>
      <c r="TH239" s="9" t="n">
        <v>0</v>
      </c>
      <c r="TJ239" s="9" t="n">
        <v>0</v>
      </c>
      <c r="TK239" s="9" t="n">
        <v>0</v>
      </c>
      <c r="TO239" s="10" t="n">
        <v>46225</v>
      </c>
      <c r="TQ239" s="9" t="n">
        <v>0</v>
      </c>
      <c r="TS239" s="9" t="n">
        <v>0</v>
      </c>
      <c r="TT239" s="9" t="n">
        <v>22.40000000000001</v>
      </c>
      <c r="TX239" s="10" t="n">
        <v>46225</v>
      </c>
      <c r="TZ239" s="9" t="n">
        <v>0</v>
      </c>
      <c r="UB239" s="9" t="n">
        <v>0</v>
      </c>
      <c r="UC239" s="9" t="n">
        <v>46.79999999999998</v>
      </c>
      <c r="UG239" s="10" t="n">
        <v>46225</v>
      </c>
      <c r="UI239" s="9" t="n">
        <v>0</v>
      </c>
      <c r="UK239" s="9" t="n">
        <v>0</v>
      </c>
      <c r="UL239" s="9" t="n">
        <v>204</v>
      </c>
      <c r="UP239" s="10" t="n">
        <v>46225</v>
      </c>
      <c r="UR239" s="9" t="n">
        <v>0</v>
      </c>
      <c r="US239" s="9" t="n">
        <v>40</v>
      </c>
      <c r="UT239" s="9" t="n">
        <v>-40</v>
      </c>
      <c r="UU239" s="9" t="n">
        <v>202.5</v>
      </c>
      <c r="UY239" s="10" t="n">
        <v>46225</v>
      </c>
      <c r="VA239" s="9" t="n">
        <v>0</v>
      </c>
      <c r="VC239" s="9" t="n">
        <v>0</v>
      </c>
      <c r="VD239" s="9" t="n">
        <v>41.60000000000002</v>
      </c>
      <c r="VH239" s="10" t="n">
        <v>46225</v>
      </c>
      <c r="VJ239" s="9" t="n">
        <v>0</v>
      </c>
      <c r="VL239" s="9" t="n">
        <v>0</v>
      </c>
      <c r="VM239" s="9" t="n">
        <v>210</v>
      </c>
      <c r="VQ239" s="10" t="n">
        <v>46225</v>
      </c>
      <c r="VS239" s="9" t="n">
        <v>0</v>
      </c>
      <c r="VU239" s="9" t="n">
        <v>0</v>
      </c>
      <c r="VV239" s="9" t="n">
        <v>0</v>
      </c>
      <c r="VZ239" s="10" t="n">
        <v>46225</v>
      </c>
      <c r="WB239" s="9" t="n">
        <v>0</v>
      </c>
      <c r="WD239" s="9" t="n">
        <v>0</v>
      </c>
      <c r="WE239" s="9" t="n">
        <v>0</v>
      </c>
      <c r="WI239" s="10" t="n">
        <v>46225</v>
      </c>
      <c r="WK239" s="9" t="n">
        <v>0</v>
      </c>
      <c r="WM239" s="9" t="n">
        <v>0</v>
      </c>
      <c r="WN239" s="9" t="n">
        <v>1057</v>
      </c>
      <c r="WR239" s="10" t="n">
        <v>46225</v>
      </c>
      <c r="WT239" s="9" t="n">
        <v>0</v>
      </c>
      <c r="WV239" s="9" t="n">
        <v>0</v>
      </c>
      <c r="WW239" s="9" t="n">
        <v>0</v>
      </c>
      <c r="XA239" s="10" t="n">
        <v>46225</v>
      </c>
      <c r="XC239" s="9" t="n">
        <v>0</v>
      </c>
      <c r="XE239" s="9" t="n">
        <v>0</v>
      </c>
      <c r="XF239" s="9" t="n">
        <v>7507</v>
      </c>
      <c r="XJ239" s="10" t="n">
        <v>46225</v>
      </c>
      <c r="XL239" s="9" t="n">
        <v>0</v>
      </c>
      <c r="XN239" s="9" t="n">
        <v>0</v>
      </c>
      <c r="XO239" s="9" t="n">
        <v>4252</v>
      </c>
      <c r="XS239" s="10" t="n">
        <v>46225</v>
      </c>
      <c r="XU239" s="9" t="n">
        <v>0</v>
      </c>
      <c r="XW239" s="9" t="n">
        <v>0</v>
      </c>
      <c r="XX239" s="9" t="n">
        <v>2179</v>
      </c>
      <c r="YB239" s="10" t="n">
        <v>46225</v>
      </c>
      <c r="YD239" s="9" t="n">
        <v>0</v>
      </c>
      <c r="YF239" s="9" t="n">
        <v>0</v>
      </c>
      <c r="YG239" s="9" t="n">
        <v>4019</v>
      </c>
      <c r="YK239" s="10" t="n">
        <v>46225</v>
      </c>
      <c r="YM239" s="9" t="n">
        <v>0</v>
      </c>
      <c r="YO239" s="9" t="n">
        <v>0</v>
      </c>
      <c r="YP239" s="9" t="n">
        <v>0</v>
      </c>
      <c r="YT239" s="10" t="n">
        <v>46225</v>
      </c>
      <c r="YV239" s="9" t="n">
        <v>0</v>
      </c>
      <c r="YX239" s="9" t="n">
        <v>0</v>
      </c>
      <c r="YY239" s="9" t="n">
        <v>0</v>
      </c>
      <c r="ZC239" s="10" t="n">
        <v>46225</v>
      </c>
      <c r="ZE239" s="9" t="n">
        <v>0</v>
      </c>
      <c r="ZG239" s="9" t="n">
        <v>0</v>
      </c>
      <c r="ZH239" s="9" t="n">
        <v>0</v>
      </c>
      <c r="ZL239" s="10" t="n">
        <v>46225</v>
      </c>
      <c r="ZN239" s="9" t="n">
        <v>0</v>
      </c>
      <c r="ZP239" s="9" t="n">
        <v>0</v>
      </c>
      <c r="ZQ239" s="9" t="n">
        <v>0</v>
      </c>
      <c r="ZU239" s="10" t="n">
        <v>46225</v>
      </c>
      <c r="ZW239" s="9" t="n">
        <v>0</v>
      </c>
      <c r="ZY239" s="9" t="n">
        <v>0</v>
      </c>
      <c r="ZZ239" s="9" t="n">
        <v>0</v>
      </c>
      <c r="AAD239" s="10" t="n">
        <v>46225</v>
      </c>
      <c r="AAF239" s="9" t="n">
        <v>0</v>
      </c>
      <c r="AAH239" s="9" t="n">
        <v>0</v>
      </c>
      <c r="AAI239" s="9" t="n">
        <v>0</v>
      </c>
      <c r="AAM239" s="10" t="n">
        <v>46225</v>
      </c>
      <c r="AAO239" s="9" t="n">
        <v>0</v>
      </c>
      <c r="AAQ239" s="9" t="n">
        <v>0</v>
      </c>
      <c r="AAR239" s="9" t="n">
        <v>0</v>
      </c>
      <c r="AAV239" s="10" t="n">
        <v>46225</v>
      </c>
      <c r="AAX239" s="9" t="n">
        <v>0</v>
      </c>
      <c r="AAZ239" s="9" t="n">
        <v>0</v>
      </c>
      <c r="ABA239" s="9" t="n">
        <v>0</v>
      </c>
      <c r="ABE239" s="10" t="n">
        <v>46225</v>
      </c>
      <c r="ABG239" s="9" t="n">
        <v>0</v>
      </c>
      <c r="ABI239" s="9" t="n">
        <v>0</v>
      </c>
      <c r="ABJ239" s="9" t="n">
        <v>0</v>
      </c>
    </row>
    <row r="240">
      <c r="C240" s="10" t="n">
        <v>46226</v>
      </c>
      <c r="D240" s="9" t="n">
        <v>65450</v>
      </c>
      <c r="E240" s="9" t="n">
        <v>16691.4</v>
      </c>
      <c r="F240" s="9" t="n">
        <v>16658.6</v>
      </c>
      <c r="G240" s="9" t="n">
        <v>32.80000000000291</v>
      </c>
      <c r="H240" s="9" t="n">
        <v>222717.8</v>
      </c>
      <c r="L240" s="10" t="n">
        <v>46226</v>
      </c>
      <c r="M240" s="9" t="n">
        <v>24650</v>
      </c>
      <c r="N240" s="9" t="n">
        <v>9516</v>
      </c>
      <c r="O240" s="9" t="n">
        <v>9515.799999999999</v>
      </c>
      <c r="P240" s="9" t="n">
        <v>0.2000000000007276</v>
      </c>
      <c r="Q240" s="9" t="n">
        <v>13899.20000000007</v>
      </c>
      <c r="U240" s="10" t="n">
        <v>46226</v>
      </c>
      <c r="W240" s="9" t="n">
        <v>1500</v>
      </c>
      <c r="X240" s="9" t="n">
        <v>1499.7</v>
      </c>
      <c r="Y240" s="9" t="n">
        <v>0.2999999999999545</v>
      </c>
      <c r="Z240" s="9" t="n">
        <v>37077.39999999997</v>
      </c>
      <c r="AD240" s="10" t="n">
        <v>46226</v>
      </c>
      <c r="AF240" s="9" t="n">
        <v>0</v>
      </c>
      <c r="AH240" s="9" t="n">
        <v>0</v>
      </c>
      <c r="AI240" s="9" t="n">
        <v>31872.20000000002</v>
      </c>
      <c r="AM240" s="10" t="n">
        <v>46226</v>
      </c>
      <c r="AO240" s="9" t="n">
        <v>0</v>
      </c>
      <c r="AQ240" s="9" t="n">
        <v>0</v>
      </c>
      <c r="AR240" s="9" t="n">
        <v>0</v>
      </c>
      <c r="AV240" s="10" t="n">
        <v>46226</v>
      </c>
      <c r="AX240" s="9" t="n">
        <v>0</v>
      </c>
      <c r="AZ240" s="9" t="n">
        <v>0</v>
      </c>
      <c r="BA240" s="9" t="n">
        <v>726.5999999999952</v>
      </c>
      <c r="BE240" s="10" t="n">
        <v>46226</v>
      </c>
      <c r="BG240" s="9" t="n">
        <v>585</v>
      </c>
      <c r="BH240" s="9" t="n">
        <v>584.8</v>
      </c>
      <c r="BI240" s="9" t="n">
        <v>0.2000000000000455</v>
      </c>
      <c r="BJ240" s="9" t="n">
        <v>28588.3</v>
      </c>
      <c r="BN240" s="10" t="n">
        <v>46226</v>
      </c>
      <c r="BO240" s="9" t="n">
        <v>705</v>
      </c>
      <c r="BP240" s="9" t="n">
        <v>705</v>
      </c>
      <c r="BQ240" s="9" t="n">
        <v>705</v>
      </c>
      <c r="BR240" s="9" t="n">
        <v>0</v>
      </c>
      <c r="BS240" s="9" t="n">
        <v>0</v>
      </c>
      <c r="BW240" s="10" t="n">
        <v>46226</v>
      </c>
      <c r="BY240" s="9" t="n">
        <v>0</v>
      </c>
      <c r="CA240" s="9" t="n">
        <v>0</v>
      </c>
      <c r="CB240" s="9" t="n">
        <v>5937.359999999999</v>
      </c>
      <c r="CF240" s="10" t="n">
        <v>46226</v>
      </c>
      <c r="CH240" s="9" t="n">
        <v>192.6</v>
      </c>
      <c r="CJ240" s="9" t="n">
        <v>192.6</v>
      </c>
      <c r="CK240" s="9" t="n">
        <v>-8101.359999999999</v>
      </c>
      <c r="CO240" s="10" t="n">
        <v>46226</v>
      </c>
      <c r="CQ240" s="9" t="n">
        <v>0</v>
      </c>
      <c r="CS240" s="9" t="n">
        <v>0</v>
      </c>
      <c r="CT240" s="9" t="n">
        <v>0</v>
      </c>
      <c r="CX240" s="10" t="n">
        <v>46226</v>
      </c>
      <c r="CY240" s="9" t="n">
        <v>29800</v>
      </c>
      <c r="CZ240" s="9" t="n">
        <v>0</v>
      </c>
      <c r="DB240" s="9" t="n">
        <v>0</v>
      </c>
      <c r="DC240" s="9" t="n">
        <v>31111.60000000001</v>
      </c>
      <c r="DG240" s="10" t="n">
        <v>46226</v>
      </c>
      <c r="DI240" s="9" t="n">
        <v>0</v>
      </c>
      <c r="DK240" s="9" t="n">
        <v>0</v>
      </c>
      <c r="DL240" s="9" t="n">
        <v>33033.89999999998</v>
      </c>
      <c r="DP240" s="10" t="n">
        <v>46226</v>
      </c>
      <c r="DR240" s="9" t="n">
        <v>0</v>
      </c>
      <c r="DT240" s="9" t="n">
        <v>0</v>
      </c>
      <c r="DU240" s="9" t="n">
        <v>5800</v>
      </c>
      <c r="DY240" s="10" t="n">
        <v>46226</v>
      </c>
      <c r="EA240" s="9" t="n">
        <v>0</v>
      </c>
      <c r="EC240" s="9" t="n">
        <v>0</v>
      </c>
      <c r="ED240" s="9" t="n">
        <v>0</v>
      </c>
      <c r="EH240" s="10" t="n">
        <v>46226</v>
      </c>
      <c r="EJ240" s="9" t="n">
        <v>0</v>
      </c>
      <c r="EL240" s="9" t="n">
        <v>0</v>
      </c>
      <c r="EM240" s="9" t="n">
        <v>0</v>
      </c>
      <c r="EQ240" s="10" t="n">
        <v>46226</v>
      </c>
      <c r="ES240" s="9" t="n">
        <v>0</v>
      </c>
      <c r="EU240" s="9" t="n">
        <v>0</v>
      </c>
      <c r="EV240" s="9" t="n">
        <v>0</v>
      </c>
      <c r="EZ240" s="10" t="n">
        <v>46226</v>
      </c>
      <c r="FB240" s="9" t="n">
        <v>0</v>
      </c>
      <c r="FD240" s="9" t="n">
        <v>0</v>
      </c>
      <c r="FE240" s="9" t="n">
        <v>0</v>
      </c>
      <c r="FI240" s="10" t="n">
        <v>46226</v>
      </c>
      <c r="FK240" s="9" t="n">
        <v>0</v>
      </c>
      <c r="FM240" s="9" t="n">
        <v>0</v>
      </c>
      <c r="FN240" s="9" t="n">
        <v>0</v>
      </c>
      <c r="FR240" s="10" t="n">
        <v>46226</v>
      </c>
      <c r="FT240" s="9" t="n">
        <v>0</v>
      </c>
      <c r="FV240" s="9" t="n">
        <v>0</v>
      </c>
      <c r="FW240" s="9" t="n">
        <v>1160</v>
      </c>
      <c r="GA240" s="10" t="n">
        <v>46226</v>
      </c>
      <c r="GC240" s="9" t="n">
        <v>0</v>
      </c>
      <c r="GE240" s="9" t="n">
        <v>0</v>
      </c>
      <c r="GF240" s="9" t="n">
        <v>960</v>
      </c>
      <c r="GJ240" s="10" t="n">
        <v>46226</v>
      </c>
      <c r="GL240" s="9" t="n">
        <v>0</v>
      </c>
      <c r="GN240" s="9" t="n">
        <v>0</v>
      </c>
      <c r="GO240" s="9" t="n">
        <v>1760</v>
      </c>
      <c r="GS240" s="10" t="n">
        <v>46226</v>
      </c>
      <c r="GU240" s="9" t="n">
        <v>0</v>
      </c>
      <c r="GW240" s="9" t="n">
        <v>0</v>
      </c>
      <c r="GX240" s="9" t="n">
        <v>400</v>
      </c>
      <c r="HB240" s="10" t="n">
        <v>46226</v>
      </c>
      <c r="HD240" s="9" t="n">
        <v>0</v>
      </c>
      <c r="HF240" s="9" t="n">
        <v>0</v>
      </c>
      <c r="HG240" s="9" t="n">
        <v>3600</v>
      </c>
      <c r="HK240" s="10" t="n">
        <v>46226</v>
      </c>
      <c r="HM240" s="9" t="n">
        <v>0</v>
      </c>
      <c r="HO240" s="9" t="n">
        <v>0</v>
      </c>
      <c r="HP240" s="9" t="n">
        <v>0</v>
      </c>
      <c r="HU240" s="10" t="n">
        <v>46226</v>
      </c>
      <c r="HW240" s="9" t="n">
        <v>0</v>
      </c>
      <c r="HY240" s="9" t="n">
        <v>0</v>
      </c>
      <c r="HZ240" s="9" t="n">
        <v>5920</v>
      </c>
      <c r="ID240" s="10" t="n">
        <v>46226</v>
      </c>
      <c r="IF240" s="9" t="n">
        <v>0</v>
      </c>
      <c r="IH240" s="9" t="n">
        <v>0</v>
      </c>
      <c r="II240" s="9" t="n">
        <v>720</v>
      </c>
      <c r="IM240" s="10" t="n">
        <v>46226</v>
      </c>
      <c r="IO240" s="9" t="n">
        <v>600</v>
      </c>
      <c r="IQ240" s="9" t="n">
        <v>600</v>
      </c>
      <c r="IR240" s="9" t="n">
        <v>4280</v>
      </c>
      <c r="IV240" s="10" t="n">
        <v>46226</v>
      </c>
      <c r="IX240" s="9" t="n">
        <v>0</v>
      </c>
      <c r="IZ240" s="9" t="n">
        <v>0</v>
      </c>
      <c r="JA240" s="9" t="n">
        <v>4960</v>
      </c>
      <c r="JE240" s="10" t="n">
        <v>46226</v>
      </c>
      <c r="JG240" s="9" t="n">
        <v>0</v>
      </c>
      <c r="JI240" s="9" t="n">
        <v>0</v>
      </c>
      <c r="JJ240" s="9" t="n">
        <v>0</v>
      </c>
      <c r="JN240" s="10" t="n">
        <v>46226</v>
      </c>
      <c r="JP240" s="9" t="n">
        <v>0</v>
      </c>
      <c r="JR240" s="9" t="n">
        <v>0</v>
      </c>
      <c r="JS240" s="9" t="n">
        <v>0</v>
      </c>
      <c r="JW240" s="10" t="n">
        <v>46226</v>
      </c>
      <c r="JY240" s="9" t="n">
        <v>0</v>
      </c>
      <c r="KA240" s="9" t="n">
        <v>0</v>
      </c>
      <c r="KB240" s="9" t="n">
        <v>2540</v>
      </c>
      <c r="KF240" s="10" t="n">
        <v>46226</v>
      </c>
      <c r="KH240" s="9" t="n">
        <v>0</v>
      </c>
      <c r="KJ240" s="9" t="n">
        <v>0</v>
      </c>
      <c r="KK240" s="9" t="n">
        <v>2359.5</v>
      </c>
      <c r="KO240" s="10" t="n">
        <v>46226</v>
      </c>
      <c r="KQ240" s="9" t="n">
        <v>0</v>
      </c>
      <c r="KS240" s="9" t="n">
        <v>0</v>
      </c>
      <c r="KT240" s="9" t="n">
        <v>1890</v>
      </c>
      <c r="KX240" s="10" t="n">
        <v>46226</v>
      </c>
      <c r="KZ240" s="9" t="n">
        <v>0</v>
      </c>
      <c r="LB240" s="9" t="n">
        <v>0</v>
      </c>
      <c r="LC240" s="9" t="n">
        <v>3690</v>
      </c>
      <c r="LG240" s="10" t="n">
        <v>46226</v>
      </c>
      <c r="LI240" s="9" t="n">
        <v>0</v>
      </c>
      <c r="LK240" s="9" t="n">
        <v>0</v>
      </c>
      <c r="LL240" s="9" t="n">
        <v>4000</v>
      </c>
      <c r="LP240" s="10" t="n">
        <v>46226</v>
      </c>
      <c r="LR240" s="9" t="n">
        <v>0</v>
      </c>
      <c r="LT240" s="9" t="n">
        <v>0</v>
      </c>
      <c r="LU240" s="9" t="n">
        <v>0</v>
      </c>
      <c r="LY240" s="10" t="n">
        <v>46226</v>
      </c>
      <c r="MA240" s="9" t="n">
        <v>0</v>
      </c>
      <c r="MC240" s="9" t="n">
        <v>0</v>
      </c>
      <c r="MD240" s="9" t="n">
        <v>0</v>
      </c>
      <c r="MH240" s="10" t="n">
        <v>46226</v>
      </c>
      <c r="MJ240" s="9" t="n">
        <v>0</v>
      </c>
      <c r="ML240" s="9" t="n">
        <v>0</v>
      </c>
      <c r="MM240" s="9" t="n">
        <v>0</v>
      </c>
      <c r="MQ240" s="10" t="n">
        <v>46226</v>
      </c>
      <c r="MS240" s="9" t="n">
        <v>0</v>
      </c>
      <c r="MU240" s="9" t="n">
        <v>0</v>
      </c>
      <c r="MV240" s="9" t="n">
        <v>2540</v>
      </c>
      <c r="MZ240" s="10" t="n">
        <v>46226</v>
      </c>
      <c r="NB240" s="9" t="n">
        <v>90</v>
      </c>
      <c r="ND240" s="9" t="n">
        <v>90</v>
      </c>
      <c r="NE240" s="9" t="n">
        <v>0</v>
      </c>
      <c r="NI240" s="10" t="n">
        <v>46226</v>
      </c>
      <c r="NK240" s="9" t="n">
        <v>0</v>
      </c>
      <c r="NM240" s="9" t="n">
        <v>0</v>
      </c>
      <c r="NN240" s="9" t="n">
        <v>1127</v>
      </c>
      <c r="NR240" s="10" t="n">
        <v>46226</v>
      </c>
      <c r="NT240" s="9" t="n">
        <v>0</v>
      </c>
      <c r="NV240" s="9" t="n">
        <v>0</v>
      </c>
      <c r="NW240" s="9" t="n">
        <v>3112</v>
      </c>
      <c r="OA240" s="10" t="n">
        <v>46226</v>
      </c>
      <c r="OC240" s="9" t="n">
        <v>0</v>
      </c>
      <c r="OE240" s="9" t="n">
        <v>0</v>
      </c>
      <c r="OF240" s="9" t="n">
        <v>1680.5</v>
      </c>
      <c r="OJ240" s="10" t="n">
        <v>46226</v>
      </c>
      <c r="OL240" s="9" t="n">
        <v>0</v>
      </c>
      <c r="ON240" s="9" t="n">
        <v>0</v>
      </c>
      <c r="OO240" s="9" t="n">
        <v>0</v>
      </c>
      <c r="OS240" s="10" t="n">
        <v>46226</v>
      </c>
      <c r="OU240" s="9" t="n">
        <v>0</v>
      </c>
      <c r="OW240" s="9" t="n">
        <v>0</v>
      </c>
      <c r="OX240" s="9" t="n">
        <v>1482</v>
      </c>
      <c r="PB240" s="10" t="n">
        <v>46226</v>
      </c>
      <c r="PD240" s="9" t="n">
        <v>0</v>
      </c>
      <c r="PF240" s="9" t="n">
        <v>0</v>
      </c>
      <c r="PG240" s="9" t="n">
        <v>0</v>
      </c>
      <c r="PK240" s="10" t="n">
        <v>46226</v>
      </c>
      <c r="PM240" s="9" t="n">
        <v>0</v>
      </c>
      <c r="PO240" s="9" t="n">
        <v>0</v>
      </c>
      <c r="PP240" s="9" t="n">
        <v>100</v>
      </c>
      <c r="PT240" s="10" t="n">
        <v>46226</v>
      </c>
      <c r="PV240" s="9" t="n">
        <v>0</v>
      </c>
      <c r="PX240" s="9" t="n">
        <v>0</v>
      </c>
      <c r="PY240" s="9" t="n">
        <v>13.96000000000004</v>
      </c>
      <c r="QC240" s="10" t="n">
        <v>46226</v>
      </c>
      <c r="QE240" s="9" t="n">
        <v>120</v>
      </c>
      <c r="QG240" s="9" t="n">
        <v>120</v>
      </c>
      <c r="QH240" s="9" t="n">
        <v>1688</v>
      </c>
      <c r="QL240" s="10" t="n">
        <v>46226</v>
      </c>
      <c r="QN240" s="9" t="n">
        <v>0</v>
      </c>
      <c r="QP240" s="9" t="n">
        <v>0</v>
      </c>
      <c r="QQ240" s="9" t="n">
        <v>0</v>
      </c>
      <c r="QU240" s="10" t="n">
        <v>46226</v>
      </c>
      <c r="QW240" s="9" t="n">
        <v>0</v>
      </c>
      <c r="QY240" s="9" t="n">
        <v>0</v>
      </c>
      <c r="QZ240" s="9" t="n">
        <v>207.6</v>
      </c>
      <c r="RD240" s="10" t="n">
        <v>46226</v>
      </c>
      <c r="RF240" s="9" t="n">
        <v>0</v>
      </c>
      <c r="RH240" s="9" t="n">
        <v>0</v>
      </c>
      <c r="RI240" s="9" t="n">
        <v>147.04</v>
      </c>
      <c r="RM240" s="10" t="n">
        <v>46226</v>
      </c>
      <c r="RO240" s="9" t="n">
        <v>0</v>
      </c>
      <c r="RQ240" s="9" t="n">
        <v>0</v>
      </c>
      <c r="RR240" s="9" t="n">
        <v>46.8</v>
      </c>
      <c r="RV240" s="10" t="n">
        <v>46226</v>
      </c>
      <c r="RX240" s="9" t="n">
        <v>0</v>
      </c>
      <c r="RZ240" s="9" t="n">
        <v>0</v>
      </c>
      <c r="SA240" s="9" t="n">
        <v>0</v>
      </c>
      <c r="SE240" s="10" t="n">
        <v>46226</v>
      </c>
      <c r="SG240" s="9" t="n">
        <v>0</v>
      </c>
      <c r="SI240" s="9" t="n">
        <v>0</v>
      </c>
      <c r="SJ240" s="9" t="n">
        <v>24.2</v>
      </c>
      <c r="SN240" s="10" t="n">
        <v>46226</v>
      </c>
      <c r="SP240" s="9" t="n">
        <v>0</v>
      </c>
      <c r="SR240" s="9" t="n">
        <v>0</v>
      </c>
      <c r="SS240" s="9" t="n">
        <v>32</v>
      </c>
      <c r="SW240" s="10" t="n">
        <v>46226</v>
      </c>
      <c r="SY240" s="9" t="n">
        <v>0</v>
      </c>
      <c r="TA240" s="9" t="n">
        <v>0</v>
      </c>
      <c r="TB240" s="9" t="n">
        <v>0</v>
      </c>
      <c r="TF240" s="10" t="n">
        <v>46226</v>
      </c>
      <c r="TH240" s="9" t="n">
        <v>0</v>
      </c>
      <c r="TJ240" s="9" t="n">
        <v>0</v>
      </c>
      <c r="TK240" s="9" t="n">
        <v>0</v>
      </c>
      <c r="TO240" s="10" t="n">
        <v>46226</v>
      </c>
      <c r="TQ240" s="9" t="n">
        <v>0</v>
      </c>
      <c r="TS240" s="9" t="n">
        <v>0</v>
      </c>
      <c r="TT240" s="9" t="n">
        <v>22.40000000000001</v>
      </c>
      <c r="TX240" s="10" t="n">
        <v>46226</v>
      </c>
      <c r="TZ240" s="9" t="n">
        <v>0</v>
      </c>
      <c r="UB240" s="9" t="n">
        <v>0</v>
      </c>
      <c r="UC240" s="9" t="n">
        <v>46.79999999999998</v>
      </c>
      <c r="UG240" s="10" t="n">
        <v>46226</v>
      </c>
      <c r="UI240" s="9" t="n">
        <v>0</v>
      </c>
      <c r="UK240" s="9" t="n">
        <v>0</v>
      </c>
      <c r="UL240" s="9" t="n">
        <v>204</v>
      </c>
      <c r="UP240" s="10" t="n">
        <v>46226</v>
      </c>
      <c r="UR240" s="9" t="n">
        <v>0</v>
      </c>
      <c r="UT240" s="9" t="n">
        <v>0</v>
      </c>
      <c r="UU240" s="9" t="n">
        <v>202.5</v>
      </c>
      <c r="UY240" s="10" t="n">
        <v>46226</v>
      </c>
      <c r="VA240" s="9" t="n">
        <v>0</v>
      </c>
      <c r="VC240" s="9" t="n">
        <v>0</v>
      </c>
      <c r="VD240" s="9" t="n">
        <v>41.60000000000002</v>
      </c>
      <c r="VH240" s="10" t="n">
        <v>46226</v>
      </c>
      <c r="VJ240" s="9" t="n">
        <v>0</v>
      </c>
      <c r="VL240" s="9" t="n">
        <v>0</v>
      </c>
      <c r="VM240" s="9" t="n">
        <v>210</v>
      </c>
      <c r="VQ240" s="10" t="n">
        <v>46226</v>
      </c>
      <c r="VS240" s="9" t="n">
        <v>0</v>
      </c>
      <c r="VU240" s="9" t="n">
        <v>0</v>
      </c>
      <c r="VV240" s="9" t="n">
        <v>0</v>
      </c>
      <c r="VZ240" s="10" t="n">
        <v>46226</v>
      </c>
      <c r="WB240" s="9" t="n">
        <v>0</v>
      </c>
      <c r="WD240" s="9" t="n">
        <v>0</v>
      </c>
      <c r="WE240" s="9" t="n">
        <v>0</v>
      </c>
      <c r="WI240" s="10" t="n">
        <v>46226</v>
      </c>
      <c r="WK240" s="9" t="n">
        <v>0</v>
      </c>
      <c r="WM240" s="9" t="n">
        <v>0</v>
      </c>
      <c r="WN240" s="9" t="n">
        <v>1057</v>
      </c>
      <c r="WR240" s="10" t="n">
        <v>46226</v>
      </c>
      <c r="WT240" s="9" t="n">
        <v>0</v>
      </c>
      <c r="WV240" s="9" t="n">
        <v>0</v>
      </c>
      <c r="WW240" s="9" t="n">
        <v>0</v>
      </c>
      <c r="XA240" s="10" t="n">
        <v>46226</v>
      </c>
      <c r="XC240" s="9" t="n">
        <v>0</v>
      </c>
      <c r="XE240" s="9" t="n">
        <v>0</v>
      </c>
      <c r="XF240" s="9" t="n">
        <v>7507</v>
      </c>
      <c r="XJ240" s="10" t="n">
        <v>46226</v>
      </c>
      <c r="XL240" s="9" t="n">
        <v>0</v>
      </c>
      <c r="XN240" s="9" t="n">
        <v>0</v>
      </c>
      <c r="XO240" s="9" t="n">
        <v>4252</v>
      </c>
      <c r="XS240" s="10" t="n">
        <v>46226</v>
      </c>
      <c r="XU240" s="9" t="n">
        <v>0</v>
      </c>
      <c r="XW240" s="9" t="n">
        <v>0</v>
      </c>
      <c r="XX240" s="9" t="n">
        <v>2179</v>
      </c>
      <c r="YB240" s="10" t="n">
        <v>46226</v>
      </c>
      <c r="YD240" s="9" t="n">
        <v>0</v>
      </c>
      <c r="YF240" s="9" t="n">
        <v>0</v>
      </c>
      <c r="YG240" s="9" t="n">
        <v>4019</v>
      </c>
      <c r="YK240" s="10" t="n">
        <v>46226</v>
      </c>
      <c r="YM240" s="9" t="n">
        <v>0</v>
      </c>
      <c r="YO240" s="9" t="n">
        <v>0</v>
      </c>
      <c r="YP240" s="9" t="n">
        <v>0</v>
      </c>
      <c r="YT240" s="10" t="n">
        <v>46226</v>
      </c>
      <c r="YV240" s="9" t="n">
        <v>0</v>
      </c>
      <c r="YX240" s="9" t="n">
        <v>0</v>
      </c>
      <c r="YY240" s="9" t="n">
        <v>0</v>
      </c>
      <c r="ZC240" s="10" t="n">
        <v>46226</v>
      </c>
      <c r="ZE240" s="9" t="n">
        <v>0</v>
      </c>
      <c r="ZG240" s="9" t="n">
        <v>0</v>
      </c>
      <c r="ZH240" s="9" t="n">
        <v>0</v>
      </c>
      <c r="ZL240" s="10" t="n">
        <v>46226</v>
      </c>
      <c r="ZN240" s="9" t="n">
        <v>0</v>
      </c>
      <c r="ZP240" s="9" t="n">
        <v>0</v>
      </c>
      <c r="ZQ240" s="9" t="n">
        <v>0</v>
      </c>
      <c r="ZU240" s="10" t="n">
        <v>46226</v>
      </c>
      <c r="ZW240" s="9" t="n">
        <v>0</v>
      </c>
      <c r="ZY240" s="9" t="n">
        <v>0</v>
      </c>
      <c r="ZZ240" s="9" t="n">
        <v>0</v>
      </c>
      <c r="AAD240" s="10" t="n">
        <v>46226</v>
      </c>
      <c r="AAF240" s="9" t="n">
        <v>0</v>
      </c>
      <c r="AAH240" s="9" t="n">
        <v>0</v>
      </c>
      <c r="AAI240" s="9" t="n">
        <v>0</v>
      </c>
      <c r="AAM240" s="10" t="n">
        <v>46226</v>
      </c>
      <c r="AAO240" s="9" t="n">
        <v>0</v>
      </c>
      <c r="AAQ240" s="9" t="n">
        <v>0</v>
      </c>
      <c r="AAR240" s="9" t="n">
        <v>0</v>
      </c>
      <c r="AAV240" s="10" t="n">
        <v>46226</v>
      </c>
      <c r="AAX240" s="9" t="n">
        <v>0</v>
      </c>
      <c r="AAZ240" s="9" t="n">
        <v>0</v>
      </c>
      <c r="ABA240" s="9" t="n">
        <v>0</v>
      </c>
      <c r="ABE240" s="10" t="n">
        <v>46226</v>
      </c>
      <c r="ABG240" s="9" t="n">
        <v>0</v>
      </c>
      <c r="ABI240" s="9" t="n">
        <v>0</v>
      </c>
      <c r="ABJ240" s="9" t="n">
        <v>0</v>
      </c>
    </row>
    <row r="241">
      <c r="C241" s="10" t="n">
        <v>46227</v>
      </c>
      <c r="E241" s="9" t="n">
        <v>17052</v>
      </c>
      <c r="F241" s="9" t="n">
        <v>26995.2</v>
      </c>
      <c r="G241" s="9" t="n">
        <v>-9943.200000000001</v>
      </c>
      <c r="H241" s="9" t="n">
        <v>195722.6</v>
      </c>
      <c r="L241" s="10" t="n">
        <v>46227</v>
      </c>
      <c r="M241" s="9" t="n">
        <v>22950</v>
      </c>
      <c r="N241" s="9" t="n">
        <v>9834</v>
      </c>
      <c r="O241" s="9" t="n">
        <v>15554.2</v>
      </c>
      <c r="P241" s="9" t="n">
        <v>-5720.200000000001</v>
      </c>
      <c r="Q241" s="9" t="n">
        <v>21295.00000000007</v>
      </c>
      <c r="U241" s="10" t="n">
        <v>46227</v>
      </c>
      <c r="W241" s="9" t="n">
        <v>750</v>
      </c>
      <c r="X241" s="9" t="n">
        <v>1650.3</v>
      </c>
      <c r="Y241" s="9" t="n">
        <v>-900.3</v>
      </c>
      <c r="Z241" s="9" t="n">
        <v>35427.09999999997</v>
      </c>
      <c r="AD241" s="10" t="n">
        <v>46227</v>
      </c>
      <c r="AF241" s="9" t="n">
        <v>0</v>
      </c>
      <c r="AH241" s="9" t="n">
        <v>0</v>
      </c>
      <c r="AI241" s="9" t="n">
        <v>31872.20000000002</v>
      </c>
      <c r="AM241" s="10" t="n">
        <v>46227</v>
      </c>
      <c r="AO241" s="9" t="n">
        <v>0</v>
      </c>
      <c r="AQ241" s="9" t="n">
        <v>0</v>
      </c>
      <c r="AR241" s="9" t="n">
        <v>0</v>
      </c>
      <c r="AV241" s="10" t="n">
        <v>46227</v>
      </c>
      <c r="AX241" s="9" t="n">
        <v>606</v>
      </c>
      <c r="AY241" s="9" t="n">
        <v>601.6</v>
      </c>
      <c r="AZ241" s="9" t="n">
        <v>4.399999999999977</v>
      </c>
      <c r="BA241" s="9" t="n">
        <v>124.9999999999952</v>
      </c>
      <c r="BE241" s="10" t="n">
        <v>46227</v>
      </c>
      <c r="BG241" s="9" t="n">
        <v>0</v>
      </c>
      <c r="BH241" s="9" t="n">
        <v>350.8</v>
      </c>
      <c r="BI241" s="9" t="n">
        <v>-350.8</v>
      </c>
      <c r="BJ241" s="9" t="n">
        <v>28237.5</v>
      </c>
      <c r="BN241" s="10" t="n">
        <v>46227</v>
      </c>
      <c r="BO241" s="9" t="n">
        <v>767.9</v>
      </c>
      <c r="BP241" s="9" t="n">
        <v>345</v>
      </c>
      <c r="BQ241" s="9" t="n">
        <v>767.9</v>
      </c>
      <c r="BR241" s="9" t="n">
        <v>-422.9</v>
      </c>
      <c r="BS241" s="9" t="n">
        <v>0</v>
      </c>
      <c r="BW241" s="10" t="n">
        <v>46227</v>
      </c>
      <c r="BY241" s="9" t="n">
        <v>0</v>
      </c>
      <c r="BZ241" s="9" t="n">
        <v>567.37</v>
      </c>
      <c r="CA241" s="9" t="n">
        <v>-567.37</v>
      </c>
      <c r="CB241" s="9" t="n">
        <v>5369.989999999999</v>
      </c>
      <c r="CF241" s="10" t="n">
        <v>46227</v>
      </c>
      <c r="CH241" s="9" t="n">
        <v>0</v>
      </c>
      <c r="CI241" s="9" t="n">
        <v>959.4699999999998</v>
      </c>
      <c r="CJ241" s="9" t="n">
        <v>-959.4699999999998</v>
      </c>
      <c r="CK241" s="9" t="n">
        <v>-9060.829999999998</v>
      </c>
      <c r="CO241" s="10" t="n">
        <v>46227</v>
      </c>
      <c r="CQ241" s="9" t="n">
        <v>0</v>
      </c>
      <c r="CS241" s="9" t="n">
        <v>0</v>
      </c>
      <c r="CT241" s="9" t="n">
        <v>0</v>
      </c>
      <c r="CX241" s="10" t="n">
        <v>46227</v>
      </c>
      <c r="CZ241" s="9" t="n">
        <v>0</v>
      </c>
      <c r="DB241" s="9" t="n">
        <v>0</v>
      </c>
      <c r="DC241" s="9" t="n">
        <v>31111.60000000001</v>
      </c>
      <c r="DG241" s="10" t="n">
        <v>46227</v>
      </c>
      <c r="DI241" s="9" t="n">
        <v>750</v>
      </c>
      <c r="DJ241" s="9" t="n">
        <v>751.6</v>
      </c>
      <c r="DK241" s="9" t="n">
        <v>-1.600000000000023</v>
      </c>
      <c r="DL241" s="9" t="n">
        <v>32282.29999999998</v>
      </c>
      <c r="DP241" s="10" t="n">
        <v>46227</v>
      </c>
      <c r="DR241" s="9" t="n">
        <v>0</v>
      </c>
      <c r="DT241" s="9" t="n">
        <v>0</v>
      </c>
      <c r="DU241" s="9" t="n">
        <v>5800</v>
      </c>
      <c r="DY241" s="10" t="n">
        <v>46227</v>
      </c>
      <c r="EA241" s="9" t="n">
        <v>0</v>
      </c>
      <c r="EC241" s="9" t="n">
        <v>0</v>
      </c>
      <c r="ED241" s="9" t="n">
        <v>0</v>
      </c>
      <c r="EH241" s="10" t="n">
        <v>46227</v>
      </c>
      <c r="EJ241" s="9" t="n">
        <v>0</v>
      </c>
      <c r="EL241" s="9" t="n">
        <v>0</v>
      </c>
      <c r="EM241" s="9" t="n">
        <v>0</v>
      </c>
      <c r="EQ241" s="10" t="n">
        <v>46227</v>
      </c>
      <c r="ES241" s="9" t="n">
        <v>0</v>
      </c>
      <c r="EU241" s="9" t="n">
        <v>0</v>
      </c>
      <c r="EV241" s="9" t="n">
        <v>0</v>
      </c>
      <c r="EZ241" s="10" t="n">
        <v>46227</v>
      </c>
      <c r="FB241" s="9" t="n">
        <v>0</v>
      </c>
      <c r="FD241" s="9" t="n">
        <v>0</v>
      </c>
      <c r="FE241" s="9" t="n">
        <v>0</v>
      </c>
      <c r="FI241" s="10" t="n">
        <v>46227</v>
      </c>
      <c r="FK241" s="9" t="n">
        <v>0</v>
      </c>
      <c r="FM241" s="9" t="n">
        <v>0</v>
      </c>
      <c r="FN241" s="9" t="n">
        <v>0</v>
      </c>
      <c r="FR241" s="10" t="n">
        <v>46227</v>
      </c>
      <c r="FT241" s="9" t="n">
        <v>0</v>
      </c>
      <c r="FU241" s="9" t="n">
        <v>620</v>
      </c>
      <c r="FV241" s="9" t="n">
        <v>-620</v>
      </c>
      <c r="FW241" s="9" t="n">
        <v>540</v>
      </c>
      <c r="FX241" s="9" t="n">
        <v>31</v>
      </c>
      <c r="GA241" s="10" t="n">
        <v>46227</v>
      </c>
      <c r="GC241" s="9" t="n">
        <v>0</v>
      </c>
      <c r="GE241" s="9" t="n">
        <v>0</v>
      </c>
      <c r="GF241" s="9" t="n">
        <v>960</v>
      </c>
      <c r="GJ241" s="10" t="n">
        <v>46227</v>
      </c>
      <c r="GL241" s="9" t="n">
        <v>0</v>
      </c>
      <c r="GN241" s="9" t="n">
        <v>0</v>
      </c>
      <c r="GO241" s="9" t="n">
        <v>1760</v>
      </c>
      <c r="GS241" s="10" t="n">
        <v>46227</v>
      </c>
      <c r="GU241" s="9" t="n">
        <v>0</v>
      </c>
      <c r="GW241" s="9" t="n">
        <v>0</v>
      </c>
      <c r="GX241" s="9" t="n">
        <v>400</v>
      </c>
      <c r="HB241" s="10" t="n">
        <v>46227</v>
      </c>
      <c r="HD241" s="9" t="n">
        <v>0</v>
      </c>
      <c r="HF241" s="9" t="n">
        <v>0</v>
      </c>
      <c r="HG241" s="9" t="n">
        <v>3600</v>
      </c>
      <c r="HK241" s="10" t="n">
        <v>46227</v>
      </c>
      <c r="HM241" s="9" t="n">
        <v>0</v>
      </c>
      <c r="HO241" s="9" t="n">
        <v>0</v>
      </c>
      <c r="HP241" s="9" t="n">
        <v>0</v>
      </c>
      <c r="HU241" s="10" t="n">
        <v>46227</v>
      </c>
      <c r="HW241" s="9" t="n">
        <v>0</v>
      </c>
      <c r="HY241" s="9" t="n">
        <v>0</v>
      </c>
      <c r="HZ241" s="9" t="n">
        <v>5920</v>
      </c>
      <c r="ID241" s="10" t="n">
        <v>46227</v>
      </c>
      <c r="IF241" s="9" t="n">
        <v>0</v>
      </c>
      <c r="IH241" s="9" t="n">
        <v>0</v>
      </c>
      <c r="II241" s="9" t="n">
        <v>720</v>
      </c>
      <c r="IM241" s="10" t="n">
        <v>46227</v>
      </c>
      <c r="IO241" s="9" t="n">
        <v>0</v>
      </c>
      <c r="IP241" s="9" t="n">
        <v>1000</v>
      </c>
      <c r="IQ241" s="9" t="n">
        <v>-1000</v>
      </c>
      <c r="IR241" s="9" t="n">
        <v>3280</v>
      </c>
      <c r="IS241" s="9" t="n">
        <v>50</v>
      </c>
      <c r="IV241" s="10" t="n">
        <v>46227</v>
      </c>
      <c r="IX241" s="9" t="n">
        <v>0</v>
      </c>
      <c r="IZ241" s="9" t="n">
        <v>0</v>
      </c>
      <c r="JA241" s="9" t="n">
        <v>4960</v>
      </c>
      <c r="JE241" s="10" t="n">
        <v>46227</v>
      </c>
      <c r="JG241" s="9" t="n">
        <v>0</v>
      </c>
      <c r="JI241" s="9" t="n">
        <v>0</v>
      </c>
      <c r="JJ241" s="9" t="n">
        <v>0</v>
      </c>
      <c r="JN241" s="10" t="n">
        <v>46227</v>
      </c>
      <c r="JP241" s="9" t="n">
        <v>0</v>
      </c>
      <c r="JR241" s="9" t="n">
        <v>0</v>
      </c>
      <c r="JS241" s="9" t="n">
        <v>0</v>
      </c>
      <c r="JW241" s="10" t="n">
        <v>46227</v>
      </c>
      <c r="JY241" s="9" t="n">
        <v>0</v>
      </c>
      <c r="KA241" s="9" t="n">
        <v>0</v>
      </c>
      <c r="KB241" s="9" t="n">
        <v>2540</v>
      </c>
      <c r="KF241" s="10" t="n">
        <v>46227</v>
      </c>
      <c r="KH241" s="9" t="n">
        <v>0</v>
      </c>
      <c r="KJ241" s="9" t="n">
        <v>0</v>
      </c>
      <c r="KK241" s="9" t="n">
        <v>2359.5</v>
      </c>
      <c r="KO241" s="10" t="n">
        <v>46227</v>
      </c>
      <c r="KQ241" s="9" t="n">
        <v>0</v>
      </c>
      <c r="KS241" s="9" t="n">
        <v>0</v>
      </c>
      <c r="KT241" s="9" t="n">
        <v>1890</v>
      </c>
      <c r="KX241" s="10" t="n">
        <v>46227</v>
      </c>
      <c r="KZ241" s="9" t="n">
        <v>0</v>
      </c>
      <c r="LB241" s="9" t="n">
        <v>0</v>
      </c>
      <c r="LC241" s="9" t="n">
        <v>3690</v>
      </c>
      <c r="LG241" s="10" t="n">
        <v>46227</v>
      </c>
      <c r="LI241" s="9" t="n">
        <v>0</v>
      </c>
      <c r="LK241" s="9" t="n">
        <v>0</v>
      </c>
      <c r="LL241" s="9" t="n">
        <v>4000</v>
      </c>
      <c r="LP241" s="10" t="n">
        <v>46227</v>
      </c>
      <c r="LR241" s="9" t="n">
        <v>0</v>
      </c>
      <c r="LT241" s="9" t="n">
        <v>0</v>
      </c>
      <c r="LU241" s="9" t="n">
        <v>0</v>
      </c>
      <c r="LY241" s="10" t="n">
        <v>46227</v>
      </c>
      <c r="MA241" s="9" t="n">
        <v>0</v>
      </c>
      <c r="MC241" s="9" t="n">
        <v>0</v>
      </c>
      <c r="MD241" s="9" t="n">
        <v>0</v>
      </c>
      <c r="MH241" s="10" t="n">
        <v>46227</v>
      </c>
      <c r="MJ241" s="9" t="n">
        <v>0</v>
      </c>
      <c r="ML241" s="9" t="n">
        <v>0</v>
      </c>
      <c r="MM241" s="9" t="n">
        <v>0</v>
      </c>
      <c r="MQ241" s="10" t="n">
        <v>46227</v>
      </c>
      <c r="MS241" s="9" t="n">
        <v>0</v>
      </c>
      <c r="MT241" s="9" t="n">
        <v>178</v>
      </c>
      <c r="MU241" s="9" t="n">
        <v>-178</v>
      </c>
      <c r="MV241" s="9" t="n">
        <v>2362</v>
      </c>
      <c r="MZ241" s="10" t="n">
        <v>46227</v>
      </c>
      <c r="NA241" s="9" t="n">
        <v>894</v>
      </c>
      <c r="NB241" s="9" t="n">
        <v>0</v>
      </c>
      <c r="NC241" s="9" t="n">
        <v>894</v>
      </c>
      <c r="ND241" s="9" t="n">
        <v>-894</v>
      </c>
      <c r="NE241" s="9" t="n">
        <v>0</v>
      </c>
      <c r="NI241" s="10" t="n">
        <v>46227</v>
      </c>
      <c r="NK241" s="9" t="n">
        <v>0</v>
      </c>
      <c r="NM241" s="9" t="n">
        <v>0</v>
      </c>
      <c r="NN241" s="9" t="n">
        <v>1127</v>
      </c>
      <c r="NR241" s="10" t="n">
        <v>46227</v>
      </c>
      <c r="NT241" s="9" t="n">
        <v>0</v>
      </c>
      <c r="NV241" s="9" t="n">
        <v>0</v>
      </c>
      <c r="NW241" s="9" t="n">
        <v>3112</v>
      </c>
      <c r="OA241" s="10" t="n">
        <v>46227</v>
      </c>
      <c r="OC241" s="9" t="n">
        <v>0</v>
      </c>
      <c r="OE241" s="9" t="n">
        <v>0</v>
      </c>
      <c r="OF241" s="9" t="n">
        <v>1680.5</v>
      </c>
      <c r="OJ241" s="10" t="n">
        <v>46227</v>
      </c>
      <c r="OK241" s="9" t="n">
        <v>146.2</v>
      </c>
      <c r="OL241" s="9" t="n">
        <v>0</v>
      </c>
      <c r="OM241" s="9" t="n">
        <v>146.2</v>
      </c>
      <c r="ON241" s="9" t="n">
        <v>-146.2</v>
      </c>
      <c r="OO241" s="9" t="n">
        <v>0</v>
      </c>
      <c r="OS241" s="10" t="n">
        <v>46227</v>
      </c>
      <c r="OU241" s="9" t="n">
        <v>0</v>
      </c>
      <c r="OW241" s="9" t="n">
        <v>0</v>
      </c>
      <c r="OX241" s="9" t="n">
        <v>1482</v>
      </c>
      <c r="PB241" s="10" t="n">
        <v>46227</v>
      </c>
      <c r="PD241" s="9" t="n">
        <v>0</v>
      </c>
      <c r="PF241" s="9" t="n">
        <v>0</v>
      </c>
      <c r="PG241" s="9" t="n">
        <v>0</v>
      </c>
      <c r="PK241" s="10" t="n">
        <v>46227</v>
      </c>
      <c r="PM241" s="9" t="n">
        <v>0</v>
      </c>
      <c r="PO241" s="9" t="n">
        <v>0</v>
      </c>
      <c r="PP241" s="9" t="n">
        <v>100</v>
      </c>
      <c r="PT241" s="10" t="n">
        <v>46227</v>
      </c>
      <c r="PV241" s="9" t="n">
        <v>0</v>
      </c>
      <c r="PX241" s="9" t="n">
        <v>0</v>
      </c>
      <c r="PY241" s="9" t="n">
        <v>13.96000000000004</v>
      </c>
      <c r="QC241" s="10" t="n">
        <v>46227</v>
      </c>
      <c r="QE241" s="9" t="n">
        <v>0</v>
      </c>
      <c r="QF241" s="9" t="n">
        <v>568</v>
      </c>
      <c r="QG241" s="9" t="n">
        <v>-568</v>
      </c>
      <c r="QH241" s="9" t="n">
        <v>1120</v>
      </c>
      <c r="QL241" s="10" t="n">
        <v>46227</v>
      </c>
      <c r="QN241" s="9" t="n">
        <v>0</v>
      </c>
      <c r="QP241" s="9" t="n">
        <v>0</v>
      </c>
      <c r="QQ241" s="9" t="n">
        <v>0</v>
      </c>
      <c r="QU241" s="10" t="n">
        <v>46227</v>
      </c>
      <c r="QW241" s="9" t="n">
        <v>0</v>
      </c>
      <c r="QY241" s="9" t="n">
        <v>0</v>
      </c>
      <c r="QZ241" s="9" t="n">
        <v>207.6</v>
      </c>
      <c r="RD241" s="10" t="n">
        <v>46227</v>
      </c>
      <c r="RF241" s="9" t="n">
        <v>0</v>
      </c>
      <c r="RH241" s="9" t="n">
        <v>0</v>
      </c>
      <c r="RI241" s="9" t="n">
        <v>147.04</v>
      </c>
      <c r="RM241" s="10" t="n">
        <v>46227</v>
      </c>
      <c r="RO241" s="9" t="n">
        <v>0</v>
      </c>
      <c r="RQ241" s="9" t="n">
        <v>0</v>
      </c>
      <c r="RR241" s="9" t="n">
        <v>46.8</v>
      </c>
      <c r="RV241" s="10" t="n">
        <v>46227</v>
      </c>
      <c r="RX241" s="9" t="n">
        <v>0</v>
      </c>
      <c r="RZ241" s="9" t="n">
        <v>0</v>
      </c>
      <c r="SA241" s="9" t="n">
        <v>0</v>
      </c>
      <c r="SE241" s="10" t="n">
        <v>46227</v>
      </c>
      <c r="SG241" s="9" t="n">
        <v>0</v>
      </c>
      <c r="SI241" s="9" t="n">
        <v>0</v>
      </c>
      <c r="SJ241" s="9" t="n">
        <v>24.2</v>
      </c>
      <c r="SN241" s="10" t="n">
        <v>46227</v>
      </c>
      <c r="SP241" s="9" t="n">
        <v>0</v>
      </c>
      <c r="SR241" s="9" t="n">
        <v>0</v>
      </c>
      <c r="SS241" s="9" t="n">
        <v>32</v>
      </c>
      <c r="SW241" s="10" t="n">
        <v>46227</v>
      </c>
      <c r="SY241" s="9" t="n">
        <v>0</v>
      </c>
      <c r="TA241" s="9" t="n">
        <v>0</v>
      </c>
      <c r="TB241" s="9" t="n">
        <v>0</v>
      </c>
      <c r="TF241" s="10" t="n">
        <v>46227</v>
      </c>
      <c r="TH241" s="9" t="n">
        <v>0</v>
      </c>
      <c r="TJ241" s="9" t="n">
        <v>0</v>
      </c>
      <c r="TK241" s="9" t="n">
        <v>0</v>
      </c>
      <c r="TO241" s="10" t="n">
        <v>46227</v>
      </c>
      <c r="TQ241" s="9" t="n">
        <v>0</v>
      </c>
      <c r="TR241" s="9" t="n">
        <v>12</v>
      </c>
      <c r="TS241" s="9" t="n">
        <v>-12</v>
      </c>
      <c r="TT241" s="9" t="n">
        <v>10.40000000000001</v>
      </c>
      <c r="TX241" s="10" t="n">
        <v>46227</v>
      </c>
      <c r="TZ241" s="9" t="n">
        <v>0</v>
      </c>
      <c r="UB241" s="9" t="n">
        <v>0</v>
      </c>
      <c r="UC241" s="9" t="n">
        <v>46.79999999999998</v>
      </c>
      <c r="UG241" s="10" t="n">
        <v>46227</v>
      </c>
      <c r="UI241" s="9" t="n">
        <v>0</v>
      </c>
      <c r="UK241" s="9" t="n">
        <v>0</v>
      </c>
      <c r="UL241" s="9" t="n">
        <v>204</v>
      </c>
      <c r="UP241" s="10" t="n">
        <v>46227</v>
      </c>
      <c r="UR241" s="9" t="n">
        <v>0</v>
      </c>
      <c r="UT241" s="9" t="n">
        <v>0</v>
      </c>
      <c r="UU241" s="9" t="n">
        <v>202.5</v>
      </c>
      <c r="UY241" s="10" t="n">
        <v>46227</v>
      </c>
      <c r="VA241" s="9" t="n">
        <v>0</v>
      </c>
      <c r="VC241" s="9" t="n">
        <v>0</v>
      </c>
      <c r="VD241" s="9" t="n">
        <v>41.60000000000002</v>
      </c>
      <c r="VH241" s="10" t="n">
        <v>46227</v>
      </c>
      <c r="VJ241" s="9" t="n">
        <v>0</v>
      </c>
      <c r="VL241" s="9" t="n">
        <v>0</v>
      </c>
      <c r="VM241" s="9" t="n">
        <v>210</v>
      </c>
      <c r="VQ241" s="10" t="n">
        <v>46227</v>
      </c>
      <c r="VS241" s="9" t="n">
        <v>0</v>
      </c>
      <c r="VU241" s="9" t="n">
        <v>0</v>
      </c>
      <c r="VV241" s="9" t="n">
        <v>0</v>
      </c>
      <c r="VZ241" s="10" t="n">
        <v>46227</v>
      </c>
      <c r="WB241" s="9" t="n">
        <v>0</v>
      </c>
      <c r="WD241" s="9" t="n">
        <v>0</v>
      </c>
      <c r="WE241" s="9" t="n">
        <v>0</v>
      </c>
      <c r="WI241" s="10" t="n">
        <v>46227</v>
      </c>
      <c r="WK241" s="9" t="n">
        <v>0</v>
      </c>
      <c r="WM241" s="9" t="n">
        <v>0</v>
      </c>
      <c r="WN241" s="9" t="n">
        <v>1057</v>
      </c>
      <c r="WR241" s="10" t="n">
        <v>46227</v>
      </c>
      <c r="WT241" s="9" t="n">
        <v>0</v>
      </c>
      <c r="WV241" s="9" t="n">
        <v>0</v>
      </c>
      <c r="WW241" s="9" t="n">
        <v>0</v>
      </c>
      <c r="XA241" s="10" t="n">
        <v>46227</v>
      </c>
      <c r="XC241" s="9" t="n">
        <v>0</v>
      </c>
      <c r="XE241" s="9" t="n">
        <v>0</v>
      </c>
      <c r="XF241" s="9" t="n">
        <v>7507</v>
      </c>
      <c r="XJ241" s="10" t="n">
        <v>46227</v>
      </c>
      <c r="XL241" s="9" t="n">
        <v>0</v>
      </c>
      <c r="XN241" s="9" t="n">
        <v>0</v>
      </c>
      <c r="XO241" s="9" t="n">
        <v>4252</v>
      </c>
      <c r="XS241" s="10" t="n">
        <v>46227</v>
      </c>
      <c r="XU241" s="9" t="n">
        <v>0</v>
      </c>
      <c r="XW241" s="9" t="n">
        <v>0</v>
      </c>
      <c r="XX241" s="9" t="n">
        <v>2179</v>
      </c>
      <c r="YB241" s="10" t="n">
        <v>46227</v>
      </c>
      <c r="YD241" s="9" t="n">
        <v>0</v>
      </c>
      <c r="YF241" s="9" t="n">
        <v>0</v>
      </c>
      <c r="YG241" s="9" t="n">
        <v>4019</v>
      </c>
      <c r="YK241" s="10" t="n">
        <v>46227</v>
      </c>
      <c r="YM241" s="9" t="n">
        <v>0</v>
      </c>
      <c r="YO241" s="9" t="n">
        <v>0</v>
      </c>
      <c r="YP241" s="9" t="n">
        <v>0</v>
      </c>
      <c r="YT241" s="10" t="n">
        <v>46227</v>
      </c>
      <c r="YV241" s="9" t="n">
        <v>0</v>
      </c>
      <c r="YX241" s="9" t="n">
        <v>0</v>
      </c>
      <c r="YY241" s="9" t="n">
        <v>0</v>
      </c>
      <c r="ZC241" s="10" t="n">
        <v>46227</v>
      </c>
      <c r="ZE241" s="9" t="n">
        <v>0</v>
      </c>
      <c r="ZG241" s="9" t="n">
        <v>0</v>
      </c>
      <c r="ZH241" s="9" t="n">
        <v>0</v>
      </c>
      <c r="ZL241" s="10" t="n">
        <v>46227</v>
      </c>
      <c r="ZN241" s="9" t="n">
        <v>0</v>
      </c>
      <c r="ZP241" s="9" t="n">
        <v>0</v>
      </c>
      <c r="ZQ241" s="9" t="n">
        <v>0</v>
      </c>
      <c r="ZU241" s="10" t="n">
        <v>46227</v>
      </c>
      <c r="ZW241" s="9" t="n">
        <v>0</v>
      </c>
      <c r="ZY241" s="9" t="n">
        <v>0</v>
      </c>
      <c r="ZZ241" s="9" t="n">
        <v>0</v>
      </c>
      <c r="AAD241" s="10" t="n">
        <v>46227</v>
      </c>
      <c r="AAF241" s="9" t="n">
        <v>0</v>
      </c>
      <c r="AAH241" s="9" t="n">
        <v>0</v>
      </c>
      <c r="AAI241" s="9" t="n">
        <v>0</v>
      </c>
      <c r="AAM241" s="10" t="n">
        <v>46227</v>
      </c>
      <c r="AAO241" s="9" t="n">
        <v>0</v>
      </c>
      <c r="AAQ241" s="9" t="n">
        <v>0</v>
      </c>
      <c r="AAR241" s="9" t="n">
        <v>0</v>
      </c>
      <c r="AAV241" s="10" t="n">
        <v>46227</v>
      </c>
      <c r="AAX241" s="9" t="n">
        <v>0</v>
      </c>
      <c r="AAZ241" s="9" t="n">
        <v>0</v>
      </c>
      <c r="ABA241" s="9" t="n">
        <v>0</v>
      </c>
      <c r="ABE241" s="10" t="n">
        <v>46227</v>
      </c>
      <c r="ABG241" s="9" t="n">
        <v>0</v>
      </c>
      <c r="ABI241" s="9" t="n">
        <v>0</v>
      </c>
      <c r="ABJ241" s="9" t="n">
        <v>0</v>
      </c>
    </row>
    <row r="242">
      <c r="C242" s="10" t="n">
        <v>46228</v>
      </c>
      <c r="E242" s="9" t="n">
        <v>31656</v>
      </c>
      <c r="F242" s="9" t="n">
        <v>31712.2</v>
      </c>
      <c r="G242" s="9" t="n">
        <v>-56.20000000000073</v>
      </c>
      <c r="H242" s="9" t="n">
        <v>164010.4</v>
      </c>
      <c r="L242" s="10" t="n">
        <v>46228</v>
      </c>
      <c r="M242" s="9" t="n">
        <v>24350</v>
      </c>
      <c r="N242" s="9" t="n">
        <v>19007.1</v>
      </c>
      <c r="O242" s="9" t="n">
        <v>19000.4</v>
      </c>
      <c r="P242" s="9" t="n">
        <v>6.69999999999709</v>
      </c>
      <c r="Q242" s="9" t="n">
        <v>26644.60000000007</v>
      </c>
      <c r="U242" s="10" t="n">
        <v>46228</v>
      </c>
      <c r="W242" s="9" t="n">
        <v>3300</v>
      </c>
      <c r="X242" s="9" t="n">
        <v>3300.7</v>
      </c>
      <c r="Y242" s="9" t="n">
        <v>-0.6999999999998181</v>
      </c>
      <c r="Z242" s="9" t="n">
        <v>32126.39999999997</v>
      </c>
      <c r="AD242" s="10" t="n">
        <v>46228</v>
      </c>
      <c r="AF242" s="9" t="n">
        <v>0</v>
      </c>
      <c r="AH242" s="9" t="n">
        <v>0</v>
      </c>
      <c r="AI242" s="9" t="n">
        <v>31872.20000000002</v>
      </c>
      <c r="AM242" s="10" t="n">
        <v>46228</v>
      </c>
      <c r="AO242" s="9" t="n">
        <v>0</v>
      </c>
      <c r="AQ242" s="9" t="n">
        <v>0</v>
      </c>
      <c r="AR242" s="9" t="n">
        <v>0</v>
      </c>
      <c r="AV242" s="10" t="n">
        <v>46228</v>
      </c>
      <c r="AX242" s="9" t="n">
        <v>0</v>
      </c>
      <c r="AZ242" s="9" t="n">
        <v>0</v>
      </c>
      <c r="BA242" s="9" t="n">
        <v>124.9999999999952</v>
      </c>
      <c r="BE242" s="10" t="n">
        <v>46228</v>
      </c>
      <c r="BG242" s="9" t="n">
        <v>0</v>
      </c>
      <c r="BI242" s="9" t="n">
        <v>0</v>
      </c>
      <c r="BJ242" s="9" t="n">
        <v>28237.5</v>
      </c>
      <c r="BN242" s="10" t="n">
        <v>46228</v>
      </c>
      <c r="BO242" s="9" t="n">
        <v>150</v>
      </c>
      <c r="BP242" s="9" t="n">
        <v>150</v>
      </c>
      <c r="BQ242" s="9" t="n">
        <v>150</v>
      </c>
      <c r="BR242" s="9" t="n">
        <v>0</v>
      </c>
      <c r="BS242" s="9" t="n">
        <v>0</v>
      </c>
      <c r="BW242" s="10" t="n">
        <v>46228</v>
      </c>
      <c r="BY242" s="9" t="n">
        <v>573.9</v>
      </c>
      <c r="CA242" s="9" t="n">
        <v>573.9</v>
      </c>
      <c r="CB242" s="9" t="n">
        <v>5369.989999999999</v>
      </c>
      <c r="CF242" s="10" t="n">
        <v>46228</v>
      </c>
      <c r="CH242" s="9" t="n">
        <v>0</v>
      </c>
      <c r="CJ242" s="9" t="n">
        <v>0</v>
      </c>
      <c r="CK242" s="9" t="n">
        <v>-9060.829999999998</v>
      </c>
      <c r="CO242" s="10" t="n">
        <v>46228</v>
      </c>
      <c r="CQ242" s="9" t="n">
        <v>0</v>
      </c>
      <c r="CS242" s="9" t="n">
        <v>0</v>
      </c>
      <c r="CT242" s="9" t="n">
        <v>0</v>
      </c>
      <c r="CX242" s="10" t="n">
        <v>46228</v>
      </c>
      <c r="CZ242" s="9" t="n">
        <v>1200</v>
      </c>
      <c r="DA242" s="9" t="n">
        <v>1200</v>
      </c>
      <c r="DB242" s="9" t="n">
        <v>0</v>
      </c>
      <c r="DC242" s="9" t="n">
        <v>29911.60000000001</v>
      </c>
      <c r="DG242" s="10" t="n">
        <v>46228</v>
      </c>
      <c r="DI242" s="9" t="n">
        <v>0</v>
      </c>
      <c r="DK242" s="9" t="n">
        <v>0</v>
      </c>
      <c r="DL242" s="9" t="n">
        <v>32282.29999999998</v>
      </c>
      <c r="DP242" s="10" t="n">
        <v>46228</v>
      </c>
      <c r="DR242" s="9" t="n">
        <v>0</v>
      </c>
      <c r="DT242" s="9" t="n">
        <v>0</v>
      </c>
      <c r="DU242" s="9" t="n">
        <v>5800</v>
      </c>
      <c r="DY242" s="10" t="n">
        <v>46228</v>
      </c>
      <c r="EA242" s="9" t="n">
        <v>0</v>
      </c>
      <c r="EC242" s="9" t="n">
        <v>0</v>
      </c>
      <c r="ED242" s="9" t="n">
        <v>0</v>
      </c>
      <c r="EH242" s="10" t="n">
        <v>46228</v>
      </c>
      <c r="EJ242" s="9" t="n">
        <v>0</v>
      </c>
      <c r="EL242" s="9" t="n">
        <v>0</v>
      </c>
      <c r="EM242" s="9" t="n">
        <v>0</v>
      </c>
      <c r="EQ242" s="10" t="n">
        <v>46228</v>
      </c>
      <c r="ES242" s="9" t="n">
        <v>0</v>
      </c>
      <c r="EU242" s="9" t="n">
        <v>0</v>
      </c>
      <c r="EV242" s="9" t="n">
        <v>0</v>
      </c>
      <c r="EZ242" s="10" t="n">
        <v>46228</v>
      </c>
      <c r="FB242" s="9" t="n">
        <v>0</v>
      </c>
      <c r="FD242" s="9" t="n">
        <v>0</v>
      </c>
      <c r="FE242" s="9" t="n">
        <v>0</v>
      </c>
      <c r="FI242" s="10" t="n">
        <v>46228</v>
      </c>
      <c r="FK242" s="9" t="n">
        <v>0</v>
      </c>
      <c r="FM242" s="9" t="n">
        <v>0</v>
      </c>
      <c r="FN242" s="9" t="n">
        <v>0</v>
      </c>
      <c r="FR242" s="10" t="n">
        <v>46228</v>
      </c>
      <c r="FT242" s="9" t="n">
        <v>0</v>
      </c>
      <c r="FV242" s="9" t="n">
        <v>0</v>
      </c>
      <c r="FW242" s="9" t="n">
        <v>540</v>
      </c>
      <c r="GA242" s="10" t="n">
        <v>46228</v>
      </c>
      <c r="GC242" s="9" t="n">
        <v>0</v>
      </c>
      <c r="GE242" s="9" t="n">
        <v>0</v>
      </c>
      <c r="GF242" s="9" t="n">
        <v>960</v>
      </c>
      <c r="GJ242" s="10" t="n">
        <v>46228</v>
      </c>
      <c r="GL242" s="9" t="n">
        <v>0</v>
      </c>
      <c r="GN242" s="9" t="n">
        <v>0</v>
      </c>
      <c r="GO242" s="9" t="n">
        <v>1760</v>
      </c>
      <c r="GS242" s="10" t="n">
        <v>46228</v>
      </c>
      <c r="GU242" s="9" t="n">
        <v>0</v>
      </c>
      <c r="GW242" s="9" t="n">
        <v>0</v>
      </c>
      <c r="GX242" s="9" t="n">
        <v>400</v>
      </c>
      <c r="HB242" s="10" t="n">
        <v>46228</v>
      </c>
      <c r="HD242" s="9" t="n">
        <v>0</v>
      </c>
      <c r="HF242" s="9" t="n">
        <v>0</v>
      </c>
      <c r="HG242" s="9" t="n">
        <v>3600</v>
      </c>
      <c r="HK242" s="10" t="n">
        <v>46228</v>
      </c>
      <c r="HM242" s="9" t="n">
        <v>0</v>
      </c>
      <c r="HO242" s="9" t="n">
        <v>0</v>
      </c>
      <c r="HP242" s="9" t="n">
        <v>0</v>
      </c>
      <c r="HU242" s="10" t="n">
        <v>46228</v>
      </c>
      <c r="HW242" s="9" t="n">
        <v>0</v>
      </c>
      <c r="HY242" s="9" t="n">
        <v>0</v>
      </c>
      <c r="HZ242" s="9" t="n">
        <v>5920</v>
      </c>
      <c r="ID242" s="10" t="n">
        <v>46228</v>
      </c>
      <c r="IF242" s="9" t="n">
        <v>0</v>
      </c>
      <c r="IH242" s="9" t="n">
        <v>0</v>
      </c>
      <c r="II242" s="9" t="n">
        <v>720</v>
      </c>
      <c r="IM242" s="10" t="n">
        <v>46228</v>
      </c>
      <c r="IO242" s="9" t="n">
        <v>0</v>
      </c>
      <c r="IQ242" s="9" t="n">
        <v>0</v>
      </c>
      <c r="IR242" s="9" t="n">
        <v>3280</v>
      </c>
      <c r="IV242" s="10" t="n">
        <v>46228</v>
      </c>
      <c r="IX242" s="9" t="n">
        <v>0</v>
      </c>
      <c r="IZ242" s="9" t="n">
        <v>0</v>
      </c>
      <c r="JA242" s="9" t="n">
        <v>4960</v>
      </c>
      <c r="JE242" s="10" t="n">
        <v>46228</v>
      </c>
      <c r="JG242" s="9" t="n">
        <v>0</v>
      </c>
      <c r="JI242" s="9" t="n">
        <v>0</v>
      </c>
      <c r="JJ242" s="9" t="n">
        <v>0</v>
      </c>
      <c r="JN242" s="10" t="n">
        <v>46228</v>
      </c>
      <c r="JP242" s="9" t="n">
        <v>0</v>
      </c>
      <c r="JR242" s="9" t="n">
        <v>0</v>
      </c>
      <c r="JS242" s="9" t="n">
        <v>0</v>
      </c>
      <c r="JW242" s="10" t="n">
        <v>46228</v>
      </c>
      <c r="JY242" s="9" t="n">
        <v>0</v>
      </c>
      <c r="KA242" s="9" t="n">
        <v>0</v>
      </c>
      <c r="KB242" s="9" t="n">
        <v>2540</v>
      </c>
      <c r="KF242" s="10" t="n">
        <v>46228</v>
      </c>
      <c r="KH242" s="9" t="n">
        <v>0</v>
      </c>
      <c r="KJ242" s="9" t="n">
        <v>0</v>
      </c>
      <c r="KK242" s="9" t="n">
        <v>2359.5</v>
      </c>
      <c r="KO242" s="10" t="n">
        <v>46228</v>
      </c>
      <c r="KQ242" s="9" t="n">
        <v>0</v>
      </c>
      <c r="KS242" s="9" t="n">
        <v>0</v>
      </c>
      <c r="KT242" s="9" t="n">
        <v>1890</v>
      </c>
      <c r="KX242" s="10" t="n">
        <v>46228</v>
      </c>
      <c r="KZ242" s="9" t="n">
        <v>0</v>
      </c>
      <c r="LB242" s="9" t="n">
        <v>0</v>
      </c>
      <c r="LC242" s="9" t="n">
        <v>3690</v>
      </c>
      <c r="LG242" s="10" t="n">
        <v>46228</v>
      </c>
      <c r="LI242" s="9" t="n">
        <v>0</v>
      </c>
      <c r="LK242" s="9" t="n">
        <v>0</v>
      </c>
      <c r="LL242" s="9" t="n">
        <v>4000</v>
      </c>
      <c r="LP242" s="10" t="n">
        <v>46228</v>
      </c>
      <c r="LR242" s="9" t="n">
        <v>0</v>
      </c>
      <c r="LT242" s="9" t="n">
        <v>0</v>
      </c>
      <c r="LU242" s="9" t="n">
        <v>0</v>
      </c>
      <c r="LY242" s="10" t="n">
        <v>46228</v>
      </c>
      <c r="MA242" s="9" t="n">
        <v>0</v>
      </c>
      <c r="MC242" s="9" t="n">
        <v>0</v>
      </c>
      <c r="MD242" s="9" t="n">
        <v>0</v>
      </c>
      <c r="MH242" s="10" t="n">
        <v>46228</v>
      </c>
      <c r="MJ242" s="9" t="n">
        <v>0</v>
      </c>
      <c r="ML242" s="9" t="n">
        <v>0</v>
      </c>
      <c r="MM242" s="9" t="n">
        <v>0</v>
      </c>
      <c r="MQ242" s="10" t="n">
        <v>46228</v>
      </c>
      <c r="MS242" s="9" t="n">
        <v>0</v>
      </c>
      <c r="MU242" s="9" t="n">
        <v>0</v>
      </c>
      <c r="MV242" s="9" t="n">
        <v>2362</v>
      </c>
      <c r="MZ242" s="10" t="n">
        <v>46228</v>
      </c>
      <c r="NB242" s="9" t="n">
        <v>0</v>
      </c>
      <c r="ND242" s="9" t="n">
        <v>0</v>
      </c>
      <c r="NE242" s="9" t="n">
        <v>0</v>
      </c>
      <c r="NI242" s="10" t="n">
        <v>46228</v>
      </c>
      <c r="NK242" s="9" t="n">
        <v>0</v>
      </c>
      <c r="NM242" s="9" t="n">
        <v>0</v>
      </c>
      <c r="NN242" s="9" t="n">
        <v>1127</v>
      </c>
      <c r="NR242" s="10" t="n">
        <v>46228</v>
      </c>
      <c r="NT242" s="9" t="n">
        <v>0</v>
      </c>
      <c r="NV242" s="9" t="n">
        <v>0</v>
      </c>
      <c r="NW242" s="9" t="n">
        <v>3112</v>
      </c>
      <c r="OA242" s="10" t="n">
        <v>46228</v>
      </c>
      <c r="OC242" s="9" t="n">
        <v>0</v>
      </c>
      <c r="OE242" s="9" t="n">
        <v>0</v>
      </c>
      <c r="OF242" s="9" t="n">
        <v>1680.5</v>
      </c>
      <c r="OJ242" s="10" t="n">
        <v>46228</v>
      </c>
      <c r="OL242" s="9" t="n">
        <v>0</v>
      </c>
      <c r="ON242" s="9" t="n">
        <v>0</v>
      </c>
      <c r="OO242" s="9" t="n">
        <v>0</v>
      </c>
      <c r="OS242" s="10" t="n">
        <v>46228</v>
      </c>
      <c r="OU242" s="9" t="n">
        <v>0</v>
      </c>
      <c r="OW242" s="9" t="n">
        <v>0</v>
      </c>
      <c r="OX242" s="9" t="n">
        <v>1482</v>
      </c>
      <c r="PB242" s="10" t="n">
        <v>46228</v>
      </c>
      <c r="PD242" s="9" t="n">
        <v>0</v>
      </c>
      <c r="PF242" s="9" t="n">
        <v>0</v>
      </c>
      <c r="PG242" s="9" t="n">
        <v>0</v>
      </c>
      <c r="PK242" s="10" t="n">
        <v>46228</v>
      </c>
      <c r="PM242" s="9" t="n">
        <v>0</v>
      </c>
      <c r="PO242" s="9" t="n">
        <v>0</v>
      </c>
      <c r="PP242" s="9" t="n">
        <v>100</v>
      </c>
      <c r="PT242" s="10" t="n">
        <v>46228</v>
      </c>
      <c r="PV242" s="9" t="n">
        <v>0</v>
      </c>
      <c r="PX242" s="9" t="n">
        <v>0</v>
      </c>
      <c r="PY242" s="9" t="n">
        <v>13.96000000000004</v>
      </c>
      <c r="QC242" s="10" t="n">
        <v>46228</v>
      </c>
      <c r="QE242" s="9" t="n">
        <v>0</v>
      </c>
      <c r="QG242" s="9" t="n">
        <v>0</v>
      </c>
      <c r="QH242" s="9" t="n">
        <v>1120</v>
      </c>
      <c r="QL242" s="10" t="n">
        <v>46228</v>
      </c>
      <c r="QN242" s="9" t="n">
        <v>0</v>
      </c>
      <c r="QP242" s="9" t="n">
        <v>0</v>
      </c>
      <c r="QQ242" s="9" t="n">
        <v>0</v>
      </c>
      <c r="QU242" s="10" t="n">
        <v>46228</v>
      </c>
      <c r="QW242" s="9" t="n">
        <v>0</v>
      </c>
      <c r="QY242" s="9" t="n">
        <v>0</v>
      </c>
      <c r="QZ242" s="9" t="n">
        <v>207.6</v>
      </c>
      <c r="RD242" s="10" t="n">
        <v>46228</v>
      </c>
      <c r="RF242" s="9" t="n">
        <v>0</v>
      </c>
      <c r="RH242" s="9" t="n">
        <v>0</v>
      </c>
      <c r="RI242" s="9" t="n">
        <v>147.04</v>
      </c>
      <c r="RM242" s="10" t="n">
        <v>46228</v>
      </c>
      <c r="RO242" s="9" t="n">
        <v>0</v>
      </c>
      <c r="RQ242" s="9" t="n">
        <v>0</v>
      </c>
      <c r="RR242" s="9" t="n">
        <v>46.8</v>
      </c>
      <c r="RV242" s="10" t="n">
        <v>46228</v>
      </c>
      <c r="RX242" s="9" t="n">
        <v>0</v>
      </c>
      <c r="RZ242" s="9" t="n">
        <v>0</v>
      </c>
      <c r="SA242" s="9" t="n">
        <v>0</v>
      </c>
      <c r="SE242" s="10" t="n">
        <v>46228</v>
      </c>
      <c r="SG242" s="9" t="n">
        <v>0</v>
      </c>
      <c r="SI242" s="9" t="n">
        <v>0</v>
      </c>
      <c r="SJ242" s="9" t="n">
        <v>24.2</v>
      </c>
      <c r="SN242" s="10" t="n">
        <v>46228</v>
      </c>
      <c r="SP242" s="9" t="n">
        <v>0</v>
      </c>
      <c r="SR242" s="9" t="n">
        <v>0</v>
      </c>
      <c r="SS242" s="9" t="n">
        <v>32</v>
      </c>
      <c r="SW242" s="10" t="n">
        <v>46228</v>
      </c>
      <c r="SY242" s="9" t="n">
        <v>0</v>
      </c>
      <c r="TA242" s="9" t="n">
        <v>0</v>
      </c>
      <c r="TB242" s="9" t="n">
        <v>0</v>
      </c>
      <c r="TF242" s="10" t="n">
        <v>46228</v>
      </c>
      <c r="TH242" s="9" t="n">
        <v>0</v>
      </c>
      <c r="TJ242" s="9" t="n">
        <v>0</v>
      </c>
      <c r="TK242" s="9" t="n">
        <v>0</v>
      </c>
      <c r="TO242" s="10" t="n">
        <v>46228</v>
      </c>
      <c r="TQ242" s="9" t="n">
        <v>0</v>
      </c>
      <c r="TS242" s="9" t="n">
        <v>0</v>
      </c>
      <c r="TT242" s="9" t="n">
        <v>10.40000000000001</v>
      </c>
      <c r="TX242" s="10" t="n">
        <v>46228</v>
      </c>
      <c r="TZ242" s="9" t="n">
        <v>0</v>
      </c>
      <c r="UB242" s="9" t="n">
        <v>0</v>
      </c>
      <c r="UC242" s="9" t="n">
        <v>46.79999999999998</v>
      </c>
      <c r="UG242" s="10" t="n">
        <v>46228</v>
      </c>
      <c r="UI242" s="9" t="n">
        <v>0</v>
      </c>
      <c r="UK242" s="9" t="n">
        <v>0</v>
      </c>
      <c r="UL242" s="9" t="n">
        <v>204</v>
      </c>
      <c r="UP242" s="10" t="n">
        <v>46228</v>
      </c>
      <c r="UR242" s="9" t="n">
        <v>0</v>
      </c>
      <c r="UT242" s="9" t="n">
        <v>0</v>
      </c>
      <c r="UU242" s="9" t="n">
        <v>202.5</v>
      </c>
      <c r="UY242" s="10" t="n">
        <v>46228</v>
      </c>
      <c r="VA242" s="9" t="n">
        <v>0</v>
      </c>
      <c r="VC242" s="9" t="n">
        <v>0</v>
      </c>
      <c r="VD242" s="9" t="n">
        <v>41.60000000000002</v>
      </c>
      <c r="VH242" s="10" t="n">
        <v>46228</v>
      </c>
      <c r="VJ242" s="9" t="n">
        <v>0</v>
      </c>
      <c r="VL242" s="9" t="n">
        <v>0</v>
      </c>
      <c r="VM242" s="9" t="n">
        <v>210</v>
      </c>
      <c r="VQ242" s="10" t="n">
        <v>46228</v>
      </c>
      <c r="VS242" s="9" t="n">
        <v>0</v>
      </c>
      <c r="VU242" s="9" t="n">
        <v>0</v>
      </c>
      <c r="VV242" s="9" t="n">
        <v>0</v>
      </c>
      <c r="VZ242" s="10" t="n">
        <v>46228</v>
      </c>
      <c r="WB242" s="9" t="n">
        <v>0</v>
      </c>
      <c r="WD242" s="9" t="n">
        <v>0</v>
      </c>
      <c r="WE242" s="9" t="n">
        <v>0</v>
      </c>
      <c r="WI242" s="10" t="n">
        <v>46228</v>
      </c>
      <c r="WK242" s="9" t="n">
        <v>0</v>
      </c>
      <c r="WM242" s="9" t="n">
        <v>0</v>
      </c>
      <c r="WN242" s="9" t="n">
        <v>1057</v>
      </c>
      <c r="WR242" s="10" t="n">
        <v>46228</v>
      </c>
      <c r="WT242" s="9" t="n">
        <v>0</v>
      </c>
      <c r="WV242" s="9" t="n">
        <v>0</v>
      </c>
      <c r="WW242" s="9" t="n">
        <v>0</v>
      </c>
      <c r="XA242" s="10" t="n">
        <v>46228</v>
      </c>
      <c r="XC242" s="9" t="n">
        <v>0</v>
      </c>
      <c r="XE242" s="9" t="n">
        <v>0</v>
      </c>
      <c r="XF242" s="9" t="n">
        <v>7507</v>
      </c>
      <c r="XJ242" s="10" t="n">
        <v>46228</v>
      </c>
      <c r="XL242" s="9" t="n">
        <v>0</v>
      </c>
      <c r="XN242" s="9" t="n">
        <v>0</v>
      </c>
      <c r="XO242" s="9" t="n">
        <v>4252</v>
      </c>
      <c r="XS242" s="10" t="n">
        <v>46228</v>
      </c>
      <c r="XU242" s="9" t="n">
        <v>0</v>
      </c>
      <c r="XW242" s="9" t="n">
        <v>0</v>
      </c>
      <c r="XX242" s="9" t="n">
        <v>2179</v>
      </c>
      <c r="YB242" s="10" t="n">
        <v>46228</v>
      </c>
      <c r="YD242" s="9" t="n">
        <v>0</v>
      </c>
      <c r="YF242" s="9" t="n">
        <v>0</v>
      </c>
      <c r="YG242" s="9" t="n">
        <v>4019</v>
      </c>
      <c r="YK242" s="10" t="n">
        <v>46228</v>
      </c>
      <c r="YM242" s="9" t="n">
        <v>0</v>
      </c>
      <c r="YO242" s="9" t="n">
        <v>0</v>
      </c>
      <c r="YP242" s="9" t="n">
        <v>0</v>
      </c>
      <c r="YT242" s="10" t="n">
        <v>46228</v>
      </c>
      <c r="YV242" s="9" t="n">
        <v>0</v>
      </c>
      <c r="YX242" s="9" t="n">
        <v>0</v>
      </c>
      <c r="YY242" s="9" t="n">
        <v>0</v>
      </c>
      <c r="ZC242" s="10" t="n">
        <v>46228</v>
      </c>
      <c r="ZE242" s="9" t="n">
        <v>0</v>
      </c>
      <c r="ZG242" s="9" t="n">
        <v>0</v>
      </c>
      <c r="ZH242" s="9" t="n">
        <v>0</v>
      </c>
      <c r="ZL242" s="10" t="n">
        <v>46228</v>
      </c>
      <c r="ZN242" s="9" t="n">
        <v>0</v>
      </c>
      <c r="ZP242" s="9" t="n">
        <v>0</v>
      </c>
      <c r="ZQ242" s="9" t="n">
        <v>0</v>
      </c>
      <c r="ZU242" s="10" t="n">
        <v>46228</v>
      </c>
      <c r="ZW242" s="9" t="n">
        <v>0</v>
      </c>
      <c r="ZY242" s="9" t="n">
        <v>0</v>
      </c>
      <c r="ZZ242" s="9" t="n">
        <v>0</v>
      </c>
      <c r="AAD242" s="10" t="n">
        <v>46228</v>
      </c>
      <c r="AAF242" s="9" t="n">
        <v>0</v>
      </c>
      <c r="AAH242" s="9" t="n">
        <v>0</v>
      </c>
      <c r="AAI242" s="9" t="n">
        <v>0</v>
      </c>
      <c r="AAM242" s="10" t="n">
        <v>46228</v>
      </c>
      <c r="AAO242" s="9" t="n">
        <v>0</v>
      </c>
      <c r="AAQ242" s="9" t="n">
        <v>0</v>
      </c>
      <c r="AAR242" s="9" t="n">
        <v>0</v>
      </c>
      <c r="AAV242" s="10" t="n">
        <v>46228</v>
      </c>
      <c r="AAX242" s="9" t="n">
        <v>0</v>
      </c>
      <c r="AAZ242" s="9" t="n">
        <v>0</v>
      </c>
      <c r="ABA242" s="9" t="n">
        <v>0</v>
      </c>
      <c r="ABE242" s="10" t="n">
        <v>46228</v>
      </c>
      <c r="ABG242" s="9" t="n">
        <v>0</v>
      </c>
      <c r="ABI242" s="9" t="n">
        <v>0</v>
      </c>
      <c r="ABJ242" s="9" t="n">
        <v>0</v>
      </c>
    </row>
    <row r="243">
      <c r="C243" s="10" t="n">
        <v>46229</v>
      </c>
      <c r="E243" s="9" t="n">
        <v>0</v>
      </c>
      <c r="G243" s="9" t="n">
        <v>0</v>
      </c>
      <c r="H243" s="9" t="n">
        <v>164010.4</v>
      </c>
      <c r="L243" s="10" t="n">
        <v>46229</v>
      </c>
      <c r="N243" s="9" t="n">
        <v>0</v>
      </c>
      <c r="P243" s="9" t="n">
        <v>0</v>
      </c>
      <c r="Q243" s="9" t="n">
        <v>26644.60000000007</v>
      </c>
      <c r="U243" s="10" t="n">
        <v>46229</v>
      </c>
      <c r="W243" s="9" t="n">
        <v>0</v>
      </c>
      <c r="Y243" s="9" t="n">
        <v>0</v>
      </c>
      <c r="Z243" s="9" t="n">
        <v>32126.39999999997</v>
      </c>
      <c r="AD243" s="10" t="n">
        <v>46229</v>
      </c>
      <c r="AF243" s="9" t="n">
        <v>0</v>
      </c>
      <c r="AH243" s="9" t="n">
        <v>0</v>
      </c>
      <c r="AI243" s="9" t="n">
        <v>31872.20000000002</v>
      </c>
      <c r="AM243" s="10" t="n">
        <v>46229</v>
      </c>
      <c r="AO243" s="9" t="n">
        <v>0</v>
      </c>
      <c r="AQ243" s="9" t="n">
        <v>0</v>
      </c>
      <c r="AR243" s="9" t="n">
        <v>0</v>
      </c>
      <c r="AV243" s="10" t="n">
        <v>46229</v>
      </c>
      <c r="AX243" s="9" t="n">
        <v>0</v>
      </c>
      <c r="AZ243" s="9" t="n">
        <v>0</v>
      </c>
      <c r="BA243" s="9" t="n">
        <v>124.9999999999952</v>
      </c>
      <c r="BE243" s="10" t="n">
        <v>46229</v>
      </c>
      <c r="BG243" s="9" t="n">
        <v>0</v>
      </c>
      <c r="BI243" s="9" t="n">
        <v>0</v>
      </c>
      <c r="BJ243" s="9" t="n">
        <v>28237.5</v>
      </c>
      <c r="BN243" s="10" t="n">
        <v>46229</v>
      </c>
      <c r="BP243" s="9" t="n">
        <v>0</v>
      </c>
      <c r="BR243" s="9" t="n">
        <v>0</v>
      </c>
      <c r="BS243" s="9" t="n">
        <v>0</v>
      </c>
      <c r="BW243" s="10" t="n">
        <v>46229</v>
      </c>
      <c r="BY243" s="9" t="n">
        <v>0</v>
      </c>
      <c r="CA243" s="9" t="n">
        <v>0</v>
      </c>
      <c r="CB243" s="9" t="n">
        <v>5369.989999999999</v>
      </c>
      <c r="CF243" s="10" t="n">
        <v>46229</v>
      </c>
      <c r="CH243" s="9" t="n">
        <v>0</v>
      </c>
      <c r="CJ243" s="9" t="n">
        <v>0</v>
      </c>
      <c r="CK243" s="9" t="n">
        <v>-9060.829999999998</v>
      </c>
      <c r="CO243" s="10" t="n">
        <v>46229</v>
      </c>
      <c r="CQ243" s="9" t="n">
        <v>0</v>
      </c>
      <c r="CS243" s="9" t="n">
        <v>0</v>
      </c>
      <c r="CT243" s="9" t="n">
        <v>0</v>
      </c>
      <c r="CX243" s="10" t="n">
        <v>46229</v>
      </c>
      <c r="CZ243" s="9" t="n">
        <v>0</v>
      </c>
      <c r="DB243" s="9" t="n">
        <v>0</v>
      </c>
      <c r="DC243" s="9" t="n">
        <v>29911.60000000001</v>
      </c>
      <c r="DG243" s="10" t="n">
        <v>46229</v>
      </c>
      <c r="DI243" s="9" t="n">
        <v>0</v>
      </c>
      <c r="DK243" s="9" t="n">
        <v>0</v>
      </c>
      <c r="DL243" s="9" t="n">
        <v>32282.29999999998</v>
      </c>
      <c r="DP243" s="10" t="n">
        <v>46229</v>
      </c>
      <c r="DR243" s="9" t="n">
        <v>0</v>
      </c>
      <c r="DT243" s="9" t="n">
        <v>0</v>
      </c>
      <c r="DU243" s="9" t="n">
        <v>5800</v>
      </c>
      <c r="DY243" s="10" t="n">
        <v>46229</v>
      </c>
      <c r="EA243" s="9" t="n">
        <v>0</v>
      </c>
      <c r="EC243" s="9" t="n">
        <v>0</v>
      </c>
      <c r="ED243" s="9" t="n">
        <v>0</v>
      </c>
      <c r="EH243" s="10" t="n">
        <v>46229</v>
      </c>
      <c r="EJ243" s="9" t="n">
        <v>0</v>
      </c>
      <c r="EL243" s="9" t="n">
        <v>0</v>
      </c>
      <c r="EM243" s="9" t="n">
        <v>0</v>
      </c>
      <c r="EQ243" s="10" t="n">
        <v>46229</v>
      </c>
      <c r="ES243" s="9" t="n">
        <v>0</v>
      </c>
      <c r="EU243" s="9" t="n">
        <v>0</v>
      </c>
      <c r="EV243" s="9" t="n">
        <v>0</v>
      </c>
      <c r="EZ243" s="10" t="n">
        <v>46229</v>
      </c>
      <c r="FB243" s="9" t="n">
        <v>0</v>
      </c>
      <c r="FD243" s="9" t="n">
        <v>0</v>
      </c>
      <c r="FE243" s="9" t="n">
        <v>0</v>
      </c>
      <c r="FI243" s="10" t="n">
        <v>46229</v>
      </c>
      <c r="FK243" s="9" t="n">
        <v>0</v>
      </c>
      <c r="FM243" s="9" t="n">
        <v>0</v>
      </c>
      <c r="FN243" s="9" t="n">
        <v>0</v>
      </c>
      <c r="FR243" s="10" t="n">
        <v>46229</v>
      </c>
      <c r="FT243" s="9" t="n">
        <v>0</v>
      </c>
      <c r="FV243" s="9" t="n">
        <v>0</v>
      </c>
      <c r="FW243" s="9" t="n">
        <v>540</v>
      </c>
      <c r="GA243" s="10" t="n">
        <v>46229</v>
      </c>
      <c r="GC243" s="9" t="n">
        <v>0</v>
      </c>
      <c r="GE243" s="9" t="n">
        <v>0</v>
      </c>
      <c r="GF243" s="9" t="n">
        <v>960</v>
      </c>
      <c r="GJ243" s="10" t="n">
        <v>46229</v>
      </c>
      <c r="GL243" s="9" t="n">
        <v>0</v>
      </c>
      <c r="GN243" s="9" t="n">
        <v>0</v>
      </c>
      <c r="GO243" s="9" t="n">
        <v>1760</v>
      </c>
      <c r="GS243" s="10" t="n">
        <v>46229</v>
      </c>
      <c r="GU243" s="9" t="n">
        <v>0</v>
      </c>
      <c r="GW243" s="9" t="n">
        <v>0</v>
      </c>
      <c r="GX243" s="9" t="n">
        <v>400</v>
      </c>
      <c r="HB243" s="10" t="n">
        <v>46229</v>
      </c>
      <c r="HD243" s="9" t="n">
        <v>0</v>
      </c>
      <c r="HF243" s="9" t="n">
        <v>0</v>
      </c>
      <c r="HG243" s="9" t="n">
        <v>3600</v>
      </c>
      <c r="HK243" s="10" t="n">
        <v>46229</v>
      </c>
      <c r="HM243" s="9" t="n">
        <v>0</v>
      </c>
      <c r="HO243" s="9" t="n">
        <v>0</v>
      </c>
      <c r="HP243" s="9" t="n">
        <v>0</v>
      </c>
      <c r="HU243" s="10" t="n">
        <v>46229</v>
      </c>
      <c r="HW243" s="9" t="n">
        <v>0</v>
      </c>
      <c r="HY243" s="9" t="n">
        <v>0</v>
      </c>
      <c r="HZ243" s="9" t="n">
        <v>5920</v>
      </c>
      <c r="ID243" s="10" t="n">
        <v>46229</v>
      </c>
      <c r="IF243" s="9" t="n">
        <v>0</v>
      </c>
      <c r="IH243" s="9" t="n">
        <v>0</v>
      </c>
      <c r="II243" s="9" t="n">
        <v>720</v>
      </c>
      <c r="IM243" s="10" t="n">
        <v>46229</v>
      </c>
      <c r="IO243" s="9" t="n">
        <v>0</v>
      </c>
      <c r="IQ243" s="9" t="n">
        <v>0</v>
      </c>
      <c r="IR243" s="9" t="n">
        <v>3280</v>
      </c>
      <c r="IV243" s="10" t="n">
        <v>46229</v>
      </c>
      <c r="IX243" s="9" t="n">
        <v>0</v>
      </c>
      <c r="IZ243" s="9" t="n">
        <v>0</v>
      </c>
      <c r="JA243" s="9" t="n">
        <v>4960</v>
      </c>
      <c r="JE243" s="10" t="n">
        <v>46229</v>
      </c>
      <c r="JG243" s="9" t="n">
        <v>0</v>
      </c>
      <c r="JI243" s="9" t="n">
        <v>0</v>
      </c>
      <c r="JJ243" s="9" t="n">
        <v>0</v>
      </c>
      <c r="JN243" s="10" t="n">
        <v>46229</v>
      </c>
      <c r="JP243" s="9" t="n">
        <v>0</v>
      </c>
      <c r="JR243" s="9" t="n">
        <v>0</v>
      </c>
      <c r="JS243" s="9" t="n">
        <v>0</v>
      </c>
      <c r="JW243" s="10" t="n">
        <v>46229</v>
      </c>
      <c r="JY243" s="9" t="n">
        <v>0</v>
      </c>
      <c r="KA243" s="9" t="n">
        <v>0</v>
      </c>
      <c r="KB243" s="9" t="n">
        <v>2540</v>
      </c>
      <c r="KF243" s="10" t="n">
        <v>46229</v>
      </c>
      <c r="KH243" s="9" t="n">
        <v>0</v>
      </c>
      <c r="KJ243" s="9" t="n">
        <v>0</v>
      </c>
      <c r="KK243" s="9" t="n">
        <v>2359.5</v>
      </c>
      <c r="KO243" s="10" t="n">
        <v>46229</v>
      </c>
      <c r="KQ243" s="9" t="n">
        <v>0</v>
      </c>
      <c r="KS243" s="9" t="n">
        <v>0</v>
      </c>
      <c r="KT243" s="9" t="n">
        <v>1890</v>
      </c>
      <c r="KX243" s="10" t="n">
        <v>46229</v>
      </c>
      <c r="KZ243" s="9" t="n">
        <v>0</v>
      </c>
      <c r="LB243" s="9" t="n">
        <v>0</v>
      </c>
      <c r="LC243" s="9" t="n">
        <v>3690</v>
      </c>
      <c r="LG243" s="10" t="n">
        <v>46229</v>
      </c>
      <c r="LI243" s="9" t="n">
        <v>0</v>
      </c>
      <c r="LK243" s="9" t="n">
        <v>0</v>
      </c>
      <c r="LL243" s="9" t="n">
        <v>4000</v>
      </c>
      <c r="LP243" s="10" t="n">
        <v>46229</v>
      </c>
      <c r="LR243" s="9" t="n">
        <v>0</v>
      </c>
      <c r="LT243" s="9" t="n">
        <v>0</v>
      </c>
      <c r="LU243" s="9" t="n">
        <v>0</v>
      </c>
      <c r="LY243" s="10" t="n">
        <v>46229</v>
      </c>
      <c r="MA243" s="9" t="n">
        <v>0</v>
      </c>
      <c r="MC243" s="9" t="n">
        <v>0</v>
      </c>
      <c r="MD243" s="9" t="n">
        <v>0</v>
      </c>
      <c r="MH243" s="10" t="n">
        <v>46229</v>
      </c>
      <c r="MJ243" s="9" t="n">
        <v>0</v>
      </c>
      <c r="ML243" s="9" t="n">
        <v>0</v>
      </c>
      <c r="MM243" s="9" t="n">
        <v>0</v>
      </c>
      <c r="MQ243" s="10" t="n">
        <v>46229</v>
      </c>
      <c r="MS243" s="9" t="n">
        <v>0</v>
      </c>
      <c r="MU243" s="9" t="n">
        <v>0</v>
      </c>
      <c r="MV243" s="9" t="n">
        <v>2362</v>
      </c>
      <c r="MZ243" s="10" t="n">
        <v>46229</v>
      </c>
      <c r="NB243" s="9" t="n">
        <v>0</v>
      </c>
      <c r="ND243" s="9" t="n">
        <v>0</v>
      </c>
      <c r="NE243" s="9" t="n">
        <v>0</v>
      </c>
      <c r="NI243" s="10" t="n">
        <v>46229</v>
      </c>
      <c r="NK243" s="9" t="n">
        <v>0</v>
      </c>
      <c r="NM243" s="9" t="n">
        <v>0</v>
      </c>
      <c r="NN243" s="9" t="n">
        <v>1127</v>
      </c>
      <c r="NR243" s="10" t="n">
        <v>46229</v>
      </c>
      <c r="NT243" s="9" t="n">
        <v>0</v>
      </c>
      <c r="NV243" s="9" t="n">
        <v>0</v>
      </c>
      <c r="NW243" s="9" t="n">
        <v>3112</v>
      </c>
      <c r="OA243" s="10" t="n">
        <v>46229</v>
      </c>
      <c r="OC243" s="9" t="n">
        <v>0</v>
      </c>
      <c r="OE243" s="9" t="n">
        <v>0</v>
      </c>
      <c r="OF243" s="9" t="n">
        <v>1680.5</v>
      </c>
      <c r="OJ243" s="10" t="n">
        <v>46229</v>
      </c>
      <c r="OL243" s="9" t="n">
        <v>0</v>
      </c>
      <c r="ON243" s="9" t="n">
        <v>0</v>
      </c>
      <c r="OO243" s="9" t="n">
        <v>0</v>
      </c>
      <c r="OS243" s="10" t="n">
        <v>46229</v>
      </c>
      <c r="OU243" s="9" t="n">
        <v>0</v>
      </c>
      <c r="OW243" s="9" t="n">
        <v>0</v>
      </c>
      <c r="OX243" s="9" t="n">
        <v>1482</v>
      </c>
      <c r="PB243" s="10" t="n">
        <v>46229</v>
      </c>
      <c r="PD243" s="9" t="n">
        <v>0</v>
      </c>
      <c r="PF243" s="9" t="n">
        <v>0</v>
      </c>
      <c r="PG243" s="9" t="n">
        <v>0</v>
      </c>
      <c r="PK243" s="10" t="n">
        <v>46229</v>
      </c>
      <c r="PM243" s="9" t="n">
        <v>0</v>
      </c>
      <c r="PO243" s="9" t="n">
        <v>0</v>
      </c>
      <c r="PP243" s="9" t="n">
        <v>100</v>
      </c>
      <c r="PT243" s="10" t="n">
        <v>46229</v>
      </c>
      <c r="PV243" s="9" t="n">
        <v>0</v>
      </c>
      <c r="PX243" s="9" t="n">
        <v>0</v>
      </c>
      <c r="PY243" s="9" t="n">
        <v>13.96000000000004</v>
      </c>
      <c r="QC243" s="10" t="n">
        <v>46229</v>
      </c>
      <c r="QE243" s="9" t="n">
        <v>0</v>
      </c>
      <c r="QG243" s="9" t="n">
        <v>0</v>
      </c>
      <c r="QH243" s="9" t="n">
        <v>1120</v>
      </c>
      <c r="QL243" s="10" t="n">
        <v>46229</v>
      </c>
      <c r="QN243" s="9" t="n">
        <v>0</v>
      </c>
      <c r="QP243" s="9" t="n">
        <v>0</v>
      </c>
      <c r="QQ243" s="9" t="n">
        <v>0</v>
      </c>
      <c r="QU243" s="10" t="n">
        <v>46229</v>
      </c>
      <c r="QW243" s="9" t="n">
        <v>0</v>
      </c>
      <c r="QY243" s="9" t="n">
        <v>0</v>
      </c>
      <c r="QZ243" s="9" t="n">
        <v>207.6</v>
      </c>
      <c r="RD243" s="10" t="n">
        <v>46229</v>
      </c>
      <c r="RF243" s="9" t="n">
        <v>0</v>
      </c>
      <c r="RH243" s="9" t="n">
        <v>0</v>
      </c>
      <c r="RI243" s="9" t="n">
        <v>147.04</v>
      </c>
      <c r="RM243" s="10" t="n">
        <v>46229</v>
      </c>
      <c r="RO243" s="9" t="n">
        <v>0</v>
      </c>
      <c r="RQ243" s="9" t="n">
        <v>0</v>
      </c>
      <c r="RR243" s="9" t="n">
        <v>46.8</v>
      </c>
      <c r="RV243" s="10" t="n">
        <v>46229</v>
      </c>
      <c r="RX243" s="9" t="n">
        <v>0</v>
      </c>
      <c r="RZ243" s="9" t="n">
        <v>0</v>
      </c>
      <c r="SA243" s="9" t="n">
        <v>0</v>
      </c>
      <c r="SE243" s="10" t="n">
        <v>46229</v>
      </c>
      <c r="SG243" s="9" t="n">
        <v>0</v>
      </c>
      <c r="SI243" s="9" t="n">
        <v>0</v>
      </c>
      <c r="SJ243" s="9" t="n">
        <v>24.2</v>
      </c>
      <c r="SN243" s="10" t="n">
        <v>46229</v>
      </c>
      <c r="SP243" s="9" t="n">
        <v>0</v>
      </c>
      <c r="SR243" s="9" t="n">
        <v>0</v>
      </c>
      <c r="SS243" s="9" t="n">
        <v>32</v>
      </c>
      <c r="SW243" s="10" t="n">
        <v>46229</v>
      </c>
      <c r="SY243" s="9" t="n">
        <v>0</v>
      </c>
      <c r="TA243" s="9" t="n">
        <v>0</v>
      </c>
      <c r="TB243" s="9" t="n">
        <v>0</v>
      </c>
      <c r="TF243" s="10" t="n">
        <v>46229</v>
      </c>
      <c r="TH243" s="9" t="n">
        <v>0</v>
      </c>
      <c r="TJ243" s="9" t="n">
        <v>0</v>
      </c>
      <c r="TK243" s="9" t="n">
        <v>0</v>
      </c>
      <c r="TO243" s="10" t="n">
        <v>46229</v>
      </c>
      <c r="TQ243" s="9" t="n">
        <v>0</v>
      </c>
      <c r="TS243" s="9" t="n">
        <v>0</v>
      </c>
      <c r="TT243" s="9" t="n">
        <v>10.40000000000001</v>
      </c>
      <c r="TX243" s="10" t="n">
        <v>46229</v>
      </c>
      <c r="TZ243" s="9" t="n">
        <v>0</v>
      </c>
      <c r="UB243" s="9" t="n">
        <v>0</v>
      </c>
      <c r="UC243" s="9" t="n">
        <v>46.79999999999998</v>
      </c>
      <c r="UG243" s="10" t="n">
        <v>46229</v>
      </c>
      <c r="UI243" s="9" t="n">
        <v>0</v>
      </c>
      <c r="UK243" s="9" t="n">
        <v>0</v>
      </c>
      <c r="UL243" s="9" t="n">
        <v>204</v>
      </c>
      <c r="UP243" s="10" t="n">
        <v>46229</v>
      </c>
      <c r="UR243" s="9" t="n">
        <v>0</v>
      </c>
      <c r="UT243" s="9" t="n">
        <v>0</v>
      </c>
      <c r="UU243" s="9" t="n">
        <v>202.5</v>
      </c>
      <c r="UY243" s="10" t="n">
        <v>46229</v>
      </c>
      <c r="VA243" s="9" t="n">
        <v>0</v>
      </c>
      <c r="VC243" s="9" t="n">
        <v>0</v>
      </c>
      <c r="VD243" s="9" t="n">
        <v>41.60000000000002</v>
      </c>
      <c r="VH243" s="10" t="n">
        <v>46229</v>
      </c>
      <c r="VJ243" s="9" t="n">
        <v>0</v>
      </c>
      <c r="VL243" s="9" t="n">
        <v>0</v>
      </c>
      <c r="VM243" s="9" t="n">
        <v>210</v>
      </c>
      <c r="VQ243" s="10" t="n">
        <v>46229</v>
      </c>
      <c r="VS243" s="9" t="n">
        <v>0</v>
      </c>
      <c r="VU243" s="9" t="n">
        <v>0</v>
      </c>
      <c r="VV243" s="9" t="n">
        <v>0</v>
      </c>
      <c r="VZ243" s="10" t="n">
        <v>46229</v>
      </c>
      <c r="WB243" s="9" t="n">
        <v>0</v>
      </c>
      <c r="WD243" s="9" t="n">
        <v>0</v>
      </c>
      <c r="WE243" s="9" t="n">
        <v>0</v>
      </c>
      <c r="WI243" s="10" t="n">
        <v>46229</v>
      </c>
      <c r="WK243" s="9" t="n">
        <v>0</v>
      </c>
      <c r="WM243" s="9" t="n">
        <v>0</v>
      </c>
      <c r="WN243" s="9" t="n">
        <v>1057</v>
      </c>
      <c r="WR243" s="10" t="n">
        <v>46229</v>
      </c>
      <c r="WT243" s="9" t="n">
        <v>0</v>
      </c>
      <c r="WV243" s="9" t="n">
        <v>0</v>
      </c>
      <c r="WW243" s="9" t="n">
        <v>0</v>
      </c>
      <c r="XA243" s="10" t="n">
        <v>46229</v>
      </c>
      <c r="XC243" s="9" t="n">
        <v>0</v>
      </c>
      <c r="XE243" s="9" t="n">
        <v>0</v>
      </c>
      <c r="XF243" s="9" t="n">
        <v>7507</v>
      </c>
      <c r="XJ243" s="10" t="n">
        <v>46229</v>
      </c>
      <c r="XL243" s="9" t="n">
        <v>0</v>
      </c>
      <c r="XN243" s="9" t="n">
        <v>0</v>
      </c>
      <c r="XO243" s="9" t="n">
        <v>4252</v>
      </c>
      <c r="XS243" s="10" t="n">
        <v>46229</v>
      </c>
      <c r="XU243" s="9" t="n">
        <v>0</v>
      </c>
      <c r="XW243" s="9" t="n">
        <v>0</v>
      </c>
      <c r="XX243" s="9" t="n">
        <v>2179</v>
      </c>
      <c r="YB243" s="10" t="n">
        <v>46229</v>
      </c>
      <c r="YD243" s="9" t="n">
        <v>0</v>
      </c>
      <c r="YF243" s="9" t="n">
        <v>0</v>
      </c>
      <c r="YG243" s="9" t="n">
        <v>4019</v>
      </c>
      <c r="YK243" s="10" t="n">
        <v>46229</v>
      </c>
      <c r="YM243" s="9" t="n">
        <v>0</v>
      </c>
      <c r="YO243" s="9" t="n">
        <v>0</v>
      </c>
      <c r="YP243" s="9" t="n">
        <v>0</v>
      </c>
      <c r="YT243" s="10" t="n">
        <v>46229</v>
      </c>
      <c r="YV243" s="9" t="n">
        <v>0</v>
      </c>
      <c r="YX243" s="9" t="n">
        <v>0</v>
      </c>
      <c r="YY243" s="9" t="n">
        <v>0</v>
      </c>
      <c r="ZC243" s="10" t="n">
        <v>46229</v>
      </c>
      <c r="ZE243" s="9" t="n">
        <v>0</v>
      </c>
      <c r="ZG243" s="9" t="n">
        <v>0</v>
      </c>
      <c r="ZH243" s="9" t="n">
        <v>0</v>
      </c>
      <c r="ZL243" s="10" t="n">
        <v>46229</v>
      </c>
      <c r="ZN243" s="9" t="n">
        <v>0</v>
      </c>
      <c r="ZP243" s="9" t="n">
        <v>0</v>
      </c>
      <c r="ZQ243" s="9" t="n">
        <v>0</v>
      </c>
      <c r="ZU243" s="10" t="n">
        <v>46229</v>
      </c>
      <c r="ZW243" s="9" t="n">
        <v>0</v>
      </c>
      <c r="ZY243" s="9" t="n">
        <v>0</v>
      </c>
      <c r="ZZ243" s="9" t="n">
        <v>0</v>
      </c>
      <c r="AAD243" s="10" t="n">
        <v>46229</v>
      </c>
      <c r="AAF243" s="9" t="n">
        <v>0</v>
      </c>
      <c r="AAH243" s="9" t="n">
        <v>0</v>
      </c>
      <c r="AAI243" s="9" t="n">
        <v>0</v>
      </c>
      <c r="AAM243" s="10" t="n">
        <v>46229</v>
      </c>
      <c r="AAO243" s="9" t="n">
        <v>0</v>
      </c>
      <c r="AAQ243" s="9" t="n">
        <v>0</v>
      </c>
      <c r="AAR243" s="9" t="n">
        <v>0</v>
      </c>
      <c r="AAV243" s="10" t="n">
        <v>46229</v>
      </c>
      <c r="AAX243" s="9" t="n">
        <v>0</v>
      </c>
      <c r="AAZ243" s="9" t="n">
        <v>0</v>
      </c>
      <c r="ABA243" s="9" t="n">
        <v>0</v>
      </c>
      <c r="ABE243" s="10" t="n">
        <v>46229</v>
      </c>
      <c r="ABG243" s="9" t="n">
        <v>0</v>
      </c>
      <c r="ABI243" s="9" t="n">
        <v>0</v>
      </c>
      <c r="ABJ243" s="9" t="n">
        <v>0</v>
      </c>
    </row>
    <row r="244">
      <c r="C244" s="10" t="n">
        <v>46230</v>
      </c>
      <c r="D244" s="9" t="n">
        <v>10900</v>
      </c>
      <c r="E244" s="9" t="n">
        <v>0</v>
      </c>
      <c r="F244" s="9" t="n">
        <v>36394.4</v>
      </c>
      <c r="G244" s="9" t="n">
        <v>-36394.4</v>
      </c>
      <c r="H244" s="9" t="n">
        <v>138516</v>
      </c>
      <c r="L244" s="10" t="n">
        <v>46230</v>
      </c>
      <c r="N244" s="9" t="n">
        <v>0</v>
      </c>
      <c r="O244" s="9" t="n">
        <v>12942</v>
      </c>
      <c r="P244" s="9" t="n">
        <v>-12942</v>
      </c>
      <c r="Q244" s="9" t="n">
        <v>13702.60000000007</v>
      </c>
      <c r="U244" s="10" t="n">
        <v>46230</v>
      </c>
      <c r="W244" s="9" t="n">
        <v>0</v>
      </c>
      <c r="X244" s="9" t="n">
        <v>4201.3</v>
      </c>
      <c r="Y244" s="9" t="n">
        <v>-4201.3</v>
      </c>
      <c r="Z244" s="9" t="n">
        <v>27925.09999999997</v>
      </c>
      <c r="AD244" s="10" t="n">
        <v>46230</v>
      </c>
      <c r="AF244" s="9" t="n">
        <v>0</v>
      </c>
      <c r="AH244" s="9" t="n">
        <v>0</v>
      </c>
      <c r="AI244" s="9" t="n">
        <v>31872.20000000002</v>
      </c>
      <c r="AM244" s="10" t="n">
        <v>46230</v>
      </c>
      <c r="AO244" s="9" t="n">
        <v>0</v>
      </c>
      <c r="AQ244" s="9" t="n">
        <v>0</v>
      </c>
      <c r="AR244" s="9" t="n">
        <v>0</v>
      </c>
      <c r="AV244" s="10" t="n">
        <v>46230</v>
      </c>
      <c r="AX244" s="9" t="n">
        <v>0</v>
      </c>
      <c r="AZ244" s="9" t="n">
        <v>0</v>
      </c>
      <c r="BA244" s="9" t="n">
        <v>124.9999999999952</v>
      </c>
      <c r="BE244" s="10" t="n">
        <v>46230</v>
      </c>
      <c r="BG244" s="9" t="n">
        <v>0</v>
      </c>
      <c r="BH244" s="9" t="n">
        <v>600.8</v>
      </c>
      <c r="BI244" s="9" t="n">
        <v>-600.8</v>
      </c>
      <c r="BJ244" s="9" t="n">
        <v>27636.7</v>
      </c>
      <c r="BN244" s="10" t="n">
        <v>46230</v>
      </c>
      <c r="BO244" s="9" t="n">
        <v>599.9</v>
      </c>
      <c r="BP244" s="9" t="n">
        <v>0</v>
      </c>
      <c r="BQ244" s="9" t="n">
        <v>599.9</v>
      </c>
      <c r="BR244" s="9" t="n">
        <v>-599.9</v>
      </c>
      <c r="BS244" s="9" t="n">
        <v>0</v>
      </c>
      <c r="BW244" s="10" t="n">
        <v>46230</v>
      </c>
      <c r="BY244" s="9" t="n">
        <v>0</v>
      </c>
      <c r="BZ244" s="9" t="n">
        <v>70.34999999999999</v>
      </c>
      <c r="CA244" s="9" t="n">
        <v>-70.34999999999999</v>
      </c>
      <c r="CB244" s="9" t="n">
        <v>5299.639999999999</v>
      </c>
      <c r="CF244" s="10" t="n">
        <v>46230</v>
      </c>
      <c r="CH244" s="9" t="n">
        <v>0</v>
      </c>
      <c r="CI244" s="9" t="n">
        <v>130.43</v>
      </c>
      <c r="CJ244" s="9" t="n">
        <v>-130.43</v>
      </c>
      <c r="CK244" s="9" t="n">
        <v>-9191.259999999998</v>
      </c>
      <c r="CO244" s="10" t="n">
        <v>46230</v>
      </c>
      <c r="CQ244" s="9" t="n">
        <v>0</v>
      </c>
      <c r="CS244" s="9" t="n">
        <v>0</v>
      </c>
      <c r="CT244" s="9" t="n">
        <v>0</v>
      </c>
      <c r="CX244" s="10" t="n">
        <v>46230</v>
      </c>
      <c r="CY244" s="9" t="n">
        <v>42.4</v>
      </c>
      <c r="CZ244" s="9" t="n">
        <v>0</v>
      </c>
      <c r="DA244" s="9" t="n">
        <v>1204.1</v>
      </c>
      <c r="DB244" s="9" t="n">
        <v>-1204.1</v>
      </c>
      <c r="DC244" s="9" t="n">
        <v>28749.90000000001</v>
      </c>
      <c r="DG244" s="10" t="n">
        <v>46230</v>
      </c>
      <c r="DI244" s="9" t="n">
        <v>0</v>
      </c>
      <c r="DK244" s="9" t="n">
        <v>0</v>
      </c>
      <c r="DL244" s="9" t="n">
        <v>32282.29999999998</v>
      </c>
      <c r="DP244" s="10" t="n">
        <v>46230</v>
      </c>
      <c r="DR244" s="9" t="n">
        <v>0</v>
      </c>
      <c r="DT244" s="9" t="n">
        <v>0</v>
      </c>
      <c r="DU244" s="9" t="n">
        <v>5800</v>
      </c>
      <c r="DY244" s="10" t="n">
        <v>46230</v>
      </c>
      <c r="EA244" s="9" t="n">
        <v>0</v>
      </c>
      <c r="EC244" s="9" t="n">
        <v>0</v>
      </c>
      <c r="ED244" s="9" t="n">
        <v>0</v>
      </c>
      <c r="EH244" s="10" t="n">
        <v>46230</v>
      </c>
      <c r="EJ244" s="9" t="n">
        <v>0</v>
      </c>
      <c r="EL244" s="9" t="n">
        <v>0</v>
      </c>
      <c r="EM244" s="9" t="n">
        <v>0</v>
      </c>
      <c r="EQ244" s="10" t="n">
        <v>46230</v>
      </c>
      <c r="ES244" s="9" t="n">
        <v>0</v>
      </c>
      <c r="EU244" s="9" t="n">
        <v>0</v>
      </c>
      <c r="EV244" s="9" t="n">
        <v>0</v>
      </c>
      <c r="EZ244" s="10" t="n">
        <v>46230</v>
      </c>
      <c r="FB244" s="9" t="n">
        <v>0</v>
      </c>
      <c r="FD244" s="9" t="n">
        <v>0</v>
      </c>
      <c r="FE244" s="9" t="n">
        <v>0</v>
      </c>
      <c r="FI244" s="10" t="n">
        <v>46230</v>
      </c>
      <c r="FK244" s="9" t="n">
        <v>0</v>
      </c>
      <c r="FM244" s="9" t="n">
        <v>0</v>
      </c>
      <c r="FN244" s="9" t="n">
        <v>0</v>
      </c>
      <c r="FR244" s="10" t="n">
        <v>46230</v>
      </c>
      <c r="FT244" s="9" t="n">
        <v>0</v>
      </c>
      <c r="FV244" s="9" t="n">
        <v>0</v>
      </c>
      <c r="FW244" s="9" t="n">
        <v>540</v>
      </c>
      <c r="GA244" s="10" t="n">
        <v>46230</v>
      </c>
      <c r="GC244" s="9" t="n">
        <v>0</v>
      </c>
      <c r="GE244" s="9" t="n">
        <v>0</v>
      </c>
      <c r="GF244" s="9" t="n">
        <v>960</v>
      </c>
      <c r="GJ244" s="10" t="n">
        <v>46230</v>
      </c>
      <c r="GL244" s="9" t="n">
        <v>0</v>
      </c>
      <c r="GN244" s="9" t="n">
        <v>0</v>
      </c>
      <c r="GO244" s="9" t="n">
        <v>1760</v>
      </c>
      <c r="GS244" s="10" t="n">
        <v>46230</v>
      </c>
      <c r="GU244" s="9" t="n">
        <v>0</v>
      </c>
      <c r="GW244" s="9" t="n">
        <v>0</v>
      </c>
      <c r="GX244" s="9" t="n">
        <v>400</v>
      </c>
      <c r="HB244" s="10" t="n">
        <v>46230</v>
      </c>
      <c r="HD244" s="9" t="n">
        <v>0</v>
      </c>
      <c r="HF244" s="9" t="n">
        <v>0</v>
      </c>
      <c r="HG244" s="9" t="n">
        <v>3600</v>
      </c>
      <c r="HK244" s="10" t="n">
        <v>46230</v>
      </c>
      <c r="HM244" s="9" t="n">
        <v>0</v>
      </c>
      <c r="HO244" s="9" t="n">
        <v>0</v>
      </c>
      <c r="HP244" s="9" t="n">
        <v>0</v>
      </c>
      <c r="HU244" s="10" t="n">
        <v>46230</v>
      </c>
      <c r="HW244" s="9" t="n">
        <v>0</v>
      </c>
      <c r="HY244" s="9" t="n">
        <v>0</v>
      </c>
      <c r="HZ244" s="9" t="n">
        <v>5920</v>
      </c>
      <c r="ID244" s="10" t="n">
        <v>46230</v>
      </c>
      <c r="IF244" s="9" t="n">
        <v>0</v>
      </c>
      <c r="IH244" s="9" t="n">
        <v>0</v>
      </c>
      <c r="II244" s="9" t="n">
        <v>720</v>
      </c>
      <c r="IM244" s="10" t="n">
        <v>46230</v>
      </c>
      <c r="IO244" s="9" t="n">
        <v>0</v>
      </c>
      <c r="IQ244" s="9" t="n">
        <v>0</v>
      </c>
      <c r="IR244" s="9" t="n">
        <v>3280</v>
      </c>
      <c r="IV244" s="10" t="n">
        <v>46230</v>
      </c>
      <c r="IX244" s="9" t="n">
        <v>0</v>
      </c>
      <c r="IZ244" s="9" t="n">
        <v>0</v>
      </c>
      <c r="JA244" s="9" t="n">
        <v>4960</v>
      </c>
      <c r="JE244" s="10" t="n">
        <v>46230</v>
      </c>
      <c r="JG244" s="9" t="n">
        <v>0</v>
      </c>
      <c r="JI244" s="9" t="n">
        <v>0</v>
      </c>
      <c r="JJ244" s="9" t="n">
        <v>0</v>
      </c>
      <c r="JN244" s="10" t="n">
        <v>46230</v>
      </c>
      <c r="JP244" s="9" t="n">
        <v>0</v>
      </c>
      <c r="JR244" s="9" t="n">
        <v>0</v>
      </c>
      <c r="JS244" s="9" t="n">
        <v>0</v>
      </c>
      <c r="JW244" s="10" t="n">
        <v>46230</v>
      </c>
      <c r="JY244" s="9" t="n">
        <v>0</v>
      </c>
      <c r="KA244" s="9" t="n">
        <v>0</v>
      </c>
      <c r="KB244" s="9" t="n">
        <v>2540</v>
      </c>
      <c r="KF244" s="10" t="n">
        <v>46230</v>
      </c>
      <c r="KH244" s="9" t="n">
        <v>0</v>
      </c>
      <c r="KJ244" s="9" t="n">
        <v>0</v>
      </c>
      <c r="KK244" s="9" t="n">
        <v>2359.5</v>
      </c>
      <c r="KO244" s="10" t="n">
        <v>46230</v>
      </c>
      <c r="KQ244" s="9" t="n">
        <v>0</v>
      </c>
      <c r="KS244" s="9" t="n">
        <v>0</v>
      </c>
      <c r="KT244" s="9" t="n">
        <v>1890</v>
      </c>
      <c r="KX244" s="10" t="n">
        <v>46230</v>
      </c>
      <c r="KZ244" s="9" t="n">
        <v>0</v>
      </c>
      <c r="LB244" s="9" t="n">
        <v>0</v>
      </c>
      <c r="LC244" s="9" t="n">
        <v>3690</v>
      </c>
      <c r="LG244" s="10" t="n">
        <v>46230</v>
      </c>
      <c r="LI244" s="9" t="n">
        <v>0</v>
      </c>
      <c r="LK244" s="9" t="n">
        <v>0</v>
      </c>
      <c r="LL244" s="9" t="n">
        <v>4000</v>
      </c>
      <c r="LP244" s="10" t="n">
        <v>46230</v>
      </c>
      <c r="LR244" s="9" t="n">
        <v>0</v>
      </c>
      <c r="LT244" s="9" t="n">
        <v>0</v>
      </c>
      <c r="LU244" s="9" t="n">
        <v>0</v>
      </c>
      <c r="LY244" s="10" t="n">
        <v>46230</v>
      </c>
      <c r="MA244" s="9" t="n">
        <v>0</v>
      </c>
      <c r="MC244" s="9" t="n">
        <v>0</v>
      </c>
      <c r="MD244" s="9" t="n">
        <v>0</v>
      </c>
      <c r="MH244" s="10" t="n">
        <v>46230</v>
      </c>
      <c r="MJ244" s="9" t="n">
        <v>0</v>
      </c>
      <c r="ML244" s="9" t="n">
        <v>0</v>
      </c>
      <c r="MM244" s="9" t="n">
        <v>0</v>
      </c>
      <c r="MQ244" s="10" t="n">
        <v>46230</v>
      </c>
      <c r="MS244" s="9" t="n">
        <v>0</v>
      </c>
      <c r="MT244" s="9" t="n">
        <v>16</v>
      </c>
      <c r="MU244" s="9" t="n">
        <v>-16</v>
      </c>
      <c r="MV244" s="9" t="n">
        <v>2346</v>
      </c>
      <c r="MZ244" s="10" t="n">
        <v>46230</v>
      </c>
      <c r="NA244" s="9" t="n">
        <v>192</v>
      </c>
      <c r="NB244" s="9" t="n">
        <v>0</v>
      </c>
      <c r="NC244" s="9" t="n">
        <v>192</v>
      </c>
      <c r="ND244" s="9" t="n">
        <v>-192</v>
      </c>
      <c r="NE244" s="9" t="n">
        <v>0</v>
      </c>
      <c r="NI244" s="10" t="n">
        <v>46230</v>
      </c>
      <c r="NK244" s="9" t="n">
        <v>0</v>
      </c>
      <c r="NM244" s="9" t="n">
        <v>0</v>
      </c>
      <c r="NN244" s="9" t="n">
        <v>1127</v>
      </c>
      <c r="NR244" s="10" t="n">
        <v>46230</v>
      </c>
      <c r="NT244" s="9" t="n">
        <v>0</v>
      </c>
      <c r="NV244" s="9" t="n">
        <v>0</v>
      </c>
      <c r="NW244" s="9" t="n">
        <v>3112</v>
      </c>
      <c r="OA244" s="10" t="n">
        <v>46230</v>
      </c>
      <c r="OC244" s="9" t="n">
        <v>0</v>
      </c>
      <c r="OE244" s="9" t="n">
        <v>0</v>
      </c>
      <c r="OF244" s="9" t="n">
        <v>1680.5</v>
      </c>
      <c r="OJ244" s="10" t="n">
        <v>46230</v>
      </c>
      <c r="OK244" s="9" t="n">
        <v>30.4</v>
      </c>
      <c r="OL244" s="9" t="n">
        <v>0</v>
      </c>
      <c r="OM244" s="9" t="n">
        <v>30.4</v>
      </c>
      <c r="ON244" s="9" t="n">
        <v>-30.4</v>
      </c>
      <c r="OO244" s="9" t="n">
        <v>0</v>
      </c>
      <c r="OS244" s="10" t="n">
        <v>46230</v>
      </c>
      <c r="OU244" s="9" t="n">
        <v>0</v>
      </c>
      <c r="OW244" s="9" t="n">
        <v>0</v>
      </c>
      <c r="OX244" s="9" t="n">
        <v>1482</v>
      </c>
      <c r="PB244" s="10" t="n">
        <v>46230</v>
      </c>
      <c r="PD244" s="9" t="n">
        <v>0</v>
      </c>
      <c r="PF244" s="9" t="n">
        <v>0</v>
      </c>
      <c r="PG244" s="9" t="n">
        <v>0</v>
      </c>
      <c r="PK244" s="10" t="n">
        <v>46230</v>
      </c>
      <c r="PM244" s="9" t="n">
        <v>0</v>
      </c>
      <c r="PO244" s="9" t="n">
        <v>0</v>
      </c>
      <c r="PP244" s="9" t="n">
        <v>100</v>
      </c>
      <c r="PT244" s="10" t="n">
        <v>46230</v>
      </c>
      <c r="PV244" s="9" t="n">
        <v>0</v>
      </c>
      <c r="PX244" s="9" t="n">
        <v>0</v>
      </c>
      <c r="PY244" s="9" t="n">
        <v>13.96000000000004</v>
      </c>
      <c r="QC244" s="10" t="n">
        <v>46230</v>
      </c>
      <c r="QE244" s="9" t="n">
        <v>0</v>
      </c>
      <c r="QG244" s="9" t="n">
        <v>0</v>
      </c>
      <c r="QH244" s="9" t="n">
        <v>1120</v>
      </c>
      <c r="QL244" s="10" t="n">
        <v>46230</v>
      </c>
      <c r="QN244" s="9" t="n">
        <v>0</v>
      </c>
      <c r="QP244" s="9" t="n">
        <v>0</v>
      </c>
      <c r="QQ244" s="9" t="n">
        <v>0</v>
      </c>
      <c r="QU244" s="10" t="n">
        <v>46230</v>
      </c>
      <c r="QW244" s="9" t="n">
        <v>0</v>
      </c>
      <c r="QY244" s="9" t="n">
        <v>0</v>
      </c>
      <c r="QZ244" s="9" t="n">
        <v>207.6</v>
      </c>
      <c r="RD244" s="10" t="n">
        <v>46230</v>
      </c>
      <c r="RF244" s="9" t="n">
        <v>0</v>
      </c>
      <c r="RH244" s="9" t="n">
        <v>0</v>
      </c>
      <c r="RI244" s="9" t="n">
        <v>147.04</v>
      </c>
      <c r="RM244" s="10" t="n">
        <v>46230</v>
      </c>
      <c r="RO244" s="9" t="n">
        <v>0</v>
      </c>
      <c r="RQ244" s="9" t="n">
        <v>0</v>
      </c>
      <c r="RR244" s="9" t="n">
        <v>46.8</v>
      </c>
      <c r="RV244" s="10" t="n">
        <v>46230</v>
      </c>
      <c r="RX244" s="9" t="n">
        <v>0</v>
      </c>
      <c r="RZ244" s="9" t="n">
        <v>0</v>
      </c>
      <c r="SA244" s="9" t="n">
        <v>0</v>
      </c>
      <c r="SE244" s="10" t="n">
        <v>46230</v>
      </c>
      <c r="SG244" s="9" t="n">
        <v>0</v>
      </c>
      <c r="SI244" s="9" t="n">
        <v>0</v>
      </c>
      <c r="SJ244" s="9" t="n">
        <v>24.2</v>
      </c>
      <c r="SN244" s="10" t="n">
        <v>46230</v>
      </c>
      <c r="SP244" s="9" t="n">
        <v>0</v>
      </c>
      <c r="SR244" s="9" t="n">
        <v>0</v>
      </c>
      <c r="SS244" s="9" t="n">
        <v>32</v>
      </c>
      <c r="SW244" s="10" t="n">
        <v>46230</v>
      </c>
      <c r="SY244" s="9" t="n">
        <v>0</v>
      </c>
      <c r="TA244" s="9" t="n">
        <v>0</v>
      </c>
      <c r="TB244" s="9" t="n">
        <v>0</v>
      </c>
      <c r="TF244" s="10" t="n">
        <v>46230</v>
      </c>
      <c r="TH244" s="9" t="n">
        <v>0</v>
      </c>
      <c r="TJ244" s="9" t="n">
        <v>0</v>
      </c>
      <c r="TK244" s="9" t="n">
        <v>0</v>
      </c>
      <c r="TO244" s="10" t="n">
        <v>46230</v>
      </c>
      <c r="TQ244" s="9" t="n">
        <v>0</v>
      </c>
      <c r="TS244" s="9" t="n">
        <v>0</v>
      </c>
      <c r="TT244" s="9" t="n">
        <v>10.40000000000001</v>
      </c>
      <c r="TX244" s="10" t="n">
        <v>46230</v>
      </c>
      <c r="TZ244" s="9" t="n">
        <v>0</v>
      </c>
      <c r="UB244" s="9" t="n">
        <v>0</v>
      </c>
      <c r="UC244" s="9" t="n">
        <v>46.79999999999998</v>
      </c>
      <c r="UG244" s="10" t="n">
        <v>46230</v>
      </c>
      <c r="UI244" s="9" t="n">
        <v>0</v>
      </c>
      <c r="UK244" s="9" t="n">
        <v>0</v>
      </c>
      <c r="UL244" s="9" t="n">
        <v>204</v>
      </c>
      <c r="UP244" s="10" t="n">
        <v>46230</v>
      </c>
      <c r="UR244" s="9" t="n">
        <v>0</v>
      </c>
      <c r="UT244" s="9" t="n">
        <v>0</v>
      </c>
      <c r="UU244" s="9" t="n">
        <v>202.5</v>
      </c>
      <c r="UY244" s="10" t="n">
        <v>46230</v>
      </c>
      <c r="VA244" s="9" t="n">
        <v>0</v>
      </c>
      <c r="VC244" s="9" t="n">
        <v>0</v>
      </c>
      <c r="VD244" s="9" t="n">
        <v>41.60000000000002</v>
      </c>
      <c r="VH244" s="10" t="n">
        <v>46230</v>
      </c>
      <c r="VJ244" s="9" t="n">
        <v>0</v>
      </c>
      <c r="VL244" s="9" t="n">
        <v>0</v>
      </c>
      <c r="VM244" s="9" t="n">
        <v>210</v>
      </c>
      <c r="VQ244" s="10" t="n">
        <v>46230</v>
      </c>
      <c r="VS244" s="9" t="n">
        <v>0</v>
      </c>
      <c r="VU244" s="9" t="n">
        <v>0</v>
      </c>
      <c r="VV244" s="9" t="n">
        <v>0</v>
      </c>
      <c r="VZ244" s="10" t="n">
        <v>46230</v>
      </c>
      <c r="WB244" s="9" t="n">
        <v>0</v>
      </c>
      <c r="WD244" s="9" t="n">
        <v>0</v>
      </c>
      <c r="WE244" s="9" t="n">
        <v>0</v>
      </c>
      <c r="WI244" s="10" t="n">
        <v>46230</v>
      </c>
      <c r="WK244" s="9" t="n">
        <v>0</v>
      </c>
      <c r="WM244" s="9" t="n">
        <v>0</v>
      </c>
      <c r="WN244" s="9" t="n">
        <v>1057</v>
      </c>
      <c r="WR244" s="10" t="n">
        <v>46230</v>
      </c>
      <c r="WT244" s="9" t="n">
        <v>0</v>
      </c>
      <c r="WV244" s="9" t="n">
        <v>0</v>
      </c>
      <c r="WW244" s="9" t="n">
        <v>0</v>
      </c>
      <c r="XA244" s="10" t="n">
        <v>46230</v>
      </c>
      <c r="XC244" s="9" t="n">
        <v>0</v>
      </c>
      <c r="XE244" s="9" t="n">
        <v>0</v>
      </c>
      <c r="XF244" s="9" t="n">
        <v>7507</v>
      </c>
      <c r="XJ244" s="10" t="n">
        <v>46230</v>
      </c>
      <c r="XL244" s="9" t="n">
        <v>0</v>
      </c>
      <c r="XN244" s="9" t="n">
        <v>0</v>
      </c>
      <c r="XO244" s="9" t="n">
        <v>4252</v>
      </c>
      <c r="XS244" s="10" t="n">
        <v>46230</v>
      </c>
      <c r="XU244" s="9" t="n">
        <v>0</v>
      </c>
      <c r="XW244" s="9" t="n">
        <v>0</v>
      </c>
      <c r="XX244" s="9" t="n">
        <v>2179</v>
      </c>
      <c r="YB244" s="10" t="n">
        <v>46230</v>
      </c>
      <c r="YD244" s="9" t="n">
        <v>0</v>
      </c>
      <c r="YF244" s="9" t="n">
        <v>0</v>
      </c>
      <c r="YG244" s="9" t="n">
        <v>4019</v>
      </c>
      <c r="YK244" s="10" t="n">
        <v>46230</v>
      </c>
      <c r="YM244" s="9" t="n">
        <v>0</v>
      </c>
      <c r="YO244" s="9" t="n">
        <v>0</v>
      </c>
      <c r="YP244" s="9" t="n">
        <v>0</v>
      </c>
      <c r="YT244" s="10" t="n">
        <v>46230</v>
      </c>
      <c r="YV244" s="9" t="n">
        <v>0</v>
      </c>
      <c r="YX244" s="9" t="n">
        <v>0</v>
      </c>
      <c r="YY244" s="9" t="n">
        <v>0</v>
      </c>
      <c r="ZC244" s="10" t="n">
        <v>46230</v>
      </c>
      <c r="ZE244" s="9" t="n">
        <v>0</v>
      </c>
      <c r="ZG244" s="9" t="n">
        <v>0</v>
      </c>
      <c r="ZH244" s="9" t="n">
        <v>0</v>
      </c>
      <c r="ZL244" s="10" t="n">
        <v>46230</v>
      </c>
      <c r="ZN244" s="9" t="n">
        <v>0</v>
      </c>
      <c r="ZP244" s="9" t="n">
        <v>0</v>
      </c>
      <c r="ZQ244" s="9" t="n">
        <v>0</v>
      </c>
      <c r="ZU244" s="10" t="n">
        <v>46230</v>
      </c>
      <c r="ZW244" s="9" t="n">
        <v>0</v>
      </c>
      <c r="ZY244" s="9" t="n">
        <v>0</v>
      </c>
      <c r="ZZ244" s="9" t="n">
        <v>0</v>
      </c>
      <c r="AAD244" s="10" t="n">
        <v>46230</v>
      </c>
      <c r="AAF244" s="9" t="n">
        <v>0</v>
      </c>
      <c r="AAH244" s="9" t="n">
        <v>0</v>
      </c>
      <c r="AAI244" s="9" t="n">
        <v>0</v>
      </c>
      <c r="AAM244" s="10" t="n">
        <v>46230</v>
      </c>
      <c r="AAO244" s="9" t="n">
        <v>0</v>
      </c>
      <c r="AAQ244" s="9" t="n">
        <v>0</v>
      </c>
      <c r="AAR244" s="9" t="n">
        <v>0</v>
      </c>
      <c r="AAV244" s="10" t="n">
        <v>46230</v>
      </c>
      <c r="AAX244" s="9" t="n">
        <v>0</v>
      </c>
      <c r="AAZ244" s="9" t="n">
        <v>0</v>
      </c>
      <c r="ABA244" s="9" t="n">
        <v>0</v>
      </c>
      <c r="ABE244" s="10" t="n">
        <v>46230</v>
      </c>
      <c r="ABG244" s="9" t="n">
        <v>0</v>
      </c>
      <c r="ABI244" s="9" t="n">
        <v>0</v>
      </c>
      <c r="ABJ244" s="9" t="n">
        <v>0</v>
      </c>
    </row>
    <row r="245">
      <c r="C245" s="10" t="n">
        <v>46231</v>
      </c>
      <c r="D245" s="9" t="n">
        <v>21450</v>
      </c>
      <c r="E245" s="9" t="n">
        <v>0</v>
      </c>
      <c r="G245" s="9" t="n">
        <v>0</v>
      </c>
      <c r="H245" s="9" t="n">
        <v>159966</v>
      </c>
      <c r="L245" s="10" t="n">
        <v>46231</v>
      </c>
      <c r="N245" s="9" t="n">
        <v>0</v>
      </c>
      <c r="P245" s="9" t="n">
        <v>0</v>
      </c>
      <c r="Q245" s="9" t="n">
        <v>13702.60000000007</v>
      </c>
      <c r="U245" s="10" t="n">
        <v>46231</v>
      </c>
      <c r="W245" s="9" t="n">
        <v>0</v>
      </c>
      <c r="Y245" s="9" t="n">
        <v>0</v>
      </c>
      <c r="Z245" s="9" t="n">
        <v>27925.09999999997</v>
      </c>
      <c r="AD245" s="10" t="n">
        <v>46231</v>
      </c>
      <c r="AF245" s="9" t="n">
        <v>0</v>
      </c>
      <c r="AH245" s="9" t="n">
        <v>0</v>
      </c>
      <c r="AI245" s="9" t="n">
        <v>31872.20000000002</v>
      </c>
      <c r="AM245" s="10" t="n">
        <v>46231</v>
      </c>
      <c r="AO245" s="9" t="n">
        <v>0</v>
      </c>
      <c r="AQ245" s="9" t="n">
        <v>0</v>
      </c>
      <c r="AR245" s="9" t="n">
        <v>0</v>
      </c>
      <c r="AV245" s="10" t="n">
        <v>46231</v>
      </c>
      <c r="AX245" s="9" t="n">
        <v>0</v>
      </c>
      <c r="AZ245" s="9" t="n">
        <v>0</v>
      </c>
      <c r="BA245" s="9" t="n">
        <v>124.9999999999952</v>
      </c>
      <c r="BE245" s="10" t="n">
        <v>46231</v>
      </c>
      <c r="BG245" s="9" t="n">
        <v>0</v>
      </c>
      <c r="BI245" s="9" t="n">
        <v>0</v>
      </c>
      <c r="BJ245" s="9" t="n">
        <v>27636.7</v>
      </c>
      <c r="BN245" s="10" t="n">
        <v>46231</v>
      </c>
      <c r="BP245" s="9" t="n">
        <v>0</v>
      </c>
      <c r="BR245" s="9" t="n">
        <v>0</v>
      </c>
      <c r="BS245" s="9" t="n">
        <v>0</v>
      </c>
      <c r="BW245" s="10" t="n">
        <v>46231</v>
      </c>
      <c r="BY245" s="9" t="n">
        <v>0</v>
      </c>
      <c r="CA245" s="9" t="n">
        <v>0</v>
      </c>
      <c r="CB245" s="9" t="n">
        <v>5299.639999999999</v>
      </c>
      <c r="CF245" s="10" t="n">
        <v>46231</v>
      </c>
      <c r="CH245" s="9" t="n">
        <v>0</v>
      </c>
      <c r="CJ245" s="9" t="n">
        <v>0</v>
      </c>
      <c r="CK245" s="9" t="n">
        <v>-9191.259999999998</v>
      </c>
      <c r="CO245" s="10" t="n">
        <v>46231</v>
      </c>
      <c r="CQ245" s="9" t="n">
        <v>0</v>
      </c>
      <c r="CS245" s="9" t="n">
        <v>0</v>
      </c>
      <c r="CT245" s="9" t="n">
        <v>0</v>
      </c>
      <c r="CX245" s="10" t="n">
        <v>46231</v>
      </c>
      <c r="CZ245" s="9" t="n">
        <v>0</v>
      </c>
      <c r="DB245" s="9" t="n">
        <v>0</v>
      </c>
      <c r="DC245" s="9" t="n">
        <v>28749.90000000001</v>
      </c>
      <c r="DG245" s="10" t="n">
        <v>46231</v>
      </c>
      <c r="DI245" s="9" t="n">
        <v>0</v>
      </c>
      <c r="DK245" s="9" t="n">
        <v>0</v>
      </c>
      <c r="DL245" s="9" t="n">
        <v>32282.29999999998</v>
      </c>
      <c r="DP245" s="10" t="n">
        <v>46231</v>
      </c>
      <c r="DR245" s="9" t="n">
        <v>0</v>
      </c>
      <c r="DT245" s="9" t="n">
        <v>0</v>
      </c>
      <c r="DU245" s="9" t="n">
        <v>5800</v>
      </c>
      <c r="DY245" s="10" t="n">
        <v>46231</v>
      </c>
      <c r="EA245" s="9" t="n">
        <v>0</v>
      </c>
      <c r="EC245" s="9" t="n">
        <v>0</v>
      </c>
      <c r="ED245" s="9" t="n">
        <v>0</v>
      </c>
      <c r="EH245" s="10" t="n">
        <v>46231</v>
      </c>
      <c r="EJ245" s="9" t="n">
        <v>0</v>
      </c>
      <c r="EL245" s="9" t="n">
        <v>0</v>
      </c>
      <c r="EM245" s="9" t="n">
        <v>0</v>
      </c>
      <c r="EQ245" s="10" t="n">
        <v>46231</v>
      </c>
      <c r="ES245" s="9" t="n">
        <v>0</v>
      </c>
      <c r="EU245" s="9" t="n">
        <v>0</v>
      </c>
      <c r="EV245" s="9" t="n">
        <v>0</v>
      </c>
      <c r="EZ245" s="10" t="n">
        <v>46231</v>
      </c>
      <c r="FB245" s="9" t="n">
        <v>0</v>
      </c>
      <c r="FD245" s="9" t="n">
        <v>0</v>
      </c>
      <c r="FE245" s="9" t="n">
        <v>0</v>
      </c>
      <c r="FI245" s="10" t="n">
        <v>46231</v>
      </c>
      <c r="FK245" s="9" t="n">
        <v>0</v>
      </c>
      <c r="FM245" s="9" t="n">
        <v>0</v>
      </c>
      <c r="FN245" s="9" t="n">
        <v>0</v>
      </c>
      <c r="FR245" s="10" t="n">
        <v>46231</v>
      </c>
      <c r="FT245" s="9" t="n">
        <v>0</v>
      </c>
      <c r="FV245" s="9" t="n">
        <v>0</v>
      </c>
      <c r="FW245" s="9" t="n">
        <v>540</v>
      </c>
      <c r="GA245" s="10" t="n">
        <v>46231</v>
      </c>
      <c r="GC245" s="9" t="n">
        <v>0</v>
      </c>
      <c r="GE245" s="9" t="n">
        <v>0</v>
      </c>
      <c r="GF245" s="9" t="n">
        <v>960</v>
      </c>
      <c r="GJ245" s="10" t="n">
        <v>46231</v>
      </c>
      <c r="GL245" s="9" t="n">
        <v>0</v>
      </c>
      <c r="GN245" s="9" t="n">
        <v>0</v>
      </c>
      <c r="GO245" s="9" t="n">
        <v>1760</v>
      </c>
      <c r="GS245" s="10" t="n">
        <v>46231</v>
      </c>
      <c r="GU245" s="9" t="n">
        <v>0</v>
      </c>
      <c r="GW245" s="9" t="n">
        <v>0</v>
      </c>
      <c r="GX245" s="9" t="n">
        <v>400</v>
      </c>
      <c r="HB245" s="10" t="n">
        <v>46231</v>
      </c>
      <c r="HD245" s="9" t="n">
        <v>0</v>
      </c>
      <c r="HF245" s="9" t="n">
        <v>0</v>
      </c>
      <c r="HG245" s="9" t="n">
        <v>3600</v>
      </c>
      <c r="HK245" s="10" t="n">
        <v>46231</v>
      </c>
      <c r="HM245" s="9" t="n">
        <v>0</v>
      </c>
      <c r="HO245" s="9" t="n">
        <v>0</v>
      </c>
      <c r="HP245" s="9" t="n">
        <v>0</v>
      </c>
      <c r="HU245" s="10" t="n">
        <v>46231</v>
      </c>
      <c r="HW245" s="9" t="n">
        <v>0</v>
      </c>
      <c r="HY245" s="9" t="n">
        <v>0</v>
      </c>
      <c r="HZ245" s="9" t="n">
        <v>5920</v>
      </c>
      <c r="ID245" s="10" t="n">
        <v>46231</v>
      </c>
      <c r="IF245" s="9" t="n">
        <v>0</v>
      </c>
      <c r="IH245" s="9" t="n">
        <v>0</v>
      </c>
      <c r="II245" s="9" t="n">
        <v>720</v>
      </c>
      <c r="IM245" s="10" t="n">
        <v>46231</v>
      </c>
      <c r="IO245" s="9" t="n">
        <v>0</v>
      </c>
      <c r="IQ245" s="9" t="n">
        <v>0</v>
      </c>
      <c r="IR245" s="9" t="n">
        <v>3280</v>
      </c>
      <c r="IV245" s="10" t="n">
        <v>46231</v>
      </c>
      <c r="IX245" s="9" t="n">
        <v>0</v>
      </c>
      <c r="IZ245" s="9" t="n">
        <v>0</v>
      </c>
      <c r="JA245" s="9" t="n">
        <v>4960</v>
      </c>
      <c r="JE245" s="10" t="n">
        <v>46231</v>
      </c>
      <c r="JG245" s="9" t="n">
        <v>0</v>
      </c>
      <c r="JI245" s="9" t="n">
        <v>0</v>
      </c>
      <c r="JJ245" s="9" t="n">
        <v>0</v>
      </c>
      <c r="JN245" s="10" t="n">
        <v>46231</v>
      </c>
      <c r="JP245" s="9" t="n">
        <v>0</v>
      </c>
      <c r="JR245" s="9" t="n">
        <v>0</v>
      </c>
      <c r="JS245" s="9" t="n">
        <v>0</v>
      </c>
      <c r="JW245" s="10" t="n">
        <v>46231</v>
      </c>
      <c r="JY245" s="9" t="n">
        <v>0</v>
      </c>
      <c r="KA245" s="9" t="n">
        <v>0</v>
      </c>
      <c r="KB245" s="9" t="n">
        <v>2540</v>
      </c>
      <c r="KF245" s="10" t="n">
        <v>46231</v>
      </c>
      <c r="KH245" s="9" t="n">
        <v>0</v>
      </c>
      <c r="KJ245" s="9" t="n">
        <v>0</v>
      </c>
      <c r="KK245" s="9" t="n">
        <v>2359.5</v>
      </c>
      <c r="KO245" s="10" t="n">
        <v>46231</v>
      </c>
      <c r="KQ245" s="9" t="n">
        <v>0</v>
      </c>
      <c r="KS245" s="9" t="n">
        <v>0</v>
      </c>
      <c r="KT245" s="9" t="n">
        <v>1890</v>
      </c>
      <c r="KX245" s="10" t="n">
        <v>46231</v>
      </c>
      <c r="KZ245" s="9" t="n">
        <v>0</v>
      </c>
      <c r="LB245" s="9" t="n">
        <v>0</v>
      </c>
      <c r="LC245" s="9" t="n">
        <v>3690</v>
      </c>
      <c r="LG245" s="10" t="n">
        <v>46231</v>
      </c>
      <c r="LI245" s="9" t="n">
        <v>0</v>
      </c>
      <c r="LK245" s="9" t="n">
        <v>0</v>
      </c>
      <c r="LL245" s="9" t="n">
        <v>4000</v>
      </c>
      <c r="LP245" s="10" t="n">
        <v>46231</v>
      </c>
      <c r="LR245" s="9" t="n">
        <v>0</v>
      </c>
      <c r="LT245" s="9" t="n">
        <v>0</v>
      </c>
      <c r="LU245" s="9" t="n">
        <v>0</v>
      </c>
      <c r="LY245" s="10" t="n">
        <v>46231</v>
      </c>
      <c r="MA245" s="9" t="n">
        <v>0</v>
      </c>
      <c r="MC245" s="9" t="n">
        <v>0</v>
      </c>
      <c r="MD245" s="9" t="n">
        <v>0</v>
      </c>
      <c r="MH245" s="10" t="n">
        <v>46231</v>
      </c>
      <c r="MJ245" s="9" t="n">
        <v>0</v>
      </c>
      <c r="ML245" s="9" t="n">
        <v>0</v>
      </c>
      <c r="MM245" s="9" t="n">
        <v>0</v>
      </c>
      <c r="MQ245" s="10" t="n">
        <v>46231</v>
      </c>
      <c r="MS245" s="9" t="n">
        <v>0</v>
      </c>
      <c r="MU245" s="9" t="n">
        <v>0</v>
      </c>
      <c r="MV245" s="9" t="n">
        <v>2346</v>
      </c>
      <c r="MZ245" s="10" t="n">
        <v>46231</v>
      </c>
      <c r="NB245" s="9" t="n">
        <v>0</v>
      </c>
      <c r="ND245" s="9" t="n">
        <v>0</v>
      </c>
      <c r="NE245" s="9" t="n">
        <v>0</v>
      </c>
      <c r="NI245" s="10" t="n">
        <v>46231</v>
      </c>
      <c r="NK245" s="9" t="n">
        <v>0</v>
      </c>
      <c r="NM245" s="9" t="n">
        <v>0</v>
      </c>
      <c r="NN245" s="9" t="n">
        <v>1127</v>
      </c>
      <c r="NR245" s="10" t="n">
        <v>46231</v>
      </c>
      <c r="NT245" s="9" t="n">
        <v>0</v>
      </c>
      <c r="NV245" s="9" t="n">
        <v>0</v>
      </c>
      <c r="NW245" s="9" t="n">
        <v>3112</v>
      </c>
      <c r="OA245" s="10" t="n">
        <v>46231</v>
      </c>
      <c r="OC245" s="9" t="n">
        <v>0</v>
      </c>
      <c r="OE245" s="9" t="n">
        <v>0</v>
      </c>
      <c r="OF245" s="9" t="n">
        <v>1680.5</v>
      </c>
      <c r="OJ245" s="10" t="n">
        <v>46231</v>
      </c>
      <c r="OL245" s="9" t="n">
        <v>0</v>
      </c>
      <c r="ON245" s="9" t="n">
        <v>0</v>
      </c>
      <c r="OO245" s="9" t="n">
        <v>0</v>
      </c>
      <c r="OS245" s="10" t="n">
        <v>46231</v>
      </c>
      <c r="OU245" s="9" t="n">
        <v>0</v>
      </c>
      <c r="OW245" s="9" t="n">
        <v>0</v>
      </c>
      <c r="OX245" s="9" t="n">
        <v>1482</v>
      </c>
      <c r="PB245" s="10" t="n">
        <v>46231</v>
      </c>
      <c r="PD245" s="9" t="n">
        <v>0</v>
      </c>
      <c r="PF245" s="9" t="n">
        <v>0</v>
      </c>
      <c r="PG245" s="9" t="n">
        <v>0</v>
      </c>
      <c r="PK245" s="10" t="n">
        <v>46231</v>
      </c>
      <c r="PM245" s="9" t="n">
        <v>0</v>
      </c>
      <c r="PO245" s="9" t="n">
        <v>0</v>
      </c>
      <c r="PP245" s="9" t="n">
        <v>100</v>
      </c>
      <c r="PT245" s="10" t="n">
        <v>46231</v>
      </c>
      <c r="PV245" s="9" t="n">
        <v>0</v>
      </c>
      <c r="PX245" s="9" t="n">
        <v>0</v>
      </c>
      <c r="PY245" s="9" t="n">
        <v>13.96000000000004</v>
      </c>
      <c r="QC245" s="10" t="n">
        <v>46231</v>
      </c>
      <c r="QE245" s="9" t="n">
        <v>0</v>
      </c>
      <c r="QG245" s="9" t="n">
        <v>0</v>
      </c>
      <c r="QH245" s="9" t="n">
        <v>1120</v>
      </c>
      <c r="QL245" s="10" t="n">
        <v>46231</v>
      </c>
      <c r="QN245" s="9" t="n">
        <v>0</v>
      </c>
      <c r="QP245" s="9" t="n">
        <v>0</v>
      </c>
      <c r="QQ245" s="9" t="n">
        <v>0</v>
      </c>
      <c r="QU245" s="10" t="n">
        <v>46231</v>
      </c>
      <c r="QW245" s="9" t="n">
        <v>0</v>
      </c>
      <c r="QY245" s="9" t="n">
        <v>0</v>
      </c>
      <c r="QZ245" s="9" t="n">
        <v>207.6</v>
      </c>
      <c r="RD245" s="10" t="n">
        <v>46231</v>
      </c>
      <c r="RF245" s="9" t="n">
        <v>0</v>
      </c>
      <c r="RH245" s="9" t="n">
        <v>0</v>
      </c>
      <c r="RI245" s="9" t="n">
        <v>147.04</v>
      </c>
      <c r="RM245" s="10" t="n">
        <v>46231</v>
      </c>
      <c r="RO245" s="9" t="n">
        <v>0</v>
      </c>
      <c r="RQ245" s="9" t="n">
        <v>0</v>
      </c>
      <c r="RR245" s="9" t="n">
        <v>46.8</v>
      </c>
      <c r="RV245" s="10" t="n">
        <v>46231</v>
      </c>
      <c r="RX245" s="9" t="n">
        <v>0</v>
      </c>
      <c r="RZ245" s="9" t="n">
        <v>0</v>
      </c>
      <c r="SA245" s="9" t="n">
        <v>0</v>
      </c>
      <c r="SE245" s="10" t="n">
        <v>46231</v>
      </c>
      <c r="SG245" s="9" t="n">
        <v>0</v>
      </c>
      <c r="SI245" s="9" t="n">
        <v>0</v>
      </c>
      <c r="SJ245" s="9" t="n">
        <v>24.2</v>
      </c>
      <c r="SN245" s="10" t="n">
        <v>46231</v>
      </c>
      <c r="SP245" s="9" t="n">
        <v>0</v>
      </c>
      <c r="SR245" s="9" t="n">
        <v>0</v>
      </c>
      <c r="SS245" s="9" t="n">
        <v>32</v>
      </c>
      <c r="SW245" s="10" t="n">
        <v>46231</v>
      </c>
      <c r="SY245" s="9" t="n">
        <v>0</v>
      </c>
      <c r="TA245" s="9" t="n">
        <v>0</v>
      </c>
      <c r="TB245" s="9" t="n">
        <v>0</v>
      </c>
      <c r="TF245" s="10" t="n">
        <v>46231</v>
      </c>
      <c r="TH245" s="9" t="n">
        <v>0</v>
      </c>
      <c r="TJ245" s="9" t="n">
        <v>0</v>
      </c>
      <c r="TK245" s="9" t="n">
        <v>0</v>
      </c>
      <c r="TO245" s="10" t="n">
        <v>46231</v>
      </c>
      <c r="TQ245" s="9" t="n">
        <v>0</v>
      </c>
      <c r="TS245" s="9" t="n">
        <v>0</v>
      </c>
      <c r="TT245" s="9" t="n">
        <v>10.40000000000001</v>
      </c>
      <c r="TX245" s="10" t="n">
        <v>46231</v>
      </c>
      <c r="TZ245" s="9" t="n">
        <v>0</v>
      </c>
      <c r="UB245" s="9" t="n">
        <v>0</v>
      </c>
      <c r="UC245" s="9" t="n">
        <v>46.79999999999998</v>
      </c>
      <c r="UG245" s="10" t="n">
        <v>46231</v>
      </c>
      <c r="UI245" s="9" t="n">
        <v>0</v>
      </c>
      <c r="UK245" s="9" t="n">
        <v>0</v>
      </c>
      <c r="UL245" s="9" t="n">
        <v>204</v>
      </c>
      <c r="UP245" s="10" t="n">
        <v>46231</v>
      </c>
      <c r="UR245" s="9" t="n">
        <v>0</v>
      </c>
      <c r="UT245" s="9" t="n">
        <v>0</v>
      </c>
      <c r="UU245" s="9" t="n">
        <v>202.5</v>
      </c>
      <c r="UY245" s="10" t="n">
        <v>46231</v>
      </c>
      <c r="VA245" s="9" t="n">
        <v>0</v>
      </c>
      <c r="VC245" s="9" t="n">
        <v>0</v>
      </c>
      <c r="VD245" s="9" t="n">
        <v>41.60000000000002</v>
      </c>
      <c r="VH245" s="10" t="n">
        <v>46231</v>
      </c>
      <c r="VJ245" s="9" t="n">
        <v>0</v>
      </c>
      <c r="VL245" s="9" t="n">
        <v>0</v>
      </c>
      <c r="VM245" s="9" t="n">
        <v>210</v>
      </c>
      <c r="VQ245" s="10" t="n">
        <v>46231</v>
      </c>
      <c r="VS245" s="9" t="n">
        <v>0</v>
      </c>
      <c r="VU245" s="9" t="n">
        <v>0</v>
      </c>
      <c r="VV245" s="9" t="n">
        <v>0</v>
      </c>
      <c r="VZ245" s="10" t="n">
        <v>46231</v>
      </c>
      <c r="WB245" s="9" t="n">
        <v>0</v>
      </c>
      <c r="WD245" s="9" t="n">
        <v>0</v>
      </c>
      <c r="WE245" s="9" t="n">
        <v>0</v>
      </c>
      <c r="WI245" s="10" t="n">
        <v>46231</v>
      </c>
      <c r="WK245" s="9" t="n">
        <v>0</v>
      </c>
      <c r="WM245" s="9" t="n">
        <v>0</v>
      </c>
      <c r="WN245" s="9" t="n">
        <v>1057</v>
      </c>
      <c r="WR245" s="10" t="n">
        <v>46231</v>
      </c>
      <c r="WT245" s="9" t="n">
        <v>0</v>
      </c>
      <c r="WV245" s="9" t="n">
        <v>0</v>
      </c>
      <c r="WW245" s="9" t="n">
        <v>0</v>
      </c>
      <c r="XA245" s="10" t="n">
        <v>46231</v>
      </c>
      <c r="XC245" s="9" t="n">
        <v>0</v>
      </c>
      <c r="XE245" s="9" t="n">
        <v>0</v>
      </c>
      <c r="XF245" s="9" t="n">
        <v>7507</v>
      </c>
      <c r="XJ245" s="10" t="n">
        <v>46231</v>
      </c>
      <c r="XL245" s="9" t="n">
        <v>0</v>
      </c>
      <c r="XN245" s="9" t="n">
        <v>0</v>
      </c>
      <c r="XO245" s="9" t="n">
        <v>4252</v>
      </c>
      <c r="XS245" s="10" t="n">
        <v>46231</v>
      </c>
      <c r="XU245" s="9" t="n">
        <v>0</v>
      </c>
      <c r="XW245" s="9" t="n">
        <v>0</v>
      </c>
      <c r="XX245" s="9" t="n">
        <v>2179</v>
      </c>
      <c r="YB245" s="10" t="n">
        <v>46231</v>
      </c>
      <c r="YD245" s="9" t="n">
        <v>0</v>
      </c>
      <c r="YF245" s="9" t="n">
        <v>0</v>
      </c>
      <c r="YG245" s="9" t="n">
        <v>4019</v>
      </c>
      <c r="YK245" s="10" t="n">
        <v>46231</v>
      </c>
      <c r="YM245" s="9" t="n">
        <v>0</v>
      </c>
      <c r="YO245" s="9" t="n">
        <v>0</v>
      </c>
      <c r="YP245" s="9" t="n">
        <v>0</v>
      </c>
      <c r="YT245" s="10" t="n">
        <v>46231</v>
      </c>
      <c r="YV245" s="9" t="n">
        <v>0</v>
      </c>
      <c r="YX245" s="9" t="n">
        <v>0</v>
      </c>
      <c r="YY245" s="9" t="n">
        <v>0</v>
      </c>
      <c r="ZC245" s="10" t="n">
        <v>46231</v>
      </c>
      <c r="ZE245" s="9" t="n">
        <v>0</v>
      </c>
      <c r="ZG245" s="9" t="n">
        <v>0</v>
      </c>
      <c r="ZH245" s="9" t="n">
        <v>0</v>
      </c>
      <c r="ZL245" s="10" t="n">
        <v>46231</v>
      </c>
      <c r="ZN245" s="9" t="n">
        <v>0</v>
      </c>
      <c r="ZP245" s="9" t="n">
        <v>0</v>
      </c>
      <c r="ZQ245" s="9" t="n">
        <v>0</v>
      </c>
      <c r="ZU245" s="10" t="n">
        <v>46231</v>
      </c>
      <c r="ZW245" s="9" t="n">
        <v>0</v>
      </c>
      <c r="ZY245" s="9" t="n">
        <v>0</v>
      </c>
      <c r="ZZ245" s="9" t="n">
        <v>0</v>
      </c>
      <c r="AAD245" s="10" t="n">
        <v>46231</v>
      </c>
      <c r="AAF245" s="9" t="n">
        <v>0</v>
      </c>
      <c r="AAH245" s="9" t="n">
        <v>0</v>
      </c>
      <c r="AAI245" s="9" t="n">
        <v>0</v>
      </c>
      <c r="AAM245" s="10" t="n">
        <v>46231</v>
      </c>
      <c r="AAO245" s="9" t="n">
        <v>0</v>
      </c>
      <c r="AAQ245" s="9" t="n">
        <v>0</v>
      </c>
      <c r="AAR245" s="9" t="n">
        <v>0</v>
      </c>
      <c r="AAV245" s="10" t="n">
        <v>46231</v>
      </c>
      <c r="AAX245" s="9" t="n">
        <v>0</v>
      </c>
      <c r="AAZ245" s="9" t="n">
        <v>0</v>
      </c>
      <c r="ABA245" s="9" t="n">
        <v>0</v>
      </c>
      <c r="ABE245" s="10" t="n">
        <v>46231</v>
      </c>
      <c r="ABG245" s="9" t="n">
        <v>0</v>
      </c>
      <c r="ABI245" s="9" t="n">
        <v>0</v>
      </c>
      <c r="ABJ245" s="9" t="n">
        <v>0</v>
      </c>
    </row>
    <row r="246">
      <c r="C246" s="10" t="n">
        <v>46232</v>
      </c>
      <c r="D246" s="9" t="n">
        <v>51150</v>
      </c>
      <c r="E246" s="9" t="n">
        <v>0</v>
      </c>
      <c r="G246" s="9" t="n">
        <v>0</v>
      </c>
      <c r="H246" s="9" t="n">
        <v>211116</v>
      </c>
      <c r="L246" s="10" t="n">
        <v>46232</v>
      </c>
      <c r="N246" s="9" t="n">
        <v>0</v>
      </c>
      <c r="P246" s="9" t="n">
        <v>0</v>
      </c>
      <c r="Q246" s="9" t="n">
        <v>13702.60000000007</v>
      </c>
      <c r="U246" s="10" t="n">
        <v>46232</v>
      </c>
      <c r="W246" s="9" t="n">
        <v>0</v>
      </c>
      <c r="Y246" s="9" t="n">
        <v>0</v>
      </c>
      <c r="Z246" s="9" t="n">
        <v>27925.09999999997</v>
      </c>
      <c r="AD246" s="10" t="n">
        <v>46232</v>
      </c>
      <c r="AF246" s="9" t="n">
        <v>0</v>
      </c>
      <c r="AG246" s="9" t="n">
        <v>27350</v>
      </c>
      <c r="AH246" s="9" t="n">
        <v>-27350</v>
      </c>
      <c r="AI246" s="9" t="n">
        <v>4522.200000000019</v>
      </c>
      <c r="AM246" s="10" t="n">
        <v>46232</v>
      </c>
      <c r="AO246" s="9" t="n">
        <v>0</v>
      </c>
      <c r="AQ246" s="9" t="n">
        <v>0</v>
      </c>
      <c r="AR246" s="9" t="n">
        <v>0</v>
      </c>
      <c r="AV246" s="10" t="n">
        <v>46232</v>
      </c>
      <c r="AX246" s="9" t="n">
        <v>0</v>
      </c>
      <c r="AZ246" s="9" t="n">
        <v>0</v>
      </c>
      <c r="BA246" s="9" t="n">
        <v>124.9999999999952</v>
      </c>
      <c r="BE246" s="10" t="n">
        <v>46232</v>
      </c>
      <c r="BG246" s="9" t="n">
        <v>0</v>
      </c>
      <c r="BI246" s="9" t="n">
        <v>0</v>
      </c>
      <c r="BJ246" s="9" t="n">
        <v>27636.7</v>
      </c>
      <c r="BN246" s="10" t="n">
        <v>46232</v>
      </c>
      <c r="BP246" s="9" t="n">
        <v>0</v>
      </c>
      <c r="BR246" s="9" t="n">
        <v>0</v>
      </c>
      <c r="BS246" s="9" t="n">
        <v>0</v>
      </c>
      <c r="BV246" s="9" t="inlineStr">
        <is>
          <t>NOT SURE HE CORRECT ?</t>
        </is>
      </c>
      <c r="BW246" s="10" t="n">
        <v>46232</v>
      </c>
      <c r="BY246" s="9" t="n">
        <v>0</v>
      </c>
      <c r="BZ246" s="9" t="n">
        <v>1476.79</v>
      </c>
      <c r="CA246" s="9" t="n">
        <v>-1476.79</v>
      </c>
      <c r="CB246" s="9" t="n">
        <v>3822.849999999999</v>
      </c>
      <c r="CC246" s="9" t="inlineStr">
        <is>
          <t>NEED RAMESH REVISED THE HB EXCEL FILE</t>
        </is>
      </c>
      <c r="CF246" s="10" t="n">
        <v>46232</v>
      </c>
      <c r="CH246" s="9" t="n">
        <v>0</v>
      </c>
      <c r="CJ246" s="9" t="n">
        <v>0</v>
      </c>
      <c r="CK246" s="9" t="n">
        <v>-9191.259999999998</v>
      </c>
      <c r="CO246" s="10" t="n">
        <v>46232</v>
      </c>
      <c r="CQ246" s="9" t="n">
        <v>0</v>
      </c>
      <c r="CS246" s="9" t="n">
        <v>0</v>
      </c>
      <c r="CT246" s="9" t="n">
        <v>0</v>
      </c>
      <c r="CX246" s="10" t="n">
        <v>46232</v>
      </c>
      <c r="CZ246" s="9" t="n">
        <v>0</v>
      </c>
      <c r="DB246" s="9" t="n">
        <v>0</v>
      </c>
      <c r="DC246" s="9" t="n">
        <v>28749.90000000001</v>
      </c>
      <c r="DG246" s="10" t="n">
        <v>46232</v>
      </c>
      <c r="DI246" s="9" t="n">
        <v>0</v>
      </c>
      <c r="DJ246" s="9" t="n">
        <v>13500</v>
      </c>
      <c r="DK246" s="9" t="n">
        <v>-13500</v>
      </c>
      <c r="DL246" s="9" t="n">
        <v>18782.29999999998</v>
      </c>
      <c r="DP246" s="10" t="n">
        <v>46232</v>
      </c>
      <c r="DR246" s="9" t="n">
        <v>0</v>
      </c>
      <c r="DT246" s="9" t="n">
        <v>0</v>
      </c>
      <c r="DU246" s="9" t="n">
        <v>5800</v>
      </c>
      <c r="DY246" s="10" t="n">
        <v>46232</v>
      </c>
      <c r="EA246" s="9" t="n">
        <v>0</v>
      </c>
      <c r="EC246" s="9" t="n">
        <v>0</v>
      </c>
      <c r="ED246" s="9" t="n">
        <v>0</v>
      </c>
      <c r="EH246" s="10" t="n">
        <v>46232</v>
      </c>
      <c r="EJ246" s="9" t="n">
        <v>0</v>
      </c>
      <c r="EL246" s="9" t="n">
        <v>0</v>
      </c>
      <c r="EM246" s="9" t="n">
        <v>0</v>
      </c>
      <c r="EQ246" s="10" t="n">
        <v>46232</v>
      </c>
      <c r="ES246" s="9" t="n">
        <v>0</v>
      </c>
      <c r="EU246" s="9" t="n">
        <v>0</v>
      </c>
      <c r="EV246" s="9" t="n">
        <v>0</v>
      </c>
      <c r="EZ246" s="10" t="n">
        <v>46232</v>
      </c>
      <c r="FB246" s="9" t="n">
        <v>0</v>
      </c>
      <c r="FD246" s="9" t="n">
        <v>0</v>
      </c>
      <c r="FE246" s="9" t="n">
        <v>0</v>
      </c>
      <c r="FI246" s="10" t="n">
        <v>46232</v>
      </c>
      <c r="FK246" s="9" t="n">
        <v>0</v>
      </c>
      <c r="FM246" s="9" t="n">
        <v>0</v>
      </c>
      <c r="FN246" s="9" t="n">
        <v>0</v>
      </c>
      <c r="FR246" s="10" t="n">
        <v>46232</v>
      </c>
      <c r="FT246" s="9" t="n">
        <v>0</v>
      </c>
      <c r="FV246" s="9" t="n">
        <v>0</v>
      </c>
      <c r="FW246" s="9" t="n">
        <v>540</v>
      </c>
      <c r="GA246" s="10" t="n">
        <v>46232</v>
      </c>
      <c r="GC246" s="9" t="n">
        <v>0</v>
      </c>
      <c r="GE246" s="9" t="n">
        <v>0</v>
      </c>
      <c r="GF246" s="9" t="n">
        <v>960</v>
      </c>
      <c r="GJ246" s="10" t="n">
        <v>46232</v>
      </c>
      <c r="GL246" s="9" t="n">
        <v>0</v>
      </c>
      <c r="GN246" s="9" t="n">
        <v>0</v>
      </c>
      <c r="GO246" s="9" t="n">
        <v>1760</v>
      </c>
      <c r="GS246" s="10" t="n">
        <v>46232</v>
      </c>
      <c r="GU246" s="9" t="n">
        <v>0</v>
      </c>
      <c r="GW246" s="9" t="n">
        <v>0</v>
      </c>
      <c r="GX246" s="9" t="n">
        <v>400</v>
      </c>
      <c r="HB246" s="10" t="n">
        <v>46232</v>
      </c>
      <c r="HD246" s="9" t="n">
        <v>0</v>
      </c>
      <c r="HF246" s="9" t="n">
        <v>0</v>
      </c>
      <c r="HG246" s="9" t="n">
        <v>3600</v>
      </c>
      <c r="HK246" s="10" t="n">
        <v>46232</v>
      </c>
      <c r="HM246" s="9" t="n">
        <v>0</v>
      </c>
      <c r="HO246" s="9" t="n">
        <v>0</v>
      </c>
      <c r="HP246" s="9" t="n">
        <v>0</v>
      </c>
      <c r="HU246" s="10" t="n">
        <v>46232</v>
      </c>
      <c r="HW246" s="9" t="n">
        <v>0</v>
      </c>
      <c r="HY246" s="9" t="n">
        <v>0</v>
      </c>
      <c r="HZ246" s="9" t="n">
        <v>5920</v>
      </c>
      <c r="ID246" s="10" t="n">
        <v>46232</v>
      </c>
      <c r="IF246" s="9" t="n">
        <v>0</v>
      </c>
      <c r="IH246" s="9" t="n">
        <v>0</v>
      </c>
      <c r="II246" s="9" t="n">
        <v>720</v>
      </c>
      <c r="IM246" s="10" t="n">
        <v>46232</v>
      </c>
      <c r="IO246" s="9" t="n">
        <v>0</v>
      </c>
      <c r="IQ246" s="9" t="n">
        <v>0</v>
      </c>
      <c r="IR246" s="9" t="n">
        <v>3280</v>
      </c>
      <c r="IV246" s="10" t="n">
        <v>46232</v>
      </c>
      <c r="IX246" s="9" t="n">
        <v>0</v>
      </c>
      <c r="IZ246" s="9" t="n">
        <v>0</v>
      </c>
      <c r="JA246" s="9" t="n">
        <v>4960</v>
      </c>
      <c r="JE246" s="10" t="n">
        <v>46232</v>
      </c>
      <c r="JG246" s="9" t="n">
        <v>0</v>
      </c>
      <c r="JI246" s="9" t="n">
        <v>0</v>
      </c>
      <c r="JJ246" s="9" t="n">
        <v>0</v>
      </c>
      <c r="JN246" s="10" t="n">
        <v>46232</v>
      </c>
      <c r="JP246" s="9" t="n">
        <v>0</v>
      </c>
      <c r="JR246" s="9" t="n">
        <v>0</v>
      </c>
      <c r="JS246" s="9" t="n">
        <v>0</v>
      </c>
      <c r="JW246" s="10" t="n">
        <v>46232</v>
      </c>
      <c r="JY246" s="9" t="n">
        <v>0</v>
      </c>
      <c r="KA246" s="9" t="n">
        <v>0</v>
      </c>
      <c r="KB246" s="9" t="n">
        <v>2540</v>
      </c>
      <c r="KF246" s="10" t="n">
        <v>46232</v>
      </c>
      <c r="KH246" s="9" t="n">
        <v>0</v>
      </c>
      <c r="KJ246" s="9" t="n">
        <v>0</v>
      </c>
      <c r="KK246" s="9" t="n">
        <v>2359.5</v>
      </c>
      <c r="KO246" s="10" t="n">
        <v>46232</v>
      </c>
      <c r="KQ246" s="9" t="n">
        <v>0</v>
      </c>
      <c r="KS246" s="9" t="n">
        <v>0</v>
      </c>
      <c r="KT246" s="9" t="n">
        <v>1890</v>
      </c>
      <c r="KX246" s="10" t="n">
        <v>46232</v>
      </c>
      <c r="KZ246" s="9" t="n">
        <v>0</v>
      </c>
      <c r="LB246" s="9" t="n">
        <v>0</v>
      </c>
      <c r="LC246" s="9" t="n">
        <v>3690</v>
      </c>
      <c r="LG246" s="10" t="n">
        <v>46232</v>
      </c>
      <c r="LI246" s="9" t="n">
        <v>0</v>
      </c>
      <c r="LK246" s="9" t="n">
        <v>0</v>
      </c>
      <c r="LL246" s="9" t="n">
        <v>4000</v>
      </c>
      <c r="LP246" s="10" t="n">
        <v>46232</v>
      </c>
      <c r="LR246" s="9" t="n">
        <v>0</v>
      </c>
      <c r="LT246" s="9" t="n">
        <v>0</v>
      </c>
      <c r="LU246" s="9" t="n">
        <v>0</v>
      </c>
      <c r="LY246" s="10" t="n">
        <v>46232</v>
      </c>
      <c r="MA246" s="9" t="n">
        <v>0</v>
      </c>
      <c r="MC246" s="9" t="n">
        <v>0</v>
      </c>
      <c r="MD246" s="9" t="n">
        <v>0</v>
      </c>
      <c r="MH246" s="10" t="n">
        <v>46232</v>
      </c>
      <c r="MJ246" s="9" t="n">
        <v>0</v>
      </c>
      <c r="ML246" s="9" t="n">
        <v>0</v>
      </c>
      <c r="MM246" s="9" t="n">
        <v>0</v>
      </c>
      <c r="MQ246" s="10" t="n">
        <v>46232</v>
      </c>
      <c r="MS246" s="9" t="n">
        <v>0</v>
      </c>
      <c r="MU246" s="9" t="n">
        <v>0</v>
      </c>
      <c r="MV246" s="9" t="n">
        <v>2346</v>
      </c>
      <c r="MZ246" s="10" t="n">
        <v>46232</v>
      </c>
      <c r="NB246" s="9" t="n">
        <v>0</v>
      </c>
      <c r="ND246" s="9" t="n">
        <v>0</v>
      </c>
      <c r="NE246" s="9" t="n">
        <v>0</v>
      </c>
      <c r="NI246" s="10" t="n">
        <v>46232</v>
      </c>
      <c r="NK246" s="9" t="n">
        <v>0</v>
      </c>
      <c r="NM246" s="9" t="n">
        <v>0</v>
      </c>
      <c r="NN246" s="9" t="n">
        <v>1127</v>
      </c>
      <c r="NR246" s="10" t="n">
        <v>46232</v>
      </c>
      <c r="NT246" s="9" t="n">
        <v>0</v>
      </c>
      <c r="NV246" s="9" t="n">
        <v>0</v>
      </c>
      <c r="NW246" s="9" t="n">
        <v>3112</v>
      </c>
      <c r="OA246" s="10" t="n">
        <v>46232</v>
      </c>
      <c r="OC246" s="9" t="n">
        <v>0</v>
      </c>
      <c r="OE246" s="9" t="n">
        <v>0</v>
      </c>
      <c r="OF246" s="9" t="n">
        <v>1680.5</v>
      </c>
      <c r="OJ246" s="10" t="n">
        <v>46232</v>
      </c>
      <c r="OL246" s="9" t="n">
        <v>0</v>
      </c>
      <c r="ON246" s="9" t="n">
        <v>0</v>
      </c>
      <c r="OO246" s="9" t="n">
        <v>0</v>
      </c>
      <c r="OS246" s="10" t="n">
        <v>46232</v>
      </c>
      <c r="OU246" s="9" t="n">
        <v>0</v>
      </c>
      <c r="OW246" s="9" t="n">
        <v>0</v>
      </c>
      <c r="OX246" s="9" t="n">
        <v>1482</v>
      </c>
      <c r="PB246" s="10" t="n">
        <v>46232</v>
      </c>
      <c r="PD246" s="9" t="n">
        <v>0</v>
      </c>
      <c r="PF246" s="9" t="n">
        <v>0</v>
      </c>
      <c r="PG246" s="9" t="n">
        <v>0</v>
      </c>
      <c r="PK246" s="10" t="n">
        <v>46232</v>
      </c>
      <c r="PM246" s="9" t="n">
        <v>0</v>
      </c>
      <c r="PO246" s="9" t="n">
        <v>0</v>
      </c>
      <c r="PP246" s="9" t="n">
        <v>100</v>
      </c>
      <c r="PT246" s="10" t="n">
        <v>46232</v>
      </c>
      <c r="PV246" s="9" t="n">
        <v>0</v>
      </c>
      <c r="PX246" s="9" t="n">
        <v>0</v>
      </c>
      <c r="PY246" s="9" t="n">
        <v>13.96000000000004</v>
      </c>
      <c r="QC246" s="10" t="n">
        <v>46232</v>
      </c>
      <c r="QD246" s="9" t="n">
        <v>484</v>
      </c>
      <c r="QE246" s="9" t="n">
        <v>0</v>
      </c>
      <c r="QG246" s="9" t="n">
        <v>0</v>
      </c>
      <c r="QH246" s="9" t="n">
        <v>1604</v>
      </c>
      <c r="QL246" s="10" t="n">
        <v>46232</v>
      </c>
      <c r="QN246" s="9" t="n">
        <v>0</v>
      </c>
      <c r="QP246" s="9" t="n">
        <v>0</v>
      </c>
      <c r="QQ246" s="9" t="n">
        <v>0</v>
      </c>
      <c r="QU246" s="10" t="n">
        <v>46232</v>
      </c>
      <c r="QW246" s="9" t="n">
        <v>0</v>
      </c>
      <c r="QY246" s="9" t="n">
        <v>0</v>
      </c>
      <c r="QZ246" s="9" t="n">
        <v>207.6</v>
      </c>
      <c r="RD246" s="10" t="n">
        <v>46232</v>
      </c>
      <c r="RF246" s="9" t="n">
        <v>0</v>
      </c>
      <c r="RH246" s="9" t="n">
        <v>0</v>
      </c>
      <c r="RI246" s="9" t="n">
        <v>147.04</v>
      </c>
      <c r="RM246" s="10" t="n">
        <v>46232</v>
      </c>
      <c r="RO246" s="9" t="n">
        <v>0</v>
      </c>
      <c r="RQ246" s="9" t="n">
        <v>0</v>
      </c>
      <c r="RR246" s="9" t="n">
        <v>46.8</v>
      </c>
      <c r="RV246" s="10" t="n">
        <v>46232</v>
      </c>
      <c r="RX246" s="9" t="n">
        <v>0</v>
      </c>
      <c r="RZ246" s="9" t="n">
        <v>0</v>
      </c>
      <c r="SA246" s="9" t="n">
        <v>0</v>
      </c>
      <c r="SE246" s="10" t="n">
        <v>46232</v>
      </c>
      <c r="SG246" s="9" t="n">
        <v>0</v>
      </c>
      <c r="SI246" s="9" t="n">
        <v>0</v>
      </c>
      <c r="SJ246" s="9" t="n">
        <v>24.2</v>
      </c>
      <c r="SN246" s="10" t="n">
        <v>46232</v>
      </c>
      <c r="SP246" s="9" t="n">
        <v>0</v>
      </c>
      <c r="SR246" s="9" t="n">
        <v>0</v>
      </c>
      <c r="SS246" s="9" t="n">
        <v>32</v>
      </c>
      <c r="SW246" s="10" t="n">
        <v>46232</v>
      </c>
      <c r="SY246" s="9" t="n">
        <v>0</v>
      </c>
      <c r="TA246" s="9" t="n">
        <v>0</v>
      </c>
      <c r="TB246" s="9" t="n">
        <v>0</v>
      </c>
      <c r="TF246" s="10" t="n">
        <v>46232</v>
      </c>
      <c r="TH246" s="9" t="n">
        <v>0</v>
      </c>
      <c r="TJ246" s="9" t="n">
        <v>0</v>
      </c>
      <c r="TK246" s="9" t="n">
        <v>0</v>
      </c>
      <c r="TO246" s="10" t="n">
        <v>46232</v>
      </c>
      <c r="TQ246" s="9" t="n">
        <v>0</v>
      </c>
      <c r="TS246" s="9" t="n">
        <v>0</v>
      </c>
      <c r="TT246" s="9" t="n">
        <v>10.40000000000001</v>
      </c>
      <c r="TX246" s="10" t="n">
        <v>46232</v>
      </c>
      <c r="TZ246" s="9" t="n">
        <v>0</v>
      </c>
      <c r="UB246" s="9" t="n">
        <v>0</v>
      </c>
      <c r="UC246" s="9" t="n">
        <v>46.79999999999998</v>
      </c>
      <c r="UG246" s="10" t="n">
        <v>46232</v>
      </c>
      <c r="UI246" s="9" t="n">
        <v>0</v>
      </c>
      <c r="UK246" s="9" t="n">
        <v>0</v>
      </c>
      <c r="UL246" s="9" t="n">
        <v>204</v>
      </c>
      <c r="UP246" s="10" t="n">
        <v>46232</v>
      </c>
      <c r="UR246" s="9" t="n">
        <v>0</v>
      </c>
      <c r="UT246" s="9" t="n">
        <v>0</v>
      </c>
      <c r="UU246" s="9" t="n">
        <v>202.5</v>
      </c>
      <c r="UY246" s="10" t="n">
        <v>46232</v>
      </c>
      <c r="VA246" s="9" t="n">
        <v>0</v>
      </c>
      <c r="VC246" s="9" t="n">
        <v>0</v>
      </c>
      <c r="VD246" s="9" t="n">
        <v>41.60000000000002</v>
      </c>
      <c r="VH246" s="10" t="n">
        <v>46232</v>
      </c>
      <c r="VJ246" s="9" t="n">
        <v>0</v>
      </c>
      <c r="VL246" s="9" t="n">
        <v>0</v>
      </c>
      <c r="VM246" s="9" t="n">
        <v>210</v>
      </c>
      <c r="VQ246" s="10" t="n">
        <v>46232</v>
      </c>
      <c r="VS246" s="9" t="n">
        <v>0</v>
      </c>
      <c r="VU246" s="9" t="n">
        <v>0</v>
      </c>
      <c r="VV246" s="9" t="n">
        <v>0</v>
      </c>
      <c r="VZ246" s="10" t="n">
        <v>46232</v>
      </c>
      <c r="WB246" s="9" t="n">
        <v>0</v>
      </c>
      <c r="WD246" s="9" t="n">
        <v>0</v>
      </c>
      <c r="WE246" s="9" t="n">
        <v>0</v>
      </c>
      <c r="WI246" s="10" t="n">
        <v>46232</v>
      </c>
      <c r="WK246" s="9" t="n">
        <v>0</v>
      </c>
      <c r="WM246" s="9" t="n">
        <v>0</v>
      </c>
      <c r="WN246" s="9" t="n">
        <v>1057</v>
      </c>
      <c r="WR246" s="10" t="n">
        <v>46232</v>
      </c>
      <c r="WT246" s="9" t="n">
        <v>0</v>
      </c>
      <c r="WV246" s="9" t="n">
        <v>0</v>
      </c>
      <c r="WW246" s="9" t="n">
        <v>0</v>
      </c>
      <c r="XA246" s="10" t="n">
        <v>46232</v>
      </c>
      <c r="XC246" s="9" t="n">
        <v>0</v>
      </c>
      <c r="XE246" s="9" t="n">
        <v>0</v>
      </c>
      <c r="XF246" s="9" t="n">
        <v>7507</v>
      </c>
      <c r="XJ246" s="10" t="n">
        <v>46232</v>
      </c>
      <c r="XL246" s="9" t="n">
        <v>0</v>
      </c>
      <c r="XN246" s="9" t="n">
        <v>0</v>
      </c>
      <c r="XO246" s="9" t="n">
        <v>4252</v>
      </c>
      <c r="XS246" s="10" t="n">
        <v>46232</v>
      </c>
      <c r="XU246" s="9" t="n">
        <v>0</v>
      </c>
      <c r="XW246" s="9" t="n">
        <v>0</v>
      </c>
      <c r="XX246" s="9" t="n">
        <v>2179</v>
      </c>
      <c r="YB246" s="10" t="n">
        <v>46232</v>
      </c>
      <c r="YD246" s="9" t="n">
        <v>0</v>
      </c>
      <c r="YF246" s="9" t="n">
        <v>0</v>
      </c>
      <c r="YG246" s="9" t="n">
        <v>4019</v>
      </c>
      <c r="YK246" s="10" t="n">
        <v>46232</v>
      </c>
      <c r="YM246" s="9" t="n">
        <v>0</v>
      </c>
      <c r="YO246" s="9" t="n">
        <v>0</v>
      </c>
      <c r="YP246" s="9" t="n">
        <v>0</v>
      </c>
      <c r="YT246" s="10" t="n">
        <v>46232</v>
      </c>
      <c r="YV246" s="9" t="n">
        <v>0</v>
      </c>
      <c r="YX246" s="9" t="n">
        <v>0</v>
      </c>
      <c r="YY246" s="9" t="n">
        <v>0</v>
      </c>
      <c r="ZC246" s="10" t="n">
        <v>46232</v>
      </c>
      <c r="ZE246" s="9" t="n">
        <v>0</v>
      </c>
      <c r="ZG246" s="9" t="n">
        <v>0</v>
      </c>
      <c r="ZH246" s="9" t="n">
        <v>0</v>
      </c>
      <c r="ZL246" s="10" t="n">
        <v>46232</v>
      </c>
      <c r="ZN246" s="9" t="n">
        <v>0</v>
      </c>
      <c r="ZP246" s="9" t="n">
        <v>0</v>
      </c>
      <c r="ZQ246" s="9" t="n">
        <v>0</v>
      </c>
      <c r="ZU246" s="10" t="n">
        <v>46232</v>
      </c>
      <c r="ZW246" s="9" t="n">
        <v>0</v>
      </c>
      <c r="ZY246" s="9" t="n">
        <v>0</v>
      </c>
      <c r="ZZ246" s="9" t="n">
        <v>0</v>
      </c>
      <c r="AAD246" s="10" t="n">
        <v>46232</v>
      </c>
      <c r="AAF246" s="9" t="n">
        <v>0</v>
      </c>
      <c r="AAH246" s="9" t="n">
        <v>0</v>
      </c>
      <c r="AAI246" s="9" t="n">
        <v>0</v>
      </c>
      <c r="AAM246" s="10" t="n">
        <v>46232</v>
      </c>
      <c r="AAO246" s="9" t="n">
        <v>0</v>
      </c>
      <c r="AAQ246" s="9" t="n">
        <v>0</v>
      </c>
      <c r="AAR246" s="9" t="n">
        <v>0</v>
      </c>
      <c r="AAV246" s="10" t="n">
        <v>46232</v>
      </c>
      <c r="AAX246" s="9" t="n">
        <v>0</v>
      </c>
      <c r="AAZ246" s="9" t="n">
        <v>0</v>
      </c>
      <c r="ABA246" s="9" t="n">
        <v>0</v>
      </c>
      <c r="ABE246" s="10" t="n">
        <v>46232</v>
      </c>
      <c r="ABG246" s="9" t="n">
        <v>0</v>
      </c>
      <c r="ABI246" s="9" t="n">
        <v>0</v>
      </c>
      <c r="ABJ246" s="9" t="n">
        <v>0</v>
      </c>
    </row>
    <row r="247">
      <c r="C247" s="10" t="n">
        <v>46233</v>
      </c>
      <c r="D247" s="9" t="n">
        <v>37250</v>
      </c>
      <c r="E247" s="9" t="n">
        <v>0</v>
      </c>
      <c r="F247" s="9" t="n">
        <v>11064.8</v>
      </c>
      <c r="G247" s="9" t="n">
        <v>-11064.8</v>
      </c>
      <c r="H247" s="9" t="n">
        <v>237301.2</v>
      </c>
      <c r="L247" s="10" t="n">
        <v>46233</v>
      </c>
      <c r="M247" s="9" t="n">
        <v>25300</v>
      </c>
      <c r="N247" s="9" t="n">
        <v>0</v>
      </c>
      <c r="O247" s="9" t="n">
        <v>6343.6</v>
      </c>
      <c r="P247" s="9" t="n">
        <v>-6343.6</v>
      </c>
      <c r="Q247" s="9" t="n">
        <v>32659.00000000007</v>
      </c>
      <c r="U247" s="10" t="n">
        <v>46233</v>
      </c>
      <c r="V247" s="9" t="n">
        <v>20050</v>
      </c>
      <c r="W247" s="9" t="n">
        <v>0</v>
      </c>
      <c r="X247" s="9" t="n">
        <v>999.5</v>
      </c>
      <c r="Y247" s="9" t="n">
        <v>-999.5</v>
      </c>
      <c r="Z247" s="9" t="n">
        <v>46975.59999999997</v>
      </c>
      <c r="AD247" s="10" t="n">
        <v>46233</v>
      </c>
      <c r="AF247" s="9" t="n">
        <v>0</v>
      </c>
      <c r="AH247" s="9" t="n">
        <v>0</v>
      </c>
      <c r="AI247" s="9" t="n">
        <v>4522.200000000019</v>
      </c>
      <c r="AM247" s="10" t="n">
        <v>46233</v>
      </c>
      <c r="AO247" s="9" t="n">
        <v>0</v>
      </c>
      <c r="AQ247" s="9" t="n">
        <v>0</v>
      </c>
      <c r="AR247" s="9" t="n">
        <v>0</v>
      </c>
      <c r="AV247" s="10" t="n">
        <v>46233</v>
      </c>
      <c r="AX247" s="9" t="n">
        <v>0</v>
      </c>
      <c r="AZ247" s="9" t="n">
        <v>0</v>
      </c>
      <c r="BA247" s="9" t="n">
        <v>124.9999999999952</v>
      </c>
      <c r="BE247" s="10" t="n">
        <v>46233</v>
      </c>
      <c r="BG247" s="9" t="n">
        <v>0</v>
      </c>
      <c r="BH247" s="9" t="n">
        <v>390.5</v>
      </c>
      <c r="BI247" s="9" t="n">
        <v>-390.5</v>
      </c>
      <c r="BJ247" s="9" t="n">
        <v>27246.2</v>
      </c>
      <c r="BN247" s="10" t="n">
        <v>46233</v>
      </c>
      <c r="BO247" s="9" t="n">
        <v>470</v>
      </c>
      <c r="BP247" s="9" t="n">
        <v>0</v>
      </c>
      <c r="BQ247" s="9" t="n">
        <v>470</v>
      </c>
      <c r="BR247" s="9" t="n">
        <v>-470</v>
      </c>
      <c r="BS247" s="9" t="n">
        <v>0</v>
      </c>
      <c r="BW247" s="10" t="n">
        <v>46233</v>
      </c>
      <c r="BY247" s="9" t="n">
        <v>0</v>
      </c>
      <c r="CA247" s="9" t="n">
        <v>0</v>
      </c>
      <c r="CB247" s="9" t="n">
        <v>3822.849999999999</v>
      </c>
      <c r="CF247" s="10" t="n">
        <v>46233</v>
      </c>
      <c r="CH247" s="9" t="n">
        <v>0</v>
      </c>
      <c r="CJ247" s="9" t="n">
        <v>0</v>
      </c>
      <c r="CK247" s="9" t="n">
        <v>-9191.259999999998</v>
      </c>
      <c r="CO247" s="10" t="n">
        <v>46233</v>
      </c>
      <c r="CQ247" s="9" t="n">
        <v>0</v>
      </c>
      <c r="CS247" s="9" t="n">
        <v>0</v>
      </c>
      <c r="CT247" s="9" t="n">
        <v>0</v>
      </c>
      <c r="CX247" s="10" t="n">
        <v>46233</v>
      </c>
      <c r="CZ247" s="9" t="n">
        <v>0</v>
      </c>
      <c r="DA247" s="9" t="n">
        <v>711.6</v>
      </c>
      <c r="DB247" s="9" t="n">
        <v>-711.6</v>
      </c>
      <c r="DC247" s="9" t="n">
        <v>28038.30000000001</v>
      </c>
      <c r="DG247" s="10" t="n">
        <v>46233</v>
      </c>
      <c r="DI247" s="9" t="n">
        <v>0</v>
      </c>
      <c r="DK247" s="9" t="n">
        <v>0</v>
      </c>
      <c r="DL247" s="9" t="n">
        <v>18782.29999999998</v>
      </c>
      <c r="DP247" s="10" t="n">
        <v>46233</v>
      </c>
      <c r="DR247" s="9" t="n">
        <v>0</v>
      </c>
      <c r="DT247" s="9" t="n">
        <v>0</v>
      </c>
      <c r="DU247" s="9" t="n">
        <v>5800</v>
      </c>
      <c r="DY247" s="10" t="n">
        <v>46233</v>
      </c>
      <c r="EA247" s="9" t="n">
        <v>0</v>
      </c>
      <c r="EC247" s="9" t="n">
        <v>0</v>
      </c>
      <c r="ED247" s="9" t="n">
        <v>0</v>
      </c>
      <c r="EH247" s="10" t="n">
        <v>46233</v>
      </c>
      <c r="EJ247" s="9" t="n">
        <v>0</v>
      </c>
      <c r="EL247" s="9" t="n">
        <v>0</v>
      </c>
      <c r="EM247" s="9" t="n">
        <v>0</v>
      </c>
      <c r="EQ247" s="10" t="n">
        <v>46233</v>
      </c>
      <c r="ES247" s="9" t="n">
        <v>0</v>
      </c>
      <c r="EU247" s="9" t="n">
        <v>0</v>
      </c>
      <c r="EV247" s="9" t="n">
        <v>0</v>
      </c>
      <c r="EZ247" s="10" t="n">
        <v>46233</v>
      </c>
      <c r="FB247" s="9" t="n">
        <v>0</v>
      </c>
      <c r="FD247" s="9" t="n">
        <v>0</v>
      </c>
      <c r="FE247" s="9" t="n">
        <v>0</v>
      </c>
      <c r="FI247" s="10" t="n">
        <v>46233</v>
      </c>
      <c r="FK247" s="9" t="n">
        <v>0</v>
      </c>
      <c r="FM247" s="9" t="n">
        <v>0</v>
      </c>
      <c r="FN247" s="9" t="n">
        <v>0</v>
      </c>
      <c r="FR247" s="10" t="n">
        <v>46233</v>
      </c>
      <c r="FT247" s="9" t="n">
        <v>0</v>
      </c>
      <c r="FV247" s="9" t="n">
        <v>0</v>
      </c>
      <c r="FW247" s="9" t="n">
        <v>540</v>
      </c>
      <c r="GA247" s="10" t="n">
        <v>46233</v>
      </c>
      <c r="GC247" s="9" t="n">
        <v>0</v>
      </c>
      <c r="GE247" s="9" t="n">
        <v>0</v>
      </c>
      <c r="GF247" s="9" t="n">
        <v>960</v>
      </c>
      <c r="GJ247" s="10" t="n">
        <v>46233</v>
      </c>
      <c r="GL247" s="9" t="n">
        <v>0</v>
      </c>
      <c r="GN247" s="9" t="n">
        <v>0</v>
      </c>
      <c r="GO247" s="9" t="n">
        <v>1760</v>
      </c>
      <c r="GS247" s="10" t="n">
        <v>46233</v>
      </c>
      <c r="GU247" s="9" t="n">
        <v>0</v>
      </c>
      <c r="GW247" s="9" t="n">
        <v>0</v>
      </c>
      <c r="GX247" s="9" t="n">
        <v>400</v>
      </c>
      <c r="HB247" s="10" t="n">
        <v>46233</v>
      </c>
      <c r="HD247" s="9" t="n">
        <v>0</v>
      </c>
      <c r="HF247" s="9" t="n">
        <v>0</v>
      </c>
      <c r="HG247" s="9" t="n">
        <v>3600</v>
      </c>
      <c r="HK247" s="10" t="n">
        <v>46233</v>
      </c>
      <c r="HM247" s="9" t="n">
        <v>0</v>
      </c>
      <c r="HO247" s="9" t="n">
        <v>0</v>
      </c>
      <c r="HP247" s="9" t="n">
        <v>0</v>
      </c>
      <c r="HU247" s="10" t="n">
        <v>46233</v>
      </c>
      <c r="HW247" s="9" t="n">
        <v>0</v>
      </c>
      <c r="HY247" s="9" t="n">
        <v>0</v>
      </c>
      <c r="HZ247" s="9" t="n">
        <v>5920</v>
      </c>
      <c r="ID247" s="10" t="n">
        <v>46233</v>
      </c>
      <c r="IF247" s="9" t="n">
        <v>0</v>
      </c>
      <c r="IH247" s="9" t="n">
        <v>0</v>
      </c>
      <c r="II247" s="9" t="n">
        <v>720</v>
      </c>
      <c r="IM247" s="10" t="n">
        <v>46233</v>
      </c>
      <c r="IO247" s="9" t="n">
        <v>0</v>
      </c>
      <c r="IQ247" s="9" t="n">
        <v>0</v>
      </c>
      <c r="IR247" s="9" t="n">
        <v>3280</v>
      </c>
      <c r="IV247" s="10" t="n">
        <v>46233</v>
      </c>
      <c r="IX247" s="9" t="n">
        <v>0</v>
      </c>
      <c r="IZ247" s="9" t="n">
        <v>0</v>
      </c>
      <c r="JA247" s="9" t="n">
        <v>4960</v>
      </c>
      <c r="JE247" s="10" t="n">
        <v>46233</v>
      </c>
      <c r="JG247" s="9" t="n">
        <v>0</v>
      </c>
      <c r="JI247" s="9" t="n">
        <v>0</v>
      </c>
      <c r="JJ247" s="9" t="n">
        <v>0</v>
      </c>
      <c r="JN247" s="10" t="n">
        <v>46233</v>
      </c>
      <c r="JP247" s="9" t="n">
        <v>0</v>
      </c>
      <c r="JR247" s="9" t="n">
        <v>0</v>
      </c>
      <c r="JS247" s="9" t="n">
        <v>0</v>
      </c>
      <c r="JW247" s="10" t="n">
        <v>46233</v>
      </c>
      <c r="JY247" s="9" t="n">
        <v>0</v>
      </c>
      <c r="KA247" s="9" t="n">
        <v>0</v>
      </c>
      <c r="KB247" s="9" t="n">
        <v>2540</v>
      </c>
      <c r="KF247" s="10" t="n">
        <v>46233</v>
      </c>
      <c r="KH247" s="9" t="n">
        <v>0</v>
      </c>
      <c r="KJ247" s="9" t="n">
        <v>0</v>
      </c>
      <c r="KK247" s="9" t="n">
        <v>2359.5</v>
      </c>
      <c r="KO247" s="10" t="n">
        <v>46233</v>
      </c>
      <c r="KQ247" s="9" t="n">
        <v>0</v>
      </c>
      <c r="KS247" s="9" t="n">
        <v>0</v>
      </c>
      <c r="KT247" s="9" t="n">
        <v>1890</v>
      </c>
      <c r="KX247" s="10" t="n">
        <v>46233</v>
      </c>
      <c r="KZ247" s="9" t="n">
        <v>0</v>
      </c>
      <c r="LB247" s="9" t="n">
        <v>0</v>
      </c>
      <c r="LC247" s="9" t="n">
        <v>3690</v>
      </c>
      <c r="LG247" s="10" t="n">
        <v>46233</v>
      </c>
      <c r="LI247" s="9" t="n">
        <v>0</v>
      </c>
      <c r="LK247" s="9" t="n">
        <v>0</v>
      </c>
      <c r="LL247" s="9" t="n">
        <v>4000</v>
      </c>
      <c r="LP247" s="10" t="n">
        <v>46233</v>
      </c>
      <c r="LR247" s="9" t="n">
        <v>0</v>
      </c>
      <c r="LT247" s="9" t="n">
        <v>0</v>
      </c>
      <c r="LU247" s="9" t="n">
        <v>0</v>
      </c>
      <c r="LY247" s="10" t="n">
        <v>46233</v>
      </c>
      <c r="MA247" s="9" t="n">
        <v>0</v>
      </c>
      <c r="MC247" s="9" t="n">
        <v>0</v>
      </c>
      <c r="MD247" s="9" t="n">
        <v>0</v>
      </c>
      <c r="MH247" s="10" t="n">
        <v>46233</v>
      </c>
      <c r="MJ247" s="9" t="n">
        <v>0</v>
      </c>
      <c r="ML247" s="9" t="n">
        <v>0</v>
      </c>
      <c r="MM247" s="9" t="n">
        <v>0</v>
      </c>
      <c r="MQ247" s="10" t="n">
        <v>46233</v>
      </c>
      <c r="MS247" s="9" t="n">
        <v>0</v>
      </c>
      <c r="MU247" s="9" t="n">
        <v>0</v>
      </c>
      <c r="MV247" s="9" t="n">
        <v>2346</v>
      </c>
      <c r="MZ247" s="10" t="n">
        <v>46233</v>
      </c>
      <c r="NB247" s="9" t="n">
        <v>0</v>
      </c>
      <c r="ND247" s="9" t="n">
        <v>0</v>
      </c>
      <c r="NE247" s="9" t="n">
        <v>0</v>
      </c>
      <c r="NI247" s="10" t="n">
        <v>46233</v>
      </c>
      <c r="NK247" s="9" t="n">
        <v>0</v>
      </c>
      <c r="NM247" s="9" t="n">
        <v>0</v>
      </c>
      <c r="NN247" s="9" t="n">
        <v>1127</v>
      </c>
      <c r="NR247" s="10" t="n">
        <v>46233</v>
      </c>
      <c r="NT247" s="9" t="n">
        <v>0</v>
      </c>
      <c r="NV247" s="9" t="n">
        <v>0</v>
      </c>
      <c r="NW247" s="9" t="n">
        <v>3112</v>
      </c>
      <c r="OA247" s="10" t="n">
        <v>46233</v>
      </c>
      <c r="OC247" s="9" t="n">
        <v>0</v>
      </c>
      <c r="OE247" s="9" t="n">
        <v>0</v>
      </c>
      <c r="OF247" s="9" t="n">
        <v>1680.5</v>
      </c>
      <c r="OJ247" s="10" t="n">
        <v>46233</v>
      </c>
      <c r="OL247" s="9" t="n">
        <v>0</v>
      </c>
      <c r="ON247" s="9" t="n">
        <v>0</v>
      </c>
      <c r="OO247" s="9" t="n">
        <v>0</v>
      </c>
      <c r="OS247" s="10" t="n">
        <v>46233</v>
      </c>
      <c r="OU247" s="9" t="n">
        <v>0</v>
      </c>
      <c r="OW247" s="9" t="n">
        <v>0</v>
      </c>
      <c r="OX247" s="9" t="n">
        <v>1482</v>
      </c>
      <c r="PB247" s="10" t="n">
        <v>46233</v>
      </c>
      <c r="PD247" s="9" t="n">
        <v>0</v>
      </c>
      <c r="PF247" s="9" t="n">
        <v>0</v>
      </c>
      <c r="PG247" s="9" t="n">
        <v>0</v>
      </c>
      <c r="PK247" s="10" t="n">
        <v>46233</v>
      </c>
      <c r="PM247" s="9" t="n">
        <v>0</v>
      </c>
      <c r="PO247" s="9" t="n">
        <v>0</v>
      </c>
      <c r="PP247" s="9" t="n">
        <v>100</v>
      </c>
      <c r="PT247" s="10" t="n">
        <v>46233</v>
      </c>
      <c r="PV247" s="9" t="n">
        <v>0</v>
      </c>
      <c r="PX247" s="9" t="n">
        <v>0</v>
      </c>
      <c r="PY247" s="9" t="n">
        <v>13.96000000000004</v>
      </c>
      <c r="QC247" s="10" t="n">
        <v>46233</v>
      </c>
      <c r="QE247" s="9" t="n">
        <v>0</v>
      </c>
      <c r="QG247" s="9" t="n">
        <v>0</v>
      </c>
      <c r="QH247" s="9" t="n">
        <v>1604</v>
      </c>
      <c r="QL247" s="10" t="n">
        <v>46233</v>
      </c>
      <c r="QN247" s="9" t="n">
        <v>0</v>
      </c>
      <c r="QP247" s="9" t="n">
        <v>0</v>
      </c>
      <c r="QQ247" s="9" t="n">
        <v>0</v>
      </c>
      <c r="QU247" s="10" t="n">
        <v>46233</v>
      </c>
      <c r="QW247" s="9" t="n">
        <v>0</v>
      </c>
      <c r="QY247" s="9" t="n">
        <v>0</v>
      </c>
      <c r="QZ247" s="9" t="n">
        <v>207.6</v>
      </c>
      <c r="RD247" s="10" t="n">
        <v>46233</v>
      </c>
      <c r="RF247" s="9" t="n">
        <v>0</v>
      </c>
      <c r="RH247" s="9" t="n">
        <v>0</v>
      </c>
      <c r="RI247" s="9" t="n">
        <v>147.04</v>
      </c>
      <c r="RM247" s="10" t="n">
        <v>46233</v>
      </c>
      <c r="RO247" s="9" t="n">
        <v>0</v>
      </c>
      <c r="RQ247" s="9" t="n">
        <v>0</v>
      </c>
      <c r="RR247" s="9" t="n">
        <v>46.8</v>
      </c>
      <c r="RV247" s="10" t="n">
        <v>46233</v>
      </c>
      <c r="RX247" s="9" t="n">
        <v>0</v>
      </c>
      <c r="RZ247" s="9" t="n">
        <v>0</v>
      </c>
      <c r="SA247" s="9" t="n">
        <v>0</v>
      </c>
      <c r="SE247" s="10" t="n">
        <v>46233</v>
      </c>
      <c r="SG247" s="9" t="n">
        <v>0</v>
      </c>
      <c r="SI247" s="9" t="n">
        <v>0</v>
      </c>
      <c r="SJ247" s="9" t="n">
        <v>24.2</v>
      </c>
      <c r="SN247" s="10" t="n">
        <v>46233</v>
      </c>
      <c r="SP247" s="9" t="n">
        <v>0</v>
      </c>
      <c r="SR247" s="9" t="n">
        <v>0</v>
      </c>
      <c r="SS247" s="9" t="n">
        <v>32</v>
      </c>
      <c r="SW247" s="10" t="n">
        <v>46233</v>
      </c>
      <c r="SY247" s="9" t="n">
        <v>0</v>
      </c>
      <c r="TA247" s="9" t="n">
        <v>0</v>
      </c>
      <c r="TB247" s="9" t="n">
        <v>0</v>
      </c>
      <c r="TF247" s="10" t="n">
        <v>46233</v>
      </c>
      <c r="TH247" s="9" t="n">
        <v>0</v>
      </c>
      <c r="TJ247" s="9" t="n">
        <v>0</v>
      </c>
      <c r="TK247" s="9" t="n">
        <v>0</v>
      </c>
      <c r="TO247" s="10" t="n">
        <v>46233</v>
      </c>
      <c r="TQ247" s="9" t="n">
        <v>0</v>
      </c>
      <c r="TS247" s="9" t="n">
        <v>0</v>
      </c>
      <c r="TT247" s="9" t="n">
        <v>10.40000000000001</v>
      </c>
      <c r="TX247" s="10" t="n">
        <v>46233</v>
      </c>
      <c r="TZ247" s="9" t="n">
        <v>0</v>
      </c>
      <c r="UB247" s="9" t="n">
        <v>0</v>
      </c>
      <c r="UC247" s="9" t="n">
        <v>46.79999999999998</v>
      </c>
      <c r="UG247" s="10" t="n">
        <v>46233</v>
      </c>
      <c r="UI247" s="9" t="n">
        <v>0</v>
      </c>
      <c r="UK247" s="9" t="n">
        <v>0</v>
      </c>
      <c r="UL247" s="9" t="n">
        <v>204</v>
      </c>
      <c r="UP247" s="10" t="n">
        <v>46233</v>
      </c>
      <c r="UR247" s="9" t="n">
        <v>0</v>
      </c>
      <c r="UT247" s="9" t="n">
        <v>0</v>
      </c>
      <c r="UU247" s="9" t="n">
        <v>202.5</v>
      </c>
      <c r="UY247" s="10" t="n">
        <v>46233</v>
      </c>
      <c r="VA247" s="9" t="n">
        <v>0</v>
      </c>
      <c r="VC247" s="9" t="n">
        <v>0</v>
      </c>
      <c r="VD247" s="9" t="n">
        <v>41.60000000000002</v>
      </c>
      <c r="VH247" s="10" t="n">
        <v>46233</v>
      </c>
      <c r="VJ247" s="9" t="n">
        <v>0</v>
      </c>
      <c r="VL247" s="9" t="n">
        <v>0</v>
      </c>
      <c r="VM247" s="9" t="n">
        <v>210</v>
      </c>
      <c r="VQ247" s="10" t="n">
        <v>46233</v>
      </c>
      <c r="VS247" s="9" t="n">
        <v>0</v>
      </c>
      <c r="VU247" s="9" t="n">
        <v>0</v>
      </c>
      <c r="VV247" s="9" t="n">
        <v>0</v>
      </c>
      <c r="VZ247" s="10" t="n">
        <v>46233</v>
      </c>
      <c r="WB247" s="9" t="n">
        <v>0</v>
      </c>
      <c r="WD247" s="9" t="n">
        <v>0</v>
      </c>
      <c r="WE247" s="9" t="n">
        <v>0</v>
      </c>
      <c r="WI247" s="10" t="n">
        <v>46233</v>
      </c>
      <c r="WK247" s="9" t="n">
        <v>0</v>
      </c>
      <c r="WM247" s="9" t="n">
        <v>0</v>
      </c>
      <c r="WN247" s="9" t="n">
        <v>1057</v>
      </c>
      <c r="WR247" s="10" t="n">
        <v>46233</v>
      </c>
      <c r="WT247" s="9" t="n">
        <v>0</v>
      </c>
      <c r="WV247" s="9" t="n">
        <v>0</v>
      </c>
      <c r="WW247" s="9" t="n">
        <v>0</v>
      </c>
      <c r="XA247" s="10" t="n">
        <v>46233</v>
      </c>
      <c r="XC247" s="9" t="n">
        <v>0</v>
      </c>
      <c r="XE247" s="9" t="n">
        <v>0</v>
      </c>
      <c r="XF247" s="9" t="n">
        <v>7507</v>
      </c>
      <c r="XJ247" s="10" t="n">
        <v>46233</v>
      </c>
      <c r="XL247" s="9" t="n">
        <v>0</v>
      </c>
      <c r="XN247" s="9" t="n">
        <v>0</v>
      </c>
      <c r="XO247" s="9" t="n">
        <v>4252</v>
      </c>
      <c r="XS247" s="10" t="n">
        <v>46233</v>
      </c>
      <c r="XU247" s="9" t="n">
        <v>0</v>
      </c>
      <c r="XW247" s="9" t="n">
        <v>0</v>
      </c>
      <c r="XX247" s="9" t="n">
        <v>2179</v>
      </c>
      <c r="YB247" s="10" t="n">
        <v>46233</v>
      </c>
      <c r="YD247" s="9" t="n">
        <v>0</v>
      </c>
      <c r="YF247" s="9" t="n">
        <v>0</v>
      </c>
      <c r="YG247" s="9" t="n">
        <v>4019</v>
      </c>
      <c r="YK247" s="10" t="n">
        <v>46233</v>
      </c>
      <c r="YM247" s="9" t="n">
        <v>0</v>
      </c>
      <c r="YO247" s="9" t="n">
        <v>0</v>
      </c>
      <c r="YP247" s="9" t="n">
        <v>0</v>
      </c>
      <c r="YT247" s="10" t="n">
        <v>46233</v>
      </c>
      <c r="YV247" s="9" t="n">
        <v>0</v>
      </c>
      <c r="YX247" s="9" t="n">
        <v>0</v>
      </c>
      <c r="YY247" s="9" t="n">
        <v>0</v>
      </c>
      <c r="ZC247" s="10" t="n">
        <v>46233</v>
      </c>
      <c r="ZE247" s="9" t="n">
        <v>0</v>
      </c>
      <c r="ZG247" s="9" t="n">
        <v>0</v>
      </c>
      <c r="ZH247" s="9" t="n">
        <v>0</v>
      </c>
      <c r="ZL247" s="10" t="n">
        <v>46233</v>
      </c>
      <c r="ZN247" s="9" t="n">
        <v>0</v>
      </c>
      <c r="ZP247" s="9" t="n">
        <v>0</v>
      </c>
      <c r="ZQ247" s="9" t="n">
        <v>0</v>
      </c>
      <c r="ZU247" s="10" t="n">
        <v>46233</v>
      </c>
      <c r="ZW247" s="9" t="n">
        <v>0</v>
      </c>
      <c r="ZY247" s="9" t="n">
        <v>0</v>
      </c>
      <c r="ZZ247" s="9" t="n">
        <v>0</v>
      </c>
      <c r="AAD247" s="10" t="n">
        <v>46233</v>
      </c>
      <c r="AAF247" s="9" t="n">
        <v>0</v>
      </c>
      <c r="AAH247" s="9" t="n">
        <v>0</v>
      </c>
      <c r="AAI247" s="9" t="n">
        <v>0</v>
      </c>
      <c r="AAM247" s="10" t="n">
        <v>46233</v>
      </c>
      <c r="AAO247" s="9" t="n">
        <v>0</v>
      </c>
      <c r="AAQ247" s="9" t="n">
        <v>0</v>
      </c>
      <c r="AAR247" s="9" t="n">
        <v>0</v>
      </c>
      <c r="AAV247" s="10" t="n">
        <v>46233</v>
      </c>
      <c r="AAX247" s="9" t="n">
        <v>0</v>
      </c>
      <c r="AAZ247" s="9" t="n">
        <v>0</v>
      </c>
      <c r="ABA247" s="9" t="n">
        <v>0</v>
      </c>
      <c r="ABE247" s="10" t="n">
        <v>46233</v>
      </c>
      <c r="ABG247" s="9" t="n">
        <v>0</v>
      </c>
      <c r="ABI247" s="9" t="n">
        <v>0</v>
      </c>
      <c r="ABJ247" s="9" t="n">
        <v>0</v>
      </c>
    </row>
    <row r="248">
      <c r="C248" s="10" t="n">
        <v>46234</v>
      </c>
      <c r="E248" s="9" t="n">
        <v>0</v>
      </c>
      <c r="F248" s="9" t="n">
        <v>46351.8</v>
      </c>
      <c r="G248" s="9" t="n">
        <v>-46351.8</v>
      </c>
      <c r="H248" s="9" t="n">
        <v>190949.4</v>
      </c>
      <c r="L248" s="10" t="n">
        <v>46234</v>
      </c>
      <c r="M248" s="9" t="n">
        <v>48200</v>
      </c>
      <c r="N248" s="9" t="n">
        <v>0</v>
      </c>
      <c r="O248" s="9" t="n">
        <v>27841.4</v>
      </c>
      <c r="P248" s="9" t="n">
        <v>-27841.4</v>
      </c>
      <c r="Q248" s="9" t="n">
        <v>53017.60000000007</v>
      </c>
      <c r="U248" s="10" t="n">
        <v>46234</v>
      </c>
      <c r="W248" s="9" t="n">
        <v>0</v>
      </c>
      <c r="X248" s="9" t="n">
        <v>4301.4</v>
      </c>
      <c r="Y248" s="9" t="n">
        <v>-4301.4</v>
      </c>
      <c r="Z248" s="9" t="n">
        <v>42674.19999999997</v>
      </c>
      <c r="AD248" s="10" t="n">
        <v>46234</v>
      </c>
      <c r="AF248" s="9" t="n">
        <v>0</v>
      </c>
      <c r="AH248" s="9" t="n">
        <v>0</v>
      </c>
      <c r="AI248" s="9" t="n">
        <v>4522.200000000019</v>
      </c>
      <c r="AM248" s="10" t="n">
        <v>46234</v>
      </c>
      <c r="AO248" s="9" t="n">
        <v>0</v>
      </c>
      <c r="AQ248" s="9" t="n">
        <v>0</v>
      </c>
      <c r="AR248" s="9" t="n">
        <v>0</v>
      </c>
      <c r="AV248" s="10" t="n">
        <v>46234</v>
      </c>
      <c r="AX248" s="9" t="n">
        <v>0</v>
      </c>
      <c r="AZ248" s="9" t="n">
        <v>0</v>
      </c>
      <c r="BA248" s="9" t="n">
        <v>124.9999999999952</v>
      </c>
      <c r="BE248" s="10" t="n">
        <v>46234</v>
      </c>
      <c r="BG248" s="9" t="n">
        <v>0</v>
      </c>
      <c r="BH248" s="9" t="n">
        <v>1094.3</v>
      </c>
      <c r="BI248" s="9" t="n">
        <v>-1094.3</v>
      </c>
      <c r="BJ248" s="9" t="n">
        <v>26151.9</v>
      </c>
      <c r="BN248" s="10" t="n">
        <v>46234</v>
      </c>
      <c r="BO248" s="9" t="n">
        <v>1316.1</v>
      </c>
      <c r="BP248" s="9" t="n">
        <v>0</v>
      </c>
      <c r="BQ248" s="9" t="n">
        <v>1316.1</v>
      </c>
      <c r="BR248" s="9" t="n">
        <v>-1316.1</v>
      </c>
      <c r="BS248" s="9" t="n">
        <v>0</v>
      </c>
      <c r="BW248" s="10" t="n">
        <v>46234</v>
      </c>
      <c r="BY248" s="9" t="n">
        <v>0</v>
      </c>
      <c r="BZ248" s="9" t="n">
        <v>500.35</v>
      </c>
      <c r="CA248" s="9" t="n">
        <v>-500.35</v>
      </c>
      <c r="CB248" s="9" t="n">
        <v>3322.499999999999</v>
      </c>
      <c r="CF248" s="10" t="n">
        <v>46234</v>
      </c>
      <c r="CH248" s="9" t="n">
        <v>0</v>
      </c>
      <c r="CI248" s="9" t="n">
        <v>1085.82</v>
      </c>
      <c r="CJ248" s="9" t="n">
        <v>-1085.82</v>
      </c>
      <c r="CK248" s="9" t="n">
        <v>-10277.08</v>
      </c>
      <c r="CO248" s="10" t="n">
        <v>46234</v>
      </c>
      <c r="CQ248" s="9" t="n">
        <v>0</v>
      </c>
      <c r="CS248" s="9" t="n">
        <v>0</v>
      </c>
      <c r="CT248" s="9" t="n">
        <v>0</v>
      </c>
      <c r="CX248" s="10" t="n">
        <v>46234</v>
      </c>
      <c r="CZ248" s="9" t="n">
        <v>0</v>
      </c>
      <c r="DA248" s="9" t="n">
        <v>600.1</v>
      </c>
      <c r="DB248" s="9" t="n">
        <v>-600.1</v>
      </c>
      <c r="DC248" s="9" t="n">
        <v>27438.20000000001</v>
      </c>
      <c r="DG248" s="10" t="n">
        <v>46234</v>
      </c>
      <c r="DI248" s="9" t="n">
        <v>0</v>
      </c>
      <c r="DK248" s="9" t="n">
        <v>0</v>
      </c>
      <c r="DL248" s="9" t="n">
        <v>18782.29999999998</v>
      </c>
      <c r="DP248" s="10" t="n">
        <v>46234</v>
      </c>
      <c r="DR248" s="9" t="n">
        <v>0</v>
      </c>
      <c r="DT248" s="9" t="n">
        <v>0</v>
      </c>
      <c r="DU248" s="9" t="n">
        <v>5800</v>
      </c>
      <c r="DY248" s="10" t="n">
        <v>46234</v>
      </c>
      <c r="EA248" s="9" t="n">
        <v>0</v>
      </c>
      <c r="EC248" s="9" t="n">
        <v>0</v>
      </c>
      <c r="ED248" s="9" t="n">
        <v>0</v>
      </c>
      <c r="EH248" s="10" t="n">
        <v>46234</v>
      </c>
      <c r="EJ248" s="9" t="n">
        <v>0</v>
      </c>
      <c r="EL248" s="9" t="n">
        <v>0</v>
      </c>
      <c r="EM248" s="9" t="n">
        <v>0</v>
      </c>
      <c r="EQ248" s="10" t="n">
        <v>46234</v>
      </c>
      <c r="ES248" s="9" t="n">
        <v>0</v>
      </c>
      <c r="EU248" s="9" t="n">
        <v>0</v>
      </c>
      <c r="EV248" s="9" t="n">
        <v>0</v>
      </c>
      <c r="EZ248" s="10" t="n">
        <v>46234</v>
      </c>
      <c r="FB248" s="9" t="n">
        <v>0</v>
      </c>
      <c r="FD248" s="9" t="n">
        <v>0</v>
      </c>
      <c r="FE248" s="9" t="n">
        <v>0</v>
      </c>
      <c r="FI248" s="10" t="n">
        <v>46234</v>
      </c>
      <c r="FK248" s="9" t="n">
        <v>0</v>
      </c>
      <c r="FM248" s="9" t="n">
        <v>0</v>
      </c>
      <c r="FN248" s="9" t="n">
        <v>0</v>
      </c>
      <c r="FR248" s="10" t="n">
        <v>46234</v>
      </c>
      <c r="FT248" s="9" t="n">
        <v>0</v>
      </c>
      <c r="FV248" s="9" t="n">
        <v>0</v>
      </c>
      <c r="FW248" s="9" t="n">
        <v>540</v>
      </c>
      <c r="GA248" s="10" t="n">
        <v>46234</v>
      </c>
      <c r="GC248" s="9" t="n">
        <v>0</v>
      </c>
      <c r="GE248" s="9" t="n">
        <v>0</v>
      </c>
      <c r="GF248" s="9" t="n">
        <v>960</v>
      </c>
      <c r="GJ248" s="10" t="n">
        <v>46234</v>
      </c>
      <c r="GL248" s="9" t="n">
        <v>0</v>
      </c>
      <c r="GN248" s="9" t="n">
        <v>0</v>
      </c>
      <c r="GO248" s="9" t="n">
        <v>1760</v>
      </c>
      <c r="GS248" s="10" t="n">
        <v>46234</v>
      </c>
      <c r="GU248" s="9" t="n">
        <v>0</v>
      </c>
      <c r="GW248" s="9" t="n">
        <v>0</v>
      </c>
      <c r="GX248" s="9" t="n">
        <v>400</v>
      </c>
      <c r="HB248" s="10" t="n">
        <v>46234</v>
      </c>
      <c r="HD248" s="9" t="n">
        <v>0</v>
      </c>
      <c r="HF248" s="9" t="n">
        <v>0</v>
      </c>
      <c r="HG248" s="9" t="n">
        <v>3600</v>
      </c>
      <c r="HK248" s="10" t="n">
        <v>46234</v>
      </c>
      <c r="HM248" s="9" t="n">
        <v>0</v>
      </c>
      <c r="HO248" s="9" t="n">
        <v>0</v>
      </c>
      <c r="HP248" s="9" t="n">
        <v>0</v>
      </c>
      <c r="HU248" s="10" t="n">
        <v>46234</v>
      </c>
      <c r="HW248" s="9" t="n">
        <v>0</v>
      </c>
      <c r="HY248" s="9" t="n">
        <v>0</v>
      </c>
      <c r="HZ248" s="9" t="n">
        <v>5920</v>
      </c>
      <c r="ID248" s="10" t="n">
        <v>46234</v>
      </c>
      <c r="IF248" s="9" t="n">
        <v>0</v>
      </c>
      <c r="IH248" s="9" t="n">
        <v>0</v>
      </c>
      <c r="II248" s="9" t="n">
        <v>720</v>
      </c>
      <c r="IM248" s="10" t="n">
        <v>46234</v>
      </c>
      <c r="IO248" s="9" t="n">
        <v>0</v>
      </c>
      <c r="IP248" s="9" t="n">
        <v>1600</v>
      </c>
      <c r="IQ248" s="9" t="n">
        <v>-1600</v>
      </c>
      <c r="IR248" s="9" t="n">
        <v>1680</v>
      </c>
      <c r="IS248" s="9" t="n">
        <v>80</v>
      </c>
      <c r="IV248" s="10" t="n">
        <v>46234</v>
      </c>
      <c r="IX248" s="9" t="n">
        <v>0</v>
      </c>
      <c r="IZ248" s="9" t="n">
        <v>0</v>
      </c>
      <c r="JA248" s="9" t="n">
        <v>4960</v>
      </c>
      <c r="JE248" s="10" t="n">
        <v>46234</v>
      </c>
      <c r="JG248" s="9" t="n">
        <v>0</v>
      </c>
      <c r="JI248" s="9" t="n">
        <v>0</v>
      </c>
      <c r="JJ248" s="9" t="n">
        <v>0</v>
      </c>
      <c r="JN248" s="10" t="n">
        <v>46234</v>
      </c>
      <c r="JP248" s="9" t="n">
        <v>0</v>
      </c>
      <c r="JR248" s="9" t="n">
        <v>0</v>
      </c>
      <c r="JS248" s="9" t="n">
        <v>0</v>
      </c>
      <c r="JW248" s="10" t="n">
        <v>46234</v>
      </c>
      <c r="JY248" s="9" t="n">
        <v>0</v>
      </c>
      <c r="KA248" s="9" t="n">
        <v>0</v>
      </c>
      <c r="KB248" s="9" t="n">
        <v>2540</v>
      </c>
      <c r="KF248" s="10" t="n">
        <v>46234</v>
      </c>
      <c r="KH248" s="9" t="n">
        <v>0</v>
      </c>
      <c r="KJ248" s="9" t="n">
        <v>0</v>
      </c>
      <c r="KK248" s="9" t="n">
        <v>2359.5</v>
      </c>
      <c r="KO248" s="10" t="n">
        <v>46234</v>
      </c>
      <c r="KQ248" s="9" t="n">
        <v>0</v>
      </c>
      <c r="KS248" s="9" t="n">
        <v>0</v>
      </c>
      <c r="KT248" s="9" t="n">
        <v>1890</v>
      </c>
      <c r="KX248" s="10" t="n">
        <v>46234</v>
      </c>
      <c r="KZ248" s="9" t="n">
        <v>0</v>
      </c>
      <c r="LB248" s="9" t="n">
        <v>0</v>
      </c>
      <c r="LC248" s="9" t="n">
        <v>3690</v>
      </c>
      <c r="LG248" s="10" t="n">
        <v>46234</v>
      </c>
      <c r="LI248" s="9" t="n">
        <v>0</v>
      </c>
      <c r="LK248" s="9" t="n">
        <v>0</v>
      </c>
      <c r="LL248" s="9" t="n">
        <v>4000</v>
      </c>
      <c r="LP248" s="10" t="n">
        <v>46234</v>
      </c>
      <c r="LR248" s="9" t="n">
        <v>0</v>
      </c>
      <c r="LT248" s="9" t="n">
        <v>0</v>
      </c>
      <c r="LU248" s="9" t="n">
        <v>0</v>
      </c>
      <c r="LY248" s="10" t="n">
        <v>46234</v>
      </c>
      <c r="MA248" s="9" t="n">
        <v>0</v>
      </c>
      <c r="MC248" s="9" t="n">
        <v>0</v>
      </c>
      <c r="MD248" s="9" t="n">
        <v>0</v>
      </c>
      <c r="MH248" s="10" t="n">
        <v>46234</v>
      </c>
      <c r="MJ248" s="9" t="n">
        <v>0</v>
      </c>
      <c r="ML248" s="9" t="n">
        <v>0</v>
      </c>
      <c r="MM248" s="9" t="n">
        <v>0</v>
      </c>
      <c r="MQ248" s="10" t="n">
        <v>46234</v>
      </c>
      <c r="MS248" s="9" t="n">
        <v>0</v>
      </c>
      <c r="MT248" s="9" t="n">
        <v>130</v>
      </c>
      <c r="MU248" s="9" t="n">
        <v>-130</v>
      </c>
      <c r="MV248" s="9" t="n">
        <v>2216</v>
      </c>
      <c r="MZ248" s="10" t="n">
        <v>46234</v>
      </c>
      <c r="NA248" s="9" t="n">
        <v>840</v>
      </c>
      <c r="NB248" s="9" t="n">
        <v>0</v>
      </c>
      <c r="NC248" s="9" t="n">
        <v>840</v>
      </c>
      <c r="ND248" s="9" t="n">
        <v>-840</v>
      </c>
      <c r="NE248" s="9" t="n">
        <v>0</v>
      </c>
      <c r="NI248" s="10" t="n">
        <v>46234</v>
      </c>
      <c r="NK248" s="9" t="n">
        <v>0</v>
      </c>
      <c r="NM248" s="9" t="n">
        <v>0</v>
      </c>
      <c r="NN248" s="9" t="n">
        <v>1127</v>
      </c>
      <c r="NR248" s="10" t="n">
        <v>46234</v>
      </c>
      <c r="NT248" s="9" t="n">
        <v>0</v>
      </c>
      <c r="NV248" s="9" t="n">
        <v>0</v>
      </c>
      <c r="NW248" s="9" t="n">
        <v>3112</v>
      </c>
      <c r="OA248" s="10" t="n">
        <v>46234</v>
      </c>
      <c r="OC248" s="9" t="n">
        <v>0</v>
      </c>
      <c r="OE248" s="9" t="n">
        <v>0</v>
      </c>
      <c r="OF248" s="9" t="n">
        <v>1680.5</v>
      </c>
      <c r="OJ248" s="10" t="n">
        <v>46234</v>
      </c>
      <c r="OK248" s="9" t="n">
        <v>136</v>
      </c>
      <c r="OL248" s="9" t="n">
        <v>0</v>
      </c>
      <c r="OM248" s="9" t="n">
        <v>136</v>
      </c>
      <c r="ON248" s="9" t="n">
        <v>-136</v>
      </c>
      <c r="OO248" s="9" t="n">
        <v>0</v>
      </c>
      <c r="OS248" s="10" t="n">
        <v>46234</v>
      </c>
      <c r="OU248" s="9" t="n">
        <v>0</v>
      </c>
      <c r="OW248" s="9" t="n">
        <v>0</v>
      </c>
      <c r="OX248" s="9" t="n">
        <v>1482</v>
      </c>
      <c r="PB248" s="10" t="n">
        <v>46234</v>
      </c>
      <c r="PD248" s="9" t="n">
        <v>0</v>
      </c>
      <c r="PF248" s="9" t="n">
        <v>0</v>
      </c>
      <c r="PG248" s="9" t="n">
        <v>0</v>
      </c>
      <c r="PK248" s="10" t="n">
        <v>46234</v>
      </c>
      <c r="PM248" s="9" t="n">
        <v>0</v>
      </c>
      <c r="PO248" s="9" t="n">
        <v>0</v>
      </c>
      <c r="PP248" s="9" t="n">
        <v>100</v>
      </c>
      <c r="PT248" s="10" t="n">
        <v>46234</v>
      </c>
      <c r="PV248" s="9" t="n">
        <v>0</v>
      </c>
      <c r="PX248" s="9" t="n">
        <v>0</v>
      </c>
      <c r="PY248" s="9" t="n">
        <v>13.96000000000004</v>
      </c>
      <c r="QC248" s="10" t="n">
        <v>46234</v>
      </c>
      <c r="QE248" s="9" t="n">
        <v>0</v>
      </c>
      <c r="QF248" s="9" t="n">
        <v>320</v>
      </c>
      <c r="QG248" s="9" t="n">
        <v>-320</v>
      </c>
      <c r="QH248" s="9" t="n">
        <v>1284</v>
      </c>
      <c r="QL248" s="10" t="n">
        <v>46234</v>
      </c>
      <c r="QN248" s="9" t="n">
        <v>0</v>
      </c>
      <c r="QP248" s="9" t="n">
        <v>0</v>
      </c>
      <c r="QQ248" s="9" t="n">
        <v>0</v>
      </c>
      <c r="QU248" s="10" t="n">
        <v>46234</v>
      </c>
      <c r="QW248" s="9" t="n">
        <v>0</v>
      </c>
      <c r="QY248" s="9" t="n">
        <v>0</v>
      </c>
      <c r="QZ248" s="9" t="n">
        <v>207.6</v>
      </c>
      <c r="RD248" s="10" t="n">
        <v>46234</v>
      </c>
      <c r="RF248" s="9" t="n">
        <v>0</v>
      </c>
      <c r="RH248" s="9" t="n">
        <v>0</v>
      </c>
      <c r="RI248" s="9" t="n">
        <v>147.04</v>
      </c>
      <c r="RM248" s="10" t="n">
        <v>46234</v>
      </c>
      <c r="RO248" s="9" t="n">
        <v>0</v>
      </c>
      <c r="RQ248" s="9" t="n">
        <v>0</v>
      </c>
      <c r="RR248" s="9" t="n">
        <v>46.8</v>
      </c>
      <c r="RV248" s="10" t="n">
        <v>46234</v>
      </c>
      <c r="RX248" s="9" t="n">
        <v>0</v>
      </c>
      <c r="RZ248" s="9" t="n">
        <v>0</v>
      </c>
      <c r="SA248" s="9" t="n">
        <v>0</v>
      </c>
      <c r="SE248" s="10" t="n">
        <v>46234</v>
      </c>
      <c r="SG248" s="9" t="n">
        <v>0</v>
      </c>
      <c r="SI248" s="9" t="n">
        <v>0</v>
      </c>
      <c r="SJ248" s="9" t="n">
        <v>24.2</v>
      </c>
      <c r="SN248" s="10" t="n">
        <v>46234</v>
      </c>
      <c r="SP248" s="9" t="n">
        <v>0</v>
      </c>
      <c r="SR248" s="9" t="n">
        <v>0</v>
      </c>
      <c r="SS248" s="9" t="n">
        <v>32</v>
      </c>
      <c r="SW248" s="10" t="n">
        <v>46234</v>
      </c>
      <c r="SY248" s="9" t="n">
        <v>0</v>
      </c>
      <c r="TA248" s="9" t="n">
        <v>0</v>
      </c>
      <c r="TB248" s="9" t="n">
        <v>0</v>
      </c>
      <c r="TF248" s="10" t="n">
        <v>46234</v>
      </c>
      <c r="TH248" s="9" t="n">
        <v>0</v>
      </c>
      <c r="TJ248" s="9" t="n">
        <v>0</v>
      </c>
      <c r="TK248" s="9" t="n">
        <v>0</v>
      </c>
      <c r="TO248" s="10" t="n">
        <v>46234</v>
      </c>
      <c r="TQ248" s="9" t="n">
        <v>0</v>
      </c>
      <c r="TS248" s="9" t="n">
        <v>0</v>
      </c>
      <c r="TT248" s="9" t="n">
        <v>10.40000000000001</v>
      </c>
      <c r="TX248" s="10" t="n">
        <v>46234</v>
      </c>
      <c r="TZ248" s="9" t="n">
        <v>0</v>
      </c>
      <c r="UB248" s="9" t="n">
        <v>0</v>
      </c>
      <c r="UC248" s="9" t="n">
        <v>46.79999999999998</v>
      </c>
      <c r="UG248" s="10" t="n">
        <v>46234</v>
      </c>
      <c r="UI248" s="9" t="n">
        <v>0</v>
      </c>
      <c r="UK248" s="9" t="n">
        <v>0</v>
      </c>
      <c r="UL248" s="9" t="n">
        <v>204</v>
      </c>
      <c r="UP248" s="10" t="n">
        <v>46234</v>
      </c>
      <c r="UR248" s="9" t="n">
        <v>0</v>
      </c>
      <c r="UT248" s="9" t="n">
        <v>0</v>
      </c>
      <c r="UU248" s="9" t="n">
        <v>202.5</v>
      </c>
      <c r="UY248" s="10" t="n">
        <v>46234</v>
      </c>
      <c r="VA248" s="9" t="n">
        <v>0</v>
      </c>
      <c r="VC248" s="9" t="n">
        <v>0</v>
      </c>
      <c r="VD248" s="9" t="n">
        <v>41.60000000000002</v>
      </c>
      <c r="VH248" s="10" t="n">
        <v>46234</v>
      </c>
      <c r="VJ248" s="9" t="n">
        <v>0</v>
      </c>
      <c r="VL248" s="9" t="n">
        <v>0</v>
      </c>
      <c r="VM248" s="9" t="n">
        <v>210</v>
      </c>
      <c r="VQ248" s="10" t="n">
        <v>46234</v>
      </c>
      <c r="VS248" s="9" t="n">
        <v>0</v>
      </c>
      <c r="VU248" s="9" t="n">
        <v>0</v>
      </c>
      <c r="VV248" s="9" t="n">
        <v>0</v>
      </c>
      <c r="VZ248" s="10" t="n">
        <v>46234</v>
      </c>
      <c r="WB248" s="9" t="n">
        <v>0</v>
      </c>
      <c r="WD248" s="9" t="n">
        <v>0</v>
      </c>
      <c r="WE248" s="9" t="n">
        <v>0</v>
      </c>
      <c r="WI248" s="10" t="n">
        <v>46234</v>
      </c>
      <c r="WK248" s="9" t="n">
        <v>0</v>
      </c>
      <c r="WM248" s="9" t="n">
        <v>0</v>
      </c>
      <c r="WN248" s="9" t="n">
        <v>1057</v>
      </c>
      <c r="WR248" s="10" t="n">
        <v>46234</v>
      </c>
      <c r="WT248" s="9" t="n">
        <v>0</v>
      </c>
      <c r="WV248" s="9" t="n">
        <v>0</v>
      </c>
      <c r="WW248" s="9" t="n">
        <v>0</v>
      </c>
      <c r="XA248" s="10" t="n">
        <v>46234</v>
      </c>
      <c r="XC248" s="9" t="n">
        <v>0</v>
      </c>
      <c r="XE248" s="9" t="n">
        <v>0</v>
      </c>
      <c r="XF248" s="9" t="n">
        <v>7507</v>
      </c>
      <c r="XJ248" s="10" t="n">
        <v>46234</v>
      </c>
      <c r="XL248" s="9" t="n">
        <v>0</v>
      </c>
      <c r="XN248" s="9" t="n">
        <v>0</v>
      </c>
      <c r="XO248" s="9" t="n">
        <v>4252</v>
      </c>
      <c r="XS248" s="10" t="n">
        <v>46234</v>
      </c>
      <c r="XU248" s="9" t="n">
        <v>0</v>
      </c>
      <c r="XW248" s="9" t="n">
        <v>0</v>
      </c>
      <c r="XX248" s="9" t="n">
        <v>2179</v>
      </c>
      <c r="YB248" s="10" t="n">
        <v>46234</v>
      </c>
      <c r="YD248" s="9" t="n">
        <v>0</v>
      </c>
      <c r="YF248" s="9" t="n">
        <v>0</v>
      </c>
      <c r="YG248" s="9" t="n">
        <v>4019</v>
      </c>
      <c r="YK248" s="10" t="n">
        <v>46234</v>
      </c>
      <c r="YM248" s="9" t="n">
        <v>0</v>
      </c>
      <c r="YO248" s="9" t="n">
        <v>0</v>
      </c>
      <c r="YP248" s="9" t="n">
        <v>0</v>
      </c>
      <c r="YT248" s="10" t="n">
        <v>46234</v>
      </c>
      <c r="YV248" s="9" t="n">
        <v>0</v>
      </c>
      <c r="YX248" s="9" t="n">
        <v>0</v>
      </c>
      <c r="YY248" s="9" t="n">
        <v>0</v>
      </c>
      <c r="ZC248" s="10" t="n">
        <v>46234</v>
      </c>
      <c r="ZE248" s="9" t="n">
        <v>0</v>
      </c>
      <c r="ZG248" s="9" t="n">
        <v>0</v>
      </c>
      <c r="ZH248" s="9" t="n">
        <v>0</v>
      </c>
      <c r="ZL248" s="10" t="n">
        <v>46234</v>
      </c>
      <c r="ZN248" s="9" t="n">
        <v>0</v>
      </c>
      <c r="ZP248" s="9" t="n">
        <v>0</v>
      </c>
      <c r="ZQ248" s="9" t="n">
        <v>0</v>
      </c>
      <c r="ZU248" s="10" t="n">
        <v>46234</v>
      </c>
      <c r="ZW248" s="9" t="n">
        <v>0</v>
      </c>
      <c r="ZY248" s="9" t="n">
        <v>0</v>
      </c>
      <c r="ZZ248" s="9" t="n">
        <v>0</v>
      </c>
      <c r="AAD248" s="10" t="n">
        <v>46234</v>
      </c>
      <c r="AAF248" s="9" t="n">
        <v>0</v>
      </c>
      <c r="AAH248" s="9" t="n">
        <v>0</v>
      </c>
      <c r="AAI248" s="9" t="n">
        <v>0</v>
      </c>
      <c r="AAM248" s="10" t="n">
        <v>46234</v>
      </c>
      <c r="AAO248" s="9" t="n">
        <v>0</v>
      </c>
      <c r="AAQ248" s="9" t="n">
        <v>0</v>
      </c>
      <c r="AAR248" s="9" t="n">
        <v>0</v>
      </c>
      <c r="AAV248" s="10" t="n">
        <v>46234</v>
      </c>
      <c r="AAX248" s="9" t="n">
        <v>0</v>
      </c>
      <c r="AAZ248" s="9" t="n">
        <v>0</v>
      </c>
      <c r="ABA248" s="9" t="n">
        <v>0</v>
      </c>
      <c r="ABE248" s="10" t="n">
        <v>46234</v>
      </c>
      <c r="ABG248" s="9" t="n">
        <v>0</v>
      </c>
      <c r="ABI248" s="9" t="n">
        <v>0</v>
      </c>
      <c r="ABJ248" s="9" t="n">
        <v>0</v>
      </c>
    </row>
    <row r="249">
      <c r="B249" s="9" t="n">
        <v>0</v>
      </c>
      <c r="C249" s="9" t="inlineStr">
        <is>
          <t>TOTAL</t>
        </is>
      </c>
      <c r="D249" s="9" t="n">
        <v>786310</v>
      </c>
      <c r="E249" s="9" t="n">
        <v>345123.8</v>
      </c>
      <c r="F249" s="9" t="n">
        <v>698968.4</v>
      </c>
      <c r="G249" s="9" t="n">
        <v>-353844.6</v>
      </c>
      <c r="H249" s="9" t="n">
        <v>190949.4</v>
      </c>
      <c r="L249" s="9" t="inlineStr">
        <is>
          <t>TOTAL</t>
        </is>
      </c>
      <c r="M249" s="9" t="n">
        <v>339170</v>
      </c>
      <c r="N249" s="9" t="n">
        <v>193692.6</v>
      </c>
      <c r="O249" s="9" t="n">
        <v>337651.6</v>
      </c>
      <c r="P249" s="9" t="n">
        <v>-143959</v>
      </c>
      <c r="Q249" s="9" t="n">
        <v>53017.60000000007</v>
      </c>
      <c r="U249" s="9" t="inlineStr">
        <is>
          <t>TOTAL</t>
        </is>
      </c>
      <c r="V249" s="9" t="n">
        <v>80250</v>
      </c>
      <c r="W249" s="9" t="n">
        <v>32980</v>
      </c>
      <c r="X249" s="9" t="n">
        <v>70307.79999999999</v>
      </c>
      <c r="Y249" s="9" t="n">
        <v>-37327.80000000001</v>
      </c>
      <c r="Z249" s="9" t="n">
        <v>42674.19999999997</v>
      </c>
      <c r="AD249" s="9" t="inlineStr">
        <is>
          <t>TOTAL</t>
        </is>
      </c>
      <c r="AE249" s="9" t="n">
        <v>0</v>
      </c>
      <c r="AF249" s="9" t="n">
        <v>1500</v>
      </c>
      <c r="AG249" s="9" t="n">
        <v>28850.5</v>
      </c>
      <c r="AH249" s="9" t="n">
        <v>-27350.5</v>
      </c>
      <c r="AI249" s="9" t="n">
        <v>4522.200000000019</v>
      </c>
      <c r="AM249" s="9" t="inlineStr">
        <is>
          <t>TOTAL</t>
        </is>
      </c>
      <c r="AN249" s="9" t="n">
        <v>0</v>
      </c>
      <c r="AO249" s="9" t="n">
        <v>0</v>
      </c>
      <c r="AP249" s="9" t="n">
        <v>0</v>
      </c>
      <c r="AQ249" s="9" t="n">
        <v>0</v>
      </c>
      <c r="AR249" s="9" t="n">
        <v>0</v>
      </c>
      <c r="AV249" s="9" t="inlineStr">
        <is>
          <t>TOTAL</t>
        </is>
      </c>
      <c r="AW249" s="9" t="n">
        <v>0</v>
      </c>
      <c r="AX249" s="9" t="n">
        <v>1826</v>
      </c>
      <c r="AY249" s="9" t="n">
        <v>13821.2</v>
      </c>
      <c r="AZ249" s="9" t="n">
        <v>-11995.2</v>
      </c>
      <c r="BA249" s="9" t="n">
        <v>124.9999999999952</v>
      </c>
      <c r="BE249" s="9" t="inlineStr">
        <is>
          <t>TOTAL</t>
        </is>
      </c>
      <c r="BF249" s="9" t="n">
        <v>0</v>
      </c>
      <c r="BG249" s="9" t="n">
        <v>4416</v>
      </c>
      <c r="BH249" s="9" t="n">
        <v>10795.8</v>
      </c>
      <c r="BI249" s="9" t="n">
        <v>-6379.800000000001</v>
      </c>
      <c r="BJ249" s="9" t="n">
        <v>26151.9</v>
      </c>
      <c r="BN249" s="9" t="inlineStr">
        <is>
          <t>TOTAL</t>
        </is>
      </c>
      <c r="BO249" s="9" t="n">
        <v>13602.5</v>
      </c>
      <c r="BP249" s="9" t="n">
        <v>6673</v>
      </c>
      <c r="BQ249" s="9" t="n">
        <v>13602.5</v>
      </c>
      <c r="BR249" s="9" t="n">
        <v>-6929.499999999998</v>
      </c>
      <c r="BS249" s="9" t="n">
        <v>0</v>
      </c>
      <c r="BW249" s="9" t="inlineStr">
        <is>
          <t>TOTAL</t>
        </is>
      </c>
      <c r="BX249" s="9" t="n">
        <v>6000</v>
      </c>
      <c r="BY249" s="9" t="n">
        <v>3159.83</v>
      </c>
      <c r="BZ249" s="9" t="n">
        <v>5066.280000000001</v>
      </c>
      <c r="CA249" s="9" t="n">
        <v>-1906.45</v>
      </c>
      <c r="CB249" s="9" t="n">
        <v>3322.499999999999</v>
      </c>
      <c r="CF249" s="9" t="inlineStr">
        <is>
          <t>TOTAL</t>
        </is>
      </c>
      <c r="CG249" s="9" t="n">
        <v>0</v>
      </c>
      <c r="CH249" s="9" t="n">
        <v>1394</v>
      </c>
      <c r="CI249" s="9" t="n">
        <v>10277.08</v>
      </c>
      <c r="CJ249" s="9" t="n">
        <v>-8883.079999999998</v>
      </c>
      <c r="CK249" s="9" t="n">
        <v>-10277.08</v>
      </c>
      <c r="CO249" s="9" t="inlineStr">
        <is>
          <t>TOTAL</t>
        </is>
      </c>
      <c r="CP249" s="9" t="n">
        <v>0</v>
      </c>
      <c r="CQ249" s="9" t="n">
        <v>0</v>
      </c>
      <c r="CR249" s="9" t="n">
        <v>0</v>
      </c>
      <c r="CS249" s="9" t="n">
        <v>0</v>
      </c>
      <c r="CT249" s="9" t="n">
        <v>0</v>
      </c>
      <c r="CX249" s="9" t="inlineStr">
        <is>
          <t>TOTAL</t>
        </is>
      </c>
      <c r="CY249" s="9" t="n">
        <v>35201.4</v>
      </c>
      <c r="CZ249" s="9" t="n">
        <v>7320</v>
      </c>
      <c r="DA249" s="9" t="n">
        <v>16253.1</v>
      </c>
      <c r="DB249" s="9" t="n">
        <v>-8933.1</v>
      </c>
      <c r="DC249" s="9" t="n">
        <v>27438.20000000001</v>
      </c>
      <c r="DG249" s="9" t="inlineStr">
        <is>
          <t>TOTAL</t>
        </is>
      </c>
      <c r="DH249" s="9" t="n">
        <v>0</v>
      </c>
      <c r="DI249" s="9" t="n">
        <v>2650</v>
      </c>
      <c r="DJ249" s="9" t="n">
        <v>16152.2</v>
      </c>
      <c r="DK249" s="9" t="n">
        <v>-13502.2</v>
      </c>
      <c r="DL249" s="9" t="n">
        <v>18782.29999999998</v>
      </c>
      <c r="DP249" s="9" t="inlineStr">
        <is>
          <t>TOTAL</t>
        </is>
      </c>
      <c r="DQ249" s="9" t="n">
        <v>0</v>
      </c>
      <c r="DR249" s="9" t="n">
        <v>0</v>
      </c>
      <c r="DS249" s="9" t="n">
        <v>0</v>
      </c>
      <c r="DT249" s="9" t="n">
        <v>0</v>
      </c>
      <c r="DU249" s="9" t="n">
        <v>5800</v>
      </c>
      <c r="DY249" s="9" t="inlineStr">
        <is>
          <t>TOTAL</t>
        </is>
      </c>
      <c r="DZ249" s="9" t="n">
        <v>0</v>
      </c>
      <c r="EA249" s="9" t="n">
        <v>0</v>
      </c>
      <c r="EB249" s="9" t="n">
        <v>0</v>
      </c>
      <c r="EC249" s="9" t="n">
        <v>0</v>
      </c>
      <c r="ED249" s="9" t="n">
        <v>0</v>
      </c>
      <c r="EH249" s="9" t="inlineStr">
        <is>
          <t>TOTAL</t>
        </is>
      </c>
      <c r="EI249" s="9" t="n">
        <v>4011.58</v>
      </c>
      <c r="EJ249" s="9" t="n">
        <v>0</v>
      </c>
      <c r="EK249" s="9" t="n">
        <v>4011.58</v>
      </c>
      <c r="EL249" s="9" t="n">
        <v>-4011.58</v>
      </c>
      <c r="EM249" s="9" t="n">
        <v>0</v>
      </c>
      <c r="EQ249" s="9" t="inlineStr">
        <is>
          <t>TOTAL</t>
        </is>
      </c>
      <c r="ER249" s="9" t="n">
        <v>0</v>
      </c>
      <c r="ES249" s="9" t="n">
        <v>0</v>
      </c>
      <c r="ET249" s="9" t="n">
        <v>0</v>
      </c>
      <c r="EU249" s="9" t="n">
        <v>0</v>
      </c>
      <c r="EV249" s="9" t="n">
        <v>0</v>
      </c>
      <c r="EZ249" s="9" t="inlineStr">
        <is>
          <t>TOTAL</t>
        </is>
      </c>
      <c r="FA249" s="9" t="n">
        <v>0</v>
      </c>
      <c r="FB249" s="9" t="n">
        <v>0</v>
      </c>
      <c r="FC249" s="9" t="n">
        <v>0</v>
      </c>
      <c r="FD249" s="9" t="n">
        <v>0</v>
      </c>
      <c r="FE249" s="9" t="n">
        <v>0</v>
      </c>
      <c r="FI249" s="9" t="inlineStr">
        <is>
          <t>TOTAL</t>
        </is>
      </c>
      <c r="FJ249" s="9" t="n">
        <v>0</v>
      </c>
      <c r="FK249" s="9" t="n">
        <v>0</v>
      </c>
      <c r="FL249" s="9" t="n">
        <v>0</v>
      </c>
      <c r="FM249" s="9" t="n">
        <v>0</v>
      </c>
      <c r="FN249" s="9" t="n">
        <v>0</v>
      </c>
      <c r="FR249" s="9" t="inlineStr">
        <is>
          <t>TOTAL</t>
        </is>
      </c>
      <c r="FS249" s="9" t="n">
        <v>0</v>
      </c>
      <c r="FT249" s="9" t="n">
        <v>320</v>
      </c>
      <c r="FU249" s="9" t="n">
        <v>620</v>
      </c>
      <c r="FV249" s="9" t="n">
        <v>-300</v>
      </c>
      <c r="FW249" s="9" t="n">
        <v>540</v>
      </c>
      <c r="FX249" s="9" t="n">
        <v>27</v>
      </c>
      <c r="FY249" s="9" t="inlineStr">
        <is>
          <t>bags</t>
        </is>
      </c>
      <c r="GA249" s="9" t="inlineStr">
        <is>
          <t>TOTAL</t>
        </is>
      </c>
      <c r="GB249" s="9" t="n">
        <v>0</v>
      </c>
      <c r="GC249" s="9" t="n">
        <v>280</v>
      </c>
      <c r="GD249" s="9" t="n">
        <v>0</v>
      </c>
      <c r="GE249" s="9" t="n">
        <v>280</v>
      </c>
      <c r="GF249" s="9" t="n">
        <v>960</v>
      </c>
      <c r="GG249" s="9" t="n">
        <v>48</v>
      </c>
      <c r="GH249" s="9" t="inlineStr">
        <is>
          <t>bags</t>
        </is>
      </c>
      <c r="GJ249" s="9" t="inlineStr">
        <is>
          <t>TOTAL</t>
        </is>
      </c>
      <c r="GK249" s="9" t="n">
        <v>0</v>
      </c>
      <c r="GL249" s="9" t="n">
        <v>0</v>
      </c>
      <c r="GM249" s="9" t="n">
        <v>0</v>
      </c>
      <c r="GN249" s="9" t="n">
        <v>0</v>
      </c>
      <c r="GO249" s="9" t="n">
        <v>1760</v>
      </c>
      <c r="GP249" s="9" t="n">
        <v>88</v>
      </c>
      <c r="GQ249" s="9" t="inlineStr">
        <is>
          <t>bags</t>
        </is>
      </c>
      <c r="GS249" s="9" t="inlineStr">
        <is>
          <t>TOTAL</t>
        </is>
      </c>
      <c r="GT249" s="9" t="n">
        <v>0</v>
      </c>
      <c r="GU249" s="9" t="n">
        <v>0</v>
      </c>
      <c r="GV249" s="9" t="n">
        <v>0</v>
      </c>
      <c r="GW249" s="9" t="n">
        <v>0</v>
      </c>
      <c r="GX249" s="9" t="n">
        <v>400</v>
      </c>
      <c r="GY249" s="9" t="n">
        <v>20</v>
      </c>
      <c r="GZ249" s="9" t="inlineStr">
        <is>
          <t>bags</t>
        </is>
      </c>
      <c r="HB249" s="9" t="inlineStr">
        <is>
          <t>TOTAL</t>
        </is>
      </c>
      <c r="HC249" s="9" t="n">
        <v>0</v>
      </c>
      <c r="HD249" s="9" t="n">
        <v>0</v>
      </c>
      <c r="HE249" s="9" t="n">
        <v>0</v>
      </c>
      <c r="HF249" s="9" t="n">
        <v>0</v>
      </c>
      <c r="HG249" s="9" t="n">
        <v>3600</v>
      </c>
      <c r="HH249" s="9" t="n">
        <v>180</v>
      </c>
      <c r="HI249" s="9" t="inlineStr">
        <is>
          <t>bags</t>
        </is>
      </c>
      <c r="HK249" s="9" t="inlineStr">
        <is>
          <t>TOTAL</t>
        </is>
      </c>
      <c r="HL249" s="9" t="n">
        <v>0</v>
      </c>
      <c r="HM249" s="9" t="n">
        <v>0</v>
      </c>
      <c r="HN249" s="9" t="n">
        <v>0</v>
      </c>
      <c r="HO249" s="9" t="n">
        <v>0</v>
      </c>
      <c r="HP249" s="9" t="n">
        <v>0</v>
      </c>
      <c r="HU249" s="9" t="inlineStr">
        <is>
          <t>TOTAL</t>
        </is>
      </c>
      <c r="HV249" s="9" t="n">
        <v>0</v>
      </c>
      <c r="HW249" s="9" t="n">
        <v>760</v>
      </c>
      <c r="HX249" s="9" t="n">
        <v>760</v>
      </c>
      <c r="HY249" s="9" t="n">
        <v>0</v>
      </c>
      <c r="HZ249" s="9" t="n">
        <v>5920</v>
      </c>
      <c r="IA249" s="9" t="n">
        <v>296</v>
      </c>
      <c r="IB249" s="9" t="inlineStr">
        <is>
          <t>bags</t>
        </is>
      </c>
      <c r="ID249" s="9" t="inlineStr">
        <is>
          <t>TOTAL</t>
        </is>
      </c>
      <c r="IE249" s="9" t="n">
        <v>0</v>
      </c>
      <c r="IF249" s="9" t="n">
        <v>0</v>
      </c>
      <c r="IG249" s="9" t="n">
        <v>0</v>
      </c>
      <c r="IH249" s="9" t="n">
        <v>0</v>
      </c>
      <c r="II249" s="9" t="n">
        <v>720</v>
      </c>
      <c r="IJ249" s="9" t="n">
        <v>36</v>
      </c>
      <c r="IK249" s="9" t="inlineStr">
        <is>
          <t>bags</t>
        </is>
      </c>
      <c r="IM249" s="9" t="inlineStr">
        <is>
          <t>TOTAL</t>
        </is>
      </c>
      <c r="IN249" s="9" t="n">
        <v>0</v>
      </c>
      <c r="IO249" s="9" t="n">
        <v>840</v>
      </c>
      <c r="IP249" s="9" t="n">
        <v>4840</v>
      </c>
      <c r="IQ249" s="9" t="n">
        <v>-4000</v>
      </c>
      <c r="IR249" s="9" t="n">
        <v>1680</v>
      </c>
      <c r="IS249" s="9" t="n">
        <v>84</v>
      </c>
      <c r="IT249" s="9" t="inlineStr">
        <is>
          <t>bags</t>
        </is>
      </c>
      <c r="IV249" s="9" t="inlineStr">
        <is>
          <t>TOTAL</t>
        </is>
      </c>
      <c r="IW249" s="9" t="n">
        <v>0</v>
      </c>
      <c r="IX249" s="9" t="n">
        <v>0</v>
      </c>
      <c r="IY249" s="9" t="n">
        <v>0</v>
      </c>
      <c r="IZ249" s="9" t="n">
        <v>0</v>
      </c>
      <c r="JA249" s="9" t="n">
        <v>4960</v>
      </c>
      <c r="JB249" s="9" t="n">
        <v>248</v>
      </c>
      <c r="JC249" s="9" t="inlineStr">
        <is>
          <t>bags</t>
        </is>
      </c>
      <c r="JE249" s="9" t="inlineStr">
        <is>
          <t>TOTAL</t>
        </is>
      </c>
      <c r="JF249" s="9" t="n">
        <v>0</v>
      </c>
      <c r="JG249" s="9" t="n">
        <v>0</v>
      </c>
      <c r="JH249" s="9" t="n">
        <v>0</v>
      </c>
      <c r="JI249" s="9" t="n">
        <v>0</v>
      </c>
      <c r="JJ249" s="9" t="n">
        <v>0</v>
      </c>
      <c r="JN249" s="9" t="inlineStr">
        <is>
          <t>TOTAL</t>
        </is>
      </c>
      <c r="JO249" s="9" t="n">
        <v>0</v>
      </c>
      <c r="JP249" s="9" t="n">
        <v>2520</v>
      </c>
      <c r="JQ249" s="9" t="n">
        <v>0</v>
      </c>
      <c r="JR249" s="9" t="n">
        <v>2520</v>
      </c>
      <c r="JS249" s="9" t="n">
        <v>0</v>
      </c>
      <c r="JT249" s="9" t="n">
        <v>0</v>
      </c>
      <c r="JU249" s="9" t="inlineStr">
        <is>
          <t>bags</t>
        </is>
      </c>
      <c r="JW249" s="9" t="inlineStr">
        <is>
          <t>TOTAL</t>
        </is>
      </c>
      <c r="JX249" s="9" t="n">
        <v>0</v>
      </c>
      <c r="JY249" s="9" t="n">
        <v>0</v>
      </c>
      <c r="JZ249" s="9" t="n">
        <v>0</v>
      </c>
      <c r="KA249" s="9" t="n">
        <v>0</v>
      </c>
      <c r="KB249" s="9" t="n">
        <v>2540</v>
      </c>
      <c r="KC249" s="9" t="n">
        <v>127</v>
      </c>
      <c r="KD249" s="9" t="inlineStr">
        <is>
          <t>bags</t>
        </is>
      </c>
      <c r="KF249" s="9" t="inlineStr">
        <is>
          <t>TOTAL</t>
        </is>
      </c>
      <c r="KG249" s="9" t="n">
        <v>0</v>
      </c>
      <c r="KH249" s="9" t="n">
        <v>0</v>
      </c>
      <c r="KI249" s="9" t="n">
        <v>0</v>
      </c>
      <c r="KJ249" s="9" t="n">
        <v>0</v>
      </c>
      <c r="KK249" s="9" t="n">
        <v>2359.5</v>
      </c>
      <c r="KL249" s="9" t="n">
        <v>121</v>
      </c>
      <c r="KM249" s="9" t="inlineStr">
        <is>
          <t>bags</t>
        </is>
      </c>
      <c r="KO249" s="9" t="inlineStr">
        <is>
          <t>TOTAL</t>
        </is>
      </c>
      <c r="KP249" s="9" t="n">
        <v>0</v>
      </c>
      <c r="KQ249" s="9" t="n">
        <v>0</v>
      </c>
      <c r="KR249" s="9" t="n">
        <v>0</v>
      </c>
      <c r="KS249" s="9" t="n">
        <v>0</v>
      </c>
      <c r="KT249" s="9" t="n">
        <v>1890</v>
      </c>
      <c r="KU249" s="9" t="n">
        <v>100</v>
      </c>
      <c r="KV249" s="9" t="inlineStr">
        <is>
          <t>bags</t>
        </is>
      </c>
      <c r="KX249" s="9" t="inlineStr">
        <is>
          <t>TOTAL</t>
        </is>
      </c>
      <c r="KY249" s="9" t="n">
        <v>0</v>
      </c>
      <c r="KZ249" s="9" t="n">
        <v>0</v>
      </c>
      <c r="LA249" s="9" t="n">
        <v>0</v>
      </c>
      <c r="LB249" s="9" t="n">
        <v>0</v>
      </c>
      <c r="LC249" s="9" t="n">
        <v>3690</v>
      </c>
      <c r="LD249" s="9" t="n">
        <v>180</v>
      </c>
      <c r="LE249" s="9" t="inlineStr">
        <is>
          <t>bags</t>
        </is>
      </c>
      <c r="LG249" s="9" t="inlineStr">
        <is>
          <t>TOTAL</t>
        </is>
      </c>
      <c r="LH249" s="9" t="n">
        <v>0</v>
      </c>
      <c r="LI249" s="9" t="n">
        <v>0</v>
      </c>
      <c r="LJ249" s="9" t="n">
        <v>0</v>
      </c>
      <c r="LK249" s="9" t="n">
        <v>0</v>
      </c>
      <c r="LL249" s="9" t="n">
        <v>4000</v>
      </c>
      <c r="LM249" s="9" t="n">
        <v>200</v>
      </c>
      <c r="LN249" s="9" t="inlineStr">
        <is>
          <t>bags</t>
        </is>
      </c>
      <c r="LP249" s="9" t="inlineStr">
        <is>
          <t>TOTAL</t>
        </is>
      </c>
      <c r="LQ249" s="9" t="n">
        <v>0</v>
      </c>
      <c r="LR249" s="9" t="n">
        <v>0</v>
      </c>
      <c r="LS249" s="9" t="n">
        <v>0</v>
      </c>
      <c r="LT249" s="9" t="n">
        <v>0</v>
      </c>
      <c r="LU249" s="9" t="n">
        <v>0</v>
      </c>
      <c r="LY249" s="9" t="inlineStr">
        <is>
          <t>TOTAL</t>
        </is>
      </c>
      <c r="LZ249" s="9" t="n">
        <v>0</v>
      </c>
      <c r="MA249" s="9" t="n">
        <v>0</v>
      </c>
      <c r="MB249" s="9" t="n">
        <v>0</v>
      </c>
      <c r="MC249" s="9" t="n">
        <v>0</v>
      </c>
      <c r="MD249" s="9" t="n">
        <v>0</v>
      </c>
      <c r="MH249" s="9" t="inlineStr">
        <is>
          <t>TOTAL</t>
        </is>
      </c>
      <c r="MI249" s="9" t="n">
        <v>0</v>
      </c>
      <c r="MJ249" s="9" t="n">
        <v>0</v>
      </c>
      <c r="MK249" s="9" t="n">
        <v>0</v>
      </c>
      <c r="ML249" s="9" t="n">
        <v>0</v>
      </c>
      <c r="MM249" s="9" t="n">
        <v>0</v>
      </c>
      <c r="MQ249" s="9" t="inlineStr">
        <is>
          <t>TOTAL</t>
        </is>
      </c>
      <c r="MR249" s="9" t="n">
        <v>0</v>
      </c>
      <c r="MS249" s="9" t="n">
        <v>34</v>
      </c>
      <c r="MT249" s="9" t="n">
        <v>1379</v>
      </c>
      <c r="MU249" s="9" t="n">
        <v>-1345</v>
      </c>
      <c r="MV249" s="9" t="n">
        <v>2216</v>
      </c>
      <c r="MZ249" s="9" t="inlineStr">
        <is>
          <t>TOTAL</t>
        </is>
      </c>
      <c r="NA249" s="9" t="n">
        <v>12006</v>
      </c>
      <c r="NB249" s="9" t="n">
        <v>618</v>
      </c>
      <c r="NC249" s="9" t="n">
        <v>12006</v>
      </c>
      <c r="ND249" s="9" t="n">
        <v>-11388</v>
      </c>
      <c r="NE249" s="9" t="n">
        <v>0</v>
      </c>
      <c r="NI249" s="9" t="inlineStr">
        <is>
          <t>TOTAL</t>
        </is>
      </c>
      <c r="NJ249" s="9" t="n">
        <v>0</v>
      </c>
      <c r="NK249" s="9" t="n">
        <v>0</v>
      </c>
      <c r="NL249" s="9" t="n">
        <v>0</v>
      </c>
      <c r="NM249" s="9" t="n">
        <v>0</v>
      </c>
      <c r="NN249" s="9" t="n">
        <v>1127</v>
      </c>
      <c r="NR249" s="9" t="inlineStr">
        <is>
          <t>TOTAL</t>
        </is>
      </c>
      <c r="NS249" s="9" t="n">
        <v>0</v>
      </c>
      <c r="NT249" s="9" t="n">
        <v>0</v>
      </c>
      <c r="NU249" s="9" t="n">
        <v>0</v>
      </c>
      <c r="NV249" s="9" t="n">
        <v>0</v>
      </c>
      <c r="NW249" s="9" t="n">
        <v>3112</v>
      </c>
      <c r="OA249" s="9" t="inlineStr">
        <is>
          <t>TOTAL</t>
        </is>
      </c>
      <c r="OB249" s="9" t="n">
        <v>0</v>
      </c>
      <c r="OC249" s="9" t="n">
        <v>0</v>
      </c>
      <c r="OD249" s="9" t="n">
        <v>0</v>
      </c>
      <c r="OE249" s="9" t="n">
        <v>0</v>
      </c>
      <c r="OF249" s="9" t="n">
        <v>1680.5</v>
      </c>
      <c r="OJ249" s="9" t="inlineStr">
        <is>
          <t>TOTAL</t>
        </is>
      </c>
      <c r="OK249" s="9" t="n">
        <v>2089.6</v>
      </c>
      <c r="OL249" s="9" t="n">
        <v>0</v>
      </c>
      <c r="OM249" s="9" t="n">
        <v>2089.6</v>
      </c>
      <c r="ON249" s="9" t="n">
        <v>-2089.6</v>
      </c>
      <c r="OO249" s="9" t="n">
        <v>0</v>
      </c>
      <c r="OS249" s="9" t="inlineStr">
        <is>
          <t>TOTAL</t>
        </is>
      </c>
      <c r="OT249" s="9" t="n">
        <v>0</v>
      </c>
      <c r="OU249" s="9" t="n">
        <v>0</v>
      </c>
      <c r="OV249" s="9" t="n">
        <v>0</v>
      </c>
      <c r="OW249" s="9" t="n">
        <v>0</v>
      </c>
      <c r="OX249" s="9" t="n">
        <v>1482</v>
      </c>
      <c r="PB249" s="9" t="inlineStr">
        <is>
          <t>TOTAL</t>
        </is>
      </c>
      <c r="PC249" s="9" t="n">
        <v>0</v>
      </c>
      <c r="PD249" s="9" t="n">
        <v>0</v>
      </c>
      <c r="PE249" s="9" t="n">
        <v>0</v>
      </c>
      <c r="PF249" s="9" t="n">
        <v>0</v>
      </c>
      <c r="PG249" s="9" t="n">
        <v>0</v>
      </c>
      <c r="PK249" s="9" t="inlineStr">
        <is>
          <t>TOTAL</t>
        </is>
      </c>
      <c r="PL249" s="9" t="n">
        <v>0</v>
      </c>
      <c r="PM249" s="9" t="n">
        <v>0</v>
      </c>
      <c r="PN249" s="9" t="n">
        <v>0</v>
      </c>
      <c r="PO249" s="9" t="n">
        <v>0</v>
      </c>
      <c r="PP249" s="9" t="n">
        <v>100</v>
      </c>
      <c r="PT249" s="9" t="inlineStr">
        <is>
          <t>TOTAL</t>
        </is>
      </c>
      <c r="PU249" s="9" t="n">
        <v>0</v>
      </c>
      <c r="PV249" s="9" t="n">
        <v>0</v>
      </c>
      <c r="PW249" s="9" t="n">
        <v>0</v>
      </c>
      <c r="PX249" s="9" t="n">
        <v>0</v>
      </c>
      <c r="PY249" s="9" t="n">
        <v>13.96000000000004</v>
      </c>
      <c r="QC249" s="9" t="inlineStr">
        <is>
          <t>TOTAL</t>
        </is>
      </c>
      <c r="QD249" s="9" t="n">
        <v>484</v>
      </c>
      <c r="QE249" s="9" t="n">
        <v>168</v>
      </c>
      <c r="QF249" s="9" t="n">
        <v>936</v>
      </c>
      <c r="QG249" s="9" t="n">
        <v>-768</v>
      </c>
      <c r="QH249" s="9" t="n">
        <v>1284</v>
      </c>
      <c r="QL249" s="9" t="inlineStr">
        <is>
          <t>TOTAL</t>
        </is>
      </c>
      <c r="QM249" s="9" t="n">
        <v>0</v>
      </c>
      <c r="QN249" s="9" t="n">
        <v>315</v>
      </c>
      <c r="QO249" s="9" t="n">
        <v>250</v>
      </c>
      <c r="QP249" s="9" t="n">
        <v>65</v>
      </c>
      <c r="QQ249" s="9" t="n">
        <v>0</v>
      </c>
      <c r="QU249" s="9" t="inlineStr">
        <is>
          <t>TOTAL</t>
        </is>
      </c>
      <c r="QV249" s="9" t="n">
        <v>0</v>
      </c>
      <c r="QW249" s="9" t="n">
        <v>0</v>
      </c>
      <c r="QX249" s="9" t="n">
        <v>0</v>
      </c>
      <c r="QY249" s="9" t="n">
        <v>0</v>
      </c>
      <c r="QZ249" s="9" t="n">
        <v>207.6</v>
      </c>
      <c r="RD249" s="9" t="inlineStr">
        <is>
          <t>TOTAL</t>
        </is>
      </c>
      <c r="RE249" s="9" t="n">
        <v>0</v>
      </c>
      <c r="RF249" s="9" t="n">
        <v>0</v>
      </c>
      <c r="RG249" s="9" t="n">
        <v>0</v>
      </c>
      <c r="RH249" s="9" t="n">
        <v>0</v>
      </c>
      <c r="RI249" s="9" t="n">
        <v>147.04</v>
      </c>
      <c r="RM249" s="9" t="inlineStr">
        <is>
          <t>TOTAL</t>
        </is>
      </c>
      <c r="RN249" s="9" t="n">
        <v>0</v>
      </c>
      <c r="RO249" s="9" t="n">
        <v>0</v>
      </c>
      <c r="RP249" s="9" t="n">
        <v>0</v>
      </c>
      <c r="RQ249" s="9" t="n">
        <v>0</v>
      </c>
      <c r="RR249" s="9" t="n">
        <v>46.8</v>
      </c>
      <c r="RV249" s="9" t="inlineStr">
        <is>
          <t>TOTAL</t>
        </is>
      </c>
      <c r="RW249" s="9" t="n">
        <v>0</v>
      </c>
      <c r="RX249" s="9" t="n">
        <v>0</v>
      </c>
      <c r="RY249" s="9" t="n">
        <v>0</v>
      </c>
      <c r="RZ249" s="9" t="n">
        <v>0</v>
      </c>
      <c r="SA249" s="9" t="n">
        <v>0</v>
      </c>
      <c r="SE249" s="9" t="inlineStr">
        <is>
          <t>TOTAL</t>
        </is>
      </c>
      <c r="SF249" s="9" t="n">
        <v>0</v>
      </c>
      <c r="SG249" s="9" t="n">
        <v>0</v>
      </c>
      <c r="SH249" s="9" t="n">
        <v>0</v>
      </c>
      <c r="SI249" s="9" t="n">
        <v>0</v>
      </c>
      <c r="SJ249" s="9" t="n">
        <v>24.2</v>
      </c>
      <c r="SN249" s="9" t="inlineStr">
        <is>
          <t>TOTAL</t>
        </is>
      </c>
      <c r="SO249" s="9" t="n">
        <v>0</v>
      </c>
      <c r="SP249" s="9" t="n">
        <v>0</v>
      </c>
      <c r="SQ249" s="9" t="n">
        <v>0</v>
      </c>
      <c r="SR249" s="9" t="n">
        <v>0</v>
      </c>
      <c r="SS249" s="9" t="n">
        <v>32</v>
      </c>
      <c r="SW249" s="9" t="inlineStr">
        <is>
          <t>TOTAL</t>
        </is>
      </c>
      <c r="SX249" s="9" t="n">
        <v>0</v>
      </c>
      <c r="SY249" s="9" t="n">
        <v>0</v>
      </c>
      <c r="SZ249" s="9" t="n">
        <v>0</v>
      </c>
      <c r="TA249" s="9" t="n">
        <v>0</v>
      </c>
      <c r="TB249" s="9" t="n">
        <v>0</v>
      </c>
      <c r="TF249" s="9" t="inlineStr">
        <is>
          <t>TOTAL</t>
        </is>
      </c>
      <c r="TG249" s="9" t="n">
        <v>0</v>
      </c>
      <c r="TH249" s="9" t="n">
        <v>315</v>
      </c>
      <c r="TI249" s="9" t="n">
        <v>0</v>
      </c>
      <c r="TJ249" s="9" t="n">
        <v>315</v>
      </c>
      <c r="TK249" s="9" t="n">
        <v>0</v>
      </c>
      <c r="TO249" s="9" t="inlineStr">
        <is>
          <t>TOTAL</t>
        </is>
      </c>
      <c r="TP249" s="9" t="n">
        <v>0</v>
      </c>
      <c r="TQ249" s="9" t="n">
        <v>315</v>
      </c>
      <c r="TR249" s="9" t="n">
        <v>12</v>
      </c>
      <c r="TS249" s="9" t="n">
        <v>303</v>
      </c>
      <c r="TT249" s="9" t="n">
        <v>10.40000000000001</v>
      </c>
      <c r="TU249" s="9" t="n">
        <v>26.00000000000001</v>
      </c>
      <c r="TX249" s="9" t="inlineStr">
        <is>
          <t>TOTAL</t>
        </is>
      </c>
      <c r="TY249" s="9" t="n">
        <v>0</v>
      </c>
      <c r="TZ249" s="9" t="n">
        <v>315</v>
      </c>
      <c r="UA249" s="9" t="n">
        <v>0</v>
      </c>
      <c r="UB249" s="9" t="n">
        <v>315</v>
      </c>
      <c r="UC249" s="9" t="n">
        <v>46.79999999999998</v>
      </c>
      <c r="UG249" s="9" t="inlineStr">
        <is>
          <t>TOTAL</t>
        </is>
      </c>
      <c r="UH249" s="9" t="n">
        <v>0</v>
      </c>
      <c r="UI249" s="9" t="n">
        <v>315</v>
      </c>
      <c r="UJ249" s="9" t="n">
        <v>0</v>
      </c>
      <c r="UK249" s="9" t="n">
        <v>315</v>
      </c>
      <c r="UL249" s="9" t="n">
        <v>204</v>
      </c>
      <c r="UP249" s="9" t="inlineStr">
        <is>
          <t>TOTAL</t>
        </is>
      </c>
      <c r="UQ249" s="9" t="n">
        <v>0</v>
      </c>
      <c r="UR249" s="9" t="n">
        <v>0</v>
      </c>
      <c r="US249" s="9" t="n">
        <v>48.75</v>
      </c>
      <c r="UT249" s="9" t="n">
        <v>-48.75</v>
      </c>
      <c r="UU249" s="9" t="n">
        <v>202.5</v>
      </c>
      <c r="UY249" s="9" t="inlineStr">
        <is>
          <t>TOTAL</t>
        </is>
      </c>
      <c r="UZ249" s="9" t="n">
        <v>0</v>
      </c>
      <c r="VA249" s="9" t="n">
        <v>0</v>
      </c>
      <c r="VB249" s="9" t="n">
        <v>0</v>
      </c>
      <c r="VC249" s="9" t="n">
        <v>0</v>
      </c>
      <c r="VD249" s="9" t="n">
        <v>41.60000000000002</v>
      </c>
      <c r="VH249" s="9" t="inlineStr">
        <is>
          <t>TOTAL</t>
        </is>
      </c>
      <c r="VI249" s="9" t="n">
        <v>0</v>
      </c>
      <c r="VJ249" s="9" t="n">
        <v>0</v>
      </c>
      <c r="VK249" s="9" t="n">
        <v>0</v>
      </c>
      <c r="VL249" s="9" t="n">
        <v>0</v>
      </c>
      <c r="VM249" s="9" t="n">
        <v>210</v>
      </c>
      <c r="VQ249" s="9" t="inlineStr">
        <is>
          <t>TOTAL</t>
        </is>
      </c>
      <c r="VR249" s="9" t="n">
        <v>0</v>
      </c>
      <c r="VS249" s="9" t="n">
        <v>315</v>
      </c>
      <c r="VT249" s="9" t="n">
        <v>0</v>
      </c>
      <c r="VU249" s="9" t="n">
        <v>315</v>
      </c>
      <c r="VV249" s="9" t="n">
        <v>0</v>
      </c>
      <c r="VZ249" s="9" t="inlineStr">
        <is>
          <t>TOTAL</t>
        </is>
      </c>
      <c r="WA249" s="9" t="n">
        <v>0</v>
      </c>
      <c r="WB249" s="9" t="n">
        <v>315</v>
      </c>
      <c r="WC249" s="9" t="n">
        <v>0</v>
      </c>
      <c r="WD249" s="9" t="n">
        <v>315</v>
      </c>
      <c r="WE249" s="9" t="n">
        <v>0</v>
      </c>
      <c r="WI249" s="9" t="inlineStr">
        <is>
          <t>TOTAL</t>
        </is>
      </c>
      <c r="WJ249" s="9" t="n">
        <v>0</v>
      </c>
      <c r="WK249" s="9" t="n">
        <v>315</v>
      </c>
      <c r="WL249" s="9" t="n">
        <v>0</v>
      </c>
      <c r="WM249" s="9" t="n">
        <v>315</v>
      </c>
      <c r="WN249" s="9" t="n">
        <v>1057</v>
      </c>
      <c r="WR249" s="9" t="inlineStr">
        <is>
          <t>TOTAL</t>
        </is>
      </c>
      <c r="WS249" s="9" t="n">
        <v>0</v>
      </c>
      <c r="WT249" s="9" t="n">
        <v>315</v>
      </c>
      <c r="WU249" s="9" t="n">
        <v>0</v>
      </c>
      <c r="WV249" s="9" t="n">
        <v>315</v>
      </c>
      <c r="WW249" s="9" t="n">
        <v>0</v>
      </c>
      <c r="XA249" s="9" t="inlineStr">
        <is>
          <t>TOTAL</t>
        </is>
      </c>
      <c r="XB249" s="9" t="n">
        <v>0</v>
      </c>
      <c r="XC249" s="9" t="n">
        <v>315</v>
      </c>
      <c r="XD249" s="9" t="n">
        <v>0</v>
      </c>
      <c r="XE249" s="9" t="n">
        <v>315</v>
      </c>
      <c r="XF249" s="9" t="n">
        <v>7507</v>
      </c>
      <c r="XJ249" s="9" t="inlineStr">
        <is>
          <t>TOTAL</t>
        </is>
      </c>
      <c r="XK249" s="9" t="n">
        <v>0</v>
      </c>
      <c r="XL249" s="9" t="n">
        <v>315</v>
      </c>
      <c r="XM249" s="9" t="n">
        <v>0</v>
      </c>
      <c r="XN249" s="9" t="n">
        <v>315</v>
      </c>
      <c r="XO249" s="9" t="n">
        <v>4252</v>
      </c>
      <c r="XS249" s="9" t="inlineStr">
        <is>
          <t>TOTAL</t>
        </is>
      </c>
      <c r="XT249" s="9" t="n">
        <v>0</v>
      </c>
      <c r="XU249" s="9" t="n">
        <v>315</v>
      </c>
      <c r="XV249" s="9" t="n">
        <v>0</v>
      </c>
      <c r="XW249" s="9" t="n">
        <v>315</v>
      </c>
      <c r="XX249" s="9" t="n">
        <v>2179</v>
      </c>
      <c r="YB249" s="9" t="inlineStr">
        <is>
          <t>TOTAL</t>
        </is>
      </c>
      <c r="YC249" s="9" t="n">
        <v>0</v>
      </c>
      <c r="YD249" s="9" t="n">
        <v>315</v>
      </c>
      <c r="YE249" s="9" t="n">
        <v>0</v>
      </c>
      <c r="YF249" s="9" t="n">
        <v>315</v>
      </c>
      <c r="YG249" s="9" t="n">
        <v>4019</v>
      </c>
      <c r="YK249" s="9" t="inlineStr">
        <is>
          <t>TOTAL</t>
        </is>
      </c>
      <c r="YL249" s="9" t="n">
        <v>0</v>
      </c>
      <c r="YM249" s="9" t="n">
        <v>315</v>
      </c>
      <c r="YN249" s="9" t="n">
        <v>0</v>
      </c>
      <c r="YO249" s="9" t="n">
        <v>315</v>
      </c>
      <c r="YP249" s="9" t="n">
        <v>0</v>
      </c>
      <c r="YT249" s="9" t="inlineStr">
        <is>
          <t>TOTAL</t>
        </is>
      </c>
      <c r="YU249" s="9" t="n">
        <v>0</v>
      </c>
      <c r="YV249" s="9" t="n">
        <v>315</v>
      </c>
      <c r="YW249" s="9" t="n">
        <v>0</v>
      </c>
      <c r="YX249" s="9" t="n">
        <v>315</v>
      </c>
      <c r="YY249" s="9" t="n">
        <v>0</v>
      </c>
      <c r="ZC249" s="9" t="inlineStr">
        <is>
          <t>TOTAL</t>
        </is>
      </c>
      <c r="ZD249" s="9" t="n">
        <v>0</v>
      </c>
      <c r="ZE249" s="9" t="n">
        <v>315</v>
      </c>
      <c r="ZF249" s="9" t="n">
        <v>0</v>
      </c>
      <c r="ZG249" s="9" t="n">
        <v>315</v>
      </c>
      <c r="ZH249" s="9" t="n">
        <v>0</v>
      </c>
      <c r="ZL249" s="9" t="inlineStr">
        <is>
          <t>TOTAL</t>
        </is>
      </c>
      <c r="ZM249" s="9" t="n">
        <v>0</v>
      </c>
      <c r="ZN249" s="9" t="n">
        <v>315</v>
      </c>
      <c r="ZO249" s="9" t="n">
        <v>0</v>
      </c>
      <c r="ZP249" s="9" t="n">
        <v>315</v>
      </c>
      <c r="ZQ249" s="9" t="n">
        <v>0</v>
      </c>
      <c r="ZU249" s="9" t="inlineStr">
        <is>
          <t>TOTAL</t>
        </is>
      </c>
      <c r="ZV249" s="9" t="n">
        <v>0</v>
      </c>
      <c r="ZW249" s="9" t="n">
        <v>315</v>
      </c>
      <c r="ZX249" s="9" t="n">
        <v>0</v>
      </c>
      <c r="ZY249" s="9" t="n">
        <v>315</v>
      </c>
      <c r="ZZ249" s="9" t="n">
        <v>0</v>
      </c>
      <c r="AAD249" s="9" t="inlineStr">
        <is>
          <t>TOTAL</t>
        </is>
      </c>
      <c r="AAE249" s="9" t="n">
        <v>0</v>
      </c>
      <c r="AAF249" s="9" t="n">
        <v>315</v>
      </c>
      <c r="AAG249" s="9" t="n">
        <v>0</v>
      </c>
      <c r="AAH249" s="9" t="n">
        <v>315</v>
      </c>
      <c r="AAI249" s="9" t="n">
        <v>0</v>
      </c>
      <c r="AAM249" s="9" t="inlineStr">
        <is>
          <t>TOTAL</t>
        </is>
      </c>
      <c r="AAN249" s="9" t="n">
        <v>0</v>
      </c>
      <c r="AAO249" s="9" t="n">
        <v>315</v>
      </c>
      <c r="AAP249" s="9" t="n">
        <v>0</v>
      </c>
      <c r="AAQ249" s="9" t="n">
        <v>315</v>
      </c>
      <c r="AAR249" s="9" t="n">
        <v>0</v>
      </c>
      <c r="AAV249" s="9" t="inlineStr">
        <is>
          <t>TOTAL</t>
        </is>
      </c>
      <c r="AAW249" s="9" t="n">
        <v>0</v>
      </c>
      <c r="AAX249" s="9" t="n">
        <v>315</v>
      </c>
      <c r="AAY249" s="9" t="n">
        <v>0</v>
      </c>
      <c r="AAZ249" s="9" t="n">
        <v>315</v>
      </c>
      <c r="ABA249" s="9" t="n">
        <v>0</v>
      </c>
      <c r="ABE249" s="9" t="inlineStr">
        <is>
          <t>TOTAL</t>
        </is>
      </c>
      <c r="ABF249" s="9" t="n">
        <v>0</v>
      </c>
      <c r="ABG249" s="9" t="n">
        <v>315</v>
      </c>
      <c r="ABH249" s="9" t="n">
        <v>0</v>
      </c>
      <c r="ABI249" s="9" t="n">
        <v>315</v>
      </c>
      <c r="ABJ249" s="9" t="n">
        <v>0</v>
      </c>
    </row>
    <row r="250"/>
    <row r="251">
      <c r="A251" s="9" t="inlineStr">
        <is>
          <t>AUG</t>
        </is>
      </c>
      <c r="C251" s="9" t="inlineStr">
        <is>
          <t>AUGUST</t>
        </is>
      </c>
      <c r="J251" s="9" t="inlineStr">
        <is>
          <t>AUG</t>
        </is>
      </c>
      <c r="L251" s="9" t="inlineStr">
        <is>
          <t>AUGUST</t>
        </is>
      </c>
      <c r="S251" s="9" t="inlineStr">
        <is>
          <t>AUG</t>
        </is>
      </c>
      <c r="U251" s="9" t="inlineStr">
        <is>
          <t>AUGUST</t>
        </is>
      </c>
      <c r="AB251" s="9" t="inlineStr">
        <is>
          <t>AUG</t>
        </is>
      </c>
      <c r="AD251" s="9" t="inlineStr">
        <is>
          <t>AUGUST</t>
        </is>
      </c>
      <c r="AK251" s="9" t="inlineStr">
        <is>
          <t>AUG</t>
        </is>
      </c>
      <c r="AM251" s="9" t="inlineStr">
        <is>
          <t>AUGUST</t>
        </is>
      </c>
      <c r="AT251" s="9" t="inlineStr">
        <is>
          <t>AUG</t>
        </is>
      </c>
      <c r="AV251" s="9" t="inlineStr">
        <is>
          <t>AUGUST</t>
        </is>
      </c>
      <c r="BC251" s="9" t="inlineStr">
        <is>
          <t>AUG</t>
        </is>
      </c>
      <c r="BE251" s="9" t="inlineStr">
        <is>
          <t>AUGUST</t>
        </is>
      </c>
      <c r="BL251" s="9" t="inlineStr">
        <is>
          <t>AUG</t>
        </is>
      </c>
      <c r="BN251" s="9" t="inlineStr">
        <is>
          <t>AUGUST</t>
        </is>
      </c>
      <c r="BU251" s="9" t="inlineStr">
        <is>
          <t>AUG</t>
        </is>
      </c>
      <c r="BW251" s="9" t="inlineStr">
        <is>
          <t>AUGUST</t>
        </is>
      </c>
      <c r="CD251" s="9" t="inlineStr">
        <is>
          <t>AUG</t>
        </is>
      </c>
      <c r="CF251" s="9" t="inlineStr">
        <is>
          <t>AUGUST</t>
        </is>
      </c>
      <c r="CM251" s="9" t="inlineStr">
        <is>
          <t>AUG</t>
        </is>
      </c>
      <c r="CO251" s="9" t="inlineStr">
        <is>
          <t>AUGUST</t>
        </is>
      </c>
      <c r="CV251" s="9" t="inlineStr">
        <is>
          <t>AUG</t>
        </is>
      </c>
      <c r="CX251" s="9" t="inlineStr">
        <is>
          <t>AUGUST</t>
        </is>
      </c>
      <c r="DE251" s="9" t="inlineStr">
        <is>
          <t>AUG</t>
        </is>
      </c>
      <c r="DG251" s="9" t="inlineStr">
        <is>
          <t>AUGUST</t>
        </is>
      </c>
      <c r="DN251" s="9" t="inlineStr">
        <is>
          <t>AUG</t>
        </is>
      </c>
      <c r="DP251" s="9" t="inlineStr">
        <is>
          <t>AUGUST</t>
        </is>
      </c>
      <c r="DW251" s="9" t="inlineStr">
        <is>
          <t>AUG</t>
        </is>
      </c>
      <c r="DY251" s="9" t="inlineStr">
        <is>
          <t>AUGUST</t>
        </is>
      </c>
      <c r="EF251" s="9" t="inlineStr">
        <is>
          <t>AUG</t>
        </is>
      </c>
      <c r="EH251" s="9" t="inlineStr">
        <is>
          <t>AUGUST</t>
        </is>
      </c>
      <c r="EO251" s="9" t="inlineStr">
        <is>
          <t>AUG</t>
        </is>
      </c>
      <c r="EQ251" s="9" t="inlineStr">
        <is>
          <t>AUGUST</t>
        </is>
      </c>
      <c r="EX251" s="9" t="inlineStr">
        <is>
          <t>AUG</t>
        </is>
      </c>
      <c r="EZ251" s="9" t="inlineStr">
        <is>
          <t>AUGUST</t>
        </is>
      </c>
      <c r="FG251" s="9" t="inlineStr">
        <is>
          <t>AUG</t>
        </is>
      </c>
      <c r="FI251" s="9" t="inlineStr">
        <is>
          <t>AUGUST</t>
        </is>
      </c>
      <c r="FP251" s="9" t="inlineStr">
        <is>
          <t>AUG</t>
        </is>
      </c>
      <c r="FR251" s="9" t="inlineStr">
        <is>
          <t>AUGUST</t>
        </is>
      </c>
      <c r="FY251" s="9" t="inlineStr">
        <is>
          <t>AUG</t>
        </is>
      </c>
      <c r="GA251" s="9" t="inlineStr">
        <is>
          <t>AUGUST</t>
        </is>
      </c>
      <c r="GH251" s="9" t="inlineStr">
        <is>
          <t>AUG</t>
        </is>
      </c>
      <c r="GJ251" s="9" t="inlineStr">
        <is>
          <t>AUGUST</t>
        </is>
      </c>
      <c r="GQ251" s="9" t="inlineStr">
        <is>
          <t>AUG</t>
        </is>
      </c>
      <c r="GS251" s="9" t="inlineStr">
        <is>
          <t>AUGUST</t>
        </is>
      </c>
      <c r="GZ251" s="9" t="inlineStr">
        <is>
          <t>AUG</t>
        </is>
      </c>
      <c r="HB251" s="9" t="inlineStr">
        <is>
          <t>AUGUST</t>
        </is>
      </c>
      <c r="HI251" s="9" t="inlineStr">
        <is>
          <t>AUG</t>
        </is>
      </c>
      <c r="HK251" s="9" t="inlineStr">
        <is>
          <t>AUGUST</t>
        </is>
      </c>
      <c r="HS251" s="9" t="inlineStr">
        <is>
          <t>AUG</t>
        </is>
      </c>
      <c r="HU251" s="9" t="inlineStr">
        <is>
          <t>AUGUST</t>
        </is>
      </c>
      <c r="IB251" s="9" t="inlineStr">
        <is>
          <t>AUG</t>
        </is>
      </c>
      <c r="ID251" s="9" t="inlineStr">
        <is>
          <t>AUGUST</t>
        </is>
      </c>
      <c r="IK251" s="9" t="inlineStr">
        <is>
          <t>AUG</t>
        </is>
      </c>
      <c r="IM251" s="9" t="inlineStr">
        <is>
          <t>AUGUST</t>
        </is>
      </c>
      <c r="IT251" s="9" t="inlineStr">
        <is>
          <t>AUG</t>
        </is>
      </c>
      <c r="IV251" s="9" t="inlineStr">
        <is>
          <t>AUGUST</t>
        </is>
      </c>
      <c r="JC251" s="9" t="inlineStr">
        <is>
          <t>AUG</t>
        </is>
      </c>
      <c r="JE251" s="9" t="inlineStr">
        <is>
          <t>AUGUST</t>
        </is>
      </c>
      <c r="JL251" s="9" t="inlineStr">
        <is>
          <t>AUG</t>
        </is>
      </c>
      <c r="JN251" s="9" t="inlineStr">
        <is>
          <t>AUGUST</t>
        </is>
      </c>
      <c r="JU251" s="9" t="inlineStr">
        <is>
          <t>AUG</t>
        </is>
      </c>
      <c r="JW251" s="9" t="inlineStr">
        <is>
          <t>AUGUST</t>
        </is>
      </c>
      <c r="KD251" s="9" t="inlineStr">
        <is>
          <t>AUG</t>
        </is>
      </c>
      <c r="KF251" s="9" t="inlineStr">
        <is>
          <t>AUGUST</t>
        </is>
      </c>
      <c r="KM251" s="9" t="inlineStr">
        <is>
          <t>AUG</t>
        </is>
      </c>
      <c r="KO251" s="9" t="inlineStr">
        <is>
          <t>AUGUST</t>
        </is>
      </c>
      <c r="KV251" s="9" t="inlineStr">
        <is>
          <t>AUG</t>
        </is>
      </c>
      <c r="KX251" s="9" t="inlineStr">
        <is>
          <t>AUGUST</t>
        </is>
      </c>
      <c r="LE251" s="9" t="inlineStr">
        <is>
          <t>AUG</t>
        </is>
      </c>
      <c r="LG251" s="9" t="inlineStr">
        <is>
          <t>AUGUST</t>
        </is>
      </c>
      <c r="LN251" s="9" t="inlineStr">
        <is>
          <t>AUG</t>
        </is>
      </c>
      <c r="LP251" s="9" t="inlineStr">
        <is>
          <t>AUGUST</t>
        </is>
      </c>
      <c r="LW251" s="9" t="inlineStr">
        <is>
          <t>AUG</t>
        </is>
      </c>
      <c r="LY251" s="9" t="inlineStr">
        <is>
          <t>AUGUST</t>
        </is>
      </c>
      <c r="MF251" s="9" t="inlineStr">
        <is>
          <t>AUG</t>
        </is>
      </c>
      <c r="MH251" s="9" t="inlineStr">
        <is>
          <t>AUGUST</t>
        </is>
      </c>
      <c r="MO251" s="9" t="inlineStr">
        <is>
          <t>AUG</t>
        </is>
      </c>
      <c r="MQ251" s="9" t="inlineStr">
        <is>
          <t>AUGUST</t>
        </is>
      </c>
      <c r="MX251" s="9" t="inlineStr">
        <is>
          <t>AUG</t>
        </is>
      </c>
      <c r="MZ251" s="9" t="inlineStr">
        <is>
          <t>AUGUST</t>
        </is>
      </c>
      <c r="NG251" s="9" t="inlineStr">
        <is>
          <t>AUG</t>
        </is>
      </c>
      <c r="NI251" s="9" t="inlineStr">
        <is>
          <t>AUGUST</t>
        </is>
      </c>
      <c r="NP251" s="9" t="inlineStr">
        <is>
          <t>AUG</t>
        </is>
      </c>
      <c r="NR251" s="9" t="inlineStr">
        <is>
          <t>AUGUST</t>
        </is>
      </c>
      <c r="NY251" s="9" t="inlineStr">
        <is>
          <t>AUG</t>
        </is>
      </c>
      <c r="OA251" s="9" t="inlineStr">
        <is>
          <t>AUGUST</t>
        </is>
      </c>
      <c r="OH251" s="9" t="inlineStr">
        <is>
          <t>AUG</t>
        </is>
      </c>
      <c r="OJ251" s="9" t="inlineStr">
        <is>
          <t>AUGUST</t>
        </is>
      </c>
      <c r="OQ251" s="9" t="inlineStr">
        <is>
          <t>AUG</t>
        </is>
      </c>
      <c r="OS251" s="9" t="inlineStr">
        <is>
          <t>AUGUST</t>
        </is>
      </c>
      <c r="OZ251" s="9" t="inlineStr">
        <is>
          <t>AUG</t>
        </is>
      </c>
      <c r="PB251" s="9" t="inlineStr">
        <is>
          <t>AUGUST</t>
        </is>
      </c>
      <c r="PI251" s="9" t="inlineStr">
        <is>
          <t>AUG</t>
        </is>
      </c>
      <c r="PK251" s="9" t="inlineStr">
        <is>
          <t>AUGUST</t>
        </is>
      </c>
      <c r="PR251" s="9" t="inlineStr">
        <is>
          <t>AUG</t>
        </is>
      </c>
      <c r="PT251" s="9" t="inlineStr">
        <is>
          <t>AUGUST</t>
        </is>
      </c>
      <c r="QA251" s="9" t="inlineStr">
        <is>
          <t>AUG</t>
        </is>
      </c>
      <c r="QC251" s="9" t="inlineStr">
        <is>
          <t>AUGUST</t>
        </is>
      </c>
      <c r="QJ251" s="9" t="inlineStr">
        <is>
          <t>AUG</t>
        </is>
      </c>
      <c r="QL251" s="9" t="inlineStr">
        <is>
          <t>AUGUST</t>
        </is>
      </c>
      <c r="QS251" s="9" t="inlineStr">
        <is>
          <t>AUG</t>
        </is>
      </c>
      <c r="QU251" s="9" t="inlineStr">
        <is>
          <t>AUGUST</t>
        </is>
      </c>
      <c r="RB251" s="9" t="inlineStr">
        <is>
          <t>AUG</t>
        </is>
      </c>
      <c r="RD251" s="9" t="inlineStr">
        <is>
          <t>AUGUST</t>
        </is>
      </c>
      <c r="RK251" s="9" t="inlineStr">
        <is>
          <t>AUG</t>
        </is>
      </c>
      <c r="RM251" s="9" t="inlineStr">
        <is>
          <t>AUGUST</t>
        </is>
      </c>
      <c r="RT251" s="9" t="inlineStr">
        <is>
          <t>AUG</t>
        </is>
      </c>
      <c r="RV251" s="9" t="inlineStr">
        <is>
          <t>AUGUST</t>
        </is>
      </c>
      <c r="SC251" s="9" t="inlineStr">
        <is>
          <t>AUG</t>
        </is>
      </c>
      <c r="SE251" s="9" t="inlineStr">
        <is>
          <t>AUGUST</t>
        </is>
      </c>
      <c r="SL251" s="9" t="inlineStr">
        <is>
          <t>AUG</t>
        </is>
      </c>
      <c r="SN251" s="9" t="inlineStr">
        <is>
          <t>AUGUST</t>
        </is>
      </c>
      <c r="SU251" s="9" t="inlineStr">
        <is>
          <t>AUG</t>
        </is>
      </c>
      <c r="SW251" s="9" t="inlineStr">
        <is>
          <t>AUGUST</t>
        </is>
      </c>
      <c r="TD251" s="9" t="inlineStr">
        <is>
          <t>AUG</t>
        </is>
      </c>
      <c r="TF251" s="9" t="inlineStr">
        <is>
          <t>AUGUST</t>
        </is>
      </c>
      <c r="TM251" s="9" t="inlineStr">
        <is>
          <t>AUG</t>
        </is>
      </c>
      <c r="TO251" s="9" t="inlineStr">
        <is>
          <t>AUGUST</t>
        </is>
      </c>
      <c r="TV251" s="9" t="inlineStr">
        <is>
          <t>AUG</t>
        </is>
      </c>
      <c r="TX251" s="9" t="inlineStr">
        <is>
          <t>AUGUST</t>
        </is>
      </c>
      <c r="UE251" s="9" t="inlineStr">
        <is>
          <t>AUG</t>
        </is>
      </c>
      <c r="UG251" s="9" t="inlineStr">
        <is>
          <t>AUGUST</t>
        </is>
      </c>
      <c r="UN251" s="9" t="inlineStr">
        <is>
          <t>AUG</t>
        </is>
      </c>
      <c r="UP251" s="9" t="inlineStr">
        <is>
          <t>AUGUST</t>
        </is>
      </c>
      <c r="UW251" s="9" t="inlineStr">
        <is>
          <t>AUG</t>
        </is>
      </c>
      <c r="UY251" s="9" t="inlineStr">
        <is>
          <t>AUGUST</t>
        </is>
      </c>
      <c r="VF251" s="9" t="inlineStr">
        <is>
          <t>AUG</t>
        </is>
      </c>
      <c r="VH251" s="9" t="inlineStr">
        <is>
          <t>AUGUST</t>
        </is>
      </c>
      <c r="VO251" s="9" t="inlineStr">
        <is>
          <t>AUG</t>
        </is>
      </c>
      <c r="VQ251" s="9" t="inlineStr">
        <is>
          <t>AUGUST</t>
        </is>
      </c>
      <c r="VX251" s="9" t="inlineStr">
        <is>
          <t>AUG</t>
        </is>
      </c>
      <c r="VZ251" s="9" t="inlineStr">
        <is>
          <t>AUGUST</t>
        </is>
      </c>
      <c r="WG251" s="9" t="inlineStr">
        <is>
          <t>AUG</t>
        </is>
      </c>
      <c r="WI251" s="9" t="inlineStr">
        <is>
          <t>AUGUST</t>
        </is>
      </c>
      <c r="WP251" s="9" t="inlineStr">
        <is>
          <t>AUG</t>
        </is>
      </c>
      <c r="WR251" s="9" t="inlineStr">
        <is>
          <t>AUGUST</t>
        </is>
      </c>
      <c r="WY251" s="9" t="inlineStr">
        <is>
          <t>AUG</t>
        </is>
      </c>
      <c r="XA251" s="9" t="inlineStr">
        <is>
          <t>AUGUST</t>
        </is>
      </c>
      <c r="XH251" s="9" t="inlineStr">
        <is>
          <t>AUG</t>
        </is>
      </c>
      <c r="XJ251" s="9" t="inlineStr">
        <is>
          <t>AUGUST</t>
        </is>
      </c>
      <c r="XQ251" s="9" t="inlineStr">
        <is>
          <t>AUG</t>
        </is>
      </c>
      <c r="XS251" s="9" t="inlineStr">
        <is>
          <t>AUGUST</t>
        </is>
      </c>
      <c r="XZ251" s="9" t="inlineStr">
        <is>
          <t>AUG</t>
        </is>
      </c>
      <c r="YB251" s="9" t="inlineStr">
        <is>
          <t>AUGUST</t>
        </is>
      </c>
      <c r="YI251" s="9" t="inlineStr">
        <is>
          <t>AUG</t>
        </is>
      </c>
      <c r="YK251" s="9" t="inlineStr">
        <is>
          <t>AUGUST</t>
        </is>
      </c>
      <c r="YR251" s="9" t="inlineStr">
        <is>
          <t>AUG</t>
        </is>
      </c>
      <c r="YT251" s="9" t="inlineStr">
        <is>
          <t>AUGUST</t>
        </is>
      </c>
      <c r="ZA251" s="9" t="inlineStr">
        <is>
          <t>AUG</t>
        </is>
      </c>
      <c r="ZC251" s="9" t="inlineStr">
        <is>
          <t>AUGUST</t>
        </is>
      </c>
      <c r="ZJ251" s="9" t="inlineStr">
        <is>
          <t>AUG</t>
        </is>
      </c>
      <c r="ZL251" s="9" t="inlineStr">
        <is>
          <t>AUGUST</t>
        </is>
      </c>
      <c r="ZS251" s="9" t="inlineStr">
        <is>
          <t>AUG</t>
        </is>
      </c>
      <c r="ZU251" s="9" t="inlineStr">
        <is>
          <t>AUGUST</t>
        </is>
      </c>
      <c r="AAB251" s="9" t="inlineStr">
        <is>
          <t>AUG</t>
        </is>
      </c>
      <c r="AAD251" s="9" t="inlineStr">
        <is>
          <t>AUGUST</t>
        </is>
      </c>
      <c r="AAK251" s="9" t="inlineStr">
        <is>
          <t>AUG</t>
        </is>
      </c>
      <c r="AAM251" s="9" t="inlineStr">
        <is>
          <t>AUGUST</t>
        </is>
      </c>
      <c r="AAT251" s="9" t="inlineStr">
        <is>
          <t>AUG</t>
        </is>
      </c>
      <c r="AAV251" s="9" t="inlineStr">
        <is>
          <t>AUGUST</t>
        </is>
      </c>
      <c r="ABC251" s="9" t="inlineStr">
        <is>
          <t>AUG</t>
        </is>
      </c>
      <c r="ABE251" s="9" t="inlineStr">
        <is>
          <t>AUGUST</t>
        </is>
      </c>
    </row>
    <row r="252">
      <c r="C252" s="9" t="inlineStr">
        <is>
          <t>Date</t>
        </is>
      </c>
      <c r="D252" s="9" t="inlineStr">
        <is>
          <t>Intake</t>
        </is>
      </c>
      <c r="E252" s="9" t="inlineStr">
        <is>
          <t>Usage</t>
        </is>
      </c>
      <c r="F252" s="9" t="inlineStr">
        <is>
          <t>Actual</t>
        </is>
      </c>
      <c r="G252" s="9" t="inlineStr">
        <is>
          <t>Adjustment</t>
        </is>
      </c>
      <c r="H252" s="9" t="inlineStr">
        <is>
          <t>Balance</t>
        </is>
      </c>
      <c r="I252" s="9" t="inlineStr">
        <is>
          <t>Remarks</t>
        </is>
      </c>
      <c r="L252" s="9" t="inlineStr">
        <is>
          <t>Date</t>
        </is>
      </c>
      <c r="M252" s="9" t="inlineStr">
        <is>
          <t>Intake</t>
        </is>
      </c>
      <c r="N252" s="9" t="inlineStr">
        <is>
          <t>Usage</t>
        </is>
      </c>
      <c r="O252" s="9" t="inlineStr">
        <is>
          <t>Actual</t>
        </is>
      </c>
      <c r="P252" s="9" t="inlineStr">
        <is>
          <t>Adjustment</t>
        </is>
      </c>
      <c r="Q252" s="9" t="inlineStr">
        <is>
          <t>Balance</t>
        </is>
      </c>
      <c r="R252" s="9" t="inlineStr">
        <is>
          <t>Remarks</t>
        </is>
      </c>
      <c r="U252" s="9" t="inlineStr">
        <is>
          <t>Date</t>
        </is>
      </c>
      <c r="V252" s="9" t="inlineStr">
        <is>
          <t>Intake</t>
        </is>
      </c>
      <c r="W252" s="9" t="inlineStr">
        <is>
          <t>Usage</t>
        </is>
      </c>
      <c r="X252" s="9" t="inlineStr">
        <is>
          <t>Actual</t>
        </is>
      </c>
      <c r="Y252" s="9" t="inlineStr">
        <is>
          <t>Adjustment</t>
        </is>
      </c>
      <c r="Z252" s="9" t="inlineStr">
        <is>
          <t>Balance</t>
        </is>
      </c>
      <c r="AA252" s="9" t="inlineStr">
        <is>
          <t>Remarks</t>
        </is>
      </c>
      <c r="AD252" s="9" t="inlineStr">
        <is>
          <t>Date</t>
        </is>
      </c>
      <c r="AE252" s="9" t="inlineStr">
        <is>
          <t>Intake</t>
        </is>
      </c>
      <c r="AF252" s="9" t="inlineStr">
        <is>
          <t>Usage</t>
        </is>
      </c>
      <c r="AG252" s="9" t="inlineStr">
        <is>
          <t>Actual</t>
        </is>
      </c>
      <c r="AH252" s="9" t="inlineStr">
        <is>
          <t>Adjustment</t>
        </is>
      </c>
      <c r="AI252" s="9" t="inlineStr">
        <is>
          <t>Balance</t>
        </is>
      </c>
      <c r="AJ252" s="9" t="inlineStr">
        <is>
          <t>Remarks</t>
        </is>
      </c>
      <c r="AM252" s="9" t="inlineStr">
        <is>
          <t>Date</t>
        </is>
      </c>
      <c r="AN252" s="9" t="inlineStr">
        <is>
          <t>Intake</t>
        </is>
      </c>
      <c r="AO252" s="9" t="inlineStr">
        <is>
          <t>Usage</t>
        </is>
      </c>
      <c r="AP252" s="9" t="inlineStr">
        <is>
          <t>Actual</t>
        </is>
      </c>
      <c r="AQ252" s="9" t="inlineStr">
        <is>
          <t>Adjustment</t>
        </is>
      </c>
      <c r="AR252" s="9" t="inlineStr">
        <is>
          <t>Balance</t>
        </is>
      </c>
      <c r="AS252" s="9" t="inlineStr">
        <is>
          <t>Remarks</t>
        </is>
      </c>
      <c r="AV252" s="9" t="inlineStr">
        <is>
          <t>Date</t>
        </is>
      </c>
      <c r="AW252" s="9" t="inlineStr">
        <is>
          <t>Intake</t>
        </is>
      </c>
      <c r="AX252" s="9" t="inlineStr">
        <is>
          <t>Usage</t>
        </is>
      </c>
      <c r="AY252" s="9" t="inlineStr">
        <is>
          <t>Actual</t>
        </is>
      </c>
      <c r="AZ252" s="9" t="inlineStr">
        <is>
          <t>Adjustment</t>
        </is>
      </c>
      <c r="BA252" s="9" t="inlineStr">
        <is>
          <t>Balance</t>
        </is>
      </c>
      <c r="BB252" s="9" t="inlineStr">
        <is>
          <t>Remarks</t>
        </is>
      </c>
      <c r="BE252" s="9" t="inlineStr">
        <is>
          <t>Date</t>
        </is>
      </c>
      <c r="BF252" s="9" t="inlineStr">
        <is>
          <t>Intake</t>
        </is>
      </c>
      <c r="BG252" s="9" t="inlineStr">
        <is>
          <t>Usage</t>
        </is>
      </c>
      <c r="BH252" s="9" t="inlineStr">
        <is>
          <t>Actual</t>
        </is>
      </c>
      <c r="BI252" s="9" t="inlineStr">
        <is>
          <t>Adjustment</t>
        </is>
      </c>
      <c r="BJ252" s="9" t="inlineStr">
        <is>
          <t>Balance</t>
        </is>
      </c>
      <c r="BK252" s="9" t="inlineStr">
        <is>
          <t>Remarks</t>
        </is>
      </c>
      <c r="BN252" s="9" t="inlineStr">
        <is>
          <t>Date</t>
        </is>
      </c>
      <c r="BO252" s="9" t="inlineStr">
        <is>
          <t>Intake</t>
        </is>
      </c>
      <c r="BP252" s="9" t="inlineStr">
        <is>
          <t>Usage</t>
        </is>
      </c>
      <c r="BQ252" s="9" t="inlineStr">
        <is>
          <t>Actual</t>
        </is>
      </c>
      <c r="BR252" s="9" t="inlineStr">
        <is>
          <t>Adjustment</t>
        </is>
      </c>
      <c r="BS252" s="9" t="inlineStr">
        <is>
          <t>Balance</t>
        </is>
      </c>
      <c r="BT252" s="9" t="inlineStr">
        <is>
          <t>Remarks</t>
        </is>
      </c>
      <c r="BW252" s="9" t="inlineStr">
        <is>
          <t>Date</t>
        </is>
      </c>
      <c r="BX252" s="9" t="inlineStr">
        <is>
          <t>Intake</t>
        </is>
      </c>
      <c r="BY252" s="9" t="inlineStr">
        <is>
          <t>Usage</t>
        </is>
      </c>
      <c r="BZ252" s="9" t="inlineStr">
        <is>
          <t>Actual</t>
        </is>
      </c>
      <c r="CA252" s="9" t="inlineStr">
        <is>
          <t>Adjustment</t>
        </is>
      </c>
      <c r="CB252" s="9" t="inlineStr">
        <is>
          <t>Balance</t>
        </is>
      </c>
      <c r="CC252" s="9" t="inlineStr">
        <is>
          <t>Remarks</t>
        </is>
      </c>
      <c r="CF252" s="9" t="inlineStr">
        <is>
          <t>Date</t>
        </is>
      </c>
      <c r="CG252" s="9" t="inlineStr">
        <is>
          <t>Intake</t>
        </is>
      </c>
      <c r="CH252" s="9" t="inlineStr">
        <is>
          <t>Usage</t>
        </is>
      </c>
      <c r="CI252" s="9" t="inlineStr">
        <is>
          <t>Actual</t>
        </is>
      </c>
      <c r="CJ252" s="9" t="inlineStr">
        <is>
          <t>Adjustment</t>
        </is>
      </c>
      <c r="CK252" s="9" t="inlineStr">
        <is>
          <t>Balance</t>
        </is>
      </c>
      <c r="CL252" s="9" t="inlineStr">
        <is>
          <t>Remarks</t>
        </is>
      </c>
      <c r="CO252" s="9" t="inlineStr">
        <is>
          <t>Date</t>
        </is>
      </c>
      <c r="CP252" s="9" t="inlineStr">
        <is>
          <t>Intake</t>
        </is>
      </c>
      <c r="CQ252" s="9" t="inlineStr">
        <is>
          <t>Usage</t>
        </is>
      </c>
      <c r="CR252" s="9" t="inlineStr">
        <is>
          <t>Actual</t>
        </is>
      </c>
      <c r="CS252" s="9" t="inlineStr">
        <is>
          <t>Adjustment</t>
        </is>
      </c>
      <c r="CT252" s="9" t="inlineStr">
        <is>
          <t>Balance</t>
        </is>
      </c>
      <c r="CU252" s="9" t="inlineStr">
        <is>
          <t>Remarks</t>
        </is>
      </c>
      <c r="CX252" s="9" t="inlineStr">
        <is>
          <t>Date</t>
        </is>
      </c>
      <c r="CY252" s="9" t="inlineStr">
        <is>
          <t>Intake</t>
        </is>
      </c>
      <c r="CZ252" s="9" t="inlineStr">
        <is>
          <t>Usage</t>
        </is>
      </c>
      <c r="DA252" s="9" t="inlineStr">
        <is>
          <t>Actual</t>
        </is>
      </c>
      <c r="DB252" s="9" t="inlineStr">
        <is>
          <t>Adjustment</t>
        </is>
      </c>
      <c r="DC252" s="9" t="inlineStr">
        <is>
          <t>Balance</t>
        </is>
      </c>
      <c r="DD252" s="9" t="inlineStr">
        <is>
          <t>Remarks</t>
        </is>
      </c>
      <c r="DG252" s="9" t="inlineStr">
        <is>
          <t>Date</t>
        </is>
      </c>
      <c r="DH252" s="9" t="inlineStr">
        <is>
          <t>Intake</t>
        </is>
      </c>
      <c r="DI252" s="9" t="inlineStr">
        <is>
          <t>Usage</t>
        </is>
      </c>
      <c r="DJ252" s="9" t="inlineStr">
        <is>
          <t>Actual</t>
        </is>
      </c>
      <c r="DK252" s="9" t="inlineStr">
        <is>
          <t>Adjustment</t>
        </is>
      </c>
      <c r="DL252" s="9" t="inlineStr">
        <is>
          <t>Balance</t>
        </is>
      </c>
      <c r="DM252" s="9" t="inlineStr">
        <is>
          <t>Remarks</t>
        </is>
      </c>
      <c r="DP252" s="9" t="inlineStr">
        <is>
          <t>Date</t>
        </is>
      </c>
      <c r="DQ252" s="9" t="inlineStr">
        <is>
          <t>Intake</t>
        </is>
      </c>
      <c r="DR252" s="9" t="inlineStr">
        <is>
          <t>Usage</t>
        </is>
      </c>
      <c r="DS252" s="9" t="inlineStr">
        <is>
          <t>Actual</t>
        </is>
      </c>
      <c r="DT252" s="9" t="inlineStr">
        <is>
          <t>Adjustment</t>
        </is>
      </c>
      <c r="DU252" s="9" t="inlineStr">
        <is>
          <t>Balance</t>
        </is>
      </c>
      <c r="DV252" s="9" t="inlineStr">
        <is>
          <t>Remarks</t>
        </is>
      </c>
      <c r="DY252" s="9" t="inlineStr">
        <is>
          <t>Date</t>
        </is>
      </c>
      <c r="DZ252" s="9" t="inlineStr">
        <is>
          <t>Intake</t>
        </is>
      </c>
      <c r="EA252" s="9" t="inlineStr">
        <is>
          <t>Usage</t>
        </is>
      </c>
      <c r="EB252" s="9" t="inlineStr">
        <is>
          <t>Actual</t>
        </is>
      </c>
      <c r="EC252" s="9" t="inlineStr">
        <is>
          <t>Adjustment</t>
        </is>
      </c>
      <c r="ED252" s="9" t="inlineStr">
        <is>
          <t>Balance</t>
        </is>
      </c>
      <c r="EE252" s="9" t="inlineStr">
        <is>
          <t>Remarks</t>
        </is>
      </c>
      <c r="EH252" s="9" t="inlineStr">
        <is>
          <t>Date</t>
        </is>
      </c>
      <c r="EI252" s="9" t="inlineStr">
        <is>
          <t>Intake</t>
        </is>
      </c>
      <c r="EJ252" s="9" t="inlineStr">
        <is>
          <t>Usage</t>
        </is>
      </c>
      <c r="EK252" s="9" t="inlineStr">
        <is>
          <t>Actual</t>
        </is>
      </c>
      <c r="EL252" s="9" t="inlineStr">
        <is>
          <t>Adjustment</t>
        </is>
      </c>
      <c r="EM252" s="9" t="inlineStr">
        <is>
          <t>Balance</t>
        </is>
      </c>
      <c r="EN252" s="9" t="inlineStr">
        <is>
          <t>Remarks</t>
        </is>
      </c>
      <c r="EQ252" s="9" t="inlineStr">
        <is>
          <t>Date</t>
        </is>
      </c>
      <c r="ER252" s="9" t="inlineStr">
        <is>
          <t>Intake</t>
        </is>
      </c>
      <c r="ES252" s="9" t="inlineStr">
        <is>
          <t>Usage</t>
        </is>
      </c>
      <c r="ET252" s="9" t="inlineStr">
        <is>
          <t>Actual</t>
        </is>
      </c>
      <c r="EU252" s="9" t="inlineStr">
        <is>
          <t>Adjustment</t>
        </is>
      </c>
      <c r="EV252" s="9" t="inlineStr">
        <is>
          <t>Balance</t>
        </is>
      </c>
      <c r="EW252" s="9" t="inlineStr">
        <is>
          <t>Remarks</t>
        </is>
      </c>
      <c r="EZ252" s="9" t="inlineStr">
        <is>
          <t>Date</t>
        </is>
      </c>
      <c r="FA252" s="9" t="inlineStr">
        <is>
          <t>Intake</t>
        </is>
      </c>
      <c r="FB252" s="9" t="inlineStr">
        <is>
          <t>Usage</t>
        </is>
      </c>
      <c r="FC252" s="9" t="inlineStr">
        <is>
          <t>Actual</t>
        </is>
      </c>
      <c r="FD252" s="9" t="inlineStr">
        <is>
          <t>Adjustment</t>
        </is>
      </c>
      <c r="FE252" s="9" t="inlineStr">
        <is>
          <t>Balance</t>
        </is>
      </c>
      <c r="FF252" s="9" t="inlineStr">
        <is>
          <t>Remarks</t>
        </is>
      </c>
      <c r="FI252" s="9" t="inlineStr">
        <is>
          <t>Date</t>
        </is>
      </c>
      <c r="FJ252" s="9" t="inlineStr">
        <is>
          <t>Intake</t>
        </is>
      </c>
      <c r="FK252" s="9" t="inlineStr">
        <is>
          <t>Usage</t>
        </is>
      </c>
      <c r="FL252" s="9" t="inlineStr">
        <is>
          <t>Actual</t>
        </is>
      </c>
      <c r="FM252" s="9" t="inlineStr">
        <is>
          <t>Adjustment</t>
        </is>
      </c>
      <c r="FN252" s="9" t="inlineStr">
        <is>
          <t>Balance</t>
        </is>
      </c>
      <c r="FO252" s="9" t="inlineStr">
        <is>
          <t>Remarks</t>
        </is>
      </c>
      <c r="FR252" s="9" t="inlineStr">
        <is>
          <t>Date</t>
        </is>
      </c>
      <c r="FS252" s="9" t="inlineStr">
        <is>
          <t>Intake</t>
        </is>
      </c>
      <c r="FT252" s="9" t="inlineStr">
        <is>
          <t>Usage</t>
        </is>
      </c>
      <c r="FU252" s="9" t="inlineStr">
        <is>
          <t>Actual</t>
        </is>
      </c>
      <c r="FV252" s="9" t="inlineStr">
        <is>
          <t>Adjustment</t>
        </is>
      </c>
      <c r="FW252" s="9" t="inlineStr">
        <is>
          <t>Balance</t>
        </is>
      </c>
      <c r="FX252" s="9" t="inlineStr">
        <is>
          <t>Remarks</t>
        </is>
      </c>
      <c r="GA252" s="9" t="inlineStr">
        <is>
          <t>Date</t>
        </is>
      </c>
      <c r="GB252" s="9" t="inlineStr">
        <is>
          <t>Intake</t>
        </is>
      </c>
      <c r="GC252" s="9" t="inlineStr">
        <is>
          <t>Usage</t>
        </is>
      </c>
      <c r="GD252" s="9" t="inlineStr">
        <is>
          <t>Actual</t>
        </is>
      </c>
      <c r="GE252" s="9" t="inlineStr">
        <is>
          <t>Adjustment</t>
        </is>
      </c>
      <c r="GF252" s="9" t="inlineStr">
        <is>
          <t>Balance</t>
        </is>
      </c>
      <c r="GG252" s="9" t="inlineStr">
        <is>
          <t>Remarks</t>
        </is>
      </c>
      <c r="GJ252" s="9" t="inlineStr">
        <is>
          <t>Date</t>
        </is>
      </c>
      <c r="GK252" s="9" t="inlineStr">
        <is>
          <t>Intake</t>
        </is>
      </c>
      <c r="GL252" s="9" t="inlineStr">
        <is>
          <t>Usage</t>
        </is>
      </c>
      <c r="GM252" s="9" t="inlineStr">
        <is>
          <t>Actual</t>
        </is>
      </c>
      <c r="GN252" s="9" t="inlineStr">
        <is>
          <t>Adjustment</t>
        </is>
      </c>
      <c r="GO252" s="9" t="inlineStr">
        <is>
          <t>Balance</t>
        </is>
      </c>
      <c r="GP252" s="9" t="inlineStr">
        <is>
          <t>Remarks</t>
        </is>
      </c>
      <c r="GS252" s="9" t="inlineStr">
        <is>
          <t>Date</t>
        </is>
      </c>
      <c r="GT252" s="9" t="inlineStr">
        <is>
          <t>Intake</t>
        </is>
      </c>
      <c r="GU252" s="9" t="inlineStr">
        <is>
          <t>Usage</t>
        </is>
      </c>
      <c r="GV252" s="9" t="inlineStr">
        <is>
          <t>Actual</t>
        </is>
      </c>
      <c r="GW252" s="9" t="inlineStr">
        <is>
          <t>Adjustment</t>
        </is>
      </c>
      <c r="GX252" s="9" t="inlineStr">
        <is>
          <t>Balance</t>
        </is>
      </c>
      <c r="GY252" s="9" t="inlineStr">
        <is>
          <t>Remarks</t>
        </is>
      </c>
      <c r="HB252" s="9" t="inlineStr">
        <is>
          <t>Date</t>
        </is>
      </c>
      <c r="HC252" s="9" t="inlineStr">
        <is>
          <t>Intake</t>
        </is>
      </c>
      <c r="HD252" s="9" t="inlineStr">
        <is>
          <t>Usage</t>
        </is>
      </c>
      <c r="HE252" s="9" t="inlineStr">
        <is>
          <t>Actual</t>
        </is>
      </c>
      <c r="HF252" s="9" t="inlineStr">
        <is>
          <t>Adjustment</t>
        </is>
      </c>
      <c r="HG252" s="9" t="inlineStr">
        <is>
          <t>Balance</t>
        </is>
      </c>
      <c r="HH252" s="9" t="inlineStr">
        <is>
          <t>Remarks</t>
        </is>
      </c>
      <c r="HK252" s="9" t="inlineStr">
        <is>
          <t>Date</t>
        </is>
      </c>
      <c r="HL252" s="9" t="inlineStr">
        <is>
          <t>Intake</t>
        </is>
      </c>
      <c r="HM252" s="9" t="inlineStr">
        <is>
          <t>Usage</t>
        </is>
      </c>
      <c r="HN252" s="9" t="inlineStr">
        <is>
          <t>Actual</t>
        </is>
      </c>
      <c r="HO252" s="9" t="inlineStr">
        <is>
          <t>Adjustment</t>
        </is>
      </c>
      <c r="HP252" s="9" t="inlineStr">
        <is>
          <t>Balance</t>
        </is>
      </c>
      <c r="HQ252" s="9" t="inlineStr">
        <is>
          <t>Remarks</t>
        </is>
      </c>
      <c r="HU252" s="9" t="inlineStr">
        <is>
          <t>Date</t>
        </is>
      </c>
      <c r="HV252" s="9" t="inlineStr">
        <is>
          <t>Intake</t>
        </is>
      </c>
      <c r="HW252" s="9" t="inlineStr">
        <is>
          <t>Usage</t>
        </is>
      </c>
      <c r="HX252" s="9" t="inlineStr">
        <is>
          <t>Actual</t>
        </is>
      </c>
      <c r="HY252" s="9" t="inlineStr">
        <is>
          <t>Adjustment</t>
        </is>
      </c>
      <c r="HZ252" s="9" t="inlineStr">
        <is>
          <t>Balance</t>
        </is>
      </c>
      <c r="IA252" s="9" t="inlineStr">
        <is>
          <t>Remarks</t>
        </is>
      </c>
      <c r="ID252" s="9" t="inlineStr">
        <is>
          <t>Date</t>
        </is>
      </c>
      <c r="IE252" s="9" t="inlineStr">
        <is>
          <t>Intake</t>
        </is>
      </c>
      <c r="IF252" s="9" t="inlineStr">
        <is>
          <t>Usage</t>
        </is>
      </c>
      <c r="IG252" s="9" t="inlineStr">
        <is>
          <t>Actual</t>
        </is>
      </c>
      <c r="IH252" s="9" t="inlineStr">
        <is>
          <t>Adjustment</t>
        </is>
      </c>
      <c r="II252" s="9" t="inlineStr">
        <is>
          <t>Balance</t>
        </is>
      </c>
      <c r="IJ252" s="9" t="inlineStr">
        <is>
          <t>Remarks</t>
        </is>
      </c>
      <c r="IM252" s="9" t="inlineStr">
        <is>
          <t>Date</t>
        </is>
      </c>
      <c r="IN252" s="9" t="inlineStr">
        <is>
          <t>Intake</t>
        </is>
      </c>
      <c r="IO252" s="9" t="inlineStr">
        <is>
          <t>Usage</t>
        </is>
      </c>
      <c r="IP252" s="9" t="inlineStr">
        <is>
          <t>Actual</t>
        </is>
      </c>
      <c r="IQ252" s="9" t="inlineStr">
        <is>
          <t>Adjustment</t>
        </is>
      </c>
      <c r="IR252" s="9" t="inlineStr">
        <is>
          <t>Balance</t>
        </is>
      </c>
      <c r="IS252" s="9" t="inlineStr">
        <is>
          <t>Remarks</t>
        </is>
      </c>
      <c r="IV252" s="9" t="inlineStr">
        <is>
          <t>Date</t>
        </is>
      </c>
      <c r="IW252" s="9" t="inlineStr">
        <is>
          <t>Intake</t>
        </is>
      </c>
      <c r="IX252" s="9" t="inlineStr">
        <is>
          <t>Usage</t>
        </is>
      </c>
      <c r="IY252" s="9" t="inlineStr">
        <is>
          <t>Actual</t>
        </is>
      </c>
      <c r="IZ252" s="9" t="inlineStr">
        <is>
          <t>Adjustment</t>
        </is>
      </c>
      <c r="JA252" s="9" t="inlineStr">
        <is>
          <t>Balance</t>
        </is>
      </c>
      <c r="JB252" s="9" t="inlineStr">
        <is>
          <t>Remarks</t>
        </is>
      </c>
      <c r="JE252" s="9" t="inlineStr">
        <is>
          <t>Date</t>
        </is>
      </c>
      <c r="JF252" s="9" t="inlineStr">
        <is>
          <t>Intake</t>
        </is>
      </c>
      <c r="JG252" s="9" t="inlineStr">
        <is>
          <t>Usage</t>
        </is>
      </c>
      <c r="JH252" s="9" t="inlineStr">
        <is>
          <t>Actual</t>
        </is>
      </c>
      <c r="JI252" s="9" t="inlineStr">
        <is>
          <t>Adjustment</t>
        </is>
      </c>
      <c r="JJ252" s="9" t="inlineStr">
        <is>
          <t>Balance</t>
        </is>
      </c>
      <c r="JK252" s="9" t="inlineStr">
        <is>
          <t>Remarks</t>
        </is>
      </c>
      <c r="JN252" s="9" t="inlineStr">
        <is>
          <t>Date</t>
        </is>
      </c>
      <c r="JO252" s="9" t="inlineStr">
        <is>
          <t>Intake</t>
        </is>
      </c>
      <c r="JP252" s="9" t="inlineStr">
        <is>
          <t>Usage</t>
        </is>
      </c>
      <c r="JQ252" s="9" t="inlineStr">
        <is>
          <t>Actual</t>
        </is>
      </c>
      <c r="JR252" s="9" t="inlineStr">
        <is>
          <t>Adjustment</t>
        </is>
      </c>
      <c r="JS252" s="9" t="inlineStr">
        <is>
          <t>Balance</t>
        </is>
      </c>
      <c r="JT252" s="9" t="inlineStr">
        <is>
          <t>Remarks</t>
        </is>
      </c>
      <c r="JW252" s="9" t="inlineStr">
        <is>
          <t>Date</t>
        </is>
      </c>
      <c r="JX252" s="9" t="inlineStr">
        <is>
          <t>Intake</t>
        </is>
      </c>
      <c r="JY252" s="9" t="inlineStr">
        <is>
          <t>Usage</t>
        </is>
      </c>
      <c r="JZ252" s="9" t="inlineStr">
        <is>
          <t>Actual</t>
        </is>
      </c>
      <c r="KA252" s="9" t="inlineStr">
        <is>
          <t>Adjustment</t>
        </is>
      </c>
      <c r="KB252" s="9" t="inlineStr">
        <is>
          <t>Balance</t>
        </is>
      </c>
      <c r="KC252" s="9" t="inlineStr">
        <is>
          <t>Remarks</t>
        </is>
      </c>
      <c r="KF252" s="9" t="inlineStr">
        <is>
          <t>Date</t>
        </is>
      </c>
      <c r="KG252" s="9" t="inlineStr">
        <is>
          <t>Intake</t>
        </is>
      </c>
      <c r="KH252" s="9" t="inlineStr">
        <is>
          <t>Usage</t>
        </is>
      </c>
      <c r="KI252" s="9" t="inlineStr">
        <is>
          <t>Actual</t>
        </is>
      </c>
      <c r="KJ252" s="9" t="inlineStr">
        <is>
          <t>Adjustment</t>
        </is>
      </c>
      <c r="KK252" s="9" t="inlineStr">
        <is>
          <t>Balance</t>
        </is>
      </c>
      <c r="KL252" s="9" t="inlineStr">
        <is>
          <t>Remarks</t>
        </is>
      </c>
      <c r="KO252" s="9" t="inlineStr">
        <is>
          <t>Date</t>
        </is>
      </c>
      <c r="KP252" s="9" t="inlineStr">
        <is>
          <t>Intake</t>
        </is>
      </c>
      <c r="KQ252" s="9" t="inlineStr">
        <is>
          <t>Usage</t>
        </is>
      </c>
      <c r="KR252" s="9" t="inlineStr">
        <is>
          <t>Actual</t>
        </is>
      </c>
      <c r="KS252" s="9" t="inlineStr">
        <is>
          <t>Adjustment</t>
        </is>
      </c>
      <c r="KT252" s="9" t="inlineStr">
        <is>
          <t>Balance</t>
        </is>
      </c>
      <c r="KU252" s="9" t="inlineStr">
        <is>
          <t>Remarks</t>
        </is>
      </c>
      <c r="KX252" s="9" t="inlineStr">
        <is>
          <t>Date</t>
        </is>
      </c>
      <c r="KY252" s="9" t="inlineStr">
        <is>
          <t>Intake</t>
        </is>
      </c>
      <c r="KZ252" s="9" t="inlineStr">
        <is>
          <t>Usage</t>
        </is>
      </c>
      <c r="LA252" s="9" t="inlineStr">
        <is>
          <t>Actual</t>
        </is>
      </c>
      <c r="LB252" s="9" t="inlineStr">
        <is>
          <t>Adjustment</t>
        </is>
      </c>
      <c r="LC252" s="9" t="inlineStr">
        <is>
          <t>Balance</t>
        </is>
      </c>
      <c r="LD252" s="9" t="inlineStr">
        <is>
          <t>Remarks</t>
        </is>
      </c>
      <c r="LG252" s="9" t="inlineStr">
        <is>
          <t>Date</t>
        </is>
      </c>
      <c r="LH252" s="9" t="inlineStr">
        <is>
          <t>Intake</t>
        </is>
      </c>
      <c r="LI252" s="9" t="inlineStr">
        <is>
          <t>Usage</t>
        </is>
      </c>
      <c r="LJ252" s="9" t="inlineStr">
        <is>
          <t>Actual</t>
        </is>
      </c>
      <c r="LK252" s="9" t="inlineStr">
        <is>
          <t>Adjustment</t>
        </is>
      </c>
      <c r="LL252" s="9" t="inlineStr">
        <is>
          <t>Balance</t>
        </is>
      </c>
      <c r="LM252" s="9" t="inlineStr">
        <is>
          <t>Remarks</t>
        </is>
      </c>
      <c r="LP252" s="9" t="inlineStr">
        <is>
          <t>Date</t>
        </is>
      </c>
      <c r="LQ252" s="9" t="inlineStr">
        <is>
          <t>Intake</t>
        </is>
      </c>
      <c r="LR252" s="9" t="inlineStr">
        <is>
          <t>Usage</t>
        </is>
      </c>
      <c r="LS252" s="9" t="inlineStr">
        <is>
          <t>Actual</t>
        </is>
      </c>
      <c r="LT252" s="9" t="inlineStr">
        <is>
          <t>Adjustment</t>
        </is>
      </c>
      <c r="LU252" s="9" t="inlineStr">
        <is>
          <t>Balance</t>
        </is>
      </c>
      <c r="LV252" s="9" t="inlineStr">
        <is>
          <t>Remarks</t>
        </is>
      </c>
      <c r="LY252" s="9" t="inlineStr">
        <is>
          <t>Date</t>
        </is>
      </c>
      <c r="LZ252" s="9" t="inlineStr">
        <is>
          <t>Intake</t>
        </is>
      </c>
      <c r="MA252" s="9" t="inlineStr">
        <is>
          <t>Usage</t>
        </is>
      </c>
      <c r="MB252" s="9" t="inlineStr">
        <is>
          <t>Actual</t>
        </is>
      </c>
      <c r="MC252" s="9" t="inlineStr">
        <is>
          <t>Adjustment</t>
        </is>
      </c>
      <c r="MD252" s="9" t="inlineStr">
        <is>
          <t>Balance</t>
        </is>
      </c>
      <c r="ME252" s="9" t="inlineStr">
        <is>
          <t>Remarks</t>
        </is>
      </c>
      <c r="MH252" s="9" t="inlineStr">
        <is>
          <t>Date</t>
        </is>
      </c>
      <c r="MI252" s="9" t="inlineStr">
        <is>
          <t>Intake</t>
        </is>
      </c>
      <c r="MJ252" s="9" t="inlineStr">
        <is>
          <t>Usage</t>
        </is>
      </c>
      <c r="MK252" s="9" t="inlineStr">
        <is>
          <t>Actual</t>
        </is>
      </c>
      <c r="ML252" s="9" t="inlineStr">
        <is>
          <t>Adjustment</t>
        </is>
      </c>
      <c r="MM252" s="9" t="inlineStr">
        <is>
          <t>Balance</t>
        </is>
      </c>
      <c r="MN252" s="9" t="inlineStr">
        <is>
          <t>Remarks</t>
        </is>
      </c>
      <c r="MQ252" s="9" t="inlineStr">
        <is>
          <t>Date</t>
        </is>
      </c>
      <c r="MR252" s="9" t="inlineStr">
        <is>
          <t>Intake</t>
        </is>
      </c>
      <c r="MS252" s="9" t="inlineStr">
        <is>
          <t>Usage</t>
        </is>
      </c>
      <c r="MT252" s="9" t="inlineStr">
        <is>
          <t>Actual</t>
        </is>
      </c>
      <c r="MU252" s="9" t="inlineStr">
        <is>
          <t>Adjustment</t>
        </is>
      </c>
      <c r="MV252" s="9" t="inlineStr">
        <is>
          <t>Balance</t>
        </is>
      </c>
      <c r="MW252" s="9" t="inlineStr">
        <is>
          <t>Remarks</t>
        </is>
      </c>
      <c r="MZ252" s="9" t="inlineStr">
        <is>
          <t>Date</t>
        </is>
      </c>
      <c r="NA252" s="9" t="inlineStr">
        <is>
          <t>Intake</t>
        </is>
      </c>
      <c r="NB252" s="9" t="inlineStr">
        <is>
          <t>Usage</t>
        </is>
      </c>
      <c r="NC252" s="9" t="inlineStr">
        <is>
          <t>Actual</t>
        </is>
      </c>
      <c r="ND252" s="9" t="inlineStr">
        <is>
          <t>Adjustment</t>
        </is>
      </c>
      <c r="NE252" s="9" t="inlineStr">
        <is>
          <t>Balance</t>
        </is>
      </c>
      <c r="NF252" s="9" t="inlineStr">
        <is>
          <t>Remarks</t>
        </is>
      </c>
      <c r="NI252" s="9" t="inlineStr">
        <is>
          <t>Date</t>
        </is>
      </c>
      <c r="NJ252" s="9" t="inlineStr">
        <is>
          <t>Intake</t>
        </is>
      </c>
      <c r="NK252" s="9" t="inlineStr">
        <is>
          <t>Usage</t>
        </is>
      </c>
      <c r="NL252" s="9" t="inlineStr">
        <is>
          <t>Actual</t>
        </is>
      </c>
      <c r="NM252" s="9" t="inlineStr">
        <is>
          <t>Adjustment</t>
        </is>
      </c>
      <c r="NN252" s="9" t="inlineStr">
        <is>
          <t>Balance</t>
        </is>
      </c>
      <c r="NO252" s="9" t="inlineStr">
        <is>
          <t>Remarks</t>
        </is>
      </c>
      <c r="NR252" s="9" t="inlineStr">
        <is>
          <t>Date</t>
        </is>
      </c>
      <c r="NS252" s="9" t="inlineStr">
        <is>
          <t>Intake</t>
        </is>
      </c>
      <c r="NT252" s="9" t="inlineStr">
        <is>
          <t>Usage</t>
        </is>
      </c>
      <c r="NU252" s="9" t="inlineStr">
        <is>
          <t>Actual</t>
        </is>
      </c>
      <c r="NV252" s="9" t="inlineStr">
        <is>
          <t>Adjustment</t>
        </is>
      </c>
      <c r="NW252" s="9" t="inlineStr">
        <is>
          <t>Balance</t>
        </is>
      </c>
      <c r="NX252" s="9" t="inlineStr">
        <is>
          <t>Remarks</t>
        </is>
      </c>
      <c r="OA252" s="9" t="inlineStr">
        <is>
          <t>Date</t>
        </is>
      </c>
      <c r="OB252" s="9" t="inlineStr">
        <is>
          <t>Intake</t>
        </is>
      </c>
      <c r="OC252" s="9" t="inlineStr">
        <is>
          <t>Usage</t>
        </is>
      </c>
      <c r="OD252" s="9" t="inlineStr">
        <is>
          <t>Actual</t>
        </is>
      </c>
      <c r="OE252" s="9" t="inlineStr">
        <is>
          <t>Adjustment</t>
        </is>
      </c>
      <c r="OF252" s="9" t="inlineStr">
        <is>
          <t>Balance</t>
        </is>
      </c>
      <c r="OG252" s="9" t="inlineStr">
        <is>
          <t>Remarks</t>
        </is>
      </c>
      <c r="OJ252" s="9" t="inlineStr">
        <is>
          <t>Date</t>
        </is>
      </c>
      <c r="OK252" s="9" t="inlineStr">
        <is>
          <t>Intake</t>
        </is>
      </c>
      <c r="OL252" s="9" t="inlineStr">
        <is>
          <t>Usage</t>
        </is>
      </c>
      <c r="OM252" s="9" t="inlineStr">
        <is>
          <t>Actual</t>
        </is>
      </c>
      <c r="ON252" s="9" t="inlineStr">
        <is>
          <t>Adjustment</t>
        </is>
      </c>
      <c r="OO252" s="9" t="inlineStr">
        <is>
          <t>Balance</t>
        </is>
      </c>
      <c r="OP252" s="9" t="inlineStr">
        <is>
          <t>Remarks</t>
        </is>
      </c>
      <c r="OS252" s="9" t="inlineStr">
        <is>
          <t>Date</t>
        </is>
      </c>
      <c r="OT252" s="9" t="inlineStr">
        <is>
          <t>Intake</t>
        </is>
      </c>
      <c r="OU252" s="9" t="inlineStr">
        <is>
          <t>Usage</t>
        </is>
      </c>
      <c r="OV252" s="9" t="inlineStr">
        <is>
          <t>Actual</t>
        </is>
      </c>
      <c r="OW252" s="9" t="inlineStr">
        <is>
          <t>Adjustment</t>
        </is>
      </c>
      <c r="OX252" s="9" t="inlineStr">
        <is>
          <t>Balance</t>
        </is>
      </c>
      <c r="OY252" s="9" t="inlineStr">
        <is>
          <t>Remarks</t>
        </is>
      </c>
      <c r="PB252" s="9" t="inlineStr">
        <is>
          <t>Date</t>
        </is>
      </c>
      <c r="PC252" s="9" t="inlineStr">
        <is>
          <t>Intake</t>
        </is>
      </c>
      <c r="PD252" s="9" t="inlineStr">
        <is>
          <t>Usage</t>
        </is>
      </c>
      <c r="PE252" s="9" t="inlineStr">
        <is>
          <t>Actual</t>
        </is>
      </c>
      <c r="PF252" s="9" t="inlineStr">
        <is>
          <t>Adjustment</t>
        </is>
      </c>
      <c r="PG252" s="9" t="inlineStr">
        <is>
          <t>Balance</t>
        </is>
      </c>
      <c r="PH252" s="9" t="inlineStr">
        <is>
          <t>Remarks</t>
        </is>
      </c>
      <c r="PK252" s="9" t="inlineStr">
        <is>
          <t>Date</t>
        </is>
      </c>
      <c r="PL252" s="9" t="inlineStr">
        <is>
          <t>Intake</t>
        </is>
      </c>
      <c r="PM252" s="9" t="inlineStr">
        <is>
          <t>Usage</t>
        </is>
      </c>
      <c r="PN252" s="9" t="inlineStr">
        <is>
          <t>Actual</t>
        </is>
      </c>
      <c r="PO252" s="9" t="inlineStr">
        <is>
          <t>Adjustment</t>
        </is>
      </c>
      <c r="PP252" s="9" t="inlineStr">
        <is>
          <t>Balance</t>
        </is>
      </c>
      <c r="PQ252" s="9" t="inlineStr">
        <is>
          <t>Remarks</t>
        </is>
      </c>
      <c r="PT252" s="9" t="inlineStr">
        <is>
          <t>Date</t>
        </is>
      </c>
      <c r="PU252" s="9" t="inlineStr">
        <is>
          <t>Intake</t>
        </is>
      </c>
      <c r="PV252" s="9" t="inlineStr">
        <is>
          <t>Usage</t>
        </is>
      </c>
      <c r="PW252" s="9" t="inlineStr">
        <is>
          <t>Actual</t>
        </is>
      </c>
      <c r="PX252" s="9" t="inlineStr">
        <is>
          <t>Adjustment</t>
        </is>
      </c>
      <c r="PY252" s="9" t="inlineStr">
        <is>
          <t>Balance</t>
        </is>
      </c>
      <c r="PZ252" s="9" t="inlineStr">
        <is>
          <t>Remarks</t>
        </is>
      </c>
      <c r="QC252" s="9" t="inlineStr">
        <is>
          <t>Date</t>
        </is>
      </c>
      <c r="QD252" s="9" t="inlineStr">
        <is>
          <t>Intake</t>
        </is>
      </c>
      <c r="QE252" s="9" t="inlineStr">
        <is>
          <t>Usage</t>
        </is>
      </c>
      <c r="QF252" s="9" t="inlineStr">
        <is>
          <t>Actual</t>
        </is>
      </c>
      <c r="QG252" s="9" t="inlineStr">
        <is>
          <t>Adjustment</t>
        </is>
      </c>
      <c r="QH252" s="9" t="inlineStr">
        <is>
          <t>Balance</t>
        </is>
      </c>
      <c r="QI252" s="9" t="inlineStr">
        <is>
          <t>Remarks</t>
        </is>
      </c>
      <c r="QL252" s="9" t="inlineStr">
        <is>
          <t>Date</t>
        </is>
      </c>
      <c r="QM252" s="9" t="inlineStr">
        <is>
          <t>Intake</t>
        </is>
      </c>
      <c r="QN252" s="9" t="inlineStr">
        <is>
          <t>Usage</t>
        </is>
      </c>
      <c r="QO252" s="9" t="inlineStr">
        <is>
          <t>Actual</t>
        </is>
      </c>
      <c r="QP252" s="9" t="inlineStr">
        <is>
          <t>Adjustment</t>
        </is>
      </c>
      <c r="QQ252" s="9" t="inlineStr">
        <is>
          <t>Balance</t>
        </is>
      </c>
      <c r="QR252" s="9" t="inlineStr">
        <is>
          <t>Remarks</t>
        </is>
      </c>
      <c r="QU252" s="9" t="inlineStr">
        <is>
          <t>Date</t>
        </is>
      </c>
      <c r="QV252" s="9" t="inlineStr">
        <is>
          <t>Intake</t>
        </is>
      </c>
      <c r="QW252" s="9" t="inlineStr">
        <is>
          <t>Usage</t>
        </is>
      </c>
      <c r="QX252" s="9" t="inlineStr">
        <is>
          <t>Actual</t>
        </is>
      </c>
      <c r="QY252" s="9" t="inlineStr">
        <is>
          <t>Adjustment</t>
        </is>
      </c>
      <c r="QZ252" s="9" t="inlineStr">
        <is>
          <t>Balance</t>
        </is>
      </c>
      <c r="RA252" s="9" t="inlineStr">
        <is>
          <t>Remarks</t>
        </is>
      </c>
      <c r="RD252" s="9" t="inlineStr">
        <is>
          <t>Date</t>
        </is>
      </c>
      <c r="RE252" s="9" t="inlineStr">
        <is>
          <t>Intake</t>
        </is>
      </c>
      <c r="RF252" s="9" t="inlineStr">
        <is>
          <t>Usage</t>
        </is>
      </c>
      <c r="RG252" s="9" t="inlineStr">
        <is>
          <t>Actual</t>
        </is>
      </c>
      <c r="RH252" s="9" t="inlineStr">
        <is>
          <t>Adjustment</t>
        </is>
      </c>
      <c r="RI252" s="9" t="inlineStr">
        <is>
          <t>Balance</t>
        </is>
      </c>
      <c r="RJ252" s="9" t="inlineStr">
        <is>
          <t>Remarks</t>
        </is>
      </c>
      <c r="RM252" s="9" t="inlineStr">
        <is>
          <t>Date</t>
        </is>
      </c>
      <c r="RN252" s="9" t="inlineStr">
        <is>
          <t>Intake</t>
        </is>
      </c>
      <c r="RO252" s="9" t="inlineStr">
        <is>
          <t>Usage</t>
        </is>
      </c>
      <c r="RP252" s="9" t="inlineStr">
        <is>
          <t>Actual</t>
        </is>
      </c>
      <c r="RQ252" s="9" t="inlineStr">
        <is>
          <t>Adjustment</t>
        </is>
      </c>
      <c r="RR252" s="9" t="inlineStr">
        <is>
          <t>Balance</t>
        </is>
      </c>
      <c r="RS252" s="9" t="inlineStr">
        <is>
          <t>Remarks</t>
        </is>
      </c>
      <c r="RV252" s="9" t="inlineStr">
        <is>
          <t>Date</t>
        </is>
      </c>
      <c r="RW252" s="9" t="inlineStr">
        <is>
          <t>Intake</t>
        </is>
      </c>
      <c r="RX252" s="9" t="inlineStr">
        <is>
          <t>Usage</t>
        </is>
      </c>
      <c r="RY252" s="9" t="inlineStr">
        <is>
          <t>Actual</t>
        </is>
      </c>
      <c r="RZ252" s="9" t="inlineStr">
        <is>
          <t>Adjustment</t>
        </is>
      </c>
      <c r="SA252" s="9" t="inlineStr">
        <is>
          <t>Balance</t>
        </is>
      </c>
      <c r="SB252" s="9" t="inlineStr">
        <is>
          <t>Remarks</t>
        </is>
      </c>
      <c r="SE252" s="9" t="inlineStr">
        <is>
          <t>Date</t>
        </is>
      </c>
      <c r="SF252" s="9" t="inlineStr">
        <is>
          <t>Intake</t>
        </is>
      </c>
      <c r="SG252" s="9" t="inlineStr">
        <is>
          <t>Usage</t>
        </is>
      </c>
      <c r="SH252" s="9" t="inlineStr">
        <is>
          <t>Actual</t>
        </is>
      </c>
      <c r="SI252" s="9" t="inlineStr">
        <is>
          <t>Adjustment</t>
        </is>
      </c>
      <c r="SJ252" s="9" t="inlineStr">
        <is>
          <t>Balance</t>
        </is>
      </c>
      <c r="SK252" s="9" t="inlineStr">
        <is>
          <t>Remarks</t>
        </is>
      </c>
      <c r="SN252" s="9" t="inlineStr">
        <is>
          <t>Date</t>
        </is>
      </c>
      <c r="SO252" s="9" t="inlineStr">
        <is>
          <t>Intake</t>
        </is>
      </c>
      <c r="SP252" s="9" t="inlineStr">
        <is>
          <t>Usage</t>
        </is>
      </c>
      <c r="SQ252" s="9" t="inlineStr">
        <is>
          <t>Actual</t>
        </is>
      </c>
      <c r="SR252" s="9" t="inlineStr">
        <is>
          <t>Adjustment</t>
        </is>
      </c>
      <c r="SS252" s="9" t="inlineStr">
        <is>
          <t>Balance</t>
        </is>
      </c>
      <c r="ST252" s="9" t="inlineStr">
        <is>
          <t>Remarks</t>
        </is>
      </c>
      <c r="SW252" s="9" t="inlineStr">
        <is>
          <t>Date</t>
        </is>
      </c>
      <c r="SX252" s="9" t="inlineStr">
        <is>
          <t>Intake</t>
        </is>
      </c>
      <c r="SY252" s="9" t="inlineStr">
        <is>
          <t>Usage</t>
        </is>
      </c>
      <c r="SZ252" s="9" t="inlineStr">
        <is>
          <t>Actual</t>
        </is>
      </c>
      <c r="TA252" s="9" t="inlineStr">
        <is>
          <t>Adjustment</t>
        </is>
      </c>
      <c r="TB252" s="9" t="inlineStr">
        <is>
          <t>Balance</t>
        </is>
      </c>
      <c r="TC252" s="9" t="inlineStr">
        <is>
          <t>Remarks</t>
        </is>
      </c>
      <c r="TF252" s="9" t="inlineStr">
        <is>
          <t>Date</t>
        </is>
      </c>
      <c r="TG252" s="9" t="inlineStr">
        <is>
          <t>Intake</t>
        </is>
      </c>
      <c r="TH252" s="9" t="inlineStr">
        <is>
          <t>Usage</t>
        </is>
      </c>
      <c r="TI252" s="9" t="inlineStr">
        <is>
          <t>Actual</t>
        </is>
      </c>
      <c r="TJ252" s="9" t="inlineStr">
        <is>
          <t>Adjustment</t>
        </is>
      </c>
      <c r="TK252" s="9" t="inlineStr">
        <is>
          <t>Balance</t>
        </is>
      </c>
      <c r="TL252" s="9" t="inlineStr">
        <is>
          <t>Remarks</t>
        </is>
      </c>
      <c r="TO252" s="9" t="inlineStr">
        <is>
          <t>Date</t>
        </is>
      </c>
      <c r="TP252" s="9" t="inlineStr">
        <is>
          <t>Intake</t>
        </is>
      </c>
      <c r="TQ252" s="9" t="inlineStr">
        <is>
          <t>Usage</t>
        </is>
      </c>
      <c r="TR252" s="9" t="inlineStr">
        <is>
          <t>Actual</t>
        </is>
      </c>
      <c r="TS252" s="9" t="inlineStr">
        <is>
          <t>Adjustment</t>
        </is>
      </c>
      <c r="TT252" s="9" t="inlineStr">
        <is>
          <t>Balance</t>
        </is>
      </c>
      <c r="TU252" s="9" t="inlineStr">
        <is>
          <t>Remarks</t>
        </is>
      </c>
      <c r="TX252" s="9" t="inlineStr">
        <is>
          <t>Date</t>
        </is>
      </c>
      <c r="TY252" s="9" t="inlineStr">
        <is>
          <t>Intake</t>
        </is>
      </c>
      <c r="TZ252" s="9" t="inlineStr">
        <is>
          <t>Usage</t>
        </is>
      </c>
      <c r="UA252" s="9" t="inlineStr">
        <is>
          <t>Actual</t>
        </is>
      </c>
      <c r="UB252" s="9" t="inlineStr">
        <is>
          <t>Adjustment</t>
        </is>
      </c>
      <c r="UC252" s="9" t="inlineStr">
        <is>
          <t>Balance</t>
        </is>
      </c>
      <c r="UD252" s="9" t="inlineStr">
        <is>
          <t>Remarks</t>
        </is>
      </c>
      <c r="UG252" s="9" t="inlineStr">
        <is>
          <t>Date</t>
        </is>
      </c>
      <c r="UH252" s="9" t="inlineStr">
        <is>
          <t>Intake</t>
        </is>
      </c>
      <c r="UI252" s="9" t="inlineStr">
        <is>
          <t>Usage</t>
        </is>
      </c>
      <c r="UJ252" s="9" t="inlineStr">
        <is>
          <t>Actual</t>
        </is>
      </c>
      <c r="UK252" s="9" t="inlineStr">
        <is>
          <t>Adjustment</t>
        </is>
      </c>
      <c r="UL252" s="9" t="inlineStr">
        <is>
          <t>Balance</t>
        </is>
      </c>
      <c r="UM252" s="9" t="inlineStr">
        <is>
          <t>Remarks</t>
        </is>
      </c>
      <c r="UP252" s="9" t="inlineStr">
        <is>
          <t>Date</t>
        </is>
      </c>
      <c r="UQ252" s="9" t="inlineStr">
        <is>
          <t>Intake</t>
        </is>
      </c>
      <c r="UR252" s="9" t="inlineStr">
        <is>
          <t>Usage</t>
        </is>
      </c>
      <c r="US252" s="9" t="inlineStr">
        <is>
          <t>Actual</t>
        </is>
      </c>
      <c r="UT252" s="9" t="inlineStr">
        <is>
          <t>Adjustment</t>
        </is>
      </c>
      <c r="UU252" s="9" t="inlineStr">
        <is>
          <t>Balance</t>
        </is>
      </c>
      <c r="UV252" s="9" t="inlineStr">
        <is>
          <t>Remarks</t>
        </is>
      </c>
      <c r="UY252" s="9" t="inlineStr">
        <is>
          <t>Date</t>
        </is>
      </c>
      <c r="UZ252" s="9" t="inlineStr">
        <is>
          <t>Intake</t>
        </is>
      </c>
      <c r="VA252" s="9" t="inlineStr">
        <is>
          <t>Usage</t>
        </is>
      </c>
      <c r="VB252" s="9" t="inlineStr">
        <is>
          <t>Actual</t>
        </is>
      </c>
      <c r="VC252" s="9" t="inlineStr">
        <is>
          <t>Adjustment</t>
        </is>
      </c>
      <c r="VD252" s="9" t="inlineStr">
        <is>
          <t>Balance</t>
        </is>
      </c>
      <c r="VE252" s="9" t="inlineStr">
        <is>
          <t>Remarks</t>
        </is>
      </c>
      <c r="VH252" s="9" t="inlineStr">
        <is>
          <t>Date</t>
        </is>
      </c>
      <c r="VI252" s="9" t="inlineStr">
        <is>
          <t>Intake</t>
        </is>
      </c>
      <c r="VJ252" s="9" t="inlineStr">
        <is>
          <t>Usage</t>
        </is>
      </c>
      <c r="VK252" s="9" t="inlineStr">
        <is>
          <t>Actual</t>
        </is>
      </c>
      <c r="VL252" s="9" t="inlineStr">
        <is>
          <t>Adjustment</t>
        </is>
      </c>
      <c r="VM252" s="9" t="inlineStr">
        <is>
          <t>Balance</t>
        </is>
      </c>
      <c r="VN252" s="9" t="inlineStr">
        <is>
          <t>Remarks</t>
        </is>
      </c>
      <c r="VQ252" s="9" t="inlineStr">
        <is>
          <t>Date</t>
        </is>
      </c>
      <c r="VR252" s="9" t="inlineStr">
        <is>
          <t>Intake</t>
        </is>
      </c>
      <c r="VS252" s="9" t="inlineStr">
        <is>
          <t>Usage</t>
        </is>
      </c>
      <c r="VT252" s="9" t="inlineStr">
        <is>
          <t>Actual</t>
        </is>
      </c>
      <c r="VU252" s="9" t="inlineStr">
        <is>
          <t>Adjustment</t>
        </is>
      </c>
      <c r="VV252" s="9" t="inlineStr">
        <is>
          <t>Balance</t>
        </is>
      </c>
      <c r="VW252" s="9" t="inlineStr">
        <is>
          <t>Remarks</t>
        </is>
      </c>
      <c r="VZ252" s="9" t="inlineStr">
        <is>
          <t>Date</t>
        </is>
      </c>
      <c r="WA252" s="9" t="inlineStr">
        <is>
          <t>Intake</t>
        </is>
      </c>
      <c r="WB252" s="9" t="inlineStr">
        <is>
          <t>Usage</t>
        </is>
      </c>
      <c r="WC252" s="9" t="inlineStr">
        <is>
          <t>Actual</t>
        </is>
      </c>
      <c r="WD252" s="9" t="inlineStr">
        <is>
          <t>Adjustment</t>
        </is>
      </c>
      <c r="WE252" s="9" t="inlineStr">
        <is>
          <t>Balance</t>
        </is>
      </c>
      <c r="WF252" s="9" t="inlineStr">
        <is>
          <t>Remarks</t>
        </is>
      </c>
      <c r="WI252" s="9" t="inlineStr">
        <is>
          <t>Date</t>
        </is>
      </c>
      <c r="WJ252" s="9" t="inlineStr">
        <is>
          <t>Intake</t>
        </is>
      </c>
      <c r="WK252" s="9" t="inlineStr">
        <is>
          <t>Usage</t>
        </is>
      </c>
      <c r="WL252" s="9" t="inlineStr">
        <is>
          <t>Actual</t>
        </is>
      </c>
      <c r="WM252" s="9" t="inlineStr">
        <is>
          <t>Adjustment</t>
        </is>
      </c>
      <c r="WN252" s="9" t="inlineStr">
        <is>
          <t>Balance</t>
        </is>
      </c>
      <c r="WO252" s="9" t="inlineStr">
        <is>
          <t>Remarks</t>
        </is>
      </c>
      <c r="WR252" s="9" t="inlineStr">
        <is>
          <t>Date</t>
        </is>
      </c>
      <c r="WS252" s="9" t="inlineStr">
        <is>
          <t>Intake</t>
        </is>
      </c>
      <c r="WT252" s="9" t="inlineStr">
        <is>
          <t>Usage</t>
        </is>
      </c>
      <c r="WU252" s="9" t="inlineStr">
        <is>
          <t>Actual</t>
        </is>
      </c>
      <c r="WV252" s="9" t="inlineStr">
        <is>
          <t>Adjustment</t>
        </is>
      </c>
      <c r="WW252" s="9" t="inlineStr">
        <is>
          <t>Balance</t>
        </is>
      </c>
      <c r="WX252" s="9" t="inlineStr">
        <is>
          <t>Remarks</t>
        </is>
      </c>
      <c r="XA252" s="9" t="inlineStr">
        <is>
          <t>Date</t>
        </is>
      </c>
      <c r="XB252" s="9" t="inlineStr">
        <is>
          <t>Intake</t>
        </is>
      </c>
      <c r="XC252" s="9" t="inlineStr">
        <is>
          <t>Usage</t>
        </is>
      </c>
      <c r="XD252" s="9" t="inlineStr">
        <is>
          <t>Actual</t>
        </is>
      </c>
      <c r="XE252" s="9" t="inlineStr">
        <is>
          <t>Adjustment</t>
        </is>
      </c>
      <c r="XF252" s="9" t="inlineStr">
        <is>
          <t>Balance</t>
        </is>
      </c>
      <c r="XG252" s="9" t="inlineStr">
        <is>
          <t>Remarks</t>
        </is>
      </c>
      <c r="XJ252" s="9" t="inlineStr">
        <is>
          <t>Date</t>
        </is>
      </c>
      <c r="XK252" s="9" t="inlineStr">
        <is>
          <t>Intake</t>
        </is>
      </c>
      <c r="XL252" s="9" t="inlineStr">
        <is>
          <t>Usage</t>
        </is>
      </c>
      <c r="XM252" s="9" t="inlineStr">
        <is>
          <t>Actual</t>
        </is>
      </c>
      <c r="XN252" s="9" t="inlineStr">
        <is>
          <t>Adjustment</t>
        </is>
      </c>
      <c r="XO252" s="9" t="inlineStr">
        <is>
          <t>Balance</t>
        </is>
      </c>
      <c r="XP252" s="9" t="inlineStr">
        <is>
          <t>Remarks</t>
        </is>
      </c>
      <c r="XS252" s="9" t="inlineStr">
        <is>
          <t>Date</t>
        </is>
      </c>
      <c r="XT252" s="9" t="inlineStr">
        <is>
          <t>Intake</t>
        </is>
      </c>
      <c r="XU252" s="9" t="inlineStr">
        <is>
          <t>Usage</t>
        </is>
      </c>
      <c r="XV252" s="9" t="inlineStr">
        <is>
          <t>Actual</t>
        </is>
      </c>
      <c r="XW252" s="9" t="inlineStr">
        <is>
          <t>Adjustment</t>
        </is>
      </c>
      <c r="XX252" s="9" t="inlineStr">
        <is>
          <t>Balance</t>
        </is>
      </c>
      <c r="XY252" s="9" t="inlineStr">
        <is>
          <t>Remarks</t>
        </is>
      </c>
      <c r="YB252" s="9" t="inlineStr">
        <is>
          <t>Date</t>
        </is>
      </c>
      <c r="YC252" s="9" t="inlineStr">
        <is>
          <t>Intake</t>
        </is>
      </c>
      <c r="YD252" s="9" t="inlineStr">
        <is>
          <t>Usage</t>
        </is>
      </c>
      <c r="YE252" s="9" t="inlineStr">
        <is>
          <t>Actual</t>
        </is>
      </c>
      <c r="YF252" s="9" t="inlineStr">
        <is>
          <t>Adjustment</t>
        </is>
      </c>
      <c r="YG252" s="9" t="inlineStr">
        <is>
          <t>Balance</t>
        </is>
      </c>
      <c r="YH252" s="9" t="inlineStr">
        <is>
          <t>Remarks</t>
        </is>
      </c>
      <c r="YK252" s="9" t="inlineStr">
        <is>
          <t>Date</t>
        </is>
      </c>
      <c r="YL252" s="9" t="inlineStr">
        <is>
          <t>Intake</t>
        </is>
      </c>
      <c r="YM252" s="9" t="inlineStr">
        <is>
          <t>Usage</t>
        </is>
      </c>
      <c r="YN252" s="9" t="inlineStr">
        <is>
          <t>Actual</t>
        </is>
      </c>
      <c r="YO252" s="9" t="inlineStr">
        <is>
          <t>Adjustment</t>
        </is>
      </c>
      <c r="YP252" s="9" t="inlineStr">
        <is>
          <t>Balance</t>
        </is>
      </c>
      <c r="YQ252" s="9" t="inlineStr">
        <is>
          <t>Remarks</t>
        </is>
      </c>
      <c r="YT252" s="9" t="inlineStr">
        <is>
          <t>Date</t>
        </is>
      </c>
      <c r="YU252" s="9" t="inlineStr">
        <is>
          <t>Intake</t>
        </is>
      </c>
      <c r="YV252" s="9" t="inlineStr">
        <is>
          <t>Usage</t>
        </is>
      </c>
      <c r="YW252" s="9" t="inlineStr">
        <is>
          <t>Actual</t>
        </is>
      </c>
      <c r="YX252" s="9" t="inlineStr">
        <is>
          <t>Adjustment</t>
        </is>
      </c>
      <c r="YY252" s="9" t="inlineStr">
        <is>
          <t>Balance</t>
        </is>
      </c>
      <c r="YZ252" s="9" t="inlineStr">
        <is>
          <t>Remarks</t>
        </is>
      </c>
      <c r="ZC252" s="9" t="inlineStr">
        <is>
          <t>Date</t>
        </is>
      </c>
      <c r="ZD252" s="9" t="inlineStr">
        <is>
          <t>Intake</t>
        </is>
      </c>
      <c r="ZE252" s="9" t="inlineStr">
        <is>
          <t>Usage</t>
        </is>
      </c>
      <c r="ZF252" s="9" t="inlineStr">
        <is>
          <t>Actual</t>
        </is>
      </c>
      <c r="ZG252" s="9" t="inlineStr">
        <is>
          <t>Adjustment</t>
        </is>
      </c>
      <c r="ZH252" s="9" t="inlineStr">
        <is>
          <t>Balance</t>
        </is>
      </c>
      <c r="ZI252" s="9" t="inlineStr">
        <is>
          <t>Remarks</t>
        </is>
      </c>
      <c r="ZL252" s="9" t="inlineStr">
        <is>
          <t>Date</t>
        </is>
      </c>
      <c r="ZM252" s="9" t="inlineStr">
        <is>
          <t>Intake</t>
        </is>
      </c>
      <c r="ZN252" s="9" t="inlineStr">
        <is>
          <t>Usage</t>
        </is>
      </c>
      <c r="ZO252" s="9" t="inlineStr">
        <is>
          <t>Actual</t>
        </is>
      </c>
      <c r="ZP252" s="9" t="inlineStr">
        <is>
          <t>Adjustment</t>
        </is>
      </c>
      <c r="ZQ252" s="9" t="inlineStr">
        <is>
          <t>Balance</t>
        </is>
      </c>
      <c r="ZR252" s="9" t="inlineStr">
        <is>
          <t>Remarks</t>
        </is>
      </c>
      <c r="ZU252" s="9" t="inlineStr">
        <is>
          <t>Date</t>
        </is>
      </c>
      <c r="ZV252" s="9" t="inlineStr">
        <is>
          <t>Intake</t>
        </is>
      </c>
      <c r="ZW252" s="9" t="inlineStr">
        <is>
          <t>Usage</t>
        </is>
      </c>
      <c r="ZX252" s="9" t="inlineStr">
        <is>
          <t>Actual</t>
        </is>
      </c>
      <c r="ZY252" s="9" t="inlineStr">
        <is>
          <t>Adjustment</t>
        </is>
      </c>
      <c r="ZZ252" s="9" t="inlineStr">
        <is>
          <t>Balance</t>
        </is>
      </c>
      <c r="AAA252" s="9" t="inlineStr">
        <is>
          <t>Remarks</t>
        </is>
      </c>
      <c r="AAD252" s="9" t="inlineStr">
        <is>
          <t>Date</t>
        </is>
      </c>
      <c r="AAE252" s="9" t="inlineStr">
        <is>
          <t>Intake</t>
        </is>
      </c>
      <c r="AAF252" s="9" t="inlineStr">
        <is>
          <t>Usage</t>
        </is>
      </c>
      <c r="AAG252" s="9" t="inlineStr">
        <is>
          <t>Actual</t>
        </is>
      </c>
      <c r="AAH252" s="9" t="inlineStr">
        <is>
          <t>Adjustment</t>
        </is>
      </c>
      <c r="AAI252" s="9" t="inlineStr">
        <is>
          <t>Balance</t>
        </is>
      </c>
      <c r="AAJ252" s="9" t="inlineStr">
        <is>
          <t>Remarks</t>
        </is>
      </c>
      <c r="AAM252" s="9" t="inlineStr">
        <is>
          <t>Date</t>
        </is>
      </c>
      <c r="AAN252" s="9" t="inlineStr">
        <is>
          <t>Intake</t>
        </is>
      </c>
      <c r="AAO252" s="9" t="inlineStr">
        <is>
          <t>Usage</t>
        </is>
      </c>
      <c r="AAP252" s="9" t="inlineStr">
        <is>
          <t>Actual</t>
        </is>
      </c>
      <c r="AAQ252" s="9" t="inlineStr">
        <is>
          <t>Adjustment</t>
        </is>
      </c>
      <c r="AAR252" s="9" t="inlineStr">
        <is>
          <t>Balance</t>
        </is>
      </c>
      <c r="AAS252" s="9" t="inlineStr">
        <is>
          <t>Remarks</t>
        </is>
      </c>
      <c r="AAV252" s="9" t="inlineStr">
        <is>
          <t>Date</t>
        </is>
      </c>
      <c r="AAW252" s="9" t="inlineStr">
        <is>
          <t>Intake</t>
        </is>
      </c>
      <c r="AAX252" s="9" t="inlineStr">
        <is>
          <t>Usage</t>
        </is>
      </c>
      <c r="AAY252" s="9" t="inlineStr">
        <is>
          <t>Actual</t>
        </is>
      </c>
      <c r="AAZ252" s="9" t="inlineStr">
        <is>
          <t>Adjustment</t>
        </is>
      </c>
      <c r="ABA252" s="9" t="inlineStr">
        <is>
          <t>Balance</t>
        </is>
      </c>
      <c r="ABB252" s="9" t="inlineStr">
        <is>
          <t>Remarks</t>
        </is>
      </c>
      <c r="ABE252" s="9" t="inlineStr">
        <is>
          <t>Date</t>
        </is>
      </c>
      <c r="ABF252" s="9" t="inlineStr">
        <is>
          <t>Intake</t>
        </is>
      </c>
      <c r="ABG252" s="9" t="inlineStr">
        <is>
          <t>Usage</t>
        </is>
      </c>
      <c r="ABH252" s="9" t="inlineStr">
        <is>
          <t>Actual</t>
        </is>
      </c>
      <c r="ABI252" s="9" t="inlineStr">
        <is>
          <t>Adjustment</t>
        </is>
      </c>
      <c r="ABJ252" s="9" t="inlineStr">
        <is>
          <t>Balance</t>
        </is>
      </c>
      <c r="ABK252" s="9" t="inlineStr">
        <is>
          <t>Remarks</t>
        </is>
      </c>
    </row>
    <row r="253">
      <c r="C253" s="9" t="inlineStr">
        <is>
          <t>BALANCE</t>
        </is>
      </c>
      <c r="D253" s="9" t="inlineStr">
        <is>
          <t>-</t>
        </is>
      </c>
      <c r="E253" s="9" t="inlineStr">
        <is>
          <t>-</t>
        </is>
      </c>
      <c r="F253" s="9" t="inlineStr">
        <is>
          <t>-</t>
        </is>
      </c>
      <c r="G253" s="9" t="inlineStr">
        <is>
          <t>-</t>
        </is>
      </c>
      <c r="H253" s="9" t="n">
        <v>190949.4</v>
      </c>
      <c r="L253" s="9" t="inlineStr">
        <is>
          <t>BALANCE</t>
        </is>
      </c>
      <c r="M253" s="9" t="inlineStr">
        <is>
          <t>-</t>
        </is>
      </c>
      <c r="N253" s="9" t="inlineStr">
        <is>
          <t>-</t>
        </is>
      </c>
      <c r="O253" s="9" t="inlineStr">
        <is>
          <t>-</t>
        </is>
      </c>
      <c r="P253" s="9" t="inlineStr">
        <is>
          <t>-</t>
        </is>
      </c>
      <c r="Q253" s="9" t="n">
        <v>53017.60000000007</v>
      </c>
      <c r="U253" s="9" t="inlineStr">
        <is>
          <t>BALANCE</t>
        </is>
      </c>
      <c r="V253" s="9" t="inlineStr">
        <is>
          <t>-</t>
        </is>
      </c>
      <c r="W253" s="9" t="inlineStr">
        <is>
          <t>-</t>
        </is>
      </c>
      <c r="X253" s="9" t="inlineStr">
        <is>
          <t>-</t>
        </is>
      </c>
      <c r="Y253" s="9" t="inlineStr">
        <is>
          <t>-</t>
        </is>
      </c>
      <c r="Z253" s="9" t="n">
        <v>42674.19999999997</v>
      </c>
      <c r="AD253" s="9" t="inlineStr">
        <is>
          <t>BALANCE</t>
        </is>
      </c>
      <c r="AE253" s="9" t="inlineStr">
        <is>
          <t>-</t>
        </is>
      </c>
      <c r="AF253" s="9" t="inlineStr">
        <is>
          <t>-</t>
        </is>
      </c>
      <c r="AG253" s="9" t="inlineStr">
        <is>
          <t>-</t>
        </is>
      </c>
      <c r="AH253" s="9" t="inlineStr">
        <is>
          <t>-</t>
        </is>
      </c>
      <c r="AI253" s="9" t="n">
        <v>4522.200000000019</v>
      </c>
      <c r="AM253" s="9" t="inlineStr">
        <is>
          <t>BALANCE</t>
        </is>
      </c>
      <c r="AN253" s="9" t="inlineStr">
        <is>
          <t>-</t>
        </is>
      </c>
      <c r="AO253" s="9" t="inlineStr">
        <is>
          <t>-</t>
        </is>
      </c>
      <c r="AP253" s="9" t="inlineStr">
        <is>
          <t>-</t>
        </is>
      </c>
      <c r="AQ253" s="9" t="inlineStr">
        <is>
          <t>-</t>
        </is>
      </c>
      <c r="AR253" s="9" t="n">
        <v>0</v>
      </c>
      <c r="AV253" s="9" t="inlineStr">
        <is>
          <t>BALANCE</t>
        </is>
      </c>
      <c r="AW253" s="9" t="inlineStr">
        <is>
          <t>-</t>
        </is>
      </c>
      <c r="AX253" s="9" t="inlineStr">
        <is>
          <t>-</t>
        </is>
      </c>
      <c r="AY253" s="9" t="inlineStr">
        <is>
          <t>-</t>
        </is>
      </c>
      <c r="AZ253" s="9" t="inlineStr">
        <is>
          <t>-</t>
        </is>
      </c>
      <c r="BA253" s="9" t="n">
        <v>124.9999999999952</v>
      </c>
      <c r="BE253" s="9" t="inlineStr">
        <is>
          <t>BALANCE</t>
        </is>
      </c>
      <c r="BF253" s="9" t="inlineStr">
        <is>
          <t>-</t>
        </is>
      </c>
      <c r="BG253" s="9" t="inlineStr">
        <is>
          <t>-</t>
        </is>
      </c>
      <c r="BH253" s="9" t="inlineStr">
        <is>
          <t>-</t>
        </is>
      </c>
      <c r="BI253" s="9" t="inlineStr">
        <is>
          <t>-</t>
        </is>
      </c>
      <c r="BJ253" s="9" t="n">
        <v>26151.9</v>
      </c>
      <c r="BN253" s="9" t="inlineStr">
        <is>
          <t>BALANCE</t>
        </is>
      </c>
      <c r="BO253" s="9" t="inlineStr">
        <is>
          <t>-</t>
        </is>
      </c>
      <c r="BP253" s="9" t="inlineStr">
        <is>
          <t>-</t>
        </is>
      </c>
      <c r="BQ253" s="9" t="inlineStr">
        <is>
          <t>-</t>
        </is>
      </c>
      <c r="BR253" s="9" t="inlineStr">
        <is>
          <t>-</t>
        </is>
      </c>
      <c r="BS253" s="9" t="n">
        <v>0</v>
      </c>
      <c r="BW253" s="9" t="inlineStr">
        <is>
          <t>BALANCE</t>
        </is>
      </c>
      <c r="BX253" s="9" t="inlineStr">
        <is>
          <t>-</t>
        </is>
      </c>
      <c r="BY253" s="9" t="inlineStr">
        <is>
          <t>-</t>
        </is>
      </c>
      <c r="BZ253" s="9" t="inlineStr">
        <is>
          <t>-</t>
        </is>
      </c>
      <c r="CA253" s="9" t="inlineStr">
        <is>
          <t>-</t>
        </is>
      </c>
      <c r="CB253" s="9" t="n">
        <v>3322.499999999999</v>
      </c>
      <c r="CF253" s="9" t="inlineStr">
        <is>
          <t>BALANCE</t>
        </is>
      </c>
      <c r="CG253" s="9" t="inlineStr">
        <is>
          <t>-</t>
        </is>
      </c>
      <c r="CH253" s="9" t="inlineStr">
        <is>
          <t>-</t>
        </is>
      </c>
      <c r="CI253" s="9" t="inlineStr">
        <is>
          <t>-</t>
        </is>
      </c>
      <c r="CJ253" s="9" t="inlineStr">
        <is>
          <t>-</t>
        </is>
      </c>
      <c r="CK253" s="9" t="n">
        <v>-10277.08</v>
      </c>
      <c r="CO253" s="9" t="inlineStr">
        <is>
          <t>BALANCE</t>
        </is>
      </c>
      <c r="CP253" s="9" t="inlineStr">
        <is>
          <t>-</t>
        </is>
      </c>
      <c r="CQ253" s="9" t="inlineStr">
        <is>
          <t>-</t>
        </is>
      </c>
      <c r="CR253" s="9" t="inlineStr">
        <is>
          <t>-</t>
        </is>
      </c>
      <c r="CS253" s="9" t="inlineStr">
        <is>
          <t>-</t>
        </is>
      </c>
      <c r="CT253" s="9" t="n">
        <v>0</v>
      </c>
      <c r="CX253" s="9" t="inlineStr">
        <is>
          <t>BALANCE</t>
        </is>
      </c>
      <c r="CY253" s="9" t="inlineStr">
        <is>
          <t>-</t>
        </is>
      </c>
      <c r="CZ253" s="9" t="inlineStr">
        <is>
          <t>-</t>
        </is>
      </c>
      <c r="DA253" s="9" t="inlineStr">
        <is>
          <t>-</t>
        </is>
      </c>
      <c r="DB253" s="9" t="inlineStr">
        <is>
          <t>-</t>
        </is>
      </c>
      <c r="DC253" s="9" t="n">
        <v>27438.20000000001</v>
      </c>
      <c r="DG253" s="9" t="inlineStr">
        <is>
          <t>BALANCE</t>
        </is>
      </c>
      <c r="DH253" s="9" t="inlineStr">
        <is>
          <t>-</t>
        </is>
      </c>
      <c r="DI253" s="9" t="inlineStr">
        <is>
          <t>-</t>
        </is>
      </c>
      <c r="DJ253" s="9" t="inlineStr">
        <is>
          <t>-</t>
        </is>
      </c>
      <c r="DK253" s="9" t="inlineStr">
        <is>
          <t>-</t>
        </is>
      </c>
      <c r="DL253" s="9" t="n">
        <v>18782.29999999998</v>
      </c>
      <c r="DP253" s="9" t="inlineStr">
        <is>
          <t>BALANCE</t>
        </is>
      </c>
      <c r="DQ253" s="9" t="inlineStr">
        <is>
          <t>-</t>
        </is>
      </c>
      <c r="DR253" s="9" t="inlineStr">
        <is>
          <t>-</t>
        </is>
      </c>
      <c r="DS253" s="9" t="inlineStr">
        <is>
          <t>-</t>
        </is>
      </c>
      <c r="DT253" s="9" t="inlineStr">
        <is>
          <t>-</t>
        </is>
      </c>
      <c r="DU253" s="9" t="n">
        <v>5800</v>
      </c>
      <c r="DY253" s="9" t="inlineStr">
        <is>
          <t>BALANCE</t>
        </is>
      </c>
      <c r="DZ253" s="9" t="inlineStr">
        <is>
          <t>-</t>
        </is>
      </c>
      <c r="EA253" s="9" t="inlineStr">
        <is>
          <t>-</t>
        </is>
      </c>
      <c r="EB253" s="9" t="inlineStr">
        <is>
          <t>-</t>
        </is>
      </c>
      <c r="EC253" s="9" t="inlineStr">
        <is>
          <t>-</t>
        </is>
      </c>
      <c r="ED253" s="9" t="n">
        <v>0</v>
      </c>
      <c r="EH253" s="9" t="inlineStr">
        <is>
          <t>BALANCE</t>
        </is>
      </c>
      <c r="EI253" s="9" t="inlineStr">
        <is>
          <t>-</t>
        </is>
      </c>
      <c r="EJ253" s="9" t="inlineStr">
        <is>
          <t>-</t>
        </is>
      </c>
      <c r="EK253" s="9" t="inlineStr">
        <is>
          <t>-</t>
        </is>
      </c>
      <c r="EL253" s="9" t="inlineStr">
        <is>
          <t>-</t>
        </is>
      </c>
      <c r="EM253" s="9" t="n">
        <v>0</v>
      </c>
      <c r="EQ253" s="9" t="inlineStr">
        <is>
          <t>BALANCE</t>
        </is>
      </c>
      <c r="ER253" s="9" t="inlineStr">
        <is>
          <t>-</t>
        </is>
      </c>
      <c r="ES253" s="9" t="inlineStr">
        <is>
          <t>-</t>
        </is>
      </c>
      <c r="ET253" s="9" t="inlineStr">
        <is>
          <t>-</t>
        </is>
      </c>
      <c r="EU253" s="9" t="inlineStr">
        <is>
          <t>-</t>
        </is>
      </c>
      <c r="EV253" s="9" t="n">
        <v>0</v>
      </c>
      <c r="EZ253" s="9" t="inlineStr">
        <is>
          <t>BALANCE</t>
        </is>
      </c>
      <c r="FA253" s="9" t="inlineStr">
        <is>
          <t>-</t>
        </is>
      </c>
      <c r="FB253" s="9" t="inlineStr">
        <is>
          <t>-</t>
        </is>
      </c>
      <c r="FC253" s="9" t="inlineStr">
        <is>
          <t>-</t>
        </is>
      </c>
      <c r="FD253" s="9" t="inlineStr">
        <is>
          <t>-</t>
        </is>
      </c>
      <c r="FE253" s="9" t="n">
        <v>0</v>
      </c>
      <c r="FI253" s="9" t="inlineStr">
        <is>
          <t>BALANCE</t>
        </is>
      </c>
      <c r="FJ253" s="9" t="inlineStr">
        <is>
          <t>-</t>
        </is>
      </c>
      <c r="FK253" s="9" t="inlineStr">
        <is>
          <t>-</t>
        </is>
      </c>
      <c r="FL253" s="9" t="inlineStr">
        <is>
          <t>-</t>
        </is>
      </c>
      <c r="FM253" s="9" t="inlineStr">
        <is>
          <t>-</t>
        </is>
      </c>
      <c r="FN253" s="9" t="n">
        <v>0</v>
      </c>
      <c r="FR253" s="9" t="inlineStr">
        <is>
          <t>BALANCE</t>
        </is>
      </c>
      <c r="FS253" s="9" t="inlineStr">
        <is>
          <t>-</t>
        </is>
      </c>
      <c r="FT253" s="9" t="inlineStr">
        <is>
          <t>-</t>
        </is>
      </c>
      <c r="FU253" s="9" t="inlineStr">
        <is>
          <t>-</t>
        </is>
      </c>
      <c r="FV253" s="9" t="inlineStr">
        <is>
          <t>-</t>
        </is>
      </c>
      <c r="FW253" s="9" t="n">
        <v>540</v>
      </c>
      <c r="FX253" s="9" t="n">
        <v>27</v>
      </c>
      <c r="FY253" s="9" t="inlineStr">
        <is>
          <t>bags</t>
        </is>
      </c>
      <c r="GA253" s="9" t="inlineStr">
        <is>
          <t>BALANCE</t>
        </is>
      </c>
      <c r="GB253" s="9" t="inlineStr">
        <is>
          <t>-</t>
        </is>
      </c>
      <c r="GC253" s="9" t="inlineStr">
        <is>
          <t>-</t>
        </is>
      </c>
      <c r="GD253" s="9" t="inlineStr">
        <is>
          <t>-</t>
        </is>
      </c>
      <c r="GE253" s="9" t="inlineStr">
        <is>
          <t>-</t>
        </is>
      </c>
      <c r="GF253" s="9" t="n">
        <v>960</v>
      </c>
      <c r="GG253" s="9" t="n">
        <v>48</v>
      </c>
      <c r="GH253" s="9" t="inlineStr">
        <is>
          <t>bags</t>
        </is>
      </c>
      <c r="GJ253" s="9" t="inlineStr">
        <is>
          <t>BALANCE</t>
        </is>
      </c>
      <c r="GK253" s="9" t="inlineStr">
        <is>
          <t>-</t>
        </is>
      </c>
      <c r="GL253" s="9" t="inlineStr">
        <is>
          <t>-</t>
        </is>
      </c>
      <c r="GM253" s="9" t="inlineStr">
        <is>
          <t>-</t>
        </is>
      </c>
      <c r="GN253" s="9" t="inlineStr">
        <is>
          <t>-</t>
        </is>
      </c>
      <c r="GO253" s="9" t="n">
        <v>1760</v>
      </c>
      <c r="GP253" s="9" t="n">
        <v>88</v>
      </c>
      <c r="GQ253" s="9" t="inlineStr">
        <is>
          <t>bags</t>
        </is>
      </c>
      <c r="GS253" s="9" t="inlineStr">
        <is>
          <t>BALANCE</t>
        </is>
      </c>
      <c r="GT253" s="9" t="inlineStr">
        <is>
          <t>-</t>
        </is>
      </c>
      <c r="GU253" s="9" t="inlineStr">
        <is>
          <t>-</t>
        </is>
      </c>
      <c r="GV253" s="9" t="inlineStr">
        <is>
          <t>-</t>
        </is>
      </c>
      <c r="GW253" s="9" t="inlineStr">
        <is>
          <t>-</t>
        </is>
      </c>
      <c r="GX253" s="9" t="n">
        <v>400</v>
      </c>
      <c r="GY253" s="9" t="n">
        <v>20</v>
      </c>
      <c r="GZ253" s="9" t="inlineStr">
        <is>
          <t>bags</t>
        </is>
      </c>
      <c r="HB253" s="9" t="inlineStr">
        <is>
          <t>BALANCE</t>
        </is>
      </c>
      <c r="HC253" s="9" t="inlineStr">
        <is>
          <t>-</t>
        </is>
      </c>
      <c r="HD253" s="9" t="inlineStr">
        <is>
          <t>-</t>
        </is>
      </c>
      <c r="HE253" s="9" t="inlineStr">
        <is>
          <t>-</t>
        </is>
      </c>
      <c r="HF253" s="9" t="inlineStr">
        <is>
          <t>-</t>
        </is>
      </c>
      <c r="HG253" s="9" t="n">
        <v>3600</v>
      </c>
      <c r="HH253" s="9" t="n">
        <v>180</v>
      </c>
      <c r="HI253" s="9" t="inlineStr">
        <is>
          <t>bags</t>
        </is>
      </c>
      <c r="HK253" s="9" t="inlineStr">
        <is>
          <t>BALANCE</t>
        </is>
      </c>
      <c r="HL253" s="9" t="inlineStr">
        <is>
          <t>-</t>
        </is>
      </c>
      <c r="HM253" s="9" t="inlineStr">
        <is>
          <t>-</t>
        </is>
      </c>
      <c r="HN253" s="9" t="inlineStr">
        <is>
          <t>-</t>
        </is>
      </c>
      <c r="HO253" s="9" t="inlineStr">
        <is>
          <t>-</t>
        </is>
      </c>
      <c r="HP253" s="9" t="n">
        <v>0</v>
      </c>
      <c r="HU253" s="9" t="inlineStr">
        <is>
          <t>BALANCE</t>
        </is>
      </c>
      <c r="HV253" s="9" t="inlineStr">
        <is>
          <t>-</t>
        </is>
      </c>
      <c r="HW253" s="9" t="inlineStr">
        <is>
          <t>-</t>
        </is>
      </c>
      <c r="HX253" s="9" t="inlineStr">
        <is>
          <t>-</t>
        </is>
      </c>
      <c r="HY253" s="9" t="inlineStr">
        <is>
          <t>-</t>
        </is>
      </c>
      <c r="HZ253" s="9" t="n">
        <v>5920</v>
      </c>
      <c r="IA253" s="9" t="n">
        <v>296</v>
      </c>
      <c r="IB253" s="9" t="inlineStr">
        <is>
          <t>bags</t>
        </is>
      </c>
      <c r="ID253" s="9" t="inlineStr">
        <is>
          <t>BALANCE</t>
        </is>
      </c>
      <c r="IE253" s="9" t="inlineStr">
        <is>
          <t>-</t>
        </is>
      </c>
      <c r="IF253" s="9" t="inlineStr">
        <is>
          <t>-</t>
        </is>
      </c>
      <c r="IG253" s="9" t="inlineStr">
        <is>
          <t>-</t>
        </is>
      </c>
      <c r="IH253" s="9" t="inlineStr">
        <is>
          <t>-</t>
        </is>
      </c>
      <c r="II253" s="9" t="n">
        <v>720</v>
      </c>
      <c r="IJ253" s="9" t="n">
        <v>36</v>
      </c>
      <c r="IK253" s="9" t="inlineStr">
        <is>
          <t>bags</t>
        </is>
      </c>
      <c r="IM253" s="9" t="inlineStr">
        <is>
          <t>BALANCE</t>
        </is>
      </c>
      <c r="IN253" s="9" t="inlineStr">
        <is>
          <t>-</t>
        </is>
      </c>
      <c r="IO253" s="9" t="inlineStr">
        <is>
          <t>-</t>
        </is>
      </c>
      <c r="IP253" s="9" t="inlineStr">
        <is>
          <t>-</t>
        </is>
      </c>
      <c r="IQ253" s="9" t="inlineStr">
        <is>
          <t>-</t>
        </is>
      </c>
      <c r="IR253" s="9" t="n">
        <v>1680</v>
      </c>
      <c r="IS253" s="9" t="n">
        <v>84</v>
      </c>
      <c r="IT253" s="9" t="inlineStr">
        <is>
          <t>bags</t>
        </is>
      </c>
      <c r="IV253" s="9" t="inlineStr">
        <is>
          <t>BALANCE</t>
        </is>
      </c>
      <c r="IW253" s="9" t="inlineStr">
        <is>
          <t>-</t>
        </is>
      </c>
      <c r="IX253" s="9" t="inlineStr">
        <is>
          <t>-</t>
        </is>
      </c>
      <c r="IY253" s="9" t="inlineStr">
        <is>
          <t>-</t>
        </is>
      </c>
      <c r="IZ253" s="9" t="inlineStr">
        <is>
          <t>-</t>
        </is>
      </c>
      <c r="JA253" s="9" t="n">
        <v>4960</v>
      </c>
      <c r="JB253" s="9" t="n">
        <v>248</v>
      </c>
      <c r="JC253" s="9" t="inlineStr">
        <is>
          <t>bags</t>
        </is>
      </c>
      <c r="JE253" s="9" t="inlineStr">
        <is>
          <t>BALANCE</t>
        </is>
      </c>
      <c r="JF253" s="9" t="inlineStr">
        <is>
          <t>-</t>
        </is>
      </c>
      <c r="JG253" s="9" t="inlineStr">
        <is>
          <t>-</t>
        </is>
      </c>
      <c r="JH253" s="9" t="inlineStr">
        <is>
          <t>-</t>
        </is>
      </c>
      <c r="JI253" s="9" t="inlineStr">
        <is>
          <t>-</t>
        </is>
      </c>
      <c r="JJ253" s="9" t="n">
        <v>0</v>
      </c>
      <c r="JN253" s="9" t="inlineStr">
        <is>
          <t>BALANCE</t>
        </is>
      </c>
      <c r="JO253" s="9" t="inlineStr">
        <is>
          <t>-</t>
        </is>
      </c>
      <c r="JP253" s="9" t="inlineStr">
        <is>
          <t>-</t>
        </is>
      </c>
      <c r="JQ253" s="9" t="inlineStr">
        <is>
          <t>-</t>
        </is>
      </c>
      <c r="JR253" s="9" t="inlineStr">
        <is>
          <t>-</t>
        </is>
      </c>
      <c r="JS253" s="9" t="n">
        <v>0</v>
      </c>
      <c r="JW253" s="9" t="inlineStr">
        <is>
          <t>BALANCE</t>
        </is>
      </c>
      <c r="JX253" s="9" t="inlineStr">
        <is>
          <t>-</t>
        </is>
      </c>
      <c r="JY253" s="9" t="inlineStr">
        <is>
          <t>-</t>
        </is>
      </c>
      <c r="JZ253" s="9" t="inlineStr">
        <is>
          <t>-</t>
        </is>
      </c>
      <c r="KA253" s="9" t="inlineStr">
        <is>
          <t>-</t>
        </is>
      </c>
      <c r="KB253" s="9" t="n">
        <v>2540</v>
      </c>
      <c r="KC253" s="9" t="n">
        <v>127</v>
      </c>
      <c r="KD253" s="9" t="inlineStr">
        <is>
          <t>bags</t>
        </is>
      </c>
      <c r="KF253" s="9" t="inlineStr">
        <is>
          <t>BALANCE</t>
        </is>
      </c>
      <c r="KG253" s="9" t="inlineStr">
        <is>
          <t>-</t>
        </is>
      </c>
      <c r="KH253" s="9" t="inlineStr">
        <is>
          <t>-</t>
        </is>
      </c>
      <c r="KI253" s="9" t="inlineStr">
        <is>
          <t>-</t>
        </is>
      </c>
      <c r="KJ253" s="9" t="inlineStr">
        <is>
          <t>-</t>
        </is>
      </c>
      <c r="KK253" s="9" t="n">
        <v>2359.5</v>
      </c>
      <c r="KL253" s="9" t="n">
        <v>121</v>
      </c>
      <c r="KM253" s="9" t="inlineStr">
        <is>
          <t>bags</t>
        </is>
      </c>
      <c r="KO253" s="9" t="inlineStr">
        <is>
          <t>BALANCE</t>
        </is>
      </c>
      <c r="KP253" s="9" t="inlineStr">
        <is>
          <t>-</t>
        </is>
      </c>
      <c r="KQ253" s="9" t="inlineStr">
        <is>
          <t>-</t>
        </is>
      </c>
      <c r="KR253" s="9" t="inlineStr">
        <is>
          <t>-</t>
        </is>
      </c>
      <c r="KS253" s="9" t="inlineStr">
        <is>
          <t>-</t>
        </is>
      </c>
      <c r="KT253" s="9" t="n">
        <v>1890</v>
      </c>
      <c r="KU253" s="9" t="n">
        <v>100</v>
      </c>
      <c r="KV253" s="9" t="inlineStr">
        <is>
          <t>bags</t>
        </is>
      </c>
      <c r="KX253" s="9" t="inlineStr">
        <is>
          <t>BALANCE</t>
        </is>
      </c>
      <c r="KY253" s="9" t="inlineStr">
        <is>
          <t>-</t>
        </is>
      </c>
      <c r="KZ253" s="9" t="inlineStr">
        <is>
          <t>-</t>
        </is>
      </c>
      <c r="LA253" s="9" t="inlineStr">
        <is>
          <t>-</t>
        </is>
      </c>
      <c r="LB253" s="9" t="inlineStr">
        <is>
          <t>-</t>
        </is>
      </c>
      <c r="LC253" s="9" t="n">
        <v>3690</v>
      </c>
      <c r="LD253" s="9" t="n">
        <v>180</v>
      </c>
      <c r="LE253" s="9" t="inlineStr">
        <is>
          <t>bags</t>
        </is>
      </c>
      <c r="LG253" s="9" t="inlineStr">
        <is>
          <t>BALANCE</t>
        </is>
      </c>
      <c r="LH253" s="9" t="inlineStr">
        <is>
          <t>-</t>
        </is>
      </c>
      <c r="LI253" s="9" t="inlineStr">
        <is>
          <t>-</t>
        </is>
      </c>
      <c r="LJ253" s="9" t="inlineStr">
        <is>
          <t>-</t>
        </is>
      </c>
      <c r="LK253" s="9" t="inlineStr">
        <is>
          <t>-</t>
        </is>
      </c>
      <c r="LL253" s="9" t="n">
        <v>4000</v>
      </c>
      <c r="LM253" s="9" t="n">
        <v>200</v>
      </c>
      <c r="LN253" s="9" t="inlineStr">
        <is>
          <t>bags</t>
        </is>
      </c>
      <c r="LP253" s="9" t="inlineStr">
        <is>
          <t>BALANCE</t>
        </is>
      </c>
      <c r="LQ253" s="9" t="inlineStr">
        <is>
          <t>-</t>
        </is>
      </c>
      <c r="LR253" s="9" t="inlineStr">
        <is>
          <t>-</t>
        </is>
      </c>
      <c r="LS253" s="9" t="inlineStr">
        <is>
          <t>-</t>
        </is>
      </c>
      <c r="LT253" s="9" t="inlineStr">
        <is>
          <t>-</t>
        </is>
      </c>
      <c r="LU253" s="9" t="n">
        <v>0</v>
      </c>
      <c r="LY253" s="9" t="inlineStr">
        <is>
          <t>BALANCE</t>
        </is>
      </c>
      <c r="LZ253" s="9" t="inlineStr">
        <is>
          <t>-</t>
        </is>
      </c>
      <c r="MA253" s="9" t="inlineStr">
        <is>
          <t>-</t>
        </is>
      </c>
      <c r="MB253" s="9" t="inlineStr">
        <is>
          <t>-</t>
        </is>
      </c>
      <c r="MC253" s="9" t="inlineStr">
        <is>
          <t>-</t>
        </is>
      </c>
      <c r="MD253" s="9" t="n">
        <v>0</v>
      </c>
      <c r="MH253" s="9" t="inlineStr">
        <is>
          <t>BALANCE</t>
        </is>
      </c>
      <c r="MI253" s="9" t="inlineStr">
        <is>
          <t>-</t>
        </is>
      </c>
      <c r="MJ253" s="9" t="inlineStr">
        <is>
          <t>-</t>
        </is>
      </c>
      <c r="MK253" s="9" t="inlineStr">
        <is>
          <t>-</t>
        </is>
      </c>
      <c r="ML253" s="9" t="inlineStr">
        <is>
          <t>-</t>
        </is>
      </c>
      <c r="MM253" s="9" t="n">
        <v>0</v>
      </c>
      <c r="MQ253" s="9" t="inlineStr">
        <is>
          <t>BALANCE</t>
        </is>
      </c>
      <c r="MR253" s="9" t="inlineStr">
        <is>
          <t>-</t>
        </is>
      </c>
      <c r="MS253" s="9" t="inlineStr">
        <is>
          <t>-</t>
        </is>
      </c>
      <c r="MT253" s="9" t="inlineStr">
        <is>
          <t>-</t>
        </is>
      </c>
      <c r="MU253" s="9" t="inlineStr">
        <is>
          <t>-</t>
        </is>
      </c>
      <c r="MV253" s="9" t="n">
        <v>2216</v>
      </c>
      <c r="MZ253" s="9" t="inlineStr">
        <is>
          <t>BALANCE</t>
        </is>
      </c>
      <c r="NA253" s="9" t="inlineStr">
        <is>
          <t>-</t>
        </is>
      </c>
      <c r="NB253" s="9" t="inlineStr">
        <is>
          <t>-</t>
        </is>
      </c>
      <c r="NC253" s="9" t="inlineStr">
        <is>
          <t>-</t>
        </is>
      </c>
      <c r="ND253" s="9" t="inlineStr">
        <is>
          <t>-</t>
        </is>
      </c>
      <c r="NE253" s="9" t="n">
        <v>0</v>
      </c>
      <c r="NI253" s="9" t="inlineStr">
        <is>
          <t>BALANCE</t>
        </is>
      </c>
      <c r="NJ253" s="9" t="inlineStr">
        <is>
          <t>-</t>
        </is>
      </c>
      <c r="NK253" s="9" t="inlineStr">
        <is>
          <t>-</t>
        </is>
      </c>
      <c r="NL253" s="9" t="inlineStr">
        <is>
          <t>-</t>
        </is>
      </c>
      <c r="NM253" s="9" t="inlineStr">
        <is>
          <t>-</t>
        </is>
      </c>
      <c r="NN253" s="9" t="n">
        <v>1127</v>
      </c>
      <c r="NR253" s="9" t="inlineStr">
        <is>
          <t>BALANCE</t>
        </is>
      </c>
      <c r="NS253" s="9" t="inlineStr">
        <is>
          <t>-</t>
        </is>
      </c>
      <c r="NT253" s="9" t="inlineStr">
        <is>
          <t>-</t>
        </is>
      </c>
      <c r="NU253" s="9" t="inlineStr">
        <is>
          <t>-</t>
        </is>
      </c>
      <c r="NV253" s="9" t="inlineStr">
        <is>
          <t>-</t>
        </is>
      </c>
      <c r="NW253" s="9" t="n">
        <v>3112</v>
      </c>
      <c r="OA253" s="9" t="inlineStr">
        <is>
          <t>BALANCE</t>
        </is>
      </c>
      <c r="OB253" s="9" t="inlineStr">
        <is>
          <t>-</t>
        </is>
      </c>
      <c r="OC253" s="9" t="inlineStr">
        <is>
          <t>-</t>
        </is>
      </c>
      <c r="OD253" s="9" t="inlineStr">
        <is>
          <t>-</t>
        </is>
      </c>
      <c r="OE253" s="9" t="inlineStr">
        <is>
          <t>-</t>
        </is>
      </c>
      <c r="OF253" s="9" t="n">
        <v>1680.5</v>
      </c>
      <c r="OJ253" s="9" t="inlineStr">
        <is>
          <t>BALANCE</t>
        </is>
      </c>
      <c r="OK253" s="9" t="inlineStr">
        <is>
          <t>-</t>
        </is>
      </c>
      <c r="OL253" s="9" t="inlineStr">
        <is>
          <t>-</t>
        </is>
      </c>
      <c r="OM253" s="9" t="inlineStr">
        <is>
          <t>-</t>
        </is>
      </c>
      <c r="ON253" s="9" t="inlineStr">
        <is>
          <t>-</t>
        </is>
      </c>
      <c r="OO253" s="9" t="n">
        <v>0</v>
      </c>
      <c r="OS253" s="9" t="inlineStr">
        <is>
          <t>BALANCE</t>
        </is>
      </c>
      <c r="OT253" s="9" t="inlineStr">
        <is>
          <t>-</t>
        </is>
      </c>
      <c r="OU253" s="9" t="inlineStr">
        <is>
          <t>-</t>
        </is>
      </c>
      <c r="OV253" s="9" t="inlineStr">
        <is>
          <t>-</t>
        </is>
      </c>
      <c r="OW253" s="9" t="inlineStr">
        <is>
          <t>-</t>
        </is>
      </c>
      <c r="OX253" s="9" t="n">
        <v>1482</v>
      </c>
      <c r="PB253" s="9" t="inlineStr">
        <is>
          <t>BALANCE</t>
        </is>
      </c>
      <c r="PC253" s="9" t="inlineStr">
        <is>
          <t>-</t>
        </is>
      </c>
      <c r="PD253" s="9" t="inlineStr">
        <is>
          <t>-</t>
        </is>
      </c>
      <c r="PE253" s="9" t="inlineStr">
        <is>
          <t>-</t>
        </is>
      </c>
      <c r="PF253" s="9" t="inlineStr">
        <is>
          <t>-</t>
        </is>
      </c>
      <c r="PG253" s="9" t="n">
        <v>0</v>
      </c>
      <c r="PK253" s="9" t="inlineStr">
        <is>
          <t>BALANCE</t>
        </is>
      </c>
      <c r="PL253" s="9" t="inlineStr">
        <is>
          <t>-</t>
        </is>
      </c>
      <c r="PM253" s="9" t="inlineStr">
        <is>
          <t>-</t>
        </is>
      </c>
      <c r="PN253" s="9" t="inlineStr">
        <is>
          <t>-</t>
        </is>
      </c>
      <c r="PO253" s="9" t="inlineStr">
        <is>
          <t>-</t>
        </is>
      </c>
      <c r="PP253" s="9" t="n">
        <v>100</v>
      </c>
      <c r="PT253" s="9" t="inlineStr">
        <is>
          <t>BALANCE</t>
        </is>
      </c>
      <c r="PU253" s="9" t="inlineStr">
        <is>
          <t>-</t>
        </is>
      </c>
      <c r="PV253" s="9" t="inlineStr">
        <is>
          <t>-</t>
        </is>
      </c>
      <c r="PW253" s="9" t="inlineStr">
        <is>
          <t>-</t>
        </is>
      </c>
      <c r="PX253" s="9" t="inlineStr">
        <is>
          <t>-</t>
        </is>
      </c>
      <c r="PY253" s="9" t="n">
        <v>13.96000000000004</v>
      </c>
      <c r="QC253" s="9" t="inlineStr">
        <is>
          <t>BALANCE</t>
        </is>
      </c>
      <c r="QD253" s="9" t="inlineStr">
        <is>
          <t>-</t>
        </is>
      </c>
      <c r="QE253" s="9" t="inlineStr">
        <is>
          <t>-</t>
        </is>
      </c>
      <c r="QF253" s="9" t="inlineStr">
        <is>
          <t>-</t>
        </is>
      </c>
      <c r="QG253" s="9" t="inlineStr">
        <is>
          <t>-</t>
        </is>
      </c>
      <c r="QH253" s="9" t="n">
        <v>1284</v>
      </c>
      <c r="QL253" s="9" t="inlineStr">
        <is>
          <t>BALANCE</t>
        </is>
      </c>
      <c r="QM253" s="9" t="inlineStr">
        <is>
          <t>-</t>
        </is>
      </c>
      <c r="QN253" s="9" t="inlineStr">
        <is>
          <t>-</t>
        </is>
      </c>
      <c r="QO253" s="9" t="inlineStr">
        <is>
          <t>-</t>
        </is>
      </c>
      <c r="QP253" s="9" t="inlineStr">
        <is>
          <t>-</t>
        </is>
      </c>
      <c r="QQ253" s="9" t="n">
        <v>0</v>
      </c>
      <c r="QU253" s="9" t="inlineStr">
        <is>
          <t>BALANCE</t>
        </is>
      </c>
      <c r="QV253" s="9" t="inlineStr">
        <is>
          <t>-</t>
        </is>
      </c>
      <c r="QW253" s="9" t="inlineStr">
        <is>
          <t>-</t>
        </is>
      </c>
      <c r="QX253" s="9" t="inlineStr">
        <is>
          <t>-</t>
        </is>
      </c>
      <c r="QY253" s="9" t="inlineStr">
        <is>
          <t>-</t>
        </is>
      </c>
      <c r="QZ253" s="9" t="n">
        <v>207.6</v>
      </c>
      <c r="RD253" s="9" t="inlineStr">
        <is>
          <t>BALANCE</t>
        </is>
      </c>
      <c r="RE253" s="9" t="inlineStr">
        <is>
          <t>-</t>
        </is>
      </c>
      <c r="RF253" s="9" t="inlineStr">
        <is>
          <t>-</t>
        </is>
      </c>
      <c r="RG253" s="9" t="inlineStr">
        <is>
          <t>-</t>
        </is>
      </c>
      <c r="RH253" s="9" t="inlineStr">
        <is>
          <t>-</t>
        </is>
      </c>
      <c r="RI253" s="9" t="n">
        <v>147.04</v>
      </c>
      <c r="RM253" s="9" t="inlineStr">
        <is>
          <t>BALANCE</t>
        </is>
      </c>
      <c r="RN253" s="9" t="inlineStr">
        <is>
          <t>-</t>
        </is>
      </c>
      <c r="RO253" s="9" t="inlineStr">
        <is>
          <t>-</t>
        </is>
      </c>
      <c r="RP253" s="9" t="inlineStr">
        <is>
          <t>-</t>
        </is>
      </c>
      <c r="RQ253" s="9" t="inlineStr">
        <is>
          <t>-</t>
        </is>
      </c>
      <c r="RR253" s="9" t="n">
        <v>46.8</v>
      </c>
      <c r="RV253" s="9" t="inlineStr">
        <is>
          <t>BALANCE</t>
        </is>
      </c>
      <c r="RW253" s="9" t="inlineStr">
        <is>
          <t>-</t>
        </is>
      </c>
      <c r="RX253" s="9" t="inlineStr">
        <is>
          <t>-</t>
        </is>
      </c>
      <c r="RY253" s="9" t="inlineStr">
        <is>
          <t>-</t>
        </is>
      </c>
      <c r="RZ253" s="9" t="inlineStr">
        <is>
          <t>-</t>
        </is>
      </c>
      <c r="SA253" s="9" t="n">
        <v>0</v>
      </c>
      <c r="SE253" s="9" t="inlineStr">
        <is>
          <t>BALANCE</t>
        </is>
      </c>
      <c r="SF253" s="9" t="inlineStr">
        <is>
          <t>-</t>
        </is>
      </c>
      <c r="SG253" s="9" t="inlineStr">
        <is>
          <t>-</t>
        </is>
      </c>
      <c r="SH253" s="9" t="inlineStr">
        <is>
          <t>-</t>
        </is>
      </c>
      <c r="SI253" s="9" t="inlineStr">
        <is>
          <t>-</t>
        </is>
      </c>
      <c r="SJ253" s="9" t="n">
        <v>24.2</v>
      </c>
      <c r="SN253" s="9" t="inlineStr">
        <is>
          <t>BALANCE</t>
        </is>
      </c>
      <c r="SO253" s="9" t="inlineStr">
        <is>
          <t>-</t>
        </is>
      </c>
      <c r="SP253" s="9" t="inlineStr">
        <is>
          <t>-</t>
        </is>
      </c>
      <c r="SQ253" s="9" t="inlineStr">
        <is>
          <t>-</t>
        </is>
      </c>
      <c r="SR253" s="9" t="inlineStr">
        <is>
          <t>-</t>
        </is>
      </c>
      <c r="SS253" s="9" t="n">
        <v>32</v>
      </c>
      <c r="SW253" s="9" t="inlineStr">
        <is>
          <t>BALANCE</t>
        </is>
      </c>
      <c r="SX253" s="9" t="inlineStr">
        <is>
          <t>-</t>
        </is>
      </c>
      <c r="SY253" s="9" t="inlineStr">
        <is>
          <t>-</t>
        </is>
      </c>
      <c r="SZ253" s="9" t="inlineStr">
        <is>
          <t>-</t>
        </is>
      </c>
      <c r="TA253" s="9" t="inlineStr">
        <is>
          <t>-</t>
        </is>
      </c>
      <c r="TB253" s="9" t="n">
        <v>0</v>
      </c>
      <c r="TF253" s="9" t="inlineStr">
        <is>
          <t>BALANCE</t>
        </is>
      </c>
      <c r="TG253" s="9" t="inlineStr">
        <is>
          <t>-</t>
        </is>
      </c>
      <c r="TH253" s="9" t="inlineStr">
        <is>
          <t>-</t>
        </is>
      </c>
      <c r="TI253" s="9" t="inlineStr">
        <is>
          <t>-</t>
        </is>
      </c>
      <c r="TJ253" s="9" t="inlineStr">
        <is>
          <t>-</t>
        </is>
      </c>
      <c r="TK253" s="9" t="n">
        <v>0</v>
      </c>
      <c r="TO253" s="9" t="inlineStr">
        <is>
          <t>BALANCE</t>
        </is>
      </c>
      <c r="TP253" s="9" t="inlineStr">
        <is>
          <t>-</t>
        </is>
      </c>
      <c r="TQ253" s="9" t="inlineStr">
        <is>
          <t>-</t>
        </is>
      </c>
      <c r="TR253" s="9" t="inlineStr">
        <is>
          <t>-</t>
        </is>
      </c>
      <c r="TS253" s="9" t="inlineStr">
        <is>
          <t>-</t>
        </is>
      </c>
      <c r="TT253" s="9" t="n">
        <v>10.40000000000001</v>
      </c>
      <c r="TX253" s="9" t="inlineStr">
        <is>
          <t>BALANCE</t>
        </is>
      </c>
      <c r="TY253" s="9" t="inlineStr">
        <is>
          <t>-</t>
        </is>
      </c>
      <c r="TZ253" s="9" t="inlineStr">
        <is>
          <t>-</t>
        </is>
      </c>
      <c r="UA253" s="9" t="inlineStr">
        <is>
          <t>-</t>
        </is>
      </c>
      <c r="UB253" s="9" t="inlineStr">
        <is>
          <t>-</t>
        </is>
      </c>
      <c r="UC253" s="9" t="n">
        <v>46.79999999999998</v>
      </c>
      <c r="UG253" s="9" t="inlineStr">
        <is>
          <t>BALANCE</t>
        </is>
      </c>
      <c r="UH253" s="9" t="inlineStr">
        <is>
          <t>-</t>
        </is>
      </c>
      <c r="UI253" s="9" t="inlineStr">
        <is>
          <t>-</t>
        </is>
      </c>
      <c r="UJ253" s="9" t="inlineStr">
        <is>
          <t>-</t>
        </is>
      </c>
      <c r="UK253" s="9" t="inlineStr">
        <is>
          <t>-</t>
        </is>
      </c>
      <c r="UL253" s="9" t="n">
        <v>204</v>
      </c>
      <c r="UP253" s="9" t="inlineStr">
        <is>
          <t>BALANCE</t>
        </is>
      </c>
      <c r="UQ253" s="9" t="inlineStr">
        <is>
          <t>-</t>
        </is>
      </c>
      <c r="UR253" s="9" t="inlineStr">
        <is>
          <t>-</t>
        </is>
      </c>
      <c r="US253" s="9" t="inlineStr">
        <is>
          <t>-</t>
        </is>
      </c>
      <c r="UT253" s="9" t="inlineStr">
        <is>
          <t>-</t>
        </is>
      </c>
      <c r="UU253" s="9" t="n">
        <v>202.5</v>
      </c>
      <c r="UY253" s="9" t="inlineStr">
        <is>
          <t>BALANCE</t>
        </is>
      </c>
      <c r="UZ253" s="9" t="inlineStr">
        <is>
          <t>-</t>
        </is>
      </c>
      <c r="VA253" s="9" t="inlineStr">
        <is>
          <t>-</t>
        </is>
      </c>
      <c r="VB253" s="9" t="inlineStr">
        <is>
          <t>-</t>
        </is>
      </c>
      <c r="VC253" s="9" t="inlineStr">
        <is>
          <t>-</t>
        </is>
      </c>
      <c r="VD253" s="9" t="n">
        <v>41.60000000000002</v>
      </c>
      <c r="VH253" s="9" t="inlineStr">
        <is>
          <t>BALANCE</t>
        </is>
      </c>
      <c r="VI253" s="9" t="inlineStr">
        <is>
          <t>-</t>
        </is>
      </c>
      <c r="VJ253" s="9" t="inlineStr">
        <is>
          <t>-</t>
        </is>
      </c>
      <c r="VK253" s="9" t="inlineStr">
        <is>
          <t>-</t>
        </is>
      </c>
      <c r="VL253" s="9" t="inlineStr">
        <is>
          <t>-</t>
        </is>
      </c>
      <c r="VM253" s="9" t="n">
        <v>210</v>
      </c>
      <c r="VQ253" s="9" t="inlineStr">
        <is>
          <t>BALANCE</t>
        </is>
      </c>
      <c r="VR253" s="9" t="inlineStr">
        <is>
          <t>-</t>
        </is>
      </c>
      <c r="VS253" s="9" t="inlineStr">
        <is>
          <t>-</t>
        </is>
      </c>
      <c r="VT253" s="9" t="inlineStr">
        <is>
          <t>-</t>
        </is>
      </c>
      <c r="VU253" s="9" t="inlineStr">
        <is>
          <t>-</t>
        </is>
      </c>
      <c r="VV253" s="9" t="n">
        <v>0</v>
      </c>
      <c r="VZ253" s="9" t="inlineStr">
        <is>
          <t>BALANCE</t>
        </is>
      </c>
      <c r="WA253" s="9" t="inlineStr">
        <is>
          <t>-</t>
        </is>
      </c>
      <c r="WB253" s="9" t="inlineStr">
        <is>
          <t>-</t>
        </is>
      </c>
      <c r="WC253" s="9" t="inlineStr">
        <is>
          <t>-</t>
        </is>
      </c>
      <c r="WD253" s="9" t="inlineStr">
        <is>
          <t>-</t>
        </is>
      </c>
      <c r="WE253" s="9" t="n">
        <v>0</v>
      </c>
      <c r="WI253" s="9" t="inlineStr">
        <is>
          <t>BALANCE</t>
        </is>
      </c>
      <c r="WJ253" s="9" t="inlineStr">
        <is>
          <t>-</t>
        </is>
      </c>
      <c r="WK253" s="9" t="inlineStr">
        <is>
          <t>-</t>
        </is>
      </c>
      <c r="WL253" s="9" t="inlineStr">
        <is>
          <t>-</t>
        </is>
      </c>
      <c r="WM253" s="9" t="inlineStr">
        <is>
          <t>-</t>
        </is>
      </c>
      <c r="WN253" s="9" t="n">
        <v>1057</v>
      </c>
      <c r="WR253" s="9" t="inlineStr">
        <is>
          <t>BALANCE</t>
        </is>
      </c>
      <c r="WS253" s="9" t="inlineStr">
        <is>
          <t>-</t>
        </is>
      </c>
      <c r="WT253" s="9" t="inlineStr">
        <is>
          <t>-</t>
        </is>
      </c>
      <c r="WU253" s="9" t="inlineStr">
        <is>
          <t>-</t>
        </is>
      </c>
      <c r="WV253" s="9" t="inlineStr">
        <is>
          <t>-</t>
        </is>
      </c>
      <c r="WW253" s="9" t="n">
        <v>0</v>
      </c>
      <c r="XA253" s="9" t="inlineStr">
        <is>
          <t>BALANCE</t>
        </is>
      </c>
      <c r="XB253" s="9" t="inlineStr">
        <is>
          <t>-</t>
        </is>
      </c>
      <c r="XC253" s="9" t="inlineStr">
        <is>
          <t>-</t>
        </is>
      </c>
      <c r="XD253" s="9" t="inlineStr">
        <is>
          <t>-</t>
        </is>
      </c>
      <c r="XE253" s="9" t="inlineStr">
        <is>
          <t>-</t>
        </is>
      </c>
      <c r="XF253" s="9" t="n">
        <v>7507</v>
      </c>
      <c r="XJ253" s="9" t="inlineStr">
        <is>
          <t>BALANCE</t>
        </is>
      </c>
      <c r="XK253" s="9" t="inlineStr">
        <is>
          <t>-</t>
        </is>
      </c>
      <c r="XL253" s="9" t="inlineStr">
        <is>
          <t>-</t>
        </is>
      </c>
      <c r="XM253" s="9" t="inlineStr">
        <is>
          <t>-</t>
        </is>
      </c>
      <c r="XN253" s="9" t="inlineStr">
        <is>
          <t>-</t>
        </is>
      </c>
      <c r="XO253" s="9" t="n">
        <v>4252</v>
      </c>
      <c r="XS253" s="9" t="inlineStr">
        <is>
          <t>BALANCE</t>
        </is>
      </c>
      <c r="XT253" s="9" t="inlineStr">
        <is>
          <t>-</t>
        </is>
      </c>
      <c r="XU253" s="9" t="inlineStr">
        <is>
          <t>-</t>
        </is>
      </c>
      <c r="XV253" s="9" t="inlineStr">
        <is>
          <t>-</t>
        </is>
      </c>
      <c r="XW253" s="9" t="inlineStr">
        <is>
          <t>-</t>
        </is>
      </c>
      <c r="XX253" s="9" t="n">
        <v>2179</v>
      </c>
      <c r="YB253" s="9" t="inlineStr">
        <is>
          <t>BALANCE</t>
        </is>
      </c>
      <c r="YC253" s="9" t="inlineStr">
        <is>
          <t>-</t>
        </is>
      </c>
      <c r="YD253" s="9" t="inlineStr">
        <is>
          <t>-</t>
        </is>
      </c>
      <c r="YE253" s="9" t="inlineStr">
        <is>
          <t>-</t>
        </is>
      </c>
      <c r="YF253" s="9" t="inlineStr">
        <is>
          <t>-</t>
        </is>
      </c>
      <c r="YG253" s="9" t="n">
        <v>4019</v>
      </c>
      <c r="YK253" s="9" t="inlineStr">
        <is>
          <t>BALANCE</t>
        </is>
      </c>
      <c r="YL253" s="9" t="inlineStr">
        <is>
          <t>-</t>
        </is>
      </c>
      <c r="YM253" s="9" t="inlineStr">
        <is>
          <t>-</t>
        </is>
      </c>
      <c r="YN253" s="9" t="inlineStr">
        <is>
          <t>-</t>
        </is>
      </c>
      <c r="YO253" s="9" t="inlineStr">
        <is>
          <t>-</t>
        </is>
      </c>
      <c r="YP253" s="9" t="n">
        <v>0</v>
      </c>
      <c r="YT253" s="9" t="inlineStr">
        <is>
          <t>BALANCE</t>
        </is>
      </c>
      <c r="YU253" s="9" t="inlineStr">
        <is>
          <t>-</t>
        </is>
      </c>
      <c r="YV253" s="9" t="inlineStr">
        <is>
          <t>-</t>
        </is>
      </c>
      <c r="YW253" s="9" t="inlineStr">
        <is>
          <t>-</t>
        </is>
      </c>
      <c r="YX253" s="9" t="inlineStr">
        <is>
          <t>-</t>
        </is>
      </c>
      <c r="YY253" s="9" t="n">
        <v>0</v>
      </c>
      <c r="ZC253" s="9" t="inlineStr">
        <is>
          <t>BALANCE</t>
        </is>
      </c>
      <c r="ZD253" s="9" t="inlineStr">
        <is>
          <t>-</t>
        </is>
      </c>
      <c r="ZE253" s="9" t="inlineStr">
        <is>
          <t>-</t>
        </is>
      </c>
      <c r="ZF253" s="9" t="inlineStr">
        <is>
          <t>-</t>
        </is>
      </c>
      <c r="ZG253" s="9" t="inlineStr">
        <is>
          <t>-</t>
        </is>
      </c>
      <c r="ZH253" s="9" t="n">
        <v>0</v>
      </c>
      <c r="ZL253" s="9" t="inlineStr">
        <is>
          <t>BALANCE</t>
        </is>
      </c>
      <c r="ZM253" s="9" t="inlineStr">
        <is>
          <t>-</t>
        </is>
      </c>
      <c r="ZN253" s="9" t="inlineStr">
        <is>
          <t>-</t>
        </is>
      </c>
      <c r="ZO253" s="9" t="inlineStr">
        <is>
          <t>-</t>
        </is>
      </c>
      <c r="ZP253" s="9" t="inlineStr">
        <is>
          <t>-</t>
        </is>
      </c>
      <c r="ZQ253" s="9" t="n">
        <v>0</v>
      </c>
      <c r="ZU253" s="9" t="inlineStr">
        <is>
          <t>BALANCE</t>
        </is>
      </c>
      <c r="ZV253" s="9" t="inlineStr">
        <is>
          <t>-</t>
        </is>
      </c>
      <c r="ZW253" s="9" t="inlineStr">
        <is>
          <t>-</t>
        </is>
      </c>
      <c r="ZX253" s="9" t="inlineStr">
        <is>
          <t>-</t>
        </is>
      </c>
      <c r="ZY253" s="9" t="inlineStr">
        <is>
          <t>-</t>
        </is>
      </c>
      <c r="ZZ253" s="9" t="n">
        <v>0</v>
      </c>
      <c r="AAD253" s="9" t="inlineStr">
        <is>
          <t>BALANCE</t>
        </is>
      </c>
      <c r="AAE253" s="9" t="inlineStr">
        <is>
          <t>-</t>
        </is>
      </c>
      <c r="AAF253" s="9" t="inlineStr">
        <is>
          <t>-</t>
        </is>
      </c>
      <c r="AAG253" s="9" t="inlineStr">
        <is>
          <t>-</t>
        </is>
      </c>
      <c r="AAH253" s="9" t="inlineStr">
        <is>
          <t>-</t>
        </is>
      </c>
      <c r="AAI253" s="9" t="n">
        <v>0</v>
      </c>
      <c r="AAM253" s="9" t="inlineStr">
        <is>
          <t>BALANCE</t>
        </is>
      </c>
      <c r="AAN253" s="9" t="inlineStr">
        <is>
          <t>-</t>
        </is>
      </c>
      <c r="AAO253" s="9" t="inlineStr">
        <is>
          <t>-</t>
        </is>
      </c>
      <c r="AAP253" s="9" t="inlineStr">
        <is>
          <t>-</t>
        </is>
      </c>
      <c r="AAQ253" s="9" t="inlineStr">
        <is>
          <t>-</t>
        </is>
      </c>
      <c r="AAR253" s="9" t="n">
        <v>0</v>
      </c>
      <c r="AAV253" s="9" t="inlineStr">
        <is>
          <t>BALANCE</t>
        </is>
      </c>
      <c r="AAW253" s="9" t="inlineStr">
        <is>
          <t>-</t>
        </is>
      </c>
      <c r="AAX253" s="9" t="inlineStr">
        <is>
          <t>-</t>
        </is>
      </c>
      <c r="AAY253" s="9" t="inlineStr">
        <is>
          <t>-</t>
        </is>
      </c>
      <c r="AAZ253" s="9" t="inlineStr">
        <is>
          <t>-</t>
        </is>
      </c>
      <c r="ABA253" s="9" t="n">
        <v>0</v>
      </c>
      <c r="ABE253" s="9" t="inlineStr">
        <is>
          <t>BALANCE</t>
        </is>
      </c>
      <c r="ABF253" s="9" t="inlineStr">
        <is>
          <t>-</t>
        </is>
      </c>
      <c r="ABG253" s="9" t="inlineStr">
        <is>
          <t>-</t>
        </is>
      </c>
      <c r="ABH253" s="9" t="inlineStr">
        <is>
          <t>-</t>
        </is>
      </c>
      <c r="ABI253" s="9" t="inlineStr">
        <is>
          <t>-</t>
        </is>
      </c>
      <c r="ABJ253" s="9" t="n">
        <v>0</v>
      </c>
    </row>
    <row r="254">
      <c r="C254" s="10" t="n">
        <v>46235</v>
      </c>
      <c r="D254" s="9" t="n">
        <v>24600</v>
      </c>
      <c r="E254" s="9" t="n">
        <v>555.38</v>
      </c>
      <c r="G254" s="9" t="n">
        <v>555.38</v>
      </c>
      <c r="H254" s="9" t="n">
        <v>215549.4</v>
      </c>
      <c r="L254" s="10" t="n">
        <v>46235</v>
      </c>
      <c r="N254" s="9" t="n">
        <v>317.2</v>
      </c>
      <c r="P254" s="9" t="n">
        <v>317.2</v>
      </c>
      <c r="Q254" s="9" t="n">
        <v>53017.60000000007</v>
      </c>
      <c r="U254" s="10" t="n">
        <v>46235</v>
      </c>
      <c r="W254" s="9" t="n">
        <v>50</v>
      </c>
      <c r="Y254" s="9" t="n">
        <v>50</v>
      </c>
      <c r="Z254" s="9" t="n">
        <v>42674.19999999997</v>
      </c>
      <c r="AD254" s="10" t="n">
        <v>46235</v>
      </c>
      <c r="AF254" s="9" t="n">
        <v>0</v>
      </c>
      <c r="AH254" s="9" t="n">
        <v>0</v>
      </c>
      <c r="AI254" s="9" t="n">
        <v>4522.200000000019</v>
      </c>
      <c r="AM254" s="10" t="n">
        <v>46235</v>
      </c>
      <c r="AO254" s="9" t="n">
        <v>0</v>
      </c>
      <c r="AQ254" s="9" t="n">
        <v>0</v>
      </c>
      <c r="AR254" s="9" t="n">
        <v>0</v>
      </c>
      <c r="AV254" s="10" t="n">
        <v>46235</v>
      </c>
      <c r="AX254" s="9" t="n">
        <v>0</v>
      </c>
      <c r="AZ254" s="9" t="n">
        <v>0</v>
      </c>
      <c r="BA254" s="9" t="n">
        <v>124.9999999999952</v>
      </c>
      <c r="BE254" s="10" t="n">
        <v>46235</v>
      </c>
      <c r="BG254" s="9" t="n">
        <v>19.5</v>
      </c>
      <c r="BI254" s="9" t="n">
        <v>19.5</v>
      </c>
      <c r="BJ254" s="9" t="n">
        <v>26151.9</v>
      </c>
      <c r="BN254" s="10" t="n">
        <v>46235</v>
      </c>
      <c r="BP254" s="9" t="n">
        <v>23.5</v>
      </c>
      <c r="BR254" s="9" t="n">
        <v>23.5</v>
      </c>
      <c r="BS254" s="9" t="n">
        <v>0</v>
      </c>
      <c r="BW254" s="10" t="n">
        <v>46235</v>
      </c>
      <c r="BY254" s="9" t="n">
        <v>0</v>
      </c>
      <c r="CA254" s="9" t="n">
        <v>0</v>
      </c>
      <c r="CB254" s="9" t="n">
        <v>3322.499999999999</v>
      </c>
      <c r="CF254" s="10" t="n">
        <v>46235</v>
      </c>
      <c r="CH254" s="9" t="n">
        <v>6.42</v>
      </c>
      <c r="CJ254" s="9" t="n">
        <v>6.42</v>
      </c>
      <c r="CK254" s="9" t="n">
        <v>-10277.08</v>
      </c>
      <c r="CO254" s="10" t="n">
        <v>46235</v>
      </c>
      <c r="CQ254" s="9" t="n">
        <v>0</v>
      </c>
      <c r="CS254" s="9" t="n">
        <v>0</v>
      </c>
      <c r="CT254" s="9" t="n">
        <v>0</v>
      </c>
      <c r="CX254" s="10" t="n">
        <v>46235</v>
      </c>
      <c r="CZ254" s="9" t="n">
        <v>0</v>
      </c>
      <c r="DB254" s="9" t="n">
        <v>0</v>
      </c>
      <c r="DC254" s="9" t="n">
        <v>27438.20000000001</v>
      </c>
      <c r="DG254" s="10" t="n">
        <v>46235</v>
      </c>
      <c r="DI254" s="9" t="n">
        <v>0</v>
      </c>
      <c r="DK254" s="9" t="n">
        <v>0</v>
      </c>
      <c r="DL254" s="9" t="n">
        <v>18782.29999999998</v>
      </c>
      <c r="DP254" s="10" t="n">
        <v>46235</v>
      </c>
      <c r="DR254" s="9" t="n">
        <v>0</v>
      </c>
      <c r="DT254" s="9" t="n">
        <v>0</v>
      </c>
      <c r="DU254" s="9" t="n">
        <v>5800</v>
      </c>
      <c r="DY254" s="10" t="n">
        <v>46235</v>
      </c>
      <c r="EA254" s="9" t="n">
        <v>0</v>
      </c>
      <c r="EC254" s="9" t="n">
        <v>0</v>
      </c>
      <c r="ED254" s="9" t="n">
        <v>0</v>
      </c>
      <c r="EH254" s="10" t="n">
        <v>46235</v>
      </c>
      <c r="EJ254" s="9" t="n">
        <v>0</v>
      </c>
      <c r="EL254" s="9" t="n">
        <v>0</v>
      </c>
      <c r="EM254" s="9" t="n">
        <v>0</v>
      </c>
      <c r="EQ254" s="10" t="n">
        <v>46235</v>
      </c>
      <c r="ES254" s="9" t="n">
        <v>0</v>
      </c>
      <c r="EU254" s="9" t="n">
        <v>0</v>
      </c>
      <c r="EV254" s="9" t="n">
        <v>0</v>
      </c>
      <c r="EZ254" s="10" t="n">
        <v>46235</v>
      </c>
      <c r="FB254" s="9" t="n">
        <v>0</v>
      </c>
      <c r="FD254" s="9" t="n">
        <v>0</v>
      </c>
      <c r="FE254" s="9" t="n">
        <v>0</v>
      </c>
      <c r="FI254" s="10" t="n">
        <v>46235</v>
      </c>
      <c r="FK254" s="9" t="n">
        <v>0</v>
      </c>
      <c r="FM254" s="9" t="n">
        <v>0</v>
      </c>
      <c r="FN254" s="9" t="n">
        <v>0</v>
      </c>
      <c r="FR254" s="10" t="n">
        <v>46235</v>
      </c>
      <c r="FT254" s="9" t="n">
        <v>0</v>
      </c>
      <c r="FV254" s="9" t="n">
        <v>0</v>
      </c>
      <c r="FW254" s="9" t="n">
        <v>540</v>
      </c>
      <c r="GA254" s="10" t="n">
        <v>46235</v>
      </c>
      <c r="GC254" s="9" t="n">
        <v>0</v>
      </c>
      <c r="GE254" s="9" t="n">
        <v>0</v>
      </c>
      <c r="GF254" s="9" t="n">
        <v>960</v>
      </c>
      <c r="GJ254" s="10" t="n">
        <v>46235</v>
      </c>
      <c r="GL254" s="9" t="n">
        <v>0</v>
      </c>
      <c r="GN254" s="9" t="n">
        <v>0</v>
      </c>
      <c r="GO254" s="9" t="n">
        <v>1760</v>
      </c>
      <c r="GS254" s="10" t="n">
        <v>46235</v>
      </c>
      <c r="GU254" s="9" t="n">
        <v>0</v>
      </c>
      <c r="GW254" s="9" t="n">
        <v>0</v>
      </c>
      <c r="GX254" s="9" t="n">
        <v>400</v>
      </c>
      <c r="HB254" s="10" t="n">
        <v>46235</v>
      </c>
      <c r="HD254" s="9" t="n">
        <v>0</v>
      </c>
      <c r="HF254" s="9" t="n">
        <v>0</v>
      </c>
      <c r="HG254" s="9" t="n">
        <v>3600</v>
      </c>
      <c r="HK254" s="10" t="n">
        <v>46235</v>
      </c>
      <c r="HM254" s="9" t="n">
        <v>0</v>
      </c>
      <c r="HO254" s="9" t="n">
        <v>0</v>
      </c>
      <c r="HP254" s="9" t="n">
        <v>0</v>
      </c>
      <c r="HU254" s="10" t="n">
        <v>46235</v>
      </c>
      <c r="HW254" s="9" t="n">
        <v>0</v>
      </c>
      <c r="HY254" s="9" t="n">
        <v>0</v>
      </c>
      <c r="HZ254" s="9" t="n">
        <v>5920</v>
      </c>
      <c r="ID254" s="10" t="n">
        <v>46235</v>
      </c>
      <c r="IF254" s="9" t="n">
        <v>0</v>
      </c>
      <c r="IH254" s="9" t="n">
        <v>0</v>
      </c>
      <c r="II254" s="9" t="n">
        <v>720</v>
      </c>
      <c r="IM254" s="10" t="n">
        <v>46235</v>
      </c>
      <c r="IO254" s="9" t="n">
        <v>0</v>
      </c>
      <c r="IQ254" s="9" t="n">
        <v>0</v>
      </c>
      <c r="IR254" s="9" t="n">
        <v>1680</v>
      </c>
      <c r="IV254" s="10" t="n">
        <v>46235</v>
      </c>
      <c r="IX254" s="9" t="n">
        <v>0</v>
      </c>
      <c r="IZ254" s="9" t="n">
        <v>0</v>
      </c>
      <c r="JA254" s="9" t="n">
        <v>4960</v>
      </c>
      <c r="JE254" s="10" t="n">
        <v>46235</v>
      </c>
      <c r="JG254" s="9" t="n">
        <v>20</v>
      </c>
      <c r="JI254" s="9" t="n">
        <v>20</v>
      </c>
      <c r="JJ254" s="9" t="n">
        <v>0</v>
      </c>
      <c r="JN254" s="10" t="n">
        <v>46235</v>
      </c>
      <c r="JP254" s="9" t="n">
        <v>0</v>
      </c>
      <c r="JR254" s="9" t="n">
        <v>0</v>
      </c>
      <c r="JS254" s="9" t="n">
        <v>0</v>
      </c>
      <c r="JW254" s="10" t="n">
        <v>46235</v>
      </c>
      <c r="JY254" s="9" t="n">
        <v>0</v>
      </c>
      <c r="KA254" s="9" t="n">
        <v>0</v>
      </c>
      <c r="KB254" s="9" t="n">
        <v>2540</v>
      </c>
      <c r="KF254" s="10" t="n">
        <v>46235</v>
      </c>
      <c r="KH254" s="9" t="n">
        <v>0</v>
      </c>
      <c r="KJ254" s="9" t="n">
        <v>0</v>
      </c>
      <c r="KK254" s="9" t="n">
        <v>2359.5</v>
      </c>
      <c r="KO254" s="10" t="n">
        <v>46235</v>
      </c>
      <c r="KQ254" s="9" t="n">
        <v>0</v>
      </c>
      <c r="KS254" s="9" t="n">
        <v>0</v>
      </c>
      <c r="KT254" s="9" t="n">
        <v>1890</v>
      </c>
      <c r="KX254" s="10" t="n">
        <v>46235</v>
      </c>
      <c r="KZ254" s="9" t="n">
        <v>0</v>
      </c>
      <c r="LB254" s="9" t="n">
        <v>0</v>
      </c>
      <c r="LC254" s="9" t="n">
        <v>3690</v>
      </c>
      <c r="LG254" s="10" t="n">
        <v>46235</v>
      </c>
      <c r="LI254" s="9" t="n">
        <v>0</v>
      </c>
      <c r="LK254" s="9" t="n">
        <v>0</v>
      </c>
      <c r="LL254" s="9" t="n">
        <v>4000</v>
      </c>
      <c r="LP254" s="10" t="n">
        <v>46235</v>
      </c>
      <c r="LR254" s="9" t="n">
        <v>0</v>
      </c>
      <c r="LT254" s="9" t="n">
        <v>0</v>
      </c>
      <c r="LU254" s="9" t="n">
        <v>0</v>
      </c>
      <c r="LY254" s="10" t="n">
        <v>46235</v>
      </c>
      <c r="MA254" s="9" t="n">
        <v>0</v>
      </c>
      <c r="MC254" s="9" t="n">
        <v>0</v>
      </c>
      <c r="MD254" s="9" t="n">
        <v>0</v>
      </c>
      <c r="MH254" s="10" t="n">
        <v>46235</v>
      </c>
      <c r="MJ254" s="9" t="n">
        <v>0</v>
      </c>
      <c r="ML254" s="9" t="n">
        <v>0</v>
      </c>
      <c r="MM254" s="9" t="n">
        <v>0</v>
      </c>
      <c r="MQ254" s="10" t="n">
        <v>46235</v>
      </c>
      <c r="MS254" s="9" t="n">
        <v>0</v>
      </c>
      <c r="MU254" s="9" t="n">
        <v>0</v>
      </c>
      <c r="MV254" s="9" t="n">
        <v>2216</v>
      </c>
      <c r="MZ254" s="10" t="n">
        <v>46235</v>
      </c>
      <c r="NB254" s="9" t="n">
        <v>3</v>
      </c>
      <c r="ND254" s="9" t="n">
        <v>3</v>
      </c>
      <c r="NE254" s="9" t="n">
        <v>0</v>
      </c>
      <c r="NI254" s="10" t="n">
        <v>46235</v>
      </c>
      <c r="NK254" s="9" t="n">
        <v>0</v>
      </c>
      <c r="NM254" s="9" t="n">
        <v>0</v>
      </c>
      <c r="NN254" s="9" t="n">
        <v>1127</v>
      </c>
      <c r="NR254" s="10" t="n">
        <v>46235</v>
      </c>
      <c r="NT254" s="9" t="n">
        <v>0</v>
      </c>
      <c r="NV254" s="9" t="n">
        <v>0</v>
      </c>
      <c r="NW254" s="9" t="n">
        <v>3112</v>
      </c>
      <c r="OA254" s="10" t="n">
        <v>46235</v>
      </c>
      <c r="OC254" s="9" t="n">
        <v>0</v>
      </c>
      <c r="OE254" s="9" t="n">
        <v>0</v>
      </c>
      <c r="OF254" s="9" t="n">
        <v>1680.5</v>
      </c>
      <c r="OJ254" s="10" t="n">
        <v>46235</v>
      </c>
      <c r="OL254" s="9" t="n">
        <v>0</v>
      </c>
      <c r="ON254" s="9" t="n">
        <v>0</v>
      </c>
      <c r="OO254" s="9" t="n">
        <v>0</v>
      </c>
      <c r="OS254" s="10" t="n">
        <v>46235</v>
      </c>
      <c r="OU254" s="9" t="n">
        <v>1</v>
      </c>
      <c r="OW254" s="9" t="n">
        <v>1</v>
      </c>
      <c r="OX254" s="9" t="n">
        <v>1482</v>
      </c>
      <c r="PB254" s="10" t="n">
        <v>46235</v>
      </c>
      <c r="PD254" s="9" t="n">
        <v>0</v>
      </c>
      <c r="PF254" s="9" t="n">
        <v>0</v>
      </c>
      <c r="PG254" s="9" t="n">
        <v>0</v>
      </c>
      <c r="PK254" s="10" t="n">
        <v>46235</v>
      </c>
      <c r="PM254" s="9" t="n">
        <v>0</v>
      </c>
      <c r="PO254" s="9" t="n">
        <v>0</v>
      </c>
      <c r="PP254" s="9" t="n">
        <v>100</v>
      </c>
      <c r="PT254" s="10" t="n">
        <v>46235</v>
      </c>
      <c r="PV254" s="9" t="n">
        <v>0</v>
      </c>
      <c r="PX254" s="9" t="n">
        <v>0</v>
      </c>
      <c r="PY254" s="9" t="n">
        <v>13.96000000000004</v>
      </c>
      <c r="QC254" s="10" t="n">
        <v>46235</v>
      </c>
      <c r="QE254" s="9" t="n">
        <v>4</v>
      </c>
      <c r="QG254" s="9" t="n">
        <v>4</v>
      </c>
      <c r="QH254" s="9" t="n">
        <v>1284</v>
      </c>
      <c r="QL254" s="10" t="n">
        <v>46235</v>
      </c>
      <c r="QN254" s="9" t="n">
        <v>0</v>
      </c>
      <c r="QP254" s="9" t="n">
        <v>0</v>
      </c>
      <c r="QQ254" s="9" t="n">
        <v>0</v>
      </c>
      <c r="QU254" s="10" t="n">
        <v>46235</v>
      </c>
      <c r="QW254" s="9" t="n">
        <v>0</v>
      </c>
      <c r="QY254" s="9" t="n">
        <v>0</v>
      </c>
      <c r="QZ254" s="9" t="n">
        <v>207.6</v>
      </c>
      <c r="RD254" s="10" t="n">
        <v>46235</v>
      </c>
      <c r="RF254" s="9" t="n">
        <v>0</v>
      </c>
      <c r="RH254" s="9" t="n">
        <v>0</v>
      </c>
      <c r="RI254" s="9" t="n">
        <v>147.04</v>
      </c>
      <c r="RM254" s="10" t="n">
        <v>46235</v>
      </c>
      <c r="RO254" s="9" t="n">
        <v>0</v>
      </c>
      <c r="RQ254" s="9" t="n">
        <v>0</v>
      </c>
      <c r="RR254" s="9" t="n">
        <v>46.8</v>
      </c>
      <c r="RV254" s="10" t="n">
        <v>46235</v>
      </c>
      <c r="RX254" s="9" t="n">
        <v>0</v>
      </c>
      <c r="RZ254" s="9" t="n">
        <v>0</v>
      </c>
      <c r="SA254" s="9" t="n">
        <v>0</v>
      </c>
      <c r="SE254" s="10" t="n">
        <v>46235</v>
      </c>
      <c r="SG254" s="9" t="n">
        <v>0</v>
      </c>
      <c r="SI254" s="9" t="n">
        <v>0</v>
      </c>
      <c r="SJ254" s="9" t="n">
        <v>24.2</v>
      </c>
      <c r="SN254" s="10" t="n">
        <v>46235</v>
      </c>
      <c r="SP254" s="9" t="n">
        <v>0</v>
      </c>
      <c r="SR254" s="9" t="n">
        <v>0</v>
      </c>
      <c r="SS254" s="9" t="n">
        <v>32</v>
      </c>
      <c r="SW254" s="10" t="n">
        <v>46235</v>
      </c>
      <c r="SY254" s="9" t="n">
        <v>0</v>
      </c>
      <c r="TA254" s="9" t="n">
        <v>0</v>
      </c>
      <c r="TB254" s="9" t="n">
        <v>0</v>
      </c>
      <c r="TF254" s="10" t="n">
        <v>46235</v>
      </c>
      <c r="TH254" s="9" t="n">
        <v>0</v>
      </c>
      <c r="TJ254" s="9" t="n">
        <v>0</v>
      </c>
      <c r="TK254" s="9" t="n">
        <v>0</v>
      </c>
      <c r="TO254" s="10" t="n">
        <v>46235</v>
      </c>
      <c r="TQ254" s="9" t="n">
        <v>0</v>
      </c>
      <c r="TS254" s="9" t="n">
        <v>0</v>
      </c>
      <c r="TT254" s="9" t="n">
        <v>10.40000000000001</v>
      </c>
      <c r="TX254" s="10" t="n">
        <v>46235</v>
      </c>
      <c r="TZ254" s="9" t="n">
        <v>0</v>
      </c>
      <c r="UB254" s="9" t="n">
        <v>0</v>
      </c>
      <c r="UC254" s="9" t="n">
        <v>46.79999999999998</v>
      </c>
      <c r="UG254" s="10" t="n">
        <v>46235</v>
      </c>
      <c r="UI254" s="9" t="n">
        <v>0</v>
      </c>
      <c r="UK254" s="9" t="n">
        <v>0</v>
      </c>
      <c r="UL254" s="9" t="n">
        <v>204</v>
      </c>
      <c r="UP254" s="10" t="n">
        <v>46235</v>
      </c>
      <c r="UR254" s="9" t="n">
        <v>0</v>
      </c>
      <c r="UT254" s="9" t="n">
        <v>0</v>
      </c>
      <c r="UU254" s="9" t="n">
        <v>202.5</v>
      </c>
      <c r="UY254" s="10" t="n">
        <v>46235</v>
      </c>
      <c r="VA254" s="9" t="n">
        <v>0</v>
      </c>
      <c r="VC254" s="9" t="n">
        <v>0</v>
      </c>
      <c r="VD254" s="9" t="n">
        <v>41.60000000000002</v>
      </c>
      <c r="VH254" s="10" t="n">
        <v>46235</v>
      </c>
      <c r="VJ254" s="9" t="n">
        <v>0</v>
      </c>
      <c r="VL254" s="9" t="n">
        <v>0</v>
      </c>
      <c r="VM254" s="9" t="n">
        <v>210</v>
      </c>
      <c r="VQ254" s="10" t="n">
        <v>46235</v>
      </c>
      <c r="VS254" s="9" t="n">
        <v>0</v>
      </c>
      <c r="VU254" s="9" t="n">
        <v>0</v>
      </c>
      <c r="VV254" s="9" t="n">
        <v>0</v>
      </c>
      <c r="VZ254" s="10" t="n">
        <v>46235</v>
      </c>
      <c r="WB254" s="9" t="n">
        <v>0</v>
      </c>
      <c r="WD254" s="9" t="n">
        <v>0</v>
      </c>
      <c r="WE254" s="9" t="n">
        <v>0</v>
      </c>
      <c r="WI254" s="10" t="n">
        <v>46235</v>
      </c>
      <c r="WK254" s="9" t="n">
        <v>0</v>
      </c>
      <c r="WM254" s="9" t="n">
        <v>0</v>
      </c>
      <c r="WN254" s="9" t="n">
        <v>1057</v>
      </c>
      <c r="WR254" s="10" t="n">
        <v>46235</v>
      </c>
      <c r="WT254" s="9" t="n">
        <v>0</v>
      </c>
      <c r="WV254" s="9" t="n">
        <v>0</v>
      </c>
      <c r="WW254" s="9" t="n">
        <v>0</v>
      </c>
      <c r="XA254" s="10" t="n">
        <v>46235</v>
      </c>
      <c r="XC254" s="9" t="n">
        <v>0</v>
      </c>
      <c r="XE254" s="9" t="n">
        <v>0</v>
      </c>
      <c r="XF254" s="9" t="n">
        <v>7507</v>
      </c>
      <c r="XJ254" s="10" t="n">
        <v>46235</v>
      </c>
      <c r="XL254" s="9" t="n">
        <v>0</v>
      </c>
      <c r="XN254" s="9" t="n">
        <v>0</v>
      </c>
      <c r="XO254" s="9" t="n">
        <v>4252</v>
      </c>
      <c r="XS254" s="10" t="n">
        <v>46235</v>
      </c>
      <c r="XU254" s="9" t="n">
        <v>0</v>
      </c>
      <c r="XW254" s="9" t="n">
        <v>0</v>
      </c>
      <c r="XX254" s="9" t="n">
        <v>2179</v>
      </c>
      <c r="YB254" s="10" t="n">
        <v>46235</v>
      </c>
      <c r="YD254" s="9" t="n">
        <v>0</v>
      </c>
      <c r="YF254" s="9" t="n">
        <v>0</v>
      </c>
      <c r="YG254" s="9" t="n">
        <v>4019</v>
      </c>
      <c r="YK254" s="10" t="n">
        <v>46235</v>
      </c>
      <c r="YM254" s="9" t="n">
        <v>0</v>
      </c>
      <c r="YO254" s="9" t="n">
        <v>0</v>
      </c>
      <c r="YP254" s="9" t="n">
        <v>0</v>
      </c>
      <c r="YT254" s="10" t="n">
        <v>46235</v>
      </c>
      <c r="YV254" s="9" t="n">
        <v>0</v>
      </c>
      <c r="YX254" s="9" t="n">
        <v>0</v>
      </c>
      <c r="YY254" s="9" t="n">
        <v>0</v>
      </c>
      <c r="ZC254" s="10" t="n">
        <v>46235</v>
      </c>
      <c r="ZE254" s="9" t="n">
        <v>0</v>
      </c>
      <c r="ZG254" s="9" t="n">
        <v>0</v>
      </c>
      <c r="ZH254" s="9" t="n">
        <v>0</v>
      </c>
      <c r="ZL254" s="10" t="n">
        <v>46235</v>
      </c>
      <c r="ZN254" s="9" t="n">
        <v>0</v>
      </c>
      <c r="ZP254" s="9" t="n">
        <v>0</v>
      </c>
      <c r="ZQ254" s="9" t="n">
        <v>0</v>
      </c>
      <c r="ZU254" s="10" t="n">
        <v>46235</v>
      </c>
      <c r="ZW254" s="9" t="n">
        <v>0</v>
      </c>
      <c r="ZY254" s="9" t="n">
        <v>0</v>
      </c>
      <c r="ZZ254" s="9" t="n">
        <v>0</v>
      </c>
      <c r="AAD254" s="10" t="n">
        <v>46235</v>
      </c>
      <c r="AAF254" s="9" t="n">
        <v>0</v>
      </c>
      <c r="AAH254" s="9" t="n">
        <v>0</v>
      </c>
      <c r="AAI254" s="9" t="n">
        <v>0</v>
      </c>
      <c r="AAM254" s="10" t="n">
        <v>46235</v>
      </c>
      <c r="AAO254" s="9" t="n">
        <v>0</v>
      </c>
      <c r="AAQ254" s="9" t="n">
        <v>0</v>
      </c>
      <c r="AAR254" s="9" t="n">
        <v>0</v>
      </c>
      <c r="AAV254" s="10" t="n">
        <v>46235</v>
      </c>
      <c r="AAX254" s="9" t="n">
        <v>0</v>
      </c>
      <c r="AAZ254" s="9" t="n">
        <v>0</v>
      </c>
      <c r="ABA254" s="9" t="n">
        <v>0</v>
      </c>
      <c r="ABE254" s="10" t="n">
        <v>46235</v>
      </c>
      <c r="ABG254" s="9" t="n">
        <v>0</v>
      </c>
      <c r="ABI254" s="9" t="n">
        <v>0</v>
      </c>
      <c r="ABJ254" s="9" t="n">
        <v>0</v>
      </c>
    </row>
    <row r="255">
      <c r="C255" s="10" t="n">
        <v>46236</v>
      </c>
      <c r="E255" s="9" t="n">
        <v>0</v>
      </c>
      <c r="G255" s="9" t="n">
        <v>0</v>
      </c>
      <c r="H255" s="9" t="n">
        <v>215549.4</v>
      </c>
      <c r="L255" s="10" t="n">
        <v>46236</v>
      </c>
      <c r="N255" s="9" t="n">
        <v>0</v>
      </c>
      <c r="P255" s="9" t="n">
        <v>0</v>
      </c>
      <c r="Q255" s="9" t="n">
        <v>53017.60000000007</v>
      </c>
      <c r="U255" s="10" t="n">
        <v>46236</v>
      </c>
      <c r="W255" s="9" t="n">
        <v>0</v>
      </c>
      <c r="Y255" s="9" t="n">
        <v>0</v>
      </c>
      <c r="Z255" s="9" t="n">
        <v>42674.19999999997</v>
      </c>
      <c r="AD255" s="10" t="n">
        <v>46236</v>
      </c>
      <c r="AF255" s="9" t="n">
        <v>0</v>
      </c>
      <c r="AH255" s="9" t="n">
        <v>0</v>
      </c>
      <c r="AI255" s="9" t="n">
        <v>4522.200000000019</v>
      </c>
      <c r="AM255" s="10" t="n">
        <v>46236</v>
      </c>
      <c r="AO255" s="9" t="n">
        <v>0</v>
      </c>
      <c r="AQ255" s="9" t="n">
        <v>0</v>
      </c>
      <c r="AR255" s="9" t="n">
        <v>0</v>
      </c>
      <c r="AV255" s="10" t="n">
        <v>46236</v>
      </c>
      <c r="AX255" s="9" t="n">
        <v>0</v>
      </c>
      <c r="AZ255" s="9" t="n">
        <v>0</v>
      </c>
      <c r="BA255" s="9" t="n">
        <v>124.9999999999952</v>
      </c>
      <c r="BE255" s="10" t="n">
        <v>46236</v>
      </c>
      <c r="BG255" s="9" t="n">
        <v>0</v>
      </c>
      <c r="BI255" s="9" t="n">
        <v>0</v>
      </c>
      <c r="BJ255" s="9" t="n">
        <v>26151.9</v>
      </c>
      <c r="BN255" s="10" t="n">
        <v>46236</v>
      </c>
      <c r="BP255" s="9" t="n">
        <v>0</v>
      </c>
      <c r="BR255" s="9" t="n">
        <v>0</v>
      </c>
      <c r="BS255" s="9" t="n">
        <v>0</v>
      </c>
      <c r="BW255" s="10" t="n">
        <v>46236</v>
      </c>
      <c r="BY255" s="9" t="n">
        <v>0</v>
      </c>
      <c r="CA255" s="9" t="n">
        <v>0</v>
      </c>
      <c r="CB255" s="9" t="n">
        <v>3322.499999999999</v>
      </c>
      <c r="CF255" s="10" t="n">
        <v>46236</v>
      </c>
      <c r="CH255" s="9" t="n">
        <v>0</v>
      </c>
      <c r="CJ255" s="9" t="n">
        <v>0</v>
      </c>
      <c r="CK255" s="9" t="n">
        <v>-10277.08</v>
      </c>
      <c r="CO255" s="10" t="n">
        <v>46236</v>
      </c>
      <c r="CQ255" s="9" t="n">
        <v>0</v>
      </c>
      <c r="CS255" s="9" t="n">
        <v>0</v>
      </c>
      <c r="CT255" s="9" t="n">
        <v>0</v>
      </c>
      <c r="CX255" s="10" t="n">
        <v>46236</v>
      </c>
      <c r="CZ255" s="9" t="n">
        <v>0</v>
      </c>
      <c r="DB255" s="9" t="n">
        <v>0</v>
      </c>
      <c r="DC255" s="9" t="n">
        <v>27438.20000000001</v>
      </c>
      <c r="DG255" s="10" t="n">
        <v>46236</v>
      </c>
      <c r="DI255" s="9" t="n">
        <v>0</v>
      </c>
      <c r="DK255" s="9" t="n">
        <v>0</v>
      </c>
      <c r="DL255" s="9" t="n">
        <v>18782.29999999998</v>
      </c>
      <c r="DP255" s="10" t="n">
        <v>46236</v>
      </c>
      <c r="DR255" s="9" t="n">
        <v>0</v>
      </c>
      <c r="DT255" s="9" t="n">
        <v>0</v>
      </c>
      <c r="DU255" s="9" t="n">
        <v>5800</v>
      </c>
      <c r="DY255" s="10" t="n">
        <v>46236</v>
      </c>
      <c r="EA255" s="9" t="n">
        <v>0</v>
      </c>
      <c r="EC255" s="9" t="n">
        <v>0</v>
      </c>
      <c r="ED255" s="9" t="n">
        <v>0</v>
      </c>
      <c r="EH255" s="10" t="n">
        <v>46236</v>
      </c>
      <c r="EJ255" s="9" t="n">
        <v>0</v>
      </c>
      <c r="EL255" s="9" t="n">
        <v>0</v>
      </c>
      <c r="EM255" s="9" t="n">
        <v>0</v>
      </c>
      <c r="EQ255" s="10" t="n">
        <v>46236</v>
      </c>
      <c r="ES255" s="9" t="n">
        <v>0</v>
      </c>
      <c r="EU255" s="9" t="n">
        <v>0</v>
      </c>
      <c r="EV255" s="9" t="n">
        <v>0</v>
      </c>
      <c r="EZ255" s="10" t="n">
        <v>46236</v>
      </c>
      <c r="FB255" s="9" t="n">
        <v>0</v>
      </c>
      <c r="FD255" s="9" t="n">
        <v>0</v>
      </c>
      <c r="FE255" s="9" t="n">
        <v>0</v>
      </c>
      <c r="FI255" s="10" t="n">
        <v>46236</v>
      </c>
      <c r="FK255" s="9" t="n">
        <v>0</v>
      </c>
      <c r="FM255" s="9" t="n">
        <v>0</v>
      </c>
      <c r="FN255" s="9" t="n">
        <v>0</v>
      </c>
      <c r="FR255" s="10" t="n">
        <v>46236</v>
      </c>
      <c r="FT255" s="9" t="n">
        <v>0</v>
      </c>
      <c r="FV255" s="9" t="n">
        <v>0</v>
      </c>
      <c r="FW255" s="9" t="n">
        <v>540</v>
      </c>
      <c r="GA255" s="10" t="n">
        <v>46236</v>
      </c>
      <c r="GC255" s="9" t="n">
        <v>0</v>
      </c>
      <c r="GE255" s="9" t="n">
        <v>0</v>
      </c>
      <c r="GF255" s="9" t="n">
        <v>960</v>
      </c>
      <c r="GJ255" s="10" t="n">
        <v>46236</v>
      </c>
      <c r="GL255" s="9" t="n">
        <v>0</v>
      </c>
      <c r="GN255" s="9" t="n">
        <v>0</v>
      </c>
      <c r="GO255" s="9" t="n">
        <v>1760</v>
      </c>
      <c r="GS255" s="10" t="n">
        <v>46236</v>
      </c>
      <c r="GU255" s="9" t="n">
        <v>0</v>
      </c>
      <c r="GW255" s="9" t="n">
        <v>0</v>
      </c>
      <c r="GX255" s="9" t="n">
        <v>400</v>
      </c>
      <c r="HB255" s="10" t="n">
        <v>46236</v>
      </c>
      <c r="HD255" s="9" t="n">
        <v>0</v>
      </c>
      <c r="HF255" s="9" t="n">
        <v>0</v>
      </c>
      <c r="HG255" s="9" t="n">
        <v>3600</v>
      </c>
      <c r="HK255" s="10" t="n">
        <v>46236</v>
      </c>
      <c r="HM255" s="9" t="n">
        <v>0</v>
      </c>
      <c r="HO255" s="9" t="n">
        <v>0</v>
      </c>
      <c r="HP255" s="9" t="n">
        <v>0</v>
      </c>
      <c r="HU255" s="10" t="n">
        <v>46236</v>
      </c>
      <c r="HW255" s="9" t="n">
        <v>0</v>
      </c>
      <c r="HY255" s="9" t="n">
        <v>0</v>
      </c>
      <c r="HZ255" s="9" t="n">
        <v>5920</v>
      </c>
      <c r="ID255" s="10" t="n">
        <v>46236</v>
      </c>
      <c r="IF255" s="9" t="n">
        <v>0</v>
      </c>
      <c r="IH255" s="9" t="n">
        <v>0</v>
      </c>
      <c r="II255" s="9" t="n">
        <v>720</v>
      </c>
      <c r="IM255" s="10" t="n">
        <v>46236</v>
      </c>
      <c r="IO255" s="9" t="n">
        <v>0</v>
      </c>
      <c r="IQ255" s="9" t="n">
        <v>0</v>
      </c>
      <c r="IR255" s="9" t="n">
        <v>1680</v>
      </c>
      <c r="IV255" s="10" t="n">
        <v>46236</v>
      </c>
      <c r="IX255" s="9" t="n">
        <v>0</v>
      </c>
      <c r="IZ255" s="9" t="n">
        <v>0</v>
      </c>
      <c r="JA255" s="9" t="n">
        <v>4960</v>
      </c>
      <c r="JE255" s="10" t="n">
        <v>46236</v>
      </c>
      <c r="JG255" s="9" t="n">
        <v>0</v>
      </c>
      <c r="JI255" s="9" t="n">
        <v>0</v>
      </c>
      <c r="JJ255" s="9" t="n">
        <v>0</v>
      </c>
      <c r="JN255" s="10" t="n">
        <v>46236</v>
      </c>
      <c r="JP255" s="9" t="n">
        <v>0</v>
      </c>
      <c r="JR255" s="9" t="n">
        <v>0</v>
      </c>
      <c r="JS255" s="9" t="n">
        <v>0</v>
      </c>
      <c r="JW255" s="10" t="n">
        <v>46236</v>
      </c>
      <c r="JY255" s="9" t="n">
        <v>0</v>
      </c>
      <c r="KA255" s="9" t="n">
        <v>0</v>
      </c>
      <c r="KB255" s="9" t="n">
        <v>2540</v>
      </c>
      <c r="KF255" s="10" t="n">
        <v>46236</v>
      </c>
      <c r="KH255" s="9" t="n">
        <v>0</v>
      </c>
      <c r="KJ255" s="9" t="n">
        <v>0</v>
      </c>
      <c r="KK255" s="9" t="n">
        <v>2359.5</v>
      </c>
      <c r="KO255" s="10" t="n">
        <v>46236</v>
      </c>
      <c r="KQ255" s="9" t="n">
        <v>0</v>
      </c>
      <c r="KS255" s="9" t="n">
        <v>0</v>
      </c>
      <c r="KT255" s="9" t="n">
        <v>1890</v>
      </c>
      <c r="KX255" s="10" t="n">
        <v>46236</v>
      </c>
      <c r="KZ255" s="9" t="n">
        <v>0</v>
      </c>
      <c r="LB255" s="9" t="n">
        <v>0</v>
      </c>
      <c r="LC255" s="9" t="n">
        <v>3690</v>
      </c>
      <c r="LG255" s="10" t="n">
        <v>46236</v>
      </c>
      <c r="LI255" s="9" t="n">
        <v>0</v>
      </c>
      <c r="LK255" s="9" t="n">
        <v>0</v>
      </c>
      <c r="LL255" s="9" t="n">
        <v>4000</v>
      </c>
      <c r="LP255" s="10" t="n">
        <v>46236</v>
      </c>
      <c r="LR255" s="9" t="n">
        <v>0</v>
      </c>
      <c r="LT255" s="9" t="n">
        <v>0</v>
      </c>
      <c r="LU255" s="9" t="n">
        <v>0</v>
      </c>
      <c r="LY255" s="10" t="n">
        <v>46236</v>
      </c>
      <c r="MA255" s="9" t="n">
        <v>0</v>
      </c>
      <c r="MC255" s="9" t="n">
        <v>0</v>
      </c>
      <c r="MD255" s="9" t="n">
        <v>0</v>
      </c>
      <c r="MH255" s="10" t="n">
        <v>46236</v>
      </c>
      <c r="MJ255" s="9" t="n">
        <v>0</v>
      </c>
      <c r="ML255" s="9" t="n">
        <v>0</v>
      </c>
      <c r="MM255" s="9" t="n">
        <v>0</v>
      </c>
      <c r="MQ255" s="10" t="n">
        <v>46236</v>
      </c>
      <c r="MS255" s="9" t="n">
        <v>0</v>
      </c>
      <c r="MU255" s="9" t="n">
        <v>0</v>
      </c>
      <c r="MV255" s="9" t="n">
        <v>2216</v>
      </c>
      <c r="MZ255" s="10" t="n">
        <v>46236</v>
      </c>
      <c r="NB255" s="9" t="n">
        <v>0</v>
      </c>
      <c r="ND255" s="9" t="n">
        <v>0</v>
      </c>
      <c r="NE255" s="9" t="n">
        <v>0</v>
      </c>
      <c r="NI255" s="10" t="n">
        <v>46236</v>
      </c>
      <c r="NK255" s="9" t="n">
        <v>0</v>
      </c>
      <c r="NM255" s="9" t="n">
        <v>0</v>
      </c>
      <c r="NN255" s="9" t="n">
        <v>1127</v>
      </c>
      <c r="NR255" s="10" t="n">
        <v>46236</v>
      </c>
      <c r="NT255" s="9" t="n">
        <v>0</v>
      </c>
      <c r="NV255" s="9" t="n">
        <v>0</v>
      </c>
      <c r="NW255" s="9" t="n">
        <v>3112</v>
      </c>
      <c r="OA255" s="10" t="n">
        <v>46236</v>
      </c>
      <c r="OC255" s="9" t="n">
        <v>0</v>
      </c>
      <c r="OE255" s="9" t="n">
        <v>0</v>
      </c>
      <c r="OF255" s="9" t="n">
        <v>1680.5</v>
      </c>
      <c r="OJ255" s="10" t="n">
        <v>46236</v>
      </c>
      <c r="OL255" s="9" t="n">
        <v>0</v>
      </c>
      <c r="ON255" s="9" t="n">
        <v>0</v>
      </c>
      <c r="OO255" s="9" t="n">
        <v>0</v>
      </c>
      <c r="OS255" s="10" t="n">
        <v>46236</v>
      </c>
      <c r="OU255" s="9" t="n">
        <v>0</v>
      </c>
      <c r="OW255" s="9" t="n">
        <v>0</v>
      </c>
      <c r="OX255" s="9" t="n">
        <v>1482</v>
      </c>
      <c r="PB255" s="10" t="n">
        <v>46236</v>
      </c>
      <c r="PD255" s="9" t="n">
        <v>0</v>
      </c>
      <c r="PF255" s="9" t="n">
        <v>0</v>
      </c>
      <c r="PG255" s="9" t="n">
        <v>0</v>
      </c>
      <c r="PK255" s="10" t="n">
        <v>46236</v>
      </c>
      <c r="PM255" s="9" t="n">
        <v>0</v>
      </c>
      <c r="PO255" s="9" t="n">
        <v>0</v>
      </c>
      <c r="PP255" s="9" t="n">
        <v>100</v>
      </c>
      <c r="PT255" s="10" t="n">
        <v>46236</v>
      </c>
      <c r="PV255" s="9" t="n">
        <v>0</v>
      </c>
      <c r="PX255" s="9" t="n">
        <v>0</v>
      </c>
      <c r="PY255" s="9" t="n">
        <v>13.96000000000004</v>
      </c>
      <c r="QC255" s="10" t="n">
        <v>46236</v>
      </c>
      <c r="QE255" s="9" t="n">
        <v>0</v>
      </c>
      <c r="QG255" s="9" t="n">
        <v>0</v>
      </c>
      <c r="QH255" s="9" t="n">
        <v>1284</v>
      </c>
      <c r="QL255" s="10" t="n">
        <v>46236</v>
      </c>
      <c r="QN255" s="9" t="n">
        <v>0</v>
      </c>
      <c r="QP255" s="9" t="n">
        <v>0</v>
      </c>
      <c r="QQ255" s="9" t="n">
        <v>0</v>
      </c>
      <c r="QU255" s="10" t="n">
        <v>46236</v>
      </c>
      <c r="QW255" s="9" t="n">
        <v>0</v>
      </c>
      <c r="QY255" s="9" t="n">
        <v>0</v>
      </c>
      <c r="QZ255" s="9" t="n">
        <v>207.6</v>
      </c>
      <c r="RD255" s="10" t="n">
        <v>46236</v>
      </c>
      <c r="RF255" s="9" t="n">
        <v>0</v>
      </c>
      <c r="RH255" s="9" t="n">
        <v>0</v>
      </c>
      <c r="RI255" s="9" t="n">
        <v>147.04</v>
      </c>
      <c r="RM255" s="10" t="n">
        <v>46236</v>
      </c>
      <c r="RO255" s="9" t="n">
        <v>0</v>
      </c>
      <c r="RQ255" s="9" t="n">
        <v>0</v>
      </c>
      <c r="RR255" s="9" t="n">
        <v>46.8</v>
      </c>
      <c r="RV255" s="10" t="n">
        <v>46236</v>
      </c>
      <c r="RX255" s="9" t="n">
        <v>0</v>
      </c>
      <c r="RZ255" s="9" t="n">
        <v>0</v>
      </c>
      <c r="SA255" s="9" t="n">
        <v>0</v>
      </c>
      <c r="SE255" s="10" t="n">
        <v>46236</v>
      </c>
      <c r="SG255" s="9" t="n">
        <v>0</v>
      </c>
      <c r="SI255" s="9" t="n">
        <v>0</v>
      </c>
      <c r="SJ255" s="9" t="n">
        <v>24.2</v>
      </c>
      <c r="SN255" s="10" t="n">
        <v>46236</v>
      </c>
      <c r="SP255" s="9" t="n">
        <v>0</v>
      </c>
      <c r="SR255" s="9" t="n">
        <v>0</v>
      </c>
      <c r="SS255" s="9" t="n">
        <v>32</v>
      </c>
      <c r="SW255" s="10" t="n">
        <v>46236</v>
      </c>
      <c r="SY255" s="9" t="n">
        <v>0</v>
      </c>
      <c r="TA255" s="9" t="n">
        <v>0</v>
      </c>
      <c r="TB255" s="9" t="n">
        <v>0</v>
      </c>
      <c r="TF255" s="10" t="n">
        <v>46236</v>
      </c>
      <c r="TH255" s="9" t="n">
        <v>0</v>
      </c>
      <c r="TJ255" s="9" t="n">
        <v>0</v>
      </c>
      <c r="TK255" s="9" t="n">
        <v>0</v>
      </c>
      <c r="TO255" s="10" t="n">
        <v>46236</v>
      </c>
      <c r="TQ255" s="9" t="n">
        <v>0</v>
      </c>
      <c r="TS255" s="9" t="n">
        <v>0</v>
      </c>
      <c r="TT255" s="9" t="n">
        <v>10.40000000000001</v>
      </c>
      <c r="TX255" s="10" t="n">
        <v>46236</v>
      </c>
      <c r="TZ255" s="9" t="n">
        <v>0</v>
      </c>
      <c r="UB255" s="9" t="n">
        <v>0</v>
      </c>
      <c r="UC255" s="9" t="n">
        <v>46.79999999999998</v>
      </c>
      <c r="UG255" s="10" t="n">
        <v>46236</v>
      </c>
      <c r="UI255" s="9" t="n">
        <v>0</v>
      </c>
      <c r="UK255" s="9" t="n">
        <v>0</v>
      </c>
      <c r="UL255" s="9" t="n">
        <v>204</v>
      </c>
      <c r="UP255" s="10" t="n">
        <v>46236</v>
      </c>
      <c r="UR255" s="9" t="n">
        <v>0</v>
      </c>
      <c r="UT255" s="9" t="n">
        <v>0</v>
      </c>
      <c r="UU255" s="9" t="n">
        <v>202.5</v>
      </c>
      <c r="UY255" s="10" t="n">
        <v>46236</v>
      </c>
      <c r="VA255" s="9" t="n">
        <v>0</v>
      </c>
      <c r="VC255" s="9" t="n">
        <v>0</v>
      </c>
      <c r="VD255" s="9" t="n">
        <v>41.60000000000002</v>
      </c>
      <c r="VH255" s="10" t="n">
        <v>46236</v>
      </c>
      <c r="VJ255" s="9" t="n">
        <v>0</v>
      </c>
      <c r="VL255" s="9" t="n">
        <v>0</v>
      </c>
      <c r="VM255" s="9" t="n">
        <v>210</v>
      </c>
      <c r="VQ255" s="10" t="n">
        <v>46236</v>
      </c>
      <c r="VS255" s="9" t="n">
        <v>0</v>
      </c>
      <c r="VU255" s="9" t="n">
        <v>0</v>
      </c>
      <c r="VV255" s="9" t="n">
        <v>0</v>
      </c>
      <c r="VZ255" s="10" t="n">
        <v>46236</v>
      </c>
      <c r="WB255" s="9" t="n">
        <v>0</v>
      </c>
      <c r="WD255" s="9" t="n">
        <v>0</v>
      </c>
      <c r="WE255" s="9" t="n">
        <v>0</v>
      </c>
      <c r="WI255" s="10" t="n">
        <v>46236</v>
      </c>
      <c r="WK255" s="9" t="n">
        <v>0</v>
      </c>
      <c r="WM255" s="9" t="n">
        <v>0</v>
      </c>
      <c r="WN255" s="9" t="n">
        <v>1057</v>
      </c>
      <c r="WR255" s="10" t="n">
        <v>46236</v>
      </c>
      <c r="WT255" s="9" t="n">
        <v>0</v>
      </c>
      <c r="WV255" s="9" t="n">
        <v>0</v>
      </c>
      <c r="WW255" s="9" t="n">
        <v>0</v>
      </c>
      <c r="XA255" s="10" t="n">
        <v>46236</v>
      </c>
      <c r="XC255" s="9" t="n">
        <v>0</v>
      </c>
      <c r="XE255" s="9" t="n">
        <v>0</v>
      </c>
      <c r="XF255" s="9" t="n">
        <v>7507</v>
      </c>
      <c r="XJ255" s="10" t="n">
        <v>46236</v>
      </c>
      <c r="XL255" s="9" t="n">
        <v>0</v>
      </c>
      <c r="XN255" s="9" t="n">
        <v>0</v>
      </c>
      <c r="XO255" s="9" t="n">
        <v>4252</v>
      </c>
      <c r="XS255" s="10" t="n">
        <v>46236</v>
      </c>
      <c r="XU255" s="9" t="n">
        <v>0</v>
      </c>
      <c r="XW255" s="9" t="n">
        <v>0</v>
      </c>
      <c r="XX255" s="9" t="n">
        <v>2179</v>
      </c>
      <c r="YB255" s="10" t="n">
        <v>46236</v>
      </c>
      <c r="YD255" s="9" t="n">
        <v>0</v>
      </c>
      <c r="YF255" s="9" t="n">
        <v>0</v>
      </c>
      <c r="YG255" s="9" t="n">
        <v>4019</v>
      </c>
      <c r="YK255" s="10" t="n">
        <v>46236</v>
      </c>
      <c r="YM255" s="9" t="n">
        <v>0</v>
      </c>
      <c r="YO255" s="9" t="n">
        <v>0</v>
      </c>
      <c r="YP255" s="9" t="n">
        <v>0</v>
      </c>
      <c r="YT255" s="10" t="n">
        <v>46236</v>
      </c>
      <c r="YV255" s="9" t="n">
        <v>0</v>
      </c>
      <c r="YX255" s="9" t="n">
        <v>0</v>
      </c>
      <c r="YY255" s="9" t="n">
        <v>0</v>
      </c>
      <c r="ZC255" s="10" t="n">
        <v>46236</v>
      </c>
      <c r="ZE255" s="9" t="n">
        <v>0</v>
      </c>
      <c r="ZG255" s="9" t="n">
        <v>0</v>
      </c>
      <c r="ZH255" s="9" t="n">
        <v>0</v>
      </c>
      <c r="ZL255" s="10" t="n">
        <v>46236</v>
      </c>
      <c r="ZN255" s="9" t="n">
        <v>0</v>
      </c>
      <c r="ZP255" s="9" t="n">
        <v>0</v>
      </c>
      <c r="ZQ255" s="9" t="n">
        <v>0</v>
      </c>
      <c r="ZU255" s="10" t="n">
        <v>46236</v>
      </c>
      <c r="ZW255" s="9" t="n">
        <v>0</v>
      </c>
      <c r="ZY255" s="9" t="n">
        <v>0</v>
      </c>
      <c r="ZZ255" s="9" t="n">
        <v>0</v>
      </c>
      <c r="AAD255" s="10" t="n">
        <v>46236</v>
      </c>
      <c r="AAF255" s="9" t="n">
        <v>0</v>
      </c>
      <c r="AAH255" s="9" t="n">
        <v>0</v>
      </c>
      <c r="AAI255" s="9" t="n">
        <v>0</v>
      </c>
      <c r="AAM255" s="10" t="n">
        <v>46236</v>
      </c>
      <c r="AAO255" s="9" t="n">
        <v>0</v>
      </c>
      <c r="AAQ255" s="9" t="n">
        <v>0</v>
      </c>
      <c r="AAR255" s="9" t="n">
        <v>0</v>
      </c>
      <c r="AAV255" s="10" t="n">
        <v>46236</v>
      </c>
      <c r="AAX255" s="9" t="n">
        <v>0</v>
      </c>
      <c r="AAZ255" s="9" t="n">
        <v>0</v>
      </c>
      <c r="ABA255" s="9" t="n">
        <v>0</v>
      </c>
      <c r="ABE255" s="10" t="n">
        <v>46236</v>
      </c>
      <c r="ABG255" s="9" t="n">
        <v>0</v>
      </c>
      <c r="ABI255" s="9" t="n">
        <v>0</v>
      </c>
      <c r="ABJ255" s="9" t="n">
        <v>0</v>
      </c>
    </row>
    <row r="256">
      <c r="B256" s="9" t="n">
        <v>800</v>
      </c>
      <c r="C256" s="10" t="n">
        <v>46237</v>
      </c>
      <c r="E256" s="9" t="n">
        <v>10879</v>
      </c>
      <c r="F256" s="9" t="n">
        <v>33062.60000000001</v>
      </c>
      <c r="G256" s="9" t="n">
        <v>-22183.60000000001</v>
      </c>
      <c r="H256" s="9" t="n">
        <v>182486.8</v>
      </c>
      <c r="I256" s="9" t="inlineStr">
        <is>
          <t>5202 20mt, 8102 40mt</t>
        </is>
      </c>
      <c r="L256" s="10" t="n">
        <v>46237</v>
      </c>
      <c r="N256" s="9" t="n">
        <v>5950</v>
      </c>
      <c r="P256" s="9" t="n">
        <v>5950</v>
      </c>
      <c r="Q256" s="9" t="n">
        <v>53017.60000000007</v>
      </c>
      <c r="U256" s="10" t="n">
        <v>46237</v>
      </c>
      <c r="W256" s="9" t="n">
        <v>1200</v>
      </c>
      <c r="Y256" s="9" t="n">
        <v>1200</v>
      </c>
      <c r="Z256" s="9" t="n">
        <v>42674.19999999997</v>
      </c>
      <c r="AD256" s="10" t="n">
        <v>46237</v>
      </c>
      <c r="AF256" s="9" t="n">
        <v>0</v>
      </c>
      <c r="AH256" s="9" t="n">
        <v>0</v>
      </c>
      <c r="AI256" s="9" t="n">
        <v>4522.200000000019</v>
      </c>
      <c r="AM256" s="10" t="n">
        <v>46237</v>
      </c>
      <c r="AO256" s="9" t="n">
        <v>0</v>
      </c>
      <c r="AQ256" s="9" t="n">
        <v>0</v>
      </c>
      <c r="AR256" s="9" t="n">
        <v>0</v>
      </c>
      <c r="AV256" s="10" t="n">
        <v>46237</v>
      </c>
      <c r="AX256" s="9" t="n">
        <v>0</v>
      </c>
      <c r="AZ256" s="9" t="n">
        <v>0</v>
      </c>
      <c r="BA256" s="9" t="n">
        <v>124.9999999999952</v>
      </c>
      <c r="BE256" s="10" t="n">
        <v>46237</v>
      </c>
      <c r="BG256" s="9" t="n">
        <v>0</v>
      </c>
      <c r="BI256" s="9" t="n">
        <v>0</v>
      </c>
      <c r="BJ256" s="9" t="n">
        <v>26151.9</v>
      </c>
      <c r="BN256" s="10" t="n">
        <v>46237</v>
      </c>
      <c r="BP256" s="9" t="n">
        <v>100</v>
      </c>
      <c r="BR256" s="9" t="n">
        <v>100</v>
      </c>
      <c r="BS256" s="9" t="n">
        <v>0</v>
      </c>
      <c r="BW256" s="10" t="n">
        <v>46237</v>
      </c>
      <c r="BY256" s="9" t="n">
        <v>147.1</v>
      </c>
      <c r="CA256" s="9" t="n">
        <v>147.1</v>
      </c>
      <c r="CB256" s="9" t="n">
        <v>3322.499999999999</v>
      </c>
      <c r="CF256" s="10" t="n">
        <v>46237</v>
      </c>
      <c r="CH256" s="9" t="n">
        <v>0</v>
      </c>
      <c r="CJ256" s="9" t="n">
        <v>0</v>
      </c>
      <c r="CK256" s="9" t="n">
        <v>-10277.08</v>
      </c>
      <c r="CO256" s="10" t="n">
        <v>46237</v>
      </c>
      <c r="CQ256" s="9" t="n">
        <v>0</v>
      </c>
      <c r="CS256" s="9" t="n">
        <v>0</v>
      </c>
      <c r="CT256" s="9" t="n">
        <v>0</v>
      </c>
      <c r="CX256" s="10" t="n">
        <v>46237</v>
      </c>
      <c r="CZ256" s="9" t="n">
        <v>400</v>
      </c>
      <c r="DB256" s="9" t="n">
        <v>400</v>
      </c>
      <c r="DC256" s="9" t="n">
        <v>27438.20000000001</v>
      </c>
      <c r="DG256" s="10" t="n">
        <v>46237</v>
      </c>
      <c r="DI256" s="9" t="n">
        <v>0</v>
      </c>
      <c r="DK256" s="9" t="n">
        <v>0</v>
      </c>
      <c r="DL256" s="9" t="n">
        <v>18782.29999999998</v>
      </c>
      <c r="DP256" s="10" t="n">
        <v>46237</v>
      </c>
      <c r="DR256" s="9" t="n">
        <v>0</v>
      </c>
      <c r="DT256" s="9" t="n">
        <v>0</v>
      </c>
      <c r="DU256" s="9" t="n">
        <v>5800</v>
      </c>
      <c r="DY256" s="10" t="n">
        <v>46237</v>
      </c>
      <c r="EA256" s="9" t="n">
        <v>0</v>
      </c>
      <c r="EC256" s="9" t="n">
        <v>0</v>
      </c>
      <c r="ED256" s="9" t="n">
        <v>0</v>
      </c>
      <c r="EH256" s="10" t="n">
        <v>46237</v>
      </c>
      <c r="EJ256" s="9" t="n">
        <v>0</v>
      </c>
      <c r="EL256" s="9" t="n">
        <v>0</v>
      </c>
      <c r="EM256" s="9" t="n">
        <v>0</v>
      </c>
      <c r="EQ256" s="10" t="n">
        <v>46237</v>
      </c>
      <c r="ES256" s="9" t="n">
        <v>0</v>
      </c>
      <c r="EU256" s="9" t="n">
        <v>0</v>
      </c>
      <c r="EV256" s="9" t="n">
        <v>0</v>
      </c>
      <c r="EZ256" s="10" t="n">
        <v>46237</v>
      </c>
      <c r="FB256" s="9" t="n">
        <v>0</v>
      </c>
      <c r="FD256" s="9" t="n">
        <v>0</v>
      </c>
      <c r="FE256" s="9" t="n">
        <v>0</v>
      </c>
      <c r="FI256" s="10" t="n">
        <v>46237</v>
      </c>
      <c r="FK256" s="9" t="n">
        <v>0</v>
      </c>
      <c r="FM256" s="9" t="n">
        <v>0</v>
      </c>
      <c r="FN256" s="9" t="n">
        <v>0</v>
      </c>
      <c r="FR256" s="10" t="n">
        <v>46237</v>
      </c>
      <c r="FT256" s="9" t="n">
        <v>0</v>
      </c>
      <c r="FV256" s="9" t="n">
        <v>0</v>
      </c>
      <c r="FW256" s="9" t="n">
        <v>540</v>
      </c>
      <c r="GA256" s="10" t="n">
        <v>46237</v>
      </c>
      <c r="GC256" s="9" t="n">
        <v>0</v>
      </c>
      <c r="GE256" s="9" t="n">
        <v>0</v>
      </c>
      <c r="GF256" s="9" t="n">
        <v>960</v>
      </c>
      <c r="GJ256" s="10" t="n">
        <v>46237</v>
      </c>
      <c r="GL256" s="9" t="n">
        <v>0</v>
      </c>
      <c r="GN256" s="9" t="n">
        <v>0</v>
      </c>
      <c r="GO256" s="9" t="n">
        <v>1760</v>
      </c>
      <c r="GS256" s="10" t="n">
        <v>46237</v>
      </c>
      <c r="GU256" s="9" t="n">
        <v>0</v>
      </c>
      <c r="GW256" s="9" t="n">
        <v>0</v>
      </c>
      <c r="GX256" s="9" t="n">
        <v>400</v>
      </c>
      <c r="HB256" s="10" t="n">
        <v>46237</v>
      </c>
      <c r="HD256" s="9" t="n">
        <v>0</v>
      </c>
      <c r="HF256" s="9" t="n">
        <v>0</v>
      </c>
      <c r="HG256" s="9" t="n">
        <v>3600</v>
      </c>
      <c r="HK256" s="10" t="n">
        <v>46237</v>
      </c>
      <c r="HM256" s="9" t="n">
        <v>0</v>
      </c>
      <c r="HO256" s="9" t="n">
        <v>0</v>
      </c>
      <c r="HP256" s="9" t="n">
        <v>0</v>
      </c>
      <c r="HU256" s="10" t="n">
        <v>46237</v>
      </c>
      <c r="HW256" s="9" t="n">
        <v>0</v>
      </c>
      <c r="HY256" s="9" t="n">
        <v>0</v>
      </c>
      <c r="HZ256" s="9" t="n">
        <v>5920</v>
      </c>
      <c r="ID256" s="10" t="n">
        <v>46237</v>
      </c>
      <c r="IF256" s="9" t="n">
        <v>0</v>
      </c>
      <c r="IH256" s="9" t="n">
        <v>0</v>
      </c>
      <c r="II256" s="9" t="n">
        <v>720</v>
      </c>
      <c r="IM256" s="10" t="n">
        <v>46237</v>
      </c>
      <c r="IO256" s="9" t="n">
        <v>0</v>
      </c>
      <c r="IQ256" s="9" t="n">
        <v>0</v>
      </c>
      <c r="IR256" s="9" t="n">
        <v>1680</v>
      </c>
      <c r="IV256" s="10" t="n">
        <v>46237</v>
      </c>
      <c r="IX256" s="9" t="n">
        <v>0</v>
      </c>
      <c r="IZ256" s="9" t="n">
        <v>0</v>
      </c>
      <c r="JA256" s="9" t="n">
        <v>4960</v>
      </c>
      <c r="JE256" s="10" t="n">
        <v>46237</v>
      </c>
      <c r="JG256" s="9" t="n">
        <v>0</v>
      </c>
      <c r="JI256" s="9" t="n">
        <v>0</v>
      </c>
      <c r="JJ256" s="9" t="n">
        <v>0</v>
      </c>
      <c r="JN256" s="10" t="n">
        <v>46237</v>
      </c>
      <c r="JP256" s="9" t="n">
        <v>0</v>
      </c>
      <c r="JR256" s="9" t="n">
        <v>0</v>
      </c>
      <c r="JS256" s="9" t="n">
        <v>0</v>
      </c>
      <c r="JW256" s="10" t="n">
        <v>46237</v>
      </c>
      <c r="JY256" s="9" t="n">
        <v>0</v>
      </c>
      <c r="KA256" s="9" t="n">
        <v>0</v>
      </c>
      <c r="KB256" s="9" t="n">
        <v>2540</v>
      </c>
      <c r="KF256" s="10" t="n">
        <v>46237</v>
      </c>
      <c r="KH256" s="9" t="n">
        <v>0</v>
      </c>
      <c r="KJ256" s="9" t="n">
        <v>0</v>
      </c>
      <c r="KK256" s="9" t="n">
        <v>2359.5</v>
      </c>
      <c r="KO256" s="10" t="n">
        <v>46237</v>
      </c>
      <c r="KQ256" s="9" t="n">
        <v>0</v>
      </c>
      <c r="KS256" s="9" t="n">
        <v>0</v>
      </c>
      <c r="KT256" s="9" t="n">
        <v>1890</v>
      </c>
      <c r="KX256" s="10" t="n">
        <v>46237</v>
      </c>
      <c r="KZ256" s="9" t="n">
        <v>0</v>
      </c>
      <c r="LB256" s="9" t="n">
        <v>0</v>
      </c>
      <c r="LC256" s="9" t="n">
        <v>3690</v>
      </c>
      <c r="LG256" s="10" t="n">
        <v>46237</v>
      </c>
      <c r="LI256" s="9" t="n">
        <v>0</v>
      </c>
      <c r="LK256" s="9" t="n">
        <v>0</v>
      </c>
      <c r="LL256" s="9" t="n">
        <v>4000</v>
      </c>
      <c r="LP256" s="10" t="n">
        <v>46237</v>
      </c>
      <c r="LR256" s="9" t="n">
        <v>0</v>
      </c>
      <c r="LT256" s="9" t="n">
        <v>0</v>
      </c>
      <c r="LU256" s="9" t="n">
        <v>0</v>
      </c>
      <c r="LY256" s="10" t="n">
        <v>46237</v>
      </c>
      <c r="MA256" s="9" t="n">
        <v>0</v>
      </c>
      <c r="MC256" s="9" t="n">
        <v>0</v>
      </c>
      <c r="MD256" s="9" t="n">
        <v>0</v>
      </c>
      <c r="MH256" s="10" t="n">
        <v>46237</v>
      </c>
      <c r="MJ256" s="9" t="n">
        <v>0</v>
      </c>
      <c r="ML256" s="9" t="n">
        <v>0</v>
      </c>
      <c r="MM256" s="9" t="n">
        <v>0</v>
      </c>
      <c r="MQ256" s="10" t="n">
        <v>46237</v>
      </c>
      <c r="MS256" s="9" t="n">
        <v>0</v>
      </c>
      <c r="MU256" s="9" t="n">
        <v>0</v>
      </c>
      <c r="MV256" s="9" t="n">
        <v>2216</v>
      </c>
      <c r="MZ256" s="10" t="n">
        <v>46237</v>
      </c>
      <c r="NB256" s="9" t="n">
        <v>0</v>
      </c>
      <c r="ND256" s="9" t="n">
        <v>0</v>
      </c>
      <c r="NE256" s="9" t="n">
        <v>0</v>
      </c>
      <c r="NI256" s="10" t="n">
        <v>46237</v>
      </c>
      <c r="NK256" s="9" t="n">
        <v>0</v>
      </c>
      <c r="NM256" s="9" t="n">
        <v>0</v>
      </c>
      <c r="NN256" s="9" t="n">
        <v>1127</v>
      </c>
      <c r="NR256" s="10" t="n">
        <v>46237</v>
      </c>
      <c r="NT256" s="9" t="n">
        <v>0</v>
      </c>
      <c r="NV256" s="9" t="n">
        <v>0</v>
      </c>
      <c r="NW256" s="9" t="n">
        <v>3112</v>
      </c>
      <c r="OA256" s="10" t="n">
        <v>46237</v>
      </c>
      <c r="OC256" s="9" t="n">
        <v>0</v>
      </c>
      <c r="OE256" s="9" t="n">
        <v>0</v>
      </c>
      <c r="OF256" s="9" t="n">
        <v>1680.5</v>
      </c>
      <c r="OJ256" s="10" t="n">
        <v>46237</v>
      </c>
      <c r="OL256" s="9" t="n">
        <v>0</v>
      </c>
      <c r="ON256" s="9" t="n">
        <v>0</v>
      </c>
      <c r="OO256" s="9" t="n">
        <v>0</v>
      </c>
      <c r="OS256" s="10" t="n">
        <v>46237</v>
      </c>
      <c r="OU256" s="9" t="n">
        <v>0</v>
      </c>
      <c r="OW256" s="9" t="n">
        <v>0</v>
      </c>
      <c r="OX256" s="9" t="n">
        <v>1482</v>
      </c>
      <c r="PB256" s="10" t="n">
        <v>46237</v>
      </c>
      <c r="PD256" s="9" t="n">
        <v>0</v>
      </c>
      <c r="PF256" s="9" t="n">
        <v>0</v>
      </c>
      <c r="PG256" s="9" t="n">
        <v>0</v>
      </c>
      <c r="PK256" s="10" t="n">
        <v>46237</v>
      </c>
      <c r="PM256" s="9" t="n">
        <v>0</v>
      </c>
      <c r="PO256" s="9" t="n">
        <v>0</v>
      </c>
      <c r="PP256" s="9" t="n">
        <v>100</v>
      </c>
      <c r="PT256" s="10" t="n">
        <v>46237</v>
      </c>
      <c r="PV256" s="9" t="n">
        <v>0</v>
      </c>
      <c r="PX256" s="9" t="n">
        <v>0</v>
      </c>
      <c r="PY256" s="9" t="n">
        <v>13.96000000000004</v>
      </c>
      <c r="QC256" s="10" t="n">
        <v>46237</v>
      </c>
      <c r="QE256" s="9" t="n">
        <v>0</v>
      </c>
      <c r="QG256" s="9" t="n">
        <v>0</v>
      </c>
      <c r="QH256" s="9" t="n">
        <v>1284</v>
      </c>
      <c r="QL256" s="10" t="n">
        <v>46237</v>
      </c>
      <c r="QN256" s="9" t="n">
        <v>0</v>
      </c>
      <c r="QP256" s="9" t="n">
        <v>0</v>
      </c>
      <c r="QQ256" s="9" t="n">
        <v>0</v>
      </c>
      <c r="QU256" s="10" t="n">
        <v>46237</v>
      </c>
      <c r="QW256" s="9" t="n">
        <v>0</v>
      </c>
      <c r="QY256" s="9" t="n">
        <v>0</v>
      </c>
      <c r="QZ256" s="9" t="n">
        <v>207.6</v>
      </c>
      <c r="RD256" s="10" t="n">
        <v>46237</v>
      </c>
      <c r="RF256" s="9" t="n">
        <v>0</v>
      </c>
      <c r="RH256" s="9" t="n">
        <v>0</v>
      </c>
      <c r="RI256" s="9" t="n">
        <v>147.04</v>
      </c>
      <c r="RM256" s="10" t="n">
        <v>46237</v>
      </c>
      <c r="RO256" s="9" t="n">
        <v>0</v>
      </c>
      <c r="RQ256" s="9" t="n">
        <v>0</v>
      </c>
      <c r="RR256" s="9" t="n">
        <v>46.8</v>
      </c>
      <c r="RV256" s="10" t="n">
        <v>46237</v>
      </c>
      <c r="RX256" s="9" t="n">
        <v>0</v>
      </c>
      <c r="RZ256" s="9" t="n">
        <v>0</v>
      </c>
      <c r="SA256" s="9" t="n">
        <v>0</v>
      </c>
      <c r="SE256" s="10" t="n">
        <v>46237</v>
      </c>
      <c r="SG256" s="9" t="n">
        <v>0</v>
      </c>
      <c r="SI256" s="9" t="n">
        <v>0</v>
      </c>
      <c r="SJ256" s="9" t="n">
        <v>24.2</v>
      </c>
      <c r="SN256" s="10" t="n">
        <v>46237</v>
      </c>
      <c r="SP256" s="9" t="n">
        <v>0</v>
      </c>
      <c r="SR256" s="9" t="n">
        <v>0</v>
      </c>
      <c r="SS256" s="9" t="n">
        <v>32</v>
      </c>
      <c r="SW256" s="10" t="n">
        <v>46237</v>
      </c>
      <c r="SY256" s="9" t="n">
        <v>0</v>
      </c>
      <c r="TA256" s="9" t="n">
        <v>0</v>
      </c>
      <c r="TB256" s="9" t="n">
        <v>0</v>
      </c>
      <c r="TF256" s="10" t="n">
        <v>46237</v>
      </c>
      <c r="TH256" s="9" t="n">
        <v>0</v>
      </c>
      <c r="TJ256" s="9" t="n">
        <v>0</v>
      </c>
      <c r="TK256" s="9" t="n">
        <v>0</v>
      </c>
      <c r="TO256" s="10" t="n">
        <v>46237</v>
      </c>
      <c r="TQ256" s="9" t="n">
        <v>0</v>
      </c>
      <c r="TS256" s="9" t="n">
        <v>0</v>
      </c>
      <c r="TT256" s="9" t="n">
        <v>10.40000000000001</v>
      </c>
      <c r="TX256" s="10" t="n">
        <v>46237</v>
      </c>
      <c r="TZ256" s="9" t="n">
        <v>0</v>
      </c>
      <c r="UB256" s="9" t="n">
        <v>0</v>
      </c>
      <c r="UC256" s="9" t="n">
        <v>46.79999999999998</v>
      </c>
      <c r="UG256" s="10" t="n">
        <v>46237</v>
      </c>
      <c r="UI256" s="9" t="n">
        <v>0</v>
      </c>
      <c r="UK256" s="9" t="n">
        <v>0</v>
      </c>
      <c r="UL256" s="9" t="n">
        <v>204</v>
      </c>
      <c r="UP256" s="10" t="n">
        <v>46237</v>
      </c>
      <c r="UR256" s="9" t="n">
        <v>0</v>
      </c>
      <c r="UT256" s="9" t="n">
        <v>0</v>
      </c>
      <c r="UU256" s="9" t="n">
        <v>202.5</v>
      </c>
      <c r="UY256" s="10" t="n">
        <v>46237</v>
      </c>
      <c r="VA256" s="9" t="n">
        <v>0</v>
      </c>
      <c r="VC256" s="9" t="n">
        <v>0</v>
      </c>
      <c r="VD256" s="9" t="n">
        <v>41.60000000000002</v>
      </c>
      <c r="VH256" s="10" t="n">
        <v>46237</v>
      </c>
      <c r="VJ256" s="9" t="n">
        <v>0</v>
      </c>
      <c r="VL256" s="9" t="n">
        <v>0</v>
      </c>
      <c r="VM256" s="9" t="n">
        <v>210</v>
      </c>
      <c r="VQ256" s="10" t="n">
        <v>46237</v>
      </c>
      <c r="VS256" s="9" t="n">
        <v>0</v>
      </c>
      <c r="VU256" s="9" t="n">
        <v>0</v>
      </c>
      <c r="VV256" s="9" t="n">
        <v>0</v>
      </c>
      <c r="VZ256" s="10" t="n">
        <v>46237</v>
      </c>
      <c r="WB256" s="9" t="n">
        <v>0</v>
      </c>
      <c r="WD256" s="9" t="n">
        <v>0</v>
      </c>
      <c r="WE256" s="9" t="n">
        <v>0</v>
      </c>
      <c r="WI256" s="10" t="n">
        <v>46237</v>
      </c>
      <c r="WK256" s="9" t="n">
        <v>0</v>
      </c>
      <c r="WM256" s="9" t="n">
        <v>0</v>
      </c>
      <c r="WN256" s="9" t="n">
        <v>1057</v>
      </c>
      <c r="WR256" s="10" t="n">
        <v>46237</v>
      </c>
      <c r="WT256" s="9" t="n">
        <v>0</v>
      </c>
      <c r="WV256" s="9" t="n">
        <v>0</v>
      </c>
      <c r="WW256" s="9" t="n">
        <v>0</v>
      </c>
      <c r="XA256" s="10" t="n">
        <v>46237</v>
      </c>
      <c r="XC256" s="9" t="n">
        <v>0</v>
      </c>
      <c r="XE256" s="9" t="n">
        <v>0</v>
      </c>
      <c r="XF256" s="9" t="n">
        <v>7507</v>
      </c>
      <c r="XJ256" s="10" t="n">
        <v>46237</v>
      </c>
      <c r="XL256" s="9" t="n">
        <v>0</v>
      </c>
      <c r="XN256" s="9" t="n">
        <v>0</v>
      </c>
      <c r="XO256" s="9" t="n">
        <v>4252</v>
      </c>
      <c r="XS256" s="10" t="n">
        <v>46237</v>
      </c>
      <c r="XU256" s="9" t="n">
        <v>0</v>
      </c>
      <c r="XW256" s="9" t="n">
        <v>0</v>
      </c>
      <c r="XX256" s="9" t="n">
        <v>2179</v>
      </c>
      <c r="YB256" s="10" t="n">
        <v>46237</v>
      </c>
      <c r="YD256" s="9" t="n">
        <v>0</v>
      </c>
      <c r="YF256" s="9" t="n">
        <v>0</v>
      </c>
      <c r="YG256" s="9" t="n">
        <v>4019</v>
      </c>
      <c r="YK256" s="10" t="n">
        <v>46237</v>
      </c>
      <c r="YM256" s="9" t="n">
        <v>0</v>
      </c>
      <c r="YN256" s="9" t="n">
        <v>218</v>
      </c>
      <c r="YO256" s="9" t="n">
        <v>-218</v>
      </c>
      <c r="YP256" s="9" t="n">
        <v>-218</v>
      </c>
      <c r="YT256" s="10" t="n">
        <v>46237</v>
      </c>
      <c r="YV256" s="9" t="n">
        <v>0</v>
      </c>
      <c r="YX256" s="9" t="n">
        <v>0</v>
      </c>
      <c r="YY256" s="9" t="n">
        <v>0</v>
      </c>
      <c r="ZC256" s="10" t="n">
        <v>46237</v>
      </c>
      <c r="ZE256" s="9" t="n">
        <v>0</v>
      </c>
      <c r="ZG256" s="9" t="n">
        <v>0</v>
      </c>
      <c r="ZH256" s="9" t="n">
        <v>0</v>
      </c>
      <c r="ZL256" s="10" t="n">
        <v>46237</v>
      </c>
      <c r="ZN256" s="9" t="n">
        <v>0</v>
      </c>
      <c r="ZP256" s="9" t="n">
        <v>0</v>
      </c>
      <c r="ZQ256" s="9" t="n">
        <v>0</v>
      </c>
      <c r="ZU256" s="10" t="n">
        <v>46237</v>
      </c>
      <c r="ZW256" s="9" t="n">
        <v>0</v>
      </c>
      <c r="ZY256" s="9" t="n">
        <v>0</v>
      </c>
      <c r="ZZ256" s="9" t="n">
        <v>0</v>
      </c>
      <c r="AAD256" s="10" t="n">
        <v>46237</v>
      </c>
      <c r="AAF256" s="9" t="n">
        <v>0</v>
      </c>
      <c r="AAH256" s="9" t="n">
        <v>0</v>
      </c>
      <c r="AAI256" s="9" t="n">
        <v>0</v>
      </c>
      <c r="AAM256" s="10" t="n">
        <v>46237</v>
      </c>
      <c r="AAO256" s="9" t="n">
        <v>0</v>
      </c>
      <c r="AAQ256" s="9" t="n">
        <v>0</v>
      </c>
      <c r="AAR256" s="9" t="n">
        <v>0</v>
      </c>
      <c r="AAV256" s="10" t="n">
        <v>46237</v>
      </c>
      <c r="AAX256" s="9" t="n">
        <v>0</v>
      </c>
      <c r="AAZ256" s="9" t="n">
        <v>0</v>
      </c>
      <c r="ABA256" s="9" t="n">
        <v>0</v>
      </c>
      <c r="ABE256" s="10" t="n">
        <v>46237</v>
      </c>
      <c r="ABG256" s="9" t="n">
        <v>0</v>
      </c>
      <c r="ABI256" s="9" t="n">
        <v>0</v>
      </c>
      <c r="ABJ256" s="9" t="n">
        <v>0</v>
      </c>
    </row>
    <row r="257">
      <c r="C257" s="10" t="n">
        <v>46238</v>
      </c>
      <c r="D257" s="9" t="n">
        <v>38850</v>
      </c>
      <c r="E257" s="9" t="n">
        <v>14778.4</v>
      </c>
      <c r="F257" s="9" t="n">
        <v>19402.2</v>
      </c>
      <c r="G257" s="9" t="n">
        <v>-4623.800000000001</v>
      </c>
      <c r="H257" s="9" t="n">
        <v>201934.6</v>
      </c>
      <c r="L257" s="10" t="n">
        <v>46238</v>
      </c>
      <c r="N257" s="9" t="n">
        <v>8522.800000000001</v>
      </c>
      <c r="P257" s="9" t="n">
        <v>8522.800000000001</v>
      </c>
      <c r="Q257" s="9" t="n">
        <v>53017.60000000007</v>
      </c>
      <c r="U257" s="10" t="n">
        <v>46238</v>
      </c>
      <c r="W257" s="9" t="n">
        <v>650</v>
      </c>
      <c r="Y257" s="9" t="n">
        <v>650</v>
      </c>
      <c r="Z257" s="9" t="n">
        <v>42674.19999999997</v>
      </c>
      <c r="AD257" s="10" t="n">
        <v>46238</v>
      </c>
      <c r="AF257" s="9" t="n">
        <v>0</v>
      </c>
      <c r="AH257" s="9" t="n">
        <v>0</v>
      </c>
      <c r="AI257" s="9" t="n">
        <v>4522.200000000019</v>
      </c>
      <c r="AM257" s="10" t="n">
        <v>46238</v>
      </c>
      <c r="AO257" s="9" t="n">
        <v>0</v>
      </c>
      <c r="AQ257" s="9" t="n">
        <v>0</v>
      </c>
      <c r="AR257" s="9" t="n">
        <v>0</v>
      </c>
      <c r="AV257" s="10" t="n">
        <v>46238</v>
      </c>
      <c r="AX257" s="9" t="n">
        <v>525.1999999999999</v>
      </c>
      <c r="AZ257" s="9" t="n">
        <v>525.1999999999999</v>
      </c>
      <c r="BA257" s="9" t="n">
        <v>124.9999999999952</v>
      </c>
      <c r="BE257" s="10" t="n">
        <v>46238</v>
      </c>
      <c r="BG257" s="9" t="n">
        <v>0</v>
      </c>
      <c r="BI257" s="9" t="n">
        <v>0</v>
      </c>
      <c r="BJ257" s="9" t="n">
        <v>26151.9</v>
      </c>
      <c r="BN257" s="10" t="n">
        <v>46238</v>
      </c>
      <c r="BP257" s="9" t="n">
        <v>299</v>
      </c>
      <c r="BR257" s="9" t="n">
        <v>299</v>
      </c>
      <c r="BS257" s="9" t="n">
        <v>0</v>
      </c>
      <c r="BW257" s="10" t="n">
        <v>46238</v>
      </c>
      <c r="BY257" s="9" t="n">
        <v>0</v>
      </c>
      <c r="BZ257" s="9" t="n">
        <v>61.56</v>
      </c>
      <c r="CA257" s="9" t="n">
        <v>-61.56</v>
      </c>
      <c r="CB257" s="9" t="n">
        <v>3260.939999999999</v>
      </c>
      <c r="CF257" s="10" t="n">
        <v>46238</v>
      </c>
      <c r="CH257" s="9" t="n">
        <v>0</v>
      </c>
      <c r="CJ257" s="9" t="n">
        <v>0</v>
      </c>
      <c r="CK257" s="9" t="n">
        <v>-10277.08</v>
      </c>
      <c r="CO257" s="10" t="n">
        <v>46238</v>
      </c>
      <c r="CQ257" s="9" t="n">
        <v>0</v>
      </c>
      <c r="CS257" s="9" t="n">
        <v>0</v>
      </c>
      <c r="CT257" s="9" t="n">
        <v>0</v>
      </c>
      <c r="CX257" s="10" t="n">
        <v>46238</v>
      </c>
      <c r="CZ257" s="9" t="n">
        <v>0</v>
      </c>
      <c r="DB257" s="9" t="n">
        <v>0</v>
      </c>
      <c r="DC257" s="9" t="n">
        <v>27438.20000000001</v>
      </c>
      <c r="DG257" s="10" t="n">
        <v>46238</v>
      </c>
      <c r="DI257" s="9" t="n">
        <v>650</v>
      </c>
      <c r="DK257" s="9" t="n">
        <v>650</v>
      </c>
      <c r="DL257" s="9" t="n">
        <v>18782.29999999998</v>
      </c>
      <c r="DP257" s="10" t="n">
        <v>46238</v>
      </c>
      <c r="DR257" s="9" t="n">
        <v>0</v>
      </c>
      <c r="DT257" s="9" t="n">
        <v>0</v>
      </c>
      <c r="DU257" s="9" t="n">
        <v>5800</v>
      </c>
      <c r="DY257" s="10" t="n">
        <v>46238</v>
      </c>
      <c r="EA257" s="9" t="n">
        <v>0</v>
      </c>
      <c r="EC257" s="9" t="n">
        <v>0</v>
      </c>
      <c r="ED257" s="9" t="n">
        <v>0</v>
      </c>
      <c r="EH257" s="10" t="n">
        <v>46238</v>
      </c>
      <c r="EJ257" s="9" t="n">
        <v>0</v>
      </c>
      <c r="EL257" s="9" t="n">
        <v>0</v>
      </c>
      <c r="EM257" s="9" t="n">
        <v>0</v>
      </c>
      <c r="EQ257" s="10" t="n">
        <v>46238</v>
      </c>
      <c r="ES257" s="9" t="n">
        <v>0</v>
      </c>
      <c r="EU257" s="9" t="n">
        <v>0</v>
      </c>
      <c r="EV257" s="9" t="n">
        <v>0</v>
      </c>
      <c r="EZ257" s="10" t="n">
        <v>46238</v>
      </c>
      <c r="FB257" s="9" t="n">
        <v>0</v>
      </c>
      <c r="FD257" s="9" t="n">
        <v>0</v>
      </c>
      <c r="FE257" s="9" t="n">
        <v>0</v>
      </c>
      <c r="FI257" s="10" t="n">
        <v>46238</v>
      </c>
      <c r="FK257" s="9" t="n">
        <v>0</v>
      </c>
      <c r="FM257" s="9" t="n">
        <v>0</v>
      </c>
      <c r="FN257" s="9" t="n">
        <v>0</v>
      </c>
      <c r="FR257" s="10" t="n">
        <v>46238</v>
      </c>
      <c r="FT257" s="9" t="n">
        <v>0</v>
      </c>
      <c r="FV257" s="9" t="n">
        <v>0</v>
      </c>
      <c r="FW257" s="9" t="n">
        <v>540</v>
      </c>
      <c r="GA257" s="10" t="n">
        <v>46238</v>
      </c>
      <c r="GC257" s="9" t="n">
        <v>0</v>
      </c>
      <c r="GE257" s="9" t="n">
        <v>0</v>
      </c>
      <c r="GF257" s="9" t="n">
        <v>960</v>
      </c>
      <c r="GJ257" s="10" t="n">
        <v>46238</v>
      </c>
      <c r="GL257" s="9" t="n">
        <v>0</v>
      </c>
      <c r="GN257" s="9" t="n">
        <v>0</v>
      </c>
      <c r="GO257" s="9" t="n">
        <v>1760</v>
      </c>
      <c r="GS257" s="10" t="n">
        <v>46238</v>
      </c>
      <c r="GU257" s="9" t="n">
        <v>0</v>
      </c>
      <c r="GW257" s="9" t="n">
        <v>0</v>
      </c>
      <c r="GX257" s="9" t="n">
        <v>400</v>
      </c>
      <c r="HB257" s="10" t="n">
        <v>46238</v>
      </c>
      <c r="HD257" s="9" t="n">
        <v>0</v>
      </c>
      <c r="HF257" s="9" t="n">
        <v>0</v>
      </c>
      <c r="HG257" s="9" t="n">
        <v>3600</v>
      </c>
      <c r="HK257" s="10" t="n">
        <v>46238</v>
      </c>
      <c r="HM257" s="9" t="n">
        <v>0</v>
      </c>
      <c r="HO257" s="9" t="n">
        <v>0</v>
      </c>
      <c r="HP257" s="9" t="n">
        <v>0</v>
      </c>
      <c r="HU257" s="10" t="n">
        <v>46238</v>
      </c>
      <c r="HW257" s="9" t="n">
        <v>0</v>
      </c>
      <c r="HY257" s="9" t="n">
        <v>0</v>
      </c>
      <c r="HZ257" s="9" t="n">
        <v>5920</v>
      </c>
      <c r="ID257" s="10" t="n">
        <v>46238</v>
      </c>
      <c r="IF257" s="9" t="n">
        <v>0</v>
      </c>
      <c r="IH257" s="9" t="n">
        <v>0</v>
      </c>
      <c r="II257" s="9" t="n">
        <v>720</v>
      </c>
      <c r="IM257" s="10" t="n">
        <v>46238</v>
      </c>
      <c r="IO257" s="9" t="n">
        <v>0</v>
      </c>
      <c r="IQ257" s="9" t="n">
        <v>0</v>
      </c>
      <c r="IR257" s="9" t="n">
        <v>1680</v>
      </c>
      <c r="IV257" s="10" t="n">
        <v>46238</v>
      </c>
      <c r="IX257" s="9" t="n">
        <v>0</v>
      </c>
      <c r="IZ257" s="9" t="n">
        <v>0</v>
      </c>
      <c r="JA257" s="9" t="n">
        <v>4960</v>
      </c>
      <c r="JE257" s="10" t="n">
        <v>46238</v>
      </c>
      <c r="JG257" s="9" t="n">
        <v>0</v>
      </c>
      <c r="JI257" s="9" t="n">
        <v>0</v>
      </c>
      <c r="JJ257" s="9" t="n">
        <v>0</v>
      </c>
      <c r="JN257" s="10" t="n">
        <v>46238</v>
      </c>
      <c r="JP257" s="9" t="n">
        <v>0</v>
      </c>
      <c r="JR257" s="9" t="n">
        <v>0</v>
      </c>
      <c r="JS257" s="9" t="n">
        <v>0</v>
      </c>
      <c r="JW257" s="10" t="n">
        <v>46238</v>
      </c>
      <c r="JY257" s="9" t="n">
        <v>0</v>
      </c>
      <c r="KA257" s="9" t="n">
        <v>0</v>
      </c>
      <c r="KB257" s="9" t="n">
        <v>2540</v>
      </c>
      <c r="KF257" s="10" t="n">
        <v>46238</v>
      </c>
      <c r="KH257" s="9" t="n">
        <v>0</v>
      </c>
      <c r="KJ257" s="9" t="n">
        <v>0</v>
      </c>
      <c r="KK257" s="9" t="n">
        <v>2359.5</v>
      </c>
      <c r="KO257" s="10" t="n">
        <v>46238</v>
      </c>
      <c r="KQ257" s="9" t="n">
        <v>0</v>
      </c>
      <c r="KS257" s="9" t="n">
        <v>0</v>
      </c>
      <c r="KT257" s="9" t="n">
        <v>1890</v>
      </c>
      <c r="KX257" s="10" t="n">
        <v>46238</v>
      </c>
      <c r="KZ257" s="9" t="n">
        <v>0</v>
      </c>
      <c r="LB257" s="9" t="n">
        <v>0</v>
      </c>
      <c r="LC257" s="9" t="n">
        <v>3690</v>
      </c>
      <c r="LG257" s="10" t="n">
        <v>46238</v>
      </c>
      <c r="LI257" s="9" t="n">
        <v>0</v>
      </c>
      <c r="LK257" s="9" t="n">
        <v>0</v>
      </c>
      <c r="LL257" s="9" t="n">
        <v>4000</v>
      </c>
      <c r="LP257" s="10" t="n">
        <v>46238</v>
      </c>
      <c r="LR257" s="9" t="n">
        <v>0</v>
      </c>
      <c r="LT257" s="9" t="n">
        <v>0</v>
      </c>
      <c r="LU257" s="9" t="n">
        <v>0</v>
      </c>
      <c r="LY257" s="10" t="n">
        <v>46238</v>
      </c>
      <c r="MA257" s="9" t="n">
        <v>0</v>
      </c>
      <c r="MC257" s="9" t="n">
        <v>0</v>
      </c>
      <c r="MD257" s="9" t="n">
        <v>0</v>
      </c>
      <c r="MH257" s="10" t="n">
        <v>46238</v>
      </c>
      <c r="MJ257" s="9" t="n">
        <v>0</v>
      </c>
      <c r="ML257" s="9" t="n">
        <v>0</v>
      </c>
      <c r="MM257" s="9" t="n">
        <v>0</v>
      </c>
      <c r="MQ257" s="10" t="n">
        <v>46238</v>
      </c>
      <c r="MS257" s="9" t="n">
        <v>0</v>
      </c>
      <c r="MT257" s="9" t="n">
        <v>14</v>
      </c>
      <c r="MU257" s="9" t="n">
        <v>-14</v>
      </c>
      <c r="MV257" s="9" t="n">
        <v>2202</v>
      </c>
      <c r="MZ257" s="10" t="n">
        <v>46238</v>
      </c>
      <c r="NB257" s="9" t="n">
        <v>0</v>
      </c>
      <c r="ND257" s="9" t="n">
        <v>0</v>
      </c>
      <c r="NE257" s="9" t="n">
        <v>0</v>
      </c>
      <c r="NI257" s="10" t="n">
        <v>46238</v>
      </c>
      <c r="NK257" s="9" t="n">
        <v>0</v>
      </c>
      <c r="NM257" s="9" t="n">
        <v>0</v>
      </c>
      <c r="NN257" s="9" t="n">
        <v>1127</v>
      </c>
      <c r="NR257" s="10" t="n">
        <v>46238</v>
      </c>
      <c r="NT257" s="9" t="n">
        <v>0</v>
      </c>
      <c r="NV257" s="9" t="n">
        <v>0</v>
      </c>
      <c r="NW257" s="9" t="n">
        <v>3112</v>
      </c>
      <c r="OA257" s="10" t="n">
        <v>46238</v>
      </c>
      <c r="OC257" s="9" t="n">
        <v>0</v>
      </c>
      <c r="OE257" s="9" t="n">
        <v>0</v>
      </c>
      <c r="OF257" s="9" t="n">
        <v>1680.5</v>
      </c>
      <c r="OJ257" s="10" t="n">
        <v>46238</v>
      </c>
      <c r="OL257" s="9" t="n">
        <v>0</v>
      </c>
      <c r="ON257" s="9" t="n">
        <v>0</v>
      </c>
      <c r="OO257" s="9" t="n">
        <v>0</v>
      </c>
      <c r="OS257" s="10" t="n">
        <v>46238</v>
      </c>
      <c r="OU257" s="9" t="n">
        <v>0</v>
      </c>
      <c r="OW257" s="9" t="n">
        <v>0</v>
      </c>
      <c r="OX257" s="9" t="n">
        <v>1482</v>
      </c>
      <c r="PB257" s="10" t="n">
        <v>46238</v>
      </c>
      <c r="PD257" s="9" t="n">
        <v>0</v>
      </c>
      <c r="PF257" s="9" t="n">
        <v>0</v>
      </c>
      <c r="PG257" s="9" t="n">
        <v>0</v>
      </c>
      <c r="PK257" s="10" t="n">
        <v>46238</v>
      </c>
      <c r="PM257" s="9" t="n">
        <v>0</v>
      </c>
      <c r="PO257" s="9" t="n">
        <v>0</v>
      </c>
      <c r="PP257" s="9" t="n">
        <v>100</v>
      </c>
      <c r="PT257" s="10" t="n">
        <v>46238</v>
      </c>
      <c r="PV257" s="9" t="n">
        <v>0</v>
      </c>
      <c r="PX257" s="9" t="n">
        <v>0</v>
      </c>
      <c r="PY257" s="9" t="n">
        <v>13.96000000000004</v>
      </c>
      <c r="QC257" s="10" t="n">
        <v>46238</v>
      </c>
      <c r="QE257" s="9" t="n">
        <v>0</v>
      </c>
      <c r="QG257" s="9" t="n">
        <v>0</v>
      </c>
      <c r="QH257" s="9" t="n">
        <v>1284</v>
      </c>
      <c r="QL257" s="10" t="n">
        <v>46238</v>
      </c>
      <c r="QN257" s="9" t="n">
        <v>0</v>
      </c>
      <c r="QP257" s="9" t="n">
        <v>0</v>
      </c>
      <c r="QQ257" s="9" t="n">
        <v>0</v>
      </c>
      <c r="QU257" s="10" t="n">
        <v>46238</v>
      </c>
      <c r="QW257" s="9" t="n">
        <v>0</v>
      </c>
      <c r="QY257" s="9" t="n">
        <v>0</v>
      </c>
      <c r="QZ257" s="9" t="n">
        <v>207.6</v>
      </c>
      <c r="RD257" s="10" t="n">
        <v>46238</v>
      </c>
      <c r="RF257" s="9" t="n">
        <v>0</v>
      </c>
      <c r="RH257" s="9" t="n">
        <v>0</v>
      </c>
      <c r="RI257" s="9" t="n">
        <v>147.04</v>
      </c>
      <c r="RM257" s="10" t="n">
        <v>46238</v>
      </c>
      <c r="RO257" s="9" t="n">
        <v>0</v>
      </c>
      <c r="RQ257" s="9" t="n">
        <v>0</v>
      </c>
      <c r="RR257" s="9" t="n">
        <v>46.8</v>
      </c>
      <c r="RV257" s="10" t="n">
        <v>46238</v>
      </c>
      <c r="RX257" s="9" t="n">
        <v>0</v>
      </c>
      <c r="RZ257" s="9" t="n">
        <v>0</v>
      </c>
      <c r="SA257" s="9" t="n">
        <v>0</v>
      </c>
      <c r="SE257" s="10" t="n">
        <v>46238</v>
      </c>
      <c r="SG257" s="9" t="n">
        <v>0</v>
      </c>
      <c r="SI257" s="9" t="n">
        <v>0</v>
      </c>
      <c r="SJ257" s="9" t="n">
        <v>24.2</v>
      </c>
      <c r="SN257" s="10" t="n">
        <v>46238</v>
      </c>
      <c r="SP257" s="9" t="n">
        <v>0</v>
      </c>
      <c r="SR257" s="9" t="n">
        <v>0</v>
      </c>
      <c r="SS257" s="9" t="n">
        <v>32</v>
      </c>
      <c r="SW257" s="10" t="n">
        <v>46238</v>
      </c>
      <c r="SY257" s="9" t="n">
        <v>0</v>
      </c>
      <c r="TA257" s="9" t="n">
        <v>0</v>
      </c>
      <c r="TB257" s="9" t="n">
        <v>0</v>
      </c>
      <c r="TF257" s="10" t="n">
        <v>46238</v>
      </c>
      <c r="TH257" s="9" t="n">
        <v>0</v>
      </c>
      <c r="TJ257" s="9" t="n">
        <v>0</v>
      </c>
      <c r="TK257" s="9" t="n">
        <v>0</v>
      </c>
      <c r="TO257" s="10" t="n">
        <v>46238</v>
      </c>
      <c r="TQ257" s="9" t="n">
        <v>0</v>
      </c>
      <c r="TS257" s="9" t="n">
        <v>0</v>
      </c>
      <c r="TT257" s="9" t="n">
        <v>10.40000000000001</v>
      </c>
      <c r="TX257" s="10" t="n">
        <v>46238</v>
      </c>
      <c r="TZ257" s="9" t="n">
        <v>0</v>
      </c>
      <c r="UB257" s="9" t="n">
        <v>0</v>
      </c>
      <c r="UC257" s="9" t="n">
        <v>46.79999999999998</v>
      </c>
      <c r="UG257" s="10" t="n">
        <v>46238</v>
      </c>
      <c r="UI257" s="9" t="n">
        <v>0</v>
      </c>
      <c r="UK257" s="9" t="n">
        <v>0</v>
      </c>
      <c r="UL257" s="9" t="n">
        <v>204</v>
      </c>
      <c r="UP257" s="10" t="n">
        <v>46238</v>
      </c>
      <c r="UR257" s="9" t="n">
        <v>0</v>
      </c>
      <c r="UT257" s="9" t="n">
        <v>0</v>
      </c>
      <c r="UU257" s="9" t="n">
        <v>202.5</v>
      </c>
      <c r="UY257" s="10" t="n">
        <v>46238</v>
      </c>
      <c r="VA257" s="9" t="n">
        <v>0</v>
      </c>
      <c r="VC257" s="9" t="n">
        <v>0</v>
      </c>
      <c r="VD257" s="9" t="n">
        <v>41.60000000000002</v>
      </c>
      <c r="VH257" s="10" t="n">
        <v>46238</v>
      </c>
      <c r="VJ257" s="9" t="n">
        <v>0</v>
      </c>
      <c r="VL257" s="9" t="n">
        <v>0</v>
      </c>
      <c r="VM257" s="9" t="n">
        <v>210</v>
      </c>
      <c r="VQ257" s="10" t="n">
        <v>46238</v>
      </c>
      <c r="VS257" s="9" t="n">
        <v>0</v>
      </c>
      <c r="VU257" s="9" t="n">
        <v>0</v>
      </c>
      <c r="VV257" s="9" t="n">
        <v>0</v>
      </c>
      <c r="VZ257" s="10" t="n">
        <v>46238</v>
      </c>
      <c r="WB257" s="9" t="n">
        <v>0</v>
      </c>
      <c r="WD257" s="9" t="n">
        <v>0</v>
      </c>
      <c r="WE257" s="9" t="n">
        <v>0</v>
      </c>
      <c r="WI257" s="10" t="n">
        <v>46238</v>
      </c>
      <c r="WK257" s="9" t="n">
        <v>0</v>
      </c>
      <c r="WM257" s="9" t="n">
        <v>0</v>
      </c>
      <c r="WN257" s="9" t="n">
        <v>1057</v>
      </c>
      <c r="WR257" s="10" t="n">
        <v>46238</v>
      </c>
      <c r="WT257" s="9" t="n">
        <v>0</v>
      </c>
      <c r="WV257" s="9" t="n">
        <v>0</v>
      </c>
      <c r="WW257" s="9" t="n">
        <v>0</v>
      </c>
      <c r="XA257" s="10" t="n">
        <v>46238</v>
      </c>
      <c r="XC257" s="9" t="n">
        <v>0</v>
      </c>
      <c r="XE257" s="9" t="n">
        <v>0</v>
      </c>
      <c r="XF257" s="9" t="n">
        <v>7507</v>
      </c>
      <c r="XJ257" s="10" t="n">
        <v>46238</v>
      </c>
      <c r="XL257" s="9" t="n">
        <v>0</v>
      </c>
      <c r="XN257" s="9" t="n">
        <v>0</v>
      </c>
      <c r="XO257" s="9" t="n">
        <v>4252</v>
      </c>
      <c r="XS257" s="10" t="n">
        <v>46238</v>
      </c>
      <c r="XU257" s="9" t="n">
        <v>0</v>
      </c>
      <c r="XW257" s="9" t="n">
        <v>0</v>
      </c>
      <c r="XX257" s="9" t="n">
        <v>2179</v>
      </c>
      <c r="YB257" s="10" t="n">
        <v>46238</v>
      </c>
      <c r="YD257" s="9" t="n">
        <v>0</v>
      </c>
      <c r="YF257" s="9" t="n">
        <v>0</v>
      </c>
      <c r="YG257" s="9" t="n">
        <v>4019</v>
      </c>
      <c r="YK257" s="10" t="n">
        <v>46238</v>
      </c>
      <c r="YM257" s="9" t="n">
        <v>0</v>
      </c>
      <c r="YO257" s="9" t="n">
        <v>0</v>
      </c>
      <c r="YP257" s="9" t="n">
        <v>-218</v>
      </c>
      <c r="YT257" s="10" t="n">
        <v>46238</v>
      </c>
      <c r="YV257" s="9" t="n">
        <v>0</v>
      </c>
      <c r="YX257" s="9" t="n">
        <v>0</v>
      </c>
      <c r="YY257" s="9" t="n">
        <v>0</v>
      </c>
      <c r="ZC257" s="10" t="n">
        <v>46238</v>
      </c>
      <c r="ZE257" s="9" t="n">
        <v>0</v>
      </c>
      <c r="ZG257" s="9" t="n">
        <v>0</v>
      </c>
      <c r="ZH257" s="9" t="n">
        <v>0</v>
      </c>
      <c r="ZL257" s="10" t="n">
        <v>46238</v>
      </c>
      <c r="ZN257" s="9" t="n">
        <v>0</v>
      </c>
      <c r="ZP257" s="9" t="n">
        <v>0</v>
      </c>
      <c r="ZQ257" s="9" t="n">
        <v>0</v>
      </c>
      <c r="ZU257" s="10" t="n">
        <v>46238</v>
      </c>
      <c r="ZW257" s="9" t="n">
        <v>0</v>
      </c>
      <c r="ZY257" s="9" t="n">
        <v>0</v>
      </c>
      <c r="ZZ257" s="9" t="n">
        <v>0</v>
      </c>
      <c r="AAD257" s="10" t="n">
        <v>46238</v>
      </c>
      <c r="AAF257" s="9" t="n">
        <v>0</v>
      </c>
      <c r="AAH257" s="9" t="n">
        <v>0</v>
      </c>
      <c r="AAI257" s="9" t="n">
        <v>0</v>
      </c>
      <c r="AAM257" s="10" t="n">
        <v>46238</v>
      </c>
      <c r="AAO257" s="9" t="n">
        <v>0</v>
      </c>
      <c r="AAQ257" s="9" t="n">
        <v>0</v>
      </c>
      <c r="AAR257" s="9" t="n">
        <v>0</v>
      </c>
      <c r="AAV257" s="10" t="n">
        <v>46238</v>
      </c>
      <c r="AAX257" s="9" t="n">
        <v>0</v>
      </c>
      <c r="AAZ257" s="9" t="n">
        <v>0</v>
      </c>
      <c r="ABA257" s="9" t="n">
        <v>0</v>
      </c>
      <c r="ABE257" s="10" t="n">
        <v>46238</v>
      </c>
      <c r="ABG257" s="9" t="n">
        <v>0</v>
      </c>
      <c r="ABI257" s="9" t="n">
        <v>0</v>
      </c>
      <c r="ABJ257" s="9" t="n">
        <v>0</v>
      </c>
    </row>
    <row r="258">
      <c r="C258" s="10" t="n">
        <v>46239</v>
      </c>
      <c r="E258" s="9" t="n">
        <v>5383.200000000002</v>
      </c>
      <c r="G258" s="9" t="n">
        <v>5383.200000000002</v>
      </c>
      <c r="H258" s="9" t="n">
        <v>201934.6</v>
      </c>
      <c r="L258" s="10" t="n">
        <v>46239</v>
      </c>
      <c r="N258" s="9" t="n">
        <v>2856</v>
      </c>
      <c r="P258" s="9" t="n">
        <v>2856</v>
      </c>
      <c r="Q258" s="9" t="n">
        <v>53017.60000000007</v>
      </c>
      <c r="U258" s="10" t="n">
        <v>46239</v>
      </c>
      <c r="W258" s="9" t="n">
        <v>500</v>
      </c>
      <c r="Y258" s="9" t="n">
        <v>500</v>
      </c>
      <c r="Z258" s="9" t="n">
        <v>42674.19999999997</v>
      </c>
      <c r="AD258" s="10" t="n">
        <v>46239</v>
      </c>
      <c r="AF258" s="9" t="n">
        <v>0</v>
      </c>
      <c r="AH258" s="9" t="n">
        <v>0</v>
      </c>
      <c r="AI258" s="9" t="n">
        <v>4522.200000000019</v>
      </c>
      <c r="AM258" s="10" t="n">
        <v>46239</v>
      </c>
      <c r="AO258" s="9" t="n">
        <v>0</v>
      </c>
      <c r="AQ258" s="9" t="n">
        <v>0</v>
      </c>
      <c r="AR258" s="9" t="n">
        <v>0</v>
      </c>
      <c r="AV258" s="10" t="n">
        <v>46239</v>
      </c>
      <c r="AX258" s="9" t="n">
        <v>200</v>
      </c>
      <c r="AZ258" s="9" t="n">
        <v>200</v>
      </c>
      <c r="BA258" s="9" t="n">
        <v>124.9999999999952</v>
      </c>
      <c r="BE258" s="10" t="n">
        <v>46239</v>
      </c>
      <c r="BG258" s="9" t="n">
        <v>150</v>
      </c>
      <c r="BI258" s="9" t="n">
        <v>150</v>
      </c>
      <c r="BJ258" s="9" t="n">
        <v>26151.9</v>
      </c>
      <c r="BN258" s="10" t="n">
        <v>46239</v>
      </c>
      <c r="BP258" s="9" t="n">
        <v>100</v>
      </c>
      <c r="BR258" s="9" t="n">
        <v>100</v>
      </c>
      <c r="BS258" s="9" t="n">
        <v>0</v>
      </c>
      <c r="BW258" s="10" t="n">
        <v>46239</v>
      </c>
      <c r="BY258" s="9" t="n">
        <v>15</v>
      </c>
      <c r="BZ258" s="9" t="n">
        <v>117.47</v>
      </c>
      <c r="CA258" s="9" t="n">
        <v>-102.47</v>
      </c>
      <c r="CB258" s="9" t="n">
        <v>3143.469999999999</v>
      </c>
      <c r="CF258" s="10" t="n">
        <v>46239</v>
      </c>
      <c r="CH258" s="9" t="n">
        <v>60.79999999999999</v>
      </c>
      <c r="CJ258" s="9" t="n">
        <v>60.79999999999999</v>
      </c>
      <c r="CK258" s="9" t="n">
        <v>-10277.08</v>
      </c>
      <c r="CO258" s="10" t="n">
        <v>46239</v>
      </c>
      <c r="CQ258" s="9" t="n">
        <v>0</v>
      </c>
      <c r="CS258" s="9" t="n">
        <v>0</v>
      </c>
      <c r="CT258" s="9" t="n">
        <v>0</v>
      </c>
      <c r="CX258" s="10" t="n">
        <v>46239</v>
      </c>
      <c r="CZ258" s="9" t="n">
        <v>0</v>
      </c>
      <c r="DB258" s="9" t="n">
        <v>0</v>
      </c>
      <c r="DC258" s="9" t="n">
        <v>27438.20000000001</v>
      </c>
      <c r="DG258" s="10" t="n">
        <v>46239</v>
      </c>
      <c r="DI258" s="9" t="n">
        <v>500</v>
      </c>
      <c r="DK258" s="9" t="n">
        <v>500</v>
      </c>
      <c r="DL258" s="9" t="n">
        <v>18782.29999999998</v>
      </c>
      <c r="DP258" s="10" t="n">
        <v>46239</v>
      </c>
      <c r="DR258" s="9" t="n">
        <v>0</v>
      </c>
      <c r="DT258" s="9" t="n">
        <v>0</v>
      </c>
      <c r="DU258" s="9" t="n">
        <v>5800</v>
      </c>
      <c r="DY258" s="10" t="n">
        <v>46239</v>
      </c>
      <c r="EA258" s="9" t="n">
        <v>0</v>
      </c>
      <c r="EC258" s="9" t="n">
        <v>0</v>
      </c>
      <c r="ED258" s="9" t="n">
        <v>0</v>
      </c>
      <c r="EH258" s="10" t="n">
        <v>46239</v>
      </c>
      <c r="EJ258" s="9" t="n">
        <v>0</v>
      </c>
      <c r="EL258" s="9" t="n">
        <v>0</v>
      </c>
      <c r="EM258" s="9" t="n">
        <v>0</v>
      </c>
      <c r="EQ258" s="10" t="n">
        <v>46239</v>
      </c>
      <c r="ES258" s="9" t="n">
        <v>0</v>
      </c>
      <c r="EU258" s="9" t="n">
        <v>0</v>
      </c>
      <c r="EV258" s="9" t="n">
        <v>0</v>
      </c>
      <c r="EZ258" s="10" t="n">
        <v>46239</v>
      </c>
      <c r="FB258" s="9" t="n">
        <v>0</v>
      </c>
      <c r="FD258" s="9" t="n">
        <v>0</v>
      </c>
      <c r="FE258" s="9" t="n">
        <v>0</v>
      </c>
      <c r="FI258" s="10" t="n">
        <v>46239</v>
      </c>
      <c r="FK258" s="9" t="n">
        <v>0</v>
      </c>
      <c r="FM258" s="9" t="n">
        <v>0</v>
      </c>
      <c r="FN258" s="9" t="n">
        <v>0</v>
      </c>
      <c r="FR258" s="10" t="n">
        <v>46239</v>
      </c>
      <c r="FT258" s="9" t="n">
        <v>0</v>
      </c>
      <c r="FU258" s="9" t="n">
        <v>520</v>
      </c>
      <c r="FV258" s="9" t="n">
        <v>-520</v>
      </c>
      <c r="FW258" s="9" t="n">
        <v>20</v>
      </c>
      <c r="FX258" s="9" t="n">
        <v>26</v>
      </c>
      <c r="GA258" s="10" t="n">
        <v>46239</v>
      </c>
      <c r="GC258" s="9" t="n">
        <v>0</v>
      </c>
      <c r="GE258" s="9" t="n">
        <v>0</v>
      </c>
      <c r="GF258" s="9" t="n">
        <v>960</v>
      </c>
      <c r="GJ258" s="10" t="n">
        <v>46239</v>
      </c>
      <c r="GL258" s="9" t="n">
        <v>0</v>
      </c>
      <c r="GN258" s="9" t="n">
        <v>0</v>
      </c>
      <c r="GO258" s="9" t="n">
        <v>1760</v>
      </c>
      <c r="GS258" s="10" t="n">
        <v>46239</v>
      </c>
      <c r="GU258" s="9" t="n">
        <v>0</v>
      </c>
      <c r="GW258" s="9" t="n">
        <v>0</v>
      </c>
      <c r="GX258" s="9" t="n">
        <v>400</v>
      </c>
      <c r="HB258" s="10" t="n">
        <v>46239</v>
      </c>
      <c r="HD258" s="9" t="n">
        <v>0</v>
      </c>
      <c r="HF258" s="9" t="n">
        <v>0</v>
      </c>
      <c r="HG258" s="9" t="n">
        <v>3600</v>
      </c>
      <c r="HK258" s="10" t="n">
        <v>46239</v>
      </c>
      <c r="HM258" s="9" t="n">
        <v>0</v>
      </c>
      <c r="HO258" s="9" t="n">
        <v>0</v>
      </c>
      <c r="HP258" s="9" t="n">
        <v>0</v>
      </c>
      <c r="HU258" s="10" t="n">
        <v>46239</v>
      </c>
      <c r="HW258" s="9" t="n">
        <v>200</v>
      </c>
      <c r="HX258" s="9" t="n">
        <v>200</v>
      </c>
      <c r="HY258" s="9" t="n">
        <v>0</v>
      </c>
      <c r="HZ258" s="9" t="n">
        <v>5720</v>
      </c>
      <c r="IA258" s="9" t="n">
        <v>10</v>
      </c>
      <c r="IB258" s="9" t="inlineStr">
        <is>
          <t>NEW</t>
        </is>
      </c>
      <c r="ID258" s="10" t="n">
        <v>46239</v>
      </c>
      <c r="IF258" s="9" t="n">
        <v>0</v>
      </c>
      <c r="IH258" s="9" t="n">
        <v>0</v>
      </c>
      <c r="II258" s="9" t="n">
        <v>720</v>
      </c>
      <c r="IM258" s="10" t="n">
        <v>46239</v>
      </c>
      <c r="IO258" s="9" t="n">
        <v>0</v>
      </c>
      <c r="IP258" s="9" t="n">
        <v>400</v>
      </c>
      <c r="IQ258" s="9" t="n">
        <v>-400</v>
      </c>
      <c r="IR258" s="9" t="n">
        <v>1280</v>
      </c>
      <c r="IS258" s="9" t="n">
        <v>20</v>
      </c>
      <c r="IV258" s="10" t="n">
        <v>46239</v>
      </c>
      <c r="IX258" s="9" t="n">
        <v>0</v>
      </c>
      <c r="IZ258" s="9" t="n">
        <v>0</v>
      </c>
      <c r="JA258" s="9" t="n">
        <v>4960</v>
      </c>
      <c r="JE258" s="10" t="n">
        <v>46239</v>
      </c>
      <c r="JG258" s="9" t="n">
        <v>0</v>
      </c>
      <c r="JI258" s="9" t="n">
        <v>0</v>
      </c>
      <c r="JJ258" s="9" t="n">
        <v>0</v>
      </c>
      <c r="JN258" s="10" t="n">
        <v>46239</v>
      </c>
      <c r="JP258" s="9" t="n">
        <v>0</v>
      </c>
      <c r="JR258" s="9" t="n">
        <v>0</v>
      </c>
      <c r="JS258" s="9" t="n">
        <v>0</v>
      </c>
      <c r="JW258" s="10" t="n">
        <v>46239</v>
      </c>
      <c r="JY258" s="9" t="n">
        <v>0</v>
      </c>
      <c r="KA258" s="9" t="n">
        <v>0</v>
      </c>
      <c r="KB258" s="9" t="n">
        <v>2540</v>
      </c>
      <c r="KF258" s="10" t="n">
        <v>46239</v>
      </c>
      <c r="KH258" s="9" t="n">
        <v>0</v>
      </c>
      <c r="KJ258" s="9" t="n">
        <v>0</v>
      </c>
      <c r="KK258" s="9" t="n">
        <v>2359.5</v>
      </c>
      <c r="KO258" s="10" t="n">
        <v>46239</v>
      </c>
      <c r="KQ258" s="9" t="n">
        <v>0</v>
      </c>
      <c r="KS258" s="9" t="n">
        <v>0</v>
      </c>
      <c r="KT258" s="9" t="n">
        <v>1890</v>
      </c>
      <c r="KX258" s="10" t="n">
        <v>46239</v>
      </c>
      <c r="KZ258" s="9" t="n">
        <v>0</v>
      </c>
      <c r="LB258" s="9" t="n">
        <v>0</v>
      </c>
      <c r="LC258" s="9" t="n">
        <v>3690</v>
      </c>
      <c r="LG258" s="10" t="n">
        <v>46239</v>
      </c>
      <c r="LI258" s="9" t="n">
        <v>0</v>
      </c>
      <c r="LK258" s="9" t="n">
        <v>0</v>
      </c>
      <c r="LL258" s="9" t="n">
        <v>4000</v>
      </c>
      <c r="LP258" s="10" t="n">
        <v>46239</v>
      </c>
      <c r="LR258" s="9" t="n">
        <v>0</v>
      </c>
      <c r="LT258" s="9" t="n">
        <v>0</v>
      </c>
      <c r="LU258" s="9" t="n">
        <v>0</v>
      </c>
      <c r="LY258" s="10" t="n">
        <v>46239</v>
      </c>
      <c r="MA258" s="9" t="n">
        <v>0</v>
      </c>
      <c r="MC258" s="9" t="n">
        <v>0</v>
      </c>
      <c r="MD258" s="9" t="n">
        <v>0</v>
      </c>
      <c r="MH258" s="10" t="n">
        <v>46239</v>
      </c>
      <c r="MJ258" s="9" t="n">
        <v>0</v>
      </c>
      <c r="ML258" s="9" t="n">
        <v>0</v>
      </c>
      <c r="MM258" s="9" t="n">
        <v>0</v>
      </c>
      <c r="MQ258" s="10" t="n">
        <v>46239</v>
      </c>
      <c r="MS258" s="9" t="n">
        <v>5</v>
      </c>
      <c r="MT258" s="9" t="n">
        <v>53</v>
      </c>
      <c r="MU258" s="9" t="n">
        <v>-48</v>
      </c>
      <c r="MV258" s="9" t="n">
        <v>2149</v>
      </c>
      <c r="MZ258" s="10" t="n">
        <v>46239</v>
      </c>
      <c r="NB258" s="9" t="n">
        <v>30</v>
      </c>
      <c r="ND258" s="9" t="n">
        <v>30</v>
      </c>
      <c r="NE258" s="9" t="n">
        <v>0</v>
      </c>
      <c r="NI258" s="10" t="n">
        <v>46239</v>
      </c>
      <c r="NK258" s="9" t="n">
        <v>0</v>
      </c>
      <c r="NM258" s="9" t="n">
        <v>0</v>
      </c>
      <c r="NN258" s="9" t="n">
        <v>1127</v>
      </c>
      <c r="NR258" s="10" t="n">
        <v>46239</v>
      </c>
      <c r="NT258" s="9" t="n">
        <v>0</v>
      </c>
      <c r="NV258" s="9" t="n">
        <v>0</v>
      </c>
      <c r="NW258" s="9" t="n">
        <v>3112</v>
      </c>
      <c r="OA258" s="10" t="n">
        <v>46239</v>
      </c>
      <c r="OC258" s="9" t="n">
        <v>0</v>
      </c>
      <c r="OE258" s="9" t="n">
        <v>0</v>
      </c>
      <c r="OF258" s="9" t="n">
        <v>1680.5</v>
      </c>
      <c r="OJ258" s="10" t="n">
        <v>46239</v>
      </c>
      <c r="OL258" s="9" t="n">
        <v>0</v>
      </c>
      <c r="ON258" s="9" t="n">
        <v>0</v>
      </c>
      <c r="OO258" s="9" t="n">
        <v>0</v>
      </c>
      <c r="OS258" s="10" t="n">
        <v>46239</v>
      </c>
      <c r="OU258" s="9" t="n">
        <v>0</v>
      </c>
      <c r="OW258" s="9" t="n">
        <v>0</v>
      </c>
      <c r="OX258" s="9" t="n">
        <v>1482</v>
      </c>
      <c r="PB258" s="10" t="n">
        <v>46239</v>
      </c>
      <c r="PD258" s="9" t="n">
        <v>0</v>
      </c>
      <c r="PF258" s="9" t="n">
        <v>0</v>
      </c>
      <c r="PG258" s="9" t="n">
        <v>0</v>
      </c>
      <c r="PK258" s="10" t="n">
        <v>46239</v>
      </c>
      <c r="PM258" s="9" t="n">
        <v>0</v>
      </c>
      <c r="PO258" s="9" t="n">
        <v>0</v>
      </c>
      <c r="PP258" s="9" t="n">
        <v>100</v>
      </c>
      <c r="PT258" s="10" t="n">
        <v>46239</v>
      </c>
      <c r="PV258" s="9" t="n">
        <v>0</v>
      </c>
      <c r="PX258" s="9" t="n">
        <v>0</v>
      </c>
      <c r="PY258" s="9" t="n">
        <v>13.96000000000004</v>
      </c>
      <c r="QC258" s="10" t="n">
        <v>46239</v>
      </c>
      <c r="QE258" s="9" t="n">
        <v>0</v>
      </c>
      <c r="QF258" s="9" t="n">
        <v>80</v>
      </c>
      <c r="QG258" s="9" t="n">
        <v>-80</v>
      </c>
      <c r="QH258" s="9" t="n">
        <v>1204</v>
      </c>
      <c r="QL258" s="10" t="n">
        <v>46239</v>
      </c>
      <c r="QN258" s="9" t="n">
        <v>0</v>
      </c>
      <c r="QP258" s="9" t="n">
        <v>0</v>
      </c>
      <c r="QQ258" s="9" t="n">
        <v>0</v>
      </c>
      <c r="QU258" s="10" t="n">
        <v>46239</v>
      </c>
      <c r="QW258" s="9" t="n">
        <v>0</v>
      </c>
      <c r="QY258" s="9" t="n">
        <v>0</v>
      </c>
      <c r="QZ258" s="9" t="n">
        <v>207.6</v>
      </c>
      <c r="RD258" s="10" t="n">
        <v>46239</v>
      </c>
      <c r="RF258" s="9" t="n">
        <v>0</v>
      </c>
      <c r="RH258" s="9" t="n">
        <v>0</v>
      </c>
      <c r="RI258" s="9" t="n">
        <v>147.04</v>
      </c>
      <c r="RM258" s="10" t="n">
        <v>46239</v>
      </c>
      <c r="RO258" s="9" t="n">
        <v>0</v>
      </c>
      <c r="RQ258" s="9" t="n">
        <v>0</v>
      </c>
      <c r="RR258" s="9" t="n">
        <v>46.8</v>
      </c>
      <c r="RV258" s="10" t="n">
        <v>46239</v>
      </c>
      <c r="RX258" s="9" t="n">
        <v>0</v>
      </c>
      <c r="RZ258" s="9" t="n">
        <v>0</v>
      </c>
      <c r="SA258" s="9" t="n">
        <v>0</v>
      </c>
      <c r="SE258" s="10" t="n">
        <v>46239</v>
      </c>
      <c r="SG258" s="9" t="n">
        <v>0</v>
      </c>
      <c r="SI258" s="9" t="n">
        <v>0</v>
      </c>
      <c r="SJ258" s="9" t="n">
        <v>24.2</v>
      </c>
      <c r="SN258" s="10" t="n">
        <v>46239</v>
      </c>
      <c r="SP258" s="9" t="n">
        <v>0</v>
      </c>
      <c r="SR258" s="9" t="n">
        <v>0</v>
      </c>
      <c r="SS258" s="9" t="n">
        <v>32</v>
      </c>
      <c r="SW258" s="10" t="n">
        <v>46239</v>
      </c>
      <c r="SY258" s="9" t="n">
        <v>0</v>
      </c>
      <c r="TA258" s="9" t="n">
        <v>0</v>
      </c>
      <c r="TB258" s="9" t="n">
        <v>0</v>
      </c>
      <c r="TF258" s="10" t="n">
        <v>46239</v>
      </c>
      <c r="TH258" s="9" t="n">
        <v>0</v>
      </c>
      <c r="TJ258" s="9" t="n">
        <v>0</v>
      </c>
      <c r="TK258" s="9" t="n">
        <v>0</v>
      </c>
      <c r="TO258" s="10" t="n">
        <v>46239</v>
      </c>
      <c r="TQ258" s="9" t="n">
        <v>0</v>
      </c>
      <c r="TR258" s="9" t="n">
        <v>10.4</v>
      </c>
      <c r="TS258" s="9" t="n">
        <v>-10.4</v>
      </c>
      <c r="TT258" s="9" t="n">
        <v>0</v>
      </c>
      <c r="TX258" s="10" t="n">
        <v>46239</v>
      </c>
      <c r="TZ258" s="9" t="n">
        <v>0</v>
      </c>
      <c r="UB258" s="9" t="n">
        <v>0</v>
      </c>
      <c r="UC258" s="9" t="n">
        <v>46.79999999999998</v>
      </c>
      <c r="UG258" s="10" t="n">
        <v>46239</v>
      </c>
      <c r="UI258" s="9" t="n">
        <v>0</v>
      </c>
      <c r="UK258" s="9" t="n">
        <v>0</v>
      </c>
      <c r="UL258" s="9" t="n">
        <v>204</v>
      </c>
      <c r="UP258" s="10" t="n">
        <v>46239</v>
      </c>
      <c r="UR258" s="9" t="n">
        <v>0</v>
      </c>
      <c r="UT258" s="9" t="n">
        <v>0</v>
      </c>
      <c r="UU258" s="9" t="n">
        <v>202.5</v>
      </c>
      <c r="UY258" s="10" t="n">
        <v>46239</v>
      </c>
      <c r="VA258" s="9" t="n">
        <v>0</v>
      </c>
      <c r="VC258" s="9" t="n">
        <v>0</v>
      </c>
      <c r="VD258" s="9" t="n">
        <v>41.60000000000002</v>
      </c>
      <c r="VH258" s="10" t="n">
        <v>46239</v>
      </c>
      <c r="VJ258" s="9" t="n">
        <v>0</v>
      </c>
      <c r="VL258" s="9" t="n">
        <v>0</v>
      </c>
      <c r="VM258" s="9" t="n">
        <v>210</v>
      </c>
      <c r="VQ258" s="10" t="n">
        <v>46239</v>
      </c>
      <c r="VS258" s="9" t="n">
        <v>0</v>
      </c>
      <c r="VU258" s="9" t="n">
        <v>0</v>
      </c>
      <c r="VV258" s="9" t="n">
        <v>0</v>
      </c>
      <c r="VZ258" s="10" t="n">
        <v>46239</v>
      </c>
      <c r="WB258" s="9" t="n">
        <v>0</v>
      </c>
      <c r="WD258" s="9" t="n">
        <v>0</v>
      </c>
      <c r="WE258" s="9" t="n">
        <v>0</v>
      </c>
      <c r="WI258" s="10" t="n">
        <v>46239</v>
      </c>
      <c r="WK258" s="9" t="n">
        <v>0</v>
      </c>
      <c r="WM258" s="9" t="n">
        <v>0</v>
      </c>
      <c r="WN258" s="9" t="n">
        <v>1057</v>
      </c>
      <c r="WR258" s="10" t="n">
        <v>46239</v>
      </c>
      <c r="WT258" s="9" t="n">
        <v>0</v>
      </c>
      <c r="WV258" s="9" t="n">
        <v>0</v>
      </c>
      <c r="WW258" s="9" t="n">
        <v>0</v>
      </c>
      <c r="XA258" s="10" t="n">
        <v>46239</v>
      </c>
      <c r="XC258" s="9" t="n">
        <v>0</v>
      </c>
      <c r="XE258" s="9" t="n">
        <v>0</v>
      </c>
      <c r="XF258" s="9" t="n">
        <v>7507</v>
      </c>
      <c r="XJ258" s="10" t="n">
        <v>46239</v>
      </c>
      <c r="XL258" s="9" t="n">
        <v>0</v>
      </c>
      <c r="XN258" s="9" t="n">
        <v>0</v>
      </c>
      <c r="XO258" s="9" t="n">
        <v>4252</v>
      </c>
      <c r="XS258" s="10" t="n">
        <v>46239</v>
      </c>
      <c r="XU258" s="9" t="n">
        <v>0</v>
      </c>
      <c r="XW258" s="9" t="n">
        <v>0</v>
      </c>
      <c r="XX258" s="9" t="n">
        <v>2179</v>
      </c>
      <c r="YB258" s="10" t="n">
        <v>46239</v>
      </c>
      <c r="YD258" s="9" t="n">
        <v>0</v>
      </c>
      <c r="YF258" s="9" t="n">
        <v>0</v>
      </c>
      <c r="YG258" s="9" t="n">
        <v>4019</v>
      </c>
      <c r="YK258" s="10" t="n">
        <v>46239</v>
      </c>
      <c r="YM258" s="9" t="n">
        <v>0</v>
      </c>
      <c r="YO258" s="9" t="n">
        <v>0</v>
      </c>
      <c r="YP258" s="9" t="n">
        <v>-218</v>
      </c>
      <c r="YT258" s="10" t="n">
        <v>46239</v>
      </c>
      <c r="YV258" s="9" t="n">
        <v>0</v>
      </c>
      <c r="YX258" s="9" t="n">
        <v>0</v>
      </c>
      <c r="YY258" s="9" t="n">
        <v>0</v>
      </c>
      <c r="ZC258" s="10" t="n">
        <v>46239</v>
      </c>
      <c r="ZE258" s="9" t="n">
        <v>0</v>
      </c>
      <c r="ZG258" s="9" t="n">
        <v>0</v>
      </c>
      <c r="ZH258" s="9" t="n">
        <v>0</v>
      </c>
      <c r="ZL258" s="10" t="n">
        <v>46239</v>
      </c>
      <c r="ZN258" s="9" t="n">
        <v>0</v>
      </c>
      <c r="ZP258" s="9" t="n">
        <v>0</v>
      </c>
      <c r="ZQ258" s="9" t="n">
        <v>0</v>
      </c>
      <c r="ZU258" s="10" t="n">
        <v>46239</v>
      </c>
      <c r="ZW258" s="9" t="n">
        <v>0</v>
      </c>
      <c r="ZY258" s="9" t="n">
        <v>0</v>
      </c>
      <c r="ZZ258" s="9" t="n">
        <v>0</v>
      </c>
      <c r="AAD258" s="10" t="n">
        <v>46239</v>
      </c>
      <c r="AAF258" s="9" t="n">
        <v>0</v>
      </c>
      <c r="AAH258" s="9" t="n">
        <v>0</v>
      </c>
      <c r="AAI258" s="9" t="n">
        <v>0</v>
      </c>
      <c r="AAM258" s="10" t="n">
        <v>46239</v>
      </c>
      <c r="AAO258" s="9" t="n">
        <v>0</v>
      </c>
      <c r="AAQ258" s="9" t="n">
        <v>0</v>
      </c>
      <c r="AAR258" s="9" t="n">
        <v>0</v>
      </c>
      <c r="AAV258" s="10" t="n">
        <v>46239</v>
      </c>
      <c r="AAX258" s="9" t="n">
        <v>0</v>
      </c>
      <c r="AAZ258" s="9" t="n">
        <v>0</v>
      </c>
      <c r="ABA258" s="9" t="n">
        <v>0</v>
      </c>
      <c r="ABE258" s="10" t="n">
        <v>46239</v>
      </c>
      <c r="ABG258" s="9" t="n">
        <v>0</v>
      </c>
      <c r="ABI258" s="9" t="n">
        <v>0</v>
      </c>
      <c r="ABJ258" s="9" t="n">
        <v>0</v>
      </c>
    </row>
    <row r="259">
      <c r="C259" s="10" t="n">
        <v>46240</v>
      </c>
      <c r="E259" s="9" t="n">
        <v>0</v>
      </c>
      <c r="G259" s="9" t="n">
        <v>0</v>
      </c>
      <c r="H259" s="9" t="n">
        <v>201934.6</v>
      </c>
      <c r="L259" s="10" t="n">
        <v>46240</v>
      </c>
      <c r="N259" s="9" t="n">
        <v>0</v>
      </c>
      <c r="P259" s="9" t="n">
        <v>0</v>
      </c>
      <c r="Q259" s="9" t="n">
        <v>53017.60000000007</v>
      </c>
      <c r="U259" s="10" t="n">
        <v>46240</v>
      </c>
      <c r="W259" s="9" t="n">
        <v>0</v>
      </c>
      <c r="Y259" s="9" t="n">
        <v>0</v>
      </c>
      <c r="Z259" s="9" t="n">
        <v>42674.19999999997</v>
      </c>
      <c r="AD259" s="10" t="n">
        <v>46240</v>
      </c>
      <c r="AF259" s="9" t="n">
        <v>0</v>
      </c>
      <c r="AH259" s="9" t="n">
        <v>0</v>
      </c>
      <c r="AI259" s="9" t="n">
        <v>4522.200000000019</v>
      </c>
      <c r="AM259" s="10" t="n">
        <v>46240</v>
      </c>
      <c r="AO259" s="9" t="n">
        <v>0</v>
      </c>
      <c r="AQ259" s="9" t="n">
        <v>0</v>
      </c>
      <c r="AR259" s="9" t="n">
        <v>0</v>
      </c>
      <c r="AV259" s="10" t="n">
        <v>46240</v>
      </c>
      <c r="AX259" s="9" t="n">
        <v>0</v>
      </c>
      <c r="AZ259" s="9" t="n">
        <v>0</v>
      </c>
      <c r="BA259" s="9" t="n">
        <v>124.9999999999952</v>
      </c>
      <c r="BE259" s="10" t="n">
        <v>46240</v>
      </c>
      <c r="BG259" s="9" t="n">
        <v>0</v>
      </c>
      <c r="BI259" s="9" t="n">
        <v>0</v>
      </c>
      <c r="BJ259" s="9" t="n">
        <v>26151.9</v>
      </c>
      <c r="BN259" s="10" t="n">
        <v>46240</v>
      </c>
      <c r="BP259" s="9" t="n">
        <v>0</v>
      </c>
      <c r="BR259" s="9" t="n">
        <v>0</v>
      </c>
      <c r="BS259" s="9" t="n">
        <v>0</v>
      </c>
      <c r="BW259" s="10" t="n">
        <v>46240</v>
      </c>
      <c r="BY259" s="9" t="n">
        <v>0</v>
      </c>
      <c r="CA259" s="9" t="n">
        <v>0</v>
      </c>
      <c r="CB259" s="9" t="n">
        <v>3143.469999999999</v>
      </c>
      <c r="CF259" s="10" t="n">
        <v>46240</v>
      </c>
      <c r="CH259" s="9" t="n">
        <v>0</v>
      </c>
      <c r="CJ259" s="9" t="n">
        <v>0</v>
      </c>
      <c r="CK259" s="9" t="n">
        <v>-10277.08</v>
      </c>
      <c r="CO259" s="10" t="n">
        <v>46240</v>
      </c>
      <c r="CQ259" s="9" t="n">
        <v>0</v>
      </c>
      <c r="CS259" s="9" t="n">
        <v>0</v>
      </c>
      <c r="CT259" s="9" t="n">
        <v>0</v>
      </c>
      <c r="CX259" s="10" t="n">
        <v>46240</v>
      </c>
      <c r="CZ259" s="9" t="n">
        <v>0</v>
      </c>
      <c r="DB259" s="9" t="n">
        <v>0</v>
      </c>
      <c r="DC259" s="9" t="n">
        <v>27438.20000000001</v>
      </c>
      <c r="DG259" s="10" t="n">
        <v>46240</v>
      </c>
      <c r="DI259" s="9" t="n">
        <v>0</v>
      </c>
      <c r="DK259" s="9" t="n">
        <v>0</v>
      </c>
      <c r="DL259" s="9" t="n">
        <v>18782.29999999998</v>
      </c>
      <c r="DP259" s="10" t="n">
        <v>46240</v>
      </c>
      <c r="DR259" s="9" t="n">
        <v>0</v>
      </c>
      <c r="DT259" s="9" t="n">
        <v>0</v>
      </c>
      <c r="DU259" s="9" t="n">
        <v>5800</v>
      </c>
      <c r="DY259" s="10" t="n">
        <v>46240</v>
      </c>
      <c r="EA259" s="9" t="n">
        <v>0</v>
      </c>
      <c r="EC259" s="9" t="n">
        <v>0</v>
      </c>
      <c r="ED259" s="9" t="n">
        <v>0</v>
      </c>
      <c r="EH259" s="10" t="n">
        <v>46240</v>
      </c>
      <c r="EJ259" s="9" t="n">
        <v>0</v>
      </c>
      <c r="EL259" s="9" t="n">
        <v>0</v>
      </c>
      <c r="EM259" s="9" t="n">
        <v>0</v>
      </c>
      <c r="EQ259" s="10" t="n">
        <v>46240</v>
      </c>
      <c r="ES259" s="9" t="n">
        <v>0</v>
      </c>
      <c r="EU259" s="9" t="n">
        <v>0</v>
      </c>
      <c r="EV259" s="9" t="n">
        <v>0</v>
      </c>
      <c r="EZ259" s="10" t="n">
        <v>46240</v>
      </c>
      <c r="FB259" s="9" t="n">
        <v>0</v>
      </c>
      <c r="FD259" s="9" t="n">
        <v>0</v>
      </c>
      <c r="FE259" s="9" t="n">
        <v>0</v>
      </c>
      <c r="FI259" s="10" t="n">
        <v>46240</v>
      </c>
      <c r="FK259" s="9" t="n">
        <v>0</v>
      </c>
      <c r="FM259" s="9" t="n">
        <v>0</v>
      </c>
      <c r="FN259" s="9" t="n">
        <v>0</v>
      </c>
      <c r="FR259" s="10" t="n">
        <v>46240</v>
      </c>
      <c r="FT259" s="9" t="n">
        <v>0</v>
      </c>
      <c r="FV259" s="9" t="n">
        <v>0</v>
      </c>
      <c r="FW259" s="9" t="n">
        <v>20</v>
      </c>
      <c r="GA259" s="10" t="n">
        <v>46240</v>
      </c>
      <c r="GC259" s="9" t="n">
        <v>0</v>
      </c>
      <c r="GE259" s="9" t="n">
        <v>0</v>
      </c>
      <c r="GF259" s="9" t="n">
        <v>960</v>
      </c>
      <c r="GJ259" s="10" t="n">
        <v>46240</v>
      </c>
      <c r="GL259" s="9" t="n">
        <v>0</v>
      </c>
      <c r="GN259" s="9" t="n">
        <v>0</v>
      </c>
      <c r="GO259" s="9" t="n">
        <v>1760</v>
      </c>
      <c r="GS259" s="10" t="n">
        <v>46240</v>
      </c>
      <c r="GU259" s="9" t="n">
        <v>0</v>
      </c>
      <c r="GW259" s="9" t="n">
        <v>0</v>
      </c>
      <c r="GX259" s="9" t="n">
        <v>400</v>
      </c>
      <c r="HB259" s="10" t="n">
        <v>46240</v>
      </c>
      <c r="HD259" s="9" t="n">
        <v>0</v>
      </c>
      <c r="HF259" s="9" t="n">
        <v>0</v>
      </c>
      <c r="HG259" s="9" t="n">
        <v>3600</v>
      </c>
      <c r="HK259" s="10" t="n">
        <v>46240</v>
      </c>
      <c r="HM259" s="9" t="n">
        <v>0</v>
      </c>
      <c r="HO259" s="9" t="n">
        <v>0</v>
      </c>
      <c r="HP259" s="9" t="n">
        <v>0</v>
      </c>
      <c r="HU259" s="10" t="n">
        <v>46240</v>
      </c>
      <c r="HW259" s="9" t="n">
        <v>0</v>
      </c>
      <c r="HY259" s="9" t="n">
        <v>0</v>
      </c>
      <c r="HZ259" s="9" t="n">
        <v>5720</v>
      </c>
      <c r="ID259" s="10" t="n">
        <v>46240</v>
      </c>
      <c r="IF259" s="9" t="n">
        <v>0</v>
      </c>
      <c r="IH259" s="9" t="n">
        <v>0</v>
      </c>
      <c r="II259" s="9" t="n">
        <v>720</v>
      </c>
      <c r="IM259" s="10" t="n">
        <v>46240</v>
      </c>
      <c r="IO259" s="9" t="n">
        <v>0</v>
      </c>
      <c r="IQ259" s="9" t="n">
        <v>0</v>
      </c>
      <c r="IR259" s="9" t="n">
        <v>1280</v>
      </c>
      <c r="IV259" s="10" t="n">
        <v>46240</v>
      </c>
      <c r="IX259" s="9" t="n">
        <v>0</v>
      </c>
      <c r="IZ259" s="9" t="n">
        <v>0</v>
      </c>
      <c r="JA259" s="9" t="n">
        <v>4960</v>
      </c>
      <c r="JE259" s="10" t="n">
        <v>46240</v>
      </c>
      <c r="JG259" s="9" t="n">
        <v>0</v>
      </c>
      <c r="JI259" s="9" t="n">
        <v>0</v>
      </c>
      <c r="JJ259" s="9" t="n">
        <v>0</v>
      </c>
      <c r="JN259" s="10" t="n">
        <v>46240</v>
      </c>
      <c r="JP259" s="9" t="n">
        <v>0</v>
      </c>
      <c r="JR259" s="9" t="n">
        <v>0</v>
      </c>
      <c r="JS259" s="9" t="n">
        <v>0</v>
      </c>
      <c r="JW259" s="10" t="n">
        <v>46240</v>
      </c>
      <c r="JY259" s="9" t="n">
        <v>0</v>
      </c>
      <c r="KA259" s="9" t="n">
        <v>0</v>
      </c>
      <c r="KB259" s="9" t="n">
        <v>2540</v>
      </c>
      <c r="KF259" s="10" t="n">
        <v>46240</v>
      </c>
      <c r="KH259" s="9" t="n">
        <v>0</v>
      </c>
      <c r="KJ259" s="9" t="n">
        <v>0</v>
      </c>
      <c r="KK259" s="9" t="n">
        <v>2359.5</v>
      </c>
      <c r="KO259" s="10" t="n">
        <v>46240</v>
      </c>
      <c r="KQ259" s="9" t="n">
        <v>0</v>
      </c>
      <c r="KS259" s="9" t="n">
        <v>0</v>
      </c>
      <c r="KT259" s="9" t="n">
        <v>1890</v>
      </c>
      <c r="KX259" s="10" t="n">
        <v>46240</v>
      </c>
      <c r="KZ259" s="9" t="n">
        <v>0</v>
      </c>
      <c r="LB259" s="9" t="n">
        <v>0</v>
      </c>
      <c r="LC259" s="9" t="n">
        <v>3690</v>
      </c>
      <c r="LG259" s="10" t="n">
        <v>46240</v>
      </c>
      <c r="LI259" s="9" t="n">
        <v>0</v>
      </c>
      <c r="LK259" s="9" t="n">
        <v>0</v>
      </c>
      <c r="LL259" s="9" t="n">
        <v>4000</v>
      </c>
      <c r="LP259" s="10" t="n">
        <v>46240</v>
      </c>
      <c r="LR259" s="9" t="n">
        <v>0</v>
      </c>
      <c r="LT259" s="9" t="n">
        <v>0</v>
      </c>
      <c r="LU259" s="9" t="n">
        <v>0</v>
      </c>
      <c r="LY259" s="10" t="n">
        <v>46240</v>
      </c>
      <c r="MA259" s="9" t="n">
        <v>0</v>
      </c>
      <c r="MC259" s="9" t="n">
        <v>0</v>
      </c>
      <c r="MD259" s="9" t="n">
        <v>0</v>
      </c>
      <c r="MH259" s="10" t="n">
        <v>46240</v>
      </c>
      <c r="MJ259" s="9" t="n">
        <v>0</v>
      </c>
      <c r="ML259" s="9" t="n">
        <v>0</v>
      </c>
      <c r="MM259" s="9" t="n">
        <v>0</v>
      </c>
      <c r="MQ259" s="10" t="n">
        <v>46240</v>
      </c>
      <c r="MS259" s="9" t="n">
        <v>0</v>
      </c>
      <c r="MU259" s="9" t="n">
        <v>0</v>
      </c>
      <c r="MV259" s="9" t="n">
        <v>2149</v>
      </c>
      <c r="MZ259" s="10" t="n">
        <v>46240</v>
      </c>
      <c r="NB259" s="9" t="n">
        <v>0</v>
      </c>
      <c r="ND259" s="9" t="n">
        <v>0</v>
      </c>
      <c r="NE259" s="9" t="n">
        <v>0</v>
      </c>
      <c r="NI259" s="10" t="n">
        <v>46240</v>
      </c>
      <c r="NK259" s="9" t="n">
        <v>0</v>
      </c>
      <c r="NM259" s="9" t="n">
        <v>0</v>
      </c>
      <c r="NN259" s="9" t="n">
        <v>1127</v>
      </c>
      <c r="NR259" s="10" t="n">
        <v>46240</v>
      </c>
      <c r="NT259" s="9" t="n">
        <v>0</v>
      </c>
      <c r="NV259" s="9" t="n">
        <v>0</v>
      </c>
      <c r="NW259" s="9" t="n">
        <v>3112</v>
      </c>
      <c r="OA259" s="10" t="n">
        <v>46240</v>
      </c>
      <c r="OC259" s="9" t="n">
        <v>0</v>
      </c>
      <c r="OE259" s="9" t="n">
        <v>0</v>
      </c>
      <c r="OF259" s="9" t="n">
        <v>1680.5</v>
      </c>
      <c r="OJ259" s="10" t="n">
        <v>46240</v>
      </c>
      <c r="OL259" s="9" t="n">
        <v>0</v>
      </c>
      <c r="ON259" s="9" t="n">
        <v>0</v>
      </c>
      <c r="OO259" s="9" t="n">
        <v>0</v>
      </c>
      <c r="OS259" s="10" t="n">
        <v>46240</v>
      </c>
      <c r="OU259" s="9" t="n">
        <v>0</v>
      </c>
      <c r="OW259" s="9" t="n">
        <v>0</v>
      </c>
      <c r="OX259" s="9" t="n">
        <v>1482</v>
      </c>
      <c r="PB259" s="10" t="n">
        <v>46240</v>
      </c>
      <c r="PD259" s="9" t="n">
        <v>0</v>
      </c>
      <c r="PF259" s="9" t="n">
        <v>0</v>
      </c>
      <c r="PG259" s="9" t="n">
        <v>0</v>
      </c>
      <c r="PK259" s="10" t="n">
        <v>46240</v>
      </c>
      <c r="PM259" s="9" t="n">
        <v>0</v>
      </c>
      <c r="PO259" s="9" t="n">
        <v>0</v>
      </c>
      <c r="PP259" s="9" t="n">
        <v>100</v>
      </c>
      <c r="PT259" s="10" t="n">
        <v>46240</v>
      </c>
      <c r="PV259" s="9" t="n">
        <v>0</v>
      </c>
      <c r="PX259" s="9" t="n">
        <v>0</v>
      </c>
      <c r="PY259" s="9" t="n">
        <v>13.96000000000004</v>
      </c>
      <c r="QC259" s="10" t="n">
        <v>46240</v>
      </c>
      <c r="QE259" s="9" t="n">
        <v>0</v>
      </c>
      <c r="QG259" s="9" t="n">
        <v>0</v>
      </c>
      <c r="QH259" s="9" t="n">
        <v>1204</v>
      </c>
      <c r="QL259" s="10" t="n">
        <v>46240</v>
      </c>
      <c r="QN259" s="9" t="n">
        <v>0</v>
      </c>
      <c r="QP259" s="9" t="n">
        <v>0</v>
      </c>
      <c r="QQ259" s="9" t="n">
        <v>0</v>
      </c>
      <c r="QU259" s="10" t="n">
        <v>46240</v>
      </c>
      <c r="QW259" s="9" t="n">
        <v>0</v>
      </c>
      <c r="QY259" s="9" t="n">
        <v>0</v>
      </c>
      <c r="QZ259" s="9" t="n">
        <v>207.6</v>
      </c>
      <c r="RD259" s="10" t="n">
        <v>46240</v>
      </c>
      <c r="RF259" s="9" t="n">
        <v>0</v>
      </c>
      <c r="RH259" s="9" t="n">
        <v>0</v>
      </c>
      <c r="RI259" s="9" t="n">
        <v>147.04</v>
      </c>
      <c r="RM259" s="10" t="n">
        <v>46240</v>
      </c>
      <c r="RO259" s="9" t="n">
        <v>0</v>
      </c>
      <c r="RQ259" s="9" t="n">
        <v>0</v>
      </c>
      <c r="RR259" s="9" t="n">
        <v>46.8</v>
      </c>
      <c r="RV259" s="10" t="n">
        <v>46240</v>
      </c>
      <c r="RX259" s="9" t="n">
        <v>0</v>
      </c>
      <c r="RZ259" s="9" t="n">
        <v>0</v>
      </c>
      <c r="SA259" s="9" t="n">
        <v>0</v>
      </c>
      <c r="SE259" s="10" t="n">
        <v>46240</v>
      </c>
      <c r="SG259" s="9" t="n">
        <v>0</v>
      </c>
      <c r="SI259" s="9" t="n">
        <v>0</v>
      </c>
      <c r="SJ259" s="9" t="n">
        <v>24.2</v>
      </c>
      <c r="SN259" s="10" t="n">
        <v>46240</v>
      </c>
      <c r="SP259" s="9" t="n">
        <v>0</v>
      </c>
      <c r="SR259" s="9" t="n">
        <v>0</v>
      </c>
      <c r="SS259" s="9" t="n">
        <v>32</v>
      </c>
      <c r="SW259" s="10" t="n">
        <v>46240</v>
      </c>
      <c r="SY259" s="9" t="n">
        <v>0</v>
      </c>
      <c r="TA259" s="9" t="n">
        <v>0</v>
      </c>
      <c r="TB259" s="9" t="n">
        <v>0</v>
      </c>
      <c r="TF259" s="10" t="n">
        <v>46240</v>
      </c>
      <c r="TH259" s="9" t="n">
        <v>0</v>
      </c>
      <c r="TJ259" s="9" t="n">
        <v>0</v>
      </c>
      <c r="TK259" s="9" t="n">
        <v>0</v>
      </c>
      <c r="TO259" s="10" t="n">
        <v>46240</v>
      </c>
      <c r="TQ259" s="9" t="n">
        <v>0</v>
      </c>
      <c r="TS259" s="9" t="n">
        <v>0</v>
      </c>
      <c r="TT259" s="9" t="n">
        <v>0</v>
      </c>
      <c r="TX259" s="10" t="n">
        <v>46240</v>
      </c>
      <c r="TZ259" s="9" t="n">
        <v>0</v>
      </c>
      <c r="UB259" s="9" t="n">
        <v>0</v>
      </c>
      <c r="UC259" s="9" t="n">
        <v>46.79999999999998</v>
      </c>
      <c r="UG259" s="10" t="n">
        <v>46240</v>
      </c>
      <c r="UI259" s="9" t="n">
        <v>0</v>
      </c>
      <c r="UK259" s="9" t="n">
        <v>0</v>
      </c>
      <c r="UL259" s="9" t="n">
        <v>204</v>
      </c>
      <c r="UP259" s="10" t="n">
        <v>46240</v>
      </c>
      <c r="UR259" s="9" t="n">
        <v>0</v>
      </c>
      <c r="UT259" s="9" t="n">
        <v>0</v>
      </c>
      <c r="UU259" s="9" t="n">
        <v>202.5</v>
      </c>
      <c r="UY259" s="10" t="n">
        <v>46240</v>
      </c>
      <c r="VA259" s="9" t="n">
        <v>0</v>
      </c>
      <c r="VC259" s="9" t="n">
        <v>0</v>
      </c>
      <c r="VD259" s="9" t="n">
        <v>41.60000000000002</v>
      </c>
      <c r="VH259" s="10" t="n">
        <v>46240</v>
      </c>
      <c r="VJ259" s="9" t="n">
        <v>0</v>
      </c>
      <c r="VL259" s="9" t="n">
        <v>0</v>
      </c>
      <c r="VM259" s="9" t="n">
        <v>210</v>
      </c>
      <c r="VQ259" s="10" t="n">
        <v>46240</v>
      </c>
      <c r="VS259" s="9" t="n">
        <v>0</v>
      </c>
      <c r="VU259" s="9" t="n">
        <v>0</v>
      </c>
      <c r="VV259" s="9" t="n">
        <v>0</v>
      </c>
      <c r="VZ259" s="10" t="n">
        <v>46240</v>
      </c>
      <c r="WB259" s="9" t="n">
        <v>0</v>
      </c>
      <c r="WD259" s="9" t="n">
        <v>0</v>
      </c>
      <c r="WE259" s="9" t="n">
        <v>0</v>
      </c>
      <c r="WI259" s="10" t="n">
        <v>46240</v>
      </c>
      <c r="WK259" s="9" t="n">
        <v>0</v>
      </c>
      <c r="WM259" s="9" t="n">
        <v>0</v>
      </c>
      <c r="WN259" s="9" t="n">
        <v>1057</v>
      </c>
      <c r="WR259" s="10" t="n">
        <v>46240</v>
      </c>
      <c r="WT259" s="9" t="n">
        <v>0</v>
      </c>
      <c r="WV259" s="9" t="n">
        <v>0</v>
      </c>
      <c r="WW259" s="9" t="n">
        <v>0</v>
      </c>
      <c r="XA259" s="10" t="n">
        <v>46240</v>
      </c>
      <c r="XC259" s="9" t="n">
        <v>0</v>
      </c>
      <c r="XE259" s="9" t="n">
        <v>0</v>
      </c>
      <c r="XF259" s="9" t="n">
        <v>7507</v>
      </c>
      <c r="XJ259" s="10" t="n">
        <v>46240</v>
      </c>
      <c r="XL259" s="9" t="n">
        <v>0</v>
      </c>
      <c r="XN259" s="9" t="n">
        <v>0</v>
      </c>
      <c r="XO259" s="9" t="n">
        <v>4252</v>
      </c>
      <c r="XS259" s="10" t="n">
        <v>46240</v>
      </c>
      <c r="XU259" s="9" t="n">
        <v>0</v>
      </c>
      <c r="XW259" s="9" t="n">
        <v>0</v>
      </c>
      <c r="XX259" s="9" t="n">
        <v>2179</v>
      </c>
      <c r="YB259" s="10" t="n">
        <v>46240</v>
      </c>
      <c r="YD259" s="9" t="n">
        <v>0</v>
      </c>
      <c r="YF259" s="9" t="n">
        <v>0</v>
      </c>
      <c r="YG259" s="9" t="n">
        <v>4019</v>
      </c>
      <c r="YK259" s="10" t="n">
        <v>46240</v>
      </c>
      <c r="YM259" s="9" t="n">
        <v>0</v>
      </c>
      <c r="YO259" s="9" t="n">
        <v>0</v>
      </c>
      <c r="YP259" s="9" t="n">
        <v>-218</v>
      </c>
      <c r="YT259" s="10" t="n">
        <v>46240</v>
      </c>
      <c r="YV259" s="9" t="n">
        <v>0</v>
      </c>
      <c r="YX259" s="9" t="n">
        <v>0</v>
      </c>
      <c r="YY259" s="9" t="n">
        <v>0</v>
      </c>
      <c r="ZC259" s="10" t="n">
        <v>46240</v>
      </c>
      <c r="ZE259" s="9" t="n">
        <v>0</v>
      </c>
      <c r="ZG259" s="9" t="n">
        <v>0</v>
      </c>
      <c r="ZH259" s="9" t="n">
        <v>0</v>
      </c>
      <c r="ZL259" s="10" t="n">
        <v>46240</v>
      </c>
      <c r="ZN259" s="9" t="n">
        <v>0</v>
      </c>
      <c r="ZP259" s="9" t="n">
        <v>0</v>
      </c>
      <c r="ZQ259" s="9" t="n">
        <v>0</v>
      </c>
      <c r="ZU259" s="10" t="n">
        <v>46240</v>
      </c>
      <c r="ZW259" s="9" t="n">
        <v>0</v>
      </c>
      <c r="ZY259" s="9" t="n">
        <v>0</v>
      </c>
      <c r="ZZ259" s="9" t="n">
        <v>0</v>
      </c>
      <c r="AAD259" s="10" t="n">
        <v>46240</v>
      </c>
      <c r="AAF259" s="9" t="n">
        <v>0</v>
      </c>
      <c r="AAH259" s="9" t="n">
        <v>0</v>
      </c>
      <c r="AAI259" s="9" t="n">
        <v>0</v>
      </c>
      <c r="AAM259" s="10" t="n">
        <v>46240</v>
      </c>
      <c r="AAO259" s="9" t="n">
        <v>0</v>
      </c>
      <c r="AAQ259" s="9" t="n">
        <v>0</v>
      </c>
      <c r="AAR259" s="9" t="n">
        <v>0</v>
      </c>
      <c r="AAV259" s="10" t="n">
        <v>46240</v>
      </c>
      <c r="AAX259" s="9" t="n">
        <v>0</v>
      </c>
      <c r="AAZ259" s="9" t="n">
        <v>0</v>
      </c>
      <c r="ABA259" s="9" t="n">
        <v>0</v>
      </c>
      <c r="ABE259" s="10" t="n">
        <v>46240</v>
      </c>
      <c r="ABG259" s="9" t="n">
        <v>0</v>
      </c>
      <c r="ABI259" s="9" t="n">
        <v>0</v>
      </c>
      <c r="ABJ259" s="9" t="n">
        <v>0</v>
      </c>
    </row>
    <row r="260">
      <c r="C260" s="10" t="n">
        <v>46241</v>
      </c>
      <c r="E260" s="9" t="n">
        <v>16318.5</v>
      </c>
      <c r="G260" s="9" t="n">
        <v>16318.5</v>
      </c>
      <c r="H260" s="9" t="n">
        <v>201934.6</v>
      </c>
      <c r="L260" s="10" t="n">
        <v>46241</v>
      </c>
      <c r="N260" s="9" t="n">
        <v>8925</v>
      </c>
      <c r="P260" s="9" t="n">
        <v>8925</v>
      </c>
      <c r="Q260" s="9" t="n">
        <v>53017.60000000007</v>
      </c>
      <c r="U260" s="10" t="n">
        <v>46241</v>
      </c>
      <c r="W260" s="9" t="n">
        <v>1800</v>
      </c>
      <c r="Y260" s="9" t="n">
        <v>1800</v>
      </c>
      <c r="Z260" s="9" t="n">
        <v>42674.19999999997</v>
      </c>
      <c r="AD260" s="10" t="n">
        <v>46241</v>
      </c>
      <c r="AF260" s="9" t="n">
        <v>0</v>
      </c>
      <c r="AH260" s="9" t="n">
        <v>0</v>
      </c>
      <c r="AI260" s="9" t="n">
        <v>4522.200000000019</v>
      </c>
      <c r="AM260" s="10" t="n">
        <v>46241</v>
      </c>
      <c r="AO260" s="9" t="n">
        <v>0</v>
      </c>
      <c r="AQ260" s="9" t="n">
        <v>0</v>
      </c>
      <c r="AR260" s="9" t="n">
        <v>0</v>
      </c>
      <c r="AV260" s="10" t="n">
        <v>46241</v>
      </c>
      <c r="AX260" s="9" t="n">
        <v>0</v>
      </c>
      <c r="AZ260" s="9" t="n">
        <v>0</v>
      </c>
      <c r="BA260" s="9" t="n">
        <v>124.9999999999952</v>
      </c>
      <c r="BE260" s="10" t="n">
        <v>46241</v>
      </c>
      <c r="BG260" s="9" t="n">
        <v>0</v>
      </c>
      <c r="BI260" s="9" t="n">
        <v>0</v>
      </c>
      <c r="BJ260" s="9" t="n">
        <v>26151.9</v>
      </c>
      <c r="BN260" s="10" t="n">
        <v>46241</v>
      </c>
      <c r="BP260" s="9" t="n">
        <v>150</v>
      </c>
      <c r="BR260" s="9" t="n">
        <v>150</v>
      </c>
      <c r="BS260" s="9" t="n">
        <v>0</v>
      </c>
      <c r="BW260" s="10" t="n">
        <v>46241</v>
      </c>
      <c r="BY260" s="9" t="n">
        <v>220.65</v>
      </c>
      <c r="BZ260" s="9" t="n">
        <v>974.3399999999999</v>
      </c>
      <c r="CA260" s="9" t="n">
        <v>-753.6899999999999</v>
      </c>
      <c r="CB260" s="9" t="n">
        <v>2169.129999999999</v>
      </c>
      <c r="CF260" s="10" t="n">
        <v>46241</v>
      </c>
      <c r="CH260" s="9" t="n">
        <v>0</v>
      </c>
      <c r="CJ260" s="9" t="n">
        <v>0</v>
      </c>
      <c r="CK260" s="9" t="n">
        <v>-10277.08</v>
      </c>
      <c r="CO260" s="10" t="n">
        <v>46241</v>
      </c>
      <c r="CQ260" s="9" t="n">
        <v>0</v>
      </c>
      <c r="CS260" s="9" t="n">
        <v>0</v>
      </c>
      <c r="CT260" s="9" t="n">
        <v>0</v>
      </c>
      <c r="CX260" s="10" t="n">
        <v>46241</v>
      </c>
      <c r="CZ260" s="9" t="n">
        <v>600</v>
      </c>
      <c r="DB260" s="9" t="n">
        <v>600</v>
      </c>
      <c r="DC260" s="9" t="n">
        <v>27438.20000000001</v>
      </c>
      <c r="DG260" s="10" t="n">
        <v>46241</v>
      </c>
      <c r="DI260" s="9" t="n">
        <v>0</v>
      </c>
      <c r="DK260" s="9" t="n">
        <v>0</v>
      </c>
      <c r="DL260" s="9" t="n">
        <v>18782.29999999998</v>
      </c>
      <c r="DP260" s="10" t="n">
        <v>46241</v>
      </c>
      <c r="DR260" s="9" t="n">
        <v>0</v>
      </c>
      <c r="DT260" s="9" t="n">
        <v>0</v>
      </c>
      <c r="DU260" s="9" t="n">
        <v>5800</v>
      </c>
      <c r="DY260" s="10" t="n">
        <v>46241</v>
      </c>
      <c r="EA260" s="9" t="n">
        <v>0</v>
      </c>
      <c r="EC260" s="9" t="n">
        <v>0</v>
      </c>
      <c r="ED260" s="9" t="n">
        <v>0</v>
      </c>
      <c r="EH260" s="10" t="n">
        <v>46241</v>
      </c>
      <c r="EJ260" s="9" t="n">
        <v>0</v>
      </c>
      <c r="EL260" s="9" t="n">
        <v>0</v>
      </c>
      <c r="EM260" s="9" t="n">
        <v>0</v>
      </c>
      <c r="EQ260" s="10" t="n">
        <v>46241</v>
      </c>
      <c r="ES260" s="9" t="n">
        <v>0</v>
      </c>
      <c r="EU260" s="9" t="n">
        <v>0</v>
      </c>
      <c r="EV260" s="9" t="n">
        <v>0</v>
      </c>
      <c r="EZ260" s="10" t="n">
        <v>46241</v>
      </c>
      <c r="FB260" s="9" t="n">
        <v>0</v>
      </c>
      <c r="FD260" s="9" t="n">
        <v>0</v>
      </c>
      <c r="FE260" s="9" t="n">
        <v>0</v>
      </c>
      <c r="FI260" s="10" t="n">
        <v>46241</v>
      </c>
      <c r="FK260" s="9" t="n">
        <v>0</v>
      </c>
      <c r="FM260" s="9" t="n">
        <v>0</v>
      </c>
      <c r="FN260" s="9" t="n">
        <v>0</v>
      </c>
      <c r="FR260" s="10" t="n">
        <v>46241</v>
      </c>
      <c r="FT260" s="9" t="n">
        <v>0</v>
      </c>
      <c r="FV260" s="9" t="n">
        <v>0</v>
      </c>
      <c r="FW260" s="9" t="n">
        <v>20</v>
      </c>
      <c r="GA260" s="10" t="n">
        <v>46241</v>
      </c>
      <c r="GC260" s="9" t="n">
        <v>0</v>
      </c>
      <c r="GE260" s="9" t="n">
        <v>0</v>
      </c>
      <c r="GF260" s="9" t="n">
        <v>960</v>
      </c>
      <c r="GJ260" s="10" t="n">
        <v>46241</v>
      </c>
      <c r="GL260" s="9" t="n">
        <v>0</v>
      </c>
      <c r="GN260" s="9" t="n">
        <v>0</v>
      </c>
      <c r="GO260" s="9" t="n">
        <v>1760</v>
      </c>
      <c r="GS260" s="10" t="n">
        <v>46241</v>
      </c>
      <c r="GU260" s="9" t="n">
        <v>0</v>
      </c>
      <c r="GW260" s="9" t="n">
        <v>0</v>
      </c>
      <c r="GX260" s="9" t="n">
        <v>400</v>
      </c>
      <c r="HB260" s="10" t="n">
        <v>46241</v>
      </c>
      <c r="HD260" s="9" t="n">
        <v>0</v>
      </c>
      <c r="HF260" s="9" t="n">
        <v>0</v>
      </c>
      <c r="HG260" s="9" t="n">
        <v>3600</v>
      </c>
      <c r="HK260" s="10" t="n">
        <v>46241</v>
      </c>
      <c r="HM260" s="9" t="n">
        <v>0</v>
      </c>
      <c r="HO260" s="9" t="n">
        <v>0</v>
      </c>
      <c r="HP260" s="9" t="n">
        <v>0</v>
      </c>
      <c r="HU260" s="10" t="n">
        <v>46241</v>
      </c>
      <c r="HW260" s="9" t="n">
        <v>0</v>
      </c>
      <c r="HX260" s="9" t="n">
        <v>600</v>
      </c>
      <c r="HY260" s="9" t="n">
        <v>-600</v>
      </c>
      <c r="HZ260" s="9" t="n">
        <v>5120</v>
      </c>
      <c r="IA260" s="9" t="n">
        <v>30</v>
      </c>
      <c r="IB260" s="9" t="inlineStr">
        <is>
          <t>NEW</t>
        </is>
      </c>
      <c r="ID260" s="10" t="n">
        <v>46241</v>
      </c>
      <c r="IF260" s="9" t="n">
        <v>0</v>
      </c>
      <c r="IH260" s="9" t="n">
        <v>0</v>
      </c>
      <c r="II260" s="9" t="n">
        <v>720</v>
      </c>
      <c r="IM260" s="10" t="n">
        <v>46241</v>
      </c>
      <c r="IO260" s="9" t="n">
        <v>0</v>
      </c>
      <c r="IP260" s="9" t="n">
        <v>1280</v>
      </c>
      <c r="IQ260" s="9" t="n">
        <v>-1280</v>
      </c>
      <c r="IR260" s="9" t="n">
        <v>0</v>
      </c>
      <c r="IS260" s="9" t="n">
        <v>64</v>
      </c>
      <c r="IV260" s="10" t="n">
        <v>46241</v>
      </c>
      <c r="IX260" s="9" t="n">
        <v>0</v>
      </c>
      <c r="IZ260" s="9" t="n">
        <v>0</v>
      </c>
      <c r="JA260" s="9" t="n">
        <v>4960</v>
      </c>
      <c r="JE260" s="10" t="n">
        <v>46241</v>
      </c>
      <c r="JG260" s="9" t="n">
        <v>0</v>
      </c>
      <c r="JI260" s="9" t="n">
        <v>0</v>
      </c>
      <c r="JJ260" s="9" t="n">
        <v>0</v>
      </c>
      <c r="JN260" s="10" t="n">
        <v>46241</v>
      </c>
      <c r="JP260" s="9" t="n">
        <v>0</v>
      </c>
      <c r="JR260" s="9" t="n">
        <v>0</v>
      </c>
      <c r="JS260" s="9" t="n">
        <v>0</v>
      </c>
      <c r="JW260" s="10" t="n">
        <v>46241</v>
      </c>
      <c r="JY260" s="9" t="n">
        <v>0</v>
      </c>
      <c r="KA260" s="9" t="n">
        <v>0</v>
      </c>
      <c r="KB260" s="9" t="n">
        <v>2540</v>
      </c>
      <c r="KF260" s="10" t="n">
        <v>46241</v>
      </c>
      <c r="KH260" s="9" t="n">
        <v>0</v>
      </c>
      <c r="KJ260" s="9" t="n">
        <v>0</v>
      </c>
      <c r="KK260" s="9" t="n">
        <v>2359.5</v>
      </c>
      <c r="KO260" s="10" t="n">
        <v>46241</v>
      </c>
      <c r="KQ260" s="9" t="n">
        <v>0</v>
      </c>
      <c r="KS260" s="9" t="n">
        <v>0</v>
      </c>
      <c r="KT260" s="9" t="n">
        <v>1890</v>
      </c>
      <c r="KX260" s="10" t="n">
        <v>46241</v>
      </c>
      <c r="KZ260" s="9" t="n">
        <v>0</v>
      </c>
      <c r="LB260" s="9" t="n">
        <v>0</v>
      </c>
      <c r="LC260" s="9" t="n">
        <v>3690</v>
      </c>
      <c r="LG260" s="10" t="n">
        <v>46241</v>
      </c>
      <c r="LI260" s="9" t="n">
        <v>0</v>
      </c>
      <c r="LK260" s="9" t="n">
        <v>0</v>
      </c>
      <c r="LL260" s="9" t="n">
        <v>4000</v>
      </c>
      <c r="LP260" s="10" t="n">
        <v>46241</v>
      </c>
      <c r="LR260" s="9" t="n">
        <v>0</v>
      </c>
      <c r="LT260" s="9" t="n">
        <v>0</v>
      </c>
      <c r="LU260" s="9" t="n">
        <v>0</v>
      </c>
      <c r="LY260" s="10" t="n">
        <v>46241</v>
      </c>
      <c r="MA260" s="9" t="n">
        <v>0</v>
      </c>
      <c r="MC260" s="9" t="n">
        <v>0</v>
      </c>
      <c r="MD260" s="9" t="n">
        <v>0</v>
      </c>
      <c r="MH260" s="10" t="n">
        <v>46241</v>
      </c>
      <c r="MJ260" s="9" t="n">
        <v>0</v>
      </c>
      <c r="ML260" s="9" t="n">
        <v>0</v>
      </c>
      <c r="MM260" s="9" t="n">
        <v>0</v>
      </c>
      <c r="MQ260" s="10" t="n">
        <v>46241</v>
      </c>
      <c r="MS260" s="9" t="n">
        <v>0</v>
      </c>
      <c r="MT260" s="9" t="n">
        <v>216</v>
      </c>
      <c r="MU260" s="9" t="n">
        <v>-216</v>
      </c>
      <c r="MV260" s="9" t="n">
        <v>1933</v>
      </c>
      <c r="MZ260" s="10" t="n">
        <v>46241</v>
      </c>
      <c r="NB260" s="9" t="n">
        <v>0</v>
      </c>
      <c r="ND260" s="9" t="n">
        <v>0</v>
      </c>
      <c r="NE260" s="9" t="n">
        <v>0</v>
      </c>
      <c r="NI260" s="10" t="n">
        <v>46241</v>
      </c>
      <c r="NK260" s="9" t="n">
        <v>0</v>
      </c>
      <c r="NM260" s="9" t="n">
        <v>0</v>
      </c>
      <c r="NN260" s="9" t="n">
        <v>1127</v>
      </c>
      <c r="NR260" s="10" t="n">
        <v>46241</v>
      </c>
      <c r="NT260" s="9" t="n">
        <v>0</v>
      </c>
      <c r="NV260" s="9" t="n">
        <v>0</v>
      </c>
      <c r="NW260" s="9" t="n">
        <v>3112</v>
      </c>
      <c r="OA260" s="10" t="n">
        <v>46241</v>
      </c>
      <c r="OC260" s="9" t="n">
        <v>0</v>
      </c>
      <c r="OE260" s="9" t="n">
        <v>0</v>
      </c>
      <c r="OF260" s="9" t="n">
        <v>1680.5</v>
      </c>
      <c r="OJ260" s="10" t="n">
        <v>46241</v>
      </c>
      <c r="OL260" s="9" t="n">
        <v>0</v>
      </c>
      <c r="ON260" s="9" t="n">
        <v>0</v>
      </c>
      <c r="OO260" s="9" t="n">
        <v>0</v>
      </c>
      <c r="OS260" s="10" t="n">
        <v>46241</v>
      </c>
      <c r="OU260" s="9" t="n">
        <v>0</v>
      </c>
      <c r="OW260" s="9" t="n">
        <v>0</v>
      </c>
      <c r="OX260" s="9" t="n">
        <v>1482</v>
      </c>
      <c r="PB260" s="10" t="n">
        <v>46241</v>
      </c>
      <c r="PD260" s="9" t="n">
        <v>0</v>
      </c>
      <c r="PF260" s="9" t="n">
        <v>0</v>
      </c>
      <c r="PG260" s="9" t="n">
        <v>0</v>
      </c>
      <c r="PK260" s="10" t="n">
        <v>46241</v>
      </c>
      <c r="PM260" s="9" t="n">
        <v>0</v>
      </c>
      <c r="PO260" s="9" t="n">
        <v>0</v>
      </c>
      <c r="PP260" s="9" t="n">
        <v>100</v>
      </c>
      <c r="PT260" s="10" t="n">
        <v>46241</v>
      </c>
      <c r="PV260" s="9" t="n">
        <v>0</v>
      </c>
      <c r="PX260" s="9" t="n">
        <v>0</v>
      </c>
      <c r="PY260" s="9" t="n">
        <v>13.96000000000004</v>
      </c>
      <c r="QC260" s="10" t="n">
        <v>46241</v>
      </c>
      <c r="QE260" s="9" t="n">
        <v>0</v>
      </c>
      <c r="QF260" s="9" t="n">
        <v>256</v>
      </c>
      <c r="QG260" s="9" t="n">
        <v>-256</v>
      </c>
      <c r="QH260" s="9" t="n">
        <v>948</v>
      </c>
      <c r="QL260" s="10" t="n">
        <v>46241</v>
      </c>
      <c r="QN260" s="9" t="n">
        <v>0</v>
      </c>
      <c r="QP260" s="9" t="n">
        <v>0</v>
      </c>
      <c r="QQ260" s="9" t="n">
        <v>0</v>
      </c>
      <c r="QU260" s="10" t="n">
        <v>46241</v>
      </c>
      <c r="QW260" s="9" t="n">
        <v>0</v>
      </c>
      <c r="QY260" s="9" t="n">
        <v>0</v>
      </c>
      <c r="QZ260" s="9" t="n">
        <v>207.6</v>
      </c>
      <c r="RD260" s="10" t="n">
        <v>46241</v>
      </c>
      <c r="RF260" s="9" t="n">
        <v>0</v>
      </c>
      <c r="RH260" s="9" t="n">
        <v>0</v>
      </c>
      <c r="RI260" s="9" t="n">
        <v>147.04</v>
      </c>
      <c r="RM260" s="10" t="n">
        <v>46241</v>
      </c>
      <c r="RO260" s="9" t="n">
        <v>0</v>
      </c>
      <c r="RQ260" s="9" t="n">
        <v>0</v>
      </c>
      <c r="RR260" s="9" t="n">
        <v>46.8</v>
      </c>
      <c r="RV260" s="10" t="n">
        <v>46241</v>
      </c>
      <c r="RX260" s="9" t="n">
        <v>0</v>
      </c>
      <c r="RZ260" s="9" t="n">
        <v>0</v>
      </c>
      <c r="SA260" s="9" t="n">
        <v>0</v>
      </c>
      <c r="SE260" s="10" t="n">
        <v>46241</v>
      </c>
      <c r="SG260" s="9" t="n">
        <v>0</v>
      </c>
      <c r="SI260" s="9" t="n">
        <v>0</v>
      </c>
      <c r="SJ260" s="9" t="n">
        <v>24.2</v>
      </c>
      <c r="SN260" s="10" t="n">
        <v>46241</v>
      </c>
      <c r="SP260" s="9" t="n">
        <v>0</v>
      </c>
      <c r="SR260" s="9" t="n">
        <v>0</v>
      </c>
      <c r="SS260" s="9" t="n">
        <v>32</v>
      </c>
      <c r="SW260" s="10" t="n">
        <v>46241</v>
      </c>
      <c r="SY260" s="9" t="n">
        <v>0</v>
      </c>
      <c r="TA260" s="9" t="n">
        <v>0</v>
      </c>
      <c r="TB260" s="9" t="n">
        <v>0</v>
      </c>
      <c r="TF260" s="10" t="n">
        <v>46241</v>
      </c>
      <c r="TH260" s="9" t="n">
        <v>0</v>
      </c>
      <c r="TJ260" s="9" t="n">
        <v>0</v>
      </c>
      <c r="TK260" s="9" t="n">
        <v>0</v>
      </c>
      <c r="TO260" s="10" t="n">
        <v>46241</v>
      </c>
      <c r="TQ260" s="9" t="n">
        <v>0</v>
      </c>
      <c r="TS260" s="9" t="n">
        <v>0</v>
      </c>
      <c r="TT260" s="9" t="n">
        <v>0</v>
      </c>
      <c r="TX260" s="10" t="n">
        <v>46241</v>
      </c>
      <c r="TZ260" s="9" t="n">
        <v>0</v>
      </c>
      <c r="UB260" s="9" t="n">
        <v>0</v>
      </c>
      <c r="UC260" s="9" t="n">
        <v>46.79999999999998</v>
      </c>
      <c r="UG260" s="10" t="n">
        <v>46241</v>
      </c>
      <c r="UI260" s="9" t="n">
        <v>0</v>
      </c>
      <c r="UK260" s="9" t="n">
        <v>0</v>
      </c>
      <c r="UL260" s="9" t="n">
        <v>204</v>
      </c>
      <c r="UP260" s="10" t="n">
        <v>46241</v>
      </c>
      <c r="UR260" s="9" t="n">
        <v>0</v>
      </c>
      <c r="UT260" s="9" t="n">
        <v>0</v>
      </c>
      <c r="UU260" s="9" t="n">
        <v>202.5</v>
      </c>
      <c r="UY260" s="10" t="n">
        <v>46241</v>
      </c>
      <c r="VA260" s="9" t="n">
        <v>0</v>
      </c>
      <c r="VC260" s="9" t="n">
        <v>0</v>
      </c>
      <c r="VD260" s="9" t="n">
        <v>41.60000000000002</v>
      </c>
      <c r="VH260" s="10" t="n">
        <v>46241</v>
      </c>
      <c r="VJ260" s="9" t="n">
        <v>0</v>
      </c>
      <c r="VL260" s="9" t="n">
        <v>0</v>
      </c>
      <c r="VM260" s="9" t="n">
        <v>210</v>
      </c>
      <c r="VQ260" s="10" t="n">
        <v>46241</v>
      </c>
      <c r="VS260" s="9" t="n">
        <v>0</v>
      </c>
      <c r="VU260" s="9" t="n">
        <v>0</v>
      </c>
      <c r="VV260" s="9" t="n">
        <v>0</v>
      </c>
      <c r="VZ260" s="10" t="n">
        <v>46241</v>
      </c>
      <c r="WB260" s="9" t="n">
        <v>0</v>
      </c>
      <c r="WD260" s="9" t="n">
        <v>0</v>
      </c>
      <c r="WE260" s="9" t="n">
        <v>0</v>
      </c>
      <c r="WI260" s="10" t="n">
        <v>46241</v>
      </c>
      <c r="WK260" s="9" t="n">
        <v>0</v>
      </c>
      <c r="WM260" s="9" t="n">
        <v>0</v>
      </c>
      <c r="WN260" s="9" t="n">
        <v>1057</v>
      </c>
      <c r="WR260" s="10" t="n">
        <v>46241</v>
      </c>
      <c r="WT260" s="9" t="n">
        <v>0</v>
      </c>
      <c r="WV260" s="9" t="n">
        <v>0</v>
      </c>
      <c r="WW260" s="9" t="n">
        <v>0</v>
      </c>
      <c r="XA260" s="10" t="n">
        <v>46241</v>
      </c>
      <c r="XC260" s="9" t="n">
        <v>0</v>
      </c>
      <c r="XE260" s="9" t="n">
        <v>0</v>
      </c>
      <c r="XF260" s="9" t="n">
        <v>7507</v>
      </c>
      <c r="XJ260" s="10" t="n">
        <v>46241</v>
      </c>
      <c r="XL260" s="9" t="n">
        <v>0</v>
      </c>
      <c r="XN260" s="9" t="n">
        <v>0</v>
      </c>
      <c r="XO260" s="9" t="n">
        <v>4252</v>
      </c>
      <c r="XS260" s="10" t="n">
        <v>46241</v>
      </c>
      <c r="XU260" s="9" t="n">
        <v>0</v>
      </c>
      <c r="XW260" s="9" t="n">
        <v>0</v>
      </c>
      <c r="XX260" s="9" t="n">
        <v>2179</v>
      </c>
      <c r="YB260" s="10" t="n">
        <v>46241</v>
      </c>
      <c r="YD260" s="9" t="n">
        <v>0</v>
      </c>
      <c r="YF260" s="9" t="n">
        <v>0</v>
      </c>
      <c r="YG260" s="9" t="n">
        <v>4019</v>
      </c>
      <c r="YK260" s="10" t="n">
        <v>46241</v>
      </c>
      <c r="YM260" s="9" t="n">
        <v>0</v>
      </c>
      <c r="YO260" s="9" t="n">
        <v>0</v>
      </c>
      <c r="YP260" s="9" t="n">
        <v>-218</v>
      </c>
      <c r="YT260" s="10" t="n">
        <v>46241</v>
      </c>
      <c r="YV260" s="9" t="n">
        <v>0</v>
      </c>
      <c r="YX260" s="9" t="n">
        <v>0</v>
      </c>
      <c r="YY260" s="9" t="n">
        <v>0</v>
      </c>
      <c r="ZC260" s="10" t="n">
        <v>46241</v>
      </c>
      <c r="ZE260" s="9" t="n">
        <v>0</v>
      </c>
      <c r="ZG260" s="9" t="n">
        <v>0</v>
      </c>
      <c r="ZH260" s="9" t="n">
        <v>0</v>
      </c>
      <c r="ZL260" s="10" t="n">
        <v>46241</v>
      </c>
      <c r="ZN260" s="9" t="n">
        <v>0</v>
      </c>
      <c r="ZP260" s="9" t="n">
        <v>0</v>
      </c>
      <c r="ZQ260" s="9" t="n">
        <v>0</v>
      </c>
      <c r="ZU260" s="10" t="n">
        <v>46241</v>
      </c>
      <c r="ZW260" s="9" t="n">
        <v>0</v>
      </c>
      <c r="ZY260" s="9" t="n">
        <v>0</v>
      </c>
      <c r="ZZ260" s="9" t="n">
        <v>0</v>
      </c>
      <c r="AAD260" s="10" t="n">
        <v>46241</v>
      </c>
      <c r="AAF260" s="9" t="n">
        <v>0</v>
      </c>
      <c r="AAH260" s="9" t="n">
        <v>0</v>
      </c>
      <c r="AAI260" s="9" t="n">
        <v>0</v>
      </c>
      <c r="AAM260" s="10" t="n">
        <v>46241</v>
      </c>
      <c r="AAO260" s="9" t="n">
        <v>0</v>
      </c>
      <c r="AAQ260" s="9" t="n">
        <v>0</v>
      </c>
      <c r="AAR260" s="9" t="n">
        <v>0</v>
      </c>
      <c r="AAV260" s="10" t="n">
        <v>46241</v>
      </c>
      <c r="AAX260" s="9" t="n">
        <v>0</v>
      </c>
      <c r="AAZ260" s="9" t="n">
        <v>0</v>
      </c>
      <c r="ABA260" s="9" t="n">
        <v>0</v>
      </c>
      <c r="ABE260" s="10" t="n">
        <v>46241</v>
      </c>
      <c r="ABG260" s="9" t="n">
        <v>0</v>
      </c>
      <c r="ABI260" s="9" t="n">
        <v>0</v>
      </c>
      <c r="ABJ260" s="9" t="n">
        <v>0</v>
      </c>
    </row>
    <row r="261">
      <c r="C261" s="10" t="n">
        <v>46242</v>
      </c>
      <c r="E261" s="9" t="n">
        <v>30314.82000000001</v>
      </c>
      <c r="G261" s="9" t="n">
        <v>30314.82000000001</v>
      </c>
      <c r="H261" s="9" t="n">
        <v>201934.6</v>
      </c>
      <c r="L261" s="10" t="n">
        <v>46242</v>
      </c>
      <c r="N261" s="9" t="n">
        <v>16350.6</v>
      </c>
      <c r="P261" s="9" t="n">
        <v>16350.6</v>
      </c>
      <c r="Q261" s="9" t="n">
        <v>53017.60000000007</v>
      </c>
      <c r="U261" s="10" t="n">
        <v>46242</v>
      </c>
      <c r="W261" s="9" t="n">
        <v>3100</v>
      </c>
      <c r="Y261" s="9" t="n">
        <v>3100</v>
      </c>
      <c r="Z261" s="9" t="n">
        <v>42674.19999999997</v>
      </c>
      <c r="AD261" s="10" t="n">
        <v>46242</v>
      </c>
      <c r="AF261" s="9" t="n">
        <v>0</v>
      </c>
      <c r="AH261" s="9" t="n">
        <v>0</v>
      </c>
      <c r="AI261" s="9" t="n">
        <v>4522.200000000019</v>
      </c>
      <c r="AM261" s="10" t="n">
        <v>46242</v>
      </c>
      <c r="AO261" s="9" t="n">
        <v>0</v>
      </c>
      <c r="AQ261" s="9" t="n">
        <v>0</v>
      </c>
      <c r="AR261" s="9" t="n">
        <v>0</v>
      </c>
      <c r="AV261" s="10" t="n">
        <v>46242</v>
      </c>
      <c r="AX261" s="9" t="n">
        <v>520</v>
      </c>
      <c r="AZ261" s="9" t="n">
        <v>520</v>
      </c>
      <c r="BA261" s="9" t="n">
        <v>124.9999999999952</v>
      </c>
      <c r="BE261" s="10" t="n">
        <v>46242</v>
      </c>
      <c r="BG261" s="9" t="n">
        <v>390</v>
      </c>
      <c r="BI261" s="9" t="n">
        <v>390</v>
      </c>
      <c r="BJ261" s="9" t="n">
        <v>26151.9</v>
      </c>
      <c r="BN261" s="10" t="n">
        <v>46242</v>
      </c>
      <c r="BP261" s="9" t="n">
        <v>410</v>
      </c>
      <c r="BR261" s="9" t="n">
        <v>410</v>
      </c>
      <c r="BS261" s="9" t="n">
        <v>0</v>
      </c>
      <c r="BW261" s="10" t="n">
        <v>46242</v>
      </c>
      <c r="BY261" s="9" t="n">
        <v>259.65</v>
      </c>
      <c r="CA261" s="9" t="n">
        <v>259.65</v>
      </c>
      <c r="CB261" s="9" t="n">
        <v>2169.129999999999</v>
      </c>
      <c r="CF261" s="10" t="n">
        <v>46242</v>
      </c>
      <c r="CH261" s="9" t="n">
        <v>158.08</v>
      </c>
      <c r="CJ261" s="9" t="n">
        <v>158.08</v>
      </c>
      <c r="CK261" s="9" t="n">
        <v>-10277.08</v>
      </c>
      <c r="CO261" s="10" t="n">
        <v>46242</v>
      </c>
      <c r="CQ261" s="9" t="n">
        <v>0</v>
      </c>
      <c r="CS261" s="9" t="n">
        <v>0</v>
      </c>
      <c r="CT261" s="9" t="n">
        <v>0</v>
      </c>
      <c r="CX261" s="10" t="n">
        <v>46242</v>
      </c>
      <c r="CZ261" s="9" t="n">
        <v>600</v>
      </c>
      <c r="DB261" s="9" t="n">
        <v>600</v>
      </c>
      <c r="DC261" s="9" t="n">
        <v>27438.20000000001</v>
      </c>
      <c r="DG261" s="10" t="n">
        <v>46242</v>
      </c>
      <c r="DI261" s="9" t="n">
        <v>1300</v>
      </c>
      <c r="DK261" s="9" t="n">
        <v>1300</v>
      </c>
      <c r="DL261" s="9" t="n">
        <v>18782.29999999998</v>
      </c>
      <c r="DP261" s="10" t="n">
        <v>46242</v>
      </c>
      <c r="DR261" s="9" t="n">
        <v>0</v>
      </c>
      <c r="DT261" s="9" t="n">
        <v>0</v>
      </c>
      <c r="DU261" s="9" t="n">
        <v>5800</v>
      </c>
      <c r="DY261" s="10" t="n">
        <v>46242</v>
      </c>
      <c r="EA261" s="9" t="n">
        <v>0</v>
      </c>
      <c r="EC261" s="9" t="n">
        <v>0</v>
      </c>
      <c r="ED261" s="9" t="n">
        <v>0</v>
      </c>
      <c r="EH261" s="10" t="n">
        <v>46242</v>
      </c>
      <c r="EJ261" s="9" t="n">
        <v>0</v>
      </c>
      <c r="EL261" s="9" t="n">
        <v>0</v>
      </c>
      <c r="EM261" s="9" t="n">
        <v>0</v>
      </c>
      <c r="EQ261" s="10" t="n">
        <v>46242</v>
      </c>
      <c r="ES261" s="9" t="n">
        <v>0</v>
      </c>
      <c r="EU261" s="9" t="n">
        <v>0</v>
      </c>
      <c r="EV261" s="9" t="n">
        <v>0</v>
      </c>
      <c r="EZ261" s="10" t="n">
        <v>46242</v>
      </c>
      <c r="FB261" s="9" t="n">
        <v>0</v>
      </c>
      <c r="FD261" s="9" t="n">
        <v>0</v>
      </c>
      <c r="FE261" s="9" t="n">
        <v>0</v>
      </c>
      <c r="FI261" s="10" t="n">
        <v>46242</v>
      </c>
      <c r="FK261" s="9" t="n">
        <v>0</v>
      </c>
      <c r="FM261" s="9" t="n">
        <v>0</v>
      </c>
      <c r="FN261" s="9" t="n">
        <v>0</v>
      </c>
      <c r="FR261" s="10" t="n">
        <v>46242</v>
      </c>
      <c r="FT261" s="9" t="n">
        <v>0</v>
      </c>
      <c r="FV261" s="9" t="n">
        <v>0</v>
      </c>
      <c r="FW261" s="9" t="n">
        <v>20</v>
      </c>
      <c r="GA261" s="10" t="n">
        <v>46242</v>
      </c>
      <c r="GC261" s="9" t="n">
        <v>0</v>
      </c>
      <c r="GE261" s="9" t="n">
        <v>0</v>
      </c>
      <c r="GF261" s="9" t="n">
        <v>960</v>
      </c>
      <c r="GJ261" s="10" t="n">
        <v>46242</v>
      </c>
      <c r="GL261" s="9" t="n">
        <v>0</v>
      </c>
      <c r="GN261" s="9" t="n">
        <v>0</v>
      </c>
      <c r="GO261" s="9" t="n">
        <v>1760</v>
      </c>
      <c r="GS261" s="10" t="n">
        <v>46242</v>
      </c>
      <c r="GU261" s="9" t="n">
        <v>0</v>
      </c>
      <c r="GW261" s="9" t="n">
        <v>0</v>
      </c>
      <c r="GX261" s="9" t="n">
        <v>400</v>
      </c>
      <c r="HB261" s="10" t="n">
        <v>46242</v>
      </c>
      <c r="HD261" s="9" t="n">
        <v>0</v>
      </c>
      <c r="HF261" s="9" t="n">
        <v>0</v>
      </c>
      <c r="HG261" s="9" t="n">
        <v>3600</v>
      </c>
      <c r="HK261" s="10" t="n">
        <v>46242</v>
      </c>
      <c r="HM261" s="9" t="n">
        <v>0</v>
      </c>
      <c r="HO261" s="9" t="n">
        <v>0</v>
      </c>
      <c r="HP261" s="9" t="n">
        <v>0</v>
      </c>
      <c r="HU261" s="10" t="n">
        <v>46242</v>
      </c>
      <c r="HW261" s="9" t="n">
        <v>520</v>
      </c>
      <c r="HY261" s="9" t="n">
        <v>520</v>
      </c>
      <c r="HZ261" s="9" t="n">
        <v>5120</v>
      </c>
      <c r="ID261" s="10" t="n">
        <v>46242</v>
      </c>
      <c r="IF261" s="9" t="n">
        <v>0</v>
      </c>
      <c r="IH261" s="9" t="n">
        <v>0</v>
      </c>
      <c r="II261" s="9" t="n">
        <v>720</v>
      </c>
      <c r="IM261" s="10" t="n">
        <v>46242</v>
      </c>
      <c r="IO261" s="9" t="n">
        <v>0</v>
      </c>
      <c r="IQ261" s="9" t="n">
        <v>0</v>
      </c>
      <c r="IR261" s="9" t="n">
        <v>0</v>
      </c>
      <c r="IV261" s="10" t="n">
        <v>46242</v>
      </c>
      <c r="IX261" s="9" t="n">
        <v>0</v>
      </c>
      <c r="IZ261" s="9" t="n">
        <v>0</v>
      </c>
      <c r="JA261" s="9" t="n">
        <v>4960</v>
      </c>
      <c r="JE261" s="10" t="n">
        <v>46242</v>
      </c>
      <c r="JG261" s="9" t="n">
        <v>0</v>
      </c>
      <c r="JI261" s="9" t="n">
        <v>0</v>
      </c>
      <c r="JJ261" s="9" t="n">
        <v>0</v>
      </c>
      <c r="JN261" s="10" t="n">
        <v>46242</v>
      </c>
      <c r="JP261" s="9" t="n">
        <v>0</v>
      </c>
      <c r="JR261" s="9" t="n">
        <v>0</v>
      </c>
      <c r="JS261" s="9" t="n">
        <v>0</v>
      </c>
      <c r="JW261" s="10" t="n">
        <v>46242</v>
      </c>
      <c r="JY261" s="9" t="n">
        <v>0</v>
      </c>
      <c r="KA261" s="9" t="n">
        <v>0</v>
      </c>
      <c r="KB261" s="9" t="n">
        <v>2540</v>
      </c>
      <c r="KF261" s="10" t="n">
        <v>46242</v>
      </c>
      <c r="KH261" s="9" t="n">
        <v>0</v>
      </c>
      <c r="KJ261" s="9" t="n">
        <v>0</v>
      </c>
      <c r="KK261" s="9" t="n">
        <v>2359.5</v>
      </c>
      <c r="KO261" s="10" t="n">
        <v>46242</v>
      </c>
      <c r="KQ261" s="9" t="n">
        <v>0</v>
      </c>
      <c r="KS261" s="9" t="n">
        <v>0</v>
      </c>
      <c r="KT261" s="9" t="n">
        <v>1890</v>
      </c>
      <c r="KX261" s="10" t="n">
        <v>46242</v>
      </c>
      <c r="KZ261" s="9" t="n">
        <v>0</v>
      </c>
      <c r="LB261" s="9" t="n">
        <v>0</v>
      </c>
      <c r="LC261" s="9" t="n">
        <v>3690</v>
      </c>
      <c r="LG261" s="10" t="n">
        <v>46242</v>
      </c>
      <c r="LI261" s="9" t="n">
        <v>0</v>
      </c>
      <c r="LK261" s="9" t="n">
        <v>0</v>
      </c>
      <c r="LL261" s="9" t="n">
        <v>4000</v>
      </c>
      <c r="LP261" s="10" t="n">
        <v>46242</v>
      </c>
      <c r="LR261" s="9" t="n">
        <v>0</v>
      </c>
      <c r="LT261" s="9" t="n">
        <v>0</v>
      </c>
      <c r="LU261" s="9" t="n">
        <v>0</v>
      </c>
      <c r="LY261" s="10" t="n">
        <v>46242</v>
      </c>
      <c r="MA261" s="9" t="n">
        <v>0</v>
      </c>
      <c r="MC261" s="9" t="n">
        <v>0</v>
      </c>
      <c r="MD261" s="9" t="n">
        <v>0</v>
      </c>
      <c r="MH261" s="10" t="n">
        <v>46242</v>
      </c>
      <c r="MJ261" s="9" t="n">
        <v>0</v>
      </c>
      <c r="ML261" s="9" t="n">
        <v>0</v>
      </c>
      <c r="MM261" s="9" t="n">
        <v>0</v>
      </c>
      <c r="MQ261" s="10" t="n">
        <v>46242</v>
      </c>
      <c r="MS261" s="9" t="n">
        <v>13</v>
      </c>
      <c r="MU261" s="9" t="n">
        <v>13</v>
      </c>
      <c r="MV261" s="9" t="n">
        <v>1933</v>
      </c>
      <c r="MZ261" s="10" t="n">
        <v>46242</v>
      </c>
      <c r="NB261" s="9" t="n">
        <v>78</v>
      </c>
      <c r="ND261" s="9" t="n">
        <v>78</v>
      </c>
      <c r="NE261" s="9" t="n">
        <v>0</v>
      </c>
      <c r="NI261" s="10" t="n">
        <v>46242</v>
      </c>
      <c r="NK261" s="9" t="n">
        <v>0</v>
      </c>
      <c r="NM261" s="9" t="n">
        <v>0</v>
      </c>
      <c r="NN261" s="9" t="n">
        <v>1127</v>
      </c>
      <c r="NR261" s="10" t="n">
        <v>46242</v>
      </c>
      <c r="NT261" s="9" t="n">
        <v>0</v>
      </c>
      <c r="NV261" s="9" t="n">
        <v>0</v>
      </c>
      <c r="NW261" s="9" t="n">
        <v>3112</v>
      </c>
      <c r="OA261" s="10" t="n">
        <v>46242</v>
      </c>
      <c r="OC261" s="9" t="n">
        <v>0</v>
      </c>
      <c r="OE261" s="9" t="n">
        <v>0</v>
      </c>
      <c r="OF261" s="9" t="n">
        <v>1680.5</v>
      </c>
      <c r="OJ261" s="10" t="n">
        <v>46242</v>
      </c>
      <c r="OL261" s="9" t="n">
        <v>0</v>
      </c>
      <c r="ON261" s="9" t="n">
        <v>0</v>
      </c>
      <c r="OO261" s="9" t="n">
        <v>0</v>
      </c>
      <c r="OS261" s="10" t="n">
        <v>46242</v>
      </c>
      <c r="OU261" s="9" t="n">
        <v>0</v>
      </c>
      <c r="OW261" s="9" t="n">
        <v>0</v>
      </c>
      <c r="OX261" s="9" t="n">
        <v>1482</v>
      </c>
      <c r="PB261" s="10" t="n">
        <v>46242</v>
      </c>
      <c r="PD261" s="9" t="n">
        <v>0</v>
      </c>
      <c r="PF261" s="9" t="n">
        <v>0</v>
      </c>
      <c r="PG261" s="9" t="n">
        <v>0</v>
      </c>
      <c r="PK261" s="10" t="n">
        <v>46242</v>
      </c>
      <c r="PM261" s="9" t="n">
        <v>0</v>
      </c>
      <c r="PO261" s="9" t="n">
        <v>0</v>
      </c>
      <c r="PP261" s="9" t="n">
        <v>100</v>
      </c>
      <c r="PT261" s="10" t="n">
        <v>46242</v>
      </c>
      <c r="PV261" s="9" t="n">
        <v>0</v>
      </c>
      <c r="PX261" s="9" t="n">
        <v>0</v>
      </c>
      <c r="PY261" s="9" t="n">
        <v>13.96000000000004</v>
      </c>
      <c r="QC261" s="10" t="n">
        <v>46242</v>
      </c>
      <c r="QE261" s="9" t="n">
        <v>0</v>
      </c>
      <c r="QG261" s="9" t="n">
        <v>0</v>
      </c>
      <c r="QH261" s="9" t="n">
        <v>948</v>
      </c>
      <c r="QL261" s="10" t="n">
        <v>46242</v>
      </c>
      <c r="QN261" s="9" t="n">
        <v>0</v>
      </c>
      <c r="QP261" s="9" t="n">
        <v>0</v>
      </c>
      <c r="QQ261" s="9" t="n">
        <v>0</v>
      </c>
      <c r="QU261" s="10" t="n">
        <v>46242</v>
      </c>
      <c r="QW261" s="9" t="n">
        <v>0</v>
      </c>
      <c r="QY261" s="9" t="n">
        <v>0</v>
      </c>
      <c r="QZ261" s="9" t="n">
        <v>207.6</v>
      </c>
      <c r="RD261" s="10" t="n">
        <v>46242</v>
      </c>
      <c r="RF261" s="9" t="n">
        <v>0</v>
      </c>
      <c r="RH261" s="9" t="n">
        <v>0</v>
      </c>
      <c r="RI261" s="9" t="n">
        <v>147.04</v>
      </c>
      <c r="RM261" s="10" t="n">
        <v>46242</v>
      </c>
      <c r="RO261" s="9" t="n">
        <v>0</v>
      </c>
      <c r="RQ261" s="9" t="n">
        <v>0</v>
      </c>
      <c r="RR261" s="9" t="n">
        <v>46.8</v>
      </c>
      <c r="RV261" s="10" t="n">
        <v>46242</v>
      </c>
      <c r="RX261" s="9" t="n">
        <v>0</v>
      </c>
      <c r="RZ261" s="9" t="n">
        <v>0</v>
      </c>
      <c r="SA261" s="9" t="n">
        <v>0</v>
      </c>
      <c r="SE261" s="10" t="n">
        <v>46242</v>
      </c>
      <c r="SG261" s="9" t="n">
        <v>0</v>
      </c>
      <c r="SI261" s="9" t="n">
        <v>0</v>
      </c>
      <c r="SJ261" s="9" t="n">
        <v>24.2</v>
      </c>
      <c r="SN261" s="10" t="n">
        <v>46242</v>
      </c>
      <c r="SP261" s="9" t="n">
        <v>0</v>
      </c>
      <c r="SR261" s="9" t="n">
        <v>0</v>
      </c>
      <c r="SS261" s="9" t="n">
        <v>32</v>
      </c>
      <c r="SW261" s="10" t="n">
        <v>46242</v>
      </c>
      <c r="SY261" s="9" t="n">
        <v>0</v>
      </c>
      <c r="TA261" s="9" t="n">
        <v>0</v>
      </c>
      <c r="TB261" s="9" t="n">
        <v>0</v>
      </c>
      <c r="TF261" s="10" t="n">
        <v>46242</v>
      </c>
      <c r="TH261" s="9" t="n">
        <v>0</v>
      </c>
      <c r="TJ261" s="9" t="n">
        <v>0</v>
      </c>
      <c r="TK261" s="9" t="n">
        <v>0</v>
      </c>
      <c r="TO261" s="10" t="n">
        <v>46242</v>
      </c>
      <c r="TQ261" s="9" t="n">
        <v>0</v>
      </c>
      <c r="TS261" s="9" t="n">
        <v>0</v>
      </c>
      <c r="TT261" s="9" t="n">
        <v>0</v>
      </c>
      <c r="TX261" s="10" t="n">
        <v>46242</v>
      </c>
      <c r="TZ261" s="9" t="n">
        <v>0</v>
      </c>
      <c r="UB261" s="9" t="n">
        <v>0</v>
      </c>
      <c r="UC261" s="9" t="n">
        <v>46.79999999999998</v>
      </c>
      <c r="UG261" s="10" t="n">
        <v>46242</v>
      </c>
      <c r="UI261" s="9" t="n">
        <v>0</v>
      </c>
      <c r="UK261" s="9" t="n">
        <v>0</v>
      </c>
      <c r="UL261" s="9" t="n">
        <v>204</v>
      </c>
      <c r="UP261" s="10" t="n">
        <v>46242</v>
      </c>
      <c r="UR261" s="9" t="n">
        <v>0</v>
      </c>
      <c r="UT261" s="9" t="n">
        <v>0</v>
      </c>
      <c r="UU261" s="9" t="n">
        <v>202.5</v>
      </c>
      <c r="UY261" s="10" t="n">
        <v>46242</v>
      </c>
      <c r="VA261" s="9" t="n">
        <v>0</v>
      </c>
      <c r="VC261" s="9" t="n">
        <v>0</v>
      </c>
      <c r="VD261" s="9" t="n">
        <v>41.60000000000002</v>
      </c>
      <c r="VH261" s="10" t="n">
        <v>46242</v>
      </c>
      <c r="VJ261" s="9" t="n">
        <v>0</v>
      </c>
      <c r="VL261" s="9" t="n">
        <v>0</v>
      </c>
      <c r="VM261" s="9" t="n">
        <v>210</v>
      </c>
      <c r="VQ261" s="10" t="n">
        <v>46242</v>
      </c>
      <c r="VS261" s="9" t="n">
        <v>0</v>
      </c>
      <c r="VU261" s="9" t="n">
        <v>0</v>
      </c>
      <c r="VV261" s="9" t="n">
        <v>0</v>
      </c>
      <c r="VZ261" s="10" t="n">
        <v>46242</v>
      </c>
      <c r="WB261" s="9" t="n">
        <v>0</v>
      </c>
      <c r="WD261" s="9" t="n">
        <v>0</v>
      </c>
      <c r="WE261" s="9" t="n">
        <v>0</v>
      </c>
      <c r="WI261" s="10" t="n">
        <v>46242</v>
      </c>
      <c r="WK261" s="9" t="n">
        <v>0</v>
      </c>
      <c r="WM261" s="9" t="n">
        <v>0</v>
      </c>
      <c r="WN261" s="9" t="n">
        <v>1057</v>
      </c>
      <c r="WR261" s="10" t="n">
        <v>46242</v>
      </c>
      <c r="WT261" s="9" t="n">
        <v>0</v>
      </c>
      <c r="WV261" s="9" t="n">
        <v>0</v>
      </c>
      <c r="WW261" s="9" t="n">
        <v>0</v>
      </c>
      <c r="XA261" s="10" t="n">
        <v>46242</v>
      </c>
      <c r="XC261" s="9" t="n">
        <v>0</v>
      </c>
      <c r="XE261" s="9" t="n">
        <v>0</v>
      </c>
      <c r="XF261" s="9" t="n">
        <v>7507</v>
      </c>
      <c r="XJ261" s="10" t="n">
        <v>46242</v>
      </c>
      <c r="XL261" s="9" t="n">
        <v>0</v>
      </c>
      <c r="XN261" s="9" t="n">
        <v>0</v>
      </c>
      <c r="XO261" s="9" t="n">
        <v>4252</v>
      </c>
      <c r="XS261" s="10" t="n">
        <v>46242</v>
      </c>
      <c r="XU261" s="9" t="n">
        <v>0</v>
      </c>
      <c r="XW261" s="9" t="n">
        <v>0</v>
      </c>
      <c r="XX261" s="9" t="n">
        <v>2179</v>
      </c>
      <c r="YB261" s="10" t="n">
        <v>46242</v>
      </c>
      <c r="YD261" s="9" t="n">
        <v>0</v>
      </c>
      <c r="YF261" s="9" t="n">
        <v>0</v>
      </c>
      <c r="YG261" s="9" t="n">
        <v>4019</v>
      </c>
      <c r="YK261" s="10" t="n">
        <v>46242</v>
      </c>
      <c r="YM261" s="9" t="n">
        <v>0</v>
      </c>
      <c r="YO261" s="9" t="n">
        <v>0</v>
      </c>
      <c r="YP261" s="9" t="n">
        <v>-218</v>
      </c>
      <c r="YT261" s="10" t="n">
        <v>46242</v>
      </c>
      <c r="YV261" s="9" t="n">
        <v>0</v>
      </c>
      <c r="YX261" s="9" t="n">
        <v>0</v>
      </c>
      <c r="YY261" s="9" t="n">
        <v>0</v>
      </c>
      <c r="ZC261" s="10" t="n">
        <v>46242</v>
      </c>
      <c r="ZE261" s="9" t="n">
        <v>0</v>
      </c>
      <c r="ZG261" s="9" t="n">
        <v>0</v>
      </c>
      <c r="ZH261" s="9" t="n">
        <v>0</v>
      </c>
      <c r="ZL261" s="10" t="n">
        <v>46242</v>
      </c>
      <c r="ZN261" s="9" t="n">
        <v>0</v>
      </c>
      <c r="ZP261" s="9" t="n">
        <v>0</v>
      </c>
      <c r="ZQ261" s="9" t="n">
        <v>0</v>
      </c>
      <c r="ZU261" s="10" t="n">
        <v>46242</v>
      </c>
      <c r="ZW261" s="9" t="n">
        <v>0</v>
      </c>
      <c r="ZY261" s="9" t="n">
        <v>0</v>
      </c>
      <c r="ZZ261" s="9" t="n">
        <v>0</v>
      </c>
      <c r="AAD261" s="10" t="n">
        <v>46242</v>
      </c>
      <c r="AAF261" s="9" t="n">
        <v>0</v>
      </c>
      <c r="AAH261" s="9" t="n">
        <v>0</v>
      </c>
      <c r="AAI261" s="9" t="n">
        <v>0</v>
      </c>
      <c r="AAM261" s="10" t="n">
        <v>46242</v>
      </c>
      <c r="AAO261" s="9" t="n">
        <v>0</v>
      </c>
      <c r="AAQ261" s="9" t="n">
        <v>0</v>
      </c>
      <c r="AAR261" s="9" t="n">
        <v>0</v>
      </c>
      <c r="AAV261" s="10" t="n">
        <v>46242</v>
      </c>
      <c r="AAX261" s="9" t="n">
        <v>0</v>
      </c>
      <c r="AAZ261" s="9" t="n">
        <v>0</v>
      </c>
      <c r="ABA261" s="9" t="n">
        <v>0</v>
      </c>
      <c r="ABE261" s="10" t="n">
        <v>46242</v>
      </c>
      <c r="ABG261" s="9" t="n">
        <v>0</v>
      </c>
      <c r="ABI261" s="9" t="n">
        <v>0</v>
      </c>
      <c r="ABJ261" s="9" t="n">
        <v>0</v>
      </c>
    </row>
    <row r="262">
      <c r="C262" s="10" t="n">
        <v>46243</v>
      </c>
      <c r="E262" s="9" t="n">
        <v>0</v>
      </c>
      <c r="G262" s="9" t="n">
        <v>0</v>
      </c>
      <c r="H262" s="9" t="n">
        <v>201934.6</v>
      </c>
      <c r="L262" s="10" t="n">
        <v>46243</v>
      </c>
      <c r="N262" s="9" t="n">
        <v>0</v>
      </c>
      <c r="P262" s="9" t="n">
        <v>0</v>
      </c>
      <c r="Q262" s="9" t="n">
        <v>53017.60000000007</v>
      </c>
      <c r="U262" s="10" t="n">
        <v>46243</v>
      </c>
      <c r="W262" s="9" t="n">
        <v>0</v>
      </c>
      <c r="Y262" s="9" t="n">
        <v>0</v>
      </c>
      <c r="Z262" s="9" t="n">
        <v>42674.19999999997</v>
      </c>
      <c r="AD262" s="10" t="n">
        <v>46243</v>
      </c>
      <c r="AF262" s="9" t="n">
        <v>0</v>
      </c>
      <c r="AH262" s="9" t="n">
        <v>0</v>
      </c>
      <c r="AI262" s="9" t="n">
        <v>4522.200000000019</v>
      </c>
      <c r="AM262" s="10" t="n">
        <v>46243</v>
      </c>
      <c r="AO262" s="9" t="n">
        <v>0</v>
      </c>
      <c r="AQ262" s="9" t="n">
        <v>0</v>
      </c>
      <c r="AR262" s="9" t="n">
        <v>0</v>
      </c>
      <c r="AV262" s="10" t="n">
        <v>46243</v>
      </c>
      <c r="AX262" s="9" t="n">
        <v>0</v>
      </c>
      <c r="AZ262" s="9" t="n">
        <v>0</v>
      </c>
      <c r="BA262" s="9" t="n">
        <v>124.9999999999952</v>
      </c>
      <c r="BE262" s="10" t="n">
        <v>46243</v>
      </c>
      <c r="BG262" s="9" t="n">
        <v>0</v>
      </c>
      <c r="BI262" s="9" t="n">
        <v>0</v>
      </c>
      <c r="BJ262" s="9" t="n">
        <v>26151.9</v>
      </c>
      <c r="BN262" s="10" t="n">
        <v>46243</v>
      </c>
      <c r="BP262" s="9" t="n">
        <v>0</v>
      </c>
      <c r="BR262" s="9" t="n">
        <v>0</v>
      </c>
      <c r="BS262" s="9" t="n">
        <v>0</v>
      </c>
      <c r="BW262" s="10" t="n">
        <v>46243</v>
      </c>
      <c r="BY262" s="9" t="n">
        <v>0</v>
      </c>
      <c r="CA262" s="9" t="n">
        <v>0</v>
      </c>
      <c r="CB262" s="9" t="n">
        <v>2169.129999999999</v>
      </c>
      <c r="CF262" s="10" t="n">
        <v>46243</v>
      </c>
      <c r="CH262" s="9" t="n">
        <v>0</v>
      </c>
      <c r="CJ262" s="9" t="n">
        <v>0</v>
      </c>
      <c r="CK262" s="9" t="n">
        <v>-10277.08</v>
      </c>
      <c r="CO262" s="10" t="n">
        <v>46243</v>
      </c>
      <c r="CQ262" s="9" t="n">
        <v>0</v>
      </c>
      <c r="CS262" s="9" t="n">
        <v>0</v>
      </c>
      <c r="CT262" s="9" t="n">
        <v>0</v>
      </c>
      <c r="CX262" s="10" t="n">
        <v>46243</v>
      </c>
      <c r="CZ262" s="9" t="n">
        <v>0</v>
      </c>
      <c r="DB262" s="9" t="n">
        <v>0</v>
      </c>
      <c r="DC262" s="9" t="n">
        <v>27438.20000000001</v>
      </c>
      <c r="DG262" s="10" t="n">
        <v>46243</v>
      </c>
      <c r="DI262" s="9" t="n">
        <v>0</v>
      </c>
      <c r="DK262" s="9" t="n">
        <v>0</v>
      </c>
      <c r="DL262" s="9" t="n">
        <v>18782.29999999998</v>
      </c>
      <c r="DP262" s="10" t="n">
        <v>46243</v>
      </c>
      <c r="DR262" s="9" t="n">
        <v>0</v>
      </c>
      <c r="DT262" s="9" t="n">
        <v>0</v>
      </c>
      <c r="DU262" s="9" t="n">
        <v>5800</v>
      </c>
      <c r="DY262" s="10" t="n">
        <v>46243</v>
      </c>
      <c r="EA262" s="9" t="n">
        <v>0</v>
      </c>
      <c r="EC262" s="9" t="n">
        <v>0</v>
      </c>
      <c r="ED262" s="9" t="n">
        <v>0</v>
      </c>
      <c r="EH262" s="10" t="n">
        <v>46243</v>
      </c>
      <c r="EJ262" s="9" t="n">
        <v>0</v>
      </c>
      <c r="EL262" s="9" t="n">
        <v>0</v>
      </c>
      <c r="EM262" s="9" t="n">
        <v>0</v>
      </c>
      <c r="EQ262" s="10" t="n">
        <v>46243</v>
      </c>
      <c r="ES262" s="9" t="n">
        <v>0</v>
      </c>
      <c r="EU262" s="9" t="n">
        <v>0</v>
      </c>
      <c r="EV262" s="9" t="n">
        <v>0</v>
      </c>
      <c r="EZ262" s="10" t="n">
        <v>46243</v>
      </c>
      <c r="FB262" s="9" t="n">
        <v>0</v>
      </c>
      <c r="FD262" s="9" t="n">
        <v>0</v>
      </c>
      <c r="FE262" s="9" t="n">
        <v>0</v>
      </c>
      <c r="FI262" s="10" t="n">
        <v>46243</v>
      </c>
      <c r="FK262" s="9" t="n">
        <v>0</v>
      </c>
      <c r="FM262" s="9" t="n">
        <v>0</v>
      </c>
      <c r="FN262" s="9" t="n">
        <v>0</v>
      </c>
      <c r="FR262" s="10" t="n">
        <v>46243</v>
      </c>
      <c r="FT262" s="9" t="n">
        <v>0</v>
      </c>
      <c r="FV262" s="9" t="n">
        <v>0</v>
      </c>
      <c r="FW262" s="9" t="n">
        <v>20</v>
      </c>
      <c r="GA262" s="10" t="n">
        <v>46243</v>
      </c>
      <c r="GC262" s="9" t="n">
        <v>0</v>
      </c>
      <c r="GE262" s="9" t="n">
        <v>0</v>
      </c>
      <c r="GF262" s="9" t="n">
        <v>960</v>
      </c>
      <c r="GJ262" s="10" t="n">
        <v>46243</v>
      </c>
      <c r="GL262" s="9" t="n">
        <v>0</v>
      </c>
      <c r="GN262" s="9" t="n">
        <v>0</v>
      </c>
      <c r="GO262" s="9" t="n">
        <v>1760</v>
      </c>
      <c r="GS262" s="10" t="n">
        <v>46243</v>
      </c>
      <c r="GU262" s="9" t="n">
        <v>0</v>
      </c>
      <c r="GW262" s="9" t="n">
        <v>0</v>
      </c>
      <c r="GX262" s="9" t="n">
        <v>400</v>
      </c>
      <c r="HB262" s="10" t="n">
        <v>46243</v>
      </c>
      <c r="HD262" s="9" t="n">
        <v>0</v>
      </c>
      <c r="HF262" s="9" t="n">
        <v>0</v>
      </c>
      <c r="HG262" s="9" t="n">
        <v>3600</v>
      </c>
      <c r="HK262" s="10" t="n">
        <v>46243</v>
      </c>
      <c r="HM262" s="9" t="n">
        <v>0</v>
      </c>
      <c r="HO262" s="9" t="n">
        <v>0</v>
      </c>
      <c r="HP262" s="9" t="n">
        <v>0</v>
      </c>
      <c r="HU262" s="10" t="n">
        <v>46243</v>
      </c>
      <c r="HW262" s="9" t="n">
        <v>0</v>
      </c>
      <c r="HY262" s="9" t="n">
        <v>0</v>
      </c>
      <c r="HZ262" s="9" t="n">
        <v>5120</v>
      </c>
      <c r="ID262" s="10" t="n">
        <v>46243</v>
      </c>
      <c r="IF262" s="9" t="n">
        <v>0</v>
      </c>
      <c r="IH262" s="9" t="n">
        <v>0</v>
      </c>
      <c r="II262" s="9" t="n">
        <v>720</v>
      </c>
      <c r="IM262" s="10" t="n">
        <v>46243</v>
      </c>
      <c r="IO262" s="9" t="n">
        <v>0</v>
      </c>
      <c r="IQ262" s="9" t="n">
        <v>0</v>
      </c>
      <c r="IR262" s="9" t="n">
        <v>0</v>
      </c>
      <c r="IV262" s="10" t="n">
        <v>46243</v>
      </c>
      <c r="IX262" s="9" t="n">
        <v>0</v>
      </c>
      <c r="IZ262" s="9" t="n">
        <v>0</v>
      </c>
      <c r="JA262" s="9" t="n">
        <v>4960</v>
      </c>
      <c r="JE262" s="10" t="n">
        <v>46243</v>
      </c>
      <c r="JG262" s="9" t="n">
        <v>0</v>
      </c>
      <c r="JI262" s="9" t="n">
        <v>0</v>
      </c>
      <c r="JJ262" s="9" t="n">
        <v>0</v>
      </c>
      <c r="JN262" s="10" t="n">
        <v>46243</v>
      </c>
      <c r="JP262" s="9" t="n">
        <v>0</v>
      </c>
      <c r="JR262" s="9" t="n">
        <v>0</v>
      </c>
      <c r="JS262" s="9" t="n">
        <v>0</v>
      </c>
      <c r="JW262" s="10" t="n">
        <v>46243</v>
      </c>
      <c r="JY262" s="9" t="n">
        <v>0</v>
      </c>
      <c r="KA262" s="9" t="n">
        <v>0</v>
      </c>
      <c r="KB262" s="9" t="n">
        <v>2540</v>
      </c>
      <c r="KF262" s="10" t="n">
        <v>46243</v>
      </c>
      <c r="KH262" s="9" t="n">
        <v>0</v>
      </c>
      <c r="KJ262" s="9" t="n">
        <v>0</v>
      </c>
      <c r="KK262" s="9" t="n">
        <v>2359.5</v>
      </c>
      <c r="KO262" s="10" t="n">
        <v>46243</v>
      </c>
      <c r="KQ262" s="9" t="n">
        <v>0</v>
      </c>
      <c r="KS262" s="9" t="n">
        <v>0</v>
      </c>
      <c r="KT262" s="9" t="n">
        <v>1890</v>
      </c>
      <c r="KX262" s="10" t="n">
        <v>46243</v>
      </c>
      <c r="KZ262" s="9" t="n">
        <v>0</v>
      </c>
      <c r="LB262" s="9" t="n">
        <v>0</v>
      </c>
      <c r="LC262" s="9" t="n">
        <v>3690</v>
      </c>
      <c r="LG262" s="10" t="n">
        <v>46243</v>
      </c>
      <c r="LI262" s="9" t="n">
        <v>0</v>
      </c>
      <c r="LK262" s="9" t="n">
        <v>0</v>
      </c>
      <c r="LL262" s="9" t="n">
        <v>4000</v>
      </c>
      <c r="LP262" s="10" t="n">
        <v>46243</v>
      </c>
      <c r="LR262" s="9" t="n">
        <v>0</v>
      </c>
      <c r="LT262" s="9" t="n">
        <v>0</v>
      </c>
      <c r="LU262" s="9" t="n">
        <v>0</v>
      </c>
      <c r="LY262" s="10" t="n">
        <v>46243</v>
      </c>
      <c r="MA262" s="9" t="n">
        <v>0</v>
      </c>
      <c r="MC262" s="9" t="n">
        <v>0</v>
      </c>
      <c r="MD262" s="9" t="n">
        <v>0</v>
      </c>
      <c r="MH262" s="10" t="n">
        <v>46243</v>
      </c>
      <c r="MJ262" s="9" t="n">
        <v>0</v>
      </c>
      <c r="ML262" s="9" t="n">
        <v>0</v>
      </c>
      <c r="MM262" s="9" t="n">
        <v>0</v>
      </c>
      <c r="MQ262" s="10" t="n">
        <v>46243</v>
      </c>
      <c r="MS262" s="9" t="n">
        <v>0</v>
      </c>
      <c r="MU262" s="9" t="n">
        <v>0</v>
      </c>
      <c r="MV262" s="9" t="n">
        <v>1933</v>
      </c>
      <c r="MZ262" s="10" t="n">
        <v>46243</v>
      </c>
      <c r="NB262" s="9" t="n">
        <v>0</v>
      </c>
      <c r="ND262" s="9" t="n">
        <v>0</v>
      </c>
      <c r="NE262" s="9" t="n">
        <v>0</v>
      </c>
      <c r="NI262" s="10" t="n">
        <v>46243</v>
      </c>
      <c r="NK262" s="9" t="n">
        <v>0</v>
      </c>
      <c r="NM262" s="9" t="n">
        <v>0</v>
      </c>
      <c r="NN262" s="9" t="n">
        <v>1127</v>
      </c>
      <c r="NR262" s="10" t="n">
        <v>46243</v>
      </c>
      <c r="NT262" s="9" t="n">
        <v>0</v>
      </c>
      <c r="NV262" s="9" t="n">
        <v>0</v>
      </c>
      <c r="NW262" s="9" t="n">
        <v>3112</v>
      </c>
      <c r="OA262" s="10" t="n">
        <v>46243</v>
      </c>
      <c r="OC262" s="9" t="n">
        <v>0</v>
      </c>
      <c r="OE262" s="9" t="n">
        <v>0</v>
      </c>
      <c r="OF262" s="9" t="n">
        <v>1680.5</v>
      </c>
      <c r="OJ262" s="10" t="n">
        <v>46243</v>
      </c>
      <c r="OL262" s="9" t="n">
        <v>0</v>
      </c>
      <c r="ON262" s="9" t="n">
        <v>0</v>
      </c>
      <c r="OO262" s="9" t="n">
        <v>0</v>
      </c>
      <c r="OS262" s="10" t="n">
        <v>46243</v>
      </c>
      <c r="OU262" s="9" t="n">
        <v>0</v>
      </c>
      <c r="OW262" s="9" t="n">
        <v>0</v>
      </c>
      <c r="OX262" s="9" t="n">
        <v>1482</v>
      </c>
      <c r="PB262" s="10" t="n">
        <v>46243</v>
      </c>
      <c r="PD262" s="9" t="n">
        <v>0</v>
      </c>
      <c r="PF262" s="9" t="n">
        <v>0</v>
      </c>
      <c r="PG262" s="9" t="n">
        <v>0</v>
      </c>
      <c r="PK262" s="10" t="n">
        <v>46243</v>
      </c>
      <c r="PM262" s="9" t="n">
        <v>0</v>
      </c>
      <c r="PO262" s="9" t="n">
        <v>0</v>
      </c>
      <c r="PP262" s="9" t="n">
        <v>100</v>
      </c>
      <c r="PT262" s="10" t="n">
        <v>46243</v>
      </c>
      <c r="PV262" s="9" t="n">
        <v>0</v>
      </c>
      <c r="PX262" s="9" t="n">
        <v>0</v>
      </c>
      <c r="PY262" s="9" t="n">
        <v>13.96000000000004</v>
      </c>
      <c r="QC262" s="10" t="n">
        <v>46243</v>
      </c>
      <c r="QE262" s="9" t="n">
        <v>0</v>
      </c>
      <c r="QG262" s="9" t="n">
        <v>0</v>
      </c>
      <c r="QH262" s="9" t="n">
        <v>948</v>
      </c>
      <c r="QL262" s="10" t="n">
        <v>46243</v>
      </c>
      <c r="QN262" s="9" t="n">
        <v>0</v>
      </c>
      <c r="QP262" s="9" t="n">
        <v>0</v>
      </c>
      <c r="QQ262" s="9" t="n">
        <v>0</v>
      </c>
      <c r="QU262" s="10" t="n">
        <v>46243</v>
      </c>
      <c r="QW262" s="9" t="n">
        <v>0</v>
      </c>
      <c r="QY262" s="9" t="n">
        <v>0</v>
      </c>
      <c r="QZ262" s="9" t="n">
        <v>207.6</v>
      </c>
      <c r="RD262" s="10" t="n">
        <v>46243</v>
      </c>
      <c r="RF262" s="9" t="n">
        <v>0</v>
      </c>
      <c r="RH262" s="9" t="n">
        <v>0</v>
      </c>
      <c r="RI262" s="9" t="n">
        <v>147.04</v>
      </c>
      <c r="RM262" s="10" t="n">
        <v>46243</v>
      </c>
      <c r="RO262" s="9" t="n">
        <v>0</v>
      </c>
      <c r="RQ262" s="9" t="n">
        <v>0</v>
      </c>
      <c r="RR262" s="9" t="n">
        <v>46.8</v>
      </c>
      <c r="RV262" s="10" t="n">
        <v>46243</v>
      </c>
      <c r="RX262" s="9" t="n">
        <v>0</v>
      </c>
      <c r="RZ262" s="9" t="n">
        <v>0</v>
      </c>
      <c r="SA262" s="9" t="n">
        <v>0</v>
      </c>
      <c r="SE262" s="10" t="n">
        <v>46243</v>
      </c>
      <c r="SG262" s="9" t="n">
        <v>0</v>
      </c>
      <c r="SI262" s="9" t="n">
        <v>0</v>
      </c>
      <c r="SJ262" s="9" t="n">
        <v>24.2</v>
      </c>
      <c r="SN262" s="10" t="n">
        <v>46243</v>
      </c>
      <c r="SP262" s="9" t="n">
        <v>0</v>
      </c>
      <c r="SR262" s="9" t="n">
        <v>0</v>
      </c>
      <c r="SS262" s="9" t="n">
        <v>32</v>
      </c>
      <c r="SW262" s="10" t="n">
        <v>46243</v>
      </c>
      <c r="SY262" s="9" t="n">
        <v>0</v>
      </c>
      <c r="TA262" s="9" t="n">
        <v>0</v>
      </c>
      <c r="TB262" s="9" t="n">
        <v>0</v>
      </c>
      <c r="TF262" s="10" t="n">
        <v>46243</v>
      </c>
      <c r="TH262" s="9" t="n">
        <v>0</v>
      </c>
      <c r="TJ262" s="9" t="n">
        <v>0</v>
      </c>
      <c r="TK262" s="9" t="n">
        <v>0</v>
      </c>
      <c r="TO262" s="10" t="n">
        <v>46243</v>
      </c>
      <c r="TQ262" s="9" t="n">
        <v>0</v>
      </c>
      <c r="TS262" s="9" t="n">
        <v>0</v>
      </c>
      <c r="TT262" s="9" t="n">
        <v>0</v>
      </c>
      <c r="TX262" s="10" t="n">
        <v>46243</v>
      </c>
      <c r="TZ262" s="9" t="n">
        <v>0</v>
      </c>
      <c r="UB262" s="9" t="n">
        <v>0</v>
      </c>
      <c r="UC262" s="9" t="n">
        <v>46.79999999999998</v>
      </c>
      <c r="UG262" s="10" t="n">
        <v>46243</v>
      </c>
      <c r="UI262" s="9" t="n">
        <v>0</v>
      </c>
      <c r="UK262" s="9" t="n">
        <v>0</v>
      </c>
      <c r="UL262" s="9" t="n">
        <v>204</v>
      </c>
      <c r="UP262" s="10" t="n">
        <v>46243</v>
      </c>
      <c r="UR262" s="9" t="n">
        <v>0</v>
      </c>
      <c r="UT262" s="9" t="n">
        <v>0</v>
      </c>
      <c r="UU262" s="9" t="n">
        <v>202.5</v>
      </c>
      <c r="UY262" s="10" t="n">
        <v>46243</v>
      </c>
      <c r="VA262" s="9" t="n">
        <v>0</v>
      </c>
      <c r="VC262" s="9" t="n">
        <v>0</v>
      </c>
      <c r="VD262" s="9" t="n">
        <v>41.60000000000002</v>
      </c>
      <c r="VH262" s="10" t="n">
        <v>46243</v>
      </c>
      <c r="VJ262" s="9" t="n">
        <v>0</v>
      </c>
      <c r="VL262" s="9" t="n">
        <v>0</v>
      </c>
      <c r="VM262" s="9" t="n">
        <v>210</v>
      </c>
      <c r="VQ262" s="10" t="n">
        <v>46243</v>
      </c>
      <c r="VS262" s="9" t="n">
        <v>0</v>
      </c>
      <c r="VU262" s="9" t="n">
        <v>0</v>
      </c>
      <c r="VV262" s="9" t="n">
        <v>0</v>
      </c>
      <c r="VZ262" s="10" t="n">
        <v>46243</v>
      </c>
      <c r="WB262" s="9" t="n">
        <v>0</v>
      </c>
      <c r="WD262" s="9" t="n">
        <v>0</v>
      </c>
      <c r="WE262" s="9" t="n">
        <v>0</v>
      </c>
      <c r="WI262" s="10" t="n">
        <v>46243</v>
      </c>
      <c r="WK262" s="9" t="n">
        <v>0</v>
      </c>
      <c r="WM262" s="9" t="n">
        <v>0</v>
      </c>
      <c r="WN262" s="9" t="n">
        <v>1057</v>
      </c>
      <c r="WR262" s="10" t="n">
        <v>46243</v>
      </c>
      <c r="WT262" s="9" t="n">
        <v>0</v>
      </c>
      <c r="WV262" s="9" t="n">
        <v>0</v>
      </c>
      <c r="WW262" s="9" t="n">
        <v>0</v>
      </c>
      <c r="XA262" s="10" t="n">
        <v>46243</v>
      </c>
      <c r="XC262" s="9" t="n">
        <v>0</v>
      </c>
      <c r="XE262" s="9" t="n">
        <v>0</v>
      </c>
      <c r="XF262" s="9" t="n">
        <v>7507</v>
      </c>
      <c r="XJ262" s="10" t="n">
        <v>46243</v>
      </c>
      <c r="XL262" s="9" t="n">
        <v>0</v>
      </c>
      <c r="XN262" s="9" t="n">
        <v>0</v>
      </c>
      <c r="XO262" s="9" t="n">
        <v>4252</v>
      </c>
      <c r="XS262" s="10" t="n">
        <v>46243</v>
      </c>
      <c r="XU262" s="9" t="n">
        <v>0</v>
      </c>
      <c r="XW262" s="9" t="n">
        <v>0</v>
      </c>
      <c r="XX262" s="9" t="n">
        <v>2179</v>
      </c>
      <c r="YB262" s="10" t="n">
        <v>46243</v>
      </c>
      <c r="YD262" s="9" t="n">
        <v>0</v>
      </c>
      <c r="YF262" s="9" t="n">
        <v>0</v>
      </c>
      <c r="YG262" s="9" t="n">
        <v>4019</v>
      </c>
      <c r="YK262" s="10" t="n">
        <v>46243</v>
      </c>
      <c r="YM262" s="9" t="n">
        <v>0</v>
      </c>
      <c r="YO262" s="9" t="n">
        <v>0</v>
      </c>
      <c r="YP262" s="9" t="n">
        <v>-218</v>
      </c>
      <c r="YT262" s="10" t="n">
        <v>46243</v>
      </c>
      <c r="YV262" s="9" t="n">
        <v>0</v>
      </c>
      <c r="YX262" s="9" t="n">
        <v>0</v>
      </c>
      <c r="YY262" s="9" t="n">
        <v>0</v>
      </c>
      <c r="ZC262" s="10" t="n">
        <v>46243</v>
      </c>
      <c r="ZE262" s="9" t="n">
        <v>0</v>
      </c>
      <c r="ZG262" s="9" t="n">
        <v>0</v>
      </c>
      <c r="ZH262" s="9" t="n">
        <v>0</v>
      </c>
      <c r="ZL262" s="10" t="n">
        <v>46243</v>
      </c>
      <c r="ZN262" s="9" t="n">
        <v>0</v>
      </c>
      <c r="ZP262" s="9" t="n">
        <v>0</v>
      </c>
      <c r="ZQ262" s="9" t="n">
        <v>0</v>
      </c>
      <c r="ZU262" s="10" t="n">
        <v>46243</v>
      </c>
      <c r="ZW262" s="9" t="n">
        <v>0</v>
      </c>
      <c r="ZY262" s="9" t="n">
        <v>0</v>
      </c>
      <c r="ZZ262" s="9" t="n">
        <v>0</v>
      </c>
      <c r="AAD262" s="10" t="n">
        <v>46243</v>
      </c>
      <c r="AAF262" s="9" t="n">
        <v>0</v>
      </c>
      <c r="AAH262" s="9" t="n">
        <v>0</v>
      </c>
      <c r="AAI262" s="9" t="n">
        <v>0</v>
      </c>
      <c r="AAM262" s="10" t="n">
        <v>46243</v>
      </c>
      <c r="AAO262" s="9" t="n">
        <v>0</v>
      </c>
      <c r="AAQ262" s="9" t="n">
        <v>0</v>
      </c>
      <c r="AAR262" s="9" t="n">
        <v>0</v>
      </c>
      <c r="AAV262" s="10" t="n">
        <v>46243</v>
      </c>
      <c r="AAX262" s="9" t="n">
        <v>0</v>
      </c>
      <c r="AAZ262" s="9" t="n">
        <v>0</v>
      </c>
      <c r="ABA262" s="9" t="n">
        <v>0</v>
      </c>
      <c r="ABE262" s="10" t="n">
        <v>46243</v>
      </c>
      <c r="ABG262" s="9" t="n">
        <v>0</v>
      </c>
      <c r="ABI262" s="9" t="n">
        <v>0</v>
      </c>
      <c r="ABJ262" s="9" t="n">
        <v>0</v>
      </c>
    </row>
    <row r="263">
      <c r="C263" s="10" t="n">
        <v>46244</v>
      </c>
      <c r="E263" s="9" t="n">
        <v>0</v>
      </c>
      <c r="G263" s="9" t="n">
        <v>0</v>
      </c>
      <c r="H263" s="9" t="n">
        <v>201934.6</v>
      </c>
      <c r="L263" s="10" t="n">
        <v>46244</v>
      </c>
      <c r="N263" s="9" t="n">
        <v>0</v>
      </c>
      <c r="P263" s="9" t="n">
        <v>0</v>
      </c>
      <c r="Q263" s="9" t="n">
        <v>53017.60000000007</v>
      </c>
      <c r="U263" s="10" t="n">
        <v>46244</v>
      </c>
      <c r="W263" s="9" t="n">
        <v>0</v>
      </c>
      <c r="Y263" s="9" t="n">
        <v>0</v>
      </c>
      <c r="Z263" s="9" t="n">
        <v>42674.19999999997</v>
      </c>
      <c r="AD263" s="10" t="n">
        <v>46244</v>
      </c>
      <c r="AF263" s="9" t="n">
        <v>0</v>
      </c>
      <c r="AH263" s="9" t="n">
        <v>0</v>
      </c>
      <c r="AI263" s="9" t="n">
        <v>4522.200000000019</v>
      </c>
      <c r="AM263" s="10" t="n">
        <v>46244</v>
      </c>
      <c r="AO263" s="9" t="n">
        <v>0</v>
      </c>
      <c r="AQ263" s="9" t="n">
        <v>0</v>
      </c>
      <c r="AR263" s="9" t="n">
        <v>0</v>
      </c>
      <c r="AV263" s="10" t="n">
        <v>46244</v>
      </c>
      <c r="AX263" s="9" t="n">
        <v>0</v>
      </c>
      <c r="AZ263" s="9" t="n">
        <v>0</v>
      </c>
      <c r="BA263" s="9" t="n">
        <v>124.9999999999952</v>
      </c>
      <c r="BE263" s="10" t="n">
        <v>46244</v>
      </c>
      <c r="BG263" s="9" t="n">
        <v>0</v>
      </c>
      <c r="BI263" s="9" t="n">
        <v>0</v>
      </c>
      <c r="BJ263" s="9" t="n">
        <v>26151.9</v>
      </c>
      <c r="BN263" s="10" t="n">
        <v>46244</v>
      </c>
      <c r="BP263" s="9" t="n">
        <v>0</v>
      </c>
      <c r="BR263" s="9" t="n">
        <v>0</v>
      </c>
      <c r="BS263" s="9" t="n">
        <v>0</v>
      </c>
      <c r="BW263" s="10" t="n">
        <v>46244</v>
      </c>
      <c r="BY263" s="9" t="n">
        <v>0</v>
      </c>
      <c r="CA263" s="9" t="n">
        <v>0</v>
      </c>
      <c r="CB263" s="9" t="n">
        <v>2169.129999999999</v>
      </c>
      <c r="CF263" s="10" t="n">
        <v>46244</v>
      </c>
      <c r="CH263" s="9" t="n">
        <v>0</v>
      </c>
      <c r="CJ263" s="9" t="n">
        <v>0</v>
      </c>
      <c r="CK263" s="9" t="n">
        <v>-10277.08</v>
      </c>
      <c r="CO263" s="10" t="n">
        <v>46244</v>
      </c>
      <c r="CQ263" s="9" t="n">
        <v>0</v>
      </c>
      <c r="CS263" s="9" t="n">
        <v>0</v>
      </c>
      <c r="CT263" s="9" t="n">
        <v>0</v>
      </c>
      <c r="CX263" s="10" t="n">
        <v>46244</v>
      </c>
      <c r="CZ263" s="9" t="n">
        <v>0</v>
      </c>
      <c r="DB263" s="9" t="n">
        <v>0</v>
      </c>
      <c r="DC263" s="9" t="n">
        <v>27438.20000000001</v>
      </c>
      <c r="DG263" s="10" t="n">
        <v>46244</v>
      </c>
      <c r="DI263" s="9" t="n">
        <v>0</v>
      </c>
      <c r="DK263" s="9" t="n">
        <v>0</v>
      </c>
      <c r="DL263" s="9" t="n">
        <v>18782.29999999998</v>
      </c>
      <c r="DP263" s="10" t="n">
        <v>46244</v>
      </c>
      <c r="DR263" s="9" t="n">
        <v>0</v>
      </c>
      <c r="DT263" s="9" t="n">
        <v>0</v>
      </c>
      <c r="DU263" s="9" t="n">
        <v>5800</v>
      </c>
      <c r="DY263" s="10" t="n">
        <v>46244</v>
      </c>
      <c r="EA263" s="9" t="n">
        <v>0</v>
      </c>
      <c r="EC263" s="9" t="n">
        <v>0</v>
      </c>
      <c r="ED263" s="9" t="n">
        <v>0</v>
      </c>
      <c r="EH263" s="10" t="n">
        <v>46244</v>
      </c>
      <c r="EJ263" s="9" t="n">
        <v>0</v>
      </c>
      <c r="EL263" s="9" t="n">
        <v>0</v>
      </c>
      <c r="EM263" s="9" t="n">
        <v>0</v>
      </c>
      <c r="EQ263" s="10" t="n">
        <v>46244</v>
      </c>
      <c r="ES263" s="9" t="n">
        <v>0</v>
      </c>
      <c r="EU263" s="9" t="n">
        <v>0</v>
      </c>
      <c r="EV263" s="9" t="n">
        <v>0</v>
      </c>
      <c r="EZ263" s="10" t="n">
        <v>46244</v>
      </c>
      <c r="FB263" s="9" t="n">
        <v>0</v>
      </c>
      <c r="FD263" s="9" t="n">
        <v>0</v>
      </c>
      <c r="FE263" s="9" t="n">
        <v>0</v>
      </c>
      <c r="FI263" s="10" t="n">
        <v>46244</v>
      </c>
      <c r="FK263" s="9" t="n">
        <v>0</v>
      </c>
      <c r="FM263" s="9" t="n">
        <v>0</v>
      </c>
      <c r="FN263" s="9" t="n">
        <v>0</v>
      </c>
      <c r="FR263" s="10" t="n">
        <v>46244</v>
      </c>
      <c r="FT263" s="9" t="n">
        <v>0</v>
      </c>
      <c r="FV263" s="9" t="n">
        <v>0</v>
      </c>
      <c r="FW263" s="9" t="n">
        <v>20</v>
      </c>
      <c r="GA263" s="10" t="n">
        <v>46244</v>
      </c>
      <c r="GC263" s="9" t="n">
        <v>0</v>
      </c>
      <c r="GE263" s="9" t="n">
        <v>0</v>
      </c>
      <c r="GF263" s="9" t="n">
        <v>960</v>
      </c>
      <c r="GJ263" s="10" t="n">
        <v>46244</v>
      </c>
      <c r="GL263" s="9" t="n">
        <v>0</v>
      </c>
      <c r="GN263" s="9" t="n">
        <v>0</v>
      </c>
      <c r="GO263" s="9" t="n">
        <v>1760</v>
      </c>
      <c r="GS263" s="10" t="n">
        <v>46244</v>
      </c>
      <c r="GU263" s="9" t="n">
        <v>0</v>
      </c>
      <c r="GW263" s="9" t="n">
        <v>0</v>
      </c>
      <c r="GX263" s="9" t="n">
        <v>400</v>
      </c>
      <c r="HB263" s="10" t="n">
        <v>46244</v>
      </c>
      <c r="HD263" s="9" t="n">
        <v>0</v>
      </c>
      <c r="HF263" s="9" t="n">
        <v>0</v>
      </c>
      <c r="HG263" s="9" t="n">
        <v>3600</v>
      </c>
      <c r="HK263" s="10" t="n">
        <v>46244</v>
      </c>
      <c r="HM263" s="9" t="n">
        <v>0</v>
      </c>
      <c r="HO263" s="9" t="n">
        <v>0</v>
      </c>
      <c r="HP263" s="9" t="n">
        <v>0</v>
      </c>
      <c r="HU263" s="10" t="n">
        <v>46244</v>
      </c>
      <c r="HW263" s="9" t="n">
        <v>0</v>
      </c>
      <c r="HY263" s="9" t="n">
        <v>0</v>
      </c>
      <c r="HZ263" s="9" t="n">
        <v>5120</v>
      </c>
      <c r="ID263" s="10" t="n">
        <v>46244</v>
      </c>
      <c r="IF263" s="9" t="n">
        <v>0</v>
      </c>
      <c r="IH263" s="9" t="n">
        <v>0</v>
      </c>
      <c r="II263" s="9" t="n">
        <v>720</v>
      </c>
      <c r="IM263" s="10" t="n">
        <v>46244</v>
      </c>
      <c r="IO263" s="9" t="n">
        <v>0</v>
      </c>
      <c r="IQ263" s="9" t="n">
        <v>0</v>
      </c>
      <c r="IR263" s="9" t="n">
        <v>0</v>
      </c>
      <c r="IV263" s="10" t="n">
        <v>46244</v>
      </c>
      <c r="IX263" s="9" t="n">
        <v>0</v>
      </c>
      <c r="IZ263" s="9" t="n">
        <v>0</v>
      </c>
      <c r="JA263" s="9" t="n">
        <v>4960</v>
      </c>
      <c r="JE263" s="10" t="n">
        <v>46244</v>
      </c>
      <c r="JG263" s="9" t="n">
        <v>0</v>
      </c>
      <c r="JI263" s="9" t="n">
        <v>0</v>
      </c>
      <c r="JJ263" s="9" t="n">
        <v>0</v>
      </c>
      <c r="JN263" s="10" t="n">
        <v>46244</v>
      </c>
      <c r="JP263" s="9" t="n">
        <v>0</v>
      </c>
      <c r="JR263" s="9" t="n">
        <v>0</v>
      </c>
      <c r="JS263" s="9" t="n">
        <v>0</v>
      </c>
      <c r="JW263" s="10" t="n">
        <v>46244</v>
      </c>
      <c r="JY263" s="9" t="n">
        <v>0</v>
      </c>
      <c r="KA263" s="9" t="n">
        <v>0</v>
      </c>
      <c r="KB263" s="9" t="n">
        <v>2540</v>
      </c>
      <c r="KF263" s="10" t="n">
        <v>46244</v>
      </c>
      <c r="KH263" s="9" t="n">
        <v>0</v>
      </c>
      <c r="KJ263" s="9" t="n">
        <v>0</v>
      </c>
      <c r="KK263" s="9" t="n">
        <v>2359.5</v>
      </c>
      <c r="KO263" s="10" t="n">
        <v>46244</v>
      </c>
      <c r="KQ263" s="9" t="n">
        <v>0</v>
      </c>
      <c r="KS263" s="9" t="n">
        <v>0</v>
      </c>
      <c r="KT263" s="9" t="n">
        <v>1890</v>
      </c>
      <c r="KX263" s="10" t="n">
        <v>46244</v>
      </c>
      <c r="KZ263" s="9" t="n">
        <v>0</v>
      </c>
      <c r="LB263" s="9" t="n">
        <v>0</v>
      </c>
      <c r="LC263" s="9" t="n">
        <v>3690</v>
      </c>
      <c r="LG263" s="10" t="n">
        <v>46244</v>
      </c>
      <c r="LI263" s="9" t="n">
        <v>0</v>
      </c>
      <c r="LK263" s="9" t="n">
        <v>0</v>
      </c>
      <c r="LL263" s="9" t="n">
        <v>4000</v>
      </c>
      <c r="LP263" s="10" t="n">
        <v>46244</v>
      </c>
      <c r="LR263" s="9" t="n">
        <v>0</v>
      </c>
      <c r="LT263" s="9" t="n">
        <v>0</v>
      </c>
      <c r="LU263" s="9" t="n">
        <v>0</v>
      </c>
      <c r="LY263" s="10" t="n">
        <v>46244</v>
      </c>
      <c r="MA263" s="9" t="n">
        <v>0</v>
      </c>
      <c r="MC263" s="9" t="n">
        <v>0</v>
      </c>
      <c r="MD263" s="9" t="n">
        <v>0</v>
      </c>
      <c r="MH263" s="10" t="n">
        <v>46244</v>
      </c>
      <c r="MJ263" s="9" t="n">
        <v>0</v>
      </c>
      <c r="ML263" s="9" t="n">
        <v>0</v>
      </c>
      <c r="MM263" s="9" t="n">
        <v>0</v>
      </c>
      <c r="MQ263" s="10" t="n">
        <v>46244</v>
      </c>
      <c r="MS263" s="9" t="n">
        <v>0</v>
      </c>
      <c r="MU263" s="9" t="n">
        <v>0</v>
      </c>
      <c r="MV263" s="9" t="n">
        <v>1933</v>
      </c>
      <c r="MZ263" s="10" t="n">
        <v>46244</v>
      </c>
      <c r="NB263" s="9" t="n">
        <v>0</v>
      </c>
      <c r="ND263" s="9" t="n">
        <v>0</v>
      </c>
      <c r="NE263" s="9" t="n">
        <v>0</v>
      </c>
      <c r="NI263" s="10" t="n">
        <v>46244</v>
      </c>
      <c r="NK263" s="9" t="n">
        <v>0</v>
      </c>
      <c r="NM263" s="9" t="n">
        <v>0</v>
      </c>
      <c r="NN263" s="9" t="n">
        <v>1127</v>
      </c>
      <c r="NR263" s="10" t="n">
        <v>46244</v>
      </c>
      <c r="NT263" s="9" t="n">
        <v>0</v>
      </c>
      <c r="NV263" s="9" t="n">
        <v>0</v>
      </c>
      <c r="NW263" s="9" t="n">
        <v>3112</v>
      </c>
      <c r="OA263" s="10" t="n">
        <v>46244</v>
      </c>
      <c r="OC263" s="9" t="n">
        <v>0</v>
      </c>
      <c r="OE263" s="9" t="n">
        <v>0</v>
      </c>
      <c r="OF263" s="9" t="n">
        <v>1680.5</v>
      </c>
      <c r="OJ263" s="10" t="n">
        <v>46244</v>
      </c>
      <c r="OL263" s="9" t="n">
        <v>0</v>
      </c>
      <c r="ON263" s="9" t="n">
        <v>0</v>
      </c>
      <c r="OO263" s="9" t="n">
        <v>0</v>
      </c>
      <c r="OS263" s="10" t="n">
        <v>46244</v>
      </c>
      <c r="OU263" s="9" t="n">
        <v>0</v>
      </c>
      <c r="OW263" s="9" t="n">
        <v>0</v>
      </c>
      <c r="OX263" s="9" t="n">
        <v>1482</v>
      </c>
      <c r="PB263" s="10" t="n">
        <v>46244</v>
      </c>
      <c r="PD263" s="9" t="n">
        <v>0</v>
      </c>
      <c r="PF263" s="9" t="n">
        <v>0</v>
      </c>
      <c r="PG263" s="9" t="n">
        <v>0</v>
      </c>
      <c r="PK263" s="10" t="n">
        <v>46244</v>
      </c>
      <c r="PM263" s="9" t="n">
        <v>0</v>
      </c>
      <c r="PO263" s="9" t="n">
        <v>0</v>
      </c>
      <c r="PP263" s="9" t="n">
        <v>100</v>
      </c>
      <c r="PT263" s="10" t="n">
        <v>46244</v>
      </c>
      <c r="PV263" s="9" t="n">
        <v>0</v>
      </c>
      <c r="PX263" s="9" t="n">
        <v>0</v>
      </c>
      <c r="PY263" s="9" t="n">
        <v>13.96000000000004</v>
      </c>
      <c r="QC263" s="10" t="n">
        <v>46244</v>
      </c>
      <c r="QE263" s="9" t="n">
        <v>0</v>
      </c>
      <c r="QG263" s="9" t="n">
        <v>0</v>
      </c>
      <c r="QH263" s="9" t="n">
        <v>948</v>
      </c>
      <c r="QL263" s="10" t="n">
        <v>46244</v>
      </c>
      <c r="QN263" s="9" t="n">
        <v>0</v>
      </c>
      <c r="QP263" s="9" t="n">
        <v>0</v>
      </c>
      <c r="QQ263" s="9" t="n">
        <v>0</v>
      </c>
      <c r="QU263" s="10" t="n">
        <v>46244</v>
      </c>
      <c r="QW263" s="9" t="n">
        <v>0</v>
      </c>
      <c r="QY263" s="9" t="n">
        <v>0</v>
      </c>
      <c r="QZ263" s="9" t="n">
        <v>207.6</v>
      </c>
      <c r="RD263" s="10" t="n">
        <v>46244</v>
      </c>
      <c r="RF263" s="9" t="n">
        <v>0</v>
      </c>
      <c r="RH263" s="9" t="n">
        <v>0</v>
      </c>
      <c r="RI263" s="9" t="n">
        <v>147.04</v>
      </c>
      <c r="RM263" s="10" t="n">
        <v>46244</v>
      </c>
      <c r="RO263" s="9" t="n">
        <v>0</v>
      </c>
      <c r="RQ263" s="9" t="n">
        <v>0</v>
      </c>
      <c r="RR263" s="9" t="n">
        <v>46.8</v>
      </c>
      <c r="RV263" s="10" t="n">
        <v>46244</v>
      </c>
      <c r="RX263" s="9" t="n">
        <v>0</v>
      </c>
      <c r="RZ263" s="9" t="n">
        <v>0</v>
      </c>
      <c r="SA263" s="9" t="n">
        <v>0</v>
      </c>
      <c r="SE263" s="10" t="n">
        <v>46244</v>
      </c>
      <c r="SG263" s="9" t="n">
        <v>0</v>
      </c>
      <c r="SI263" s="9" t="n">
        <v>0</v>
      </c>
      <c r="SJ263" s="9" t="n">
        <v>24.2</v>
      </c>
      <c r="SN263" s="10" t="n">
        <v>46244</v>
      </c>
      <c r="SP263" s="9" t="n">
        <v>0</v>
      </c>
      <c r="SR263" s="9" t="n">
        <v>0</v>
      </c>
      <c r="SS263" s="9" t="n">
        <v>32</v>
      </c>
      <c r="SW263" s="10" t="n">
        <v>46244</v>
      </c>
      <c r="SY263" s="9" t="n">
        <v>0</v>
      </c>
      <c r="TA263" s="9" t="n">
        <v>0</v>
      </c>
      <c r="TB263" s="9" t="n">
        <v>0</v>
      </c>
      <c r="TF263" s="10" t="n">
        <v>46244</v>
      </c>
      <c r="TH263" s="9" t="n">
        <v>0</v>
      </c>
      <c r="TJ263" s="9" t="n">
        <v>0</v>
      </c>
      <c r="TK263" s="9" t="n">
        <v>0</v>
      </c>
      <c r="TO263" s="10" t="n">
        <v>46244</v>
      </c>
      <c r="TQ263" s="9" t="n">
        <v>0</v>
      </c>
      <c r="TS263" s="9" t="n">
        <v>0</v>
      </c>
      <c r="TT263" s="9" t="n">
        <v>0</v>
      </c>
      <c r="TX263" s="10" t="n">
        <v>46244</v>
      </c>
      <c r="TZ263" s="9" t="n">
        <v>0</v>
      </c>
      <c r="UB263" s="9" t="n">
        <v>0</v>
      </c>
      <c r="UC263" s="9" t="n">
        <v>46.79999999999998</v>
      </c>
      <c r="UG263" s="10" t="n">
        <v>46244</v>
      </c>
      <c r="UI263" s="9" t="n">
        <v>0</v>
      </c>
      <c r="UK263" s="9" t="n">
        <v>0</v>
      </c>
      <c r="UL263" s="9" t="n">
        <v>204</v>
      </c>
      <c r="UP263" s="10" t="n">
        <v>46244</v>
      </c>
      <c r="UR263" s="9" t="n">
        <v>0</v>
      </c>
      <c r="UT263" s="9" t="n">
        <v>0</v>
      </c>
      <c r="UU263" s="9" t="n">
        <v>202.5</v>
      </c>
      <c r="UY263" s="10" t="n">
        <v>46244</v>
      </c>
      <c r="VA263" s="9" t="n">
        <v>0</v>
      </c>
      <c r="VC263" s="9" t="n">
        <v>0</v>
      </c>
      <c r="VD263" s="9" t="n">
        <v>41.60000000000002</v>
      </c>
      <c r="VH263" s="10" t="n">
        <v>46244</v>
      </c>
      <c r="VJ263" s="9" t="n">
        <v>0</v>
      </c>
      <c r="VL263" s="9" t="n">
        <v>0</v>
      </c>
      <c r="VM263" s="9" t="n">
        <v>210</v>
      </c>
      <c r="VQ263" s="10" t="n">
        <v>46244</v>
      </c>
      <c r="VS263" s="9" t="n">
        <v>0</v>
      </c>
      <c r="VU263" s="9" t="n">
        <v>0</v>
      </c>
      <c r="VV263" s="9" t="n">
        <v>0</v>
      </c>
      <c r="VZ263" s="10" t="n">
        <v>46244</v>
      </c>
      <c r="WB263" s="9" t="n">
        <v>0</v>
      </c>
      <c r="WD263" s="9" t="n">
        <v>0</v>
      </c>
      <c r="WE263" s="9" t="n">
        <v>0</v>
      </c>
      <c r="WI263" s="10" t="n">
        <v>46244</v>
      </c>
      <c r="WK263" s="9" t="n">
        <v>0</v>
      </c>
      <c r="WM263" s="9" t="n">
        <v>0</v>
      </c>
      <c r="WN263" s="9" t="n">
        <v>1057</v>
      </c>
      <c r="WR263" s="10" t="n">
        <v>46244</v>
      </c>
      <c r="WT263" s="9" t="n">
        <v>0</v>
      </c>
      <c r="WV263" s="9" t="n">
        <v>0</v>
      </c>
      <c r="WW263" s="9" t="n">
        <v>0</v>
      </c>
      <c r="XA263" s="10" t="n">
        <v>46244</v>
      </c>
      <c r="XC263" s="9" t="n">
        <v>0</v>
      </c>
      <c r="XE263" s="9" t="n">
        <v>0</v>
      </c>
      <c r="XF263" s="9" t="n">
        <v>7507</v>
      </c>
      <c r="XJ263" s="10" t="n">
        <v>46244</v>
      </c>
      <c r="XL263" s="9" t="n">
        <v>0</v>
      </c>
      <c r="XN263" s="9" t="n">
        <v>0</v>
      </c>
      <c r="XO263" s="9" t="n">
        <v>4252</v>
      </c>
      <c r="XS263" s="10" t="n">
        <v>46244</v>
      </c>
      <c r="XU263" s="9" t="n">
        <v>0</v>
      </c>
      <c r="XW263" s="9" t="n">
        <v>0</v>
      </c>
      <c r="XX263" s="9" t="n">
        <v>2179</v>
      </c>
      <c r="YB263" s="10" t="n">
        <v>46244</v>
      </c>
      <c r="YD263" s="9" t="n">
        <v>0</v>
      </c>
      <c r="YF263" s="9" t="n">
        <v>0</v>
      </c>
      <c r="YG263" s="9" t="n">
        <v>4019</v>
      </c>
      <c r="YK263" s="10" t="n">
        <v>46244</v>
      </c>
      <c r="YM263" s="9" t="n">
        <v>0</v>
      </c>
      <c r="YO263" s="9" t="n">
        <v>0</v>
      </c>
      <c r="YP263" s="9" t="n">
        <v>-218</v>
      </c>
      <c r="YT263" s="10" t="n">
        <v>46244</v>
      </c>
      <c r="YV263" s="9" t="n">
        <v>0</v>
      </c>
      <c r="YX263" s="9" t="n">
        <v>0</v>
      </c>
      <c r="YY263" s="9" t="n">
        <v>0</v>
      </c>
      <c r="ZC263" s="10" t="n">
        <v>46244</v>
      </c>
      <c r="ZE263" s="9" t="n">
        <v>0</v>
      </c>
      <c r="ZG263" s="9" t="n">
        <v>0</v>
      </c>
      <c r="ZH263" s="9" t="n">
        <v>0</v>
      </c>
      <c r="ZL263" s="10" t="n">
        <v>46244</v>
      </c>
      <c r="ZN263" s="9" t="n">
        <v>0</v>
      </c>
      <c r="ZP263" s="9" t="n">
        <v>0</v>
      </c>
      <c r="ZQ263" s="9" t="n">
        <v>0</v>
      </c>
      <c r="ZU263" s="10" t="n">
        <v>46244</v>
      </c>
      <c r="ZW263" s="9" t="n">
        <v>0</v>
      </c>
      <c r="ZY263" s="9" t="n">
        <v>0</v>
      </c>
      <c r="ZZ263" s="9" t="n">
        <v>0</v>
      </c>
      <c r="AAD263" s="10" t="n">
        <v>46244</v>
      </c>
      <c r="AAF263" s="9" t="n">
        <v>0</v>
      </c>
      <c r="AAH263" s="9" t="n">
        <v>0</v>
      </c>
      <c r="AAI263" s="9" t="n">
        <v>0</v>
      </c>
      <c r="AAM263" s="10" t="n">
        <v>46244</v>
      </c>
      <c r="AAO263" s="9" t="n">
        <v>0</v>
      </c>
      <c r="AAQ263" s="9" t="n">
        <v>0</v>
      </c>
      <c r="AAR263" s="9" t="n">
        <v>0</v>
      </c>
      <c r="AAV263" s="10" t="n">
        <v>46244</v>
      </c>
      <c r="AAX263" s="9" t="n">
        <v>0</v>
      </c>
      <c r="AAZ263" s="9" t="n">
        <v>0</v>
      </c>
      <c r="ABA263" s="9" t="n">
        <v>0</v>
      </c>
      <c r="ABE263" s="10" t="n">
        <v>46244</v>
      </c>
      <c r="ABG263" s="9" t="n">
        <v>0</v>
      </c>
      <c r="ABI263" s="9" t="n">
        <v>0</v>
      </c>
      <c r="ABJ263" s="9" t="n">
        <v>0</v>
      </c>
    </row>
    <row r="264">
      <c r="C264" s="10" t="n">
        <v>46245</v>
      </c>
      <c r="E264" s="9" t="n">
        <v>16318.5</v>
      </c>
      <c r="G264" s="9" t="n">
        <v>16318.5</v>
      </c>
      <c r="H264" s="9" t="n">
        <v>201934.6</v>
      </c>
      <c r="L264" s="10" t="n">
        <v>46245</v>
      </c>
      <c r="N264" s="9" t="n">
        <v>8925</v>
      </c>
      <c r="P264" s="9" t="n">
        <v>8925</v>
      </c>
      <c r="Q264" s="9" t="n">
        <v>53017.60000000007</v>
      </c>
      <c r="U264" s="10" t="n">
        <v>46245</v>
      </c>
      <c r="W264" s="9" t="n">
        <v>1800</v>
      </c>
      <c r="Y264" s="9" t="n">
        <v>1800</v>
      </c>
      <c r="Z264" s="9" t="n">
        <v>42674.19999999997</v>
      </c>
      <c r="AD264" s="10" t="n">
        <v>46245</v>
      </c>
      <c r="AF264" s="9" t="n">
        <v>0</v>
      </c>
      <c r="AH264" s="9" t="n">
        <v>0</v>
      </c>
      <c r="AI264" s="9" t="n">
        <v>4522.200000000019</v>
      </c>
      <c r="AM264" s="10" t="n">
        <v>46245</v>
      </c>
      <c r="AO264" s="9" t="n">
        <v>0</v>
      </c>
      <c r="AQ264" s="9" t="n">
        <v>0</v>
      </c>
      <c r="AR264" s="9" t="n">
        <v>0</v>
      </c>
      <c r="AV264" s="10" t="n">
        <v>46245</v>
      </c>
      <c r="AX264" s="9" t="n">
        <v>0</v>
      </c>
      <c r="AZ264" s="9" t="n">
        <v>0</v>
      </c>
      <c r="BA264" s="9" t="n">
        <v>124.9999999999952</v>
      </c>
      <c r="BE264" s="10" t="n">
        <v>46245</v>
      </c>
      <c r="BG264" s="9" t="n">
        <v>0</v>
      </c>
      <c r="BI264" s="9" t="n">
        <v>0</v>
      </c>
      <c r="BJ264" s="9" t="n">
        <v>26151.9</v>
      </c>
      <c r="BN264" s="10" t="n">
        <v>46245</v>
      </c>
      <c r="BP264" s="9" t="n">
        <v>150</v>
      </c>
      <c r="BR264" s="9" t="n">
        <v>150</v>
      </c>
      <c r="BS264" s="9" t="n">
        <v>0</v>
      </c>
      <c r="BW264" s="10" t="n">
        <v>46245</v>
      </c>
      <c r="BY264" s="9" t="n">
        <v>220.65</v>
      </c>
      <c r="BZ264" s="9" t="n">
        <v>8.789999999999999</v>
      </c>
      <c r="CA264" s="9" t="n">
        <v>211.86</v>
      </c>
      <c r="CB264" s="9" t="n">
        <v>2160.339999999999</v>
      </c>
      <c r="CF264" s="10" t="n">
        <v>46245</v>
      </c>
      <c r="CH264" s="9" t="n">
        <v>0</v>
      </c>
      <c r="CJ264" s="9" t="n">
        <v>0</v>
      </c>
      <c r="CK264" s="9" t="n">
        <v>-10277.08</v>
      </c>
      <c r="CO264" s="10" t="n">
        <v>46245</v>
      </c>
      <c r="CQ264" s="9" t="n">
        <v>0</v>
      </c>
      <c r="CS264" s="9" t="n">
        <v>0</v>
      </c>
      <c r="CT264" s="9" t="n">
        <v>0</v>
      </c>
      <c r="CX264" s="10" t="n">
        <v>46245</v>
      </c>
      <c r="CZ264" s="9" t="n">
        <v>600</v>
      </c>
      <c r="DB264" s="9" t="n">
        <v>600</v>
      </c>
      <c r="DC264" s="9" t="n">
        <v>27438.20000000001</v>
      </c>
      <c r="DG264" s="10" t="n">
        <v>46245</v>
      </c>
      <c r="DI264" s="9" t="n">
        <v>0</v>
      </c>
      <c r="DK264" s="9" t="n">
        <v>0</v>
      </c>
      <c r="DL264" s="9" t="n">
        <v>18782.29999999998</v>
      </c>
      <c r="DP264" s="10" t="n">
        <v>46245</v>
      </c>
      <c r="DR264" s="9" t="n">
        <v>0</v>
      </c>
      <c r="DT264" s="9" t="n">
        <v>0</v>
      </c>
      <c r="DU264" s="9" t="n">
        <v>5800</v>
      </c>
      <c r="DY264" s="10" t="n">
        <v>46245</v>
      </c>
      <c r="EA264" s="9" t="n">
        <v>0</v>
      </c>
      <c r="EC264" s="9" t="n">
        <v>0</v>
      </c>
      <c r="ED264" s="9" t="n">
        <v>0</v>
      </c>
      <c r="EH264" s="10" t="n">
        <v>46245</v>
      </c>
      <c r="EJ264" s="9" t="n">
        <v>0</v>
      </c>
      <c r="EL264" s="9" t="n">
        <v>0</v>
      </c>
      <c r="EM264" s="9" t="n">
        <v>0</v>
      </c>
      <c r="EQ264" s="10" t="n">
        <v>46245</v>
      </c>
      <c r="ES264" s="9" t="n">
        <v>0</v>
      </c>
      <c r="EU264" s="9" t="n">
        <v>0</v>
      </c>
      <c r="EV264" s="9" t="n">
        <v>0</v>
      </c>
      <c r="EZ264" s="10" t="n">
        <v>46245</v>
      </c>
      <c r="FB264" s="9" t="n">
        <v>0</v>
      </c>
      <c r="FD264" s="9" t="n">
        <v>0</v>
      </c>
      <c r="FE264" s="9" t="n">
        <v>0</v>
      </c>
      <c r="FI264" s="10" t="n">
        <v>46245</v>
      </c>
      <c r="FK264" s="9" t="n">
        <v>0</v>
      </c>
      <c r="FM264" s="9" t="n">
        <v>0</v>
      </c>
      <c r="FN264" s="9" t="n">
        <v>0</v>
      </c>
      <c r="FR264" s="10" t="n">
        <v>46245</v>
      </c>
      <c r="FT264" s="9" t="n">
        <v>0</v>
      </c>
      <c r="FV264" s="9" t="n">
        <v>0</v>
      </c>
      <c r="FW264" s="9" t="n">
        <v>20</v>
      </c>
      <c r="GA264" s="10" t="n">
        <v>46245</v>
      </c>
      <c r="GC264" s="9" t="n">
        <v>0</v>
      </c>
      <c r="GE264" s="9" t="n">
        <v>0</v>
      </c>
      <c r="GF264" s="9" t="n">
        <v>960</v>
      </c>
      <c r="GJ264" s="10" t="n">
        <v>46245</v>
      </c>
      <c r="GL264" s="9" t="n">
        <v>0</v>
      </c>
      <c r="GN264" s="9" t="n">
        <v>0</v>
      </c>
      <c r="GO264" s="9" t="n">
        <v>1760</v>
      </c>
      <c r="GS264" s="10" t="n">
        <v>46245</v>
      </c>
      <c r="GU264" s="9" t="n">
        <v>0</v>
      </c>
      <c r="GW264" s="9" t="n">
        <v>0</v>
      </c>
      <c r="GX264" s="9" t="n">
        <v>400</v>
      </c>
      <c r="HB264" s="10" t="n">
        <v>46245</v>
      </c>
      <c r="HD264" s="9" t="n">
        <v>0</v>
      </c>
      <c r="HF264" s="9" t="n">
        <v>0</v>
      </c>
      <c r="HG264" s="9" t="n">
        <v>3600</v>
      </c>
      <c r="HK264" s="10" t="n">
        <v>46245</v>
      </c>
      <c r="HM264" s="9" t="n">
        <v>0</v>
      </c>
      <c r="HO264" s="9" t="n">
        <v>0</v>
      </c>
      <c r="HP264" s="9" t="n">
        <v>0</v>
      </c>
      <c r="HU264" s="10" t="n">
        <v>46245</v>
      </c>
      <c r="HW264" s="9" t="n">
        <v>0</v>
      </c>
      <c r="HY264" s="9" t="n">
        <v>0</v>
      </c>
      <c r="HZ264" s="9" t="n">
        <v>5120</v>
      </c>
      <c r="ID264" s="10" t="n">
        <v>46245</v>
      </c>
      <c r="IF264" s="9" t="n">
        <v>0</v>
      </c>
      <c r="IH264" s="9" t="n">
        <v>0</v>
      </c>
      <c r="II264" s="9" t="n">
        <v>720</v>
      </c>
      <c r="IM264" s="10" t="n">
        <v>46245</v>
      </c>
      <c r="IO264" s="9" t="n">
        <v>0</v>
      </c>
      <c r="IQ264" s="9" t="n">
        <v>0</v>
      </c>
      <c r="IR264" s="9" t="n">
        <v>0</v>
      </c>
      <c r="IV264" s="10" t="n">
        <v>46245</v>
      </c>
      <c r="IX264" s="9" t="n">
        <v>0</v>
      </c>
      <c r="IZ264" s="9" t="n">
        <v>0</v>
      </c>
      <c r="JA264" s="9" t="n">
        <v>4960</v>
      </c>
      <c r="JE264" s="10" t="n">
        <v>46245</v>
      </c>
      <c r="JG264" s="9" t="n">
        <v>0</v>
      </c>
      <c r="JI264" s="9" t="n">
        <v>0</v>
      </c>
      <c r="JJ264" s="9" t="n">
        <v>0</v>
      </c>
      <c r="JN264" s="10" t="n">
        <v>46245</v>
      </c>
      <c r="JP264" s="9" t="n">
        <v>0</v>
      </c>
      <c r="JR264" s="9" t="n">
        <v>0</v>
      </c>
      <c r="JS264" s="9" t="n">
        <v>0</v>
      </c>
      <c r="JW264" s="10" t="n">
        <v>46245</v>
      </c>
      <c r="JY264" s="9" t="n">
        <v>0</v>
      </c>
      <c r="KA264" s="9" t="n">
        <v>0</v>
      </c>
      <c r="KB264" s="9" t="n">
        <v>2540</v>
      </c>
      <c r="KF264" s="10" t="n">
        <v>46245</v>
      </c>
      <c r="KH264" s="9" t="n">
        <v>0</v>
      </c>
      <c r="KJ264" s="9" t="n">
        <v>0</v>
      </c>
      <c r="KK264" s="9" t="n">
        <v>2359.5</v>
      </c>
      <c r="KO264" s="10" t="n">
        <v>46245</v>
      </c>
      <c r="KQ264" s="9" t="n">
        <v>0</v>
      </c>
      <c r="KS264" s="9" t="n">
        <v>0</v>
      </c>
      <c r="KT264" s="9" t="n">
        <v>1890</v>
      </c>
      <c r="KX264" s="10" t="n">
        <v>46245</v>
      </c>
      <c r="KZ264" s="9" t="n">
        <v>0</v>
      </c>
      <c r="LB264" s="9" t="n">
        <v>0</v>
      </c>
      <c r="LC264" s="9" t="n">
        <v>3690</v>
      </c>
      <c r="LG264" s="10" t="n">
        <v>46245</v>
      </c>
      <c r="LI264" s="9" t="n">
        <v>0</v>
      </c>
      <c r="LK264" s="9" t="n">
        <v>0</v>
      </c>
      <c r="LL264" s="9" t="n">
        <v>4000</v>
      </c>
      <c r="LP264" s="10" t="n">
        <v>46245</v>
      </c>
      <c r="LR264" s="9" t="n">
        <v>0</v>
      </c>
      <c r="LT264" s="9" t="n">
        <v>0</v>
      </c>
      <c r="LU264" s="9" t="n">
        <v>0</v>
      </c>
      <c r="LY264" s="10" t="n">
        <v>46245</v>
      </c>
      <c r="MA264" s="9" t="n">
        <v>0</v>
      </c>
      <c r="MC264" s="9" t="n">
        <v>0</v>
      </c>
      <c r="MD264" s="9" t="n">
        <v>0</v>
      </c>
      <c r="MH264" s="10" t="n">
        <v>46245</v>
      </c>
      <c r="MJ264" s="9" t="n">
        <v>0</v>
      </c>
      <c r="ML264" s="9" t="n">
        <v>0</v>
      </c>
      <c r="MM264" s="9" t="n">
        <v>0</v>
      </c>
      <c r="MQ264" s="10" t="n">
        <v>46245</v>
      </c>
      <c r="MS264" s="9" t="n">
        <v>0</v>
      </c>
      <c r="MT264" s="9" t="n">
        <v>2</v>
      </c>
      <c r="MU264" s="9" t="n">
        <v>-2</v>
      </c>
      <c r="MV264" s="9" t="n">
        <v>1931</v>
      </c>
      <c r="MZ264" s="10" t="n">
        <v>46245</v>
      </c>
      <c r="NB264" s="9" t="n">
        <v>0</v>
      </c>
      <c r="ND264" s="9" t="n">
        <v>0</v>
      </c>
      <c r="NE264" s="9" t="n">
        <v>0</v>
      </c>
      <c r="NI264" s="10" t="n">
        <v>46245</v>
      </c>
      <c r="NK264" s="9" t="n">
        <v>0</v>
      </c>
      <c r="NM264" s="9" t="n">
        <v>0</v>
      </c>
      <c r="NN264" s="9" t="n">
        <v>1127</v>
      </c>
      <c r="NR264" s="10" t="n">
        <v>46245</v>
      </c>
      <c r="NT264" s="9" t="n">
        <v>0</v>
      </c>
      <c r="NV264" s="9" t="n">
        <v>0</v>
      </c>
      <c r="NW264" s="9" t="n">
        <v>3112</v>
      </c>
      <c r="OA264" s="10" t="n">
        <v>46245</v>
      </c>
      <c r="OC264" s="9" t="n">
        <v>0</v>
      </c>
      <c r="OE264" s="9" t="n">
        <v>0</v>
      </c>
      <c r="OF264" s="9" t="n">
        <v>1680.5</v>
      </c>
      <c r="OJ264" s="10" t="n">
        <v>46245</v>
      </c>
      <c r="OL264" s="9" t="n">
        <v>0</v>
      </c>
      <c r="ON264" s="9" t="n">
        <v>0</v>
      </c>
      <c r="OO264" s="9" t="n">
        <v>0</v>
      </c>
      <c r="OS264" s="10" t="n">
        <v>46245</v>
      </c>
      <c r="OU264" s="9" t="n">
        <v>0</v>
      </c>
      <c r="OW264" s="9" t="n">
        <v>0</v>
      </c>
      <c r="OX264" s="9" t="n">
        <v>1482</v>
      </c>
      <c r="PB264" s="10" t="n">
        <v>46245</v>
      </c>
      <c r="PD264" s="9" t="n">
        <v>0</v>
      </c>
      <c r="PF264" s="9" t="n">
        <v>0</v>
      </c>
      <c r="PG264" s="9" t="n">
        <v>0</v>
      </c>
      <c r="PK264" s="10" t="n">
        <v>46245</v>
      </c>
      <c r="PM264" s="9" t="n">
        <v>0</v>
      </c>
      <c r="PO264" s="9" t="n">
        <v>0</v>
      </c>
      <c r="PP264" s="9" t="n">
        <v>100</v>
      </c>
      <c r="PT264" s="10" t="n">
        <v>46245</v>
      </c>
      <c r="PV264" s="9" t="n">
        <v>0</v>
      </c>
      <c r="PX264" s="9" t="n">
        <v>0</v>
      </c>
      <c r="PY264" s="9" t="n">
        <v>13.96000000000004</v>
      </c>
      <c r="QC264" s="10" t="n">
        <v>46245</v>
      </c>
      <c r="QE264" s="9" t="n">
        <v>0</v>
      </c>
      <c r="QG264" s="9" t="n">
        <v>0</v>
      </c>
      <c r="QH264" s="9" t="n">
        <v>948</v>
      </c>
      <c r="QL264" s="10" t="n">
        <v>46245</v>
      </c>
      <c r="QN264" s="9" t="n">
        <v>0</v>
      </c>
      <c r="QP264" s="9" t="n">
        <v>0</v>
      </c>
      <c r="QQ264" s="9" t="n">
        <v>0</v>
      </c>
      <c r="QU264" s="10" t="n">
        <v>46245</v>
      </c>
      <c r="QW264" s="9" t="n">
        <v>0</v>
      </c>
      <c r="QY264" s="9" t="n">
        <v>0</v>
      </c>
      <c r="QZ264" s="9" t="n">
        <v>207.6</v>
      </c>
      <c r="RD264" s="10" t="n">
        <v>46245</v>
      </c>
      <c r="RF264" s="9" t="n">
        <v>0</v>
      </c>
      <c r="RH264" s="9" t="n">
        <v>0</v>
      </c>
      <c r="RI264" s="9" t="n">
        <v>147.04</v>
      </c>
      <c r="RM264" s="10" t="n">
        <v>46245</v>
      </c>
      <c r="RO264" s="9" t="n">
        <v>0</v>
      </c>
      <c r="RQ264" s="9" t="n">
        <v>0</v>
      </c>
      <c r="RR264" s="9" t="n">
        <v>46.8</v>
      </c>
      <c r="RV264" s="10" t="n">
        <v>46245</v>
      </c>
      <c r="RX264" s="9" t="n">
        <v>0</v>
      </c>
      <c r="RZ264" s="9" t="n">
        <v>0</v>
      </c>
      <c r="SA264" s="9" t="n">
        <v>0</v>
      </c>
      <c r="SE264" s="10" t="n">
        <v>46245</v>
      </c>
      <c r="SG264" s="9" t="n">
        <v>0</v>
      </c>
      <c r="SI264" s="9" t="n">
        <v>0</v>
      </c>
      <c r="SJ264" s="9" t="n">
        <v>24.2</v>
      </c>
      <c r="SN264" s="10" t="n">
        <v>46245</v>
      </c>
      <c r="SP264" s="9" t="n">
        <v>0</v>
      </c>
      <c r="SR264" s="9" t="n">
        <v>0</v>
      </c>
      <c r="SS264" s="9" t="n">
        <v>32</v>
      </c>
      <c r="SW264" s="10" t="n">
        <v>46245</v>
      </c>
      <c r="SY264" s="9" t="n">
        <v>0</v>
      </c>
      <c r="TA264" s="9" t="n">
        <v>0</v>
      </c>
      <c r="TB264" s="9" t="n">
        <v>0</v>
      </c>
      <c r="TF264" s="10" t="n">
        <v>46245</v>
      </c>
      <c r="TH264" s="9" t="n">
        <v>0</v>
      </c>
      <c r="TJ264" s="9" t="n">
        <v>0</v>
      </c>
      <c r="TK264" s="9" t="n">
        <v>0</v>
      </c>
      <c r="TO264" s="10" t="n">
        <v>46245</v>
      </c>
      <c r="TQ264" s="9" t="n">
        <v>0</v>
      </c>
      <c r="TS264" s="9" t="n">
        <v>0</v>
      </c>
      <c r="TT264" s="9" t="n">
        <v>0</v>
      </c>
      <c r="TX264" s="10" t="n">
        <v>46245</v>
      </c>
      <c r="TZ264" s="9" t="n">
        <v>0</v>
      </c>
      <c r="UB264" s="9" t="n">
        <v>0</v>
      </c>
      <c r="UC264" s="9" t="n">
        <v>46.79999999999998</v>
      </c>
      <c r="UG264" s="10" t="n">
        <v>46245</v>
      </c>
      <c r="UI264" s="9" t="n">
        <v>0</v>
      </c>
      <c r="UK264" s="9" t="n">
        <v>0</v>
      </c>
      <c r="UL264" s="9" t="n">
        <v>204</v>
      </c>
      <c r="UP264" s="10" t="n">
        <v>46245</v>
      </c>
      <c r="UR264" s="9" t="n">
        <v>0</v>
      </c>
      <c r="UT264" s="9" t="n">
        <v>0</v>
      </c>
      <c r="UU264" s="9" t="n">
        <v>202.5</v>
      </c>
      <c r="UY264" s="10" t="n">
        <v>46245</v>
      </c>
      <c r="VA264" s="9" t="n">
        <v>0</v>
      </c>
      <c r="VC264" s="9" t="n">
        <v>0</v>
      </c>
      <c r="VD264" s="9" t="n">
        <v>41.60000000000002</v>
      </c>
      <c r="VH264" s="10" t="n">
        <v>46245</v>
      </c>
      <c r="VJ264" s="9" t="n">
        <v>0</v>
      </c>
      <c r="VL264" s="9" t="n">
        <v>0</v>
      </c>
      <c r="VM264" s="9" t="n">
        <v>210</v>
      </c>
      <c r="VQ264" s="10" t="n">
        <v>46245</v>
      </c>
      <c r="VS264" s="9" t="n">
        <v>0</v>
      </c>
      <c r="VU264" s="9" t="n">
        <v>0</v>
      </c>
      <c r="VV264" s="9" t="n">
        <v>0</v>
      </c>
      <c r="VZ264" s="10" t="n">
        <v>46245</v>
      </c>
      <c r="WB264" s="9" t="n">
        <v>0</v>
      </c>
      <c r="WD264" s="9" t="n">
        <v>0</v>
      </c>
      <c r="WE264" s="9" t="n">
        <v>0</v>
      </c>
      <c r="WI264" s="10" t="n">
        <v>46245</v>
      </c>
      <c r="WK264" s="9" t="n">
        <v>0</v>
      </c>
      <c r="WM264" s="9" t="n">
        <v>0</v>
      </c>
      <c r="WN264" s="9" t="n">
        <v>1057</v>
      </c>
      <c r="WR264" s="10" t="n">
        <v>46245</v>
      </c>
      <c r="WT264" s="9" t="n">
        <v>0</v>
      </c>
      <c r="WV264" s="9" t="n">
        <v>0</v>
      </c>
      <c r="WW264" s="9" t="n">
        <v>0</v>
      </c>
      <c r="XA264" s="10" t="n">
        <v>46245</v>
      </c>
      <c r="XC264" s="9" t="n">
        <v>0</v>
      </c>
      <c r="XE264" s="9" t="n">
        <v>0</v>
      </c>
      <c r="XF264" s="9" t="n">
        <v>7507</v>
      </c>
      <c r="XJ264" s="10" t="n">
        <v>46245</v>
      </c>
      <c r="XL264" s="9" t="n">
        <v>0</v>
      </c>
      <c r="XN264" s="9" t="n">
        <v>0</v>
      </c>
      <c r="XO264" s="9" t="n">
        <v>4252</v>
      </c>
      <c r="XS264" s="10" t="n">
        <v>46245</v>
      </c>
      <c r="XU264" s="9" t="n">
        <v>0</v>
      </c>
      <c r="XW264" s="9" t="n">
        <v>0</v>
      </c>
      <c r="XX264" s="9" t="n">
        <v>2179</v>
      </c>
      <c r="YB264" s="10" t="n">
        <v>46245</v>
      </c>
      <c r="YD264" s="9" t="n">
        <v>0</v>
      </c>
      <c r="YF264" s="9" t="n">
        <v>0</v>
      </c>
      <c r="YG264" s="9" t="n">
        <v>4019</v>
      </c>
      <c r="YK264" s="10" t="n">
        <v>46245</v>
      </c>
      <c r="YM264" s="9" t="n">
        <v>0</v>
      </c>
      <c r="YO264" s="9" t="n">
        <v>0</v>
      </c>
      <c r="YP264" s="9" t="n">
        <v>-218</v>
      </c>
      <c r="YT264" s="10" t="n">
        <v>46245</v>
      </c>
      <c r="YV264" s="9" t="n">
        <v>0</v>
      </c>
      <c r="YX264" s="9" t="n">
        <v>0</v>
      </c>
      <c r="YY264" s="9" t="n">
        <v>0</v>
      </c>
      <c r="ZC264" s="10" t="n">
        <v>46245</v>
      </c>
      <c r="ZE264" s="9" t="n">
        <v>0</v>
      </c>
      <c r="ZG264" s="9" t="n">
        <v>0</v>
      </c>
      <c r="ZH264" s="9" t="n">
        <v>0</v>
      </c>
      <c r="ZL264" s="10" t="n">
        <v>46245</v>
      </c>
      <c r="ZN264" s="9" t="n">
        <v>0</v>
      </c>
      <c r="ZP264" s="9" t="n">
        <v>0</v>
      </c>
      <c r="ZQ264" s="9" t="n">
        <v>0</v>
      </c>
      <c r="ZU264" s="10" t="n">
        <v>46245</v>
      </c>
      <c r="ZW264" s="9" t="n">
        <v>0</v>
      </c>
      <c r="ZY264" s="9" t="n">
        <v>0</v>
      </c>
      <c r="ZZ264" s="9" t="n">
        <v>0</v>
      </c>
      <c r="AAD264" s="10" t="n">
        <v>46245</v>
      </c>
      <c r="AAF264" s="9" t="n">
        <v>0</v>
      </c>
      <c r="AAH264" s="9" t="n">
        <v>0</v>
      </c>
      <c r="AAI264" s="9" t="n">
        <v>0</v>
      </c>
      <c r="AAM264" s="10" t="n">
        <v>46245</v>
      </c>
      <c r="AAO264" s="9" t="n">
        <v>0</v>
      </c>
      <c r="AAQ264" s="9" t="n">
        <v>0</v>
      </c>
      <c r="AAR264" s="9" t="n">
        <v>0</v>
      </c>
      <c r="AAV264" s="10" t="n">
        <v>46245</v>
      </c>
      <c r="AAX264" s="9" t="n">
        <v>0</v>
      </c>
      <c r="AAZ264" s="9" t="n">
        <v>0</v>
      </c>
      <c r="ABA264" s="9" t="n">
        <v>0</v>
      </c>
      <c r="ABE264" s="10" t="n">
        <v>46245</v>
      </c>
      <c r="ABG264" s="9" t="n">
        <v>0</v>
      </c>
      <c r="ABI264" s="9" t="n">
        <v>0</v>
      </c>
      <c r="ABJ264" s="9" t="n">
        <v>0</v>
      </c>
    </row>
    <row r="265">
      <c r="C265" s="10" t="n">
        <v>46246</v>
      </c>
      <c r="E265" s="9" t="n">
        <v>4306.560000000001</v>
      </c>
      <c r="G265" s="9" t="n">
        <v>4306.560000000001</v>
      </c>
      <c r="H265" s="9" t="n">
        <v>201934.6</v>
      </c>
      <c r="L265" s="10" t="n">
        <v>46246</v>
      </c>
      <c r="N265" s="9" t="n">
        <v>2284.8</v>
      </c>
      <c r="P265" s="9" t="n">
        <v>2284.8</v>
      </c>
      <c r="Q265" s="9" t="n">
        <v>53017.60000000007</v>
      </c>
      <c r="U265" s="10" t="n">
        <v>46246</v>
      </c>
      <c r="W265" s="9" t="n">
        <v>400</v>
      </c>
      <c r="Y265" s="9" t="n">
        <v>400</v>
      </c>
      <c r="Z265" s="9" t="n">
        <v>42674.19999999997</v>
      </c>
      <c r="AD265" s="10" t="n">
        <v>46246</v>
      </c>
      <c r="AF265" s="9" t="n">
        <v>0</v>
      </c>
      <c r="AH265" s="9" t="n">
        <v>0</v>
      </c>
      <c r="AI265" s="9" t="n">
        <v>4522.200000000019</v>
      </c>
      <c r="AM265" s="10" t="n">
        <v>46246</v>
      </c>
      <c r="AO265" s="9" t="n">
        <v>0</v>
      </c>
      <c r="AQ265" s="9" t="n">
        <v>0</v>
      </c>
      <c r="AR265" s="9" t="n">
        <v>0</v>
      </c>
      <c r="AV265" s="10" t="n">
        <v>46246</v>
      </c>
      <c r="AX265" s="9" t="n">
        <v>160</v>
      </c>
      <c r="AZ265" s="9" t="n">
        <v>160</v>
      </c>
      <c r="BA265" s="9" t="n">
        <v>124.9999999999952</v>
      </c>
      <c r="BE265" s="10" t="n">
        <v>46246</v>
      </c>
      <c r="BG265" s="9" t="n">
        <v>120</v>
      </c>
      <c r="BI265" s="9" t="n">
        <v>120</v>
      </c>
      <c r="BJ265" s="9" t="n">
        <v>26151.9</v>
      </c>
      <c r="BN265" s="10" t="n">
        <v>46246</v>
      </c>
      <c r="BP265" s="9" t="n">
        <v>80</v>
      </c>
      <c r="BR265" s="9" t="n">
        <v>80</v>
      </c>
      <c r="BS265" s="9" t="n">
        <v>0</v>
      </c>
      <c r="BW265" s="10" t="n">
        <v>46246</v>
      </c>
      <c r="BY265" s="9" t="n">
        <v>12</v>
      </c>
      <c r="BZ265" s="9" t="n">
        <v>63</v>
      </c>
      <c r="CA265" s="9" t="n">
        <v>-51</v>
      </c>
      <c r="CB265" s="9" t="n">
        <v>2097.339999999999</v>
      </c>
      <c r="CF265" s="10" t="n">
        <v>46246</v>
      </c>
      <c r="CH265" s="9" t="n">
        <v>48.63999999999999</v>
      </c>
      <c r="CJ265" s="9" t="n">
        <v>48.63999999999999</v>
      </c>
      <c r="CK265" s="9" t="n">
        <v>-10277.08</v>
      </c>
      <c r="CO265" s="10" t="n">
        <v>46246</v>
      </c>
      <c r="CQ265" s="9" t="n">
        <v>0</v>
      </c>
      <c r="CS265" s="9" t="n">
        <v>0</v>
      </c>
      <c r="CT265" s="9" t="n">
        <v>0</v>
      </c>
      <c r="CX265" s="10" t="n">
        <v>46246</v>
      </c>
      <c r="CZ265" s="9" t="n">
        <v>0</v>
      </c>
      <c r="DB265" s="9" t="n">
        <v>0</v>
      </c>
      <c r="DC265" s="9" t="n">
        <v>27438.20000000001</v>
      </c>
      <c r="DG265" s="10" t="n">
        <v>46246</v>
      </c>
      <c r="DI265" s="9" t="n">
        <v>400</v>
      </c>
      <c r="DK265" s="9" t="n">
        <v>400</v>
      </c>
      <c r="DL265" s="9" t="n">
        <v>18782.29999999998</v>
      </c>
      <c r="DP265" s="10" t="n">
        <v>46246</v>
      </c>
      <c r="DR265" s="9" t="n">
        <v>0</v>
      </c>
      <c r="DT265" s="9" t="n">
        <v>0</v>
      </c>
      <c r="DU265" s="9" t="n">
        <v>5800</v>
      </c>
      <c r="DY265" s="10" t="n">
        <v>46246</v>
      </c>
      <c r="EA265" s="9" t="n">
        <v>0</v>
      </c>
      <c r="EC265" s="9" t="n">
        <v>0</v>
      </c>
      <c r="ED265" s="9" t="n">
        <v>0</v>
      </c>
      <c r="EH265" s="10" t="n">
        <v>46246</v>
      </c>
      <c r="EJ265" s="9" t="n">
        <v>0</v>
      </c>
      <c r="EL265" s="9" t="n">
        <v>0</v>
      </c>
      <c r="EM265" s="9" t="n">
        <v>0</v>
      </c>
      <c r="EQ265" s="10" t="n">
        <v>46246</v>
      </c>
      <c r="ES265" s="9" t="n">
        <v>0</v>
      </c>
      <c r="EU265" s="9" t="n">
        <v>0</v>
      </c>
      <c r="EV265" s="9" t="n">
        <v>0</v>
      </c>
      <c r="EZ265" s="10" t="n">
        <v>46246</v>
      </c>
      <c r="FB265" s="9" t="n">
        <v>0</v>
      </c>
      <c r="FD265" s="9" t="n">
        <v>0</v>
      </c>
      <c r="FE265" s="9" t="n">
        <v>0</v>
      </c>
      <c r="FI265" s="10" t="n">
        <v>46246</v>
      </c>
      <c r="FK265" s="9" t="n">
        <v>0</v>
      </c>
      <c r="FM265" s="9" t="n">
        <v>0</v>
      </c>
      <c r="FN265" s="9" t="n">
        <v>0</v>
      </c>
      <c r="FR265" s="10" t="n">
        <v>46246</v>
      </c>
      <c r="FT265" s="9" t="n">
        <v>0</v>
      </c>
      <c r="FV265" s="9" t="n">
        <v>0</v>
      </c>
      <c r="FW265" s="9" t="n">
        <v>20</v>
      </c>
      <c r="GA265" s="10" t="n">
        <v>46246</v>
      </c>
      <c r="GC265" s="9" t="n">
        <v>0</v>
      </c>
      <c r="GE265" s="9" t="n">
        <v>0</v>
      </c>
      <c r="GF265" s="9" t="n">
        <v>960</v>
      </c>
      <c r="GJ265" s="10" t="n">
        <v>46246</v>
      </c>
      <c r="GL265" s="9" t="n">
        <v>0</v>
      </c>
      <c r="GN265" s="9" t="n">
        <v>0</v>
      </c>
      <c r="GO265" s="9" t="n">
        <v>1760</v>
      </c>
      <c r="GS265" s="10" t="n">
        <v>46246</v>
      </c>
      <c r="GU265" s="9" t="n">
        <v>0</v>
      </c>
      <c r="GW265" s="9" t="n">
        <v>0</v>
      </c>
      <c r="GX265" s="9" t="n">
        <v>400</v>
      </c>
      <c r="HB265" s="10" t="n">
        <v>46246</v>
      </c>
      <c r="HD265" s="9" t="n">
        <v>0</v>
      </c>
      <c r="HF265" s="9" t="n">
        <v>0</v>
      </c>
      <c r="HG265" s="9" t="n">
        <v>3600</v>
      </c>
      <c r="HK265" s="10" t="n">
        <v>46246</v>
      </c>
      <c r="HM265" s="9" t="n">
        <v>0</v>
      </c>
      <c r="HO265" s="9" t="n">
        <v>0</v>
      </c>
      <c r="HP265" s="9" t="n">
        <v>0</v>
      </c>
      <c r="HU265" s="10" t="n">
        <v>46246</v>
      </c>
      <c r="HW265" s="9" t="n">
        <v>160</v>
      </c>
      <c r="HX265" s="9" t="n">
        <v>840</v>
      </c>
      <c r="HY265" s="9" t="n">
        <v>-680</v>
      </c>
      <c r="HZ265" s="9" t="n">
        <v>4280</v>
      </c>
      <c r="IA265" s="9" t="n">
        <v>42</v>
      </c>
      <c r="IB265" s="9" t="inlineStr">
        <is>
          <t>4 new, 38 old</t>
        </is>
      </c>
      <c r="ID265" s="10" t="n">
        <v>46246</v>
      </c>
      <c r="IF265" s="9" t="n">
        <v>0</v>
      </c>
      <c r="IG265" s="9" t="n">
        <v>660</v>
      </c>
      <c r="IH265" s="9" t="n">
        <v>-660</v>
      </c>
      <c r="II265" s="9" t="n">
        <v>60</v>
      </c>
      <c r="IJ265" s="9" t="n">
        <v>33</v>
      </c>
      <c r="IM265" s="10" t="n">
        <v>46246</v>
      </c>
      <c r="IO265" s="9" t="n">
        <v>0</v>
      </c>
      <c r="IQ265" s="9" t="n">
        <v>0</v>
      </c>
      <c r="IR265" s="9" t="n">
        <v>0</v>
      </c>
      <c r="IV265" s="10" t="n">
        <v>46246</v>
      </c>
      <c r="IX265" s="9" t="n">
        <v>0</v>
      </c>
      <c r="IY265" s="9" t="n">
        <v>2000</v>
      </c>
      <c r="IZ265" s="9" t="n">
        <v>-2000</v>
      </c>
      <c r="JA265" s="9" t="n">
        <v>2960</v>
      </c>
      <c r="JB265" s="9" t="n">
        <v>100</v>
      </c>
      <c r="JE265" s="10" t="n">
        <v>46246</v>
      </c>
      <c r="JG265" s="9" t="n">
        <v>0</v>
      </c>
      <c r="JI265" s="9" t="n">
        <v>0</v>
      </c>
      <c r="JJ265" s="9" t="n">
        <v>0</v>
      </c>
      <c r="JN265" s="10" t="n">
        <v>46246</v>
      </c>
      <c r="JP265" s="9" t="n">
        <v>0</v>
      </c>
      <c r="JR265" s="9" t="n">
        <v>0</v>
      </c>
      <c r="JS265" s="9" t="n">
        <v>0</v>
      </c>
      <c r="JW265" s="10" t="n">
        <v>46246</v>
      </c>
      <c r="JY265" s="9" t="n">
        <v>0</v>
      </c>
      <c r="KA265" s="9" t="n">
        <v>0</v>
      </c>
      <c r="KB265" s="9" t="n">
        <v>2540</v>
      </c>
      <c r="KF265" s="10" t="n">
        <v>46246</v>
      </c>
      <c r="KH265" s="9" t="n">
        <v>0</v>
      </c>
      <c r="KJ265" s="9" t="n">
        <v>0</v>
      </c>
      <c r="KK265" s="9" t="n">
        <v>2359.5</v>
      </c>
      <c r="KO265" s="10" t="n">
        <v>46246</v>
      </c>
      <c r="KQ265" s="9" t="n">
        <v>0</v>
      </c>
      <c r="KS265" s="9" t="n">
        <v>0</v>
      </c>
      <c r="KT265" s="9" t="n">
        <v>1890</v>
      </c>
      <c r="KX265" s="10" t="n">
        <v>46246</v>
      </c>
      <c r="KZ265" s="9" t="n">
        <v>0</v>
      </c>
      <c r="LB265" s="9" t="n">
        <v>0</v>
      </c>
      <c r="LC265" s="9" t="n">
        <v>3690</v>
      </c>
      <c r="LG265" s="10" t="n">
        <v>46246</v>
      </c>
      <c r="LI265" s="9" t="n">
        <v>0</v>
      </c>
      <c r="LK265" s="9" t="n">
        <v>0</v>
      </c>
      <c r="LL265" s="9" t="n">
        <v>4000</v>
      </c>
      <c r="LP265" s="10" t="n">
        <v>46246</v>
      </c>
      <c r="LR265" s="9" t="n">
        <v>0</v>
      </c>
      <c r="LT265" s="9" t="n">
        <v>0</v>
      </c>
      <c r="LU265" s="9" t="n">
        <v>0</v>
      </c>
      <c r="LY265" s="10" t="n">
        <v>46246</v>
      </c>
      <c r="MA265" s="9" t="n">
        <v>0</v>
      </c>
      <c r="MC265" s="9" t="n">
        <v>0</v>
      </c>
      <c r="MD265" s="9" t="n">
        <v>0</v>
      </c>
      <c r="MH265" s="10" t="n">
        <v>46246</v>
      </c>
      <c r="MJ265" s="9" t="n">
        <v>0</v>
      </c>
      <c r="ML265" s="9" t="n">
        <v>0</v>
      </c>
      <c r="MM265" s="9" t="n">
        <v>0</v>
      </c>
      <c r="MQ265" s="10" t="n">
        <v>46246</v>
      </c>
      <c r="MS265" s="9" t="n">
        <v>4</v>
      </c>
      <c r="MT265" s="9" t="n">
        <v>142</v>
      </c>
      <c r="MU265" s="9" t="n">
        <v>-138</v>
      </c>
      <c r="MV265" s="9" t="n">
        <v>1789</v>
      </c>
      <c r="MZ265" s="10" t="n">
        <v>46246</v>
      </c>
      <c r="NB265" s="9" t="n">
        <v>24</v>
      </c>
      <c r="ND265" s="9" t="n">
        <v>24</v>
      </c>
      <c r="NE265" s="9" t="n">
        <v>0</v>
      </c>
      <c r="NI265" s="10" t="n">
        <v>46246</v>
      </c>
      <c r="NK265" s="9" t="n">
        <v>0</v>
      </c>
      <c r="NM265" s="9" t="n">
        <v>0</v>
      </c>
      <c r="NN265" s="9" t="n">
        <v>1127</v>
      </c>
      <c r="NR265" s="10" t="n">
        <v>46246</v>
      </c>
      <c r="NT265" s="9" t="n">
        <v>0</v>
      </c>
      <c r="NV265" s="9" t="n">
        <v>0</v>
      </c>
      <c r="NW265" s="9" t="n">
        <v>3112</v>
      </c>
      <c r="OA265" s="10" t="n">
        <v>46246</v>
      </c>
      <c r="OC265" s="9" t="n">
        <v>0</v>
      </c>
      <c r="OE265" s="9" t="n">
        <v>0</v>
      </c>
      <c r="OF265" s="9" t="n">
        <v>1680.5</v>
      </c>
      <c r="OJ265" s="10" t="n">
        <v>46246</v>
      </c>
      <c r="OL265" s="9" t="n">
        <v>0</v>
      </c>
      <c r="ON265" s="9" t="n">
        <v>0</v>
      </c>
      <c r="OO265" s="9" t="n">
        <v>0</v>
      </c>
      <c r="OS265" s="10" t="n">
        <v>46246</v>
      </c>
      <c r="OU265" s="9" t="n">
        <v>0</v>
      </c>
      <c r="OW265" s="9" t="n">
        <v>0</v>
      </c>
      <c r="OX265" s="9" t="n">
        <v>1482</v>
      </c>
      <c r="PB265" s="10" t="n">
        <v>46246</v>
      </c>
      <c r="PD265" s="9" t="n">
        <v>0</v>
      </c>
      <c r="PF265" s="9" t="n">
        <v>0</v>
      </c>
      <c r="PG265" s="9" t="n">
        <v>0</v>
      </c>
      <c r="PK265" s="10" t="n">
        <v>46246</v>
      </c>
      <c r="PM265" s="9" t="n">
        <v>0</v>
      </c>
      <c r="PO265" s="9" t="n">
        <v>0</v>
      </c>
      <c r="PP265" s="9" t="n">
        <v>100</v>
      </c>
      <c r="PT265" s="10" t="n">
        <v>46246</v>
      </c>
      <c r="PV265" s="9" t="n">
        <v>0</v>
      </c>
      <c r="PX265" s="9" t="n">
        <v>0</v>
      </c>
      <c r="PY265" s="9" t="n">
        <v>13.96000000000004</v>
      </c>
      <c r="QC265" s="10" t="n">
        <v>46246</v>
      </c>
      <c r="QE265" s="9" t="n">
        <v>0</v>
      </c>
      <c r="QF265" s="9" t="n">
        <v>400</v>
      </c>
      <c r="QG265" s="9" t="n">
        <v>-400</v>
      </c>
      <c r="QH265" s="9" t="n">
        <v>548</v>
      </c>
      <c r="QL265" s="10" t="n">
        <v>46246</v>
      </c>
      <c r="QN265" s="9" t="n">
        <v>0</v>
      </c>
      <c r="QP265" s="9" t="n">
        <v>0</v>
      </c>
      <c r="QQ265" s="9" t="n">
        <v>0</v>
      </c>
      <c r="QU265" s="10" t="n">
        <v>46246</v>
      </c>
      <c r="QW265" s="9" t="n">
        <v>0</v>
      </c>
      <c r="QY265" s="9" t="n">
        <v>0</v>
      </c>
      <c r="QZ265" s="9" t="n">
        <v>207.6</v>
      </c>
      <c r="RD265" s="10" t="n">
        <v>46246</v>
      </c>
      <c r="RF265" s="9" t="n">
        <v>0</v>
      </c>
      <c r="RH265" s="9" t="n">
        <v>0</v>
      </c>
      <c r="RI265" s="9" t="n">
        <v>147.04</v>
      </c>
      <c r="RM265" s="10" t="n">
        <v>46246</v>
      </c>
      <c r="RO265" s="9" t="n">
        <v>0</v>
      </c>
      <c r="RQ265" s="9" t="n">
        <v>0</v>
      </c>
      <c r="RR265" s="9" t="n">
        <v>46.8</v>
      </c>
      <c r="RV265" s="10" t="n">
        <v>46246</v>
      </c>
      <c r="RX265" s="9" t="n">
        <v>0</v>
      </c>
      <c r="RZ265" s="9" t="n">
        <v>0</v>
      </c>
      <c r="SA265" s="9" t="n">
        <v>0</v>
      </c>
      <c r="SE265" s="10" t="n">
        <v>46246</v>
      </c>
      <c r="SG265" s="9" t="n">
        <v>0</v>
      </c>
      <c r="SI265" s="9" t="n">
        <v>0</v>
      </c>
      <c r="SJ265" s="9" t="n">
        <v>24.2</v>
      </c>
      <c r="SN265" s="10" t="n">
        <v>46246</v>
      </c>
      <c r="SP265" s="9" t="n">
        <v>0</v>
      </c>
      <c r="SR265" s="9" t="n">
        <v>0</v>
      </c>
      <c r="SS265" s="9" t="n">
        <v>32</v>
      </c>
      <c r="SW265" s="10" t="n">
        <v>46246</v>
      </c>
      <c r="SY265" s="9" t="n">
        <v>0</v>
      </c>
      <c r="TA265" s="9" t="n">
        <v>0</v>
      </c>
      <c r="TB265" s="9" t="n">
        <v>0</v>
      </c>
      <c r="TF265" s="10" t="n">
        <v>46246</v>
      </c>
      <c r="TH265" s="9" t="n">
        <v>0</v>
      </c>
      <c r="TJ265" s="9" t="n">
        <v>0</v>
      </c>
      <c r="TK265" s="9" t="n">
        <v>0</v>
      </c>
      <c r="TO265" s="10" t="n">
        <v>46246</v>
      </c>
      <c r="TQ265" s="9" t="n">
        <v>0</v>
      </c>
      <c r="TS265" s="9" t="n">
        <v>0</v>
      </c>
      <c r="TT265" s="9" t="n">
        <v>0</v>
      </c>
      <c r="TX265" s="10" t="n">
        <v>46246</v>
      </c>
      <c r="TZ265" s="9" t="n">
        <v>0</v>
      </c>
      <c r="UB265" s="9" t="n">
        <v>0</v>
      </c>
      <c r="UC265" s="9" t="n">
        <v>46.79999999999998</v>
      </c>
      <c r="UG265" s="10" t="n">
        <v>46246</v>
      </c>
      <c r="UI265" s="9" t="n">
        <v>0</v>
      </c>
      <c r="UK265" s="9" t="n">
        <v>0</v>
      </c>
      <c r="UL265" s="9" t="n">
        <v>204</v>
      </c>
      <c r="UP265" s="10" t="n">
        <v>46246</v>
      </c>
      <c r="UR265" s="9" t="n">
        <v>0</v>
      </c>
      <c r="UT265" s="9" t="n">
        <v>0</v>
      </c>
      <c r="UU265" s="9" t="n">
        <v>202.5</v>
      </c>
      <c r="UY265" s="10" t="n">
        <v>46246</v>
      </c>
      <c r="VA265" s="9" t="n">
        <v>0</v>
      </c>
      <c r="VC265" s="9" t="n">
        <v>0</v>
      </c>
      <c r="VD265" s="9" t="n">
        <v>41.60000000000002</v>
      </c>
      <c r="VH265" s="10" t="n">
        <v>46246</v>
      </c>
      <c r="VJ265" s="9" t="n">
        <v>0</v>
      </c>
      <c r="VL265" s="9" t="n">
        <v>0</v>
      </c>
      <c r="VM265" s="9" t="n">
        <v>210</v>
      </c>
      <c r="VQ265" s="10" t="n">
        <v>46246</v>
      </c>
      <c r="VS265" s="9" t="n">
        <v>0</v>
      </c>
      <c r="VU265" s="9" t="n">
        <v>0</v>
      </c>
      <c r="VV265" s="9" t="n">
        <v>0</v>
      </c>
      <c r="VZ265" s="10" t="n">
        <v>46246</v>
      </c>
      <c r="WB265" s="9" t="n">
        <v>0</v>
      </c>
      <c r="WD265" s="9" t="n">
        <v>0</v>
      </c>
      <c r="WE265" s="9" t="n">
        <v>0</v>
      </c>
      <c r="WI265" s="10" t="n">
        <v>46246</v>
      </c>
      <c r="WK265" s="9" t="n">
        <v>0</v>
      </c>
      <c r="WM265" s="9" t="n">
        <v>0</v>
      </c>
      <c r="WN265" s="9" t="n">
        <v>1057</v>
      </c>
      <c r="WR265" s="10" t="n">
        <v>46246</v>
      </c>
      <c r="WT265" s="9" t="n">
        <v>0</v>
      </c>
      <c r="WV265" s="9" t="n">
        <v>0</v>
      </c>
      <c r="WW265" s="9" t="n">
        <v>0</v>
      </c>
      <c r="XA265" s="10" t="n">
        <v>46246</v>
      </c>
      <c r="XC265" s="9" t="n">
        <v>0</v>
      </c>
      <c r="XE265" s="9" t="n">
        <v>0</v>
      </c>
      <c r="XF265" s="9" t="n">
        <v>7507</v>
      </c>
      <c r="XJ265" s="10" t="n">
        <v>46246</v>
      </c>
      <c r="XL265" s="9" t="n">
        <v>0</v>
      </c>
      <c r="XN265" s="9" t="n">
        <v>0</v>
      </c>
      <c r="XO265" s="9" t="n">
        <v>4252</v>
      </c>
      <c r="XS265" s="10" t="n">
        <v>46246</v>
      </c>
      <c r="XU265" s="9" t="n">
        <v>0</v>
      </c>
      <c r="XW265" s="9" t="n">
        <v>0</v>
      </c>
      <c r="XX265" s="9" t="n">
        <v>2179</v>
      </c>
      <c r="YB265" s="10" t="n">
        <v>46246</v>
      </c>
      <c r="YD265" s="9" t="n">
        <v>0</v>
      </c>
      <c r="YF265" s="9" t="n">
        <v>0</v>
      </c>
      <c r="YG265" s="9" t="n">
        <v>4019</v>
      </c>
      <c r="YK265" s="10" t="n">
        <v>46246</v>
      </c>
      <c r="YM265" s="9" t="n">
        <v>0</v>
      </c>
      <c r="YO265" s="9" t="n">
        <v>0</v>
      </c>
      <c r="YP265" s="9" t="n">
        <v>-218</v>
      </c>
      <c r="YT265" s="10" t="n">
        <v>46246</v>
      </c>
      <c r="YV265" s="9" t="n">
        <v>0</v>
      </c>
      <c r="YX265" s="9" t="n">
        <v>0</v>
      </c>
      <c r="YY265" s="9" t="n">
        <v>0</v>
      </c>
      <c r="ZC265" s="10" t="n">
        <v>46246</v>
      </c>
      <c r="ZE265" s="9" t="n">
        <v>0</v>
      </c>
      <c r="ZG265" s="9" t="n">
        <v>0</v>
      </c>
      <c r="ZH265" s="9" t="n">
        <v>0</v>
      </c>
      <c r="ZL265" s="10" t="n">
        <v>46246</v>
      </c>
      <c r="ZN265" s="9" t="n">
        <v>0</v>
      </c>
      <c r="ZP265" s="9" t="n">
        <v>0</v>
      </c>
      <c r="ZQ265" s="9" t="n">
        <v>0</v>
      </c>
      <c r="ZU265" s="10" t="n">
        <v>46246</v>
      </c>
      <c r="ZW265" s="9" t="n">
        <v>0</v>
      </c>
      <c r="ZY265" s="9" t="n">
        <v>0</v>
      </c>
      <c r="ZZ265" s="9" t="n">
        <v>0</v>
      </c>
      <c r="AAD265" s="10" t="n">
        <v>46246</v>
      </c>
      <c r="AAF265" s="9" t="n">
        <v>0</v>
      </c>
      <c r="AAH265" s="9" t="n">
        <v>0</v>
      </c>
      <c r="AAI265" s="9" t="n">
        <v>0</v>
      </c>
      <c r="AAM265" s="10" t="n">
        <v>46246</v>
      </c>
      <c r="AAO265" s="9" t="n">
        <v>0</v>
      </c>
      <c r="AAQ265" s="9" t="n">
        <v>0</v>
      </c>
      <c r="AAR265" s="9" t="n">
        <v>0</v>
      </c>
      <c r="AAV265" s="10" t="n">
        <v>46246</v>
      </c>
      <c r="AAX265" s="9" t="n">
        <v>0</v>
      </c>
      <c r="AAZ265" s="9" t="n">
        <v>0</v>
      </c>
      <c r="ABA265" s="9" t="n">
        <v>0</v>
      </c>
      <c r="ABE265" s="10" t="n">
        <v>46246</v>
      </c>
      <c r="ABG265" s="9" t="n">
        <v>0</v>
      </c>
      <c r="ABI265" s="9" t="n">
        <v>0</v>
      </c>
      <c r="ABJ265" s="9" t="n">
        <v>0</v>
      </c>
    </row>
    <row r="266">
      <c r="C266" s="10" t="n">
        <v>46247</v>
      </c>
      <c r="D266" s="9" t="n">
        <v>35002</v>
      </c>
      <c r="E266" s="9" t="n">
        <v>10702</v>
      </c>
      <c r="G266" s="9" t="n">
        <v>10702</v>
      </c>
      <c r="H266" s="9" t="n">
        <v>236936.6</v>
      </c>
      <c r="L266" s="10" t="n">
        <v>46247</v>
      </c>
      <c r="N266" s="9" t="n">
        <v>6525</v>
      </c>
      <c r="P266" s="9" t="n">
        <v>6525</v>
      </c>
      <c r="Q266" s="9" t="n">
        <v>53017.60000000007</v>
      </c>
      <c r="U266" s="10" t="n">
        <v>46247</v>
      </c>
      <c r="W266" s="9" t="n">
        <v>500</v>
      </c>
      <c r="Y266" s="9" t="n">
        <v>500</v>
      </c>
      <c r="Z266" s="9" t="n">
        <v>42674.19999999997</v>
      </c>
      <c r="AD266" s="10" t="n">
        <v>46247</v>
      </c>
      <c r="AF266" s="9" t="n">
        <v>1000</v>
      </c>
      <c r="AH266" s="9" t="n">
        <v>1000</v>
      </c>
      <c r="AI266" s="9" t="n">
        <v>4522.200000000019</v>
      </c>
      <c r="AM266" s="10" t="n">
        <v>46247</v>
      </c>
      <c r="AO266" s="9" t="n">
        <v>0</v>
      </c>
      <c r="AQ266" s="9" t="n">
        <v>0</v>
      </c>
      <c r="AR266" s="9" t="n">
        <v>0</v>
      </c>
      <c r="AV266" s="10" t="n">
        <v>46247</v>
      </c>
      <c r="AX266" s="9" t="n">
        <v>400</v>
      </c>
      <c r="AZ266" s="9" t="n">
        <v>400</v>
      </c>
      <c r="BA266" s="9" t="n">
        <v>124.9999999999952</v>
      </c>
      <c r="BE266" s="10" t="n">
        <v>46247</v>
      </c>
      <c r="BG266" s="9" t="n">
        <v>0</v>
      </c>
      <c r="BI266" s="9" t="n">
        <v>0</v>
      </c>
      <c r="BJ266" s="9" t="n">
        <v>26151.9</v>
      </c>
      <c r="BN266" s="10" t="n">
        <v>46247</v>
      </c>
      <c r="BP266" s="9" t="n">
        <v>400</v>
      </c>
      <c r="BR266" s="9" t="n">
        <v>400</v>
      </c>
      <c r="BS266" s="9" t="n">
        <v>0</v>
      </c>
      <c r="BW266" s="10" t="n">
        <v>46247</v>
      </c>
      <c r="BY266" s="9" t="n">
        <v>45.00000000000001</v>
      </c>
      <c r="CA266" s="9" t="n">
        <v>45.00000000000001</v>
      </c>
      <c r="CB266" s="9" t="n">
        <v>2097.339999999999</v>
      </c>
      <c r="CF266" s="10" t="n">
        <v>46247</v>
      </c>
      <c r="CH266" s="9" t="n">
        <v>18</v>
      </c>
      <c r="CJ266" s="9" t="n">
        <v>18</v>
      </c>
      <c r="CK266" s="9" t="n">
        <v>-10277.08</v>
      </c>
      <c r="CO266" s="10" t="n">
        <v>46247</v>
      </c>
      <c r="CQ266" s="9" t="n">
        <v>0</v>
      </c>
      <c r="CS266" s="9" t="n">
        <v>0</v>
      </c>
      <c r="CT266" s="9" t="n">
        <v>0</v>
      </c>
      <c r="CX266" s="10" t="n">
        <v>46247</v>
      </c>
      <c r="CZ266" s="9" t="n">
        <v>0</v>
      </c>
      <c r="DB266" s="9" t="n">
        <v>0</v>
      </c>
      <c r="DC266" s="9" t="n">
        <v>27438.20000000001</v>
      </c>
      <c r="DG266" s="10" t="n">
        <v>46247</v>
      </c>
      <c r="DI266" s="9" t="n">
        <v>0</v>
      </c>
      <c r="DK266" s="9" t="n">
        <v>0</v>
      </c>
      <c r="DL266" s="9" t="n">
        <v>18782.29999999998</v>
      </c>
      <c r="DP266" s="10" t="n">
        <v>46247</v>
      </c>
      <c r="DR266" s="9" t="n">
        <v>0</v>
      </c>
      <c r="DT266" s="9" t="n">
        <v>0</v>
      </c>
      <c r="DU266" s="9" t="n">
        <v>5800</v>
      </c>
      <c r="DY266" s="10" t="n">
        <v>46247</v>
      </c>
      <c r="EA266" s="9" t="n">
        <v>0</v>
      </c>
      <c r="EC266" s="9" t="n">
        <v>0</v>
      </c>
      <c r="ED266" s="9" t="n">
        <v>0</v>
      </c>
      <c r="EH266" s="10" t="n">
        <v>46247</v>
      </c>
      <c r="EJ266" s="9" t="n">
        <v>0</v>
      </c>
      <c r="EL266" s="9" t="n">
        <v>0</v>
      </c>
      <c r="EM266" s="9" t="n">
        <v>0</v>
      </c>
      <c r="EQ266" s="10" t="n">
        <v>46247</v>
      </c>
      <c r="ES266" s="9" t="n">
        <v>0</v>
      </c>
      <c r="EU266" s="9" t="n">
        <v>0</v>
      </c>
      <c r="EV266" s="9" t="n">
        <v>0</v>
      </c>
      <c r="EZ266" s="10" t="n">
        <v>46247</v>
      </c>
      <c r="FB266" s="9" t="n">
        <v>0</v>
      </c>
      <c r="FD266" s="9" t="n">
        <v>0</v>
      </c>
      <c r="FE266" s="9" t="n">
        <v>0</v>
      </c>
      <c r="FI266" s="10" t="n">
        <v>46247</v>
      </c>
      <c r="FK266" s="9" t="n">
        <v>0</v>
      </c>
      <c r="FM266" s="9" t="n">
        <v>0</v>
      </c>
      <c r="FN266" s="9" t="n">
        <v>0</v>
      </c>
      <c r="FR266" s="10" t="n">
        <v>46247</v>
      </c>
      <c r="FT266" s="9" t="n">
        <v>400</v>
      </c>
      <c r="FV266" s="9" t="n">
        <v>400</v>
      </c>
      <c r="FW266" s="9" t="n">
        <v>20</v>
      </c>
      <c r="GA266" s="10" t="n">
        <v>46247</v>
      </c>
      <c r="GC266" s="9" t="n">
        <v>0</v>
      </c>
      <c r="GE266" s="9" t="n">
        <v>0</v>
      </c>
      <c r="GF266" s="9" t="n">
        <v>960</v>
      </c>
      <c r="GJ266" s="10" t="n">
        <v>46247</v>
      </c>
      <c r="GL266" s="9" t="n">
        <v>0</v>
      </c>
      <c r="GN266" s="9" t="n">
        <v>0</v>
      </c>
      <c r="GO266" s="9" t="n">
        <v>1760</v>
      </c>
      <c r="GS266" s="10" t="n">
        <v>46247</v>
      </c>
      <c r="GU266" s="9" t="n">
        <v>0</v>
      </c>
      <c r="GW266" s="9" t="n">
        <v>0</v>
      </c>
      <c r="GX266" s="9" t="n">
        <v>400</v>
      </c>
      <c r="HB266" s="10" t="n">
        <v>46247</v>
      </c>
      <c r="HD266" s="9" t="n">
        <v>0</v>
      </c>
      <c r="HF266" s="9" t="n">
        <v>0</v>
      </c>
      <c r="HG266" s="9" t="n">
        <v>3600</v>
      </c>
      <c r="HK266" s="10" t="n">
        <v>46247</v>
      </c>
      <c r="HM266" s="9" t="n">
        <v>0</v>
      </c>
      <c r="HO266" s="9" t="n">
        <v>0</v>
      </c>
      <c r="HP266" s="9" t="n">
        <v>0</v>
      </c>
      <c r="HU266" s="10" t="n">
        <v>46247</v>
      </c>
      <c r="HW266" s="9" t="n">
        <v>0</v>
      </c>
      <c r="HY266" s="9" t="n">
        <v>0</v>
      </c>
      <c r="HZ266" s="9" t="n">
        <v>4280</v>
      </c>
      <c r="ID266" s="10" t="n">
        <v>46247</v>
      </c>
      <c r="IF266" s="9" t="n">
        <v>0</v>
      </c>
      <c r="IH266" s="9" t="n">
        <v>0</v>
      </c>
      <c r="II266" s="9" t="n">
        <v>60</v>
      </c>
      <c r="IM266" s="10" t="n">
        <v>46247</v>
      </c>
      <c r="IO266" s="9" t="n">
        <v>0</v>
      </c>
      <c r="IQ266" s="9" t="n">
        <v>0</v>
      </c>
      <c r="IR266" s="9" t="n">
        <v>0</v>
      </c>
      <c r="IV266" s="10" t="n">
        <v>46247</v>
      </c>
      <c r="IX266" s="9" t="n">
        <v>0</v>
      </c>
      <c r="IZ266" s="9" t="n">
        <v>0</v>
      </c>
      <c r="JA266" s="9" t="n">
        <v>2960</v>
      </c>
      <c r="JE266" s="10" t="n">
        <v>46247</v>
      </c>
      <c r="JG266" s="9" t="n">
        <v>0</v>
      </c>
      <c r="JI266" s="9" t="n">
        <v>0</v>
      </c>
      <c r="JJ266" s="9" t="n">
        <v>0</v>
      </c>
      <c r="JN266" s="10" t="n">
        <v>46247</v>
      </c>
      <c r="JP266" s="9" t="n">
        <v>0</v>
      </c>
      <c r="JR266" s="9" t="n">
        <v>0</v>
      </c>
      <c r="JS266" s="9" t="n">
        <v>0</v>
      </c>
      <c r="JW266" s="10" t="n">
        <v>46247</v>
      </c>
      <c r="JY266" s="9" t="n">
        <v>0</v>
      </c>
      <c r="KA266" s="9" t="n">
        <v>0</v>
      </c>
      <c r="KB266" s="9" t="n">
        <v>2540</v>
      </c>
      <c r="KF266" s="10" t="n">
        <v>46247</v>
      </c>
      <c r="KH266" s="9" t="n">
        <v>0</v>
      </c>
      <c r="KJ266" s="9" t="n">
        <v>0</v>
      </c>
      <c r="KK266" s="9" t="n">
        <v>2359.5</v>
      </c>
      <c r="KO266" s="10" t="n">
        <v>46247</v>
      </c>
      <c r="KQ266" s="9" t="n">
        <v>0</v>
      </c>
      <c r="KS266" s="9" t="n">
        <v>0</v>
      </c>
      <c r="KT266" s="9" t="n">
        <v>1890</v>
      </c>
      <c r="KX266" s="10" t="n">
        <v>46247</v>
      </c>
      <c r="KZ266" s="9" t="n">
        <v>0</v>
      </c>
      <c r="LB266" s="9" t="n">
        <v>0</v>
      </c>
      <c r="LC266" s="9" t="n">
        <v>3690</v>
      </c>
      <c r="LG266" s="10" t="n">
        <v>46247</v>
      </c>
      <c r="LI266" s="9" t="n">
        <v>0</v>
      </c>
      <c r="LK266" s="9" t="n">
        <v>0</v>
      </c>
      <c r="LL266" s="9" t="n">
        <v>4000</v>
      </c>
      <c r="LP266" s="10" t="n">
        <v>46247</v>
      </c>
      <c r="LR266" s="9" t="n">
        <v>0</v>
      </c>
      <c r="LT266" s="9" t="n">
        <v>0</v>
      </c>
      <c r="LU266" s="9" t="n">
        <v>0</v>
      </c>
      <c r="LY266" s="10" t="n">
        <v>46247</v>
      </c>
      <c r="MA266" s="9" t="n">
        <v>0</v>
      </c>
      <c r="MC266" s="9" t="n">
        <v>0</v>
      </c>
      <c r="MD266" s="9" t="n">
        <v>0</v>
      </c>
      <c r="MH266" s="10" t="n">
        <v>46247</v>
      </c>
      <c r="MJ266" s="9" t="n">
        <v>0</v>
      </c>
      <c r="ML266" s="9" t="n">
        <v>0</v>
      </c>
      <c r="MM266" s="9" t="n">
        <v>0</v>
      </c>
      <c r="MQ266" s="10" t="n">
        <v>46247</v>
      </c>
      <c r="MS266" s="9" t="n">
        <v>10</v>
      </c>
      <c r="MT266" s="9" t="n">
        <v>164</v>
      </c>
      <c r="MU266" s="9" t="n">
        <v>-154</v>
      </c>
      <c r="MV266" s="9" t="n">
        <v>1625</v>
      </c>
      <c r="MZ266" s="10" t="n">
        <v>46247</v>
      </c>
      <c r="NB266" s="9" t="n">
        <v>0</v>
      </c>
      <c r="ND266" s="9" t="n">
        <v>0</v>
      </c>
      <c r="NE266" s="9" t="n">
        <v>0</v>
      </c>
      <c r="NI266" s="10" t="n">
        <v>46247</v>
      </c>
      <c r="NK266" s="9" t="n">
        <v>0</v>
      </c>
      <c r="NM266" s="9" t="n">
        <v>0</v>
      </c>
      <c r="NN266" s="9" t="n">
        <v>1127</v>
      </c>
      <c r="NR266" s="10" t="n">
        <v>46247</v>
      </c>
      <c r="NT266" s="9" t="n">
        <v>0</v>
      </c>
      <c r="NV266" s="9" t="n">
        <v>0</v>
      </c>
      <c r="NW266" s="9" t="n">
        <v>3112</v>
      </c>
      <c r="OA266" s="10" t="n">
        <v>46247</v>
      </c>
      <c r="OC266" s="9" t="n">
        <v>0</v>
      </c>
      <c r="OE266" s="9" t="n">
        <v>0</v>
      </c>
      <c r="OF266" s="9" t="n">
        <v>1680.5</v>
      </c>
      <c r="OJ266" s="10" t="n">
        <v>46247</v>
      </c>
      <c r="OL266" s="9" t="n">
        <v>0</v>
      </c>
      <c r="ON266" s="9" t="n">
        <v>0</v>
      </c>
      <c r="OO266" s="9" t="n">
        <v>0</v>
      </c>
      <c r="OS266" s="10" t="n">
        <v>46247</v>
      </c>
      <c r="OU266" s="9" t="n">
        <v>0</v>
      </c>
      <c r="OW266" s="9" t="n">
        <v>0</v>
      </c>
      <c r="OX266" s="9" t="n">
        <v>1482</v>
      </c>
      <c r="PB266" s="10" t="n">
        <v>46247</v>
      </c>
      <c r="PD266" s="9" t="n">
        <v>0</v>
      </c>
      <c r="PF266" s="9" t="n">
        <v>0</v>
      </c>
      <c r="PG266" s="9" t="n">
        <v>0</v>
      </c>
      <c r="PK266" s="10" t="n">
        <v>46247</v>
      </c>
      <c r="PM266" s="9" t="n">
        <v>0</v>
      </c>
      <c r="PO266" s="9" t="n">
        <v>0</v>
      </c>
      <c r="PP266" s="9" t="n">
        <v>100</v>
      </c>
      <c r="PT266" s="10" t="n">
        <v>46247</v>
      </c>
      <c r="PV266" s="9" t="n">
        <v>0</v>
      </c>
      <c r="PX266" s="9" t="n">
        <v>0</v>
      </c>
      <c r="PY266" s="9" t="n">
        <v>13.96000000000004</v>
      </c>
      <c r="QC266" s="10" t="n">
        <v>46247</v>
      </c>
      <c r="QE266" s="9" t="n">
        <v>0</v>
      </c>
      <c r="QG266" s="9" t="n">
        <v>0</v>
      </c>
      <c r="QH266" s="9" t="n">
        <v>548</v>
      </c>
      <c r="QL266" s="10" t="n">
        <v>46247</v>
      </c>
      <c r="QN266" s="9" t="n">
        <v>0</v>
      </c>
      <c r="QP266" s="9" t="n">
        <v>0</v>
      </c>
      <c r="QQ266" s="9" t="n">
        <v>0</v>
      </c>
      <c r="QU266" s="10" t="n">
        <v>46247</v>
      </c>
      <c r="QW266" s="9" t="n">
        <v>0</v>
      </c>
      <c r="QX266" s="9" t="n">
        <v>207.6</v>
      </c>
      <c r="QY266" s="9" t="n">
        <v>-207.6</v>
      </c>
      <c r="QZ266" s="9" t="n">
        <v>0</v>
      </c>
      <c r="RD266" s="10" t="n">
        <v>46247</v>
      </c>
      <c r="RF266" s="9" t="n">
        <v>0</v>
      </c>
      <c r="RH266" s="9" t="n">
        <v>0</v>
      </c>
      <c r="RI266" s="9" t="n">
        <v>147.04</v>
      </c>
      <c r="RM266" s="10" t="n">
        <v>46247</v>
      </c>
      <c r="RO266" s="9" t="n">
        <v>0</v>
      </c>
      <c r="RQ266" s="9" t="n">
        <v>0</v>
      </c>
      <c r="RR266" s="9" t="n">
        <v>46.8</v>
      </c>
      <c r="RV266" s="10" t="n">
        <v>46247</v>
      </c>
      <c r="RX266" s="9" t="n">
        <v>0</v>
      </c>
      <c r="RZ266" s="9" t="n">
        <v>0</v>
      </c>
      <c r="SA266" s="9" t="n">
        <v>0</v>
      </c>
      <c r="SE266" s="10" t="n">
        <v>46247</v>
      </c>
      <c r="SG266" s="9" t="n">
        <v>0</v>
      </c>
      <c r="SI266" s="9" t="n">
        <v>0</v>
      </c>
      <c r="SJ266" s="9" t="n">
        <v>24.2</v>
      </c>
      <c r="SN266" s="10" t="n">
        <v>46247</v>
      </c>
      <c r="SP266" s="9" t="n">
        <v>0</v>
      </c>
      <c r="SR266" s="9" t="n">
        <v>0</v>
      </c>
      <c r="SS266" s="9" t="n">
        <v>32</v>
      </c>
      <c r="SW266" s="10" t="n">
        <v>46247</v>
      </c>
      <c r="SY266" s="9" t="n">
        <v>0</v>
      </c>
      <c r="TA266" s="9" t="n">
        <v>0</v>
      </c>
      <c r="TB266" s="9" t="n">
        <v>0</v>
      </c>
      <c r="TF266" s="10" t="n">
        <v>46247</v>
      </c>
      <c r="TH266" s="9" t="n">
        <v>0</v>
      </c>
      <c r="TJ266" s="9" t="n">
        <v>0</v>
      </c>
      <c r="TK266" s="9" t="n">
        <v>0</v>
      </c>
      <c r="TO266" s="10" t="n">
        <v>46247</v>
      </c>
      <c r="TQ266" s="9" t="n">
        <v>0</v>
      </c>
      <c r="TS266" s="9" t="n">
        <v>0</v>
      </c>
      <c r="TT266" s="9" t="n">
        <v>0</v>
      </c>
      <c r="TX266" s="10" t="n">
        <v>46247</v>
      </c>
      <c r="TZ266" s="9" t="n">
        <v>0</v>
      </c>
      <c r="UB266" s="9" t="n">
        <v>0</v>
      </c>
      <c r="UC266" s="9" t="n">
        <v>46.79999999999998</v>
      </c>
      <c r="UG266" s="10" t="n">
        <v>46247</v>
      </c>
      <c r="UI266" s="9" t="n">
        <v>0</v>
      </c>
      <c r="UK266" s="9" t="n">
        <v>0</v>
      </c>
      <c r="UL266" s="9" t="n">
        <v>204</v>
      </c>
      <c r="UP266" s="10" t="n">
        <v>46247</v>
      </c>
      <c r="UR266" s="9" t="n">
        <v>0</v>
      </c>
      <c r="UT266" s="9" t="n">
        <v>0</v>
      </c>
      <c r="UU266" s="9" t="n">
        <v>202.5</v>
      </c>
      <c r="UY266" s="10" t="n">
        <v>46247</v>
      </c>
      <c r="VA266" s="9" t="n">
        <v>0</v>
      </c>
      <c r="VC266" s="9" t="n">
        <v>0</v>
      </c>
      <c r="VD266" s="9" t="n">
        <v>41.60000000000002</v>
      </c>
      <c r="VH266" s="10" t="n">
        <v>46247</v>
      </c>
      <c r="VJ266" s="9" t="n">
        <v>0</v>
      </c>
      <c r="VL266" s="9" t="n">
        <v>0</v>
      </c>
      <c r="VM266" s="9" t="n">
        <v>210</v>
      </c>
      <c r="VQ266" s="10" t="n">
        <v>46247</v>
      </c>
      <c r="VS266" s="9" t="n">
        <v>0</v>
      </c>
      <c r="VU266" s="9" t="n">
        <v>0</v>
      </c>
      <c r="VV266" s="9" t="n">
        <v>0</v>
      </c>
      <c r="VZ266" s="10" t="n">
        <v>46247</v>
      </c>
      <c r="WB266" s="9" t="n">
        <v>0</v>
      </c>
      <c r="WD266" s="9" t="n">
        <v>0</v>
      </c>
      <c r="WE266" s="9" t="n">
        <v>0</v>
      </c>
      <c r="WI266" s="10" t="n">
        <v>46247</v>
      </c>
      <c r="WK266" s="9" t="n">
        <v>0</v>
      </c>
      <c r="WM266" s="9" t="n">
        <v>0</v>
      </c>
      <c r="WN266" s="9" t="n">
        <v>1057</v>
      </c>
      <c r="WR266" s="10" t="n">
        <v>46247</v>
      </c>
      <c r="WT266" s="9" t="n">
        <v>0</v>
      </c>
      <c r="WV266" s="9" t="n">
        <v>0</v>
      </c>
      <c r="WW266" s="9" t="n">
        <v>0</v>
      </c>
      <c r="XA266" s="10" t="n">
        <v>46247</v>
      </c>
      <c r="XC266" s="9" t="n">
        <v>0</v>
      </c>
      <c r="XE266" s="9" t="n">
        <v>0</v>
      </c>
      <c r="XF266" s="9" t="n">
        <v>7507</v>
      </c>
      <c r="XJ266" s="10" t="n">
        <v>46247</v>
      </c>
      <c r="XL266" s="9" t="n">
        <v>0</v>
      </c>
      <c r="XN266" s="9" t="n">
        <v>0</v>
      </c>
      <c r="XO266" s="9" t="n">
        <v>4252</v>
      </c>
      <c r="XS266" s="10" t="n">
        <v>46247</v>
      </c>
      <c r="XU266" s="9" t="n">
        <v>0</v>
      </c>
      <c r="XW266" s="9" t="n">
        <v>0</v>
      </c>
      <c r="XX266" s="9" t="n">
        <v>2179</v>
      </c>
      <c r="YB266" s="10" t="n">
        <v>46247</v>
      </c>
      <c r="YD266" s="9" t="n">
        <v>0</v>
      </c>
      <c r="YF266" s="9" t="n">
        <v>0</v>
      </c>
      <c r="YG266" s="9" t="n">
        <v>4019</v>
      </c>
      <c r="YK266" s="10" t="n">
        <v>46247</v>
      </c>
      <c r="YM266" s="9" t="n">
        <v>0</v>
      </c>
      <c r="YO266" s="9" t="n">
        <v>0</v>
      </c>
      <c r="YP266" s="9" t="n">
        <v>-218</v>
      </c>
      <c r="YT266" s="10" t="n">
        <v>46247</v>
      </c>
      <c r="YV266" s="9" t="n">
        <v>0</v>
      </c>
      <c r="YX266" s="9" t="n">
        <v>0</v>
      </c>
      <c r="YY266" s="9" t="n">
        <v>0</v>
      </c>
      <c r="ZC266" s="10" t="n">
        <v>46247</v>
      </c>
      <c r="ZE266" s="9" t="n">
        <v>0</v>
      </c>
      <c r="ZG266" s="9" t="n">
        <v>0</v>
      </c>
      <c r="ZH266" s="9" t="n">
        <v>0</v>
      </c>
      <c r="ZL266" s="10" t="n">
        <v>46247</v>
      </c>
      <c r="ZN266" s="9" t="n">
        <v>0</v>
      </c>
      <c r="ZP266" s="9" t="n">
        <v>0</v>
      </c>
      <c r="ZQ266" s="9" t="n">
        <v>0</v>
      </c>
      <c r="ZU266" s="10" t="n">
        <v>46247</v>
      </c>
      <c r="ZW266" s="9" t="n">
        <v>0</v>
      </c>
      <c r="ZY266" s="9" t="n">
        <v>0</v>
      </c>
      <c r="ZZ266" s="9" t="n">
        <v>0</v>
      </c>
      <c r="AAD266" s="10" t="n">
        <v>46247</v>
      </c>
      <c r="AAF266" s="9" t="n">
        <v>0</v>
      </c>
      <c r="AAH266" s="9" t="n">
        <v>0</v>
      </c>
      <c r="AAI266" s="9" t="n">
        <v>0</v>
      </c>
      <c r="AAM266" s="10" t="n">
        <v>46247</v>
      </c>
      <c r="AAO266" s="9" t="n">
        <v>0</v>
      </c>
      <c r="AAQ266" s="9" t="n">
        <v>0</v>
      </c>
      <c r="AAR266" s="9" t="n">
        <v>0</v>
      </c>
      <c r="AAV266" s="10" t="n">
        <v>46247</v>
      </c>
      <c r="AAX266" s="9" t="n">
        <v>0</v>
      </c>
      <c r="AAZ266" s="9" t="n">
        <v>0</v>
      </c>
      <c r="ABA266" s="9" t="n">
        <v>0</v>
      </c>
      <c r="ABE266" s="10" t="n">
        <v>46247</v>
      </c>
      <c r="ABG266" s="9" t="n">
        <v>0</v>
      </c>
      <c r="ABI266" s="9" t="n">
        <v>0</v>
      </c>
      <c r="ABJ266" s="9" t="n">
        <v>0</v>
      </c>
    </row>
    <row r="267">
      <c r="C267" s="10" t="n">
        <v>46248</v>
      </c>
      <c r="E267" s="9" t="n">
        <v>10879</v>
      </c>
      <c r="G267" s="9" t="n">
        <v>10879</v>
      </c>
      <c r="H267" s="9" t="n">
        <v>236936.6</v>
      </c>
      <c r="L267" s="10" t="n">
        <v>46248</v>
      </c>
      <c r="N267" s="9" t="n">
        <v>5950</v>
      </c>
      <c r="P267" s="9" t="n">
        <v>5950</v>
      </c>
      <c r="Q267" s="9" t="n">
        <v>53017.60000000007</v>
      </c>
      <c r="U267" s="10" t="n">
        <v>46248</v>
      </c>
      <c r="W267" s="9" t="n">
        <v>1200</v>
      </c>
      <c r="Y267" s="9" t="n">
        <v>1200</v>
      </c>
      <c r="Z267" s="9" t="n">
        <v>42674.19999999997</v>
      </c>
      <c r="AD267" s="10" t="n">
        <v>46248</v>
      </c>
      <c r="AF267" s="9" t="n">
        <v>0</v>
      </c>
      <c r="AH267" s="9" t="n">
        <v>0</v>
      </c>
      <c r="AI267" s="9" t="n">
        <v>4522.200000000019</v>
      </c>
      <c r="AM267" s="10" t="n">
        <v>46248</v>
      </c>
      <c r="AO267" s="9" t="n">
        <v>0</v>
      </c>
      <c r="AQ267" s="9" t="n">
        <v>0</v>
      </c>
      <c r="AR267" s="9" t="n">
        <v>0</v>
      </c>
      <c r="AV267" s="10" t="n">
        <v>46248</v>
      </c>
      <c r="AX267" s="9" t="n">
        <v>0</v>
      </c>
      <c r="AZ267" s="9" t="n">
        <v>0</v>
      </c>
      <c r="BA267" s="9" t="n">
        <v>124.9999999999952</v>
      </c>
      <c r="BE267" s="10" t="n">
        <v>46248</v>
      </c>
      <c r="BG267" s="9" t="n">
        <v>0</v>
      </c>
      <c r="BI267" s="9" t="n">
        <v>0</v>
      </c>
      <c r="BJ267" s="9" t="n">
        <v>26151.9</v>
      </c>
      <c r="BN267" s="10" t="n">
        <v>46248</v>
      </c>
      <c r="BP267" s="9" t="n">
        <v>100</v>
      </c>
      <c r="BR267" s="9" t="n">
        <v>100</v>
      </c>
      <c r="BS267" s="9" t="n">
        <v>0</v>
      </c>
      <c r="BW267" s="10" t="n">
        <v>46248</v>
      </c>
      <c r="BY267" s="9" t="n">
        <v>147.1</v>
      </c>
      <c r="CA267" s="9" t="n">
        <v>147.1</v>
      </c>
      <c r="CB267" s="9" t="n">
        <v>2097.339999999999</v>
      </c>
      <c r="CF267" s="10" t="n">
        <v>46248</v>
      </c>
      <c r="CH267" s="9" t="n">
        <v>0</v>
      </c>
      <c r="CJ267" s="9" t="n">
        <v>0</v>
      </c>
      <c r="CK267" s="9" t="n">
        <v>-10277.08</v>
      </c>
      <c r="CO267" s="10" t="n">
        <v>46248</v>
      </c>
      <c r="CQ267" s="9" t="n">
        <v>0</v>
      </c>
      <c r="CS267" s="9" t="n">
        <v>0</v>
      </c>
      <c r="CT267" s="9" t="n">
        <v>0</v>
      </c>
      <c r="CX267" s="10" t="n">
        <v>46248</v>
      </c>
      <c r="CZ267" s="9" t="n">
        <v>400</v>
      </c>
      <c r="DB267" s="9" t="n">
        <v>400</v>
      </c>
      <c r="DC267" s="9" t="n">
        <v>27438.20000000001</v>
      </c>
      <c r="DG267" s="10" t="n">
        <v>46248</v>
      </c>
      <c r="DI267" s="9" t="n">
        <v>0</v>
      </c>
      <c r="DK267" s="9" t="n">
        <v>0</v>
      </c>
      <c r="DL267" s="9" t="n">
        <v>18782.29999999998</v>
      </c>
      <c r="DP267" s="10" t="n">
        <v>46248</v>
      </c>
      <c r="DR267" s="9" t="n">
        <v>0</v>
      </c>
      <c r="DT267" s="9" t="n">
        <v>0</v>
      </c>
      <c r="DU267" s="9" t="n">
        <v>5800</v>
      </c>
      <c r="DY267" s="10" t="n">
        <v>46248</v>
      </c>
      <c r="EA267" s="9" t="n">
        <v>0</v>
      </c>
      <c r="EC267" s="9" t="n">
        <v>0</v>
      </c>
      <c r="ED267" s="9" t="n">
        <v>0</v>
      </c>
      <c r="EH267" s="10" t="n">
        <v>46248</v>
      </c>
      <c r="EJ267" s="9" t="n">
        <v>0</v>
      </c>
      <c r="EL267" s="9" t="n">
        <v>0</v>
      </c>
      <c r="EM267" s="9" t="n">
        <v>0</v>
      </c>
      <c r="EQ267" s="10" t="n">
        <v>46248</v>
      </c>
      <c r="ES267" s="9" t="n">
        <v>0</v>
      </c>
      <c r="EU267" s="9" t="n">
        <v>0</v>
      </c>
      <c r="EV267" s="9" t="n">
        <v>0</v>
      </c>
      <c r="EZ267" s="10" t="n">
        <v>46248</v>
      </c>
      <c r="FB267" s="9" t="n">
        <v>0</v>
      </c>
      <c r="FD267" s="9" t="n">
        <v>0</v>
      </c>
      <c r="FE267" s="9" t="n">
        <v>0</v>
      </c>
      <c r="FI267" s="10" t="n">
        <v>46248</v>
      </c>
      <c r="FK267" s="9" t="n">
        <v>0</v>
      </c>
      <c r="FM267" s="9" t="n">
        <v>0</v>
      </c>
      <c r="FN267" s="9" t="n">
        <v>0</v>
      </c>
      <c r="FR267" s="10" t="n">
        <v>46248</v>
      </c>
      <c r="FT267" s="9" t="n">
        <v>0</v>
      </c>
      <c r="FV267" s="9" t="n">
        <v>0</v>
      </c>
      <c r="FW267" s="9" t="n">
        <v>20</v>
      </c>
      <c r="GA267" s="10" t="n">
        <v>46248</v>
      </c>
      <c r="GC267" s="9" t="n">
        <v>0</v>
      </c>
      <c r="GE267" s="9" t="n">
        <v>0</v>
      </c>
      <c r="GF267" s="9" t="n">
        <v>960</v>
      </c>
      <c r="GJ267" s="10" t="n">
        <v>46248</v>
      </c>
      <c r="GL267" s="9" t="n">
        <v>0</v>
      </c>
      <c r="GN267" s="9" t="n">
        <v>0</v>
      </c>
      <c r="GO267" s="9" t="n">
        <v>1760</v>
      </c>
      <c r="GS267" s="10" t="n">
        <v>46248</v>
      </c>
      <c r="GU267" s="9" t="n">
        <v>0</v>
      </c>
      <c r="GW267" s="9" t="n">
        <v>0</v>
      </c>
      <c r="GX267" s="9" t="n">
        <v>400</v>
      </c>
      <c r="HB267" s="10" t="n">
        <v>46248</v>
      </c>
      <c r="HD267" s="9" t="n">
        <v>0</v>
      </c>
      <c r="HF267" s="9" t="n">
        <v>0</v>
      </c>
      <c r="HG267" s="9" t="n">
        <v>3600</v>
      </c>
      <c r="HK267" s="10" t="n">
        <v>46248</v>
      </c>
      <c r="HM267" s="9" t="n">
        <v>0</v>
      </c>
      <c r="HO267" s="9" t="n">
        <v>0</v>
      </c>
      <c r="HP267" s="9" t="n">
        <v>0</v>
      </c>
      <c r="HU267" s="10" t="n">
        <v>46248</v>
      </c>
      <c r="HW267" s="9" t="n">
        <v>0</v>
      </c>
      <c r="HY267" s="9" t="n">
        <v>0</v>
      </c>
      <c r="HZ267" s="9" t="n">
        <v>4280</v>
      </c>
      <c r="ID267" s="10" t="n">
        <v>46248</v>
      </c>
      <c r="IF267" s="9" t="n">
        <v>0</v>
      </c>
      <c r="IH267" s="9" t="n">
        <v>0</v>
      </c>
      <c r="II267" s="9" t="n">
        <v>60</v>
      </c>
      <c r="IM267" s="10" t="n">
        <v>46248</v>
      </c>
      <c r="IO267" s="9" t="n">
        <v>0</v>
      </c>
      <c r="IQ267" s="9" t="n">
        <v>0</v>
      </c>
      <c r="IR267" s="9" t="n">
        <v>0</v>
      </c>
      <c r="IV267" s="10" t="n">
        <v>46248</v>
      </c>
      <c r="IX267" s="9" t="n">
        <v>0</v>
      </c>
      <c r="IZ267" s="9" t="n">
        <v>0</v>
      </c>
      <c r="JA267" s="9" t="n">
        <v>2960</v>
      </c>
      <c r="JE267" s="10" t="n">
        <v>46248</v>
      </c>
      <c r="JG267" s="9" t="n">
        <v>0</v>
      </c>
      <c r="JI267" s="9" t="n">
        <v>0</v>
      </c>
      <c r="JJ267" s="9" t="n">
        <v>0</v>
      </c>
      <c r="JN267" s="10" t="n">
        <v>46248</v>
      </c>
      <c r="JP267" s="9" t="n">
        <v>0</v>
      </c>
      <c r="JR267" s="9" t="n">
        <v>0</v>
      </c>
      <c r="JS267" s="9" t="n">
        <v>0</v>
      </c>
      <c r="JW267" s="10" t="n">
        <v>46248</v>
      </c>
      <c r="JY267" s="9" t="n">
        <v>0</v>
      </c>
      <c r="KA267" s="9" t="n">
        <v>0</v>
      </c>
      <c r="KB267" s="9" t="n">
        <v>2540</v>
      </c>
      <c r="KF267" s="10" t="n">
        <v>46248</v>
      </c>
      <c r="KH267" s="9" t="n">
        <v>0</v>
      </c>
      <c r="KJ267" s="9" t="n">
        <v>0</v>
      </c>
      <c r="KK267" s="9" t="n">
        <v>2359.5</v>
      </c>
      <c r="KO267" s="10" t="n">
        <v>46248</v>
      </c>
      <c r="KQ267" s="9" t="n">
        <v>0</v>
      </c>
      <c r="KS267" s="9" t="n">
        <v>0</v>
      </c>
      <c r="KT267" s="9" t="n">
        <v>1890</v>
      </c>
      <c r="KX267" s="10" t="n">
        <v>46248</v>
      </c>
      <c r="KZ267" s="9" t="n">
        <v>0</v>
      </c>
      <c r="LB267" s="9" t="n">
        <v>0</v>
      </c>
      <c r="LC267" s="9" t="n">
        <v>3690</v>
      </c>
      <c r="LG267" s="10" t="n">
        <v>46248</v>
      </c>
      <c r="LI267" s="9" t="n">
        <v>0</v>
      </c>
      <c r="LK267" s="9" t="n">
        <v>0</v>
      </c>
      <c r="LL267" s="9" t="n">
        <v>4000</v>
      </c>
      <c r="LP267" s="10" t="n">
        <v>46248</v>
      </c>
      <c r="LR267" s="9" t="n">
        <v>0</v>
      </c>
      <c r="LT267" s="9" t="n">
        <v>0</v>
      </c>
      <c r="LU267" s="9" t="n">
        <v>0</v>
      </c>
      <c r="LY267" s="10" t="n">
        <v>46248</v>
      </c>
      <c r="MA267" s="9" t="n">
        <v>0</v>
      </c>
      <c r="MC267" s="9" t="n">
        <v>0</v>
      </c>
      <c r="MD267" s="9" t="n">
        <v>0</v>
      </c>
      <c r="MH267" s="10" t="n">
        <v>46248</v>
      </c>
      <c r="MJ267" s="9" t="n">
        <v>0</v>
      </c>
      <c r="ML267" s="9" t="n">
        <v>0</v>
      </c>
      <c r="MM267" s="9" t="n">
        <v>0</v>
      </c>
      <c r="MQ267" s="10" t="n">
        <v>46248</v>
      </c>
      <c r="MS267" s="9" t="n">
        <v>0</v>
      </c>
      <c r="MU267" s="9" t="n">
        <v>0</v>
      </c>
      <c r="MV267" s="9" t="n">
        <v>1625</v>
      </c>
      <c r="MZ267" s="10" t="n">
        <v>46248</v>
      </c>
      <c r="NB267" s="9" t="n">
        <v>0</v>
      </c>
      <c r="ND267" s="9" t="n">
        <v>0</v>
      </c>
      <c r="NE267" s="9" t="n">
        <v>0</v>
      </c>
      <c r="NI267" s="10" t="n">
        <v>46248</v>
      </c>
      <c r="NK267" s="9" t="n">
        <v>0</v>
      </c>
      <c r="NM267" s="9" t="n">
        <v>0</v>
      </c>
      <c r="NN267" s="9" t="n">
        <v>1127</v>
      </c>
      <c r="NR267" s="10" t="n">
        <v>46248</v>
      </c>
      <c r="NT267" s="9" t="n">
        <v>0</v>
      </c>
      <c r="NV267" s="9" t="n">
        <v>0</v>
      </c>
      <c r="NW267" s="9" t="n">
        <v>3112</v>
      </c>
      <c r="OA267" s="10" t="n">
        <v>46248</v>
      </c>
      <c r="OC267" s="9" t="n">
        <v>0</v>
      </c>
      <c r="OE267" s="9" t="n">
        <v>0</v>
      </c>
      <c r="OF267" s="9" t="n">
        <v>1680.5</v>
      </c>
      <c r="OJ267" s="10" t="n">
        <v>46248</v>
      </c>
      <c r="OL267" s="9" t="n">
        <v>0</v>
      </c>
      <c r="ON267" s="9" t="n">
        <v>0</v>
      </c>
      <c r="OO267" s="9" t="n">
        <v>0</v>
      </c>
      <c r="OS267" s="10" t="n">
        <v>46248</v>
      </c>
      <c r="OU267" s="9" t="n">
        <v>0</v>
      </c>
      <c r="OW267" s="9" t="n">
        <v>0</v>
      </c>
      <c r="OX267" s="9" t="n">
        <v>1482</v>
      </c>
      <c r="PB267" s="10" t="n">
        <v>46248</v>
      </c>
      <c r="PD267" s="9" t="n">
        <v>0</v>
      </c>
      <c r="PF267" s="9" t="n">
        <v>0</v>
      </c>
      <c r="PG267" s="9" t="n">
        <v>0</v>
      </c>
      <c r="PK267" s="10" t="n">
        <v>46248</v>
      </c>
      <c r="PM267" s="9" t="n">
        <v>0</v>
      </c>
      <c r="PO267" s="9" t="n">
        <v>0</v>
      </c>
      <c r="PP267" s="9" t="n">
        <v>100</v>
      </c>
      <c r="PT267" s="10" t="n">
        <v>46248</v>
      </c>
      <c r="PV267" s="9" t="n">
        <v>0</v>
      </c>
      <c r="PX267" s="9" t="n">
        <v>0</v>
      </c>
      <c r="PY267" s="9" t="n">
        <v>13.96000000000004</v>
      </c>
      <c r="QC267" s="10" t="n">
        <v>46248</v>
      </c>
      <c r="QE267" s="9" t="n">
        <v>0</v>
      </c>
      <c r="QG267" s="9" t="n">
        <v>0</v>
      </c>
      <c r="QH267" s="9" t="n">
        <v>548</v>
      </c>
      <c r="QL267" s="10" t="n">
        <v>46248</v>
      </c>
      <c r="QN267" s="9" t="n">
        <v>0</v>
      </c>
      <c r="QP267" s="9" t="n">
        <v>0</v>
      </c>
      <c r="QQ267" s="9" t="n">
        <v>0</v>
      </c>
      <c r="QU267" s="10" t="n">
        <v>46248</v>
      </c>
      <c r="QW267" s="9" t="n">
        <v>0</v>
      </c>
      <c r="QY267" s="9" t="n">
        <v>0</v>
      </c>
      <c r="QZ267" s="9" t="n">
        <v>0</v>
      </c>
      <c r="RD267" s="10" t="n">
        <v>46248</v>
      </c>
      <c r="RF267" s="9" t="n">
        <v>0</v>
      </c>
      <c r="RH267" s="9" t="n">
        <v>0</v>
      </c>
      <c r="RI267" s="9" t="n">
        <v>147.04</v>
      </c>
      <c r="RM267" s="10" t="n">
        <v>46248</v>
      </c>
      <c r="RO267" s="9" t="n">
        <v>0</v>
      </c>
      <c r="RQ267" s="9" t="n">
        <v>0</v>
      </c>
      <c r="RR267" s="9" t="n">
        <v>46.8</v>
      </c>
      <c r="RV267" s="10" t="n">
        <v>46248</v>
      </c>
      <c r="RX267" s="9" t="n">
        <v>0</v>
      </c>
      <c r="RZ267" s="9" t="n">
        <v>0</v>
      </c>
      <c r="SA267" s="9" t="n">
        <v>0</v>
      </c>
      <c r="SE267" s="10" t="n">
        <v>46248</v>
      </c>
      <c r="SG267" s="9" t="n">
        <v>0</v>
      </c>
      <c r="SI267" s="9" t="n">
        <v>0</v>
      </c>
      <c r="SJ267" s="9" t="n">
        <v>24.2</v>
      </c>
      <c r="SN267" s="10" t="n">
        <v>46248</v>
      </c>
      <c r="SP267" s="9" t="n">
        <v>0</v>
      </c>
      <c r="SR267" s="9" t="n">
        <v>0</v>
      </c>
      <c r="SS267" s="9" t="n">
        <v>32</v>
      </c>
      <c r="SW267" s="10" t="n">
        <v>46248</v>
      </c>
      <c r="SY267" s="9" t="n">
        <v>0</v>
      </c>
      <c r="TA267" s="9" t="n">
        <v>0</v>
      </c>
      <c r="TB267" s="9" t="n">
        <v>0</v>
      </c>
      <c r="TF267" s="10" t="n">
        <v>46248</v>
      </c>
      <c r="TH267" s="9" t="n">
        <v>0</v>
      </c>
      <c r="TJ267" s="9" t="n">
        <v>0</v>
      </c>
      <c r="TK267" s="9" t="n">
        <v>0</v>
      </c>
      <c r="TO267" s="10" t="n">
        <v>46248</v>
      </c>
      <c r="TQ267" s="9" t="n">
        <v>0</v>
      </c>
      <c r="TS267" s="9" t="n">
        <v>0</v>
      </c>
      <c r="TT267" s="9" t="n">
        <v>0</v>
      </c>
      <c r="TX267" s="10" t="n">
        <v>46248</v>
      </c>
      <c r="TZ267" s="9" t="n">
        <v>0</v>
      </c>
      <c r="UB267" s="9" t="n">
        <v>0</v>
      </c>
      <c r="UC267" s="9" t="n">
        <v>46.79999999999998</v>
      </c>
      <c r="UG267" s="10" t="n">
        <v>46248</v>
      </c>
      <c r="UI267" s="9" t="n">
        <v>0</v>
      </c>
      <c r="UK267" s="9" t="n">
        <v>0</v>
      </c>
      <c r="UL267" s="9" t="n">
        <v>204</v>
      </c>
      <c r="UP267" s="10" t="n">
        <v>46248</v>
      </c>
      <c r="UR267" s="9" t="n">
        <v>0</v>
      </c>
      <c r="UT267" s="9" t="n">
        <v>0</v>
      </c>
      <c r="UU267" s="9" t="n">
        <v>202.5</v>
      </c>
      <c r="UY267" s="10" t="n">
        <v>46248</v>
      </c>
      <c r="VA267" s="9" t="n">
        <v>0</v>
      </c>
      <c r="VC267" s="9" t="n">
        <v>0</v>
      </c>
      <c r="VD267" s="9" t="n">
        <v>41.60000000000002</v>
      </c>
      <c r="VH267" s="10" t="n">
        <v>46248</v>
      </c>
      <c r="VJ267" s="9" t="n">
        <v>0</v>
      </c>
      <c r="VL267" s="9" t="n">
        <v>0</v>
      </c>
      <c r="VM267" s="9" t="n">
        <v>210</v>
      </c>
      <c r="VQ267" s="10" t="n">
        <v>46248</v>
      </c>
      <c r="VS267" s="9" t="n">
        <v>0</v>
      </c>
      <c r="VU267" s="9" t="n">
        <v>0</v>
      </c>
      <c r="VV267" s="9" t="n">
        <v>0</v>
      </c>
      <c r="VZ267" s="10" t="n">
        <v>46248</v>
      </c>
      <c r="WB267" s="9" t="n">
        <v>0</v>
      </c>
      <c r="WD267" s="9" t="n">
        <v>0</v>
      </c>
      <c r="WE267" s="9" t="n">
        <v>0</v>
      </c>
      <c r="WI267" s="10" t="n">
        <v>46248</v>
      </c>
      <c r="WK267" s="9" t="n">
        <v>0</v>
      </c>
      <c r="WM267" s="9" t="n">
        <v>0</v>
      </c>
      <c r="WN267" s="9" t="n">
        <v>1057</v>
      </c>
      <c r="WR267" s="10" t="n">
        <v>46248</v>
      </c>
      <c r="WT267" s="9" t="n">
        <v>0</v>
      </c>
      <c r="WV267" s="9" t="n">
        <v>0</v>
      </c>
      <c r="WW267" s="9" t="n">
        <v>0</v>
      </c>
      <c r="XA267" s="10" t="n">
        <v>46248</v>
      </c>
      <c r="XC267" s="9" t="n">
        <v>0</v>
      </c>
      <c r="XE267" s="9" t="n">
        <v>0</v>
      </c>
      <c r="XF267" s="9" t="n">
        <v>7507</v>
      </c>
      <c r="XJ267" s="10" t="n">
        <v>46248</v>
      </c>
      <c r="XL267" s="9" t="n">
        <v>0</v>
      </c>
      <c r="XN267" s="9" t="n">
        <v>0</v>
      </c>
      <c r="XO267" s="9" t="n">
        <v>4252</v>
      </c>
      <c r="XS267" s="10" t="n">
        <v>46248</v>
      </c>
      <c r="XU267" s="9" t="n">
        <v>0</v>
      </c>
      <c r="XW267" s="9" t="n">
        <v>0</v>
      </c>
      <c r="XX267" s="9" t="n">
        <v>2179</v>
      </c>
      <c r="YB267" s="10" t="n">
        <v>46248</v>
      </c>
      <c r="YD267" s="9" t="n">
        <v>0</v>
      </c>
      <c r="YF267" s="9" t="n">
        <v>0</v>
      </c>
      <c r="YG267" s="9" t="n">
        <v>4019</v>
      </c>
      <c r="YK267" s="10" t="n">
        <v>46248</v>
      </c>
      <c r="YM267" s="9" t="n">
        <v>0</v>
      </c>
      <c r="YO267" s="9" t="n">
        <v>0</v>
      </c>
      <c r="YP267" s="9" t="n">
        <v>-218</v>
      </c>
      <c r="YT267" s="10" t="n">
        <v>46248</v>
      </c>
      <c r="YV267" s="9" t="n">
        <v>0</v>
      </c>
      <c r="YX267" s="9" t="n">
        <v>0</v>
      </c>
      <c r="YY267" s="9" t="n">
        <v>0</v>
      </c>
      <c r="ZC267" s="10" t="n">
        <v>46248</v>
      </c>
      <c r="ZE267" s="9" t="n">
        <v>0</v>
      </c>
      <c r="ZG267" s="9" t="n">
        <v>0</v>
      </c>
      <c r="ZH267" s="9" t="n">
        <v>0</v>
      </c>
      <c r="ZL267" s="10" t="n">
        <v>46248</v>
      </c>
      <c r="ZN267" s="9" t="n">
        <v>0</v>
      </c>
      <c r="ZP267" s="9" t="n">
        <v>0</v>
      </c>
      <c r="ZQ267" s="9" t="n">
        <v>0</v>
      </c>
      <c r="ZU267" s="10" t="n">
        <v>46248</v>
      </c>
      <c r="ZW267" s="9" t="n">
        <v>0</v>
      </c>
      <c r="ZY267" s="9" t="n">
        <v>0</v>
      </c>
      <c r="ZZ267" s="9" t="n">
        <v>0</v>
      </c>
      <c r="AAD267" s="10" t="n">
        <v>46248</v>
      </c>
      <c r="AAF267" s="9" t="n">
        <v>0</v>
      </c>
      <c r="AAH267" s="9" t="n">
        <v>0</v>
      </c>
      <c r="AAI267" s="9" t="n">
        <v>0</v>
      </c>
      <c r="AAM267" s="10" t="n">
        <v>46248</v>
      </c>
      <c r="AAO267" s="9" t="n">
        <v>0</v>
      </c>
      <c r="AAQ267" s="9" t="n">
        <v>0</v>
      </c>
      <c r="AAR267" s="9" t="n">
        <v>0</v>
      </c>
      <c r="AAV267" s="10" t="n">
        <v>46248</v>
      </c>
      <c r="AAX267" s="9" t="n">
        <v>0</v>
      </c>
      <c r="AAZ267" s="9" t="n">
        <v>0</v>
      </c>
      <c r="ABA267" s="9" t="n">
        <v>0</v>
      </c>
      <c r="ABE267" s="10" t="n">
        <v>46248</v>
      </c>
      <c r="ABG267" s="9" t="n">
        <v>0</v>
      </c>
      <c r="ABI267" s="9" t="n">
        <v>0</v>
      </c>
      <c r="ABJ267" s="9" t="n">
        <v>0</v>
      </c>
    </row>
    <row r="268">
      <c r="C268" s="10" t="n">
        <v>46249</v>
      </c>
      <c r="E268" s="9" t="n">
        <v>0</v>
      </c>
      <c r="G268" s="9" t="n">
        <v>0</v>
      </c>
      <c r="H268" s="9" t="n">
        <v>236936.6</v>
      </c>
      <c r="L268" s="10" t="n">
        <v>46249</v>
      </c>
      <c r="N268" s="9" t="n">
        <v>0</v>
      </c>
      <c r="P268" s="9" t="n">
        <v>0</v>
      </c>
      <c r="Q268" s="9" t="n">
        <v>53017.60000000007</v>
      </c>
      <c r="U268" s="10" t="n">
        <v>46249</v>
      </c>
      <c r="W268" s="9" t="n">
        <v>0</v>
      </c>
      <c r="Y268" s="9" t="n">
        <v>0</v>
      </c>
      <c r="Z268" s="9" t="n">
        <v>42674.19999999997</v>
      </c>
      <c r="AD268" s="10" t="n">
        <v>46249</v>
      </c>
      <c r="AF268" s="9" t="n">
        <v>0</v>
      </c>
      <c r="AH268" s="9" t="n">
        <v>0</v>
      </c>
      <c r="AI268" s="9" t="n">
        <v>4522.200000000019</v>
      </c>
      <c r="AM268" s="10" t="n">
        <v>46249</v>
      </c>
      <c r="AO268" s="9" t="n">
        <v>0</v>
      </c>
      <c r="AQ268" s="9" t="n">
        <v>0</v>
      </c>
      <c r="AR268" s="9" t="n">
        <v>0</v>
      </c>
      <c r="AV268" s="10" t="n">
        <v>46249</v>
      </c>
      <c r="AX268" s="9" t="n">
        <v>0</v>
      </c>
      <c r="AZ268" s="9" t="n">
        <v>0</v>
      </c>
      <c r="BA268" s="9" t="n">
        <v>124.9999999999952</v>
      </c>
      <c r="BE268" s="10" t="n">
        <v>46249</v>
      </c>
      <c r="BG268" s="9" t="n">
        <v>0</v>
      </c>
      <c r="BI268" s="9" t="n">
        <v>0</v>
      </c>
      <c r="BJ268" s="9" t="n">
        <v>26151.9</v>
      </c>
      <c r="BN268" s="10" t="n">
        <v>46249</v>
      </c>
      <c r="BP268" s="9" t="n">
        <v>0</v>
      </c>
      <c r="BR268" s="9" t="n">
        <v>0</v>
      </c>
      <c r="BS268" s="9" t="n">
        <v>0</v>
      </c>
      <c r="BW268" s="10" t="n">
        <v>46249</v>
      </c>
      <c r="BY268" s="9" t="n">
        <v>0</v>
      </c>
      <c r="CA268" s="9" t="n">
        <v>0</v>
      </c>
      <c r="CB268" s="9" t="n">
        <v>2097.339999999999</v>
      </c>
      <c r="CF268" s="10" t="n">
        <v>46249</v>
      </c>
      <c r="CH268" s="9" t="n">
        <v>0</v>
      </c>
      <c r="CJ268" s="9" t="n">
        <v>0</v>
      </c>
      <c r="CK268" s="9" t="n">
        <v>-10277.08</v>
      </c>
      <c r="CO268" s="10" t="n">
        <v>46249</v>
      </c>
      <c r="CQ268" s="9" t="n">
        <v>0</v>
      </c>
      <c r="CS268" s="9" t="n">
        <v>0</v>
      </c>
      <c r="CT268" s="9" t="n">
        <v>0</v>
      </c>
      <c r="CX268" s="10" t="n">
        <v>46249</v>
      </c>
      <c r="CZ268" s="9" t="n">
        <v>0</v>
      </c>
      <c r="DB268" s="9" t="n">
        <v>0</v>
      </c>
      <c r="DC268" s="9" t="n">
        <v>27438.20000000001</v>
      </c>
      <c r="DG268" s="10" t="n">
        <v>46249</v>
      </c>
      <c r="DI268" s="9" t="n">
        <v>0</v>
      </c>
      <c r="DK268" s="9" t="n">
        <v>0</v>
      </c>
      <c r="DL268" s="9" t="n">
        <v>18782.29999999998</v>
      </c>
      <c r="DP268" s="10" t="n">
        <v>46249</v>
      </c>
      <c r="DR268" s="9" t="n">
        <v>0</v>
      </c>
      <c r="DT268" s="9" t="n">
        <v>0</v>
      </c>
      <c r="DU268" s="9" t="n">
        <v>5800</v>
      </c>
      <c r="DY268" s="10" t="n">
        <v>46249</v>
      </c>
      <c r="EA268" s="9" t="n">
        <v>0</v>
      </c>
      <c r="EC268" s="9" t="n">
        <v>0</v>
      </c>
      <c r="ED268" s="9" t="n">
        <v>0</v>
      </c>
      <c r="EH268" s="10" t="n">
        <v>46249</v>
      </c>
      <c r="EJ268" s="9" t="n">
        <v>0</v>
      </c>
      <c r="EL268" s="9" t="n">
        <v>0</v>
      </c>
      <c r="EM268" s="9" t="n">
        <v>0</v>
      </c>
      <c r="EQ268" s="10" t="n">
        <v>46249</v>
      </c>
      <c r="ES268" s="9" t="n">
        <v>0</v>
      </c>
      <c r="EU268" s="9" t="n">
        <v>0</v>
      </c>
      <c r="EV268" s="9" t="n">
        <v>0</v>
      </c>
      <c r="EZ268" s="10" t="n">
        <v>46249</v>
      </c>
      <c r="FB268" s="9" t="n">
        <v>0</v>
      </c>
      <c r="FD268" s="9" t="n">
        <v>0</v>
      </c>
      <c r="FE268" s="9" t="n">
        <v>0</v>
      </c>
      <c r="FI268" s="10" t="n">
        <v>46249</v>
      </c>
      <c r="FK268" s="9" t="n">
        <v>0</v>
      </c>
      <c r="FM268" s="9" t="n">
        <v>0</v>
      </c>
      <c r="FN268" s="9" t="n">
        <v>0</v>
      </c>
      <c r="FR268" s="10" t="n">
        <v>46249</v>
      </c>
      <c r="FT268" s="9" t="n">
        <v>0</v>
      </c>
      <c r="FV268" s="9" t="n">
        <v>0</v>
      </c>
      <c r="FW268" s="9" t="n">
        <v>20</v>
      </c>
      <c r="GA268" s="10" t="n">
        <v>46249</v>
      </c>
      <c r="GC268" s="9" t="n">
        <v>0</v>
      </c>
      <c r="GE268" s="9" t="n">
        <v>0</v>
      </c>
      <c r="GF268" s="9" t="n">
        <v>960</v>
      </c>
      <c r="GJ268" s="10" t="n">
        <v>46249</v>
      </c>
      <c r="GL268" s="9" t="n">
        <v>0</v>
      </c>
      <c r="GN268" s="9" t="n">
        <v>0</v>
      </c>
      <c r="GO268" s="9" t="n">
        <v>1760</v>
      </c>
      <c r="GS268" s="10" t="n">
        <v>46249</v>
      </c>
      <c r="GU268" s="9" t="n">
        <v>0</v>
      </c>
      <c r="GW268" s="9" t="n">
        <v>0</v>
      </c>
      <c r="GX268" s="9" t="n">
        <v>400</v>
      </c>
      <c r="HB268" s="10" t="n">
        <v>46249</v>
      </c>
      <c r="HD268" s="9" t="n">
        <v>0</v>
      </c>
      <c r="HF268" s="9" t="n">
        <v>0</v>
      </c>
      <c r="HG268" s="9" t="n">
        <v>3600</v>
      </c>
      <c r="HK268" s="10" t="n">
        <v>46249</v>
      </c>
      <c r="HM268" s="9" t="n">
        <v>0</v>
      </c>
      <c r="HO268" s="9" t="n">
        <v>0</v>
      </c>
      <c r="HP268" s="9" t="n">
        <v>0</v>
      </c>
      <c r="HU268" s="10" t="n">
        <v>46249</v>
      </c>
      <c r="HW268" s="9" t="n">
        <v>0</v>
      </c>
      <c r="HY268" s="9" t="n">
        <v>0</v>
      </c>
      <c r="HZ268" s="9" t="n">
        <v>4280</v>
      </c>
      <c r="ID268" s="10" t="n">
        <v>46249</v>
      </c>
      <c r="IF268" s="9" t="n">
        <v>0</v>
      </c>
      <c r="IH268" s="9" t="n">
        <v>0</v>
      </c>
      <c r="II268" s="9" t="n">
        <v>60</v>
      </c>
      <c r="IM268" s="10" t="n">
        <v>46249</v>
      </c>
      <c r="IO268" s="9" t="n">
        <v>0</v>
      </c>
      <c r="IQ268" s="9" t="n">
        <v>0</v>
      </c>
      <c r="IR268" s="9" t="n">
        <v>0</v>
      </c>
      <c r="IV268" s="10" t="n">
        <v>46249</v>
      </c>
      <c r="IX268" s="9" t="n">
        <v>0</v>
      </c>
      <c r="IZ268" s="9" t="n">
        <v>0</v>
      </c>
      <c r="JA268" s="9" t="n">
        <v>2960</v>
      </c>
      <c r="JE268" s="10" t="n">
        <v>46249</v>
      </c>
      <c r="JG268" s="9" t="n">
        <v>0</v>
      </c>
      <c r="JI268" s="9" t="n">
        <v>0</v>
      </c>
      <c r="JJ268" s="9" t="n">
        <v>0</v>
      </c>
      <c r="JN268" s="10" t="n">
        <v>46249</v>
      </c>
      <c r="JP268" s="9" t="n">
        <v>0</v>
      </c>
      <c r="JR268" s="9" t="n">
        <v>0</v>
      </c>
      <c r="JS268" s="9" t="n">
        <v>0</v>
      </c>
      <c r="JW268" s="10" t="n">
        <v>46249</v>
      </c>
      <c r="JY268" s="9" t="n">
        <v>0</v>
      </c>
      <c r="KA268" s="9" t="n">
        <v>0</v>
      </c>
      <c r="KB268" s="9" t="n">
        <v>2540</v>
      </c>
      <c r="KF268" s="10" t="n">
        <v>46249</v>
      </c>
      <c r="KH268" s="9" t="n">
        <v>0</v>
      </c>
      <c r="KJ268" s="9" t="n">
        <v>0</v>
      </c>
      <c r="KK268" s="9" t="n">
        <v>2359.5</v>
      </c>
      <c r="KO268" s="10" t="n">
        <v>46249</v>
      </c>
      <c r="KQ268" s="9" t="n">
        <v>0</v>
      </c>
      <c r="KS268" s="9" t="n">
        <v>0</v>
      </c>
      <c r="KT268" s="9" t="n">
        <v>1890</v>
      </c>
      <c r="KX268" s="10" t="n">
        <v>46249</v>
      </c>
      <c r="KZ268" s="9" t="n">
        <v>0</v>
      </c>
      <c r="LB268" s="9" t="n">
        <v>0</v>
      </c>
      <c r="LC268" s="9" t="n">
        <v>3690</v>
      </c>
      <c r="LG268" s="10" t="n">
        <v>46249</v>
      </c>
      <c r="LI268" s="9" t="n">
        <v>0</v>
      </c>
      <c r="LK268" s="9" t="n">
        <v>0</v>
      </c>
      <c r="LL268" s="9" t="n">
        <v>4000</v>
      </c>
      <c r="LP268" s="10" t="n">
        <v>46249</v>
      </c>
      <c r="LR268" s="9" t="n">
        <v>0</v>
      </c>
      <c r="LT268" s="9" t="n">
        <v>0</v>
      </c>
      <c r="LU268" s="9" t="n">
        <v>0</v>
      </c>
      <c r="LY268" s="10" t="n">
        <v>46249</v>
      </c>
      <c r="MA268" s="9" t="n">
        <v>0</v>
      </c>
      <c r="MC268" s="9" t="n">
        <v>0</v>
      </c>
      <c r="MD268" s="9" t="n">
        <v>0</v>
      </c>
      <c r="MH268" s="10" t="n">
        <v>46249</v>
      </c>
      <c r="MJ268" s="9" t="n">
        <v>0</v>
      </c>
      <c r="ML268" s="9" t="n">
        <v>0</v>
      </c>
      <c r="MM268" s="9" t="n">
        <v>0</v>
      </c>
      <c r="MQ268" s="10" t="n">
        <v>46249</v>
      </c>
      <c r="MS268" s="9" t="n">
        <v>0</v>
      </c>
      <c r="MU268" s="9" t="n">
        <v>0</v>
      </c>
      <c r="MV268" s="9" t="n">
        <v>1625</v>
      </c>
      <c r="MZ268" s="10" t="n">
        <v>46249</v>
      </c>
      <c r="NB268" s="9" t="n">
        <v>0</v>
      </c>
      <c r="ND268" s="9" t="n">
        <v>0</v>
      </c>
      <c r="NE268" s="9" t="n">
        <v>0</v>
      </c>
      <c r="NI268" s="10" t="n">
        <v>46249</v>
      </c>
      <c r="NK268" s="9" t="n">
        <v>0</v>
      </c>
      <c r="NM268" s="9" t="n">
        <v>0</v>
      </c>
      <c r="NN268" s="9" t="n">
        <v>1127</v>
      </c>
      <c r="NR268" s="10" t="n">
        <v>46249</v>
      </c>
      <c r="NT268" s="9" t="n">
        <v>0</v>
      </c>
      <c r="NV268" s="9" t="n">
        <v>0</v>
      </c>
      <c r="NW268" s="9" t="n">
        <v>3112</v>
      </c>
      <c r="OA268" s="10" t="n">
        <v>46249</v>
      </c>
      <c r="OC268" s="9" t="n">
        <v>0</v>
      </c>
      <c r="OE268" s="9" t="n">
        <v>0</v>
      </c>
      <c r="OF268" s="9" t="n">
        <v>1680.5</v>
      </c>
      <c r="OJ268" s="10" t="n">
        <v>46249</v>
      </c>
      <c r="OL268" s="9" t="n">
        <v>0</v>
      </c>
      <c r="ON268" s="9" t="n">
        <v>0</v>
      </c>
      <c r="OO268" s="9" t="n">
        <v>0</v>
      </c>
      <c r="OS268" s="10" t="n">
        <v>46249</v>
      </c>
      <c r="OU268" s="9" t="n">
        <v>0</v>
      </c>
      <c r="OW268" s="9" t="n">
        <v>0</v>
      </c>
      <c r="OX268" s="9" t="n">
        <v>1482</v>
      </c>
      <c r="PB268" s="10" t="n">
        <v>46249</v>
      </c>
      <c r="PD268" s="9" t="n">
        <v>0</v>
      </c>
      <c r="PF268" s="9" t="n">
        <v>0</v>
      </c>
      <c r="PG268" s="9" t="n">
        <v>0</v>
      </c>
      <c r="PK268" s="10" t="n">
        <v>46249</v>
      </c>
      <c r="PM268" s="9" t="n">
        <v>0</v>
      </c>
      <c r="PO268" s="9" t="n">
        <v>0</v>
      </c>
      <c r="PP268" s="9" t="n">
        <v>100</v>
      </c>
      <c r="PT268" s="10" t="n">
        <v>46249</v>
      </c>
      <c r="PV268" s="9" t="n">
        <v>0</v>
      </c>
      <c r="PX268" s="9" t="n">
        <v>0</v>
      </c>
      <c r="PY268" s="9" t="n">
        <v>13.96000000000004</v>
      </c>
      <c r="QC268" s="10" t="n">
        <v>46249</v>
      </c>
      <c r="QE268" s="9" t="n">
        <v>0</v>
      </c>
      <c r="QG268" s="9" t="n">
        <v>0</v>
      </c>
      <c r="QH268" s="9" t="n">
        <v>548</v>
      </c>
      <c r="QL268" s="10" t="n">
        <v>46249</v>
      </c>
      <c r="QN268" s="9" t="n">
        <v>0</v>
      </c>
      <c r="QP268" s="9" t="n">
        <v>0</v>
      </c>
      <c r="QQ268" s="9" t="n">
        <v>0</v>
      </c>
      <c r="QU268" s="10" t="n">
        <v>46249</v>
      </c>
      <c r="QW268" s="9" t="n">
        <v>0</v>
      </c>
      <c r="QY268" s="9" t="n">
        <v>0</v>
      </c>
      <c r="QZ268" s="9" t="n">
        <v>0</v>
      </c>
      <c r="RD268" s="10" t="n">
        <v>46249</v>
      </c>
      <c r="RF268" s="9" t="n">
        <v>0</v>
      </c>
      <c r="RH268" s="9" t="n">
        <v>0</v>
      </c>
      <c r="RI268" s="9" t="n">
        <v>147.04</v>
      </c>
      <c r="RM268" s="10" t="n">
        <v>46249</v>
      </c>
      <c r="RO268" s="9" t="n">
        <v>0</v>
      </c>
      <c r="RQ268" s="9" t="n">
        <v>0</v>
      </c>
      <c r="RR268" s="9" t="n">
        <v>46.8</v>
      </c>
      <c r="RV268" s="10" t="n">
        <v>46249</v>
      </c>
      <c r="RX268" s="9" t="n">
        <v>0</v>
      </c>
      <c r="RZ268" s="9" t="n">
        <v>0</v>
      </c>
      <c r="SA268" s="9" t="n">
        <v>0</v>
      </c>
      <c r="SE268" s="10" t="n">
        <v>46249</v>
      </c>
      <c r="SG268" s="9" t="n">
        <v>0</v>
      </c>
      <c r="SI268" s="9" t="n">
        <v>0</v>
      </c>
      <c r="SJ268" s="9" t="n">
        <v>24.2</v>
      </c>
      <c r="SN268" s="10" t="n">
        <v>46249</v>
      </c>
      <c r="SP268" s="9" t="n">
        <v>0</v>
      </c>
      <c r="SR268" s="9" t="n">
        <v>0</v>
      </c>
      <c r="SS268" s="9" t="n">
        <v>32</v>
      </c>
      <c r="SW268" s="10" t="n">
        <v>46249</v>
      </c>
      <c r="SY268" s="9" t="n">
        <v>0</v>
      </c>
      <c r="TA268" s="9" t="n">
        <v>0</v>
      </c>
      <c r="TB268" s="9" t="n">
        <v>0</v>
      </c>
      <c r="TF268" s="10" t="n">
        <v>46249</v>
      </c>
      <c r="TH268" s="9" t="n">
        <v>0</v>
      </c>
      <c r="TJ268" s="9" t="n">
        <v>0</v>
      </c>
      <c r="TK268" s="9" t="n">
        <v>0</v>
      </c>
      <c r="TO268" s="10" t="n">
        <v>46249</v>
      </c>
      <c r="TQ268" s="9" t="n">
        <v>0</v>
      </c>
      <c r="TS268" s="9" t="n">
        <v>0</v>
      </c>
      <c r="TT268" s="9" t="n">
        <v>0</v>
      </c>
      <c r="TX268" s="10" t="n">
        <v>46249</v>
      </c>
      <c r="TZ268" s="9" t="n">
        <v>0</v>
      </c>
      <c r="UB268" s="9" t="n">
        <v>0</v>
      </c>
      <c r="UC268" s="9" t="n">
        <v>46.79999999999998</v>
      </c>
      <c r="UG268" s="10" t="n">
        <v>46249</v>
      </c>
      <c r="UI268" s="9" t="n">
        <v>0</v>
      </c>
      <c r="UK268" s="9" t="n">
        <v>0</v>
      </c>
      <c r="UL268" s="9" t="n">
        <v>204</v>
      </c>
      <c r="UP268" s="10" t="n">
        <v>46249</v>
      </c>
      <c r="UR268" s="9" t="n">
        <v>0</v>
      </c>
      <c r="UT268" s="9" t="n">
        <v>0</v>
      </c>
      <c r="UU268" s="9" t="n">
        <v>202.5</v>
      </c>
      <c r="UY268" s="10" t="n">
        <v>46249</v>
      </c>
      <c r="VA268" s="9" t="n">
        <v>0</v>
      </c>
      <c r="VC268" s="9" t="n">
        <v>0</v>
      </c>
      <c r="VD268" s="9" t="n">
        <v>41.60000000000002</v>
      </c>
      <c r="VH268" s="10" t="n">
        <v>46249</v>
      </c>
      <c r="VJ268" s="9" t="n">
        <v>0</v>
      </c>
      <c r="VL268" s="9" t="n">
        <v>0</v>
      </c>
      <c r="VM268" s="9" t="n">
        <v>210</v>
      </c>
      <c r="VQ268" s="10" t="n">
        <v>46249</v>
      </c>
      <c r="VS268" s="9" t="n">
        <v>0</v>
      </c>
      <c r="VU268" s="9" t="n">
        <v>0</v>
      </c>
      <c r="VV268" s="9" t="n">
        <v>0</v>
      </c>
      <c r="VZ268" s="10" t="n">
        <v>46249</v>
      </c>
      <c r="WB268" s="9" t="n">
        <v>0</v>
      </c>
      <c r="WD268" s="9" t="n">
        <v>0</v>
      </c>
      <c r="WE268" s="9" t="n">
        <v>0</v>
      </c>
      <c r="WI268" s="10" t="n">
        <v>46249</v>
      </c>
      <c r="WK268" s="9" t="n">
        <v>0</v>
      </c>
      <c r="WM268" s="9" t="n">
        <v>0</v>
      </c>
      <c r="WN268" s="9" t="n">
        <v>1057</v>
      </c>
      <c r="WR268" s="10" t="n">
        <v>46249</v>
      </c>
      <c r="WT268" s="9" t="n">
        <v>0</v>
      </c>
      <c r="WV268" s="9" t="n">
        <v>0</v>
      </c>
      <c r="WW268" s="9" t="n">
        <v>0</v>
      </c>
      <c r="XA268" s="10" t="n">
        <v>46249</v>
      </c>
      <c r="XC268" s="9" t="n">
        <v>0</v>
      </c>
      <c r="XE268" s="9" t="n">
        <v>0</v>
      </c>
      <c r="XF268" s="9" t="n">
        <v>7507</v>
      </c>
      <c r="XJ268" s="10" t="n">
        <v>46249</v>
      </c>
      <c r="XL268" s="9" t="n">
        <v>0</v>
      </c>
      <c r="XN268" s="9" t="n">
        <v>0</v>
      </c>
      <c r="XO268" s="9" t="n">
        <v>4252</v>
      </c>
      <c r="XS268" s="10" t="n">
        <v>46249</v>
      </c>
      <c r="XU268" s="9" t="n">
        <v>0</v>
      </c>
      <c r="XW268" s="9" t="n">
        <v>0</v>
      </c>
      <c r="XX268" s="9" t="n">
        <v>2179</v>
      </c>
      <c r="YB268" s="10" t="n">
        <v>46249</v>
      </c>
      <c r="YD268" s="9" t="n">
        <v>0</v>
      </c>
      <c r="YF268" s="9" t="n">
        <v>0</v>
      </c>
      <c r="YG268" s="9" t="n">
        <v>4019</v>
      </c>
      <c r="YK268" s="10" t="n">
        <v>46249</v>
      </c>
      <c r="YM268" s="9" t="n">
        <v>0</v>
      </c>
      <c r="YO268" s="9" t="n">
        <v>0</v>
      </c>
      <c r="YP268" s="9" t="n">
        <v>-218</v>
      </c>
      <c r="YT268" s="10" t="n">
        <v>46249</v>
      </c>
      <c r="YV268" s="9" t="n">
        <v>0</v>
      </c>
      <c r="YX268" s="9" t="n">
        <v>0</v>
      </c>
      <c r="YY268" s="9" t="n">
        <v>0</v>
      </c>
      <c r="ZC268" s="10" t="n">
        <v>46249</v>
      </c>
      <c r="ZE268" s="9" t="n">
        <v>0</v>
      </c>
      <c r="ZG268" s="9" t="n">
        <v>0</v>
      </c>
      <c r="ZH268" s="9" t="n">
        <v>0</v>
      </c>
      <c r="ZL268" s="10" t="n">
        <v>46249</v>
      </c>
      <c r="ZN268" s="9" t="n">
        <v>0</v>
      </c>
      <c r="ZP268" s="9" t="n">
        <v>0</v>
      </c>
      <c r="ZQ268" s="9" t="n">
        <v>0</v>
      </c>
      <c r="ZU268" s="10" t="n">
        <v>46249</v>
      </c>
      <c r="ZW268" s="9" t="n">
        <v>0</v>
      </c>
      <c r="ZY268" s="9" t="n">
        <v>0</v>
      </c>
      <c r="ZZ268" s="9" t="n">
        <v>0</v>
      </c>
      <c r="AAD268" s="10" t="n">
        <v>46249</v>
      </c>
      <c r="AAF268" s="9" t="n">
        <v>0</v>
      </c>
      <c r="AAH268" s="9" t="n">
        <v>0</v>
      </c>
      <c r="AAI268" s="9" t="n">
        <v>0</v>
      </c>
      <c r="AAM268" s="10" t="n">
        <v>46249</v>
      </c>
      <c r="AAO268" s="9" t="n">
        <v>0</v>
      </c>
      <c r="AAQ268" s="9" t="n">
        <v>0</v>
      </c>
      <c r="AAR268" s="9" t="n">
        <v>0</v>
      </c>
      <c r="AAV268" s="10" t="n">
        <v>46249</v>
      </c>
      <c r="AAX268" s="9" t="n">
        <v>0</v>
      </c>
      <c r="AAZ268" s="9" t="n">
        <v>0</v>
      </c>
      <c r="ABA268" s="9" t="n">
        <v>0</v>
      </c>
      <c r="ABE268" s="10" t="n">
        <v>46249</v>
      </c>
      <c r="ABG268" s="9" t="n">
        <v>0</v>
      </c>
      <c r="ABI268" s="9" t="n">
        <v>0</v>
      </c>
      <c r="ABJ268" s="9" t="n">
        <v>0</v>
      </c>
    </row>
    <row r="269">
      <c r="C269" s="10" t="n">
        <v>46250</v>
      </c>
      <c r="E269" s="9" t="n">
        <v>0</v>
      </c>
      <c r="G269" s="9" t="n">
        <v>0</v>
      </c>
      <c r="H269" s="9" t="n">
        <v>236936.6</v>
      </c>
      <c r="L269" s="10" t="n">
        <v>46250</v>
      </c>
      <c r="N269" s="9" t="n">
        <v>0</v>
      </c>
      <c r="P269" s="9" t="n">
        <v>0</v>
      </c>
      <c r="Q269" s="9" t="n">
        <v>53017.60000000007</v>
      </c>
      <c r="U269" s="10" t="n">
        <v>46250</v>
      </c>
      <c r="W269" s="9" t="n">
        <v>0</v>
      </c>
      <c r="Y269" s="9" t="n">
        <v>0</v>
      </c>
      <c r="Z269" s="9" t="n">
        <v>42674.19999999997</v>
      </c>
      <c r="AD269" s="10" t="n">
        <v>46250</v>
      </c>
      <c r="AF269" s="9" t="n">
        <v>0</v>
      </c>
      <c r="AH269" s="9" t="n">
        <v>0</v>
      </c>
      <c r="AI269" s="9" t="n">
        <v>4522.200000000019</v>
      </c>
      <c r="AM269" s="10" t="n">
        <v>46250</v>
      </c>
      <c r="AO269" s="9" t="n">
        <v>0</v>
      </c>
      <c r="AQ269" s="9" t="n">
        <v>0</v>
      </c>
      <c r="AR269" s="9" t="n">
        <v>0</v>
      </c>
      <c r="AV269" s="10" t="n">
        <v>46250</v>
      </c>
      <c r="AX269" s="9" t="n">
        <v>0</v>
      </c>
      <c r="AZ269" s="9" t="n">
        <v>0</v>
      </c>
      <c r="BA269" s="9" t="n">
        <v>124.9999999999952</v>
      </c>
      <c r="BE269" s="10" t="n">
        <v>46250</v>
      </c>
      <c r="BG269" s="9" t="n">
        <v>0</v>
      </c>
      <c r="BI269" s="9" t="n">
        <v>0</v>
      </c>
      <c r="BJ269" s="9" t="n">
        <v>26151.9</v>
      </c>
      <c r="BN269" s="10" t="n">
        <v>46250</v>
      </c>
      <c r="BP269" s="9" t="n">
        <v>0</v>
      </c>
      <c r="BR269" s="9" t="n">
        <v>0</v>
      </c>
      <c r="BS269" s="9" t="n">
        <v>0</v>
      </c>
      <c r="BW269" s="10" t="n">
        <v>46250</v>
      </c>
      <c r="BY269" s="9" t="n">
        <v>0</v>
      </c>
      <c r="CA269" s="9" t="n">
        <v>0</v>
      </c>
      <c r="CB269" s="9" t="n">
        <v>2097.339999999999</v>
      </c>
      <c r="CF269" s="10" t="n">
        <v>46250</v>
      </c>
      <c r="CH269" s="9" t="n">
        <v>0</v>
      </c>
      <c r="CJ269" s="9" t="n">
        <v>0</v>
      </c>
      <c r="CK269" s="9" t="n">
        <v>-10277.08</v>
      </c>
      <c r="CO269" s="10" t="n">
        <v>46250</v>
      </c>
      <c r="CQ269" s="9" t="n">
        <v>0</v>
      </c>
      <c r="CS269" s="9" t="n">
        <v>0</v>
      </c>
      <c r="CT269" s="9" t="n">
        <v>0</v>
      </c>
      <c r="CX269" s="10" t="n">
        <v>46250</v>
      </c>
      <c r="CZ269" s="9" t="n">
        <v>0</v>
      </c>
      <c r="DB269" s="9" t="n">
        <v>0</v>
      </c>
      <c r="DC269" s="9" t="n">
        <v>27438.20000000001</v>
      </c>
      <c r="DG269" s="10" t="n">
        <v>46250</v>
      </c>
      <c r="DI269" s="9" t="n">
        <v>0</v>
      </c>
      <c r="DK269" s="9" t="n">
        <v>0</v>
      </c>
      <c r="DL269" s="9" t="n">
        <v>18782.29999999998</v>
      </c>
      <c r="DP269" s="10" t="n">
        <v>46250</v>
      </c>
      <c r="DR269" s="9" t="n">
        <v>0</v>
      </c>
      <c r="DT269" s="9" t="n">
        <v>0</v>
      </c>
      <c r="DU269" s="9" t="n">
        <v>5800</v>
      </c>
      <c r="DY269" s="10" t="n">
        <v>46250</v>
      </c>
      <c r="EA269" s="9" t="n">
        <v>0</v>
      </c>
      <c r="EC269" s="9" t="n">
        <v>0</v>
      </c>
      <c r="ED269" s="9" t="n">
        <v>0</v>
      </c>
      <c r="EH269" s="10" t="n">
        <v>46250</v>
      </c>
      <c r="EJ269" s="9" t="n">
        <v>0</v>
      </c>
      <c r="EL269" s="9" t="n">
        <v>0</v>
      </c>
      <c r="EM269" s="9" t="n">
        <v>0</v>
      </c>
      <c r="EQ269" s="10" t="n">
        <v>46250</v>
      </c>
      <c r="ES269" s="9" t="n">
        <v>0</v>
      </c>
      <c r="EU269" s="9" t="n">
        <v>0</v>
      </c>
      <c r="EV269" s="9" t="n">
        <v>0</v>
      </c>
      <c r="EZ269" s="10" t="n">
        <v>46250</v>
      </c>
      <c r="FB269" s="9" t="n">
        <v>0</v>
      </c>
      <c r="FD269" s="9" t="n">
        <v>0</v>
      </c>
      <c r="FE269" s="9" t="n">
        <v>0</v>
      </c>
      <c r="FI269" s="10" t="n">
        <v>46250</v>
      </c>
      <c r="FK269" s="9" t="n">
        <v>0</v>
      </c>
      <c r="FM269" s="9" t="n">
        <v>0</v>
      </c>
      <c r="FN269" s="9" t="n">
        <v>0</v>
      </c>
      <c r="FR269" s="10" t="n">
        <v>46250</v>
      </c>
      <c r="FT269" s="9" t="n">
        <v>0</v>
      </c>
      <c r="FV269" s="9" t="n">
        <v>0</v>
      </c>
      <c r="FW269" s="9" t="n">
        <v>20</v>
      </c>
      <c r="GA269" s="10" t="n">
        <v>46250</v>
      </c>
      <c r="GC269" s="9" t="n">
        <v>0</v>
      </c>
      <c r="GE269" s="9" t="n">
        <v>0</v>
      </c>
      <c r="GF269" s="9" t="n">
        <v>960</v>
      </c>
      <c r="GJ269" s="10" t="n">
        <v>46250</v>
      </c>
      <c r="GL269" s="9" t="n">
        <v>0</v>
      </c>
      <c r="GN269" s="9" t="n">
        <v>0</v>
      </c>
      <c r="GO269" s="9" t="n">
        <v>1760</v>
      </c>
      <c r="GS269" s="10" t="n">
        <v>46250</v>
      </c>
      <c r="GU269" s="9" t="n">
        <v>0</v>
      </c>
      <c r="GW269" s="9" t="n">
        <v>0</v>
      </c>
      <c r="GX269" s="9" t="n">
        <v>400</v>
      </c>
      <c r="HB269" s="10" t="n">
        <v>46250</v>
      </c>
      <c r="HD269" s="9" t="n">
        <v>0</v>
      </c>
      <c r="HF269" s="9" t="n">
        <v>0</v>
      </c>
      <c r="HG269" s="9" t="n">
        <v>3600</v>
      </c>
      <c r="HK269" s="10" t="n">
        <v>46250</v>
      </c>
      <c r="HM269" s="9" t="n">
        <v>0</v>
      </c>
      <c r="HO269" s="9" t="n">
        <v>0</v>
      </c>
      <c r="HP269" s="9" t="n">
        <v>0</v>
      </c>
      <c r="HU269" s="10" t="n">
        <v>46250</v>
      </c>
      <c r="HW269" s="9" t="n">
        <v>0</v>
      </c>
      <c r="HX269" s="9" t="n">
        <v>160</v>
      </c>
      <c r="HY269" s="9" t="n">
        <v>-160</v>
      </c>
      <c r="HZ269" s="9" t="n">
        <v>4120</v>
      </c>
      <c r="IA269" s="9" t="n">
        <v>8</v>
      </c>
      <c r="IB269" s="9" t="inlineStr">
        <is>
          <t>OLD</t>
        </is>
      </c>
      <c r="ID269" s="10" t="n">
        <v>46250</v>
      </c>
      <c r="IF269" s="9" t="n">
        <v>0</v>
      </c>
      <c r="IH269" s="9" t="n">
        <v>0</v>
      </c>
      <c r="II269" s="9" t="n">
        <v>60</v>
      </c>
      <c r="IM269" s="10" t="n">
        <v>46250</v>
      </c>
      <c r="IO269" s="9" t="n">
        <v>0</v>
      </c>
      <c r="IQ269" s="9" t="n">
        <v>0</v>
      </c>
      <c r="IR269" s="9" t="n">
        <v>0</v>
      </c>
      <c r="IV269" s="10" t="n">
        <v>46250</v>
      </c>
      <c r="IX269" s="9" t="n">
        <v>0</v>
      </c>
      <c r="IZ269" s="9" t="n">
        <v>0</v>
      </c>
      <c r="JA269" s="9" t="n">
        <v>2960</v>
      </c>
      <c r="JE269" s="10" t="n">
        <v>46250</v>
      </c>
      <c r="JG269" s="9" t="n">
        <v>0</v>
      </c>
      <c r="JI269" s="9" t="n">
        <v>0</v>
      </c>
      <c r="JJ269" s="9" t="n">
        <v>0</v>
      </c>
      <c r="JN269" s="10" t="n">
        <v>46250</v>
      </c>
      <c r="JP269" s="9" t="n">
        <v>0</v>
      </c>
      <c r="JR269" s="9" t="n">
        <v>0</v>
      </c>
      <c r="JS269" s="9" t="n">
        <v>0</v>
      </c>
      <c r="JW269" s="10" t="n">
        <v>46250</v>
      </c>
      <c r="JY269" s="9" t="n">
        <v>0</v>
      </c>
      <c r="KA269" s="9" t="n">
        <v>0</v>
      </c>
      <c r="KB269" s="9" t="n">
        <v>2540</v>
      </c>
      <c r="KF269" s="10" t="n">
        <v>46250</v>
      </c>
      <c r="KH269" s="9" t="n">
        <v>0</v>
      </c>
      <c r="KJ269" s="9" t="n">
        <v>0</v>
      </c>
      <c r="KK269" s="9" t="n">
        <v>2359.5</v>
      </c>
      <c r="KO269" s="10" t="n">
        <v>46250</v>
      </c>
      <c r="KQ269" s="9" t="n">
        <v>0</v>
      </c>
      <c r="KS269" s="9" t="n">
        <v>0</v>
      </c>
      <c r="KT269" s="9" t="n">
        <v>1890</v>
      </c>
      <c r="KX269" s="10" t="n">
        <v>46250</v>
      </c>
      <c r="KZ269" s="9" t="n">
        <v>0</v>
      </c>
      <c r="LB269" s="9" t="n">
        <v>0</v>
      </c>
      <c r="LC269" s="9" t="n">
        <v>3690</v>
      </c>
      <c r="LG269" s="10" t="n">
        <v>46250</v>
      </c>
      <c r="LI269" s="9" t="n">
        <v>0</v>
      </c>
      <c r="LK269" s="9" t="n">
        <v>0</v>
      </c>
      <c r="LL269" s="9" t="n">
        <v>4000</v>
      </c>
      <c r="LP269" s="10" t="n">
        <v>46250</v>
      </c>
      <c r="LR269" s="9" t="n">
        <v>0</v>
      </c>
      <c r="LT269" s="9" t="n">
        <v>0</v>
      </c>
      <c r="LU269" s="9" t="n">
        <v>0</v>
      </c>
      <c r="LY269" s="10" t="n">
        <v>46250</v>
      </c>
      <c r="MA269" s="9" t="n">
        <v>0</v>
      </c>
      <c r="MC269" s="9" t="n">
        <v>0</v>
      </c>
      <c r="MD269" s="9" t="n">
        <v>0</v>
      </c>
      <c r="MH269" s="10" t="n">
        <v>46250</v>
      </c>
      <c r="MJ269" s="9" t="n">
        <v>0</v>
      </c>
      <c r="ML269" s="9" t="n">
        <v>0</v>
      </c>
      <c r="MM269" s="9" t="n">
        <v>0</v>
      </c>
      <c r="MQ269" s="10" t="n">
        <v>46250</v>
      </c>
      <c r="MS269" s="9" t="n">
        <v>0</v>
      </c>
      <c r="MU269" s="9" t="n">
        <v>0</v>
      </c>
      <c r="MV269" s="9" t="n">
        <v>1625</v>
      </c>
      <c r="MZ269" s="10" t="n">
        <v>46250</v>
      </c>
      <c r="NB269" s="9" t="n">
        <v>0</v>
      </c>
      <c r="ND269" s="9" t="n">
        <v>0</v>
      </c>
      <c r="NE269" s="9" t="n">
        <v>0</v>
      </c>
      <c r="NI269" s="10" t="n">
        <v>46250</v>
      </c>
      <c r="NK269" s="9" t="n">
        <v>0</v>
      </c>
      <c r="NM269" s="9" t="n">
        <v>0</v>
      </c>
      <c r="NN269" s="9" t="n">
        <v>1127</v>
      </c>
      <c r="NR269" s="10" t="n">
        <v>46250</v>
      </c>
      <c r="NT269" s="9" t="n">
        <v>0</v>
      </c>
      <c r="NV269" s="9" t="n">
        <v>0</v>
      </c>
      <c r="NW269" s="9" t="n">
        <v>3112</v>
      </c>
      <c r="OA269" s="10" t="n">
        <v>46250</v>
      </c>
      <c r="OC269" s="9" t="n">
        <v>0</v>
      </c>
      <c r="OE269" s="9" t="n">
        <v>0</v>
      </c>
      <c r="OF269" s="9" t="n">
        <v>1680.5</v>
      </c>
      <c r="OJ269" s="10" t="n">
        <v>46250</v>
      </c>
      <c r="OL269" s="9" t="n">
        <v>0</v>
      </c>
      <c r="ON269" s="9" t="n">
        <v>0</v>
      </c>
      <c r="OO269" s="9" t="n">
        <v>0</v>
      </c>
      <c r="OS269" s="10" t="n">
        <v>46250</v>
      </c>
      <c r="OU269" s="9" t="n">
        <v>0</v>
      </c>
      <c r="OW269" s="9" t="n">
        <v>0</v>
      </c>
      <c r="OX269" s="9" t="n">
        <v>1482</v>
      </c>
      <c r="PB269" s="10" t="n">
        <v>46250</v>
      </c>
      <c r="PD269" s="9" t="n">
        <v>0</v>
      </c>
      <c r="PF269" s="9" t="n">
        <v>0</v>
      </c>
      <c r="PG269" s="9" t="n">
        <v>0</v>
      </c>
      <c r="PK269" s="10" t="n">
        <v>46250</v>
      </c>
      <c r="PM269" s="9" t="n">
        <v>0</v>
      </c>
      <c r="PO269" s="9" t="n">
        <v>0</v>
      </c>
      <c r="PP269" s="9" t="n">
        <v>100</v>
      </c>
      <c r="PT269" s="10" t="n">
        <v>46250</v>
      </c>
      <c r="PV269" s="9" t="n">
        <v>0</v>
      </c>
      <c r="PX269" s="9" t="n">
        <v>0</v>
      </c>
      <c r="PY269" s="9" t="n">
        <v>13.96000000000004</v>
      </c>
      <c r="QC269" s="10" t="n">
        <v>46250</v>
      </c>
      <c r="QE269" s="9" t="n">
        <v>0</v>
      </c>
      <c r="QG269" s="9" t="n">
        <v>0</v>
      </c>
      <c r="QH269" s="9" t="n">
        <v>548</v>
      </c>
      <c r="QL269" s="10" t="n">
        <v>46250</v>
      </c>
      <c r="QN269" s="9" t="n">
        <v>0</v>
      </c>
      <c r="QP269" s="9" t="n">
        <v>0</v>
      </c>
      <c r="QQ269" s="9" t="n">
        <v>0</v>
      </c>
      <c r="QU269" s="10" t="n">
        <v>46250</v>
      </c>
      <c r="QW269" s="9" t="n">
        <v>0</v>
      </c>
      <c r="QY269" s="9" t="n">
        <v>0</v>
      </c>
      <c r="QZ269" s="9" t="n">
        <v>0</v>
      </c>
      <c r="RD269" s="10" t="n">
        <v>46250</v>
      </c>
      <c r="RF269" s="9" t="n">
        <v>0</v>
      </c>
      <c r="RH269" s="9" t="n">
        <v>0</v>
      </c>
      <c r="RI269" s="9" t="n">
        <v>147.04</v>
      </c>
      <c r="RM269" s="10" t="n">
        <v>46250</v>
      </c>
      <c r="RO269" s="9" t="n">
        <v>0</v>
      </c>
      <c r="RQ269" s="9" t="n">
        <v>0</v>
      </c>
      <c r="RR269" s="9" t="n">
        <v>46.8</v>
      </c>
      <c r="RV269" s="10" t="n">
        <v>46250</v>
      </c>
      <c r="RX269" s="9" t="n">
        <v>0</v>
      </c>
      <c r="RZ269" s="9" t="n">
        <v>0</v>
      </c>
      <c r="SA269" s="9" t="n">
        <v>0</v>
      </c>
      <c r="SE269" s="10" t="n">
        <v>46250</v>
      </c>
      <c r="SG269" s="9" t="n">
        <v>0</v>
      </c>
      <c r="SI269" s="9" t="n">
        <v>0</v>
      </c>
      <c r="SJ269" s="9" t="n">
        <v>24.2</v>
      </c>
      <c r="SN269" s="10" t="n">
        <v>46250</v>
      </c>
      <c r="SP269" s="9" t="n">
        <v>0</v>
      </c>
      <c r="SR269" s="9" t="n">
        <v>0</v>
      </c>
      <c r="SS269" s="9" t="n">
        <v>32</v>
      </c>
      <c r="SW269" s="10" t="n">
        <v>46250</v>
      </c>
      <c r="SY269" s="9" t="n">
        <v>0</v>
      </c>
      <c r="TA269" s="9" t="n">
        <v>0</v>
      </c>
      <c r="TB269" s="9" t="n">
        <v>0</v>
      </c>
      <c r="TF269" s="10" t="n">
        <v>46250</v>
      </c>
      <c r="TH269" s="9" t="n">
        <v>0</v>
      </c>
      <c r="TJ269" s="9" t="n">
        <v>0</v>
      </c>
      <c r="TK269" s="9" t="n">
        <v>0</v>
      </c>
      <c r="TO269" s="10" t="n">
        <v>46250</v>
      </c>
      <c r="TQ269" s="9" t="n">
        <v>0</v>
      </c>
      <c r="TS269" s="9" t="n">
        <v>0</v>
      </c>
      <c r="TT269" s="9" t="n">
        <v>0</v>
      </c>
      <c r="TX269" s="10" t="n">
        <v>46250</v>
      </c>
      <c r="TZ269" s="9" t="n">
        <v>0</v>
      </c>
      <c r="UB269" s="9" t="n">
        <v>0</v>
      </c>
      <c r="UC269" s="9" t="n">
        <v>46.79999999999998</v>
      </c>
      <c r="UG269" s="10" t="n">
        <v>46250</v>
      </c>
      <c r="UI269" s="9" t="n">
        <v>0</v>
      </c>
      <c r="UK269" s="9" t="n">
        <v>0</v>
      </c>
      <c r="UL269" s="9" t="n">
        <v>204</v>
      </c>
      <c r="UP269" s="10" t="n">
        <v>46250</v>
      </c>
      <c r="UR269" s="9" t="n">
        <v>0</v>
      </c>
      <c r="UT269" s="9" t="n">
        <v>0</v>
      </c>
      <c r="UU269" s="9" t="n">
        <v>202.5</v>
      </c>
      <c r="UY269" s="10" t="n">
        <v>46250</v>
      </c>
      <c r="VA269" s="9" t="n">
        <v>0</v>
      </c>
      <c r="VC269" s="9" t="n">
        <v>0</v>
      </c>
      <c r="VD269" s="9" t="n">
        <v>41.60000000000002</v>
      </c>
      <c r="VH269" s="10" t="n">
        <v>46250</v>
      </c>
      <c r="VJ269" s="9" t="n">
        <v>0</v>
      </c>
      <c r="VL269" s="9" t="n">
        <v>0</v>
      </c>
      <c r="VM269" s="9" t="n">
        <v>210</v>
      </c>
      <c r="VQ269" s="10" t="n">
        <v>46250</v>
      </c>
      <c r="VS269" s="9" t="n">
        <v>0</v>
      </c>
      <c r="VU269" s="9" t="n">
        <v>0</v>
      </c>
      <c r="VV269" s="9" t="n">
        <v>0</v>
      </c>
      <c r="VZ269" s="10" t="n">
        <v>46250</v>
      </c>
      <c r="WB269" s="9" t="n">
        <v>0</v>
      </c>
      <c r="WD269" s="9" t="n">
        <v>0</v>
      </c>
      <c r="WE269" s="9" t="n">
        <v>0</v>
      </c>
      <c r="WI269" s="10" t="n">
        <v>46250</v>
      </c>
      <c r="WK269" s="9" t="n">
        <v>0</v>
      </c>
      <c r="WM269" s="9" t="n">
        <v>0</v>
      </c>
      <c r="WN269" s="9" t="n">
        <v>1057</v>
      </c>
      <c r="WR269" s="10" t="n">
        <v>46250</v>
      </c>
      <c r="WT269" s="9" t="n">
        <v>0</v>
      </c>
      <c r="WV269" s="9" t="n">
        <v>0</v>
      </c>
      <c r="WW269" s="9" t="n">
        <v>0</v>
      </c>
      <c r="XA269" s="10" t="n">
        <v>46250</v>
      </c>
      <c r="XC269" s="9" t="n">
        <v>0</v>
      </c>
      <c r="XE269" s="9" t="n">
        <v>0</v>
      </c>
      <c r="XF269" s="9" t="n">
        <v>7507</v>
      </c>
      <c r="XJ269" s="10" t="n">
        <v>46250</v>
      </c>
      <c r="XL269" s="9" t="n">
        <v>0</v>
      </c>
      <c r="XN269" s="9" t="n">
        <v>0</v>
      </c>
      <c r="XO269" s="9" t="n">
        <v>4252</v>
      </c>
      <c r="XS269" s="10" t="n">
        <v>46250</v>
      </c>
      <c r="XU269" s="9" t="n">
        <v>0</v>
      </c>
      <c r="XW269" s="9" t="n">
        <v>0</v>
      </c>
      <c r="XX269" s="9" t="n">
        <v>2179</v>
      </c>
      <c r="YB269" s="10" t="n">
        <v>46250</v>
      </c>
      <c r="YD269" s="9" t="n">
        <v>0</v>
      </c>
      <c r="YF269" s="9" t="n">
        <v>0</v>
      </c>
      <c r="YG269" s="9" t="n">
        <v>4019</v>
      </c>
      <c r="YK269" s="10" t="n">
        <v>46250</v>
      </c>
      <c r="YM269" s="9" t="n">
        <v>0</v>
      </c>
      <c r="YO269" s="9" t="n">
        <v>0</v>
      </c>
      <c r="YP269" s="9" t="n">
        <v>-218</v>
      </c>
      <c r="YT269" s="10" t="n">
        <v>46250</v>
      </c>
      <c r="YV269" s="9" t="n">
        <v>0</v>
      </c>
      <c r="YX269" s="9" t="n">
        <v>0</v>
      </c>
      <c r="YY269" s="9" t="n">
        <v>0</v>
      </c>
      <c r="ZC269" s="10" t="n">
        <v>46250</v>
      </c>
      <c r="ZE269" s="9" t="n">
        <v>0</v>
      </c>
      <c r="ZG269" s="9" t="n">
        <v>0</v>
      </c>
      <c r="ZH269" s="9" t="n">
        <v>0</v>
      </c>
      <c r="ZL269" s="10" t="n">
        <v>46250</v>
      </c>
      <c r="ZN269" s="9" t="n">
        <v>0</v>
      </c>
      <c r="ZP269" s="9" t="n">
        <v>0</v>
      </c>
      <c r="ZQ269" s="9" t="n">
        <v>0</v>
      </c>
      <c r="ZU269" s="10" t="n">
        <v>46250</v>
      </c>
      <c r="ZW269" s="9" t="n">
        <v>0</v>
      </c>
      <c r="ZY269" s="9" t="n">
        <v>0</v>
      </c>
      <c r="ZZ269" s="9" t="n">
        <v>0</v>
      </c>
      <c r="AAD269" s="10" t="n">
        <v>46250</v>
      </c>
      <c r="AAF269" s="9" t="n">
        <v>0</v>
      </c>
      <c r="AAH269" s="9" t="n">
        <v>0</v>
      </c>
      <c r="AAI269" s="9" t="n">
        <v>0</v>
      </c>
      <c r="AAM269" s="10" t="n">
        <v>46250</v>
      </c>
      <c r="AAO269" s="9" t="n">
        <v>0</v>
      </c>
      <c r="AAQ269" s="9" t="n">
        <v>0</v>
      </c>
      <c r="AAR269" s="9" t="n">
        <v>0</v>
      </c>
      <c r="AAV269" s="10" t="n">
        <v>46250</v>
      </c>
      <c r="AAX269" s="9" t="n">
        <v>0</v>
      </c>
      <c r="AAZ269" s="9" t="n">
        <v>0</v>
      </c>
      <c r="ABA269" s="9" t="n">
        <v>0</v>
      </c>
      <c r="ABE269" s="10" t="n">
        <v>46250</v>
      </c>
      <c r="ABG269" s="9" t="n">
        <v>0</v>
      </c>
      <c r="ABI269" s="9" t="n">
        <v>0</v>
      </c>
      <c r="ABJ269" s="9" t="n">
        <v>0</v>
      </c>
    </row>
    <row r="270">
      <c r="C270" s="10" t="n">
        <v>46251</v>
      </c>
      <c r="E270" s="9" t="n">
        <v>0</v>
      </c>
      <c r="G270" s="9" t="n">
        <v>0</v>
      </c>
      <c r="H270" s="9" t="n">
        <v>236936.6</v>
      </c>
      <c r="L270" s="10" t="n">
        <v>46251</v>
      </c>
      <c r="N270" s="9" t="n">
        <v>0</v>
      </c>
      <c r="P270" s="9" t="n">
        <v>0</v>
      </c>
      <c r="Q270" s="9" t="n">
        <v>53017.60000000007</v>
      </c>
      <c r="U270" s="10" t="n">
        <v>46251</v>
      </c>
      <c r="W270" s="9" t="n">
        <v>0</v>
      </c>
      <c r="Y270" s="9" t="n">
        <v>0</v>
      </c>
      <c r="Z270" s="9" t="n">
        <v>42674.19999999997</v>
      </c>
      <c r="AD270" s="10" t="n">
        <v>46251</v>
      </c>
      <c r="AF270" s="9" t="n">
        <v>0</v>
      </c>
      <c r="AH270" s="9" t="n">
        <v>0</v>
      </c>
      <c r="AI270" s="9" t="n">
        <v>4522.200000000019</v>
      </c>
      <c r="AM270" s="10" t="n">
        <v>46251</v>
      </c>
      <c r="AO270" s="9" t="n">
        <v>0</v>
      </c>
      <c r="AQ270" s="9" t="n">
        <v>0</v>
      </c>
      <c r="AR270" s="9" t="n">
        <v>0</v>
      </c>
      <c r="AV270" s="10" t="n">
        <v>46251</v>
      </c>
      <c r="AX270" s="9" t="n">
        <v>0</v>
      </c>
      <c r="AZ270" s="9" t="n">
        <v>0</v>
      </c>
      <c r="BA270" s="9" t="n">
        <v>124.9999999999952</v>
      </c>
      <c r="BE270" s="10" t="n">
        <v>46251</v>
      </c>
      <c r="BG270" s="9" t="n">
        <v>0</v>
      </c>
      <c r="BI270" s="9" t="n">
        <v>0</v>
      </c>
      <c r="BJ270" s="9" t="n">
        <v>26151.9</v>
      </c>
      <c r="BN270" s="10" t="n">
        <v>46251</v>
      </c>
      <c r="BP270" s="9" t="n">
        <v>0</v>
      </c>
      <c r="BR270" s="9" t="n">
        <v>0</v>
      </c>
      <c r="BS270" s="9" t="n">
        <v>0</v>
      </c>
      <c r="BW270" s="10" t="n">
        <v>46251</v>
      </c>
      <c r="BY270" s="9" t="n">
        <v>0</v>
      </c>
      <c r="CA270" s="9" t="n">
        <v>0</v>
      </c>
      <c r="CB270" s="9" t="n">
        <v>2097.339999999999</v>
      </c>
      <c r="CF270" s="10" t="n">
        <v>46251</v>
      </c>
      <c r="CH270" s="9" t="n">
        <v>0</v>
      </c>
      <c r="CJ270" s="9" t="n">
        <v>0</v>
      </c>
      <c r="CK270" s="9" t="n">
        <v>-10277.08</v>
      </c>
      <c r="CO270" s="10" t="n">
        <v>46251</v>
      </c>
      <c r="CQ270" s="9" t="n">
        <v>0</v>
      </c>
      <c r="CS270" s="9" t="n">
        <v>0</v>
      </c>
      <c r="CT270" s="9" t="n">
        <v>0</v>
      </c>
      <c r="CX270" s="10" t="n">
        <v>46251</v>
      </c>
      <c r="CZ270" s="9" t="n">
        <v>0</v>
      </c>
      <c r="DB270" s="9" t="n">
        <v>0</v>
      </c>
      <c r="DC270" s="9" t="n">
        <v>27438.20000000001</v>
      </c>
      <c r="DG270" s="10" t="n">
        <v>46251</v>
      </c>
      <c r="DI270" s="9" t="n">
        <v>0</v>
      </c>
      <c r="DK270" s="9" t="n">
        <v>0</v>
      </c>
      <c r="DL270" s="9" t="n">
        <v>18782.29999999998</v>
      </c>
      <c r="DP270" s="10" t="n">
        <v>46251</v>
      </c>
      <c r="DR270" s="9" t="n">
        <v>0</v>
      </c>
      <c r="DT270" s="9" t="n">
        <v>0</v>
      </c>
      <c r="DU270" s="9" t="n">
        <v>5800</v>
      </c>
      <c r="DY270" s="10" t="n">
        <v>46251</v>
      </c>
      <c r="EA270" s="9" t="n">
        <v>0</v>
      </c>
      <c r="EC270" s="9" t="n">
        <v>0</v>
      </c>
      <c r="ED270" s="9" t="n">
        <v>0</v>
      </c>
      <c r="EH270" s="10" t="n">
        <v>46251</v>
      </c>
      <c r="EJ270" s="9" t="n">
        <v>0</v>
      </c>
      <c r="EL270" s="9" t="n">
        <v>0</v>
      </c>
      <c r="EM270" s="9" t="n">
        <v>0</v>
      </c>
      <c r="EQ270" s="10" t="n">
        <v>46251</v>
      </c>
      <c r="ES270" s="9" t="n">
        <v>0</v>
      </c>
      <c r="EU270" s="9" t="n">
        <v>0</v>
      </c>
      <c r="EV270" s="9" t="n">
        <v>0</v>
      </c>
      <c r="EZ270" s="10" t="n">
        <v>46251</v>
      </c>
      <c r="FB270" s="9" t="n">
        <v>0</v>
      </c>
      <c r="FD270" s="9" t="n">
        <v>0</v>
      </c>
      <c r="FE270" s="9" t="n">
        <v>0</v>
      </c>
      <c r="FI270" s="10" t="n">
        <v>46251</v>
      </c>
      <c r="FK270" s="9" t="n">
        <v>0</v>
      </c>
      <c r="FM270" s="9" t="n">
        <v>0</v>
      </c>
      <c r="FN270" s="9" t="n">
        <v>0</v>
      </c>
      <c r="FR270" s="10" t="n">
        <v>46251</v>
      </c>
      <c r="FS270" s="9" t="n">
        <v>2000</v>
      </c>
      <c r="FT270" s="9" t="n">
        <v>0</v>
      </c>
      <c r="FV270" s="9" t="n">
        <v>0</v>
      </c>
      <c r="FW270" s="9" t="n">
        <v>2020</v>
      </c>
      <c r="GA270" s="10" t="n">
        <v>46251</v>
      </c>
      <c r="GC270" s="9" t="n">
        <v>0</v>
      </c>
      <c r="GE270" s="9" t="n">
        <v>0</v>
      </c>
      <c r="GF270" s="9" t="n">
        <v>960</v>
      </c>
      <c r="GJ270" s="10" t="n">
        <v>46251</v>
      </c>
      <c r="GL270" s="9" t="n">
        <v>0</v>
      </c>
      <c r="GN270" s="9" t="n">
        <v>0</v>
      </c>
      <c r="GO270" s="9" t="n">
        <v>1760</v>
      </c>
      <c r="GS270" s="10" t="n">
        <v>46251</v>
      </c>
      <c r="GU270" s="9" t="n">
        <v>0</v>
      </c>
      <c r="GW270" s="9" t="n">
        <v>0</v>
      </c>
      <c r="GX270" s="9" t="n">
        <v>400</v>
      </c>
      <c r="HB270" s="10" t="n">
        <v>46251</v>
      </c>
      <c r="HD270" s="9" t="n">
        <v>0</v>
      </c>
      <c r="HF270" s="9" t="n">
        <v>0</v>
      </c>
      <c r="HG270" s="9" t="n">
        <v>3600</v>
      </c>
      <c r="HK270" s="10" t="n">
        <v>46251</v>
      </c>
      <c r="HM270" s="9" t="n">
        <v>0</v>
      </c>
      <c r="HO270" s="9" t="n">
        <v>0</v>
      </c>
      <c r="HP270" s="9" t="n">
        <v>0</v>
      </c>
      <c r="HU270" s="10" t="n">
        <v>46251</v>
      </c>
      <c r="HV270" s="9" t="n">
        <v>2000</v>
      </c>
      <c r="HW270" s="9" t="n">
        <v>0</v>
      </c>
      <c r="HY270" s="9" t="n">
        <v>0</v>
      </c>
      <c r="HZ270" s="9" t="n">
        <v>6120</v>
      </c>
      <c r="ID270" s="10" t="n">
        <v>46251</v>
      </c>
      <c r="IF270" s="9" t="n">
        <v>0</v>
      </c>
      <c r="IH270" s="9" t="n">
        <v>0</v>
      </c>
      <c r="II270" s="9" t="n">
        <v>60</v>
      </c>
      <c r="IM270" s="10" t="n">
        <v>46251</v>
      </c>
      <c r="IO270" s="9" t="n">
        <v>0</v>
      </c>
      <c r="IQ270" s="9" t="n">
        <v>0</v>
      </c>
      <c r="IR270" s="9" t="n">
        <v>0</v>
      </c>
      <c r="IV270" s="10" t="n">
        <v>46251</v>
      </c>
      <c r="IX270" s="9" t="n">
        <v>0</v>
      </c>
      <c r="IZ270" s="9" t="n">
        <v>0</v>
      </c>
      <c r="JA270" s="9" t="n">
        <v>2960</v>
      </c>
      <c r="JE270" s="10" t="n">
        <v>46251</v>
      </c>
      <c r="JG270" s="9" t="n">
        <v>0</v>
      </c>
      <c r="JI270" s="9" t="n">
        <v>0</v>
      </c>
      <c r="JJ270" s="9" t="n">
        <v>0</v>
      </c>
      <c r="JN270" s="10" t="n">
        <v>46251</v>
      </c>
      <c r="JP270" s="9" t="n">
        <v>0</v>
      </c>
      <c r="JR270" s="9" t="n">
        <v>0</v>
      </c>
      <c r="JS270" s="9" t="n">
        <v>0</v>
      </c>
      <c r="JW270" s="10" t="n">
        <v>46251</v>
      </c>
      <c r="JY270" s="9" t="n">
        <v>0</v>
      </c>
      <c r="KA270" s="9" t="n">
        <v>0</v>
      </c>
      <c r="KB270" s="9" t="n">
        <v>2540</v>
      </c>
      <c r="KF270" s="10" t="n">
        <v>46251</v>
      </c>
      <c r="KH270" s="9" t="n">
        <v>0</v>
      </c>
      <c r="KJ270" s="9" t="n">
        <v>0</v>
      </c>
      <c r="KK270" s="9" t="n">
        <v>2359.5</v>
      </c>
      <c r="KO270" s="10" t="n">
        <v>46251</v>
      </c>
      <c r="KQ270" s="9" t="n">
        <v>0</v>
      </c>
      <c r="KS270" s="9" t="n">
        <v>0</v>
      </c>
      <c r="KT270" s="9" t="n">
        <v>1890</v>
      </c>
      <c r="KX270" s="10" t="n">
        <v>46251</v>
      </c>
      <c r="KZ270" s="9" t="n">
        <v>0</v>
      </c>
      <c r="LB270" s="9" t="n">
        <v>0</v>
      </c>
      <c r="LC270" s="9" t="n">
        <v>3690</v>
      </c>
      <c r="LG270" s="10" t="n">
        <v>46251</v>
      </c>
      <c r="LI270" s="9" t="n">
        <v>0</v>
      </c>
      <c r="LK270" s="9" t="n">
        <v>0</v>
      </c>
      <c r="LL270" s="9" t="n">
        <v>4000</v>
      </c>
      <c r="LP270" s="10" t="n">
        <v>46251</v>
      </c>
      <c r="LR270" s="9" t="n">
        <v>0</v>
      </c>
      <c r="LT270" s="9" t="n">
        <v>0</v>
      </c>
      <c r="LU270" s="9" t="n">
        <v>0</v>
      </c>
      <c r="LY270" s="10" t="n">
        <v>46251</v>
      </c>
      <c r="MA270" s="9" t="n">
        <v>0</v>
      </c>
      <c r="MC270" s="9" t="n">
        <v>0</v>
      </c>
      <c r="MD270" s="9" t="n">
        <v>0</v>
      </c>
      <c r="MH270" s="10" t="n">
        <v>46251</v>
      </c>
      <c r="MJ270" s="9" t="n">
        <v>0</v>
      </c>
      <c r="ML270" s="9" t="n">
        <v>0</v>
      </c>
      <c r="MM270" s="9" t="n">
        <v>0</v>
      </c>
      <c r="MQ270" s="10" t="n">
        <v>46251</v>
      </c>
      <c r="MS270" s="9" t="n">
        <v>0</v>
      </c>
      <c r="MU270" s="9" t="n">
        <v>0</v>
      </c>
      <c r="MV270" s="9" t="n">
        <v>1625</v>
      </c>
      <c r="MZ270" s="10" t="n">
        <v>46251</v>
      </c>
      <c r="NB270" s="9" t="n">
        <v>0</v>
      </c>
      <c r="ND270" s="9" t="n">
        <v>0</v>
      </c>
      <c r="NE270" s="9" t="n">
        <v>0</v>
      </c>
      <c r="NI270" s="10" t="n">
        <v>46251</v>
      </c>
      <c r="NK270" s="9" t="n">
        <v>0</v>
      </c>
      <c r="NM270" s="9" t="n">
        <v>0</v>
      </c>
      <c r="NN270" s="9" t="n">
        <v>1127</v>
      </c>
      <c r="NR270" s="10" t="n">
        <v>46251</v>
      </c>
      <c r="NT270" s="9" t="n">
        <v>0</v>
      </c>
      <c r="NV270" s="9" t="n">
        <v>0</v>
      </c>
      <c r="NW270" s="9" t="n">
        <v>3112</v>
      </c>
      <c r="OA270" s="10" t="n">
        <v>46251</v>
      </c>
      <c r="OC270" s="9" t="n">
        <v>0</v>
      </c>
      <c r="OE270" s="9" t="n">
        <v>0</v>
      </c>
      <c r="OF270" s="9" t="n">
        <v>1680.5</v>
      </c>
      <c r="OJ270" s="10" t="n">
        <v>46251</v>
      </c>
      <c r="OL270" s="9" t="n">
        <v>0</v>
      </c>
      <c r="ON270" s="9" t="n">
        <v>0</v>
      </c>
      <c r="OO270" s="9" t="n">
        <v>0</v>
      </c>
      <c r="OS270" s="10" t="n">
        <v>46251</v>
      </c>
      <c r="OU270" s="9" t="n">
        <v>0</v>
      </c>
      <c r="OW270" s="9" t="n">
        <v>0</v>
      </c>
      <c r="OX270" s="9" t="n">
        <v>1482</v>
      </c>
      <c r="PB270" s="10" t="n">
        <v>46251</v>
      </c>
      <c r="PD270" s="9" t="n">
        <v>0</v>
      </c>
      <c r="PF270" s="9" t="n">
        <v>0</v>
      </c>
      <c r="PG270" s="9" t="n">
        <v>0</v>
      </c>
      <c r="PK270" s="10" t="n">
        <v>46251</v>
      </c>
      <c r="PM270" s="9" t="n">
        <v>0</v>
      </c>
      <c r="PO270" s="9" t="n">
        <v>0</v>
      </c>
      <c r="PP270" s="9" t="n">
        <v>100</v>
      </c>
      <c r="PT270" s="10" t="n">
        <v>46251</v>
      </c>
      <c r="PV270" s="9" t="n">
        <v>0</v>
      </c>
      <c r="PX270" s="9" t="n">
        <v>0</v>
      </c>
      <c r="PY270" s="9" t="n">
        <v>13.96000000000004</v>
      </c>
      <c r="QC270" s="10" t="n">
        <v>46251</v>
      </c>
      <c r="QE270" s="9" t="n">
        <v>0</v>
      </c>
      <c r="QG270" s="9" t="n">
        <v>0</v>
      </c>
      <c r="QH270" s="9" t="n">
        <v>548</v>
      </c>
      <c r="QL270" s="10" t="n">
        <v>46251</v>
      </c>
      <c r="QN270" s="9" t="n">
        <v>0</v>
      </c>
      <c r="QP270" s="9" t="n">
        <v>0</v>
      </c>
      <c r="QQ270" s="9" t="n">
        <v>0</v>
      </c>
      <c r="QU270" s="10" t="n">
        <v>46251</v>
      </c>
      <c r="QW270" s="9" t="n">
        <v>0</v>
      </c>
      <c r="QY270" s="9" t="n">
        <v>0</v>
      </c>
      <c r="QZ270" s="9" t="n">
        <v>0</v>
      </c>
      <c r="RD270" s="10" t="n">
        <v>46251</v>
      </c>
      <c r="RF270" s="9" t="n">
        <v>0</v>
      </c>
      <c r="RH270" s="9" t="n">
        <v>0</v>
      </c>
      <c r="RI270" s="9" t="n">
        <v>147.04</v>
      </c>
      <c r="RM270" s="10" t="n">
        <v>46251</v>
      </c>
      <c r="RO270" s="9" t="n">
        <v>0</v>
      </c>
      <c r="RQ270" s="9" t="n">
        <v>0</v>
      </c>
      <c r="RR270" s="9" t="n">
        <v>46.8</v>
      </c>
      <c r="RV270" s="10" t="n">
        <v>46251</v>
      </c>
      <c r="RX270" s="9" t="n">
        <v>0</v>
      </c>
      <c r="RZ270" s="9" t="n">
        <v>0</v>
      </c>
      <c r="SA270" s="9" t="n">
        <v>0</v>
      </c>
      <c r="SE270" s="10" t="n">
        <v>46251</v>
      </c>
      <c r="SG270" s="9" t="n">
        <v>0</v>
      </c>
      <c r="SI270" s="9" t="n">
        <v>0</v>
      </c>
      <c r="SJ270" s="9" t="n">
        <v>24.2</v>
      </c>
      <c r="SN270" s="10" t="n">
        <v>46251</v>
      </c>
      <c r="SP270" s="9" t="n">
        <v>0</v>
      </c>
      <c r="SR270" s="9" t="n">
        <v>0</v>
      </c>
      <c r="SS270" s="9" t="n">
        <v>32</v>
      </c>
      <c r="SW270" s="10" t="n">
        <v>46251</v>
      </c>
      <c r="SY270" s="9" t="n">
        <v>0</v>
      </c>
      <c r="TA270" s="9" t="n">
        <v>0</v>
      </c>
      <c r="TB270" s="9" t="n">
        <v>0</v>
      </c>
      <c r="TF270" s="10" t="n">
        <v>46251</v>
      </c>
      <c r="TH270" s="9" t="n">
        <v>0</v>
      </c>
      <c r="TJ270" s="9" t="n">
        <v>0</v>
      </c>
      <c r="TK270" s="9" t="n">
        <v>0</v>
      </c>
      <c r="TO270" s="10" t="n">
        <v>46251</v>
      </c>
      <c r="TQ270" s="9" t="n">
        <v>0</v>
      </c>
      <c r="TS270" s="9" t="n">
        <v>0</v>
      </c>
      <c r="TT270" s="9" t="n">
        <v>0</v>
      </c>
      <c r="TX270" s="10" t="n">
        <v>46251</v>
      </c>
      <c r="TZ270" s="9" t="n">
        <v>0</v>
      </c>
      <c r="UB270" s="9" t="n">
        <v>0</v>
      </c>
      <c r="UC270" s="9" t="n">
        <v>46.79999999999998</v>
      </c>
      <c r="UG270" s="10" t="n">
        <v>46251</v>
      </c>
      <c r="UI270" s="9" t="n">
        <v>0</v>
      </c>
      <c r="UK270" s="9" t="n">
        <v>0</v>
      </c>
      <c r="UL270" s="9" t="n">
        <v>204</v>
      </c>
      <c r="UP270" s="10" t="n">
        <v>46251</v>
      </c>
      <c r="UR270" s="9" t="n">
        <v>0</v>
      </c>
      <c r="UT270" s="9" t="n">
        <v>0</v>
      </c>
      <c r="UU270" s="9" t="n">
        <v>202.5</v>
      </c>
      <c r="UY270" s="10" t="n">
        <v>46251</v>
      </c>
      <c r="VA270" s="9" t="n">
        <v>0</v>
      </c>
      <c r="VC270" s="9" t="n">
        <v>0</v>
      </c>
      <c r="VD270" s="9" t="n">
        <v>41.60000000000002</v>
      </c>
      <c r="VH270" s="10" t="n">
        <v>46251</v>
      </c>
      <c r="VJ270" s="9" t="n">
        <v>0</v>
      </c>
      <c r="VL270" s="9" t="n">
        <v>0</v>
      </c>
      <c r="VM270" s="9" t="n">
        <v>210</v>
      </c>
      <c r="VQ270" s="10" t="n">
        <v>46251</v>
      </c>
      <c r="VS270" s="9" t="n">
        <v>0</v>
      </c>
      <c r="VU270" s="9" t="n">
        <v>0</v>
      </c>
      <c r="VV270" s="9" t="n">
        <v>0</v>
      </c>
      <c r="VZ270" s="10" t="n">
        <v>46251</v>
      </c>
      <c r="WB270" s="9" t="n">
        <v>0</v>
      </c>
      <c r="WD270" s="9" t="n">
        <v>0</v>
      </c>
      <c r="WE270" s="9" t="n">
        <v>0</v>
      </c>
      <c r="WI270" s="10" t="n">
        <v>46251</v>
      </c>
      <c r="WK270" s="9" t="n">
        <v>0</v>
      </c>
      <c r="WM270" s="9" t="n">
        <v>0</v>
      </c>
      <c r="WN270" s="9" t="n">
        <v>1057</v>
      </c>
      <c r="WR270" s="10" t="n">
        <v>46251</v>
      </c>
      <c r="WT270" s="9" t="n">
        <v>0</v>
      </c>
      <c r="WV270" s="9" t="n">
        <v>0</v>
      </c>
      <c r="WW270" s="9" t="n">
        <v>0</v>
      </c>
      <c r="XA270" s="10" t="n">
        <v>46251</v>
      </c>
      <c r="XC270" s="9" t="n">
        <v>0</v>
      </c>
      <c r="XE270" s="9" t="n">
        <v>0</v>
      </c>
      <c r="XF270" s="9" t="n">
        <v>7507</v>
      </c>
      <c r="XJ270" s="10" t="n">
        <v>46251</v>
      </c>
      <c r="XL270" s="9" t="n">
        <v>0</v>
      </c>
      <c r="XN270" s="9" t="n">
        <v>0</v>
      </c>
      <c r="XO270" s="9" t="n">
        <v>4252</v>
      </c>
      <c r="XS270" s="10" t="n">
        <v>46251</v>
      </c>
      <c r="XU270" s="9" t="n">
        <v>0</v>
      </c>
      <c r="XW270" s="9" t="n">
        <v>0</v>
      </c>
      <c r="XX270" s="9" t="n">
        <v>2179</v>
      </c>
      <c r="YB270" s="10" t="n">
        <v>46251</v>
      </c>
      <c r="YD270" s="9" t="n">
        <v>0</v>
      </c>
      <c r="YF270" s="9" t="n">
        <v>0</v>
      </c>
      <c r="YG270" s="9" t="n">
        <v>4019</v>
      </c>
      <c r="YK270" s="10" t="n">
        <v>46251</v>
      </c>
      <c r="YM270" s="9" t="n">
        <v>0</v>
      </c>
      <c r="YO270" s="9" t="n">
        <v>0</v>
      </c>
      <c r="YP270" s="9" t="n">
        <v>-218</v>
      </c>
      <c r="YT270" s="10" t="n">
        <v>46251</v>
      </c>
      <c r="YV270" s="9" t="n">
        <v>0</v>
      </c>
      <c r="YX270" s="9" t="n">
        <v>0</v>
      </c>
      <c r="YY270" s="9" t="n">
        <v>0</v>
      </c>
      <c r="ZC270" s="10" t="n">
        <v>46251</v>
      </c>
      <c r="ZE270" s="9" t="n">
        <v>0</v>
      </c>
      <c r="ZG270" s="9" t="n">
        <v>0</v>
      </c>
      <c r="ZH270" s="9" t="n">
        <v>0</v>
      </c>
      <c r="ZL270" s="10" t="n">
        <v>46251</v>
      </c>
      <c r="ZN270" s="9" t="n">
        <v>0</v>
      </c>
      <c r="ZP270" s="9" t="n">
        <v>0</v>
      </c>
      <c r="ZQ270" s="9" t="n">
        <v>0</v>
      </c>
      <c r="ZU270" s="10" t="n">
        <v>46251</v>
      </c>
      <c r="ZW270" s="9" t="n">
        <v>0</v>
      </c>
      <c r="ZY270" s="9" t="n">
        <v>0</v>
      </c>
      <c r="ZZ270" s="9" t="n">
        <v>0</v>
      </c>
      <c r="AAD270" s="10" t="n">
        <v>46251</v>
      </c>
      <c r="AAF270" s="9" t="n">
        <v>0</v>
      </c>
      <c r="AAH270" s="9" t="n">
        <v>0</v>
      </c>
      <c r="AAI270" s="9" t="n">
        <v>0</v>
      </c>
      <c r="AAM270" s="10" t="n">
        <v>46251</v>
      </c>
      <c r="AAO270" s="9" t="n">
        <v>0</v>
      </c>
      <c r="AAQ270" s="9" t="n">
        <v>0</v>
      </c>
      <c r="AAR270" s="9" t="n">
        <v>0</v>
      </c>
      <c r="AAV270" s="10" t="n">
        <v>46251</v>
      </c>
      <c r="AAX270" s="9" t="n">
        <v>0</v>
      </c>
      <c r="AAZ270" s="9" t="n">
        <v>0</v>
      </c>
      <c r="ABA270" s="9" t="n">
        <v>0</v>
      </c>
      <c r="ABE270" s="10" t="n">
        <v>46251</v>
      </c>
      <c r="ABG270" s="9" t="n">
        <v>0</v>
      </c>
      <c r="ABI270" s="9" t="n">
        <v>0</v>
      </c>
      <c r="ABJ270" s="9" t="n">
        <v>0</v>
      </c>
    </row>
    <row r="271">
      <c r="C271" s="10" t="n">
        <v>46252</v>
      </c>
      <c r="E271" s="9" t="n">
        <v>0</v>
      </c>
      <c r="G271" s="9" t="n">
        <v>0</v>
      </c>
      <c r="H271" s="9" t="n">
        <v>236936.6</v>
      </c>
      <c r="L271" s="10" t="n">
        <v>46252</v>
      </c>
      <c r="N271" s="9" t="n">
        <v>0</v>
      </c>
      <c r="P271" s="9" t="n">
        <v>0</v>
      </c>
      <c r="Q271" s="9" t="n">
        <v>53017.60000000007</v>
      </c>
      <c r="U271" s="10" t="n">
        <v>46252</v>
      </c>
      <c r="W271" s="9" t="n">
        <v>0</v>
      </c>
      <c r="Y271" s="9" t="n">
        <v>0</v>
      </c>
      <c r="Z271" s="9" t="n">
        <v>42674.19999999997</v>
      </c>
      <c r="AD271" s="10" t="n">
        <v>46252</v>
      </c>
      <c r="AF271" s="9" t="n">
        <v>0</v>
      </c>
      <c r="AH271" s="9" t="n">
        <v>0</v>
      </c>
      <c r="AI271" s="9" t="n">
        <v>4522.200000000019</v>
      </c>
      <c r="AM271" s="10" t="n">
        <v>46252</v>
      </c>
      <c r="AO271" s="9" t="n">
        <v>0</v>
      </c>
      <c r="AQ271" s="9" t="n">
        <v>0</v>
      </c>
      <c r="AR271" s="9" t="n">
        <v>0</v>
      </c>
      <c r="AV271" s="10" t="n">
        <v>46252</v>
      </c>
      <c r="AX271" s="9" t="n">
        <v>0</v>
      </c>
      <c r="AZ271" s="9" t="n">
        <v>0</v>
      </c>
      <c r="BA271" s="9" t="n">
        <v>124.9999999999952</v>
      </c>
      <c r="BE271" s="10" t="n">
        <v>46252</v>
      </c>
      <c r="BG271" s="9" t="n">
        <v>0</v>
      </c>
      <c r="BI271" s="9" t="n">
        <v>0</v>
      </c>
      <c r="BJ271" s="9" t="n">
        <v>26151.9</v>
      </c>
      <c r="BN271" s="10" t="n">
        <v>46252</v>
      </c>
      <c r="BP271" s="9" t="n">
        <v>0</v>
      </c>
      <c r="BR271" s="9" t="n">
        <v>0</v>
      </c>
      <c r="BS271" s="9" t="n">
        <v>0</v>
      </c>
      <c r="BW271" s="10" t="n">
        <v>46252</v>
      </c>
      <c r="BY271" s="9" t="n">
        <v>0</v>
      </c>
      <c r="CA271" s="9" t="n">
        <v>0</v>
      </c>
      <c r="CB271" s="9" t="n">
        <v>2097.339999999999</v>
      </c>
      <c r="CF271" s="10" t="n">
        <v>46252</v>
      </c>
      <c r="CH271" s="9" t="n">
        <v>0</v>
      </c>
      <c r="CJ271" s="9" t="n">
        <v>0</v>
      </c>
      <c r="CK271" s="9" t="n">
        <v>-10277.08</v>
      </c>
      <c r="CO271" s="10" t="n">
        <v>46252</v>
      </c>
      <c r="CQ271" s="9" t="n">
        <v>0</v>
      </c>
      <c r="CS271" s="9" t="n">
        <v>0</v>
      </c>
      <c r="CT271" s="9" t="n">
        <v>0</v>
      </c>
      <c r="CX271" s="10" t="n">
        <v>46252</v>
      </c>
      <c r="CZ271" s="9" t="n">
        <v>0</v>
      </c>
      <c r="DB271" s="9" t="n">
        <v>0</v>
      </c>
      <c r="DC271" s="9" t="n">
        <v>27438.20000000001</v>
      </c>
      <c r="DG271" s="10" t="n">
        <v>46252</v>
      </c>
      <c r="DI271" s="9" t="n">
        <v>0</v>
      </c>
      <c r="DK271" s="9" t="n">
        <v>0</v>
      </c>
      <c r="DL271" s="9" t="n">
        <v>18782.29999999998</v>
      </c>
      <c r="DP271" s="10" t="n">
        <v>46252</v>
      </c>
      <c r="DR271" s="9" t="n">
        <v>0</v>
      </c>
      <c r="DT271" s="9" t="n">
        <v>0</v>
      </c>
      <c r="DU271" s="9" t="n">
        <v>5800</v>
      </c>
      <c r="DY271" s="10" t="n">
        <v>46252</v>
      </c>
      <c r="EA271" s="9" t="n">
        <v>0</v>
      </c>
      <c r="EC271" s="9" t="n">
        <v>0</v>
      </c>
      <c r="ED271" s="9" t="n">
        <v>0</v>
      </c>
      <c r="EH271" s="10" t="n">
        <v>46252</v>
      </c>
      <c r="EJ271" s="9" t="n">
        <v>0</v>
      </c>
      <c r="EL271" s="9" t="n">
        <v>0</v>
      </c>
      <c r="EM271" s="9" t="n">
        <v>0</v>
      </c>
      <c r="EQ271" s="10" t="n">
        <v>46252</v>
      </c>
      <c r="ES271" s="9" t="n">
        <v>0</v>
      </c>
      <c r="EU271" s="9" t="n">
        <v>0</v>
      </c>
      <c r="EV271" s="9" t="n">
        <v>0</v>
      </c>
      <c r="EZ271" s="10" t="n">
        <v>46252</v>
      </c>
      <c r="FB271" s="9" t="n">
        <v>0</v>
      </c>
      <c r="FD271" s="9" t="n">
        <v>0</v>
      </c>
      <c r="FE271" s="9" t="n">
        <v>0</v>
      </c>
      <c r="FI271" s="10" t="n">
        <v>46252</v>
      </c>
      <c r="FK271" s="9" t="n">
        <v>0</v>
      </c>
      <c r="FM271" s="9" t="n">
        <v>0</v>
      </c>
      <c r="FN271" s="9" t="n">
        <v>0</v>
      </c>
      <c r="FR271" s="10" t="n">
        <v>46252</v>
      </c>
      <c r="FT271" s="9" t="n">
        <v>0</v>
      </c>
      <c r="FV271" s="9" t="n">
        <v>0</v>
      </c>
      <c r="FW271" s="9" t="n">
        <v>2020</v>
      </c>
      <c r="GA271" s="10" t="n">
        <v>46252</v>
      </c>
      <c r="GC271" s="9" t="n">
        <v>0</v>
      </c>
      <c r="GE271" s="9" t="n">
        <v>0</v>
      </c>
      <c r="GF271" s="9" t="n">
        <v>960</v>
      </c>
      <c r="GJ271" s="10" t="n">
        <v>46252</v>
      </c>
      <c r="GL271" s="9" t="n">
        <v>0</v>
      </c>
      <c r="GN271" s="9" t="n">
        <v>0</v>
      </c>
      <c r="GO271" s="9" t="n">
        <v>1760</v>
      </c>
      <c r="GS271" s="10" t="n">
        <v>46252</v>
      </c>
      <c r="GU271" s="9" t="n">
        <v>0</v>
      </c>
      <c r="GW271" s="9" t="n">
        <v>0</v>
      </c>
      <c r="GX271" s="9" t="n">
        <v>400</v>
      </c>
      <c r="HB271" s="10" t="n">
        <v>46252</v>
      </c>
      <c r="HD271" s="9" t="n">
        <v>0</v>
      </c>
      <c r="HF271" s="9" t="n">
        <v>0</v>
      </c>
      <c r="HG271" s="9" t="n">
        <v>3600</v>
      </c>
      <c r="HK271" s="10" t="n">
        <v>46252</v>
      </c>
      <c r="HM271" s="9" t="n">
        <v>0</v>
      </c>
      <c r="HO271" s="9" t="n">
        <v>0</v>
      </c>
      <c r="HP271" s="9" t="n">
        <v>0</v>
      </c>
      <c r="HT271" s="9" t="inlineStr">
        <is>
          <t>Opening Premix 8100 on 18/8</t>
        </is>
      </c>
      <c r="HU271" s="10" t="n">
        <v>46252</v>
      </c>
      <c r="HW271" s="9" t="n">
        <v>0</v>
      </c>
      <c r="HY271" s="9" t="n">
        <v>0</v>
      </c>
      <c r="HZ271" s="9" t="n">
        <v>6120</v>
      </c>
      <c r="ID271" s="10" t="n">
        <v>46252</v>
      </c>
      <c r="IF271" s="9" t="n">
        <v>0</v>
      </c>
      <c r="IH271" s="9" t="n">
        <v>0</v>
      </c>
      <c r="II271" s="9" t="n">
        <v>60</v>
      </c>
      <c r="IM271" s="10" t="n">
        <v>46252</v>
      </c>
      <c r="IO271" s="9" t="n">
        <v>0</v>
      </c>
      <c r="IQ271" s="9" t="n">
        <v>0</v>
      </c>
      <c r="IR271" s="9" t="n">
        <v>0</v>
      </c>
      <c r="IV271" s="10" t="n">
        <v>46252</v>
      </c>
      <c r="IX271" s="9" t="n">
        <v>0</v>
      </c>
      <c r="IZ271" s="9" t="n">
        <v>0</v>
      </c>
      <c r="JA271" s="9" t="n">
        <v>2960</v>
      </c>
      <c r="JE271" s="10" t="n">
        <v>46252</v>
      </c>
      <c r="JG271" s="9" t="n">
        <v>0</v>
      </c>
      <c r="JI271" s="9" t="n">
        <v>0</v>
      </c>
      <c r="JJ271" s="9" t="n">
        <v>0</v>
      </c>
      <c r="JN271" s="10" t="n">
        <v>46252</v>
      </c>
      <c r="JP271" s="9" t="n">
        <v>0</v>
      </c>
      <c r="JR271" s="9" t="n">
        <v>0</v>
      </c>
      <c r="JS271" s="9" t="n">
        <v>0</v>
      </c>
      <c r="JW271" s="10" t="n">
        <v>46252</v>
      </c>
      <c r="JY271" s="9" t="n">
        <v>0</v>
      </c>
      <c r="KA271" s="9" t="n">
        <v>0</v>
      </c>
      <c r="KB271" s="9" t="n">
        <v>2540</v>
      </c>
      <c r="KF271" s="10" t="n">
        <v>46252</v>
      </c>
      <c r="KH271" s="9" t="n">
        <v>0</v>
      </c>
      <c r="KJ271" s="9" t="n">
        <v>0</v>
      </c>
      <c r="KK271" s="9" t="n">
        <v>2359.5</v>
      </c>
      <c r="KO271" s="10" t="n">
        <v>46252</v>
      </c>
      <c r="KQ271" s="9" t="n">
        <v>0</v>
      </c>
      <c r="KS271" s="9" t="n">
        <v>0</v>
      </c>
      <c r="KT271" s="9" t="n">
        <v>1890</v>
      </c>
      <c r="KX271" s="10" t="n">
        <v>46252</v>
      </c>
      <c r="KZ271" s="9" t="n">
        <v>0</v>
      </c>
      <c r="LB271" s="9" t="n">
        <v>0</v>
      </c>
      <c r="LC271" s="9" t="n">
        <v>3690</v>
      </c>
      <c r="LG271" s="10" t="n">
        <v>46252</v>
      </c>
      <c r="LI271" s="9" t="n">
        <v>0</v>
      </c>
      <c r="LK271" s="9" t="n">
        <v>0</v>
      </c>
      <c r="LL271" s="9" t="n">
        <v>4000</v>
      </c>
      <c r="LP271" s="10" t="n">
        <v>46252</v>
      </c>
      <c r="LR271" s="9" t="n">
        <v>0</v>
      </c>
      <c r="LT271" s="9" t="n">
        <v>0</v>
      </c>
      <c r="LU271" s="9" t="n">
        <v>0</v>
      </c>
      <c r="LY271" s="10" t="n">
        <v>46252</v>
      </c>
      <c r="MA271" s="9" t="n">
        <v>0</v>
      </c>
      <c r="MC271" s="9" t="n">
        <v>0</v>
      </c>
      <c r="MD271" s="9" t="n">
        <v>0</v>
      </c>
      <c r="MH271" s="10" t="n">
        <v>46252</v>
      </c>
      <c r="MJ271" s="9" t="n">
        <v>0</v>
      </c>
      <c r="ML271" s="9" t="n">
        <v>0</v>
      </c>
      <c r="MM271" s="9" t="n">
        <v>0</v>
      </c>
      <c r="MQ271" s="10" t="n">
        <v>46252</v>
      </c>
      <c r="MS271" s="9" t="n">
        <v>0</v>
      </c>
      <c r="MU271" s="9" t="n">
        <v>0</v>
      </c>
      <c r="MV271" s="9" t="n">
        <v>1625</v>
      </c>
      <c r="MZ271" s="10" t="n">
        <v>46252</v>
      </c>
      <c r="NB271" s="9" t="n">
        <v>0</v>
      </c>
      <c r="ND271" s="9" t="n">
        <v>0</v>
      </c>
      <c r="NE271" s="9" t="n">
        <v>0</v>
      </c>
      <c r="NI271" s="10" t="n">
        <v>46252</v>
      </c>
      <c r="NK271" s="9" t="n">
        <v>0</v>
      </c>
      <c r="NM271" s="9" t="n">
        <v>0</v>
      </c>
      <c r="NN271" s="9" t="n">
        <v>1127</v>
      </c>
      <c r="NR271" s="10" t="n">
        <v>46252</v>
      </c>
      <c r="NT271" s="9" t="n">
        <v>0</v>
      </c>
      <c r="NV271" s="9" t="n">
        <v>0</v>
      </c>
      <c r="NW271" s="9" t="n">
        <v>3112</v>
      </c>
      <c r="OA271" s="10" t="n">
        <v>46252</v>
      </c>
      <c r="OC271" s="9" t="n">
        <v>0</v>
      </c>
      <c r="OE271" s="9" t="n">
        <v>0</v>
      </c>
      <c r="OF271" s="9" t="n">
        <v>1680.5</v>
      </c>
      <c r="OJ271" s="10" t="n">
        <v>46252</v>
      </c>
      <c r="OL271" s="9" t="n">
        <v>0</v>
      </c>
      <c r="ON271" s="9" t="n">
        <v>0</v>
      </c>
      <c r="OO271" s="9" t="n">
        <v>0</v>
      </c>
      <c r="OS271" s="10" t="n">
        <v>46252</v>
      </c>
      <c r="OU271" s="9" t="n">
        <v>0</v>
      </c>
      <c r="OW271" s="9" t="n">
        <v>0</v>
      </c>
      <c r="OX271" s="9" t="n">
        <v>1482</v>
      </c>
      <c r="PB271" s="10" t="n">
        <v>46252</v>
      </c>
      <c r="PD271" s="9" t="n">
        <v>0</v>
      </c>
      <c r="PF271" s="9" t="n">
        <v>0</v>
      </c>
      <c r="PG271" s="9" t="n">
        <v>0</v>
      </c>
      <c r="PK271" s="10" t="n">
        <v>46252</v>
      </c>
      <c r="PM271" s="9" t="n">
        <v>0</v>
      </c>
      <c r="PO271" s="9" t="n">
        <v>0</v>
      </c>
      <c r="PP271" s="9" t="n">
        <v>100</v>
      </c>
      <c r="PT271" s="10" t="n">
        <v>46252</v>
      </c>
      <c r="PV271" s="9" t="n">
        <v>0</v>
      </c>
      <c r="PX271" s="9" t="n">
        <v>0</v>
      </c>
      <c r="PY271" s="9" t="n">
        <v>13.96000000000004</v>
      </c>
      <c r="QC271" s="10" t="n">
        <v>46252</v>
      </c>
      <c r="QE271" s="9" t="n">
        <v>0</v>
      </c>
      <c r="QG271" s="9" t="n">
        <v>0</v>
      </c>
      <c r="QH271" s="9" t="n">
        <v>548</v>
      </c>
      <c r="QL271" s="10" t="n">
        <v>46252</v>
      </c>
      <c r="QN271" s="9" t="n">
        <v>0</v>
      </c>
      <c r="QP271" s="9" t="n">
        <v>0</v>
      </c>
      <c r="QQ271" s="9" t="n">
        <v>0</v>
      </c>
      <c r="QU271" s="10" t="n">
        <v>46252</v>
      </c>
      <c r="QW271" s="9" t="n">
        <v>0</v>
      </c>
      <c r="QY271" s="9" t="n">
        <v>0</v>
      </c>
      <c r="QZ271" s="9" t="n">
        <v>0</v>
      </c>
      <c r="RD271" s="10" t="n">
        <v>46252</v>
      </c>
      <c r="RF271" s="9" t="n">
        <v>0</v>
      </c>
      <c r="RH271" s="9" t="n">
        <v>0</v>
      </c>
      <c r="RI271" s="9" t="n">
        <v>147.04</v>
      </c>
      <c r="RM271" s="10" t="n">
        <v>46252</v>
      </c>
      <c r="RO271" s="9" t="n">
        <v>0</v>
      </c>
      <c r="RQ271" s="9" t="n">
        <v>0</v>
      </c>
      <c r="RR271" s="9" t="n">
        <v>46.8</v>
      </c>
      <c r="RV271" s="10" t="n">
        <v>46252</v>
      </c>
      <c r="RX271" s="9" t="n">
        <v>0</v>
      </c>
      <c r="RZ271" s="9" t="n">
        <v>0</v>
      </c>
      <c r="SA271" s="9" t="n">
        <v>0</v>
      </c>
      <c r="SE271" s="10" t="n">
        <v>46252</v>
      </c>
      <c r="SG271" s="9" t="n">
        <v>0</v>
      </c>
      <c r="SI271" s="9" t="n">
        <v>0</v>
      </c>
      <c r="SJ271" s="9" t="n">
        <v>24.2</v>
      </c>
      <c r="SN271" s="10" t="n">
        <v>46252</v>
      </c>
      <c r="SP271" s="9" t="n">
        <v>0</v>
      </c>
      <c r="SR271" s="9" t="n">
        <v>0</v>
      </c>
      <c r="SS271" s="9" t="n">
        <v>32</v>
      </c>
      <c r="SW271" s="10" t="n">
        <v>46252</v>
      </c>
      <c r="SY271" s="9" t="n">
        <v>0</v>
      </c>
      <c r="TA271" s="9" t="n">
        <v>0</v>
      </c>
      <c r="TB271" s="9" t="n">
        <v>0</v>
      </c>
      <c r="TF271" s="10" t="n">
        <v>46252</v>
      </c>
      <c r="TH271" s="9" t="n">
        <v>0</v>
      </c>
      <c r="TJ271" s="9" t="n">
        <v>0</v>
      </c>
      <c r="TK271" s="9" t="n">
        <v>0</v>
      </c>
      <c r="TO271" s="10" t="n">
        <v>46252</v>
      </c>
      <c r="TQ271" s="9" t="n">
        <v>0</v>
      </c>
      <c r="TS271" s="9" t="n">
        <v>0</v>
      </c>
      <c r="TT271" s="9" t="n">
        <v>0</v>
      </c>
      <c r="TX271" s="10" t="n">
        <v>46252</v>
      </c>
      <c r="TZ271" s="9" t="n">
        <v>0</v>
      </c>
      <c r="UB271" s="9" t="n">
        <v>0</v>
      </c>
      <c r="UC271" s="9" t="n">
        <v>46.79999999999998</v>
      </c>
      <c r="UG271" s="10" t="n">
        <v>46252</v>
      </c>
      <c r="UI271" s="9" t="n">
        <v>0</v>
      </c>
      <c r="UK271" s="9" t="n">
        <v>0</v>
      </c>
      <c r="UL271" s="9" t="n">
        <v>204</v>
      </c>
      <c r="UP271" s="10" t="n">
        <v>46252</v>
      </c>
      <c r="UR271" s="9" t="n">
        <v>0</v>
      </c>
      <c r="UT271" s="9" t="n">
        <v>0</v>
      </c>
      <c r="UU271" s="9" t="n">
        <v>202.5</v>
      </c>
      <c r="UY271" s="10" t="n">
        <v>46252</v>
      </c>
      <c r="VA271" s="9" t="n">
        <v>0</v>
      </c>
      <c r="VC271" s="9" t="n">
        <v>0</v>
      </c>
      <c r="VD271" s="9" t="n">
        <v>41.60000000000002</v>
      </c>
      <c r="VH271" s="10" t="n">
        <v>46252</v>
      </c>
      <c r="VJ271" s="9" t="n">
        <v>0</v>
      </c>
      <c r="VL271" s="9" t="n">
        <v>0</v>
      </c>
      <c r="VM271" s="9" t="n">
        <v>210</v>
      </c>
      <c r="VQ271" s="10" t="n">
        <v>46252</v>
      </c>
      <c r="VS271" s="9" t="n">
        <v>0</v>
      </c>
      <c r="VU271" s="9" t="n">
        <v>0</v>
      </c>
      <c r="VV271" s="9" t="n">
        <v>0</v>
      </c>
      <c r="VZ271" s="10" t="n">
        <v>46252</v>
      </c>
      <c r="WB271" s="9" t="n">
        <v>0</v>
      </c>
      <c r="WD271" s="9" t="n">
        <v>0</v>
      </c>
      <c r="WE271" s="9" t="n">
        <v>0</v>
      </c>
      <c r="WI271" s="10" t="n">
        <v>46252</v>
      </c>
      <c r="WK271" s="9" t="n">
        <v>0</v>
      </c>
      <c r="WM271" s="9" t="n">
        <v>0</v>
      </c>
      <c r="WN271" s="9" t="n">
        <v>1057</v>
      </c>
      <c r="WR271" s="10" t="n">
        <v>46252</v>
      </c>
      <c r="WT271" s="9" t="n">
        <v>0</v>
      </c>
      <c r="WV271" s="9" t="n">
        <v>0</v>
      </c>
      <c r="WW271" s="9" t="n">
        <v>0</v>
      </c>
      <c r="XA271" s="10" t="n">
        <v>46252</v>
      </c>
      <c r="XC271" s="9" t="n">
        <v>0</v>
      </c>
      <c r="XE271" s="9" t="n">
        <v>0</v>
      </c>
      <c r="XF271" s="9" t="n">
        <v>7507</v>
      </c>
      <c r="XJ271" s="10" t="n">
        <v>46252</v>
      </c>
      <c r="XL271" s="9" t="n">
        <v>0</v>
      </c>
      <c r="XN271" s="9" t="n">
        <v>0</v>
      </c>
      <c r="XO271" s="9" t="n">
        <v>4252</v>
      </c>
      <c r="XS271" s="10" t="n">
        <v>46252</v>
      </c>
      <c r="XU271" s="9" t="n">
        <v>0</v>
      </c>
      <c r="XW271" s="9" t="n">
        <v>0</v>
      </c>
      <c r="XX271" s="9" t="n">
        <v>2179</v>
      </c>
      <c r="YB271" s="10" t="n">
        <v>46252</v>
      </c>
      <c r="YD271" s="9" t="n">
        <v>0</v>
      </c>
      <c r="YF271" s="9" t="n">
        <v>0</v>
      </c>
      <c r="YG271" s="9" t="n">
        <v>4019</v>
      </c>
      <c r="YK271" s="10" t="n">
        <v>46252</v>
      </c>
      <c r="YM271" s="9" t="n">
        <v>0</v>
      </c>
      <c r="YO271" s="9" t="n">
        <v>0</v>
      </c>
      <c r="YP271" s="9" t="n">
        <v>-218</v>
      </c>
      <c r="YT271" s="10" t="n">
        <v>46252</v>
      </c>
      <c r="YV271" s="9" t="n">
        <v>0</v>
      </c>
      <c r="YX271" s="9" t="n">
        <v>0</v>
      </c>
      <c r="YY271" s="9" t="n">
        <v>0</v>
      </c>
      <c r="ZC271" s="10" t="n">
        <v>46252</v>
      </c>
      <c r="ZE271" s="9" t="n">
        <v>0</v>
      </c>
      <c r="ZG271" s="9" t="n">
        <v>0</v>
      </c>
      <c r="ZH271" s="9" t="n">
        <v>0</v>
      </c>
      <c r="ZL271" s="10" t="n">
        <v>46252</v>
      </c>
      <c r="ZN271" s="9" t="n">
        <v>0</v>
      </c>
      <c r="ZP271" s="9" t="n">
        <v>0</v>
      </c>
      <c r="ZQ271" s="9" t="n">
        <v>0</v>
      </c>
      <c r="ZU271" s="10" t="n">
        <v>46252</v>
      </c>
      <c r="ZW271" s="9" t="n">
        <v>0</v>
      </c>
      <c r="ZY271" s="9" t="n">
        <v>0</v>
      </c>
      <c r="ZZ271" s="9" t="n">
        <v>0</v>
      </c>
      <c r="AAD271" s="10" t="n">
        <v>46252</v>
      </c>
      <c r="AAF271" s="9" t="n">
        <v>0</v>
      </c>
      <c r="AAH271" s="9" t="n">
        <v>0</v>
      </c>
      <c r="AAI271" s="9" t="n">
        <v>0</v>
      </c>
      <c r="AAM271" s="10" t="n">
        <v>46252</v>
      </c>
      <c r="AAO271" s="9" t="n">
        <v>0</v>
      </c>
      <c r="AAQ271" s="9" t="n">
        <v>0</v>
      </c>
      <c r="AAR271" s="9" t="n">
        <v>0</v>
      </c>
      <c r="AAV271" s="10" t="n">
        <v>46252</v>
      </c>
      <c r="AAX271" s="9" t="n">
        <v>0</v>
      </c>
      <c r="AAZ271" s="9" t="n">
        <v>0</v>
      </c>
      <c r="ABA271" s="9" t="n">
        <v>0</v>
      </c>
      <c r="ABE271" s="10" t="n">
        <v>46252</v>
      </c>
      <c r="ABG271" s="9" t="n">
        <v>0</v>
      </c>
      <c r="ABI271" s="9" t="n">
        <v>0</v>
      </c>
      <c r="ABJ271" s="9" t="n">
        <v>0</v>
      </c>
    </row>
    <row r="272">
      <c r="C272" s="10" t="n">
        <v>46253</v>
      </c>
      <c r="E272" s="9" t="n">
        <v>19476</v>
      </c>
      <c r="G272" s="9" t="n">
        <v>19476</v>
      </c>
      <c r="H272" s="9" t="n">
        <v>236936.6</v>
      </c>
      <c r="L272" s="10" t="n">
        <v>46253</v>
      </c>
      <c r="N272" s="9" t="n">
        <v>4846.5</v>
      </c>
      <c r="P272" s="9" t="n">
        <v>4846.5</v>
      </c>
      <c r="Q272" s="9" t="n">
        <v>53017.60000000007</v>
      </c>
      <c r="U272" s="10" t="n">
        <v>46253</v>
      </c>
      <c r="W272" s="9" t="n">
        <v>2250</v>
      </c>
      <c r="Y272" s="9" t="n">
        <v>2250</v>
      </c>
      <c r="Z272" s="9" t="n">
        <v>42674.19999999997</v>
      </c>
      <c r="AD272" s="10" t="n">
        <v>46253</v>
      </c>
      <c r="AF272" s="9" t="n">
        <v>0</v>
      </c>
      <c r="AH272" s="9" t="n">
        <v>0</v>
      </c>
      <c r="AI272" s="9" t="n">
        <v>4522.200000000019</v>
      </c>
      <c r="AM272" s="10" t="n">
        <v>46253</v>
      </c>
      <c r="AO272" s="9" t="n">
        <v>0</v>
      </c>
      <c r="AQ272" s="9" t="n">
        <v>0</v>
      </c>
      <c r="AR272" s="9" t="n">
        <v>0</v>
      </c>
      <c r="AV272" s="10" t="n">
        <v>46253</v>
      </c>
      <c r="AX272" s="9" t="n">
        <v>450</v>
      </c>
      <c r="AZ272" s="9" t="n">
        <v>450</v>
      </c>
      <c r="BA272" s="9" t="n">
        <v>124.9999999999952</v>
      </c>
      <c r="BE272" s="10" t="n">
        <v>46253</v>
      </c>
      <c r="BG272" s="9" t="n">
        <v>600</v>
      </c>
      <c r="BI272" s="9" t="n">
        <v>600</v>
      </c>
      <c r="BJ272" s="9" t="n">
        <v>26151.9</v>
      </c>
      <c r="BN272" s="10" t="n">
        <v>46253</v>
      </c>
      <c r="BP272" s="9" t="n">
        <v>810.0000000000001</v>
      </c>
      <c r="BR272" s="9" t="n">
        <v>810.0000000000001</v>
      </c>
      <c r="BS272" s="9" t="n">
        <v>0</v>
      </c>
      <c r="BW272" s="10" t="n">
        <v>46253</v>
      </c>
      <c r="BY272" s="9" t="n">
        <v>0</v>
      </c>
      <c r="CA272" s="9" t="n">
        <v>0</v>
      </c>
      <c r="CB272" s="9" t="n">
        <v>2097.339999999999</v>
      </c>
      <c r="CF272" s="10" t="n">
        <v>46253</v>
      </c>
      <c r="CH272" s="9" t="n">
        <v>7.5</v>
      </c>
      <c r="CJ272" s="9" t="n">
        <v>7.5</v>
      </c>
      <c r="CK272" s="9" t="n">
        <v>-10277.08</v>
      </c>
      <c r="CO272" s="10" t="n">
        <v>46253</v>
      </c>
      <c r="CQ272" s="9" t="n">
        <v>0</v>
      </c>
      <c r="CS272" s="9" t="n">
        <v>0</v>
      </c>
      <c r="CT272" s="9" t="n">
        <v>0</v>
      </c>
      <c r="CX272" s="10" t="n">
        <v>46253</v>
      </c>
      <c r="CZ272" s="9" t="n">
        <v>0</v>
      </c>
      <c r="DB272" s="9" t="n">
        <v>0</v>
      </c>
      <c r="DC272" s="9" t="n">
        <v>27438.20000000001</v>
      </c>
      <c r="DG272" s="10" t="n">
        <v>46253</v>
      </c>
      <c r="DI272" s="9" t="n">
        <v>900</v>
      </c>
      <c r="DK272" s="9" t="n">
        <v>900</v>
      </c>
      <c r="DL272" s="9" t="n">
        <v>18782.29999999998</v>
      </c>
      <c r="DP272" s="10" t="n">
        <v>46253</v>
      </c>
      <c r="DR272" s="9" t="n">
        <v>0</v>
      </c>
      <c r="DT272" s="9" t="n">
        <v>0</v>
      </c>
      <c r="DU272" s="9" t="n">
        <v>5800</v>
      </c>
      <c r="DY272" s="10" t="n">
        <v>46253</v>
      </c>
      <c r="EA272" s="9" t="n">
        <v>0</v>
      </c>
      <c r="EC272" s="9" t="n">
        <v>0</v>
      </c>
      <c r="ED272" s="9" t="n">
        <v>0</v>
      </c>
      <c r="EH272" s="10" t="n">
        <v>46253</v>
      </c>
      <c r="EJ272" s="9" t="n">
        <v>0</v>
      </c>
      <c r="EL272" s="9" t="n">
        <v>0</v>
      </c>
      <c r="EM272" s="9" t="n">
        <v>0</v>
      </c>
      <c r="EQ272" s="10" t="n">
        <v>46253</v>
      </c>
      <c r="ES272" s="9" t="n">
        <v>0</v>
      </c>
      <c r="EU272" s="9" t="n">
        <v>0</v>
      </c>
      <c r="EV272" s="9" t="n">
        <v>0</v>
      </c>
      <c r="EZ272" s="10" t="n">
        <v>46253</v>
      </c>
      <c r="FB272" s="9" t="n">
        <v>0</v>
      </c>
      <c r="FD272" s="9" t="n">
        <v>0</v>
      </c>
      <c r="FE272" s="9" t="n">
        <v>0</v>
      </c>
      <c r="FI272" s="10" t="n">
        <v>46253</v>
      </c>
      <c r="FK272" s="9" t="n">
        <v>0</v>
      </c>
      <c r="FM272" s="9" t="n">
        <v>0</v>
      </c>
      <c r="FN272" s="9" t="n">
        <v>0</v>
      </c>
      <c r="FR272" s="10" t="n">
        <v>46253</v>
      </c>
      <c r="FT272" s="9" t="n">
        <v>0</v>
      </c>
      <c r="FV272" s="9" t="n">
        <v>0</v>
      </c>
      <c r="FW272" s="9" t="n">
        <v>2020</v>
      </c>
      <c r="GA272" s="10" t="n">
        <v>46253</v>
      </c>
      <c r="GC272" s="9" t="n">
        <v>0</v>
      </c>
      <c r="GE272" s="9" t="n">
        <v>0</v>
      </c>
      <c r="GF272" s="9" t="n">
        <v>960</v>
      </c>
      <c r="GJ272" s="10" t="n">
        <v>46253</v>
      </c>
      <c r="GL272" s="9" t="n">
        <v>600</v>
      </c>
      <c r="GN272" s="9" t="n">
        <v>600</v>
      </c>
      <c r="GO272" s="9" t="n">
        <v>1760</v>
      </c>
      <c r="GS272" s="10" t="n">
        <v>46253</v>
      </c>
      <c r="GU272" s="9" t="n">
        <v>0</v>
      </c>
      <c r="GW272" s="9" t="n">
        <v>0</v>
      </c>
      <c r="GX272" s="9" t="n">
        <v>400</v>
      </c>
      <c r="HB272" s="10" t="n">
        <v>46253</v>
      </c>
      <c r="HD272" s="9" t="n">
        <v>0</v>
      </c>
      <c r="HF272" s="9" t="n">
        <v>0</v>
      </c>
      <c r="HG272" s="9" t="n">
        <v>3600</v>
      </c>
      <c r="HK272" s="10" t="n">
        <v>46253</v>
      </c>
      <c r="HM272" s="9" t="n">
        <v>0</v>
      </c>
      <c r="HO272" s="9" t="n">
        <v>0</v>
      </c>
      <c r="HP272" s="9" t="n">
        <v>0</v>
      </c>
      <c r="HT272" s="9" t="inlineStr">
        <is>
          <t>old premix 8100 192 bags</t>
        </is>
      </c>
      <c r="HU272" s="10" t="n">
        <v>46253</v>
      </c>
      <c r="HW272" s="9" t="n">
        <v>0</v>
      </c>
      <c r="HY272" s="9" t="n">
        <v>0</v>
      </c>
      <c r="HZ272" s="9" t="n">
        <v>6120</v>
      </c>
      <c r="ID272" s="10" t="n">
        <v>46253</v>
      </c>
      <c r="IF272" s="9" t="n">
        <v>0</v>
      </c>
      <c r="IH272" s="9" t="n">
        <v>0</v>
      </c>
      <c r="II272" s="9" t="n">
        <v>60</v>
      </c>
      <c r="IM272" s="10" t="n">
        <v>46253</v>
      </c>
      <c r="IO272" s="9" t="n">
        <v>0</v>
      </c>
      <c r="IQ272" s="9" t="n">
        <v>0</v>
      </c>
      <c r="IR272" s="9" t="n">
        <v>0</v>
      </c>
      <c r="IV272" s="10" t="n">
        <v>46253</v>
      </c>
      <c r="IX272" s="9" t="n">
        <v>0</v>
      </c>
      <c r="IY272" s="9" t="n">
        <v>140</v>
      </c>
      <c r="IZ272" s="9" t="n">
        <v>-140</v>
      </c>
      <c r="JA272" s="9" t="n">
        <v>2820</v>
      </c>
      <c r="JB272" s="9" t="n">
        <v>7</v>
      </c>
      <c r="JE272" s="10" t="n">
        <v>46253</v>
      </c>
      <c r="JG272" s="9" t="n">
        <v>0</v>
      </c>
      <c r="JI272" s="9" t="n">
        <v>0</v>
      </c>
      <c r="JJ272" s="9" t="n">
        <v>0</v>
      </c>
      <c r="JN272" s="10" t="n">
        <v>46253</v>
      </c>
      <c r="JP272" s="9" t="n">
        <v>0</v>
      </c>
      <c r="JR272" s="9" t="n">
        <v>0</v>
      </c>
      <c r="JS272" s="9" t="n">
        <v>0</v>
      </c>
      <c r="JW272" s="10" t="n">
        <v>46253</v>
      </c>
      <c r="JY272" s="9" t="n">
        <v>0</v>
      </c>
      <c r="KA272" s="9" t="n">
        <v>0</v>
      </c>
      <c r="KB272" s="9" t="n">
        <v>2540</v>
      </c>
      <c r="KF272" s="10" t="n">
        <v>46253</v>
      </c>
      <c r="KH272" s="9" t="n">
        <v>0</v>
      </c>
      <c r="KJ272" s="9" t="n">
        <v>0</v>
      </c>
      <c r="KK272" s="9" t="n">
        <v>2359.5</v>
      </c>
      <c r="KO272" s="10" t="n">
        <v>46253</v>
      </c>
      <c r="KQ272" s="9" t="n">
        <v>0</v>
      </c>
      <c r="KS272" s="9" t="n">
        <v>0</v>
      </c>
      <c r="KT272" s="9" t="n">
        <v>1890</v>
      </c>
      <c r="KX272" s="10" t="n">
        <v>46253</v>
      </c>
      <c r="KZ272" s="9" t="n">
        <v>0</v>
      </c>
      <c r="LB272" s="9" t="n">
        <v>0</v>
      </c>
      <c r="LC272" s="9" t="n">
        <v>3690</v>
      </c>
      <c r="LG272" s="10" t="n">
        <v>46253</v>
      </c>
      <c r="LI272" s="9" t="n">
        <v>0</v>
      </c>
      <c r="LK272" s="9" t="n">
        <v>0</v>
      </c>
      <c r="LL272" s="9" t="n">
        <v>4000</v>
      </c>
      <c r="LP272" s="10" t="n">
        <v>46253</v>
      </c>
      <c r="LR272" s="9" t="n">
        <v>0</v>
      </c>
      <c r="LT272" s="9" t="n">
        <v>0</v>
      </c>
      <c r="LU272" s="9" t="n">
        <v>0</v>
      </c>
      <c r="LY272" s="10" t="n">
        <v>46253</v>
      </c>
      <c r="MA272" s="9" t="n">
        <v>0</v>
      </c>
      <c r="MC272" s="9" t="n">
        <v>0</v>
      </c>
      <c r="MD272" s="9" t="n">
        <v>0</v>
      </c>
      <c r="MH272" s="10" t="n">
        <v>46253</v>
      </c>
      <c r="MJ272" s="9" t="n">
        <v>0</v>
      </c>
      <c r="ML272" s="9" t="n">
        <v>0</v>
      </c>
      <c r="MM272" s="9" t="n">
        <v>0</v>
      </c>
      <c r="MQ272" s="10" t="n">
        <v>46253</v>
      </c>
      <c r="MS272" s="9" t="n">
        <v>0</v>
      </c>
      <c r="MU272" s="9" t="n">
        <v>0</v>
      </c>
      <c r="MV272" s="9" t="n">
        <v>1625</v>
      </c>
      <c r="MZ272" s="10" t="n">
        <v>46253</v>
      </c>
      <c r="NB272" s="9" t="n">
        <v>0</v>
      </c>
      <c r="ND272" s="9" t="n">
        <v>0</v>
      </c>
      <c r="NE272" s="9" t="n">
        <v>0</v>
      </c>
      <c r="NI272" s="10" t="n">
        <v>46253</v>
      </c>
      <c r="NK272" s="9" t="n">
        <v>0</v>
      </c>
      <c r="NM272" s="9" t="n">
        <v>0</v>
      </c>
      <c r="NN272" s="9" t="n">
        <v>1127</v>
      </c>
      <c r="NR272" s="10" t="n">
        <v>46253</v>
      </c>
      <c r="NT272" s="9" t="n">
        <v>0</v>
      </c>
      <c r="NV272" s="9" t="n">
        <v>0</v>
      </c>
      <c r="NW272" s="9" t="n">
        <v>3112</v>
      </c>
      <c r="OA272" s="10" t="n">
        <v>46253</v>
      </c>
      <c r="OC272" s="9" t="n">
        <v>0</v>
      </c>
      <c r="OE272" s="9" t="n">
        <v>0</v>
      </c>
      <c r="OF272" s="9" t="n">
        <v>1680.5</v>
      </c>
      <c r="OJ272" s="10" t="n">
        <v>46253</v>
      </c>
      <c r="OL272" s="9" t="n">
        <v>0</v>
      </c>
      <c r="ON272" s="9" t="n">
        <v>0</v>
      </c>
      <c r="OO272" s="9" t="n">
        <v>0</v>
      </c>
      <c r="OS272" s="10" t="n">
        <v>46253</v>
      </c>
      <c r="OU272" s="9" t="n">
        <v>0</v>
      </c>
      <c r="OW272" s="9" t="n">
        <v>0</v>
      </c>
      <c r="OX272" s="9" t="n">
        <v>1482</v>
      </c>
      <c r="PB272" s="10" t="n">
        <v>46253</v>
      </c>
      <c r="PD272" s="9" t="n">
        <v>0</v>
      </c>
      <c r="PF272" s="9" t="n">
        <v>0</v>
      </c>
      <c r="PG272" s="9" t="n">
        <v>0</v>
      </c>
      <c r="PK272" s="10" t="n">
        <v>46253</v>
      </c>
      <c r="PM272" s="9" t="n">
        <v>0</v>
      </c>
      <c r="PO272" s="9" t="n">
        <v>0</v>
      </c>
      <c r="PP272" s="9" t="n">
        <v>100</v>
      </c>
      <c r="PT272" s="10" t="n">
        <v>46253</v>
      </c>
      <c r="PV272" s="9" t="n">
        <v>0</v>
      </c>
      <c r="PX272" s="9" t="n">
        <v>0</v>
      </c>
      <c r="PY272" s="9" t="n">
        <v>13.96000000000004</v>
      </c>
      <c r="QC272" s="10" t="n">
        <v>46253</v>
      </c>
      <c r="QE272" s="9" t="n">
        <v>0</v>
      </c>
      <c r="QG272" s="9" t="n">
        <v>0</v>
      </c>
      <c r="QH272" s="9" t="n">
        <v>548</v>
      </c>
      <c r="QL272" s="10" t="n">
        <v>46253</v>
      </c>
      <c r="QN272" s="9" t="n">
        <v>0</v>
      </c>
      <c r="QP272" s="9" t="n">
        <v>0</v>
      </c>
      <c r="QQ272" s="9" t="n">
        <v>0</v>
      </c>
      <c r="QU272" s="10" t="n">
        <v>46253</v>
      </c>
      <c r="QW272" s="9" t="n">
        <v>0</v>
      </c>
      <c r="QY272" s="9" t="n">
        <v>0</v>
      </c>
      <c r="QZ272" s="9" t="n">
        <v>0</v>
      </c>
      <c r="RD272" s="10" t="n">
        <v>46253</v>
      </c>
      <c r="RF272" s="9" t="n">
        <v>0</v>
      </c>
      <c r="RH272" s="9" t="n">
        <v>0</v>
      </c>
      <c r="RI272" s="9" t="n">
        <v>147.04</v>
      </c>
      <c r="RM272" s="10" t="n">
        <v>46253</v>
      </c>
      <c r="RO272" s="9" t="n">
        <v>0</v>
      </c>
      <c r="RQ272" s="9" t="n">
        <v>0</v>
      </c>
      <c r="RR272" s="9" t="n">
        <v>46.8</v>
      </c>
      <c r="RV272" s="10" t="n">
        <v>46253</v>
      </c>
      <c r="RX272" s="9" t="n">
        <v>0</v>
      </c>
      <c r="RZ272" s="9" t="n">
        <v>0</v>
      </c>
      <c r="SA272" s="9" t="n">
        <v>0</v>
      </c>
      <c r="SE272" s="10" t="n">
        <v>46253</v>
      </c>
      <c r="SG272" s="9" t="n">
        <v>0</v>
      </c>
      <c r="SI272" s="9" t="n">
        <v>0</v>
      </c>
      <c r="SJ272" s="9" t="n">
        <v>24.2</v>
      </c>
      <c r="SN272" s="10" t="n">
        <v>46253</v>
      </c>
      <c r="SP272" s="9" t="n">
        <v>0</v>
      </c>
      <c r="SR272" s="9" t="n">
        <v>0</v>
      </c>
      <c r="SS272" s="9" t="n">
        <v>32</v>
      </c>
      <c r="SW272" s="10" t="n">
        <v>46253</v>
      </c>
      <c r="SY272" s="9" t="n">
        <v>0</v>
      </c>
      <c r="TA272" s="9" t="n">
        <v>0</v>
      </c>
      <c r="TB272" s="9" t="n">
        <v>0</v>
      </c>
      <c r="TF272" s="10" t="n">
        <v>46253</v>
      </c>
      <c r="TH272" s="9" t="n">
        <v>0</v>
      </c>
      <c r="TJ272" s="9" t="n">
        <v>0</v>
      </c>
      <c r="TK272" s="9" t="n">
        <v>0</v>
      </c>
      <c r="TO272" s="10" t="n">
        <v>46253</v>
      </c>
      <c r="TQ272" s="9" t="n">
        <v>0</v>
      </c>
      <c r="TS272" s="9" t="n">
        <v>0</v>
      </c>
      <c r="TT272" s="9" t="n">
        <v>0</v>
      </c>
      <c r="TX272" s="10" t="n">
        <v>46253</v>
      </c>
      <c r="TZ272" s="9" t="n">
        <v>0</v>
      </c>
      <c r="UB272" s="9" t="n">
        <v>0</v>
      </c>
      <c r="UC272" s="9" t="n">
        <v>46.79999999999998</v>
      </c>
      <c r="UG272" s="10" t="n">
        <v>46253</v>
      </c>
      <c r="UI272" s="9" t="n">
        <v>0</v>
      </c>
      <c r="UK272" s="9" t="n">
        <v>0</v>
      </c>
      <c r="UL272" s="9" t="n">
        <v>204</v>
      </c>
      <c r="UP272" s="10" t="n">
        <v>46253</v>
      </c>
      <c r="UR272" s="9" t="n">
        <v>0</v>
      </c>
      <c r="UT272" s="9" t="n">
        <v>0</v>
      </c>
      <c r="UU272" s="9" t="n">
        <v>202.5</v>
      </c>
      <c r="UY272" s="10" t="n">
        <v>46253</v>
      </c>
      <c r="VA272" s="9" t="n">
        <v>0</v>
      </c>
      <c r="VC272" s="9" t="n">
        <v>0</v>
      </c>
      <c r="VD272" s="9" t="n">
        <v>41.60000000000002</v>
      </c>
      <c r="VH272" s="10" t="n">
        <v>46253</v>
      </c>
      <c r="VJ272" s="9" t="n">
        <v>0</v>
      </c>
      <c r="VL272" s="9" t="n">
        <v>0</v>
      </c>
      <c r="VM272" s="9" t="n">
        <v>210</v>
      </c>
      <c r="VQ272" s="10" t="n">
        <v>46253</v>
      </c>
      <c r="VS272" s="9" t="n">
        <v>0</v>
      </c>
      <c r="VU272" s="9" t="n">
        <v>0</v>
      </c>
      <c r="VV272" s="9" t="n">
        <v>0</v>
      </c>
      <c r="VZ272" s="10" t="n">
        <v>46253</v>
      </c>
      <c r="WB272" s="9" t="n">
        <v>0</v>
      </c>
      <c r="WD272" s="9" t="n">
        <v>0</v>
      </c>
      <c r="WE272" s="9" t="n">
        <v>0</v>
      </c>
      <c r="WI272" s="10" t="n">
        <v>46253</v>
      </c>
      <c r="WK272" s="9" t="n">
        <v>0</v>
      </c>
      <c r="WM272" s="9" t="n">
        <v>0</v>
      </c>
      <c r="WN272" s="9" t="n">
        <v>1057</v>
      </c>
      <c r="WR272" s="10" t="n">
        <v>46253</v>
      </c>
      <c r="WT272" s="9" t="n">
        <v>0</v>
      </c>
      <c r="WV272" s="9" t="n">
        <v>0</v>
      </c>
      <c r="WW272" s="9" t="n">
        <v>0</v>
      </c>
      <c r="XA272" s="10" t="n">
        <v>46253</v>
      </c>
      <c r="XC272" s="9" t="n">
        <v>0</v>
      </c>
      <c r="XE272" s="9" t="n">
        <v>0</v>
      </c>
      <c r="XF272" s="9" t="n">
        <v>7507</v>
      </c>
      <c r="XJ272" s="10" t="n">
        <v>46253</v>
      </c>
      <c r="XL272" s="9" t="n">
        <v>0</v>
      </c>
      <c r="XN272" s="9" t="n">
        <v>0</v>
      </c>
      <c r="XO272" s="9" t="n">
        <v>4252</v>
      </c>
      <c r="XS272" s="10" t="n">
        <v>46253</v>
      </c>
      <c r="XU272" s="9" t="n">
        <v>0</v>
      </c>
      <c r="XW272" s="9" t="n">
        <v>0</v>
      </c>
      <c r="XX272" s="9" t="n">
        <v>2179</v>
      </c>
      <c r="YB272" s="10" t="n">
        <v>46253</v>
      </c>
      <c r="YD272" s="9" t="n">
        <v>0</v>
      </c>
      <c r="YF272" s="9" t="n">
        <v>0</v>
      </c>
      <c r="YG272" s="9" t="n">
        <v>4019</v>
      </c>
      <c r="YK272" s="10" t="n">
        <v>46253</v>
      </c>
      <c r="YM272" s="9" t="n">
        <v>0</v>
      </c>
      <c r="YO272" s="9" t="n">
        <v>0</v>
      </c>
      <c r="YP272" s="9" t="n">
        <v>-218</v>
      </c>
      <c r="YT272" s="10" t="n">
        <v>46253</v>
      </c>
      <c r="YV272" s="9" t="n">
        <v>0</v>
      </c>
      <c r="YX272" s="9" t="n">
        <v>0</v>
      </c>
      <c r="YY272" s="9" t="n">
        <v>0</v>
      </c>
      <c r="ZC272" s="10" t="n">
        <v>46253</v>
      </c>
      <c r="ZE272" s="9" t="n">
        <v>0</v>
      </c>
      <c r="ZG272" s="9" t="n">
        <v>0</v>
      </c>
      <c r="ZH272" s="9" t="n">
        <v>0</v>
      </c>
      <c r="ZL272" s="10" t="n">
        <v>46253</v>
      </c>
      <c r="ZN272" s="9" t="n">
        <v>0</v>
      </c>
      <c r="ZP272" s="9" t="n">
        <v>0</v>
      </c>
      <c r="ZQ272" s="9" t="n">
        <v>0</v>
      </c>
      <c r="ZU272" s="10" t="n">
        <v>46253</v>
      </c>
      <c r="ZW272" s="9" t="n">
        <v>0</v>
      </c>
      <c r="ZY272" s="9" t="n">
        <v>0</v>
      </c>
      <c r="ZZ272" s="9" t="n">
        <v>0</v>
      </c>
      <c r="AAD272" s="10" t="n">
        <v>46253</v>
      </c>
      <c r="AAF272" s="9" t="n">
        <v>0</v>
      </c>
      <c r="AAH272" s="9" t="n">
        <v>0</v>
      </c>
      <c r="AAI272" s="9" t="n">
        <v>0</v>
      </c>
      <c r="AAM272" s="10" t="n">
        <v>46253</v>
      </c>
      <c r="AAO272" s="9" t="n">
        <v>0</v>
      </c>
      <c r="AAQ272" s="9" t="n">
        <v>0</v>
      </c>
      <c r="AAR272" s="9" t="n">
        <v>0</v>
      </c>
      <c r="AAV272" s="10" t="n">
        <v>46253</v>
      </c>
      <c r="AAX272" s="9" t="n">
        <v>0</v>
      </c>
      <c r="AAZ272" s="9" t="n">
        <v>0</v>
      </c>
      <c r="ABA272" s="9" t="n">
        <v>0</v>
      </c>
      <c r="ABE272" s="10" t="n">
        <v>46253</v>
      </c>
      <c r="ABG272" s="9" t="n">
        <v>0</v>
      </c>
      <c r="ABI272" s="9" t="n">
        <v>0</v>
      </c>
      <c r="ABJ272" s="9" t="n">
        <v>0</v>
      </c>
    </row>
    <row r="273">
      <c r="C273" s="10" t="n">
        <v>46254</v>
      </c>
      <c r="E273" s="9" t="n">
        <v>0</v>
      </c>
      <c r="G273" s="9" t="n">
        <v>0</v>
      </c>
      <c r="H273" s="9" t="n">
        <v>236936.6</v>
      </c>
      <c r="L273" s="10" t="n">
        <v>46254</v>
      </c>
      <c r="N273" s="9" t="n">
        <v>0</v>
      </c>
      <c r="P273" s="9" t="n">
        <v>0</v>
      </c>
      <c r="Q273" s="9" t="n">
        <v>53017.60000000007</v>
      </c>
      <c r="U273" s="10" t="n">
        <v>46254</v>
      </c>
      <c r="W273" s="9" t="n">
        <v>0</v>
      </c>
      <c r="Y273" s="9" t="n">
        <v>0</v>
      </c>
      <c r="Z273" s="9" t="n">
        <v>42674.19999999997</v>
      </c>
      <c r="AD273" s="10" t="n">
        <v>46254</v>
      </c>
      <c r="AF273" s="9" t="n">
        <v>0</v>
      </c>
      <c r="AH273" s="9" t="n">
        <v>0</v>
      </c>
      <c r="AI273" s="9" t="n">
        <v>4522.200000000019</v>
      </c>
      <c r="AM273" s="10" t="n">
        <v>46254</v>
      </c>
      <c r="AO273" s="9" t="n">
        <v>0</v>
      </c>
      <c r="AQ273" s="9" t="n">
        <v>0</v>
      </c>
      <c r="AR273" s="9" t="n">
        <v>0</v>
      </c>
      <c r="AV273" s="10" t="n">
        <v>46254</v>
      </c>
      <c r="AX273" s="9" t="n">
        <v>0</v>
      </c>
      <c r="AZ273" s="9" t="n">
        <v>0</v>
      </c>
      <c r="BA273" s="9" t="n">
        <v>124.9999999999952</v>
      </c>
      <c r="BE273" s="10" t="n">
        <v>46254</v>
      </c>
      <c r="BG273" s="9" t="n">
        <v>0</v>
      </c>
      <c r="BI273" s="9" t="n">
        <v>0</v>
      </c>
      <c r="BJ273" s="9" t="n">
        <v>26151.9</v>
      </c>
      <c r="BN273" s="10" t="n">
        <v>46254</v>
      </c>
      <c r="BP273" s="9" t="n">
        <v>0</v>
      </c>
      <c r="BR273" s="9" t="n">
        <v>0</v>
      </c>
      <c r="BS273" s="9" t="n">
        <v>0</v>
      </c>
      <c r="BW273" s="10" t="n">
        <v>46254</v>
      </c>
      <c r="BY273" s="9" t="n">
        <v>0</v>
      </c>
      <c r="CA273" s="9" t="n">
        <v>0</v>
      </c>
      <c r="CB273" s="9" t="n">
        <v>2097.339999999999</v>
      </c>
      <c r="CF273" s="10" t="n">
        <v>46254</v>
      </c>
      <c r="CH273" s="9" t="n">
        <v>0</v>
      </c>
      <c r="CJ273" s="9" t="n">
        <v>0</v>
      </c>
      <c r="CK273" s="9" t="n">
        <v>-10277.08</v>
      </c>
      <c r="CO273" s="10" t="n">
        <v>46254</v>
      </c>
      <c r="CQ273" s="9" t="n">
        <v>0</v>
      </c>
      <c r="CS273" s="9" t="n">
        <v>0</v>
      </c>
      <c r="CT273" s="9" t="n">
        <v>0</v>
      </c>
      <c r="CX273" s="10" t="n">
        <v>46254</v>
      </c>
      <c r="CZ273" s="9" t="n">
        <v>0</v>
      </c>
      <c r="DB273" s="9" t="n">
        <v>0</v>
      </c>
      <c r="DC273" s="9" t="n">
        <v>27438.20000000001</v>
      </c>
      <c r="DG273" s="10" t="n">
        <v>46254</v>
      </c>
      <c r="DI273" s="9" t="n">
        <v>0</v>
      </c>
      <c r="DK273" s="9" t="n">
        <v>0</v>
      </c>
      <c r="DL273" s="9" t="n">
        <v>18782.29999999998</v>
      </c>
      <c r="DP273" s="10" t="n">
        <v>46254</v>
      </c>
      <c r="DR273" s="9" t="n">
        <v>0</v>
      </c>
      <c r="DT273" s="9" t="n">
        <v>0</v>
      </c>
      <c r="DU273" s="9" t="n">
        <v>5800</v>
      </c>
      <c r="DY273" s="10" t="n">
        <v>46254</v>
      </c>
      <c r="EA273" s="9" t="n">
        <v>0</v>
      </c>
      <c r="EC273" s="9" t="n">
        <v>0</v>
      </c>
      <c r="ED273" s="9" t="n">
        <v>0</v>
      </c>
      <c r="EH273" s="10" t="n">
        <v>46254</v>
      </c>
      <c r="EJ273" s="9" t="n">
        <v>0</v>
      </c>
      <c r="EL273" s="9" t="n">
        <v>0</v>
      </c>
      <c r="EM273" s="9" t="n">
        <v>0</v>
      </c>
      <c r="EQ273" s="10" t="n">
        <v>46254</v>
      </c>
      <c r="ES273" s="9" t="n">
        <v>0</v>
      </c>
      <c r="EU273" s="9" t="n">
        <v>0</v>
      </c>
      <c r="EV273" s="9" t="n">
        <v>0</v>
      </c>
      <c r="EZ273" s="10" t="n">
        <v>46254</v>
      </c>
      <c r="FB273" s="9" t="n">
        <v>0</v>
      </c>
      <c r="FD273" s="9" t="n">
        <v>0</v>
      </c>
      <c r="FE273" s="9" t="n">
        <v>0</v>
      </c>
      <c r="FI273" s="10" t="n">
        <v>46254</v>
      </c>
      <c r="FK273" s="9" t="n">
        <v>0</v>
      </c>
      <c r="FM273" s="9" t="n">
        <v>0</v>
      </c>
      <c r="FN273" s="9" t="n">
        <v>0</v>
      </c>
      <c r="FR273" s="10" t="n">
        <v>46254</v>
      </c>
      <c r="FT273" s="9" t="n">
        <v>0</v>
      </c>
      <c r="FV273" s="9" t="n">
        <v>0</v>
      </c>
      <c r="FW273" s="9" t="n">
        <v>2020</v>
      </c>
      <c r="GA273" s="10" t="n">
        <v>46254</v>
      </c>
      <c r="GC273" s="9" t="n">
        <v>0</v>
      </c>
      <c r="GE273" s="9" t="n">
        <v>0</v>
      </c>
      <c r="GF273" s="9" t="n">
        <v>960</v>
      </c>
      <c r="GJ273" s="10" t="n">
        <v>46254</v>
      </c>
      <c r="GL273" s="9" t="n">
        <v>0</v>
      </c>
      <c r="GN273" s="9" t="n">
        <v>0</v>
      </c>
      <c r="GO273" s="9" t="n">
        <v>1760</v>
      </c>
      <c r="GS273" s="10" t="n">
        <v>46254</v>
      </c>
      <c r="GU273" s="9" t="n">
        <v>0</v>
      </c>
      <c r="GW273" s="9" t="n">
        <v>0</v>
      </c>
      <c r="GX273" s="9" t="n">
        <v>400</v>
      </c>
      <c r="HB273" s="10" t="n">
        <v>46254</v>
      </c>
      <c r="HD273" s="9" t="n">
        <v>0</v>
      </c>
      <c r="HF273" s="9" t="n">
        <v>0</v>
      </c>
      <c r="HG273" s="9" t="n">
        <v>3600</v>
      </c>
      <c r="HK273" s="10" t="n">
        <v>46254</v>
      </c>
      <c r="HM273" s="9" t="n">
        <v>0</v>
      </c>
      <c r="HO273" s="9" t="n">
        <v>0</v>
      </c>
      <c r="HP273" s="9" t="n">
        <v>0</v>
      </c>
      <c r="HT273" s="9" t="inlineStr">
        <is>
          <t>new premix 8100 114 bags</t>
        </is>
      </c>
      <c r="HU273" s="10" t="n">
        <v>46254</v>
      </c>
      <c r="HW273" s="9" t="n">
        <v>0</v>
      </c>
      <c r="HY273" s="9" t="n">
        <v>0</v>
      </c>
      <c r="HZ273" s="9" t="n">
        <v>6120</v>
      </c>
      <c r="ID273" s="10" t="n">
        <v>46254</v>
      </c>
      <c r="IF273" s="9" t="n">
        <v>0</v>
      </c>
      <c r="IG273" s="9" t="n">
        <v>60</v>
      </c>
      <c r="IH273" s="9" t="n">
        <v>-60</v>
      </c>
      <c r="II273" s="9" t="n">
        <v>0</v>
      </c>
      <c r="IJ273" s="9" t="n">
        <v>3</v>
      </c>
      <c r="IM273" s="10" t="n">
        <v>46254</v>
      </c>
      <c r="IO273" s="9" t="n">
        <v>0</v>
      </c>
      <c r="IQ273" s="9" t="n">
        <v>0</v>
      </c>
      <c r="IR273" s="9" t="n">
        <v>0</v>
      </c>
      <c r="IV273" s="10" t="n">
        <v>46254</v>
      </c>
      <c r="IX273" s="9" t="n">
        <v>0</v>
      </c>
      <c r="IZ273" s="9" t="n">
        <v>0</v>
      </c>
      <c r="JA273" s="9" t="n">
        <v>2820</v>
      </c>
      <c r="JE273" s="10" t="n">
        <v>46254</v>
      </c>
      <c r="JG273" s="9" t="n">
        <v>0</v>
      </c>
      <c r="JI273" s="9" t="n">
        <v>0</v>
      </c>
      <c r="JJ273" s="9" t="n">
        <v>0</v>
      </c>
      <c r="JN273" s="10" t="n">
        <v>46254</v>
      </c>
      <c r="JP273" s="9" t="n">
        <v>0</v>
      </c>
      <c r="JR273" s="9" t="n">
        <v>0</v>
      </c>
      <c r="JS273" s="9" t="n">
        <v>0</v>
      </c>
      <c r="JW273" s="10" t="n">
        <v>46254</v>
      </c>
      <c r="JY273" s="9" t="n">
        <v>0</v>
      </c>
      <c r="KA273" s="9" t="n">
        <v>0</v>
      </c>
      <c r="KB273" s="9" t="n">
        <v>2540</v>
      </c>
      <c r="KF273" s="10" t="n">
        <v>46254</v>
      </c>
      <c r="KH273" s="9" t="n">
        <v>0</v>
      </c>
      <c r="KJ273" s="9" t="n">
        <v>0</v>
      </c>
      <c r="KK273" s="9" t="n">
        <v>2359.5</v>
      </c>
      <c r="KO273" s="10" t="n">
        <v>46254</v>
      </c>
      <c r="KQ273" s="9" t="n">
        <v>0</v>
      </c>
      <c r="KS273" s="9" t="n">
        <v>0</v>
      </c>
      <c r="KT273" s="9" t="n">
        <v>1890</v>
      </c>
      <c r="KX273" s="10" t="n">
        <v>46254</v>
      </c>
      <c r="KZ273" s="9" t="n">
        <v>0</v>
      </c>
      <c r="LB273" s="9" t="n">
        <v>0</v>
      </c>
      <c r="LC273" s="9" t="n">
        <v>3690</v>
      </c>
      <c r="LG273" s="10" t="n">
        <v>46254</v>
      </c>
      <c r="LI273" s="9" t="n">
        <v>0</v>
      </c>
      <c r="LK273" s="9" t="n">
        <v>0</v>
      </c>
      <c r="LL273" s="9" t="n">
        <v>4000</v>
      </c>
      <c r="LP273" s="10" t="n">
        <v>46254</v>
      </c>
      <c r="LR273" s="9" t="n">
        <v>0</v>
      </c>
      <c r="LT273" s="9" t="n">
        <v>0</v>
      </c>
      <c r="LU273" s="9" t="n">
        <v>0</v>
      </c>
      <c r="LY273" s="10" t="n">
        <v>46254</v>
      </c>
      <c r="MA273" s="9" t="n">
        <v>0</v>
      </c>
      <c r="MC273" s="9" t="n">
        <v>0</v>
      </c>
      <c r="MD273" s="9" t="n">
        <v>0</v>
      </c>
      <c r="MH273" s="10" t="n">
        <v>46254</v>
      </c>
      <c r="MJ273" s="9" t="n">
        <v>0</v>
      </c>
      <c r="ML273" s="9" t="n">
        <v>0</v>
      </c>
      <c r="MM273" s="9" t="n">
        <v>0</v>
      </c>
      <c r="MQ273" s="10" t="n">
        <v>46254</v>
      </c>
      <c r="MS273" s="9" t="n">
        <v>0</v>
      </c>
      <c r="MU273" s="9" t="n">
        <v>0</v>
      </c>
      <c r="MV273" s="9" t="n">
        <v>1625</v>
      </c>
      <c r="MZ273" s="10" t="n">
        <v>46254</v>
      </c>
      <c r="NB273" s="9" t="n">
        <v>0</v>
      </c>
      <c r="ND273" s="9" t="n">
        <v>0</v>
      </c>
      <c r="NE273" s="9" t="n">
        <v>0</v>
      </c>
      <c r="NI273" s="10" t="n">
        <v>46254</v>
      </c>
      <c r="NK273" s="9" t="n">
        <v>0</v>
      </c>
      <c r="NM273" s="9" t="n">
        <v>0</v>
      </c>
      <c r="NN273" s="9" t="n">
        <v>1127</v>
      </c>
      <c r="NR273" s="10" t="n">
        <v>46254</v>
      </c>
      <c r="NT273" s="9" t="n">
        <v>0</v>
      </c>
      <c r="NV273" s="9" t="n">
        <v>0</v>
      </c>
      <c r="NW273" s="9" t="n">
        <v>3112</v>
      </c>
      <c r="OA273" s="10" t="n">
        <v>46254</v>
      </c>
      <c r="OC273" s="9" t="n">
        <v>0</v>
      </c>
      <c r="OE273" s="9" t="n">
        <v>0</v>
      </c>
      <c r="OF273" s="9" t="n">
        <v>1680.5</v>
      </c>
      <c r="OJ273" s="10" t="n">
        <v>46254</v>
      </c>
      <c r="OL273" s="9" t="n">
        <v>0</v>
      </c>
      <c r="ON273" s="9" t="n">
        <v>0</v>
      </c>
      <c r="OO273" s="9" t="n">
        <v>0</v>
      </c>
      <c r="OS273" s="10" t="n">
        <v>46254</v>
      </c>
      <c r="OU273" s="9" t="n">
        <v>0</v>
      </c>
      <c r="OW273" s="9" t="n">
        <v>0</v>
      </c>
      <c r="OX273" s="9" t="n">
        <v>1482</v>
      </c>
      <c r="PB273" s="10" t="n">
        <v>46254</v>
      </c>
      <c r="PD273" s="9" t="n">
        <v>0</v>
      </c>
      <c r="PF273" s="9" t="n">
        <v>0</v>
      </c>
      <c r="PG273" s="9" t="n">
        <v>0</v>
      </c>
      <c r="PK273" s="10" t="n">
        <v>46254</v>
      </c>
      <c r="PM273" s="9" t="n">
        <v>0</v>
      </c>
      <c r="PO273" s="9" t="n">
        <v>0</v>
      </c>
      <c r="PP273" s="9" t="n">
        <v>100</v>
      </c>
      <c r="PT273" s="10" t="n">
        <v>46254</v>
      </c>
      <c r="PV273" s="9" t="n">
        <v>0</v>
      </c>
      <c r="PX273" s="9" t="n">
        <v>0</v>
      </c>
      <c r="PY273" s="9" t="n">
        <v>13.96000000000004</v>
      </c>
      <c r="QC273" s="10" t="n">
        <v>46254</v>
      </c>
      <c r="QE273" s="9" t="n">
        <v>0</v>
      </c>
      <c r="QG273" s="9" t="n">
        <v>0</v>
      </c>
      <c r="QH273" s="9" t="n">
        <v>548</v>
      </c>
      <c r="QL273" s="10" t="n">
        <v>46254</v>
      </c>
      <c r="QN273" s="9" t="n">
        <v>0</v>
      </c>
      <c r="QP273" s="9" t="n">
        <v>0</v>
      </c>
      <c r="QQ273" s="9" t="n">
        <v>0</v>
      </c>
      <c r="QU273" s="10" t="n">
        <v>46254</v>
      </c>
      <c r="QW273" s="9" t="n">
        <v>0</v>
      </c>
      <c r="QY273" s="9" t="n">
        <v>0</v>
      </c>
      <c r="QZ273" s="9" t="n">
        <v>0</v>
      </c>
      <c r="RD273" s="10" t="n">
        <v>46254</v>
      </c>
      <c r="RF273" s="9" t="n">
        <v>0</v>
      </c>
      <c r="RH273" s="9" t="n">
        <v>0</v>
      </c>
      <c r="RI273" s="9" t="n">
        <v>147.04</v>
      </c>
      <c r="RM273" s="10" t="n">
        <v>46254</v>
      </c>
      <c r="RO273" s="9" t="n">
        <v>0</v>
      </c>
      <c r="RQ273" s="9" t="n">
        <v>0</v>
      </c>
      <c r="RR273" s="9" t="n">
        <v>46.8</v>
      </c>
      <c r="RV273" s="10" t="n">
        <v>46254</v>
      </c>
      <c r="RX273" s="9" t="n">
        <v>0</v>
      </c>
      <c r="RZ273" s="9" t="n">
        <v>0</v>
      </c>
      <c r="SA273" s="9" t="n">
        <v>0</v>
      </c>
      <c r="SE273" s="10" t="n">
        <v>46254</v>
      </c>
      <c r="SG273" s="9" t="n">
        <v>0</v>
      </c>
      <c r="SI273" s="9" t="n">
        <v>0</v>
      </c>
      <c r="SJ273" s="9" t="n">
        <v>24.2</v>
      </c>
      <c r="SN273" s="10" t="n">
        <v>46254</v>
      </c>
      <c r="SP273" s="9" t="n">
        <v>0</v>
      </c>
      <c r="SR273" s="9" t="n">
        <v>0</v>
      </c>
      <c r="SS273" s="9" t="n">
        <v>32</v>
      </c>
      <c r="SW273" s="10" t="n">
        <v>46254</v>
      </c>
      <c r="SY273" s="9" t="n">
        <v>0</v>
      </c>
      <c r="TA273" s="9" t="n">
        <v>0</v>
      </c>
      <c r="TB273" s="9" t="n">
        <v>0</v>
      </c>
      <c r="TF273" s="10" t="n">
        <v>46254</v>
      </c>
      <c r="TH273" s="9" t="n">
        <v>0</v>
      </c>
      <c r="TJ273" s="9" t="n">
        <v>0</v>
      </c>
      <c r="TK273" s="9" t="n">
        <v>0</v>
      </c>
      <c r="TO273" s="10" t="n">
        <v>46254</v>
      </c>
      <c r="TQ273" s="9" t="n">
        <v>0</v>
      </c>
      <c r="TS273" s="9" t="n">
        <v>0</v>
      </c>
      <c r="TT273" s="9" t="n">
        <v>0</v>
      </c>
      <c r="TX273" s="10" t="n">
        <v>46254</v>
      </c>
      <c r="TZ273" s="9" t="n">
        <v>0</v>
      </c>
      <c r="UB273" s="9" t="n">
        <v>0</v>
      </c>
      <c r="UC273" s="9" t="n">
        <v>46.79999999999998</v>
      </c>
      <c r="UG273" s="10" t="n">
        <v>46254</v>
      </c>
      <c r="UI273" s="9" t="n">
        <v>0</v>
      </c>
      <c r="UK273" s="9" t="n">
        <v>0</v>
      </c>
      <c r="UL273" s="9" t="n">
        <v>204</v>
      </c>
      <c r="UP273" s="10" t="n">
        <v>46254</v>
      </c>
      <c r="UR273" s="9" t="n">
        <v>0</v>
      </c>
      <c r="UT273" s="9" t="n">
        <v>0</v>
      </c>
      <c r="UU273" s="9" t="n">
        <v>202.5</v>
      </c>
      <c r="UY273" s="10" t="n">
        <v>46254</v>
      </c>
      <c r="VA273" s="9" t="n">
        <v>0</v>
      </c>
      <c r="VC273" s="9" t="n">
        <v>0</v>
      </c>
      <c r="VD273" s="9" t="n">
        <v>41.60000000000002</v>
      </c>
      <c r="VH273" s="10" t="n">
        <v>46254</v>
      </c>
      <c r="VJ273" s="9" t="n">
        <v>0</v>
      </c>
      <c r="VL273" s="9" t="n">
        <v>0</v>
      </c>
      <c r="VM273" s="9" t="n">
        <v>210</v>
      </c>
      <c r="VQ273" s="10" t="n">
        <v>46254</v>
      </c>
      <c r="VS273" s="9" t="n">
        <v>0</v>
      </c>
      <c r="VU273" s="9" t="n">
        <v>0</v>
      </c>
      <c r="VV273" s="9" t="n">
        <v>0</v>
      </c>
      <c r="VZ273" s="10" t="n">
        <v>46254</v>
      </c>
      <c r="WB273" s="9" t="n">
        <v>0</v>
      </c>
      <c r="WD273" s="9" t="n">
        <v>0</v>
      </c>
      <c r="WE273" s="9" t="n">
        <v>0</v>
      </c>
      <c r="WI273" s="10" t="n">
        <v>46254</v>
      </c>
      <c r="WK273" s="9" t="n">
        <v>0</v>
      </c>
      <c r="WM273" s="9" t="n">
        <v>0</v>
      </c>
      <c r="WN273" s="9" t="n">
        <v>1057</v>
      </c>
      <c r="WR273" s="10" t="n">
        <v>46254</v>
      </c>
      <c r="WT273" s="9" t="n">
        <v>0</v>
      </c>
      <c r="WV273" s="9" t="n">
        <v>0</v>
      </c>
      <c r="WW273" s="9" t="n">
        <v>0</v>
      </c>
      <c r="XA273" s="10" t="n">
        <v>46254</v>
      </c>
      <c r="XC273" s="9" t="n">
        <v>0</v>
      </c>
      <c r="XE273" s="9" t="n">
        <v>0</v>
      </c>
      <c r="XF273" s="9" t="n">
        <v>7507</v>
      </c>
      <c r="XJ273" s="10" t="n">
        <v>46254</v>
      </c>
      <c r="XL273" s="9" t="n">
        <v>0</v>
      </c>
      <c r="XN273" s="9" t="n">
        <v>0</v>
      </c>
      <c r="XO273" s="9" t="n">
        <v>4252</v>
      </c>
      <c r="XS273" s="10" t="n">
        <v>46254</v>
      </c>
      <c r="XU273" s="9" t="n">
        <v>0</v>
      </c>
      <c r="XW273" s="9" t="n">
        <v>0</v>
      </c>
      <c r="XX273" s="9" t="n">
        <v>2179</v>
      </c>
      <c r="YB273" s="10" t="n">
        <v>46254</v>
      </c>
      <c r="YD273" s="9" t="n">
        <v>0</v>
      </c>
      <c r="YF273" s="9" t="n">
        <v>0</v>
      </c>
      <c r="YG273" s="9" t="n">
        <v>4019</v>
      </c>
      <c r="YK273" s="10" t="n">
        <v>46254</v>
      </c>
      <c r="YM273" s="9" t="n">
        <v>0</v>
      </c>
      <c r="YO273" s="9" t="n">
        <v>0</v>
      </c>
      <c r="YP273" s="9" t="n">
        <v>-218</v>
      </c>
      <c r="YT273" s="10" t="n">
        <v>46254</v>
      </c>
      <c r="YV273" s="9" t="n">
        <v>0</v>
      </c>
      <c r="YX273" s="9" t="n">
        <v>0</v>
      </c>
      <c r="YY273" s="9" t="n">
        <v>0</v>
      </c>
      <c r="ZC273" s="10" t="n">
        <v>46254</v>
      </c>
      <c r="ZE273" s="9" t="n">
        <v>0</v>
      </c>
      <c r="ZG273" s="9" t="n">
        <v>0</v>
      </c>
      <c r="ZH273" s="9" t="n">
        <v>0</v>
      </c>
      <c r="ZL273" s="10" t="n">
        <v>46254</v>
      </c>
      <c r="ZN273" s="9" t="n">
        <v>0</v>
      </c>
      <c r="ZP273" s="9" t="n">
        <v>0</v>
      </c>
      <c r="ZQ273" s="9" t="n">
        <v>0</v>
      </c>
      <c r="ZU273" s="10" t="n">
        <v>46254</v>
      </c>
      <c r="ZW273" s="9" t="n">
        <v>0</v>
      </c>
      <c r="ZY273" s="9" t="n">
        <v>0</v>
      </c>
      <c r="ZZ273" s="9" t="n">
        <v>0</v>
      </c>
      <c r="AAD273" s="10" t="n">
        <v>46254</v>
      </c>
      <c r="AAF273" s="9" t="n">
        <v>0</v>
      </c>
      <c r="AAH273" s="9" t="n">
        <v>0</v>
      </c>
      <c r="AAI273" s="9" t="n">
        <v>0</v>
      </c>
      <c r="AAM273" s="10" t="n">
        <v>46254</v>
      </c>
      <c r="AAO273" s="9" t="n">
        <v>0</v>
      </c>
      <c r="AAQ273" s="9" t="n">
        <v>0</v>
      </c>
      <c r="AAR273" s="9" t="n">
        <v>0</v>
      </c>
      <c r="AAV273" s="10" t="n">
        <v>46254</v>
      </c>
      <c r="AAX273" s="9" t="n">
        <v>0</v>
      </c>
      <c r="AAZ273" s="9" t="n">
        <v>0</v>
      </c>
      <c r="ABA273" s="9" t="n">
        <v>0</v>
      </c>
      <c r="ABE273" s="10" t="n">
        <v>46254</v>
      </c>
      <c r="ABG273" s="9" t="n">
        <v>0</v>
      </c>
      <c r="ABI273" s="9" t="n">
        <v>0</v>
      </c>
      <c r="ABJ273" s="9" t="n">
        <v>0</v>
      </c>
    </row>
    <row r="274">
      <c r="C274" s="10" t="n">
        <v>46255</v>
      </c>
      <c r="E274" s="9" t="n">
        <v>0</v>
      </c>
      <c r="G274" s="9" t="n">
        <v>0</v>
      </c>
      <c r="H274" s="9" t="n">
        <v>236936.6</v>
      </c>
      <c r="L274" s="10" t="n">
        <v>46255</v>
      </c>
      <c r="N274" s="9" t="n">
        <v>0</v>
      </c>
      <c r="P274" s="9" t="n">
        <v>0</v>
      </c>
      <c r="Q274" s="9" t="n">
        <v>53017.60000000007</v>
      </c>
      <c r="U274" s="10" t="n">
        <v>46255</v>
      </c>
      <c r="W274" s="9" t="n">
        <v>0</v>
      </c>
      <c r="Y274" s="9" t="n">
        <v>0</v>
      </c>
      <c r="Z274" s="9" t="n">
        <v>42674.19999999997</v>
      </c>
      <c r="AD274" s="10" t="n">
        <v>46255</v>
      </c>
      <c r="AF274" s="9" t="n">
        <v>0</v>
      </c>
      <c r="AH274" s="9" t="n">
        <v>0</v>
      </c>
      <c r="AI274" s="9" t="n">
        <v>4522.200000000019</v>
      </c>
      <c r="AM274" s="10" t="n">
        <v>46255</v>
      </c>
      <c r="AO274" s="9" t="n">
        <v>0</v>
      </c>
      <c r="AQ274" s="9" t="n">
        <v>0</v>
      </c>
      <c r="AR274" s="9" t="n">
        <v>0</v>
      </c>
      <c r="AV274" s="10" t="n">
        <v>46255</v>
      </c>
      <c r="AX274" s="9" t="n">
        <v>0</v>
      </c>
      <c r="AZ274" s="9" t="n">
        <v>0</v>
      </c>
      <c r="BA274" s="9" t="n">
        <v>124.9999999999952</v>
      </c>
      <c r="BE274" s="10" t="n">
        <v>46255</v>
      </c>
      <c r="BG274" s="9" t="n">
        <v>0</v>
      </c>
      <c r="BI274" s="9" t="n">
        <v>0</v>
      </c>
      <c r="BJ274" s="9" t="n">
        <v>26151.9</v>
      </c>
      <c r="BN274" s="10" t="n">
        <v>46255</v>
      </c>
      <c r="BP274" s="9" t="n">
        <v>0</v>
      </c>
      <c r="BR274" s="9" t="n">
        <v>0</v>
      </c>
      <c r="BS274" s="9" t="n">
        <v>0</v>
      </c>
      <c r="BW274" s="10" t="n">
        <v>46255</v>
      </c>
      <c r="BY274" s="9" t="n">
        <v>0</v>
      </c>
      <c r="CA274" s="9" t="n">
        <v>0</v>
      </c>
      <c r="CB274" s="9" t="n">
        <v>2097.339999999999</v>
      </c>
      <c r="CF274" s="10" t="n">
        <v>46255</v>
      </c>
      <c r="CH274" s="9" t="n">
        <v>0</v>
      </c>
      <c r="CJ274" s="9" t="n">
        <v>0</v>
      </c>
      <c r="CK274" s="9" t="n">
        <v>-10277.08</v>
      </c>
      <c r="CO274" s="10" t="n">
        <v>46255</v>
      </c>
      <c r="CQ274" s="9" t="n">
        <v>0</v>
      </c>
      <c r="CS274" s="9" t="n">
        <v>0</v>
      </c>
      <c r="CT274" s="9" t="n">
        <v>0</v>
      </c>
      <c r="CX274" s="10" t="n">
        <v>46255</v>
      </c>
      <c r="CZ274" s="9" t="n">
        <v>0</v>
      </c>
      <c r="DB274" s="9" t="n">
        <v>0</v>
      </c>
      <c r="DC274" s="9" t="n">
        <v>27438.20000000001</v>
      </c>
      <c r="DG274" s="10" t="n">
        <v>46255</v>
      </c>
      <c r="DI274" s="9" t="n">
        <v>0</v>
      </c>
      <c r="DK274" s="9" t="n">
        <v>0</v>
      </c>
      <c r="DL274" s="9" t="n">
        <v>18782.29999999998</v>
      </c>
      <c r="DP274" s="10" t="n">
        <v>46255</v>
      </c>
      <c r="DR274" s="9" t="n">
        <v>0</v>
      </c>
      <c r="DT274" s="9" t="n">
        <v>0</v>
      </c>
      <c r="DU274" s="9" t="n">
        <v>5800</v>
      </c>
      <c r="DY274" s="10" t="n">
        <v>46255</v>
      </c>
      <c r="EA274" s="9" t="n">
        <v>0</v>
      </c>
      <c r="EC274" s="9" t="n">
        <v>0</v>
      </c>
      <c r="ED274" s="9" t="n">
        <v>0</v>
      </c>
      <c r="EH274" s="10" t="n">
        <v>46255</v>
      </c>
      <c r="EJ274" s="9" t="n">
        <v>0</v>
      </c>
      <c r="EL274" s="9" t="n">
        <v>0</v>
      </c>
      <c r="EM274" s="9" t="n">
        <v>0</v>
      </c>
      <c r="EQ274" s="10" t="n">
        <v>46255</v>
      </c>
      <c r="ES274" s="9" t="n">
        <v>0</v>
      </c>
      <c r="EU274" s="9" t="n">
        <v>0</v>
      </c>
      <c r="EV274" s="9" t="n">
        <v>0</v>
      </c>
      <c r="EZ274" s="10" t="n">
        <v>46255</v>
      </c>
      <c r="FB274" s="9" t="n">
        <v>0</v>
      </c>
      <c r="FD274" s="9" t="n">
        <v>0</v>
      </c>
      <c r="FE274" s="9" t="n">
        <v>0</v>
      </c>
      <c r="FI274" s="10" t="n">
        <v>46255</v>
      </c>
      <c r="FK274" s="9" t="n">
        <v>0</v>
      </c>
      <c r="FM274" s="9" t="n">
        <v>0</v>
      </c>
      <c r="FN274" s="9" t="n">
        <v>0</v>
      </c>
      <c r="FR274" s="10" t="n">
        <v>46255</v>
      </c>
      <c r="FT274" s="9" t="n">
        <v>0</v>
      </c>
      <c r="FV274" s="9" t="n">
        <v>0</v>
      </c>
      <c r="FW274" s="9" t="n">
        <v>2020</v>
      </c>
      <c r="GA274" s="10" t="n">
        <v>46255</v>
      </c>
      <c r="GC274" s="9" t="n">
        <v>0</v>
      </c>
      <c r="GE274" s="9" t="n">
        <v>0</v>
      </c>
      <c r="GF274" s="9" t="n">
        <v>960</v>
      </c>
      <c r="GJ274" s="10" t="n">
        <v>46255</v>
      </c>
      <c r="GL274" s="9" t="n">
        <v>0</v>
      </c>
      <c r="GN274" s="9" t="n">
        <v>0</v>
      </c>
      <c r="GO274" s="9" t="n">
        <v>1760</v>
      </c>
      <c r="GS274" s="10" t="n">
        <v>46255</v>
      </c>
      <c r="GU274" s="9" t="n">
        <v>0</v>
      </c>
      <c r="GW274" s="9" t="n">
        <v>0</v>
      </c>
      <c r="GX274" s="9" t="n">
        <v>400</v>
      </c>
      <c r="HB274" s="10" t="n">
        <v>46255</v>
      </c>
      <c r="HD274" s="9" t="n">
        <v>0</v>
      </c>
      <c r="HF274" s="9" t="n">
        <v>0</v>
      </c>
      <c r="HG274" s="9" t="n">
        <v>3600</v>
      </c>
      <c r="HK274" s="10" t="n">
        <v>46255</v>
      </c>
      <c r="HM274" s="9" t="n">
        <v>0</v>
      </c>
      <c r="HO274" s="9" t="n">
        <v>0</v>
      </c>
      <c r="HP274" s="9" t="n">
        <v>0</v>
      </c>
      <c r="HU274" s="10" t="n">
        <v>46255</v>
      </c>
      <c r="HW274" s="9" t="n">
        <v>0</v>
      </c>
      <c r="HY274" s="9" t="n">
        <v>0</v>
      </c>
      <c r="HZ274" s="9" t="n">
        <v>6120</v>
      </c>
      <c r="ID274" s="10" t="n">
        <v>46255</v>
      </c>
      <c r="IF274" s="9" t="n">
        <v>0</v>
      </c>
      <c r="IH274" s="9" t="n">
        <v>0</v>
      </c>
      <c r="II274" s="9" t="n">
        <v>0</v>
      </c>
      <c r="IM274" s="10" t="n">
        <v>46255</v>
      </c>
      <c r="IO274" s="9" t="n">
        <v>0</v>
      </c>
      <c r="IQ274" s="9" t="n">
        <v>0</v>
      </c>
      <c r="IR274" s="9" t="n">
        <v>0</v>
      </c>
      <c r="IV274" s="10" t="n">
        <v>46255</v>
      </c>
      <c r="IX274" s="9" t="n">
        <v>0</v>
      </c>
      <c r="IZ274" s="9" t="n">
        <v>0</v>
      </c>
      <c r="JA274" s="9" t="n">
        <v>2820</v>
      </c>
      <c r="JE274" s="10" t="n">
        <v>46255</v>
      </c>
      <c r="JG274" s="9" t="n">
        <v>0</v>
      </c>
      <c r="JI274" s="9" t="n">
        <v>0</v>
      </c>
      <c r="JJ274" s="9" t="n">
        <v>0</v>
      </c>
      <c r="JN274" s="10" t="n">
        <v>46255</v>
      </c>
      <c r="JP274" s="9" t="n">
        <v>0</v>
      </c>
      <c r="JR274" s="9" t="n">
        <v>0</v>
      </c>
      <c r="JS274" s="9" t="n">
        <v>0</v>
      </c>
      <c r="JW274" s="10" t="n">
        <v>46255</v>
      </c>
      <c r="JY274" s="9" t="n">
        <v>0</v>
      </c>
      <c r="KA274" s="9" t="n">
        <v>0</v>
      </c>
      <c r="KB274" s="9" t="n">
        <v>2540</v>
      </c>
      <c r="KF274" s="10" t="n">
        <v>46255</v>
      </c>
      <c r="KH274" s="9" t="n">
        <v>0</v>
      </c>
      <c r="KJ274" s="9" t="n">
        <v>0</v>
      </c>
      <c r="KK274" s="9" t="n">
        <v>2359.5</v>
      </c>
      <c r="KO274" s="10" t="n">
        <v>46255</v>
      </c>
      <c r="KQ274" s="9" t="n">
        <v>0</v>
      </c>
      <c r="KS274" s="9" t="n">
        <v>0</v>
      </c>
      <c r="KT274" s="9" t="n">
        <v>1890</v>
      </c>
      <c r="KX274" s="10" t="n">
        <v>46255</v>
      </c>
      <c r="KZ274" s="9" t="n">
        <v>0</v>
      </c>
      <c r="LB274" s="9" t="n">
        <v>0</v>
      </c>
      <c r="LC274" s="9" t="n">
        <v>3690</v>
      </c>
      <c r="LG274" s="10" t="n">
        <v>46255</v>
      </c>
      <c r="LI274" s="9" t="n">
        <v>0</v>
      </c>
      <c r="LK274" s="9" t="n">
        <v>0</v>
      </c>
      <c r="LL274" s="9" t="n">
        <v>4000</v>
      </c>
      <c r="LP274" s="10" t="n">
        <v>46255</v>
      </c>
      <c r="LR274" s="9" t="n">
        <v>0</v>
      </c>
      <c r="LT274" s="9" t="n">
        <v>0</v>
      </c>
      <c r="LU274" s="9" t="n">
        <v>0</v>
      </c>
      <c r="LY274" s="10" t="n">
        <v>46255</v>
      </c>
      <c r="MA274" s="9" t="n">
        <v>0</v>
      </c>
      <c r="MC274" s="9" t="n">
        <v>0</v>
      </c>
      <c r="MD274" s="9" t="n">
        <v>0</v>
      </c>
      <c r="MH274" s="10" t="n">
        <v>46255</v>
      </c>
      <c r="MJ274" s="9" t="n">
        <v>0</v>
      </c>
      <c r="ML274" s="9" t="n">
        <v>0</v>
      </c>
      <c r="MM274" s="9" t="n">
        <v>0</v>
      </c>
      <c r="MQ274" s="10" t="n">
        <v>46255</v>
      </c>
      <c r="MS274" s="9" t="n">
        <v>0</v>
      </c>
      <c r="MU274" s="9" t="n">
        <v>0</v>
      </c>
      <c r="MV274" s="9" t="n">
        <v>1625</v>
      </c>
      <c r="MZ274" s="10" t="n">
        <v>46255</v>
      </c>
      <c r="NB274" s="9" t="n">
        <v>0</v>
      </c>
      <c r="ND274" s="9" t="n">
        <v>0</v>
      </c>
      <c r="NE274" s="9" t="n">
        <v>0</v>
      </c>
      <c r="NI274" s="10" t="n">
        <v>46255</v>
      </c>
      <c r="NK274" s="9" t="n">
        <v>0</v>
      </c>
      <c r="NM274" s="9" t="n">
        <v>0</v>
      </c>
      <c r="NN274" s="9" t="n">
        <v>1127</v>
      </c>
      <c r="NR274" s="10" t="n">
        <v>46255</v>
      </c>
      <c r="NT274" s="9" t="n">
        <v>0</v>
      </c>
      <c r="NV274" s="9" t="n">
        <v>0</v>
      </c>
      <c r="NW274" s="9" t="n">
        <v>3112</v>
      </c>
      <c r="OA274" s="10" t="n">
        <v>46255</v>
      </c>
      <c r="OC274" s="9" t="n">
        <v>0</v>
      </c>
      <c r="OE274" s="9" t="n">
        <v>0</v>
      </c>
      <c r="OF274" s="9" t="n">
        <v>1680.5</v>
      </c>
      <c r="OJ274" s="10" t="n">
        <v>46255</v>
      </c>
      <c r="OL274" s="9" t="n">
        <v>0</v>
      </c>
      <c r="ON274" s="9" t="n">
        <v>0</v>
      </c>
      <c r="OO274" s="9" t="n">
        <v>0</v>
      </c>
      <c r="OS274" s="10" t="n">
        <v>46255</v>
      </c>
      <c r="OU274" s="9" t="n">
        <v>0</v>
      </c>
      <c r="OW274" s="9" t="n">
        <v>0</v>
      </c>
      <c r="OX274" s="9" t="n">
        <v>1482</v>
      </c>
      <c r="PB274" s="10" t="n">
        <v>46255</v>
      </c>
      <c r="PD274" s="9" t="n">
        <v>0</v>
      </c>
      <c r="PF274" s="9" t="n">
        <v>0</v>
      </c>
      <c r="PG274" s="9" t="n">
        <v>0</v>
      </c>
      <c r="PK274" s="10" t="n">
        <v>46255</v>
      </c>
      <c r="PM274" s="9" t="n">
        <v>0</v>
      </c>
      <c r="PO274" s="9" t="n">
        <v>0</v>
      </c>
      <c r="PP274" s="9" t="n">
        <v>100</v>
      </c>
      <c r="PT274" s="10" t="n">
        <v>46255</v>
      </c>
      <c r="PV274" s="9" t="n">
        <v>0</v>
      </c>
      <c r="PX274" s="9" t="n">
        <v>0</v>
      </c>
      <c r="PY274" s="9" t="n">
        <v>13.96000000000004</v>
      </c>
      <c r="QC274" s="10" t="n">
        <v>46255</v>
      </c>
      <c r="QE274" s="9" t="n">
        <v>0</v>
      </c>
      <c r="QG274" s="9" t="n">
        <v>0</v>
      </c>
      <c r="QH274" s="9" t="n">
        <v>548</v>
      </c>
      <c r="QL274" s="10" t="n">
        <v>46255</v>
      </c>
      <c r="QN274" s="9" t="n">
        <v>0</v>
      </c>
      <c r="QP274" s="9" t="n">
        <v>0</v>
      </c>
      <c r="QQ274" s="9" t="n">
        <v>0</v>
      </c>
      <c r="QU274" s="10" t="n">
        <v>46255</v>
      </c>
      <c r="QW274" s="9" t="n">
        <v>0</v>
      </c>
      <c r="QY274" s="9" t="n">
        <v>0</v>
      </c>
      <c r="QZ274" s="9" t="n">
        <v>0</v>
      </c>
      <c r="RD274" s="10" t="n">
        <v>46255</v>
      </c>
      <c r="RF274" s="9" t="n">
        <v>0</v>
      </c>
      <c r="RH274" s="9" t="n">
        <v>0</v>
      </c>
      <c r="RI274" s="9" t="n">
        <v>147.04</v>
      </c>
      <c r="RM274" s="10" t="n">
        <v>46255</v>
      </c>
      <c r="RO274" s="9" t="n">
        <v>0</v>
      </c>
      <c r="RQ274" s="9" t="n">
        <v>0</v>
      </c>
      <c r="RR274" s="9" t="n">
        <v>46.8</v>
      </c>
      <c r="RV274" s="10" t="n">
        <v>46255</v>
      </c>
      <c r="RX274" s="9" t="n">
        <v>0</v>
      </c>
      <c r="RZ274" s="9" t="n">
        <v>0</v>
      </c>
      <c r="SA274" s="9" t="n">
        <v>0</v>
      </c>
      <c r="SE274" s="10" t="n">
        <v>46255</v>
      </c>
      <c r="SG274" s="9" t="n">
        <v>0</v>
      </c>
      <c r="SI274" s="9" t="n">
        <v>0</v>
      </c>
      <c r="SJ274" s="9" t="n">
        <v>24.2</v>
      </c>
      <c r="SN274" s="10" t="n">
        <v>46255</v>
      </c>
      <c r="SP274" s="9" t="n">
        <v>0</v>
      </c>
      <c r="SR274" s="9" t="n">
        <v>0</v>
      </c>
      <c r="SS274" s="9" t="n">
        <v>32</v>
      </c>
      <c r="SW274" s="10" t="n">
        <v>46255</v>
      </c>
      <c r="SY274" s="9" t="n">
        <v>0</v>
      </c>
      <c r="TA274" s="9" t="n">
        <v>0</v>
      </c>
      <c r="TB274" s="9" t="n">
        <v>0</v>
      </c>
      <c r="TF274" s="10" t="n">
        <v>46255</v>
      </c>
      <c r="TH274" s="9" t="n">
        <v>0</v>
      </c>
      <c r="TJ274" s="9" t="n">
        <v>0</v>
      </c>
      <c r="TK274" s="9" t="n">
        <v>0</v>
      </c>
      <c r="TO274" s="10" t="n">
        <v>46255</v>
      </c>
      <c r="TQ274" s="9" t="n">
        <v>0</v>
      </c>
      <c r="TS274" s="9" t="n">
        <v>0</v>
      </c>
      <c r="TT274" s="9" t="n">
        <v>0</v>
      </c>
      <c r="TX274" s="10" t="n">
        <v>46255</v>
      </c>
      <c r="TZ274" s="9" t="n">
        <v>0</v>
      </c>
      <c r="UB274" s="9" t="n">
        <v>0</v>
      </c>
      <c r="UC274" s="9" t="n">
        <v>46.79999999999998</v>
      </c>
      <c r="UG274" s="10" t="n">
        <v>46255</v>
      </c>
      <c r="UI274" s="9" t="n">
        <v>0</v>
      </c>
      <c r="UK274" s="9" t="n">
        <v>0</v>
      </c>
      <c r="UL274" s="9" t="n">
        <v>204</v>
      </c>
      <c r="UP274" s="10" t="n">
        <v>46255</v>
      </c>
      <c r="UR274" s="9" t="n">
        <v>0</v>
      </c>
      <c r="UT274" s="9" t="n">
        <v>0</v>
      </c>
      <c r="UU274" s="9" t="n">
        <v>202.5</v>
      </c>
      <c r="UY274" s="10" t="n">
        <v>46255</v>
      </c>
      <c r="VA274" s="9" t="n">
        <v>0</v>
      </c>
      <c r="VC274" s="9" t="n">
        <v>0</v>
      </c>
      <c r="VD274" s="9" t="n">
        <v>41.60000000000002</v>
      </c>
      <c r="VH274" s="10" t="n">
        <v>46255</v>
      </c>
      <c r="VJ274" s="9" t="n">
        <v>0</v>
      </c>
      <c r="VL274" s="9" t="n">
        <v>0</v>
      </c>
      <c r="VM274" s="9" t="n">
        <v>210</v>
      </c>
      <c r="VQ274" s="10" t="n">
        <v>46255</v>
      </c>
      <c r="VS274" s="9" t="n">
        <v>0</v>
      </c>
      <c r="VU274" s="9" t="n">
        <v>0</v>
      </c>
      <c r="VV274" s="9" t="n">
        <v>0</v>
      </c>
      <c r="VZ274" s="10" t="n">
        <v>46255</v>
      </c>
      <c r="WB274" s="9" t="n">
        <v>0</v>
      </c>
      <c r="WD274" s="9" t="n">
        <v>0</v>
      </c>
      <c r="WE274" s="9" t="n">
        <v>0</v>
      </c>
      <c r="WI274" s="10" t="n">
        <v>46255</v>
      </c>
      <c r="WK274" s="9" t="n">
        <v>0</v>
      </c>
      <c r="WM274" s="9" t="n">
        <v>0</v>
      </c>
      <c r="WN274" s="9" t="n">
        <v>1057</v>
      </c>
      <c r="WR274" s="10" t="n">
        <v>46255</v>
      </c>
      <c r="WT274" s="9" t="n">
        <v>0</v>
      </c>
      <c r="WV274" s="9" t="n">
        <v>0</v>
      </c>
      <c r="WW274" s="9" t="n">
        <v>0</v>
      </c>
      <c r="XA274" s="10" t="n">
        <v>46255</v>
      </c>
      <c r="XC274" s="9" t="n">
        <v>0</v>
      </c>
      <c r="XE274" s="9" t="n">
        <v>0</v>
      </c>
      <c r="XF274" s="9" t="n">
        <v>7507</v>
      </c>
      <c r="XJ274" s="10" t="n">
        <v>46255</v>
      </c>
      <c r="XL274" s="9" t="n">
        <v>0</v>
      </c>
      <c r="XN274" s="9" t="n">
        <v>0</v>
      </c>
      <c r="XO274" s="9" t="n">
        <v>4252</v>
      </c>
      <c r="XS274" s="10" t="n">
        <v>46255</v>
      </c>
      <c r="XU274" s="9" t="n">
        <v>0</v>
      </c>
      <c r="XW274" s="9" t="n">
        <v>0</v>
      </c>
      <c r="XX274" s="9" t="n">
        <v>2179</v>
      </c>
      <c r="YB274" s="10" t="n">
        <v>46255</v>
      </c>
      <c r="YD274" s="9" t="n">
        <v>0</v>
      </c>
      <c r="YF274" s="9" t="n">
        <v>0</v>
      </c>
      <c r="YG274" s="9" t="n">
        <v>4019</v>
      </c>
      <c r="YK274" s="10" t="n">
        <v>46255</v>
      </c>
      <c r="YM274" s="9" t="n">
        <v>0</v>
      </c>
      <c r="YO274" s="9" t="n">
        <v>0</v>
      </c>
      <c r="YP274" s="9" t="n">
        <v>-218</v>
      </c>
      <c r="YT274" s="10" t="n">
        <v>46255</v>
      </c>
      <c r="YV274" s="9" t="n">
        <v>0</v>
      </c>
      <c r="YX274" s="9" t="n">
        <v>0</v>
      </c>
      <c r="YY274" s="9" t="n">
        <v>0</v>
      </c>
      <c r="ZC274" s="10" t="n">
        <v>46255</v>
      </c>
      <c r="ZE274" s="9" t="n">
        <v>0</v>
      </c>
      <c r="ZG274" s="9" t="n">
        <v>0</v>
      </c>
      <c r="ZH274" s="9" t="n">
        <v>0</v>
      </c>
      <c r="ZL274" s="10" t="n">
        <v>46255</v>
      </c>
      <c r="ZN274" s="9" t="n">
        <v>0</v>
      </c>
      <c r="ZP274" s="9" t="n">
        <v>0</v>
      </c>
      <c r="ZQ274" s="9" t="n">
        <v>0</v>
      </c>
      <c r="ZU274" s="10" t="n">
        <v>46255</v>
      </c>
      <c r="ZW274" s="9" t="n">
        <v>0</v>
      </c>
      <c r="ZY274" s="9" t="n">
        <v>0</v>
      </c>
      <c r="ZZ274" s="9" t="n">
        <v>0</v>
      </c>
      <c r="AAD274" s="10" t="n">
        <v>46255</v>
      </c>
      <c r="AAF274" s="9" t="n">
        <v>0</v>
      </c>
      <c r="AAH274" s="9" t="n">
        <v>0</v>
      </c>
      <c r="AAI274" s="9" t="n">
        <v>0</v>
      </c>
      <c r="AAM274" s="10" t="n">
        <v>46255</v>
      </c>
      <c r="AAO274" s="9" t="n">
        <v>0</v>
      </c>
      <c r="AAQ274" s="9" t="n">
        <v>0</v>
      </c>
      <c r="AAR274" s="9" t="n">
        <v>0</v>
      </c>
      <c r="AAV274" s="10" t="n">
        <v>46255</v>
      </c>
      <c r="AAX274" s="9" t="n">
        <v>0</v>
      </c>
      <c r="AAZ274" s="9" t="n">
        <v>0</v>
      </c>
      <c r="ABA274" s="9" t="n">
        <v>0</v>
      </c>
      <c r="ABE274" s="10" t="n">
        <v>46255</v>
      </c>
      <c r="ABG274" s="9" t="n">
        <v>0</v>
      </c>
      <c r="ABI274" s="9" t="n">
        <v>0</v>
      </c>
      <c r="ABJ274" s="9" t="n">
        <v>0</v>
      </c>
    </row>
    <row r="275">
      <c r="C275" s="10" t="n">
        <v>46256</v>
      </c>
      <c r="E275" s="9" t="n">
        <v>0</v>
      </c>
      <c r="G275" s="9" t="n">
        <v>0</v>
      </c>
      <c r="H275" s="9" t="n">
        <v>236936.6</v>
      </c>
      <c r="L275" s="10" t="n">
        <v>46256</v>
      </c>
      <c r="N275" s="9" t="n">
        <v>0</v>
      </c>
      <c r="P275" s="9" t="n">
        <v>0</v>
      </c>
      <c r="Q275" s="9" t="n">
        <v>53017.60000000007</v>
      </c>
      <c r="U275" s="10" t="n">
        <v>46256</v>
      </c>
      <c r="W275" s="9" t="n">
        <v>0</v>
      </c>
      <c r="Y275" s="9" t="n">
        <v>0</v>
      </c>
      <c r="Z275" s="9" t="n">
        <v>42674.19999999997</v>
      </c>
      <c r="AD275" s="10" t="n">
        <v>46256</v>
      </c>
      <c r="AF275" s="9" t="n">
        <v>0</v>
      </c>
      <c r="AH275" s="9" t="n">
        <v>0</v>
      </c>
      <c r="AI275" s="9" t="n">
        <v>4522.200000000019</v>
      </c>
      <c r="AM275" s="10" t="n">
        <v>46256</v>
      </c>
      <c r="AO275" s="9" t="n">
        <v>0</v>
      </c>
      <c r="AQ275" s="9" t="n">
        <v>0</v>
      </c>
      <c r="AR275" s="9" t="n">
        <v>0</v>
      </c>
      <c r="AV275" s="10" t="n">
        <v>46256</v>
      </c>
      <c r="AX275" s="9" t="n">
        <v>0</v>
      </c>
      <c r="AZ275" s="9" t="n">
        <v>0</v>
      </c>
      <c r="BA275" s="9" t="n">
        <v>124.9999999999952</v>
      </c>
      <c r="BE275" s="10" t="n">
        <v>46256</v>
      </c>
      <c r="BG275" s="9" t="n">
        <v>0</v>
      </c>
      <c r="BI275" s="9" t="n">
        <v>0</v>
      </c>
      <c r="BJ275" s="9" t="n">
        <v>26151.9</v>
      </c>
      <c r="BN275" s="10" t="n">
        <v>46256</v>
      </c>
      <c r="BP275" s="9" t="n">
        <v>0</v>
      </c>
      <c r="BR275" s="9" t="n">
        <v>0</v>
      </c>
      <c r="BS275" s="9" t="n">
        <v>0</v>
      </c>
      <c r="BW275" s="10" t="n">
        <v>46256</v>
      </c>
      <c r="BY275" s="9" t="n">
        <v>0</v>
      </c>
      <c r="CA275" s="9" t="n">
        <v>0</v>
      </c>
      <c r="CB275" s="9" t="n">
        <v>2097.339999999999</v>
      </c>
      <c r="CF275" s="10" t="n">
        <v>46256</v>
      </c>
      <c r="CH275" s="9" t="n">
        <v>0</v>
      </c>
      <c r="CJ275" s="9" t="n">
        <v>0</v>
      </c>
      <c r="CK275" s="9" t="n">
        <v>-10277.08</v>
      </c>
      <c r="CO275" s="10" t="n">
        <v>46256</v>
      </c>
      <c r="CQ275" s="9" t="n">
        <v>0</v>
      </c>
      <c r="CS275" s="9" t="n">
        <v>0</v>
      </c>
      <c r="CT275" s="9" t="n">
        <v>0</v>
      </c>
      <c r="CX275" s="10" t="n">
        <v>46256</v>
      </c>
      <c r="CZ275" s="9" t="n">
        <v>0</v>
      </c>
      <c r="DB275" s="9" t="n">
        <v>0</v>
      </c>
      <c r="DC275" s="9" t="n">
        <v>27438.20000000001</v>
      </c>
      <c r="DG275" s="10" t="n">
        <v>46256</v>
      </c>
      <c r="DI275" s="9" t="n">
        <v>0</v>
      </c>
      <c r="DK275" s="9" t="n">
        <v>0</v>
      </c>
      <c r="DL275" s="9" t="n">
        <v>18782.29999999998</v>
      </c>
      <c r="DP275" s="10" t="n">
        <v>46256</v>
      </c>
      <c r="DR275" s="9" t="n">
        <v>0</v>
      </c>
      <c r="DT275" s="9" t="n">
        <v>0</v>
      </c>
      <c r="DU275" s="9" t="n">
        <v>5800</v>
      </c>
      <c r="DY275" s="10" t="n">
        <v>46256</v>
      </c>
      <c r="EA275" s="9" t="n">
        <v>0</v>
      </c>
      <c r="EC275" s="9" t="n">
        <v>0</v>
      </c>
      <c r="ED275" s="9" t="n">
        <v>0</v>
      </c>
      <c r="EH275" s="10" t="n">
        <v>46256</v>
      </c>
      <c r="EJ275" s="9" t="n">
        <v>0</v>
      </c>
      <c r="EL275" s="9" t="n">
        <v>0</v>
      </c>
      <c r="EM275" s="9" t="n">
        <v>0</v>
      </c>
      <c r="EQ275" s="10" t="n">
        <v>46256</v>
      </c>
      <c r="ES275" s="9" t="n">
        <v>0</v>
      </c>
      <c r="EU275" s="9" t="n">
        <v>0</v>
      </c>
      <c r="EV275" s="9" t="n">
        <v>0</v>
      </c>
      <c r="EZ275" s="10" t="n">
        <v>46256</v>
      </c>
      <c r="FB275" s="9" t="n">
        <v>0</v>
      </c>
      <c r="FD275" s="9" t="n">
        <v>0</v>
      </c>
      <c r="FE275" s="9" t="n">
        <v>0</v>
      </c>
      <c r="FI275" s="10" t="n">
        <v>46256</v>
      </c>
      <c r="FK275" s="9" t="n">
        <v>0</v>
      </c>
      <c r="FM275" s="9" t="n">
        <v>0</v>
      </c>
      <c r="FN275" s="9" t="n">
        <v>0</v>
      </c>
      <c r="FR275" s="10" t="n">
        <v>46256</v>
      </c>
      <c r="FT275" s="9" t="n">
        <v>0</v>
      </c>
      <c r="FV275" s="9" t="n">
        <v>0</v>
      </c>
      <c r="FW275" s="9" t="n">
        <v>2020</v>
      </c>
      <c r="GA275" s="10" t="n">
        <v>46256</v>
      </c>
      <c r="GC275" s="9" t="n">
        <v>0</v>
      </c>
      <c r="GE275" s="9" t="n">
        <v>0</v>
      </c>
      <c r="GF275" s="9" t="n">
        <v>960</v>
      </c>
      <c r="GJ275" s="10" t="n">
        <v>46256</v>
      </c>
      <c r="GL275" s="9" t="n">
        <v>0</v>
      </c>
      <c r="GN275" s="9" t="n">
        <v>0</v>
      </c>
      <c r="GO275" s="9" t="n">
        <v>1760</v>
      </c>
      <c r="GS275" s="10" t="n">
        <v>46256</v>
      </c>
      <c r="GU275" s="9" t="n">
        <v>0</v>
      </c>
      <c r="GW275" s="9" t="n">
        <v>0</v>
      </c>
      <c r="GX275" s="9" t="n">
        <v>400</v>
      </c>
      <c r="HB275" s="10" t="n">
        <v>46256</v>
      </c>
      <c r="HD275" s="9" t="n">
        <v>0</v>
      </c>
      <c r="HF275" s="9" t="n">
        <v>0</v>
      </c>
      <c r="HG275" s="9" t="n">
        <v>3600</v>
      </c>
      <c r="HK275" s="10" t="n">
        <v>46256</v>
      </c>
      <c r="HM275" s="9" t="n">
        <v>0</v>
      </c>
      <c r="HO275" s="9" t="n">
        <v>0</v>
      </c>
      <c r="HP275" s="9" t="n">
        <v>0</v>
      </c>
      <c r="HU275" s="10" t="n">
        <v>46256</v>
      </c>
      <c r="HW275" s="9" t="n">
        <v>0</v>
      </c>
      <c r="HY275" s="9" t="n">
        <v>0</v>
      </c>
      <c r="HZ275" s="9" t="n">
        <v>6120</v>
      </c>
      <c r="ID275" s="10" t="n">
        <v>46256</v>
      </c>
      <c r="IF275" s="9" t="n">
        <v>0</v>
      </c>
      <c r="IH275" s="9" t="n">
        <v>0</v>
      </c>
      <c r="II275" s="9" t="n">
        <v>0</v>
      </c>
      <c r="IM275" s="10" t="n">
        <v>46256</v>
      </c>
      <c r="IO275" s="9" t="n">
        <v>0</v>
      </c>
      <c r="IQ275" s="9" t="n">
        <v>0</v>
      </c>
      <c r="IR275" s="9" t="n">
        <v>0</v>
      </c>
      <c r="IV275" s="10" t="n">
        <v>46256</v>
      </c>
      <c r="IX275" s="9" t="n">
        <v>0</v>
      </c>
      <c r="IZ275" s="9" t="n">
        <v>0</v>
      </c>
      <c r="JA275" s="9" t="n">
        <v>2820</v>
      </c>
      <c r="JE275" s="10" t="n">
        <v>46256</v>
      </c>
      <c r="JG275" s="9" t="n">
        <v>0</v>
      </c>
      <c r="JI275" s="9" t="n">
        <v>0</v>
      </c>
      <c r="JJ275" s="9" t="n">
        <v>0</v>
      </c>
      <c r="JN275" s="10" t="n">
        <v>46256</v>
      </c>
      <c r="JP275" s="9" t="n">
        <v>0</v>
      </c>
      <c r="JR275" s="9" t="n">
        <v>0</v>
      </c>
      <c r="JS275" s="9" t="n">
        <v>0</v>
      </c>
      <c r="JW275" s="10" t="n">
        <v>46256</v>
      </c>
      <c r="JY275" s="9" t="n">
        <v>0</v>
      </c>
      <c r="KA275" s="9" t="n">
        <v>0</v>
      </c>
      <c r="KB275" s="9" t="n">
        <v>2540</v>
      </c>
      <c r="KF275" s="10" t="n">
        <v>46256</v>
      </c>
      <c r="KH275" s="9" t="n">
        <v>0</v>
      </c>
      <c r="KJ275" s="9" t="n">
        <v>0</v>
      </c>
      <c r="KK275" s="9" t="n">
        <v>2359.5</v>
      </c>
      <c r="KO275" s="10" t="n">
        <v>46256</v>
      </c>
      <c r="KQ275" s="9" t="n">
        <v>0</v>
      </c>
      <c r="KS275" s="9" t="n">
        <v>0</v>
      </c>
      <c r="KT275" s="9" t="n">
        <v>1890</v>
      </c>
      <c r="KX275" s="10" t="n">
        <v>46256</v>
      </c>
      <c r="KZ275" s="9" t="n">
        <v>0</v>
      </c>
      <c r="LB275" s="9" t="n">
        <v>0</v>
      </c>
      <c r="LC275" s="9" t="n">
        <v>3690</v>
      </c>
      <c r="LG275" s="10" t="n">
        <v>46256</v>
      </c>
      <c r="LI275" s="9" t="n">
        <v>0</v>
      </c>
      <c r="LK275" s="9" t="n">
        <v>0</v>
      </c>
      <c r="LL275" s="9" t="n">
        <v>4000</v>
      </c>
      <c r="LP275" s="10" t="n">
        <v>46256</v>
      </c>
      <c r="LR275" s="9" t="n">
        <v>0</v>
      </c>
      <c r="LT275" s="9" t="n">
        <v>0</v>
      </c>
      <c r="LU275" s="9" t="n">
        <v>0</v>
      </c>
      <c r="LY275" s="10" t="n">
        <v>46256</v>
      </c>
      <c r="MA275" s="9" t="n">
        <v>0</v>
      </c>
      <c r="MC275" s="9" t="n">
        <v>0</v>
      </c>
      <c r="MD275" s="9" t="n">
        <v>0</v>
      </c>
      <c r="MH275" s="10" t="n">
        <v>46256</v>
      </c>
      <c r="MJ275" s="9" t="n">
        <v>0</v>
      </c>
      <c r="ML275" s="9" t="n">
        <v>0</v>
      </c>
      <c r="MM275" s="9" t="n">
        <v>0</v>
      </c>
      <c r="MQ275" s="10" t="n">
        <v>46256</v>
      </c>
      <c r="MS275" s="9" t="n">
        <v>0</v>
      </c>
      <c r="MU275" s="9" t="n">
        <v>0</v>
      </c>
      <c r="MV275" s="9" t="n">
        <v>1625</v>
      </c>
      <c r="MZ275" s="10" t="n">
        <v>46256</v>
      </c>
      <c r="NB275" s="9" t="n">
        <v>0</v>
      </c>
      <c r="ND275" s="9" t="n">
        <v>0</v>
      </c>
      <c r="NE275" s="9" t="n">
        <v>0</v>
      </c>
      <c r="NI275" s="10" t="n">
        <v>46256</v>
      </c>
      <c r="NK275" s="9" t="n">
        <v>0</v>
      </c>
      <c r="NM275" s="9" t="n">
        <v>0</v>
      </c>
      <c r="NN275" s="9" t="n">
        <v>1127</v>
      </c>
      <c r="NR275" s="10" t="n">
        <v>46256</v>
      </c>
      <c r="NT275" s="9" t="n">
        <v>0</v>
      </c>
      <c r="NV275" s="9" t="n">
        <v>0</v>
      </c>
      <c r="NW275" s="9" t="n">
        <v>3112</v>
      </c>
      <c r="OA275" s="10" t="n">
        <v>46256</v>
      </c>
      <c r="OC275" s="9" t="n">
        <v>0</v>
      </c>
      <c r="OE275" s="9" t="n">
        <v>0</v>
      </c>
      <c r="OF275" s="9" t="n">
        <v>1680.5</v>
      </c>
      <c r="OG275" s="9" t="inlineStr">
        <is>
          <t> </t>
        </is>
      </c>
      <c r="OJ275" s="10" t="n">
        <v>46256</v>
      </c>
      <c r="OL275" s="9" t="n">
        <v>0</v>
      </c>
      <c r="ON275" s="9" t="n">
        <v>0</v>
      </c>
      <c r="OO275" s="9" t="n">
        <v>0</v>
      </c>
      <c r="OS275" s="10" t="n">
        <v>46256</v>
      </c>
      <c r="OU275" s="9" t="n">
        <v>0</v>
      </c>
      <c r="OW275" s="9" t="n">
        <v>0</v>
      </c>
      <c r="OX275" s="9" t="n">
        <v>1482</v>
      </c>
      <c r="PB275" s="10" t="n">
        <v>46256</v>
      </c>
      <c r="PD275" s="9" t="n">
        <v>0</v>
      </c>
      <c r="PF275" s="9" t="n">
        <v>0</v>
      </c>
      <c r="PG275" s="9" t="n">
        <v>0</v>
      </c>
      <c r="PK275" s="10" t="n">
        <v>46256</v>
      </c>
      <c r="PM275" s="9" t="n">
        <v>0</v>
      </c>
      <c r="PO275" s="9" t="n">
        <v>0</v>
      </c>
      <c r="PP275" s="9" t="n">
        <v>100</v>
      </c>
      <c r="PT275" s="10" t="n">
        <v>46256</v>
      </c>
      <c r="PV275" s="9" t="n">
        <v>0</v>
      </c>
      <c r="PX275" s="9" t="n">
        <v>0</v>
      </c>
      <c r="PY275" s="9" t="n">
        <v>13.96000000000004</v>
      </c>
      <c r="QC275" s="10" t="n">
        <v>46256</v>
      </c>
      <c r="QE275" s="9" t="n">
        <v>0</v>
      </c>
      <c r="QG275" s="9" t="n">
        <v>0</v>
      </c>
      <c r="QH275" s="9" t="n">
        <v>548</v>
      </c>
      <c r="QL275" s="10" t="n">
        <v>46256</v>
      </c>
      <c r="QN275" s="9" t="n">
        <v>0</v>
      </c>
      <c r="QP275" s="9" t="n">
        <v>0</v>
      </c>
      <c r="QQ275" s="9" t="n">
        <v>0</v>
      </c>
      <c r="QU275" s="10" t="n">
        <v>46256</v>
      </c>
      <c r="QW275" s="9" t="n">
        <v>0</v>
      </c>
      <c r="QY275" s="9" t="n">
        <v>0</v>
      </c>
      <c r="QZ275" s="9" t="n">
        <v>0</v>
      </c>
      <c r="RD275" s="10" t="n">
        <v>46256</v>
      </c>
      <c r="RF275" s="9" t="n">
        <v>0</v>
      </c>
      <c r="RH275" s="9" t="n">
        <v>0</v>
      </c>
      <c r="RI275" s="9" t="n">
        <v>147.04</v>
      </c>
      <c r="RM275" s="10" t="n">
        <v>46256</v>
      </c>
      <c r="RO275" s="9" t="n">
        <v>0</v>
      </c>
      <c r="RQ275" s="9" t="n">
        <v>0</v>
      </c>
      <c r="RR275" s="9" t="n">
        <v>46.8</v>
      </c>
      <c r="RV275" s="10" t="n">
        <v>46256</v>
      </c>
      <c r="RX275" s="9" t="n">
        <v>0</v>
      </c>
      <c r="RZ275" s="9" t="n">
        <v>0</v>
      </c>
      <c r="SA275" s="9" t="n">
        <v>0</v>
      </c>
      <c r="SE275" s="10" t="n">
        <v>46256</v>
      </c>
      <c r="SG275" s="9" t="n">
        <v>0</v>
      </c>
      <c r="SI275" s="9" t="n">
        <v>0</v>
      </c>
      <c r="SJ275" s="9" t="n">
        <v>24.2</v>
      </c>
      <c r="SN275" s="10" t="n">
        <v>46256</v>
      </c>
      <c r="SP275" s="9" t="n">
        <v>0</v>
      </c>
      <c r="SR275" s="9" t="n">
        <v>0</v>
      </c>
      <c r="SS275" s="9" t="n">
        <v>32</v>
      </c>
      <c r="SW275" s="10" t="n">
        <v>46256</v>
      </c>
      <c r="SY275" s="9" t="n">
        <v>0</v>
      </c>
      <c r="TA275" s="9" t="n">
        <v>0</v>
      </c>
      <c r="TB275" s="9" t="n">
        <v>0</v>
      </c>
      <c r="TF275" s="10" t="n">
        <v>46256</v>
      </c>
      <c r="TH275" s="9" t="n">
        <v>0</v>
      </c>
      <c r="TJ275" s="9" t="n">
        <v>0</v>
      </c>
      <c r="TK275" s="9" t="n">
        <v>0</v>
      </c>
      <c r="TO275" s="10" t="n">
        <v>46256</v>
      </c>
      <c r="TQ275" s="9" t="n">
        <v>0</v>
      </c>
      <c r="TS275" s="9" t="n">
        <v>0</v>
      </c>
      <c r="TT275" s="9" t="n">
        <v>0</v>
      </c>
      <c r="TX275" s="10" t="n">
        <v>46256</v>
      </c>
      <c r="TZ275" s="9" t="n">
        <v>0</v>
      </c>
      <c r="UB275" s="9" t="n">
        <v>0</v>
      </c>
      <c r="UC275" s="9" t="n">
        <v>46.79999999999998</v>
      </c>
      <c r="UG275" s="10" t="n">
        <v>46256</v>
      </c>
      <c r="UI275" s="9" t="n">
        <v>0</v>
      </c>
      <c r="UK275" s="9" t="n">
        <v>0</v>
      </c>
      <c r="UL275" s="9" t="n">
        <v>204</v>
      </c>
      <c r="UP275" s="10" t="n">
        <v>46256</v>
      </c>
      <c r="UR275" s="9" t="n">
        <v>0</v>
      </c>
      <c r="UT275" s="9" t="n">
        <v>0</v>
      </c>
      <c r="UU275" s="9" t="n">
        <v>202.5</v>
      </c>
      <c r="UY275" s="10" t="n">
        <v>46256</v>
      </c>
      <c r="VA275" s="9" t="n">
        <v>0</v>
      </c>
      <c r="VC275" s="9" t="n">
        <v>0</v>
      </c>
      <c r="VD275" s="9" t="n">
        <v>41.60000000000002</v>
      </c>
      <c r="VH275" s="10" t="n">
        <v>46256</v>
      </c>
      <c r="VJ275" s="9" t="n">
        <v>0</v>
      </c>
      <c r="VL275" s="9" t="n">
        <v>0</v>
      </c>
      <c r="VM275" s="9" t="n">
        <v>210</v>
      </c>
      <c r="VQ275" s="10" t="n">
        <v>46256</v>
      </c>
      <c r="VS275" s="9" t="n">
        <v>0</v>
      </c>
      <c r="VU275" s="9" t="n">
        <v>0</v>
      </c>
      <c r="VV275" s="9" t="n">
        <v>0</v>
      </c>
      <c r="VZ275" s="10" t="n">
        <v>46256</v>
      </c>
      <c r="WB275" s="9" t="n">
        <v>0</v>
      </c>
      <c r="WD275" s="9" t="n">
        <v>0</v>
      </c>
      <c r="WE275" s="9" t="n">
        <v>0</v>
      </c>
      <c r="WI275" s="10" t="n">
        <v>46256</v>
      </c>
      <c r="WK275" s="9" t="n">
        <v>0</v>
      </c>
      <c r="WM275" s="9" t="n">
        <v>0</v>
      </c>
      <c r="WN275" s="9" t="n">
        <v>1057</v>
      </c>
      <c r="WR275" s="10" t="n">
        <v>46256</v>
      </c>
      <c r="WT275" s="9" t="n">
        <v>0</v>
      </c>
      <c r="WV275" s="9" t="n">
        <v>0</v>
      </c>
      <c r="WW275" s="9" t="n">
        <v>0</v>
      </c>
      <c r="XA275" s="10" t="n">
        <v>46256</v>
      </c>
      <c r="XC275" s="9" t="n">
        <v>0</v>
      </c>
      <c r="XE275" s="9" t="n">
        <v>0</v>
      </c>
      <c r="XF275" s="9" t="n">
        <v>7507</v>
      </c>
      <c r="XJ275" s="10" t="n">
        <v>46256</v>
      </c>
      <c r="XL275" s="9" t="n">
        <v>0</v>
      </c>
      <c r="XN275" s="9" t="n">
        <v>0</v>
      </c>
      <c r="XO275" s="9" t="n">
        <v>4252</v>
      </c>
      <c r="XS275" s="10" t="n">
        <v>46256</v>
      </c>
      <c r="XU275" s="9" t="n">
        <v>0</v>
      </c>
      <c r="XW275" s="9" t="n">
        <v>0</v>
      </c>
      <c r="XX275" s="9" t="n">
        <v>2179</v>
      </c>
      <c r="YB275" s="10" t="n">
        <v>46256</v>
      </c>
      <c r="YD275" s="9" t="n">
        <v>0</v>
      </c>
      <c r="YF275" s="9" t="n">
        <v>0</v>
      </c>
      <c r="YG275" s="9" t="n">
        <v>4019</v>
      </c>
      <c r="YK275" s="10" t="n">
        <v>46256</v>
      </c>
      <c r="YM275" s="9" t="n">
        <v>0</v>
      </c>
      <c r="YO275" s="9" t="n">
        <v>0</v>
      </c>
      <c r="YP275" s="9" t="n">
        <v>-218</v>
      </c>
      <c r="YT275" s="10" t="n">
        <v>46256</v>
      </c>
      <c r="YV275" s="9" t="n">
        <v>0</v>
      </c>
      <c r="YX275" s="9" t="n">
        <v>0</v>
      </c>
      <c r="YY275" s="9" t="n">
        <v>0</v>
      </c>
      <c r="ZC275" s="10" t="n">
        <v>46256</v>
      </c>
      <c r="ZE275" s="9" t="n">
        <v>0</v>
      </c>
      <c r="ZG275" s="9" t="n">
        <v>0</v>
      </c>
      <c r="ZH275" s="9" t="n">
        <v>0</v>
      </c>
      <c r="ZL275" s="10" t="n">
        <v>46256</v>
      </c>
      <c r="ZN275" s="9" t="n">
        <v>0</v>
      </c>
      <c r="ZP275" s="9" t="n">
        <v>0</v>
      </c>
      <c r="ZQ275" s="9" t="n">
        <v>0</v>
      </c>
      <c r="ZU275" s="10" t="n">
        <v>46256</v>
      </c>
      <c r="ZW275" s="9" t="n">
        <v>0</v>
      </c>
      <c r="ZY275" s="9" t="n">
        <v>0</v>
      </c>
      <c r="ZZ275" s="9" t="n">
        <v>0</v>
      </c>
      <c r="AAD275" s="10" t="n">
        <v>46256</v>
      </c>
      <c r="AAF275" s="9" t="n">
        <v>0</v>
      </c>
      <c r="AAH275" s="9" t="n">
        <v>0</v>
      </c>
      <c r="AAI275" s="9" t="n">
        <v>0</v>
      </c>
      <c r="AAM275" s="10" t="n">
        <v>46256</v>
      </c>
      <c r="AAO275" s="9" t="n">
        <v>0</v>
      </c>
      <c r="AAQ275" s="9" t="n">
        <v>0</v>
      </c>
      <c r="AAR275" s="9" t="n">
        <v>0</v>
      </c>
      <c r="AAV275" s="10" t="n">
        <v>46256</v>
      </c>
      <c r="AAX275" s="9" t="n">
        <v>0</v>
      </c>
      <c r="AAZ275" s="9" t="n">
        <v>0</v>
      </c>
      <c r="ABA275" s="9" t="n">
        <v>0</v>
      </c>
      <c r="ABE275" s="10" t="n">
        <v>46256</v>
      </c>
      <c r="ABG275" s="9" t="n">
        <v>0</v>
      </c>
      <c r="ABI275" s="9" t="n">
        <v>0</v>
      </c>
      <c r="ABJ275" s="9" t="n">
        <v>0</v>
      </c>
    </row>
    <row r="276">
      <c r="C276" s="10" t="n">
        <v>46257</v>
      </c>
      <c r="E276" s="9" t="n">
        <v>0</v>
      </c>
      <c r="G276" s="9" t="n">
        <v>0</v>
      </c>
      <c r="H276" s="9" t="n">
        <v>236936.6</v>
      </c>
      <c r="L276" s="10" t="n">
        <v>46257</v>
      </c>
      <c r="N276" s="9" t="n">
        <v>0</v>
      </c>
      <c r="P276" s="9" t="n">
        <v>0</v>
      </c>
      <c r="Q276" s="9" t="n">
        <v>53017.60000000007</v>
      </c>
      <c r="U276" s="10" t="n">
        <v>46257</v>
      </c>
      <c r="W276" s="9" t="n">
        <v>0</v>
      </c>
      <c r="Y276" s="9" t="n">
        <v>0</v>
      </c>
      <c r="Z276" s="9" t="n">
        <v>42674.19999999997</v>
      </c>
      <c r="AD276" s="10" t="n">
        <v>46257</v>
      </c>
      <c r="AF276" s="9" t="n">
        <v>0</v>
      </c>
      <c r="AH276" s="9" t="n">
        <v>0</v>
      </c>
      <c r="AI276" s="9" t="n">
        <v>4522.200000000019</v>
      </c>
      <c r="AM276" s="10" t="n">
        <v>46257</v>
      </c>
      <c r="AO276" s="9" t="n">
        <v>0</v>
      </c>
      <c r="AQ276" s="9" t="n">
        <v>0</v>
      </c>
      <c r="AR276" s="9" t="n">
        <v>0</v>
      </c>
      <c r="AV276" s="10" t="n">
        <v>46257</v>
      </c>
      <c r="AX276" s="9" t="n">
        <v>0</v>
      </c>
      <c r="AZ276" s="9" t="n">
        <v>0</v>
      </c>
      <c r="BA276" s="9" t="n">
        <v>124.9999999999952</v>
      </c>
      <c r="BE276" s="10" t="n">
        <v>46257</v>
      </c>
      <c r="BG276" s="9" t="n">
        <v>0</v>
      </c>
      <c r="BI276" s="9" t="n">
        <v>0</v>
      </c>
      <c r="BJ276" s="9" t="n">
        <v>26151.9</v>
      </c>
      <c r="BN276" s="10" t="n">
        <v>46257</v>
      </c>
      <c r="BP276" s="9" t="n">
        <v>0</v>
      </c>
      <c r="BR276" s="9" t="n">
        <v>0</v>
      </c>
      <c r="BS276" s="9" t="n">
        <v>0</v>
      </c>
      <c r="BW276" s="10" t="n">
        <v>46257</v>
      </c>
      <c r="BY276" s="9" t="n">
        <v>0</v>
      </c>
      <c r="CA276" s="9" t="n">
        <v>0</v>
      </c>
      <c r="CB276" s="9" t="n">
        <v>2097.339999999999</v>
      </c>
      <c r="CF276" s="10" t="n">
        <v>46257</v>
      </c>
      <c r="CH276" s="9" t="n">
        <v>0</v>
      </c>
      <c r="CJ276" s="9" t="n">
        <v>0</v>
      </c>
      <c r="CK276" s="9" t="n">
        <v>-10277.08</v>
      </c>
      <c r="CO276" s="10" t="n">
        <v>46257</v>
      </c>
      <c r="CQ276" s="9" t="n">
        <v>0</v>
      </c>
      <c r="CS276" s="9" t="n">
        <v>0</v>
      </c>
      <c r="CT276" s="9" t="n">
        <v>0</v>
      </c>
      <c r="CX276" s="10" t="n">
        <v>46257</v>
      </c>
      <c r="CZ276" s="9" t="n">
        <v>0</v>
      </c>
      <c r="DB276" s="9" t="n">
        <v>0</v>
      </c>
      <c r="DC276" s="9" t="n">
        <v>27438.20000000001</v>
      </c>
      <c r="DG276" s="10" t="n">
        <v>46257</v>
      </c>
      <c r="DI276" s="9" t="n">
        <v>0</v>
      </c>
      <c r="DK276" s="9" t="n">
        <v>0</v>
      </c>
      <c r="DL276" s="9" t="n">
        <v>18782.29999999998</v>
      </c>
      <c r="DP276" s="10" t="n">
        <v>46257</v>
      </c>
      <c r="DR276" s="9" t="n">
        <v>0</v>
      </c>
      <c r="DT276" s="9" t="n">
        <v>0</v>
      </c>
      <c r="DU276" s="9" t="n">
        <v>5800</v>
      </c>
      <c r="DY276" s="10" t="n">
        <v>46257</v>
      </c>
      <c r="EA276" s="9" t="n">
        <v>0</v>
      </c>
      <c r="EC276" s="9" t="n">
        <v>0</v>
      </c>
      <c r="ED276" s="9" t="n">
        <v>0</v>
      </c>
      <c r="EH276" s="10" t="n">
        <v>46257</v>
      </c>
      <c r="EJ276" s="9" t="n">
        <v>0</v>
      </c>
      <c r="EL276" s="9" t="n">
        <v>0</v>
      </c>
      <c r="EM276" s="9" t="n">
        <v>0</v>
      </c>
      <c r="EQ276" s="10" t="n">
        <v>46257</v>
      </c>
      <c r="ES276" s="9" t="n">
        <v>0</v>
      </c>
      <c r="EU276" s="9" t="n">
        <v>0</v>
      </c>
      <c r="EV276" s="9" t="n">
        <v>0</v>
      </c>
      <c r="EZ276" s="10" t="n">
        <v>46257</v>
      </c>
      <c r="FB276" s="9" t="n">
        <v>0</v>
      </c>
      <c r="FD276" s="9" t="n">
        <v>0</v>
      </c>
      <c r="FE276" s="9" t="n">
        <v>0</v>
      </c>
      <c r="FI276" s="10" t="n">
        <v>46257</v>
      </c>
      <c r="FK276" s="9" t="n">
        <v>0</v>
      </c>
      <c r="FM276" s="9" t="n">
        <v>0</v>
      </c>
      <c r="FN276" s="9" t="n">
        <v>0</v>
      </c>
      <c r="FR276" s="10" t="n">
        <v>46257</v>
      </c>
      <c r="FT276" s="9" t="n">
        <v>0</v>
      </c>
      <c r="FV276" s="9" t="n">
        <v>0</v>
      </c>
      <c r="FW276" s="9" t="n">
        <v>2020</v>
      </c>
      <c r="GA276" s="10" t="n">
        <v>46257</v>
      </c>
      <c r="GC276" s="9" t="n">
        <v>0</v>
      </c>
      <c r="GE276" s="9" t="n">
        <v>0</v>
      </c>
      <c r="GF276" s="9" t="n">
        <v>960</v>
      </c>
      <c r="GJ276" s="10" t="n">
        <v>46257</v>
      </c>
      <c r="GL276" s="9" t="n">
        <v>0</v>
      </c>
      <c r="GN276" s="9" t="n">
        <v>0</v>
      </c>
      <c r="GO276" s="9" t="n">
        <v>1760</v>
      </c>
      <c r="GS276" s="10" t="n">
        <v>46257</v>
      </c>
      <c r="GU276" s="9" t="n">
        <v>0</v>
      </c>
      <c r="GW276" s="9" t="n">
        <v>0</v>
      </c>
      <c r="GX276" s="9" t="n">
        <v>400</v>
      </c>
      <c r="HB276" s="10" t="n">
        <v>46257</v>
      </c>
      <c r="HD276" s="9" t="n">
        <v>0</v>
      </c>
      <c r="HF276" s="9" t="n">
        <v>0</v>
      </c>
      <c r="HG276" s="9" t="n">
        <v>3600</v>
      </c>
      <c r="HK276" s="10" t="n">
        <v>46257</v>
      </c>
      <c r="HM276" s="9" t="n">
        <v>0</v>
      </c>
      <c r="HO276" s="9" t="n">
        <v>0</v>
      </c>
      <c r="HP276" s="9" t="n">
        <v>0</v>
      </c>
      <c r="HU276" s="10" t="n">
        <v>46257</v>
      </c>
      <c r="HW276" s="9" t="n">
        <v>0</v>
      </c>
      <c r="HY276" s="9" t="n">
        <v>0</v>
      </c>
      <c r="HZ276" s="9" t="n">
        <v>6120</v>
      </c>
      <c r="ID276" s="10" t="n">
        <v>46257</v>
      </c>
      <c r="IF276" s="9" t="n">
        <v>0</v>
      </c>
      <c r="IH276" s="9" t="n">
        <v>0</v>
      </c>
      <c r="II276" s="9" t="n">
        <v>0</v>
      </c>
      <c r="IM276" s="10" t="n">
        <v>46257</v>
      </c>
      <c r="IO276" s="9" t="n">
        <v>0</v>
      </c>
      <c r="IQ276" s="9" t="n">
        <v>0</v>
      </c>
      <c r="IR276" s="9" t="n">
        <v>0</v>
      </c>
      <c r="IV276" s="10" t="n">
        <v>46257</v>
      </c>
      <c r="IX276" s="9" t="n">
        <v>0</v>
      </c>
      <c r="IZ276" s="9" t="n">
        <v>0</v>
      </c>
      <c r="JA276" s="9" t="n">
        <v>2820</v>
      </c>
      <c r="JE276" s="10" t="n">
        <v>46257</v>
      </c>
      <c r="JG276" s="9" t="n">
        <v>0</v>
      </c>
      <c r="JI276" s="9" t="n">
        <v>0</v>
      </c>
      <c r="JJ276" s="9" t="n">
        <v>0</v>
      </c>
      <c r="JN276" s="10" t="n">
        <v>46257</v>
      </c>
      <c r="JP276" s="9" t="n">
        <v>0</v>
      </c>
      <c r="JR276" s="9" t="n">
        <v>0</v>
      </c>
      <c r="JS276" s="9" t="n">
        <v>0</v>
      </c>
      <c r="JW276" s="10" t="n">
        <v>46257</v>
      </c>
      <c r="JY276" s="9" t="n">
        <v>0</v>
      </c>
      <c r="KA276" s="9" t="n">
        <v>0</v>
      </c>
      <c r="KB276" s="9" t="n">
        <v>2540</v>
      </c>
      <c r="KF276" s="10" t="n">
        <v>46257</v>
      </c>
      <c r="KH276" s="9" t="n">
        <v>0</v>
      </c>
      <c r="KJ276" s="9" t="n">
        <v>0</v>
      </c>
      <c r="KK276" s="9" t="n">
        <v>2359.5</v>
      </c>
      <c r="KO276" s="10" t="n">
        <v>46257</v>
      </c>
      <c r="KQ276" s="9" t="n">
        <v>0</v>
      </c>
      <c r="KS276" s="9" t="n">
        <v>0</v>
      </c>
      <c r="KT276" s="9" t="n">
        <v>1890</v>
      </c>
      <c r="KX276" s="10" t="n">
        <v>46257</v>
      </c>
      <c r="KZ276" s="9" t="n">
        <v>0</v>
      </c>
      <c r="LB276" s="9" t="n">
        <v>0</v>
      </c>
      <c r="LC276" s="9" t="n">
        <v>3690</v>
      </c>
      <c r="LG276" s="10" t="n">
        <v>46257</v>
      </c>
      <c r="LI276" s="9" t="n">
        <v>0</v>
      </c>
      <c r="LK276" s="9" t="n">
        <v>0</v>
      </c>
      <c r="LL276" s="9" t="n">
        <v>4000</v>
      </c>
      <c r="LP276" s="10" t="n">
        <v>46257</v>
      </c>
      <c r="LR276" s="9" t="n">
        <v>0</v>
      </c>
      <c r="LT276" s="9" t="n">
        <v>0</v>
      </c>
      <c r="LU276" s="9" t="n">
        <v>0</v>
      </c>
      <c r="LY276" s="10" t="n">
        <v>46257</v>
      </c>
      <c r="MA276" s="9" t="n">
        <v>0</v>
      </c>
      <c r="MC276" s="9" t="n">
        <v>0</v>
      </c>
      <c r="MD276" s="9" t="n">
        <v>0</v>
      </c>
      <c r="MH276" s="10" t="n">
        <v>46257</v>
      </c>
      <c r="MJ276" s="9" t="n">
        <v>0</v>
      </c>
      <c r="ML276" s="9" t="n">
        <v>0</v>
      </c>
      <c r="MM276" s="9" t="n">
        <v>0</v>
      </c>
      <c r="MQ276" s="10" t="n">
        <v>46257</v>
      </c>
      <c r="MS276" s="9" t="n">
        <v>0</v>
      </c>
      <c r="MU276" s="9" t="n">
        <v>0</v>
      </c>
      <c r="MV276" s="9" t="n">
        <v>1625</v>
      </c>
      <c r="MZ276" s="10" t="n">
        <v>46257</v>
      </c>
      <c r="NB276" s="9" t="n">
        <v>0</v>
      </c>
      <c r="ND276" s="9" t="n">
        <v>0</v>
      </c>
      <c r="NE276" s="9" t="n">
        <v>0</v>
      </c>
      <c r="NI276" s="10" t="n">
        <v>46257</v>
      </c>
      <c r="NK276" s="9" t="n">
        <v>0</v>
      </c>
      <c r="NM276" s="9" t="n">
        <v>0</v>
      </c>
      <c r="NN276" s="9" t="n">
        <v>1127</v>
      </c>
      <c r="NR276" s="10" t="n">
        <v>46257</v>
      </c>
      <c r="NT276" s="9" t="n">
        <v>0</v>
      </c>
      <c r="NV276" s="9" t="n">
        <v>0</v>
      </c>
      <c r="NW276" s="9" t="n">
        <v>3112</v>
      </c>
      <c r="OA276" s="10" t="n">
        <v>46257</v>
      </c>
      <c r="OC276" s="9" t="n">
        <v>0</v>
      </c>
      <c r="OE276" s="9" t="n">
        <v>0</v>
      </c>
      <c r="OF276" s="9" t="n">
        <v>1680.5</v>
      </c>
      <c r="OJ276" s="10" t="n">
        <v>46257</v>
      </c>
      <c r="OL276" s="9" t="n">
        <v>0</v>
      </c>
      <c r="ON276" s="9" t="n">
        <v>0</v>
      </c>
      <c r="OO276" s="9" t="n">
        <v>0</v>
      </c>
      <c r="OS276" s="10" t="n">
        <v>46257</v>
      </c>
      <c r="OU276" s="9" t="n">
        <v>0</v>
      </c>
      <c r="OW276" s="9" t="n">
        <v>0</v>
      </c>
      <c r="OX276" s="9" t="n">
        <v>1482</v>
      </c>
      <c r="PB276" s="10" t="n">
        <v>46257</v>
      </c>
      <c r="PD276" s="9" t="n">
        <v>0</v>
      </c>
      <c r="PF276" s="9" t="n">
        <v>0</v>
      </c>
      <c r="PG276" s="9" t="n">
        <v>0</v>
      </c>
      <c r="PK276" s="10" t="n">
        <v>46257</v>
      </c>
      <c r="PM276" s="9" t="n">
        <v>0</v>
      </c>
      <c r="PO276" s="9" t="n">
        <v>0</v>
      </c>
      <c r="PP276" s="9" t="n">
        <v>100</v>
      </c>
      <c r="PT276" s="10" t="n">
        <v>46257</v>
      </c>
      <c r="PV276" s="9" t="n">
        <v>0</v>
      </c>
      <c r="PX276" s="9" t="n">
        <v>0</v>
      </c>
      <c r="PY276" s="9" t="n">
        <v>13.96000000000004</v>
      </c>
      <c r="QC276" s="10" t="n">
        <v>46257</v>
      </c>
      <c r="QE276" s="9" t="n">
        <v>0</v>
      </c>
      <c r="QG276" s="9" t="n">
        <v>0</v>
      </c>
      <c r="QH276" s="9" t="n">
        <v>548</v>
      </c>
      <c r="QL276" s="10" t="n">
        <v>46257</v>
      </c>
      <c r="QN276" s="9" t="n">
        <v>0</v>
      </c>
      <c r="QP276" s="9" t="n">
        <v>0</v>
      </c>
      <c r="QQ276" s="9" t="n">
        <v>0</v>
      </c>
      <c r="QU276" s="10" t="n">
        <v>46257</v>
      </c>
      <c r="QW276" s="9" t="n">
        <v>0</v>
      </c>
      <c r="QY276" s="9" t="n">
        <v>0</v>
      </c>
      <c r="QZ276" s="9" t="n">
        <v>0</v>
      </c>
      <c r="RD276" s="10" t="n">
        <v>46257</v>
      </c>
      <c r="RF276" s="9" t="n">
        <v>0</v>
      </c>
      <c r="RH276" s="9" t="n">
        <v>0</v>
      </c>
      <c r="RI276" s="9" t="n">
        <v>147.04</v>
      </c>
      <c r="RM276" s="10" t="n">
        <v>46257</v>
      </c>
      <c r="RO276" s="9" t="n">
        <v>0</v>
      </c>
      <c r="RQ276" s="9" t="n">
        <v>0</v>
      </c>
      <c r="RR276" s="9" t="n">
        <v>46.8</v>
      </c>
      <c r="RV276" s="10" t="n">
        <v>46257</v>
      </c>
      <c r="RX276" s="9" t="n">
        <v>0</v>
      </c>
      <c r="RZ276" s="9" t="n">
        <v>0</v>
      </c>
      <c r="SA276" s="9" t="n">
        <v>0</v>
      </c>
      <c r="SE276" s="10" t="n">
        <v>46257</v>
      </c>
      <c r="SG276" s="9" t="n">
        <v>0</v>
      </c>
      <c r="SI276" s="9" t="n">
        <v>0</v>
      </c>
      <c r="SJ276" s="9" t="n">
        <v>24.2</v>
      </c>
      <c r="SN276" s="10" t="n">
        <v>46257</v>
      </c>
      <c r="SP276" s="9" t="n">
        <v>0</v>
      </c>
      <c r="SR276" s="9" t="n">
        <v>0</v>
      </c>
      <c r="SS276" s="9" t="n">
        <v>32</v>
      </c>
      <c r="SW276" s="10" t="n">
        <v>46257</v>
      </c>
      <c r="SY276" s="9" t="n">
        <v>0</v>
      </c>
      <c r="TA276" s="9" t="n">
        <v>0</v>
      </c>
      <c r="TB276" s="9" t="n">
        <v>0</v>
      </c>
      <c r="TF276" s="10" t="n">
        <v>46257</v>
      </c>
      <c r="TH276" s="9" t="n">
        <v>0</v>
      </c>
      <c r="TJ276" s="9" t="n">
        <v>0</v>
      </c>
      <c r="TK276" s="9" t="n">
        <v>0</v>
      </c>
      <c r="TO276" s="10" t="n">
        <v>46257</v>
      </c>
      <c r="TQ276" s="9" t="n">
        <v>0</v>
      </c>
      <c r="TS276" s="9" t="n">
        <v>0</v>
      </c>
      <c r="TT276" s="9" t="n">
        <v>0</v>
      </c>
      <c r="TX276" s="10" t="n">
        <v>46257</v>
      </c>
      <c r="TZ276" s="9" t="n">
        <v>0</v>
      </c>
      <c r="UB276" s="9" t="n">
        <v>0</v>
      </c>
      <c r="UC276" s="9" t="n">
        <v>46.79999999999998</v>
      </c>
      <c r="UG276" s="10" t="n">
        <v>46257</v>
      </c>
      <c r="UI276" s="9" t="n">
        <v>0</v>
      </c>
      <c r="UK276" s="9" t="n">
        <v>0</v>
      </c>
      <c r="UL276" s="9" t="n">
        <v>204</v>
      </c>
      <c r="UP276" s="10" t="n">
        <v>46257</v>
      </c>
      <c r="UR276" s="9" t="n">
        <v>0</v>
      </c>
      <c r="UT276" s="9" t="n">
        <v>0</v>
      </c>
      <c r="UU276" s="9" t="n">
        <v>202.5</v>
      </c>
      <c r="UY276" s="10" t="n">
        <v>46257</v>
      </c>
      <c r="VA276" s="9" t="n">
        <v>0</v>
      </c>
      <c r="VC276" s="9" t="n">
        <v>0</v>
      </c>
      <c r="VD276" s="9" t="n">
        <v>41.60000000000002</v>
      </c>
      <c r="VH276" s="10" t="n">
        <v>46257</v>
      </c>
      <c r="VJ276" s="9" t="n">
        <v>0</v>
      </c>
      <c r="VL276" s="9" t="n">
        <v>0</v>
      </c>
      <c r="VM276" s="9" t="n">
        <v>210</v>
      </c>
      <c r="VQ276" s="10" t="n">
        <v>46257</v>
      </c>
      <c r="VS276" s="9" t="n">
        <v>0</v>
      </c>
      <c r="VU276" s="9" t="n">
        <v>0</v>
      </c>
      <c r="VV276" s="9" t="n">
        <v>0</v>
      </c>
      <c r="VZ276" s="10" t="n">
        <v>46257</v>
      </c>
      <c r="WB276" s="9" t="n">
        <v>0</v>
      </c>
      <c r="WD276" s="9" t="n">
        <v>0</v>
      </c>
      <c r="WE276" s="9" t="n">
        <v>0</v>
      </c>
      <c r="WI276" s="10" t="n">
        <v>46257</v>
      </c>
      <c r="WK276" s="9" t="n">
        <v>0</v>
      </c>
      <c r="WM276" s="9" t="n">
        <v>0</v>
      </c>
      <c r="WN276" s="9" t="n">
        <v>1057</v>
      </c>
      <c r="WR276" s="10" t="n">
        <v>46257</v>
      </c>
      <c r="WT276" s="9" t="n">
        <v>0</v>
      </c>
      <c r="WV276" s="9" t="n">
        <v>0</v>
      </c>
      <c r="WW276" s="9" t="n">
        <v>0</v>
      </c>
      <c r="XA276" s="10" t="n">
        <v>46257</v>
      </c>
      <c r="XC276" s="9" t="n">
        <v>0</v>
      </c>
      <c r="XE276" s="9" t="n">
        <v>0</v>
      </c>
      <c r="XF276" s="9" t="n">
        <v>7507</v>
      </c>
      <c r="XJ276" s="10" t="n">
        <v>46257</v>
      </c>
      <c r="XL276" s="9" t="n">
        <v>0</v>
      </c>
      <c r="XN276" s="9" t="n">
        <v>0</v>
      </c>
      <c r="XO276" s="9" t="n">
        <v>4252</v>
      </c>
      <c r="XS276" s="10" t="n">
        <v>46257</v>
      </c>
      <c r="XU276" s="9" t="n">
        <v>0</v>
      </c>
      <c r="XW276" s="9" t="n">
        <v>0</v>
      </c>
      <c r="XX276" s="9" t="n">
        <v>2179</v>
      </c>
      <c r="YB276" s="10" t="n">
        <v>46257</v>
      </c>
      <c r="YD276" s="9" t="n">
        <v>0</v>
      </c>
      <c r="YF276" s="9" t="n">
        <v>0</v>
      </c>
      <c r="YG276" s="9" t="n">
        <v>4019</v>
      </c>
      <c r="YK276" s="10" t="n">
        <v>46257</v>
      </c>
      <c r="YM276" s="9" t="n">
        <v>0</v>
      </c>
      <c r="YO276" s="9" t="n">
        <v>0</v>
      </c>
      <c r="YP276" s="9" t="n">
        <v>-218</v>
      </c>
      <c r="YT276" s="10" t="n">
        <v>46257</v>
      </c>
      <c r="YV276" s="9" t="n">
        <v>0</v>
      </c>
      <c r="YX276" s="9" t="n">
        <v>0</v>
      </c>
      <c r="YY276" s="9" t="n">
        <v>0</v>
      </c>
      <c r="ZC276" s="10" t="n">
        <v>46257</v>
      </c>
      <c r="ZE276" s="9" t="n">
        <v>0</v>
      </c>
      <c r="ZG276" s="9" t="n">
        <v>0</v>
      </c>
      <c r="ZH276" s="9" t="n">
        <v>0</v>
      </c>
      <c r="ZL276" s="10" t="n">
        <v>46257</v>
      </c>
      <c r="ZN276" s="9" t="n">
        <v>0</v>
      </c>
      <c r="ZP276" s="9" t="n">
        <v>0</v>
      </c>
      <c r="ZQ276" s="9" t="n">
        <v>0</v>
      </c>
      <c r="ZU276" s="10" t="n">
        <v>46257</v>
      </c>
      <c r="ZW276" s="9" t="n">
        <v>0</v>
      </c>
      <c r="ZY276" s="9" t="n">
        <v>0</v>
      </c>
      <c r="ZZ276" s="9" t="n">
        <v>0</v>
      </c>
      <c r="AAD276" s="10" t="n">
        <v>46257</v>
      </c>
      <c r="AAF276" s="9" t="n">
        <v>0</v>
      </c>
      <c r="AAH276" s="9" t="n">
        <v>0</v>
      </c>
      <c r="AAI276" s="9" t="n">
        <v>0</v>
      </c>
      <c r="AAM276" s="10" t="n">
        <v>46257</v>
      </c>
      <c r="AAO276" s="9" t="n">
        <v>0</v>
      </c>
      <c r="AAQ276" s="9" t="n">
        <v>0</v>
      </c>
      <c r="AAR276" s="9" t="n">
        <v>0</v>
      </c>
      <c r="AAV276" s="10" t="n">
        <v>46257</v>
      </c>
      <c r="AAX276" s="9" t="n">
        <v>0</v>
      </c>
      <c r="AAZ276" s="9" t="n">
        <v>0</v>
      </c>
      <c r="ABA276" s="9" t="n">
        <v>0</v>
      </c>
      <c r="ABE276" s="10" t="n">
        <v>46257</v>
      </c>
      <c r="ABG276" s="9" t="n">
        <v>0</v>
      </c>
      <c r="ABI276" s="9" t="n">
        <v>0</v>
      </c>
      <c r="ABJ276" s="9" t="n">
        <v>0</v>
      </c>
    </row>
    <row r="277">
      <c r="C277" s="10" t="n">
        <v>46258</v>
      </c>
      <c r="E277" s="9" t="n">
        <v>0</v>
      </c>
      <c r="G277" s="9" t="n">
        <v>0</v>
      </c>
      <c r="H277" s="9" t="n">
        <v>236936.6</v>
      </c>
      <c r="L277" s="10" t="n">
        <v>46258</v>
      </c>
      <c r="N277" s="9" t="n">
        <v>0</v>
      </c>
      <c r="P277" s="9" t="n">
        <v>0</v>
      </c>
      <c r="Q277" s="9" t="n">
        <v>53017.60000000007</v>
      </c>
      <c r="U277" s="10" t="n">
        <v>46258</v>
      </c>
      <c r="W277" s="9" t="n">
        <v>0</v>
      </c>
      <c r="Y277" s="9" t="n">
        <v>0</v>
      </c>
      <c r="Z277" s="9" t="n">
        <v>42674.19999999997</v>
      </c>
      <c r="AD277" s="10" t="n">
        <v>46258</v>
      </c>
      <c r="AF277" s="9" t="n">
        <v>0</v>
      </c>
      <c r="AH277" s="9" t="n">
        <v>0</v>
      </c>
      <c r="AI277" s="9" t="n">
        <v>4522.200000000019</v>
      </c>
      <c r="AM277" s="10" t="n">
        <v>46258</v>
      </c>
      <c r="AO277" s="9" t="n">
        <v>0</v>
      </c>
      <c r="AQ277" s="9" t="n">
        <v>0</v>
      </c>
      <c r="AR277" s="9" t="n">
        <v>0</v>
      </c>
      <c r="AV277" s="10" t="n">
        <v>46258</v>
      </c>
      <c r="AX277" s="9" t="n">
        <v>0</v>
      </c>
      <c r="AZ277" s="9" t="n">
        <v>0</v>
      </c>
      <c r="BA277" s="9" t="n">
        <v>124.9999999999952</v>
      </c>
      <c r="BE277" s="10" t="n">
        <v>46258</v>
      </c>
      <c r="BG277" s="9" t="n">
        <v>0</v>
      </c>
      <c r="BI277" s="9" t="n">
        <v>0</v>
      </c>
      <c r="BJ277" s="9" t="n">
        <v>26151.9</v>
      </c>
      <c r="BN277" s="10" t="n">
        <v>46258</v>
      </c>
      <c r="BP277" s="9" t="n">
        <v>0</v>
      </c>
      <c r="BR277" s="9" t="n">
        <v>0</v>
      </c>
      <c r="BS277" s="9" t="n">
        <v>0</v>
      </c>
      <c r="BW277" s="10" t="n">
        <v>46258</v>
      </c>
      <c r="BY277" s="9" t="n">
        <v>0</v>
      </c>
      <c r="CA277" s="9" t="n">
        <v>0</v>
      </c>
      <c r="CB277" s="9" t="n">
        <v>2097.339999999999</v>
      </c>
      <c r="CF277" s="10" t="n">
        <v>46258</v>
      </c>
      <c r="CH277" s="9" t="n">
        <v>0</v>
      </c>
      <c r="CJ277" s="9" t="n">
        <v>0</v>
      </c>
      <c r="CK277" s="9" t="n">
        <v>-10277.08</v>
      </c>
      <c r="CO277" s="10" t="n">
        <v>46258</v>
      </c>
      <c r="CQ277" s="9" t="n">
        <v>0</v>
      </c>
      <c r="CS277" s="9" t="n">
        <v>0</v>
      </c>
      <c r="CT277" s="9" t="n">
        <v>0</v>
      </c>
      <c r="CX277" s="10" t="n">
        <v>46258</v>
      </c>
      <c r="CZ277" s="9" t="n">
        <v>0</v>
      </c>
      <c r="DB277" s="9" t="n">
        <v>0</v>
      </c>
      <c r="DC277" s="9" t="n">
        <v>27438.20000000001</v>
      </c>
      <c r="DG277" s="10" t="n">
        <v>46258</v>
      </c>
      <c r="DI277" s="9" t="n">
        <v>0</v>
      </c>
      <c r="DK277" s="9" t="n">
        <v>0</v>
      </c>
      <c r="DL277" s="9" t="n">
        <v>18782.29999999998</v>
      </c>
      <c r="DP277" s="10" t="n">
        <v>46258</v>
      </c>
      <c r="DR277" s="9" t="n">
        <v>0</v>
      </c>
      <c r="DT277" s="9" t="n">
        <v>0</v>
      </c>
      <c r="DU277" s="9" t="n">
        <v>5800</v>
      </c>
      <c r="DY277" s="10" t="n">
        <v>46258</v>
      </c>
      <c r="EA277" s="9" t="n">
        <v>0</v>
      </c>
      <c r="EC277" s="9" t="n">
        <v>0</v>
      </c>
      <c r="ED277" s="9" t="n">
        <v>0</v>
      </c>
      <c r="EH277" s="10" t="n">
        <v>46258</v>
      </c>
      <c r="EJ277" s="9" t="n">
        <v>0</v>
      </c>
      <c r="EL277" s="9" t="n">
        <v>0</v>
      </c>
      <c r="EM277" s="9" t="n">
        <v>0</v>
      </c>
      <c r="EQ277" s="10" t="n">
        <v>46258</v>
      </c>
      <c r="ES277" s="9" t="n">
        <v>0</v>
      </c>
      <c r="EU277" s="9" t="n">
        <v>0</v>
      </c>
      <c r="EV277" s="9" t="n">
        <v>0</v>
      </c>
      <c r="EZ277" s="10" t="n">
        <v>46258</v>
      </c>
      <c r="FB277" s="9" t="n">
        <v>0</v>
      </c>
      <c r="FD277" s="9" t="n">
        <v>0</v>
      </c>
      <c r="FE277" s="9" t="n">
        <v>0</v>
      </c>
      <c r="FI277" s="10" t="n">
        <v>46258</v>
      </c>
      <c r="FK277" s="9" t="n">
        <v>0</v>
      </c>
      <c r="FM277" s="9" t="n">
        <v>0</v>
      </c>
      <c r="FN277" s="9" t="n">
        <v>0</v>
      </c>
      <c r="FR277" s="10" t="n">
        <v>46258</v>
      </c>
      <c r="FT277" s="9" t="n">
        <v>0</v>
      </c>
      <c r="FV277" s="9" t="n">
        <v>0</v>
      </c>
      <c r="FW277" s="9" t="n">
        <v>2020</v>
      </c>
      <c r="GA277" s="10" t="n">
        <v>46258</v>
      </c>
      <c r="GC277" s="9" t="n">
        <v>0</v>
      </c>
      <c r="GE277" s="9" t="n">
        <v>0</v>
      </c>
      <c r="GF277" s="9" t="n">
        <v>960</v>
      </c>
      <c r="GJ277" s="10" t="n">
        <v>46258</v>
      </c>
      <c r="GL277" s="9" t="n">
        <v>0</v>
      </c>
      <c r="GN277" s="9" t="n">
        <v>0</v>
      </c>
      <c r="GO277" s="9" t="n">
        <v>1760</v>
      </c>
      <c r="GS277" s="10" t="n">
        <v>46258</v>
      </c>
      <c r="GU277" s="9" t="n">
        <v>0</v>
      </c>
      <c r="GW277" s="9" t="n">
        <v>0</v>
      </c>
      <c r="GX277" s="9" t="n">
        <v>400</v>
      </c>
      <c r="HB277" s="10" t="n">
        <v>46258</v>
      </c>
      <c r="HD277" s="9" t="n">
        <v>0</v>
      </c>
      <c r="HF277" s="9" t="n">
        <v>0</v>
      </c>
      <c r="HG277" s="9" t="n">
        <v>3600</v>
      </c>
      <c r="HK277" s="10" t="n">
        <v>46258</v>
      </c>
      <c r="HM277" s="9" t="n">
        <v>0</v>
      </c>
      <c r="HO277" s="9" t="n">
        <v>0</v>
      </c>
      <c r="HP277" s="9" t="n">
        <v>0</v>
      </c>
      <c r="HU277" s="10" t="n">
        <v>46258</v>
      </c>
      <c r="HW277" s="9" t="n">
        <v>0</v>
      </c>
      <c r="HY277" s="9" t="n">
        <v>0</v>
      </c>
      <c r="HZ277" s="9" t="n">
        <v>6120</v>
      </c>
      <c r="ID277" s="10" t="n">
        <v>46258</v>
      </c>
      <c r="IF277" s="9" t="n">
        <v>0</v>
      </c>
      <c r="IH277" s="9" t="n">
        <v>0</v>
      </c>
      <c r="II277" s="9" t="n">
        <v>0</v>
      </c>
      <c r="IM277" s="10" t="n">
        <v>46258</v>
      </c>
      <c r="IO277" s="9" t="n">
        <v>0</v>
      </c>
      <c r="IQ277" s="9" t="n">
        <v>0</v>
      </c>
      <c r="IR277" s="9" t="n">
        <v>0</v>
      </c>
      <c r="IV277" s="10" t="n">
        <v>46258</v>
      </c>
      <c r="IX277" s="9" t="n">
        <v>0</v>
      </c>
      <c r="IZ277" s="9" t="n">
        <v>0</v>
      </c>
      <c r="JA277" s="9" t="n">
        <v>2820</v>
      </c>
      <c r="JE277" s="10" t="n">
        <v>46258</v>
      </c>
      <c r="JG277" s="9" t="n">
        <v>0</v>
      </c>
      <c r="JI277" s="9" t="n">
        <v>0</v>
      </c>
      <c r="JJ277" s="9" t="n">
        <v>0</v>
      </c>
      <c r="JN277" s="10" t="n">
        <v>46258</v>
      </c>
      <c r="JP277" s="9" t="n">
        <v>0</v>
      </c>
      <c r="JR277" s="9" t="n">
        <v>0</v>
      </c>
      <c r="JS277" s="9" t="n">
        <v>0</v>
      </c>
      <c r="JW277" s="10" t="n">
        <v>46258</v>
      </c>
      <c r="JY277" s="9" t="n">
        <v>0</v>
      </c>
      <c r="KA277" s="9" t="n">
        <v>0</v>
      </c>
      <c r="KB277" s="9" t="n">
        <v>2540</v>
      </c>
      <c r="KF277" s="10" t="n">
        <v>46258</v>
      </c>
      <c r="KH277" s="9" t="n">
        <v>0</v>
      </c>
      <c r="KJ277" s="9" t="n">
        <v>0</v>
      </c>
      <c r="KK277" s="9" t="n">
        <v>2359.5</v>
      </c>
      <c r="KO277" s="10" t="n">
        <v>46258</v>
      </c>
      <c r="KQ277" s="9" t="n">
        <v>0</v>
      </c>
      <c r="KS277" s="9" t="n">
        <v>0</v>
      </c>
      <c r="KT277" s="9" t="n">
        <v>1890</v>
      </c>
      <c r="KX277" s="10" t="n">
        <v>46258</v>
      </c>
      <c r="KZ277" s="9" t="n">
        <v>0</v>
      </c>
      <c r="LB277" s="9" t="n">
        <v>0</v>
      </c>
      <c r="LC277" s="9" t="n">
        <v>3690</v>
      </c>
      <c r="LG277" s="10" t="n">
        <v>46258</v>
      </c>
      <c r="LI277" s="9" t="n">
        <v>0</v>
      </c>
      <c r="LK277" s="9" t="n">
        <v>0</v>
      </c>
      <c r="LL277" s="9" t="n">
        <v>4000</v>
      </c>
      <c r="LP277" s="10" t="n">
        <v>46258</v>
      </c>
      <c r="LR277" s="9" t="n">
        <v>0</v>
      </c>
      <c r="LT277" s="9" t="n">
        <v>0</v>
      </c>
      <c r="LU277" s="9" t="n">
        <v>0</v>
      </c>
      <c r="LY277" s="10" t="n">
        <v>46258</v>
      </c>
      <c r="MA277" s="9" t="n">
        <v>0</v>
      </c>
      <c r="MC277" s="9" t="n">
        <v>0</v>
      </c>
      <c r="MD277" s="9" t="n">
        <v>0</v>
      </c>
      <c r="MH277" s="10" t="n">
        <v>46258</v>
      </c>
      <c r="MJ277" s="9" t="n">
        <v>0</v>
      </c>
      <c r="ML277" s="9" t="n">
        <v>0</v>
      </c>
      <c r="MM277" s="9" t="n">
        <v>0</v>
      </c>
      <c r="MQ277" s="10" t="n">
        <v>46258</v>
      </c>
      <c r="MS277" s="9" t="n">
        <v>0</v>
      </c>
      <c r="MU277" s="9" t="n">
        <v>0</v>
      </c>
      <c r="MV277" s="9" t="n">
        <v>1625</v>
      </c>
      <c r="MZ277" s="10" t="n">
        <v>46258</v>
      </c>
      <c r="NB277" s="9" t="n">
        <v>0</v>
      </c>
      <c r="ND277" s="9" t="n">
        <v>0</v>
      </c>
      <c r="NE277" s="9" t="n">
        <v>0</v>
      </c>
      <c r="NI277" s="10" t="n">
        <v>46258</v>
      </c>
      <c r="NK277" s="9" t="n">
        <v>0</v>
      </c>
      <c r="NM277" s="9" t="n">
        <v>0</v>
      </c>
      <c r="NN277" s="9" t="n">
        <v>1127</v>
      </c>
      <c r="NR277" s="10" t="n">
        <v>46258</v>
      </c>
      <c r="NT277" s="9" t="n">
        <v>0</v>
      </c>
      <c r="NV277" s="9" t="n">
        <v>0</v>
      </c>
      <c r="NW277" s="9" t="n">
        <v>3112</v>
      </c>
      <c r="OA277" s="10" t="n">
        <v>46258</v>
      </c>
      <c r="OC277" s="9" t="n">
        <v>0</v>
      </c>
      <c r="OE277" s="9" t="n">
        <v>0</v>
      </c>
      <c r="OF277" s="9" t="n">
        <v>1680.5</v>
      </c>
      <c r="OJ277" s="10" t="n">
        <v>46258</v>
      </c>
      <c r="OL277" s="9" t="n">
        <v>0</v>
      </c>
      <c r="ON277" s="9" t="n">
        <v>0</v>
      </c>
      <c r="OO277" s="9" t="n">
        <v>0</v>
      </c>
      <c r="OS277" s="10" t="n">
        <v>46258</v>
      </c>
      <c r="OU277" s="9" t="n">
        <v>0</v>
      </c>
      <c r="OW277" s="9" t="n">
        <v>0</v>
      </c>
      <c r="OX277" s="9" t="n">
        <v>1482</v>
      </c>
      <c r="PB277" s="10" t="n">
        <v>46258</v>
      </c>
      <c r="PD277" s="9" t="n">
        <v>0</v>
      </c>
      <c r="PF277" s="9" t="n">
        <v>0</v>
      </c>
      <c r="PG277" s="9" t="n">
        <v>0</v>
      </c>
      <c r="PK277" s="10" t="n">
        <v>46258</v>
      </c>
      <c r="PM277" s="9" t="n">
        <v>0</v>
      </c>
      <c r="PO277" s="9" t="n">
        <v>0</v>
      </c>
      <c r="PP277" s="9" t="n">
        <v>100</v>
      </c>
      <c r="PT277" s="10" t="n">
        <v>46258</v>
      </c>
      <c r="PV277" s="9" t="n">
        <v>0</v>
      </c>
      <c r="PX277" s="9" t="n">
        <v>0</v>
      </c>
      <c r="PY277" s="9" t="n">
        <v>13.96000000000004</v>
      </c>
      <c r="QC277" s="10" t="n">
        <v>46258</v>
      </c>
      <c r="QE277" s="9" t="n">
        <v>0</v>
      </c>
      <c r="QG277" s="9" t="n">
        <v>0</v>
      </c>
      <c r="QH277" s="9" t="n">
        <v>548</v>
      </c>
      <c r="QL277" s="10" t="n">
        <v>46258</v>
      </c>
      <c r="QN277" s="9" t="n">
        <v>0</v>
      </c>
      <c r="QP277" s="9" t="n">
        <v>0</v>
      </c>
      <c r="QQ277" s="9" t="n">
        <v>0</v>
      </c>
      <c r="QU277" s="10" t="n">
        <v>46258</v>
      </c>
      <c r="QW277" s="9" t="n">
        <v>0</v>
      </c>
      <c r="QY277" s="9" t="n">
        <v>0</v>
      </c>
      <c r="QZ277" s="9" t="n">
        <v>0</v>
      </c>
      <c r="RD277" s="10" t="n">
        <v>46258</v>
      </c>
      <c r="RF277" s="9" t="n">
        <v>0</v>
      </c>
      <c r="RH277" s="9" t="n">
        <v>0</v>
      </c>
      <c r="RI277" s="9" t="n">
        <v>147.04</v>
      </c>
      <c r="RM277" s="10" t="n">
        <v>46258</v>
      </c>
      <c r="RO277" s="9" t="n">
        <v>0</v>
      </c>
      <c r="RQ277" s="9" t="n">
        <v>0</v>
      </c>
      <c r="RR277" s="9" t="n">
        <v>46.8</v>
      </c>
      <c r="RV277" s="10" t="n">
        <v>46258</v>
      </c>
      <c r="RX277" s="9" t="n">
        <v>0</v>
      </c>
      <c r="RZ277" s="9" t="n">
        <v>0</v>
      </c>
      <c r="SA277" s="9" t="n">
        <v>0</v>
      </c>
      <c r="SE277" s="10" t="n">
        <v>46258</v>
      </c>
      <c r="SG277" s="9" t="n">
        <v>0</v>
      </c>
      <c r="SI277" s="9" t="n">
        <v>0</v>
      </c>
      <c r="SJ277" s="9" t="n">
        <v>24.2</v>
      </c>
      <c r="SN277" s="10" t="n">
        <v>46258</v>
      </c>
      <c r="SP277" s="9" t="n">
        <v>0</v>
      </c>
      <c r="SR277" s="9" t="n">
        <v>0</v>
      </c>
      <c r="SS277" s="9" t="n">
        <v>32</v>
      </c>
      <c r="SW277" s="10" t="n">
        <v>46258</v>
      </c>
      <c r="SY277" s="9" t="n">
        <v>0</v>
      </c>
      <c r="TA277" s="9" t="n">
        <v>0</v>
      </c>
      <c r="TB277" s="9" t="n">
        <v>0</v>
      </c>
      <c r="TF277" s="10" t="n">
        <v>46258</v>
      </c>
      <c r="TH277" s="9" t="n">
        <v>0</v>
      </c>
      <c r="TJ277" s="9" t="n">
        <v>0</v>
      </c>
      <c r="TK277" s="9" t="n">
        <v>0</v>
      </c>
      <c r="TO277" s="10" t="n">
        <v>46258</v>
      </c>
      <c r="TQ277" s="9" t="n">
        <v>0</v>
      </c>
      <c r="TS277" s="9" t="n">
        <v>0</v>
      </c>
      <c r="TT277" s="9" t="n">
        <v>0</v>
      </c>
      <c r="TX277" s="10" t="n">
        <v>46258</v>
      </c>
      <c r="TZ277" s="9" t="n">
        <v>0</v>
      </c>
      <c r="UB277" s="9" t="n">
        <v>0</v>
      </c>
      <c r="UC277" s="9" t="n">
        <v>46.79999999999998</v>
      </c>
      <c r="UG277" s="10" t="n">
        <v>46258</v>
      </c>
      <c r="UI277" s="9" t="n">
        <v>0</v>
      </c>
      <c r="UK277" s="9" t="n">
        <v>0</v>
      </c>
      <c r="UL277" s="9" t="n">
        <v>204</v>
      </c>
      <c r="UP277" s="10" t="n">
        <v>46258</v>
      </c>
      <c r="UR277" s="9" t="n">
        <v>0</v>
      </c>
      <c r="UT277" s="9" t="n">
        <v>0</v>
      </c>
      <c r="UU277" s="9" t="n">
        <v>202.5</v>
      </c>
      <c r="UY277" s="10" t="n">
        <v>46258</v>
      </c>
      <c r="VA277" s="9" t="n">
        <v>0</v>
      </c>
      <c r="VC277" s="9" t="n">
        <v>0</v>
      </c>
      <c r="VD277" s="9" t="n">
        <v>41.60000000000002</v>
      </c>
      <c r="VH277" s="10" t="n">
        <v>46258</v>
      </c>
      <c r="VJ277" s="9" t="n">
        <v>0</v>
      </c>
      <c r="VL277" s="9" t="n">
        <v>0</v>
      </c>
      <c r="VM277" s="9" t="n">
        <v>210</v>
      </c>
      <c r="VQ277" s="10" t="n">
        <v>46258</v>
      </c>
      <c r="VS277" s="9" t="n">
        <v>0</v>
      </c>
      <c r="VU277" s="9" t="n">
        <v>0</v>
      </c>
      <c r="VV277" s="9" t="n">
        <v>0</v>
      </c>
      <c r="VZ277" s="10" t="n">
        <v>46258</v>
      </c>
      <c r="WB277" s="9" t="n">
        <v>0</v>
      </c>
      <c r="WD277" s="9" t="n">
        <v>0</v>
      </c>
      <c r="WE277" s="9" t="n">
        <v>0</v>
      </c>
      <c r="WI277" s="10" t="n">
        <v>46258</v>
      </c>
      <c r="WK277" s="9" t="n">
        <v>0</v>
      </c>
      <c r="WM277" s="9" t="n">
        <v>0</v>
      </c>
      <c r="WN277" s="9" t="n">
        <v>1057</v>
      </c>
      <c r="WR277" s="10" t="n">
        <v>46258</v>
      </c>
      <c r="WT277" s="9" t="n">
        <v>0</v>
      </c>
      <c r="WV277" s="9" t="n">
        <v>0</v>
      </c>
      <c r="WW277" s="9" t="n">
        <v>0</v>
      </c>
      <c r="XA277" s="10" t="n">
        <v>46258</v>
      </c>
      <c r="XC277" s="9" t="n">
        <v>0</v>
      </c>
      <c r="XE277" s="9" t="n">
        <v>0</v>
      </c>
      <c r="XF277" s="9" t="n">
        <v>7507</v>
      </c>
      <c r="XJ277" s="10" t="n">
        <v>46258</v>
      </c>
      <c r="XL277" s="9" t="n">
        <v>0</v>
      </c>
      <c r="XN277" s="9" t="n">
        <v>0</v>
      </c>
      <c r="XO277" s="9" t="n">
        <v>4252</v>
      </c>
      <c r="XS277" s="10" t="n">
        <v>46258</v>
      </c>
      <c r="XU277" s="9" t="n">
        <v>0</v>
      </c>
      <c r="XW277" s="9" t="n">
        <v>0</v>
      </c>
      <c r="XX277" s="9" t="n">
        <v>2179</v>
      </c>
      <c r="YB277" s="10" t="n">
        <v>46258</v>
      </c>
      <c r="YD277" s="9" t="n">
        <v>0</v>
      </c>
      <c r="YF277" s="9" t="n">
        <v>0</v>
      </c>
      <c r="YG277" s="9" t="n">
        <v>4019</v>
      </c>
      <c r="YK277" s="10" t="n">
        <v>46258</v>
      </c>
      <c r="YM277" s="9" t="n">
        <v>0</v>
      </c>
      <c r="YO277" s="9" t="n">
        <v>0</v>
      </c>
      <c r="YP277" s="9" t="n">
        <v>-218</v>
      </c>
      <c r="YT277" s="10" t="n">
        <v>46258</v>
      </c>
      <c r="YV277" s="9" t="n">
        <v>0</v>
      </c>
      <c r="YX277" s="9" t="n">
        <v>0</v>
      </c>
      <c r="YY277" s="9" t="n">
        <v>0</v>
      </c>
      <c r="ZC277" s="10" t="n">
        <v>46258</v>
      </c>
      <c r="ZE277" s="9" t="n">
        <v>0</v>
      </c>
      <c r="ZG277" s="9" t="n">
        <v>0</v>
      </c>
      <c r="ZH277" s="9" t="n">
        <v>0</v>
      </c>
      <c r="ZL277" s="10" t="n">
        <v>46258</v>
      </c>
      <c r="ZN277" s="9" t="n">
        <v>0</v>
      </c>
      <c r="ZP277" s="9" t="n">
        <v>0</v>
      </c>
      <c r="ZQ277" s="9" t="n">
        <v>0</v>
      </c>
      <c r="ZU277" s="10" t="n">
        <v>46258</v>
      </c>
      <c r="ZW277" s="9" t="n">
        <v>0</v>
      </c>
      <c r="ZY277" s="9" t="n">
        <v>0</v>
      </c>
      <c r="ZZ277" s="9" t="n">
        <v>0</v>
      </c>
      <c r="AAD277" s="10" t="n">
        <v>46258</v>
      </c>
      <c r="AAF277" s="9" t="n">
        <v>0</v>
      </c>
      <c r="AAH277" s="9" t="n">
        <v>0</v>
      </c>
      <c r="AAI277" s="9" t="n">
        <v>0</v>
      </c>
      <c r="AAM277" s="10" t="n">
        <v>46258</v>
      </c>
      <c r="AAO277" s="9" t="n">
        <v>0</v>
      </c>
      <c r="AAQ277" s="9" t="n">
        <v>0</v>
      </c>
      <c r="AAR277" s="9" t="n">
        <v>0</v>
      </c>
      <c r="AAV277" s="10" t="n">
        <v>46258</v>
      </c>
      <c r="AAX277" s="9" t="n">
        <v>0</v>
      </c>
      <c r="AAZ277" s="9" t="n">
        <v>0</v>
      </c>
      <c r="ABA277" s="9" t="n">
        <v>0</v>
      </c>
      <c r="ABE277" s="10" t="n">
        <v>46258</v>
      </c>
      <c r="ABG277" s="9" t="n">
        <v>0</v>
      </c>
      <c r="ABI277" s="9" t="n">
        <v>0</v>
      </c>
      <c r="ABJ277" s="9" t="n">
        <v>0</v>
      </c>
    </row>
    <row r="278">
      <c r="C278" s="10" t="n">
        <v>46259</v>
      </c>
      <c r="E278" s="9" t="n">
        <v>0</v>
      </c>
      <c r="G278" s="9" t="n">
        <v>0</v>
      </c>
      <c r="H278" s="9" t="n">
        <v>236936.6</v>
      </c>
      <c r="L278" s="10" t="n">
        <v>46259</v>
      </c>
      <c r="N278" s="9" t="n">
        <v>0</v>
      </c>
      <c r="P278" s="9" t="n">
        <v>0</v>
      </c>
      <c r="Q278" s="9" t="n">
        <v>53017.60000000007</v>
      </c>
      <c r="U278" s="10" t="n">
        <v>46259</v>
      </c>
      <c r="W278" s="9" t="n">
        <v>0</v>
      </c>
      <c r="Y278" s="9" t="n">
        <v>0</v>
      </c>
      <c r="Z278" s="9" t="n">
        <v>42674.19999999997</v>
      </c>
      <c r="AD278" s="10" t="n">
        <v>46259</v>
      </c>
      <c r="AF278" s="9" t="n">
        <v>0</v>
      </c>
      <c r="AH278" s="9" t="n">
        <v>0</v>
      </c>
      <c r="AI278" s="9" t="n">
        <v>4522.200000000019</v>
      </c>
      <c r="AM278" s="10" t="n">
        <v>46259</v>
      </c>
      <c r="AO278" s="9" t="n">
        <v>0</v>
      </c>
      <c r="AQ278" s="9" t="n">
        <v>0</v>
      </c>
      <c r="AR278" s="9" t="n">
        <v>0</v>
      </c>
      <c r="AV278" s="10" t="n">
        <v>46259</v>
      </c>
      <c r="AX278" s="9" t="n">
        <v>0</v>
      </c>
      <c r="AZ278" s="9" t="n">
        <v>0</v>
      </c>
      <c r="BA278" s="9" t="n">
        <v>124.9999999999952</v>
      </c>
      <c r="BE278" s="10" t="n">
        <v>46259</v>
      </c>
      <c r="BG278" s="9" t="n">
        <v>0</v>
      </c>
      <c r="BI278" s="9" t="n">
        <v>0</v>
      </c>
      <c r="BJ278" s="9" t="n">
        <v>26151.9</v>
      </c>
      <c r="BN278" s="10" t="n">
        <v>46259</v>
      </c>
      <c r="BP278" s="9" t="n">
        <v>0</v>
      </c>
      <c r="BR278" s="9" t="n">
        <v>0</v>
      </c>
      <c r="BS278" s="9" t="n">
        <v>0</v>
      </c>
      <c r="BW278" s="10" t="n">
        <v>46259</v>
      </c>
      <c r="BY278" s="9" t="n">
        <v>0</v>
      </c>
      <c r="CA278" s="9" t="n">
        <v>0</v>
      </c>
      <c r="CB278" s="9" t="n">
        <v>2097.339999999999</v>
      </c>
      <c r="CF278" s="10" t="n">
        <v>46259</v>
      </c>
      <c r="CH278" s="9" t="n">
        <v>0</v>
      </c>
      <c r="CJ278" s="9" t="n">
        <v>0</v>
      </c>
      <c r="CK278" s="9" t="n">
        <v>-10277.08</v>
      </c>
      <c r="CO278" s="10" t="n">
        <v>46259</v>
      </c>
      <c r="CQ278" s="9" t="n">
        <v>0</v>
      </c>
      <c r="CS278" s="9" t="n">
        <v>0</v>
      </c>
      <c r="CT278" s="9" t="n">
        <v>0</v>
      </c>
      <c r="CX278" s="10" t="n">
        <v>46259</v>
      </c>
      <c r="CZ278" s="9" t="n">
        <v>0</v>
      </c>
      <c r="DB278" s="9" t="n">
        <v>0</v>
      </c>
      <c r="DC278" s="9" t="n">
        <v>27438.20000000001</v>
      </c>
      <c r="DG278" s="10" t="n">
        <v>46259</v>
      </c>
      <c r="DI278" s="9" t="n">
        <v>0</v>
      </c>
      <c r="DK278" s="9" t="n">
        <v>0</v>
      </c>
      <c r="DL278" s="9" t="n">
        <v>18782.29999999998</v>
      </c>
      <c r="DP278" s="10" t="n">
        <v>46259</v>
      </c>
      <c r="DR278" s="9" t="n">
        <v>0</v>
      </c>
      <c r="DT278" s="9" t="n">
        <v>0</v>
      </c>
      <c r="DU278" s="9" t="n">
        <v>5800</v>
      </c>
      <c r="DY278" s="10" t="n">
        <v>46259</v>
      </c>
      <c r="EA278" s="9" t="n">
        <v>0</v>
      </c>
      <c r="EC278" s="9" t="n">
        <v>0</v>
      </c>
      <c r="ED278" s="9" t="n">
        <v>0</v>
      </c>
      <c r="EH278" s="10" t="n">
        <v>46259</v>
      </c>
      <c r="EJ278" s="9" t="n">
        <v>0</v>
      </c>
      <c r="EL278" s="9" t="n">
        <v>0</v>
      </c>
      <c r="EM278" s="9" t="n">
        <v>0</v>
      </c>
      <c r="EQ278" s="10" t="n">
        <v>46259</v>
      </c>
      <c r="ES278" s="9" t="n">
        <v>0</v>
      </c>
      <c r="EU278" s="9" t="n">
        <v>0</v>
      </c>
      <c r="EV278" s="9" t="n">
        <v>0</v>
      </c>
      <c r="EZ278" s="10" t="n">
        <v>46259</v>
      </c>
      <c r="FB278" s="9" t="n">
        <v>0</v>
      </c>
      <c r="FD278" s="9" t="n">
        <v>0</v>
      </c>
      <c r="FE278" s="9" t="n">
        <v>0</v>
      </c>
      <c r="FI278" s="10" t="n">
        <v>46259</v>
      </c>
      <c r="FK278" s="9" t="n">
        <v>0</v>
      </c>
      <c r="FM278" s="9" t="n">
        <v>0</v>
      </c>
      <c r="FN278" s="9" t="n">
        <v>0</v>
      </c>
      <c r="FR278" s="10" t="n">
        <v>46259</v>
      </c>
      <c r="FT278" s="9" t="n">
        <v>0</v>
      </c>
      <c r="FV278" s="9" t="n">
        <v>0</v>
      </c>
      <c r="FW278" s="9" t="n">
        <v>2020</v>
      </c>
      <c r="GA278" s="10" t="n">
        <v>46259</v>
      </c>
      <c r="GC278" s="9" t="n">
        <v>0</v>
      </c>
      <c r="GE278" s="9" t="n">
        <v>0</v>
      </c>
      <c r="GF278" s="9" t="n">
        <v>960</v>
      </c>
      <c r="GJ278" s="10" t="n">
        <v>46259</v>
      </c>
      <c r="GL278" s="9" t="n">
        <v>0</v>
      </c>
      <c r="GN278" s="9" t="n">
        <v>0</v>
      </c>
      <c r="GO278" s="9" t="n">
        <v>1760</v>
      </c>
      <c r="GS278" s="10" t="n">
        <v>46259</v>
      </c>
      <c r="GU278" s="9" t="n">
        <v>0</v>
      </c>
      <c r="GW278" s="9" t="n">
        <v>0</v>
      </c>
      <c r="GX278" s="9" t="n">
        <v>400</v>
      </c>
      <c r="HB278" s="10" t="n">
        <v>46259</v>
      </c>
      <c r="HD278" s="9" t="n">
        <v>0</v>
      </c>
      <c r="HF278" s="9" t="n">
        <v>0</v>
      </c>
      <c r="HG278" s="9" t="n">
        <v>3600</v>
      </c>
      <c r="HK278" s="10" t="n">
        <v>46259</v>
      </c>
      <c r="HM278" s="9" t="n">
        <v>0</v>
      </c>
      <c r="HO278" s="9" t="n">
        <v>0</v>
      </c>
      <c r="HP278" s="9" t="n">
        <v>0</v>
      </c>
      <c r="HU278" s="10" t="n">
        <v>46259</v>
      </c>
      <c r="HW278" s="9" t="n">
        <v>0</v>
      </c>
      <c r="HY278" s="9" t="n">
        <v>0</v>
      </c>
      <c r="HZ278" s="9" t="n">
        <v>6120</v>
      </c>
      <c r="ID278" s="10" t="n">
        <v>46259</v>
      </c>
      <c r="IF278" s="9" t="n">
        <v>0</v>
      </c>
      <c r="IH278" s="9" t="n">
        <v>0</v>
      </c>
      <c r="II278" s="9" t="n">
        <v>0</v>
      </c>
      <c r="IM278" s="10" t="n">
        <v>46259</v>
      </c>
      <c r="IO278" s="9" t="n">
        <v>0</v>
      </c>
      <c r="IQ278" s="9" t="n">
        <v>0</v>
      </c>
      <c r="IR278" s="9" t="n">
        <v>0</v>
      </c>
      <c r="IV278" s="10" t="n">
        <v>46259</v>
      </c>
      <c r="IX278" s="9" t="n">
        <v>0</v>
      </c>
      <c r="IZ278" s="9" t="n">
        <v>0</v>
      </c>
      <c r="JA278" s="9" t="n">
        <v>2820</v>
      </c>
      <c r="JE278" s="10" t="n">
        <v>46259</v>
      </c>
      <c r="JG278" s="9" t="n">
        <v>0</v>
      </c>
      <c r="JI278" s="9" t="n">
        <v>0</v>
      </c>
      <c r="JJ278" s="9" t="n">
        <v>0</v>
      </c>
      <c r="JN278" s="10" t="n">
        <v>46259</v>
      </c>
      <c r="JP278" s="9" t="n">
        <v>0</v>
      </c>
      <c r="JR278" s="9" t="n">
        <v>0</v>
      </c>
      <c r="JS278" s="9" t="n">
        <v>0</v>
      </c>
      <c r="JW278" s="10" t="n">
        <v>46259</v>
      </c>
      <c r="JY278" s="9" t="n">
        <v>0</v>
      </c>
      <c r="KA278" s="9" t="n">
        <v>0</v>
      </c>
      <c r="KB278" s="9" t="n">
        <v>2540</v>
      </c>
      <c r="KF278" s="10" t="n">
        <v>46259</v>
      </c>
      <c r="KH278" s="9" t="n">
        <v>0</v>
      </c>
      <c r="KJ278" s="9" t="n">
        <v>0</v>
      </c>
      <c r="KK278" s="9" t="n">
        <v>2359.5</v>
      </c>
      <c r="KO278" s="10" t="n">
        <v>46259</v>
      </c>
      <c r="KQ278" s="9" t="n">
        <v>0</v>
      </c>
      <c r="KS278" s="9" t="n">
        <v>0</v>
      </c>
      <c r="KT278" s="9" t="n">
        <v>1890</v>
      </c>
      <c r="KX278" s="10" t="n">
        <v>46259</v>
      </c>
      <c r="KZ278" s="9" t="n">
        <v>0</v>
      </c>
      <c r="LB278" s="9" t="n">
        <v>0</v>
      </c>
      <c r="LC278" s="9" t="n">
        <v>3690</v>
      </c>
      <c r="LG278" s="10" t="n">
        <v>46259</v>
      </c>
      <c r="LI278" s="9" t="n">
        <v>0</v>
      </c>
      <c r="LK278" s="9" t="n">
        <v>0</v>
      </c>
      <c r="LL278" s="9" t="n">
        <v>4000</v>
      </c>
      <c r="LP278" s="10" t="n">
        <v>46259</v>
      </c>
      <c r="LR278" s="9" t="n">
        <v>0</v>
      </c>
      <c r="LT278" s="9" t="n">
        <v>0</v>
      </c>
      <c r="LU278" s="9" t="n">
        <v>0</v>
      </c>
      <c r="LY278" s="10" t="n">
        <v>46259</v>
      </c>
      <c r="MA278" s="9" t="n">
        <v>0</v>
      </c>
      <c r="MC278" s="9" t="n">
        <v>0</v>
      </c>
      <c r="MD278" s="9" t="n">
        <v>0</v>
      </c>
      <c r="MH278" s="10" t="n">
        <v>46259</v>
      </c>
      <c r="MJ278" s="9" t="n">
        <v>0</v>
      </c>
      <c r="ML278" s="9" t="n">
        <v>0</v>
      </c>
      <c r="MM278" s="9" t="n">
        <v>0</v>
      </c>
      <c r="MQ278" s="10" t="n">
        <v>46259</v>
      </c>
      <c r="MS278" s="9" t="n">
        <v>0</v>
      </c>
      <c r="MU278" s="9" t="n">
        <v>0</v>
      </c>
      <c r="MV278" s="9" t="n">
        <v>1625</v>
      </c>
      <c r="MZ278" s="10" t="n">
        <v>46259</v>
      </c>
      <c r="NB278" s="9" t="n">
        <v>0</v>
      </c>
      <c r="ND278" s="9" t="n">
        <v>0</v>
      </c>
      <c r="NE278" s="9" t="n">
        <v>0</v>
      </c>
      <c r="NI278" s="10" t="n">
        <v>46259</v>
      </c>
      <c r="NK278" s="9" t="n">
        <v>0</v>
      </c>
      <c r="NM278" s="9" t="n">
        <v>0</v>
      </c>
      <c r="NN278" s="9" t="n">
        <v>1127</v>
      </c>
      <c r="NR278" s="10" t="n">
        <v>46259</v>
      </c>
      <c r="NT278" s="9" t="n">
        <v>0</v>
      </c>
      <c r="NV278" s="9" t="n">
        <v>0</v>
      </c>
      <c r="NW278" s="9" t="n">
        <v>3112</v>
      </c>
      <c r="OA278" s="10" t="n">
        <v>46259</v>
      </c>
      <c r="OC278" s="9" t="n">
        <v>0</v>
      </c>
      <c r="OE278" s="9" t="n">
        <v>0</v>
      </c>
      <c r="OF278" s="9" t="n">
        <v>1680.5</v>
      </c>
      <c r="OJ278" s="10" t="n">
        <v>46259</v>
      </c>
      <c r="OL278" s="9" t="n">
        <v>0</v>
      </c>
      <c r="ON278" s="9" t="n">
        <v>0</v>
      </c>
      <c r="OO278" s="9" t="n">
        <v>0</v>
      </c>
      <c r="OS278" s="10" t="n">
        <v>46259</v>
      </c>
      <c r="OU278" s="9" t="n">
        <v>0</v>
      </c>
      <c r="OW278" s="9" t="n">
        <v>0</v>
      </c>
      <c r="OX278" s="9" t="n">
        <v>1482</v>
      </c>
      <c r="PB278" s="10" t="n">
        <v>46259</v>
      </c>
      <c r="PD278" s="9" t="n">
        <v>0</v>
      </c>
      <c r="PF278" s="9" t="n">
        <v>0</v>
      </c>
      <c r="PG278" s="9" t="n">
        <v>0</v>
      </c>
      <c r="PK278" s="10" t="n">
        <v>46259</v>
      </c>
      <c r="PM278" s="9" t="n">
        <v>0</v>
      </c>
      <c r="PO278" s="9" t="n">
        <v>0</v>
      </c>
      <c r="PP278" s="9" t="n">
        <v>100</v>
      </c>
      <c r="PT278" s="10" t="n">
        <v>46259</v>
      </c>
      <c r="PV278" s="9" t="n">
        <v>0</v>
      </c>
      <c r="PX278" s="9" t="n">
        <v>0</v>
      </c>
      <c r="PY278" s="9" t="n">
        <v>13.96000000000004</v>
      </c>
      <c r="QC278" s="10" t="n">
        <v>46259</v>
      </c>
      <c r="QE278" s="9" t="n">
        <v>0</v>
      </c>
      <c r="QG278" s="9" t="n">
        <v>0</v>
      </c>
      <c r="QH278" s="9" t="n">
        <v>548</v>
      </c>
      <c r="QL278" s="10" t="n">
        <v>46259</v>
      </c>
      <c r="QN278" s="9" t="n">
        <v>0</v>
      </c>
      <c r="QP278" s="9" t="n">
        <v>0</v>
      </c>
      <c r="QQ278" s="9" t="n">
        <v>0</v>
      </c>
      <c r="QU278" s="10" t="n">
        <v>46259</v>
      </c>
      <c r="QW278" s="9" t="n">
        <v>0</v>
      </c>
      <c r="QY278" s="9" t="n">
        <v>0</v>
      </c>
      <c r="QZ278" s="9" t="n">
        <v>0</v>
      </c>
      <c r="RD278" s="10" t="n">
        <v>46259</v>
      </c>
      <c r="RF278" s="9" t="n">
        <v>0</v>
      </c>
      <c r="RH278" s="9" t="n">
        <v>0</v>
      </c>
      <c r="RI278" s="9" t="n">
        <v>147.04</v>
      </c>
      <c r="RM278" s="10" t="n">
        <v>46259</v>
      </c>
      <c r="RO278" s="9" t="n">
        <v>0</v>
      </c>
      <c r="RQ278" s="9" t="n">
        <v>0</v>
      </c>
      <c r="RR278" s="9" t="n">
        <v>46.8</v>
      </c>
      <c r="RV278" s="10" t="n">
        <v>46259</v>
      </c>
      <c r="RX278" s="9" t="n">
        <v>0</v>
      </c>
      <c r="RZ278" s="9" t="n">
        <v>0</v>
      </c>
      <c r="SA278" s="9" t="n">
        <v>0</v>
      </c>
      <c r="SE278" s="10" t="n">
        <v>46259</v>
      </c>
      <c r="SG278" s="9" t="n">
        <v>0</v>
      </c>
      <c r="SI278" s="9" t="n">
        <v>0</v>
      </c>
      <c r="SJ278" s="9" t="n">
        <v>24.2</v>
      </c>
      <c r="SN278" s="10" t="n">
        <v>46259</v>
      </c>
      <c r="SP278" s="9" t="n">
        <v>0</v>
      </c>
      <c r="SR278" s="9" t="n">
        <v>0</v>
      </c>
      <c r="SS278" s="9" t="n">
        <v>32</v>
      </c>
      <c r="SW278" s="10" t="n">
        <v>46259</v>
      </c>
      <c r="SY278" s="9" t="n">
        <v>0</v>
      </c>
      <c r="TA278" s="9" t="n">
        <v>0</v>
      </c>
      <c r="TB278" s="9" t="n">
        <v>0</v>
      </c>
      <c r="TF278" s="10" t="n">
        <v>46259</v>
      </c>
      <c r="TH278" s="9" t="n">
        <v>0</v>
      </c>
      <c r="TJ278" s="9" t="n">
        <v>0</v>
      </c>
      <c r="TK278" s="9" t="n">
        <v>0</v>
      </c>
      <c r="TO278" s="10" t="n">
        <v>46259</v>
      </c>
      <c r="TQ278" s="9" t="n">
        <v>0</v>
      </c>
      <c r="TS278" s="9" t="n">
        <v>0</v>
      </c>
      <c r="TT278" s="9" t="n">
        <v>0</v>
      </c>
      <c r="TX278" s="10" t="n">
        <v>46259</v>
      </c>
      <c r="TZ278" s="9" t="n">
        <v>0</v>
      </c>
      <c r="UB278" s="9" t="n">
        <v>0</v>
      </c>
      <c r="UC278" s="9" t="n">
        <v>46.79999999999998</v>
      </c>
      <c r="UG278" s="10" t="n">
        <v>46259</v>
      </c>
      <c r="UI278" s="9" t="n">
        <v>0</v>
      </c>
      <c r="UK278" s="9" t="n">
        <v>0</v>
      </c>
      <c r="UL278" s="9" t="n">
        <v>204</v>
      </c>
      <c r="UP278" s="10" t="n">
        <v>46259</v>
      </c>
      <c r="UR278" s="9" t="n">
        <v>0</v>
      </c>
      <c r="UT278" s="9" t="n">
        <v>0</v>
      </c>
      <c r="UU278" s="9" t="n">
        <v>202.5</v>
      </c>
      <c r="UY278" s="10" t="n">
        <v>46259</v>
      </c>
      <c r="VA278" s="9" t="n">
        <v>0</v>
      </c>
      <c r="VC278" s="9" t="n">
        <v>0</v>
      </c>
      <c r="VD278" s="9" t="n">
        <v>41.60000000000002</v>
      </c>
      <c r="VH278" s="10" t="n">
        <v>46259</v>
      </c>
      <c r="VJ278" s="9" t="n">
        <v>0</v>
      </c>
      <c r="VL278" s="9" t="n">
        <v>0</v>
      </c>
      <c r="VM278" s="9" t="n">
        <v>210</v>
      </c>
      <c r="VQ278" s="10" t="n">
        <v>46259</v>
      </c>
      <c r="VS278" s="9" t="n">
        <v>0</v>
      </c>
      <c r="VU278" s="9" t="n">
        <v>0</v>
      </c>
      <c r="VV278" s="9" t="n">
        <v>0</v>
      </c>
      <c r="VZ278" s="10" t="n">
        <v>46259</v>
      </c>
      <c r="WB278" s="9" t="n">
        <v>0</v>
      </c>
      <c r="WD278" s="9" t="n">
        <v>0</v>
      </c>
      <c r="WE278" s="9" t="n">
        <v>0</v>
      </c>
      <c r="WI278" s="10" t="n">
        <v>46259</v>
      </c>
      <c r="WK278" s="9" t="n">
        <v>0</v>
      </c>
      <c r="WM278" s="9" t="n">
        <v>0</v>
      </c>
      <c r="WN278" s="9" t="n">
        <v>1057</v>
      </c>
      <c r="WR278" s="10" t="n">
        <v>46259</v>
      </c>
      <c r="WT278" s="9" t="n">
        <v>0</v>
      </c>
      <c r="WV278" s="9" t="n">
        <v>0</v>
      </c>
      <c r="WW278" s="9" t="n">
        <v>0</v>
      </c>
      <c r="XA278" s="10" t="n">
        <v>46259</v>
      </c>
      <c r="XC278" s="9" t="n">
        <v>0</v>
      </c>
      <c r="XE278" s="9" t="n">
        <v>0</v>
      </c>
      <c r="XF278" s="9" t="n">
        <v>7507</v>
      </c>
      <c r="XJ278" s="10" t="n">
        <v>46259</v>
      </c>
      <c r="XL278" s="9" t="n">
        <v>0</v>
      </c>
      <c r="XN278" s="9" t="n">
        <v>0</v>
      </c>
      <c r="XO278" s="9" t="n">
        <v>4252</v>
      </c>
      <c r="XS278" s="10" t="n">
        <v>46259</v>
      </c>
      <c r="XU278" s="9" t="n">
        <v>0</v>
      </c>
      <c r="XW278" s="9" t="n">
        <v>0</v>
      </c>
      <c r="XX278" s="9" t="n">
        <v>2179</v>
      </c>
      <c r="YB278" s="10" t="n">
        <v>46259</v>
      </c>
      <c r="YD278" s="9" t="n">
        <v>0</v>
      </c>
      <c r="YF278" s="9" t="n">
        <v>0</v>
      </c>
      <c r="YG278" s="9" t="n">
        <v>4019</v>
      </c>
      <c r="YK278" s="10" t="n">
        <v>46259</v>
      </c>
      <c r="YM278" s="9" t="n">
        <v>0</v>
      </c>
      <c r="YO278" s="9" t="n">
        <v>0</v>
      </c>
      <c r="YP278" s="9" t="n">
        <v>-218</v>
      </c>
      <c r="YT278" s="10" t="n">
        <v>46259</v>
      </c>
      <c r="YV278" s="9" t="n">
        <v>0</v>
      </c>
      <c r="YX278" s="9" t="n">
        <v>0</v>
      </c>
      <c r="YY278" s="9" t="n">
        <v>0</v>
      </c>
      <c r="ZC278" s="10" t="n">
        <v>46259</v>
      </c>
      <c r="ZE278" s="9" t="n">
        <v>0</v>
      </c>
      <c r="ZG278" s="9" t="n">
        <v>0</v>
      </c>
      <c r="ZH278" s="9" t="n">
        <v>0</v>
      </c>
      <c r="ZL278" s="10" t="n">
        <v>46259</v>
      </c>
      <c r="ZN278" s="9" t="n">
        <v>0</v>
      </c>
      <c r="ZP278" s="9" t="n">
        <v>0</v>
      </c>
      <c r="ZQ278" s="9" t="n">
        <v>0</v>
      </c>
      <c r="ZU278" s="10" t="n">
        <v>46259</v>
      </c>
      <c r="ZW278" s="9" t="n">
        <v>0</v>
      </c>
      <c r="ZY278" s="9" t="n">
        <v>0</v>
      </c>
      <c r="ZZ278" s="9" t="n">
        <v>0</v>
      </c>
      <c r="AAD278" s="10" t="n">
        <v>46259</v>
      </c>
      <c r="AAF278" s="9" t="n">
        <v>0</v>
      </c>
      <c r="AAH278" s="9" t="n">
        <v>0</v>
      </c>
      <c r="AAI278" s="9" t="n">
        <v>0</v>
      </c>
      <c r="AAM278" s="10" t="n">
        <v>46259</v>
      </c>
      <c r="AAO278" s="9" t="n">
        <v>0</v>
      </c>
      <c r="AAQ278" s="9" t="n">
        <v>0</v>
      </c>
      <c r="AAR278" s="9" t="n">
        <v>0</v>
      </c>
      <c r="AAV278" s="10" t="n">
        <v>46259</v>
      </c>
      <c r="AAX278" s="9" t="n">
        <v>0</v>
      </c>
      <c r="AAZ278" s="9" t="n">
        <v>0</v>
      </c>
      <c r="ABA278" s="9" t="n">
        <v>0</v>
      </c>
      <c r="ABE278" s="10" t="n">
        <v>46259</v>
      </c>
      <c r="ABG278" s="9" t="n">
        <v>0</v>
      </c>
      <c r="ABI278" s="9" t="n">
        <v>0</v>
      </c>
      <c r="ABJ278" s="9" t="n">
        <v>0</v>
      </c>
    </row>
    <row r="279">
      <c r="C279" s="10" t="n">
        <v>46260</v>
      </c>
      <c r="E279" s="9" t="n">
        <v>0</v>
      </c>
      <c r="G279" s="9" t="n">
        <v>0</v>
      </c>
      <c r="H279" s="9" t="n">
        <v>236936.6</v>
      </c>
      <c r="L279" s="10" t="n">
        <v>46260</v>
      </c>
      <c r="N279" s="9" t="n">
        <v>0</v>
      </c>
      <c r="P279" s="9" t="n">
        <v>0</v>
      </c>
      <c r="Q279" s="9" t="n">
        <v>53017.60000000007</v>
      </c>
      <c r="U279" s="10" t="n">
        <v>46260</v>
      </c>
      <c r="W279" s="9" t="n">
        <v>0</v>
      </c>
      <c r="Y279" s="9" t="n">
        <v>0</v>
      </c>
      <c r="Z279" s="9" t="n">
        <v>42674.19999999997</v>
      </c>
      <c r="AD279" s="10" t="n">
        <v>46260</v>
      </c>
      <c r="AF279" s="9" t="n">
        <v>0</v>
      </c>
      <c r="AH279" s="9" t="n">
        <v>0</v>
      </c>
      <c r="AI279" s="9" t="n">
        <v>4522.200000000019</v>
      </c>
      <c r="AM279" s="10" t="n">
        <v>46260</v>
      </c>
      <c r="AO279" s="9" t="n">
        <v>0</v>
      </c>
      <c r="AQ279" s="9" t="n">
        <v>0</v>
      </c>
      <c r="AR279" s="9" t="n">
        <v>0</v>
      </c>
      <c r="AV279" s="10" t="n">
        <v>46260</v>
      </c>
      <c r="AX279" s="9" t="n">
        <v>0</v>
      </c>
      <c r="AZ279" s="9" t="n">
        <v>0</v>
      </c>
      <c r="BA279" s="9" t="n">
        <v>124.9999999999952</v>
      </c>
      <c r="BE279" s="10" t="n">
        <v>46260</v>
      </c>
      <c r="BG279" s="9" t="n">
        <v>0</v>
      </c>
      <c r="BI279" s="9" t="n">
        <v>0</v>
      </c>
      <c r="BJ279" s="9" t="n">
        <v>26151.9</v>
      </c>
      <c r="BN279" s="10" t="n">
        <v>46260</v>
      </c>
      <c r="BP279" s="9" t="n">
        <v>0</v>
      </c>
      <c r="BR279" s="9" t="n">
        <v>0</v>
      </c>
      <c r="BS279" s="9" t="n">
        <v>0</v>
      </c>
      <c r="BW279" s="10" t="n">
        <v>46260</v>
      </c>
      <c r="BY279" s="9" t="n">
        <v>0</v>
      </c>
      <c r="CA279" s="9" t="n">
        <v>0</v>
      </c>
      <c r="CB279" s="9" t="n">
        <v>2097.339999999999</v>
      </c>
      <c r="CF279" s="10" t="n">
        <v>46260</v>
      </c>
      <c r="CH279" s="9" t="n">
        <v>0</v>
      </c>
      <c r="CJ279" s="9" t="n">
        <v>0</v>
      </c>
      <c r="CK279" s="9" t="n">
        <v>-10277.08</v>
      </c>
      <c r="CO279" s="10" t="n">
        <v>46260</v>
      </c>
      <c r="CQ279" s="9" t="n">
        <v>0</v>
      </c>
      <c r="CS279" s="9" t="n">
        <v>0</v>
      </c>
      <c r="CT279" s="9" t="n">
        <v>0</v>
      </c>
      <c r="CX279" s="10" t="n">
        <v>46260</v>
      </c>
      <c r="CZ279" s="9" t="n">
        <v>0</v>
      </c>
      <c r="DB279" s="9" t="n">
        <v>0</v>
      </c>
      <c r="DC279" s="9" t="n">
        <v>27438.20000000001</v>
      </c>
      <c r="DG279" s="10" t="n">
        <v>46260</v>
      </c>
      <c r="DI279" s="9" t="n">
        <v>0</v>
      </c>
      <c r="DK279" s="9" t="n">
        <v>0</v>
      </c>
      <c r="DL279" s="9" t="n">
        <v>18782.29999999998</v>
      </c>
      <c r="DP279" s="10" t="n">
        <v>46260</v>
      </c>
      <c r="DR279" s="9" t="n">
        <v>0</v>
      </c>
      <c r="DT279" s="9" t="n">
        <v>0</v>
      </c>
      <c r="DU279" s="9" t="n">
        <v>5800</v>
      </c>
      <c r="DY279" s="10" t="n">
        <v>46260</v>
      </c>
      <c r="EA279" s="9" t="n">
        <v>0</v>
      </c>
      <c r="EC279" s="9" t="n">
        <v>0</v>
      </c>
      <c r="ED279" s="9" t="n">
        <v>0</v>
      </c>
      <c r="EH279" s="10" t="n">
        <v>46260</v>
      </c>
      <c r="EJ279" s="9" t="n">
        <v>0</v>
      </c>
      <c r="EL279" s="9" t="n">
        <v>0</v>
      </c>
      <c r="EM279" s="9" t="n">
        <v>0</v>
      </c>
      <c r="EQ279" s="10" t="n">
        <v>46260</v>
      </c>
      <c r="ES279" s="9" t="n">
        <v>0</v>
      </c>
      <c r="EU279" s="9" t="n">
        <v>0</v>
      </c>
      <c r="EV279" s="9" t="n">
        <v>0</v>
      </c>
      <c r="EZ279" s="10" t="n">
        <v>46260</v>
      </c>
      <c r="FB279" s="9" t="n">
        <v>0</v>
      </c>
      <c r="FD279" s="9" t="n">
        <v>0</v>
      </c>
      <c r="FE279" s="9" t="n">
        <v>0</v>
      </c>
      <c r="FI279" s="10" t="n">
        <v>46260</v>
      </c>
      <c r="FK279" s="9" t="n">
        <v>0</v>
      </c>
      <c r="FM279" s="9" t="n">
        <v>0</v>
      </c>
      <c r="FN279" s="9" t="n">
        <v>0</v>
      </c>
      <c r="FR279" s="10" t="n">
        <v>46260</v>
      </c>
      <c r="FT279" s="9" t="n">
        <v>0</v>
      </c>
      <c r="FV279" s="9" t="n">
        <v>0</v>
      </c>
      <c r="FW279" s="9" t="n">
        <v>2020</v>
      </c>
      <c r="GA279" s="10" t="n">
        <v>46260</v>
      </c>
      <c r="GC279" s="9" t="n">
        <v>0</v>
      </c>
      <c r="GE279" s="9" t="n">
        <v>0</v>
      </c>
      <c r="GF279" s="9" t="n">
        <v>960</v>
      </c>
      <c r="GJ279" s="10" t="n">
        <v>46260</v>
      </c>
      <c r="GL279" s="9" t="n">
        <v>0</v>
      </c>
      <c r="GN279" s="9" t="n">
        <v>0</v>
      </c>
      <c r="GO279" s="9" t="n">
        <v>1760</v>
      </c>
      <c r="GS279" s="10" t="n">
        <v>46260</v>
      </c>
      <c r="GU279" s="9" t="n">
        <v>0</v>
      </c>
      <c r="GW279" s="9" t="n">
        <v>0</v>
      </c>
      <c r="GX279" s="9" t="n">
        <v>400</v>
      </c>
      <c r="HB279" s="10" t="n">
        <v>46260</v>
      </c>
      <c r="HD279" s="9" t="n">
        <v>0</v>
      </c>
      <c r="HF279" s="9" t="n">
        <v>0</v>
      </c>
      <c r="HG279" s="9" t="n">
        <v>3600</v>
      </c>
      <c r="HK279" s="10" t="n">
        <v>46260</v>
      </c>
      <c r="HM279" s="9" t="n">
        <v>0</v>
      </c>
      <c r="HO279" s="9" t="n">
        <v>0</v>
      </c>
      <c r="HP279" s="9" t="n">
        <v>0</v>
      </c>
      <c r="HU279" s="10" t="n">
        <v>46260</v>
      </c>
      <c r="HW279" s="9" t="n">
        <v>0</v>
      </c>
      <c r="HY279" s="9" t="n">
        <v>0</v>
      </c>
      <c r="HZ279" s="9" t="n">
        <v>6120</v>
      </c>
      <c r="ID279" s="10" t="n">
        <v>46260</v>
      </c>
      <c r="IF279" s="9" t="n">
        <v>0</v>
      </c>
      <c r="IH279" s="9" t="n">
        <v>0</v>
      </c>
      <c r="II279" s="9" t="n">
        <v>0</v>
      </c>
      <c r="IM279" s="10" t="n">
        <v>46260</v>
      </c>
      <c r="IO279" s="9" t="n">
        <v>0</v>
      </c>
      <c r="IQ279" s="9" t="n">
        <v>0</v>
      </c>
      <c r="IR279" s="9" t="n">
        <v>0</v>
      </c>
      <c r="IV279" s="10" t="n">
        <v>46260</v>
      </c>
      <c r="IX279" s="9" t="n">
        <v>0</v>
      </c>
      <c r="IZ279" s="9" t="n">
        <v>0</v>
      </c>
      <c r="JA279" s="9" t="n">
        <v>2820</v>
      </c>
      <c r="JE279" s="10" t="n">
        <v>46260</v>
      </c>
      <c r="JG279" s="9" t="n">
        <v>0</v>
      </c>
      <c r="JI279" s="9" t="n">
        <v>0</v>
      </c>
      <c r="JJ279" s="9" t="n">
        <v>0</v>
      </c>
      <c r="JN279" s="10" t="n">
        <v>46260</v>
      </c>
      <c r="JP279" s="9" t="n">
        <v>0</v>
      </c>
      <c r="JR279" s="9" t="n">
        <v>0</v>
      </c>
      <c r="JS279" s="9" t="n">
        <v>0</v>
      </c>
      <c r="JW279" s="10" t="n">
        <v>46260</v>
      </c>
      <c r="JY279" s="9" t="n">
        <v>0</v>
      </c>
      <c r="KA279" s="9" t="n">
        <v>0</v>
      </c>
      <c r="KB279" s="9" t="n">
        <v>2540</v>
      </c>
      <c r="KF279" s="10" t="n">
        <v>46260</v>
      </c>
      <c r="KH279" s="9" t="n">
        <v>0</v>
      </c>
      <c r="KJ279" s="9" t="n">
        <v>0</v>
      </c>
      <c r="KK279" s="9" t="n">
        <v>2359.5</v>
      </c>
      <c r="KO279" s="10" t="n">
        <v>46260</v>
      </c>
      <c r="KQ279" s="9" t="n">
        <v>0</v>
      </c>
      <c r="KS279" s="9" t="n">
        <v>0</v>
      </c>
      <c r="KT279" s="9" t="n">
        <v>1890</v>
      </c>
      <c r="KX279" s="10" t="n">
        <v>46260</v>
      </c>
      <c r="KZ279" s="9" t="n">
        <v>0</v>
      </c>
      <c r="LB279" s="9" t="n">
        <v>0</v>
      </c>
      <c r="LC279" s="9" t="n">
        <v>3690</v>
      </c>
      <c r="LG279" s="10" t="n">
        <v>46260</v>
      </c>
      <c r="LI279" s="9" t="n">
        <v>0</v>
      </c>
      <c r="LK279" s="9" t="n">
        <v>0</v>
      </c>
      <c r="LL279" s="9" t="n">
        <v>4000</v>
      </c>
      <c r="LP279" s="10" t="n">
        <v>46260</v>
      </c>
      <c r="LR279" s="9" t="n">
        <v>0</v>
      </c>
      <c r="LT279" s="9" t="n">
        <v>0</v>
      </c>
      <c r="LU279" s="9" t="n">
        <v>0</v>
      </c>
      <c r="LY279" s="10" t="n">
        <v>46260</v>
      </c>
      <c r="MA279" s="9" t="n">
        <v>0</v>
      </c>
      <c r="MC279" s="9" t="n">
        <v>0</v>
      </c>
      <c r="MD279" s="9" t="n">
        <v>0</v>
      </c>
      <c r="MH279" s="10" t="n">
        <v>46260</v>
      </c>
      <c r="MJ279" s="9" t="n">
        <v>0</v>
      </c>
      <c r="ML279" s="9" t="n">
        <v>0</v>
      </c>
      <c r="MM279" s="9" t="n">
        <v>0</v>
      </c>
      <c r="MQ279" s="10" t="n">
        <v>46260</v>
      </c>
      <c r="MS279" s="9" t="n">
        <v>0</v>
      </c>
      <c r="MU279" s="9" t="n">
        <v>0</v>
      </c>
      <c r="MV279" s="9" t="n">
        <v>1625</v>
      </c>
      <c r="MZ279" s="10" t="n">
        <v>46260</v>
      </c>
      <c r="NB279" s="9" t="n">
        <v>0</v>
      </c>
      <c r="ND279" s="9" t="n">
        <v>0</v>
      </c>
      <c r="NE279" s="9" t="n">
        <v>0</v>
      </c>
      <c r="NI279" s="10" t="n">
        <v>46260</v>
      </c>
      <c r="NK279" s="9" t="n">
        <v>0</v>
      </c>
      <c r="NM279" s="9" t="n">
        <v>0</v>
      </c>
      <c r="NN279" s="9" t="n">
        <v>1127</v>
      </c>
      <c r="NR279" s="10" t="n">
        <v>46260</v>
      </c>
      <c r="NT279" s="9" t="n">
        <v>0</v>
      </c>
      <c r="NV279" s="9" t="n">
        <v>0</v>
      </c>
      <c r="NW279" s="9" t="n">
        <v>3112</v>
      </c>
      <c r="OA279" s="10" t="n">
        <v>46260</v>
      </c>
      <c r="OC279" s="9" t="n">
        <v>0</v>
      </c>
      <c r="OE279" s="9" t="n">
        <v>0</v>
      </c>
      <c r="OF279" s="9" t="n">
        <v>1680.5</v>
      </c>
      <c r="OJ279" s="10" t="n">
        <v>46260</v>
      </c>
      <c r="OL279" s="9" t="n">
        <v>0</v>
      </c>
      <c r="ON279" s="9" t="n">
        <v>0</v>
      </c>
      <c r="OO279" s="9" t="n">
        <v>0</v>
      </c>
      <c r="OS279" s="10" t="n">
        <v>46260</v>
      </c>
      <c r="OU279" s="9" t="n">
        <v>0</v>
      </c>
      <c r="OW279" s="9" t="n">
        <v>0</v>
      </c>
      <c r="OX279" s="9" t="n">
        <v>1482</v>
      </c>
      <c r="PB279" s="10" t="n">
        <v>46260</v>
      </c>
      <c r="PD279" s="9" t="n">
        <v>0</v>
      </c>
      <c r="PF279" s="9" t="n">
        <v>0</v>
      </c>
      <c r="PG279" s="9" t="n">
        <v>0</v>
      </c>
      <c r="PK279" s="10" t="n">
        <v>46260</v>
      </c>
      <c r="PM279" s="9" t="n">
        <v>0</v>
      </c>
      <c r="PO279" s="9" t="n">
        <v>0</v>
      </c>
      <c r="PP279" s="9" t="n">
        <v>100</v>
      </c>
      <c r="PT279" s="10" t="n">
        <v>46260</v>
      </c>
      <c r="PV279" s="9" t="n">
        <v>0</v>
      </c>
      <c r="PX279" s="9" t="n">
        <v>0</v>
      </c>
      <c r="PY279" s="9" t="n">
        <v>13.96000000000004</v>
      </c>
      <c r="QC279" s="10" t="n">
        <v>46260</v>
      </c>
      <c r="QE279" s="9" t="n">
        <v>0</v>
      </c>
      <c r="QG279" s="9" t="n">
        <v>0</v>
      </c>
      <c r="QH279" s="9" t="n">
        <v>548</v>
      </c>
      <c r="QL279" s="10" t="n">
        <v>46260</v>
      </c>
      <c r="QN279" s="9" t="n">
        <v>0</v>
      </c>
      <c r="QP279" s="9" t="n">
        <v>0</v>
      </c>
      <c r="QQ279" s="9" t="n">
        <v>0</v>
      </c>
      <c r="QU279" s="10" t="n">
        <v>46260</v>
      </c>
      <c r="QW279" s="9" t="n">
        <v>0</v>
      </c>
      <c r="QY279" s="9" t="n">
        <v>0</v>
      </c>
      <c r="QZ279" s="9" t="n">
        <v>0</v>
      </c>
      <c r="RD279" s="10" t="n">
        <v>46260</v>
      </c>
      <c r="RF279" s="9" t="n">
        <v>0</v>
      </c>
      <c r="RH279" s="9" t="n">
        <v>0</v>
      </c>
      <c r="RI279" s="9" t="n">
        <v>147.04</v>
      </c>
      <c r="RM279" s="10" t="n">
        <v>46260</v>
      </c>
      <c r="RO279" s="9" t="n">
        <v>0</v>
      </c>
      <c r="RQ279" s="9" t="n">
        <v>0</v>
      </c>
      <c r="RR279" s="9" t="n">
        <v>46.8</v>
      </c>
      <c r="RV279" s="10" t="n">
        <v>46260</v>
      </c>
      <c r="RX279" s="9" t="n">
        <v>0</v>
      </c>
      <c r="RZ279" s="9" t="n">
        <v>0</v>
      </c>
      <c r="SA279" s="9" t="n">
        <v>0</v>
      </c>
      <c r="SE279" s="10" t="n">
        <v>46260</v>
      </c>
      <c r="SG279" s="9" t="n">
        <v>0</v>
      </c>
      <c r="SI279" s="9" t="n">
        <v>0</v>
      </c>
      <c r="SJ279" s="9" t="n">
        <v>24.2</v>
      </c>
      <c r="SN279" s="10" t="n">
        <v>46260</v>
      </c>
      <c r="SP279" s="9" t="n">
        <v>0</v>
      </c>
      <c r="SR279" s="9" t="n">
        <v>0</v>
      </c>
      <c r="SS279" s="9" t="n">
        <v>32</v>
      </c>
      <c r="SW279" s="10" t="n">
        <v>46260</v>
      </c>
      <c r="SY279" s="9" t="n">
        <v>0</v>
      </c>
      <c r="TA279" s="9" t="n">
        <v>0</v>
      </c>
      <c r="TB279" s="9" t="n">
        <v>0</v>
      </c>
      <c r="TF279" s="10" t="n">
        <v>46260</v>
      </c>
      <c r="TH279" s="9" t="n">
        <v>0</v>
      </c>
      <c r="TJ279" s="9" t="n">
        <v>0</v>
      </c>
      <c r="TK279" s="9" t="n">
        <v>0</v>
      </c>
      <c r="TO279" s="10" t="n">
        <v>46260</v>
      </c>
      <c r="TQ279" s="9" t="n">
        <v>0</v>
      </c>
      <c r="TS279" s="9" t="n">
        <v>0</v>
      </c>
      <c r="TT279" s="9" t="n">
        <v>0</v>
      </c>
      <c r="TX279" s="10" t="n">
        <v>46260</v>
      </c>
      <c r="TZ279" s="9" t="n">
        <v>0</v>
      </c>
      <c r="UB279" s="9" t="n">
        <v>0</v>
      </c>
      <c r="UC279" s="9" t="n">
        <v>46.79999999999998</v>
      </c>
      <c r="UG279" s="10" t="n">
        <v>46260</v>
      </c>
      <c r="UI279" s="9" t="n">
        <v>0</v>
      </c>
      <c r="UK279" s="9" t="n">
        <v>0</v>
      </c>
      <c r="UL279" s="9" t="n">
        <v>204</v>
      </c>
      <c r="UP279" s="10" t="n">
        <v>46260</v>
      </c>
      <c r="UR279" s="9" t="n">
        <v>0</v>
      </c>
      <c r="UT279" s="9" t="n">
        <v>0</v>
      </c>
      <c r="UU279" s="9" t="n">
        <v>202.5</v>
      </c>
      <c r="UY279" s="10" t="n">
        <v>46260</v>
      </c>
      <c r="VA279" s="9" t="n">
        <v>0</v>
      </c>
      <c r="VC279" s="9" t="n">
        <v>0</v>
      </c>
      <c r="VD279" s="9" t="n">
        <v>41.60000000000002</v>
      </c>
      <c r="VH279" s="10" t="n">
        <v>46260</v>
      </c>
      <c r="VJ279" s="9" t="n">
        <v>0</v>
      </c>
      <c r="VL279" s="9" t="n">
        <v>0</v>
      </c>
      <c r="VM279" s="9" t="n">
        <v>210</v>
      </c>
      <c r="VQ279" s="10" t="n">
        <v>46260</v>
      </c>
      <c r="VS279" s="9" t="n">
        <v>0</v>
      </c>
      <c r="VU279" s="9" t="n">
        <v>0</v>
      </c>
      <c r="VV279" s="9" t="n">
        <v>0</v>
      </c>
      <c r="VZ279" s="10" t="n">
        <v>46260</v>
      </c>
      <c r="WB279" s="9" t="n">
        <v>0</v>
      </c>
      <c r="WD279" s="9" t="n">
        <v>0</v>
      </c>
      <c r="WE279" s="9" t="n">
        <v>0</v>
      </c>
      <c r="WI279" s="10" t="n">
        <v>46260</v>
      </c>
      <c r="WK279" s="9" t="n">
        <v>0</v>
      </c>
      <c r="WM279" s="9" t="n">
        <v>0</v>
      </c>
      <c r="WN279" s="9" t="n">
        <v>1057</v>
      </c>
      <c r="WR279" s="10" t="n">
        <v>46260</v>
      </c>
      <c r="WT279" s="9" t="n">
        <v>0</v>
      </c>
      <c r="WV279" s="9" t="n">
        <v>0</v>
      </c>
      <c r="WW279" s="9" t="n">
        <v>0</v>
      </c>
      <c r="XA279" s="10" t="n">
        <v>46260</v>
      </c>
      <c r="XC279" s="9" t="n">
        <v>0</v>
      </c>
      <c r="XE279" s="9" t="n">
        <v>0</v>
      </c>
      <c r="XF279" s="9" t="n">
        <v>7507</v>
      </c>
      <c r="XJ279" s="10" t="n">
        <v>46260</v>
      </c>
      <c r="XL279" s="9" t="n">
        <v>0</v>
      </c>
      <c r="XN279" s="9" t="n">
        <v>0</v>
      </c>
      <c r="XO279" s="9" t="n">
        <v>4252</v>
      </c>
      <c r="XS279" s="10" t="n">
        <v>46260</v>
      </c>
      <c r="XU279" s="9" t="n">
        <v>0</v>
      </c>
      <c r="XW279" s="9" t="n">
        <v>0</v>
      </c>
      <c r="XX279" s="9" t="n">
        <v>2179</v>
      </c>
      <c r="YB279" s="10" t="n">
        <v>46260</v>
      </c>
      <c r="YD279" s="9" t="n">
        <v>0</v>
      </c>
      <c r="YF279" s="9" t="n">
        <v>0</v>
      </c>
      <c r="YG279" s="9" t="n">
        <v>4019</v>
      </c>
      <c r="YK279" s="10" t="n">
        <v>46260</v>
      </c>
      <c r="YM279" s="9" t="n">
        <v>0</v>
      </c>
      <c r="YO279" s="9" t="n">
        <v>0</v>
      </c>
      <c r="YP279" s="9" t="n">
        <v>-218</v>
      </c>
      <c r="YT279" s="10" t="n">
        <v>46260</v>
      </c>
      <c r="YV279" s="9" t="n">
        <v>0</v>
      </c>
      <c r="YX279" s="9" t="n">
        <v>0</v>
      </c>
      <c r="YY279" s="9" t="n">
        <v>0</v>
      </c>
      <c r="ZC279" s="10" t="n">
        <v>46260</v>
      </c>
      <c r="ZE279" s="9" t="n">
        <v>0</v>
      </c>
      <c r="ZG279" s="9" t="n">
        <v>0</v>
      </c>
      <c r="ZH279" s="9" t="n">
        <v>0</v>
      </c>
      <c r="ZL279" s="10" t="n">
        <v>46260</v>
      </c>
      <c r="ZN279" s="9" t="n">
        <v>0</v>
      </c>
      <c r="ZP279" s="9" t="n">
        <v>0</v>
      </c>
      <c r="ZQ279" s="9" t="n">
        <v>0</v>
      </c>
      <c r="ZU279" s="10" t="n">
        <v>46260</v>
      </c>
      <c r="ZW279" s="9" t="n">
        <v>0</v>
      </c>
      <c r="ZY279" s="9" t="n">
        <v>0</v>
      </c>
      <c r="ZZ279" s="9" t="n">
        <v>0</v>
      </c>
      <c r="AAD279" s="10" t="n">
        <v>46260</v>
      </c>
      <c r="AAF279" s="9" t="n">
        <v>0</v>
      </c>
      <c r="AAH279" s="9" t="n">
        <v>0</v>
      </c>
      <c r="AAI279" s="9" t="n">
        <v>0</v>
      </c>
      <c r="AAM279" s="10" t="n">
        <v>46260</v>
      </c>
      <c r="AAO279" s="9" t="n">
        <v>0</v>
      </c>
      <c r="AAQ279" s="9" t="n">
        <v>0</v>
      </c>
      <c r="AAR279" s="9" t="n">
        <v>0</v>
      </c>
      <c r="AAV279" s="10" t="n">
        <v>46260</v>
      </c>
      <c r="AAX279" s="9" t="n">
        <v>0</v>
      </c>
      <c r="AAZ279" s="9" t="n">
        <v>0</v>
      </c>
      <c r="ABA279" s="9" t="n">
        <v>0</v>
      </c>
      <c r="ABE279" s="10" t="n">
        <v>46260</v>
      </c>
      <c r="ABG279" s="9" t="n">
        <v>0</v>
      </c>
      <c r="ABI279" s="9" t="n">
        <v>0</v>
      </c>
      <c r="ABJ279" s="9" t="n">
        <v>0</v>
      </c>
    </row>
    <row r="280">
      <c r="C280" s="10" t="n">
        <v>46261</v>
      </c>
      <c r="E280" s="9" t="n">
        <v>0</v>
      </c>
      <c r="G280" s="9" t="n">
        <v>0</v>
      </c>
      <c r="H280" s="9" t="n">
        <v>236936.6</v>
      </c>
      <c r="L280" s="10" t="n">
        <v>46261</v>
      </c>
      <c r="N280" s="9" t="n">
        <v>0</v>
      </c>
      <c r="P280" s="9" t="n">
        <v>0</v>
      </c>
      <c r="Q280" s="9" t="n">
        <v>53017.60000000007</v>
      </c>
      <c r="U280" s="10" t="n">
        <v>46261</v>
      </c>
      <c r="W280" s="9" t="n">
        <v>0</v>
      </c>
      <c r="Y280" s="9" t="n">
        <v>0</v>
      </c>
      <c r="Z280" s="9" t="n">
        <v>42674.19999999997</v>
      </c>
      <c r="AD280" s="10" t="n">
        <v>46261</v>
      </c>
      <c r="AF280" s="9" t="n">
        <v>0</v>
      </c>
      <c r="AH280" s="9" t="n">
        <v>0</v>
      </c>
      <c r="AI280" s="9" t="n">
        <v>4522.200000000019</v>
      </c>
      <c r="AM280" s="10" t="n">
        <v>46261</v>
      </c>
      <c r="AO280" s="9" t="n">
        <v>0</v>
      </c>
      <c r="AQ280" s="9" t="n">
        <v>0</v>
      </c>
      <c r="AR280" s="9" t="n">
        <v>0</v>
      </c>
      <c r="AV280" s="10" t="n">
        <v>46261</v>
      </c>
      <c r="AX280" s="9" t="n">
        <v>0</v>
      </c>
      <c r="AZ280" s="9" t="n">
        <v>0</v>
      </c>
      <c r="BA280" s="9" t="n">
        <v>124.9999999999952</v>
      </c>
      <c r="BE280" s="10" t="n">
        <v>46261</v>
      </c>
      <c r="BG280" s="9" t="n">
        <v>0</v>
      </c>
      <c r="BI280" s="9" t="n">
        <v>0</v>
      </c>
      <c r="BJ280" s="9" t="n">
        <v>26151.9</v>
      </c>
      <c r="BN280" s="10" t="n">
        <v>46261</v>
      </c>
      <c r="BP280" s="9" t="n">
        <v>0</v>
      </c>
      <c r="BR280" s="9" t="n">
        <v>0</v>
      </c>
      <c r="BS280" s="9" t="n">
        <v>0</v>
      </c>
      <c r="BW280" s="10" t="n">
        <v>46261</v>
      </c>
      <c r="BY280" s="9" t="n">
        <v>0</v>
      </c>
      <c r="CA280" s="9" t="n">
        <v>0</v>
      </c>
      <c r="CB280" s="9" t="n">
        <v>2097.339999999999</v>
      </c>
      <c r="CF280" s="10" t="n">
        <v>46261</v>
      </c>
      <c r="CH280" s="9" t="n">
        <v>0</v>
      </c>
      <c r="CJ280" s="9" t="n">
        <v>0</v>
      </c>
      <c r="CK280" s="9" t="n">
        <v>-10277.08</v>
      </c>
      <c r="CO280" s="10" t="n">
        <v>46261</v>
      </c>
      <c r="CQ280" s="9" t="n">
        <v>0</v>
      </c>
      <c r="CS280" s="9" t="n">
        <v>0</v>
      </c>
      <c r="CT280" s="9" t="n">
        <v>0</v>
      </c>
      <c r="CX280" s="10" t="n">
        <v>46261</v>
      </c>
      <c r="CZ280" s="9" t="n">
        <v>0</v>
      </c>
      <c r="DB280" s="9" t="n">
        <v>0</v>
      </c>
      <c r="DC280" s="9" t="n">
        <v>27438.20000000001</v>
      </c>
      <c r="DG280" s="10" t="n">
        <v>46261</v>
      </c>
      <c r="DI280" s="9" t="n">
        <v>0</v>
      </c>
      <c r="DK280" s="9" t="n">
        <v>0</v>
      </c>
      <c r="DL280" s="9" t="n">
        <v>18782.29999999998</v>
      </c>
      <c r="DP280" s="10" t="n">
        <v>46261</v>
      </c>
      <c r="DR280" s="9" t="n">
        <v>0</v>
      </c>
      <c r="DT280" s="9" t="n">
        <v>0</v>
      </c>
      <c r="DU280" s="9" t="n">
        <v>5800</v>
      </c>
      <c r="DY280" s="10" t="n">
        <v>46261</v>
      </c>
      <c r="EA280" s="9" t="n">
        <v>0</v>
      </c>
      <c r="EC280" s="9" t="n">
        <v>0</v>
      </c>
      <c r="ED280" s="9" t="n">
        <v>0</v>
      </c>
      <c r="EH280" s="10" t="n">
        <v>46261</v>
      </c>
      <c r="EJ280" s="9" t="n">
        <v>0</v>
      </c>
      <c r="EL280" s="9" t="n">
        <v>0</v>
      </c>
      <c r="EM280" s="9" t="n">
        <v>0</v>
      </c>
      <c r="EQ280" s="10" t="n">
        <v>46261</v>
      </c>
      <c r="ES280" s="9" t="n">
        <v>0</v>
      </c>
      <c r="EU280" s="9" t="n">
        <v>0</v>
      </c>
      <c r="EV280" s="9" t="n">
        <v>0</v>
      </c>
      <c r="EZ280" s="10" t="n">
        <v>46261</v>
      </c>
      <c r="FB280" s="9" t="n">
        <v>0</v>
      </c>
      <c r="FD280" s="9" t="n">
        <v>0</v>
      </c>
      <c r="FE280" s="9" t="n">
        <v>0</v>
      </c>
      <c r="FI280" s="10" t="n">
        <v>46261</v>
      </c>
      <c r="FK280" s="9" t="n">
        <v>0</v>
      </c>
      <c r="FM280" s="9" t="n">
        <v>0</v>
      </c>
      <c r="FN280" s="9" t="n">
        <v>0</v>
      </c>
      <c r="FR280" s="10" t="n">
        <v>46261</v>
      </c>
      <c r="FT280" s="9" t="n">
        <v>0</v>
      </c>
      <c r="FV280" s="9" t="n">
        <v>0</v>
      </c>
      <c r="FW280" s="9" t="n">
        <v>2020</v>
      </c>
      <c r="GA280" s="10" t="n">
        <v>46261</v>
      </c>
      <c r="GC280" s="9" t="n">
        <v>0</v>
      </c>
      <c r="GE280" s="9" t="n">
        <v>0</v>
      </c>
      <c r="GF280" s="9" t="n">
        <v>960</v>
      </c>
      <c r="GJ280" s="10" t="n">
        <v>46261</v>
      </c>
      <c r="GL280" s="9" t="n">
        <v>0</v>
      </c>
      <c r="GN280" s="9" t="n">
        <v>0</v>
      </c>
      <c r="GO280" s="9" t="n">
        <v>1760</v>
      </c>
      <c r="GS280" s="10" t="n">
        <v>46261</v>
      </c>
      <c r="GU280" s="9" t="n">
        <v>0</v>
      </c>
      <c r="GW280" s="9" t="n">
        <v>0</v>
      </c>
      <c r="GX280" s="9" t="n">
        <v>400</v>
      </c>
      <c r="HB280" s="10" t="n">
        <v>46261</v>
      </c>
      <c r="HD280" s="9" t="n">
        <v>0</v>
      </c>
      <c r="HF280" s="9" t="n">
        <v>0</v>
      </c>
      <c r="HG280" s="9" t="n">
        <v>3600</v>
      </c>
      <c r="HK280" s="10" t="n">
        <v>46261</v>
      </c>
      <c r="HM280" s="9" t="n">
        <v>0</v>
      </c>
      <c r="HO280" s="9" t="n">
        <v>0</v>
      </c>
      <c r="HP280" s="9" t="n">
        <v>0</v>
      </c>
      <c r="HU280" s="10" t="n">
        <v>46261</v>
      </c>
      <c r="HW280" s="9" t="n">
        <v>0</v>
      </c>
      <c r="HY280" s="9" t="n">
        <v>0</v>
      </c>
      <c r="HZ280" s="9" t="n">
        <v>6120</v>
      </c>
      <c r="ID280" s="10" t="n">
        <v>46261</v>
      </c>
      <c r="IF280" s="9" t="n">
        <v>0</v>
      </c>
      <c r="IH280" s="9" t="n">
        <v>0</v>
      </c>
      <c r="II280" s="9" t="n">
        <v>0</v>
      </c>
      <c r="IM280" s="10" t="n">
        <v>46261</v>
      </c>
      <c r="IO280" s="9" t="n">
        <v>0</v>
      </c>
      <c r="IQ280" s="9" t="n">
        <v>0</v>
      </c>
      <c r="IR280" s="9" t="n">
        <v>0</v>
      </c>
      <c r="IV280" s="10" t="n">
        <v>46261</v>
      </c>
      <c r="IX280" s="9" t="n">
        <v>0</v>
      </c>
      <c r="IZ280" s="9" t="n">
        <v>0</v>
      </c>
      <c r="JA280" s="9" t="n">
        <v>2820</v>
      </c>
      <c r="JE280" s="10" t="n">
        <v>46261</v>
      </c>
      <c r="JG280" s="9" t="n">
        <v>0</v>
      </c>
      <c r="JI280" s="9" t="n">
        <v>0</v>
      </c>
      <c r="JJ280" s="9" t="n">
        <v>0</v>
      </c>
      <c r="JN280" s="10" t="n">
        <v>46261</v>
      </c>
      <c r="JP280" s="9" t="n">
        <v>0</v>
      </c>
      <c r="JR280" s="9" t="n">
        <v>0</v>
      </c>
      <c r="JS280" s="9" t="n">
        <v>0</v>
      </c>
      <c r="JW280" s="10" t="n">
        <v>46261</v>
      </c>
      <c r="JY280" s="9" t="n">
        <v>0</v>
      </c>
      <c r="KA280" s="9" t="n">
        <v>0</v>
      </c>
      <c r="KB280" s="9" t="n">
        <v>2540</v>
      </c>
      <c r="KF280" s="10" t="n">
        <v>46261</v>
      </c>
      <c r="KH280" s="9" t="n">
        <v>0</v>
      </c>
      <c r="KJ280" s="9" t="n">
        <v>0</v>
      </c>
      <c r="KK280" s="9" t="n">
        <v>2359.5</v>
      </c>
      <c r="KO280" s="10" t="n">
        <v>46261</v>
      </c>
      <c r="KQ280" s="9" t="n">
        <v>0</v>
      </c>
      <c r="KS280" s="9" t="n">
        <v>0</v>
      </c>
      <c r="KT280" s="9" t="n">
        <v>1890</v>
      </c>
      <c r="KX280" s="10" t="n">
        <v>46261</v>
      </c>
      <c r="KZ280" s="9" t="n">
        <v>0</v>
      </c>
      <c r="LB280" s="9" t="n">
        <v>0</v>
      </c>
      <c r="LC280" s="9" t="n">
        <v>3690</v>
      </c>
      <c r="LG280" s="10" t="n">
        <v>46261</v>
      </c>
      <c r="LI280" s="9" t="n">
        <v>0</v>
      </c>
      <c r="LK280" s="9" t="n">
        <v>0</v>
      </c>
      <c r="LL280" s="9" t="n">
        <v>4000</v>
      </c>
      <c r="LP280" s="10" t="n">
        <v>46261</v>
      </c>
      <c r="LR280" s="9" t="n">
        <v>0</v>
      </c>
      <c r="LT280" s="9" t="n">
        <v>0</v>
      </c>
      <c r="LU280" s="9" t="n">
        <v>0</v>
      </c>
      <c r="LY280" s="10" t="n">
        <v>46261</v>
      </c>
      <c r="MA280" s="9" t="n">
        <v>0</v>
      </c>
      <c r="MC280" s="9" t="n">
        <v>0</v>
      </c>
      <c r="MD280" s="9" t="n">
        <v>0</v>
      </c>
      <c r="MH280" s="10" t="n">
        <v>46261</v>
      </c>
      <c r="MJ280" s="9" t="n">
        <v>0</v>
      </c>
      <c r="ML280" s="9" t="n">
        <v>0</v>
      </c>
      <c r="MM280" s="9" t="n">
        <v>0</v>
      </c>
      <c r="MQ280" s="10" t="n">
        <v>46261</v>
      </c>
      <c r="MS280" s="9" t="n">
        <v>0</v>
      </c>
      <c r="MU280" s="9" t="n">
        <v>0</v>
      </c>
      <c r="MV280" s="9" t="n">
        <v>1625</v>
      </c>
      <c r="MZ280" s="10" t="n">
        <v>46261</v>
      </c>
      <c r="NB280" s="9" t="n">
        <v>0</v>
      </c>
      <c r="ND280" s="9" t="n">
        <v>0</v>
      </c>
      <c r="NE280" s="9" t="n">
        <v>0</v>
      </c>
      <c r="NI280" s="10" t="n">
        <v>46261</v>
      </c>
      <c r="NK280" s="9" t="n">
        <v>0</v>
      </c>
      <c r="NM280" s="9" t="n">
        <v>0</v>
      </c>
      <c r="NN280" s="9" t="n">
        <v>1127</v>
      </c>
      <c r="NR280" s="10" t="n">
        <v>46261</v>
      </c>
      <c r="NT280" s="9" t="n">
        <v>0</v>
      </c>
      <c r="NV280" s="9" t="n">
        <v>0</v>
      </c>
      <c r="NW280" s="9" t="n">
        <v>3112</v>
      </c>
      <c r="OA280" s="10" t="n">
        <v>46261</v>
      </c>
      <c r="OC280" s="9" t="n">
        <v>0</v>
      </c>
      <c r="OE280" s="9" t="n">
        <v>0</v>
      </c>
      <c r="OF280" s="9" t="n">
        <v>1680.5</v>
      </c>
      <c r="OJ280" s="10" t="n">
        <v>46261</v>
      </c>
      <c r="OL280" s="9" t="n">
        <v>0</v>
      </c>
      <c r="ON280" s="9" t="n">
        <v>0</v>
      </c>
      <c r="OO280" s="9" t="n">
        <v>0</v>
      </c>
      <c r="OS280" s="10" t="n">
        <v>46261</v>
      </c>
      <c r="OU280" s="9" t="n">
        <v>0</v>
      </c>
      <c r="OW280" s="9" t="n">
        <v>0</v>
      </c>
      <c r="OX280" s="9" t="n">
        <v>1482</v>
      </c>
      <c r="PB280" s="10" t="n">
        <v>46261</v>
      </c>
      <c r="PD280" s="9" t="n">
        <v>0</v>
      </c>
      <c r="PF280" s="9" t="n">
        <v>0</v>
      </c>
      <c r="PG280" s="9" t="n">
        <v>0</v>
      </c>
      <c r="PK280" s="10" t="n">
        <v>46261</v>
      </c>
      <c r="PM280" s="9" t="n">
        <v>0</v>
      </c>
      <c r="PO280" s="9" t="n">
        <v>0</v>
      </c>
      <c r="PP280" s="9" t="n">
        <v>100</v>
      </c>
      <c r="PT280" s="10" t="n">
        <v>46261</v>
      </c>
      <c r="PV280" s="9" t="n">
        <v>0</v>
      </c>
      <c r="PX280" s="9" t="n">
        <v>0</v>
      </c>
      <c r="PY280" s="9" t="n">
        <v>13.96000000000004</v>
      </c>
      <c r="QC280" s="10" t="n">
        <v>46261</v>
      </c>
      <c r="QE280" s="9" t="n">
        <v>0</v>
      </c>
      <c r="QG280" s="9" t="n">
        <v>0</v>
      </c>
      <c r="QH280" s="9" t="n">
        <v>548</v>
      </c>
      <c r="QL280" s="10" t="n">
        <v>46261</v>
      </c>
      <c r="QN280" s="9" t="n">
        <v>0</v>
      </c>
      <c r="QP280" s="9" t="n">
        <v>0</v>
      </c>
      <c r="QQ280" s="9" t="n">
        <v>0</v>
      </c>
      <c r="QU280" s="10" t="n">
        <v>46261</v>
      </c>
      <c r="QW280" s="9" t="n">
        <v>0</v>
      </c>
      <c r="QY280" s="9" t="n">
        <v>0</v>
      </c>
      <c r="QZ280" s="9" t="n">
        <v>0</v>
      </c>
      <c r="RD280" s="10" t="n">
        <v>46261</v>
      </c>
      <c r="RF280" s="9" t="n">
        <v>0</v>
      </c>
      <c r="RH280" s="9" t="n">
        <v>0</v>
      </c>
      <c r="RI280" s="9" t="n">
        <v>147.04</v>
      </c>
      <c r="RM280" s="10" t="n">
        <v>46261</v>
      </c>
      <c r="RO280" s="9" t="n">
        <v>0</v>
      </c>
      <c r="RQ280" s="9" t="n">
        <v>0</v>
      </c>
      <c r="RR280" s="9" t="n">
        <v>46.8</v>
      </c>
      <c r="RV280" s="10" t="n">
        <v>46261</v>
      </c>
      <c r="RX280" s="9" t="n">
        <v>0</v>
      </c>
      <c r="RZ280" s="9" t="n">
        <v>0</v>
      </c>
      <c r="SA280" s="9" t="n">
        <v>0</v>
      </c>
      <c r="SE280" s="10" t="n">
        <v>46261</v>
      </c>
      <c r="SG280" s="9" t="n">
        <v>0</v>
      </c>
      <c r="SI280" s="9" t="n">
        <v>0</v>
      </c>
      <c r="SJ280" s="9" t="n">
        <v>24.2</v>
      </c>
      <c r="SN280" s="10" t="n">
        <v>46261</v>
      </c>
      <c r="SP280" s="9" t="n">
        <v>0</v>
      </c>
      <c r="SR280" s="9" t="n">
        <v>0</v>
      </c>
      <c r="SS280" s="9" t="n">
        <v>32</v>
      </c>
      <c r="SW280" s="10" t="n">
        <v>46261</v>
      </c>
      <c r="SY280" s="9" t="n">
        <v>0</v>
      </c>
      <c r="TA280" s="9" t="n">
        <v>0</v>
      </c>
      <c r="TB280" s="9" t="n">
        <v>0</v>
      </c>
      <c r="TF280" s="10" t="n">
        <v>46261</v>
      </c>
      <c r="TH280" s="9" t="n">
        <v>0</v>
      </c>
      <c r="TJ280" s="9" t="n">
        <v>0</v>
      </c>
      <c r="TK280" s="9" t="n">
        <v>0</v>
      </c>
      <c r="TO280" s="10" t="n">
        <v>46261</v>
      </c>
      <c r="TQ280" s="9" t="n">
        <v>0</v>
      </c>
      <c r="TS280" s="9" t="n">
        <v>0</v>
      </c>
      <c r="TT280" s="9" t="n">
        <v>0</v>
      </c>
      <c r="TX280" s="10" t="n">
        <v>46261</v>
      </c>
      <c r="TZ280" s="9" t="n">
        <v>0</v>
      </c>
      <c r="UB280" s="9" t="n">
        <v>0</v>
      </c>
      <c r="UC280" s="9" t="n">
        <v>46.79999999999998</v>
      </c>
      <c r="UG280" s="10" t="n">
        <v>46261</v>
      </c>
      <c r="UI280" s="9" t="n">
        <v>0</v>
      </c>
      <c r="UK280" s="9" t="n">
        <v>0</v>
      </c>
      <c r="UL280" s="9" t="n">
        <v>204</v>
      </c>
      <c r="UP280" s="10" t="n">
        <v>46261</v>
      </c>
      <c r="UR280" s="9" t="n">
        <v>0</v>
      </c>
      <c r="UT280" s="9" t="n">
        <v>0</v>
      </c>
      <c r="UU280" s="9" t="n">
        <v>202.5</v>
      </c>
      <c r="UY280" s="10" t="n">
        <v>46261</v>
      </c>
      <c r="VA280" s="9" t="n">
        <v>0</v>
      </c>
      <c r="VC280" s="9" t="n">
        <v>0</v>
      </c>
      <c r="VD280" s="9" t="n">
        <v>41.60000000000002</v>
      </c>
      <c r="VH280" s="10" t="n">
        <v>46261</v>
      </c>
      <c r="VJ280" s="9" t="n">
        <v>0</v>
      </c>
      <c r="VL280" s="9" t="n">
        <v>0</v>
      </c>
      <c r="VM280" s="9" t="n">
        <v>210</v>
      </c>
      <c r="VQ280" s="10" t="n">
        <v>46261</v>
      </c>
      <c r="VS280" s="9" t="n">
        <v>0</v>
      </c>
      <c r="VU280" s="9" t="n">
        <v>0</v>
      </c>
      <c r="VV280" s="9" t="n">
        <v>0</v>
      </c>
      <c r="VZ280" s="10" t="n">
        <v>46261</v>
      </c>
      <c r="WB280" s="9" t="n">
        <v>0</v>
      </c>
      <c r="WD280" s="9" t="n">
        <v>0</v>
      </c>
      <c r="WE280" s="9" t="n">
        <v>0</v>
      </c>
      <c r="WI280" s="10" t="n">
        <v>46261</v>
      </c>
      <c r="WK280" s="9" t="n">
        <v>0</v>
      </c>
      <c r="WM280" s="9" t="n">
        <v>0</v>
      </c>
      <c r="WN280" s="9" t="n">
        <v>1057</v>
      </c>
      <c r="WR280" s="10" t="n">
        <v>46261</v>
      </c>
      <c r="WT280" s="9" t="n">
        <v>0</v>
      </c>
      <c r="WV280" s="9" t="n">
        <v>0</v>
      </c>
      <c r="WW280" s="9" t="n">
        <v>0</v>
      </c>
      <c r="XA280" s="10" t="n">
        <v>46261</v>
      </c>
      <c r="XC280" s="9" t="n">
        <v>0</v>
      </c>
      <c r="XE280" s="9" t="n">
        <v>0</v>
      </c>
      <c r="XF280" s="9" t="n">
        <v>7507</v>
      </c>
      <c r="XJ280" s="10" t="n">
        <v>46261</v>
      </c>
      <c r="XL280" s="9" t="n">
        <v>0</v>
      </c>
      <c r="XN280" s="9" t="n">
        <v>0</v>
      </c>
      <c r="XO280" s="9" t="n">
        <v>4252</v>
      </c>
      <c r="XS280" s="10" t="n">
        <v>46261</v>
      </c>
      <c r="XU280" s="9" t="n">
        <v>0</v>
      </c>
      <c r="XW280" s="9" t="n">
        <v>0</v>
      </c>
      <c r="XX280" s="9" t="n">
        <v>2179</v>
      </c>
      <c r="YB280" s="10" t="n">
        <v>46261</v>
      </c>
      <c r="YD280" s="9" t="n">
        <v>0</v>
      </c>
      <c r="YF280" s="9" t="n">
        <v>0</v>
      </c>
      <c r="YG280" s="9" t="n">
        <v>4019</v>
      </c>
      <c r="YK280" s="10" t="n">
        <v>46261</v>
      </c>
      <c r="YM280" s="9" t="n">
        <v>0</v>
      </c>
      <c r="YO280" s="9" t="n">
        <v>0</v>
      </c>
      <c r="YP280" s="9" t="n">
        <v>-218</v>
      </c>
      <c r="YT280" s="10" t="n">
        <v>46261</v>
      </c>
      <c r="YV280" s="9" t="n">
        <v>0</v>
      </c>
      <c r="YX280" s="9" t="n">
        <v>0</v>
      </c>
      <c r="YY280" s="9" t="n">
        <v>0</v>
      </c>
      <c r="ZC280" s="10" t="n">
        <v>46261</v>
      </c>
      <c r="ZE280" s="9" t="n">
        <v>0</v>
      </c>
      <c r="ZG280" s="9" t="n">
        <v>0</v>
      </c>
      <c r="ZH280" s="9" t="n">
        <v>0</v>
      </c>
      <c r="ZL280" s="10" t="n">
        <v>46261</v>
      </c>
      <c r="ZN280" s="9" t="n">
        <v>0</v>
      </c>
      <c r="ZP280" s="9" t="n">
        <v>0</v>
      </c>
      <c r="ZQ280" s="9" t="n">
        <v>0</v>
      </c>
      <c r="ZU280" s="10" t="n">
        <v>46261</v>
      </c>
      <c r="ZW280" s="9" t="n">
        <v>0</v>
      </c>
      <c r="ZY280" s="9" t="n">
        <v>0</v>
      </c>
      <c r="ZZ280" s="9" t="n">
        <v>0</v>
      </c>
      <c r="AAD280" s="10" t="n">
        <v>46261</v>
      </c>
      <c r="AAF280" s="9" t="n">
        <v>0</v>
      </c>
      <c r="AAH280" s="9" t="n">
        <v>0</v>
      </c>
      <c r="AAI280" s="9" t="n">
        <v>0</v>
      </c>
      <c r="AAM280" s="10" t="n">
        <v>46261</v>
      </c>
      <c r="AAO280" s="9" t="n">
        <v>0</v>
      </c>
      <c r="AAQ280" s="9" t="n">
        <v>0</v>
      </c>
      <c r="AAR280" s="9" t="n">
        <v>0</v>
      </c>
      <c r="AAV280" s="10" t="n">
        <v>46261</v>
      </c>
      <c r="AAX280" s="9" t="n">
        <v>0</v>
      </c>
      <c r="AAZ280" s="9" t="n">
        <v>0</v>
      </c>
      <c r="ABA280" s="9" t="n">
        <v>0</v>
      </c>
      <c r="ABE280" s="10" t="n">
        <v>46261</v>
      </c>
      <c r="ABG280" s="9" t="n">
        <v>0</v>
      </c>
      <c r="ABI280" s="9" t="n">
        <v>0</v>
      </c>
      <c r="ABJ280" s="9" t="n">
        <v>0</v>
      </c>
    </row>
    <row r="281">
      <c r="C281" s="10" t="n">
        <v>46262</v>
      </c>
      <c r="E281" s="9" t="n">
        <v>0</v>
      </c>
      <c r="G281" s="9" t="n">
        <v>0</v>
      </c>
      <c r="H281" s="9" t="n">
        <v>236936.6</v>
      </c>
      <c r="L281" s="10" t="n">
        <v>46262</v>
      </c>
      <c r="N281" s="9" t="n">
        <v>0</v>
      </c>
      <c r="P281" s="9" t="n">
        <v>0</v>
      </c>
      <c r="Q281" s="9" t="n">
        <v>53017.60000000007</v>
      </c>
      <c r="U281" s="10" t="n">
        <v>46262</v>
      </c>
      <c r="W281" s="9" t="n">
        <v>0</v>
      </c>
      <c r="Y281" s="9" t="n">
        <v>0</v>
      </c>
      <c r="Z281" s="9" t="n">
        <v>42674.19999999997</v>
      </c>
      <c r="AD281" s="10" t="n">
        <v>46262</v>
      </c>
      <c r="AF281" s="9" t="n">
        <v>0</v>
      </c>
      <c r="AH281" s="9" t="n">
        <v>0</v>
      </c>
      <c r="AI281" s="9" t="n">
        <v>4522.200000000019</v>
      </c>
      <c r="AM281" s="10" t="n">
        <v>46262</v>
      </c>
      <c r="AO281" s="9" t="n">
        <v>0</v>
      </c>
      <c r="AQ281" s="9" t="n">
        <v>0</v>
      </c>
      <c r="AR281" s="9" t="n">
        <v>0</v>
      </c>
      <c r="AV281" s="10" t="n">
        <v>46262</v>
      </c>
      <c r="AX281" s="9" t="n">
        <v>0</v>
      </c>
      <c r="AZ281" s="9" t="n">
        <v>0</v>
      </c>
      <c r="BA281" s="9" t="n">
        <v>124.9999999999952</v>
      </c>
      <c r="BE281" s="10" t="n">
        <v>46262</v>
      </c>
      <c r="BG281" s="9" t="n">
        <v>0</v>
      </c>
      <c r="BI281" s="9" t="n">
        <v>0</v>
      </c>
      <c r="BJ281" s="9" t="n">
        <v>26151.9</v>
      </c>
      <c r="BN281" s="10" t="n">
        <v>46262</v>
      </c>
      <c r="BP281" s="9" t="n">
        <v>0</v>
      </c>
      <c r="BR281" s="9" t="n">
        <v>0</v>
      </c>
      <c r="BS281" s="9" t="n">
        <v>0</v>
      </c>
      <c r="BW281" s="10" t="n">
        <v>46262</v>
      </c>
      <c r="BY281" s="9" t="n">
        <v>0</v>
      </c>
      <c r="CA281" s="9" t="n">
        <v>0</v>
      </c>
      <c r="CB281" s="9" t="n">
        <v>2097.339999999999</v>
      </c>
      <c r="CF281" s="10" t="n">
        <v>46262</v>
      </c>
      <c r="CH281" s="9" t="n">
        <v>0</v>
      </c>
      <c r="CJ281" s="9" t="n">
        <v>0</v>
      </c>
      <c r="CK281" s="9" t="n">
        <v>-10277.08</v>
      </c>
      <c r="CO281" s="10" t="n">
        <v>46262</v>
      </c>
      <c r="CQ281" s="9" t="n">
        <v>0</v>
      </c>
      <c r="CS281" s="9" t="n">
        <v>0</v>
      </c>
      <c r="CT281" s="9" t="n">
        <v>0</v>
      </c>
      <c r="CX281" s="10" t="n">
        <v>46262</v>
      </c>
      <c r="CZ281" s="9" t="n">
        <v>0</v>
      </c>
      <c r="DB281" s="9" t="n">
        <v>0</v>
      </c>
      <c r="DC281" s="9" t="n">
        <v>27438.20000000001</v>
      </c>
      <c r="DG281" s="10" t="n">
        <v>46262</v>
      </c>
      <c r="DI281" s="9" t="n">
        <v>0</v>
      </c>
      <c r="DK281" s="9" t="n">
        <v>0</v>
      </c>
      <c r="DL281" s="9" t="n">
        <v>18782.29999999998</v>
      </c>
      <c r="DP281" s="10" t="n">
        <v>46262</v>
      </c>
      <c r="DR281" s="9" t="n">
        <v>0</v>
      </c>
      <c r="DT281" s="9" t="n">
        <v>0</v>
      </c>
      <c r="DU281" s="9" t="n">
        <v>5800</v>
      </c>
      <c r="DY281" s="10" t="n">
        <v>46262</v>
      </c>
      <c r="EA281" s="9" t="n">
        <v>0</v>
      </c>
      <c r="EC281" s="9" t="n">
        <v>0</v>
      </c>
      <c r="ED281" s="9" t="n">
        <v>0</v>
      </c>
      <c r="EH281" s="10" t="n">
        <v>46262</v>
      </c>
      <c r="EJ281" s="9" t="n">
        <v>0</v>
      </c>
      <c r="EL281" s="9" t="n">
        <v>0</v>
      </c>
      <c r="EM281" s="9" t="n">
        <v>0</v>
      </c>
      <c r="EQ281" s="10" t="n">
        <v>46262</v>
      </c>
      <c r="ES281" s="9" t="n">
        <v>0</v>
      </c>
      <c r="EU281" s="9" t="n">
        <v>0</v>
      </c>
      <c r="EV281" s="9" t="n">
        <v>0</v>
      </c>
      <c r="EZ281" s="10" t="n">
        <v>46262</v>
      </c>
      <c r="FB281" s="9" t="n">
        <v>0</v>
      </c>
      <c r="FD281" s="9" t="n">
        <v>0</v>
      </c>
      <c r="FE281" s="9" t="n">
        <v>0</v>
      </c>
      <c r="FI281" s="10" t="n">
        <v>46262</v>
      </c>
      <c r="FK281" s="9" t="n">
        <v>0</v>
      </c>
      <c r="FM281" s="9" t="n">
        <v>0</v>
      </c>
      <c r="FN281" s="9" t="n">
        <v>0</v>
      </c>
      <c r="FR281" s="10" t="n">
        <v>46262</v>
      </c>
      <c r="FT281" s="9" t="n">
        <v>0</v>
      </c>
      <c r="FV281" s="9" t="n">
        <v>0</v>
      </c>
      <c r="FW281" s="9" t="n">
        <v>2020</v>
      </c>
      <c r="GA281" s="10" t="n">
        <v>46262</v>
      </c>
      <c r="GC281" s="9" t="n">
        <v>0</v>
      </c>
      <c r="GE281" s="9" t="n">
        <v>0</v>
      </c>
      <c r="GF281" s="9" t="n">
        <v>960</v>
      </c>
      <c r="GJ281" s="10" t="n">
        <v>46262</v>
      </c>
      <c r="GL281" s="9" t="n">
        <v>0</v>
      </c>
      <c r="GN281" s="9" t="n">
        <v>0</v>
      </c>
      <c r="GO281" s="9" t="n">
        <v>1760</v>
      </c>
      <c r="GS281" s="10" t="n">
        <v>46262</v>
      </c>
      <c r="GU281" s="9" t="n">
        <v>0</v>
      </c>
      <c r="GW281" s="9" t="n">
        <v>0</v>
      </c>
      <c r="GX281" s="9" t="n">
        <v>400</v>
      </c>
      <c r="HB281" s="10" t="n">
        <v>46262</v>
      </c>
      <c r="HD281" s="9" t="n">
        <v>0</v>
      </c>
      <c r="HF281" s="9" t="n">
        <v>0</v>
      </c>
      <c r="HG281" s="9" t="n">
        <v>3600</v>
      </c>
      <c r="HK281" s="10" t="n">
        <v>46262</v>
      </c>
      <c r="HM281" s="9" t="n">
        <v>0</v>
      </c>
      <c r="HO281" s="9" t="n">
        <v>0</v>
      </c>
      <c r="HP281" s="9" t="n">
        <v>0</v>
      </c>
      <c r="HU281" s="10" t="n">
        <v>46262</v>
      </c>
      <c r="HW281" s="9" t="n">
        <v>0</v>
      </c>
      <c r="HY281" s="9" t="n">
        <v>0</v>
      </c>
      <c r="HZ281" s="9" t="n">
        <v>6120</v>
      </c>
      <c r="ID281" s="10" t="n">
        <v>46262</v>
      </c>
      <c r="IF281" s="9" t="n">
        <v>0</v>
      </c>
      <c r="IH281" s="9" t="n">
        <v>0</v>
      </c>
      <c r="II281" s="9" t="n">
        <v>0</v>
      </c>
      <c r="IM281" s="10" t="n">
        <v>46262</v>
      </c>
      <c r="IO281" s="9" t="n">
        <v>0</v>
      </c>
      <c r="IQ281" s="9" t="n">
        <v>0</v>
      </c>
      <c r="IR281" s="9" t="n">
        <v>0</v>
      </c>
      <c r="IV281" s="10" t="n">
        <v>46262</v>
      </c>
      <c r="IX281" s="9" t="n">
        <v>0</v>
      </c>
      <c r="IZ281" s="9" t="n">
        <v>0</v>
      </c>
      <c r="JA281" s="9" t="n">
        <v>2820</v>
      </c>
      <c r="JE281" s="10" t="n">
        <v>46262</v>
      </c>
      <c r="JG281" s="9" t="n">
        <v>0</v>
      </c>
      <c r="JI281" s="9" t="n">
        <v>0</v>
      </c>
      <c r="JJ281" s="9" t="n">
        <v>0</v>
      </c>
      <c r="JN281" s="10" t="n">
        <v>46262</v>
      </c>
      <c r="JP281" s="9" t="n">
        <v>0</v>
      </c>
      <c r="JR281" s="9" t="n">
        <v>0</v>
      </c>
      <c r="JS281" s="9" t="n">
        <v>0</v>
      </c>
      <c r="JW281" s="10" t="n">
        <v>46262</v>
      </c>
      <c r="JY281" s="9" t="n">
        <v>0</v>
      </c>
      <c r="KA281" s="9" t="n">
        <v>0</v>
      </c>
      <c r="KB281" s="9" t="n">
        <v>2540</v>
      </c>
      <c r="KF281" s="10" t="n">
        <v>46262</v>
      </c>
      <c r="KH281" s="9" t="n">
        <v>0</v>
      </c>
      <c r="KJ281" s="9" t="n">
        <v>0</v>
      </c>
      <c r="KK281" s="9" t="n">
        <v>2359.5</v>
      </c>
      <c r="KO281" s="10" t="n">
        <v>46262</v>
      </c>
      <c r="KQ281" s="9" t="n">
        <v>0</v>
      </c>
      <c r="KS281" s="9" t="n">
        <v>0</v>
      </c>
      <c r="KT281" s="9" t="n">
        <v>1890</v>
      </c>
      <c r="KX281" s="10" t="n">
        <v>46262</v>
      </c>
      <c r="KZ281" s="9" t="n">
        <v>0</v>
      </c>
      <c r="LB281" s="9" t="n">
        <v>0</v>
      </c>
      <c r="LC281" s="9" t="n">
        <v>3690</v>
      </c>
      <c r="LG281" s="10" t="n">
        <v>46262</v>
      </c>
      <c r="LI281" s="9" t="n">
        <v>0</v>
      </c>
      <c r="LK281" s="9" t="n">
        <v>0</v>
      </c>
      <c r="LL281" s="9" t="n">
        <v>4000</v>
      </c>
      <c r="LP281" s="10" t="n">
        <v>46262</v>
      </c>
      <c r="LR281" s="9" t="n">
        <v>0</v>
      </c>
      <c r="LT281" s="9" t="n">
        <v>0</v>
      </c>
      <c r="LU281" s="9" t="n">
        <v>0</v>
      </c>
      <c r="LY281" s="10" t="n">
        <v>46262</v>
      </c>
      <c r="MA281" s="9" t="n">
        <v>0</v>
      </c>
      <c r="MC281" s="9" t="n">
        <v>0</v>
      </c>
      <c r="MD281" s="9" t="n">
        <v>0</v>
      </c>
      <c r="MH281" s="10" t="n">
        <v>46262</v>
      </c>
      <c r="MJ281" s="9" t="n">
        <v>0</v>
      </c>
      <c r="ML281" s="9" t="n">
        <v>0</v>
      </c>
      <c r="MM281" s="9" t="n">
        <v>0</v>
      </c>
      <c r="MQ281" s="10" t="n">
        <v>46262</v>
      </c>
      <c r="MS281" s="9" t="n">
        <v>0</v>
      </c>
      <c r="MU281" s="9" t="n">
        <v>0</v>
      </c>
      <c r="MV281" s="9" t="n">
        <v>1625</v>
      </c>
      <c r="MZ281" s="10" t="n">
        <v>46262</v>
      </c>
      <c r="NB281" s="9" t="n">
        <v>0</v>
      </c>
      <c r="ND281" s="9" t="n">
        <v>0</v>
      </c>
      <c r="NE281" s="9" t="n">
        <v>0</v>
      </c>
      <c r="NI281" s="10" t="n">
        <v>46262</v>
      </c>
      <c r="NK281" s="9" t="n">
        <v>0</v>
      </c>
      <c r="NM281" s="9" t="n">
        <v>0</v>
      </c>
      <c r="NN281" s="9" t="n">
        <v>1127</v>
      </c>
      <c r="NR281" s="10" t="n">
        <v>46262</v>
      </c>
      <c r="NT281" s="9" t="n">
        <v>0</v>
      </c>
      <c r="NV281" s="9" t="n">
        <v>0</v>
      </c>
      <c r="NW281" s="9" t="n">
        <v>3112</v>
      </c>
      <c r="OA281" s="10" t="n">
        <v>46262</v>
      </c>
      <c r="OC281" s="9" t="n">
        <v>0</v>
      </c>
      <c r="OE281" s="9" t="n">
        <v>0</v>
      </c>
      <c r="OF281" s="9" t="n">
        <v>1680.5</v>
      </c>
      <c r="OJ281" s="10" t="n">
        <v>46262</v>
      </c>
      <c r="OL281" s="9" t="n">
        <v>0</v>
      </c>
      <c r="ON281" s="9" t="n">
        <v>0</v>
      </c>
      <c r="OO281" s="9" t="n">
        <v>0</v>
      </c>
      <c r="OS281" s="10" t="n">
        <v>46262</v>
      </c>
      <c r="OU281" s="9" t="n">
        <v>0</v>
      </c>
      <c r="OW281" s="9" t="n">
        <v>0</v>
      </c>
      <c r="OX281" s="9" t="n">
        <v>1482</v>
      </c>
      <c r="PB281" s="10" t="n">
        <v>46262</v>
      </c>
      <c r="PD281" s="9" t="n">
        <v>0</v>
      </c>
      <c r="PF281" s="9" t="n">
        <v>0</v>
      </c>
      <c r="PG281" s="9" t="n">
        <v>0</v>
      </c>
      <c r="PK281" s="10" t="n">
        <v>46262</v>
      </c>
      <c r="PM281" s="9" t="n">
        <v>0</v>
      </c>
      <c r="PO281" s="9" t="n">
        <v>0</v>
      </c>
      <c r="PP281" s="9" t="n">
        <v>100</v>
      </c>
      <c r="PT281" s="10" t="n">
        <v>46262</v>
      </c>
      <c r="PV281" s="9" t="n">
        <v>0</v>
      </c>
      <c r="PX281" s="9" t="n">
        <v>0</v>
      </c>
      <c r="PY281" s="9" t="n">
        <v>13.96000000000004</v>
      </c>
      <c r="QC281" s="10" t="n">
        <v>46262</v>
      </c>
      <c r="QE281" s="9" t="n">
        <v>0</v>
      </c>
      <c r="QG281" s="9" t="n">
        <v>0</v>
      </c>
      <c r="QH281" s="9" t="n">
        <v>548</v>
      </c>
      <c r="QL281" s="10" t="n">
        <v>46262</v>
      </c>
      <c r="QN281" s="9" t="n">
        <v>0</v>
      </c>
      <c r="QP281" s="9" t="n">
        <v>0</v>
      </c>
      <c r="QQ281" s="9" t="n">
        <v>0</v>
      </c>
      <c r="QU281" s="10" t="n">
        <v>46262</v>
      </c>
      <c r="QW281" s="9" t="n">
        <v>0</v>
      </c>
      <c r="QY281" s="9" t="n">
        <v>0</v>
      </c>
      <c r="QZ281" s="9" t="n">
        <v>0</v>
      </c>
      <c r="RD281" s="10" t="n">
        <v>46262</v>
      </c>
      <c r="RF281" s="9" t="n">
        <v>0</v>
      </c>
      <c r="RH281" s="9" t="n">
        <v>0</v>
      </c>
      <c r="RI281" s="9" t="n">
        <v>147.04</v>
      </c>
      <c r="RM281" s="10" t="n">
        <v>46262</v>
      </c>
      <c r="RO281" s="9" t="n">
        <v>0</v>
      </c>
      <c r="RQ281" s="9" t="n">
        <v>0</v>
      </c>
      <c r="RR281" s="9" t="n">
        <v>46.8</v>
      </c>
      <c r="RV281" s="10" t="n">
        <v>46262</v>
      </c>
      <c r="RX281" s="9" t="n">
        <v>0</v>
      </c>
      <c r="RZ281" s="9" t="n">
        <v>0</v>
      </c>
      <c r="SA281" s="9" t="n">
        <v>0</v>
      </c>
      <c r="SE281" s="10" t="n">
        <v>46262</v>
      </c>
      <c r="SG281" s="9" t="n">
        <v>0</v>
      </c>
      <c r="SI281" s="9" t="n">
        <v>0</v>
      </c>
      <c r="SJ281" s="9" t="n">
        <v>24.2</v>
      </c>
      <c r="SN281" s="10" t="n">
        <v>46262</v>
      </c>
      <c r="SP281" s="9" t="n">
        <v>0</v>
      </c>
      <c r="SR281" s="9" t="n">
        <v>0</v>
      </c>
      <c r="SS281" s="9" t="n">
        <v>32</v>
      </c>
      <c r="SW281" s="10" t="n">
        <v>46262</v>
      </c>
      <c r="SY281" s="9" t="n">
        <v>0</v>
      </c>
      <c r="TA281" s="9" t="n">
        <v>0</v>
      </c>
      <c r="TB281" s="9" t="n">
        <v>0</v>
      </c>
      <c r="TF281" s="10" t="n">
        <v>46262</v>
      </c>
      <c r="TH281" s="9" t="n">
        <v>0</v>
      </c>
      <c r="TJ281" s="9" t="n">
        <v>0</v>
      </c>
      <c r="TK281" s="9" t="n">
        <v>0</v>
      </c>
      <c r="TO281" s="10" t="n">
        <v>46262</v>
      </c>
      <c r="TQ281" s="9" t="n">
        <v>0</v>
      </c>
      <c r="TS281" s="9" t="n">
        <v>0</v>
      </c>
      <c r="TT281" s="9" t="n">
        <v>0</v>
      </c>
      <c r="TX281" s="10" t="n">
        <v>46262</v>
      </c>
      <c r="TZ281" s="9" t="n">
        <v>0</v>
      </c>
      <c r="UB281" s="9" t="n">
        <v>0</v>
      </c>
      <c r="UC281" s="9" t="n">
        <v>46.79999999999998</v>
      </c>
      <c r="UG281" s="10" t="n">
        <v>46262</v>
      </c>
      <c r="UI281" s="9" t="n">
        <v>0</v>
      </c>
      <c r="UK281" s="9" t="n">
        <v>0</v>
      </c>
      <c r="UL281" s="9" t="n">
        <v>204</v>
      </c>
      <c r="UP281" s="10" t="n">
        <v>46262</v>
      </c>
      <c r="UR281" s="9" t="n">
        <v>0</v>
      </c>
      <c r="UT281" s="9" t="n">
        <v>0</v>
      </c>
      <c r="UU281" s="9" t="n">
        <v>202.5</v>
      </c>
      <c r="UY281" s="10" t="n">
        <v>46262</v>
      </c>
      <c r="VA281" s="9" t="n">
        <v>0</v>
      </c>
      <c r="VC281" s="9" t="n">
        <v>0</v>
      </c>
      <c r="VD281" s="9" t="n">
        <v>41.60000000000002</v>
      </c>
      <c r="VH281" s="10" t="n">
        <v>46262</v>
      </c>
      <c r="VJ281" s="9" t="n">
        <v>0</v>
      </c>
      <c r="VL281" s="9" t="n">
        <v>0</v>
      </c>
      <c r="VM281" s="9" t="n">
        <v>210</v>
      </c>
      <c r="VQ281" s="10" t="n">
        <v>46262</v>
      </c>
      <c r="VS281" s="9" t="n">
        <v>0</v>
      </c>
      <c r="VU281" s="9" t="n">
        <v>0</v>
      </c>
      <c r="VV281" s="9" t="n">
        <v>0</v>
      </c>
      <c r="VZ281" s="10" t="n">
        <v>46262</v>
      </c>
      <c r="WB281" s="9" t="n">
        <v>0</v>
      </c>
      <c r="WD281" s="9" t="n">
        <v>0</v>
      </c>
      <c r="WE281" s="9" t="n">
        <v>0</v>
      </c>
      <c r="WI281" s="10" t="n">
        <v>46262</v>
      </c>
      <c r="WK281" s="9" t="n">
        <v>0</v>
      </c>
      <c r="WM281" s="9" t="n">
        <v>0</v>
      </c>
      <c r="WN281" s="9" t="n">
        <v>1057</v>
      </c>
      <c r="WR281" s="10" t="n">
        <v>46262</v>
      </c>
      <c r="WT281" s="9" t="n">
        <v>0</v>
      </c>
      <c r="WV281" s="9" t="n">
        <v>0</v>
      </c>
      <c r="WW281" s="9" t="n">
        <v>0</v>
      </c>
      <c r="XA281" s="10" t="n">
        <v>46262</v>
      </c>
      <c r="XC281" s="9" t="n">
        <v>0</v>
      </c>
      <c r="XE281" s="9" t="n">
        <v>0</v>
      </c>
      <c r="XF281" s="9" t="n">
        <v>7507</v>
      </c>
      <c r="XJ281" s="10" t="n">
        <v>46262</v>
      </c>
      <c r="XL281" s="9" t="n">
        <v>0</v>
      </c>
      <c r="XN281" s="9" t="n">
        <v>0</v>
      </c>
      <c r="XO281" s="9" t="n">
        <v>4252</v>
      </c>
      <c r="XS281" s="10" t="n">
        <v>46262</v>
      </c>
      <c r="XU281" s="9" t="n">
        <v>0</v>
      </c>
      <c r="XW281" s="9" t="n">
        <v>0</v>
      </c>
      <c r="XX281" s="9" t="n">
        <v>2179</v>
      </c>
      <c r="YB281" s="10" t="n">
        <v>46262</v>
      </c>
      <c r="YD281" s="9" t="n">
        <v>0</v>
      </c>
      <c r="YF281" s="9" t="n">
        <v>0</v>
      </c>
      <c r="YG281" s="9" t="n">
        <v>4019</v>
      </c>
      <c r="YK281" s="10" t="n">
        <v>46262</v>
      </c>
      <c r="YM281" s="9" t="n">
        <v>0</v>
      </c>
      <c r="YO281" s="9" t="n">
        <v>0</v>
      </c>
      <c r="YP281" s="9" t="n">
        <v>-218</v>
      </c>
      <c r="YT281" s="10" t="n">
        <v>46262</v>
      </c>
      <c r="YV281" s="9" t="n">
        <v>0</v>
      </c>
      <c r="YX281" s="9" t="n">
        <v>0</v>
      </c>
      <c r="YY281" s="9" t="n">
        <v>0</v>
      </c>
      <c r="ZC281" s="10" t="n">
        <v>46262</v>
      </c>
      <c r="ZE281" s="9" t="n">
        <v>0</v>
      </c>
      <c r="ZG281" s="9" t="n">
        <v>0</v>
      </c>
      <c r="ZH281" s="9" t="n">
        <v>0</v>
      </c>
      <c r="ZL281" s="10" t="n">
        <v>46262</v>
      </c>
      <c r="ZN281" s="9" t="n">
        <v>0</v>
      </c>
      <c r="ZP281" s="9" t="n">
        <v>0</v>
      </c>
      <c r="ZQ281" s="9" t="n">
        <v>0</v>
      </c>
      <c r="ZU281" s="10" t="n">
        <v>46262</v>
      </c>
      <c r="ZW281" s="9" t="n">
        <v>0</v>
      </c>
      <c r="ZY281" s="9" t="n">
        <v>0</v>
      </c>
      <c r="ZZ281" s="9" t="n">
        <v>0</v>
      </c>
      <c r="AAD281" s="10" t="n">
        <v>46262</v>
      </c>
      <c r="AAF281" s="9" t="n">
        <v>0</v>
      </c>
      <c r="AAH281" s="9" t="n">
        <v>0</v>
      </c>
      <c r="AAI281" s="9" t="n">
        <v>0</v>
      </c>
      <c r="AAM281" s="10" t="n">
        <v>46262</v>
      </c>
      <c r="AAO281" s="9" t="n">
        <v>0</v>
      </c>
      <c r="AAQ281" s="9" t="n">
        <v>0</v>
      </c>
      <c r="AAR281" s="9" t="n">
        <v>0</v>
      </c>
      <c r="AAV281" s="10" t="n">
        <v>46262</v>
      </c>
      <c r="AAX281" s="9" t="n">
        <v>0</v>
      </c>
      <c r="AAZ281" s="9" t="n">
        <v>0</v>
      </c>
      <c r="ABA281" s="9" t="n">
        <v>0</v>
      </c>
      <c r="ABE281" s="10" t="n">
        <v>46262</v>
      </c>
      <c r="ABG281" s="9" t="n">
        <v>0</v>
      </c>
      <c r="ABI281" s="9" t="n">
        <v>0</v>
      </c>
      <c r="ABJ281" s="9" t="n">
        <v>0</v>
      </c>
    </row>
    <row r="282">
      <c r="C282" s="10" t="n">
        <v>46263</v>
      </c>
      <c r="E282" s="9" t="n">
        <v>0</v>
      </c>
      <c r="G282" s="9" t="n">
        <v>0</v>
      </c>
      <c r="H282" s="9" t="n">
        <v>236936.6</v>
      </c>
      <c r="L282" s="10" t="n">
        <v>46263</v>
      </c>
      <c r="N282" s="9" t="n">
        <v>0</v>
      </c>
      <c r="P282" s="9" t="n">
        <v>0</v>
      </c>
      <c r="Q282" s="9" t="n">
        <v>53017.60000000007</v>
      </c>
      <c r="U282" s="10" t="n">
        <v>46263</v>
      </c>
      <c r="W282" s="9" t="n">
        <v>0</v>
      </c>
      <c r="Y282" s="9" t="n">
        <v>0</v>
      </c>
      <c r="Z282" s="9" t="n">
        <v>42674.19999999997</v>
      </c>
      <c r="AD282" s="10" t="n">
        <v>46263</v>
      </c>
      <c r="AF282" s="9" t="n">
        <v>0</v>
      </c>
      <c r="AH282" s="9" t="n">
        <v>0</v>
      </c>
      <c r="AI282" s="9" t="n">
        <v>4522.200000000019</v>
      </c>
      <c r="AM282" s="10" t="n">
        <v>46263</v>
      </c>
      <c r="AO282" s="9" t="n">
        <v>0</v>
      </c>
      <c r="AQ282" s="9" t="n">
        <v>0</v>
      </c>
      <c r="AR282" s="9" t="n">
        <v>0</v>
      </c>
      <c r="AV282" s="10" t="n">
        <v>46263</v>
      </c>
      <c r="AX282" s="9" t="n">
        <v>0</v>
      </c>
      <c r="AZ282" s="9" t="n">
        <v>0</v>
      </c>
      <c r="BA282" s="9" t="n">
        <v>124.9999999999952</v>
      </c>
      <c r="BE282" s="10" t="n">
        <v>46263</v>
      </c>
      <c r="BG282" s="9" t="n">
        <v>0</v>
      </c>
      <c r="BI282" s="9" t="n">
        <v>0</v>
      </c>
      <c r="BJ282" s="9" t="n">
        <v>26151.9</v>
      </c>
      <c r="BN282" s="10" t="n">
        <v>46263</v>
      </c>
      <c r="BP282" s="9" t="n">
        <v>0</v>
      </c>
      <c r="BR282" s="9" t="n">
        <v>0</v>
      </c>
      <c r="BS282" s="9" t="n">
        <v>0</v>
      </c>
      <c r="BW282" s="10" t="n">
        <v>46263</v>
      </c>
      <c r="BY282" s="9" t="n">
        <v>0</v>
      </c>
      <c r="CA282" s="9" t="n">
        <v>0</v>
      </c>
      <c r="CB282" s="9" t="n">
        <v>2097.339999999999</v>
      </c>
      <c r="CF282" s="10" t="n">
        <v>46263</v>
      </c>
      <c r="CH282" s="9" t="n">
        <v>0</v>
      </c>
      <c r="CJ282" s="9" t="n">
        <v>0</v>
      </c>
      <c r="CK282" s="9" t="n">
        <v>-10277.08</v>
      </c>
      <c r="CO282" s="10" t="n">
        <v>46263</v>
      </c>
      <c r="CQ282" s="9" t="n">
        <v>0</v>
      </c>
      <c r="CS282" s="9" t="n">
        <v>0</v>
      </c>
      <c r="CT282" s="9" t="n">
        <v>0</v>
      </c>
      <c r="CX282" s="10" t="n">
        <v>46263</v>
      </c>
      <c r="CZ282" s="9" t="n">
        <v>0</v>
      </c>
      <c r="DB282" s="9" t="n">
        <v>0</v>
      </c>
      <c r="DC282" s="9" t="n">
        <v>27438.20000000001</v>
      </c>
      <c r="DG282" s="10" t="n">
        <v>46263</v>
      </c>
      <c r="DI282" s="9" t="n">
        <v>0</v>
      </c>
      <c r="DK282" s="9" t="n">
        <v>0</v>
      </c>
      <c r="DL282" s="9" t="n">
        <v>18782.29999999998</v>
      </c>
      <c r="DP282" s="10" t="n">
        <v>46263</v>
      </c>
      <c r="DR282" s="9" t="n">
        <v>0</v>
      </c>
      <c r="DT282" s="9" t="n">
        <v>0</v>
      </c>
      <c r="DU282" s="9" t="n">
        <v>5800</v>
      </c>
      <c r="DY282" s="10" t="n">
        <v>46263</v>
      </c>
      <c r="EA282" s="9" t="n">
        <v>0</v>
      </c>
      <c r="EC282" s="9" t="n">
        <v>0</v>
      </c>
      <c r="ED282" s="9" t="n">
        <v>0</v>
      </c>
      <c r="EH282" s="10" t="n">
        <v>46263</v>
      </c>
      <c r="EJ282" s="9" t="n">
        <v>0</v>
      </c>
      <c r="EL282" s="9" t="n">
        <v>0</v>
      </c>
      <c r="EM282" s="9" t="n">
        <v>0</v>
      </c>
      <c r="EQ282" s="10" t="n">
        <v>46263</v>
      </c>
      <c r="ES282" s="9" t="n">
        <v>0</v>
      </c>
      <c r="EU282" s="9" t="n">
        <v>0</v>
      </c>
      <c r="EV282" s="9" t="n">
        <v>0</v>
      </c>
      <c r="EZ282" s="10" t="n">
        <v>46263</v>
      </c>
      <c r="FB282" s="9" t="n">
        <v>0</v>
      </c>
      <c r="FD282" s="9" t="n">
        <v>0</v>
      </c>
      <c r="FE282" s="9" t="n">
        <v>0</v>
      </c>
      <c r="FI282" s="10" t="n">
        <v>46263</v>
      </c>
      <c r="FK282" s="9" t="n">
        <v>0</v>
      </c>
      <c r="FM282" s="9" t="n">
        <v>0</v>
      </c>
      <c r="FN282" s="9" t="n">
        <v>0</v>
      </c>
      <c r="FR282" s="10" t="n">
        <v>46263</v>
      </c>
      <c r="FT282" s="9" t="n">
        <v>0</v>
      </c>
      <c r="FV282" s="9" t="n">
        <v>0</v>
      </c>
      <c r="FW282" s="9" t="n">
        <v>2020</v>
      </c>
      <c r="GA282" s="10" t="n">
        <v>46263</v>
      </c>
      <c r="GC282" s="9" t="n">
        <v>0</v>
      </c>
      <c r="GE282" s="9" t="n">
        <v>0</v>
      </c>
      <c r="GF282" s="9" t="n">
        <v>960</v>
      </c>
      <c r="GJ282" s="10" t="n">
        <v>46263</v>
      </c>
      <c r="GL282" s="9" t="n">
        <v>0</v>
      </c>
      <c r="GN282" s="9" t="n">
        <v>0</v>
      </c>
      <c r="GO282" s="9" t="n">
        <v>1760</v>
      </c>
      <c r="GS282" s="10" t="n">
        <v>46263</v>
      </c>
      <c r="GU282" s="9" t="n">
        <v>0</v>
      </c>
      <c r="GW282" s="9" t="n">
        <v>0</v>
      </c>
      <c r="GX282" s="9" t="n">
        <v>400</v>
      </c>
      <c r="HB282" s="10" t="n">
        <v>46263</v>
      </c>
      <c r="HD282" s="9" t="n">
        <v>0</v>
      </c>
      <c r="HF282" s="9" t="n">
        <v>0</v>
      </c>
      <c r="HG282" s="9" t="n">
        <v>3600</v>
      </c>
      <c r="HK282" s="10" t="n">
        <v>46263</v>
      </c>
      <c r="HM282" s="9" t="n">
        <v>0</v>
      </c>
      <c r="HO282" s="9" t="n">
        <v>0</v>
      </c>
      <c r="HP282" s="9" t="n">
        <v>0</v>
      </c>
      <c r="HU282" s="10" t="n">
        <v>46263</v>
      </c>
      <c r="HW282" s="9" t="n">
        <v>0</v>
      </c>
      <c r="HY282" s="9" t="n">
        <v>0</v>
      </c>
      <c r="HZ282" s="9" t="n">
        <v>6120</v>
      </c>
      <c r="ID282" s="10" t="n">
        <v>46263</v>
      </c>
      <c r="IF282" s="9" t="n">
        <v>0</v>
      </c>
      <c r="IH282" s="9" t="n">
        <v>0</v>
      </c>
      <c r="II282" s="9" t="n">
        <v>0</v>
      </c>
      <c r="IM282" s="10" t="n">
        <v>46263</v>
      </c>
      <c r="IO282" s="9" t="n">
        <v>0</v>
      </c>
      <c r="IQ282" s="9" t="n">
        <v>0</v>
      </c>
      <c r="IR282" s="9" t="n">
        <v>0</v>
      </c>
      <c r="IV282" s="10" t="n">
        <v>46263</v>
      </c>
      <c r="IX282" s="9" t="n">
        <v>0</v>
      </c>
      <c r="IZ282" s="9" t="n">
        <v>0</v>
      </c>
      <c r="JA282" s="9" t="n">
        <v>2820</v>
      </c>
      <c r="JE282" s="10" t="n">
        <v>46263</v>
      </c>
      <c r="JG282" s="9" t="n">
        <v>0</v>
      </c>
      <c r="JI282" s="9" t="n">
        <v>0</v>
      </c>
      <c r="JJ282" s="9" t="n">
        <v>0</v>
      </c>
      <c r="JN282" s="10" t="n">
        <v>46263</v>
      </c>
      <c r="JP282" s="9" t="n">
        <v>0</v>
      </c>
      <c r="JR282" s="9" t="n">
        <v>0</v>
      </c>
      <c r="JS282" s="9" t="n">
        <v>0</v>
      </c>
      <c r="JW282" s="10" t="n">
        <v>46263</v>
      </c>
      <c r="JY282" s="9" t="n">
        <v>0</v>
      </c>
      <c r="KA282" s="9" t="n">
        <v>0</v>
      </c>
      <c r="KB282" s="9" t="n">
        <v>2540</v>
      </c>
      <c r="KF282" s="10" t="n">
        <v>46263</v>
      </c>
      <c r="KH282" s="9" t="n">
        <v>0</v>
      </c>
      <c r="KJ282" s="9" t="n">
        <v>0</v>
      </c>
      <c r="KK282" s="9" t="n">
        <v>2359.5</v>
      </c>
      <c r="KO282" s="10" t="n">
        <v>46263</v>
      </c>
      <c r="KQ282" s="9" t="n">
        <v>0</v>
      </c>
      <c r="KS282" s="9" t="n">
        <v>0</v>
      </c>
      <c r="KT282" s="9" t="n">
        <v>1890</v>
      </c>
      <c r="KX282" s="10" t="n">
        <v>46263</v>
      </c>
      <c r="KZ282" s="9" t="n">
        <v>0</v>
      </c>
      <c r="LB282" s="9" t="n">
        <v>0</v>
      </c>
      <c r="LC282" s="9" t="n">
        <v>3690</v>
      </c>
      <c r="LG282" s="10" t="n">
        <v>46263</v>
      </c>
      <c r="LI282" s="9" t="n">
        <v>0</v>
      </c>
      <c r="LK282" s="9" t="n">
        <v>0</v>
      </c>
      <c r="LL282" s="9" t="n">
        <v>4000</v>
      </c>
      <c r="LP282" s="10" t="n">
        <v>46263</v>
      </c>
      <c r="LR282" s="9" t="n">
        <v>0</v>
      </c>
      <c r="LT282" s="9" t="n">
        <v>0</v>
      </c>
      <c r="LU282" s="9" t="n">
        <v>0</v>
      </c>
      <c r="LY282" s="10" t="n">
        <v>46263</v>
      </c>
      <c r="MA282" s="9" t="n">
        <v>0</v>
      </c>
      <c r="MC282" s="9" t="n">
        <v>0</v>
      </c>
      <c r="MD282" s="9" t="n">
        <v>0</v>
      </c>
      <c r="MH282" s="10" t="n">
        <v>46263</v>
      </c>
      <c r="MJ282" s="9" t="n">
        <v>0</v>
      </c>
      <c r="ML282" s="9" t="n">
        <v>0</v>
      </c>
      <c r="MM282" s="9" t="n">
        <v>0</v>
      </c>
      <c r="MQ282" s="10" t="n">
        <v>46263</v>
      </c>
      <c r="MS282" s="9" t="n">
        <v>0</v>
      </c>
      <c r="MU282" s="9" t="n">
        <v>0</v>
      </c>
      <c r="MV282" s="9" t="n">
        <v>1625</v>
      </c>
      <c r="MZ282" s="10" t="n">
        <v>46263</v>
      </c>
      <c r="NB282" s="9" t="n">
        <v>0</v>
      </c>
      <c r="ND282" s="9" t="n">
        <v>0</v>
      </c>
      <c r="NE282" s="9" t="n">
        <v>0</v>
      </c>
      <c r="NI282" s="10" t="n">
        <v>46263</v>
      </c>
      <c r="NK282" s="9" t="n">
        <v>0</v>
      </c>
      <c r="NM282" s="9" t="n">
        <v>0</v>
      </c>
      <c r="NN282" s="9" t="n">
        <v>1127</v>
      </c>
      <c r="NR282" s="10" t="n">
        <v>46263</v>
      </c>
      <c r="NT282" s="9" t="n">
        <v>0</v>
      </c>
      <c r="NV282" s="9" t="n">
        <v>0</v>
      </c>
      <c r="NW282" s="9" t="n">
        <v>3112</v>
      </c>
      <c r="OA282" s="10" t="n">
        <v>46263</v>
      </c>
      <c r="OC282" s="9" t="n">
        <v>0</v>
      </c>
      <c r="OE282" s="9" t="n">
        <v>0</v>
      </c>
      <c r="OF282" s="9" t="n">
        <v>1680.5</v>
      </c>
      <c r="OJ282" s="10" t="n">
        <v>46263</v>
      </c>
      <c r="OL282" s="9" t="n">
        <v>0</v>
      </c>
      <c r="ON282" s="9" t="n">
        <v>0</v>
      </c>
      <c r="OO282" s="9" t="n">
        <v>0</v>
      </c>
      <c r="OS282" s="10" t="n">
        <v>46263</v>
      </c>
      <c r="OU282" s="9" t="n">
        <v>0</v>
      </c>
      <c r="OW282" s="9" t="n">
        <v>0</v>
      </c>
      <c r="OX282" s="9" t="n">
        <v>1482</v>
      </c>
      <c r="PB282" s="10" t="n">
        <v>46263</v>
      </c>
      <c r="PD282" s="9" t="n">
        <v>0</v>
      </c>
      <c r="PF282" s="9" t="n">
        <v>0</v>
      </c>
      <c r="PG282" s="9" t="n">
        <v>0</v>
      </c>
      <c r="PK282" s="10" t="n">
        <v>46263</v>
      </c>
      <c r="PM282" s="9" t="n">
        <v>0</v>
      </c>
      <c r="PO282" s="9" t="n">
        <v>0</v>
      </c>
      <c r="PP282" s="9" t="n">
        <v>100</v>
      </c>
      <c r="PT282" s="10" t="n">
        <v>46263</v>
      </c>
      <c r="PV282" s="9" t="n">
        <v>0</v>
      </c>
      <c r="PX282" s="9" t="n">
        <v>0</v>
      </c>
      <c r="PY282" s="9" t="n">
        <v>13.96000000000004</v>
      </c>
      <c r="QC282" s="10" t="n">
        <v>46263</v>
      </c>
      <c r="QE282" s="9" t="n">
        <v>0</v>
      </c>
      <c r="QG282" s="9" t="n">
        <v>0</v>
      </c>
      <c r="QH282" s="9" t="n">
        <v>548</v>
      </c>
      <c r="QL282" s="10" t="n">
        <v>46263</v>
      </c>
      <c r="QN282" s="9" t="n">
        <v>0</v>
      </c>
      <c r="QP282" s="9" t="n">
        <v>0</v>
      </c>
      <c r="QQ282" s="9" t="n">
        <v>0</v>
      </c>
      <c r="QU282" s="10" t="n">
        <v>46263</v>
      </c>
      <c r="QW282" s="9" t="n">
        <v>0</v>
      </c>
      <c r="QY282" s="9" t="n">
        <v>0</v>
      </c>
      <c r="QZ282" s="9" t="n">
        <v>0</v>
      </c>
      <c r="RD282" s="10" t="n">
        <v>46263</v>
      </c>
      <c r="RF282" s="9" t="n">
        <v>0</v>
      </c>
      <c r="RH282" s="9" t="n">
        <v>0</v>
      </c>
      <c r="RI282" s="9" t="n">
        <v>147.04</v>
      </c>
      <c r="RM282" s="10" t="n">
        <v>46263</v>
      </c>
      <c r="RO282" s="9" t="n">
        <v>0</v>
      </c>
      <c r="RQ282" s="9" t="n">
        <v>0</v>
      </c>
      <c r="RR282" s="9" t="n">
        <v>46.8</v>
      </c>
      <c r="RV282" s="10" t="n">
        <v>46263</v>
      </c>
      <c r="RX282" s="9" t="n">
        <v>0</v>
      </c>
      <c r="RZ282" s="9" t="n">
        <v>0</v>
      </c>
      <c r="SA282" s="9" t="n">
        <v>0</v>
      </c>
      <c r="SE282" s="10" t="n">
        <v>46263</v>
      </c>
      <c r="SG282" s="9" t="n">
        <v>0</v>
      </c>
      <c r="SI282" s="9" t="n">
        <v>0</v>
      </c>
      <c r="SJ282" s="9" t="n">
        <v>24.2</v>
      </c>
      <c r="SN282" s="10" t="n">
        <v>46263</v>
      </c>
      <c r="SP282" s="9" t="n">
        <v>0</v>
      </c>
      <c r="SR282" s="9" t="n">
        <v>0</v>
      </c>
      <c r="SS282" s="9" t="n">
        <v>32</v>
      </c>
      <c r="SW282" s="10" t="n">
        <v>46263</v>
      </c>
      <c r="SY282" s="9" t="n">
        <v>0</v>
      </c>
      <c r="TA282" s="9" t="n">
        <v>0</v>
      </c>
      <c r="TB282" s="9" t="n">
        <v>0</v>
      </c>
      <c r="TF282" s="10" t="n">
        <v>46263</v>
      </c>
      <c r="TH282" s="9" t="n">
        <v>0</v>
      </c>
      <c r="TJ282" s="9" t="n">
        <v>0</v>
      </c>
      <c r="TK282" s="9" t="n">
        <v>0</v>
      </c>
      <c r="TO282" s="10" t="n">
        <v>46263</v>
      </c>
      <c r="TQ282" s="9" t="n">
        <v>0</v>
      </c>
      <c r="TS282" s="9" t="n">
        <v>0</v>
      </c>
      <c r="TT282" s="9" t="n">
        <v>0</v>
      </c>
      <c r="TX282" s="10" t="n">
        <v>46263</v>
      </c>
      <c r="TZ282" s="9" t="n">
        <v>0</v>
      </c>
      <c r="UB282" s="9" t="n">
        <v>0</v>
      </c>
      <c r="UC282" s="9" t="n">
        <v>46.79999999999998</v>
      </c>
      <c r="UG282" s="10" t="n">
        <v>46263</v>
      </c>
      <c r="UI282" s="9" t="n">
        <v>0</v>
      </c>
      <c r="UK282" s="9" t="n">
        <v>0</v>
      </c>
      <c r="UL282" s="9" t="n">
        <v>204</v>
      </c>
      <c r="UP282" s="10" t="n">
        <v>46263</v>
      </c>
      <c r="UR282" s="9" t="n">
        <v>0</v>
      </c>
      <c r="UT282" s="9" t="n">
        <v>0</v>
      </c>
      <c r="UU282" s="9" t="n">
        <v>202.5</v>
      </c>
      <c r="UY282" s="10" t="n">
        <v>46263</v>
      </c>
      <c r="VA282" s="9" t="n">
        <v>0</v>
      </c>
      <c r="VC282" s="9" t="n">
        <v>0</v>
      </c>
      <c r="VD282" s="9" t="n">
        <v>41.60000000000002</v>
      </c>
      <c r="VH282" s="10" t="n">
        <v>46263</v>
      </c>
      <c r="VJ282" s="9" t="n">
        <v>0</v>
      </c>
      <c r="VL282" s="9" t="n">
        <v>0</v>
      </c>
      <c r="VM282" s="9" t="n">
        <v>210</v>
      </c>
      <c r="VQ282" s="10" t="n">
        <v>46263</v>
      </c>
      <c r="VS282" s="9" t="n">
        <v>0</v>
      </c>
      <c r="VU282" s="9" t="n">
        <v>0</v>
      </c>
      <c r="VV282" s="9" t="n">
        <v>0</v>
      </c>
      <c r="VZ282" s="10" t="n">
        <v>46263</v>
      </c>
      <c r="WB282" s="9" t="n">
        <v>0</v>
      </c>
      <c r="WD282" s="9" t="n">
        <v>0</v>
      </c>
      <c r="WE282" s="9" t="n">
        <v>0</v>
      </c>
      <c r="WI282" s="10" t="n">
        <v>46263</v>
      </c>
      <c r="WK282" s="9" t="n">
        <v>0</v>
      </c>
      <c r="WM282" s="9" t="n">
        <v>0</v>
      </c>
      <c r="WN282" s="9" t="n">
        <v>1057</v>
      </c>
      <c r="WR282" s="10" t="n">
        <v>46263</v>
      </c>
      <c r="WT282" s="9" t="n">
        <v>0</v>
      </c>
      <c r="WV282" s="9" t="n">
        <v>0</v>
      </c>
      <c r="WW282" s="9" t="n">
        <v>0</v>
      </c>
      <c r="XA282" s="10" t="n">
        <v>46263</v>
      </c>
      <c r="XC282" s="9" t="n">
        <v>0</v>
      </c>
      <c r="XE282" s="9" t="n">
        <v>0</v>
      </c>
      <c r="XF282" s="9" t="n">
        <v>7507</v>
      </c>
      <c r="XJ282" s="10" t="n">
        <v>46263</v>
      </c>
      <c r="XL282" s="9" t="n">
        <v>0</v>
      </c>
      <c r="XN282" s="9" t="n">
        <v>0</v>
      </c>
      <c r="XO282" s="9" t="n">
        <v>4252</v>
      </c>
      <c r="XS282" s="10" t="n">
        <v>46263</v>
      </c>
      <c r="XU282" s="9" t="n">
        <v>0</v>
      </c>
      <c r="XW282" s="9" t="n">
        <v>0</v>
      </c>
      <c r="XX282" s="9" t="n">
        <v>2179</v>
      </c>
      <c r="YB282" s="10" t="n">
        <v>46263</v>
      </c>
      <c r="YD282" s="9" t="n">
        <v>0</v>
      </c>
      <c r="YF282" s="9" t="n">
        <v>0</v>
      </c>
      <c r="YG282" s="9" t="n">
        <v>4019</v>
      </c>
      <c r="YK282" s="10" t="n">
        <v>46263</v>
      </c>
      <c r="YM282" s="9" t="n">
        <v>0</v>
      </c>
      <c r="YO282" s="9" t="n">
        <v>0</v>
      </c>
      <c r="YP282" s="9" t="n">
        <v>-218</v>
      </c>
      <c r="YT282" s="10" t="n">
        <v>46263</v>
      </c>
      <c r="YV282" s="9" t="n">
        <v>0</v>
      </c>
      <c r="YX282" s="9" t="n">
        <v>0</v>
      </c>
      <c r="YY282" s="9" t="n">
        <v>0</v>
      </c>
      <c r="ZC282" s="10" t="n">
        <v>46263</v>
      </c>
      <c r="ZE282" s="9" t="n">
        <v>0</v>
      </c>
      <c r="ZG282" s="9" t="n">
        <v>0</v>
      </c>
      <c r="ZH282" s="9" t="n">
        <v>0</v>
      </c>
      <c r="ZL282" s="10" t="n">
        <v>46263</v>
      </c>
      <c r="ZN282" s="9" t="n">
        <v>0</v>
      </c>
      <c r="ZP282" s="9" t="n">
        <v>0</v>
      </c>
      <c r="ZQ282" s="9" t="n">
        <v>0</v>
      </c>
      <c r="ZU282" s="10" t="n">
        <v>46263</v>
      </c>
      <c r="ZW282" s="9" t="n">
        <v>0</v>
      </c>
      <c r="ZY282" s="9" t="n">
        <v>0</v>
      </c>
      <c r="ZZ282" s="9" t="n">
        <v>0</v>
      </c>
      <c r="AAD282" s="10" t="n">
        <v>46263</v>
      </c>
      <c r="AAF282" s="9" t="n">
        <v>0</v>
      </c>
      <c r="AAH282" s="9" t="n">
        <v>0</v>
      </c>
      <c r="AAI282" s="9" t="n">
        <v>0</v>
      </c>
      <c r="AAM282" s="10" t="n">
        <v>46263</v>
      </c>
      <c r="AAO282" s="9" t="n">
        <v>0</v>
      </c>
      <c r="AAQ282" s="9" t="n">
        <v>0</v>
      </c>
      <c r="AAR282" s="9" t="n">
        <v>0</v>
      </c>
      <c r="AAV282" s="10" t="n">
        <v>46263</v>
      </c>
      <c r="AAX282" s="9" t="n">
        <v>0</v>
      </c>
      <c r="AAZ282" s="9" t="n">
        <v>0</v>
      </c>
      <c r="ABA282" s="9" t="n">
        <v>0</v>
      </c>
      <c r="ABE282" s="10" t="n">
        <v>46263</v>
      </c>
      <c r="ABG282" s="9" t="n">
        <v>0</v>
      </c>
      <c r="ABI282" s="9" t="n">
        <v>0</v>
      </c>
      <c r="ABJ282" s="9" t="n">
        <v>0</v>
      </c>
    </row>
    <row r="283">
      <c r="C283" s="10" t="n">
        <v>46264</v>
      </c>
      <c r="E283" s="9" t="n">
        <v>0</v>
      </c>
      <c r="G283" s="9" t="n">
        <v>0</v>
      </c>
      <c r="H283" s="9" t="n">
        <v>236936.6</v>
      </c>
      <c r="L283" s="10" t="n">
        <v>46264</v>
      </c>
      <c r="N283" s="9" t="n">
        <v>0</v>
      </c>
      <c r="P283" s="9" t="n">
        <v>0</v>
      </c>
      <c r="Q283" s="9" t="n">
        <v>53017.60000000007</v>
      </c>
      <c r="U283" s="10" t="n">
        <v>46264</v>
      </c>
      <c r="W283" s="9" t="n">
        <v>0</v>
      </c>
      <c r="Y283" s="9" t="n">
        <v>0</v>
      </c>
      <c r="Z283" s="9" t="n">
        <v>42674.19999999997</v>
      </c>
      <c r="AD283" s="10" t="n">
        <v>46264</v>
      </c>
      <c r="AF283" s="9" t="n">
        <v>0</v>
      </c>
      <c r="AH283" s="9" t="n">
        <v>0</v>
      </c>
      <c r="AI283" s="9" t="n">
        <v>4522.200000000019</v>
      </c>
      <c r="AM283" s="10" t="n">
        <v>46264</v>
      </c>
      <c r="AO283" s="9" t="n">
        <v>0</v>
      </c>
      <c r="AQ283" s="9" t="n">
        <v>0</v>
      </c>
      <c r="AR283" s="9" t="n">
        <v>0</v>
      </c>
      <c r="AV283" s="10" t="n">
        <v>46264</v>
      </c>
      <c r="AX283" s="9" t="n">
        <v>0</v>
      </c>
      <c r="AZ283" s="9" t="n">
        <v>0</v>
      </c>
      <c r="BA283" s="9" t="n">
        <v>124.9999999999952</v>
      </c>
      <c r="BE283" s="10" t="n">
        <v>46264</v>
      </c>
      <c r="BG283" s="9" t="n">
        <v>0</v>
      </c>
      <c r="BI283" s="9" t="n">
        <v>0</v>
      </c>
      <c r="BJ283" s="9" t="n">
        <v>26151.9</v>
      </c>
      <c r="BN283" s="10" t="n">
        <v>46264</v>
      </c>
      <c r="BP283" s="9" t="n">
        <v>0</v>
      </c>
      <c r="BR283" s="9" t="n">
        <v>0</v>
      </c>
      <c r="BS283" s="9" t="n">
        <v>0</v>
      </c>
      <c r="BW283" s="10" t="n">
        <v>46264</v>
      </c>
      <c r="BY283" s="9" t="n">
        <v>0</v>
      </c>
      <c r="CA283" s="9" t="n">
        <v>0</v>
      </c>
      <c r="CB283" s="9" t="n">
        <v>2097.339999999999</v>
      </c>
      <c r="CF283" s="10" t="n">
        <v>46264</v>
      </c>
      <c r="CH283" s="9" t="n">
        <v>0</v>
      </c>
      <c r="CJ283" s="9" t="n">
        <v>0</v>
      </c>
      <c r="CK283" s="9" t="n">
        <v>-10277.08</v>
      </c>
      <c r="CO283" s="10" t="n">
        <v>46264</v>
      </c>
      <c r="CQ283" s="9" t="n">
        <v>0</v>
      </c>
      <c r="CS283" s="9" t="n">
        <v>0</v>
      </c>
      <c r="CT283" s="9" t="n">
        <v>0</v>
      </c>
      <c r="CX283" s="10" t="n">
        <v>46264</v>
      </c>
      <c r="CZ283" s="9" t="n">
        <v>0</v>
      </c>
      <c r="DB283" s="9" t="n">
        <v>0</v>
      </c>
      <c r="DC283" s="9" t="n">
        <v>27438.20000000001</v>
      </c>
      <c r="DG283" s="10" t="n">
        <v>46264</v>
      </c>
      <c r="DI283" s="9" t="n">
        <v>0</v>
      </c>
      <c r="DK283" s="9" t="n">
        <v>0</v>
      </c>
      <c r="DL283" s="9" t="n">
        <v>18782.29999999998</v>
      </c>
      <c r="DP283" s="10" t="n">
        <v>46264</v>
      </c>
      <c r="DR283" s="9" t="n">
        <v>0</v>
      </c>
      <c r="DT283" s="9" t="n">
        <v>0</v>
      </c>
      <c r="DU283" s="9" t="n">
        <v>5800</v>
      </c>
      <c r="DY283" s="10" t="n">
        <v>46264</v>
      </c>
      <c r="EA283" s="9" t="n">
        <v>0</v>
      </c>
      <c r="EC283" s="9" t="n">
        <v>0</v>
      </c>
      <c r="ED283" s="9" t="n">
        <v>0</v>
      </c>
      <c r="EH283" s="10" t="n">
        <v>46264</v>
      </c>
      <c r="EJ283" s="9" t="n">
        <v>0</v>
      </c>
      <c r="EL283" s="9" t="n">
        <v>0</v>
      </c>
      <c r="EM283" s="9" t="n">
        <v>0</v>
      </c>
      <c r="EQ283" s="10" t="n">
        <v>46264</v>
      </c>
      <c r="ES283" s="9" t="n">
        <v>0</v>
      </c>
      <c r="EU283" s="9" t="n">
        <v>0</v>
      </c>
      <c r="EV283" s="9" t="n">
        <v>0</v>
      </c>
      <c r="EZ283" s="10" t="n">
        <v>46264</v>
      </c>
      <c r="FB283" s="9" t="n">
        <v>0</v>
      </c>
      <c r="FD283" s="9" t="n">
        <v>0</v>
      </c>
      <c r="FE283" s="9" t="n">
        <v>0</v>
      </c>
      <c r="FI283" s="10" t="n">
        <v>46264</v>
      </c>
      <c r="FK283" s="9" t="n">
        <v>0</v>
      </c>
      <c r="FM283" s="9" t="n">
        <v>0</v>
      </c>
      <c r="FN283" s="9" t="n">
        <v>0</v>
      </c>
      <c r="FR283" s="10" t="n">
        <v>46264</v>
      </c>
      <c r="FT283" s="9" t="n">
        <v>0</v>
      </c>
      <c r="FV283" s="9" t="n">
        <v>0</v>
      </c>
      <c r="FW283" s="9" t="n">
        <v>2020</v>
      </c>
      <c r="GA283" s="10" t="n">
        <v>46264</v>
      </c>
      <c r="GC283" s="9" t="n">
        <v>0</v>
      </c>
      <c r="GE283" s="9" t="n">
        <v>0</v>
      </c>
      <c r="GF283" s="9" t="n">
        <v>960</v>
      </c>
      <c r="GJ283" s="10" t="n">
        <v>46264</v>
      </c>
      <c r="GL283" s="9" t="n">
        <v>0</v>
      </c>
      <c r="GN283" s="9" t="n">
        <v>0</v>
      </c>
      <c r="GO283" s="9" t="n">
        <v>1760</v>
      </c>
      <c r="GS283" s="10" t="n">
        <v>46264</v>
      </c>
      <c r="GU283" s="9" t="n">
        <v>0</v>
      </c>
      <c r="GW283" s="9" t="n">
        <v>0</v>
      </c>
      <c r="GX283" s="9" t="n">
        <v>400</v>
      </c>
      <c r="HB283" s="10" t="n">
        <v>46264</v>
      </c>
      <c r="HD283" s="9" t="n">
        <v>0</v>
      </c>
      <c r="HF283" s="9" t="n">
        <v>0</v>
      </c>
      <c r="HG283" s="9" t="n">
        <v>3600</v>
      </c>
      <c r="HK283" s="10" t="n">
        <v>46264</v>
      </c>
      <c r="HM283" s="9" t="n">
        <v>0</v>
      </c>
      <c r="HO283" s="9" t="n">
        <v>0</v>
      </c>
      <c r="HP283" s="9" t="n">
        <v>0</v>
      </c>
      <c r="HU283" s="10" t="n">
        <v>46264</v>
      </c>
      <c r="HW283" s="9" t="n">
        <v>0</v>
      </c>
      <c r="HY283" s="9" t="n">
        <v>0</v>
      </c>
      <c r="HZ283" s="9" t="n">
        <v>6120</v>
      </c>
      <c r="ID283" s="10" t="n">
        <v>46264</v>
      </c>
      <c r="IF283" s="9" t="n">
        <v>0</v>
      </c>
      <c r="IH283" s="9" t="n">
        <v>0</v>
      </c>
      <c r="II283" s="9" t="n">
        <v>0</v>
      </c>
      <c r="IM283" s="10" t="n">
        <v>46264</v>
      </c>
      <c r="IO283" s="9" t="n">
        <v>0</v>
      </c>
      <c r="IQ283" s="9" t="n">
        <v>0</v>
      </c>
      <c r="IR283" s="9" t="n">
        <v>0</v>
      </c>
      <c r="IV283" s="10" t="n">
        <v>46264</v>
      </c>
      <c r="IX283" s="9" t="n">
        <v>0</v>
      </c>
      <c r="IZ283" s="9" t="n">
        <v>0</v>
      </c>
      <c r="JA283" s="9" t="n">
        <v>2820</v>
      </c>
      <c r="JE283" s="10" t="n">
        <v>46264</v>
      </c>
      <c r="JG283" s="9" t="n">
        <v>0</v>
      </c>
      <c r="JI283" s="9" t="n">
        <v>0</v>
      </c>
      <c r="JJ283" s="9" t="n">
        <v>0</v>
      </c>
      <c r="JN283" s="10" t="n">
        <v>46264</v>
      </c>
      <c r="JP283" s="9" t="n">
        <v>0</v>
      </c>
      <c r="JR283" s="9" t="n">
        <v>0</v>
      </c>
      <c r="JS283" s="9" t="n">
        <v>0</v>
      </c>
      <c r="JW283" s="10" t="n">
        <v>46264</v>
      </c>
      <c r="JY283" s="9" t="n">
        <v>0</v>
      </c>
      <c r="KA283" s="9" t="n">
        <v>0</v>
      </c>
      <c r="KB283" s="9" t="n">
        <v>2540</v>
      </c>
      <c r="KF283" s="10" t="n">
        <v>46264</v>
      </c>
      <c r="KH283" s="9" t="n">
        <v>0</v>
      </c>
      <c r="KJ283" s="9" t="n">
        <v>0</v>
      </c>
      <c r="KK283" s="9" t="n">
        <v>2359.5</v>
      </c>
      <c r="KO283" s="10" t="n">
        <v>46264</v>
      </c>
      <c r="KQ283" s="9" t="n">
        <v>0</v>
      </c>
      <c r="KS283" s="9" t="n">
        <v>0</v>
      </c>
      <c r="KT283" s="9" t="n">
        <v>1890</v>
      </c>
      <c r="KX283" s="10" t="n">
        <v>46264</v>
      </c>
      <c r="KZ283" s="9" t="n">
        <v>0</v>
      </c>
      <c r="LB283" s="9" t="n">
        <v>0</v>
      </c>
      <c r="LC283" s="9" t="n">
        <v>3690</v>
      </c>
      <c r="LG283" s="10" t="n">
        <v>46264</v>
      </c>
      <c r="LI283" s="9" t="n">
        <v>0</v>
      </c>
      <c r="LK283" s="9" t="n">
        <v>0</v>
      </c>
      <c r="LL283" s="9" t="n">
        <v>4000</v>
      </c>
      <c r="LP283" s="10" t="n">
        <v>46264</v>
      </c>
      <c r="LR283" s="9" t="n">
        <v>0</v>
      </c>
      <c r="LT283" s="9" t="n">
        <v>0</v>
      </c>
      <c r="LU283" s="9" t="n">
        <v>0</v>
      </c>
      <c r="LY283" s="10" t="n">
        <v>46264</v>
      </c>
      <c r="MA283" s="9" t="n">
        <v>0</v>
      </c>
      <c r="MC283" s="9" t="n">
        <v>0</v>
      </c>
      <c r="MD283" s="9" t="n">
        <v>0</v>
      </c>
      <c r="MH283" s="10" t="n">
        <v>46264</v>
      </c>
      <c r="MJ283" s="9" t="n">
        <v>0</v>
      </c>
      <c r="ML283" s="9" t="n">
        <v>0</v>
      </c>
      <c r="MM283" s="9" t="n">
        <v>0</v>
      </c>
      <c r="MQ283" s="10" t="n">
        <v>46264</v>
      </c>
      <c r="MS283" s="9" t="n">
        <v>0</v>
      </c>
      <c r="MU283" s="9" t="n">
        <v>0</v>
      </c>
      <c r="MV283" s="9" t="n">
        <v>1625</v>
      </c>
      <c r="MZ283" s="10" t="n">
        <v>46264</v>
      </c>
      <c r="NB283" s="9" t="n">
        <v>0</v>
      </c>
      <c r="ND283" s="9" t="n">
        <v>0</v>
      </c>
      <c r="NE283" s="9" t="n">
        <v>0</v>
      </c>
      <c r="NI283" s="10" t="n">
        <v>46264</v>
      </c>
      <c r="NK283" s="9" t="n">
        <v>0</v>
      </c>
      <c r="NM283" s="9" t="n">
        <v>0</v>
      </c>
      <c r="NN283" s="9" t="n">
        <v>1127</v>
      </c>
      <c r="NR283" s="10" t="n">
        <v>46264</v>
      </c>
      <c r="NT283" s="9" t="n">
        <v>0</v>
      </c>
      <c r="NV283" s="9" t="n">
        <v>0</v>
      </c>
      <c r="NW283" s="9" t="n">
        <v>3112</v>
      </c>
      <c r="OA283" s="10" t="n">
        <v>46264</v>
      </c>
      <c r="OC283" s="9" t="n">
        <v>0</v>
      </c>
      <c r="OE283" s="9" t="n">
        <v>0</v>
      </c>
      <c r="OF283" s="9" t="n">
        <v>1680.5</v>
      </c>
      <c r="OJ283" s="10" t="n">
        <v>46264</v>
      </c>
      <c r="OL283" s="9" t="n">
        <v>0</v>
      </c>
      <c r="ON283" s="9" t="n">
        <v>0</v>
      </c>
      <c r="OO283" s="9" t="n">
        <v>0</v>
      </c>
      <c r="OS283" s="10" t="n">
        <v>46264</v>
      </c>
      <c r="OU283" s="9" t="n">
        <v>0</v>
      </c>
      <c r="OW283" s="9" t="n">
        <v>0</v>
      </c>
      <c r="OX283" s="9" t="n">
        <v>1482</v>
      </c>
      <c r="PB283" s="10" t="n">
        <v>46264</v>
      </c>
      <c r="PD283" s="9" t="n">
        <v>0</v>
      </c>
      <c r="PF283" s="9" t="n">
        <v>0</v>
      </c>
      <c r="PG283" s="9" t="n">
        <v>0</v>
      </c>
      <c r="PK283" s="10" t="n">
        <v>46264</v>
      </c>
      <c r="PM283" s="9" t="n">
        <v>0</v>
      </c>
      <c r="PO283" s="9" t="n">
        <v>0</v>
      </c>
      <c r="PP283" s="9" t="n">
        <v>100</v>
      </c>
      <c r="PT283" s="10" t="n">
        <v>46264</v>
      </c>
      <c r="PV283" s="9" t="n">
        <v>0</v>
      </c>
      <c r="PX283" s="9" t="n">
        <v>0</v>
      </c>
      <c r="PY283" s="9" t="n">
        <v>13.96000000000004</v>
      </c>
      <c r="QC283" s="10" t="n">
        <v>46264</v>
      </c>
      <c r="QE283" s="9" t="n">
        <v>0</v>
      </c>
      <c r="QG283" s="9" t="n">
        <v>0</v>
      </c>
      <c r="QH283" s="9" t="n">
        <v>548</v>
      </c>
      <c r="QL283" s="10" t="n">
        <v>46264</v>
      </c>
      <c r="QN283" s="9" t="n">
        <v>0</v>
      </c>
      <c r="QP283" s="9" t="n">
        <v>0</v>
      </c>
      <c r="QQ283" s="9" t="n">
        <v>0</v>
      </c>
      <c r="QU283" s="10" t="n">
        <v>46264</v>
      </c>
      <c r="QW283" s="9" t="n">
        <v>0</v>
      </c>
      <c r="QY283" s="9" t="n">
        <v>0</v>
      </c>
      <c r="QZ283" s="9" t="n">
        <v>0</v>
      </c>
      <c r="RD283" s="10" t="n">
        <v>46264</v>
      </c>
      <c r="RF283" s="9" t="n">
        <v>0</v>
      </c>
      <c r="RH283" s="9" t="n">
        <v>0</v>
      </c>
      <c r="RI283" s="9" t="n">
        <v>147.04</v>
      </c>
      <c r="RM283" s="10" t="n">
        <v>46264</v>
      </c>
      <c r="RO283" s="9" t="n">
        <v>0</v>
      </c>
      <c r="RQ283" s="9" t="n">
        <v>0</v>
      </c>
      <c r="RR283" s="9" t="n">
        <v>46.8</v>
      </c>
      <c r="RV283" s="10" t="n">
        <v>46264</v>
      </c>
      <c r="RX283" s="9" t="n">
        <v>0</v>
      </c>
      <c r="RZ283" s="9" t="n">
        <v>0</v>
      </c>
      <c r="SA283" s="9" t="n">
        <v>0</v>
      </c>
      <c r="SE283" s="10" t="n">
        <v>46264</v>
      </c>
      <c r="SG283" s="9" t="n">
        <v>0</v>
      </c>
      <c r="SI283" s="9" t="n">
        <v>0</v>
      </c>
      <c r="SJ283" s="9" t="n">
        <v>24.2</v>
      </c>
      <c r="SN283" s="10" t="n">
        <v>46264</v>
      </c>
      <c r="SP283" s="9" t="n">
        <v>0</v>
      </c>
      <c r="SR283" s="9" t="n">
        <v>0</v>
      </c>
      <c r="SS283" s="9" t="n">
        <v>32</v>
      </c>
      <c r="SW283" s="10" t="n">
        <v>46264</v>
      </c>
      <c r="SY283" s="9" t="n">
        <v>0</v>
      </c>
      <c r="TA283" s="9" t="n">
        <v>0</v>
      </c>
      <c r="TB283" s="9" t="n">
        <v>0</v>
      </c>
      <c r="TF283" s="10" t="n">
        <v>46264</v>
      </c>
      <c r="TH283" s="9" t="n">
        <v>0</v>
      </c>
      <c r="TJ283" s="9" t="n">
        <v>0</v>
      </c>
      <c r="TK283" s="9" t="n">
        <v>0</v>
      </c>
      <c r="TO283" s="10" t="n">
        <v>46264</v>
      </c>
      <c r="TQ283" s="9" t="n">
        <v>0</v>
      </c>
      <c r="TS283" s="9" t="n">
        <v>0</v>
      </c>
      <c r="TT283" s="9" t="n">
        <v>0</v>
      </c>
      <c r="TX283" s="10" t="n">
        <v>46264</v>
      </c>
      <c r="TZ283" s="9" t="n">
        <v>0</v>
      </c>
      <c r="UB283" s="9" t="n">
        <v>0</v>
      </c>
      <c r="UC283" s="9" t="n">
        <v>46.79999999999998</v>
      </c>
      <c r="UG283" s="10" t="n">
        <v>46264</v>
      </c>
      <c r="UI283" s="9" t="n">
        <v>0</v>
      </c>
      <c r="UK283" s="9" t="n">
        <v>0</v>
      </c>
      <c r="UL283" s="9" t="n">
        <v>204</v>
      </c>
      <c r="UP283" s="10" t="n">
        <v>46264</v>
      </c>
      <c r="UR283" s="9" t="n">
        <v>0</v>
      </c>
      <c r="UT283" s="9" t="n">
        <v>0</v>
      </c>
      <c r="UU283" s="9" t="n">
        <v>202.5</v>
      </c>
      <c r="UY283" s="10" t="n">
        <v>46264</v>
      </c>
      <c r="VA283" s="9" t="n">
        <v>0</v>
      </c>
      <c r="VC283" s="9" t="n">
        <v>0</v>
      </c>
      <c r="VD283" s="9" t="n">
        <v>41.60000000000002</v>
      </c>
      <c r="VH283" s="10" t="n">
        <v>46264</v>
      </c>
      <c r="VJ283" s="9" t="n">
        <v>0</v>
      </c>
      <c r="VL283" s="9" t="n">
        <v>0</v>
      </c>
      <c r="VM283" s="9" t="n">
        <v>210</v>
      </c>
      <c r="VQ283" s="10" t="n">
        <v>46264</v>
      </c>
      <c r="VS283" s="9" t="n">
        <v>0</v>
      </c>
      <c r="VU283" s="9" t="n">
        <v>0</v>
      </c>
      <c r="VV283" s="9" t="n">
        <v>0</v>
      </c>
      <c r="VZ283" s="10" t="n">
        <v>46264</v>
      </c>
      <c r="WB283" s="9" t="n">
        <v>0</v>
      </c>
      <c r="WD283" s="9" t="n">
        <v>0</v>
      </c>
      <c r="WE283" s="9" t="n">
        <v>0</v>
      </c>
      <c r="WI283" s="10" t="n">
        <v>46264</v>
      </c>
      <c r="WK283" s="9" t="n">
        <v>0</v>
      </c>
      <c r="WM283" s="9" t="n">
        <v>0</v>
      </c>
      <c r="WN283" s="9" t="n">
        <v>1057</v>
      </c>
      <c r="WR283" s="10" t="n">
        <v>46264</v>
      </c>
      <c r="WT283" s="9" t="n">
        <v>0</v>
      </c>
      <c r="WV283" s="9" t="n">
        <v>0</v>
      </c>
      <c r="WW283" s="9" t="n">
        <v>0</v>
      </c>
      <c r="XA283" s="10" t="n">
        <v>46264</v>
      </c>
      <c r="XC283" s="9" t="n">
        <v>0</v>
      </c>
      <c r="XE283" s="9" t="n">
        <v>0</v>
      </c>
      <c r="XF283" s="9" t="n">
        <v>7507</v>
      </c>
      <c r="XJ283" s="10" t="n">
        <v>46264</v>
      </c>
      <c r="XL283" s="9" t="n">
        <v>0</v>
      </c>
      <c r="XN283" s="9" t="n">
        <v>0</v>
      </c>
      <c r="XO283" s="9" t="n">
        <v>4252</v>
      </c>
      <c r="XS283" s="10" t="n">
        <v>46264</v>
      </c>
      <c r="XU283" s="9" t="n">
        <v>0</v>
      </c>
      <c r="XW283" s="9" t="n">
        <v>0</v>
      </c>
      <c r="XX283" s="9" t="n">
        <v>2179</v>
      </c>
      <c r="YB283" s="10" t="n">
        <v>46264</v>
      </c>
      <c r="YD283" s="9" t="n">
        <v>0</v>
      </c>
      <c r="YF283" s="9" t="n">
        <v>0</v>
      </c>
      <c r="YG283" s="9" t="n">
        <v>4019</v>
      </c>
      <c r="YK283" s="10" t="n">
        <v>46264</v>
      </c>
      <c r="YM283" s="9" t="n">
        <v>0</v>
      </c>
      <c r="YO283" s="9" t="n">
        <v>0</v>
      </c>
      <c r="YP283" s="9" t="n">
        <v>-218</v>
      </c>
      <c r="YT283" s="10" t="n">
        <v>46264</v>
      </c>
      <c r="YV283" s="9" t="n">
        <v>0</v>
      </c>
      <c r="YX283" s="9" t="n">
        <v>0</v>
      </c>
      <c r="YY283" s="9" t="n">
        <v>0</v>
      </c>
      <c r="ZC283" s="10" t="n">
        <v>46264</v>
      </c>
      <c r="ZE283" s="9" t="n">
        <v>0</v>
      </c>
      <c r="ZG283" s="9" t="n">
        <v>0</v>
      </c>
      <c r="ZH283" s="9" t="n">
        <v>0</v>
      </c>
      <c r="ZL283" s="10" t="n">
        <v>46264</v>
      </c>
      <c r="ZN283" s="9" t="n">
        <v>0</v>
      </c>
      <c r="ZP283" s="9" t="n">
        <v>0</v>
      </c>
      <c r="ZQ283" s="9" t="n">
        <v>0</v>
      </c>
      <c r="ZU283" s="10" t="n">
        <v>46264</v>
      </c>
      <c r="ZW283" s="9" t="n">
        <v>0</v>
      </c>
      <c r="ZY283" s="9" t="n">
        <v>0</v>
      </c>
      <c r="ZZ283" s="9" t="n">
        <v>0</v>
      </c>
      <c r="AAD283" s="10" t="n">
        <v>46264</v>
      </c>
      <c r="AAF283" s="9" t="n">
        <v>0</v>
      </c>
      <c r="AAH283" s="9" t="n">
        <v>0</v>
      </c>
      <c r="AAI283" s="9" t="n">
        <v>0</v>
      </c>
      <c r="AAM283" s="10" t="n">
        <v>46264</v>
      </c>
      <c r="AAO283" s="9" t="n">
        <v>0</v>
      </c>
      <c r="AAQ283" s="9" t="n">
        <v>0</v>
      </c>
      <c r="AAR283" s="9" t="n">
        <v>0</v>
      </c>
      <c r="AAV283" s="10" t="n">
        <v>46264</v>
      </c>
      <c r="AAX283" s="9" t="n">
        <v>0</v>
      </c>
      <c r="AAZ283" s="9" t="n">
        <v>0</v>
      </c>
      <c r="ABA283" s="9" t="n">
        <v>0</v>
      </c>
      <c r="ABE283" s="10" t="n">
        <v>46264</v>
      </c>
      <c r="ABG283" s="9" t="n">
        <v>0</v>
      </c>
      <c r="ABI283" s="9" t="n">
        <v>0</v>
      </c>
      <c r="ABJ283" s="9" t="n">
        <v>0</v>
      </c>
    </row>
    <row r="284">
      <c r="C284" s="10" t="n">
        <v>46265</v>
      </c>
      <c r="E284" s="9" t="n">
        <v>0</v>
      </c>
      <c r="G284" s="9" t="n">
        <v>0</v>
      </c>
      <c r="H284" s="9" t="n">
        <v>236936.6</v>
      </c>
      <c r="L284" s="10" t="n">
        <v>46265</v>
      </c>
      <c r="N284" s="9" t="n">
        <v>0</v>
      </c>
      <c r="P284" s="9" t="n">
        <v>0</v>
      </c>
      <c r="Q284" s="9" t="n">
        <v>53017.60000000007</v>
      </c>
      <c r="U284" s="10" t="n">
        <v>46265</v>
      </c>
      <c r="W284" s="9" t="n">
        <v>0</v>
      </c>
      <c r="Y284" s="9" t="n">
        <v>0</v>
      </c>
      <c r="Z284" s="9" t="n">
        <v>42674.19999999997</v>
      </c>
      <c r="AD284" s="10" t="n">
        <v>46265</v>
      </c>
      <c r="AF284" s="9" t="n">
        <v>0</v>
      </c>
      <c r="AH284" s="9" t="n">
        <v>0</v>
      </c>
      <c r="AI284" s="9" t="n">
        <v>4522.200000000019</v>
      </c>
      <c r="AM284" s="10" t="n">
        <v>46265</v>
      </c>
      <c r="AO284" s="9" t="n">
        <v>0</v>
      </c>
      <c r="AQ284" s="9" t="n">
        <v>0</v>
      </c>
      <c r="AR284" s="9" t="n">
        <v>0</v>
      </c>
      <c r="AV284" s="10" t="n">
        <v>46265</v>
      </c>
      <c r="AX284" s="9" t="n">
        <v>0</v>
      </c>
      <c r="AZ284" s="9" t="n">
        <v>0</v>
      </c>
      <c r="BA284" s="9" t="n">
        <v>124.9999999999952</v>
      </c>
      <c r="BE284" s="10" t="n">
        <v>46265</v>
      </c>
      <c r="BG284" s="9" t="n">
        <v>0</v>
      </c>
      <c r="BI284" s="9" t="n">
        <v>0</v>
      </c>
      <c r="BJ284" s="9" t="n">
        <v>26151.9</v>
      </c>
      <c r="BN284" s="10" t="n">
        <v>46265</v>
      </c>
      <c r="BP284" s="9" t="n">
        <v>0</v>
      </c>
      <c r="BR284" s="9" t="n">
        <v>0</v>
      </c>
      <c r="BS284" s="9" t="n">
        <v>0</v>
      </c>
      <c r="BW284" s="10" t="n">
        <v>46265</v>
      </c>
      <c r="BY284" s="9" t="n">
        <v>0</v>
      </c>
      <c r="CA284" s="9" t="n">
        <v>0</v>
      </c>
      <c r="CB284" s="9" t="n">
        <v>2097.339999999999</v>
      </c>
      <c r="CF284" s="10" t="n">
        <v>46265</v>
      </c>
      <c r="CH284" s="9" t="n">
        <v>0</v>
      </c>
      <c r="CJ284" s="9" t="n">
        <v>0</v>
      </c>
      <c r="CK284" s="9" t="n">
        <v>-10277.08</v>
      </c>
      <c r="CO284" s="10" t="n">
        <v>46265</v>
      </c>
      <c r="CQ284" s="9" t="n">
        <v>0</v>
      </c>
      <c r="CS284" s="9" t="n">
        <v>0</v>
      </c>
      <c r="CT284" s="9" t="n">
        <v>0</v>
      </c>
      <c r="CX284" s="10" t="n">
        <v>46265</v>
      </c>
      <c r="CZ284" s="9" t="n">
        <v>0</v>
      </c>
      <c r="DB284" s="9" t="n">
        <v>0</v>
      </c>
      <c r="DC284" s="9" t="n">
        <v>27438.20000000001</v>
      </c>
      <c r="DG284" s="10" t="n">
        <v>46265</v>
      </c>
      <c r="DI284" s="9" t="n">
        <v>0</v>
      </c>
      <c r="DK284" s="9" t="n">
        <v>0</v>
      </c>
      <c r="DL284" s="9" t="n">
        <v>18782.29999999998</v>
      </c>
      <c r="DP284" s="10" t="n">
        <v>46265</v>
      </c>
      <c r="DR284" s="9" t="n">
        <v>0</v>
      </c>
      <c r="DT284" s="9" t="n">
        <v>0</v>
      </c>
      <c r="DU284" s="9" t="n">
        <v>5800</v>
      </c>
      <c r="DY284" s="10" t="n">
        <v>46265</v>
      </c>
      <c r="EA284" s="9" t="n">
        <v>0</v>
      </c>
      <c r="EC284" s="9" t="n">
        <v>0</v>
      </c>
      <c r="ED284" s="9" t="n">
        <v>0</v>
      </c>
      <c r="EH284" s="10" t="n">
        <v>46265</v>
      </c>
      <c r="EJ284" s="9" t="n">
        <v>0</v>
      </c>
      <c r="EL284" s="9" t="n">
        <v>0</v>
      </c>
      <c r="EM284" s="9" t="n">
        <v>0</v>
      </c>
      <c r="EQ284" s="10" t="n">
        <v>46265</v>
      </c>
      <c r="ES284" s="9" t="n">
        <v>0</v>
      </c>
      <c r="EU284" s="9" t="n">
        <v>0</v>
      </c>
      <c r="EV284" s="9" t="n">
        <v>0</v>
      </c>
      <c r="EZ284" s="10" t="n">
        <v>46265</v>
      </c>
      <c r="FB284" s="9" t="n">
        <v>0</v>
      </c>
      <c r="FD284" s="9" t="n">
        <v>0</v>
      </c>
      <c r="FE284" s="9" t="n">
        <v>0</v>
      </c>
      <c r="FI284" s="10" t="n">
        <v>46265</v>
      </c>
      <c r="FK284" s="9" t="n">
        <v>0</v>
      </c>
      <c r="FM284" s="9" t="n">
        <v>0</v>
      </c>
      <c r="FN284" s="9" t="n">
        <v>0</v>
      </c>
      <c r="FR284" s="10" t="n">
        <v>46265</v>
      </c>
      <c r="FT284" s="9" t="n">
        <v>0</v>
      </c>
      <c r="FV284" s="9" t="n">
        <v>0</v>
      </c>
      <c r="FW284" s="9" t="n">
        <v>2020</v>
      </c>
      <c r="GA284" s="10" t="n">
        <v>46265</v>
      </c>
      <c r="GC284" s="9" t="n">
        <v>0</v>
      </c>
      <c r="GE284" s="9" t="n">
        <v>0</v>
      </c>
      <c r="GF284" s="9" t="n">
        <v>960</v>
      </c>
      <c r="GJ284" s="10" t="n">
        <v>46265</v>
      </c>
      <c r="GL284" s="9" t="n">
        <v>0</v>
      </c>
      <c r="GN284" s="9" t="n">
        <v>0</v>
      </c>
      <c r="GO284" s="9" t="n">
        <v>1760</v>
      </c>
      <c r="GS284" s="10" t="n">
        <v>46265</v>
      </c>
      <c r="GU284" s="9" t="n">
        <v>0</v>
      </c>
      <c r="GW284" s="9" t="n">
        <v>0</v>
      </c>
      <c r="GX284" s="9" t="n">
        <v>400</v>
      </c>
      <c r="HB284" s="10" t="n">
        <v>46265</v>
      </c>
      <c r="HD284" s="9" t="n">
        <v>0</v>
      </c>
      <c r="HF284" s="9" t="n">
        <v>0</v>
      </c>
      <c r="HG284" s="9" t="n">
        <v>3600</v>
      </c>
      <c r="HK284" s="10" t="n">
        <v>46265</v>
      </c>
      <c r="HM284" s="9" t="n">
        <v>0</v>
      </c>
      <c r="HO284" s="9" t="n">
        <v>0</v>
      </c>
      <c r="HP284" s="9" t="n">
        <v>0</v>
      </c>
      <c r="HU284" s="10" t="n">
        <v>46265</v>
      </c>
      <c r="HW284" s="9" t="n">
        <v>0</v>
      </c>
      <c r="HY284" s="9" t="n">
        <v>0</v>
      </c>
      <c r="HZ284" s="9" t="n">
        <v>6120</v>
      </c>
      <c r="ID284" s="10" t="n">
        <v>46265</v>
      </c>
      <c r="IF284" s="9" t="n">
        <v>0</v>
      </c>
      <c r="IH284" s="9" t="n">
        <v>0</v>
      </c>
      <c r="II284" s="9" t="n">
        <v>0</v>
      </c>
      <c r="IM284" s="10" t="n">
        <v>46265</v>
      </c>
      <c r="IO284" s="9" t="n">
        <v>0</v>
      </c>
      <c r="IQ284" s="9" t="n">
        <v>0</v>
      </c>
      <c r="IR284" s="9" t="n">
        <v>0</v>
      </c>
      <c r="IV284" s="10" t="n">
        <v>46265</v>
      </c>
      <c r="IX284" s="9" t="n">
        <v>0</v>
      </c>
      <c r="IZ284" s="9" t="n">
        <v>0</v>
      </c>
      <c r="JA284" s="9" t="n">
        <v>2820</v>
      </c>
      <c r="JE284" s="10" t="n">
        <v>46265</v>
      </c>
      <c r="JG284" s="9" t="n">
        <v>0</v>
      </c>
      <c r="JI284" s="9" t="n">
        <v>0</v>
      </c>
      <c r="JJ284" s="9" t="n">
        <v>0</v>
      </c>
      <c r="JN284" s="10" t="n">
        <v>46265</v>
      </c>
      <c r="JP284" s="9" t="n">
        <v>0</v>
      </c>
      <c r="JR284" s="9" t="n">
        <v>0</v>
      </c>
      <c r="JS284" s="9" t="n">
        <v>0</v>
      </c>
      <c r="JW284" s="10" t="n">
        <v>46265</v>
      </c>
      <c r="JY284" s="9" t="n">
        <v>0</v>
      </c>
      <c r="KA284" s="9" t="n">
        <v>0</v>
      </c>
      <c r="KB284" s="9" t="n">
        <v>2540</v>
      </c>
      <c r="KF284" s="10" t="n">
        <v>46265</v>
      </c>
      <c r="KH284" s="9" t="n">
        <v>0</v>
      </c>
      <c r="KJ284" s="9" t="n">
        <v>0</v>
      </c>
      <c r="KK284" s="9" t="n">
        <v>2359.5</v>
      </c>
      <c r="KO284" s="10" t="n">
        <v>46265</v>
      </c>
      <c r="KQ284" s="9" t="n">
        <v>0</v>
      </c>
      <c r="KS284" s="9" t="n">
        <v>0</v>
      </c>
      <c r="KT284" s="9" t="n">
        <v>1890</v>
      </c>
      <c r="KX284" s="10" t="n">
        <v>46265</v>
      </c>
      <c r="KZ284" s="9" t="n">
        <v>0</v>
      </c>
      <c r="LB284" s="9" t="n">
        <v>0</v>
      </c>
      <c r="LC284" s="9" t="n">
        <v>3690</v>
      </c>
      <c r="LG284" s="10" t="n">
        <v>46265</v>
      </c>
      <c r="LI284" s="9" t="n">
        <v>0</v>
      </c>
      <c r="LK284" s="9" t="n">
        <v>0</v>
      </c>
      <c r="LL284" s="9" t="n">
        <v>4000</v>
      </c>
      <c r="LP284" s="10" t="n">
        <v>46265</v>
      </c>
      <c r="LR284" s="9" t="n">
        <v>0</v>
      </c>
      <c r="LT284" s="9" t="n">
        <v>0</v>
      </c>
      <c r="LU284" s="9" t="n">
        <v>0</v>
      </c>
      <c r="LY284" s="10" t="n">
        <v>46265</v>
      </c>
      <c r="MA284" s="9" t="n">
        <v>0</v>
      </c>
      <c r="MC284" s="9" t="n">
        <v>0</v>
      </c>
      <c r="MD284" s="9" t="n">
        <v>0</v>
      </c>
      <c r="MH284" s="10" t="n">
        <v>46265</v>
      </c>
      <c r="MJ284" s="9" t="n">
        <v>0</v>
      </c>
      <c r="ML284" s="9" t="n">
        <v>0</v>
      </c>
      <c r="MM284" s="9" t="n">
        <v>0</v>
      </c>
      <c r="MQ284" s="10" t="n">
        <v>46265</v>
      </c>
      <c r="MS284" s="9" t="n">
        <v>0</v>
      </c>
      <c r="MU284" s="9" t="n">
        <v>0</v>
      </c>
      <c r="MV284" s="9" t="n">
        <v>1625</v>
      </c>
      <c r="MZ284" s="10" t="n">
        <v>46265</v>
      </c>
      <c r="NB284" s="9" t="n">
        <v>0</v>
      </c>
      <c r="ND284" s="9" t="n">
        <v>0</v>
      </c>
      <c r="NE284" s="9" t="n">
        <v>0</v>
      </c>
      <c r="NI284" s="10" t="n">
        <v>46265</v>
      </c>
      <c r="NK284" s="9" t="n">
        <v>0</v>
      </c>
      <c r="NM284" s="9" t="n">
        <v>0</v>
      </c>
      <c r="NN284" s="9" t="n">
        <v>1127</v>
      </c>
      <c r="NR284" s="10" t="n">
        <v>46265</v>
      </c>
      <c r="NT284" s="9" t="n">
        <v>0</v>
      </c>
      <c r="NV284" s="9" t="n">
        <v>0</v>
      </c>
      <c r="NW284" s="9" t="n">
        <v>3112</v>
      </c>
      <c r="OA284" s="10" t="n">
        <v>46265</v>
      </c>
      <c r="OC284" s="9" t="n">
        <v>0</v>
      </c>
      <c r="OE284" s="9" t="n">
        <v>0</v>
      </c>
      <c r="OF284" s="9" t="n">
        <v>1680.5</v>
      </c>
      <c r="OJ284" s="10" t="n">
        <v>46265</v>
      </c>
      <c r="OL284" s="9" t="n">
        <v>0</v>
      </c>
      <c r="ON284" s="9" t="n">
        <v>0</v>
      </c>
      <c r="OO284" s="9" t="n">
        <v>0</v>
      </c>
      <c r="OS284" s="10" t="n">
        <v>46265</v>
      </c>
      <c r="OU284" s="9" t="n">
        <v>0</v>
      </c>
      <c r="OW284" s="9" t="n">
        <v>0</v>
      </c>
      <c r="OX284" s="9" t="n">
        <v>1482</v>
      </c>
      <c r="PB284" s="10" t="n">
        <v>46265</v>
      </c>
      <c r="PD284" s="9" t="n">
        <v>0</v>
      </c>
      <c r="PF284" s="9" t="n">
        <v>0</v>
      </c>
      <c r="PG284" s="9" t="n">
        <v>0</v>
      </c>
      <c r="PK284" s="10" t="n">
        <v>46265</v>
      </c>
      <c r="PM284" s="9" t="n">
        <v>0</v>
      </c>
      <c r="PO284" s="9" t="n">
        <v>0</v>
      </c>
      <c r="PP284" s="9" t="n">
        <v>100</v>
      </c>
      <c r="PT284" s="10" t="n">
        <v>46265</v>
      </c>
      <c r="PV284" s="9" t="n">
        <v>0</v>
      </c>
      <c r="PX284" s="9" t="n">
        <v>0</v>
      </c>
      <c r="PY284" s="9" t="n">
        <v>13.96000000000004</v>
      </c>
      <c r="QC284" s="10" t="n">
        <v>46265</v>
      </c>
      <c r="QE284" s="9" t="n">
        <v>0</v>
      </c>
      <c r="QG284" s="9" t="n">
        <v>0</v>
      </c>
      <c r="QH284" s="9" t="n">
        <v>548</v>
      </c>
      <c r="QL284" s="10" t="n">
        <v>46265</v>
      </c>
      <c r="QN284" s="9" t="n">
        <v>0</v>
      </c>
      <c r="QP284" s="9" t="n">
        <v>0</v>
      </c>
      <c r="QQ284" s="9" t="n">
        <v>0</v>
      </c>
      <c r="QU284" s="10" t="n">
        <v>46265</v>
      </c>
      <c r="QW284" s="9" t="n">
        <v>0</v>
      </c>
      <c r="QY284" s="9" t="n">
        <v>0</v>
      </c>
      <c r="QZ284" s="9" t="n">
        <v>0</v>
      </c>
      <c r="RD284" s="10" t="n">
        <v>46265</v>
      </c>
      <c r="RF284" s="9" t="n">
        <v>0</v>
      </c>
      <c r="RH284" s="9" t="n">
        <v>0</v>
      </c>
      <c r="RI284" s="9" t="n">
        <v>147.04</v>
      </c>
      <c r="RM284" s="10" t="n">
        <v>46265</v>
      </c>
      <c r="RO284" s="9" t="n">
        <v>0</v>
      </c>
      <c r="RQ284" s="9" t="n">
        <v>0</v>
      </c>
      <c r="RR284" s="9" t="n">
        <v>46.8</v>
      </c>
      <c r="RV284" s="10" t="n">
        <v>46265</v>
      </c>
      <c r="RX284" s="9" t="n">
        <v>0</v>
      </c>
      <c r="RZ284" s="9" t="n">
        <v>0</v>
      </c>
      <c r="SA284" s="9" t="n">
        <v>0</v>
      </c>
      <c r="SE284" s="10" t="n">
        <v>46265</v>
      </c>
      <c r="SG284" s="9" t="n">
        <v>0</v>
      </c>
      <c r="SI284" s="9" t="n">
        <v>0</v>
      </c>
      <c r="SJ284" s="9" t="n">
        <v>24.2</v>
      </c>
      <c r="SN284" s="10" t="n">
        <v>46265</v>
      </c>
      <c r="SP284" s="9" t="n">
        <v>0</v>
      </c>
      <c r="SR284" s="9" t="n">
        <v>0</v>
      </c>
      <c r="SS284" s="9" t="n">
        <v>32</v>
      </c>
      <c r="SW284" s="10" t="n">
        <v>46265</v>
      </c>
      <c r="SY284" s="9" t="n">
        <v>0</v>
      </c>
      <c r="TA284" s="9" t="n">
        <v>0</v>
      </c>
      <c r="TB284" s="9" t="n">
        <v>0</v>
      </c>
      <c r="TF284" s="10" t="n">
        <v>46265</v>
      </c>
      <c r="TH284" s="9" t="n">
        <v>0</v>
      </c>
      <c r="TJ284" s="9" t="n">
        <v>0</v>
      </c>
      <c r="TK284" s="9" t="n">
        <v>0</v>
      </c>
      <c r="TO284" s="10" t="n">
        <v>46265</v>
      </c>
      <c r="TQ284" s="9" t="n">
        <v>0</v>
      </c>
      <c r="TS284" s="9" t="n">
        <v>0</v>
      </c>
      <c r="TT284" s="9" t="n">
        <v>0</v>
      </c>
      <c r="TX284" s="10" t="n">
        <v>46265</v>
      </c>
      <c r="TZ284" s="9" t="n">
        <v>0</v>
      </c>
      <c r="UB284" s="9" t="n">
        <v>0</v>
      </c>
      <c r="UC284" s="9" t="n">
        <v>46.79999999999998</v>
      </c>
      <c r="UG284" s="10" t="n">
        <v>46265</v>
      </c>
      <c r="UI284" s="9" t="n">
        <v>0</v>
      </c>
      <c r="UK284" s="9" t="n">
        <v>0</v>
      </c>
      <c r="UL284" s="9" t="n">
        <v>204</v>
      </c>
      <c r="UP284" s="10" t="n">
        <v>46265</v>
      </c>
      <c r="UR284" s="9" t="n">
        <v>0</v>
      </c>
      <c r="UT284" s="9" t="n">
        <v>0</v>
      </c>
      <c r="UU284" s="9" t="n">
        <v>202.5</v>
      </c>
      <c r="UY284" s="10" t="n">
        <v>46265</v>
      </c>
      <c r="VA284" s="9" t="n">
        <v>0</v>
      </c>
      <c r="VC284" s="9" t="n">
        <v>0</v>
      </c>
      <c r="VD284" s="9" t="n">
        <v>41.60000000000002</v>
      </c>
      <c r="VH284" s="10" t="n">
        <v>46265</v>
      </c>
      <c r="VJ284" s="9" t="n">
        <v>0</v>
      </c>
      <c r="VL284" s="9" t="n">
        <v>0</v>
      </c>
      <c r="VM284" s="9" t="n">
        <v>210</v>
      </c>
      <c r="VQ284" s="10" t="n">
        <v>46265</v>
      </c>
      <c r="VS284" s="9" t="n">
        <v>0</v>
      </c>
      <c r="VU284" s="9" t="n">
        <v>0</v>
      </c>
      <c r="VV284" s="9" t="n">
        <v>0</v>
      </c>
      <c r="VZ284" s="10" t="n">
        <v>46265</v>
      </c>
      <c r="WB284" s="9" t="n">
        <v>0</v>
      </c>
      <c r="WD284" s="9" t="n">
        <v>0</v>
      </c>
      <c r="WE284" s="9" t="n">
        <v>0</v>
      </c>
      <c r="WI284" s="10" t="n">
        <v>46265</v>
      </c>
      <c r="WK284" s="9" t="n">
        <v>0</v>
      </c>
      <c r="WM284" s="9" t="n">
        <v>0</v>
      </c>
      <c r="WN284" s="9" t="n">
        <v>1057</v>
      </c>
      <c r="WR284" s="10" t="n">
        <v>46265</v>
      </c>
      <c r="WT284" s="9" t="n">
        <v>0</v>
      </c>
      <c r="WV284" s="9" t="n">
        <v>0</v>
      </c>
      <c r="WW284" s="9" t="n">
        <v>0</v>
      </c>
      <c r="XA284" s="10" t="n">
        <v>46265</v>
      </c>
      <c r="XC284" s="9" t="n">
        <v>0</v>
      </c>
      <c r="XE284" s="9" t="n">
        <v>0</v>
      </c>
      <c r="XF284" s="9" t="n">
        <v>7507</v>
      </c>
      <c r="XJ284" s="10" t="n">
        <v>46265</v>
      </c>
      <c r="XL284" s="9" t="n">
        <v>0</v>
      </c>
      <c r="XN284" s="9" t="n">
        <v>0</v>
      </c>
      <c r="XO284" s="9" t="n">
        <v>4252</v>
      </c>
      <c r="XS284" s="10" t="n">
        <v>46265</v>
      </c>
      <c r="XU284" s="9" t="n">
        <v>0</v>
      </c>
      <c r="XW284" s="9" t="n">
        <v>0</v>
      </c>
      <c r="XX284" s="9" t="n">
        <v>2179</v>
      </c>
      <c r="YB284" s="10" t="n">
        <v>46265</v>
      </c>
      <c r="YD284" s="9" t="n">
        <v>0</v>
      </c>
      <c r="YF284" s="9" t="n">
        <v>0</v>
      </c>
      <c r="YG284" s="9" t="n">
        <v>4019</v>
      </c>
      <c r="YK284" s="10" t="n">
        <v>46265</v>
      </c>
      <c r="YM284" s="9" t="n">
        <v>0</v>
      </c>
      <c r="YO284" s="9" t="n">
        <v>0</v>
      </c>
      <c r="YP284" s="9" t="n">
        <v>-218</v>
      </c>
      <c r="YT284" s="10" t="n">
        <v>46265</v>
      </c>
      <c r="YV284" s="9" t="n">
        <v>0</v>
      </c>
      <c r="YX284" s="9" t="n">
        <v>0</v>
      </c>
      <c r="YY284" s="9" t="n">
        <v>0</v>
      </c>
      <c r="ZC284" s="10" t="n">
        <v>46265</v>
      </c>
      <c r="ZE284" s="9" t="n">
        <v>0</v>
      </c>
      <c r="ZG284" s="9" t="n">
        <v>0</v>
      </c>
      <c r="ZH284" s="9" t="n">
        <v>0</v>
      </c>
      <c r="ZL284" s="10" t="n">
        <v>46265</v>
      </c>
      <c r="ZN284" s="9" t="n">
        <v>0</v>
      </c>
      <c r="ZP284" s="9" t="n">
        <v>0</v>
      </c>
      <c r="ZQ284" s="9" t="n">
        <v>0</v>
      </c>
      <c r="ZU284" s="10" t="n">
        <v>46265</v>
      </c>
      <c r="ZW284" s="9" t="n">
        <v>0</v>
      </c>
      <c r="ZY284" s="9" t="n">
        <v>0</v>
      </c>
      <c r="ZZ284" s="9" t="n">
        <v>0</v>
      </c>
      <c r="AAD284" s="10" t="n">
        <v>46265</v>
      </c>
      <c r="AAF284" s="9" t="n">
        <v>0</v>
      </c>
      <c r="AAH284" s="9" t="n">
        <v>0</v>
      </c>
      <c r="AAI284" s="9" t="n">
        <v>0</v>
      </c>
      <c r="AAM284" s="10" t="n">
        <v>46265</v>
      </c>
      <c r="AAO284" s="9" t="n">
        <v>0</v>
      </c>
      <c r="AAQ284" s="9" t="n">
        <v>0</v>
      </c>
      <c r="AAR284" s="9" t="n">
        <v>0</v>
      </c>
      <c r="AAV284" s="10" t="n">
        <v>46265</v>
      </c>
      <c r="AAX284" s="9" t="n">
        <v>0</v>
      </c>
      <c r="AAZ284" s="9" t="n">
        <v>0</v>
      </c>
      <c r="ABA284" s="9" t="n">
        <v>0</v>
      </c>
      <c r="ABE284" s="10" t="n">
        <v>46265</v>
      </c>
      <c r="ABG284" s="9" t="n">
        <v>0</v>
      </c>
      <c r="ABI284" s="9" t="n">
        <v>0</v>
      </c>
      <c r="ABJ284" s="9" t="n">
        <v>0</v>
      </c>
    </row>
    <row r="285">
      <c r="B285" s="9" t="n">
        <v>800</v>
      </c>
      <c r="C285" s="9" t="inlineStr">
        <is>
          <t>TOTAL</t>
        </is>
      </c>
      <c r="D285" s="9" t="n">
        <v>98452</v>
      </c>
      <c r="E285" s="9" t="n">
        <v>139911.36</v>
      </c>
      <c r="F285" s="9" t="n">
        <v>52464.8</v>
      </c>
      <c r="G285" s="9" t="n">
        <v>87446.56000000001</v>
      </c>
      <c r="H285" s="9" t="n">
        <v>236936.6</v>
      </c>
      <c r="L285" s="9" t="inlineStr">
        <is>
          <t>TOTAL</t>
        </is>
      </c>
      <c r="M285" s="9" t="n">
        <v>0</v>
      </c>
      <c r="N285" s="9" t="n">
        <v>71452.89999999999</v>
      </c>
      <c r="O285" s="9" t="n">
        <v>0</v>
      </c>
      <c r="P285" s="9" t="n">
        <v>71452.89999999999</v>
      </c>
      <c r="Q285" s="9" t="n">
        <v>53017.60000000007</v>
      </c>
      <c r="U285" s="9" t="inlineStr">
        <is>
          <t>TOTAL</t>
        </is>
      </c>
      <c r="V285" s="9" t="n">
        <v>0</v>
      </c>
      <c r="W285" s="9" t="n">
        <v>13450</v>
      </c>
      <c r="X285" s="9" t="n">
        <v>0</v>
      </c>
      <c r="Y285" s="9" t="n">
        <v>13450</v>
      </c>
      <c r="Z285" s="9" t="n">
        <v>42674.19999999997</v>
      </c>
      <c r="AD285" s="9" t="inlineStr">
        <is>
          <t>TOTAL</t>
        </is>
      </c>
      <c r="AE285" s="9" t="n">
        <v>0</v>
      </c>
      <c r="AF285" s="9" t="n">
        <v>1000</v>
      </c>
      <c r="AG285" s="9" t="n">
        <v>0</v>
      </c>
      <c r="AH285" s="9" t="n">
        <v>1000</v>
      </c>
      <c r="AI285" s="9" t="n">
        <v>4522.200000000019</v>
      </c>
      <c r="AM285" s="9" t="inlineStr">
        <is>
          <t>TOTAL</t>
        </is>
      </c>
      <c r="AN285" s="9" t="n">
        <v>0</v>
      </c>
      <c r="AO285" s="9" t="n">
        <v>0</v>
      </c>
      <c r="AP285" s="9" t="n">
        <v>0</v>
      </c>
      <c r="AQ285" s="9" t="n">
        <v>0</v>
      </c>
      <c r="AR285" s="9" t="n">
        <v>0</v>
      </c>
      <c r="AV285" s="9" t="inlineStr">
        <is>
          <t>TOTAL</t>
        </is>
      </c>
      <c r="AW285" s="9" t="n">
        <v>0</v>
      </c>
      <c r="AX285" s="9" t="n">
        <v>2255.2</v>
      </c>
      <c r="AY285" s="9" t="n">
        <v>0</v>
      </c>
      <c r="AZ285" s="9" t="n">
        <v>2255.2</v>
      </c>
      <c r="BA285" s="9" t="n">
        <v>124.9999999999952</v>
      </c>
      <c r="BE285" s="9" t="inlineStr">
        <is>
          <t>TOTAL</t>
        </is>
      </c>
      <c r="BF285" s="9" t="n">
        <v>0</v>
      </c>
      <c r="BG285" s="9" t="n">
        <v>1279.5</v>
      </c>
      <c r="BH285" s="9" t="n">
        <v>0</v>
      </c>
      <c r="BI285" s="9" t="n">
        <v>1279.5</v>
      </c>
      <c r="BJ285" s="9" t="n">
        <v>26151.9</v>
      </c>
      <c r="BN285" s="9" t="inlineStr">
        <is>
          <t>TOTAL</t>
        </is>
      </c>
      <c r="BO285" s="9" t="n">
        <v>0</v>
      </c>
      <c r="BP285" s="9" t="n">
        <v>2622.5</v>
      </c>
      <c r="BQ285" s="9" t="n">
        <v>0</v>
      </c>
      <c r="BR285" s="9" t="n">
        <v>2622.5</v>
      </c>
      <c r="BS285" s="9" t="n">
        <v>0</v>
      </c>
      <c r="BW285" s="9" t="inlineStr">
        <is>
          <t>TOTAL</t>
        </is>
      </c>
      <c r="BX285" s="9" t="n">
        <v>0</v>
      </c>
      <c r="BY285" s="9" t="n">
        <v>1067.15</v>
      </c>
      <c r="BZ285" s="9" t="n">
        <v>1225.16</v>
      </c>
      <c r="CA285" s="9" t="n">
        <v>-158.0099999999999</v>
      </c>
      <c r="CB285" s="9" t="n">
        <v>2097.339999999999</v>
      </c>
      <c r="CF285" s="9" t="inlineStr">
        <is>
          <t>TOTAL</t>
        </is>
      </c>
      <c r="CG285" s="9" t="n">
        <v>0</v>
      </c>
      <c r="CH285" s="9" t="n">
        <v>299.4399999999999</v>
      </c>
      <c r="CI285" s="9" t="n">
        <v>0</v>
      </c>
      <c r="CJ285" s="9" t="n">
        <v>299.4399999999999</v>
      </c>
      <c r="CK285" s="9" t="n">
        <v>-10277.08</v>
      </c>
      <c r="CO285" s="9" t="inlineStr">
        <is>
          <t>TOTAL</t>
        </is>
      </c>
      <c r="CP285" s="9" t="n">
        <v>0</v>
      </c>
      <c r="CQ285" s="9" t="n">
        <v>0</v>
      </c>
      <c r="CR285" s="9" t="n">
        <v>0</v>
      </c>
      <c r="CS285" s="9" t="n">
        <v>0</v>
      </c>
      <c r="CT285" s="9" t="n">
        <v>0</v>
      </c>
      <c r="CX285" s="9" t="inlineStr">
        <is>
          <t>TOTAL</t>
        </is>
      </c>
      <c r="CY285" s="9" t="n">
        <v>0</v>
      </c>
      <c r="CZ285" s="9" t="n">
        <v>2600</v>
      </c>
      <c r="DA285" s="9" t="n">
        <v>0</v>
      </c>
      <c r="DB285" s="9" t="n">
        <v>2600</v>
      </c>
      <c r="DC285" s="9" t="n">
        <v>27438.20000000001</v>
      </c>
      <c r="DG285" s="9" t="inlineStr">
        <is>
          <t>TOTAL</t>
        </is>
      </c>
      <c r="DH285" s="9" t="n">
        <v>0</v>
      </c>
      <c r="DI285" s="9" t="n">
        <v>3750</v>
      </c>
      <c r="DJ285" s="9" t="n">
        <v>0</v>
      </c>
      <c r="DK285" s="9" t="n">
        <v>3750</v>
      </c>
      <c r="DL285" s="9" t="n">
        <v>18782.29999999998</v>
      </c>
      <c r="DP285" s="9" t="inlineStr">
        <is>
          <t>TOTAL</t>
        </is>
      </c>
      <c r="DQ285" s="9" t="n">
        <v>0</v>
      </c>
      <c r="DR285" s="9" t="n">
        <v>0</v>
      </c>
      <c r="DS285" s="9" t="n">
        <v>0</v>
      </c>
      <c r="DT285" s="9" t="n">
        <v>0</v>
      </c>
      <c r="DU285" s="9" t="n">
        <v>5800</v>
      </c>
      <c r="DY285" s="9" t="inlineStr">
        <is>
          <t>TOTAL</t>
        </is>
      </c>
      <c r="DZ285" s="9" t="n">
        <v>0</v>
      </c>
      <c r="EA285" s="9" t="n">
        <v>0</v>
      </c>
      <c r="EB285" s="9" t="n">
        <v>0</v>
      </c>
      <c r="EC285" s="9" t="n">
        <v>0</v>
      </c>
      <c r="ED285" s="9" t="n">
        <v>0</v>
      </c>
      <c r="EH285" s="9" t="inlineStr">
        <is>
          <t>TOTAL</t>
        </is>
      </c>
      <c r="EI285" s="9" t="n">
        <v>0</v>
      </c>
      <c r="EJ285" s="9" t="n">
        <v>0</v>
      </c>
      <c r="EK285" s="9" t="n">
        <v>0</v>
      </c>
      <c r="EL285" s="9" t="n">
        <v>0</v>
      </c>
      <c r="EM285" s="9" t="n">
        <v>0</v>
      </c>
      <c r="EQ285" s="9" t="inlineStr">
        <is>
          <t>TOTAL</t>
        </is>
      </c>
      <c r="ER285" s="9" t="n">
        <v>0</v>
      </c>
      <c r="ES285" s="9" t="n">
        <v>0</v>
      </c>
      <c r="ET285" s="9" t="n">
        <v>0</v>
      </c>
      <c r="EU285" s="9" t="n">
        <v>0</v>
      </c>
      <c r="EV285" s="9" t="n">
        <v>0</v>
      </c>
      <c r="EZ285" s="9" t="inlineStr">
        <is>
          <t>TOTAL</t>
        </is>
      </c>
      <c r="FA285" s="9" t="n">
        <v>0</v>
      </c>
      <c r="FB285" s="9" t="n">
        <v>0</v>
      </c>
      <c r="FC285" s="9" t="n">
        <v>0</v>
      </c>
      <c r="FD285" s="9" t="n">
        <v>0</v>
      </c>
      <c r="FE285" s="9" t="n">
        <v>0</v>
      </c>
      <c r="FI285" s="9" t="inlineStr">
        <is>
          <t>TOTAL</t>
        </is>
      </c>
      <c r="FJ285" s="9" t="n">
        <v>0</v>
      </c>
      <c r="FK285" s="9" t="n">
        <v>0</v>
      </c>
      <c r="FL285" s="9" t="n">
        <v>0</v>
      </c>
      <c r="FM285" s="9" t="n">
        <v>0</v>
      </c>
      <c r="FN285" s="9" t="n">
        <v>0</v>
      </c>
      <c r="FR285" s="9" t="inlineStr">
        <is>
          <t>TOTAL</t>
        </is>
      </c>
      <c r="FS285" s="9" t="n">
        <v>2000</v>
      </c>
      <c r="FT285" s="9" t="n">
        <v>400</v>
      </c>
      <c r="FU285" s="9" t="n">
        <v>520</v>
      </c>
      <c r="FV285" s="9" t="n">
        <v>-120</v>
      </c>
      <c r="FW285" s="9" t="n">
        <v>2020</v>
      </c>
      <c r="FX285" s="9" t="n">
        <v>101</v>
      </c>
      <c r="FY285" s="9" t="inlineStr">
        <is>
          <t>bags</t>
        </is>
      </c>
      <c r="GA285" s="9" t="inlineStr">
        <is>
          <t>TOTAL</t>
        </is>
      </c>
      <c r="GB285" s="9" t="n">
        <v>0</v>
      </c>
      <c r="GC285" s="9" t="n">
        <v>0</v>
      </c>
      <c r="GD285" s="9" t="n">
        <v>0</v>
      </c>
      <c r="GE285" s="9" t="n">
        <v>0</v>
      </c>
      <c r="GF285" s="9" t="n">
        <v>960</v>
      </c>
      <c r="GG285" s="9" t="n">
        <v>48</v>
      </c>
      <c r="GH285" s="9" t="inlineStr">
        <is>
          <t>bags</t>
        </is>
      </c>
      <c r="GJ285" s="9" t="inlineStr">
        <is>
          <t>TOTAL</t>
        </is>
      </c>
      <c r="GK285" s="9" t="n">
        <v>0</v>
      </c>
      <c r="GL285" s="9" t="n">
        <v>600</v>
      </c>
      <c r="GM285" s="9" t="n">
        <v>0</v>
      </c>
      <c r="GN285" s="9" t="n">
        <v>600</v>
      </c>
      <c r="GO285" s="9" t="n">
        <v>1760</v>
      </c>
      <c r="GP285" s="9" t="n">
        <v>88</v>
      </c>
      <c r="GQ285" s="9" t="inlineStr">
        <is>
          <t>bags</t>
        </is>
      </c>
      <c r="GS285" s="9" t="inlineStr">
        <is>
          <t>TOTAL</t>
        </is>
      </c>
      <c r="GT285" s="9" t="n">
        <v>0</v>
      </c>
      <c r="GU285" s="9" t="n">
        <v>0</v>
      </c>
      <c r="GV285" s="9" t="n">
        <v>0</v>
      </c>
      <c r="GW285" s="9" t="n">
        <v>0</v>
      </c>
      <c r="GX285" s="9" t="n">
        <v>400</v>
      </c>
      <c r="GY285" s="9" t="n">
        <v>20</v>
      </c>
      <c r="GZ285" s="9" t="inlineStr">
        <is>
          <t>bags</t>
        </is>
      </c>
      <c r="HB285" s="9" t="inlineStr">
        <is>
          <t>TOTAL</t>
        </is>
      </c>
      <c r="HC285" s="9" t="n">
        <v>0</v>
      </c>
      <c r="HD285" s="9" t="n">
        <v>0</v>
      </c>
      <c r="HE285" s="9" t="n">
        <v>0</v>
      </c>
      <c r="HF285" s="9" t="n">
        <v>0</v>
      </c>
      <c r="HG285" s="9" t="n">
        <v>3600</v>
      </c>
      <c r="HH285" s="9" t="n">
        <v>180</v>
      </c>
      <c r="HI285" s="9" t="inlineStr">
        <is>
          <t>bags</t>
        </is>
      </c>
      <c r="HK285" s="9" t="inlineStr">
        <is>
          <t>TOTAL</t>
        </is>
      </c>
      <c r="HL285" s="9" t="n">
        <v>0</v>
      </c>
      <c r="HM285" s="9" t="n">
        <v>0</v>
      </c>
      <c r="HN285" s="9" t="n">
        <v>0</v>
      </c>
      <c r="HO285" s="9" t="n">
        <v>0</v>
      </c>
      <c r="HP285" s="9" t="n">
        <v>0</v>
      </c>
      <c r="HU285" s="9" t="inlineStr">
        <is>
          <t>TOTAL</t>
        </is>
      </c>
      <c r="HV285" s="9" t="n">
        <v>2000</v>
      </c>
      <c r="HW285" s="9" t="n">
        <v>880</v>
      </c>
      <c r="HX285" s="9" t="n">
        <v>1800</v>
      </c>
      <c r="HY285" s="9" t="n">
        <v>-920</v>
      </c>
      <c r="HZ285" s="9" t="n">
        <v>6120</v>
      </c>
      <c r="IA285" s="9" t="n">
        <v>306</v>
      </c>
      <c r="IB285" s="9" t="inlineStr">
        <is>
          <t>bags</t>
        </is>
      </c>
      <c r="ID285" s="9" t="inlineStr">
        <is>
          <t>TOTAL</t>
        </is>
      </c>
      <c r="IE285" s="9" t="n">
        <v>0</v>
      </c>
      <c r="IF285" s="9" t="n">
        <v>0</v>
      </c>
      <c r="IG285" s="9" t="n">
        <v>720</v>
      </c>
      <c r="IH285" s="9" t="n">
        <v>-720</v>
      </c>
      <c r="II285" s="9" t="n">
        <v>0</v>
      </c>
      <c r="IJ285" s="9" t="n">
        <v>0</v>
      </c>
      <c r="IK285" s="9" t="inlineStr">
        <is>
          <t>bags</t>
        </is>
      </c>
      <c r="IM285" s="9" t="inlineStr">
        <is>
          <t>TOTAL</t>
        </is>
      </c>
      <c r="IN285" s="9" t="n">
        <v>0</v>
      </c>
      <c r="IO285" s="9" t="n">
        <v>0</v>
      </c>
      <c r="IP285" s="9" t="n">
        <v>1680</v>
      </c>
      <c r="IQ285" s="9" t="n">
        <v>-1680</v>
      </c>
      <c r="IR285" s="9" t="n">
        <v>0</v>
      </c>
      <c r="IS285" s="9" t="n">
        <v>0</v>
      </c>
      <c r="IT285" s="9" t="inlineStr">
        <is>
          <t>bags</t>
        </is>
      </c>
      <c r="IV285" s="9" t="inlineStr">
        <is>
          <t>TOTAL</t>
        </is>
      </c>
      <c r="IW285" s="9" t="n">
        <v>0</v>
      </c>
      <c r="IX285" s="9" t="n">
        <v>0</v>
      </c>
      <c r="IY285" s="9" t="n">
        <v>2140</v>
      </c>
      <c r="IZ285" s="9" t="n">
        <v>-2140</v>
      </c>
      <c r="JA285" s="9" t="n">
        <v>2820</v>
      </c>
      <c r="JB285" s="9" t="n">
        <v>141</v>
      </c>
      <c r="JC285" s="9" t="inlineStr">
        <is>
          <t>bags</t>
        </is>
      </c>
      <c r="JE285" s="9" t="inlineStr">
        <is>
          <t>TOTAL</t>
        </is>
      </c>
      <c r="JF285" s="9" t="n">
        <v>0</v>
      </c>
      <c r="JG285" s="9" t="n">
        <v>20</v>
      </c>
      <c r="JH285" s="9" t="n">
        <v>0</v>
      </c>
      <c r="JI285" s="9" t="n">
        <v>20</v>
      </c>
      <c r="JJ285" s="9" t="n">
        <v>0</v>
      </c>
      <c r="JN285" s="9" t="inlineStr">
        <is>
          <t>TOTAL</t>
        </is>
      </c>
      <c r="JO285" s="9" t="n">
        <v>0</v>
      </c>
      <c r="JP285" s="9" t="n">
        <v>0</v>
      </c>
      <c r="JQ285" s="9" t="n">
        <v>0</v>
      </c>
      <c r="JR285" s="9" t="n">
        <v>0</v>
      </c>
      <c r="JS285" s="9" t="n">
        <v>0</v>
      </c>
      <c r="JW285" s="9" t="inlineStr">
        <is>
          <t>TOTAL</t>
        </is>
      </c>
      <c r="JX285" s="9" t="n">
        <v>0</v>
      </c>
      <c r="JY285" s="9" t="n">
        <v>0</v>
      </c>
      <c r="JZ285" s="9" t="n">
        <v>0</v>
      </c>
      <c r="KA285" s="9" t="n">
        <v>0</v>
      </c>
      <c r="KB285" s="9" t="n">
        <v>2540</v>
      </c>
      <c r="KC285" s="9" t="n">
        <v>127</v>
      </c>
      <c r="KD285" s="9" t="inlineStr">
        <is>
          <t>bags</t>
        </is>
      </c>
      <c r="KF285" s="9" t="inlineStr">
        <is>
          <t>TOTAL</t>
        </is>
      </c>
      <c r="KG285" s="9" t="n">
        <v>0</v>
      </c>
      <c r="KH285" s="9" t="n">
        <v>0</v>
      </c>
      <c r="KI285" s="9" t="n">
        <v>0</v>
      </c>
      <c r="KJ285" s="9" t="n">
        <v>0</v>
      </c>
      <c r="KK285" s="9" t="n">
        <v>2359.5</v>
      </c>
      <c r="KL285" s="9" t="n">
        <v>121</v>
      </c>
      <c r="KM285" s="9" t="inlineStr">
        <is>
          <t>bags</t>
        </is>
      </c>
      <c r="KO285" s="9" t="inlineStr">
        <is>
          <t>TOTAL</t>
        </is>
      </c>
      <c r="KP285" s="9" t="n">
        <v>0</v>
      </c>
      <c r="KQ285" s="9" t="n">
        <v>0</v>
      </c>
      <c r="KR285" s="9" t="n">
        <v>0</v>
      </c>
      <c r="KS285" s="9" t="n">
        <v>0</v>
      </c>
      <c r="KT285" s="9" t="n">
        <v>1890</v>
      </c>
      <c r="KU285" s="9" t="n">
        <v>100</v>
      </c>
      <c r="KV285" s="9" t="inlineStr">
        <is>
          <t>bags</t>
        </is>
      </c>
      <c r="KX285" s="9" t="inlineStr">
        <is>
          <t>TOTAL</t>
        </is>
      </c>
      <c r="KY285" s="9" t="n">
        <v>0</v>
      </c>
      <c r="KZ285" s="9" t="n">
        <v>0</v>
      </c>
      <c r="LA285" s="9" t="n">
        <v>0</v>
      </c>
      <c r="LB285" s="9" t="n">
        <v>0</v>
      </c>
      <c r="LC285" s="9" t="n">
        <v>3690</v>
      </c>
      <c r="LD285" s="9" t="n">
        <v>180</v>
      </c>
      <c r="LE285" s="9" t="inlineStr">
        <is>
          <t>bags</t>
        </is>
      </c>
      <c r="LG285" s="9" t="inlineStr">
        <is>
          <t>TOTAL</t>
        </is>
      </c>
      <c r="LH285" s="9" t="n">
        <v>0</v>
      </c>
      <c r="LI285" s="9" t="n">
        <v>0</v>
      </c>
      <c r="LJ285" s="9" t="n">
        <v>0</v>
      </c>
      <c r="LK285" s="9" t="n">
        <v>0</v>
      </c>
      <c r="LL285" s="9" t="n">
        <v>4000</v>
      </c>
      <c r="LM285" s="9" t="n">
        <v>200</v>
      </c>
      <c r="LN285" s="9" t="inlineStr">
        <is>
          <t>bags</t>
        </is>
      </c>
      <c r="LP285" s="9" t="inlineStr">
        <is>
          <t>TOTAL</t>
        </is>
      </c>
      <c r="LQ285" s="9" t="n">
        <v>0</v>
      </c>
      <c r="LR285" s="9" t="n">
        <v>0</v>
      </c>
      <c r="LS285" s="9" t="n">
        <v>0</v>
      </c>
      <c r="LT285" s="9" t="n">
        <v>0</v>
      </c>
      <c r="LU285" s="9" t="n">
        <v>0</v>
      </c>
      <c r="LY285" s="9" t="inlineStr">
        <is>
          <t>TOTAL</t>
        </is>
      </c>
      <c r="LZ285" s="9" t="n">
        <v>0</v>
      </c>
      <c r="MA285" s="9" t="n">
        <v>0</v>
      </c>
      <c r="MB285" s="9" t="n">
        <v>0</v>
      </c>
      <c r="MC285" s="9" t="n">
        <v>0</v>
      </c>
      <c r="MD285" s="9" t="n">
        <v>0</v>
      </c>
      <c r="MH285" s="9" t="inlineStr">
        <is>
          <t>TOTAL</t>
        </is>
      </c>
      <c r="MI285" s="9" t="n">
        <v>0</v>
      </c>
      <c r="MJ285" s="9" t="n">
        <v>0</v>
      </c>
      <c r="MK285" s="9" t="n">
        <v>0</v>
      </c>
      <c r="ML285" s="9" t="n">
        <v>0</v>
      </c>
      <c r="MM285" s="9" t="n">
        <v>0</v>
      </c>
      <c r="MQ285" s="9" t="inlineStr">
        <is>
          <t>TOTAL</t>
        </is>
      </c>
      <c r="MR285" s="9" t="n">
        <v>0</v>
      </c>
      <c r="MS285" s="9" t="n">
        <v>32</v>
      </c>
      <c r="MT285" s="9" t="n">
        <v>591</v>
      </c>
      <c r="MU285" s="9" t="n">
        <v>-559</v>
      </c>
      <c r="MV285" s="9" t="n">
        <v>1625</v>
      </c>
      <c r="MZ285" s="9" t="inlineStr">
        <is>
          <t>TOTAL</t>
        </is>
      </c>
      <c r="NA285" s="9" t="n">
        <v>0</v>
      </c>
      <c r="NB285" s="9" t="n">
        <v>135</v>
      </c>
      <c r="NC285" s="9" t="n">
        <v>0</v>
      </c>
      <c r="ND285" s="9" t="n">
        <v>135</v>
      </c>
      <c r="NE285" s="9" t="n">
        <v>0</v>
      </c>
      <c r="NI285" s="9" t="inlineStr">
        <is>
          <t>TOTAL</t>
        </is>
      </c>
      <c r="NJ285" s="9" t="n">
        <v>0</v>
      </c>
      <c r="NK285" s="9" t="n">
        <v>0</v>
      </c>
      <c r="NL285" s="9" t="n">
        <v>0</v>
      </c>
      <c r="NM285" s="9" t="n">
        <v>0</v>
      </c>
      <c r="NN285" s="9" t="n">
        <v>1127</v>
      </c>
      <c r="NR285" s="9" t="inlineStr">
        <is>
          <t>TOTAL</t>
        </is>
      </c>
      <c r="NS285" s="9" t="n">
        <v>0</v>
      </c>
      <c r="NT285" s="9" t="n">
        <v>0</v>
      </c>
      <c r="NU285" s="9" t="n">
        <v>0</v>
      </c>
      <c r="NV285" s="9" t="n">
        <v>0</v>
      </c>
      <c r="NW285" s="9" t="n">
        <v>3112</v>
      </c>
      <c r="OA285" s="9" t="inlineStr">
        <is>
          <t>TOTAL</t>
        </is>
      </c>
      <c r="OB285" s="9" t="n">
        <v>0</v>
      </c>
      <c r="OC285" s="9" t="n">
        <v>0</v>
      </c>
      <c r="OD285" s="9" t="n">
        <v>0</v>
      </c>
      <c r="OE285" s="9" t="n">
        <v>0</v>
      </c>
      <c r="OF285" s="9" t="n">
        <v>1680.5</v>
      </c>
      <c r="OJ285" s="9" t="inlineStr">
        <is>
          <t>TOTAL</t>
        </is>
      </c>
      <c r="OK285" s="9" t="n">
        <v>0</v>
      </c>
      <c r="OL285" s="9" t="n">
        <v>0</v>
      </c>
      <c r="OM285" s="9" t="n">
        <v>0</v>
      </c>
      <c r="ON285" s="9" t="n">
        <v>0</v>
      </c>
      <c r="OO285" s="9" t="n">
        <v>0</v>
      </c>
      <c r="OS285" s="9" t="inlineStr">
        <is>
          <t>TOTAL</t>
        </is>
      </c>
      <c r="OT285" s="9" t="n">
        <v>0</v>
      </c>
      <c r="OU285" s="9" t="n">
        <v>1</v>
      </c>
      <c r="OV285" s="9" t="n">
        <v>0</v>
      </c>
      <c r="OW285" s="9" t="n">
        <v>1</v>
      </c>
      <c r="OX285" s="9" t="n">
        <v>1482</v>
      </c>
      <c r="PB285" s="9" t="inlineStr">
        <is>
          <t>TOTAL</t>
        </is>
      </c>
      <c r="PC285" s="9" t="n">
        <v>0</v>
      </c>
      <c r="PD285" s="9" t="n">
        <v>0</v>
      </c>
      <c r="PE285" s="9" t="n">
        <v>0</v>
      </c>
      <c r="PF285" s="9" t="n">
        <v>0</v>
      </c>
      <c r="PG285" s="9" t="n">
        <v>0</v>
      </c>
      <c r="PK285" s="9" t="inlineStr">
        <is>
          <t>TOTAL</t>
        </is>
      </c>
      <c r="PL285" s="9" t="n">
        <v>0</v>
      </c>
      <c r="PM285" s="9" t="n">
        <v>0</v>
      </c>
      <c r="PN285" s="9" t="n">
        <v>0</v>
      </c>
      <c r="PO285" s="9" t="n">
        <v>0</v>
      </c>
      <c r="PP285" s="9" t="n">
        <v>100</v>
      </c>
      <c r="PT285" s="9" t="inlineStr">
        <is>
          <t>TOTAL</t>
        </is>
      </c>
      <c r="PU285" s="9" t="n">
        <v>0</v>
      </c>
      <c r="PV285" s="9" t="n">
        <v>0</v>
      </c>
      <c r="PW285" s="9" t="n">
        <v>0</v>
      </c>
      <c r="PX285" s="9" t="n">
        <v>0</v>
      </c>
      <c r="PY285" s="9" t="n">
        <v>13.96000000000004</v>
      </c>
      <c r="QC285" s="9" t="inlineStr">
        <is>
          <t>TOTAL</t>
        </is>
      </c>
      <c r="QD285" s="9" t="n">
        <v>0</v>
      </c>
      <c r="QE285" s="9" t="n">
        <v>4</v>
      </c>
      <c r="QF285" s="9" t="n">
        <v>736</v>
      </c>
      <c r="QG285" s="9" t="n">
        <v>-732</v>
      </c>
      <c r="QH285" s="9" t="n">
        <v>548</v>
      </c>
      <c r="QL285" s="9" t="inlineStr">
        <is>
          <t>TOTAL</t>
        </is>
      </c>
      <c r="QM285" s="9" t="n">
        <v>0</v>
      </c>
      <c r="QN285" s="9" t="n">
        <v>0</v>
      </c>
      <c r="QO285" s="9" t="n">
        <v>0</v>
      </c>
      <c r="QP285" s="9" t="n">
        <v>0</v>
      </c>
      <c r="QQ285" s="9" t="n">
        <v>0</v>
      </c>
      <c r="QU285" s="9" t="inlineStr">
        <is>
          <t>TOTAL</t>
        </is>
      </c>
      <c r="QV285" s="9" t="n">
        <v>0</v>
      </c>
      <c r="QW285" s="9" t="n">
        <v>0</v>
      </c>
      <c r="QX285" s="9" t="n">
        <v>207.6</v>
      </c>
      <c r="QY285" s="9" t="n">
        <v>-207.6</v>
      </c>
      <c r="QZ285" s="9" t="n">
        <v>0</v>
      </c>
      <c r="RD285" s="9" t="inlineStr">
        <is>
          <t>TOTAL</t>
        </is>
      </c>
      <c r="RE285" s="9" t="n">
        <v>0</v>
      </c>
      <c r="RF285" s="9" t="n">
        <v>0</v>
      </c>
      <c r="RG285" s="9" t="n">
        <v>0</v>
      </c>
      <c r="RH285" s="9" t="n">
        <v>0</v>
      </c>
      <c r="RI285" s="9" t="n">
        <v>147.04</v>
      </c>
      <c r="RM285" s="9" t="inlineStr">
        <is>
          <t>TOTAL</t>
        </is>
      </c>
      <c r="RN285" s="9" t="n">
        <v>0</v>
      </c>
      <c r="RO285" s="9" t="n">
        <v>0</v>
      </c>
      <c r="RP285" s="9" t="n">
        <v>0</v>
      </c>
      <c r="RQ285" s="9" t="n">
        <v>0</v>
      </c>
      <c r="RR285" s="9" t="n">
        <v>46.8</v>
      </c>
      <c r="RV285" s="9" t="inlineStr">
        <is>
          <t>TOTAL</t>
        </is>
      </c>
      <c r="RW285" s="9" t="n">
        <v>0</v>
      </c>
      <c r="RX285" s="9" t="n">
        <v>0</v>
      </c>
      <c r="RY285" s="9" t="n">
        <v>0</v>
      </c>
      <c r="RZ285" s="9" t="n">
        <v>0</v>
      </c>
      <c r="SA285" s="9" t="n">
        <v>0</v>
      </c>
      <c r="SE285" s="9" t="inlineStr">
        <is>
          <t>TOTAL</t>
        </is>
      </c>
      <c r="SF285" s="9" t="n">
        <v>0</v>
      </c>
      <c r="SG285" s="9" t="n">
        <v>0</v>
      </c>
      <c r="SH285" s="9" t="n">
        <v>0</v>
      </c>
      <c r="SI285" s="9" t="n">
        <v>0</v>
      </c>
      <c r="SJ285" s="9" t="n">
        <v>24.2</v>
      </c>
      <c r="SN285" s="9" t="inlineStr">
        <is>
          <t>TOTAL</t>
        </is>
      </c>
      <c r="SO285" s="9" t="n">
        <v>0</v>
      </c>
      <c r="SP285" s="9" t="n">
        <v>0</v>
      </c>
      <c r="SQ285" s="9" t="n">
        <v>0</v>
      </c>
      <c r="SR285" s="9" t="n">
        <v>0</v>
      </c>
      <c r="SS285" s="9" t="n">
        <v>32</v>
      </c>
      <c r="SW285" s="9" t="inlineStr">
        <is>
          <t>TOTAL</t>
        </is>
      </c>
      <c r="SX285" s="9" t="n">
        <v>0</v>
      </c>
      <c r="SY285" s="9" t="n">
        <v>0</v>
      </c>
      <c r="SZ285" s="9" t="n">
        <v>0</v>
      </c>
      <c r="TA285" s="9" t="n">
        <v>0</v>
      </c>
      <c r="TB285" s="9" t="n">
        <v>0</v>
      </c>
      <c r="TF285" s="9" t="inlineStr">
        <is>
          <t>TOTAL</t>
        </is>
      </c>
      <c r="TG285" s="9" t="n">
        <v>0</v>
      </c>
      <c r="TH285" s="9" t="n">
        <v>0</v>
      </c>
      <c r="TI285" s="9" t="n">
        <v>0</v>
      </c>
      <c r="TJ285" s="9" t="n">
        <v>0</v>
      </c>
      <c r="TK285" s="9" t="n">
        <v>0</v>
      </c>
      <c r="TO285" s="9" t="inlineStr">
        <is>
          <t>TOTAL</t>
        </is>
      </c>
      <c r="TP285" s="9" t="n">
        <v>0</v>
      </c>
      <c r="TQ285" s="9" t="n">
        <v>0</v>
      </c>
      <c r="TR285" s="9" t="n">
        <v>10.4</v>
      </c>
      <c r="TS285" s="9" t="n">
        <v>-10.4</v>
      </c>
      <c r="TT285" s="9" t="n">
        <v>0</v>
      </c>
      <c r="TX285" s="9" t="inlineStr">
        <is>
          <t>TOTAL</t>
        </is>
      </c>
      <c r="TY285" s="9" t="n">
        <v>0</v>
      </c>
      <c r="TZ285" s="9" t="n">
        <v>0</v>
      </c>
      <c r="UA285" s="9" t="n">
        <v>0</v>
      </c>
      <c r="UB285" s="9" t="n">
        <v>0</v>
      </c>
      <c r="UC285" s="9" t="n">
        <v>46.79999999999998</v>
      </c>
      <c r="UG285" s="9" t="inlineStr">
        <is>
          <t>TOTAL</t>
        </is>
      </c>
      <c r="UH285" s="9" t="n">
        <v>0</v>
      </c>
      <c r="UI285" s="9" t="n">
        <v>0</v>
      </c>
      <c r="UJ285" s="9" t="n">
        <v>0</v>
      </c>
      <c r="UK285" s="9" t="n">
        <v>0</v>
      </c>
      <c r="UL285" s="9" t="n">
        <v>204</v>
      </c>
      <c r="UP285" s="9" t="inlineStr">
        <is>
          <t>TOTAL</t>
        </is>
      </c>
      <c r="UQ285" s="9" t="n">
        <v>0</v>
      </c>
      <c r="UR285" s="9" t="n">
        <v>0</v>
      </c>
      <c r="US285" s="9" t="n">
        <v>0</v>
      </c>
      <c r="UT285" s="9" t="n">
        <v>0</v>
      </c>
      <c r="UU285" s="9" t="n">
        <v>202.5</v>
      </c>
      <c r="UY285" s="9" t="inlineStr">
        <is>
          <t>TOTAL</t>
        </is>
      </c>
      <c r="UZ285" s="9" t="n">
        <v>0</v>
      </c>
      <c r="VA285" s="9" t="n">
        <v>0</v>
      </c>
      <c r="VB285" s="9" t="n">
        <v>0</v>
      </c>
      <c r="VC285" s="9" t="n">
        <v>0</v>
      </c>
      <c r="VD285" s="9" t="n">
        <v>41.60000000000002</v>
      </c>
      <c r="VH285" s="9" t="inlineStr">
        <is>
          <t>TOTAL</t>
        </is>
      </c>
      <c r="VI285" s="9" t="n">
        <v>0</v>
      </c>
      <c r="VJ285" s="9" t="n">
        <v>0</v>
      </c>
      <c r="VK285" s="9" t="n">
        <v>0</v>
      </c>
      <c r="VL285" s="9" t="n">
        <v>0</v>
      </c>
      <c r="VM285" s="9" t="n">
        <v>210</v>
      </c>
      <c r="VQ285" s="9" t="inlineStr">
        <is>
          <t>TOTAL</t>
        </is>
      </c>
      <c r="VR285" s="9" t="n">
        <v>0</v>
      </c>
      <c r="VS285" s="9" t="n">
        <v>0</v>
      </c>
      <c r="VT285" s="9" t="n">
        <v>0</v>
      </c>
      <c r="VU285" s="9" t="n">
        <v>0</v>
      </c>
      <c r="VV285" s="9" t="n">
        <v>0</v>
      </c>
      <c r="VZ285" s="9" t="inlineStr">
        <is>
          <t>TOTAL</t>
        </is>
      </c>
      <c r="WA285" s="9" t="n">
        <v>0</v>
      </c>
      <c r="WB285" s="9" t="n">
        <v>0</v>
      </c>
      <c r="WC285" s="9" t="n">
        <v>0</v>
      </c>
      <c r="WD285" s="9" t="n">
        <v>0</v>
      </c>
      <c r="WE285" s="9" t="n">
        <v>0</v>
      </c>
      <c r="WI285" s="9" t="inlineStr">
        <is>
          <t>TOTAL</t>
        </is>
      </c>
      <c r="WJ285" s="9" t="n">
        <v>0</v>
      </c>
      <c r="WK285" s="9" t="n">
        <v>0</v>
      </c>
      <c r="WL285" s="9" t="n">
        <v>0</v>
      </c>
      <c r="WM285" s="9" t="n">
        <v>0</v>
      </c>
      <c r="WN285" s="9" t="n">
        <v>1057</v>
      </c>
      <c r="WR285" s="9" t="inlineStr">
        <is>
          <t>TOTAL</t>
        </is>
      </c>
      <c r="WS285" s="9" t="n">
        <v>0</v>
      </c>
      <c r="WT285" s="9" t="n">
        <v>0</v>
      </c>
      <c r="WU285" s="9" t="n">
        <v>0</v>
      </c>
      <c r="WV285" s="9" t="n">
        <v>0</v>
      </c>
      <c r="WW285" s="9" t="n">
        <v>0</v>
      </c>
      <c r="XA285" s="9" t="inlineStr">
        <is>
          <t>TOTAL</t>
        </is>
      </c>
      <c r="XB285" s="9" t="n">
        <v>0</v>
      </c>
      <c r="XC285" s="9" t="n">
        <v>0</v>
      </c>
      <c r="XD285" s="9" t="n">
        <v>0</v>
      </c>
      <c r="XE285" s="9" t="n">
        <v>0</v>
      </c>
      <c r="XF285" s="9" t="n">
        <v>7507</v>
      </c>
      <c r="XJ285" s="9" t="inlineStr">
        <is>
          <t>TOTAL</t>
        </is>
      </c>
      <c r="XK285" s="9" t="n">
        <v>0</v>
      </c>
      <c r="XL285" s="9" t="n">
        <v>0</v>
      </c>
      <c r="XM285" s="9" t="n">
        <v>0</v>
      </c>
      <c r="XN285" s="9" t="n">
        <v>0</v>
      </c>
      <c r="XO285" s="9" t="n">
        <v>4252</v>
      </c>
      <c r="XS285" s="9" t="inlineStr">
        <is>
          <t>TOTAL</t>
        </is>
      </c>
      <c r="XT285" s="9" t="n">
        <v>0</v>
      </c>
      <c r="XU285" s="9" t="n">
        <v>0</v>
      </c>
      <c r="XV285" s="9" t="n">
        <v>0</v>
      </c>
      <c r="XW285" s="9" t="n">
        <v>0</v>
      </c>
      <c r="XX285" s="9" t="n">
        <v>2179</v>
      </c>
      <c r="YB285" s="9" t="inlineStr">
        <is>
          <t>TOTAL</t>
        </is>
      </c>
      <c r="YC285" s="9" t="n">
        <v>0</v>
      </c>
      <c r="YD285" s="9" t="n">
        <v>0</v>
      </c>
      <c r="YE285" s="9" t="n">
        <v>0</v>
      </c>
      <c r="YF285" s="9" t="n">
        <v>0</v>
      </c>
      <c r="YG285" s="9" t="n">
        <v>4019</v>
      </c>
      <c r="YK285" s="9" t="inlineStr">
        <is>
          <t>TOTAL</t>
        </is>
      </c>
      <c r="YL285" s="9" t="n">
        <v>0</v>
      </c>
      <c r="YM285" s="9" t="n">
        <v>0</v>
      </c>
      <c r="YN285" s="9" t="n">
        <v>218</v>
      </c>
      <c r="YO285" s="9" t="n">
        <v>-218</v>
      </c>
      <c r="YP285" s="9" t="n">
        <v>-218</v>
      </c>
      <c r="YT285" s="9" t="inlineStr">
        <is>
          <t>TOTAL</t>
        </is>
      </c>
      <c r="YU285" s="9" t="n">
        <v>0</v>
      </c>
      <c r="YV285" s="9" t="n">
        <v>0</v>
      </c>
      <c r="YW285" s="9" t="n">
        <v>0</v>
      </c>
      <c r="YX285" s="9" t="n">
        <v>0</v>
      </c>
      <c r="YY285" s="9" t="n">
        <v>0</v>
      </c>
      <c r="ZC285" s="9" t="inlineStr">
        <is>
          <t>TOTAL</t>
        </is>
      </c>
      <c r="ZD285" s="9" t="n">
        <v>0</v>
      </c>
      <c r="ZE285" s="9" t="n">
        <v>0</v>
      </c>
      <c r="ZF285" s="9" t="n">
        <v>0</v>
      </c>
      <c r="ZG285" s="9" t="n">
        <v>0</v>
      </c>
      <c r="ZH285" s="9" t="n">
        <v>0</v>
      </c>
      <c r="ZL285" s="9" t="inlineStr">
        <is>
          <t>TOTAL</t>
        </is>
      </c>
      <c r="ZM285" s="9" t="n">
        <v>0</v>
      </c>
      <c r="ZN285" s="9" t="n">
        <v>0</v>
      </c>
      <c r="ZO285" s="9" t="n">
        <v>0</v>
      </c>
      <c r="ZP285" s="9" t="n">
        <v>0</v>
      </c>
      <c r="ZQ285" s="9" t="n">
        <v>0</v>
      </c>
      <c r="ZU285" s="9" t="inlineStr">
        <is>
          <t>TOTAL</t>
        </is>
      </c>
      <c r="ZV285" s="9" t="n">
        <v>0</v>
      </c>
      <c r="ZW285" s="9" t="n">
        <v>0</v>
      </c>
      <c r="ZX285" s="9" t="n">
        <v>0</v>
      </c>
      <c r="ZY285" s="9" t="n">
        <v>0</v>
      </c>
      <c r="ZZ285" s="9" t="n">
        <v>0</v>
      </c>
      <c r="AAD285" s="9" t="inlineStr">
        <is>
          <t>TOTAL</t>
        </is>
      </c>
      <c r="AAE285" s="9" t="n">
        <v>0</v>
      </c>
      <c r="AAF285" s="9" t="n">
        <v>0</v>
      </c>
      <c r="AAG285" s="9" t="n">
        <v>0</v>
      </c>
      <c r="AAH285" s="9" t="n">
        <v>0</v>
      </c>
      <c r="AAI285" s="9" t="n">
        <v>0</v>
      </c>
      <c r="AAM285" s="9" t="inlineStr">
        <is>
          <t>TOTAL</t>
        </is>
      </c>
      <c r="AAN285" s="9" t="n">
        <v>0</v>
      </c>
      <c r="AAO285" s="9" t="n">
        <v>0</v>
      </c>
      <c r="AAP285" s="9" t="n">
        <v>0</v>
      </c>
      <c r="AAQ285" s="9" t="n">
        <v>0</v>
      </c>
      <c r="AAR285" s="9" t="n">
        <v>0</v>
      </c>
      <c r="AAV285" s="9" t="inlineStr">
        <is>
          <t>TOTAL</t>
        </is>
      </c>
      <c r="AAW285" s="9" t="n">
        <v>0</v>
      </c>
      <c r="AAX285" s="9" t="n">
        <v>0</v>
      </c>
      <c r="AAY285" s="9" t="n">
        <v>0</v>
      </c>
      <c r="AAZ285" s="9" t="n">
        <v>0</v>
      </c>
      <c r="ABA285" s="9" t="n">
        <v>0</v>
      </c>
      <c r="ABE285" s="9" t="inlineStr">
        <is>
          <t>TOTAL</t>
        </is>
      </c>
      <c r="ABF285" s="9" t="n">
        <v>0</v>
      </c>
      <c r="ABG285" s="9" t="n">
        <v>0</v>
      </c>
      <c r="ABH285" s="9" t="n">
        <v>0</v>
      </c>
      <c r="ABI285" s="9" t="n">
        <v>0</v>
      </c>
      <c r="ABJ285" s="9" t="n">
        <v>0</v>
      </c>
    </row>
    <row r="286"/>
    <row r="287">
      <c r="A287" s="9" t="inlineStr">
        <is>
          <t>SEP</t>
        </is>
      </c>
      <c r="C287" s="9" t="inlineStr">
        <is>
          <t>SEPTEMBER</t>
        </is>
      </c>
      <c r="J287" s="9" t="inlineStr">
        <is>
          <t>SEP</t>
        </is>
      </c>
      <c r="L287" s="9" t="inlineStr">
        <is>
          <t>SEPTEMBER</t>
        </is>
      </c>
      <c r="S287" s="9" t="inlineStr">
        <is>
          <t>SEP</t>
        </is>
      </c>
      <c r="U287" s="9" t="inlineStr">
        <is>
          <t>SEPTEMBER</t>
        </is>
      </c>
      <c r="AB287" s="9" t="inlineStr">
        <is>
          <t>SEP</t>
        </is>
      </c>
      <c r="AD287" s="9" t="inlineStr">
        <is>
          <t>SEPTEMBER</t>
        </is>
      </c>
      <c r="AK287" s="9" t="inlineStr">
        <is>
          <t>SEP</t>
        </is>
      </c>
      <c r="AM287" s="9" t="inlineStr">
        <is>
          <t>SEPTEMBER</t>
        </is>
      </c>
      <c r="AT287" s="9" t="inlineStr">
        <is>
          <t>SEP</t>
        </is>
      </c>
      <c r="AV287" s="9" t="inlineStr">
        <is>
          <t>SEPTEMBER</t>
        </is>
      </c>
      <c r="BC287" s="9" t="inlineStr">
        <is>
          <t>SEP</t>
        </is>
      </c>
      <c r="BE287" s="9" t="inlineStr">
        <is>
          <t>SEPTEMBER</t>
        </is>
      </c>
      <c r="BL287" s="9" t="inlineStr">
        <is>
          <t>SEP</t>
        </is>
      </c>
      <c r="BN287" s="9" t="inlineStr">
        <is>
          <t>SEPTEMBER</t>
        </is>
      </c>
      <c r="BU287" s="9" t="inlineStr">
        <is>
          <t>SEP</t>
        </is>
      </c>
      <c r="BW287" s="9" t="inlineStr">
        <is>
          <t>SEPTEMBER</t>
        </is>
      </c>
      <c r="CD287" s="9" t="inlineStr">
        <is>
          <t>SEP</t>
        </is>
      </c>
      <c r="CF287" s="9" t="inlineStr">
        <is>
          <t>SEPTEMBER</t>
        </is>
      </c>
      <c r="CM287" s="9" t="inlineStr">
        <is>
          <t>SEP</t>
        </is>
      </c>
      <c r="CO287" s="9" t="inlineStr">
        <is>
          <t>SEPTEMBER</t>
        </is>
      </c>
      <c r="CV287" s="9" t="inlineStr">
        <is>
          <t>SEP</t>
        </is>
      </c>
      <c r="CX287" s="9" t="inlineStr">
        <is>
          <t>SEPTEMBER</t>
        </is>
      </c>
      <c r="DE287" s="9" t="inlineStr">
        <is>
          <t>SEP</t>
        </is>
      </c>
      <c r="DG287" s="9" t="inlineStr">
        <is>
          <t>SEPTEMBER</t>
        </is>
      </c>
      <c r="DN287" s="9" t="inlineStr">
        <is>
          <t>SEP</t>
        </is>
      </c>
      <c r="DP287" s="9" t="inlineStr">
        <is>
          <t>SEPTEMBER</t>
        </is>
      </c>
      <c r="DW287" s="9" t="inlineStr">
        <is>
          <t>SEP</t>
        </is>
      </c>
      <c r="DY287" s="9" t="inlineStr">
        <is>
          <t>SEPTEMBER</t>
        </is>
      </c>
      <c r="EF287" s="9" t="inlineStr">
        <is>
          <t>SEP</t>
        </is>
      </c>
      <c r="EH287" s="9" t="inlineStr">
        <is>
          <t>SEPTEMBER</t>
        </is>
      </c>
      <c r="EO287" s="9" t="inlineStr">
        <is>
          <t>SEP</t>
        </is>
      </c>
      <c r="EQ287" s="9" t="inlineStr">
        <is>
          <t>SEPTEMBER</t>
        </is>
      </c>
      <c r="EX287" s="9" t="inlineStr">
        <is>
          <t>SEP</t>
        </is>
      </c>
      <c r="EZ287" s="9" t="inlineStr">
        <is>
          <t>SEPTEMBER</t>
        </is>
      </c>
      <c r="FG287" s="9" t="inlineStr">
        <is>
          <t>SEP</t>
        </is>
      </c>
      <c r="FI287" s="9" t="inlineStr">
        <is>
          <t>SEPTEMBER</t>
        </is>
      </c>
      <c r="FP287" s="9" t="inlineStr">
        <is>
          <t>SEP</t>
        </is>
      </c>
      <c r="FR287" s="9" t="inlineStr">
        <is>
          <t>SEPTEMBER</t>
        </is>
      </c>
      <c r="FY287" s="9" t="inlineStr">
        <is>
          <t>SEP</t>
        </is>
      </c>
      <c r="GA287" s="9" t="inlineStr">
        <is>
          <t>SEPTEMBER</t>
        </is>
      </c>
      <c r="GH287" s="9" t="inlineStr">
        <is>
          <t>SEP</t>
        </is>
      </c>
      <c r="GJ287" s="9" t="inlineStr">
        <is>
          <t>SEPTEMBER</t>
        </is>
      </c>
      <c r="GQ287" s="9" t="inlineStr">
        <is>
          <t>SEP</t>
        </is>
      </c>
      <c r="GS287" s="9" t="inlineStr">
        <is>
          <t>SEPTEMBER</t>
        </is>
      </c>
      <c r="GZ287" s="9" t="inlineStr">
        <is>
          <t>SEP</t>
        </is>
      </c>
      <c r="HB287" s="9" t="inlineStr">
        <is>
          <t>SEPTEMBER</t>
        </is>
      </c>
      <c r="HI287" s="9" t="inlineStr">
        <is>
          <t>SEP</t>
        </is>
      </c>
      <c r="HK287" s="9" t="inlineStr">
        <is>
          <t>SEPTEMBER</t>
        </is>
      </c>
      <c r="HS287" s="9" t="inlineStr">
        <is>
          <t>SEP</t>
        </is>
      </c>
      <c r="HU287" s="9" t="inlineStr">
        <is>
          <t>SEPTEMBER</t>
        </is>
      </c>
      <c r="IB287" s="9" t="inlineStr">
        <is>
          <t>SEP</t>
        </is>
      </c>
      <c r="ID287" s="9" t="inlineStr">
        <is>
          <t>SEPTEMBER</t>
        </is>
      </c>
      <c r="IK287" s="9" t="inlineStr">
        <is>
          <t>SEP</t>
        </is>
      </c>
      <c r="IM287" s="9" t="inlineStr">
        <is>
          <t>SEPTEMBER</t>
        </is>
      </c>
      <c r="IT287" s="9" t="inlineStr">
        <is>
          <t>SEP</t>
        </is>
      </c>
      <c r="IV287" s="9" t="inlineStr">
        <is>
          <t>SEPTEMBER</t>
        </is>
      </c>
      <c r="JC287" s="9" t="inlineStr">
        <is>
          <t>SEP</t>
        </is>
      </c>
      <c r="JE287" s="9" t="inlineStr">
        <is>
          <t>SEPTEMBER</t>
        </is>
      </c>
      <c r="JL287" s="9" t="inlineStr">
        <is>
          <t>SEP</t>
        </is>
      </c>
      <c r="JN287" s="9" t="inlineStr">
        <is>
          <t>SEPTEMBER</t>
        </is>
      </c>
      <c r="JU287" s="9" t="inlineStr">
        <is>
          <t>SEP</t>
        </is>
      </c>
      <c r="JW287" s="9" t="inlineStr">
        <is>
          <t>SEPTEMBER</t>
        </is>
      </c>
      <c r="KD287" s="9" t="inlineStr">
        <is>
          <t>SEP</t>
        </is>
      </c>
      <c r="KF287" s="9" t="inlineStr">
        <is>
          <t>SEPTEMBER</t>
        </is>
      </c>
      <c r="KM287" s="9" t="inlineStr">
        <is>
          <t>SEP</t>
        </is>
      </c>
      <c r="KO287" s="9" t="inlineStr">
        <is>
          <t>SEPTEMBER</t>
        </is>
      </c>
      <c r="KV287" s="9" t="inlineStr">
        <is>
          <t>SEP</t>
        </is>
      </c>
      <c r="KX287" s="9" t="inlineStr">
        <is>
          <t>SEPTEMBER</t>
        </is>
      </c>
      <c r="LE287" s="9" t="inlineStr">
        <is>
          <t>SEP</t>
        </is>
      </c>
      <c r="LG287" s="9" t="inlineStr">
        <is>
          <t>SEPTEMBER</t>
        </is>
      </c>
      <c r="LN287" s="9" t="inlineStr">
        <is>
          <t>SEP</t>
        </is>
      </c>
      <c r="LP287" s="9" t="inlineStr">
        <is>
          <t>SEPTEMBER</t>
        </is>
      </c>
      <c r="LW287" s="9" t="inlineStr">
        <is>
          <t>SEP</t>
        </is>
      </c>
      <c r="LY287" s="9" t="inlineStr">
        <is>
          <t>SEPTEMBER</t>
        </is>
      </c>
      <c r="MF287" s="9" t="inlineStr">
        <is>
          <t>SEP</t>
        </is>
      </c>
      <c r="MH287" s="9" t="inlineStr">
        <is>
          <t>SEPTEMBER</t>
        </is>
      </c>
      <c r="MO287" s="9" t="inlineStr">
        <is>
          <t>SEP</t>
        </is>
      </c>
      <c r="MQ287" s="9" t="inlineStr">
        <is>
          <t>SEPTEMBER</t>
        </is>
      </c>
      <c r="MX287" s="9" t="inlineStr">
        <is>
          <t>SEP</t>
        </is>
      </c>
      <c r="MZ287" s="9" t="inlineStr">
        <is>
          <t>SEPTEMBER</t>
        </is>
      </c>
      <c r="NG287" s="9" t="inlineStr">
        <is>
          <t>SEP</t>
        </is>
      </c>
      <c r="NI287" s="9" t="inlineStr">
        <is>
          <t>SEPTEMBER</t>
        </is>
      </c>
      <c r="NP287" s="9" t="inlineStr">
        <is>
          <t>SEP</t>
        </is>
      </c>
      <c r="NR287" s="9" t="inlineStr">
        <is>
          <t>SEPTEMBER</t>
        </is>
      </c>
      <c r="NY287" s="9" t="inlineStr">
        <is>
          <t>SEP</t>
        </is>
      </c>
      <c r="OA287" s="9" t="inlineStr">
        <is>
          <t>SEPTEMBER</t>
        </is>
      </c>
      <c r="OH287" s="9" t="inlineStr">
        <is>
          <t>SEP</t>
        </is>
      </c>
      <c r="OJ287" s="9" t="inlineStr">
        <is>
          <t>SEPTEMBER</t>
        </is>
      </c>
      <c r="OQ287" s="9" t="inlineStr">
        <is>
          <t>SEP</t>
        </is>
      </c>
      <c r="OS287" s="9" t="inlineStr">
        <is>
          <t>SEPTEMBER</t>
        </is>
      </c>
      <c r="OZ287" s="9" t="inlineStr">
        <is>
          <t>SEP</t>
        </is>
      </c>
      <c r="PB287" s="9" t="inlineStr">
        <is>
          <t>SEPTEMBER</t>
        </is>
      </c>
      <c r="PI287" s="9" t="inlineStr">
        <is>
          <t>SEP</t>
        </is>
      </c>
      <c r="PK287" s="9" t="inlineStr">
        <is>
          <t>SEPTEMBER</t>
        </is>
      </c>
      <c r="PR287" s="9" t="inlineStr">
        <is>
          <t>SEP</t>
        </is>
      </c>
      <c r="PT287" s="9" t="inlineStr">
        <is>
          <t>SEPTEMBER</t>
        </is>
      </c>
      <c r="QA287" s="9" t="inlineStr">
        <is>
          <t>SEP</t>
        </is>
      </c>
      <c r="QC287" s="9" t="inlineStr">
        <is>
          <t>SEPTEMBER</t>
        </is>
      </c>
      <c r="QJ287" s="9" t="inlineStr">
        <is>
          <t>SEP</t>
        </is>
      </c>
      <c r="QL287" s="9" t="inlineStr">
        <is>
          <t>SEPTEMBER</t>
        </is>
      </c>
      <c r="QS287" s="9" t="inlineStr">
        <is>
          <t>SEP</t>
        </is>
      </c>
      <c r="QU287" s="9" t="inlineStr">
        <is>
          <t>SEPTEMBER</t>
        </is>
      </c>
      <c r="RB287" s="9" t="inlineStr">
        <is>
          <t>SEP</t>
        </is>
      </c>
      <c r="RD287" s="9" t="inlineStr">
        <is>
          <t>SEPTEMBER</t>
        </is>
      </c>
      <c r="RK287" s="9" t="inlineStr">
        <is>
          <t>SEP</t>
        </is>
      </c>
      <c r="RM287" s="9" t="inlineStr">
        <is>
          <t>SEPTEMBER</t>
        </is>
      </c>
      <c r="RT287" s="9" t="inlineStr">
        <is>
          <t>SEP</t>
        </is>
      </c>
      <c r="RV287" s="9" t="inlineStr">
        <is>
          <t>SEPTEMBER</t>
        </is>
      </c>
      <c r="SC287" s="9" t="inlineStr">
        <is>
          <t>SEP</t>
        </is>
      </c>
      <c r="SE287" s="9" t="inlineStr">
        <is>
          <t>SEPTEMBER</t>
        </is>
      </c>
      <c r="SL287" s="9" t="inlineStr">
        <is>
          <t>SEP</t>
        </is>
      </c>
      <c r="SN287" s="9" t="inlineStr">
        <is>
          <t>SEPTEMBER</t>
        </is>
      </c>
      <c r="SU287" s="9" t="inlineStr">
        <is>
          <t>SEP</t>
        </is>
      </c>
      <c r="SW287" s="9" t="inlineStr">
        <is>
          <t>SEPTEMBER</t>
        </is>
      </c>
      <c r="TD287" s="9" t="inlineStr">
        <is>
          <t>SEP</t>
        </is>
      </c>
      <c r="TF287" s="9" t="inlineStr">
        <is>
          <t>SEPTEMBER</t>
        </is>
      </c>
      <c r="TM287" s="9" t="inlineStr">
        <is>
          <t>SEP</t>
        </is>
      </c>
      <c r="TO287" s="9" t="inlineStr">
        <is>
          <t>SEPTEMBER</t>
        </is>
      </c>
      <c r="TV287" s="9" t="inlineStr">
        <is>
          <t>SEP</t>
        </is>
      </c>
      <c r="TX287" s="9" t="inlineStr">
        <is>
          <t>SEPTEMBER</t>
        </is>
      </c>
      <c r="UE287" s="9" t="inlineStr">
        <is>
          <t>SEP</t>
        </is>
      </c>
      <c r="UG287" s="9" t="inlineStr">
        <is>
          <t>SEPTEMBER</t>
        </is>
      </c>
      <c r="UN287" s="9" t="inlineStr">
        <is>
          <t>SEP</t>
        </is>
      </c>
      <c r="UP287" s="9" t="inlineStr">
        <is>
          <t>SEPTEMBER</t>
        </is>
      </c>
      <c r="UW287" s="9" t="inlineStr">
        <is>
          <t>SEP</t>
        </is>
      </c>
      <c r="UY287" s="9" t="inlineStr">
        <is>
          <t>SEPTEMBER</t>
        </is>
      </c>
      <c r="VF287" s="9" t="inlineStr">
        <is>
          <t>SEP</t>
        </is>
      </c>
      <c r="VH287" s="9" t="inlineStr">
        <is>
          <t>SEPTEMBER</t>
        </is>
      </c>
      <c r="VO287" s="9" t="inlineStr">
        <is>
          <t>SEP</t>
        </is>
      </c>
      <c r="VQ287" s="9" t="inlineStr">
        <is>
          <t>SEPTEMBER</t>
        </is>
      </c>
      <c r="VX287" s="9" t="inlineStr">
        <is>
          <t>SEP</t>
        </is>
      </c>
      <c r="VZ287" s="9" t="inlineStr">
        <is>
          <t>SEPTEMBER</t>
        </is>
      </c>
      <c r="WG287" s="9" t="inlineStr">
        <is>
          <t>SEP</t>
        </is>
      </c>
      <c r="WI287" s="9" t="inlineStr">
        <is>
          <t>SEPTEMBER</t>
        </is>
      </c>
      <c r="WP287" s="9" t="inlineStr">
        <is>
          <t>SEP</t>
        </is>
      </c>
      <c r="WR287" s="9" t="inlineStr">
        <is>
          <t>SEPTEMBER</t>
        </is>
      </c>
      <c r="WY287" s="9" t="inlineStr">
        <is>
          <t>SEP</t>
        </is>
      </c>
      <c r="XA287" s="9" t="inlineStr">
        <is>
          <t>SEPTEMBER</t>
        </is>
      </c>
      <c r="XH287" s="9" t="inlineStr">
        <is>
          <t>SEP</t>
        </is>
      </c>
      <c r="XJ287" s="9" t="inlineStr">
        <is>
          <t>SEPTEMBER</t>
        </is>
      </c>
      <c r="XQ287" s="9" t="inlineStr">
        <is>
          <t>SEP</t>
        </is>
      </c>
      <c r="XS287" s="9" t="inlineStr">
        <is>
          <t>SEPTEMBER</t>
        </is>
      </c>
      <c r="XZ287" s="9" t="inlineStr">
        <is>
          <t>SEP</t>
        </is>
      </c>
      <c r="YB287" s="9" t="inlineStr">
        <is>
          <t>SEPTEMBER</t>
        </is>
      </c>
      <c r="YI287" s="9" t="inlineStr">
        <is>
          <t>SEP</t>
        </is>
      </c>
      <c r="YK287" s="9" t="inlineStr">
        <is>
          <t>SEPTEMBER</t>
        </is>
      </c>
      <c r="YR287" s="9" t="inlineStr">
        <is>
          <t>SEP</t>
        </is>
      </c>
      <c r="YT287" s="9" t="inlineStr">
        <is>
          <t>SEPTEMBER</t>
        </is>
      </c>
      <c r="ZA287" s="9" t="inlineStr">
        <is>
          <t>SEP</t>
        </is>
      </c>
      <c r="ZC287" s="9" t="inlineStr">
        <is>
          <t>SEPTEMBER</t>
        </is>
      </c>
      <c r="ZJ287" s="9" t="inlineStr">
        <is>
          <t>SEP</t>
        </is>
      </c>
      <c r="ZL287" s="9" t="inlineStr">
        <is>
          <t>SEPTEMBER</t>
        </is>
      </c>
      <c r="ZS287" s="9" t="inlineStr">
        <is>
          <t>SEP</t>
        </is>
      </c>
      <c r="ZU287" s="9" t="inlineStr">
        <is>
          <t>SEPTEMBER</t>
        </is>
      </c>
      <c r="AAB287" s="9" t="inlineStr">
        <is>
          <t>SEP</t>
        </is>
      </c>
      <c r="AAD287" s="9" t="inlineStr">
        <is>
          <t>SEPTEMBER</t>
        </is>
      </c>
      <c r="AAK287" s="9" t="inlineStr">
        <is>
          <t>SEP</t>
        </is>
      </c>
      <c r="AAM287" s="9" t="inlineStr">
        <is>
          <t>SEPTEMBER</t>
        </is>
      </c>
      <c r="AAT287" s="9" t="inlineStr">
        <is>
          <t>SEP</t>
        </is>
      </c>
      <c r="AAV287" s="9" t="inlineStr">
        <is>
          <t>SEPTEMBER</t>
        </is>
      </c>
      <c r="ABC287" s="9" t="inlineStr">
        <is>
          <t>SEP</t>
        </is>
      </c>
      <c r="ABE287" s="9" t="inlineStr">
        <is>
          <t>SEPTEMBER</t>
        </is>
      </c>
    </row>
    <row r="288">
      <c r="C288" s="9" t="inlineStr">
        <is>
          <t>Date</t>
        </is>
      </c>
      <c r="D288" s="9" t="inlineStr">
        <is>
          <t>Intake</t>
        </is>
      </c>
      <c r="E288" s="9" t="inlineStr">
        <is>
          <t>Usage</t>
        </is>
      </c>
      <c r="F288" s="9" t="inlineStr">
        <is>
          <t>Actual</t>
        </is>
      </c>
      <c r="G288" s="9" t="inlineStr">
        <is>
          <t>Adjustment</t>
        </is>
      </c>
      <c r="H288" s="9" t="inlineStr">
        <is>
          <t>Balance</t>
        </is>
      </c>
      <c r="I288" s="9" t="inlineStr">
        <is>
          <t>Remarks</t>
        </is>
      </c>
      <c r="L288" s="9" t="inlineStr">
        <is>
          <t>Date</t>
        </is>
      </c>
      <c r="M288" s="9" t="inlineStr">
        <is>
          <t>Intake</t>
        </is>
      </c>
      <c r="N288" s="9" t="inlineStr">
        <is>
          <t>Usage</t>
        </is>
      </c>
      <c r="O288" s="9" t="inlineStr">
        <is>
          <t>Actual</t>
        </is>
      </c>
      <c r="P288" s="9" t="inlineStr">
        <is>
          <t>Adjustment</t>
        </is>
      </c>
      <c r="Q288" s="9" t="inlineStr">
        <is>
          <t>Balance</t>
        </is>
      </c>
      <c r="R288" s="9" t="inlineStr">
        <is>
          <t>Remarks</t>
        </is>
      </c>
      <c r="U288" s="9" t="inlineStr">
        <is>
          <t>Date</t>
        </is>
      </c>
      <c r="V288" s="9" t="inlineStr">
        <is>
          <t>Intake</t>
        </is>
      </c>
      <c r="W288" s="9" t="inlineStr">
        <is>
          <t>Usage</t>
        </is>
      </c>
      <c r="X288" s="9" t="inlineStr">
        <is>
          <t>Actual</t>
        </is>
      </c>
      <c r="Y288" s="9" t="inlineStr">
        <is>
          <t>Adjustment</t>
        </is>
      </c>
      <c r="Z288" s="9" t="inlineStr">
        <is>
          <t>Balance</t>
        </is>
      </c>
      <c r="AA288" s="9" t="inlineStr">
        <is>
          <t>Remarks</t>
        </is>
      </c>
      <c r="AD288" s="9" t="inlineStr">
        <is>
          <t>Date</t>
        </is>
      </c>
      <c r="AE288" s="9" t="inlineStr">
        <is>
          <t>Intake</t>
        </is>
      </c>
      <c r="AF288" s="9" t="inlineStr">
        <is>
          <t>Usage</t>
        </is>
      </c>
      <c r="AG288" s="9" t="inlineStr">
        <is>
          <t>Actual</t>
        </is>
      </c>
      <c r="AH288" s="9" t="inlineStr">
        <is>
          <t>Adjustment</t>
        </is>
      </c>
      <c r="AI288" s="9" t="inlineStr">
        <is>
          <t>Balance</t>
        </is>
      </c>
      <c r="AJ288" s="9" t="inlineStr">
        <is>
          <t>Remarks</t>
        </is>
      </c>
      <c r="AM288" s="9" t="inlineStr">
        <is>
          <t>Date</t>
        </is>
      </c>
      <c r="AN288" s="9" t="inlineStr">
        <is>
          <t>Intake</t>
        </is>
      </c>
      <c r="AO288" s="9" t="inlineStr">
        <is>
          <t>Usage</t>
        </is>
      </c>
      <c r="AP288" s="9" t="inlineStr">
        <is>
          <t>Actual</t>
        </is>
      </c>
      <c r="AQ288" s="9" t="inlineStr">
        <is>
          <t>Adjustment</t>
        </is>
      </c>
      <c r="AR288" s="9" t="inlineStr">
        <is>
          <t>Balance</t>
        </is>
      </c>
      <c r="AS288" s="9" t="inlineStr">
        <is>
          <t>Remarks</t>
        </is>
      </c>
      <c r="AV288" s="9" t="inlineStr">
        <is>
          <t>Date</t>
        </is>
      </c>
      <c r="AW288" s="9" t="inlineStr">
        <is>
          <t>Intake</t>
        </is>
      </c>
      <c r="AX288" s="9" t="inlineStr">
        <is>
          <t>Usage</t>
        </is>
      </c>
      <c r="AY288" s="9" t="inlineStr">
        <is>
          <t>Actual</t>
        </is>
      </c>
      <c r="AZ288" s="9" t="inlineStr">
        <is>
          <t>Adjustment</t>
        </is>
      </c>
      <c r="BA288" s="9" t="inlineStr">
        <is>
          <t>Balance</t>
        </is>
      </c>
      <c r="BB288" s="9" t="inlineStr">
        <is>
          <t>Remarks</t>
        </is>
      </c>
      <c r="BE288" s="9" t="inlineStr">
        <is>
          <t>Date</t>
        </is>
      </c>
      <c r="BF288" s="9" t="inlineStr">
        <is>
          <t>Intake</t>
        </is>
      </c>
      <c r="BG288" s="9" t="inlineStr">
        <is>
          <t>Usage</t>
        </is>
      </c>
      <c r="BH288" s="9" t="inlineStr">
        <is>
          <t>Actual</t>
        </is>
      </c>
      <c r="BI288" s="9" t="inlineStr">
        <is>
          <t>Adjustment</t>
        </is>
      </c>
      <c r="BJ288" s="9" t="inlineStr">
        <is>
          <t>Balance</t>
        </is>
      </c>
      <c r="BK288" s="9" t="inlineStr">
        <is>
          <t>Remarks</t>
        </is>
      </c>
      <c r="BN288" s="9" t="inlineStr">
        <is>
          <t>Date</t>
        </is>
      </c>
      <c r="BO288" s="9" t="inlineStr">
        <is>
          <t>Intake</t>
        </is>
      </c>
      <c r="BP288" s="9" t="inlineStr">
        <is>
          <t>Usage</t>
        </is>
      </c>
      <c r="BQ288" s="9" t="inlineStr">
        <is>
          <t>Actual</t>
        </is>
      </c>
      <c r="BR288" s="9" t="inlineStr">
        <is>
          <t>Adjustment</t>
        </is>
      </c>
      <c r="BS288" s="9" t="inlineStr">
        <is>
          <t>Balance</t>
        </is>
      </c>
      <c r="BT288" s="9" t="inlineStr">
        <is>
          <t>Remarks</t>
        </is>
      </c>
      <c r="BW288" s="9" t="inlineStr">
        <is>
          <t>Date</t>
        </is>
      </c>
      <c r="BX288" s="9" t="inlineStr">
        <is>
          <t>Intake</t>
        </is>
      </c>
      <c r="BY288" s="9" t="inlineStr">
        <is>
          <t>Usage</t>
        </is>
      </c>
      <c r="BZ288" s="9" t="inlineStr">
        <is>
          <t>Actual</t>
        </is>
      </c>
      <c r="CA288" s="9" t="inlineStr">
        <is>
          <t>Adjustment</t>
        </is>
      </c>
      <c r="CB288" s="9" t="inlineStr">
        <is>
          <t>Balance</t>
        </is>
      </c>
      <c r="CC288" s="9" t="inlineStr">
        <is>
          <t>Remarks</t>
        </is>
      </c>
      <c r="CF288" s="9" t="inlineStr">
        <is>
          <t>Date</t>
        </is>
      </c>
      <c r="CG288" s="9" t="inlineStr">
        <is>
          <t>Intake</t>
        </is>
      </c>
      <c r="CH288" s="9" t="inlineStr">
        <is>
          <t>Usage</t>
        </is>
      </c>
      <c r="CI288" s="9" t="inlineStr">
        <is>
          <t>Actual</t>
        </is>
      </c>
      <c r="CJ288" s="9" t="inlineStr">
        <is>
          <t>Adjustment</t>
        </is>
      </c>
      <c r="CK288" s="9" t="inlineStr">
        <is>
          <t>Balance</t>
        </is>
      </c>
      <c r="CL288" s="9" t="inlineStr">
        <is>
          <t>Remarks</t>
        </is>
      </c>
      <c r="CO288" s="9" t="inlineStr">
        <is>
          <t>Date</t>
        </is>
      </c>
      <c r="CP288" s="9" t="inlineStr">
        <is>
          <t>Intake</t>
        </is>
      </c>
      <c r="CQ288" s="9" t="inlineStr">
        <is>
          <t>Usage</t>
        </is>
      </c>
      <c r="CR288" s="9" t="inlineStr">
        <is>
          <t>Actual</t>
        </is>
      </c>
      <c r="CS288" s="9" t="inlineStr">
        <is>
          <t>Adjustment</t>
        </is>
      </c>
      <c r="CT288" s="9" t="inlineStr">
        <is>
          <t>Balance</t>
        </is>
      </c>
      <c r="CU288" s="9" t="inlineStr">
        <is>
          <t>Remarks</t>
        </is>
      </c>
      <c r="CX288" s="9" t="inlineStr">
        <is>
          <t>Date</t>
        </is>
      </c>
      <c r="CY288" s="9" t="inlineStr">
        <is>
          <t>Intake</t>
        </is>
      </c>
      <c r="CZ288" s="9" t="inlineStr">
        <is>
          <t>Usage</t>
        </is>
      </c>
      <c r="DA288" s="9" t="inlineStr">
        <is>
          <t>Actual</t>
        </is>
      </c>
      <c r="DB288" s="9" t="inlineStr">
        <is>
          <t>Adjustment</t>
        </is>
      </c>
      <c r="DC288" s="9" t="inlineStr">
        <is>
          <t>Balance</t>
        </is>
      </c>
      <c r="DD288" s="9" t="inlineStr">
        <is>
          <t>Remarks</t>
        </is>
      </c>
      <c r="DG288" s="9" t="inlineStr">
        <is>
          <t>Date</t>
        </is>
      </c>
      <c r="DH288" s="9" t="inlineStr">
        <is>
          <t>Intake</t>
        </is>
      </c>
      <c r="DI288" s="9" t="inlineStr">
        <is>
          <t>Usage</t>
        </is>
      </c>
      <c r="DJ288" s="9" t="inlineStr">
        <is>
          <t>Actual</t>
        </is>
      </c>
      <c r="DK288" s="9" t="inlineStr">
        <is>
          <t>Adjustment</t>
        </is>
      </c>
      <c r="DL288" s="9" t="inlineStr">
        <is>
          <t>Balance</t>
        </is>
      </c>
      <c r="DM288" s="9" t="inlineStr">
        <is>
          <t>Remarks</t>
        </is>
      </c>
      <c r="DP288" s="9" t="inlineStr">
        <is>
          <t>Date</t>
        </is>
      </c>
      <c r="DQ288" s="9" t="inlineStr">
        <is>
          <t>Intake</t>
        </is>
      </c>
      <c r="DR288" s="9" t="inlineStr">
        <is>
          <t>Usage</t>
        </is>
      </c>
      <c r="DS288" s="9" t="inlineStr">
        <is>
          <t>Actual</t>
        </is>
      </c>
      <c r="DT288" s="9" t="inlineStr">
        <is>
          <t>Adjustment</t>
        </is>
      </c>
      <c r="DU288" s="9" t="inlineStr">
        <is>
          <t>Balance</t>
        </is>
      </c>
      <c r="DV288" s="9" t="inlineStr">
        <is>
          <t>Remarks</t>
        </is>
      </c>
      <c r="DY288" s="9" t="inlineStr">
        <is>
          <t>Date</t>
        </is>
      </c>
      <c r="DZ288" s="9" t="inlineStr">
        <is>
          <t>Intake</t>
        </is>
      </c>
      <c r="EA288" s="9" t="inlineStr">
        <is>
          <t>Usage</t>
        </is>
      </c>
      <c r="EB288" s="9" t="inlineStr">
        <is>
          <t>Actual</t>
        </is>
      </c>
      <c r="EC288" s="9" t="inlineStr">
        <is>
          <t>Adjustment</t>
        </is>
      </c>
      <c r="ED288" s="9" t="inlineStr">
        <is>
          <t>Balance</t>
        </is>
      </c>
      <c r="EE288" s="9" t="inlineStr">
        <is>
          <t>Remarks</t>
        </is>
      </c>
      <c r="EH288" s="9" t="inlineStr">
        <is>
          <t>Date</t>
        </is>
      </c>
      <c r="EI288" s="9" t="inlineStr">
        <is>
          <t>Intake</t>
        </is>
      </c>
      <c r="EJ288" s="9" t="inlineStr">
        <is>
          <t>Usage</t>
        </is>
      </c>
      <c r="EK288" s="9" t="inlineStr">
        <is>
          <t>Actual</t>
        </is>
      </c>
      <c r="EL288" s="9" t="inlineStr">
        <is>
          <t>Adjustment</t>
        </is>
      </c>
      <c r="EM288" s="9" t="inlineStr">
        <is>
          <t>Balance</t>
        </is>
      </c>
      <c r="EN288" s="9" t="inlineStr">
        <is>
          <t>Remarks</t>
        </is>
      </c>
      <c r="EQ288" s="9" t="inlineStr">
        <is>
          <t>Date</t>
        </is>
      </c>
      <c r="ER288" s="9" t="inlineStr">
        <is>
          <t>Intake</t>
        </is>
      </c>
      <c r="ES288" s="9" t="inlineStr">
        <is>
          <t>Usage</t>
        </is>
      </c>
      <c r="ET288" s="9" t="inlineStr">
        <is>
          <t>Actual</t>
        </is>
      </c>
      <c r="EU288" s="9" t="inlineStr">
        <is>
          <t>Adjustment</t>
        </is>
      </c>
      <c r="EV288" s="9" t="inlineStr">
        <is>
          <t>Balance</t>
        </is>
      </c>
      <c r="EW288" s="9" t="inlineStr">
        <is>
          <t>Remarks</t>
        </is>
      </c>
      <c r="EZ288" s="9" t="inlineStr">
        <is>
          <t>Date</t>
        </is>
      </c>
      <c r="FA288" s="9" t="inlineStr">
        <is>
          <t>Intake</t>
        </is>
      </c>
      <c r="FB288" s="9" t="inlineStr">
        <is>
          <t>Usage</t>
        </is>
      </c>
      <c r="FC288" s="9" t="inlineStr">
        <is>
          <t>Actual</t>
        </is>
      </c>
      <c r="FD288" s="9" t="inlineStr">
        <is>
          <t>Adjustment</t>
        </is>
      </c>
      <c r="FE288" s="9" t="inlineStr">
        <is>
          <t>Balance</t>
        </is>
      </c>
      <c r="FF288" s="9" t="inlineStr">
        <is>
          <t>Remarks</t>
        </is>
      </c>
      <c r="FI288" s="9" t="inlineStr">
        <is>
          <t>Date</t>
        </is>
      </c>
      <c r="FJ288" s="9" t="inlineStr">
        <is>
          <t>Intake</t>
        </is>
      </c>
      <c r="FK288" s="9" t="inlineStr">
        <is>
          <t>Usage</t>
        </is>
      </c>
      <c r="FL288" s="9" t="inlineStr">
        <is>
          <t>Actual</t>
        </is>
      </c>
      <c r="FM288" s="9" t="inlineStr">
        <is>
          <t>Adjustment</t>
        </is>
      </c>
      <c r="FN288" s="9" t="inlineStr">
        <is>
          <t>Balance</t>
        </is>
      </c>
      <c r="FO288" s="9" t="inlineStr">
        <is>
          <t>Remarks</t>
        </is>
      </c>
      <c r="FR288" s="9" t="inlineStr">
        <is>
          <t>Date</t>
        </is>
      </c>
      <c r="FS288" s="9" t="inlineStr">
        <is>
          <t>Intake</t>
        </is>
      </c>
      <c r="FT288" s="9" t="inlineStr">
        <is>
          <t>Usage</t>
        </is>
      </c>
      <c r="FU288" s="9" t="inlineStr">
        <is>
          <t>Actual</t>
        </is>
      </c>
      <c r="FV288" s="9" t="inlineStr">
        <is>
          <t>Adjustment</t>
        </is>
      </c>
      <c r="FW288" s="9" t="inlineStr">
        <is>
          <t>Balance</t>
        </is>
      </c>
      <c r="FX288" s="9" t="inlineStr">
        <is>
          <t>Remarks</t>
        </is>
      </c>
      <c r="GA288" s="9" t="inlineStr">
        <is>
          <t>Date</t>
        </is>
      </c>
      <c r="GB288" s="9" t="inlineStr">
        <is>
          <t>Intake</t>
        </is>
      </c>
      <c r="GC288" s="9" t="inlineStr">
        <is>
          <t>Usage</t>
        </is>
      </c>
      <c r="GD288" s="9" t="inlineStr">
        <is>
          <t>Actual</t>
        </is>
      </c>
      <c r="GE288" s="9" t="inlineStr">
        <is>
          <t>Adjustment</t>
        </is>
      </c>
      <c r="GF288" s="9" t="inlineStr">
        <is>
          <t>Balance</t>
        </is>
      </c>
      <c r="GG288" s="9" t="inlineStr">
        <is>
          <t>Remarks</t>
        </is>
      </c>
      <c r="GJ288" s="9" t="inlineStr">
        <is>
          <t>Date</t>
        </is>
      </c>
      <c r="GK288" s="9" t="inlineStr">
        <is>
          <t>Intake</t>
        </is>
      </c>
      <c r="GL288" s="9" t="inlineStr">
        <is>
          <t>Usage</t>
        </is>
      </c>
      <c r="GM288" s="9" t="inlineStr">
        <is>
          <t>Actual</t>
        </is>
      </c>
      <c r="GN288" s="9" t="inlineStr">
        <is>
          <t>Adjustment</t>
        </is>
      </c>
      <c r="GO288" s="9" t="inlineStr">
        <is>
          <t>Balance</t>
        </is>
      </c>
      <c r="GP288" s="9" t="inlineStr">
        <is>
          <t>Remarks</t>
        </is>
      </c>
      <c r="GS288" s="9" t="inlineStr">
        <is>
          <t>Date</t>
        </is>
      </c>
      <c r="GT288" s="9" t="inlineStr">
        <is>
          <t>Intake</t>
        </is>
      </c>
      <c r="GU288" s="9" t="inlineStr">
        <is>
          <t>Usage</t>
        </is>
      </c>
      <c r="GV288" s="9" t="inlineStr">
        <is>
          <t>Actual</t>
        </is>
      </c>
      <c r="GW288" s="9" t="inlineStr">
        <is>
          <t>Adjustment</t>
        </is>
      </c>
      <c r="GX288" s="9" t="inlineStr">
        <is>
          <t>Balance</t>
        </is>
      </c>
      <c r="GY288" s="9" t="inlineStr">
        <is>
          <t>Remarks</t>
        </is>
      </c>
      <c r="HB288" s="9" t="inlineStr">
        <is>
          <t>Date</t>
        </is>
      </c>
      <c r="HC288" s="9" t="inlineStr">
        <is>
          <t>Intake</t>
        </is>
      </c>
      <c r="HD288" s="9" t="inlineStr">
        <is>
          <t>Usage</t>
        </is>
      </c>
      <c r="HE288" s="9" t="inlineStr">
        <is>
          <t>Actual</t>
        </is>
      </c>
      <c r="HF288" s="9" t="inlineStr">
        <is>
          <t>Adjustment</t>
        </is>
      </c>
      <c r="HG288" s="9" t="inlineStr">
        <is>
          <t>Balance</t>
        </is>
      </c>
      <c r="HH288" s="9" t="inlineStr">
        <is>
          <t>Remarks</t>
        </is>
      </c>
      <c r="HK288" s="9" t="inlineStr">
        <is>
          <t>Date</t>
        </is>
      </c>
      <c r="HL288" s="9" t="inlineStr">
        <is>
          <t>Intake</t>
        </is>
      </c>
      <c r="HM288" s="9" t="inlineStr">
        <is>
          <t>Usage</t>
        </is>
      </c>
      <c r="HN288" s="9" t="inlineStr">
        <is>
          <t>Actual</t>
        </is>
      </c>
      <c r="HO288" s="9" t="inlineStr">
        <is>
          <t>Adjustment</t>
        </is>
      </c>
      <c r="HP288" s="9" t="inlineStr">
        <is>
          <t>Balance</t>
        </is>
      </c>
      <c r="HQ288" s="9" t="inlineStr">
        <is>
          <t>Remarks</t>
        </is>
      </c>
      <c r="HU288" s="9" t="inlineStr">
        <is>
          <t>Date</t>
        </is>
      </c>
      <c r="HV288" s="9" t="inlineStr">
        <is>
          <t>Intake</t>
        </is>
      </c>
      <c r="HW288" s="9" t="inlineStr">
        <is>
          <t>Usage</t>
        </is>
      </c>
      <c r="HX288" s="9" t="inlineStr">
        <is>
          <t>Actual</t>
        </is>
      </c>
      <c r="HY288" s="9" t="inlineStr">
        <is>
          <t>Adjustment</t>
        </is>
      </c>
      <c r="HZ288" s="9" t="inlineStr">
        <is>
          <t>Balance</t>
        </is>
      </c>
      <c r="IA288" s="9" t="inlineStr">
        <is>
          <t>Remarks</t>
        </is>
      </c>
      <c r="ID288" s="9" t="inlineStr">
        <is>
          <t>Date</t>
        </is>
      </c>
      <c r="IE288" s="9" t="inlineStr">
        <is>
          <t>Intake</t>
        </is>
      </c>
      <c r="IF288" s="9" t="inlineStr">
        <is>
          <t>Usage</t>
        </is>
      </c>
      <c r="IG288" s="9" t="inlineStr">
        <is>
          <t>Actual</t>
        </is>
      </c>
      <c r="IH288" s="9" t="inlineStr">
        <is>
          <t>Adjustment</t>
        </is>
      </c>
      <c r="II288" s="9" t="inlineStr">
        <is>
          <t>Balance</t>
        </is>
      </c>
      <c r="IJ288" s="9" t="inlineStr">
        <is>
          <t>Remarks</t>
        </is>
      </c>
      <c r="IM288" s="9" t="inlineStr">
        <is>
          <t>Date</t>
        </is>
      </c>
      <c r="IN288" s="9" t="inlineStr">
        <is>
          <t>Intake</t>
        </is>
      </c>
      <c r="IO288" s="9" t="inlineStr">
        <is>
          <t>Usage</t>
        </is>
      </c>
      <c r="IP288" s="9" t="inlineStr">
        <is>
          <t>Actual</t>
        </is>
      </c>
      <c r="IQ288" s="9" t="inlineStr">
        <is>
          <t>Adjustment</t>
        </is>
      </c>
      <c r="IR288" s="9" t="inlineStr">
        <is>
          <t>Balance</t>
        </is>
      </c>
      <c r="IS288" s="9" t="inlineStr">
        <is>
          <t>Remarks</t>
        </is>
      </c>
      <c r="IV288" s="9" t="inlineStr">
        <is>
          <t>Date</t>
        </is>
      </c>
      <c r="IW288" s="9" t="inlineStr">
        <is>
          <t>Intake</t>
        </is>
      </c>
      <c r="IX288" s="9" t="inlineStr">
        <is>
          <t>Usage</t>
        </is>
      </c>
      <c r="IY288" s="9" t="inlineStr">
        <is>
          <t>Actual</t>
        </is>
      </c>
      <c r="IZ288" s="9" t="inlineStr">
        <is>
          <t>Adjustment</t>
        </is>
      </c>
      <c r="JA288" s="9" t="inlineStr">
        <is>
          <t>Balance</t>
        </is>
      </c>
      <c r="JB288" s="9" t="inlineStr">
        <is>
          <t>Remarks</t>
        </is>
      </c>
      <c r="JE288" s="9" t="inlineStr">
        <is>
          <t>Date</t>
        </is>
      </c>
      <c r="JF288" s="9" t="inlineStr">
        <is>
          <t>Intake</t>
        </is>
      </c>
      <c r="JG288" s="9" t="inlineStr">
        <is>
          <t>Usage</t>
        </is>
      </c>
      <c r="JH288" s="9" t="inlineStr">
        <is>
          <t>Actual</t>
        </is>
      </c>
      <c r="JI288" s="9" t="inlineStr">
        <is>
          <t>Adjustment</t>
        </is>
      </c>
      <c r="JJ288" s="9" t="inlineStr">
        <is>
          <t>Balance</t>
        </is>
      </c>
      <c r="JK288" s="9" t="inlineStr">
        <is>
          <t>Remarks</t>
        </is>
      </c>
      <c r="JN288" s="9" t="inlineStr">
        <is>
          <t>Date</t>
        </is>
      </c>
      <c r="JO288" s="9" t="inlineStr">
        <is>
          <t>Intake</t>
        </is>
      </c>
      <c r="JP288" s="9" t="inlineStr">
        <is>
          <t>Usage</t>
        </is>
      </c>
      <c r="JQ288" s="9" t="inlineStr">
        <is>
          <t>Actual</t>
        </is>
      </c>
      <c r="JR288" s="9" t="inlineStr">
        <is>
          <t>Adjustment</t>
        </is>
      </c>
      <c r="JS288" s="9" t="inlineStr">
        <is>
          <t>Balance</t>
        </is>
      </c>
      <c r="JT288" s="9" t="inlineStr">
        <is>
          <t>Remarks</t>
        </is>
      </c>
      <c r="JW288" s="9" t="inlineStr">
        <is>
          <t>Date</t>
        </is>
      </c>
      <c r="JX288" s="9" t="inlineStr">
        <is>
          <t>Intake</t>
        </is>
      </c>
      <c r="JY288" s="9" t="inlineStr">
        <is>
          <t>Usage</t>
        </is>
      </c>
      <c r="JZ288" s="9" t="inlineStr">
        <is>
          <t>Actual</t>
        </is>
      </c>
      <c r="KA288" s="9" t="inlineStr">
        <is>
          <t>Adjustment</t>
        </is>
      </c>
      <c r="KB288" s="9" t="inlineStr">
        <is>
          <t>Balance</t>
        </is>
      </c>
      <c r="KC288" s="9" t="inlineStr">
        <is>
          <t>Remarks</t>
        </is>
      </c>
      <c r="KF288" s="9" t="inlineStr">
        <is>
          <t>Date</t>
        </is>
      </c>
      <c r="KG288" s="9" t="inlineStr">
        <is>
          <t>Intake</t>
        </is>
      </c>
      <c r="KH288" s="9" t="inlineStr">
        <is>
          <t>Usage</t>
        </is>
      </c>
      <c r="KI288" s="9" t="inlineStr">
        <is>
          <t>Actual</t>
        </is>
      </c>
      <c r="KJ288" s="9" t="inlineStr">
        <is>
          <t>Adjustment</t>
        </is>
      </c>
      <c r="KK288" s="9" t="inlineStr">
        <is>
          <t>Balance</t>
        </is>
      </c>
      <c r="KL288" s="9" t="inlineStr">
        <is>
          <t>Remarks</t>
        </is>
      </c>
      <c r="KO288" s="9" t="inlineStr">
        <is>
          <t>Date</t>
        </is>
      </c>
      <c r="KP288" s="9" t="inlineStr">
        <is>
          <t>Intake</t>
        </is>
      </c>
      <c r="KQ288" s="9" t="inlineStr">
        <is>
          <t>Usage</t>
        </is>
      </c>
      <c r="KR288" s="9" t="inlineStr">
        <is>
          <t>Actual</t>
        </is>
      </c>
      <c r="KS288" s="9" t="inlineStr">
        <is>
          <t>Adjustment</t>
        </is>
      </c>
      <c r="KT288" s="9" t="inlineStr">
        <is>
          <t>Balance</t>
        </is>
      </c>
      <c r="KU288" s="9" t="inlineStr">
        <is>
          <t>Remarks</t>
        </is>
      </c>
      <c r="KX288" s="9" t="inlineStr">
        <is>
          <t>Date</t>
        </is>
      </c>
      <c r="KY288" s="9" t="inlineStr">
        <is>
          <t>Intake</t>
        </is>
      </c>
      <c r="KZ288" s="9" t="inlineStr">
        <is>
          <t>Usage</t>
        </is>
      </c>
      <c r="LA288" s="9" t="inlineStr">
        <is>
          <t>Actual</t>
        </is>
      </c>
      <c r="LB288" s="9" t="inlineStr">
        <is>
          <t>Adjustment</t>
        </is>
      </c>
      <c r="LC288" s="9" t="inlineStr">
        <is>
          <t>Balance</t>
        </is>
      </c>
      <c r="LD288" s="9" t="inlineStr">
        <is>
          <t>Remarks</t>
        </is>
      </c>
      <c r="LG288" s="9" t="inlineStr">
        <is>
          <t>Date</t>
        </is>
      </c>
      <c r="LH288" s="9" t="inlineStr">
        <is>
          <t>Intake</t>
        </is>
      </c>
      <c r="LI288" s="9" t="inlineStr">
        <is>
          <t>Usage</t>
        </is>
      </c>
      <c r="LJ288" s="9" t="inlineStr">
        <is>
          <t>Actual</t>
        </is>
      </c>
      <c r="LK288" s="9" t="inlineStr">
        <is>
          <t>Adjustment</t>
        </is>
      </c>
      <c r="LL288" s="9" t="inlineStr">
        <is>
          <t>Balance</t>
        </is>
      </c>
      <c r="LM288" s="9" t="inlineStr">
        <is>
          <t>Remarks</t>
        </is>
      </c>
      <c r="LP288" s="9" t="inlineStr">
        <is>
          <t>Date</t>
        </is>
      </c>
      <c r="LQ288" s="9" t="inlineStr">
        <is>
          <t>Intake</t>
        </is>
      </c>
      <c r="LR288" s="9" t="inlineStr">
        <is>
          <t>Usage</t>
        </is>
      </c>
      <c r="LS288" s="9" t="inlineStr">
        <is>
          <t>Actual</t>
        </is>
      </c>
      <c r="LT288" s="9" t="inlineStr">
        <is>
          <t>Adjustment</t>
        </is>
      </c>
      <c r="LU288" s="9" t="inlineStr">
        <is>
          <t>Balance</t>
        </is>
      </c>
      <c r="LV288" s="9" t="inlineStr">
        <is>
          <t>Remarks</t>
        </is>
      </c>
      <c r="LY288" s="9" t="inlineStr">
        <is>
          <t>Date</t>
        </is>
      </c>
      <c r="LZ288" s="9" t="inlineStr">
        <is>
          <t>Intake</t>
        </is>
      </c>
      <c r="MA288" s="9" t="inlineStr">
        <is>
          <t>Usage</t>
        </is>
      </c>
      <c r="MB288" s="9" t="inlineStr">
        <is>
          <t>Actual</t>
        </is>
      </c>
      <c r="MC288" s="9" t="inlineStr">
        <is>
          <t>Adjustment</t>
        </is>
      </c>
      <c r="MD288" s="9" t="inlineStr">
        <is>
          <t>Balance</t>
        </is>
      </c>
      <c r="ME288" s="9" t="inlineStr">
        <is>
          <t>Remarks</t>
        </is>
      </c>
      <c r="MH288" s="9" t="inlineStr">
        <is>
          <t>Date</t>
        </is>
      </c>
      <c r="MI288" s="9" t="inlineStr">
        <is>
          <t>Intake</t>
        </is>
      </c>
      <c r="MJ288" s="9" t="inlineStr">
        <is>
          <t>Usage</t>
        </is>
      </c>
      <c r="MK288" s="9" t="inlineStr">
        <is>
          <t>Actual</t>
        </is>
      </c>
      <c r="ML288" s="9" t="inlineStr">
        <is>
          <t>Adjustment</t>
        </is>
      </c>
      <c r="MM288" s="9" t="inlineStr">
        <is>
          <t>Balance</t>
        </is>
      </c>
      <c r="MN288" s="9" t="inlineStr">
        <is>
          <t>Remarks</t>
        </is>
      </c>
      <c r="MQ288" s="9" t="inlineStr">
        <is>
          <t>Date</t>
        </is>
      </c>
      <c r="MR288" s="9" t="inlineStr">
        <is>
          <t>Intake</t>
        </is>
      </c>
      <c r="MS288" s="9" t="inlineStr">
        <is>
          <t>Usage</t>
        </is>
      </c>
      <c r="MT288" s="9" t="inlineStr">
        <is>
          <t>Actual</t>
        </is>
      </c>
      <c r="MU288" s="9" t="inlineStr">
        <is>
          <t>Adjustment</t>
        </is>
      </c>
      <c r="MV288" s="9" t="inlineStr">
        <is>
          <t>Balance</t>
        </is>
      </c>
      <c r="MW288" s="9" t="inlineStr">
        <is>
          <t>Remarks</t>
        </is>
      </c>
      <c r="MZ288" s="9" t="inlineStr">
        <is>
          <t>Date</t>
        </is>
      </c>
      <c r="NA288" s="9" t="inlineStr">
        <is>
          <t>Intake</t>
        </is>
      </c>
      <c r="NB288" s="9" t="inlineStr">
        <is>
          <t>Usage</t>
        </is>
      </c>
      <c r="NC288" s="9" t="inlineStr">
        <is>
          <t>Actual</t>
        </is>
      </c>
      <c r="ND288" s="9" t="inlineStr">
        <is>
          <t>Adjustment</t>
        </is>
      </c>
      <c r="NE288" s="9" t="inlineStr">
        <is>
          <t>Balance</t>
        </is>
      </c>
      <c r="NF288" s="9" t="inlineStr">
        <is>
          <t>Remarks</t>
        </is>
      </c>
      <c r="NI288" s="9" t="inlineStr">
        <is>
          <t>Date</t>
        </is>
      </c>
      <c r="NJ288" s="9" t="inlineStr">
        <is>
          <t>Intake</t>
        </is>
      </c>
      <c r="NK288" s="9" t="inlineStr">
        <is>
          <t>Usage</t>
        </is>
      </c>
      <c r="NL288" s="9" t="inlineStr">
        <is>
          <t>Actual</t>
        </is>
      </c>
      <c r="NM288" s="9" t="inlineStr">
        <is>
          <t>Adjustment</t>
        </is>
      </c>
      <c r="NN288" s="9" t="inlineStr">
        <is>
          <t>Balance</t>
        </is>
      </c>
      <c r="NO288" s="9" t="inlineStr">
        <is>
          <t>Remarks</t>
        </is>
      </c>
      <c r="NR288" s="9" t="inlineStr">
        <is>
          <t>Date</t>
        </is>
      </c>
      <c r="NS288" s="9" t="inlineStr">
        <is>
          <t>Intake</t>
        </is>
      </c>
      <c r="NT288" s="9" t="inlineStr">
        <is>
          <t>Usage</t>
        </is>
      </c>
      <c r="NU288" s="9" t="inlineStr">
        <is>
          <t>Actual</t>
        </is>
      </c>
      <c r="NV288" s="9" t="inlineStr">
        <is>
          <t>Adjustment</t>
        </is>
      </c>
      <c r="NW288" s="9" t="inlineStr">
        <is>
          <t>Balance</t>
        </is>
      </c>
      <c r="NX288" s="9" t="inlineStr">
        <is>
          <t>Remarks</t>
        </is>
      </c>
      <c r="OA288" s="9" t="inlineStr">
        <is>
          <t>Date</t>
        </is>
      </c>
      <c r="OB288" s="9" t="inlineStr">
        <is>
          <t>Intake</t>
        </is>
      </c>
      <c r="OC288" s="9" t="inlineStr">
        <is>
          <t>Usage</t>
        </is>
      </c>
      <c r="OD288" s="9" t="inlineStr">
        <is>
          <t>Actual</t>
        </is>
      </c>
      <c r="OE288" s="9" t="inlineStr">
        <is>
          <t>Adjustment</t>
        </is>
      </c>
      <c r="OF288" s="9" t="inlineStr">
        <is>
          <t>Balance</t>
        </is>
      </c>
      <c r="OG288" s="9" t="inlineStr">
        <is>
          <t>Remarks</t>
        </is>
      </c>
      <c r="OJ288" s="9" t="inlineStr">
        <is>
          <t>Date</t>
        </is>
      </c>
      <c r="OK288" s="9" t="inlineStr">
        <is>
          <t>Intake</t>
        </is>
      </c>
      <c r="OL288" s="9" t="inlineStr">
        <is>
          <t>Usage</t>
        </is>
      </c>
      <c r="OM288" s="9" t="inlineStr">
        <is>
          <t>Actual</t>
        </is>
      </c>
      <c r="ON288" s="9" t="inlineStr">
        <is>
          <t>Adjustment</t>
        </is>
      </c>
      <c r="OO288" s="9" t="inlineStr">
        <is>
          <t>Balance</t>
        </is>
      </c>
      <c r="OP288" s="9" t="inlineStr">
        <is>
          <t>Remarks</t>
        </is>
      </c>
      <c r="OS288" s="9" t="inlineStr">
        <is>
          <t>Date</t>
        </is>
      </c>
      <c r="OT288" s="9" t="inlineStr">
        <is>
          <t>Intake</t>
        </is>
      </c>
      <c r="OU288" s="9" t="inlineStr">
        <is>
          <t>Usage</t>
        </is>
      </c>
      <c r="OV288" s="9" t="inlineStr">
        <is>
          <t>Actual</t>
        </is>
      </c>
      <c r="OW288" s="9" t="inlineStr">
        <is>
          <t>Adjustment</t>
        </is>
      </c>
      <c r="OX288" s="9" t="inlineStr">
        <is>
          <t>Balance</t>
        </is>
      </c>
      <c r="OY288" s="9" t="inlineStr">
        <is>
          <t>Remarks</t>
        </is>
      </c>
      <c r="PB288" s="9" t="inlineStr">
        <is>
          <t>Date</t>
        </is>
      </c>
      <c r="PC288" s="9" t="inlineStr">
        <is>
          <t>Intake</t>
        </is>
      </c>
      <c r="PD288" s="9" t="inlineStr">
        <is>
          <t>Usage</t>
        </is>
      </c>
      <c r="PE288" s="9" t="inlineStr">
        <is>
          <t>Actual</t>
        </is>
      </c>
      <c r="PF288" s="9" t="inlineStr">
        <is>
          <t>Adjustment</t>
        </is>
      </c>
      <c r="PG288" s="9" t="inlineStr">
        <is>
          <t>Balance</t>
        </is>
      </c>
      <c r="PH288" s="9" t="inlineStr">
        <is>
          <t>Remarks</t>
        </is>
      </c>
      <c r="PK288" s="9" t="inlineStr">
        <is>
          <t>Date</t>
        </is>
      </c>
      <c r="PL288" s="9" t="inlineStr">
        <is>
          <t>Intake</t>
        </is>
      </c>
      <c r="PM288" s="9" t="inlineStr">
        <is>
          <t>Usage</t>
        </is>
      </c>
      <c r="PN288" s="9" t="inlineStr">
        <is>
          <t>Actual</t>
        </is>
      </c>
      <c r="PO288" s="9" t="inlineStr">
        <is>
          <t>Adjustment</t>
        </is>
      </c>
      <c r="PP288" s="9" t="inlineStr">
        <is>
          <t>Balance</t>
        </is>
      </c>
      <c r="PQ288" s="9" t="inlineStr">
        <is>
          <t>Remarks</t>
        </is>
      </c>
      <c r="PT288" s="9" t="inlineStr">
        <is>
          <t>Date</t>
        </is>
      </c>
      <c r="PU288" s="9" t="inlineStr">
        <is>
          <t>Intake</t>
        </is>
      </c>
      <c r="PV288" s="9" t="inlineStr">
        <is>
          <t>Usage</t>
        </is>
      </c>
      <c r="PW288" s="9" t="inlineStr">
        <is>
          <t>Actual</t>
        </is>
      </c>
      <c r="PX288" s="9" t="inlineStr">
        <is>
          <t>Adjustment</t>
        </is>
      </c>
      <c r="PY288" s="9" t="inlineStr">
        <is>
          <t>Balance</t>
        </is>
      </c>
      <c r="PZ288" s="9" t="inlineStr">
        <is>
          <t>Remarks</t>
        </is>
      </c>
      <c r="QC288" s="9" t="inlineStr">
        <is>
          <t>Date</t>
        </is>
      </c>
      <c r="QD288" s="9" t="inlineStr">
        <is>
          <t>Intake</t>
        </is>
      </c>
      <c r="QE288" s="9" t="inlineStr">
        <is>
          <t>Usage</t>
        </is>
      </c>
      <c r="QF288" s="9" t="inlineStr">
        <is>
          <t>Actual</t>
        </is>
      </c>
      <c r="QG288" s="9" t="inlineStr">
        <is>
          <t>Adjustment</t>
        </is>
      </c>
      <c r="QH288" s="9" t="inlineStr">
        <is>
          <t>Balance</t>
        </is>
      </c>
      <c r="QI288" s="9" t="inlineStr">
        <is>
          <t>Remarks</t>
        </is>
      </c>
      <c r="QL288" s="9" t="inlineStr">
        <is>
          <t>Date</t>
        </is>
      </c>
      <c r="QM288" s="9" t="inlineStr">
        <is>
          <t>Intake</t>
        </is>
      </c>
      <c r="QN288" s="9" t="inlineStr">
        <is>
          <t>Usage</t>
        </is>
      </c>
      <c r="QO288" s="9" t="inlineStr">
        <is>
          <t>Actual</t>
        </is>
      </c>
      <c r="QP288" s="9" t="inlineStr">
        <is>
          <t>Adjustment</t>
        </is>
      </c>
      <c r="QQ288" s="9" t="inlineStr">
        <is>
          <t>Balance</t>
        </is>
      </c>
      <c r="QR288" s="9" t="inlineStr">
        <is>
          <t>Remarks</t>
        </is>
      </c>
      <c r="QU288" s="9" t="inlineStr">
        <is>
          <t>Date</t>
        </is>
      </c>
      <c r="QV288" s="9" t="inlineStr">
        <is>
          <t>Intake</t>
        </is>
      </c>
      <c r="QW288" s="9" t="inlineStr">
        <is>
          <t>Usage</t>
        </is>
      </c>
      <c r="QX288" s="9" t="inlineStr">
        <is>
          <t>Actual</t>
        </is>
      </c>
      <c r="QY288" s="9" t="inlineStr">
        <is>
          <t>Adjustment</t>
        </is>
      </c>
      <c r="QZ288" s="9" t="inlineStr">
        <is>
          <t>Balance</t>
        </is>
      </c>
      <c r="RA288" s="9" t="inlineStr">
        <is>
          <t>Remarks</t>
        </is>
      </c>
      <c r="RD288" s="9" t="inlineStr">
        <is>
          <t>Date</t>
        </is>
      </c>
      <c r="RE288" s="9" t="inlineStr">
        <is>
          <t>Intake</t>
        </is>
      </c>
      <c r="RF288" s="9" t="inlineStr">
        <is>
          <t>Usage</t>
        </is>
      </c>
      <c r="RG288" s="9" t="inlineStr">
        <is>
          <t>Actual</t>
        </is>
      </c>
      <c r="RH288" s="9" t="inlineStr">
        <is>
          <t>Adjustment</t>
        </is>
      </c>
      <c r="RI288" s="9" t="inlineStr">
        <is>
          <t>Balance</t>
        </is>
      </c>
      <c r="RJ288" s="9" t="inlineStr">
        <is>
          <t>Remarks</t>
        </is>
      </c>
      <c r="RM288" s="9" t="inlineStr">
        <is>
          <t>Date</t>
        </is>
      </c>
      <c r="RN288" s="9" t="inlineStr">
        <is>
          <t>Intake</t>
        </is>
      </c>
      <c r="RO288" s="9" t="inlineStr">
        <is>
          <t>Usage</t>
        </is>
      </c>
      <c r="RP288" s="9" t="inlineStr">
        <is>
          <t>Actual</t>
        </is>
      </c>
      <c r="RQ288" s="9" t="inlineStr">
        <is>
          <t>Adjustment</t>
        </is>
      </c>
      <c r="RR288" s="9" t="inlineStr">
        <is>
          <t>Balance</t>
        </is>
      </c>
      <c r="RS288" s="9" t="inlineStr">
        <is>
          <t>Remarks</t>
        </is>
      </c>
      <c r="RV288" s="9" t="inlineStr">
        <is>
          <t>Date</t>
        </is>
      </c>
      <c r="RW288" s="9" t="inlineStr">
        <is>
          <t>Intake</t>
        </is>
      </c>
      <c r="RX288" s="9" t="inlineStr">
        <is>
          <t>Usage</t>
        </is>
      </c>
      <c r="RY288" s="9" t="inlineStr">
        <is>
          <t>Actual</t>
        </is>
      </c>
      <c r="RZ288" s="9" t="inlineStr">
        <is>
          <t>Adjustment</t>
        </is>
      </c>
      <c r="SA288" s="9" t="inlineStr">
        <is>
          <t>Balance</t>
        </is>
      </c>
      <c r="SB288" s="9" t="inlineStr">
        <is>
          <t>Remarks</t>
        </is>
      </c>
      <c r="SE288" s="9" t="inlineStr">
        <is>
          <t>Date</t>
        </is>
      </c>
      <c r="SF288" s="9" t="inlineStr">
        <is>
          <t>Intake</t>
        </is>
      </c>
      <c r="SG288" s="9" t="inlineStr">
        <is>
          <t>Usage</t>
        </is>
      </c>
      <c r="SH288" s="9" t="inlineStr">
        <is>
          <t>Actual</t>
        </is>
      </c>
      <c r="SI288" s="9" t="inlineStr">
        <is>
          <t>Adjustment</t>
        </is>
      </c>
      <c r="SJ288" s="9" t="inlineStr">
        <is>
          <t>Balance</t>
        </is>
      </c>
      <c r="SK288" s="9" t="inlineStr">
        <is>
          <t>Remarks</t>
        </is>
      </c>
      <c r="SN288" s="9" t="inlineStr">
        <is>
          <t>Date</t>
        </is>
      </c>
      <c r="SO288" s="9" t="inlineStr">
        <is>
          <t>Intake</t>
        </is>
      </c>
      <c r="SP288" s="9" t="inlineStr">
        <is>
          <t>Usage</t>
        </is>
      </c>
      <c r="SQ288" s="9" t="inlineStr">
        <is>
          <t>Actual</t>
        </is>
      </c>
      <c r="SR288" s="9" t="inlineStr">
        <is>
          <t>Adjustment</t>
        </is>
      </c>
      <c r="SS288" s="9" t="inlineStr">
        <is>
          <t>Balance</t>
        </is>
      </c>
      <c r="ST288" s="9" t="inlineStr">
        <is>
          <t>Remarks</t>
        </is>
      </c>
      <c r="SW288" s="9" t="inlineStr">
        <is>
          <t>Date</t>
        </is>
      </c>
      <c r="SX288" s="9" t="inlineStr">
        <is>
          <t>Intake</t>
        </is>
      </c>
      <c r="SY288" s="9" t="inlineStr">
        <is>
          <t>Usage</t>
        </is>
      </c>
      <c r="SZ288" s="9" t="inlineStr">
        <is>
          <t>Actual</t>
        </is>
      </c>
      <c r="TA288" s="9" t="inlineStr">
        <is>
          <t>Adjustment</t>
        </is>
      </c>
      <c r="TB288" s="9" t="inlineStr">
        <is>
          <t>Balance</t>
        </is>
      </c>
      <c r="TC288" s="9" t="inlineStr">
        <is>
          <t>Remarks</t>
        </is>
      </c>
      <c r="TF288" s="9" t="inlineStr">
        <is>
          <t>Date</t>
        </is>
      </c>
      <c r="TG288" s="9" t="inlineStr">
        <is>
          <t>Intake</t>
        </is>
      </c>
      <c r="TH288" s="9" t="inlineStr">
        <is>
          <t>Usage</t>
        </is>
      </c>
      <c r="TI288" s="9" t="inlineStr">
        <is>
          <t>Actual</t>
        </is>
      </c>
      <c r="TJ288" s="9" t="inlineStr">
        <is>
          <t>Adjustment</t>
        </is>
      </c>
      <c r="TK288" s="9" t="inlineStr">
        <is>
          <t>Balance</t>
        </is>
      </c>
      <c r="TL288" s="9" t="inlineStr">
        <is>
          <t>Remarks</t>
        </is>
      </c>
      <c r="TO288" s="9" t="inlineStr">
        <is>
          <t>Date</t>
        </is>
      </c>
      <c r="TP288" s="9" t="inlineStr">
        <is>
          <t>Intake</t>
        </is>
      </c>
      <c r="TQ288" s="9" t="inlineStr">
        <is>
          <t>Usage</t>
        </is>
      </c>
      <c r="TR288" s="9" t="inlineStr">
        <is>
          <t>Actual</t>
        </is>
      </c>
      <c r="TS288" s="9" t="inlineStr">
        <is>
          <t>Adjustment</t>
        </is>
      </c>
      <c r="TT288" s="9" t="inlineStr">
        <is>
          <t>Balance</t>
        </is>
      </c>
      <c r="TU288" s="9" t="inlineStr">
        <is>
          <t>Remarks</t>
        </is>
      </c>
      <c r="TX288" s="9" t="inlineStr">
        <is>
          <t>Date</t>
        </is>
      </c>
      <c r="TY288" s="9" t="inlineStr">
        <is>
          <t>Intake</t>
        </is>
      </c>
      <c r="TZ288" s="9" t="inlineStr">
        <is>
          <t>Usage</t>
        </is>
      </c>
      <c r="UA288" s="9" t="inlineStr">
        <is>
          <t>Actual</t>
        </is>
      </c>
      <c r="UB288" s="9" t="inlineStr">
        <is>
          <t>Adjustment</t>
        </is>
      </c>
      <c r="UC288" s="9" t="inlineStr">
        <is>
          <t>Balance</t>
        </is>
      </c>
      <c r="UD288" s="9" t="inlineStr">
        <is>
          <t>Remarks</t>
        </is>
      </c>
      <c r="UG288" s="9" t="inlineStr">
        <is>
          <t>Date</t>
        </is>
      </c>
      <c r="UH288" s="9" t="inlineStr">
        <is>
          <t>Intake</t>
        </is>
      </c>
      <c r="UI288" s="9" t="inlineStr">
        <is>
          <t>Usage</t>
        </is>
      </c>
      <c r="UJ288" s="9" t="inlineStr">
        <is>
          <t>Actual</t>
        </is>
      </c>
      <c r="UK288" s="9" t="inlineStr">
        <is>
          <t>Adjustment</t>
        </is>
      </c>
      <c r="UL288" s="9" t="inlineStr">
        <is>
          <t>Balance</t>
        </is>
      </c>
      <c r="UM288" s="9" t="inlineStr">
        <is>
          <t>Remarks</t>
        </is>
      </c>
      <c r="UP288" s="9" t="inlineStr">
        <is>
          <t>Date</t>
        </is>
      </c>
      <c r="UQ288" s="9" t="inlineStr">
        <is>
          <t>Intake</t>
        </is>
      </c>
      <c r="UR288" s="9" t="inlineStr">
        <is>
          <t>Usage</t>
        </is>
      </c>
      <c r="US288" s="9" t="inlineStr">
        <is>
          <t>Actual</t>
        </is>
      </c>
      <c r="UT288" s="9" t="inlineStr">
        <is>
          <t>Adjustment</t>
        </is>
      </c>
      <c r="UU288" s="9" t="inlineStr">
        <is>
          <t>Balance</t>
        </is>
      </c>
      <c r="UV288" s="9" t="inlineStr">
        <is>
          <t>Remarks</t>
        </is>
      </c>
      <c r="UY288" s="9" t="inlineStr">
        <is>
          <t>Date</t>
        </is>
      </c>
      <c r="UZ288" s="9" t="inlineStr">
        <is>
          <t>Intake</t>
        </is>
      </c>
      <c r="VA288" s="9" t="inlineStr">
        <is>
          <t>Usage</t>
        </is>
      </c>
      <c r="VB288" s="9" t="inlineStr">
        <is>
          <t>Actual</t>
        </is>
      </c>
      <c r="VC288" s="9" t="inlineStr">
        <is>
          <t>Adjustment</t>
        </is>
      </c>
      <c r="VD288" s="9" t="inlineStr">
        <is>
          <t>Balance</t>
        </is>
      </c>
      <c r="VE288" s="9" t="inlineStr">
        <is>
          <t>Remarks</t>
        </is>
      </c>
      <c r="VH288" s="9" t="inlineStr">
        <is>
          <t>Date</t>
        </is>
      </c>
      <c r="VI288" s="9" t="inlineStr">
        <is>
          <t>Intake</t>
        </is>
      </c>
      <c r="VJ288" s="9" t="inlineStr">
        <is>
          <t>Usage</t>
        </is>
      </c>
      <c r="VK288" s="9" t="inlineStr">
        <is>
          <t>Actual</t>
        </is>
      </c>
      <c r="VL288" s="9" t="inlineStr">
        <is>
          <t>Adjustment</t>
        </is>
      </c>
      <c r="VM288" s="9" t="inlineStr">
        <is>
          <t>Balance</t>
        </is>
      </c>
      <c r="VN288" s="9" t="inlineStr">
        <is>
          <t>Remarks</t>
        </is>
      </c>
      <c r="VQ288" s="9" t="inlineStr">
        <is>
          <t>Date</t>
        </is>
      </c>
      <c r="VR288" s="9" t="inlineStr">
        <is>
          <t>Intake</t>
        </is>
      </c>
      <c r="VS288" s="9" t="inlineStr">
        <is>
          <t>Usage</t>
        </is>
      </c>
      <c r="VT288" s="9" t="inlineStr">
        <is>
          <t>Actual</t>
        </is>
      </c>
      <c r="VU288" s="9" t="inlineStr">
        <is>
          <t>Adjustment</t>
        </is>
      </c>
      <c r="VV288" s="9" t="inlineStr">
        <is>
          <t>Balance</t>
        </is>
      </c>
      <c r="VW288" s="9" t="inlineStr">
        <is>
          <t>Remarks</t>
        </is>
      </c>
      <c r="VZ288" s="9" t="inlineStr">
        <is>
          <t>Date</t>
        </is>
      </c>
      <c r="WA288" s="9" t="inlineStr">
        <is>
          <t>Intake</t>
        </is>
      </c>
      <c r="WB288" s="9" t="inlineStr">
        <is>
          <t>Usage</t>
        </is>
      </c>
      <c r="WC288" s="9" t="inlineStr">
        <is>
          <t>Actual</t>
        </is>
      </c>
      <c r="WD288" s="9" t="inlineStr">
        <is>
          <t>Adjustment</t>
        </is>
      </c>
      <c r="WE288" s="9" t="inlineStr">
        <is>
          <t>Balance</t>
        </is>
      </c>
      <c r="WF288" s="9" t="inlineStr">
        <is>
          <t>Remarks</t>
        </is>
      </c>
      <c r="WI288" s="9" t="inlineStr">
        <is>
          <t>Date</t>
        </is>
      </c>
      <c r="WJ288" s="9" t="inlineStr">
        <is>
          <t>Intake</t>
        </is>
      </c>
      <c r="WK288" s="9" t="inlineStr">
        <is>
          <t>Usage</t>
        </is>
      </c>
      <c r="WL288" s="9" t="inlineStr">
        <is>
          <t>Actual</t>
        </is>
      </c>
      <c r="WM288" s="9" t="inlineStr">
        <is>
          <t>Adjustment</t>
        </is>
      </c>
      <c r="WN288" s="9" t="inlineStr">
        <is>
          <t>Balance</t>
        </is>
      </c>
      <c r="WO288" s="9" t="inlineStr">
        <is>
          <t>Remarks</t>
        </is>
      </c>
      <c r="WR288" s="9" t="inlineStr">
        <is>
          <t>Date</t>
        </is>
      </c>
      <c r="WS288" s="9" t="inlineStr">
        <is>
          <t>Intake</t>
        </is>
      </c>
      <c r="WT288" s="9" t="inlineStr">
        <is>
          <t>Usage</t>
        </is>
      </c>
      <c r="WU288" s="9" t="inlineStr">
        <is>
          <t>Actual</t>
        </is>
      </c>
      <c r="WV288" s="9" t="inlineStr">
        <is>
          <t>Adjustment</t>
        </is>
      </c>
      <c r="WW288" s="9" t="inlineStr">
        <is>
          <t>Balance</t>
        </is>
      </c>
      <c r="WX288" s="9" t="inlineStr">
        <is>
          <t>Remarks</t>
        </is>
      </c>
      <c r="XA288" s="9" t="inlineStr">
        <is>
          <t>Date</t>
        </is>
      </c>
      <c r="XB288" s="9" t="inlineStr">
        <is>
          <t>Intake</t>
        </is>
      </c>
      <c r="XC288" s="9" t="inlineStr">
        <is>
          <t>Usage</t>
        </is>
      </c>
      <c r="XD288" s="9" t="inlineStr">
        <is>
          <t>Actual</t>
        </is>
      </c>
      <c r="XE288" s="9" t="inlineStr">
        <is>
          <t>Adjustment</t>
        </is>
      </c>
      <c r="XF288" s="9" t="inlineStr">
        <is>
          <t>Balance</t>
        </is>
      </c>
      <c r="XG288" s="9" t="inlineStr">
        <is>
          <t>Remarks</t>
        </is>
      </c>
      <c r="XJ288" s="9" t="inlineStr">
        <is>
          <t>Date</t>
        </is>
      </c>
      <c r="XK288" s="9" t="inlineStr">
        <is>
          <t>Intake</t>
        </is>
      </c>
      <c r="XL288" s="9" t="inlineStr">
        <is>
          <t>Usage</t>
        </is>
      </c>
      <c r="XM288" s="9" t="inlineStr">
        <is>
          <t>Actual</t>
        </is>
      </c>
      <c r="XN288" s="9" t="inlineStr">
        <is>
          <t>Adjustment</t>
        </is>
      </c>
      <c r="XO288" s="9" t="inlineStr">
        <is>
          <t>Balance</t>
        </is>
      </c>
      <c r="XP288" s="9" t="inlineStr">
        <is>
          <t>Remarks</t>
        </is>
      </c>
      <c r="XS288" s="9" t="inlineStr">
        <is>
          <t>Date</t>
        </is>
      </c>
      <c r="XT288" s="9" t="inlineStr">
        <is>
          <t>Intake</t>
        </is>
      </c>
      <c r="XU288" s="9" t="inlineStr">
        <is>
          <t>Usage</t>
        </is>
      </c>
      <c r="XV288" s="9" t="inlineStr">
        <is>
          <t>Actual</t>
        </is>
      </c>
      <c r="XW288" s="9" t="inlineStr">
        <is>
          <t>Adjustment</t>
        </is>
      </c>
      <c r="XX288" s="9" t="inlineStr">
        <is>
          <t>Balance</t>
        </is>
      </c>
      <c r="XY288" s="9" t="inlineStr">
        <is>
          <t>Remarks</t>
        </is>
      </c>
      <c r="YB288" s="9" t="inlineStr">
        <is>
          <t>Date</t>
        </is>
      </c>
      <c r="YC288" s="9" t="inlineStr">
        <is>
          <t>Intake</t>
        </is>
      </c>
      <c r="YD288" s="9" t="inlineStr">
        <is>
          <t>Usage</t>
        </is>
      </c>
      <c r="YE288" s="9" t="inlineStr">
        <is>
          <t>Actual</t>
        </is>
      </c>
      <c r="YF288" s="9" t="inlineStr">
        <is>
          <t>Adjustment</t>
        </is>
      </c>
      <c r="YG288" s="9" t="inlineStr">
        <is>
          <t>Balance</t>
        </is>
      </c>
      <c r="YH288" s="9" t="inlineStr">
        <is>
          <t>Remarks</t>
        </is>
      </c>
      <c r="YK288" s="9" t="inlineStr">
        <is>
          <t>Date</t>
        </is>
      </c>
      <c r="YL288" s="9" t="inlineStr">
        <is>
          <t>Intake</t>
        </is>
      </c>
      <c r="YM288" s="9" t="inlineStr">
        <is>
          <t>Usage</t>
        </is>
      </c>
      <c r="YN288" s="9" t="inlineStr">
        <is>
          <t>Actual</t>
        </is>
      </c>
      <c r="YO288" s="9" t="inlineStr">
        <is>
          <t>Adjustment</t>
        </is>
      </c>
      <c r="YP288" s="9" t="inlineStr">
        <is>
          <t>Balance</t>
        </is>
      </c>
      <c r="YQ288" s="9" t="inlineStr">
        <is>
          <t>Remarks</t>
        </is>
      </c>
      <c r="YT288" s="9" t="inlineStr">
        <is>
          <t>Date</t>
        </is>
      </c>
      <c r="YU288" s="9" t="inlineStr">
        <is>
          <t>Intake</t>
        </is>
      </c>
      <c r="YV288" s="9" t="inlineStr">
        <is>
          <t>Usage</t>
        </is>
      </c>
      <c r="YW288" s="9" t="inlineStr">
        <is>
          <t>Actual</t>
        </is>
      </c>
      <c r="YX288" s="9" t="inlineStr">
        <is>
          <t>Adjustment</t>
        </is>
      </c>
      <c r="YY288" s="9" t="inlineStr">
        <is>
          <t>Balance</t>
        </is>
      </c>
      <c r="YZ288" s="9" t="inlineStr">
        <is>
          <t>Remarks</t>
        </is>
      </c>
      <c r="ZC288" s="9" t="inlineStr">
        <is>
          <t>Date</t>
        </is>
      </c>
      <c r="ZD288" s="9" t="inlineStr">
        <is>
          <t>Intake</t>
        </is>
      </c>
      <c r="ZE288" s="9" t="inlineStr">
        <is>
          <t>Usage</t>
        </is>
      </c>
      <c r="ZF288" s="9" t="inlineStr">
        <is>
          <t>Actual</t>
        </is>
      </c>
      <c r="ZG288" s="9" t="inlineStr">
        <is>
          <t>Adjustment</t>
        </is>
      </c>
      <c r="ZH288" s="9" t="inlineStr">
        <is>
          <t>Balance</t>
        </is>
      </c>
      <c r="ZI288" s="9" t="inlineStr">
        <is>
          <t>Remarks</t>
        </is>
      </c>
      <c r="ZL288" s="9" t="inlineStr">
        <is>
          <t>Date</t>
        </is>
      </c>
      <c r="ZM288" s="9" t="inlineStr">
        <is>
          <t>Intake</t>
        </is>
      </c>
      <c r="ZN288" s="9" t="inlineStr">
        <is>
          <t>Usage</t>
        </is>
      </c>
      <c r="ZO288" s="9" t="inlineStr">
        <is>
          <t>Actual</t>
        </is>
      </c>
      <c r="ZP288" s="9" t="inlineStr">
        <is>
          <t>Adjustment</t>
        </is>
      </c>
      <c r="ZQ288" s="9" t="inlineStr">
        <is>
          <t>Balance</t>
        </is>
      </c>
      <c r="ZR288" s="9" t="inlineStr">
        <is>
          <t>Remarks</t>
        </is>
      </c>
      <c r="ZU288" s="9" t="inlineStr">
        <is>
          <t>Date</t>
        </is>
      </c>
      <c r="ZV288" s="9" t="inlineStr">
        <is>
          <t>Intake</t>
        </is>
      </c>
      <c r="ZW288" s="9" t="inlineStr">
        <is>
          <t>Usage</t>
        </is>
      </c>
      <c r="ZX288" s="9" t="inlineStr">
        <is>
          <t>Actual</t>
        </is>
      </c>
      <c r="ZY288" s="9" t="inlineStr">
        <is>
          <t>Adjustment</t>
        </is>
      </c>
      <c r="ZZ288" s="9" t="inlineStr">
        <is>
          <t>Balance</t>
        </is>
      </c>
      <c r="AAA288" s="9" t="inlineStr">
        <is>
          <t>Remarks</t>
        </is>
      </c>
      <c r="AAD288" s="9" t="inlineStr">
        <is>
          <t>Date</t>
        </is>
      </c>
      <c r="AAE288" s="9" t="inlineStr">
        <is>
          <t>Intake</t>
        </is>
      </c>
      <c r="AAF288" s="9" t="inlineStr">
        <is>
          <t>Usage</t>
        </is>
      </c>
      <c r="AAG288" s="9" t="inlineStr">
        <is>
          <t>Actual</t>
        </is>
      </c>
      <c r="AAH288" s="9" t="inlineStr">
        <is>
          <t>Adjustment</t>
        </is>
      </c>
      <c r="AAI288" s="9" t="inlineStr">
        <is>
          <t>Balance</t>
        </is>
      </c>
      <c r="AAJ288" s="9" t="inlineStr">
        <is>
          <t>Remarks</t>
        </is>
      </c>
      <c r="AAM288" s="9" t="inlineStr">
        <is>
          <t>Date</t>
        </is>
      </c>
      <c r="AAN288" s="9" t="inlineStr">
        <is>
          <t>Intake</t>
        </is>
      </c>
      <c r="AAO288" s="9" t="inlineStr">
        <is>
          <t>Usage</t>
        </is>
      </c>
      <c r="AAP288" s="9" t="inlineStr">
        <is>
          <t>Actual</t>
        </is>
      </c>
      <c r="AAQ288" s="9" t="inlineStr">
        <is>
          <t>Adjustment</t>
        </is>
      </c>
      <c r="AAR288" s="9" t="inlineStr">
        <is>
          <t>Balance</t>
        </is>
      </c>
      <c r="AAS288" s="9" t="inlineStr">
        <is>
          <t>Remarks</t>
        </is>
      </c>
      <c r="AAV288" s="9" t="inlineStr">
        <is>
          <t>Date</t>
        </is>
      </c>
      <c r="AAW288" s="9" t="inlineStr">
        <is>
          <t>Intake</t>
        </is>
      </c>
      <c r="AAX288" s="9" t="inlineStr">
        <is>
          <t>Usage</t>
        </is>
      </c>
      <c r="AAY288" s="9" t="inlineStr">
        <is>
          <t>Actual</t>
        </is>
      </c>
      <c r="AAZ288" s="9" t="inlineStr">
        <is>
          <t>Adjustment</t>
        </is>
      </c>
      <c r="ABA288" s="9" t="inlineStr">
        <is>
          <t>Balance</t>
        </is>
      </c>
      <c r="ABB288" s="9" t="inlineStr">
        <is>
          <t>Remarks</t>
        </is>
      </c>
      <c r="ABE288" s="9" t="inlineStr">
        <is>
          <t>Date</t>
        </is>
      </c>
      <c r="ABF288" s="9" t="inlineStr">
        <is>
          <t>Intake</t>
        </is>
      </c>
      <c r="ABG288" s="9" t="inlineStr">
        <is>
          <t>Usage</t>
        </is>
      </c>
      <c r="ABH288" s="9" t="inlineStr">
        <is>
          <t>Actual</t>
        </is>
      </c>
      <c r="ABI288" s="9" t="inlineStr">
        <is>
          <t>Adjustment</t>
        </is>
      </c>
      <c r="ABJ288" s="9" t="inlineStr">
        <is>
          <t>Balance</t>
        </is>
      </c>
      <c r="ABK288" s="9" t="inlineStr">
        <is>
          <t>Remarks</t>
        </is>
      </c>
    </row>
    <row r="289">
      <c r="C289" s="9" t="inlineStr">
        <is>
          <t>BALANCE</t>
        </is>
      </c>
      <c r="D289" s="9" t="inlineStr">
        <is>
          <t>-</t>
        </is>
      </c>
      <c r="E289" s="9" t="inlineStr">
        <is>
          <t>-</t>
        </is>
      </c>
      <c r="F289" s="9" t="inlineStr">
        <is>
          <t>-</t>
        </is>
      </c>
      <c r="G289" s="9" t="inlineStr">
        <is>
          <t>-</t>
        </is>
      </c>
      <c r="H289" s="9" t="n">
        <v>236936.6</v>
      </c>
      <c r="L289" s="9" t="inlineStr">
        <is>
          <t>BALANCE</t>
        </is>
      </c>
      <c r="M289" s="9" t="inlineStr">
        <is>
          <t>-</t>
        </is>
      </c>
      <c r="N289" s="9" t="inlineStr">
        <is>
          <t>-</t>
        </is>
      </c>
      <c r="O289" s="9" t="inlineStr">
        <is>
          <t>-</t>
        </is>
      </c>
      <c r="P289" s="9" t="inlineStr">
        <is>
          <t>-</t>
        </is>
      </c>
      <c r="Q289" s="9" t="n">
        <v>53017.60000000007</v>
      </c>
      <c r="U289" s="9" t="inlineStr">
        <is>
          <t>BALANCE</t>
        </is>
      </c>
      <c r="V289" s="9" t="inlineStr">
        <is>
          <t>-</t>
        </is>
      </c>
      <c r="W289" s="9" t="inlineStr">
        <is>
          <t>-</t>
        </is>
      </c>
      <c r="X289" s="9" t="inlineStr">
        <is>
          <t>-</t>
        </is>
      </c>
      <c r="Y289" s="9" t="inlineStr">
        <is>
          <t>-</t>
        </is>
      </c>
      <c r="Z289" s="9" t="n">
        <v>42674.19999999997</v>
      </c>
      <c r="AD289" s="9" t="inlineStr">
        <is>
          <t>BALANCE</t>
        </is>
      </c>
      <c r="AE289" s="9" t="inlineStr">
        <is>
          <t>-</t>
        </is>
      </c>
      <c r="AF289" s="9" t="inlineStr">
        <is>
          <t>-</t>
        </is>
      </c>
      <c r="AG289" s="9" t="inlineStr">
        <is>
          <t>-</t>
        </is>
      </c>
      <c r="AH289" s="9" t="inlineStr">
        <is>
          <t>-</t>
        </is>
      </c>
      <c r="AI289" s="9" t="n">
        <v>4522.200000000019</v>
      </c>
      <c r="AM289" s="9" t="inlineStr">
        <is>
          <t>BALANCE</t>
        </is>
      </c>
      <c r="AN289" s="9" t="inlineStr">
        <is>
          <t>-</t>
        </is>
      </c>
      <c r="AO289" s="9" t="inlineStr">
        <is>
          <t>-</t>
        </is>
      </c>
      <c r="AP289" s="9" t="inlineStr">
        <is>
          <t>-</t>
        </is>
      </c>
      <c r="AQ289" s="9" t="inlineStr">
        <is>
          <t>-</t>
        </is>
      </c>
      <c r="AR289" s="9" t="n">
        <v>0</v>
      </c>
      <c r="AV289" s="9" t="inlineStr">
        <is>
          <t>BALANCE</t>
        </is>
      </c>
      <c r="AW289" s="9" t="inlineStr">
        <is>
          <t>-</t>
        </is>
      </c>
      <c r="AX289" s="9" t="inlineStr">
        <is>
          <t>-</t>
        </is>
      </c>
      <c r="AY289" s="9" t="inlineStr">
        <is>
          <t>-</t>
        </is>
      </c>
      <c r="AZ289" s="9" t="inlineStr">
        <is>
          <t>-</t>
        </is>
      </c>
      <c r="BA289" s="9" t="n">
        <v>124.9999999999952</v>
      </c>
      <c r="BE289" s="9" t="inlineStr">
        <is>
          <t>BALANCE</t>
        </is>
      </c>
      <c r="BF289" s="9" t="inlineStr">
        <is>
          <t>-</t>
        </is>
      </c>
      <c r="BG289" s="9" t="inlineStr">
        <is>
          <t>-</t>
        </is>
      </c>
      <c r="BH289" s="9" t="inlineStr">
        <is>
          <t>-</t>
        </is>
      </c>
      <c r="BI289" s="9" t="inlineStr">
        <is>
          <t>-</t>
        </is>
      </c>
      <c r="BJ289" s="9" t="n">
        <v>26151.9</v>
      </c>
      <c r="BN289" s="9" t="inlineStr">
        <is>
          <t>BALANCE</t>
        </is>
      </c>
      <c r="BO289" s="9" t="inlineStr">
        <is>
          <t>-</t>
        </is>
      </c>
      <c r="BP289" s="9" t="inlineStr">
        <is>
          <t>-</t>
        </is>
      </c>
      <c r="BQ289" s="9" t="inlineStr">
        <is>
          <t>-</t>
        </is>
      </c>
      <c r="BR289" s="9" t="inlineStr">
        <is>
          <t>-</t>
        </is>
      </c>
      <c r="BS289" s="9" t="n">
        <v>0</v>
      </c>
      <c r="BW289" s="9" t="inlineStr">
        <is>
          <t>BALANCE</t>
        </is>
      </c>
      <c r="BX289" s="9" t="inlineStr">
        <is>
          <t>-</t>
        </is>
      </c>
      <c r="BY289" s="9" t="inlineStr">
        <is>
          <t>-</t>
        </is>
      </c>
      <c r="BZ289" s="9" t="inlineStr">
        <is>
          <t>-</t>
        </is>
      </c>
      <c r="CA289" s="9" t="inlineStr">
        <is>
          <t>-</t>
        </is>
      </c>
      <c r="CB289" s="9" t="n">
        <v>2097.339999999999</v>
      </c>
      <c r="CF289" s="9" t="inlineStr">
        <is>
          <t>BALANCE</t>
        </is>
      </c>
      <c r="CG289" s="9" t="inlineStr">
        <is>
          <t>-</t>
        </is>
      </c>
      <c r="CH289" s="9" t="inlineStr">
        <is>
          <t>-</t>
        </is>
      </c>
      <c r="CI289" s="9" t="inlineStr">
        <is>
          <t>-</t>
        </is>
      </c>
      <c r="CJ289" s="9" t="inlineStr">
        <is>
          <t>-</t>
        </is>
      </c>
      <c r="CK289" s="9" t="n">
        <v>-10277.08</v>
      </c>
      <c r="CO289" s="9" t="inlineStr">
        <is>
          <t>BALANCE</t>
        </is>
      </c>
      <c r="CP289" s="9" t="inlineStr">
        <is>
          <t>-</t>
        </is>
      </c>
      <c r="CQ289" s="9" t="inlineStr">
        <is>
          <t>-</t>
        </is>
      </c>
      <c r="CR289" s="9" t="inlineStr">
        <is>
          <t>-</t>
        </is>
      </c>
      <c r="CS289" s="9" t="inlineStr">
        <is>
          <t>-</t>
        </is>
      </c>
      <c r="CT289" s="9" t="n">
        <v>0</v>
      </c>
      <c r="CX289" s="9" t="inlineStr">
        <is>
          <t>BALANCE</t>
        </is>
      </c>
      <c r="CY289" s="9" t="inlineStr">
        <is>
          <t>-</t>
        </is>
      </c>
      <c r="CZ289" s="9" t="inlineStr">
        <is>
          <t>-</t>
        </is>
      </c>
      <c r="DA289" s="9" t="inlineStr">
        <is>
          <t>-</t>
        </is>
      </c>
      <c r="DB289" s="9" t="inlineStr">
        <is>
          <t>-</t>
        </is>
      </c>
      <c r="DC289" s="9" t="n">
        <v>27438.20000000001</v>
      </c>
      <c r="DG289" s="9" t="inlineStr">
        <is>
          <t>BALANCE</t>
        </is>
      </c>
      <c r="DH289" s="9" t="inlineStr">
        <is>
          <t>-</t>
        </is>
      </c>
      <c r="DI289" s="9" t="inlineStr">
        <is>
          <t>-</t>
        </is>
      </c>
      <c r="DJ289" s="9" t="inlineStr">
        <is>
          <t>-</t>
        </is>
      </c>
      <c r="DK289" s="9" t="inlineStr">
        <is>
          <t>-</t>
        </is>
      </c>
      <c r="DL289" s="9" t="n">
        <v>18782.29999999998</v>
      </c>
      <c r="DP289" s="9" t="inlineStr">
        <is>
          <t>BALANCE</t>
        </is>
      </c>
      <c r="DQ289" s="9" t="inlineStr">
        <is>
          <t>-</t>
        </is>
      </c>
      <c r="DR289" s="9" t="inlineStr">
        <is>
          <t>-</t>
        </is>
      </c>
      <c r="DS289" s="9" t="inlineStr">
        <is>
          <t>-</t>
        </is>
      </c>
      <c r="DT289" s="9" t="inlineStr">
        <is>
          <t>-</t>
        </is>
      </c>
      <c r="DU289" s="9" t="n">
        <v>5800</v>
      </c>
      <c r="DY289" s="9" t="inlineStr">
        <is>
          <t>BALANCE</t>
        </is>
      </c>
      <c r="DZ289" s="9" t="inlineStr">
        <is>
          <t>-</t>
        </is>
      </c>
      <c r="EA289" s="9" t="inlineStr">
        <is>
          <t>-</t>
        </is>
      </c>
      <c r="EB289" s="9" t="inlineStr">
        <is>
          <t>-</t>
        </is>
      </c>
      <c r="EC289" s="9" t="inlineStr">
        <is>
          <t>-</t>
        </is>
      </c>
      <c r="ED289" s="9" t="n">
        <v>0</v>
      </c>
      <c r="EH289" s="9" t="inlineStr">
        <is>
          <t>BALANCE</t>
        </is>
      </c>
      <c r="EI289" s="9" t="inlineStr">
        <is>
          <t>-</t>
        </is>
      </c>
      <c r="EJ289" s="9" t="inlineStr">
        <is>
          <t>-</t>
        </is>
      </c>
      <c r="EK289" s="9" t="inlineStr">
        <is>
          <t>-</t>
        </is>
      </c>
      <c r="EL289" s="9" t="inlineStr">
        <is>
          <t>-</t>
        </is>
      </c>
      <c r="EM289" s="9" t="n">
        <v>0</v>
      </c>
      <c r="EQ289" s="9" t="inlineStr">
        <is>
          <t>BALANCE</t>
        </is>
      </c>
      <c r="ER289" s="9" t="inlineStr">
        <is>
          <t>-</t>
        </is>
      </c>
      <c r="ES289" s="9" t="inlineStr">
        <is>
          <t>-</t>
        </is>
      </c>
      <c r="ET289" s="9" t="inlineStr">
        <is>
          <t>-</t>
        </is>
      </c>
      <c r="EU289" s="9" t="inlineStr">
        <is>
          <t>-</t>
        </is>
      </c>
      <c r="EV289" s="9" t="n">
        <v>0</v>
      </c>
      <c r="EZ289" s="9" t="inlineStr">
        <is>
          <t>BALANCE</t>
        </is>
      </c>
      <c r="FA289" s="9" t="inlineStr">
        <is>
          <t>-</t>
        </is>
      </c>
      <c r="FB289" s="9" t="inlineStr">
        <is>
          <t>-</t>
        </is>
      </c>
      <c r="FC289" s="9" t="inlineStr">
        <is>
          <t>-</t>
        </is>
      </c>
      <c r="FD289" s="9" t="inlineStr">
        <is>
          <t>-</t>
        </is>
      </c>
      <c r="FE289" s="9" t="n">
        <v>0</v>
      </c>
      <c r="FI289" s="9" t="inlineStr">
        <is>
          <t>BALANCE</t>
        </is>
      </c>
      <c r="FJ289" s="9" t="inlineStr">
        <is>
          <t>-</t>
        </is>
      </c>
      <c r="FK289" s="9" t="inlineStr">
        <is>
          <t>-</t>
        </is>
      </c>
      <c r="FL289" s="9" t="inlineStr">
        <is>
          <t>-</t>
        </is>
      </c>
      <c r="FM289" s="9" t="inlineStr">
        <is>
          <t>-</t>
        </is>
      </c>
      <c r="FN289" s="9" t="n">
        <v>0</v>
      </c>
      <c r="FR289" s="9" t="inlineStr">
        <is>
          <t>BALANCE</t>
        </is>
      </c>
      <c r="FS289" s="9" t="inlineStr">
        <is>
          <t>-</t>
        </is>
      </c>
      <c r="FT289" s="9" t="inlineStr">
        <is>
          <t>-</t>
        </is>
      </c>
      <c r="FU289" s="9" t="inlineStr">
        <is>
          <t>-</t>
        </is>
      </c>
      <c r="FV289" s="9" t="inlineStr">
        <is>
          <t>-</t>
        </is>
      </c>
      <c r="FW289" s="9" t="n">
        <v>2020</v>
      </c>
      <c r="GA289" s="9" t="inlineStr">
        <is>
          <t>BALANCE</t>
        </is>
      </c>
      <c r="GB289" s="9" t="inlineStr">
        <is>
          <t>-</t>
        </is>
      </c>
      <c r="GC289" s="9" t="inlineStr">
        <is>
          <t>-</t>
        </is>
      </c>
      <c r="GD289" s="9" t="inlineStr">
        <is>
          <t>-</t>
        </is>
      </c>
      <c r="GE289" s="9" t="inlineStr">
        <is>
          <t>-</t>
        </is>
      </c>
      <c r="GF289" s="9" t="n">
        <v>960</v>
      </c>
      <c r="GJ289" s="9" t="inlineStr">
        <is>
          <t>BALANCE</t>
        </is>
      </c>
      <c r="GK289" s="9" t="inlineStr">
        <is>
          <t>-</t>
        </is>
      </c>
      <c r="GL289" s="9" t="inlineStr">
        <is>
          <t>-</t>
        </is>
      </c>
      <c r="GM289" s="9" t="inlineStr">
        <is>
          <t>-</t>
        </is>
      </c>
      <c r="GN289" s="9" t="inlineStr">
        <is>
          <t>-</t>
        </is>
      </c>
      <c r="GO289" s="9" t="n">
        <v>1760</v>
      </c>
      <c r="GS289" s="9" t="inlineStr">
        <is>
          <t>BALANCE</t>
        </is>
      </c>
      <c r="GT289" s="9" t="inlineStr">
        <is>
          <t>-</t>
        </is>
      </c>
      <c r="GU289" s="9" t="inlineStr">
        <is>
          <t>-</t>
        </is>
      </c>
      <c r="GV289" s="9" t="inlineStr">
        <is>
          <t>-</t>
        </is>
      </c>
      <c r="GW289" s="9" t="inlineStr">
        <is>
          <t>-</t>
        </is>
      </c>
      <c r="GX289" s="9" t="n">
        <v>400</v>
      </c>
      <c r="HB289" s="9" t="inlineStr">
        <is>
          <t>BALANCE</t>
        </is>
      </c>
      <c r="HC289" s="9" t="inlineStr">
        <is>
          <t>-</t>
        </is>
      </c>
      <c r="HD289" s="9" t="inlineStr">
        <is>
          <t>-</t>
        </is>
      </c>
      <c r="HE289" s="9" t="inlineStr">
        <is>
          <t>-</t>
        </is>
      </c>
      <c r="HF289" s="9" t="inlineStr">
        <is>
          <t>-</t>
        </is>
      </c>
      <c r="HG289" s="9" t="n">
        <v>3600</v>
      </c>
      <c r="HK289" s="9" t="inlineStr">
        <is>
          <t>BALANCE</t>
        </is>
      </c>
      <c r="HL289" s="9" t="inlineStr">
        <is>
          <t>-</t>
        </is>
      </c>
      <c r="HM289" s="9" t="inlineStr">
        <is>
          <t>-</t>
        </is>
      </c>
      <c r="HN289" s="9" t="inlineStr">
        <is>
          <t>-</t>
        </is>
      </c>
      <c r="HO289" s="9" t="inlineStr">
        <is>
          <t>-</t>
        </is>
      </c>
      <c r="HP289" s="9" t="n">
        <v>0</v>
      </c>
      <c r="HU289" s="9" t="inlineStr">
        <is>
          <t>BALANCE</t>
        </is>
      </c>
      <c r="HV289" s="9" t="inlineStr">
        <is>
          <t>-</t>
        </is>
      </c>
      <c r="HW289" s="9" t="inlineStr">
        <is>
          <t>-</t>
        </is>
      </c>
      <c r="HX289" s="9" t="inlineStr">
        <is>
          <t>-</t>
        </is>
      </c>
      <c r="HY289" s="9" t="inlineStr">
        <is>
          <t>-</t>
        </is>
      </c>
      <c r="HZ289" s="9" t="n">
        <v>6120</v>
      </c>
      <c r="ID289" s="9" t="inlineStr">
        <is>
          <t>BALANCE</t>
        </is>
      </c>
      <c r="IE289" s="9" t="inlineStr">
        <is>
          <t>-</t>
        </is>
      </c>
      <c r="IF289" s="9" t="inlineStr">
        <is>
          <t>-</t>
        </is>
      </c>
      <c r="IG289" s="9" t="inlineStr">
        <is>
          <t>-</t>
        </is>
      </c>
      <c r="IH289" s="9" t="inlineStr">
        <is>
          <t>-</t>
        </is>
      </c>
      <c r="II289" s="9" t="n">
        <v>0</v>
      </c>
      <c r="IM289" s="9" t="inlineStr">
        <is>
          <t>BALANCE</t>
        </is>
      </c>
      <c r="IN289" s="9" t="inlineStr">
        <is>
          <t>-</t>
        </is>
      </c>
      <c r="IO289" s="9" t="inlineStr">
        <is>
          <t>-</t>
        </is>
      </c>
      <c r="IP289" s="9" t="inlineStr">
        <is>
          <t>-</t>
        </is>
      </c>
      <c r="IQ289" s="9" t="inlineStr">
        <is>
          <t>-</t>
        </is>
      </c>
      <c r="IR289" s="9" t="n">
        <v>0</v>
      </c>
      <c r="IV289" s="9" t="inlineStr">
        <is>
          <t>BALANCE</t>
        </is>
      </c>
      <c r="IW289" s="9" t="inlineStr">
        <is>
          <t>-</t>
        </is>
      </c>
      <c r="IX289" s="9" t="inlineStr">
        <is>
          <t>-</t>
        </is>
      </c>
      <c r="IY289" s="9" t="inlineStr">
        <is>
          <t>-</t>
        </is>
      </c>
      <c r="IZ289" s="9" t="inlineStr">
        <is>
          <t>-</t>
        </is>
      </c>
      <c r="JA289" s="9" t="n">
        <v>2820</v>
      </c>
      <c r="JE289" s="9" t="inlineStr">
        <is>
          <t>BALANCE</t>
        </is>
      </c>
      <c r="JF289" s="9" t="inlineStr">
        <is>
          <t>-</t>
        </is>
      </c>
      <c r="JG289" s="9" t="inlineStr">
        <is>
          <t>-</t>
        </is>
      </c>
      <c r="JH289" s="9" t="inlineStr">
        <is>
          <t>-</t>
        </is>
      </c>
      <c r="JI289" s="9" t="inlineStr">
        <is>
          <t>-</t>
        </is>
      </c>
      <c r="JJ289" s="9" t="n">
        <v>0</v>
      </c>
      <c r="JN289" s="9" t="inlineStr">
        <is>
          <t>BALANCE</t>
        </is>
      </c>
      <c r="JO289" s="9" t="inlineStr">
        <is>
          <t>-</t>
        </is>
      </c>
      <c r="JP289" s="9" t="inlineStr">
        <is>
          <t>-</t>
        </is>
      </c>
      <c r="JQ289" s="9" t="inlineStr">
        <is>
          <t>-</t>
        </is>
      </c>
      <c r="JR289" s="9" t="inlineStr">
        <is>
          <t>-</t>
        </is>
      </c>
      <c r="JS289" s="9" t="n">
        <v>0</v>
      </c>
      <c r="JW289" s="9" t="inlineStr">
        <is>
          <t>BALANCE</t>
        </is>
      </c>
      <c r="JX289" s="9" t="inlineStr">
        <is>
          <t>-</t>
        </is>
      </c>
      <c r="JY289" s="9" t="inlineStr">
        <is>
          <t>-</t>
        </is>
      </c>
      <c r="JZ289" s="9" t="inlineStr">
        <is>
          <t>-</t>
        </is>
      </c>
      <c r="KA289" s="9" t="inlineStr">
        <is>
          <t>-</t>
        </is>
      </c>
      <c r="KB289" s="9" t="n">
        <v>2540</v>
      </c>
      <c r="KF289" s="9" t="inlineStr">
        <is>
          <t>BALANCE</t>
        </is>
      </c>
      <c r="KG289" s="9" t="inlineStr">
        <is>
          <t>-</t>
        </is>
      </c>
      <c r="KH289" s="9" t="inlineStr">
        <is>
          <t>-</t>
        </is>
      </c>
      <c r="KI289" s="9" t="inlineStr">
        <is>
          <t>-</t>
        </is>
      </c>
      <c r="KJ289" s="9" t="inlineStr">
        <is>
          <t>-</t>
        </is>
      </c>
      <c r="KK289" s="9" t="n">
        <v>2359.5</v>
      </c>
      <c r="KO289" s="9" t="inlineStr">
        <is>
          <t>BALANCE</t>
        </is>
      </c>
      <c r="KP289" s="9" t="inlineStr">
        <is>
          <t>-</t>
        </is>
      </c>
      <c r="KQ289" s="9" t="inlineStr">
        <is>
          <t>-</t>
        </is>
      </c>
      <c r="KR289" s="9" t="inlineStr">
        <is>
          <t>-</t>
        </is>
      </c>
      <c r="KS289" s="9" t="inlineStr">
        <is>
          <t>-</t>
        </is>
      </c>
      <c r="KT289" s="9" t="n">
        <v>1890</v>
      </c>
      <c r="KX289" s="9" t="inlineStr">
        <is>
          <t>BALANCE</t>
        </is>
      </c>
      <c r="KY289" s="9" t="inlineStr">
        <is>
          <t>-</t>
        </is>
      </c>
      <c r="KZ289" s="9" t="inlineStr">
        <is>
          <t>-</t>
        </is>
      </c>
      <c r="LA289" s="9" t="inlineStr">
        <is>
          <t>-</t>
        </is>
      </c>
      <c r="LB289" s="9" t="inlineStr">
        <is>
          <t>-</t>
        </is>
      </c>
      <c r="LC289" s="9" t="n">
        <v>3690</v>
      </c>
      <c r="LG289" s="9" t="inlineStr">
        <is>
          <t>BALANCE</t>
        </is>
      </c>
      <c r="LH289" s="9" t="inlineStr">
        <is>
          <t>-</t>
        </is>
      </c>
      <c r="LI289" s="9" t="inlineStr">
        <is>
          <t>-</t>
        </is>
      </c>
      <c r="LJ289" s="9" t="inlineStr">
        <is>
          <t>-</t>
        </is>
      </c>
      <c r="LK289" s="9" t="inlineStr">
        <is>
          <t>-</t>
        </is>
      </c>
      <c r="LL289" s="9" t="n">
        <v>4000</v>
      </c>
      <c r="LP289" s="9" t="inlineStr">
        <is>
          <t>BALANCE</t>
        </is>
      </c>
      <c r="LQ289" s="9" t="inlineStr">
        <is>
          <t>-</t>
        </is>
      </c>
      <c r="LR289" s="9" t="inlineStr">
        <is>
          <t>-</t>
        </is>
      </c>
      <c r="LS289" s="9" t="inlineStr">
        <is>
          <t>-</t>
        </is>
      </c>
      <c r="LT289" s="9" t="inlineStr">
        <is>
          <t>-</t>
        </is>
      </c>
      <c r="LU289" s="9" t="n">
        <v>0</v>
      </c>
      <c r="LY289" s="9" t="inlineStr">
        <is>
          <t>BALANCE</t>
        </is>
      </c>
      <c r="LZ289" s="9" t="inlineStr">
        <is>
          <t>-</t>
        </is>
      </c>
      <c r="MA289" s="9" t="inlineStr">
        <is>
          <t>-</t>
        </is>
      </c>
      <c r="MB289" s="9" t="inlineStr">
        <is>
          <t>-</t>
        </is>
      </c>
      <c r="MC289" s="9" t="inlineStr">
        <is>
          <t>-</t>
        </is>
      </c>
      <c r="MD289" s="9" t="n">
        <v>0</v>
      </c>
      <c r="MH289" s="9" t="inlineStr">
        <is>
          <t>BALANCE</t>
        </is>
      </c>
      <c r="MI289" s="9" t="inlineStr">
        <is>
          <t>-</t>
        </is>
      </c>
      <c r="MJ289" s="9" t="inlineStr">
        <is>
          <t>-</t>
        </is>
      </c>
      <c r="MK289" s="9" t="inlineStr">
        <is>
          <t>-</t>
        </is>
      </c>
      <c r="ML289" s="9" t="inlineStr">
        <is>
          <t>-</t>
        </is>
      </c>
      <c r="MM289" s="9" t="n">
        <v>0</v>
      </c>
      <c r="MQ289" s="9" t="inlineStr">
        <is>
          <t>BALANCE</t>
        </is>
      </c>
      <c r="MR289" s="9" t="inlineStr">
        <is>
          <t>-</t>
        </is>
      </c>
      <c r="MS289" s="9" t="inlineStr">
        <is>
          <t>-</t>
        </is>
      </c>
      <c r="MT289" s="9" t="inlineStr">
        <is>
          <t>-</t>
        </is>
      </c>
      <c r="MU289" s="9" t="inlineStr">
        <is>
          <t>-</t>
        </is>
      </c>
      <c r="MV289" s="9" t="n">
        <v>1625</v>
      </c>
      <c r="MZ289" s="9" t="inlineStr">
        <is>
          <t>BALANCE</t>
        </is>
      </c>
      <c r="NA289" s="9" t="inlineStr">
        <is>
          <t>-</t>
        </is>
      </c>
      <c r="NB289" s="9" t="inlineStr">
        <is>
          <t>-</t>
        </is>
      </c>
      <c r="NC289" s="9" t="inlineStr">
        <is>
          <t>-</t>
        </is>
      </c>
      <c r="ND289" s="9" t="inlineStr">
        <is>
          <t>-</t>
        </is>
      </c>
      <c r="NE289" s="9" t="n">
        <v>0</v>
      </c>
      <c r="NI289" s="9" t="inlineStr">
        <is>
          <t>BALANCE</t>
        </is>
      </c>
      <c r="NJ289" s="9" t="inlineStr">
        <is>
          <t>-</t>
        </is>
      </c>
      <c r="NK289" s="9" t="inlineStr">
        <is>
          <t>-</t>
        </is>
      </c>
      <c r="NL289" s="9" t="inlineStr">
        <is>
          <t>-</t>
        </is>
      </c>
      <c r="NM289" s="9" t="inlineStr">
        <is>
          <t>-</t>
        </is>
      </c>
      <c r="NN289" s="9" t="n">
        <v>1127</v>
      </c>
      <c r="NR289" s="9" t="inlineStr">
        <is>
          <t>BALANCE</t>
        </is>
      </c>
      <c r="NS289" s="9" t="inlineStr">
        <is>
          <t>-</t>
        </is>
      </c>
      <c r="NT289" s="9" t="inlineStr">
        <is>
          <t>-</t>
        </is>
      </c>
      <c r="NU289" s="9" t="inlineStr">
        <is>
          <t>-</t>
        </is>
      </c>
      <c r="NV289" s="9" t="inlineStr">
        <is>
          <t>-</t>
        </is>
      </c>
      <c r="NW289" s="9" t="n">
        <v>3112</v>
      </c>
      <c r="OA289" s="9" t="inlineStr">
        <is>
          <t>BALANCE</t>
        </is>
      </c>
      <c r="OB289" s="9" t="inlineStr">
        <is>
          <t>-</t>
        </is>
      </c>
      <c r="OC289" s="9" t="inlineStr">
        <is>
          <t>-</t>
        </is>
      </c>
      <c r="OD289" s="9" t="inlineStr">
        <is>
          <t>-</t>
        </is>
      </c>
      <c r="OE289" s="9" t="inlineStr">
        <is>
          <t>-</t>
        </is>
      </c>
      <c r="OF289" s="9" t="n">
        <v>1680.5</v>
      </c>
      <c r="OJ289" s="9" t="inlineStr">
        <is>
          <t>BALANCE</t>
        </is>
      </c>
      <c r="OK289" s="9" t="inlineStr">
        <is>
          <t>-</t>
        </is>
      </c>
      <c r="OL289" s="9" t="inlineStr">
        <is>
          <t>-</t>
        </is>
      </c>
      <c r="OM289" s="9" t="inlineStr">
        <is>
          <t>-</t>
        </is>
      </c>
      <c r="ON289" s="9" t="inlineStr">
        <is>
          <t>-</t>
        </is>
      </c>
      <c r="OO289" s="9" t="n">
        <v>0</v>
      </c>
      <c r="OS289" s="9" t="inlineStr">
        <is>
          <t>BALANCE</t>
        </is>
      </c>
      <c r="OT289" s="9" t="inlineStr">
        <is>
          <t>-</t>
        </is>
      </c>
      <c r="OU289" s="9" t="inlineStr">
        <is>
          <t>-</t>
        </is>
      </c>
      <c r="OV289" s="9" t="inlineStr">
        <is>
          <t>-</t>
        </is>
      </c>
      <c r="OW289" s="9" t="inlineStr">
        <is>
          <t>-</t>
        </is>
      </c>
      <c r="OX289" s="9" t="n">
        <v>1482</v>
      </c>
      <c r="PB289" s="9" t="inlineStr">
        <is>
          <t>BALANCE</t>
        </is>
      </c>
      <c r="PC289" s="9" t="inlineStr">
        <is>
          <t>-</t>
        </is>
      </c>
      <c r="PD289" s="9" t="inlineStr">
        <is>
          <t>-</t>
        </is>
      </c>
      <c r="PE289" s="9" t="inlineStr">
        <is>
          <t>-</t>
        </is>
      </c>
      <c r="PF289" s="9" t="inlineStr">
        <is>
          <t>-</t>
        </is>
      </c>
      <c r="PG289" s="9" t="n">
        <v>0</v>
      </c>
      <c r="PK289" s="9" t="inlineStr">
        <is>
          <t>BALANCE</t>
        </is>
      </c>
      <c r="PL289" s="9" t="inlineStr">
        <is>
          <t>-</t>
        </is>
      </c>
      <c r="PM289" s="9" t="inlineStr">
        <is>
          <t>-</t>
        </is>
      </c>
      <c r="PN289" s="9" t="inlineStr">
        <is>
          <t>-</t>
        </is>
      </c>
      <c r="PO289" s="9" t="inlineStr">
        <is>
          <t>-</t>
        </is>
      </c>
      <c r="PP289" s="9" t="n">
        <v>100</v>
      </c>
      <c r="PT289" s="9" t="inlineStr">
        <is>
          <t>BALANCE</t>
        </is>
      </c>
      <c r="PU289" s="9" t="inlineStr">
        <is>
          <t>-</t>
        </is>
      </c>
      <c r="PV289" s="9" t="inlineStr">
        <is>
          <t>-</t>
        </is>
      </c>
      <c r="PW289" s="9" t="inlineStr">
        <is>
          <t>-</t>
        </is>
      </c>
      <c r="PX289" s="9" t="inlineStr">
        <is>
          <t>-</t>
        </is>
      </c>
      <c r="PY289" s="9" t="n">
        <v>13.96000000000004</v>
      </c>
      <c r="QC289" s="9" t="inlineStr">
        <is>
          <t>BALANCE</t>
        </is>
      </c>
      <c r="QD289" s="9" t="inlineStr">
        <is>
          <t>-</t>
        </is>
      </c>
      <c r="QE289" s="9" t="inlineStr">
        <is>
          <t>-</t>
        </is>
      </c>
      <c r="QF289" s="9" t="inlineStr">
        <is>
          <t>-</t>
        </is>
      </c>
      <c r="QG289" s="9" t="inlineStr">
        <is>
          <t>-</t>
        </is>
      </c>
      <c r="QH289" s="9" t="n">
        <v>548</v>
      </c>
      <c r="QL289" s="9" t="inlineStr">
        <is>
          <t>BALANCE</t>
        </is>
      </c>
      <c r="QM289" s="9" t="inlineStr">
        <is>
          <t>-</t>
        </is>
      </c>
      <c r="QN289" s="9" t="inlineStr">
        <is>
          <t>-</t>
        </is>
      </c>
      <c r="QO289" s="9" t="inlineStr">
        <is>
          <t>-</t>
        </is>
      </c>
      <c r="QP289" s="9" t="inlineStr">
        <is>
          <t>-</t>
        </is>
      </c>
      <c r="QQ289" s="9" t="n">
        <v>0</v>
      </c>
      <c r="QU289" s="9" t="inlineStr">
        <is>
          <t>BALANCE</t>
        </is>
      </c>
      <c r="QV289" s="9" t="inlineStr">
        <is>
          <t>-</t>
        </is>
      </c>
      <c r="QW289" s="9" t="inlineStr">
        <is>
          <t>-</t>
        </is>
      </c>
      <c r="QX289" s="9" t="inlineStr">
        <is>
          <t>-</t>
        </is>
      </c>
      <c r="QY289" s="9" t="inlineStr">
        <is>
          <t>-</t>
        </is>
      </c>
      <c r="QZ289" s="9" t="n">
        <v>0</v>
      </c>
      <c r="RD289" s="9" t="inlineStr">
        <is>
          <t>BALANCE</t>
        </is>
      </c>
      <c r="RE289" s="9" t="inlineStr">
        <is>
          <t>-</t>
        </is>
      </c>
      <c r="RF289" s="9" t="inlineStr">
        <is>
          <t>-</t>
        </is>
      </c>
      <c r="RG289" s="9" t="inlineStr">
        <is>
          <t>-</t>
        </is>
      </c>
      <c r="RH289" s="9" t="inlineStr">
        <is>
          <t>-</t>
        </is>
      </c>
      <c r="RI289" s="9" t="n">
        <v>147.04</v>
      </c>
      <c r="RM289" s="9" t="inlineStr">
        <is>
          <t>BALANCE</t>
        </is>
      </c>
      <c r="RN289" s="9" t="inlineStr">
        <is>
          <t>-</t>
        </is>
      </c>
      <c r="RO289" s="9" t="inlineStr">
        <is>
          <t>-</t>
        </is>
      </c>
      <c r="RP289" s="9" t="inlineStr">
        <is>
          <t>-</t>
        </is>
      </c>
      <c r="RQ289" s="9" t="inlineStr">
        <is>
          <t>-</t>
        </is>
      </c>
      <c r="RR289" s="9" t="n">
        <v>46.8</v>
      </c>
      <c r="RV289" s="9" t="inlineStr">
        <is>
          <t>BALANCE</t>
        </is>
      </c>
      <c r="RW289" s="9" t="inlineStr">
        <is>
          <t>-</t>
        </is>
      </c>
      <c r="RX289" s="9" t="inlineStr">
        <is>
          <t>-</t>
        </is>
      </c>
      <c r="RY289" s="9" t="inlineStr">
        <is>
          <t>-</t>
        </is>
      </c>
      <c r="RZ289" s="9" t="inlineStr">
        <is>
          <t>-</t>
        </is>
      </c>
      <c r="SA289" s="9" t="n">
        <v>0</v>
      </c>
      <c r="SE289" s="9" t="inlineStr">
        <is>
          <t>BALANCE</t>
        </is>
      </c>
      <c r="SF289" s="9" t="inlineStr">
        <is>
          <t>-</t>
        </is>
      </c>
      <c r="SG289" s="9" t="inlineStr">
        <is>
          <t>-</t>
        </is>
      </c>
      <c r="SH289" s="9" t="inlineStr">
        <is>
          <t>-</t>
        </is>
      </c>
      <c r="SI289" s="9" t="inlineStr">
        <is>
          <t>-</t>
        </is>
      </c>
      <c r="SJ289" s="9" t="n">
        <v>24.2</v>
      </c>
      <c r="SN289" s="9" t="inlineStr">
        <is>
          <t>BALANCE</t>
        </is>
      </c>
      <c r="SO289" s="9" t="inlineStr">
        <is>
          <t>-</t>
        </is>
      </c>
      <c r="SP289" s="9" t="inlineStr">
        <is>
          <t>-</t>
        </is>
      </c>
      <c r="SQ289" s="9" t="inlineStr">
        <is>
          <t>-</t>
        </is>
      </c>
      <c r="SR289" s="9" t="inlineStr">
        <is>
          <t>-</t>
        </is>
      </c>
      <c r="SS289" s="9" t="n">
        <v>32</v>
      </c>
      <c r="SW289" s="9" t="inlineStr">
        <is>
          <t>BALANCE</t>
        </is>
      </c>
      <c r="SX289" s="9" t="inlineStr">
        <is>
          <t>-</t>
        </is>
      </c>
      <c r="SY289" s="9" t="inlineStr">
        <is>
          <t>-</t>
        </is>
      </c>
      <c r="SZ289" s="9" t="inlineStr">
        <is>
          <t>-</t>
        </is>
      </c>
      <c r="TA289" s="9" t="inlineStr">
        <is>
          <t>-</t>
        </is>
      </c>
      <c r="TB289" s="9" t="n">
        <v>0</v>
      </c>
      <c r="TF289" s="9" t="inlineStr">
        <is>
          <t>BALANCE</t>
        </is>
      </c>
      <c r="TG289" s="9" t="inlineStr">
        <is>
          <t>-</t>
        </is>
      </c>
      <c r="TH289" s="9" t="inlineStr">
        <is>
          <t>-</t>
        </is>
      </c>
      <c r="TI289" s="9" t="inlineStr">
        <is>
          <t>-</t>
        </is>
      </c>
      <c r="TJ289" s="9" t="inlineStr">
        <is>
          <t>-</t>
        </is>
      </c>
      <c r="TK289" s="9" t="n">
        <v>0</v>
      </c>
      <c r="TO289" s="9" t="inlineStr">
        <is>
          <t>BALANCE</t>
        </is>
      </c>
      <c r="TP289" s="9" t="inlineStr">
        <is>
          <t>-</t>
        </is>
      </c>
      <c r="TQ289" s="9" t="inlineStr">
        <is>
          <t>-</t>
        </is>
      </c>
      <c r="TR289" s="9" t="inlineStr">
        <is>
          <t>-</t>
        </is>
      </c>
      <c r="TS289" s="9" t="inlineStr">
        <is>
          <t>-</t>
        </is>
      </c>
      <c r="TT289" s="9" t="n">
        <v>0</v>
      </c>
      <c r="TX289" s="9" t="inlineStr">
        <is>
          <t>BALANCE</t>
        </is>
      </c>
      <c r="TY289" s="9" t="inlineStr">
        <is>
          <t>-</t>
        </is>
      </c>
      <c r="TZ289" s="9" t="inlineStr">
        <is>
          <t>-</t>
        </is>
      </c>
      <c r="UA289" s="9" t="inlineStr">
        <is>
          <t>-</t>
        </is>
      </c>
      <c r="UB289" s="9" t="inlineStr">
        <is>
          <t>-</t>
        </is>
      </c>
      <c r="UC289" s="9" t="n">
        <v>46.79999999999998</v>
      </c>
      <c r="UG289" s="9" t="inlineStr">
        <is>
          <t>BALANCE</t>
        </is>
      </c>
      <c r="UH289" s="9" t="inlineStr">
        <is>
          <t>-</t>
        </is>
      </c>
      <c r="UI289" s="9" t="inlineStr">
        <is>
          <t>-</t>
        </is>
      </c>
      <c r="UJ289" s="9" t="inlineStr">
        <is>
          <t>-</t>
        </is>
      </c>
      <c r="UK289" s="9" t="inlineStr">
        <is>
          <t>-</t>
        </is>
      </c>
      <c r="UL289" s="9" t="n">
        <v>204</v>
      </c>
      <c r="UP289" s="9" t="inlineStr">
        <is>
          <t>BALANCE</t>
        </is>
      </c>
      <c r="UQ289" s="9" t="inlineStr">
        <is>
          <t>-</t>
        </is>
      </c>
      <c r="UR289" s="9" t="inlineStr">
        <is>
          <t>-</t>
        </is>
      </c>
      <c r="US289" s="9" t="inlineStr">
        <is>
          <t>-</t>
        </is>
      </c>
      <c r="UT289" s="9" t="inlineStr">
        <is>
          <t>-</t>
        </is>
      </c>
      <c r="UU289" s="9" t="n">
        <v>202.5</v>
      </c>
      <c r="UY289" s="9" t="inlineStr">
        <is>
          <t>BALANCE</t>
        </is>
      </c>
      <c r="UZ289" s="9" t="inlineStr">
        <is>
          <t>-</t>
        </is>
      </c>
      <c r="VA289" s="9" t="inlineStr">
        <is>
          <t>-</t>
        </is>
      </c>
      <c r="VB289" s="9" t="inlineStr">
        <is>
          <t>-</t>
        </is>
      </c>
      <c r="VC289" s="9" t="inlineStr">
        <is>
          <t>-</t>
        </is>
      </c>
      <c r="VD289" s="9" t="n">
        <v>41.60000000000002</v>
      </c>
      <c r="VH289" s="9" t="inlineStr">
        <is>
          <t>BALANCE</t>
        </is>
      </c>
      <c r="VI289" s="9" t="inlineStr">
        <is>
          <t>-</t>
        </is>
      </c>
      <c r="VJ289" s="9" t="inlineStr">
        <is>
          <t>-</t>
        </is>
      </c>
      <c r="VK289" s="9" t="inlineStr">
        <is>
          <t>-</t>
        </is>
      </c>
      <c r="VL289" s="9" t="inlineStr">
        <is>
          <t>-</t>
        </is>
      </c>
      <c r="VM289" s="9" t="n">
        <v>210</v>
      </c>
      <c r="VQ289" s="9" t="inlineStr">
        <is>
          <t>BALANCE</t>
        </is>
      </c>
      <c r="VR289" s="9" t="inlineStr">
        <is>
          <t>-</t>
        </is>
      </c>
      <c r="VS289" s="9" t="inlineStr">
        <is>
          <t>-</t>
        </is>
      </c>
      <c r="VT289" s="9" t="inlineStr">
        <is>
          <t>-</t>
        </is>
      </c>
      <c r="VU289" s="9" t="inlineStr">
        <is>
          <t>-</t>
        </is>
      </c>
      <c r="VV289" s="9" t="n">
        <v>0</v>
      </c>
      <c r="VZ289" s="9" t="inlineStr">
        <is>
          <t>BALANCE</t>
        </is>
      </c>
      <c r="WA289" s="9" t="inlineStr">
        <is>
          <t>-</t>
        </is>
      </c>
      <c r="WB289" s="9" t="inlineStr">
        <is>
          <t>-</t>
        </is>
      </c>
      <c r="WC289" s="9" t="inlineStr">
        <is>
          <t>-</t>
        </is>
      </c>
      <c r="WD289" s="9" t="inlineStr">
        <is>
          <t>-</t>
        </is>
      </c>
      <c r="WE289" s="9" t="n">
        <v>0</v>
      </c>
      <c r="WI289" s="9" t="inlineStr">
        <is>
          <t>BALANCE</t>
        </is>
      </c>
      <c r="WJ289" s="9" t="inlineStr">
        <is>
          <t>-</t>
        </is>
      </c>
      <c r="WK289" s="9" t="inlineStr">
        <is>
          <t>-</t>
        </is>
      </c>
      <c r="WL289" s="9" t="inlineStr">
        <is>
          <t>-</t>
        </is>
      </c>
      <c r="WM289" s="9" t="inlineStr">
        <is>
          <t>-</t>
        </is>
      </c>
      <c r="WN289" s="9" t="n">
        <v>1057</v>
      </c>
      <c r="WR289" s="9" t="inlineStr">
        <is>
          <t>BALANCE</t>
        </is>
      </c>
      <c r="WS289" s="9" t="inlineStr">
        <is>
          <t>-</t>
        </is>
      </c>
      <c r="WT289" s="9" t="inlineStr">
        <is>
          <t>-</t>
        </is>
      </c>
      <c r="WU289" s="9" t="inlineStr">
        <is>
          <t>-</t>
        </is>
      </c>
      <c r="WV289" s="9" t="inlineStr">
        <is>
          <t>-</t>
        </is>
      </c>
      <c r="WW289" s="9" t="n">
        <v>0</v>
      </c>
      <c r="XA289" s="9" t="inlineStr">
        <is>
          <t>BALANCE</t>
        </is>
      </c>
      <c r="XB289" s="9" t="inlineStr">
        <is>
          <t>-</t>
        </is>
      </c>
      <c r="XC289" s="9" t="inlineStr">
        <is>
          <t>-</t>
        </is>
      </c>
      <c r="XD289" s="9" t="inlineStr">
        <is>
          <t>-</t>
        </is>
      </c>
      <c r="XE289" s="9" t="inlineStr">
        <is>
          <t>-</t>
        </is>
      </c>
      <c r="XF289" s="9" t="n">
        <v>7507</v>
      </c>
      <c r="XJ289" s="9" t="inlineStr">
        <is>
          <t>BALANCE</t>
        </is>
      </c>
      <c r="XK289" s="9" t="inlineStr">
        <is>
          <t>-</t>
        </is>
      </c>
      <c r="XL289" s="9" t="inlineStr">
        <is>
          <t>-</t>
        </is>
      </c>
      <c r="XM289" s="9" t="inlineStr">
        <is>
          <t>-</t>
        </is>
      </c>
      <c r="XN289" s="9" t="inlineStr">
        <is>
          <t>-</t>
        </is>
      </c>
      <c r="XO289" s="9" t="n">
        <v>4252</v>
      </c>
      <c r="XS289" s="9" t="inlineStr">
        <is>
          <t>BALANCE</t>
        </is>
      </c>
      <c r="XT289" s="9" t="inlineStr">
        <is>
          <t>-</t>
        </is>
      </c>
      <c r="XU289" s="9" t="inlineStr">
        <is>
          <t>-</t>
        </is>
      </c>
      <c r="XV289" s="9" t="inlineStr">
        <is>
          <t>-</t>
        </is>
      </c>
      <c r="XW289" s="9" t="inlineStr">
        <is>
          <t>-</t>
        </is>
      </c>
      <c r="XX289" s="9" t="n">
        <v>2179</v>
      </c>
      <c r="YB289" s="9" t="inlineStr">
        <is>
          <t>BALANCE</t>
        </is>
      </c>
      <c r="YC289" s="9" t="inlineStr">
        <is>
          <t>-</t>
        </is>
      </c>
      <c r="YD289" s="9" t="inlineStr">
        <is>
          <t>-</t>
        </is>
      </c>
      <c r="YE289" s="9" t="inlineStr">
        <is>
          <t>-</t>
        </is>
      </c>
      <c r="YF289" s="9" t="inlineStr">
        <is>
          <t>-</t>
        </is>
      </c>
      <c r="YG289" s="9" t="n">
        <v>4019</v>
      </c>
      <c r="YK289" s="9" t="inlineStr">
        <is>
          <t>BALANCE</t>
        </is>
      </c>
      <c r="YL289" s="9" t="inlineStr">
        <is>
          <t>-</t>
        </is>
      </c>
      <c r="YM289" s="9" t="inlineStr">
        <is>
          <t>-</t>
        </is>
      </c>
      <c r="YN289" s="9" t="inlineStr">
        <is>
          <t>-</t>
        </is>
      </c>
      <c r="YO289" s="9" t="inlineStr">
        <is>
          <t>-</t>
        </is>
      </c>
      <c r="YP289" s="9" t="n">
        <v>-218</v>
      </c>
      <c r="YT289" s="9" t="inlineStr">
        <is>
          <t>BALANCE</t>
        </is>
      </c>
      <c r="YU289" s="9" t="inlineStr">
        <is>
          <t>-</t>
        </is>
      </c>
      <c r="YV289" s="9" t="inlineStr">
        <is>
          <t>-</t>
        </is>
      </c>
      <c r="YW289" s="9" t="inlineStr">
        <is>
          <t>-</t>
        </is>
      </c>
      <c r="YX289" s="9" t="inlineStr">
        <is>
          <t>-</t>
        </is>
      </c>
      <c r="YY289" s="9" t="n">
        <v>0</v>
      </c>
      <c r="ZC289" s="9" t="inlineStr">
        <is>
          <t>BALANCE</t>
        </is>
      </c>
      <c r="ZD289" s="9" t="inlineStr">
        <is>
          <t>-</t>
        </is>
      </c>
      <c r="ZE289" s="9" t="inlineStr">
        <is>
          <t>-</t>
        </is>
      </c>
      <c r="ZF289" s="9" t="inlineStr">
        <is>
          <t>-</t>
        </is>
      </c>
      <c r="ZG289" s="9" t="inlineStr">
        <is>
          <t>-</t>
        </is>
      </c>
      <c r="ZH289" s="9" t="n">
        <v>0</v>
      </c>
      <c r="ZL289" s="9" t="inlineStr">
        <is>
          <t>BALANCE</t>
        </is>
      </c>
      <c r="ZM289" s="9" t="inlineStr">
        <is>
          <t>-</t>
        </is>
      </c>
      <c r="ZN289" s="9" t="inlineStr">
        <is>
          <t>-</t>
        </is>
      </c>
      <c r="ZO289" s="9" t="inlineStr">
        <is>
          <t>-</t>
        </is>
      </c>
      <c r="ZP289" s="9" t="inlineStr">
        <is>
          <t>-</t>
        </is>
      </c>
      <c r="ZQ289" s="9" t="n">
        <v>0</v>
      </c>
      <c r="ZU289" s="9" t="inlineStr">
        <is>
          <t>BALANCE</t>
        </is>
      </c>
      <c r="ZV289" s="9" t="inlineStr">
        <is>
          <t>-</t>
        </is>
      </c>
      <c r="ZW289" s="9" t="inlineStr">
        <is>
          <t>-</t>
        </is>
      </c>
      <c r="ZX289" s="9" t="inlineStr">
        <is>
          <t>-</t>
        </is>
      </c>
      <c r="ZY289" s="9" t="inlineStr">
        <is>
          <t>-</t>
        </is>
      </c>
      <c r="ZZ289" s="9" t="n">
        <v>0</v>
      </c>
      <c r="AAD289" s="9" t="inlineStr">
        <is>
          <t>BALANCE</t>
        </is>
      </c>
      <c r="AAE289" s="9" t="inlineStr">
        <is>
          <t>-</t>
        </is>
      </c>
      <c r="AAF289" s="9" t="inlineStr">
        <is>
          <t>-</t>
        </is>
      </c>
      <c r="AAG289" s="9" t="inlineStr">
        <is>
          <t>-</t>
        </is>
      </c>
      <c r="AAH289" s="9" t="inlineStr">
        <is>
          <t>-</t>
        </is>
      </c>
      <c r="AAI289" s="9" t="n">
        <v>0</v>
      </c>
      <c r="AAM289" s="9" t="inlineStr">
        <is>
          <t>BALANCE</t>
        </is>
      </c>
      <c r="AAN289" s="9" t="inlineStr">
        <is>
          <t>-</t>
        </is>
      </c>
      <c r="AAO289" s="9" t="inlineStr">
        <is>
          <t>-</t>
        </is>
      </c>
      <c r="AAP289" s="9" t="inlineStr">
        <is>
          <t>-</t>
        </is>
      </c>
      <c r="AAQ289" s="9" t="inlineStr">
        <is>
          <t>-</t>
        </is>
      </c>
      <c r="AAR289" s="9" t="n">
        <v>0</v>
      </c>
      <c r="AAV289" s="9" t="inlineStr">
        <is>
          <t>BALANCE</t>
        </is>
      </c>
      <c r="AAW289" s="9" t="inlineStr">
        <is>
          <t>-</t>
        </is>
      </c>
      <c r="AAX289" s="9" t="inlineStr">
        <is>
          <t>-</t>
        </is>
      </c>
      <c r="AAY289" s="9" t="inlineStr">
        <is>
          <t>-</t>
        </is>
      </c>
      <c r="AAZ289" s="9" t="inlineStr">
        <is>
          <t>-</t>
        </is>
      </c>
      <c r="ABA289" s="9" t="n">
        <v>0</v>
      </c>
      <c r="ABE289" s="9" t="inlineStr">
        <is>
          <t>BALANCE</t>
        </is>
      </c>
      <c r="ABF289" s="9" t="inlineStr">
        <is>
          <t>-</t>
        </is>
      </c>
      <c r="ABG289" s="9" t="inlineStr">
        <is>
          <t>-</t>
        </is>
      </c>
      <c r="ABH289" s="9" t="inlineStr">
        <is>
          <t>-</t>
        </is>
      </c>
      <c r="ABI289" s="9" t="inlineStr">
        <is>
          <t>-</t>
        </is>
      </c>
      <c r="ABJ289" s="9" t="n">
        <v>0</v>
      </c>
    </row>
    <row r="290">
      <c r="C290" s="10" t="n">
        <v>46266</v>
      </c>
      <c r="E290" s="9" t="n">
        <v>0</v>
      </c>
      <c r="G290" s="9" t="n">
        <v>0</v>
      </c>
      <c r="H290" s="9" t="n">
        <v>236936.6</v>
      </c>
      <c r="L290" s="10" t="n">
        <v>46266</v>
      </c>
      <c r="N290" s="9" t="n">
        <v>0</v>
      </c>
      <c r="P290" s="9" t="n">
        <v>0</v>
      </c>
      <c r="Q290" s="9" t="n">
        <v>53017.60000000007</v>
      </c>
      <c r="U290" s="10" t="n">
        <v>46266</v>
      </c>
      <c r="W290" s="9" t="n">
        <v>0</v>
      </c>
      <c r="Y290" s="9" t="n">
        <v>0</v>
      </c>
      <c r="Z290" s="9" t="n">
        <v>42674.19999999997</v>
      </c>
      <c r="AD290" s="10" t="n">
        <v>46266</v>
      </c>
      <c r="AF290" s="9" t="n">
        <v>0</v>
      </c>
      <c r="AH290" s="9" t="n">
        <v>0</v>
      </c>
      <c r="AI290" s="9" t="n">
        <v>4522.200000000019</v>
      </c>
      <c r="AM290" s="10" t="n">
        <v>46266</v>
      </c>
      <c r="AO290" s="9" t="n">
        <v>0</v>
      </c>
      <c r="AQ290" s="9" t="n">
        <v>0</v>
      </c>
      <c r="AR290" s="9" t="n">
        <v>0</v>
      </c>
      <c r="AV290" s="10" t="n">
        <v>46266</v>
      </c>
      <c r="AX290" s="9" t="n">
        <v>0</v>
      </c>
      <c r="AZ290" s="9" t="n">
        <v>0</v>
      </c>
      <c r="BA290" s="9" t="n">
        <v>124.9999999999952</v>
      </c>
      <c r="BE290" s="10" t="n">
        <v>46266</v>
      </c>
      <c r="BG290" s="9" t="n">
        <v>0</v>
      </c>
      <c r="BI290" s="9" t="n">
        <v>0</v>
      </c>
      <c r="BJ290" s="9" t="n">
        <v>26151.9</v>
      </c>
      <c r="BN290" s="10" t="n">
        <v>46266</v>
      </c>
      <c r="BP290" s="9" t="n">
        <v>0</v>
      </c>
      <c r="BR290" s="9" t="n">
        <v>0</v>
      </c>
      <c r="BS290" s="9" t="n">
        <v>0</v>
      </c>
      <c r="BW290" s="10" t="n">
        <v>46266</v>
      </c>
      <c r="BY290" s="9" t="n">
        <v>0</v>
      </c>
      <c r="CA290" s="9" t="n">
        <v>0</v>
      </c>
      <c r="CB290" s="9" t="n">
        <v>2097.339999999999</v>
      </c>
      <c r="CF290" s="10" t="n">
        <v>46266</v>
      </c>
      <c r="CH290" s="9" t="n">
        <v>0</v>
      </c>
      <c r="CJ290" s="9" t="n">
        <v>0</v>
      </c>
      <c r="CK290" s="9" t="n">
        <v>-10277.08</v>
      </c>
      <c r="CO290" s="10" t="n">
        <v>46266</v>
      </c>
      <c r="CQ290" s="9" t="n">
        <v>0</v>
      </c>
      <c r="CS290" s="9" t="n">
        <v>0</v>
      </c>
      <c r="CT290" s="9" t="n">
        <v>0</v>
      </c>
      <c r="CX290" s="10" t="n">
        <v>46266</v>
      </c>
      <c r="CZ290" s="9" t="n">
        <v>0</v>
      </c>
      <c r="DB290" s="9" t="n">
        <v>0</v>
      </c>
      <c r="DC290" s="9" t="n">
        <v>27438.20000000001</v>
      </c>
      <c r="DG290" s="10" t="n">
        <v>46266</v>
      </c>
      <c r="DI290" s="9" t="n">
        <v>0</v>
      </c>
      <c r="DK290" s="9" t="n">
        <v>0</v>
      </c>
      <c r="DL290" s="9" t="n">
        <v>18782.29999999998</v>
      </c>
      <c r="DP290" s="10" t="n">
        <v>46266</v>
      </c>
      <c r="DR290" s="9" t="n">
        <v>0</v>
      </c>
      <c r="DT290" s="9" t="n">
        <v>0</v>
      </c>
      <c r="DU290" s="9" t="n">
        <v>5800</v>
      </c>
      <c r="DY290" s="10" t="n">
        <v>46266</v>
      </c>
      <c r="EA290" s="9" t="n">
        <v>0</v>
      </c>
      <c r="EC290" s="9" t="n">
        <v>0</v>
      </c>
      <c r="ED290" s="9" t="n">
        <v>0</v>
      </c>
      <c r="EH290" s="10" t="n">
        <v>46266</v>
      </c>
      <c r="EJ290" s="9" t="n">
        <v>0</v>
      </c>
      <c r="EL290" s="9" t="n">
        <v>0</v>
      </c>
      <c r="EM290" s="9" t="n">
        <v>0</v>
      </c>
      <c r="EQ290" s="10" t="n">
        <v>46266</v>
      </c>
      <c r="ES290" s="9" t="n">
        <v>0</v>
      </c>
      <c r="EU290" s="9" t="n">
        <v>0</v>
      </c>
      <c r="EV290" s="9" t="n">
        <v>0</v>
      </c>
      <c r="EZ290" s="10" t="n">
        <v>46266</v>
      </c>
      <c r="FB290" s="9" t="n">
        <v>0</v>
      </c>
      <c r="FD290" s="9" t="n">
        <v>0</v>
      </c>
      <c r="FE290" s="9" t="n">
        <v>0</v>
      </c>
      <c r="FI290" s="10" t="n">
        <v>46266</v>
      </c>
      <c r="FK290" s="9" t="n">
        <v>0</v>
      </c>
      <c r="FM290" s="9" t="n">
        <v>0</v>
      </c>
      <c r="FN290" s="9" t="n">
        <v>0</v>
      </c>
      <c r="FR290" s="10" t="n">
        <v>46266</v>
      </c>
      <c r="FT290" s="9" t="n">
        <v>0</v>
      </c>
      <c r="FV290" s="9" t="n">
        <v>0</v>
      </c>
      <c r="FW290" s="9" t="n">
        <v>2020</v>
      </c>
      <c r="GA290" s="10" t="n">
        <v>46266</v>
      </c>
      <c r="GC290" s="9" t="n">
        <v>0</v>
      </c>
      <c r="GE290" s="9" t="n">
        <v>0</v>
      </c>
      <c r="GF290" s="9" t="n">
        <v>960</v>
      </c>
      <c r="GJ290" s="10" t="n">
        <v>46266</v>
      </c>
      <c r="GL290" s="9" t="n">
        <v>0</v>
      </c>
      <c r="GN290" s="9" t="n">
        <v>0</v>
      </c>
      <c r="GO290" s="9" t="n">
        <v>1760</v>
      </c>
      <c r="GS290" s="10" t="n">
        <v>46266</v>
      </c>
      <c r="GU290" s="9" t="n">
        <v>0</v>
      </c>
      <c r="GW290" s="9" t="n">
        <v>0</v>
      </c>
      <c r="GX290" s="9" t="n">
        <v>400</v>
      </c>
      <c r="HB290" s="10" t="n">
        <v>46266</v>
      </c>
      <c r="HD290" s="9" t="n">
        <v>0</v>
      </c>
      <c r="HF290" s="9" t="n">
        <v>0</v>
      </c>
      <c r="HG290" s="9" t="n">
        <v>3600</v>
      </c>
      <c r="HK290" s="10" t="n">
        <v>46266</v>
      </c>
      <c r="HM290" s="9" t="n">
        <v>0</v>
      </c>
      <c r="HO290" s="9" t="n">
        <v>0</v>
      </c>
      <c r="HP290" s="9" t="n">
        <v>0</v>
      </c>
      <c r="HU290" s="10" t="n">
        <v>46266</v>
      </c>
      <c r="HW290" s="9" t="n">
        <v>0</v>
      </c>
      <c r="HY290" s="9" t="n">
        <v>0</v>
      </c>
      <c r="HZ290" s="9" t="n">
        <v>6120</v>
      </c>
      <c r="ID290" s="10" t="n">
        <v>46266</v>
      </c>
      <c r="IF290" s="9" t="n">
        <v>0</v>
      </c>
      <c r="IH290" s="9" t="n">
        <v>0</v>
      </c>
      <c r="II290" s="9" t="n">
        <v>0</v>
      </c>
      <c r="IM290" s="10" t="n">
        <v>46266</v>
      </c>
      <c r="IO290" s="9" t="n">
        <v>0</v>
      </c>
      <c r="IQ290" s="9" t="n">
        <v>0</v>
      </c>
      <c r="IR290" s="9" t="n">
        <v>0</v>
      </c>
      <c r="IV290" s="10" t="n">
        <v>46266</v>
      </c>
      <c r="IX290" s="9" t="n">
        <v>0</v>
      </c>
      <c r="IZ290" s="9" t="n">
        <v>0</v>
      </c>
      <c r="JA290" s="9" t="n">
        <v>2820</v>
      </c>
      <c r="JE290" s="10" t="n">
        <v>46266</v>
      </c>
      <c r="JG290" s="9" t="n">
        <v>0</v>
      </c>
      <c r="JI290" s="9" t="n">
        <v>0</v>
      </c>
      <c r="JJ290" s="9" t="n">
        <v>0</v>
      </c>
      <c r="JN290" s="10" t="n">
        <v>46266</v>
      </c>
      <c r="JP290" s="9" t="n">
        <v>0</v>
      </c>
      <c r="JR290" s="9" t="n">
        <v>0</v>
      </c>
      <c r="JS290" s="9" t="n">
        <v>0</v>
      </c>
      <c r="JW290" s="10" t="n">
        <v>46266</v>
      </c>
      <c r="JY290" s="9" t="n">
        <v>0</v>
      </c>
      <c r="KA290" s="9" t="n">
        <v>0</v>
      </c>
      <c r="KB290" s="9" t="n">
        <v>2540</v>
      </c>
      <c r="KF290" s="10" t="n">
        <v>46266</v>
      </c>
      <c r="KH290" s="9" t="n">
        <v>0</v>
      </c>
      <c r="KJ290" s="9" t="n">
        <v>0</v>
      </c>
      <c r="KK290" s="9" t="n">
        <v>2359.5</v>
      </c>
      <c r="KO290" s="10" t="n">
        <v>46266</v>
      </c>
      <c r="KQ290" s="9" t="n">
        <v>0</v>
      </c>
      <c r="KS290" s="9" t="n">
        <v>0</v>
      </c>
      <c r="KT290" s="9" t="n">
        <v>1890</v>
      </c>
      <c r="KX290" s="10" t="n">
        <v>46266</v>
      </c>
      <c r="KZ290" s="9" t="n">
        <v>0</v>
      </c>
      <c r="LB290" s="9" t="n">
        <v>0</v>
      </c>
      <c r="LC290" s="9" t="n">
        <v>3690</v>
      </c>
      <c r="LG290" s="10" t="n">
        <v>46266</v>
      </c>
      <c r="LI290" s="9" t="n">
        <v>0</v>
      </c>
      <c r="LK290" s="9" t="n">
        <v>0</v>
      </c>
      <c r="LL290" s="9" t="n">
        <v>4000</v>
      </c>
      <c r="LP290" s="10" t="n">
        <v>46266</v>
      </c>
      <c r="LR290" s="9" t="n">
        <v>0</v>
      </c>
      <c r="LT290" s="9" t="n">
        <v>0</v>
      </c>
      <c r="LU290" s="9" t="n">
        <v>0</v>
      </c>
      <c r="LY290" s="10" t="n">
        <v>46266</v>
      </c>
      <c r="MA290" s="9" t="n">
        <v>0</v>
      </c>
      <c r="MC290" s="9" t="n">
        <v>0</v>
      </c>
      <c r="MD290" s="9" t="n">
        <v>0</v>
      </c>
      <c r="MH290" s="10" t="n">
        <v>46266</v>
      </c>
      <c r="MJ290" s="9" t="n">
        <v>0</v>
      </c>
      <c r="ML290" s="9" t="n">
        <v>0</v>
      </c>
      <c r="MM290" s="9" t="n">
        <v>0</v>
      </c>
      <c r="MQ290" s="10" t="n">
        <v>46266</v>
      </c>
      <c r="MS290" s="9" t="n">
        <v>0</v>
      </c>
      <c r="MU290" s="9" t="n">
        <v>0</v>
      </c>
      <c r="MV290" s="9" t="n">
        <v>1625</v>
      </c>
      <c r="MZ290" s="10" t="n">
        <v>46266</v>
      </c>
      <c r="NB290" s="9" t="n">
        <v>0</v>
      </c>
      <c r="ND290" s="9" t="n">
        <v>0</v>
      </c>
      <c r="NE290" s="9" t="n">
        <v>0</v>
      </c>
      <c r="NI290" s="10" t="n">
        <v>46266</v>
      </c>
      <c r="NK290" s="9" t="n">
        <v>0</v>
      </c>
      <c r="NM290" s="9" t="n">
        <v>0</v>
      </c>
      <c r="NN290" s="9" t="n">
        <v>1127</v>
      </c>
      <c r="NR290" s="10" t="n">
        <v>46266</v>
      </c>
      <c r="NT290" s="9" t="n">
        <v>0</v>
      </c>
      <c r="NV290" s="9" t="n">
        <v>0</v>
      </c>
      <c r="NW290" s="9" t="n">
        <v>3112</v>
      </c>
      <c r="OA290" s="10" t="n">
        <v>46266</v>
      </c>
      <c r="OC290" s="9" t="n">
        <v>0</v>
      </c>
      <c r="OE290" s="9" t="n">
        <v>0</v>
      </c>
      <c r="OF290" s="9" t="n">
        <v>1680.5</v>
      </c>
      <c r="OJ290" s="10" t="n">
        <v>46266</v>
      </c>
      <c r="OL290" s="9" t="n">
        <v>0</v>
      </c>
      <c r="ON290" s="9" t="n">
        <v>0</v>
      </c>
      <c r="OO290" s="9" t="n">
        <v>0</v>
      </c>
      <c r="OS290" s="10" t="n">
        <v>46266</v>
      </c>
      <c r="OU290" s="9" t="n">
        <v>0</v>
      </c>
      <c r="OW290" s="9" t="n">
        <v>0</v>
      </c>
      <c r="OX290" s="9" t="n">
        <v>1482</v>
      </c>
      <c r="PB290" s="10" t="n">
        <v>46266</v>
      </c>
      <c r="PD290" s="9" t="n">
        <v>0</v>
      </c>
      <c r="PF290" s="9" t="n">
        <v>0</v>
      </c>
      <c r="PG290" s="9" t="n">
        <v>0</v>
      </c>
      <c r="PK290" s="10" t="n">
        <v>46266</v>
      </c>
      <c r="PM290" s="9" t="n">
        <v>0</v>
      </c>
      <c r="PO290" s="9" t="n">
        <v>0</v>
      </c>
      <c r="PP290" s="9" t="n">
        <v>100</v>
      </c>
      <c r="PT290" s="10" t="n">
        <v>46266</v>
      </c>
      <c r="PV290" s="9" t="n">
        <v>0</v>
      </c>
      <c r="PX290" s="9" t="n">
        <v>0</v>
      </c>
      <c r="PY290" s="9" t="n">
        <v>13.96000000000004</v>
      </c>
      <c r="QC290" s="10" t="n">
        <v>46266</v>
      </c>
      <c r="QE290" s="9" t="n">
        <v>0</v>
      </c>
      <c r="QG290" s="9" t="n">
        <v>0</v>
      </c>
      <c r="QH290" s="9" t="n">
        <v>548</v>
      </c>
      <c r="QL290" s="10" t="n">
        <v>46266</v>
      </c>
      <c r="QN290" s="9" t="n">
        <v>0</v>
      </c>
      <c r="QP290" s="9" t="n">
        <v>0</v>
      </c>
      <c r="QQ290" s="9" t="n">
        <v>0</v>
      </c>
      <c r="QU290" s="10" t="n">
        <v>46266</v>
      </c>
      <c r="QW290" s="9" t="n">
        <v>0</v>
      </c>
      <c r="QY290" s="9" t="n">
        <v>0</v>
      </c>
      <c r="QZ290" s="9" t="n">
        <v>0</v>
      </c>
      <c r="RD290" s="10" t="n">
        <v>46266</v>
      </c>
      <c r="RF290" s="9" t="n">
        <v>0</v>
      </c>
      <c r="RH290" s="9" t="n">
        <v>0</v>
      </c>
      <c r="RI290" s="9" t="n">
        <v>147.04</v>
      </c>
      <c r="RM290" s="10" t="n">
        <v>46266</v>
      </c>
      <c r="RO290" s="9" t="n">
        <v>0</v>
      </c>
      <c r="RQ290" s="9" t="n">
        <v>0</v>
      </c>
      <c r="RR290" s="9" t="n">
        <v>46.8</v>
      </c>
      <c r="RV290" s="10" t="n">
        <v>46266</v>
      </c>
      <c r="RX290" s="9" t="n">
        <v>0</v>
      </c>
      <c r="RZ290" s="9" t="n">
        <v>0</v>
      </c>
      <c r="SA290" s="9" t="n">
        <v>0</v>
      </c>
      <c r="SE290" s="10" t="n">
        <v>46266</v>
      </c>
      <c r="SG290" s="9" t="n">
        <v>0</v>
      </c>
      <c r="SI290" s="9" t="n">
        <v>0</v>
      </c>
      <c r="SJ290" s="9" t="n">
        <v>24.2</v>
      </c>
      <c r="SN290" s="10" t="n">
        <v>46266</v>
      </c>
      <c r="SP290" s="9" t="n">
        <v>0</v>
      </c>
      <c r="SR290" s="9" t="n">
        <v>0</v>
      </c>
      <c r="SS290" s="9" t="n">
        <v>32</v>
      </c>
      <c r="SW290" s="10" t="n">
        <v>46266</v>
      </c>
      <c r="SY290" s="9" t="n">
        <v>0</v>
      </c>
      <c r="TA290" s="9" t="n">
        <v>0</v>
      </c>
      <c r="TB290" s="9" t="n">
        <v>0</v>
      </c>
      <c r="TF290" s="10" t="n">
        <v>46266</v>
      </c>
      <c r="TH290" s="9" t="n">
        <v>0</v>
      </c>
      <c r="TJ290" s="9" t="n">
        <v>0</v>
      </c>
      <c r="TK290" s="9" t="n">
        <v>0</v>
      </c>
      <c r="TO290" s="10" t="n">
        <v>46266</v>
      </c>
      <c r="TQ290" s="9" t="n">
        <v>0</v>
      </c>
      <c r="TS290" s="9" t="n">
        <v>0</v>
      </c>
      <c r="TT290" s="9" t="n">
        <v>0</v>
      </c>
      <c r="TX290" s="10" t="n">
        <v>46266</v>
      </c>
      <c r="TZ290" s="9" t="n">
        <v>0</v>
      </c>
      <c r="UB290" s="9" t="n">
        <v>0</v>
      </c>
      <c r="UC290" s="9" t="n">
        <v>46.79999999999998</v>
      </c>
      <c r="UG290" s="10" t="n">
        <v>46266</v>
      </c>
      <c r="UI290" s="9" t="n">
        <v>0</v>
      </c>
      <c r="UK290" s="9" t="n">
        <v>0</v>
      </c>
      <c r="UL290" s="9" t="n">
        <v>204</v>
      </c>
      <c r="UP290" s="10" t="n">
        <v>46266</v>
      </c>
      <c r="UR290" s="9" t="n">
        <v>0</v>
      </c>
      <c r="UT290" s="9" t="n">
        <v>0</v>
      </c>
      <c r="UU290" s="9" t="n">
        <v>202.5</v>
      </c>
      <c r="UY290" s="10" t="n">
        <v>46266</v>
      </c>
      <c r="VA290" s="9" t="n">
        <v>0</v>
      </c>
      <c r="VC290" s="9" t="n">
        <v>0</v>
      </c>
      <c r="VD290" s="9" t="n">
        <v>41.60000000000002</v>
      </c>
      <c r="VH290" s="10" t="n">
        <v>46266</v>
      </c>
      <c r="VJ290" s="9" t="n">
        <v>0</v>
      </c>
      <c r="VL290" s="9" t="n">
        <v>0</v>
      </c>
      <c r="VM290" s="9" t="n">
        <v>210</v>
      </c>
      <c r="VQ290" s="10" t="n">
        <v>46266</v>
      </c>
      <c r="VS290" s="9" t="n">
        <v>0</v>
      </c>
      <c r="VU290" s="9" t="n">
        <v>0</v>
      </c>
      <c r="VV290" s="9" t="n">
        <v>0</v>
      </c>
      <c r="VZ290" s="10" t="n">
        <v>46266</v>
      </c>
      <c r="WB290" s="9" t="n">
        <v>0</v>
      </c>
      <c r="WD290" s="9" t="n">
        <v>0</v>
      </c>
      <c r="WE290" s="9" t="n">
        <v>0</v>
      </c>
      <c r="WI290" s="10" t="n">
        <v>46266</v>
      </c>
      <c r="WK290" s="9" t="n">
        <v>0</v>
      </c>
      <c r="WM290" s="9" t="n">
        <v>0</v>
      </c>
      <c r="WN290" s="9" t="n">
        <v>1057</v>
      </c>
      <c r="WR290" s="10" t="n">
        <v>46266</v>
      </c>
      <c r="WT290" s="9" t="n">
        <v>0</v>
      </c>
      <c r="WV290" s="9" t="n">
        <v>0</v>
      </c>
      <c r="WW290" s="9" t="n">
        <v>0</v>
      </c>
      <c r="XA290" s="10" t="n">
        <v>46266</v>
      </c>
      <c r="XC290" s="9" t="n">
        <v>0</v>
      </c>
      <c r="XE290" s="9" t="n">
        <v>0</v>
      </c>
      <c r="XF290" s="9" t="n">
        <v>7507</v>
      </c>
      <c r="XJ290" s="10" t="n">
        <v>46266</v>
      </c>
      <c r="XL290" s="9" t="n">
        <v>0</v>
      </c>
      <c r="XN290" s="9" t="n">
        <v>0</v>
      </c>
      <c r="XO290" s="9" t="n">
        <v>4252</v>
      </c>
      <c r="XS290" s="10" t="n">
        <v>46266</v>
      </c>
      <c r="XU290" s="9" t="n">
        <v>0</v>
      </c>
      <c r="XW290" s="9" t="n">
        <v>0</v>
      </c>
      <c r="XX290" s="9" t="n">
        <v>2179</v>
      </c>
      <c r="YB290" s="10" t="n">
        <v>46266</v>
      </c>
      <c r="YD290" s="9" t="n">
        <v>0</v>
      </c>
      <c r="YF290" s="9" t="n">
        <v>0</v>
      </c>
      <c r="YG290" s="9" t="n">
        <v>4019</v>
      </c>
      <c r="YK290" s="10" t="n">
        <v>46266</v>
      </c>
      <c r="YM290" s="9" t="n">
        <v>0</v>
      </c>
      <c r="YO290" s="9" t="n">
        <v>0</v>
      </c>
      <c r="YP290" s="9" t="n">
        <v>-218</v>
      </c>
      <c r="YT290" s="10" t="n">
        <v>46266</v>
      </c>
      <c r="YV290" s="9" t="n">
        <v>0</v>
      </c>
      <c r="YX290" s="9" t="n">
        <v>0</v>
      </c>
      <c r="YY290" s="9" t="n">
        <v>0</v>
      </c>
      <c r="ZC290" s="10" t="n">
        <v>46266</v>
      </c>
      <c r="ZE290" s="9" t="n">
        <v>0</v>
      </c>
      <c r="ZG290" s="9" t="n">
        <v>0</v>
      </c>
      <c r="ZH290" s="9" t="n">
        <v>0</v>
      </c>
      <c r="ZL290" s="10" t="n">
        <v>46266</v>
      </c>
      <c r="ZN290" s="9" t="n">
        <v>0</v>
      </c>
      <c r="ZP290" s="9" t="n">
        <v>0</v>
      </c>
      <c r="ZQ290" s="9" t="n">
        <v>0</v>
      </c>
      <c r="ZU290" s="10" t="n">
        <v>46266</v>
      </c>
      <c r="ZW290" s="9" t="n">
        <v>0</v>
      </c>
      <c r="ZY290" s="9" t="n">
        <v>0</v>
      </c>
      <c r="ZZ290" s="9" t="n">
        <v>0</v>
      </c>
      <c r="AAD290" s="10" t="n">
        <v>46266</v>
      </c>
      <c r="AAF290" s="9" t="n">
        <v>0</v>
      </c>
      <c r="AAH290" s="9" t="n">
        <v>0</v>
      </c>
      <c r="AAI290" s="9" t="n">
        <v>0</v>
      </c>
      <c r="AAM290" s="10" t="n">
        <v>46266</v>
      </c>
      <c r="AAO290" s="9" t="n">
        <v>0</v>
      </c>
      <c r="AAQ290" s="9" t="n">
        <v>0</v>
      </c>
      <c r="AAR290" s="9" t="n">
        <v>0</v>
      </c>
      <c r="AAV290" s="10" t="n">
        <v>46266</v>
      </c>
      <c r="AAX290" s="9" t="n">
        <v>0</v>
      </c>
      <c r="AAZ290" s="9" t="n">
        <v>0</v>
      </c>
      <c r="ABA290" s="9" t="n">
        <v>0</v>
      </c>
      <c r="ABE290" s="10" t="n">
        <v>46266</v>
      </c>
      <c r="ABG290" s="9" t="n">
        <v>0</v>
      </c>
      <c r="ABI290" s="9" t="n">
        <v>0</v>
      </c>
      <c r="ABJ290" s="9" t="n">
        <v>0</v>
      </c>
    </row>
    <row r="291">
      <c r="C291" s="10" t="n">
        <v>46267</v>
      </c>
      <c r="E291" s="9" t="n">
        <v>0</v>
      </c>
      <c r="G291" s="9" t="n">
        <v>0</v>
      </c>
      <c r="H291" s="9" t="n">
        <v>236936.6</v>
      </c>
      <c r="L291" s="10" t="n">
        <v>46267</v>
      </c>
      <c r="N291" s="9" t="n">
        <v>0</v>
      </c>
      <c r="P291" s="9" t="n">
        <v>0</v>
      </c>
      <c r="Q291" s="9" t="n">
        <v>53017.60000000007</v>
      </c>
      <c r="U291" s="10" t="n">
        <v>46267</v>
      </c>
      <c r="W291" s="9" t="n">
        <v>0</v>
      </c>
      <c r="Y291" s="9" t="n">
        <v>0</v>
      </c>
      <c r="Z291" s="9" t="n">
        <v>42674.19999999997</v>
      </c>
      <c r="AD291" s="10" t="n">
        <v>46267</v>
      </c>
      <c r="AF291" s="9" t="n">
        <v>0</v>
      </c>
      <c r="AH291" s="9" t="n">
        <v>0</v>
      </c>
      <c r="AI291" s="9" t="n">
        <v>4522.200000000019</v>
      </c>
      <c r="AM291" s="10" t="n">
        <v>46267</v>
      </c>
      <c r="AO291" s="9" t="n">
        <v>0</v>
      </c>
      <c r="AQ291" s="9" t="n">
        <v>0</v>
      </c>
      <c r="AR291" s="9" t="n">
        <v>0</v>
      </c>
      <c r="AV291" s="10" t="n">
        <v>46267</v>
      </c>
      <c r="AX291" s="9" t="n">
        <v>0</v>
      </c>
      <c r="AZ291" s="9" t="n">
        <v>0</v>
      </c>
      <c r="BA291" s="9" t="n">
        <v>124.9999999999952</v>
      </c>
      <c r="BE291" s="10" t="n">
        <v>46267</v>
      </c>
      <c r="BG291" s="9" t="n">
        <v>0</v>
      </c>
      <c r="BI291" s="9" t="n">
        <v>0</v>
      </c>
      <c r="BJ291" s="9" t="n">
        <v>26151.9</v>
      </c>
      <c r="BN291" s="10" t="n">
        <v>46267</v>
      </c>
      <c r="BP291" s="9" t="n">
        <v>0</v>
      </c>
      <c r="BR291" s="9" t="n">
        <v>0</v>
      </c>
      <c r="BS291" s="9" t="n">
        <v>0</v>
      </c>
      <c r="BW291" s="10" t="n">
        <v>46267</v>
      </c>
      <c r="BY291" s="9" t="n">
        <v>0</v>
      </c>
      <c r="CA291" s="9" t="n">
        <v>0</v>
      </c>
      <c r="CB291" s="9" t="n">
        <v>2097.339999999999</v>
      </c>
      <c r="CF291" s="10" t="n">
        <v>46267</v>
      </c>
      <c r="CH291" s="9" t="n">
        <v>0</v>
      </c>
      <c r="CJ291" s="9" t="n">
        <v>0</v>
      </c>
      <c r="CK291" s="9" t="n">
        <v>-10277.08</v>
      </c>
      <c r="CO291" s="10" t="n">
        <v>46267</v>
      </c>
      <c r="CQ291" s="9" t="n">
        <v>0</v>
      </c>
      <c r="CS291" s="9" t="n">
        <v>0</v>
      </c>
      <c r="CT291" s="9" t="n">
        <v>0</v>
      </c>
      <c r="CX291" s="10" t="n">
        <v>46267</v>
      </c>
      <c r="CZ291" s="9" t="n">
        <v>0</v>
      </c>
      <c r="DB291" s="9" t="n">
        <v>0</v>
      </c>
      <c r="DC291" s="9" t="n">
        <v>27438.20000000001</v>
      </c>
      <c r="DG291" s="10" t="n">
        <v>46267</v>
      </c>
      <c r="DI291" s="9" t="n">
        <v>0</v>
      </c>
      <c r="DK291" s="9" t="n">
        <v>0</v>
      </c>
      <c r="DL291" s="9" t="n">
        <v>18782.29999999998</v>
      </c>
      <c r="DP291" s="10" t="n">
        <v>46267</v>
      </c>
      <c r="DR291" s="9" t="n">
        <v>0</v>
      </c>
      <c r="DT291" s="9" t="n">
        <v>0</v>
      </c>
      <c r="DU291" s="9" t="n">
        <v>5800</v>
      </c>
      <c r="DY291" s="10" t="n">
        <v>46267</v>
      </c>
      <c r="EA291" s="9" t="n">
        <v>0</v>
      </c>
      <c r="EC291" s="9" t="n">
        <v>0</v>
      </c>
      <c r="ED291" s="9" t="n">
        <v>0</v>
      </c>
      <c r="EH291" s="10" t="n">
        <v>46267</v>
      </c>
      <c r="EJ291" s="9" t="n">
        <v>0</v>
      </c>
      <c r="EL291" s="9" t="n">
        <v>0</v>
      </c>
      <c r="EM291" s="9" t="n">
        <v>0</v>
      </c>
      <c r="EQ291" s="10" t="n">
        <v>46267</v>
      </c>
      <c r="ES291" s="9" t="n">
        <v>0</v>
      </c>
      <c r="EU291" s="9" t="n">
        <v>0</v>
      </c>
      <c r="EV291" s="9" t="n">
        <v>0</v>
      </c>
      <c r="EZ291" s="10" t="n">
        <v>46267</v>
      </c>
      <c r="FB291" s="9" t="n">
        <v>0</v>
      </c>
      <c r="FD291" s="9" t="n">
        <v>0</v>
      </c>
      <c r="FE291" s="9" t="n">
        <v>0</v>
      </c>
      <c r="FI291" s="10" t="n">
        <v>46267</v>
      </c>
      <c r="FK291" s="9" t="n">
        <v>0</v>
      </c>
      <c r="FM291" s="9" t="n">
        <v>0</v>
      </c>
      <c r="FN291" s="9" t="n">
        <v>0</v>
      </c>
      <c r="FR291" s="10" t="n">
        <v>46267</v>
      </c>
      <c r="FT291" s="9" t="n">
        <v>0</v>
      </c>
      <c r="FV291" s="9" t="n">
        <v>0</v>
      </c>
      <c r="FW291" s="9" t="n">
        <v>2020</v>
      </c>
      <c r="GA291" s="10" t="n">
        <v>46267</v>
      </c>
      <c r="GC291" s="9" t="n">
        <v>0</v>
      </c>
      <c r="GE291" s="9" t="n">
        <v>0</v>
      </c>
      <c r="GF291" s="9" t="n">
        <v>960</v>
      </c>
      <c r="GJ291" s="10" t="n">
        <v>46267</v>
      </c>
      <c r="GL291" s="9" t="n">
        <v>0</v>
      </c>
      <c r="GN291" s="9" t="n">
        <v>0</v>
      </c>
      <c r="GO291" s="9" t="n">
        <v>1760</v>
      </c>
      <c r="GS291" s="10" t="n">
        <v>46267</v>
      </c>
      <c r="GU291" s="9" t="n">
        <v>0</v>
      </c>
      <c r="GW291" s="9" t="n">
        <v>0</v>
      </c>
      <c r="GX291" s="9" t="n">
        <v>400</v>
      </c>
      <c r="HB291" s="10" t="n">
        <v>46267</v>
      </c>
      <c r="HD291" s="9" t="n">
        <v>0</v>
      </c>
      <c r="HF291" s="9" t="n">
        <v>0</v>
      </c>
      <c r="HG291" s="9" t="n">
        <v>3600</v>
      </c>
      <c r="HK291" s="10" t="n">
        <v>46267</v>
      </c>
      <c r="HM291" s="9" t="n">
        <v>0</v>
      </c>
      <c r="HO291" s="9" t="n">
        <v>0</v>
      </c>
      <c r="HP291" s="9" t="n">
        <v>0</v>
      </c>
      <c r="HU291" s="10" t="n">
        <v>46267</v>
      </c>
      <c r="HW291" s="9" t="n">
        <v>0</v>
      </c>
      <c r="HY291" s="9" t="n">
        <v>0</v>
      </c>
      <c r="HZ291" s="9" t="n">
        <v>6120</v>
      </c>
      <c r="ID291" s="10" t="n">
        <v>46267</v>
      </c>
      <c r="IF291" s="9" t="n">
        <v>0</v>
      </c>
      <c r="IH291" s="9" t="n">
        <v>0</v>
      </c>
      <c r="II291" s="9" t="n">
        <v>0</v>
      </c>
      <c r="IM291" s="10" t="n">
        <v>46267</v>
      </c>
      <c r="IO291" s="9" t="n">
        <v>0</v>
      </c>
      <c r="IQ291" s="9" t="n">
        <v>0</v>
      </c>
      <c r="IR291" s="9" t="n">
        <v>0</v>
      </c>
      <c r="IV291" s="10" t="n">
        <v>46267</v>
      </c>
      <c r="IX291" s="9" t="n">
        <v>0</v>
      </c>
      <c r="IZ291" s="9" t="n">
        <v>0</v>
      </c>
      <c r="JA291" s="9" t="n">
        <v>2820</v>
      </c>
      <c r="JE291" s="10" t="n">
        <v>46267</v>
      </c>
      <c r="JG291" s="9" t="n">
        <v>0</v>
      </c>
      <c r="JI291" s="9" t="n">
        <v>0</v>
      </c>
      <c r="JJ291" s="9" t="n">
        <v>0</v>
      </c>
      <c r="JN291" s="10" t="n">
        <v>46267</v>
      </c>
      <c r="JP291" s="9" t="n">
        <v>0</v>
      </c>
      <c r="JR291" s="9" t="n">
        <v>0</v>
      </c>
      <c r="JS291" s="9" t="n">
        <v>0</v>
      </c>
      <c r="JW291" s="10" t="n">
        <v>46267</v>
      </c>
      <c r="JY291" s="9" t="n">
        <v>0</v>
      </c>
      <c r="KA291" s="9" t="n">
        <v>0</v>
      </c>
      <c r="KB291" s="9" t="n">
        <v>2540</v>
      </c>
      <c r="KF291" s="10" t="n">
        <v>46267</v>
      </c>
      <c r="KH291" s="9" t="n">
        <v>0</v>
      </c>
      <c r="KJ291" s="9" t="n">
        <v>0</v>
      </c>
      <c r="KK291" s="9" t="n">
        <v>2359.5</v>
      </c>
      <c r="KO291" s="10" t="n">
        <v>46267</v>
      </c>
      <c r="KQ291" s="9" t="n">
        <v>0</v>
      </c>
      <c r="KS291" s="9" t="n">
        <v>0</v>
      </c>
      <c r="KT291" s="9" t="n">
        <v>1890</v>
      </c>
      <c r="KX291" s="10" t="n">
        <v>46267</v>
      </c>
      <c r="KZ291" s="9" t="n">
        <v>0</v>
      </c>
      <c r="LB291" s="9" t="n">
        <v>0</v>
      </c>
      <c r="LC291" s="9" t="n">
        <v>3690</v>
      </c>
      <c r="LG291" s="10" t="n">
        <v>46267</v>
      </c>
      <c r="LI291" s="9" t="n">
        <v>0</v>
      </c>
      <c r="LK291" s="9" t="n">
        <v>0</v>
      </c>
      <c r="LL291" s="9" t="n">
        <v>4000</v>
      </c>
      <c r="LP291" s="10" t="n">
        <v>46267</v>
      </c>
      <c r="LR291" s="9" t="n">
        <v>0</v>
      </c>
      <c r="LT291" s="9" t="n">
        <v>0</v>
      </c>
      <c r="LU291" s="9" t="n">
        <v>0</v>
      </c>
      <c r="LY291" s="10" t="n">
        <v>46267</v>
      </c>
      <c r="MA291" s="9" t="n">
        <v>0</v>
      </c>
      <c r="MC291" s="9" t="n">
        <v>0</v>
      </c>
      <c r="MD291" s="9" t="n">
        <v>0</v>
      </c>
      <c r="MH291" s="10" t="n">
        <v>46267</v>
      </c>
      <c r="MJ291" s="9" t="n">
        <v>0</v>
      </c>
      <c r="ML291" s="9" t="n">
        <v>0</v>
      </c>
      <c r="MM291" s="9" t="n">
        <v>0</v>
      </c>
      <c r="MQ291" s="10" t="n">
        <v>46267</v>
      </c>
      <c r="MS291" s="9" t="n">
        <v>0</v>
      </c>
      <c r="MU291" s="9" t="n">
        <v>0</v>
      </c>
      <c r="MV291" s="9" t="n">
        <v>1625</v>
      </c>
      <c r="MZ291" s="10" t="n">
        <v>46267</v>
      </c>
      <c r="NB291" s="9" t="n">
        <v>0</v>
      </c>
      <c r="ND291" s="9" t="n">
        <v>0</v>
      </c>
      <c r="NE291" s="9" t="n">
        <v>0</v>
      </c>
      <c r="NI291" s="10" t="n">
        <v>46267</v>
      </c>
      <c r="NK291" s="9" t="n">
        <v>0</v>
      </c>
      <c r="NM291" s="9" t="n">
        <v>0</v>
      </c>
      <c r="NN291" s="9" t="n">
        <v>1127</v>
      </c>
      <c r="NR291" s="10" t="n">
        <v>46267</v>
      </c>
      <c r="NT291" s="9" t="n">
        <v>0</v>
      </c>
      <c r="NV291" s="9" t="n">
        <v>0</v>
      </c>
      <c r="NW291" s="9" t="n">
        <v>3112</v>
      </c>
      <c r="OA291" s="10" t="n">
        <v>46267</v>
      </c>
      <c r="OC291" s="9" t="n">
        <v>0</v>
      </c>
      <c r="OE291" s="9" t="n">
        <v>0</v>
      </c>
      <c r="OF291" s="9" t="n">
        <v>1680.5</v>
      </c>
      <c r="OJ291" s="10" t="n">
        <v>46267</v>
      </c>
      <c r="OL291" s="9" t="n">
        <v>0</v>
      </c>
      <c r="ON291" s="9" t="n">
        <v>0</v>
      </c>
      <c r="OO291" s="9" t="n">
        <v>0</v>
      </c>
      <c r="OS291" s="10" t="n">
        <v>46267</v>
      </c>
      <c r="OU291" s="9" t="n">
        <v>0</v>
      </c>
      <c r="OW291" s="9" t="n">
        <v>0</v>
      </c>
      <c r="OX291" s="9" t="n">
        <v>1482</v>
      </c>
      <c r="PB291" s="10" t="n">
        <v>46267</v>
      </c>
      <c r="PD291" s="9" t="n">
        <v>0</v>
      </c>
      <c r="PF291" s="9" t="n">
        <v>0</v>
      </c>
      <c r="PG291" s="9" t="n">
        <v>0</v>
      </c>
      <c r="PK291" s="10" t="n">
        <v>46267</v>
      </c>
      <c r="PM291" s="9" t="n">
        <v>0</v>
      </c>
      <c r="PO291" s="9" t="n">
        <v>0</v>
      </c>
      <c r="PP291" s="9" t="n">
        <v>100</v>
      </c>
      <c r="PT291" s="10" t="n">
        <v>46267</v>
      </c>
      <c r="PV291" s="9" t="n">
        <v>0</v>
      </c>
      <c r="PX291" s="9" t="n">
        <v>0</v>
      </c>
      <c r="PY291" s="9" t="n">
        <v>13.96000000000004</v>
      </c>
      <c r="QC291" s="10" t="n">
        <v>46267</v>
      </c>
      <c r="QE291" s="9" t="n">
        <v>0</v>
      </c>
      <c r="QG291" s="9" t="n">
        <v>0</v>
      </c>
      <c r="QH291" s="9" t="n">
        <v>548</v>
      </c>
      <c r="QL291" s="10" t="n">
        <v>46267</v>
      </c>
      <c r="QN291" s="9" t="n">
        <v>0</v>
      </c>
      <c r="QP291" s="9" t="n">
        <v>0</v>
      </c>
      <c r="QQ291" s="9" t="n">
        <v>0</v>
      </c>
      <c r="QU291" s="10" t="n">
        <v>46267</v>
      </c>
      <c r="QW291" s="9" t="n">
        <v>0</v>
      </c>
      <c r="QY291" s="9" t="n">
        <v>0</v>
      </c>
      <c r="QZ291" s="9" t="n">
        <v>0</v>
      </c>
      <c r="RD291" s="10" t="n">
        <v>46267</v>
      </c>
      <c r="RF291" s="9" t="n">
        <v>0</v>
      </c>
      <c r="RH291" s="9" t="n">
        <v>0</v>
      </c>
      <c r="RI291" s="9" t="n">
        <v>147.04</v>
      </c>
      <c r="RM291" s="10" t="n">
        <v>46267</v>
      </c>
      <c r="RO291" s="9" t="n">
        <v>0</v>
      </c>
      <c r="RQ291" s="9" t="n">
        <v>0</v>
      </c>
      <c r="RR291" s="9" t="n">
        <v>46.8</v>
      </c>
      <c r="RV291" s="10" t="n">
        <v>46267</v>
      </c>
      <c r="RX291" s="9" t="n">
        <v>0</v>
      </c>
      <c r="RZ291" s="9" t="n">
        <v>0</v>
      </c>
      <c r="SA291" s="9" t="n">
        <v>0</v>
      </c>
      <c r="SE291" s="10" t="n">
        <v>46267</v>
      </c>
      <c r="SG291" s="9" t="n">
        <v>0</v>
      </c>
      <c r="SI291" s="9" t="n">
        <v>0</v>
      </c>
      <c r="SJ291" s="9" t="n">
        <v>24.2</v>
      </c>
      <c r="SN291" s="10" t="n">
        <v>46267</v>
      </c>
      <c r="SP291" s="9" t="n">
        <v>0</v>
      </c>
      <c r="SR291" s="9" t="n">
        <v>0</v>
      </c>
      <c r="SS291" s="9" t="n">
        <v>32</v>
      </c>
      <c r="SW291" s="10" t="n">
        <v>46267</v>
      </c>
      <c r="SY291" s="9" t="n">
        <v>0</v>
      </c>
      <c r="TA291" s="9" t="n">
        <v>0</v>
      </c>
      <c r="TB291" s="9" t="n">
        <v>0</v>
      </c>
      <c r="TF291" s="10" t="n">
        <v>46267</v>
      </c>
      <c r="TH291" s="9" t="n">
        <v>0</v>
      </c>
      <c r="TJ291" s="9" t="n">
        <v>0</v>
      </c>
      <c r="TK291" s="9" t="n">
        <v>0</v>
      </c>
      <c r="TO291" s="10" t="n">
        <v>46267</v>
      </c>
      <c r="TQ291" s="9" t="n">
        <v>0</v>
      </c>
      <c r="TS291" s="9" t="n">
        <v>0</v>
      </c>
      <c r="TT291" s="9" t="n">
        <v>0</v>
      </c>
      <c r="TX291" s="10" t="n">
        <v>46267</v>
      </c>
      <c r="TZ291" s="9" t="n">
        <v>0</v>
      </c>
      <c r="UB291" s="9" t="n">
        <v>0</v>
      </c>
      <c r="UC291" s="9" t="n">
        <v>46.79999999999998</v>
      </c>
      <c r="UG291" s="10" t="n">
        <v>46267</v>
      </c>
      <c r="UI291" s="9" t="n">
        <v>0</v>
      </c>
      <c r="UK291" s="9" t="n">
        <v>0</v>
      </c>
      <c r="UL291" s="9" t="n">
        <v>204</v>
      </c>
      <c r="UP291" s="10" t="n">
        <v>46267</v>
      </c>
      <c r="UR291" s="9" t="n">
        <v>0</v>
      </c>
      <c r="UT291" s="9" t="n">
        <v>0</v>
      </c>
      <c r="UU291" s="9" t="n">
        <v>202.5</v>
      </c>
      <c r="UY291" s="10" t="n">
        <v>46267</v>
      </c>
      <c r="VA291" s="9" t="n">
        <v>0</v>
      </c>
      <c r="VC291" s="9" t="n">
        <v>0</v>
      </c>
      <c r="VD291" s="9" t="n">
        <v>41.60000000000002</v>
      </c>
      <c r="VH291" s="10" t="n">
        <v>46267</v>
      </c>
      <c r="VJ291" s="9" t="n">
        <v>0</v>
      </c>
      <c r="VL291" s="9" t="n">
        <v>0</v>
      </c>
      <c r="VM291" s="9" t="n">
        <v>210</v>
      </c>
      <c r="VQ291" s="10" t="n">
        <v>46267</v>
      </c>
      <c r="VS291" s="9" t="n">
        <v>0</v>
      </c>
      <c r="VU291" s="9" t="n">
        <v>0</v>
      </c>
      <c r="VV291" s="9" t="n">
        <v>0</v>
      </c>
      <c r="VZ291" s="10" t="n">
        <v>46267</v>
      </c>
      <c r="WB291" s="9" t="n">
        <v>0</v>
      </c>
      <c r="WD291" s="9" t="n">
        <v>0</v>
      </c>
      <c r="WE291" s="9" t="n">
        <v>0</v>
      </c>
      <c r="WI291" s="10" t="n">
        <v>46267</v>
      </c>
      <c r="WK291" s="9" t="n">
        <v>0</v>
      </c>
      <c r="WM291" s="9" t="n">
        <v>0</v>
      </c>
      <c r="WN291" s="9" t="n">
        <v>1057</v>
      </c>
      <c r="WR291" s="10" t="n">
        <v>46267</v>
      </c>
      <c r="WT291" s="9" t="n">
        <v>0</v>
      </c>
      <c r="WV291" s="9" t="n">
        <v>0</v>
      </c>
      <c r="WW291" s="9" t="n">
        <v>0</v>
      </c>
      <c r="XA291" s="10" t="n">
        <v>46267</v>
      </c>
      <c r="XC291" s="9" t="n">
        <v>0</v>
      </c>
      <c r="XE291" s="9" t="n">
        <v>0</v>
      </c>
      <c r="XF291" s="9" t="n">
        <v>7507</v>
      </c>
      <c r="XJ291" s="10" t="n">
        <v>46267</v>
      </c>
      <c r="XL291" s="9" t="n">
        <v>0</v>
      </c>
      <c r="XN291" s="9" t="n">
        <v>0</v>
      </c>
      <c r="XO291" s="9" t="n">
        <v>4252</v>
      </c>
      <c r="XS291" s="10" t="n">
        <v>46267</v>
      </c>
      <c r="XU291" s="9" t="n">
        <v>0</v>
      </c>
      <c r="XW291" s="9" t="n">
        <v>0</v>
      </c>
      <c r="XX291" s="9" t="n">
        <v>2179</v>
      </c>
      <c r="YB291" s="10" t="n">
        <v>46267</v>
      </c>
      <c r="YD291" s="9" t="n">
        <v>0</v>
      </c>
      <c r="YF291" s="9" t="n">
        <v>0</v>
      </c>
      <c r="YG291" s="9" t="n">
        <v>4019</v>
      </c>
      <c r="YK291" s="10" t="n">
        <v>46267</v>
      </c>
      <c r="YM291" s="9" t="n">
        <v>0</v>
      </c>
      <c r="YO291" s="9" t="n">
        <v>0</v>
      </c>
      <c r="YP291" s="9" t="n">
        <v>-218</v>
      </c>
      <c r="YT291" s="10" t="n">
        <v>46267</v>
      </c>
      <c r="YV291" s="9" t="n">
        <v>0</v>
      </c>
      <c r="YX291" s="9" t="n">
        <v>0</v>
      </c>
      <c r="YY291" s="9" t="n">
        <v>0</v>
      </c>
      <c r="ZC291" s="10" t="n">
        <v>46267</v>
      </c>
      <c r="ZE291" s="9" t="n">
        <v>0</v>
      </c>
      <c r="ZG291" s="9" t="n">
        <v>0</v>
      </c>
      <c r="ZH291" s="9" t="n">
        <v>0</v>
      </c>
      <c r="ZL291" s="10" t="n">
        <v>46267</v>
      </c>
      <c r="ZN291" s="9" t="n">
        <v>0</v>
      </c>
      <c r="ZP291" s="9" t="n">
        <v>0</v>
      </c>
      <c r="ZQ291" s="9" t="n">
        <v>0</v>
      </c>
      <c r="ZU291" s="10" t="n">
        <v>46267</v>
      </c>
      <c r="ZW291" s="9" t="n">
        <v>0</v>
      </c>
      <c r="ZY291" s="9" t="n">
        <v>0</v>
      </c>
      <c r="ZZ291" s="9" t="n">
        <v>0</v>
      </c>
      <c r="AAD291" s="10" t="n">
        <v>46267</v>
      </c>
      <c r="AAF291" s="9" t="n">
        <v>0</v>
      </c>
      <c r="AAH291" s="9" t="n">
        <v>0</v>
      </c>
      <c r="AAI291" s="9" t="n">
        <v>0</v>
      </c>
      <c r="AAM291" s="10" t="n">
        <v>46267</v>
      </c>
      <c r="AAO291" s="9" t="n">
        <v>0</v>
      </c>
      <c r="AAQ291" s="9" t="n">
        <v>0</v>
      </c>
      <c r="AAR291" s="9" t="n">
        <v>0</v>
      </c>
      <c r="AAV291" s="10" t="n">
        <v>46267</v>
      </c>
      <c r="AAX291" s="9" t="n">
        <v>0</v>
      </c>
      <c r="AAZ291" s="9" t="n">
        <v>0</v>
      </c>
      <c r="ABA291" s="9" t="n">
        <v>0</v>
      </c>
      <c r="ABE291" s="10" t="n">
        <v>46267</v>
      </c>
      <c r="ABG291" s="9" t="n">
        <v>0</v>
      </c>
      <c r="ABI291" s="9" t="n">
        <v>0</v>
      </c>
      <c r="ABJ291" s="9" t="n">
        <v>0</v>
      </c>
    </row>
    <row r="292">
      <c r="C292" s="10" t="n">
        <v>46268</v>
      </c>
      <c r="E292" s="9" t="n">
        <v>0</v>
      </c>
      <c r="G292" s="9" t="n">
        <v>0</v>
      </c>
      <c r="H292" s="9" t="n">
        <v>236936.6</v>
      </c>
      <c r="L292" s="10" t="n">
        <v>46268</v>
      </c>
      <c r="N292" s="9" t="n">
        <v>0</v>
      </c>
      <c r="P292" s="9" t="n">
        <v>0</v>
      </c>
      <c r="Q292" s="9" t="n">
        <v>53017.60000000007</v>
      </c>
      <c r="U292" s="10" t="n">
        <v>46268</v>
      </c>
      <c r="W292" s="9" t="n">
        <v>0</v>
      </c>
      <c r="Y292" s="9" t="n">
        <v>0</v>
      </c>
      <c r="Z292" s="9" t="n">
        <v>42674.19999999997</v>
      </c>
      <c r="AD292" s="10" t="n">
        <v>46268</v>
      </c>
      <c r="AF292" s="9" t="n">
        <v>0</v>
      </c>
      <c r="AH292" s="9" t="n">
        <v>0</v>
      </c>
      <c r="AI292" s="9" t="n">
        <v>4522.200000000019</v>
      </c>
      <c r="AM292" s="10" t="n">
        <v>46268</v>
      </c>
      <c r="AO292" s="9" t="n">
        <v>0</v>
      </c>
      <c r="AQ292" s="9" t="n">
        <v>0</v>
      </c>
      <c r="AR292" s="9" t="n">
        <v>0</v>
      </c>
      <c r="AV292" s="10" t="n">
        <v>46268</v>
      </c>
      <c r="AX292" s="9" t="n">
        <v>0</v>
      </c>
      <c r="AZ292" s="9" t="n">
        <v>0</v>
      </c>
      <c r="BA292" s="9" t="n">
        <v>124.9999999999952</v>
      </c>
      <c r="BE292" s="10" t="n">
        <v>46268</v>
      </c>
      <c r="BG292" s="9" t="n">
        <v>0</v>
      </c>
      <c r="BI292" s="9" t="n">
        <v>0</v>
      </c>
      <c r="BJ292" s="9" t="n">
        <v>26151.9</v>
      </c>
      <c r="BN292" s="10" t="n">
        <v>46268</v>
      </c>
      <c r="BP292" s="9" t="n">
        <v>0</v>
      </c>
      <c r="BR292" s="9" t="n">
        <v>0</v>
      </c>
      <c r="BS292" s="9" t="n">
        <v>0</v>
      </c>
      <c r="BW292" s="10" t="n">
        <v>46268</v>
      </c>
      <c r="BY292" s="9" t="n">
        <v>0</v>
      </c>
      <c r="CA292" s="9" t="n">
        <v>0</v>
      </c>
      <c r="CB292" s="9" t="n">
        <v>2097.339999999999</v>
      </c>
      <c r="CF292" s="10" t="n">
        <v>46268</v>
      </c>
      <c r="CH292" s="9" t="n">
        <v>0</v>
      </c>
      <c r="CJ292" s="9" t="n">
        <v>0</v>
      </c>
      <c r="CK292" s="9" t="n">
        <v>-10277.08</v>
      </c>
      <c r="CO292" s="10" t="n">
        <v>46268</v>
      </c>
      <c r="CQ292" s="9" t="n">
        <v>0</v>
      </c>
      <c r="CS292" s="9" t="n">
        <v>0</v>
      </c>
      <c r="CT292" s="9" t="n">
        <v>0</v>
      </c>
      <c r="CX292" s="10" t="n">
        <v>46268</v>
      </c>
      <c r="CZ292" s="9" t="n">
        <v>0</v>
      </c>
      <c r="DB292" s="9" t="n">
        <v>0</v>
      </c>
      <c r="DC292" s="9" t="n">
        <v>27438.20000000001</v>
      </c>
      <c r="DG292" s="10" t="n">
        <v>46268</v>
      </c>
      <c r="DI292" s="9" t="n">
        <v>0</v>
      </c>
      <c r="DK292" s="9" t="n">
        <v>0</v>
      </c>
      <c r="DL292" s="9" t="n">
        <v>18782.29999999998</v>
      </c>
      <c r="DP292" s="10" t="n">
        <v>46268</v>
      </c>
      <c r="DR292" s="9" t="n">
        <v>0</v>
      </c>
      <c r="DT292" s="9" t="n">
        <v>0</v>
      </c>
      <c r="DU292" s="9" t="n">
        <v>5800</v>
      </c>
      <c r="DY292" s="10" t="n">
        <v>46268</v>
      </c>
      <c r="EA292" s="9" t="n">
        <v>0</v>
      </c>
      <c r="EC292" s="9" t="n">
        <v>0</v>
      </c>
      <c r="ED292" s="9" t="n">
        <v>0</v>
      </c>
      <c r="EH292" s="10" t="n">
        <v>46268</v>
      </c>
      <c r="EJ292" s="9" t="n">
        <v>0</v>
      </c>
      <c r="EL292" s="9" t="n">
        <v>0</v>
      </c>
      <c r="EM292" s="9" t="n">
        <v>0</v>
      </c>
      <c r="EQ292" s="10" t="n">
        <v>46268</v>
      </c>
      <c r="ES292" s="9" t="n">
        <v>0</v>
      </c>
      <c r="EU292" s="9" t="n">
        <v>0</v>
      </c>
      <c r="EV292" s="9" t="n">
        <v>0</v>
      </c>
      <c r="EZ292" s="10" t="n">
        <v>46268</v>
      </c>
      <c r="FB292" s="9" t="n">
        <v>0</v>
      </c>
      <c r="FD292" s="9" t="n">
        <v>0</v>
      </c>
      <c r="FE292" s="9" t="n">
        <v>0</v>
      </c>
      <c r="FI292" s="10" t="n">
        <v>46268</v>
      </c>
      <c r="FK292" s="9" t="n">
        <v>0</v>
      </c>
      <c r="FM292" s="9" t="n">
        <v>0</v>
      </c>
      <c r="FN292" s="9" t="n">
        <v>0</v>
      </c>
      <c r="FR292" s="10" t="n">
        <v>46268</v>
      </c>
      <c r="FT292" s="9" t="n">
        <v>0</v>
      </c>
      <c r="FV292" s="9" t="n">
        <v>0</v>
      </c>
      <c r="FW292" s="9" t="n">
        <v>2020</v>
      </c>
      <c r="GA292" s="10" t="n">
        <v>46268</v>
      </c>
      <c r="GC292" s="9" t="n">
        <v>0</v>
      </c>
      <c r="GE292" s="9" t="n">
        <v>0</v>
      </c>
      <c r="GF292" s="9" t="n">
        <v>960</v>
      </c>
      <c r="GJ292" s="10" t="n">
        <v>46268</v>
      </c>
      <c r="GL292" s="9" t="n">
        <v>0</v>
      </c>
      <c r="GN292" s="9" t="n">
        <v>0</v>
      </c>
      <c r="GO292" s="9" t="n">
        <v>1760</v>
      </c>
      <c r="GS292" s="10" t="n">
        <v>46268</v>
      </c>
      <c r="GU292" s="9" t="n">
        <v>0</v>
      </c>
      <c r="GW292" s="9" t="n">
        <v>0</v>
      </c>
      <c r="GX292" s="9" t="n">
        <v>400</v>
      </c>
      <c r="HB292" s="10" t="n">
        <v>46268</v>
      </c>
      <c r="HD292" s="9" t="n">
        <v>0</v>
      </c>
      <c r="HF292" s="9" t="n">
        <v>0</v>
      </c>
      <c r="HG292" s="9" t="n">
        <v>3600</v>
      </c>
      <c r="HK292" s="10" t="n">
        <v>46268</v>
      </c>
      <c r="HM292" s="9" t="n">
        <v>0</v>
      </c>
      <c r="HO292" s="9" t="n">
        <v>0</v>
      </c>
      <c r="HP292" s="9" t="n">
        <v>0</v>
      </c>
      <c r="HU292" s="10" t="n">
        <v>46268</v>
      </c>
      <c r="HW292" s="9" t="n">
        <v>0</v>
      </c>
      <c r="HY292" s="9" t="n">
        <v>0</v>
      </c>
      <c r="HZ292" s="9" t="n">
        <v>6120</v>
      </c>
      <c r="ID292" s="10" t="n">
        <v>46268</v>
      </c>
      <c r="IF292" s="9" t="n">
        <v>0</v>
      </c>
      <c r="IH292" s="9" t="n">
        <v>0</v>
      </c>
      <c r="II292" s="9" t="n">
        <v>0</v>
      </c>
      <c r="IM292" s="10" t="n">
        <v>46268</v>
      </c>
      <c r="IO292" s="9" t="n">
        <v>0</v>
      </c>
      <c r="IQ292" s="9" t="n">
        <v>0</v>
      </c>
      <c r="IR292" s="9" t="n">
        <v>0</v>
      </c>
      <c r="IV292" s="10" t="n">
        <v>46268</v>
      </c>
      <c r="IX292" s="9" t="n">
        <v>0</v>
      </c>
      <c r="IZ292" s="9" t="n">
        <v>0</v>
      </c>
      <c r="JA292" s="9" t="n">
        <v>2820</v>
      </c>
      <c r="JE292" s="10" t="n">
        <v>46268</v>
      </c>
      <c r="JG292" s="9" t="n">
        <v>0</v>
      </c>
      <c r="JI292" s="9" t="n">
        <v>0</v>
      </c>
      <c r="JJ292" s="9" t="n">
        <v>0</v>
      </c>
      <c r="JN292" s="10" t="n">
        <v>46268</v>
      </c>
      <c r="JP292" s="9" t="n">
        <v>0</v>
      </c>
      <c r="JR292" s="9" t="n">
        <v>0</v>
      </c>
      <c r="JS292" s="9" t="n">
        <v>0</v>
      </c>
      <c r="JW292" s="10" t="n">
        <v>46268</v>
      </c>
      <c r="JY292" s="9" t="n">
        <v>0</v>
      </c>
      <c r="KA292" s="9" t="n">
        <v>0</v>
      </c>
      <c r="KB292" s="9" t="n">
        <v>2540</v>
      </c>
      <c r="KF292" s="10" t="n">
        <v>46268</v>
      </c>
      <c r="KH292" s="9" t="n">
        <v>0</v>
      </c>
      <c r="KJ292" s="9" t="n">
        <v>0</v>
      </c>
      <c r="KK292" s="9" t="n">
        <v>2359.5</v>
      </c>
      <c r="KO292" s="10" t="n">
        <v>46268</v>
      </c>
      <c r="KQ292" s="9" t="n">
        <v>0</v>
      </c>
      <c r="KS292" s="9" t="n">
        <v>0</v>
      </c>
      <c r="KT292" s="9" t="n">
        <v>1890</v>
      </c>
      <c r="KX292" s="10" t="n">
        <v>46268</v>
      </c>
      <c r="KZ292" s="9" t="n">
        <v>0</v>
      </c>
      <c r="LB292" s="9" t="n">
        <v>0</v>
      </c>
      <c r="LC292" s="9" t="n">
        <v>3690</v>
      </c>
      <c r="LG292" s="10" t="n">
        <v>46268</v>
      </c>
      <c r="LI292" s="9" t="n">
        <v>0</v>
      </c>
      <c r="LK292" s="9" t="n">
        <v>0</v>
      </c>
      <c r="LL292" s="9" t="n">
        <v>4000</v>
      </c>
      <c r="LP292" s="10" t="n">
        <v>46268</v>
      </c>
      <c r="LR292" s="9" t="n">
        <v>0</v>
      </c>
      <c r="LT292" s="9" t="n">
        <v>0</v>
      </c>
      <c r="LU292" s="9" t="n">
        <v>0</v>
      </c>
      <c r="LY292" s="10" t="n">
        <v>46268</v>
      </c>
      <c r="MA292" s="9" t="n">
        <v>0</v>
      </c>
      <c r="MC292" s="9" t="n">
        <v>0</v>
      </c>
      <c r="MD292" s="9" t="n">
        <v>0</v>
      </c>
      <c r="MH292" s="10" t="n">
        <v>46268</v>
      </c>
      <c r="MJ292" s="9" t="n">
        <v>0</v>
      </c>
      <c r="ML292" s="9" t="n">
        <v>0</v>
      </c>
      <c r="MM292" s="9" t="n">
        <v>0</v>
      </c>
      <c r="MQ292" s="10" t="n">
        <v>46268</v>
      </c>
      <c r="MS292" s="9" t="n">
        <v>0</v>
      </c>
      <c r="MU292" s="9" t="n">
        <v>0</v>
      </c>
      <c r="MV292" s="9" t="n">
        <v>1625</v>
      </c>
      <c r="MZ292" s="10" t="n">
        <v>46268</v>
      </c>
      <c r="NB292" s="9" t="n">
        <v>0</v>
      </c>
      <c r="ND292" s="9" t="n">
        <v>0</v>
      </c>
      <c r="NE292" s="9" t="n">
        <v>0</v>
      </c>
      <c r="NI292" s="10" t="n">
        <v>46268</v>
      </c>
      <c r="NK292" s="9" t="n">
        <v>0</v>
      </c>
      <c r="NM292" s="9" t="n">
        <v>0</v>
      </c>
      <c r="NN292" s="9" t="n">
        <v>1127</v>
      </c>
      <c r="NR292" s="10" t="n">
        <v>46268</v>
      </c>
      <c r="NT292" s="9" t="n">
        <v>0</v>
      </c>
      <c r="NV292" s="9" t="n">
        <v>0</v>
      </c>
      <c r="NW292" s="9" t="n">
        <v>3112</v>
      </c>
      <c r="OA292" s="10" t="n">
        <v>46268</v>
      </c>
      <c r="OC292" s="9" t="n">
        <v>0</v>
      </c>
      <c r="OE292" s="9" t="n">
        <v>0</v>
      </c>
      <c r="OF292" s="9" t="n">
        <v>1680.5</v>
      </c>
      <c r="OJ292" s="10" t="n">
        <v>46268</v>
      </c>
      <c r="OL292" s="9" t="n">
        <v>0</v>
      </c>
      <c r="ON292" s="9" t="n">
        <v>0</v>
      </c>
      <c r="OO292" s="9" t="n">
        <v>0</v>
      </c>
      <c r="OS292" s="10" t="n">
        <v>46268</v>
      </c>
      <c r="OU292" s="9" t="n">
        <v>0</v>
      </c>
      <c r="OW292" s="9" t="n">
        <v>0</v>
      </c>
      <c r="OX292" s="9" t="n">
        <v>1482</v>
      </c>
      <c r="PB292" s="10" t="n">
        <v>46268</v>
      </c>
      <c r="PD292" s="9" t="n">
        <v>0</v>
      </c>
      <c r="PF292" s="9" t="n">
        <v>0</v>
      </c>
      <c r="PG292" s="9" t="n">
        <v>0</v>
      </c>
      <c r="PK292" s="10" t="n">
        <v>46268</v>
      </c>
      <c r="PM292" s="9" t="n">
        <v>0</v>
      </c>
      <c r="PO292" s="9" t="n">
        <v>0</v>
      </c>
      <c r="PP292" s="9" t="n">
        <v>100</v>
      </c>
      <c r="PT292" s="10" t="n">
        <v>46268</v>
      </c>
      <c r="PV292" s="9" t="n">
        <v>0</v>
      </c>
      <c r="PX292" s="9" t="n">
        <v>0</v>
      </c>
      <c r="PY292" s="9" t="n">
        <v>13.96000000000004</v>
      </c>
      <c r="QC292" s="10" t="n">
        <v>46268</v>
      </c>
      <c r="QE292" s="9" t="n">
        <v>0</v>
      </c>
      <c r="QG292" s="9" t="n">
        <v>0</v>
      </c>
      <c r="QH292" s="9" t="n">
        <v>548</v>
      </c>
      <c r="QL292" s="10" t="n">
        <v>46268</v>
      </c>
      <c r="QN292" s="9" t="n">
        <v>0</v>
      </c>
      <c r="QP292" s="9" t="n">
        <v>0</v>
      </c>
      <c r="QQ292" s="9" t="n">
        <v>0</v>
      </c>
      <c r="QU292" s="10" t="n">
        <v>46268</v>
      </c>
      <c r="QW292" s="9" t="n">
        <v>0</v>
      </c>
      <c r="QY292" s="9" t="n">
        <v>0</v>
      </c>
      <c r="QZ292" s="9" t="n">
        <v>0</v>
      </c>
      <c r="RD292" s="10" t="n">
        <v>46268</v>
      </c>
      <c r="RF292" s="9" t="n">
        <v>0</v>
      </c>
      <c r="RH292" s="9" t="n">
        <v>0</v>
      </c>
      <c r="RI292" s="9" t="n">
        <v>147.04</v>
      </c>
      <c r="RM292" s="10" t="n">
        <v>46268</v>
      </c>
      <c r="RO292" s="9" t="n">
        <v>0</v>
      </c>
      <c r="RQ292" s="9" t="n">
        <v>0</v>
      </c>
      <c r="RR292" s="9" t="n">
        <v>46.8</v>
      </c>
      <c r="RV292" s="10" t="n">
        <v>46268</v>
      </c>
      <c r="RX292" s="9" t="n">
        <v>0</v>
      </c>
      <c r="RZ292" s="9" t="n">
        <v>0</v>
      </c>
      <c r="SA292" s="9" t="n">
        <v>0</v>
      </c>
      <c r="SE292" s="10" t="n">
        <v>46268</v>
      </c>
      <c r="SG292" s="9" t="n">
        <v>0</v>
      </c>
      <c r="SI292" s="9" t="n">
        <v>0</v>
      </c>
      <c r="SJ292" s="9" t="n">
        <v>24.2</v>
      </c>
      <c r="SN292" s="10" t="n">
        <v>46268</v>
      </c>
      <c r="SP292" s="9" t="n">
        <v>0</v>
      </c>
      <c r="SR292" s="9" t="n">
        <v>0</v>
      </c>
      <c r="SS292" s="9" t="n">
        <v>32</v>
      </c>
      <c r="SW292" s="10" t="n">
        <v>46268</v>
      </c>
      <c r="SY292" s="9" t="n">
        <v>0</v>
      </c>
      <c r="TA292" s="9" t="n">
        <v>0</v>
      </c>
      <c r="TB292" s="9" t="n">
        <v>0</v>
      </c>
      <c r="TF292" s="10" t="n">
        <v>46268</v>
      </c>
      <c r="TH292" s="9" t="n">
        <v>0</v>
      </c>
      <c r="TJ292" s="9" t="n">
        <v>0</v>
      </c>
      <c r="TK292" s="9" t="n">
        <v>0</v>
      </c>
      <c r="TO292" s="10" t="n">
        <v>46268</v>
      </c>
      <c r="TQ292" s="9" t="n">
        <v>0</v>
      </c>
      <c r="TS292" s="9" t="n">
        <v>0</v>
      </c>
      <c r="TT292" s="9" t="n">
        <v>0</v>
      </c>
      <c r="TX292" s="10" t="n">
        <v>46268</v>
      </c>
      <c r="TZ292" s="9" t="n">
        <v>0</v>
      </c>
      <c r="UB292" s="9" t="n">
        <v>0</v>
      </c>
      <c r="UC292" s="9" t="n">
        <v>46.79999999999998</v>
      </c>
      <c r="UG292" s="10" t="n">
        <v>46268</v>
      </c>
      <c r="UI292" s="9" t="n">
        <v>0</v>
      </c>
      <c r="UK292" s="9" t="n">
        <v>0</v>
      </c>
      <c r="UL292" s="9" t="n">
        <v>204</v>
      </c>
      <c r="UP292" s="10" t="n">
        <v>46268</v>
      </c>
      <c r="UR292" s="9" t="n">
        <v>0</v>
      </c>
      <c r="UT292" s="9" t="n">
        <v>0</v>
      </c>
      <c r="UU292" s="9" t="n">
        <v>202.5</v>
      </c>
      <c r="UY292" s="10" t="n">
        <v>46268</v>
      </c>
      <c r="VA292" s="9" t="n">
        <v>0</v>
      </c>
      <c r="VC292" s="9" t="n">
        <v>0</v>
      </c>
      <c r="VD292" s="9" t="n">
        <v>41.60000000000002</v>
      </c>
      <c r="VH292" s="10" t="n">
        <v>46268</v>
      </c>
      <c r="VJ292" s="9" t="n">
        <v>0</v>
      </c>
      <c r="VL292" s="9" t="n">
        <v>0</v>
      </c>
      <c r="VM292" s="9" t="n">
        <v>210</v>
      </c>
      <c r="VQ292" s="10" t="n">
        <v>46268</v>
      </c>
      <c r="VS292" s="9" t="n">
        <v>0</v>
      </c>
      <c r="VU292" s="9" t="n">
        <v>0</v>
      </c>
      <c r="VV292" s="9" t="n">
        <v>0</v>
      </c>
      <c r="VZ292" s="10" t="n">
        <v>46268</v>
      </c>
      <c r="WB292" s="9" t="n">
        <v>0</v>
      </c>
      <c r="WD292" s="9" t="n">
        <v>0</v>
      </c>
      <c r="WE292" s="9" t="n">
        <v>0</v>
      </c>
      <c r="WI292" s="10" t="n">
        <v>46268</v>
      </c>
      <c r="WK292" s="9" t="n">
        <v>0</v>
      </c>
      <c r="WM292" s="9" t="n">
        <v>0</v>
      </c>
      <c r="WN292" s="9" t="n">
        <v>1057</v>
      </c>
      <c r="WR292" s="10" t="n">
        <v>46268</v>
      </c>
      <c r="WT292" s="9" t="n">
        <v>0</v>
      </c>
      <c r="WV292" s="9" t="n">
        <v>0</v>
      </c>
      <c r="WW292" s="9" t="n">
        <v>0</v>
      </c>
      <c r="XA292" s="10" t="n">
        <v>46268</v>
      </c>
      <c r="XC292" s="9" t="n">
        <v>0</v>
      </c>
      <c r="XE292" s="9" t="n">
        <v>0</v>
      </c>
      <c r="XF292" s="9" t="n">
        <v>7507</v>
      </c>
      <c r="XJ292" s="10" t="n">
        <v>46268</v>
      </c>
      <c r="XL292" s="9" t="n">
        <v>0</v>
      </c>
      <c r="XN292" s="9" t="n">
        <v>0</v>
      </c>
      <c r="XO292" s="9" t="n">
        <v>4252</v>
      </c>
      <c r="XS292" s="10" t="n">
        <v>46268</v>
      </c>
      <c r="XU292" s="9" t="n">
        <v>0</v>
      </c>
      <c r="XW292" s="9" t="n">
        <v>0</v>
      </c>
      <c r="XX292" s="9" t="n">
        <v>2179</v>
      </c>
      <c r="YB292" s="10" t="n">
        <v>46268</v>
      </c>
      <c r="YD292" s="9" t="n">
        <v>0</v>
      </c>
      <c r="YF292" s="9" t="n">
        <v>0</v>
      </c>
      <c r="YG292" s="9" t="n">
        <v>4019</v>
      </c>
      <c r="YK292" s="10" t="n">
        <v>46268</v>
      </c>
      <c r="YM292" s="9" t="n">
        <v>0</v>
      </c>
      <c r="YO292" s="9" t="n">
        <v>0</v>
      </c>
      <c r="YP292" s="9" t="n">
        <v>-218</v>
      </c>
      <c r="YT292" s="10" t="n">
        <v>46268</v>
      </c>
      <c r="YV292" s="9" t="n">
        <v>0</v>
      </c>
      <c r="YX292" s="9" t="n">
        <v>0</v>
      </c>
      <c r="YY292" s="9" t="n">
        <v>0</v>
      </c>
      <c r="ZC292" s="10" t="n">
        <v>46268</v>
      </c>
      <c r="ZE292" s="9" t="n">
        <v>0</v>
      </c>
      <c r="ZG292" s="9" t="n">
        <v>0</v>
      </c>
      <c r="ZH292" s="9" t="n">
        <v>0</v>
      </c>
      <c r="ZL292" s="10" t="n">
        <v>46268</v>
      </c>
      <c r="ZN292" s="9" t="n">
        <v>0</v>
      </c>
      <c r="ZP292" s="9" t="n">
        <v>0</v>
      </c>
      <c r="ZQ292" s="9" t="n">
        <v>0</v>
      </c>
      <c r="ZU292" s="10" t="n">
        <v>46268</v>
      </c>
      <c r="ZW292" s="9" t="n">
        <v>0</v>
      </c>
      <c r="ZY292" s="9" t="n">
        <v>0</v>
      </c>
      <c r="ZZ292" s="9" t="n">
        <v>0</v>
      </c>
      <c r="AAD292" s="10" t="n">
        <v>46268</v>
      </c>
      <c r="AAF292" s="9" t="n">
        <v>0</v>
      </c>
      <c r="AAH292" s="9" t="n">
        <v>0</v>
      </c>
      <c r="AAI292" s="9" t="n">
        <v>0</v>
      </c>
      <c r="AAM292" s="10" t="n">
        <v>46268</v>
      </c>
      <c r="AAO292" s="9" t="n">
        <v>0</v>
      </c>
      <c r="AAQ292" s="9" t="n">
        <v>0</v>
      </c>
      <c r="AAR292" s="9" t="n">
        <v>0</v>
      </c>
      <c r="AAV292" s="10" t="n">
        <v>46268</v>
      </c>
      <c r="AAX292" s="9" t="n">
        <v>0</v>
      </c>
      <c r="AAZ292" s="9" t="n">
        <v>0</v>
      </c>
      <c r="ABA292" s="9" t="n">
        <v>0</v>
      </c>
      <c r="ABE292" s="10" t="n">
        <v>46268</v>
      </c>
      <c r="ABG292" s="9" t="n">
        <v>0</v>
      </c>
      <c r="ABI292" s="9" t="n">
        <v>0</v>
      </c>
      <c r="ABJ292" s="9" t="n">
        <v>0</v>
      </c>
    </row>
    <row r="293">
      <c r="C293" s="10" t="n">
        <v>46269</v>
      </c>
      <c r="E293" s="9" t="n">
        <v>0</v>
      </c>
      <c r="G293" s="9" t="n">
        <v>0</v>
      </c>
      <c r="H293" s="9" t="n">
        <v>236936.6</v>
      </c>
      <c r="L293" s="10" t="n">
        <v>46269</v>
      </c>
      <c r="N293" s="9" t="n">
        <v>0</v>
      </c>
      <c r="P293" s="9" t="n">
        <v>0</v>
      </c>
      <c r="Q293" s="9" t="n">
        <v>53017.60000000007</v>
      </c>
      <c r="U293" s="10" t="n">
        <v>46269</v>
      </c>
      <c r="W293" s="9" t="n">
        <v>0</v>
      </c>
      <c r="Y293" s="9" t="n">
        <v>0</v>
      </c>
      <c r="Z293" s="9" t="n">
        <v>42674.19999999997</v>
      </c>
      <c r="AD293" s="10" t="n">
        <v>46269</v>
      </c>
      <c r="AF293" s="9" t="n">
        <v>0</v>
      </c>
      <c r="AH293" s="9" t="n">
        <v>0</v>
      </c>
      <c r="AI293" s="9" t="n">
        <v>4522.200000000019</v>
      </c>
      <c r="AM293" s="10" t="n">
        <v>46269</v>
      </c>
      <c r="AO293" s="9" t="n">
        <v>0</v>
      </c>
      <c r="AQ293" s="9" t="n">
        <v>0</v>
      </c>
      <c r="AR293" s="9" t="n">
        <v>0</v>
      </c>
      <c r="AV293" s="10" t="n">
        <v>46269</v>
      </c>
      <c r="AX293" s="9" t="n">
        <v>0</v>
      </c>
      <c r="AZ293" s="9" t="n">
        <v>0</v>
      </c>
      <c r="BA293" s="9" t="n">
        <v>124.9999999999952</v>
      </c>
      <c r="BE293" s="10" t="n">
        <v>46269</v>
      </c>
      <c r="BG293" s="9" t="n">
        <v>0</v>
      </c>
      <c r="BI293" s="9" t="n">
        <v>0</v>
      </c>
      <c r="BJ293" s="9" t="n">
        <v>26151.9</v>
      </c>
      <c r="BN293" s="10" t="n">
        <v>46269</v>
      </c>
      <c r="BP293" s="9" t="n">
        <v>0</v>
      </c>
      <c r="BR293" s="9" t="n">
        <v>0</v>
      </c>
      <c r="BS293" s="9" t="n">
        <v>0</v>
      </c>
      <c r="BW293" s="10" t="n">
        <v>46269</v>
      </c>
      <c r="BY293" s="9" t="n">
        <v>0</v>
      </c>
      <c r="CA293" s="9" t="n">
        <v>0</v>
      </c>
      <c r="CB293" s="9" t="n">
        <v>2097.339999999999</v>
      </c>
      <c r="CF293" s="10" t="n">
        <v>46269</v>
      </c>
      <c r="CH293" s="9" t="n">
        <v>0</v>
      </c>
      <c r="CJ293" s="9" t="n">
        <v>0</v>
      </c>
      <c r="CK293" s="9" t="n">
        <v>-10277.08</v>
      </c>
      <c r="CO293" s="10" t="n">
        <v>46269</v>
      </c>
      <c r="CQ293" s="9" t="n">
        <v>0</v>
      </c>
      <c r="CS293" s="9" t="n">
        <v>0</v>
      </c>
      <c r="CT293" s="9" t="n">
        <v>0</v>
      </c>
      <c r="CX293" s="10" t="n">
        <v>46269</v>
      </c>
      <c r="CZ293" s="9" t="n">
        <v>0</v>
      </c>
      <c r="DB293" s="9" t="n">
        <v>0</v>
      </c>
      <c r="DC293" s="9" t="n">
        <v>27438.20000000001</v>
      </c>
      <c r="DG293" s="10" t="n">
        <v>46269</v>
      </c>
      <c r="DI293" s="9" t="n">
        <v>0</v>
      </c>
      <c r="DK293" s="9" t="n">
        <v>0</v>
      </c>
      <c r="DL293" s="9" t="n">
        <v>18782.29999999998</v>
      </c>
      <c r="DP293" s="10" t="n">
        <v>46269</v>
      </c>
      <c r="DR293" s="9" t="n">
        <v>0</v>
      </c>
      <c r="DT293" s="9" t="n">
        <v>0</v>
      </c>
      <c r="DU293" s="9" t="n">
        <v>5800</v>
      </c>
      <c r="DY293" s="10" t="n">
        <v>46269</v>
      </c>
      <c r="EA293" s="9" t="n">
        <v>0</v>
      </c>
      <c r="EC293" s="9" t="n">
        <v>0</v>
      </c>
      <c r="ED293" s="9" t="n">
        <v>0</v>
      </c>
      <c r="EH293" s="10" t="n">
        <v>46269</v>
      </c>
      <c r="EJ293" s="9" t="n">
        <v>0</v>
      </c>
      <c r="EL293" s="9" t="n">
        <v>0</v>
      </c>
      <c r="EM293" s="9" t="n">
        <v>0</v>
      </c>
      <c r="EQ293" s="10" t="n">
        <v>46269</v>
      </c>
      <c r="ES293" s="9" t="n">
        <v>0</v>
      </c>
      <c r="EU293" s="9" t="n">
        <v>0</v>
      </c>
      <c r="EV293" s="9" t="n">
        <v>0</v>
      </c>
      <c r="EZ293" s="10" t="n">
        <v>46269</v>
      </c>
      <c r="FB293" s="9" t="n">
        <v>0</v>
      </c>
      <c r="FD293" s="9" t="n">
        <v>0</v>
      </c>
      <c r="FE293" s="9" t="n">
        <v>0</v>
      </c>
      <c r="FI293" s="10" t="n">
        <v>46269</v>
      </c>
      <c r="FK293" s="9" t="n">
        <v>0</v>
      </c>
      <c r="FM293" s="9" t="n">
        <v>0</v>
      </c>
      <c r="FN293" s="9" t="n">
        <v>0</v>
      </c>
      <c r="FR293" s="10" t="n">
        <v>46269</v>
      </c>
      <c r="FT293" s="9" t="n">
        <v>0</v>
      </c>
      <c r="FV293" s="9" t="n">
        <v>0</v>
      </c>
      <c r="FW293" s="9" t="n">
        <v>2020</v>
      </c>
      <c r="GA293" s="10" t="n">
        <v>46269</v>
      </c>
      <c r="GC293" s="9" t="n">
        <v>0</v>
      </c>
      <c r="GE293" s="9" t="n">
        <v>0</v>
      </c>
      <c r="GF293" s="9" t="n">
        <v>960</v>
      </c>
      <c r="GJ293" s="10" t="n">
        <v>46269</v>
      </c>
      <c r="GL293" s="9" t="n">
        <v>0</v>
      </c>
      <c r="GN293" s="9" t="n">
        <v>0</v>
      </c>
      <c r="GO293" s="9" t="n">
        <v>1760</v>
      </c>
      <c r="GS293" s="10" t="n">
        <v>46269</v>
      </c>
      <c r="GU293" s="9" t="n">
        <v>0</v>
      </c>
      <c r="GW293" s="9" t="n">
        <v>0</v>
      </c>
      <c r="GX293" s="9" t="n">
        <v>400</v>
      </c>
      <c r="HB293" s="10" t="n">
        <v>46269</v>
      </c>
      <c r="HD293" s="9" t="n">
        <v>0</v>
      </c>
      <c r="HF293" s="9" t="n">
        <v>0</v>
      </c>
      <c r="HG293" s="9" t="n">
        <v>3600</v>
      </c>
      <c r="HK293" s="10" t="n">
        <v>46269</v>
      </c>
      <c r="HM293" s="9" t="n">
        <v>0</v>
      </c>
      <c r="HO293" s="9" t="n">
        <v>0</v>
      </c>
      <c r="HP293" s="9" t="n">
        <v>0</v>
      </c>
      <c r="HU293" s="10" t="n">
        <v>46269</v>
      </c>
      <c r="HW293" s="9" t="n">
        <v>0</v>
      </c>
      <c r="HY293" s="9" t="n">
        <v>0</v>
      </c>
      <c r="HZ293" s="9" t="n">
        <v>6120</v>
      </c>
      <c r="ID293" s="10" t="n">
        <v>46269</v>
      </c>
      <c r="IF293" s="9" t="n">
        <v>0</v>
      </c>
      <c r="IH293" s="9" t="n">
        <v>0</v>
      </c>
      <c r="II293" s="9" t="n">
        <v>0</v>
      </c>
      <c r="IM293" s="10" t="n">
        <v>46269</v>
      </c>
      <c r="IO293" s="9" t="n">
        <v>0</v>
      </c>
      <c r="IQ293" s="9" t="n">
        <v>0</v>
      </c>
      <c r="IR293" s="9" t="n">
        <v>0</v>
      </c>
      <c r="IV293" s="10" t="n">
        <v>46269</v>
      </c>
      <c r="IX293" s="9" t="n">
        <v>0</v>
      </c>
      <c r="IZ293" s="9" t="n">
        <v>0</v>
      </c>
      <c r="JA293" s="9" t="n">
        <v>2820</v>
      </c>
      <c r="JE293" s="10" t="n">
        <v>46269</v>
      </c>
      <c r="JG293" s="9" t="n">
        <v>0</v>
      </c>
      <c r="JI293" s="9" t="n">
        <v>0</v>
      </c>
      <c r="JJ293" s="9" t="n">
        <v>0</v>
      </c>
      <c r="JN293" s="10" t="n">
        <v>46269</v>
      </c>
      <c r="JP293" s="9" t="n">
        <v>0</v>
      </c>
      <c r="JR293" s="9" t="n">
        <v>0</v>
      </c>
      <c r="JS293" s="9" t="n">
        <v>0</v>
      </c>
      <c r="JW293" s="10" t="n">
        <v>46269</v>
      </c>
      <c r="JY293" s="9" t="n">
        <v>0</v>
      </c>
      <c r="KA293" s="9" t="n">
        <v>0</v>
      </c>
      <c r="KB293" s="9" t="n">
        <v>2540</v>
      </c>
      <c r="KF293" s="10" t="n">
        <v>46269</v>
      </c>
      <c r="KH293" s="9" t="n">
        <v>0</v>
      </c>
      <c r="KJ293" s="9" t="n">
        <v>0</v>
      </c>
      <c r="KK293" s="9" t="n">
        <v>2359.5</v>
      </c>
      <c r="KO293" s="10" t="n">
        <v>46269</v>
      </c>
      <c r="KQ293" s="9" t="n">
        <v>0</v>
      </c>
      <c r="KS293" s="9" t="n">
        <v>0</v>
      </c>
      <c r="KT293" s="9" t="n">
        <v>1890</v>
      </c>
      <c r="KX293" s="10" t="n">
        <v>46269</v>
      </c>
      <c r="KZ293" s="9" t="n">
        <v>0</v>
      </c>
      <c r="LB293" s="9" t="n">
        <v>0</v>
      </c>
      <c r="LC293" s="9" t="n">
        <v>3690</v>
      </c>
      <c r="LG293" s="10" t="n">
        <v>46269</v>
      </c>
      <c r="LI293" s="9" t="n">
        <v>0</v>
      </c>
      <c r="LK293" s="9" t="n">
        <v>0</v>
      </c>
      <c r="LL293" s="9" t="n">
        <v>4000</v>
      </c>
      <c r="LP293" s="10" t="n">
        <v>46269</v>
      </c>
      <c r="LR293" s="9" t="n">
        <v>0</v>
      </c>
      <c r="LT293" s="9" t="n">
        <v>0</v>
      </c>
      <c r="LU293" s="9" t="n">
        <v>0</v>
      </c>
      <c r="LY293" s="10" t="n">
        <v>46269</v>
      </c>
      <c r="MA293" s="9" t="n">
        <v>0</v>
      </c>
      <c r="MC293" s="9" t="n">
        <v>0</v>
      </c>
      <c r="MD293" s="9" t="n">
        <v>0</v>
      </c>
      <c r="MH293" s="10" t="n">
        <v>46269</v>
      </c>
      <c r="MJ293" s="9" t="n">
        <v>0</v>
      </c>
      <c r="ML293" s="9" t="n">
        <v>0</v>
      </c>
      <c r="MM293" s="9" t="n">
        <v>0</v>
      </c>
      <c r="MQ293" s="10" t="n">
        <v>46269</v>
      </c>
      <c r="MS293" s="9" t="n">
        <v>0</v>
      </c>
      <c r="MU293" s="9" t="n">
        <v>0</v>
      </c>
      <c r="MV293" s="9" t="n">
        <v>1625</v>
      </c>
      <c r="MZ293" s="10" t="n">
        <v>46269</v>
      </c>
      <c r="NB293" s="9" t="n">
        <v>0</v>
      </c>
      <c r="ND293" s="9" t="n">
        <v>0</v>
      </c>
      <c r="NE293" s="9" t="n">
        <v>0</v>
      </c>
      <c r="NI293" s="10" t="n">
        <v>46269</v>
      </c>
      <c r="NK293" s="9" t="n">
        <v>0</v>
      </c>
      <c r="NM293" s="9" t="n">
        <v>0</v>
      </c>
      <c r="NN293" s="9" t="n">
        <v>1127</v>
      </c>
      <c r="NR293" s="10" t="n">
        <v>46269</v>
      </c>
      <c r="NT293" s="9" t="n">
        <v>0</v>
      </c>
      <c r="NV293" s="9" t="n">
        <v>0</v>
      </c>
      <c r="NW293" s="9" t="n">
        <v>3112</v>
      </c>
      <c r="OA293" s="10" t="n">
        <v>46269</v>
      </c>
      <c r="OC293" s="9" t="n">
        <v>0</v>
      </c>
      <c r="OE293" s="9" t="n">
        <v>0</v>
      </c>
      <c r="OF293" s="9" t="n">
        <v>1680.5</v>
      </c>
      <c r="OJ293" s="10" t="n">
        <v>46269</v>
      </c>
      <c r="OL293" s="9" t="n">
        <v>0</v>
      </c>
      <c r="ON293" s="9" t="n">
        <v>0</v>
      </c>
      <c r="OO293" s="9" t="n">
        <v>0</v>
      </c>
      <c r="OS293" s="10" t="n">
        <v>46269</v>
      </c>
      <c r="OU293" s="9" t="n">
        <v>0</v>
      </c>
      <c r="OW293" s="9" t="n">
        <v>0</v>
      </c>
      <c r="OX293" s="9" t="n">
        <v>1482</v>
      </c>
      <c r="PB293" s="10" t="n">
        <v>46269</v>
      </c>
      <c r="PD293" s="9" t="n">
        <v>0</v>
      </c>
      <c r="PF293" s="9" t="n">
        <v>0</v>
      </c>
      <c r="PG293" s="9" t="n">
        <v>0</v>
      </c>
      <c r="PK293" s="10" t="n">
        <v>46269</v>
      </c>
      <c r="PM293" s="9" t="n">
        <v>0</v>
      </c>
      <c r="PO293" s="9" t="n">
        <v>0</v>
      </c>
      <c r="PP293" s="9" t="n">
        <v>100</v>
      </c>
      <c r="PT293" s="10" t="n">
        <v>46269</v>
      </c>
      <c r="PV293" s="9" t="n">
        <v>0</v>
      </c>
      <c r="PX293" s="9" t="n">
        <v>0</v>
      </c>
      <c r="PY293" s="9" t="n">
        <v>13.96000000000004</v>
      </c>
      <c r="QC293" s="10" t="n">
        <v>46269</v>
      </c>
      <c r="QE293" s="9" t="n">
        <v>0</v>
      </c>
      <c r="QG293" s="9" t="n">
        <v>0</v>
      </c>
      <c r="QH293" s="9" t="n">
        <v>548</v>
      </c>
      <c r="QL293" s="10" t="n">
        <v>46269</v>
      </c>
      <c r="QN293" s="9" t="n">
        <v>0</v>
      </c>
      <c r="QP293" s="9" t="n">
        <v>0</v>
      </c>
      <c r="QQ293" s="9" t="n">
        <v>0</v>
      </c>
      <c r="QU293" s="10" t="n">
        <v>46269</v>
      </c>
      <c r="QW293" s="9" t="n">
        <v>0</v>
      </c>
      <c r="QY293" s="9" t="n">
        <v>0</v>
      </c>
      <c r="QZ293" s="9" t="n">
        <v>0</v>
      </c>
      <c r="RD293" s="10" t="n">
        <v>46269</v>
      </c>
      <c r="RF293" s="9" t="n">
        <v>0</v>
      </c>
      <c r="RH293" s="9" t="n">
        <v>0</v>
      </c>
      <c r="RI293" s="9" t="n">
        <v>147.04</v>
      </c>
      <c r="RM293" s="10" t="n">
        <v>46269</v>
      </c>
      <c r="RO293" s="9" t="n">
        <v>0</v>
      </c>
      <c r="RQ293" s="9" t="n">
        <v>0</v>
      </c>
      <c r="RR293" s="9" t="n">
        <v>46.8</v>
      </c>
      <c r="RV293" s="10" t="n">
        <v>46269</v>
      </c>
      <c r="RX293" s="9" t="n">
        <v>0</v>
      </c>
      <c r="RZ293" s="9" t="n">
        <v>0</v>
      </c>
      <c r="SA293" s="9" t="n">
        <v>0</v>
      </c>
      <c r="SE293" s="10" t="n">
        <v>46269</v>
      </c>
      <c r="SG293" s="9" t="n">
        <v>0</v>
      </c>
      <c r="SI293" s="9" t="n">
        <v>0</v>
      </c>
      <c r="SJ293" s="9" t="n">
        <v>24.2</v>
      </c>
      <c r="SN293" s="10" t="n">
        <v>46269</v>
      </c>
      <c r="SP293" s="9" t="n">
        <v>0</v>
      </c>
      <c r="SR293" s="9" t="n">
        <v>0</v>
      </c>
      <c r="SS293" s="9" t="n">
        <v>32</v>
      </c>
      <c r="SW293" s="10" t="n">
        <v>46269</v>
      </c>
      <c r="SY293" s="9" t="n">
        <v>0</v>
      </c>
      <c r="TA293" s="9" t="n">
        <v>0</v>
      </c>
      <c r="TB293" s="9" t="n">
        <v>0</v>
      </c>
      <c r="TF293" s="10" t="n">
        <v>46269</v>
      </c>
      <c r="TH293" s="9" t="n">
        <v>0</v>
      </c>
      <c r="TJ293" s="9" t="n">
        <v>0</v>
      </c>
      <c r="TK293" s="9" t="n">
        <v>0</v>
      </c>
      <c r="TO293" s="10" t="n">
        <v>46269</v>
      </c>
      <c r="TQ293" s="9" t="n">
        <v>0</v>
      </c>
      <c r="TS293" s="9" t="n">
        <v>0</v>
      </c>
      <c r="TT293" s="9" t="n">
        <v>0</v>
      </c>
      <c r="TX293" s="10" t="n">
        <v>46269</v>
      </c>
      <c r="TZ293" s="9" t="n">
        <v>0</v>
      </c>
      <c r="UB293" s="9" t="n">
        <v>0</v>
      </c>
      <c r="UC293" s="9" t="n">
        <v>46.79999999999998</v>
      </c>
      <c r="UG293" s="10" t="n">
        <v>46269</v>
      </c>
      <c r="UI293" s="9" t="n">
        <v>0</v>
      </c>
      <c r="UK293" s="9" t="n">
        <v>0</v>
      </c>
      <c r="UL293" s="9" t="n">
        <v>204</v>
      </c>
      <c r="UP293" s="10" t="n">
        <v>46269</v>
      </c>
      <c r="UR293" s="9" t="n">
        <v>0</v>
      </c>
      <c r="UT293" s="9" t="n">
        <v>0</v>
      </c>
      <c r="UU293" s="9" t="n">
        <v>202.5</v>
      </c>
      <c r="UY293" s="10" t="n">
        <v>46269</v>
      </c>
      <c r="VA293" s="9" t="n">
        <v>0</v>
      </c>
      <c r="VC293" s="9" t="n">
        <v>0</v>
      </c>
      <c r="VD293" s="9" t="n">
        <v>41.60000000000002</v>
      </c>
      <c r="VH293" s="10" t="n">
        <v>46269</v>
      </c>
      <c r="VJ293" s="9" t="n">
        <v>0</v>
      </c>
      <c r="VL293" s="9" t="n">
        <v>0</v>
      </c>
      <c r="VM293" s="9" t="n">
        <v>210</v>
      </c>
      <c r="VQ293" s="10" t="n">
        <v>46269</v>
      </c>
      <c r="VS293" s="9" t="n">
        <v>0</v>
      </c>
      <c r="VU293" s="9" t="n">
        <v>0</v>
      </c>
      <c r="VV293" s="9" t="n">
        <v>0</v>
      </c>
      <c r="VZ293" s="10" t="n">
        <v>46269</v>
      </c>
      <c r="WB293" s="9" t="n">
        <v>0</v>
      </c>
      <c r="WD293" s="9" t="n">
        <v>0</v>
      </c>
      <c r="WE293" s="9" t="n">
        <v>0</v>
      </c>
      <c r="WI293" s="10" t="n">
        <v>46269</v>
      </c>
      <c r="WK293" s="9" t="n">
        <v>0</v>
      </c>
      <c r="WM293" s="9" t="n">
        <v>0</v>
      </c>
      <c r="WN293" s="9" t="n">
        <v>1057</v>
      </c>
      <c r="WR293" s="10" t="n">
        <v>46269</v>
      </c>
      <c r="WT293" s="9" t="n">
        <v>0</v>
      </c>
      <c r="WV293" s="9" t="n">
        <v>0</v>
      </c>
      <c r="WW293" s="9" t="n">
        <v>0</v>
      </c>
      <c r="XA293" s="10" t="n">
        <v>46269</v>
      </c>
      <c r="XC293" s="9" t="n">
        <v>0</v>
      </c>
      <c r="XE293" s="9" t="n">
        <v>0</v>
      </c>
      <c r="XF293" s="9" t="n">
        <v>7507</v>
      </c>
      <c r="XJ293" s="10" t="n">
        <v>46269</v>
      </c>
      <c r="XL293" s="9" t="n">
        <v>0</v>
      </c>
      <c r="XN293" s="9" t="n">
        <v>0</v>
      </c>
      <c r="XO293" s="9" t="n">
        <v>4252</v>
      </c>
      <c r="XS293" s="10" t="n">
        <v>46269</v>
      </c>
      <c r="XU293" s="9" t="n">
        <v>0</v>
      </c>
      <c r="XW293" s="9" t="n">
        <v>0</v>
      </c>
      <c r="XX293" s="9" t="n">
        <v>2179</v>
      </c>
      <c r="YB293" s="10" t="n">
        <v>46269</v>
      </c>
      <c r="YD293" s="9" t="n">
        <v>0</v>
      </c>
      <c r="YF293" s="9" t="n">
        <v>0</v>
      </c>
      <c r="YG293" s="9" t="n">
        <v>4019</v>
      </c>
      <c r="YK293" s="10" t="n">
        <v>46269</v>
      </c>
      <c r="YM293" s="9" t="n">
        <v>0</v>
      </c>
      <c r="YO293" s="9" t="n">
        <v>0</v>
      </c>
      <c r="YP293" s="9" t="n">
        <v>-218</v>
      </c>
      <c r="YT293" s="10" t="n">
        <v>46269</v>
      </c>
      <c r="YV293" s="9" t="n">
        <v>0</v>
      </c>
      <c r="YX293" s="9" t="n">
        <v>0</v>
      </c>
      <c r="YY293" s="9" t="n">
        <v>0</v>
      </c>
      <c r="ZC293" s="10" t="n">
        <v>46269</v>
      </c>
      <c r="ZE293" s="9" t="n">
        <v>0</v>
      </c>
      <c r="ZG293" s="9" t="n">
        <v>0</v>
      </c>
      <c r="ZH293" s="9" t="n">
        <v>0</v>
      </c>
      <c r="ZL293" s="10" t="n">
        <v>46269</v>
      </c>
      <c r="ZN293" s="9" t="n">
        <v>0</v>
      </c>
      <c r="ZP293" s="9" t="n">
        <v>0</v>
      </c>
      <c r="ZQ293" s="9" t="n">
        <v>0</v>
      </c>
      <c r="ZU293" s="10" t="n">
        <v>46269</v>
      </c>
      <c r="ZW293" s="9" t="n">
        <v>0</v>
      </c>
      <c r="ZY293" s="9" t="n">
        <v>0</v>
      </c>
      <c r="ZZ293" s="9" t="n">
        <v>0</v>
      </c>
      <c r="AAD293" s="10" t="n">
        <v>46269</v>
      </c>
      <c r="AAF293" s="9" t="n">
        <v>0</v>
      </c>
      <c r="AAH293" s="9" t="n">
        <v>0</v>
      </c>
      <c r="AAI293" s="9" t="n">
        <v>0</v>
      </c>
      <c r="AAM293" s="10" t="n">
        <v>46269</v>
      </c>
      <c r="AAO293" s="9" t="n">
        <v>0</v>
      </c>
      <c r="AAQ293" s="9" t="n">
        <v>0</v>
      </c>
      <c r="AAR293" s="9" t="n">
        <v>0</v>
      </c>
      <c r="AAV293" s="10" t="n">
        <v>46269</v>
      </c>
      <c r="AAX293" s="9" t="n">
        <v>0</v>
      </c>
      <c r="AAZ293" s="9" t="n">
        <v>0</v>
      </c>
      <c r="ABA293" s="9" t="n">
        <v>0</v>
      </c>
      <c r="ABE293" s="10" t="n">
        <v>46269</v>
      </c>
      <c r="ABG293" s="9" t="n">
        <v>0</v>
      </c>
      <c r="ABI293" s="9" t="n">
        <v>0</v>
      </c>
      <c r="ABJ293" s="9" t="n">
        <v>0</v>
      </c>
    </row>
    <row r="294">
      <c r="C294" s="10" t="n">
        <v>46270</v>
      </c>
      <c r="E294" s="9" t="n">
        <v>0</v>
      </c>
      <c r="G294" s="9" t="n">
        <v>0</v>
      </c>
      <c r="H294" s="9" t="n">
        <v>236936.6</v>
      </c>
      <c r="L294" s="10" t="n">
        <v>46270</v>
      </c>
      <c r="N294" s="9" t="n">
        <v>0</v>
      </c>
      <c r="P294" s="9" t="n">
        <v>0</v>
      </c>
      <c r="Q294" s="9" t="n">
        <v>53017.60000000007</v>
      </c>
      <c r="U294" s="10" t="n">
        <v>46270</v>
      </c>
      <c r="W294" s="9" t="n">
        <v>0</v>
      </c>
      <c r="Y294" s="9" t="n">
        <v>0</v>
      </c>
      <c r="Z294" s="9" t="n">
        <v>42674.19999999997</v>
      </c>
      <c r="AD294" s="10" t="n">
        <v>46270</v>
      </c>
      <c r="AF294" s="9" t="n">
        <v>0</v>
      </c>
      <c r="AH294" s="9" t="n">
        <v>0</v>
      </c>
      <c r="AI294" s="9" t="n">
        <v>4522.200000000019</v>
      </c>
      <c r="AM294" s="10" t="n">
        <v>46270</v>
      </c>
      <c r="AO294" s="9" t="n">
        <v>0</v>
      </c>
      <c r="AQ294" s="9" t="n">
        <v>0</v>
      </c>
      <c r="AR294" s="9" t="n">
        <v>0</v>
      </c>
      <c r="AV294" s="10" t="n">
        <v>46270</v>
      </c>
      <c r="AX294" s="9" t="n">
        <v>0</v>
      </c>
      <c r="AZ294" s="9" t="n">
        <v>0</v>
      </c>
      <c r="BA294" s="9" t="n">
        <v>124.9999999999952</v>
      </c>
      <c r="BE294" s="10" t="n">
        <v>46270</v>
      </c>
      <c r="BG294" s="9" t="n">
        <v>0</v>
      </c>
      <c r="BI294" s="9" t="n">
        <v>0</v>
      </c>
      <c r="BJ294" s="9" t="n">
        <v>26151.9</v>
      </c>
      <c r="BN294" s="10" t="n">
        <v>46270</v>
      </c>
      <c r="BP294" s="9" t="n">
        <v>0</v>
      </c>
      <c r="BR294" s="9" t="n">
        <v>0</v>
      </c>
      <c r="BS294" s="9" t="n">
        <v>0</v>
      </c>
      <c r="BW294" s="10" t="n">
        <v>46270</v>
      </c>
      <c r="BY294" s="9" t="n">
        <v>0</v>
      </c>
      <c r="CA294" s="9" t="n">
        <v>0</v>
      </c>
      <c r="CB294" s="9" t="n">
        <v>2097.339999999999</v>
      </c>
      <c r="CF294" s="10" t="n">
        <v>46270</v>
      </c>
      <c r="CH294" s="9" t="n">
        <v>0</v>
      </c>
      <c r="CJ294" s="9" t="n">
        <v>0</v>
      </c>
      <c r="CK294" s="9" t="n">
        <v>-10277.08</v>
      </c>
      <c r="CO294" s="10" t="n">
        <v>46270</v>
      </c>
      <c r="CQ294" s="9" t="n">
        <v>0</v>
      </c>
      <c r="CS294" s="9" t="n">
        <v>0</v>
      </c>
      <c r="CT294" s="9" t="n">
        <v>0</v>
      </c>
      <c r="CX294" s="10" t="n">
        <v>46270</v>
      </c>
      <c r="CZ294" s="9" t="n">
        <v>0</v>
      </c>
      <c r="DB294" s="9" t="n">
        <v>0</v>
      </c>
      <c r="DC294" s="9" t="n">
        <v>27438.20000000001</v>
      </c>
      <c r="DG294" s="10" t="n">
        <v>46270</v>
      </c>
      <c r="DI294" s="9" t="n">
        <v>0</v>
      </c>
      <c r="DK294" s="9" t="n">
        <v>0</v>
      </c>
      <c r="DL294" s="9" t="n">
        <v>18782.29999999998</v>
      </c>
      <c r="DP294" s="10" t="n">
        <v>46270</v>
      </c>
      <c r="DR294" s="9" t="n">
        <v>0</v>
      </c>
      <c r="DT294" s="9" t="n">
        <v>0</v>
      </c>
      <c r="DU294" s="9" t="n">
        <v>5800</v>
      </c>
      <c r="DY294" s="10" t="n">
        <v>46270</v>
      </c>
      <c r="EA294" s="9" t="n">
        <v>0</v>
      </c>
      <c r="EC294" s="9" t="n">
        <v>0</v>
      </c>
      <c r="ED294" s="9" t="n">
        <v>0</v>
      </c>
      <c r="EH294" s="10" t="n">
        <v>46270</v>
      </c>
      <c r="EJ294" s="9" t="n">
        <v>0</v>
      </c>
      <c r="EL294" s="9" t="n">
        <v>0</v>
      </c>
      <c r="EM294" s="9" t="n">
        <v>0</v>
      </c>
      <c r="EQ294" s="10" t="n">
        <v>46270</v>
      </c>
      <c r="ES294" s="9" t="n">
        <v>0</v>
      </c>
      <c r="EU294" s="9" t="n">
        <v>0</v>
      </c>
      <c r="EV294" s="9" t="n">
        <v>0</v>
      </c>
      <c r="EZ294" s="10" t="n">
        <v>46270</v>
      </c>
      <c r="FB294" s="9" t="n">
        <v>0</v>
      </c>
      <c r="FD294" s="9" t="n">
        <v>0</v>
      </c>
      <c r="FE294" s="9" t="n">
        <v>0</v>
      </c>
      <c r="FI294" s="10" t="n">
        <v>46270</v>
      </c>
      <c r="FK294" s="9" t="n">
        <v>0</v>
      </c>
      <c r="FM294" s="9" t="n">
        <v>0</v>
      </c>
      <c r="FN294" s="9" t="n">
        <v>0</v>
      </c>
      <c r="FR294" s="10" t="n">
        <v>46270</v>
      </c>
      <c r="FT294" s="9" t="n">
        <v>0</v>
      </c>
      <c r="FV294" s="9" t="n">
        <v>0</v>
      </c>
      <c r="FW294" s="9" t="n">
        <v>2020</v>
      </c>
      <c r="GA294" s="10" t="n">
        <v>46270</v>
      </c>
      <c r="GC294" s="9" t="n">
        <v>0</v>
      </c>
      <c r="GE294" s="9" t="n">
        <v>0</v>
      </c>
      <c r="GF294" s="9" t="n">
        <v>960</v>
      </c>
      <c r="GJ294" s="10" t="n">
        <v>46270</v>
      </c>
      <c r="GL294" s="9" t="n">
        <v>0</v>
      </c>
      <c r="GN294" s="9" t="n">
        <v>0</v>
      </c>
      <c r="GO294" s="9" t="n">
        <v>1760</v>
      </c>
      <c r="GS294" s="10" t="n">
        <v>46270</v>
      </c>
      <c r="GU294" s="9" t="n">
        <v>0</v>
      </c>
      <c r="GW294" s="9" t="n">
        <v>0</v>
      </c>
      <c r="GX294" s="9" t="n">
        <v>400</v>
      </c>
      <c r="HB294" s="10" t="n">
        <v>46270</v>
      </c>
      <c r="HD294" s="9" t="n">
        <v>0</v>
      </c>
      <c r="HF294" s="9" t="n">
        <v>0</v>
      </c>
      <c r="HG294" s="9" t="n">
        <v>3600</v>
      </c>
      <c r="HK294" s="10" t="n">
        <v>46270</v>
      </c>
      <c r="HM294" s="9" t="n">
        <v>0</v>
      </c>
      <c r="HO294" s="9" t="n">
        <v>0</v>
      </c>
      <c r="HP294" s="9" t="n">
        <v>0</v>
      </c>
      <c r="HU294" s="10" t="n">
        <v>46270</v>
      </c>
      <c r="HW294" s="9" t="n">
        <v>0</v>
      </c>
      <c r="HY294" s="9" t="n">
        <v>0</v>
      </c>
      <c r="HZ294" s="9" t="n">
        <v>6120</v>
      </c>
      <c r="ID294" s="10" t="n">
        <v>46270</v>
      </c>
      <c r="IF294" s="9" t="n">
        <v>0</v>
      </c>
      <c r="IH294" s="9" t="n">
        <v>0</v>
      </c>
      <c r="II294" s="9" t="n">
        <v>0</v>
      </c>
      <c r="IM294" s="10" t="n">
        <v>46270</v>
      </c>
      <c r="IO294" s="9" t="n">
        <v>0</v>
      </c>
      <c r="IQ294" s="9" t="n">
        <v>0</v>
      </c>
      <c r="IR294" s="9" t="n">
        <v>0</v>
      </c>
      <c r="IV294" s="10" t="n">
        <v>46270</v>
      </c>
      <c r="IX294" s="9" t="n">
        <v>0</v>
      </c>
      <c r="IZ294" s="9" t="n">
        <v>0</v>
      </c>
      <c r="JA294" s="9" t="n">
        <v>2820</v>
      </c>
      <c r="JE294" s="10" t="n">
        <v>46270</v>
      </c>
      <c r="JG294" s="9" t="n">
        <v>0</v>
      </c>
      <c r="JI294" s="9" t="n">
        <v>0</v>
      </c>
      <c r="JJ294" s="9" t="n">
        <v>0</v>
      </c>
      <c r="JN294" s="10" t="n">
        <v>46270</v>
      </c>
      <c r="JP294" s="9" t="n">
        <v>0</v>
      </c>
      <c r="JR294" s="9" t="n">
        <v>0</v>
      </c>
      <c r="JS294" s="9" t="n">
        <v>0</v>
      </c>
      <c r="JW294" s="10" t="n">
        <v>46270</v>
      </c>
      <c r="JY294" s="9" t="n">
        <v>0</v>
      </c>
      <c r="KA294" s="9" t="n">
        <v>0</v>
      </c>
      <c r="KB294" s="9" t="n">
        <v>2540</v>
      </c>
      <c r="KF294" s="10" t="n">
        <v>46270</v>
      </c>
      <c r="KH294" s="9" t="n">
        <v>0</v>
      </c>
      <c r="KJ294" s="9" t="n">
        <v>0</v>
      </c>
      <c r="KK294" s="9" t="n">
        <v>2359.5</v>
      </c>
      <c r="KO294" s="10" t="n">
        <v>46270</v>
      </c>
      <c r="KQ294" s="9" t="n">
        <v>0</v>
      </c>
      <c r="KS294" s="9" t="n">
        <v>0</v>
      </c>
      <c r="KT294" s="9" t="n">
        <v>1890</v>
      </c>
      <c r="KX294" s="10" t="n">
        <v>46270</v>
      </c>
      <c r="KZ294" s="9" t="n">
        <v>0</v>
      </c>
      <c r="LB294" s="9" t="n">
        <v>0</v>
      </c>
      <c r="LC294" s="9" t="n">
        <v>3690</v>
      </c>
      <c r="LG294" s="10" t="n">
        <v>46270</v>
      </c>
      <c r="LI294" s="9" t="n">
        <v>0</v>
      </c>
      <c r="LK294" s="9" t="n">
        <v>0</v>
      </c>
      <c r="LL294" s="9" t="n">
        <v>4000</v>
      </c>
      <c r="LP294" s="10" t="n">
        <v>46270</v>
      </c>
      <c r="LR294" s="9" t="n">
        <v>0</v>
      </c>
      <c r="LT294" s="9" t="n">
        <v>0</v>
      </c>
      <c r="LU294" s="9" t="n">
        <v>0</v>
      </c>
      <c r="LY294" s="10" t="n">
        <v>46270</v>
      </c>
      <c r="MA294" s="9" t="n">
        <v>0</v>
      </c>
      <c r="MC294" s="9" t="n">
        <v>0</v>
      </c>
      <c r="MD294" s="9" t="n">
        <v>0</v>
      </c>
      <c r="MH294" s="10" t="n">
        <v>46270</v>
      </c>
      <c r="MJ294" s="9" t="n">
        <v>0</v>
      </c>
      <c r="ML294" s="9" t="n">
        <v>0</v>
      </c>
      <c r="MM294" s="9" t="n">
        <v>0</v>
      </c>
      <c r="MQ294" s="10" t="n">
        <v>46270</v>
      </c>
      <c r="MS294" s="9" t="n">
        <v>0</v>
      </c>
      <c r="MU294" s="9" t="n">
        <v>0</v>
      </c>
      <c r="MV294" s="9" t="n">
        <v>1625</v>
      </c>
      <c r="MZ294" s="10" t="n">
        <v>46270</v>
      </c>
      <c r="NB294" s="9" t="n">
        <v>0</v>
      </c>
      <c r="ND294" s="9" t="n">
        <v>0</v>
      </c>
      <c r="NE294" s="9" t="n">
        <v>0</v>
      </c>
      <c r="NI294" s="10" t="n">
        <v>46270</v>
      </c>
      <c r="NK294" s="9" t="n">
        <v>0</v>
      </c>
      <c r="NM294" s="9" t="n">
        <v>0</v>
      </c>
      <c r="NN294" s="9" t="n">
        <v>1127</v>
      </c>
      <c r="NR294" s="10" t="n">
        <v>46270</v>
      </c>
      <c r="NT294" s="9" t="n">
        <v>0</v>
      </c>
      <c r="NV294" s="9" t="n">
        <v>0</v>
      </c>
      <c r="NW294" s="9" t="n">
        <v>3112</v>
      </c>
      <c r="OA294" s="10" t="n">
        <v>46270</v>
      </c>
      <c r="OC294" s="9" t="n">
        <v>0</v>
      </c>
      <c r="OE294" s="9" t="n">
        <v>0</v>
      </c>
      <c r="OF294" s="9" t="n">
        <v>1680.5</v>
      </c>
      <c r="OJ294" s="10" t="n">
        <v>46270</v>
      </c>
      <c r="OL294" s="9" t="n">
        <v>0</v>
      </c>
      <c r="ON294" s="9" t="n">
        <v>0</v>
      </c>
      <c r="OO294" s="9" t="n">
        <v>0</v>
      </c>
      <c r="OS294" s="10" t="n">
        <v>46270</v>
      </c>
      <c r="OU294" s="9" t="n">
        <v>0</v>
      </c>
      <c r="OW294" s="9" t="n">
        <v>0</v>
      </c>
      <c r="OX294" s="9" t="n">
        <v>1482</v>
      </c>
      <c r="PB294" s="10" t="n">
        <v>46270</v>
      </c>
      <c r="PD294" s="9" t="n">
        <v>0</v>
      </c>
      <c r="PF294" s="9" t="n">
        <v>0</v>
      </c>
      <c r="PG294" s="9" t="n">
        <v>0</v>
      </c>
      <c r="PK294" s="10" t="n">
        <v>46270</v>
      </c>
      <c r="PM294" s="9" t="n">
        <v>0</v>
      </c>
      <c r="PO294" s="9" t="n">
        <v>0</v>
      </c>
      <c r="PP294" s="9" t="n">
        <v>100</v>
      </c>
      <c r="PT294" s="10" t="n">
        <v>46270</v>
      </c>
      <c r="PV294" s="9" t="n">
        <v>0</v>
      </c>
      <c r="PX294" s="9" t="n">
        <v>0</v>
      </c>
      <c r="PY294" s="9" t="n">
        <v>13.96000000000004</v>
      </c>
      <c r="QC294" s="10" t="n">
        <v>46270</v>
      </c>
      <c r="QE294" s="9" t="n">
        <v>0</v>
      </c>
      <c r="QG294" s="9" t="n">
        <v>0</v>
      </c>
      <c r="QH294" s="9" t="n">
        <v>548</v>
      </c>
      <c r="QL294" s="10" t="n">
        <v>46270</v>
      </c>
      <c r="QN294" s="9" t="n">
        <v>0</v>
      </c>
      <c r="QP294" s="9" t="n">
        <v>0</v>
      </c>
      <c r="QQ294" s="9" t="n">
        <v>0</v>
      </c>
      <c r="QU294" s="10" t="n">
        <v>46270</v>
      </c>
      <c r="QW294" s="9" t="n">
        <v>0</v>
      </c>
      <c r="QY294" s="9" t="n">
        <v>0</v>
      </c>
      <c r="QZ294" s="9" t="n">
        <v>0</v>
      </c>
      <c r="RD294" s="10" t="n">
        <v>46270</v>
      </c>
      <c r="RF294" s="9" t="n">
        <v>0</v>
      </c>
      <c r="RH294" s="9" t="n">
        <v>0</v>
      </c>
      <c r="RI294" s="9" t="n">
        <v>147.04</v>
      </c>
      <c r="RM294" s="10" t="n">
        <v>46270</v>
      </c>
      <c r="RO294" s="9" t="n">
        <v>0</v>
      </c>
      <c r="RQ294" s="9" t="n">
        <v>0</v>
      </c>
      <c r="RR294" s="9" t="n">
        <v>46.8</v>
      </c>
      <c r="RV294" s="10" t="n">
        <v>46270</v>
      </c>
      <c r="RX294" s="9" t="n">
        <v>0</v>
      </c>
      <c r="RZ294" s="9" t="n">
        <v>0</v>
      </c>
      <c r="SA294" s="9" t="n">
        <v>0</v>
      </c>
      <c r="SE294" s="10" t="n">
        <v>46270</v>
      </c>
      <c r="SG294" s="9" t="n">
        <v>0</v>
      </c>
      <c r="SI294" s="9" t="n">
        <v>0</v>
      </c>
      <c r="SJ294" s="9" t="n">
        <v>24.2</v>
      </c>
      <c r="SN294" s="10" t="n">
        <v>46270</v>
      </c>
      <c r="SP294" s="9" t="n">
        <v>0</v>
      </c>
      <c r="SR294" s="9" t="n">
        <v>0</v>
      </c>
      <c r="SS294" s="9" t="n">
        <v>32</v>
      </c>
      <c r="SW294" s="10" t="n">
        <v>46270</v>
      </c>
      <c r="SY294" s="9" t="n">
        <v>0</v>
      </c>
      <c r="TA294" s="9" t="n">
        <v>0</v>
      </c>
      <c r="TB294" s="9" t="n">
        <v>0</v>
      </c>
      <c r="TF294" s="10" t="n">
        <v>46270</v>
      </c>
      <c r="TH294" s="9" t="n">
        <v>0</v>
      </c>
      <c r="TJ294" s="9" t="n">
        <v>0</v>
      </c>
      <c r="TK294" s="9" t="n">
        <v>0</v>
      </c>
      <c r="TO294" s="10" t="n">
        <v>46270</v>
      </c>
      <c r="TQ294" s="9" t="n">
        <v>0</v>
      </c>
      <c r="TS294" s="9" t="n">
        <v>0</v>
      </c>
      <c r="TT294" s="9" t="n">
        <v>0</v>
      </c>
      <c r="TX294" s="10" t="n">
        <v>46270</v>
      </c>
      <c r="TZ294" s="9" t="n">
        <v>0</v>
      </c>
      <c r="UB294" s="9" t="n">
        <v>0</v>
      </c>
      <c r="UC294" s="9" t="n">
        <v>46.79999999999998</v>
      </c>
      <c r="UG294" s="10" t="n">
        <v>46270</v>
      </c>
      <c r="UI294" s="9" t="n">
        <v>0</v>
      </c>
      <c r="UK294" s="9" t="n">
        <v>0</v>
      </c>
      <c r="UL294" s="9" t="n">
        <v>204</v>
      </c>
      <c r="UP294" s="10" t="n">
        <v>46270</v>
      </c>
      <c r="UR294" s="9" t="n">
        <v>0</v>
      </c>
      <c r="UT294" s="9" t="n">
        <v>0</v>
      </c>
      <c r="UU294" s="9" t="n">
        <v>202.5</v>
      </c>
      <c r="UY294" s="10" t="n">
        <v>46270</v>
      </c>
      <c r="VA294" s="9" t="n">
        <v>0</v>
      </c>
      <c r="VC294" s="9" t="n">
        <v>0</v>
      </c>
      <c r="VD294" s="9" t="n">
        <v>41.60000000000002</v>
      </c>
      <c r="VH294" s="10" t="n">
        <v>46270</v>
      </c>
      <c r="VJ294" s="9" t="n">
        <v>0</v>
      </c>
      <c r="VL294" s="9" t="n">
        <v>0</v>
      </c>
      <c r="VM294" s="9" t="n">
        <v>210</v>
      </c>
      <c r="VQ294" s="10" t="n">
        <v>46270</v>
      </c>
      <c r="VS294" s="9" t="n">
        <v>0</v>
      </c>
      <c r="VU294" s="9" t="n">
        <v>0</v>
      </c>
      <c r="VV294" s="9" t="n">
        <v>0</v>
      </c>
      <c r="VZ294" s="10" t="n">
        <v>46270</v>
      </c>
      <c r="WB294" s="9" t="n">
        <v>0</v>
      </c>
      <c r="WD294" s="9" t="n">
        <v>0</v>
      </c>
      <c r="WE294" s="9" t="n">
        <v>0</v>
      </c>
      <c r="WI294" s="10" t="n">
        <v>46270</v>
      </c>
      <c r="WK294" s="9" t="n">
        <v>0</v>
      </c>
      <c r="WM294" s="9" t="n">
        <v>0</v>
      </c>
      <c r="WN294" s="9" t="n">
        <v>1057</v>
      </c>
      <c r="WR294" s="10" t="n">
        <v>46270</v>
      </c>
      <c r="WT294" s="9" t="n">
        <v>0</v>
      </c>
      <c r="WV294" s="9" t="n">
        <v>0</v>
      </c>
      <c r="WW294" s="9" t="n">
        <v>0</v>
      </c>
      <c r="XA294" s="10" t="n">
        <v>46270</v>
      </c>
      <c r="XC294" s="9" t="n">
        <v>0</v>
      </c>
      <c r="XE294" s="9" t="n">
        <v>0</v>
      </c>
      <c r="XF294" s="9" t="n">
        <v>7507</v>
      </c>
      <c r="XJ294" s="10" t="n">
        <v>46270</v>
      </c>
      <c r="XL294" s="9" t="n">
        <v>0</v>
      </c>
      <c r="XN294" s="9" t="n">
        <v>0</v>
      </c>
      <c r="XO294" s="9" t="n">
        <v>4252</v>
      </c>
      <c r="XS294" s="10" t="n">
        <v>46270</v>
      </c>
      <c r="XU294" s="9" t="n">
        <v>0</v>
      </c>
      <c r="XW294" s="9" t="n">
        <v>0</v>
      </c>
      <c r="XX294" s="9" t="n">
        <v>2179</v>
      </c>
      <c r="YB294" s="10" t="n">
        <v>46270</v>
      </c>
      <c r="YD294" s="9" t="n">
        <v>0</v>
      </c>
      <c r="YF294" s="9" t="n">
        <v>0</v>
      </c>
      <c r="YG294" s="9" t="n">
        <v>4019</v>
      </c>
      <c r="YK294" s="10" t="n">
        <v>46270</v>
      </c>
      <c r="YM294" s="9" t="n">
        <v>0</v>
      </c>
      <c r="YO294" s="9" t="n">
        <v>0</v>
      </c>
      <c r="YP294" s="9" t="n">
        <v>-218</v>
      </c>
      <c r="YT294" s="10" t="n">
        <v>46270</v>
      </c>
      <c r="YV294" s="9" t="n">
        <v>0</v>
      </c>
      <c r="YX294" s="9" t="n">
        <v>0</v>
      </c>
      <c r="YY294" s="9" t="n">
        <v>0</v>
      </c>
      <c r="ZC294" s="10" t="n">
        <v>46270</v>
      </c>
      <c r="ZE294" s="9" t="n">
        <v>0</v>
      </c>
      <c r="ZG294" s="9" t="n">
        <v>0</v>
      </c>
      <c r="ZH294" s="9" t="n">
        <v>0</v>
      </c>
      <c r="ZL294" s="10" t="n">
        <v>46270</v>
      </c>
      <c r="ZN294" s="9" t="n">
        <v>0</v>
      </c>
      <c r="ZP294" s="9" t="n">
        <v>0</v>
      </c>
      <c r="ZQ294" s="9" t="n">
        <v>0</v>
      </c>
      <c r="ZU294" s="10" t="n">
        <v>46270</v>
      </c>
      <c r="ZW294" s="9" t="n">
        <v>0</v>
      </c>
      <c r="ZY294" s="9" t="n">
        <v>0</v>
      </c>
      <c r="ZZ294" s="9" t="n">
        <v>0</v>
      </c>
      <c r="AAD294" s="10" t="n">
        <v>46270</v>
      </c>
      <c r="AAF294" s="9" t="n">
        <v>0</v>
      </c>
      <c r="AAH294" s="9" t="n">
        <v>0</v>
      </c>
      <c r="AAI294" s="9" t="n">
        <v>0</v>
      </c>
      <c r="AAM294" s="10" t="n">
        <v>46270</v>
      </c>
      <c r="AAO294" s="9" t="n">
        <v>0</v>
      </c>
      <c r="AAQ294" s="9" t="n">
        <v>0</v>
      </c>
      <c r="AAR294" s="9" t="n">
        <v>0</v>
      </c>
      <c r="AAV294" s="10" t="n">
        <v>46270</v>
      </c>
      <c r="AAX294" s="9" t="n">
        <v>0</v>
      </c>
      <c r="AAZ294" s="9" t="n">
        <v>0</v>
      </c>
      <c r="ABA294" s="9" t="n">
        <v>0</v>
      </c>
      <c r="ABE294" s="10" t="n">
        <v>46270</v>
      </c>
      <c r="ABG294" s="9" t="n">
        <v>0</v>
      </c>
      <c r="ABI294" s="9" t="n">
        <v>0</v>
      </c>
      <c r="ABJ294" s="9" t="n">
        <v>0</v>
      </c>
    </row>
    <row r="295">
      <c r="C295" s="10" t="n">
        <v>46271</v>
      </c>
      <c r="E295" s="9" t="n">
        <v>0</v>
      </c>
      <c r="G295" s="9" t="n">
        <v>0</v>
      </c>
      <c r="H295" s="9" t="n">
        <v>236936.6</v>
      </c>
      <c r="L295" s="10" t="n">
        <v>46271</v>
      </c>
      <c r="N295" s="9" t="n">
        <v>0</v>
      </c>
      <c r="P295" s="9" t="n">
        <v>0</v>
      </c>
      <c r="Q295" s="9" t="n">
        <v>53017.60000000007</v>
      </c>
      <c r="U295" s="10" t="n">
        <v>46271</v>
      </c>
      <c r="W295" s="9" t="n">
        <v>0</v>
      </c>
      <c r="Y295" s="9" t="n">
        <v>0</v>
      </c>
      <c r="Z295" s="9" t="n">
        <v>42674.19999999997</v>
      </c>
      <c r="AD295" s="10" t="n">
        <v>46271</v>
      </c>
      <c r="AF295" s="9" t="n">
        <v>0</v>
      </c>
      <c r="AH295" s="9" t="n">
        <v>0</v>
      </c>
      <c r="AI295" s="9" t="n">
        <v>4522.200000000019</v>
      </c>
      <c r="AM295" s="10" t="n">
        <v>46271</v>
      </c>
      <c r="AO295" s="9" t="n">
        <v>0</v>
      </c>
      <c r="AQ295" s="9" t="n">
        <v>0</v>
      </c>
      <c r="AR295" s="9" t="n">
        <v>0</v>
      </c>
      <c r="AV295" s="10" t="n">
        <v>46271</v>
      </c>
      <c r="AX295" s="9" t="n">
        <v>0</v>
      </c>
      <c r="AZ295" s="9" t="n">
        <v>0</v>
      </c>
      <c r="BA295" s="9" t="n">
        <v>124.9999999999952</v>
      </c>
      <c r="BE295" s="10" t="n">
        <v>46271</v>
      </c>
      <c r="BG295" s="9" t="n">
        <v>0</v>
      </c>
      <c r="BI295" s="9" t="n">
        <v>0</v>
      </c>
      <c r="BJ295" s="9" t="n">
        <v>26151.9</v>
      </c>
      <c r="BN295" s="10" t="n">
        <v>46271</v>
      </c>
      <c r="BP295" s="9" t="n">
        <v>0</v>
      </c>
      <c r="BR295" s="9" t="n">
        <v>0</v>
      </c>
      <c r="BS295" s="9" t="n">
        <v>0</v>
      </c>
      <c r="BW295" s="10" t="n">
        <v>46271</v>
      </c>
      <c r="BY295" s="9" t="n">
        <v>0</v>
      </c>
      <c r="CA295" s="9" t="n">
        <v>0</v>
      </c>
      <c r="CB295" s="9" t="n">
        <v>2097.339999999999</v>
      </c>
      <c r="CF295" s="10" t="n">
        <v>46271</v>
      </c>
      <c r="CH295" s="9" t="n">
        <v>0</v>
      </c>
      <c r="CJ295" s="9" t="n">
        <v>0</v>
      </c>
      <c r="CK295" s="9" t="n">
        <v>-10277.08</v>
      </c>
      <c r="CO295" s="10" t="n">
        <v>46271</v>
      </c>
      <c r="CQ295" s="9" t="n">
        <v>0</v>
      </c>
      <c r="CS295" s="9" t="n">
        <v>0</v>
      </c>
      <c r="CT295" s="9" t="n">
        <v>0</v>
      </c>
      <c r="CX295" s="10" t="n">
        <v>46271</v>
      </c>
      <c r="CZ295" s="9" t="n">
        <v>0</v>
      </c>
      <c r="DB295" s="9" t="n">
        <v>0</v>
      </c>
      <c r="DC295" s="9" t="n">
        <v>27438.20000000001</v>
      </c>
      <c r="DG295" s="10" t="n">
        <v>46271</v>
      </c>
      <c r="DI295" s="9" t="n">
        <v>0</v>
      </c>
      <c r="DK295" s="9" t="n">
        <v>0</v>
      </c>
      <c r="DL295" s="9" t="n">
        <v>18782.29999999998</v>
      </c>
      <c r="DP295" s="10" t="n">
        <v>46271</v>
      </c>
      <c r="DR295" s="9" t="n">
        <v>0</v>
      </c>
      <c r="DT295" s="9" t="n">
        <v>0</v>
      </c>
      <c r="DU295" s="9" t="n">
        <v>5800</v>
      </c>
      <c r="DY295" s="10" t="n">
        <v>46271</v>
      </c>
      <c r="EA295" s="9" t="n">
        <v>0</v>
      </c>
      <c r="EC295" s="9" t="n">
        <v>0</v>
      </c>
      <c r="ED295" s="9" t="n">
        <v>0</v>
      </c>
      <c r="EH295" s="10" t="n">
        <v>46271</v>
      </c>
      <c r="EJ295" s="9" t="n">
        <v>0</v>
      </c>
      <c r="EL295" s="9" t="n">
        <v>0</v>
      </c>
      <c r="EM295" s="9" t="n">
        <v>0</v>
      </c>
      <c r="EQ295" s="10" t="n">
        <v>46271</v>
      </c>
      <c r="ES295" s="9" t="n">
        <v>0</v>
      </c>
      <c r="EU295" s="9" t="n">
        <v>0</v>
      </c>
      <c r="EV295" s="9" t="n">
        <v>0</v>
      </c>
      <c r="EZ295" s="10" t="n">
        <v>46271</v>
      </c>
      <c r="FB295" s="9" t="n">
        <v>0</v>
      </c>
      <c r="FD295" s="9" t="n">
        <v>0</v>
      </c>
      <c r="FE295" s="9" t="n">
        <v>0</v>
      </c>
      <c r="FI295" s="10" t="n">
        <v>46271</v>
      </c>
      <c r="FK295" s="9" t="n">
        <v>0</v>
      </c>
      <c r="FM295" s="9" t="n">
        <v>0</v>
      </c>
      <c r="FN295" s="9" t="n">
        <v>0</v>
      </c>
      <c r="FR295" s="10" t="n">
        <v>46271</v>
      </c>
      <c r="FT295" s="9" t="n">
        <v>0</v>
      </c>
      <c r="FV295" s="9" t="n">
        <v>0</v>
      </c>
      <c r="FW295" s="9" t="n">
        <v>2020</v>
      </c>
      <c r="GA295" s="10" t="n">
        <v>46271</v>
      </c>
      <c r="GC295" s="9" t="n">
        <v>0</v>
      </c>
      <c r="GE295" s="9" t="n">
        <v>0</v>
      </c>
      <c r="GF295" s="9" t="n">
        <v>960</v>
      </c>
      <c r="GJ295" s="10" t="n">
        <v>46271</v>
      </c>
      <c r="GL295" s="9" t="n">
        <v>0</v>
      </c>
      <c r="GN295" s="9" t="n">
        <v>0</v>
      </c>
      <c r="GO295" s="9" t="n">
        <v>1760</v>
      </c>
      <c r="GS295" s="10" t="n">
        <v>46271</v>
      </c>
      <c r="GU295" s="9" t="n">
        <v>0</v>
      </c>
      <c r="GW295" s="9" t="n">
        <v>0</v>
      </c>
      <c r="GX295" s="9" t="n">
        <v>400</v>
      </c>
      <c r="HB295" s="10" t="n">
        <v>46271</v>
      </c>
      <c r="HD295" s="9" t="n">
        <v>0</v>
      </c>
      <c r="HF295" s="9" t="n">
        <v>0</v>
      </c>
      <c r="HG295" s="9" t="n">
        <v>3600</v>
      </c>
      <c r="HK295" s="10" t="n">
        <v>46271</v>
      </c>
      <c r="HM295" s="9" t="n">
        <v>0</v>
      </c>
      <c r="HO295" s="9" t="n">
        <v>0</v>
      </c>
      <c r="HP295" s="9" t="n">
        <v>0</v>
      </c>
      <c r="HU295" s="10" t="n">
        <v>46271</v>
      </c>
      <c r="HW295" s="9" t="n">
        <v>0</v>
      </c>
      <c r="HY295" s="9" t="n">
        <v>0</v>
      </c>
      <c r="HZ295" s="9" t="n">
        <v>6120</v>
      </c>
      <c r="ID295" s="10" t="n">
        <v>46271</v>
      </c>
      <c r="IF295" s="9" t="n">
        <v>0</v>
      </c>
      <c r="IH295" s="9" t="n">
        <v>0</v>
      </c>
      <c r="II295" s="9" t="n">
        <v>0</v>
      </c>
      <c r="IM295" s="10" t="n">
        <v>46271</v>
      </c>
      <c r="IO295" s="9" t="n">
        <v>0</v>
      </c>
      <c r="IQ295" s="9" t="n">
        <v>0</v>
      </c>
      <c r="IR295" s="9" t="n">
        <v>0</v>
      </c>
      <c r="IV295" s="10" t="n">
        <v>46271</v>
      </c>
      <c r="IX295" s="9" t="n">
        <v>0</v>
      </c>
      <c r="IZ295" s="9" t="n">
        <v>0</v>
      </c>
      <c r="JA295" s="9" t="n">
        <v>2820</v>
      </c>
      <c r="JE295" s="10" t="n">
        <v>46271</v>
      </c>
      <c r="JG295" s="9" t="n">
        <v>0</v>
      </c>
      <c r="JI295" s="9" t="n">
        <v>0</v>
      </c>
      <c r="JJ295" s="9" t="n">
        <v>0</v>
      </c>
      <c r="JN295" s="10" t="n">
        <v>46271</v>
      </c>
      <c r="JP295" s="9" t="n">
        <v>0</v>
      </c>
      <c r="JR295" s="9" t="n">
        <v>0</v>
      </c>
      <c r="JS295" s="9" t="n">
        <v>0</v>
      </c>
      <c r="JW295" s="10" t="n">
        <v>46271</v>
      </c>
      <c r="JY295" s="9" t="n">
        <v>0</v>
      </c>
      <c r="KA295" s="9" t="n">
        <v>0</v>
      </c>
      <c r="KB295" s="9" t="n">
        <v>2540</v>
      </c>
      <c r="KF295" s="10" t="n">
        <v>46271</v>
      </c>
      <c r="KH295" s="9" t="n">
        <v>0</v>
      </c>
      <c r="KJ295" s="9" t="n">
        <v>0</v>
      </c>
      <c r="KK295" s="9" t="n">
        <v>2359.5</v>
      </c>
      <c r="KO295" s="10" t="n">
        <v>46271</v>
      </c>
      <c r="KQ295" s="9" t="n">
        <v>0</v>
      </c>
      <c r="KS295" s="9" t="n">
        <v>0</v>
      </c>
      <c r="KT295" s="9" t="n">
        <v>1890</v>
      </c>
      <c r="KX295" s="10" t="n">
        <v>46271</v>
      </c>
      <c r="KZ295" s="9" t="n">
        <v>0</v>
      </c>
      <c r="LB295" s="9" t="n">
        <v>0</v>
      </c>
      <c r="LC295" s="9" t="n">
        <v>3690</v>
      </c>
      <c r="LG295" s="10" t="n">
        <v>46271</v>
      </c>
      <c r="LI295" s="9" t="n">
        <v>0</v>
      </c>
      <c r="LK295" s="9" t="n">
        <v>0</v>
      </c>
      <c r="LL295" s="9" t="n">
        <v>4000</v>
      </c>
      <c r="LP295" s="10" t="n">
        <v>46271</v>
      </c>
      <c r="LR295" s="9" t="n">
        <v>0</v>
      </c>
      <c r="LT295" s="9" t="n">
        <v>0</v>
      </c>
      <c r="LU295" s="9" t="n">
        <v>0</v>
      </c>
      <c r="LY295" s="10" t="n">
        <v>46271</v>
      </c>
      <c r="MA295" s="9" t="n">
        <v>0</v>
      </c>
      <c r="MC295" s="9" t="n">
        <v>0</v>
      </c>
      <c r="MD295" s="9" t="n">
        <v>0</v>
      </c>
      <c r="MH295" s="10" t="n">
        <v>46271</v>
      </c>
      <c r="MJ295" s="9" t="n">
        <v>0</v>
      </c>
      <c r="ML295" s="9" t="n">
        <v>0</v>
      </c>
      <c r="MM295" s="9" t="n">
        <v>0</v>
      </c>
      <c r="MQ295" s="10" t="n">
        <v>46271</v>
      </c>
      <c r="MS295" s="9" t="n">
        <v>0</v>
      </c>
      <c r="MU295" s="9" t="n">
        <v>0</v>
      </c>
      <c r="MV295" s="9" t="n">
        <v>1625</v>
      </c>
      <c r="MZ295" s="10" t="n">
        <v>46271</v>
      </c>
      <c r="NB295" s="9" t="n">
        <v>0</v>
      </c>
      <c r="ND295" s="9" t="n">
        <v>0</v>
      </c>
      <c r="NE295" s="9" t="n">
        <v>0</v>
      </c>
      <c r="NI295" s="10" t="n">
        <v>46271</v>
      </c>
      <c r="NK295" s="9" t="n">
        <v>0</v>
      </c>
      <c r="NM295" s="9" t="n">
        <v>0</v>
      </c>
      <c r="NN295" s="9" t="n">
        <v>1127</v>
      </c>
      <c r="NR295" s="10" t="n">
        <v>46271</v>
      </c>
      <c r="NT295" s="9" t="n">
        <v>0</v>
      </c>
      <c r="NV295" s="9" t="n">
        <v>0</v>
      </c>
      <c r="NW295" s="9" t="n">
        <v>3112</v>
      </c>
      <c r="OA295" s="10" t="n">
        <v>46271</v>
      </c>
      <c r="OC295" s="9" t="n">
        <v>0</v>
      </c>
      <c r="OE295" s="9" t="n">
        <v>0</v>
      </c>
      <c r="OF295" s="9" t="n">
        <v>1680.5</v>
      </c>
      <c r="OJ295" s="10" t="n">
        <v>46271</v>
      </c>
      <c r="OL295" s="9" t="n">
        <v>0</v>
      </c>
      <c r="ON295" s="9" t="n">
        <v>0</v>
      </c>
      <c r="OO295" s="9" t="n">
        <v>0</v>
      </c>
      <c r="OS295" s="10" t="n">
        <v>46271</v>
      </c>
      <c r="OU295" s="9" t="n">
        <v>0</v>
      </c>
      <c r="OW295" s="9" t="n">
        <v>0</v>
      </c>
      <c r="OX295" s="9" t="n">
        <v>1482</v>
      </c>
      <c r="PB295" s="10" t="n">
        <v>46271</v>
      </c>
      <c r="PD295" s="9" t="n">
        <v>0</v>
      </c>
      <c r="PF295" s="9" t="n">
        <v>0</v>
      </c>
      <c r="PG295" s="9" t="n">
        <v>0</v>
      </c>
      <c r="PK295" s="10" t="n">
        <v>46271</v>
      </c>
      <c r="PM295" s="9" t="n">
        <v>0</v>
      </c>
      <c r="PO295" s="9" t="n">
        <v>0</v>
      </c>
      <c r="PP295" s="9" t="n">
        <v>100</v>
      </c>
      <c r="PT295" s="10" t="n">
        <v>46271</v>
      </c>
      <c r="PV295" s="9" t="n">
        <v>0</v>
      </c>
      <c r="PX295" s="9" t="n">
        <v>0</v>
      </c>
      <c r="PY295" s="9" t="n">
        <v>13.96000000000004</v>
      </c>
      <c r="QC295" s="10" t="n">
        <v>46271</v>
      </c>
      <c r="QE295" s="9" t="n">
        <v>0</v>
      </c>
      <c r="QG295" s="9" t="n">
        <v>0</v>
      </c>
      <c r="QH295" s="9" t="n">
        <v>548</v>
      </c>
      <c r="QL295" s="10" t="n">
        <v>46271</v>
      </c>
      <c r="QN295" s="9" t="n">
        <v>0</v>
      </c>
      <c r="QP295" s="9" t="n">
        <v>0</v>
      </c>
      <c r="QQ295" s="9" t="n">
        <v>0</v>
      </c>
      <c r="QU295" s="10" t="n">
        <v>46271</v>
      </c>
      <c r="QW295" s="9" t="n">
        <v>0</v>
      </c>
      <c r="QY295" s="9" t="n">
        <v>0</v>
      </c>
      <c r="QZ295" s="9" t="n">
        <v>0</v>
      </c>
      <c r="RD295" s="10" t="n">
        <v>46271</v>
      </c>
      <c r="RF295" s="9" t="n">
        <v>0</v>
      </c>
      <c r="RH295" s="9" t="n">
        <v>0</v>
      </c>
      <c r="RI295" s="9" t="n">
        <v>147.04</v>
      </c>
      <c r="RM295" s="10" t="n">
        <v>46271</v>
      </c>
      <c r="RO295" s="9" t="n">
        <v>0</v>
      </c>
      <c r="RQ295" s="9" t="n">
        <v>0</v>
      </c>
      <c r="RR295" s="9" t="n">
        <v>46.8</v>
      </c>
      <c r="RV295" s="10" t="n">
        <v>46271</v>
      </c>
      <c r="RX295" s="9" t="n">
        <v>0</v>
      </c>
      <c r="RZ295" s="9" t="n">
        <v>0</v>
      </c>
      <c r="SA295" s="9" t="n">
        <v>0</v>
      </c>
      <c r="SE295" s="10" t="n">
        <v>46271</v>
      </c>
      <c r="SG295" s="9" t="n">
        <v>0</v>
      </c>
      <c r="SI295" s="9" t="n">
        <v>0</v>
      </c>
      <c r="SJ295" s="9" t="n">
        <v>24.2</v>
      </c>
      <c r="SN295" s="10" t="n">
        <v>46271</v>
      </c>
      <c r="SP295" s="9" t="n">
        <v>0</v>
      </c>
      <c r="SR295" s="9" t="n">
        <v>0</v>
      </c>
      <c r="SS295" s="9" t="n">
        <v>32</v>
      </c>
      <c r="SW295" s="10" t="n">
        <v>46271</v>
      </c>
      <c r="SY295" s="9" t="n">
        <v>0</v>
      </c>
      <c r="TA295" s="9" t="n">
        <v>0</v>
      </c>
      <c r="TB295" s="9" t="n">
        <v>0</v>
      </c>
      <c r="TF295" s="10" t="n">
        <v>46271</v>
      </c>
      <c r="TH295" s="9" t="n">
        <v>0</v>
      </c>
      <c r="TJ295" s="9" t="n">
        <v>0</v>
      </c>
      <c r="TK295" s="9" t="n">
        <v>0</v>
      </c>
      <c r="TO295" s="10" t="n">
        <v>46271</v>
      </c>
      <c r="TQ295" s="9" t="n">
        <v>0</v>
      </c>
      <c r="TS295" s="9" t="n">
        <v>0</v>
      </c>
      <c r="TT295" s="9" t="n">
        <v>0</v>
      </c>
      <c r="TX295" s="10" t="n">
        <v>46271</v>
      </c>
      <c r="TZ295" s="9" t="n">
        <v>0</v>
      </c>
      <c r="UB295" s="9" t="n">
        <v>0</v>
      </c>
      <c r="UC295" s="9" t="n">
        <v>46.79999999999998</v>
      </c>
      <c r="UG295" s="10" t="n">
        <v>46271</v>
      </c>
      <c r="UI295" s="9" t="n">
        <v>0</v>
      </c>
      <c r="UK295" s="9" t="n">
        <v>0</v>
      </c>
      <c r="UL295" s="9" t="n">
        <v>204</v>
      </c>
      <c r="UP295" s="10" t="n">
        <v>46271</v>
      </c>
      <c r="UR295" s="9" t="n">
        <v>0</v>
      </c>
      <c r="UT295" s="9" t="n">
        <v>0</v>
      </c>
      <c r="UU295" s="9" t="n">
        <v>202.5</v>
      </c>
      <c r="UY295" s="10" t="n">
        <v>46271</v>
      </c>
      <c r="VA295" s="9" t="n">
        <v>0</v>
      </c>
      <c r="VC295" s="9" t="n">
        <v>0</v>
      </c>
      <c r="VD295" s="9" t="n">
        <v>41.60000000000002</v>
      </c>
      <c r="VH295" s="10" t="n">
        <v>46271</v>
      </c>
      <c r="VJ295" s="9" t="n">
        <v>0</v>
      </c>
      <c r="VL295" s="9" t="n">
        <v>0</v>
      </c>
      <c r="VM295" s="9" t="n">
        <v>210</v>
      </c>
      <c r="VQ295" s="10" t="n">
        <v>46271</v>
      </c>
      <c r="VS295" s="9" t="n">
        <v>0</v>
      </c>
      <c r="VU295" s="9" t="n">
        <v>0</v>
      </c>
      <c r="VV295" s="9" t="n">
        <v>0</v>
      </c>
      <c r="VZ295" s="10" t="n">
        <v>46271</v>
      </c>
      <c r="WB295" s="9" t="n">
        <v>0</v>
      </c>
      <c r="WD295" s="9" t="n">
        <v>0</v>
      </c>
      <c r="WE295" s="9" t="n">
        <v>0</v>
      </c>
      <c r="WI295" s="10" t="n">
        <v>46271</v>
      </c>
      <c r="WK295" s="9" t="n">
        <v>0</v>
      </c>
      <c r="WM295" s="9" t="n">
        <v>0</v>
      </c>
      <c r="WN295" s="9" t="n">
        <v>1057</v>
      </c>
      <c r="WR295" s="10" t="n">
        <v>46271</v>
      </c>
      <c r="WT295" s="9" t="n">
        <v>0</v>
      </c>
      <c r="WV295" s="9" t="n">
        <v>0</v>
      </c>
      <c r="WW295" s="9" t="n">
        <v>0</v>
      </c>
      <c r="XA295" s="10" t="n">
        <v>46271</v>
      </c>
      <c r="XC295" s="9" t="n">
        <v>0</v>
      </c>
      <c r="XE295" s="9" t="n">
        <v>0</v>
      </c>
      <c r="XF295" s="9" t="n">
        <v>7507</v>
      </c>
      <c r="XJ295" s="10" t="n">
        <v>46271</v>
      </c>
      <c r="XL295" s="9" t="n">
        <v>0</v>
      </c>
      <c r="XN295" s="9" t="n">
        <v>0</v>
      </c>
      <c r="XO295" s="9" t="n">
        <v>4252</v>
      </c>
      <c r="XS295" s="10" t="n">
        <v>46271</v>
      </c>
      <c r="XU295" s="9" t="n">
        <v>0</v>
      </c>
      <c r="XW295" s="9" t="n">
        <v>0</v>
      </c>
      <c r="XX295" s="9" t="n">
        <v>2179</v>
      </c>
      <c r="YB295" s="10" t="n">
        <v>46271</v>
      </c>
      <c r="YD295" s="9" t="n">
        <v>0</v>
      </c>
      <c r="YF295" s="9" t="n">
        <v>0</v>
      </c>
      <c r="YG295" s="9" t="n">
        <v>4019</v>
      </c>
      <c r="YK295" s="10" t="n">
        <v>46271</v>
      </c>
      <c r="YM295" s="9" t="n">
        <v>0</v>
      </c>
      <c r="YO295" s="9" t="n">
        <v>0</v>
      </c>
      <c r="YP295" s="9" t="n">
        <v>-218</v>
      </c>
      <c r="YT295" s="10" t="n">
        <v>46271</v>
      </c>
      <c r="YV295" s="9" t="n">
        <v>0</v>
      </c>
      <c r="YX295" s="9" t="n">
        <v>0</v>
      </c>
      <c r="YY295" s="9" t="n">
        <v>0</v>
      </c>
      <c r="ZC295" s="10" t="n">
        <v>46271</v>
      </c>
      <c r="ZE295" s="9" t="n">
        <v>0</v>
      </c>
      <c r="ZG295" s="9" t="n">
        <v>0</v>
      </c>
      <c r="ZH295" s="9" t="n">
        <v>0</v>
      </c>
      <c r="ZL295" s="10" t="n">
        <v>46271</v>
      </c>
      <c r="ZN295" s="9" t="n">
        <v>0</v>
      </c>
      <c r="ZP295" s="9" t="n">
        <v>0</v>
      </c>
      <c r="ZQ295" s="9" t="n">
        <v>0</v>
      </c>
      <c r="ZU295" s="10" t="n">
        <v>46271</v>
      </c>
      <c r="ZW295" s="9" t="n">
        <v>0</v>
      </c>
      <c r="ZY295" s="9" t="n">
        <v>0</v>
      </c>
      <c r="ZZ295" s="9" t="n">
        <v>0</v>
      </c>
      <c r="AAD295" s="10" t="n">
        <v>46271</v>
      </c>
      <c r="AAF295" s="9" t="n">
        <v>0</v>
      </c>
      <c r="AAH295" s="9" t="n">
        <v>0</v>
      </c>
      <c r="AAI295" s="9" t="n">
        <v>0</v>
      </c>
      <c r="AAM295" s="10" t="n">
        <v>46271</v>
      </c>
      <c r="AAO295" s="9" t="n">
        <v>0</v>
      </c>
      <c r="AAQ295" s="9" t="n">
        <v>0</v>
      </c>
      <c r="AAR295" s="9" t="n">
        <v>0</v>
      </c>
      <c r="AAV295" s="10" t="n">
        <v>46271</v>
      </c>
      <c r="AAX295" s="9" t="n">
        <v>0</v>
      </c>
      <c r="AAZ295" s="9" t="n">
        <v>0</v>
      </c>
      <c r="ABA295" s="9" t="n">
        <v>0</v>
      </c>
      <c r="ABE295" s="10" t="n">
        <v>46271</v>
      </c>
      <c r="ABG295" s="9" t="n">
        <v>0</v>
      </c>
      <c r="ABI295" s="9" t="n">
        <v>0</v>
      </c>
      <c r="ABJ295" s="9" t="n">
        <v>0</v>
      </c>
    </row>
    <row r="296">
      <c r="C296" s="10" t="n">
        <v>46272</v>
      </c>
      <c r="E296" s="9" t="n">
        <v>0</v>
      </c>
      <c r="G296" s="9" t="n">
        <v>0</v>
      </c>
      <c r="H296" s="9" t="n">
        <v>236936.6</v>
      </c>
      <c r="L296" s="10" t="n">
        <v>46272</v>
      </c>
      <c r="N296" s="9" t="n">
        <v>0</v>
      </c>
      <c r="P296" s="9" t="n">
        <v>0</v>
      </c>
      <c r="Q296" s="9" t="n">
        <v>53017.60000000007</v>
      </c>
      <c r="U296" s="10" t="n">
        <v>46272</v>
      </c>
      <c r="W296" s="9" t="n">
        <v>0</v>
      </c>
      <c r="Y296" s="9" t="n">
        <v>0</v>
      </c>
      <c r="Z296" s="9" t="n">
        <v>42674.19999999997</v>
      </c>
      <c r="AD296" s="10" t="n">
        <v>46272</v>
      </c>
      <c r="AF296" s="9" t="n">
        <v>0</v>
      </c>
      <c r="AH296" s="9" t="n">
        <v>0</v>
      </c>
      <c r="AI296" s="9" t="n">
        <v>4522.200000000019</v>
      </c>
      <c r="AM296" s="10" t="n">
        <v>46272</v>
      </c>
      <c r="AO296" s="9" t="n">
        <v>0</v>
      </c>
      <c r="AQ296" s="9" t="n">
        <v>0</v>
      </c>
      <c r="AR296" s="9" t="n">
        <v>0</v>
      </c>
      <c r="AV296" s="10" t="n">
        <v>46272</v>
      </c>
      <c r="AX296" s="9" t="n">
        <v>0</v>
      </c>
      <c r="AZ296" s="9" t="n">
        <v>0</v>
      </c>
      <c r="BA296" s="9" t="n">
        <v>124.9999999999952</v>
      </c>
      <c r="BE296" s="10" t="n">
        <v>46272</v>
      </c>
      <c r="BG296" s="9" t="n">
        <v>0</v>
      </c>
      <c r="BI296" s="9" t="n">
        <v>0</v>
      </c>
      <c r="BJ296" s="9" t="n">
        <v>26151.9</v>
      </c>
      <c r="BN296" s="10" t="n">
        <v>46272</v>
      </c>
      <c r="BP296" s="9" t="n">
        <v>0</v>
      </c>
      <c r="BR296" s="9" t="n">
        <v>0</v>
      </c>
      <c r="BS296" s="9" t="n">
        <v>0</v>
      </c>
      <c r="BW296" s="10" t="n">
        <v>46272</v>
      </c>
      <c r="BY296" s="9" t="n">
        <v>0</v>
      </c>
      <c r="CA296" s="9" t="n">
        <v>0</v>
      </c>
      <c r="CB296" s="9" t="n">
        <v>2097.339999999999</v>
      </c>
      <c r="CF296" s="10" t="n">
        <v>46272</v>
      </c>
      <c r="CH296" s="9" t="n">
        <v>0</v>
      </c>
      <c r="CJ296" s="9" t="n">
        <v>0</v>
      </c>
      <c r="CK296" s="9" t="n">
        <v>-10277.08</v>
      </c>
      <c r="CO296" s="10" t="n">
        <v>46272</v>
      </c>
      <c r="CQ296" s="9" t="n">
        <v>0</v>
      </c>
      <c r="CS296" s="9" t="n">
        <v>0</v>
      </c>
      <c r="CT296" s="9" t="n">
        <v>0</v>
      </c>
      <c r="CX296" s="10" t="n">
        <v>46272</v>
      </c>
      <c r="CZ296" s="9" t="n">
        <v>0</v>
      </c>
      <c r="DB296" s="9" t="n">
        <v>0</v>
      </c>
      <c r="DC296" s="9" t="n">
        <v>27438.20000000001</v>
      </c>
      <c r="DG296" s="10" t="n">
        <v>46272</v>
      </c>
      <c r="DI296" s="9" t="n">
        <v>0</v>
      </c>
      <c r="DK296" s="9" t="n">
        <v>0</v>
      </c>
      <c r="DL296" s="9" t="n">
        <v>18782.29999999998</v>
      </c>
      <c r="DP296" s="10" t="n">
        <v>46272</v>
      </c>
      <c r="DR296" s="9" t="n">
        <v>0</v>
      </c>
      <c r="DT296" s="9" t="n">
        <v>0</v>
      </c>
      <c r="DU296" s="9" t="n">
        <v>5800</v>
      </c>
      <c r="DY296" s="10" t="n">
        <v>46272</v>
      </c>
      <c r="EA296" s="9" t="n">
        <v>0</v>
      </c>
      <c r="EC296" s="9" t="n">
        <v>0</v>
      </c>
      <c r="ED296" s="9" t="n">
        <v>0</v>
      </c>
      <c r="EH296" s="10" t="n">
        <v>46272</v>
      </c>
      <c r="EJ296" s="9" t="n">
        <v>0</v>
      </c>
      <c r="EL296" s="9" t="n">
        <v>0</v>
      </c>
      <c r="EM296" s="9" t="n">
        <v>0</v>
      </c>
      <c r="EQ296" s="10" t="n">
        <v>46272</v>
      </c>
      <c r="ES296" s="9" t="n">
        <v>0</v>
      </c>
      <c r="EU296" s="9" t="n">
        <v>0</v>
      </c>
      <c r="EV296" s="9" t="n">
        <v>0</v>
      </c>
      <c r="EZ296" s="10" t="n">
        <v>46272</v>
      </c>
      <c r="FB296" s="9" t="n">
        <v>0</v>
      </c>
      <c r="FD296" s="9" t="n">
        <v>0</v>
      </c>
      <c r="FE296" s="9" t="n">
        <v>0</v>
      </c>
      <c r="FI296" s="10" t="n">
        <v>46272</v>
      </c>
      <c r="FK296" s="9" t="n">
        <v>0</v>
      </c>
      <c r="FM296" s="9" t="n">
        <v>0</v>
      </c>
      <c r="FN296" s="9" t="n">
        <v>0</v>
      </c>
      <c r="FR296" s="10" t="n">
        <v>46272</v>
      </c>
      <c r="FT296" s="9" t="n">
        <v>0</v>
      </c>
      <c r="FV296" s="9" t="n">
        <v>0</v>
      </c>
      <c r="FW296" s="9" t="n">
        <v>2020</v>
      </c>
      <c r="GA296" s="10" t="n">
        <v>46272</v>
      </c>
      <c r="GC296" s="9" t="n">
        <v>0</v>
      </c>
      <c r="GE296" s="9" t="n">
        <v>0</v>
      </c>
      <c r="GF296" s="9" t="n">
        <v>960</v>
      </c>
      <c r="GJ296" s="10" t="n">
        <v>46272</v>
      </c>
      <c r="GL296" s="9" t="n">
        <v>0</v>
      </c>
      <c r="GN296" s="9" t="n">
        <v>0</v>
      </c>
      <c r="GO296" s="9" t="n">
        <v>1760</v>
      </c>
      <c r="GS296" s="10" t="n">
        <v>46272</v>
      </c>
      <c r="GU296" s="9" t="n">
        <v>0</v>
      </c>
      <c r="GW296" s="9" t="n">
        <v>0</v>
      </c>
      <c r="GX296" s="9" t="n">
        <v>400</v>
      </c>
      <c r="HB296" s="10" t="n">
        <v>46272</v>
      </c>
      <c r="HD296" s="9" t="n">
        <v>0</v>
      </c>
      <c r="HF296" s="9" t="n">
        <v>0</v>
      </c>
      <c r="HG296" s="9" t="n">
        <v>3600</v>
      </c>
      <c r="HK296" s="10" t="n">
        <v>46272</v>
      </c>
      <c r="HM296" s="9" t="n">
        <v>0</v>
      </c>
      <c r="HO296" s="9" t="n">
        <v>0</v>
      </c>
      <c r="HP296" s="9" t="n">
        <v>0</v>
      </c>
      <c r="HU296" s="10" t="n">
        <v>46272</v>
      </c>
      <c r="HW296" s="9" t="n">
        <v>0</v>
      </c>
      <c r="HY296" s="9" t="n">
        <v>0</v>
      </c>
      <c r="HZ296" s="9" t="n">
        <v>6120</v>
      </c>
      <c r="ID296" s="10" t="n">
        <v>46272</v>
      </c>
      <c r="IF296" s="9" t="n">
        <v>0</v>
      </c>
      <c r="IH296" s="9" t="n">
        <v>0</v>
      </c>
      <c r="II296" s="9" t="n">
        <v>0</v>
      </c>
      <c r="IM296" s="10" t="n">
        <v>46272</v>
      </c>
      <c r="IO296" s="9" t="n">
        <v>0</v>
      </c>
      <c r="IQ296" s="9" t="n">
        <v>0</v>
      </c>
      <c r="IR296" s="9" t="n">
        <v>0</v>
      </c>
      <c r="IV296" s="10" t="n">
        <v>46272</v>
      </c>
      <c r="IX296" s="9" t="n">
        <v>0</v>
      </c>
      <c r="IZ296" s="9" t="n">
        <v>0</v>
      </c>
      <c r="JA296" s="9" t="n">
        <v>2820</v>
      </c>
      <c r="JE296" s="10" t="n">
        <v>46272</v>
      </c>
      <c r="JG296" s="9" t="n">
        <v>0</v>
      </c>
      <c r="JI296" s="9" t="n">
        <v>0</v>
      </c>
      <c r="JJ296" s="9" t="n">
        <v>0</v>
      </c>
      <c r="JN296" s="10" t="n">
        <v>46272</v>
      </c>
      <c r="JP296" s="9" t="n">
        <v>0</v>
      </c>
      <c r="JR296" s="9" t="n">
        <v>0</v>
      </c>
      <c r="JS296" s="9" t="n">
        <v>0</v>
      </c>
      <c r="JW296" s="10" t="n">
        <v>46272</v>
      </c>
      <c r="JY296" s="9" t="n">
        <v>0</v>
      </c>
      <c r="KA296" s="9" t="n">
        <v>0</v>
      </c>
      <c r="KB296" s="9" t="n">
        <v>2540</v>
      </c>
      <c r="KF296" s="10" t="n">
        <v>46272</v>
      </c>
      <c r="KH296" s="9" t="n">
        <v>0</v>
      </c>
      <c r="KJ296" s="9" t="n">
        <v>0</v>
      </c>
      <c r="KK296" s="9" t="n">
        <v>2359.5</v>
      </c>
      <c r="KO296" s="10" t="n">
        <v>46272</v>
      </c>
      <c r="KQ296" s="9" t="n">
        <v>0</v>
      </c>
      <c r="KS296" s="9" t="n">
        <v>0</v>
      </c>
      <c r="KT296" s="9" t="n">
        <v>1890</v>
      </c>
      <c r="KX296" s="10" t="n">
        <v>46272</v>
      </c>
      <c r="KZ296" s="9" t="n">
        <v>0</v>
      </c>
      <c r="LB296" s="9" t="n">
        <v>0</v>
      </c>
      <c r="LC296" s="9" t="n">
        <v>3690</v>
      </c>
      <c r="LG296" s="10" t="n">
        <v>46272</v>
      </c>
      <c r="LI296" s="9" t="n">
        <v>0</v>
      </c>
      <c r="LK296" s="9" t="n">
        <v>0</v>
      </c>
      <c r="LL296" s="9" t="n">
        <v>4000</v>
      </c>
      <c r="LP296" s="10" t="n">
        <v>46272</v>
      </c>
      <c r="LR296" s="9" t="n">
        <v>0</v>
      </c>
      <c r="LT296" s="9" t="n">
        <v>0</v>
      </c>
      <c r="LU296" s="9" t="n">
        <v>0</v>
      </c>
      <c r="LY296" s="10" t="n">
        <v>46272</v>
      </c>
      <c r="MA296" s="9" t="n">
        <v>0</v>
      </c>
      <c r="MC296" s="9" t="n">
        <v>0</v>
      </c>
      <c r="MD296" s="9" t="n">
        <v>0</v>
      </c>
      <c r="MH296" s="10" t="n">
        <v>46272</v>
      </c>
      <c r="MJ296" s="9" t="n">
        <v>0</v>
      </c>
      <c r="ML296" s="9" t="n">
        <v>0</v>
      </c>
      <c r="MM296" s="9" t="n">
        <v>0</v>
      </c>
      <c r="MQ296" s="10" t="n">
        <v>46272</v>
      </c>
      <c r="MS296" s="9" t="n">
        <v>0</v>
      </c>
      <c r="MU296" s="9" t="n">
        <v>0</v>
      </c>
      <c r="MV296" s="9" t="n">
        <v>1625</v>
      </c>
      <c r="MZ296" s="10" t="n">
        <v>46272</v>
      </c>
      <c r="NB296" s="9" t="n">
        <v>0</v>
      </c>
      <c r="ND296" s="9" t="n">
        <v>0</v>
      </c>
      <c r="NE296" s="9" t="n">
        <v>0</v>
      </c>
      <c r="NI296" s="10" t="n">
        <v>46272</v>
      </c>
      <c r="NK296" s="9" t="n">
        <v>0</v>
      </c>
      <c r="NM296" s="9" t="n">
        <v>0</v>
      </c>
      <c r="NN296" s="9" t="n">
        <v>1127</v>
      </c>
      <c r="NR296" s="10" t="n">
        <v>46272</v>
      </c>
      <c r="NT296" s="9" t="n">
        <v>0</v>
      </c>
      <c r="NV296" s="9" t="n">
        <v>0</v>
      </c>
      <c r="NW296" s="9" t="n">
        <v>3112</v>
      </c>
      <c r="OA296" s="10" t="n">
        <v>46272</v>
      </c>
      <c r="OC296" s="9" t="n">
        <v>0</v>
      </c>
      <c r="OE296" s="9" t="n">
        <v>0</v>
      </c>
      <c r="OF296" s="9" t="n">
        <v>1680.5</v>
      </c>
      <c r="OJ296" s="10" t="n">
        <v>46272</v>
      </c>
      <c r="OL296" s="9" t="n">
        <v>0</v>
      </c>
      <c r="ON296" s="9" t="n">
        <v>0</v>
      </c>
      <c r="OO296" s="9" t="n">
        <v>0</v>
      </c>
      <c r="OS296" s="10" t="n">
        <v>46272</v>
      </c>
      <c r="OU296" s="9" t="n">
        <v>0</v>
      </c>
      <c r="OW296" s="9" t="n">
        <v>0</v>
      </c>
      <c r="OX296" s="9" t="n">
        <v>1482</v>
      </c>
      <c r="PB296" s="10" t="n">
        <v>46272</v>
      </c>
      <c r="PD296" s="9" t="n">
        <v>0</v>
      </c>
      <c r="PF296" s="9" t="n">
        <v>0</v>
      </c>
      <c r="PG296" s="9" t="n">
        <v>0</v>
      </c>
      <c r="PK296" s="10" t="n">
        <v>46272</v>
      </c>
      <c r="PM296" s="9" t="n">
        <v>0</v>
      </c>
      <c r="PO296" s="9" t="n">
        <v>0</v>
      </c>
      <c r="PP296" s="9" t="n">
        <v>100</v>
      </c>
      <c r="PT296" s="10" t="n">
        <v>46272</v>
      </c>
      <c r="PV296" s="9" t="n">
        <v>0</v>
      </c>
      <c r="PX296" s="9" t="n">
        <v>0</v>
      </c>
      <c r="PY296" s="9" t="n">
        <v>13.96000000000004</v>
      </c>
      <c r="QC296" s="10" t="n">
        <v>46272</v>
      </c>
      <c r="QE296" s="9" t="n">
        <v>0</v>
      </c>
      <c r="QG296" s="9" t="n">
        <v>0</v>
      </c>
      <c r="QH296" s="9" t="n">
        <v>548</v>
      </c>
      <c r="QL296" s="10" t="n">
        <v>46272</v>
      </c>
      <c r="QN296" s="9" t="n">
        <v>0</v>
      </c>
      <c r="QP296" s="9" t="n">
        <v>0</v>
      </c>
      <c r="QQ296" s="9" t="n">
        <v>0</v>
      </c>
      <c r="QU296" s="10" t="n">
        <v>46272</v>
      </c>
      <c r="QW296" s="9" t="n">
        <v>0</v>
      </c>
      <c r="QY296" s="9" t="n">
        <v>0</v>
      </c>
      <c r="QZ296" s="9" t="n">
        <v>0</v>
      </c>
      <c r="RD296" s="10" t="n">
        <v>46272</v>
      </c>
      <c r="RF296" s="9" t="n">
        <v>0</v>
      </c>
      <c r="RH296" s="9" t="n">
        <v>0</v>
      </c>
      <c r="RI296" s="9" t="n">
        <v>147.04</v>
      </c>
      <c r="RM296" s="10" t="n">
        <v>46272</v>
      </c>
      <c r="RO296" s="9" t="n">
        <v>0</v>
      </c>
      <c r="RQ296" s="9" t="n">
        <v>0</v>
      </c>
      <c r="RR296" s="9" t="n">
        <v>46.8</v>
      </c>
      <c r="RV296" s="10" t="n">
        <v>46272</v>
      </c>
      <c r="RX296" s="9" t="n">
        <v>0</v>
      </c>
      <c r="RZ296" s="9" t="n">
        <v>0</v>
      </c>
      <c r="SA296" s="9" t="n">
        <v>0</v>
      </c>
      <c r="SE296" s="10" t="n">
        <v>46272</v>
      </c>
      <c r="SG296" s="9" t="n">
        <v>0</v>
      </c>
      <c r="SI296" s="9" t="n">
        <v>0</v>
      </c>
      <c r="SJ296" s="9" t="n">
        <v>24.2</v>
      </c>
      <c r="SN296" s="10" t="n">
        <v>46272</v>
      </c>
      <c r="SP296" s="9" t="n">
        <v>0</v>
      </c>
      <c r="SR296" s="9" t="n">
        <v>0</v>
      </c>
      <c r="SS296" s="9" t="n">
        <v>32</v>
      </c>
      <c r="SW296" s="10" t="n">
        <v>46272</v>
      </c>
      <c r="SY296" s="9" t="n">
        <v>0</v>
      </c>
      <c r="TA296" s="9" t="n">
        <v>0</v>
      </c>
      <c r="TB296" s="9" t="n">
        <v>0</v>
      </c>
      <c r="TF296" s="10" t="n">
        <v>46272</v>
      </c>
      <c r="TH296" s="9" t="n">
        <v>0</v>
      </c>
      <c r="TJ296" s="9" t="n">
        <v>0</v>
      </c>
      <c r="TK296" s="9" t="n">
        <v>0</v>
      </c>
      <c r="TO296" s="10" t="n">
        <v>46272</v>
      </c>
      <c r="TQ296" s="9" t="n">
        <v>0</v>
      </c>
      <c r="TS296" s="9" t="n">
        <v>0</v>
      </c>
      <c r="TT296" s="9" t="n">
        <v>0</v>
      </c>
      <c r="TX296" s="10" t="n">
        <v>46272</v>
      </c>
      <c r="TZ296" s="9" t="n">
        <v>0</v>
      </c>
      <c r="UB296" s="9" t="n">
        <v>0</v>
      </c>
      <c r="UC296" s="9" t="n">
        <v>46.79999999999998</v>
      </c>
      <c r="UG296" s="10" t="n">
        <v>46272</v>
      </c>
      <c r="UI296" s="9" t="n">
        <v>0</v>
      </c>
      <c r="UK296" s="9" t="n">
        <v>0</v>
      </c>
      <c r="UL296" s="9" t="n">
        <v>204</v>
      </c>
      <c r="UP296" s="10" t="n">
        <v>46272</v>
      </c>
      <c r="UR296" s="9" t="n">
        <v>0</v>
      </c>
      <c r="UT296" s="9" t="n">
        <v>0</v>
      </c>
      <c r="UU296" s="9" t="n">
        <v>202.5</v>
      </c>
      <c r="UY296" s="10" t="n">
        <v>46272</v>
      </c>
      <c r="VA296" s="9" t="n">
        <v>0</v>
      </c>
      <c r="VC296" s="9" t="n">
        <v>0</v>
      </c>
      <c r="VD296" s="9" t="n">
        <v>41.60000000000002</v>
      </c>
      <c r="VH296" s="10" t="n">
        <v>46272</v>
      </c>
      <c r="VJ296" s="9" t="n">
        <v>0</v>
      </c>
      <c r="VL296" s="9" t="n">
        <v>0</v>
      </c>
      <c r="VM296" s="9" t="n">
        <v>210</v>
      </c>
      <c r="VQ296" s="10" t="n">
        <v>46272</v>
      </c>
      <c r="VS296" s="9" t="n">
        <v>0</v>
      </c>
      <c r="VU296" s="9" t="n">
        <v>0</v>
      </c>
      <c r="VV296" s="9" t="n">
        <v>0</v>
      </c>
      <c r="VZ296" s="10" t="n">
        <v>46272</v>
      </c>
      <c r="WB296" s="9" t="n">
        <v>0</v>
      </c>
      <c r="WD296" s="9" t="n">
        <v>0</v>
      </c>
      <c r="WE296" s="9" t="n">
        <v>0</v>
      </c>
      <c r="WI296" s="10" t="n">
        <v>46272</v>
      </c>
      <c r="WK296" s="9" t="n">
        <v>0</v>
      </c>
      <c r="WM296" s="9" t="n">
        <v>0</v>
      </c>
      <c r="WN296" s="9" t="n">
        <v>1057</v>
      </c>
      <c r="WR296" s="10" t="n">
        <v>46272</v>
      </c>
      <c r="WT296" s="9" t="n">
        <v>0</v>
      </c>
      <c r="WV296" s="9" t="n">
        <v>0</v>
      </c>
      <c r="WW296" s="9" t="n">
        <v>0</v>
      </c>
      <c r="XA296" s="10" t="n">
        <v>46272</v>
      </c>
      <c r="XC296" s="9" t="n">
        <v>0</v>
      </c>
      <c r="XE296" s="9" t="n">
        <v>0</v>
      </c>
      <c r="XF296" s="9" t="n">
        <v>7507</v>
      </c>
      <c r="XJ296" s="10" t="n">
        <v>46272</v>
      </c>
      <c r="XL296" s="9" t="n">
        <v>0</v>
      </c>
      <c r="XN296" s="9" t="n">
        <v>0</v>
      </c>
      <c r="XO296" s="9" t="n">
        <v>4252</v>
      </c>
      <c r="XS296" s="10" t="n">
        <v>46272</v>
      </c>
      <c r="XU296" s="9" t="n">
        <v>0</v>
      </c>
      <c r="XW296" s="9" t="n">
        <v>0</v>
      </c>
      <c r="XX296" s="9" t="n">
        <v>2179</v>
      </c>
      <c r="YB296" s="10" t="n">
        <v>46272</v>
      </c>
      <c r="YD296" s="9" t="n">
        <v>0</v>
      </c>
      <c r="YF296" s="9" t="n">
        <v>0</v>
      </c>
      <c r="YG296" s="9" t="n">
        <v>4019</v>
      </c>
      <c r="YK296" s="10" t="n">
        <v>46272</v>
      </c>
      <c r="YM296" s="9" t="n">
        <v>0</v>
      </c>
      <c r="YO296" s="9" t="n">
        <v>0</v>
      </c>
      <c r="YP296" s="9" t="n">
        <v>-218</v>
      </c>
      <c r="YT296" s="10" t="n">
        <v>46272</v>
      </c>
      <c r="YV296" s="9" t="n">
        <v>0</v>
      </c>
      <c r="YX296" s="9" t="n">
        <v>0</v>
      </c>
      <c r="YY296" s="9" t="n">
        <v>0</v>
      </c>
      <c r="ZC296" s="10" t="n">
        <v>46272</v>
      </c>
      <c r="ZE296" s="9" t="n">
        <v>0</v>
      </c>
      <c r="ZG296" s="9" t="n">
        <v>0</v>
      </c>
      <c r="ZH296" s="9" t="n">
        <v>0</v>
      </c>
      <c r="ZL296" s="10" t="n">
        <v>46272</v>
      </c>
      <c r="ZN296" s="9" t="n">
        <v>0</v>
      </c>
      <c r="ZP296" s="9" t="n">
        <v>0</v>
      </c>
      <c r="ZQ296" s="9" t="n">
        <v>0</v>
      </c>
      <c r="ZU296" s="10" t="n">
        <v>46272</v>
      </c>
      <c r="ZW296" s="9" t="n">
        <v>0</v>
      </c>
      <c r="ZY296" s="9" t="n">
        <v>0</v>
      </c>
      <c r="ZZ296" s="9" t="n">
        <v>0</v>
      </c>
      <c r="AAD296" s="10" t="n">
        <v>46272</v>
      </c>
      <c r="AAF296" s="9" t="n">
        <v>0</v>
      </c>
      <c r="AAH296" s="9" t="n">
        <v>0</v>
      </c>
      <c r="AAI296" s="9" t="n">
        <v>0</v>
      </c>
      <c r="AAM296" s="10" t="n">
        <v>46272</v>
      </c>
      <c r="AAO296" s="9" t="n">
        <v>0</v>
      </c>
      <c r="AAQ296" s="9" t="n">
        <v>0</v>
      </c>
      <c r="AAR296" s="9" t="n">
        <v>0</v>
      </c>
      <c r="AAV296" s="10" t="n">
        <v>46272</v>
      </c>
      <c r="AAX296" s="9" t="n">
        <v>0</v>
      </c>
      <c r="AAZ296" s="9" t="n">
        <v>0</v>
      </c>
      <c r="ABA296" s="9" t="n">
        <v>0</v>
      </c>
      <c r="ABE296" s="10" t="n">
        <v>46272</v>
      </c>
      <c r="ABG296" s="9" t="n">
        <v>0</v>
      </c>
      <c r="ABI296" s="9" t="n">
        <v>0</v>
      </c>
      <c r="ABJ296" s="9" t="n">
        <v>0</v>
      </c>
    </row>
    <row r="297">
      <c r="C297" s="10" t="n">
        <v>46273</v>
      </c>
      <c r="E297" s="9" t="n">
        <v>0</v>
      </c>
      <c r="G297" s="9" t="n">
        <v>0</v>
      </c>
      <c r="H297" s="9" t="n">
        <v>236936.6</v>
      </c>
      <c r="L297" s="10" t="n">
        <v>46273</v>
      </c>
      <c r="N297" s="9" t="n">
        <v>0</v>
      </c>
      <c r="P297" s="9" t="n">
        <v>0</v>
      </c>
      <c r="Q297" s="9" t="n">
        <v>53017.60000000007</v>
      </c>
      <c r="U297" s="10" t="n">
        <v>46273</v>
      </c>
      <c r="W297" s="9" t="n">
        <v>0</v>
      </c>
      <c r="Y297" s="9" t="n">
        <v>0</v>
      </c>
      <c r="Z297" s="9" t="n">
        <v>42674.19999999997</v>
      </c>
      <c r="AD297" s="10" t="n">
        <v>46273</v>
      </c>
      <c r="AF297" s="9" t="n">
        <v>0</v>
      </c>
      <c r="AH297" s="9" t="n">
        <v>0</v>
      </c>
      <c r="AI297" s="9" t="n">
        <v>4522.200000000019</v>
      </c>
      <c r="AM297" s="10" t="n">
        <v>46273</v>
      </c>
      <c r="AO297" s="9" t="n">
        <v>0</v>
      </c>
      <c r="AQ297" s="9" t="n">
        <v>0</v>
      </c>
      <c r="AR297" s="9" t="n">
        <v>0</v>
      </c>
      <c r="AV297" s="10" t="n">
        <v>46273</v>
      </c>
      <c r="AX297" s="9" t="n">
        <v>0</v>
      </c>
      <c r="AZ297" s="9" t="n">
        <v>0</v>
      </c>
      <c r="BA297" s="9" t="n">
        <v>124.9999999999952</v>
      </c>
      <c r="BE297" s="10" t="n">
        <v>46273</v>
      </c>
      <c r="BG297" s="9" t="n">
        <v>0</v>
      </c>
      <c r="BI297" s="9" t="n">
        <v>0</v>
      </c>
      <c r="BJ297" s="9" t="n">
        <v>26151.9</v>
      </c>
      <c r="BN297" s="10" t="n">
        <v>46273</v>
      </c>
      <c r="BP297" s="9" t="n">
        <v>0</v>
      </c>
      <c r="BR297" s="9" t="n">
        <v>0</v>
      </c>
      <c r="BS297" s="9" t="n">
        <v>0</v>
      </c>
      <c r="BW297" s="10" t="n">
        <v>46273</v>
      </c>
      <c r="BY297" s="9" t="n">
        <v>0</v>
      </c>
      <c r="CA297" s="9" t="n">
        <v>0</v>
      </c>
      <c r="CB297" s="9" t="n">
        <v>2097.339999999999</v>
      </c>
      <c r="CF297" s="10" t="n">
        <v>46273</v>
      </c>
      <c r="CH297" s="9" t="n">
        <v>0</v>
      </c>
      <c r="CJ297" s="9" t="n">
        <v>0</v>
      </c>
      <c r="CK297" s="9" t="n">
        <v>-10277.08</v>
      </c>
      <c r="CO297" s="10" t="n">
        <v>46273</v>
      </c>
      <c r="CQ297" s="9" t="n">
        <v>0</v>
      </c>
      <c r="CS297" s="9" t="n">
        <v>0</v>
      </c>
      <c r="CT297" s="9" t="n">
        <v>0</v>
      </c>
      <c r="CX297" s="10" t="n">
        <v>46273</v>
      </c>
      <c r="CZ297" s="9" t="n">
        <v>0</v>
      </c>
      <c r="DB297" s="9" t="n">
        <v>0</v>
      </c>
      <c r="DC297" s="9" t="n">
        <v>27438.20000000001</v>
      </c>
      <c r="DG297" s="10" t="n">
        <v>46273</v>
      </c>
      <c r="DI297" s="9" t="n">
        <v>0</v>
      </c>
      <c r="DK297" s="9" t="n">
        <v>0</v>
      </c>
      <c r="DL297" s="9" t="n">
        <v>18782.29999999998</v>
      </c>
      <c r="DP297" s="10" t="n">
        <v>46273</v>
      </c>
      <c r="DR297" s="9" t="n">
        <v>0</v>
      </c>
      <c r="DT297" s="9" t="n">
        <v>0</v>
      </c>
      <c r="DU297" s="9" t="n">
        <v>5800</v>
      </c>
      <c r="DY297" s="10" t="n">
        <v>46273</v>
      </c>
      <c r="EA297" s="9" t="n">
        <v>0</v>
      </c>
      <c r="EC297" s="9" t="n">
        <v>0</v>
      </c>
      <c r="ED297" s="9" t="n">
        <v>0</v>
      </c>
      <c r="EH297" s="10" t="n">
        <v>46273</v>
      </c>
      <c r="EJ297" s="9" t="n">
        <v>0</v>
      </c>
      <c r="EL297" s="9" t="n">
        <v>0</v>
      </c>
      <c r="EM297" s="9" t="n">
        <v>0</v>
      </c>
      <c r="EQ297" s="10" t="n">
        <v>46273</v>
      </c>
      <c r="ES297" s="9" t="n">
        <v>0</v>
      </c>
      <c r="EU297" s="9" t="n">
        <v>0</v>
      </c>
      <c r="EV297" s="9" t="n">
        <v>0</v>
      </c>
      <c r="EZ297" s="10" t="n">
        <v>46273</v>
      </c>
      <c r="FB297" s="9" t="n">
        <v>0</v>
      </c>
      <c r="FD297" s="9" t="n">
        <v>0</v>
      </c>
      <c r="FE297" s="9" t="n">
        <v>0</v>
      </c>
      <c r="FI297" s="10" t="n">
        <v>46273</v>
      </c>
      <c r="FK297" s="9" t="n">
        <v>0</v>
      </c>
      <c r="FM297" s="9" t="n">
        <v>0</v>
      </c>
      <c r="FN297" s="9" t="n">
        <v>0</v>
      </c>
      <c r="FR297" s="10" t="n">
        <v>46273</v>
      </c>
      <c r="FT297" s="9" t="n">
        <v>0</v>
      </c>
      <c r="FV297" s="9" t="n">
        <v>0</v>
      </c>
      <c r="FW297" s="9" t="n">
        <v>2020</v>
      </c>
      <c r="GA297" s="10" t="n">
        <v>46273</v>
      </c>
      <c r="GC297" s="9" t="n">
        <v>0</v>
      </c>
      <c r="GE297" s="9" t="n">
        <v>0</v>
      </c>
      <c r="GF297" s="9" t="n">
        <v>960</v>
      </c>
      <c r="GJ297" s="10" t="n">
        <v>46273</v>
      </c>
      <c r="GL297" s="9" t="n">
        <v>0</v>
      </c>
      <c r="GN297" s="9" t="n">
        <v>0</v>
      </c>
      <c r="GO297" s="9" t="n">
        <v>1760</v>
      </c>
      <c r="GS297" s="10" t="n">
        <v>46273</v>
      </c>
      <c r="GU297" s="9" t="n">
        <v>0</v>
      </c>
      <c r="GW297" s="9" t="n">
        <v>0</v>
      </c>
      <c r="GX297" s="9" t="n">
        <v>400</v>
      </c>
      <c r="HB297" s="10" t="n">
        <v>46273</v>
      </c>
      <c r="HD297" s="9" t="n">
        <v>0</v>
      </c>
      <c r="HF297" s="9" t="n">
        <v>0</v>
      </c>
      <c r="HG297" s="9" t="n">
        <v>3600</v>
      </c>
      <c r="HK297" s="10" t="n">
        <v>46273</v>
      </c>
      <c r="HM297" s="9" t="n">
        <v>0</v>
      </c>
      <c r="HO297" s="9" t="n">
        <v>0</v>
      </c>
      <c r="HP297" s="9" t="n">
        <v>0</v>
      </c>
      <c r="HU297" s="10" t="n">
        <v>46273</v>
      </c>
      <c r="HW297" s="9" t="n">
        <v>0</v>
      </c>
      <c r="HY297" s="9" t="n">
        <v>0</v>
      </c>
      <c r="HZ297" s="9" t="n">
        <v>6120</v>
      </c>
      <c r="ID297" s="10" t="n">
        <v>46273</v>
      </c>
      <c r="IF297" s="9" t="n">
        <v>0</v>
      </c>
      <c r="IH297" s="9" t="n">
        <v>0</v>
      </c>
      <c r="II297" s="9" t="n">
        <v>0</v>
      </c>
      <c r="IM297" s="10" t="n">
        <v>46273</v>
      </c>
      <c r="IO297" s="9" t="n">
        <v>0</v>
      </c>
      <c r="IQ297" s="9" t="n">
        <v>0</v>
      </c>
      <c r="IR297" s="9" t="n">
        <v>0</v>
      </c>
      <c r="IV297" s="10" t="n">
        <v>46273</v>
      </c>
      <c r="IX297" s="9" t="n">
        <v>0</v>
      </c>
      <c r="IZ297" s="9" t="n">
        <v>0</v>
      </c>
      <c r="JA297" s="9" t="n">
        <v>2820</v>
      </c>
      <c r="JE297" s="10" t="n">
        <v>46273</v>
      </c>
      <c r="JG297" s="9" t="n">
        <v>0</v>
      </c>
      <c r="JI297" s="9" t="n">
        <v>0</v>
      </c>
      <c r="JJ297" s="9" t="n">
        <v>0</v>
      </c>
      <c r="JN297" s="10" t="n">
        <v>46273</v>
      </c>
      <c r="JP297" s="9" t="n">
        <v>0</v>
      </c>
      <c r="JR297" s="9" t="n">
        <v>0</v>
      </c>
      <c r="JS297" s="9" t="n">
        <v>0</v>
      </c>
      <c r="JW297" s="10" t="n">
        <v>46273</v>
      </c>
      <c r="JY297" s="9" t="n">
        <v>0</v>
      </c>
      <c r="KA297" s="9" t="n">
        <v>0</v>
      </c>
      <c r="KB297" s="9" t="n">
        <v>2540</v>
      </c>
      <c r="KF297" s="10" t="n">
        <v>46273</v>
      </c>
      <c r="KH297" s="9" t="n">
        <v>0</v>
      </c>
      <c r="KJ297" s="9" t="n">
        <v>0</v>
      </c>
      <c r="KK297" s="9" t="n">
        <v>2359.5</v>
      </c>
      <c r="KO297" s="10" t="n">
        <v>46273</v>
      </c>
      <c r="KQ297" s="9" t="n">
        <v>0</v>
      </c>
      <c r="KS297" s="9" t="n">
        <v>0</v>
      </c>
      <c r="KT297" s="9" t="n">
        <v>1890</v>
      </c>
      <c r="KX297" s="10" t="n">
        <v>46273</v>
      </c>
      <c r="KZ297" s="9" t="n">
        <v>0</v>
      </c>
      <c r="LB297" s="9" t="n">
        <v>0</v>
      </c>
      <c r="LC297" s="9" t="n">
        <v>3690</v>
      </c>
      <c r="LG297" s="10" t="n">
        <v>46273</v>
      </c>
      <c r="LI297" s="9" t="n">
        <v>0</v>
      </c>
      <c r="LK297" s="9" t="n">
        <v>0</v>
      </c>
      <c r="LL297" s="9" t="n">
        <v>4000</v>
      </c>
      <c r="LP297" s="10" t="n">
        <v>46273</v>
      </c>
      <c r="LR297" s="9" t="n">
        <v>0</v>
      </c>
      <c r="LT297" s="9" t="n">
        <v>0</v>
      </c>
      <c r="LU297" s="9" t="n">
        <v>0</v>
      </c>
      <c r="LY297" s="10" t="n">
        <v>46273</v>
      </c>
      <c r="MA297" s="9" t="n">
        <v>0</v>
      </c>
      <c r="MC297" s="9" t="n">
        <v>0</v>
      </c>
      <c r="MD297" s="9" t="n">
        <v>0</v>
      </c>
      <c r="MH297" s="10" t="n">
        <v>46273</v>
      </c>
      <c r="MJ297" s="9" t="n">
        <v>0</v>
      </c>
      <c r="ML297" s="9" t="n">
        <v>0</v>
      </c>
      <c r="MM297" s="9" t="n">
        <v>0</v>
      </c>
      <c r="MQ297" s="10" t="n">
        <v>46273</v>
      </c>
      <c r="MS297" s="9" t="n">
        <v>0</v>
      </c>
      <c r="MU297" s="9" t="n">
        <v>0</v>
      </c>
      <c r="MV297" s="9" t="n">
        <v>1625</v>
      </c>
      <c r="MZ297" s="10" t="n">
        <v>46273</v>
      </c>
      <c r="NB297" s="9" t="n">
        <v>0</v>
      </c>
      <c r="ND297" s="9" t="n">
        <v>0</v>
      </c>
      <c r="NE297" s="9" t="n">
        <v>0</v>
      </c>
      <c r="NI297" s="10" t="n">
        <v>46273</v>
      </c>
      <c r="NK297" s="9" t="n">
        <v>0</v>
      </c>
      <c r="NM297" s="9" t="n">
        <v>0</v>
      </c>
      <c r="NN297" s="9" t="n">
        <v>1127</v>
      </c>
      <c r="NR297" s="10" t="n">
        <v>46273</v>
      </c>
      <c r="NT297" s="9" t="n">
        <v>0</v>
      </c>
      <c r="NV297" s="9" t="n">
        <v>0</v>
      </c>
      <c r="NW297" s="9" t="n">
        <v>3112</v>
      </c>
      <c r="OA297" s="10" t="n">
        <v>46273</v>
      </c>
      <c r="OC297" s="9" t="n">
        <v>0</v>
      </c>
      <c r="OE297" s="9" t="n">
        <v>0</v>
      </c>
      <c r="OF297" s="9" t="n">
        <v>1680.5</v>
      </c>
      <c r="OJ297" s="10" t="n">
        <v>46273</v>
      </c>
      <c r="OL297" s="9" t="n">
        <v>0</v>
      </c>
      <c r="ON297" s="9" t="n">
        <v>0</v>
      </c>
      <c r="OO297" s="9" t="n">
        <v>0</v>
      </c>
      <c r="OS297" s="10" t="n">
        <v>46273</v>
      </c>
      <c r="OU297" s="9" t="n">
        <v>0</v>
      </c>
      <c r="OW297" s="9" t="n">
        <v>0</v>
      </c>
      <c r="OX297" s="9" t="n">
        <v>1482</v>
      </c>
      <c r="PB297" s="10" t="n">
        <v>46273</v>
      </c>
      <c r="PD297" s="9" t="n">
        <v>0</v>
      </c>
      <c r="PF297" s="9" t="n">
        <v>0</v>
      </c>
      <c r="PG297" s="9" t="n">
        <v>0</v>
      </c>
      <c r="PK297" s="10" t="n">
        <v>46273</v>
      </c>
      <c r="PM297" s="9" t="n">
        <v>0</v>
      </c>
      <c r="PO297" s="9" t="n">
        <v>0</v>
      </c>
      <c r="PP297" s="9" t="n">
        <v>100</v>
      </c>
      <c r="PT297" s="10" t="n">
        <v>46273</v>
      </c>
      <c r="PV297" s="9" t="n">
        <v>0</v>
      </c>
      <c r="PX297" s="9" t="n">
        <v>0</v>
      </c>
      <c r="PY297" s="9" t="n">
        <v>13.96000000000004</v>
      </c>
      <c r="QC297" s="10" t="n">
        <v>46273</v>
      </c>
      <c r="QE297" s="9" t="n">
        <v>0</v>
      </c>
      <c r="QG297" s="9" t="n">
        <v>0</v>
      </c>
      <c r="QH297" s="9" t="n">
        <v>548</v>
      </c>
      <c r="QL297" s="10" t="n">
        <v>46273</v>
      </c>
      <c r="QN297" s="9" t="n">
        <v>0</v>
      </c>
      <c r="QP297" s="9" t="n">
        <v>0</v>
      </c>
      <c r="QQ297" s="9" t="n">
        <v>0</v>
      </c>
      <c r="QU297" s="10" t="n">
        <v>46273</v>
      </c>
      <c r="QW297" s="9" t="n">
        <v>0</v>
      </c>
      <c r="QY297" s="9" t="n">
        <v>0</v>
      </c>
      <c r="QZ297" s="9" t="n">
        <v>0</v>
      </c>
      <c r="RD297" s="10" t="n">
        <v>46273</v>
      </c>
      <c r="RF297" s="9" t="n">
        <v>0</v>
      </c>
      <c r="RH297" s="9" t="n">
        <v>0</v>
      </c>
      <c r="RI297" s="9" t="n">
        <v>147.04</v>
      </c>
      <c r="RM297" s="10" t="n">
        <v>46273</v>
      </c>
      <c r="RO297" s="9" t="n">
        <v>0</v>
      </c>
      <c r="RQ297" s="9" t="n">
        <v>0</v>
      </c>
      <c r="RR297" s="9" t="n">
        <v>46.8</v>
      </c>
      <c r="RV297" s="10" t="n">
        <v>46273</v>
      </c>
      <c r="RX297" s="9" t="n">
        <v>0</v>
      </c>
      <c r="RZ297" s="9" t="n">
        <v>0</v>
      </c>
      <c r="SA297" s="9" t="n">
        <v>0</v>
      </c>
      <c r="SE297" s="10" t="n">
        <v>46273</v>
      </c>
      <c r="SG297" s="9" t="n">
        <v>0</v>
      </c>
      <c r="SI297" s="9" t="n">
        <v>0</v>
      </c>
      <c r="SJ297" s="9" t="n">
        <v>24.2</v>
      </c>
      <c r="SN297" s="10" t="n">
        <v>46273</v>
      </c>
      <c r="SP297" s="9" t="n">
        <v>0</v>
      </c>
      <c r="SR297" s="9" t="n">
        <v>0</v>
      </c>
      <c r="SS297" s="9" t="n">
        <v>32</v>
      </c>
      <c r="SW297" s="10" t="n">
        <v>46273</v>
      </c>
      <c r="SY297" s="9" t="n">
        <v>0</v>
      </c>
      <c r="TA297" s="9" t="n">
        <v>0</v>
      </c>
      <c r="TB297" s="9" t="n">
        <v>0</v>
      </c>
      <c r="TF297" s="10" t="n">
        <v>46273</v>
      </c>
      <c r="TH297" s="9" t="n">
        <v>0</v>
      </c>
      <c r="TJ297" s="9" t="n">
        <v>0</v>
      </c>
      <c r="TK297" s="9" t="n">
        <v>0</v>
      </c>
      <c r="TO297" s="10" t="n">
        <v>46273</v>
      </c>
      <c r="TQ297" s="9" t="n">
        <v>0</v>
      </c>
      <c r="TS297" s="9" t="n">
        <v>0</v>
      </c>
      <c r="TT297" s="9" t="n">
        <v>0</v>
      </c>
      <c r="TX297" s="10" t="n">
        <v>46273</v>
      </c>
      <c r="TZ297" s="9" t="n">
        <v>0</v>
      </c>
      <c r="UB297" s="9" t="n">
        <v>0</v>
      </c>
      <c r="UC297" s="9" t="n">
        <v>46.79999999999998</v>
      </c>
      <c r="UG297" s="10" t="n">
        <v>46273</v>
      </c>
      <c r="UI297" s="9" t="n">
        <v>0</v>
      </c>
      <c r="UK297" s="9" t="n">
        <v>0</v>
      </c>
      <c r="UL297" s="9" t="n">
        <v>204</v>
      </c>
      <c r="UP297" s="10" t="n">
        <v>46273</v>
      </c>
      <c r="UR297" s="9" t="n">
        <v>0</v>
      </c>
      <c r="UT297" s="9" t="n">
        <v>0</v>
      </c>
      <c r="UU297" s="9" t="n">
        <v>202.5</v>
      </c>
      <c r="UY297" s="10" t="n">
        <v>46273</v>
      </c>
      <c r="VA297" s="9" t="n">
        <v>0</v>
      </c>
      <c r="VC297" s="9" t="n">
        <v>0</v>
      </c>
      <c r="VD297" s="9" t="n">
        <v>41.60000000000002</v>
      </c>
      <c r="VH297" s="10" t="n">
        <v>46273</v>
      </c>
      <c r="VJ297" s="9" t="n">
        <v>0</v>
      </c>
      <c r="VL297" s="9" t="n">
        <v>0</v>
      </c>
      <c r="VM297" s="9" t="n">
        <v>210</v>
      </c>
      <c r="VQ297" s="10" t="n">
        <v>46273</v>
      </c>
      <c r="VS297" s="9" t="n">
        <v>0</v>
      </c>
      <c r="VU297" s="9" t="n">
        <v>0</v>
      </c>
      <c r="VV297" s="9" t="n">
        <v>0</v>
      </c>
      <c r="VZ297" s="10" t="n">
        <v>46273</v>
      </c>
      <c r="WB297" s="9" t="n">
        <v>0</v>
      </c>
      <c r="WD297" s="9" t="n">
        <v>0</v>
      </c>
      <c r="WE297" s="9" t="n">
        <v>0</v>
      </c>
      <c r="WI297" s="10" t="n">
        <v>46273</v>
      </c>
      <c r="WK297" s="9" t="n">
        <v>0</v>
      </c>
      <c r="WM297" s="9" t="n">
        <v>0</v>
      </c>
      <c r="WN297" s="9" t="n">
        <v>1057</v>
      </c>
      <c r="WR297" s="10" t="n">
        <v>46273</v>
      </c>
      <c r="WT297" s="9" t="n">
        <v>0</v>
      </c>
      <c r="WV297" s="9" t="n">
        <v>0</v>
      </c>
      <c r="WW297" s="9" t="n">
        <v>0</v>
      </c>
      <c r="XA297" s="10" t="n">
        <v>46273</v>
      </c>
      <c r="XC297" s="9" t="n">
        <v>0</v>
      </c>
      <c r="XE297" s="9" t="n">
        <v>0</v>
      </c>
      <c r="XF297" s="9" t="n">
        <v>7507</v>
      </c>
      <c r="XJ297" s="10" t="n">
        <v>46273</v>
      </c>
      <c r="XL297" s="9" t="n">
        <v>0</v>
      </c>
      <c r="XN297" s="9" t="n">
        <v>0</v>
      </c>
      <c r="XO297" s="9" t="n">
        <v>4252</v>
      </c>
      <c r="XS297" s="10" t="n">
        <v>46273</v>
      </c>
      <c r="XU297" s="9" t="n">
        <v>0</v>
      </c>
      <c r="XW297" s="9" t="n">
        <v>0</v>
      </c>
      <c r="XX297" s="9" t="n">
        <v>2179</v>
      </c>
      <c r="YB297" s="10" t="n">
        <v>46273</v>
      </c>
      <c r="YD297" s="9" t="n">
        <v>0</v>
      </c>
      <c r="YF297" s="9" t="n">
        <v>0</v>
      </c>
      <c r="YG297" s="9" t="n">
        <v>4019</v>
      </c>
      <c r="YK297" s="10" t="n">
        <v>46273</v>
      </c>
      <c r="YM297" s="9" t="n">
        <v>0</v>
      </c>
      <c r="YO297" s="9" t="n">
        <v>0</v>
      </c>
      <c r="YP297" s="9" t="n">
        <v>-218</v>
      </c>
      <c r="YT297" s="10" t="n">
        <v>46273</v>
      </c>
      <c r="YV297" s="9" t="n">
        <v>0</v>
      </c>
      <c r="YX297" s="9" t="n">
        <v>0</v>
      </c>
      <c r="YY297" s="9" t="n">
        <v>0</v>
      </c>
      <c r="ZC297" s="10" t="n">
        <v>46273</v>
      </c>
      <c r="ZE297" s="9" t="n">
        <v>0</v>
      </c>
      <c r="ZG297" s="9" t="n">
        <v>0</v>
      </c>
      <c r="ZH297" s="9" t="n">
        <v>0</v>
      </c>
      <c r="ZL297" s="10" t="n">
        <v>46273</v>
      </c>
      <c r="ZN297" s="9" t="n">
        <v>0</v>
      </c>
      <c r="ZP297" s="9" t="n">
        <v>0</v>
      </c>
      <c r="ZQ297" s="9" t="n">
        <v>0</v>
      </c>
      <c r="ZU297" s="10" t="n">
        <v>46273</v>
      </c>
      <c r="ZW297" s="9" t="n">
        <v>0</v>
      </c>
      <c r="ZY297" s="9" t="n">
        <v>0</v>
      </c>
      <c r="ZZ297" s="9" t="n">
        <v>0</v>
      </c>
      <c r="AAD297" s="10" t="n">
        <v>46273</v>
      </c>
      <c r="AAF297" s="9" t="n">
        <v>0</v>
      </c>
      <c r="AAH297" s="9" t="n">
        <v>0</v>
      </c>
      <c r="AAI297" s="9" t="n">
        <v>0</v>
      </c>
      <c r="AAM297" s="10" t="n">
        <v>46273</v>
      </c>
      <c r="AAO297" s="9" t="n">
        <v>0</v>
      </c>
      <c r="AAQ297" s="9" t="n">
        <v>0</v>
      </c>
      <c r="AAR297" s="9" t="n">
        <v>0</v>
      </c>
      <c r="AAV297" s="10" t="n">
        <v>46273</v>
      </c>
      <c r="AAX297" s="9" t="n">
        <v>0</v>
      </c>
      <c r="AAZ297" s="9" t="n">
        <v>0</v>
      </c>
      <c r="ABA297" s="9" t="n">
        <v>0</v>
      </c>
      <c r="ABE297" s="10" t="n">
        <v>46273</v>
      </c>
      <c r="ABG297" s="9" t="n">
        <v>0</v>
      </c>
      <c r="ABI297" s="9" t="n">
        <v>0</v>
      </c>
      <c r="ABJ297" s="9" t="n">
        <v>0</v>
      </c>
    </row>
    <row r="298">
      <c r="C298" s="10" t="n">
        <v>46274</v>
      </c>
      <c r="E298" s="9" t="n">
        <v>0</v>
      </c>
      <c r="G298" s="9" t="n">
        <v>0</v>
      </c>
      <c r="H298" s="9" t="n">
        <v>236936.6</v>
      </c>
      <c r="L298" s="10" t="n">
        <v>46274</v>
      </c>
      <c r="N298" s="9" t="n">
        <v>0</v>
      </c>
      <c r="P298" s="9" t="n">
        <v>0</v>
      </c>
      <c r="Q298" s="9" t="n">
        <v>53017.60000000007</v>
      </c>
      <c r="U298" s="10" t="n">
        <v>46274</v>
      </c>
      <c r="W298" s="9" t="n">
        <v>0</v>
      </c>
      <c r="Y298" s="9" t="n">
        <v>0</v>
      </c>
      <c r="Z298" s="9" t="n">
        <v>42674.19999999997</v>
      </c>
      <c r="AD298" s="10" t="n">
        <v>46274</v>
      </c>
      <c r="AF298" s="9" t="n">
        <v>0</v>
      </c>
      <c r="AH298" s="9" t="n">
        <v>0</v>
      </c>
      <c r="AI298" s="9" t="n">
        <v>4522.200000000019</v>
      </c>
      <c r="AM298" s="10" t="n">
        <v>46274</v>
      </c>
      <c r="AO298" s="9" t="n">
        <v>0</v>
      </c>
      <c r="AQ298" s="9" t="n">
        <v>0</v>
      </c>
      <c r="AR298" s="9" t="n">
        <v>0</v>
      </c>
      <c r="AV298" s="10" t="n">
        <v>46274</v>
      </c>
      <c r="AX298" s="9" t="n">
        <v>0</v>
      </c>
      <c r="AZ298" s="9" t="n">
        <v>0</v>
      </c>
      <c r="BA298" s="9" t="n">
        <v>124.9999999999952</v>
      </c>
      <c r="BE298" s="10" t="n">
        <v>46274</v>
      </c>
      <c r="BG298" s="9" t="n">
        <v>0</v>
      </c>
      <c r="BI298" s="9" t="n">
        <v>0</v>
      </c>
      <c r="BJ298" s="9" t="n">
        <v>26151.9</v>
      </c>
      <c r="BN298" s="10" t="n">
        <v>46274</v>
      </c>
      <c r="BP298" s="9" t="n">
        <v>0</v>
      </c>
      <c r="BR298" s="9" t="n">
        <v>0</v>
      </c>
      <c r="BS298" s="9" t="n">
        <v>0</v>
      </c>
      <c r="BW298" s="10" t="n">
        <v>46274</v>
      </c>
      <c r="BY298" s="9" t="n">
        <v>0</v>
      </c>
      <c r="CA298" s="9" t="n">
        <v>0</v>
      </c>
      <c r="CB298" s="9" t="n">
        <v>2097.339999999999</v>
      </c>
      <c r="CF298" s="10" t="n">
        <v>46274</v>
      </c>
      <c r="CH298" s="9" t="n">
        <v>0</v>
      </c>
      <c r="CJ298" s="9" t="n">
        <v>0</v>
      </c>
      <c r="CK298" s="9" t="n">
        <v>-10277.08</v>
      </c>
      <c r="CO298" s="10" t="n">
        <v>46274</v>
      </c>
      <c r="CQ298" s="9" t="n">
        <v>0</v>
      </c>
      <c r="CS298" s="9" t="n">
        <v>0</v>
      </c>
      <c r="CT298" s="9" t="n">
        <v>0</v>
      </c>
      <c r="CX298" s="10" t="n">
        <v>46274</v>
      </c>
      <c r="CZ298" s="9" t="n">
        <v>0</v>
      </c>
      <c r="DB298" s="9" t="n">
        <v>0</v>
      </c>
      <c r="DC298" s="9" t="n">
        <v>27438.20000000001</v>
      </c>
      <c r="DG298" s="10" t="n">
        <v>46274</v>
      </c>
      <c r="DI298" s="9" t="n">
        <v>0</v>
      </c>
      <c r="DK298" s="9" t="n">
        <v>0</v>
      </c>
      <c r="DL298" s="9" t="n">
        <v>18782.29999999998</v>
      </c>
      <c r="DP298" s="10" t="n">
        <v>46274</v>
      </c>
      <c r="DR298" s="9" t="n">
        <v>0</v>
      </c>
      <c r="DT298" s="9" t="n">
        <v>0</v>
      </c>
      <c r="DU298" s="9" t="n">
        <v>5800</v>
      </c>
      <c r="DY298" s="10" t="n">
        <v>46274</v>
      </c>
      <c r="EA298" s="9" t="n">
        <v>0</v>
      </c>
      <c r="EC298" s="9" t="n">
        <v>0</v>
      </c>
      <c r="ED298" s="9" t="n">
        <v>0</v>
      </c>
      <c r="EH298" s="10" t="n">
        <v>46274</v>
      </c>
      <c r="EJ298" s="9" t="n">
        <v>0</v>
      </c>
      <c r="EL298" s="9" t="n">
        <v>0</v>
      </c>
      <c r="EM298" s="9" t="n">
        <v>0</v>
      </c>
      <c r="EQ298" s="10" t="n">
        <v>46274</v>
      </c>
      <c r="ES298" s="9" t="n">
        <v>0</v>
      </c>
      <c r="EU298" s="9" t="n">
        <v>0</v>
      </c>
      <c r="EV298" s="9" t="n">
        <v>0</v>
      </c>
      <c r="EZ298" s="10" t="n">
        <v>46274</v>
      </c>
      <c r="FB298" s="9" t="n">
        <v>0</v>
      </c>
      <c r="FD298" s="9" t="n">
        <v>0</v>
      </c>
      <c r="FE298" s="9" t="n">
        <v>0</v>
      </c>
      <c r="FI298" s="10" t="n">
        <v>46274</v>
      </c>
      <c r="FK298" s="9" t="n">
        <v>0</v>
      </c>
      <c r="FM298" s="9" t="n">
        <v>0</v>
      </c>
      <c r="FN298" s="9" t="n">
        <v>0</v>
      </c>
      <c r="FR298" s="10" t="n">
        <v>46274</v>
      </c>
      <c r="FT298" s="9" t="n">
        <v>0</v>
      </c>
      <c r="FV298" s="9" t="n">
        <v>0</v>
      </c>
      <c r="FW298" s="9" t="n">
        <v>2020</v>
      </c>
      <c r="GA298" s="10" t="n">
        <v>46274</v>
      </c>
      <c r="GC298" s="9" t="n">
        <v>0</v>
      </c>
      <c r="GE298" s="9" t="n">
        <v>0</v>
      </c>
      <c r="GF298" s="9" t="n">
        <v>960</v>
      </c>
      <c r="GJ298" s="10" t="n">
        <v>46274</v>
      </c>
      <c r="GL298" s="9" t="n">
        <v>0</v>
      </c>
      <c r="GN298" s="9" t="n">
        <v>0</v>
      </c>
      <c r="GO298" s="9" t="n">
        <v>1760</v>
      </c>
      <c r="GS298" s="10" t="n">
        <v>46274</v>
      </c>
      <c r="GU298" s="9" t="n">
        <v>0</v>
      </c>
      <c r="GW298" s="9" t="n">
        <v>0</v>
      </c>
      <c r="GX298" s="9" t="n">
        <v>400</v>
      </c>
      <c r="HB298" s="10" t="n">
        <v>46274</v>
      </c>
      <c r="HD298" s="9" t="n">
        <v>0</v>
      </c>
      <c r="HF298" s="9" t="n">
        <v>0</v>
      </c>
      <c r="HG298" s="9" t="n">
        <v>3600</v>
      </c>
      <c r="HK298" s="10" t="n">
        <v>46274</v>
      </c>
      <c r="HM298" s="9" t="n">
        <v>0</v>
      </c>
      <c r="HO298" s="9" t="n">
        <v>0</v>
      </c>
      <c r="HP298" s="9" t="n">
        <v>0</v>
      </c>
      <c r="HU298" s="10" t="n">
        <v>46274</v>
      </c>
      <c r="HW298" s="9" t="n">
        <v>0</v>
      </c>
      <c r="HY298" s="9" t="n">
        <v>0</v>
      </c>
      <c r="HZ298" s="9" t="n">
        <v>6120</v>
      </c>
      <c r="ID298" s="10" t="n">
        <v>46274</v>
      </c>
      <c r="IF298" s="9" t="n">
        <v>0</v>
      </c>
      <c r="IH298" s="9" t="n">
        <v>0</v>
      </c>
      <c r="II298" s="9" t="n">
        <v>0</v>
      </c>
      <c r="IM298" s="10" t="n">
        <v>46274</v>
      </c>
      <c r="IO298" s="9" t="n">
        <v>0</v>
      </c>
      <c r="IQ298" s="9" t="n">
        <v>0</v>
      </c>
      <c r="IR298" s="9" t="n">
        <v>0</v>
      </c>
      <c r="IV298" s="10" t="n">
        <v>46274</v>
      </c>
      <c r="IX298" s="9" t="n">
        <v>0</v>
      </c>
      <c r="IZ298" s="9" t="n">
        <v>0</v>
      </c>
      <c r="JA298" s="9" t="n">
        <v>2820</v>
      </c>
      <c r="JE298" s="10" t="n">
        <v>46274</v>
      </c>
      <c r="JG298" s="9" t="n">
        <v>0</v>
      </c>
      <c r="JI298" s="9" t="n">
        <v>0</v>
      </c>
      <c r="JJ298" s="9" t="n">
        <v>0</v>
      </c>
      <c r="JN298" s="10" t="n">
        <v>46274</v>
      </c>
      <c r="JP298" s="9" t="n">
        <v>0</v>
      </c>
      <c r="JR298" s="9" t="n">
        <v>0</v>
      </c>
      <c r="JS298" s="9" t="n">
        <v>0</v>
      </c>
      <c r="JW298" s="10" t="n">
        <v>46274</v>
      </c>
      <c r="JY298" s="9" t="n">
        <v>0</v>
      </c>
      <c r="KA298" s="9" t="n">
        <v>0</v>
      </c>
      <c r="KB298" s="9" t="n">
        <v>2540</v>
      </c>
      <c r="KF298" s="10" t="n">
        <v>46274</v>
      </c>
      <c r="KH298" s="9" t="n">
        <v>0</v>
      </c>
      <c r="KJ298" s="9" t="n">
        <v>0</v>
      </c>
      <c r="KK298" s="9" t="n">
        <v>2359.5</v>
      </c>
      <c r="KO298" s="10" t="n">
        <v>46274</v>
      </c>
      <c r="KQ298" s="9" t="n">
        <v>0</v>
      </c>
      <c r="KS298" s="9" t="n">
        <v>0</v>
      </c>
      <c r="KT298" s="9" t="n">
        <v>1890</v>
      </c>
      <c r="KX298" s="10" t="n">
        <v>46274</v>
      </c>
      <c r="KZ298" s="9" t="n">
        <v>0</v>
      </c>
      <c r="LB298" s="9" t="n">
        <v>0</v>
      </c>
      <c r="LC298" s="9" t="n">
        <v>3690</v>
      </c>
      <c r="LG298" s="10" t="n">
        <v>46274</v>
      </c>
      <c r="LI298" s="9" t="n">
        <v>0</v>
      </c>
      <c r="LK298" s="9" t="n">
        <v>0</v>
      </c>
      <c r="LL298" s="9" t="n">
        <v>4000</v>
      </c>
      <c r="LP298" s="10" t="n">
        <v>46274</v>
      </c>
      <c r="LR298" s="9" t="n">
        <v>0</v>
      </c>
      <c r="LT298" s="9" t="n">
        <v>0</v>
      </c>
      <c r="LU298" s="9" t="n">
        <v>0</v>
      </c>
      <c r="LY298" s="10" t="n">
        <v>46274</v>
      </c>
      <c r="MA298" s="9" t="n">
        <v>0</v>
      </c>
      <c r="MC298" s="9" t="n">
        <v>0</v>
      </c>
      <c r="MD298" s="9" t="n">
        <v>0</v>
      </c>
      <c r="MH298" s="10" t="n">
        <v>46274</v>
      </c>
      <c r="MJ298" s="9" t="n">
        <v>0</v>
      </c>
      <c r="ML298" s="9" t="n">
        <v>0</v>
      </c>
      <c r="MM298" s="9" t="n">
        <v>0</v>
      </c>
      <c r="MQ298" s="10" t="n">
        <v>46274</v>
      </c>
      <c r="MS298" s="9" t="n">
        <v>0</v>
      </c>
      <c r="MU298" s="9" t="n">
        <v>0</v>
      </c>
      <c r="MV298" s="9" t="n">
        <v>1625</v>
      </c>
      <c r="MZ298" s="10" t="n">
        <v>46274</v>
      </c>
      <c r="NB298" s="9" t="n">
        <v>0</v>
      </c>
      <c r="ND298" s="9" t="n">
        <v>0</v>
      </c>
      <c r="NE298" s="9" t="n">
        <v>0</v>
      </c>
      <c r="NI298" s="10" t="n">
        <v>46274</v>
      </c>
      <c r="NK298" s="9" t="n">
        <v>0</v>
      </c>
      <c r="NM298" s="9" t="n">
        <v>0</v>
      </c>
      <c r="NN298" s="9" t="n">
        <v>1127</v>
      </c>
      <c r="NR298" s="10" t="n">
        <v>46274</v>
      </c>
      <c r="NT298" s="9" t="n">
        <v>0</v>
      </c>
      <c r="NV298" s="9" t="n">
        <v>0</v>
      </c>
      <c r="NW298" s="9" t="n">
        <v>3112</v>
      </c>
      <c r="OA298" s="10" t="n">
        <v>46274</v>
      </c>
      <c r="OC298" s="9" t="n">
        <v>0</v>
      </c>
      <c r="OE298" s="9" t="n">
        <v>0</v>
      </c>
      <c r="OF298" s="9" t="n">
        <v>1680.5</v>
      </c>
      <c r="OJ298" s="10" t="n">
        <v>46274</v>
      </c>
      <c r="OL298" s="9" t="n">
        <v>0</v>
      </c>
      <c r="ON298" s="9" t="n">
        <v>0</v>
      </c>
      <c r="OO298" s="9" t="n">
        <v>0</v>
      </c>
      <c r="OS298" s="10" t="n">
        <v>46274</v>
      </c>
      <c r="OU298" s="9" t="n">
        <v>0</v>
      </c>
      <c r="OW298" s="9" t="n">
        <v>0</v>
      </c>
      <c r="OX298" s="9" t="n">
        <v>1482</v>
      </c>
      <c r="PB298" s="10" t="n">
        <v>46274</v>
      </c>
      <c r="PD298" s="9" t="n">
        <v>0</v>
      </c>
      <c r="PF298" s="9" t="n">
        <v>0</v>
      </c>
      <c r="PG298" s="9" t="n">
        <v>0</v>
      </c>
      <c r="PK298" s="10" t="n">
        <v>46274</v>
      </c>
      <c r="PM298" s="9" t="n">
        <v>0</v>
      </c>
      <c r="PO298" s="9" t="n">
        <v>0</v>
      </c>
      <c r="PP298" s="9" t="n">
        <v>100</v>
      </c>
      <c r="PT298" s="10" t="n">
        <v>46274</v>
      </c>
      <c r="PV298" s="9" t="n">
        <v>0</v>
      </c>
      <c r="PX298" s="9" t="n">
        <v>0</v>
      </c>
      <c r="PY298" s="9" t="n">
        <v>13.96000000000004</v>
      </c>
      <c r="QC298" s="10" t="n">
        <v>46274</v>
      </c>
      <c r="QE298" s="9" t="n">
        <v>0</v>
      </c>
      <c r="QG298" s="9" t="n">
        <v>0</v>
      </c>
      <c r="QH298" s="9" t="n">
        <v>548</v>
      </c>
      <c r="QL298" s="10" t="n">
        <v>46274</v>
      </c>
      <c r="QN298" s="9" t="n">
        <v>0</v>
      </c>
      <c r="QP298" s="9" t="n">
        <v>0</v>
      </c>
      <c r="QQ298" s="9" t="n">
        <v>0</v>
      </c>
      <c r="QU298" s="10" t="n">
        <v>46274</v>
      </c>
      <c r="QW298" s="9" t="n">
        <v>0</v>
      </c>
      <c r="QY298" s="9" t="n">
        <v>0</v>
      </c>
      <c r="QZ298" s="9" t="n">
        <v>0</v>
      </c>
      <c r="RD298" s="10" t="n">
        <v>46274</v>
      </c>
      <c r="RF298" s="9" t="n">
        <v>0</v>
      </c>
      <c r="RH298" s="9" t="n">
        <v>0</v>
      </c>
      <c r="RI298" s="9" t="n">
        <v>147.04</v>
      </c>
      <c r="RM298" s="10" t="n">
        <v>46274</v>
      </c>
      <c r="RO298" s="9" t="n">
        <v>0</v>
      </c>
      <c r="RQ298" s="9" t="n">
        <v>0</v>
      </c>
      <c r="RR298" s="9" t="n">
        <v>46.8</v>
      </c>
      <c r="RV298" s="10" t="n">
        <v>46274</v>
      </c>
      <c r="RX298" s="9" t="n">
        <v>0</v>
      </c>
      <c r="RZ298" s="9" t="n">
        <v>0</v>
      </c>
      <c r="SA298" s="9" t="n">
        <v>0</v>
      </c>
      <c r="SE298" s="10" t="n">
        <v>46274</v>
      </c>
      <c r="SG298" s="9" t="n">
        <v>0</v>
      </c>
      <c r="SI298" s="9" t="n">
        <v>0</v>
      </c>
      <c r="SJ298" s="9" t="n">
        <v>24.2</v>
      </c>
      <c r="SN298" s="10" t="n">
        <v>46274</v>
      </c>
      <c r="SP298" s="9" t="n">
        <v>0</v>
      </c>
      <c r="SR298" s="9" t="n">
        <v>0</v>
      </c>
      <c r="SS298" s="9" t="n">
        <v>32</v>
      </c>
      <c r="SW298" s="10" t="n">
        <v>46274</v>
      </c>
      <c r="SY298" s="9" t="n">
        <v>0</v>
      </c>
      <c r="TA298" s="9" t="n">
        <v>0</v>
      </c>
      <c r="TB298" s="9" t="n">
        <v>0</v>
      </c>
      <c r="TF298" s="10" t="n">
        <v>46274</v>
      </c>
      <c r="TH298" s="9" t="n">
        <v>0</v>
      </c>
      <c r="TJ298" s="9" t="n">
        <v>0</v>
      </c>
      <c r="TK298" s="9" t="n">
        <v>0</v>
      </c>
      <c r="TO298" s="10" t="n">
        <v>46274</v>
      </c>
      <c r="TQ298" s="9" t="n">
        <v>0</v>
      </c>
      <c r="TS298" s="9" t="n">
        <v>0</v>
      </c>
      <c r="TT298" s="9" t="n">
        <v>0</v>
      </c>
      <c r="TX298" s="10" t="n">
        <v>46274</v>
      </c>
      <c r="TZ298" s="9" t="n">
        <v>0</v>
      </c>
      <c r="UB298" s="9" t="n">
        <v>0</v>
      </c>
      <c r="UC298" s="9" t="n">
        <v>46.79999999999998</v>
      </c>
      <c r="UG298" s="10" t="n">
        <v>46274</v>
      </c>
      <c r="UI298" s="9" t="n">
        <v>0</v>
      </c>
      <c r="UK298" s="9" t="n">
        <v>0</v>
      </c>
      <c r="UL298" s="9" t="n">
        <v>204</v>
      </c>
      <c r="UP298" s="10" t="n">
        <v>46274</v>
      </c>
      <c r="UR298" s="9" t="n">
        <v>0</v>
      </c>
      <c r="UT298" s="9" t="n">
        <v>0</v>
      </c>
      <c r="UU298" s="9" t="n">
        <v>202.5</v>
      </c>
      <c r="UY298" s="10" t="n">
        <v>46274</v>
      </c>
      <c r="VA298" s="9" t="n">
        <v>0</v>
      </c>
      <c r="VC298" s="9" t="n">
        <v>0</v>
      </c>
      <c r="VD298" s="9" t="n">
        <v>41.60000000000002</v>
      </c>
      <c r="VH298" s="10" t="n">
        <v>46274</v>
      </c>
      <c r="VJ298" s="9" t="n">
        <v>0</v>
      </c>
      <c r="VL298" s="9" t="n">
        <v>0</v>
      </c>
      <c r="VM298" s="9" t="n">
        <v>210</v>
      </c>
      <c r="VQ298" s="10" t="n">
        <v>46274</v>
      </c>
      <c r="VS298" s="9" t="n">
        <v>0</v>
      </c>
      <c r="VU298" s="9" t="n">
        <v>0</v>
      </c>
      <c r="VV298" s="9" t="n">
        <v>0</v>
      </c>
      <c r="VZ298" s="10" t="n">
        <v>46274</v>
      </c>
      <c r="WB298" s="9" t="n">
        <v>0</v>
      </c>
      <c r="WD298" s="9" t="n">
        <v>0</v>
      </c>
      <c r="WE298" s="9" t="n">
        <v>0</v>
      </c>
      <c r="WI298" s="10" t="n">
        <v>46274</v>
      </c>
      <c r="WK298" s="9" t="n">
        <v>0</v>
      </c>
      <c r="WM298" s="9" t="n">
        <v>0</v>
      </c>
      <c r="WN298" s="9" t="n">
        <v>1057</v>
      </c>
      <c r="WR298" s="10" t="n">
        <v>46274</v>
      </c>
      <c r="WT298" s="9" t="n">
        <v>0</v>
      </c>
      <c r="WV298" s="9" t="n">
        <v>0</v>
      </c>
      <c r="WW298" s="9" t="n">
        <v>0</v>
      </c>
      <c r="XA298" s="10" t="n">
        <v>46274</v>
      </c>
      <c r="XC298" s="9" t="n">
        <v>0</v>
      </c>
      <c r="XE298" s="9" t="n">
        <v>0</v>
      </c>
      <c r="XF298" s="9" t="n">
        <v>7507</v>
      </c>
      <c r="XJ298" s="10" t="n">
        <v>46274</v>
      </c>
      <c r="XL298" s="9" t="n">
        <v>0</v>
      </c>
      <c r="XN298" s="9" t="n">
        <v>0</v>
      </c>
      <c r="XO298" s="9" t="n">
        <v>4252</v>
      </c>
      <c r="XS298" s="10" t="n">
        <v>46274</v>
      </c>
      <c r="XU298" s="9" t="n">
        <v>0</v>
      </c>
      <c r="XW298" s="9" t="n">
        <v>0</v>
      </c>
      <c r="XX298" s="9" t="n">
        <v>2179</v>
      </c>
      <c r="YB298" s="10" t="n">
        <v>46274</v>
      </c>
      <c r="YD298" s="9" t="n">
        <v>0</v>
      </c>
      <c r="YF298" s="9" t="n">
        <v>0</v>
      </c>
      <c r="YG298" s="9" t="n">
        <v>4019</v>
      </c>
      <c r="YK298" s="10" t="n">
        <v>46274</v>
      </c>
      <c r="YM298" s="9" t="n">
        <v>0</v>
      </c>
      <c r="YO298" s="9" t="n">
        <v>0</v>
      </c>
      <c r="YP298" s="9" t="n">
        <v>-218</v>
      </c>
      <c r="YT298" s="10" t="n">
        <v>46274</v>
      </c>
      <c r="YV298" s="9" t="n">
        <v>0</v>
      </c>
      <c r="YX298" s="9" t="n">
        <v>0</v>
      </c>
      <c r="YY298" s="9" t="n">
        <v>0</v>
      </c>
      <c r="ZC298" s="10" t="n">
        <v>46274</v>
      </c>
      <c r="ZE298" s="9" t="n">
        <v>0</v>
      </c>
      <c r="ZG298" s="9" t="n">
        <v>0</v>
      </c>
      <c r="ZH298" s="9" t="n">
        <v>0</v>
      </c>
      <c r="ZL298" s="10" t="n">
        <v>46274</v>
      </c>
      <c r="ZN298" s="9" t="n">
        <v>0</v>
      </c>
      <c r="ZP298" s="9" t="n">
        <v>0</v>
      </c>
      <c r="ZQ298" s="9" t="n">
        <v>0</v>
      </c>
      <c r="ZU298" s="10" t="n">
        <v>46274</v>
      </c>
      <c r="ZW298" s="9" t="n">
        <v>0</v>
      </c>
      <c r="ZY298" s="9" t="n">
        <v>0</v>
      </c>
      <c r="ZZ298" s="9" t="n">
        <v>0</v>
      </c>
      <c r="AAD298" s="10" t="n">
        <v>46274</v>
      </c>
      <c r="AAF298" s="9" t="n">
        <v>0</v>
      </c>
      <c r="AAH298" s="9" t="n">
        <v>0</v>
      </c>
      <c r="AAI298" s="9" t="n">
        <v>0</v>
      </c>
      <c r="AAM298" s="10" t="n">
        <v>46274</v>
      </c>
      <c r="AAO298" s="9" t="n">
        <v>0</v>
      </c>
      <c r="AAQ298" s="9" t="n">
        <v>0</v>
      </c>
      <c r="AAR298" s="9" t="n">
        <v>0</v>
      </c>
      <c r="AAV298" s="10" t="n">
        <v>46274</v>
      </c>
      <c r="AAX298" s="9" t="n">
        <v>0</v>
      </c>
      <c r="AAZ298" s="9" t="n">
        <v>0</v>
      </c>
      <c r="ABA298" s="9" t="n">
        <v>0</v>
      </c>
      <c r="ABE298" s="10" t="n">
        <v>46274</v>
      </c>
      <c r="ABG298" s="9" t="n">
        <v>0</v>
      </c>
      <c r="ABI298" s="9" t="n">
        <v>0</v>
      </c>
      <c r="ABJ298" s="9" t="n">
        <v>0</v>
      </c>
    </row>
    <row r="299">
      <c r="C299" s="10" t="n">
        <v>46275</v>
      </c>
      <c r="E299" s="9" t="n">
        <v>0</v>
      </c>
      <c r="G299" s="9" t="n">
        <v>0</v>
      </c>
      <c r="H299" s="9" t="n">
        <v>236936.6</v>
      </c>
      <c r="L299" s="10" t="n">
        <v>46275</v>
      </c>
      <c r="N299" s="9" t="n">
        <v>0</v>
      </c>
      <c r="P299" s="9" t="n">
        <v>0</v>
      </c>
      <c r="Q299" s="9" t="n">
        <v>53017.60000000007</v>
      </c>
      <c r="U299" s="10" t="n">
        <v>46275</v>
      </c>
      <c r="W299" s="9" t="n">
        <v>0</v>
      </c>
      <c r="Y299" s="9" t="n">
        <v>0</v>
      </c>
      <c r="Z299" s="9" t="n">
        <v>42674.19999999997</v>
      </c>
      <c r="AD299" s="10" t="n">
        <v>46275</v>
      </c>
      <c r="AF299" s="9" t="n">
        <v>0</v>
      </c>
      <c r="AH299" s="9" t="n">
        <v>0</v>
      </c>
      <c r="AI299" s="9" t="n">
        <v>4522.200000000019</v>
      </c>
      <c r="AM299" s="10" t="n">
        <v>46275</v>
      </c>
      <c r="AO299" s="9" t="n">
        <v>0</v>
      </c>
      <c r="AQ299" s="9" t="n">
        <v>0</v>
      </c>
      <c r="AR299" s="9" t="n">
        <v>0</v>
      </c>
      <c r="AV299" s="10" t="n">
        <v>46275</v>
      </c>
      <c r="AX299" s="9" t="n">
        <v>0</v>
      </c>
      <c r="AZ299" s="9" t="n">
        <v>0</v>
      </c>
      <c r="BA299" s="9" t="n">
        <v>124.9999999999952</v>
      </c>
      <c r="BE299" s="10" t="n">
        <v>46275</v>
      </c>
      <c r="BG299" s="9" t="n">
        <v>0</v>
      </c>
      <c r="BI299" s="9" t="n">
        <v>0</v>
      </c>
      <c r="BJ299" s="9" t="n">
        <v>26151.9</v>
      </c>
      <c r="BN299" s="10" t="n">
        <v>46275</v>
      </c>
      <c r="BP299" s="9" t="n">
        <v>0</v>
      </c>
      <c r="BR299" s="9" t="n">
        <v>0</v>
      </c>
      <c r="BS299" s="9" t="n">
        <v>0</v>
      </c>
      <c r="BW299" s="10" t="n">
        <v>46275</v>
      </c>
      <c r="BY299" s="9" t="n">
        <v>0</v>
      </c>
      <c r="CA299" s="9" t="n">
        <v>0</v>
      </c>
      <c r="CB299" s="9" t="n">
        <v>2097.339999999999</v>
      </c>
      <c r="CF299" s="10" t="n">
        <v>46275</v>
      </c>
      <c r="CH299" s="9" t="n">
        <v>0</v>
      </c>
      <c r="CJ299" s="9" t="n">
        <v>0</v>
      </c>
      <c r="CK299" s="9" t="n">
        <v>-10277.08</v>
      </c>
      <c r="CO299" s="10" t="n">
        <v>46275</v>
      </c>
      <c r="CQ299" s="9" t="n">
        <v>0</v>
      </c>
      <c r="CS299" s="9" t="n">
        <v>0</v>
      </c>
      <c r="CT299" s="9" t="n">
        <v>0</v>
      </c>
      <c r="CX299" s="10" t="n">
        <v>46275</v>
      </c>
      <c r="CZ299" s="9" t="n">
        <v>0</v>
      </c>
      <c r="DB299" s="9" t="n">
        <v>0</v>
      </c>
      <c r="DC299" s="9" t="n">
        <v>27438.20000000001</v>
      </c>
      <c r="DG299" s="10" t="n">
        <v>46275</v>
      </c>
      <c r="DI299" s="9" t="n">
        <v>0</v>
      </c>
      <c r="DK299" s="9" t="n">
        <v>0</v>
      </c>
      <c r="DL299" s="9" t="n">
        <v>18782.29999999998</v>
      </c>
      <c r="DP299" s="10" t="n">
        <v>46275</v>
      </c>
      <c r="DR299" s="9" t="n">
        <v>0</v>
      </c>
      <c r="DT299" s="9" t="n">
        <v>0</v>
      </c>
      <c r="DU299" s="9" t="n">
        <v>5800</v>
      </c>
      <c r="DY299" s="10" t="n">
        <v>46275</v>
      </c>
      <c r="EA299" s="9" t="n">
        <v>0</v>
      </c>
      <c r="EC299" s="9" t="n">
        <v>0</v>
      </c>
      <c r="ED299" s="9" t="n">
        <v>0</v>
      </c>
      <c r="EH299" s="10" t="n">
        <v>46275</v>
      </c>
      <c r="EJ299" s="9" t="n">
        <v>0</v>
      </c>
      <c r="EL299" s="9" t="n">
        <v>0</v>
      </c>
      <c r="EM299" s="9" t="n">
        <v>0</v>
      </c>
      <c r="EQ299" s="10" t="n">
        <v>46275</v>
      </c>
      <c r="ES299" s="9" t="n">
        <v>0</v>
      </c>
      <c r="EU299" s="9" t="n">
        <v>0</v>
      </c>
      <c r="EV299" s="9" t="n">
        <v>0</v>
      </c>
      <c r="EZ299" s="10" t="n">
        <v>46275</v>
      </c>
      <c r="FB299" s="9" t="n">
        <v>0</v>
      </c>
      <c r="FD299" s="9" t="n">
        <v>0</v>
      </c>
      <c r="FE299" s="9" t="n">
        <v>0</v>
      </c>
      <c r="FI299" s="10" t="n">
        <v>46275</v>
      </c>
      <c r="FK299" s="9" t="n">
        <v>0</v>
      </c>
      <c r="FM299" s="9" t="n">
        <v>0</v>
      </c>
      <c r="FN299" s="9" t="n">
        <v>0</v>
      </c>
      <c r="FR299" s="10" t="n">
        <v>46275</v>
      </c>
      <c r="FT299" s="9" t="n">
        <v>0</v>
      </c>
      <c r="FV299" s="9" t="n">
        <v>0</v>
      </c>
      <c r="FW299" s="9" t="n">
        <v>2020</v>
      </c>
      <c r="GA299" s="10" t="n">
        <v>46275</v>
      </c>
      <c r="GC299" s="9" t="n">
        <v>0</v>
      </c>
      <c r="GE299" s="9" t="n">
        <v>0</v>
      </c>
      <c r="GF299" s="9" t="n">
        <v>960</v>
      </c>
      <c r="GJ299" s="10" t="n">
        <v>46275</v>
      </c>
      <c r="GL299" s="9" t="n">
        <v>0</v>
      </c>
      <c r="GN299" s="9" t="n">
        <v>0</v>
      </c>
      <c r="GO299" s="9" t="n">
        <v>1760</v>
      </c>
      <c r="GS299" s="10" t="n">
        <v>46275</v>
      </c>
      <c r="GU299" s="9" t="n">
        <v>0</v>
      </c>
      <c r="GW299" s="9" t="n">
        <v>0</v>
      </c>
      <c r="GX299" s="9" t="n">
        <v>400</v>
      </c>
      <c r="HB299" s="10" t="n">
        <v>46275</v>
      </c>
      <c r="HD299" s="9" t="n">
        <v>0</v>
      </c>
      <c r="HF299" s="9" t="n">
        <v>0</v>
      </c>
      <c r="HG299" s="9" t="n">
        <v>3600</v>
      </c>
      <c r="HK299" s="10" t="n">
        <v>46275</v>
      </c>
      <c r="HM299" s="9" t="n">
        <v>0</v>
      </c>
      <c r="HO299" s="9" t="n">
        <v>0</v>
      </c>
      <c r="HP299" s="9" t="n">
        <v>0</v>
      </c>
      <c r="HU299" s="10" t="n">
        <v>46275</v>
      </c>
      <c r="HW299" s="9" t="n">
        <v>0</v>
      </c>
      <c r="HY299" s="9" t="n">
        <v>0</v>
      </c>
      <c r="HZ299" s="9" t="n">
        <v>6120</v>
      </c>
      <c r="ID299" s="10" t="n">
        <v>46275</v>
      </c>
      <c r="IF299" s="9" t="n">
        <v>0</v>
      </c>
      <c r="IH299" s="9" t="n">
        <v>0</v>
      </c>
      <c r="II299" s="9" t="n">
        <v>0</v>
      </c>
      <c r="IM299" s="10" t="n">
        <v>46275</v>
      </c>
      <c r="IO299" s="9" t="n">
        <v>0</v>
      </c>
      <c r="IQ299" s="9" t="n">
        <v>0</v>
      </c>
      <c r="IR299" s="9" t="n">
        <v>0</v>
      </c>
      <c r="IV299" s="10" t="n">
        <v>46275</v>
      </c>
      <c r="IX299" s="9" t="n">
        <v>0</v>
      </c>
      <c r="IZ299" s="9" t="n">
        <v>0</v>
      </c>
      <c r="JA299" s="9" t="n">
        <v>2820</v>
      </c>
      <c r="JE299" s="10" t="n">
        <v>46275</v>
      </c>
      <c r="JG299" s="9" t="n">
        <v>0</v>
      </c>
      <c r="JI299" s="9" t="n">
        <v>0</v>
      </c>
      <c r="JJ299" s="9" t="n">
        <v>0</v>
      </c>
      <c r="JN299" s="10" t="n">
        <v>46275</v>
      </c>
      <c r="JP299" s="9" t="n">
        <v>0</v>
      </c>
      <c r="JR299" s="9" t="n">
        <v>0</v>
      </c>
      <c r="JS299" s="9" t="n">
        <v>0</v>
      </c>
      <c r="JW299" s="10" t="n">
        <v>46275</v>
      </c>
      <c r="JY299" s="9" t="n">
        <v>0</v>
      </c>
      <c r="KA299" s="9" t="n">
        <v>0</v>
      </c>
      <c r="KB299" s="9" t="n">
        <v>2540</v>
      </c>
      <c r="KF299" s="10" t="n">
        <v>46275</v>
      </c>
      <c r="KH299" s="9" t="n">
        <v>0</v>
      </c>
      <c r="KJ299" s="9" t="n">
        <v>0</v>
      </c>
      <c r="KK299" s="9" t="n">
        <v>2359.5</v>
      </c>
      <c r="KO299" s="10" t="n">
        <v>46275</v>
      </c>
      <c r="KQ299" s="9" t="n">
        <v>0</v>
      </c>
      <c r="KS299" s="9" t="n">
        <v>0</v>
      </c>
      <c r="KT299" s="9" t="n">
        <v>1890</v>
      </c>
      <c r="KX299" s="10" t="n">
        <v>46275</v>
      </c>
      <c r="KZ299" s="9" t="n">
        <v>0</v>
      </c>
      <c r="LB299" s="9" t="n">
        <v>0</v>
      </c>
      <c r="LC299" s="9" t="n">
        <v>3690</v>
      </c>
      <c r="LG299" s="10" t="n">
        <v>46275</v>
      </c>
      <c r="LI299" s="9" t="n">
        <v>0</v>
      </c>
      <c r="LK299" s="9" t="n">
        <v>0</v>
      </c>
      <c r="LL299" s="9" t="n">
        <v>4000</v>
      </c>
      <c r="LP299" s="10" t="n">
        <v>46275</v>
      </c>
      <c r="LR299" s="9" t="n">
        <v>0</v>
      </c>
      <c r="LT299" s="9" t="n">
        <v>0</v>
      </c>
      <c r="LU299" s="9" t="n">
        <v>0</v>
      </c>
      <c r="LY299" s="10" t="n">
        <v>46275</v>
      </c>
      <c r="MA299" s="9" t="n">
        <v>0</v>
      </c>
      <c r="MC299" s="9" t="n">
        <v>0</v>
      </c>
      <c r="MD299" s="9" t="n">
        <v>0</v>
      </c>
      <c r="MH299" s="10" t="n">
        <v>46275</v>
      </c>
      <c r="MJ299" s="9" t="n">
        <v>0</v>
      </c>
      <c r="ML299" s="9" t="n">
        <v>0</v>
      </c>
      <c r="MM299" s="9" t="n">
        <v>0</v>
      </c>
      <c r="MQ299" s="10" t="n">
        <v>46275</v>
      </c>
      <c r="MS299" s="9" t="n">
        <v>0</v>
      </c>
      <c r="MU299" s="9" t="n">
        <v>0</v>
      </c>
      <c r="MV299" s="9" t="n">
        <v>1625</v>
      </c>
      <c r="MZ299" s="10" t="n">
        <v>46275</v>
      </c>
      <c r="NB299" s="9" t="n">
        <v>0</v>
      </c>
      <c r="ND299" s="9" t="n">
        <v>0</v>
      </c>
      <c r="NE299" s="9" t="n">
        <v>0</v>
      </c>
      <c r="NI299" s="10" t="n">
        <v>46275</v>
      </c>
      <c r="NK299" s="9" t="n">
        <v>0</v>
      </c>
      <c r="NM299" s="9" t="n">
        <v>0</v>
      </c>
      <c r="NN299" s="9" t="n">
        <v>1127</v>
      </c>
      <c r="NR299" s="10" t="n">
        <v>46275</v>
      </c>
      <c r="NT299" s="9" t="n">
        <v>0</v>
      </c>
      <c r="NV299" s="9" t="n">
        <v>0</v>
      </c>
      <c r="NW299" s="9" t="n">
        <v>3112</v>
      </c>
      <c r="OA299" s="10" t="n">
        <v>46275</v>
      </c>
      <c r="OC299" s="9" t="n">
        <v>0</v>
      </c>
      <c r="OE299" s="9" t="n">
        <v>0</v>
      </c>
      <c r="OF299" s="9" t="n">
        <v>1680.5</v>
      </c>
      <c r="OJ299" s="10" t="n">
        <v>46275</v>
      </c>
      <c r="OL299" s="9" t="n">
        <v>0</v>
      </c>
      <c r="ON299" s="9" t="n">
        <v>0</v>
      </c>
      <c r="OO299" s="9" t="n">
        <v>0</v>
      </c>
      <c r="OS299" s="10" t="n">
        <v>46275</v>
      </c>
      <c r="OU299" s="9" t="n">
        <v>0</v>
      </c>
      <c r="OW299" s="9" t="n">
        <v>0</v>
      </c>
      <c r="OX299" s="9" t="n">
        <v>1482</v>
      </c>
      <c r="PB299" s="10" t="n">
        <v>46275</v>
      </c>
      <c r="PD299" s="9" t="n">
        <v>0</v>
      </c>
      <c r="PF299" s="9" t="n">
        <v>0</v>
      </c>
      <c r="PG299" s="9" t="n">
        <v>0</v>
      </c>
      <c r="PK299" s="10" t="n">
        <v>46275</v>
      </c>
      <c r="PM299" s="9" t="n">
        <v>0</v>
      </c>
      <c r="PO299" s="9" t="n">
        <v>0</v>
      </c>
      <c r="PP299" s="9" t="n">
        <v>100</v>
      </c>
      <c r="PT299" s="10" t="n">
        <v>46275</v>
      </c>
      <c r="PV299" s="9" t="n">
        <v>0</v>
      </c>
      <c r="PX299" s="9" t="n">
        <v>0</v>
      </c>
      <c r="PY299" s="9" t="n">
        <v>13.96000000000004</v>
      </c>
      <c r="QC299" s="10" t="n">
        <v>46275</v>
      </c>
      <c r="QE299" s="9" t="n">
        <v>0</v>
      </c>
      <c r="QG299" s="9" t="n">
        <v>0</v>
      </c>
      <c r="QH299" s="9" t="n">
        <v>548</v>
      </c>
      <c r="QL299" s="10" t="n">
        <v>46275</v>
      </c>
      <c r="QN299" s="9" t="n">
        <v>0</v>
      </c>
      <c r="QP299" s="9" t="n">
        <v>0</v>
      </c>
      <c r="QQ299" s="9" t="n">
        <v>0</v>
      </c>
      <c r="QU299" s="10" t="n">
        <v>46275</v>
      </c>
      <c r="QW299" s="9" t="n">
        <v>0</v>
      </c>
      <c r="QY299" s="9" t="n">
        <v>0</v>
      </c>
      <c r="QZ299" s="9" t="n">
        <v>0</v>
      </c>
      <c r="RD299" s="10" t="n">
        <v>46275</v>
      </c>
      <c r="RF299" s="9" t="n">
        <v>0</v>
      </c>
      <c r="RH299" s="9" t="n">
        <v>0</v>
      </c>
      <c r="RI299" s="9" t="n">
        <v>147.04</v>
      </c>
      <c r="RM299" s="10" t="n">
        <v>46275</v>
      </c>
      <c r="RO299" s="9" t="n">
        <v>0</v>
      </c>
      <c r="RQ299" s="9" t="n">
        <v>0</v>
      </c>
      <c r="RR299" s="9" t="n">
        <v>46.8</v>
      </c>
      <c r="RV299" s="10" t="n">
        <v>46275</v>
      </c>
      <c r="RX299" s="9" t="n">
        <v>0</v>
      </c>
      <c r="RZ299" s="9" t="n">
        <v>0</v>
      </c>
      <c r="SA299" s="9" t="n">
        <v>0</v>
      </c>
      <c r="SE299" s="10" t="n">
        <v>46275</v>
      </c>
      <c r="SG299" s="9" t="n">
        <v>0</v>
      </c>
      <c r="SI299" s="9" t="n">
        <v>0</v>
      </c>
      <c r="SJ299" s="9" t="n">
        <v>24.2</v>
      </c>
      <c r="SN299" s="10" t="n">
        <v>46275</v>
      </c>
      <c r="SP299" s="9" t="n">
        <v>0</v>
      </c>
      <c r="SR299" s="9" t="n">
        <v>0</v>
      </c>
      <c r="SS299" s="9" t="n">
        <v>32</v>
      </c>
      <c r="SW299" s="10" t="n">
        <v>46275</v>
      </c>
      <c r="SY299" s="9" t="n">
        <v>0</v>
      </c>
      <c r="TA299" s="9" t="n">
        <v>0</v>
      </c>
      <c r="TB299" s="9" t="n">
        <v>0</v>
      </c>
      <c r="TF299" s="10" t="n">
        <v>46275</v>
      </c>
      <c r="TH299" s="9" t="n">
        <v>0</v>
      </c>
      <c r="TJ299" s="9" t="n">
        <v>0</v>
      </c>
      <c r="TK299" s="9" t="n">
        <v>0</v>
      </c>
      <c r="TO299" s="10" t="n">
        <v>46275</v>
      </c>
      <c r="TQ299" s="9" t="n">
        <v>0</v>
      </c>
      <c r="TS299" s="9" t="n">
        <v>0</v>
      </c>
      <c r="TT299" s="9" t="n">
        <v>0</v>
      </c>
      <c r="TX299" s="10" t="n">
        <v>46275</v>
      </c>
      <c r="TZ299" s="9" t="n">
        <v>0</v>
      </c>
      <c r="UB299" s="9" t="n">
        <v>0</v>
      </c>
      <c r="UC299" s="9" t="n">
        <v>46.79999999999998</v>
      </c>
      <c r="UG299" s="10" t="n">
        <v>46275</v>
      </c>
      <c r="UI299" s="9" t="n">
        <v>0</v>
      </c>
      <c r="UK299" s="9" t="n">
        <v>0</v>
      </c>
      <c r="UL299" s="9" t="n">
        <v>204</v>
      </c>
      <c r="UP299" s="10" t="n">
        <v>46275</v>
      </c>
      <c r="UR299" s="9" t="n">
        <v>0</v>
      </c>
      <c r="UT299" s="9" t="n">
        <v>0</v>
      </c>
      <c r="UU299" s="9" t="n">
        <v>202.5</v>
      </c>
      <c r="UY299" s="10" t="n">
        <v>46275</v>
      </c>
      <c r="VA299" s="9" t="n">
        <v>0</v>
      </c>
      <c r="VC299" s="9" t="n">
        <v>0</v>
      </c>
      <c r="VD299" s="9" t="n">
        <v>41.60000000000002</v>
      </c>
      <c r="VH299" s="10" t="n">
        <v>46275</v>
      </c>
      <c r="VJ299" s="9" t="n">
        <v>0</v>
      </c>
      <c r="VL299" s="9" t="n">
        <v>0</v>
      </c>
      <c r="VM299" s="9" t="n">
        <v>210</v>
      </c>
      <c r="VQ299" s="10" t="n">
        <v>46275</v>
      </c>
      <c r="VS299" s="9" t="n">
        <v>0</v>
      </c>
      <c r="VU299" s="9" t="n">
        <v>0</v>
      </c>
      <c r="VV299" s="9" t="n">
        <v>0</v>
      </c>
      <c r="VZ299" s="10" t="n">
        <v>46275</v>
      </c>
      <c r="WB299" s="9" t="n">
        <v>0</v>
      </c>
      <c r="WD299" s="9" t="n">
        <v>0</v>
      </c>
      <c r="WE299" s="9" t="n">
        <v>0</v>
      </c>
      <c r="WI299" s="10" t="n">
        <v>46275</v>
      </c>
      <c r="WK299" s="9" t="n">
        <v>0</v>
      </c>
      <c r="WM299" s="9" t="n">
        <v>0</v>
      </c>
      <c r="WN299" s="9" t="n">
        <v>1057</v>
      </c>
      <c r="WR299" s="10" t="n">
        <v>46275</v>
      </c>
      <c r="WT299" s="9" t="n">
        <v>0</v>
      </c>
      <c r="WV299" s="9" t="n">
        <v>0</v>
      </c>
      <c r="WW299" s="9" t="n">
        <v>0</v>
      </c>
      <c r="XA299" s="10" t="n">
        <v>46275</v>
      </c>
      <c r="XC299" s="9" t="n">
        <v>0</v>
      </c>
      <c r="XE299" s="9" t="n">
        <v>0</v>
      </c>
      <c r="XF299" s="9" t="n">
        <v>7507</v>
      </c>
      <c r="XJ299" s="10" t="n">
        <v>46275</v>
      </c>
      <c r="XL299" s="9" t="n">
        <v>0</v>
      </c>
      <c r="XN299" s="9" t="n">
        <v>0</v>
      </c>
      <c r="XO299" s="9" t="n">
        <v>4252</v>
      </c>
      <c r="XS299" s="10" t="n">
        <v>46275</v>
      </c>
      <c r="XU299" s="9" t="n">
        <v>0</v>
      </c>
      <c r="XW299" s="9" t="n">
        <v>0</v>
      </c>
      <c r="XX299" s="9" t="n">
        <v>2179</v>
      </c>
      <c r="YB299" s="10" t="n">
        <v>46275</v>
      </c>
      <c r="YD299" s="9" t="n">
        <v>0</v>
      </c>
      <c r="YF299" s="9" t="n">
        <v>0</v>
      </c>
      <c r="YG299" s="9" t="n">
        <v>4019</v>
      </c>
      <c r="YK299" s="10" t="n">
        <v>46275</v>
      </c>
      <c r="YM299" s="9" t="n">
        <v>0</v>
      </c>
      <c r="YO299" s="9" t="n">
        <v>0</v>
      </c>
      <c r="YP299" s="9" t="n">
        <v>-218</v>
      </c>
      <c r="YT299" s="10" t="n">
        <v>46275</v>
      </c>
      <c r="YV299" s="9" t="n">
        <v>0</v>
      </c>
      <c r="YX299" s="9" t="n">
        <v>0</v>
      </c>
      <c r="YY299" s="9" t="n">
        <v>0</v>
      </c>
      <c r="ZC299" s="10" t="n">
        <v>46275</v>
      </c>
      <c r="ZE299" s="9" t="n">
        <v>0</v>
      </c>
      <c r="ZG299" s="9" t="n">
        <v>0</v>
      </c>
      <c r="ZH299" s="9" t="n">
        <v>0</v>
      </c>
      <c r="ZL299" s="10" t="n">
        <v>46275</v>
      </c>
      <c r="ZN299" s="9" t="n">
        <v>0</v>
      </c>
      <c r="ZP299" s="9" t="n">
        <v>0</v>
      </c>
      <c r="ZQ299" s="9" t="n">
        <v>0</v>
      </c>
      <c r="ZU299" s="10" t="n">
        <v>46275</v>
      </c>
      <c r="ZW299" s="9" t="n">
        <v>0</v>
      </c>
      <c r="ZY299" s="9" t="n">
        <v>0</v>
      </c>
      <c r="ZZ299" s="9" t="n">
        <v>0</v>
      </c>
      <c r="AAD299" s="10" t="n">
        <v>46275</v>
      </c>
      <c r="AAF299" s="9" t="n">
        <v>0</v>
      </c>
      <c r="AAH299" s="9" t="n">
        <v>0</v>
      </c>
      <c r="AAI299" s="9" t="n">
        <v>0</v>
      </c>
      <c r="AAM299" s="10" t="n">
        <v>46275</v>
      </c>
      <c r="AAO299" s="9" t="n">
        <v>0</v>
      </c>
      <c r="AAQ299" s="9" t="n">
        <v>0</v>
      </c>
      <c r="AAR299" s="9" t="n">
        <v>0</v>
      </c>
      <c r="AAV299" s="10" t="n">
        <v>46275</v>
      </c>
      <c r="AAX299" s="9" t="n">
        <v>0</v>
      </c>
      <c r="AAZ299" s="9" t="n">
        <v>0</v>
      </c>
      <c r="ABA299" s="9" t="n">
        <v>0</v>
      </c>
      <c r="ABE299" s="10" t="n">
        <v>46275</v>
      </c>
      <c r="ABG299" s="9" t="n">
        <v>0</v>
      </c>
      <c r="ABI299" s="9" t="n">
        <v>0</v>
      </c>
      <c r="ABJ299" s="9" t="n">
        <v>0</v>
      </c>
    </row>
    <row r="300">
      <c r="C300" s="10" t="n">
        <v>46276</v>
      </c>
      <c r="E300" s="9" t="n">
        <v>0</v>
      </c>
      <c r="G300" s="9" t="n">
        <v>0</v>
      </c>
      <c r="H300" s="9" t="n">
        <v>236936.6</v>
      </c>
      <c r="L300" s="10" t="n">
        <v>46276</v>
      </c>
      <c r="N300" s="9" t="n">
        <v>0</v>
      </c>
      <c r="P300" s="9" t="n">
        <v>0</v>
      </c>
      <c r="Q300" s="9" t="n">
        <v>53017.60000000007</v>
      </c>
      <c r="U300" s="10" t="n">
        <v>46276</v>
      </c>
      <c r="W300" s="9" t="n">
        <v>0</v>
      </c>
      <c r="Y300" s="9" t="n">
        <v>0</v>
      </c>
      <c r="Z300" s="9" t="n">
        <v>42674.19999999997</v>
      </c>
      <c r="AD300" s="10" t="n">
        <v>46276</v>
      </c>
      <c r="AF300" s="9" t="n">
        <v>0</v>
      </c>
      <c r="AH300" s="9" t="n">
        <v>0</v>
      </c>
      <c r="AI300" s="9" t="n">
        <v>4522.200000000019</v>
      </c>
      <c r="AM300" s="10" t="n">
        <v>46276</v>
      </c>
      <c r="AO300" s="9" t="n">
        <v>0</v>
      </c>
      <c r="AQ300" s="9" t="n">
        <v>0</v>
      </c>
      <c r="AR300" s="9" t="n">
        <v>0</v>
      </c>
      <c r="AV300" s="10" t="n">
        <v>46276</v>
      </c>
      <c r="AX300" s="9" t="n">
        <v>0</v>
      </c>
      <c r="AZ300" s="9" t="n">
        <v>0</v>
      </c>
      <c r="BA300" s="9" t="n">
        <v>124.9999999999952</v>
      </c>
      <c r="BE300" s="10" t="n">
        <v>46276</v>
      </c>
      <c r="BG300" s="9" t="n">
        <v>0</v>
      </c>
      <c r="BI300" s="9" t="n">
        <v>0</v>
      </c>
      <c r="BJ300" s="9" t="n">
        <v>26151.9</v>
      </c>
      <c r="BN300" s="10" t="n">
        <v>46276</v>
      </c>
      <c r="BP300" s="9" t="n">
        <v>0</v>
      </c>
      <c r="BR300" s="9" t="n">
        <v>0</v>
      </c>
      <c r="BS300" s="9" t="n">
        <v>0</v>
      </c>
      <c r="BW300" s="10" t="n">
        <v>46276</v>
      </c>
      <c r="BY300" s="9" t="n">
        <v>0</v>
      </c>
      <c r="CA300" s="9" t="n">
        <v>0</v>
      </c>
      <c r="CB300" s="9" t="n">
        <v>2097.339999999999</v>
      </c>
      <c r="CF300" s="10" t="n">
        <v>46276</v>
      </c>
      <c r="CH300" s="9" t="n">
        <v>0</v>
      </c>
      <c r="CJ300" s="9" t="n">
        <v>0</v>
      </c>
      <c r="CK300" s="9" t="n">
        <v>-10277.08</v>
      </c>
      <c r="CO300" s="10" t="n">
        <v>46276</v>
      </c>
      <c r="CQ300" s="9" t="n">
        <v>0</v>
      </c>
      <c r="CS300" s="9" t="n">
        <v>0</v>
      </c>
      <c r="CT300" s="9" t="n">
        <v>0</v>
      </c>
      <c r="CX300" s="10" t="n">
        <v>46276</v>
      </c>
      <c r="CZ300" s="9" t="n">
        <v>0</v>
      </c>
      <c r="DB300" s="9" t="n">
        <v>0</v>
      </c>
      <c r="DC300" s="9" t="n">
        <v>27438.20000000001</v>
      </c>
      <c r="DG300" s="10" t="n">
        <v>46276</v>
      </c>
      <c r="DI300" s="9" t="n">
        <v>0</v>
      </c>
      <c r="DK300" s="9" t="n">
        <v>0</v>
      </c>
      <c r="DL300" s="9" t="n">
        <v>18782.29999999998</v>
      </c>
      <c r="DP300" s="10" t="n">
        <v>46276</v>
      </c>
      <c r="DR300" s="9" t="n">
        <v>0</v>
      </c>
      <c r="DT300" s="9" t="n">
        <v>0</v>
      </c>
      <c r="DU300" s="9" t="n">
        <v>5800</v>
      </c>
      <c r="DY300" s="10" t="n">
        <v>46276</v>
      </c>
      <c r="EA300" s="9" t="n">
        <v>0</v>
      </c>
      <c r="EC300" s="9" t="n">
        <v>0</v>
      </c>
      <c r="ED300" s="9" t="n">
        <v>0</v>
      </c>
      <c r="EH300" s="10" t="n">
        <v>46276</v>
      </c>
      <c r="EJ300" s="9" t="n">
        <v>0</v>
      </c>
      <c r="EL300" s="9" t="n">
        <v>0</v>
      </c>
      <c r="EM300" s="9" t="n">
        <v>0</v>
      </c>
      <c r="EQ300" s="10" t="n">
        <v>46276</v>
      </c>
      <c r="ES300" s="9" t="n">
        <v>0</v>
      </c>
      <c r="EU300" s="9" t="n">
        <v>0</v>
      </c>
      <c r="EV300" s="9" t="n">
        <v>0</v>
      </c>
      <c r="EZ300" s="10" t="n">
        <v>46276</v>
      </c>
      <c r="FB300" s="9" t="n">
        <v>0</v>
      </c>
      <c r="FD300" s="9" t="n">
        <v>0</v>
      </c>
      <c r="FE300" s="9" t="n">
        <v>0</v>
      </c>
      <c r="FI300" s="10" t="n">
        <v>46276</v>
      </c>
      <c r="FK300" s="9" t="n">
        <v>0</v>
      </c>
      <c r="FM300" s="9" t="n">
        <v>0</v>
      </c>
      <c r="FN300" s="9" t="n">
        <v>0</v>
      </c>
      <c r="FR300" s="10" t="n">
        <v>46276</v>
      </c>
      <c r="FT300" s="9" t="n">
        <v>0</v>
      </c>
      <c r="FV300" s="9" t="n">
        <v>0</v>
      </c>
      <c r="FW300" s="9" t="n">
        <v>2020</v>
      </c>
      <c r="GA300" s="10" t="n">
        <v>46276</v>
      </c>
      <c r="GC300" s="9" t="n">
        <v>0</v>
      </c>
      <c r="GE300" s="9" t="n">
        <v>0</v>
      </c>
      <c r="GF300" s="9" t="n">
        <v>960</v>
      </c>
      <c r="GJ300" s="10" t="n">
        <v>46276</v>
      </c>
      <c r="GL300" s="9" t="n">
        <v>0</v>
      </c>
      <c r="GN300" s="9" t="n">
        <v>0</v>
      </c>
      <c r="GO300" s="9" t="n">
        <v>1760</v>
      </c>
      <c r="GS300" s="10" t="n">
        <v>46276</v>
      </c>
      <c r="GU300" s="9" t="n">
        <v>0</v>
      </c>
      <c r="GW300" s="9" t="n">
        <v>0</v>
      </c>
      <c r="GX300" s="9" t="n">
        <v>400</v>
      </c>
      <c r="HB300" s="10" t="n">
        <v>46276</v>
      </c>
      <c r="HD300" s="9" t="n">
        <v>0</v>
      </c>
      <c r="HF300" s="9" t="n">
        <v>0</v>
      </c>
      <c r="HG300" s="9" t="n">
        <v>3600</v>
      </c>
      <c r="HK300" s="10" t="n">
        <v>46276</v>
      </c>
      <c r="HM300" s="9" t="n">
        <v>0</v>
      </c>
      <c r="HO300" s="9" t="n">
        <v>0</v>
      </c>
      <c r="HP300" s="9" t="n">
        <v>0</v>
      </c>
      <c r="HU300" s="10" t="n">
        <v>46276</v>
      </c>
      <c r="HW300" s="9" t="n">
        <v>0</v>
      </c>
      <c r="HY300" s="9" t="n">
        <v>0</v>
      </c>
      <c r="HZ300" s="9" t="n">
        <v>6120</v>
      </c>
      <c r="ID300" s="10" t="n">
        <v>46276</v>
      </c>
      <c r="IF300" s="9" t="n">
        <v>0</v>
      </c>
      <c r="IH300" s="9" t="n">
        <v>0</v>
      </c>
      <c r="II300" s="9" t="n">
        <v>0</v>
      </c>
      <c r="IM300" s="10" t="n">
        <v>46276</v>
      </c>
      <c r="IO300" s="9" t="n">
        <v>0</v>
      </c>
      <c r="IQ300" s="9" t="n">
        <v>0</v>
      </c>
      <c r="IR300" s="9" t="n">
        <v>0</v>
      </c>
      <c r="IV300" s="10" t="n">
        <v>46276</v>
      </c>
      <c r="IX300" s="9" t="n">
        <v>0</v>
      </c>
      <c r="IZ300" s="9" t="n">
        <v>0</v>
      </c>
      <c r="JA300" s="9" t="n">
        <v>2820</v>
      </c>
      <c r="JE300" s="10" t="n">
        <v>46276</v>
      </c>
      <c r="JG300" s="9" t="n">
        <v>0</v>
      </c>
      <c r="JI300" s="9" t="n">
        <v>0</v>
      </c>
      <c r="JJ300" s="9" t="n">
        <v>0</v>
      </c>
      <c r="JN300" s="10" t="n">
        <v>46276</v>
      </c>
      <c r="JP300" s="9" t="n">
        <v>0</v>
      </c>
      <c r="JR300" s="9" t="n">
        <v>0</v>
      </c>
      <c r="JS300" s="9" t="n">
        <v>0</v>
      </c>
      <c r="JW300" s="10" t="n">
        <v>46276</v>
      </c>
      <c r="JY300" s="9" t="n">
        <v>0</v>
      </c>
      <c r="KA300" s="9" t="n">
        <v>0</v>
      </c>
      <c r="KB300" s="9" t="n">
        <v>2540</v>
      </c>
      <c r="KF300" s="10" t="n">
        <v>46276</v>
      </c>
      <c r="KH300" s="9" t="n">
        <v>0</v>
      </c>
      <c r="KJ300" s="9" t="n">
        <v>0</v>
      </c>
      <c r="KK300" s="9" t="n">
        <v>2359.5</v>
      </c>
      <c r="KO300" s="10" t="n">
        <v>46276</v>
      </c>
      <c r="KQ300" s="9" t="n">
        <v>0</v>
      </c>
      <c r="KS300" s="9" t="n">
        <v>0</v>
      </c>
      <c r="KT300" s="9" t="n">
        <v>1890</v>
      </c>
      <c r="KX300" s="10" t="n">
        <v>46276</v>
      </c>
      <c r="KZ300" s="9" t="n">
        <v>0</v>
      </c>
      <c r="LB300" s="9" t="n">
        <v>0</v>
      </c>
      <c r="LC300" s="9" t="n">
        <v>3690</v>
      </c>
      <c r="LG300" s="10" t="n">
        <v>46276</v>
      </c>
      <c r="LI300" s="9" t="n">
        <v>0</v>
      </c>
      <c r="LK300" s="9" t="n">
        <v>0</v>
      </c>
      <c r="LL300" s="9" t="n">
        <v>4000</v>
      </c>
      <c r="LP300" s="10" t="n">
        <v>46276</v>
      </c>
      <c r="LR300" s="9" t="n">
        <v>0</v>
      </c>
      <c r="LT300" s="9" t="n">
        <v>0</v>
      </c>
      <c r="LU300" s="9" t="n">
        <v>0</v>
      </c>
      <c r="LY300" s="10" t="n">
        <v>46276</v>
      </c>
      <c r="MA300" s="9" t="n">
        <v>0</v>
      </c>
      <c r="MC300" s="9" t="n">
        <v>0</v>
      </c>
      <c r="MD300" s="9" t="n">
        <v>0</v>
      </c>
      <c r="MH300" s="10" t="n">
        <v>46276</v>
      </c>
      <c r="MJ300" s="9" t="n">
        <v>0</v>
      </c>
      <c r="ML300" s="9" t="n">
        <v>0</v>
      </c>
      <c r="MM300" s="9" t="n">
        <v>0</v>
      </c>
      <c r="MQ300" s="10" t="n">
        <v>46276</v>
      </c>
      <c r="MS300" s="9" t="n">
        <v>0</v>
      </c>
      <c r="MU300" s="9" t="n">
        <v>0</v>
      </c>
      <c r="MV300" s="9" t="n">
        <v>1625</v>
      </c>
      <c r="MZ300" s="10" t="n">
        <v>46276</v>
      </c>
      <c r="NB300" s="9" t="n">
        <v>0</v>
      </c>
      <c r="ND300" s="9" t="n">
        <v>0</v>
      </c>
      <c r="NE300" s="9" t="n">
        <v>0</v>
      </c>
      <c r="NI300" s="10" t="n">
        <v>46276</v>
      </c>
      <c r="NK300" s="9" t="n">
        <v>0</v>
      </c>
      <c r="NM300" s="9" t="n">
        <v>0</v>
      </c>
      <c r="NN300" s="9" t="n">
        <v>1127</v>
      </c>
      <c r="NR300" s="10" t="n">
        <v>46276</v>
      </c>
      <c r="NT300" s="9" t="n">
        <v>0</v>
      </c>
      <c r="NV300" s="9" t="n">
        <v>0</v>
      </c>
      <c r="NW300" s="9" t="n">
        <v>3112</v>
      </c>
      <c r="OA300" s="10" t="n">
        <v>46276</v>
      </c>
      <c r="OC300" s="9" t="n">
        <v>0</v>
      </c>
      <c r="OE300" s="9" t="n">
        <v>0</v>
      </c>
      <c r="OF300" s="9" t="n">
        <v>1680.5</v>
      </c>
      <c r="OJ300" s="10" t="n">
        <v>46276</v>
      </c>
      <c r="OL300" s="9" t="n">
        <v>0</v>
      </c>
      <c r="ON300" s="9" t="n">
        <v>0</v>
      </c>
      <c r="OO300" s="9" t="n">
        <v>0</v>
      </c>
      <c r="OS300" s="10" t="n">
        <v>46276</v>
      </c>
      <c r="OU300" s="9" t="n">
        <v>0</v>
      </c>
      <c r="OW300" s="9" t="n">
        <v>0</v>
      </c>
      <c r="OX300" s="9" t="n">
        <v>1482</v>
      </c>
      <c r="PB300" s="10" t="n">
        <v>46276</v>
      </c>
      <c r="PD300" s="9" t="n">
        <v>0</v>
      </c>
      <c r="PF300" s="9" t="n">
        <v>0</v>
      </c>
      <c r="PG300" s="9" t="n">
        <v>0</v>
      </c>
      <c r="PK300" s="10" t="n">
        <v>46276</v>
      </c>
      <c r="PM300" s="9" t="n">
        <v>0</v>
      </c>
      <c r="PO300" s="9" t="n">
        <v>0</v>
      </c>
      <c r="PP300" s="9" t="n">
        <v>100</v>
      </c>
      <c r="PT300" s="10" t="n">
        <v>46276</v>
      </c>
      <c r="PV300" s="9" t="n">
        <v>0</v>
      </c>
      <c r="PX300" s="9" t="n">
        <v>0</v>
      </c>
      <c r="PY300" s="9" t="n">
        <v>13.96000000000004</v>
      </c>
      <c r="QC300" s="10" t="n">
        <v>46276</v>
      </c>
      <c r="QE300" s="9" t="n">
        <v>0</v>
      </c>
      <c r="QG300" s="9" t="n">
        <v>0</v>
      </c>
      <c r="QH300" s="9" t="n">
        <v>548</v>
      </c>
      <c r="QL300" s="10" t="n">
        <v>46276</v>
      </c>
      <c r="QN300" s="9" t="n">
        <v>0</v>
      </c>
      <c r="QP300" s="9" t="n">
        <v>0</v>
      </c>
      <c r="QQ300" s="9" t="n">
        <v>0</v>
      </c>
      <c r="QU300" s="10" t="n">
        <v>46276</v>
      </c>
      <c r="QW300" s="9" t="n">
        <v>0</v>
      </c>
      <c r="QY300" s="9" t="n">
        <v>0</v>
      </c>
      <c r="QZ300" s="9" t="n">
        <v>0</v>
      </c>
      <c r="RD300" s="10" t="n">
        <v>46276</v>
      </c>
      <c r="RF300" s="9" t="n">
        <v>0</v>
      </c>
      <c r="RH300" s="9" t="n">
        <v>0</v>
      </c>
      <c r="RI300" s="9" t="n">
        <v>147.04</v>
      </c>
      <c r="RM300" s="10" t="n">
        <v>46276</v>
      </c>
      <c r="RO300" s="9" t="n">
        <v>0</v>
      </c>
      <c r="RQ300" s="9" t="n">
        <v>0</v>
      </c>
      <c r="RR300" s="9" t="n">
        <v>46.8</v>
      </c>
      <c r="RV300" s="10" t="n">
        <v>46276</v>
      </c>
      <c r="RX300" s="9" t="n">
        <v>0</v>
      </c>
      <c r="RZ300" s="9" t="n">
        <v>0</v>
      </c>
      <c r="SA300" s="9" t="n">
        <v>0</v>
      </c>
      <c r="SE300" s="10" t="n">
        <v>46276</v>
      </c>
      <c r="SG300" s="9" t="n">
        <v>0</v>
      </c>
      <c r="SI300" s="9" t="n">
        <v>0</v>
      </c>
      <c r="SJ300" s="9" t="n">
        <v>24.2</v>
      </c>
      <c r="SN300" s="10" t="n">
        <v>46276</v>
      </c>
      <c r="SP300" s="9" t="n">
        <v>0</v>
      </c>
      <c r="SR300" s="9" t="n">
        <v>0</v>
      </c>
      <c r="SS300" s="9" t="n">
        <v>32</v>
      </c>
      <c r="SW300" s="10" t="n">
        <v>46276</v>
      </c>
      <c r="SY300" s="9" t="n">
        <v>0</v>
      </c>
      <c r="TA300" s="9" t="n">
        <v>0</v>
      </c>
      <c r="TB300" s="9" t="n">
        <v>0</v>
      </c>
      <c r="TF300" s="10" t="n">
        <v>46276</v>
      </c>
      <c r="TH300" s="9" t="n">
        <v>0</v>
      </c>
      <c r="TJ300" s="9" t="n">
        <v>0</v>
      </c>
      <c r="TK300" s="9" t="n">
        <v>0</v>
      </c>
      <c r="TO300" s="10" t="n">
        <v>46276</v>
      </c>
      <c r="TQ300" s="9" t="n">
        <v>0</v>
      </c>
      <c r="TS300" s="9" t="n">
        <v>0</v>
      </c>
      <c r="TT300" s="9" t="n">
        <v>0</v>
      </c>
      <c r="TX300" s="10" t="n">
        <v>46276</v>
      </c>
      <c r="TZ300" s="9" t="n">
        <v>0</v>
      </c>
      <c r="UB300" s="9" t="n">
        <v>0</v>
      </c>
      <c r="UC300" s="9" t="n">
        <v>46.79999999999998</v>
      </c>
      <c r="UG300" s="10" t="n">
        <v>46276</v>
      </c>
      <c r="UI300" s="9" t="n">
        <v>0</v>
      </c>
      <c r="UK300" s="9" t="n">
        <v>0</v>
      </c>
      <c r="UL300" s="9" t="n">
        <v>204</v>
      </c>
      <c r="UP300" s="10" t="n">
        <v>46276</v>
      </c>
      <c r="UR300" s="9" t="n">
        <v>0</v>
      </c>
      <c r="UT300" s="9" t="n">
        <v>0</v>
      </c>
      <c r="UU300" s="9" t="n">
        <v>202.5</v>
      </c>
      <c r="UY300" s="10" t="n">
        <v>46276</v>
      </c>
      <c r="VA300" s="9" t="n">
        <v>0</v>
      </c>
      <c r="VC300" s="9" t="n">
        <v>0</v>
      </c>
      <c r="VD300" s="9" t="n">
        <v>41.60000000000002</v>
      </c>
      <c r="VH300" s="10" t="n">
        <v>46276</v>
      </c>
      <c r="VJ300" s="9" t="n">
        <v>0</v>
      </c>
      <c r="VL300" s="9" t="n">
        <v>0</v>
      </c>
      <c r="VM300" s="9" t="n">
        <v>210</v>
      </c>
      <c r="VQ300" s="10" t="n">
        <v>46276</v>
      </c>
      <c r="VS300" s="9" t="n">
        <v>0</v>
      </c>
      <c r="VU300" s="9" t="n">
        <v>0</v>
      </c>
      <c r="VV300" s="9" t="n">
        <v>0</v>
      </c>
      <c r="VZ300" s="10" t="n">
        <v>46276</v>
      </c>
      <c r="WB300" s="9" t="n">
        <v>0</v>
      </c>
      <c r="WD300" s="9" t="n">
        <v>0</v>
      </c>
      <c r="WE300" s="9" t="n">
        <v>0</v>
      </c>
      <c r="WI300" s="10" t="n">
        <v>46276</v>
      </c>
      <c r="WK300" s="9" t="n">
        <v>0</v>
      </c>
      <c r="WM300" s="9" t="n">
        <v>0</v>
      </c>
      <c r="WN300" s="9" t="n">
        <v>1057</v>
      </c>
      <c r="WR300" s="10" t="n">
        <v>46276</v>
      </c>
      <c r="WT300" s="9" t="n">
        <v>0</v>
      </c>
      <c r="WV300" s="9" t="n">
        <v>0</v>
      </c>
      <c r="WW300" s="9" t="n">
        <v>0</v>
      </c>
      <c r="XA300" s="10" t="n">
        <v>46276</v>
      </c>
      <c r="XC300" s="9" t="n">
        <v>0</v>
      </c>
      <c r="XE300" s="9" t="n">
        <v>0</v>
      </c>
      <c r="XF300" s="9" t="n">
        <v>7507</v>
      </c>
      <c r="XJ300" s="10" t="n">
        <v>46276</v>
      </c>
      <c r="XL300" s="9" t="n">
        <v>0</v>
      </c>
      <c r="XN300" s="9" t="n">
        <v>0</v>
      </c>
      <c r="XO300" s="9" t="n">
        <v>4252</v>
      </c>
      <c r="XS300" s="10" t="n">
        <v>46276</v>
      </c>
      <c r="XU300" s="9" t="n">
        <v>0</v>
      </c>
      <c r="XW300" s="9" t="n">
        <v>0</v>
      </c>
      <c r="XX300" s="9" t="n">
        <v>2179</v>
      </c>
      <c r="YB300" s="10" t="n">
        <v>46276</v>
      </c>
      <c r="YD300" s="9" t="n">
        <v>0</v>
      </c>
      <c r="YF300" s="9" t="n">
        <v>0</v>
      </c>
      <c r="YG300" s="9" t="n">
        <v>4019</v>
      </c>
      <c r="YK300" s="10" t="n">
        <v>46276</v>
      </c>
      <c r="YM300" s="9" t="n">
        <v>0</v>
      </c>
      <c r="YO300" s="9" t="n">
        <v>0</v>
      </c>
      <c r="YP300" s="9" t="n">
        <v>-218</v>
      </c>
      <c r="YT300" s="10" t="n">
        <v>46276</v>
      </c>
      <c r="YV300" s="9" t="n">
        <v>0</v>
      </c>
      <c r="YX300" s="9" t="n">
        <v>0</v>
      </c>
      <c r="YY300" s="9" t="n">
        <v>0</v>
      </c>
      <c r="ZC300" s="10" t="n">
        <v>46276</v>
      </c>
      <c r="ZE300" s="9" t="n">
        <v>0</v>
      </c>
      <c r="ZG300" s="9" t="n">
        <v>0</v>
      </c>
      <c r="ZH300" s="9" t="n">
        <v>0</v>
      </c>
      <c r="ZL300" s="10" t="n">
        <v>46276</v>
      </c>
      <c r="ZN300" s="9" t="n">
        <v>0</v>
      </c>
      <c r="ZP300" s="9" t="n">
        <v>0</v>
      </c>
      <c r="ZQ300" s="9" t="n">
        <v>0</v>
      </c>
      <c r="ZU300" s="10" t="n">
        <v>46276</v>
      </c>
      <c r="ZW300" s="9" t="n">
        <v>0</v>
      </c>
      <c r="ZY300" s="9" t="n">
        <v>0</v>
      </c>
      <c r="ZZ300" s="9" t="n">
        <v>0</v>
      </c>
      <c r="AAD300" s="10" t="n">
        <v>46276</v>
      </c>
      <c r="AAF300" s="9" t="n">
        <v>0</v>
      </c>
      <c r="AAH300" s="9" t="n">
        <v>0</v>
      </c>
      <c r="AAI300" s="9" t="n">
        <v>0</v>
      </c>
      <c r="AAM300" s="10" t="n">
        <v>46276</v>
      </c>
      <c r="AAO300" s="9" t="n">
        <v>0</v>
      </c>
      <c r="AAQ300" s="9" t="n">
        <v>0</v>
      </c>
      <c r="AAR300" s="9" t="n">
        <v>0</v>
      </c>
      <c r="AAV300" s="10" t="n">
        <v>46276</v>
      </c>
      <c r="AAX300" s="9" t="n">
        <v>0</v>
      </c>
      <c r="AAZ300" s="9" t="n">
        <v>0</v>
      </c>
      <c r="ABA300" s="9" t="n">
        <v>0</v>
      </c>
      <c r="ABE300" s="10" t="n">
        <v>46276</v>
      </c>
      <c r="ABG300" s="9" t="n">
        <v>0</v>
      </c>
      <c r="ABI300" s="9" t="n">
        <v>0</v>
      </c>
      <c r="ABJ300" s="9" t="n">
        <v>0</v>
      </c>
    </row>
    <row r="301">
      <c r="C301" s="10" t="n">
        <v>46277</v>
      </c>
      <c r="E301" s="9" t="n">
        <v>0</v>
      </c>
      <c r="G301" s="9" t="n">
        <v>0</v>
      </c>
      <c r="H301" s="9" t="n">
        <v>236936.6</v>
      </c>
      <c r="L301" s="10" t="n">
        <v>46277</v>
      </c>
      <c r="N301" s="9" t="n">
        <v>0</v>
      </c>
      <c r="P301" s="9" t="n">
        <v>0</v>
      </c>
      <c r="Q301" s="9" t="n">
        <v>53017.60000000007</v>
      </c>
      <c r="U301" s="10" t="n">
        <v>46277</v>
      </c>
      <c r="W301" s="9" t="n">
        <v>0</v>
      </c>
      <c r="Y301" s="9" t="n">
        <v>0</v>
      </c>
      <c r="Z301" s="9" t="n">
        <v>42674.19999999997</v>
      </c>
      <c r="AD301" s="10" t="n">
        <v>46277</v>
      </c>
      <c r="AF301" s="9" t="n">
        <v>0</v>
      </c>
      <c r="AH301" s="9" t="n">
        <v>0</v>
      </c>
      <c r="AI301" s="9" t="n">
        <v>4522.200000000019</v>
      </c>
      <c r="AM301" s="10" t="n">
        <v>46277</v>
      </c>
      <c r="AO301" s="9" t="n">
        <v>0</v>
      </c>
      <c r="AQ301" s="9" t="n">
        <v>0</v>
      </c>
      <c r="AR301" s="9" t="n">
        <v>0</v>
      </c>
      <c r="AV301" s="10" t="n">
        <v>46277</v>
      </c>
      <c r="AX301" s="9" t="n">
        <v>0</v>
      </c>
      <c r="AZ301" s="9" t="n">
        <v>0</v>
      </c>
      <c r="BA301" s="9" t="n">
        <v>124.9999999999952</v>
      </c>
      <c r="BE301" s="10" t="n">
        <v>46277</v>
      </c>
      <c r="BG301" s="9" t="n">
        <v>0</v>
      </c>
      <c r="BI301" s="9" t="n">
        <v>0</v>
      </c>
      <c r="BJ301" s="9" t="n">
        <v>26151.9</v>
      </c>
      <c r="BN301" s="10" t="n">
        <v>46277</v>
      </c>
      <c r="BP301" s="9" t="n">
        <v>0</v>
      </c>
      <c r="BR301" s="9" t="n">
        <v>0</v>
      </c>
      <c r="BS301" s="9" t="n">
        <v>0</v>
      </c>
      <c r="BW301" s="10" t="n">
        <v>46277</v>
      </c>
      <c r="BY301" s="9" t="n">
        <v>0</v>
      </c>
      <c r="CA301" s="9" t="n">
        <v>0</v>
      </c>
      <c r="CB301" s="9" t="n">
        <v>2097.339999999999</v>
      </c>
      <c r="CF301" s="10" t="n">
        <v>46277</v>
      </c>
      <c r="CH301" s="9" t="n">
        <v>0</v>
      </c>
      <c r="CJ301" s="9" t="n">
        <v>0</v>
      </c>
      <c r="CK301" s="9" t="n">
        <v>-10277.08</v>
      </c>
      <c r="CO301" s="10" t="n">
        <v>46277</v>
      </c>
      <c r="CQ301" s="9" t="n">
        <v>0</v>
      </c>
      <c r="CS301" s="9" t="n">
        <v>0</v>
      </c>
      <c r="CT301" s="9" t="n">
        <v>0</v>
      </c>
      <c r="CX301" s="10" t="n">
        <v>46277</v>
      </c>
      <c r="CZ301" s="9" t="n">
        <v>0</v>
      </c>
      <c r="DB301" s="9" t="n">
        <v>0</v>
      </c>
      <c r="DC301" s="9" t="n">
        <v>27438.20000000001</v>
      </c>
      <c r="DG301" s="10" t="n">
        <v>46277</v>
      </c>
      <c r="DI301" s="9" t="n">
        <v>0</v>
      </c>
      <c r="DK301" s="9" t="n">
        <v>0</v>
      </c>
      <c r="DL301" s="9" t="n">
        <v>18782.29999999998</v>
      </c>
      <c r="DP301" s="10" t="n">
        <v>46277</v>
      </c>
      <c r="DR301" s="9" t="n">
        <v>0</v>
      </c>
      <c r="DT301" s="9" t="n">
        <v>0</v>
      </c>
      <c r="DU301" s="9" t="n">
        <v>5800</v>
      </c>
      <c r="DY301" s="10" t="n">
        <v>46277</v>
      </c>
      <c r="EA301" s="9" t="n">
        <v>0</v>
      </c>
      <c r="EC301" s="9" t="n">
        <v>0</v>
      </c>
      <c r="ED301" s="9" t="n">
        <v>0</v>
      </c>
      <c r="EH301" s="10" t="n">
        <v>46277</v>
      </c>
      <c r="EJ301" s="9" t="n">
        <v>0</v>
      </c>
      <c r="EL301" s="9" t="n">
        <v>0</v>
      </c>
      <c r="EM301" s="9" t="n">
        <v>0</v>
      </c>
      <c r="EQ301" s="10" t="n">
        <v>46277</v>
      </c>
      <c r="ES301" s="9" t="n">
        <v>0</v>
      </c>
      <c r="EU301" s="9" t="n">
        <v>0</v>
      </c>
      <c r="EV301" s="9" t="n">
        <v>0</v>
      </c>
      <c r="EZ301" s="10" t="n">
        <v>46277</v>
      </c>
      <c r="FB301" s="9" t="n">
        <v>0</v>
      </c>
      <c r="FD301" s="9" t="n">
        <v>0</v>
      </c>
      <c r="FE301" s="9" t="n">
        <v>0</v>
      </c>
      <c r="FI301" s="10" t="n">
        <v>46277</v>
      </c>
      <c r="FK301" s="9" t="n">
        <v>0</v>
      </c>
      <c r="FM301" s="9" t="n">
        <v>0</v>
      </c>
      <c r="FN301" s="9" t="n">
        <v>0</v>
      </c>
      <c r="FR301" s="10" t="n">
        <v>46277</v>
      </c>
      <c r="FT301" s="9" t="n">
        <v>0</v>
      </c>
      <c r="FV301" s="9" t="n">
        <v>0</v>
      </c>
      <c r="FW301" s="9" t="n">
        <v>2020</v>
      </c>
      <c r="GA301" s="10" t="n">
        <v>46277</v>
      </c>
      <c r="GC301" s="9" t="n">
        <v>0</v>
      </c>
      <c r="GE301" s="9" t="n">
        <v>0</v>
      </c>
      <c r="GF301" s="9" t="n">
        <v>960</v>
      </c>
      <c r="GJ301" s="10" t="n">
        <v>46277</v>
      </c>
      <c r="GL301" s="9" t="n">
        <v>0</v>
      </c>
      <c r="GN301" s="9" t="n">
        <v>0</v>
      </c>
      <c r="GO301" s="9" t="n">
        <v>1760</v>
      </c>
      <c r="GS301" s="10" t="n">
        <v>46277</v>
      </c>
      <c r="GU301" s="9" t="n">
        <v>0</v>
      </c>
      <c r="GW301" s="9" t="n">
        <v>0</v>
      </c>
      <c r="GX301" s="9" t="n">
        <v>400</v>
      </c>
      <c r="HB301" s="10" t="n">
        <v>46277</v>
      </c>
      <c r="HD301" s="9" t="n">
        <v>0</v>
      </c>
      <c r="HF301" s="9" t="n">
        <v>0</v>
      </c>
      <c r="HG301" s="9" t="n">
        <v>3600</v>
      </c>
      <c r="HK301" s="10" t="n">
        <v>46277</v>
      </c>
      <c r="HM301" s="9" t="n">
        <v>0</v>
      </c>
      <c r="HO301" s="9" t="n">
        <v>0</v>
      </c>
      <c r="HP301" s="9" t="n">
        <v>0</v>
      </c>
      <c r="HU301" s="10" t="n">
        <v>46277</v>
      </c>
      <c r="HW301" s="9" t="n">
        <v>0</v>
      </c>
      <c r="HY301" s="9" t="n">
        <v>0</v>
      </c>
      <c r="HZ301" s="9" t="n">
        <v>6120</v>
      </c>
      <c r="ID301" s="10" t="n">
        <v>46277</v>
      </c>
      <c r="IF301" s="9" t="n">
        <v>0</v>
      </c>
      <c r="IH301" s="9" t="n">
        <v>0</v>
      </c>
      <c r="II301" s="9" t="n">
        <v>0</v>
      </c>
      <c r="IM301" s="10" t="n">
        <v>46277</v>
      </c>
      <c r="IO301" s="9" t="n">
        <v>0</v>
      </c>
      <c r="IQ301" s="9" t="n">
        <v>0</v>
      </c>
      <c r="IR301" s="9" t="n">
        <v>0</v>
      </c>
      <c r="IV301" s="10" t="n">
        <v>46277</v>
      </c>
      <c r="IX301" s="9" t="n">
        <v>0</v>
      </c>
      <c r="IZ301" s="9" t="n">
        <v>0</v>
      </c>
      <c r="JA301" s="9" t="n">
        <v>2820</v>
      </c>
      <c r="JE301" s="10" t="n">
        <v>46277</v>
      </c>
      <c r="JG301" s="9" t="n">
        <v>0</v>
      </c>
      <c r="JI301" s="9" t="n">
        <v>0</v>
      </c>
      <c r="JJ301" s="9" t="n">
        <v>0</v>
      </c>
      <c r="JN301" s="10" t="n">
        <v>46277</v>
      </c>
      <c r="JP301" s="9" t="n">
        <v>0</v>
      </c>
      <c r="JR301" s="9" t="n">
        <v>0</v>
      </c>
      <c r="JS301" s="9" t="n">
        <v>0</v>
      </c>
      <c r="JW301" s="10" t="n">
        <v>46277</v>
      </c>
      <c r="JY301" s="9" t="n">
        <v>0</v>
      </c>
      <c r="KA301" s="9" t="n">
        <v>0</v>
      </c>
      <c r="KB301" s="9" t="n">
        <v>2540</v>
      </c>
      <c r="KF301" s="10" t="n">
        <v>46277</v>
      </c>
      <c r="KH301" s="9" t="n">
        <v>0</v>
      </c>
      <c r="KJ301" s="9" t="n">
        <v>0</v>
      </c>
      <c r="KK301" s="9" t="n">
        <v>2359.5</v>
      </c>
      <c r="KO301" s="10" t="n">
        <v>46277</v>
      </c>
      <c r="KQ301" s="9" t="n">
        <v>0</v>
      </c>
      <c r="KS301" s="9" t="n">
        <v>0</v>
      </c>
      <c r="KT301" s="9" t="n">
        <v>1890</v>
      </c>
      <c r="KX301" s="10" t="n">
        <v>46277</v>
      </c>
      <c r="KZ301" s="9" t="n">
        <v>0</v>
      </c>
      <c r="LB301" s="9" t="n">
        <v>0</v>
      </c>
      <c r="LC301" s="9" t="n">
        <v>3690</v>
      </c>
      <c r="LG301" s="10" t="n">
        <v>46277</v>
      </c>
      <c r="LI301" s="9" t="n">
        <v>0</v>
      </c>
      <c r="LK301" s="9" t="n">
        <v>0</v>
      </c>
      <c r="LL301" s="9" t="n">
        <v>4000</v>
      </c>
      <c r="LP301" s="10" t="n">
        <v>46277</v>
      </c>
      <c r="LR301" s="9" t="n">
        <v>0</v>
      </c>
      <c r="LT301" s="9" t="n">
        <v>0</v>
      </c>
      <c r="LU301" s="9" t="n">
        <v>0</v>
      </c>
      <c r="LY301" s="10" t="n">
        <v>46277</v>
      </c>
      <c r="MA301" s="9" t="n">
        <v>0</v>
      </c>
      <c r="MC301" s="9" t="n">
        <v>0</v>
      </c>
      <c r="MD301" s="9" t="n">
        <v>0</v>
      </c>
      <c r="MH301" s="10" t="n">
        <v>46277</v>
      </c>
      <c r="MJ301" s="9" t="n">
        <v>0</v>
      </c>
      <c r="ML301" s="9" t="n">
        <v>0</v>
      </c>
      <c r="MM301" s="9" t="n">
        <v>0</v>
      </c>
      <c r="MQ301" s="10" t="n">
        <v>46277</v>
      </c>
      <c r="MS301" s="9" t="n">
        <v>0</v>
      </c>
      <c r="MU301" s="9" t="n">
        <v>0</v>
      </c>
      <c r="MV301" s="9" t="n">
        <v>1625</v>
      </c>
      <c r="MZ301" s="10" t="n">
        <v>46277</v>
      </c>
      <c r="NB301" s="9" t="n">
        <v>0</v>
      </c>
      <c r="ND301" s="9" t="n">
        <v>0</v>
      </c>
      <c r="NE301" s="9" t="n">
        <v>0</v>
      </c>
      <c r="NI301" s="10" t="n">
        <v>46277</v>
      </c>
      <c r="NK301" s="9" t="n">
        <v>0</v>
      </c>
      <c r="NM301" s="9" t="n">
        <v>0</v>
      </c>
      <c r="NN301" s="9" t="n">
        <v>1127</v>
      </c>
      <c r="NR301" s="10" t="n">
        <v>46277</v>
      </c>
      <c r="NT301" s="9" t="n">
        <v>0</v>
      </c>
      <c r="NV301" s="9" t="n">
        <v>0</v>
      </c>
      <c r="NW301" s="9" t="n">
        <v>3112</v>
      </c>
      <c r="OA301" s="10" t="n">
        <v>46277</v>
      </c>
      <c r="OC301" s="9" t="n">
        <v>0</v>
      </c>
      <c r="OE301" s="9" t="n">
        <v>0</v>
      </c>
      <c r="OF301" s="9" t="n">
        <v>1680.5</v>
      </c>
      <c r="OJ301" s="10" t="n">
        <v>46277</v>
      </c>
      <c r="OL301" s="9" t="n">
        <v>0</v>
      </c>
      <c r="ON301" s="9" t="n">
        <v>0</v>
      </c>
      <c r="OO301" s="9" t="n">
        <v>0</v>
      </c>
      <c r="OS301" s="10" t="n">
        <v>46277</v>
      </c>
      <c r="OU301" s="9" t="n">
        <v>0</v>
      </c>
      <c r="OW301" s="9" t="n">
        <v>0</v>
      </c>
      <c r="OX301" s="9" t="n">
        <v>1482</v>
      </c>
      <c r="PB301" s="10" t="n">
        <v>46277</v>
      </c>
      <c r="PD301" s="9" t="n">
        <v>0</v>
      </c>
      <c r="PF301" s="9" t="n">
        <v>0</v>
      </c>
      <c r="PG301" s="9" t="n">
        <v>0</v>
      </c>
      <c r="PK301" s="10" t="n">
        <v>46277</v>
      </c>
      <c r="PM301" s="9" t="n">
        <v>0</v>
      </c>
      <c r="PO301" s="9" t="n">
        <v>0</v>
      </c>
      <c r="PP301" s="9" t="n">
        <v>100</v>
      </c>
      <c r="PT301" s="10" t="n">
        <v>46277</v>
      </c>
      <c r="PV301" s="9" t="n">
        <v>0</v>
      </c>
      <c r="PX301" s="9" t="n">
        <v>0</v>
      </c>
      <c r="PY301" s="9" t="n">
        <v>13.96000000000004</v>
      </c>
      <c r="QC301" s="10" t="n">
        <v>46277</v>
      </c>
      <c r="QE301" s="9" t="n">
        <v>0</v>
      </c>
      <c r="QG301" s="9" t="n">
        <v>0</v>
      </c>
      <c r="QH301" s="9" t="n">
        <v>548</v>
      </c>
      <c r="QL301" s="10" t="n">
        <v>46277</v>
      </c>
      <c r="QN301" s="9" t="n">
        <v>0</v>
      </c>
      <c r="QP301" s="9" t="n">
        <v>0</v>
      </c>
      <c r="QQ301" s="9" t="n">
        <v>0</v>
      </c>
      <c r="QU301" s="10" t="n">
        <v>46277</v>
      </c>
      <c r="QW301" s="9" t="n">
        <v>0</v>
      </c>
      <c r="QY301" s="9" t="n">
        <v>0</v>
      </c>
      <c r="QZ301" s="9" t="n">
        <v>0</v>
      </c>
      <c r="RD301" s="10" t="n">
        <v>46277</v>
      </c>
      <c r="RF301" s="9" t="n">
        <v>0</v>
      </c>
      <c r="RH301" s="9" t="n">
        <v>0</v>
      </c>
      <c r="RI301" s="9" t="n">
        <v>147.04</v>
      </c>
      <c r="RM301" s="10" t="n">
        <v>46277</v>
      </c>
      <c r="RO301" s="9" t="n">
        <v>0</v>
      </c>
      <c r="RQ301" s="9" t="n">
        <v>0</v>
      </c>
      <c r="RR301" s="9" t="n">
        <v>46.8</v>
      </c>
      <c r="RV301" s="10" t="n">
        <v>46277</v>
      </c>
      <c r="RX301" s="9" t="n">
        <v>0</v>
      </c>
      <c r="RZ301" s="9" t="n">
        <v>0</v>
      </c>
      <c r="SA301" s="9" t="n">
        <v>0</v>
      </c>
      <c r="SE301" s="10" t="n">
        <v>46277</v>
      </c>
      <c r="SG301" s="9" t="n">
        <v>0</v>
      </c>
      <c r="SI301" s="9" t="n">
        <v>0</v>
      </c>
      <c r="SJ301" s="9" t="n">
        <v>24.2</v>
      </c>
      <c r="SN301" s="10" t="n">
        <v>46277</v>
      </c>
      <c r="SP301" s="9" t="n">
        <v>0</v>
      </c>
      <c r="SR301" s="9" t="n">
        <v>0</v>
      </c>
      <c r="SS301" s="9" t="n">
        <v>32</v>
      </c>
      <c r="SW301" s="10" t="n">
        <v>46277</v>
      </c>
      <c r="SY301" s="9" t="n">
        <v>0</v>
      </c>
      <c r="TA301" s="9" t="n">
        <v>0</v>
      </c>
      <c r="TB301" s="9" t="n">
        <v>0</v>
      </c>
      <c r="TF301" s="10" t="n">
        <v>46277</v>
      </c>
      <c r="TH301" s="9" t="n">
        <v>0</v>
      </c>
      <c r="TJ301" s="9" t="n">
        <v>0</v>
      </c>
      <c r="TK301" s="9" t="n">
        <v>0</v>
      </c>
      <c r="TO301" s="10" t="n">
        <v>46277</v>
      </c>
      <c r="TQ301" s="9" t="n">
        <v>0</v>
      </c>
      <c r="TS301" s="9" t="n">
        <v>0</v>
      </c>
      <c r="TT301" s="9" t="n">
        <v>0</v>
      </c>
      <c r="TX301" s="10" t="n">
        <v>46277</v>
      </c>
      <c r="TZ301" s="9" t="n">
        <v>0</v>
      </c>
      <c r="UB301" s="9" t="n">
        <v>0</v>
      </c>
      <c r="UC301" s="9" t="n">
        <v>46.79999999999998</v>
      </c>
      <c r="UG301" s="10" t="n">
        <v>46277</v>
      </c>
      <c r="UI301" s="9" t="n">
        <v>0</v>
      </c>
      <c r="UK301" s="9" t="n">
        <v>0</v>
      </c>
      <c r="UL301" s="9" t="n">
        <v>204</v>
      </c>
      <c r="UP301" s="10" t="n">
        <v>46277</v>
      </c>
      <c r="UR301" s="9" t="n">
        <v>0</v>
      </c>
      <c r="UT301" s="9" t="n">
        <v>0</v>
      </c>
      <c r="UU301" s="9" t="n">
        <v>202.5</v>
      </c>
      <c r="UY301" s="10" t="n">
        <v>46277</v>
      </c>
      <c r="VA301" s="9" t="n">
        <v>0</v>
      </c>
      <c r="VC301" s="9" t="n">
        <v>0</v>
      </c>
      <c r="VD301" s="9" t="n">
        <v>41.60000000000002</v>
      </c>
      <c r="VH301" s="10" t="n">
        <v>46277</v>
      </c>
      <c r="VJ301" s="9" t="n">
        <v>0</v>
      </c>
      <c r="VL301" s="9" t="n">
        <v>0</v>
      </c>
      <c r="VM301" s="9" t="n">
        <v>210</v>
      </c>
      <c r="VQ301" s="10" t="n">
        <v>46277</v>
      </c>
      <c r="VS301" s="9" t="n">
        <v>0</v>
      </c>
      <c r="VU301" s="9" t="n">
        <v>0</v>
      </c>
      <c r="VV301" s="9" t="n">
        <v>0</v>
      </c>
      <c r="VZ301" s="10" t="n">
        <v>46277</v>
      </c>
      <c r="WB301" s="9" t="n">
        <v>0</v>
      </c>
      <c r="WD301" s="9" t="n">
        <v>0</v>
      </c>
      <c r="WE301" s="9" t="n">
        <v>0</v>
      </c>
      <c r="WI301" s="10" t="n">
        <v>46277</v>
      </c>
      <c r="WK301" s="9" t="n">
        <v>0</v>
      </c>
      <c r="WM301" s="9" t="n">
        <v>0</v>
      </c>
      <c r="WN301" s="9" t="n">
        <v>1057</v>
      </c>
      <c r="WR301" s="10" t="n">
        <v>46277</v>
      </c>
      <c r="WT301" s="9" t="n">
        <v>0</v>
      </c>
      <c r="WV301" s="9" t="n">
        <v>0</v>
      </c>
      <c r="WW301" s="9" t="n">
        <v>0</v>
      </c>
      <c r="XA301" s="10" t="n">
        <v>46277</v>
      </c>
      <c r="XC301" s="9" t="n">
        <v>0</v>
      </c>
      <c r="XE301" s="9" t="n">
        <v>0</v>
      </c>
      <c r="XF301" s="9" t="n">
        <v>7507</v>
      </c>
      <c r="XJ301" s="10" t="n">
        <v>46277</v>
      </c>
      <c r="XL301" s="9" t="n">
        <v>0</v>
      </c>
      <c r="XN301" s="9" t="n">
        <v>0</v>
      </c>
      <c r="XO301" s="9" t="n">
        <v>4252</v>
      </c>
      <c r="XS301" s="10" t="n">
        <v>46277</v>
      </c>
      <c r="XU301" s="9" t="n">
        <v>0</v>
      </c>
      <c r="XW301" s="9" t="n">
        <v>0</v>
      </c>
      <c r="XX301" s="9" t="n">
        <v>2179</v>
      </c>
      <c r="YB301" s="10" t="n">
        <v>46277</v>
      </c>
      <c r="YD301" s="9" t="n">
        <v>0</v>
      </c>
      <c r="YF301" s="9" t="n">
        <v>0</v>
      </c>
      <c r="YG301" s="9" t="n">
        <v>4019</v>
      </c>
      <c r="YK301" s="10" t="n">
        <v>46277</v>
      </c>
      <c r="YM301" s="9" t="n">
        <v>0</v>
      </c>
      <c r="YO301" s="9" t="n">
        <v>0</v>
      </c>
      <c r="YP301" s="9" t="n">
        <v>-218</v>
      </c>
      <c r="YT301" s="10" t="n">
        <v>46277</v>
      </c>
      <c r="YV301" s="9" t="n">
        <v>0</v>
      </c>
      <c r="YX301" s="9" t="n">
        <v>0</v>
      </c>
      <c r="YY301" s="9" t="n">
        <v>0</v>
      </c>
      <c r="ZC301" s="10" t="n">
        <v>46277</v>
      </c>
      <c r="ZE301" s="9" t="n">
        <v>0</v>
      </c>
      <c r="ZG301" s="9" t="n">
        <v>0</v>
      </c>
      <c r="ZH301" s="9" t="n">
        <v>0</v>
      </c>
      <c r="ZL301" s="10" t="n">
        <v>46277</v>
      </c>
      <c r="ZN301" s="9" t="n">
        <v>0</v>
      </c>
      <c r="ZP301" s="9" t="n">
        <v>0</v>
      </c>
      <c r="ZQ301" s="9" t="n">
        <v>0</v>
      </c>
      <c r="ZU301" s="10" t="n">
        <v>46277</v>
      </c>
      <c r="ZW301" s="9" t="n">
        <v>0</v>
      </c>
      <c r="ZY301" s="9" t="n">
        <v>0</v>
      </c>
      <c r="ZZ301" s="9" t="n">
        <v>0</v>
      </c>
      <c r="AAD301" s="10" t="n">
        <v>46277</v>
      </c>
      <c r="AAF301" s="9" t="n">
        <v>0</v>
      </c>
      <c r="AAH301" s="9" t="n">
        <v>0</v>
      </c>
      <c r="AAI301" s="9" t="n">
        <v>0</v>
      </c>
      <c r="AAM301" s="10" t="n">
        <v>46277</v>
      </c>
      <c r="AAO301" s="9" t="n">
        <v>0</v>
      </c>
      <c r="AAQ301" s="9" t="n">
        <v>0</v>
      </c>
      <c r="AAR301" s="9" t="n">
        <v>0</v>
      </c>
      <c r="AAV301" s="10" t="n">
        <v>46277</v>
      </c>
      <c r="AAX301" s="9" t="n">
        <v>0</v>
      </c>
      <c r="AAZ301" s="9" t="n">
        <v>0</v>
      </c>
      <c r="ABA301" s="9" t="n">
        <v>0</v>
      </c>
      <c r="ABE301" s="10" t="n">
        <v>46277</v>
      </c>
      <c r="ABG301" s="9" t="n">
        <v>0</v>
      </c>
      <c r="ABI301" s="9" t="n">
        <v>0</v>
      </c>
      <c r="ABJ301" s="9" t="n">
        <v>0</v>
      </c>
    </row>
    <row r="302">
      <c r="C302" s="10" t="n">
        <v>46278</v>
      </c>
      <c r="E302" s="9" t="n">
        <v>0</v>
      </c>
      <c r="G302" s="9" t="n">
        <v>0</v>
      </c>
      <c r="H302" s="9" t="n">
        <v>236936.6</v>
      </c>
      <c r="L302" s="10" t="n">
        <v>46278</v>
      </c>
      <c r="N302" s="9" t="n">
        <v>0</v>
      </c>
      <c r="P302" s="9" t="n">
        <v>0</v>
      </c>
      <c r="Q302" s="9" t="n">
        <v>53017.60000000007</v>
      </c>
      <c r="U302" s="10" t="n">
        <v>46278</v>
      </c>
      <c r="W302" s="9" t="n">
        <v>0</v>
      </c>
      <c r="Y302" s="9" t="n">
        <v>0</v>
      </c>
      <c r="Z302" s="9" t="n">
        <v>42674.19999999997</v>
      </c>
      <c r="AD302" s="10" t="n">
        <v>46278</v>
      </c>
      <c r="AF302" s="9" t="n">
        <v>0</v>
      </c>
      <c r="AH302" s="9" t="n">
        <v>0</v>
      </c>
      <c r="AI302" s="9" t="n">
        <v>4522.200000000019</v>
      </c>
      <c r="AM302" s="10" t="n">
        <v>46278</v>
      </c>
      <c r="AO302" s="9" t="n">
        <v>0</v>
      </c>
      <c r="AQ302" s="9" t="n">
        <v>0</v>
      </c>
      <c r="AR302" s="9" t="n">
        <v>0</v>
      </c>
      <c r="AV302" s="10" t="n">
        <v>46278</v>
      </c>
      <c r="AX302" s="9" t="n">
        <v>0</v>
      </c>
      <c r="AZ302" s="9" t="n">
        <v>0</v>
      </c>
      <c r="BA302" s="9" t="n">
        <v>124.9999999999952</v>
      </c>
      <c r="BE302" s="10" t="n">
        <v>46278</v>
      </c>
      <c r="BG302" s="9" t="n">
        <v>0</v>
      </c>
      <c r="BI302" s="9" t="n">
        <v>0</v>
      </c>
      <c r="BJ302" s="9" t="n">
        <v>26151.9</v>
      </c>
      <c r="BN302" s="10" t="n">
        <v>46278</v>
      </c>
      <c r="BP302" s="9" t="n">
        <v>0</v>
      </c>
      <c r="BR302" s="9" t="n">
        <v>0</v>
      </c>
      <c r="BS302" s="9" t="n">
        <v>0</v>
      </c>
      <c r="BW302" s="10" t="n">
        <v>46278</v>
      </c>
      <c r="BY302" s="9" t="n">
        <v>0</v>
      </c>
      <c r="CA302" s="9" t="n">
        <v>0</v>
      </c>
      <c r="CB302" s="9" t="n">
        <v>2097.339999999999</v>
      </c>
      <c r="CF302" s="10" t="n">
        <v>46278</v>
      </c>
      <c r="CH302" s="9" t="n">
        <v>0</v>
      </c>
      <c r="CJ302" s="9" t="n">
        <v>0</v>
      </c>
      <c r="CK302" s="9" t="n">
        <v>-10277.08</v>
      </c>
      <c r="CO302" s="10" t="n">
        <v>46278</v>
      </c>
      <c r="CQ302" s="9" t="n">
        <v>0</v>
      </c>
      <c r="CS302" s="9" t="n">
        <v>0</v>
      </c>
      <c r="CT302" s="9" t="n">
        <v>0</v>
      </c>
      <c r="CX302" s="10" t="n">
        <v>46278</v>
      </c>
      <c r="CZ302" s="9" t="n">
        <v>0</v>
      </c>
      <c r="DB302" s="9" t="n">
        <v>0</v>
      </c>
      <c r="DC302" s="9" t="n">
        <v>27438.20000000001</v>
      </c>
      <c r="DG302" s="10" t="n">
        <v>46278</v>
      </c>
      <c r="DI302" s="9" t="n">
        <v>0</v>
      </c>
      <c r="DK302" s="9" t="n">
        <v>0</v>
      </c>
      <c r="DL302" s="9" t="n">
        <v>18782.29999999998</v>
      </c>
      <c r="DP302" s="10" t="n">
        <v>46278</v>
      </c>
      <c r="DR302" s="9" t="n">
        <v>0</v>
      </c>
      <c r="DT302" s="9" t="n">
        <v>0</v>
      </c>
      <c r="DU302" s="9" t="n">
        <v>5800</v>
      </c>
      <c r="DY302" s="10" t="n">
        <v>46278</v>
      </c>
      <c r="EA302" s="9" t="n">
        <v>0</v>
      </c>
      <c r="EC302" s="9" t="n">
        <v>0</v>
      </c>
      <c r="ED302" s="9" t="n">
        <v>0</v>
      </c>
      <c r="EH302" s="10" t="n">
        <v>46278</v>
      </c>
      <c r="EJ302" s="9" t="n">
        <v>0</v>
      </c>
      <c r="EL302" s="9" t="n">
        <v>0</v>
      </c>
      <c r="EM302" s="9" t="n">
        <v>0</v>
      </c>
      <c r="EQ302" s="10" t="n">
        <v>46278</v>
      </c>
      <c r="ES302" s="9" t="n">
        <v>0</v>
      </c>
      <c r="EU302" s="9" t="n">
        <v>0</v>
      </c>
      <c r="EV302" s="9" t="n">
        <v>0</v>
      </c>
      <c r="EZ302" s="10" t="n">
        <v>46278</v>
      </c>
      <c r="FB302" s="9" t="n">
        <v>0</v>
      </c>
      <c r="FD302" s="9" t="n">
        <v>0</v>
      </c>
      <c r="FE302" s="9" t="n">
        <v>0</v>
      </c>
      <c r="FI302" s="10" t="n">
        <v>46278</v>
      </c>
      <c r="FK302" s="9" t="n">
        <v>0</v>
      </c>
      <c r="FM302" s="9" t="n">
        <v>0</v>
      </c>
      <c r="FN302" s="9" t="n">
        <v>0</v>
      </c>
      <c r="FR302" s="10" t="n">
        <v>46278</v>
      </c>
      <c r="FT302" s="9" t="n">
        <v>0</v>
      </c>
      <c r="FV302" s="9" t="n">
        <v>0</v>
      </c>
      <c r="FW302" s="9" t="n">
        <v>2020</v>
      </c>
      <c r="GA302" s="10" t="n">
        <v>46278</v>
      </c>
      <c r="GC302" s="9" t="n">
        <v>0</v>
      </c>
      <c r="GE302" s="9" t="n">
        <v>0</v>
      </c>
      <c r="GF302" s="9" t="n">
        <v>960</v>
      </c>
      <c r="GJ302" s="10" t="n">
        <v>46278</v>
      </c>
      <c r="GL302" s="9" t="n">
        <v>0</v>
      </c>
      <c r="GN302" s="9" t="n">
        <v>0</v>
      </c>
      <c r="GO302" s="9" t="n">
        <v>1760</v>
      </c>
      <c r="GS302" s="10" t="n">
        <v>46278</v>
      </c>
      <c r="GU302" s="9" t="n">
        <v>0</v>
      </c>
      <c r="GW302" s="9" t="n">
        <v>0</v>
      </c>
      <c r="GX302" s="9" t="n">
        <v>400</v>
      </c>
      <c r="HB302" s="10" t="n">
        <v>46278</v>
      </c>
      <c r="HD302" s="9" t="n">
        <v>0</v>
      </c>
      <c r="HF302" s="9" t="n">
        <v>0</v>
      </c>
      <c r="HG302" s="9" t="n">
        <v>3600</v>
      </c>
      <c r="HK302" s="10" t="n">
        <v>46278</v>
      </c>
      <c r="HM302" s="9" t="n">
        <v>0</v>
      </c>
      <c r="HO302" s="9" t="n">
        <v>0</v>
      </c>
      <c r="HP302" s="9" t="n">
        <v>0</v>
      </c>
      <c r="HU302" s="10" t="n">
        <v>46278</v>
      </c>
      <c r="HW302" s="9" t="n">
        <v>0</v>
      </c>
      <c r="HY302" s="9" t="n">
        <v>0</v>
      </c>
      <c r="HZ302" s="9" t="n">
        <v>6120</v>
      </c>
      <c r="ID302" s="10" t="n">
        <v>46278</v>
      </c>
      <c r="IF302" s="9" t="n">
        <v>0</v>
      </c>
      <c r="IH302" s="9" t="n">
        <v>0</v>
      </c>
      <c r="II302" s="9" t="n">
        <v>0</v>
      </c>
      <c r="IM302" s="10" t="n">
        <v>46278</v>
      </c>
      <c r="IO302" s="9" t="n">
        <v>0</v>
      </c>
      <c r="IQ302" s="9" t="n">
        <v>0</v>
      </c>
      <c r="IR302" s="9" t="n">
        <v>0</v>
      </c>
      <c r="IV302" s="10" t="n">
        <v>46278</v>
      </c>
      <c r="IX302" s="9" t="n">
        <v>0</v>
      </c>
      <c r="IZ302" s="9" t="n">
        <v>0</v>
      </c>
      <c r="JA302" s="9" t="n">
        <v>2820</v>
      </c>
      <c r="JE302" s="10" t="n">
        <v>46278</v>
      </c>
      <c r="JG302" s="9" t="n">
        <v>0</v>
      </c>
      <c r="JI302" s="9" t="n">
        <v>0</v>
      </c>
      <c r="JJ302" s="9" t="n">
        <v>0</v>
      </c>
      <c r="JN302" s="10" t="n">
        <v>46278</v>
      </c>
      <c r="JP302" s="9" t="n">
        <v>0</v>
      </c>
      <c r="JR302" s="9" t="n">
        <v>0</v>
      </c>
      <c r="JS302" s="9" t="n">
        <v>0</v>
      </c>
      <c r="JW302" s="10" t="n">
        <v>46278</v>
      </c>
      <c r="JY302" s="9" t="n">
        <v>0</v>
      </c>
      <c r="KA302" s="9" t="n">
        <v>0</v>
      </c>
      <c r="KB302" s="9" t="n">
        <v>2540</v>
      </c>
      <c r="KF302" s="10" t="n">
        <v>46278</v>
      </c>
      <c r="KH302" s="9" t="n">
        <v>0</v>
      </c>
      <c r="KJ302" s="9" t="n">
        <v>0</v>
      </c>
      <c r="KK302" s="9" t="n">
        <v>2359.5</v>
      </c>
      <c r="KO302" s="10" t="n">
        <v>46278</v>
      </c>
      <c r="KQ302" s="9" t="n">
        <v>0</v>
      </c>
      <c r="KS302" s="9" t="n">
        <v>0</v>
      </c>
      <c r="KT302" s="9" t="n">
        <v>1890</v>
      </c>
      <c r="KX302" s="10" t="n">
        <v>46278</v>
      </c>
      <c r="KZ302" s="9" t="n">
        <v>0</v>
      </c>
      <c r="LB302" s="9" t="n">
        <v>0</v>
      </c>
      <c r="LC302" s="9" t="n">
        <v>3690</v>
      </c>
      <c r="LG302" s="10" t="n">
        <v>46278</v>
      </c>
      <c r="LI302" s="9" t="n">
        <v>0</v>
      </c>
      <c r="LK302" s="9" t="n">
        <v>0</v>
      </c>
      <c r="LL302" s="9" t="n">
        <v>4000</v>
      </c>
      <c r="LP302" s="10" t="n">
        <v>46278</v>
      </c>
      <c r="LR302" s="9" t="n">
        <v>0</v>
      </c>
      <c r="LT302" s="9" t="n">
        <v>0</v>
      </c>
      <c r="LU302" s="9" t="n">
        <v>0</v>
      </c>
      <c r="LY302" s="10" t="n">
        <v>46278</v>
      </c>
      <c r="MA302" s="9" t="n">
        <v>0</v>
      </c>
      <c r="MC302" s="9" t="n">
        <v>0</v>
      </c>
      <c r="MD302" s="9" t="n">
        <v>0</v>
      </c>
      <c r="MH302" s="10" t="n">
        <v>46278</v>
      </c>
      <c r="MJ302" s="9" t="n">
        <v>0</v>
      </c>
      <c r="ML302" s="9" t="n">
        <v>0</v>
      </c>
      <c r="MM302" s="9" t="n">
        <v>0</v>
      </c>
      <c r="MQ302" s="10" t="n">
        <v>46278</v>
      </c>
      <c r="MS302" s="9" t="n">
        <v>0</v>
      </c>
      <c r="MU302" s="9" t="n">
        <v>0</v>
      </c>
      <c r="MV302" s="9" t="n">
        <v>1625</v>
      </c>
      <c r="MZ302" s="10" t="n">
        <v>46278</v>
      </c>
      <c r="NB302" s="9" t="n">
        <v>0</v>
      </c>
      <c r="ND302" s="9" t="n">
        <v>0</v>
      </c>
      <c r="NE302" s="9" t="n">
        <v>0</v>
      </c>
      <c r="NI302" s="10" t="n">
        <v>46278</v>
      </c>
      <c r="NK302" s="9" t="n">
        <v>0</v>
      </c>
      <c r="NM302" s="9" t="n">
        <v>0</v>
      </c>
      <c r="NN302" s="9" t="n">
        <v>1127</v>
      </c>
      <c r="NR302" s="10" t="n">
        <v>46278</v>
      </c>
      <c r="NT302" s="9" t="n">
        <v>0</v>
      </c>
      <c r="NV302" s="9" t="n">
        <v>0</v>
      </c>
      <c r="NW302" s="9" t="n">
        <v>3112</v>
      </c>
      <c r="OA302" s="10" t="n">
        <v>46278</v>
      </c>
      <c r="OC302" s="9" t="n">
        <v>0</v>
      </c>
      <c r="OE302" s="9" t="n">
        <v>0</v>
      </c>
      <c r="OF302" s="9" t="n">
        <v>1680.5</v>
      </c>
      <c r="OJ302" s="10" t="n">
        <v>46278</v>
      </c>
      <c r="OL302" s="9" t="n">
        <v>0</v>
      </c>
      <c r="ON302" s="9" t="n">
        <v>0</v>
      </c>
      <c r="OO302" s="9" t="n">
        <v>0</v>
      </c>
      <c r="OS302" s="10" t="n">
        <v>46278</v>
      </c>
      <c r="OU302" s="9" t="n">
        <v>0</v>
      </c>
      <c r="OW302" s="9" t="n">
        <v>0</v>
      </c>
      <c r="OX302" s="9" t="n">
        <v>1482</v>
      </c>
      <c r="PB302" s="10" t="n">
        <v>46278</v>
      </c>
      <c r="PD302" s="9" t="n">
        <v>0</v>
      </c>
      <c r="PF302" s="9" t="n">
        <v>0</v>
      </c>
      <c r="PG302" s="9" t="n">
        <v>0</v>
      </c>
      <c r="PK302" s="10" t="n">
        <v>46278</v>
      </c>
      <c r="PM302" s="9" t="n">
        <v>0</v>
      </c>
      <c r="PO302" s="9" t="n">
        <v>0</v>
      </c>
      <c r="PP302" s="9" t="n">
        <v>100</v>
      </c>
      <c r="PT302" s="10" t="n">
        <v>46278</v>
      </c>
      <c r="PV302" s="9" t="n">
        <v>0</v>
      </c>
      <c r="PX302" s="9" t="n">
        <v>0</v>
      </c>
      <c r="PY302" s="9" t="n">
        <v>13.96000000000004</v>
      </c>
      <c r="QC302" s="10" t="n">
        <v>46278</v>
      </c>
      <c r="QE302" s="9" t="n">
        <v>0</v>
      </c>
      <c r="QG302" s="9" t="n">
        <v>0</v>
      </c>
      <c r="QH302" s="9" t="n">
        <v>548</v>
      </c>
      <c r="QL302" s="10" t="n">
        <v>46278</v>
      </c>
      <c r="QN302" s="9" t="n">
        <v>0</v>
      </c>
      <c r="QP302" s="9" t="n">
        <v>0</v>
      </c>
      <c r="QQ302" s="9" t="n">
        <v>0</v>
      </c>
      <c r="QU302" s="10" t="n">
        <v>46278</v>
      </c>
      <c r="QW302" s="9" t="n">
        <v>0</v>
      </c>
      <c r="QY302" s="9" t="n">
        <v>0</v>
      </c>
      <c r="QZ302" s="9" t="n">
        <v>0</v>
      </c>
      <c r="RD302" s="10" t="n">
        <v>46278</v>
      </c>
      <c r="RF302" s="9" t="n">
        <v>0</v>
      </c>
      <c r="RH302" s="9" t="n">
        <v>0</v>
      </c>
      <c r="RI302" s="9" t="n">
        <v>147.04</v>
      </c>
      <c r="RM302" s="10" t="n">
        <v>46278</v>
      </c>
      <c r="RO302" s="9" t="n">
        <v>0</v>
      </c>
      <c r="RQ302" s="9" t="n">
        <v>0</v>
      </c>
      <c r="RR302" s="9" t="n">
        <v>46.8</v>
      </c>
      <c r="RV302" s="10" t="n">
        <v>46278</v>
      </c>
      <c r="RX302" s="9" t="n">
        <v>0</v>
      </c>
      <c r="RZ302" s="9" t="n">
        <v>0</v>
      </c>
      <c r="SA302" s="9" t="n">
        <v>0</v>
      </c>
      <c r="SE302" s="10" t="n">
        <v>46278</v>
      </c>
      <c r="SG302" s="9" t="n">
        <v>0</v>
      </c>
      <c r="SI302" s="9" t="n">
        <v>0</v>
      </c>
      <c r="SJ302" s="9" t="n">
        <v>24.2</v>
      </c>
      <c r="SN302" s="10" t="n">
        <v>46278</v>
      </c>
      <c r="SP302" s="9" t="n">
        <v>0</v>
      </c>
      <c r="SR302" s="9" t="n">
        <v>0</v>
      </c>
      <c r="SS302" s="9" t="n">
        <v>32</v>
      </c>
      <c r="SW302" s="10" t="n">
        <v>46278</v>
      </c>
      <c r="SY302" s="9" t="n">
        <v>0</v>
      </c>
      <c r="TA302" s="9" t="n">
        <v>0</v>
      </c>
      <c r="TB302" s="9" t="n">
        <v>0</v>
      </c>
      <c r="TF302" s="10" t="n">
        <v>46278</v>
      </c>
      <c r="TH302" s="9" t="n">
        <v>0</v>
      </c>
      <c r="TJ302" s="9" t="n">
        <v>0</v>
      </c>
      <c r="TK302" s="9" t="n">
        <v>0</v>
      </c>
      <c r="TO302" s="10" t="n">
        <v>46278</v>
      </c>
      <c r="TQ302" s="9" t="n">
        <v>0</v>
      </c>
      <c r="TS302" s="9" t="n">
        <v>0</v>
      </c>
      <c r="TT302" s="9" t="n">
        <v>0</v>
      </c>
      <c r="TX302" s="10" t="n">
        <v>46278</v>
      </c>
      <c r="TZ302" s="9" t="n">
        <v>0</v>
      </c>
      <c r="UB302" s="9" t="n">
        <v>0</v>
      </c>
      <c r="UC302" s="9" t="n">
        <v>46.79999999999998</v>
      </c>
      <c r="UG302" s="10" t="n">
        <v>46278</v>
      </c>
      <c r="UI302" s="9" t="n">
        <v>0</v>
      </c>
      <c r="UK302" s="9" t="n">
        <v>0</v>
      </c>
      <c r="UL302" s="9" t="n">
        <v>204</v>
      </c>
      <c r="UP302" s="10" t="n">
        <v>46278</v>
      </c>
      <c r="UR302" s="9" t="n">
        <v>0</v>
      </c>
      <c r="UT302" s="9" t="n">
        <v>0</v>
      </c>
      <c r="UU302" s="9" t="n">
        <v>202.5</v>
      </c>
      <c r="UY302" s="10" t="n">
        <v>46278</v>
      </c>
      <c r="VA302" s="9" t="n">
        <v>0</v>
      </c>
      <c r="VC302" s="9" t="n">
        <v>0</v>
      </c>
      <c r="VD302" s="9" t="n">
        <v>41.60000000000002</v>
      </c>
      <c r="VH302" s="10" t="n">
        <v>46278</v>
      </c>
      <c r="VJ302" s="9" t="n">
        <v>0</v>
      </c>
      <c r="VL302" s="9" t="n">
        <v>0</v>
      </c>
      <c r="VM302" s="9" t="n">
        <v>210</v>
      </c>
      <c r="VQ302" s="10" t="n">
        <v>46278</v>
      </c>
      <c r="VS302" s="9" t="n">
        <v>0</v>
      </c>
      <c r="VU302" s="9" t="n">
        <v>0</v>
      </c>
      <c r="VV302" s="9" t="n">
        <v>0</v>
      </c>
      <c r="VZ302" s="10" t="n">
        <v>46278</v>
      </c>
      <c r="WB302" s="9" t="n">
        <v>0</v>
      </c>
      <c r="WD302" s="9" t="n">
        <v>0</v>
      </c>
      <c r="WE302" s="9" t="n">
        <v>0</v>
      </c>
      <c r="WI302" s="10" t="n">
        <v>46278</v>
      </c>
      <c r="WK302" s="9" t="n">
        <v>0</v>
      </c>
      <c r="WM302" s="9" t="n">
        <v>0</v>
      </c>
      <c r="WN302" s="9" t="n">
        <v>1057</v>
      </c>
      <c r="WR302" s="10" t="n">
        <v>46278</v>
      </c>
      <c r="WT302" s="9" t="n">
        <v>0</v>
      </c>
      <c r="WV302" s="9" t="n">
        <v>0</v>
      </c>
      <c r="WW302" s="9" t="n">
        <v>0</v>
      </c>
      <c r="XA302" s="10" t="n">
        <v>46278</v>
      </c>
      <c r="XC302" s="9" t="n">
        <v>0</v>
      </c>
      <c r="XE302" s="9" t="n">
        <v>0</v>
      </c>
      <c r="XF302" s="9" t="n">
        <v>7507</v>
      </c>
      <c r="XJ302" s="10" t="n">
        <v>46278</v>
      </c>
      <c r="XL302" s="9" t="n">
        <v>0</v>
      </c>
      <c r="XN302" s="9" t="n">
        <v>0</v>
      </c>
      <c r="XO302" s="9" t="n">
        <v>4252</v>
      </c>
      <c r="XS302" s="10" t="n">
        <v>46278</v>
      </c>
      <c r="XU302" s="9" t="n">
        <v>0</v>
      </c>
      <c r="XW302" s="9" t="n">
        <v>0</v>
      </c>
      <c r="XX302" s="9" t="n">
        <v>2179</v>
      </c>
      <c r="YB302" s="10" t="n">
        <v>46278</v>
      </c>
      <c r="YD302" s="9" t="n">
        <v>0</v>
      </c>
      <c r="YF302" s="9" t="n">
        <v>0</v>
      </c>
      <c r="YG302" s="9" t="n">
        <v>4019</v>
      </c>
      <c r="YK302" s="10" t="n">
        <v>46278</v>
      </c>
      <c r="YM302" s="9" t="n">
        <v>0</v>
      </c>
      <c r="YO302" s="9" t="n">
        <v>0</v>
      </c>
      <c r="YP302" s="9" t="n">
        <v>-218</v>
      </c>
      <c r="YT302" s="10" t="n">
        <v>46278</v>
      </c>
      <c r="YV302" s="9" t="n">
        <v>0</v>
      </c>
      <c r="YX302" s="9" t="n">
        <v>0</v>
      </c>
      <c r="YY302" s="9" t="n">
        <v>0</v>
      </c>
      <c r="ZC302" s="10" t="n">
        <v>46278</v>
      </c>
      <c r="ZE302" s="9" t="n">
        <v>0</v>
      </c>
      <c r="ZG302" s="9" t="n">
        <v>0</v>
      </c>
      <c r="ZH302" s="9" t="n">
        <v>0</v>
      </c>
      <c r="ZL302" s="10" t="n">
        <v>46278</v>
      </c>
      <c r="ZN302" s="9" t="n">
        <v>0</v>
      </c>
      <c r="ZP302" s="9" t="n">
        <v>0</v>
      </c>
      <c r="ZQ302" s="9" t="n">
        <v>0</v>
      </c>
      <c r="ZU302" s="10" t="n">
        <v>46278</v>
      </c>
      <c r="ZW302" s="9" t="n">
        <v>0</v>
      </c>
      <c r="ZY302" s="9" t="n">
        <v>0</v>
      </c>
      <c r="ZZ302" s="9" t="n">
        <v>0</v>
      </c>
      <c r="AAD302" s="10" t="n">
        <v>46278</v>
      </c>
      <c r="AAF302" s="9" t="n">
        <v>0</v>
      </c>
      <c r="AAH302" s="9" t="n">
        <v>0</v>
      </c>
      <c r="AAI302" s="9" t="n">
        <v>0</v>
      </c>
      <c r="AAM302" s="10" t="n">
        <v>46278</v>
      </c>
      <c r="AAO302" s="9" t="n">
        <v>0</v>
      </c>
      <c r="AAQ302" s="9" t="n">
        <v>0</v>
      </c>
      <c r="AAR302" s="9" t="n">
        <v>0</v>
      </c>
      <c r="AAV302" s="10" t="n">
        <v>46278</v>
      </c>
      <c r="AAX302" s="9" t="n">
        <v>0</v>
      </c>
      <c r="AAZ302" s="9" t="n">
        <v>0</v>
      </c>
      <c r="ABA302" s="9" t="n">
        <v>0</v>
      </c>
      <c r="ABE302" s="10" t="n">
        <v>46278</v>
      </c>
      <c r="ABG302" s="9" t="n">
        <v>0</v>
      </c>
      <c r="ABI302" s="9" t="n">
        <v>0</v>
      </c>
      <c r="ABJ302" s="9" t="n">
        <v>0</v>
      </c>
    </row>
    <row r="303">
      <c r="C303" s="10" t="n">
        <v>46279</v>
      </c>
      <c r="E303" s="9" t="n">
        <v>0</v>
      </c>
      <c r="G303" s="9" t="n">
        <v>0</v>
      </c>
      <c r="H303" s="9" t="n">
        <v>236936.6</v>
      </c>
      <c r="L303" s="10" t="n">
        <v>46279</v>
      </c>
      <c r="N303" s="9" t="n">
        <v>0</v>
      </c>
      <c r="P303" s="9" t="n">
        <v>0</v>
      </c>
      <c r="Q303" s="9" t="n">
        <v>53017.60000000007</v>
      </c>
      <c r="U303" s="10" t="n">
        <v>46279</v>
      </c>
      <c r="W303" s="9" t="n">
        <v>0</v>
      </c>
      <c r="Y303" s="9" t="n">
        <v>0</v>
      </c>
      <c r="Z303" s="9" t="n">
        <v>42674.19999999997</v>
      </c>
      <c r="AD303" s="10" t="n">
        <v>46279</v>
      </c>
      <c r="AF303" s="9" t="n">
        <v>0</v>
      </c>
      <c r="AH303" s="9" t="n">
        <v>0</v>
      </c>
      <c r="AI303" s="9" t="n">
        <v>4522.200000000019</v>
      </c>
      <c r="AM303" s="10" t="n">
        <v>46279</v>
      </c>
      <c r="AO303" s="9" t="n">
        <v>0</v>
      </c>
      <c r="AQ303" s="9" t="n">
        <v>0</v>
      </c>
      <c r="AR303" s="9" t="n">
        <v>0</v>
      </c>
      <c r="AV303" s="10" t="n">
        <v>46279</v>
      </c>
      <c r="AX303" s="9" t="n">
        <v>0</v>
      </c>
      <c r="AZ303" s="9" t="n">
        <v>0</v>
      </c>
      <c r="BA303" s="9" t="n">
        <v>124.9999999999952</v>
      </c>
      <c r="BE303" s="10" t="n">
        <v>46279</v>
      </c>
      <c r="BG303" s="9" t="n">
        <v>0</v>
      </c>
      <c r="BI303" s="9" t="n">
        <v>0</v>
      </c>
      <c r="BJ303" s="9" t="n">
        <v>26151.9</v>
      </c>
      <c r="BN303" s="10" t="n">
        <v>46279</v>
      </c>
      <c r="BP303" s="9" t="n">
        <v>0</v>
      </c>
      <c r="BR303" s="9" t="n">
        <v>0</v>
      </c>
      <c r="BS303" s="9" t="n">
        <v>0</v>
      </c>
      <c r="BW303" s="10" t="n">
        <v>46279</v>
      </c>
      <c r="BY303" s="9" t="n">
        <v>0</v>
      </c>
      <c r="CA303" s="9" t="n">
        <v>0</v>
      </c>
      <c r="CB303" s="9" t="n">
        <v>2097.339999999999</v>
      </c>
      <c r="CF303" s="10" t="n">
        <v>46279</v>
      </c>
      <c r="CH303" s="9" t="n">
        <v>0</v>
      </c>
      <c r="CJ303" s="9" t="n">
        <v>0</v>
      </c>
      <c r="CK303" s="9" t="n">
        <v>-10277.08</v>
      </c>
      <c r="CO303" s="10" t="n">
        <v>46279</v>
      </c>
      <c r="CQ303" s="9" t="n">
        <v>0</v>
      </c>
      <c r="CS303" s="9" t="n">
        <v>0</v>
      </c>
      <c r="CT303" s="9" t="n">
        <v>0</v>
      </c>
      <c r="CX303" s="10" t="n">
        <v>46279</v>
      </c>
      <c r="CZ303" s="9" t="n">
        <v>0</v>
      </c>
      <c r="DB303" s="9" t="n">
        <v>0</v>
      </c>
      <c r="DC303" s="9" t="n">
        <v>27438.20000000001</v>
      </c>
      <c r="DG303" s="10" t="n">
        <v>46279</v>
      </c>
      <c r="DI303" s="9" t="n">
        <v>0</v>
      </c>
      <c r="DK303" s="9" t="n">
        <v>0</v>
      </c>
      <c r="DL303" s="9" t="n">
        <v>18782.29999999998</v>
      </c>
      <c r="DP303" s="10" t="n">
        <v>46279</v>
      </c>
      <c r="DR303" s="9" t="n">
        <v>0</v>
      </c>
      <c r="DT303" s="9" t="n">
        <v>0</v>
      </c>
      <c r="DU303" s="9" t="n">
        <v>5800</v>
      </c>
      <c r="DY303" s="10" t="n">
        <v>46279</v>
      </c>
      <c r="EA303" s="9" t="n">
        <v>0</v>
      </c>
      <c r="EC303" s="9" t="n">
        <v>0</v>
      </c>
      <c r="ED303" s="9" t="n">
        <v>0</v>
      </c>
      <c r="EH303" s="10" t="n">
        <v>46279</v>
      </c>
      <c r="EJ303" s="9" t="n">
        <v>0</v>
      </c>
      <c r="EL303" s="9" t="n">
        <v>0</v>
      </c>
      <c r="EM303" s="9" t="n">
        <v>0</v>
      </c>
      <c r="EQ303" s="10" t="n">
        <v>46279</v>
      </c>
      <c r="ES303" s="9" t="n">
        <v>0</v>
      </c>
      <c r="EU303" s="9" t="n">
        <v>0</v>
      </c>
      <c r="EV303" s="9" t="n">
        <v>0</v>
      </c>
      <c r="EZ303" s="10" t="n">
        <v>46279</v>
      </c>
      <c r="FB303" s="9" t="n">
        <v>0</v>
      </c>
      <c r="FD303" s="9" t="n">
        <v>0</v>
      </c>
      <c r="FE303" s="9" t="n">
        <v>0</v>
      </c>
      <c r="FI303" s="10" t="n">
        <v>46279</v>
      </c>
      <c r="FK303" s="9" t="n">
        <v>0</v>
      </c>
      <c r="FM303" s="9" t="n">
        <v>0</v>
      </c>
      <c r="FN303" s="9" t="n">
        <v>0</v>
      </c>
      <c r="FR303" s="10" t="n">
        <v>46279</v>
      </c>
      <c r="FT303" s="9" t="n">
        <v>0</v>
      </c>
      <c r="FV303" s="9" t="n">
        <v>0</v>
      </c>
      <c r="FW303" s="9" t="n">
        <v>2020</v>
      </c>
      <c r="GA303" s="10" t="n">
        <v>46279</v>
      </c>
      <c r="GC303" s="9" t="n">
        <v>0</v>
      </c>
      <c r="GE303" s="9" t="n">
        <v>0</v>
      </c>
      <c r="GF303" s="9" t="n">
        <v>960</v>
      </c>
      <c r="GJ303" s="10" t="n">
        <v>46279</v>
      </c>
      <c r="GL303" s="9" t="n">
        <v>0</v>
      </c>
      <c r="GN303" s="9" t="n">
        <v>0</v>
      </c>
      <c r="GO303" s="9" t="n">
        <v>1760</v>
      </c>
      <c r="GS303" s="10" t="n">
        <v>46279</v>
      </c>
      <c r="GU303" s="9" t="n">
        <v>0</v>
      </c>
      <c r="GW303" s="9" t="n">
        <v>0</v>
      </c>
      <c r="GX303" s="9" t="n">
        <v>400</v>
      </c>
      <c r="HB303" s="10" t="n">
        <v>46279</v>
      </c>
      <c r="HD303" s="9" t="n">
        <v>0</v>
      </c>
      <c r="HF303" s="9" t="n">
        <v>0</v>
      </c>
      <c r="HG303" s="9" t="n">
        <v>3600</v>
      </c>
      <c r="HK303" s="10" t="n">
        <v>46279</v>
      </c>
      <c r="HM303" s="9" t="n">
        <v>0</v>
      </c>
      <c r="HO303" s="9" t="n">
        <v>0</v>
      </c>
      <c r="HP303" s="9" t="n">
        <v>0</v>
      </c>
      <c r="HU303" s="10" t="n">
        <v>46279</v>
      </c>
      <c r="HW303" s="9" t="n">
        <v>0</v>
      </c>
      <c r="HY303" s="9" t="n">
        <v>0</v>
      </c>
      <c r="HZ303" s="9" t="n">
        <v>6120</v>
      </c>
      <c r="ID303" s="10" t="n">
        <v>46279</v>
      </c>
      <c r="IF303" s="9" t="n">
        <v>0</v>
      </c>
      <c r="IH303" s="9" t="n">
        <v>0</v>
      </c>
      <c r="II303" s="9" t="n">
        <v>0</v>
      </c>
      <c r="IM303" s="10" t="n">
        <v>46279</v>
      </c>
      <c r="IO303" s="9" t="n">
        <v>0</v>
      </c>
      <c r="IQ303" s="9" t="n">
        <v>0</v>
      </c>
      <c r="IR303" s="9" t="n">
        <v>0</v>
      </c>
      <c r="IV303" s="10" t="n">
        <v>46279</v>
      </c>
      <c r="IX303" s="9" t="n">
        <v>0</v>
      </c>
      <c r="IZ303" s="9" t="n">
        <v>0</v>
      </c>
      <c r="JA303" s="9" t="n">
        <v>2820</v>
      </c>
      <c r="JE303" s="10" t="n">
        <v>46279</v>
      </c>
      <c r="JG303" s="9" t="n">
        <v>0</v>
      </c>
      <c r="JI303" s="9" t="n">
        <v>0</v>
      </c>
      <c r="JJ303" s="9" t="n">
        <v>0</v>
      </c>
      <c r="JN303" s="10" t="n">
        <v>46279</v>
      </c>
      <c r="JP303" s="9" t="n">
        <v>0</v>
      </c>
      <c r="JR303" s="9" t="n">
        <v>0</v>
      </c>
      <c r="JS303" s="9" t="n">
        <v>0</v>
      </c>
      <c r="JW303" s="10" t="n">
        <v>46279</v>
      </c>
      <c r="JY303" s="9" t="n">
        <v>0</v>
      </c>
      <c r="KA303" s="9" t="n">
        <v>0</v>
      </c>
      <c r="KB303" s="9" t="n">
        <v>2540</v>
      </c>
      <c r="KF303" s="10" t="n">
        <v>46279</v>
      </c>
      <c r="KH303" s="9" t="n">
        <v>0</v>
      </c>
      <c r="KJ303" s="9" t="n">
        <v>0</v>
      </c>
      <c r="KK303" s="9" t="n">
        <v>2359.5</v>
      </c>
      <c r="KO303" s="10" t="n">
        <v>46279</v>
      </c>
      <c r="KQ303" s="9" t="n">
        <v>0</v>
      </c>
      <c r="KS303" s="9" t="n">
        <v>0</v>
      </c>
      <c r="KT303" s="9" t="n">
        <v>1890</v>
      </c>
      <c r="KX303" s="10" t="n">
        <v>46279</v>
      </c>
      <c r="KZ303" s="9" t="n">
        <v>0</v>
      </c>
      <c r="LB303" s="9" t="n">
        <v>0</v>
      </c>
      <c r="LC303" s="9" t="n">
        <v>3690</v>
      </c>
      <c r="LG303" s="10" t="n">
        <v>46279</v>
      </c>
      <c r="LI303" s="9" t="n">
        <v>0</v>
      </c>
      <c r="LK303" s="9" t="n">
        <v>0</v>
      </c>
      <c r="LL303" s="9" t="n">
        <v>4000</v>
      </c>
      <c r="LP303" s="10" t="n">
        <v>46279</v>
      </c>
      <c r="LR303" s="9" t="n">
        <v>0</v>
      </c>
      <c r="LT303" s="9" t="n">
        <v>0</v>
      </c>
      <c r="LU303" s="9" t="n">
        <v>0</v>
      </c>
      <c r="LY303" s="10" t="n">
        <v>46279</v>
      </c>
      <c r="MA303" s="9" t="n">
        <v>0</v>
      </c>
      <c r="MC303" s="9" t="n">
        <v>0</v>
      </c>
      <c r="MD303" s="9" t="n">
        <v>0</v>
      </c>
      <c r="MH303" s="10" t="n">
        <v>46279</v>
      </c>
      <c r="MJ303" s="9" t="n">
        <v>0</v>
      </c>
      <c r="ML303" s="9" t="n">
        <v>0</v>
      </c>
      <c r="MM303" s="9" t="n">
        <v>0</v>
      </c>
      <c r="MQ303" s="10" t="n">
        <v>46279</v>
      </c>
      <c r="MS303" s="9" t="n">
        <v>0</v>
      </c>
      <c r="MU303" s="9" t="n">
        <v>0</v>
      </c>
      <c r="MV303" s="9" t="n">
        <v>1625</v>
      </c>
      <c r="MZ303" s="10" t="n">
        <v>46279</v>
      </c>
      <c r="NB303" s="9" t="n">
        <v>0</v>
      </c>
      <c r="ND303" s="9" t="n">
        <v>0</v>
      </c>
      <c r="NE303" s="9" t="n">
        <v>0</v>
      </c>
      <c r="NI303" s="10" t="n">
        <v>46279</v>
      </c>
      <c r="NK303" s="9" t="n">
        <v>0</v>
      </c>
      <c r="NM303" s="9" t="n">
        <v>0</v>
      </c>
      <c r="NN303" s="9" t="n">
        <v>1127</v>
      </c>
      <c r="NR303" s="10" t="n">
        <v>46279</v>
      </c>
      <c r="NT303" s="9" t="n">
        <v>0</v>
      </c>
      <c r="NV303" s="9" t="n">
        <v>0</v>
      </c>
      <c r="NW303" s="9" t="n">
        <v>3112</v>
      </c>
      <c r="OA303" s="10" t="n">
        <v>46279</v>
      </c>
      <c r="OC303" s="9" t="n">
        <v>0</v>
      </c>
      <c r="OE303" s="9" t="n">
        <v>0</v>
      </c>
      <c r="OF303" s="9" t="n">
        <v>1680.5</v>
      </c>
      <c r="OJ303" s="10" t="n">
        <v>46279</v>
      </c>
      <c r="OL303" s="9" t="n">
        <v>0</v>
      </c>
      <c r="ON303" s="9" t="n">
        <v>0</v>
      </c>
      <c r="OO303" s="9" t="n">
        <v>0</v>
      </c>
      <c r="OS303" s="10" t="n">
        <v>46279</v>
      </c>
      <c r="OU303" s="9" t="n">
        <v>0</v>
      </c>
      <c r="OW303" s="9" t="n">
        <v>0</v>
      </c>
      <c r="OX303" s="9" t="n">
        <v>1482</v>
      </c>
      <c r="PB303" s="10" t="n">
        <v>46279</v>
      </c>
      <c r="PD303" s="9" t="n">
        <v>0</v>
      </c>
      <c r="PF303" s="9" t="n">
        <v>0</v>
      </c>
      <c r="PG303" s="9" t="n">
        <v>0</v>
      </c>
      <c r="PK303" s="10" t="n">
        <v>46279</v>
      </c>
      <c r="PM303" s="9" t="n">
        <v>0</v>
      </c>
      <c r="PO303" s="9" t="n">
        <v>0</v>
      </c>
      <c r="PP303" s="9" t="n">
        <v>100</v>
      </c>
      <c r="PT303" s="10" t="n">
        <v>46279</v>
      </c>
      <c r="PV303" s="9" t="n">
        <v>0</v>
      </c>
      <c r="PX303" s="9" t="n">
        <v>0</v>
      </c>
      <c r="PY303" s="9" t="n">
        <v>13.96000000000004</v>
      </c>
      <c r="QC303" s="10" t="n">
        <v>46279</v>
      </c>
      <c r="QE303" s="9" t="n">
        <v>0</v>
      </c>
      <c r="QG303" s="9" t="n">
        <v>0</v>
      </c>
      <c r="QH303" s="9" t="n">
        <v>548</v>
      </c>
      <c r="QL303" s="10" t="n">
        <v>46279</v>
      </c>
      <c r="QN303" s="9" t="n">
        <v>0</v>
      </c>
      <c r="QP303" s="9" t="n">
        <v>0</v>
      </c>
      <c r="QQ303" s="9" t="n">
        <v>0</v>
      </c>
      <c r="QU303" s="10" t="n">
        <v>46279</v>
      </c>
      <c r="QW303" s="9" t="n">
        <v>0</v>
      </c>
      <c r="QY303" s="9" t="n">
        <v>0</v>
      </c>
      <c r="QZ303" s="9" t="n">
        <v>0</v>
      </c>
      <c r="RD303" s="10" t="n">
        <v>46279</v>
      </c>
      <c r="RF303" s="9" t="n">
        <v>0</v>
      </c>
      <c r="RH303" s="9" t="n">
        <v>0</v>
      </c>
      <c r="RI303" s="9" t="n">
        <v>147.04</v>
      </c>
      <c r="RM303" s="10" t="n">
        <v>46279</v>
      </c>
      <c r="RO303" s="9" t="n">
        <v>0</v>
      </c>
      <c r="RQ303" s="9" t="n">
        <v>0</v>
      </c>
      <c r="RR303" s="9" t="n">
        <v>46.8</v>
      </c>
      <c r="RV303" s="10" t="n">
        <v>46279</v>
      </c>
      <c r="RX303" s="9" t="n">
        <v>0</v>
      </c>
      <c r="RZ303" s="9" t="n">
        <v>0</v>
      </c>
      <c r="SA303" s="9" t="n">
        <v>0</v>
      </c>
      <c r="SE303" s="10" t="n">
        <v>46279</v>
      </c>
      <c r="SG303" s="9" t="n">
        <v>0</v>
      </c>
      <c r="SI303" s="9" t="n">
        <v>0</v>
      </c>
      <c r="SJ303" s="9" t="n">
        <v>24.2</v>
      </c>
      <c r="SN303" s="10" t="n">
        <v>46279</v>
      </c>
      <c r="SP303" s="9" t="n">
        <v>0</v>
      </c>
      <c r="SR303" s="9" t="n">
        <v>0</v>
      </c>
      <c r="SS303" s="9" t="n">
        <v>32</v>
      </c>
      <c r="SW303" s="10" t="n">
        <v>46279</v>
      </c>
      <c r="SY303" s="9" t="n">
        <v>0</v>
      </c>
      <c r="TA303" s="9" t="n">
        <v>0</v>
      </c>
      <c r="TB303" s="9" t="n">
        <v>0</v>
      </c>
      <c r="TF303" s="10" t="n">
        <v>46279</v>
      </c>
      <c r="TH303" s="9" t="n">
        <v>0</v>
      </c>
      <c r="TJ303" s="9" t="n">
        <v>0</v>
      </c>
      <c r="TK303" s="9" t="n">
        <v>0</v>
      </c>
      <c r="TO303" s="10" t="n">
        <v>46279</v>
      </c>
      <c r="TQ303" s="9" t="n">
        <v>0</v>
      </c>
      <c r="TS303" s="9" t="n">
        <v>0</v>
      </c>
      <c r="TT303" s="9" t="n">
        <v>0</v>
      </c>
      <c r="TX303" s="10" t="n">
        <v>46279</v>
      </c>
      <c r="TZ303" s="9" t="n">
        <v>0</v>
      </c>
      <c r="UB303" s="9" t="n">
        <v>0</v>
      </c>
      <c r="UC303" s="9" t="n">
        <v>46.79999999999998</v>
      </c>
      <c r="UG303" s="10" t="n">
        <v>46279</v>
      </c>
      <c r="UI303" s="9" t="n">
        <v>0</v>
      </c>
      <c r="UK303" s="9" t="n">
        <v>0</v>
      </c>
      <c r="UL303" s="9" t="n">
        <v>204</v>
      </c>
      <c r="UP303" s="10" t="n">
        <v>46279</v>
      </c>
      <c r="UR303" s="9" t="n">
        <v>0</v>
      </c>
      <c r="UT303" s="9" t="n">
        <v>0</v>
      </c>
      <c r="UU303" s="9" t="n">
        <v>202.5</v>
      </c>
      <c r="UY303" s="10" t="n">
        <v>46279</v>
      </c>
      <c r="VA303" s="9" t="n">
        <v>0</v>
      </c>
      <c r="VC303" s="9" t="n">
        <v>0</v>
      </c>
      <c r="VD303" s="9" t="n">
        <v>41.60000000000002</v>
      </c>
      <c r="VH303" s="10" t="n">
        <v>46279</v>
      </c>
      <c r="VJ303" s="9" t="n">
        <v>0</v>
      </c>
      <c r="VL303" s="9" t="n">
        <v>0</v>
      </c>
      <c r="VM303" s="9" t="n">
        <v>210</v>
      </c>
      <c r="VQ303" s="10" t="n">
        <v>46279</v>
      </c>
      <c r="VS303" s="9" t="n">
        <v>0</v>
      </c>
      <c r="VU303" s="9" t="n">
        <v>0</v>
      </c>
      <c r="VV303" s="9" t="n">
        <v>0</v>
      </c>
      <c r="VZ303" s="10" t="n">
        <v>46279</v>
      </c>
      <c r="WB303" s="9" t="n">
        <v>0</v>
      </c>
      <c r="WD303" s="9" t="n">
        <v>0</v>
      </c>
      <c r="WE303" s="9" t="n">
        <v>0</v>
      </c>
      <c r="WI303" s="10" t="n">
        <v>46279</v>
      </c>
      <c r="WK303" s="9" t="n">
        <v>0</v>
      </c>
      <c r="WM303" s="9" t="n">
        <v>0</v>
      </c>
      <c r="WN303" s="9" t="n">
        <v>1057</v>
      </c>
      <c r="WR303" s="10" t="n">
        <v>46279</v>
      </c>
      <c r="WT303" s="9" t="n">
        <v>0</v>
      </c>
      <c r="WV303" s="9" t="n">
        <v>0</v>
      </c>
      <c r="WW303" s="9" t="n">
        <v>0</v>
      </c>
      <c r="XA303" s="10" t="n">
        <v>46279</v>
      </c>
      <c r="XC303" s="9" t="n">
        <v>0</v>
      </c>
      <c r="XE303" s="9" t="n">
        <v>0</v>
      </c>
      <c r="XF303" s="9" t="n">
        <v>7507</v>
      </c>
      <c r="XJ303" s="10" t="n">
        <v>46279</v>
      </c>
      <c r="XL303" s="9" t="n">
        <v>0</v>
      </c>
      <c r="XN303" s="9" t="n">
        <v>0</v>
      </c>
      <c r="XO303" s="9" t="n">
        <v>4252</v>
      </c>
      <c r="XS303" s="10" t="n">
        <v>46279</v>
      </c>
      <c r="XU303" s="9" t="n">
        <v>0</v>
      </c>
      <c r="XW303" s="9" t="n">
        <v>0</v>
      </c>
      <c r="XX303" s="9" t="n">
        <v>2179</v>
      </c>
      <c r="YB303" s="10" t="n">
        <v>46279</v>
      </c>
      <c r="YD303" s="9" t="n">
        <v>0</v>
      </c>
      <c r="YF303" s="9" t="n">
        <v>0</v>
      </c>
      <c r="YG303" s="9" t="n">
        <v>4019</v>
      </c>
      <c r="YK303" s="10" t="n">
        <v>46279</v>
      </c>
      <c r="YM303" s="9" t="n">
        <v>0</v>
      </c>
      <c r="YO303" s="9" t="n">
        <v>0</v>
      </c>
      <c r="YP303" s="9" t="n">
        <v>-218</v>
      </c>
      <c r="YT303" s="10" t="n">
        <v>46279</v>
      </c>
      <c r="YV303" s="9" t="n">
        <v>0</v>
      </c>
      <c r="YX303" s="9" t="n">
        <v>0</v>
      </c>
      <c r="YY303" s="9" t="n">
        <v>0</v>
      </c>
      <c r="ZC303" s="10" t="n">
        <v>46279</v>
      </c>
      <c r="ZE303" s="9" t="n">
        <v>0</v>
      </c>
      <c r="ZG303" s="9" t="n">
        <v>0</v>
      </c>
      <c r="ZH303" s="9" t="n">
        <v>0</v>
      </c>
      <c r="ZL303" s="10" t="n">
        <v>46279</v>
      </c>
      <c r="ZN303" s="9" t="n">
        <v>0</v>
      </c>
      <c r="ZP303" s="9" t="n">
        <v>0</v>
      </c>
      <c r="ZQ303" s="9" t="n">
        <v>0</v>
      </c>
      <c r="ZU303" s="10" t="n">
        <v>46279</v>
      </c>
      <c r="ZW303" s="9" t="n">
        <v>0</v>
      </c>
      <c r="ZY303" s="9" t="n">
        <v>0</v>
      </c>
      <c r="ZZ303" s="9" t="n">
        <v>0</v>
      </c>
      <c r="AAD303" s="10" t="n">
        <v>46279</v>
      </c>
      <c r="AAF303" s="9" t="n">
        <v>0</v>
      </c>
      <c r="AAH303" s="9" t="n">
        <v>0</v>
      </c>
      <c r="AAI303" s="9" t="n">
        <v>0</v>
      </c>
      <c r="AAM303" s="10" t="n">
        <v>46279</v>
      </c>
      <c r="AAO303" s="9" t="n">
        <v>0</v>
      </c>
      <c r="AAQ303" s="9" t="n">
        <v>0</v>
      </c>
      <c r="AAR303" s="9" t="n">
        <v>0</v>
      </c>
      <c r="AAV303" s="10" t="n">
        <v>46279</v>
      </c>
      <c r="AAX303" s="9" t="n">
        <v>0</v>
      </c>
      <c r="AAZ303" s="9" t="n">
        <v>0</v>
      </c>
      <c r="ABA303" s="9" t="n">
        <v>0</v>
      </c>
      <c r="ABE303" s="10" t="n">
        <v>46279</v>
      </c>
      <c r="ABG303" s="9" t="n">
        <v>0</v>
      </c>
      <c r="ABI303" s="9" t="n">
        <v>0</v>
      </c>
      <c r="ABJ303" s="9" t="n">
        <v>0</v>
      </c>
    </row>
    <row r="304">
      <c r="C304" s="10" t="n">
        <v>46280</v>
      </c>
      <c r="E304" s="9" t="n">
        <v>0</v>
      </c>
      <c r="G304" s="9" t="n">
        <v>0</v>
      </c>
      <c r="H304" s="9" t="n">
        <v>236936.6</v>
      </c>
      <c r="L304" s="10" t="n">
        <v>46280</v>
      </c>
      <c r="N304" s="9" t="n">
        <v>0</v>
      </c>
      <c r="P304" s="9" t="n">
        <v>0</v>
      </c>
      <c r="Q304" s="9" t="n">
        <v>53017.60000000007</v>
      </c>
      <c r="U304" s="10" t="n">
        <v>46280</v>
      </c>
      <c r="W304" s="9" t="n">
        <v>0</v>
      </c>
      <c r="Y304" s="9" t="n">
        <v>0</v>
      </c>
      <c r="Z304" s="9" t="n">
        <v>42674.19999999997</v>
      </c>
      <c r="AD304" s="10" t="n">
        <v>46280</v>
      </c>
      <c r="AF304" s="9" t="n">
        <v>0</v>
      </c>
      <c r="AH304" s="9" t="n">
        <v>0</v>
      </c>
      <c r="AI304" s="9" t="n">
        <v>4522.200000000019</v>
      </c>
      <c r="AM304" s="10" t="n">
        <v>46280</v>
      </c>
      <c r="AO304" s="9" t="n">
        <v>0</v>
      </c>
      <c r="AQ304" s="9" t="n">
        <v>0</v>
      </c>
      <c r="AR304" s="9" t="n">
        <v>0</v>
      </c>
      <c r="AV304" s="10" t="n">
        <v>46280</v>
      </c>
      <c r="AX304" s="9" t="n">
        <v>0</v>
      </c>
      <c r="AZ304" s="9" t="n">
        <v>0</v>
      </c>
      <c r="BA304" s="9" t="n">
        <v>124.9999999999952</v>
      </c>
      <c r="BE304" s="10" t="n">
        <v>46280</v>
      </c>
      <c r="BG304" s="9" t="n">
        <v>0</v>
      </c>
      <c r="BI304" s="9" t="n">
        <v>0</v>
      </c>
      <c r="BJ304" s="9" t="n">
        <v>26151.9</v>
      </c>
      <c r="BN304" s="10" t="n">
        <v>46280</v>
      </c>
      <c r="BP304" s="9" t="n">
        <v>0</v>
      </c>
      <c r="BR304" s="9" t="n">
        <v>0</v>
      </c>
      <c r="BS304" s="9" t="n">
        <v>0</v>
      </c>
      <c r="BW304" s="10" t="n">
        <v>46280</v>
      </c>
      <c r="BY304" s="9" t="n">
        <v>0</v>
      </c>
      <c r="CA304" s="9" t="n">
        <v>0</v>
      </c>
      <c r="CB304" s="9" t="n">
        <v>2097.339999999999</v>
      </c>
      <c r="CF304" s="10" t="n">
        <v>46280</v>
      </c>
      <c r="CH304" s="9" t="n">
        <v>0</v>
      </c>
      <c r="CJ304" s="9" t="n">
        <v>0</v>
      </c>
      <c r="CK304" s="9" t="n">
        <v>-10277.08</v>
      </c>
      <c r="CO304" s="10" t="n">
        <v>46280</v>
      </c>
      <c r="CQ304" s="9" t="n">
        <v>0</v>
      </c>
      <c r="CS304" s="9" t="n">
        <v>0</v>
      </c>
      <c r="CT304" s="9" t="n">
        <v>0</v>
      </c>
      <c r="CX304" s="10" t="n">
        <v>46280</v>
      </c>
      <c r="CZ304" s="9" t="n">
        <v>0</v>
      </c>
      <c r="DB304" s="9" t="n">
        <v>0</v>
      </c>
      <c r="DC304" s="9" t="n">
        <v>27438.20000000001</v>
      </c>
      <c r="DG304" s="10" t="n">
        <v>46280</v>
      </c>
      <c r="DI304" s="9" t="n">
        <v>0</v>
      </c>
      <c r="DK304" s="9" t="n">
        <v>0</v>
      </c>
      <c r="DL304" s="9" t="n">
        <v>18782.29999999998</v>
      </c>
      <c r="DP304" s="10" t="n">
        <v>46280</v>
      </c>
      <c r="DR304" s="9" t="n">
        <v>0</v>
      </c>
      <c r="DT304" s="9" t="n">
        <v>0</v>
      </c>
      <c r="DU304" s="9" t="n">
        <v>5800</v>
      </c>
      <c r="DY304" s="10" t="n">
        <v>46280</v>
      </c>
      <c r="EA304" s="9" t="n">
        <v>0</v>
      </c>
      <c r="EC304" s="9" t="n">
        <v>0</v>
      </c>
      <c r="ED304" s="9" t="n">
        <v>0</v>
      </c>
      <c r="EH304" s="10" t="n">
        <v>46280</v>
      </c>
      <c r="EJ304" s="9" t="n">
        <v>0</v>
      </c>
      <c r="EL304" s="9" t="n">
        <v>0</v>
      </c>
      <c r="EM304" s="9" t="n">
        <v>0</v>
      </c>
      <c r="EQ304" s="10" t="n">
        <v>46280</v>
      </c>
      <c r="ES304" s="9" t="n">
        <v>0</v>
      </c>
      <c r="EU304" s="9" t="n">
        <v>0</v>
      </c>
      <c r="EV304" s="9" t="n">
        <v>0</v>
      </c>
      <c r="EZ304" s="10" t="n">
        <v>46280</v>
      </c>
      <c r="FB304" s="9" t="n">
        <v>0</v>
      </c>
      <c r="FD304" s="9" t="n">
        <v>0</v>
      </c>
      <c r="FE304" s="9" t="n">
        <v>0</v>
      </c>
      <c r="FI304" s="10" t="n">
        <v>46280</v>
      </c>
      <c r="FK304" s="9" t="n">
        <v>0</v>
      </c>
      <c r="FM304" s="9" t="n">
        <v>0</v>
      </c>
      <c r="FN304" s="9" t="n">
        <v>0</v>
      </c>
      <c r="FR304" s="10" t="n">
        <v>46280</v>
      </c>
      <c r="FT304" s="9" t="n">
        <v>0</v>
      </c>
      <c r="FV304" s="9" t="n">
        <v>0</v>
      </c>
      <c r="FW304" s="9" t="n">
        <v>2020</v>
      </c>
      <c r="GA304" s="10" t="n">
        <v>46280</v>
      </c>
      <c r="GC304" s="9" t="n">
        <v>0</v>
      </c>
      <c r="GE304" s="9" t="n">
        <v>0</v>
      </c>
      <c r="GF304" s="9" t="n">
        <v>960</v>
      </c>
      <c r="GJ304" s="10" t="n">
        <v>46280</v>
      </c>
      <c r="GL304" s="9" t="n">
        <v>0</v>
      </c>
      <c r="GN304" s="9" t="n">
        <v>0</v>
      </c>
      <c r="GO304" s="9" t="n">
        <v>1760</v>
      </c>
      <c r="GS304" s="10" t="n">
        <v>46280</v>
      </c>
      <c r="GU304" s="9" t="n">
        <v>0</v>
      </c>
      <c r="GW304" s="9" t="n">
        <v>0</v>
      </c>
      <c r="GX304" s="9" t="n">
        <v>400</v>
      </c>
      <c r="HB304" s="10" t="n">
        <v>46280</v>
      </c>
      <c r="HD304" s="9" t="n">
        <v>0</v>
      </c>
      <c r="HF304" s="9" t="n">
        <v>0</v>
      </c>
      <c r="HG304" s="9" t="n">
        <v>3600</v>
      </c>
      <c r="HK304" s="10" t="n">
        <v>46280</v>
      </c>
      <c r="HM304" s="9" t="n">
        <v>0</v>
      </c>
      <c r="HO304" s="9" t="n">
        <v>0</v>
      </c>
      <c r="HP304" s="9" t="n">
        <v>0</v>
      </c>
      <c r="HU304" s="10" t="n">
        <v>46280</v>
      </c>
      <c r="HW304" s="9" t="n">
        <v>0</v>
      </c>
      <c r="HY304" s="9" t="n">
        <v>0</v>
      </c>
      <c r="HZ304" s="9" t="n">
        <v>6120</v>
      </c>
      <c r="ID304" s="10" t="n">
        <v>46280</v>
      </c>
      <c r="IF304" s="9" t="n">
        <v>0</v>
      </c>
      <c r="IH304" s="9" t="n">
        <v>0</v>
      </c>
      <c r="II304" s="9" t="n">
        <v>0</v>
      </c>
      <c r="IM304" s="10" t="n">
        <v>46280</v>
      </c>
      <c r="IO304" s="9" t="n">
        <v>0</v>
      </c>
      <c r="IQ304" s="9" t="n">
        <v>0</v>
      </c>
      <c r="IR304" s="9" t="n">
        <v>0</v>
      </c>
      <c r="IV304" s="10" t="n">
        <v>46280</v>
      </c>
      <c r="IX304" s="9" t="n">
        <v>0</v>
      </c>
      <c r="IZ304" s="9" t="n">
        <v>0</v>
      </c>
      <c r="JA304" s="9" t="n">
        <v>2820</v>
      </c>
      <c r="JE304" s="10" t="n">
        <v>46280</v>
      </c>
      <c r="JG304" s="9" t="n">
        <v>0</v>
      </c>
      <c r="JI304" s="9" t="n">
        <v>0</v>
      </c>
      <c r="JJ304" s="9" t="n">
        <v>0</v>
      </c>
      <c r="JN304" s="10" t="n">
        <v>46280</v>
      </c>
      <c r="JP304" s="9" t="n">
        <v>0</v>
      </c>
      <c r="JR304" s="9" t="n">
        <v>0</v>
      </c>
      <c r="JS304" s="9" t="n">
        <v>0</v>
      </c>
      <c r="JW304" s="10" t="n">
        <v>46280</v>
      </c>
      <c r="JY304" s="9" t="n">
        <v>0</v>
      </c>
      <c r="KA304" s="9" t="n">
        <v>0</v>
      </c>
      <c r="KB304" s="9" t="n">
        <v>2540</v>
      </c>
      <c r="KF304" s="10" t="n">
        <v>46280</v>
      </c>
      <c r="KH304" s="9" t="n">
        <v>0</v>
      </c>
      <c r="KJ304" s="9" t="n">
        <v>0</v>
      </c>
      <c r="KK304" s="9" t="n">
        <v>2359.5</v>
      </c>
      <c r="KO304" s="10" t="n">
        <v>46280</v>
      </c>
      <c r="KQ304" s="9" t="n">
        <v>0</v>
      </c>
      <c r="KS304" s="9" t="n">
        <v>0</v>
      </c>
      <c r="KT304" s="9" t="n">
        <v>1890</v>
      </c>
      <c r="KX304" s="10" t="n">
        <v>46280</v>
      </c>
      <c r="KZ304" s="9" t="n">
        <v>0</v>
      </c>
      <c r="LB304" s="9" t="n">
        <v>0</v>
      </c>
      <c r="LC304" s="9" t="n">
        <v>3690</v>
      </c>
      <c r="LG304" s="10" t="n">
        <v>46280</v>
      </c>
      <c r="LI304" s="9" t="n">
        <v>0</v>
      </c>
      <c r="LK304" s="9" t="n">
        <v>0</v>
      </c>
      <c r="LL304" s="9" t="n">
        <v>4000</v>
      </c>
      <c r="LP304" s="10" t="n">
        <v>46280</v>
      </c>
      <c r="LR304" s="9" t="n">
        <v>0</v>
      </c>
      <c r="LT304" s="9" t="n">
        <v>0</v>
      </c>
      <c r="LU304" s="9" t="n">
        <v>0</v>
      </c>
      <c r="LY304" s="10" t="n">
        <v>46280</v>
      </c>
      <c r="MA304" s="9" t="n">
        <v>0</v>
      </c>
      <c r="MC304" s="9" t="n">
        <v>0</v>
      </c>
      <c r="MD304" s="9" t="n">
        <v>0</v>
      </c>
      <c r="MH304" s="10" t="n">
        <v>46280</v>
      </c>
      <c r="MJ304" s="9" t="n">
        <v>0</v>
      </c>
      <c r="ML304" s="9" t="n">
        <v>0</v>
      </c>
      <c r="MM304" s="9" t="n">
        <v>0</v>
      </c>
      <c r="MQ304" s="10" t="n">
        <v>46280</v>
      </c>
      <c r="MS304" s="9" t="n">
        <v>0</v>
      </c>
      <c r="MU304" s="9" t="n">
        <v>0</v>
      </c>
      <c r="MV304" s="9" t="n">
        <v>1625</v>
      </c>
      <c r="MZ304" s="10" t="n">
        <v>46280</v>
      </c>
      <c r="NB304" s="9" t="n">
        <v>0</v>
      </c>
      <c r="ND304" s="9" t="n">
        <v>0</v>
      </c>
      <c r="NE304" s="9" t="n">
        <v>0</v>
      </c>
      <c r="NI304" s="10" t="n">
        <v>46280</v>
      </c>
      <c r="NK304" s="9" t="n">
        <v>0</v>
      </c>
      <c r="NM304" s="9" t="n">
        <v>0</v>
      </c>
      <c r="NN304" s="9" t="n">
        <v>1127</v>
      </c>
      <c r="NR304" s="10" t="n">
        <v>46280</v>
      </c>
      <c r="NT304" s="9" t="n">
        <v>0</v>
      </c>
      <c r="NV304" s="9" t="n">
        <v>0</v>
      </c>
      <c r="NW304" s="9" t="n">
        <v>3112</v>
      </c>
      <c r="OA304" s="10" t="n">
        <v>46280</v>
      </c>
      <c r="OC304" s="9" t="n">
        <v>0</v>
      </c>
      <c r="OE304" s="9" t="n">
        <v>0</v>
      </c>
      <c r="OF304" s="9" t="n">
        <v>1680.5</v>
      </c>
      <c r="OJ304" s="10" t="n">
        <v>46280</v>
      </c>
      <c r="OL304" s="9" t="n">
        <v>0</v>
      </c>
      <c r="ON304" s="9" t="n">
        <v>0</v>
      </c>
      <c r="OO304" s="9" t="n">
        <v>0</v>
      </c>
      <c r="OS304" s="10" t="n">
        <v>46280</v>
      </c>
      <c r="OU304" s="9" t="n">
        <v>0</v>
      </c>
      <c r="OW304" s="9" t="n">
        <v>0</v>
      </c>
      <c r="OX304" s="9" t="n">
        <v>1482</v>
      </c>
      <c r="PB304" s="10" t="n">
        <v>46280</v>
      </c>
      <c r="PD304" s="9" t="n">
        <v>0</v>
      </c>
      <c r="PF304" s="9" t="n">
        <v>0</v>
      </c>
      <c r="PG304" s="9" t="n">
        <v>0</v>
      </c>
      <c r="PK304" s="10" t="n">
        <v>46280</v>
      </c>
      <c r="PM304" s="9" t="n">
        <v>0</v>
      </c>
      <c r="PO304" s="9" t="n">
        <v>0</v>
      </c>
      <c r="PP304" s="9" t="n">
        <v>100</v>
      </c>
      <c r="PT304" s="10" t="n">
        <v>46280</v>
      </c>
      <c r="PV304" s="9" t="n">
        <v>0</v>
      </c>
      <c r="PX304" s="9" t="n">
        <v>0</v>
      </c>
      <c r="PY304" s="9" t="n">
        <v>13.96000000000004</v>
      </c>
      <c r="QC304" s="10" t="n">
        <v>46280</v>
      </c>
      <c r="QE304" s="9" t="n">
        <v>0</v>
      </c>
      <c r="QG304" s="9" t="n">
        <v>0</v>
      </c>
      <c r="QH304" s="9" t="n">
        <v>548</v>
      </c>
      <c r="QL304" s="10" t="n">
        <v>46280</v>
      </c>
      <c r="QN304" s="9" t="n">
        <v>0</v>
      </c>
      <c r="QP304" s="9" t="n">
        <v>0</v>
      </c>
      <c r="QQ304" s="9" t="n">
        <v>0</v>
      </c>
      <c r="QU304" s="10" t="n">
        <v>46280</v>
      </c>
      <c r="QW304" s="9" t="n">
        <v>0</v>
      </c>
      <c r="QY304" s="9" t="n">
        <v>0</v>
      </c>
      <c r="QZ304" s="9" t="n">
        <v>0</v>
      </c>
      <c r="RD304" s="10" t="n">
        <v>46280</v>
      </c>
      <c r="RF304" s="9" t="n">
        <v>0</v>
      </c>
      <c r="RH304" s="9" t="n">
        <v>0</v>
      </c>
      <c r="RI304" s="9" t="n">
        <v>147.04</v>
      </c>
      <c r="RM304" s="10" t="n">
        <v>46280</v>
      </c>
      <c r="RO304" s="9" t="n">
        <v>0</v>
      </c>
      <c r="RQ304" s="9" t="n">
        <v>0</v>
      </c>
      <c r="RR304" s="9" t="n">
        <v>46.8</v>
      </c>
      <c r="RV304" s="10" t="n">
        <v>46280</v>
      </c>
      <c r="RX304" s="9" t="n">
        <v>0</v>
      </c>
      <c r="RZ304" s="9" t="n">
        <v>0</v>
      </c>
      <c r="SA304" s="9" t="n">
        <v>0</v>
      </c>
      <c r="SE304" s="10" t="n">
        <v>46280</v>
      </c>
      <c r="SG304" s="9" t="n">
        <v>0</v>
      </c>
      <c r="SI304" s="9" t="n">
        <v>0</v>
      </c>
      <c r="SJ304" s="9" t="n">
        <v>24.2</v>
      </c>
      <c r="SN304" s="10" t="n">
        <v>46280</v>
      </c>
      <c r="SP304" s="9" t="n">
        <v>0</v>
      </c>
      <c r="SR304" s="9" t="n">
        <v>0</v>
      </c>
      <c r="SS304" s="9" t="n">
        <v>32</v>
      </c>
      <c r="SW304" s="10" t="n">
        <v>46280</v>
      </c>
      <c r="SY304" s="9" t="n">
        <v>0</v>
      </c>
      <c r="TA304" s="9" t="n">
        <v>0</v>
      </c>
      <c r="TB304" s="9" t="n">
        <v>0</v>
      </c>
      <c r="TF304" s="10" t="n">
        <v>46280</v>
      </c>
      <c r="TH304" s="9" t="n">
        <v>0</v>
      </c>
      <c r="TJ304" s="9" t="n">
        <v>0</v>
      </c>
      <c r="TK304" s="9" t="n">
        <v>0</v>
      </c>
      <c r="TO304" s="10" t="n">
        <v>46280</v>
      </c>
      <c r="TQ304" s="9" t="n">
        <v>0</v>
      </c>
      <c r="TS304" s="9" t="n">
        <v>0</v>
      </c>
      <c r="TT304" s="9" t="n">
        <v>0</v>
      </c>
      <c r="TX304" s="10" t="n">
        <v>46280</v>
      </c>
      <c r="TZ304" s="9" t="n">
        <v>0</v>
      </c>
      <c r="UB304" s="9" t="n">
        <v>0</v>
      </c>
      <c r="UC304" s="9" t="n">
        <v>46.79999999999998</v>
      </c>
      <c r="UG304" s="10" t="n">
        <v>46280</v>
      </c>
      <c r="UI304" s="9" t="n">
        <v>0</v>
      </c>
      <c r="UK304" s="9" t="n">
        <v>0</v>
      </c>
      <c r="UL304" s="9" t="n">
        <v>204</v>
      </c>
      <c r="UP304" s="10" t="n">
        <v>46280</v>
      </c>
      <c r="UR304" s="9" t="n">
        <v>0</v>
      </c>
      <c r="UT304" s="9" t="n">
        <v>0</v>
      </c>
      <c r="UU304" s="9" t="n">
        <v>202.5</v>
      </c>
      <c r="UY304" s="10" t="n">
        <v>46280</v>
      </c>
      <c r="VA304" s="9" t="n">
        <v>0</v>
      </c>
      <c r="VC304" s="9" t="n">
        <v>0</v>
      </c>
      <c r="VD304" s="9" t="n">
        <v>41.60000000000002</v>
      </c>
      <c r="VH304" s="10" t="n">
        <v>46280</v>
      </c>
      <c r="VJ304" s="9" t="n">
        <v>0</v>
      </c>
      <c r="VL304" s="9" t="n">
        <v>0</v>
      </c>
      <c r="VM304" s="9" t="n">
        <v>210</v>
      </c>
      <c r="VQ304" s="10" t="n">
        <v>46280</v>
      </c>
      <c r="VS304" s="9" t="n">
        <v>0</v>
      </c>
      <c r="VU304" s="9" t="n">
        <v>0</v>
      </c>
      <c r="VV304" s="9" t="n">
        <v>0</v>
      </c>
      <c r="VZ304" s="10" t="n">
        <v>46280</v>
      </c>
      <c r="WB304" s="9" t="n">
        <v>0</v>
      </c>
      <c r="WD304" s="9" t="n">
        <v>0</v>
      </c>
      <c r="WE304" s="9" t="n">
        <v>0</v>
      </c>
      <c r="WI304" s="10" t="n">
        <v>46280</v>
      </c>
      <c r="WK304" s="9" t="n">
        <v>0</v>
      </c>
      <c r="WM304" s="9" t="n">
        <v>0</v>
      </c>
      <c r="WN304" s="9" t="n">
        <v>1057</v>
      </c>
      <c r="WR304" s="10" t="n">
        <v>46280</v>
      </c>
      <c r="WT304" s="9" t="n">
        <v>0</v>
      </c>
      <c r="WV304" s="9" t="n">
        <v>0</v>
      </c>
      <c r="WW304" s="9" t="n">
        <v>0</v>
      </c>
      <c r="XA304" s="10" t="n">
        <v>46280</v>
      </c>
      <c r="XC304" s="9" t="n">
        <v>0</v>
      </c>
      <c r="XE304" s="9" t="n">
        <v>0</v>
      </c>
      <c r="XF304" s="9" t="n">
        <v>7507</v>
      </c>
      <c r="XJ304" s="10" t="n">
        <v>46280</v>
      </c>
      <c r="XL304" s="9" t="n">
        <v>0</v>
      </c>
      <c r="XN304" s="9" t="n">
        <v>0</v>
      </c>
      <c r="XO304" s="9" t="n">
        <v>4252</v>
      </c>
      <c r="XS304" s="10" t="n">
        <v>46280</v>
      </c>
      <c r="XU304" s="9" t="n">
        <v>0</v>
      </c>
      <c r="XW304" s="9" t="n">
        <v>0</v>
      </c>
      <c r="XX304" s="9" t="n">
        <v>2179</v>
      </c>
      <c r="YB304" s="10" t="n">
        <v>46280</v>
      </c>
      <c r="YD304" s="9" t="n">
        <v>0</v>
      </c>
      <c r="YF304" s="9" t="n">
        <v>0</v>
      </c>
      <c r="YG304" s="9" t="n">
        <v>4019</v>
      </c>
      <c r="YK304" s="10" t="n">
        <v>46280</v>
      </c>
      <c r="YM304" s="9" t="n">
        <v>0</v>
      </c>
      <c r="YO304" s="9" t="n">
        <v>0</v>
      </c>
      <c r="YP304" s="9" t="n">
        <v>-218</v>
      </c>
      <c r="YT304" s="10" t="n">
        <v>46280</v>
      </c>
      <c r="YV304" s="9" t="n">
        <v>0</v>
      </c>
      <c r="YX304" s="9" t="n">
        <v>0</v>
      </c>
      <c r="YY304" s="9" t="n">
        <v>0</v>
      </c>
      <c r="ZC304" s="10" t="n">
        <v>46280</v>
      </c>
      <c r="ZE304" s="9" t="n">
        <v>0</v>
      </c>
      <c r="ZG304" s="9" t="n">
        <v>0</v>
      </c>
      <c r="ZH304" s="9" t="n">
        <v>0</v>
      </c>
      <c r="ZL304" s="10" t="n">
        <v>46280</v>
      </c>
      <c r="ZN304" s="9" t="n">
        <v>0</v>
      </c>
      <c r="ZP304" s="9" t="n">
        <v>0</v>
      </c>
      <c r="ZQ304" s="9" t="n">
        <v>0</v>
      </c>
      <c r="ZU304" s="10" t="n">
        <v>46280</v>
      </c>
      <c r="ZW304" s="9" t="n">
        <v>0</v>
      </c>
      <c r="ZY304" s="9" t="n">
        <v>0</v>
      </c>
      <c r="ZZ304" s="9" t="n">
        <v>0</v>
      </c>
      <c r="AAD304" s="10" t="n">
        <v>46280</v>
      </c>
      <c r="AAF304" s="9" t="n">
        <v>0</v>
      </c>
      <c r="AAH304" s="9" t="n">
        <v>0</v>
      </c>
      <c r="AAI304" s="9" t="n">
        <v>0</v>
      </c>
      <c r="AAM304" s="10" t="n">
        <v>46280</v>
      </c>
      <c r="AAO304" s="9" t="n">
        <v>0</v>
      </c>
      <c r="AAQ304" s="9" t="n">
        <v>0</v>
      </c>
      <c r="AAR304" s="9" t="n">
        <v>0</v>
      </c>
      <c r="AAV304" s="10" t="n">
        <v>46280</v>
      </c>
      <c r="AAX304" s="9" t="n">
        <v>0</v>
      </c>
      <c r="AAZ304" s="9" t="n">
        <v>0</v>
      </c>
      <c r="ABA304" s="9" t="n">
        <v>0</v>
      </c>
      <c r="ABE304" s="10" t="n">
        <v>46280</v>
      </c>
      <c r="ABG304" s="9" t="n">
        <v>0</v>
      </c>
      <c r="ABI304" s="9" t="n">
        <v>0</v>
      </c>
      <c r="ABJ304" s="9" t="n">
        <v>0</v>
      </c>
    </row>
    <row r="305">
      <c r="C305" s="10" t="n">
        <v>46281</v>
      </c>
      <c r="E305" s="9" t="n">
        <v>0</v>
      </c>
      <c r="G305" s="9" t="n">
        <v>0</v>
      </c>
      <c r="H305" s="9" t="n">
        <v>236936.6</v>
      </c>
      <c r="L305" s="10" t="n">
        <v>46281</v>
      </c>
      <c r="N305" s="9" t="n">
        <v>0</v>
      </c>
      <c r="P305" s="9" t="n">
        <v>0</v>
      </c>
      <c r="Q305" s="9" t="n">
        <v>53017.60000000007</v>
      </c>
      <c r="U305" s="10" t="n">
        <v>46281</v>
      </c>
      <c r="W305" s="9" t="n">
        <v>0</v>
      </c>
      <c r="Y305" s="9" t="n">
        <v>0</v>
      </c>
      <c r="Z305" s="9" t="n">
        <v>42674.19999999997</v>
      </c>
      <c r="AD305" s="10" t="n">
        <v>46281</v>
      </c>
      <c r="AF305" s="9" t="n">
        <v>0</v>
      </c>
      <c r="AH305" s="9" t="n">
        <v>0</v>
      </c>
      <c r="AI305" s="9" t="n">
        <v>4522.200000000019</v>
      </c>
      <c r="AM305" s="10" t="n">
        <v>46281</v>
      </c>
      <c r="AO305" s="9" t="n">
        <v>0</v>
      </c>
      <c r="AQ305" s="9" t="n">
        <v>0</v>
      </c>
      <c r="AR305" s="9" t="n">
        <v>0</v>
      </c>
      <c r="AV305" s="10" t="n">
        <v>46281</v>
      </c>
      <c r="AX305" s="9" t="n">
        <v>0</v>
      </c>
      <c r="AZ305" s="9" t="n">
        <v>0</v>
      </c>
      <c r="BA305" s="9" t="n">
        <v>124.9999999999952</v>
      </c>
      <c r="BE305" s="10" t="n">
        <v>46281</v>
      </c>
      <c r="BG305" s="9" t="n">
        <v>0</v>
      </c>
      <c r="BI305" s="9" t="n">
        <v>0</v>
      </c>
      <c r="BJ305" s="9" t="n">
        <v>26151.9</v>
      </c>
      <c r="BN305" s="10" t="n">
        <v>46281</v>
      </c>
      <c r="BP305" s="9" t="n">
        <v>0</v>
      </c>
      <c r="BR305" s="9" t="n">
        <v>0</v>
      </c>
      <c r="BS305" s="9" t="n">
        <v>0</v>
      </c>
      <c r="BW305" s="10" t="n">
        <v>46281</v>
      </c>
      <c r="BY305" s="9" t="n">
        <v>0</v>
      </c>
      <c r="CA305" s="9" t="n">
        <v>0</v>
      </c>
      <c r="CB305" s="9" t="n">
        <v>2097.339999999999</v>
      </c>
      <c r="CF305" s="10" t="n">
        <v>46281</v>
      </c>
      <c r="CH305" s="9" t="n">
        <v>0</v>
      </c>
      <c r="CJ305" s="9" t="n">
        <v>0</v>
      </c>
      <c r="CK305" s="9" t="n">
        <v>-10277.08</v>
      </c>
      <c r="CO305" s="10" t="n">
        <v>46281</v>
      </c>
      <c r="CQ305" s="9" t="n">
        <v>0</v>
      </c>
      <c r="CS305" s="9" t="n">
        <v>0</v>
      </c>
      <c r="CT305" s="9" t="n">
        <v>0</v>
      </c>
      <c r="CX305" s="10" t="n">
        <v>46281</v>
      </c>
      <c r="CZ305" s="9" t="n">
        <v>0</v>
      </c>
      <c r="DB305" s="9" t="n">
        <v>0</v>
      </c>
      <c r="DC305" s="9" t="n">
        <v>27438.20000000001</v>
      </c>
      <c r="DG305" s="10" t="n">
        <v>46281</v>
      </c>
      <c r="DI305" s="9" t="n">
        <v>0</v>
      </c>
      <c r="DK305" s="9" t="n">
        <v>0</v>
      </c>
      <c r="DL305" s="9" t="n">
        <v>18782.29999999998</v>
      </c>
      <c r="DP305" s="10" t="n">
        <v>46281</v>
      </c>
      <c r="DR305" s="9" t="n">
        <v>0</v>
      </c>
      <c r="DT305" s="9" t="n">
        <v>0</v>
      </c>
      <c r="DU305" s="9" t="n">
        <v>5800</v>
      </c>
      <c r="DY305" s="10" t="n">
        <v>46281</v>
      </c>
      <c r="EA305" s="9" t="n">
        <v>0</v>
      </c>
      <c r="EC305" s="9" t="n">
        <v>0</v>
      </c>
      <c r="ED305" s="9" t="n">
        <v>0</v>
      </c>
      <c r="EH305" s="10" t="n">
        <v>46281</v>
      </c>
      <c r="EJ305" s="9" t="n">
        <v>0</v>
      </c>
      <c r="EL305" s="9" t="n">
        <v>0</v>
      </c>
      <c r="EM305" s="9" t="n">
        <v>0</v>
      </c>
      <c r="EQ305" s="10" t="n">
        <v>46281</v>
      </c>
      <c r="ES305" s="9" t="n">
        <v>0</v>
      </c>
      <c r="EU305" s="9" t="n">
        <v>0</v>
      </c>
      <c r="EV305" s="9" t="n">
        <v>0</v>
      </c>
      <c r="EZ305" s="10" t="n">
        <v>46281</v>
      </c>
      <c r="FB305" s="9" t="n">
        <v>0</v>
      </c>
      <c r="FD305" s="9" t="n">
        <v>0</v>
      </c>
      <c r="FE305" s="9" t="n">
        <v>0</v>
      </c>
      <c r="FI305" s="10" t="n">
        <v>46281</v>
      </c>
      <c r="FK305" s="9" t="n">
        <v>0</v>
      </c>
      <c r="FM305" s="9" t="n">
        <v>0</v>
      </c>
      <c r="FN305" s="9" t="n">
        <v>0</v>
      </c>
      <c r="FR305" s="10" t="n">
        <v>46281</v>
      </c>
      <c r="FT305" s="9" t="n">
        <v>0</v>
      </c>
      <c r="FV305" s="9" t="n">
        <v>0</v>
      </c>
      <c r="FW305" s="9" t="n">
        <v>2020</v>
      </c>
      <c r="GA305" s="10" t="n">
        <v>46281</v>
      </c>
      <c r="GC305" s="9" t="n">
        <v>0</v>
      </c>
      <c r="GE305" s="9" t="n">
        <v>0</v>
      </c>
      <c r="GF305" s="9" t="n">
        <v>960</v>
      </c>
      <c r="GJ305" s="10" t="n">
        <v>46281</v>
      </c>
      <c r="GL305" s="9" t="n">
        <v>0</v>
      </c>
      <c r="GN305" s="9" t="n">
        <v>0</v>
      </c>
      <c r="GO305" s="9" t="n">
        <v>1760</v>
      </c>
      <c r="GS305" s="10" t="n">
        <v>46281</v>
      </c>
      <c r="GU305" s="9" t="n">
        <v>0</v>
      </c>
      <c r="GW305" s="9" t="n">
        <v>0</v>
      </c>
      <c r="GX305" s="9" t="n">
        <v>400</v>
      </c>
      <c r="HB305" s="10" t="n">
        <v>46281</v>
      </c>
      <c r="HD305" s="9" t="n">
        <v>0</v>
      </c>
      <c r="HF305" s="9" t="n">
        <v>0</v>
      </c>
      <c r="HG305" s="9" t="n">
        <v>3600</v>
      </c>
      <c r="HK305" s="10" t="n">
        <v>46281</v>
      </c>
      <c r="HM305" s="9" t="n">
        <v>0</v>
      </c>
      <c r="HO305" s="9" t="n">
        <v>0</v>
      </c>
      <c r="HP305" s="9" t="n">
        <v>0</v>
      </c>
      <c r="HU305" s="10" t="n">
        <v>46281</v>
      </c>
      <c r="HW305" s="9" t="n">
        <v>0</v>
      </c>
      <c r="HY305" s="9" t="n">
        <v>0</v>
      </c>
      <c r="HZ305" s="9" t="n">
        <v>6120</v>
      </c>
      <c r="ID305" s="10" t="n">
        <v>46281</v>
      </c>
      <c r="IF305" s="9" t="n">
        <v>0</v>
      </c>
      <c r="IH305" s="9" t="n">
        <v>0</v>
      </c>
      <c r="II305" s="9" t="n">
        <v>0</v>
      </c>
      <c r="IM305" s="10" t="n">
        <v>46281</v>
      </c>
      <c r="IO305" s="9" t="n">
        <v>0</v>
      </c>
      <c r="IQ305" s="9" t="n">
        <v>0</v>
      </c>
      <c r="IR305" s="9" t="n">
        <v>0</v>
      </c>
      <c r="IV305" s="10" t="n">
        <v>46281</v>
      </c>
      <c r="IX305" s="9" t="n">
        <v>0</v>
      </c>
      <c r="IZ305" s="9" t="n">
        <v>0</v>
      </c>
      <c r="JA305" s="9" t="n">
        <v>2820</v>
      </c>
      <c r="JE305" s="10" t="n">
        <v>46281</v>
      </c>
      <c r="JG305" s="9" t="n">
        <v>0</v>
      </c>
      <c r="JI305" s="9" t="n">
        <v>0</v>
      </c>
      <c r="JJ305" s="9" t="n">
        <v>0</v>
      </c>
      <c r="JN305" s="10" t="n">
        <v>46281</v>
      </c>
      <c r="JP305" s="9" t="n">
        <v>0</v>
      </c>
      <c r="JR305" s="9" t="n">
        <v>0</v>
      </c>
      <c r="JS305" s="9" t="n">
        <v>0</v>
      </c>
      <c r="JW305" s="10" t="n">
        <v>46281</v>
      </c>
      <c r="JY305" s="9" t="n">
        <v>0</v>
      </c>
      <c r="KA305" s="9" t="n">
        <v>0</v>
      </c>
      <c r="KB305" s="9" t="n">
        <v>2540</v>
      </c>
      <c r="KF305" s="10" t="n">
        <v>46281</v>
      </c>
      <c r="KH305" s="9" t="n">
        <v>0</v>
      </c>
      <c r="KJ305" s="9" t="n">
        <v>0</v>
      </c>
      <c r="KK305" s="9" t="n">
        <v>2359.5</v>
      </c>
      <c r="KO305" s="10" t="n">
        <v>46281</v>
      </c>
      <c r="KQ305" s="9" t="n">
        <v>0</v>
      </c>
      <c r="KS305" s="9" t="n">
        <v>0</v>
      </c>
      <c r="KT305" s="9" t="n">
        <v>1890</v>
      </c>
      <c r="KX305" s="10" t="n">
        <v>46281</v>
      </c>
      <c r="KZ305" s="9" t="n">
        <v>0</v>
      </c>
      <c r="LB305" s="9" t="n">
        <v>0</v>
      </c>
      <c r="LC305" s="9" t="n">
        <v>3690</v>
      </c>
      <c r="LG305" s="10" t="n">
        <v>46281</v>
      </c>
      <c r="LI305" s="9" t="n">
        <v>0</v>
      </c>
      <c r="LK305" s="9" t="n">
        <v>0</v>
      </c>
      <c r="LL305" s="9" t="n">
        <v>4000</v>
      </c>
      <c r="LP305" s="10" t="n">
        <v>46281</v>
      </c>
      <c r="LR305" s="9" t="n">
        <v>0</v>
      </c>
      <c r="LT305" s="9" t="n">
        <v>0</v>
      </c>
      <c r="LU305" s="9" t="n">
        <v>0</v>
      </c>
      <c r="LY305" s="10" t="n">
        <v>46281</v>
      </c>
      <c r="MA305" s="9" t="n">
        <v>0</v>
      </c>
      <c r="MC305" s="9" t="n">
        <v>0</v>
      </c>
      <c r="MD305" s="9" t="n">
        <v>0</v>
      </c>
      <c r="MH305" s="10" t="n">
        <v>46281</v>
      </c>
      <c r="MJ305" s="9" t="n">
        <v>0</v>
      </c>
      <c r="ML305" s="9" t="n">
        <v>0</v>
      </c>
      <c r="MM305" s="9" t="n">
        <v>0</v>
      </c>
      <c r="MQ305" s="10" t="n">
        <v>46281</v>
      </c>
      <c r="MS305" s="9" t="n">
        <v>0</v>
      </c>
      <c r="MU305" s="9" t="n">
        <v>0</v>
      </c>
      <c r="MV305" s="9" t="n">
        <v>1625</v>
      </c>
      <c r="MZ305" s="10" t="n">
        <v>46281</v>
      </c>
      <c r="NB305" s="9" t="n">
        <v>0</v>
      </c>
      <c r="ND305" s="9" t="n">
        <v>0</v>
      </c>
      <c r="NE305" s="9" t="n">
        <v>0</v>
      </c>
      <c r="NI305" s="10" t="n">
        <v>46281</v>
      </c>
      <c r="NK305" s="9" t="n">
        <v>0</v>
      </c>
      <c r="NM305" s="9" t="n">
        <v>0</v>
      </c>
      <c r="NN305" s="9" t="n">
        <v>1127</v>
      </c>
      <c r="NR305" s="10" t="n">
        <v>46281</v>
      </c>
      <c r="NT305" s="9" t="n">
        <v>0</v>
      </c>
      <c r="NV305" s="9" t="n">
        <v>0</v>
      </c>
      <c r="NW305" s="9" t="n">
        <v>3112</v>
      </c>
      <c r="OA305" s="10" t="n">
        <v>46281</v>
      </c>
      <c r="OC305" s="9" t="n">
        <v>0</v>
      </c>
      <c r="OE305" s="9" t="n">
        <v>0</v>
      </c>
      <c r="OF305" s="9" t="n">
        <v>1680.5</v>
      </c>
      <c r="OJ305" s="10" t="n">
        <v>46281</v>
      </c>
      <c r="OL305" s="9" t="n">
        <v>0</v>
      </c>
      <c r="ON305" s="9" t="n">
        <v>0</v>
      </c>
      <c r="OO305" s="9" t="n">
        <v>0</v>
      </c>
      <c r="OS305" s="10" t="n">
        <v>46281</v>
      </c>
      <c r="OU305" s="9" t="n">
        <v>0</v>
      </c>
      <c r="OW305" s="9" t="n">
        <v>0</v>
      </c>
      <c r="OX305" s="9" t="n">
        <v>1482</v>
      </c>
      <c r="PB305" s="10" t="n">
        <v>46281</v>
      </c>
      <c r="PD305" s="9" t="n">
        <v>0</v>
      </c>
      <c r="PF305" s="9" t="n">
        <v>0</v>
      </c>
      <c r="PG305" s="9" t="n">
        <v>0</v>
      </c>
      <c r="PK305" s="10" t="n">
        <v>46281</v>
      </c>
      <c r="PM305" s="9" t="n">
        <v>0</v>
      </c>
      <c r="PO305" s="9" t="n">
        <v>0</v>
      </c>
      <c r="PP305" s="9" t="n">
        <v>100</v>
      </c>
      <c r="PT305" s="10" t="n">
        <v>46281</v>
      </c>
      <c r="PV305" s="9" t="n">
        <v>0</v>
      </c>
      <c r="PX305" s="9" t="n">
        <v>0</v>
      </c>
      <c r="PY305" s="9" t="n">
        <v>13.96000000000004</v>
      </c>
      <c r="QC305" s="10" t="n">
        <v>46281</v>
      </c>
      <c r="QE305" s="9" t="n">
        <v>0</v>
      </c>
      <c r="QG305" s="9" t="n">
        <v>0</v>
      </c>
      <c r="QH305" s="9" t="n">
        <v>548</v>
      </c>
      <c r="QL305" s="10" t="n">
        <v>46281</v>
      </c>
      <c r="QN305" s="9" t="n">
        <v>0</v>
      </c>
      <c r="QP305" s="9" t="n">
        <v>0</v>
      </c>
      <c r="QQ305" s="9" t="n">
        <v>0</v>
      </c>
      <c r="QU305" s="10" t="n">
        <v>46281</v>
      </c>
      <c r="QW305" s="9" t="n">
        <v>0</v>
      </c>
      <c r="QY305" s="9" t="n">
        <v>0</v>
      </c>
      <c r="QZ305" s="9" t="n">
        <v>0</v>
      </c>
      <c r="RD305" s="10" t="n">
        <v>46281</v>
      </c>
      <c r="RF305" s="9" t="n">
        <v>0</v>
      </c>
      <c r="RH305" s="9" t="n">
        <v>0</v>
      </c>
      <c r="RI305" s="9" t="n">
        <v>147.04</v>
      </c>
      <c r="RM305" s="10" t="n">
        <v>46281</v>
      </c>
      <c r="RO305" s="9" t="n">
        <v>0</v>
      </c>
      <c r="RQ305" s="9" t="n">
        <v>0</v>
      </c>
      <c r="RR305" s="9" t="n">
        <v>46.8</v>
      </c>
      <c r="RV305" s="10" t="n">
        <v>46281</v>
      </c>
      <c r="RX305" s="9" t="n">
        <v>0</v>
      </c>
      <c r="RZ305" s="9" t="n">
        <v>0</v>
      </c>
      <c r="SA305" s="9" t="n">
        <v>0</v>
      </c>
      <c r="SE305" s="10" t="n">
        <v>46281</v>
      </c>
      <c r="SG305" s="9" t="n">
        <v>0</v>
      </c>
      <c r="SI305" s="9" t="n">
        <v>0</v>
      </c>
      <c r="SJ305" s="9" t="n">
        <v>24.2</v>
      </c>
      <c r="SN305" s="10" t="n">
        <v>46281</v>
      </c>
      <c r="SP305" s="9" t="n">
        <v>0</v>
      </c>
      <c r="SR305" s="9" t="n">
        <v>0</v>
      </c>
      <c r="SS305" s="9" t="n">
        <v>32</v>
      </c>
      <c r="SW305" s="10" t="n">
        <v>46281</v>
      </c>
      <c r="SY305" s="9" t="n">
        <v>0</v>
      </c>
      <c r="TA305" s="9" t="n">
        <v>0</v>
      </c>
      <c r="TB305" s="9" t="n">
        <v>0</v>
      </c>
      <c r="TF305" s="10" t="n">
        <v>46281</v>
      </c>
      <c r="TH305" s="9" t="n">
        <v>0</v>
      </c>
      <c r="TJ305" s="9" t="n">
        <v>0</v>
      </c>
      <c r="TK305" s="9" t="n">
        <v>0</v>
      </c>
      <c r="TO305" s="10" t="n">
        <v>46281</v>
      </c>
      <c r="TQ305" s="9" t="n">
        <v>0</v>
      </c>
      <c r="TS305" s="9" t="n">
        <v>0</v>
      </c>
      <c r="TT305" s="9" t="n">
        <v>0</v>
      </c>
      <c r="TX305" s="10" t="n">
        <v>46281</v>
      </c>
      <c r="TZ305" s="9" t="n">
        <v>0</v>
      </c>
      <c r="UB305" s="9" t="n">
        <v>0</v>
      </c>
      <c r="UC305" s="9" t="n">
        <v>46.79999999999998</v>
      </c>
      <c r="UG305" s="10" t="n">
        <v>46281</v>
      </c>
      <c r="UI305" s="9" t="n">
        <v>0</v>
      </c>
      <c r="UK305" s="9" t="n">
        <v>0</v>
      </c>
      <c r="UL305" s="9" t="n">
        <v>204</v>
      </c>
      <c r="UP305" s="10" t="n">
        <v>46281</v>
      </c>
      <c r="UR305" s="9" t="n">
        <v>0</v>
      </c>
      <c r="UT305" s="9" t="n">
        <v>0</v>
      </c>
      <c r="UU305" s="9" t="n">
        <v>202.5</v>
      </c>
      <c r="UY305" s="10" t="n">
        <v>46281</v>
      </c>
      <c r="VA305" s="9" t="n">
        <v>0</v>
      </c>
      <c r="VC305" s="9" t="n">
        <v>0</v>
      </c>
      <c r="VD305" s="9" t="n">
        <v>41.60000000000002</v>
      </c>
      <c r="VH305" s="10" t="n">
        <v>46281</v>
      </c>
      <c r="VJ305" s="9" t="n">
        <v>0</v>
      </c>
      <c r="VL305" s="9" t="n">
        <v>0</v>
      </c>
      <c r="VM305" s="9" t="n">
        <v>210</v>
      </c>
      <c r="VQ305" s="10" t="n">
        <v>46281</v>
      </c>
      <c r="VS305" s="9" t="n">
        <v>0</v>
      </c>
      <c r="VU305" s="9" t="n">
        <v>0</v>
      </c>
      <c r="VV305" s="9" t="n">
        <v>0</v>
      </c>
      <c r="VZ305" s="10" t="n">
        <v>46281</v>
      </c>
      <c r="WB305" s="9" t="n">
        <v>0</v>
      </c>
      <c r="WD305" s="9" t="n">
        <v>0</v>
      </c>
      <c r="WE305" s="9" t="n">
        <v>0</v>
      </c>
      <c r="WI305" s="10" t="n">
        <v>46281</v>
      </c>
      <c r="WK305" s="9" t="n">
        <v>0</v>
      </c>
      <c r="WM305" s="9" t="n">
        <v>0</v>
      </c>
      <c r="WN305" s="9" t="n">
        <v>1057</v>
      </c>
      <c r="WR305" s="10" t="n">
        <v>46281</v>
      </c>
      <c r="WT305" s="9" t="n">
        <v>0</v>
      </c>
      <c r="WV305" s="9" t="n">
        <v>0</v>
      </c>
      <c r="WW305" s="9" t="n">
        <v>0</v>
      </c>
      <c r="XA305" s="10" t="n">
        <v>46281</v>
      </c>
      <c r="XC305" s="9" t="n">
        <v>0</v>
      </c>
      <c r="XE305" s="9" t="n">
        <v>0</v>
      </c>
      <c r="XF305" s="9" t="n">
        <v>7507</v>
      </c>
      <c r="XJ305" s="10" t="n">
        <v>46281</v>
      </c>
      <c r="XL305" s="9" t="n">
        <v>0</v>
      </c>
      <c r="XN305" s="9" t="n">
        <v>0</v>
      </c>
      <c r="XO305" s="9" t="n">
        <v>4252</v>
      </c>
      <c r="XS305" s="10" t="n">
        <v>46281</v>
      </c>
      <c r="XU305" s="9" t="n">
        <v>0</v>
      </c>
      <c r="XW305" s="9" t="n">
        <v>0</v>
      </c>
      <c r="XX305" s="9" t="n">
        <v>2179</v>
      </c>
      <c r="YB305" s="10" t="n">
        <v>46281</v>
      </c>
      <c r="YD305" s="9" t="n">
        <v>0</v>
      </c>
      <c r="YF305" s="9" t="n">
        <v>0</v>
      </c>
      <c r="YG305" s="9" t="n">
        <v>4019</v>
      </c>
      <c r="YK305" s="10" t="n">
        <v>46281</v>
      </c>
      <c r="YM305" s="9" t="n">
        <v>0</v>
      </c>
      <c r="YO305" s="9" t="n">
        <v>0</v>
      </c>
      <c r="YP305" s="9" t="n">
        <v>-218</v>
      </c>
      <c r="YT305" s="10" t="n">
        <v>46281</v>
      </c>
      <c r="YV305" s="9" t="n">
        <v>0</v>
      </c>
      <c r="YX305" s="9" t="n">
        <v>0</v>
      </c>
      <c r="YY305" s="9" t="n">
        <v>0</v>
      </c>
      <c r="ZC305" s="10" t="n">
        <v>46281</v>
      </c>
      <c r="ZE305" s="9" t="n">
        <v>0</v>
      </c>
      <c r="ZG305" s="9" t="n">
        <v>0</v>
      </c>
      <c r="ZH305" s="9" t="n">
        <v>0</v>
      </c>
      <c r="ZL305" s="10" t="n">
        <v>46281</v>
      </c>
      <c r="ZN305" s="9" t="n">
        <v>0</v>
      </c>
      <c r="ZP305" s="9" t="n">
        <v>0</v>
      </c>
      <c r="ZQ305" s="9" t="n">
        <v>0</v>
      </c>
      <c r="ZU305" s="10" t="n">
        <v>46281</v>
      </c>
      <c r="ZW305" s="9" t="n">
        <v>0</v>
      </c>
      <c r="ZY305" s="9" t="n">
        <v>0</v>
      </c>
      <c r="ZZ305" s="9" t="n">
        <v>0</v>
      </c>
      <c r="AAD305" s="10" t="n">
        <v>46281</v>
      </c>
      <c r="AAF305" s="9" t="n">
        <v>0</v>
      </c>
      <c r="AAH305" s="9" t="n">
        <v>0</v>
      </c>
      <c r="AAI305" s="9" t="n">
        <v>0</v>
      </c>
      <c r="AAM305" s="10" t="n">
        <v>46281</v>
      </c>
      <c r="AAO305" s="9" t="n">
        <v>0</v>
      </c>
      <c r="AAQ305" s="9" t="n">
        <v>0</v>
      </c>
      <c r="AAR305" s="9" t="n">
        <v>0</v>
      </c>
      <c r="AAV305" s="10" t="n">
        <v>46281</v>
      </c>
      <c r="AAX305" s="9" t="n">
        <v>0</v>
      </c>
      <c r="AAZ305" s="9" t="n">
        <v>0</v>
      </c>
      <c r="ABA305" s="9" t="n">
        <v>0</v>
      </c>
      <c r="ABE305" s="10" t="n">
        <v>46281</v>
      </c>
      <c r="ABG305" s="9" t="n">
        <v>0</v>
      </c>
      <c r="ABI305" s="9" t="n">
        <v>0</v>
      </c>
      <c r="ABJ305" s="9" t="n">
        <v>0</v>
      </c>
    </row>
    <row r="306">
      <c r="C306" s="10" t="n">
        <v>46282</v>
      </c>
      <c r="E306" s="9" t="n">
        <v>0</v>
      </c>
      <c r="G306" s="9" t="n">
        <v>0</v>
      </c>
      <c r="H306" s="9" t="n">
        <v>236936.6</v>
      </c>
      <c r="L306" s="10" t="n">
        <v>46282</v>
      </c>
      <c r="N306" s="9" t="n">
        <v>0</v>
      </c>
      <c r="P306" s="9" t="n">
        <v>0</v>
      </c>
      <c r="Q306" s="9" t="n">
        <v>53017.60000000007</v>
      </c>
      <c r="U306" s="10" t="n">
        <v>46282</v>
      </c>
      <c r="W306" s="9" t="n">
        <v>0</v>
      </c>
      <c r="Y306" s="9" t="n">
        <v>0</v>
      </c>
      <c r="Z306" s="9" t="n">
        <v>42674.19999999997</v>
      </c>
      <c r="AD306" s="10" t="n">
        <v>46282</v>
      </c>
      <c r="AF306" s="9" t="n">
        <v>0</v>
      </c>
      <c r="AH306" s="9" t="n">
        <v>0</v>
      </c>
      <c r="AI306" s="9" t="n">
        <v>4522.200000000019</v>
      </c>
      <c r="AM306" s="10" t="n">
        <v>46282</v>
      </c>
      <c r="AO306" s="9" t="n">
        <v>0</v>
      </c>
      <c r="AQ306" s="9" t="n">
        <v>0</v>
      </c>
      <c r="AR306" s="9" t="n">
        <v>0</v>
      </c>
      <c r="AV306" s="10" t="n">
        <v>46282</v>
      </c>
      <c r="AX306" s="9" t="n">
        <v>0</v>
      </c>
      <c r="AZ306" s="9" t="n">
        <v>0</v>
      </c>
      <c r="BA306" s="9" t="n">
        <v>124.9999999999952</v>
      </c>
      <c r="BE306" s="10" t="n">
        <v>46282</v>
      </c>
      <c r="BG306" s="9" t="n">
        <v>0</v>
      </c>
      <c r="BI306" s="9" t="n">
        <v>0</v>
      </c>
      <c r="BJ306" s="9" t="n">
        <v>26151.9</v>
      </c>
      <c r="BN306" s="10" t="n">
        <v>46282</v>
      </c>
      <c r="BP306" s="9" t="n">
        <v>0</v>
      </c>
      <c r="BR306" s="9" t="n">
        <v>0</v>
      </c>
      <c r="BS306" s="9" t="n">
        <v>0</v>
      </c>
      <c r="BW306" s="10" t="n">
        <v>46282</v>
      </c>
      <c r="BY306" s="9" t="n">
        <v>0</v>
      </c>
      <c r="CA306" s="9" t="n">
        <v>0</v>
      </c>
      <c r="CB306" s="9" t="n">
        <v>2097.339999999999</v>
      </c>
      <c r="CF306" s="10" t="n">
        <v>46282</v>
      </c>
      <c r="CH306" s="9" t="n">
        <v>0</v>
      </c>
      <c r="CJ306" s="9" t="n">
        <v>0</v>
      </c>
      <c r="CK306" s="9" t="n">
        <v>-10277.08</v>
      </c>
      <c r="CO306" s="10" t="n">
        <v>46282</v>
      </c>
      <c r="CQ306" s="9" t="n">
        <v>0</v>
      </c>
      <c r="CS306" s="9" t="n">
        <v>0</v>
      </c>
      <c r="CT306" s="9" t="n">
        <v>0</v>
      </c>
      <c r="CX306" s="10" t="n">
        <v>46282</v>
      </c>
      <c r="CZ306" s="9" t="n">
        <v>0</v>
      </c>
      <c r="DB306" s="9" t="n">
        <v>0</v>
      </c>
      <c r="DC306" s="9" t="n">
        <v>27438.20000000001</v>
      </c>
      <c r="DG306" s="10" t="n">
        <v>46282</v>
      </c>
      <c r="DI306" s="9" t="n">
        <v>0</v>
      </c>
      <c r="DK306" s="9" t="n">
        <v>0</v>
      </c>
      <c r="DL306" s="9" t="n">
        <v>18782.29999999998</v>
      </c>
      <c r="DP306" s="10" t="n">
        <v>46282</v>
      </c>
      <c r="DR306" s="9" t="n">
        <v>0</v>
      </c>
      <c r="DT306" s="9" t="n">
        <v>0</v>
      </c>
      <c r="DU306" s="9" t="n">
        <v>5800</v>
      </c>
      <c r="DY306" s="10" t="n">
        <v>46282</v>
      </c>
      <c r="EA306" s="9" t="n">
        <v>0</v>
      </c>
      <c r="EC306" s="9" t="n">
        <v>0</v>
      </c>
      <c r="ED306" s="9" t="n">
        <v>0</v>
      </c>
      <c r="EH306" s="10" t="n">
        <v>46282</v>
      </c>
      <c r="EJ306" s="9" t="n">
        <v>0</v>
      </c>
      <c r="EL306" s="9" t="n">
        <v>0</v>
      </c>
      <c r="EM306" s="9" t="n">
        <v>0</v>
      </c>
      <c r="EQ306" s="10" t="n">
        <v>46282</v>
      </c>
      <c r="ES306" s="9" t="n">
        <v>0</v>
      </c>
      <c r="EU306" s="9" t="n">
        <v>0</v>
      </c>
      <c r="EV306" s="9" t="n">
        <v>0</v>
      </c>
      <c r="EZ306" s="10" t="n">
        <v>46282</v>
      </c>
      <c r="FB306" s="9" t="n">
        <v>0</v>
      </c>
      <c r="FD306" s="9" t="n">
        <v>0</v>
      </c>
      <c r="FE306" s="9" t="n">
        <v>0</v>
      </c>
      <c r="FI306" s="10" t="n">
        <v>46282</v>
      </c>
      <c r="FK306" s="9" t="n">
        <v>0</v>
      </c>
      <c r="FM306" s="9" t="n">
        <v>0</v>
      </c>
      <c r="FN306" s="9" t="n">
        <v>0</v>
      </c>
      <c r="FR306" s="10" t="n">
        <v>46282</v>
      </c>
      <c r="FT306" s="9" t="n">
        <v>0</v>
      </c>
      <c r="FV306" s="9" t="n">
        <v>0</v>
      </c>
      <c r="FW306" s="9" t="n">
        <v>2020</v>
      </c>
      <c r="GA306" s="10" t="n">
        <v>46282</v>
      </c>
      <c r="GC306" s="9" t="n">
        <v>0</v>
      </c>
      <c r="GE306" s="9" t="n">
        <v>0</v>
      </c>
      <c r="GF306" s="9" t="n">
        <v>960</v>
      </c>
      <c r="GJ306" s="10" t="n">
        <v>46282</v>
      </c>
      <c r="GL306" s="9" t="n">
        <v>0</v>
      </c>
      <c r="GN306" s="9" t="n">
        <v>0</v>
      </c>
      <c r="GO306" s="9" t="n">
        <v>1760</v>
      </c>
      <c r="GS306" s="10" t="n">
        <v>46282</v>
      </c>
      <c r="GU306" s="9" t="n">
        <v>0</v>
      </c>
      <c r="GW306" s="9" t="n">
        <v>0</v>
      </c>
      <c r="GX306" s="9" t="n">
        <v>400</v>
      </c>
      <c r="HB306" s="10" t="n">
        <v>46282</v>
      </c>
      <c r="HD306" s="9" t="n">
        <v>0</v>
      </c>
      <c r="HF306" s="9" t="n">
        <v>0</v>
      </c>
      <c r="HG306" s="9" t="n">
        <v>3600</v>
      </c>
      <c r="HK306" s="10" t="n">
        <v>46282</v>
      </c>
      <c r="HM306" s="9" t="n">
        <v>0</v>
      </c>
      <c r="HO306" s="9" t="n">
        <v>0</v>
      </c>
      <c r="HP306" s="9" t="n">
        <v>0</v>
      </c>
      <c r="HU306" s="10" t="n">
        <v>46282</v>
      </c>
      <c r="HW306" s="9" t="n">
        <v>0</v>
      </c>
      <c r="HY306" s="9" t="n">
        <v>0</v>
      </c>
      <c r="HZ306" s="9" t="n">
        <v>6120</v>
      </c>
      <c r="ID306" s="10" t="n">
        <v>46282</v>
      </c>
      <c r="IF306" s="9" t="n">
        <v>0</v>
      </c>
      <c r="IH306" s="9" t="n">
        <v>0</v>
      </c>
      <c r="II306" s="9" t="n">
        <v>0</v>
      </c>
      <c r="IM306" s="10" t="n">
        <v>46282</v>
      </c>
      <c r="IO306" s="9" t="n">
        <v>0</v>
      </c>
      <c r="IQ306" s="9" t="n">
        <v>0</v>
      </c>
      <c r="IR306" s="9" t="n">
        <v>0</v>
      </c>
      <c r="IV306" s="10" t="n">
        <v>46282</v>
      </c>
      <c r="IX306" s="9" t="n">
        <v>0</v>
      </c>
      <c r="IZ306" s="9" t="n">
        <v>0</v>
      </c>
      <c r="JA306" s="9" t="n">
        <v>2820</v>
      </c>
      <c r="JE306" s="10" t="n">
        <v>46282</v>
      </c>
      <c r="JG306" s="9" t="n">
        <v>0</v>
      </c>
      <c r="JI306" s="9" t="n">
        <v>0</v>
      </c>
      <c r="JJ306" s="9" t="n">
        <v>0</v>
      </c>
      <c r="JN306" s="10" t="n">
        <v>46282</v>
      </c>
      <c r="JP306" s="9" t="n">
        <v>0</v>
      </c>
      <c r="JR306" s="9" t="n">
        <v>0</v>
      </c>
      <c r="JS306" s="9" t="n">
        <v>0</v>
      </c>
      <c r="JW306" s="10" t="n">
        <v>46282</v>
      </c>
      <c r="JY306" s="9" t="n">
        <v>0</v>
      </c>
      <c r="KA306" s="9" t="n">
        <v>0</v>
      </c>
      <c r="KB306" s="9" t="n">
        <v>2540</v>
      </c>
      <c r="KF306" s="10" t="n">
        <v>46282</v>
      </c>
      <c r="KH306" s="9" t="n">
        <v>0</v>
      </c>
      <c r="KJ306" s="9" t="n">
        <v>0</v>
      </c>
      <c r="KK306" s="9" t="n">
        <v>2359.5</v>
      </c>
      <c r="KO306" s="10" t="n">
        <v>46282</v>
      </c>
      <c r="KQ306" s="9" t="n">
        <v>0</v>
      </c>
      <c r="KS306" s="9" t="n">
        <v>0</v>
      </c>
      <c r="KT306" s="9" t="n">
        <v>1890</v>
      </c>
      <c r="KX306" s="10" t="n">
        <v>46282</v>
      </c>
      <c r="KZ306" s="9" t="n">
        <v>0</v>
      </c>
      <c r="LB306" s="9" t="n">
        <v>0</v>
      </c>
      <c r="LC306" s="9" t="n">
        <v>3690</v>
      </c>
      <c r="LG306" s="10" t="n">
        <v>46282</v>
      </c>
      <c r="LI306" s="9" t="n">
        <v>0</v>
      </c>
      <c r="LK306" s="9" t="n">
        <v>0</v>
      </c>
      <c r="LL306" s="9" t="n">
        <v>4000</v>
      </c>
      <c r="LP306" s="10" t="n">
        <v>46282</v>
      </c>
      <c r="LR306" s="9" t="n">
        <v>0</v>
      </c>
      <c r="LT306" s="9" t="n">
        <v>0</v>
      </c>
      <c r="LU306" s="9" t="n">
        <v>0</v>
      </c>
      <c r="LY306" s="10" t="n">
        <v>46282</v>
      </c>
      <c r="MA306" s="9" t="n">
        <v>0</v>
      </c>
      <c r="MC306" s="9" t="n">
        <v>0</v>
      </c>
      <c r="MD306" s="9" t="n">
        <v>0</v>
      </c>
      <c r="MH306" s="10" t="n">
        <v>46282</v>
      </c>
      <c r="MJ306" s="9" t="n">
        <v>0</v>
      </c>
      <c r="ML306" s="9" t="n">
        <v>0</v>
      </c>
      <c r="MM306" s="9" t="n">
        <v>0</v>
      </c>
      <c r="MQ306" s="10" t="n">
        <v>46282</v>
      </c>
      <c r="MS306" s="9" t="n">
        <v>0</v>
      </c>
      <c r="MU306" s="9" t="n">
        <v>0</v>
      </c>
      <c r="MV306" s="9" t="n">
        <v>1625</v>
      </c>
      <c r="MZ306" s="10" t="n">
        <v>46282</v>
      </c>
      <c r="NB306" s="9" t="n">
        <v>0</v>
      </c>
      <c r="ND306" s="9" t="n">
        <v>0</v>
      </c>
      <c r="NE306" s="9" t="n">
        <v>0</v>
      </c>
      <c r="NI306" s="10" t="n">
        <v>46282</v>
      </c>
      <c r="NK306" s="9" t="n">
        <v>0</v>
      </c>
      <c r="NM306" s="9" t="n">
        <v>0</v>
      </c>
      <c r="NN306" s="9" t="n">
        <v>1127</v>
      </c>
      <c r="NR306" s="10" t="n">
        <v>46282</v>
      </c>
      <c r="NT306" s="9" t="n">
        <v>0</v>
      </c>
      <c r="NV306" s="9" t="n">
        <v>0</v>
      </c>
      <c r="NW306" s="9" t="n">
        <v>3112</v>
      </c>
      <c r="OA306" s="10" t="n">
        <v>46282</v>
      </c>
      <c r="OC306" s="9" t="n">
        <v>0</v>
      </c>
      <c r="OE306" s="9" t="n">
        <v>0</v>
      </c>
      <c r="OF306" s="9" t="n">
        <v>1680.5</v>
      </c>
      <c r="OJ306" s="10" t="n">
        <v>46282</v>
      </c>
      <c r="OL306" s="9" t="n">
        <v>0</v>
      </c>
      <c r="ON306" s="9" t="n">
        <v>0</v>
      </c>
      <c r="OO306" s="9" t="n">
        <v>0</v>
      </c>
      <c r="OS306" s="10" t="n">
        <v>46282</v>
      </c>
      <c r="OU306" s="9" t="n">
        <v>0</v>
      </c>
      <c r="OW306" s="9" t="n">
        <v>0</v>
      </c>
      <c r="OX306" s="9" t="n">
        <v>1482</v>
      </c>
      <c r="PB306" s="10" t="n">
        <v>46282</v>
      </c>
      <c r="PD306" s="9" t="n">
        <v>0</v>
      </c>
      <c r="PF306" s="9" t="n">
        <v>0</v>
      </c>
      <c r="PG306" s="9" t="n">
        <v>0</v>
      </c>
      <c r="PK306" s="10" t="n">
        <v>46282</v>
      </c>
      <c r="PM306" s="9" t="n">
        <v>0</v>
      </c>
      <c r="PO306" s="9" t="n">
        <v>0</v>
      </c>
      <c r="PP306" s="9" t="n">
        <v>100</v>
      </c>
      <c r="PT306" s="10" t="n">
        <v>46282</v>
      </c>
      <c r="PV306" s="9" t="n">
        <v>0</v>
      </c>
      <c r="PX306" s="9" t="n">
        <v>0</v>
      </c>
      <c r="PY306" s="9" t="n">
        <v>13.96000000000004</v>
      </c>
      <c r="QC306" s="10" t="n">
        <v>46282</v>
      </c>
      <c r="QE306" s="9" t="n">
        <v>0</v>
      </c>
      <c r="QG306" s="9" t="n">
        <v>0</v>
      </c>
      <c r="QH306" s="9" t="n">
        <v>548</v>
      </c>
      <c r="QL306" s="10" t="n">
        <v>46282</v>
      </c>
      <c r="QN306" s="9" t="n">
        <v>0</v>
      </c>
      <c r="QP306" s="9" t="n">
        <v>0</v>
      </c>
      <c r="QQ306" s="9" t="n">
        <v>0</v>
      </c>
      <c r="QU306" s="10" t="n">
        <v>46282</v>
      </c>
      <c r="QW306" s="9" t="n">
        <v>0</v>
      </c>
      <c r="QY306" s="9" t="n">
        <v>0</v>
      </c>
      <c r="QZ306" s="9" t="n">
        <v>0</v>
      </c>
      <c r="RD306" s="10" t="n">
        <v>46282</v>
      </c>
      <c r="RF306" s="9" t="n">
        <v>0</v>
      </c>
      <c r="RH306" s="9" t="n">
        <v>0</v>
      </c>
      <c r="RI306" s="9" t="n">
        <v>147.04</v>
      </c>
      <c r="RM306" s="10" t="n">
        <v>46282</v>
      </c>
      <c r="RO306" s="9" t="n">
        <v>0</v>
      </c>
      <c r="RQ306" s="9" t="n">
        <v>0</v>
      </c>
      <c r="RR306" s="9" t="n">
        <v>46.8</v>
      </c>
      <c r="RV306" s="10" t="n">
        <v>46282</v>
      </c>
      <c r="RX306" s="9" t="n">
        <v>0</v>
      </c>
      <c r="RZ306" s="9" t="n">
        <v>0</v>
      </c>
      <c r="SA306" s="9" t="n">
        <v>0</v>
      </c>
      <c r="SE306" s="10" t="n">
        <v>46282</v>
      </c>
      <c r="SG306" s="9" t="n">
        <v>0</v>
      </c>
      <c r="SI306" s="9" t="n">
        <v>0</v>
      </c>
      <c r="SJ306" s="9" t="n">
        <v>24.2</v>
      </c>
      <c r="SN306" s="10" t="n">
        <v>46282</v>
      </c>
      <c r="SP306" s="9" t="n">
        <v>0</v>
      </c>
      <c r="SR306" s="9" t="n">
        <v>0</v>
      </c>
      <c r="SS306" s="9" t="n">
        <v>32</v>
      </c>
      <c r="SW306" s="10" t="n">
        <v>46282</v>
      </c>
      <c r="SY306" s="9" t="n">
        <v>0</v>
      </c>
      <c r="TA306" s="9" t="n">
        <v>0</v>
      </c>
      <c r="TB306" s="9" t="n">
        <v>0</v>
      </c>
      <c r="TF306" s="10" t="n">
        <v>46282</v>
      </c>
      <c r="TH306" s="9" t="n">
        <v>0</v>
      </c>
      <c r="TJ306" s="9" t="n">
        <v>0</v>
      </c>
      <c r="TK306" s="9" t="n">
        <v>0</v>
      </c>
      <c r="TO306" s="10" t="n">
        <v>46282</v>
      </c>
      <c r="TQ306" s="9" t="n">
        <v>0</v>
      </c>
      <c r="TS306" s="9" t="n">
        <v>0</v>
      </c>
      <c r="TT306" s="9" t="n">
        <v>0</v>
      </c>
      <c r="TX306" s="10" t="n">
        <v>46282</v>
      </c>
      <c r="TZ306" s="9" t="n">
        <v>0</v>
      </c>
      <c r="UB306" s="9" t="n">
        <v>0</v>
      </c>
      <c r="UC306" s="9" t="n">
        <v>46.79999999999998</v>
      </c>
      <c r="UG306" s="10" t="n">
        <v>46282</v>
      </c>
      <c r="UI306" s="9" t="n">
        <v>0</v>
      </c>
      <c r="UK306" s="9" t="n">
        <v>0</v>
      </c>
      <c r="UL306" s="9" t="n">
        <v>204</v>
      </c>
      <c r="UP306" s="10" t="n">
        <v>46282</v>
      </c>
      <c r="UR306" s="9" t="n">
        <v>0</v>
      </c>
      <c r="UT306" s="9" t="n">
        <v>0</v>
      </c>
      <c r="UU306" s="9" t="n">
        <v>202.5</v>
      </c>
      <c r="UY306" s="10" t="n">
        <v>46282</v>
      </c>
      <c r="VA306" s="9" t="n">
        <v>0</v>
      </c>
      <c r="VC306" s="9" t="n">
        <v>0</v>
      </c>
      <c r="VD306" s="9" t="n">
        <v>41.60000000000002</v>
      </c>
      <c r="VH306" s="10" t="n">
        <v>46282</v>
      </c>
      <c r="VJ306" s="9" t="n">
        <v>0</v>
      </c>
      <c r="VL306" s="9" t="n">
        <v>0</v>
      </c>
      <c r="VM306" s="9" t="n">
        <v>210</v>
      </c>
      <c r="VQ306" s="10" t="n">
        <v>46282</v>
      </c>
      <c r="VS306" s="9" t="n">
        <v>0</v>
      </c>
      <c r="VU306" s="9" t="n">
        <v>0</v>
      </c>
      <c r="VV306" s="9" t="n">
        <v>0</v>
      </c>
      <c r="VZ306" s="10" t="n">
        <v>46282</v>
      </c>
      <c r="WB306" s="9" t="n">
        <v>0</v>
      </c>
      <c r="WD306" s="9" t="n">
        <v>0</v>
      </c>
      <c r="WE306" s="9" t="n">
        <v>0</v>
      </c>
      <c r="WI306" s="10" t="n">
        <v>46282</v>
      </c>
      <c r="WK306" s="9" t="n">
        <v>0</v>
      </c>
      <c r="WM306" s="9" t="n">
        <v>0</v>
      </c>
      <c r="WN306" s="9" t="n">
        <v>1057</v>
      </c>
      <c r="WR306" s="10" t="n">
        <v>46282</v>
      </c>
      <c r="WT306" s="9" t="n">
        <v>0</v>
      </c>
      <c r="WV306" s="9" t="n">
        <v>0</v>
      </c>
      <c r="WW306" s="9" t="n">
        <v>0</v>
      </c>
      <c r="XA306" s="10" t="n">
        <v>46282</v>
      </c>
      <c r="XC306" s="9" t="n">
        <v>0</v>
      </c>
      <c r="XE306" s="9" t="n">
        <v>0</v>
      </c>
      <c r="XF306" s="9" t="n">
        <v>7507</v>
      </c>
      <c r="XJ306" s="10" t="n">
        <v>46282</v>
      </c>
      <c r="XL306" s="9" t="n">
        <v>0</v>
      </c>
      <c r="XN306" s="9" t="n">
        <v>0</v>
      </c>
      <c r="XO306" s="9" t="n">
        <v>4252</v>
      </c>
      <c r="XS306" s="10" t="n">
        <v>46282</v>
      </c>
      <c r="XU306" s="9" t="n">
        <v>0</v>
      </c>
      <c r="XW306" s="9" t="n">
        <v>0</v>
      </c>
      <c r="XX306" s="9" t="n">
        <v>2179</v>
      </c>
      <c r="YB306" s="10" t="n">
        <v>46282</v>
      </c>
      <c r="YD306" s="9" t="n">
        <v>0</v>
      </c>
      <c r="YF306" s="9" t="n">
        <v>0</v>
      </c>
      <c r="YG306" s="9" t="n">
        <v>4019</v>
      </c>
      <c r="YK306" s="10" t="n">
        <v>46282</v>
      </c>
      <c r="YM306" s="9" t="n">
        <v>0</v>
      </c>
      <c r="YO306" s="9" t="n">
        <v>0</v>
      </c>
      <c r="YP306" s="9" t="n">
        <v>-218</v>
      </c>
      <c r="YT306" s="10" t="n">
        <v>46282</v>
      </c>
      <c r="YV306" s="9" t="n">
        <v>0</v>
      </c>
      <c r="YX306" s="9" t="n">
        <v>0</v>
      </c>
      <c r="YY306" s="9" t="n">
        <v>0</v>
      </c>
      <c r="ZC306" s="10" t="n">
        <v>46282</v>
      </c>
      <c r="ZE306" s="9" t="n">
        <v>0</v>
      </c>
      <c r="ZG306" s="9" t="n">
        <v>0</v>
      </c>
      <c r="ZH306" s="9" t="n">
        <v>0</v>
      </c>
      <c r="ZL306" s="10" t="n">
        <v>46282</v>
      </c>
      <c r="ZN306" s="9" t="n">
        <v>0</v>
      </c>
      <c r="ZP306" s="9" t="n">
        <v>0</v>
      </c>
      <c r="ZQ306" s="9" t="n">
        <v>0</v>
      </c>
      <c r="ZU306" s="10" t="n">
        <v>46282</v>
      </c>
      <c r="ZW306" s="9" t="n">
        <v>0</v>
      </c>
      <c r="ZY306" s="9" t="n">
        <v>0</v>
      </c>
      <c r="ZZ306" s="9" t="n">
        <v>0</v>
      </c>
      <c r="AAD306" s="10" t="n">
        <v>46282</v>
      </c>
      <c r="AAF306" s="9" t="n">
        <v>0</v>
      </c>
      <c r="AAH306" s="9" t="n">
        <v>0</v>
      </c>
      <c r="AAI306" s="9" t="n">
        <v>0</v>
      </c>
      <c r="AAM306" s="10" t="n">
        <v>46282</v>
      </c>
      <c r="AAO306" s="9" t="n">
        <v>0</v>
      </c>
      <c r="AAQ306" s="9" t="n">
        <v>0</v>
      </c>
      <c r="AAR306" s="9" t="n">
        <v>0</v>
      </c>
      <c r="AAV306" s="10" t="n">
        <v>46282</v>
      </c>
      <c r="AAX306" s="9" t="n">
        <v>0</v>
      </c>
      <c r="AAZ306" s="9" t="n">
        <v>0</v>
      </c>
      <c r="ABA306" s="9" t="n">
        <v>0</v>
      </c>
      <c r="ABE306" s="10" t="n">
        <v>46282</v>
      </c>
      <c r="ABG306" s="9" t="n">
        <v>0</v>
      </c>
      <c r="ABI306" s="9" t="n">
        <v>0</v>
      </c>
      <c r="ABJ306" s="9" t="n">
        <v>0</v>
      </c>
    </row>
    <row r="307">
      <c r="C307" s="10" t="n">
        <v>46283</v>
      </c>
      <c r="E307" s="9" t="n">
        <v>0</v>
      </c>
      <c r="G307" s="9" t="n">
        <v>0</v>
      </c>
      <c r="H307" s="9" t="n">
        <v>236936.6</v>
      </c>
      <c r="L307" s="10" t="n">
        <v>46283</v>
      </c>
      <c r="N307" s="9" t="n">
        <v>0</v>
      </c>
      <c r="P307" s="9" t="n">
        <v>0</v>
      </c>
      <c r="Q307" s="9" t="n">
        <v>53017.60000000007</v>
      </c>
      <c r="U307" s="10" t="n">
        <v>46283</v>
      </c>
      <c r="W307" s="9" t="n">
        <v>0</v>
      </c>
      <c r="Y307" s="9" t="n">
        <v>0</v>
      </c>
      <c r="Z307" s="9" t="n">
        <v>42674.19999999997</v>
      </c>
      <c r="AD307" s="10" t="n">
        <v>46283</v>
      </c>
      <c r="AF307" s="9" t="n">
        <v>0</v>
      </c>
      <c r="AH307" s="9" t="n">
        <v>0</v>
      </c>
      <c r="AI307" s="9" t="n">
        <v>4522.200000000019</v>
      </c>
      <c r="AM307" s="10" t="n">
        <v>46283</v>
      </c>
      <c r="AO307" s="9" t="n">
        <v>0</v>
      </c>
      <c r="AQ307" s="9" t="n">
        <v>0</v>
      </c>
      <c r="AR307" s="9" t="n">
        <v>0</v>
      </c>
      <c r="AV307" s="10" t="n">
        <v>46283</v>
      </c>
      <c r="AX307" s="9" t="n">
        <v>0</v>
      </c>
      <c r="AZ307" s="9" t="n">
        <v>0</v>
      </c>
      <c r="BA307" s="9" t="n">
        <v>124.9999999999952</v>
      </c>
      <c r="BE307" s="10" t="n">
        <v>46283</v>
      </c>
      <c r="BG307" s="9" t="n">
        <v>0</v>
      </c>
      <c r="BI307" s="9" t="n">
        <v>0</v>
      </c>
      <c r="BJ307" s="9" t="n">
        <v>26151.9</v>
      </c>
      <c r="BN307" s="10" t="n">
        <v>46283</v>
      </c>
      <c r="BP307" s="9" t="n">
        <v>0</v>
      </c>
      <c r="BR307" s="9" t="n">
        <v>0</v>
      </c>
      <c r="BS307" s="9" t="n">
        <v>0</v>
      </c>
      <c r="BW307" s="10" t="n">
        <v>46283</v>
      </c>
      <c r="BY307" s="9" t="n">
        <v>0</v>
      </c>
      <c r="CA307" s="9" t="n">
        <v>0</v>
      </c>
      <c r="CB307" s="9" t="n">
        <v>2097.339999999999</v>
      </c>
      <c r="CF307" s="10" t="n">
        <v>46283</v>
      </c>
      <c r="CH307" s="9" t="n">
        <v>0</v>
      </c>
      <c r="CJ307" s="9" t="n">
        <v>0</v>
      </c>
      <c r="CK307" s="9" t="n">
        <v>-10277.08</v>
      </c>
      <c r="CO307" s="10" t="n">
        <v>46283</v>
      </c>
      <c r="CQ307" s="9" t="n">
        <v>0</v>
      </c>
      <c r="CS307" s="9" t="n">
        <v>0</v>
      </c>
      <c r="CT307" s="9" t="n">
        <v>0</v>
      </c>
      <c r="CX307" s="10" t="n">
        <v>46283</v>
      </c>
      <c r="CZ307" s="9" t="n">
        <v>0</v>
      </c>
      <c r="DB307" s="9" t="n">
        <v>0</v>
      </c>
      <c r="DC307" s="9" t="n">
        <v>27438.20000000001</v>
      </c>
      <c r="DG307" s="10" t="n">
        <v>46283</v>
      </c>
      <c r="DI307" s="9" t="n">
        <v>0</v>
      </c>
      <c r="DK307" s="9" t="n">
        <v>0</v>
      </c>
      <c r="DL307" s="9" t="n">
        <v>18782.29999999998</v>
      </c>
      <c r="DP307" s="10" t="n">
        <v>46283</v>
      </c>
      <c r="DR307" s="9" t="n">
        <v>0</v>
      </c>
      <c r="DT307" s="9" t="n">
        <v>0</v>
      </c>
      <c r="DU307" s="9" t="n">
        <v>5800</v>
      </c>
      <c r="DY307" s="10" t="n">
        <v>46283</v>
      </c>
      <c r="EA307" s="9" t="n">
        <v>0</v>
      </c>
      <c r="EC307" s="9" t="n">
        <v>0</v>
      </c>
      <c r="ED307" s="9" t="n">
        <v>0</v>
      </c>
      <c r="EH307" s="10" t="n">
        <v>46283</v>
      </c>
      <c r="EJ307" s="9" t="n">
        <v>0</v>
      </c>
      <c r="EL307" s="9" t="n">
        <v>0</v>
      </c>
      <c r="EM307" s="9" t="n">
        <v>0</v>
      </c>
      <c r="EQ307" s="10" t="n">
        <v>46283</v>
      </c>
      <c r="ES307" s="9" t="n">
        <v>0</v>
      </c>
      <c r="EU307" s="9" t="n">
        <v>0</v>
      </c>
      <c r="EV307" s="9" t="n">
        <v>0</v>
      </c>
      <c r="EZ307" s="10" t="n">
        <v>46283</v>
      </c>
      <c r="FB307" s="9" t="n">
        <v>0</v>
      </c>
      <c r="FD307" s="9" t="n">
        <v>0</v>
      </c>
      <c r="FE307" s="9" t="n">
        <v>0</v>
      </c>
      <c r="FI307" s="10" t="n">
        <v>46283</v>
      </c>
      <c r="FK307" s="9" t="n">
        <v>0</v>
      </c>
      <c r="FM307" s="9" t="n">
        <v>0</v>
      </c>
      <c r="FN307" s="9" t="n">
        <v>0</v>
      </c>
      <c r="FR307" s="10" t="n">
        <v>46283</v>
      </c>
      <c r="FT307" s="9" t="n">
        <v>0</v>
      </c>
      <c r="FV307" s="9" t="n">
        <v>0</v>
      </c>
      <c r="FW307" s="9" t="n">
        <v>2020</v>
      </c>
      <c r="GA307" s="10" t="n">
        <v>46283</v>
      </c>
      <c r="GC307" s="9" t="n">
        <v>0</v>
      </c>
      <c r="GE307" s="9" t="n">
        <v>0</v>
      </c>
      <c r="GF307" s="9" t="n">
        <v>960</v>
      </c>
      <c r="GJ307" s="10" t="n">
        <v>46283</v>
      </c>
      <c r="GL307" s="9" t="n">
        <v>0</v>
      </c>
      <c r="GN307" s="9" t="n">
        <v>0</v>
      </c>
      <c r="GO307" s="9" t="n">
        <v>1760</v>
      </c>
      <c r="GS307" s="10" t="n">
        <v>46283</v>
      </c>
      <c r="GU307" s="9" t="n">
        <v>0</v>
      </c>
      <c r="GW307" s="9" t="n">
        <v>0</v>
      </c>
      <c r="GX307" s="9" t="n">
        <v>400</v>
      </c>
      <c r="HB307" s="10" t="n">
        <v>46283</v>
      </c>
      <c r="HD307" s="9" t="n">
        <v>0</v>
      </c>
      <c r="HF307" s="9" t="n">
        <v>0</v>
      </c>
      <c r="HG307" s="9" t="n">
        <v>3600</v>
      </c>
      <c r="HK307" s="10" t="n">
        <v>46283</v>
      </c>
      <c r="HM307" s="9" t="n">
        <v>0</v>
      </c>
      <c r="HO307" s="9" t="n">
        <v>0</v>
      </c>
      <c r="HP307" s="9" t="n">
        <v>0</v>
      </c>
      <c r="HU307" s="10" t="n">
        <v>46283</v>
      </c>
      <c r="HW307" s="9" t="n">
        <v>0</v>
      </c>
      <c r="HY307" s="9" t="n">
        <v>0</v>
      </c>
      <c r="HZ307" s="9" t="n">
        <v>6120</v>
      </c>
      <c r="ID307" s="10" t="n">
        <v>46283</v>
      </c>
      <c r="IF307" s="9" t="n">
        <v>0</v>
      </c>
      <c r="IH307" s="9" t="n">
        <v>0</v>
      </c>
      <c r="II307" s="9" t="n">
        <v>0</v>
      </c>
      <c r="IM307" s="10" t="n">
        <v>46283</v>
      </c>
      <c r="IO307" s="9" t="n">
        <v>0</v>
      </c>
      <c r="IQ307" s="9" t="n">
        <v>0</v>
      </c>
      <c r="IR307" s="9" t="n">
        <v>0</v>
      </c>
      <c r="IV307" s="10" t="n">
        <v>46283</v>
      </c>
      <c r="IX307" s="9" t="n">
        <v>0</v>
      </c>
      <c r="IZ307" s="9" t="n">
        <v>0</v>
      </c>
      <c r="JA307" s="9" t="n">
        <v>2820</v>
      </c>
      <c r="JE307" s="10" t="n">
        <v>46283</v>
      </c>
      <c r="JG307" s="9" t="n">
        <v>0</v>
      </c>
      <c r="JI307" s="9" t="n">
        <v>0</v>
      </c>
      <c r="JJ307" s="9" t="n">
        <v>0</v>
      </c>
      <c r="JN307" s="10" t="n">
        <v>46283</v>
      </c>
      <c r="JP307" s="9" t="n">
        <v>0</v>
      </c>
      <c r="JR307" s="9" t="n">
        <v>0</v>
      </c>
      <c r="JS307" s="9" t="n">
        <v>0</v>
      </c>
      <c r="JW307" s="10" t="n">
        <v>46283</v>
      </c>
      <c r="JY307" s="9" t="n">
        <v>0</v>
      </c>
      <c r="KA307" s="9" t="n">
        <v>0</v>
      </c>
      <c r="KB307" s="9" t="n">
        <v>2540</v>
      </c>
      <c r="KF307" s="10" t="n">
        <v>46283</v>
      </c>
      <c r="KH307" s="9" t="n">
        <v>0</v>
      </c>
      <c r="KJ307" s="9" t="n">
        <v>0</v>
      </c>
      <c r="KK307" s="9" t="n">
        <v>2359.5</v>
      </c>
      <c r="KO307" s="10" t="n">
        <v>46283</v>
      </c>
      <c r="KQ307" s="9" t="n">
        <v>0</v>
      </c>
      <c r="KS307" s="9" t="n">
        <v>0</v>
      </c>
      <c r="KT307" s="9" t="n">
        <v>1890</v>
      </c>
      <c r="KX307" s="10" t="n">
        <v>46283</v>
      </c>
      <c r="KZ307" s="9" t="n">
        <v>0</v>
      </c>
      <c r="LB307" s="9" t="n">
        <v>0</v>
      </c>
      <c r="LC307" s="9" t="n">
        <v>3690</v>
      </c>
      <c r="LG307" s="10" t="n">
        <v>46283</v>
      </c>
      <c r="LI307" s="9" t="n">
        <v>0</v>
      </c>
      <c r="LK307" s="9" t="n">
        <v>0</v>
      </c>
      <c r="LL307" s="9" t="n">
        <v>4000</v>
      </c>
      <c r="LP307" s="10" t="n">
        <v>46283</v>
      </c>
      <c r="LR307" s="9" t="n">
        <v>0</v>
      </c>
      <c r="LT307" s="9" t="n">
        <v>0</v>
      </c>
      <c r="LU307" s="9" t="n">
        <v>0</v>
      </c>
      <c r="LY307" s="10" t="n">
        <v>46283</v>
      </c>
      <c r="MA307" s="9" t="n">
        <v>0</v>
      </c>
      <c r="MC307" s="9" t="n">
        <v>0</v>
      </c>
      <c r="MD307" s="9" t="n">
        <v>0</v>
      </c>
      <c r="MH307" s="10" t="n">
        <v>46283</v>
      </c>
      <c r="MJ307" s="9" t="n">
        <v>0</v>
      </c>
      <c r="ML307" s="9" t="n">
        <v>0</v>
      </c>
      <c r="MM307" s="9" t="n">
        <v>0</v>
      </c>
      <c r="MQ307" s="10" t="n">
        <v>46283</v>
      </c>
      <c r="MS307" s="9" t="n">
        <v>0</v>
      </c>
      <c r="MU307" s="9" t="n">
        <v>0</v>
      </c>
      <c r="MV307" s="9" t="n">
        <v>1625</v>
      </c>
      <c r="MZ307" s="10" t="n">
        <v>46283</v>
      </c>
      <c r="NB307" s="9" t="n">
        <v>0</v>
      </c>
      <c r="ND307" s="9" t="n">
        <v>0</v>
      </c>
      <c r="NE307" s="9" t="n">
        <v>0</v>
      </c>
      <c r="NI307" s="10" t="n">
        <v>46283</v>
      </c>
      <c r="NK307" s="9" t="n">
        <v>0</v>
      </c>
      <c r="NM307" s="9" t="n">
        <v>0</v>
      </c>
      <c r="NN307" s="9" t="n">
        <v>1127</v>
      </c>
      <c r="NR307" s="10" t="n">
        <v>46283</v>
      </c>
      <c r="NT307" s="9" t="n">
        <v>0</v>
      </c>
      <c r="NV307" s="9" t="n">
        <v>0</v>
      </c>
      <c r="NW307" s="9" t="n">
        <v>3112</v>
      </c>
      <c r="OA307" s="10" t="n">
        <v>46283</v>
      </c>
      <c r="OC307" s="9" t="n">
        <v>0</v>
      </c>
      <c r="OE307" s="9" t="n">
        <v>0</v>
      </c>
      <c r="OF307" s="9" t="n">
        <v>1680.5</v>
      </c>
      <c r="OJ307" s="10" t="n">
        <v>46283</v>
      </c>
      <c r="OL307" s="9" t="n">
        <v>0</v>
      </c>
      <c r="ON307" s="9" t="n">
        <v>0</v>
      </c>
      <c r="OO307" s="9" t="n">
        <v>0</v>
      </c>
      <c r="OS307" s="10" t="n">
        <v>46283</v>
      </c>
      <c r="OU307" s="9" t="n">
        <v>0</v>
      </c>
      <c r="OW307" s="9" t="n">
        <v>0</v>
      </c>
      <c r="OX307" s="9" t="n">
        <v>1482</v>
      </c>
      <c r="PB307" s="10" t="n">
        <v>46283</v>
      </c>
      <c r="PD307" s="9" t="n">
        <v>0</v>
      </c>
      <c r="PF307" s="9" t="n">
        <v>0</v>
      </c>
      <c r="PG307" s="9" t="n">
        <v>0</v>
      </c>
      <c r="PK307" s="10" t="n">
        <v>46283</v>
      </c>
      <c r="PM307" s="9" t="n">
        <v>0</v>
      </c>
      <c r="PO307" s="9" t="n">
        <v>0</v>
      </c>
      <c r="PP307" s="9" t="n">
        <v>100</v>
      </c>
      <c r="PT307" s="10" t="n">
        <v>46283</v>
      </c>
      <c r="PV307" s="9" t="n">
        <v>0</v>
      </c>
      <c r="PX307" s="9" t="n">
        <v>0</v>
      </c>
      <c r="PY307" s="9" t="n">
        <v>13.96000000000004</v>
      </c>
      <c r="QC307" s="10" t="n">
        <v>46283</v>
      </c>
      <c r="QE307" s="9" t="n">
        <v>0</v>
      </c>
      <c r="QG307" s="9" t="n">
        <v>0</v>
      </c>
      <c r="QH307" s="9" t="n">
        <v>548</v>
      </c>
      <c r="QL307" s="10" t="n">
        <v>46283</v>
      </c>
      <c r="QN307" s="9" t="n">
        <v>0</v>
      </c>
      <c r="QP307" s="9" t="n">
        <v>0</v>
      </c>
      <c r="QQ307" s="9" t="n">
        <v>0</v>
      </c>
      <c r="QU307" s="10" t="n">
        <v>46283</v>
      </c>
      <c r="QW307" s="9" t="n">
        <v>0</v>
      </c>
      <c r="QY307" s="9" t="n">
        <v>0</v>
      </c>
      <c r="QZ307" s="9" t="n">
        <v>0</v>
      </c>
      <c r="RD307" s="10" t="n">
        <v>46283</v>
      </c>
      <c r="RF307" s="9" t="n">
        <v>0</v>
      </c>
      <c r="RH307" s="9" t="n">
        <v>0</v>
      </c>
      <c r="RI307" s="9" t="n">
        <v>147.04</v>
      </c>
      <c r="RM307" s="10" t="n">
        <v>46283</v>
      </c>
      <c r="RO307" s="9" t="n">
        <v>0</v>
      </c>
      <c r="RQ307" s="9" t="n">
        <v>0</v>
      </c>
      <c r="RR307" s="9" t="n">
        <v>46.8</v>
      </c>
      <c r="RV307" s="10" t="n">
        <v>46283</v>
      </c>
      <c r="RX307" s="9" t="n">
        <v>0</v>
      </c>
      <c r="RZ307" s="9" t="n">
        <v>0</v>
      </c>
      <c r="SA307" s="9" t="n">
        <v>0</v>
      </c>
      <c r="SE307" s="10" t="n">
        <v>46283</v>
      </c>
      <c r="SG307" s="9" t="n">
        <v>0</v>
      </c>
      <c r="SI307" s="9" t="n">
        <v>0</v>
      </c>
      <c r="SJ307" s="9" t="n">
        <v>24.2</v>
      </c>
      <c r="SN307" s="10" t="n">
        <v>46283</v>
      </c>
      <c r="SP307" s="9" t="n">
        <v>0</v>
      </c>
      <c r="SR307" s="9" t="n">
        <v>0</v>
      </c>
      <c r="SS307" s="9" t="n">
        <v>32</v>
      </c>
      <c r="SW307" s="10" t="n">
        <v>46283</v>
      </c>
      <c r="SY307" s="9" t="n">
        <v>0</v>
      </c>
      <c r="TA307" s="9" t="n">
        <v>0</v>
      </c>
      <c r="TB307" s="9" t="n">
        <v>0</v>
      </c>
      <c r="TF307" s="10" t="n">
        <v>46283</v>
      </c>
      <c r="TH307" s="9" t="n">
        <v>0</v>
      </c>
      <c r="TJ307" s="9" t="n">
        <v>0</v>
      </c>
      <c r="TK307" s="9" t="n">
        <v>0</v>
      </c>
      <c r="TO307" s="10" t="n">
        <v>46283</v>
      </c>
      <c r="TQ307" s="9" t="n">
        <v>0</v>
      </c>
      <c r="TS307" s="9" t="n">
        <v>0</v>
      </c>
      <c r="TT307" s="9" t="n">
        <v>0</v>
      </c>
      <c r="TX307" s="10" t="n">
        <v>46283</v>
      </c>
      <c r="TZ307" s="9" t="n">
        <v>0</v>
      </c>
      <c r="UB307" s="9" t="n">
        <v>0</v>
      </c>
      <c r="UC307" s="9" t="n">
        <v>46.79999999999998</v>
      </c>
      <c r="UG307" s="10" t="n">
        <v>46283</v>
      </c>
      <c r="UI307" s="9" t="n">
        <v>0</v>
      </c>
      <c r="UK307" s="9" t="n">
        <v>0</v>
      </c>
      <c r="UL307" s="9" t="n">
        <v>204</v>
      </c>
      <c r="UP307" s="10" t="n">
        <v>46283</v>
      </c>
      <c r="UR307" s="9" t="n">
        <v>0</v>
      </c>
      <c r="UT307" s="9" t="n">
        <v>0</v>
      </c>
      <c r="UU307" s="9" t="n">
        <v>202.5</v>
      </c>
      <c r="UY307" s="10" t="n">
        <v>46283</v>
      </c>
      <c r="VA307" s="9" t="n">
        <v>0</v>
      </c>
      <c r="VC307" s="9" t="n">
        <v>0</v>
      </c>
      <c r="VD307" s="9" t="n">
        <v>41.60000000000002</v>
      </c>
      <c r="VH307" s="10" t="n">
        <v>46283</v>
      </c>
      <c r="VJ307" s="9" t="n">
        <v>0</v>
      </c>
      <c r="VL307" s="9" t="n">
        <v>0</v>
      </c>
      <c r="VM307" s="9" t="n">
        <v>210</v>
      </c>
      <c r="VQ307" s="10" t="n">
        <v>46283</v>
      </c>
      <c r="VS307" s="9" t="n">
        <v>0</v>
      </c>
      <c r="VU307" s="9" t="n">
        <v>0</v>
      </c>
      <c r="VV307" s="9" t="n">
        <v>0</v>
      </c>
      <c r="VZ307" s="10" t="n">
        <v>46283</v>
      </c>
      <c r="WB307" s="9" t="n">
        <v>0</v>
      </c>
      <c r="WD307" s="9" t="n">
        <v>0</v>
      </c>
      <c r="WE307" s="9" t="n">
        <v>0</v>
      </c>
      <c r="WI307" s="10" t="n">
        <v>46283</v>
      </c>
      <c r="WK307" s="9" t="n">
        <v>0</v>
      </c>
      <c r="WM307" s="9" t="n">
        <v>0</v>
      </c>
      <c r="WN307" s="9" t="n">
        <v>1057</v>
      </c>
      <c r="WR307" s="10" t="n">
        <v>46283</v>
      </c>
      <c r="WT307" s="9" t="n">
        <v>0</v>
      </c>
      <c r="WV307" s="9" t="n">
        <v>0</v>
      </c>
      <c r="WW307" s="9" t="n">
        <v>0</v>
      </c>
      <c r="XA307" s="10" t="n">
        <v>46283</v>
      </c>
      <c r="XC307" s="9" t="n">
        <v>0</v>
      </c>
      <c r="XE307" s="9" t="n">
        <v>0</v>
      </c>
      <c r="XF307" s="9" t="n">
        <v>7507</v>
      </c>
      <c r="XJ307" s="10" t="n">
        <v>46283</v>
      </c>
      <c r="XL307" s="9" t="n">
        <v>0</v>
      </c>
      <c r="XN307" s="9" t="n">
        <v>0</v>
      </c>
      <c r="XO307" s="9" t="n">
        <v>4252</v>
      </c>
      <c r="XS307" s="10" t="n">
        <v>46283</v>
      </c>
      <c r="XU307" s="9" t="n">
        <v>0</v>
      </c>
      <c r="XW307" s="9" t="n">
        <v>0</v>
      </c>
      <c r="XX307" s="9" t="n">
        <v>2179</v>
      </c>
      <c r="YB307" s="10" t="n">
        <v>46283</v>
      </c>
      <c r="YD307" s="9" t="n">
        <v>0</v>
      </c>
      <c r="YF307" s="9" t="n">
        <v>0</v>
      </c>
      <c r="YG307" s="9" t="n">
        <v>4019</v>
      </c>
      <c r="YK307" s="10" t="n">
        <v>46283</v>
      </c>
      <c r="YM307" s="9" t="n">
        <v>0</v>
      </c>
      <c r="YO307" s="9" t="n">
        <v>0</v>
      </c>
      <c r="YP307" s="9" t="n">
        <v>-218</v>
      </c>
      <c r="YT307" s="10" t="n">
        <v>46283</v>
      </c>
      <c r="YV307" s="9" t="n">
        <v>0</v>
      </c>
      <c r="YX307" s="9" t="n">
        <v>0</v>
      </c>
      <c r="YY307" s="9" t="n">
        <v>0</v>
      </c>
      <c r="ZC307" s="10" t="n">
        <v>46283</v>
      </c>
      <c r="ZE307" s="9" t="n">
        <v>0</v>
      </c>
      <c r="ZG307" s="9" t="n">
        <v>0</v>
      </c>
      <c r="ZH307" s="9" t="n">
        <v>0</v>
      </c>
      <c r="ZL307" s="10" t="n">
        <v>46283</v>
      </c>
      <c r="ZN307" s="9" t="n">
        <v>0</v>
      </c>
      <c r="ZP307" s="9" t="n">
        <v>0</v>
      </c>
      <c r="ZQ307" s="9" t="n">
        <v>0</v>
      </c>
      <c r="ZU307" s="10" t="n">
        <v>46283</v>
      </c>
      <c r="ZW307" s="9" t="n">
        <v>0</v>
      </c>
      <c r="ZY307" s="9" t="n">
        <v>0</v>
      </c>
      <c r="ZZ307" s="9" t="n">
        <v>0</v>
      </c>
      <c r="AAD307" s="10" t="n">
        <v>46283</v>
      </c>
      <c r="AAF307" s="9" t="n">
        <v>0</v>
      </c>
      <c r="AAH307" s="9" t="n">
        <v>0</v>
      </c>
      <c r="AAI307" s="9" t="n">
        <v>0</v>
      </c>
      <c r="AAM307" s="10" t="n">
        <v>46283</v>
      </c>
      <c r="AAO307" s="9" t="n">
        <v>0</v>
      </c>
      <c r="AAQ307" s="9" t="n">
        <v>0</v>
      </c>
      <c r="AAR307" s="9" t="n">
        <v>0</v>
      </c>
      <c r="AAV307" s="10" t="n">
        <v>46283</v>
      </c>
      <c r="AAX307" s="9" t="n">
        <v>0</v>
      </c>
      <c r="AAZ307" s="9" t="n">
        <v>0</v>
      </c>
      <c r="ABA307" s="9" t="n">
        <v>0</v>
      </c>
      <c r="ABE307" s="10" t="n">
        <v>46283</v>
      </c>
      <c r="ABG307" s="9" t="n">
        <v>0</v>
      </c>
      <c r="ABI307" s="9" t="n">
        <v>0</v>
      </c>
      <c r="ABJ307" s="9" t="n">
        <v>0</v>
      </c>
    </row>
    <row r="308">
      <c r="C308" s="10" t="n">
        <v>46284</v>
      </c>
      <c r="E308" s="9" t="n">
        <v>0</v>
      </c>
      <c r="G308" s="9" t="n">
        <v>0</v>
      </c>
      <c r="H308" s="9" t="n">
        <v>236936.6</v>
      </c>
      <c r="L308" s="10" t="n">
        <v>46284</v>
      </c>
      <c r="N308" s="9" t="n">
        <v>0</v>
      </c>
      <c r="P308" s="9" t="n">
        <v>0</v>
      </c>
      <c r="Q308" s="9" t="n">
        <v>53017.60000000007</v>
      </c>
      <c r="U308" s="10" t="n">
        <v>46284</v>
      </c>
      <c r="W308" s="9" t="n">
        <v>0</v>
      </c>
      <c r="Y308" s="9" t="n">
        <v>0</v>
      </c>
      <c r="Z308" s="9" t="n">
        <v>42674.19999999997</v>
      </c>
      <c r="AD308" s="10" t="n">
        <v>46284</v>
      </c>
      <c r="AF308" s="9" t="n">
        <v>0</v>
      </c>
      <c r="AH308" s="9" t="n">
        <v>0</v>
      </c>
      <c r="AI308" s="9" t="n">
        <v>4522.200000000019</v>
      </c>
      <c r="AM308" s="10" t="n">
        <v>46284</v>
      </c>
      <c r="AO308" s="9" t="n">
        <v>0</v>
      </c>
      <c r="AQ308" s="9" t="n">
        <v>0</v>
      </c>
      <c r="AR308" s="9" t="n">
        <v>0</v>
      </c>
      <c r="AV308" s="10" t="n">
        <v>46284</v>
      </c>
      <c r="AX308" s="9" t="n">
        <v>0</v>
      </c>
      <c r="AZ308" s="9" t="n">
        <v>0</v>
      </c>
      <c r="BA308" s="9" t="n">
        <v>124.9999999999952</v>
      </c>
      <c r="BE308" s="10" t="n">
        <v>46284</v>
      </c>
      <c r="BG308" s="9" t="n">
        <v>0</v>
      </c>
      <c r="BI308" s="9" t="n">
        <v>0</v>
      </c>
      <c r="BJ308" s="9" t="n">
        <v>26151.9</v>
      </c>
      <c r="BN308" s="10" t="n">
        <v>46284</v>
      </c>
      <c r="BP308" s="9" t="n">
        <v>0</v>
      </c>
      <c r="BR308" s="9" t="n">
        <v>0</v>
      </c>
      <c r="BS308" s="9" t="n">
        <v>0</v>
      </c>
      <c r="BW308" s="10" t="n">
        <v>46284</v>
      </c>
      <c r="BY308" s="9" t="n">
        <v>0</v>
      </c>
      <c r="CA308" s="9" t="n">
        <v>0</v>
      </c>
      <c r="CB308" s="9" t="n">
        <v>2097.339999999999</v>
      </c>
      <c r="CF308" s="10" t="n">
        <v>46284</v>
      </c>
      <c r="CH308" s="9" t="n">
        <v>0</v>
      </c>
      <c r="CJ308" s="9" t="n">
        <v>0</v>
      </c>
      <c r="CK308" s="9" t="n">
        <v>-10277.08</v>
      </c>
      <c r="CO308" s="10" t="n">
        <v>46284</v>
      </c>
      <c r="CQ308" s="9" t="n">
        <v>0</v>
      </c>
      <c r="CS308" s="9" t="n">
        <v>0</v>
      </c>
      <c r="CT308" s="9" t="n">
        <v>0</v>
      </c>
      <c r="CX308" s="10" t="n">
        <v>46284</v>
      </c>
      <c r="CZ308" s="9" t="n">
        <v>0</v>
      </c>
      <c r="DB308" s="9" t="n">
        <v>0</v>
      </c>
      <c r="DC308" s="9" t="n">
        <v>27438.20000000001</v>
      </c>
      <c r="DG308" s="10" t="n">
        <v>46284</v>
      </c>
      <c r="DI308" s="9" t="n">
        <v>0</v>
      </c>
      <c r="DK308" s="9" t="n">
        <v>0</v>
      </c>
      <c r="DL308" s="9" t="n">
        <v>18782.29999999998</v>
      </c>
      <c r="DP308" s="10" t="n">
        <v>46284</v>
      </c>
      <c r="DR308" s="9" t="n">
        <v>0</v>
      </c>
      <c r="DT308" s="9" t="n">
        <v>0</v>
      </c>
      <c r="DU308" s="9" t="n">
        <v>5800</v>
      </c>
      <c r="DY308" s="10" t="n">
        <v>46284</v>
      </c>
      <c r="EA308" s="9" t="n">
        <v>0</v>
      </c>
      <c r="EC308" s="9" t="n">
        <v>0</v>
      </c>
      <c r="ED308" s="9" t="n">
        <v>0</v>
      </c>
      <c r="EH308" s="10" t="n">
        <v>46284</v>
      </c>
      <c r="EJ308" s="9" t="n">
        <v>0</v>
      </c>
      <c r="EL308" s="9" t="n">
        <v>0</v>
      </c>
      <c r="EM308" s="9" t="n">
        <v>0</v>
      </c>
      <c r="EQ308" s="10" t="n">
        <v>46284</v>
      </c>
      <c r="ES308" s="9" t="n">
        <v>0</v>
      </c>
      <c r="EU308" s="9" t="n">
        <v>0</v>
      </c>
      <c r="EV308" s="9" t="n">
        <v>0</v>
      </c>
      <c r="EZ308" s="10" t="n">
        <v>46284</v>
      </c>
      <c r="FB308" s="9" t="n">
        <v>0</v>
      </c>
      <c r="FD308" s="9" t="n">
        <v>0</v>
      </c>
      <c r="FE308" s="9" t="n">
        <v>0</v>
      </c>
      <c r="FI308" s="10" t="n">
        <v>46284</v>
      </c>
      <c r="FK308" s="9" t="n">
        <v>0</v>
      </c>
      <c r="FM308" s="9" t="n">
        <v>0</v>
      </c>
      <c r="FN308" s="9" t="n">
        <v>0</v>
      </c>
      <c r="FR308" s="10" t="n">
        <v>46284</v>
      </c>
      <c r="FT308" s="9" t="n">
        <v>0</v>
      </c>
      <c r="FV308" s="9" t="n">
        <v>0</v>
      </c>
      <c r="FW308" s="9" t="n">
        <v>2020</v>
      </c>
      <c r="GA308" s="10" t="n">
        <v>46284</v>
      </c>
      <c r="GC308" s="9" t="n">
        <v>0</v>
      </c>
      <c r="GE308" s="9" t="n">
        <v>0</v>
      </c>
      <c r="GF308" s="9" t="n">
        <v>960</v>
      </c>
      <c r="GJ308" s="10" t="n">
        <v>46284</v>
      </c>
      <c r="GL308" s="9" t="n">
        <v>0</v>
      </c>
      <c r="GN308" s="9" t="n">
        <v>0</v>
      </c>
      <c r="GO308" s="9" t="n">
        <v>1760</v>
      </c>
      <c r="GS308" s="10" t="n">
        <v>46284</v>
      </c>
      <c r="GU308" s="9" t="n">
        <v>0</v>
      </c>
      <c r="GW308" s="9" t="n">
        <v>0</v>
      </c>
      <c r="GX308" s="9" t="n">
        <v>400</v>
      </c>
      <c r="HB308" s="10" t="n">
        <v>46284</v>
      </c>
      <c r="HD308" s="9" t="n">
        <v>0</v>
      </c>
      <c r="HF308" s="9" t="n">
        <v>0</v>
      </c>
      <c r="HG308" s="9" t="n">
        <v>3600</v>
      </c>
      <c r="HK308" s="10" t="n">
        <v>46284</v>
      </c>
      <c r="HM308" s="9" t="n">
        <v>0</v>
      </c>
      <c r="HO308" s="9" t="n">
        <v>0</v>
      </c>
      <c r="HP308" s="9" t="n">
        <v>0</v>
      </c>
      <c r="HU308" s="10" t="n">
        <v>46284</v>
      </c>
      <c r="HW308" s="9" t="n">
        <v>0</v>
      </c>
      <c r="HY308" s="9" t="n">
        <v>0</v>
      </c>
      <c r="HZ308" s="9" t="n">
        <v>6120</v>
      </c>
      <c r="ID308" s="10" t="n">
        <v>46284</v>
      </c>
      <c r="IF308" s="9" t="n">
        <v>0</v>
      </c>
      <c r="IH308" s="9" t="n">
        <v>0</v>
      </c>
      <c r="II308" s="9" t="n">
        <v>0</v>
      </c>
      <c r="IM308" s="10" t="n">
        <v>46284</v>
      </c>
      <c r="IO308" s="9" t="n">
        <v>0</v>
      </c>
      <c r="IQ308" s="9" t="n">
        <v>0</v>
      </c>
      <c r="IR308" s="9" t="n">
        <v>0</v>
      </c>
      <c r="IV308" s="10" t="n">
        <v>46284</v>
      </c>
      <c r="IX308" s="9" t="n">
        <v>0</v>
      </c>
      <c r="IZ308" s="9" t="n">
        <v>0</v>
      </c>
      <c r="JA308" s="9" t="n">
        <v>2820</v>
      </c>
      <c r="JE308" s="10" t="n">
        <v>46284</v>
      </c>
      <c r="JG308" s="9" t="n">
        <v>0</v>
      </c>
      <c r="JI308" s="9" t="n">
        <v>0</v>
      </c>
      <c r="JJ308" s="9" t="n">
        <v>0</v>
      </c>
      <c r="JN308" s="10" t="n">
        <v>46284</v>
      </c>
      <c r="JP308" s="9" t="n">
        <v>0</v>
      </c>
      <c r="JR308" s="9" t="n">
        <v>0</v>
      </c>
      <c r="JS308" s="9" t="n">
        <v>0</v>
      </c>
      <c r="JW308" s="10" t="n">
        <v>46284</v>
      </c>
      <c r="JY308" s="9" t="n">
        <v>0</v>
      </c>
      <c r="KA308" s="9" t="n">
        <v>0</v>
      </c>
      <c r="KB308" s="9" t="n">
        <v>2540</v>
      </c>
      <c r="KF308" s="10" t="n">
        <v>46284</v>
      </c>
      <c r="KH308" s="9" t="n">
        <v>0</v>
      </c>
      <c r="KJ308" s="9" t="n">
        <v>0</v>
      </c>
      <c r="KK308" s="9" t="n">
        <v>2359.5</v>
      </c>
      <c r="KO308" s="10" t="n">
        <v>46284</v>
      </c>
      <c r="KQ308" s="9" t="n">
        <v>0</v>
      </c>
      <c r="KS308" s="9" t="n">
        <v>0</v>
      </c>
      <c r="KT308" s="9" t="n">
        <v>1890</v>
      </c>
      <c r="KX308" s="10" t="n">
        <v>46284</v>
      </c>
      <c r="KZ308" s="9" t="n">
        <v>0</v>
      </c>
      <c r="LB308" s="9" t="n">
        <v>0</v>
      </c>
      <c r="LC308" s="9" t="n">
        <v>3690</v>
      </c>
      <c r="LG308" s="10" t="n">
        <v>46284</v>
      </c>
      <c r="LI308" s="9" t="n">
        <v>0</v>
      </c>
      <c r="LK308" s="9" t="n">
        <v>0</v>
      </c>
      <c r="LL308" s="9" t="n">
        <v>4000</v>
      </c>
      <c r="LP308" s="10" t="n">
        <v>46284</v>
      </c>
      <c r="LR308" s="9" t="n">
        <v>0</v>
      </c>
      <c r="LT308" s="9" t="n">
        <v>0</v>
      </c>
      <c r="LU308" s="9" t="n">
        <v>0</v>
      </c>
      <c r="LY308" s="10" t="n">
        <v>46284</v>
      </c>
      <c r="MA308" s="9" t="n">
        <v>0</v>
      </c>
      <c r="MC308" s="9" t="n">
        <v>0</v>
      </c>
      <c r="MD308" s="9" t="n">
        <v>0</v>
      </c>
      <c r="MH308" s="10" t="n">
        <v>46284</v>
      </c>
      <c r="MJ308" s="9" t="n">
        <v>0</v>
      </c>
      <c r="ML308" s="9" t="n">
        <v>0</v>
      </c>
      <c r="MM308" s="9" t="n">
        <v>0</v>
      </c>
      <c r="MQ308" s="10" t="n">
        <v>46284</v>
      </c>
      <c r="MS308" s="9" t="n">
        <v>0</v>
      </c>
      <c r="MU308" s="9" t="n">
        <v>0</v>
      </c>
      <c r="MV308" s="9" t="n">
        <v>1625</v>
      </c>
      <c r="MZ308" s="10" t="n">
        <v>46284</v>
      </c>
      <c r="NB308" s="9" t="n">
        <v>0</v>
      </c>
      <c r="ND308" s="9" t="n">
        <v>0</v>
      </c>
      <c r="NE308" s="9" t="n">
        <v>0</v>
      </c>
      <c r="NI308" s="10" t="n">
        <v>46284</v>
      </c>
      <c r="NK308" s="9" t="n">
        <v>0</v>
      </c>
      <c r="NM308" s="9" t="n">
        <v>0</v>
      </c>
      <c r="NN308" s="9" t="n">
        <v>1127</v>
      </c>
      <c r="NR308" s="10" t="n">
        <v>46284</v>
      </c>
      <c r="NT308" s="9" t="n">
        <v>0</v>
      </c>
      <c r="NV308" s="9" t="n">
        <v>0</v>
      </c>
      <c r="NW308" s="9" t="n">
        <v>3112</v>
      </c>
      <c r="OA308" s="10" t="n">
        <v>46284</v>
      </c>
      <c r="OC308" s="9" t="n">
        <v>0</v>
      </c>
      <c r="OE308" s="9" t="n">
        <v>0</v>
      </c>
      <c r="OF308" s="9" t="n">
        <v>1680.5</v>
      </c>
      <c r="OJ308" s="10" t="n">
        <v>46284</v>
      </c>
      <c r="OL308" s="9" t="n">
        <v>0</v>
      </c>
      <c r="ON308" s="9" t="n">
        <v>0</v>
      </c>
      <c r="OO308" s="9" t="n">
        <v>0</v>
      </c>
      <c r="OS308" s="10" t="n">
        <v>46284</v>
      </c>
      <c r="OU308" s="9" t="n">
        <v>0</v>
      </c>
      <c r="OW308" s="9" t="n">
        <v>0</v>
      </c>
      <c r="OX308" s="9" t="n">
        <v>1482</v>
      </c>
      <c r="PB308" s="10" t="n">
        <v>46284</v>
      </c>
      <c r="PD308" s="9" t="n">
        <v>0</v>
      </c>
      <c r="PF308" s="9" t="n">
        <v>0</v>
      </c>
      <c r="PG308" s="9" t="n">
        <v>0</v>
      </c>
      <c r="PK308" s="10" t="n">
        <v>46284</v>
      </c>
      <c r="PM308" s="9" t="n">
        <v>0</v>
      </c>
      <c r="PO308" s="9" t="n">
        <v>0</v>
      </c>
      <c r="PP308" s="9" t="n">
        <v>100</v>
      </c>
      <c r="PT308" s="10" t="n">
        <v>46284</v>
      </c>
      <c r="PV308" s="9" t="n">
        <v>0</v>
      </c>
      <c r="PX308" s="9" t="n">
        <v>0</v>
      </c>
      <c r="PY308" s="9" t="n">
        <v>13.96000000000004</v>
      </c>
      <c r="QC308" s="10" t="n">
        <v>46284</v>
      </c>
      <c r="QE308" s="9" t="n">
        <v>0</v>
      </c>
      <c r="QG308" s="9" t="n">
        <v>0</v>
      </c>
      <c r="QH308" s="9" t="n">
        <v>548</v>
      </c>
      <c r="QL308" s="10" t="n">
        <v>46284</v>
      </c>
      <c r="QN308" s="9" t="n">
        <v>0</v>
      </c>
      <c r="QP308" s="9" t="n">
        <v>0</v>
      </c>
      <c r="QQ308" s="9" t="n">
        <v>0</v>
      </c>
      <c r="QU308" s="10" t="n">
        <v>46284</v>
      </c>
      <c r="QW308" s="9" t="n">
        <v>0</v>
      </c>
      <c r="QY308" s="9" t="n">
        <v>0</v>
      </c>
      <c r="QZ308" s="9" t="n">
        <v>0</v>
      </c>
      <c r="RD308" s="10" t="n">
        <v>46284</v>
      </c>
      <c r="RF308" s="9" t="n">
        <v>0</v>
      </c>
      <c r="RH308" s="9" t="n">
        <v>0</v>
      </c>
      <c r="RI308" s="9" t="n">
        <v>147.04</v>
      </c>
      <c r="RM308" s="10" t="n">
        <v>46284</v>
      </c>
      <c r="RO308" s="9" t="n">
        <v>0</v>
      </c>
      <c r="RQ308" s="9" t="n">
        <v>0</v>
      </c>
      <c r="RR308" s="9" t="n">
        <v>46.8</v>
      </c>
      <c r="RV308" s="10" t="n">
        <v>46284</v>
      </c>
      <c r="RX308" s="9" t="n">
        <v>0</v>
      </c>
      <c r="RZ308" s="9" t="n">
        <v>0</v>
      </c>
      <c r="SA308" s="9" t="n">
        <v>0</v>
      </c>
      <c r="SE308" s="10" t="n">
        <v>46284</v>
      </c>
      <c r="SG308" s="9" t="n">
        <v>0</v>
      </c>
      <c r="SI308" s="9" t="n">
        <v>0</v>
      </c>
      <c r="SJ308" s="9" t="n">
        <v>24.2</v>
      </c>
      <c r="SN308" s="10" t="n">
        <v>46284</v>
      </c>
      <c r="SP308" s="9" t="n">
        <v>0</v>
      </c>
      <c r="SR308" s="9" t="n">
        <v>0</v>
      </c>
      <c r="SS308" s="9" t="n">
        <v>32</v>
      </c>
      <c r="SW308" s="10" t="n">
        <v>46284</v>
      </c>
      <c r="SY308" s="9" t="n">
        <v>0</v>
      </c>
      <c r="TA308" s="9" t="n">
        <v>0</v>
      </c>
      <c r="TB308" s="9" t="n">
        <v>0</v>
      </c>
      <c r="TF308" s="10" t="n">
        <v>46284</v>
      </c>
      <c r="TH308" s="9" t="n">
        <v>0</v>
      </c>
      <c r="TJ308" s="9" t="n">
        <v>0</v>
      </c>
      <c r="TK308" s="9" t="n">
        <v>0</v>
      </c>
      <c r="TO308" s="10" t="n">
        <v>46284</v>
      </c>
      <c r="TQ308" s="9" t="n">
        <v>0</v>
      </c>
      <c r="TS308" s="9" t="n">
        <v>0</v>
      </c>
      <c r="TT308" s="9" t="n">
        <v>0</v>
      </c>
      <c r="TX308" s="10" t="n">
        <v>46284</v>
      </c>
      <c r="TZ308" s="9" t="n">
        <v>0</v>
      </c>
      <c r="UB308" s="9" t="n">
        <v>0</v>
      </c>
      <c r="UC308" s="9" t="n">
        <v>46.79999999999998</v>
      </c>
      <c r="UG308" s="10" t="n">
        <v>46284</v>
      </c>
      <c r="UI308" s="9" t="n">
        <v>0</v>
      </c>
      <c r="UK308" s="9" t="n">
        <v>0</v>
      </c>
      <c r="UL308" s="9" t="n">
        <v>204</v>
      </c>
      <c r="UP308" s="10" t="n">
        <v>46284</v>
      </c>
      <c r="UR308" s="9" t="n">
        <v>0</v>
      </c>
      <c r="UT308" s="9" t="n">
        <v>0</v>
      </c>
      <c r="UU308" s="9" t="n">
        <v>202.5</v>
      </c>
      <c r="UY308" s="10" t="n">
        <v>46284</v>
      </c>
      <c r="VA308" s="9" t="n">
        <v>0</v>
      </c>
      <c r="VC308" s="9" t="n">
        <v>0</v>
      </c>
      <c r="VD308" s="9" t="n">
        <v>41.60000000000002</v>
      </c>
      <c r="VH308" s="10" t="n">
        <v>46284</v>
      </c>
      <c r="VJ308" s="9" t="n">
        <v>0</v>
      </c>
      <c r="VL308" s="9" t="n">
        <v>0</v>
      </c>
      <c r="VM308" s="9" t="n">
        <v>210</v>
      </c>
      <c r="VQ308" s="10" t="n">
        <v>46284</v>
      </c>
      <c r="VS308" s="9" t="n">
        <v>0</v>
      </c>
      <c r="VU308" s="9" t="n">
        <v>0</v>
      </c>
      <c r="VV308" s="9" t="n">
        <v>0</v>
      </c>
      <c r="VZ308" s="10" t="n">
        <v>46284</v>
      </c>
      <c r="WB308" s="9" t="n">
        <v>0</v>
      </c>
      <c r="WD308" s="9" t="n">
        <v>0</v>
      </c>
      <c r="WE308" s="9" t="n">
        <v>0</v>
      </c>
      <c r="WI308" s="10" t="n">
        <v>46284</v>
      </c>
      <c r="WK308" s="9" t="n">
        <v>0</v>
      </c>
      <c r="WM308" s="9" t="n">
        <v>0</v>
      </c>
      <c r="WN308" s="9" t="n">
        <v>1057</v>
      </c>
      <c r="WR308" s="10" t="n">
        <v>46284</v>
      </c>
      <c r="WT308" s="9" t="n">
        <v>0</v>
      </c>
      <c r="WV308" s="9" t="n">
        <v>0</v>
      </c>
      <c r="WW308" s="9" t="n">
        <v>0</v>
      </c>
      <c r="XA308" s="10" t="n">
        <v>46284</v>
      </c>
      <c r="XC308" s="9" t="n">
        <v>0</v>
      </c>
      <c r="XE308" s="9" t="n">
        <v>0</v>
      </c>
      <c r="XF308" s="9" t="n">
        <v>7507</v>
      </c>
      <c r="XJ308" s="10" t="n">
        <v>46284</v>
      </c>
      <c r="XL308" s="9" t="n">
        <v>0</v>
      </c>
      <c r="XN308" s="9" t="n">
        <v>0</v>
      </c>
      <c r="XO308" s="9" t="n">
        <v>4252</v>
      </c>
      <c r="XS308" s="10" t="n">
        <v>46284</v>
      </c>
      <c r="XU308" s="9" t="n">
        <v>0</v>
      </c>
      <c r="XW308" s="9" t="n">
        <v>0</v>
      </c>
      <c r="XX308" s="9" t="n">
        <v>2179</v>
      </c>
      <c r="YB308" s="10" t="n">
        <v>46284</v>
      </c>
      <c r="YD308" s="9" t="n">
        <v>0</v>
      </c>
      <c r="YF308" s="9" t="n">
        <v>0</v>
      </c>
      <c r="YG308" s="9" t="n">
        <v>4019</v>
      </c>
      <c r="YK308" s="10" t="n">
        <v>46284</v>
      </c>
      <c r="YM308" s="9" t="n">
        <v>0</v>
      </c>
      <c r="YO308" s="9" t="n">
        <v>0</v>
      </c>
      <c r="YP308" s="9" t="n">
        <v>-218</v>
      </c>
      <c r="YT308" s="10" t="n">
        <v>46284</v>
      </c>
      <c r="YV308" s="9" t="n">
        <v>0</v>
      </c>
      <c r="YX308" s="9" t="n">
        <v>0</v>
      </c>
      <c r="YY308" s="9" t="n">
        <v>0</v>
      </c>
      <c r="ZC308" s="10" t="n">
        <v>46284</v>
      </c>
      <c r="ZE308" s="9" t="n">
        <v>0</v>
      </c>
      <c r="ZG308" s="9" t="n">
        <v>0</v>
      </c>
      <c r="ZH308" s="9" t="n">
        <v>0</v>
      </c>
      <c r="ZL308" s="10" t="n">
        <v>46284</v>
      </c>
      <c r="ZN308" s="9" t="n">
        <v>0</v>
      </c>
      <c r="ZP308" s="9" t="n">
        <v>0</v>
      </c>
      <c r="ZQ308" s="9" t="n">
        <v>0</v>
      </c>
      <c r="ZU308" s="10" t="n">
        <v>46284</v>
      </c>
      <c r="ZW308" s="9" t="n">
        <v>0</v>
      </c>
      <c r="ZY308" s="9" t="n">
        <v>0</v>
      </c>
      <c r="ZZ308" s="9" t="n">
        <v>0</v>
      </c>
      <c r="AAD308" s="10" t="n">
        <v>46284</v>
      </c>
      <c r="AAF308" s="9" t="n">
        <v>0</v>
      </c>
      <c r="AAH308" s="9" t="n">
        <v>0</v>
      </c>
      <c r="AAI308" s="9" t="n">
        <v>0</v>
      </c>
      <c r="AAM308" s="10" t="n">
        <v>46284</v>
      </c>
      <c r="AAO308" s="9" t="n">
        <v>0</v>
      </c>
      <c r="AAQ308" s="9" t="n">
        <v>0</v>
      </c>
      <c r="AAR308" s="9" t="n">
        <v>0</v>
      </c>
      <c r="AAV308" s="10" t="n">
        <v>46284</v>
      </c>
      <c r="AAX308" s="9" t="n">
        <v>0</v>
      </c>
      <c r="AAZ308" s="9" t="n">
        <v>0</v>
      </c>
      <c r="ABA308" s="9" t="n">
        <v>0</v>
      </c>
      <c r="ABE308" s="10" t="n">
        <v>46284</v>
      </c>
      <c r="ABG308" s="9" t="n">
        <v>0</v>
      </c>
      <c r="ABI308" s="9" t="n">
        <v>0</v>
      </c>
      <c r="ABJ308" s="9" t="n">
        <v>0</v>
      </c>
    </row>
    <row r="309">
      <c r="C309" s="10" t="n">
        <v>46285</v>
      </c>
      <c r="E309" s="9" t="n">
        <v>0</v>
      </c>
      <c r="G309" s="9" t="n">
        <v>0</v>
      </c>
      <c r="H309" s="9" t="n">
        <v>236936.6</v>
      </c>
      <c r="L309" s="10" t="n">
        <v>46285</v>
      </c>
      <c r="N309" s="9" t="n">
        <v>0</v>
      </c>
      <c r="P309" s="9" t="n">
        <v>0</v>
      </c>
      <c r="Q309" s="9" t="n">
        <v>53017.60000000007</v>
      </c>
      <c r="U309" s="10" t="n">
        <v>46285</v>
      </c>
      <c r="W309" s="9" t="n">
        <v>0</v>
      </c>
      <c r="Y309" s="9" t="n">
        <v>0</v>
      </c>
      <c r="Z309" s="9" t="n">
        <v>42674.19999999997</v>
      </c>
      <c r="AD309" s="10" t="n">
        <v>46285</v>
      </c>
      <c r="AF309" s="9" t="n">
        <v>0</v>
      </c>
      <c r="AH309" s="9" t="n">
        <v>0</v>
      </c>
      <c r="AI309" s="9" t="n">
        <v>4522.200000000019</v>
      </c>
      <c r="AM309" s="10" t="n">
        <v>46285</v>
      </c>
      <c r="AO309" s="9" t="n">
        <v>0</v>
      </c>
      <c r="AQ309" s="9" t="n">
        <v>0</v>
      </c>
      <c r="AR309" s="9" t="n">
        <v>0</v>
      </c>
      <c r="AV309" s="10" t="n">
        <v>46285</v>
      </c>
      <c r="AX309" s="9" t="n">
        <v>0</v>
      </c>
      <c r="AZ309" s="9" t="n">
        <v>0</v>
      </c>
      <c r="BA309" s="9" t="n">
        <v>124.9999999999952</v>
      </c>
      <c r="BE309" s="10" t="n">
        <v>46285</v>
      </c>
      <c r="BG309" s="9" t="n">
        <v>0</v>
      </c>
      <c r="BI309" s="9" t="n">
        <v>0</v>
      </c>
      <c r="BJ309" s="9" t="n">
        <v>26151.9</v>
      </c>
      <c r="BN309" s="10" t="n">
        <v>46285</v>
      </c>
      <c r="BP309" s="9" t="n">
        <v>0</v>
      </c>
      <c r="BR309" s="9" t="n">
        <v>0</v>
      </c>
      <c r="BS309" s="9" t="n">
        <v>0</v>
      </c>
      <c r="BW309" s="10" t="n">
        <v>46285</v>
      </c>
      <c r="BY309" s="9" t="n">
        <v>0</v>
      </c>
      <c r="CA309" s="9" t="n">
        <v>0</v>
      </c>
      <c r="CB309" s="9" t="n">
        <v>2097.339999999999</v>
      </c>
      <c r="CF309" s="10" t="n">
        <v>46285</v>
      </c>
      <c r="CH309" s="9" t="n">
        <v>0</v>
      </c>
      <c r="CJ309" s="9" t="n">
        <v>0</v>
      </c>
      <c r="CK309" s="9" t="n">
        <v>-10277.08</v>
      </c>
      <c r="CO309" s="10" t="n">
        <v>46285</v>
      </c>
      <c r="CQ309" s="9" t="n">
        <v>0</v>
      </c>
      <c r="CS309" s="9" t="n">
        <v>0</v>
      </c>
      <c r="CT309" s="9" t="n">
        <v>0</v>
      </c>
      <c r="CX309" s="10" t="n">
        <v>46285</v>
      </c>
      <c r="CZ309" s="9" t="n">
        <v>0</v>
      </c>
      <c r="DB309" s="9" t="n">
        <v>0</v>
      </c>
      <c r="DC309" s="9" t="n">
        <v>27438.20000000001</v>
      </c>
      <c r="DG309" s="10" t="n">
        <v>46285</v>
      </c>
      <c r="DI309" s="9" t="n">
        <v>0</v>
      </c>
      <c r="DK309" s="9" t="n">
        <v>0</v>
      </c>
      <c r="DL309" s="9" t="n">
        <v>18782.29999999998</v>
      </c>
      <c r="DP309" s="10" t="n">
        <v>46285</v>
      </c>
      <c r="DR309" s="9" t="n">
        <v>0</v>
      </c>
      <c r="DT309" s="9" t="n">
        <v>0</v>
      </c>
      <c r="DU309" s="9" t="n">
        <v>5800</v>
      </c>
      <c r="DY309" s="10" t="n">
        <v>46285</v>
      </c>
      <c r="EA309" s="9" t="n">
        <v>0</v>
      </c>
      <c r="EC309" s="9" t="n">
        <v>0</v>
      </c>
      <c r="ED309" s="9" t="n">
        <v>0</v>
      </c>
      <c r="EH309" s="10" t="n">
        <v>46285</v>
      </c>
      <c r="EJ309" s="9" t="n">
        <v>0</v>
      </c>
      <c r="EL309" s="9" t="n">
        <v>0</v>
      </c>
      <c r="EM309" s="9" t="n">
        <v>0</v>
      </c>
      <c r="EQ309" s="10" t="n">
        <v>46285</v>
      </c>
      <c r="ES309" s="9" t="n">
        <v>0</v>
      </c>
      <c r="EU309" s="9" t="n">
        <v>0</v>
      </c>
      <c r="EV309" s="9" t="n">
        <v>0</v>
      </c>
      <c r="EZ309" s="10" t="n">
        <v>46285</v>
      </c>
      <c r="FB309" s="9" t="n">
        <v>0</v>
      </c>
      <c r="FD309" s="9" t="n">
        <v>0</v>
      </c>
      <c r="FE309" s="9" t="n">
        <v>0</v>
      </c>
      <c r="FI309" s="10" t="n">
        <v>46285</v>
      </c>
      <c r="FK309" s="9" t="n">
        <v>0</v>
      </c>
      <c r="FM309" s="9" t="n">
        <v>0</v>
      </c>
      <c r="FN309" s="9" t="n">
        <v>0</v>
      </c>
      <c r="FR309" s="10" t="n">
        <v>46285</v>
      </c>
      <c r="FT309" s="9" t="n">
        <v>0</v>
      </c>
      <c r="FV309" s="9" t="n">
        <v>0</v>
      </c>
      <c r="FW309" s="9" t="n">
        <v>2020</v>
      </c>
      <c r="GA309" s="10" t="n">
        <v>46285</v>
      </c>
      <c r="GC309" s="9" t="n">
        <v>0</v>
      </c>
      <c r="GE309" s="9" t="n">
        <v>0</v>
      </c>
      <c r="GF309" s="9" t="n">
        <v>960</v>
      </c>
      <c r="GJ309" s="10" t="n">
        <v>46285</v>
      </c>
      <c r="GL309" s="9" t="n">
        <v>0</v>
      </c>
      <c r="GN309" s="9" t="n">
        <v>0</v>
      </c>
      <c r="GO309" s="9" t="n">
        <v>1760</v>
      </c>
      <c r="GS309" s="10" t="n">
        <v>46285</v>
      </c>
      <c r="GU309" s="9" t="n">
        <v>0</v>
      </c>
      <c r="GW309" s="9" t="n">
        <v>0</v>
      </c>
      <c r="GX309" s="9" t="n">
        <v>400</v>
      </c>
      <c r="HB309" s="10" t="n">
        <v>46285</v>
      </c>
      <c r="HD309" s="9" t="n">
        <v>0</v>
      </c>
      <c r="HF309" s="9" t="n">
        <v>0</v>
      </c>
      <c r="HG309" s="9" t="n">
        <v>3600</v>
      </c>
      <c r="HK309" s="10" t="n">
        <v>46285</v>
      </c>
      <c r="HM309" s="9" t="n">
        <v>0</v>
      </c>
      <c r="HO309" s="9" t="n">
        <v>0</v>
      </c>
      <c r="HP309" s="9" t="n">
        <v>0</v>
      </c>
      <c r="HU309" s="10" t="n">
        <v>46285</v>
      </c>
      <c r="HW309" s="9" t="n">
        <v>0</v>
      </c>
      <c r="HY309" s="9" t="n">
        <v>0</v>
      </c>
      <c r="HZ309" s="9" t="n">
        <v>6120</v>
      </c>
      <c r="ID309" s="10" t="n">
        <v>46285</v>
      </c>
      <c r="IF309" s="9" t="n">
        <v>0</v>
      </c>
      <c r="IH309" s="9" t="n">
        <v>0</v>
      </c>
      <c r="II309" s="9" t="n">
        <v>0</v>
      </c>
      <c r="IM309" s="10" t="n">
        <v>46285</v>
      </c>
      <c r="IO309" s="9" t="n">
        <v>0</v>
      </c>
      <c r="IQ309" s="9" t="n">
        <v>0</v>
      </c>
      <c r="IR309" s="9" t="n">
        <v>0</v>
      </c>
      <c r="IV309" s="10" t="n">
        <v>46285</v>
      </c>
      <c r="IX309" s="9" t="n">
        <v>0</v>
      </c>
      <c r="IZ309" s="9" t="n">
        <v>0</v>
      </c>
      <c r="JA309" s="9" t="n">
        <v>2820</v>
      </c>
      <c r="JE309" s="10" t="n">
        <v>46285</v>
      </c>
      <c r="JG309" s="9" t="n">
        <v>0</v>
      </c>
      <c r="JI309" s="9" t="n">
        <v>0</v>
      </c>
      <c r="JJ309" s="9" t="n">
        <v>0</v>
      </c>
      <c r="JN309" s="10" t="n">
        <v>46285</v>
      </c>
      <c r="JP309" s="9" t="n">
        <v>0</v>
      </c>
      <c r="JR309" s="9" t="n">
        <v>0</v>
      </c>
      <c r="JS309" s="9" t="n">
        <v>0</v>
      </c>
      <c r="JW309" s="10" t="n">
        <v>46285</v>
      </c>
      <c r="JY309" s="9" t="n">
        <v>0</v>
      </c>
      <c r="KA309" s="9" t="n">
        <v>0</v>
      </c>
      <c r="KB309" s="9" t="n">
        <v>2540</v>
      </c>
      <c r="KF309" s="10" t="n">
        <v>46285</v>
      </c>
      <c r="KH309" s="9" t="n">
        <v>0</v>
      </c>
      <c r="KJ309" s="9" t="n">
        <v>0</v>
      </c>
      <c r="KK309" s="9" t="n">
        <v>2359.5</v>
      </c>
      <c r="KO309" s="10" t="n">
        <v>46285</v>
      </c>
      <c r="KQ309" s="9" t="n">
        <v>0</v>
      </c>
      <c r="KS309" s="9" t="n">
        <v>0</v>
      </c>
      <c r="KT309" s="9" t="n">
        <v>1890</v>
      </c>
      <c r="KX309" s="10" t="n">
        <v>46285</v>
      </c>
      <c r="KZ309" s="9" t="n">
        <v>0</v>
      </c>
      <c r="LB309" s="9" t="n">
        <v>0</v>
      </c>
      <c r="LC309" s="9" t="n">
        <v>3690</v>
      </c>
      <c r="LG309" s="10" t="n">
        <v>46285</v>
      </c>
      <c r="LI309" s="9" t="n">
        <v>0</v>
      </c>
      <c r="LK309" s="9" t="n">
        <v>0</v>
      </c>
      <c r="LL309" s="9" t="n">
        <v>4000</v>
      </c>
      <c r="LP309" s="10" t="n">
        <v>46285</v>
      </c>
      <c r="LR309" s="9" t="n">
        <v>0</v>
      </c>
      <c r="LT309" s="9" t="n">
        <v>0</v>
      </c>
      <c r="LU309" s="9" t="n">
        <v>0</v>
      </c>
      <c r="LY309" s="10" t="n">
        <v>46285</v>
      </c>
      <c r="MA309" s="9" t="n">
        <v>0</v>
      </c>
      <c r="MC309" s="9" t="n">
        <v>0</v>
      </c>
      <c r="MD309" s="9" t="n">
        <v>0</v>
      </c>
      <c r="MH309" s="10" t="n">
        <v>46285</v>
      </c>
      <c r="MJ309" s="9" t="n">
        <v>0</v>
      </c>
      <c r="ML309" s="9" t="n">
        <v>0</v>
      </c>
      <c r="MM309" s="9" t="n">
        <v>0</v>
      </c>
      <c r="MQ309" s="10" t="n">
        <v>46285</v>
      </c>
      <c r="MS309" s="9" t="n">
        <v>0</v>
      </c>
      <c r="MU309" s="9" t="n">
        <v>0</v>
      </c>
      <c r="MV309" s="9" t="n">
        <v>1625</v>
      </c>
      <c r="MZ309" s="10" t="n">
        <v>46285</v>
      </c>
      <c r="NB309" s="9" t="n">
        <v>0</v>
      </c>
      <c r="ND309" s="9" t="n">
        <v>0</v>
      </c>
      <c r="NE309" s="9" t="n">
        <v>0</v>
      </c>
      <c r="NI309" s="10" t="n">
        <v>46285</v>
      </c>
      <c r="NK309" s="9" t="n">
        <v>0</v>
      </c>
      <c r="NM309" s="9" t="n">
        <v>0</v>
      </c>
      <c r="NN309" s="9" t="n">
        <v>1127</v>
      </c>
      <c r="NR309" s="10" t="n">
        <v>46285</v>
      </c>
      <c r="NT309" s="9" t="n">
        <v>0</v>
      </c>
      <c r="NV309" s="9" t="n">
        <v>0</v>
      </c>
      <c r="NW309" s="9" t="n">
        <v>3112</v>
      </c>
      <c r="OA309" s="10" t="n">
        <v>46285</v>
      </c>
      <c r="OC309" s="9" t="n">
        <v>0</v>
      </c>
      <c r="OE309" s="9" t="n">
        <v>0</v>
      </c>
      <c r="OF309" s="9" t="n">
        <v>1680.5</v>
      </c>
      <c r="OJ309" s="10" t="n">
        <v>46285</v>
      </c>
      <c r="OL309" s="9" t="n">
        <v>0</v>
      </c>
      <c r="ON309" s="9" t="n">
        <v>0</v>
      </c>
      <c r="OO309" s="9" t="n">
        <v>0</v>
      </c>
      <c r="OS309" s="10" t="n">
        <v>46285</v>
      </c>
      <c r="OU309" s="9" t="n">
        <v>0</v>
      </c>
      <c r="OW309" s="9" t="n">
        <v>0</v>
      </c>
      <c r="OX309" s="9" t="n">
        <v>1482</v>
      </c>
      <c r="PB309" s="10" t="n">
        <v>46285</v>
      </c>
      <c r="PD309" s="9" t="n">
        <v>0</v>
      </c>
      <c r="PF309" s="9" t="n">
        <v>0</v>
      </c>
      <c r="PG309" s="9" t="n">
        <v>0</v>
      </c>
      <c r="PK309" s="10" t="n">
        <v>46285</v>
      </c>
      <c r="PM309" s="9" t="n">
        <v>0</v>
      </c>
      <c r="PO309" s="9" t="n">
        <v>0</v>
      </c>
      <c r="PP309" s="9" t="n">
        <v>100</v>
      </c>
      <c r="PT309" s="10" t="n">
        <v>46285</v>
      </c>
      <c r="PV309" s="9" t="n">
        <v>0</v>
      </c>
      <c r="PX309" s="9" t="n">
        <v>0</v>
      </c>
      <c r="PY309" s="9" t="n">
        <v>13.96000000000004</v>
      </c>
      <c r="QC309" s="10" t="n">
        <v>46285</v>
      </c>
      <c r="QE309" s="9" t="n">
        <v>0</v>
      </c>
      <c r="QG309" s="9" t="n">
        <v>0</v>
      </c>
      <c r="QH309" s="9" t="n">
        <v>548</v>
      </c>
      <c r="QL309" s="10" t="n">
        <v>46285</v>
      </c>
      <c r="QN309" s="9" t="n">
        <v>0</v>
      </c>
      <c r="QP309" s="9" t="n">
        <v>0</v>
      </c>
      <c r="QQ309" s="9" t="n">
        <v>0</v>
      </c>
      <c r="QU309" s="10" t="n">
        <v>46285</v>
      </c>
      <c r="QW309" s="9" t="n">
        <v>0</v>
      </c>
      <c r="QY309" s="9" t="n">
        <v>0</v>
      </c>
      <c r="QZ309" s="9" t="n">
        <v>0</v>
      </c>
      <c r="RD309" s="10" t="n">
        <v>46285</v>
      </c>
      <c r="RF309" s="9" t="n">
        <v>0</v>
      </c>
      <c r="RH309" s="9" t="n">
        <v>0</v>
      </c>
      <c r="RI309" s="9" t="n">
        <v>147.04</v>
      </c>
      <c r="RM309" s="10" t="n">
        <v>46285</v>
      </c>
      <c r="RO309" s="9" t="n">
        <v>0</v>
      </c>
      <c r="RQ309" s="9" t="n">
        <v>0</v>
      </c>
      <c r="RR309" s="9" t="n">
        <v>46.8</v>
      </c>
      <c r="RV309" s="10" t="n">
        <v>46285</v>
      </c>
      <c r="RX309" s="9" t="n">
        <v>0</v>
      </c>
      <c r="RZ309" s="9" t="n">
        <v>0</v>
      </c>
      <c r="SA309" s="9" t="n">
        <v>0</v>
      </c>
      <c r="SE309" s="10" t="n">
        <v>46285</v>
      </c>
      <c r="SG309" s="9" t="n">
        <v>0</v>
      </c>
      <c r="SI309" s="9" t="n">
        <v>0</v>
      </c>
      <c r="SJ309" s="9" t="n">
        <v>24.2</v>
      </c>
      <c r="SN309" s="10" t="n">
        <v>46285</v>
      </c>
      <c r="SP309" s="9" t="n">
        <v>0</v>
      </c>
      <c r="SR309" s="9" t="n">
        <v>0</v>
      </c>
      <c r="SS309" s="9" t="n">
        <v>32</v>
      </c>
      <c r="SW309" s="10" t="n">
        <v>46285</v>
      </c>
      <c r="SY309" s="9" t="n">
        <v>0</v>
      </c>
      <c r="TA309" s="9" t="n">
        <v>0</v>
      </c>
      <c r="TB309" s="9" t="n">
        <v>0</v>
      </c>
      <c r="TF309" s="10" t="n">
        <v>46285</v>
      </c>
      <c r="TH309" s="9" t="n">
        <v>0</v>
      </c>
      <c r="TJ309" s="9" t="n">
        <v>0</v>
      </c>
      <c r="TK309" s="9" t="n">
        <v>0</v>
      </c>
      <c r="TO309" s="10" t="n">
        <v>46285</v>
      </c>
      <c r="TQ309" s="9" t="n">
        <v>0</v>
      </c>
      <c r="TS309" s="9" t="n">
        <v>0</v>
      </c>
      <c r="TT309" s="9" t="n">
        <v>0</v>
      </c>
      <c r="TX309" s="10" t="n">
        <v>46285</v>
      </c>
      <c r="TZ309" s="9" t="n">
        <v>0</v>
      </c>
      <c r="UB309" s="9" t="n">
        <v>0</v>
      </c>
      <c r="UC309" s="9" t="n">
        <v>46.79999999999998</v>
      </c>
      <c r="UG309" s="10" t="n">
        <v>46285</v>
      </c>
      <c r="UI309" s="9" t="n">
        <v>0</v>
      </c>
      <c r="UK309" s="9" t="n">
        <v>0</v>
      </c>
      <c r="UL309" s="9" t="n">
        <v>204</v>
      </c>
      <c r="UP309" s="10" t="n">
        <v>46285</v>
      </c>
      <c r="UR309" s="9" t="n">
        <v>0</v>
      </c>
      <c r="UT309" s="9" t="n">
        <v>0</v>
      </c>
      <c r="UU309" s="9" t="n">
        <v>202.5</v>
      </c>
      <c r="UY309" s="10" t="n">
        <v>46285</v>
      </c>
      <c r="VA309" s="9" t="n">
        <v>0</v>
      </c>
      <c r="VC309" s="9" t="n">
        <v>0</v>
      </c>
      <c r="VD309" s="9" t="n">
        <v>41.60000000000002</v>
      </c>
      <c r="VH309" s="10" t="n">
        <v>46285</v>
      </c>
      <c r="VJ309" s="9" t="n">
        <v>0</v>
      </c>
      <c r="VL309" s="9" t="n">
        <v>0</v>
      </c>
      <c r="VM309" s="9" t="n">
        <v>210</v>
      </c>
      <c r="VQ309" s="10" t="n">
        <v>46285</v>
      </c>
      <c r="VS309" s="9" t="n">
        <v>0</v>
      </c>
      <c r="VU309" s="9" t="n">
        <v>0</v>
      </c>
      <c r="VV309" s="9" t="n">
        <v>0</v>
      </c>
      <c r="VZ309" s="10" t="n">
        <v>46285</v>
      </c>
      <c r="WB309" s="9" t="n">
        <v>0</v>
      </c>
      <c r="WD309" s="9" t="n">
        <v>0</v>
      </c>
      <c r="WE309" s="9" t="n">
        <v>0</v>
      </c>
      <c r="WI309" s="10" t="n">
        <v>46285</v>
      </c>
      <c r="WK309" s="9" t="n">
        <v>0</v>
      </c>
      <c r="WM309" s="9" t="n">
        <v>0</v>
      </c>
      <c r="WN309" s="9" t="n">
        <v>1057</v>
      </c>
      <c r="WR309" s="10" t="n">
        <v>46285</v>
      </c>
      <c r="WT309" s="9" t="n">
        <v>0</v>
      </c>
      <c r="WV309" s="9" t="n">
        <v>0</v>
      </c>
      <c r="WW309" s="9" t="n">
        <v>0</v>
      </c>
      <c r="XA309" s="10" t="n">
        <v>46285</v>
      </c>
      <c r="XC309" s="9" t="n">
        <v>0</v>
      </c>
      <c r="XE309" s="9" t="n">
        <v>0</v>
      </c>
      <c r="XF309" s="9" t="n">
        <v>7507</v>
      </c>
      <c r="XJ309" s="10" t="n">
        <v>46285</v>
      </c>
      <c r="XL309" s="9" t="n">
        <v>0</v>
      </c>
      <c r="XN309" s="9" t="n">
        <v>0</v>
      </c>
      <c r="XO309" s="9" t="n">
        <v>4252</v>
      </c>
      <c r="XS309" s="10" t="n">
        <v>46285</v>
      </c>
      <c r="XU309" s="9" t="n">
        <v>0</v>
      </c>
      <c r="XW309" s="9" t="n">
        <v>0</v>
      </c>
      <c r="XX309" s="9" t="n">
        <v>2179</v>
      </c>
      <c r="YB309" s="10" t="n">
        <v>46285</v>
      </c>
      <c r="YD309" s="9" t="n">
        <v>0</v>
      </c>
      <c r="YF309" s="9" t="n">
        <v>0</v>
      </c>
      <c r="YG309" s="9" t="n">
        <v>4019</v>
      </c>
      <c r="YK309" s="10" t="n">
        <v>46285</v>
      </c>
      <c r="YM309" s="9" t="n">
        <v>0</v>
      </c>
      <c r="YO309" s="9" t="n">
        <v>0</v>
      </c>
      <c r="YP309" s="9" t="n">
        <v>-218</v>
      </c>
      <c r="YT309" s="10" t="n">
        <v>46285</v>
      </c>
      <c r="YV309" s="9" t="n">
        <v>0</v>
      </c>
      <c r="YX309" s="9" t="n">
        <v>0</v>
      </c>
      <c r="YY309" s="9" t="n">
        <v>0</v>
      </c>
      <c r="ZC309" s="10" t="n">
        <v>46285</v>
      </c>
      <c r="ZE309" s="9" t="n">
        <v>0</v>
      </c>
      <c r="ZG309" s="9" t="n">
        <v>0</v>
      </c>
      <c r="ZH309" s="9" t="n">
        <v>0</v>
      </c>
      <c r="ZL309" s="10" t="n">
        <v>46285</v>
      </c>
      <c r="ZN309" s="9" t="n">
        <v>0</v>
      </c>
      <c r="ZP309" s="9" t="n">
        <v>0</v>
      </c>
      <c r="ZQ309" s="9" t="n">
        <v>0</v>
      </c>
      <c r="ZU309" s="10" t="n">
        <v>46285</v>
      </c>
      <c r="ZW309" s="9" t="n">
        <v>0</v>
      </c>
      <c r="ZY309" s="9" t="n">
        <v>0</v>
      </c>
      <c r="ZZ309" s="9" t="n">
        <v>0</v>
      </c>
      <c r="AAD309" s="10" t="n">
        <v>46285</v>
      </c>
      <c r="AAF309" s="9" t="n">
        <v>0</v>
      </c>
      <c r="AAH309" s="9" t="n">
        <v>0</v>
      </c>
      <c r="AAI309" s="9" t="n">
        <v>0</v>
      </c>
      <c r="AAM309" s="10" t="n">
        <v>46285</v>
      </c>
      <c r="AAO309" s="9" t="n">
        <v>0</v>
      </c>
      <c r="AAQ309" s="9" t="n">
        <v>0</v>
      </c>
      <c r="AAR309" s="9" t="n">
        <v>0</v>
      </c>
      <c r="AAV309" s="10" t="n">
        <v>46285</v>
      </c>
      <c r="AAX309" s="9" t="n">
        <v>0</v>
      </c>
      <c r="AAZ309" s="9" t="n">
        <v>0</v>
      </c>
      <c r="ABA309" s="9" t="n">
        <v>0</v>
      </c>
      <c r="ABE309" s="10" t="n">
        <v>46285</v>
      </c>
      <c r="ABG309" s="9" t="n">
        <v>0</v>
      </c>
      <c r="ABI309" s="9" t="n">
        <v>0</v>
      </c>
      <c r="ABJ309" s="9" t="n">
        <v>0</v>
      </c>
    </row>
    <row r="310">
      <c r="C310" s="10" t="n">
        <v>46286</v>
      </c>
      <c r="E310" s="9" t="n">
        <v>0</v>
      </c>
      <c r="G310" s="9" t="n">
        <v>0</v>
      </c>
      <c r="H310" s="9" t="n">
        <v>236936.6</v>
      </c>
      <c r="L310" s="10" t="n">
        <v>46286</v>
      </c>
      <c r="N310" s="9" t="n">
        <v>0</v>
      </c>
      <c r="P310" s="9" t="n">
        <v>0</v>
      </c>
      <c r="Q310" s="9" t="n">
        <v>53017.60000000007</v>
      </c>
      <c r="U310" s="10" t="n">
        <v>46286</v>
      </c>
      <c r="W310" s="9" t="n">
        <v>0</v>
      </c>
      <c r="Y310" s="9" t="n">
        <v>0</v>
      </c>
      <c r="Z310" s="9" t="n">
        <v>42674.19999999997</v>
      </c>
      <c r="AD310" s="10" t="n">
        <v>46286</v>
      </c>
      <c r="AF310" s="9" t="n">
        <v>0</v>
      </c>
      <c r="AH310" s="9" t="n">
        <v>0</v>
      </c>
      <c r="AI310" s="9" t="n">
        <v>4522.200000000019</v>
      </c>
      <c r="AM310" s="10" t="n">
        <v>46286</v>
      </c>
      <c r="AO310" s="9" t="n">
        <v>0</v>
      </c>
      <c r="AQ310" s="9" t="n">
        <v>0</v>
      </c>
      <c r="AR310" s="9" t="n">
        <v>0</v>
      </c>
      <c r="AV310" s="10" t="n">
        <v>46286</v>
      </c>
      <c r="AX310" s="9" t="n">
        <v>0</v>
      </c>
      <c r="AZ310" s="9" t="n">
        <v>0</v>
      </c>
      <c r="BA310" s="9" t="n">
        <v>124.9999999999952</v>
      </c>
      <c r="BE310" s="10" t="n">
        <v>46286</v>
      </c>
      <c r="BG310" s="9" t="n">
        <v>0</v>
      </c>
      <c r="BI310" s="9" t="n">
        <v>0</v>
      </c>
      <c r="BJ310" s="9" t="n">
        <v>26151.9</v>
      </c>
      <c r="BN310" s="10" t="n">
        <v>46286</v>
      </c>
      <c r="BP310" s="9" t="n">
        <v>0</v>
      </c>
      <c r="BR310" s="9" t="n">
        <v>0</v>
      </c>
      <c r="BS310" s="9" t="n">
        <v>0</v>
      </c>
      <c r="BW310" s="10" t="n">
        <v>46286</v>
      </c>
      <c r="BY310" s="9" t="n">
        <v>0</v>
      </c>
      <c r="CA310" s="9" t="n">
        <v>0</v>
      </c>
      <c r="CB310" s="9" t="n">
        <v>2097.339999999999</v>
      </c>
      <c r="CF310" s="10" t="n">
        <v>46286</v>
      </c>
      <c r="CH310" s="9" t="n">
        <v>0</v>
      </c>
      <c r="CJ310" s="9" t="n">
        <v>0</v>
      </c>
      <c r="CK310" s="9" t="n">
        <v>-10277.08</v>
      </c>
      <c r="CO310" s="10" t="n">
        <v>46286</v>
      </c>
      <c r="CQ310" s="9" t="n">
        <v>0</v>
      </c>
      <c r="CS310" s="9" t="n">
        <v>0</v>
      </c>
      <c r="CT310" s="9" t="n">
        <v>0</v>
      </c>
      <c r="CX310" s="10" t="n">
        <v>46286</v>
      </c>
      <c r="CZ310" s="9" t="n">
        <v>0</v>
      </c>
      <c r="DB310" s="9" t="n">
        <v>0</v>
      </c>
      <c r="DC310" s="9" t="n">
        <v>27438.20000000001</v>
      </c>
      <c r="DG310" s="10" t="n">
        <v>46286</v>
      </c>
      <c r="DI310" s="9" t="n">
        <v>0</v>
      </c>
      <c r="DK310" s="9" t="n">
        <v>0</v>
      </c>
      <c r="DL310" s="9" t="n">
        <v>18782.29999999998</v>
      </c>
      <c r="DP310" s="10" t="n">
        <v>46286</v>
      </c>
      <c r="DR310" s="9" t="n">
        <v>0</v>
      </c>
      <c r="DT310" s="9" t="n">
        <v>0</v>
      </c>
      <c r="DU310" s="9" t="n">
        <v>5800</v>
      </c>
      <c r="DY310" s="10" t="n">
        <v>46286</v>
      </c>
      <c r="EA310" s="9" t="n">
        <v>0</v>
      </c>
      <c r="EC310" s="9" t="n">
        <v>0</v>
      </c>
      <c r="ED310" s="9" t="n">
        <v>0</v>
      </c>
      <c r="EH310" s="10" t="n">
        <v>46286</v>
      </c>
      <c r="EJ310" s="9" t="n">
        <v>0</v>
      </c>
      <c r="EL310" s="9" t="n">
        <v>0</v>
      </c>
      <c r="EM310" s="9" t="n">
        <v>0</v>
      </c>
      <c r="EQ310" s="10" t="n">
        <v>46286</v>
      </c>
      <c r="ES310" s="9" t="n">
        <v>0</v>
      </c>
      <c r="EU310" s="9" t="n">
        <v>0</v>
      </c>
      <c r="EV310" s="9" t="n">
        <v>0</v>
      </c>
      <c r="EZ310" s="10" t="n">
        <v>46286</v>
      </c>
      <c r="FB310" s="9" t="n">
        <v>0</v>
      </c>
      <c r="FD310" s="9" t="n">
        <v>0</v>
      </c>
      <c r="FE310" s="9" t="n">
        <v>0</v>
      </c>
      <c r="FI310" s="10" t="n">
        <v>46286</v>
      </c>
      <c r="FK310" s="9" t="n">
        <v>0</v>
      </c>
      <c r="FM310" s="9" t="n">
        <v>0</v>
      </c>
      <c r="FN310" s="9" t="n">
        <v>0</v>
      </c>
      <c r="FR310" s="10" t="n">
        <v>46286</v>
      </c>
      <c r="FT310" s="9" t="n">
        <v>0</v>
      </c>
      <c r="FV310" s="9" t="n">
        <v>0</v>
      </c>
      <c r="FW310" s="9" t="n">
        <v>2020</v>
      </c>
      <c r="GA310" s="10" t="n">
        <v>46286</v>
      </c>
      <c r="GC310" s="9" t="n">
        <v>0</v>
      </c>
      <c r="GE310" s="9" t="n">
        <v>0</v>
      </c>
      <c r="GF310" s="9" t="n">
        <v>960</v>
      </c>
      <c r="GJ310" s="10" t="n">
        <v>46286</v>
      </c>
      <c r="GL310" s="9" t="n">
        <v>0</v>
      </c>
      <c r="GN310" s="9" t="n">
        <v>0</v>
      </c>
      <c r="GO310" s="9" t="n">
        <v>1760</v>
      </c>
      <c r="GS310" s="10" t="n">
        <v>46286</v>
      </c>
      <c r="GU310" s="9" t="n">
        <v>0</v>
      </c>
      <c r="GW310" s="9" t="n">
        <v>0</v>
      </c>
      <c r="GX310" s="9" t="n">
        <v>400</v>
      </c>
      <c r="HB310" s="10" t="n">
        <v>46286</v>
      </c>
      <c r="HD310" s="9" t="n">
        <v>0</v>
      </c>
      <c r="HF310" s="9" t="n">
        <v>0</v>
      </c>
      <c r="HG310" s="9" t="n">
        <v>3600</v>
      </c>
      <c r="HK310" s="10" t="n">
        <v>46286</v>
      </c>
      <c r="HM310" s="9" t="n">
        <v>0</v>
      </c>
      <c r="HO310" s="9" t="n">
        <v>0</v>
      </c>
      <c r="HP310" s="9" t="n">
        <v>0</v>
      </c>
      <c r="HU310" s="10" t="n">
        <v>46286</v>
      </c>
      <c r="HW310" s="9" t="n">
        <v>0</v>
      </c>
      <c r="HY310" s="9" t="n">
        <v>0</v>
      </c>
      <c r="HZ310" s="9" t="n">
        <v>6120</v>
      </c>
      <c r="ID310" s="10" t="n">
        <v>46286</v>
      </c>
      <c r="IF310" s="9" t="n">
        <v>0</v>
      </c>
      <c r="IH310" s="9" t="n">
        <v>0</v>
      </c>
      <c r="II310" s="9" t="n">
        <v>0</v>
      </c>
      <c r="IM310" s="10" t="n">
        <v>46286</v>
      </c>
      <c r="IO310" s="9" t="n">
        <v>0</v>
      </c>
      <c r="IQ310" s="9" t="n">
        <v>0</v>
      </c>
      <c r="IR310" s="9" t="n">
        <v>0</v>
      </c>
      <c r="IV310" s="10" t="n">
        <v>46286</v>
      </c>
      <c r="IX310" s="9" t="n">
        <v>0</v>
      </c>
      <c r="IZ310" s="9" t="n">
        <v>0</v>
      </c>
      <c r="JA310" s="9" t="n">
        <v>2820</v>
      </c>
      <c r="JE310" s="10" t="n">
        <v>46286</v>
      </c>
      <c r="JG310" s="9" t="n">
        <v>0</v>
      </c>
      <c r="JI310" s="9" t="n">
        <v>0</v>
      </c>
      <c r="JJ310" s="9" t="n">
        <v>0</v>
      </c>
      <c r="JN310" s="10" t="n">
        <v>46286</v>
      </c>
      <c r="JP310" s="9" t="n">
        <v>0</v>
      </c>
      <c r="JR310" s="9" t="n">
        <v>0</v>
      </c>
      <c r="JS310" s="9" t="n">
        <v>0</v>
      </c>
      <c r="JW310" s="10" t="n">
        <v>46286</v>
      </c>
      <c r="JY310" s="9" t="n">
        <v>0</v>
      </c>
      <c r="KA310" s="9" t="n">
        <v>0</v>
      </c>
      <c r="KB310" s="9" t="n">
        <v>2540</v>
      </c>
      <c r="KF310" s="10" t="n">
        <v>46286</v>
      </c>
      <c r="KH310" s="9" t="n">
        <v>0</v>
      </c>
      <c r="KJ310" s="9" t="n">
        <v>0</v>
      </c>
      <c r="KK310" s="9" t="n">
        <v>2359.5</v>
      </c>
      <c r="KO310" s="10" t="n">
        <v>46286</v>
      </c>
      <c r="KQ310" s="9" t="n">
        <v>0</v>
      </c>
      <c r="KS310" s="9" t="n">
        <v>0</v>
      </c>
      <c r="KT310" s="9" t="n">
        <v>1890</v>
      </c>
      <c r="KX310" s="10" t="n">
        <v>46286</v>
      </c>
      <c r="KZ310" s="9" t="n">
        <v>0</v>
      </c>
      <c r="LB310" s="9" t="n">
        <v>0</v>
      </c>
      <c r="LC310" s="9" t="n">
        <v>3690</v>
      </c>
      <c r="LG310" s="10" t="n">
        <v>46286</v>
      </c>
      <c r="LI310" s="9" t="n">
        <v>0</v>
      </c>
      <c r="LK310" s="9" t="n">
        <v>0</v>
      </c>
      <c r="LL310" s="9" t="n">
        <v>4000</v>
      </c>
      <c r="LP310" s="10" t="n">
        <v>46286</v>
      </c>
      <c r="LR310" s="9" t="n">
        <v>0</v>
      </c>
      <c r="LT310" s="9" t="n">
        <v>0</v>
      </c>
      <c r="LU310" s="9" t="n">
        <v>0</v>
      </c>
      <c r="LY310" s="10" t="n">
        <v>46286</v>
      </c>
      <c r="MA310" s="9" t="n">
        <v>0</v>
      </c>
      <c r="MC310" s="9" t="n">
        <v>0</v>
      </c>
      <c r="MD310" s="9" t="n">
        <v>0</v>
      </c>
      <c r="MH310" s="10" t="n">
        <v>46286</v>
      </c>
      <c r="MJ310" s="9" t="n">
        <v>0</v>
      </c>
      <c r="ML310" s="9" t="n">
        <v>0</v>
      </c>
      <c r="MM310" s="9" t="n">
        <v>0</v>
      </c>
      <c r="MQ310" s="10" t="n">
        <v>46286</v>
      </c>
      <c r="MS310" s="9" t="n">
        <v>0</v>
      </c>
      <c r="MU310" s="9" t="n">
        <v>0</v>
      </c>
      <c r="MV310" s="9" t="n">
        <v>1625</v>
      </c>
      <c r="MZ310" s="10" t="n">
        <v>46286</v>
      </c>
      <c r="NB310" s="9" t="n">
        <v>0</v>
      </c>
      <c r="ND310" s="9" t="n">
        <v>0</v>
      </c>
      <c r="NE310" s="9" t="n">
        <v>0</v>
      </c>
      <c r="NI310" s="10" t="n">
        <v>46286</v>
      </c>
      <c r="NK310" s="9" t="n">
        <v>0</v>
      </c>
      <c r="NM310" s="9" t="n">
        <v>0</v>
      </c>
      <c r="NN310" s="9" t="n">
        <v>1127</v>
      </c>
      <c r="NR310" s="10" t="n">
        <v>46286</v>
      </c>
      <c r="NT310" s="9" t="n">
        <v>0</v>
      </c>
      <c r="NV310" s="9" t="n">
        <v>0</v>
      </c>
      <c r="NW310" s="9" t="n">
        <v>3112</v>
      </c>
      <c r="OA310" s="10" t="n">
        <v>46286</v>
      </c>
      <c r="OC310" s="9" t="n">
        <v>0</v>
      </c>
      <c r="OE310" s="9" t="n">
        <v>0</v>
      </c>
      <c r="OF310" s="9" t="n">
        <v>1680.5</v>
      </c>
      <c r="OJ310" s="10" t="n">
        <v>46286</v>
      </c>
      <c r="OL310" s="9" t="n">
        <v>0</v>
      </c>
      <c r="ON310" s="9" t="n">
        <v>0</v>
      </c>
      <c r="OO310" s="9" t="n">
        <v>0</v>
      </c>
      <c r="OS310" s="10" t="n">
        <v>46286</v>
      </c>
      <c r="OU310" s="9" t="n">
        <v>0</v>
      </c>
      <c r="OW310" s="9" t="n">
        <v>0</v>
      </c>
      <c r="OX310" s="9" t="n">
        <v>1482</v>
      </c>
      <c r="PB310" s="10" t="n">
        <v>46286</v>
      </c>
      <c r="PD310" s="9" t="n">
        <v>0</v>
      </c>
      <c r="PF310" s="9" t="n">
        <v>0</v>
      </c>
      <c r="PG310" s="9" t="n">
        <v>0</v>
      </c>
      <c r="PK310" s="10" t="n">
        <v>46286</v>
      </c>
      <c r="PM310" s="9" t="n">
        <v>0</v>
      </c>
      <c r="PO310" s="9" t="n">
        <v>0</v>
      </c>
      <c r="PP310" s="9" t="n">
        <v>100</v>
      </c>
      <c r="PT310" s="10" t="n">
        <v>46286</v>
      </c>
      <c r="PV310" s="9" t="n">
        <v>0</v>
      </c>
      <c r="PX310" s="9" t="n">
        <v>0</v>
      </c>
      <c r="PY310" s="9" t="n">
        <v>13.96000000000004</v>
      </c>
      <c r="QC310" s="10" t="n">
        <v>46286</v>
      </c>
      <c r="QE310" s="9" t="n">
        <v>0</v>
      </c>
      <c r="QG310" s="9" t="n">
        <v>0</v>
      </c>
      <c r="QH310" s="9" t="n">
        <v>548</v>
      </c>
      <c r="QL310" s="10" t="n">
        <v>46286</v>
      </c>
      <c r="QN310" s="9" t="n">
        <v>0</v>
      </c>
      <c r="QP310" s="9" t="n">
        <v>0</v>
      </c>
      <c r="QQ310" s="9" t="n">
        <v>0</v>
      </c>
      <c r="QU310" s="10" t="n">
        <v>46286</v>
      </c>
      <c r="QW310" s="9" t="n">
        <v>0</v>
      </c>
      <c r="QY310" s="9" t="n">
        <v>0</v>
      </c>
      <c r="QZ310" s="9" t="n">
        <v>0</v>
      </c>
      <c r="RD310" s="10" t="n">
        <v>46286</v>
      </c>
      <c r="RF310" s="9" t="n">
        <v>0</v>
      </c>
      <c r="RH310" s="9" t="n">
        <v>0</v>
      </c>
      <c r="RI310" s="9" t="n">
        <v>147.04</v>
      </c>
      <c r="RM310" s="10" t="n">
        <v>46286</v>
      </c>
      <c r="RO310" s="9" t="n">
        <v>0</v>
      </c>
      <c r="RQ310" s="9" t="n">
        <v>0</v>
      </c>
      <c r="RR310" s="9" t="n">
        <v>46.8</v>
      </c>
      <c r="RV310" s="10" t="n">
        <v>46286</v>
      </c>
      <c r="RX310" s="9" t="n">
        <v>0</v>
      </c>
      <c r="RZ310" s="9" t="n">
        <v>0</v>
      </c>
      <c r="SA310" s="9" t="n">
        <v>0</v>
      </c>
      <c r="SE310" s="10" t="n">
        <v>46286</v>
      </c>
      <c r="SG310" s="9" t="n">
        <v>0</v>
      </c>
      <c r="SI310" s="9" t="n">
        <v>0</v>
      </c>
      <c r="SJ310" s="9" t="n">
        <v>24.2</v>
      </c>
      <c r="SN310" s="10" t="n">
        <v>46286</v>
      </c>
      <c r="SP310" s="9" t="n">
        <v>0</v>
      </c>
      <c r="SR310" s="9" t="n">
        <v>0</v>
      </c>
      <c r="SS310" s="9" t="n">
        <v>32</v>
      </c>
      <c r="SW310" s="10" t="n">
        <v>46286</v>
      </c>
      <c r="SY310" s="9" t="n">
        <v>0</v>
      </c>
      <c r="TA310" s="9" t="n">
        <v>0</v>
      </c>
      <c r="TB310" s="9" t="n">
        <v>0</v>
      </c>
      <c r="TF310" s="10" t="n">
        <v>46286</v>
      </c>
      <c r="TH310" s="9" t="n">
        <v>0</v>
      </c>
      <c r="TJ310" s="9" t="n">
        <v>0</v>
      </c>
      <c r="TK310" s="9" t="n">
        <v>0</v>
      </c>
      <c r="TO310" s="10" t="n">
        <v>46286</v>
      </c>
      <c r="TQ310" s="9" t="n">
        <v>0</v>
      </c>
      <c r="TS310" s="9" t="n">
        <v>0</v>
      </c>
      <c r="TT310" s="9" t="n">
        <v>0</v>
      </c>
      <c r="TX310" s="10" t="n">
        <v>46286</v>
      </c>
      <c r="TZ310" s="9" t="n">
        <v>0</v>
      </c>
      <c r="UB310" s="9" t="n">
        <v>0</v>
      </c>
      <c r="UC310" s="9" t="n">
        <v>46.79999999999998</v>
      </c>
      <c r="UG310" s="10" t="n">
        <v>46286</v>
      </c>
      <c r="UI310" s="9" t="n">
        <v>0</v>
      </c>
      <c r="UK310" s="9" t="n">
        <v>0</v>
      </c>
      <c r="UL310" s="9" t="n">
        <v>204</v>
      </c>
      <c r="UP310" s="10" t="n">
        <v>46286</v>
      </c>
      <c r="UR310" s="9" t="n">
        <v>0</v>
      </c>
      <c r="UT310" s="9" t="n">
        <v>0</v>
      </c>
      <c r="UU310" s="9" t="n">
        <v>202.5</v>
      </c>
      <c r="UY310" s="10" t="n">
        <v>46286</v>
      </c>
      <c r="VA310" s="9" t="n">
        <v>0</v>
      </c>
      <c r="VC310" s="9" t="n">
        <v>0</v>
      </c>
      <c r="VD310" s="9" t="n">
        <v>41.60000000000002</v>
      </c>
      <c r="VH310" s="10" t="n">
        <v>46286</v>
      </c>
      <c r="VJ310" s="9" t="n">
        <v>0</v>
      </c>
      <c r="VL310" s="9" t="n">
        <v>0</v>
      </c>
      <c r="VM310" s="9" t="n">
        <v>210</v>
      </c>
      <c r="VQ310" s="10" t="n">
        <v>46286</v>
      </c>
      <c r="VS310" s="9" t="n">
        <v>0</v>
      </c>
      <c r="VU310" s="9" t="n">
        <v>0</v>
      </c>
      <c r="VV310" s="9" t="n">
        <v>0</v>
      </c>
      <c r="VZ310" s="10" t="n">
        <v>46286</v>
      </c>
      <c r="WB310" s="9" t="n">
        <v>0</v>
      </c>
      <c r="WD310" s="9" t="n">
        <v>0</v>
      </c>
      <c r="WE310" s="9" t="n">
        <v>0</v>
      </c>
      <c r="WI310" s="10" t="n">
        <v>46286</v>
      </c>
      <c r="WK310" s="9" t="n">
        <v>0</v>
      </c>
      <c r="WM310" s="9" t="n">
        <v>0</v>
      </c>
      <c r="WN310" s="9" t="n">
        <v>1057</v>
      </c>
      <c r="WR310" s="10" t="n">
        <v>46286</v>
      </c>
      <c r="WT310" s="9" t="n">
        <v>0</v>
      </c>
      <c r="WV310" s="9" t="n">
        <v>0</v>
      </c>
      <c r="WW310" s="9" t="n">
        <v>0</v>
      </c>
      <c r="XA310" s="10" t="n">
        <v>46286</v>
      </c>
      <c r="XC310" s="9" t="n">
        <v>0</v>
      </c>
      <c r="XE310" s="9" t="n">
        <v>0</v>
      </c>
      <c r="XF310" s="9" t="n">
        <v>7507</v>
      </c>
      <c r="XJ310" s="10" t="n">
        <v>46286</v>
      </c>
      <c r="XL310" s="9" t="n">
        <v>0</v>
      </c>
      <c r="XN310" s="9" t="n">
        <v>0</v>
      </c>
      <c r="XO310" s="9" t="n">
        <v>4252</v>
      </c>
      <c r="XS310" s="10" t="n">
        <v>46286</v>
      </c>
      <c r="XU310" s="9" t="n">
        <v>0</v>
      </c>
      <c r="XW310" s="9" t="n">
        <v>0</v>
      </c>
      <c r="XX310" s="9" t="n">
        <v>2179</v>
      </c>
      <c r="YB310" s="10" t="n">
        <v>46286</v>
      </c>
      <c r="YD310" s="9" t="n">
        <v>0</v>
      </c>
      <c r="YF310" s="9" t="n">
        <v>0</v>
      </c>
      <c r="YG310" s="9" t="n">
        <v>4019</v>
      </c>
      <c r="YK310" s="10" t="n">
        <v>46286</v>
      </c>
      <c r="YM310" s="9" t="n">
        <v>0</v>
      </c>
      <c r="YO310" s="9" t="n">
        <v>0</v>
      </c>
      <c r="YP310" s="9" t="n">
        <v>-218</v>
      </c>
      <c r="YT310" s="10" t="n">
        <v>46286</v>
      </c>
      <c r="YV310" s="9" t="n">
        <v>0</v>
      </c>
      <c r="YX310" s="9" t="n">
        <v>0</v>
      </c>
      <c r="YY310" s="9" t="n">
        <v>0</v>
      </c>
      <c r="ZC310" s="10" t="n">
        <v>46286</v>
      </c>
      <c r="ZE310" s="9" t="n">
        <v>0</v>
      </c>
      <c r="ZG310" s="9" t="n">
        <v>0</v>
      </c>
      <c r="ZH310" s="9" t="n">
        <v>0</v>
      </c>
      <c r="ZL310" s="10" t="n">
        <v>46286</v>
      </c>
      <c r="ZN310" s="9" t="n">
        <v>0</v>
      </c>
      <c r="ZP310" s="9" t="n">
        <v>0</v>
      </c>
      <c r="ZQ310" s="9" t="n">
        <v>0</v>
      </c>
      <c r="ZU310" s="10" t="n">
        <v>46286</v>
      </c>
      <c r="ZW310" s="9" t="n">
        <v>0</v>
      </c>
      <c r="ZY310" s="9" t="n">
        <v>0</v>
      </c>
      <c r="ZZ310" s="9" t="n">
        <v>0</v>
      </c>
      <c r="AAD310" s="10" t="n">
        <v>46286</v>
      </c>
      <c r="AAF310" s="9" t="n">
        <v>0</v>
      </c>
      <c r="AAH310" s="9" t="n">
        <v>0</v>
      </c>
      <c r="AAI310" s="9" t="n">
        <v>0</v>
      </c>
      <c r="AAM310" s="10" t="n">
        <v>46286</v>
      </c>
      <c r="AAO310" s="9" t="n">
        <v>0</v>
      </c>
      <c r="AAQ310" s="9" t="n">
        <v>0</v>
      </c>
      <c r="AAR310" s="9" t="n">
        <v>0</v>
      </c>
      <c r="AAV310" s="10" t="n">
        <v>46286</v>
      </c>
      <c r="AAX310" s="9" t="n">
        <v>0</v>
      </c>
      <c r="AAZ310" s="9" t="n">
        <v>0</v>
      </c>
      <c r="ABA310" s="9" t="n">
        <v>0</v>
      </c>
      <c r="ABE310" s="10" t="n">
        <v>46286</v>
      </c>
      <c r="ABG310" s="9" t="n">
        <v>0</v>
      </c>
      <c r="ABI310" s="9" t="n">
        <v>0</v>
      </c>
      <c r="ABJ310" s="9" t="n">
        <v>0</v>
      </c>
    </row>
    <row r="311">
      <c r="C311" s="10" t="n">
        <v>46287</v>
      </c>
      <c r="E311" s="9" t="n">
        <v>0</v>
      </c>
      <c r="G311" s="9" t="n">
        <v>0</v>
      </c>
      <c r="H311" s="9" t="n">
        <v>236936.6</v>
      </c>
      <c r="L311" s="10" t="n">
        <v>46287</v>
      </c>
      <c r="N311" s="9" t="n">
        <v>0</v>
      </c>
      <c r="P311" s="9" t="n">
        <v>0</v>
      </c>
      <c r="Q311" s="9" t="n">
        <v>53017.60000000007</v>
      </c>
      <c r="U311" s="10" t="n">
        <v>46287</v>
      </c>
      <c r="W311" s="9" t="n">
        <v>0</v>
      </c>
      <c r="Y311" s="9" t="n">
        <v>0</v>
      </c>
      <c r="Z311" s="9" t="n">
        <v>42674.19999999997</v>
      </c>
      <c r="AD311" s="10" t="n">
        <v>46287</v>
      </c>
      <c r="AF311" s="9" t="n">
        <v>0</v>
      </c>
      <c r="AH311" s="9" t="n">
        <v>0</v>
      </c>
      <c r="AI311" s="9" t="n">
        <v>4522.200000000019</v>
      </c>
      <c r="AM311" s="10" t="n">
        <v>46287</v>
      </c>
      <c r="AO311" s="9" t="n">
        <v>0</v>
      </c>
      <c r="AQ311" s="9" t="n">
        <v>0</v>
      </c>
      <c r="AR311" s="9" t="n">
        <v>0</v>
      </c>
      <c r="AV311" s="10" t="n">
        <v>46287</v>
      </c>
      <c r="AX311" s="9" t="n">
        <v>0</v>
      </c>
      <c r="AZ311" s="9" t="n">
        <v>0</v>
      </c>
      <c r="BA311" s="9" t="n">
        <v>124.9999999999952</v>
      </c>
      <c r="BE311" s="10" t="n">
        <v>46287</v>
      </c>
      <c r="BG311" s="9" t="n">
        <v>0</v>
      </c>
      <c r="BI311" s="9" t="n">
        <v>0</v>
      </c>
      <c r="BJ311" s="9" t="n">
        <v>26151.9</v>
      </c>
      <c r="BN311" s="10" t="n">
        <v>46287</v>
      </c>
      <c r="BP311" s="9" t="n">
        <v>0</v>
      </c>
      <c r="BR311" s="9" t="n">
        <v>0</v>
      </c>
      <c r="BS311" s="9" t="n">
        <v>0</v>
      </c>
      <c r="BW311" s="10" t="n">
        <v>46287</v>
      </c>
      <c r="BY311" s="9" t="n">
        <v>0</v>
      </c>
      <c r="CA311" s="9" t="n">
        <v>0</v>
      </c>
      <c r="CB311" s="9" t="n">
        <v>2097.339999999999</v>
      </c>
      <c r="CF311" s="10" t="n">
        <v>46287</v>
      </c>
      <c r="CH311" s="9" t="n">
        <v>0</v>
      </c>
      <c r="CJ311" s="9" t="n">
        <v>0</v>
      </c>
      <c r="CK311" s="9" t="n">
        <v>-10277.08</v>
      </c>
      <c r="CO311" s="10" t="n">
        <v>46287</v>
      </c>
      <c r="CQ311" s="9" t="n">
        <v>0</v>
      </c>
      <c r="CS311" s="9" t="n">
        <v>0</v>
      </c>
      <c r="CT311" s="9" t="n">
        <v>0</v>
      </c>
      <c r="CX311" s="10" t="n">
        <v>46287</v>
      </c>
      <c r="CZ311" s="9" t="n">
        <v>0</v>
      </c>
      <c r="DB311" s="9" t="n">
        <v>0</v>
      </c>
      <c r="DC311" s="9" t="n">
        <v>27438.20000000001</v>
      </c>
      <c r="DG311" s="10" t="n">
        <v>46287</v>
      </c>
      <c r="DI311" s="9" t="n">
        <v>0</v>
      </c>
      <c r="DK311" s="9" t="n">
        <v>0</v>
      </c>
      <c r="DL311" s="9" t="n">
        <v>18782.29999999998</v>
      </c>
      <c r="DP311" s="10" t="n">
        <v>46287</v>
      </c>
      <c r="DR311" s="9" t="n">
        <v>0</v>
      </c>
      <c r="DT311" s="9" t="n">
        <v>0</v>
      </c>
      <c r="DU311" s="9" t="n">
        <v>5800</v>
      </c>
      <c r="DY311" s="10" t="n">
        <v>46287</v>
      </c>
      <c r="EA311" s="9" t="n">
        <v>0</v>
      </c>
      <c r="EC311" s="9" t="n">
        <v>0</v>
      </c>
      <c r="ED311" s="9" t="n">
        <v>0</v>
      </c>
      <c r="EH311" s="10" t="n">
        <v>46287</v>
      </c>
      <c r="EJ311" s="9" t="n">
        <v>0</v>
      </c>
      <c r="EL311" s="9" t="n">
        <v>0</v>
      </c>
      <c r="EM311" s="9" t="n">
        <v>0</v>
      </c>
      <c r="EQ311" s="10" t="n">
        <v>46287</v>
      </c>
      <c r="ES311" s="9" t="n">
        <v>0</v>
      </c>
      <c r="EU311" s="9" t="n">
        <v>0</v>
      </c>
      <c r="EV311" s="9" t="n">
        <v>0</v>
      </c>
      <c r="EZ311" s="10" t="n">
        <v>46287</v>
      </c>
      <c r="FB311" s="9" t="n">
        <v>0</v>
      </c>
      <c r="FD311" s="9" t="n">
        <v>0</v>
      </c>
      <c r="FE311" s="9" t="n">
        <v>0</v>
      </c>
      <c r="FI311" s="10" t="n">
        <v>46287</v>
      </c>
      <c r="FK311" s="9" t="n">
        <v>0</v>
      </c>
      <c r="FM311" s="9" t="n">
        <v>0</v>
      </c>
      <c r="FN311" s="9" t="n">
        <v>0</v>
      </c>
      <c r="FR311" s="10" t="n">
        <v>46287</v>
      </c>
      <c r="FT311" s="9" t="n">
        <v>0</v>
      </c>
      <c r="FV311" s="9" t="n">
        <v>0</v>
      </c>
      <c r="FW311" s="9" t="n">
        <v>2020</v>
      </c>
      <c r="GA311" s="10" t="n">
        <v>46287</v>
      </c>
      <c r="GC311" s="9" t="n">
        <v>0</v>
      </c>
      <c r="GE311" s="9" t="n">
        <v>0</v>
      </c>
      <c r="GF311" s="9" t="n">
        <v>960</v>
      </c>
      <c r="GJ311" s="10" t="n">
        <v>46287</v>
      </c>
      <c r="GL311" s="9" t="n">
        <v>0</v>
      </c>
      <c r="GN311" s="9" t="n">
        <v>0</v>
      </c>
      <c r="GO311" s="9" t="n">
        <v>1760</v>
      </c>
      <c r="GS311" s="10" t="n">
        <v>46287</v>
      </c>
      <c r="GU311" s="9" t="n">
        <v>0</v>
      </c>
      <c r="GW311" s="9" t="n">
        <v>0</v>
      </c>
      <c r="GX311" s="9" t="n">
        <v>400</v>
      </c>
      <c r="HB311" s="10" t="n">
        <v>46287</v>
      </c>
      <c r="HD311" s="9" t="n">
        <v>0</v>
      </c>
      <c r="HF311" s="9" t="n">
        <v>0</v>
      </c>
      <c r="HG311" s="9" t="n">
        <v>3600</v>
      </c>
      <c r="HK311" s="10" t="n">
        <v>46287</v>
      </c>
      <c r="HM311" s="9" t="n">
        <v>0</v>
      </c>
      <c r="HO311" s="9" t="n">
        <v>0</v>
      </c>
      <c r="HP311" s="9" t="n">
        <v>0</v>
      </c>
      <c r="HU311" s="10" t="n">
        <v>46287</v>
      </c>
      <c r="HW311" s="9" t="n">
        <v>0</v>
      </c>
      <c r="HY311" s="9" t="n">
        <v>0</v>
      </c>
      <c r="HZ311" s="9" t="n">
        <v>6120</v>
      </c>
      <c r="ID311" s="10" t="n">
        <v>46287</v>
      </c>
      <c r="IF311" s="9" t="n">
        <v>0</v>
      </c>
      <c r="IH311" s="9" t="n">
        <v>0</v>
      </c>
      <c r="II311" s="9" t="n">
        <v>0</v>
      </c>
      <c r="IM311" s="10" t="n">
        <v>46287</v>
      </c>
      <c r="IO311" s="9" t="n">
        <v>0</v>
      </c>
      <c r="IQ311" s="9" t="n">
        <v>0</v>
      </c>
      <c r="IR311" s="9" t="n">
        <v>0</v>
      </c>
      <c r="IV311" s="10" t="n">
        <v>46287</v>
      </c>
      <c r="IX311" s="9" t="n">
        <v>0</v>
      </c>
      <c r="IZ311" s="9" t="n">
        <v>0</v>
      </c>
      <c r="JA311" s="9" t="n">
        <v>2820</v>
      </c>
      <c r="JE311" s="10" t="n">
        <v>46287</v>
      </c>
      <c r="JG311" s="9" t="n">
        <v>0</v>
      </c>
      <c r="JI311" s="9" t="n">
        <v>0</v>
      </c>
      <c r="JJ311" s="9" t="n">
        <v>0</v>
      </c>
      <c r="JN311" s="10" t="n">
        <v>46287</v>
      </c>
      <c r="JP311" s="9" t="n">
        <v>0</v>
      </c>
      <c r="JR311" s="9" t="n">
        <v>0</v>
      </c>
      <c r="JS311" s="9" t="n">
        <v>0</v>
      </c>
      <c r="JW311" s="10" t="n">
        <v>46287</v>
      </c>
      <c r="JY311" s="9" t="n">
        <v>0</v>
      </c>
      <c r="KA311" s="9" t="n">
        <v>0</v>
      </c>
      <c r="KB311" s="9" t="n">
        <v>2540</v>
      </c>
      <c r="KF311" s="10" t="n">
        <v>46287</v>
      </c>
      <c r="KH311" s="9" t="n">
        <v>0</v>
      </c>
      <c r="KJ311" s="9" t="n">
        <v>0</v>
      </c>
      <c r="KK311" s="9" t="n">
        <v>2359.5</v>
      </c>
      <c r="KO311" s="10" t="n">
        <v>46287</v>
      </c>
      <c r="KQ311" s="9" t="n">
        <v>0</v>
      </c>
      <c r="KS311" s="9" t="n">
        <v>0</v>
      </c>
      <c r="KT311" s="9" t="n">
        <v>1890</v>
      </c>
      <c r="KX311" s="10" t="n">
        <v>46287</v>
      </c>
      <c r="KZ311" s="9" t="n">
        <v>0</v>
      </c>
      <c r="LB311" s="9" t="n">
        <v>0</v>
      </c>
      <c r="LC311" s="9" t="n">
        <v>3690</v>
      </c>
      <c r="LG311" s="10" t="n">
        <v>46287</v>
      </c>
      <c r="LI311" s="9" t="n">
        <v>0</v>
      </c>
      <c r="LK311" s="9" t="n">
        <v>0</v>
      </c>
      <c r="LL311" s="9" t="n">
        <v>4000</v>
      </c>
      <c r="LP311" s="10" t="n">
        <v>46287</v>
      </c>
      <c r="LR311" s="9" t="n">
        <v>0</v>
      </c>
      <c r="LT311" s="9" t="n">
        <v>0</v>
      </c>
      <c r="LU311" s="9" t="n">
        <v>0</v>
      </c>
      <c r="LY311" s="10" t="n">
        <v>46287</v>
      </c>
      <c r="MA311" s="9" t="n">
        <v>0</v>
      </c>
      <c r="MC311" s="9" t="n">
        <v>0</v>
      </c>
      <c r="MD311" s="9" t="n">
        <v>0</v>
      </c>
      <c r="MH311" s="10" t="n">
        <v>46287</v>
      </c>
      <c r="MJ311" s="9" t="n">
        <v>0</v>
      </c>
      <c r="ML311" s="9" t="n">
        <v>0</v>
      </c>
      <c r="MM311" s="9" t="n">
        <v>0</v>
      </c>
      <c r="MQ311" s="10" t="n">
        <v>46287</v>
      </c>
      <c r="MS311" s="9" t="n">
        <v>0</v>
      </c>
      <c r="MU311" s="9" t="n">
        <v>0</v>
      </c>
      <c r="MV311" s="9" t="n">
        <v>1625</v>
      </c>
      <c r="MZ311" s="10" t="n">
        <v>46287</v>
      </c>
      <c r="NB311" s="9" t="n">
        <v>0</v>
      </c>
      <c r="ND311" s="9" t="n">
        <v>0</v>
      </c>
      <c r="NE311" s="9" t="n">
        <v>0</v>
      </c>
      <c r="NI311" s="10" t="n">
        <v>46287</v>
      </c>
      <c r="NK311" s="9" t="n">
        <v>0</v>
      </c>
      <c r="NM311" s="9" t="n">
        <v>0</v>
      </c>
      <c r="NN311" s="9" t="n">
        <v>1127</v>
      </c>
      <c r="NR311" s="10" t="n">
        <v>46287</v>
      </c>
      <c r="NT311" s="9" t="n">
        <v>0</v>
      </c>
      <c r="NV311" s="9" t="n">
        <v>0</v>
      </c>
      <c r="NW311" s="9" t="n">
        <v>3112</v>
      </c>
      <c r="OA311" s="10" t="n">
        <v>46287</v>
      </c>
      <c r="OC311" s="9" t="n">
        <v>0</v>
      </c>
      <c r="OE311" s="9" t="n">
        <v>0</v>
      </c>
      <c r="OF311" s="9" t="n">
        <v>1680.5</v>
      </c>
      <c r="OJ311" s="10" t="n">
        <v>46287</v>
      </c>
      <c r="OL311" s="9" t="n">
        <v>0</v>
      </c>
      <c r="ON311" s="9" t="n">
        <v>0</v>
      </c>
      <c r="OO311" s="9" t="n">
        <v>0</v>
      </c>
      <c r="OS311" s="10" t="n">
        <v>46287</v>
      </c>
      <c r="OU311" s="9" t="n">
        <v>0</v>
      </c>
      <c r="OW311" s="9" t="n">
        <v>0</v>
      </c>
      <c r="OX311" s="9" t="n">
        <v>1482</v>
      </c>
      <c r="PB311" s="10" t="n">
        <v>46287</v>
      </c>
      <c r="PD311" s="9" t="n">
        <v>0</v>
      </c>
      <c r="PF311" s="9" t="n">
        <v>0</v>
      </c>
      <c r="PG311" s="9" t="n">
        <v>0</v>
      </c>
      <c r="PK311" s="10" t="n">
        <v>46287</v>
      </c>
      <c r="PM311" s="9" t="n">
        <v>0</v>
      </c>
      <c r="PO311" s="9" t="n">
        <v>0</v>
      </c>
      <c r="PP311" s="9" t="n">
        <v>100</v>
      </c>
      <c r="PT311" s="10" t="n">
        <v>46287</v>
      </c>
      <c r="PV311" s="9" t="n">
        <v>0</v>
      </c>
      <c r="PX311" s="9" t="n">
        <v>0</v>
      </c>
      <c r="PY311" s="9" t="n">
        <v>13.96000000000004</v>
      </c>
      <c r="QC311" s="10" t="n">
        <v>46287</v>
      </c>
      <c r="QE311" s="9" t="n">
        <v>0</v>
      </c>
      <c r="QG311" s="9" t="n">
        <v>0</v>
      </c>
      <c r="QH311" s="9" t="n">
        <v>548</v>
      </c>
      <c r="QL311" s="10" t="n">
        <v>46287</v>
      </c>
      <c r="QN311" s="9" t="n">
        <v>0</v>
      </c>
      <c r="QP311" s="9" t="n">
        <v>0</v>
      </c>
      <c r="QQ311" s="9" t="n">
        <v>0</v>
      </c>
      <c r="QU311" s="10" t="n">
        <v>46287</v>
      </c>
      <c r="QW311" s="9" t="n">
        <v>0</v>
      </c>
      <c r="QY311" s="9" t="n">
        <v>0</v>
      </c>
      <c r="QZ311" s="9" t="n">
        <v>0</v>
      </c>
      <c r="RD311" s="10" t="n">
        <v>46287</v>
      </c>
      <c r="RF311" s="9" t="n">
        <v>0</v>
      </c>
      <c r="RH311" s="9" t="n">
        <v>0</v>
      </c>
      <c r="RI311" s="9" t="n">
        <v>147.04</v>
      </c>
      <c r="RM311" s="10" t="n">
        <v>46287</v>
      </c>
      <c r="RO311" s="9" t="n">
        <v>0</v>
      </c>
      <c r="RQ311" s="9" t="n">
        <v>0</v>
      </c>
      <c r="RR311" s="9" t="n">
        <v>46.8</v>
      </c>
      <c r="RV311" s="10" t="n">
        <v>46287</v>
      </c>
      <c r="RX311" s="9" t="n">
        <v>0</v>
      </c>
      <c r="RZ311" s="9" t="n">
        <v>0</v>
      </c>
      <c r="SA311" s="9" t="n">
        <v>0</v>
      </c>
      <c r="SE311" s="10" t="n">
        <v>46287</v>
      </c>
      <c r="SG311" s="9" t="n">
        <v>0</v>
      </c>
      <c r="SI311" s="9" t="n">
        <v>0</v>
      </c>
      <c r="SJ311" s="9" t="n">
        <v>24.2</v>
      </c>
      <c r="SN311" s="10" t="n">
        <v>46287</v>
      </c>
      <c r="SP311" s="9" t="n">
        <v>0</v>
      </c>
      <c r="SR311" s="9" t="n">
        <v>0</v>
      </c>
      <c r="SS311" s="9" t="n">
        <v>32</v>
      </c>
      <c r="SW311" s="10" t="n">
        <v>46287</v>
      </c>
      <c r="SY311" s="9" t="n">
        <v>0</v>
      </c>
      <c r="TA311" s="9" t="n">
        <v>0</v>
      </c>
      <c r="TB311" s="9" t="n">
        <v>0</v>
      </c>
      <c r="TF311" s="10" t="n">
        <v>46287</v>
      </c>
      <c r="TH311" s="9" t="n">
        <v>0</v>
      </c>
      <c r="TJ311" s="9" t="n">
        <v>0</v>
      </c>
      <c r="TK311" s="9" t="n">
        <v>0</v>
      </c>
      <c r="TO311" s="10" t="n">
        <v>46287</v>
      </c>
      <c r="TQ311" s="9" t="n">
        <v>0</v>
      </c>
      <c r="TS311" s="9" t="n">
        <v>0</v>
      </c>
      <c r="TT311" s="9" t="n">
        <v>0</v>
      </c>
      <c r="TX311" s="10" t="n">
        <v>46287</v>
      </c>
      <c r="TZ311" s="9" t="n">
        <v>0</v>
      </c>
      <c r="UB311" s="9" t="n">
        <v>0</v>
      </c>
      <c r="UC311" s="9" t="n">
        <v>46.79999999999998</v>
      </c>
      <c r="UG311" s="10" t="n">
        <v>46287</v>
      </c>
      <c r="UI311" s="9" t="n">
        <v>0</v>
      </c>
      <c r="UK311" s="9" t="n">
        <v>0</v>
      </c>
      <c r="UL311" s="9" t="n">
        <v>204</v>
      </c>
      <c r="UP311" s="10" t="n">
        <v>46287</v>
      </c>
      <c r="UR311" s="9" t="n">
        <v>0</v>
      </c>
      <c r="UT311" s="9" t="n">
        <v>0</v>
      </c>
      <c r="UU311" s="9" t="n">
        <v>202.5</v>
      </c>
      <c r="UY311" s="10" t="n">
        <v>46287</v>
      </c>
      <c r="VA311" s="9" t="n">
        <v>0</v>
      </c>
      <c r="VC311" s="9" t="n">
        <v>0</v>
      </c>
      <c r="VD311" s="9" t="n">
        <v>41.60000000000002</v>
      </c>
      <c r="VH311" s="10" t="n">
        <v>46287</v>
      </c>
      <c r="VJ311" s="9" t="n">
        <v>0</v>
      </c>
      <c r="VL311" s="9" t="n">
        <v>0</v>
      </c>
      <c r="VM311" s="9" t="n">
        <v>210</v>
      </c>
      <c r="VQ311" s="10" t="n">
        <v>46287</v>
      </c>
      <c r="VS311" s="9" t="n">
        <v>0</v>
      </c>
      <c r="VU311" s="9" t="n">
        <v>0</v>
      </c>
      <c r="VV311" s="9" t="n">
        <v>0</v>
      </c>
      <c r="VZ311" s="10" t="n">
        <v>46287</v>
      </c>
      <c r="WB311" s="9" t="n">
        <v>0</v>
      </c>
      <c r="WD311" s="9" t="n">
        <v>0</v>
      </c>
      <c r="WE311" s="9" t="n">
        <v>0</v>
      </c>
      <c r="WI311" s="10" t="n">
        <v>46287</v>
      </c>
      <c r="WK311" s="9" t="n">
        <v>0</v>
      </c>
      <c r="WM311" s="9" t="n">
        <v>0</v>
      </c>
      <c r="WN311" s="9" t="n">
        <v>1057</v>
      </c>
      <c r="WR311" s="10" t="n">
        <v>46287</v>
      </c>
      <c r="WT311" s="9" t="n">
        <v>0</v>
      </c>
      <c r="WV311" s="9" t="n">
        <v>0</v>
      </c>
      <c r="WW311" s="9" t="n">
        <v>0</v>
      </c>
      <c r="XA311" s="10" t="n">
        <v>46287</v>
      </c>
      <c r="XC311" s="9" t="n">
        <v>0</v>
      </c>
      <c r="XE311" s="9" t="n">
        <v>0</v>
      </c>
      <c r="XF311" s="9" t="n">
        <v>7507</v>
      </c>
      <c r="XJ311" s="10" t="n">
        <v>46287</v>
      </c>
      <c r="XL311" s="9" t="n">
        <v>0</v>
      </c>
      <c r="XN311" s="9" t="n">
        <v>0</v>
      </c>
      <c r="XO311" s="9" t="n">
        <v>4252</v>
      </c>
      <c r="XS311" s="10" t="n">
        <v>46287</v>
      </c>
      <c r="XU311" s="9" t="n">
        <v>0</v>
      </c>
      <c r="XW311" s="9" t="n">
        <v>0</v>
      </c>
      <c r="XX311" s="9" t="n">
        <v>2179</v>
      </c>
      <c r="YB311" s="10" t="n">
        <v>46287</v>
      </c>
      <c r="YD311" s="9" t="n">
        <v>0</v>
      </c>
      <c r="YF311" s="9" t="n">
        <v>0</v>
      </c>
      <c r="YG311" s="9" t="n">
        <v>4019</v>
      </c>
      <c r="YK311" s="10" t="n">
        <v>46287</v>
      </c>
      <c r="YM311" s="9" t="n">
        <v>0</v>
      </c>
      <c r="YO311" s="9" t="n">
        <v>0</v>
      </c>
      <c r="YP311" s="9" t="n">
        <v>-218</v>
      </c>
      <c r="YT311" s="10" t="n">
        <v>46287</v>
      </c>
      <c r="YV311" s="9" t="n">
        <v>0</v>
      </c>
      <c r="YX311" s="9" t="n">
        <v>0</v>
      </c>
      <c r="YY311" s="9" t="n">
        <v>0</v>
      </c>
      <c r="ZC311" s="10" t="n">
        <v>46287</v>
      </c>
      <c r="ZE311" s="9" t="n">
        <v>0</v>
      </c>
      <c r="ZG311" s="9" t="n">
        <v>0</v>
      </c>
      <c r="ZH311" s="9" t="n">
        <v>0</v>
      </c>
      <c r="ZL311" s="10" t="n">
        <v>46287</v>
      </c>
      <c r="ZN311" s="9" t="n">
        <v>0</v>
      </c>
      <c r="ZP311" s="9" t="n">
        <v>0</v>
      </c>
      <c r="ZQ311" s="9" t="n">
        <v>0</v>
      </c>
      <c r="ZU311" s="10" t="n">
        <v>46287</v>
      </c>
      <c r="ZW311" s="9" t="n">
        <v>0</v>
      </c>
      <c r="ZY311" s="9" t="n">
        <v>0</v>
      </c>
      <c r="ZZ311" s="9" t="n">
        <v>0</v>
      </c>
      <c r="AAD311" s="10" t="n">
        <v>46287</v>
      </c>
      <c r="AAF311" s="9" t="n">
        <v>0</v>
      </c>
      <c r="AAH311" s="9" t="n">
        <v>0</v>
      </c>
      <c r="AAI311" s="9" t="n">
        <v>0</v>
      </c>
      <c r="AAM311" s="10" t="n">
        <v>46287</v>
      </c>
      <c r="AAO311" s="9" t="n">
        <v>0</v>
      </c>
      <c r="AAQ311" s="9" t="n">
        <v>0</v>
      </c>
      <c r="AAR311" s="9" t="n">
        <v>0</v>
      </c>
      <c r="AAV311" s="10" t="n">
        <v>46287</v>
      </c>
      <c r="AAX311" s="9" t="n">
        <v>0</v>
      </c>
      <c r="AAZ311" s="9" t="n">
        <v>0</v>
      </c>
      <c r="ABA311" s="9" t="n">
        <v>0</v>
      </c>
      <c r="ABE311" s="10" t="n">
        <v>46287</v>
      </c>
      <c r="ABG311" s="9" t="n">
        <v>0</v>
      </c>
      <c r="ABI311" s="9" t="n">
        <v>0</v>
      </c>
      <c r="ABJ311" s="9" t="n">
        <v>0</v>
      </c>
    </row>
    <row r="312">
      <c r="C312" s="10" t="n">
        <v>46288</v>
      </c>
      <c r="E312" s="9" t="n">
        <v>0</v>
      </c>
      <c r="G312" s="9" t="n">
        <v>0</v>
      </c>
      <c r="H312" s="9" t="n">
        <v>236936.6</v>
      </c>
      <c r="L312" s="10" t="n">
        <v>46288</v>
      </c>
      <c r="N312" s="9" t="n">
        <v>0</v>
      </c>
      <c r="P312" s="9" t="n">
        <v>0</v>
      </c>
      <c r="Q312" s="9" t="n">
        <v>53017.60000000007</v>
      </c>
      <c r="U312" s="10" t="n">
        <v>46288</v>
      </c>
      <c r="W312" s="9" t="n">
        <v>0</v>
      </c>
      <c r="Y312" s="9" t="n">
        <v>0</v>
      </c>
      <c r="Z312" s="9" t="n">
        <v>42674.19999999997</v>
      </c>
      <c r="AD312" s="10" t="n">
        <v>46288</v>
      </c>
      <c r="AF312" s="9" t="n">
        <v>0</v>
      </c>
      <c r="AH312" s="9" t="n">
        <v>0</v>
      </c>
      <c r="AI312" s="9" t="n">
        <v>4522.200000000019</v>
      </c>
      <c r="AM312" s="10" t="n">
        <v>46288</v>
      </c>
      <c r="AO312" s="9" t="n">
        <v>0</v>
      </c>
      <c r="AQ312" s="9" t="n">
        <v>0</v>
      </c>
      <c r="AR312" s="9" t="n">
        <v>0</v>
      </c>
      <c r="AV312" s="10" t="n">
        <v>46288</v>
      </c>
      <c r="AX312" s="9" t="n">
        <v>0</v>
      </c>
      <c r="AZ312" s="9" t="n">
        <v>0</v>
      </c>
      <c r="BA312" s="9" t="n">
        <v>124.9999999999952</v>
      </c>
      <c r="BE312" s="10" t="n">
        <v>46288</v>
      </c>
      <c r="BG312" s="9" t="n">
        <v>0</v>
      </c>
      <c r="BI312" s="9" t="n">
        <v>0</v>
      </c>
      <c r="BJ312" s="9" t="n">
        <v>26151.9</v>
      </c>
      <c r="BN312" s="10" t="n">
        <v>46288</v>
      </c>
      <c r="BP312" s="9" t="n">
        <v>0</v>
      </c>
      <c r="BR312" s="9" t="n">
        <v>0</v>
      </c>
      <c r="BS312" s="9" t="n">
        <v>0</v>
      </c>
      <c r="BW312" s="10" t="n">
        <v>46288</v>
      </c>
      <c r="BY312" s="9" t="n">
        <v>0</v>
      </c>
      <c r="CA312" s="9" t="n">
        <v>0</v>
      </c>
      <c r="CB312" s="9" t="n">
        <v>2097.339999999999</v>
      </c>
      <c r="CF312" s="10" t="n">
        <v>46288</v>
      </c>
      <c r="CH312" s="9" t="n">
        <v>0</v>
      </c>
      <c r="CJ312" s="9" t="n">
        <v>0</v>
      </c>
      <c r="CK312" s="9" t="n">
        <v>-10277.08</v>
      </c>
      <c r="CO312" s="10" t="n">
        <v>46288</v>
      </c>
      <c r="CQ312" s="9" t="n">
        <v>0</v>
      </c>
      <c r="CS312" s="9" t="n">
        <v>0</v>
      </c>
      <c r="CT312" s="9" t="n">
        <v>0</v>
      </c>
      <c r="CX312" s="10" t="n">
        <v>46288</v>
      </c>
      <c r="CZ312" s="9" t="n">
        <v>0</v>
      </c>
      <c r="DB312" s="9" t="n">
        <v>0</v>
      </c>
      <c r="DC312" s="9" t="n">
        <v>27438.20000000001</v>
      </c>
      <c r="DG312" s="10" t="n">
        <v>46288</v>
      </c>
      <c r="DI312" s="9" t="n">
        <v>0</v>
      </c>
      <c r="DK312" s="9" t="n">
        <v>0</v>
      </c>
      <c r="DL312" s="9" t="n">
        <v>18782.29999999998</v>
      </c>
      <c r="DP312" s="10" t="n">
        <v>46288</v>
      </c>
      <c r="DR312" s="9" t="n">
        <v>0</v>
      </c>
      <c r="DT312" s="9" t="n">
        <v>0</v>
      </c>
      <c r="DU312" s="9" t="n">
        <v>5800</v>
      </c>
      <c r="DY312" s="10" t="n">
        <v>46288</v>
      </c>
      <c r="EA312" s="9" t="n">
        <v>0</v>
      </c>
      <c r="EC312" s="9" t="n">
        <v>0</v>
      </c>
      <c r="ED312" s="9" t="n">
        <v>0</v>
      </c>
      <c r="EH312" s="10" t="n">
        <v>46288</v>
      </c>
      <c r="EJ312" s="9" t="n">
        <v>0</v>
      </c>
      <c r="EL312" s="9" t="n">
        <v>0</v>
      </c>
      <c r="EM312" s="9" t="n">
        <v>0</v>
      </c>
      <c r="EQ312" s="10" t="n">
        <v>46288</v>
      </c>
      <c r="ES312" s="9" t="n">
        <v>0</v>
      </c>
      <c r="EU312" s="9" t="n">
        <v>0</v>
      </c>
      <c r="EV312" s="9" t="n">
        <v>0</v>
      </c>
      <c r="EZ312" s="10" t="n">
        <v>46288</v>
      </c>
      <c r="FB312" s="9" t="n">
        <v>0</v>
      </c>
      <c r="FD312" s="9" t="n">
        <v>0</v>
      </c>
      <c r="FE312" s="9" t="n">
        <v>0</v>
      </c>
      <c r="FI312" s="10" t="n">
        <v>46288</v>
      </c>
      <c r="FK312" s="9" t="n">
        <v>0</v>
      </c>
      <c r="FM312" s="9" t="n">
        <v>0</v>
      </c>
      <c r="FN312" s="9" t="n">
        <v>0</v>
      </c>
      <c r="FR312" s="10" t="n">
        <v>46288</v>
      </c>
      <c r="FT312" s="9" t="n">
        <v>0</v>
      </c>
      <c r="FV312" s="9" t="n">
        <v>0</v>
      </c>
      <c r="FW312" s="9" t="n">
        <v>2020</v>
      </c>
      <c r="GA312" s="10" t="n">
        <v>46288</v>
      </c>
      <c r="GC312" s="9" t="n">
        <v>0</v>
      </c>
      <c r="GE312" s="9" t="n">
        <v>0</v>
      </c>
      <c r="GF312" s="9" t="n">
        <v>960</v>
      </c>
      <c r="GJ312" s="10" t="n">
        <v>46288</v>
      </c>
      <c r="GL312" s="9" t="n">
        <v>0</v>
      </c>
      <c r="GN312" s="9" t="n">
        <v>0</v>
      </c>
      <c r="GO312" s="9" t="n">
        <v>1760</v>
      </c>
      <c r="GS312" s="10" t="n">
        <v>46288</v>
      </c>
      <c r="GU312" s="9" t="n">
        <v>0</v>
      </c>
      <c r="GW312" s="9" t="n">
        <v>0</v>
      </c>
      <c r="GX312" s="9" t="n">
        <v>400</v>
      </c>
      <c r="HB312" s="10" t="n">
        <v>46288</v>
      </c>
      <c r="HD312" s="9" t="n">
        <v>0</v>
      </c>
      <c r="HF312" s="9" t="n">
        <v>0</v>
      </c>
      <c r="HG312" s="9" t="n">
        <v>3600</v>
      </c>
      <c r="HK312" s="10" t="n">
        <v>46288</v>
      </c>
      <c r="HM312" s="9" t="n">
        <v>0</v>
      </c>
      <c r="HO312" s="9" t="n">
        <v>0</v>
      </c>
      <c r="HP312" s="9" t="n">
        <v>0</v>
      </c>
      <c r="HU312" s="10" t="n">
        <v>46288</v>
      </c>
      <c r="HW312" s="9" t="n">
        <v>0</v>
      </c>
      <c r="HY312" s="9" t="n">
        <v>0</v>
      </c>
      <c r="HZ312" s="9" t="n">
        <v>6120</v>
      </c>
      <c r="ID312" s="10" t="n">
        <v>46288</v>
      </c>
      <c r="IF312" s="9" t="n">
        <v>0</v>
      </c>
      <c r="IH312" s="9" t="n">
        <v>0</v>
      </c>
      <c r="II312" s="9" t="n">
        <v>0</v>
      </c>
      <c r="IM312" s="10" t="n">
        <v>46288</v>
      </c>
      <c r="IO312" s="9" t="n">
        <v>0</v>
      </c>
      <c r="IQ312" s="9" t="n">
        <v>0</v>
      </c>
      <c r="IR312" s="9" t="n">
        <v>0</v>
      </c>
      <c r="IV312" s="10" t="n">
        <v>46288</v>
      </c>
      <c r="IX312" s="9" t="n">
        <v>0</v>
      </c>
      <c r="IZ312" s="9" t="n">
        <v>0</v>
      </c>
      <c r="JA312" s="9" t="n">
        <v>2820</v>
      </c>
      <c r="JE312" s="10" t="n">
        <v>46288</v>
      </c>
      <c r="JG312" s="9" t="n">
        <v>0</v>
      </c>
      <c r="JI312" s="9" t="n">
        <v>0</v>
      </c>
      <c r="JJ312" s="9" t="n">
        <v>0</v>
      </c>
      <c r="JN312" s="10" t="n">
        <v>46288</v>
      </c>
      <c r="JP312" s="9" t="n">
        <v>0</v>
      </c>
      <c r="JR312" s="9" t="n">
        <v>0</v>
      </c>
      <c r="JS312" s="9" t="n">
        <v>0</v>
      </c>
      <c r="JW312" s="10" t="n">
        <v>46288</v>
      </c>
      <c r="JY312" s="9" t="n">
        <v>0</v>
      </c>
      <c r="KA312" s="9" t="n">
        <v>0</v>
      </c>
      <c r="KB312" s="9" t="n">
        <v>2540</v>
      </c>
      <c r="KF312" s="10" t="n">
        <v>46288</v>
      </c>
      <c r="KH312" s="9" t="n">
        <v>0</v>
      </c>
      <c r="KJ312" s="9" t="n">
        <v>0</v>
      </c>
      <c r="KK312" s="9" t="n">
        <v>2359.5</v>
      </c>
      <c r="KO312" s="10" t="n">
        <v>46288</v>
      </c>
      <c r="KQ312" s="9" t="n">
        <v>0</v>
      </c>
      <c r="KS312" s="9" t="n">
        <v>0</v>
      </c>
      <c r="KT312" s="9" t="n">
        <v>1890</v>
      </c>
      <c r="KX312" s="10" t="n">
        <v>46288</v>
      </c>
      <c r="KZ312" s="9" t="n">
        <v>0</v>
      </c>
      <c r="LB312" s="9" t="n">
        <v>0</v>
      </c>
      <c r="LC312" s="9" t="n">
        <v>3690</v>
      </c>
      <c r="LG312" s="10" t="n">
        <v>46288</v>
      </c>
      <c r="LI312" s="9" t="n">
        <v>0</v>
      </c>
      <c r="LK312" s="9" t="n">
        <v>0</v>
      </c>
      <c r="LL312" s="9" t="n">
        <v>4000</v>
      </c>
      <c r="LP312" s="10" t="n">
        <v>46288</v>
      </c>
      <c r="LR312" s="9" t="n">
        <v>0</v>
      </c>
      <c r="LT312" s="9" t="n">
        <v>0</v>
      </c>
      <c r="LU312" s="9" t="n">
        <v>0</v>
      </c>
      <c r="LY312" s="10" t="n">
        <v>46288</v>
      </c>
      <c r="MA312" s="9" t="n">
        <v>0</v>
      </c>
      <c r="MC312" s="9" t="n">
        <v>0</v>
      </c>
      <c r="MD312" s="9" t="n">
        <v>0</v>
      </c>
      <c r="MH312" s="10" t="n">
        <v>46288</v>
      </c>
      <c r="MJ312" s="9" t="n">
        <v>0</v>
      </c>
      <c r="ML312" s="9" t="n">
        <v>0</v>
      </c>
      <c r="MM312" s="9" t="n">
        <v>0</v>
      </c>
      <c r="MQ312" s="10" t="n">
        <v>46288</v>
      </c>
      <c r="MS312" s="9" t="n">
        <v>0</v>
      </c>
      <c r="MU312" s="9" t="n">
        <v>0</v>
      </c>
      <c r="MV312" s="9" t="n">
        <v>1625</v>
      </c>
      <c r="MZ312" s="10" t="n">
        <v>46288</v>
      </c>
      <c r="NB312" s="9" t="n">
        <v>0</v>
      </c>
      <c r="ND312" s="9" t="n">
        <v>0</v>
      </c>
      <c r="NE312" s="9" t="n">
        <v>0</v>
      </c>
      <c r="NI312" s="10" t="n">
        <v>46288</v>
      </c>
      <c r="NK312" s="9" t="n">
        <v>0</v>
      </c>
      <c r="NM312" s="9" t="n">
        <v>0</v>
      </c>
      <c r="NN312" s="9" t="n">
        <v>1127</v>
      </c>
      <c r="NR312" s="10" t="n">
        <v>46288</v>
      </c>
      <c r="NT312" s="9" t="n">
        <v>0</v>
      </c>
      <c r="NV312" s="9" t="n">
        <v>0</v>
      </c>
      <c r="NW312" s="9" t="n">
        <v>3112</v>
      </c>
      <c r="OA312" s="10" t="n">
        <v>46288</v>
      </c>
      <c r="OC312" s="9" t="n">
        <v>0</v>
      </c>
      <c r="OE312" s="9" t="n">
        <v>0</v>
      </c>
      <c r="OF312" s="9" t="n">
        <v>1680.5</v>
      </c>
      <c r="OJ312" s="10" t="n">
        <v>46288</v>
      </c>
      <c r="OL312" s="9" t="n">
        <v>0</v>
      </c>
      <c r="ON312" s="9" t="n">
        <v>0</v>
      </c>
      <c r="OO312" s="9" t="n">
        <v>0</v>
      </c>
      <c r="OS312" s="10" t="n">
        <v>46288</v>
      </c>
      <c r="OU312" s="9" t="n">
        <v>0</v>
      </c>
      <c r="OW312" s="9" t="n">
        <v>0</v>
      </c>
      <c r="OX312" s="9" t="n">
        <v>1482</v>
      </c>
      <c r="PB312" s="10" t="n">
        <v>46288</v>
      </c>
      <c r="PD312" s="9" t="n">
        <v>0</v>
      </c>
      <c r="PF312" s="9" t="n">
        <v>0</v>
      </c>
      <c r="PG312" s="9" t="n">
        <v>0</v>
      </c>
      <c r="PK312" s="10" t="n">
        <v>46288</v>
      </c>
      <c r="PM312" s="9" t="n">
        <v>0</v>
      </c>
      <c r="PO312" s="9" t="n">
        <v>0</v>
      </c>
      <c r="PP312" s="9" t="n">
        <v>100</v>
      </c>
      <c r="PT312" s="10" t="n">
        <v>46288</v>
      </c>
      <c r="PV312" s="9" t="n">
        <v>0</v>
      </c>
      <c r="PX312" s="9" t="n">
        <v>0</v>
      </c>
      <c r="PY312" s="9" t="n">
        <v>13.96000000000004</v>
      </c>
      <c r="QC312" s="10" t="n">
        <v>46288</v>
      </c>
      <c r="QE312" s="9" t="n">
        <v>0</v>
      </c>
      <c r="QG312" s="9" t="n">
        <v>0</v>
      </c>
      <c r="QH312" s="9" t="n">
        <v>548</v>
      </c>
      <c r="QL312" s="10" t="n">
        <v>46288</v>
      </c>
      <c r="QN312" s="9" t="n">
        <v>0</v>
      </c>
      <c r="QP312" s="9" t="n">
        <v>0</v>
      </c>
      <c r="QQ312" s="9" t="n">
        <v>0</v>
      </c>
      <c r="QU312" s="10" t="n">
        <v>46288</v>
      </c>
      <c r="QW312" s="9" t="n">
        <v>0</v>
      </c>
      <c r="QY312" s="9" t="n">
        <v>0</v>
      </c>
      <c r="QZ312" s="9" t="n">
        <v>0</v>
      </c>
      <c r="RD312" s="10" t="n">
        <v>46288</v>
      </c>
      <c r="RF312" s="9" t="n">
        <v>0</v>
      </c>
      <c r="RH312" s="9" t="n">
        <v>0</v>
      </c>
      <c r="RI312" s="9" t="n">
        <v>147.04</v>
      </c>
      <c r="RM312" s="10" t="n">
        <v>46288</v>
      </c>
      <c r="RO312" s="9" t="n">
        <v>0</v>
      </c>
      <c r="RQ312" s="9" t="n">
        <v>0</v>
      </c>
      <c r="RR312" s="9" t="n">
        <v>46.8</v>
      </c>
      <c r="RV312" s="10" t="n">
        <v>46288</v>
      </c>
      <c r="RX312" s="9" t="n">
        <v>0</v>
      </c>
      <c r="RZ312" s="9" t="n">
        <v>0</v>
      </c>
      <c r="SA312" s="9" t="n">
        <v>0</v>
      </c>
      <c r="SE312" s="10" t="n">
        <v>46288</v>
      </c>
      <c r="SG312" s="9" t="n">
        <v>0</v>
      </c>
      <c r="SI312" s="9" t="n">
        <v>0</v>
      </c>
      <c r="SJ312" s="9" t="n">
        <v>24.2</v>
      </c>
      <c r="SN312" s="10" t="n">
        <v>46288</v>
      </c>
      <c r="SP312" s="9" t="n">
        <v>0</v>
      </c>
      <c r="SR312" s="9" t="n">
        <v>0</v>
      </c>
      <c r="SS312" s="9" t="n">
        <v>32</v>
      </c>
      <c r="SW312" s="10" t="n">
        <v>46288</v>
      </c>
      <c r="SY312" s="9" t="n">
        <v>0</v>
      </c>
      <c r="TA312" s="9" t="n">
        <v>0</v>
      </c>
      <c r="TB312" s="9" t="n">
        <v>0</v>
      </c>
      <c r="TF312" s="10" t="n">
        <v>46288</v>
      </c>
      <c r="TH312" s="9" t="n">
        <v>0</v>
      </c>
      <c r="TJ312" s="9" t="n">
        <v>0</v>
      </c>
      <c r="TK312" s="9" t="n">
        <v>0</v>
      </c>
      <c r="TO312" s="10" t="n">
        <v>46288</v>
      </c>
      <c r="TQ312" s="9" t="n">
        <v>0</v>
      </c>
      <c r="TS312" s="9" t="n">
        <v>0</v>
      </c>
      <c r="TT312" s="9" t="n">
        <v>0</v>
      </c>
      <c r="TX312" s="10" t="n">
        <v>46288</v>
      </c>
      <c r="TZ312" s="9" t="n">
        <v>0</v>
      </c>
      <c r="UB312" s="9" t="n">
        <v>0</v>
      </c>
      <c r="UC312" s="9" t="n">
        <v>46.79999999999998</v>
      </c>
      <c r="UG312" s="10" t="n">
        <v>46288</v>
      </c>
      <c r="UI312" s="9" t="n">
        <v>0</v>
      </c>
      <c r="UK312" s="9" t="n">
        <v>0</v>
      </c>
      <c r="UL312" s="9" t="n">
        <v>204</v>
      </c>
      <c r="UP312" s="10" t="n">
        <v>46288</v>
      </c>
      <c r="UR312" s="9" t="n">
        <v>0</v>
      </c>
      <c r="UT312" s="9" t="n">
        <v>0</v>
      </c>
      <c r="UU312" s="9" t="n">
        <v>202.5</v>
      </c>
      <c r="UY312" s="10" t="n">
        <v>46288</v>
      </c>
      <c r="VA312" s="9" t="n">
        <v>0</v>
      </c>
      <c r="VC312" s="9" t="n">
        <v>0</v>
      </c>
      <c r="VD312" s="9" t="n">
        <v>41.60000000000002</v>
      </c>
      <c r="VH312" s="10" t="n">
        <v>46288</v>
      </c>
      <c r="VJ312" s="9" t="n">
        <v>0</v>
      </c>
      <c r="VL312" s="9" t="n">
        <v>0</v>
      </c>
      <c r="VM312" s="9" t="n">
        <v>210</v>
      </c>
      <c r="VQ312" s="10" t="n">
        <v>46288</v>
      </c>
      <c r="VS312" s="9" t="n">
        <v>0</v>
      </c>
      <c r="VU312" s="9" t="n">
        <v>0</v>
      </c>
      <c r="VV312" s="9" t="n">
        <v>0</v>
      </c>
      <c r="VZ312" s="10" t="n">
        <v>46288</v>
      </c>
      <c r="WB312" s="9" t="n">
        <v>0</v>
      </c>
      <c r="WD312" s="9" t="n">
        <v>0</v>
      </c>
      <c r="WE312" s="9" t="n">
        <v>0</v>
      </c>
      <c r="WI312" s="10" t="n">
        <v>46288</v>
      </c>
      <c r="WK312" s="9" t="n">
        <v>0</v>
      </c>
      <c r="WM312" s="9" t="n">
        <v>0</v>
      </c>
      <c r="WN312" s="9" t="n">
        <v>1057</v>
      </c>
      <c r="WR312" s="10" t="n">
        <v>46288</v>
      </c>
      <c r="WT312" s="9" t="n">
        <v>0</v>
      </c>
      <c r="WV312" s="9" t="n">
        <v>0</v>
      </c>
      <c r="WW312" s="9" t="n">
        <v>0</v>
      </c>
      <c r="XA312" s="10" t="n">
        <v>46288</v>
      </c>
      <c r="XC312" s="9" t="n">
        <v>0</v>
      </c>
      <c r="XE312" s="9" t="n">
        <v>0</v>
      </c>
      <c r="XF312" s="9" t="n">
        <v>7507</v>
      </c>
      <c r="XJ312" s="10" t="n">
        <v>46288</v>
      </c>
      <c r="XL312" s="9" t="n">
        <v>0</v>
      </c>
      <c r="XN312" s="9" t="n">
        <v>0</v>
      </c>
      <c r="XO312" s="9" t="n">
        <v>4252</v>
      </c>
      <c r="XS312" s="10" t="n">
        <v>46288</v>
      </c>
      <c r="XU312" s="9" t="n">
        <v>0</v>
      </c>
      <c r="XW312" s="9" t="n">
        <v>0</v>
      </c>
      <c r="XX312" s="9" t="n">
        <v>2179</v>
      </c>
      <c r="YB312" s="10" t="n">
        <v>46288</v>
      </c>
      <c r="YD312" s="9" t="n">
        <v>0</v>
      </c>
      <c r="YF312" s="9" t="n">
        <v>0</v>
      </c>
      <c r="YG312" s="9" t="n">
        <v>4019</v>
      </c>
      <c r="YK312" s="10" t="n">
        <v>46288</v>
      </c>
      <c r="YM312" s="9" t="n">
        <v>0</v>
      </c>
      <c r="YO312" s="9" t="n">
        <v>0</v>
      </c>
      <c r="YP312" s="9" t="n">
        <v>-218</v>
      </c>
      <c r="YT312" s="10" t="n">
        <v>46288</v>
      </c>
      <c r="YV312" s="9" t="n">
        <v>0</v>
      </c>
      <c r="YX312" s="9" t="n">
        <v>0</v>
      </c>
      <c r="YY312" s="9" t="n">
        <v>0</v>
      </c>
      <c r="ZC312" s="10" t="n">
        <v>46288</v>
      </c>
      <c r="ZE312" s="9" t="n">
        <v>0</v>
      </c>
      <c r="ZG312" s="9" t="n">
        <v>0</v>
      </c>
      <c r="ZH312" s="9" t="n">
        <v>0</v>
      </c>
      <c r="ZL312" s="10" t="n">
        <v>46288</v>
      </c>
      <c r="ZN312" s="9" t="n">
        <v>0</v>
      </c>
      <c r="ZP312" s="9" t="n">
        <v>0</v>
      </c>
      <c r="ZQ312" s="9" t="n">
        <v>0</v>
      </c>
      <c r="ZU312" s="10" t="n">
        <v>46288</v>
      </c>
      <c r="ZW312" s="9" t="n">
        <v>0</v>
      </c>
      <c r="ZY312" s="9" t="n">
        <v>0</v>
      </c>
      <c r="ZZ312" s="9" t="n">
        <v>0</v>
      </c>
      <c r="AAD312" s="10" t="n">
        <v>46288</v>
      </c>
      <c r="AAF312" s="9" t="n">
        <v>0</v>
      </c>
      <c r="AAH312" s="9" t="n">
        <v>0</v>
      </c>
      <c r="AAI312" s="9" t="n">
        <v>0</v>
      </c>
      <c r="AAM312" s="10" t="n">
        <v>46288</v>
      </c>
      <c r="AAO312" s="9" t="n">
        <v>0</v>
      </c>
      <c r="AAQ312" s="9" t="n">
        <v>0</v>
      </c>
      <c r="AAR312" s="9" t="n">
        <v>0</v>
      </c>
      <c r="AAV312" s="10" t="n">
        <v>46288</v>
      </c>
      <c r="AAX312" s="9" t="n">
        <v>0</v>
      </c>
      <c r="AAZ312" s="9" t="n">
        <v>0</v>
      </c>
      <c r="ABA312" s="9" t="n">
        <v>0</v>
      </c>
      <c r="ABE312" s="10" t="n">
        <v>46288</v>
      </c>
      <c r="ABG312" s="9" t="n">
        <v>0</v>
      </c>
      <c r="ABI312" s="9" t="n">
        <v>0</v>
      </c>
      <c r="ABJ312" s="9" t="n">
        <v>0</v>
      </c>
    </row>
    <row r="313">
      <c r="C313" s="10" t="n">
        <v>46289</v>
      </c>
      <c r="E313" s="9" t="n">
        <v>0</v>
      </c>
      <c r="G313" s="9" t="n">
        <v>0</v>
      </c>
      <c r="H313" s="9" t="n">
        <v>236936.6</v>
      </c>
      <c r="L313" s="10" t="n">
        <v>46289</v>
      </c>
      <c r="N313" s="9" t="n">
        <v>0</v>
      </c>
      <c r="P313" s="9" t="n">
        <v>0</v>
      </c>
      <c r="Q313" s="9" t="n">
        <v>53017.60000000007</v>
      </c>
      <c r="U313" s="10" t="n">
        <v>46289</v>
      </c>
      <c r="W313" s="9" t="n">
        <v>0</v>
      </c>
      <c r="Y313" s="9" t="n">
        <v>0</v>
      </c>
      <c r="Z313" s="9" t="n">
        <v>42674.19999999997</v>
      </c>
      <c r="AD313" s="10" t="n">
        <v>46289</v>
      </c>
      <c r="AF313" s="9" t="n">
        <v>0</v>
      </c>
      <c r="AH313" s="9" t="n">
        <v>0</v>
      </c>
      <c r="AI313" s="9" t="n">
        <v>4522.200000000019</v>
      </c>
      <c r="AM313" s="10" t="n">
        <v>46289</v>
      </c>
      <c r="AO313" s="9" t="n">
        <v>0</v>
      </c>
      <c r="AQ313" s="9" t="n">
        <v>0</v>
      </c>
      <c r="AR313" s="9" t="n">
        <v>0</v>
      </c>
      <c r="AV313" s="10" t="n">
        <v>46289</v>
      </c>
      <c r="AX313" s="9" t="n">
        <v>0</v>
      </c>
      <c r="AZ313" s="9" t="n">
        <v>0</v>
      </c>
      <c r="BA313" s="9" t="n">
        <v>124.9999999999952</v>
      </c>
      <c r="BE313" s="10" t="n">
        <v>46289</v>
      </c>
      <c r="BG313" s="9" t="n">
        <v>0</v>
      </c>
      <c r="BI313" s="9" t="n">
        <v>0</v>
      </c>
      <c r="BJ313" s="9" t="n">
        <v>26151.9</v>
      </c>
      <c r="BN313" s="10" t="n">
        <v>46289</v>
      </c>
      <c r="BP313" s="9" t="n">
        <v>0</v>
      </c>
      <c r="BR313" s="9" t="n">
        <v>0</v>
      </c>
      <c r="BS313" s="9" t="n">
        <v>0</v>
      </c>
      <c r="BW313" s="10" t="n">
        <v>46289</v>
      </c>
      <c r="BY313" s="9" t="n">
        <v>0</v>
      </c>
      <c r="CA313" s="9" t="n">
        <v>0</v>
      </c>
      <c r="CB313" s="9" t="n">
        <v>2097.339999999999</v>
      </c>
      <c r="CF313" s="10" t="n">
        <v>46289</v>
      </c>
      <c r="CH313" s="9" t="n">
        <v>0</v>
      </c>
      <c r="CJ313" s="9" t="n">
        <v>0</v>
      </c>
      <c r="CK313" s="9" t="n">
        <v>-10277.08</v>
      </c>
      <c r="CO313" s="10" t="n">
        <v>46289</v>
      </c>
      <c r="CQ313" s="9" t="n">
        <v>0</v>
      </c>
      <c r="CS313" s="9" t="n">
        <v>0</v>
      </c>
      <c r="CT313" s="9" t="n">
        <v>0</v>
      </c>
      <c r="CX313" s="10" t="n">
        <v>46289</v>
      </c>
      <c r="CZ313" s="9" t="n">
        <v>0</v>
      </c>
      <c r="DB313" s="9" t="n">
        <v>0</v>
      </c>
      <c r="DC313" s="9" t="n">
        <v>27438.20000000001</v>
      </c>
      <c r="DG313" s="10" t="n">
        <v>46289</v>
      </c>
      <c r="DI313" s="9" t="n">
        <v>0</v>
      </c>
      <c r="DK313" s="9" t="n">
        <v>0</v>
      </c>
      <c r="DL313" s="9" t="n">
        <v>18782.29999999998</v>
      </c>
      <c r="DP313" s="10" t="n">
        <v>46289</v>
      </c>
      <c r="DR313" s="9" t="n">
        <v>0</v>
      </c>
      <c r="DT313" s="9" t="n">
        <v>0</v>
      </c>
      <c r="DU313" s="9" t="n">
        <v>5800</v>
      </c>
      <c r="DY313" s="10" t="n">
        <v>46289</v>
      </c>
      <c r="EA313" s="9" t="n">
        <v>0</v>
      </c>
      <c r="EC313" s="9" t="n">
        <v>0</v>
      </c>
      <c r="ED313" s="9" t="n">
        <v>0</v>
      </c>
      <c r="EH313" s="10" t="n">
        <v>46289</v>
      </c>
      <c r="EJ313" s="9" t="n">
        <v>0</v>
      </c>
      <c r="EL313" s="9" t="n">
        <v>0</v>
      </c>
      <c r="EM313" s="9" t="n">
        <v>0</v>
      </c>
      <c r="EQ313" s="10" t="n">
        <v>46289</v>
      </c>
      <c r="ES313" s="9" t="n">
        <v>0</v>
      </c>
      <c r="EU313" s="9" t="n">
        <v>0</v>
      </c>
      <c r="EV313" s="9" t="n">
        <v>0</v>
      </c>
      <c r="EZ313" s="10" t="n">
        <v>46289</v>
      </c>
      <c r="FB313" s="9" t="n">
        <v>0</v>
      </c>
      <c r="FD313" s="9" t="n">
        <v>0</v>
      </c>
      <c r="FE313" s="9" t="n">
        <v>0</v>
      </c>
      <c r="FI313" s="10" t="n">
        <v>46289</v>
      </c>
      <c r="FK313" s="9" t="n">
        <v>0</v>
      </c>
      <c r="FM313" s="9" t="n">
        <v>0</v>
      </c>
      <c r="FN313" s="9" t="n">
        <v>0</v>
      </c>
      <c r="FR313" s="10" t="n">
        <v>46289</v>
      </c>
      <c r="FT313" s="9" t="n">
        <v>0</v>
      </c>
      <c r="FV313" s="9" t="n">
        <v>0</v>
      </c>
      <c r="FW313" s="9" t="n">
        <v>2020</v>
      </c>
      <c r="GA313" s="10" t="n">
        <v>46289</v>
      </c>
      <c r="GC313" s="9" t="n">
        <v>0</v>
      </c>
      <c r="GE313" s="9" t="n">
        <v>0</v>
      </c>
      <c r="GF313" s="9" t="n">
        <v>960</v>
      </c>
      <c r="GJ313" s="10" t="n">
        <v>46289</v>
      </c>
      <c r="GL313" s="9" t="n">
        <v>0</v>
      </c>
      <c r="GN313" s="9" t="n">
        <v>0</v>
      </c>
      <c r="GO313" s="9" t="n">
        <v>1760</v>
      </c>
      <c r="GS313" s="10" t="n">
        <v>46289</v>
      </c>
      <c r="GU313" s="9" t="n">
        <v>0</v>
      </c>
      <c r="GW313" s="9" t="n">
        <v>0</v>
      </c>
      <c r="GX313" s="9" t="n">
        <v>400</v>
      </c>
      <c r="HB313" s="10" t="n">
        <v>46289</v>
      </c>
      <c r="HD313" s="9" t="n">
        <v>0</v>
      </c>
      <c r="HF313" s="9" t="n">
        <v>0</v>
      </c>
      <c r="HG313" s="9" t="n">
        <v>3600</v>
      </c>
      <c r="HK313" s="10" t="n">
        <v>46289</v>
      </c>
      <c r="HM313" s="9" t="n">
        <v>0</v>
      </c>
      <c r="HO313" s="9" t="n">
        <v>0</v>
      </c>
      <c r="HP313" s="9" t="n">
        <v>0</v>
      </c>
      <c r="HU313" s="10" t="n">
        <v>46289</v>
      </c>
      <c r="HW313" s="9" t="n">
        <v>0</v>
      </c>
      <c r="HY313" s="9" t="n">
        <v>0</v>
      </c>
      <c r="HZ313" s="9" t="n">
        <v>6120</v>
      </c>
      <c r="ID313" s="10" t="n">
        <v>46289</v>
      </c>
      <c r="IF313" s="9" t="n">
        <v>0</v>
      </c>
      <c r="IH313" s="9" t="n">
        <v>0</v>
      </c>
      <c r="II313" s="9" t="n">
        <v>0</v>
      </c>
      <c r="IM313" s="10" t="n">
        <v>46289</v>
      </c>
      <c r="IO313" s="9" t="n">
        <v>0</v>
      </c>
      <c r="IQ313" s="9" t="n">
        <v>0</v>
      </c>
      <c r="IR313" s="9" t="n">
        <v>0</v>
      </c>
      <c r="IV313" s="10" t="n">
        <v>46289</v>
      </c>
      <c r="IX313" s="9" t="n">
        <v>0</v>
      </c>
      <c r="IZ313" s="9" t="n">
        <v>0</v>
      </c>
      <c r="JA313" s="9" t="n">
        <v>2820</v>
      </c>
      <c r="JE313" s="10" t="n">
        <v>46289</v>
      </c>
      <c r="JG313" s="9" t="n">
        <v>0</v>
      </c>
      <c r="JI313" s="9" t="n">
        <v>0</v>
      </c>
      <c r="JJ313" s="9" t="n">
        <v>0</v>
      </c>
      <c r="JN313" s="10" t="n">
        <v>46289</v>
      </c>
      <c r="JP313" s="9" t="n">
        <v>0</v>
      </c>
      <c r="JR313" s="9" t="n">
        <v>0</v>
      </c>
      <c r="JS313" s="9" t="n">
        <v>0</v>
      </c>
      <c r="JW313" s="10" t="n">
        <v>46289</v>
      </c>
      <c r="JY313" s="9" t="n">
        <v>0</v>
      </c>
      <c r="KA313" s="9" t="n">
        <v>0</v>
      </c>
      <c r="KB313" s="9" t="n">
        <v>2540</v>
      </c>
      <c r="KF313" s="10" t="n">
        <v>46289</v>
      </c>
      <c r="KH313" s="9" t="n">
        <v>0</v>
      </c>
      <c r="KJ313" s="9" t="n">
        <v>0</v>
      </c>
      <c r="KK313" s="9" t="n">
        <v>2359.5</v>
      </c>
      <c r="KO313" s="10" t="n">
        <v>46289</v>
      </c>
      <c r="KQ313" s="9" t="n">
        <v>0</v>
      </c>
      <c r="KS313" s="9" t="n">
        <v>0</v>
      </c>
      <c r="KT313" s="9" t="n">
        <v>1890</v>
      </c>
      <c r="KX313" s="10" t="n">
        <v>46289</v>
      </c>
      <c r="KZ313" s="9" t="n">
        <v>0</v>
      </c>
      <c r="LB313" s="9" t="n">
        <v>0</v>
      </c>
      <c r="LC313" s="9" t="n">
        <v>3690</v>
      </c>
      <c r="LG313" s="10" t="n">
        <v>46289</v>
      </c>
      <c r="LI313" s="9" t="n">
        <v>0</v>
      </c>
      <c r="LK313" s="9" t="n">
        <v>0</v>
      </c>
      <c r="LL313" s="9" t="n">
        <v>4000</v>
      </c>
      <c r="LP313" s="10" t="n">
        <v>46289</v>
      </c>
      <c r="LR313" s="9" t="n">
        <v>0</v>
      </c>
      <c r="LT313" s="9" t="n">
        <v>0</v>
      </c>
      <c r="LU313" s="9" t="n">
        <v>0</v>
      </c>
      <c r="LY313" s="10" t="n">
        <v>46289</v>
      </c>
      <c r="MA313" s="9" t="n">
        <v>0</v>
      </c>
      <c r="MC313" s="9" t="n">
        <v>0</v>
      </c>
      <c r="MD313" s="9" t="n">
        <v>0</v>
      </c>
      <c r="MH313" s="10" t="n">
        <v>46289</v>
      </c>
      <c r="MJ313" s="9" t="n">
        <v>0</v>
      </c>
      <c r="ML313" s="9" t="n">
        <v>0</v>
      </c>
      <c r="MM313" s="9" t="n">
        <v>0</v>
      </c>
      <c r="MQ313" s="10" t="n">
        <v>46289</v>
      </c>
      <c r="MS313" s="9" t="n">
        <v>0</v>
      </c>
      <c r="MU313" s="9" t="n">
        <v>0</v>
      </c>
      <c r="MV313" s="9" t="n">
        <v>1625</v>
      </c>
      <c r="MZ313" s="10" t="n">
        <v>46289</v>
      </c>
      <c r="NB313" s="9" t="n">
        <v>0</v>
      </c>
      <c r="ND313" s="9" t="n">
        <v>0</v>
      </c>
      <c r="NE313" s="9" t="n">
        <v>0</v>
      </c>
      <c r="NI313" s="10" t="n">
        <v>46289</v>
      </c>
      <c r="NK313" s="9" t="n">
        <v>0</v>
      </c>
      <c r="NM313" s="9" t="n">
        <v>0</v>
      </c>
      <c r="NN313" s="9" t="n">
        <v>1127</v>
      </c>
      <c r="NR313" s="10" t="n">
        <v>46289</v>
      </c>
      <c r="NT313" s="9" t="n">
        <v>0</v>
      </c>
      <c r="NV313" s="9" t="n">
        <v>0</v>
      </c>
      <c r="NW313" s="9" t="n">
        <v>3112</v>
      </c>
      <c r="OA313" s="10" t="n">
        <v>46289</v>
      </c>
      <c r="OC313" s="9" t="n">
        <v>0</v>
      </c>
      <c r="OE313" s="9" t="n">
        <v>0</v>
      </c>
      <c r="OF313" s="9" t="n">
        <v>1680.5</v>
      </c>
      <c r="OJ313" s="10" t="n">
        <v>46289</v>
      </c>
      <c r="OL313" s="9" t="n">
        <v>0</v>
      </c>
      <c r="ON313" s="9" t="n">
        <v>0</v>
      </c>
      <c r="OO313" s="9" t="n">
        <v>0</v>
      </c>
      <c r="OS313" s="10" t="n">
        <v>46289</v>
      </c>
      <c r="OU313" s="9" t="n">
        <v>0</v>
      </c>
      <c r="OW313" s="9" t="n">
        <v>0</v>
      </c>
      <c r="OX313" s="9" t="n">
        <v>1482</v>
      </c>
      <c r="PB313" s="10" t="n">
        <v>46289</v>
      </c>
      <c r="PD313" s="9" t="n">
        <v>0</v>
      </c>
      <c r="PF313" s="9" t="n">
        <v>0</v>
      </c>
      <c r="PG313" s="9" t="n">
        <v>0</v>
      </c>
      <c r="PK313" s="10" t="n">
        <v>46289</v>
      </c>
      <c r="PM313" s="9" t="n">
        <v>0</v>
      </c>
      <c r="PO313" s="9" t="n">
        <v>0</v>
      </c>
      <c r="PP313" s="9" t="n">
        <v>100</v>
      </c>
      <c r="PT313" s="10" t="n">
        <v>46289</v>
      </c>
      <c r="PV313" s="9" t="n">
        <v>0</v>
      </c>
      <c r="PX313" s="9" t="n">
        <v>0</v>
      </c>
      <c r="PY313" s="9" t="n">
        <v>13.96000000000004</v>
      </c>
      <c r="QC313" s="10" t="n">
        <v>46289</v>
      </c>
      <c r="QE313" s="9" t="n">
        <v>0</v>
      </c>
      <c r="QG313" s="9" t="n">
        <v>0</v>
      </c>
      <c r="QH313" s="9" t="n">
        <v>548</v>
      </c>
      <c r="QL313" s="10" t="n">
        <v>46289</v>
      </c>
      <c r="QN313" s="9" t="n">
        <v>0</v>
      </c>
      <c r="QP313" s="9" t="n">
        <v>0</v>
      </c>
      <c r="QQ313" s="9" t="n">
        <v>0</v>
      </c>
      <c r="QU313" s="10" t="n">
        <v>46289</v>
      </c>
      <c r="QW313" s="9" t="n">
        <v>0</v>
      </c>
      <c r="QY313" s="9" t="n">
        <v>0</v>
      </c>
      <c r="QZ313" s="9" t="n">
        <v>0</v>
      </c>
      <c r="RD313" s="10" t="n">
        <v>46289</v>
      </c>
      <c r="RF313" s="9" t="n">
        <v>0</v>
      </c>
      <c r="RH313" s="9" t="n">
        <v>0</v>
      </c>
      <c r="RI313" s="9" t="n">
        <v>147.04</v>
      </c>
      <c r="RM313" s="10" t="n">
        <v>46289</v>
      </c>
      <c r="RO313" s="9" t="n">
        <v>0</v>
      </c>
      <c r="RQ313" s="9" t="n">
        <v>0</v>
      </c>
      <c r="RR313" s="9" t="n">
        <v>46.8</v>
      </c>
      <c r="RV313" s="10" t="n">
        <v>46289</v>
      </c>
      <c r="RX313" s="9" t="n">
        <v>0</v>
      </c>
      <c r="RZ313" s="9" t="n">
        <v>0</v>
      </c>
      <c r="SA313" s="9" t="n">
        <v>0</v>
      </c>
      <c r="SE313" s="10" t="n">
        <v>46289</v>
      </c>
      <c r="SG313" s="9" t="n">
        <v>0</v>
      </c>
      <c r="SI313" s="9" t="n">
        <v>0</v>
      </c>
      <c r="SJ313" s="9" t="n">
        <v>24.2</v>
      </c>
      <c r="SN313" s="10" t="n">
        <v>46289</v>
      </c>
      <c r="SP313" s="9" t="n">
        <v>0</v>
      </c>
      <c r="SR313" s="9" t="n">
        <v>0</v>
      </c>
      <c r="SS313" s="9" t="n">
        <v>32</v>
      </c>
      <c r="SW313" s="10" t="n">
        <v>46289</v>
      </c>
      <c r="SY313" s="9" t="n">
        <v>0</v>
      </c>
      <c r="TA313" s="9" t="n">
        <v>0</v>
      </c>
      <c r="TB313" s="9" t="n">
        <v>0</v>
      </c>
      <c r="TF313" s="10" t="n">
        <v>46289</v>
      </c>
      <c r="TH313" s="9" t="n">
        <v>0</v>
      </c>
      <c r="TJ313" s="9" t="n">
        <v>0</v>
      </c>
      <c r="TK313" s="9" t="n">
        <v>0</v>
      </c>
      <c r="TO313" s="10" t="n">
        <v>46289</v>
      </c>
      <c r="TQ313" s="9" t="n">
        <v>0</v>
      </c>
      <c r="TS313" s="9" t="n">
        <v>0</v>
      </c>
      <c r="TT313" s="9" t="n">
        <v>0</v>
      </c>
      <c r="TX313" s="10" t="n">
        <v>46289</v>
      </c>
      <c r="TZ313" s="9" t="n">
        <v>0</v>
      </c>
      <c r="UB313" s="9" t="n">
        <v>0</v>
      </c>
      <c r="UC313" s="9" t="n">
        <v>46.79999999999998</v>
      </c>
      <c r="UG313" s="10" t="n">
        <v>46289</v>
      </c>
      <c r="UI313" s="9" t="n">
        <v>0</v>
      </c>
      <c r="UK313" s="9" t="n">
        <v>0</v>
      </c>
      <c r="UL313" s="9" t="n">
        <v>204</v>
      </c>
      <c r="UP313" s="10" t="n">
        <v>46289</v>
      </c>
      <c r="UR313" s="9" t="n">
        <v>0</v>
      </c>
      <c r="UT313" s="9" t="n">
        <v>0</v>
      </c>
      <c r="UU313" s="9" t="n">
        <v>202.5</v>
      </c>
      <c r="UY313" s="10" t="n">
        <v>46289</v>
      </c>
      <c r="VA313" s="9" t="n">
        <v>0</v>
      </c>
      <c r="VC313" s="9" t="n">
        <v>0</v>
      </c>
      <c r="VD313" s="9" t="n">
        <v>41.60000000000002</v>
      </c>
      <c r="VH313" s="10" t="n">
        <v>46289</v>
      </c>
      <c r="VJ313" s="9" t="n">
        <v>0</v>
      </c>
      <c r="VL313" s="9" t="n">
        <v>0</v>
      </c>
      <c r="VM313" s="9" t="n">
        <v>210</v>
      </c>
      <c r="VQ313" s="10" t="n">
        <v>46289</v>
      </c>
      <c r="VS313" s="9" t="n">
        <v>0</v>
      </c>
      <c r="VU313" s="9" t="n">
        <v>0</v>
      </c>
      <c r="VV313" s="9" t="n">
        <v>0</v>
      </c>
      <c r="VZ313" s="10" t="n">
        <v>46289</v>
      </c>
      <c r="WB313" s="9" t="n">
        <v>0</v>
      </c>
      <c r="WD313" s="9" t="n">
        <v>0</v>
      </c>
      <c r="WE313" s="9" t="n">
        <v>0</v>
      </c>
      <c r="WI313" s="10" t="n">
        <v>46289</v>
      </c>
      <c r="WK313" s="9" t="n">
        <v>0</v>
      </c>
      <c r="WM313" s="9" t="n">
        <v>0</v>
      </c>
      <c r="WN313" s="9" t="n">
        <v>1057</v>
      </c>
      <c r="WR313" s="10" t="n">
        <v>46289</v>
      </c>
      <c r="WT313" s="9" t="n">
        <v>0</v>
      </c>
      <c r="WV313" s="9" t="n">
        <v>0</v>
      </c>
      <c r="WW313" s="9" t="n">
        <v>0</v>
      </c>
      <c r="XA313" s="10" t="n">
        <v>46289</v>
      </c>
      <c r="XC313" s="9" t="n">
        <v>0</v>
      </c>
      <c r="XE313" s="9" t="n">
        <v>0</v>
      </c>
      <c r="XF313" s="9" t="n">
        <v>7507</v>
      </c>
      <c r="XJ313" s="10" t="n">
        <v>46289</v>
      </c>
      <c r="XL313" s="9" t="n">
        <v>0</v>
      </c>
      <c r="XN313" s="9" t="n">
        <v>0</v>
      </c>
      <c r="XO313" s="9" t="n">
        <v>4252</v>
      </c>
      <c r="XS313" s="10" t="n">
        <v>46289</v>
      </c>
      <c r="XU313" s="9" t="n">
        <v>0</v>
      </c>
      <c r="XW313" s="9" t="n">
        <v>0</v>
      </c>
      <c r="XX313" s="9" t="n">
        <v>2179</v>
      </c>
      <c r="YB313" s="10" t="n">
        <v>46289</v>
      </c>
      <c r="YD313" s="9" t="n">
        <v>0</v>
      </c>
      <c r="YF313" s="9" t="n">
        <v>0</v>
      </c>
      <c r="YG313" s="9" t="n">
        <v>4019</v>
      </c>
      <c r="YK313" s="10" t="n">
        <v>46289</v>
      </c>
      <c r="YM313" s="9" t="n">
        <v>0</v>
      </c>
      <c r="YO313" s="9" t="n">
        <v>0</v>
      </c>
      <c r="YP313" s="9" t="n">
        <v>-218</v>
      </c>
      <c r="YT313" s="10" t="n">
        <v>46289</v>
      </c>
      <c r="YV313" s="9" t="n">
        <v>0</v>
      </c>
      <c r="YX313" s="9" t="n">
        <v>0</v>
      </c>
      <c r="YY313" s="9" t="n">
        <v>0</v>
      </c>
      <c r="ZC313" s="10" t="n">
        <v>46289</v>
      </c>
      <c r="ZE313" s="9" t="n">
        <v>0</v>
      </c>
      <c r="ZG313" s="9" t="n">
        <v>0</v>
      </c>
      <c r="ZH313" s="9" t="n">
        <v>0</v>
      </c>
      <c r="ZL313" s="10" t="n">
        <v>46289</v>
      </c>
      <c r="ZN313" s="9" t="n">
        <v>0</v>
      </c>
      <c r="ZP313" s="9" t="n">
        <v>0</v>
      </c>
      <c r="ZQ313" s="9" t="n">
        <v>0</v>
      </c>
      <c r="ZU313" s="10" t="n">
        <v>46289</v>
      </c>
      <c r="ZW313" s="9" t="n">
        <v>0</v>
      </c>
      <c r="ZY313" s="9" t="n">
        <v>0</v>
      </c>
      <c r="ZZ313" s="9" t="n">
        <v>0</v>
      </c>
      <c r="AAD313" s="10" t="n">
        <v>46289</v>
      </c>
      <c r="AAF313" s="9" t="n">
        <v>0</v>
      </c>
      <c r="AAH313" s="9" t="n">
        <v>0</v>
      </c>
      <c r="AAI313" s="9" t="n">
        <v>0</v>
      </c>
      <c r="AAM313" s="10" t="n">
        <v>46289</v>
      </c>
      <c r="AAO313" s="9" t="n">
        <v>0</v>
      </c>
      <c r="AAQ313" s="9" t="n">
        <v>0</v>
      </c>
      <c r="AAR313" s="9" t="n">
        <v>0</v>
      </c>
      <c r="AAV313" s="10" t="n">
        <v>46289</v>
      </c>
      <c r="AAX313" s="9" t="n">
        <v>0</v>
      </c>
      <c r="AAZ313" s="9" t="n">
        <v>0</v>
      </c>
      <c r="ABA313" s="9" t="n">
        <v>0</v>
      </c>
      <c r="ABE313" s="10" t="n">
        <v>46289</v>
      </c>
      <c r="ABG313" s="9" t="n">
        <v>0</v>
      </c>
      <c r="ABI313" s="9" t="n">
        <v>0</v>
      </c>
      <c r="ABJ313" s="9" t="n">
        <v>0</v>
      </c>
    </row>
    <row r="314">
      <c r="C314" s="10" t="n">
        <v>46290</v>
      </c>
      <c r="E314" s="9" t="n">
        <v>0</v>
      </c>
      <c r="G314" s="9" t="n">
        <v>0</v>
      </c>
      <c r="H314" s="9" t="n">
        <v>236936.6</v>
      </c>
      <c r="L314" s="10" t="n">
        <v>46290</v>
      </c>
      <c r="N314" s="9" t="n">
        <v>0</v>
      </c>
      <c r="P314" s="9" t="n">
        <v>0</v>
      </c>
      <c r="Q314" s="9" t="n">
        <v>53017.60000000007</v>
      </c>
      <c r="U314" s="10" t="n">
        <v>46290</v>
      </c>
      <c r="W314" s="9" t="n">
        <v>0</v>
      </c>
      <c r="Y314" s="9" t="n">
        <v>0</v>
      </c>
      <c r="Z314" s="9" t="n">
        <v>42674.19999999997</v>
      </c>
      <c r="AD314" s="10" t="n">
        <v>46290</v>
      </c>
      <c r="AF314" s="9" t="n">
        <v>0</v>
      </c>
      <c r="AH314" s="9" t="n">
        <v>0</v>
      </c>
      <c r="AI314" s="9" t="n">
        <v>4522.200000000019</v>
      </c>
      <c r="AM314" s="10" t="n">
        <v>46290</v>
      </c>
      <c r="AO314" s="9" t="n">
        <v>0</v>
      </c>
      <c r="AQ314" s="9" t="n">
        <v>0</v>
      </c>
      <c r="AR314" s="9" t="n">
        <v>0</v>
      </c>
      <c r="AV314" s="10" t="n">
        <v>46290</v>
      </c>
      <c r="AX314" s="9" t="n">
        <v>0</v>
      </c>
      <c r="AZ314" s="9" t="n">
        <v>0</v>
      </c>
      <c r="BA314" s="9" t="n">
        <v>124.9999999999952</v>
      </c>
      <c r="BE314" s="10" t="n">
        <v>46290</v>
      </c>
      <c r="BG314" s="9" t="n">
        <v>0</v>
      </c>
      <c r="BI314" s="9" t="n">
        <v>0</v>
      </c>
      <c r="BJ314" s="9" t="n">
        <v>26151.9</v>
      </c>
      <c r="BN314" s="10" t="n">
        <v>46290</v>
      </c>
      <c r="BP314" s="9" t="n">
        <v>0</v>
      </c>
      <c r="BR314" s="9" t="n">
        <v>0</v>
      </c>
      <c r="BS314" s="9" t="n">
        <v>0</v>
      </c>
      <c r="BW314" s="10" t="n">
        <v>46290</v>
      </c>
      <c r="BY314" s="9" t="n">
        <v>0</v>
      </c>
      <c r="CA314" s="9" t="n">
        <v>0</v>
      </c>
      <c r="CB314" s="9" t="n">
        <v>2097.339999999999</v>
      </c>
      <c r="CF314" s="10" t="n">
        <v>46290</v>
      </c>
      <c r="CH314" s="9" t="n">
        <v>0</v>
      </c>
      <c r="CJ314" s="9" t="n">
        <v>0</v>
      </c>
      <c r="CK314" s="9" t="n">
        <v>-10277.08</v>
      </c>
      <c r="CO314" s="10" t="n">
        <v>46290</v>
      </c>
      <c r="CQ314" s="9" t="n">
        <v>0</v>
      </c>
      <c r="CS314" s="9" t="n">
        <v>0</v>
      </c>
      <c r="CT314" s="9" t="n">
        <v>0</v>
      </c>
      <c r="CX314" s="10" t="n">
        <v>46290</v>
      </c>
      <c r="CZ314" s="9" t="n">
        <v>0</v>
      </c>
      <c r="DB314" s="9" t="n">
        <v>0</v>
      </c>
      <c r="DC314" s="9" t="n">
        <v>27438.20000000001</v>
      </c>
      <c r="DG314" s="10" t="n">
        <v>46290</v>
      </c>
      <c r="DI314" s="9" t="n">
        <v>0</v>
      </c>
      <c r="DK314" s="9" t="n">
        <v>0</v>
      </c>
      <c r="DL314" s="9" t="n">
        <v>18782.29999999998</v>
      </c>
      <c r="DP314" s="10" t="n">
        <v>46290</v>
      </c>
      <c r="DR314" s="9" t="n">
        <v>0</v>
      </c>
      <c r="DT314" s="9" t="n">
        <v>0</v>
      </c>
      <c r="DU314" s="9" t="n">
        <v>5800</v>
      </c>
      <c r="DY314" s="10" t="n">
        <v>46290</v>
      </c>
      <c r="EA314" s="9" t="n">
        <v>0</v>
      </c>
      <c r="EC314" s="9" t="n">
        <v>0</v>
      </c>
      <c r="ED314" s="9" t="n">
        <v>0</v>
      </c>
      <c r="EH314" s="10" t="n">
        <v>46290</v>
      </c>
      <c r="EJ314" s="9" t="n">
        <v>0</v>
      </c>
      <c r="EL314" s="9" t="n">
        <v>0</v>
      </c>
      <c r="EM314" s="9" t="n">
        <v>0</v>
      </c>
      <c r="EQ314" s="10" t="n">
        <v>46290</v>
      </c>
      <c r="ES314" s="9" t="n">
        <v>0</v>
      </c>
      <c r="EU314" s="9" t="n">
        <v>0</v>
      </c>
      <c r="EV314" s="9" t="n">
        <v>0</v>
      </c>
      <c r="EZ314" s="10" t="n">
        <v>46290</v>
      </c>
      <c r="FB314" s="9" t="n">
        <v>0</v>
      </c>
      <c r="FD314" s="9" t="n">
        <v>0</v>
      </c>
      <c r="FE314" s="9" t="n">
        <v>0</v>
      </c>
      <c r="FI314" s="10" t="n">
        <v>46290</v>
      </c>
      <c r="FK314" s="9" t="n">
        <v>0</v>
      </c>
      <c r="FM314" s="9" t="n">
        <v>0</v>
      </c>
      <c r="FN314" s="9" t="n">
        <v>0</v>
      </c>
      <c r="FR314" s="10" t="n">
        <v>46290</v>
      </c>
      <c r="FT314" s="9" t="n">
        <v>0</v>
      </c>
      <c r="FV314" s="9" t="n">
        <v>0</v>
      </c>
      <c r="FW314" s="9" t="n">
        <v>2020</v>
      </c>
      <c r="GA314" s="10" t="n">
        <v>46290</v>
      </c>
      <c r="GC314" s="9" t="n">
        <v>0</v>
      </c>
      <c r="GE314" s="9" t="n">
        <v>0</v>
      </c>
      <c r="GF314" s="9" t="n">
        <v>960</v>
      </c>
      <c r="GJ314" s="10" t="n">
        <v>46290</v>
      </c>
      <c r="GL314" s="9" t="n">
        <v>0</v>
      </c>
      <c r="GN314" s="9" t="n">
        <v>0</v>
      </c>
      <c r="GO314" s="9" t="n">
        <v>1760</v>
      </c>
      <c r="GS314" s="10" t="n">
        <v>46290</v>
      </c>
      <c r="GU314" s="9" t="n">
        <v>0</v>
      </c>
      <c r="GW314" s="9" t="n">
        <v>0</v>
      </c>
      <c r="GX314" s="9" t="n">
        <v>400</v>
      </c>
      <c r="HB314" s="10" t="n">
        <v>46290</v>
      </c>
      <c r="HD314" s="9" t="n">
        <v>0</v>
      </c>
      <c r="HF314" s="9" t="n">
        <v>0</v>
      </c>
      <c r="HG314" s="9" t="n">
        <v>3600</v>
      </c>
      <c r="HK314" s="10" t="n">
        <v>46290</v>
      </c>
      <c r="HM314" s="9" t="n">
        <v>0</v>
      </c>
      <c r="HO314" s="9" t="n">
        <v>0</v>
      </c>
      <c r="HP314" s="9" t="n">
        <v>0</v>
      </c>
      <c r="HU314" s="10" t="n">
        <v>46290</v>
      </c>
      <c r="HW314" s="9" t="n">
        <v>0</v>
      </c>
      <c r="HY314" s="9" t="n">
        <v>0</v>
      </c>
      <c r="HZ314" s="9" t="n">
        <v>6120</v>
      </c>
      <c r="ID314" s="10" t="n">
        <v>46290</v>
      </c>
      <c r="IF314" s="9" t="n">
        <v>0</v>
      </c>
      <c r="IH314" s="9" t="n">
        <v>0</v>
      </c>
      <c r="II314" s="9" t="n">
        <v>0</v>
      </c>
      <c r="IM314" s="10" t="n">
        <v>46290</v>
      </c>
      <c r="IO314" s="9" t="n">
        <v>0</v>
      </c>
      <c r="IQ314" s="9" t="n">
        <v>0</v>
      </c>
      <c r="IR314" s="9" t="n">
        <v>0</v>
      </c>
      <c r="IV314" s="10" t="n">
        <v>46290</v>
      </c>
      <c r="IX314" s="9" t="n">
        <v>0</v>
      </c>
      <c r="IZ314" s="9" t="n">
        <v>0</v>
      </c>
      <c r="JA314" s="9" t="n">
        <v>2820</v>
      </c>
      <c r="JE314" s="10" t="n">
        <v>46290</v>
      </c>
      <c r="JG314" s="9" t="n">
        <v>0</v>
      </c>
      <c r="JI314" s="9" t="n">
        <v>0</v>
      </c>
      <c r="JJ314" s="9" t="n">
        <v>0</v>
      </c>
      <c r="JN314" s="10" t="n">
        <v>46290</v>
      </c>
      <c r="JP314" s="9" t="n">
        <v>0</v>
      </c>
      <c r="JR314" s="9" t="n">
        <v>0</v>
      </c>
      <c r="JS314" s="9" t="n">
        <v>0</v>
      </c>
      <c r="JW314" s="10" t="n">
        <v>46290</v>
      </c>
      <c r="JY314" s="9" t="n">
        <v>0</v>
      </c>
      <c r="KA314" s="9" t="n">
        <v>0</v>
      </c>
      <c r="KB314" s="9" t="n">
        <v>2540</v>
      </c>
      <c r="KF314" s="10" t="n">
        <v>46290</v>
      </c>
      <c r="KH314" s="9" t="n">
        <v>0</v>
      </c>
      <c r="KJ314" s="9" t="n">
        <v>0</v>
      </c>
      <c r="KK314" s="9" t="n">
        <v>2359.5</v>
      </c>
      <c r="KO314" s="10" t="n">
        <v>46290</v>
      </c>
      <c r="KQ314" s="9" t="n">
        <v>0</v>
      </c>
      <c r="KS314" s="9" t="n">
        <v>0</v>
      </c>
      <c r="KT314" s="9" t="n">
        <v>1890</v>
      </c>
      <c r="KX314" s="10" t="n">
        <v>46290</v>
      </c>
      <c r="KZ314" s="9" t="n">
        <v>0</v>
      </c>
      <c r="LB314" s="9" t="n">
        <v>0</v>
      </c>
      <c r="LC314" s="9" t="n">
        <v>3690</v>
      </c>
      <c r="LG314" s="10" t="n">
        <v>46290</v>
      </c>
      <c r="LI314" s="9" t="n">
        <v>0</v>
      </c>
      <c r="LK314" s="9" t="n">
        <v>0</v>
      </c>
      <c r="LL314" s="9" t="n">
        <v>4000</v>
      </c>
      <c r="LP314" s="10" t="n">
        <v>46290</v>
      </c>
      <c r="LR314" s="9" t="n">
        <v>0</v>
      </c>
      <c r="LT314" s="9" t="n">
        <v>0</v>
      </c>
      <c r="LU314" s="9" t="n">
        <v>0</v>
      </c>
      <c r="LY314" s="10" t="n">
        <v>46290</v>
      </c>
      <c r="MA314" s="9" t="n">
        <v>0</v>
      </c>
      <c r="MC314" s="9" t="n">
        <v>0</v>
      </c>
      <c r="MD314" s="9" t="n">
        <v>0</v>
      </c>
      <c r="MH314" s="10" t="n">
        <v>46290</v>
      </c>
      <c r="MJ314" s="9" t="n">
        <v>0</v>
      </c>
      <c r="ML314" s="9" t="n">
        <v>0</v>
      </c>
      <c r="MM314" s="9" t="n">
        <v>0</v>
      </c>
      <c r="MQ314" s="10" t="n">
        <v>46290</v>
      </c>
      <c r="MS314" s="9" t="n">
        <v>0</v>
      </c>
      <c r="MU314" s="9" t="n">
        <v>0</v>
      </c>
      <c r="MV314" s="9" t="n">
        <v>1625</v>
      </c>
      <c r="MZ314" s="10" t="n">
        <v>46290</v>
      </c>
      <c r="NB314" s="9" t="n">
        <v>0</v>
      </c>
      <c r="ND314" s="9" t="n">
        <v>0</v>
      </c>
      <c r="NE314" s="9" t="n">
        <v>0</v>
      </c>
      <c r="NI314" s="10" t="n">
        <v>46290</v>
      </c>
      <c r="NK314" s="9" t="n">
        <v>0</v>
      </c>
      <c r="NM314" s="9" t="n">
        <v>0</v>
      </c>
      <c r="NN314" s="9" t="n">
        <v>1127</v>
      </c>
      <c r="NR314" s="10" t="n">
        <v>46290</v>
      </c>
      <c r="NT314" s="9" t="n">
        <v>0</v>
      </c>
      <c r="NV314" s="9" t="n">
        <v>0</v>
      </c>
      <c r="NW314" s="9" t="n">
        <v>3112</v>
      </c>
      <c r="OA314" s="10" t="n">
        <v>46290</v>
      </c>
      <c r="OC314" s="9" t="n">
        <v>0</v>
      </c>
      <c r="OE314" s="9" t="n">
        <v>0</v>
      </c>
      <c r="OF314" s="9" t="n">
        <v>1680.5</v>
      </c>
      <c r="OJ314" s="10" t="n">
        <v>46290</v>
      </c>
      <c r="OL314" s="9" t="n">
        <v>0</v>
      </c>
      <c r="ON314" s="9" t="n">
        <v>0</v>
      </c>
      <c r="OO314" s="9" t="n">
        <v>0</v>
      </c>
      <c r="OS314" s="10" t="n">
        <v>46290</v>
      </c>
      <c r="OU314" s="9" t="n">
        <v>0</v>
      </c>
      <c r="OW314" s="9" t="n">
        <v>0</v>
      </c>
      <c r="OX314" s="9" t="n">
        <v>1482</v>
      </c>
      <c r="PB314" s="10" t="n">
        <v>46290</v>
      </c>
      <c r="PD314" s="9" t="n">
        <v>0</v>
      </c>
      <c r="PF314" s="9" t="n">
        <v>0</v>
      </c>
      <c r="PG314" s="9" t="n">
        <v>0</v>
      </c>
      <c r="PK314" s="10" t="n">
        <v>46290</v>
      </c>
      <c r="PM314" s="9" t="n">
        <v>0</v>
      </c>
      <c r="PO314" s="9" t="n">
        <v>0</v>
      </c>
      <c r="PP314" s="9" t="n">
        <v>100</v>
      </c>
      <c r="PT314" s="10" t="n">
        <v>46290</v>
      </c>
      <c r="PV314" s="9" t="n">
        <v>0</v>
      </c>
      <c r="PX314" s="9" t="n">
        <v>0</v>
      </c>
      <c r="PY314" s="9" t="n">
        <v>13.96000000000004</v>
      </c>
      <c r="QC314" s="10" t="n">
        <v>46290</v>
      </c>
      <c r="QE314" s="9" t="n">
        <v>0</v>
      </c>
      <c r="QG314" s="9" t="n">
        <v>0</v>
      </c>
      <c r="QH314" s="9" t="n">
        <v>548</v>
      </c>
      <c r="QL314" s="10" t="n">
        <v>46290</v>
      </c>
      <c r="QN314" s="9" t="n">
        <v>0</v>
      </c>
      <c r="QP314" s="9" t="n">
        <v>0</v>
      </c>
      <c r="QQ314" s="9" t="n">
        <v>0</v>
      </c>
      <c r="QU314" s="10" t="n">
        <v>46290</v>
      </c>
      <c r="QW314" s="9" t="n">
        <v>0</v>
      </c>
      <c r="QY314" s="9" t="n">
        <v>0</v>
      </c>
      <c r="QZ314" s="9" t="n">
        <v>0</v>
      </c>
      <c r="RD314" s="10" t="n">
        <v>46290</v>
      </c>
      <c r="RF314" s="9" t="n">
        <v>0</v>
      </c>
      <c r="RH314" s="9" t="n">
        <v>0</v>
      </c>
      <c r="RI314" s="9" t="n">
        <v>147.04</v>
      </c>
      <c r="RM314" s="10" t="n">
        <v>46290</v>
      </c>
      <c r="RO314" s="9" t="n">
        <v>0</v>
      </c>
      <c r="RQ314" s="9" t="n">
        <v>0</v>
      </c>
      <c r="RR314" s="9" t="n">
        <v>46.8</v>
      </c>
      <c r="RV314" s="10" t="n">
        <v>46290</v>
      </c>
      <c r="RX314" s="9" t="n">
        <v>0</v>
      </c>
      <c r="RZ314" s="9" t="n">
        <v>0</v>
      </c>
      <c r="SA314" s="9" t="n">
        <v>0</v>
      </c>
      <c r="SE314" s="10" t="n">
        <v>46290</v>
      </c>
      <c r="SG314" s="9" t="n">
        <v>0</v>
      </c>
      <c r="SI314" s="9" t="n">
        <v>0</v>
      </c>
      <c r="SJ314" s="9" t="n">
        <v>24.2</v>
      </c>
      <c r="SN314" s="10" t="n">
        <v>46290</v>
      </c>
      <c r="SP314" s="9" t="n">
        <v>0</v>
      </c>
      <c r="SR314" s="9" t="n">
        <v>0</v>
      </c>
      <c r="SS314" s="9" t="n">
        <v>32</v>
      </c>
      <c r="SW314" s="10" t="n">
        <v>46290</v>
      </c>
      <c r="SY314" s="9" t="n">
        <v>0</v>
      </c>
      <c r="TA314" s="9" t="n">
        <v>0</v>
      </c>
      <c r="TB314" s="9" t="n">
        <v>0</v>
      </c>
      <c r="TF314" s="10" t="n">
        <v>46290</v>
      </c>
      <c r="TH314" s="9" t="n">
        <v>0</v>
      </c>
      <c r="TJ314" s="9" t="n">
        <v>0</v>
      </c>
      <c r="TK314" s="9" t="n">
        <v>0</v>
      </c>
      <c r="TO314" s="10" t="n">
        <v>46290</v>
      </c>
      <c r="TQ314" s="9" t="n">
        <v>0</v>
      </c>
      <c r="TS314" s="9" t="n">
        <v>0</v>
      </c>
      <c r="TT314" s="9" t="n">
        <v>0</v>
      </c>
      <c r="TX314" s="10" t="n">
        <v>46290</v>
      </c>
      <c r="TZ314" s="9" t="n">
        <v>0</v>
      </c>
      <c r="UB314" s="9" t="n">
        <v>0</v>
      </c>
      <c r="UC314" s="9" t="n">
        <v>46.79999999999998</v>
      </c>
      <c r="UG314" s="10" t="n">
        <v>46290</v>
      </c>
      <c r="UI314" s="9" t="n">
        <v>0</v>
      </c>
      <c r="UK314" s="9" t="n">
        <v>0</v>
      </c>
      <c r="UL314" s="9" t="n">
        <v>204</v>
      </c>
      <c r="UP314" s="10" t="n">
        <v>46290</v>
      </c>
      <c r="UR314" s="9" t="n">
        <v>0</v>
      </c>
      <c r="UT314" s="9" t="n">
        <v>0</v>
      </c>
      <c r="UU314" s="9" t="n">
        <v>202.5</v>
      </c>
      <c r="UY314" s="10" t="n">
        <v>46290</v>
      </c>
      <c r="VA314" s="9" t="n">
        <v>0</v>
      </c>
      <c r="VC314" s="9" t="n">
        <v>0</v>
      </c>
      <c r="VD314" s="9" t="n">
        <v>41.60000000000002</v>
      </c>
      <c r="VH314" s="10" t="n">
        <v>46290</v>
      </c>
      <c r="VJ314" s="9" t="n">
        <v>0</v>
      </c>
      <c r="VL314" s="9" t="n">
        <v>0</v>
      </c>
      <c r="VM314" s="9" t="n">
        <v>210</v>
      </c>
      <c r="VQ314" s="10" t="n">
        <v>46290</v>
      </c>
      <c r="VS314" s="9" t="n">
        <v>0</v>
      </c>
      <c r="VU314" s="9" t="n">
        <v>0</v>
      </c>
      <c r="VV314" s="9" t="n">
        <v>0</v>
      </c>
      <c r="VZ314" s="10" t="n">
        <v>46290</v>
      </c>
      <c r="WB314" s="9" t="n">
        <v>0</v>
      </c>
      <c r="WD314" s="9" t="n">
        <v>0</v>
      </c>
      <c r="WE314" s="9" t="n">
        <v>0</v>
      </c>
      <c r="WI314" s="10" t="n">
        <v>46290</v>
      </c>
      <c r="WK314" s="9" t="n">
        <v>0</v>
      </c>
      <c r="WM314" s="9" t="n">
        <v>0</v>
      </c>
      <c r="WN314" s="9" t="n">
        <v>1057</v>
      </c>
      <c r="WR314" s="10" t="n">
        <v>46290</v>
      </c>
      <c r="WT314" s="9" t="n">
        <v>0</v>
      </c>
      <c r="WV314" s="9" t="n">
        <v>0</v>
      </c>
      <c r="WW314" s="9" t="n">
        <v>0</v>
      </c>
      <c r="XA314" s="10" t="n">
        <v>46290</v>
      </c>
      <c r="XC314" s="9" t="n">
        <v>0</v>
      </c>
      <c r="XE314" s="9" t="n">
        <v>0</v>
      </c>
      <c r="XF314" s="9" t="n">
        <v>7507</v>
      </c>
      <c r="XJ314" s="10" t="n">
        <v>46290</v>
      </c>
      <c r="XL314" s="9" t="n">
        <v>0</v>
      </c>
      <c r="XN314" s="9" t="n">
        <v>0</v>
      </c>
      <c r="XO314" s="9" t="n">
        <v>4252</v>
      </c>
      <c r="XS314" s="10" t="n">
        <v>46290</v>
      </c>
      <c r="XU314" s="9" t="n">
        <v>0</v>
      </c>
      <c r="XW314" s="9" t="n">
        <v>0</v>
      </c>
      <c r="XX314" s="9" t="n">
        <v>2179</v>
      </c>
      <c r="YB314" s="10" t="n">
        <v>46290</v>
      </c>
      <c r="YD314" s="9" t="n">
        <v>0</v>
      </c>
      <c r="YF314" s="9" t="n">
        <v>0</v>
      </c>
      <c r="YG314" s="9" t="n">
        <v>4019</v>
      </c>
      <c r="YK314" s="10" t="n">
        <v>46290</v>
      </c>
      <c r="YM314" s="9" t="n">
        <v>0</v>
      </c>
      <c r="YO314" s="9" t="n">
        <v>0</v>
      </c>
      <c r="YP314" s="9" t="n">
        <v>-218</v>
      </c>
      <c r="YT314" s="10" t="n">
        <v>46290</v>
      </c>
      <c r="YV314" s="9" t="n">
        <v>0</v>
      </c>
      <c r="YX314" s="9" t="n">
        <v>0</v>
      </c>
      <c r="YY314" s="9" t="n">
        <v>0</v>
      </c>
      <c r="ZC314" s="10" t="n">
        <v>46290</v>
      </c>
      <c r="ZE314" s="9" t="n">
        <v>0</v>
      </c>
      <c r="ZG314" s="9" t="n">
        <v>0</v>
      </c>
      <c r="ZH314" s="9" t="n">
        <v>0</v>
      </c>
      <c r="ZL314" s="10" t="n">
        <v>46290</v>
      </c>
      <c r="ZN314" s="9" t="n">
        <v>0</v>
      </c>
      <c r="ZP314" s="9" t="n">
        <v>0</v>
      </c>
      <c r="ZQ314" s="9" t="n">
        <v>0</v>
      </c>
      <c r="ZU314" s="10" t="n">
        <v>46290</v>
      </c>
      <c r="ZW314" s="9" t="n">
        <v>0</v>
      </c>
      <c r="ZY314" s="9" t="n">
        <v>0</v>
      </c>
      <c r="ZZ314" s="9" t="n">
        <v>0</v>
      </c>
      <c r="AAD314" s="10" t="n">
        <v>46290</v>
      </c>
      <c r="AAF314" s="9" t="n">
        <v>0</v>
      </c>
      <c r="AAH314" s="9" t="n">
        <v>0</v>
      </c>
      <c r="AAI314" s="9" t="n">
        <v>0</v>
      </c>
      <c r="AAM314" s="10" t="n">
        <v>46290</v>
      </c>
      <c r="AAO314" s="9" t="n">
        <v>0</v>
      </c>
      <c r="AAQ314" s="9" t="n">
        <v>0</v>
      </c>
      <c r="AAR314" s="9" t="n">
        <v>0</v>
      </c>
      <c r="AAV314" s="10" t="n">
        <v>46290</v>
      </c>
      <c r="AAX314" s="9" t="n">
        <v>0</v>
      </c>
      <c r="AAZ314" s="9" t="n">
        <v>0</v>
      </c>
      <c r="ABA314" s="9" t="n">
        <v>0</v>
      </c>
      <c r="ABE314" s="10" t="n">
        <v>46290</v>
      </c>
      <c r="ABG314" s="9" t="n">
        <v>0</v>
      </c>
      <c r="ABI314" s="9" t="n">
        <v>0</v>
      </c>
      <c r="ABJ314" s="9" t="n">
        <v>0</v>
      </c>
    </row>
    <row r="315">
      <c r="C315" s="10" t="n">
        <v>46291</v>
      </c>
      <c r="E315" s="9" t="n">
        <v>0</v>
      </c>
      <c r="G315" s="9" t="n">
        <v>0</v>
      </c>
      <c r="H315" s="9" t="n">
        <v>236936.6</v>
      </c>
      <c r="L315" s="10" t="n">
        <v>46291</v>
      </c>
      <c r="N315" s="9" t="n">
        <v>0</v>
      </c>
      <c r="P315" s="9" t="n">
        <v>0</v>
      </c>
      <c r="Q315" s="9" t="n">
        <v>53017.60000000007</v>
      </c>
      <c r="U315" s="10" t="n">
        <v>46291</v>
      </c>
      <c r="W315" s="9" t="n">
        <v>0</v>
      </c>
      <c r="Y315" s="9" t="n">
        <v>0</v>
      </c>
      <c r="Z315" s="9" t="n">
        <v>42674.19999999997</v>
      </c>
      <c r="AD315" s="10" t="n">
        <v>46291</v>
      </c>
      <c r="AF315" s="9" t="n">
        <v>0</v>
      </c>
      <c r="AH315" s="9" t="n">
        <v>0</v>
      </c>
      <c r="AI315" s="9" t="n">
        <v>4522.200000000019</v>
      </c>
      <c r="AM315" s="10" t="n">
        <v>46291</v>
      </c>
      <c r="AO315" s="9" t="n">
        <v>0</v>
      </c>
      <c r="AQ315" s="9" t="n">
        <v>0</v>
      </c>
      <c r="AR315" s="9" t="n">
        <v>0</v>
      </c>
      <c r="AV315" s="10" t="n">
        <v>46291</v>
      </c>
      <c r="AX315" s="9" t="n">
        <v>0</v>
      </c>
      <c r="AZ315" s="9" t="n">
        <v>0</v>
      </c>
      <c r="BA315" s="9" t="n">
        <v>124.9999999999952</v>
      </c>
      <c r="BE315" s="10" t="n">
        <v>46291</v>
      </c>
      <c r="BG315" s="9" t="n">
        <v>0</v>
      </c>
      <c r="BI315" s="9" t="n">
        <v>0</v>
      </c>
      <c r="BJ315" s="9" t="n">
        <v>26151.9</v>
      </c>
      <c r="BN315" s="10" t="n">
        <v>46291</v>
      </c>
      <c r="BP315" s="9" t="n">
        <v>0</v>
      </c>
      <c r="BR315" s="9" t="n">
        <v>0</v>
      </c>
      <c r="BS315" s="9" t="n">
        <v>0</v>
      </c>
      <c r="BW315" s="10" t="n">
        <v>46291</v>
      </c>
      <c r="BY315" s="9" t="n">
        <v>0</v>
      </c>
      <c r="CA315" s="9" t="n">
        <v>0</v>
      </c>
      <c r="CB315" s="9" t="n">
        <v>2097.339999999999</v>
      </c>
      <c r="CF315" s="10" t="n">
        <v>46291</v>
      </c>
      <c r="CH315" s="9" t="n">
        <v>0</v>
      </c>
      <c r="CJ315" s="9" t="n">
        <v>0</v>
      </c>
      <c r="CK315" s="9" t="n">
        <v>-10277.08</v>
      </c>
      <c r="CO315" s="10" t="n">
        <v>46291</v>
      </c>
      <c r="CQ315" s="9" t="n">
        <v>0</v>
      </c>
      <c r="CS315" s="9" t="n">
        <v>0</v>
      </c>
      <c r="CT315" s="9" t="n">
        <v>0</v>
      </c>
      <c r="CX315" s="10" t="n">
        <v>46291</v>
      </c>
      <c r="CZ315" s="9" t="n">
        <v>0</v>
      </c>
      <c r="DB315" s="9" t="n">
        <v>0</v>
      </c>
      <c r="DC315" s="9" t="n">
        <v>27438.20000000001</v>
      </c>
      <c r="DG315" s="10" t="n">
        <v>46291</v>
      </c>
      <c r="DI315" s="9" t="n">
        <v>0</v>
      </c>
      <c r="DK315" s="9" t="n">
        <v>0</v>
      </c>
      <c r="DL315" s="9" t="n">
        <v>18782.29999999998</v>
      </c>
      <c r="DP315" s="10" t="n">
        <v>46291</v>
      </c>
      <c r="DR315" s="9" t="n">
        <v>0</v>
      </c>
      <c r="DT315" s="9" t="n">
        <v>0</v>
      </c>
      <c r="DU315" s="9" t="n">
        <v>5800</v>
      </c>
      <c r="DY315" s="10" t="n">
        <v>46291</v>
      </c>
      <c r="EA315" s="9" t="n">
        <v>0</v>
      </c>
      <c r="EC315" s="9" t="n">
        <v>0</v>
      </c>
      <c r="ED315" s="9" t="n">
        <v>0</v>
      </c>
      <c r="EH315" s="10" t="n">
        <v>46291</v>
      </c>
      <c r="EJ315" s="9" t="n">
        <v>0</v>
      </c>
      <c r="EL315" s="9" t="n">
        <v>0</v>
      </c>
      <c r="EM315" s="9" t="n">
        <v>0</v>
      </c>
      <c r="EQ315" s="10" t="n">
        <v>46291</v>
      </c>
      <c r="ES315" s="9" t="n">
        <v>0</v>
      </c>
      <c r="EU315" s="9" t="n">
        <v>0</v>
      </c>
      <c r="EV315" s="9" t="n">
        <v>0</v>
      </c>
      <c r="EZ315" s="10" t="n">
        <v>46291</v>
      </c>
      <c r="FB315" s="9" t="n">
        <v>0</v>
      </c>
      <c r="FD315" s="9" t="n">
        <v>0</v>
      </c>
      <c r="FE315" s="9" t="n">
        <v>0</v>
      </c>
      <c r="FI315" s="10" t="n">
        <v>46291</v>
      </c>
      <c r="FK315" s="9" t="n">
        <v>0</v>
      </c>
      <c r="FM315" s="9" t="n">
        <v>0</v>
      </c>
      <c r="FN315" s="9" t="n">
        <v>0</v>
      </c>
      <c r="FR315" s="10" t="n">
        <v>46291</v>
      </c>
      <c r="FT315" s="9" t="n">
        <v>0</v>
      </c>
      <c r="FV315" s="9" t="n">
        <v>0</v>
      </c>
      <c r="FW315" s="9" t="n">
        <v>2020</v>
      </c>
      <c r="GA315" s="10" t="n">
        <v>46291</v>
      </c>
      <c r="GC315" s="9" t="n">
        <v>0</v>
      </c>
      <c r="GE315" s="9" t="n">
        <v>0</v>
      </c>
      <c r="GF315" s="9" t="n">
        <v>960</v>
      </c>
      <c r="GJ315" s="10" t="n">
        <v>46291</v>
      </c>
      <c r="GL315" s="9" t="n">
        <v>0</v>
      </c>
      <c r="GN315" s="9" t="n">
        <v>0</v>
      </c>
      <c r="GO315" s="9" t="n">
        <v>1760</v>
      </c>
      <c r="GS315" s="10" t="n">
        <v>46291</v>
      </c>
      <c r="GU315" s="9" t="n">
        <v>0</v>
      </c>
      <c r="GW315" s="9" t="n">
        <v>0</v>
      </c>
      <c r="GX315" s="9" t="n">
        <v>400</v>
      </c>
      <c r="HB315" s="10" t="n">
        <v>46291</v>
      </c>
      <c r="HD315" s="9" t="n">
        <v>0</v>
      </c>
      <c r="HF315" s="9" t="n">
        <v>0</v>
      </c>
      <c r="HG315" s="9" t="n">
        <v>3600</v>
      </c>
      <c r="HK315" s="10" t="n">
        <v>46291</v>
      </c>
      <c r="HM315" s="9" t="n">
        <v>0</v>
      </c>
      <c r="HO315" s="9" t="n">
        <v>0</v>
      </c>
      <c r="HP315" s="9" t="n">
        <v>0</v>
      </c>
      <c r="HU315" s="10" t="n">
        <v>46291</v>
      </c>
      <c r="HW315" s="9" t="n">
        <v>0</v>
      </c>
      <c r="HY315" s="9" t="n">
        <v>0</v>
      </c>
      <c r="HZ315" s="9" t="n">
        <v>6120</v>
      </c>
      <c r="ID315" s="10" t="n">
        <v>46291</v>
      </c>
      <c r="IF315" s="9" t="n">
        <v>0</v>
      </c>
      <c r="IH315" s="9" t="n">
        <v>0</v>
      </c>
      <c r="II315" s="9" t="n">
        <v>0</v>
      </c>
      <c r="IM315" s="10" t="n">
        <v>46291</v>
      </c>
      <c r="IO315" s="9" t="n">
        <v>0</v>
      </c>
      <c r="IQ315" s="9" t="n">
        <v>0</v>
      </c>
      <c r="IR315" s="9" t="n">
        <v>0</v>
      </c>
      <c r="IV315" s="10" t="n">
        <v>46291</v>
      </c>
      <c r="IX315" s="9" t="n">
        <v>0</v>
      </c>
      <c r="IZ315" s="9" t="n">
        <v>0</v>
      </c>
      <c r="JA315" s="9" t="n">
        <v>2820</v>
      </c>
      <c r="JE315" s="10" t="n">
        <v>46291</v>
      </c>
      <c r="JG315" s="9" t="n">
        <v>0</v>
      </c>
      <c r="JI315" s="9" t="n">
        <v>0</v>
      </c>
      <c r="JJ315" s="9" t="n">
        <v>0</v>
      </c>
      <c r="JN315" s="10" t="n">
        <v>46291</v>
      </c>
      <c r="JP315" s="9" t="n">
        <v>0</v>
      </c>
      <c r="JR315" s="9" t="n">
        <v>0</v>
      </c>
      <c r="JS315" s="9" t="n">
        <v>0</v>
      </c>
      <c r="JW315" s="10" t="n">
        <v>46291</v>
      </c>
      <c r="JY315" s="9" t="n">
        <v>0</v>
      </c>
      <c r="KA315" s="9" t="n">
        <v>0</v>
      </c>
      <c r="KB315" s="9" t="n">
        <v>2540</v>
      </c>
      <c r="KF315" s="10" t="n">
        <v>46291</v>
      </c>
      <c r="KH315" s="9" t="n">
        <v>0</v>
      </c>
      <c r="KJ315" s="9" t="n">
        <v>0</v>
      </c>
      <c r="KK315" s="9" t="n">
        <v>2359.5</v>
      </c>
      <c r="KO315" s="10" t="n">
        <v>46291</v>
      </c>
      <c r="KQ315" s="9" t="n">
        <v>0</v>
      </c>
      <c r="KS315" s="9" t="n">
        <v>0</v>
      </c>
      <c r="KT315" s="9" t="n">
        <v>1890</v>
      </c>
      <c r="KX315" s="10" t="n">
        <v>46291</v>
      </c>
      <c r="KZ315" s="9" t="n">
        <v>0</v>
      </c>
      <c r="LB315" s="9" t="n">
        <v>0</v>
      </c>
      <c r="LC315" s="9" t="n">
        <v>3690</v>
      </c>
      <c r="LG315" s="10" t="n">
        <v>46291</v>
      </c>
      <c r="LI315" s="9" t="n">
        <v>0</v>
      </c>
      <c r="LK315" s="9" t="n">
        <v>0</v>
      </c>
      <c r="LL315" s="9" t="n">
        <v>4000</v>
      </c>
      <c r="LP315" s="10" t="n">
        <v>46291</v>
      </c>
      <c r="LR315" s="9" t="n">
        <v>0</v>
      </c>
      <c r="LT315" s="9" t="n">
        <v>0</v>
      </c>
      <c r="LU315" s="9" t="n">
        <v>0</v>
      </c>
      <c r="LY315" s="10" t="n">
        <v>46291</v>
      </c>
      <c r="MA315" s="9" t="n">
        <v>0</v>
      </c>
      <c r="MC315" s="9" t="n">
        <v>0</v>
      </c>
      <c r="MD315" s="9" t="n">
        <v>0</v>
      </c>
      <c r="MH315" s="10" t="n">
        <v>46291</v>
      </c>
      <c r="MJ315" s="9" t="n">
        <v>0</v>
      </c>
      <c r="ML315" s="9" t="n">
        <v>0</v>
      </c>
      <c r="MM315" s="9" t="n">
        <v>0</v>
      </c>
      <c r="MQ315" s="10" t="n">
        <v>46291</v>
      </c>
      <c r="MS315" s="9" t="n">
        <v>0</v>
      </c>
      <c r="MU315" s="9" t="n">
        <v>0</v>
      </c>
      <c r="MV315" s="9" t="n">
        <v>1625</v>
      </c>
      <c r="MZ315" s="10" t="n">
        <v>46291</v>
      </c>
      <c r="NB315" s="9" t="n">
        <v>0</v>
      </c>
      <c r="ND315" s="9" t="n">
        <v>0</v>
      </c>
      <c r="NE315" s="9" t="n">
        <v>0</v>
      </c>
      <c r="NI315" s="10" t="n">
        <v>46291</v>
      </c>
      <c r="NK315" s="9" t="n">
        <v>0</v>
      </c>
      <c r="NM315" s="9" t="n">
        <v>0</v>
      </c>
      <c r="NN315" s="9" t="n">
        <v>1127</v>
      </c>
      <c r="NR315" s="10" t="n">
        <v>46291</v>
      </c>
      <c r="NT315" s="9" t="n">
        <v>0</v>
      </c>
      <c r="NV315" s="9" t="n">
        <v>0</v>
      </c>
      <c r="NW315" s="9" t="n">
        <v>3112</v>
      </c>
      <c r="OA315" s="10" t="n">
        <v>46291</v>
      </c>
      <c r="OC315" s="9" t="n">
        <v>0</v>
      </c>
      <c r="OE315" s="9" t="n">
        <v>0</v>
      </c>
      <c r="OF315" s="9" t="n">
        <v>1680.5</v>
      </c>
      <c r="OJ315" s="10" t="n">
        <v>46291</v>
      </c>
      <c r="OL315" s="9" t="n">
        <v>0</v>
      </c>
      <c r="ON315" s="9" t="n">
        <v>0</v>
      </c>
      <c r="OO315" s="9" t="n">
        <v>0</v>
      </c>
      <c r="OS315" s="10" t="n">
        <v>46291</v>
      </c>
      <c r="OU315" s="9" t="n">
        <v>0</v>
      </c>
      <c r="OW315" s="9" t="n">
        <v>0</v>
      </c>
      <c r="OX315" s="9" t="n">
        <v>1482</v>
      </c>
      <c r="PB315" s="10" t="n">
        <v>46291</v>
      </c>
      <c r="PD315" s="9" t="n">
        <v>0</v>
      </c>
      <c r="PF315" s="9" t="n">
        <v>0</v>
      </c>
      <c r="PG315" s="9" t="n">
        <v>0</v>
      </c>
      <c r="PK315" s="10" t="n">
        <v>46291</v>
      </c>
      <c r="PM315" s="9" t="n">
        <v>0</v>
      </c>
      <c r="PO315" s="9" t="n">
        <v>0</v>
      </c>
      <c r="PP315" s="9" t="n">
        <v>100</v>
      </c>
      <c r="PT315" s="10" t="n">
        <v>46291</v>
      </c>
      <c r="PV315" s="9" t="n">
        <v>0</v>
      </c>
      <c r="PX315" s="9" t="n">
        <v>0</v>
      </c>
      <c r="PY315" s="9" t="n">
        <v>13.96000000000004</v>
      </c>
      <c r="QC315" s="10" t="n">
        <v>46291</v>
      </c>
      <c r="QE315" s="9" t="n">
        <v>0</v>
      </c>
      <c r="QG315" s="9" t="n">
        <v>0</v>
      </c>
      <c r="QH315" s="9" t="n">
        <v>548</v>
      </c>
      <c r="QL315" s="10" t="n">
        <v>46291</v>
      </c>
      <c r="QN315" s="9" t="n">
        <v>0</v>
      </c>
      <c r="QP315" s="9" t="n">
        <v>0</v>
      </c>
      <c r="QQ315" s="9" t="n">
        <v>0</v>
      </c>
      <c r="QU315" s="10" t="n">
        <v>46291</v>
      </c>
      <c r="QW315" s="9" t="n">
        <v>0</v>
      </c>
      <c r="QY315" s="9" t="n">
        <v>0</v>
      </c>
      <c r="QZ315" s="9" t="n">
        <v>0</v>
      </c>
      <c r="RD315" s="10" t="n">
        <v>46291</v>
      </c>
      <c r="RF315" s="9" t="n">
        <v>0</v>
      </c>
      <c r="RH315" s="9" t="n">
        <v>0</v>
      </c>
      <c r="RI315" s="9" t="n">
        <v>147.04</v>
      </c>
      <c r="RM315" s="10" t="n">
        <v>46291</v>
      </c>
      <c r="RO315" s="9" t="n">
        <v>0</v>
      </c>
      <c r="RQ315" s="9" t="n">
        <v>0</v>
      </c>
      <c r="RR315" s="9" t="n">
        <v>46.8</v>
      </c>
      <c r="RV315" s="10" t="n">
        <v>46291</v>
      </c>
      <c r="RX315" s="9" t="n">
        <v>0</v>
      </c>
      <c r="RZ315" s="9" t="n">
        <v>0</v>
      </c>
      <c r="SA315" s="9" t="n">
        <v>0</v>
      </c>
      <c r="SE315" s="10" t="n">
        <v>46291</v>
      </c>
      <c r="SG315" s="9" t="n">
        <v>0</v>
      </c>
      <c r="SI315" s="9" t="n">
        <v>0</v>
      </c>
      <c r="SJ315" s="9" t="n">
        <v>24.2</v>
      </c>
      <c r="SN315" s="10" t="n">
        <v>46291</v>
      </c>
      <c r="SP315" s="9" t="n">
        <v>0</v>
      </c>
      <c r="SR315" s="9" t="n">
        <v>0</v>
      </c>
      <c r="SS315" s="9" t="n">
        <v>32</v>
      </c>
      <c r="SW315" s="10" t="n">
        <v>46291</v>
      </c>
      <c r="SY315" s="9" t="n">
        <v>0</v>
      </c>
      <c r="TA315" s="9" t="n">
        <v>0</v>
      </c>
      <c r="TB315" s="9" t="n">
        <v>0</v>
      </c>
      <c r="TF315" s="10" t="n">
        <v>46291</v>
      </c>
      <c r="TH315" s="9" t="n">
        <v>0</v>
      </c>
      <c r="TJ315" s="9" t="n">
        <v>0</v>
      </c>
      <c r="TK315" s="9" t="n">
        <v>0</v>
      </c>
      <c r="TO315" s="10" t="n">
        <v>46291</v>
      </c>
      <c r="TQ315" s="9" t="n">
        <v>0</v>
      </c>
      <c r="TS315" s="9" t="n">
        <v>0</v>
      </c>
      <c r="TT315" s="9" t="n">
        <v>0</v>
      </c>
      <c r="TX315" s="10" t="n">
        <v>46291</v>
      </c>
      <c r="TZ315" s="9" t="n">
        <v>0</v>
      </c>
      <c r="UB315" s="9" t="n">
        <v>0</v>
      </c>
      <c r="UC315" s="9" t="n">
        <v>46.79999999999998</v>
      </c>
      <c r="UG315" s="10" t="n">
        <v>46291</v>
      </c>
      <c r="UI315" s="9" t="n">
        <v>0</v>
      </c>
      <c r="UK315" s="9" t="n">
        <v>0</v>
      </c>
      <c r="UL315" s="9" t="n">
        <v>204</v>
      </c>
      <c r="UP315" s="10" t="n">
        <v>46291</v>
      </c>
      <c r="UR315" s="9" t="n">
        <v>0</v>
      </c>
      <c r="UT315" s="9" t="n">
        <v>0</v>
      </c>
      <c r="UU315" s="9" t="n">
        <v>202.5</v>
      </c>
      <c r="UY315" s="10" t="n">
        <v>46291</v>
      </c>
      <c r="VA315" s="9" t="n">
        <v>0</v>
      </c>
      <c r="VC315" s="9" t="n">
        <v>0</v>
      </c>
      <c r="VD315" s="9" t="n">
        <v>41.60000000000002</v>
      </c>
      <c r="VH315" s="10" t="n">
        <v>46291</v>
      </c>
      <c r="VJ315" s="9" t="n">
        <v>0</v>
      </c>
      <c r="VL315" s="9" t="n">
        <v>0</v>
      </c>
      <c r="VM315" s="9" t="n">
        <v>210</v>
      </c>
      <c r="VQ315" s="10" t="n">
        <v>46291</v>
      </c>
      <c r="VS315" s="9" t="n">
        <v>0</v>
      </c>
      <c r="VU315" s="9" t="n">
        <v>0</v>
      </c>
      <c r="VV315" s="9" t="n">
        <v>0</v>
      </c>
      <c r="VZ315" s="10" t="n">
        <v>46291</v>
      </c>
      <c r="WB315" s="9" t="n">
        <v>0</v>
      </c>
      <c r="WD315" s="9" t="n">
        <v>0</v>
      </c>
      <c r="WE315" s="9" t="n">
        <v>0</v>
      </c>
      <c r="WI315" s="10" t="n">
        <v>46291</v>
      </c>
      <c r="WK315" s="9" t="n">
        <v>0</v>
      </c>
      <c r="WM315" s="9" t="n">
        <v>0</v>
      </c>
      <c r="WN315" s="9" t="n">
        <v>1057</v>
      </c>
      <c r="WR315" s="10" t="n">
        <v>46291</v>
      </c>
      <c r="WT315" s="9" t="n">
        <v>0</v>
      </c>
      <c r="WV315" s="9" t="n">
        <v>0</v>
      </c>
      <c r="WW315" s="9" t="n">
        <v>0</v>
      </c>
      <c r="XA315" s="10" t="n">
        <v>46291</v>
      </c>
      <c r="XC315" s="9" t="n">
        <v>0</v>
      </c>
      <c r="XE315" s="9" t="n">
        <v>0</v>
      </c>
      <c r="XF315" s="9" t="n">
        <v>7507</v>
      </c>
      <c r="XJ315" s="10" t="n">
        <v>46291</v>
      </c>
      <c r="XL315" s="9" t="n">
        <v>0</v>
      </c>
      <c r="XN315" s="9" t="n">
        <v>0</v>
      </c>
      <c r="XO315" s="9" t="n">
        <v>4252</v>
      </c>
      <c r="XS315" s="10" t="n">
        <v>46291</v>
      </c>
      <c r="XU315" s="9" t="n">
        <v>0</v>
      </c>
      <c r="XW315" s="9" t="n">
        <v>0</v>
      </c>
      <c r="XX315" s="9" t="n">
        <v>2179</v>
      </c>
      <c r="YB315" s="10" t="n">
        <v>46291</v>
      </c>
      <c r="YD315" s="9" t="n">
        <v>0</v>
      </c>
      <c r="YF315" s="9" t="n">
        <v>0</v>
      </c>
      <c r="YG315" s="9" t="n">
        <v>4019</v>
      </c>
      <c r="YK315" s="10" t="n">
        <v>46291</v>
      </c>
      <c r="YM315" s="9" t="n">
        <v>0</v>
      </c>
      <c r="YO315" s="9" t="n">
        <v>0</v>
      </c>
      <c r="YP315" s="9" t="n">
        <v>-218</v>
      </c>
      <c r="YT315" s="10" t="n">
        <v>46291</v>
      </c>
      <c r="YV315" s="9" t="n">
        <v>0</v>
      </c>
      <c r="YX315" s="9" t="n">
        <v>0</v>
      </c>
      <c r="YY315" s="9" t="n">
        <v>0</v>
      </c>
      <c r="ZC315" s="10" t="n">
        <v>46291</v>
      </c>
      <c r="ZE315" s="9" t="n">
        <v>0</v>
      </c>
      <c r="ZG315" s="9" t="n">
        <v>0</v>
      </c>
      <c r="ZH315" s="9" t="n">
        <v>0</v>
      </c>
      <c r="ZL315" s="10" t="n">
        <v>46291</v>
      </c>
      <c r="ZN315" s="9" t="n">
        <v>0</v>
      </c>
      <c r="ZP315" s="9" t="n">
        <v>0</v>
      </c>
      <c r="ZQ315" s="9" t="n">
        <v>0</v>
      </c>
      <c r="ZU315" s="10" t="n">
        <v>46291</v>
      </c>
      <c r="ZW315" s="9" t="n">
        <v>0</v>
      </c>
      <c r="ZY315" s="9" t="n">
        <v>0</v>
      </c>
      <c r="ZZ315" s="9" t="n">
        <v>0</v>
      </c>
      <c r="AAD315" s="10" t="n">
        <v>46291</v>
      </c>
      <c r="AAF315" s="9" t="n">
        <v>0</v>
      </c>
      <c r="AAH315" s="9" t="n">
        <v>0</v>
      </c>
      <c r="AAI315" s="9" t="n">
        <v>0</v>
      </c>
      <c r="AAM315" s="10" t="n">
        <v>46291</v>
      </c>
      <c r="AAO315" s="9" t="n">
        <v>0</v>
      </c>
      <c r="AAQ315" s="9" t="n">
        <v>0</v>
      </c>
      <c r="AAR315" s="9" t="n">
        <v>0</v>
      </c>
      <c r="AAV315" s="10" t="n">
        <v>46291</v>
      </c>
      <c r="AAX315" s="9" t="n">
        <v>0</v>
      </c>
      <c r="AAZ315" s="9" t="n">
        <v>0</v>
      </c>
      <c r="ABA315" s="9" t="n">
        <v>0</v>
      </c>
      <c r="ABE315" s="10" t="n">
        <v>46291</v>
      </c>
      <c r="ABG315" s="9" t="n">
        <v>0</v>
      </c>
      <c r="ABI315" s="9" t="n">
        <v>0</v>
      </c>
      <c r="ABJ315" s="9" t="n">
        <v>0</v>
      </c>
    </row>
    <row r="316">
      <c r="C316" s="10" t="n">
        <v>46292</v>
      </c>
      <c r="E316" s="9" t="n">
        <v>0</v>
      </c>
      <c r="G316" s="9" t="n">
        <v>0</v>
      </c>
      <c r="H316" s="9" t="n">
        <v>236936.6</v>
      </c>
      <c r="L316" s="10" t="n">
        <v>46292</v>
      </c>
      <c r="N316" s="9" t="n">
        <v>0</v>
      </c>
      <c r="P316" s="9" t="n">
        <v>0</v>
      </c>
      <c r="Q316" s="9" t="n">
        <v>53017.60000000007</v>
      </c>
      <c r="U316" s="10" t="n">
        <v>46292</v>
      </c>
      <c r="W316" s="9" t="n">
        <v>0</v>
      </c>
      <c r="Y316" s="9" t="n">
        <v>0</v>
      </c>
      <c r="Z316" s="9" t="n">
        <v>42674.19999999997</v>
      </c>
      <c r="AD316" s="10" t="n">
        <v>46292</v>
      </c>
      <c r="AF316" s="9" t="n">
        <v>0</v>
      </c>
      <c r="AH316" s="9" t="n">
        <v>0</v>
      </c>
      <c r="AI316" s="9" t="n">
        <v>4522.200000000019</v>
      </c>
      <c r="AM316" s="10" t="n">
        <v>46292</v>
      </c>
      <c r="AO316" s="9" t="n">
        <v>0</v>
      </c>
      <c r="AQ316" s="9" t="n">
        <v>0</v>
      </c>
      <c r="AR316" s="9" t="n">
        <v>0</v>
      </c>
      <c r="AV316" s="10" t="n">
        <v>46292</v>
      </c>
      <c r="AX316" s="9" t="n">
        <v>0</v>
      </c>
      <c r="AZ316" s="9" t="n">
        <v>0</v>
      </c>
      <c r="BA316" s="9" t="n">
        <v>124.9999999999952</v>
      </c>
      <c r="BE316" s="10" t="n">
        <v>46292</v>
      </c>
      <c r="BG316" s="9" t="n">
        <v>0</v>
      </c>
      <c r="BI316" s="9" t="n">
        <v>0</v>
      </c>
      <c r="BJ316" s="9" t="n">
        <v>26151.9</v>
      </c>
      <c r="BN316" s="10" t="n">
        <v>46292</v>
      </c>
      <c r="BP316" s="9" t="n">
        <v>0</v>
      </c>
      <c r="BR316" s="9" t="n">
        <v>0</v>
      </c>
      <c r="BS316" s="9" t="n">
        <v>0</v>
      </c>
      <c r="BW316" s="10" t="n">
        <v>46292</v>
      </c>
      <c r="BY316" s="9" t="n">
        <v>0</v>
      </c>
      <c r="CA316" s="9" t="n">
        <v>0</v>
      </c>
      <c r="CB316" s="9" t="n">
        <v>2097.339999999999</v>
      </c>
      <c r="CF316" s="10" t="n">
        <v>46292</v>
      </c>
      <c r="CH316" s="9" t="n">
        <v>0</v>
      </c>
      <c r="CJ316" s="9" t="n">
        <v>0</v>
      </c>
      <c r="CK316" s="9" t="n">
        <v>-10277.08</v>
      </c>
      <c r="CO316" s="10" t="n">
        <v>46292</v>
      </c>
      <c r="CQ316" s="9" t="n">
        <v>0</v>
      </c>
      <c r="CS316" s="9" t="n">
        <v>0</v>
      </c>
      <c r="CT316" s="9" t="n">
        <v>0</v>
      </c>
      <c r="CX316" s="10" t="n">
        <v>46292</v>
      </c>
      <c r="CZ316" s="9" t="n">
        <v>0</v>
      </c>
      <c r="DB316" s="9" t="n">
        <v>0</v>
      </c>
      <c r="DC316" s="9" t="n">
        <v>27438.20000000001</v>
      </c>
      <c r="DG316" s="10" t="n">
        <v>46292</v>
      </c>
      <c r="DI316" s="9" t="n">
        <v>0</v>
      </c>
      <c r="DK316" s="9" t="n">
        <v>0</v>
      </c>
      <c r="DL316" s="9" t="n">
        <v>18782.29999999998</v>
      </c>
      <c r="DP316" s="10" t="n">
        <v>46292</v>
      </c>
      <c r="DR316" s="9" t="n">
        <v>0</v>
      </c>
      <c r="DT316" s="9" t="n">
        <v>0</v>
      </c>
      <c r="DU316" s="9" t="n">
        <v>5800</v>
      </c>
      <c r="DY316" s="10" t="n">
        <v>46292</v>
      </c>
      <c r="EA316" s="9" t="n">
        <v>0</v>
      </c>
      <c r="EC316" s="9" t="n">
        <v>0</v>
      </c>
      <c r="ED316" s="9" t="n">
        <v>0</v>
      </c>
      <c r="EH316" s="10" t="n">
        <v>46292</v>
      </c>
      <c r="EJ316" s="9" t="n">
        <v>0</v>
      </c>
      <c r="EL316" s="9" t="n">
        <v>0</v>
      </c>
      <c r="EM316" s="9" t="n">
        <v>0</v>
      </c>
      <c r="EQ316" s="10" t="n">
        <v>46292</v>
      </c>
      <c r="ES316" s="9" t="n">
        <v>0</v>
      </c>
      <c r="EU316" s="9" t="n">
        <v>0</v>
      </c>
      <c r="EV316" s="9" t="n">
        <v>0</v>
      </c>
      <c r="EZ316" s="10" t="n">
        <v>46292</v>
      </c>
      <c r="FB316" s="9" t="n">
        <v>0</v>
      </c>
      <c r="FD316" s="9" t="n">
        <v>0</v>
      </c>
      <c r="FE316" s="9" t="n">
        <v>0</v>
      </c>
      <c r="FI316" s="10" t="n">
        <v>46292</v>
      </c>
      <c r="FK316" s="9" t="n">
        <v>0</v>
      </c>
      <c r="FM316" s="9" t="n">
        <v>0</v>
      </c>
      <c r="FN316" s="9" t="n">
        <v>0</v>
      </c>
      <c r="FR316" s="10" t="n">
        <v>46292</v>
      </c>
      <c r="FT316" s="9" t="n">
        <v>0</v>
      </c>
      <c r="FV316" s="9" t="n">
        <v>0</v>
      </c>
      <c r="FW316" s="9" t="n">
        <v>2020</v>
      </c>
      <c r="GA316" s="10" t="n">
        <v>46292</v>
      </c>
      <c r="GC316" s="9" t="n">
        <v>0</v>
      </c>
      <c r="GE316" s="9" t="n">
        <v>0</v>
      </c>
      <c r="GF316" s="9" t="n">
        <v>960</v>
      </c>
      <c r="GJ316" s="10" t="n">
        <v>46292</v>
      </c>
      <c r="GL316" s="9" t="n">
        <v>0</v>
      </c>
      <c r="GN316" s="9" t="n">
        <v>0</v>
      </c>
      <c r="GO316" s="9" t="n">
        <v>1760</v>
      </c>
      <c r="GS316" s="10" t="n">
        <v>46292</v>
      </c>
      <c r="GU316" s="9" t="n">
        <v>0</v>
      </c>
      <c r="GW316" s="9" t="n">
        <v>0</v>
      </c>
      <c r="GX316" s="9" t="n">
        <v>400</v>
      </c>
      <c r="HB316" s="10" t="n">
        <v>46292</v>
      </c>
      <c r="HD316" s="9" t="n">
        <v>0</v>
      </c>
      <c r="HF316" s="9" t="n">
        <v>0</v>
      </c>
      <c r="HG316" s="9" t="n">
        <v>3600</v>
      </c>
      <c r="HK316" s="10" t="n">
        <v>46292</v>
      </c>
      <c r="HM316" s="9" t="n">
        <v>0</v>
      </c>
      <c r="HO316" s="9" t="n">
        <v>0</v>
      </c>
      <c r="HP316" s="9" t="n">
        <v>0</v>
      </c>
      <c r="HU316" s="10" t="n">
        <v>46292</v>
      </c>
      <c r="HW316" s="9" t="n">
        <v>0</v>
      </c>
      <c r="HY316" s="9" t="n">
        <v>0</v>
      </c>
      <c r="HZ316" s="9" t="n">
        <v>6120</v>
      </c>
      <c r="ID316" s="10" t="n">
        <v>46292</v>
      </c>
      <c r="IF316" s="9" t="n">
        <v>0</v>
      </c>
      <c r="IH316" s="9" t="n">
        <v>0</v>
      </c>
      <c r="II316" s="9" t="n">
        <v>0</v>
      </c>
      <c r="IM316" s="10" t="n">
        <v>46292</v>
      </c>
      <c r="IO316" s="9" t="n">
        <v>0</v>
      </c>
      <c r="IQ316" s="9" t="n">
        <v>0</v>
      </c>
      <c r="IR316" s="9" t="n">
        <v>0</v>
      </c>
      <c r="IV316" s="10" t="n">
        <v>46292</v>
      </c>
      <c r="IX316" s="9" t="n">
        <v>0</v>
      </c>
      <c r="IZ316" s="9" t="n">
        <v>0</v>
      </c>
      <c r="JA316" s="9" t="n">
        <v>2820</v>
      </c>
      <c r="JE316" s="10" t="n">
        <v>46292</v>
      </c>
      <c r="JG316" s="9" t="n">
        <v>0</v>
      </c>
      <c r="JI316" s="9" t="n">
        <v>0</v>
      </c>
      <c r="JJ316" s="9" t="n">
        <v>0</v>
      </c>
      <c r="JN316" s="10" t="n">
        <v>46292</v>
      </c>
      <c r="JP316" s="9" t="n">
        <v>0</v>
      </c>
      <c r="JR316" s="9" t="n">
        <v>0</v>
      </c>
      <c r="JS316" s="9" t="n">
        <v>0</v>
      </c>
      <c r="JW316" s="10" t="n">
        <v>46292</v>
      </c>
      <c r="JY316" s="9" t="n">
        <v>0</v>
      </c>
      <c r="KA316" s="9" t="n">
        <v>0</v>
      </c>
      <c r="KB316" s="9" t="n">
        <v>2540</v>
      </c>
      <c r="KF316" s="10" t="n">
        <v>46292</v>
      </c>
      <c r="KH316" s="9" t="n">
        <v>0</v>
      </c>
      <c r="KJ316" s="9" t="n">
        <v>0</v>
      </c>
      <c r="KK316" s="9" t="n">
        <v>2359.5</v>
      </c>
      <c r="KO316" s="10" t="n">
        <v>46292</v>
      </c>
      <c r="KQ316" s="9" t="n">
        <v>0</v>
      </c>
      <c r="KS316" s="9" t="n">
        <v>0</v>
      </c>
      <c r="KT316" s="9" t="n">
        <v>1890</v>
      </c>
      <c r="KX316" s="10" t="n">
        <v>46292</v>
      </c>
      <c r="KZ316" s="9" t="n">
        <v>0</v>
      </c>
      <c r="LB316" s="9" t="n">
        <v>0</v>
      </c>
      <c r="LC316" s="9" t="n">
        <v>3690</v>
      </c>
      <c r="LG316" s="10" t="n">
        <v>46292</v>
      </c>
      <c r="LI316" s="9" t="n">
        <v>0</v>
      </c>
      <c r="LK316" s="9" t="n">
        <v>0</v>
      </c>
      <c r="LL316" s="9" t="n">
        <v>4000</v>
      </c>
      <c r="LP316" s="10" t="n">
        <v>46292</v>
      </c>
      <c r="LR316" s="9" t="n">
        <v>0</v>
      </c>
      <c r="LT316" s="9" t="n">
        <v>0</v>
      </c>
      <c r="LU316" s="9" t="n">
        <v>0</v>
      </c>
      <c r="LY316" s="10" t="n">
        <v>46292</v>
      </c>
      <c r="MA316" s="9" t="n">
        <v>0</v>
      </c>
      <c r="MC316" s="9" t="n">
        <v>0</v>
      </c>
      <c r="MD316" s="9" t="n">
        <v>0</v>
      </c>
      <c r="MH316" s="10" t="n">
        <v>46292</v>
      </c>
      <c r="MJ316" s="9" t="n">
        <v>0</v>
      </c>
      <c r="ML316" s="9" t="n">
        <v>0</v>
      </c>
      <c r="MM316" s="9" t="n">
        <v>0</v>
      </c>
      <c r="MQ316" s="10" t="n">
        <v>46292</v>
      </c>
      <c r="MS316" s="9" t="n">
        <v>0</v>
      </c>
      <c r="MU316" s="9" t="n">
        <v>0</v>
      </c>
      <c r="MV316" s="9" t="n">
        <v>1625</v>
      </c>
      <c r="MZ316" s="10" t="n">
        <v>46292</v>
      </c>
      <c r="NB316" s="9" t="n">
        <v>0</v>
      </c>
      <c r="ND316" s="9" t="n">
        <v>0</v>
      </c>
      <c r="NE316" s="9" t="n">
        <v>0</v>
      </c>
      <c r="NI316" s="10" t="n">
        <v>46292</v>
      </c>
      <c r="NK316" s="9" t="n">
        <v>0</v>
      </c>
      <c r="NM316" s="9" t="n">
        <v>0</v>
      </c>
      <c r="NN316" s="9" t="n">
        <v>1127</v>
      </c>
      <c r="NR316" s="10" t="n">
        <v>46292</v>
      </c>
      <c r="NT316" s="9" t="n">
        <v>0</v>
      </c>
      <c r="NV316" s="9" t="n">
        <v>0</v>
      </c>
      <c r="NW316" s="9" t="n">
        <v>3112</v>
      </c>
      <c r="OA316" s="10" t="n">
        <v>46292</v>
      </c>
      <c r="OC316" s="9" t="n">
        <v>0</v>
      </c>
      <c r="OE316" s="9" t="n">
        <v>0</v>
      </c>
      <c r="OF316" s="9" t="n">
        <v>1680.5</v>
      </c>
      <c r="OJ316" s="10" t="n">
        <v>46292</v>
      </c>
      <c r="OL316" s="9" t="n">
        <v>0</v>
      </c>
      <c r="ON316" s="9" t="n">
        <v>0</v>
      </c>
      <c r="OO316" s="9" t="n">
        <v>0</v>
      </c>
      <c r="OS316" s="10" t="n">
        <v>46292</v>
      </c>
      <c r="OU316" s="9" t="n">
        <v>0</v>
      </c>
      <c r="OW316" s="9" t="n">
        <v>0</v>
      </c>
      <c r="OX316" s="9" t="n">
        <v>1482</v>
      </c>
      <c r="PB316" s="10" t="n">
        <v>46292</v>
      </c>
      <c r="PD316" s="9" t="n">
        <v>0</v>
      </c>
      <c r="PF316" s="9" t="n">
        <v>0</v>
      </c>
      <c r="PG316" s="9" t="n">
        <v>0</v>
      </c>
      <c r="PK316" s="10" t="n">
        <v>46292</v>
      </c>
      <c r="PM316" s="9" t="n">
        <v>0</v>
      </c>
      <c r="PO316" s="9" t="n">
        <v>0</v>
      </c>
      <c r="PP316" s="9" t="n">
        <v>100</v>
      </c>
      <c r="PT316" s="10" t="n">
        <v>46292</v>
      </c>
      <c r="PV316" s="9" t="n">
        <v>0</v>
      </c>
      <c r="PX316" s="9" t="n">
        <v>0</v>
      </c>
      <c r="PY316" s="9" t="n">
        <v>13.96000000000004</v>
      </c>
      <c r="QC316" s="10" t="n">
        <v>46292</v>
      </c>
      <c r="QE316" s="9" t="n">
        <v>0</v>
      </c>
      <c r="QG316" s="9" t="n">
        <v>0</v>
      </c>
      <c r="QH316" s="9" t="n">
        <v>548</v>
      </c>
      <c r="QL316" s="10" t="n">
        <v>46292</v>
      </c>
      <c r="QN316" s="9" t="n">
        <v>0</v>
      </c>
      <c r="QP316" s="9" t="n">
        <v>0</v>
      </c>
      <c r="QQ316" s="9" t="n">
        <v>0</v>
      </c>
      <c r="QU316" s="10" t="n">
        <v>46292</v>
      </c>
      <c r="QW316" s="9" t="n">
        <v>0</v>
      </c>
      <c r="QY316" s="9" t="n">
        <v>0</v>
      </c>
      <c r="QZ316" s="9" t="n">
        <v>0</v>
      </c>
      <c r="RD316" s="10" t="n">
        <v>46292</v>
      </c>
      <c r="RF316" s="9" t="n">
        <v>0</v>
      </c>
      <c r="RH316" s="9" t="n">
        <v>0</v>
      </c>
      <c r="RI316" s="9" t="n">
        <v>147.04</v>
      </c>
      <c r="RM316" s="10" t="n">
        <v>46292</v>
      </c>
      <c r="RO316" s="9" t="n">
        <v>0</v>
      </c>
      <c r="RQ316" s="9" t="n">
        <v>0</v>
      </c>
      <c r="RR316" s="9" t="n">
        <v>46.8</v>
      </c>
      <c r="RV316" s="10" t="n">
        <v>46292</v>
      </c>
      <c r="RX316" s="9" t="n">
        <v>0</v>
      </c>
      <c r="RZ316" s="9" t="n">
        <v>0</v>
      </c>
      <c r="SA316" s="9" t="n">
        <v>0</v>
      </c>
      <c r="SE316" s="10" t="n">
        <v>46292</v>
      </c>
      <c r="SG316" s="9" t="n">
        <v>0</v>
      </c>
      <c r="SI316" s="9" t="n">
        <v>0</v>
      </c>
      <c r="SJ316" s="9" t="n">
        <v>24.2</v>
      </c>
      <c r="SN316" s="10" t="n">
        <v>46292</v>
      </c>
      <c r="SP316" s="9" t="n">
        <v>0</v>
      </c>
      <c r="SR316" s="9" t="n">
        <v>0</v>
      </c>
      <c r="SS316" s="9" t="n">
        <v>32</v>
      </c>
      <c r="SW316" s="10" t="n">
        <v>46292</v>
      </c>
      <c r="SY316" s="9" t="n">
        <v>0</v>
      </c>
      <c r="TA316" s="9" t="n">
        <v>0</v>
      </c>
      <c r="TB316" s="9" t="n">
        <v>0</v>
      </c>
      <c r="TF316" s="10" t="n">
        <v>46292</v>
      </c>
      <c r="TH316" s="9" t="n">
        <v>0</v>
      </c>
      <c r="TJ316" s="9" t="n">
        <v>0</v>
      </c>
      <c r="TK316" s="9" t="n">
        <v>0</v>
      </c>
      <c r="TO316" s="10" t="n">
        <v>46292</v>
      </c>
      <c r="TQ316" s="9" t="n">
        <v>0</v>
      </c>
      <c r="TS316" s="9" t="n">
        <v>0</v>
      </c>
      <c r="TT316" s="9" t="n">
        <v>0</v>
      </c>
      <c r="TX316" s="10" t="n">
        <v>46292</v>
      </c>
      <c r="TZ316" s="9" t="n">
        <v>0</v>
      </c>
      <c r="UB316" s="9" t="n">
        <v>0</v>
      </c>
      <c r="UC316" s="9" t="n">
        <v>46.79999999999998</v>
      </c>
      <c r="UG316" s="10" t="n">
        <v>46292</v>
      </c>
      <c r="UI316" s="9" t="n">
        <v>0</v>
      </c>
      <c r="UK316" s="9" t="n">
        <v>0</v>
      </c>
      <c r="UL316" s="9" t="n">
        <v>204</v>
      </c>
      <c r="UP316" s="10" t="n">
        <v>46292</v>
      </c>
      <c r="UR316" s="9" t="n">
        <v>0</v>
      </c>
      <c r="UT316" s="9" t="n">
        <v>0</v>
      </c>
      <c r="UU316" s="9" t="n">
        <v>202.5</v>
      </c>
      <c r="UY316" s="10" t="n">
        <v>46292</v>
      </c>
      <c r="VA316" s="9" t="n">
        <v>0</v>
      </c>
      <c r="VC316" s="9" t="n">
        <v>0</v>
      </c>
      <c r="VD316" s="9" t="n">
        <v>41.60000000000002</v>
      </c>
      <c r="VH316" s="10" t="n">
        <v>46292</v>
      </c>
      <c r="VJ316" s="9" t="n">
        <v>0</v>
      </c>
      <c r="VL316" s="9" t="n">
        <v>0</v>
      </c>
      <c r="VM316" s="9" t="n">
        <v>210</v>
      </c>
      <c r="VQ316" s="10" t="n">
        <v>46292</v>
      </c>
      <c r="VS316" s="9" t="n">
        <v>0</v>
      </c>
      <c r="VU316" s="9" t="n">
        <v>0</v>
      </c>
      <c r="VV316" s="9" t="n">
        <v>0</v>
      </c>
      <c r="VZ316" s="10" t="n">
        <v>46292</v>
      </c>
      <c r="WB316" s="9" t="n">
        <v>0</v>
      </c>
      <c r="WD316" s="9" t="n">
        <v>0</v>
      </c>
      <c r="WE316" s="9" t="n">
        <v>0</v>
      </c>
      <c r="WI316" s="10" t="n">
        <v>46292</v>
      </c>
      <c r="WK316" s="9" t="n">
        <v>0</v>
      </c>
      <c r="WM316" s="9" t="n">
        <v>0</v>
      </c>
      <c r="WN316" s="9" t="n">
        <v>1057</v>
      </c>
      <c r="WR316" s="10" t="n">
        <v>46292</v>
      </c>
      <c r="WT316" s="9" t="n">
        <v>0</v>
      </c>
      <c r="WV316" s="9" t="n">
        <v>0</v>
      </c>
      <c r="WW316" s="9" t="n">
        <v>0</v>
      </c>
      <c r="XA316" s="10" t="n">
        <v>46292</v>
      </c>
      <c r="XC316" s="9" t="n">
        <v>0</v>
      </c>
      <c r="XE316" s="9" t="n">
        <v>0</v>
      </c>
      <c r="XF316" s="9" t="n">
        <v>7507</v>
      </c>
      <c r="XJ316" s="10" t="n">
        <v>46292</v>
      </c>
      <c r="XL316" s="9" t="n">
        <v>0</v>
      </c>
      <c r="XN316" s="9" t="n">
        <v>0</v>
      </c>
      <c r="XO316" s="9" t="n">
        <v>4252</v>
      </c>
      <c r="XS316" s="10" t="n">
        <v>46292</v>
      </c>
      <c r="XU316" s="9" t="n">
        <v>0</v>
      </c>
      <c r="XW316" s="9" t="n">
        <v>0</v>
      </c>
      <c r="XX316" s="9" t="n">
        <v>2179</v>
      </c>
      <c r="YB316" s="10" t="n">
        <v>46292</v>
      </c>
      <c r="YD316" s="9" t="n">
        <v>0</v>
      </c>
      <c r="YF316" s="9" t="n">
        <v>0</v>
      </c>
      <c r="YG316" s="9" t="n">
        <v>4019</v>
      </c>
      <c r="YK316" s="10" t="n">
        <v>46292</v>
      </c>
      <c r="YM316" s="9" t="n">
        <v>0</v>
      </c>
      <c r="YO316" s="9" t="n">
        <v>0</v>
      </c>
      <c r="YP316" s="9" t="n">
        <v>-218</v>
      </c>
      <c r="YT316" s="10" t="n">
        <v>46292</v>
      </c>
      <c r="YV316" s="9" t="n">
        <v>0</v>
      </c>
      <c r="YX316" s="9" t="n">
        <v>0</v>
      </c>
      <c r="YY316" s="9" t="n">
        <v>0</v>
      </c>
      <c r="ZC316" s="10" t="n">
        <v>46292</v>
      </c>
      <c r="ZE316" s="9" t="n">
        <v>0</v>
      </c>
      <c r="ZG316" s="9" t="n">
        <v>0</v>
      </c>
      <c r="ZH316" s="9" t="n">
        <v>0</v>
      </c>
      <c r="ZL316" s="10" t="n">
        <v>46292</v>
      </c>
      <c r="ZN316" s="9" t="n">
        <v>0</v>
      </c>
      <c r="ZP316" s="9" t="n">
        <v>0</v>
      </c>
      <c r="ZQ316" s="9" t="n">
        <v>0</v>
      </c>
      <c r="ZU316" s="10" t="n">
        <v>46292</v>
      </c>
      <c r="ZW316" s="9" t="n">
        <v>0</v>
      </c>
      <c r="ZY316" s="9" t="n">
        <v>0</v>
      </c>
      <c r="ZZ316" s="9" t="n">
        <v>0</v>
      </c>
      <c r="AAD316" s="10" t="n">
        <v>46292</v>
      </c>
      <c r="AAF316" s="9" t="n">
        <v>0</v>
      </c>
      <c r="AAH316" s="9" t="n">
        <v>0</v>
      </c>
      <c r="AAI316" s="9" t="n">
        <v>0</v>
      </c>
      <c r="AAM316" s="10" t="n">
        <v>46292</v>
      </c>
      <c r="AAO316" s="9" t="n">
        <v>0</v>
      </c>
      <c r="AAQ316" s="9" t="n">
        <v>0</v>
      </c>
      <c r="AAR316" s="9" t="n">
        <v>0</v>
      </c>
      <c r="AAV316" s="10" t="n">
        <v>46292</v>
      </c>
      <c r="AAX316" s="9" t="n">
        <v>0</v>
      </c>
      <c r="AAZ316" s="9" t="n">
        <v>0</v>
      </c>
      <c r="ABA316" s="9" t="n">
        <v>0</v>
      </c>
      <c r="ABE316" s="10" t="n">
        <v>46292</v>
      </c>
      <c r="ABG316" s="9" t="n">
        <v>0</v>
      </c>
      <c r="ABI316" s="9" t="n">
        <v>0</v>
      </c>
      <c r="ABJ316" s="9" t="n">
        <v>0</v>
      </c>
    </row>
    <row r="317">
      <c r="C317" s="10" t="n">
        <v>46293</v>
      </c>
      <c r="E317" s="9" t="n">
        <v>0</v>
      </c>
      <c r="G317" s="9" t="n">
        <v>0</v>
      </c>
      <c r="H317" s="9" t="n">
        <v>236936.6</v>
      </c>
      <c r="L317" s="10" t="n">
        <v>46293</v>
      </c>
      <c r="N317" s="9" t="n">
        <v>0</v>
      </c>
      <c r="P317" s="9" t="n">
        <v>0</v>
      </c>
      <c r="Q317" s="9" t="n">
        <v>53017.60000000007</v>
      </c>
      <c r="U317" s="10" t="n">
        <v>46293</v>
      </c>
      <c r="W317" s="9" t="n">
        <v>0</v>
      </c>
      <c r="Y317" s="9" t="n">
        <v>0</v>
      </c>
      <c r="Z317" s="9" t="n">
        <v>42674.19999999997</v>
      </c>
      <c r="AD317" s="10" t="n">
        <v>46293</v>
      </c>
      <c r="AF317" s="9" t="n">
        <v>0</v>
      </c>
      <c r="AH317" s="9" t="n">
        <v>0</v>
      </c>
      <c r="AI317" s="9" t="n">
        <v>4522.200000000019</v>
      </c>
      <c r="AM317" s="10" t="n">
        <v>46293</v>
      </c>
      <c r="AO317" s="9" t="n">
        <v>0</v>
      </c>
      <c r="AQ317" s="9" t="n">
        <v>0</v>
      </c>
      <c r="AR317" s="9" t="n">
        <v>0</v>
      </c>
      <c r="AV317" s="10" t="n">
        <v>46293</v>
      </c>
      <c r="AX317" s="9" t="n">
        <v>0</v>
      </c>
      <c r="AZ317" s="9" t="n">
        <v>0</v>
      </c>
      <c r="BA317" s="9" t="n">
        <v>124.9999999999952</v>
      </c>
      <c r="BE317" s="10" t="n">
        <v>46293</v>
      </c>
      <c r="BG317" s="9" t="n">
        <v>0</v>
      </c>
      <c r="BI317" s="9" t="n">
        <v>0</v>
      </c>
      <c r="BJ317" s="9" t="n">
        <v>26151.9</v>
      </c>
      <c r="BN317" s="10" t="n">
        <v>46293</v>
      </c>
      <c r="BP317" s="9" t="n">
        <v>0</v>
      </c>
      <c r="BR317" s="9" t="n">
        <v>0</v>
      </c>
      <c r="BS317" s="9" t="n">
        <v>0</v>
      </c>
      <c r="BW317" s="10" t="n">
        <v>46293</v>
      </c>
      <c r="BY317" s="9" t="n">
        <v>0</v>
      </c>
      <c r="CA317" s="9" t="n">
        <v>0</v>
      </c>
      <c r="CB317" s="9" t="n">
        <v>2097.339999999999</v>
      </c>
      <c r="CF317" s="10" t="n">
        <v>46293</v>
      </c>
      <c r="CH317" s="9" t="n">
        <v>0</v>
      </c>
      <c r="CJ317" s="9" t="n">
        <v>0</v>
      </c>
      <c r="CK317" s="9" t="n">
        <v>-10277.08</v>
      </c>
      <c r="CO317" s="10" t="n">
        <v>46293</v>
      </c>
      <c r="CQ317" s="9" t="n">
        <v>0</v>
      </c>
      <c r="CS317" s="9" t="n">
        <v>0</v>
      </c>
      <c r="CT317" s="9" t="n">
        <v>0</v>
      </c>
      <c r="CX317" s="10" t="n">
        <v>46293</v>
      </c>
      <c r="CZ317" s="9" t="n">
        <v>0</v>
      </c>
      <c r="DB317" s="9" t="n">
        <v>0</v>
      </c>
      <c r="DC317" s="9" t="n">
        <v>27438.20000000001</v>
      </c>
      <c r="DG317" s="10" t="n">
        <v>46293</v>
      </c>
      <c r="DI317" s="9" t="n">
        <v>0</v>
      </c>
      <c r="DK317" s="9" t="n">
        <v>0</v>
      </c>
      <c r="DL317" s="9" t="n">
        <v>18782.29999999998</v>
      </c>
      <c r="DP317" s="10" t="n">
        <v>46293</v>
      </c>
      <c r="DR317" s="9" t="n">
        <v>0</v>
      </c>
      <c r="DT317" s="9" t="n">
        <v>0</v>
      </c>
      <c r="DU317" s="9" t="n">
        <v>5800</v>
      </c>
      <c r="DY317" s="10" t="n">
        <v>46293</v>
      </c>
      <c r="EA317" s="9" t="n">
        <v>0</v>
      </c>
      <c r="EC317" s="9" t="n">
        <v>0</v>
      </c>
      <c r="ED317" s="9" t="n">
        <v>0</v>
      </c>
      <c r="EH317" s="10" t="n">
        <v>46293</v>
      </c>
      <c r="EJ317" s="9" t="n">
        <v>0</v>
      </c>
      <c r="EL317" s="9" t="n">
        <v>0</v>
      </c>
      <c r="EM317" s="9" t="n">
        <v>0</v>
      </c>
      <c r="EQ317" s="10" t="n">
        <v>46293</v>
      </c>
      <c r="ES317" s="9" t="n">
        <v>0</v>
      </c>
      <c r="EU317" s="9" t="n">
        <v>0</v>
      </c>
      <c r="EV317" s="9" t="n">
        <v>0</v>
      </c>
      <c r="EZ317" s="10" t="n">
        <v>46293</v>
      </c>
      <c r="FB317" s="9" t="n">
        <v>0</v>
      </c>
      <c r="FD317" s="9" t="n">
        <v>0</v>
      </c>
      <c r="FE317" s="9" t="n">
        <v>0</v>
      </c>
      <c r="FI317" s="10" t="n">
        <v>46293</v>
      </c>
      <c r="FK317" s="9" t="n">
        <v>0</v>
      </c>
      <c r="FM317" s="9" t="n">
        <v>0</v>
      </c>
      <c r="FN317" s="9" t="n">
        <v>0</v>
      </c>
      <c r="FR317" s="10" t="n">
        <v>46293</v>
      </c>
      <c r="FT317" s="9" t="n">
        <v>0</v>
      </c>
      <c r="FV317" s="9" t="n">
        <v>0</v>
      </c>
      <c r="FW317" s="9" t="n">
        <v>2020</v>
      </c>
      <c r="GA317" s="10" t="n">
        <v>46293</v>
      </c>
      <c r="GC317" s="9" t="n">
        <v>0</v>
      </c>
      <c r="GE317" s="9" t="n">
        <v>0</v>
      </c>
      <c r="GF317" s="9" t="n">
        <v>960</v>
      </c>
      <c r="GJ317" s="10" t="n">
        <v>46293</v>
      </c>
      <c r="GL317" s="9" t="n">
        <v>0</v>
      </c>
      <c r="GN317" s="9" t="n">
        <v>0</v>
      </c>
      <c r="GO317" s="9" t="n">
        <v>1760</v>
      </c>
      <c r="GS317" s="10" t="n">
        <v>46293</v>
      </c>
      <c r="GU317" s="9" t="n">
        <v>0</v>
      </c>
      <c r="GW317" s="9" t="n">
        <v>0</v>
      </c>
      <c r="GX317" s="9" t="n">
        <v>400</v>
      </c>
      <c r="HB317" s="10" t="n">
        <v>46293</v>
      </c>
      <c r="HD317" s="9" t="n">
        <v>0</v>
      </c>
      <c r="HF317" s="9" t="n">
        <v>0</v>
      </c>
      <c r="HG317" s="9" t="n">
        <v>3600</v>
      </c>
      <c r="HK317" s="10" t="n">
        <v>46293</v>
      </c>
      <c r="HM317" s="9" t="n">
        <v>0</v>
      </c>
      <c r="HO317" s="9" t="n">
        <v>0</v>
      </c>
      <c r="HP317" s="9" t="n">
        <v>0</v>
      </c>
      <c r="HU317" s="10" t="n">
        <v>46293</v>
      </c>
      <c r="HW317" s="9" t="n">
        <v>0</v>
      </c>
      <c r="HY317" s="9" t="n">
        <v>0</v>
      </c>
      <c r="HZ317" s="9" t="n">
        <v>6120</v>
      </c>
      <c r="ID317" s="10" t="n">
        <v>46293</v>
      </c>
      <c r="IF317" s="9" t="n">
        <v>0</v>
      </c>
      <c r="IH317" s="9" t="n">
        <v>0</v>
      </c>
      <c r="II317" s="9" t="n">
        <v>0</v>
      </c>
      <c r="IM317" s="10" t="n">
        <v>46293</v>
      </c>
      <c r="IO317" s="9" t="n">
        <v>0</v>
      </c>
      <c r="IQ317" s="9" t="n">
        <v>0</v>
      </c>
      <c r="IR317" s="9" t="n">
        <v>0</v>
      </c>
      <c r="IV317" s="10" t="n">
        <v>46293</v>
      </c>
      <c r="IX317" s="9" t="n">
        <v>0</v>
      </c>
      <c r="IZ317" s="9" t="n">
        <v>0</v>
      </c>
      <c r="JA317" s="9" t="n">
        <v>2820</v>
      </c>
      <c r="JE317" s="10" t="n">
        <v>46293</v>
      </c>
      <c r="JG317" s="9" t="n">
        <v>0</v>
      </c>
      <c r="JI317" s="9" t="n">
        <v>0</v>
      </c>
      <c r="JJ317" s="9" t="n">
        <v>0</v>
      </c>
      <c r="JN317" s="10" t="n">
        <v>46293</v>
      </c>
      <c r="JP317" s="9" t="n">
        <v>0</v>
      </c>
      <c r="JR317" s="9" t="n">
        <v>0</v>
      </c>
      <c r="JS317" s="9" t="n">
        <v>0</v>
      </c>
      <c r="JW317" s="10" t="n">
        <v>46293</v>
      </c>
      <c r="JY317" s="9" t="n">
        <v>0</v>
      </c>
      <c r="KA317" s="9" t="n">
        <v>0</v>
      </c>
      <c r="KB317" s="9" t="n">
        <v>2540</v>
      </c>
      <c r="KF317" s="10" t="n">
        <v>46293</v>
      </c>
      <c r="KH317" s="9" t="n">
        <v>0</v>
      </c>
      <c r="KJ317" s="9" t="n">
        <v>0</v>
      </c>
      <c r="KK317" s="9" t="n">
        <v>2359.5</v>
      </c>
      <c r="KO317" s="10" t="n">
        <v>46293</v>
      </c>
      <c r="KQ317" s="9" t="n">
        <v>0</v>
      </c>
      <c r="KS317" s="9" t="n">
        <v>0</v>
      </c>
      <c r="KT317" s="9" t="n">
        <v>1890</v>
      </c>
      <c r="KX317" s="10" t="n">
        <v>46293</v>
      </c>
      <c r="KZ317" s="9" t="n">
        <v>0</v>
      </c>
      <c r="LB317" s="9" t="n">
        <v>0</v>
      </c>
      <c r="LC317" s="9" t="n">
        <v>3690</v>
      </c>
      <c r="LG317" s="10" t="n">
        <v>46293</v>
      </c>
      <c r="LI317" s="9" t="n">
        <v>0</v>
      </c>
      <c r="LK317" s="9" t="n">
        <v>0</v>
      </c>
      <c r="LL317" s="9" t="n">
        <v>4000</v>
      </c>
      <c r="LP317" s="10" t="n">
        <v>46293</v>
      </c>
      <c r="LR317" s="9" t="n">
        <v>0</v>
      </c>
      <c r="LT317" s="9" t="n">
        <v>0</v>
      </c>
      <c r="LU317" s="9" t="n">
        <v>0</v>
      </c>
      <c r="LY317" s="10" t="n">
        <v>46293</v>
      </c>
      <c r="MA317" s="9" t="n">
        <v>0</v>
      </c>
      <c r="MC317" s="9" t="n">
        <v>0</v>
      </c>
      <c r="MD317" s="9" t="n">
        <v>0</v>
      </c>
      <c r="MH317" s="10" t="n">
        <v>46293</v>
      </c>
      <c r="MJ317" s="9" t="n">
        <v>0</v>
      </c>
      <c r="ML317" s="9" t="n">
        <v>0</v>
      </c>
      <c r="MM317" s="9" t="n">
        <v>0</v>
      </c>
      <c r="MQ317" s="10" t="n">
        <v>46293</v>
      </c>
      <c r="MS317" s="9" t="n">
        <v>0</v>
      </c>
      <c r="MU317" s="9" t="n">
        <v>0</v>
      </c>
      <c r="MV317" s="9" t="n">
        <v>1625</v>
      </c>
      <c r="MZ317" s="10" t="n">
        <v>46293</v>
      </c>
      <c r="NB317" s="9" t="n">
        <v>0</v>
      </c>
      <c r="ND317" s="9" t="n">
        <v>0</v>
      </c>
      <c r="NE317" s="9" t="n">
        <v>0</v>
      </c>
      <c r="NI317" s="10" t="n">
        <v>46293</v>
      </c>
      <c r="NK317" s="9" t="n">
        <v>0</v>
      </c>
      <c r="NM317" s="9" t="n">
        <v>0</v>
      </c>
      <c r="NN317" s="9" t="n">
        <v>1127</v>
      </c>
      <c r="NR317" s="10" t="n">
        <v>46293</v>
      </c>
      <c r="NT317" s="9" t="n">
        <v>0</v>
      </c>
      <c r="NV317" s="9" t="n">
        <v>0</v>
      </c>
      <c r="NW317" s="9" t="n">
        <v>3112</v>
      </c>
      <c r="OA317" s="10" t="n">
        <v>46293</v>
      </c>
      <c r="OC317" s="9" t="n">
        <v>0</v>
      </c>
      <c r="OE317" s="9" t="n">
        <v>0</v>
      </c>
      <c r="OF317" s="9" t="n">
        <v>1680.5</v>
      </c>
      <c r="OJ317" s="10" t="n">
        <v>46293</v>
      </c>
      <c r="OL317" s="9" t="n">
        <v>0</v>
      </c>
      <c r="ON317" s="9" t="n">
        <v>0</v>
      </c>
      <c r="OO317" s="9" t="n">
        <v>0</v>
      </c>
      <c r="OS317" s="10" t="n">
        <v>46293</v>
      </c>
      <c r="OU317" s="9" t="n">
        <v>0</v>
      </c>
      <c r="OW317" s="9" t="n">
        <v>0</v>
      </c>
      <c r="OX317" s="9" t="n">
        <v>1482</v>
      </c>
      <c r="PB317" s="10" t="n">
        <v>46293</v>
      </c>
      <c r="PD317" s="9" t="n">
        <v>0</v>
      </c>
      <c r="PF317" s="9" t="n">
        <v>0</v>
      </c>
      <c r="PG317" s="9" t="n">
        <v>0</v>
      </c>
      <c r="PK317" s="10" t="n">
        <v>46293</v>
      </c>
      <c r="PM317" s="9" t="n">
        <v>0</v>
      </c>
      <c r="PO317" s="9" t="n">
        <v>0</v>
      </c>
      <c r="PP317" s="9" t="n">
        <v>100</v>
      </c>
      <c r="PT317" s="10" t="n">
        <v>46293</v>
      </c>
      <c r="PV317" s="9" t="n">
        <v>0</v>
      </c>
      <c r="PX317" s="9" t="n">
        <v>0</v>
      </c>
      <c r="PY317" s="9" t="n">
        <v>13.96000000000004</v>
      </c>
      <c r="QC317" s="10" t="n">
        <v>46293</v>
      </c>
      <c r="QE317" s="9" t="n">
        <v>0</v>
      </c>
      <c r="QG317" s="9" t="n">
        <v>0</v>
      </c>
      <c r="QH317" s="9" t="n">
        <v>548</v>
      </c>
      <c r="QL317" s="10" t="n">
        <v>46293</v>
      </c>
      <c r="QN317" s="9" t="n">
        <v>0</v>
      </c>
      <c r="QP317" s="9" t="n">
        <v>0</v>
      </c>
      <c r="QQ317" s="9" t="n">
        <v>0</v>
      </c>
      <c r="QU317" s="10" t="n">
        <v>46293</v>
      </c>
      <c r="QW317" s="9" t="n">
        <v>0</v>
      </c>
      <c r="QY317" s="9" t="n">
        <v>0</v>
      </c>
      <c r="QZ317" s="9" t="n">
        <v>0</v>
      </c>
      <c r="RD317" s="10" t="n">
        <v>46293</v>
      </c>
      <c r="RF317" s="9" t="n">
        <v>0</v>
      </c>
      <c r="RH317" s="9" t="n">
        <v>0</v>
      </c>
      <c r="RI317" s="9" t="n">
        <v>147.04</v>
      </c>
      <c r="RM317" s="10" t="n">
        <v>46293</v>
      </c>
      <c r="RO317" s="9" t="n">
        <v>0</v>
      </c>
      <c r="RQ317" s="9" t="n">
        <v>0</v>
      </c>
      <c r="RR317" s="9" t="n">
        <v>46.8</v>
      </c>
      <c r="RV317" s="10" t="n">
        <v>46293</v>
      </c>
      <c r="RX317" s="9" t="n">
        <v>0</v>
      </c>
      <c r="RZ317" s="9" t="n">
        <v>0</v>
      </c>
      <c r="SA317" s="9" t="n">
        <v>0</v>
      </c>
      <c r="SE317" s="10" t="n">
        <v>46293</v>
      </c>
      <c r="SG317" s="9" t="n">
        <v>0</v>
      </c>
      <c r="SI317" s="9" t="n">
        <v>0</v>
      </c>
      <c r="SJ317" s="9" t="n">
        <v>24.2</v>
      </c>
      <c r="SN317" s="10" t="n">
        <v>46293</v>
      </c>
      <c r="SP317" s="9" t="n">
        <v>0</v>
      </c>
      <c r="SR317" s="9" t="n">
        <v>0</v>
      </c>
      <c r="SS317" s="9" t="n">
        <v>32</v>
      </c>
      <c r="SW317" s="10" t="n">
        <v>46293</v>
      </c>
      <c r="SY317" s="9" t="n">
        <v>0</v>
      </c>
      <c r="TA317" s="9" t="n">
        <v>0</v>
      </c>
      <c r="TB317" s="9" t="n">
        <v>0</v>
      </c>
      <c r="TF317" s="10" t="n">
        <v>46293</v>
      </c>
      <c r="TH317" s="9" t="n">
        <v>0</v>
      </c>
      <c r="TJ317" s="9" t="n">
        <v>0</v>
      </c>
      <c r="TK317" s="9" t="n">
        <v>0</v>
      </c>
      <c r="TO317" s="10" t="n">
        <v>46293</v>
      </c>
      <c r="TQ317" s="9" t="n">
        <v>0</v>
      </c>
      <c r="TS317" s="9" t="n">
        <v>0</v>
      </c>
      <c r="TT317" s="9" t="n">
        <v>0</v>
      </c>
      <c r="TX317" s="10" t="n">
        <v>46293</v>
      </c>
      <c r="TZ317" s="9" t="n">
        <v>0</v>
      </c>
      <c r="UB317" s="9" t="n">
        <v>0</v>
      </c>
      <c r="UC317" s="9" t="n">
        <v>46.79999999999998</v>
      </c>
      <c r="UG317" s="10" t="n">
        <v>46293</v>
      </c>
      <c r="UI317" s="9" t="n">
        <v>0</v>
      </c>
      <c r="UK317" s="9" t="n">
        <v>0</v>
      </c>
      <c r="UL317" s="9" t="n">
        <v>204</v>
      </c>
      <c r="UP317" s="10" t="n">
        <v>46293</v>
      </c>
      <c r="UR317" s="9" t="n">
        <v>0</v>
      </c>
      <c r="UT317" s="9" t="n">
        <v>0</v>
      </c>
      <c r="UU317" s="9" t="n">
        <v>202.5</v>
      </c>
      <c r="UY317" s="10" t="n">
        <v>46293</v>
      </c>
      <c r="VA317" s="9" t="n">
        <v>0</v>
      </c>
      <c r="VC317" s="9" t="n">
        <v>0</v>
      </c>
      <c r="VD317" s="9" t="n">
        <v>41.60000000000002</v>
      </c>
      <c r="VH317" s="10" t="n">
        <v>46293</v>
      </c>
      <c r="VJ317" s="9" t="n">
        <v>0</v>
      </c>
      <c r="VL317" s="9" t="n">
        <v>0</v>
      </c>
      <c r="VM317" s="9" t="n">
        <v>210</v>
      </c>
      <c r="VQ317" s="10" t="n">
        <v>46293</v>
      </c>
      <c r="VS317" s="9" t="n">
        <v>0</v>
      </c>
      <c r="VU317" s="9" t="n">
        <v>0</v>
      </c>
      <c r="VV317" s="9" t="n">
        <v>0</v>
      </c>
      <c r="VZ317" s="10" t="n">
        <v>46293</v>
      </c>
      <c r="WB317" s="9" t="n">
        <v>0</v>
      </c>
      <c r="WD317" s="9" t="n">
        <v>0</v>
      </c>
      <c r="WE317" s="9" t="n">
        <v>0</v>
      </c>
      <c r="WI317" s="10" t="n">
        <v>46293</v>
      </c>
      <c r="WK317" s="9" t="n">
        <v>0</v>
      </c>
      <c r="WM317" s="9" t="n">
        <v>0</v>
      </c>
      <c r="WN317" s="9" t="n">
        <v>1057</v>
      </c>
      <c r="WR317" s="10" t="n">
        <v>46293</v>
      </c>
      <c r="WT317" s="9" t="n">
        <v>0</v>
      </c>
      <c r="WV317" s="9" t="n">
        <v>0</v>
      </c>
      <c r="WW317" s="9" t="n">
        <v>0</v>
      </c>
      <c r="XA317" s="10" t="n">
        <v>46293</v>
      </c>
      <c r="XC317" s="9" t="n">
        <v>0</v>
      </c>
      <c r="XE317" s="9" t="n">
        <v>0</v>
      </c>
      <c r="XF317" s="9" t="n">
        <v>7507</v>
      </c>
      <c r="XJ317" s="10" t="n">
        <v>46293</v>
      </c>
      <c r="XL317" s="9" t="n">
        <v>0</v>
      </c>
      <c r="XN317" s="9" t="n">
        <v>0</v>
      </c>
      <c r="XO317" s="9" t="n">
        <v>4252</v>
      </c>
      <c r="XS317" s="10" t="n">
        <v>46293</v>
      </c>
      <c r="XU317" s="9" t="n">
        <v>0</v>
      </c>
      <c r="XW317" s="9" t="n">
        <v>0</v>
      </c>
      <c r="XX317" s="9" t="n">
        <v>2179</v>
      </c>
      <c r="YB317" s="10" t="n">
        <v>46293</v>
      </c>
      <c r="YD317" s="9" t="n">
        <v>0</v>
      </c>
      <c r="YF317" s="9" t="n">
        <v>0</v>
      </c>
      <c r="YG317" s="9" t="n">
        <v>4019</v>
      </c>
      <c r="YK317" s="10" t="n">
        <v>46293</v>
      </c>
      <c r="YM317" s="9" t="n">
        <v>0</v>
      </c>
      <c r="YO317" s="9" t="n">
        <v>0</v>
      </c>
      <c r="YP317" s="9" t="n">
        <v>-218</v>
      </c>
      <c r="YT317" s="10" t="n">
        <v>46293</v>
      </c>
      <c r="YV317" s="9" t="n">
        <v>0</v>
      </c>
      <c r="YX317" s="9" t="n">
        <v>0</v>
      </c>
      <c r="YY317" s="9" t="n">
        <v>0</v>
      </c>
      <c r="ZC317" s="10" t="n">
        <v>46293</v>
      </c>
      <c r="ZE317" s="9" t="n">
        <v>0</v>
      </c>
      <c r="ZG317" s="9" t="n">
        <v>0</v>
      </c>
      <c r="ZH317" s="9" t="n">
        <v>0</v>
      </c>
      <c r="ZL317" s="10" t="n">
        <v>46293</v>
      </c>
      <c r="ZN317" s="9" t="n">
        <v>0</v>
      </c>
      <c r="ZP317" s="9" t="n">
        <v>0</v>
      </c>
      <c r="ZQ317" s="9" t="n">
        <v>0</v>
      </c>
      <c r="ZU317" s="10" t="n">
        <v>46293</v>
      </c>
      <c r="ZW317" s="9" t="n">
        <v>0</v>
      </c>
      <c r="ZY317" s="9" t="n">
        <v>0</v>
      </c>
      <c r="ZZ317" s="9" t="n">
        <v>0</v>
      </c>
      <c r="AAD317" s="10" t="n">
        <v>46293</v>
      </c>
      <c r="AAF317" s="9" t="n">
        <v>0</v>
      </c>
      <c r="AAH317" s="9" t="n">
        <v>0</v>
      </c>
      <c r="AAI317" s="9" t="n">
        <v>0</v>
      </c>
      <c r="AAM317" s="10" t="n">
        <v>46293</v>
      </c>
      <c r="AAO317" s="9" t="n">
        <v>0</v>
      </c>
      <c r="AAQ317" s="9" t="n">
        <v>0</v>
      </c>
      <c r="AAR317" s="9" t="n">
        <v>0</v>
      </c>
      <c r="AAV317" s="10" t="n">
        <v>46293</v>
      </c>
      <c r="AAX317" s="9" t="n">
        <v>0</v>
      </c>
      <c r="AAZ317" s="9" t="n">
        <v>0</v>
      </c>
      <c r="ABA317" s="9" t="n">
        <v>0</v>
      </c>
      <c r="ABE317" s="10" t="n">
        <v>46293</v>
      </c>
      <c r="ABG317" s="9" t="n">
        <v>0</v>
      </c>
      <c r="ABI317" s="9" t="n">
        <v>0</v>
      </c>
      <c r="ABJ317" s="9" t="n">
        <v>0</v>
      </c>
    </row>
    <row r="318">
      <c r="C318" s="10" t="n">
        <v>46294</v>
      </c>
      <c r="E318" s="9" t="n">
        <v>0</v>
      </c>
      <c r="G318" s="9" t="n">
        <v>0</v>
      </c>
      <c r="H318" s="9" t="n">
        <v>236936.6</v>
      </c>
      <c r="L318" s="10" t="n">
        <v>46294</v>
      </c>
      <c r="N318" s="9" t="n">
        <v>0</v>
      </c>
      <c r="P318" s="9" t="n">
        <v>0</v>
      </c>
      <c r="Q318" s="9" t="n">
        <v>53017.60000000007</v>
      </c>
      <c r="U318" s="10" t="n">
        <v>46294</v>
      </c>
      <c r="W318" s="9" t="n">
        <v>0</v>
      </c>
      <c r="Y318" s="9" t="n">
        <v>0</v>
      </c>
      <c r="Z318" s="9" t="n">
        <v>42674.19999999997</v>
      </c>
      <c r="AD318" s="10" t="n">
        <v>46294</v>
      </c>
      <c r="AF318" s="9" t="n">
        <v>0</v>
      </c>
      <c r="AH318" s="9" t="n">
        <v>0</v>
      </c>
      <c r="AI318" s="9" t="n">
        <v>4522.200000000019</v>
      </c>
      <c r="AM318" s="10" t="n">
        <v>46294</v>
      </c>
      <c r="AO318" s="9" t="n">
        <v>0</v>
      </c>
      <c r="AQ318" s="9" t="n">
        <v>0</v>
      </c>
      <c r="AR318" s="9" t="n">
        <v>0</v>
      </c>
      <c r="AV318" s="10" t="n">
        <v>46294</v>
      </c>
      <c r="AX318" s="9" t="n">
        <v>0</v>
      </c>
      <c r="AZ318" s="9" t="n">
        <v>0</v>
      </c>
      <c r="BA318" s="9" t="n">
        <v>124.9999999999952</v>
      </c>
      <c r="BE318" s="10" t="n">
        <v>46294</v>
      </c>
      <c r="BG318" s="9" t="n">
        <v>0</v>
      </c>
      <c r="BI318" s="9" t="n">
        <v>0</v>
      </c>
      <c r="BJ318" s="9" t="n">
        <v>26151.9</v>
      </c>
      <c r="BN318" s="10" t="n">
        <v>46294</v>
      </c>
      <c r="BP318" s="9" t="n">
        <v>0</v>
      </c>
      <c r="BR318" s="9" t="n">
        <v>0</v>
      </c>
      <c r="BS318" s="9" t="n">
        <v>0</v>
      </c>
      <c r="BW318" s="10" t="n">
        <v>46294</v>
      </c>
      <c r="BY318" s="9" t="n">
        <v>0</v>
      </c>
      <c r="CA318" s="9" t="n">
        <v>0</v>
      </c>
      <c r="CB318" s="9" t="n">
        <v>2097.339999999999</v>
      </c>
      <c r="CF318" s="10" t="n">
        <v>46294</v>
      </c>
      <c r="CH318" s="9" t="n">
        <v>0</v>
      </c>
      <c r="CJ318" s="9" t="n">
        <v>0</v>
      </c>
      <c r="CK318" s="9" t="n">
        <v>-10277.08</v>
      </c>
      <c r="CO318" s="10" t="n">
        <v>46294</v>
      </c>
      <c r="CQ318" s="9" t="n">
        <v>0</v>
      </c>
      <c r="CS318" s="9" t="n">
        <v>0</v>
      </c>
      <c r="CT318" s="9" t="n">
        <v>0</v>
      </c>
      <c r="CX318" s="10" t="n">
        <v>46294</v>
      </c>
      <c r="CZ318" s="9" t="n">
        <v>0</v>
      </c>
      <c r="DB318" s="9" t="n">
        <v>0</v>
      </c>
      <c r="DC318" s="9" t="n">
        <v>27438.20000000001</v>
      </c>
      <c r="DG318" s="10" t="n">
        <v>46294</v>
      </c>
      <c r="DI318" s="9" t="n">
        <v>0</v>
      </c>
      <c r="DK318" s="9" t="n">
        <v>0</v>
      </c>
      <c r="DL318" s="9" t="n">
        <v>18782.29999999998</v>
      </c>
      <c r="DP318" s="10" t="n">
        <v>46294</v>
      </c>
      <c r="DR318" s="9" t="n">
        <v>0</v>
      </c>
      <c r="DT318" s="9" t="n">
        <v>0</v>
      </c>
      <c r="DU318" s="9" t="n">
        <v>5800</v>
      </c>
      <c r="DY318" s="10" t="n">
        <v>46294</v>
      </c>
      <c r="EA318" s="9" t="n">
        <v>0</v>
      </c>
      <c r="EC318" s="9" t="n">
        <v>0</v>
      </c>
      <c r="ED318" s="9" t="n">
        <v>0</v>
      </c>
      <c r="EH318" s="10" t="n">
        <v>46294</v>
      </c>
      <c r="EJ318" s="9" t="n">
        <v>0</v>
      </c>
      <c r="EL318" s="9" t="n">
        <v>0</v>
      </c>
      <c r="EM318" s="9" t="n">
        <v>0</v>
      </c>
      <c r="EQ318" s="10" t="n">
        <v>46294</v>
      </c>
      <c r="ES318" s="9" t="n">
        <v>0</v>
      </c>
      <c r="EU318" s="9" t="n">
        <v>0</v>
      </c>
      <c r="EV318" s="9" t="n">
        <v>0</v>
      </c>
      <c r="EZ318" s="10" t="n">
        <v>46294</v>
      </c>
      <c r="FB318" s="9" t="n">
        <v>0</v>
      </c>
      <c r="FD318" s="9" t="n">
        <v>0</v>
      </c>
      <c r="FE318" s="9" t="n">
        <v>0</v>
      </c>
      <c r="FI318" s="10" t="n">
        <v>46294</v>
      </c>
      <c r="FK318" s="9" t="n">
        <v>0</v>
      </c>
      <c r="FM318" s="9" t="n">
        <v>0</v>
      </c>
      <c r="FN318" s="9" t="n">
        <v>0</v>
      </c>
      <c r="FR318" s="10" t="n">
        <v>46294</v>
      </c>
      <c r="FT318" s="9" t="n">
        <v>0</v>
      </c>
      <c r="FV318" s="9" t="n">
        <v>0</v>
      </c>
      <c r="FW318" s="9" t="n">
        <v>2020</v>
      </c>
      <c r="GA318" s="10" t="n">
        <v>46294</v>
      </c>
      <c r="GC318" s="9" t="n">
        <v>0</v>
      </c>
      <c r="GE318" s="9" t="n">
        <v>0</v>
      </c>
      <c r="GF318" s="9" t="n">
        <v>960</v>
      </c>
      <c r="GJ318" s="10" t="n">
        <v>46294</v>
      </c>
      <c r="GL318" s="9" t="n">
        <v>0</v>
      </c>
      <c r="GN318" s="9" t="n">
        <v>0</v>
      </c>
      <c r="GO318" s="9" t="n">
        <v>1760</v>
      </c>
      <c r="GS318" s="10" t="n">
        <v>46294</v>
      </c>
      <c r="GU318" s="9" t="n">
        <v>0</v>
      </c>
      <c r="GW318" s="9" t="n">
        <v>0</v>
      </c>
      <c r="GX318" s="9" t="n">
        <v>400</v>
      </c>
      <c r="HB318" s="10" t="n">
        <v>46294</v>
      </c>
      <c r="HD318" s="9" t="n">
        <v>0</v>
      </c>
      <c r="HF318" s="9" t="n">
        <v>0</v>
      </c>
      <c r="HG318" s="9" t="n">
        <v>3600</v>
      </c>
      <c r="HK318" s="10" t="n">
        <v>46294</v>
      </c>
      <c r="HM318" s="9" t="n">
        <v>0</v>
      </c>
      <c r="HO318" s="9" t="n">
        <v>0</v>
      </c>
      <c r="HP318" s="9" t="n">
        <v>0</v>
      </c>
      <c r="HU318" s="10" t="n">
        <v>46294</v>
      </c>
      <c r="HW318" s="9" t="n">
        <v>0</v>
      </c>
      <c r="HY318" s="9" t="n">
        <v>0</v>
      </c>
      <c r="HZ318" s="9" t="n">
        <v>6120</v>
      </c>
      <c r="ID318" s="10" t="n">
        <v>46294</v>
      </c>
      <c r="IF318" s="9" t="n">
        <v>0</v>
      </c>
      <c r="IH318" s="9" t="n">
        <v>0</v>
      </c>
      <c r="II318" s="9" t="n">
        <v>0</v>
      </c>
      <c r="IM318" s="10" t="n">
        <v>46294</v>
      </c>
      <c r="IO318" s="9" t="n">
        <v>0</v>
      </c>
      <c r="IQ318" s="9" t="n">
        <v>0</v>
      </c>
      <c r="IR318" s="9" t="n">
        <v>0</v>
      </c>
      <c r="IV318" s="10" t="n">
        <v>46294</v>
      </c>
      <c r="IX318" s="9" t="n">
        <v>0</v>
      </c>
      <c r="IZ318" s="9" t="n">
        <v>0</v>
      </c>
      <c r="JA318" s="9" t="n">
        <v>2820</v>
      </c>
      <c r="JE318" s="10" t="n">
        <v>46294</v>
      </c>
      <c r="JG318" s="9" t="n">
        <v>0</v>
      </c>
      <c r="JI318" s="9" t="n">
        <v>0</v>
      </c>
      <c r="JJ318" s="9" t="n">
        <v>0</v>
      </c>
      <c r="JN318" s="10" t="n">
        <v>46294</v>
      </c>
      <c r="JP318" s="9" t="n">
        <v>0</v>
      </c>
      <c r="JR318" s="9" t="n">
        <v>0</v>
      </c>
      <c r="JS318" s="9" t="n">
        <v>0</v>
      </c>
      <c r="JW318" s="10" t="n">
        <v>46294</v>
      </c>
      <c r="JY318" s="9" t="n">
        <v>0</v>
      </c>
      <c r="KA318" s="9" t="n">
        <v>0</v>
      </c>
      <c r="KB318" s="9" t="n">
        <v>2540</v>
      </c>
      <c r="KF318" s="10" t="n">
        <v>46294</v>
      </c>
      <c r="KH318" s="9" t="n">
        <v>0</v>
      </c>
      <c r="KJ318" s="9" t="n">
        <v>0</v>
      </c>
      <c r="KK318" s="9" t="n">
        <v>2359.5</v>
      </c>
      <c r="KO318" s="10" t="n">
        <v>46294</v>
      </c>
      <c r="KQ318" s="9" t="n">
        <v>0</v>
      </c>
      <c r="KS318" s="9" t="n">
        <v>0</v>
      </c>
      <c r="KT318" s="9" t="n">
        <v>1890</v>
      </c>
      <c r="KX318" s="10" t="n">
        <v>46294</v>
      </c>
      <c r="KZ318" s="9" t="n">
        <v>0</v>
      </c>
      <c r="LB318" s="9" t="n">
        <v>0</v>
      </c>
      <c r="LC318" s="9" t="n">
        <v>3690</v>
      </c>
      <c r="LG318" s="10" t="n">
        <v>46294</v>
      </c>
      <c r="LI318" s="9" t="n">
        <v>0</v>
      </c>
      <c r="LK318" s="9" t="n">
        <v>0</v>
      </c>
      <c r="LL318" s="9" t="n">
        <v>4000</v>
      </c>
      <c r="LP318" s="10" t="n">
        <v>46294</v>
      </c>
      <c r="LR318" s="9" t="n">
        <v>0</v>
      </c>
      <c r="LT318" s="9" t="n">
        <v>0</v>
      </c>
      <c r="LU318" s="9" t="n">
        <v>0</v>
      </c>
      <c r="LY318" s="10" t="n">
        <v>46294</v>
      </c>
      <c r="MA318" s="9" t="n">
        <v>0</v>
      </c>
      <c r="MC318" s="9" t="n">
        <v>0</v>
      </c>
      <c r="MD318" s="9" t="n">
        <v>0</v>
      </c>
      <c r="MH318" s="10" t="n">
        <v>46294</v>
      </c>
      <c r="MJ318" s="9" t="n">
        <v>0</v>
      </c>
      <c r="ML318" s="9" t="n">
        <v>0</v>
      </c>
      <c r="MM318" s="9" t="n">
        <v>0</v>
      </c>
      <c r="MQ318" s="10" t="n">
        <v>46294</v>
      </c>
      <c r="MS318" s="9" t="n">
        <v>0</v>
      </c>
      <c r="MU318" s="9" t="n">
        <v>0</v>
      </c>
      <c r="MV318" s="9" t="n">
        <v>1625</v>
      </c>
      <c r="MZ318" s="10" t="n">
        <v>46294</v>
      </c>
      <c r="NB318" s="9" t="n">
        <v>0</v>
      </c>
      <c r="ND318" s="9" t="n">
        <v>0</v>
      </c>
      <c r="NE318" s="9" t="n">
        <v>0</v>
      </c>
      <c r="NI318" s="10" t="n">
        <v>46294</v>
      </c>
      <c r="NK318" s="9" t="n">
        <v>0</v>
      </c>
      <c r="NM318" s="9" t="n">
        <v>0</v>
      </c>
      <c r="NN318" s="9" t="n">
        <v>1127</v>
      </c>
      <c r="NR318" s="10" t="n">
        <v>46294</v>
      </c>
      <c r="NT318" s="9" t="n">
        <v>0</v>
      </c>
      <c r="NV318" s="9" t="n">
        <v>0</v>
      </c>
      <c r="NW318" s="9" t="n">
        <v>3112</v>
      </c>
      <c r="OA318" s="10" t="n">
        <v>46294</v>
      </c>
      <c r="OC318" s="9" t="n">
        <v>0</v>
      </c>
      <c r="OE318" s="9" t="n">
        <v>0</v>
      </c>
      <c r="OF318" s="9" t="n">
        <v>1680.5</v>
      </c>
      <c r="OJ318" s="10" t="n">
        <v>46294</v>
      </c>
      <c r="OL318" s="9" t="n">
        <v>0</v>
      </c>
      <c r="ON318" s="9" t="n">
        <v>0</v>
      </c>
      <c r="OO318" s="9" t="n">
        <v>0</v>
      </c>
      <c r="OS318" s="10" t="n">
        <v>46294</v>
      </c>
      <c r="OU318" s="9" t="n">
        <v>0</v>
      </c>
      <c r="OW318" s="9" t="n">
        <v>0</v>
      </c>
      <c r="OX318" s="9" t="n">
        <v>1482</v>
      </c>
      <c r="PB318" s="10" t="n">
        <v>46294</v>
      </c>
      <c r="PD318" s="9" t="n">
        <v>0</v>
      </c>
      <c r="PF318" s="9" t="n">
        <v>0</v>
      </c>
      <c r="PG318" s="9" t="n">
        <v>0</v>
      </c>
      <c r="PK318" s="10" t="n">
        <v>46294</v>
      </c>
      <c r="PM318" s="9" t="n">
        <v>0</v>
      </c>
      <c r="PO318" s="9" t="n">
        <v>0</v>
      </c>
      <c r="PP318" s="9" t="n">
        <v>100</v>
      </c>
      <c r="PT318" s="10" t="n">
        <v>46294</v>
      </c>
      <c r="PV318" s="9" t="n">
        <v>0</v>
      </c>
      <c r="PX318" s="9" t="n">
        <v>0</v>
      </c>
      <c r="PY318" s="9" t="n">
        <v>13.96000000000004</v>
      </c>
      <c r="QC318" s="10" t="n">
        <v>46294</v>
      </c>
      <c r="QE318" s="9" t="n">
        <v>0</v>
      </c>
      <c r="QG318" s="9" t="n">
        <v>0</v>
      </c>
      <c r="QH318" s="9" t="n">
        <v>548</v>
      </c>
      <c r="QL318" s="10" t="n">
        <v>46294</v>
      </c>
      <c r="QN318" s="9" t="n">
        <v>0</v>
      </c>
      <c r="QP318" s="9" t="n">
        <v>0</v>
      </c>
      <c r="QQ318" s="9" t="n">
        <v>0</v>
      </c>
      <c r="QU318" s="10" t="n">
        <v>46294</v>
      </c>
      <c r="QW318" s="9" t="n">
        <v>0</v>
      </c>
      <c r="QY318" s="9" t="n">
        <v>0</v>
      </c>
      <c r="QZ318" s="9" t="n">
        <v>0</v>
      </c>
      <c r="RD318" s="10" t="n">
        <v>46294</v>
      </c>
      <c r="RF318" s="9" t="n">
        <v>0</v>
      </c>
      <c r="RH318" s="9" t="n">
        <v>0</v>
      </c>
      <c r="RI318" s="9" t="n">
        <v>147.04</v>
      </c>
      <c r="RM318" s="10" t="n">
        <v>46294</v>
      </c>
      <c r="RO318" s="9" t="n">
        <v>0</v>
      </c>
      <c r="RQ318" s="9" t="n">
        <v>0</v>
      </c>
      <c r="RR318" s="9" t="n">
        <v>46.8</v>
      </c>
      <c r="RV318" s="10" t="n">
        <v>46294</v>
      </c>
      <c r="RX318" s="9" t="n">
        <v>0</v>
      </c>
      <c r="RZ318" s="9" t="n">
        <v>0</v>
      </c>
      <c r="SA318" s="9" t="n">
        <v>0</v>
      </c>
      <c r="SE318" s="10" t="n">
        <v>46294</v>
      </c>
      <c r="SG318" s="9" t="n">
        <v>0</v>
      </c>
      <c r="SI318" s="9" t="n">
        <v>0</v>
      </c>
      <c r="SJ318" s="9" t="n">
        <v>24.2</v>
      </c>
      <c r="SN318" s="10" t="n">
        <v>46294</v>
      </c>
      <c r="SP318" s="9" t="n">
        <v>0</v>
      </c>
      <c r="SR318" s="9" t="n">
        <v>0</v>
      </c>
      <c r="SS318" s="9" t="n">
        <v>32</v>
      </c>
      <c r="SW318" s="10" t="n">
        <v>46294</v>
      </c>
      <c r="SY318" s="9" t="n">
        <v>0</v>
      </c>
      <c r="TA318" s="9" t="n">
        <v>0</v>
      </c>
      <c r="TB318" s="9" t="n">
        <v>0</v>
      </c>
      <c r="TF318" s="10" t="n">
        <v>46294</v>
      </c>
      <c r="TH318" s="9" t="n">
        <v>0</v>
      </c>
      <c r="TJ318" s="9" t="n">
        <v>0</v>
      </c>
      <c r="TK318" s="9" t="n">
        <v>0</v>
      </c>
      <c r="TO318" s="10" t="n">
        <v>46294</v>
      </c>
      <c r="TQ318" s="9" t="n">
        <v>0</v>
      </c>
      <c r="TS318" s="9" t="n">
        <v>0</v>
      </c>
      <c r="TT318" s="9" t="n">
        <v>0</v>
      </c>
      <c r="TX318" s="10" t="n">
        <v>46294</v>
      </c>
      <c r="TZ318" s="9" t="n">
        <v>0</v>
      </c>
      <c r="UB318" s="9" t="n">
        <v>0</v>
      </c>
      <c r="UC318" s="9" t="n">
        <v>46.79999999999998</v>
      </c>
      <c r="UG318" s="10" t="n">
        <v>46294</v>
      </c>
      <c r="UI318" s="9" t="n">
        <v>0</v>
      </c>
      <c r="UK318" s="9" t="n">
        <v>0</v>
      </c>
      <c r="UL318" s="9" t="n">
        <v>204</v>
      </c>
      <c r="UP318" s="10" t="n">
        <v>46294</v>
      </c>
      <c r="UR318" s="9" t="n">
        <v>0</v>
      </c>
      <c r="UT318" s="9" t="n">
        <v>0</v>
      </c>
      <c r="UU318" s="9" t="n">
        <v>202.5</v>
      </c>
      <c r="UY318" s="10" t="n">
        <v>46294</v>
      </c>
      <c r="VA318" s="9" t="n">
        <v>0</v>
      </c>
      <c r="VC318" s="9" t="n">
        <v>0</v>
      </c>
      <c r="VD318" s="9" t="n">
        <v>41.60000000000002</v>
      </c>
      <c r="VH318" s="10" t="n">
        <v>46294</v>
      </c>
      <c r="VJ318" s="9" t="n">
        <v>0</v>
      </c>
      <c r="VL318" s="9" t="n">
        <v>0</v>
      </c>
      <c r="VM318" s="9" t="n">
        <v>210</v>
      </c>
      <c r="VQ318" s="10" t="n">
        <v>46294</v>
      </c>
      <c r="VS318" s="9" t="n">
        <v>0</v>
      </c>
      <c r="VU318" s="9" t="n">
        <v>0</v>
      </c>
      <c r="VV318" s="9" t="n">
        <v>0</v>
      </c>
      <c r="VZ318" s="10" t="n">
        <v>46294</v>
      </c>
      <c r="WB318" s="9" t="n">
        <v>0</v>
      </c>
      <c r="WD318" s="9" t="n">
        <v>0</v>
      </c>
      <c r="WE318" s="9" t="n">
        <v>0</v>
      </c>
      <c r="WI318" s="10" t="n">
        <v>46294</v>
      </c>
      <c r="WK318" s="9" t="n">
        <v>0</v>
      </c>
      <c r="WM318" s="9" t="n">
        <v>0</v>
      </c>
      <c r="WN318" s="9" t="n">
        <v>1057</v>
      </c>
      <c r="WR318" s="10" t="n">
        <v>46294</v>
      </c>
      <c r="WT318" s="9" t="n">
        <v>0</v>
      </c>
      <c r="WV318" s="9" t="n">
        <v>0</v>
      </c>
      <c r="WW318" s="9" t="n">
        <v>0</v>
      </c>
      <c r="XA318" s="10" t="n">
        <v>46294</v>
      </c>
      <c r="XC318" s="9" t="n">
        <v>0</v>
      </c>
      <c r="XE318" s="9" t="n">
        <v>0</v>
      </c>
      <c r="XF318" s="9" t="n">
        <v>7507</v>
      </c>
      <c r="XJ318" s="10" t="n">
        <v>46294</v>
      </c>
      <c r="XL318" s="9" t="n">
        <v>0</v>
      </c>
      <c r="XN318" s="9" t="n">
        <v>0</v>
      </c>
      <c r="XO318" s="9" t="n">
        <v>4252</v>
      </c>
      <c r="XS318" s="10" t="n">
        <v>46294</v>
      </c>
      <c r="XU318" s="9" t="n">
        <v>0</v>
      </c>
      <c r="XW318" s="9" t="n">
        <v>0</v>
      </c>
      <c r="XX318" s="9" t="n">
        <v>2179</v>
      </c>
      <c r="YB318" s="10" t="n">
        <v>46294</v>
      </c>
      <c r="YD318" s="9" t="n">
        <v>0</v>
      </c>
      <c r="YF318" s="9" t="n">
        <v>0</v>
      </c>
      <c r="YG318" s="9" t="n">
        <v>4019</v>
      </c>
      <c r="YK318" s="10" t="n">
        <v>46294</v>
      </c>
      <c r="YM318" s="9" t="n">
        <v>0</v>
      </c>
      <c r="YO318" s="9" t="n">
        <v>0</v>
      </c>
      <c r="YP318" s="9" t="n">
        <v>-218</v>
      </c>
      <c r="YT318" s="10" t="n">
        <v>46294</v>
      </c>
      <c r="YV318" s="9" t="n">
        <v>0</v>
      </c>
      <c r="YX318" s="9" t="n">
        <v>0</v>
      </c>
      <c r="YY318" s="9" t="n">
        <v>0</v>
      </c>
      <c r="ZC318" s="10" t="n">
        <v>46294</v>
      </c>
      <c r="ZE318" s="9" t="n">
        <v>0</v>
      </c>
      <c r="ZG318" s="9" t="n">
        <v>0</v>
      </c>
      <c r="ZH318" s="9" t="n">
        <v>0</v>
      </c>
      <c r="ZL318" s="10" t="n">
        <v>46294</v>
      </c>
      <c r="ZN318" s="9" t="n">
        <v>0</v>
      </c>
      <c r="ZP318" s="9" t="n">
        <v>0</v>
      </c>
      <c r="ZQ318" s="9" t="n">
        <v>0</v>
      </c>
      <c r="ZU318" s="10" t="n">
        <v>46294</v>
      </c>
      <c r="ZW318" s="9" t="n">
        <v>0</v>
      </c>
      <c r="ZY318" s="9" t="n">
        <v>0</v>
      </c>
      <c r="ZZ318" s="9" t="n">
        <v>0</v>
      </c>
      <c r="AAD318" s="10" t="n">
        <v>46294</v>
      </c>
      <c r="AAF318" s="9" t="n">
        <v>0</v>
      </c>
      <c r="AAH318" s="9" t="n">
        <v>0</v>
      </c>
      <c r="AAI318" s="9" t="n">
        <v>0</v>
      </c>
      <c r="AAM318" s="10" t="n">
        <v>46294</v>
      </c>
      <c r="AAO318" s="9" t="n">
        <v>0</v>
      </c>
      <c r="AAQ318" s="9" t="n">
        <v>0</v>
      </c>
      <c r="AAR318" s="9" t="n">
        <v>0</v>
      </c>
      <c r="AAV318" s="10" t="n">
        <v>46294</v>
      </c>
      <c r="AAX318" s="9" t="n">
        <v>0</v>
      </c>
      <c r="AAZ318" s="9" t="n">
        <v>0</v>
      </c>
      <c r="ABA318" s="9" t="n">
        <v>0</v>
      </c>
      <c r="ABE318" s="10" t="n">
        <v>46294</v>
      </c>
      <c r="ABG318" s="9" t="n">
        <v>0</v>
      </c>
      <c r="ABI318" s="9" t="n">
        <v>0</v>
      </c>
      <c r="ABJ318" s="9" t="n">
        <v>0</v>
      </c>
    </row>
    <row r="319">
      <c r="C319" s="10" t="n">
        <v>46295</v>
      </c>
      <c r="E319" s="9" t="n">
        <v>0</v>
      </c>
      <c r="G319" s="9" t="n">
        <v>0</v>
      </c>
      <c r="H319" s="9" t="n">
        <v>236936.6</v>
      </c>
      <c r="L319" s="10" t="n">
        <v>46295</v>
      </c>
      <c r="N319" s="9" t="n">
        <v>0</v>
      </c>
      <c r="P319" s="9" t="n">
        <v>0</v>
      </c>
      <c r="Q319" s="9" t="n">
        <v>53017.60000000007</v>
      </c>
      <c r="U319" s="10" t="n">
        <v>46295</v>
      </c>
      <c r="W319" s="9" t="n">
        <v>0</v>
      </c>
      <c r="Y319" s="9" t="n">
        <v>0</v>
      </c>
      <c r="Z319" s="9" t="n">
        <v>42674.19999999997</v>
      </c>
      <c r="AD319" s="10" t="n">
        <v>46295</v>
      </c>
      <c r="AF319" s="9" t="n">
        <v>0</v>
      </c>
      <c r="AH319" s="9" t="n">
        <v>0</v>
      </c>
      <c r="AI319" s="9" t="n">
        <v>4522.200000000019</v>
      </c>
      <c r="AM319" s="10" t="n">
        <v>46295</v>
      </c>
      <c r="AO319" s="9" t="n">
        <v>0</v>
      </c>
      <c r="AQ319" s="9" t="n">
        <v>0</v>
      </c>
      <c r="AR319" s="9" t="n">
        <v>0</v>
      </c>
      <c r="AV319" s="10" t="n">
        <v>46295</v>
      </c>
      <c r="AX319" s="9" t="n">
        <v>0</v>
      </c>
      <c r="AZ319" s="9" t="n">
        <v>0</v>
      </c>
      <c r="BA319" s="9" t="n">
        <v>124.9999999999952</v>
      </c>
      <c r="BE319" s="10" t="n">
        <v>46295</v>
      </c>
      <c r="BG319" s="9" t="n">
        <v>0</v>
      </c>
      <c r="BI319" s="9" t="n">
        <v>0</v>
      </c>
      <c r="BJ319" s="9" t="n">
        <v>26151.9</v>
      </c>
      <c r="BN319" s="10" t="n">
        <v>46295</v>
      </c>
      <c r="BP319" s="9" t="n">
        <v>0</v>
      </c>
      <c r="BR319" s="9" t="n">
        <v>0</v>
      </c>
      <c r="BS319" s="9" t="n">
        <v>0</v>
      </c>
      <c r="BW319" s="10" t="n">
        <v>46295</v>
      </c>
      <c r="BY319" s="9" t="n">
        <v>0</v>
      </c>
      <c r="CA319" s="9" t="n">
        <v>0</v>
      </c>
      <c r="CB319" s="9" t="n">
        <v>2097.339999999999</v>
      </c>
      <c r="CF319" s="10" t="n">
        <v>46295</v>
      </c>
      <c r="CH319" s="9" t="n">
        <v>0</v>
      </c>
      <c r="CJ319" s="9" t="n">
        <v>0</v>
      </c>
      <c r="CK319" s="9" t="n">
        <v>-10277.08</v>
      </c>
      <c r="CO319" s="10" t="n">
        <v>46295</v>
      </c>
      <c r="CQ319" s="9" t="n">
        <v>0</v>
      </c>
      <c r="CS319" s="9" t="n">
        <v>0</v>
      </c>
      <c r="CT319" s="9" t="n">
        <v>0</v>
      </c>
      <c r="CX319" s="10" t="n">
        <v>46295</v>
      </c>
      <c r="CZ319" s="9" t="n">
        <v>0</v>
      </c>
      <c r="DB319" s="9" t="n">
        <v>0</v>
      </c>
      <c r="DC319" s="9" t="n">
        <v>27438.20000000001</v>
      </c>
      <c r="DG319" s="10" t="n">
        <v>46295</v>
      </c>
      <c r="DI319" s="9" t="n">
        <v>0</v>
      </c>
      <c r="DK319" s="9" t="n">
        <v>0</v>
      </c>
      <c r="DL319" s="9" t="n">
        <v>18782.29999999998</v>
      </c>
      <c r="DP319" s="10" t="n">
        <v>46295</v>
      </c>
      <c r="DR319" s="9" t="n">
        <v>0</v>
      </c>
      <c r="DT319" s="9" t="n">
        <v>0</v>
      </c>
      <c r="DU319" s="9" t="n">
        <v>5800</v>
      </c>
      <c r="DY319" s="10" t="n">
        <v>46295</v>
      </c>
      <c r="EA319" s="9" t="n">
        <v>0</v>
      </c>
      <c r="EC319" s="9" t="n">
        <v>0</v>
      </c>
      <c r="ED319" s="9" t="n">
        <v>0</v>
      </c>
      <c r="EH319" s="10" t="n">
        <v>46295</v>
      </c>
      <c r="EJ319" s="9" t="n">
        <v>0</v>
      </c>
      <c r="EL319" s="9" t="n">
        <v>0</v>
      </c>
      <c r="EM319" s="9" t="n">
        <v>0</v>
      </c>
      <c r="EQ319" s="10" t="n">
        <v>46295</v>
      </c>
      <c r="ES319" s="9" t="n">
        <v>0</v>
      </c>
      <c r="EU319" s="9" t="n">
        <v>0</v>
      </c>
      <c r="EV319" s="9" t="n">
        <v>0</v>
      </c>
      <c r="EZ319" s="10" t="n">
        <v>46295</v>
      </c>
      <c r="FB319" s="9" t="n">
        <v>0</v>
      </c>
      <c r="FD319" s="9" t="n">
        <v>0</v>
      </c>
      <c r="FE319" s="9" t="n">
        <v>0</v>
      </c>
      <c r="FI319" s="10" t="n">
        <v>46295</v>
      </c>
      <c r="FK319" s="9" t="n">
        <v>0</v>
      </c>
      <c r="FM319" s="9" t="n">
        <v>0</v>
      </c>
      <c r="FN319" s="9" t="n">
        <v>0</v>
      </c>
      <c r="FR319" s="10" t="n">
        <v>46295</v>
      </c>
      <c r="FT319" s="9" t="n">
        <v>0</v>
      </c>
      <c r="FV319" s="9" t="n">
        <v>0</v>
      </c>
      <c r="FW319" s="9" t="n">
        <v>2020</v>
      </c>
      <c r="GA319" s="10" t="n">
        <v>46295</v>
      </c>
      <c r="GC319" s="9" t="n">
        <v>0</v>
      </c>
      <c r="GE319" s="9" t="n">
        <v>0</v>
      </c>
      <c r="GF319" s="9" t="n">
        <v>960</v>
      </c>
      <c r="GJ319" s="10" t="n">
        <v>46295</v>
      </c>
      <c r="GL319" s="9" t="n">
        <v>0</v>
      </c>
      <c r="GN319" s="9" t="n">
        <v>0</v>
      </c>
      <c r="GO319" s="9" t="n">
        <v>1760</v>
      </c>
      <c r="GS319" s="10" t="n">
        <v>46295</v>
      </c>
      <c r="GU319" s="9" t="n">
        <v>0</v>
      </c>
      <c r="GW319" s="9" t="n">
        <v>0</v>
      </c>
      <c r="GX319" s="9" t="n">
        <v>400</v>
      </c>
      <c r="HB319" s="10" t="n">
        <v>46295</v>
      </c>
      <c r="HD319" s="9" t="n">
        <v>0</v>
      </c>
      <c r="HF319" s="9" t="n">
        <v>0</v>
      </c>
      <c r="HG319" s="9" t="n">
        <v>3600</v>
      </c>
      <c r="HK319" s="10" t="n">
        <v>46295</v>
      </c>
      <c r="HM319" s="9" t="n">
        <v>0</v>
      </c>
      <c r="HO319" s="9" t="n">
        <v>0</v>
      </c>
      <c r="HP319" s="9" t="n">
        <v>0</v>
      </c>
      <c r="HU319" s="10" t="n">
        <v>46295</v>
      </c>
      <c r="HW319" s="9" t="n">
        <v>0</v>
      </c>
      <c r="HY319" s="9" t="n">
        <v>0</v>
      </c>
      <c r="HZ319" s="9" t="n">
        <v>6120</v>
      </c>
      <c r="ID319" s="10" t="n">
        <v>46295</v>
      </c>
      <c r="IF319" s="9" t="n">
        <v>0</v>
      </c>
      <c r="IH319" s="9" t="n">
        <v>0</v>
      </c>
      <c r="II319" s="9" t="n">
        <v>0</v>
      </c>
      <c r="IM319" s="10" t="n">
        <v>46295</v>
      </c>
      <c r="IO319" s="9" t="n">
        <v>0</v>
      </c>
      <c r="IQ319" s="9" t="n">
        <v>0</v>
      </c>
      <c r="IR319" s="9" t="n">
        <v>0</v>
      </c>
      <c r="IV319" s="10" t="n">
        <v>46295</v>
      </c>
      <c r="IX319" s="9" t="n">
        <v>0</v>
      </c>
      <c r="IZ319" s="9" t="n">
        <v>0</v>
      </c>
      <c r="JA319" s="9" t="n">
        <v>2820</v>
      </c>
      <c r="JE319" s="10" t="n">
        <v>46295</v>
      </c>
      <c r="JG319" s="9" t="n">
        <v>0</v>
      </c>
      <c r="JI319" s="9" t="n">
        <v>0</v>
      </c>
      <c r="JJ319" s="9" t="n">
        <v>0</v>
      </c>
      <c r="JN319" s="10" t="n">
        <v>46295</v>
      </c>
      <c r="JP319" s="9" t="n">
        <v>0</v>
      </c>
      <c r="JR319" s="9" t="n">
        <v>0</v>
      </c>
      <c r="JS319" s="9" t="n">
        <v>0</v>
      </c>
      <c r="JW319" s="10" t="n">
        <v>46295</v>
      </c>
      <c r="JY319" s="9" t="n">
        <v>0</v>
      </c>
      <c r="KA319" s="9" t="n">
        <v>0</v>
      </c>
      <c r="KB319" s="9" t="n">
        <v>2540</v>
      </c>
      <c r="KF319" s="10" t="n">
        <v>46295</v>
      </c>
      <c r="KH319" s="9" t="n">
        <v>0</v>
      </c>
      <c r="KJ319" s="9" t="n">
        <v>0</v>
      </c>
      <c r="KK319" s="9" t="n">
        <v>2359.5</v>
      </c>
      <c r="KO319" s="10" t="n">
        <v>46295</v>
      </c>
      <c r="KQ319" s="9" t="n">
        <v>0</v>
      </c>
      <c r="KS319" s="9" t="n">
        <v>0</v>
      </c>
      <c r="KT319" s="9" t="n">
        <v>1890</v>
      </c>
      <c r="KX319" s="10" t="n">
        <v>46295</v>
      </c>
      <c r="KZ319" s="9" t="n">
        <v>0</v>
      </c>
      <c r="LB319" s="9" t="n">
        <v>0</v>
      </c>
      <c r="LC319" s="9" t="n">
        <v>3690</v>
      </c>
      <c r="LG319" s="10" t="n">
        <v>46295</v>
      </c>
      <c r="LI319" s="9" t="n">
        <v>0</v>
      </c>
      <c r="LK319" s="9" t="n">
        <v>0</v>
      </c>
      <c r="LL319" s="9" t="n">
        <v>4000</v>
      </c>
      <c r="LP319" s="10" t="n">
        <v>46295</v>
      </c>
      <c r="LR319" s="9" t="n">
        <v>0</v>
      </c>
      <c r="LT319" s="9" t="n">
        <v>0</v>
      </c>
      <c r="LU319" s="9" t="n">
        <v>0</v>
      </c>
      <c r="LY319" s="10" t="n">
        <v>46295</v>
      </c>
      <c r="MA319" s="9" t="n">
        <v>0</v>
      </c>
      <c r="MC319" s="9" t="n">
        <v>0</v>
      </c>
      <c r="MD319" s="9" t="n">
        <v>0</v>
      </c>
      <c r="MH319" s="10" t="n">
        <v>46295</v>
      </c>
      <c r="MJ319" s="9" t="n">
        <v>0</v>
      </c>
      <c r="ML319" s="9" t="n">
        <v>0</v>
      </c>
      <c r="MM319" s="9" t="n">
        <v>0</v>
      </c>
      <c r="MQ319" s="10" t="n">
        <v>46295</v>
      </c>
      <c r="MS319" s="9" t="n">
        <v>0</v>
      </c>
      <c r="MU319" s="9" t="n">
        <v>0</v>
      </c>
      <c r="MV319" s="9" t="n">
        <v>1625</v>
      </c>
      <c r="MZ319" s="10" t="n">
        <v>46295</v>
      </c>
      <c r="NB319" s="9" t="n">
        <v>0</v>
      </c>
      <c r="ND319" s="9" t="n">
        <v>0</v>
      </c>
      <c r="NE319" s="9" t="n">
        <v>0</v>
      </c>
      <c r="NI319" s="10" t="n">
        <v>46295</v>
      </c>
      <c r="NK319" s="9" t="n">
        <v>0</v>
      </c>
      <c r="NM319" s="9" t="n">
        <v>0</v>
      </c>
      <c r="NN319" s="9" t="n">
        <v>1127</v>
      </c>
      <c r="NR319" s="10" t="n">
        <v>46295</v>
      </c>
      <c r="NT319" s="9" t="n">
        <v>0</v>
      </c>
      <c r="NV319" s="9" t="n">
        <v>0</v>
      </c>
      <c r="NW319" s="9" t="n">
        <v>3112</v>
      </c>
      <c r="OA319" s="10" t="n">
        <v>46295</v>
      </c>
      <c r="OC319" s="9" t="n">
        <v>0</v>
      </c>
      <c r="OE319" s="9" t="n">
        <v>0</v>
      </c>
      <c r="OF319" s="9" t="n">
        <v>1680.5</v>
      </c>
      <c r="OJ319" s="10" t="n">
        <v>46295</v>
      </c>
      <c r="OL319" s="9" t="n">
        <v>0</v>
      </c>
      <c r="ON319" s="9" t="n">
        <v>0</v>
      </c>
      <c r="OO319" s="9" t="n">
        <v>0</v>
      </c>
      <c r="OS319" s="10" t="n">
        <v>46295</v>
      </c>
      <c r="OU319" s="9" t="n">
        <v>0</v>
      </c>
      <c r="OW319" s="9" t="n">
        <v>0</v>
      </c>
      <c r="OX319" s="9" t="n">
        <v>1482</v>
      </c>
      <c r="PB319" s="10" t="n">
        <v>46295</v>
      </c>
      <c r="PD319" s="9" t="n">
        <v>0</v>
      </c>
      <c r="PF319" s="9" t="n">
        <v>0</v>
      </c>
      <c r="PG319" s="9" t="n">
        <v>0</v>
      </c>
      <c r="PK319" s="10" t="n">
        <v>46295</v>
      </c>
      <c r="PM319" s="9" t="n">
        <v>0</v>
      </c>
      <c r="PO319" s="9" t="n">
        <v>0</v>
      </c>
      <c r="PP319" s="9" t="n">
        <v>100</v>
      </c>
      <c r="PT319" s="10" t="n">
        <v>46295</v>
      </c>
      <c r="PV319" s="9" t="n">
        <v>0</v>
      </c>
      <c r="PX319" s="9" t="n">
        <v>0</v>
      </c>
      <c r="PY319" s="9" t="n">
        <v>13.96000000000004</v>
      </c>
      <c r="QC319" s="10" t="n">
        <v>46295</v>
      </c>
      <c r="QE319" s="9" t="n">
        <v>0</v>
      </c>
      <c r="QG319" s="9" t="n">
        <v>0</v>
      </c>
      <c r="QH319" s="9" t="n">
        <v>548</v>
      </c>
      <c r="QL319" s="10" t="n">
        <v>46295</v>
      </c>
      <c r="QN319" s="9" t="n">
        <v>0</v>
      </c>
      <c r="QP319" s="9" t="n">
        <v>0</v>
      </c>
      <c r="QQ319" s="9" t="n">
        <v>0</v>
      </c>
      <c r="QU319" s="10" t="n">
        <v>46295</v>
      </c>
      <c r="QW319" s="9" t="n">
        <v>0</v>
      </c>
      <c r="QY319" s="9" t="n">
        <v>0</v>
      </c>
      <c r="QZ319" s="9" t="n">
        <v>0</v>
      </c>
      <c r="RD319" s="10" t="n">
        <v>46295</v>
      </c>
      <c r="RF319" s="9" t="n">
        <v>0</v>
      </c>
      <c r="RH319" s="9" t="n">
        <v>0</v>
      </c>
      <c r="RI319" s="9" t="n">
        <v>147.04</v>
      </c>
      <c r="RM319" s="10" t="n">
        <v>46295</v>
      </c>
      <c r="RO319" s="9" t="n">
        <v>0</v>
      </c>
      <c r="RQ319" s="9" t="n">
        <v>0</v>
      </c>
      <c r="RR319" s="9" t="n">
        <v>46.8</v>
      </c>
      <c r="RV319" s="10" t="n">
        <v>46295</v>
      </c>
      <c r="RX319" s="9" t="n">
        <v>0</v>
      </c>
      <c r="RZ319" s="9" t="n">
        <v>0</v>
      </c>
      <c r="SA319" s="9" t="n">
        <v>0</v>
      </c>
      <c r="SE319" s="10" t="n">
        <v>46295</v>
      </c>
      <c r="SG319" s="9" t="n">
        <v>0</v>
      </c>
      <c r="SI319" s="9" t="n">
        <v>0</v>
      </c>
      <c r="SJ319" s="9" t="n">
        <v>24.2</v>
      </c>
      <c r="SN319" s="10" t="n">
        <v>46295</v>
      </c>
      <c r="SP319" s="9" t="n">
        <v>0</v>
      </c>
      <c r="SR319" s="9" t="n">
        <v>0</v>
      </c>
      <c r="SS319" s="9" t="n">
        <v>32</v>
      </c>
      <c r="SW319" s="10" t="n">
        <v>46295</v>
      </c>
      <c r="SY319" s="9" t="n">
        <v>0</v>
      </c>
      <c r="TA319" s="9" t="n">
        <v>0</v>
      </c>
      <c r="TB319" s="9" t="n">
        <v>0</v>
      </c>
      <c r="TF319" s="10" t="n">
        <v>46295</v>
      </c>
      <c r="TH319" s="9" t="n">
        <v>0</v>
      </c>
      <c r="TJ319" s="9" t="n">
        <v>0</v>
      </c>
      <c r="TK319" s="9" t="n">
        <v>0</v>
      </c>
      <c r="TO319" s="10" t="n">
        <v>46295</v>
      </c>
      <c r="TQ319" s="9" t="n">
        <v>0</v>
      </c>
      <c r="TS319" s="9" t="n">
        <v>0</v>
      </c>
      <c r="TT319" s="9" t="n">
        <v>0</v>
      </c>
      <c r="TX319" s="10" t="n">
        <v>46295</v>
      </c>
      <c r="TZ319" s="9" t="n">
        <v>0</v>
      </c>
      <c r="UB319" s="9" t="n">
        <v>0</v>
      </c>
      <c r="UC319" s="9" t="n">
        <v>46.79999999999998</v>
      </c>
      <c r="UG319" s="10" t="n">
        <v>46295</v>
      </c>
      <c r="UI319" s="9" t="n">
        <v>0</v>
      </c>
      <c r="UK319" s="9" t="n">
        <v>0</v>
      </c>
      <c r="UL319" s="9" t="n">
        <v>204</v>
      </c>
      <c r="UP319" s="10" t="n">
        <v>46295</v>
      </c>
      <c r="UR319" s="9" t="n">
        <v>0</v>
      </c>
      <c r="UT319" s="9" t="n">
        <v>0</v>
      </c>
      <c r="UU319" s="9" t="n">
        <v>202.5</v>
      </c>
      <c r="UY319" s="10" t="n">
        <v>46295</v>
      </c>
      <c r="VA319" s="9" t="n">
        <v>0</v>
      </c>
      <c r="VC319" s="9" t="n">
        <v>0</v>
      </c>
      <c r="VD319" s="9" t="n">
        <v>41.60000000000002</v>
      </c>
      <c r="VH319" s="10" t="n">
        <v>46295</v>
      </c>
      <c r="VJ319" s="9" t="n">
        <v>0</v>
      </c>
      <c r="VL319" s="9" t="n">
        <v>0</v>
      </c>
      <c r="VM319" s="9" t="n">
        <v>210</v>
      </c>
      <c r="VQ319" s="10" t="n">
        <v>46295</v>
      </c>
      <c r="VS319" s="9" t="n">
        <v>0</v>
      </c>
      <c r="VU319" s="9" t="n">
        <v>0</v>
      </c>
      <c r="VV319" s="9" t="n">
        <v>0</v>
      </c>
      <c r="VZ319" s="10" t="n">
        <v>46295</v>
      </c>
      <c r="WB319" s="9" t="n">
        <v>0</v>
      </c>
      <c r="WD319" s="9" t="n">
        <v>0</v>
      </c>
      <c r="WE319" s="9" t="n">
        <v>0</v>
      </c>
      <c r="WI319" s="10" t="n">
        <v>46295</v>
      </c>
      <c r="WK319" s="9" t="n">
        <v>0</v>
      </c>
      <c r="WM319" s="9" t="n">
        <v>0</v>
      </c>
      <c r="WN319" s="9" t="n">
        <v>1057</v>
      </c>
      <c r="WR319" s="10" t="n">
        <v>46295</v>
      </c>
      <c r="WT319" s="9" t="n">
        <v>0</v>
      </c>
      <c r="WV319" s="9" t="n">
        <v>0</v>
      </c>
      <c r="WW319" s="9" t="n">
        <v>0</v>
      </c>
      <c r="XA319" s="10" t="n">
        <v>46295</v>
      </c>
      <c r="XC319" s="9" t="n">
        <v>0</v>
      </c>
      <c r="XE319" s="9" t="n">
        <v>0</v>
      </c>
      <c r="XF319" s="9" t="n">
        <v>7507</v>
      </c>
      <c r="XJ319" s="10" t="n">
        <v>46295</v>
      </c>
      <c r="XL319" s="9" t="n">
        <v>0</v>
      </c>
      <c r="XN319" s="9" t="n">
        <v>0</v>
      </c>
      <c r="XO319" s="9" t="n">
        <v>4252</v>
      </c>
      <c r="XS319" s="10" t="n">
        <v>46295</v>
      </c>
      <c r="XU319" s="9" t="n">
        <v>0</v>
      </c>
      <c r="XW319" s="9" t="n">
        <v>0</v>
      </c>
      <c r="XX319" s="9" t="n">
        <v>2179</v>
      </c>
      <c r="YB319" s="10" t="n">
        <v>46295</v>
      </c>
      <c r="YD319" s="9" t="n">
        <v>0</v>
      </c>
      <c r="YF319" s="9" t="n">
        <v>0</v>
      </c>
      <c r="YG319" s="9" t="n">
        <v>4019</v>
      </c>
      <c r="YK319" s="10" t="n">
        <v>46295</v>
      </c>
      <c r="YM319" s="9" t="n">
        <v>0</v>
      </c>
      <c r="YO319" s="9" t="n">
        <v>0</v>
      </c>
      <c r="YP319" s="9" t="n">
        <v>-218</v>
      </c>
      <c r="YT319" s="10" t="n">
        <v>46295</v>
      </c>
      <c r="YV319" s="9" t="n">
        <v>0</v>
      </c>
      <c r="YX319" s="9" t="n">
        <v>0</v>
      </c>
      <c r="YY319" s="9" t="n">
        <v>0</v>
      </c>
      <c r="ZC319" s="10" t="n">
        <v>46295</v>
      </c>
      <c r="ZE319" s="9" t="n">
        <v>0</v>
      </c>
      <c r="ZG319" s="9" t="n">
        <v>0</v>
      </c>
      <c r="ZH319" s="9" t="n">
        <v>0</v>
      </c>
      <c r="ZL319" s="10" t="n">
        <v>46295</v>
      </c>
      <c r="ZN319" s="9" t="n">
        <v>0</v>
      </c>
      <c r="ZP319" s="9" t="n">
        <v>0</v>
      </c>
      <c r="ZQ319" s="9" t="n">
        <v>0</v>
      </c>
      <c r="ZU319" s="10" t="n">
        <v>46295</v>
      </c>
      <c r="ZW319" s="9" t="n">
        <v>0</v>
      </c>
      <c r="ZY319" s="9" t="n">
        <v>0</v>
      </c>
      <c r="ZZ319" s="9" t="n">
        <v>0</v>
      </c>
      <c r="AAD319" s="10" t="n">
        <v>46295</v>
      </c>
      <c r="AAF319" s="9" t="n">
        <v>0</v>
      </c>
      <c r="AAH319" s="9" t="n">
        <v>0</v>
      </c>
      <c r="AAI319" s="9" t="n">
        <v>0</v>
      </c>
      <c r="AAM319" s="10" t="n">
        <v>46295</v>
      </c>
      <c r="AAO319" s="9" t="n">
        <v>0</v>
      </c>
      <c r="AAQ319" s="9" t="n">
        <v>0</v>
      </c>
      <c r="AAR319" s="9" t="n">
        <v>0</v>
      </c>
      <c r="AAV319" s="10" t="n">
        <v>46295</v>
      </c>
      <c r="AAX319" s="9" t="n">
        <v>0</v>
      </c>
      <c r="AAZ319" s="9" t="n">
        <v>0</v>
      </c>
      <c r="ABA319" s="9" t="n">
        <v>0</v>
      </c>
      <c r="ABE319" s="10" t="n">
        <v>46295</v>
      </c>
      <c r="ABG319" s="9" t="n">
        <v>0</v>
      </c>
      <c r="ABI319" s="9" t="n">
        <v>0</v>
      </c>
      <c r="ABJ319" s="9" t="n">
        <v>0</v>
      </c>
    </row>
    <row r="320">
      <c r="B320" s="9" t="n">
        <v>0</v>
      </c>
      <c r="C320" s="9" t="inlineStr">
        <is>
          <t>TOTAL</t>
        </is>
      </c>
      <c r="D320" s="9" t="n">
        <v>0</v>
      </c>
      <c r="E320" s="9" t="n">
        <v>0</v>
      </c>
      <c r="F320" s="9" t="n">
        <v>0</v>
      </c>
      <c r="G320" s="9" t="n">
        <v>0</v>
      </c>
      <c r="H320" s="9" t="n">
        <v>236936.6</v>
      </c>
      <c r="L320" s="9" t="inlineStr">
        <is>
          <t>TOTAL</t>
        </is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53017.60000000007</v>
      </c>
      <c r="U320" s="9" t="inlineStr">
        <is>
          <t>TOTAL</t>
        </is>
      </c>
      <c r="V320" s="9" t="n">
        <v>0</v>
      </c>
      <c r="W320" s="9" t="n">
        <v>0</v>
      </c>
      <c r="X320" s="9" t="n">
        <v>0</v>
      </c>
      <c r="Y320" s="9" t="n">
        <v>0</v>
      </c>
      <c r="Z320" s="9" t="n">
        <v>42674.19999999997</v>
      </c>
      <c r="AD320" s="9" t="inlineStr">
        <is>
          <t>TOTAL</t>
        </is>
      </c>
      <c r="AE320" s="9" t="n">
        <v>0</v>
      </c>
      <c r="AF320" s="9" t="n">
        <v>0</v>
      </c>
      <c r="AG320" s="9" t="n">
        <v>0</v>
      </c>
      <c r="AH320" s="9" t="n">
        <v>0</v>
      </c>
      <c r="AI320" s="9" t="n">
        <v>4522.200000000019</v>
      </c>
      <c r="AM320" s="9" t="inlineStr">
        <is>
          <t>TOTAL</t>
        </is>
      </c>
      <c r="AN320" s="9" t="n">
        <v>0</v>
      </c>
      <c r="AO320" s="9" t="n">
        <v>0</v>
      </c>
      <c r="AP320" s="9" t="n">
        <v>0</v>
      </c>
      <c r="AQ320" s="9" t="n">
        <v>0</v>
      </c>
      <c r="AR320" s="9" t="n">
        <v>0</v>
      </c>
      <c r="AV320" s="9" t="inlineStr">
        <is>
          <t>TOTAL</t>
        </is>
      </c>
      <c r="AW320" s="9" t="n">
        <v>0</v>
      </c>
      <c r="AX320" s="9" t="n">
        <v>0</v>
      </c>
      <c r="AY320" s="9" t="n">
        <v>0</v>
      </c>
      <c r="AZ320" s="9" t="n">
        <v>0</v>
      </c>
      <c r="BA320" s="9" t="n">
        <v>124.9999999999952</v>
      </c>
      <c r="BE320" s="9" t="inlineStr">
        <is>
          <t>TOTAL</t>
        </is>
      </c>
      <c r="BF320" s="9" t="n">
        <v>0</v>
      </c>
      <c r="BG320" s="9" t="n">
        <v>0</v>
      </c>
      <c r="BH320" s="9" t="n">
        <v>0</v>
      </c>
      <c r="BI320" s="9" t="n">
        <v>0</v>
      </c>
      <c r="BJ320" s="9" t="n">
        <v>26151.9</v>
      </c>
      <c r="BN320" s="9" t="inlineStr">
        <is>
          <t>TOTAL</t>
        </is>
      </c>
      <c r="BO320" s="9" t="n">
        <v>0</v>
      </c>
      <c r="BP320" s="9" t="n">
        <v>0</v>
      </c>
      <c r="BQ320" s="9" t="n">
        <v>0</v>
      </c>
      <c r="BR320" s="9" t="n">
        <v>0</v>
      </c>
      <c r="BS320" s="9" t="n">
        <v>0</v>
      </c>
      <c r="BW320" s="9" t="inlineStr">
        <is>
          <t>TOTAL</t>
        </is>
      </c>
      <c r="BX320" s="9" t="n">
        <v>0</v>
      </c>
      <c r="BY320" s="9" t="n">
        <v>0</v>
      </c>
      <c r="BZ320" s="9" t="n">
        <v>0</v>
      </c>
      <c r="CA320" s="9" t="n">
        <v>0</v>
      </c>
      <c r="CB320" s="9" t="n">
        <v>2097.339999999999</v>
      </c>
      <c r="CF320" s="9" t="inlineStr">
        <is>
          <t>TOTAL</t>
        </is>
      </c>
      <c r="CG320" s="9" t="n">
        <v>0</v>
      </c>
      <c r="CH320" s="9" t="n">
        <v>0</v>
      </c>
      <c r="CI320" s="9" t="n">
        <v>0</v>
      </c>
      <c r="CJ320" s="9" t="n">
        <v>0</v>
      </c>
      <c r="CK320" s="9" t="n">
        <v>-10277.08</v>
      </c>
      <c r="CO320" s="9" t="inlineStr">
        <is>
          <t>TOTAL</t>
        </is>
      </c>
      <c r="CP320" s="9" t="n">
        <v>0</v>
      </c>
      <c r="CQ320" s="9" t="n">
        <v>0</v>
      </c>
      <c r="CR320" s="9" t="n">
        <v>0</v>
      </c>
      <c r="CS320" s="9" t="n">
        <v>0</v>
      </c>
      <c r="CT320" s="9" t="n">
        <v>0</v>
      </c>
      <c r="CX320" s="9" t="inlineStr">
        <is>
          <t>TOTAL</t>
        </is>
      </c>
      <c r="CY320" s="9" t="n">
        <v>0</v>
      </c>
      <c r="CZ320" s="9" t="n">
        <v>0</v>
      </c>
      <c r="DA320" s="9" t="n">
        <v>0</v>
      </c>
      <c r="DB320" s="9" t="n">
        <v>0</v>
      </c>
      <c r="DC320" s="9" t="n">
        <v>27438.20000000001</v>
      </c>
      <c r="DG320" s="9" t="inlineStr">
        <is>
          <t>TOTAL</t>
        </is>
      </c>
      <c r="DH320" s="9" t="n">
        <v>0</v>
      </c>
      <c r="DI320" s="9" t="n">
        <v>0</v>
      </c>
      <c r="DJ320" s="9" t="n">
        <v>0</v>
      </c>
      <c r="DK320" s="9" t="n">
        <v>0</v>
      </c>
      <c r="DL320" s="9" t="n">
        <v>18782.29999999998</v>
      </c>
      <c r="DP320" s="9" t="inlineStr">
        <is>
          <t>TOTAL</t>
        </is>
      </c>
      <c r="DQ320" s="9" t="n">
        <v>0</v>
      </c>
      <c r="DR320" s="9" t="n">
        <v>0</v>
      </c>
      <c r="DS320" s="9" t="n">
        <v>0</v>
      </c>
      <c r="DT320" s="9" t="n">
        <v>0</v>
      </c>
      <c r="DU320" s="9" t="n">
        <v>5800</v>
      </c>
      <c r="DY320" s="9" t="inlineStr">
        <is>
          <t>TOTAL</t>
        </is>
      </c>
      <c r="DZ320" s="9" t="n">
        <v>0</v>
      </c>
      <c r="EA320" s="9" t="n">
        <v>0</v>
      </c>
      <c r="EB320" s="9" t="n">
        <v>0</v>
      </c>
      <c r="EC320" s="9" t="n">
        <v>0</v>
      </c>
      <c r="ED320" s="9" t="n">
        <v>0</v>
      </c>
      <c r="EH320" s="9" t="inlineStr">
        <is>
          <t>TOTAL</t>
        </is>
      </c>
      <c r="EI320" s="9" t="n">
        <v>0</v>
      </c>
      <c r="EJ320" s="9" t="n">
        <v>0</v>
      </c>
      <c r="EK320" s="9" t="n">
        <v>0</v>
      </c>
      <c r="EL320" s="9" t="n">
        <v>0</v>
      </c>
      <c r="EM320" s="9" t="n">
        <v>0</v>
      </c>
      <c r="EQ320" s="9" t="inlineStr">
        <is>
          <t>TOTAL</t>
        </is>
      </c>
      <c r="ER320" s="9" t="n">
        <v>0</v>
      </c>
      <c r="ES320" s="9" t="n">
        <v>0</v>
      </c>
      <c r="ET320" s="9" t="n">
        <v>0</v>
      </c>
      <c r="EU320" s="9" t="n">
        <v>0</v>
      </c>
      <c r="EV320" s="9" t="n">
        <v>0</v>
      </c>
      <c r="EZ320" s="9" t="inlineStr">
        <is>
          <t>TOTAL</t>
        </is>
      </c>
      <c r="FA320" s="9" t="n">
        <v>0</v>
      </c>
      <c r="FB320" s="9" t="n">
        <v>0</v>
      </c>
      <c r="FC320" s="9" t="n">
        <v>0</v>
      </c>
      <c r="FD320" s="9" t="n">
        <v>0</v>
      </c>
      <c r="FE320" s="9" t="n">
        <v>0</v>
      </c>
      <c r="FI320" s="9" t="inlineStr">
        <is>
          <t>TOTAL</t>
        </is>
      </c>
      <c r="FJ320" s="9" t="n">
        <v>0</v>
      </c>
      <c r="FK320" s="9" t="n">
        <v>0</v>
      </c>
      <c r="FL320" s="9" t="n">
        <v>0</v>
      </c>
      <c r="FM320" s="9" t="n">
        <v>0</v>
      </c>
      <c r="FN320" s="9" t="n">
        <v>0</v>
      </c>
      <c r="FR320" s="9" t="inlineStr">
        <is>
          <t>TOTAL</t>
        </is>
      </c>
      <c r="FS320" s="9" t="n">
        <v>0</v>
      </c>
      <c r="FT320" s="9" t="n">
        <v>0</v>
      </c>
      <c r="FU320" s="9" t="n">
        <v>0</v>
      </c>
      <c r="FV320" s="9" t="n">
        <v>0</v>
      </c>
      <c r="FW320" s="9" t="n">
        <v>2020</v>
      </c>
      <c r="GA320" s="9" t="inlineStr">
        <is>
          <t>TOTAL</t>
        </is>
      </c>
      <c r="GB320" s="9" t="n">
        <v>0</v>
      </c>
      <c r="GC320" s="9" t="n">
        <v>0</v>
      </c>
      <c r="GD320" s="9" t="n">
        <v>0</v>
      </c>
      <c r="GE320" s="9" t="n">
        <v>0</v>
      </c>
      <c r="GF320" s="9" t="n">
        <v>960</v>
      </c>
      <c r="GJ320" s="9" t="inlineStr">
        <is>
          <t>TOTAL</t>
        </is>
      </c>
      <c r="GK320" s="9" t="n">
        <v>0</v>
      </c>
      <c r="GL320" s="9" t="n">
        <v>0</v>
      </c>
      <c r="GM320" s="9" t="n">
        <v>0</v>
      </c>
      <c r="GN320" s="9" t="n">
        <v>0</v>
      </c>
      <c r="GO320" s="9" t="n">
        <v>1760</v>
      </c>
      <c r="GS320" s="9" t="inlineStr">
        <is>
          <t>TOTAL</t>
        </is>
      </c>
      <c r="GT320" s="9" t="n">
        <v>0</v>
      </c>
      <c r="GU320" s="9" t="n">
        <v>0</v>
      </c>
      <c r="GV320" s="9" t="n">
        <v>0</v>
      </c>
      <c r="GW320" s="9" t="n">
        <v>0</v>
      </c>
      <c r="GX320" s="9" t="n">
        <v>400</v>
      </c>
      <c r="HB320" s="9" t="inlineStr">
        <is>
          <t>TOTAL</t>
        </is>
      </c>
      <c r="HC320" s="9" t="n">
        <v>0</v>
      </c>
      <c r="HD320" s="9" t="n">
        <v>0</v>
      </c>
      <c r="HE320" s="9" t="n">
        <v>0</v>
      </c>
      <c r="HF320" s="9" t="n">
        <v>0</v>
      </c>
      <c r="HG320" s="9" t="n">
        <v>3600</v>
      </c>
      <c r="HK320" s="9" t="inlineStr">
        <is>
          <t>TOTAL</t>
        </is>
      </c>
      <c r="HL320" s="9" t="n">
        <v>0</v>
      </c>
      <c r="HM320" s="9" t="n">
        <v>0</v>
      </c>
      <c r="HN320" s="9" t="n">
        <v>0</v>
      </c>
      <c r="HO320" s="9" t="n">
        <v>0</v>
      </c>
      <c r="HP320" s="9" t="n">
        <v>0</v>
      </c>
      <c r="HU320" s="9" t="inlineStr">
        <is>
          <t>TOTAL</t>
        </is>
      </c>
      <c r="HV320" s="9" t="n">
        <v>0</v>
      </c>
      <c r="HW320" s="9" t="n">
        <v>0</v>
      </c>
      <c r="HX320" s="9" t="n">
        <v>0</v>
      </c>
      <c r="HY320" s="9" t="n">
        <v>0</v>
      </c>
      <c r="HZ320" s="9" t="n">
        <v>6120</v>
      </c>
      <c r="ID320" s="9" t="inlineStr">
        <is>
          <t>TOTAL</t>
        </is>
      </c>
      <c r="IE320" s="9" t="n">
        <v>0</v>
      </c>
      <c r="IF320" s="9" t="n">
        <v>0</v>
      </c>
      <c r="IG320" s="9" t="n">
        <v>0</v>
      </c>
      <c r="IH320" s="9" t="n">
        <v>0</v>
      </c>
      <c r="II320" s="9" t="n">
        <v>0</v>
      </c>
      <c r="IM320" s="9" t="inlineStr">
        <is>
          <t>TOTAL</t>
        </is>
      </c>
      <c r="IN320" s="9" t="n">
        <v>0</v>
      </c>
      <c r="IO320" s="9" t="n">
        <v>0</v>
      </c>
      <c r="IP320" s="9" t="n">
        <v>0</v>
      </c>
      <c r="IQ320" s="9" t="n">
        <v>0</v>
      </c>
      <c r="IR320" s="9" t="n">
        <v>0</v>
      </c>
      <c r="IV320" s="9" t="inlineStr">
        <is>
          <t>TOTAL</t>
        </is>
      </c>
      <c r="IW320" s="9" t="n">
        <v>0</v>
      </c>
      <c r="IX320" s="9" t="n">
        <v>0</v>
      </c>
      <c r="IY320" s="9" t="n">
        <v>0</v>
      </c>
      <c r="IZ320" s="9" t="n">
        <v>0</v>
      </c>
      <c r="JA320" s="9" t="n">
        <v>2820</v>
      </c>
      <c r="JE320" s="9" t="inlineStr">
        <is>
          <t>TOTAL</t>
        </is>
      </c>
      <c r="JF320" s="9" t="n">
        <v>0</v>
      </c>
      <c r="JG320" s="9" t="n">
        <v>0</v>
      </c>
      <c r="JH320" s="9" t="n">
        <v>0</v>
      </c>
      <c r="JI320" s="9" t="n">
        <v>0</v>
      </c>
      <c r="JJ320" s="9" t="n">
        <v>0</v>
      </c>
      <c r="JN320" s="9" t="inlineStr">
        <is>
          <t>TOTAL</t>
        </is>
      </c>
      <c r="JO320" s="9" t="n">
        <v>0</v>
      </c>
      <c r="JP320" s="9" t="n">
        <v>0</v>
      </c>
      <c r="JQ320" s="9" t="n">
        <v>0</v>
      </c>
      <c r="JR320" s="9" t="n">
        <v>0</v>
      </c>
      <c r="JS320" s="9" t="n">
        <v>0</v>
      </c>
      <c r="JW320" s="9" t="inlineStr">
        <is>
          <t>TOTAL</t>
        </is>
      </c>
      <c r="JX320" s="9" t="n">
        <v>0</v>
      </c>
      <c r="JY320" s="9" t="n">
        <v>0</v>
      </c>
      <c r="JZ320" s="9" t="n">
        <v>0</v>
      </c>
      <c r="KA320" s="9" t="n">
        <v>0</v>
      </c>
      <c r="KB320" s="9" t="n">
        <v>2540</v>
      </c>
      <c r="KF320" s="9" t="inlineStr">
        <is>
          <t>TOTAL</t>
        </is>
      </c>
      <c r="KG320" s="9" t="n">
        <v>0</v>
      </c>
      <c r="KH320" s="9" t="n">
        <v>0</v>
      </c>
      <c r="KI320" s="9" t="n">
        <v>0</v>
      </c>
      <c r="KJ320" s="9" t="n">
        <v>0</v>
      </c>
      <c r="KK320" s="9" t="n">
        <v>2359.5</v>
      </c>
      <c r="KO320" s="9" t="inlineStr">
        <is>
          <t>TOTAL</t>
        </is>
      </c>
      <c r="KP320" s="9" t="n">
        <v>0</v>
      </c>
      <c r="KQ320" s="9" t="n">
        <v>0</v>
      </c>
      <c r="KR320" s="9" t="n">
        <v>0</v>
      </c>
      <c r="KS320" s="9" t="n">
        <v>0</v>
      </c>
      <c r="KT320" s="9" t="n">
        <v>1890</v>
      </c>
      <c r="KX320" s="9" t="inlineStr">
        <is>
          <t>TOTAL</t>
        </is>
      </c>
      <c r="KY320" s="9" t="n">
        <v>0</v>
      </c>
      <c r="KZ320" s="9" t="n">
        <v>0</v>
      </c>
      <c r="LA320" s="9" t="n">
        <v>0</v>
      </c>
      <c r="LB320" s="9" t="n">
        <v>0</v>
      </c>
      <c r="LC320" s="9" t="n">
        <v>3690</v>
      </c>
      <c r="LG320" s="9" t="inlineStr">
        <is>
          <t>TOTAL</t>
        </is>
      </c>
      <c r="LH320" s="9" t="n">
        <v>0</v>
      </c>
      <c r="LI320" s="9" t="n">
        <v>0</v>
      </c>
      <c r="LJ320" s="9" t="n">
        <v>0</v>
      </c>
      <c r="LK320" s="9" t="n">
        <v>0</v>
      </c>
      <c r="LL320" s="9" t="n">
        <v>4000</v>
      </c>
      <c r="LP320" s="9" t="inlineStr">
        <is>
          <t>TOTAL</t>
        </is>
      </c>
      <c r="LQ320" s="9" t="n">
        <v>0</v>
      </c>
      <c r="LR320" s="9" t="n">
        <v>0</v>
      </c>
      <c r="LS320" s="9" t="n">
        <v>0</v>
      </c>
      <c r="LT320" s="9" t="n">
        <v>0</v>
      </c>
      <c r="LU320" s="9" t="n">
        <v>0</v>
      </c>
      <c r="LY320" s="9" t="inlineStr">
        <is>
          <t>TOTAL</t>
        </is>
      </c>
      <c r="LZ320" s="9" t="n">
        <v>0</v>
      </c>
      <c r="MA320" s="9" t="n">
        <v>0</v>
      </c>
      <c r="MB320" s="9" t="n">
        <v>0</v>
      </c>
      <c r="MC320" s="9" t="n">
        <v>0</v>
      </c>
      <c r="MD320" s="9" t="n">
        <v>0</v>
      </c>
      <c r="MH320" s="9" t="inlineStr">
        <is>
          <t>TOTAL</t>
        </is>
      </c>
      <c r="MI320" s="9" t="n">
        <v>0</v>
      </c>
      <c r="MJ320" s="9" t="n">
        <v>0</v>
      </c>
      <c r="MK320" s="9" t="n">
        <v>0</v>
      </c>
      <c r="ML320" s="9" t="n">
        <v>0</v>
      </c>
      <c r="MM320" s="9" t="n">
        <v>0</v>
      </c>
      <c r="MQ320" s="9" t="inlineStr">
        <is>
          <t>TOTAL</t>
        </is>
      </c>
      <c r="MR320" s="9" t="n">
        <v>0</v>
      </c>
      <c r="MS320" s="9" t="n">
        <v>0</v>
      </c>
      <c r="MT320" s="9" t="n">
        <v>0</v>
      </c>
      <c r="MU320" s="9" t="n">
        <v>0</v>
      </c>
      <c r="MV320" s="9" t="n">
        <v>1625</v>
      </c>
      <c r="MZ320" s="9" t="inlineStr">
        <is>
          <t>TOTAL</t>
        </is>
      </c>
      <c r="NA320" s="9" t="n">
        <v>0</v>
      </c>
      <c r="NB320" s="9" t="n">
        <v>0</v>
      </c>
      <c r="NC320" s="9" t="n">
        <v>0</v>
      </c>
      <c r="ND320" s="9" t="n">
        <v>0</v>
      </c>
      <c r="NE320" s="9" t="n">
        <v>0</v>
      </c>
      <c r="NI320" s="9" t="inlineStr">
        <is>
          <t>TOTAL</t>
        </is>
      </c>
      <c r="NJ320" s="9" t="n">
        <v>0</v>
      </c>
      <c r="NK320" s="9" t="n">
        <v>0</v>
      </c>
      <c r="NL320" s="9" t="n">
        <v>0</v>
      </c>
      <c r="NM320" s="9" t="n">
        <v>0</v>
      </c>
      <c r="NN320" s="9" t="n">
        <v>1127</v>
      </c>
      <c r="NR320" s="9" t="inlineStr">
        <is>
          <t>TOTAL</t>
        </is>
      </c>
      <c r="NS320" s="9" t="n">
        <v>0</v>
      </c>
      <c r="NT320" s="9" t="n">
        <v>0</v>
      </c>
      <c r="NU320" s="9" t="n">
        <v>0</v>
      </c>
      <c r="NV320" s="9" t="n">
        <v>0</v>
      </c>
      <c r="NW320" s="9" t="n">
        <v>3112</v>
      </c>
      <c r="OA320" s="9" t="inlineStr">
        <is>
          <t>TOTAL</t>
        </is>
      </c>
      <c r="OB320" s="9" t="n">
        <v>0</v>
      </c>
      <c r="OC320" s="9" t="n">
        <v>0</v>
      </c>
      <c r="OD320" s="9" t="n">
        <v>0</v>
      </c>
      <c r="OE320" s="9" t="n">
        <v>0</v>
      </c>
      <c r="OF320" s="9" t="n">
        <v>1680.5</v>
      </c>
      <c r="OJ320" s="9" t="inlineStr">
        <is>
          <t>TOTAL</t>
        </is>
      </c>
      <c r="OK320" s="9" t="n">
        <v>0</v>
      </c>
      <c r="OL320" s="9" t="n">
        <v>0</v>
      </c>
      <c r="OM320" s="9" t="n">
        <v>0</v>
      </c>
      <c r="ON320" s="9" t="n">
        <v>0</v>
      </c>
      <c r="OO320" s="9" t="n">
        <v>0</v>
      </c>
      <c r="OS320" s="9" t="inlineStr">
        <is>
          <t>TOTAL</t>
        </is>
      </c>
      <c r="OT320" s="9" t="n">
        <v>0</v>
      </c>
      <c r="OU320" s="9" t="n">
        <v>0</v>
      </c>
      <c r="OV320" s="9" t="n">
        <v>0</v>
      </c>
      <c r="OW320" s="9" t="n">
        <v>0</v>
      </c>
      <c r="OX320" s="9" t="n">
        <v>1482</v>
      </c>
      <c r="PB320" s="9" t="inlineStr">
        <is>
          <t>TOTAL</t>
        </is>
      </c>
      <c r="PC320" s="9" t="n">
        <v>0</v>
      </c>
      <c r="PD320" s="9" t="n">
        <v>0</v>
      </c>
      <c r="PE320" s="9" t="n">
        <v>0</v>
      </c>
      <c r="PF320" s="9" t="n">
        <v>0</v>
      </c>
      <c r="PG320" s="9" t="n">
        <v>0</v>
      </c>
      <c r="PK320" s="9" t="inlineStr">
        <is>
          <t>TOTAL</t>
        </is>
      </c>
      <c r="PL320" s="9" t="n">
        <v>0</v>
      </c>
      <c r="PM320" s="9" t="n">
        <v>0</v>
      </c>
      <c r="PN320" s="9" t="n">
        <v>0</v>
      </c>
      <c r="PO320" s="9" t="n">
        <v>0</v>
      </c>
      <c r="PP320" s="9" t="n">
        <v>100</v>
      </c>
      <c r="PT320" s="9" t="inlineStr">
        <is>
          <t>TOTAL</t>
        </is>
      </c>
      <c r="PU320" s="9" t="n">
        <v>0</v>
      </c>
      <c r="PV320" s="9" t="n">
        <v>0</v>
      </c>
      <c r="PW320" s="9" t="n">
        <v>0</v>
      </c>
      <c r="PX320" s="9" t="n">
        <v>0</v>
      </c>
      <c r="PY320" s="9" t="n">
        <v>13.96000000000004</v>
      </c>
      <c r="QC320" s="9" t="inlineStr">
        <is>
          <t>TOTAL</t>
        </is>
      </c>
      <c r="QD320" s="9" t="n">
        <v>0</v>
      </c>
      <c r="QE320" s="9" t="n">
        <v>0</v>
      </c>
      <c r="QF320" s="9" t="n">
        <v>0</v>
      </c>
      <c r="QG320" s="9" t="n">
        <v>0</v>
      </c>
      <c r="QH320" s="9" t="n">
        <v>548</v>
      </c>
      <c r="QL320" s="9" t="inlineStr">
        <is>
          <t>TOTAL</t>
        </is>
      </c>
      <c r="QM320" s="9" t="n">
        <v>0</v>
      </c>
      <c r="QN320" s="9" t="n">
        <v>0</v>
      </c>
      <c r="QO320" s="9" t="n">
        <v>0</v>
      </c>
      <c r="QP320" s="9" t="n">
        <v>0</v>
      </c>
      <c r="QQ320" s="9" t="n">
        <v>0</v>
      </c>
      <c r="QU320" s="9" t="inlineStr">
        <is>
          <t>TOTAL</t>
        </is>
      </c>
      <c r="QV320" s="9" t="n">
        <v>0</v>
      </c>
      <c r="QW320" s="9" t="n">
        <v>0</v>
      </c>
      <c r="QX320" s="9" t="n">
        <v>0</v>
      </c>
      <c r="QY320" s="9" t="n">
        <v>0</v>
      </c>
      <c r="QZ320" s="9" t="n">
        <v>0</v>
      </c>
      <c r="RD320" s="9" t="inlineStr">
        <is>
          <t>TOTAL</t>
        </is>
      </c>
      <c r="RE320" s="9" t="n">
        <v>0</v>
      </c>
      <c r="RF320" s="9" t="n">
        <v>0</v>
      </c>
      <c r="RG320" s="9" t="n">
        <v>0</v>
      </c>
      <c r="RH320" s="9" t="n">
        <v>0</v>
      </c>
      <c r="RI320" s="9" t="n">
        <v>147.04</v>
      </c>
      <c r="RM320" s="9" t="inlineStr">
        <is>
          <t>TOTAL</t>
        </is>
      </c>
      <c r="RN320" s="9" t="n">
        <v>0</v>
      </c>
      <c r="RO320" s="9" t="n">
        <v>0</v>
      </c>
      <c r="RP320" s="9" t="n">
        <v>0</v>
      </c>
      <c r="RQ320" s="9" t="n">
        <v>0</v>
      </c>
      <c r="RR320" s="9" t="n">
        <v>46.8</v>
      </c>
      <c r="RV320" s="9" t="inlineStr">
        <is>
          <t>TOTAL</t>
        </is>
      </c>
      <c r="RW320" s="9" t="n">
        <v>0</v>
      </c>
      <c r="RX320" s="9" t="n">
        <v>0</v>
      </c>
      <c r="RY320" s="9" t="n">
        <v>0</v>
      </c>
      <c r="RZ320" s="9" t="n">
        <v>0</v>
      </c>
      <c r="SA320" s="9" t="n">
        <v>0</v>
      </c>
      <c r="SE320" s="9" t="inlineStr">
        <is>
          <t>TOTAL</t>
        </is>
      </c>
      <c r="SF320" s="9" t="n">
        <v>0</v>
      </c>
      <c r="SG320" s="9" t="n">
        <v>0</v>
      </c>
      <c r="SH320" s="9" t="n">
        <v>0</v>
      </c>
      <c r="SI320" s="9" t="n">
        <v>0</v>
      </c>
      <c r="SJ320" s="9" t="n">
        <v>24.2</v>
      </c>
      <c r="SN320" s="9" t="inlineStr">
        <is>
          <t>TOTAL</t>
        </is>
      </c>
      <c r="SO320" s="9" t="n">
        <v>0</v>
      </c>
      <c r="SP320" s="9" t="n">
        <v>0</v>
      </c>
      <c r="SQ320" s="9" t="n">
        <v>0</v>
      </c>
      <c r="SR320" s="9" t="n">
        <v>0</v>
      </c>
      <c r="SS320" s="9" t="n">
        <v>32</v>
      </c>
      <c r="SW320" s="9" t="inlineStr">
        <is>
          <t>TOTAL</t>
        </is>
      </c>
      <c r="SX320" s="9" t="n">
        <v>0</v>
      </c>
      <c r="SY320" s="9" t="n">
        <v>0</v>
      </c>
      <c r="SZ320" s="9" t="n">
        <v>0</v>
      </c>
      <c r="TA320" s="9" t="n">
        <v>0</v>
      </c>
      <c r="TB320" s="9" t="n">
        <v>0</v>
      </c>
      <c r="TF320" s="9" t="inlineStr">
        <is>
          <t>TOTAL</t>
        </is>
      </c>
      <c r="TG320" s="9" t="n">
        <v>0</v>
      </c>
      <c r="TH320" s="9" t="n">
        <v>0</v>
      </c>
      <c r="TI320" s="9" t="n">
        <v>0</v>
      </c>
      <c r="TJ320" s="9" t="n">
        <v>0</v>
      </c>
      <c r="TK320" s="9" t="n">
        <v>0</v>
      </c>
      <c r="TO320" s="9" t="inlineStr">
        <is>
          <t>TOTAL</t>
        </is>
      </c>
      <c r="TP320" s="9" t="n">
        <v>0</v>
      </c>
      <c r="TQ320" s="9" t="n">
        <v>0</v>
      </c>
      <c r="TR320" s="9" t="n">
        <v>0</v>
      </c>
      <c r="TS320" s="9" t="n">
        <v>0</v>
      </c>
      <c r="TT320" s="9" t="n">
        <v>0</v>
      </c>
      <c r="TX320" s="9" t="inlineStr">
        <is>
          <t>TOTAL</t>
        </is>
      </c>
      <c r="TY320" s="9" t="n">
        <v>0</v>
      </c>
      <c r="TZ320" s="9" t="n">
        <v>0</v>
      </c>
      <c r="UA320" s="9" t="n">
        <v>0</v>
      </c>
      <c r="UB320" s="9" t="n">
        <v>0</v>
      </c>
      <c r="UC320" s="9" t="n">
        <v>46.79999999999998</v>
      </c>
      <c r="UG320" s="9" t="inlineStr">
        <is>
          <t>TOTAL</t>
        </is>
      </c>
      <c r="UH320" s="9" t="n">
        <v>0</v>
      </c>
      <c r="UI320" s="9" t="n">
        <v>0</v>
      </c>
      <c r="UJ320" s="9" t="n">
        <v>0</v>
      </c>
      <c r="UK320" s="9" t="n">
        <v>0</v>
      </c>
      <c r="UL320" s="9" t="n">
        <v>204</v>
      </c>
      <c r="UP320" s="9" t="inlineStr">
        <is>
          <t>TOTAL</t>
        </is>
      </c>
      <c r="UQ320" s="9" t="n">
        <v>0</v>
      </c>
      <c r="UR320" s="9" t="n">
        <v>0</v>
      </c>
      <c r="US320" s="9" t="n">
        <v>0</v>
      </c>
      <c r="UT320" s="9" t="n">
        <v>0</v>
      </c>
      <c r="UU320" s="9" t="n">
        <v>202.5</v>
      </c>
      <c r="UY320" s="9" t="inlineStr">
        <is>
          <t>TOTAL</t>
        </is>
      </c>
      <c r="UZ320" s="9" t="n">
        <v>0</v>
      </c>
      <c r="VA320" s="9" t="n">
        <v>0</v>
      </c>
      <c r="VB320" s="9" t="n">
        <v>0</v>
      </c>
      <c r="VC320" s="9" t="n">
        <v>0</v>
      </c>
      <c r="VD320" s="9" t="n">
        <v>41.60000000000002</v>
      </c>
      <c r="VH320" s="9" t="inlineStr">
        <is>
          <t>TOTAL</t>
        </is>
      </c>
      <c r="VI320" s="9" t="n">
        <v>0</v>
      </c>
      <c r="VJ320" s="9" t="n">
        <v>0</v>
      </c>
      <c r="VK320" s="9" t="n">
        <v>0</v>
      </c>
      <c r="VL320" s="9" t="n">
        <v>0</v>
      </c>
      <c r="VM320" s="9" t="n">
        <v>210</v>
      </c>
      <c r="VQ320" s="9" t="inlineStr">
        <is>
          <t>TOTAL</t>
        </is>
      </c>
      <c r="VR320" s="9" t="n">
        <v>0</v>
      </c>
      <c r="VS320" s="9" t="n">
        <v>0</v>
      </c>
      <c r="VT320" s="9" t="n">
        <v>0</v>
      </c>
      <c r="VU320" s="9" t="n">
        <v>0</v>
      </c>
      <c r="VV320" s="9" t="n">
        <v>0</v>
      </c>
      <c r="VZ320" s="9" t="inlineStr">
        <is>
          <t>TOTAL</t>
        </is>
      </c>
      <c r="WA320" s="9" t="n">
        <v>0</v>
      </c>
      <c r="WB320" s="9" t="n">
        <v>0</v>
      </c>
      <c r="WC320" s="9" t="n">
        <v>0</v>
      </c>
      <c r="WD320" s="9" t="n">
        <v>0</v>
      </c>
      <c r="WE320" s="9" t="n">
        <v>0</v>
      </c>
      <c r="WI320" s="9" t="inlineStr">
        <is>
          <t>TOTAL</t>
        </is>
      </c>
      <c r="WJ320" s="9" t="n">
        <v>0</v>
      </c>
      <c r="WK320" s="9" t="n">
        <v>0</v>
      </c>
      <c r="WL320" s="9" t="n">
        <v>0</v>
      </c>
      <c r="WM320" s="9" t="n">
        <v>0</v>
      </c>
      <c r="WN320" s="9" t="n">
        <v>1057</v>
      </c>
      <c r="WR320" s="9" t="inlineStr">
        <is>
          <t>TOTAL</t>
        </is>
      </c>
      <c r="WS320" s="9" t="n">
        <v>0</v>
      </c>
      <c r="WT320" s="9" t="n">
        <v>0</v>
      </c>
      <c r="WU320" s="9" t="n">
        <v>0</v>
      </c>
      <c r="WV320" s="9" t="n">
        <v>0</v>
      </c>
      <c r="WW320" s="9" t="n">
        <v>0</v>
      </c>
      <c r="XA320" s="9" t="inlineStr">
        <is>
          <t>TOTAL</t>
        </is>
      </c>
      <c r="XB320" s="9" t="n">
        <v>0</v>
      </c>
      <c r="XC320" s="9" t="n">
        <v>0</v>
      </c>
      <c r="XD320" s="9" t="n">
        <v>0</v>
      </c>
      <c r="XE320" s="9" t="n">
        <v>0</v>
      </c>
      <c r="XF320" s="9" t="n">
        <v>7507</v>
      </c>
      <c r="XJ320" s="9" t="inlineStr">
        <is>
          <t>TOTAL</t>
        </is>
      </c>
      <c r="XK320" s="9" t="n">
        <v>0</v>
      </c>
      <c r="XL320" s="9" t="n">
        <v>0</v>
      </c>
      <c r="XM320" s="9" t="n">
        <v>0</v>
      </c>
      <c r="XN320" s="9" t="n">
        <v>0</v>
      </c>
      <c r="XO320" s="9" t="n">
        <v>4252</v>
      </c>
      <c r="XS320" s="9" t="inlineStr">
        <is>
          <t>TOTAL</t>
        </is>
      </c>
      <c r="XT320" s="9" t="n">
        <v>0</v>
      </c>
      <c r="XU320" s="9" t="n">
        <v>0</v>
      </c>
      <c r="XV320" s="9" t="n">
        <v>0</v>
      </c>
      <c r="XW320" s="9" t="n">
        <v>0</v>
      </c>
      <c r="XX320" s="9" t="n">
        <v>2179</v>
      </c>
      <c r="YB320" s="9" t="inlineStr">
        <is>
          <t>TOTAL</t>
        </is>
      </c>
      <c r="YC320" s="9" t="n">
        <v>0</v>
      </c>
      <c r="YD320" s="9" t="n">
        <v>0</v>
      </c>
      <c r="YE320" s="9" t="n">
        <v>0</v>
      </c>
      <c r="YF320" s="9" t="n">
        <v>0</v>
      </c>
      <c r="YG320" s="9" t="n">
        <v>4019</v>
      </c>
      <c r="YK320" s="9" t="inlineStr">
        <is>
          <t>TOTAL</t>
        </is>
      </c>
      <c r="YL320" s="9" t="n">
        <v>0</v>
      </c>
      <c r="YM320" s="9" t="n">
        <v>0</v>
      </c>
      <c r="YN320" s="9" t="n">
        <v>0</v>
      </c>
      <c r="YO320" s="9" t="n">
        <v>0</v>
      </c>
      <c r="YP320" s="9" t="n">
        <v>-218</v>
      </c>
      <c r="YT320" s="9" t="inlineStr">
        <is>
          <t>TOTAL</t>
        </is>
      </c>
      <c r="YU320" s="9" t="n">
        <v>0</v>
      </c>
      <c r="YV320" s="9" t="n">
        <v>0</v>
      </c>
      <c r="YW320" s="9" t="n">
        <v>0</v>
      </c>
      <c r="YX320" s="9" t="n">
        <v>0</v>
      </c>
      <c r="YY320" s="9" t="n">
        <v>0</v>
      </c>
      <c r="ZC320" s="9" t="inlineStr">
        <is>
          <t>TOTAL</t>
        </is>
      </c>
      <c r="ZD320" s="9" t="n">
        <v>0</v>
      </c>
      <c r="ZE320" s="9" t="n">
        <v>0</v>
      </c>
      <c r="ZF320" s="9" t="n">
        <v>0</v>
      </c>
      <c r="ZG320" s="9" t="n">
        <v>0</v>
      </c>
      <c r="ZH320" s="9" t="n">
        <v>0</v>
      </c>
      <c r="ZL320" s="9" t="inlineStr">
        <is>
          <t>TOTAL</t>
        </is>
      </c>
      <c r="ZM320" s="9" t="n">
        <v>0</v>
      </c>
      <c r="ZN320" s="9" t="n">
        <v>0</v>
      </c>
      <c r="ZO320" s="9" t="n">
        <v>0</v>
      </c>
      <c r="ZP320" s="9" t="n">
        <v>0</v>
      </c>
      <c r="ZQ320" s="9" t="n">
        <v>0</v>
      </c>
      <c r="ZU320" s="9" t="inlineStr">
        <is>
          <t>TOTAL</t>
        </is>
      </c>
      <c r="ZV320" s="9" t="n">
        <v>0</v>
      </c>
      <c r="ZW320" s="9" t="n">
        <v>0</v>
      </c>
      <c r="ZX320" s="9" t="n">
        <v>0</v>
      </c>
      <c r="ZY320" s="9" t="n">
        <v>0</v>
      </c>
      <c r="ZZ320" s="9" t="n">
        <v>0</v>
      </c>
      <c r="AAD320" s="9" t="inlineStr">
        <is>
          <t>TOTAL</t>
        </is>
      </c>
      <c r="AAE320" s="9" t="n">
        <v>0</v>
      </c>
      <c r="AAF320" s="9" t="n">
        <v>0</v>
      </c>
      <c r="AAG320" s="9" t="n">
        <v>0</v>
      </c>
      <c r="AAH320" s="9" t="n">
        <v>0</v>
      </c>
      <c r="AAI320" s="9" t="n">
        <v>0</v>
      </c>
      <c r="AAM320" s="9" t="inlineStr">
        <is>
          <t>TOTAL</t>
        </is>
      </c>
      <c r="AAN320" s="9" t="n">
        <v>0</v>
      </c>
      <c r="AAO320" s="9" t="n">
        <v>0</v>
      </c>
      <c r="AAP320" s="9" t="n">
        <v>0</v>
      </c>
      <c r="AAQ320" s="9" t="n">
        <v>0</v>
      </c>
      <c r="AAR320" s="9" t="n">
        <v>0</v>
      </c>
      <c r="AAV320" s="9" t="inlineStr">
        <is>
          <t>TOTAL</t>
        </is>
      </c>
      <c r="AAW320" s="9" t="n">
        <v>0</v>
      </c>
      <c r="AAX320" s="9" t="n">
        <v>0</v>
      </c>
      <c r="AAY320" s="9" t="n">
        <v>0</v>
      </c>
      <c r="AAZ320" s="9" t="n">
        <v>0</v>
      </c>
      <c r="ABA320" s="9" t="n">
        <v>0</v>
      </c>
      <c r="ABE320" s="9" t="inlineStr">
        <is>
          <t>TOTAL</t>
        </is>
      </c>
      <c r="ABF320" s="9" t="n">
        <v>0</v>
      </c>
      <c r="ABG320" s="9" t="n">
        <v>0</v>
      </c>
      <c r="ABH320" s="9" t="n">
        <v>0</v>
      </c>
      <c r="ABI320" s="9" t="n">
        <v>0</v>
      </c>
      <c r="ABJ320" s="9" t="n">
        <v>0</v>
      </c>
    </row>
    <row r="321"/>
    <row r="322">
      <c r="A322" s="9" t="inlineStr">
        <is>
          <t>OCT</t>
        </is>
      </c>
      <c r="C322" s="9" t="inlineStr">
        <is>
          <t>OCTOBER</t>
        </is>
      </c>
      <c r="J322" s="9" t="inlineStr">
        <is>
          <t>OCT</t>
        </is>
      </c>
      <c r="L322" s="9" t="inlineStr">
        <is>
          <t>OCTOBER</t>
        </is>
      </c>
      <c r="S322" s="9" t="inlineStr">
        <is>
          <t>OCT</t>
        </is>
      </c>
      <c r="U322" s="9" t="inlineStr">
        <is>
          <t>OCTOBER</t>
        </is>
      </c>
      <c r="AB322" s="9" t="inlineStr">
        <is>
          <t>OCT</t>
        </is>
      </c>
      <c r="AD322" s="9" t="inlineStr">
        <is>
          <t>OCTOBER</t>
        </is>
      </c>
      <c r="AK322" s="9" t="inlineStr">
        <is>
          <t>OCT</t>
        </is>
      </c>
      <c r="AM322" s="9" t="inlineStr">
        <is>
          <t>OCTOBER</t>
        </is>
      </c>
      <c r="AT322" s="9" t="inlineStr">
        <is>
          <t>OCT</t>
        </is>
      </c>
      <c r="AV322" s="9" t="inlineStr">
        <is>
          <t>OCTOBER</t>
        </is>
      </c>
      <c r="BC322" s="9" t="inlineStr">
        <is>
          <t>OCT</t>
        </is>
      </c>
      <c r="BE322" s="9" t="inlineStr">
        <is>
          <t>OCTOBER</t>
        </is>
      </c>
      <c r="BL322" s="9" t="inlineStr">
        <is>
          <t>OCT</t>
        </is>
      </c>
      <c r="BN322" s="9" t="inlineStr">
        <is>
          <t>OCTOBER</t>
        </is>
      </c>
      <c r="BU322" s="9" t="inlineStr">
        <is>
          <t>OCT</t>
        </is>
      </c>
      <c r="BW322" s="9" t="inlineStr">
        <is>
          <t>OCTOBER</t>
        </is>
      </c>
      <c r="CD322" s="9" t="inlineStr">
        <is>
          <t>OCT</t>
        </is>
      </c>
      <c r="CF322" s="9" t="inlineStr">
        <is>
          <t>OCTOBER</t>
        </is>
      </c>
      <c r="CM322" s="9" t="inlineStr">
        <is>
          <t>OCT</t>
        </is>
      </c>
      <c r="CO322" s="9" t="inlineStr">
        <is>
          <t>OCTOBER</t>
        </is>
      </c>
      <c r="CV322" s="9" t="inlineStr">
        <is>
          <t>OCT</t>
        </is>
      </c>
      <c r="CX322" s="9" t="inlineStr">
        <is>
          <t>OCTOBER</t>
        </is>
      </c>
      <c r="DE322" s="9" t="inlineStr">
        <is>
          <t>OCT</t>
        </is>
      </c>
      <c r="DG322" s="9" t="inlineStr">
        <is>
          <t>OCTOBER</t>
        </is>
      </c>
      <c r="DN322" s="9" t="inlineStr">
        <is>
          <t>OCT</t>
        </is>
      </c>
      <c r="DP322" s="9" t="inlineStr">
        <is>
          <t>OCTOBER</t>
        </is>
      </c>
      <c r="DW322" s="9" t="inlineStr">
        <is>
          <t>OCT</t>
        </is>
      </c>
      <c r="DY322" s="9" t="inlineStr">
        <is>
          <t>OCTOBER</t>
        </is>
      </c>
      <c r="EF322" s="9" t="inlineStr">
        <is>
          <t>OCT</t>
        </is>
      </c>
      <c r="EH322" s="9" t="inlineStr">
        <is>
          <t>OCTOBER</t>
        </is>
      </c>
      <c r="EO322" s="9" t="inlineStr">
        <is>
          <t>OCT</t>
        </is>
      </c>
      <c r="EQ322" s="9" t="inlineStr">
        <is>
          <t>OCTOBER</t>
        </is>
      </c>
      <c r="EX322" s="9" t="inlineStr">
        <is>
          <t>OCT</t>
        </is>
      </c>
      <c r="EZ322" s="9" t="inlineStr">
        <is>
          <t>OCTOBER</t>
        </is>
      </c>
      <c r="FG322" s="9" t="inlineStr">
        <is>
          <t>OCT</t>
        </is>
      </c>
      <c r="FI322" s="9" t="inlineStr">
        <is>
          <t>OCTOBER</t>
        </is>
      </c>
      <c r="FP322" s="9" t="inlineStr">
        <is>
          <t>OCT</t>
        </is>
      </c>
      <c r="FR322" s="9" t="inlineStr">
        <is>
          <t>OCTOBER</t>
        </is>
      </c>
      <c r="FY322" s="9" t="inlineStr">
        <is>
          <t>OCT</t>
        </is>
      </c>
      <c r="GA322" s="9" t="inlineStr">
        <is>
          <t>OCTOBER</t>
        </is>
      </c>
      <c r="GH322" s="9" t="inlineStr">
        <is>
          <t>OCT</t>
        </is>
      </c>
      <c r="GJ322" s="9" t="inlineStr">
        <is>
          <t>OCTOBER</t>
        </is>
      </c>
      <c r="GQ322" s="9" t="inlineStr">
        <is>
          <t>OCT</t>
        </is>
      </c>
      <c r="GS322" s="9" t="inlineStr">
        <is>
          <t>OCTOBER</t>
        </is>
      </c>
      <c r="GZ322" s="9" t="inlineStr">
        <is>
          <t>OCT</t>
        </is>
      </c>
      <c r="HB322" s="9" t="inlineStr">
        <is>
          <t>OCTOBER</t>
        </is>
      </c>
      <c r="HI322" s="9" t="inlineStr">
        <is>
          <t>OCT</t>
        </is>
      </c>
      <c r="HK322" s="9" t="inlineStr">
        <is>
          <t>OCTOBER</t>
        </is>
      </c>
      <c r="HS322" s="9" t="inlineStr">
        <is>
          <t>OCT</t>
        </is>
      </c>
      <c r="HU322" s="9" t="inlineStr">
        <is>
          <t>OCTOBER</t>
        </is>
      </c>
      <c r="IB322" s="9" t="inlineStr">
        <is>
          <t>OCT</t>
        </is>
      </c>
      <c r="ID322" s="9" t="inlineStr">
        <is>
          <t>OCTOBER</t>
        </is>
      </c>
      <c r="IK322" s="9" t="inlineStr">
        <is>
          <t>OCT</t>
        </is>
      </c>
      <c r="IM322" s="9" t="inlineStr">
        <is>
          <t>OCTOBER</t>
        </is>
      </c>
      <c r="IT322" s="9" t="inlineStr">
        <is>
          <t>OCT</t>
        </is>
      </c>
      <c r="IV322" s="9" t="inlineStr">
        <is>
          <t>OCTOBER</t>
        </is>
      </c>
      <c r="JC322" s="9" t="inlineStr">
        <is>
          <t>OCT</t>
        </is>
      </c>
      <c r="JE322" s="9" t="inlineStr">
        <is>
          <t>OCTOBER</t>
        </is>
      </c>
      <c r="JL322" s="9" t="inlineStr">
        <is>
          <t>OCT</t>
        </is>
      </c>
      <c r="JN322" s="9" t="inlineStr">
        <is>
          <t>OCTOBER</t>
        </is>
      </c>
      <c r="JU322" s="9" t="inlineStr">
        <is>
          <t>OCT</t>
        </is>
      </c>
      <c r="JW322" s="9" t="inlineStr">
        <is>
          <t>OCTOBER</t>
        </is>
      </c>
      <c r="KD322" s="9" t="inlineStr">
        <is>
          <t>OCT</t>
        </is>
      </c>
      <c r="KF322" s="9" t="inlineStr">
        <is>
          <t>OCTOBER</t>
        </is>
      </c>
      <c r="KM322" s="9" t="inlineStr">
        <is>
          <t>OCT</t>
        </is>
      </c>
      <c r="KO322" s="9" t="inlineStr">
        <is>
          <t>OCTOBER</t>
        </is>
      </c>
      <c r="KV322" s="9" t="inlineStr">
        <is>
          <t>OCT</t>
        </is>
      </c>
      <c r="KX322" s="9" t="inlineStr">
        <is>
          <t>OCTOBER</t>
        </is>
      </c>
      <c r="LE322" s="9" t="inlineStr">
        <is>
          <t>OCT</t>
        </is>
      </c>
      <c r="LG322" s="9" t="inlineStr">
        <is>
          <t>OCTOBER</t>
        </is>
      </c>
      <c r="LN322" s="9" t="inlineStr">
        <is>
          <t>OCT</t>
        </is>
      </c>
      <c r="LP322" s="9" t="inlineStr">
        <is>
          <t>OCTOBER</t>
        </is>
      </c>
      <c r="LW322" s="9" t="inlineStr">
        <is>
          <t>OCT</t>
        </is>
      </c>
      <c r="LY322" s="9" t="inlineStr">
        <is>
          <t>OCTOBER</t>
        </is>
      </c>
      <c r="MF322" s="9" t="inlineStr">
        <is>
          <t>OCT</t>
        </is>
      </c>
      <c r="MH322" s="9" t="inlineStr">
        <is>
          <t>OCTOBER</t>
        </is>
      </c>
      <c r="MO322" s="9" t="inlineStr">
        <is>
          <t>OCT</t>
        </is>
      </c>
      <c r="MQ322" s="9" t="inlineStr">
        <is>
          <t>OCTOBER</t>
        </is>
      </c>
      <c r="MX322" s="9" t="inlineStr">
        <is>
          <t>OCT</t>
        </is>
      </c>
      <c r="MZ322" s="9" t="inlineStr">
        <is>
          <t>OCTOBER</t>
        </is>
      </c>
      <c r="NG322" s="9" t="inlineStr">
        <is>
          <t>OCT</t>
        </is>
      </c>
      <c r="NI322" s="9" t="inlineStr">
        <is>
          <t>OCTOBER</t>
        </is>
      </c>
      <c r="NP322" s="9" t="inlineStr">
        <is>
          <t>OCT</t>
        </is>
      </c>
      <c r="NR322" s="9" t="inlineStr">
        <is>
          <t>OCTOBER</t>
        </is>
      </c>
      <c r="NY322" s="9" t="inlineStr">
        <is>
          <t>OCT</t>
        </is>
      </c>
      <c r="OA322" s="9" t="inlineStr">
        <is>
          <t>OCTOBER</t>
        </is>
      </c>
      <c r="OH322" s="9" t="inlineStr">
        <is>
          <t>OCT</t>
        </is>
      </c>
      <c r="OJ322" s="9" t="inlineStr">
        <is>
          <t>OCTOBER</t>
        </is>
      </c>
      <c r="OQ322" s="9" t="inlineStr">
        <is>
          <t>OCT</t>
        </is>
      </c>
      <c r="OS322" s="9" t="inlineStr">
        <is>
          <t>OCTOBER</t>
        </is>
      </c>
      <c r="OZ322" s="9" t="inlineStr">
        <is>
          <t>OCT</t>
        </is>
      </c>
      <c r="PB322" s="9" t="inlineStr">
        <is>
          <t>OCTOBER</t>
        </is>
      </c>
      <c r="PI322" s="9" t="inlineStr">
        <is>
          <t>OCT</t>
        </is>
      </c>
      <c r="PK322" s="9" t="inlineStr">
        <is>
          <t>OCTOBER</t>
        </is>
      </c>
      <c r="PR322" s="9" t="inlineStr">
        <is>
          <t>OCT</t>
        </is>
      </c>
      <c r="PT322" s="9" t="inlineStr">
        <is>
          <t>OCTOBER</t>
        </is>
      </c>
      <c r="QA322" s="9" t="inlineStr">
        <is>
          <t>OCT</t>
        </is>
      </c>
      <c r="QC322" s="9" t="inlineStr">
        <is>
          <t>OCTOBER</t>
        </is>
      </c>
      <c r="QJ322" s="9" t="inlineStr">
        <is>
          <t>OCT</t>
        </is>
      </c>
      <c r="QL322" s="9" t="inlineStr">
        <is>
          <t>OCTOBER</t>
        </is>
      </c>
      <c r="QS322" s="9" t="inlineStr">
        <is>
          <t>OCT</t>
        </is>
      </c>
      <c r="QU322" s="9" t="inlineStr">
        <is>
          <t>OCTOBER</t>
        </is>
      </c>
      <c r="RB322" s="9" t="inlineStr">
        <is>
          <t>OCT</t>
        </is>
      </c>
      <c r="RD322" s="9" t="inlineStr">
        <is>
          <t>OCTOBER</t>
        </is>
      </c>
      <c r="RK322" s="9" t="inlineStr">
        <is>
          <t>OCT</t>
        </is>
      </c>
      <c r="RM322" s="9" t="inlineStr">
        <is>
          <t>OCTOBER</t>
        </is>
      </c>
      <c r="RT322" s="9" t="inlineStr">
        <is>
          <t>OCT</t>
        </is>
      </c>
      <c r="RV322" s="9" t="inlineStr">
        <is>
          <t>OCTOBER</t>
        </is>
      </c>
      <c r="SC322" s="9" t="inlineStr">
        <is>
          <t>OCT</t>
        </is>
      </c>
      <c r="SE322" s="9" t="inlineStr">
        <is>
          <t>OCTOBER</t>
        </is>
      </c>
      <c r="SL322" s="9" t="inlineStr">
        <is>
          <t>OCT</t>
        </is>
      </c>
      <c r="SN322" s="9" t="inlineStr">
        <is>
          <t>OCTOBER</t>
        </is>
      </c>
      <c r="SU322" s="9" t="inlineStr">
        <is>
          <t>OCT</t>
        </is>
      </c>
      <c r="SW322" s="9" t="inlineStr">
        <is>
          <t>OCTOBER</t>
        </is>
      </c>
      <c r="TD322" s="9" t="inlineStr">
        <is>
          <t>OCT</t>
        </is>
      </c>
      <c r="TF322" s="9" t="inlineStr">
        <is>
          <t>OCTOBER</t>
        </is>
      </c>
      <c r="TM322" s="9" t="inlineStr">
        <is>
          <t>OCT</t>
        </is>
      </c>
      <c r="TO322" s="9" t="inlineStr">
        <is>
          <t>OCTOBER</t>
        </is>
      </c>
      <c r="TV322" s="9" t="inlineStr">
        <is>
          <t>OCT</t>
        </is>
      </c>
      <c r="TX322" s="9" t="inlineStr">
        <is>
          <t>OCTOBER</t>
        </is>
      </c>
      <c r="UE322" s="9" t="inlineStr">
        <is>
          <t>OCT</t>
        </is>
      </c>
      <c r="UG322" s="9" t="inlineStr">
        <is>
          <t>OCTOBER</t>
        </is>
      </c>
      <c r="UN322" s="9" t="inlineStr">
        <is>
          <t>OCT</t>
        </is>
      </c>
      <c r="UP322" s="9" t="inlineStr">
        <is>
          <t>OCTOBER</t>
        </is>
      </c>
      <c r="UW322" s="9" t="inlineStr">
        <is>
          <t>OCT</t>
        </is>
      </c>
      <c r="UY322" s="9" t="inlineStr">
        <is>
          <t>OCTOBER</t>
        </is>
      </c>
      <c r="VF322" s="9" t="inlineStr">
        <is>
          <t>OCT</t>
        </is>
      </c>
      <c r="VH322" s="9" t="inlineStr">
        <is>
          <t>OCTOBER</t>
        </is>
      </c>
      <c r="VO322" s="9" t="inlineStr">
        <is>
          <t>OCT</t>
        </is>
      </c>
      <c r="VQ322" s="9" t="inlineStr">
        <is>
          <t>OCTOBER</t>
        </is>
      </c>
      <c r="VX322" s="9" t="inlineStr">
        <is>
          <t>OCT</t>
        </is>
      </c>
      <c r="VZ322" s="9" t="inlineStr">
        <is>
          <t>OCTOBER</t>
        </is>
      </c>
      <c r="WG322" s="9" t="inlineStr">
        <is>
          <t>OCT</t>
        </is>
      </c>
      <c r="WI322" s="9" t="inlineStr">
        <is>
          <t>OCTOBER</t>
        </is>
      </c>
      <c r="WP322" s="9" t="inlineStr">
        <is>
          <t>OCT</t>
        </is>
      </c>
      <c r="WR322" s="9" t="inlineStr">
        <is>
          <t>OCTOBER</t>
        </is>
      </c>
      <c r="WY322" s="9" t="inlineStr">
        <is>
          <t>OCT</t>
        </is>
      </c>
      <c r="XA322" s="9" t="inlineStr">
        <is>
          <t>OCTOBER</t>
        </is>
      </c>
      <c r="XH322" s="9" t="inlineStr">
        <is>
          <t>OCT</t>
        </is>
      </c>
      <c r="XJ322" s="9" t="inlineStr">
        <is>
          <t>OCTOBER</t>
        </is>
      </c>
      <c r="XQ322" s="9" t="inlineStr">
        <is>
          <t>OCT</t>
        </is>
      </c>
      <c r="XS322" s="9" t="inlineStr">
        <is>
          <t>OCTOBER</t>
        </is>
      </c>
      <c r="XZ322" s="9" t="inlineStr">
        <is>
          <t>OCT</t>
        </is>
      </c>
      <c r="YB322" s="9" t="inlineStr">
        <is>
          <t>OCTOBER</t>
        </is>
      </c>
      <c r="YI322" s="9" t="inlineStr">
        <is>
          <t>OCT</t>
        </is>
      </c>
      <c r="YK322" s="9" t="inlineStr">
        <is>
          <t>OCTOBER</t>
        </is>
      </c>
      <c r="YR322" s="9" t="inlineStr">
        <is>
          <t>OCT</t>
        </is>
      </c>
      <c r="YT322" s="9" t="inlineStr">
        <is>
          <t>OCTOBER</t>
        </is>
      </c>
      <c r="ZA322" s="9" t="inlineStr">
        <is>
          <t>OCT</t>
        </is>
      </c>
      <c r="ZC322" s="9" t="inlineStr">
        <is>
          <t>OCTOBER</t>
        </is>
      </c>
      <c r="ZJ322" s="9" t="inlineStr">
        <is>
          <t>OCT</t>
        </is>
      </c>
      <c r="ZL322" s="9" t="inlineStr">
        <is>
          <t>OCTOBER</t>
        </is>
      </c>
      <c r="ZS322" s="9" t="inlineStr">
        <is>
          <t>OCT</t>
        </is>
      </c>
      <c r="ZU322" s="9" t="inlineStr">
        <is>
          <t>OCTOBER</t>
        </is>
      </c>
      <c r="AAB322" s="9" t="inlineStr">
        <is>
          <t>OCT</t>
        </is>
      </c>
      <c r="AAD322" s="9" t="inlineStr">
        <is>
          <t>OCTOBER</t>
        </is>
      </c>
      <c r="AAK322" s="9" t="inlineStr">
        <is>
          <t>OCT</t>
        </is>
      </c>
      <c r="AAM322" s="9" t="inlineStr">
        <is>
          <t>OCTOBER</t>
        </is>
      </c>
      <c r="AAT322" s="9" t="inlineStr">
        <is>
          <t>OCT</t>
        </is>
      </c>
      <c r="AAV322" s="9" t="inlineStr">
        <is>
          <t>OCTOBER</t>
        </is>
      </c>
      <c r="ABC322" s="9" t="inlineStr">
        <is>
          <t>OCT</t>
        </is>
      </c>
      <c r="ABE322" s="9" t="inlineStr">
        <is>
          <t>OCTOBER</t>
        </is>
      </c>
    </row>
    <row r="323">
      <c r="C323" s="9" t="inlineStr">
        <is>
          <t>Date</t>
        </is>
      </c>
      <c r="D323" s="9" t="inlineStr">
        <is>
          <t>Intake</t>
        </is>
      </c>
      <c r="E323" s="9" t="inlineStr">
        <is>
          <t>Usage</t>
        </is>
      </c>
      <c r="F323" s="9" t="inlineStr">
        <is>
          <t>Actual</t>
        </is>
      </c>
      <c r="G323" s="9" t="inlineStr">
        <is>
          <t>Adjustment</t>
        </is>
      </c>
      <c r="H323" s="9" t="inlineStr">
        <is>
          <t>Balance</t>
        </is>
      </c>
      <c r="I323" s="9" t="inlineStr">
        <is>
          <t>Remarks</t>
        </is>
      </c>
      <c r="L323" s="9" t="inlineStr">
        <is>
          <t>Date</t>
        </is>
      </c>
      <c r="M323" s="9" t="inlineStr">
        <is>
          <t>Intake</t>
        </is>
      </c>
      <c r="N323" s="9" t="inlineStr">
        <is>
          <t>Usage</t>
        </is>
      </c>
      <c r="O323" s="9" t="inlineStr">
        <is>
          <t>Actual</t>
        </is>
      </c>
      <c r="P323" s="9" t="inlineStr">
        <is>
          <t>Adjustment</t>
        </is>
      </c>
      <c r="Q323" s="9" t="inlineStr">
        <is>
          <t>Balance</t>
        </is>
      </c>
      <c r="R323" s="9" t="inlineStr">
        <is>
          <t>Remarks</t>
        </is>
      </c>
      <c r="U323" s="9" t="inlineStr">
        <is>
          <t>Date</t>
        </is>
      </c>
      <c r="V323" s="9" t="inlineStr">
        <is>
          <t>Intake</t>
        </is>
      </c>
      <c r="W323" s="9" t="inlineStr">
        <is>
          <t>Usage</t>
        </is>
      </c>
      <c r="X323" s="9" t="inlineStr">
        <is>
          <t>Actual</t>
        </is>
      </c>
      <c r="Y323" s="9" t="inlineStr">
        <is>
          <t>Adjustment</t>
        </is>
      </c>
      <c r="Z323" s="9" t="inlineStr">
        <is>
          <t>Balance</t>
        </is>
      </c>
      <c r="AA323" s="9" t="inlineStr">
        <is>
          <t>Remarks</t>
        </is>
      </c>
      <c r="AD323" s="9" t="inlineStr">
        <is>
          <t>Date</t>
        </is>
      </c>
      <c r="AE323" s="9" t="inlineStr">
        <is>
          <t>Intake</t>
        </is>
      </c>
      <c r="AF323" s="9" t="inlineStr">
        <is>
          <t>Usage</t>
        </is>
      </c>
      <c r="AG323" s="9" t="inlineStr">
        <is>
          <t>Actual</t>
        </is>
      </c>
      <c r="AH323" s="9" t="inlineStr">
        <is>
          <t>Adjustment</t>
        </is>
      </c>
      <c r="AI323" s="9" t="inlineStr">
        <is>
          <t>Balance</t>
        </is>
      </c>
      <c r="AJ323" s="9" t="inlineStr">
        <is>
          <t>Remarks</t>
        </is>
      </c>
      <c r="AM323" s="9" t="inlineStr">
        <is>
          <t>Date</t>
        </is>
      </c>
      <c r="AN323" s="9" t="inlineStr">
        <is>
          <t>Intake</t>
        </is>
      </c>
      <c r="AO323" s="9" t="inlineStr">
        <is>
          <t>Usage</t>
        </is>
      </c>
      <c r="AP323" s="9" t="inlineStr">
        <is>
          <t>Actual</t>
        </is>
      </c>
      <c r="AQ323" s="9" t="inlineStr">
        <is>
          <t>Adjustment</t>
        </is>
      </c>
      <c r="AR323" s="9" t="inlineStr">
        <is>
          <t>Balance</t>
        </is>
      </c>
      <c r="AS323" s="9" t="inlineStr">
        <is>
          <t>Remarks</t>
        </is>
      </c>
      <c r="AV323" s="9" t="inlineStr">
        <is>
          <t>Date</t>
        </is>
      </c>
      <c r="AW323" s="9" t="inlineStr">
        <is>
          <t>Intake</t>
        </is>
      </c>
      <c r="AX323" s="9" t="inlineStr">
        <is>
          <t>Usage</t>
        </is>
      </c>
      <c r="AY323" s="9" t="inlineStr">
        <is>
          <t>Actual</t>
        </is>
      </c>
      <c r="AZ323" s="9" t="inlineStr">
        <is>
          <t>Adjustment</t>
        </is>
      </c>
      <c r="BA323" s="9" t="inlineStr">
        <is>
          <t>Balance</t>
        </is>
      </c>
      <c r="BB323" s="9" t="inlineStr">
        <is>
          <t>Remarks</t>
        </is>
      </c>
      <c r="BE323" s="9" t="inlineStr">
        <is>
          <t>Date</t>
        </is>
      </c>
      <c r="BF323" s="9" t="inlineStr">
        <is>
          <t>Intake</t>
        </is>
      </c>
      <c r="BG323" s="9" t="inlineStr">
        <is>
          <t>Usage</t>
        </is>
      </c>
      <c r="BH323" s="9" t="inlineStr">
        <is>
          <t>Actual</t>
        </is>
      </c>
      <c r="BI323" s="9" t="inlineStr">
        <is>
          <t>Adjustment</t>
        </is>
      </c>
      <c r="BJ323" s="9" t="inlineStr">
        <is>
          <t>Balance</t>
        </is>
      </c>
      <c r="BK323" s="9" t="inlineStr">
        <is>
          <t>Remarks</t>
        </is>
      </c>
      <c r="BN323" s="9" t="inlineStr">
        <is>
          <t>Date</t>
        </is>
      </c>
      <c r="BO323" s="9" t="inlineStr">
        <is>
          <t>Intake</t>
        </is>
      </c>
      <c r="BP323" s="9" t="inlineStr">
        <is>
          <t>Usage</t>
        </is>
      </c>
      <c r="BQ323" s="9" t="inlineStr">
        <is>
          <t>Actual</t>
        </is>
      </c>
      <c r="BR323" s="9" t="inlineStr">
        <is>
          <t>Adjustment</t>
        </is>
      </c>
      <c r="BS323" s="9" t="inlineStr">
        <is>
          <t>Balance</t>
        </is>
      </c>
      <c r="BT323" s="9" t="inlineStr">
        <is>
          <t>Remarks</t>
        </is>
      </c>
      <c r="BW323" s="9" t="inlineStr">
        <is>
          <t>Date</t>
        </is>
      </c>
      <c r="BX323" s="9" t="inlineStr">
        <is>
          <t>Intake</t>
        </is>
      </c>
      <c r="BY323" s="9" t="inlineStr">
        <is>
          <t>Usage</t>
        </is>
      </c>
      <c r="BZ323" s="9" t="inlineStr">
        <is>
          <t>Actual</t>
        </is>
      </c>
      <c r="CA323" s="9" t="inlineStr">
        <is>
          <t>Adjustment</t>
        </is>
      </c>
      <c r="CB323" s="9" t="inlineStr">
        <is>
          <t>Balance</t>
        </is>
      </c>
      <c r="CC323" s="9" t="inlineStr">
        <is>
          <t>Remarks</t>
        </is>
      </c>
      <c r="CF323" s="9" t="inlineStr">
        <is>
          <t>Date</t>
        </is>
      </c>
      <c r="CG323" s="9" t="inlineStr">
        <is>
          <t>Intake</t>
        </is>
      </c>
      <c r="CH323" s="9" t="inlineStr">
        <is>
          <t>Usage</t>
        </is>
      </c>
      <c r="CI323" s="9" t="inlineStr">
        <is>
          <t>Actual</t>
        </is>
      </c>
      <c r="CJ323" s="9" t="inlineStr">
        <is>
          <t>Adjustment</t>
        </is>
      </c>
      <c r="CK323" s="9" t="inlineStr">
        <is>
          <t>Balance</t>
        </is>
      </c>
      <c r="CL323" s="9" t="inlineStr">
        <is>
          <t>Remarks</t>
        </is>
      </c>
      <c r="CO323" s="9" t="inlineStr">
        <is>
          <t>Date</t>
        </is>
      </c>
      <c r="CP323" s="9" t="inlineStr">
        <is>
          <t>Intake</t>
        </is>
      </c>
      <c r="CQ323" s="9" t="inlineStr">
        <is>
          <t>Usage</t>
        </is>
      </c>
      <c r="CR323" s="9" t="inlineStr">
        <is>
          <t>Actual</t>
        </is>
      </c>
      <c r="CS323" s="9" t="inlineStr">
        <is>
          <t>Adjustment</t>
        </is>
      </c>
      <c r="CT323" s="9" t="inlineStr">
        <is>
          <t>Balance</t>
        </is>
      </c>
      <c r="CU323" s="9" t="inlineStr">
        <is>
          <t>Remarks</t>
        </is>
      </c>
      <c r="CX323" s="9" t="inlineStr">
        <is>
          <t>Date</t>
        </is>
      </c>
      <c r="CY323" s="9" t="inlineStr">
        <is>
          <t>Intake</t>
        </is>
      </c>
      <c r="CZ323" s="9" t="inlineStr">
        <is>
          <t>Usage</t>
        </is>
      </c>
      <c r="DA323" s="9" t="inlineStr">
        <is>
          <t>Actual</t>
        </is>
      </c>
      <c r="DB323" s="9" t="inlineStr">
        <is>
          <t>Adjustment</t>
        </is>
      </c>
      <c r="DC323" s="9" t="inlineStr">
        <is>
          <t>Balance</t>
        </is>
      </c>
      <c r="DD323" s="9" t="inlineStr">
        <is>
          <t>Remarks</t>
        </is>
      </c>
      <c r="DG323" s="9" t="inlineStr">
        <is>
          <t>Date</t>
        </is>
      </c>
      <c r="DH323" s="9" t="inlineStr">
        <is>
          <t>Intake</t>
        </is>
      </c>
      <c r="DI323" s="9" t="inlineStr">
        <is>
          <t>Usage</t>
        </is>
      </c>
      <c r="DJ323" s="9" t="inlineStr">
        <is>
          <t>Actual</t>
        </is>
      </c>
      <c r="DK323" s="9" t="inlineStr">
        <is>
          <t>Adjustment</t>
        </is>
      </c>
      <c r="DL323" s="9" t="inlineStr">
        <is>
          <t>Balance</t>
        </is>
      </c>
      <c r="DM323" s="9" t="inlineStr">
        <is>
          <t>Remarks</t>
        </is>
      </c>
      <c r="DP323" s="9" t="inlineStr">
        <is>
          <t>Date</t>
        </is>
      </c>
      <c r="DQ323" s="9" t="inlineStr">
        <is>
          <t>Intake</t>
        </is>
      </c>
      <c r="DR323" s="9" t="inlineStr">
        <is>
          <t>Usage</t>
        </is>
      </c>
      <c r="DS323" s="9" t="inlineStr">
        <is>
          <t>Actual</t>
        </is>
      </c>
      <c r="DT323" s="9" t="inlineStr">
        <is>
          <t>Adjustment</t>
        </is>
      </c>
      <c r="DU323" s="9" t="inlineStr">
        <is>
          <t>Balance</t>
        </is>
      </c>
      <c r="DV323" s="9" t="inlineStr">
        <is>
          <t>Remarks</t>
        </is>
      </c>
      <c r="DY323" s="9" t="inlineStr">
        <is>
          <t>Date</t>
        </is>
      </c>
      <c r="DZ323" s="9" t="inlineStr">
        <is>
          <t>Intake</t>
        </is>
      </c>
      <c r="EA323" s="9" t="inlineStr">
        <is>
          <t>Usage</t>
        </is>
      </c>
      <c r="EB323" s="9" t="inlineStr">
        <is>
          <t>Actual</t>
        </is>
      </c>
      <c r="EC323" s="9" t="inlineStr">
        <is>
          <t>Adjustment</t>
        </is>
      </c>
      <c r="ED323" s="9" t="inlineStr">
        <is>
          <t>Balance</t>
        </is>
      </c>
      <c r="EE323" s="9" t="inlineStr">
        <is>
          <t>Remarks</t>
        </is>
      </c>
      <c r="EH323" s="9" t="inlineStr">
        <is>
          <t>Date</t>
        </is>
      </c>
      <c r="EI323" s="9" t="inlineStr">
        <is>
          <t>Intake</t>
        </is>
      </c>
      <c r="EJ323" s="9" t="inlineStr">
        <is>
          <t>Usage</t>
        </is>
      </c>
      <c r="EK323" s="9" t="inlineStr">
        <is>
          <t>Actual</t>
        </is>
      </c>
      <c r="EL323" s="9" t="inlineStr">
        <is>
          <t>Adjustment</t>
        </is>
      </c>
      <c r="EM323" s="9" t="inlineStr">
        <is>
          <t>Balance</t>
        </is>
      </c>
      <c r="EN323" s="9" t="inlineStr">
        <is>
          <t>Remarks</t>
        </is>
      </c>
      <c r="EQ323" s="9" t="inlineStr">
        <is>
          <t>Date</t>
        </is>
      </c>
      <c r="ER323" s="9" t="inlineStr">
        <is>
          <t>Intake</t>
        </is>
      </c>
      <c r="ES323" s="9" t="inlineStr">
        <is>
          <t>Usage</t>
        </is>
      </c>
      <c r="ET323" s="9" t="inlineStr">
        <is>
          <t>Actual</t>
        </is>
      </c>
      <c r="EU323" s="9" t="inlineStr">
        <is>
          <t>Adjustment</t>
        </is>
      </c>
      <c r="EV323" s="9" t="inlineStr">
        <is>
          <t>Balance</t>
        </is>
      </c>
      <c r="EW323" s="9" t="inlineStr">
        <is>
          <t>Remarks</t>
        </is>
      </c>
      <c r="EZ323" s="9" t="inlineStr">
        <is>
          <t>Date</t>
        </is>
      </c>
      <c r="FA323" s="9" t="inlineStr">
        <is>
          <t>Intake</t>
        </is>
      </c>
      <c r="FB323" s="9" t="inlineStr">
        <is>
          <t>Usage</t>
        </is>
      </c>
      <c r="FC323" s="9" t="inlineStr">
        <is>
          <t>Actual</t>
        </is>
      </c>
      <c r="FD323" s="9" t="inlineStr">
        <is>
          <t>Adjustment</t>
        </is>
      </c>
      <c r="FE323" s="9" t="inlineStr">
        <is>
          <t>Balance</t>
        </is>
      </c>
      <c r="FF323" s="9" t="inlineStr">
        <is>
          <t>Remarks</t>
        </is>
      </c>
      <c r="FI323" s="9" t="inlineStr">
        <is>
          <t>Date</t>
        </is>
      </c>
      <c r="FJ323" s="9" t="inlineStr">
        <is>
          <t>Intake</t>
        </is>
      </c>
      <c r="FK323" s="9" t="inlineStr">
        <is>
          <t>Usage</t>
        </is>
      </c>
      <c r="FL323" s="9" t="inlineStr">
        <is>
          <t>Actual</t>
        </is>
      </c>
      <c r="FM323" s="9" t="inlineStr">
        <is>
          <t>Adjustment</t>
        </is>
      </c>
      <c r="FN323" s="9" t="inlineStr">
        <is>
          <t>Balance</t>
        </is>
      </c>
      <c r="FO323" s="9" t="inlineStr">
        <is>
          <t>Remarks</t>
        </is>
      </c>
      <c r="FR323" s="9" t="inlineStr">
        <is>
          <t>Date</t>
        </is>
      </c>
      <c r="FS323" s="9" t="inlineStr">
        <is>
          <t>Intake</t>
        </is>
      </c>
      <c r="FT323" s="9" t="inlineStr">
        <is>
          <t>Usage</t>
        </is>
      </c>
      <c r="FU323" s="9" t="inlineStr">
        <is>
          <t>Actual</t>
        </is>
      </c>
      <c r="FV323" s="9" t="inlineStr">
        <is>
          <t>Adjustment</t>
        </is>
      </c>
      <c r="FW323" s="9" t="inlineStr">
        <is>
          <t>Balance</t>
        </is>
      </c>
      <c r="FX323" s="9" t="inlineStr">
        <is>
          <t>Remarks</t>
        </is>
      </c>
      <c r="GA323" s="9" t="inlineStr">
        <is>
          <t>Date</t>
        </is>
      </c>
      <c r="GB323" s="9" t="inlineStr">
        <is>
          <t>Intake</t>
        </is>
      </c>
      <c r="GC323" s="9" t="inlineStr">
        <is>
          <t>Usage</t>
        </is>
      </c>
      <c r="GD323" s="9" t="inlineStr">
        <is>
          <t>Actual</t>
        </is>
      </c>
      <c r="GE323" s="9" t="inlineStr">
        <is>
          <t>Adjustment</t>
        </is>
      </c>
      <c r="GF323" s="9" t="inlineStr">
        <is>
          <t>Balance</t>
        </is>
      </c>
      <c r="GG323" s="9" t="inlineStr">
        <is>
          <t>Remarks</t>
        </is>
      </c>
      <c r="GJ323" s="9" t="inlineStr">
        <is>
          <t>Date</t>
        </is>
      </c>
      <c r="GK323" s="9" t="inlineStr">
        <is>
          <t>Intake</t>
        </is>
      </c>
      <c r="GL323" s="9" t="inlineStr">
        <is>
          <t>Usage</t>
        </is>
      </c>
      <c r="GM323" s="9" t="inlineStr">
        <is>
          <t>Actual</t>
        </is>
      </c>
      <c r="GN323" s="9" t="inlineStr">
        <is>
          <t>Adjustment</t>
        </is>
      </c>
      <c r="GO323" s="9" t="inlineStr">
        <is>
          <t>Balance</t>
        </is>
      </c>
      <c r="GP323" s="9" t="inlineStr">
        <is>
          <t>Remarks</t>
        </is>
      </c>
      <c r="GS323" s="9" t="inlineStr">
        <is>
          <t>Date</t>
        </is>
      </c>
      <c r="GT323" s="9" t="inlineStr">
        <is>
          <t>Intake</t>
        </is>
      </c>
      <c r="GU323" s="9" t="inlineStr">
        <is>
          <t>Usage</t>
        </is>
      </c>
      <c r="GV323" s="9" t="inlineStr">
        <is>
          <t>Actual</t>
        </is>
      </c>
      <c r="GW323" s="9" t="inlineStr">
        <is>
          <t>Adjustment</t>
        </is>
      </c>
      <c r="GX323" s="9" t="inlineStr">
        <is>
          <t>Balance</t>
        </is>
      </c>
      <c r="GY323" s="9" t="inlineStr">
        <is>
          <t>Remarks</t>
        </is>
      </c>
      <c r="HB323" s="9" t="inlineStr">
        <is>
          <t>Date</t>
        </is>
      </c>
      <c r="HC323" s="9" t="inlineStr">
        <is>
          <t>Intake</t>
        </is>
      </c>
      <c r="HD323" s="9" t="inlineStr">
        <is>
          <t>Usage</t>
        </is>
      </c>
      <c r="HE323" s="9" t="inlineStr">
        <is>
          <t>Actual</t>
        </is>
      </c>
      <c r="HF323" s="9" t="inlineStr">
        <is>
          <t>Adjustment</t>
        </is>
      </c>
      <c r="HG323" s="9" t="inlineStr">
        <is>
          <t>Balance</t>
        </is>
      </c>
      <c r="HH323" s="9" t="inlineStr">
        <is>
          <t>Remarks</t>
        </is>
      </c>
      <c r="HK323" s="9" t="inlineStr">
        <is>
          <t>Date</t>
        </is>
      </c>
      <c r="HL323" s="9" t="inlineStr">
        <is>
          <t>Intake</t>
        </is>
      </c>
      <c r="HM323" s="9" t="inlineStr">
        <is>
          <t>Usage</t>
        </is>
      </c>
      <c r="HN323" s="9" t="inlineStr">
        <is>
          <t>Actual</t>
        </is>
      </c>
      <c r="HO323" s="9" t="inlineStr">
        <is>
          <t>Adjustment</t>
        </is>
      </c>
      <c r="HP323" s="9" t="inlineStr">
        <is>
          <t>Balance</t>
        </is>
      </c>
      <c r="HQ323" s="9" t="inlineStr">
        <is>
          <t>Remarks</t>
        </is>
      </c>
      <c r="HU323" s="9" t="inlineStr">
        <is>
          <t>Date</t>
        </is>
      </c>
      <c r="HV323" s="9" t="inlineStr">
        <is>
          <t>Intake</t>
        </is>
      </c>
      <c r="HW323" s="9" t="inlineStr">
        <is>
          <t>Usage</t>
        </is>
      </c>
      <c r="HX323" s="9" t="inlineStr">
        <is>
          <t>Actual</t>
        </is>
      </c>
      <c r="HY323" s="9" t="inlineStr">
        <is>
          <t>Adjustment</t>
        </is>
      </c>
      <c r="HZ323" s="9" t="inlineStr">
        <is>
          <t>Balance</t>
        </is>
      </c>
      <c r="IA323" s="9" t="inlineStr">
        <is>
          <t>Remarks</t>
        </is>
      </c>
      <c r="ID323" s="9" t="inlineStr">
        <is>
          <t>Date</t>
        </is>
      </c>
      <c r="IE323" s="9" t="inlineStr">
        <is>
          <t>Intake</t>
        </is>
      </c>
      <c r="IF323" s="9" t="inlineStr">
        <is>
          <t>Usage</t>
        </is>
      </c>
      <c r="IG323" s="9" t="inlineStr">
        <is>
          <t>Actual</t>
        </is>
      </c>
      <c r="IH323" s="9" t="inlineStr">
        <is>
          <t>Adjustment</t>
        </is>
      </c>
      <c r="II323" s="9" t="inlineStr">
        <is>
          <t>Balance</t>
        </is>
      </c>
      <c r="IJ323" s="9" t="inlineStr">
        <is>
          <t>Remarks</t>
        </is>
      </c>
      <c r="IM323" s="9" t="inlineStr">
        <is>
          <t>Date</t>
        </is>
      </c>
      <c r="IN323" s="9" t="inlineStr">
        <is>
          <t>Intake</t>
        </is>
      </c>
      <c r="IO323" s="9" t="inlineStr">
        <is>
          <t>Usage</t>
        </is>
      </c>
      <c r="IP323" s="9" t="inlineStr">
        <is>
          <t>Actual</t>
        </is>
      </c>
      <c r="IQ323" s="9" t="inlineStr">
        <is>
          <t>Adjustment</t>
        </is>
      </c>
      <c r="IR323" s="9" t="inlineStr">
        <is>
          <t>Balance</t>
        </is>
      </c>
      <c r="IS323" s="9" t="inlineStr">
        <is>
          <t>Remarks</t>
        </is>
      </c>
      <c r="IV323" s="9" t="inlineStr">
        <is>
          <t>Date</t>
        </is>
      </c>
      <c r="IW323" s="9" t="inlineStr">
        <is>
          <t>Intake</t>
        </is>
      </c>
      <c r="IX323" s="9" t="inlineStr">
        <is>
          <t>Usage</t>
        </is>
      </c>
      <c r="IY323" s="9" t="inlineStr">
        <is>
          <t>Actual</t>
        </is>
      </c>
      <c r="IZ323" s="9" t="inlineStr">
        <is>
          <t>Adjustment</t>
        </is>
      </c>
      <c r="JA323" s="9" t="inlineStr">
        <is>
          <t>Balance</t>
        </is>
      </c>
      <c r="JB323" s="9" t="inlineStr">
        <is>
          <t>Remarks</t>
        </is>
      </c>
      <c r="JE323" s="9" t="inlineStr">
        <is>
          <t>Date</t>
        </is>
      </c>
      <c r="JF323" s="9" t="inlineStr">
        <is>
          <t>Intake</t>
        </is>
      </c>
      <c r="JG323" s="9" t="inlineStr">
        <is>
          <t>Usage</t>
        </is>
      </c>
      <c r="JH323" s="9" t="inlineStr">
        <is>
          <t>Actual</t>
        </is>
      </c>
      <c r="JI323" s="9" t="inlineStr">
        <is>
          <t>Adjustment</t>
        </is>
      </c>
      <c r="JJ323" s="9" t="inlineStr">
        <is>
          <t>Balance</t>
        </is>
      </c>
      <c r="JK323" s="9" t="inlineStr">
        <is>
          <t>Remarks</t>
        </is>
      </c>
      <c r="JN323" s="9" t="inlineStr">
        <is>
          <t>Date</t>
        </is>
      </c>
      <c r="JO323" s="9" t="inlineStr">
        <is>
          <t>Intake</t>
        </is>
      </c>
      <c r="JP323" s="9" t="inlineStr">
        <is>
          <t>Usage</t>
        </is>
      </c>
      <c r="JQ323" s="9" t="inlineStr">
        <is>
          <t>Actual</t>
        </is>
      </c>
      <c r="JR323" s="9" t="inlineStr">
        <is>
          <t>Adjustment</t>
        </is>
      </c>
      <c r="JS323" s="9" t="inlineStr">
        <is>
          <t>Balance</t>
        </is>
      </c>
      <c r="JT323" s="9" t="inlineStr">
        <is>
          <t>Remarks</t>
        </is>
      </c>
      <c r="JW323" s="9" t="inlineStr">
        <is>
          <t>Date</t>
        </is>
      </c>
      <c r="JX323" s="9" t="inlineStr">
        <is>
          <t>Intake</t>
        </is>
      </c>
      <c r="JY323" s="9" t="inlineStr">
        <is>
          <t>Usage</t>
        </is>
      </c>
      <c r="JZ323" s="9" t="inlineStr">
        <is>
          <t>Actual</t>
        </is>
      </c>
      <c r="KA323" s="9" t="inlineStr">
        <is>
          <t>Adjustment</t>
        </is>
      </c>
      <c r="KB323" s="9" t="inlineStr">
        <is>
          <t>Balance</t>
        </is>
      </c>
      <c r="KC323" s="9" t="inlineStr">
        <is>
          <t>Remarks</t>
        </is>
      </c>
      <c r="KF323" s="9" t="inlineStr">
        <is>
          <t>Date</t>
        </is>
      </c>
      <c r="KG323" s="9" t="inlineStr">
        <is>
          <t>Intake</t>
        </is>
      </c>
      <c r="KH323" s="9" t="inlineStr">
        <is>
          <t>Usage</t>
        </is>
      </c>
      <c r="KI323" s="9" t="inlineStr">
        <is>
          <t>Actual</t>
        </is>
      </c>
      <c r="KJ323" s="9" t="inlineStr">
        <is>
          <t>Adjustment</t>
        </is>
      </c>
      <c r="KK323" s="9" t="inlineStr">
        <is>
          <t>Balance</t>
        </is>
      </c>
      <c r="KL323" s="9" t="inlineStr">
        <is>
          <t>Remarks</t>
        </is>
      </c>
      <c r="KO323" s="9" t="inlineStr">
        <is>
          <t>Date</t>
        </is>
      </c>
      <c r="KP323" s="9" t="inlineStr">
        <is>
          <t>Intake</t>
        </is>
      </c>
      <c r="KQ323" s="9" t="inlineStr">
        <is>
          <t>Usage</t>
        </is>
      </c>
      <c r="KR323" s="9" t="inlineStr">
        <is>
          <t>Actual</t>
        </is>
      </c>
      <c r="KS323" s="9" t="inlineStr">
        <is>
          <t>Adjustment</t>
        </is>
      </c>
      <c r="KT323" s="9" t="inlineStr">
        <is>
          <t>Balance</t>
        </is>
      </c>
      <c r="KU323" s="9" t="inlineStr">
        <is>
          <t>Remarks</t>
        </is>
      </c>
      <c r="KX323" s="9" t="inlineStr">
        <is>
          <t>Date</t>
        </is>
      </c>
      <c r="KY323" s="9" t="inlineStr">
        <is>
          <t>Intake</t>
        </is>
      </c>
      <c r="KZ323" s="9" t="inlineStr">
        <is>
          <t>Usage</t>
        </is>
      </c>
      <c r="LA323" s="9" t="inlineStr">
        <is>
          <t>Actual</t>
        </is>
      </c>
      <c r="LB323" s="9" t="inlineStr">
        <is>
          <t>Adjustment</t>
        </is>
      </c>
      <c r="LC323" s="9" t="inlineStr">
        <is>
          <t>Balance</t>
        </is>
      </c>
      <c r="LD323" s="9" t="inlineStr">
        <is>
          <t>Remarks</t>
        </is>
      </c>
      <c r="LG323" s="9" t="inlineStr">
        <is>
          <t>Date</t>
        </is>
      </c>
      <c r="LH323" s="9" t="inlineStr">
        <is>
          <t>Intake</t>
        </is>
      </c>
      <c r="LI323" s="9" t="inlineStr">
        <is>
          <t>Usage</t>
        </is>
      </c>
      <c r="LJ323" s="9" t="inlineStr">
        <is>
          <t>Actual</t>
        </is>
      </c>
      <c r="LK323" s="9" t="inlineStr">
        <is>
          <t>Adjustment</t>
        </is>
      </c>
      <c r="LL323" s="9" t="inlineStr">
        <is>
          <t>Balance</t>
        </is>
      </c>
      <c r="LM323" s="9" t="inlineStr">
        <is>
          <t>Remarks</t>
        </is>
      </c>
      <c r="LP323" s="9" t="inlineStr">
        <is>
          <t>Date</t>
        </is>
      </c>
      <c r="LQ323" s="9" t="inlineStr">
        <is>
          <t>Intake</t>
        </is>
      </c>
      <c r="LR323" s="9" t="inlineStr">
        <is>
          <t>Usage</t>
        </is>
      </c>
      <c r="LS323" s="9" t="inlineStr">
        <is>
          <t>Actual</t>
        </is>
      </c>
      <c r="LT323" s="9" t="inlineStr">
        <is>
          <t>Adjustment</t>
        </is>
      </c>
      <c r="LU323" s="9" t="inlineStr">
        <is>
          <t>Balance</t>
        </is>
      </c>
      <c r="LV323" s="9" t="inlineStr">
        <is>
          <t>Remarks</t>
        </is>
      </c>
      <c r="LY323" s="9" t="inlineStr">
        <is>
          <t>Date</t>
        </is>
      </c>
      <c r="LZ323" s="9" t="inlineStr">
        <is>
          <t>Intake</t>
        </is>
      </c>
      <c r="MA323" s="9" t="inlineStr">
        <is>
          <t>Usage</t>
        </is>
      </c>
      <c r="MB323" s="9" t="inlineStr">
        <is>
          <t>Actual</t>
        </is>
      </c>
      <c r="MC323" s="9" t="inlineStr">
        <is>
          <t>Adjustment</t>
        </is>
      </c>
      <c r="MD323" s="9" t="inlineStr">
        <is>
          <t>Balance</t>
        </is>
      </c>
      <c r="ME323" s="9" t="inlineStr">
        <is>
          <t>Remarks</t>
        </is>
      </c>
      <c r="MH323" s="9" t="inlineStr">
        <is>
          <t>Date</t>
        </is>
      </c>
      <c r="MI323" s="9" t="inlineStr">
        <is>
          <t>Intake</t>
        </is>
      </c>
      <c r="MJ323" s="9" t="inlineStr">
        <is>
          <t>Usage</t>
        </is>
      </c>
      <c r="MK323" s="9" t="inlineStr">
        <is>
          <t>Actual</t>
        </is>
      </c>
      <c r="ML323" s="9" t="inlineStr">
        <is>
          <t>Adjustment</t>
        </is>
      </c>
      <c r="MM323" s="9" t="inlineStr">
        <is>
          <t>Balance</t>
        </is>
      </c>
      <c r="MN323" s="9" t="inlineStr">
        <is>
          <t>Remarks</t>
        </is>
      </c>
      <c r="MQ323" s="9" t="inlineStr">
        <is>
          <t>Date</t>
        </is>
      </c>
      <c r="MR323" s="9" t="inlineStr">
        <is>
          <t>Intake</t>
        </is>
      </c>
      <c r="MS323" s="9" t="inlineStr">
        <is>
          <t>Usage</t>
        </is>
      </c>
      <c r="MT323" s="9" t="inlineStr">
        <is>
          <t>Actual</t>
        </is>
      </c>
      <c r="MU323" s="9" t="inlineStr">
        <is>
          <t>Adjustment</t>
        </is>
      </c>
      <c r="MV323" s="9" t="inlineStr">
        <is>
          <t>Balance</t>
        </is>
      </c>
      <c r="MW323" s="9" t="inlineStr">
        <is>
          <t>Remarks</t>
        </is>
      </c>
      <c r="MZ323" s="9" t="inlineStr">
        <is>
          <t>Date</t>
        </is>
      </c>
      <c r="NA323" s="9" t="inlineStr">
        <is>
          <t>Intake</t>
        </is>
      </c>
      <c r="NB323" s="9" t="inlineStr">
        <is>
          <t>Usage</t>
        </is>
      </c>
      <c r="NC323" s="9" t="inlineStr">
        <is>
          <t>Actual</t>
        </is>
      </c>
      <c r="ND323" s="9" t="inlineStr">
        <is>
          <t>Adjustment</t>
        </is>
      </c>
      <c r="NE323" s="9" t="inlineStr">
        <is>
          <t>Balance</t>
        </is>
      </c>
      <c r="NF323" s="9" t="inlineStr">
        <is>
          <t>Remarks</t>
        </is>
      </c>
      <c r="NI323" s="9" t="inlineStr">
        <is>
          <t>Date</t>
        </is>
      </c>
      <c r="NJ323" s="9" t="inlineStr">
        <is>
          <t>Intake</t>
        </is>
      </c>
      <c r="NK323" s="9" t="inlineStr">
        <is>
          <t>Usage</t>
        </is>
      </c>
      <c r="NL323" s="9" t="inlineStr">
        <is>
          <t>Actual</t>
        </is>
      </c>
      <c r="NM323" s="9" t="inlineStr">
        <is>
          <t>Adjustment</t>
        </is>
      </c>
      <c r="NN323" s="9" t="inlineStr">
        <is>
          <t>Balance</t>
        </is>
      </c>
      <c r="NO323" s="9" t="inlineStr">
        <is>
          <t>Remarks</t>
        </is>
      </c>
      <c r="NR323" s="9" t="inlineStr">
        <is>
          <t>Date</t>
        </is>
      </c>
      <c r="NS323" s="9" t="inlineStr">
        <is>
          <t>Intake</t>
        </is>
      </c>
      <c r="NT323" s="9" t="inlineStr">
        <is>
          <t>Usage</t>
        </is>
      </c>
      <c r="NU323" s="9" t="inlineStr">
        <is>
          <t>Actual</t>
        </is>
      </c>
      <c r="NV323" s="9" t="inlineStr">
        <is>
          <t>Adjustment</t>
        </is>
      </c>
      <c r="NW323" s="9" t="inlineStr">
        <is>
          <t>Balance</t>
        </is>
      </c>
      <c r="NX323" s="9" t="inlineStr">
        <is>
          <t>Remarks</t>
        </is>
      </c>
      <c r="OA323" s="9" t="inlineStr">
        <is>
          <t>Date</t>
        </is>
      </c>
      <c r="OB323" s="9" t="inlineStr">
        <is>
          <t>Intake</t>
        </is>
      </c>
      <c r="OC323" s="9" t="inlineStr">
        <is>
          <t>Usage</t>
        </is>
      </c>
      <c r="OD323" s="9" t="inlineStr">
        <is>
          <t>Actual</t>
        </is>
      </c>
      <c r="OE323" s="9" t="inlineStr">
        <is>
          <t>Adjustment</t>
        </is>
      </c>
      <c r="OF323" s="9" t="inlineStr">
        <is>
          <t>Balance</t>
        </is>
      </c>
      <c r="OG323" s="9" t="inlineStr">
        <is>
          <t>Remarks</t>
        </is>
      </c>
      <c r="OJ323" s="9" t="inlineStr">
        <is>
          <t>Date</t>
        </is>
      </c>
      <c r="OK323" s="9" t="inlineStr">
        <is>
          <t>Intake</t>
        </is>
      </c>
      <c r="OL323" s="9" t="inlineStr">
        <is>
          <t>Usage</t>
        </is>
      </c>
      <c r="OM323" s="9" t="inlineStr">
        <is>
          <t>Actual</t>
        </is>
      </c>
      <c r="ON323" s="9" t="inlineStr">
        <is>
          <t>Adjustment</t>
        </is>
      </c>
      <c r="OO323" s="9" t="inlineStr">
        <is>
          <t>Balance</t>
        </is>
      </c>
      <c r="OP323" s="9" t="inlineStr">
        <is>
          <t>Remarks</t>
        </is>
      </c>
      <c r="OS323" s="9" t="inlineStr">
        <is>
          <t>Date</t>
        </is>
      </c>
      <c r="OT323" s="9" t="inlineStr">
        <is>
          <t>Intake</t>
        </is>
      </c>
      <c r="OU323" s="9" t="inlineStr">
        <is>
          <t>Usage</t>
        </is>
      </c>
      <c r="OV323" s="9" t="inlineStr">
        <is>
          <t>Actual</t>
        </is>
      </c>
      <c r="OW323" s="9" t="inlineStr">
        <is>
          <t>Adjustment</t>
        </is>
      </c>
      <c r="OX323" s="9" t="inlineStr">
        <is>
          <t>Balance</t>
        </is>
      </c>
      <c r="OY323" s="9" t="inlineStr">
        <is>
          <t>Remarks</t>
        </is>
      </c>
      <c r="PB323" s="9" t="inlineStr">
        <is>
          <t>Date</t>
        </is>
      </c>
      <c r="PC323" s="9" t="inlineStr">
        <is>
          <t>Intake</t>
        </is>
      </c>
      <c r="PD323" s="9" t="inlineStr">
        <is>
          <t>Usage</t>
        </is>
      </c>
      <c r="PE323" s="9" t="inlineStr">
        <is>
          <t>Actual</t>
        </is>
      </c>
      <c r="PF323" s="9" t="inlineStr">
        <is>
          <t>Adjustment</t>
        </is>
      </c>
      <c r="PG323" s="9" t="inlineStr">
        <is>
          <t>Balance</t>
        </is>
      </c>
      <c r="PH323" s="9" t="inlineStr">
        <is>
          <t>Remarks</t>
        </is>
      </c>
      <c r="PK323" s="9" t="inlineStr">
        <is>
          <t>Date</t>
        </is>
      </c>
      <c r="PL323" s="9" t="inlineStr">
        <is>
          <t>Intake</t>
        </is>
      </c>
      <c r="PM323" s="9" t="inlineStr">
        <is>
          <t>Usage</t>
        </is>
      </c>
      <c r="PN323" s="9" t="inlineStr">
        <is>
          <t>Actual</t>
        </is>
      </c>
      <c r="PO323" s="9" t="inlineStr">
        <is>
          <t>Adjustment</t>
        </is>
      </c>
      <c r="PP323" s="9" t="inlineStr">
        <is>
          <t>Balance</t>
        </is>
      </c>
      <c r="PQ323" s="9" t="inlineStr">
        <is>
          <t>Remarks</t>
        </is>
      </c>
      <c r="PT323" s="9" t="inlineStr">
        <is>
          <t>Date</t>
        </is>
      </c>
      <c r="PU323" s="9" t="inlineStr">
        <is>
          <t>Intake</t>
        </is>
      </c>
      <c r="PV323" s="9" t="inlineStr">
        <is>
          <t>Usage</t>
        </is>
      </c>
      <c r="PW323" s="9" t="inlineStr">
        <is>
          <t>Actual</t>
        </is>
      </c>
      <c r="PX323" s="9" t="inlineStr">
        <is>
          <t>Adjustment</t>
        </is>
      </c>
      <c r="PY323" s="9" t="inlineStr">
        <is>
          <t>Balance</t>
        </is>
      </c>
      <c r="PZ323" s="9" t="inlineStr">
        <is>
          <t>Remarks</t>
        </is>
      </c>
      <c r="QC323" s="9" t="inlineStr">
        <is>
          <t>Date</t>
        </is>
      </c>
      <c r="QD323" s="9" t="inlineStr">
        <is>
          <t>Intake</t>
        </is>
      </c>
      <c r="QE323" s="9" t="inlineStr">
        <is>
          <t>Usage</t>
        </is>
      </c>
      <c r="QF323" s="9" t="inlineStr">
        <is>
          <t>Actual</t>
        </is>
      </c>
      <c r="QG323" s="9" t="inlineStr">
        <is>
          <t>Adjustment</t>
        </is>
      </c>
      <c r="QH323" s="9" t="inlineStr">
        <is>
          <t>Balance</t>
        </is>
      </c>
      <c r="QI323" s="9" t="inlineStr">
        <is>
          <t>Remarks</t>
        </is>
      </c>
      <c r="QL323" s="9" t="inlineStr">
        <is>
          <t>Date</t>
        </is>
      </c>
      <c r="QM323" s="9" t="inlineStr">
        <is>
          <t>Intake</t>
        </is>
      </c>
      <c r="QN323" s="9" t="inlineStr">
        <is>
          <t>Usage</t>
        </is>
      </c>
      <c r="QO323" s="9" t="inlineStr">
        <is>
          <t>Actual</t>
        </is>
      </c>
      <c r="QP323" s="9" t="inlineStr">
        <is>
          <t>Adjustment</t>
        </is>
      </c>
      <c r="QQ323" s="9" t="inlineStr">
        <is>
          <t>Balance</t>
        </is>
      </c>
      <c r="QR323" s="9" t="inlineStr">
        <is>
          <t>Remarks</t>
        </is>
      </c>
      <c r="QU323" s="9" t="inlineStr">
        <is>
          <t>Date</t>
        </is>
      </c>
      <c r="QV323" s="9" t="inlineStr">
        <is>
          <t>Intake</t>
        </is>
      </c>
      <c r="QW323" s="9" t="inlineStr">
        <is>
          <t>Usage</t>
        </is>
      </c>
      <c r="QX323" s="9" t="inlineStr">
        <is>
          <t>Actual</t>
        </is>
      </c>
      <c r="QY323" s="9" t="inlineStr">
        <is>
          <t>Adjustment</t>
        </is>
      </c>
      <c r="QZ323" s="9" t="inlineStr">
        <is>
          <t>Balance</t>
        </is>
      </c>
      <c r="RA323" s="9" t="inlineStr">
        <is>
          <t>Remarks</t>
        </is>
      </c>
      <c r="RD323" s="9" t="inlineStr">
        <is>
          <t>Date</t>
        </is>
      </c>
      <c r="RE323" s="9" t="inlineStr">
        <is>
          <t>Intake</t>
        </is>
      </c>
      <c r="RF323" s="9" t="inlineStr">
        <is>
          <t>Usage</t>
        </is>
      </c>
      <c r="RG323" s="9" t="inlineStr">
        <is>
          <t>Actual</t>
        </is>
      </c>
      <c r="RH323" s="9" t="inlineStr">
        <is>
          <t>Adjustment</t>
        </is>
      </c>
      <c r="RI323" s="9" t="inlineStr">
        <is>
          <t>Balance</t>
        </is>
      </c>
      <c r="RJ323" s="9" t="inlineStr">
        <is>
          <t>Remarks</t>
        </is>
      </c>
      <c r="RM323" s="9" t="inlineStr">
        <is>
          <t>Date</t>
        </is>
      </c>
      <c r="RN323" s="9" t="inlineStr">
        <is>
          <t>Intake</t>
        </is>
      </c>
      <c r="RO323" s="9" t="inlineStr">
        <is>
          <t>Usage</t>
        </is>
      </c>
      <c r="RP323" s="9" t="inlineStr">
        <is>
          <t>Actual</t>
        </is>
      </c>
      <c r="RQ323" s="9" t="inlineStr">
        <is>
          <t>Adjustment</t>
        </is>
      </c>
      <c r="RR323" s="9" t="inlineStr">
        <is>
          <t>Balance</t>
        </is>
      </c>
      <c r="RS323" s="9" t="inlineStr">
        <is>
          <t>Remarks</t>
        </is>
      </c>
      <c r="RV323" s="9" t="inlineStr">
        <is>
          <t>Date</t>
        </is>
      </c>
      <c r="RW323" s="9" t="inlineStr">
        <is>
          <t>Intake</t>
        </is>
      </c>
      <c r="RX323" s="9" t="inlineStr">
        <is>
          <t>Usage</t>
        </is>
      </c>
      <c r="RY323" s="9" t="inlineStr">
        <is>
          <t>Actual</t>
        </is>
      </c>
      <c r="RZ323" s="9" t="inlineStr">
        <is>
          <t>Adjustment</t>
        </is>
      </c>
      <c r="SA323" s="9" t="inlineStr">
        <is>
          <t>Balance</t>
        </is>
      </c>
      <c r="SB323" s="9" t="inlineStr">
        <is>
          <t>Remarks</t>
        </is>
      </c>
      <c r="SE323" s="9" t="inlineStr">
        <is>
          <t>Date</t>
        </is>
      </c>
      <c r="SF323" s="9" t="inlineStr">
        <is>
          <t>Intake</t>
        </is>
      </c>
      <c r="SG323" s="9" t="inlineStr">
        <is>
          <t>Usage</t>
        </is>
      </c>
      <c r="SH323" s="9" t="inlineStr">
        <is>
          <t>Actual</t>
        </is>
      </c>
      <c r="SI323" s="9" t="inlineStr">
        <is>
          <t>Adjustment</t>
        </is>
      </c>
      <c r="SJ323" s="9" t="inlineStr">
        <is>
          <t>Balance</t>
        </is>
      </c>
      <c r="SK323" s="9" t="inlineStr">
        <is>
          <t>Remarks</t>
        </is>
      </c>
      <c r="SN323" s="9" t="inlineStr">
        <is>
          <t>Date</t>
        </is>
      </c>
      <c r="SO323" s="9" t="inlineStr">
        <is>
          <t>Intake</t>
        </is>
      </c>
      <c r="SP323" s="9" t="inlineStr">
        <is>
          <t>Usage</t>
        </is>
      </c>
      <c r="SQ323" s="9" t="inlineStr">
        <is>
          <t>Actual</t>
        </is>
      </c>
      <c r="SR323" s="9" t="inlineStr">
        <is>
          <t>Adjustment</t>
        </is>
      </c>
      <c r="SS323" s="9" t="inlineStr">
        <is>
          <t>Balance</t>
        </is>
      </c>
      <c r="ST323" s="9" t="inlineStr">
        <is>
          <t>Remarks</t>
        </is>
      </c>
      <c r="SW323" s="9" t="inlineStr">
        <is>
          <t>Date</t>
        </is>
      </c>
      <c r="SX323" s="9" t="inlineStr">
        <is>
          <t>Intake</t>
        </is>
      </c>
      <c r="SY323" s="9" t="inlineStr">
        <is>
          <t>Usage</t>
        </is>
      </c>
      <c r="SZ323" s="9" t="inlineStr">
        <is>
          <t>Actual</t>
        </is>
      </c>
      <c r="TA323" s="9" t="inlineStr">
        <is>
          <t>Adjustment</t>
        </is>
      </c>
      <c r="TB323" s="9" t="inlineStr">
        <is>
          <t>Balance</t>
        </is>
      </c>
      <c r="TC323" s="9" t="inlineStr">
        <is>
          <t>Remarks</t>
        </is>
      </c>
      <c r="TF323" s="9" t="inlineStr">
        <is>
          <t>Date</t>
        </is>
      </c>
      <c r="TG323" s="9" t="inlineStr">
        <is>
          <t>Intake</t>
        </is>
      </c>
      <c r="TH323" s="9" t="inlineStr">
        <is>
          <t>Usage</t>
        </is>
      </c>
      <c r="TI323" s="9" t="inlineStr">
        <is>
          <t>Actual</t>
        </is>
      </c>
      <c r="TJ323" s="9" t="inlineStr">
        <is>
          <t>Adjustment</t>
        </is>
      </c>
      <c r="TK323" s="9" t="inlineStr">
        <is>
          <t>Balance</t>
        </is>
      </c>
      <c r="TL323" s="9" t="inlineStr">
        <is>
          <t>Remarks</t>
        </is>
      </c>
      <c r="TO323" s="9" t="inlineStr">
        <is>
          <t>Date</t>
        </is>
      </c>
      <c r="TP323" s="9" t="inlineStr">
        <is>
          <t>Intake</t>
        </is>
      </c>
      <c r="TQ323" s="9" t="inlineStr">
        <is>
          <t>Usage</t>
        </is>
      </c>
      <c r="TR323" s="9" t="inlineStr">
        <is>
          <t>Actual</t>
        </is>
      </c>
      <c r="TS323" s="9" t="inlineStr">
        <is>
          <t>Adjustment</t>
        </is>
      </c>
      <c r="TT323" s="9" t="inlineStr">
        <is>
          <t>Balance</t>
        </is>
      </c>
      <c r="TU323" s="9" t="inlineStr">
        <is>
          <t>Remarks</t>
        </is>
      </c>
      <c r="TX323" s="9" t="inlineStr">
        <is>
          <t>Date</t>
        </is>
      </c>
      <c r="TY323" s="9" t="inlineStr">
        <is>
          <t>Intake</t>
        </is>
      </c>
      <c r="TZ323" s="9" t="inlineStr">
        <is>
          <t>Usage</t>
        </is>
      </c>
      <c r="UA323" s="9" t="inlineStr">
        <is>
          <t>Actual</t>
        </is>
      </c>
      <c r="UB323" s="9" t="inlineStr">
        <is>
          <t>Adjustment</t>
        </is>
      </c>
      <c r="UC323" s="9" t="inlineStr">
        <is>
          <t>Balance</t>
        </is>
      </c>
      <c r="UD323" s="9" t="inlineStr">
        <is>
          <t>Remarks</t>
        </is>
      </c>
      <c r="UG323" s="9" t="inlineStr">
        <is>
          <t>Date</t>
        </is>
      </c>
      <c r="UH323" s="9" t="inlineStr">
        <is>
          <t>Intake</t>
        </is>
      </c>
      <c r="UI323" s="9" t="inlineStr">
        <is>
          <t>Usage</t>
        </is>
      </c>
      <c r="UJ323" s="9" t="inlineStr">
        <is>
          <t>Actual</t>
        </is>
      </c>
      <c r="UK323" s="9" t="inlineStr">
        <is>
          <t>Adjustment</t>
        </is>
      </c>
      <c r="UL323" s="9" t="inlineStr">
        <is>
          <t>Balance</t>
        </is>
      </c>
      <c r="UM323" s="9" t="inlineStr">
        <is>
          <t>Remarks</t>
        </is>
      </c>
      <c r="UP323" s="9" t="inlineStr">
        <is>
          <t>Date</t>
        </is>
      </c>
      <c r="UQ323" s="9" t="inlineStr">
        <is>
          <t>Intake</t>
        </is>
      </c>
      <c r="UR323" s="9" t="inlineStr">
        <is>
          <t>Usage</t>
        </is>
      </c>
      <c r="US323" s="9" t="inlineStr">
        <is>
          <t>Actual</t>
        </is>
      </c>
      <c r="UT323" s="9" t="inlineStr">
        <is>
          <t>Adjustment</t>
        </is>
      </c>
      <c r="UU323" s="9" t="inlineStr">
        <is>
          <t>Balance</t>
        </is>
      </c>
      <c r="UV323" s="9" t="inlineStr">
        <is>
          <t>Remarks</t>
        </is>
      </c>
      <c r="UY323" s="9" t="inlineStr">
        <is>
          <t>Date</t>
        </is>
      </c>
      <c r="UZ323" s="9" t="inlineStr">
        <is>
          <t>Intake</t>
        </is>
      </c>
      <c r="VA323" s="9" t="inlineStr">
        <is>
          <t>Usage</t>
        </is>
      </c>
      <c r="VB323" s="9" t="inlineStr">
        <is>
          <t>Actual</t>
        </is>
      </c>
      <c r="VC323" s="9" t="inlineStr">
        <is>
          <t>Adjustment</t>
        </is>
      </c>
      <c r="VD323" s="9" t="inlineStr">
        <is>
          <t>Balance</t>
        </is>
      </c>
      <c r="VE323" s="9" t="inlineStr">
        <is>
          <t>Remarks</t>
        </is>
      </c>
      <c r="VH323" s="9" t="inlineStr">
        <is>
          <t>Date</t>
        </is>
      </c>
      <c r="VI323" s="9" t="inlineStr">
        <is>
          <t>Intake</t>
        </is>
      </c>
      <c r="VJ323" s="9" t="inlineStr">
        <is>
          <t>Usage</t>
        </is>
      </c>
      <c r="VK323" s="9" t="inlineStr">
        <is>
          <t>Actual</t>
        </is>
      </c>
      <c r="VL323" s="9" t="inlineStr">
        <is>
          <t>Adjustment</t>
        </is>
      </c>
      <c r="VM323" s="9" t="inlineStr">
        <is>
          <t>Balance</t>
        </is>
      </c>
      <c r="VN323" s="9" t="inlineStr">
        <is>
          <t>Remarks</t>
        </is>
      </c>
      <c r="VQ323" s="9" t="inlineStr">
        <is>
          <t>Date</t>
        </is>
      </c>
      <c r="VR323" s="9" t="inlineStr">
        <is>
          <t>Intake</t>
        </is>
      </c>
      <c r="VS323" s="9" t="inlineStr">
        <is>
          <t>Usage</t>
        </is>
      </c>
      <c r="VT323" s="9" t="inlineStr">
        <is>
          <t>Actual</t>
        </is>
      </c>
      <c r="VU323" s="9" t="inlineStr">
        <is>
          <t>Adjustment</t>
        </is>
      </c>
      <c r="VV323" s="9" t="inlineStr">
        <is>
          <t>Balance</t>
        </is>
      </c>
      <c r="VW323" s="9" t="inlineStr">
        <is>
          <t>Remarks</t>
        </is>
      </c>
      <c r="VZ323" s="9" t="inlineStr">
        <is>
          <t>Date</t>
        </is>
      </c>
      <c r="WA323" s="9" t="inlineStr">
        <is>
          <t>Intake</t>
        </is>
      </c>
      <c r="WB323" s="9" t="inlineStr">
        <is>
          <t>Usage</t>
        </is>
      </c>
      <c r="WC323" s="9" t="inlineStr">
        <is>
          <t>Actual</t>
        </is>
      </c>
      <c r="WD323" s="9" t="inlineStr">
        <is>
          <t>Adjustment</t>
        </is>
      </c>
      <c r="WE323" s="9" t="inlineStr">
        <is>
          <t>Balance</t>
        </is>
      </c>
      <c r="WF323" s="9" t="inlineStr">
        <is>
          <t>Remarks</t>
        </is>
      </c>
      <c r="WI323" s="9" t="inlineStr">
        <is>
          <t>Date</t>
        </is>
      </c>
      <c r="WJ323" s="9" t="inlineStr">
        <is>
          <t>Intake</t>
        </is>
      </c>
      <c r="WK323" s="9" t="inlineStr">
        <is>
          <t>Usage</t>
        </is>
      </c>
      <c r="WL323" s="9" t="inlineStr">
        <is>
          <t>Actual</t>
        </is>
      </c>
      <c r="WM323" s="9" t="inlineStr">
        <is>
          <t>Adjustment</t>
        </is>
      </c>
      <c r="WN323" s="9" t="inlineStr">
        <is>
          <t>Balance</t>
        </is>
      </c>
      <c r="WO323" s="9" t="inlineStr">
        <is>
          <t>Remarks</t>
        </is>
      </c>
      <c r="WR323" s="9" t="inlineStr">
        <is>
          <t>Date</t>
        </is>
      </c>
      <c r="WS323" s="9" t="inlineStr">
        <is>
          <t>Intake</t>
        </is>
      </c>
      <c r="WT323" s="9" t="inlineStr">
        <is>
          <t>Usage</t>
        </is>
      </c>
      <c r="WU323" s="9" t="inlineStr">
        <is>
          <t>Actual</t>
        </is>
      </c>
      <c r="WV323" s="9" t="inlineStr">
        <is>
          <t>Adjustment</t>
        </is>
      </c>
      <c r="WW323" s="9" t="inlineStr">
        <is>
          <t>Balance</t>
        </is>
      </c>
      <c r="WX323" s="9" t="inlineStr">
        <is>
          <t>Remarks</t>
        </is>
      </c>
      <c r="XA323" s="9" t="inlineStr">
        <is>
          <t>Date</t>
        </is>
      </c>
      <c r="XB323" s="9" t="inlineStr">
        <is>
          <t>Intake</t>
        </is>
      </c>
      <c r="XC323" s="9" t="inlineStr">
        <is>
          <t>Usage</t>
        </is>
      </c>
      <c r="XD323" s="9" t="inlineStr">
        <is>
          <t>Actual</t>
        </is>
      </c>
      <c r="XE323" s="9" t="inlineStr">
        <is>
          <t>Adjustment</t>
        </is>
      </c>
      <c r="XF323" s="9" t="inlineStr">
        <is>
          <t>Balance</t>
        </is>
      </c>
      <c r="XG323" s="9" t="inlineStr">
        <is>
          <t>Remarks</t>
        </is>
      </c>
      <c r="XJ323" s="9" t="inlineStr">
        <is>
          <t>Date</t>
        </is>
      </c>
      <c r="XK323" s="9" t="inlineStr">
        <is>
          <t>Intake</t>
        </is>
      </c>
      <c r="XL323" s="9" t="inlineStr">
        <is>
          <t>Usage</t>
        </is>
      </c>
      <c r="XM323" s="9" t="inlineStr">
        <is>
          <t>Actual</t>
        </is>
      </c>
      <c r="XN323" s="9" t="inlineStr">
        <is>
          <t>Adjustment</t>
        </is>
      </c>
      <c r="XO323" s="9" t="inlineStr">
        <is>
          <t>Balance</t>
        </is>
      </c>
      <c r="XP323" s="9" t="inlineStr">
        <is>
          <t>Remarks</t>
        </is>
      </c>
      <c r="XS323" s="9" t="inlineStr">
        <is>
          <t>Date</t>
        </is>
      </c>
      <c r="XT323" s="9" t="inlineStr">
        <is>
          <t>Intake</t>
        </is>
      </c>
      <c r="XU323" s="9" t="inlineStr">
        <is>
          <t>Usage</t>
        </is>
      </c>
      <c r="XV323" s="9" t="inlineStr">
        <is>
          <t>Actual</t>
        </is>
      </c>
      <c r="XW323" s="9" t="inlineStr">
        <is>
          <t>Adjustment</t>
        </is>
      </c>
      <c r="XX323" s="9" t="inlineStr">
        <is>
          <t>Balance</t>
        </is>
      </c>
      <c r="XY323" s="9" t="inlineStr">
        <is>
          <t>Remarks</t>
        </is>
      </c>
      <c r="YB323" s="9" t="inlineStr">
        <is>
          <t>Date</t>
        </is>
      </c>
      <c r="YC323" s="9" t="inlineStr">
        <is>
          <t>Intake</t>
        </is>
      </c>
      <c r="YD323" s="9" t="inlineStr">
        <is>
          <t>Usage</t>
        </is>
      </c>
      <c r="YE323" s="9" t="inlineStr">
        <is>
          <t>Actual</t>
        </is>
      </c>
      <c r="YF323" s="9" t="inlineStr">
        <is>
          <t>Adjustment</t>
        </is>
      </c>
      <c r="YG323" s="9" t="inlineStr">
        <is>
          <t>Balance</t>
        </is>
      </c>
      <c r="YH323" s="9" t="inlineStr">
        <is>
          <t>Remarks</t>
        </is>
      </c>
      <c r="YK323" s="9" t="inlineStr">
        <is>
          <t>Date</t>
        </is>
      </c>
      <c r="YL323" s="9" t="inlineStr">
        <is>
          <t>Intake</t>
        </is>
      </c>
      <c r="YM323" s="9" t="inlineStr">
        <is>
          <t>Usage</t>
        </is>
      </c>
      <c r="YN323" s="9" t="inlineStr">
        <is>
          <t>Actual</t>
        </is>
      </c>
      <c r="YO323" s="9" t="inlineStr">
        <is>
          <t>Adjustment</t>
        </is>
      </c>
      <c r="YP323" s="9" t="inlineStr">
        <is>
          <t>Balance</t>
        </is>
      </c>
      <c r="YQ323" s="9" t="inlineStr">
        <is>
          <t>Remarks</t>
        </is>
      </c>
      <c r="YT323" s="9" t="inlineStr">
        <is>
          <t>Date</t>
        </is>
      </c>
      <c r="YU323" s="9" t="inlineStr">
        <is>
          <t>Intake</t>
        </is>
      </c>
      <c r="YV323" s="9" t="inlineStr">
        <is>
          <t>Usage</t>
        </is>
      </c>
      <c r="YW323" s="9" t="inlineStr">
        <is>
          <t>Actual</t>
        </is>
      </c>
      <c r="YX323" s="9" t="inlineStr">
        <is>
          <t>Adjustment</t>
        </is>
      </c>
      <c r="YY323" s="9" t="inlineStr">
        <is>
          <t>Balance</t>
        </is>
      </c>
      <c r="YZ323" s="9" t="inlineStr">
        <is>
          <t>Remarks</t>
        </is>
      </c>
      <c r="ZC323" s="9" t="inlineStr">
        <is>
          <t>Date</t>
        </is>
      </c>
      <c r="ZD323" s="9" t="inlineStr">
        <is>
          <t>Intake</t>
        </is>
      </c>
      <c r="ZE323" s="9" t="inlineStr">
        <is>
          <t>Usage</t>
        </is>
      </c>
      <c r="ZF323" s="9" t="inlineStr">
        <is>
          <t>Actual</t>
        </is>
      </c>
      <c r="ZG323" s="9" t="inlineStr">
        <is>
          <t>Adjustment</t>
        </is>
      </c>
      <c r="ZH323" s="9" t="inlineStr">
        <is>
          <t>Balance</t>
        </is>
      </c>
      <c r="ZI323" s="9" t="inlineStr">
        <is>
          <t>Remarks</t>
        </is>
      </c>
      <c r="ZL323" s="9" t="inlineStr">
        <is>
          <t>Date</t>
        </is>
      </c>
      <c r="ZM323" s="9" t="inlineStr">
        <is>
          <t>Intake</t>
        </is>
      </c>
      <c r="ZN323" s="9" t="inlineStr">
        <is>
          <t>Usage</t>
        </is>
      </c>
      <c r="ZO323" s="9" t="inlineStr">
        <is>
          <t>Actual</t>
        </is>
      </c>
      <c r="ZP323" s="9" t="inlineStr">
        <is>
          <t>Adjustment</t>
        </is>
      </c>
      <c r="ZQ323" s="9" t="inlineStr">
        <is>
          <t>Balance</t>
        </is>
      </c>
      <c r="ZR323" s="9" t="inlineStr">
        <is>
          <t>Remarks</t>
        </is>
      </c>
      <c r="ZU323" s="9" t="inlineStr">
        <is>
          <t>Date</t>
        </is>
      </c>
      <c r="ZV323" s="9" t="inlineStr">
        <is>
          <t>Intake</t>
        </is>
      </c>
      <c r="ZW323" s="9" t="inlineStr">
        <is>
          <t>Usage</t>
        </is>
      </c>
      <c r="ZX323" s="9" t="inlineStr">
        <is>
          <t>Actual</t>
        </is>
      </c>
      <c r="ZY323" s="9" t="inlineStr">
        <is>
          <t>Adjustment</t>
        </is>
      </c>
      <c r="ZZ323" s="9" t="inlineStr">
        <is>
          <t>Balance</t>
        </is>
      </c>
      <c r="AAA323" s="9" t="inlineStr">
        <is>
          <t>Remarks</t>
        </is>
      </c>
      <c r="AAD323" s="9" t="inlineStr">
        <is>
          <t>Date</t>
        </is>
      </c>
      <c r="AAE323" s="9" t="inlineStr">
        <is>
          <t>Intake</t>
        </is>
      </c>
      <c r="AAF323" s="9" t="inlineStr">
        <is>
          <t>Usage</t>
        </is>
      </c>
      <c r="AAG323" s="9" t="inlineStr">
        <is>
          <t>Actual</t>
        </is>
      </c>
      <c r="AAH323" s="9" t="inlineStr">
        <is>
          <t>Adjustment</t>
        </is>
      </c>
      <c r="AAI323" s="9" t="inlineStr">
        <is>
          <t>Balance</t>
        </is>
      </c>
      <c r="AAJ323" s="9" t="inlineStr">
        <is>
          <t>Remarks</t>
        </is>
      </c>
      <c r="AAM323" s="9" t="inlineStr">
        <is>
          <t>Date</t>
        </is>
      </c>
      <c r="AAN323" s="9" t="inlineStr">
        <is>
          <t>Intake</t>
        </is>
      </c>
      <c r="AAO323" s="9" t="inlineStr">
        <is>
          <t>Usage</t>
        </is>
      </c>
      <c r="AAP323" s="9" t="inlineStr">
        <is>
          <t>Actual</t>
        </is>
      </c>
      <c r="AAQ323" s="9" t="inlineStr">
        <is>
          <t>Adjustment</t>
        </is>
      </c>
      <c r="AAR323" s="9" t="inlineStr">
        <is>
          <t>Balance</t>
        </is>
      </c>
      <c r="AAS323" s="9" t="inlineStr">
        <is>
          <t>Remarks</t>
        </is>
      </c>
      <c r="AAV323" s="9" t="inlineStr">
        <is>
          <t>Date</t>
        </is>
      </c>
      <c r="AAW323" s="9" t="inlineStr">
        <is>
          <t>Intake</t>
        </is>
      </c>
      <c r="AAX323" s="9" t="inlineStr">
        <is>
          <t>Usage</t>
        </is>
      </c>
      <c r="AAY323" s="9" t="inlineStr">
        <is>
          <t>Actual</t>
        </is>
      </c>
      <c r="AAZ323" s="9" t="inlineStr">
        <is>
          <t>Adjustment</t>
        </is>
      </c>
      <c r="ABA323" s="9" t="inlineStr">
        <is>
          <t>Balance</t>
        </is>
      </c>
      <c r="ABB323" s="9" t="inlineStr">
        <is>
          <t>Remarks</t>
        </is>
      </c>
      <c r="ABE323" s="9" t="inlineStr">
        <is>
          <t>Date</t>
        </is>
      </c>
      <c r="ABF323" s="9" t="inlineStr">
        <is>
          <t>Intake</t>
        </is>
      </c>
      <c r="ABG323" s="9" t="inlineStr">
        <is>
          <t>Usage</t>
        </is>
      </c>
      <c r="ABH323" s="9" t="inlineStr">
        <is>
          <t>Actual</t>
        </is>
      </c>
      <c r="ABI323" s="9" t="inlineStr">
        <is>
          <t>Adjustment</t>
        </is>
      </c>
      <c r="ABJ323" s="9" t="inlineStr">
        <is>
          <t>Balance</t>
        </is>
      </c>
      <c r="ABK323" s="9" t="inlineStr">
        <is>
          <t>Remarks</t>
        </is>
      </c>
    </row>
    <row r="324">
      <c r="C324" s="9" t="inlineStr">
        <is>
          <t>BALANCE</t>
        </is>
      </c>
      <c r="D324" s="9" t="inlineStr">
        <is>
          <t>-</t>
        </is>
      </c>
      <c r="E324" s="9" t="inlineStr">
        <is>
          <t>-</t>
        </is>
      </c>
      <c r="F324" s="9" t="inlineStr">
        <is>
          <t>-</t>
        </is>
      </c>
      <c r="G324" s="9" t="inlineStr">
        <is>
          <t>-</t>
        </is>
      </c>
      <c r="H324" s="9" t="n">
        <v>236936.6</v>
      </c>
      <c r="L324" s="9" t="inlineStr">
        <is>
          <t>BALANCE</t>
        </is>
      </c>
      <c r="M324" s="9" t="inlineStr">
        <is>
          <t>-</t>
        </is>
      </c>
      <c r="N324" s="9" t="inlineStr">
        <is>
          <t>-</t>
        </is>
      </c>
      <c r="O324" s="9" t="inlineStr">
        <is>
          <t>-</t>
        </is>
      </c>
      <c r="P324" s="9" t="inlineStr">
        <is>
          <t>-</t>
        </is>
      </c>
      <c r="Q324" s="9" t="n">
        <v>53017.60000000007</v>
      </c>
      <c r="U324" s="9" t="inlineStr">
        <is>
          <t>BALANCE</t>
        </is>
      </c>
      <c r="V324" s="9" t="inlineStr">
        <is>
          <t>-</t>
        </is>
      </c>
      <c r="W324" s="9" t="inlineStr">
        <is>
          <t>-</t>
        </is>
      </c>
      <c r="X324" s="9" t="inlineStr">
        <is>
          <t>-</t>
        </is>
      </c>
      <c r="Y324" s="9" t="inlineStr">
        <is>
          <t>-</t>
        </is>
      </c>
      <c r="Z324" s="9" t="n">
        <v>42674.19999999997</v>
      </c>
      <c r="AD324" s="9" t="inlineStr">
        <is>
          <t>BALANCE</t>
        </is>
      </c>
      <c r="AE324" s="9" t="inlineStr">
        <is>
          <t>-</t>
        </is>
      </c>
      <c r="AF324" s="9" t="inlineStr">
        <is>
          <t>-</t>
        </is>
      </c>
      <c r="AG324" s="9" t="inlineStr">
        <is>
          <t>-</t>
        </is>
      </c>
      <c r="AH324" s="9" t="inlineStr">
        <is>
          <t>-</t>
        </is>
      </c>
      <c r="AI324" s="9" t="n">
        <v>4522.200000000019</v>
      </c>
      <c r="AM324" s="9" t="inlineStr">
        <is>
          <t>BALANCE</t>
        </is>
      </c>
      <c r="AN324" s="9" t="inlineStr">
        <is>
          <t>-</t>
        </is>
      </c>
      <c r="AO324" s="9" t="inlineStr">
        <is>
          <t>-</t>
        </is>
      </c>
      <c r="AP324" s="9" t="inlineStr">
        <is>
          <t>-</t>
        </is>
      </c>
      <c r="AQ324" s="9" t="inlineStr">
        <is>
          <t>-</t>
        </is>
      </c>
      <c r="AR324" s="9" t="n">
        <v>0</v>
      </c>
      <c r="AV324" s="9" t="inlineStr">
        <is>
          <t>BALANCE</t>
        </is>
      </c>
      <c r="AW324" s="9" t="inlineStr">
        <is>
          <t>-</t>
        </is>
      </c>
      <c r="AX324" s="9" t="inlineStr">
        <is>
          <t>-</t>
        </is>
      </c>
      <c r="AY324" s="9" t="inlineStr">
        <is>
          <t>-</t>
        </is>
      </c>
      <c r="AZ324" s="9" t="inlineStr">
        <is>
          <t>-</t>
        </is>
      </c>
      <c r="BA324" s="9" t="n">
        <v>124.9999999999952</v>
      </c>
      <c r="BE324" s="9" t="inlineStr">
        <is>
          <t>BALANCE</t>
        </is>
      </c>
      <c r="BF324" s="9" t="inlineStr">
        <is>
          <t>-</t>
        </is>
      </c>
      <c r="BG324" s="9" t="inlineStr">
        <is>
          <t>-</t>
        </is>
      </c>
      <c r="BH324" s="9" t="inlineStr">
        <is>
          <t>-</t>
        </is>
      </c>
      <c r="BI324" s="9" t="inlineStr">
        <is>
          <t>-</t>
        </is>
      </c>
      <c r="BJ324" s="9" t="n">
        <v>26151.9</v>
      </c>
      <c r="BN324" s="9" t="inlineStr">
        <is>
          <t>BALANCE</t>
        </is>
      </c>
      <c r="BO324" s="9" t="inlineStr">
        <is>
          <t>-</t>
        </is>
      </c>
      <c r="BP324" s="9" t="inlineStr">
        <is>
          <t>-</t>
        </is>
      </c>
      <c r="BQ324" s="9" t="inlineStr">
        <is>
          <t>-</t>
        </is>
      </c>
      <c r="BR324" s="9" t="inlineStr">
        <is>
          <t>-</t>
        </is>
      </c>
      <c r="BS324" s="9" t="n">
        <v>0</v>
      </c>
      <c r="BW324" s="9" t="inlineStr">
        <is>
          <t>BALANCE</t>
        </is>
      </c>
      <c r="BX324" s="9" t="inlineStr">
        <is>
          <t>-</t>
        </is>
      </c>
      <c r="BY324" s="9" t="inlineStr">
        <is>
          <t>-</t>
        </is>
      </c>
      <c r="BZ324" s="9" t="inlineStr">
        <is>
          <t>-</t>
        </is>
      </c>
      <c r="CA324" s="9" t="inlineStr">
        <is>
          <t>-</t>
        </is>
      </c>
      <c r="CB324" s="9" t="n">
        <v>2097.339999999999</v>
      </c>
      <c r="CF324" s="9" t="inlineStr">
        <is>
          <t>BALANCE</t>
        </is>
      </c>
      <c r="CG324" s="9" t="inlineStr">
        <is>
          <t>-</t>
        </is>
      </c>
      <c r="CH324" s="9" t="inlineStr">
        <is>
          <t>-</t>
        </is>
      </c>
      <c r="CI324" s="9" t="inlineStr">
        <is>
          <t>-</t>
        </is>
      </c>
      <c r="CJ324" s="9" t="inlineStr">
        <is>
          <t>-</t>
        </is>
      </c>
      <c r="CK324" s="9" t="n">
        <v>-10277.08</v>
      </c>
      <c r="CO324" s="9" t="inlineStr">
        <is>
          <t>BALANCE</t>
        </is>
      </c>
      <c r="CP324" s="9" t="inlineStr">
        <is>
          <t>-</t>
        </is>
      </c>
      <c r="CQ324" s="9" t="inlineStr">
        <is>
          <t>-</t>
        </is>
      </c>
      <c r="CR324" s="9" t="inlineStr">
        <is>
          <t>-</t>
        </is>
      </c>
      <c r="CS324" s="9" t="inlineStr">
        <is>
          <t>-</t>
        </is>
      </c>
      <c r="CT324" s="9" t="n">
        <v>0</v>
      </c>
      <c r="CX324" s="9" t="inlineStr">
        <is>
          <t>BALANCE</t>
        </is>
      </c>
      <c r="CY324" s="9" t="inlineStr">
        <is>
          <t>-</t>
        </is>
      </c>
      <c r="CZ324" s="9" t="inlineStr">
        <is>
          <t>-</t>
        </is>
      </c>
      <c r="DA324" s="9" t="inlineStr">
        <is>
          <t>-</t>
        </is>
      </c>
      <c r="DB324" s="9" t="inlineStr">
        <is>
          <t>-</t>
        </is>
      </c>
      <c r="DC324" s="9" t="n">
        <v>27438.20000000001</v>
      </c>
      <c r="DG324" s="9" t="inlineStr">
        <is>
          <t>BALANCE</t>
        </is>
      </c>
      <c r="DH324" s="9" t="inlineStr">
        <is>
          <t>-</t>
        </is>
      </c>
      <c r="DI324" s="9" t="inlineStr">
        <is>
          <t>-</t>
        </is>
      </c>
      <c r="DJ324" s="9" t="inlineStr">
        <is>
          <t>-</t>
        </is>
      </c>
      <c r="DK324" s="9" t="inlineStr">
        <is>
          <t>-</t>
        </is>
      </c>
      <c r="DL324" s="9" t="n">
        <v>18782.29999999998</v>
      </c>
      <c r="DP324" s="9" t="inlineStr">
        <is>
          <t>BALANCE</t>
        </is>
      </c>
      <c r="DQ324" s="9" t="inlineStr">
        <is>
          <t>-</t>
        </is>
      </c>
      <c r="DR324" s="9" t="inlineStr">
        <is>
          <t>-</t>
        </is>
      </c>
      <c r="DS324" s="9" t="inlineStr">
        <is>
          <t>-</t>
        </is>
      </c>
      <c r="DT324" s="9" t="inlineStr">
        <is>
          <t>-</t>
        </is>
      </c>
      <c r="DU324" s="9" t="n">
        <v>5800</v>
      </c>
      <c r="DY324" s="9" t="inlineStr">
        <is>
          <t>BALANCE</t>
        </is>
      </c>
      <c r="DZ324" s="9" t="inlineStr">
        <is>
          <t>-</t>
        </is>
      </c>
      <c r="EA324" s="9" t="inlineStr">
        <is>
          <t>-</t>
        </is>
      </c>
      <c r="EB324" s="9" t="inlineStr">
        <is>
          <t>-</t>
        </is>
      </c>
      <c r="EC324" s="9" t="inlineStr">
        <is>
          <t>-</t>
        </is>
      </c>
      <c r="ED324" s="9" t="n">
        <v>0</v>
      </c>
      <c r="EH324" s="9" t="inlineStr">
        <is>
          <t>BALANCE</t>
        </is>
      </c>
      <c r="EI324" s="9" t="inlineStr">
        <is>
          <t>-</t>
        </is>
      </c>
      <c r="EJ324" s="9" t="inlineStr">
        <is>
          <t>-</t>
        </is>
      </c>
      <c r="EK324" s="9" t="inlineStr">
        <is>
          <t>-</t>
        </is>
      </c>
      <c r="EL324" s="9" t="inlineStr">
        <is>
          <t>-</t>
        </is>
      </c>
      <c r="EM324" s="9" t="n">
        <v>0</v>
      </c>
      <c r="EQ324" s="9" t="inlineStr">
        <is>
          <t>BALANCE</t>
        </is>
      </c>
      <c r="ER324" s="9" t="inlineStr">
        <is>
          <t>-</t>
        </is>
      </c>
      <c r="ES324" s="9" t="inlineStr">
        <is>
          <t>-</t>
        </is>
      </c>
      <c r="ET324" s="9" t="inlineStr">
        <is>
          <t>-</t>
        </is>
      </c>
      <c r="EU324" s="9" t="inlineStr">
        <is>
          <t>-</t>
        </is>
      </c>
      <c r="EV324" s="9" t="n">
        <v>0</v>
      </c>
      <c r="EZ324" s="9" t="inlineStr">
        <is>
          <t>BALANCE</t>
        </is>
      </c>
      <c r="FA324" s="9" t="inlineStr">
        <is>
          <t>-</t>
        </is>
      </c>
      <c r="FB324" s="9" t="inlineStr">
        <is>
          <t>-</t>
        </is>
      </c>
      <c r="FC324" s="9" t="inlineStr">
        <is>
          <t>-</t>
        </is>
      </c>
      <c r="FD324" s="9" t="inlineStr">
        <is>
          <t>-</t>
        </is>
      </c>
      <c r="FE324" s="9" t="n">
        <v>0</v>
      </c>
      <c r="FI324" s="9" t="inlineStr">
        <is>
          <t>BALANCE</t>
        </is>
      </c>
      <c r="FJ324" s="9" t="inlineStr">
        <is>
          <t>-</t>
        </is>
      </c>
      <c r="FK324" s="9" t="inlineStr">
        <is>
          <t>-</t>
        </is>
      </c>
      <c r="FL324" s="9" t="inlineStr">
        <is>
          <t>-</t>
        </is>
      </c>
      <c r="FM324" s="9" t="inlineStr">
        <is>
          <t>-</t>
        </is>
      </c>
      <c r="FN324" s="9" t="n">
        <v>0</v>
      </c>
      <c r="FR324" s="9" t="inlineStr">
        <is>
          <t>BALANCE</t>
        </is>
      </c>
      <c r="FS324" s="9" t="inlineStr">
        <is>
          <t>-</t>
        </is>
      </c>
      <c r="FT324" s="9" t="inlineStr">
        <is>
          <t>-</t>
        </is>
      </c>
      <c r="FU324" s="9" t="inlineStr">
        <is>
          <t>-</t>
        </is>
      </c>
      <c r="FV324" s="9" t="inlineStr">
        <is>
          <t>-</t>
        </is>
      </c>
      <c r="FW324" s="9" t="n">
        <v>2020</v>
      </c>
      <c r="GA324" s="9" t="inlineStr">
        <is>
          <t>BALANCE</t>
        </is>
      </c>
      <c r="GB324" s="9" t="inlineStr">
        <is>
          <t>-</t>
        </is>
      </c>
      <c r="GC324" s="9" t="inlineStr">
        <is>
          <t>-</t>
        </is>
      </c>
      <c r="GD324" s="9" t="inlineStr">
        <is>
          <t>-</t>
        </is>
      </c>
      <c r="GE324" s="9" t="inlineStr">
        <is>
          <t>-</t>
        </is>
      </c>
      <c r="GF324" s="9" t="n">
        <v>960</v>
      </c>
      <c r="GJ324" s="9" t="inlineStr">
        <is>
          <t>BALANCE</t>
        </is>
      </c>
      <c r="GK324" s="9" t="inlineStr">
        <is>
          <t>-</t>
        </is>
      </c>
      <c r="GL324" s="9" t="inlineStr">
        <is>
          <t>-</t>
        </is>
      </c>
      <c r="GM324" s="9" t="inlineStr">
        <is>
          <t>-</t>
        </is>
      </c>
      <c r="GN324" s="9" t="inlineStr">
        <is>
          <t>-</t>
        </is>
      </c>
      <c r="GO324" s="9" t="n">
        <v>1760</v>
      </c>
      <c r="GS324" s="9" t="inlineStr">
        <is>
          <t>BALANCE</t>
        </is>
      </c>
      <c r="GT324" s="9" t="inlineStr">
        <is>
          <t>-</t>
        </is>
      </c>
      <c r="GU324" s="9" t="inlineStr">
        <is>
          <t>-</t>
        </is>
      </c>
      <c r="GV324" s="9" t="inlineStr">
        <is>
          <t>-</t>
        </is>
      </c>
      <c r="GW324" s="9" t="inlineStr">
        <is>
          <t>-</t>
        </is>
      </c>
      <c r="GX324" s="9" t="n">
        <v>400</v>
      </c>
      <c r="HB324" s="9" t="inlineStr">
        <is>
          <t>BALANCE</t>
        </is>
      </c>
      <c r="HC324" s="9" t="inlineStr">
        <is>
          <t>-</t>
        </is>
      </c>
      <c r="HD324" s="9" t="inlineStr">
        <is>
          <t>-</t>
        </is>
      </c>
      <c r="HE324" s="9" t="inlineStr">
        <is>
          <t>-</t>
        </is>
      </c>
      <c r="HF324" s="9" t="inlineStr">
        <is>
          <t>-</t>
        </is>
      </c>
      <c r="HG324" s="9" t="n">
        <v>3600</v>
      </c>
      <c r="HK324" s="9" t="inlineStr">
        <is>
          <t>BALANCE</t>
        </is>
      </c>
      <c r="HL324" s="9" t="inlineStr">
        <is>
          <t>-</t>
        </is>
      </c>
      <c r="HM324" s="9" t="inlineStr">
        <is>
          <t>-</t>
        </is>
      </c>
      <c r="HN324" s="9" t="inlineStr">
        <is>
          <t>-</t>
        </is>
      </c>
      <c r="HO324" s="9" t="inlineStr">
        <is>
          <t>-</t>
        </is>
      </c>
      <c r="HP324" s="9" t="n">
        <v>0</v>
      </c>
      <c r="HU324" s="9" t="inlineStr">
        <is>
          <t>BALANCE</t>
        </is>
      </c>
      <c r="HV324" s="9" t="inlineStr">
        <is>
          <t>-</t>
        </is>
      </c>
      <c r="HW324" s="9" t="inlineStr">
        <is>
          <t>-</t>
        </is>
      </c>
      <c r="HX324" s="9" t="inlineStr">
        <is>
          <t>-</t>
        </is>
      </c>
      <c r="HY324" s="9" t="inlineStr">
        <is>
          <t>-</t>
        </is>
      </c>
      <c r="HZ324" s="9" t="n">
        <v>6120</v>
      </c>
      <c r="ID324" s="9" t="inlineStr">
        <is>
          <t>BALANCE</t>
        </is>
      </c>
      <c r="IE324" s="9" t="inlineStr">
        <is>
          <t>-</t>
        </is>
      </c>
      <c r="IF324" s="9" t="inlineStr">
        <is>
          <t>-</t>
        </is>
      </c>
      <c r="IG324" s="9" t="inlineStr">
        <is>
          <t>-</t>
        </is>
      </c>
      <c r="IH324" s="9" t="inlineStr">
        <is>
          <t>-</t>
        </is>
      </c>
      <c r="II324" s="9" t="n">
        <v>0</v>
      </c>
      <c r="IM324" s="9" t="inlineStr">
        <is>
          <t>BALANCE</t>
        </is>
      </c>
      <c r="IN324" s="9" t="inlineStr">
        <is>
          <t>-</t>
        </is>
      </c>
      <c r="IO324" s="9" t="inlineStr">
        <is>
          <t>-</t>
        </is>
      </c>
      <c r="IP324" s="9" t="inlineStr">
        <is>
          <t>-</t>
        </is>
      </c>
      <c r="IQ324" s="9" t="inlineStr">
        <is>
          <t>-</t>
        </is>
      </c>
      <c r="IR324" s="9" t="n">
        <v>0</v>
      </c>
      <c r="IV324" s="9" t="inlineStr">
        <is>
          <t>BALANCE</t>
        </is>
      </c>
      <c r="IW324" s="9" t="inlineStr">
        <is>
          <t>-</t>
        </is>
      </c>
      <c r="IX324" s="9" t="inlineStr">
        <is>
          <t>-</t>
        </is>
      </c>
      <c r="IY324" s="9" t="inlineStr">
        <is>
          <t>-</t>
        </is>
      </c>
      <c r="IZ324" s="9" t="inlineStr">
        <is>
          <t>-</t>
        </is>
      </c>
      <c r="JA324" s="9" t="n">
        <v>2820</v>
      </c>
      <c r="JE324" s="9" t="inlineStr">
        <is>
          <t>BALANCE</t>
        </is>
      </c>
      <c r="JF324" s="9" t="inlineStr">
        <is>
          <t>-</t>
        </is>
      </c>
      <c r="JG324" s="9" t="inlineStr">
        <is>
          <t>-</t>
        </is>
      </c>
      <c r="JH324" s="9" t="inlineStr">
        <is>
          <t>-</t>
        </is>
      </c>
      <c r="JI324" s="9" t="inlineStr">
        <is>
          <t>-</t>
        </is>
      </c>
      <c r="JJ324" s="9" t="n">
        <v>0</v>
      </c>
      <c r="JN324" s="9" t="inlineStr">
        <is>
          <t>BALANCE</t>
        </is>
      </c>
      <c r="JO324" s="9" t="inlineStr">
        <is>
          <t>-</t>
        </is>
      </c>
      <c r="JP324" s="9" t="inlineStr">
        <is>
          <t>-</t>
        </is>
      </c>
      <c r="JQ324" s="9" t="inlineStr">
        <is>
          <t>-</t>
        </is>
      </c>
      <c r="JR324" s="9" t="inlineStr">
        <is>
          <t>-</t>
        </is>
      </c>
      <c r="JS324" s="9" t="n">
        <v>0</v>
      </c>
      <c r="JW324" s="9" t="inlineStr">
        <is>
          <t>BALANCE</t>
        </is>
      </c>
      <c r="JX324" s="9" t="inlineStr">
        <is>
          <t>-</t>
        </is>
      </c>
      <c r="JY324" s="9" t="inlineStr">
        <is>
          <t>-</t>
        </is>
      </c>
      <c r="JZ324" s="9" t="inlineStr">
        <is>
          <t>-</t>
        </is>
      </c>
      <c r="KA324" s="9" t="inlineStr">
        <is>
          <t>-</t>
        </is>
      </c>
      <c r="KB324" s="9" t="n">
        <v>2540</v>
      </c>
      <c r="KF324" s="9" t="inlineStr">
        <is>
          <t>BALANCE</t>
        </is>
      </c>
      <c r="KG324" s="9" t="inlineStr">
        <is>
          <t>-</t>
        </is>
      </c>
      <c r="KH324" s="9" t="inlineStr">
        <is>
          <t>-</t>
        </is>
      </c>
      <c r="KI324" s="9" t="inlineStr">
        <is>
          <t>-</t>
        </is>
      </c>
      <c r="KJ324" s="9" t="inlineStr">
        <is>
          <t>-</t>
        </is>
      </c>
      <c r="KK324" s="9" t="n">
        <v>2359.5</v>
      </c>
      <c r="KO324" s="9" t="inlineStr">
        <is>
          <t>BALANCE</t>
        </is>
      </c>
      <c r="KP324" s="9" t="inlineStr">
        <is>
          <t>-</t>
        </is>
      </c>
      <c r="KQ324" s="9" t="inlineStr">
        <is>
          <t>-</t>
        </is>
      </c>
      <c r="KR324" s="9" t="inlineStr">
        <is>
          <t>-</t>
        </is>
      </c>
      <c r="KS324" s="9" t="inlineStr">
        <is>
          <t>-</t>
        </is>
      </c>
      <c r="KT324" s="9" t="n">
        <v>1890</v>
      </c>
      <c r="KX324" s="9" t="inlineStr">
        <is>
          <t>BALANCE</t>
        </is>
      </c>
      <c r="KY324" s="9" t="inlineStr">
        <is>
          <t>-</t>
        </is>
      </c>
      <c r="KZ324" s="9" t="inlineStr">
        <is>
          <t>-</t>
        </is>
      </c>
      <c r="LA324" s="9" t="inlineStr">
        <is>
          <t>-</t>
        </is>
      </c>
      <c r="LB324" s="9" t="inlineStr">
        <is>
          <t>-</t>
        </is>
      </c>
      <c r="LC324" s="9" t="n">
        <v>3690</v>
      </c>
      <c r="LG324" s="9" t="inlineStr">
        <is>
          <t>BALANCE</t>
        </is>
      </c>
      <c r="LH324" s="9" t="inlineStr">
        <is>
          <t>-</t>
        </is>
      </c>
      <c r="LI324" s="9" t="inlineStr">
        <is>
          <t>-</t>
        </is>
      </c>
      <c r="LJ324" s="9" t="inlineStr">
        <is>
          <t>-</t>
        </is>
      </c>
      <c r="LK324" s="9" t="inlineStr">
        <is>
          <t>-</t>
        </is>
      </c>
      <c r="LL324" s="9" t="n">
        <v>4000</v>
      </c>
      <c r="LP324" s="9" t="inlineStr">
        <is>
          <t>BALANCE</t>
        </is>
      </c>
      <c r="LQ324" s="9" t="inlineStr">
        <is>
          <t>-</t>
        </is>
      </c>
      <c r="LR324" s="9" t="inlineStr">
        <is>
          <t>-</t>
        </is>
      </c>
      <c r="LS324" s="9" t="inlineStr">
        <is>
          <t>-</t>
        </is>
      </c>
      <c r="LT324" s="9" t="inlineStr">
        <is>
          <t>-</t>
        </is>
      </c>
      <c r="LU324" s="9" t="n">
        <v>0</v>
      </c>
      <c r="LY324" s="9" t="inlineStr">
        <is>
          <t>BALANCE</t>
        </is>
      </c>
      <c r="LZ324" s="9" t="inlineStr">
        <is>
          <t>-</t>
        </is>
      </c>
      <c r="MA324" s="9" t="inlineStr">
        <is>
          <t>-</t>
        </is>
      </c>
      <c r="MB324" s="9" t="inlineStr">
        <is>
          <t>-</t>
        </is>
      </c>
      <c r="MC324" s="9" t="inlineStr">
        <is>
          <t>-</t>
        </is>
      </c>
      <c r="MD324" s="9" t="n">
        <v>0</v>
      </c>
      <c r="MH324" s="9" t="inlineStr">
        <is>
          <t>BALANCE</t>
        </is>
      </c>
      <c r="MI324" s="9" t="inlineStr">
        <is>
          <t>-</t>
        </is>
      </c>
      <c r="MJ324" s="9" t="inlineStr">
        <is>
          <t>-</t>
        </is>
      </c>
      <c r="MK324" s="9" t="inlineStr">
        <is>
          <t>-</t>
        </is>
      </c>
      <c r="ML324" s="9" t="inlineStr">
        <is>
          <t>-</t>
        </is>
      </c>
      <c r="MM324" s="9" t="n">
        <v>0</v>
      </c>
      <c r="MQ324" s="9" t="inlineStr">
        <is>
          <t>BALANCE</t>
        </is>
      </c>
      <c r="MR324" s="9" t="inlineStr">
        <is>
          <t>-</t>
        </is>
      </c>
      <c r="MS324" s="9" t="inlineStr">
        <is>
          <t>-</t>
        </is>
      </c>
      <c r="MT324" s="9" t="inlineStr">
        <is>
          <t>-</t>
        </is>
      </c>
      <c r="MU324" s="9" t="inlineStr">
        <is>
          <t>-</t>
        </is>
      </c>
      <c r="MV324" s="9" t="n">
        <v>1625</v>
      </c>
      <c r="MZ324" s="9" t="inlineStr">
        <is>
          <t>BALANCE</t>
        </is>
      </c>
      <c r="NA324" s="9" t="inlineStr">
        <is>
          <t>-</t>
        </is>
      </c>
      <c r="NB324" s="9" t="inlineStr">
        <is>
          <t>-</t>
        </is>
      </c>
      <c r="NC324" s="9" t="inlineStr">
        <is>
          <t>-</t>
        </is>
      </c>
      <c r="ND324" s="9" t="inlineStr">
        <is>
          <t>-</t>
        </is>
      </c>
      <c r="NE324" s="9" t="n">
        <v>0</v>
      </c>
      <c r="NI324" s="9" t="inlineStr">
        <is>
          <t>BALANCE</t>
        </is>
      </c>
      <c r="NJ324" s="9" t="inlineStr">
        <is>
          <t>-</t>
        </is>
      </c>
      <c r="NK324" s="9" t="inlineStr">
        <is>
          <t>-</t>
        </is>
      </c>
      <c r="NL324" s="9" t="inlineStr">
        <is>
          <t>-</t>
        </is>
      </c>
      <c r="NM324" s="9" t="inlineStr">
        <is>
          <t>-</t>
        </is>
      </c>
      <c r="NN324" s="9" t="n">
        <v>1127</v>
      </c>
      <c r="NR324" s="9" t="inlineStr">
        <is>
          <t>BALANCE</t>
        </is>
      </c>
      <c r="NS324" s="9" t="inlineStr">
        <is>
          <t>-</t>
        </is>
      </c>
      <c r="NT324" s="9" t="inlineStr">
        <is>
          <t>-</t>
        </is>
      </c>
      <c r="NU324" s="9" t="inlineStr">
        <is>
          <t>-</t>
        </is>
      </c>
      <c r="NV324" s="9" t="inlineStr">
        <is>
          <t>-</t>
        </is>
      </c>
      <c r="NW324" s="9" t="n">
        <v>3112</v>
      </c>
      <c r="OA324" s="9" t="inlineStr">
        <is>
          <t>BALANCE</t>
        </is>
      </c>
      <c r="OB324" s="9" t="inlineStr">
        <is>
          <t>-</t>
        </is>
      </c>
      <c r="OC324" s="9" t="inlineStr">
        <is>
          <t>-</t>
        </is>
      </c>
      <c r="OD324" s="9" t="inlineStr">
        <is>
          <t>-</t>
        </is>
      </c>
      <c r="OE324" s="9" t="inlineStr">
        <is>
          <t>-</t>
        </is>
      </c>
      <c r="OF324" s="9" t="n">
        <v>1680.5</v>
      </c>
      <c r="OJ324" s="9" t="inlineStr">
        <is>
          <t>BALANCE</t>
        </is>
      </c>
      <c r="OK324" s="9" t="inlineStr">
        <is>
          <t>-</t>
        </is>
      </c>
      <c r="OL324" s="9" t="inlineStr">
        <is>
          <t>-</t>
        </is>
      </c>
      <c r="OM324" s="9" t="inlineStr">
        <is>
          <t>-</t>
        </is>
      </c>
      <c r="ON324" s="9" t="inlineStr">
        <is>
          <t>-</t>
        </is>
      </c>
      <c r="OO324" s="9" t="n">
        <v>0</v>
      </c>
      <c r="OS324" s="9" t="inlineStr">
        <is>
          <t>BALANCE</t>
        </is>
      </c>
      <c r="OT324" s="9" t="inlineStr">
        <is>
          <t>-</t>
        </is>
      </c>
      <c r="OU324" s="9" t="inlineStr">
        <is>
          <t>-</t>
        </is>
      </c>
      <c r="OV324" s="9" t="inlineStr">
        <is>
          <t>-</t>
        </is>
      </c>
      <c r="OW324" s="9" t="inlineStr">
        <is>
          <t>-</t>
        </is>
      </c>
      <c r="OX324" s="9" t="n">
        <v>1482</v>
      </c>
      <c r="PB324" s="9" t="inlineStr">
        <is>
          <t>BALANCE</t>
        </is>
      </c>
      <c r="PC324" s="9" t="inlineStr">
        <is>
          <t>-</t>
        </is>
      </c>
      <c r="PD324" s="9" t="inlineStr">
        <is>
          <t>-</t>
        </is>
      </c>
      <c r="PE324" s="9" t="inlineStr">
        <is>
          <t>-</t>
        </is>
      </c>
      <c r="PF324" s="9" t="inlineStr">
        <is>
          <t>-</t>
        </is>
      </c>
      <c r="PG324" s="9" t="n">
        <v>0</v>
      </c>
      <c r="PK324" s="9" t="inlineStr">
        <is>
          <t>BALANCE</t>
        </is>
      </c>
      <c r="PL324" s="9" t="inlineStr">
        <is>
          <t>-</t>
        </is>
      </c>
      <c r="PM324" s="9" t="inlineStr">
        <is>
          <t>-</t>
        </is>
      </c>
      <c r="PN324" s="9" t="inlineStr">
        <is>
          <t>-</t>
        </is>
      </c>
      <c r="PO324" s="9" t="inlineStr">
        <is>
          <t>-</t>
        </is>
      </c>
      <c r="PP324" s="9" t="n">
        <v>100</v>
      </c>
      <c r="PT324" s="9" t="inlineStr">
        <is>
          <t>BALANCE</t>
        </is>
      </c>
      <c r="PU324" s="9" t="inlineStr">
        <is>
          <t>-</t>
        </is>
      </c>
      <c r="PV324" s="9" t="inlineStr">
        <is>
          <t>-</t>
        </is>
      </c>
      <c r="PW324" s="9" t="inlineStr">
        <is>
          <t>-</t>
        </is>
      </c>
      <c r="PX324" s="9" t="inlineStr">
        <is>
          <t>-</t>
        </is>
      </c>
      <c r="PY324" s="9" t="n">
        <v>13.96000000000004</v>
      </c>
      <c r="QC324" s="9" t="inlineStr">
        <is>
          <t>BALANCE</t>
        </is>
      </c>
      <c r="QD324" s="9" t="inlineStr">
        <is>
          <t>-</t>
        </is>
      </c>
      <c r="QE324" s="9" t="inlineStr">
        <is>
          <t>-</t>
        </is>
      </c>
      <c r="QF324" s="9" t="inlineStr">
        <is>
          <t>-</t>
        </is>
      </c>
      <c r="QG324" s="9" t="inlineStr">
        <is>
          <t>-</t>
        </is>
      </c>
      <c r="QH324" s="9" t="n">
        <v>548</v>
      </c>
      <c r="QL324" s="9" t="inlineStr">
        <is>
          <t>BALANCE</t>
        </is>
      </c>
      <c r="QM324" s="9" t="inlineStr">
        <is>
          <t>-</t>
        </is>
      </c>
      <c r="QN324" s="9" t="inlineStr">
        <is>
          <t>-</t>
        </is>
      </c>
      <c r="QO324" s="9" t="inlineStr">
        <is>
          <t>-</t>
        </is>
      </c>
      <c r="QP324" s="9" t="inlineStr">
        <is>
          <t>-</t>
        </is>
      </c>
      <c r="QQ324" s="9" t="n">
        <v>0</v>
      </c>
      <c r="QU324" s="9" t="inlineStr">
        <is>
          <t>BALANCE</t>
        </is>
      </c>
      <c r="QV324" s="9" t="inlineStr">
        <is>
          <t>-</t>
        </is>
      </c>
      <c r="QW324" s="9" t="inlineStr">
        <is>
          <t>-</t>
        </is>
      </c>
      <c r="QX324" s="9" t="inlineStr">
        <is>
          <t>-</t>
        </is>
      </c>
      <c r="QY324" s="9" t="inlineStr">
        <is>
          <t>-</t>
        </is>
      </c>
      <c r="QZ324" s="9" t="n">
        <v>0</v>
      </c>
      <c r="RD324" s="9" t="inlineStr">
        <is>
          <t>BALANCE</t>
        </is>
      </c>
      <c r="RE324" s="9" t="inlineStr">
        <is>
          <t>-</t>
        </is>
      </c>
      <c r="RF324" s="9" t="inlineStr">
        <is>
          <t>-</t>
        </is>
      </c>
      <c r="RG324" s="9" t="inlineStr">
        <is>
          <t>-</t>
        </is>
      </c>
      <c r="RH324" s="9" t="inlineStr">
        <is>
          <t>-</t>
        </is>
      </c>
      <c r="RI324" s="9" t="n">
        <v>147.04</v>
      </c>
      <c r="RM324" s="9" t="inlineStr">
        <is>
          <t>BALANCE</t>
        </is>
      </c>
      <c r="RN324" s="9" t="inlineStr">
        <is>
          <t>-</t>
        </is>
      </c>
      <c r="RO324" s="9" t="inlineStr">
        <is>
          <t>-</t>
        </is>
      </c>
      <c r="RP324" s="9" t="inlineStr">
        <is>
          <t>-</t>
        </is>
      </c>
      <c r="RQ324" s="9" t="inlineStr">
        <is>
          <t>-</t>
        </is>
      </c>
      <c r="RR324" s="9" t="n">
        <v>46.8</v>
      </c>
      <c r="RV324" s="9" t="inlineStr">
        <is>
          <t>BALANCE</t>
        </is>
      </c>
      <c r="RW324" s="9" t="inlineStr">
        <is>
          <t>-</t>
        </is>
      </c>
      <c r="RX324" s="9" t="inlineStr">
        <is>
          <t>-</t>
        </is>
      </c>
      <c r="RY324" s="9" t="inlineStr">
        <is>
          <t>-</t>
        </is>
      </c>
      <c r="RZ324" s="9" t="inlineStr">
        <is>
          <t>-</t>
        </is>
      </c>
      <c r="SA324" s="9" t="n">
        <v>0</v>
      </c>
      <c r="SE324" s="9" t="inlineStr">
        <is>
          <t>BALANCE</t>
        </is>
      </c>
      <c r="SF324" s="9" t="inlineStr">
        <is>
          <t>-</t>
        </is>
      </c>
      <c r="SG324" s="9" t="inlineStr">
        <is>
          <t>-</t>
        </is>
      </c>
      <c r="SH324" s="9" t="inlineStr">
        <is>
          <t>-</t>
        </is>
      </c>
      <c r="SI324" s="9" t="inlineStr">
        <is>
          <t>-</t>
        </is>
      </c>
      <c r="SJ324" s="9" t="n">
        <v>24.2</v>
      </c>
      <c r="SN324" s="9" t="inlineStr">
        <is>
          <t>BALANCE</t>
        </is>
      </c>
      <c r="SO324" s="9" t="inlineStr">
        <is>
          <t>-</t>
        </is>
      </c>
      <c r="SP324" s="9" t="inlineStr">
        <is>
          <t>-</t>
        </is>
      </c>
      <c r="SQ324" s="9" t="inlineStr">
        <is>
          <t>-</t>
        </is>
      </c>
      <c r="SR324" s="9" t="inlineStr">
        <is>
          <t>-</t>
        </is>
      </c>
      <c r="SS324" s="9" t="n">
        <v>32</v>
      </c>
      <c r="SW324" s="9" t="inlineStr">
        <is>
          <t>BALANCE</t>
        </is>
      </c>
      <c r="SX324" s="9" t="inlineStr">
        <is>
          <t>-</t>
        </is>
      </c>
      <c r="SY324" s="9" t="inlineStr">
        <is>
          <t>-</t>
        </is>
      </c>
      <c r="SZ324" s="9" t="inlineStr">
        <is>
          <t>-</t>
        </is>
      </c>
      <c r="TA324" s="9" t="inlineStr">
        <is>
          <t>-</t>
        </is>
      </c>
      <c r="TB324" s="9" t="n">
        <v>0</v>
      </c>
      <c r="TF324" s="9" t="inlineStr">
        <is>
          <t>BALANCE</t>
        </is>
      </c>
      <c r="TG324" s="9" t="inlineStr">
        <is>
          <t>-</t>
        </is>
      </c>
      <c r="TH324" s="9" t="inlineStr">
        <is>
          <t>-</t>
        </is>
      </c>
      <c r="TI324" s="9" t="inlineStr">
        <is>
          <t>-</t>
        </is>
      </c>
      <c r="TJ324" s="9" t="inlineStr">
        <is>
          <t>-</t>
        </is>
      </c>
      <c r="TK324" s="9" t="n">
        <v>0</v>
      </c>
      <c r="TO324" s="9" t="inlineStr">
        <is>
          <t>BALANCE</t>
        </is>
      </c>
      <c r="TP324" s="9" t="inlineStr">
        <is>
          <t>-</t>
        </is>
      </c>
      <c r="TQ324" s="9" t="inlineStr">
        <is>
          <t>-</t>
        </is>
      </c>
      <c r="TR324" s="9" t="inlineStr">
        <is>
          <t>-</t>
        </is>
      </c>
      <c r="TS324" s="9" t="inlineStr">
        <is>
          <t>-</t>
        </is>
      </c>
      <c r="TT324" s="9" t="n">
        <v>0</v>
      </c>
      <c r="TX324" s="9" t="inlineStr">
        <is>
          <t>BALANCE</t>
        </is>
      </c>
      <c r="TY324" s="9" t="inlineStr">
        <is>
          <t>-</t>
        </is>
      </c>
      <c r="TZ324" s="9" t="inlineStr">
        <is>
          <t>-</t>
        </is>
      </c>
      <c r="UA324" s="9" t="inlineStr">
        <is>
          <t>-</t>
        </is>
      </c>
      <c r="UB324" s="9" t="inlineStr">
        <is>
          <t>-</t>
        </is>
      </c>
      <c r="UC324" s="9" t="n">
        <v>46.79999999999998</v>
      </c>
      <c r="UG324" s="9" t="inlineStr">
        <is>
          <t>BALANCE</t>
        </is>
      </c>
      <c r="UH324" s="9" t="inlineStr">
        <is>
          <t>-</t>
        </is>
      </c>
      <c r="UI324" s="9" t="inlineStr">
        <is>
          <t>-</t>
        </is>
      </c>
      <c r="UJ324" s="9" t="inlineStr">
        <is>
          <t>-</t>
        </is>
      </c>
      <c r="UK324" s="9" t="inlineStr">
        <is>
          <t>-</t>
        </is>
      </c>
      <c r="UL324" s="9" t="n">
        <v>204</v>
      </c>
      <c r="UP324" s="9" t="inlineStr">
        <is>
          <t>BALANCE</t>
        </is>
      </c>
      <c r="UQ324" s="9" t="inlineStr">
        <is>
          <t>-</t>
        </is>
      </c>
      <c r="UR324" s="9" t="inlineStr">
        <is>
          <t>-</t>
        </is>
      </c>
      <c r="US324" s="9" t="inlineStr">
        <is>
          <t>-</t>
        </is>
      </c>
      <c r="UT324" s="9" t="inlineStr">
        <is>
          <t>-</t>
        </is>
      </c>
      <c r="UU324" s="9" t="n">
        <v>202.5</v>
      </c>
      <c r="UY324" s="9" t="inlineStr">
        <is>
          <t>BALANCE</t>
        </is>
      </c>
      <c r="UZ324" s="9" t="inlineStr">
        <is>
          <t>-</t>
        </is>
      </c>
      <c r="VA324" s="9" t="inlineStr">
        <is>
          <t>-</t>
        </is>
      </c>
      <c r="VB324" s="9" t="inlineStr">
        <is>
          <t>-</t>
        </is>
      </c>
      <c r="VC324" s="9" t="inlineStr">
        <is>
          <t>-</t>
        </is>
      </c>
      <c r="VD324" s="9" t="n">
        <v>41.60000000000002</v>
      </c>
      <c r="VH324" s="9" t="inlineStr">
        <is>
          <t>BALANCE</t>
        </is>
      </c>
      <c r="VI324" s="9" t="inlineStr">
        <is>
          <t>-</t>
        </is>
      </c>
      <c r="VJ324" s="9" t="inlineStr">
        <is>
          <t>-</t>
        </is>
      </c>
      <c r="VK324" s="9" t="inlineStr">
        <is>
          <t>-</t>
        </is>
      </c>
      <c r="VL324" s="9" t="inlineStr">
        <is>
          <t>-</t>
        </is>
      </c>
      <c r="VM324" s="9" t="n">
        <v>210</v>
      </c>
      <c r="VQ324" s="9" t="inlineStr">
        <is>
          <t>BALANCE</t>
        </is>
      </c>
      <c r="VR324" s="9" t="inlineStr">
        <is>
          <t>-</t>
        </is>
      </c>
      <c r="VS324" s="9" t="inlineStr">
        <is>
          <t>-</t>
        </is>
      </c>
      <c r="VT324" s="9" t="inlineStr">
        <is>
          <t>-</t>
        </is>
      </c>
      <c r="VU324" s="9" t="inlineStr">
        <is>
          <t>-</t>
        </is>
      </c>
      <c r="VV324" s="9" t="n">
        <v>0</v>
      </c>
      <c r="VZ324" s="9" t="inlineStr">
        <is>
          <t>BALANCE</t>
        </is>
      </c>
      <c r="WA324" s="9" t="inlineStr">
        <is>
          <t>-</t>
        </is>
      </c>
      <c r="WB324" s="9" t="inlineStr">
        <is>
          <t>-</t>
        </is>
      </c>
      <c r="WC324" s="9" t="inlineStr">
        <is>
          <t>-</t>
        </is>
      </c>
      <c r="WD324" s="9" t="inlineStr">
        <is>
          <t>-</t>
        </is>
      </c>
      <c r="WE324" s="9" t="n">
        <v>0</v>
      </c>
      <c r="WI324" s="9" t="inlineStr">
        <is>
          <t>BALANCE</t>
        </is>
      </c>
      <c r="WJ324" s="9" t="inlineStr">
        <is>
          <t>-</t>
        </is>
      </c>
      <c r="WK324" s="9" t="inlineStr">
        <is>
          <t>-</t>
        </is>
      </c>
      <c r="WL324" s="9" t="inlineStr">
        <is>
          <t>-</t>
        </is>
      </c>
      <c r="WM324" s="9" t="inlineStr">
        <is>
          <t>-</t>
        </is>
      </c>
      <c r="WN324" s="9" t="n">
        <v>1057</v>
      </c>
      <c r="WR324" s="9" t="inlineStr">
        <is>
          <t>BALANCE</t>
        </is>
      </c>
      <c r="WS324" s="9" t="inlineStr">
        <is>
          <t>-</t>
        </is>
      </c>
      <c r="WT324" s="9" t="inlineStr">
        <is>
          <t>-</t>
        </is>
      </c>
      <c r="WU324" s="9" t="inlineStr">
        <is>
          <t>-</t>
        </is>
      </c>
      <c r="WV324" s="9" t="inlineStr">
        <is>
          <t>-</t>
        </is>
      </c>
      <c r="WW324" s="9" t="n">
        <v>0</v>
      </c>
      <c r="XA324" s="9" t="inlineStr">
        <is>
          <t>BALANCE</t>
        </is>
      </c>
      <c r="XB324" s="9" t="inlineStr">
        <is>
          <t>-</t>
        </is>
      </c>
      <c r="XC324" s="9" t="inlineStr">
        <is>
          <t>-</t>
        </is>
      </c>
      <c r="XD324" s="9" t="inlineStr">
        <is>
          <t>-</t>
        </is>
      </c>
      <c r="XE324" s="9" t="inlineStr">
        <is>
          <t>-</t>
        </is>
      </c>
      <c r="XF324" s="9" t="n">
        <v>7507</v>
      </c>
      <c r="XJ324" s="9" t="inlineStr">
        <is>
          <t>BALANCE</t>
        </is>
      </c>
      <c r="XK324" s="9" t="inlineStr">
        <is>
          <t>-</t>
        </is>
      </c>
      <c r="XL324" s="9" t="inlineStr">
        <is>
          <t>-</t>
        </is>
      </c>
      <c r="XM324" s="9" t="inlineStr">
        <is>
          <t>-</t>
        </is>
      </c>
      <c r="XN324" s="9" t="inlineStr">
        <is>
          <t>-</t>
        </is>
      </c>
      <c r="XO324" s="9" t="n">
        <v>4252</v>
      </c>
      <c r="XS324" s="9" t="inlineStr">
        <is>
          <t>BALANCE</t>
        </is>
      </c>
      <c r="XT324" s="9" t="inlineStr">
        <is>
          <t>-</t>
        </is>
      </c>
      <c r="XU324" s="9" t="inlineStr">
        <is>
          <t>-</t>
        </is>
      </c>
      <c r="XV324" s="9" t="inlineStr">
        <is>
          <t>-</t>
        </is>
      </c>
      <c r="XW324" s="9" t="inlineStr">
        <is>
          <t>-</t>
        </is>
      </c>
      <c r="XX324" s="9" t="n">
        <v>2179</v>
      </c>
      <c r="YB324" s="9" t="inlineStr">
        <is>
          <t>BALANCE</t>
        </is>
      </c>
      <c r="YC324" s="9" t="inlineStr">
        <is>
          <t>-</t>
        </is>
      </c>
      <c r="YD324" s="9" t="inlineStr">
        <is>
          <t>-</t>
        </is>
      </c>
      <c r="YE324" s="9" t="inlineStr">
        <is>
          <t>-</t>
        </is>
      </c>
      <c r="YF324" s="9" t="inlineStr">
        <is>
          <t>-</t>
        </is>
      </c>
      <c r="YG324" s="9" t="n">
        <v>4019</v>
      </c>
      <c r="YK324" s="9" t="inlineStr">
        <is>
          <t>BALANCE</t>
        </is>
      </c>
      <c r="YL324" s="9" t="inlineStr">
        <is>
          <t>-</t>
        </is>
      </c>
      <c r="YM324" s="9" t="inlineStr">
        <is>
          <t>-</t>
        </is>
      </c>
      <c r="YN324" s="9" t="inlineStr">
        <is>
          <t>-</t>
        </is>
      </c>
      <c r="YO324" s="9" t="inlineStr">
        <is>
          <t>-</t>
        </is>
      </c>
      <c r="YP324" s="9" t="n">
        <v>-218</v>
      </c>
      <c r="YT324" s="9" t="inlineStr">
        <is>
          <t>BALANCE</t>
        </is>
      </c>
      <c r="YU324" s="9" t="inlineStr">
        <is>
          <t>-</t>
        </is>
      </c>
      <c r="YV324" s="9" t="inlineStr">
        <is>
          <t>-</t>
        </is>
      </c>
      <c r="YW324" s="9" t="inlineStr">
        <is>
          <t>-</t>
        </is>
      </c>
      <c r="YX324" s="9" t="inlineStr">
        <is>
          <t>-</t>
        </is>
      </c>
      <c r="YY324" s="9" t="n">
        <v>0</v>
      </c>
      <c r="ZC324" s="9" t="inlineStr">
        <is>
          <t>BALANCE</t>
        </is>
      </c>
      <c r="ZD324" s="9" t="inlineStr">
        <is>
          <t>-</t>
        </is>
      </c>
      <c r="ZE324" s="9" t="inlineStr">
        <is>
          <t>-</t>
        </is>
      </c>
      <c r="ZF324" s="9" t="inlineStr">
        <is>
          <t>-</t>
        </is>
      </c>
      <c r="ZG324" s="9" t="inlineStr">
        <is>
          <t>-</t>
        </is>
      </c>
      <c r="ZH324" s="9" t="n">
        <v>0</v>
      </c>
      <c r="ZL324" s="9" t="inlineStr">
        <is>
          <t>BALANCE</t>
        </is>
      </c>
      <c r="ZM324" s="9" t="inlineStr">
        <is>
          <t>-</t>
        </is>
      </c>
      <c r="ZN324" s="9" t="inlineStr">
        <is>
          <t>-</t>
        </is>
      </c>
      <c r="ZO324" s="9" t="inlineStr">
        <is>
          <t>-</t>
        </is>
      </c>
      <c r="ZP324" s="9" t="inlineStr">
        <is>
          <t>-</t>
        </is>
      </c>
      <c r="ZQ324" s="9" t="n">
        <v>0</v>
      </c>
      <c r="ZU324" s="9" t="inlineStr">
        <is>
          <t>BALANCE</t>
        </is>
      </c>
      <c r="ZV324" s="9" t="inlineStr">
        <is>
          <t>-</t>
        </is>
      </c>
      <c r="ZW324" s="9" t="inlineStr">
        <is>
          <t>-</t>
        </is>
      </c>
      <c r="ZX324" s="9" t="inlineStr">
        <is>
          <t>-</t>
        </is>
      </c>
      <c r="ZY324" s="9" t="inlineStr">
        <is>
          <t>-</t>
        </is>
      </c>
      <c r="ZZ324" s="9" t="n">
        <v>0</v>
      </c>
      <c r="AAD324" s="9" t="inlineStr">
        <is>
          <t>BALANCE</t>
        </is>
      </c>
      <c r="AAE324" s="9" t="inlineStr">
        <is>
          <t>-</t>
        </is>
      </c>
      <c r="AAF324" s="9" t="inlineStr">
        <is>
          <t>-</t>
        </is>
      </c>
      <c r="AAG324" s="9" t="inlineStr">
        <is>
          <t>-</t>
        </is>
      </c>
      <c r="AAH324" s="9" t="inlineStr">
        <is>
          <t>-</t>
        </is>
      </c>
      <c r="AAI324" s="9" t="n">
        <v>0</v>
      </c>
      <c r="AAM324" s="9" t="inlineStr">
        <is>
          <t>BALANCE</t>
        </is>
      </c>
      <c r="AAN324" s="9" t="inlineStr">
        <is>
          <t>-</t>
        </is>
      </c>
      <c r="AAO324" s="9" t="inlineStr">
        <is>
          <t>-</t>
        </is>
      </c>
      <c r="AAP324" s="9" t="inlineStr">
        <is>
          <t>-</t>
        </is>
      </c>
      <c r="AAQ324" s="9" t="inlineStr">
        <is>
          <t>-</t>
        </is>
      </c>
      <c r="AAR324" s="9" t="n">
        <v>0</v>
      </c>
      <c r="AAV324" s="9" t="inlineStr">
        <is>
          <t>BALANCE</t>
        </is>
      </c>
      <c r="AAW324" s="9" t="inlineStr">
        <is>
          <t>-</t>
        </is>
      </c>
      <c r="AAX324" s="9" t="inlineStr">
        <is>
          <t>-</t>
        </is>
      </c>
      <c r="AAY324" s="9" t="inlineStr">
        <is>
          <t>-</t>
        </is>
      </c>
      <c r="AAZ324" s="9" t="inlineStr">
        <is>
          <t>-</t>
        </is>
      </c>
      <c r="ABA324" s="9" t="n">
        <v>0</v>
      </c>
      <c r="ABE324" s="9" t="inlineStr">
        <is>
          <t>BALANCE</t>
        </is>
      </c>
      <c r="ABF324" s="9" t="inlineStr">
        <is>
          <t>-</t>
        </is>
      </c>
      <c r="ABG324" s="9" t="inlineStr">
        <is>
          <t>-</t>
        </is>
      </c>
      <c r="ABH324" s="9" t="inlineStr">
        <is>
          <t>-</t>
        </is>
      </c>
      <c r="ABI324" s="9" t="inlineStr">
        <is>
          <t>-</t>
        </is>
      </c>
      <c r="ABJ324" s="9" t="n">
        <v>0</v>
      </c>
    </row>
    <row r="325">
      <c r="C325" s="10" t="n">
        <v>46296</v>
      </c>
      <c r="E325" s="9" t="n">
        <v>0</v>
      </c>
      <c r="G325" s="9" t="n">
        <v>0</v>
      </c>
      <c r="H325" s="9" t="n">
        <v>236936.6</v>
      </c>
      <c r="L325" s="10" t="n">
        <v>46296</v>
      </c>
      <c r="N325" s="9" t="n">
        <v>0</v>
      </c>
      <c r="P325" s="9" t="n">
        <v>0</v>
      </c>
      <c r="Q325" s="9" t="n">
        <v>53017.60000000007</v>
      </c>
      <c r="U325" s="10" t="n">
        <v>46296</v>
      </c>
      <c r="W325" s="9" t="n">
        <v>0</v>
      </c>
      <c r="Y325" s="9" t="n">
        <v>0</v>
      </c>
      <c r="Z325" s="9" t="n">
        <v>42674.19999999997</v>
      </c>
      <c r="AD325" s="10" t="n">
        <v>46296</v>
      </c>
      <c r="AF325" s="9" t="n">
        <v>0</v>
      </c>
      <c r="AH325" s="9" t="n">
        <v>0</v>
      </c>
      <c r="AI325" s="9" t="n">
        <v>4522.200000000019</v>
      </c>
      <c r="AM325" s="10" t="n">
        <v>46296</v>
      </c>
      <c r="AO325" s="9" t="n">
        <v>0</v>
      </c>
      <c r="AQ325" s="9" t="n">
        <v>0</v>
      </c>
      <c r="AR325" s="9" t="n">
        <v>0</v>
      </c>
      <c r="AV325" s="10" t="n">
        <v>46296</v>
      </c>
      <c r="AX325" s="9" t="n">
        <v>0</v>
      </c>
      <c r="AZ325" s="9" t="n">
        <v>0</v>
      </c>
      <c r="BA325" s="9" t="n">
        <v>124.9999999999952</v>
      </c>
      <c r="BE325" s="10" t="n">
        <v>46296</v>
      </c>
      <c r="BG325" s="9" t="n">
        <v>0</v>
      </c>
      <c r="BI325" s="9" t="n">
        <v>0</v>
      </c>
      <c r="BJ325" s="9" t="n">
        <v>26151.9</v>
      </c>
      <c r="BN325" s="10" t="n">
        <v>46296</v>
      </c>
      <c r="BP325" s="9" t="n">
        <v>0</v>
      </c>
      <c r="BR325" s="9" t="n">
        <v>0</v>
      </c>
      <c r="BS325" s="9" t="n">
        <v>0</v>
      </c>
      <c r="BW325" s="10" t="n">
        <v>46296</v>
      </c>
      <c r="BY325" s="9" t="n">
        <v>0</v>
      </c>
      <c r="CA325" s="9" t="n">
        <v>0</v>
      </c>
      <c r="CB325" s="9" t="n">
        <v>2097.339999999999</v>
      </c>
      <c r="CF325" s="10" t="n">
        <v>46296</v>
      </c>
      <c r="CH325" s="9" t="n">
        <v>0</v>
      </c>
      <c r="CJ325" s="9" t="n">
        <v>0</v>
      </c>
      <c r="CK325" s="9" t="n">
        <v>-10277.08</v>
      </c>
      <c r="CO325" s="10" t="n">
        <v>46296</v>
      </c>
      <c r="CQ325" s="9" t="n">
        <v>0</v>
      </c>
      <c r="CS325" s="9" t="n">
        <v>0</v>
      </c>
      <c r="CT325" s="9" t="n">
        <v>0</v>
      </c>
      <c r="CX325" s="10" t="n">
        <v>46296</v>
      </c>
      <c r="CZ325" s="9" t="n">
        <v>0</v>
      </c>
      <c r="DB325" s="9" t="n">
        <v>0</v>
      </c>
      <c r="DC325" s="9" t="n">
        <v>27438.20000000001</v>
      </c>
      <c r="DG325" s="10" t="n">
        <v>46296</v>
      </c>
      <c r="DI325" s="9" t="n">
        <v>0</v>
      </c>
      <c r="DK325" s="9" t="n">
        <v>0</v>
      </c>
      <c r="DL325" s="9" t="n">
        <v>18782.29999999998</v>
      </c>
      <c r="DP325" s="10" t="n">
        <v>46296</v>
      </c>
      <c r="DR325" s="9" t="n">
        <v>0</v>
      </c>
      <c r="DT325" s="9" t="n">
        <v>0</v>
      </c>
      <c r="DU325" s="9" t="n">
        <v>5800</v>
      </c>
      <c r="DY325" s="10" t="n">
        <v>46296</v>
      </c>
      <c r="EA325" s="9" t="n">
        <v>0</v>
      </c>
      <c r="EC325" s="9" t="n">
        <v>0</v>
      </c>
      <c r="ED325" s="9" t="n">
        <v>0</v>
      </c>
      <c r="EH325" s="10" t="n">
        <v>46296</v>
      </c>
      <c r="EJ325" s="9" t="n">
        <v>0</v>
      </c>
      <c r="EL325" s="9" t="n">
        <v>0</v>
      </c>
      <c r="EM325" s="9" t="n">
        <v>0</v>
      </c>
      <c r="EQ325" s="10" t="n">
        <v>46296</v>
      </c>
      <c r="ES325" s="9" t="n">
        <v>0</v>
      </c>
      <c r="EU325" s="9" t="n">
        <v>0</v>
      </c>
      <c r="EV325" s="9" t="n">
        <v>0</v>
      </c>
      <c r="EZ325" s="10" t="n">
        <v>46296</v>
      </c>
      <c r="FB325" s="9" t="n">
        <v>0</v>
      </c>
      <c r="FD325" s="9" t="n">
        <v>0</v>
      </c>
      <c r="FE325" s="9" t="n">
        <v>0</v>
      </c>
      <c r="FI325" s="10" t="n">
        <v>46296</v>
      </c>
      <c r="FK325" s="9" t="n">
        <v>0</v>
      </c>
      <c r="FM325" s="9" t="n">
        <v>0</v>
      </c>
      <c r="FN325" s="9" t="n">
        <v>0</v>
      </c>
      <c r="FR325" s="10" t="n">
        <v>46296</v>
      </c>
      <c r="FT325" s="9" t="n">
        <v>0</v>
      </c>
      <c r="FV325" s="9" t="n">
        <v>0</v>
      </c>
      <c r="FW325" s="9" t="n">
        <v>2020</v>
      </c>
      <c r="GA325" s="10" t="n">
        <v>46296</v>
      </c>
      <c r="GC325" s="9" t="n">
        <v>0</v>
      </c>
      <c r="GE325" s="9" t="n">
        <v>0</v>
      </c>
      <c r="GF325" s="9" t="n">
        <v>960</v>
      </c>
      <c r="GJ325" s="10" t="n">
        <v>46296</v>
      </c>
      <c r="GL325" s="9" t="n">
        <v>0</v>
      </c>
      <c r="GN325" s="9" t="n">
        <v>0</v>
      </c>
      <c r="GO325" s="9" t="n">
        <v>1760</v>
      </c>
      <c r="GS325" s="10" t="n">
        <v>46296</v>
      </c>
      <c r="GU325" s="9" t="n">
        <v>0</v>
      </c>
      <c r="GW325" s="9" t="n">
        <v>0</v>
      </c>
      <c r="GX325" s="9" t="n">
        <v>400</v>
      </c>
      <c r="HB325" s="10" t="n">
        <v>46296</v>
      </c>
      <c r="HD325" s="9" t="n">
        <v>0</v>
      </c>
      <c r="HF325" s="9" t="n">
        <v>0</v>
      </c>
      <c r="HG325" s="9" t="n">
        <v>3600</v>
      </c>
      <c r="HK325" s="10" t="n">
        <v>46296</v>
      </c>
      <c r="HM325" s="9" t="n">
        <v>0</v>
      </c>
      <c r="HO325" s="9" t="n">
        <v>0</v>
      </c>
      <c r="HP325" s="9" t="n">
        <v>0</v>
      </c>
      <c r="HU325" s="10" t="n">
        <v>46296</v>
      </c>
      <c r="HW325" s="9" t="n">
        <v>0</v>
      </c>
      <c r="HY325" s="9" t="n">
        <v>0</v>
      </c>
      <c r="HZ325" s="9" t="n">
        <v>6120</v>
      </c>
      <c r="ID325" s="10" t="n">
        <v>46296</v>
      </c>
      <c r="IF325" s="9" t="n">
        <v>0</v>
      </c>
      <c r="IH325" s="9" t="n">
        <v>0</v>
      </c>
      <c r="II325" s="9" t="n">
        <v>0</v>
      </c>
      <c r="IM325" s="10" t="n">
        <v>46296</v>
      </c>
      <c r="IO325" s="9" t="n">
        <v>0</v>
      </c>
      <c r="IQ325" s="9" t="n">
        <v>0</v>
      </c>
      <c r="IR325" s="9" t="n">
        <v>0</v>
      </c>
      <c r="IV325" s="10" t="n">
        <v>46296</v>
      </c>
      <c r="IX325" s="9" t="n">
        <v>0</v>
      </c>
      <c r="IZ325" s="9" t="n">
        <v>0</v>
      </c>
      <c r="JA325" s="9" t="n">
        <v>2820</v>
      </c>
      <c r="JE325" s="10" t="n">
        <v>46296</v>
      </c>
      <c r="JG325" s="9" t="n">
        <v>0</v>
      </c>
      <c r="JI325" s="9" t="n">
        <v>0</v>
      </c>
      <c r="JJ325" s="9" t="n">
        <v>0</v>
      </c>
      <c r="JN325" s="10" t="n">
        <v>46296</v>
      </c>
      <c r="JP325" s="9" t="n">
        <v>0</v>
      </c>
      <c r="JR325" s="9" t="n">
        <v>0</v>
      </c>
      <c r="JS325" s="9" t="n">
        <v>0</v>
      </c>
      <c r="JW325" s="10" t="n">
        <v>46296</v>
      </c>
      <c r="JY325" s="9" t="n">
        <v>0</v>
      </c>
      <c r="KA325" s="9" t="n">
        <v>0</v>
      </c>
      <c r="KB325" s="9" t="n">
        <v>2540</v>
      </c>
      <c r="KF325" s="10" t="n">
        <v>46296</v>
      </c>
      <c r="KH325" s="9" t="n">
        <v>0</v>
      </c>
      <c r="KJ325" s="9" t="n">
        <v>0</v>
      </c>
      <c r="KK325" s="9" t="n">
        <v>2359.5</v>
      </c>
      <c r="KO325" s="10" t="n">
        <v>46296</v>
      </c>
      <c r="KQ325" s="9" t="n">
        <v>0</v>
      </c>
      <c r="KS325" s="9" t="n">
        <v>0</v>
      </c>
      <c r="KT325" s="9" t="n">
        <v>1890</v>
      </c>
      <c r="KX325" s="10" t="n">
        <v>46296</v>
      </c>
      <c r="KZ325" s="9" t="n">
        <v>0</v>
      </c>
      <c r="LB325" s="9" t="n">
        <v>0</v>
      </c>
      <c r="LC325" s="9" t="n">
        <v>3690</v>
      </c>
      <c r="LG325" s="10" t="n">
        <v>46296</v>
      </c>
      <c r="LI325" s="9" t="n">
        <v>0</v>
      </c>
      <c r="LK325" s="9" t="n">
        <v>0</v>
      </c>
      <c r="LL325" s="9" t="n">
        <v>4000</v>
      </c>
      <c r="LP325" s="10" t="n">
        <v>46296</v>
      </c>
      <c r="LR325" s="9" t="n">
        <v>0</v>
      </c>
      <c r="LT325" s="9" t="n">
        <v>0</v>
      </c>
      <c r="LU325" s="9" t="n">
        <v>0</v>
      </c>
      <c r="LY325" s="10" t="n">
        <v>46296</v>
      </c>
      <c r="MA325" s="9" t="n">
        <v>0</v>
      </c>
      <c r="MC325" s="9" t="n">
        <v>0</v>
      </c>
      <c r="MD325" s="9" t="n">
        <v>0</v>
      </c>
      <c r="MH325" s="10" t="n">
        <v>46296</v>
      </c>
      <c r="MJ325" s="9" t="n">
        <v>0</v>
      </c>
      <c r="ML325" s="9" t="n">
        <v>0</v>
      </c>
      <c r="MM325" s="9" t="n">
        <v>0</v>
      </c>
      <c r="MQ325" s="10" t="n">
        <v>46296</v>
      </c>
      <c r="MS325" s="9" t="n">
        <v>0</v>
      </c>
      <c r="MU325" s="9" t="n">
        <v>0</v>
      </c>
      <c r="MV325" s="9" t="n">
        <v>1625</v>
      </c>
      <c r="MZ325" s="10" t="n">
        <v>46296</v>
      </c>
      <c r="NB325" s="9" t="n">
        <v>0</v>
      </c>
      <c r="ND325" s="9" t="n">
        <v>0</v>
      </c>
      <c r="NE325" s="9" t="n">
        <v>0</v>
      </c>
      <c r="NI325" s="10" t="n">
        <v>46296</v>
      </c>
      <c r="NK325" s="9" t="n">
        <v>0</v>
      </c>
      <c r="NM325" s="9" t="n">
        <v>0</v>
      </c>
      <c r="NN325" s="9" t="n">
        <v>1127</v>
      </c>
      <c r="NR325" s="10" t="n">
        <v>46296</v>
      </c>
      <c r="NT325" s="9" t="n">
        <v>0</v>
      </c>
      <c r="NV325" s="9" t="n">
        <v>0</v>
      </c>
      <c r="NW325" s="9" t="n">
        <v>3112</v>
      </c>
      <c r="OA325" s="10" t="n">
        <v>46296</v>
      </c>
      <c r="OC325" s="9" t="n">
        <v>0</v>
      </c>
      <c r="OE325" s="9" t="n">
        <v>0</v>
      </c>
      <c r="OF325" s="9" t="n">
        <v>1680.5</v>
      </c>
      <c r="OJ325" s="10" t="n">
        <v>46296</v>
      </c>
      <c r="OL325" s="9" t="n">
        <v>0</v>
      </c>
      <c r="ON325" s="9" t="n">
        <v>0</v>
      </c>
      <c r="OO325" s="9" t="n">
        <v>0</v>
      </c>
      <c r="OS325" s="10" t="n">
        <v>46296</v>
      </c>
      <c r="OU325" s="9" t="n">
        <v>0</v>
      </c>
      <c r="OW325" s="9" t="n">
        <v>0</v>
      </c>
      <c r="OX325" s="9" t="n">
        <v>1482</v>
      </c>
      <c r="PB325" s="10" t="n">
        <v>46296</v>
      </c>
      <c r="PD325" s="9" t="n">
        <v>0</v>
      </c>
      <c r="PF325" s="9" t="n">
        <v>0</v>
      </c>
      <c r="PG325" s="9" t="n">
        <v>0</v>
      </c>
      <c r="PK325" s="10" t="n">
        <v>46296</v>
      </c>
      <c r="PM325" s="9" t="n">
        <v>0</v>
      </c>
      <c r="PO325" s="9" t="n">
        <v>0</v>
      </c>
      <c r="PP325" s="9" t="n">
        <v>100</v>
      </c>
      <c r="PT325" s="10" t="n">
        <v>46296</v>
      </c>
      <c r="PV325" s="9" t="n">
        <v>0</v>
      </c>
      <c r="PX325" s="9" t="n">
        <v>0</v>
      </c>
      <c r="PY325" s="9" t="n">
        <v>13.96000000000004</v>
      </c>
      <c r="QC325" s="10" t="n">
        <v>46296</v>
      </c>
      <c r="QE325" s="9" t="n">
        <v>0</v>
      </c>
      <c r="QG325" s="9" t="n">
        <v>0</v>
      </c>
      <c r="QH325" s="9" t="n">
        <v>548</v>
      </c>
      <c r="QL325" s="10" t="n">
        <v>46296</v>
      </c>
      <c r="QN325" s="9" t="n">
        <v>0</v>
      </c>
      <c r="QP325" s="9" t="n">
        <v>0</v>
      </c>
      <c r="QQ325" s="9" t="n">
        <v>0</v>
      </c>
      <c r="QU325" s="10" t="n">
        <v>46296</v>
      </c>
      <c r="QW325" s="9" t="n">
        <v>0</v>
      </c>
      <c r="QY325" s="9" t="n">
        <v>0</v>
      </c>
      <c r="QZ325" s="9" t="n">
        <v>0</v>
      </c>
      <c r="RD325" s="10" t="n">
        <v>46296</v>
      </c>
      <c r="RF325" s="9" t="n">
        <v>0</v>
      </c>
      <c r="RH325" s="9" t="n">
        <v>0</v>
      </c>
      <c r="RI325" s="9" t="n">
        <v>147.04</v>
      </c>
      <c r="RM325" s="10" t="n">
        <v>46296</v>
      </c>
      <c r="RO325" s="9" t="n">
        <v>0</v>
      </c>
      <c r="RQ325" s="9" t="n">
        <v>0</v>
      </c>
      <c r="RR325" s="9" t="n">
        <v>46.8</v>
      </c>
      <c r="RV325" s="10" t="n">
        <v>46296</v>
      </c>
      <c r="RX325" s="9" t="n">
        <v>0</v>
      </c>
      <c r="RZ325" s="9" t="n">
        <v>0</v>
      </c>
      <c r="SA325" s="9" t="n">
        <v>0</v>
      </c>
      <c r="SE325" s="10" t="n">
        <v>46296</v>
      </c>
      <c r="SG325" s="9" t="n">
        <v>0</v>
      </c>
      <c r="SI325" s="9" t="n">
        <v>0</v>
      </c>
      <c r="SJ325" s="9" t="n">
        <v>24.2</v>
      </c>
      <c r="SN325" s="10" t="n">
        <v>46296</v>
      </c>
      <c r="SP325" s="9" t="n">
        <v>0</v>
      </c>
      <c r="SR325" s="9" t="n">
        <v>0</v>
      </c>
      <c r="SS325" s="9" t="n">
        <v>32</v>
      </c>
      <c r="SW325" s="10" t="n">
        <v>46296</v>
      </c>
      <c r="SY325" s="9" t="n">
        <v>0</v>
      </c>
      <c r="TA325" s="9" t="n">
        <v>0</v>
      </c>
      <c r="TB325" s="9" t="n">
        <v>0</v>
      </c>
      <c r="TF325" s="10" t="n">
        <v>46296</v>
      </c>
      <c r="TH325" s="9" t="n">
        <v>0</v>
      </c>
      <c r="TJ325" s="9" t="n">
        <v>0</v>
      </c>
      <c r="TK325" s="9" t="n">
        <v>0</v>
      </c>
      <c r="TO325" s="10" t="n">
        <v>46296</v>
      </c>
      <c r="TQ325" s="9" t="n">
        <v>0</v>
      </c>
      <c r="TS325" s="9" t="n">
        <v>0</v>
      </c>
      <c r="TT325" s="9" t="n">
        <v>0</v>
      </c>
      <c r="TX325" s="10" t="n">
        <v>46296</v>
      </c>
      <c r="TZ325" s="9" t="n">
        <v>0</v>
      </c>
      <c r="UB325" s="9" t="n">
        <v>0</v>
      </c>
      <c r="UC325" s="9" t="n">
        <v>46.79999999999998</v>
      </c>
      <c r="UG325" s="10" t="n">
        <v>46296</v>
      </c>
      <c r="UI325" s="9" t="n">
        <v>0</v>
      </c>
      <c r="UK325" s="9" t="n">
        <v>0</v>
      </c>
      <c r="UL325" s="9" t="n">
        <v>204</v>
      </c>
      <c r="UP325" s="10" t="n">
        <v>46296</v>
      </c>
      <c r="UR325" s="9" t="n">
        <v>0</v>
      </c>
      <c r="UT325" s="9" t="n">
        <v>0</v>
      </c>
      <c r="UU325" s="9" t="n">
        <v>202.5</v>
      </c>
      <c r="UY325" s="10" t="n">
        <v>46296</v>
      </c>
      <c r="VA325" s="9" t="n">
        <v>0</v>
      </c>
      <c r="VC325" s="9" t="n">
        <v>0</v>
      </c>
      <c r="VD325" s="9" t="n">
        <v>41.60000000000002</v>
      </c>
      <c r="VH325" s="10" t="n">
        <v>46296</v>
      </c>
      <c r="VJ325" s="9" t="n">
        <v>0</v>
      </c>
      <c r="VL325" s="9" t="n">
        <v>0</v>
      </c>
      <c r="VM325" s="9" t="n">
        <v>210</v>
      </c>
      <c r="VQ325" s="10" t="n">
        <v>46296</v>
      </c>
      <c r="VS325" s="9" t="n">
        <v>0</v>
      </c>
      <c r="VU325" s="9" t="n">
        <v>0</v>
      </c>
      <c r="VV325" s="9" t="n">
        <v>0</v>
      </c>
      <c r="VZ325" s="10" t="n">
        <v>46296</v>
      </c>
      <c r="WB325" s="9" t="n">
        <v>0</v>
      </c>
      <c r="WD325" s="9" t="n">
        <v>0</v>
      </c>
      <c r="WE325" s="9" t="n">
        <v>0</v>
      </c>
      <c r="WI325" s="10" t="n">
        <v>46296</v>
      </c>
      <c r="WK325" s="9" t="n">
        <v>0</v>
      </c>
      <c r="WM325" s="9" t="n">
        <v>0</v>
      </c>
      <c r="WN325" s="9" t="n">
        <v>1057</v>
      </c>
      <c r="WR325" s="10" t="n">
        <v>46296</v>
      </c>
      <c r="WT325" s="9" t="n">
        <v>0</v>
      </c>
      <c r="WV325" s="9" t="n">
        <v>0</v>
      </c>
      <c r="WW325" s="9" t="n">
        <v>0</v>
      </c>
      <c r="XA325" s="10" t="n">
        <v>46296</v>
      </c>
      <c r="XC325" s="9" t="n">
        <v>0</v>
      </c>
      <c r="XE325" s="9" t="n">
        <v>0</v>
      </c>
      <c r="XF325" s="9" t="n">
        <v>7507</v>
      </c>
      <c r="XJ325" s="10" t="n">
        <v>46296</v>
      </c>
      <c r="XL325" s="9" t="n">
        <v>0</v>
      </c>
      <c r="XN325" s="9" t="n">
        <v>0</v>
      </c>
      <c r="XO325" s="9" t="n">
        <v>4252</v>
      </c>
      <c r="XS325" s="10" t="n">
        <v>46296</v>
      </c>
      <c r="XU325" s="9" t="n">
        <v>0</v>
      </c>
      <c r="XW325" s="9" t="n">
        <v>0</v>
      </c>
      <c r="XX325" s="9" t="n">
        <v>2179</v>
      </c>
      <c r="YB325" s="10" t="n">
        <v>46296</v>
      </c>
      <c r="YD325" s="9" t="n">
        <v>0</v>
      </c>
      <c r="YF325" s="9" t="n">
        <v>0</v>
      </c>
      <c r="YG325" s="9" t="n">
        <v>4019</v>
      </c>
      <c r="YK325" s="10" t="n">
        <v>46296</v>
      </c>
      <c r="YM325" s="9" t="n">
        <v>0</v>
      </c>
      <c r="YO325" s="9" t="n">
        <v>0</v>
      </c>
      <c r="YP325" s="9" t="n">
        <v>-218</v>
      </c>
      <c r="YT325" s="10" t="n">
        <v>46296</v>
      </c>
      <c r="YV325" s="9" t="n">
        <v>0</v>
      </c>
      <c r="YX325" s="9" t="n">
        <v>0</v>
      </c>
      <c r="YY325" s="9" t="n">
        <v>0</v>
      </c>
      <c r="ZC325" s="10" t="n">
        <v>46296</v>
      </c>
      <c r="ZE325" s="9" t="n">
        <v>0</v>
      </c>
      <c r="ZG325" s="9" t="n">
        <v>0</v>
      </c>
      <c r="ZH325" s="9" t="n">
        <v>0</v>
      </c>
      <c r="ZL325" s="10" t="n">
        <v>46296</v>
      </c>
      <c r="ZN325" s="9" t="n">
        <v>0</v>
      </c>
      <c r="ZP325" s="9" t="n">
        <v>0</v>
      </c>
      <c r="ZQ325" s="9" t="n">
        <v>0</v>
      </c>
      <c r="ZU325" s="10" t="n">
        <v>46296</v>
      </c>
      <c r="ZW325" s="9" t="n">
        <v>0</v>
      </c>
      <c r="ZY325" s="9" t="n">
        <v>0</v>
      </c>
      <c r="ZZ325" s="9" t="n">
        <v>0</v>
      </c>
      <c r="AAD325" s="10" t="n">
        <v>46296</v>
      </c>
      <c r="AAF325" s="9" t="n">
        <v>0</v>
      </c>
      <c r="AAH325" s="9" t="n">
        <v>0</v>
      </c>
      <c r="AAI325" s="9" t="n">
        <v>0</v>
      </c>
      <c r="AAM325" s="10" t="n">
        <v>46296</v>
      </c>
      <c r="AAO325" s="9" t="n">
        <v>0</v>
      </c>
      <c r="AAQ325" s="9" t="n">
        <v>0</v>
      </c>
      <c r="AAR325" s="9" t="n">
        <v>0</v>
      </c>
      <c r="AAV325" s="10" t="n">
        <v>46296</v>
      </c>
      <c r="AAX325" s="9" t="n">
        <v>0</v>
      </c>
      <c r="AAZ325" s="9" t="n">
        <v>0</v>
      </c>
      <c r="ABA325" s="9" t="n">
        <v>0</v>
      </c>
      <c r="ABE325" s="10" t="n">
        <v>46296</v>
      </c>
      <c r="ABG325" s="9" t="n">
        <v>0</v>
      </c>
      <c r="ABI325" s="9" t="n">
        <v>0</v>
      </c>
      <c r="ABJ325" s="9" t="n">
        <v>0</v>
      </c>
    </row>
    <row r="326">
      <c r="C326" s="10" t="n">
        <v>46297</v>
      </c>
      <c r="E326" s="9" t="n">
        <v>0</v>
      </c>
      <c r="G326" s="9" t="n">
        <v>0</v>
      </c>
      <c r="H326" s="9" t="n">
        <v>236936.6</v>
      </c>
      <c r="L326" s="10" t="n">
        <v>46297</v>
      </c>
      <c r="N326" s="9" t="n">
        <v>0</v>
      </c>
      <c r="P326" s="9" t="n">
        <v>0</v>
      </c>
      <c r="Q326" s="9" t="n">
        <v>53017.60000000007</v>
      </c>
      <c r="U326" s="10" t="n">
        <v>46297</v>
      </c>
      <c r="W326" s="9" t="n">
        <v>0</v>
      </c>
      <c r="Y326" s="9" t="n">
        <v>0</v>
      </c>
      <c r="Z326" s="9" t="n">
        <v>42674.19999999997</v>
      </c>
      <c r="AD326" s="10" t="n">
        <v>46297</v>
      </c>
      <c r="AF326" s="9" t="n">
        <v>0</v>
      </c>
      <c r="AH326" s="9" t="n">
        <v>0</v>
      </c>
      <c r="AI326" s="9" t="n">
        <v>4522.200000000019</v>
      </c>
      <c r="AM326" s="10" t="n">
        <v>46297</v>
      </c>
      <c r="AO326" s="9" t="n">
        <v>0</v>
      </c>
      <c r="AQ326" s="9" t="n">
        <v>0</v>
      </c>
      <c r="AR326" s="9" t="n">
        <v>0</v>
      </c>
      <c r="AV326" s="10" t="n">
        <v>46297</v>
      </c>
      <c r="AX326" s="9" t="n">
        <v>0</v>
      </c>
      <c r="AZ326" s="9" t="n">
        <v>0</v>
      </c>
      <c r="BA326" s="9" t="n">
        <v>124.9999999999952</v>
      </c>
      <c r="BE326" s="10" t="n">
        <v>46297</v>
      </c>
      <c r="BG326" s="9" t="n">
        <v>0</v>
      </c>
      <c r="BI326" s="9" t="n">
        <v>0</v>
      </c>
      <c r="BJ326" s="9" t="n">
        <v>26151.9</v>
      </c>
      <c r="BN326" s="10" t="n">
        <v>46297</v>
      </c>
      <c r="BP326" s="9" t="n">
        <v>0</v>
      </c>
      <c r="BR326" s="9" t="n">
        <v>0</v>
      </c>
      <c r="BS326" s="9" t="n">
        <v>0</v>
      </c>
      <c r="BW326" s="10" t="n">
        <v>46297</v>
      </c>
      <c r="BY326" s="9" t="n">
        <v>0</v>
      </c>
      <c r="CA326" s="9" t="n">
        <v>0</v>
      </c>
      <c r="CB326" s="9" t="n">
        <v>2097.339999999999</v>
      </c>
      <c r="CF326" s="10" t="n">
        <v>46297</v>
      </c>
      <c r="CH326" s="9" t="n">
        <v>0</v>
      </c>
      <c r="CJ326" s="9" t="n">
        <v>0</v>
      </c>
      <c r="CK326" s="9" t="n">
        <v>-10277.08</v>
      </c>
      <c r="CO326" s="10" t="n">
        <v>46297</v>
      </c>
      <c r="CQ326" s="9" t="n">
        <v>0</v>
      </c>
      <c r="CS326" s="9" t="n">
        <v>0</v>
      </c>
      <c r="CT326" s="9" t="n">
        <v>0</v>
      </c>
      <c r="CX326" s="10" t="n">
        <v>46297</v>
      </c>
      <c r="CZ326" s="9" t="n">
        <v>0</v>
      </c>
      <c r="DB326" s="9" t="n">
        <v>0</v>
      </c>
      <c r="DC326" s="9" t="n">
        <v>27438.20000000001</v>
      </c>
      <c r="DG326" s="10" t="n">
        <v>46297</v>
      </c>
      <c r="DI326" s="9" t="n">
        <v>0</v>
      </c>
      <c r="DK326" s="9" t="n">
        <v>0</v>
      </c>
      <c r="DL326" s="9" t="n">
        <v>18782.29999999998</v>
      </c>
      <c r="DP326" s="10" t="n">
        <v>46297</v>
      </c>
      <c r="DR326" s="9" t="n">
        <v>0</v>
      </c>
      <c r="DT326" s="9" t="n">
        <v>0</v>
      </c>
      <c r="DU326" s="9" t="n">
        <v>5800</v>
      </c>
      <c r="DY326" s="10" t="n">
        <v>46297</v>
      </c>
      <c r="EA326" s="9" t="n">
        <v>0</v>
      </c>
      <c r="EC326" s="9" t="n">
        <v>0</v>
      </c>
      <c r="ED326" s="9" t="n">
        <v>0</v>
      </c>
      <c r="EH326" s="10" t="n">
        <v>46297</v>
      </c>
      <c r="EJ326" s="9" t="n">
        <v>0</v>
      </c>
      <c r="EL326" s="9" t="n">
        <v>0</v>
      </c>
      <c r="EM326" s="9" t="n">
        <v>0</v>
      </c>
      <c r="EQ326" s="10" t="n">
        <v>46297</v>
      </c>
      <c r="ES326" s="9" t="n">
        <v>0</v>
      </c>
      <c r="EU326" s="9" t="n">
        <v>0</v>
      </c>
      <c r="EV326" s="9" t="n">
        <v>0</v>
      </c>
      <c r="EZ326" s="10" t="n">
        <v>46297</v>
      </c>
      <c r="FB326" s="9" t="n">
        <v>0</v>
      </c>
      <c r="FD326" s="9" t="n">
        <v>0</v>
      </c>
      <c r="FE326" s="9" t="n">
        <v>0</v>
      </c>
      <c r="FI326" s="10" t="n">
        <v>46297</v>
      </c>
      <c r="FK326" s="9" t="n">
        <v>0</v>
      </c>
      <c r="FM326" s="9" t="n">
        <v>0</v>
      </c>
      <c r="FN326" s="9" t="n">
        <v>0</v>
      </c>
      <c r="FR326" s="10" t="n">
        <v>46297</v>
      </c>
      <c r="FT326" s="9" t="n">
        <v>0</v>
      </c>
      <c r="FV326" s="9" t="n">
        <v>0</v>
      </c>
      <c r="FW326" s="9" t="n">
        <v>2020</v>
      </c>
      <c r="GA326" s="10" t="n">
        <v>46297</v>
      </c>
      <c r="GC326" s="9" t="n">
        <v>0</v>
      </c>
      <c r="GE326" s="9" t="n">
        <v>0</v>
      </c>
      <c r="GF326" s="9" t="n">
        <v>960</v>
      </c>
      <c r="GJ326" s="10" t="n">
        <v>46297</v>
      </c>
      <c r="GL326" s="9" t="n">
        <v>0</v>
      </c>
      <c r="GN326" s="9" t="n">
        <v>0</v>
      </c>
      <c r="GO326" s="9" t="n">
        <v>1760</v>
      </c>
      <c r="GS326" s="10" t="n">
        <v>46297</v>
      </c>
      <c r="GU326" s="9" t="n">
        <v>0</v>
      </c>
      <c r="GW326" s="9" t="n">
        <v>0</v>
      </c>
      <c r="GX326" s="9" t="n">
        <v>400</v>
      </c>
      <c r="HB326" s="10" t="n">
        <v>46297</v>
      </c>
      <c r="HD326" s="9" t="n">
        <v>0</v>
      </c>
      <c r="HF326" s="9" t="n">
        <v>0</v>
      </c>
      <c r="HG326" s="9" t="n">
        <v>3600</v>
      </c>
      <c r="HK326" s="10" t="n">
        <v>46297</v>
      </c>
      <c r="HM326" s="9" t="n">
        <v>0</v>
      </c>
      <c r="HO326" s="9" t="n">
        <v>0</v>
      </c>
      <c r="HP326" s="9" t="n">
        <v>0</v>
      </c>
      <c r="HU326" s="10" t="n">
        <v>46297</v>
      </c>
      <c r="HW326" s="9" t="n">
        <v>0</v>
      </c>
      <c r="HY326" s="9" t="n">
        <v>0</v>
      </c>
      <c r="HZ326" s="9" t="n">
        <v>6120</v>
      </c>
      <c r="ID326" s="10" t="n">
        <v>46297</v>
      </c>
      <c r="IF326" s="9" t="n">
        <v>0</v>
      </c>
      <c r="IH326" s="9" t="n">
        <v>0</v>
      </c>
      <c r="II326" s="9" t="n">
        <v>0</v>
      </c>
      <c r="IM326" s="10" t="n">
        <v>46297</v>
      </c>
      <c r="IO326" s="9" t="n">
        <v>0</v>
      </c>
      <c r="IQ326" s="9" t="n">
        <v>0</v>
      </c>
      <c r="IR326" s="9" t="n">
        <v>0</v>
      </c>
      <c r="IV326" s="10" t="n">
        <v>46297</v>
      </c>
      <c r="IX326" s="9" t="n">
        <v>0</v>
      </c>
      <c r="IZ326" s="9" t="n">
        <v>0</v>
      </c>
      <c r="JA326" s="9" t="n">
        <v>2820</v>
      </c>
      <c r="JE326" s="10" t="n">
        <v>46297</v>
      </c>
      <c r="JG326" s="9" t="n">
        <v>0</v>
      </c>
      <c r="JI326" s="9" t="n">
        <v>0</v>
      </c>
      <c r="JJ326" s="9" t="n">
        <v>0</v>
      </c>
      <c r="JN326" s="10" t="n">
        <v>46297</v>
      </c>
      <c r="JP326" s="9" t="n">
        <v>0</v>
      </c>
      <c r="JR326" s="9" t="n">
        <v>0</v>
      </c>
      <c r="JS326" s="9" t="n">
        <v>0</v>
      </c>
      <c r="JW326" s="10" t="n">
        <v>46297</v>
      </c>
      <c r="JY326" s="9" t="n">
        <v>0</v>
      </c>
      <c r="KA326" s="9" t="n">
        <v>0</v>
      </c>
      <c r="KB326" s="9" t="n">
        <v>2540</v>
      </c>
      <c r="KF326" s="10" t="n">
        <v>46297</v>
      </c>
      <c r="KH326" s="9" t="n">
        <v>0</v>
      </c>
      <c r="KJ326" s="9" t="n">
        <v>0</v>
      </c>
      <c r="KK326" s="9" t="n">
        <v>2359.5</v>
      </c>
      <c r="KO326" s="10" t="n">
        <v>46297</v>
      </c>
      <c r="KQ326" s="9" t="n">
        <v>0</v>
      </c>
      <c r="KS326" s="9" t="n">
        <v>0</v>
      </c>
      <c r="KT326" s="9" t="n">
        <v>1890</v>
      </c>
      <c r="KX326" s="10" t="n">
        <v>46297</v>
      </c>
      <c r="KZ326" s="9" t="n">
        <v>0</v>
      </c>
      <c r="LB326" s="9" t="n">
        <v>0</v>
      </c>
      <c r="LC326" s="9" t="n">
        <v>3690</v>
      </c>
      <c r="LG326" s="10" t="n">
        <v>46297</v>
      </c>
      <c r="LI326" s="9" t="n">
        <v>0</v>
      </c>
      <c r="LK326" s="9" t="n">
        <v>0</v>
      </c>
      <c r="LL326" s="9" t="n">
        <v>4000</v>
      </c>
      <c r="LP326" s="10" t="n">
        <v>46297</v>
      </c>
      <c r="LR326" s="9" t="n">
        <v>0</v>
      </c>
      <c r="LT326" s="9" t="n">
        <v>0</v>
      </c>
      <c r="LU326" s="9" t="n">
        <v>0</v>
      </c>
      <c r="LY326" s="10" t="n">
        <v>46297</v>
      </c>
      <c r="MA326" s="9" t="n">
        <v>0</v>
      </c>
      <c r="MC326" s="9" t="n">
        <v>0</v>
      </c>
      <c r="MD326" s="9" t="n">
        <v>0</v>
      </c>
      <c r="MH326" s="10" t="n">
        <v>46297</v>
      </c>
      <c r="MJ326" s="9" t="n">
        <v>0</v>
      </c>
      <c r="ML326" s="9" t="n">
        <v>0</v>
      </c>
      <c r="MM326" s="9" t="n">
        <v>0</v>
      </c>
      <c r="MQ326" s="10" t="n">
        <v>46297</v>
      </c>
      <c r="MS326" s="9" t="n">
        <v>0</v>
      </c>
      <c r="MU326" s="9" t="n">
        <v>0</v>
      </c>
      <c r="MV326" s="9" t="n">
        <v>1625</v>
      </c>
      <c r="MZ326" s="10" t="n">
        <v>46297</v>
      </c>
      <c r="NB326" s="9" t="n">
        <v>0</v>
      </c>
      <c r="ND326" s="9" t="n">
        <v>0</v>
      </c>
      <c r="NE326" s="9" t="n">
        <v>0</v>
      </c>
      <c r="NI326" s="10" t="n">
        <v>46297</v>
      </c>
      <c r="NK326" s="9" t="n">
        <v>0</v>
      </c>
      <c r="NM326" s="9" t="n">
        <v>0</v>
      </c>
      <c r="NN326" s="9" t="n">
        <v>1127</v>
      </c>
      <c r="NR326" s="10" t="n">
        <v>46297</v>
      </c>
      <c r="NT326" s="9" t="n">
        <v>0</v>
      </c>
      <c r="NV326" s="9" t="n">
        <v>0</v>
      </c>
      <c r="NW326" s="9" t="n">
        <v>3112</v>
      </c>
      <c r="OA326" s="10" t="n">
        <v>46297</v>
      </c>
      <c r="OC326" s="9" t="n">
        <v>0</v>
      </c>
      <c r="OE326" s="9" t="n">
        <v>0</v>
      </c>
      <c r="OF326" s="9" t="n">
        <v>1680.5</v>
      </c>
      <c r="OJ326" s="10" t="n">
        <v>46297</v>
      </c>
      <c r="OL326" s="9" t="n">
        <v>0</v>
      </c>
      <c r="ON326" s="9" t="n">
        <v>0</v>
      </c>
      <c r="OO326" s="9" t="n">
        <v>0</v>
      </c>
      <c r="OS326" s="10" t="n">
        <v>46297</v>
      </c>
      <c r="OU326" s="9" t="n">
        <v>0</v>
      </c>
      <c r="OW326" s="9" t="n">
        <v>0</v>
      </c>
      <c r="OX326" s="9" t="n">
        <v>1482</v>
      </c>
      <c r="PB326" s="10" t="n">
        <v>46297</v>
      </c>
      <c r="PD326" s="9" t="n">
        <v>0</v>
      </c>
      <c r="PF326" s="9" t="n">
        <v>0</v>
      </c>
      <c r="PG326" s="9" t="n">
        <v>0</v>
      </c>
      <c r="PK326" s="10" t="n">
        <v>46297</v>
      </c>
      <c r="PM326" s="9" t="n">
        <v>0</v>
      </c>
      <c r="PO326" s="9" t="n">
        <v>0</v>
      </c>
      <c r="PP326" s="9" t="n">
        <v>100</v>
      </c>
      <c r="PT326" s="10" t="n">
        <v>46297</v>
      </c>
      <c r="PV326" s="9" t="n">
        <v>0</v>
      </c>
      <c r="PX326" s="9" t="n">
        <v>0</v>
      </c>
      <c r="PY326" s="9" t="n">
        <v>13.96000000000004</v>
      </c>
      <c r="QC326" s="10" t="n">
        <v>46297</v>
      </c>
      <c r="QE326" s="9" t="n">
        <v>0</v>
      </c>
      <c r="QG326" s="9" t="n">
        <v>0</v>
      </c>
      <c r="QH326" s="9" t="n">
        <v>548</v>
      </c>
      <c r="QL326" s="10" t="n">
        <v>46297</v>
      </c>
      <c r="QN326" s="9" t="n">
        <v>0</v>
      </c>
      <c r="QP326" s="9" t="n">
        <v>0</v>
      </c>
      <c r="QQ326" s="9" t="n">
        <v>0</v>
      </c>
      <c r="QU326" s="10" t="n">
        <v>46297</v>
      </c>
      <c r="QW326" s="9" t="n">
        <v>0</v>
      </c>
      <c r="QY326" s="9" t="n">
        <v>0</v>
      </c>
      <c r="QZ326" s="9" t="n">
        <v>0</v>
      </c>
      <c r="RD326" s="10" t="n">
        <v>46297</v>
      </c>
      <c r="RF326" s="9" t="n">
        <v>0</v>
      </c>
      <c r="RH326" s="9" t="n">
        <v>0</v>
      </c>
      <c r="RI326" s="9" t="n">
        <v>147.04</v>
      </c>
      <c r="RM326" s="10" t="n">
        <v>46297</v>
      </c>
      <c r="RO326" s="9" t="n">
        <v>0</v>
      </c>
      <c r="RQ326" s="9" t="n">
        <v>0</v>
      </c>
      <c r="RR326" s="9" t="n">
        <v>46.8</v>
      </c>
      <c r="RV326" s="10" t="n">
        <v>46297</v>
      </c>
      <c r="RX326" s="9" t="n">
        <v>0</v>
      </c>
      <c r="RZ326" s="9" t="n">
        <v>0</v>
      </c>
      <c r="SA326" s="9" t="n">
        <v>0</v>
      </c>
      <c r="SE326" s="10" t="n">
        <v>46297</v>
      </c>
      <c r="SG326" s="9" t="n">
        <v>0</v>
      </c>
      <c r="SI326" s="9" t="n">
        <v>0</v>
      </c>
      <c r="SJ326" s="9" t="n">
        <v>24.2</v>
      </c>
      <c r="SN326" s="10" t="n">
        <v>46297</v>
      </c>
      <c r="SP326" s="9" t="n">
        <v>0</v>
      </c>
      <c r="SR326" s="9" t="n">
        <v>0</v>
      </c>
      <c r="SS326" s="9" t="n">
        <v>32</v>
      </c>
      <c r="SW326" s="10" t="n">
        <v>46297</v>
      </c>
      <c r="SY326" s="9" t="n">
        <v>0</v>
      </c>
      <c r="TA326" s="9" t="n">
        <v>0</v>
      </c>
      <c r="TB326" s="9" t="n">
        <v>0</v>
      </c>
      <c r="TF326" s="10" t="n">
        <v>46297</v>
      </c>
      <c r="TH326" s="9" t="n">
        <v>0</v>
      </c>
      <c r="TJ326" s="9" t="n">
        <v>0</v>
      </c>
      <c r="TK326" s="9" t="n">
        <v>0</v>
      </c>
      <c r="TO326" s="10" t="n">
        <v>46297</v>
      </c>
      <c r="TQ326" s="9" t="n">
        <v>0</v>
      </c>
      <c r="TS326" s="9" t="n">
        <v>0</v>
      </c>
      <c r="TT326" s="9" t="n">
        <v>0</v>
      </c>
      <c r="TX326" s="10" t="n">
        <v>46297</v>
      </c>
      <c r="TZ326" s="9" t="n">
        <v>0</v>
      </c>
      <c r="UB326" s="9" t="n">
        <v>0</v>
      </c>
      <c r="UC326" s="9" t="n">
        <v>46.79999999999998</v>
      </c>
      <c r="UG326" s="10" t="n">
        <v>46297</v>
      </c>
      <c r="UI326" s="9" t="n">
        <v>0</v>
      </c>
      <c r="UK326" s="9" t="n">
        <v>0</v>
      </c>
      <c r="UL326" s="9" t="n">
        <v>204</v>
      </c>
      <c r="UP326" s="10" t="n">
        <v>46297</v>
      </c>
      <c r="UR326" s="9" t="n">
        <v>0</v>
      </c>
      <c r="UT326" s="9" t="n">
        <v>0</v>
      </c>
      <c r="UU326" s="9" t="n">
        <v>202.5</v>
      </c>
      <c r="UY326" s="10" t="n">
        <v>46297</v>
      </c>
      <c r="VA326" s="9" t="n">
        <v>0</v>
      </c>
      <c r="VC326" s="9" t="n">
        <v>0</v>
      </c>
      <c r="VD326" s="9" t="n">
        <v>41.60000000000002</v>
      </c>
      <c r="VH326" s="10" t="n">
        <v>46297</v>
      </c>
      <c r="VJ326" s="9" t="n">
        <v>0</v>
      </c>
      <c r="VL326" s="9" t="n">
        <v>0</v>
      </c>
      <c r="VM326" s="9" t="n">
        <v>210</v>
      </c>
      <c r="VQ326" s="10" t="n">
        <v>46297</v>
      </c>
      <c r="VS326" s="9" t="n">
        <v>0</v>
      </c>
      <c r="VU326" s="9" t="n">
        <v>0</v>
      </c>
      <c r="VV326" s="9" t="n">
        <v>0</v>
      </c>
      <c r="VZ326" s="10" t="n">
        <v>46297</v>
      </c>
      <c r="WB326" s="9" t="n">
        <v>0</v>
      </c>
      <c r="WD326" s="9" t="n">
        <v>0</v>
      </c>
      <c r="WE326" s="9" t="n">
        <v>0</v>
      </c>
      <c r="WI326" s="10" t="n">
        <v>46297</v>
      </c>
      <c r="WK326" s="9" t="n">
        <v>0</v>
      </c>
      <c r="WM326" s="9" t="n">
        <v>0</v>
      </c>
      <c r="WN326" s="9" t="n">
        <v>1057</v>
      </c>
      <c r="WR326" s="10" t="n">
        <v>46297</v>
      </c>
      <c r="WT326" s="9" t="n">
        <v>0</v>
      </c>
      <c r="WV326" s="9" t="n">
        <v>0</v>
      </c>
      <c r="WW326" s="9" t="n">
        <v>0</v>
      </c>
      <c r="XA326" s="10" t="n">
        <v>46297</v>
      </c>
      <c r="XC326" s="9" t="n">
        <v>0</v>
      </c>
      <c r="XE326" s="9" t="n">
        <v>0</v>
      </c>
      <c r="XF326" s="9" t="n">
        <v>7507</v>
      </c>
      <c r="XJ326" s="10" t="n">
        <v>46297</v>
      </c>
      <c r="XL326" s="9" t="n">
        <v>0</v>
      </c>
      <c r="XN326" s="9" t="n">
        <v>0</v>
      </c>
      <c r="XO326" s="9" t="n">
        <v>4252</v>
      </c>
      <c r="XS326" s="10" t="n">
        <v>46297</v>
      </c>
      <c r="XU326" s="9" t="n">
        <v>0</v>
      </c>
      <c r="XW326" s="9" t="n">
        <v>0</v>
      </c>
      <c r="XX326" s="9" t="n">
        <v>2179</v>
      </c>
      <c r="YB326" s="10" t="n">
        <v>46297</v>
      </c>
      <c r="YD326" s="9" t="n">
        <v>0</v>
      </c>
      <c r="YF326" s="9" t="n">
        <v>0</v>
      </c>
      <c r="YG326" s="9" t="n">
        <v>4019</v>
      </c>
      <c r="YK326" s="10" t="n">
        <v>46297</v>
      </c>
      <c r="YM326" s="9" t="n">
        <v>0</v>
      </c>
      <c r="YO326" s="9" t="n">
        <v>0</v>
      </c>
      <c r="YP326" s="9" t="n">
        <v>-218</v>
      </c>
      <c r="YT326" s="10" t="n">
        <v>46297</v>
      </c>
      <c r="YV326" s="9" t="n">
        <v>0</v>
      </c>
      <c r="YX326" s="9" t="n">
        <v>0</v>
      </c>
      <c r="YY326" s="9" t="n">
        <v>0</v>
      </c>
      <c r="ZC326" s="10" t="n">
        <v>46297</v>
      </c>
      <c r="ZE326" s="9" t="n">
        <v>0</v>
      </c>
      <c r="ZG326" s="9" t="n">
        <v>0</v>
      </c>
      <c r="ZH326" s="9" t="n">
        <v>0</v>
      </c>
      <c r="ZL326" s="10" t="n">
        <v>46297</v>
      </c>
      <c r="ZN326" s="9" t="n">
        <v>0</v>
      </c>
      <c r="ZP326" s="9" t="n">
        <v>0</v>
      </c>
      <c r="ZQ326" s="9" t="n">
        <v>0</v>
      </c>
      <c r="ZU326" s="10" t="n">
        <v>46297</v>
      </c>
      <c r="ZW326" s="9" t="n">
        <v>0</v>
      </c>
      <c r="ZY326" s="9" t="n">
        <v>0</v>
      </c>
      <c r="ZZ326" s="9" t="n">
        <v>0</v>
      </c>
      <c r="AAD326" s="10" t="n">
        <v>46297</v>
      </c>
      <c r="AAF326" s="9" t="n">
        <v>0</v>
      </c>
      <c r="AAH326" s="9" t="n">
        <v>0</v>
      </c>
      <c r="AAI326" s="9" t="n">
        <v>0</v>
      </c>
      <c r="AAM326" s="10" t="n">
        <v>46297</v>
      </c>
      <c r="AAO326" s="9" t="n">
        <v>0</v>
      </c>
      <c r="AAQ326" s="9" t="n">
        <v>0</v>
      </c>
      <c r="AAR326" s="9" t="n">
        <v>0</v>
      </c>
      <c r="AAV326" s="10" t="n">
        <v>46297</v>
      </c>
      <c r="AAX326" s="9" t="n">
        <v>0</v>
      </c>
      <c r="AAZ326" s="9" t="n">
        <v>0</v>
      </c>
      <c r="ABA326" s="9" t="n">
        <v>0</v>
      </c>
      <c r="ABE326" s="10" t="n">
        <v>46297</v>
      </c>
      <c r="ABG326" s="9" t="n">
        <v>0</v>
      </c>
      <c r="ABI326" s="9" t="n">
        <v>0</v>
      </c>
      <c r="ABJ326" s="9" t="n">
        <v>0</v>
      </c>
    </row>
    <row r="327">
      <c r="C327" s="10" t="n">
        <v>46298</v>
      </c>
      <c r="E327" s="9" t="n">
        <v>0</v>
      </c>
      <c r="G327" s="9" t="n">
        <v>0</v>
      </c>
      <c r="H327" s="9" t="n">
        <v>236936.6</v>
      </c>
      <c r="L327" s="10" t="n">
        <v>46298</v>
      </c>
      <c r="N327" s="9" t="n">
        <v>0</v>
      </c>
      <c r="P327" s="9" t="n">
        <v>0</v>
      </c>
      <c r="Q327" s="9" t="n">
        <v>53017.60000000007</v>
      </c>
      <c r="U327" s="10" t="n">
        <v>46298</v>
      </c>
      <c r="W327" s="9" t="n">
        <v>0</v>
      </c>
      <c r="Y327" s="9" t="n">
        <v>0</v>
      </c>
      <c r="Z327" s="9" t="n">
        <v>42674.19999999997</v>
      </c>
      <c r="AD327" s="10" t="n">
        <v>46298</v>
      </c>
      <c r="AF327" s="9" t="n">
        <v>0</v>
      </c>
      <c r="AH327" s="9" t="n">
        <v>0</v>
      </c>
      <c r="AI327" s="9" t="n">
        <v>4522.200000000019</v>
      </c>
      <c r="AM327" s="10" t="n">
        <v>46298</v>
      </c>
      <c r="AO327" s="9" t="n">
        <v>0</v>
      </c>
      <c r="AQ327" s="9" t="n">
        <v>0</v>
      </c>
      <c r="AR327" s="9" t="n">
        <v>0</v>
      </c>
      <c r="AV327" s="10" t="n">
        <v>46298</v>
      </c>
      <c r="AX327" s="9" t="n">
        <v>0</v>
      </c>
      <c r="AZ327" s="9" t="n">
        <v>0</v>
      </c>
      <c r="BA327" s="9" t="n">
        <v>124.9999999999952</v>
      </c>
      <c r="BE327" s="10" t="n">
        <v>46298</v>
      </c>
      <c r="BG327" s="9" t="n">
        <v>0</v>
      </c>
      <c r="BI327" s="9" t="n">
        <v>0</v>
      </c>
      <c r="BJ327" s="9" t="n">
        <v>26151.9</v>
      </c>
      <c r="BN327" s="10" t="n">
        <v>46298</v>
      </c>
      <c r="BP327" s="9" t="n">
        <v>0</v>
      </c>
      <c r="BR327" s="9" t="n">
        <v>0</v>
      </c>
      <c r="BS327" s="9" t="n">
        <v>0</v>
      </c>
      <c r="BW327" s="10" t="n">
        <v>46298</v>
      </c>
      <c r="BY327" s="9" t="n">
        <v>0</v>
      </c>
      <c r="CA327" s="9" t="n">
        <v>0</v>
      </c>
      <c r="CB327" s="9" t="n">
        <v>2097.339999999999</v>
      </c>
      <c r="CF327" s="10" t="n">
        <v>46298</v>
      </c>
      <c r="CH327" s="9" t="n">
        <v>0</v>
      </c>
      <c r="CJ327" s="9" t="n">
        <v>0</v>
      </c>
      <c r="CK327" s="9" t="n">
        <v>-10277.08</v>
      </c>
      <c r="CO327" s="10" t="n">
        <v>46298</v>
      </c>
      <c r="CQ327" s="9" t="n">
        <v>0</v>
      </c>
      <c r="CS327" s="9" t="n">
        <v>0</v>
      </c>
      <c r="CT327" s="9" t="n">
        <v>0</v>
      </c>
      <c r="CX327" s="10" t="n">
        <v>46298</v>
      </c>
      <c r="CZ327" s="9" t="n">
        <v>0</v>
      </c>
      <c r="DB327" s="9" t="n">
        <v>0</v>
      </c>
      <c r="DC327" s="9" t="n">
        <v>27438.20000000001</v>
      </c>
      <c r="DG327" s="10" t="n">
        <v>46298</v>
      </c>
      <c r="DI327" s="9" t="n">
        <v>0</v>
      </c>
      <c r="DK327" s="9" t="n">
        <v>0</v>
      </c>
      <c r="DL327" s="9" t="n">
        <v>18782.29999999998</v>
      </c>
      <c r="DP327" s="10" t="n">
        <v>46298</v>
      </c>
      <c r="DR327" s="9" t="n">
        <v>0</v>
      </c>
      <c r="DT327" s="9" t="n">
        <v>0</v>
      </c>
      <c r="DU327" s="9" t="n">
        <v>5800</v>
      </c>
      <c r="DY327" s="10" t="n">
        <v>46298</v>
      </c>
      <c r="EA327" s="9" t="n">
        <v>0</v>
      </c>
      <c r="EC327" s="9" t="n">
        <v>0</v>
      </c>
      <c r="ED327" s="9" t="n">
        <v>0</v>
      </c>
      <c r="EH327" s="10" t="n">
        <v>46298</v>
      </c>
      <c r="EJ327" s="9" t="n">
        <v>0</v>
      </c>
      <c r="EL327" s="9" t="n">
        <v>0</v>
      </c>
      <c r="EM327" s="9" t="n">
        <v>0</v>
      </c>
      <c r="EQ327" s="10" t="n">
        <v>46298</v>
      </c>
      <c r="ES327" s="9" t="n">
        <v>0</v>
      </c>
      <c r="EU327" s="9" t="n">
        <v>0</v>
      </c>
      <c r="EV327" s="9" t="n">
        <v>0</v>
      </c>
      <c r="EZ327" s="10" t="n">
        <v>46298</v>
      </c>
      <c r="FB327" s="9" t="n">
        <v>0</v>
      </c>
      <c r="FD327" s="9" t="n">
        <v>0</v>
      </c>
      <c r="FE327" s="9" t="n">
        <v>0</v>
      </c>
      <c r="FI327" s="10" t="n">
        <v>46298</v>
      </c>
      <c r="FK327" s="9" t="n">
        <v>0</v>
      </c>
      <c r="FM327" s="9" t="n">
        <v>0</v>
      </c>
      <c r="FN327" s="9" t="n">
        <v>0</v>
      </c>
      <c r="FR327" s="10" t="n">
        <v>46298</v>
      </c>
      <c r="FT327" s="9" t="n">
        <v>0</v>
      </c>
      <c r="FV327" s="9" t="n">
        <v>0</v>
      </c>
      <c r="FW327" s="9" t="n">
        <v>2020</v>
      </c>
      <c r="GA327" s="10" t="n">
        <v>46298</v>
      </c>
      <c r="GC327" s="9" t="n">
        <v>0</v>
      </c>
      <c r="GE327" s="9" t="n">
        <v>0</v>
      </c>
      <c r="GF327" s="9" t="n">
        <v>960</v>
      </c>
      <c r="GJ327" s="10" t="n">
        <v>46298</v>
      </c>
      <c r="GL327" s="9" t="n">
        <v>0</v>
      </c>
      <c r="GN327" s="9" t="n">
        <v>0</v>
      </c>
      <c r="GO327" s="9" t="n">
        <v>1760</v>
      </c>
      <c r="GS327" s="10" t="n">
        <v>46298</v>
      </c>
      <c r="GU327" s="9" t="n">
        <v>0</v>
      </c>
      <c r="GW327" s="9" t="n">
        <v>0</v>
      </c>
      <c r="GX327" s="9" t="n">
        <v>400</v>
      </c>
      <c r="HB327" s="10" t="n">
        <v>46298</v>
      </c>
      <c r="HD327" s="9" t="n">
        <v>0</v>
      </c>
      <c r="HF327" s="9" t="n">
        <v>0</v>
      </c>
      <c r="HG327" s="9" t="n">
        <v>3600</v>
      </c>
      <c r="HK327" s="10" t="n">
        <v>46298</v>
      </c>
      <c r="HM327" s="9" t="n">
        <v>0</v>
      </c>
      <c r="HO327" s="9" t="n">
        <v>0</v>
      </c>
      <c r="HP327" s="9" t="n">
        <v>0</v>
      </c>
      <c r="HU327" s="10" t="n">
        <v>46298</v>
      </c>
      <c r="HW327" s="9" t="n">
        <v>0</v>
      </c>
      <c r="HY327" s="9" t="n">
        <v>0</v>
      </c>
      <c r="HZ327" s="9" t="n">
        <v>6120</v>
      </c>
      <c r="ID327" s="10" t="n">
        <v>46298</v>
      </c>
      <c r="IF327" s="9" t="n">
        <v>0</v>
      </c>
      <c r="IH327" s="9" t="n">
        <v>0</v>
      </c>
      <c r="II327" s="9" t="n">
        <v>0</v>
      </c>
      <c r="IM327" s="10" t="n">
        <v>46298</v>
      </c>
      <c r="IO327" s="9" t="n">
        <v>0</v>
      </c>
      <c r="IQ327" s="9" t="n">
        <v>0</v>
      </c>
      <c r="IR327" s="9" t="n">
        <v>0</v>
      </c>
      <c r="IV327" s="10" t="n">
        <v>46298</v>
      </c>
      <c r="IX327" s="9" t="n">
        <v>0</v>
      </c>
      <c r="IZ327" s="9" t="n">
        <v>0</v>
      </c>
      <c r="JA327" s="9" t="n">
        <v>2820</v>
      </c>
      <c r="JE327" s="10" t="n">
        <v>46298</v>
      </c>
      <c r="JG327" s="9" t="n">
        <v>0</v>
      </c>
      <c r="JI327" s="9" t="n">
        <v>0</v>
      </c>
      <c r="JJ327" s="9" t="n">
        <v>0</v>
      </c>
      <c r="JN327" s="10" t="n">
        <v>46298</v>
      </c>
      <c r="JP327" s="9" t="n">
        <v>0</v>
      </c>
      <c r="JR327" s="9" t="n">
        <v>0</v>
      </c>
      <c r="JS327" s="9" t="n">
        <v>0</v>
      </c>
      <c r="JW327" s="10" t="n">
        <v>46298</v>
      </c>
      <c r="JY327" s="9" t="n">
        <v>0</v>
      </c>
      <c r="KA327" s="9" t="n">
        <v>0</v>
      </c>
      <c r="KB327" s="9" t="n">
        <v>2540</v>
      </c>
      <c r="KF327" s="10" t="n">
        <v>46298</v>
      </c>
      <c r="KH327" s="9" t="n">
        <v>0</v>
      </c>
      <c r="KJ327" s="9" t="n">
        <v>0</v>
      </c>
      <c r="KK327" s="9" t="n">
        <v>2359.5</v>
      </c>
      <c r="KO327" s="10" t="n">
        <v>46298</v>
      </c>
      <c r="KQ327" s="9" t="n">
        <v>0</v>
      </c>
      <c r="KS327" s="9" t="n">
        <v>0</v>
      </c>
      <c r="KT327" s="9" t="n">
        <v>1890</v>
      </c>
      <c r="KX327" s="10" t="n">
        <v>46298</v>
      </c>
      <c r="KZ327" s="9" t="n">
        <v>0</v>
      </c>
      <c r="LB327" s="9" t="n">
        <v>0</v>
      </c>
      <c r="LC327" s="9" t="n">
        <v>3690</v>
      </c>
      <c r="LG327" s="10" t="n">
        <v>46298</v>
      </c>
      <c r="LI327" s="9" t="n">
        <v>0</v>
      </c>
      <c r="LK327" s="9" t="n">
        <v>0</v>
      </c>
      <c r="LL327" s="9" t="n">
        <v>4000</v>
      </c>
      <c r="LP327" s="10" t="n">
        <v>46298</v>
      </c>
      <c r="LR327" s="9" t="n">
        <v>0</v>
      </c>
      <c r="LT327" s="9" t="n">
        <v>0</v>
      </c>
      <c r="LU327" s="9" t="n">
        <v>0</v>
      </c>
      <c r="LY327" s="10" t="n">
        <v>46298</v>
      </c>
      <c r="MA327" s="9" t="n">
        <v>0</v>
      </c>
      <c r="MC327" s="9" t="n">
        <v>0</v>
      </c>
      <c r="MD327" s="9" t="n">
        <v>0</v>
      </c>
      <c r="MH327" s="10" t="n">
        <v>46298</v>
      </c>
      <c r="MJ327" s="9" t="n">
        <v>0</v>
      </c>
      <c r="ML327" s="9" t="n">
        <v>0</v>
      </c>
      <c r="MM327" s="9" t="n">
        <v>0</v>
      </c>
      <c r="MQ327" s="10" t="n">
        <v>46298</v>
      </c>
      <c r="MS327" s="9" t="n">
        <v>0</v>
      </c>
      <c r="MU327" s="9" t="n">
        <v>0</v>
      </c>
      <c r="MV327" s="9" t="n">
        <v>1625</v>
      </c>
      <c r="MZ327" s="10" t="n">
        <v>46298</v>
      </c>
      <c r="NB327" s="9" t="n">
        <v>0</v>
      </c>
      <c r="ND327" s="9" t="n">
        <v>0</v>
      </c>
      <c r="NE327" s="9" t="n">
        <v>0</v>
      </c>
      <c r="NI327" s="10" t="n">
        <v>46298</v>
      </c>
      <c r="NK327" s="9" t="n">
        <v>0</v>
      </c>
      <c r="NM327" s="9" t="n">
        <v>0</v>
      </c>
      <c r="NN327" s="9" t="n">
        <v>1127</v>
      </c>
      <c r="NR327" s="10" t="n">
        <v>46298</v>
      </c>
      <c r="NT327" s="9" t="n">
        <v>0</v>
      </c>
      <c r="NV327" s="9" t="n">
        <v>0</v>
      </c>
      <c r="NW327" s="9" t="n">
        <v>3112</v>
      </c>
      <c r="OA327" s="10" t="n">
        <v>46298</v>
      </c>
      <c r="OC327" s="9" t="n">
        <v>0</v>
      </c>
      <c r="OE327" s="9" t="n">
        <v>0</v>
      </c>
      <c r="OF327" s="9" t="n">
        <v>1680.5</v>
      </c>
      <c r="OJ327" s="10" t="n">
        <v>46298</v>
      </c>
      <c r="OL327" s="9" t="n">
        <v>0</v>
      </c>
      <c r="ON327" s="9" t="n">
        <v>0</v>
      </c>
      <c r="OO327" s="9" t="n">
        <v>0</v>
      </c>
      <c r="OS327" s="10" t="n">
        <v>46298</v>
      </c>
      <c r="OU327" s="9" t="n">
        <v>0</v>
      </c>
      <c r="OW327" s="9" t="n">
        <v>0</v>
      </c>
      <c r="OX327" s="9" t="n">
        <v>1482</v>
      </c>
      <c r="PB327" s="10" t="n">
        <v>46298</v>
      </c>
      <c r="PD327" s="9" t="n">
        <v>0</v>
      </c>
      <c r="PF327" s="9" t="n">
        <v>0</v>
      </c>
      <c r="PG327" s="9" t="n">
        <v>0</v>
      </c>
      <c r="PK327" s="10" t="n">
        <v>46298</v>
      </c>
      <c r="PM327" s="9" t="n">
        <v>0</v>
      </c>
      <c r="PO327" s="9" t="n">
        <v>0</v>
      </c>
      <c r="PP327" s="9" t="n">
        <v>100</v>
      </c>
      <c r="PT327" s="10" t="n">
        <v>46298</v>
      </c>
      <c r="PV327" s="9" t="n">
        <v>0</v>
      </c>
      <c r="PX327" s="9" t="n">
        <v>0</v>
      </c>
      <c r="PY327" s="9" t="n">
        <v>13.96000000000004</v>
      </c>
      <c r="QC327" s="10" t="n">
        <v>46298</v>
      </c>
      <c r="QE327" s="9" t="n">
        <v>0</v>
      </c>
      <c r="QG327" s="9" t="n">
        <v>0</v>
      </c>
      <c r="QH327" s="9" t="n">
        <v>548</v>
      </c>
      <c r="QL327" s="10" t="n">
        <v>46298</v>
      </c>
      <c r="QN327" s="9" t="n">
        <v>0</v>
      </c>
      <c r="QP327" s="9" t="n">
        <v>0</v>
      </c>
      <c r="QQ327" s="9" t="n">
        <v>0</v>
      </c>
      <c r="QU327" s="10" t="n">
        <v>46298</v>
      </c>
      <c r="QW327" s="9" t="n">
        <v>0</v>
      </c>
      <c r="QY327" s="9" t="n">
        <v>0</v>
      </c>
      <c r="QZ327" s="9" t="n">
        <v>0</v>
      </c>
      <c r="RD327" s="10" t="n">
        <v>46298</v>
      </c>
      <c r="RF327" s="9" t="n">
        <v>0</v>
      </c>
      <c r="RH327" s="9" t="n">
        <v>0</v>
      </c>
      <c r="RI327" s="9" t="n">
        <v>147.04</v>
      </c>
      <c r="RM327" s="10" t="n">
        <v>46298</v>
      </c>
      <c r="RO327" s="9" t="n">
        <v>0</v>
      </c>
      <c r="RQ327" s="9" t="n">
        <v>0</v>
      </c>
      <c r="RR327" s="9" t="n">
        <v>46.8</v>
      </c>
      <c r="RV327" s="10" t="n">
        <v>46298</v>
      </c>
      <c r="RX327" s="9" t="n">
        <v>0</v>
      </c>
      <c r="RZ327" s="9" t="n">
        <v>0</v>
      </c>
      <c r="SA327" s="9" t="n">
        <v>0</v>
      </c>
      <c r="SE327" s="10" t="n">
        <v>46298</v>
      </c>
      <c r="SG327" s="9" t="n">
        <v>0</v>
      </c>
      <c r="SI327" s="9" t="n">
        <v>0</v>
      </c>
      <c r="SJ327" s="9" t="n">
        <v>24.2</v>
      </c>
      <c r="SN327" s="10" t="n">
        <v>46298</v>
      </c>
      <c r="SP327" s="9" t="n">
        <v>0</v>
      </c>
      <c r="SR327" s="9" t="n">
        <v>0</v>
      </c>
      <c r="SS327" s="9" t="n">
        <v>32</v>
      </c>
      <c r="SW327" s="10" t="n">
        <v>46298</v>
      </c>
      <c r="SY327" s="9" t="n">
        <v>0</v>
      </c>
      <c r="TA327" s="9" t="n">
        <v>0</v>
      </c>
      <c r="TB327" s="9" t="n">
        <v>0</v>
      </c>
      <c r="TF327" s="10" t="n">
        <v>46298</v>
      </c>
      <c r="TH327" s="9" t="n">
        <v>0</v>
      </c>
      <c r="TJ327" s="9" t="n">
        <v>0</v>
      </c>
      <c r="TK327" s="9" t="n">
        <v>0</v>
      </c>
      <c r="TO327" s="10" t="n">
        <v>46298</v>
      </c>
      <c r="TQ327" s="9" t="n">
        <v>0</v>
      </c>
      <c r="TS327" s="9" t="n">
        <v>0</v>
      </c>
      <c r="TT327" s="9" t="n">
        <v>0</v>
      </c>
      <c r="TX327" s="10" t="n">
        <v>46298</v>
      </c>
      <c r="TZ327" s="9" t="n">
        <v>0</v>
      </c>
      <c r="UB327" s="9" t="n">
        <v>0</v>
      </c>
      <c r="UC327" s="9" t="n">
        <v>46.79999999999998</v>
      </c>
      <c r="UG327" s="10" t="n">
        <v>46298</v>
      </c>
      <c r="UI327" s="9" t="n">
        <v>0</v>
      </c>
      <c r="UK327" s="9" t="n">
        <v>0</v>
      </c>
      <c r="UL327" s="9" t="n">
        <v>204</v>
      </c>
      <c r="UP327" s="10" t="n">
        <v>46298</v>
      </c>
      <c r="UR327" s="9" t="n">
        <v>0</v>
      </c>
      <c r="UT327" s="9" t="n">
        <v>0</v>
      </c>
      <c r="UU327" s="9" t="n">
        <v>202.5</v>
      </c>
      <c r="UY327" s="10" t="n">
        <v>46298</v>
      </c>
      <c r="VA327" s="9" t="n">
        <v>0</v>
      </c>
      <c r="VC327" s="9" t="n">
        <v>0</v>
      </c>
      <c r="VD327" s="9" t="n">
        <v>41.60000000000002</v>
      </c>
      <c r="VH327" s="10" t="n">
        <v>46298</v>
      </c>
      <c r="VJ327" s="9" t="n">
        <v>0</v>
      </c>
      <c r="VL327" s="9" t="n">
        <v>0</v>
      </c>
      <c r="VM327" s="9" t="n">
        <v>210</v>
      </c>
      <c r="VQ327" s="10" t="n">
        <v>46298</v>
      </c>
      <c r="VS327" s="9" t="n">
        <v>0</v>
      </c>
      <c r="VU327" s="9" t="n">
        <v>0</v>
      </c>
      <c r="VV327" s="9" t="n">
        <v>0</v>
      </c>
      <c r="VZ327" s="10" t="n">
        <v>46298</v>
      </c>
      <c r="WB327" s="9" t="n">
        <v>0</v>
      </c>
      <c r="WD327" s="9" t="n">
        <v>0</v>
      </c>
      <c r="WE327" s="9" t="n">
        <v>0</v>
      </c>
      <c r="WI327" s="10" t="n">
        <v>46298</v>
      </c>
      <c r="WK327" s="9" t="n">
        <v>0</v>
      </c>
      <c r="WM327" s="9" t="n">
        <v>0</v>
      </c>
      <c r="WN327" s="9" t="n">
        <v>1057</v>
      </c>
      <c r="WR327" s="10" t="n">
        <v>46298</v>
      </c>
      <c r="WT327" s="9" t="n">
        <v>0</v>
      </c>
      <c r="WV327" s="9" t="n">
        <v>0</v>
      </c>
      <c r="WW327" s="9" t="n">
        <v>0</v>
      </c>
      <c r="XA327" s="10" t="n">
        <v>46298</v>
      </c>
      <c r="XC327" s="9" t="n">
        <v>0</v>
      </c>
      <c r="XE327" s="9" t="n">
        <v>0</v>
      </c>
      <c r="XF327" s="9" t="n">
        <v>7507</v>
      </c>
      <c r="XJ327" s="10" t="n">
        <v>46298</v>
      </c>
      <c r="XL327" s="9" t="n">
        <v>0</v>
      </c>
      <c r="XN327" s="9" t="n">
        <v>0</v>
      </c>
      <c r="XO327" s="9" t="n">
        <v>4252</v>
      </c>
      <c r="XS327" s="10" t="n">
        <v>46298</v>
      </c>
      <c r="XU327" s="9" t="n">
        <v>0</v>
      </c>
      <c r="XW327" s="9" t="n">
        <v>0</v>
      </c>
      <c r="XX327" s="9" t="n">
        <v>2179</v>
      </c>
      <c r="YB327" s="10" t="n">
        <v>46298</v>
      </c>
      <c r="YD327" s="9" t="n">
        <v>0</v>
      </c>
      <c r="YF327" s="9" t="n">
        <v>0</v>
      </c>
      <c r="YG327" s="9" t="n">
        <v>4019</v>
      </c>
      <c r="YK327" s="10" t="n">
        <v>46298</v>
      </c>
      <c r="YM327" s="9" t="n">
        <v>0</v>
      </c>
      <c r="YO327" s="9" t="n">
        <v>0</v>
      </c>
      <c r="YP327" s="9" t="n">
        <v>-218</v>
      </c>
      <c r="YT327" s="10" t="n">
        <v>46298</v>
      </c>
      <c r="YV327" s="9" t="n">
        <v>0</v>
      </c>
      <c r="YX327" s="9" t="n">
        <v>0</v>
      </c>
      <c r="YY327" s="9" t="n">
        <v>0</v>
      </c>
      <c r="ZC327" s="10" t="n">
        <v>46298</v>
      </c>
      <c r="ZE327" s="9" t="n">
        <v>0</v>
      </c>
      <c r="ZG327" s="9" t="n">
        <v>0</v>
      </c>
      <c r="ZH327" s="9" t="n">
        <v>0</v>
      </c>
      <c r="ZL327" s="10" t="n">
        <v>46298</v>
      </c>
      <c r="ZN327" s="9" t="n">
        <v>0</v>
      </c>
      <c r="ZP327" s="9" t="n">
        <v>0</v>
      </c>
      <c r="ZQ327" s="9" t="n">
        <v>0</v>
      </c>
      <c r="ZU327" s="10" t="n">
        <v>46298</v>
      </c>
      <c r="ZW327" s="9" t="n">
        <v>0</v>
      </c>
      <c r="ZY327" s="9" t="n">
        <v>0</v>
      </c>
      <c r="ZZ327" s="9" t="n">
        <v>0</v>
      </c>
      <c r="AAD327" s="10" t="n">
        <v>46298</v>
      </c>
      <c r="AAF327" s="9" t="n">
        <v>0</v>
      </c>
      <c r="AAH327" s="9" t="n">
        <v>0</v>
      </c>
      <c r="AAI327" s="9" t="n">
        <v>0</v>
      </c>
      <c r="AAM327" s="10" t="n">
        <v>46298</v>
      </c>
      <c r="AAO327" s="9" t="n">
        <v>0</v>
      </c>
      <c r="AAQ327" s="9" t="n">
        <v>0</v>
      </c>
      <c r="AAR327" s="9" t="n">
        <v>0</v>
      </c>
      <c r="AAV327" s="10" t="n">
        <v>46298</v>
      </c>
      <c r="AAX327" s="9" t="n">
        <v>0</v>
      </c>
      <c r="AAZ327" s="9" t="n">
        <v>0</v>
      </c>
      <c r="ABA327" s="9" t="n">
        <v>0</v>
      </c>
      <c r="ABE327" s="10" t="n">
        <v>46298</v>
      </c>
      <c r="ABG327" s="9" t="n">
        <v>0</v>
      </c>
      <c r="ABI327" s="9" t="n">
        <v>0</v>
      </c>
      <c r="ABJ327" s="9" t="n">
        <v>0</v>
      </c>
    </row>
    <row r="328">
      <c r="C328" s="10" t="n">
        <v>46299</v>
      </c>
      <c r="E328" s="9" t="n">
        <v>0</v>
      </c>
      <c r="G328" s="9" t="n">
        <v>0</v>
      </c>
      <c r="H328" s="9" t="n">
        <v>236936.6</v>
      </c>
      <c r="L328" s="10" t="n">
        <v>46299</v>
      </c>
      <c r="N328" s="9" t="n">
        <v>0</v>
      </c>
      <c r="P328" s="9" t="n">
        <v>0</v>
      </c>
      <c r="Q328" s="9" t="n">
        <v>53017.60000000007</v>
      </c>
      <c r="U328" s="10" t="n">
        <v>46299</v>
      </c>
      <c r="W328" s="9" t="n">
        <v>0</v>
      </c>
      <c r="Y328" s="9" t="n">
        <v>0</v>
      </c>
      <c r="Z328" s="9" t="n">
        <v>42674.19999999997</v>
      </c>
      <c r="AD328" s="10" t="n">
        <v>46299</v>
      </c>
      <c r="AF328" s="9" t="n">
        <v>0</v>
      </c>
      <c r="AH328" s="9" t="n">
        <v>0</v>
      </c>
      <c r="AI328" s="9" t="n">
        <v>4522.200000000019</v>
      </c>
      <c r="AM328" s="10" t="n">
        <v>46299</v>
      </c>
      <c r="AO328" s="9" t="n">
        <v>0</v>
      </c>
      <c r="AQ328" s="9" t="n">
        <v>0</v>
      </c>
      <c r="AR328" s="9" t="n">
        <v>0</v>
      </c>
      <c r="AV328" s="10" t="n">
        <v>46299</v>
      </c>
      <c r="AX328" s="9" t="n">
        <v>0</v>
      </c>
      <c r="AZ328" s="9" t="n">
        <v>0</v>
      </c>
      <c r="BA328" s="9" t="n">
        <v>124.9999999999952</v>
      </c>
      <c r="BE328" s="10" t="n">
        <v>46299</v>
      </c>
      <c r="BG328" s="9" t="n">
        <v>0</v>
      </c>
      <c r="BI328" s="9" t="n">
        <v>0</v>
      </c>
      <c r="BJ328" s="9" t="n">
        <v>26151.9</v>
      </c>
      <c r="BN328" s="10" t="n">
        <v>46299</v>
      </c>
      <c r="BP328" s="9" t="n">
        <v>0</v>
      </c>
      <c r="BR328" s="9" t="n">
        <v>0</v>
      </c>
      <c r="BS328" s="9" t="n">
        <v>0</v>
      </c>
      <c r="BW328" s="10" t="n">
        <v>46299</v>
      </c>
      <c r="BY328" s="9" t="n">
        <v>0</v>
      </c>
      <c r="CA328" s="9" t="n">
        <v>0</v>
      </c>
      <c r="CB328" s="9" t="n">
        <v>2097.339999999999</v>
      </c>
      <c r="CF328" s="10" t="n">
        <v>46299</v>
      </c>
      <c r="CH328" s="9" t="n">
        <v>0</v>
      </c>
      <c r="CJ328" s="9" t="n">
        <v>0</v>
      </c>
      <c r="CK328" s="9" t="n">
        <v>-10277.08</v>
      </c>
      <c r="CO328" s="10" t="n">
        <v>46299</v>
      </c>
      <c r="CQ328" s="9" t="n">
        <v>0</v>
      </c>
      <c r="CS328" s="9" t="n">
        <v>0</v>
      </c>
      <c r="CT328" s="9" t="n">
        <v>0</v>
      </c>
      <c r="CX328" s="10" t="n">
        <v>46299</v>
      </c>
      <c r="CZ328" s="9" t="n">
        <v>0</v>
      </c>
      <c r="DB328" s="9" t="n">
        <v>0</v>
      </c>
      <c r="DC328" s="9" t="n">
        <v>27438.20000000001</v>
      </c>
      <c r="DG328" s="10" t="n">
        <v>46299</v>
      </c>
      <c r="DI328" s="9" t="n">
        <v>0</v>
      </c>
      <c r="DK328" s="9" t="n">
        <v>0</v>
      </c>
      <c r="DL328" s="9" t="n">
        <v>18782.29999999998</v>
      </c>
      <c r="DP328" s="10" t="n">
        <v>46299</v>
      </c>
      <c r="DR328" s="9" t="n">
        <v>0</v>
      </c>
      <c r="DT328" s="9" t="n">
        <v>0</v>
      </c>
      <c r="DU328" s="9" t="n">
        <v>5800</v>
      </c>
      <c r="DY328" s="10" t="n">
        <v>46299</v>
      </c>
      <c r="EA328" s="9" t="n">
        <v>0</v>
      </c>
      <c r="EC328" s="9" t="n">
        <v>0</v>
      </c>
      <c r="ED328" s="9" t="n">
        <v>0</v>
      </c>
      <c r="EH328" s="10" t="n">
        <v>46299</v>
      </c>
      <c r="EJ328" s="9" t="n">
        <v>0</v>
      </c>
      <c r="EL328" s="9" t="n">
        <v>0</v>
      </c>
      <c r="EM328" s="9" t="n">
        <v>0</v>
      </c>
      <c r="EQ328" s="10" t="n">
        <v>46299</v>
      </c>
      <c r="ES328" s="9" t="n">
        <v>0</v>
      </c>
      <c r="EU328" s="9" t="n">
        <v>0</v>
      </c>
      <c r="EV328" s="9" t="n">
        <v>0</v>
      </c>
      <c r="EZ328" s="10" t="n">
        <v>46299</v>
      </c>
      <c r="FB328" s="9" t="n">
        <v>0</v>
      </c>
      <c r="FD328" s="9" t="n">
        <v>0</v>
      </c>
      <c r="FE328" s="9" t="n">
        <v>0</v>
      </c>
      <c r="FI328" s="10" t="n">
        <v>46299</v>
      </c>
      <c r="FK328" s="9" t="n">
        <v>0</v>
      </c>
      <c r="FM328" s="9" t="n">
        <v>0</v>
      </c>
      <c r="FN328" s="9" t="n">
        <v>0</v>
      </c>
      <c r="FR328" s="10" t="n">
        <v>46299</v>
      </c>
      <c r="FT328" s="9" t="n">
        <v>0</v>
      </c>
      <c r="FV328" s="9" t="n">
        <v>0</v>
      </c>
      <c r="FW328" s="9" t="n">
        <v>2020</v>
      </c>
      <c r="GA328" s="10" t="n">
        <v>46299</v>
      </c>
      <c r="GC328" s="9" t="n">
        <v>0</v>
      </c>
      <c r="GE328" s="9" t="n">
        <v>0</v>
      </c>
      <c r="GF328" s="9" t="n">
        <v>960</v>
      </c>
      <c r="GJ328" s="10" t="n">
        <v>46299</v>
      </c>
      <c r="GL328" s="9" t="n">
        <v>0</v>
      </c>
      <c r="GN328" s="9" t="n">
        <v>0</v>
      </c>
      <c r="GO328" s="9" t="n">
        <v>1760</v>
      </c>
      <c r="GS328" s="10" t="n">
        <v>46299</v>
      </c>
      <c r="GU328" s="9" t="n">
        <v>0</v>
      </c>
      <c r="GW328" s="9" t="n">
        <v>0</v>
      </c>
      <c r="GX328" s="9" t="n">
        <v>400</v>
      </c>
      <c r="HB328" s="10" t="n">
        <v>46299</v>
      </c>
      <c r="HD328" s="9" t="n">
        <v>0</v>
      </c>
      <c r="HF328" s="9" t="n">
        <v>0</v>
      </c>
      <c r="HG328" s="9" t="n">
        <v>3600</v>
      </c>
      <c r="HK328" s="10" t="n">
        <v>46299</v>
      </c>
      <c r="HM328" s="9" t="n">
        <v>0</v>
      </c>
      <c r="HO328" s="9" t="n">
        <v>0</v>
      </c>
      <c r="HP328" s="9" t="n">
        <v>0</v>
      </c>
      <c r="HU328" s="10" t="n">
        <v>46299</v>
      </c>
      <c r="HW328" s="9" t="n">
        <v>0</v>
      </c>
      <c r="HY328" s="9" t="n">
        <v>0</v>
      </c>
      <c r="HZ328" s="9" t="n">
        <v>6120</v>
      </c>
      <c r="ID328" s="10" t="n">
        <v>46299</v>
      </c>
      <c r="IF328" s="9" t="n">
        <v>0</v>
      </c>
      <c r="IH328" s="9" t="n">
        <v>0</v>
      </c>
      <c r="II328" s="9" t="n">
        <v>0</v>
      </c>
      <c r="IM328" s="10" t="n">
        <v>46299</v>
      </c>
      <c r="IO328" s="9" t="n">
        <v>0</v>
      </c>
      <c r="IQ328" s="9" t="n">
        <v>0</v>
      </c>
      <c r="IR328" s="9" t="n">
        <v>0</v>
      </c>
      <c r="IV328" s="10" t="n">
        <v>46299</v>
      </c>
      <c r="IX328" s="9" t="n">
        <v>0</v>
      </c>
      <c r="IZ328" s="9" t="n">
        <v>0</v>
      </c>
      <c r="JA328" s="9" t="n">
        <v>2820</v>
      </c>
      <c r="JE328" s="10" t="n">
        <v>46299</v>
      </c>
      <c r="JG328" s="9" t="n">
        <v>0</v>
      </c>
      <c r="JI328" s="9" t="n">
        <v>0</v>
      </c>
      <c r="JJ328" s="9" t="n">
        <v>0</v>
      </c>
      <c r="JN328" s="10" t="n">
        <v>46299</v>
      </c>
      <c r="JP328" s="9" t="n">
        <v>0</v>
      </c>
      <c r="JR328" s="9" t="n">
        <v>0</v>
      </c>
      <c r="JS328" s="9" t="n">
        <v>0</v>
      </c>
      <c r="JW328" s="10" t="n">
        <v>46299</v>
      </c>
      <c r="JY328" s="9" t="n">
        <v>0</v>
      </c>
      <c r="KA328" s="9" t="n">
        <v>0</v>
      </c>
      <c r="KB328" s="9" t="n">
        <v>2540</v>
      </c>
      <c r="KF328" s="10" t="n">
        <v>46299</v>
      </c>
      <c r="KH328" s="9" t="n">
        <v>0</v>
      </c>
      <c r="KJ328" s="9" t="n">
        <v>0</v>
      </c>
      <c r="KK328" s="9" t="n">
        <v>2359.5</v>
      </c>
      <c r="KO328" s="10" t="n">
        <v>46299</v>
      </c>
      <c r="KQ328" s="9" t="n">
        <v>0</v>
      </c>
      <c r="KS328" s="9" t="n">
        <v>0</v>
      </c>
      <c r="KT328" s="9" t="n">
        <v>1890</v>
      </c>
      <c r="KX328" s="10" t="n">
        <v>46299</v>
      </c>
      <c r="KZ328" s="9" t="n">
        <v>0</v>
      </c>
      <c r="LB328" s="9" t="n">
        <v>0</v>
      </c>
      <c r="LC328" s="9" t="n">
        <v>3690</v>
      </c>
      <c r="LG328" s="10" t="n">
        <v>46299</v>
      </c>
      <c r="LI328" s="9" t="n">
        <v>0</v>
      </c>
      <c r="LK328" s="9" t="n">
        <v>0</v>
      </c>
      <c r="LL328" s="9" t="n">
        <v>4000</v>
      </c>
      <c r="LP328" s="10" t="n">
        <v>46299</v>
      </c>
      <c r="LR328" s="9" t="n">
        <v>0</v>
      </c>
      <c r="LT328" s="9" t="n">
        <v>0</v>
      </c>
      <c r="LU328" s="9" t="n">
        <v>0</v>
      </c>
      <c r="LY328" s="10" t="n">
        <v>46299</v>
      </c>
      <c r="MA328" s="9" t="n">
        <v>0</v>
      </c>
      <c r="MC328" s="9" t="n">
        <v>0</v>
      </c>
      <c r="MD328" s="9" t="n">
        <v>0</v>
      </c>
      <c r="MH328" s="10" t="n">
        <v>46299</v>
      </c>
      <c r="MJ328" s="9" t="n">
        <v>0</v>
      </c>
      <c r="ML328" s="9" t="n">
        <v>0</v>
      </c>
      <c r="MM328" s="9" t="n">
        <v>0</v>
      </c>
      <c r="MQ328" s="10" t="n">
        <v>46299</v>
      </c>
      <c r="MS328" s="9" t="n">
        <v>0</v>
      </c>
      <c r="MU328" s="9" t="n">
        <v>0</v>
      </c>
      <c r="MV328" s="9" t="n">
        <v>1625</v>
      </c>
      <c r="MZ328" s="10" t="n">
        <v>46299</v>
      </c>
      <c r="NB328" s="9" t="n">
        <v>0</v>
      </c>
      <c r="ND328" s="9" t="n">
        <v>0</v>
      </c>
      <c r="NE328" s="9" t="n">
        <v>0</v>
      </c>
      <c r="NI328" s="10" t="n">
        <v>46299</v>
      </c>
      <c r="NK328" s="9" t="n">
        <v>0</v>
      </c>
      <c r="NM328" s="9" t="n">
        <v>0</v>
      </c>
      <c r="NN328" s="9" t="n">
        <v>1127</v>
      </c>
      <c r="NR328" s="10" t="n">
        <v>46299</v>
      </c>
      <c r="NT328" s="9" t="n">
        <v>0</v>
      </c>
      <c r="NV328" s="9" t="n">
        <v>0</v>
      </c>
      <c r="NW328" s="9" t="n">
        <v>3112</v>
      </c>
      <c r="OA328" s="10" t="n">
        <v>46299</v>
      </c>
      <c r="OC328" s="9" t="n">
        <v>0</v>
      </c>
      <c r="OE328" s="9" t="n">
        <v>0</v>
      </c>
      <c r="OF328" s="9" t="n">
        <v>1680.5</v>
      </c>
      <c r="OJ328" s="10" t="n">
        <v>46299</v>
      </c>
      <c r="OL328" s="9" t="n">
        <v>0</v>
      </c>
      <c r="ON328" s="9" t="n">
        <v>0</v>
      </c>
      <c r="OO328" s="9" t="n">
        <v>0</v>
      </c>
      <c r="OS328" s="10" t="n">
        <v>46299</v>
      </c>
      <c r="OU328" s="9" t="n">
        <v>0</v>
      </c>
      <c r="OW328" s="9" t="n">
        <v>0</v>
      </c>
      <c r="OX328" s="9" t="n">
        <v>1482</v>
      </c>
      <c r="PB328" s="10" t="n">
        <v>46299</v>
      </c>
      <c r="PD328" s="9" t="n">
        <v>0</v>
      </c>
      <c r="PF328" s="9" t="n">
        <v>0</v>
      </c>
      <c r="PG328" s="9" t="n">
        <v>0</v>
      </c>
      <c r="PK328" s="10" t="n">
        <v>46299</v>
      </c>
      <c r="PM328" s="9" t="n">
        <v>0</v>
      </c>
      <c r="PO328" s="9" t="n">
        <v>0</v>
      </c>
      <c r="PP328" s="9" t="n">
        <v>100</v>
      </c>
      <c r="PT328" s="10" t="n">
        <v>46299</v>
      </c>
      <c r="PV328" s="9" t="n">
        <v>0</v>
      </c>
      <c r="PX328" s="9" t="n">
        <v>0</v>
      </c>
      <c r="PY328" s="9" t="n">
        <v>13.96000000000004</v>
      </c>
      <c r="QC328" s="10" t="n">
        <v>46299</v>
      </c>
      <c r="QE328" s="9" t="n">
        <v>0</v>
      </c>
      <c r="QG328" s="9" t="n">
        <v>0</v>
      </c>
      <c r="QH328" s="9" t="n">
        <v>548</v>
      </c>
      <c r="QL328" s="10" t="n">
        <v>46299</v>
      </c>
      <c r="QN328" s="9" t="n">
        <v>0</v>
      </c>
      <c r="QP328" s="9" t="n">
        <v>0</v>
      </c>
      <c r="QQ328" s="9" t="n">
        <v>0</v>
      </c>
      <c r="QU328" s="10" t="n">
        <v>46299</v>
      </c>
      <c r="QW328" s="9" t="n">
        <v>0</v>
      </c>
      <c r="QY328" s="9" t="n">
        <v>0</v>
      </c>
      <c r="QZ328" s="9" t="n">
        <v>0</v>
      </c>
      <c r="RD328" s="10" t="n">
        <v>46299</v>
      </c>
      <c r="RF328" s="9" t="n">
        <v>0</v>
      </c>
      <c r="RH328" s="9" t="n">
        <v>0</v>
      </c>
      <c r="RI328" s="9" t="n">
        <v>147.04</v>
      </c>
      <c r="RM328" s="10" t="n">
        <v>46299</v>
      </c>
      <c r="RO328" s="9" t="n">
        <v>0</v>
      </c>
      <c r="RQ328" s="9" t="n">
        <v>0</v>
      </c>
      <c r="RR328" s="9" t="n">
        <v>46.8</v>
      </c>
      <c r="RV328" s="10" t="n">
        <v>46299</v>
      </c>
      <c r="RX328" s="9" t="n">
        <v>0</v>
      </c>
      <c r="RZ328" s="9" t="n">
        <v>0</v>
      </c>
      <c r="SA328" s="9" t="n">
        <v>0</v>
      </c>
      <c r="SE328" s="10" t="n">
        <v>46299</v>
      </c>
      <c r="SG328" s="9" t="n">
        <v>0</v>
      </c>
      <c r="SI328" s="9" t="n">
        <v>0</v>
      </c>
      <c r="SJ328" s="9" t="n">
        <v>24.2</v>
      </c>
      <c r="SN328" s="10" t="n">
        <v>46299</v>
      </c>
      <c r="SP328" s="9" t="n">
        <v>0</v>
      </c>
      <c r="SR328" s="9" t="n">
        <v>0</v>
      </c>
      <c r="SS328" s="9" t="n">
        <v>32</v>
      </c>
      <c r="SW328" s="10" t="n">
        <v>46299</v>
      </c>
      <c r="SY328" s="9" t="n">
        <v>0</v>
      </c>
      <c r="TA328" s="9" t="n">
        <v>0</v>
      </c>
      <c r="TB328" s="9" t="n">
        <v>0</v>
      </c>
      <c r="TF328" s="10" t="n">
        <v>46299</v>
      </c>
      <c r="TH328" s="9" t="n">
        <v>0</v>
      </c>
      <c r="TJ328" s="9" t="n">
        <v>0</v>
      </c>
      <c r="TK328" s="9" t="n">
        <v>0</v>
      </c>
      <c r="TO328" s="10" t="n">
        <v>46299</v>
      </c>
      <c r="TQ328" s="9" t="n">
        <v>0</v>
      </c>
      <c r="TS328" s="9" t="n">
        <v>0</v>
      </c>
      <c r="TT328" s="9" t="n">
        <v>0</v>
      </c>
      <c r="TX328" s="10" t="n">
        <v>46299</v>
      </c>
      <c r="TZ328" s="9" t="n">
        <v>0</v>
      </c>
      <c r="UB328" s="9" t="n">
        <v>0</v>
      </c>
      <c r="UC328" s="9" t="n">
        <v>46.79999999999998</v>
      </c>
      <c r="UG328" s="10" t="n">
        <v>46299</v>
      </c>
      <c r="UI328" s="9" t="n">
        <v>0</v>
      </c>
      <c r="UK328" s="9" t="n">
        <v>0</v>
      </c>
      <c r="UL328" s="9" t="n">
        <v>204</v>
      </c>
      <c r="UP328" s="10" t="n">
        <v>46299</v>
      </c>
      <c r="UR328" s="9" t="n">
        <v>0</v>
      </c>
      <c r="UT328" s="9" t="n">
        <v>0</v>
      </c>
      <c r="UU328" s="9" t="n">
        <v>202.5</v>
      </c>
      <c r="UY328" s="10" t="n">
        <v>46299</v>
      </c>
      <c r="VA328" s="9" t="n">
        <v>0</v>
      </c>
      <c r="VC328" s="9" t="n">
        <v>0</v>
      </c>
      <c r="VD328" s="9" t="n">
        <v>41.60000000000002</v>
      </c>
      <c r="VH328" s="10" t="n">
        <v>46299</v>
      </c>
      <c r="VJ328" s="9" t="n">
        <v>0</v>
      </c>
      <c r="VL328" s="9" t="n">
        <v>0</v>
      </c>
      <c r="VM328" s="9" t="n">
        <v>210</v>
      </c>
      <c r="VQ328" s="10" t="n">
        <v>46299</v>
      </c>
      <c r="VS328" s="9" t="n">
        <v>0</v>
      </c>
      <c r="VU328" s="9" t="n">
        <v>0</v>
      </c>
      <c r="VV328" s="9" t="n">
        <v>0</v>
      </c>
      <c r="VZ328" s="10" t="n">
        <v>46299</v>
      </c>
      <c r="WB328" s="9" t="n">
        <v>0</v>
      </c>
      <c r="WD328" s="9" t="n">
        <v>0</v>
      </c>
      <c r="WE328" s="9" t="n">
        <v>0</v>
      </c>
      <c r="WI328" s="10" t="n">
        <v>46299</v>
      </c>
      <c r="WK328" s="9" t="n">
        <v>0</v>
      </c>
      <c r="WM328" s="9" t="n">
        <v>0</v>
      </c>
      <c r="WN328" s="9" t="n">
        <v>1057</v>
      </c>
      <c r="WR328" s="10" t="n">
        <v>46299</v>
      </c>
      <c r="WT328" s="9" t="n">
        <v>0</v>
      </c>
      <c r="WV328" s="9" t="n">
        <v>0</v>
      </c>
      <c r="WW328" s="9" t="n">
        <v>0</v>
      </c>
      <c r="XA328" s="10" t="n">
        <v>46299</v>
      </c>
      <c r="XC328" s="9" t="n">
        <v>0</v>
      </c>
      <c r="XE328" s="9" t="n">
        <v>0</v>
      </c>
      <c r="XF328" s="9" t="n">
        <v>7507</v>
      </c>
      <c r="XJ328" s="10" t="n">
        <v>46299</v>
      </c>
      <c r="XL328" s="9" t="n">
        <v>0</v>
      </c>
      <c r="XN328" s="9" t="n">
        <v>0</v>
      </c>
      <c r="XO328" s="9" t="n">
        <v>4252</v>
      </c>
      <c r="XS328" s="10" t="n">
        <v>46299</v>
      </c>
      <c r="XU328" s="9" t="n">
        <v>0</v>
      </c>
      <c r="XW328" s="9" t="n">
        <v>0</v>
      </c>
      <c r="XX328" s="9" t="n">
        <v>2179</v>
      </c>
      <c r="YB328" s="10" t="n">
        <v>46299</v>
      </c>
      <c r="YD328" s="9" t="n">
        <v>0</v>
      </c>
      <c r="YF328" s="9" t="n">
        <v>0</v>
      </c>
      <c r="YG328" s="9" t="n">
        <v>4019</v>
      </c>
      <c r="YK328" s="10" t="n">
        <v>46299</v>
      </c>
      <c r="YM328" s="9" t="n">
        <v>0</v>
      </c>
      <c r="YO328" s="9" t="n">
        <v>0</v>
      </c>
      <c r="YP328" s="9" t="n">
        <v>-218</v>
      </c>
      <c r="YT328" s="10" t="n">
        <v>46299</v>
      </c>
      <c r="YV328" s="9" t="n">
        <v>0</v>
      </c>
      <c r="YX328" s="9" t="n">
        <v>0</v>
      </c>
      <c r="YY328" s="9" t="n">
        <v>0</v>
      </c>
      <c r="ZC328" s="10" t="n">
        <v>46299</v>
      </c>
      <c r="ZE328" s="9" t="n">
        <v>0</v>
      </c>
      <c r="ZG328" s="9" t="n">
        <v>0</v>
      </c>
      <c r="ZH328" s="9" t="n">
        <v>0</v>
      </c>
      <c r="ZL328" s="10" t="n">
        <v>46299</v>
      </c>
      <c r="ZN328" s="9" t="n">
        <v>0</v>
      </c>
      <c r="ZP328" s="9" t="n">
        <v>0</v>
      </c>
      <c r="ZQ328" s="9" t="n">
        <v>0</v>
      </c>
      <c r="ZU328" s="10" t="n">
        <v>46299</v>
      </c>
      <c r="ZW328" s="9" t="n">
        <v>0</v>
      </c>
      <c r="ZY328" s="9" t="n">
        <v>0</v>
      </c>
      <c r="ZZ328" s="9" t="n">
        <v>0</v>
      </c>
      <c r="AAD328" s="10" t="n">
        <v>46299</v>
      </c>
      <c r="AAF328" s="9" t="n">
        <v>0</v>
      </c>
      <c r="AAH328" s="9" t="n">
        <v>0</v>
      </c>
      <c r="AAI328" s="9" t="n">
        <v>0</v>
      </c>
      <c r="AAM328" s="10" t="n">
        <v>46299</v>
      </c>
      <c r="AAO328" s="9" t="n">
        <v>0</v>
      </c>
      <c r="AAQ328" s="9" t="n">
        <v>0</v>
      </c>
      <c r="AAR328" s="9" t="n">
        <v>0</v>
      </c>
      <c r="AAV328" s="10" t="n">
        <v>46299</v>
      </c>
      <c r="AAX328" s="9" t="n">
        <v>0</v>
      </c>
      <c r="AAZ328" s="9" t="n">
        <v>0</v>
      </c>
      <c r="ABA328" s="9" t="n">
        <v>0</v>
      </c>
      <c r="ABE328" s="10" t="n">
        <v>46299</v>
      </c>
      <c r="ABG328" s="9" t="n">
        <v>0</v>
      </c>
      <c r="ABI328" s="9" t="n">
        <v>0</v>
      </c>
      <c r="ABJ328" s="9" t="n">
        <v>0</v>
      </c>
    </row>
    <row r="329">
      <c r="C329" s="10" t="n">
        <v>46300</v>
      </c>
      <c r="E329" s="9" t="n">
        <v>0</v>
      </c>
      <c r="G329" s="9" t="n">
        <v>0</v>
      </c>
      <c r="H329" s="9" t="n">
        <v>236936.6</v>
      </c>
      <c r="L329" s="10" t="n">
        <v>46300</v>
      </c>
      <c r="N329" s="9" t="n">
        <v>0</v>
      </c>
      <c r="P329" s="9" t="n">
        <v>0</v>
      </c>
      <c r="Q329" s="9" t="n">
        <v>53017.60000000007</v>
      </c>
      <c r="U329" s="10" t="n">
        <v>46300</v>
      </c>
      <c r="W329" s="9" t="n">
        <v>0</v>
      </c>
      <c r="Y329" s="9" t="n">
        <v>0</v>
      </c>
      <c r="Z329" s="9" t="n">
        <v>42674.19999999997</v>
      </c>
      <c r="AD329" s="10" t="n">
        <v>46300</v>
      </c>
      <c r="AF329" s="9" t="n">
        <v>0</v>
      </c>
      <c r="AH329" s="9" t="n">
        <v>0</v>
      </c>
      <c r="AI329" s="9" t="n">
        <v>4522.200000000019</v>
      </c>
      <c r="AM329" s="10" t="n">
        <v>46300</v>
      </c>
      <c r="AO329" s="9" t="n">
        <v>0</v>
      </c>
      <c r="AQ329" s="9" t="n">
        <v>0</v>
      </c>
      <c r="AR329" s="9" t="n">
        <v>0</v>
      </c>
      <c r="AV329" s="10" t="n">
        <v>46300</v>
      </c>
      <c r="AX329" s="9" t="n">
        <v>0</v>
      </c>
      <c r="AZ329" s="9" t="n">
        <v>0</v>
      </c>
      <c r="BA329" s="9" t="n">
        <v>124.9999999999952</v>
      </c>
      <c r="BE329" s="10" t="n">
        <v>46300</v>
      </c>
      <c r="BG329" s="9" t="n">
        <v>0</v>
      </c>
      <c r="BI329" s="9" t="n">
        <v>0</v>
      </c>
      <c r="BJ329" s="9" t="n">
        <v>26151.9</v>
      </c>
      <c r="BN329" s="10" t="n">
        <v>46300</v>
      </c>
      <c r="BP329" s="9" t="n">
        <v>0</v>
      </c>
      <c r="BR329" s="9" t="n">
        <v>0</v>
      </c>
      <c r="BS329" s="9" t="n">
        <v>0</v>
      </c>
      <c r="BW329" s="10" t="n">
        <v>46300</v>
      </c>
      <c r="BY329" s="9" t="n">
        <v>0</v>
      </c>
      <c r="CA329" s="9" t="n">
        <v>0</v>
      </c>
      <c r="CB329" s="9" t="n">
        <v>2097.339999999999</v>
      </c>
      <c r="CF329" s="10" t="n">
        <v>46300</v>
      </c>
      <c r="CH329" s="9" t="n">
        <v>0</v>
      </c>
      <c r="CJ329" s="9" t="n">
        <v>0</v>
      </c>
      <c r="CK329" s="9" t="n">
        <v>-10277.08</v>
      </c>
      <c r="CO329" s="10" t="n">
        <v>46300</v>
      </c>
      <c r="CQ329" s="9" t="n">
        <v>0</v>
      </c>
      <c r="CS329" s="9" t="n">
        <v>0</v>
      </c>
      <c r="CT329" s="9" t="n">
        <v>0</v>
      </c>
      <c r="CX329" s="10" t="n">
        <v>46300</v>
      </c>
      <c r="CZ329" s="9" t="n">
        <v>0</v>
      </c>
      <c r="DB329" s="9" t="n">
        <v>0</v>
      </c>
      <c r="DC329" s="9" t="n">
        <v>27438.20000000001</v>
      </c>
      <c r="DG329" s="10" t="n">
        <v>46300</v>
      </c>
      <c r="DI329" s="9" t="n">
        <v>0</v>
      </c>
      <c r="DK329" s="9" t="n">
        <v>0</v>
      </c>
      <c r="DL329" s="9" t="n">
        <v>18782.29999999998</v>
      </c>
      <c r="DP329" s="10" t="n">
        <v>46300</v>
      </c>
      <c r="DR329" s="9" t="n">
        <v>0</v>
      </c>
      <c r="DT329" s="9" t="n">
        <v>0</v>
      </c>
      <c r="DU329" s="9" t="n">
        <v>5800</v>
      </c>
      <c r="DY329" s="10" t="n">
        <v>46300</v>
      </c>
      <c r="EA329" s="9" t="n">
        <v>0</v>
      </c>
      <c r="EC329" s="9" t="n">
        <v>0</v>
      </c>
      <c r="ED329" s="9" t="n">
        <v>0</v>
      </c>
      <c r="EH329" s="10" t="n">
        <v>46300</v>
      </c>
      <c r="EJ329" s="9" t="n">
        <v>0</v>
      </c>
      <c r="EL329" s="9" t="n">
        <v>0</v>
      </c>
      <c r="EM329" s="9" t="n">
        <v>0</v>
      </c>
      <c r="EQ329" s="10" t="n">
        <v>46300</v>
      </c>
      <c r="ES329" s="9" t="n">
        <v>0</v>
      </c>
      <c r="EU329" s="9" t="n">
        <v>0</v>
      </c>
      <c r="EV329" s="9" t="n">
        <v>0</v>
      </c>
      <c r="EZ329" s="10" t="n">
        <v>46300</v>
      </c>
      <c r="FB329" s="9" t="n">
        <v>0</v>
      </c>
      <c r="FD329" s="9" t="n">
        <v>0</v>
      </c>
      <c r="FE329" s="9" t="n">
        <v>0</v>
      </c>
      <c r="FI329" s="10" t="n">
        <v>46300</v>
      </c>
      <c r="FK329" s="9" t="n">
        <v>0</v>
      </c>
      <c r="FM329" s="9" t="n">
        <v>0</v>
      </c>
      <c r="FN329" s="9" t="n">
        <v>0</v>
      </c>
      <c r="FR329" s="10" t="n">
        <v>46300</v>
      </c>
      <c r="FT329" s="9" t="n">
        <v>0</v>
      </c>
      <c r="FV329" s="9" t="n">
        <v>0</v>
      </c>
      <c r="FW329" s="9" t="n">
        <v>2020</v>
      </c>
      <c r="GA329" s="10" t="n">
        <v>46300</v>
      </c>
      <c r="GC329" s="9" t="n">
        <v>0</v>
      </c>
      <c r="GE329" s="9" t="n">
        <v>0</v>
      </c>
      <c r="GF329" s="9" t="n">
        <v>960</v>
      </c>
      <c r="GJ329" s="10" t="n">
        <v>46300</v>
      </c>
      <c r="GL329" s="9" t="n">
        <v>0</v>
      </c>
      <c r="GN329" s="9" t="n">
        <v>0</v>
      </c>
      <c r="GO329" s="9" t="n">
        <v>1760</v>
      </c>
      <c r="GS329" s="10" t="n">
        <v>46300</v>
      </c>
      <c r="GU329" s="9" t="n">
        <v>0</v>
      </c>
      <c r="GW329" s="9" t="n">
        <v>0</v>
      </c>
      <c r="GX329" s="9" t="n">
        <v>400</v>
      </c>
      <c r="HB329" s="10" t="n">
        <v>46300</v>
      </c>
      <c r="HD329" s="9" t="n">
        <v>0</v>
      </c>
      <c r="HF329" s="9" t="n">
        <v>0</v>
      </c>
      <c r="HG329" s="9" t="n">
        <v>3600</v>
      </c>
      <c r="HK329" s="10" t="n">
        <v>46300</v>
      </c>
      <c r="HM329" s="9" t="n">
        <v>0</v>
      </c>
      <c r="HO329" s="9" t="n">
        <v>0</v>
      </c>
      <c r="HP329" s="9" t="n">
        <v>0</v>
      </c>
      <c r="HU329" s="10" t="n">
        <v>46300</v>
      </c>
      <c r="HW329" s="9" t="n">
        <v>0</v>
      </c>
      <c r="HY329" s="9" t="n">
        <v>0</v>
      </c>
      <c r="HZ329" s="9" t="n">
        <v>6120</v>
      </c>
      <c r="ID329" s="10" t="n">
        <v>46300</v>
      </c>
      <c r="IF329" s="9" t="n">
        <v>0</v>
      </c>
      <c r="IH329" s="9" t="n">
        <v>0</v>
      </c>
      <c r="II329" s="9" t="n">
        <v>0</v>
      </c>
      <c r="IM329" s="10" t="n">
        <v>46300</v>
      </c>
      <c r="IO329" s="9" t="n">
        <v>0</v>
      </c>
      <c r="IQ329" s="9" t="n">
        <v>0</v>
      </c>
      <c r="IR329" s="9" t="n">
        <v>0</v>
      </c>
      <c r="IV329" s="10" t="n">
        <v>46300</v>
      </c>
      <c r="IX329" s="9" t="n">
        <v>0</v>
      </c>
      <c r="IZ329" s="9" t="n">
        <v>0</v>
      </c>
      <c r="JA329" s="9" t="n">
        <v>2820</v>
      </c>
      <c r="JE329" s="10" t="n">
        <v>46300</v>
      </c>
      <c r="JG329" s="9" t="n">
        <v>0</v>
      </c>
      <c r="JI329" s="9" t="n">
        <v>0</v>
      </c>
      <c r="JJ329" s="9" t="n">
        <v>0</v>
      </c>
      <c r="JN329" s="10" t="n">
        <v>46300</v>
      </c>
      <c r="JP329" s="9" t="n">
        <v>0</v>
      </c>
      <c r="JR329" s="9" t="n">
        <v>0</v>
      </c>
      <c r="JS329" s="9" t="n">
        <v>0</v>
      </c>
      <c r="JW329" s="10" t="n">
        <v>46300</v>
      </c>
      <c r="JY329" s="9" t="n">
        <v>0</v>
      </c>
      <c r="KA329" s="9" t="n">
        <v>0</v>
      </c>
      <c r="KB329" s="9" t="n">
        <v>2540</v>
      </c>
      <c r="KF329" s="10" t="n">
        <v>46300</v>
      </c>
      <c r="KH329" s="9" t="n">
        <v>0</v>
      </c>
      <c r="KJ329" s="9" t="n">
        <v>0</v>
      </c>
      <c r="KK329" s="9" t="n">
        <v>2359.5</v>
      </c>
      <c r="KO329" s="10" t="n">
        <v>46300</v>
      </c>
      <c r="KQ329" s="9" t="n">
        <v>0</v>
      </c>
      <c r="KS329" s="9" t="n">
        <v>0</v>
      </c>
      <c r="KT329" s="9" t="n">
        <v>1890</v>
      </c>
      <c r="KX329" s="10" t="n">
        <v>46300</v>
      </c>
      <c r="KZ329" s="9" t="n">
        <v>0</v>
      </c>
      <c r="LB329" s="9" t="n">
        <v>0</v>
      </c>
      <c r="LC329" s="9" t="n">
        <v>3690</v>
      </c>
      <c r="LG329" s="10" t="n">
        <v>46300</v>
      </c>
      <c r="LI329" s="9" t="n">
        <v>0</v>
      </c>
      <c r="LK329" s="9" t="n">
        <v>0</v>
      </c>
      <c r="LL329" s="9" t="n">
        <v>4000</v>
      </c>
      <c r="LP329" s="10" t="n">
        <v>46300</v>
      </c>
      <c r="LR329" s="9" t="n">
        <v>0</v>
      </c>
      <c r="LT329" s="9" t="n">
        <v>0</v>
      </c>
      <c r="LU329" s="9" t="n">
        <v>0</v>
      </c>
      <c r="LY329" s="10" t="n">
        <v>46300</v>
      </c>
      <c r="MA329" s="9" t="n">
        <v>0</v>
      </c>
      <c r="MC329" s="9" t="n">
        <v>0</v>
      </c>
      <c r="MD329" s="9" t="n">
        <v>0</v>
      </c>
      <c r="MH329" s="10" t="n">
        <v>46300</v>
      </c>
      <c r="MJ329" s="9" t="n">
        <v>0</v>
      </c>
      <c r="ML329" s="9" t="n">
        <v>0</v>
      </c>
      <c r="MM329" s="9" t="n">
        <v>0</v>
      </c>
      <c r="MQ329" s="10" t="n">
        <v>46300</v>
      </c>
      <c r="MS329" s="9" t="n">
        <v>0</v>
      </c>
      <c r="MU329" s="9" t="n">
        <v>0</v>
      </c>
      <c r="MV329" s="9" t="n">
        <v>1625</v>
      </c>
      <c r="MZ329" s="10" t="n">
        <v>46300</v>
      </c>
      <c r="NB329" s="9" t="n">
        <v>0</v>
      </c>
      <c r="ND329" s="9" t="n">
        <v>0</v>
      </c>
      <c r="NE329" s="9" t="n">
        <v>0</v>
      </c>
      <c r="NI329" s="10" t="n">
        <v>46300</v>
      </c>
      <c r="NK329" s="9" t="n">
        <v>0</v>
      </c>
      <c r="NM329" s="9" t="n">
        <v>0</v>
      </c>
      <c r="NN329" s="9" t="n">
        <v>1127</v>
      </c>
      <c r="NR329" s="10" t="n">
        <v>46300</v>
      </c>
      <c r="NT329" s="9" t="n">
        <v>0</v>
      </c>
      <c r="NV329" s="9" t="n">
        <v>0</v>
      </c>
      <c r="NW329" s="9" t="n">
        <v>3112</v>
      </c>
      <c r="OA329" s="10" t="n">
        <v>46300</v>
      </c>
      <c r="OC329" s="9" t="n">
        <v>0</v>
      </c>
      <c r="OE329" s="9" t="n">
        <v>0</v>
      </c>
      <c r="OF329" s="9" t="n">
        <v>1680.5</v>
      </c>
      <c r="OJ329" s="10" t="n">
        <v>46300</v>
      </c>
      <c r="OL329" s="9" t="n">
        <v>0</v>
      </c>
      <c r="ON329" s="9" t="n">
        <v>0</v>
      </c>
      <c r="OO329" s="9" t="n">
        <v>0</v>
      </c>
      <c r="OS329" s="10" t="n">
        <v>46300</v>
      </c>
      <c r="OU329" s="9" t="n">
        <v>0</v>
      </c>
      <c r="OW329" s="9" t="n">
        <v>0</v>
      </c>
      <c r="OX329" s="9" t="n">
        <v>1482</v>
      </c>
      <c r="PB329" s="10" t="n">
        <v>46300</v>
      </c>
      <c r="PD329" s="9" t="n">
        <v>0</v>
      </c>
      <c r="PF329" s="9" t="n">
        <v>0</v>
      </c>
      <c r="PG329" s="9" t="n">
        <v>0</v>
      </c>
      <c r="PK329" s="10" t="n">
        <v>46300</v>
      </c>
      <c r="PM329" s="9" t="n">
        <v>0</v>
      </c>
      <c r="PO329" s="9" t="n">
        <v>0</v>
      </c>
      <c r="PP329" s="9" t="n">
        <v>100</v>
      </c>
      <c r="PT329" s="10" t="n">
        <v>46300</v>
      </c>
      <c r="PV329" s="9" t="n">
        <v>0</v>
      </c>
      <c r="PX329" s="9" t="n">
        <v>0</v>
      </c>
      <c r="PY329" s="9" t="n">
        <v>13.96000000000004</v>
      </c>
      <c r="QC329" s="10" t="n">
        <v>46300</v>
      </c>
      <c r="QE329" s="9" t="n">
        <v>0</v>
      </c>
      <c r="QG329" s="9" t="n">
        <v>0</v>
      </c>
      <c r="QH329" s="9" t="n">
        <v>548</v>
      </c>
      <c r="QL329" s="10" t="n">
        <v>46300</v>
      </c>
      <c r="QN329" s="9" t="n">
        <v>0</v>
      </c>
      <c r="QP329" s="9" t="n">
        <v>0</v>
      </c>
      <c r="QQ329" s="9" t="n">
        <v>0</v>
      </c>
      <c r="QU329" s="10" t="n">
        <v>46300</v>
      </c>
      <c r="QW329" s="9" t="n">
        <v>0</v>
      </c>
      <c r="QY329" s="9" t="n">
        <v>0</v>
      </c>
      <c r="QZ329" s="9" t="n">
        <v>0</v>
      </c>
      <c r="RD329" s="10" t="n">
        <v>46300</v>
      </c>
      <c r="RF329" s="9" t="n">
        <v>0</v>
      </c>
      <c r="RH329" s="9" t="n">
        <v>0</v>
      </c>
      <c r="RI329" s="9" t="n">
        <v>147.04</v>
      </c>
      <c r="RM329" s="10" t="n">
        <v>46300</v>
      </c>
      <c r="RO329" s="9" t="n">
        <v>0</v>
      </c>
      <c r="RQ329" s="9" t="n">
        <v>0</v>
      </c>
      <c r="RR329" s="9" t="n">
        <v>46.8</v>
      </c>
      <c r="RV329" s="10" t="n">
        <v>46300</v>
      </c>
      <c r="RX329" s="9" t="n">
        <v>0</v>
      </c>
      <c r="RZ329" s="9" t="n">
        <v>0</v>
      </c>
      <c r="SA329" s="9" t="n">
        <v>0</v>
      </c>
      <c r="SE329" s="10" t="n">
        <v>46300</v>
      </c>
      <c r="SG329" s="9" t="n">
        <v>0</v>
      </c>
      <c r="SI329" s="9" t="n">
        <v>0</v>
      </c>
      <c r="SJ329" s="9" t="n">
        <v>24.2</v>
      </c>
      <c r="SN329" s="10" t="n">
        <v>46300</v>
      </c>
      <c r="SP329" s="9" t="n">
        <v>0</v>
      </c>
      <c r="SR329" s="9" t="n">
        <v>0</v>
      </c>
      <c r="SS329" s="9" t="n">
        <v>32</v>
      </c>
      <c r="SW329" s="10" t="n">
        <v>46300</v>
      </c>
      <c r="SY329" s="9" t="n">
        <v>0</v>
      </c>
      <c r="TA329" s="9" t="n">
        <v>0</v>
      </c>
      <c r="TB329" s="9" t="n">
        <v>0</v>
      </c>
      <c r="TF329" s="10" t="n">
        <v>46300</v>
      </c>
      <c r="TH329" s="9" t="n">
        <v>0</v>
      </c>
      <c r="TJ329" s="9" t="n">
        <v>0</v>
      </c>
      <c r="TK329" s="9" t="n">
        <v>0</v>
      </c>
      <c r="TO329" s="10" t="n">
        <v>46300</v>
      </c>
      <c r="TQ329" s="9" t="n">
        <v>0</v>
      </c>
      <c r="TS329" s="9" t="n">
        <v>0</v>
      </c>
      <c r="TT329" s="9" t="n">
        <v>0</v>
      </c>
      <c r="TX329" s="10" t="n">
        <v>46300</v>
      </c>
      <c r="TZ329" s="9" t="n">
        <v>0</v>
      </c>
      <c r="UB329" s="9" t="n">
        <v>0</v>
      </c>
      <c r="UC329" s="9" t="n">
        <v>46.79999999999998</v>
      </c>
      <c r="UG329" s="10" t="n">
        <v>46300</v>
      </c>
      <c r="UI329" s="9" t="n">
        <v>0</v>
      </c>
      <c r="UK329" s="9" t="n">
        <v>0</v>
      </c>
      <c r="UL329" s="9" t="n">
        <v>204</v>
      </c>
      <c r="UP329" s="10" t="n">
        <v>46300</v>
      </c>
      <c r="UR329" s="9" t="n">
        <v>0</v>
      </c>
      <c r="UT329" s="9" t="n">
        <v>0</v>
      </c>
      <c r="UU329" s="9" t="n">
        <v>202.5</v>
      </c>
      <c r="UY329" s="10" t="n">
        <v>46300</v>
      </c>
      <c r="VA329" s="9" t="n">
        <v>0</v>
      </c>
      <c r="VC329" s="9" t="n">
        <v>0</v>
      </c>
      <c r="VD329" s="9" t="n">
        <v>41.60000000000002</v>
      </c>
      <c r="VH329" s="10" t="n">
        <v>46300</v>
      </c>
      <c r="VJ329" s="9" t="n">
        <v>0</v>
      </c>
      <c r="VL329" s="9" t="n">
        <v>0</v>
      </c>
      <c r="VM329" s="9" t="n">
        <v>210</v>
      </c>
      <c r="VQ329" s="10" t="n">
        <v>46300</v>
      </c>
      <c r="VS329" s="9" t="n">
        <v>0</v>
      </c>
      <c r="VU329" s="9" t="n">
        <v>0</v>
      </c>
      <c r="VV329" s="9" t="n">
        <v>0</v>
      </c>
      <c r="VZ329" s="10" t="n">
        <v>46300</v>
      </c>
      <c r="WB329" s="9" t="n">
        <v>0</v>
      </c>
      <c r="WD329" s="9" t="n">
        <v>0</v>
      </c>
      <c r="WE329" s="9" t="n">
        <v>0</v>
      </c>
      <c r="WI329" s="10" t="n">
        <v>46300</v>
      </c>
      <c r="WK329" s="9" t="n">
        <v>0</v>
      </c>
      <c r="WM329" s="9" t="n">
        <v>0</v>
      </c>
      <c r="WN329" s="9" t="n">
        <v>1057</v>
      </c>
      <c r="WR329" s="10" t="n">
        <v>46300</v>
      </c>
      <c r="WT329" s="9" t="n">
        <v>0</v>
      </c>
      <c r="WV329" s="9" t="n">
        <v>0</v>
      </c>
      <c r="WW329" s="9" t="n">
        <v>0</v>
      </c>
      <c r="XA329" s="10" t="n">
        <v>46300</v>
      </c>
      <c r="XC329" s="9" t="n">
        <v>0</v>
      </c>
      <c r="XE329" s="9" t="n">
        <v>0</v>
      </c>
      <c r="XF329" s="9" t="n">
        <v>7507</v>
      </c>
      <c r="XJ329" s="10" t="n">
        <v>46300</v>
      </c>
      <c r="XL329" s="9" t="n">
        <v>0</v>
      </c>
      <c r="XN329" s="9" t="n">
        <v>0</v>
      </c>
      <c r="XO329" s="9" t="n">
        <v>4252</v>
      </c>
      <c r="XS329" s="10" t="n">
        <v>46300</v>
      </c>
      <c r="XU329" s="9" t="n">
        <v>0</v>
      </c>
      <c r="XW329" s="9" t="n">
        <v>0</v>
      </c>
      <c r="XX329" s="9" t="n">
        <v>2179</v>
      </c>
      <c r="YB329" s="10" t="n">
        <v>46300</v>
      </c>
      <c r="YD329" s="9" t="n">
        <v>0</v>
      </c>
      <c r="YF329" s="9" t="n">
        <v>0</v>
      </c>
      <c r="YG329" s="9" t="n">
        <v>4019</v>
      </c>
      <c r="YK329" s="10" t="n">
        <v>46300</v>
      </c>
      <c r="YM329" s="9" t="n">
        <v>0</v>
      </c>
      <c r="YO329" s="9" t="n">
        <v>0</v>
      </c>
      <c r="YP329" s="9" t="n">
        <v>-218</v>
      </c>
      <c r="YT329" s="10" t="n">
        <v>46300</v>
      </c>
      <c r="YV329" s="9" t="n">
        <v>0</v>
      </c>
      <c r="YX329" s="9" t="n">
        <v>0</v>
      </c>
      <c r="YY329" s="9" t="n">
        <v>0</v>
      </c>
      <c r="ZC329" s="10" t="n">
        <v>46300</v>
      </c>
      <c r="ZE329" s="9" t="n">
        <v>0</v>
      </c>
      <c r="ZG329" s="9" t="n">
        <v>0</v>
      </c>
      <c r="ZH329" s="9" t="n">
        <v>0</v>
      </c>
      <c r="ZL329" s="10" t="n">
        <v>46300</v>
      </c>
      <c r="ZN329" s="9" t="n">
        <v>0</v>
      </c>
      <c r="ZP329" s="9" t="n">
        <v>0</v>
      </c>
      <c r="ZQ329" s="9" t="n">
        <v>0</v>
      </c>
      <c r="ZU329" s="10" t="n">
        <v>46300</v>
      </c>
      <c r="ZW329" s="9" t="n">
        <v>0</v>
      </c>
      <c r="ZY329" s="9" t="n">
        <v>0</v>
      </c>
      <c r="ZZ329" s="9" t="n">
        <v>0</v>
      </c>
      <c r="AAD329" s="10" t="n">
        <v>46300</v>
      </c>
      <c r="AAF329" s="9" t="n">
        <v>0</v>
      </c>
      <c r="AAH329" s="9" t="n">
        <v>0</v>
      </c>
      <c r="AAI329" s="9" t="n">
        <v>0</v>
      </c>
      <c r="AAM329" s="10" t="n">
        <v>46300</v>
      </c>
      <c r="AAO329" s="9" t="n">
        <v>0</v>
      </c>
      <c r="AAQ329" s="9" t="n">
        <v>0</v>
      </c>
      <c r="AAR329" s="9" t="n">
        <v>0</v>
      </c>
      <c r="AAV329" s="10" t="n">
        <v>46300</v>
      </c>
      <c r="AAX329" s="9" t="n">
        <v>0</v>
      </c>
      <c r="AAZ329" s="9" t="n">
        <v>0</v>
      </c>
      <c r="ABA329" s="9" t="n">
        <v>0</v>
      </c>
      <c r="ABE329" s="10" t="n">
        <v>46300</v>
      </c>
      <c r="ABG329" s="9" t="n">
        <v>0</v>
      </c>
      <c r="ABI329" s="9" t="n">
        <v>0</v>
      </c>
      <c r="ABJ329" s="9" t="n">
        <v>0</v>
      </c>
    </row>
    <row r="330">
      <c r="C330" s="10" t="n">
        <v>46301</v>
      </c>
      <c r="E330" s="9" t="n">
        <v>0</v>
      </c>
      <c r="G330" s="9" t="n">
        <v>0</v>
      </c>
      <c r="H330" s="9" t="n">
        <v>236936.6</v>
      </c>
      <c r="L330" s="10" t="n">
        <v>46301</v>
      </c>
      <c r="N330" s="9" t="n">
        <v>0</v>
      </c>
      <c r="P330" s="9" t="n">
        <v>0</v>
      </c>
      <c r="Q330" s="9" t="n">
        <v>53017.60000000007</v>
      </c>
      <c r="U330" s="10" t="n">
        <v>46301</v>
      </c>
      <c r="W330" s="9" t="n">
        <v>0</v>
      </c>
      <c r="Y330" s="9" t="n">
        <v>0</v>
      </c>
      <c r="Z330" s="9" t="n">
        <v>42674.19999999997</v>
      </c>
      <c r="AD330" s="10" t="n">
        <v>46301</v>
      </c>
      <c r="AF330" s="9" t="n">
        <v>0</v>
      </c>
      <c r="AH330" s="9" t="n">
        <v>0</v>
      </c>
      <c r="AI330" s="9" t="n">
        <v>4522.200000000019</v>
      </c>
      <c r="AM330" s="10" t="n">
        <v>46301</v>
      </c>
      <c r="AO330" s="9" t="n">
        <v>0</v>
      </c>
      <c r="AQ330" s="9" t="n">
        <v>0</v>
      </c>
      <c r="AR330" s="9" t="n">
        <v>0</v>
      </c>
      <c r="AV330" s="10" t="n">
        <v>46301</v>
      </c>
      <c r="AX330" s="9" t="n">
        <v>0</v>
      </c>
      <c r="AZ330" s="9" t="n">
        <v>0</v>
      </c>
      <c r="BA330" s="9" t="n">
        <v>124.9999999999952</v>
      </c>
      <c r="BE330" s="10" t="n">
        <v>46301</v>
      </c>
      <c r="BG330" s="9" t="n">
        <v>0</v>
      </c>
      <c r="BI330" s="9" t="n">
        <v>0</v>
      </c>
      <c r="BJ330" s="9" t="n">
        <v>26151.9</v>
      </c>
      <c r="BN330" s="10" t="n">
        <v>46301</v>
      </c>
      <c r="BP330" s="9" t="n">
        <v>0</v>
      </c>
      <c r="BR330" s="9" t="n">
        <v>0</v>
      </c>
      <c r="BS330" s="9" t="n">
        <v>0</v>
      </c>
      <c r="BW330" s="10" t="n">
        <v>46301</v>
      </c>
      <c r="BY330" s="9" t="n">
        <v>0</v>
      </c>
      <c r="CA330" s="9" t="n">
        <v>0</v>
      </c>
      <c r="CB330" s="9" t="n">
        <v>2097.339999999999</v>
      </c>
      <c r="CF330" s="10" t="n">
        <v>46301</v>
      </c>
      <c r="CH330" s="9" t="n">
        <v>0</v>
      </c>
      <c r="CJ330" s="9" t="n">
        <v>0</v>
      </c>
      <c r="CK330" s="9" t="n">
        <v>-10277.08</v>
      </c>
      <c r="CO330" s="10" t="n">
        <v>46301</v>
      </c>
      <c r="CQ330" s="9" t="n">
        <v>0</v>
      </c>
      <c r="CS330" s="9" t="n">
        <v>0</v>
      </c>
      <c r="CT330" s="9" t="n">
        <v>0</v>
      </c>
      <c r="CX330" s="10" t="n">
        <v>46301</v>
      </c>
      <c r="CZ330" s="9" t="n">
        <v>0</v>
      </c>
      <c r="DB330" s="9" t="n">
        <v>0</v>
      </c>
      <c r="DC330" s="9" t="n">
        <v>27438.20000000001</v>
      </c>
      <c r="DG330" s="10" t="n">
        <v>46301</v>
      </c>
      <c r="DI330" s="9" t="n">
        <v>0</v>
      </c>
      <c r="DK330" s="9" t="n">
        <v>0</v>
      </c>
      <c r="DL330" s="9" t="n">
        <v>18782.29999999998</v>
      </c>
      <c r="DP330" s="10" t="n">
        <v>46301</v>
      </c>
      <c r="DR330" s="9" t="n">
        <v>0</v>
      </c>
      <c r="DT330" s="9" t="n">
        <v>0</v>
      </c>
      <c r="DU330" s="9" t="n">
        <v>5800</v>
      </c>
      <c r="DY330" s="10" t="n">
        <v>46301</v>
      </c>
      <c r="EA330" s="9" t="n">
        <v>0</v>
      </c>
      <c r="EC330" s="9" t="n">
        <v>0</v>
      </c>
      <c r="ED330" s="9" t="n">
        <v>0</v>
      </c>
      <c r="EH330" s="10" t="n">
        <v>46301</v>
      </c>
      <c r="EJ330" s="9" t="n">
        <v>0</v>
      </c>
      <c r="EL330" s="9" t="n">
        <v>0</v>
      </c>
      <c r="EM330" s="9" t="n">
        <v>0</v>
      </c>
      <c r="EQ330" s="10" t="n">
        <v>46301</v>
      </c>
      <c r="ES330" s="9" t="n">
        <v>0</v>
      </c>
      <c r="EU330" s="9" t="n">
        <v>0</v>
      </c>
      <c r="EV330" s="9" t="n">
        <v>0</v>
      </c>
      <c r="EZ330" s="10" t="n">
        <v>46301</v>
      </c>
      <c r="FB330" s="9" t="n">
        <v>0</v>
      </c>
      <c r="FD330" s="9" t="n">
        <v>0</v>
      </c>
      <c r="FE330" s="9" t="n">
        <v>0</v>
      </c>
      <c r="FI330" s="10" t="n">
        <v>46301</v>
      </c>
      <c r="FK330" s="9" t="n">
        <v>0</v>
      </c>
      <c r="FM330" s="9" t="n">
        <v>0</v>
      </c>
      <c r="FN330" s="9" t="n">
        <v>0</v>
      </c>
      <c r="FR330" s="10" t="n">
        <v>46301</v>
      </c>
      <c r="FT330" s="9" t="n">
        <v>0</v>
      </c>
      <c r="FV330" s="9" t="n">
        <v>0</v>
      </c>
      <c r="FW330" s="9" t="n">
        <v>2020</v>
      </c>
      <c r="GA330" s="10" t="n">
        <v>46301</v>
      </c>
      <c r="GC330" s="9" t="n">
        <v>0</v>
      </c>
      <c r="GE330" s="9" t="n">
        <v>0</v>
      </c>
      <c r="GF330" s="9" t="n">
        <v>960</v>
      </c>
      <c r="GJ330" s="10" t="n">
        <v>46301</v>
      </c>
      <c r="GL330" s="9" t="n">
        <v>0</v>
      </c>
      <c r="GN330" s="9" t="n">
        <v>0</v>
      </c>
      <c r="GO330" s="9" t="n">
        <v>1760</v>
      </c>
      <c r="GS330" s="10" t="n">
        <v>46301</v>
      </c>
      <c r="GU330" s="9" t="n">
        <v>0</v>
      </c>
      <c r="GW330" s="9" t="n">
        <v>0</v>
      </c>
      <c r="GX330" s="9" t="n">
        <v>400</v>
      </c>
      <c r="HB330" s="10" t="n">
        <v>46301</v>
      </c>
      <c r="HD330" s="9" t="n">
        <v>0</v>
      </c>
      <c r="HF330" s="9" t="n">
        <v>0</v>
      </c>
      <c r="HG330" s="9" t="n">
        <v>3600</v>
      </c>
      <c r="HK330" s="10" t="n">
        <v>46301</v>
      </c>
      <c r="HM330" s="9" t="n">
        <v>0</v>
      </c>
      <c r="HO330" s="9" t="n">
        <v>0</v>
      </c>
      <c r="HP330" s="9" t="n">
        <v>0</v>
      </c>
      <c r="HU330" s="10" t="n">
        <v>46301</v>
      </c>
      <c r="HW330" s="9" t="n">
        <v>0</v>
      </c>
      <c r="HY330" s="9" t="n">
        <v>0</v>
      </c>
      <c r="HZ330" s="9" t="n">
        <v>6120</v>
      </c>
      <c r="ID330" s="10" t="n">
        <v>46301</v>
      </c>
      <c r="IF330" s="9" t="n">
        <v>0</v>
      </c>
      <c r="IH330" s="9" t="n">
        <v>0</v>
      </c>
      <c r="II330" s="9" t="n">
        <v>0</v>
      </c>
      <c r="IM330" s="10" t="n">
        <v>46301</v>
      </c>
      <c r="IO330" s="9" t="n">
        <v>0</v>
      </c>
      <c r="IQ330" s="9" t="n">
        <v>0</v>
      </c>
      <c r="IR330" s="9" t="n">
        <v>0</v>
      </c>
      <c r="IV330" s="10" t="n">
        <v>46301</v>
      </c>
      <c r="IX330" s="9" t="n">
        <v>0</v>
      </c>
      <c r="IZ330" s="9" t="n">
        <v>0</v>
      </c>
      <c r="JA330" s="9" t="n">
        <v>2820</v>
      </c>
      <c r="JE330" s="10" t="n">
        <v>46301</v>
      </c>
      <c r="JG330" s="9" t="n">
        <v>0</v>
      </c>
      <c r="JI330" s="9" t="n">
        <v>0</v>
      </c>
      <c r="JJ330" s="9" t="n">
        <v>0</v>
      </c>
      <c r="JN330" s="10" t="n">
        <v>46301</v>
      </c>
      <c r="JP330" s="9" t="n">
        <v>0</v>
      </c>
      <c r="JR330" s="9" t="n">
        <v>0</v>
      </c>
      <c r="JS330" s="9" t="n">
        <v>0</v>
      </c>
      <c r="JW330" s="10" t="n">
        <v>46301</v>
      </c>
      <c r="JY330" s="9" t="n">
        <v>0</v>
      </c>
      <c r="KA330" s="9" t="n">
        <v>0</v>
      </c>
      <c r="KB330" s="9" t="n">
        <v>2540</v>
      </c>
      <c r="KF330" s="10" t="n">
        <v>46301</v>
      </c>
      <c r="KH330" s="9" t="n">
        <v>0</v>
      </c>
      <c r="KJ330" s="9" t="n">
        <v>0</v>
      </c>
      <c r="KK330" s="9" t="n">
        <v>2359.5</v>
      </c>
      <c r="KO330" s="10" t="n">
        <v>46301</v>
      </c>
      <c r="KQ330" s="9" t="n">
        <v>0</v>
      </c>
      <c r="KS330" s="9" t="n">
        <v>0</v>
      </c>
      <c r="KT330" s="9" t="n">
        <v>1890</v>
      </c>
      <c r="KX330" s="10" t="n">
        <v>46301</v>
      </c>
      <c r="KZ330" s="9" t="n">
        <v>0</v>
      </c>
      <c r="LB330" s="9" t="n">
        <v>0</v>
      </c>
      <c r="LC330" s="9" t="n">
        <v>3690</v>
      </c>
      <c r="LG330" s="10" t="n">
        <v>46301</v>
      </c>
      <c r="LI330" s="9" t="n">
        <v>0</v>
      </c>
      <c r="LK330" s="9" t="n">
        <v>0</v>
      </c>
      <c r="LL330" s="9" t="n">
        <v>4000</v>
      </c>
      <c r="LP330" s="10" t="n">
        <v>46301</v>
      </c>
      <c r="LR330" s="9" t="n">
        <v>0</v>
      </c>
      <c r="LT330" s="9" t="n">
        <v>0</v>
      </c>
      <c r="LU330" s="9" t="n">
        <v>0</v>
      </c>
      <c r="LY330" s="10" t="n">
        <v>46301</v>
      </c>
      <c r="MA330" s="9" t="n">
        <v>0</v>
      </c>
      <c r="MC330" s="9" t="n">
        <v>0</v>
      </c>
      <c r="MD330" s="9" t="n">
        <v>0</v>
      </c>
      <c r="MH330" s="10" t="n">
        <v>46301</v>
      </c>
      <c r="MJ330" s="9" t="n">
        <v>0</v>
      </c>
      <c r="ML330" s="9" t="n">
        <v>0</v>
      </c>
      <c r="MM330" s="9" t="n">
        <v>0</v>
      </c>
      <c r="MQ330" s="10" t="n">
        <v>46301</v>
      </c>
      <c r="MS330" s="9" t="n">
        <v>0</v>
      </c>
      <c r="MU330" s="9" t="n">
        <v>0</v>
      </c>
      <c r="MV330" s="9" t="n">
        <v>1625</v>
      </c>
      <c r="MZ330" s="10" t="n">
        <v>46301</v>
      </c>
      <c r="NB330" s="9" t="n">
        <v>0</v>
      </c>
      <c r="ND330" s="9" t="n">
        <v>0</v>
      </c>
      <c r="NE330" s="9" t="n">
        <v>0</v>
      </c>
      <c r="NI330" s="10" t="n">
        <v>46301</v>
      </c>
      <c r="NK330" s="9" t="n">
        <v>0</v>
      </c>
      <c r="NM330" s="9" t="n">
        <v>0</v>
      </c>
      <c r="NN330" s="9" t="n">
        <v>1127</v>
      </c>
      <c r="NR330" s="10" t="n">
        <v>46301</v>
      </c>
      <c r="NT330" s="9" t="n">
        <v>0</v>
      </c>
      <c r="NV330" s="9" t="n">
        <v>0</v>
      </c>
      <c r="NW330" s="9" t="n">
        <v>3112</v>
      </c>
      <c r="OA330" s="10" t="n">
        <v>46301</v>
      </c>
      <c r="OC330" s="9" t="n">
        <v>0</v>
      </c>
      <c r="OE330" s="9" t="n">
        <v>0</v>
      </c>
      <c r="OF330" s="9" t="n">
        <v>1680.5</v>
      </c>
      <c r="OJ330" s="10" t="n">
        <v>46301</v>
      </c>
      <c r="OL330" s="9" t="n">
        <v>0</v>
      </c>
      <c r="ON330" s="9" t="n">
        <v>0</v>
      </c>
      <c r="OO330" s="9" t="n">
        <v>0</v>
      </c>
      <c r="OS330" s="10" t="n">
        <v>46301</v>
      </c>
      <c r="OU330" s="9" t="n">
        <v>0</v>
      </c>
      <c r="OW330" s="9" t="n">
        <v>0</v>
      </c>
      <c r="OX330" s="9" t="n">
        <v>1482</v>
      </c>
      <c r="PB330" s="10" t="n">
        <v>46301</v>
      </c>
      <c r="PD330" s="9" t="n">
        <v>0</v>
      </c>
      <c r="PF330" s="9" t="n">
        <v>0</v>
      </c>
      <c r="PG330" s="9" t="n">
        <v>0</v>
      </c>
      <c r="PK330" s="10" t="n">
        <v>46301</v>
      </c>
      <c r="PM330" s="9" t="n">
        <v>0</v>
      </c>
      <c r="PO330" s="9" t="n">
        <v>0</v>
      </c>
      <c r="PP330" s="9" t="n">
        <v>100</v>
      </c>
      <c r="PT330" s="10" t="n">
        <v>46301</v>
      </c>
      <c r="PV330" s="9" t="n">
        <v>0</v>
      </c>
      <c r="PX330" s="9" t="n">
        <v>0</v>
      </c>
      <c r="PY330" s="9" t="n">
        <v>13.96000000000004</v>
      </c>
      <c r="QC330" s="10" t="n">
        <v>46301</v>
      </c>
      <c r="QE330" s="9" t="n">
        <v>0</v>
      </c>
      <c r="QG330" s="9" t="n">
        <v>0</v>
      </c>
      <c r="QH330" s="9" t="n">
        <v>548</v>
      </c>
      <c r="QL330" s="10" t="n">
        <v>46301</v>
      </c>
      <c r="QN330" s="9" t="n">
        <v>0</v>
      </c>
      <c r="QP330" s="9" t="n">
        <v>0</v>
      </c>
      <c r="QQ330" s="9" t="n">
        <v>0</v>
      </c>
      <c r="QU330" s="10" t="n">
        <v>46301</v>
      </c>
      <c r="QW330" s="9" t="n">
        <v>0</v>
      </c>
      <c r="QY330" s="9" t="n">
        <v>0</v>
      </c>
      <c r="QZ330" s="9" t="n">
        <v>0</v>
      </c>
      <c r="RD330" s="10" t="n">
        <v>46301</v>
      </c>
      <c r="RF330" s="9" t="n">
        <v>0</v>
      </c>
      <c r="RH330" s="9" t="n">
        <v>0</v>
      </c>
      <c r="RI330" s="9" t="n">
        <v>147.04</v>
      </c>
      <c r="RM330" s="10" t="n">
        <v>46301</v>
      </c>
      <c r="RO330" s="9" t="n">
        <v>0</v>
      </c>
      <c r="RQ330" s="9" t="n">
        <v>0</v>
      </c>
      <c r="RR330" s="9" t="n">
        <v>46.8</v>
      </c>
      <c r="RV330" s="10" t="n">
        <v>46301</v>
      </c>
      <c r="RX330" s="9" t="n">
        <v>0</v>
      </c>
      <c r="RZ330" s="9" t="n">
        <v>0</v>
      </c>
      <c r="SA330" s="9" t="n">
        <v>0</v>
      </c>
      <c r="SE330" s="10" t="n">
        <v>46301</v>
      </c>
      <c r="SG330" s="9" t="n">
        <v>0</v>
      </c>
      <c r="SI330" s="9" t="n">
        <v>0</v>
      </c>
      <c r="SJ330" s="9" t="n">
        <v>24.2</v>
      </c>
      <c r="SN330" s="10" t="n">
        <v>46301</v>
      </c>
      <c r="SP330" s="9" t="n">
        <v>0</v>
      </c>
      <c r="SR330" s="9" t="n">
        <v>0</v>
      </c>
      <c r="SS330" s="9" t="n">
        <v>32</v>
      </c>
      <c r="SW330" s="10" t="n">
        <v>46301</v>
      </c>
      <c r="SY330" s="9" t="n">
        <v>0</v>
      </c>
      <c r="TA330" s="9" t="n">
        <v>0</v>
      </c>
      <c r="TB330" s="9" t="n">
        <v>0</v>
      </c>
      <c r="TF330" s="10" t="n">
        <v>46301</v>
      </c>
      <c r="TH330" s="9" t="n">
        <v>0</v>
      </c>
      <c r="TJ330" s="9" t="n">
        <v>0</v>
      </c>
      <c r="TK330" s="9" t="n">
        <v>0</v>
      </c>
      <c r="TO330" s="10" t="n">
        <v>46301</v>
      </c>
      <c r="TQ330" s="9" t="n">
        <v>0</v>
      </c>
      <c r="TS330" s="9" t="n">
        <v>0</v>
      </c>
      <c r="TT330" s="9" t="n">
        <v>0</v>
      </c>
      <c r="TX330" s="10" t="n">
        <v>46301</v>
      </c>
      <c r="TZ330" s="9" t="n">
        <v>0</v>
      </c>
      <c r="UB330" s="9" t="n">
        <v>0</v>
      </c>
      <c r="UC330" s="9" t="n">
        <v>46.79999999999998</v>
      </c>
      <c r="UG330" s="10" t="n">
        <v>46301</v>
      </c>
      <c r="UI330" s="9" t="n">
        <v>0</v>
      </c>
      <c r="UK330" s="9" t="n">
        <v>0</v>
      </c>
      <c r="UL330" s="9" t="n">
        <v>204</v>
      </c>
      <c r="UP330" s="10" t="n">
        <v>46301</v>
      </c>
      <c r="UR330" s="9" t="n">
        <v>0</v>
      </c>
      <c r="UT330" s="9" t="n">
        <v>0</v>
      </c>
      <c r="UU330" s="9" t="n">
        <v>202.5</v>
      </c>
      <c r="UY330" s="10" t="n">
        <v>46301</v>
      </c>
      <c r="VA330" s="9" t="n">
        <v>0</v>
      </c>
      <c r="VC330" s="9" t="n">
        <v>0</v>
      </c>
      <c r="VD330" s="9" t="n">
        <v>41.60000000000002</v>
      </c>
      <c r="VH330" s="10" t="n">
        <v>46301</v>
      </c>
      <c r="VJ330" s="9" t="n">
        <v>0</v>
      </c>
      <c r="VL330" s="9" t="n">
        <v>0</v>
      </c>
      <c r="VM330" s="9" t="n">
        <v>210</v>
      </c>
      <c r="VQ330" s="10" t="n">
        <v>46301</v>
      </c>
      <c r="VS330" s="9" t="n">
        <v>0</v>
      </c>
      <c r="VU330" s="9" t="n">
        <v>0</v>
      </c>
      <c r="VV330" s="9" t="n">
        <v>0</v>
      </c>
      <c r="VZ330" s="10" t="n">
        <v>46301</v>
      </c>
      <c r="WB330" s="9" t="n">
        <v>0</v>
      </c>
      <c r="WD330" s="9" t="n">
        <v>0</v>
      </c>
      <c r="WE330" s="9" t="n">
        <v>0</v>
      </c>
      <c r="WI330" s="10" t="n">
        <v>46301</v>
      </c>
      <c r="WK330" s="9" t="n">
        <v>0</v>
      </c>
      <c r="WM330" s="9" t="n">
        <v>0</v>
      </c>
      <c r="WN330" s="9" t="n">
        <v>1057</v>
      </c>
      <c r="WR330" s="10" t="n">
        <v>46301</v>
      </c>
      <c r="WT330" s="9" t="n">
        <v>0</v>
      </c>
      <c r="WV330" s="9" t="n">
        <v>0</v>
      </c>
      <c r="WW330" s="9" t="n">
        <v>0</v>
      </c>
      <c r="XA330" s="10" t="n">
        <v>46301</v>
      </c>
      <c r="XC330" s="9" t="n">
        <v>0</v>
      </c>
      <c r="XE330" s="9" t="n">
        <v>0</v>
      </c>
      <c r="XF330" s="9" t="n">
        <v>7507</v>
      </c>
      <c r="XJ330" s="10" t="n">
        <v>46301</v>
      </c>
      <c r="XL330" s="9" t="n">
        <v>0</v>
      </c>
      <c r="XN330" s="9" t="n">
        <v>0</v>
      </c>
      <c r="XO330" s="9" t="n">
        <v>4252</v>
      </c>
      <c r="XS330" s="10" t="n">
        <v>46301</v>
      </c>
      <c r="XU330" s="9" t="n">
        <v>0</v>
      </c>
      <c r="XW330" s="9" t="n">
        <v>0</v>
      </c>
      <c r="XX330" s="9" t="n">
        <v>2179</v>
      </c>
      <c r="YB330" s="10" t="n">
        <v>46301</v>
      </c>
      <c r="YD330" s="9" t="n">
        <v>0</v>
      </c>
      <c r="YF330" s="9" t="n">
        <v>0</v>
      </c>
      <c r="YG330" s="9" t="n">
        <v>4019</v>
      </c>
      <c r="YK330" s="10" t="n">
        <v>46301</v>
      </c>
      <c r="YM330" s="9" t="n">
        <v>0</v>
      </c>
      <c r="YO330" s="9" t="n">
        <v>0</v>
      </c>
      <c r="YP330" s="9" t="n">
        <v>-218</v>
      </c>
      <c r="YT330" s="10" t="n">
        <v>46301</v>
      </c>
      <c r="YV330" s="9" t="n">
        <v>0</v>
      </c>
      <c r="YX330" s="9" t="n">
        <v>0</v>
      </c>
      <c r="YY330" s="9" t="n">
        <v>0</v>
      </c>
      <c r="ZC330" s="10" t="n">
        <v>46301</v>
      </c>
      <c r="ZE330" s="9" t="n">
        <v>0</v>
      </c>
      <c r="ZG330" s="9" t="n">
        <v>0</v>
      </c>
      <c r="ZH330" s="9" t="n">
        <v>0</v>
      </c>
      <c r="ZL330" s="10" t="n">
        <v>46301</v>
      </c>
      <c r="ZN330" s="9" t="n">
        <v>0</v>
      </c>
      <c r="ZP330" s="9" t="n">
        <v>0</v>
      </c>
      <c r="ZQ330" s="9" t="n">
        <v>0</v>
      </c>
      <c r="ZU330" s="10" t="n">
        <v>46301</v>
      </c>
      <c r="ZW330" s="9" t="n">
        <v>0</v>
      </c>
      <c r="ZY330" s="9" t="n">
        <v>0</v>
      </c>
      <c r="ZZ330" s="9" t="n">
        <v>0</v>
      </c>
      <c r="AAD330" s="10" t="n">
        <v>46301</v>
      </c>
      <c r="AAF330" s="9" t="n">
        <v>0</v>
      </c>
      <c r="AAH330" s="9" t="n">
        <v>0</v>
      </c>
      <c r="AAI330" s="9" t="n">
        <v>0</v>
      </c>
      <c r="AAM330" s="10" t="n">
        <v>46301</v>
      </c>
      <c r="AAO330" s="9" t="n">
        <v>0</v>
      </c>
      <c r="AAQ330" s="9" t="n">
        <v>0</v>
      </c>
      <c r="AAR330" s="9" t="n">
        <v>0</v>
      </c>
      <c r="AAV330" s="10" t="n">
        <v>46301</v>
      </c>
      <c r="AAX330" s="9" t="n">
        <v>0</v>
      </c>
      <c r="AAZ330" s="9" t="n">
        <v>0</v>
      </c>
      <c r="ABA330" s="9" t="n">
        <v>0</v>
      </c>
      <c r="ABE330" s="10" t="n">
        <v>46301</v>
      </c>
      <c r="ABG330" s="9" t="n">
        <v>0</v>
      </c>
      <c r="ABI330" s="9" t="n">
        <v>0</v>
      </c>
      <c r="ABJ330" s="9" t="n">
        <v>0</v>
      </c>
    </row>
    <row r="331">
      <c r="C331" s="10" t="n">
        <v>46302</v>
      </c>
      <c r="E331" s="9" t="n">
        <v>0</v>
      </c>
      <c r="G331" s="9" t="n">
        <v>0</v>
      </c>
      <c r="H331" s="9" t="n">
        <v>236936.6</v>
      </c>
      <c r="L331" s="10" t="n">
        <v>46302</v>
      </c>
      <c r="N331" s="9" t="n">
        <v>0</v>
      </c>
      <c r="P331" s="9" t="n">
        <v>0</v>
      </c>
      <c r="Q331" s="9" t="n">
        <v>53017.60000000007</v>
      </c>
      <c r="U331" s="10" t="n">
        <v>46302</v>
      </c>
      <c r="W331" s="9" t="n">
        <v>0</v>
      </c>
      <c r="Y331" s="9" t="n">
        <v>0</v>
      </c>
      <c r="Z331" s="9" t="n">
        <v>42674.19999999997</v>
      </c>
      <c r="AD331" s="10" t="n">
        <v>46302</v>
      </c>
      <c r="AF331" s="9" t="n">
        <v>0</v>
      </c>
      <c r="AH331" s="9" t="n">
        <v>0</v>
      </c>
      <c r="AI331" s="9" t="n">
        <v>4522.200000000019</v>
      </c>
      <c r="AM331" s="10" t="n">
        <v>46302</v>
      </c>
      <c r="AO331" s="9" t="n">
        <v>0</v>
      </c>
      <c r="AQ331" s="9" t="n">
        <v>0</v>
      </c>
      <c r="AR331" s="9" t="n">
        <v>0</v>
      </c>
      <c r="AV331" s="10" t="n">
        <v>46302</v>
      </c>
      <c r="AX331" s="9" t="n">
        <v>0</v>
      </c>
      <c r="AZ331" s="9" t="n">
        <v>0</v>
      </c>
      <c r="BA331" s="9" t="n">
        <v>124.9999999999952</v>
      </c>
      <c r="BE331" s="10" t="n">
        <v>46302</v>
      </c>
      <c r="BG331" s="9" t="n">
        <v>0</v>
      </c>
      <c r="BI331" s="9" t="n">
        <v>0</v>
      </c>
      <c r="BJ331" s="9" t="n">
        <v>26151.9</v>
      </c>
      <c r="BN331" s="10" t="n">
        <v>46302</v>
      </c>
      <c r="BP331" s="9" t="n">
        <v>0</v>
      </c>
      <c r="BR331" s="9" t="n">
        <v>0</v>
      </c>
      <c r="BS331" s="9" t="n">
        <v>0</v>
      </c>
      <c r="BW331" s="10" t="n">
        <v>46302</v>
      </c>
      <c r="BY331" s="9" t="n">
        <v>0</v>
      </c>
      <c r="CA331" s="9" t="n">
        <v>0</v>
      </c>
      <c r="CB331" s="9" t="n">
        <v>2097.339999999999</v>
      </c>
      <c r="CF331" s="10" t="n">
        <v>46302</v>
      </c>
      <c r="CH331" s="9" t="n">
        <v>0</v>
      </c>
      <c r="CJ331" s="9" t="n">
        <v>0</v>
      </c>
      <c r="CK331" s="9" t="n">
        <v>-10277.08</v>
      </c>
      <c r="CO331" s="10" t="n">
        <v>46302</v>
      </c>
      <c r="CQ331" s="9" t="n">
        <v>0</v>
      </c>
      <c r="CS331" s="9" t="n">
        <v>0</v>
      </c>
      <c r="CT331" s="9" t="n">
        <v>0</v>
      </c>
      <c r="CX331" s="10" t="n">
        <v>46302</v>
      </c>
      <c r="CZ331" s="9" t="n">
        <v>0</v>
      </c>
      <c r="DB331" s="9" t="n">
        <v>0</v>
      </c>
      <c r="DC331" s="9" t="n">
        <v>27438.20000000001</v>
      </c>
      <c r="DG331" s="10" t="n">
        <v>46302</v>
      </c>
      <c r="DI331" s="9" t="n">
        <v>0</v>
      </c>
      <c r="DK331" s="9" t="n">
        <v>0</v>
      </c>
      <c r="DL331" s="9" t="n">
        <v>18782.29999999998</v>
      </c>
      <c r="DP331" s="10" t="n">
        <v>46302</v>
      </c>
      <c r="DR331" s="9" t="n">
        <v>0</v>
      </c>
      <c r="DT331" s="9" t="n">
        <v>0</v>
      </c>
      <c r="DU331" s="9" t="n">
        <v>5800</v>
      </c>
      <c r="DY331" s="10" t="n">
        <v>46302</v>
      </c>
      <c r="EA331" s="9" t="n">
        <v>0</v>
      </c>
      <c r="EC331" s="9" t="n">
        <v>0</v>
      </c>
      <c r="ED331" s="9" t="n">
        <v>0</v>
      </c>
      <c r="EH331" s="10" t="n">
        <v>46302</v>
      </c>
      <c r="EJ331" s="9" t="n">
        <v>0</v>
      </c>
      <c r="EL331" s="9" t="n">
        <v>0</v>
      </c>
      <c r="EM331" s="9" t="n">
        <v>0</v>
      </c>
      <c r="EQ331" s="10" t="n">
        <v>46302</v>
      </c>
      <c r="ES331" s="9" t="n">
        <v>0</v>
      </c>
      <c r="EU331" s="9" t="n">
        <v>0</v>
      </c>
      <c r="EV331" s="9" t="n">
        <v>0</v>
      </c>
      <c r="EZ331" s="10" t="n">
        <v>46302</v>
      </c>
      <c r="FB331" s="9" t="n">
        <v>0</v>
      </c>
      <c r="FD331" s="9" t="n">
        <v>0</v>
      </c>
      <c r="FE331" s="9" t="n">
        <v>0</v>
      </c>
      <c r="FI331" s="10" t="n">
        <v>46302</v>
      </c>
      <c r="FK331" s="9" t="n">
        <v>0</v>
      </c>
      <c r="FM331" s="9" t="n">
        <v>0</v>
      </c>
      <c r="FN331" s="9" t="n">
        <v>0</v>
      </c>
      <c r="FR331" s="10" t="n">
        <v>46302</v>
      </c>
      <c r="FT331" s="9" t="n">
        <v>0</v>
      </c>
      <c r="FV331" s="9" t="n">
        <v>0</v>
      </c>
      <c r="FW331" s="9" t="n">
        <v>2020</v>
      </c>
      <c r="GA331" s="10" t="n">
        <v>46302</v>
      </c>
      <c r="GC331" s="9" t="n">
        <v>0</v>
      </c>
      <c r="GE331" s="9" t="n">
        <v>0</v>
      </c>
      <c r="GF331" s="9" t="n">
        <v>960</v>
      </c>
      <c r="GJ331" s="10" t="n">
        <v>46302</v>
      </c>
      <c r="GL331" s="9" t="n">
        <v>0</v>
      </c>
      <c r="GN331" s="9" t="n">
        <v>0</v>
      </c>
      <c r="GO331" s="9" t="n">
        <v>1760</v>
      </c>
      <c r="GS331" s="10" t="n">
        <v>46302</v>
      </c>
      <c r="GU331" s="9" t="n">
        <v>0</v>
      </c>
      <c r="GW331" s="9" t="n">
        <v>0</v>
      </c>
      <c r="GX331" s="9" t="n">
        <v>400</v>
      </c>
      <c r="HB331" s="10" t="n">
        <v>46302</v>
      </c>
      <c r="HD331" s="9" t="n">
        <v>0</v>
      </c>
      <c r="HF331" s="9" t="n">
        <v>0</v>
      </c>
      <c r="HG331" s="9" t="n">
        <v>3600</v>
      </c>
      <c r="HK331" s="10" t="n">
        <v>46302</v>
      </c>
      <c r="HM331" s="9" t="n">
        <v>0</v>
      </c>
      <c r="HO331" s="9" t="n">
        <v>0</v>
      </c>
      <c r="HP331" s="9" t="n">
        <v>0</v>
      </c>
      <c r="HU331" s="10" t="n">
        <v>46302</v>
      </c>
      <c r="HW331" s="9" t="n">
        <v>0</v>
      </c>
      <c r="HY331" s="9" t="n">
        <v>0</v>
      </c>
      <c r="HZ331" s="9" t="n">
        <v>6120</v>
      </c>
      <c r="ID331" s="10" t="n">
        <v>46302</v>
      </c>
      <c r="IF331" s="9" t="n">
        <v>0</v>
      </c>
      <c r="IH331" s="9" t="n">
        <v>0</v>
      </c>
      <c r="II331" s="9" t="n">
        <v>0</v>
      </c>
      <c r="IM331" s="10" t="n">
        <v>46302</v>
      </c>
      <c r="IO331" s="9" t="n">
        <v>0</v>
      </c>
      <c r="IQ331" s="9" t="n">
        <v>0</v>
      </c>
      <c r="IR331" s="9" t="n">
        <v>0</v>
      </c>
      <c r="IV331" s="10" t="n">
        <v>46302</v>
      </c>
      <c r="IX331" s="9" t="n">
        <v>0</v>
      </c>
      <c r="IZ331" s="9" t="n">
        <v>0</v>
      </c>
      <c r="JA331" s="9" t="n">
        <v>2820</v>
      </c>
      <c r="JE331" s="10" t="n">
        <v>46302</v>
      </c>
      <c r="JG331" s="9" t="n">
        <v>0</v>
      </c>
      <c r="JI331" s="9" t="n">
        <v>0</v>
      </c>
      <c r="JJ331" s="9" t="n">
        <v>0</v>
      </c>
      <c r="JN331" s="10" t="n">
        <v>46302</v>
      </c>
      <c r="JP331" s="9" t="n">
        <v>0</v>
      </c>
      <c r="JR331" s="9" t="n">
        <v>0</v>
      </c>
      <c r="JS331" s="9" t="n">
        <v>0</v>
      </c>
      <c r="JW331" s="10" t="n">
        <v>46302</v>
      </c>
      <c r="JY331" s="9" t="n">
        <v>0</v>
      </c>
      <c r="KA331" s="9" t="n">
        <v>0</v>
      </c>
      <c r="KB331" s="9" t="n">
        <v>2540</v>
      </c>
      <c r="KF331" s="10" t="n">
        <v>46302</v>
      </c>
      <c r="KH331" s="9" t="n">
        <v>0</v>
      </c>
      <c r="KJ331" s="9" t="n">
        <v>0</v>
      </c>
      <c r="KK331" s="9" t="n">
        <v>2359.5</v>
      </c>
      <c r="KO331" s="10" t="n">
        <v>46302</v>
      </c>
      <c r="KQ331" s="9" t="n">
        <v>0</v>
      </c>
      <c r="KS331" s="9" t="n">
        <v>0</v>
      </c>
      <c r="KT331" s="9" t="n">
        <v>1890</v>
      </c>
      <c r="KX331" s="10" t="n">
        <v>46302</v>
      </c>
      <c r="KZ331" s="9" t="n">
        <v>0</v>
      </c>
      <c r="LB331" s="9" t="n">
        <v>0</v>
      </c>
      <c r="LC331" s="9" t="n">
        <v>3690</v>
      </c>
      <c r="LG331" s="10" t="n">
        <v>46302</v>
      </c>
      <c r="LI331" s="9" t="n">
        <v>0</v>
      </c>
      <c r="LK331" s="9" t="n">
        <v>0</v>
      </c>
      <c r="LL331" s="9" t="n">
        <v>4000</v>
      </c>
      <c r="LP331" s="10" t="n">
        <v>46302</v>
      </c>
      <c r="LR331" s="9" t="n">
        <v>0</v>
      </c>
      <c r="LT331" s="9" t="n">
        <v>0</v>
      </c>
      <c r="LU331" s="9" t="n">
        <v>0</v>
      </c>
      <c r="LY331" s="10" t="n">
        <v>46302</v>
      </c>
      <c r="MA331" s="9" t="n">
        <v>0</v>
      </c>
      <c r="MC331" s="9" t="n">
        <v>0</v>
      </c>
      <c r="MD331" s="9" t="n">
        <v>0</v>
      </c>
      <c r="MH331" s="10" t="n">
        <v>46302</v>
      </c>
      <c r="MJ331" s="9" t="n">
        <v>0</v>
      </c>
      <c r="ML331" s="9" t="n">
        <v>0</v>
      </c>
      <c r="MM331" s="9" t="n">
        <v>0</v>
      </c>
      <c r="MQ331" s="10" t="n">
        <v>46302</v>
      </c>
      <c r="MS331" s="9" t="n">
        <v>0</v>
      </c>
      <c r="MU331" s="9" t="n">
        <v>0</v>
      </c>
      <c r="MV331" s="9" t="n">
        <v>1625</v>
      </c>
      <c r="MZ331" s="10" t="n">
        <v>46302</v>
      </c>
      <c r="NB331" s="9" t="n">
        <v>0</v>
      </c>
      <c r="ND331" s="9" t="n">
        <v>0</v>
      </c>
      <c r="NE331" s="9" t="n">
        <v>0</v>
      </c>
      <c r="NI331" s="10" t="n">
        <v>46302</v>
      </c>
      <c r="NK331" s="9" t="n">
        <v>0</v>
      </c>
      <c r="NM331" s="9" t="n">
        <v>0</v>
      </c>
      <c r="NN331" s="9" t="n">
        <v>1127</v>
      </c>
      <c r="NR331" s="10" t="n">
        <v>46302</v>
      </c>
      <c r="NT331" s="9" t="n">
        <v>0</v>
      </c>
      <c r="NV331" s="9" t="n">
        <v>0</v>
      </c>
      <c r="NW331" s="9" t="n">
        <v>3112</v>
      </c>
      <c r="OA331" s="10" t="n">
        <v>46302</v>
      </c>
      <c r="OC331" s="9" t="n">
        <v>0</v>
      </c>
      <c r="OE331" s="9" t="n">
        <v>0</v>
      </c>
      <c r="OF331" s="9" t="n">
        <v>1680.5</v>
      </c>
      <c r="OJ331" s="10" t="n">
        <v>46302</v>
      </c>
      <c r="OL331" s="9" t="n">
        <v>0</v>
      </c>
      <c r="ON331" s="9" t="n">
        <v>0</v>
      </c>
      <c r="OO331" s="9" t="n">
        <v>0</v>
      </c>
      <c r="OS331" s="10" t="n">
        <v>46302</v>
      </c>
      <c r="OU331" s="9" t="n">
        <v>0</v>
      </c>
      <c r="OW331" s="9" t="n">
        <v>0</v>
      </c>
      <c r="OX331" s="9" t="n">
        <v>1482</v>
      </c>
      <c r="PB331" s="10" t="n">
        <v>46302</v>
      </c>
      <c r="PD331" s="9" t="n">
        <v>0</v>
      </c>
      <c r="PF331" s="9" t="n">
        <v>0</v>
      </c>
      <c r="PG331" s="9" t="n">
        <v>0</v>
      </c>
      <c r="PK331" s="10" t="n">
        <v>46302</v>
      </c>
      <c r="PM331" s="9" t="n">
        <v>0</v>
      </c>
      <c r="PO331" s="9" t="n">
        <v>0</v>
      </c>
      <c r="PP331" s="9" t="n">
        <v>100</v>
      </c>
      <c r="PT331" s="10" t="n">
        <v>46302</v>
      </c>
      <c r="PV331" s="9" t="n">
        <v>0</v>
      </c>
      <c r="PX331" s="9" t="n">
        <v>0</v>
      </c>
      <c r="PY331" s="9" t="n">
        <v>13.96000000000004</v>
      </c>
      <c r="QC331" s="10" t="n">
        <v>46302</v>
      </c>
      <c r="QE331" s="9" t="n">
        <v>0</v>
      </c>
      <c r="QG331" s="9" t="n">
        <v>0</v>
      </c>
      <c r="QH331" s="9" t="n">
        <v>548</v>
      </c>
      <c r="QL331" s="10" t="n">
        <v>46302</v>
      </c>
      <c r="QN331" s="9" t="n">
        <v>0</v>
      </c>
      <c r="QP331" s="9" t="n">
        <v>0</v>
      </c>
      <c r="QQ331" s="9" t="n">
        <v>0</v>
      </c>
      <c r="QU331" s="10" t="n">
        <v>46302</v>
      </c>
      <c r="QW331" s="9" t="n">
        <v>0</v>
      </c>
      <c r="QY331" s="9" t="n">
        <v>0</v>
      </c>
      <c r="QZ331" s="9" t="n">
        <v>0</v>
      </c>
      <c r="RD331" s="10" t="n">
        <v>46302</v>
      </c>
      <c r="RF331" s="9" t="n">
        <v>0</v>
      </c>
      <c r="RH331" s="9" t="n">
        <v>0</v>
      </c>
      <c r="RI331" s="9" t="n">
        <v>147.04</v>
      </c>
      <c r="RM331" s="10" t="n">
        <v>46302</v>
      </c>
      <c r="RO331" s="9" t="n">
        <v>0</v>
      </c>
      <c r="RQ331" s="9" t="n">
        <v>0</v>
      </c>
      <c r="RR331" s="9" t="n">
        <v>46.8</v>
      </c>
      <c r="RV331" s="10" t="n">
        <v>46302</v>
      </c>
      <c r="RX331" s="9" t="n">
        <v>0</v>
      </c>
      <c r="RZ331" s="9" t="n">
        <v>0</v>
      </c>
      <c r="SA331" s="9" t="n">
        <v>0</v>
      </c>
      <c r="SE331" s="10" t="n">
        <v>46302</v>
      </c>
      <c r="SG331" s="9" t="n">
        <v>0</v>
      </c>
      <c r="SI331" s="9" t="n">
        <v>0</v>
      </c>
      <c r="SJ331" s="9" t="n">
        <v>24.2</v>
      </c>
      <c r="SN331" s="10" t="n">
        <v>46302</v>
      </c>
      <c r="SP331" s="9" t="n">
        <v>0</v>
      </c>
      <c r="SR331" s="9" t="n">
        <v>0</v>
      </c>
      <c r="SS331" s="9" t="n">
        <v>32</v>
      </c>
      <c r="SW331" s="10" t="n">
        <v>46302</v>
      </c>
      <c r="SY331" s="9" t="n">
        <v>0</v>
      </c>
      <c r="TA331" s="9" t="n">
        <v>0</v>
      </c>
      <c r="TB331" s="9" t="n">
        <v>0</v>
      </c>
      <c r="TF331" s="10" t="n">
        <v>46302</v>
      </c>
      <c r="TH331" s="9" t="n">
        <v>0</v>
      </c>
      <c r="TJ331" s="9" t="n">
        <v>0</v>
      </c>
      <c r="TK331" s="9" t="n">
        <v>0</v>
      </c>
      <c r="TO331" s="10" t="n">
        <v>46302</v>
      </c>
      <c r="TQ331" s="9" t="n">
        <v>0</v>
      </c>
      <c r="TS331" s="9" t="n">
        <v>0</v>
      </c>
      <c r="TT331" s="9" t="n">
        <v>0</v>
      </c>
      <c r="TX331" s="10" t="n">
        <v>46302</v>
      </c>
      <c r="TZ331" s="9" t="n">
        <v>0</v>
      </c>
      <c r="UB331" s="9" t="n">
        <v>0</v>
      </c>
      <c r="UC331" s="9" t="n">
        <v>46.79999999999998</v>
      </c>
      <c r="UG331" s="10" t="n">
        <v>46302</v>
      </c>
      <c r="UI331" s="9" t="n">
        <v>0</v>
      </c>
      <c r="UK331" s="9" t="n">
        <v>0</v>
      </c>
      <c r="UL331" s="9" t="n">
        <v>204</v>
      </c>
      <c r="UP331" s="10" t="n">
        <v>46302</v>
      </c>
      <c r="UR331" s="9" t="n">
        <v>0</v>
      </c>
      <c r="UT331" s="9" t="n">
        <v>0</v>
      </c>
      <c r="UU331" s="9" t="n">
        <v>202.5</v>
      </c>
      <c r="UY331" s="10" t="n">
        <v>46302</v>
      </c>
      <c r="VA331" s="9" t="n">
        <v>0</v>
      </c>
      <c r="VC331" s="9" t="n">
        <v>0</v>
      </c>
      <c r="VD331" s="9" t="n">
        <v>41.60000000000002</v>
      </c>
      <c r="VH331" s="10" t="n">
        <v>46302</v>
      </c>
      <c r="VJ331" s="9" t="n">
        <v>0</v>
      </c>
      <c r="VL331" s="9" t="n">
        <v>0</v>
      </c>
      <c r="VM331" s="9" t="n">
        <v>210</v>
      </c>
      <c r="VQ331" s="10" t="n">
        <v>46302</v>
      </c>
      <c r="VS331" s="9" t="n">
        <v>0</v>
      </c>
      <c r="VU331" s="9" t="n">
        <v>0</v>
      </c>
      <c r="VV331" s="9" t="n">
        <v>0</v>
      </c>
      <c r="VZ331" s="10" t="n">
        <v>46302</v>
      </c>
      <c r="WB331" s="9" t="n">
        <v>0</v>
      </c>
      <c r="WD331" s="9" t="n">
        <v>0</v>
      </c>
      <c r="WE331" s="9" t="n">
        <v>0</v>
      </c>
      <c r="WI331" s="10" t="n">
        <v>46302</v>
      </c>
      <c r="WK331" s="9" t="n">
        <v>0</v>
      </c>
      <c r="WM331" s="9" t="n">
        <v>0</v>
      </c>
      <c r="WN331" s="9" t="n">
        <v>1057</v>
      </c>
      <c r="WR331" s="10" t="n">
        <v>46302</v>
      </c>
      <c r="WT331" s="9" t="n">
        <v>0</v>
      </c>
      <c r="WV331" s="9" t="n">
        <v>0</v>
      </c>
      <c r="WW331" s="9" t="n">
        <v>0</v>
      </c>
      <c r="XA331" s="10" t="n">
        <v>46302</v>
      </c>
      <c r="XC331" s="9" t="n">
        <v>0</v>
      </c>
      <c r="XE331" s="9" t="n">
        <v>0</v>
      </c>
      <c r="XF331" s="9" t="n">
        <v>7507</v>
      </c>
      <c r="XJ331" s="10" t="n">
        <v>46302</v>
      </c>
      <c r="XL331" s="9" t="n">
        <v>0</v>
      </c>
      <c r="XN331" s="9" t="n">
        <v>0</v>
      </c>
      <c r="XO331" s="9" t="n">
        <v>4252</v>
      </c>
      <c r="XS331" s="10" t="n">
        <v>46302</v>
      </c>
      <c r="XU331" s="9" t="n">
        <v>0</v>
      </c>
      <c r="XW331" s="9" t="n">
        <v>0</v>
      </c>
      <c r="XX331" s="9" t="n">
        <v>2179</v>
      </c>
      <c r="YB331" s="10" t="n">
        <v>46302</v>
      </c>
      <c r="YD331" s="9" t="n">
        <v>0</v>
      </c>
      <c r="YF331" s="9" t="n">
        <v>0</v>
      </c>
      <c r="YG331" s="9" t="n">
        <v>4019</v>
      </c>
      <c r="YK331" s="10" t="n">
        <v>46302</v>
      </c>
      <c r="YM331" s="9" t="n">
        <v>0</v>
      </c>
      <c r="YO331" s="9" t="n">
        <v>0</v>
      </c>
      <c r="YP331" s="9" t="n">
        <v>-218</v>
      </c>
      <c r="YT331" s="10" t="n">
        <v>46302</v>
      </c>
      <c r="YV331" s="9" t="n">
        <v>0</v>
      </c>
      <c r="YX331" s="9" t="n">
        <v>0</v>
      </c>
      <c r="YY331" s="9" t="n">
        <v>0</v>
      </c>
      <c r="ZC331" s="10" t="n">
        <v>46302</v>
      </c>
      <c r="ZE331" s="9" t="n">
        <v>0</v>
      </c>
      <c r="ZG331" s="9" t="n">
        <v>0</v>
      </c>
      <c r="ZH331" s="9" t="n">
        <v>0</v>
      </c>
      <c r="ZL331" s="10" t="n">
        <v>46302</v>
      </c>
      <c r="ZN331" s="9" t="n">
        <v>0</v>
      </c>
      <c r="ZP331" s="9" t="n">
        <v>0</v>
      </c>
      <c r="ZQ331" s="9" t="n">
        <v>0</v>
      </c>
      <c r="ZU331" s="10" t="n">
        <v>46302</v>
      </c>
      <c r="ZW331" s="9" t="n">
        <v>0</v>
      </c>
      <c r="ZY331" s="9" t="n">
        <v>0</v>
      </c>
      <c r="ZZ331" s="9" t="n">
        <v>0</v>
      </c>
      <c r="AAD331" s="10" t="n">
        <v>46302</v>
      </c>
      <c r="AAF331" s="9" t="n">
        <v>0</v>
      </c>
      <c r="AAH331" s="9" t="n">
        <v>0</v>
      </c>
      <c r="AAI331" s="9" t="n">
        <v>0</v>
      </c>
      <c r="AAM331" s="10" t="n">
        <v>46302</v>
      </c>
      <c r="AAO331" s="9" t="n">
        <v>0</v>
      </c>
      <c r="AAQ331" s="9" t="n">
        <v>0</v>
      </c>
      <c r="AAR331" s="9" t="n">
        <v>0</v>
      </c>
      <c r="AAV331" s="10" t="n">
        <v>46302</v>
      </c>
      <c r="AAX331" s="9" t="n">
        <v>0</v>
      </c>
      <c r="AAZ331" s="9" t="n">
        <v>0</v>
      </c>
      <c r="ABA331" s="9" t="n">
        <v>0</v>
      </c>
      <c r="ABE331" s="10" t="n">
        <v>46302</v>
      </c>
      <c r="ABG331" s="9" t="n">
        <v>0</v>
      </c>
      <c r="ABI331" s="9" t="n">
        <v>0</v>
      </c>
      <c r="ABJ331" s="9" t="n">
        <v>0</v>
      </c>
    </row>
    <row r="332">
      <c r="C332" s="10" t="n">
        <v>46303</v>
      </c>
      <c r="E332" s="9" t="n">
        <v>0</v>
      </c>
      <c r="G332" s="9" t="n">
        <v>0</v>
      </c>
      <c r="H332" s="9" t="n">
        <v>236936.6</v>
      </c>
      <c r="L332" s="10" t="n">
        <v>46303</v>
      </c>
      <c r="N332" s="9" t="n">
        <v>0</v>
      </c>
      <c r="P332" s="9" t="n">
        <v>0</v>
      </c>
      <c r="Q332" s="9" t="n">
        <v>53017.60000000007</v>
      </c>
      <c r="U332" s="10" t="n">
        <v>46303</v>
      </c>
      <c r="W332" s="9" t="n">
        <v>0</v>
      </c>
      <c r="Y332" s="9" t="n">
        <v>0</v>
      </c>
      <c r="Z332" s="9" t="n">
        <v>42674.19999999997</v>
      </c>
      <c r="AD332" s="10" t="n">
        <v>46303</v>
      </c>
      <c r="AF332" s="9" t="n">
        <v>0</v>
      </c>
      <c r="AH332" s="9" t="n">
        <v>0</v>
      </c>
      <c r="AI332" s="9" t="n">
        <v>4522.200000000019</v>
      </c>
      <c r="AM332" s="10" t="n">
        <v>46303</v>
      </c>
      <c r="AO332" s="9" t="n">
        <v>0</v>
      </c>
      <c r="AQ332" s="9" t="n">
        <v>0</v>
      </c>
      <c r="AR332" s="9" t="n">
        <v>0</v>
      </c>
      <c r="AV332" s="10" t="n">
        <v>46303</v>
      </c>
      <c r="AX332" s="9" t="n">
        <v>0</v>
      </c>
      <c r="AZ332" s="9" t="n">
        <v>0</v>
      </c>
      <c r="BA332" s="9" t="n">
        <v>124.9999999999952</v>
      </c>
      <c r="BE332" s="10" t="n">
        <v>46303</v>
      </c>
      <c r="BG332" s="9" t="n">
        <v>0</v>
      </c>
      <c r="BI332" s="9" t="n">
        <v>0</v>
      </c>
      <c r="BJ332" s="9" t="n">
        <v>26151.9</v>
      </c>
      <c r="BN332" s="10" t="n">
        <v>46303</v>
      </c>
      <c r="BP332" s="9" t="n">
        <v>0</v>
      </c>
      <c r="BR332" s="9" t="n">
        <v>0</v>
      </c>
      <c r="BS332" s="9" t="n">
        <v>0</v>
      </c>
      <c r="BW332" s="10" t="n">
        <v>46303</v>
      </c>
      <c r="BY332" s="9" t="n">
        <v>0</v>
      </c>
      <c r="CA332" s="9" t="n">
        <v>0</v>
      </c>
      <c r="CB332" s="9" t="n">
        <v>2097.339999999999</v>
      </c>
      <c r="CF332" s="10" t="n">
        <v>46303</v>
      </c>
      <c r="CH332" s="9" t="n">
        <v>0</v>
      </c>
      <c r="CJ332" s="9" t="n">
        <v>0</v>
      </c>
      <c r="CK332" s="9" t="n">
        <v>-10277.08</v>
      </c>
      <c r="CO332" s="10" t="n">
        <v>46303</v>
      </c>
      <c r="CQ332" s="9" t="n">
        <v>0</v>
      </c>
      <c r="CS332" s="9" t="n">
        <v>0</v>
      </c>
      <c r="CT332" s="9" t="n">
        <v>0</v>
      </c>
      <c r="CX332" s="10" t="n">
        <v>46303</v>
      </c>
      <c r="CZ332" s="9" t="n">
        <v>0</v>
      </c>
      <c r="DB332" s="9" t="n">
        <v>0</v>
      </c>
      <c r="DC332" s="9" t="n">
        <v>27438.20000000001</v>
      </c>
      <c r="DG332" s="10" t="n">
        <v>46303</v>
      </c>
      <c r="DI332" s="9" t="n">
        <v>0</v>
      </c>
      <c r="DK332" s="9" t="n">
        <v>0</v>
      </c>
      <c r="DL332" s="9" t="n">
        <v>18782.29999999998</v>
      </c>
      <c r="DP332" s="10" t="n">
        <v>46303</v>
      </c>
      <c r="DR332" s="9" t="n">
        <v>0</v>
      </c>
      <c r="DT332" s="9" t="n">
        <v>0</v>
      </c>
      <c r="DU332" s="9" t="n">
        <v>5800</v>
      </c>
      <c r="DY332" s="10" t="n">
        <v>46303</v>
      </c>
      <c r="EA332" s="9" t="n">
        <v>0</v>
      </c>
      <c r="EC332" s="9" t="n">
        <v>0</v>
      </c>
      <c r="ED332" s="9" t="n">
        <v>0</v>
      </c>
      <c r="EH332" s="10" t="n">
        <v>46303</v>
      </c>
      <c r="EJ332" s="9" t="n">
        <v>0</v>
      </c>
      <c r="EL332" s="9" t="n">
        <v>0</v>
      </c>
      <c r="EM332" s="9" t="n">
        <v>0</v>
      </c>
      <c r="EQ332" s="10" t="n">
        <v>46303</v>
      </c>
      <c r="ES332" s="9" t="n">
        <v>0</v>
      </c>
      <c r="EU332" s="9" t="n">
        <v>0</v>
      </c>
      <c r="EV332" s="9" t="n">
        <v>0</v>
      </c>
      <c r="EZ332" s="10" t="n">
        <v>46303</v>
      </c>
      <c r="FB332" s="9" t="n">
        <v>0</v>
      </c>
      <c r="FD332" s="9" t="n">
        <v>0</v>
      </c>
      <c r="FE332" s="9" t="n">
        <v>0</v>
      </c>
      <c r="FI332" s="10" t="n">
        <v>46303</v>
      </c>
      <c r="FK332" s="9" t="n">
        <v>0</v>
      </c>
      <c r="FM332" s="9" t="n">
        <v>0</v>
      </c>
      <c r="FN332" s="9" t="n">
        <v>0</v>
      </c>
      <c r="FR332" s="10" t="n">
        <v>46303</v>
      </c>
      <c r="FT332" s="9" t="n">
        <v>0</v>
      </c>
      <c r="FV332" s="9" t="n">
        <v>0</v>
      </c>
      <c r="FW332" s="9" t="n">
        <v>2020</v>
      </c>
      <c r="GA332" s="10" t="n">
        <v>46303</v>
      </c>
      <c r="GC332" s="9" t="n">
        <v>0</v>
      </c>
      <c r="GE332" s="9" t="n">
        <v>0</v>
      </c>
      <c r="GF332" s="9" t="n">
        <v>960</v>
      </c>
      <c r="GJ332" s="10" t="n">
        <v>46303</v>
      </c>
      <c r="GL332" s="9" t="n">
        <v>0</v>
      </c>
      <c r="GN332" s="9" t="n">
        <v>0</v>
      </c>
      <c r="GO332" s="9" t="n">
        <v>1760</v>
      </c>
      <c r="GS332" s="10" t="n">
        <v>46303</v>
      </c>
      <c r="GU332" s="9" t="n">
        <v>0</v>
      </c>
      <c r="GW332" s="9" t="n">
        <v>0</v>
      </c>
      <c r="GX332" s="9" t="n">
        <v>400</v>
      </c>
      <c r="HB332" s="10" t="n">
        <v>46303</v>
      </c>
      <c r="HD332" s="9" t="n">
        <v>0</v>
      </c>
      <c r="HF332" s="9" t="n">
        <v>0</v>
      </c>
      <c r="HG332" s="9" t="n">
        <v>3600</v>
      </c>
      <c r="HK332" s="10" t="n">
        <v>46303</v>
      </c>
      <c r="HM332" s="9" t="n">
        <v>0</v>
      </c>
      <c r="HO332" s="9" t="n">
        <v>0</v>
      </c>
      <c r="HP332" s="9" t="n">
        <v>0</v>
      </c>
      <c r="HU332" s="10" t="n">
        <v>46303</v>
      </c>
      <c r="HW332" s="9" t="n">
        <v>0</v>
      </c>
      <c r="HY332" s="9" t="n">
        <v>0</v>
      </c>
      <c r="HZ332" s="9" t="n">
        <v>6120</v>
      </c>
      <c r="ID332" s="10" t="n">
        <v>46303</v>
      </c>
      <c r="IF332" s="9" t="n">
        <v>0</v>
      </c>
      <c r="IH332" s="9" t="n">
        <v>0</v>
      </c>
      <c r="II332" s="9" t="n">
        <v>0</v>
      </c>
      <c r="IM332" s="10" t="n">
        <v>46303</v>
      </c>
      <c r="IO332" s="9" t="n">
        <v>0</v>
      </c>
      <c r="IQ332" s="9" t="n">
        <v>0</v>
      </c>
      <c r="IR332" s="9" t="n">
        <v>0</v>
      </c>
      <c r="IV332" s="10" t="n">
        <v>46303</v>
      </c>
      <c r="IX332" s="9" t="n">
        <v>0</v>
      </c>
      <c r="IZ332" s="9" t="n">
        <v>0</v>
      </c>
      <c r="JA332" s="9" t="n">
        <v>2820</v>
      </c>
      <c r="JE332" s="10" t="n">
        <v>46303</v>
      </c>
      <c r="JG332" s="9" t="n">
        <v>0</v>
      </c>
      <c r="JI332" s="9" t="n">
        <v>0</v>
      </c>
      <c r="JJ332" s="9" t="n">
        <v>0</v>
      </c>
      <c r="JN332" s="10" t="n">
        <v>46303</v>
      </c>
      <c r="JP332" s="9" t="n">
        <v>0</v>
      </c>
      <c r="JR332" s="9" t="n">
        <v>0</v>
      </c>
      <c r="JS332" s="9" t="n">
        <v>0</v>
      </c>
      <c r="JW332" s="10" t="n">
        <v>46303</v>
      </c>
      <c r="JY332" s="9" t="n">
        <v>0</v>
      </c>
      <c r="KA332" s="9" t="n">
        <v>0</v>
      </c>
      <c r="KB332" s="9" t="n">
        <v>2540</v>
      </c>
      <c r="KF332" s="10" t="n">
        <v>46303</v>
      </c>
      <c r="KH332" s="9" t="n">
        <v>0</v>
      </c>
      <c r="KJ332" s="9" t="n">
        <v>0</v>
      </c>
      <c r="KK332" s="9" t="n">
        <v>2359.5</v>
      </c>
      <c r="KO332" s="10" t="n">
        <v>46303</v>
      </c>
      <c r="KQ332" s="9" t="n">
        <v>0</v>
      </c>
      <c r="KS332" s="9" t="n">
        <v>0</v>
      </c>
      <c r="KT332" s="9" t="n">
        <v>1890</v>
      </c>
      <c r="KX332" s="10" t="n">
        <v>46303</v>
      </c>
      <c r="KZ332" s="9" t="n">
        <v>0</v>
      </c>
      <c r="LB332" s="9" t="n">
        <v>0</v>
      </c>
      <c r="LC332" s="9" t="n">
        <v>3690</v>
      </c>
      <c r="LG332" s="10" t="n">
        <v>46303</v>
      </c>
      <c r="LI332" s="9" t="n">
        <v>0</v>
      </c>
      <c r="LK332" s="9" t="n">
        <v>0</v>
      </c>
      <c r="LL332" s="9" t="n">
        <v>4000</v>
      </c>
      <c r="LP332" s="10" t="n">
        <v>46303</v>
      </c>
      <c r="LR332" s="9" t="n">
        <v>0</v>
      </c>
      <c r="LT332" s="9" t="n">
        <v>0</v>
      </c>
      <c r="LU332" s="9" t="n">
        <v>0</v>
      </c>
      <c r="LY332" s="10" t="n">
        <v>46303</v>
      </c>
      <c r="MA332" s="9" t="n">
        <v>0</v>
      </c>
      <c r="MC332" s="9" t="n">
        <v>0</v>
      </c>
      <c r="MD332" s="9" t="n">
        <v>0</v>
      </c>
      <c r="MH332" s="10" t="n">
        <v>46303</v>
      </c>
      <c r="MJ332" s="9" t="n">
        <v>0</v>
      </c>
      <c r="ML332" s="9" t="n">
        <v>0</v>
      </c>
      <c r="MM332" s="9" t="n">
        <v>0</v>
      </c>
      <c r="MQ332" s="10" t="n">
        <v>46303</v>
      </c>
      <c r="MS332" s="9" t="n">
        <v>0</v>
      </c>
      <c r="MU332" s="9" t="n">
        <v>0</v>
      </c>
      <c r="MV332" s="9" t="n">
        <v>1625</v>
      </c>
      <c r="MZ332" s="10" t="n">
        <v>46303</v>
      </c>
      <c r="NB332" s="9" t="n">
        <v>0</v>
      </c>
      <c r="ND332" s="9" t="n">
        <v>0</v>
      </c>
      <c r="NE332" s="9" t="n">
        <v>0</v>
      </c>
      <c r="NI332" s="10" t="n">
        <v>46303</v>
      </c>
      <c r="NK332" s="9" t="n">
        <v>0</v>
      </c>
      <c r="NM332" s="9" t="n">
        <v>0</v>
      </c>
      <c r="NN332" s="9" t="n">
        <v>1127</v>
      </c>
      <c r="NR332" s="10" t="n">
        <v>46303</v>
      </c>
      <c r="NT332" s="9" t="n">
        <v>0</v>
      </c>
      <c r="NV332" s="9" t="n">
        <v>0</v>
      </c>
      <c r="NW332" s="9" t="n">
        <v>3112</v>
      </c>
      <c r="OA332" s="10" t="n">
        <v>46303</v>
      </c>
      <c r="OC332" s="9" t="n">
        <v>0</v>
      </c>
      <c r="OE332" s="9" t="n">
        <v>0</v>
      </c>
      <c r="OF332" s="9" t="n">
        <v>1680.5</v>
      </c>
      <c r="OJ332" s="10" t="n">
        <v>46303</v>
      </c>
      <c r="OL332" s="9" t="n">
        <v>0</v>
      </c>
      <c r="ON332" s="9" t="n">
        <v>0</v>
      </c>
      <c r="OO332" s="9" t="n">
        <v>0</v>
      </c>
      <c r="OS332" s="10" t="n">
        <v>46303</v>
      </c>
      <c r="OU332" s="9" t="n">
        <v>0</v>
      </c>
      <c r="OW332" s="9" t="n">
        <v>0</v>
      </c>
      <c r="OX332" s="9" t="n">
        <v>1482</v>
      </c>
      <c r="PB332" s="10" t="n">
        <v>46303</v>
      </c>
      <c r="PD332" s="9" t="n">
        <v>0</v>
      </c>
      <c r="PF332" s="9" t="n">
        <v>0</v>
      </c>
      <c r="PG332" s="9" t="n">
        <v>0</v>
      </c>
      <c r="PK332" s="10" t="n">
        <v>46303</v>
      </c>
      <c r="PM332" s="9" t="n">
        <v>0</v>
      </c>
      <c r="PO332" s="9" t="n">
        <v>0</v>
      </c>
      <c r="PP332" s="9" t="n">
        <v>100</v>
      </c>
      <c r="PT332" s="10" t="n">
        <v>46303</v>
      </c>
      <c r="PV332" s="9" t="n">
        <v>0</v>
      </c>
      <c r="PX332" s="9" t="n">
        <v>0</v>
      </c>
      <c r="PY332" s="9" t="n">
        <v>13.96000000000004</v>
      </c>
      <c r="QC332" s="10" t="n">
        <v>46303</v>
      </c>
      <c r="QE332" s="9" t="n">
        <v>0</v>
      </c>
      <c r="QG332" s="9" t="n">
        <v>0</v>
      </c>
      <c r="QH332" s="9" t="n">
        <v>548</v>
      </c>
      <c r="QL332" s="10" t="n">
        <v>46303</v>
      </c>
      <c r="QN332" s="9" t="n">
        <v>0</v>
      </c>
      <c r="QP332" s="9" t="n">
        <v>0</v>
      </c>
      <c r="QQ332" s="9" t="n">
        <v>0</v>
      </c>
      <c r="QU332" s="10" t="n">
        <v>46303</v>
      </c>
      <c r="QW332" s="9" t="n">
        <v>0</v>
      </c>
      <c r="QY332" s="9" t="n">
        <v>0</v>
      </c>
      <c r="QZ332" s="9" t="n">
        <v>0</v>
      </c>
      <c r="RD332" s="10" t="n">
        <v>46303</v>
      </c>
      <c r="RF332" s="9" t="n">
        <v>0</v>
      </c>
      <c r="RH332" s="9" t="n">
        <v>0</v>
      </c>
      <c r="RI332" s="9" t="n">
        <v>147.04</v>
      </c>
      <c r="RM332" s="10" t="n">
        <v>46303</v>
      </c>
      <c r="RO332" s="9" t="n">
        <v>0</v>
      </c>
      <c r="RQ332" s="9" t="n">
        <v>0</v>
      </c>
      <c r="RR332" s="9" t="n">
        <v>46.8</v>
      </c>
      <c r="RV332" s="10" t="n">
        <v>46303</v>
      </c>
      <c r="RX332" s="9" t="n">
        <v>0</v>
      </c>
      <c r="RZ332" s="9" t="n">
        <v>0</v>
      </c>
      <c r="SA332" s="9" t="n">
        <v>0</v>
      </c>
      <c r="SE332" s="10" t="n">
        <v>46303</v>
      </c>
      <c r="SG332" s="9" t="n">
        <v>0</v>
      </c>
      <c r="SI332" s="9" t="n">
        <v>0</v>
      </c>
      <c r="SJ332" s="9" t="n">
        <v>24.2</v>
      </c>
      <c r="SN332" s="10" t="n">
        <v>46303</v>
      </c>
      <c r="SP332" s="9" t="n">
        <v>0</v>
      </c>
      <c r="SR332" s="9" t="n">
        <v>0</v>
      </c>
      <c r="SS332" s="9" t="n">
        <v>32</v>
      </c>
      <c r="SW332" s="10" t="n">
        <v>46303</v>
      </c>
      <c r="SY332" s="9" t="n">
        <v>0</v>
      </c>
      <c r="TA332" s="9" t="n">
        <v>0</v>
      </c>
      <c r="TB332" s="9" t="n">
        <v>0</v>
      </c>
      <c r="TF332" s="10" t="n">
        <v>46303</v>
      </c>
      <c r="TH332" s="9" t="n">
        <v>0</v>
      </c>
      <c r="TJ332" s="9" t="n">
        <v>0</v>
      </c>
      <c r="TK332" s="9" t="n">
        <v>0</v>
      </c>
      <c r="TO332" s="10" t="n">
        <v>46303</v>
      </c>
      <c r="TQ332" s="9" t="n">
        <v>0</v>
      </c>
      <c r="TS332" s="9" t="n">
        <v>0</v>
      </c>
      <c r="TT332" s="9" t="n">
        <v>0</v>
      </c>
      <c r="TX332" s="10" t="n">
        <v>46303</v>
      </c>
      <c r="TZ332" s="9" t="n">
        <v>0</v>
      </c>
      <c r="UB332" s="9" t="n">
        <v>0</v>
      </c>
      <c r="UC332" s="9" t="n">
        <v>46.79999999999998</v>
      </c>
      <c r="UG332" s="10" t="n">
        <v>46303</v>
      </c>
      <c r="UI332" s="9" t="n">
        <v>0</v>
      </c>
      <c r="UK332" s="9" t="n">
        <v>0</v>
      </c>
      <c r="UL332" s="9" t="n">
        <v>204</v>
      </c>
      <c r="UP332" s="10" t="n">
        <v>46303</v>
      </c>
      <c r="UR332" s="9" t="n">
        <v>0</v>
      </c>
      <c r="UT332" s="9" t="n">
        <v>0</v>
      </c>
      <c r="UU332" s="9" t="n">
        <v>202.5</v>
      </c>
      <c r="UY332" s="10" t="n">
        <v>46303</v>
      </c>
      <c r="VA332" s="9" t="n">
        <v>0</v>
      </c>
      <c r="VC332" s="9" t="n">
        <v>0</v>
      </c>
      <c r="VD332" s="9" t="n">
        <v>41.60000000000002</v>
      </c>
      <c r="VH332" s="10" t="n">
        <v>46303</v>
      </c>
      <c r="VJ332" s="9" t="n">
        <v>0</v>
      </c>
      <c r="VL332" s="9" t="n">
        <v>0</v>
      </c>
      <c r="VM332" s="9" t="n">
        <v>210</v>
      </c>
      <c r="VQ332" s="10" t="n">
        <v>46303</v>
      </c>
      <c r="VS332" s="9" t="n">
        <v>0</v>
      </c>
      <c r="VU332" s="9" t="n">
        <v>0</v>
      </c>
      <c r="VV332" s="9" t="n">
        <v>0</v>
      </c>
      <c r="VZ332" s="10" t="n">
        <v>46303</v>
      </c>
      <c r="WB332" s="9" t="n">
        <v>0</v>
      </c>
      <c r="WD332" s="9" t="n">
        <v>0</v>
      </c>
      <c r="WE332" s="9" t="n">
        <v>0</v>
      </c>
      <c r="WI332" s="10" t="n">
        <v>46303</v>
      </c>
      <c r="WK332" s="9" t="n">
        <v>0</v>
      </c>
      <c r="WM332" s="9" t="n">
        <v>0</v>
      </c>
      <c r="WN332" s="9" t="n">
        <v>1057</v>
      </c>
      <c r="WR332" s="10" t="n">
        <v>46303</v>
      </c>
      <c r="WT332" s="9" t="n">
        <v>0</v>
      </c>
      <c r="WV332" s="9" t="n">
        <v>0</v>
      </c>
      <c r="WW332" s="9" t="n">
        <v>0</v>
      </c>
      <c r="XA332" s="10" t="n">
        <v>46303</v>
      </c>
      <c r="XC332" s="9" t="n">
        <v>0</v>
      </c>
      <c r="XE332" s="9" t="n">
        <v>0</v>
      </c>
      <c r="XF332" s="9" t="n">
        <v>7507</v>
      </c>
      <c r="XJ332" s="10" t="n">
        <v>46303</v>
      </c>
      <c r="XL332" s="9" t="n">
        <v>0</v>
      </c>
      <c r="XN332" s="9" t="n">
        <v>0</v>
      </c>
      <c r="XO332" s="9" t="n">
        <v>4252</v>
      </c>
      <c r="XS332" s="10" t="n">
        <v>46303</v>
      </c>
      <c r="XU332" s="9" t="n">
        <v>0</v>
      </c>
      <c r="XW332" s="9" t="n">
        <v>0</v>
      </c>
      <c r="XX332" s="9" t="n">
        <v>2179</v>
      </c>
      <c r="YB332" s="10" t="n">
        <v>46303</v>
      </c>
      <c r="YD332" s="9" t="n">
        <v>0</v>
      </c>
      <c r="YF332" s="9" t="n">
        <v>0</v>
      </c>
      <c r="YG332" s="9" t="n">
        <v>4019</v>
      </c>
      <c r="YK332" s="10" t="n">
        <v>46303</v>
      </c>
      <c r="YM332" s="9" t="n">
        <v>0</v>
      </c>
      <c r="YO332" s="9" t="n">
        <v>0</v>
      </c>
      <c r="YP332" s="9" t="n">
        <v>-218</v>
      </c>
      <c r="YT332" s="10" t="n">
        <v>46303</v>
      </c>
      <c r="YV332" s="9" t="n">
        <v>0</v>
      </c>
      <c r="YX332" s="9" t="n">
        <v>0</v>
      </c>
      <c r="YY332" s="9" t="n">
        <v>0</v>
      </c>
      <c r="ZC332" s="10" t="n">
        <v>46303</v>
      </c>
      <c r="ZE332" s="9" t="n">
        <v>0</v>
      </c>
      <c r="ZG332" s="9" t="n">
        <v>0</v>
      </c>
      <c r="ZH332" s="9" t="n">
        <v>0</v>
      </c>
      <c r="ZL332" s="10" t="n">
        <v>46303</v>
      </c>
      <c r="ZN332" s="9" t="n">
        <v>0</v>
      </c>
      <c r="ZP332" s="9" t="n">
        <v>0</v>
      </c>
      <c r="ZQ332" s="9" t="n">
        <v>0</v>
      </c>
      <c r="ZU332" s="10" t="n">
        <v>46303</v>
      </c>
      <c r="ZW332" s="9" t="n">
        <v>0</v>
      </c>
      <c r="ZY332" s="9" t="n">
        <v>0</v>
      </c>
      <c r="ZZ332" s="9" t="n">
        <v>0</v>
      </c>
      <c r="AAD332" s="10" t="n">
        <v>46303</v>
      </c>
      <c r="AAF332" s="9" t="n">
        <v>0</v>
      </c>
      <c r="AAH332" s="9" t="n">
        <v>0</v>
      </c>
      <c r="AAI332" s="9" t="n">
        <v>0</v>
      </c>
      <c r="AAM332" s="10" t="n">
        <v>46303</v>
      </c>
      <c r="AAO332" s="9" t="n">
        <v>0</v>
      </c>
      <c r="AAQ332" s="9" t="n">
        <v>0</v>
      </c>
      <c r="AAR332" s="9" t="n">
        <v>0</v>
      </c>
      <c r="AAV332" s="10" t="n">
        <v>46303</v>
      </c>
      <c r="AAX332" s="9" t="n">
        <v>0</v>
      </c>
      <c r="AAZ332" s="9" t="n">
        <v>0</v>
      </c>
      <c r="ABA332" s="9" t="n">
        <v>0</v>
      </c>
      <c r="ABE332" s="10" t="n">
        <v>46303</v>
      </c>
      <c r="ABG332" s="9" t="n">
        <v>0</v>
      </c>
      <c r="ABI332" s="9" t="n">
        <v>0</v>
      </c>
      <c r="ABJ332" s="9" t="n">
        <v>0</v>
      </c>
    </row>
    <row r="333">
      <c r="C333" s="10" t="n">
        <v>46304</v>
      </c>
      <c r="E333" s="9" t="n">
        <v>0</v>
      </c>
      <c r="G333" s="9" t="n">
        <v>0</v>
      </c>
      <c r="H333" s="9" t="n">
        <v>236936.6</v>
      </c>
      <c r="L333" s="10" t="n">
        <v>46304</v>
      </c>
      <c r="N333" s="9" t="n">
        <v>0</v>
      </c>
      <c r="P333" s="9" t="n">
        <v>0</v>
      </c>
      <c r="Q333" s="9" t="n">
        <v>53017.60000000007</v>
      </c>
      <c r="U333" s="10" t="n">
        <v>46304</v>
      </c>
      <c r="W333" s="9" t="n">
        <v>0</v>
      </c>
      <c r="Y333" s="9" t="n">
        <v>0</v>
      </c>
      <c r="Z333" s="9" t="n">
        <v>42674.19999999997</v>
      </c>
      <c r="AD333" s="10" t="n">
        <v>46304</v>
      </c>
      <c r="AF333" s="9" t="n">
        <v>0</v>
      </c>
      <c r="AH333" s="9" t="n">
        <v>0</v>
      </c>
      <c r="AI333" s="9" t="n">
        <v>4522.200000000019</v>
      </c>
      <c r="AM333" s="10" t="n">
        <v>46304</v>
      </c>
      <c r="AO333" s="9" t="n">
        <v>0</v>
      </c>
      <c r="AQ333" s="9" t="n">
        <v>0</v>
      </c>
      <c r="AR333" s="9" t="n">
        <v>0</v>
      </c>
      <c r="AV333" s="10" t="n">
        <v>46304</v>
      </c>
      <c r="AX333" s="9" t="n">
        <v>0</v>
      </c>
      <c r="AZ333" s="9" t="n">
        <v>0</v>
      </c>
      <c r="BA333" s="9" t="n">
        <v>124.9999999999952</v>
      </c>
      <c r="BE333" s="10" t="n">
        <v>46304</v>
      </c>
      <c r="BG333" s="9" t="n">
        <v>0</v>
      </c>
      <c r="BI333" s="9" t="n">
        <v>0</v>
      </c>
      <c r="BJ333" s="9" t="n">
        <v>26151.9</v>
      </c>
      <c r="BN333" s="10" t="n">
        <v>46304</v>
      </c>
      <c r="BP333" s="9" t="n">
        <v>0</v>
      </c>
      <c r="BR333" s="9" t="n">
        <v>0</v>
      </c>
      <c r="BS333" s="9" t="n">
        <v>0</v>
      </c>
      <c r="BW333" s="10" t="n">
        <v>46304</v>
      </c>
      <c r="BY333" s="9" t="n">
        <v>0</v>
      </c>
      <c r="CA333" s="9" t="n">
        <v>0</v>
      </c>
      <c r="CB333" s="9" t="n">
        <v>2097.339999999999</v>
      </c>
      <c r="CF333" s="10" t="n">
        <v>46304</v>
      </c>
      <c r="CH333" s="9" t="n">
        <v>0</v>
      </c>
      <c r="CJ333" s="9" t="n">
        <v>0</v>
      </c>
      <c r="CK333" s="9" t="n">
        <v>-10277.08</v>
      </c>
      <c r="CO333" s="10" t="n">
        <v>46304</v>
      </c>
      <c r="CQ333" s="9" t="n">
        <v>0</v>
      </c>
      <c r="CS333" s="9" t="n">
        <v>0</v>
      </c>
      <c r="CT333" s="9" t="n">
        <v>0</v>
      </c>
      <c r="CX333" s="10" t="n">
        <v>46304</v>
      </c>
      <c r="CZ333" s="9" t="n">
        <v>0</v>
      </c>
      <c r="DB333" s="9" t="n">
        <v>0</v>
      </c>
      <c r="DC333" s="9" t="n">
        <v>27438.20000000001</v>
      </c>
      <c r="DG333" s="10" t="n">
        <v>46304</v>
      </c>
      <c r="DI333" s="9" t="n">
        <v>0</v>
      </c>
      <c r="DK333" s="9" t="n">
        <v>0</v>
      </c>
      <c r="DL333" s="9" t="n">
        <v>18782.29999999998</v>
      </c>
      <c r="DP333" s="10" t="n">
        <v>46304</v>
      </c>
      <c r="DR333" s="9" t="n">
        <v>0</v>
      </c>
      <c r="DT333" s="9" t="n">
        <v>0</v>
      </c>
      <c r="DU333" s="9" t="n">
        <v>5800</v>
      </c>
      <c r="DY333" s="10" t="n">
        <v>46304</v>
      </c>
      <c r="EA333" s="9" t="n">
        <v>0</v>
      </c>
      <c r="EC333" s="9" t="n">
        <v>0</v>
      </c>
      <c r="ED333" s="9" t="n">
        <v>0</v>
      </c>
      <c r="EH333" s="10" t="n">
        <v>46304</v>
      </c>
      <c r="EJ333" s="9" t="n">
        <v>0</v>
      </c>
      <c r="EL333" s="9" t="n">
        <v>0</v>
      </c>
      <c r="EM333" s="9" t="n">
        <v>0</v>
      </c>
      <c r="EQ333" s="10" t="n">
        <v>46304</v>
      </c>
      <c r="ES333" s="9" t="n">
        <v>0</v>
      </c>
      <c r="EU333" s="9" t="n">
        <v>0</v>
      </c>
      <c r="EV333" s="9" t="n">
        <v>0</v>
      </c>
      <c r="EZ333" s="10" t="n">
        <v>46304</v>
      </c>
      <c r="FB333" s="9" t="n">
        <v>0</v>
      </c>
      <c r="FD333" s="9" t="n">
        <v>0</v>
      </c>
      <c r="FE333" s="9" t="n">
        <v>0</v>
      </c>
      <c r="FI333" s="10" t="n">
        <v>46304</v>
      </c>
      <c r="FK333" s="9" t="n">
        <v>0</v>
      </c>
      <c r="FM333" s="9" t="n">
        <v>0</v>
      </c>
      <c r="FN333" s="9" t="n">
        <v>0</v>
      </c>
      <c r="FR333" s="10" t="n">
        <v>46304</v>
      </c>
      <c r="FT333" s="9" t="n">
        <v>0</v>
      </c>
      <c r="FV333" s="9" t="n">
        <v>0</v>
      </c>
      <c r="FW333" s="9" t="n">
        <v>2020</v>
      </c>
      <c r="GA333" s="10" t="n">
        <v>46304</v>
      </c>
      <c r="GC333" s="9" t="n">
        <v>0</v>
      </c>
      <c r="GE333" s="9" t="n">
        <v>0</v>
      </c>
      <c r="GF333" s="9" t="n">
        <v>960</v>
      </c>
      <c r="GJ333" s="10" t="n">
        <v>46304</v>
      </c>
      <c r="GL333" s="9" t="n">
        <v>0</v>
      </c>
      <c r="GN333" s="9" t="n">
        <v>0</v>
      </c>
      <c r="GO333" s="9" t="n">
        <v>1760</v>
      </c>
      <c r="GS333" s="10" t="n">
        <v>46304</v>
      </c>
      <c r="GU333" s="9" t="n">
        <v>0</v>
      </c>
      <c r="GW333" s="9" t="n">
        <v>0</v>
      </c>
      <c r="GX333" s="9" t="n">
        <v>400</v>
      </c>
      <c r="HB333" s="10" t="n">
        <v>46304</v>
      </c>
      <c r="HD333" s="9" t="n">
        <v>0</v>
      </c>
      <c r="HF333" s="9" t="n">
        <v>0</v>
      </c>
      <c r="HG333" s="9" t="n">
        <v>3600</v>
      </c>
      <c r="HK333" s="10" t="n">
        <v>46304</v>
      </c>
      <c r="HM333" s="9" t="n">
        <v>0</v>
      </c>
      <c r="HO333" s="9" t="n">
        <v>0</v>
      </c>
      <c r="HP333" s="9" t="n">
        <v>0</v>
      </c>
      <c r="HU333" s="10" t="n">
        <v>46304</v>
      </c>
      <c r="HW333" s="9" t="n">
        <v>0</v>
      </c>
      <c r="HY333" s="9" t="n">
        <v>0</v>
      </c>
      <c r="HZ333" s="9" t="n">
        <v>6120</v>
      </c>
      <c r="ID333" s="10" t="n">
        <v>46304</v>
      </c>
      <c r="IF333" s="9" t="n">
        <v>0</v>
      </c>
      <c r="IH333" s="9" t="n">
        <v>0</v>
      </c>
      <c r="II333" s="9" t="n">
        <v>0</v>
      </c>
      <c r="IM333" s="10" t="n">
        <v>46304</v>
      </c>
      <c r="IO333" s="9" t="n">
        <v>0</v>
      </c>
      <c r="IQ333" s="9" t="n">
        <v>0</v>
      </c>
      <c r="IR333" s="9" t="n">
        <v>0</v>
      </c>
      <c r="IV333" s="10" t="n">
        <v>46304</v>
      </c>
      <c r="IX333" s="9" t="n">
        <v>0</v>
      </c>
      <c r="IZ333" s="9" t="n">
        <v>0</v>
      </c>
      <c r="JA333" s="9" t="n">
        <v>2820</v>
      </c>
      <c r="JE333" s="10" t="n">
        <v>46304</v>
      </c>
      <c r="JG333" s="9" t="n">
        <v>0</v>
      </c>
      <c r="JI333" s="9" t="n">
        <v>0</v>
      </c>
      <c r="JJ333" s="9" t="n">
        <v>0</v>
      </c>
      <c r="JN333" s="10" t="n">
        <v>46304</v>
      </c>
      <c r="JP333" s="9" t="n">
        <v>0</v>
      </c>
      <c r="JR333" s="9" t="n">
        <v>0</v>
      </c>
      <c r="JS333" s="9" t="n">
        <v>0</v>
      </c>
      <c r="JW333" s="10" t="n">
        <v>46304</v>
      </c>
      <c r="JY333" s="9" t="n">
        <v>0</v>
      </c>
      <c r="KA333" s="9" t="n">
        <v>0</v>
      </c>
      <c r="KB333" s="9" t="n">
        <v>2540</v>
      </c>
      <c r="KF333" s="10" t="n">
        <v>46304</v>
      </c>
      <c r="KH333" s="9" t="n">
        <v>0</v>
      </c>
      <c r="KJ333" s="9" t="n">
        <v>0</v>
      </c>
      <c r="KK333" s="9" t="n">
        <v>2359.5</v>
      </c>
      <c r="KO333" s="10" t="n">
        <v>46304</v>
      </c>
      <c r="KQ333" s="9" t="n">
        <v>0</v>
      </c>
      <c r="KS333" s="9" t="n">
        <v>0</v>
      </c>
      <c r="KT333" s="9" t="n">
        <v>1890</v>
      </c>
      <c r="KX333" s="10" t="n">
        <v>46304</v>
      </c>
      <c r="KZ333" s="9" t="n">
        <v>0</v>
      </c>
      <c r="LB333" s="9" t="n">
        <v>0</v>
      </c>
      <c r="LC333" s="9" t="n">
        <v>3690</v>
      </c>
      <c r="LG333" s="10" t="n">
        <v>46304</v>
      </c>
      <c r="LI333" s="9" t="n">
        <v>0</v>
      </c>
      <c r="LK333" s="9" t="n">
        <v>0</v>
      </c>
      <c r="LL333" s="9" t="n">
        <v>4000</v>
      </c>
      <c r="LP333" s="10" t="n">
        <v>46304</v>
      </c>
      <c r="LR333" s="9" t="n">
        <v>0</v>
      </c>
      <c r="LT333" s="9" t="n">
        <v>0</v>
      </c>
      <c r="LU333" s="9" t="n">
        <v>0</v>
      </c>
      <c r="LY333" s="10" t="n">
        <v>46304</v>
      </c>
      <c r="MA333" s="9" t="n">
        <v>0</v>
      </c>
      <c r="MC333" s="9" t="n">
        <v>0</v>
      </c>
      <c r="MD333" s="9" t="n">
        <v>0</v>
      </c>
      <c r="MH333" s="10" t="n">
        <v>46304</v>
      </c>
      <c r="MJ333" s="9" t="n">
        <v>0</v>
      </c>
      <c r="ML333" s="9" t="n">
        <v>0</v>
      </c>
      <c r="MM333" s="9" t="n">
        <v>0</v>
      </c>
      <c r="MQ333" s="10" t="n">
        <v>46304</v>
      </c>
      <c r="MS333" s="9" t="n">
        <v>0</v>
      </c>
      <c r="MU333" s="9" t="n">
        <v>0</v>
      </c>
      <c r="MV333" s="9" t="n">
        <v>1625</v>
      </c>
      <c r="MZ333" s="10" t="n">
        <v>46304</v>
      </c>
      <c r="NB333" s="9" t="n">
        <v>0</v>
      </c>
      <c r="ND333" s="9" t="n">
        <v>0</v>
      </c>
      <c r="NE333" s="9" t="n">
        <v>0</v>
      </c>
      <c r="NI333" s="10" t="n">
        <v>46304</v>
      </c>
      <c r="NK333" s="9" t="n">
        <v>0</v>
      </c>
      <c r="NM333" s="9" t="n">
        <v>0</v>
      </c>
      <c r="NN333" s="9" t="n">
        <v>1127</v>
      </c>
      <c r="NR333" s="10" t="n">
        <v>46304</v>
      </c>
      <c r="NT333" s="9" t="n">
        <v>0</v>
      </c>
      <c r="NV333" s="9" t="n">
        <v>0</v>
      </c>
      <c r="NW333" s="9" t="n">
        <v>3112</v>
      </c>
      <c r="OA333" s="10" t="n">
        <v>46304</v>
      </c>
      <c r="OC333" s="9" t="n">
        <v>0</v>
      </c>
      <c r="OE333" s="9" t="n">
        <v>0</v>
      </c>
      <c r="OF333" s="9" t="n">
        <v>1680.5</v>
      </c>
      <c r="OJ333" s="10" t="n">
        <v>46304</v>
      </c>
      <c r="OL333" s="9" t="n">
        <v>0</v>
      </c>
      <c r="ON333" s="9" t="n">
        <v>0</v>
      </c>
      <c r="OO333" s="9" t="n">
        <v>0</v>
      </c>
      <c r="OS333" s="10" t="n">
        <v>46304</v>
      </c>
      <c r="OU333" s="9" t="n">
        <v>0</v>
      </c>
      <c r="OW333" s="9" t="n">
        <v>0</v>
      </c>
      <c r="OX333" s="9" t="n">
        <v>1482</v>
      </c>
      <c r="PB333" s="10" t="n">
        <v>46304</v>
      </c>
      <c r="PD333" s="9" t="n">
        <v>0</v>
      </c>
      <c r="PF333" s="9" t="n">
        <v>0</v>
      </c>
      <c r="PG333" s="9" t="n">
        <v>0</v>
      </c>
      <c r="PK333" s="10" t="n">
        <v>46304</v>
      </c>
      <c r="PM333" s="9" t="n">
        <v>0</v>
      </c>
      <c r="PO333" s="9" t="n">
        <v>0</v>
      </c>
      <c r="PP333" s="9" t="n">
        <v>100</v>
      </c>
      <c r="PT333" s="10" t="n">
        <v>46304</v>
      </c>
      <c r="PV333" s="9" t="n">
        <v>0</v>
      </c>
      <c r="PX333" s="9" t="n">
        <v>0</v>
      </c>
      <c r="PY333" s="9" t="n">
        <v>13.96000000000004</v>
      </c>
      <c r="QC333" s="10" t="n">
        <v>46304</v>
      </c>
      <c r="QE333" s="9" t="n">
        <v>0</v>
      </c>
      <c r="QG333" s="9" t="n">
        <v>0</v>
      </c>
      <c r="QH333" s="9" t="n">
        <v>548</v>
      </c>
      <c r="QL333" s="10" t="n">
        <v>46304</v>
      </c>
      <c r="QN333" s="9" t="n">
        <v>0</v>
      </c>
      <c r="QP333" s="9" t="n">
        <v>0</v>
      </c>
      <c r="QQ333" s="9" t="n">
        <v>0</v>
      </c>
      <c r="QU333" s="10" t="n">
        <v>46304</v>
      </c>
      <c r="QW333" s="9" t="n">
        <v>0</v>
      </c>
      <c r="QY333" s="9" t="n">
        <v>0</v>
      </c>
      <c r="QZ333" s="9" t="n">
        <v>0</v>
      </c>
      <c r="RD333" s="10" t="n">
        <v>46304</v>
      </c>
      <c r="RF333" s="9" t="n">
        <v>0</v>
      </c>
      <c r="RH333" s="9" t="n">
        <v>0</v>
      </c>
      <c r="RI333" s="9" t="n">
        <v>147.04</v>
      </c>
      <c r="RM333" s="10" t="n">
        <v>46304</v>
      </c>
      <c r="RO333" s="9" t="n">
        <v>0</v>
      </c>
      <c r="RQ333" s="9" t="n">
        <v>0</v>
      </c>
      <c r="RR333" s="9" t="n">
        <v>46.8</v>
      </c>
      <c r="RV333" s="10" t="n">
        <v>46304</v>
      </c>
      <c r="RX333" s="9" t="n">
        <v>0</v>
      </c>
      <c r="RZ333" s="9" t="n">
        <v>0</v>
      </c>
      <c r="SA333" s="9" t="n">
        <v>0</v>
      </c>
      <c r="SE333" s="10" t="n">
        <v>46304</v>
      </c>
      <c r="SG333" s="9" t="n">
        <v>0</v>
      </c>
      <c r="SI333" s="9" t="n">
        <v>0</v>
      </c>
      <c r="SJ333" s="9" t="n">
        <v>24.2</v>
      </c>
      <c r="SN333" s="10" t="n">
        <v>46304</v>
      </c>
      <c r="SP333" s="9" t="n">
        <v>0</v>
      </c>
      <c r="SR333" s="9" t="n">
        <v>0</v>
      </c>
      <c r="SS333" s="9" t="n">
        <v>32</v>
      </c>
      <c r="SW333" s="10" t="n">
        <v>46304</v>
      </c>
      <c r="SY333" s="9" t="n">
        <v>0</v>
      </c>
      <c r="TA333" s="9" t="n">
        <v>0</v>
      </c>
      <c r="TB333" s="9" t="n">
        <v>0</v>
      </c>
      <c r="TF333" s="10" t="n">
        <v>46304</v>
      </c>
      <c r="TH333" s="9" t="n">
        <v>0</v>
      </c>
      <c r="TJ333" s="9" t="n">
        <v>0</v>
      </c>
      <c r="TK333" s="9" t="n">
        <v>0</v>
      </c>
      <c r="TO333" s="10" t="n">
        <v>46304</v>
      </c>
      <c r="TQ333" s="9" t="n">
        <v>0</v>
      </c>
      <c r="TS333" s="9" t="n">
        <v>0</v>
      </c>
      <c r="TT333" s="9" t="n">
        <v>0</v>
      </c>
      <c r="TX333" s="10" t="n">
        <v>46304</v>
      </c>
      <c r="TZ333" s="9" t="n">
        <v>0</v>
      </c>
      <c r="UB333" s="9" t="n">
        <v>0</v>
      </c>
      <c r="UC333" s="9" t="n">
        <v>46.79999999999998</v>
      </c>
      <c r="UG333" s="10" t="n">
        <v>46304</v>
      </c>
      <c r="UI333" s="9" t="n">
        <v>0</v>
      </c>
      <c r="UK333" s="9" t="n">
        <v>0</v>
      </c>
      <c r="UL333" s="9" t="n">
        <v>204</v>
      </c>
      <c r="UP333" s="10" t="n">
        <v>46304</v>
      </c>
      <c r="UR333" s="9" t="n">
        <v>0</v>
      </c>
      <c r="UT333" s="9" t="n">
        <v>0</v>
      </c>
      <c r="UU333" s="9" t="n">
        <v>202.5</v>
      </c>
      <c r="UY333" s="10" t="n">
        <v>46304</v>
      </c>
      <c r="VA333" s="9" t="n">
        <v>0</v>
      </c>
      <c r="VC333" s="9" t="n">
        <v>0</v>
      </c>
      <c r="VD333" s="9" t="n">
        <v>41.60000000000002</v>
      </c>
      <c r="VH333" s="10" t="n">
        <v>46304</v>
      </c>
      <c r="VJ333" s="9" t="n">
        <v>0</v>
      </c>
      <c r="VL333" s="9" t="n">
        <v>0</v>
      </c>
      <c r="VM333" s="9" t="n">
        <v>210</v>
      </c>
      <c r="VQ333" s="10" t="n">
        <v>46304</v>
      </c>
      <c r="VS333" s="9" t="n">
        <v>0</v>
      </c>
      <c r="VU333" s="9" t="n">
        <v>0</v>
      </c>
      <c r="VV333" s="9" t="n">
        <v>0</v>
      </c>
      <c r="VZ333" s="10" t="n">
        <v>46304</v>
      </c>
      <c r="WB333" s="9" t="n">
        <v>0</v>
      </c>
      <c r="WD333" s="9" t="n">
        <v>0</v>
      </c>
      <c r="WE333" s="9" t="n">
        <v>0</v>
      </c>
      <c r="WI333" s="10" t="n">
        <v>46304</v>
      </c>
      <c r="WK333" s="9" t="n">
        <v>0</v>
      </c>
      <c r="WM333" s="9" t="n">
        <v>0</v>
      </c>
      <c r="WN333" s="9" t="n">
        <v>1057</v>
      </c>
      <c r="WR333" s="10" t="n">
        <v>46304</v>
      </c>
      <c r="WT333" s="9" t="n">
        <v>0</v>
      </c>
      <c r="WV333" s="9" t="n">
        <v>0</v>
      </c>
      <c r="WW333" s="9" t="n">
        <v>0</v>
      </c>
      <c r="XA333" s="10" t="n">
        <v>46304</v>
      </c>
      <c r="XC333" s="9" t="n">
        <v>0</v>
      </c>
      <c r="XE333" s="9" t="n">
        <v>0</v>
      </c>
      <c r="XF333" s="9" t="n">
        <v>7507</v>
      </c>
      <c r="XJ333" s="10" t="n">
        <v>46304</v>
      </c>
      <c r="XL333" s="9" t="n">
        <v>0</v>
      </c>
      <c r="XN333" s="9" t="n">
        <v>0</v>
      </c>
      <c r="XO333" s="9" t="n">
        <v>4252</v>
      </c>
      <c r="XS333" s="10" t="n">
        <v>46304</v>
      </c>
      <c r="XU333" s="9" t="n">
        <v>0</v>
      </c>
      <c r="XW333" s="9" t="n">
        <v>0</v>
      </c>
      <c r="XX333" s="9" t="n">
        <v>2179</v>
      </c>
      <c r="YB333" s="10" t="n">
        <v>46304</v>
      </c>
      <c r="YD333" s="9" t="n">
        <v>0</v>
      </c>
      <c r="YF333" s="9" t="n">
        <v>0</v>
      </c>
      <c r="YG333" s="9" t="n">
        <v>4019</v>
      </c>
      <c r="YK333" s="10" t="n">
        <v>46304</v>
      </c>
      <c r="YM333" s="9" t="n">
        <v>0</v>
      </c>
      <c r="YO333" s="9" t="n">
        <v>0</v>
      </c>
      <c r="YP333" s="9" t="n">
        <v>-218</v>
      </c>
      <c r="YT333" s="10" t="n">
        <v>46304</v>
      </c>
      <c r="YV333" s="9" t="n">
        <v>0</v>
      </c>
      <c r="YX333" s="9" t="n">
        <v>0</v>
      </c>
      <c r="YY333" s="9" t="n">
        <v>0</v>
      </c>
      <c r="ZC333" s="10" t="n">
        <v>46304</v>
      </c>
      <c r="ZE333" s="9" t="n">
        <v>0</v>
      </c>
      <c r="ZG333" s="9" t="n">
        <v>0</v>
      </c>
      <c r="ZH333" s="9" t="n">
        <v>0</v>
      </c>
      <c r="ZL333" s="10" t="n">
        <v>46304</v>
      </c>
      <c r="ZN333" s="9" t="n">
        <v>0</v>
      </c>
      <c r="ZP333" s="9" t="n">
        <v>0</v>
      </c>
      <c r="ZQ333" s="9" t="n">
        <v>0</v>
      </c>
      <c r="ZU333" s="10" t="n">
        <v>46304</v>
      </c>
      <c r="ZW333" s="9" t="n">
        <v>0</v>
      </c>
      <c r="ZY333" s="9" t="n">
        <v>0</v>
      </c>
      <c r="ZZ333" s="9" t="n">
        <v>0</v>
      </c>
      <c r="AAD333" s="10" t="n">
        <v>46304</v>
      </c>
      <c r="AAF333" s="9" t="n">
        <v>0</v>
      </c>
      <c r="AAH333" s="9" t="n">
        <v>0</v>
      </c>
      <c r="AAI333" s="9" t="n">
        <v>0</v>
      </c>
      <c r="AAM333" s="10" t="n">
        <v>46304</v>
      </c>
      <c r="AAO333" s="9" t="n">
        <v>0</v>
      </c>
      <c r="AAQ333" s="9" t="n">
        <v>0</v>
      </c>
      <c r="AAR333" s="9" t="n">
        <v>0</v>
      </c>
      <c r="AAV333" s="10" t="n">
        <v>46304</v>
      </c>
      <c r="AAX333" s="9" t="n">
        <v>0</v>
      </c>
      <c r="AAZ333" s="9" t="n">
        <v>0</v>
      </c>
      <c r="ABA333" s="9" t="n">
        <v>0</v>
      </c>
      <c r="ABE333" s="10" t="n">
        <v>46304</v>
      </c>
      <c r="ABG333" s="9" t="n">
        <v>0</v>
      </c>
      <c r="ABI333" s="9" t="n">
        <v>0</v>
      </c>
      <c r="ABJ333" s="9" t="n">
        <v>0</v>
      </c>
    </row>
    <row r="334">
      <c r="C334" s="10" t="n">
        <v>46305</v>
      </c>
      <c r="E334" s="9" t="n">
        <v>0</v>
      </c>
      <c r="G334" s="9" t="n">
        <v>0</v>
      </c>
      <c r="H334" s="9" t="n">
        <v>236936.6</v>
      </c>
      <c r="L334" s="10" t="n">
        <v>46305</v>
      </c>
      <c r="N334" s="9" t="n">
        <v>0</v>
      </c>
      <c r="P334" s="9" t="n">
        <v>0</v>
      </c>
      <c r="Q334" s="9" t="n">
        <v>53017.60000000007</v>
      </c>
      <c r="U334" s="10" t="n">
        <v>46305</v>
      </c>
      <c r="W334" s="9" t="n">
        <v>0</v>
      </c>
      <c r="Y334" s="9" t="n">
        <v>0</v>
      </c>
      <c r="Z334" s="9" t="n">
        <v>42674.19999999997</v>
      </c>
      <c r="AD334" s="10" t="n">
        <v>46305</v>
      </c>
      <c r="AF334" s="9" t="n">
        <v>0</v>
      </c>
      <c r="AH334" s="9" t="n">
        <v>0</v>
      </c>
      <c r="AI334" s="9" t="n">
        <v>4522.200000000019</v>
      </c>
      <c r="AM334" s="10" t="n">
        <v>46305</v>
      </c>
      <c r="AO334" s="9" t="n">
        <v>0</v>
      </c>
      <c r="AQ334" s="9" t="n">
        <v>0</v>
      </c>
      <c r="AR334" s="9" t="n">
        <v>0</v>
      </c>
      <c r="AV334" s="10" t="n">
        <v>46305</v>
      </c>
      <c r="AX334" s="9" t="n">
        <v>0</v>
      </c>
      <c r="AZ334" s="9" t="n">
        <v>0</v>
      </c>
      <c r="BA334" s="9" t="n">
        <v>124.9999999999952</v>
      </c>
      <c r="BE334" s="10" t="n">
        <v>46305</v>
      </c>
      <c r="BG334" s="9" t="n">
        <v>0</v>
      </c>
      <c r="BI334" s="9" t="n">
        <v>0</v>
      </c>
      <c r="BJ334" s="9" t="n">
        <v>26151.9</v>
      </c>
      <c r="BN334" s="10" t="n">
        <v>46305</v>
      </c>
      <c r="BP334" s="9" t="n">
        <v>0</v>
      </c>
      <c r="BR334" s="9" t="n">
        <v>0</v>
      </c>
      <c r="BS334" s="9" t="n">
        <v>0</v>
      </c>
      <c r="BW334" s="10" t="n">
        <v>46305</v>
      </c>
      <c r="BY334" s="9" t="n">
        <v>0</v>
      </c>
      <c r="CA334" s="9" t="n">
        <v>0</v>
      </c>
      <c r="CB334" s="9" t="n">
        <v>2097.339999999999</v>
      </c>
      <c r="CF334" s="10" t="n">
        <v>46305</v>
      </c>
      <c r="CH334" s="9" t="n">
        <v>0</v>
      </c>
      <c r="CJ334" s="9" t="n">
        <v>0</v>
      </c>
      <c r="CK334" s="9" t="n">
        <v>-10277.08</v>
      </c>
      <c r="CO334" s="10" t="n">
        <v>46305</v>
      </c>
      <c r="CQ334" s="9" t="n">
        <v>0</v>
      </c>
      <c r="CS334" s="9" t="n">
        <v>0</v>
      </c>
      <c r="CT334" s="9" t="n">
        <v>0</v>
      </c>
      <c r="CX334" s="10" t="n">
        <v>46305</v>
      </c>
      <c r="CZ334" s="9" t="n">
        <v>0</v>
      </c>
      <c r="DB334" s="9" t="n">
        <v>0</v>
      </c>
      <c r="DC334" s="9" t="n">
        <v>27438.20000000001</v>
      </c>
      <c r="DG334" s="10" t="n">
        <v>46305</v>
      </c>
      <c r="DI334" s="9" t="n">
        <v>0</v>
      </c>
      <c r="DK334" s="9" t="n">
        <v>0</v>
      </c>
      <c r="DL334" s="9" t="n">
        <v>18782.29999999998</v>
      </c>
      <c r="DP334" s="10" t="n">
        <v>46305</v>
      </c>
      <c r="DR334" s="9" t="n">
        <v>0</v>
      </c>
      <c r="DT334" s="9" t="n">
        <v>0</v>
      </c>
      <c r="DU334" s="9" t="n">
        <v>5800</v>
      </c>
      <c r="DY334" s="10" t="n">
        <v>46305</v>
      </c>
      <c r="EA334" s="9" t="n">
        <v>0</v>
      </c>
      <c r="EC334" s="9" t="n">
        <v>0</v>
      </c>
      <c r="ED334" s="9" t="n">
        <v>0</v>
      </c>
      <c r="EH334" s="10" t="n">
        <v>46305</v>
      </c>
      <c r="EJ334" s="9" t="n">
        <v>0</v>
      </c>
      <c r="EL334" s="9" t="n">
        <v>0</v>
      </c>
      <c r="EM334" s="9" t="n">
        <v>0</v>
      </c>
      <c r="EQ334" s="10" t="n">
        <v>46305</v>
      </c>
      <c r="ES334" s="9" t="n">
        <v>0</v>
      </c>
      <c r="EU334" s="9" t="n">
        <v>0</v>
      </c>
      <c r="EV334" s="9" t="n">
        <v>0</v>
      </c>
      <c r="EZ334" s="10" t="n">
        <v>46305</v>
      </c>
      <c r="FB334" s="9" t="n">
        <v>0</v>
      </c>
      <c r="FD334" s="9" t="n">
        <v>0</v>
      </c>
      <c r="FE334" s="9" t="n">
        <v>0</v>
      </c>
      <c r="FI334" s="10" t="n">
        <v>46305</v>
      </c>
      <c r="FK334" s="9" t="n">
        <v>0</v>
      </c>
      <c r="FM334" s="9" t="n">
        <v>0</v>
      </c>
      <c r="FN334" s="9" t="n">
        <v>0</v>
      </c>
      <c r="FR334" s="10" t="n">
        <v>46305</v>
      </c>
      <c r="FT334" s="9" t="n">
        <v>0</v>
      </c>
      <c r="FV334" s="9" t="n">
        <v>0</v>
      </c>
      <c r="FW334" s="9" t="n">
        <v>2020</v>
      </c>
      <c r="GA334" s="10" t="n">
        <v>46305</v>
      </c>
      <c r="GC334" s="9" t="n">
        <v>0</v>
      </c>
      <c r="GE334" s="9" t="n">
        <v>0</v>
      </c>
      <c r="GF334" s="9" t="n">
        <v>960</v>
      </c>
      <c r="GJ334" s="10" t="n">
        <v>46305</v>
      </c>
      <c r="GL334" s="9" t="n">
        <v>0</v>
      </c>
      <c r="GN334" s="9" t="n">
        <v>0</v>
      </c>
      <c r="GO334" s="9" t="n">
        <v>1760</v>
      </c>
      <c r="GS334" s="10" t="n">
        <v>46305</v>
      </c>
      <c r="GU334" s="9" t="n">
        <v>0</v>
      </c>
      <c r="GW334" s="9" t="n">
        <v>0</v>
      </c>
      <c r="GX334" s="9" t="n">
        <v>400</v>
      </c>
      <c r="HB334" s="10" t="n">
        <v>46305</v>
      </c>
      <c r="HD334" s="9" t="n">
        <v>0</v>
      </c>
      <c r="HF334" s="9" t="n">
        <v>0</v>
      </c>
      <c r="HG334" s="9" t="n">
        <v>3600</v>
      </c>
      <c r="HK334" s="10" t="n">
        <v>46305</v>
      </c>
      <c r="HM334" s="9" t="n">
        <v>0</v>
      </c>
      <c r="HO334" s="9" t="n">
        <v>0</v>
      </c>
      <c r="HP334" s="9" t="n">
        <v>0</v>
      </c>
      <c r="HU334" s="10" t="n">
        <v>46305</v>
      </c>
      <c r="HW334" s="9" t="n">
        <v>0</v>
      </c>
      <c r="HY334" s="9" t="n">
        <v>0</v>
      </c>
      <c r="HZ334" s="9" t="n">
        <v>6120</v>
      </c>
      <c r="ID334" s="10" t="n">
        <v>46305</v>
      </c>
      <c r="IF334" s="9" t="n">
        <v>0</v>
      </c>
      <c r="IH334" s="9" t="n">
        <v>0</v>
      </c>
      <c r="II334" s="9" t="n">
        <v>0</v>
      </c>
      <c r="IM334" s="10" t="n">
        <v>46305</v>
      </c>
      <c r="IO334" s="9" t="n">
        <v>0</v>
      </c>
      <c r="IQ334" s="9" t="n">
        <v>0</v>
      </c>
      <c r="IR334" s="9" t="n">
        <v>0</v>
      </c>
      <c r="IV334" s="10" t="n">
        <v>46305</v>
      </c>
      <c r="IX334" s="9" t="n">
        <v>0</v>
      </c>
      <c r="IZ334" s="9" t="n">
        <v>0</v>
      </c>
      <c r="JA334" s="9" t="n">
        <v>2820</v>
      </c>
      <c r="JE334" s="10" t="n">
        <v>46305</v>
      </c>
      <c r="JG334" s="9" t="n">
        <v>0</v>
      </c>
      <c r="JI334" s="9" t="n">
        <v>0</v>
      </c>
      <c r="JJ334" s="9" t="n">
        <v>0</v>
      </c>
      <c r="JN334" s="10" t="n">
        <v>46305</v>
      </c>
      <c r="JP334" s="9" t="n">
        <v>0</v>
      </c>
      <c r="JR334" s="9" t="n">
        <v>0</v>
      </c>
      <c r="JS334" s="9" t="n">
        <v>0</v>
      </c>
      <c r="JW334" s="10" t="n">
        <v>46305</v>
      </c>
      <c r="JY334" s="9" t="n">
        <v>0</v>
      </c>
      <c r="KA334" s="9" t="n">
        <v>0</v>
      </c>
      <c r="KB334" s="9" t="n">
        <v>2540</v>
      </c>
      <c r="KF334" s="10" t="n">
        <v>46305</v>
      </c>
      <c r="KH334" s="9" t="n">
        <v>0</v>
      </c>
      <c r="KJ334" s="9" t="n">
        <v>0</v>
      </c>
      <c r="KK334" s="9" t="n">
        <v>2359.5</v>
      </c>
      <c r="KO334" s="10" t="n">
        <v>46305</v>
      </c>
      <c r="KQ334" s="9" t="n">
        <v>0</v>
      </c>
      <c r="KS334" s="9" t="n">
        <v>0</v>
      </c>
      <c r="KT334" s="9" t="n">
        <v>1890</v>
      </c>
      <c r="KX334" s="10" t="n">
        <v>46305</v>
      </c>
      <c r="KZ334" s="9" t="n">
        <v>0</v>
      </c>
      <c r="LB334" s="9" t="n">
        <v>0</v>
      </c>
      <c r="LC334" s="9" t="n">
        <v>3690</v>
      </c>
      <c r="LG334" s="10" t="n">
        <v>46305</v>
      </c>
      <c r="LI334" s="9" t="n">
        <v>0</v>
      </c>
      <c r="LK334" s="9" t="n">
        <v>0</v>
      </c>
      <c r="LL334" s="9" t="n">
        <v>4000</v>
      </c>
      <c r="LP334" s="10" t="n">
        <v>46305</v>
      </c>
      <c r="LR334" s="9" t="n">
        <v>0</v>
      </c>
      <c r="LT334" s="9" t="n">
        <v>0</v>
      </c>
      <c r="LU334" s="9" t="n">
        <v>0</v>
      </c>
      <c r="LY334" s="10" t="n">
        <v>46305</v>
      </c>
      <c r="MA334" s="9" t="n">
        <v>0</v>
      </c>
      <c r="MC334" s="9" t="n">
        <v>0</v>
      </c>
      <c r="MD334" s="9" t="n">
        <v>0</v>
      </c>
      <c r="MH334" s="10" t="n">
        <v>46305</v>
      </c>
      <c r="MJ334" s="9" t="n">
        <v>0</v>
      </c>
      <c r="ML334" s="9" t="n">
        <v>0</v>
      </c>
      <c r="MM334" s="9" t="n">
        <v>0</v>
      </c>
      <c r="MQ334" s="10" t="n">
        <v>46305</v>
      </c>
      <c r="MS334" s="9" t="n">
        <v>0</v>
      </c>
      <c r="MU334" s="9" t="n">
        <v>0</v>
      </c>
      <c r="MV334" s="9" t="n">
        <v>1625</v>
      </c>
      <c r="MZ334" s="10" t="n">
        <v>46305</v>
      </c>
      <c r="NB334" s="9" t="n">
        <v>0</v>
      </c>
      <c r="ND334" s="9" t="n">
        <v>0</v>
      </c>
      <c r="NE334" s="9" t="n">
        <v>0</v>
      </c>
      <c r="NI334" s="10" t="n">
        <v>46305</v>
      </c>
      <c r="NK334" s="9" t="n">
        <v>0</v>
      </c>
      <c r="NM334" s="9" t="n">
        <v>0</v>
      </c>
      <c r="NN334" s="9" t="n">
        <v>1127</v>
      </c>
      <c r="NR334" s="10" t="n">
        <v>46305</v>
      </c>
      <c r="NT334" s="9" t="n">
        <v>0</v>
      </c>
      <c r="NV334" s="9" t="n">
        <v>0</v>
      </c>
      <c r="NW334" s="9" t="n">
        <v>3112</v>
      </c>
      <c r="OA334" s="10" t="n">
        <v>46305</v>
      </c>
      <c r="OC334" s="9" t="n">
        <v>0</v>
      </c>
      <c r="OE334" s="9" t="n">
        <v>0</v>
      </c>
      <c r="OF334" s="9" t="n">
        <v>1680.5</v>
      </c>
      <c r="OJ334" s="10" t="n">
        <v>46305</v>
      </c>
      <c r="OL334" s="9" t="n">
        <v>0</v>
      </c>
      <c r="ON334" s="9" t="n">
        <v>0</v>
      </c>
      <c r="OO334" s="9" t="n">
        <v>0</v>
      </c>
      <c r="OS334" s="10" t="n">
        <v>46305</v>
      </c>
      <c r="OU334" s="9" t="n">
        <v>0</v>
      </c>
      <c r="OW334" s="9" t="n">
        <v>0</v>
      </c>
      <c r="OX334" s="9" t="n">
        <v>1482</v>
      </c>
      <c r="PB334" s="10" t="n">
        <v>46305</v>
      </c>
      <c r="PD334" s="9" t="n">
        <v>0</v>
      </c>
      <c r="PF334" s="9" t="n">
        <v>0</v>
      </c>
      <c r="PG334" s="9" t="n">
        <v>0</v>
      </c>
      <c r="PK334" s="10" t="n">
        <v>46305</v>
      </c>
      <c r="PM334" s="9" t="n">
        <v>0</v>
      </c>
      <c r="PO334" s="9" t="n">
        <v>0</v>
      </c>
      <c r="PP334" s="9" t="n">
        <v>100</v>
      </c>
      <c r="PT334" s="10" t="n">
        <v>46305</v>
      </c>
      <c r="PV334" s="9" t="n">
        <v>0</v>
      </c>
      <c r="PX334" s="9" t="n">
        <v>0</v>
      </c>
      <c r="PY334" s="9" t="n">
        <v>13.96000000000004</v>
      </c>
      <c r="QC334" s="10" t="n">
        <v>46305</v>
      </c>
      <c r="QE334" s="9" t="n">
        <v>0</v>
      </c>
      <c r="QG334" s="9" t="n">
        <v>0</v>
      </c>
      <c r="QH334" s="9" t="n">
        <v>548</v>
      </c>
      <c r="QL334" s="10" t="n">
        <v>46305</v>
      </c>
      <c r="QN334" s="9" t="n">
        <v>0</v>
      </c>
      <c r="QP334" s="9" t="n">
        <v>0</v>
      </c>
      <c r="QQ334" s="9" t="n">
        <v>0</v>
      </c>
      <c r="QU334" s="10" t="n">
        <v>46305</v>
      </c>
      <c r="QW334" s="9" t="n">
        <v>0</v>
      </c>
      <c r="QY334" s="9" t="n">
        <v>0</v>
      </c>
      <c r="QZ334" s="9" t="n">
        <v>0</v>
      </c>
      <c r="RD334" s="10" t="n">
        <v>46305</v>
      </c>
      <c r="RF334" s="9" t="n">
        <v>0</v>
      </c>
      <c r="RH334" s="9" t="n">
        <v>0</v>
      </c>
      <c r="RI334" s="9" t="n">
        <v>147.04</v>
      </c>
      <c r="RM334" s="10" t="n">
        <v>46305</v>
      </c>
      <c r="RO334" s="9" t="n">
        <v>0</v>
      </c>
      <c r="RQ334" s="9" t="n">
        <v>0</v>
      </c>
      <c r="RR334" s="9" t="n">
        <v>46.8</v>
      </c>
      <c r="RV334" s="10" t="n">
        <v>46305</v>
      </c>
      <c r="RX334" s="9" t="n">
        <v>0</v>
      </c>
      <c r="RZ334" s="9" t="n">
        <v>0</v>
      </c>
      <c r="SA334" s="9" t="n">
        <v>0</v>
      </c>
      <c r="SE334" s="10" t="n">
        <v>46305</v>
      </c>
      <c r="SG334" s="9" t="n">
        <v>0</v>
      </c>
      <c r="SI334" s="9" t="n">
        <v>0</v>
      </c>
      <c r="SJ334" s="9" t="n">
        <v>24.2</v>
      </c>
      <c r="SN334" s="10" t="n">
        <v>46305</v>
      </c>
      <c r="SP334" s="9" t="n">
        <v>0</v>
      </c>
      <c r="SR334" s="9" t="n">
        <v>0</v>
      </c>
      <c r="SS334" s="9" t="n">
        <v>32</v>
      </c>
      <c r="SW334" s="10" t="n">
        <v>46305</v>
      </c>
      <c r="SY334" s="9" t="n">
        <v>0</v>
      </c>
      <c r="TA334" s="9" t="n">
        <v>0</v>
      </c>
      <c r="TB334" s="9" t="n">
        <v>0</v>
      </c>
      <c r="TF334" s="10" t="n">
        <v>46305</v>
      </c>
      <c r="TH334" s="9" t="n">
        <v>0</v>
      </c>
      <c r="TJ334" s="9" t="n">
        <v>0</v>
      </c>
      <c r="TK334" s="9" t="n">
        <v>0</v>
      </c>
      <c r="TO334" s="10" t="n">
        <v>46305</v>
      </c>
      <c r="TQ334" s="9" t="n">
        <v>0</v>
      </c>
      <c r="TS334" s="9" t="n">
        <v>0</v>
      </c>
      <c r="TT334" s="9" t="n">
        <v>0</v>
      </c>
      <c r="TX334" s="10" t="n">
        <v>46305</v>
      </c>
      <c r="TZ334" s="9" t="n">
        <v>0</v>
      </c>
      <c r="UB334" s="9" t="n">
        <v>0</v>
      </c>
      <c r="UC334" s="9" t="n">
        <v>46.79999999999998</v>
      </c>
      <c r="UG334" s="10" t="n">
        <v>46305</v>
      </c>
      <c r="UI334" s="9" t="n">
        <v>0</v>
      </c>
      <c r="UK334" s="9" t="n">
        <v>0</v>
      </c>
      <c r="UL334" s="9" t="n">
        <v>204</v>
      </c>
      <c r="UP334" s="10" t="n">
        <v>46305</v>
      </c>
      <c r="UR334" s="9" t="n">
        <v>0</v>
      </c>
      <c r="UT334" s="9" t="n">
        <v>0</v>
      </c>
      <c r="UU334" s="9" t="n">
        <v>202.5</v>
      </c>
      <c r="UY334" s="10" t="n">
        <v>46305</v>
      </c>
      <c r="VA334" s="9" t="n">
        <v>0</v>
      </c>
      <c r="VC334" s="9" t="n">
        <v>0</v>
      </c>
      <c r="VD334" s="9" t="n">
        <v>41.60000000000002</v>
      </c>
      <c r="VH334" s="10" t="n">
        <v>46305</v>
      </c>
      <c r="VJ334" s="9" t="n">
        <v>0</v>
      </c>
      <c r="VL334" s="9" t="n">
        <v>0</v>
      </c>
      <c r="VM334" s="9" t="n">
        <v>210</v>
      </c>
      <c r="VQ334" s="10" t="n">
        <v>46305</v>
      </c>
      <c r="VS334" s="9" t="n">
        <v>0</v>
      </c>
      <c r="VU334" s="9" t="n">
        <v>0</v>
      </c>
      <c r="VV334" s="9" t="n">
        <v>0</v>
      </c>
      <c r="VZ334" s="10" t="n">
        <v>46305</v>
      </c>
      <c r="WB334" s="9" t="n">
        <v>0</v>
      </c>
      <c r="WD334" s="9" t="n">
        <v>0</v>
      </c>
      <c r="WE334" s="9" t="n">
        <v>0</v>
      </c>
      <c r="WI334" s="10" t="n">
        <v>46305</v>
      </c>
      <c r="WK334" s="9" t="n">
        <v>0</v>
      </c>
      <c r="WM334" s="9" t="n">
        <v>0</v>
      </c>
      <c r="WN334" s="9" t="n">
        <v>1057</v>
      </c>
      <c r="WR334" s="10" t="n">
        <v>46305</v>
      </c>
      <c r="WT334" s="9" t="n">
        <v>0</v>
      </c>
      <c r="WV334" s="9" t="n">
        <v>0</v>
      </c>
      <c r="WW334" s="9" t="n">
        <v>0</v>
      </c>
      <c r="XA334" s="10" t="n">
        <v>46305</v>
      </c>
      <c r="XC334" s="9" t="n">
        <v>0</v>
      </c>
      <c r="XE334" s="9" t="n">
        <v>0</v>
      </c>
      <c r="XF334" s="9" t="n">
        <v>7507</v>
      </c>
      <c r="XJ334" s="10" t="n">
        <v>46305</v>
      </c>
      <c r="XL334" s="9" t="n">
        <v>0</v>
      </c>
      <c r="XN334" s="9" t="n">
        <v>0</v>
      </c>
      <c r="XO334" s="9" t="n">
        <v>4252</v>
      </c>
      <c r="XS334" s="10" t="n">
        <v>46305</v>
      </c>
      <c r="XU334" s="9" t="n">
        <v>0</v>
      </c>
      <c r="XW334" s="9" t="n">
        <v>0</v>
      </c>
      <c r="XX334" s="9" t="n">
        <v>2179</v>
      </c>
      <c r="YB334" s="10" t="n">
        <v>46305</v>
      </c>
      <c r="YD334" s="9" t="n">
        <v>0</v>
      </c>
      <c r="YF334" s="9" t="n">
        <v>0</v>
      </c>
      <c r="YG334" s="9" t="n">
        <v>4019</v>
      </c>
      <c r="YK334" s="10" t="n">
        <v>46305</v>
      </c>
      <c r="YM334" s="9" t="n">
        <v>0</v>
      </c>
      <c r="YO334" s="9" t="n">
        <v>0</v>
      </c>
      <c r="YP334" s="9" t="n">
        <v>-218</v>
      </c>
      <c r="YT334" s="10" t="n">
        <v>46305</v>
      </c>
      <c r="YV334" s="9" t="n">
        <v>0</v>
      </c>
      <c r="YX334" s="9" t="n">
        <v>0</v>
      </c>
      <c r="YY334" s="9" t="n">
        <v>0</v>
      </c>
      <c r="ZC334" s="10" t="n">
        <v>46305</v>
      </c>
      <c r="ZE334" s="9" t="n">
        <v>0</v>
      </c>
      <c r="ZG334" s="9" t="n">
        <v>0</v>
      </c>
      <c r="ZH334" s="9" t="n">
        <v>0</v>
      </c>
      <c r="ZL334" s="10" t="n">
        <v>46305</v>
      </c>
      <c r="ZN334" s="9" t="n">
        <v>0</v>
      </c>
      <c r="ZP334" s="9" t="n">
        <v>0</v>
      </c>
      <c r="ZQ334" s="9" t="n">
        <v>0</v>
      </c>
      <c r="ZU334" s="10" t="n">
        <v>46305</v>
      </c>
      <c r="ZW334" s="9" t="n">
        <v>0</v>
      </c>
      <c r="ZY334" s="9" t="n">
        <v>0</v>
      </c>
      <c r="ZZ334" s="9" t="n">
        <v>0</v>
      </c>
      <c r="AAD334" s="10" t="n">
        <v>46305</v>
      </c>
      <c r="AAF334" s="9" t="n">
        <v>0</v>
      </c>
      <c r="AAH334" s="9" t="n">
        <v>0</v>
      </c>
      <c r="AAI334" s="9" t="n">
        <v>0</v>
      </c>
      <c r="AAM334" s="10" t="n">
        <v>46305</v>
      </c>
      <c r="AAO334" s="9" t="n">
        <v>0</v>
      </c>
      <c r="AAQ334" s="9" t="n">
        <v>0</v>
      </c>
      <c r="AAR334" s="9" t="n">
        <v>0</v>
      </c>
      <c r="AAV334" s="10" t="n">
        <v>46305</v>
      </c>
      <c r="AAX334" s="9" t="n">
        <v>0</v>
      </c>
      <c r="AAZ334" s="9" t="n">
        <v>0</v>
      </c>
      <c r="ABA334" s="9" t="n">
        <v>0</v>
      </c>
      <c r="ABE334" s="10" t="n">
        <v>46305</v>
      </c>
      <c r="ABG334" s="9" t="n">
        <v>0</v>
      </c>
      <c r="ABI334" s="9" t="n">
        <v>0</v>
      </c>
      <c r="ABJ334" s="9" t="n">
        <v>0</v>
      </c>
    </row>
    <row r="335">
      <c r="C335" s="10" t="n">
        <v>46306</v>
      </c>
      <c r="E335" s="9" t="n">
        <v>0</v>
      </c>
      <c r="G335" s="9" t="n">
        <v>0</v>
      </c>
      <c r="H335" s="9" t="n">
        <v>236936.6</v>
      </c>
      <c r="L335" s="10" t="n">
        <v>46306</v>
      </c>
      <c r="N335" s="9" t="n">
        <v>0</v>
      </c>
      <c r="P335" s="9" t="n">
        <v>0</v>
      </c>
      <c r="Q335" s="9" t="n">
        <v>53017.60000000007</v>
      </c>
      <c r="U335" s="10" t="n">
        <v>46306</v>
      </c>
      <c r="W335" s="9" t="n">
        <v>0</v>
      </c>
      <c r="Y335" s="9" t="n">
        <v>0</v>
      </c>
      <c r="Z335" s="9" t="n">
        <v>42674.19999999997</v>
      </c>
      <c r="AD335" s="10" t="n">
        <v>46306</v>
      </c>
      <c r="AF335" s="9" t="n">
        <v>0</v>
      </c>
      <c r="AH335" s="9" t="n">
        <v>0</v>
      </c>
      <c r="AI335" s="9" t="n">
        <v>4522.200000000019</v>
      </c>
      <c r="AM335" s="10" t="n">
        <v>46306</v>
      </c>
      <c r="AO335" s="9" t="n">
        <v>0</v>
      </c>
      <c r="AQ335" s="9" t="n">
        <v>0</v>
      </c>
      <c r="AR335" s="9" t="n">
        <v>0</v>
      </c>
      <c r="AV335" s="10" t="n">
        <v>46306</v>
      </c>
      <c r="AX335" s="9" t="n">
        <v>0</v>
      </c>
      <c r="AZ335" s="9" t="n">
        <v>0</v>
      </c>
      <c r="BA335" s="9" t="n">
        <v>124.9999999999952</v>
      </c>
      <c r="BE335" s="10" t="n">
        <v>46306</v>
      </c>
      <c r="BG335" s="9" t="n">
        <v>0</v>
      </c>
      <c r="BI335" s="9" t="n">
        <v>0</v>
      </c>
      <c r="BJ335" s="9" t="n">
        <v>26151.9</v>
      </c>
      <c r="BN335" s="10" t="n">
        <v>46306</v>
      </c>
      <c r="BP335" s="9" t="n">
        <v>0</v>
      </c>
      <c r="BR335" s="9" t="n">
        <v>0</v>
      </c>
      <c r="BS335" s="9" t="n">
        <v>0</v>
      </c>
      <c r="BW335" s="10" t="n">
        <v>46306</v>
      </c>
      <c r="BY335" s="9" t="n">
        <v>0</v>
      </c>
      <c r="CA335" s="9" t="n">
        <v>0</v>
      </c>
      <c r="CB335" s="9" t="n">
        <v>2097.339999999999</v>
      </c>
      <c r="CF335" s="10" t="n">
        <v>46306</v>
      </c>
      <c r="CH335" s="9" t="n">
        <v>0</v>
      </c>
      <c r="CJ335" s="9" t="n">
        <v>0</v>
      </c>
      <c r="CK335" s="9" t="n">
        <v>-10277.08</v>
      </c>
      <c r="CO335" s="10" t="n">
        <v>46306</v>
      </c>
      <c r="CQ335" s="9" t="n">
        <v>0</v>
      </c>
      <c r="CS335" s="9" t="n">
        <v>0</v>
      </c>
      <c r="CT335" s="9" t="n">
        <v>0</v>
      </c>
      <c r="CX335" s="10" t="n">
        <v>46306</v>
      </c>
      <c r="CZ335" s="9" t="n">
        <v>0</v>
      </c>
      <c r="DB335" s="9" t="n">
        <v>0</v>
      </c>
      <c r="DC335" s="9" t="n">
        <v>27438.20000000001</v>
      </c>
      <c r="DG335" s="10" t="n">
        <v>46306</v>
      </c>
      <c r="DI335" s="9" t="n">
        <v>0</v>
      </c>
      <c r="DK335" s="9" t="n">
        <v>0</v>
      </c>
      <c r="DL335" s="9" t="n">
        <v>18782.29999999998</v>
      </c>
      <c r="DP335" s="10" t="n">
        <v>46306</v>
      </c>
      <c r="DR335" s="9" t="n">
        <v>0</v>
      </c>
      <c r="DT335" s="9" t="n">
        <v>0</v>
      </c>
      <c r="DU335" s="9" t="n">
        <v>5800</v>
      </c>
      <c r="DY335" s="10" t="n">
        <v>46306</v>
      </c>
      <c r="EA335" s="9" t="n">
        <v>0</v>
      </c>
      <c r="EC335" s="9" t="n">
        <v>0</v>
      </c>
      <c r="ED335" s="9" t="n">
        <v>0</v>
      </c>
      <c r="EH335" s="10" t="n">
        <v>46306</v>
      </c>
      <c r="EJ335" s="9" t="n">
        <v>0</v>
      </c>
      <c r="EL335" s="9" t="n">
        <v>0</v>
      </c>
      <c r="EM335" s="9" t="n">
        <v>0</v>
      </c>
      <c r="EQ335" s="10" t="n">
        <v>46306</v>
      </c>
      <c r="ES335" s="9" t="n">
        <v>0</v>
      </c>
      <c r="EU335" s="9" t="n">
        <v>0</v>
      </c>
      <c r="EV335" s="9" t="n">
        <v>0</v>
      </c>
      <c r="EZ335" s="10" t="n">
        <v>46306</v>
      </c>
      <c r="FB335" s="9" t="n">
        <v>0</v>
      </c>
      <c r="FD335" s="9" t="n">
        <v>0</v>
      </c>
      <c r="FE335" s="9" t="n">
        <v>0</v>
      </c>
      <c r="FI335" s="10" t="n">
        <v>46306</v>
      </c>
      <c r="FK335" s="9" t="n">
        <v>0</v>
      </c>
      <c r="FM335" s="9" t="n">
        <v>0</v>
      </c>
      <c r="FN335" s="9" t="n">
        <v>0</v>
      </c>
      <c r="FR335" s="10" t="n">
        <v>46306</v>
      </c>
      <c r="FT335" s="9" t="n">
        <v>0</v>
      </c>
      <c r="FV335" s="9" t="n">
        <v>0</v>
      </c>
      <c r="FW335" s="9" t="n">
        <v>2020</v>
      </c>
      <c r="GA335" s="10" t="n">
        <v>46306</v>
      </c>
      <c r="GC335" s="9" t="n">
        <v>0</v>
      </c>
      <c r="GE335" s="9" t="n">
        <v>0</v>
      </c>
      <c r="GF335" s="9" t="n">
        <v>960</v>
      </c>
      <c r="GJ335" s="10" t="n">
        <v>46306</v>
      </c>
      <c r="GL335" s="9" t="n">
        <v>0</v>
      </c>
      <c r="GN335" s="9" t="n">
        <v>0</v>
      </c>
      <c r="GO335" s="9" t="n">
        <v>1760</v>
      </c>
      <c r="GS335" s="10" t="n">
        <v>46306</v>
      </c>
      <c r="GU335" s="9" t="n">
        <v>0</v>
      </c>
      <c r="GW335" s="9" t="n">
        <v>0</v>
      </c>
      <c r="GX335" s="9" t="n">
        <v>400</v>
      </c>
      <c r="HB335" s="10" t="n">
        <v>46306</v>
      </c>
      <c r="HD335" s="9" t="n">
        <v>0</v>
      </c>
      <c r="HF335" s="9" t="n">
        <v>0</v>
      </c>
      <c r="HG335" s="9" t="n">
        <v>3600</v>
      </c>
      <c r="HK335" s="10" t="n">
        <v>46306</v>
      </c>
      <c r="HM335" s="9" t="n">
        <v>0</v>
      </c>
      <c r="HO335" s="9" t="n">
        <v>0</v>
      </c>
      <c r="HP335" s="9" t="n">
        <v>0</v>
      </c>
      <c r="HU335" s="10" t="n">
        <v>46306</v>
      </c>
      <c r="HW335" s="9" t="n">
        <v>0</v>
      </c>
      <c r="HY335" s="9" t="n">
        <v>0</v>
      </c>
      <c r="HZ335" s="9" t="n">
        <v>6120</v>
      </c>
      <c r="ID335" s="10" t="n">
        <v>46306</v>
      </c>
      <c r="IF335" s="9" t="n">
        <v>0</v>
      </c>
      <c r="IH335" s="9" t="n">
        <v>0</v>
      </c>
      <c r="II335" s="9" t="n">
        <v>0</v>
      </c>
      <c r="IM335" s="10" t="n">
        <v>46306</v>
      </c>
      <c r="IO335" s="9" t="n">
        <v>0</v>
      </c>
      <c r="IQ335" s="9" t="n">
        <v>0</v>
      </c>
      <c r="IR335" s="9" t="n">
        <v>0</v>
      </c>
      <c r="IV335" s="10" t="n">
        <v>46306</v>
      </c>
      <c r="IX335" s="9" t="n">
        <v>0</v>
      </c>
      <c r="IZ335" s="9" t="n">
        <v>0</v>
      </c>
      <c r="JA335" s="9" t="n">
        <v>2820</v>
      </c>
      <c r="JE335" s="10" t="n">
        <v>46306</v>
      </c>
      <c r="JG335" s="9" t="n">
        <v>0</v>
      </c>
      <c r="JI335" s="9" t="n">
        <v>0</v>
      </c>
      <c r="JJ335" s="9" t="n">
        <v>0</v>
      </c>
      <c r="JN335" s="10" t="n">
        <v>46306</v>
      </c>
      <c r="JP335" s="9" t="n">
        <v>0</v>
      </c>
      <c r="JR335" s="9" t="n">
        <v>0</v>
      </c>
      <c r="JS335" s="9" t="n">
        <v>0</v>
      </c>
      <c r="JW335" s="10" t="n">
        <v>46306</v>
      </c>
      <c r="JY335" s="9" t="n">
        <v>0</v>
      </c>
      <c r="KA335" s="9" t="n">
        <v>0</v>
      </c>
      <c r="KB335" s="9" t="n">
        <v>2540</v>
      </c>
      <c r="KF335" s="10" t="n">
        <v>46306</v>
      </c>
      <c r="KH335" s="9" t="n">
        <v>0</v>
      </c>
      <c r="KJ335" s="9" t="n">
        <v>0</v>
      </c>
      <c r="KK335" s="9" t="n">
        <v>2359.5</v>
      </c>
      <c r="KO335" s="10" t="n">
        <v>46306</v>
      </c>
      <c r="KQ335" s="9" t="n">
        <v>0</v>
      </c>
      <c r="KS335" s="9" t="n">
        <v>0</v>
      </c>
      <c r="KT335" s="9" t="n">
        <v>1890</v>
      </c>
      <c r="KX335" s="10" t="n">
        <v>46306</v>
      </c>
      <c r="KZ335" s="9" t="n">
        <v>0</v>
      </c>
      <c r="LB335" s="9" t="n">
        <v>0</v>
      </c>
      <c r="LC335" s="9" t="n">
        <v>3690</v>
      </c>
      <c r="LG335" s="10" t="n">
        <v>46306</v>
      </c>
      <c r="LI335" s="9" t="n">
        <v>0</v>
      </c>
      <c r="LK335" s="9" t="n">
        <v>0</v>
      </c>
      <c r="LL335" s="9" t="n">
        <v>4000</v>
      </c>
      <c r="LP335" s="10" t="n">
        <v>46306</v>
      </c>
      <c r="LR335" s="9" t="n">
        <v>0</v>
      </c>
      <c r="LT335" s="9" t="n">
        <v>0</v>
      </c>
      <c r="LU335" s="9" t="n">
        <v>0</v>
      </c>
      <c r="LY335" s="10" t="n">
        <v>46306</v>
      </c>
      <c r="MA335" s="9" t="n">
        <v>0</v>
      </c>
      <c r="MC335" s="9" t="n">
        <v>0</v>
      </c>
      <c r="MD335" s="9" t="n">
        <v>0</v>
      </c>
      <c r="MH335" s="10" t="n">
        <v>46306</v>
      </c>
      <c r="MJ335" s="9" t="n">
        <v>0</v>
      </c>
      <c r="ML335" s="9" t="n">
        <v>0</v>
      </c>
      <c r="MM335" s="9" t="n">
        <v>0</v>
      </c>
      <c r="MQ335" s="10" t="n">
        <v>46306</v>
      </c>
      <c r="MS335" s="9" t="n">
        <v>0</v>
      </c>
      <c r="MU335" s="9" t="n">
        <v>0</v>
      </c>
      <c r="MV335" s="9" t="n">
        <v>1625</v>
      </c>
      <c r="MZ335" s="10" t="n">
        <v>46306</v>
      </c>
      <c r="NB335" s="9" t="n">
        <v>0</v>
      </c>
      <c r="ND335" s="9" t="n">
        <v>0</v>
      </c>
      <c r="NE335" s="9" t="n">
        <v>0</v>
      </c>
      <c r="NI335" s="10" t="n">
        <v>46306</v>
      </c>
      <c r="NK335" s="9" t="n">
        <v>0</v>
      </c>
      <c r="NM335" s="9" t="n">
        <v>0</v>
      </c>
      <c r="NN335" s="9" t="n">
        <v>1127</v>
      </c>
      <c r="NR335" s="10" t="n">
        <v>46306</v>
      </c>
      <c r="NT335" s="9" t="n">
        <v>0</v>
      </c>
      <c r="NV335" s="9" t="n">
        <v>0</v>
      </c>
      <c r="NW335" s="9" t="n">
        <v>3112</v>
      </c>
      <c r="OA335" s="10" t="n">
        <v>46306</v>
      </c>
      <c r="OC335" s="9" t="n">
        <v>0</v>
      </c>
      <c r="OE335" s="9" t="n">
        <v>0</v>
      </c>
      <c r="OF335" s="9" t="n">
        <v>1680.5</v>
      </c>
      <c r="OJ335" s="10" t="n">
        <v>46306</v>
      </c>
      <c r="OL335" s="9" t="n">
        <v>0</v>
      </c>
      <c r="ON335" s="9" t="n">
        <v>0</v>
      </c>
      <c r="OO335" s="9" t="n">
        <v>0</v>
      </c>
      <c r="OS335" s="10" t="n">
        <v>46306</v>
      </c>
      <c r="OU335" s="9" t="n">
        <v>0</v>
      </c>
      <c r="OW335" s="9" t="n">
        <v>0</v>
      </c>
      <c r="OX335" s="9" t="n">
        <v>1482</v>
      </c>
      <c r="PB335" s="10" t="n">
        <v>46306</v>
      </c>
      <c r="PD335" s="9" t="n">
        <v>0</v>
      </c>
      <c r="PF335" s="9" t="n">
        <v>0</v>
      </c>
      <c r="PG335" s="9" t="n">
        <v>0</v>
      </c>
      <c r="PK335" s="10" t="n">
        <v>46306</v>
      </c>
      <c r="PM335" s="9" t="n">
        <v>0</v>
      </c>
      <c r="PO335" s="9" t="n">
        <v>0</v>
      </c>
      <c r="PP335" s="9" t="n">
        <v>100</v>
      </c>
      <c r="PT335" s="10" t="n">
        <v>46306</v>
      </c>
      <c r="PV335" s="9" t="n">
        <v>0</v>
      </c>
      <c r="PX335" s="9" t="n">
        <v>0</v>
      </c>
      <c r="PY335" s="9" t="n">
        <v>13.96000000000004</v>
      </c>
      <c r="QC335" s="10" t="n">
        <v>46306</v>
      </c>
      <c r="QE335" s="9" t="n">
        <v>0</v>
      </c>
      <c r="QG335" s="9" t="n">
        <v>0</v>
      </c>
      <c r="QH335" s="9" t="n">
        <v>548</v>
      </c>
      <c r="QL335" s="10" t="n">
        <v>46306</v>
      </c>
      <c r="QN335" s="9" t="n">
        <v>0</v>
      </c>
      <c r="QP335" s="9" t="n">
        <v>0</v>
      </c>
      <c r="QQ335" s="9" t="n">
        <v>0</v>
      </c>
      <c r="QU335" s="10" t="n">
        <v>46306</v>
      </c>
      <c r="QW335" s="9" t="n">
        <v>0</v>
      </c>
      <c r="QY335" s="9" t="n">
        <v>0</v>
      </c>
      <c r="QZ335" s="9" t="n">
        <v>0</v>
      </c>
      <c r="RD335" s="10" t="n">
        <v>46306</v>
      </c>
      <c r="RF335" s="9" t="n">
        <v>0</v>
      </c>
      <c r="RH335" s="9" t="n">
        <v>0</v>
      </c>
      <c r="RI335" s="9" t="n">
        <v>147.04</v>
      </c>
      <c r="RM335" s="10" t="n">
        <v>46306</v>
      </c>
      <c r="RO335" s="9" t="n">
        <v>0</v>
      </c>
      <c r="RQ335" s="9" t="n">
        <v>0</v>
      </c>
      <c r="RR335" s="9" t="n">
        <v>46.8</v>
      </c>
      <c r="RV335" s="10" t="n">
        <v>46306</v>
      </c>
      <c r="RX335" s="9" t="n">
        <v>0</v>
      </c>
      <c r="RZ335" s="9" t="n">
        <v>0</v>
      </c>
      <c r="SA335" s="9" t="n">
        <v>0</v>
      </c>
      <c r="SE335" s="10" t="n">
        <v>46306</v>
      </c>
      <c r="SG335" s="9" t="n">
        <v>0</v>
      </c>
      <c r="SI335" s="9" t="n">
        <v>0</v>
      </c>
      <c r="SJ335" s="9" t="n">
        <v>24.2</v>
      </c>
      <c r="SN335" s="10" t="n">
        <v>46306</v>
      </c>
      <c r="SP335" s="9" t="n">
        <v>0</v>
      </c>
      <c r="SR335" s="9" t="n">
        <v>0</v>
      </c>
      <c r="SS335" s="9" t="n">
        <v>32</v>
      </c>
      <c r="SW335" s="10" t="n">
        <v>46306</v>
      </c>
      <c r="SY335" s="9" t="n">
        <v>0</v>
      </c>
      <c r="TA335" s="9" t="n">
        <v>0</v>
      </c>
      <c r="TB335" s="9" t="n">
        <v>0</v>
      </c>
      <c r="TF335" s="10" t="n">
        <v>46306</v>
      </c>
      <c r="TH335" s="9" t="n">
        <v>0</v>
      </c>
      <c r="TJ335" s="9" t="n">
        <v>0</v>
      </c>
      <c r="TK335" s="9" t="n">
        <v>0</v>
      </c>
      <c r="TO335" s="10" t="n">
        <v>46306</v>
      </c>
      <c r="TQ335" s="9" t="n">
        <v>0</v>
      </c>
      <c r="TS335" s="9" t="n">
        <v>0</v>
      </c>
      <c r="TT335" s="9" t="n">
        <v>0</v>
      </c>
      <c r="TX335" s="10" t="n">
        <v>46306</v>
      </c>
      <c r="TZ335" s="9" t="n">
        <v>0</v>
      </c>
      <c r="UB335" s="9" t="n">
        <v>0</v>
      </c>
      <c r="UC335" s="9" t="n">
        <v>46.79999999999998</v>
      </c>
      <c r="UG335" s="10" t="n">
        <v>46306</v>
      </c>
      <c r="UI335" s="9" t="n">
        <v>0</v>
      </c>
      <c r="UK335" s="9" t="n">
        <v>0</v>
      </c>
      <c r="UL335" s="9" t="n">
        <v>204</v>
      </c>
      <c r="UP335" s="10" t="n">
        <v>46306</v>
      </c>
      <c r="UR335" s="9" t="n">
        <v>0</v>
      </c>
      <c r="UT335" s="9" t="n">
        <v>0</v>
      </c>
      <c r="UU335" s="9" t="n">
        <v>202.5</v>
      </c>
      <c r="UY335" s="10" t="n">
        <v>46306</v>
      </c>
      <c r="VA335" s="9" t="n">
        <v>0</v>
      </c>
      <c r="VC335" s="9" t="n">
        <v>0</v>
      </c>
      <c r="VD335" s="9" t="n">
        <v>41.60000000000002</v>
      </c>
      <c r="VH335" s="10" t="n">
        <v>46306</v>
      </c>
      <c r="VJ335" s="9" t="n">
        <v>0</v>
      </c>
      <c r="VL335" s="9" t="n">
        <v>0</v>
      </c>
      <c r="VM335" s="9" t="n">
        <v>210</v>
      </c>
      <c r="VQ335" s="10" t="n">
        <v>46306</v>
      </c>
      <c r="VS335" s="9" t="n">
        <v>0</v>
      </c>
      <c r="VU335" s="9" t="n">
        <v>0</v>
      </c>
      <c r="VV335" s="9" t="n">
        <v>0</v>
      </c>
      <c r="VZ335" s="10" t="n">
        <v>46306</v>
      </c>
      <c r="WB335" s="9" t="n">
        <v>0</v>
      </c>
      <c r="WD335" s="9" t="n">
        <v>0</v>
      </c>
      <c r="WE335" s="9" t="n">
        <v>0</v>
      </c>
      <c r="WI335" s="10" t="n">
        <v>46306</v>
      </c>
      <c r="WK335" s="9" t="n">
        <v>0</v>
      </c>
      <c r="WM335" s="9" t="n">
        <v>0</v>
      </c>
      <c r="WN335" s="9" t="n">
        <v>1057</v>
      </c>
      <c r="WR335" s="10" t="n">
        <v>46306</v>
      </c>
      <c r="WT335" s="9" t="n">
        <v>0</v>
      </c>
      <c r="WV335" s="9" t="n">
        <v>0</v>
      </c>
      <c r="WW335" s="9" t="n">
        <v>0</v>
      </c>
      <c r="XA335" s="10" t="n">
        <v>46306</v>
      </c>
      <c r="XC335" s="9" t="n">
        <v>0</v>
      </c>
      <c r="XE335" s="9" t="n">
        <v>0</v>
      </c>
      <c r="XF335" s="9" t="n">
        <v>7507</v>
      </c>
      <c r="XJ335" s="10" t="n">
        <v>46306</v>
      </c>
      <c r="XL335" s="9" t="n">
        <v>0</v>
      </c>
      <c r="XN335" s="9" t="n">
        <v>0</v>
      </c>
      <c r="XO335" s="9" t="n">
        <v>4252</v>
      </c>
      <c r="XS335" s="10" t="n">
        <v>46306</v>
      </c>
      <c r="XU335" s="9" t="n">
        <v>0</v>
      </c>
      <c r="XW335" s="9" t="n">
        <v>0</v>
      </c>
      <c r="XX335" s="9" t="n">
        <v>2179</v>
      </c>
      <c r="YB335" s="10" t="n">
        <v>46306</v>
      </c>
      <c r="YD335" s="9" t="n">
        <v>0</v>
      </c>
      <c r="YF335" s="9" t="n">
        <v>0</v>
      </c>
      <c r="YG335" s="9" t="n">
        <v>4019</v>
      </c>
      <c r="YK335" s="10" t="n">
        <v>46306</v>
      </c>
      <c r="YM335" s="9" t="n">
        <v>0</v>
      </c>
      <c r="YO335" s="9" t="n">
        <v>0</v>
      </c>
      <c r="YP335" s="9" t="n">
        <v>-218</v>
      </c>
      <c r="YT335" s="10" t="n">
        <v>46306</v>
      </c>
      <c r="YV335" s="9" t="n">
        <v>0</v>
      </c>
      <c r="YX335" s="9" t="n">
        <v>0</v>
      </c>
      <c r="YY335" s="9" t="n">
        <v>0</v>
      </c>
      <c r="ZC335" s="10" t="n">
        <v>46306</v>
      </c>
      <c r="ZE335" s="9" t="n">
        <v>0</v>
      </c>
      <c r="ZG335" s="9" t="n">
        <v>0</v>
      </c>
      <c r="ZH335" s="9" t="n">
        <v>0</v>
      </c>
      <c r="ZL335" s="10" t="n">
        <v>46306</v>
      </c>
      <c r="ZN335" s="9" t="n">
        <v>0</v>
      </c>
      <c r="ZP335" s="9" t="n">
        <v>0</v>
      </c>
      <c r="ZQ335" s="9" t="n">
        <v>0</v>
      </c>
      <c r="ZU335" s="10" t="n">
        <v>46306</v>
      </c>
      <c r="ZW335" s="9" t="n">
        <v>0</v>
      </c>
      <c r="ZY335" s="9" t="n">
        <v>0</v>
      </c>
      <c r="ZZ335" s="9" t="n">
        <v>0</v>
      </c>
      <c r="AAD335" s="10" t="n">
        <v>46306</v>
      </c>
      <c r="AAF335" s="9" t="n">
        <v>0</v>
      </c>
      <c r="AAH335" s="9" t="n">
        <v>0</v>
      </c>
      <c r="AAI335" s="9" t="n">
        <v>0</v>
      </c>
      <c r="AAM335" s="10" t="n">
        <v>46306</v>
      </c>
      <c r="AAO335" s="9" t="n">
        <v>0</v>
      </c>
      <c r="AAQ335" s="9" t="n">
        <v>0</v>
      </c>
      <c r="AAR335" s="9" t="n">
        <v>0</v>
      </c>
      <c r="AAV335" s="10" t="n">
        <v>46306</v>
      </c>
      <c r="AAX335" s="9" t="n">
        <v>0</v>
      </c>
      <c r="AAZ335" s="9" t="n">
        <v>0</v>
      </c>
      <c r="ABA335" s="9" t="n">
        <v>0</v>
      </c>
      <c r="ABE335" s="10" t="n">
        <v>46306</v>
      </c>
      <c r="ABG335" s="9" t="n">
        <v>0</v>
      </c>
      <c r="ABI335" s="9" t="n">
        <v>0</v>
      </c>
      <c r="ABJ335" s="9" t="n">
        <v>0</v>
      </c>
    </row>
    <row r="336">
      <c r="C336" s="10" t="n">
        <v>46307</v>
      </c>
      <c r="E336" s="9" t="n">
        <v>0</v>
      </c>
      <c r="G336" s="9" t="n">
        <v>0</v>
      </c>
      <c r="H336" s="9" t="n">
        <v>236936.6</v>
      </c>
      <c r="L336" s="10" t="n">
        <v>46307</v>
      </c>
      <c r="N336" s="9" t="n">
        <v>0</v>
      </c>
      <c r="P336" s="9" t="n">
        <v>0</v>
      </c>
      <c r="Q336" s="9" t="n">
        <v>53017.60000000007</v>
      </c>
      <c r="U336" s="10" t="n">
        <v>46307</v>
      </c>
      <c r="W336" s="9" t="n">
        <v>0</v>
      </c>
      <c r="Y336" s="9" t="n">
        <v>0</v>
      </c>
      <c r="Z336" s="9" t="n">
        <v>42674.19999999997</v>
      </c>
      <c r="AD336" s="10" t="n">
        <v>46307</v>
      </c>
      <c r="AF336" s="9" t="n">
        <v>0</v>
      </c>
      <c r="AH336" s="9" t="n">
        <v>0</v>
      </c>
      <c r="AI336" s="9" t="n">
        <v>4522.200000000019</v>
      </c>
      <c r="AM336" s="10" t="n">
        <v>46307</v>
      </c>
      <c r="AO336" s="9" t="n">
        <v>0</v>
      </c>
      <c r="AQ336" s="9" t="n">
        <v>0</v>
      </c>
      <c r="AR336" s="9" t="n">
        <v>0</v>
      </c>
      <c r="AV336" s="10" t="n">
        <v>46307</v>
      </c>
      <c r="AX336" s="9" t="n">
        <v>0</v>
      </c>
      <c r="AZ336" s="9" t="n">
        <v>0</v>
      </c>
      <c r="BA336" s="9" t="n">
        <v>124.9999999999952</v>
      </c>
      <c r="BE336" s="10" t="n">
        <v>46307</v>
      </c>
      <c r="BG336" s="9" t="n">
        <v>0</v>
      </c>
      <c r="BI336" s="9" t="n">
        <v>0</v>
      </c>
      <c r="BJ336" s="9" t="n">
        <v>26151.9</v>
      </c>
      <c r="BN336" s="10" t="n">
        <v>46307</v>
      </c>
      <c r="BP336" s="9" t="n">
        <v>0</v>
      </c>
      <c r="BR336" s="9" t="n">
        <v>0</v>
      </c>
      <c r="BS336" s="9" t="n">
        <v>0</v>
      </c>
      <c r="BW336" s="10" t="n">
        <v>46307</v>
      </c>
      <c r="BY336" s="9" t="n">
        <v>0</v>
      </c>
      <c r="CA336" s="9" t="n">
        <v>0</v>
      </c>
      <c r="CB336" s="9" t="n">
        <v>2097.339999999999</v>
      </c>
      <c r="CF336" s="10" t="n">
        <v>46307</v>
      </c>
      <c r="CH336" s="9" t="n">
        <v>0</v>
      </c>
      <c r="CJ336" s="9" t="n">
        <v>0</v>
      </c>
      <c r="CK336" s="9" t="n">
        <v>-10277.08</v>
      </c>
      <c r="CO336" s="10" t="n">
        <v>46307</v>
      </c>
      <c r="CQ336" s="9" t="n">
        <v>0</v>
      </c>
      <c r="CS336" s="9" t="n">
        <v>0</v>
      </c>
      <c r="CT336" s="9" t="n">
        <v>0</v>
      </c>
      <c r="CX336" s="10" t="n">
        <v>46307</v>
      </c>
      <c r="CZ336" s="9" t="n">
        <v>0</v>
      </c>
      <c r="DB336" s="9" t="n">
        <v>0</v>
      </c>
      <c r="DC336" s="9" t="n">
        <v>27438.20000000001</v>
      </c>
      <c r="DG336" s="10" t="n">
        <v>46307</v>
      </c>
      <c r="DI336" s="9" t="n">
        <v>0</v>
      </c>
      <c r="DK336" s="9" t="n">
        <v>0</v>
      </c>
      <c r="DL336" s="9" t="n">
        <v>18782.29999999998</v>
      </c>
      <c r="DP336" s="10" t="n">
        <v>46307</v>
      </c>
      <c r="DR336" s="9" t="n">
        <v>0</v>
      </c>
      <c r="DT336" s="9" t="n">
        <v>0</v>
      </c>
      <c r="DU336" s="9" t="n">
        <v>5800</v>
      </c>
      <c r="DY336" s="10" t="n">
        <v>46307</v>
      </c>
      <c r="EA336" s="9" t="n">
        <v>0</v>
      </c>
      <c r="EC336" s="9" t="n">
        <v>0</v>
      </c>
      <c r="ED336" s="9" t="n">
        <v>0</v>
      </c>
      <c r="EH336" s="10" t="n">
        <v>46307</v>
      </c>
      <c r="EJ336" s="9" t="n">
        <v>0</v>
      </c>
      <c r="EL336" s="9" t="n">
        <v>0</v>
      </c>
      <c r="EM336" s="9" t="n">
        <v>0</v>
      </c>
      <c r="EQ336" s="10" t="n">
        <v>46307</v>
      </c>
      <c r="ES336" s="9" t="n">
        <v>0</v>
      </c>
      <c r="EU336" s="9" t="n">
        <v>0</v>
      </c>
      <c r="EV336" s="9" t="n">
        <v>0</v>
      </c>
      <c r="EZ336" s="10" t="n">
        <v>46307</v>
      </c>
      <c r="FB336" s="9" t="n">
        <v>0</v>
      </c>
      <c r="FD336" s="9" t="n">
        <v>0</v>
      </c>
      <c r="FE336" s="9" t="n">
        <v>0</v>
      </c>
      <c r="FI336" s="10" t="n">
        <v>46307</v>
      </c>
      <c r="FK336" s="9" t="n">
        <v>0</v>
      </c>
      <c r="FM336" s="9" t="n">
        <v>0</v>
      </c>
      <c r="FN336" s="9" t="n">
        <v>0</v>
      </c>
      <c r="FR336" s="10" t="n">
        <v>46307</v>
      </c>
      <c r="FT336" s="9" t="n">
        <v>0</v>
      </c>
      <c r="FV336" s="9" t="n">
        <v>0</v>
      </c>
      <c r="FW336" s="9" t="n">
        <v>2020</v>
      </c>
      <c r="GA336" s="10" t="n">
        <v>46307</v>
      </c>
      <c r="GC336" s="9" t="n">
        <v>0</v>
      </c>
      <c r="GE336" s="9" t="n">
        <v>0</v>
      </c>
      <c r="GF336" s="9" t="n">
        <v>960</v>
      </c>
      <c r="GJ336" s="10" t="n">
        <v>46307</v>
      </c>
      <c r="GL336" s="9" t="n">
        <v>0</v>
      </c>
      <c r="GN336" s="9" t="n">
        <v>0</v>
      </c>
      <c r="GO336" s="9" t="n">
        <v>1760</v>
      </c>
      <c r="GS336" s="10" t="n">
        <v>46307</v>
      </c>
      <c r="GU336" s="9" t="n">
        <v>0</v>
      </c>
      <c r="GW336" s="9" t="n">
        <v>0</v>
      </c>
      <c r="GX336" s="9" t="n">
        <v>400</v>
      </c>
      <c r="HB336" s="10" t="n">
        <v>46307</v>
      </c>
      <c r="HD336" s="9" t="n">
        <v>0</v>
      </c>
      <c r="HF336" s="9" t="n">
        <v>0</v>
      </c>
      <c r="HG336" s="9" t="n">
        <v>3600</v>
      </c>
      <c r="HK336" s="10" t="n">
        <v>46307</v>
      </c>
      <c r="HM336" s="9" t="n">
        <v>0</v>
      </c>
      <c r="HO336" s="9" t="n">
        <v>0</v>
      </c>
      <c r="HP336" s="9" t="n">
        <v>0</v>
      </c>
      <c r="HU336" s="10" t="n">
        <v>46307</v>
      </c>
      <c r="HW336" s="9" t="n">
        <v>0</v>
      </c>
      <c r="HY336" s="9" t="n">
        <v>0</v>
      </c>
      <c r="HZ336" s="9" t="n">
        <v>6120</v>
      </c>
      <c r="ID336" s="10" t="n">
        <v>46307</v>
      </c>
      <c r="IF336" s="9" t="n">
        <v>0</v>
      </c>
      <c r="IH336" s="9" t="n">
        <v>0</v>
      </c>
      <c r="II336" s="9" t="n">
        <v>0</v>
      </c>
      <c r="IM336" s="10" t="n">
        <v>46307</v>
      </c>
      <c r="IO336" s="9" t="n">
        <v>0</v>
      </c>
      <c r="IQ336" s="9" t="n">
        <v>0</v>
      </c>
      <c r="IR336" s="9" t="n">
        <v>0</v>
      </c>
      <c r="IV336" s="10" t="n">
        <v>46307</v>
      </c>
      <c r="IX336" s="9" t="n">
        <v>0</v>
      </c>
      <c r="IZ336" s="9" t="n">
        <v>0</v>
      </c>
      <c r="JA336" s="9" t="n">
        <v>2820</v>
      </c>
      <c r="JE336" s="10" t="n">
        <v>46307</v>
      </c>
      <c r="JG336" s="9" t="n">
        <v>0</v>
      </c>
      <c r="JI336" s="9" t="n">
        <v>0</v>
      </c>
      <c r="JJ336" s="9" t="n">
        <v>0</v>
      </c>
      <c r="JN336" s="10" t="n">
        <v>46307</v>
      </c>
      <c r="JP336" s="9" t="n">
        <v>0</v>
      </c>
      <c r="JR336" s="9" t="n">
        <v>0</v>
      </c>
      <c r="JS336" s="9" t="n">
        <v>0</v>
      </c>
      <c r="JW336" s="10" t="n">
        <v>46307</v>
      </c>
      <c r="JY336" s="9" t="n">
        <v>0</v>
      </c>
      <c r="KA336" s="9" t="n">
        <v>0</v>
      </c>
      <c r="KB336" s="9" t="n">
        <v>2540</v>
      </c>
      <c r="KF336" s="10" t="n">
        <v>46307</v>
      </c>
      <c r="KH336" s="9" t="n">
        <v>0</v>
      </c>
      <c r="KJ336" s="9" t="n">
        <v>0</v>
      </c>
      <c r="KK336" s="9" t="n">
        <v>2359.5</v>
      </c>
      <c r="KO336" s="10" t="n">
        <v>46307</v>
      </c>
      <c r="KQ336" s="9" t="n">
        <v>0</v>
      </c>
      <c r="KS336" s="9" t="n">
        <v>0</v>
      </c>
      <c r="KT336" s="9" t="n">
        <v>1890</v>
      </c>
      <c r="KX336" s="10" t="n">
        <v>46307</v>
      </c>
      <c r="KZ336" s="9" t="n">
        <v>0</v>
      </c>
      <c r="LB336" s="9" t="n">
        <v>0</v>
      </c>
      <c r="LC336" s="9" t="n">
        <v>3690</v>
      </c>
      <c r="LG336" s="10" t="n">
        <v>46307</v>
      </c>
      <c r="LI336" s="9" t="n">
        <v>0</v>
      </c>
      <c r="LK336" s="9" t="n">
        <v>0</v>
      </c>
      <c r="LL336" s="9" t="n">
        <v>4000</v>
      </c>
      <c r="LP336" s="10" t="n">
        <v>46307</v>
      </c>
      <c r="LR336" s="9" t="n">
        <v>0</v>
      </c>
      <c r="LT336" s="9" t="n">
        <v>0</v>
      </c>
      <c r="LU336" s="9" t="n">
        <v>0</v>
      </c>
      <c r="LY336" s="10" t="n">
        <v>46307</v>
      </c>
      <c r="MA336" s="9" t="n">
        <v>0</v>
      </c>
      <c r="MC336" s="9" t="n">
        <v>0</v>
      </c>
      <c r="MD336" s="9" t="n">
        <v>0</v>
      </c>
      <c r="MH336" s="10" t="n">
        <v>46307</v>
      </c>
      <c r="MJ336" s="9" t="n">
        <v>0</v>
      </c>
      <c r="ML336" s="9" t="n">
        <v>0</v>
      </c>
      <c r="MM336" s="9" t="n">
        <v>0</v>
      </c>
      <c r="MQ336" s="10" t="n">
        <v>46307</v>
      </c>
      <c r="MS336" s="9" t="n">
        <v>0</v>
      </c>
      <c r="MU336" s="9" t="n">
        <v>0</v>
      </c>
      <c r="MV336" s="9" t="n">
        <v>1625</v>
      </c>
      <c r="MZ336" s="10" t="n">
        <v>46307</v>
      </c>
      <c r="NB336" s="9" t="n">
        <v>0</v>
      </c>
      <c r="ND336" s="9" t="n">
        <v>0</v>
      </c>
      <c r="NE336" s="9" t="n">
        <v>0</v>
      </c>
      <c r="NI336" s="10" t="n">
        <v>46307</v>
      </c>
      <c r="NK336" s="9" t="n">
        <v>0</v>
      </c>
      <c r="NM336" s="9" t="n">
        <v>0</v>
      </c>
      <c r="NN336" s="9" t="n">
        <v>1127</v>
      </c>
      <c r="NR336" s="10" t="n">
        <v>46307</v>
      </c>
      <c r="NT336" s="9" t="n">
        <v>0</v>
      </c>
      <c r="NV336" s="9" t="n">
        <v>0</v>
      </c>
      <c r="NW336" s="9" t="n">
        <v>3112</v>
      </c>
      <c r="OA336" s="10" t="n">
        <v>46307</v>
      </c>
      <c r="OC336" s="9" t="n">
        <v>0</v>
      </c>
      <c r="OE336" s="9" t="n">
        <v>0</v>
      </c>
      <c r="OF336" s="9" t="n">
        <v>1680.5</v>
      </c>
      <c r="OJ336" s="10" t="n">
        <v>46307</v>
      </c>
      <c r="OL336" s="9" t="n">
        <v>0</v>
      </c>
      <c r="ON336" s="9" t="n">
        <v>0</v>
      </c>
      <c r="OO336" s="9" t="n">
        <v>0</v>
      </c>
      <c r="OS336" s="10" t="n">
        <v>46307</v>
      </c>
      <c r="OU336" s="9" t="n">
        <v>0</v>
      </c>
      <c r="OW336" s="9" t="n">
        <v>0</v>
      </c>
      <c r="OX336" s="9" t="n">
        <v>1482</v>
      </c>
      <c r="PB336" s="10" t="n">
        <v>46307</v>
      </c>
      <c r="PD336" s="9" t="n">
        <v>0</v>
      </c>
      <c r="PF336" s="9" t="n">
        <v>0</v>
      </c>
      <c r="PG336" s="9" t="n">
        <v>0</v>
      </c>
      <c r="PK336" s="10" t="n">
        <v>46307</v>
      </c>
      <c r="PM336" s="9" t="n">
        <v>0</v>
      </c>
      <c r="PO336" s="9" t="n">
        <v>0</v>
      </c>
      <c r="PP336" s="9" t="n">
        <v>100</v>
      </c>
      <c r="PT336" s="10" t="n">
        <v>46307</v>
      </c>
      <c r="PV336" s="9" t="n">
        <v>0</v>
      </c>
      <c r="PX336" s="9" t="n">
        <v>0</v>
      </c>
      <c r="PY336" s="9" t="n">
        <v>13.96000000000004</v>
      </c>
      <c r="QC336" s="10" t="n">
        <v>46307</v>
      </c>
      <c r="QE336" s="9" t="n">
        <v>0</v>
      </c>
      <c r="QG336" s="9" t="n">
        <v>0</v>
      </c>
      <c r="QH336" s="9" t="n">
        <v>548</v>
      </c>
      <c r="QL336" s="10" t="n">
        <v>46307</v>
      </c>
      <c r="QN336" s="9" t="n">
        <v>0</v>
      </c>
      <c r="QP336" s="9" t="n">
        <v>0</v>
      </c>
      <c r="QQ336" s="9" t="n">
        <v>0</v>
      </c>
      <c r="QU336" s="10" t="n">
        <v>46307</v>
      </c>
      <c r="QW336" s="9" t="n">
        <v>0</v>
      </c>
      <c r="QY336" s="9" t="n">
        <v>0</v>
      </c>
      <c r="QZ336" s="9" t="n">
        <v>0</v>
      </c>
      <c r="RD336" s="10" t="n">
        <v>46307</v>
      </c>
      <c r="RF336" s="9" t="n">
        <v>0</v>
      </c>
      <c r="RH336" s="9" t="n">
        <v>0</v>
      </c>
      <c r="RI336" s="9" t="n">
        <v>147.04</v>
      </c>
      <c r="RM336" s="10" t="n">
        <v>46307</v>
      </c>
      <c r="RO336" s="9" t="n">
        <v>0</v>
      </c>
      <c r="RQ336" s="9" t="n">
        <v>0</v>
      </c>
      <c r="RR336" s="9" t="n">
        <v>46.8</v>
      </c>
      <c r="RV336" s="10" t="n">
        <v>46307</v>
      </c>
      <c r="RX336" s="9" t="n">
        <v>0</v>
      </c>
      <c r="RZ336" s="9" t="n">
        <v>0</v>
      </c>
      <c r="SA336" s="9" t="n">
        <v>0</v>
      </c>
      <c r="SE336" s="10" t="n">
        <v>46307</v>
      </c>
      <c r="SG336" s="9" t="n">
        <v>0</v>
      </c>
      <c r="SI336" s="9" t="n">
        <v>0</v>
      </c>
      <c r="SJ336" s="9" t="n">
        <v>24.2</v>
      </c>
      <c r="SN336" s="10" t="n">
        <v>46307</v>
      </c>
      <c r="SP336" s="9" t="n">
        <v>0</v>
      </c>
      <c r="SR336" s="9" t="n">
        <v>0</v>
      </c>
      <c r="SS336" s="9" t="n">
        <v>32</v>
      </c>
      <c r="SW336" s="10" t="n">
        <v>46307</v>
      </c>
      <c r="SY336" s="9" t="n">
        <v>0</v>
      </c>
      <c r="TA336" s="9" t="n">
        <v>0</v>
      </c>
      <c r="TB336" s="9" t="n">
        <v>0</v>
      </c>
      <c r="TF336" s="10" t="n">
        <v>46307</v>
      </c>
      <c r="TH336" s="9" t="n">
        <v>0</v>
      </c>
      <c r="TJ336" s="9" t="n">
        <v>0</v>
      </c>
      <c r="TK336" s="9" t="n">
        <v>0</v>
      </c>
      <c r="TO336" s="10" t="n">
        <v>46307</v>
      </c>
      <c r="TQ336" s="9" t="n">
        <v>0</v>
      </c>
      <c r="TS336" s="9" t="n">
        <v>0</v>
      </c>
      <c r="TT336" s="9" t="n">
        <v>0</v>
      </c>
      <c r="TX336" s="10" t="n">
        <v>46307</v>
      </c>
      <c r="TZ336" s="9" t="n">
        <v>0</v>
      </c>
      <c r="UB336" s="9" t="n">
        <v>0</v>
      </c>
      <c r="UC336" s="9" t="n">
        <v>46.79999999999998</v>
      </c>
      <c r="UG336" s="10" t="n">
        <v>46307</v>
      </c>
      <c r="UI336" s="9" t="n">
        <v>0</v>
      </c>
      <c r="UK336" s="9" t="n">
        <v>0</v>
      </c>
      <c r="UL336" s="9" t="n">
        <v>204</v>
      </c>
      <c r="UP336" s="10" t="n">
        <v>46307</v>
      </c>
      <c r="UR336" s="9" t="n">
        <v>0</v>
      </c>
      <c r="UT336" s="9" t="n">
        <v>0</v>
      </c>
      <c r="UU336" s="9" t="n">
        <v>202.5</v>
      </c>
      <c r="UY336" s="10" t="n">
        <v>46307</v>
      </c>
      <c r="VA336" s="9" t="n">
        <v>0</v>
      </c>
      <c r="VC336" s="9" t="n">
        <v>0</v>
      </c>
      <c r="VD336" s="9" t="n">
        <v>41.60000000000002</v>
      </c>
      <c r="VH336" s="10" t="n">
        <v>46307</v>
      </c>
      <c r="VJ336" s="9" t="n">
        <v>0</v>
      </c>
      <c r="VL336" s="9" t="n">
        <v>0</v>
      </c>
      <c r="VM336" s="9" t="n">
        <v>210</v>
      </c>
      <c r="VQ336" s="10" t="n">
        <v>46307</v>
      </c>
      <c r="VS336" s="9" t="n">
        <v>0</v>
      </c>
      <c r="VU336" s="9" t="n">
        <v>0</v>
      </c>
      <c r="VV336" s="9" t="n">
        <v>0</v>
      </c>
      <c r="VZ336" s="10" t="n">
        <v>46307</v>
      </c>
      <c r="WB336" s="9" t="n">
        <v>0</v>
      </c>
      <c r="WD336" s="9" t="n">
        <v>0</v>
      </c>
      <c r="WE336" s="9" t="n">
        <v>0</v>
      </c>
      <c r="WI336" s="10" t="n">
        <v>46307</v>
      </c>
      <c r="WK336" s="9" t="n">
        <v>0</v>
      </c>
      <c r="WM336" s="9" t="n">
        <v>0</v>
      </c>
      <c r="WN336" s="9" t="n">
        <v>1057</v>
      </c>
      <c r="WR336" s="10" t="n">
        <v>46307</v>
      </c>
      <c r="WT336" s="9" t="n">
        <v>0</v>
      </c>
      <c r="WV336" s="9" t="n">
        <v>0</v>
      </c>
      <c r="WW336" s="9" t="n">
        <v>0</v>
      </c>
      <c r="XA336" s="10" t="n">
        <v>46307</v>
      </c>
      <c r="XC336" s="9" t="n">
        <v>0</v>
      </c>
      <c r="XE336" s="9" t="n">
        <v>0</v>
      </c>
      <c r="XF336" s="9" t="n">
        <v>7507</v>
      </c>
      <c r="XJ336" s="10" t="n">
        <v>46307</v>
      </c>
      <c r="XL336" s="9" t="n">
        <v>0</v>
      </c>
      <c r="XN336" s="9" t="n">
        <v>0</v>
      </c>
      <c r="XO336" s="9" t="n">
        <v>4252</v>
      </c>
      <c r="XS336" s="10" t="n">
        <v>46307</v>
      </c>
      <c r="XU336" s="9" t="n">
        <v>0</v>
      </c>
      <c r="XW336" s="9" t="n">
        <v>0</v>
      </c>
      <c r="XX336" s="9" t="n">
        <v>2179</v>
      </c>
      <c r="YB336" s="10" t="n">
        <v>46307</v>
      </c>
      <c r="YD336" s="9" t="n">
        <v>0</v>
      </c>
      <c r="YF336" s="9" t="n">
        <v>0</v>
      </c>
      <c r="YG336" s="9" t="n">
        <v>4019</v>
      </c>
      <c r="YK336" s="10" t="n">
        <v>46307</v>
      </c>
      <c r="YM336" s="9" t="n">
        <v>0</v>
      </c>
      <c r="YO336" s="9" t="n">
        <v>0</v>
      </c>
      <c r="YP336" s="9" t="n">
        <v>-218</v>
      </c>
      <c r="YT336" s="10" t="n">
        <v>46307</v>
      </c>
      <c r="YV336" s="9" t="n">
        <v>0</v>
      </c>
      <c r="YX336" s="9" t="n">
        <v>0</v>
      </c>
      <c r="YY336" s="9" t="n">
        <v>0</v>
      </c>
      <c r="ZC336" s="10" t="n">
        <v>46307</v>
      </c>
      <c r="ZE336" s="9" t="n">
        <v>0</v>
      </c>
      <c r="ZG336" s="9" t="n">
        <v>0</v>
      </c>
      <c r="ZH336" s="9" t="n">
        <v>0</v>
      </c>
      <c r="ZL336" s="10" t="n">
        <v>46307</v>
      </c>
      <c r="ZN336" s="9" t="n">
        <v>0</v>
      </c>
      <c r="ZP336" s="9" t="n">
        <v>0</v>
      </c>
      <c r="ZQ336" s="9" t="n">
        <v>0</v>
      </c>
      <c r="ZU336" s="10" t="n">
        <v>46307</v>
      </c>
      <c r="ZW336" s="9" t="n">
        <v>0</v>
      </c>
      <c r="ZY336" s="9" t="n">
        <v>0</v>
      </c>
      <c r="ZZ336" s="9" t="n">
        <v>0</v>
      </c>
      <c r="AAD336" s="10" t="n">
        <v>46307</v>
      </c>
      <c r="AAF336" s="9" t="n">
        <v>0</v>
      </c>
      <c r="AAH336" s="9" t="n">
        <v>0</v>
      </c>
      <c r="AAI336" s="9" t="n">
        <v>0</v>
      </c>
      <c r="AAM336" s="10" t="n">
        <v>46307</v>
      </c>
      <c r="AAO336" s="9" t="n">
        <v>0</v>
      </c>
      <c r="AAQ336" s="9" t="n">
        <v>0</v>
      </c>
      <c r="AAR336" s="9" t="n">
        <v>0</v>
      </c>
      <c r="AAV336" s="10" t="n">
        <v>46307</v>
      </c>
      <c r="AAX336" s="9" t="n">
        <v>0</v>
      </c>
      <c r="AAZ336" s="9" t="n">
        <v>0</v>
      </c>
      <c r="ABA336" s="9" t="n">
        <v>0</v>
      </c>
      <c r="ABE336" s="10" t="n">
        <v>46307</v>
      </c>
      <c r="ABG336" s="9" t="n">
        <v>0</v>
      </c>
      <c r="ABI336" s="9" t="n">
        <v>0</v>
      </c>
      <c r="ABJ336" s="9" t="n">
        <v>0</v>
      </c>
    </row>
    <row r="337">
      <c r="C337" s="10" t="n">
        <v>46308</v>
      </c>
      <c r="E337" s="9" t="n">
        <v>0</v>
      </c>
      <c r="G337" s="9" t="n">
        <v>0</v>
      </c>
      <c r="H337" s="9" t="n">
        <v>236936.6</v>
      </c>
      <c r="L337" s="10" t="n">
        <v>46308</v>
      </c>
      <c r="N337" s="9" t="n">
        <v>0</v>
      </c>
      <c r="P337" s="9" t="n">
        <v>0</v>
      </c>
      <c r="Q337" s="9" t="n">
        <v>53017.60000000007</v>
      </c>
      <c r="U337" s="10" t="n">
        <v>46308</v>
      </c>
      <c r="W337" s="9" t="n">
        <v>0</v>
      </c>
      <c r="Y337" s="9" t="n">
        <v>0</v>
      </c>
      <c r="Z337" s="9" t="n">
        <v>42674.19999999997</v>
      </c>
      <c r="AD337" s="10" t="n">
        <v>46308</v>
      </c>
      <c r="AF337" s="9" t="n">
        <v>0</v>
      </c>
      <c r="AH337" s="9" t="n">
        <v>0</v>
      </c>
      <c r="AI337" s="9" t="n">
        <v>4522.200000000019</v>
      </c>
      <c r="AM337" s="10" t="n">
        <v>46308</v>
      </c>
      <c r="AO337" s="9" t="n">
        <v>0</v>
      </c>
      <c r="AQ337" s="9" t="n">
        <v>0</v>
      </c>
      <c r="AR337" s="9" t="n">
        <v>0</v>
      </c>
      <c r="AV337" s="10" t="n">
        <v>46308</v>
      </c>
      <c r="AX337" s="9" t="n">
        <v>0</v>
      </c>
      <c r="AZ337" s="9" t="n">
        <v>0</v>
      </c>
      <c r="BA337" s="9" t="n">
        <v>124.9999999999952</v>
      </c>
      <c r="BE337" s="10" t="n">
        <v>46308</v>
      </c>
      <c r="BG337" s="9" t="n">
        <v>0</v>
      </c>
      <c r="BI337" s="9" t="n">
        <v>0</v>
      </c>
      <c r="BJ337" s="9" t="n">
        <v>26151.9</v>
      </c>
      <c r="BN337" s="10" t="n">
        <v>46308</v>
      </c>
      <c r="BP337" s="9" t="n">
        <v>0</v>
      </c>
      <c r="BR337" s="9" t="n">
        <v>0</v>
      </c>
      <c r="BS337" s="9" t="n">
        <v>0</v>
      </c>
      <c r="BW337" s="10" t="n">
        <v>46308</v>
      </c>
      <c r="BY337" s="9" t="n">
        <v>0</v>
      </c>
      <c r="CA337" s="9" t="n">
        <v>0</v>
      </c>
      <c r="CB337" s="9" t="n">
        <v>2097.339999999999</v>
      </c>
      <c r="CF337" s="10" t="n">
        <v>46308</v>
      </c>
      <c r="CH337" s="9" t="n">
        <v>0</v>
      </c>
      <c r="CJ337" s="9" t="n">
        <v>0</v>
      </c>
      <c r="CK337" s="9" t="n">
        <v>-10277.08</v>
      </c>
      <c r="CO337" s="10" t="n">
        <v>46308</v>
      </c>
      <c r="CQ337" s="9" t="n">
        <v>0</v>
      </c>
      <c r="CS337" s="9" t="n">
        <v>0</v>
      </c>
      <c r="CT337" s="9" t="n">
        <v>0</v>
      </c>
      <c r="CX337" s="10" t="n">
        <v>46308</v>
      </c>
      <c r="CZ337" s="9" t="n">
        <v>0</v>
      </c>
      <c r="DB337" s="9" t="n">
        <v>0</v>
      </c>
      <c r="DC337" s="9" t="n">
        <v>27438.20000000001</v>
      </c>
      <c r="DG337" s="10" t="n">
        <v>46308</v>
      </c>
      <c r="DI337" s="9" t="n">
        <v>0</v>
      </c>
      <c r="DK337" s="9" t="n">
        <v>0</v>
      </c>
      <c r="DL337" s="9" t="n">
        <v>18782.29999999998</v>
      </c>
      <c r="DP337" s="10" t="n">
        <v>46308</v>
      </c>
      <c r="DR337" s="9" t="n">
        <v>0</v>
      </c>
      <c r="DT337" s="9" t="n">
        <v>0</v>
      </c>
      <c r="DU337" s="9" t="n">
        <v>5800</v>
      </c>
      <c r="DY337" s="10" t="n">
        <v>46308</v>
      </c>
      <c r="EA337" s="9" t="n">
        <v>0</v>
      </c>
      <c r="EC337" s="9" t="n">
        <v>0</v>
      </c>
      <c r="ED337" s="9" t="n">
        <v>0</v>
      </c>
      <c r="EH337" s="10" t="n">
        <v>46308</v>
      </c>
      <c r="EJ337" s="9" t="n">
        <v>0</v>
      </c>
      <c r="EL337" s="9" t="n">
        <v>0</v>
      </c>
      <c r="EM337" s="9" t="n">
        <v>0</v>
      </c>
      <c r="EQ337" s="10" t="n">
        <v>46308</v>
      </c>
      <c r="ES337" s="9" t="n">
        <v>0</v>
      </c>
      <c r="EU337" s="9" t="n">
        <v>0</v>
      </c>
      <c r="EV337" s="9" t="n">
        <v>0</v>
      </c>
      <c r="EZ337" s="10" t="n">
        <v>46308</v>
      </c>
      <c r="FB337" s="9" t="n">
        <v>0</v>
      </c>
      <c r="FD337" s="9" t="n">
        <v>0</v>
      </c>
      <c r="FE337" s="9" t="n">
        <v>0</v>
      </c>
      <c r="FI337" s="10" t="n">
        <v>46308</v>
      </c>
      <c r="FK337" s="9" t="n">
        <v>0</v>
      </c>
      <c r="FM337" s="9" t="n">
        <v>0</v>
      </c>
      <c r="FN337" s="9" t="n">
        <v>0</v>
      </c>
      <c r="FR337" s="10" t="n">
        <v>46308</v>
      </c>
      <c r="FT337" s="9" t="n">
        <v>0</v>
      </c>
      <c r="FV337" s="9" t="n">
        <v>0</v>
      </c>
      <c r="FW337" s="9" t="n">
        <v>2020</v>
      </c>
      <c r="GA337" s="10" t="n">
        <v>46308</v>
      </c>
      <c r="GC337" s="9" t="n">
        <v>0</v>
      </c>
      <c r="GE337" s="9" t="n">
        <v>0</v>
      </c>
      <c r="GF337" s="9" t="n">
        <v>960</v>
      </c>
      <c r="GJ337" s="10" t="n">
        <v>46308</v>
      </c>
      <c r="GL337" s="9" t="n">
        <v>0</v>
      </c>
      <c r="GN337" s="9" t="n">
        <v>0</v>
      </c>
      <c r="GO337" s="9" t="n">
        <v>1760</v>
      </c>
      <c r="GS337" s="10" t="n">
        <v>46308</v>
      </c>
      <c r="GU337" s="9" t="n">
        <v>0</v>
      </c>
      <c r="GW337" s="9" t="n">
        <v>0</v>
      </c>
      <c r="GX337" s="9" t="n">
        <v>400</v>
      </c>
      <c r="HB337" s="10" t="n">
        <v>46308</v>
      </c>
      <c r="HD337" s="9" t="n">
        <v>0</v>
      </c>
      <c r="HF337" s="9" t="n">
        <v>0</v>
      </c>
      <c r="HG337" s="9" t="n">
        <v>3600</v>
      </c>
      <c r="HK337" s="10" t="n">
        <v>46308</v>
      </c>
      <c r="HM337" s="9" t="n">
        <v>0</v>
      </c>
      <c r="HO337" s="9" t="n">
        <v>0</v>
      </c>
      <c r="HP337" s="9" t="n">
        <v>0</v>
      </c>
      <c r="HU337" s="10" t="n">
        <v>46308</v>
      </c>
      <c r="HW337" s="9" t="n">
        <v>0</v>
      </c>
      <c r="HY337" s="9" t="n">
        <v>0</v>
      </c>
      <c r="HZ337" s="9" t="n">
        <v>6120</v>
      </c>
      <c r="ID337" s="10" t="n">
        <v>46308</v>
      </c>
      <c r="IF337" s="9" t="n">
        <v>0</v>
      </c>
      <c r="IH337" s="9" t="n">
        <v>0</v>
      </c>
      <c r="II337" s="9" t="n">
        <v>0</v>
      </c>
      <c r="IM337" s="10" t="n">
        <v>46308</v>
      </c>
      <c r="IO337" s="9" t="n">
        <v>0</v>
      </c>
      <c r="IQ337" s="9" t="n">
        <v>0</v>
      </c>
      <c r="IR337" s="9" t="n">
        <v>0</v>
      </c>
      <c r="IV337" s="10" t="n">
        <v>46308</v>
      </c>
      <c r="IX337" s="9" t="n">
        <v>0</v>
      </c>
      <c r="IZ337" s="9" t="n">
        <v>0</v>
      </c>
      <c r="JA337" s="9" t="n">
        <v>2820</v>
      </c>
      <c r="JE337" s="10" t="n">
        <v>46308</v>
      </c>
      <c r="JG337" s="9" t="n">
        <v>0</v>
      </c>
      <c r="JI337" s="9" t="n">
        <v>0</v>
      </c>
      <c r="JJ337" s="9" t="n">
        <v>0</v>
      </c>
      <c r="JN337" s="10" t="n">
        <v>46308</v>
      </c>
      <c r="JP337" s="9" t="n">
        <v>0</v>
      </c>
      <c r="JR337" s="9" t="n">
        <v>0</v>
      </c>
      <c r="JS337" s="9" t="n">
        <v>0</v>
      </c>
      <c r="JW337" s="10" t="n">
        <v>46308</v>
      </c>
      <c r="JY337" s="9" t="n">
        <v>0</v>
      </c>
      <c r="KA337" s="9" t="n">
        <v>0</v>
      </c>
      <c r="KB337" s="9" t="n">
        <v>2540</v>
      </c>
      <c r="KF337" s="10" t="n">
        <v>46308</v>
      </c>
      <c r="KH337" s="9" t="n">
        <v>0</v>
      </c>
      <c r="KJ337" s="9" t="n">
        <v>0</v>
      </c>
      <c r="KK337" s="9" t="n">
        <v>2359.5</v>
      </c>
      <c r="KO337" s="10" t="n">
        <v>46308</v>
      </c>
      <c r="KQ337" s="9" t="n">
        <v>0</v>
      </c>
      <c r="KS337" s="9" t="n">
        <v>0</v>
      </c>
      <c r="KT337" s="9" t="n">
        <v>1890</v>
      </c>
      <c r="KX337" s="10" t="n">
        <v>46308</v>
      </c>
      <c r="KZ337" s="9" t="n">
        <v>0</v>
      </c>
      <c r="LB337" s="9" t="n">
        <v>0</v>
      </c>
      <c r="LC337" s="9" t="n">
        <v>3690</v>
      </c>
      <c r="LG337" s="10" t="n">
        <v>46308</v>
      </c>
      <c r="LI337" s="9" t="n">
        <v>0</v>
      </c>
      <c r="LK337" s="9" t="n">
        <v>0</v>
      </c>
      <c r="LL337" s="9" t="n">
        <v>4000</v>
      </c>
      <c r="LP337" s="10" t="n">
        <v>46308</v>
      </c>
      <c r="LR337" s="9" t="n">
        <v>0</v>
      </c>
      <c r="LT337" s="9" t="n">
        <v>0</v>
      </c>
      <c r="LU337" s="9" t="n">
        <v>0</v>
      </c>
      <c r="LY337" s="10" t="n">
        <v>46308</v>
      </c>
      <c r="MA337" s="9" t="n">
        <v>0</v>
      </c>
      <c r="MC337" s="9" t="n">
        <v>0</v>
      </c>
      <c r="MD337" s="9" t="n">
        <v>0</v>
      </c>
      <c r="MH337" s="10" t="n">
        <v>46308</v>
      </c>
      <c r="MJ337" s="9" t="n">
        <v>0</v>
      </c>
      <c r="ML337" s="9" t="n">
        <v>0</v>
      </c>
      <c r="MM337" s="9" t="n">
        <v>0</v>
      </c>
      <c r="MQ337" s="10" t="n">
        <v>46308</v>
      </c>
      <c r="MS337" s="9" t="n">
        <v>0</v>
      </c>
      <c r="MU337" s="9" t="n">
        <v>0</v>
      </c>
      <c r="MV337" s="9" t="n">
        <v>1625</v>
      </c>
      <c r="MZ337" s="10" t="n">
        <v>46308</v>
      </c>
      <c r="NB337" s="9" t="n">
        <v>0</v>
      </c>
      <c r="ND337" s="9" t="n">
        <v>0</v>
      </c>
      <c r="NE337" s="9" t="n">
        <v>0</v>
      </c>
      <c r="NI337" s="10" t="n">
        <v>46308</v>
      </c>
      <c r="NK337" s="9" t="n">
        <v>0</v>
      </c>
      <c r="NM337" s="9" t="n">
        <v>0</v>
      </c>
      <c r="NN337" s="9" t="n">
        <v>1127</v>
      </c>
      <c r="NR337" s="10" t="n">
        <v>46308</v>
      </c>
      <c r="NT337" s="9" t="n">
        <v>0</v>
      </c>
      <c r="NV337" s="9" t="n">
        <v>0</v>
      </c>
      <c r="NW337" s="9" t="n">
        <v>3112</v>
      </c>
      <c r="OA337" s="10" t="n">
        <v>46308</v>
      </c>
      <c r="OC337" s="9" t="n">
        <v>0</v>
      </c>
      <c r="OE337" s="9" t="n">
        <v>0</v>
      </c>
      <c r="OF337" s="9" t="n">
        <v>1680.5</v>
      </c>
      <c r="OJ337" s="10" t="n">
        <v>46308</v>
      </c>
      <c r="OL337" s="9" t="n">
        <v>0</v>
      </c>
      <c r="ON337" s="9" t="n">
        <v>0</v>
      </c>
      <c r="OO337" s="9" t="n">
        <v>0</v>
      </c>
      <c r="OS337" s="10" t="n">
        <v>46308</v>
      </c>
      <c r="OU337" s="9" t="n">
        <v>0</v>
      </c>
      <c r="OW337" s="9" t="n">
        <v>0</v>
      </c>
      <c r="OX337" s="9" t="n">
        <v>1482</v>
      </c>
      <c r="PB337" s="10" t="n">
        <v>46308</v>
      </c>
      <c r="PD337" s="9" t="n">
        <v>0</v>
      </c>
      <c r="PF337" s="9" t="n">
        <v>0</v>
      </c>
      <c r="PG337" s="9" t="n">
        <v>0</v>
      </c>
      <c r="PK337" s="10" t="n">
        <v>46308</v>
      </c>
      <c r="PM337" s="9" t="n">
        <v>0</v>
      </c>
      <c r="PO337" s="9" t="n">
        <v>0</v>
      </c>
      <c r="PP337" s="9" t="n">
        <v>100</v>
      </c>
      <c r="PT337" s="10" t="n">
        <v>46308</v>
      </c>
      <c r="PV337" s="9" t="n">
        <v>0</v>
      </c>
      <c r="PX337" s="9" t="n">
        <v>0</v>
      </c>
      <c r="PY337" s="9" t="n">
        <v>13.96000000000004</v>
      </c>
      <c r="QC337" s="10" t="n">
        <v>46308</v>
      </c>
      <c r="QE337" s="9" t="n">
        <v>0</v>
      </c>
      <c r="QG337" s="9" t="n">
        <v>0</v>
      </c>
      <c r="QH337" s="9" t="n">
        <v>548</v>
      </c>
      <c r="QL337" s="10" t="n">
        <v>46308</v>
      </c>
      <c r="QN337" s="9" t="n">
        <v>0</v>
      </c>
      <c r="QP337" s="9" t="n">
        <v>0</v>
      </c>
      <c r="QQ337" s="9" t="n">
        <v>0</v>
      </c>
      <c r="QU337" s="10" t="n">
        <v>46308</v>
      </c>
      <c r="QW337" s="9" t="n">
        <v>0</v>
      </c>
      <c r="QY337" s="9" t="n">
        <v>0</v>
      </c>
      <c r="QZ337" s="9" t="n">
        <v>0</v>
      </c>
      <c r="RD337" s="10" t="n">
        <v>46308</v>
      </c>
      <c r="RF337" s="9" t="n">
        <v>0</v>
      </c>
      <c r="RH337" s="9" t="n">
        <v>0</v>
      </c>
      <c r="RI337" s="9" t="n">
        <v>147.04</v>
      </c>
      <c r="RM337" s="10" t="n">
        <v>46308</v>
      </c>
      <c r="RO337" s="9" t="n">
        <v>0</v>
      </c>
      <c r="RQ337" s="9" t="n">
        <v>0</v>
      </c>
      <c r="RR337" s="9" t="n">
        <v>46.8</v>
      </c>
      <c r="RV337" s="10" t="n">
        <v>46308</v>
      </c>
      <c r="RX337" s="9" t="n">
        <v>0</v>
      </c>
      <c r="RZ337" s="9" t="n">
        <v>0</v>
      </c>
      <c r="SA337" s="9" t="n">
        <v>0</v>
      </c>
      <c r="SE337" s="10" t="n">
        <v>46308</v>
      </c>
      <c r="SG337" s="9" t="n">
        <v>0</v>
      </c>
      <c r="SI337" s="9" t="n">
        <v>0</v>
      </c>
      <c r="SJ337" s="9" t="n">
        <v>24.2</v>
      </c>
      <c r="SN337" s="10" t="n">
        <v>46308</v>
      </c>
      <c r="SP337" s="9" t="n">
        <v>0</v>
      </c>
      <c r="SR337" s="9" t="n">
        <v>0</v>
      </c>
      <c r="SS337" s="9" t="n">
        <v>32</v>
      </c>
      <c r="SW337" s="10" t="n">
        <v>46308</v>
      </c>
      <c r="SY337" s="9" t="n">
        <v>0</v>
      </c>
      <c r="TA337" s="9" t="n">
        <v>0</v>
      </c>
      <c r="TB337" s="9" t="n">
        <v>0</v>
      </c>
      <c r="TF337" s="10" t="n">
        <v>46308</v>
      </c>
      <c r="TH337" s="9" t="n">
        <v>0</v>
      </c>
      <c r="TJ337" s="9" t="n">
        <v>0</v>
      </c>
      <c r="TK337" s="9" t="n">
        <v>0</v>
      </c>
      <c r="TO337" s="10" t="n">
        <v>46308</v>
      </c>
      <c r="TQ337" s="9" t="n">
        <v>0</v>
      </c>
      <c r="TS337" s="9" t="n">
        <v>0</v>
      </c>
      <c r="TT337" s="9" t="n">
        <v>0</v>
      </c>
      <c r="TX337" s="10" t="n">
        <v>46308</v>
      </c>
      <c r="TZ337" s="9" t="n">
        <v>0</v>
      </c>
      <c r="UB337" s="9" t="n">
        <v>0</v>
      </c>
      <c r="UC337" s="9" t="n">
        <v>46.79999999999998</v>
      </c>
      <c r="UG337" s="10" t="n">
        <v>46308</v>
      </c>
      <c r="UI337" s="9" t="n">
        <v>0</v>
      </c>
      <c r="UK337" s="9" t="n">
        <v>0</v>
      </c>
      <c r="UL337" s="9" t="n">
        <v>204</v>
      </c>
      <c r="UP337" s="10" t="n">
        <v>46308</v>
      </c>
      <c r="UR337" s="9" t="n">
        <v>0</v>
      </c>
      <c r="UT337" s="9" t="n">
        <v>0</v>
      </c>
      <c r="UU337" s="9" t="n">
        <v>202.5</v>
      </c>
      <c r="UY337" s="10" t="n">
        <v>46308</v>
      </c>
      <c r="VA337" s="9" t="n">
        <v>0</v>
      </c>
      <c r="VC337" s="9" t="n">
        <v>0</v>
      </c>
      <c r="VD337" s="9" t="n">
        <v>41.60000000000002</v>
      </c>
      <c r="VH337" s="10" t="n">
        <v>46308</v>
      </c>
      <c r="VJ337" s="9" t="n">
        <v>0</v>
      </c>
      <c r="VL337" s="9" t="n">
        <v>0</v>
      </c>
      <c r="VM337" s="9" t="n">
        <v>210</v>
      </c>
      <c r="VQ337" s="10" t="n">
        <v>46308</v>
      </c>
      <c r="VS337" s="9" t="n">
        <v>0</v>
      </c>
      <c r="VU337" s="9" t="n">
        <v>0</v>
      </c>
      <c r="VV337" s="9" t="n">
        <v>0</v>
      </c>
      <c r="VZ337" s="10" t="n">
        <v>46308</v>
      </c>
      <c r="WB337" s="9" t="n">
        <v>0</v>
      </c>
      <c r="WD337" s="9" t="n">
        <v>0</v>
      </c>
      <c r="WE337" s="9" t="n">
        <v>0</v>
      </c>
      <c r="WI337" s="10" t="n">
        <v>46308</v>
      </c>
      <c r="WK337" s="9" t="n">
        <v>0</v>
      </c>
      <c r="WM337" s="9" t="n">
        <v>0</v>
      </c>
      <c r="WN337" s="9" t="n">
        <v>1057</v>
      </c>
      <c r="WR337" s="10" t="n">
        <v>46308</v>
      </c>
      <c r="WT337" s="9" t="n">
        <v>0</v>
      </c>
      <c r="WV337" s="9" t="n">
        <v>0</v>
      </c>
      <c r="WW337" s="9" t="n">
        <v>0</v>
      </c>
      <c r="XA337" s="10" t="n">
        <v>46308</v>
      </c>
      <c r="XC337" s="9" t="n">
        <v>0</v>
      </c>
      <c r="XE337" s="9" t="n">
        <v>0</v>
      </c>
      <c r="XF337" s="9" t="n">
        <v>7507</v>
      </c>
      <c r="XJ337" s="10" t="n">
        <v>46308</v>
      </c>
      <c r="XL337" s="9" t="n">
        <v>0</v>
      </c>
      <c r="XN337" s="9" t="n">
        <v>0</v>
      </c>
      <c r="XO337" s="9" t="n">
        <v>4252</v>
      </c>
      <c r="XS337" s="10" t="n">
        <v>46308</v>
      </c>
      <c r="XU337" s="9" t="n">
        <v>0</v>
      </c>
      <c r="XW337" s="9" t="n">
        <v>0</v>
      </c>
      <c r="XX337" s="9" t="n">
        <v>2179</v>
      </c>
      <c r="YB337" s="10" t="n">
        <v>46308</v>
      </c>
      <c r="YD337" s="9" t="n">
        <v>0</v>
      </c>
      <c r="YF337" s="9" t="n">
        <v>0</v>
      </c>
      <c r="YG337" s="9" t="n">
        <v>4019</v>
      </c>
      <c r="YK337" s="10" t="n">
        <v>46308</v>
      </c>
      <c r="YM337" s="9" t="n">
        <v>0</v>
      </c>
      <c r="YO337" s="9" t="n">
        <v>0</v>
      </c>
      <c r="YP337" s="9" t="n">
        <v>-218</v>
      </c>
      <c r="YT337" s="10" t="n">
        <v>46308</v>
      </c>
      <c r="YV337" s="9" t="n">
        <v>0</v>
      </c>
      <c r="YX337" s="9" t="n">
        <v>0</v>
      </c>
      <c r="YY337" s="9" t="n">
        <v>0</v>
      </c>
      <c r="ZC337" s="10" t="n">
        <v>46308</v>
      </c>
      <c r="ZE337" s="9" t="n">
        <v>0</v>
      </c>
      <c r="ZG337" s="9" t="n">
        <v>0</v>
      </c>
      <c r="ZH337" s="9" t="n">
        <v>0</v>
      </c>
      <c r="ZL337" s="10" t="n">
        <v>46308</v>
      </c>
      <c r="ZN337" s="9" t="n">
        <v>0</v>
      </c>
      <c r="ZP337" s="9" t="n">
        <v>0</v>
      </c>
      <c r="ZQ337" s="9" t="n">
        <v>0</v>
      </c>
      <c r="ZU337" s="10" t="n">
        <v>46308</v>
      </c>
      <c r="ZW337" s="9" t="n">
        <v>0</v>
      </c>
      <c r="ZY337" s="9" t="n">
        <v>0</v>
      </c>
      <c r="ZZ337" s="9" t="n">
        <v>0</v>
      </c>
      <c r="AAD337" s="10" t="n">
        <v>46308</v>
      </c>
      <c r="AAF337" s="9" t="n">
        <v>0</v>
      </c>
      <c r="AAH337" s="9" t="n">
        <v>0</v>
      </c>
      <c r="AAI337" s="9" t="n">
        <v>0</v>
      </c>
      <c r="AAM337" s="10" t="n">
        <v>46308</v>
      </c>
      <c r="AAO337" s="9" t="n">
        <v>0</v>
      </c>
      <c r="AAQ337" s="9" t="n">
        <v>0</v>
      </c>
      <c r="AAR337" s="9" t="n">
        <v>0</v>
      </c>
      <c r="AAV337" s="10" t="n">
        <v>46308</v>
      </c>
      <c r="AAX337" s="9" t="n">
        <v>0</v>
      </c>
      <c r="AAZ337" s="9" t="n">
        <v>0</v>
      </c>
      <c r="ABA337" s="9" t="n">
        <v>0</v>
      </c>
      <c r="ABE337" s="10" t="n">
        <v>46308</v>
      </c>
      <c r="ABG337" s="9" t="n">
        <v>0</v>
      </c>
      <c r="ABI337" s="9" t="n">
        <v>0</v>
      </c>
      <c r="ABJ337" s="9" t="n">
        <v>0</v>
      </c>
    </row>
    <row r="338">
      <c r="C338" s="10" t="n">
        <v>46309</v>
      </c>
      <c r="E338" s="9" t="n">
        <v>0</v>
      </c>
      <c r="G338" s="9" t="n">
        <v>0</v>
      </c>
      <c r="H338" s="9" t="n">
        <v>236936.6</v>
      </c>
      <c r="L338" s="10" t="n">
        <v>46309</v>
      </c>
      <c r="N338" s="9" t="n">
        <v>0</v>
      </c>
      <c r="P338" s="9" t="n">
        <v>0</v>
      </c>
      <c r="Q338" s="9" t="n">
        <v>53017.60000000007</v>
      </c>
      <c r="U338" s="10" t="n">
        <v>46309</v>
      </c>
      <c r="W338" s="9" t="n">
        <v>0</v>
      </c>
      <c r="Y338" s="9" t="n">
        <v>0</v>
      </c>
      <c r="Z338" s="9" t="n">
        <v>42674.19999999997</v>
      </c>
      <c r="AD338" s="10" t="n">
        <v>46309</v>
      </c>
      <c r="AF338" s="9" t="n">
        <v>0</v>
      </c>
      <c r="AH338" s="9" t="n">
        <v>0</v>
      </c>
      <c r="AI338" s="9" t="n">
        <v>4522.200000000019</v>
      </c>
      <c r="AM338" s="10" t="n">
        <v>46309</v>
      </c>
      <c r="AO338" s="9" t="n">
        <v>0</v>
      </c>
      <c r="AQ338" s="9" t="n">
        <v>0</v>
      </c>
      <c r="AR338" s="9" t="n">
        <v>0</v>
      </c>
      <c r="AV338" s="10" t="n">
        <v>46309</v>
      </c>
      <c r="AX338" s="9" t="n">
        <v>0</v>
      </c>
      <c r="AZ338" s="9" t="n">
        <v>0</v>
      </c>
      <c r="BA338" s="9" t="n">
        <v>124.9999999999952</v>
      </c>
      <c r="BE338" s="10" t="n">
        <v>46309</v>
      </c>
      <c r="BG338" s="9" t="n">
        <v>0</v>
      </c>
      <c r="BI338" s="9" t="n">
        <v>0</v>
      </c>
      <c r="BJ338" s="9" t="n">
        <v>26151.9</v>
      </c>
      <c r="BN338" s="10" t="n">
        <v>46309</v>
      </c>
      <c r="BP338" s="9" t="n">
        <v>0</v>
      </c>
      <c r="BR338" s="9" t="n">
        <v>0</v>
      </c>
      <c r="BS338" s="9" t="n">
        <v>0</v>
      </c>
      <c r="BW338" s="10" t="n">
        <v>46309</v>
      </c>
      <c r="BY338" s="9" t="n">
        <v>0</v>
      </c>
      <c r="CA338" s="9" t="n">
        <v>0</v>
      </c>
      <c r="CB338" s="9" t="n">
        <v>2097.339999999999</v>
      </c>
      <c r="CF338" s="10" t="n">
        <v>46309</v>
      </c>
      <c r="CH338" s="9" t="n">
        <v>0</v>
      </c>
      <c r="CJ338" s="9" t="n">
        <v>0</v>
      </c>
      <c r="CK338" s="9" t="n">
        <v>-10277.08</v>
      </c>
      <c r="CO338" s="10" t="n">
        <v>46309</v>
      </c>
      <c r="CQ338" s="9" t="n">
        <v>0</v>
      </c>
      <c r="CS338" s="9" t="n">
        <v>0</v>
      </c>
      <c r="CT338" s="9" t="n">
        <v>0</v>
      </c>
      <c r="CX338" s="10" t="n">
        <v>46309</v>
      </c>
      <c r="CZ338" s="9" t="n">
        <v>0</v>
      </c>
      <c r="DB338" s="9" t="n">
        <v>0</v>
      </c>
      <c r="DC338" s="9" t="n">
        <v>27438.20000000001</v>
      </c>
      <c r="DG338" s="10" t="n">
        <v>46309</v>
      </c>
      <c r="DI338" s="9" t="n">
        <v>0</v>
      </c>
      <c r="DK338" s="9" t="n">
        <v>0</v>
      </c>
      <c r="DL338" s="9" t="n">
        <v>18782.29999999998</v>
      </c>
      <c r="DP338" s="10" t="n">
        <v>46309</v>
      </c>
      <c r="DR338" s="9" t="n">
        <v>0</v>
      </c>
      <c r="DT338" s="9" t="n">
        <v>0</v>
      </c>
      <c r="DU338" s="9" t="n">
        <v>5800</v>
      </c>
      <c r="DY338" s="10" t="n">
        <v>46309</v>
      </c>
      <c r="EA338" s="9" t="n">
        <v>0</v>
      </c>
      <c r="EC338" s="9" t="n">
        <v>0</v>
      </c>
      <c r="ED338" s="9" t="n">
        <v>0</v>
      </c>
      <c r="EH338" s="10" t="n">
        <v>46309</v>
      </c>
      <c r="EJ338" s="9" t="n">
        <v>0</v>
      </c>
      <c r="EL338" s="9" t="n">
        <v>0</v>
      </c>
      <c r="EM338" s="9" t="n">
        <v>0</v>
      </c>
      <c r="EQ338" s="10" t="n">
        <v>46309</v>
      </c>
      <c r="ES338" s="9" t="n">
        <v>0</v>
      </c>
      <c r="EU338" s="9" t="n">
        <v>0</v>
      </c>
      <c r="EV338" s="9" t="n">
        <v>0</v>
      </c>
      <c r="EZ338" s="10" t="n">
        <v>46309</v>
      </c>
      <c r="FB338" s="9" t="n">
        <v>0</v>
      </c>
      <c r="FD338" s="9" t="n">
        <v>0</v>
      </c>
      <c r="FE338" s="9" t="n">
        <v>0</v>
      </c>
      <c r="FI338" s="10" t="n">
        <v>46309</v>
      </c>
      <c r="FK338" s="9" t="n">
        <v>0</v>
      </c>
      <c r="FM338" s="9" t="n">
        <v>0</v>
      </c>
      <c r="FN338" s="9" t="n">
        <v>0</v>
      </c>
      <c r="FR338" s="10" t="n">
        <v>46309</v>
      </c>
      <c r="FT338" s="9" t="n">
        <v>0</v>
      </c>
      <c r="FV338" s="9" t="n">
        <v>0</v>
      </c>
      <c r="FW338" s="9" t="n">
        <v>2020</v>
      </c>
      <c r="GA338" s="10" t="n">
        <v>46309</v>
      </c>
      <c r="GC338" s="9" t="n">
        <v>0</v>
      </c>
      <c r="GE338" s="9" t="n">
        <v>0</v>
      </c>
      <c r="GF338" s="9" t="n">
        <v>960</v>
      </c>
      <c r="GJ338" s="10" t="n">
        <v>46309</v>
      </c>
      <c r="GL338" s="9" t="n">
        <v>0</v>
      </c>
      <c r="GN338" s="9" t="n">
        <v>0</v>
      </c>
      <c r="GO338" s="9" t="n">
        <v>1760</v>
      </c>
      <c r="GS338" s="10" t="n">
        <v>46309</v>
      </c>
      <c r="GU338" s="9" t="n">
        <v>0</v>
      </c>
      <c r="GW338" s="9" t="n">
        <v>0</v>
      </c>
      <c r="GX338" s="9" t="n">
        <v>400</v>
      </c>
      <c r="HB338" s="10" t="n">
        <v>46309</v>
      </c>
      <c r="HD338" s="9" t="n">
        <v>0</v>
      </c>
      <c r="HF338" s="9" t="n">
        <v>0</v>
      </c>
      <c r="HG338" s="9" t="n">
        <v>3600</v>
      </c>
      <c r="HK338" s="10" t="n">
        <v>46309</v>
      </c>
      <c r="HM338" s="9" t="n">
        <v>0</v>
      </c>
      <c r="HO338" s="9" t="n">
        <v>0</v>
      </c>
      <c r="HP338" s="9" t="n">
        <v>0</v>
      </c>
      <c r="HU338" s="10" t="n">
        <v>46309</v>
      </c>
      <c r="HW338" s="9" t="n">
        <v>0</v>
      </c>
      <c r="HY338" s="9" t="n">
        <v>0</v>
      </c>
      <c r="HZ338" s="9" t="n">
        <v>6120</v>
      </c>
      <c r="ID338" s="10" t="n">
        <v>46309</v>
      </c>
      <c r="IF338" s="9" t="n">
        <v>0</v>
      </c>
      <c r="IH338" s="9" t="n">
        <v>0</v>
      </c>
      <c r="II338" s="9" t="n">
        <v>0</v>
      </c>
      <c r="IM338" s="10" t="n">
        <v>46309</v>
      </c>
      <c r="IO338" s="9" t="n">
        <v>0</v>
      </c>
      <c r="IQ338" s="9" t="n">
        <v>0</v>
      </c>
      <c r="IR338" s="9" t="n">
        <v>0</v>
      </c>
      <c r="IV338" s="10" t="n">
        <v>46309</v>
      </c>
      <c r="IX338" s="9" t="n">
        <v>0</v>
      </c>
      <c r="IZ338" s="9" t="n">
        <v>0</v>
      </c>
      <c r="JA338" s="9" t="n">
        <v>2820</v>
      </c>
      <c r="JE338" s="10" t="n">
        <v>46309</v>
      </c>
      <c r="JG338" s="9" t="n">
        <v>0</v>
      </c>
      <c r="JI338" s="9" t="n">
        <v>0</v>
      </c>
      <c r="JJ338" s="9" t="n">
        <v>0</v>
      </c>
      <c r="JN338" s="10" t="n">
        <v>46309</v>
      </c>
      <c r="JP338" s="9" t="n">
        <v>0</v>
      </c>
      <c r="JR338" s="9" t="n">
        <v>0</v>
      </c>
      <c r="JS338" s="9" t="n">
        <v>0</v>
      </c>
      <c r="JW338" s="10" t="n">
        <v>46309</v>
      </c>
      <c r="JY338" s="9" t="n">
        <v>0</v>
      </c>
      <c r="KA338" s="9" t="n">
        <v>0</v>
      </c>
      <c r="KB338" s="9" t="n">
        <v>2540</v>
      </c>
      <c r="KF338" s="10" t="n">
        <v>46309</v>
      </c>
      <c r="KH338" s="9" t="n">
        <v>0</v>
      </c>
      <c r="KJ338" s="9" t="n">
        <v>0</v>
      </c>
      <c r="KK338" s="9" t="n">
        <v>2359.5</v>
      </c>
      <c r="KO338" s="10" t="n">
        <v>46309</v>
      </c>
      <c r="KQ338" s="9" t="n">
        <v>0</v>
      </c>
      <c r="KS338" s="9" t="n">
        <v>0</v>
      </c>
      <c r="KT338" s="9" t="n">
        <v>1890</v>
      </c>
      <c r="KX338" s="10" t="n">
        <v>46309</v>
      </c>
      <c r="KZ338" s="9" t="n">
        <v>0</v>
      </c>
      <c r="LB338" s="9" t="n">
        <v>0</v>
      </c>
      <c r="LC338" s="9" t="n">
        <v>3690</v>
      </c>
      <c r="LG338" s="10" t="n">
        <v>46309</v>
      </c>
      <c r="LI338" s="9" t="n">
        <v>0</v>
      </c>
      <c r="LK338" s="9" t="n">
        <v>0</v>
      </c>
      <c r="LL338" s="9" t="n">
        <v>4000</v>
      </c>
      <c r="LP338" s="10" t="n">
        <v>46309</v>
      </c>
      <c r="LR338" s="9" t="n">
        <v>0</v>
      </c>
      <c r="LT338" s="9" t="n">
        <v>0</v>
      </c>
      <c r="LU338" s="9" t="n">
        <v>0</v>
      </c>
      <c r="LY338" s="10" t="n">
        <v>46309</v>
      </c>
      <c r="MA338" s="9" t="n">
        <v>0</v>
      </c>
      <c r="MC338" s="9" t="n">
        <v>0</v>
      </c>
      <c r="MD338" s="9" t="n">
        <v>0</v>
      </c>
      <c r="MH338" s="10" t="n">
        <v>46309</v>
      </c>
      <c r="MJ338" s="9" t="n">
        <v>0</v>
      </c>
      <c r="ML338" s="9" t="n">
        <v>0</v>
      </c>
      <c r="MM338" s="9" t="n">
        <v>0</v>
      </c>
      <c r="MQ338" s="10" t="n">
        <v>46309</v>
      </c>
      <c r="MS338" s="9" t="n">
        <v>0</v>
      </c>
      <c r="MU338" s="9" t="n">
        <v>0</v>
      </c>
      <c r="MV338" s="9" t="n">
        <v>1625</v>
      </c>
      <c r="MZ338" s="10" t="n">
        <v>46309</v>
      </c>
      <c r="NB338" s="9" t="n">
        <v>0</v>
      </c>
      <c r="ND338" s="9" t="n">
        <v>0</v>
      </c>
      <c r="NE338" s="9" t="n">
        <v>0</v>
      </c>
      <c r="NI338" s="10" t="n">
        <v>46309</v>
      </c>
      <c r="NK338" s="9" t="n">
        <v>0</v>
      </c>
      <c r="NM338" s="9" t="n">
        <v>0</v>
      </c>
      <c r="NN338" s="9" t="n">
        <v>1127</v>
      </c>
      <c r="NR338" s="10" t="n">
        <v>46309</v>
      </c>
      <c r="NT338" s="9" t="n">
        <v>0</v>
      </c>
      <c r="NV338" s="9" t="n">
        <v>0</v>
      </c>
      <c r="NW338" s="9" t="n">
        <v>3112</v>
      </c>
      <c r="OA338" s="10" t="n">
        <v>46309</v>
      </c>
      <c r="OC338" s="9" t="n">
        <v>0</v>
      </c>
      <c r="OE338" s="9" t="n">
        <v>0</v>
      </c>
      <c r="OF338" s="9" t="n">
        <v>1680.5</v>
      </c>
      <c r="OJ338" s="10" t="n">
        <v>46309</v>
      </c>
      <c r="OL338" s="9" t="n">
        <v>0</v>
      </c>
      <c r="ON338" s="9" t="n">
        <v>0</v>
      </c>
      <c r="OO338" s="9" t="n">
        <v>0</v>
      </c>
      <c r="OS338" s="10" t="n">
        <v>46309</v>
      </c>
      <c r="OU338" s="9" t="n">
        <v>0</v>
      </c>
      <c r="OW338" s="9" t="n">
        <v>0</v>
      </c>
      <c r="OX338" s="9" t="n">
        <v>1482</v>
      </c>
      <c r="PB338" s="10" t="n">
        <v>46309</v>
      </c>
      <c r="PD338" s="9" t="n">
        <v>0</v>
      </c>
      <c r="PF338" s="9" t="n">
        <v>0</v>
      </c>
      <c r="PG338" s="9" t="n">
        <v>0</v>
      </c>
      <c r="PK338" s="10" t="n">
        <v>46309</v>
      </c>
      <c r="PM338" s="9" t="n">
        <v>0</v>
      </c>
      <c r="PO338" s="9" t="n">
        <v>0</v>
      </c>
      <c r="PP338" s="9" t="n">
        <v>100</v>
      </c>
      <c r="PT338" s="10" t="n">
        <v>46309</v>
      </c>
      <c r="PV338" s="9" t="n">
        <v>0</v>
      </c>
      <c r="PX338" s="9" t="n">
        <v>0</v>
      </c>
      <c r="PY338" s="9" t="n">
        <v>13.96000000000004</v>
      </c>
      <c r="QC338" s="10" t="n">
        <v>46309</v>
      </c>
      <c r="QE338" s="9" t="n">
        <v>0</v>
      </c>
      <c r="QG338" s="9" t="n">
        <v>0</v>
      </c>
      <c r="QH338" s="9" t="n">
        <v>548</v>
      </c>
      <c r="QL338" s="10" t="n">
        <v>46309</v>
      </c>
      <c r="QN338" s="9" t="n">
        <v>0</v>
      </c>
      <c r="QP338" s="9" t="n">
        <v>0</v>
      </c>
      <c r="QQ338" s="9" t="n">
        <v>0</v>
      </c>
      <c r="QU338" s="10" t="n">
        <v>46309</v>
      </c>
      <c r="QW338" s="9" t="n">
        <v>0</v>
      </c>
      <c r="QY338" s="9" t="n">
        <v>0</v>
      </c>
      <c r="QZ338" s="9" t="n">
        <v>0</v>
      </c>
      <c r="RD338" s="10" t="n">
        <v>46309</v>
      </c>
      <c r="RF338" s="9" t="n">
        <v>0</v>
      </c>
      <c r="RH338" s="9" t="n">
        <v>0</v>
      </c>
      <c r="RI338" s="9" t="n">
        <v>147.04</v>
      </c>
      <c r="RM338" s="10" t="n">
        <v>46309</v>
      </c>
      <c r="RO338" s="9" t="n">
        <v>0</v>
      </c>
      <c r="RQ338" s="9" t="n">
        <v>0</v>
      </c>
      <c r="RR338" s="9" t="n">
        <v>46.8</v>
      </c>
      <c r="RV338" s="10" t="n">
        <v>46309</v>
      </c>
      <c r="RX338" s="9" t="n">
        <v>0</v>
      </c>
      <c r="RZ338" s="9" t="n">
        <v>0</v>
      </c>
      <c r="SA338" s="9" t="n">
        <v>0</v>
      </c>
      <c r="SE338" s="10" t="n">
        <v>46309</v>
      </c>
      <c r="SG338" s="9" t="n">
        <v>0</v>
      </c>
      <c r="SI338" s="9" t="n">
        <v>0</v>
      </c>
      <c r="SJ338" s="9" t="n">
        <v>24.2</v>
      </c>
      <c r="SN338" s="10" t="n">
        <v>46309</v>
      </c>
      <c r="SP338" s="9" t="n">
        <v>0</v>
      </c>
      <c r="SR338" s="9" t="n">
        <v>0</v>
      </c>
      <c r="SS338" s="9" t="n">
        <v>32</v>
      </c>
      <c r="SW338" s="10" t="n">
        <v>46309</v>
      </c>
      <c r="SY338" s="9" t="n">
        <v>0</v>
      </c>
      <c r="TA338" s="9" t="n">
        <v>0</v>
      </c>
      <c r="TB338" s="9" t="n">
        <v>0</v>
      </c>
      <c r="TF338" s="10" t="n">
        <v>46309</v>
      </c>
      <c r="TH338" s="9" t="n">
        <v>0</v>
      </c>
      <c r="TJ338" s="9" t="n">
        <v>0</v>
      </c>
      <c r="TK338" s="9" t="n">
        <v>0</v>
      </c>
      <c r="TO338" s="10" t="n">
        <v>46309</v>
      </c>
      <c r="TQ338" s="9" t="n">
        <v>0</v>
      </c>
      <c r="TS338" s="9" t="n">
        <v>0</v>
      </c>
      <c r="TT338" s="9" t="n">
        <v>0</v>
      </c>
      <c r="TX338" s="10" t="n">
        <v>46309</v>
      </c>
      <c r="TZ338" s="9" t="n">
        <v>0</v>
      </c>
      <c r="UB338" s="9" t="n">
        <v>0</v>
      </c>
      <c r="UC338" s="9" t="n">
        <v>46.79999999999998</v>
      </c>
      <c r="UG338" s="10" t="n">
        <v>46309</v>
      </c>
      <c r="UI338" s="9" t="n">
        <v>0</v>
      </c>
      <c r="UK338" s="9" t="n">
        <v>0</v>
      </c>
      <c r="UL338" s="9" t="n">
        <v>204</v>
      </c>
      <c r="UP338" s="10" t="n">
        <v>46309</v>
      </c>
      <c r="UR338" s="9" t="n">
        <v>0</v>
      </c>
      <c r="UT338" s="9" t="n">
        <v>0</v>
      </c>
      <c r="UU338" s="9" t="n">
        <v>202.5</v>
      </c>
      <c r="UY338" s="10" t="n">
        <v>46309</v>
      </c>
      <c r="VA338" s="9" t="n">
        <v>0</v>
      </c>
      <c r="VC338" s="9" t="n">
        <v>0</v>
      </c>
      <c r="VD338" s="9" t="n">
        <v>41.60000000000002</v>
      </c>
      <c r="VH338" s="10" t="n">
        <v>46309</v>
      </c>
      <c r="VJ338" s="9" t="n">
        <v>0</v>
      </c>
      <c r="VL338" s="9" t="n">
        <v>0</v>
      </c>
      <c r="VM338" s="9" t="n">
        <v>210</v>
      </c>
      <c r="VQ338" s="10" t="n">
        <v>46309</v>
      </c>
      <c r="VS338" s="9" t="n">
        <v>0</v>
      </c>
      <c r="VU338" s="9" t="n">
        <v>0</v>
      </c>
      <c r="VV338" s="9" t="n">
        <v>0</v>
      </c>
      <c r="VZ338" s="10" t="n">
        <v>46309</v>
      </c>
      <c r="WB338" s="9" t="n">
        <v>0</v>
      </c>
      <c r="WD338" s="9" t="n">
        <v>0</v>
      </c>
      <c r="WE338" s="9" t="n">
        <v>0</v>
      </c>
      <c r="WI338" s="10" t="n">
        <v>46309</v>
      </c>
      <c r="WK338" s="9" t="n">
        <v>0</v>
      </c>
      <c r="WM338" s="9" t="n">
        <v>0</v>
      </c>
      <c r="WN338" s="9" t="n">
        <v>1057</v>
      </c>
      <c r="WR338" s="10" t="n">
        <v>46309</v>
      </c>
      <c r="WT338" s="9" t="n">
        <v>0</v>
      </c>
      <c r="WV338" s="9" t="n">
        <v>0</v>
      </c>
      <c r="WW338" s="9" t="n">
        <v>0</v>
      </c>
      <c r="XA338" s="10" t="n">
        <v>46309</v>
      </c>
      <c r="XC338" s="9" t="n">
        <v>0</v>
      </c>
      <c r="XE338" s="9" t="n">
        <v>0</v>
      </c>
      <c r="XF338" s="9" t="n">
        <v>7507</v>
      </c>
      <c r="XJ338" s="10" t="n">
        <v>46309</v>
      </c>
      <c r="XL338" s="9" t="n">
        <v>0</v>
      </c>
      <c r="XN338" s="9" t="n">
        <v>0</v>
      </c>
      <c r="XO338" s="9" t="n">
        <v>4252</v>
      </c>
      <c r="XS338" s="10" t="n">
        <v>46309</v>
      </c>
      <c r="XU338" s="9" t="n">
        <v>0</v>
      </c>
      <c r="XW338" s="9" t="n">
        <v>0</v>
      </c>
      <c r="XX338" s="9" t="n">
        <v>2179</v>
      </c>
      <c r="YB338" s="10" t="n">
        <v>46309</v>
      </c>
      <c r="YD338" s="9" t="n">
        <v>0</v>
      </c>
      <c r="YF338" s="9" t="n">
        <v>0</v>
      </c>
      <c r="YG338" s="9" t="n">
        <v>4019</v>
      </c>
      <c r="YK338" s="10" t="n">
        <v>46309</v>
      </c>
      <c r="YM338" s="9" t="n">
        <v>0</v>
      </c>
      <c r="YO338" s="9" t="n">
        <v>0</v>
      </c>
      <c r="YP338" s="9" t="n">
        <v>-218</v>
      </c>
      <c r="YT338" s="10" t="n">
        <v>46309</v>
      </c>
      <c r="YV338" s="9" t="n">
        <v>0</v>
      </c>
      <c r="YX338" s="9" t="n">
        <v>0</v>
      </c>
      <c r="YY338" s="9" t="n">
        <v>0</v>
      </c>
      <c r="ZC338" s="10" t="n">
        <v>46309</v>
      </c>
      <c r="ZE338" s="9" t="n">
        <v>0</v>
      </c>
      <c r="ZG338" s="9" t="n">
        <v>0</v>
      </c>
      <c r="ZH338" s="9" t="n">
        <v>0</v>
      </c>
      <c r="ZL338" s="10" t="n">
        <v>46309</v>
      </c>
      <c r="ZN338" s="9" t="n">
        <v>0</v>
      </c>
      <c r="ZP338" s="9" t="n">
        <v>0</v>
      </c>
      <c r="ZQ338" s="9" t="n">
        <v>0</v>
      </c>
      <c r="ZU338" s="10" t="n">
        <v>46309</v>
      </c>
      <c r="ZW338" s="9" t="n">
        <v>0</v>
      </c>
      <c r="ZY338" s="9" t="n">
        <v>0</v>
      </c>
      <c r="ZZ338" s="9" t="n">
        <v>0</v>
      </c>
      <c r="AAD338" s="10" t="n">
        <v>46309</v>
      </c>
      <c r="AAF338" s="9" t="n">
        <v>0</v>
      </c>
      <c r="AAH338" s="9" t="n">
        <v>0</v>
      </c>
      <c r="AAI338" s="9" t="n">
        <v>0</v>
      </c>
      <c r="AAM338" s="10" t="n">
        <v>46309</v>
      </c>
      <c r="AAO338" s="9" t="n">
        <v>0</v>
      </c>
      <c r="AAQ338" s="9" t="n">
        <v>0</v>
      </c>
      <c r="AAR338" s="9" t="n">
        <v>0</v>
      </c>
      <c r="AAV338" s="10" t="n">
        <v>46309</v>
      </c>
      <c r="AAX338" s="9" t="n">
        <v>0</v>
      </c>
      <c r="AAZ338" s="9" t="n">
        <v>0</v>
      </c>
      <c r="ABA338" s="9" t="n">
        <v>0</v>
      </c>
      <c r="ABE338" s="10" t="n">
        <v>46309</v>
      </c>
      <c r="ABG338" s="9" t="n">
        <v>0</v>
      </c>
      <c r="ABI338" s="9" t="n">
        <v>0</v>
      </c>
      <c r="ABJ338" s="9" t="n">
        <v>0</v>
      </c>
    </row>
    <row r="339">
      <c r="C339" s="10" t="n">
        <v>46310</v>
      </c>
      <c r="E339" s="9" t="n">
        <v>0</v>
      </c>
      <c r="G339" s="9" t="n">
        <v>0</v>
      </c>
      <c r="H339" s="9" t="n">
        <v>236936.6</v>
      </c>
      <c r="L339" s="10" t="n">
        <v>46310</v>
      </c>
      <c r="N339" s="9" t="n">
        <v>0</v>
      </c>
      <c r="P339" s="9" t="n">
        <v>0</v>
      </c>
      <c r="Q339" s="9" t="n">
        <v>53017.60000000007</v>
      </c>
      <c r="U339" s="10" t="n">
        <v>46310</v>
      </c>
      <c r="W339" s="9" t="n">
        <v>0</v>
      </c>
      <c r="Y339" s="9" t="n">
        <v>0</v>
      </c>
      <c r="Z339" s="9" t="n">
        <v>42674.19999999997</v>
      </c>
      <c r="AD339" s="10" t="n">
        <v>46310</v>
      </c>
      <c r="AF339" s="9" t="n">
        <v>0</v>
      </c>
      <c r="AH339" s="9" t="n">
        <v>0</v>
      </c>
      <c r="AI339" s="9" t="n">
        <v>4522.200000000019</v>
      </c>
      <c r="AM339" s="10" t="n">
        <v>46310</v>
      </c>
      <c r="AO339" s="9" t="n">
        <v>0</v>
      </c>
      <c r="AQ339" s="9" t="n">
        <v>0</v>
      </c>
      <c r="AR339" s="9" t="n">
        <v>0</v>
      </c>
      <c r="AV339" s="10" t="n">
        <v>46310</v>
      </c>
      <c r="AX339" s="9" t="n">
        <v>0</v>
      </c>
      <c r="AZ339" s="9" t="n">
        <v>0</v>
      </c>
      <c r="BA339" s="9" t="n">
        <v>124.9999999999952</v>
      </c>
      <c r="BE339" s="10" t="n">
        <v>46310</v>
      </c>
      <c r="BG339" s="9" t="n">
        <v>0</v>
      </c>
      <c r="BI339" s="9" t="n">
        <v>0</v>
      </c>
      <c r="BJ339" s="9" t="n">
        <v>26151.9</v>
      </c>
      <c r="BN339" s="10" t="n">
        <v>46310</v>
      </c>
      <c r="BP339" s="9" t="n">
        <v>0</v>
      </c>
      <c r="BR339" s="9" t="n">
        <v>0</v>
      </c>
      <c r="BS339" s="9" t="n">
        <v>0</v>
      </c>
      <c r="BW339" s="10" t="n">
        <v>46310</v>
      </c>
      <c r="BY339" s="9" t="n">
        <v>0</v>
      </c>
      <c r="CA339" s="9" t="n">
        <v>0</v>
      </c>
      <c r="CB339" s="9" t="n">
        <v>2097.339999999999</v>
      </c>
      <c r="CF339" s="10" t="n">
        <v>46310</v>
      </c>
      <c r="CH339" s="9" t="n">
        <v>0</v>
      </c>
      <c r="CJ339" s="9" t="n">
        <v>0</v>
      </c>
      <c r="CK339" s="9" t="n">
        <v>-10277.08</v>
      </c>
      <c r="CO339" s="10" t="n">
        <v>46310</v>
      </c>
      <c r="CQ339" s="9" t="n">
        <v>0</v>
      </c>
      <c r="CS339" s="9" t="n">
        <v>0</v>
      </c>
      <c r="CT339" s="9" t="n">
        <v>0</v>
      </c>
      <c r="CX339" s="10" t="n">
        <v>46310</v>
      </c>
      <c r="CZ339" s="9" t="n">
        <v>0</v>
      </c>
      <c r="DB339" s="9" t="n">
        <v>0</v>
      </c>
      <c r="DC339" s="9" t="n">
        <v>27438.20000000001</v>
      </c>
      <c r="DG339" s="10" t="n">
        <v>46310</v>
      </c>
      <c r="DI339" s="9" t="n">
        <v>0</v>
      </c>
      <c r="DK339" s="9" t="n">
        <v>0</v>
      </c>
      <c r="DL339" s="9" t="n">
        <v>18782.29999999998</v>
      </c>
      <c r="DP339" s="10" t="n">
        <v>46310</v>
      </c>
      <c r="DR339" s="9" t="n">
        <v>0</v>
      </c>
      <c r="DT339" s="9" t="n">
        <v>0</v>
      </c>
      <c r="DU339" s="9" t="n">
        <v>5800</v>
      </c>
      <c r="DY339" s="10" t="n">
        <v>46310</v>
      </c>
      <c r="EA339" s="9" t="n">
        <v>0</v>
      </c>
      <c r="EC339" s="9" t="n">
        <v>0</v>
      </c>
      <c r="ED339" s="9" t="n">
        <v>0</v>
      </c>
      <c r="EH339" s="10" t="n">
        <v>46310</v>
      </c>
      <c r="EJ339" s="9" t="n">
        <v>0</v>
      </c>
      <c r="EL339" s="9" t="n">
        <v>0</v>
      </c>
      <c r="EM339" s="9" t="n">
        <v>0</v>
      </c>
      <c r="EQ339" s="10" t="n">
        <v>46310</v>
      </c>
      <c r="ES339" s="9" t="n">
        <v>0</v>
      </c>
      <c r="EU339" s="9" t="n">
        <v>0</v>
      </c>
      <c r="EV339" s="9" t="n">
        <v>0</v>
      </c>
      <c r="EZ339" s="10" t="n">
        <v>46310</v>
      </c>
      <c r="FB339" s="9" t="n">
        <v>0</v>
      </c>
      <c r="FD339" s="9" t="n">
        <v>0</v>
      </c>
      <c r="FE339" s="9" t="n">
        <v>0</v>
      </c>
      <c r="FI339" s="10" t="n">
        <v>46310</v>
      </c>
      <c r="FK339" s="9" t="n">
        <v>0</v>
      </c>
      <c r="FM339" s="9" t="n">
        <v>0</v>
      </c>
      <c r="FN339" s="9" t="n">
        <v>0</v>
      </c>
      <c r="FR339" s="10" t="n">
        <v>46310</v>
      </c>
      <c r="FT339" s="9" t="n">
        <v>0</v>
      </c>
      <c r="FV339" s="9" t="n">
        <v>0</v>
      </c>
      <c r="FW339" s="9" t="n">
        <v>2020</v>
      </c>
      <c r="GA339" s="10" t="n">
        <v>46310</v>
      </c>
      <c r="GC339" s="9" t="n">
        <v>0</v>
      </c>
      <c r="GE339" s="9" t="n">
        <v>0</v>
      </c>
      <c r="GF339" s="9" t="n">
        <v>960</v>
      </c>
      <c r="GJ339" s="10" t="n">
        <v>46310</v>
      </c>
      <c r="GL339" s="9" t="n">
        <v>0</v>
      </c>
      <c r="GN339" s="9" t="n">
        <v>0</v>
      </c>
      <c r="GO339" s="9" t="n">
        <v>1760</v>
      </c>
      <c r="GS339" s="10" t="n">
        <v>46310</v>
      </c>
      <c r="GU339" s="9" t="n">
        <v>0</v>
      </c>
      <c r="GW339" s="9" t="n">
        <v>0</v>
      </c>
      <c r="GX339" s="9" t="n">
        <v>400</v>
      </c>
      <c r="HB339" s="10" t="n">
        <v>46310</v>
      </c>
      <c r="HD339" s="9" t="n">
        <v>0</v>
      </c>
      <c r="HF339" s="9" t="n">
        <v>0</v>
      </c>
      <c r="HG339" s="9" t="n">
        <v>3600</v>
      </c>
      <c r="HK339" s="10" t="n">
        <v>46310</v>
      </c>
      <c r="HM339" s="9" t="n">
        <v>0</v>
      </c>
      <c r="HO339" s="9" t="n">
        <v>0</v>
      </c>
      <c r="HP339" s="9" t="n">
        <v>0</v>
      </c>
      <c r="HU339" s="10" t="n">
        <v>46310</v>
      </c>
      <c r="HW339" s="9" t="n">
        <v>0</v>
      </c>
      <c r="HY339" s="9" t="n">
        <v>0</v>
      </c>
      <c r="HZ339" s="9" t="n">
        <v>6120</v>
      </c>
      <c r="ID339" s="10" t="n">
        <v>46310</v>
      </c>
      <c r="IF339" s="9" t="n">
        <v>0</v>
      </c>
      <c r="IH339" s="9" t="n">
        <v>0</v>
      </c>
      <c r="II339" s="9" t="n">
        <v>0</v>
      </c>
      <c r="IM339" s="10" t="n">
        <v>46310</v>
      </c>
      <c r="IO339" s="9" t="n">
        <v>0</v>
      </c>
      <c r="IQ339" s="9" t="n">
        <v>0</v>
      </c>
      <c r="IR339" s="9" t="n">
        <v>0</v>
      </c>
      <c r="IV339" s="10" t="n">
        <v>46310</v>
      </c>
      <c r="IX339" s="9" t="n">
        <v>0</v>
      </c>
      <c r="IZ339" s="9" t="n">
        <v>0</v>
      </c>
      <c r="JA339" s="9" t="n">
        <v>2820</v>
      </c>
      <c r="JE339" s="10" t="n">
        <v>46310</v>
      </c>
      <c r="JG339" s="9" t="n">
        <v>0</v>
      </c>
      <c r="JI339" s="9" t="n">
        <v>0</v>
      </c>
      <c r="JJ339" s="9" t="n">
        <v>0</v>
      </c>
      <c r="JN339" s="10" t="n">
        <v>46310</v>
      </c>
      <c r="JP339" s="9" t="n">
        <v>0</v>
      </c>
      <c r="JR339" s="9" t="n">
        <v>0</v>
      </c>
      <c r="JS339" s="9" t="n">
        <v>0</v>
      </c>
      <c r="JW339" s="10" t="n">
        <v>46310</v>
      </c>
      <c r="JY339" s="9" t="n">
        <v>0</v>
      </c>
      <c r="KA339" s="9" t="n">
        <v>0</v>
      </c>
      <c r="KB339" s="9" t="n">
        <v>2540</v>
      </c>
      <c r="KF339" s="10" t="n">
        <v>46310</v>
      </c>
      <c r="KH339" s="9" t="n">
        <v>0</v>
      </c>
      <c r="KJ339" s="9" t="n">
        <v>0</v>
      </c>
      <c r="KK339" s="9" t="n">
        <v>2359.5</v>
      </c>
      <c r="KO339" s="10" t="n">
        <v>46310</v>
      </c>
      <c r="KQ339" s="9" t="n">
        <v>0</v>
      </c>
      <c r="KS339" s="9" t="n">
        <v>0</v>
      </c>
      <c r="KT339" s="9" t="n">
        <v>1890</v>
      </c>
      <c r="KX339" s="10" t="n">
        <v>46310</v>
      </c>
      <c r="KZ339" s="9" t="n">
        <v>0</v>
      </c>
      <c r="LB339" s="9" t="n">
        <v>0</v>
      </c>
      <c r="LC339" s="9" t="n">
        <v>3690</v>
      </c>
      <c r="LG339" s="10" t="n">
        <v>46310</v>
      </c>
      <c r="LI339" s="9" t="n">
        <v>0</v>
      </c>
      <c r="LK339" s="9" t="n">
        <v>0</v>
      </c>
      <c r="LL339" s="9" t="n">
        <v>4000</v>
      </c>
      <c r="LP339" s="10" t="n">
        <v>46310</v>
      </c>
      <c r="LR339" s="9" t="n">
        <v>0</v>
      </c>
      <c r="LT339" s="9" t="n">
        <v>0</v>
      </c>
      <c r="LU339" s="9" t="n">
        <v>0</v>
      </c>
      <c r="LY339" s="10" t="n">
        <v>46310</v>
      </c>
      <c r="MA339" s="9" t="n">
        <v>0</v>
      </c>
      <c r="MC339" s="9" t="n">
        <v>0</v>
      </c>
      <c r="MD339" s="9" t="n">
        <v>0</v>
      </c>
      <c r="MH339" s="10" t="n">
        <v>46310</v>
      </c>
      <c r="MJ339" s="9" t="n">
        <v>0</v>
      </c>
      <c r="ML339" s="9" t="n">
        <v>0</v>
      </c>
      <c r="MM339" s="9" t="n">
        <v>0</v>
      </c>
      <c r="MQ339" s="10" t="n">
        <v>46310</v>
      </c>
      <c r="MS339" s="9" t="n">
        <v>0</v>
      </c>
      <c r="MU339" s="9" t="n">
        <v>0</v>
      </c>
      <c r="MV339" s="9" t="n">
        <v>1625</v>
      </c>
      <c r="MZ339" s="10" t="n">
        <v>46310</v>
      </c>
      <c r="NB339" s="9" t="n">
        <v>0</v>
      </c>
      <c r="ND339" s="9" t="n">
        <v>0</v>
      </c>
      <c r="NE339" s="9" t="n">
        <v>0</v>
      </c>
      <c r="NI339" s="10" t="n">
        <v>46310</v>
      </c>
      <c r="NK339" s="9" t="n">
        <v>0</v>
      </c>
      <c r="NM339" s="9" t="n">
        <v>0</v>
      </c>
      <c r="NN339" s="9" t="n">
        <v>1127</v>
      </c>
      <c r="NR339" s="10" t="n">
        <v>46310</v>
      </c>
      <c r="NT339" s="9" t="n">
        <v>0</v>
      </c>
      <c r="NV339" s="9" t="n">
        <v>0</v>
      </c>
      <c r="NW339" s="9" t="n">
        <v>3112</v>
      </c>
      <c r="OA339" s="10" t="n">
        <v>46310</v>
      </c>
      <c r="OC339" s="9" t="n">
        <v>0</v>
      </c>
      <c r="OE339" s="9" t="n">
        <v>0</v>
      </c>
      <c r="OF339" s="9" t="n">
        <v>1680.5</v>
      </c>
      <c r="OJ339" s="10" t="n">
        <v>46310</v>
      </c>
      <c r="OL339" s="9" t="n">
        <v>0</v>
      </c>
      <c r="ON339" s="9" t="n">
        <v>0</v>
      </c>
      <c r="OO339" s="9" t="n">
        <v>0</v>
      </c>
      <c r="OS339" s="10" t="n">
        <v>46310</v>
      </c>
      <c r="OU339" s="9" t="n">
        <v>0</v>
      </c>
      <c r="OW339" s="9" t="n">
        <v>0</v>
      </c>
      <c r="OX339" s="9" t="n">
        <v>1482</v>
      </c>
      <c r="PB339" s="10" t="n">
        <v>46310</v>
      </c>
      <c r="PD339" s="9" t="n">
        <v>0</v>
      </c>
      <c r="PF339" s="9" t="n">
        <v>0</v>
      </c>
      <c r="PG339" s="9" t="n">
        <v>0</v>
      </c>
      <c r="PK339" s="10" t="n">
        <v>46310</v>
      </c>
      <c r="PM339" s="9" t="n">
        <v>0</v>
      </c>
      <c r="PO339" s="9" t="n">
        <v>0</v>
      </c>
      <c r="PP339" s="9" t="n">
        <v>100</v>
      </c>
      <c r="PT339" s="10" t="n">
        <v>46310</v>
      </c>
      <c r="PV339" s="9" t="n">
        <v>0</v>
      </c>
      <c r="PX339" s="9" t="n">
        <v>0</v>
      </c>
      <c r="PY339" s="9" t="n">
        <v>13.96000000000004</v>
      </c>
      <c r="QC339" s="10" t="n">
        <v>46310</v>
      </c>
      <c r="QE339" s="9" t="n">
        <v>0</v>
      </c>
      <c r="QG339" s="9" t="n">
        <v>0</v>
      </c>
      <c r="QH339" s="9" t="n">
        <v>548</v>
      </c>
      <c r="QL339" s="10" t="n">
        <v>46310</v>
      </c>
      <c r="QN339" s="9" t="n">
        <v>0</v>
      </c>
      <c r="QP339" s="9" t="n">
        <v>0</v>
      </c>
      <c r="QQ339" s="9" t="n">
        <v>0</v>
      </c>
      <c r="QU339" s="10" t="n">
        <v>46310</v>
      </c>
      <c r="QW339" s="9" t="n">
        <v>0</v>
      </c>
      <c r="QY339" s="9" t="n">
        <v>0</v>
      </c>
      <c r="QZ339" s="9" t="n">
        <v>0</v>
      </c>
      <c r="RD339" s="10" t="n">
        <v>46310</v>
      </c>
      <c r="RF339" s="9" t="n">
        <v>0</v>
      </c>
      <c r="RH339" s="9" t="n">
        <v>0</v>
      </c>
      <c r="RI339" s="9" t="n">
        <v>147.04</v>
      </c>
      <c r="RM339" s="10" t="n">
        <v>46310</v>
      </c>
      <c r="RO339" s="9" t="n">
        <v>0</v>
      </c>
      <c r="RQ339" s="9" t="n">
        <v>0</v>
      </c>
      <c r="RR339" s="9" t="n">
        <v>46.8</v>
      </c>
      <c r="RV339" s="10" t="n">
        <v>46310</v>
      </c>
      <c r="RX339" s="9" t="n">
        <v>0</v>
      </c>
      <c r="RZ339" s="9" t="n">
        <v>0</v>
      </c>
      <c r="SA339" s="9" t="n">
        <v>0</v>
      </c>
      <c r="SE339" s="10" t="n">
        <v>46310</v>
      </c>
      <c r="SG339" s="9" t="n">
        <v>0</v>
      </c>
      <c r="SI339" s="9" t="n">
        <v>0</v>
      </c>
      <c r="SJ339" s="9" t="n">
        <v>24.2</v>
      </c>
      <c r="SN339" s="10" t="n">
        <v>46310</v>
      </c>
      <c r="SP339" s="9" t="n">
        <v>0</v>
      </c>
      <c r="SR339" s="9" t="n">
        <v>0</v>
      </c>
      <c r="SS339" s="9" t="n">
        <v>32</v>
      </c>
      <c r="SW339" s="10" t="n">
        <v>46310</v>
      </c>
      <c r="SY339" s="9" t="n">
        <v>0</v>
      </c>
      <c r="TA339" s="9" t="n">
        <v>0</v>
      </c>
      <c r="TB339" s="9" t="n">
        <v>0</v>
      </c>
      <c r="TF339" s="10" t="n">
        <v>46310</v>
      </c>
      <c r="TH339" s="9" t="n">
        <v>0</v>
      </c>
      <c r="TJ339" s="9" t="n">
        <v>0</v>
      </c>
      <c r="TK339" s="9" t="n">
        <v>0</v>
      </c>
      <c r="TO339" s="10" t="n">
        <v>46310</v>
      </c>
      <c r="TQ339" s="9" t="n">
        <v>0</v>
      </c>
      <c r="TS339" s="9" t="n">
        <v>0</v>
      </c>
      <c r="TT339" s="9" t="n">
        <v>0</v>
      </c>
      <c r="TX339" s="10" t="n">
        <v>46310</v>
      </c>
      <c r="TZ339" s="9" t="n">
        <v>0</v>
      </c>
      <c r="UB339" s="9" t="n">
        <v>0</v>
      </c>
      <c r="UC339" s="9" t="n">
        <v>46.79999999999998</v>
      </c>
      <c r="UG339" s="10" t="n">
        <v>46310</v>
      </c>
      <c r="UI339" s="9" t="n">
        <v>0</v>
      </c>
      <c r="UK339" s="9" t="n">
        <v>0</v>
      </c>
      <c r="UL339" s="9" t="n">
        <v>204</v>
      </c>
      <c r="UP339" s="10" t="n">
        <v>46310</v>
      </c>
      <c r="UR339" s="9" t="n">
        <v>0</v>
      </c>
      <c r="UT339" s="9" t="n">
        <v>0</v>
      </c>
      <c r="UU339" s="9" t="n">
        <v>202.5</v>
      </c>
      <c r="UY339" s="10" t="n">
        <v>46310</v>
      </c>
      <c r="VA339" s="9" t="n">
        <v>0</v>
      </c>
      <c r="VC339" s="9" t="n">
        <v>0</v>
      </c>
      <c r="VD339" s="9" t="n">
        <v>41.60000000000002</v>
      </c>
      <c r="VH339" s="10" t="n">
        <v>46310</v>
      </c>
      <c r="VJ339" s="9" t="n">
        <v>0</v>
      </c>
      <c r="VL339" s="9" t="n">
        <v>0</v>
      </c>
      <c r="VM339" s="9" t="n">
        <v>210</v>
      </c>
      <c r="VQ339" s="10" t="n">
        <v>46310</v>
      </c>
      <c r="VS339" s="9" t="n">
        <v>0</v>
      </c>
      <c r="VU339" s="9" t="n">
        <v>0</v>
      </c>
      <c r="VV339" s="9" t="n">
        <v>0</v>
      </c>
      <c r="VZ339" s="10" t="n">
        <v>46310</v>
      </c>
      <c r="WB339" s="9" t="n">
        <v>0</v>
      </c>
      <c r="WD339" s="9" t="n">
        <v>0</v>
      </c>
      <c r="WE339" s="9" t="n">
        <v>0</v>
      </c>
      <c r="WI339" s="10" t="n">
        <v>46310</v>
      </c>
      <c r="WK339" s="9" t="n">
        <v>0</v>
      </c>
      <c r="WM339" s="9" t="n">
        <v>0</v>
      </c>
      <c r="WN339" s="9" t="n">
        <v>1057</v>
      </c>
      <c r="WR339" s="10" t="n">
        <v>46310</v>
      </c>
      <c r="WT339" s="9" t="n">
        <v>0</v>
      </c>
      <c r="WV339" s="9" t="n">
        <v>0</v>
      </c>
      <c r="WW339" s="9" t="n">
        <v>0</v>
      </c>
      <c r="XA339" s="10" t="n">
        <v>46310</v>
      </c>
      <c r="XC339" s="9" t="n">
        <v>0</v>
      </c>
      <c r="XE339" s="9" t="n">
        <v>0</v>
      </c>
      <c r="XF339" s="9" t="n">
        <v>7507</v>
      </c>
      <c r="XJ339" s="10" t="n">
        <v>46310</v>
      </c>
      <c r="XL339" s="9" t="n">
        <v>0</v>
      </c>
      <c r="XN339" s="9" t="n">
        <v>0</v>
      </c>
      <c r="XO339" s="9" t="n">
        <v>4252</v>
      </c>
      <c r="XS339" s="10" t="n">
        <v>46310</v>
      </c>
      <c r="XU339" s="9" t="n">
        <v>0</v>
      </c>
      <c r="XW339" s="9" t="n">
        <v>0</v>
      </c>
      <c r="XX339" s="9" t="n">
        <v>2179</v>
      </c>
      <c r="YB339" s="10" t="n">
        <v>46310</v>
      </c>
      <c r="YD339" s="9" t="n">
        <v>0</v>
      </c>
      <c r="YF339" s="9" t="n">
        <v>0</v>
      </c>
      <c r="YG339" s="9" t="n">
        <v>4019</v>
      </c>
      <c r="YK339" s="10" t="n">
        <v>46310</v>
      </c>
      <c r="YM339" s="9" t="n">
        <v>0</v>
      </c>
      <c r="YO339" s="9" t="n">
        <v>0</v>
      </c>
      <c r="YP339" s="9" t="n">
        <v>-218</v>
      </c>
      <c r="YT339" s="10" t="n">
        <v>46310</v>
      </c>
      <c r="YV339" s="9" t="n">
        <v>0</v>
      </c>
      <c r="YX339" s="9" t="n">
        <v>0</v>
      </c>
      <c r="YY339" s="9" t="n">
        <v>0</v>
      </c>
      <c r="ZC339" s="10" t="n">
        <v>46310</v>
      </c>
      <c r="ZE339" s="9" t="n">
        <v>0</v>
      </c>
      <c r="ZG339" s="9" t="n">
        <v>0</v>
      </c>
      <c r="ZH339" s="9" t="n">
        <v>0</v>
      </c>
      <c r="ZL339" s="10" t="n">
        <v>46310</v>
      </c>
      <c r="ZN339" s="9" t="n">
        <v>0</v>
      </c>
      <c r="ZP339" s="9" t="n">
        <v>0</v>
      </c>
      <c r="ZQ339" s="9" t="n">
        <v>0</v>
      </c>
      <c r="ZU339" s="10" t="n">
        <v>46310</v>
      </c>
      <c r="ZW339" s="9" t="n">
        <v>0</v>
      </c>
      <c r="ZY339" s="9" t="n">
        <v>0</v>
      </c>
      <c r="ZZ339" s="9" t="n">
        <v>0</v>
      </c>
      <c r="AAD339" s="10" t="n">
        <v>46310</v>
      </c>
      <c r="AAF339" s="9" t="n">
        <v>0</v>
      </c>
      <c r="AAH339" s="9" t="n">
        <v>0</v>
      </c>
      <c r="AAI339" s="9" t="n">
        <v>0</v>
      </c>
      <c r="AAM339" s="10" t="n">
        <v>46310</v>
      </c>
      <c r="AAO339" s="9" t="n">
        <v>0</v>
      </c>
      <c r="AAQ339" s="9" t="n">
        <v>0</v>
      </c>
      <c r="AAR339" s="9" t="n">
        <v>0</v>
      </c>
      <c r="AAV339" s="10" t="n">
        <v>46310</v>
      </c>
      <c r="AAX339" s="9" t="n">
        <v>0</v>
      </c>
      <c r="AAZ339" s="9" t="n">
        <v>0</v>
      </c>
      <c r="ABA339" s="9" t="n">
        <v>0</v>
      </c>
      <c r="ABE339" s="10" t="n">
        <v>46310</v>
      </c>
      <c r="ABG339" s="9" t="n">
        <v>0</v>
      </c>
      <c r="ABI339" s="9" t="n">
        <v>0</v>
      </c>
      <c r="ABJ339" s="9" t="n">
        <v>0</v>
      </c>
    </row>
    <row r="340">
      <c r="C340" s="10" t="n">
        <v>46311</v>
      </c>
      <c r="E340" s="9" t="n">
        <v>0</v>
      </c>
      <c r="G340" s="9" t="n">
        <v>0</v>
      </c>
      <c r="H340" s="9" t="n">
        <v>236936.6</v>
      </c>
      <c r="L340" s="10" t="n">
        <v>46311</v>
      </c>
      <c r="N340" s="9" t="n">
        <v>0</v>
      </c>
      <c r="P340" s="9" t="n">
        <v>0</v>
      </c>
      <c r="Q340" s="9" t="n">
        <v>53017.60000000007</v>
      </c>
      <c r="U340" s="10" t="n">
        <v>46311</v>
      </c>
      <c r="W340" s="9" t="n">
        <v>0</v>
      </c>
      <c r="Y340" s="9" t="n">
        <v>0</v>
      </c>
      <c r="Z340" s="9" t="n">
        <v>42674.19999999997</v>
      </c>
      <c r="AD340" s="10" t="n">
        <v>46311</v>
      </c>
      <c r="AF340" s="9" t="n">
        <v>0</v>
      </c>
      <c r="AH340" s="9" t="n">
        <v>0</v>
      </c>
      <c r="AI340" s="9" t="n">
        <v>4522.200000000019</v>
      </c>
      <c r="AM340" s="10" t="n">
        <v>46311</v>
      </c>
      <c r="AO340" s="9" t="n">
        <v>0</v>
      </c>
      <c r="AQ340" s="9" t="n">
        <v>0</v>
      </c>
      <c r="AR340" s="9" t="n">
        <v>0</v>
      </c>
      <c r="AV340" s="10" t="n">
        <v>46311</v>
      </c>
      <c r="AX340" s="9" t="n">
        <v>0</v>
      </c>
      <c r="AZ340" s="9" t="n">
        <v>0</v>
      </c>
      <c r="BA340" s="9" t="n">
        <v>124.9999999999952</v>
      </c>
      <c r="BE340" s="10" t="n">
        <v>46311</v>
      </c>
      <c r="BG340" s="9" t="n">
        <v>0</v>
      </c>
      <c r="BI340" s="9" t="n">
        <v>0</v>
      </c>
      <c r="BJ340" s="9" t="n">
        <v>26151.9</v>
      </c>
      <c r="BN340" s="10" t="n">
        <v>46311</v>
      </c>
      <c r="BP340" s="9" t="n">
        <v>0</v>
      </c>
      <c r="BR340" s="9" t="n">
        <v>0</v>
      </c>
      <c r="BS340" s="9" t="n">
        <v>0</v>
      </c>
      <c r="BW340" s="10" t="n">
        <v>46311</v>
      </c>
      <c r="BY340" s="9" t="n">
        <v>0</v>
      </c>
      <c r="CA340" s="9" t="n">
        <v>0</v>
      </c>
      <c r="CB340" s="9" t="n">
        <v>2097.339999999999</v>
      </c>
      <c r="CF340" s="10" t="n">
        <v>46311</v>
      </c>
      <c r="CH340" s="9" t="n">
        <v>0</v>
      </c>
      <c r="CJ340" s="9" t="n">
        <v>0</v>
      </c>
      <c r="CK340" s="9" t="n">
        <v>-10277.08</v>
      </c>
      <c r="CO340" s="10" t="n">
        <v>46311</v>
      </c>
      <c r="CQ340" s="9" t="n">
        <v>0</v>
      </c>
      <c r="CS340" s="9" t="n">
        <v>0</v>
      </c>
      <c r="CT340" s="9" t="n">
        <v>0</v>
      </c>
      <c r="CX340" s="10" t="n">
        <v>46311</v>
      </c>
      <c r="CZ340" s="9" t="n">
        <v>0</v>
      </c>
      <c r="DB340" s="9" t="n">
        <v>0</v>
      </c>
      <c r="DC340" s="9" t="n">
        <v>27438.20000000001</v>
      </c>
      <c r="DG340" s="10" t="n">
        <v>46311</v>
      </c>
      <c r="DI340" s="9" t="n">
        <v>0</v>
      </c>
      <c r="DK340" s="9" t="n">
        <v>0</v>
      </c>
      <c r="DL340" s="9" t="n">
        <v>18782.29999999998</v>
      </c>
      <c r="DP340" s="10" t="n">
        <v>46311</v>
      </c>
      <c r="DR340" s="9" t="n">
        <v>0</v>
      </c>
      <c r="DT340" s="9" t="n">
        <v>0</v>
      </c>
      <c r="DU340" s="9" t="n">
        <v>5800</v>
      </c>
      <c r="DY340" s="10" t="n">
        <v>46311</v>
      </c>
      <c r="EA340" s="9" t="n">
        <v>0</v>
      </c>
      <c r="EC340" s="9" t="n">
        <v>0</v>
      </c>
      <c r="ED340" s="9" t="n">
        <v>0</v>
      </c>
      <c r="EH340" s="10" t="n">
        <v>46311</v>
      </c>
      <c r="EJ340" s="9" t="n">
        <v>0</v>
      </c>
      <c r="EL340" s="9" t="n">
        <v>0</v>
      </c>
      <c r="EM340" s="9" t="n">
        <v>0</v>
      </c>
      <c r="EQ340" s="10" t="n">
        <v>46311</v>
      </c>
      <c r="ES340" s="9" t="n">
        <v>0</v>
      </c>
      <c r="EU340" s="9" t="n">
        <v>0</v>
      </c>
      <c r="EV340" s="9" t="n">
        <v>0</v>
      </c>
      <c r="EZ340" s="10" t="n">
        <v>46311</v>
      </c>
      <c r="FB340" s="9" t="n">
        <v>0</v>
      </c>
      <c r="FD340" s="9" t="n">
        <v>0</v>
      </c>
      <c r="FE340" s="9" t="n">
        <v>0</v>
      </c>
      <c r="FI340" s="10" t="n">
        <v>46311</v>
      </c>
      <c r="FK340" s="9" t="n">
        <v>0</v>
      </c>
      <c r="FM340" s="9" t="n">
        <v>0</v>
      </c>
      <c r="FN340" s="9" t="n">
        <v>0</v>
      </c>
      <c r="FR340" s="10" t="n">
        <v>46311</v>
      </c>
      <c r="FT340" s="9" t="n">
        <v>0</v>
      </c>
      <c r="FV340" s="9" t="n">
        <v>0</v>
      </c>
      <c r="FW340" s="9" t="n">
        <v>2020</v>
      </c>
      <c r="GA340" s="10" t="n">
        <v>46311</v>
      </c>
      <c r="GC340" s="9" t="n">
        <v>0</v>
      </c>
      <c r="GE340" s="9" t="n">
        <v>0</v>
      </c>
      <c r="GF340" s="9" t="n">
        <v>960</v>
      </c>
      <c r="GJ340" s="10" t="n">
        <v>46311</v>
      </c>
      <c r="GL340" s="9" t="n">
        <v>0</v>
      </c>
      <c r="GN340" s="9" t="n">
        <v>0</v>
      </c>
      <c r="GO340" s="9" t="n">
        <v>1760</v>
      </c>
      <c r="GS340" s="10" t="n">
        <v>46311</v>
      </c>
      <c r="GU340" s="9" t="n">
        <v>0</v>
      </c>
      <c r="GW340" s="9" t="n">
        <v>0</v>
      </c>
      <c r="GX340" s="9" t="n">
        <v>400</v>
      </c>
      <c r="HB340" s="10" t="n">
        <v>46311</v>
      </c>
      <c r="HD340" s="9" t="n">
        <v>0</v>
      </c>
      <c r="HF340" s="9" t="n">
        <v>0</v>
      </c>
      <c r="HG340" s="9" t="n">
        <v>3600</v>
      </c>
      <c r="HK340" s="10" t="n">
        <v>46311</v>
      </c>
      <c r="HM340" s="9" t="n">
        <v>0</v>
      </c>
      <c r="HO340" s="9" t="n">
        <v>0</v>
      </c>
      <c r="HP340" s="9" t="n">
        <v>0</v>
      </c>
      <c r="HU340" s="10" t="n">
        <v>46311</v>
      </c>
      <c r="HW340" s="9" t="n">
        <v>0</v>
      </c>
      <c r="HY340" s="9" t="n">
        <v>0</v>
      </c>
      <c r="HZ340" s="9" t="n">
        <v>6120</v>
      </c>
      <c r="ID340" s="10" t="n">
        <v>46311</v>
      </c>
      <c r="IF340" s="9" t="n">
        <v>0</v>
      </c>
      <c r="IH340" s="9" t="n">
        <v>0</v>
      </c>
      <c r="II340" s="9" t="n">
        <v>0</v>
      </c>
      <c r="IM340" s="10" t="n">
        <v>46311</v>
      </c>
      <c r="IO340" s="9" t="n">
        <v>0</v>
      </c>
      <c r="IQ340" s="9" t="n">
        <v>0</v>
      </c>
      <c r="IR340" s="9" t="n">
        <v>0</v>
      </c>
      <c r="IV340" s="10" t="n">
        <v>46311</v>
      </c>
      <c r="IX340" s="9" t="n">
        <v>0</v>
      </c>
      <c r="IZ340" s="9" t="n">
        <v>0</v>
      </c>
      <c r="JA340" s="9" t="n">
        <v>2820</v>
      </c>
      <c r="JE340" s="10" t="n">
        <v>46311</v>
      </c>
      <c r="JG340" s="9" t="n">
        <v>0</v>
      </c>
      <c r="JI340" s="9" t="n">
        <v>0</v>
      </c>
      <c r="JJ340" s="9" t="n">
        <v>0</v>
      </c>
      <c r="JN340" s="10" t="n">
        <v>46311</v>
      </c>
      <c r="JP340" s="9" t="n">
        <v>0</v>
      </c>
      <c r="JR340" s="9" t="n">
        <v>0</v>
      </c>
      <c r="JS340" s="9" t="n">
        <v>0</v>
      </c>
      <c r="JW340" s="10" t="n">
        <v>46311</v>
      </c>
      <c r="JY340" s="9" t="n">
        <v>0</v>
      </c>
      <c r="KA340" s="9" t="n">
        <v>0</v>
      </c>
      <c r="KB340" s="9" t="n">
        <v>2540</v>
      </c>
      <c r="KF340" s="10" t="n">
        <v>46311</v>
      </c>
      <c r="KH340" s="9" t="n">
        <v>0</v>
      </c>
      <c r="KJ340" s="9" t="n">
        <v>0</v>
      </c>
      <c r="KK340" s="9" t="n">
        <v>2359.5</v>
      </c>
      <c r="KO340" s="10" t="n">
        <v>46311</v>
      </c>
      <c r="KQ340" s="9" t="n">
        <v>0</v>
      </c>
      <c r="KS340" s="9" t="n">
        <v>0</v>
      </c>
      <c r="KT340" s="9" t="n">
        <v>1890</v>
      </c>
      <c r="KX340" s="10" t="n">
        <v>46311</v>
      </c>
      <c r="KZ340" s="9" t="n">
        <v>0</v>
      </c>
      <c r="LB340" s="9" t="n">
        <v>0</v>
      </c>
      <c r="LC340" s="9" t="n">
        <v>3690</v>
      </c>
      <c r="LG340" s="10" t="n">
        <v>46311</v>
      </c>
      <c r="LI340" s="9" t="n">
        <v>0</v>
      </c>
      <c r="LK340" s="9" t="n">
        <v>0</v>
      </c>
      <c r="LL340" s="9" t="n">
        <v>4000</v>
      </c>
      <c r="LP340" s="10" t="n">
        <v>46311</v>
      </c>
      <c r="LR340" s="9" t="n">
        <v>0</v>
      </c>
      <c r="LT340" s="9" t="n">
        <v>0</v>
      </c>
      <c r="LU340" s="9" t="n">
        <v>0</v>
      </c>
      <c r="LY340" s="10" t="n">
        <v>46311</v>
      </c>
      <c r="MA340" s="9" t="n">
        <v>0</v>
      </c>
      <c r="MC340" s="9" t="n">
        <v>0</v>
      </c>
      <c r="MD340" s="9" t="n">
        <v>0</v>
      </c>
      <c r="MH340" s="10" t="n">
        <v>46311</v>
      </c>
      <c r="MJ340" s="9" t="n">
        <v>0</v>
      </c>
      <c r="ML340" s="9" t="n">
        <v>0</v>
      </c>
      <c r="MM340" s="9" t="n">
        <v>0</v>
      </c>
      <c r="MQ340" s="10" t="n">
        <v>46311</v>
      </c>
      <c r="MS340" s="9" t="n">
        <v>0</v>
      </c>
      <c r="MU340" s="9" t="n">
        <v>0</v>
      </c>
      <c r="MV340" s="9" t="n">
        <v>1625</v>
      </c>
      <c r="MZ340" s="10" t="n">
        <v>46311</v>
      </c>
      <c r="NB340" s="9" t="n">
        <v>0</v>
      </c>
      <c r="ND340" s="9" t="n">
        <v>0</v>
      </c>
      <c r="NE340" s="9" t="n">
        <v>0</v>
      </c>
      <c r="NI340" s="10" t="n">
        <v>46311</v>
      </c>
      <c r="NK340" s="9" t="n">
        <v>0</v>
      </c>
      <c r="NM340" s="9" t="n">
        <v>0</v>
      </c>
      <c r="NN340" s="9" t="n">
        <v>1127</v>
      </c>
      <c r="NR340" s="10" t="n">
        <v>46311</v>
      </c>
      <c r="NT340" s="9" t="n">
        <v>0</v>
      </c>
      <c r="NV340" s="9" t="n">
        <v>0</v>
      </c>
      <c r="NW340" s="9" t="n">
        <v>3112</v>
      </c>
      <c r="OA340" s="10" t="n">
        <v>46311</v>
      </c>
      <c r="OC340" s="9" t="n">
        <v>0</v>
      </c>
      <c r="OE340" s="9" t="n">
        <v>0</v>
      </c>
      <c r="OF340" s="9" t="n">
        <v>1680.5</v>
      </c>
      <c r="OJ340" s="10" t="n">
        <v>46311</v>
      </c>
      <c r="OL340" s="9" t="n">
        <v>0</v>
      </c>
      <c r="ON340" s="9" t="n">
        <v>0</v>
      </c>
      <c r="OO340" s="9" t="n">
        <v>0</v>
      </c>
      <c r="OS340" s="10" t="n">
        <v>46311</v>
      </c>
      <c r="OU340" s="9" t="n">
        <v>0</v>
      </c>
      <c r="OW340" s="9" t="n">
        <v>0</v>
      </c>
      <c r="OX340" s="9" t="n">
        <v>1482</v>
      </c>
      <c r="PB340" s="10" t="n">
        <v>46311</v>
      </c>
      <c r="PD340" s="9" t="n">
        <v>0</v>
      </c>
      <c r="PF340" s="9" t="n">
        <v>0</v>
      </c>
      <c r="PG340" s="9" t="n">
        <v>0</v>
      </c>
      <c r="PK340" s="10" t="n">
        <v>46311</v>
      </c>
      <c r="PM340" s="9" t="n">
        <v>0</v>
      </c>
      <c r="PO340" s="9" t="n">
        <v>0</v>
      </c>
      <c r="PP340" s="9" t="n">
        <v>100</v>
      </c>
      <c r="PT340" s="10" t="n">
        <v>46311</v>
      </c>
      <c r="PV340" s="9" t="n">
        <v>0</v>
      </c>
      <c r="PX340" s="9" t="n">
        <v>0</v>
      </c>
      <c r="PY340" s="9" t="n">
        <v>13.96000000000004</v>
      </c>
      <c r="QC340" s="10" t="n">
        <v>46311</v>
      </c>
      <c r="QE340" s="9" t="n">
        <v>0</v>
      </c>
      <c r="QG340" s="9" t="n">
        <v>0</v>
      </c>
      <c r="QH340" s="9" t="n">
        <v>548</v>
      </c>
      <c r="QL340" s="10" t="n">
        <v>46311</v>
      </c>
      <c r="QN340" s="9" t="n">
        <v>0</v>
      </c>
      <c r="QP340" s="9" t="n">
        <v>0</v>
      </c>
      <c r="QQ340" s="9" t="n">
        <v>0</v>
      </c>
      <c r="QU340" s="10" t="n">
        <v>46311</v>
      </c>
      <c r="QW340" s="9" t="n">
        <v>0</v>
      </c>
      <c r="QY340" s="9" t="n">
        <v>0</v>
      </c>
      <c r="QZ340" s="9" t="n">
        <v>0</v>
      </c>
      <c r="RD340" s="10" t="n">
        <v>46311</v>
      </c>
      <c r="RF340" s="9" t="n">
        <v>0</v>
      </c>
      <c r="RH340" s="9" t="n">
        <v>0</v>
      </c>
      <c r="RI340" s="9" t="n">
        <v>147.04</v>
      </c>
      <c r="RM340" s="10" t="n">
        <v>46311</v>
      </c>
      <c r="RO340" s="9" t="n">
        <v>0</v>
      </c>
      <c r="RQ340" s="9" t="n">
        <v>0</v>
      </c>
      <c r="RR340" s="9" t="n">
        <v>46.8</v>
      </c>
      <c r="RV340" s="10" t="n">
        <v>46311</v>
      </c>
      <c r="RX340" s="9" t="n">
        <v>0</v>
      </c>
      <c r="RZ340" s="9" t="n">
        <v>0</v>
      </c>
      <c r="SA340" s="9" t="n">
        <v>0</v>
      </c>
      <c r="SE340" s="10" t="n">
        <v>46311</v>
      </c>
      <c r="SG340" s="9" t="n">
        <v>0</v>
      </c>
      <c r="SI340" s="9" t="n">
        <v>0</v>
      </c>
      <c r="SJ340" s="9" t="n">
        <v>24.2</v>
      </c>
      <c r="SN340" s="10" t="n">
        <v>46311</v>
      </c>
      <c r="SP340" s="9" t="n">
        <v>0</v>
      </c>
      <c r="SR340" s="9" t="n">
        <v>0</v>
      </c>
      <c r="SS340" s="9" t="n">
        <v>32</v>
      </c>
      <c r="SW340" s="10" t="n">
        <v>46311</v>
      </c>
      <c r="SY340" s="9" t="n">
        <v>0</v>
      </c>
      <c r="TA340" s="9" t="n">
        <v>0</v>
      </c>
      <c r="TB340" s="9" t="n">
        <v>0</v>
      </c>
      <c r="TF340" s="10" t="n">
        <v>46311</v>
      </c>
      <c r="TH340" s="9" t="n">
        <v>0</v>
      </c>
      <c r="TJ340" s="9" t="n">
        <v>0</v>
      </c>
      <c r="TK340" s="9" t="n">
        <v>0</v>
      </c>
      <c r="TO340" s="10" t="n">
        <v>46311</v>
      </c>
      <c r="TQ340" s="9" t="n">
        <v>0</v>
      </c>
      <c r="TS340" s="9" t="n">
        <v>0</v>
      </c>
      <c r="TT340" s="9" t="n">
        <v>0</v>
      </c>
      <c r="TX340" s="10" t="n">
        <v>46311</v>
      </c>
      <c r="TZ340" s="9" t="n">
        <v>0</v>
      </c>
      <c r="UB340" s="9" t="n">
        <v>0</v>
      </c>
      <c r="UC340" s="9" t="n">
        <v>46.79999999999998</v>
      </c>
      <c r="UG340" s="10" t="n">
        <v>46311</v>
      </c>
      <c r="UI340" s="9" t="n">
        <v>0</v>
      </c>
      <c r="UK340" s="9" t="n">
        <v>0</v>
      </c>
      <c r="UL340" s="9" t="n">
        <v>204</v>
      </c>
      <c r="UP340" s="10" t="n">
        <v>46311</v>
      </c>
      <c r="UR340" s="9" t="n">
        <v>0</v>
      </c>
      <c r="UT340" s="9" t="n">
        <v>0</v>
      </c>
      <c r="UU340" s="9" t="n">
        <v>202.5</v>
      </c>
      <c r="UY340" s="10" t="n">
        <v>46311</v>
      </c>
      <c r="VA340" s="9" t="n">
        <v>0</v>
      </c>
      <c r="VC340" s="9" t="n">
        <v>0</v>
      </c>
      <c r="VD340" s="9" t="n">
        <v>41.60000000000002</v>
      </c>
      <c r="VH340" s="10" t="n">
        <v>46311</v>
      </c>
      <c r="VJ340" s="9" t="n">
        <v>0</v>
      </c>
      <c r="VL340" s="9" t="n">
        <v>0</v>
      </c>
      <c r="VM340" s="9" t="n">
        <v>210</v>
      </c>
      <c r="VQ340" s="10" t="n">
        <v>46311</v>
      </c>
      <c r="VS340" s="9" t="n">
        <v>0</v>
      </c>
      <c r="VU340" s="9" t="n">
        <v>0</v>
      </c>
      <c r="VV340" s="9" t="n">
        <v>0</v>
      </c>
      <c r="VZ340" s="10" t="n">
        <v>46311</v>
      </c>
      <c r="WB340" s="9" t="n">
        <v>0</v>
      </c>
      <c r="WD340" s="9" t="n">
        <v>0</v>
      </c>
      <c r="WE340" s="9" t="n">
        <v>0</v>
      </c>
      <c r="WI340" s="10" t="n">
        <v>46311</v>
      </c>
      <c r="WK340" s="9" t="n">
        <v>0</v>
      </c>
      <c r="WM340" s="9" t="n">
        <v>0</v>
      </c>
      <c r="WN340" s="9" t="n">
        <v>1057</v>
      </c>
      <c r="WR340" s="10" t="n">
        <v>46311</v>
      </c>
      <c r="WT340" s="9" t="n">
        <v>0</v>
      </c>
      <c r="WV340" s="9" t="n">
        <v>0</v>
      </c>
      <c r="WW340" s="9" t="n">
        <v>0</v>
      </c>
      <c r="XA340" s="10" t="n">
        <v>46311</v>
      </c>
      <c r="XC340" s="9" t="n">
        <v>0</v>
      </c>
      <c r="XE340" s="9" t="n">
        <v>0</v>
      </c>
      <c r="XF340" s="9" t="n">
        <v>7507</v>
      </c>
      <c r="XJ340" s="10" t="n">
        <v>46311</v>
      </c>
      <c r="XL340" s="9" t="n">
        <v>0</v>
      </c>
      <c r="XN340" s="9" t="n">
        <v>0</v>
      </c>
      <c r="XO340" s="9" t="n">
        <v>4252</v>
      </c>
      <c r="XS340" s="10" t="n">
        <v>46311</v>
      </c>
      <c r="XU340" s="9" t="n">
        <v>0</v>
      </c>
      <c r="XW340" s="9" t="n">
        <v>0</v>
      </c>
      <c r="XX340" s="9" t="n">
        <v>2179</v>
      </c>
      <c r="YB340" s="10" t="n">
        <v>46311</v>
      </c>
      <c r="YD340" s="9" t="n">
        <v>0</v>
      </c>
      <c r="YF340" s="9" t="n">
        <v>0</v>
      </c>
      <c r="YG340" s="9" t="n">
        <v>4019</v>
      </c>
      <c r="YK340" s="10" t="n">
        <v>46311</v>
      </c>
      <c r="YM340" s="9" t="n">
        <v>0</v>
      </c>
      <c r="YO340" s="9" t="n">
        <v>0</v>
      </c>
      <c r="YP340" s="9" t="n">
        <v>-218</v>
      </c>
      <c r="YT340" s="10" t="n">
        <v>46311</v>
      </c>
      <c r="YV340" s="9" t="n">
        <v>0</v>
      </c>
      <c r="YX340" s="9" t="n">
        <v>0</v>
      </c>
      <c r="YY340" s="9" t="n">
        <v>0</v>
      </c>
      <c r="ZC340" s="10" t="n">
        <v>46311</v>
      </c>
      <c r="ZE340" s="9" t="n">
        <v>0</v>
      </c>
      <c r="ZG340" s="9" t="n">
        <v>0</v>
      </c>
      <c r="ZH340" s="9" t="n">
        <v>0</v>
      </c>
      <c r="ZL340" s="10" t="n">
        <v>46311</v>
      </c>
      <c r="ZN340" s="9" t="n">
        <v>0</v>
      </c>
      <c r="ZP340" s="9" t="n">
        <v>0</v>
      </c>
      <c r="ZQ340" s="9" t="n">
        <v>0</v>
      </c>
      <c r="ZU340" s="10" t="n">
        <v>46311</v>
      </c>
      <c r="ZW340" s="9" t="n">
        <v>0</v>
      </c>
      <c r="ZY340" s="9" t="n">
        <v>0</v>
      </c>
      <c r="ZZ340" s="9" t="n">
        <v>0</v>
      </c>
      <c r="AAD340" s="10" t="n">
        <v>46311</v>
      </c>
      <c r="AAF340" s="9" t="n">
        <v>0</v>
      </c>
      <c r="AAH340" s="9" t="n">
        <v>0</v>
      </c>
      <c r="AAI340" s="9" t="n">
        <v>0</v>
      </c>
      <c r="AAM340" s="10" t="n">
        <v>46311</v>
      </c>
      <c r="AAO340" s="9" t="n">
        <v>0</v>
      </c>
      <c r="AAQ340" s="9" t="n">
        <v>0</v>
      </c>
      <c r="AAR340" s="9" t="n">
        <v>0</v>
      </c>
      <c r="AAV340" s="10" t="n">
        <v>46311</v>
      </c>
      <c r="AAX340" s="9" t="n">
        <v>0</v>
      </c>
      <c r="AAZ340" s="9" t="n">
        <v>0</v>
      </c>
      <c r="ABA340" s="9" t="n">
        <v>0</v>
      </c>
      <c r="ABE340" s="10" t="n">
        <v>46311</v>
      </c>
      <c r="ABG340" s="9" t="n">
        <v>0</v>
      </c>
      <c r="ABI340" s="9" t="n">
        <v>0</v>
      </c>
      <c r="ABJ340" s="9" t="n">
        <v>0</v>
      </c>
    </row>
    <row r="341">
      <c r="C341" s="10" t="n">
        <v>46312</v>
      </c>
      <c r="E341" s="9" t="n">
        <v>0</v>
      </c>
      <c r="G341" s="9" t="n">
        <v>0</v>
      </c>
      <c r="H341" s="9" t="n">
        <v>236936.6</v>
      </c>
      <c r="L341" s="10" t="n">
        <v>46312</v>
      </c>
      <c r="N341" s="9" t="n">
        <v>0</v>
      </c>
      <c r="P341" s="9" t="n">
        <v>0</v>
      </c>
      <c r="Q341" s="9" t="n">
        <v>53017.60000000007</v>
      </c>
      <c r="U341" s="10" t="n">
        <v>46312</v>
      </c>
      <c r="W341" s="9" t="n">
        <v>0</v>
      </c>
      <c r="Y341" s="9" t="n">
        <v>0</v>
      </c>
      <c r="Z341" s="9" t="n">
        <v>42674.19999999997</v>
      </c>
      <c r="AD341" s="10" t="n">
        <v>46312</v>
      </c>
      <c r="AF341" s="9" t="n">
        <v>0</v>
      </c>
      <c r="AH341" s="9" t="n">
        <v>0</v>
      </c>
      <c r="AI341" s="9" t="n">
        <v>4522.200000000019</v>
      </c>
      <c r="AM341" s="10" t="n">
        <v>46312</v>
      </c>
      <c r="AO341" s="9" t="n">
        <v>0</v>
      </c>
      <c r="AQ341" s="9" t="n">
        <v>0</v>
      </c>
      <c r="AR341" s="9" t="n">
        <v>0</v>
      </c>
      <c r="AV341" s="10" t="n">
        <v>46312</v>
      </c>
      <c r="AX341" s="9" t="n">
        <v>0</v>
      </c>
      <c r="AZ341" s="9" t="n">
        <v>0</v>
      </c>
      <c r="BA341" s="9" t="n">
        <v>124.9999999999952</v>
      </c>
      <c r="BE341" s="10" t="n">
        <v>46312</v>
      </c>
      <c r="BG341" s="9" t="n">
        <v>0</v>
      </c>
      <c r="BI341" s="9" t="n">
        <v>0</v>
      </c>
      <c r="BJ341" s="9" t="n">
        <v>26151.9</v>
      </c>
      <c r="BN341" s="10" t="n">
        <v>46312</v>
      </c>
      <c r="BP341" s="9" t="n">
        <v>0</v>
      </c>
      <c r="BR341" s="9" t="n">
        <v>0</v>
      </c>
      <c r="BS341" s="9" t="n">
        <v>0</v>
      </c>
      <c r="BW341" s="10" t="n">
        <v>46312</v>
      </c>
      <c r="BY341" s="9" t="n">
        <v>0</v>
      </c>
      <c r="CA341" s="9" t="n">
        <v>0</v>
      </c>
      <c r="CB341" s="9" t="n">
        <v>2097.339999999999</v>
      </c>
      <c r="CF341" s="10" t="n">
        <v>46312</v>
      </c>
      <c r="CH341" s="9" t="n">
        <v>0</v>
      </c>
      <c r="CJ341" s="9" t="n">
        <v>0</v>
      </c>
      <c r="CK341" s="9" t="n">
        <v>-10277.08</v>
      </c>
      <c r="CO341" s="10" t="n">
        <v>46312</v>
      </c>
      <c r="CQ341" s="9" t="n">
        <v>0</v>
      </c>
      <c r="CS341" s="9" t="n">
        <v>0</v>
      </c>
      <c r="CT341" s="9" t="n">
        <v>0</v>
      </c>
      <c r="CX341" s="10" t="n">
        <v>46312</v>
      </c>
      <c r="CZ341" s="9" t="n">
        <v>0</v>
      </c>
      <c r="DB341" s="9" t="n">
        <v>0</v>
      </c>
      <c r="DC341" s="9" t="n">
        <v>27438.20000000001</v>
      </c>
      <c r="DG341" s="10" t="n">
        <v>46312</v>
      </c>
      <c r="DI341" s="9" t="n">
        <v>0</v>
      </c>
      <c r="DK341" s="9" t="n">
        <v>0</v>
      </c>
      <c r="DL341" s="9" t="n">
        <v>18782.29999999998</v>
      </c>
      <c r="DP341" s="10" t="n">
        <v>46312</v>
      </c>
      <c r="DR341" s="9" t="n">
        <v>0</v>
      </c>
      <c r="DT341" s="9" t="n">
        <v>0</v>
      </c>
      <c r="DU341" s="9" t="n">
        <v>5800</v>
      </c>
      <c r="DY341" s="10" t="n">
        <v>46312</v>
      </c>
      <c r="EA341" s="9" t="n">
        <v>0</v>
      </c>
      <c r="EC341" s="9" t="n">
        <v>0</v>
      </c>
      <c r="ED341" s="9" t="n">
        <v>0</v>
      </c>
      <c r="EH341" s="10" t="n">
        <v>46312</v>
      </c>
      <c r="EJ341" s="9" t="n">
        <v>0</v>
      </c>
      <c r="EL341" s="9" t="n">
        <v>0</v>
      </c>
      <c r="EM341" s="9" t="n">
        <v>0</v>
      </c>
      <c r="EQ341" s="10" t="n">
        <v>46312</v>
      </c>
      <c r="ES341" s="9" t="n">
        <v>0</v>
      </c>
      <c r="EU341" s="9" t="n">
        <v>0</v>
      </c>
      <c r="EV341" s="9" t="n">
        <v>0</v>
      </c>
      <c r="EZ341" s="10" t="n">
        <v>46312</v>
      </c>
      <c r="FB341" s="9" t="n">
        <v>0</v>
      </c>
      <c r="FD341" s="9" t="n">
        <v>0</v>
      </c>
      <c r="FE341" s="9" t="n">
        <v>0</v>
      </c>
      <c r="FI341" s="10" t="n">
        <v>46312</v>
      </c>
      <c r="FK341" s="9" t="n">
        <v>0</v>
      </c>
      <c r="FM341" s="9" t="n">
        <v>0</v>
      </c>
      <c r="FN341" s="9" t="n">
        <v>0</v>
      </c>
      <c r="FR341" s="10" t="n">
        <v>46312</v>
      </c>
      <c r="FT341" s="9" t="n">
        <v>0</v>
      </c>
      <c r="FV341" s="9" t="n">
        <v>0</v>
      </c>
      <c r="FW341" s="9" t="n">
        <v>2020</v>
      </c>
      <c r="GA341" s="10" t="n">
        <v>46312</v>
      </c>
      <c r="GC341" s="9" t="n">
        <v>0</v>
      </c>
      <c r="GE341" s="9" t="n">
        <v>0</v>
      </c>
      <c r="GF341" s="9" t="n">
        <v>960</v>
      </c>
      <c r="GJ341" s="10" t="n">
        <v>46312</v>
      </c>
      <c r="GL341" s="9" t="n">
        <v>0</v>
      </c>
      <c r="GN341" s="9" t="n">
        <v>0</v>
      </c>
      <c r="GO341" s="9" t="n">
        <v>1760</v>
      </c>
      <c r="GS341" s="10" t="n">
        <v>46312</v>
      </c>
      <c r="GU341" s="9" t="n">
        <v>0</v>
      </c>
      <c r="GW341" s="9" t="n">
        <v>0</v>
      </c>
      <c r="GX341" s="9" t="n">
        <v>400</v>
      </c>
      <c r="HB341" s="10" t="n">
        <v>46312</v>
      </c>
      <c r="HD341" s="9" t="n">
        <v>0</v>
      </c>
      <c r="HF341" s="9" t="n">
        <v>0</v>
      </c>
      <c r="HG341" s="9" t="n">
        <v>3600</v>
      </c>
      <c r="HK341" s="10" t="n">
        <v>46312</v>
      </c>
      <c r="HM341" s="9" t="n">
        <v>0</v>
      </c>
      <c r="HO341" s="9" t="n">
        <v>0</v>
      </c>
      <c r="HP341" s="9" t="n">
        <v>0</v>
      </c>
      <c r="HU341" s="10" t="n">
        <v>46312</v>
      </c>
      <c r="HW341" s="9" t="n">
        <v>0</v>
      </c>
      <c r="HY341" s="9" t="n">
        <v>0</v>
      </c>
      <c r="HZ341" s="9" t="n">
        <v>6120</v>
      </c>
      <c r="ID341" s="10" t="n">
        <v>46312</v>
      </c>
      <c r="IF341" s="9" t="n">
        <v>0</v>
      </c>
      <c r="IH341" s="9" t="n">
        <v>0</v>
      </c>
      <c r="II341" s="9" t="n">
        <v>0</v>
      </c>
      <c r="IM341" s="10" t="n">
        <v>46312</v>
      </c>
      <c r="IO341" s="9" t="n">
        <v>0</v>
      </c>
      <c r="IQ341" s="9" t="n">
        <v>0</v>
      </c>
      <c r="IR341" s="9" t="n">
        <v>0</v>
      </c>
      <c r="IV341" s="10" t="n">
        <v>46312</v>
      </c>
      <c r="IX341" s="9" t="n">
        <v>0</v>
      </c>
      <c r="IZ341" s="9" t="n">
        <v>0</v>
      </c>
      <c r="JA341" s="9" t="n">
        <v>2820</v>
      </c>
      <c r="JE341" s="10" t="n">
        <v>46312</v>
      </c>
      <c r="JG341" s="9" t="n">
        <v>0</v>
      </c>
      <c r="JI341" s="9" t="n">
        <v>0</v>
      </c>
      <c r="JJ341" s="9" t="n">
        <v>0</v>
      </c>
      <c r="JN341" s="10" t="n">
        <v>46312</v>
      </c>
      <c r="JP341" s="9" t="n">
        <v>0</v>
      </c>
      <c r="JR341" s="9" t="n">
        <v>0</v>
      </c>
      <c r="JS341" s="9" t="n">
        <v>0</v>
      </c>
      <c r="JW341" s="10" t="n">
        <v>46312</v>
      </c>
      <c r="JY341" s="9" t="n">
        <v>0</v>
      </c>
      <c r="KA341" s="9" t="n">
        <v>0</v>
      </c>
      <c r="KB341" s="9" t="n">
        <v>2540</v>
      </c>
      <c r="KF341" s="10" t="n">
        <v>46312</v>
      </c>
      <c r="KH341" s="9" t="n">
        <v>0</v>
      </c>
      <c r="KJ341" s="9" t="n">
        <v>0</v>
      </c>
      <c r="KK341" s="9" t="n">
        <v>2359.5</v>
      </c>
      <c r="KO341" s="10" t="n">
        <v>46312</v>
      </c>
      <c r="KQ341" s="9" t="n">
        <v>0</v>
      </c>
      <c r="KS341" s="9" t="n">
        <v>0</v>
      </c>
      <c r="KT341" s="9" t="n">
        <v>1890</v>
      </c>
      <c r="KX341" s="10" t="n">
        <v>46312</v>
      </c>
      <c r="KZ341" s="9" t="n">
        <v>0</v>
      </c>
      <c r="LB341" s="9" t="n">
        <v>0</v>
      </c>
      <c r="LC341" s="9" t="n">
        <v>3690</v>
      </c>
      <c r="LG341" s="10" t="n">
        <v>46312</v>
      </c>
      <c r="LI341" s="9" t="n">
        <v>0</v>
      </c>
      <c r="LK341" s="9" t="n">
        <v>0</v>
      </c>
      <c r="LL341" s="9" t="n">
        <v>4000</v>
      </c>
      <c r="LP341" s="10" t="n">
        <v>46312</v>
      </c>
      <c r="LR341" s="9" t="n">
        <v>0</v>
      </c>
      <c r="LT341" s="9" t="n">
        <v>0</v>
      </c>
      <c r="LU341" s="9" t="n">
        <v>0</v>
      </c>
      <c r="LY341" s="10" t="n">
        <v>46312</v>
      </c>
      <c r="MA341" s="9" t="n">
        <v>0</v>
      </c>
      <c r="MC341" s="9" t="n">
        <v>0</v>
      </c>
      <c r="MD341" s="9" t="n">
        <v>0</v>
      </c>
      <c r="MH341" s="10" t="n">
        <v>46312</v>
      </c>
      <c r="MJ341" s="9" t="n">
        <v>0</v>
      </c>
      <c r="ML341" s="9" t="n">
        <v>0</v>
      </c>
      <c r="MM341" s="9" t="n">
        <v>0</v>
      </c>
      <c r="MQ341" s="10" t="n">
        <v>46312</v>
      </c>
      <c r="MS341" s="9" t="n">
        <v>0</v>
      </c>
      <c r="MU341" s="9" t="n">
        <v>0</v>
      </c>
      <c r="MV341" s="9" t="n">
        <v>1625</v>
      </c>
      <c r="MZ341" s="10" t="n">
        <v>46312</v>
      </c>
      <c r="NB341" s="9" t="n">
        <v>0</v>
      </c>
      <c r="ND341" s="9" t="n">
        <v>0</v>
      </c>
      <c r="NE341" s="9" t="n">
        <v>0</v>
      </c>
      <c r="NI341" s="10" t="n">
        <v>46312</v>
      </c>
      <c r="NK341" s="9" t="n">
        <v>0</v>
      </c>
      <c r="NM341" s="9" t="n">
        <v>0</v>
      </c>
      <c r="NN341" s="9" t="n">
        <v>1127</v>
      </c>
      <c r="NR341" s="10" t="n">
        <v>46312</v>
      </c>
      <c r="NT341" s="9" t="n">
        <v>0</v>
      </c>
      <c r="NV341" s="9" t="n">
        <v>0</v>
      </c>
      <c r="NW341" s="9" t="n">
        <v>3112</v>
      </c>
      <c r="OA341" s="10" t="n">
        <v>46312</v>
      </c>
      <c r="OC341" s="9" t="n">
        <v>0</v>
      </c>
      <c r="OE341" s="9" t="n">
        <v>0</v>
      </c>
      <c r="OF341" s="9" t="n">
        <v>1680.5</v>
      </c>
      <c r="OJ341" s="10" t="n">
        <v>46312</v>
      </c>
      <c r="OL341" s="9" t="n">
        <v>0</v>
      </c>
      <c r="ON341" s="9" t="n">
        <v>0</v>
      </c>
      <c r="OO341" s="9" t="n">
        <v>0</v>
      </c>
      <c r="OS341" s="10" t="n">
        <v>46312</v>
      </c>
      <c r="OU341" s="9" t="n">
        <v>0</v>
      </c>
      <c r="OW341" s="9" t="n">
        <v>0</v>
      </c>
      <c r="OX341" s="9" t="n">
        <v>1482</v>
      </c>
      <c r="PB341" s="10" t="n">
        <v>46312</v>
      </c>
      <c r="PD341" s="9" t="n">
        <v>0</v>
      </c>
      <c r="PF341" s="9" t="n">
        <v>0</v>
      </c>
      <c r="PG341" s="9" t="n">
        <v>0</v>
      </c>
      <c r="PK341" s="10" t="n">
        <v>46312</v>
      </c>
      <c r="PM341" s="9" t="n">
        <v>0</v>
      </c>
      <c r="PO341" s="9" t="n">
        <v>0</v>
      </c>
      <c r="PP341" s="9" t="n">
        <v>100</v>
      </c>
      <c r="PT341" s="10" t="n">
        <v>46312</v>
      </c>
      <c r="PV341" s="9" t="n">
        <v>0</v>
      </c>
      <c r="PX341" s="9" t="n">
        <v>0</v>
      </c>
      <c r="PY341" s="9" t="n">
        <v>13.96000000000004</v>
      </c>
      <c r="QC341" s="10" t="n">
        <v>46312</v>
      </c>
      <c r="QE341" s="9" t="n">
        <v>0</v>
      </c>
      <c r="QG341" s="9" t="n">
        <v>0</v>
      </c>
      <c r="QH341" s="9" t="n">
        <v>548</v>
      </c>
      <c r="QL341" s="10" t="n">
        <v>46312</v>
      </c>
      <c r="QN341" s="9" t="n">
        <v>0</v>
      </c>
      <c r="QP341" s="9" t="n">
        <v>0</v>
      </c>
      <c r="QQ341" s="9" t="n">
        <v>0</v>
      </c>
      <c r="QU341" s="10" t="n">
        <v>46312</v>
      </c>
      <c r="QW341" s="9" t="n">
        <v>0</v>
      </c>
      <c r="QY341" s="9" t="n">
        <v>0</v>
      </c>
      <c r="QZ341" s="9" t="n">
        <v>0</v>
      </c>
      <c r="RD341" s="10" t="n">
        <v>46312</v>
      </c>
      <c r="RF341" s="9" t="n">
        <v>0</v>
      </c>
      <c r="RH341" s="9" t="n">
        <v>0</v>
      </c>
      <c r="RI341" s="9" t="n">
        <v>147.04</v>
      </c>
      <c r="RM341" s="10" t="n">
        <v>46312</v>
      </c>
      <c r="RO341" s="9" t="n">
        <v>0</v>
      </c>
      <c r="RQ341" s="9" t="n">
        <v>0</v>
      </c>
      <c r="RR341" s="9" t="n">
        <v>46.8</v>
      </c>
      <c r="RV341" s="10" t="n">
        <v>46312</v>
      </c>
      <c r="RX341" s="9" t="n">
        <v>0</v>
      </c>
      <c r="RZ341" s="9" t="n">
        <v>0</v>
      </c>
      <c r="SA341" s="9" t="n">
        <v>0</v>
      </c>
      <c r="SE341" s="10" t="n">
        <v>46312</v>
      </c>
      <c r="SG341" s="9" t="n">
        <v>0</v>
      </c>
      <c r="SI341" s="9" t="n">
        <v>0</v>
      </c>
      <c r="SJ341" s="9" t="n">
        <v>24.2</v>
      </c>
      <c r="SN341" s="10" t="n">
        <v>46312</v>
      </c>
      <c r="SP341" s="9" t="n">
        <v>0</v>
      </c>
      <c r="SR341" s="9" t="n">
        <v>0</v>
      </c>
      <c r="SS341" s="9" t="n">
        <v>32</v>
      </c>
      <c r="SW341" s="10" t="n">
        <v>46312</v>
      </c>
      <c r="SY341" s="9" t="n">
        <v>0</v>
      </c>
      <c r="TA341" s="9" t="n">
        <v>0</v>
      </c>
      <c r="TB341" s="9" t="n">
        <v>0</v>
      </c>
      <c r="TF341" s="10" t="n">
        <v>46312</v>
      </c>
      <c r="TH341" s="9" t="n">
        <v>0</v>
      </c>
      <c r="TJ341" s="9" t="n">
        <v>0</v>
      </c>
      <c r="TK341" s="9" t="n">
        <v>0</v>
      </c>
      <c r="TO341" s="10" t="n">
        <v>46312</v>
      </c>
      <c r="TQ341" s="9" t="n">
        <v>0</v>
      </c>
      <c r="TS341" s="9" t="n">
        <v>0</v>
      </c>
      <c r="TT341" s="9" t="n">
        <v>0</v>
      </c>
      <c r="TX341" s="10" t="n">
        <v>46312</v>
      </c>
      <c r="TZ341" s="9" t="n">
        <v>0</v>
      </c>
      <c r="UB341" s="9" t="n">
        <v>0</v>
      </c>
      <c r="UC341" s="9" t="n">
        <v>46.79999999999998</v>
      </c>
      <c r="UG341" s="10" t="n">
        <v>46312</v>
      </c>
      <c r="UI341" s="9" t="n">
        <v>0</v>
      </c>
      <c r="UK341" s="9" t="n">
        <v>0</v>
      </c>
      <c r="UL341" s="9" t="n">
        <v>204</v>
      </c>
      <c r="UP341" s="10" t="n">
        <v>46312</v>
      </c>
      <c r="UR341" s="9" t="n">
        <v>0</v>
      </c>
      <c r="UT341" s="9" t="n">
        <v>0</v>
      </c>
      <c r="UU341" s="9" t="n">
        <v>202.5</v>
      </c>
      <c r="UY341" s="10" t="n">
        <v>46312</v>
      </c>
      <c r="VA341" s="9" t="n">
        <v>0</v>
      </c>
      <c r="VC341" s="9" t="n">
        <v>0</v>
      </c>
      <c r="VD341" s="9" t="n">
        <v>41.60000000000002</v>
      </c>
      <c r="VH341" s="10" t="n">
        <v>46312</v>
      </c>
      <c r="VJ341" s="9" t="n">
        <v>0</v>
      </c>
      <c r="VL341" s="9" t="n">
        <v>0</v>
      </c>
      <c r="VM341" s="9" t="n">
        <v>210</v>
      </c>
      <c r="VQ341" s="10" t="n">
        <v>46312</v>
      </c>
      <c r="VS341" s="9" t="n">
        <v>0</v>
      </c>
      <c r="VU341" s="9" t="n">
        <v>0</v>
      </c>
      <c r="VV341" s="9" t="n">
        <v>0</v>
      </c>
      <c r="VZ341" s="10" t="n">
        <v>46312</v>
      </c>
      <c r="WB341" s="9" t="n">
        <v>0</v>
      </c>
      <c r="WD341" s="9" t="n">
        <v>0</v>
      </c>
      <c r="WE341" s="9" t="n">
        <v>0</v>
      </c>
      <c r="WI341" s="10" t="n">
        <v>46312</v>
      </c>
      <c r="WK341" s="9" t="n">
        <v>0</v>
      </c>
      <c r="WM341" s="9" t="n">
        <v>0</v>
      </c>
      <c r="WN341" s="9" t="n">
        <v>1057</v>
      </c>
      <c r="WR341" s="10" t="n">
        <v>46312</v>
      </c>
      <c r="WT341" s="9" t="n">
        <v>0</v>
      </c>
      <c r="WV341" s="9" t="n">
        <v>0</v>
      </c>
      <c r="WW341" s="9" t="n">
        <v>0</v>
      </c>
      <c r="XA341" s="10" t="n">
        <v>46312</v>
      </c>
      <c r="XC341" s="9" t="n">
        <v>0</v>
      </c>
      <c r="XE341" s="9" t="n">
        <v>0</v>
      </c>
      <c r="XF341" s="9" t="n">
        <v>7507</v>
      </c>
      <c r="XJ341" s="10" t="n">
        <v>46312</v>
      </c>
      <c r="XL341" s="9" t="n">
        <v>0</v>
      </c>
      <c r="XN341" s="9" t="n">
        <v>0</v>
      </c>
      <c r="XO341" s="9" t="n">
        <v>4252</v>
      </c>
      <c r="XS341" s="10" t="n">
        <v>46312</v>
      </c>
      <c r="XU341" s="9" t="n">
        <v>0</v>
      </c>
      <c r="XW341" s="9" t="n">
        <v>0</v>
      </c>
      <c r="XX341" s="9" t="n">
        <v>2179</v>
      </c>
      <c r="YB341" s="10" t="n">
        <v>46312</v>
      </c>
      <c r="YD341" s="9" t="n">
        <v>0</v>
      </c>
      <c r="YF341" s="9" t="n">
        <v>0</v>
      </c>
      <c r="YG341" s="9" t="n">
        <v>4019</v>
      </c>
      <c r="YK341" s="10" t="n">
        <v>46312</v>
      </c>
      <c r="YM341" s="9" t="n">
        <v>0</v>
      </c>
      <c r="YO341" s="9" t="n">
        <v>0</v>
      </c>
      <c r="YP341" s="9" t="n">
        <v>-218</v>
      </c>
      <c r="YT341" s="10" t="n">
        <v>46312</v>
      </c>
      <c r="YV341" s="9" t="n">
        <v>0</v>
      </c>
      <c r="YX341" s="9" t="n">
        <v>0</v>
      </c>
      <c r="YY341" s="9" t="n">
        <v>0</v>
      </c>
      <c r="ZC341" s="10" t="n">
        <v>46312</v>
      </c>
      <c r="ZE341" s="9" t="n">
        <v>0</v>
      </c>
      <c r="ZG341" s="9" t="n">
        <v>0</v>
      </c>
      <c r="ZH341" s="9" t="n">
        <v>0</v>
      </c>
      <c r="ZL341" s="10" t="n">
        <v>46312</v>
      </c>
      <c r="ZN341" s="9" t="n">
        <v>0</v>
      </c>
      <c r="ZP341" s="9" t="n">
        <v>0</v>
      </c>
      <c r="ZQ341" s="9" t="n">
        <v>0</v>
      </c>
      <c r="ZU341" s="10" t="n">
        <v>46312</v>
      </c>
      <c r="ZW341" s="9" t="n">
        <v>0</v>
      </c>
      <c r="ZY341" s="9" t="n">
        <v>0</v>
      </c>
      <c r="ZZ341" s="9" t="n">
        <v>0</v>
      </c>
      <c r="AAD341" s="10" t="n">
        <v>46312</v>
      </c>
      <c r="AAF341" s="9" t="n">
        <v>0</v>
      </c>
      <c r="AAH341" s="9" t="n">
        <v>0</v>
      </c>
      <c r="AAI341" s="9" t="n">
        <v>0</v>
      </c>
      <c r="AAM341" s="10" t="n">
        <v>46312</v>
      </c>
      <c r="AAO341" s="9" t="n">
        <v>0</v>
      </c>
      <c r="AAQ341" s="9" t="n">
        <v>0</v>
      </c>
      <c r="AAR341" s="9" t="n">
        <v>0</v>
      </c>
      <c r="AAV341" s="10" t="n">
        <v>46312</v>
      </c>
      <c r="AAX341" s="9" t="n">
        <v>0</v>
      </c>
      <c r="AAZ341" s="9" t="n">
        <v>0</v>
      </c>
      <c r="ABA341" s="9" t="n">
        <v>0</v>
      </c>
      <c r="ABE341" s="10" t="n">
        <v>46312</v>
      </c>
      <c r="ABG341" s="9" t="n">
        <v>0</v>
      </c>
      <c r="ABI341" s="9" t="n">
        <v>0</v>
      </c>
      <c r="ABJ341" s="9" t="n">
        <v>0</v>
      </c>
    </row>
    <row r="342">
      <c r="C342" s="10" t="n">
        <v>46313</v>
      </c>
      <c r="E342" s="9" t="n">
        <v>0</v>
      </c>
      <c r="G342" s="9" t="n">
        <v>0</v>
      </c>
      <c r="H342" s="9" t="n">
        <v>236936.6</v>
      </c>
      <c r="L342" s="10" t="n">
        <v>46313</v>
      </c>
      <c r="N342" s="9" t="n">
        <v>0</v>
      </c>
      <c r="P342" s="9" t="n">
        <v>0</v>
      </c>
      <c r="Q342" s="9" t="n">
        <v>53017.60000000007</v>
      </c>
      <c r="U342" s="10" t="n">
        <v>46313</v>
      </c>
      <c r="W342" s="9" t="n">
        <v>0</v>
      </c>
      <c r="Y342" s="9" t="n">
        <v>0</v>
      </c>
      <c r="Z342" s="9" t="n">
        <v>42674.19999999997</v>
      </c>
      <c r="AD342" s="10" t="n">
        <v>46313</v>
      </c>
      <c r="AF342" s="9" t="n">
        <v>0</v>
      </c>
      <c r="AH342" s="9" t="n">
        <v>0</v>
      </c>
      <c r="AI342" s="9" t="n">
        <v>4522.200000000019</v>
      </c>
      <c r="AM342" s="10" t="n">
        <v>46313</v>
      </c>
      <c r="AO342" s="9" t="n">
        <v>0</v>
      </c>
      <c r="AQ342" s="9" t="n">
        <v>0</v>
      </c>
      <c r="AR342" s="9" t="n">
        <v>0</v>
      </c>
      <c r="AV342" s="10" t="n">
        <v>46313</v>
      </c>
      <c r="AX342" s="9" t="n">
        <v>0</v>
      </c>
      <c r="AZ342" s="9" t="n">
        <v>0</v>
      </c>
      <c r="BA342" s="9" t="n">
        <v>124.9999999999952</v>
      </c>
      <c r="BE342" s="10" t="n">
        <v>46313</v>
      </c>
      <c r="BG342" s="9" t="n">
        <v>0</v>
      </c>
      <c r="BI342" s="9" t="n">
        <v>0</v>
      </c>
      <c r="BJ342" s="9" t="n">
        <v>26151.9</v>
      </c>
      <c r="BN342" s="10" t="n">
        <v>46313</v>
      </c>
      <c r="BP342" s="9" t="n">
        <v>0</v>
      </c>
      <c r="BR342" s="9" t="n">
        <v>0</v>
      </c>
      <c r="BS342" s="9" t="n">
        <v>0</v>
      </c>
      <c r="BW342" s="10" t="n">
        <v>46313</v>
      </c>
      <c r="BY342" s="9" t="n">
        <v>0</v>
      </c>
      <c r="CA342" s="9" t="n">
        <v>0</v>
      </c>
      <c r="CB342" s="9" t="n">
        <v>2097.339999999999</v>
      </c>
      <c r="CF342" s="10" t="n">
        <v>46313</v>
      </c>
      <c r="CH342" s="9" t="n">
        <v>0</v>
      </c>
      <c r="CJ342" s="9" t="n">
        <v>0</v>
      </c>
      <c r="CK342" s="9" t="n">
        <v>-10277.08</v>
      </c>
      <c r="CO342" s="10" t="n">
        <v>46313</v>
      </c>
      <c r="CQ342" s="9" t="n">
        <v>0</v>
      </c>
      <c r="CS342" s="9" t="n">
        <v>0</v>
      </c>
      <c r="CT342" s="9" t="n">
        <v>0</v>
      </c>
      <c r="CX342" s="10" t="n">
        <v>46313</v>
      </c>
      <c r="CZ342" s="9" t="n">
        <v>0</v>
      </c>
      <c r="DB342" s="9" t="n">
        <v>0</v>
      </c>
      <c r="DC342" s="9" t="n">
        <v>27438.20000000001</v>
      </c>
      <c r="DG342" s="10" t="n">
        <v>46313</v>
      </c>
      <c r="DI342" s="9" t="n">
        <v>0</v>
      </c>
      <c r="DK342" s="9" t="n">
        <v>0</v>
      </c>
      <c r="DL342" s="9" t="n">
        <v>18782.29999999998</v>
      </c>
      <c r="DP342" s="10" t="n">
        <v>46313</v>
      </c>
      <c r="DR342" s="9" t="n">
        <v>0</v>
      </c>
      <c r="DT342" s="9" t="n">
        <v>0</v>
      </c>
      <c r="DU342" s="9" t="n">
        <v>5800</v>
      </c>
      <c r="DY342" s="10" t="n">
        <v>46313</v>
      </c>
      <c r="EA342" s="9" t="n">
        <v>0</v>
      </c>
      <c r="EC342" s="9" t="n">
        <v>0</v>
      </c>
      <c r="ED342" s="9" t="n">
        <v>0</v>
      </c>
      <c r="EH342" s="10" t="n">
        <v>46313</v>
      </c>
      <c r="EJ342" s="9" t="n">
        <v>0</v>
      </c>
      <c r="EL342" s="9" t="n">
        <v>0</v>
      </c>
      <c r="EM342" s="9" t="n">
        <v>0</v>
      </c>
      <c r="EQ342" s="10" t="n">
        <v>46313</v>
      </c>
      <c r="ES342" s="9" t="n">
        <v>0</v>
      </c>
      <c r="EU342" s="9" t="n">
        <v>0</v>
      </c>
      <c r="EV342" s="9" t="n">
        <v>0</v>
      </c>
      <c r="EZ342" s="10" t="n">
        <v>46313</v>
      </c>
      <c r="FB342" s="9" t="n">
        <v>0</v>
      </c>
      <c r="FD342" s="9" t="n">
        <v>0</v>
      </c>
      <c r="FE342" s="9" t="n">
        <v>0</v>
      </c>
      <c r="FI342" s="10" t="n">
        <v>46313</v>
      </c>
      <c r="FK342" s="9" t="n">
        <v>0</v>
      </c>
      <c r="FM342" s="9" t="n">
        <v>0</v>
      </c>
      <c r="FN342" s="9" t="n">
        <v>0</v>
      </c>
      <c r="FR342" s="10" t="n">
        <v>46313</v>
      </c>
      <c r="FT342" s="9" t="n">
        <v>0</v>
      </c>
      <c r="FV342" s="9" t="n">
        <v>0</v>
      </c>
      <c r="FW342" s="9" t="n">
        <v>2020</v>
      </c>
      <c r="GA342" s="10" t="n">
        <v>46313</v>
      </c>
      <c r="GC342" s="9" t="n">
        <v>0</v>
      </c>
      <c r="GE342" s="9" t="n">
        <v>0</v>
      </c>
      <c r="GF342" s="9" t="n">
        <v>960</v>
      </c>
      <c r="GJ342" s="10" t="n">
        <v>46313</v>
      </c>
      <c r="GL342" s="9" t="n">
        <v>0</v>
      </c>
      <c r="GN342" s="9" t="n">
        <v>0</v>
      </c>
      <c r="GO342" s="9" t="n">
        <v>1760</v>
      </c>
      <c r="GS342" s="10" t="n">
        <v>46313</v>
      </c>
      <c r="GU342" s="9" t="n">
        <v>0</v>
      </c>
      <c r="GW342" s="9" t="n">
        <v>0</v>
      </c>
      <c r="GX342" s="9" t="n">
        <v>400</v>
      </c>
      <c r="HB342" s="10" t="n">
        <v>46313</v>
      </c>
      <c r="HD342" s="9" t="n">
        <v>0</v>
      </c>
      <c r="HF342" s="9" t="n">
        <v>0</v>
      </c>
      <c r="HG342" s="9" t="n">
        <v>3600</v>
      </c>
      <c r="HK342" s="10" t="n">
        <v>46313</v>
      </c>
      <c r="HM342" s="9" t="n">
        <v>0</v>
      </c>
      <c r="HO342" s="9" t="n">
        <v>0</v>
      </c>
      <c r="HP342" s="9" t="n">
        <v>0</v>
      </c>
      <c r="HU342" s="10" t="n">
        <v>46313</v>
      </c>
      <c r="HW342" s="9" t="n">
        <v>0</v>
      </c>
      <c r="HY342" s="9" t="n">
        <v>0</v>
      </c>
      <c r="HZ342" s="9" t="n">
        <v>6120</v>
      </c>
      <c r="ID342" s="10" t="n">
        <v>46313</v>
      </c>
      <c r="IF342" s="9" t="n">
        <v>0</v>
      </c>
      <c r="IH342" s="9" t="n">
        <v>0</v>
      </c>
      <c r="II342" s="9" t="n">
        <v>0</v>
      </c>
      <c r="IM342" s="10" t="n">
        <v>46313</v>
      </c>
      <c r="IO342" s="9" t="n">
        <v>0</v>
      </c>
      <c r="IQ342" s="9" t="n">
        <v>0</v>
      </c>
      <c r="IR342" s="9" t="n">
        <v>0</v>
      </c>
      <c r="IV342" s="10" t="n">
        <v>46313</v>
      </c>
      <c r="IX342" s="9" t="n">
        <v>0</v>
      </c>
      <c r="IZ342" s="9" t="n">
        <v>0</v>
      </c>
      <c r="JA342" s="9" t="n">
        <v>2820</v>
      </c>
      <c r="JE342" s="10" t="n">
        <v>46313</v>
      </c>
      <c r="JG342" s="9" t="n">
        <v>0</v>
      </c>
      <c r="JI342" s="9" t="n">
        <v>0</v>
      </c>
      <c r="JJ342" s="9" t="n">
        <v>0</v>
      </c>
      <c r="JN342" s="10" t="n">
        <v>46313</v>
      </c>
      <c r="JP342" s="9" t="n">
        <v>0</v>
      </c>
      <c r="JR342" s="9" t="n">
        <v>0</v>
      </c>
      <c r="JS342" s="9" t="n">
        <v>0</v>
      </c>
      <c r="JW342" s="10" t="n">
        <v>46313</v>
      </c>
      <c r="JY342" s="9" t="n">
        <v>0</v>
      </c>
      <c r="KA342" s="9" t="n">
        <v>0</v>
      </c>
      <c r="KB342" s="9" t="n">
        <v>2540</v>
      </c>
      <c r="KF342" s="10" t="n">
        <v>46313</v>
      </c>
      <c r="KH342" s="9" t="n">
        <v>0</v>
      </c>
      <c r="KJ342" s="9" t="n">
        <v>0</v>
      </c>
      <c r="KK342" s="9" t="n">
        <v>2359.5</v>
      </c>
      <c r="KO342" s="10" t="n">
        <v>46313</v>
      </c>
      <c r="KQ342" s="9" t="n">
        <v>0</v>
      </c>
      <c r="KS342" s="9" t="n">
        <v>0</v>
      </c>
      <c r="KT342" s="9" t="n">
        <v>1890</v>
      </c>
      <c r="KX342" s="10" t="n">
        <v>46313</v>
      </c>
      <c r="KZ342" s="9" t="n">
        <v>0</v>
      </c>
      <c r="LB342" s="9" t="n">
        <v>0</v>
      </c>
      <c r="LC342" s="9" t="n">
        <v>3690</v>
      </c>
      <c r="LG342" s="10" t="n">
        <v>46313</v>
      </c>
      <c r="LI342" s="9" t="n">
        <v>0</v>
      </c>
      <c r="LK342" s="9" t="n">
        <v>0</v>
      </c>
      <c r="LL342" s="9" t="n">
        <v>4000</v>
      </c>
      <c r="LP342" s="10" t="n">
        <v>46313</v>
      </c>
      <c r="LR342" s="9" t="n">
        <v>0</v>
      </c>
      <c r="LT342" s="9" t="n">
        <v>0</v>
      </c>
      <c r="LU342" s="9" t="n">
        <v>0</v>
      </c>
      <c r="LY342" s="10" t="n">
        <v>46313</v>
      </c>
      <c r="MA342" s="9" t="n">
        <v>0</v>
      </c>
      <c r="MC342" s="9" t="n">
        <v>0</v>
      </c>
      <c r="MD342" s="9" t="n">
        <v>0</v>
      </c>
      <c r="MH342" s="10" t="n">
        <v>46313</v>
      </c>
      <c r="MJ342" s="9" t="n">
        <v>0</v>
      </c>
      <c r="ML342" s="9" t="n">
        <v>0</v>
      </c>
      <c r="MM342" s="9" t="n">
        <v>0</v>
      </c>
      <c r="MQ342" s="10" t="n">
        <v>46313</v>
      </c>
      <c r="MS342" s="9" t="n">
        <v>0</v>
      </c>
      <c r="MU342" s="9" t="n">
        <v>0</v>
      </c>
      <c r="MV342" s="9" t="n">
        <v>1625</v>
      </c>
      <c r="MZ342" s="10" t="n">
        <v>46313</v>
      </c>
      <c r="NB342" s="9" t="n">
        <v>0</v>
      </c>
      <c r="ND342" s="9" t="n">
        <v>0</v>
      </c>
      <c r="NE342" s="9" t="n">
        <v>0</v>
      </c>
      <c r="NI342" s="10" t="n">
        <v>46313</v>
      </c>
      <c r="NK342" s="9" t="n">
        <v>0</v>
      </c>
      <c r="NM342" s="9" t="n">
        <v>0</v>
      </c>
      <c r="NN342" s="9" t="n">
        <v>1127</v>
      </c>
      <c r="NR342" s="10" t="n">
        <v>46313</v>
      </c>
      <c r="NT342" s="9" t="n">
        <v>0</v>
      </c>
      <c r="NV342" s="9" t="n">
        <v>0</v>
      </c>
      <c r="NW342" s="9" t="n">
        <v>3112</v>
      </c>
      <c r="OA342" s="10" t="n">
        <v>46313</v>
      </c>
      <c r="OC342" s="9" t="n">
        <v>0</v>
      </c>
      <c r="OE342" s="9" t="n">
        <v>0</v>
      </c>
      <c r="OF342" s="9" t="n">
        <v>1680.5</v>
      </c>
      <c r="OJ342" s="10" t="n">
        <v>46313</v>
      </c>
      <c r="OL342" s="9" t="n">
        <v>0</v>
      </c>
      <c r="ON342" s="9" t="n">
        <v>0</v>
      </c>
      <c r="OO342" s="9" t="n">
        <v>0</v>
      </c>
      <c r="OS342" s="10" t="n">
        <v>46313</v>
      </c>
      <c r="OU342" s="9" t="n">
        <v>0</v>
      </c>
      <c r="OW342" s="9" t="n">
        <v>0</v>
      </c>
      <c r="OX342" s="9" t="n">
        <v>1482</v>
      </c>
      <c r="PB342" s="10" t="n">
        <v>46313</v>
      </c>
      <c r="PD342" s="9" t="n">
        <v>0</v>
      </c>
      <c r="PF342" s="9" t="n">
        <v>0</v>
      </c>
      <c r="PG342" s="9" t="n">
        <v>0</v>
      </c>
      <c r="PK342" s="10" t="n">
        <v>46313</v>
      </c>
      <c r="PM342" s="9" t="n">
        <v>0</v>
      </c>
      <c r="PO342" s="9" t="n">
        <v>0</v>
      </c>
      <c r="PP342" s="9" t="n">
        <v>100</v>
      </c>
      <c r="PT342" s="10" t="n">
        <v>46313</v>
      </c>
      <c r="PV342" s="9" t="n">
        <v>0</v>
      </c>
      <c r="PX342" s="9" t="n">
        <v>0</v>
      </c>
      <c r="PY342" s="9" t="n">
        <v>13.96000000000004</v>
      </c>
      <c r="QC342" s="10" t="n">
        <v>46313</v>
      </c>
      <c r="QE342" s="9" t="n">
        <v>0</v>
      </c>
      <c r="QG342" s="9" t="n">
        <v>0</v>
      </c>
      <c r="QH342" s="9" t="n">
        <v>548</v>
      </c>
      <c r="QL342" s="10" t="n">
        <v>46313</v>
      </c>
      <c r="QN342" s="9" t="n">
        <v>0</v>
      </c>
      <c r="QP342" s="9" t="n">
        <v>0</v>
      </c>
      <c r="QQ342" s="9" t="n">
        <v>0</v>
      </c>
      <c r="QU342" s="10" t="n">
        <v>46313</v>
      </c>
      <c r="QW342" s="9" t="n">
        <v>0</v>
      </c>
      <c r="QY342" s="9" t="n">
        <v>0</v>
      </c>
      <c r="QZ342" s="9" t="n">
        <v>0</v>
      </c>
      <c r="RD342" s="10" t="n">
        <v>46313</v>
      </c>
      <c r="RF342" s="9" t="n">
        <v>0</v>
      </c>
      <c r="RH342" s="9" t="n">
        <v>0</v>
      </c>
      <c r="RI342" s="9" t="n">
        <v>147.04</v>
      </c>
      <c r="RM342" s="10" t="n">
        <v>46313</v>
      </c>
      <c r="RO342" s="9" t="n">
        <v>0</v>
      </c>
      <c r="RQ342" s="9" t="n">
        <v>0</v>
      </c>
      <c r="RR342" s="9" t="n">
        <v>46.8</v>
      </c>
      <c r="RV342" s="10" t="n">
        <v>46313</v>
      </c>
      <c r="RX342" s="9" t="n">
        <v>0</v>
      </c>
      <c r="RZ342" s="9" t="n">
        <v>0</v>
      </c>
      <c r="SA342" s="9" t="n">
        <v>0</v>
      </c>
      <c r="SE342" s="10" t="n">
        <v>46313</v>
      </c>
      <c r="SG342" s="9" t="n">
        <v>0</v>
      </c>
      <c r="SI342" s="9" t="n">
        <v>0</v>
      </c>
      <c r="SJ342" s="9" t="n">
        <v>24.2</v>
      </c>
      <c r="SN342" s="10" t="n">
        <v>46313</v>
      </c>
      <c r="SP342" s="9" t="n">
        <v>0</v>
      </c>
      <c r="SR342" s="9" t="n">
        <v>0</v>
      </c>
      <c r="SS342" s="9" t="n">
        <v>32</v>
      </c>
      <c r="SW342" s="10" t="n">
        <v>46313</v>
      </c>
      <c r="SY342" s="9" t="n">
        <v>0</v>
      </c>
      <c r="TA342" s="9" t="n">
        <v>0</v>
      </c>
      <c r="TB342" s="9" t="n">
        <v>0</v>
      </c>
      <c r="TF342" s="10" t="n">
        <v>46313</v>
      </c>
      <c r="TH342" s="9" t="n">
        <v>0</v>
      </c>
      <c r="TJ342" s="9" t="n">
        <v>0</v>
      </c>
      <c r="TK342" s="9" t="n">
        <v>0</v>
      </c>
      <c r="TO342" s="10" t="n">
        <v>46313</v>
      </c>
      <c r="TQ342" s="9" t="n">
        <v>0</v>
      </c>
      <c r="TS342" s="9" t="n">
        <v>0</v>
      </c>
      <c r="TT342" s="9" t="n">
        <v>0</v>
      </c>
      <c r="TX342" s="10" t="n">
        <v>46313</v>
      </c>
      <c r="TZ342" s="9" t="n">
        <v>0</v>
      </c>
      <c r="UB342" s="9" t="n">
        <v>0</v>
      </c>
      <c r="UC342" s="9" t="n">
        <v>46.79999999999998</v>
      </c>
      <c r="UG342" s="10" t="n">
        <v>46313</v>
      </c>
      <c r="UI342" s="9" t="n">
        <v>0</v>
      </c>
      <c r="UK342" s="9" t="n">
        <v>0</v>
      </c>
      <c r="UL342" s="9" t="n">
        <v>204</v>
      </c>
      <c r="UP342" s="10" t="n">
        <v>46313</v>
      </c>
      <c r="UR342" s="9" t="n">
        <v>0</v>
      </c>
      <c r="UT342" s="9" t="n">
        <v>0</v>
      </c>
      <c r="UU342" s="9" t="n">
        <v>202.5</v>
      </c>
      <c r="UY342" s="10" t="n">
        <v>46313</v>
      </c>
      <c r="VA342" s="9" t="n">
        <v>0</v>
      </c>
      <c r="VC342" s="9" t="n">
        <v>0</v>
      </c>
      <c r="VD342" s="9" t="n">
        <v>41.60000000000002</v>
      </c>
      <c r="VH342" s="10" t="n">
        <v>46313</v>
      </c>
      <c r="VJ342" s="9" t="n">
        <v>0</v>
      </c>
      <c r="VL342" s="9" t="n">
        <v>0</v>
      </c>
      <c r="VM342" s="9" t="n">
        <v>210</v>
      </c>
      <c r="VQ342" s="10" t="n">
        <v>46313</v>
      </c>
      <c r="VS342" s="9" t="n">
        <v>0</v>
      </c>
      <c r="VU342" s="9" t="n">
        <v>0</v>
      </c>
      <c r="VV342" s="9" t="n">
        <v>0</v>
      </c>
      <c r="VZ342" s="10" t="n">
        <v>46313</v>
      </c>
      <c r="WB342" s="9" t="n">
        <v>0</v>
      </c>
      <c r="WD342" s="9" t="n">
        <v>0</v>
      </c>
      <c r="WE342" s="9" t="n">
        <v>0</v>
      </c>
      <c r="WI342" s="10" t="n">
        <v>46313</v>
      </c>
      <c r="WK342" s="9" t="n">
        <v>0</v>
      </c>
      <c r="WM342" s="9" t="n">
        <v>0</v>
      </c>
      <c r="WN342" s="9" t="n">
        <v>1057</v>
      </c>
      <c r="WR342" s="10" t="n">
        <v>46313</v>
      </c>
      <c r="WT342" s="9" t="n">
        <v>0</v>
      </c>
      <c r="WV342" s="9" t="n">
        <v>0</v>
      </c>
      <c r="WW342" s="9" t="n">
        <v>0</v>
      </c>
      <c r="XA342" s="10" t="n">
        <v>46313</v>
      </c>
      <c r="XC342" s="9" t="n">
        <v>0</v>
      </c>
      <c r="XE342" s="9" t="n">
        <v>0</v>
      </c>
      <c r="XF342" s="9" t="n">
        <v>7507</v>
      </c>
      <c r="XJ342" s="10" t="n">
        <v>46313</v>
      </c>
      <c r="XL342" s="9" t="n">
        <v>0</v>
      </c>
      <c r="XN342" s="9" t="n">
        <v>0</v>
      </c>
      <c r="XO342" s="9" t="n">
        <v>4252</v>
      </c>
      <c r="XS342" s="10" t="n">
        <v>46313</v>
      </c>
      <c r="XU342" s="9" t="n">
        <v>0</v>
      </c>
      <c r="XW342" s="9" t="n">
        <v>0</v>
      </c>
      <c r="XX342" s="9" t="n">
        <v>2179</v>
      </c>
      <c r="YB342" s="10" t="n">
        <v>46313</v>
      </c>
      <c r="YD342" s="9" t="n">
        <v>0</v>
      </c>
      <c r="YF342" s="9" t="n">
        <v>0</v>
      </c>
      <c r="YG342" s="9" t="n">
        <v>4019</v>
      </c>
      <c r="YK342" s="10" t="n">
        <v>46313</v>
      </c>
      <c r="YM342" s="9" t="n">
        <v>0</v>
      </c>
      <c r="YO342" s="9" t="n">
        <v>0</v>
      </c>
      <c r="YP342" s="9" t="n">
        <v>-218</v>
      </c>
      <c r="YT342" s="10" t="n">
        <v>46313</v>
      </c>
      <c r="YV342" s="9" t="n">
        <v>0</v>
      </c>
      <c r="YX342" s="9" t="n">
        <v>0</v>
      </c>
      <c r="YY342" s="9" t="n">
        <v>0</v>
      </c>
      <c r="ZC342" s="10" t="n">
        <v>46313</v>
      </c>
      <c r="ZE342" s="9" t="n">
        <v>0</v>
      </c>
      <c r="ZG342" s="9" t="n">
        <v>0</v>
      </c>
      <c r="ZH342" s="9" t="n">
        <v>0</v>
      </c>
      <c r="ZL342" s="10" t="n">
        <v>46313</v>
      </c>
      <c r="ZN342" s="9" t="n">
        <v>0</v>
      </c>
      <c r="ZP342" s="9" t="n">
        <v>0</v>
      </c>
      <c r="ZQ342" s="9" t="n">
        <v>0</v>
      </c>
      <c r="ZU342" s="10" t="n">
        <v>46313</v>
      </c>
      <c r="ZW342" s="9" t="n">
        <v>0</v>
      </c>
      <c r="ZY342" s="9" t="n">
        <v>0</v>
      </c>
      <c r="ZZ342" s="9" t="n">
        <v>0</v>
      </c>
      <c r="AAD342" s="10" t="n">
        <v>46313</v>
      </c>
      <c r="AAF342" s="9" t="n">
        <v>0</v>
      </c>
      <c r="AAH342" s="9" t="n">
        <v>0</v>
      </c>
      <c r="AAI342" s="9" t="n">
        <v>0</v>
      </c>
      <c r="AAM342" s="10" t="n">
        <v>46313</v>
      </c>
      <c r="AAO342" s="9" t="n">
        <v>0</v>
      </c>
      <c r="AAQ342" s="9" t="n">
        <v>0</v>
      </c>
      <c r="AAR342" s="9" t="n">
        <v>0</v>
      </c>
      <c r="AAV342" s="10" t="n">
        <v>46313</v>
      </c>
      <c r="AAX342" s="9" t="n">
        <v>0</v>
      </c>
      <c r="AAZ342" s="9" t="n">
        <v>0</v>
      </c>
      <c r="ABA342" s="9" t="n">
        <v>0</v>
      </c>
      <c r="ABE342" s="10" t="n">
        <v>46313</v>
      </c>
      <c r="ABG342" s="9" t="n">
        <v>0</v>
      </c>
      <c r="ABI342" s="9" t="n">
        <v>0</v>
      </c>
      <c r="ABJ342" s="9" t="n">
        <v>0</v>
      </c>
    </row>
    <row r="343">
      <c r="C343" s="10" t="n">
        <v>46314</v>
      </c>
      <c r="E343" s="9" t="n">
        <v>0</v>
      </c>
      <c r="G343" s="9" t="n">
        <v>0</v>
      </c>
      <c r="H343" s="9" t="n">
        <v>236936.6</v>
      </c>
      <c r="L343" s="10" t="n">
        <v>46314</v>
      </c>
      <c r="N343" s="9" t="n">
        <v>0</v>
      </c>
      <c r="P343" s="9" t="n">
        <v>0</v>
      </c>
      <c r="Q343" s="9" t="n">
        <v>53017.60000000007</v>
      </c>
      <c r="U343" s="10" t="n">
        <v>46314</v>
      </c>
      <c r="W343" s="9" t="n">
        <v>0</v>
      </c>
      <c r="Y343" s="9" t="n">
        <v>0</v>
      </c>
      <c r="Z343" s="9" t="n">
        <v>42674.19999999997</v>
      </c>
      <c r="AD343" s="10" t="n">
        <v>46314</v>
      </c>
      <c r="AF343" s="9" t="n">
        <v>0</v>
      </c>
      <c r="AH343" s="9" t="n">
        <v>0</v>
      </c>
      <c r="AI343" s="9" t="n">
        <v>4522.200000000019</v>
      </c>
      <c r="AM343" s="10" t="n">
        <v>46314</v>
      </c>
      <c r="AO343" s="9" t="n">
        <v>0</v>
      </c>
      <c r="AQ343" s="9" t="n">
        <v>0</v>
      </c>
      <c r="AR343" s="9" t="n">
        <v>0</v>
      </c>
      <c r="AV343" s="10" t="n">
        <v>46314</v>
      </c>
      <c r="AX343" s="9" t="n">
        <v>0</v>
      </c>
      <c r="AZ343" s="9" t="n">
        <v>0</v>
      </c>
      <c r="BA343" s="9" t="n">
        <v>124.9999999999952</v>
      </c>
      <c r="BE343" s="10" t="n">
        <v>46314</v>
      </c>
      <c r="BG343" s="9" t="n">
        <v>0</v>
      </c>
      <c r="BI343" s="9" t="n">
        <v>0</v>
      </c>
      <c r="BJ343" s="9" t="n">
        <v>26151.9</v>
      </c>
      <c r="BN343" s="10" t="n">
        <v>46314</v>
      </c>
      <c r="BP343" s="9" t="n">
        <v>0</v>
      </c>
      <c r="BR343" s="9" t="n">
        <v>0</v>
      </c>
      <c r="BS343" s="9" t="n">
        <v>0</v>
      </c>
      <c r="BW343" s="10" t="n">
        <v>46314</v>
      </c>
      <c r="BY343" s="9" t="n">
        <v>0</v>
      </c>
      <c r="CA343" s="9" t="n">
        <v>0</v>
      </c>
      <c r="CB343" s="9" t="n">
        <v>2097.339999999999</v>
      </c>
      <c r="CF343" s="10" t="n">
        <v>46314</v>
      </c>
      <c r="CH343" s="9" t="n">
        <v>0</v>
      </c>
      <c r="CJ343" s="9" t="n">
        <v>0</v>
      </c>
      <c r="CK343" s="9" t="n">
        <v>-10277.08</v>
      </c>
      <c r="CO343" s="10" t="n">
        <v>46314</v>
      </c>
      <c r="CQ343" s="9" t="n">
        <v>0</v>
      </c>
      <c r="CS343" s="9" t="n">
        <v>0</v>
      </c>
      <c r="CT343" s="9" t="n">
        <v>0</v>
      </c>
      <c r="CX343" s="10" t="n">
        <v>46314</v>
      </c>
      <c r="CZ343" s="9" t="n">
        <v>0</v>
      </c>
      <c r="DB343" s="9" t="n">
        <v>0</v>
      </c>
      <c r="DC343" s="9" t="n">
        <v>27438.20000000001</v>
      </c>
      <c r="DG343" s="10" t="n">
        <v>46314</v>
      </c>
      <c r="DI343" s="9" t="n">
        <v>0</v>
      </c>
      <c r="DK343" s="9" t="n">
        <v>0</v>
      </c>
      <c r="DL343" s="9" t="n">
        <v>18782.29999999998</v>
      </c>
      <c r="DP343" s="10" t="n">
        <v>46314</v>
      </c>
      <c r="DR343" s="9" t="n">
        <v>0</v>
      </c>
      <c r="DT343" s="9" t="n">
        <v>0</v>
      </c>
      <c r="DU343" s="9" t="n">
        <v>5800</v>
      </c>
      <c r="DY343" s="10" t="n">
        <v>46314</v>
      </c>
      <c r="EA343" s="9" t="n">
        <v>0</v>
      </c>
      <c r="EC343" s="9" t="n">
        <v>0</v>
      </c>
      <c r="ED343" s="9" t="n">
        <v>0</v>
      </c>
      <c r="EH343" s="10" t="n">
        <v>46314</v>
      </c>
      <c r="EJ343" s="9" t="n">
        <v>0</v>
      </c>
      <c r="EL343" s="9" t="n">
        <v>0</v>
      </c>
      <c r="EM343" s="9" t="n">
        <v>0</v>
      </c>
      <c r="EQ343" s="10" t="n">
        <v>46314</v>
      </c>
      <c r="ES343" s="9" t="n">
        <v>0</v>
      </c>
      <c r="EU343" s="9" t="n">
        <v>0</v>
      </c>
      <c r="EV343" s="9" t="n">
        <v>0</v>
      </c>
      <c r="EZ343" s="10" t="n">
        <v>46314</v>
      </c>
      <c r="FB343" s="9" t="n">
        <v>0</v>
      </c>
      <c r="FD343" s="9" t="n">
        <v>0</v>
      </c>
      <c r="FE343" s="9" t="n">
        <v>0</v>
      </c>
      <c r="FI343" s="10" t="n">
        <v>46314</v>
      </c>
      <c r="FK343" s="9" t="n">
        <v>0</v>
      </c>
      <c r="FM343" s="9" t="n">
        <v>0</v>
      </c>
      <c r="FN343" s="9" t="n">
        <v>0</v>
      </c>
      <c r="FR343" s="10" t="n">
        <v>46314</v>
      </c>
      <c r="FT343" s="9" t="n">
        <v>0</v>
      </c>
      <c r="FV343" s="9" t="n">
        <v>0</v>
      </c>
      <c r="FW343" s="9" t="n">
        <v>2020</v>
      </c>
      <c r="GA343" s="10" t="n">
        <v>46314</v>
      </c>
      <c r="GC343" s="9" t="n">
        <v>0</v>
      </c>
      <c r="GE343" s="9" t="n">
        <v>0</v>
      </c>
      <c r="GF343" s="9" t="n">
        <v>960</v>
      </c>
      <c r="GJ343" s="10" t="n">
        <v>46314</v>
      </c>
      <c r="GL343" s="9" t="n">
        <v>0</v>
      </c>
      <c r="GN343" s="9" t="n">
        <v>0</v>
      </c>
      <c r="GO343" s="9" t="n">
        <v>1760</v>
      </c>
      <c r="GS343" s="10" t="n">
        <v>46314</v>
      </c>
      <c r="GU343" s="9" t="n">
        <v>0</v>
      </c>
      <c r="GW343" s="9" t="n">
        <v>0</v>
      </c>
      <c r="GX343" s="9" t="n">
        <v>400</v>
      </c>
      <c r="HB343" s="10" t="n">
        <v>46314</v>
      </c>
      <c r="HD343" s="9" t="n">
        <v>0</v>
      </c>
      <c r="HF343" s="9" t="n">
        <v>0</v>
      </c>
      <c r="HG343" s="9" t="n">
        <v>3600</v>
      </c>
      <c r="HK343" s="10" t="n">
        <v>46314</v>
      </c>
      <c r="HM343" s="9" t="n">
        <v>0</v>
      </c>
      <c r="HO343" s="9" t="n">
        <v>0</v>
      </c>
      <c r="HP343" s="9" t="n">
        <v>0</v>
      </c>
      <c r="HU343" s="10" t="n">
        <v>46314</v>
      </c>
      <c r="HW343" s="9" t="n">
        <v>0</v>
      </c>
      <c r="HY343" s="9" t="n">
        <v>0</v>
      </c>
      <c r="HZ343" s="9" t="n">
        <v>6120</v>
      </c>
      <c r="ID343" s="10" t="n">
        <v>46314</v>
      </c>
      <c r="IF343" s="9" t="n">
        <v>0</v>
      </c>
      <c r="IH343" s="9" t="n">
        <v>0</v>
      </c>
      <c r="II343" s="9" t="n">
        <v>0</v>
      </c>
      <c r="IM343" s="10" t="n">
        <v>46314</v>
      </c>
      <c r="IO343" s="9" t="n">
        <v>0</v>
      </c>
      <c r="IQ343" s="9" t="n">
        <v>0</v>
      </c>
      <c r="IR343" s="9" t="n">
        <v>0</v>
      </c>
      <c r="IV343" s="10" t="n">
        <v>46314</v>
      </c>
      <c r="IX343" s="9" t="n">
        <v>0</v>
      </c>
      <c r="IZ343" s="9" t="n">
        <v>0</v>
      </c>
      <c r="JA343" s="9" t="n">
        <v>2820</v>
      </c>
      <c r="JE343" s="10" t="n">
        <v>46314</v>
      </c>
      <c r="JG343" s="9" t="n">
        <v>0</v>
      </c>
      <c r="JI343" s="9" t="n">
        <v>0</v>
      </c>
      <c r="JJ343" s="9" t="n">
        <v>0</v>
      </c>
      <c r="JN343" s="10" t="n">
        <v>46314</v>
      </c>
      <c r="JP343" s="9" t="n">
        <v>0</v>
      </c>
      <c r="JR343" s="9" t="n">
        <v>0</v>
      </c>
      <c r="JS343" s="9" t="n">
        <v>0</v>
      </c>
      <c r="JW343" s="10" t="n">
        <v>46314</v>
      </c>
      <c r="JY343" s="9" t="n">
        <v>0</v>
      </c>
      <c r="KA343" s="9" t="n">
        <v>0</v>
      </c>
      <c r="KB343" s="9" t="n">
        <v>2540</v>
      </c>
      <c r="KF343" s="10" t="n">
        <v>46314</v>
      </c>
      <c r="KH343" s="9" t="n">
        <v>0</v>
      </c>
      <c r="KJ343" s="9" t="n">
        <v>0</v>
      </c>
      <c r="KK343" s="9" t="n">
        <v>2359.5</v>
      </c>
      <c r="KO343" s="10" t="n">
        <v>46314</v>
      </c>
      <c r="KQ343" s="9" t="n">
        <v>0</v>
      </c>
      <c r="KS343" s="9" t="n">
        <v>0</v>
      </c>
      <c r="KT343" s="9" t="n">
        <v>1890</v>
      </c>
      <c r="KX343" s="10" t="n">
        <v>46314</v>
      </c>
      <c r="KZ343" s="9" t="n">
        <v>0</v>
      </c>
      <c r="LB343" s="9" t="n">
        <v>0</v>
      </c>
      <c r="LC343" s="9" t="n">
        <v>3690</v>
      </c>
      <c r="LG343" s="10" t="n">
        <v>46314</v>
      </c>
      <c r="LI343" s="9" t="n">
        <v>0</v>
      </c>
      <c r="LK343" s="9" t="n">
        <v>0</v>
      </c>
      <c r="LL343" s="9" t="n">
        <v>4000</v>
      </c>
      <c r="LP343" s="10" t="n">
        <v>46314</v>
      </c>
      <c r="LR343" s="9" t="n">
        <v>0</v>
      </c>
      <c r="LT343" s="9" t="n">
        <v>0</v>
      </c>
      <c r="LU343" s="9" t="n">
        <v>0</v>
      </c>
      <c r="LY343" s="10" t="n">
        <v>46314</v>
      </c>
      <c r="MA343" s="9" t="n">
        <v>0</v>
      </c>
      <c r="MC343" s="9" t="n">
        <v>0</v>
      </c>
      <c r="MD343" s="9" t="n">
        <v>0</v>
      </c>
      <c r="MH343" s="10" t="n">
        <v>46314</v>
      </c>
      <c r="MJ343" s="9" t="n">
        <v>0</v>
      </c>
      <c r="ML343" s="9" t="n">
        <v>0</v>
      </c>
      <c r="MM343" s="9" t="n">
        <v>0</v>
      </c>
      <c r="MQ343" s="10" t="n">
        <v>46314</v>
      </c>
      <c r="MS343" s="9" t="n">
        <v>0</v>
      </c>
      <c r="MU343" s="9" t="n">
        <v>0</v>
      </c>
      <c r="MV343" s="9" t="n">
        <v>1625</v>
      </c>
      <c r="MZ343" s="10" t="n">
        <v>46314</v>
      </c>
      <c r="NB343" s="9" t="n">
        <v>0</v>
      </c>
      <c r="ND343" s="9" t="n">
        <v>0</v>
      </c>
      <c r="NE343" s="9" t="n">
        <v>0</v>
      </c>
      <c r="NI343" s="10" t="n">
        <v>46314</v>
      </c>
      <c r="NK343" s="9" t="n">
        <v>0</v>
      </c>
      <c r="NM343" s="9" t="n">
        <v>0</v>
      </c>
      <c r="NN343" s="9" t="n">
        <v>1127</v>
      </c>
      <c r="NR343" s="10" t="n">
        <v>46314</v>
      </c>
      <c r="NT343" s="9" t="n">
        <v>0</v>
      </c>
      <c r="NV343" s="9" t="n">
        <v>0</v>
      </c>
      <c r="NW343" s="9" t="n">
        <v>3112</v>
      </c>
      <c r="OA343" s="10" t="n">
        <v>46314</v>
      </c>
      <c r="OC343" s="9" t="n">
        <v>0</v>
      </c>
      <c r="OE343" s="9" t="n">
        <v>0</v>
      </c>
      <c r="OF343" s="9" t="n">
        <v>1680.5</v>
      </c>
      <c r="OJ343" s="10" t="n">
        <v>46314</v>
      </c>
      <c r="OL343" s="9" t="n">
        <v>0</v>
      </c>
      <c r="ON343" s="9" t="n">
        <v>0</v>
      </c>
      <c r="OO343" s="9" t="n">
        <v>0</v>
      </c>
      <c r="OS343" s="10" t="n">
        <v>46314</v>
      </c>
      <c r="OU343" s="9" t="n">
        <v>0</v>
      </c>
      <c r="OW343" s="9" t="n">
        <v>0</v>
      </c>
      <c r="OX343" s="9" t="n">
        <v>1482</v>
      </c>
      <c r="PB343" s="10" t="n">
        <v>46314</v>
      </c>
      <c r="PD343" s="9" t="n">
        <v>0</v>
      </c>
      <c r="PF343" s="9" t="n">
        <v>0</v>
      </c>
      <c r="PG343" s="9" t="n">
        <v>0</v>
      </c>
      <c r="PK343" s="10" t="n">
        <v>46314</v>
      </c>
      <c r="PM343" s="9" t="n">
        <v>0</v>
      </c>
      <c r="PO343" s="9" t="n">
        <v>0</v>
      </c>
      <c r="PP343" s="9" t="n">
        <v>100</v>
      </c>
      <c r="PT343" s="10" t="n">
        <v>46314</v>
      </c>
      <c r="PV343" s="9" t="n">
        <v>0</v>
      </c>
      <c r="PX343" s="9" t="n">
        <v>0</v>
      </c>
      <c r="PY343" s="9" t="n">
        <v>13.96000000000004</v>
      </c>
      <c r="QC343" s="10" t="n">
        <v>46314</v>
      </c>
      <c r="QE343" s="9" t="n">
        <v>0</v>
      </c>
      <c r="QG343" s="9" t="n">
        <v>0</v>
      </c>
      <c r="QH343" s="9" t="n">
        <v>548</v>
      </c>
      <c r="QL343" s="10" t="n">
        <v>46314</v>
      </c>
      <c r="QN343" s="9" t="n">
        <v>0</v>
      </c>
      <c r="QP343" s="9" t="n">
        <v>0</v>
      </c>
      <c r="QQ343" s="9" t="n">
        <v>0</v>
      </c>
      <c r="QU343" s="10" t="n">
        <v>46314</v>
      </c>
      <c r="QW343" s="9" t="n">
        <v>0</v>
      </c>
      <c r="QY343" s="9" t="n">
        <v>0</v>
      </c>
      <c r="QZ343" s="9" t="n">
        <v>0</v>
      </c>
      <c r="RD343" s="10" t="n">
        <v>46314</v>
      </c>
      <c r="RF343" s="9" t="n">
        <v>0</v>
      </c>
      <c r="RH343" s="9" t="n">
        <v>0</v>
      </c>
      <c r="RI343" s="9" t="n">
        <v>147.04</v>
      </c>
      <c r="RM343" s="10" t="n">
        <v>46314</v>
      </c>
      <c r="RO343" s="9" t="n">
        <v>0</v>
      </c>
      <c r="RQ343" s="9" t="n">
        <v>0</v>
      </c>
      <c r="RR343" s="9" t="n">
        <v>46.8</v>
      </c>
      <c r="RV343" s="10" t="n">
        <v>46314</v>
      </c>
      <c r="RX343" s="9" t="n">
        <v>0</v>
      </c>
      <c r="RZ343" s="9" t="n">
        <v>0</v>
      </c>
      <c r="SA343" s="9" t="n">
        <v>0</v>
      </c>
      <c r="SE343" s="10" t="n">
        <v>46314</v>
      </c>
      <c r="SG343" s="9" t="n">
        <v>0</v>
      </c>
      <c r="SI343" s="9" t="n">
        <v>0</v>
      </c>
      <c r="SJ343" s="9" t="n">
        <v>24.2</v>
      </c>
      <c r="SN343" s="10" t="n">
        <v>46314</v>
      </c>
      <c r="SP343" s="9" t="n">
        <v>0</v>
      </c>
      <c r="SR343" s="9" t="n">
        <v>0</v>
      </c>
      <c r="SS343" s="9" t="n">
        <v>32</v>
      </c>
      <c r="SW343" s="10" t="n">
        <v>46314</v>
      </c>
      <c r="SY343" s="9" t="n">
        <v>0</v>
      </c>
      <c r="TA343" s="9" t="n">
        <v>0</v>
      </c>
      <c r="TB343" s="9" t="n">
        <v>0</v>
      </c>
      <c r="TF343" s="10" t="n">
        <v>46314</v>
      </c>
      <c r="TH343" s="9" t="n">
        <v>0</v>
      </c>
      <c r="TJ343" s="9" t="n">
        <v>0</v>
      </c>
      <c r="TK343" s="9" t="n">
        <v>0</v>
      </c>
      <c r="TO343" s="10" t="n">
        <v>46314</v>
      </c>
      <c r="TQ343" s="9" t="n">
        <v>0</v>
      </c>
      <c r="TS343" s="9" t="n">
        <v>0</v>
      </c>
      <c r="TT343" s="9" t="n">
        <v>0</v>
      </c>
      <c r="TX343" s="10" t="n">
        <v>46314</v>
      </c>
      <c r="TZ343" s="9" t="n">
        <v>0</v>
      </c>
      <c r="UB343" s="9" t="n">
        <v>0</v>
      </c>
      <c r="UC343" s="9" t="n">
        <v>46.79999999999998</v>
      </c>
      <c r="UG343" s="10" t="n">
        <v>46314</v>
      </c>
      <c r="UI343" s="9" t="n">
        <v>0</v>
      </c>
      <c r="UK343" s="9" t="n">
        <v>0</v>
      </c>
      <c r="UL343" s="9" t="n">
        <v>204</v>
      </c>
      <c r="UP343" s="10" t="n">
        <v>46314</v>
      </c>
      <c r="UR343" s="9" t="n">
        <v>0</v>
      </c>
      <c r="UT343" s="9" t="n">
        <v>0</v>
      </c>
      <c r="UU343" s="9" t="n">
        <v>202.5</v>
      </c>
      <c r="UY343" s="10" t="n">
        <v>46314</v>
      </c>
      <c r="VA343" s="9" t="n">
        <v>0</v>
      </c>
      <c r="VC343" s="9" t="n">
        <v>0</v>
      </c>
      <c r="VD343" s="9" t="n">
        <v>41.60000000000002</v>
      </c>
      <c r="VH343" s="10" t="n">
        <v>46314</v>
      </c>
      <c r="VJ343" s="9" t="n">
        <v>0</v>
      </c>
      <c r="VL343" s="9" t="n">
        <v>0</v>
      </c>
      <c r="VM343" s="9" t="n">
        <v>210</v>
      </c>
      <c r="VQ343" s="10" t="n">
        <v>46314</v>
      </c>
      <c r="VS343" s="9" t="n">
        <v>0</v>
      </c>
      <c r="VU343" s="9" t="n">
        <v>0</v>
      </c>
      <c r="VV343" s="9" t="n">
        <v>0</v>
      </c>
      <c r="VZ343" s="10" t="n">
        <v>46314</v>
      </c>
      <c r="WB343" s="9" t="n">
        <v>0</v>
      </c>
      <c r="WD343" s="9" t="n">
        <v>0</v>
      </c>
      <c r="WE343" s="9" t="n">
        <v>0</v>
      </c>
      <c r="WI343" s="10" t="n">
        <v>46314</v>
      </c>
      <c r="WK343" s="9" t="n">
        <v>0</v>
      </c>
      <c r="WM343" s="9" t="n">
        <v>0</v>
      </c>
      <c r="WN343" s="9" t="n">
        <v>1057</v>
      </c>
      <c r="WR343" s="10" t="n">
        <v>46314</v>
      </c>
      <c r="WT343" s="9" t="n">
        <v>0</v>
      </c>
      <c r="WV343" s="9" t="n">
        <v>0</v>
      </c>
      <c r="WW343" s="9" t="n">
        <v>0</v>
      </c>
      <c r="XA343" s="10" t="n">
        <v>46314</v>
      </c>
      <c r="XC343" s="9" t="n">
        <v>0</v>
      </c>
      <c r="XE343" s="9" t="n">
        <v>0</v>
      </c>
      <c r="XF343" s="9" t="n">
        <v>7507</v>
      </c>
      <c r="XJ343" s="10" t="n">
        <v>46314</v>
      </c>
      <c r="XL343" s="9" t="n">
        <v>0</v>
      </c>
      <c r="XN343" s="9" t="n">
        <v>0</v>
      </c>
      <c r="XO343" s="9" t="n">
        <v>4252</v>
      </c>
      <c r="XS343" s="10" t="n">
        <v>46314</v>
      </c>
      <c r="XU343" s="9" t="n">
        <v>0</v>
      </c>
      <c r="XW343" s="9" t="n">
        <v>0</v>
      </c>
      <c r="XX343" s="9" t="n">
        <v>2179</v>
      </c>
      <c r="YB343" s="10" t="n">
        <v>46314</v>
      </c>
      <c r="YD343" s="9" t="n">
        <v>0</v>
      </c>
      <c r="YF343" s="9" t="n">
        <v>0</v>
      </c>
      <c r="YG343" s="9" t="n">
        <v>4019</v>
      </c>
      <c r="YK343" s="10" t="n">
        <v>46314</v>
      </c>
      <c r="YM343" s="9" t="n">
        <v>0</v>
      </c>
      <c r="YO343" s="9" t="n">
        <v>0</v>
      </c>
      <c r="YP343" s="9" t="n">
        <v>-218</v>
      </c>
      <c r="YT343" s="10" t="n">
        <v>46314</v>
      </c>
      <c r="YV343" s="9" t="n">
        <v>0</v>
      </c>
      <c r="YX343" s="9" t="n">
        <v>0</v>
      </c>
      <c r="YY343" s="9" t="n">
        <v>0</v>
      </c>
      <c r="ZC343" s="10" t="n">
        <v>46314</v>
      </c>
      <c r="ZE343" s="9" t="n">
        <v>0</v>
      </c>
      <c r="ZG343" s="9" t="n">
        <v>0</v>
      </c>
      <c r="ZH343" s="9" t="n">
        <v>0</v>
      </c>
      <c r="ZL343" s="10" t="n">
        <v>46314</v>
      </c>
      <c r="ZN343" s="9" t="n">
        <v>0</v>
      </c>
      <c r="ZP343" s="9" t="n">
        <v>0</v>
      </c>
      <c r="ZQ343" s="9" t="n">
        <v>0</v>
      </c>
      <c r="ZU343" s="10" t="n">
        <v>46314</v>
      </c>
      <c r="ZW343" s="9" t="n">
        <v>0</v>
      </c>
      <c r="ZY343" s="9" t="n">
        <v>0</v>
      </c>
      <c r="ZZ343" s="9" t="n">
        <v>0</v>
      </c>
      <c r="AAD343" s="10" t="n">
        <v>46314</v>
      </c>
      <c r="AAF343" s="9" t="n">
        <v>0</v>
      </c>
      <c r="AAH343" s="9" t="n">
        <v>0</v>
      </c>
      <c r="AAI343" s="9" t="n">
        <v>0</v>
      </c>
      <c r="AAM343" s="10" t="n">
        <v>46314</v>
      </c>
      <c r="AAO343" s="9" t="n">
        <v>0</v>
      </c>
      <c r="AAQ343" s="9" t="n">
        <v>0</v>
      </c>
      <c r="AAR343" s="9" t="n">
        <v>0</v>
      </c>
      <c r="AAV343" s="10" t="n">
        <v>46314</v>
      </c>
      <c r="AAX343" s="9" t="n">
        <v>0</v>
      </c>
      <c r="AAZ343" s="9" t="n">
        <v>0</v>
      </c>
      <c r="ABA343" s="9" t="n">
        <v>0</v>
      </c>
      <c r="ABE343" s="10" t="n">
        <v>46314</v>
      </c>
      <c r="ABG343" s="9" t="n">
        <v>0</v>
      </c>
      <c r="ABI343" s="9" t="n">
        <v>0</v>
      </c>
      <c r="ABJ343" s="9" t="n">
        <v>0</v>
      </c>
    </row>
    <row r="344">
      <c r="C344" s="10" t="n">
        <v>46315</v>
      </c>
      <c r="E344" s="9" t="n">
        <v>0</v>
      </c>
      <c r="G344" s="9" t="n">
        <v>0</v>
      </c>
      <c r="H344" s="9" t="n">
        <v>236936.6</v>
      </c>
      <c r="L344" s="10" t="n">
        <v>46315</v>
      </c>
      <c r="N344" s="9" t="n">
        <v>0</v>
      </c>
      <c r="P344" s="9" t="n">
        <v>0</v>
      </c>
      <c r="Q344" s="9" t="n">
        <v>53017.60000000007</v>
      </c>
      <c r="U344" s="10" t="n">
        <v>46315</v>
      </c>
      <c r="W344" s="9" t="n">
        <v>0</v>
      </c>
      <c r="Y344" s="9" t="n">
        <v>0</v>
      </c>
      <c r="Z344" s="9" t="n">
        <v>42674.19999999997</v>
      </c>
      <c r="AD344" s="10" t="n">
        <v>46315</v>
      </c>
      <c r="AF344" s="9" t="n">
        <v>0</v>
      </c>
      <c r="AH344" s="9" t="n">
        <v>0</v>
      </c>
      <c r="AI344" s="9" t="n">
        <v>4522.200000000019</v>
      </c>
      <c r="AM344" s="10" t="n">
        <v>46315</v>
      </c>
      <c r="AO344" s="9" t="n">
        <v>0</v>
      </c>
      <c r="AQ344" s="9" t="n">
        <v>0</v>
      </c>
      <c r="AR344" s="9" t="n">
        <v>0</v>
      </c>
      <c r="AV344" s="10" t="n">
        <v>46315</v>
      </c>
      <c r="AX344" s="9" t="n">
        <v>0</v>
      </c>
      <c r="AZ344" s="9" t="n">
        <v>0</v>
      </c>
      <c r="BA344" s="9" t="n">
        <v>124.9999999999952</v>
      </c>
      <c r="BE344" s="10" t="n">
        <v>46315</v>
      </c>
      <c r="BG344" s="9" t="n">
        <v>0</v>
      </c>
      <c r="BI344" s="9" t="n">
        <v>0</v>
      </c>
      <c r="BJ344" s="9" t="n">
        <v>26151.9</v>
      </c>
      <c r="BN344" s="10" t="n">
        <v>46315</v>
      </c>
      <c r="BP344" s="9" t="n">
        <v>0</v>
      </c>
      <c r="BR344" s="9" t="n">
        <v>0</v>
      </c>
      <c r="BS344" s="9" t="n">
        <v>0</v>
      </c>
      <c r="BW344" s="10" t="n">
        <v>46315</v>
      </c>
      <c r="BY344" s="9" t="n">
        <v>0</v>
      </c>
      <c r="CA344" s="9" t="n">
        <v>0</v>
      </c>
      <c r="CB344" s="9" t="n">
        <v>2097.339999999999</v>
      </c>
      <c r="CF344" s="10" t="n">
        <v>46315</v>
      </c>
      <c r="CH344" s="9" t="n">
        <v>0</v>
      </c>
      <c r="CJ344" s="9" t="n">
        <v>0</v>
      </c>
      <c r="CK344" s="9" t="n">
        <v>-10277.08</v>
      </c>
      <c r="CO344" s="10" t="n">
        <v>46315</v>
      </c>
      <c r="CQ344" s="9" t="n">
        <v>0</v>
      </c>
      <c r="CS344" s="9" t="n">
        <v>0</v>
      </c>
      <c r="CT344" s="9" t="n">
        <v>0</v>
      </c>
      <c r="CX344" s="10" t="n">
        <v>46315</v>
      </c>
      <c r="CZ344" s="9" t="n">
        <v>0</v>
      </c>
      <c r="DB344" s="9" t="n">
        <v>0</v>
      </c>
      <c r="DC344" s="9" t="n">
        <v>27438.20000000001</v>
      </c>
      <c r="DG344" s="10" t="n">
        <v>46315</v>
      </c>
      <c r="DI344" s="9" t="n">
        <v>0</v>
      </c>
      <c r="DK344" s="9" t="n">
        <v>0</v>
      </c>
      <c r="DL344" s="9" t="n">
        <v>18782.29999999998</v>
      </c>
      <c r="DP344" s="10" t="n">
        <v>46315</v>
      </c>
      <c r="DR344" s="9" t="n">
        <v>0</v>
      </c>
      <c r="DT344" s="9" t="n">
        <v>0</v>
      </c>
      <c r="DU344" s="9" t="n">
        <v>5800</v>
      </c>
      <c r="DY344" s="10" t="n">
        <v>46315</v>
      </c>
      <c r="EA344" s="9" t="n">
        <v>0</v>
      </c>
      <c r="EC344" s="9" t="n">
        <v>0</v>
      </c>
      <c r="ED344" s="9" t="n">
        <v>0</v>
      </c>
      <c r="EH344" s="10" t="n">
        <v>46315</v>
      </c>
      <c r="EJ344" s="9" t="n">
        <v>0</v>
      </c>
      <c r="EL344" s="9" t="n">
        <v>0</v>
      </c>
      <c r="EM344" s="9" t="n">
        <v>0</v>
      </c>
      <c r="EQ344" s="10" t="n">
        <v>46315</v>
      </c>
      <c r="ES344" s="9" t="n">
        <v>0</v>
      </c>
      <c r="EU344" s="9" t="n">
        <v>0</v>
      </c>
      <c r="EV344" s="9" t="n">
        <v>0</v>
      </c>
      <c r="EZ344" s="10" t="n">
        <v>46315</v>
      </c>
      <c r="FB344" s="9" t="n">
        <v>0</v>
      </c>
      <c r="FD344" s="9" t="n">
        <v>0</v>
      </c>
      <c r="FE344" s="9" t="n">
        <v>0</v>
      </c>
      <c r="FI344" s="10" t="n">
        <v>46315</v>
      </c>
      <c r="FK344" s="9" t="n">
        <v>0</v>
      </c>
      <c r="FM344" s="9" t="n">
        <v>0</v>
      </c>
      <c r="FN344" s="9" t="n">
        <v>0</v>
      </c>
      <c r="FR344" s="10" t="n">
        <v>46315</v>
      </c>
      <c r="FT344" s="9" t="n">
        <v>0</v>
      </c>
      <c r="FV344" s="9" t="n">
        <v>0</v>
      </c>
      <c r="FW344" s="9" t="n">
        <v>2020</v>
      </c>
      <c r="GA344" s="10" t="n">
        <v>46315</v>
      </c>
      <c r="GC344" s="9" t="n">
        <v>0</v>
      </c>
      <c r="GE344" s="9" t="n">
        <v>0</v>
      </c>
      <c r="GF344" s="9" t="n">
        <v>960</v>
      </c>
      <c r="GJ344" s="10" t="n">
        <v>46315</v>
      </c>
      <c r="GL344" s="9" t="n">
        <v>0</v>
      </c>
      <c r="GN344" s="9" t="n">
        <v>0</v>
      </c>
      <c r="GO344" s="9" t="n">
        <v>1760</v>
      </c>
      <c r="GS344" s="10" t="n">
        <v>46315</v>
      </c>
      <c r="GU344" s="9" t="n">
        <v>0</v>
      </c>
      <c r="GW344" s="9" t="n">
        <v>0</v>
      </c>
      <c r="GX344" s="9" t="n">
        <v>400</v>
      </c>
      <c r="HB344" s="10" t="n">
        <v>46315</v>
      </c>
      <c r="HD344" s="9" t="n">
        <v>0</v>
      </c>
      <c r="HF344" s="9" t="n">
        <v>0</v>
      </c>
      <c r="HG344" s="9" t="n">
        <v>3600</v>
      </c>
      <c r="HK344" s="10" t="n">
        <v>46315</v>
      </c>
      <c r="HM344" s="9" t="n">
        <v>0</v>
      </c>
      <c r="HO344" s="9" t="n">
        <v>0</v>
      </c>
      <c r="HP344" s="9" t="n">
        <v>0</v>
      </c>
      <c r="HU344" s="10" t="n">
        <v>46315</v>
      </c>
      <c r="HW344" s="9" t="n">
        <v>0</v>
      </c>
      <c r="HY344" s="9" t="n">
        <v>0</v>
      </c>
      <c r="HZ344" s="9" t="n">
        <v>6120</v>
      </c>
      <c r="ID344" s="10" t="n">
        <v>46315</v>
      </c>
      <c r="IF344" s="9" t="n">
        <v>0</v>
      </c>
      <c r="IH344" s="9" t="n">
        <v>0</v>
      </c>
      <c r="II344" s="9" t="n">
        <v>0</v>
      </c>
      <c r="IM344" s="10" t="n">
        <v>46315</v>
      </c>
      <c r="IO344" s="9" t="n">
        <v>0</v>
      </c>
      <c r="IQ344" s="9" t="n">
        <v>0</v>
      </c>
      <c r="IR344" s="9" t="n">
        <v>0</v>
      </c>
      <c r="IV344" s="10" t="n">
        <v>46315</v>
      </c>
      <c r="IX344" s="9" t="n">
        <v>0</v>
      </c>
      <c r="IZ344" s="9" t="n">
        <v>0</v>
      </c>
      <c r="JA344" s="9" t="n">
        <v>2820</v>
      </c>
      <c r="JE344" s="10" t="n">
        <v>46315</v>
      </c>
      <c r="JG344" s="9" t="n">
        <v>0</v>
      </c>
      <c r="JI344" s="9" t="n">
        <v>0</v>
      </c>
      <c r="JJ344" s="9" t="n">
        <v>0</v>
      </c>
      <c r="JN344" s="10" t="n">
        <v>46315</v>
      </c>
      <c r="JP344" s="9" t="n">
        <v>0</v>
      </c>
      <c r="JR344" s="9" t="n">
        <v>0</v>
      </c>
      <c r="JS344" s="9" t="n">
        <v>0</v>
      </c>
      <c r="JW344" s="10" t="n">
        <v>46315</v>
      </c>
      <c r="JY344" s="9" t="n">
        <v>0</v>
      </c>
      <c r="KA344" s="9" t="n">
        <v>0</v>
      </c>
      <c r="KB344" s="9" t="n">
        <v>2540</v>
      </c>
      <c r="KF344" s="10" t="n">
        <v>46315</v>
      </c>
      <c r="KH344" s="9" t="n">
        <v>0</v>
      </c>
      <c r="KJ344" s="9" t="n">
        <v>0</v>
      </c>
      <c r="KK344" s="9" t="n">
        <v>2359.5</v>
      </c>
      <c r="KO344" s="10" t="n">
        <v>46315</v>
      </c>
      <c r="KQ344" s="9" t="n">
        <v>0</v>
      </c>
      <c r="KS344" s="9" t="n">
        <v>0</v>
      </c>
      <c r="KT344" s="9" t="n">
        <v>1890</v>
      </c>
      <c r="KX344" s="10" t="n">
        <v>46315</v>
      </c>
      <c r="KZ344" s="9" t="n">
        <v>0</v>
      </c>
      <c r="LB344" s="9" t="n">
        <v>0</v>
      </c>
      <c r="LC344" s="9" t="n">
        <v>3690</v>
      </c>
      <c r="LG344" s="10" t="n">
        <v>46315</v>
      </c>
      <c r="LI344" s="9" t="n">
        <v>0</v>
      </c>
      <c r="LK344" s="9" t="n">
        <v>0</v>
      </c>
      <c r="LL344" s="9" t="n">
        <v>4000</v>
      </c>
      <c r="LP344" s="10" t="n">
        <v>46315</v>
      </c>
      <c r="LR344" s="9" t="n">
        <v>0</v>
      </c>
      <c r="LT344" s="9" t="n">
        <v>0</v>
      </c>
      <c r="LU344" s="9" t="n">
        <v>0</v>
      </c>
      <c r="LY344" s="10" t="n">
        <v>46315</v>
      </c>
      <c r="MA344" s="9" t="n">
        <v>0</v>
      </c>
      <c r="MC344" s="9" t="n">
        <v>0</v>
      </c>
      <c r="MD344" s="9" t="n">
        <v>0</v>
      </c>
      <c r="MH344" s="10" t="n">
        <v>46315</v>
      </c>
      <c r="MJ344" s="9" t="n">
        <v>0</v>
      </c>
      <c r="ML344" s="9" t="n">
        <v>0</v>
      </c>
      <c r="MM344" s="9" t="n">
        <v>0</v>
      </c>
      <c r="MQ344" s="10" t="n">
        <v>46315</v>
      </c>
      <c r="MS344" s="9" t="n">
        <v>0</v>
      </c>
      <c r="MU344" s="9" t="n">
        <v>0</v>
      </c>
      <c r="MV344" s="9" t="n">
        <v>1625</v>
      </c>
      <c r="MZ344" s="10" t="n">
        <v>46315</v>
      </c>
      <c r="NB344" s="9" t="n">
        <v>0</v>
      </c>
      <c r="ND344" s="9" t="n">
        <v>0</v>
      </c>
      <c r="NE344" s="9" t="n">
        <v>0</v>
      </c>
      <c r="NI344" s="10" t="n">
        <v>46315</v>
      </c>
      <c r="NK344" s="9" t="n">
        <v>0</v>
      </c>
      <c r="NM344" s="9" t="n">
        <v>0</v>
      </c>
      <c r="NN344" s="9" t="n">
        <v>1127</v>
      </c>
      <c r="NR344" s="10" t="n">
        <v>46315</v>
      </c>
      <c r="NT344" s="9" t="n">
        <v>0</v>
      </c>
      <c r="NV344" s="9" t="n">
        <v>0</v>
      </c>
      <c r="NW344" s="9" t="n">
        <v>3112</v>
      </c>
      <c r="OA344" s="10" t="n">
        <v>46315</v>
      </c>
      <c r="OC344" s="9" t="n">
        <v>0</v>
      </c>
      <c r="OE344" s="9" t="n">
        <v>0</v>
      </c>
      <c r="OF344" s="9" t="n">
        <v>1680.5</v>
      </c>
      <c r="OJ344" s="10" t="n">
        <v>46315</v>
      </c>
      <c r="OL344" s="9" t="n">
        <v>0</v>
      </c>
      <c r="ON344" s="9" t="n">
        <v>0</v>
      </c>
      <c r="OO344" s="9" t="n">
        <v>0</v>
      </c>
      <c r="OS344" s="10" t="n">
        <v>46315</v>
      </c>
      <c r="OU344" s="9" t="n">
        <v>0</v>
      </c>
      <c r="OW344" s="9" t="n">
        <v>0</v>
      </c>
      <c r="OX344" s="9" t="n">
        <v>1482</v>
      </c>
      <c r="PB344" s="10" t="n">
        <v>46315</v>
      </c>
      <c r="PD344" s="9" t="n">
        <v>0</v>
      </c>
      <c r="PF344" s="9" t="n">
        <v>0</v>
      </c>
      <c r="PG344" s="9" t="n">
        <v>0</v>
      </c>
      <c r="PK344" s="10" t="n">
        <v>46315</v>
      </c>
      <c r="PM344" s="9" t="n">
        <v>0</v>
      </c>
      <c r="PO344" s="9" t="n">
        <v>0</v>
      </c>
      <c r="PP344" s="9" t="n">
        <v>100</v>
      </c>
      <c r="PT344" s="10" t="n">
        <v>46315</v>
      </c>
      <c r="PV344" s="9" t="n">
        <v>0</v>
      </c>
      <c r="PX344" s="9" t="n">
        <v>0</v>
      </c>
      <c r="PY344" s="9" t="n">
        <v>13.96000000000004</v>
      </c>
      <c r="QC344" s="10" t="n">
        <v>46315</v>
      </c>
      <c r="QE344" s="9" t="n">
        <v>0</v>
      </c>
      <c r="QG344" s="9" t="n">
        <v>0</v>
      </c>
      <c r="QH344" s="9" t="n">
        <v>548</v>
      </c>
      <c r="QL344" s="10" t="n">
        <v>46315</v>
      </c>
      <c r="QN344" s="9" t="n">
        <v>0</v>
      </c>
      <c r="QP344" s="9" t="n">
        <v>0</v>
      </c>
      <c r="QQ344" s="9" t="n">
        <v>0</v>
      </c>
      <c r="QU344" s="10" t="n">
        <v>46315</v>
      </c>
      <c r="QW344" s="9" t="n">
        <v>0</v>
      </c>
      <c r="QY344" s="9" t="n">
        <v>0</v>
      </c>
      <c r="QZ344" s="9" t="n">
        <v>0</v>
      </c>
      <c r="RD344" s="10" t="n">
        <v>46315</v>
      </c>
      <c r="RF344" s="9" t="n">
        <v>0</v>
      </c>
      <c r="RH344" s="9" t="n">
        <v>0</v>
      </c>
      <c r="RI344" s="9" t="n">
        <v>147.04</v>
      </c>
      <c r="RM344" s="10" t="n">
        <v>46315</v>
      </c>
      <c r="RO344" s="9" t="n">
        <v>0</v>
      </c>
      <c r="RQ344" s="9" t="n">
        <v>0</v>
      </c>
      <c r="RR344" s="9" t="n">
        <v>46.8</v>
      </c>
      <c r="RV344" s="10" t="n">
        <v>46315</v>
      </c>
      <c r="RX344" s="9" t="n">
        <v>0</v>
      </c>
      <c r="RZ344" s="9" t="n">
        <v>0</v>
      </c>
      <c r="SA344" s="9" t="n">
        <v>0</v>
      </c>
      <c r="SE344" s="10" t="n">
        <v>46315</v>
      </c>
      <c r="SG344" s="9" t="n">
        <v>0</v>
      </c>
      <c r="SI344" s="9" t="n">
        <v>0</v>
      </c>
      <c r="SJ344" s="9" t="n">
        <v>24.2</v>
      </c>
      <c r="SN344" s="10" t="n">
        <v>46315</v>
      </c>
      <c r="SP344" s="9" t="n">
        <v>0</v>
      </c>
      <c r="SR344" s="9" t="n">
        <v>0</v>
      </c>
      <c r="SS344" s="9" t="n">
        <v>32</v>
      </c>
      <c r="SW344" s="10" t="n">
        <v>46315</v>
      </c>
      <c r="SY344" s="9" t="n">
        <v>0</v>
      </c>
      <c r="TA344" s="9" t="n">
        <v>0</v>
      </c>
      <c r="TB344" s="9" t="n">
        <v>0</v>
      </c>
      <c r="TF344" s="10" t="n">
        <v>46315</v>
      </c>
      <c r="TH344" s="9" t="n">
        <v>0</v>
      </c>
      <c r="TJ344" s="9" t="n">
        <v>0</v>
      </c>
      <c r="TK344" s="9" t="n">
        <v>0</v>
      </c>
      <c r="TO344" s="10" t="n">
        <v>46315</v>
      </c>
      <c r="TQ344" s="9" t="n">
        <v>0</v>
      </c>
      <c r="TS344" s="9" t="n">
        <v>0</v>
      </c>
      <c r="TT344" s="9" t="n">
        <v>0</v>
      </c>
      <c r="TX344" s="10" t="n">
        <v>46315</v>
      </c>
      <c r="TZ344" s="9" t="n">
        <v>0</v>
      </c>
      <c r="UB344" s="9" t="n">
        <v>0</v>
      </c>
      <c r="UC344" s="9" t="n">
        <v>46.79999999999998</v>
      </c>
      <c r="UG344" s="10" t="n">
        <v>46315</v>
      </c>
      <c r="UI344" s="9" t="n">
        <v>0</v>
      </c>
      <c r="UK344" s="9" t="n">
        <v>0</v>
      </c>
      <c r="UL344" s="9" t="n">
        <v>204</v>
      </c>
      <c r="UP344" s="10" t="n">
        <v>46315</v>
      </c>
      <c r="UR344" s="9" t="n">
        <v>0</v>
      </c>
      <c r="UT344" s="9" t="n">
        <v>0</v>
      </c>
      <c r="UU344" s="9" t="n">
        <v>202.5</v>
      </c>
      <c r="UY344" s="10" t="n">
        <v>46315</v>
      </c>
      <c r="VA344" s="9" t="n">
        <v>0</v>
      </c>
      <c r="VC344" s="9" t="n">
        <v>0</v>
      </c>
      <c r="VD344" s="9" t="n">
        <v>41.60000000000002</v>
      </c>
      <c r="VH344" s="10" t="n">
        <v>46315</v>
      </c>
      <c r="VJ344" s="9" t="n">
        <v>0</v>
      </c>
      <c r="VL344" s="9" t="n">
        <v>0</v>
      </c>
      <c r="VM344" s="9" t="n">
        <v>210</v>
      </c>
      <c r="VQ344" s="10" t="n">
        <v>46315</v>
      </c>
      <c r="VS344" s="9" t="n">
        <v>0</v>
      </c>
      <c r="VU344" s="9" t="n">
        <v>0</v>
      </c>
      <c r="VV344" s="9" t="n">
        <v>0</v>
      </c>
      <c r="VZ344" s="10" t="n">
        <v>46315</v>
      </c>
      <c r="WB344" s="9" t="n">
        <v>0</v>
      </c>
      <c r="WD344" s="9" t="n">
        <v>0</v>
      </c>
      <c r="WE344" s="9" t="n">
        <v>0</v>
      </c>
      <c r="WI344" s="10" t="n">
        <v>46315</v>
      </c>
      <c r="WK344" s="9" t="n">
        <v>0</v>
      </c>
      <c r="WM344" s="9" t="n">
        <v>0</v>
      </c>
      <c r="WN344" s="9" t="n">
        <v>1057</v>
      </c>
      <c r="WR344" s="10" t="n">
        <v>46315</v>
      </c>
      <c r="WT344" s="9" t="n">
        <v>0</v>
      </c>
      <c r="WV344" s="9" t="n">
        <v>0</v>
      </c>
      <c r="WW344" s="9" t="n">
        <v>0</v>
      </c>
      <c r="XA344" s="10" t="n">
        <v>46315</v>
      </c>
      <c r="XC344" s="9" t="n">
        <v>0</v>
      </c>
      <c r="XE344" s="9" t="n">
        <v>0</v>
      </c>
      <c r="XF344" s="9" t="n">
        <v>7507</v>
      </c>
      <c r="XJ344" s="10" t="n">
        <v>46315</v>
      </c>
      <c r="XL344" s="9" t="n">
        <v>0</v>
      </c>
      <c r="XN344" s="9" t="n">
        <v>0</v>
      </c>
      <c r="XO344" s="9" t="n">
        <v>4252</v>
      </c>
      <c r="XS344" s="10" t="n">
        <v>46315</v>
      </c>
      <c r="XU344" s="9" t="n">
        <v>0</v>
      </c>
      <c r="XW344" s="9" t="n">
        <v>0</v>
      </c>
      <c r="XX344" s="9" t="n">
        <v>2179</v>
      </c>
      <c r="YB344" s="10" t="n">
        <v>46315</v>
      </c>
      <c r="YD344" s="9" t="n">
        <v>0</v>
      </c>
      <c r="YF344" s="9" t="n">
        <v>0</v>
      </c>
      <c r="YG344" s="9" t="n">
        <v>4019</v>
      </c>
      <c r="YK344" s="10" t="n">
        <v>46315</v>
      </c>
      <c r="YM344" s="9" t="n">
        <v>0</v>
      </c>
      <c r="YO344" s="9" t="n">
        <v>0</v>
      </c>
      <c r="YP344" s="9" t="n">
        <v>-218</v>
      </c>
      <c r="YT344" s="10" t="n">
        <v>46315</v>
      </c>
      <c r="YV344" s="9" t="n">
        <v>0</v>
      </c>
      <c r="YX344" s="9" t="n">
        <v>0</v>
      </c>
      <c r="YY344" s="9" t="n">
        <v>0</v>
      </c>
      <c r="ZC344" s="10" t="n">
        <v>46315</v>
      </c>
      <c r="ZE344" s="9" t="n">
        <v>0</v>
      </c>
      <c r="ZG344" s="9" t="n">
        <v>0</v>
      </c>
      <c r="ZH344" s="9" t="n">
        <v>0</v>
      </c>
      <c r="ZL344" s="10" t="n">
        <v>46315</v>
      </c>
      <c r="ZN344" s="9" t="n">
        <v>0</v>
      </c>
      <c r="ZP344" s="9" t="n">
        <v>0</v>
      </c>
      <c r="ZQ344" s="9" t="n">
        <v>0</v>
      </c>
      <c r="ZU344" s="10" t="n">
        <v>46315</v>
      </c>
      <c r="ZW344" s="9" t="n">
        <v>0</v>
      </c>
      <c r="ZY344" s="9" t="n">
        <v>0</v>
      </c>
      <c r="ZZ344" s="9" t="n">
        <v>0</v>
      </c>
      <c r="AAD344" s="10" t="n">
        <v>46315</v>
      </c>
      <c r="AAF344" s="9" t="n">
        <v>0</v>
      </c>
      <c r="AAH344" s="9" t="n">
        <v>0</v>
      </c>
      <c r="AAI344" s="9" t="n">
        <v>0</v>
      </c>
      <c r="AAM344" s="10" t="n">
        <v>46315</v>
      </c>
      <c r="AAO344" s="9" t="n">
        <v>0</v>
      </c>
      <c r="AAQ344" s="9" t="n">
        <v>0</v>
      </c>
      <c r="AAR344" s="9" t="n">
        <v>0</v>
      </c>
      <c r="AAV344" s="10" t="n">
        <v>46315</v>
      </c>
      <c r="AAX344" s="9" t="n">
        <v>0</v>
      </c>
      <c r="AAZ344" s="9" t="n">
        <v>0</v>
      </c>
      <c r="ABA344" s="9" t="n">
        <v>0</v>
      </c>
      <c r="ABE344" s="10" t="n">
        <v>46315</v>
      </c>
      <c r="ABG344" s="9" t="n">
        <v>0</v>
      </c>
      <c r="ABI344" s="9" t="n">
        <v>0</v>
      </c>
      <c r="ABJ344" s="9" t="n">
        <v>0</v>
      </c>
    </row>
    <row r="345">
      <c r="C345" s="10" t="n">
        <v>46316</v>
      </c>
      <c r="E345" s="9" t="n">
        <v>0</v>
      </c>
      <c r="G345" s="9" t="n">
        <v>0</v>
      </c>
      <c r="H345" s="9" t="n">
        <v>236936.6</v>
      </c>
      <c r="L345" s="10" t="n">
        <v>46316</v>
      </c>
      <c r="N345" s="9" t="n">
        <v>0</v>
      </c>
      <c r="P345" s="9" t="n">
        <v>0</v>
      </c>
      <c r="Q345" s="9" t="n">
        <v>53017.60000000007</v>
      </c>
      <c r="U345" s="10" t="n">
        <v>46316</v>
      </c>
      <c r="W345" s="9" t="n">
        <v>0</v>
      </c>
      <c r="Y345" s="9" t="n">
        <v>0</v>
      </c>
      <c r="Z345" s="9" t="n">
        <v>42674.19999999997</v>
      </c>
      <c r="AD345" s="10" t="n">
        <v>46316</v>
      </c>
      <c r="AF345" s="9" t="n">
        <v>0</v>
      </c>
      <c r="AH345" s="9" t="n">
        <v>0</v>
      </c>
      <c r="AI345" s="9" t="n">
        <v>4522.200000000019</v>
      </c>
      <c r="AM345" s="10" t="n">
        <v>46316</v>
      </c>
      <c r="AO345" s="9" t="n">
        <v>0</v>
      </c>
      <c r="AQ345" s="9" t="n">
        <v>0</v>
      </c>
      <c r="AR345" s="9" t="n">
        <v>0</v>
      </c>
      <c r="AV345" s="10" t="n">
        <v>46316</v>
      </c>
      <c r="AX345" s="9" t="n">
        <v>0</v>
      </c>
      <c r="AZ345" s="9" t="n">
        <v>0</v>
      </c>
      <c r="BA345" s="9" t="n">
        <v>124.9999999999952</v>
      </c>
      <c r="BE345" s="10" t="n">
        <v>46316</v>
      </c>
      <c r="BG345" s="9" t="n">
        <v>0</v>
      </c>
      <c r="BI345" s="9" t="n">
        <v>0</v>
      </c>
      <c r="BJ345" s="9" t="n">
        <v>26151.9</v>
      </c>
      <c r="BN345" s="10" t="n">
        <v>46316</v>
      </c>
      <c r="BP345" s="9" t="n">
        <v>0</v>
      </c>
      <c r="BR345" s="9" t="n">
        <v>0</v>
      </c>
      <c r="BS345" s="9" t="n">
        <v>0</v>
      </c>
      <c r="BW345" s="10" t="n">
        <v>46316</v>
      </c>
      <c r="BY345" s="9" t="n">
        <v>0</v>
      </c>
      <c r="CA345" s="9" t="n">
        <v>0</v>
      </c>
      <c r="CB345" s="9" t="n">
        <v>2097.339999999999</v>
      </c>
      <c r="CF345" s="10" t="n">
        <v>46316</v>
      </c>
      <c r="CH345" s="9" t="n">
        <v>0</v>
      </c>
      <c r="CJ345" s="9" t="n">
        <v>0</v>
      </c>
      <c r="CK345" s="9" t="n">
        <v>-10277.08</v>
      </c>
      <c r="CO345" s="10" t="n">
        <v>46316</v>
      </c>
      <c r="CQ345" s="9" t="n">
        <v>0</v>
      </c>
      <c r="CS345" s="9" t="n">
        <v>0</v>
      </c>
      <c r="CT345" s="9" t="n">
        <v>0</v>
      </c>
      <c r="CX345" s="10" t="n">
        <v>46316</v>
      </c>
      <c r="CZ345" s="9" t="n">
        <v>0</v>
      </c>
      <c r="DB345" s="9" t="n">
        <v>0</v>
      </c>
      <c r="DC345" s="9" t="n">
        <v>27438.20000000001</v>
      </c>
      <c r="DG345" s="10" t="n">
        <v>46316</v>
      </c>
      <c r="DI345" s="9" t="n">
        <v>0</v>
      </c>
      <c r="DK345" s="9" t="n">
        <v>0</v>
      </c>
      <c r="DL345" s="9" t="n">
        <v>18782.29999999998</v>
      </c>
      <c r="DP345" s="10" t="n">
        <v>46316</v>
      </c>
      <c r="DR345" s="9" t="n">
        <v>0</v>
      </c>
      <c r="DT345" s="9" t="n">
        <v>0</v>
      </c>
      <c r="DU345" s="9" t="n">
        <v>5800</v>
      </c>
      <c r="DY345" s="10" t="n">
        <v>46316</v>
      </c>
      <c r="EA345" s="9" t="n">
        <v>0</v>
      </c>
      <c r="EC345" s="9" t="n">
        <v>0</v>
      </c>
      <c r="ED345" s="9" t="n">
        <v>0</v>
      </c>
      <c r="EH345" s="10" t="n">
        <v>46316</v>
      </c>
      <c r="EJ345" s="9" t="n">
        <v>0</v>
      </c>
      <c r="EL345" s="9" t="n">
        <v>0</v>
      </c>
      <c r="EM345" s="9" t="n">
        <v>0</v>
      </c>
      <c r="EQ345" s="10" t="n">
        <v>46316</v>
      </c>
      <c r="ES345" s="9" t="n">
        <v>0</v>
      </c>
      <c r="EU345" s="9" t="n">
        <v>0</v>
      </c>
      <c r="EV345" s="9" t="n">
        <v>0</v>
      </c>
      <c r="EZ345" s="10" t="n">
        <v>46316</v>
      </c>
      <c r="FB345" s="9" t="n">
        <v>0</v>
      </c>
      <c r="FD345" s="9" t="n">
        <v>0</v>
      </c>
      <c r="FE345" s="9" t="n">
        <v>0</v>
      </c>
      <c r="FI345" s="10" t="n">
        <v>46316</v>
      </c>
      <c r="FK345" s="9" t="n">
        <v>0</v>
      </c>
      <c r="FM345" s="9" t="n">
        <v>0</v>
      </c>
      <c r="FN345" s="9" t="n">
        <v>0</v>
      </c>
      <c r="FR345" s="10" t="n">
        <v>46316</v>
      </c>
      <c r="FT345" s="9" t="n">
        <v>0</v>
      </c>
      <c r="FV345" s="9" t="n">
        <v>0</v>
      </c>
      <c r="FW345" s="9" t="n">
        <v>2020</v>
      </c>
      <c r="GA345" s="10" t="n">
        <v>46316</v>
      </c>
      <c r="GC345" s="9" t="n">
        <v>0</v>
      </c>
      <c r="GE345" s="9" t="n">
        <v>0</v>
      </c>
      <c r="GF345" s="9" t="n">
        <v>960</v>
      </c>
      <c r="GJ345" s="10" t="n">
        <v>46316</v>
      </c>
      <c r="GL345" s="9" t="n">
        <v>0</v>
      </c>
      <c r="GN345" s="9" t="n">
        <v>0</v>
      </c>
      <c r="GO345" s="9" t="n">
        <v>1760</v>
      </c>
      <c r="GS345" s="10" t="n">
        <v>46316</v>
      </c>
      <c r="GU345" s="9" t="n">
        <v>0</v>
      </c>
      <c r="GW345" s="9" t="n">
        <v>0</v>
      </c>
      <c r="GX345" s="9" t="n">
        <v>400</v>
      </c>
      <c r="HB345" s="10" t="n">
        <v>46316</v>
      </c>
      <c r="HD345" s="9" t="n">
        <v>0</v>
      </c>
      <c r="HF345" s="9" t="n">
        <v>0</v>
      </c>
      <c r="HG345" s="9" t="n">
        <v>3600</v>
      </c>
      <c r="HK345" s="10" t="n">
        <v>46316</v>
      </c>
      <c r="HM345" s="9" t="n">
        <v>0</v>
      </c>
      <c r="HO345" s="9" t="n">
        <v>0</v>
      </c>
      <c r="HP345" s="9" t="n">
        <v>0</v>
      </c>
      <c r="HU345" s="10" t="n">
        <v>46316</v>
      </c>
      <c r="HW345" s="9" t="n">
        <v>0</v>
      </c>
      <c r="HY345" s="9" t="n">
        <v>0</v>
      </c>
      <c r="HZ345" s="9" t="n">
        <v>6120</v>
      </c>
      <c r="ID345" s="10" t="n">
        <v>46316</v>
      </c>
      <c r="IF345" s="9" t="n">
        <v>0</v>
      </c>
      <c r="IH345" s="9" t="n">
        <v>0</v>
      </c>
      <c r="II345" s="9" t="n">
        <v>0</v>
      </c>
      <c r="IM345" s="10" t="n">
        <v>46316</v>
      </c>
      <c r="IO345" s="9" t="n">
        <v>0</v>
      </c>
      <c r="IQ345" s="9" t="n">
        <v>0</v>
      </c>
      <c r="IR345" s="9" t="n">
        <v>0</v>
      </c>
      <c r="IV345" s="10" t="n">
        <v>46316</v>
      </c>
      <c r="IX345" s="9" t="n">
        <v>0</v>
      </c>
      <c r="IZ345" s="9" t="n">
        <v>0</v>
      </c>
      <c r="JA345" s="9" t="n">
        <v>2820</v>
      </c>
      <c r="JE345" s="10" t="n">
        <v>46316</v>
      </c>
      <c r="JG345" s="9" t="n">
        <v>0</v>
      </c>
      <c r="JI345" s="9" t="n">
        <v>0</v>
      </c>
      <c r="JJ345" s="9" t="n">
        <v>0</v>
      </c>
      <c r="JN345" s="10" t="n">
        <v>46316</v>
      </c>
      <c r="JP345" s="9" t="n">
        <v>0</v>
      </c>
      <c r="JR345" s="9" t="n">
        <v>0</v>
      </c>
      <c r="JS345" s="9" t="n">
        <v>0</v>
      </c>
      <c r="JW345" s="10" t="n">
        <v>46316</v>
      </c>
      <c r="JY345" s="9" t="n">
        <v>0</v>
      </c>
      <c r="KA345" s="9" t="n">
        <v>0</v>
      </c>
      <c r="KB345" s="9" t="n">
        <v>2540</v>
      </c>
      <c r="KF345" s="10" t="n">
        <v>46316</v>
      </c>
      <c r="KH345" s="9" t="n">
        <v>0</v>
      </c>
      <c r="KJ345" s="9" t="n">
        <v>0</v>
      </c>
      <c r="KK345" s="9" t="n">
        <v>2359.5</v>
      </c>
      <c r="KO345" s="10" t="n">
        <v>46316</v>
      </c>
      <c r="KQ345" s="9" t="n">
        <v>0</v>
      </c>
      <c r="KS345" s="9" t="n">
        <v>0</v>
      </c>
      <c r="KT345" s="9" t="n">
        <v>1890</v>
      </c>
      <c r="KX345" s="10" t="n">
        <v>46316</v>
      </c>
      <c r="KZ345" s="9" t="n">
        <v>0</v>
      </c>
      <c r="LB345" s="9" t="n">
        <v>0</v>
      </c>
      <c r="LC345" s="9" t="n">
        <v>3690</v>
      </c>
      <c r="LG345" s="10" t="n">
        <v>46316</v>
      </c>
      <c r="LI345" s="9" t="n">
        <v>0</v>
      </c>
      <c r="LK345" s="9" t="n">
        <v>0</v>
      </c>
      <c r="LL345" s="9" t="n">
        <v>4000</v>
      </c>
      <c r="LP345" s="10" t="n">
        <v>46316</v>
      </c>
      <c r="LR345" s="9" t="n">
        <v>0</v>
      </c>
      <c r="LT345" s="9" t="n">
        <v>0</v>
      </c>
      <c r="LU345" s="9" t="n">
        <v>0</v>
      </c>
      <c r="LY345" s="10" t="n">
        <v>46316</v>
      </c>
      <c r="MA345" s="9" t="n">
        <v>0</v>
      </c>
      <c r="MC345" s="9" t="n">
        <v>0</v>
      </c>
      <c r="MD345" s="9" t="n">
        <v>0</v>
      </c>
      <c r="MH345" s="10" t="n">
        <v>46316</v>
      </c>
      <c r="MJ345" s="9" t="n">
        <v>0</v>
      </c>
      <c r="ML345" s="9" t="n">
        <v>0</v>
      </c>
      <c r="MM345" s="9" t="n">
        <v>0</v>
      </c>
      <c r="MQ345" s="10" t="n">
        <v>46316</v>
      </c>
      <c r="MS345" s="9" t="n">
        <v>0</v>
      </c>
      <c r="MU345" s="9" t="n">
        <v>0</v>
      </c>
      <c r="MV345" s="9" t="n">
        <v>1625</v>
      </c>
      <c r="MZ345" s="10" t="n">
        <v>46316</v>
      </c>
      <c r="NB345" s="9" t="n">
        <v>0</v>
      </c>
      <c r="ND345" s="9" t="n">
        <v>0</v>
      </c>
      <c r="NE345" s="9" t="n">
        <v>0</v>
      </c>
      <c r="NI345" s="10" t="n">
        <v>46316</v>
      </c>
      <c r="NK345" s="9" t="n">
        <v>0</v>
      </c>
      <c r="NM345" s="9" t="n">
        <v>0</v>
      </c>
      <c r="NN345" s="9" t="n">
        <v>1127</v>
      </c>
      <c r="NR345" s="10" t="n">
        <v>46316</v>
      </c>
      <c r="NT345" s="9" t="n">
        <v>0</v>
      </c>
      <c r="NV345" s="9" t="n">
        <v>0</v>
      </c>
      <c r="NW345" s="9" t="n">
        <v>3112</v>
      </c>
      <c r="OA345" s="10" t="n">
        <v>46316</v>
      </c>
      <c r="OC345" s="9" t="n">
        <v>0</v>
      </c>
      <c r="OE345" s="9" t="n">
        <v>0</v>
      </c>
      <c r="OF345" s="9" t="n">
        <v>1680.5</v>
      </c>
      <c r="OJ345" s="10" t="n">
        <v>46316</v>
      </c>
      <c r="OL345" s="9" t="n">
        <v>0</v>
      </c>
      <c r="ON345" s="9" t="n">
        <v>0</v>
      </c>
      <c r="OO345" s="9" t="n">
        <v>0</v>
      </c>
      <c r="OS345" s="10" t="n">
        <v>46316</v>
      </c>
      <c r="OU345" s="9" t="n">
        <v>0</v>
      </c>
      <c r="OW345" s="9" t="n">
        <v>0</v>
      </c>
      <c r="OX345" s="9" t="n">
        <v>1482</v>
      </c>
      <c r="PB345" s="10" t="n">
        <v>46316</v>
      </c>
      <c r="PD345" s="9" t="n">
        <v>0</v>
      </c>
      <c r="PF345" s="9" t="n">
        <v>0</v>
      </c>
      <c r="PG345" s="9" t="n">
        <v>0</v>
      </c>
      <c r="PK345" s="10" t="n">
        <v>46316</v>
      </c>
      <c r="PM345" s="9" t="n">
        <v>0</v>
      </c>
      <c r="PO345" s="9" t="n">
        <v>0</v>
      </c>
      <c r="PP345" s="9" t="n">
        <v>100</v>
      </c>
      <c r="PT345" s="10" t="n">
        <v>46316</v>
      </c>
      <c r="PV345" s="9" t="n">
        <v>0</v>
      </c>
      <c r="PX345" s="9" t="n">
        <v>0</v>
      </c>
      <c r="PY345" s="9" t="n">
        <v>13.96000000000004</v>
      </c>
      <c r="QC345" s="10" t="n">
        <v>46316</v>
      </c>
      <c r="QE345" s="9" t="n">
        <v>0</v>
      </c>
      <c r="QG345" s="9" t="n">
        <v>0</v>
      </c>
      <c r="QH345" s="9" t="n">
        <v>548</v>
      </c>
      <c r="QL345" s="10" t="n">
        <v>46316</v>
      </c>
      <c r="QN345" s="9" t="n">
        <v>0</v>
      </c>
      <c r="QP345" s="9" t="n">
        <v>0</v>
      </c>
      <c r="QQ345" s="9" t="n">
        <v>0</v>
      </c>
      <c r="QU345" s="10" t="n">
        <v>46316</v>
      </c>
      <c r="QW345" s="9" t="n">
        <v>0</v>
      </c>
      <c r="QY345" s="9" t="n">
        <v>0</v>
      </c>
      <c r="QZ345" s="9" t="n">
        <v>0</v>
      </c>
      <c r="RD345" s="10" t="n">
        <v>46316</v>
      </c>
      <c r="RF345" s="9" t="n">
        <v>0</v>
      </c>
      <c r="RH345" s="9" t="n">
        <v>0</v>
      </c>
      <c r="RI345" s="9" t="n">
        <v>147.04</v>
      </c>
      <c r="RM345" s="10" t="n">
        <v>46316</v>
      </c>
      <c r="RO345" s="9" t="n">
        <v>0</v>
      </c>
      <c r="RQ345" s="9" t="n">
        <v>0</v>
      </c>
      <c r="RR345" s="9" t="n">
        <v>46.8</v>
      </c>
      <c r="RV345" s="10" t="n">
        <v>46316</v>
      </c>
      <c r="RX345" s="9" t="n">
        <v>0</v>
      </c>
      <c r="RZ345" s="9" t="n">
        <v>0</v>
      </c>
      <c r="SA345" s="9" t="n">
        <v>0</v>
      </c>
      <c r="SE345" s="10" t="n">
        <v>46316</v>
      </c>
      <c r="SG345" s="9" t="n">
        <v>0</v>
      </c>
      <c r="SI345" s="9" t="n">
        <v>0</v>
      </c>
      <c r="SJ345" s="9" t="n">
        <v>24.2</v>
      </c>
      <c r="SN345" s="10" t="n">
        <v>46316</v>
      </c>
      <c r="SP345" s="9" t="n">
        <v>0</v>
      </c>
      <c r="SR345" s="9" t="n">
        <v>0</v>
      </c>
      <c r="SS345" s="9" t="n">
        <v>32</v>
      </c>
      <c r="SW345" s="10" t="n">
        <v>46316</v>
      </c>
      <c r="SY345" s="9" t="n">
        <v>0</v>
      </c>
      <c r="TA345" s="9" t="n">
        <v>0</v>
      </c>
      <c r="TB345" s="9" t="n">
        <v>0</v>
      </c>
      <c r="TF345" s="10" t="n">
        <v>46316</v>
      </c>
      <c r="TH345" s="9" t="n">
        <v>0</v>
      </c>
      <c r="TJ345" s="9" t="n">
        <v>0</v>
      </c>
      <c r="TK345" s="9" t="n">
        <v>0</v>
      </c>
      <c r="TO345" s="10" t="n">
        <v>46316</v>
      </c>
      <c r="TQ345" s="9" t="n">
        <v>0</v>
      </c>
      <c r="TS345" s="9" t="n">
        <v>0</v>
      </c>
      <c r="TT345" s="9" t="n">
        <v>0</v>
      </c>
      <c r="TX345" s="10" t="n">
        <v>46316</v>
      </c>
      <c r="TZ345" s="9" t="n">
        <v>0</v>
      </c>
      <c r="UB345" s="9" t="n">
        <v>0</v>
      </c>
      <c r="UC345" s="9" t="n">
        <v>46.79999999999998</v>
      </c>
      <c r="UG345" s="10" t="n">
        <v>46316</v>
      </c>
      <c r="UI345" s="9" t="n">
        <v>0</v>
      </c>
      <c r="UK345" s="9" t="n">
        <v>0</v>
      </c>
      <c r="UL345" s="9" t="n">
        <v>204</v>
      </c>
      <c r="UP345" s="10" t="n">
        <v>46316</v>
      </c>
      <c r="UR345" s="9" t="n">
        <v>0</v>
      </c>
      <c r="UT345" s="9" t="n">
        <v>0</v>
      </c>
      <c r="UU345" s="9" t="n">
        <v>202.5</v>
      </c>
      <c r="UY345" s="10" t="n">
        <v>46316</v>
      </c>
      <c r="VA345" s="9" t="n">
        <v>0</v>
      </c>
      <c r="VC345" s="9" t="n">
        <v>0</v>
      </c>
      <c r="VD345" s="9" t="n">
        <v>41.60000000000002</v>
      </c>
      <c r="VH345" s="10" t="n">
        <v>46316</v>
      </c>
      <c r="VJ345" s="9" t="n">
        <v>0</v>
      </c>
      <c r="VL345" s="9" t="n">
        <v>0</v>
      </c>
      <c r="VM345" s="9" t="n">
        <v>210</v>
      </c>
      <c r="VQ345" s="10" t="n">
        <v>46316</v>
      </c>
      <c r="VS345" s="9" t="n">
        <v>0</v>
      </c>
      <c r="VU345" s="9" t="n">
        <v>0</v>
      </c>
      <c r="VV345" s="9" t="n">
        <v>0</v>
      </c>
      <c r="VZ345" s="10" t="n">
        <v>46316</v>
      </c>
      <c r="WB345" s="9" t="n">
        <v>0</v>
      </c>
      <c r="WD345" s="9" t="n">
        <v>0</v>
      </c>
      <c r="WE345" s="9" t="n">
        <v>0</v>
      </c>
      <c r="WI345" s="10" t="n">
        <v>46316</v>
      </c>
      <c r="WK345" s="9" t="n">
        <v>0</v>
      </c>
      <c r="WM345" s="9" t="n">
        <v>0</v>
      </c>
      <c r="WN345" s="9" t="n">
        <v>1057</v>
      </c>
      <c r="WR345" s="10" t="n">
        <v>46316</v>
      </c>
      <c r="WT345" s="9" t="n">
        <v>0</v>
      </c>
      <c r="WV345" s="9" t="n">
        <v>0</v>
      </c>
      <c r="WW345" s="9" t="n">
        <v>0</v>
      </c>
      <c r="XA345" s="10" t="n">
        <v>46316</v>
      </c>
      <c r="XC345" s="9" t="n">
        <v>0</v>
      </c>
      <c r="XE345" s="9" t="n">
        <v>0</v>
      </c>
      <c r="XF345" s="9" t="n">
        <v>7507</v>
      </c>
      <c r="XJ345" s="10" t="n">
        <v>46316</v>
      </c>
      <c r="XL345" s="9" t="n">
        <v>0</v>
      </c>
      <c r="XN345" s="9" t="n">
        <v>0</v>
      </c>
      <c r="XO345" s="9" t="n">
        <v>4252</v>
      </c>
      <c r="XS345" s="10" t="n">
        <v>46316</v>
      </c>
      <c r="XU345" s="9" t="n">
        <v>0</v>
      </c>
      <c r="XW345" s="9" t="n">
        <v>0</v>
      </c>
      <c r="XX345" s="9" t="n">
        <v>2179</v>
      </c>
      <c r="YB345" s="10" t="n">
        <v>46316</v>
      </c>
      <c r="YD345" s="9" t="n">
        <v>0</v>
      </c>
      <c r="YF345" s="9" t="n">
        <v>0</v>
      </c>
      <c r="YG345" s="9" t="n">
        <v>4019</v>
      </c>
      <c r="YK345" s="10" t="n">
        <v>46316</v>
      </c>
      <c r="YM345" s="9" t="n">
        <v>0</v>
      </c>
      <c r="YO345" s="9" t="n">
        <v>0</v>
      </c>
      <c r="YP345" s="9" t="n">
        <v>-218</v>
      </c>
      <c r="YT345" s="10" t="n">
        <v>46316</v>
      </c>
      <c r="YV345" s="9" t="n">
        <v>0</v>
      </c>
      <c r="YX345" s="9" t="n">
        <v>0</v>
      </c>
      <c r="YY345" s="9" t="n">
        <v>0</v>
      </c>
      <c r="ZC345" s="10" t="n">
        <v>46316</v>
      </c>
      <c r="ZE345" s="9" t="n">
        <v>0</v>
      </c>
      <c r="ZG345" s="9" t="n">
        <v>0</v>
      </c>
      <c r="ZH345" s="9" t="n">
        <v>0</v>
      </c>
      <c r="ZL345" s="10" t="n">
        <v>46316</v>
      </c>
      <c r="ZN345" s="9" t="n">
        <v>0</v>
      </c>
      <c r="ZP345" s="9" t="n">
        <v>0</v>
      </c>
      <c r="ZQ345" s="9" t="n">
        <v>0</v>
      </c>
      <c r="ZU345" s="10" t="n">
        <v>46316</v>
      </c>
      <c r="ZW345" s="9" t="n">
        <v>0</v>
      </c>
      <c r="ZY345" s="9" t="n">
        <v>0</v>
      </c>
      <c r="ZZ345" s="9" t="n">
        <v>0</v>
      </c>
      <c r="AAD345" s="10" t="n">
        <v>46316</v>
      </c>
      <c r="AAF345" s="9" t="n">
        <v>0</v>
      </c>
      <c r="AAH345" s="9" t="n">
        <v>0</v>
      </c>
      <c r="AAI345" s="9" t="n">
        <v>0</v>
      </c>
      <c r="AAM345" s="10" t="n">
        <v>46316</v>
      </c>
      <c r="AAO345" s="9" t="n">
        <v>0</v>
      </c>
      <c r="AAQ345" s="9" t="n">
        <v>0</v>
      </c>
      <c r="AAR345" s="9" t="n">
        <v>0</v>
      </c>
      <c r="AAV345" s="10" t="n">
        <v>46316</v>
      </c>
      <c r="AAX345" s="9" t="n">
        <v>0</v>
      </c>
      <c r="AAZ345" s="9" t="n">
        <v>0</v>
      </c>
      <c r="ABA345" s="9" t="n">
        <v>0</v>
      </c>
      <c r="ABE345" s="10" t="n">
        <v>46316</v>
      </c>
      <c r="ABG345" s="9" t="n">
        <v>0</v>
      </c>
      <c r="ABI345" s="9" t="n">
        <v>0</v>
      </c>
      <c r="ABJ345" s="9" t="n">
        <v>0</v>
      </c>
    </row>
    <row r="346">
      <c r="C346" s="10" t="n">
        <v>46317</v>
      </c>
      <c r="E346" s="9" t="n">
        <v>0</v>
      </c>
      <c r="G346" s="9" t="n">
        <v>0</v>
      </c>
      <c r="H346" s="9" t="n">
        <v>236936.6</v>
      </c>
      <c r="L346" s="10" t="n">
        <v>46317</v>
      </c>
      <c r="N346" s="9" t="n">
        <v>0</v>
      </c>
      <c r="P346" s="9" t="n">
        <v>0</v>
      </c>
      <c r="Q346" s="9" t="n">
        <v>53017.60000000007</v>
      </c>
      <c r="U346" s="10" t="n">
        <v>46317</v>
      </c>
      <c r="W346" s="9" t="n">
        <v>0</v>
      </c>
      <c r="Y346" s="9" t="n">
        <v>0</v>
      </c>
      <c r="Z346" s="9" t="n">
        <v>42674.19999999997</v>
      </c>
      <c r="AD346" s="10" t="n">
        <v>46317</v>
      </c>
      <c r="AF346" s="9" t="n">
        <v>0</v>
      </c>
      <c r="AH346" s="9" t="n">
        <v>0</v>
      </c>
      <c r="AI346" s="9" t="n">
        <v>4522.200000000019</v>
      </c>
      <c r="AM346" s="10" t="n">
        <v>46317</v>
      </c>
      <c r="AO346" s="9" t="n">
        <v>0</v>
      </c>
      <c r="AQ346" s="9" t="n">
        <v>0</v>
      </c>
      <c r="AR346" s="9" t="n">
        <v>0</v>
      </c>
      <c r="AV346" s="10" t="n">
        <v>46317</v>
      </c>
      <c r="AX346" s="9" t="n">
        <v>0</v>
      </c>
      <c r="AZ346" s="9" t="n">
        <v>0</v>
      </c>
      <c r="BA346" s="9" t="n">
        <v>124.9999999999952</v>
      </c>
      <c r="BE346" s="10" t="n">
        <v>46317</v>
      </c>
      <c r="BG346" s="9" t="n">
        <v>0</v>
      </c>
      <c r="BI346" s="9" t="n">
        <v>0</v>
      </c>
      <c r="BJ346" s="9" t="n">
        <v>26151.9</v>
      </c>
      <c r="BN346" s="10" t="n">
        <v>46317</v>
      </c>
      <c r="BP346" s="9" t="n">
        <v>0</v>
      </c>
      <c r="BR346" s="9" t="n">
        <v>0</v>
      </c>
      <c r="BS346" s="9" t="n">
        <v>0</v>
      </c>
      <c r="BW346" s="10" t="n">
        <v>46317</v>
      </c>
      <c r="BY346" s="9" t="n">
        <v>0</v>
      </c>
      <c r="CA346" s="9" t="n">
        <v>0</v>
      </c>
      <c r="CB346" s="9" t="n">
        <v>2097.339999999999</v>
      </c>
      <c r="CF346" s="10" t="n">
        <v>46317</v>
      </c>
      <c r="CH346" s="9" t="n">
        <v>0</v>
      </c>
      <c r="CJ346" s="9" t="n">
        <v>0</v>
      </c>
      <c r="CK346" s="9" t="n">
        <v>-10277.08</v>
      </c>
      <c r="CO346" s="10" t="n">
        <v>46317</v>
      </c>
      <c r="CQ346" s="9" t="n">
        <v>0</v>
      </c>
      <c r="CS346" s="9" t="n">
        <v>0</v>
      </c>
      <c r="CT346" s="9" t="n">
        <v>0</v>
      </c>
      <c r="CX346" s="10" t="n">
        <v>46317</v>
      </c>
      <c r="CZ346" s="9" t="n">
        <v>0</v>
      </c>
      <c r="DB346" s="9" t="n">
        <v>0</v>
      </c>
      <c r="DC346" s="9" t="n">
        <v>27438.20000000001</v>
      </c>
      <c r="DG346" s="10" t="n">
        <v>46317</v>
      </c>
      <c r="DI346" s="9" t="n">
        <v>0</v>
      </c>
      <c r="DK346" s="9" t="n">
        <v>0</v>
      </c>
      <c r="DL346" s="9" t="n">
        <v>18782.29999999998</v>
      </c>
      <c r="DP346" s="10" t="n">
        <v>46317</v>
      </c>
      <c r="DR346" s="9" t="n">
        <v>0</v>
      </c>
      <c r="DT346" s="9" t="n">
        <v>0</v>
      </c>
      <c r="DU346" s="9" t="n">
        <v>5800</v>
      </c>
      <c r="DY346" s="10" t="n">
        <v>46317</v>
      </c>
      <c r="EA346" s="9" t="n">
        <v>0</v>
      </c>
      <c r="EC346" s="9" t="n">
        <v>0</v>
      </c>
      <c r="ED346" s="9" t="n">
        <v>0</v>
      </c>
      <c r="EH346" s="10" t="n">
        <v>46317</v>
      </c>
      <c r="EJ346" s="9" t="n">
        <v>0</v>
      </c>
      <c r="EL346" s="9" t="n">
        <v>0</v>
      </c>
      <c r="EM346" s="9" t="n">
        <v>0</v>
      </c>
      <c r="EQ346" s="10" t="n">
        <v>46317</v>
      </c>
      <c r="ES346" s="9" t="n">
        <v>0</v>
      </c>
      <c r="EU346" s="9" t="n">
        <v>0</v>
      </c>
      <c r="EV346" s="9" t="n">
        <v>0</v>
      </c>
      <c r="EZ346" s="10" t="n">
        <v>46317</v>
      </c>
      <c r="FB346" s="9" t="n">
        <v>0</v>
      </c>
      <c r="FD346" s="9" t="n">
        <v>0</v>
      </c>
      <c r="FE346" s="9" t="n">
        <v>0</v>
      </c>
      <c r="FI346" s="10" t="n">
        <v>46317</v>
      </c>
      <c r="FK346" s="9" t="n">
        <v>0</v>
      </c>
      <c r="FM346" s="9" t="n">
        <v>0</v>
      </c>
      <c r="FN346" s="9" t="n">
        <v>0</v>
      </c>
      <c r="FR346" s="10" t="n">
        <v>46317</v>
      </c>
      <c r="FT346" s="9" t="n">
        <v>0</v>
      </c>
      <c r="FV346" s="9" t="n">
        <v>0</v>
      </c>
      <c r="FW346" s="9" t="n">
        <v>2020</v>
      </c>
      <c r="GA346" s="10" t="n">
        <v>46317</v>
      </c>
      <c r="GC346" s="9" t="n">
        <v>0</v>
      </c>
      <c r="GE346" s="9" t="n">
        <v>0</v>
      </c>
      <c r="GF346" s="9" t="n">
        <v>960</v>
      </c>
      <c r="GJ346" s="10" t="n">
        <v>46317</v>
      </c>
      <c r="GL346" s="9" t="n">
        <v>0</v>
      </c>
      <c r="GN346" s="9" t="n">
        <v>0</v>
      </c>
      <c r="GO346" s="9" t="n">
        <v>1760</v>
      </c>
      <c r="GS346" s="10" t="n">
        <v>46317</v>
      </c>
      <c r="GU346" s="9" t="n">
        <v>0</v>
      </c>
      <c r="GW346" s="9" t="n">
        <v>0</v>
      </c>
      <c r="GX346" s="9" t="n">
        <v>400</v>
      </c>
      <c r="HB346" s="10" t="n">
        <v>46317</v>
      </c>
      <c r="HD346" s="9" t="n">
        <v>0</v>
      </c>
      <c r="HF346" s="9" t="n">
        <v>0</v>
      </c>
      <c r="HG346" s="9" t="n">
        <v>3600</v>
      </c>
      <c r="HK346" s="10" t="n">
        <v>46317</v>
      </c>
      <c r="HM346" s="9" t="n">
        <v>0</v>
      </c>
      <c r="HO346" s="9" t="n">
        <v>0</v>
      </c>
      <c r="HP346" s="9" t="n">
        <v>0</v>
      </c>
      <c r="HU346" s="10" t="n">
        <v>46317</v>
      </c>
      <c r="HW346" s="9" t="n">
        <v>0</v>
      </c>
      <c r="HY346" s="9" t="n">
        <v>0</v>
      </c>
      <c r="HZ346" s="9" t="n">
        <v>6120</v>
      </c>
      <c r="ID346" s="10" t="n">
        <v>46317</v>
      </c>
      <c r="IF346" s="9" t="n">
        <v>0</v>
      </c>
      <c r="IH346" s="9" t="n">
        <v>0</v>
      </c>
      <c r="II346" s="9" t="n">
        <v>0</v>
      </c>
      <c r="IM346" s="10" t="n">
        <v>46317</v>
      </c>
      <c r="IO346" s="9" t="n">
        <v>0</v>
      </c>
      <c r="IQ346" s="9" t="n">
        <v>0</v>
      </c>
      <c r="IR346" s="9" t="n">
        <v>0</v>
      </c>
      <c r="IV346" s="10" t="n">
        <v>46317</v>
      </c>
      <c r="IX346" s="9" t="n">
        <v>0</v>
      </c>
      <c r="IZ346" s="9" t="n">
        <v>0</v>
      </c>
      <c r="JA346" s="9" t="n">
        <v>2820</v>
      </c>
      <c r="JE346" s="10" t="n">
        <v>46317</v>
      </c>
      <c r="JG346" s="9" t="n">
        <v>0</v>
      </c>
      <c r="JI346" s="9" t="n">
        <v>0</v>
      </c>
      <c r="JJ346" s="9" t="n">
        <v>0</v>
      </c>
      <c r="JN346" s="10" t="n">
        <v>46317</v>
      </c>
      <c r="JP346" s="9" t="n">
        <v>0</v>
      </c>
      <c r="JR346" s="9" t="n">
        <v>0</v>
      </c>
      <c r="JS346" s="9" t="n">
        <v>0</v>
      </c>
      <c r="JW346" s="10" t="n">
        <v>46317</v>
      </c>
      <c r="JY346" s="9" t="n">
        <v>0</v>
      </c>
      <c r="KA346" s="9" t="n">
        <v>0</v>
      </c>
      <c r="KB346" s="9" t="n">
        <v>2540</v>
      </c>
      <c r="KF346" s="10" t="n">
        <v>46317</v>
      </c>
      <c r="KH346" s="9" t="n">
        <v>0</v>
      </c>
      <c r="KJ346" s="9" t="n">
        <v>0</v>
      </c>
      <c r="KK346" s="9" t="n">
        <v>2359.5</v>
      </c>
      <c r="KO346" s="10" t="n">
        <v>46317</v>
      </c>
      <c r="KQ346" s="9" t="n">
        <v>0</v>
      </c>
      <c r="KS346" s="9" t="n">
        <v>0</v>
      </c>
      <c r="KT346" s="9" t="n">
        <v>1890</v>
      </c>
      <c r="KX346" s="10" t="n">
        <v>46317</v>
      </c>
      <c r="KZ346" s="9" t="n">
        <v>0</v>
      </c>
      <c r="LB346" s="9" t="n">
        <v>0</v>
      </c>
      <c r="LC346" s="9" t="n">
        <v>3690</v>
      </c>
      <c r="LG346" s="10" t="n">
        <v>46317</v>
      </c>
      <c r="LI346" s="9" t="n">
        <v>0</v>
      </c>
      <c r="LK346" s="9" t="n">
        <v>0</v>
      </c>
      <c r="LL346" s="9" t="n">
        <v>4000</v>
      </c>
      <c r="LP346" s="10" t="n">
        <v>46317</v>
      </c>
      <c r="LR346" s="9" t="n">
        <v>0</v>
      </c>
      <c r="LT346" s="9" t="n">
        <v>0</v>
      </c>
      <c r="LU346" s="9" t="n">
        <v>0</v>
      </c>
      <c r="LY346" s="10" t="n">
        <v>46317</v>
      </c>
      <c r="MA346" s="9" t="n">
        <v>0</v>
      </c>
      <c r="MC346" s="9" t="n">
        <v>0</v>
      </c>
      <c r="MD346" s="9" t="n">
        <v>0</v>
      </c>
      <c r="MH346" s="10" t="n">
        <v>46317</v>
      </c>
      <c r="MJ346" s="9" t="n">
        <v>0</v>
      </c>
      <c r="ML346" s="9" t="n">
        <v>0</v>
      </c>
      <c r="MM346" s="9" t="n">
        <v>0</v>
      </c>
      <c r="MQ346" s="10" t="n">
        <v>46317</v>
      </c>
      <c r="MS346" s="9" t="n">
        <v>0</v>
      </c>
      <c r="MU346" s="9" t="n">
        <v>0</v>
      </c>
      <c r="MV346" s="9" t="n">
        <v>1625</v>
      </c>
      <c r="MZ346" s="10" t="n">
        <v>46317</v>
      </c>
      <c r="NB346" s="9" t="n">
        <v>0</v>
      </c>
      <c r="ND346" s="9" t="n">
        <v>0</v>
      </c>
      <c r="NE346" s="9" t="n">
        <v>0</v>
      </c>
      <c r="NI346" s="10" t="n">
        <v>46317</v>
      </c>
      <c r="NK346" s="9" t="n">
        <v>0</v>
      </c>
      <c r="NM346" s="9" t="n">
        <v>0</v>
      </c>
      <c r="NN346" s="9" t="n">
        <v>1127</v>
      </c>
      <c r="NR346" s="10" t="n">
        <v>46317</v>
      </c>
      <c r="NT346" s="9" t="n">
        <v>0</v>
      </c>
      <c r="NV346" s="9" t="n">
        <v>0</v>
      </c>
      <c r="NW346" s="9" t="n">
        <v>3112</v>
      </c>
      <c r="OA346" s="10" t="n">
        <v>46317</v>
      </c>
      <c r="OC346" s="9" t="n">
        <v>0</v>
      </c>
      <c r="OE346" s="9" t="n">
        <v>0</v>
      </c>
      <c r="OF346" s="9" t="n">
        <v>1680.5</v>
      </c>
      <c r="OJ346" s="10" t="n">
        <v>46317</v>
      </c>
      <c r="OL346" s="9" t="n">
        <v>0</v>
      </c>
      <c r="ON346" s="9" t="n">
        <v>0</v>
      </c>
      <c r="OO346" s="9" t="n">
        <v>0</v>
      </c>
      <c r="OS346" s="10" t="n">
        <v>46317</v>
      </c>
      <c r="OU346" s="9" t="n">
        <v>0</v>
      </c>
      <c r="OW346" s="9" t="n">
        <v>0</v>
      </c>
      <c r="OX346" s="9" t="n">
        <v>1482</v>
      </c>
      <c r="PB346" s="10" t="n">
        <v>46317</v>
      </c>
      <c r="PD346" s="9" t="n">
        <v>0</v>
      </c>
      <c r="PF346" s="9" t="n">
        <v>0</v>
      </c>
      <c r="PG346" s="9" t="n">
        <v>0</v>
      </c>
      <c r="PK346" s="10" t="n">
        <v>46317</v>
      </c>
      <c r="PM346" s="9" t="n">
        <v>0</v>
      </c>
      <c r="PO346" s="9" t="n">
        <v>0</v>
      </c>
      <c r="PP346" s="9" t="n">
        <v>100</v>
      </c>
      <c r="PT346" s="10" t="n">
        <v>46317</v>
      </c>
      <c r="PV346" s="9" t="n">
        <v>0</v>
      </c>
      <c r="PX346" s="9" t="n">
        <v>0</v>
      </c>
      <c r="PY346" s="9" t="n">
        <v>13.96000000000004</v>
      </c>
      <c r="QC346" s="10" t="n">
        <v>46317</v>
      </c>
      <c r="QE346" s="9" t="n">
        <v>0</v>
      </c>
      <c r="QG346" s="9" t="n">
        <v>0</v>
      </c>
      <c r="QH346" s="9" t="n">
        <v>548</v>
      </c>
      <c r="QL346" s="10" t="n">
        <v>46317</v>
      </c>
      <c r="QN346" s="9" t="n">
        <v>0</v>
      </c>
      <c r="QP346" s="9" t="n">
        <v>0</v>
      </c>
      <c r="QQ346" s="9" t="n">
        <v>0</v>
      </c>
      <c r="QU346" s="10" t="n">
        <v>46317</v>
      </c>
      <c r="QW346" s="9" t="n">
        <v>0</v>
      </c>
      <c r="QY346" s="9" t="n">
        <v>0</v>
      </c>
      <c r="QZ346" s="9" t="n">
        <v>0</v>
      </c>
      <c r="RD346" s="10" t="n">
        <v>46317</v>
      </c>
      <c r="RF346" s="9" t="n">
        <v>0</v>
      </c>
      <c r="RH346" s="9" t="n">
        <v>0</v>
      </c>
      <c r="RI346" s="9" t="n">
        <v>147.04</v>
      </c>
      <c r="RM346" s="10" t="n">
        <v>46317</v>
      </c>
      <c r="RO346" s="9" t="n">
        <v>0</v>
      </c>
      <c r="RQ346" s="9" t="n">
        <v>0</v>
      </c>
      <c r="RR346" s="9" t="n">
        <v>46.8</v>
      </c>
      <c r="RV346" s="10" t="n">
        <v>46317</v>
      </c>
      <c r="RX346" s="9" t="n">
        <v>0</v>
      </c>
      <c r="RZ346" s="9" t="n">
        <v>0</v>
      </c>
      <c r="SA346" s="9" t="n">
        <v>0</v>
      </c>
      <c r="SE346" s="10" t="n">
        <v>46317</v>
      </c>
      <c r="SG346" s="9" t="n">
        <v>0</v>
      </c>
      <c r="SI346" s="9" t="n">
        <v>0</v>
      </c>
      <c r="SJ346" s="9" t="n">
        <v>24.2</v>
      </c>
      <c r="SN346" s="10" t="n">
        <v>46317</v>
      </c>
      <c r="SP346" s="9" t="n">
        <v>0</v>
      </c>
      <c r="SR346" s="9" t="n">
        <v>0</v>
      </c>
      <c r="SS346" s="9" t="n">
        <v>32</v>
      </c>
      <c r="SW346" s="10" t="n">
        <v>46317</v>
      </c>
      <c r="SY346" s="9" t="n">
        <v>0</v>
      </c>
      <c r="TA346" s="9" t="n">
        <v>0</v>
      </c>
      <c r="TB346" s="9" t="n">
        <v>0</v>
      </c>
      <c r="TF346" s="10" t="n">
        <v>46317</v>
      </c>
      <c r="TH346" s="9" t="n">
        <v>0</v>
      </c>
      <c r="TJ346" s="9" t="n">
        <v>0</v>
      </c>
      <c r="TK346" s="9" t="n">
        <v>0</v>
      </c>
      <c r="TO346" s="10" t="n">
        <v>46317</v>
      </c>
      <c r="TQ346" s="9" t="n">
        <v>0</v>
      </c>
      <c r="TS346" s="9" t="n">
        <v>0</v>
      </c>
      <c r="TT346" s="9" t="n">
        <v>0</v>
      </c>
      <c r="TX346" s="10" t="n">
        <v>46317</v>
      </c>
      <c r="TZ346" s="9" t="n">
        <v>0</v>
      </c>
      <c r="UB346" s="9" t="n">
        <v>0</v>
      </c>
      <c r="UC346" s="9" t="n">
        <v>46.79999999999998</v>
      </c>
      <c r="UG346" s="10" t="n">
        <v>46317</v>
      </c>
      <c r="UI346" s="9" t="n">
        <v>0</v>
      </c>
      <c r="UK346" s="9" t="n">
        <v>0</v>
      </c>
      <c r="UL346" s="9" t="n">
        <v>204</v>
      </c>
      <c r="UP346" s="10" t="n">
        <v>46317</v>
      </c>
      <c r="UR346" s="9" t="n">
        <v>0</v>
      </c>
      <c r="UT346" s="9" t="n">
        <v>0</v>
      </c>
      <c r="UU346" s="9" t="n">
        <v>202.5</v>
      </c>
      <c r="UY346" s="10" t="n">
        <v>46317</v>
      </c>
      <c r="VA346" s="9" t="n">
        <v>0</v>
      </c>
      <c r="VC346" s="9" t="n">
        <v>0</v>
      </c>
      <c r="VD346" s="9" t="n">
        <v>41.60000000000002</v>
      </c>
      <c r="VH346" s="10" t="n">
        <v>46317</v>
      </c>
      <c r="VJ346" s="9" t="n">
        <v>0</v>
      </c>
      <c r="VL346" s="9" t="n">
        <v>0</v>
      </c>
      <c r="VM346" s="9" t="n">
        <v>210</v>
      </c>
      <c r="VQ346" s="10" t="n">
        <v>46317</v>
      </c>
      <c r="VS346" s="9" t="n">
        <v>0</v>
      </c>
      <c r="VU346" s="9" t="n">
        <v>0</v>
      </c>
      <c r="VV346" s="9" t="n">
        <v>0</v>
      </c>
      <c r="VZ346" s="10" t="n">
        <v>46317</v>
      </c>
      <c r="WB346" s="9" t="n">
        <v>0</v>
      </c>
      <c r="WD346" s="9" t="n">
        <v>0</v>
      </c>
      <c r="WE346" s="9" t="n">
        <v>0</v>
      </c>
      <c r="WI346" s="10" t="n">
        <v>46317</v>
      </c>
      <c r="WK346" s="9" t="n">
        <v>0</v>
      </c>
      <c r="WM346" s="9" t="n">
        <v>0</v>
      </c>
      <c r="WN346" s="9" t="n">
        <v>1057</v>
      </c>
      <c r="WR346" s="10" t="n">
        <v>46317</v>
      </c>
      <c r="WT346" s="9" t="n">
        <v>0</v>
      </c>
      <c r="WV346" s="9" t="n">
        <v>0</v>
      </c>
      <c r="WW346" s="9" t="n">
        <v>0</v>
      </c>
      <c r="XA346" s="10" t="n">
        <v>46317</v>
      </c>
      <c r="XC346" s="9" t="n">
        <v>0</v>
      </c>
      <c r="XE346" s="9" t="n">
        <v>0</v>
      </c>
      <c r="XF346" s="9" t="n">
        <v>7507</v>
      </c>
      <c r="XJ346" s="10" t="n">
        <v>46317</v>
      </c>
      <c r="XL346" s="9" t="n">
        <v>0</v>
      </c>
      <c r="XN346" s="9" t="n">
        <v>0</v>
      </c>
      <c r="XO346" s="9" t="n">
        <v>4252</v>
      </c>
      <c r="XS346" s="10" t="n">
        <v>46317</v>
      </c>
      <c r="XU346" s="9" t="n">
        <v>0</v>
      </c>
      <c r="XW346" s="9" t="n">
        <v>0</v>
      </c>
      <c r="XX346" s="9" t="n">
        <v>2179</v>
      </c>
      <c r="YB346" s="10" t="n">
        <v>46317</v>
      </c>
      <c r="YD346" s="9" t="n">
        <v>0</v>
      </c>
      <c r="YF346" s="9" t="n">
        <v>0</v>
      </c>
      <c r="YG346" s="9" t="n">
        <v>4019</v>
      </c>
      <c r="YK346" s="10" t="n">
        <v>46317</v>
      </c>
      <c r="YM346" s="9" t="n">
        <v>0</v>
      </c>
      <c r="YO346" s="9" t="n">
        <v>0</v>
      </c>
      <c r="YP346" s="9" t="n">
        <v>-218</v>
      </c>
      <c r="YT346" s="10" t="n">
        <v>46317</v>
      </c>
      <c r="YV346" s="9" t="n">
        <v>0</v>
      </c>
      <c r="YX346" s="9" t="n">
        <v>0</v>
      </c>
      <c r="YY346" s="9" t="n">
        <v>0</v>
      </c>
      <c r="ZC346" s="10" t="n">
        <v>46317</v>
      </c>
      <c r="ZE346" s="9" t="n">
        <v>0</v>
      </c>
      <c r="ZG346" s="9" t="n">
        <v>0</v>
      </c>
      <c r="ZH346" s="9" t="n">
        <v>0</v>
      </c>
      <c r="ZL346" s="10" t="n">
        <v>46317</v>
      </c>
      <c r="ZN346" s="9" t="n">
        <v>0</v>
      </c>
      <c r="ZP346" s="9" t="n">
        <v>0</v>
      </c>
      <c r="ZQ346" s="9" t="n">
        <v>0</v>
      </c>
      <c r="ZU346" s="10" t="n">
        <v>46317</v>
      </c>
      <c r="ZW346" s="9" t="n">
        <v>0</v>
      </c>
      <c r="ZY346" s="9" t="n">
        <v>0</v>
      </c>
      <c r="ZZ346" s="9" t="n">
        <v>0</v>
      </c>
      <c r="AAD346" s="10" t="n">
        <v>46317</v>
      </c>
      <c r="AAF346" s="9" t="n">
        <v>0</v>
      </c>
      <c r="AAH346" s="9" t="n">
        <v>0</v>
      </c>
      <c r="AAI346" s="9" t="n">
        <v>0</v>
      </c>
      <c r="AAM346" s="10" t="n">
        <v>46317</v>
      </c>
      <c r="AAO346" s="9" t="n">
        <v>0</v>
      </c>
      <c r="AAQ346" s="9" t="n">
        <v>0</v>
      </c>
      <c r="AAR346" s="9" t="n">
        <v>0</v>
      </c>
      <c r="AAV346" s="10" t="n">
        <v>46317</v>
      </c>
      <c r="AAX346" s="9" t="n">
        <v>0</v>
      </c>
      <c r="AAZ346" s="9" t="n">
        <v>0</v>
      </c>
      <c r="ABA346" s="9" t="n">
        <v>0</v>
      </c>
      <c r="ABE346" s="10" t="n">
        <v>46317</v>
      </c>
      <c r="ABG346" s="9" t="n">
        <v>0</v>
      </c>
      <c r="ABI346" s="9" t="n">
        <v>0</v>
      </c>
      <c r="ABJ346" s="9" t="n">
        <v>0</v>
      </c>
    </row>
    <row r="347">
      <c r="C347" s="10" t="n">
        <v>46318</v>
      </c>
      <c r="E347" s="9" t="n">
        <v>0</v>
      </c>
      <c r="G347" s="9" t="n">
        <v>0</v>
      </c>
      <c r="H347" s="9" t="n">
        <v>236936.6</v>
      </c>
      <c r="L347" s="10" t="n">
        <v>46318</v>
      </c>
      <c r="N347" s="9" t="n">
        <v>0</v>
      </c>
      <c r="P347" s="9" t="n">
        <v>0</v>
      </c>
      <c r="Q347" s="9" t="n">
        <v>53017.60000000007</v>
      </c>
      <c r="U347" s="10" t="n">
        <v>46318</v>
      </c>
      <c r="W347" s="9" t="n">
        <v>0</v>
      </c>
      <c r="Y347" s="9" t="n">
        <v>0</v>
      </c>
      <c r="Z347" s="9" t="n">
        <v>42674.19999999997</v>
      </c>
      <c r="AD347" s="10" t="n">
        <v>46318</v>
      </c>
      <c r="AF347" s="9" t="n">
        <v>0</v>
      </c>
      <c r="AH347" s="9" t="n">
        <v>0</v>
      </c>
      <c r="AI347" s="9" t="n">
        <v>4522.200000000019</v>
      </c>
      <c r="AM347" s="10" t="n">
        <v>46318</v>
      </c>
      <c r="AO347" s="9" t="n">
        <v>0</v>
      </c>
      <c r="AQ347" s="9" t="n">
        <v>0</v>
      </c>
      <c r="AR347" s="9" t="n">
        <v>0</v>
      </c>
      <c r="AV347" s="10" t="n">
        <v>46318</v>
      </c>
      <c r="AX347" s="9" t="n">
        <v>0</v>
      </c>
      <c r="AZ347" s="9" t="n">
        <v>0</v>
      </c>
      <c r="BA347" s="9" t="n">
        <v>124.9999999999952</v>
      </c>
      <c r="BE347" s="10" t="n">
        <v>46318</v>
      </c>
      <c r="BG347" s="9" t="n">
        <v>0</v>
      </c>
      <c r="BI347" s="9" t="n">
        <v>0</v>
      </c>
      <c r="BJ347" s="9" t="n">
        <v>26151.9</v>
      </c>
      <c r="BN347" s="10" t="n">
        <v>46318</v>
      </c>
      <c r="BP347" s="9" t="n">
        <v>0</v>
      </c>
      <c r="BR347" s="9" t="n">
        <v>0</v>
      </c>
      <c r="BS347" s="9" t="n">
        <v>0</v>
      </c>
      <c r="BW347" s="10" t="n">
        <v>46318</v>
      </c>
      <c r="BY347" s="9" t="n">
        <v>0</v>
      </c>
      <c r="CA347" s="9" t="n">
        <v>0</v>
      </c>
      <c r="CB347" s="9" t="n">
        <v>2097.339999999999</v>
      </c>
      <c r="CF347" s="10" t="n">
        <v>46318</v>
      </c>
      <c r="CH347" s="9" t="n">
        <v>0</v>
      </c>
      <c r="CJ347" s="9" t="n">
        <v>0</v>
      </c>
      <c r="CK347" s="9" t="n">
        <v>-10277.08</v>
      </c>
      <c r="CO347" s="10" t="n">
        <v>46318</v>
      </c>
      <c r="CQ347" s="9" t="n">
        <v>0</v>
      </c>
      <c r="CS347" s="9" t="n">
        <v>0</v>
      </c>
      <c r="CT347" s="9" t="n">
        <v>0</v>
      </c>
      <c r="CX347" s="10" t="n">
        <v>46318</v>
      </c>
      <c r="CZ347" s="9" t="n">
        <v>0</v>
      </c>
      <c r="DB347" s="9" t="n">
        <v>0</v>
      </c>
      <c r="DC347" s="9" t="n">
        <v>27438.20000000001</v>
      </c>
      <c r="DG347" s="10" t="n">
        <v>46318</v>
      </c>
      <c r="DI347" s="9" t="n">
        <v>0</v>
      </c>
      <c r="DK347" s="9" t="n">
        <v>0</v>
      </c>
      <c r="DL347" s="9" t="n">
        <v>18782.29999999998</v>
      </c>
      <c r="DP347" s="10" t="n">
        <v>46318</v>
      </c>
      <c r="DR347" s="9" t="n">
        <v>0</v>
      </c>
      <c r="DT347" s="9" t="n">
        <v>0</v>
      </c>
      <c r="DU347" s="9" t="n">
        <v>5800</v>
      </c>
      <c r="DY347" s="10" t="n">
        <v>46318</v>
      </c>
      <c r="EA347" s="9" t="n">
        <v>0</v>
      </c>
      <c r="EC347" s="9" t="n">
        <v>0</v>
      </c>
      <c r="ED347" s="9" t="n">
        <v>0</v>
      </c>
      <c r="EH347" s="10" t="n">
        <v>46318</v>
      </c>
      <c r="EJ347" s="9" t="n">
        <v>0</v>
      </c>
      <c r="EL347" s="9" t="n">
        <v>0</v>
      </c>
      <c r="EM347" s="9" t="n">
        <v>0</v>
      </c>
      <c r="EQ347" s="10" t="n">
        <v>46318</v>
      </c>
      <c r="ES347" s="9" t="n">
        <v>0</v>
      </c>
      <c r="EU347" s="9" t="n">
        <v>0</v>
      </c>
      <c r="EV347" s="9" t="n">
        <v>0</v>
      </c>
      <c r="EZ347" s="10" t="n">
        <v>46318</v>
      </c>
      <c r="FB347" s="9" t="n">
        <v>0</v>
      </c>
      <c r="FD347" s="9" t="n">
        <v>0</v>
      </c>
      <c r="FE347" s="9" t="n">
        <v>0</v>
      </c>
      <c r="FI347" s="10" t="n">
        <v>46318</v>
      </c>
      <c r="FK347" s="9" t="n">
        <v>0</v>
      </c>
      <c r="FM347" s="9" t="n">
        <v>0</v>
      </c>
      <c r="FN347" s="9" t="n">
        <v>0</v>
      </c>
      <c r="FR347" s="10" t="n">
        <v>46318</v>
      </c>
      <c r="FT347" s="9" t="n">
        <v>0</v>
      </c>
      <c r="FV347" s="9" t="n">
        <v>0</v>
      </c>
      <c r="FW347" s="9" t="n">
        <v>2020</v>
      </c>
      <c r="GA347" s="10" t="n">
        <v>46318</v>
      </c>
      <c r="GC347" s="9" t="n">
        <v>0</v>
      </c>
      <c r="GE347" s="9" t="n">
        <v>0</v>
      </c>
      <c r="GF347" s="9" t="n">
        <v>960</v>
      </c>
      <c r="GJ347" s="10" t="n">
        <v>46318</v>
      </c>
      <c r="GL347" s="9" t="n">
        <v>0</v>
      </c>
      <c r="GN347" s="9" t="n">
        <v>0</v>
      </c>
      <c r="GO347" s="9" t="n">
        <v>1760</v>
      </c>
      <c r="GS347" s="10" t="n">
        <v>46318</v>
      </c>
      <c r="GU347" s="9" t="n">
        <v>0</v>
      </c>
      <c r="GW347" s="9" t="n">
        <v>0</v>
      </c>
      <c r="GX347" s="9" t="n">
        <v>400</v>
      </c>
      <c r="HB347" s="10" t="n">
        <v>46318</v>
      </c>
      <c r="HD347" s="9" t="n">
        <v>0</v>
      </c>
      <c r="HF347" s="9" t="n">
        <v>0</v>
      </c>
      <c r="HG347" s="9" t="n">
        <v>3600</v>
      </c>
      <c r="HK347" s="10" t="n">
        <v>46318</v>
      </c>
      <c r="HM347" s="9" t="n">
        <v>0</v>
      </c>
      <c r="HO347" s="9" t="n">
        <v>0</v>
      </c>
      <c r="HP347" s="9" t="n">
        <v>0</v>
      </c>
      <c r="HU347" s="10" t="n">
        <v>46318</v>
      </c>
      <c r="HW347" s="9" t="n">
        <v>0</v>
      </c>
      <c r="HY347" s="9" t="n">
        <v>0</v>
      </c>
      <c r="HZ347" s="9" t="n">
        <v>6120</v>
      </c>
      <c r="ID347" s="10" t="n">
        <v>46318</v>
      </c>
      <c r="IF347" s="9" t="n">
        <v>0</v>
      </c>
      <c r="IH347" s="9" t="n">
        <v>0</v>
      </c>
      <c r="II347" s="9" t="n">
        <v>0</v>
      </c>
      <c r="IM347" s="10" t="n">
        <v>46318</v>
      </c>
      <c r="IO347" s="9" t="n">
        <v>0</v>
      </c>
      <c r="IQ347" s="9" t="n">
        <v>0</v>
      </c>
      <c r="IR347" s="9" t="n">
        <v>0</v>
      </c>
      <c r="IV347" s="10" t="n">
        <v>46318</v>
      </c>
      <c r="IX347" s="9" t="n">
        <v>0</v>
      </c>
      <c r="IZ347" s="9" t="n">
        <v>0</v>
      </c>
      <c r="JA347" s="9" t="n">
        <v>2820</v>
      </c>
      <c r="JE347" s="10" t="n">
        <v>46318</v>
      </c>
      <c r="JG347" s="9" t="n">
        <v>0</v>
      </c>
      <c r="JI347" s="9" t="n">
        <v>0</v>
      </c>
      <c r="JJ347" s="9" t="n">
        <v>0</v>
      </c>
      <c r="JN347" s="10" t="n">
        <v>46318</v>
      </c>
      <c r="JP347" s="9" t="n">
        <v>0</v>
      </c>
      <c r="JR347" s="9" t="n">
        <v>0</v>
      </c>
      <c r="JS347" s="9" t="n">
        <v>0</v>
      </c>
      <c r="JW347" s="10" t="n">
        <v>46318</v>
      </c>
      <c r="JY347" s="9" t="n">
        <v>0</v>
      </c>
      <c r="KA347" s="9" t="n">
        <v>0</v>
      </c>
      <c r="KB347" s="9" t="n">
        <v>2540</v>
      </c>
      <c r="KF347" s="10" t="n">
        <v>46318</v>
      </c>
      <c r="KH347" s="9" t="n">
        <v>0</v>
      </c>
      <c r="KJ347" s="9" t="n">
        <v>0</v>
      </c>
      <c r="KK347" s="9" t="n">
        <v>2359.5</v>
      </c>
      <c r="KO347" s="10" t="n">
        <v>46318</v>
      </c>
      <c r="KQ347" s="9" t="n">
        <v>0</v>
      </c>
      <c r="KS347" s="9" t="n">
        <v>0</v>
      </c>
      <c r="KT347" s="9" t="n">
        <v>1890</v>
      </c>
      <c r="KX347" s="10" t="n">
        <v>46318</v>
      </c>
      <c r="KZ347" s="9" t="n">
        <v>0</v>
      </c>
      <c r="LB347" s="9" t="n">
        <v>0</v>
      </c>
      <c r="LC347" s="9" t="n">
        <v>3690</v>
      </c>
      <c r="LG347" s="10" t="n">
        <v>46318</v>
      </c>
      <c r="LI347" s="9" t="n">
        <v>0</v>
      </c>
      <c r="LK347" s="9" t="n">
        <v>0</v>
      </c>
      <c r="LL347" s="9" t="n">
        <v>4000</v>
      </c>
      <c r="LP347" s="10" t="n">
        <v>46318</v>
      </c>
      <c r="LR347" s="9" t="n">
        <v>0</v>
      </c>
      <c r="LT347" s="9" t="n">
        <v>0</v>
      </c>
      <c r="LU347" s="9" t="n">
        <v>0</v>
      </c>
      <c r="LY347" s="10" t="n">
        <v>46318</v>
      </c>
      <c r="MA347" s="9" t="n">
        <v>0</v>
      </c>
      <c r="MC347" s="9" t="n">
        <v>0</v>
      </c>
      <c r="MD347" s="9" t="n">
        <v>0</v>
      </c>
      <c r="MH347" s="10" t="n">
        <v>46318</v>
      </c>
      <c r="MJ347" s="9" t="n">
        <v>0</v>
      </c>
      <c r="ML347" s="9" t="n">
        <v>0</v>
      </c>
      <c r="MM347" s="9" t="n">
        <v>0</v>
      </c>
      <c r="MQ347" s="10" t="n">
        <v>46318</v>
      </c>
      <c r="MS347" s="9" t="n">
        <v>0</v>
      </c>
      <c r="MU347" s="9" t="n">
        <v>0</v>
      </c>
      <c r="MV347" s="9" t="n">
        <v>1625</v>
      </c>
      <c r="MZ347" s="10" t="n">
        <v>46318</v>
      </c>
      <c r="NB347" s="9" t="n">
        <v>0</v>
      </c>
      <c r="ND347" s="9" t="n">
        <v>0</v>
      </c>
      <c r="NE347" s="9" t="n">
        <v>0</v>
      </c>
      <c r="NI347" s="10" t="n">
        <v>46318</v>
      </c>
      <c r="NK347" s="9" t="n">
        <v>0</v>
      </c>
      <c r="NM347" s="9" t="n">
        <v>0</v>
      </c>
      <c r="NN347" s="9" t="n">
        <v>1127</v>
      </c>
      <c r="NR347" s="10" t="n">
        <v>46318</v>
      </c>
      <c r="NT347" s="9" t="n">
        <v>0</v>
      </c>
      <c r="NV347" s="9" t="n">
        <v>0</v>
      </c>
      <c r="NW347" s="9" t="n">
        <v>3112</v>
      </c>
      <c r="OA347" s="10" t="n">
        <v>46318</v>
      </c>
      <c r="OC347" s="9" t="n">
        <v>0</v>
      </c>
      <c r="OE347" s="9" t="n">
        <v>0</v>
      </c>
      <c r="OF347" s="9" t="n">
        <v>1680.5</v>
      </c>
      <c r="OJ347" s="10" t="n">
        <v>46318</v>
      </c>
      <c r="OL347" s="9" t="n">
        <v>0</v>
      </c>
      <c r="ON347" s="9" t="n">
        <v>0</v>
      </c>
      <c r="OO347" s="9" t="n">
        <v>0</v>
      </c>
      <c r="OS347" s="10" t="n">
        <v>46318</v>
      </c>
      <c r="OU347" s="9" t="n">
        <v>0</v>
      </c>
      <c r="OW347" s="9" t="n">
        <v>0</v>
      </c>
      <c r="OX347" s="9" t="n">
        <v>1482</v>
      </c>
      <c r="PB347" s="10" t="n">
        <v>46318</v>
      </c>
      <c r="PD347" s="9" t="n">
        <v>0</v>
      </c>
      <c r="PF347" s="9" t="n">
        <v>0</v>
      </c>
      <c r="PG347" s="9" t="n">
        <v>0</v>
      </c>
      <c r="PK347" s="10" t="n">
        <v>46318</v>
      </c>
      <c r="PM347" s="9" t="n">
        <v>0</v>
      </c>
      <c r="PO347" s="9" t="n">
        <v>0</v>
      </c>
      <c r="PP347" s="9" t="n">
        <v>100</v>
      </c>
      <c r="PT347" s="10" t="n">
        <v>46318</v>
      </c>
      <c r="PV347" s="9" t="n">
        <v>0</v>
      </c>
      <c r="PX347" s="9" t="n">
        <v>0</v>
      </c>
      <c r="PY347" s="9" t="n">
        <v>13.96000000000004</v>
      </c>
      <c r="QC347" s="10" t="n">
        <v>46318</v>
      </c>
      <c r="QE347" s="9" t="n">
        <v>0</v>
      </c>
      <c r="QG347" s="9" t="n">
        <v>0</v>
      </c>
      <c r="QH347" s="9" t="n">
        <v>548</v>
      </c>
      <c r="QL347" s="10" t="n">
        <v>46318</v>
      </c>
      <c r="QN347" s="9" t="n">
        <v>0</v>
      </c>
      <c r="QP347" s="9" t="n">
        <v>0</v>
      </c>
      <c r="QQ347" s="9" t="n">
        <v>0</v>
      </c>
      <c r="QU347" s="10" t="n">
        <v>46318</v>
      </c>
      <c r="QW347" s="9" t="n">
        <v>0</v>
      </c>
      <c r="QY347" s="9" t="n">
        <v>0</v>
      </c>
      <c r="QZ347" s="9" t="n">
        <v>0</v>
      </c>
      <c r="RD347" s="10" t="n">
        <v>46318</v>
      </c>
      <c r="RF347" s="9" t="n">
        <v>0</v>
      </c>
      <c r="RH347" s="9" t="n">
        <v>0</v>
      </c>
      <c r="RI347" s="9" t="n">
        <v>147.04</v>
      </c>
      <c r="RM347" s="10" t="n">
        <v>46318</v>
      </c>
      <c r="RO347" s="9" t="n">
        <v>0</v>
      </c>
      <c r="RQ347" s="9" t="n">
        <v>0</v>
      </c>
      <c r="RR347" s="9" t="n">
        <v>46.8</v>
      </c>
      <c r="RV347" s="10" t="n">
        <v>46318</v>
      </c>
      <c r="RX347" s="9" t="n">
        <v>0</v>
      </c>
      <c r="RZ347" s="9" t="n">
        <v>0</v>
      </c>
      <c r="SA347" s="9" t="n">
        <v>0</v>
      </c>
      <c r="SE347" s="10" t="n">
        <v>46318</v>
      </c>
      <c r="SG347" s="9" t="n">
        <v>0</v>
      </c>
      <c r="SI347" s="9" t="n">
        <v>0</v>
      </c>
      <c r="SJ347" s="9" t="n">
        <v>24.2</v>
      </c>
      <c r="SN347" s="10" t="n">
        <v>46318</v>
      </c>
      <c r="SP347" s="9" t="n">
        <v>0</v>
      </c>
      <c r="SR347" s="9" t="n">
        <v>0</v>
      </c>
      <c r="SS347" s="9" t="n">
        <v>32</v>
      </c>
      <c r="SW347" s="10" t="n">
        <v>46318</v>
      </c>
      <c r="SY347" s="9" t="n">
        <v>0</v>
      </c>
      <c r="TA347" s="9" t="n">
        <v>0</v>
      </c>
      <c r="TB347" s="9" t="n">
        <v>0</v>
      </c>
      <c r="TF347" s="10" t="n">
        <v>46318</v>
      </c>
      <c r="TH347" s="9" t="n">
        <v>0</v>
      </c>
      <c r="TJ347" s="9" t="n">
        <v>0</v>
      </c>
      <c r="TK347" s="9" t="n">
        <v>0</v>
      </c>
      <c r="TO347" s="10" t="n">
        <v>46318</v>
      </c>
      <c r="TQ347" s="9" t="n">
        <v>0</v>
      </c>
      <c r="TS347" s="9" t="n">
        <v>0</v>
      </c>
      <c r="TT347" s="9" t="n">
        <v>0</v>
      </c>
      <c r="TX347" s="10" t="n">
        <v>46318</v>
      </c>
      <c r="TZ347" s="9" t="n">
        <v>0</v>
      </c>
      <c r="UB347" s="9" t="n">
        <v>0</v>
      </c>
      <c r="UC347" s="9" t="n">
        <v>46.79999999999998</v>
      </c>
      <c r="UG347" s="10" t="n">
        <v>46318</v>
      </c>
      <c r="UI347" s="9" t="n">
        <v>0</v>
      </c>
      <c r="UK347" s="9" t="n">
        <v>0</v>
      </c>
      <c r="UL347" s="9" t="n">
        <v>204</v>
      </c>
      <c r="UP347" s="10" t="n">
        <v>46318</v>
      </c>
      <c r="UR347" s="9" t="n">
        <v>0</v>
      </c>
      <c r="UT347" s="9" t="n">
        <v>0</v>
      </c>
      <c r="UU347" s="9" t="n">
        <v>202.5</v>
      </c>
      <c r="UY347" s="10" t="n">
        <v>46318</v>
      </c>
      <c r="VA347" s="9" t="n">
        <v>0</v>
      </c>
      <c r="VC347" s="9" t="n">
        <v>0</v>
      </c>
      <c r="VD347" s="9" t="n">
        <v>41.60000000000002</v>
      </c>
      <c r="VH347" s="10" t="n">
        <v>46318</v>
      </c>
      <c r="VJ347" s="9" t="n">
        <v>0</v>
      </c>
      <c r="VL347" s="9" t="n">
        <v>0</v>
      </c>
      <c r="VM347" s="9" t="n">
        <v>210</v>
      </c>
      <c r="VQ347" s="10" t="n">
        <v>46318</v>
      </c>
      <c r="VS347" s="9" t="n">
        <v>0</v>
      </c>
      <c r="VU347" s="9" t="n">
        <v>0</v>
      </c>
      <c r="VV347" s="9" t="n">
        <v>0</v>
      </c>
      <c r="VZ347" s="10" t="n">
        <v>46318</v>
      </c>
      <c r="WB347" s="9" t="n">
        <v>0</v>
      </c>
      <c r="WD347" s="9" t="n">
        <v>0</v>
      </c>
      <c r="WE347" s="9" t="n">
        <v>0</v>
      </c>
      <c r="WI347" s="10" t="n">
        <v>46318</v>
      </c>
      <c r="WK347" s="9" t="n">
        <v>0</v>
      </c>
      <c r="WM347" s="9" t="n">
        <v>0</v>
      </c>
      <c r="WN347" s="9" t="n">
        <v>1057</v>
      </c>
      <c r="WR347" s="10" t="n">
        <v>46318</v>
      </c>
      <c r="WT347" s="9" t="n">
        <v>0</v>
      </c>
      <c r="WV347" s="9" t="n">
        <v>0</v>
      </c>
      <c r="WW347" s="9" t="n">
        <v>0</v>
      </c>
      <c r="XA347" s="10" t="n">
        <v>46318</v>
      </c>
      <c r="XC347" s="9" t="n">
        <v>0</v>
      </c>
      <c r="XE347" s="9" t="n">
        <v>0</v>
      </c>
      <c r="XF347" s="9" t="n">
        <v>7507</v>
      </c>
      <c r="XJ347" s="10" t="n">
        <v>46318</v>
      </c>
      <c r="XL347" s="9" t="n">
        <v>0</v>
      </c>
      <c r="XN347" s="9" t="n">
        <v>0</v>
      </c>
      <c r="XO347" s="9" t="n">
        <v>4252</v>
      </c>
      <c r="XS347" s="10" t="n">
        <v>46318</v>
      </c>
      <c r="XU347" s="9" t="n">
        <v>0</v>
      </c>
      <c r="XW347" s="9" t="n">
        <v>0</v>
      </c>
      <c r="XX347" s="9" t="n">
        <v>2179</v>
      </c>
      <c r="YB347" s="10" t="n">
        <v>46318</v>
      </c>
      <c r="YD347" s="9" t="n">
        <v>0</v>
      </c>
      <c r="YF347" s="9" t="n">
        <v>0</v>
      </c>
      <c r="YG347" s="9" t="n">
        <v>4019</v>
      </c>
      <c r="YK347" s="10" t="n">
        <v>46318</v>
      </c>
      <c r="YM347" s="9" t="n">
        <v>0</v>
      </c>
      <c r="YO347" s="9" t="n">
        <v>0</v>
      </c>
      <c r="YP347" s="9" t="n">
        <v>-218</v>
      </c>
      <c r="YT347" s="10" t="n">
        <v>46318</v>
      </c>
      <c r="YV347" s="9" t="n">
        <v>0</v>
      </c>
      <c r="YX347" s="9" t="n">
        <v>0</v>
      </c>
      <c r="YY347" s="9" t="n">
        <v>0</v>
      </c>
      <c r="ZC347" s="10" t="n">
        <v>46318</v>
      </c>
      <c r="ZE347" s="9" t="n">
        <v>0</v>
      </c>
      <c r="ZG347" s="9" t="n">
        <v>0</v>
      </c>
      <c r="ZH347" s="9" t="n">
        <v>0</v>
      </c>
      <c r="ZL347" s="10" t="n">
        <v>46318</v>
      </c>
      <c r="ZN347" s="9" t="n">
        <v>0</v>
      </c>
      <c r="ZP347" s="9" t="n">
        <v>0</v>
      </c>
      <c r="ZQ347" s="9" t="n">
        <v>0</v>
      </c>
      <c r="ZU347" s="10" t="n">
        <v>46318</v>
      </c>
      <c r="ZW347" s="9" t="n">
        <v>0</v>
      </c>
      <c r="ZY347" s="9" t="n">
        <v>0</v>
      </c>
      <c r="ZZ347" s="9" t="n">
        <v>0</v>
      </c>
      <c r="AAD347" s="10" t="n">
        <v>46318</v>
      </c>
      <c r="AAF347" s="9" t="n">
        <v>0</v>
      </c>
      <c r="AAH347" s="9" t="n">
        <v>0</v>
      </c>
      <c r="AAI347" s="9" t="n">
        <v>0</v>
      </c>
      <c r="AAM347" s="10" t="n">
        <v>46318</v>
      </c>
      <c r="AAO347" s="9" t="n">
        <v>0</v>
      </c>
      <c r="AAQ347" s="9" t="n">
        <v>0</v>
      </c>
      <c r="AAR347" s="9" t="n">
        <v>0</v>
      </c>
      <c r="AAV347" s="10" t="n">
        <v>46318</v>
      </c>
      <c r="AAX347" s="9" t="n">
        <v>0</v>
      </c>
      <c r="AAZ347" s="9" t="n">
        <v>0</v>
      </c>
      <c r="ABA347" s="9" t="n">
        <v>0</v>
      </c>
      <c r="ABE347" s="10" t="n">
        <v>46318</v>
      </c>
      <c r="ABG347" s="9" t="n">
        <v>0</v>
      </c>
      <c r="ABI347" s="9" t="n">
        <v>0</v>
      </c>
      <c r="ABJ347" s="9" t="n">
        <v>0</v>
      </c>
    </row>
    <row r="348">
      <c r="C348" s="10" t="n">
        <v>46319</v>
      </c>
      <c r="E348" s="9" t="n">
        <v>0</v>
      </c>
      <c r="G348" s="9" t="n">
        <v>0</v>
      </c>
      <c r="H348" s="9" t="n">
        <v>236936.6</v>
      </c>
      <c r="L348" s="10" t="n">
        <v>46319</v>
      </c>
      <c r="N348" s="9" t="n">
        <v>0</v>
      </c>
      <c r="P348" s="9" t="n">
        <v>0</v>
      </c>
      <c r="Q348" s="9" t="n">
        <v>53017.60000000007</v>
      </c>
      <c r="U348" s="10" t="n">
        <v>46319</v>
      </c>
      <c r="W348" s="9" t="n">
        <v>0</v>
      </c>
      <c r="Y348" s="9" t="n">
        <v>0</v>
      </c>
      <c r="Z348" s="9" t="n">
        <v>42674.19999999997</v>
      </c>
      <c r="AD348" s="10" t="n">
        <v>46319</v>
      </c>
      <c r="AF348" s="9" t="n">
        <v>0</v>
      </c>
      <c r="AH348" s="9" t="n">
        <v>0</v>
      </c>
      <c r="AI348" s="9" t="n">
        <v>4522.200000000019</v>
      </c>
      <c r="AM348" s="10" t="n">
        <v>46319</v>
      </c>
      <c r="AO348" s="9" t="n">
        <v>0</v>
      </c>
      <c r="AQ348" s="9" t="n">
        <v>0</v>
      </c>
      <c r="AR348" s="9" t="n">
        <v>0</v>
      </c>
      <c r="AV348" s="10" t="n">
        <v>46319</v>
      </c>
      <c r="AX348" s="9" t="n">
        <v>0</v>
      </c>
      <c r="AZ348" s="9" t="n">
        <v>0</v>
      </c>
      <c r="BA348" s="9" t="n">
        <v>124.9999999999952</v>
      </c>
      <c r="BE348" s="10" t="n">
        <v>46319</v>
      </c>
      <c r="BG348" s="9" t="n">
        <v>0</v>
      </c>
      <c r="BI348" s="9" t="n">
        <v>0</v>
      </c>
      <c r="BJ348" s="9" t="n">
        <v>26151.9</v>
      </c>
      <c r="BN348" s="10" t="n">
        <v>46319</v>
      </c>
      <c r="BP348" s="9" t="n">
        <v>0</v>
      </c>
      <c r="BR348" s="9" t="n">
        <v>0</v>
      </c>
      <c r="BS348" s="9" t="n">
        <v>0</v>
      </c>
      <c r="BW348" s="10" t="n">
        <v>46319</v>
      </c>
      <c r="BY348" s="9" t="n">
        <v>0</v>
      </c>
      <c r="CA348" s="9" t="n">
        <v>0</v>
      </c>
      <c r="CB348" s="9" t="n">
        <v>2097.339999999999</v>
      </c>
      <c r="CF348" s="10" t="n">
        <v>46319</v>
      </c>
      <c r="CH348" s="9" t="n">
        <v>0</v>
      </c>
      <c r="CJ348" s="9" t="n">
        <v>0</v>
      </c>
      <c r="CK348" s="9" t="n">
        <v>-10277.08</v>
      </c>
      <c r="CO348" s="10" t="n">
        <v>46319</v>
      </c>
      <c r="CQ348" s="9" t="n">
        <v>0</v>
      </c>
      <c r="CS348" s="9" t="n">
        <v>0</v>
      </c>
      <c r="CT348" s="9" t="n">
        <v>0</v>
      </c>
      <c r="CX348" s="10" t="n">
        <v>46319</v>
      </c>
      <c r="CZ348" s="9" t="n">
        <v>0</v>
      </c>
      <c r="DB348" s="9" t="n">
        <v>0</v>
      </c>
      <c r="DC348" s="9" t="n">
        <v>27438.20000000001</v>
      </c>
      <c r="DG348" s="10" t="n">
        <v>46319</v>
      </c>
      <c r="DI348" s="9" t="n">
        <v>0</v>
      </c>
      <c r="DK348" s="9" t="n">
        <v>0</v>
      </c>
      <c r="DL348" s="9" t="n">
        <v>18782.29999999998</v>
      </c>
      <c r="DP348" s="10" t="n">
        <v>46319</v>
      </c>
      <c r="DR348" s="9" t="n">
        <v>0</v>
      </c>
      <c r="DT348" s="9" t="n">
        <v>0</v>
      </c>
      <c r="DU348" s="9" t="n">
        <v>5800</v>
      </c>
      <c r="DY348" s="10" t="n">
        <v>46319</v>
      </c>
      <c r="EA348" s="9" t="n">
        <v>0</v>
      </c>
      <c r="EC348" s="9" t="n">
        <v>0</v>
      </c>
      <c r="ED348" s="9" t="n">
        <v>0</v>
      </c>
      <c r="EH348" s="10" t="n">
        <v>46319</v>
      </c>
      <c r="EJ348" s="9" t="n">
        <v>0</v>
      </c>
      <c r="EL348" s="9" t="n">
        <v>0</v>
      </c>
      <c r="EM348" s="9" t="n">
        <v>0</v>
      </c>
      <c r="EQ348" s="10" t="n">
        <v>46319</v>
      </c>
      <c r="ES348" s="9" t="n">
        <v>0</v>
      </c>
      <c r="EU348" s="9" t="n">
        <v>0</v>
      </c>
      <c r="EV348" s="9" t="n">
        <v>0</v>
      </c>
      <c r="EZ348" s="10" t="n">
        <v>46319</v>
      </c>
      <c r="FB348" s="9" t="n">
        <v>0</v>
      </c>
      <c r="FD348" s="9" t="n">
        <v>0</v>
      </c>
      <c r="FE348" s="9" t="n">
        <v>0</v>
      </c>
      <c r="FI348" s="10" t="n">
        <v>46319</v>
      </c>
      <c r="FK348" s="9" t="n">
        <v>0</v>
      </c>
      <c r="FM348" s="9" t="n">
        <v>0</v>
      </c>
      <c r="FN348" s="9" t="n">
        <v>0</v>
      </c>
      <c r="FR348" s="10" t="n">
        <v>46319</v>
      </c>
      <c r="FT348" s="9" t="n">
        <v>0</v>
      </c>
      <c r="FV348" s="9" t="n">
        <v>0</v>
      </c>
      <c r="FW348" s="9" t="n">
        <v>2020</v>
      </c>
      <c r="GA348" s="10" t="n">
        <v>46319</v>
      </c>
      <c r="GC348" s="9" t="n">
        <v>0</v>
      </c>
      <c r="GE348" s="9" t="n">
        <v>0</v>
      </c>
      <c r="GF348" s="9" t="n">
        <v>960</v>
      </c>
      <c r="GJ348" s="10" t="n">
        <v>46319</v>
      </c>
      <c r="GL348" s="9" t="n">
        <v>0</v>
      </c>
      <c r="GN348" s="9" t="n">
        <v>0</v>
      </c>
      <c r="GO348" s="9" t="n">
        <v>1760</v>
      </c>
      <c r="GS348" s="10" t="n">
        <v>46319</v>
      </c>
      <c r="GU348" s="9" t="n">
        <v>0</v>
      </c>
      <c r="GW348" s="9" t="n">
        <v>0</v>
      </c>
      <c r="GX348" s="9" t="n">
        <v>400</v>
      </c>
      <c r="HB348" s="10" t="n">
        <v>46319</v>
      </c>
      <c r="HD348" s="9" t="n">
        <v>0</v>
      </c>
      <c r="HF348" s="9" t="n">
        <v>0</v>
      </c>
      <c r="HG348" s="9" t="n">
        <v>3600</v>
      </c>
      <c r="HK348" s="10" t="n">
        <v>46319</v>
      </c>
      <c r="HM348" s="9" t="n">
        <v>0</v>
      </c>
      <c r="HO348" s="9" t="n">
        <v>0</v>
      </c>
      <c r="HP348" s="9" t="n">
        <v>0</v>
      </c>
      <c r="HU348" s="10" t="n">
        <v>46319</v>
      </c>
      <c r="HW348" s="9" t="n">
        <v>0</v>
      </c>
      <c r="HY348" s="9" t="n">
        <v>0</v>
      </c>
      <c r="HZ348" s="9" t="n">
        <v>6120</v>
      </c>
      <c r="ID348" s="10" t="n">
        <v>46319</v>
      </c>
      <c r="IF348" s="9" t="n">
        <v>0</v>
      </c>
      <c r="IH348" s="9" t="n">
        <v>0</v>
      </c>
      <c r="II348" s="9" t="n">
        <v>0</v>
      </c>
      <c r="IM348" s="10" t="n">
        <v>46319</v>
      </c>
      <c r="IO348" s="9" t="n">
        <v>0</v>
      </c>
      <c r="IQ348" s="9" t="n">
        <v>0</v>
      </c>
      <c r="IR348" s="9" t="n">
        <v>0</v>
      </c>
      <c r="IV348" s="10" t="n">
        <v>46319</v>
      </c>
      <c r="IX348" s="9" t="n">
        <v>0</v>
      </c>
      <c r="IZ348" s="9" t="n">
        <v>0</v>
      </c>
      <c r="JA348" s="9" t="n">
        <v>2820</v>
      </c>
      <c r="JE348" s="10" t="n">
        <v>46319</v>
      </c>
      <c r="JG348" s="9" t="n">
        <v>0</v>
      </c>
      <c r="JI348" s="9" t="n">
        <v>0</v>
      </c>
      <c r="JJ348" s="9" t="n">
        <v>0</v>
      </c>
      <c r="JN348" s="10" t="n">
        <v>46319</v>
      </c>
      <c r="JP348" s="9" t="n">
        <v>0</v>
      </c>
      <c r="JR348" s="9" t="n">
        <v>0</v>
      </c>
      <c r="JS348" s="9" t="n">
        <v>0</v>
      </c>
      <c r="JW348" s="10" t="n">
        <v>46319</v>
      </c>
      <c r="JY348" s="9" t="n">
        <v>0</v>
      </c>
      <c r="KA348" s="9" t="n">
        <v>0</v>
      </c>
      <c r="KB348" s="9" t="n">
        <v>2540</v>
      </c>
      <c r="KF348" s="10" t="n">
        <v>46319</v>
      </c>
      <c r="KH348" s="9" t="n">
        <v>0</v>
      </c>
      <c r="KJ348" s="9" t="n">
        <v>0</v>
      </c>
      <c r="KK348" s="9" t="n">
        <v>2359.5</v>
      </c>
      <c r="KO348" s="10" t="n">
        <v>46319</v>
      </c>
      <c r="KQ348" s="9" t="n">
        <v>0</v>
      </c>
      <c r="KS348" s="9" t="n">
        <v>0</v>
      </c>
      <c r="KT348" s="9" t="n">
        <v>1890</v>
      </c>
      <c r="KX348" s="10" t="n">
        <v>46319</v>
      </c>
      <c r="KZ348" s="9" t="n">
        <v>0</v>
      </c>
      <c r="LB348" s="9" t="n">
        <v>0</v>
      </c>
      <c r="LC348" s="9" t="n">
        <v>3690</v>
      </c>
      <c r="LG348" s="10" t="n">
        <v>46319</v>
      </c>
      <c r="LI348" s="9" t="n">
        <v>0</v>
      </c>
      <c r="LK348" s="9" t="n">
        <v>0</v>
      </c>
      <c r="LL348" s="9" t="n">
        <v>4000</v>
      </c>
      <c r="LP348" s="10" t="n">
        <v>46319</v>
      </c>
      <c r="LR348" s="9" t="n">
        <v>0</v>
      </c>
      <c r="LT348" s="9" t="n">
        <v>0</v>
      </c>
      <c r="LU348" s="9" t="n">
        <v>0</v>
      </c>
      <c r="LY348" s="10" t="n">
        <v>46319</v>
      </c>
      <c r="MA348" s="9" t="n">
        <v>0</v>
      </c>
      <c r="MC348" s="9" t="n">
        <v>0</v>
      </c>
      <c r="MD348" s="9" t="n">
        <v>0</v>
      </c>
      <c r="MH348" s="10" t="n">
        <v>46319</v>
      </c>
      <c r="MJ348" s="9" t="n">
        <v>0</v>
      </c>
      <c r="ML348" s="9" t="n">
        <v>0</v>
      </c>
      <c r="MM348" s="9" t="n">
        <v>0</v>
      </c>
      <c r="MQ348" s="10" t="n">
        <v>46319</v>
      </c>
      <c r="MS348" s="9" t="n">
        <v>0</v>
      </c>
      <c r="MU348" s="9" t="n">
        <v>0</v>
      </c>
      <c r="MV348" s="9" t="n">
        <v>1625</v>
      </c>
      <c r="MZ348" s="10" t="n">
        <v>46319</v>
      </c>
      <c r="NB348" s="9" t="n">
        <v>0</v>
      </c>
      <c r="ND348" s="9" t="n">
        <v>0</v>
      </c>
      <c r="NE348" s="9" t="n">
        <v>0</v>
      </c>
      <c r="NI348" s="10" t="n">
        <v>46319</v>
      </c>
      <c r="NK348" s="9" t="n">
        <v>0</v>
      </c>
      <c r="NM348" s="9" t="n">
        <v>0</v>
      </c>
      <c r="NN348" s="9" t="n">
        <v>1127</v>
      </c>
      <c r="NR348" s="10" t="n">
        <v>46319</v>
      </c>
      <c r="NT348" s="9" t="n">
        <v>0</v>
      </c>
      <c r="NV348" s="9" t="n">
        <v>0</v>
      </c>
      <c r="NW348" s="9" t="n">
        <v>3112</v>
      </c>
      <c r="OA348" s="10" t="n">
        <v>46319</v>
      </c>
      <c r="OC348" s="9" t="n">
        <v>0</v>
      </c>
      <c r="OE348" s="9" t="n">
        <v>0</v>
      </c>
      <c r="OF348" s="9" t="n">
        <v>1680.5</v>
      </c>
      <c r="OJ348" s="10" t="n">
        <v>46319</v>
      </c>
      <c r="OL348" s="9" t="n">
        <v>0</v>
      </c>
      <c r="ON348" s="9" t="n">
        <v>0</v>
      </c>
      <c r="OO348" s="9" t="n">
        <v>0</v>
      </c>
      <c r="OS348" s="10" t="n">
        <v>46319</v>
      </c>
      <c r="OU348" s="9" t="n">
        <v>0</v>
      </c>
      <c r="OW348" s="9" t="n">
        <v>0</v>
      </c>
      <c r="OX348" s="9" t="n">
        <v>1482</v>
      </c>
      <c r="PB348" s="10" t="n">
        <v>46319</v>
      </c>
      <c r="PD348" s="9" t="n">
        <v>0</v>
      </c>
      <c r="PF348" s="9" t="n">
        <v>0</v>
      </c>
      <c r="PG348" s="9" t="n">
        <v>0</v>
      </c>
      <c r="PK348" s="10" t="n">
        <v>46319</v>
      </c>
      <c r="PM348" s="9" t="n">
        <v>0</v>
      </c>
      <c r="PO348" s="9" t="n">
        <v>0</v>
      </c>
      <c r="PP348" s="9" t="n">
        <v>100</v>
      </c>
      <c r="PT348" s="10" t="n">
        <v>46319</v>
      </c>
      <c r="PV348" s="9" t="n">
        <v>0</v>
      </c>
      <c r="PX348" s="9" t="n">
        <v>0</v>
      </c>
      <c r="PY348" s="9" t="n">
        <v>13.96000000000004</v>
      </c>
      <c r="QC348" s="10" t="n">
        <v>46319</v>
      </c>
      <c r="QE348" s="9" t="n">
        <v>0</v>
      </c>
      <c r="QG348" s="9" t="n">
        <v>0</v>
      </c>
      <c r="QH348" s="9" t="n">
        <v>548</v>
      </c>
      <c r="QL348" s="10" t="n">
        <v>46319</v>
      </c>
      <c r="QN348" s="9" t="n">
        <v>0</v>
      </c>
      <c r="QP348" s="9" t="n">
        <v>0</v>
      </c>
      <c r="QQ348" s="9" t="n">
        <v>0</v>
      </c>
      <c r="QU348" s="10" t="n">
        <v>46319</v>
      </c>
      <c r="QW348" s="9" t="n">
        <v>0</v>
      </c>
      <c r="QY348" s="9" t="n">
        <v>0</v>
      </c>
      <c r="QZ348" s="9" t="n">
        <v>0</v>
      </c>
      <c r="RD348" s="10" t="n">
        <v>46319</v>
      </c>
      <c r="RF348" s="9" t="n">
        <v>0</v>
      </c>
      <c r="RH348" s="9" t="n">
        <v>0</v>
      </c>
      <c r="RI348" s="9" t="n">
        <v>147.04</v>
      </c>
      <c r="RM348" s="10" t="n">
        <v>46319</v>
      </c>
      <c r="RO348" s="9" t="n">
        <v>0</v>
      </c>
      <c r="RQ348" s="9" t="n">
        <v>0</v>
      </c>
      <c r="RR348" s="9" t="n">
        <v>46.8</v>
      </c>
      <c r="RV348" s="10" t="n">
        <v>46319</v>
      </c>
      <c r="RX348" s="9" t="n">
        <v>0</v>
      </c>
      <c r="RZ348" s="9" t="n">
        <v>0</v>
      </c>
      <c r="SA348" s="9" t="n">
        <v>0</v>
      </c>
      <c r="SE348" s="10" t="n">
        <v>46319</v>
      </c>
      <c r="SG348" s="9" t="n">
        <v>0</v>
      </c>
      <c r="SI348" s="9" t="n">
        <v>0</v>
      </c>
      <c r="SJ348" s="9" t="n">
        <v>24.2</v>
      </c>
      <c r="SN348" s="10" t="n">
        <v>46319</v>
      </c>
      <c r="SP348" s="9" t="n">
        <v>0</v>
      </c>
      <c r="SR348" s="9" t="n">
        <v>0</v>
      </c>
      <c r="SS348" s="9" t="n">
        <v>32</v>
      </c>
      <c r="SW348" s="10" t="n">
        <v>46319</v>
      </c>
      <c r="SY348" s="9" t="n">
        <v>0</v>
      </c>
      <c r="TA348" s="9" t="n">
        <v>0</v>
      </c>
      <c r="TB348" s="9" t="n">
        <v>0</v>
      </c>
      <c r="TF348" s="10" t="n">
        <v>46319</v>
      </c>
      <c r="TH348" s="9" t="n">
        <v>0</v>
      </c>
      <c r="TJ348" s="9" t="n">
        <v>0</v>
      </c>
      <c r="TK348" s="9" t="n">
        <v>0</v>
      </c>
      <c r="TO348" s="10" t="n">
        <v>46319</v>
      </c>
      <c r="TQ348" s="9" t="n">
        <v>0</v>
      </c>
      <c r="TS348" s="9" t="n">
        <v>0</v>
      </c>
      <c r="TT348" s="9" t="n">
        <v>0</v>
      </c>
      <c r="TX348" s="10" t="n">
        <v>46319</v>
      </c>
      <c r="TZ348" s="9" t="n">
        <v>0</v>
      </c>
      <c r="UB348" s="9" t="n">
        <v>0</v>
      </c>
      <c r="UC348" s="9" t="n">
        <v>46.79999999999998</v>
      </c>
      <c r="UG348" s="10" t="n">
        <v>46319</v>
      </c>
      <c r="UI348" s="9" t="n">
        <v>0</v>
      </c>
      <c r="UK348" s="9" t="n">
        <v>0</v>
      </c>
      <c r="UL348" s="9" t="n">
        <v>204</v>
      </c>
      <c r="UP348" s="10" t="n">
        <v>46319</v>
      </c>
      <c r="UR348" s="9" t="n">
        <v>0</v>
      </c>
      <c r="UT348" s="9" t="n">
        <v>0</v>
      </c>
      <c r="UU348" s="9" t="n">
        <v>202.5</v>
      </c>
      <c r="UY348" s="10" t="n">
        <v>46319</v>
      </c>
      <c r="VA348" s="9" t="n">
        <v>0</v>
      </c>
      <c r="VC348" s="9" t="n">
        <v>0</v>
      </c>
      <c r="VD348" s="9" t="n">
        <v>41.60000000000002</v>
      </c>
      <c r="VH348" s="10" t="n">
        <v>46319</v>
      </c>
      <c r="VJ348" s="9" t="n">
        <v>0</v>
      </c>
      <c r="VL348" s="9" t="n">
        <v>0</v>
      </c>
      <c r="VM348" s="9" t="n">
        <v>210</v>
      </c>
      <c r="VQ348" s="10" t="n">
        <v>46319</v>
      </c>
      <c r="VS348" s="9" t="n">
        <v>0</v>
      </c>
      <c r="VU348" s="9" t="n">
        <v>0</v>
      </c>
      <c r="VV348" s="9" t="n">
        <v>0</v>
      </c>
      <c r="VZ348" s="10" t="n">
        <v>46319</v>
      </c>
      <c r="WB348" s="9" t="n">
        <v>0</v>
      </c>
      <c r="WD348" s="9" t="n">
        <v>0</v>
      </c>
      <c r="WE348" s="9" t="n">
        <v>0</v>
      </c>
      <c r="WI348" s="10" t="n">
        <v>46319</v>
      </c>
      <c r="WK348" s="9" t="n">
        <v>0</v>
      </c>
      <c r="WM348" s="9" t="n">
        <v>0</v>
      </c>
      <c r="WN348" s="9" t="n">
        <v>1057</v>
      </c>
      <c r="WR348" s="10" t="n">
        <v>46319</v>
      </c>
      <c r="WT348" s="9" t="n">
        <v>0</v>
      </c>
      <c r="WV348" s="9" t="n">
        <v>0</v>
      </c>
      <c r="WW348" s="9" t="n">
        <v>0</v>
      </c>
      <c r="XA348" s="10" t="n">
        <v>46319</v>
      </c>
      <c r="XC348" s="9" t="n">
        <v>0</v>
      </c>
      <c r="XE348" s="9" t="n">
        <v>0</v>
      </c>
      <c r="XF348" s="9" t="n">
        <v>7507</v>
      </c>
      <c r="XJ348" s="10" t="n">
        <v>46319</v>
      </c>
      <c r="XL348" s="9" t="n">
        <v>0</v>
      </c>
      <c r="XN348" s="9" t="n">
        <v>0</v>
      </c>
      <c r="XO348" s="9" t="n">
        <v>4252</v>
      </c>
      <c r="XS348" s="10" t="n">
        <v>46319</v>
      </c>
      <c r="XU348" s="9" t="n">
        <v>0</v>
      </c>
      <c r="XW348" s="9" t="n">
        <v>0</v>
      </c>
      <c r="XX348" s="9" t="n">
        <v>2179</v>
      </c>
      <c r="YB348" s="10" t="n">
        <v>46319</v>
      </c>
      <c r="YD348" s="9" t="n">
        <v>0</v>
      </c>
      <c r="YF348" s="9" t="n">
        <v>0</v>
      </c>
      <c r="YG348" s="9" t="n">
        <v>4019</v>
      </c>
      <c r="YK348" s="10" t="n">
        <v>46319</v>
      </c>
      <c r="YM348" s="9" t="n">
        <v>0</v>
      </c>
      <c r="YO348" s="9" t="n">
        <v>0</v>
      </c>
      <c r="YP348" s="9" t="n">
        <v>-218</v>
      </c>
      <c r="YT348" s="10" t="n">
        <v>46319</v>
      </c>
      <c r="YV348" s="9" t="n">
        <v>0</v>
      </c>
      <c r="YX348" s="9" t="n">
        <v>0</v>
      </c>
      <c r="YY348" s="9" t="n">
        <v>0</v>
      </c>
      <c r="ZC348" s="10" t="n">
        <v>46319</v>
      </c>
      <c r="ZE348" s="9" t="n">
        <v>0</v>
      </c>
      <c r="ZG348" s="9" t="n">
        <v>0</v>
      </c>
      <c r="ZH348" s="9" t="n">
        <v>0</v>
      </c>
      <c r="ZL348" s="10" t="n">
        <v>46319</v>
      </c>
      <c r="ZN348" s="9" t="n">
        <v>0</v>
      </c>
      <c r="ZP348" s="9" t="n">
        <v>0</v>
      </c>
      <c r="ZQ348" s="9" t="n">
        <v>0</v>
      </c>
      <c r="ZU348" s="10" t="n">
        <v>46319</v>
      </c>
      <c r="ZW348" s="9" t="n">
        <v>0</v>
      </c>
      <c r="ZY348" s="9" t="n">
        <v>0</v>
      </c>
      <c r="ZZ348" s="9" t="n">
        <v>0</v>
      </c>
      <c r="AAD348" s="10" t="n">
        <v>46319</v>
      </c>
      <c r="AAF348" s="9" t="n">
        <v>0</v>
      </c>
      <c r="AAH348" s="9" t="n">
        <v>0</v>
      </c>
      <c r="AAI348" s="9" t="n">
        <v>0</v>
      </c>
      <c r="AAM348" s="10" t="n">
        <v>46319</v>
      </c>
      <c r="AAO348" s="9" t="n">
        <v>0</v>
      </c>
      <c r="AAQ348" s="9" t="n">
        <v>0</v>
      </c>
      <c r="AAR348" s="9" t="n">
        <v>0</v>
      </c>
      <c r="AAV348" s="10" t="n">
        <v>46319</v>
      </c>
      <c r="AAX348" s="9" t="n">
        <v>0</v>
      </c>
      <c r="AAZ348" s="9" t="n">
        <v>0</v>
      </c>
      <c r="ABA348" s="9" t="n">
        <v>0</v>
      </c>
      <c r="ABE348" s="10" t="n">
        <v>46319</v>
      </c>
      <c r="ABG348" s="9" t="n">
        <v>0</v>
      </c>
      <c r="ABI348" s="9" t="n">
        <v>0</v>
      </c>
      <c r="ABJ348" s="9" t="n">
        <v>0</v>
      </c>
    </row>
    <row r="349">
      <c r="C349" s="10" t="n">
        <v>46320</v>
      </c>
      <c r="E349" s="9" t="n">
        <v>0</v>
      </c>
      <c r="G349" s="9" t="n">
        <v>0</v>
      </c>
      <c r="H349" s="9" t="n">
        <v>236936.6</v>
      </c>
      <c r="L349" s="10" t="n">
        <v>46320</v>
      </c>
      <c r="N349" s="9" t="n">
        <v>0</v>
      </c>
      <c r="P349" s="9" t="n">
        <v>0</v>
      </c>
      <c r="Q349" s="9" t="n">
        <v>53017.60000000007</v>
      </c>
      <c r="U349" s="10" t="n">
        <v>46320</v>
      </c>
      <c r="W349" s="9" t="n">
        <v>0</v>
      </c>
      <c r="Y349" s="9" t="n">
        <v>0</v>
      </c>
      <c r="Z349" s="9" t="n">
        <v>42674.19999999997</v>
      </c>
      <c r="AD349" s="10" t="n">
        <v>46320</v>
      </c>
      <c r="AF349" s="9" t="n">
        <v>0</v>
      </c>
      <c r="AH349" s="9" t="n">
        <v>0</v>
      </c>
      <c r="AI349" s="9" t="n">
        <v>4522.200000000019</v>
      </c>
      <c r="AM349" s="10" t="n">
        <v>46320</v>
      </c>
      <c r="AO349" s="9" t="n">
        <v>0</v>
      </c>
      <c r="AQ349" s="9" t="n">
        <v>0</v>
      </c>
      <c r="AR349" s="9" t="n">
        <v>0</v>
      </c>
      <c r="AV349" s="10" t="n">
        <v>46320</v>
      </c>
      <c r="AX349" s="9" t="n">
        <v>0</v>
      </c>
      <c r="AZ349" s="9" t="n">
        <v>0</v>
      </c>
      <c r="BA349" s="9" t="n">
        <v>124.9999999999952</v>
      </c>
      <c r="BE349" s="10" t="n">
        <v>46320</v>
      </c>
      <c r="BG349" s="9" t="n">
        <v>0</v>
      </c>
      <c r="BI349" s="9" t="n">
        <v>0</v>
      </c>
      <c r="BJ349" s="9" t="n">
        <v>26151.9</v>
      </c>
      <c r="BN349" s="10" t="n">
        <v>46320</v>
      </c>
      <c r="BP349" s="9" t="n">
        <v>0</v>
      </c>
      <c r="BR349" s="9" t="n">
        <v>0</v>
      </c>
      <c r="BS349" s="9" t="n">
        <v>0</v>
      </c>
      <c r="BW349" s="10" t="n">
        <v>46320</v>
      </c>
      <c r="BY349" s="9" t="n">
        <v>0</v>
      </c>
      <c r="CA349" s="9" t="n">
        <v>0</v>
      </c>
      <c r="CB349" s="9" t="n">
        <v>2097.339999999999</v>
      </c>
      <c r="CF349" s="10" t="n">
        <v>46320</v>
      </c>
      <c r="CH349" s="9" t="n">
        <v>0</v>
      </c>
      <c r="CJ349" s="9" t="n">
        <v>0</v>
      </c>
      <c r="CK349" s="9" t="n">
        <v>-10277.08</v>
      </c>
      <c r="CO349" s="10" t="n">
        <v>46320</v>
      </c>
      <c r="CQ349" s="9" t="n">
        <v>0</v>
      </c>
      <c r="CS349" s="9" t="n">
        <v>0</v>
      </c>
      <c r="CT349" s="9" t="n">
        <v>0</v>
      </c>
      <c r="CX349" s="10" t="n">
        <v>46320</v>
      </c>
      <c r="CZ349" s="9" t="n">
        <v>0</v>
      </c>
      <c r="DB349" s="9" t="n">
        <v>0</v>
      </c>
      <c r="DC349" s="9" t="n">
        <v>27438.20000000001</v>
      </c>
      <c r="DG349" s="10" t="n">
        <v>46320</v>
      </c>
      <c r="DI349" s="9" t="n">
        <v>0</v>
      </c>
      <c r="DK349" s="9" t="n">
        <v>0</v>
      </c>
      <c r="DL349" s="9" t="n">
        <v>18782.29999999998</v>
      </c>
      <c r="DP349" s="10" t="n">
        <v>46320</v>
      </c>
      <c r="DR349" s="9" t="n">
        <v>0</v>
      </c>
      <c r="DT349" s="9" t="n">
        <v>0</v>
      </c>
      <c r="DU349" s="9" t="n">
        <v>5800</v>
      </c>
      <c r="DY349" s="10" t="n">
        <v>46320</v>
      </c>
      <c r="EA349" s="9" t="n">
        <v>0</v>
      </c>
      <c r="EC349" s="9" t="n">
        <v>0</v>
      </c>
      <c r="ED349" s="9" t="n">
        <v>0</v>
      </c>
      <c r="EH349" s="10" t="n">
        <v>46320</v>
      </c>
      <c r="EJ349" s="9" t="n">
        <v>0</v>
      </c>
      <c r="EL349" s="9" t="n">
        <v>0</v>
      </c>
      <c r="EM349" s="9" t="n">
        <v>0</v>
      </c>
      <c r="EQ349" s="10" t="n">
        <v>46320</v>
      </c>
      <c r="ES349" s="9" t="n">
        <v>0</v>
      </c>
      <c r="EU349" s="9" t="n">
        <v>0</v>
      </c>
      <c r="EV349" s="9" t="n">
        <v>0</v>
      </c>
      <c r="EZ349" s="10" t="n">
        <v>46320</v>
      </c>
      <c r="FB349" s="9" t="n">
        <v>0</v>
      </c>
      <c r="FD349" s="9" t="n">
        <v>0</v>
      </c>
      <c r="FE349" s="9" t="n">
        <v>0</v>
      </c>
      <c r="FI349" s="10" t="n">
        <v>46320</v>
      </c>
      <c r="FK349" s="9" t="n">
        <v>0</v>
      </c>
      <c r="FM349" s="9" t="n">
        <v>0</v>
      </c>
      <c r="FN349" s="9" t="n">
        <v>0</v>
      </c>
      <c r="FR349" s="10" t="n">
        <v>46320</v>
      </c>
      <c r="FT349" s="9" t="n">
        <v>0</v>
      </c>
      <c r="FV349" s="9" t="n">
        <v>0</v>
      </c>
      <c r="FW349" s="9" t="n">
        <v>2020</v>
      </c>
      <c r="GA349" s="10" t="n">
        <v>46320</v>
      </c>
      <c r="GC349" s="9" t="n">
        <v>0</v>
      </c>
      <c r="GE349" s="9" t="n">
        <v>0</v>
      </c>
      <c r="GF349" s="9" t="n">
        <v>960</v>
      </c>
      <c r="GJ349" s="10" t="n">
        <v>46320</v>
      </c>
      <c r="GL349" s="9" t="n">
        <v>0</v>
      </c>
      <c r="GN349" s="9" t="n">
        <v>0</v>
      </c>
      <c r="GO349" s="9" t="n">
        <v>1760</v>
      </c>
      <c r="GS349" s="10" t="n">
        <v>46320</v>
      </c>
      <c r="GU349" s="9" t="n">
        <v>0</v>
      </c>
      <c r="GW349" s="9" t="n">
        <v>0</v>
      </c>
      <c r="GX349" s="9" t="n">
        <v>400</v>
      </c>
      <c r="HB349" s="10" t="n">
        <v>46320</v>
      </c>
      <c r="HD349" s="9" t="n">
        <v>0</v>
      </c>
      <c r="HF349" s="9" t="n">
        <v>0</v>
      </c>
      <c r="HG349" s="9" t="n">
        <v>3600</v>
      </c>
      <c r="HK349" s="10" t="n">
        <v>46320</v>
      </c>
      <c r="HM349" s="9" t="n">
        <v>0</v>
      </c>
      <c r="HO349" s="9" t="n">
        <v>0</v>
      </c>
      <c r="HP349" s="9" t="n">
        <v>0</v>
      </c>
      <c r="HU349" s="10" t="n">
        <v>46320</v>
      </c>
      <c r="HW349" s="9" t="n">
        <v>0</v>
      </c>
      <c r="HY349" s="9" t="n">
        <v>0</v>
      </c>
      <c r="HZ349" s="9" t="n">
        <v>6120</v>
      </c>
      <c r="ID349" s="10" t="n">
        <v>46320</v>
      </c>
      <c r="IF349" s="9" t="n">
        <v>0</v>
      </c>
      <c r="IH349" s="9" t="n">
        <v>0</v>
      </c>
      <c r="II349" s="9" t="n">
        <v>0</v>
      </c>
      <c r="IM349" s="10" t="n">
        <v>46320</v>
      </c>
      <c r="IO349" s="9" t="n">
        <v>0</v>
      </c>
      <c r="IQ349" s="9" t="n">
        <v>0</v>
      </c>
      <c r="IR349" s="9" t="n">
        <v>0</v>
      </c>
      <c r="IV349" s="10" t="n">
        <v>46320</v>
      </c>
      <c r="IX349" s="9" t="n">
        <v>0</v>
      </c>
      <c r="IZ349" s="9" t="n">
        <v>0</v>
      </c>
      <c r="JA349" s="9" t="n">
        <v>2820</v>
      </c>
      <c r="JE349" s="10" t="n">
        <v>46320</v>
      </c>
      <c r="JG349" s="9" t="n">
        <v>0</v>
      </c>
      <c r="JI349" s="9" t="n">
        <v>0</v>
      </c>
      <c r="JJ349" s="9" t="n">
        <v>0</v>
      </c>
      <c r="JN349" s="10" t="n">
        <v>46320</v>
      </c>
      <c r="JP349" s="9" t="n">
        <v>0</v>
      </c>
      <c r="JR349" s="9" t="n">
        <v>0</v>
      </c>
      <c r="JS349" s="9" t="n">
        <v>0</v>
      </c>
      <c r="JW349" s="10" t="n">
        <v>46320</v>
      </c>
      <c r="JY349" s="9" t="n">
        <v>0</v>
      </c>
      <c r="KA349" s="9" t="n">
        <v>0</v>
      </c>
      <c r="KB349" s="9" t="n">
        <v>2540</v>
      </c>
      <c r="KF349" s="10" t="n">
        <v>46320</v>
      </c>
      <c r="KH349" s="9" t="n">
        <v>0</v>
      </c>
      <c r="KJ349" s="9" t="n">
        <v>0</v>
      </c>
      <c r="KK349" s="9" t="n">
        <v>2359.5</v>
      </c>
      <c r="KO349" s="10" t="n">
        <v>46320</v>
      </c>
      <c r="KQ349" s="9" t="n">
        <v>0</v>
      </c>
      <c r="KS349" s="9" t="n">
        <v>0</v>
      </c>
      <c r="KT349" s="9" t="n">
        <v>1890</v>
      </c>
      <c r="KX349" s="10" t="n">
        <v>46320</v>
      </c>
      <c r="KZ349" s="9" t="n">
        <v>0</v>
      </c>
      <c r="LB349" s="9" t="n">
        <v>0</v>
      </c>
      <c r="LC349" s="9" t="n">
        <v>3690</v>
      </c>
      <c r="LG349" s="10" t="n">
        <v>46320</v>
      </c>
      <c r="LI349" s="9" t="n">
        <v>0</v>
      </c>
      <c r="LK349" s="9" t="n">
        <v>0</v>
      </c>
      <c r="LL349" s="9" t="n">
        <v>4000</v>
      </c>
      <c r="LP349" s="10" t="n">
        <v>46320</v>
      </c>
      <c r="LR349" s="9" t="n">
        <v>0</v>
      </c>
      <c r="LT349" s="9" t="n">
        <v>0</v>
      </c>
      <c r="LU349" s="9" t="n">
        <v>0</v>
      </c>
      <c r="LY349" s="10" t="n">
        <v>46320</v>
      </c>
      <c r="MA349" s="9" t="n">
        <v>0</v>
      </c>
      <c r="MC349" s="9" t="n">
        <v>0</v>
      </c>
      <c r="MD349" s="9" t="n">
        <v>0</v>
      </c>
      <c r="MH349" s="10" t="n">
        <v>46320</v>
      </c>
      <c r="MJ349" s="9" t="n">
        <v>0</v>
      </c>
      <c r="ML349" s="9" t="n">
        <v>0</v>
      </c>
      <c r="MM349" s="9" t="n">
        <v>0</v>
      </c>
      <c r="MQ349" s="10" t="n">
        <v>46320</v>
      </c>
      <c r="MS349" s="9" t="n">
        <v>0</v>
      </c>
      <c r="MU349" s="9" t="n">
        <v>0</v>
      </c>
      <c r="MV349" s="9" t="n">
        <v>1625</v>
      </c>
      <c r="MZ349" s="10" t="n">
        <v>46320</v>
      </c>
      <c r="NB349" s="9" t="n">
        <v>0</v>
      </c>
      <c r="ND349" s="9" t="n">
        <v>0</v>
      </c>
      <c r="NE349" s="9" t="n">
        <v>0</v>
      </c>
      <c r="NI349" s="10" t="n">
        <v>46320</v>
      </c>
      <c r="NK349" s="9" t="n">
        <v>0</v>
      </c>
      <c r="NM349" s="9" t="n">
        <v>0</v>
      </c>
      <c r="NN349" s="9" t="n">
        <v>1127</v>
      </c>
      <c r="NR349" s="10" t="n">
        <v>46320</v>
      </c>
      <c r="NT349" s="9" t="n">
        <v>0</v>
      </c>
      <c r="NV349" s="9" t="n">
        <v>0</v>
      </c>
      <c r="NW349" s="9" t="n">
        <v>3112</v>
      </c>
      <c r="OA349" s="10" t="n">
        <v>46320</v>
      </c>
      <c r="OC349" s="9" t="n">
        <v>0</v>
      </c>
      <c r="OE349" s="9" t="n">
        <v>0</v>
      </c>
      <c r="OF349" s="9" t="n">
        <v>1680.5</v>
      </c>
      <c r="OJ349" s="10" t="n">
        <v>46320</v>
      </c>
      <c r="OL349" s="9" t="n">
        <v>0</v>
      </c>
      <c r="ON349" s="9" t="n">
        <v>0</v>
      </c>
      <c r="OO349" s="9" t="n">
        <v>0</v>
      </c>
      <c r="OS349" s="10" t="n">
        <v>46320</v>
      </c>
      <c r="OU349" s="9" t="n">
        <v>0</v>
      </c>
      <c r="OW349" s="9" t="n">
        <v>0</v>
      </c>
      <c r="OX349" s="9" t="n">
        <v>1482</v>
      </c>
      <c r="PB349" s="10" t="n">
        <v>46320</v>
      </c>
      <c r="PD349" s="9" t="n">
        <v>0</v>
      </c>
      <c r="PF349" s="9" t="n">
        <v>0</v>
      </c>
      <c r="PG349" s="9" t="n">
        <v>0</v>
      </c>
      <c r="PK349" s="10" t="n">
        <v>46320</v>
      </c>
      <c r="PM349" s="9" t="n">
        <v>0</v>
      </c>
      <c r="PO349" s="9" t="n">
        <v>0</v>
      </c>
      <c r="PP349" s="9" t="n">
        <v>100</v>
      </c>
      <c r="PT349" s="10" t="n">
        <v>46320</v>
      </c>
      <c r="PV349" s="9" t="n">
        <v>0</v>
      </c>
      <c r="PX349" s="9" t="n">
        <v>0</v>
      </c>
      <c r="PY349" s="9" t="n">
        <v>13.96000000000004</v>
      </c>
      <c r="QC349" s="10" t="n">
        <v>46320</v>
      </c>
      <c r="QE349" s="9" t="n">
        <v>0</v>
      </c>
      <c r="QG349" s="9" t="n">
        <v>0</v>
      </c>
      <c r="QH349" s="9" t="n">
        <v>548</v>
      </c>
      <c r="QL349" s="10" t="n">
        <v>46320</v>
      </c>
      <c r="QN349" s="9" t="n">
        <v>0</v>
      </c>
      <c r="QP349" s="9" t="n">
        <v>0</v>
      </c>
      <c r="QQ349" s="9" t="n">
        <v>0</v>
      </c>
      <c r="QU349" s="10" t="n">
        <v>46320</v>
      </c>
      <c r="QW349" s="9" t="n">
        <v>0</v>
      </c>
      <c r="QY349" s="9" t="n">
        <v>0</v>
      </c>
      <c r="QZ349" s="9" t="n">
        <v>0</v>
      </c>
      <c r="RD349" s="10" t="n">
        <v>46320</v>
      </c>
      <c r="RF349" s="9" t="n">
        <v>0</v>
      </c>
      <c r="RH349" s="9" t="n">
        <v>0</v>
      </c>
      <c r="RI349" s="9" t="n">
        <v>147.04</v>
      </c>
      <c r="RM349" s="10" t="n">
        <v>46320</v>
      </c>
      <c r="RO349" s="9" t="n">
        <v>0</v>
      </c>
      <c r="RQ349" s="9" t="n">
        <v>0</v>
      </c>
      <c r="RR349" s="9" t="n">
        <v>46.8</v>
      </c>
      <c r="RV349" s="10" t="n">
        <v>46320</v>
      </c>
      <c r="RX349" s="9" t="n">
        <v>0</v>
      </c>
      <c r="RZ349" s="9" t="n">
        <v>0</v>
      </c>
      <c r="SA349" s="9" t="n">
        <v>0</v>
      </c>
      <c r="SE349" s="10" t="n">
        <v>46320</v>
      </c>
      <c r="SG349" s="9" t="n">
        <v>0</v>
      </c>
      <c r="SI349" s="9" t="n">
        <v>0</v>
      </c>
      <c r="SJ349" s="9" t="n">
        <v>24.2</v>
      </c>
      <c r="SN349" s="10" t="n">
        <v>46320</v>
      </c>
      <c r="SP349" s="9" t="n">
        <v>0</v>
      </c>
      <c r="SR349" s="9" t="n">
        <v>0</v>
      </c>
      <c r="SS349" s="9" t="n">
        <v>32</v>
      </c>
      <c r="SW349" s="10" t="n">
        <v>46320</v>
      </c>
      <c r="SY349" s="9" t="n">
        <v>0</v>
      </c>
      <c r="TA349" s="9" t="n">
        <v>0</v>
      </c>
      <c r="TB349" s="9" t="n">
        <v>0</v>
      </c>
      <c r="TF349" s="10" t="n">
        <v>46320</v>
      </c>
      <c r="TH349" s="9" t="n">
        <v>0</v>
      </c>
      <c r="TJ349" s="9" t="n">
        <v>0</v>
      </c>
      <c r="TK349" s="9" t="n">
        <v>0</v>
      </c>
      <c r="TO349" s="10" t="n">
        <v>46320</v>
      </c>
      <c r="TQ349" s="9" t="n">
        <v>0</v>
      </c>
      <c r="TS349" s="9" t="n">
        <v>0</v>
      </c>
      <c r="TT349" s="9" t="n">
        <v>0</v>
      </c>
      <c r="TX349" s="10" t="n">
        <v>46320</v>
      </c>
      <c r="TZ349" s="9" t="n">
        <v>0</v>
      </c>
      <c r="UB349" s="9" t="n">
        <v>0</v>
      </c>
      <c r="UC349" s="9" t="n">
        <v>46.79999999999998</v>
      </c>
      <c r="UG349" s="10" t="n">
        <v>46320</v>
      </c>
      <c r="UI349" s="9" t="n">
        <v>0</v>
      </c>
      <c r="UK349" s="9" t="n">
        <v>0</v>
      </c>
      <c r="UL349" s="9" t="n">
        <v>204</v>
      </c>
      <c r="UP349" s="10" t="n">
        <v>46320</v>
      </c>
      <c r="UR349" s="9" t="n">
        <v>0</v>
      </c>
      <c r="UT349" s="9" t="n">
        <v>0</v>
      </c>
      <c r="UU349" s="9" t="n">
        <v>202.5</v>
      </c>
      <c r="UY349" s="10" t="n">
        <v>46320</v>
      </c>
      <c r="VA349" s="9" t="n">
        <v>0</v>
      </c>
      <c r="VC349" s="9" t="n">
        <v>0</v>
      </c>
      <c r="VD349" s="9" t="n">
        <v>41.60000000000002</v>
      </c>
      <c r="VH349" s="10" t="n">
        <v>46320</v>
      </c>
      <c r="VJ349" s="9" t="n">
        <v>0</v>
      </c>
      <c r="VL349" s="9" t="n">
        <v>0</v>
      </c>
      <c r="VM349" s="9" t="n">
        <v>210</v>
      </c>
      <c r="VQ349" s="10" t="n">
        <v>46320</v>
      </c>
      <c r="VS349" s="9" t="n">
        <v>0</v>
      </c>
      <c r="VU349" s="9" t="n">
        <v>0</v>
      </c>
      <c r="VV349" s="9" t="n">
        <v>0</v>
      </c>
      <c r="VZ349" s="10" t="n">
        <v>46320</v>
      </c>
      <c r="WB349" s="9" t="n">
        <v>0</v>
      </c>
      <c r="WD349" s="9" t="n">
        <v>0</v>
      </c>
      <c r="WE349" s="9" t="n">
        <v>0</v>
      </c>
      <c r="WI349" s="10" t="n">
        <v>46320</v>
      </c>
      <c r="WK349" s="9" t="n">
        <v>0</v>
      </c>
      <c r="WM349" s="9" t="n">
        <v>0</v>
      </c>
      <c r="WN349" s="9" t="n">
        <v>1057</v>
      </c>
      <c r="WR349" s="10" t="n">
        <v>46320</v>
      </c>
      <c r="WT349" s="9" t="n">
        <v>0</v>
      </c>
      <c r="WV349" s="9" t="n">
        <v>0</v>
      </c>
      <c r="WW349" s="9" t="n">
        <v>0</v>
      </c>
      <c r="XA349" s="10" t="n">
        <v>46320</v>
      </c>
      <c r="XC349" s="9" t="n">
        <v>0</v>
      </c>
      <c r="XE349" s="9" t="n">
        <v>0</v>
      </c>
      <c r="XF349" s="9" t="n">
        <v>7507</v>
      </c>
      <c r="XJ349" s="10" t="n">
        <v>46320</v>
      </c>
      <c r="XL349" s="9" t="n">
        <v>0</v>
      </c>
      <c r="XN349" s="9" t="n">
        <v>0</v>
      </c>
      <c r="XO349" s="9" t="n">
        <v>4252</v>
      </c>
      <c r="XS349" s="10" t="n">
        <v>46320</v>
      </c>
      <c r="XU349" s="9" t="n">
        <v>0</v>
      </c>
      <c r="XW349" s="9" t="n">
        <v>0</v>
      </c>
      <c r="XX349" s="9" t="n">
        <v>2179</v>
      </c>
      <c r="YB349" s="10" t="n">
        <v>46320</v>
      </c>
      <c r="YD349" s="9" t="n">
        <v>0</v>
      </c>
      <c r="YF349" s="9" t="n">
        <v>0</v>
      </c>
      <c r="YG349" s="9" t="n">
        <v>4019</v>
      </c>
      <c r="YK349" s="10" t="n">
        <v>46320</v>
      </c>
      <c r="YM349" s="9" t="n">
        <v>0</v>
      </c>
      <c r="YO349" s="9" t="n">
        <v>0</v>
      </c>
      <c r="YP349" s="9" t="n">
        <v>-218</v>
      </c>
      <c r="YT349" s="10" t="n">
        <v>46320</v>
      </c>
      <c r="YV349" s="9" t="n">
        <v>0</v>
      </c>
      <c r="YX349" s="9" t="n">
        <v>0</v>
      </c>
      <c r="YY349" s="9" t="n">
        <v>0</v>
      </c>
      <c r="ZC349" s="10" t="n">
        <v>46320</v>
      </c>
      <c r="ZE349" s="9" t="n">
        <v>0</v>
      </c>
      <c r="ZG349" s="9" t="n">
        <v>0</v>
      </c>
      <c r="ZH349" s="9" t="n">
        <v>0</v>
      </c>
      <c r="ZL349" s="10" t="n">
        <v>46320</v>
      </c>
      <c r="ZN349" s="9" t="n">
        <v>0</v>
      </c>
      <c r="ZP349" s="9" t="n">
        <v>0</v>
      </c>
      <c r="ZQ349" s="9" t="n">
        <v>0</v>
      </c>
      <c r="ZU349" s="10" t="n">
        <v>46320</v>
      </c>
      <c r="ZW349" s="9" t="n">
        <v>0</v>
      </c>
      <c r="ZY349" s="9" t="n">
        <v>0</v>
      </c>
      <c r="ZZ349" s="9" t="n">
        <v>0</v>
      </c>
      <c r="AAD349" s="10" t="n">
        <v>46320</v>
      </c>
      <c r="AAF349" s="9" t="n">
        <v>0</v>
      </c>
      <c r="AAH349" s="9" t="n">
        <v>0</v>
      </c>
      <c r="AAI349" s="9" t="n">
        <v>0</v>
      </c>
      <c r="AAM349" s="10" t="n">
        <v>46320</v>
      </c>
      <c r="AAO349" s="9" t="n">
        <v>0</v>
      </c>
      <c r="AAQ349" s="9" t="n">
        <v>0</v>
      </c>
      <c r="AAR349" s="9" t="n">
        <v>0</v>
      </c>
      <c r="AAV349" s="10" t="n">
        <v>46320</v>
      </c>
      <c r="AAX349" s="9" t="n">
        <v>0</v>
      </c>
      <c r="AAZ349" s="9" t="n">
        <v>0</v>
      </c>
      <c r="ABA349" s="9" t="n">
        <v>0</v>
      </c>
      <c r="ABE349" s="10" t="n">
        <v>46320</v>
      </c>
      <c r="ABG349" s="9" t="n">
        <v>0</v>
      </c>
      <c r="ABI349" s="9" t="n">
        <v>0</v>
      </c>
      <c r="ABJ349" s="9" t="n">
        <v>0</v>
      </c>
    </row>
    <row r="350">
      <c r="C350" s="10" t="n">
        <v>46321</v>
      </c>
      <c r="E350" s="9" t="n">
        <v>0</v>
      </c>
      <c r="G350" s="9" t="n">
        <v>0</v>
      </c>
      <c r="H350" s="9" t="n">
        <v>236936.6</v>
      </c>
      <c r="L350" s="10" t="n">
        <v>46321</v>
      </c>
      <c r="N350" s="9" t="n">
        <v>0</v>
      </c>
      <c r="P350" s="9" t="n">
        <v>0</v>
      </c>
      <c r="Q350" s="9" t="n">
        <v>53017.60000000007</v>
      </c>
      <c r="U350" s="10" t="n">
        <v>46321</v>
      </c>
      <c r="W350" s="9" t="n">
        <v>0</v>
      </c>
      <c r="Y350" s="9" t="n">
        <v>0</v>
      </c>
      <c r="Z350" s="9" t="n">
        <v>42674.19999999997</v>
      </c>
      <c r="AD350" s="10" t="n">
        <v>46321</v>
      </c>
      <c r="AF350" s="9" t="n">
        <v>0</v>
      </c>
      <c r="AH350" s="9" t="n">
        <v>0</v>
      </c>
      <c r="AI350" s="9" t="n">
        <v>4522.200000000019</v>
      </c>
      <c r="AM350" s="10" t="n">
        <v>46321</v>
      </c>
      <c r="AO350" s="9" t="n">
        <v>0</v>
      </c>
      <c r="AQ350" s="9" t="n">
        <v>0</v>
      </c>
      <c r="AR350" s="9" t="n">
        <v>0</v>
      </c>
      <c r="AV350" s="10" t="n">
        <v>46321</v>
      </c>
      <c r="AX350" s="9" t="n">
        <v>0</v>
      </c>
      <c r="AZ350" s="9" t="n">
        <v>0</v>
      </c>
      <c r="BA350" s="9" t="n">
        <v>124.9999999999952</v>
      </c>
      <c r="BE350" s="10" t="n">
        <v>46321</v>
      </c>
      <c r="BG350" s="9" t="n">
        <v>0</v>
      </c>
      <c r="BI350" s="9" t="n">
        <v>0</v>
      </c>
      <c r="BJ350" s="9" t="n">
        <v>26151.9</v>
      </c>
      <c r="BN350" s="10" t="n">
        <v>46321</v>
      </c>
      <c r="BP350" s="9" t="n">
        <v>0</v>
      </c>
      <c r="BR350" s="9" t="n">
        <v>0</v>
      </c>
      <c r="BS350" s="9" t="n">
        <v>0</v>
      </c>
      <c r="BW350" s="10" t="n">
        <v>46321</v>
      </c>
      <c r="BY350" s="9" t="n">
        <v>0</v>
      </c>
      <c r="CA350" s="9" t="n">
        <v>0</v>
      </c>
      <c r="CB350" s="9" t="n">
        <v>2097.339999999999</v>
      </c>
      <c r="CF350" s="10" t="n">
        <v>46321</v>
      </c>
      <c r="CH350" s="9" t="n">
        <v>0</v>
      </c>
      <c r="CJ350" s="9" t="n">
        <v>0</v>
      </c>
      <c r="CK350" s="9" t="n">
        <v>-10277.08</v>
      </c>
      <c r="CO350" s="10" t="n">
        <v>46321</v>
      </c>
      <c r="CQ350" s="9" t="n">
        <v>0</v>
      </c>
      <c r="CS350" s="9" t="n">
        <v>0</v>
      </c>
      <c r="CT350" s="9" t="n">
        <v>0</v>
      </c>
      <c r="CX350" s="10" t="n">
        <v>46321</v>
      </c>
      <c r="CZ350" s="9" t="n">
        <v>0</v>
      </c>
      <c r="DB350" s="9" t="n">
        <v>0</v>
      </c>
      <c r="DC350" s="9" t="n">
        <v>27438.20000000001</v>
      </c>
      <c r="DG350" s="10" t="n">
        <v>46321</v>
      </c>
      <c r="DI350" s="9" t="n">
        <v>0</v>
      </c>
      <c r="DK350" s="9" t="n">
        <v>0</v>
      </c>
      <c r="DL350" s="9" t="n">
        <v>18782.29999999998</v>
      </c>
      <c r="DP350" s="10" t="n">
        <v>46321</v>
      </c>
      <c r="DR350" s="9" t="n">
        <v>0</v>
      </c>
      <c r="DT350" s="9" t="n">
        <v>0</v>
      </c>
      <c r="DU350" s="9" t="n">
        <v>5800</v>
      </c>
      <c r="DY350" s="10" t="n">
        <v>46321</v>
      </c>
      <c r="EA350" s="9" t="n">
        <v>0</v>
      </c>
      <c r="EC350" s="9" t="n">
        <v>0</v>
      </c>
      <c r="ED350" s="9" t="n">
        <v>0</v>
      </c>
      <c r="EH350" s="10" t="n">
        <v>46321</v>
      </c>
      <c r="EJ350" s="9" t="n">
        <v>0</v>
      </c>
      <c r="EL350" s="9" t="n">
        <v>0</v>
      </c>
      <c r="EM350" s="9" t="n">
        <v>0</v>
      </c>
      <c r="EQ350" s="10" t="n">
        <v>46321</v>
      </c>
      <c r="ES350" s="9" t="n">
        <v>0</v>
      </c>
      <c r="EU350" s="9" t="n">
        <v>0</v>
      </c>
      <c r="EV350" s="9" t="n">
        <v>0</v>
      </c>
      <c r="EZ350" s="10" t="n">
        <v>46321</v>
      </c>
      <c r="FB350" s="9" t="n">
        <v>0</v>
      </c>
      <c r="FD350" s="9" t="n">
        <v>0</v>
      </c>
      <c r="FE350" s="9" t="n">
        <v>0</v>
      </c>
      <c r="FI350" s="10" t="n">
        <v>46321</v>
      </c>
      <c r="FK350" s="9" t="n">
        <v>0</v>
      </c>
      <c r="FM350" s="9" t="n">
        <v>0</v>
      </c>
      <c r="FN350" s="9" t="n">
        <v>0</v>
      </c>
      <c r="FR350" s="10" t="n">
        <v>46321</v>
      </c>
      <c r="FT350" s="9" t="n">
        <v>0</v>
      </c>
      <c r="FV350" s="9" t="n">
        <v>0</v>
      </c>
      <c r="FW350" s="9" t="n">
        <v>2020</v>
      </c>
      <c r="GA350" s="10" t="n">
        <v>46321</v>
      </c>
      <c r="GC350" s="9" t="n">
        <v>0</v>
      </c>
      <c r="GE350" s="9" t="n">
        <v>0</v>
      </c>
      <c r="GF350" s="9" t="n">
        <v>960</v>
      </c>
      <c r="GJ350" s="10" t="n">
        <v>46321</v>
      </c>
      <c r="GL350" s="9" t="n">
        <v>0</v>
      </c>
      <c r="GN350" s="9" t="n">
        <v>0</v>
      </c>
      <c r="GO350" s="9" t="n">
        <v>1760</v>
      </c>
      <c r="GS350" s="10" t="n">
        <v>46321</v>
      </c>
      <c r="GU350" s="9" t="n">
        <v>0</v>
      </c>
      <c r="GW350" s="9" t="n">
        <v>0</v>
      </c>
      <c r="GX350" s="9" t="n">
        <v>400</v>
      </c>
      <c r="HB350" s="10" t="n">
        <v>46321</v>
      </c>
      <c r="HD350" s="9" t="n">
        <v>0</v>
      </c>
      <c r="HF350" s="9" t="n">
        <v>0</v>
      </c>
      <c r="HG350" s="9" t="n">
        <v>3600</v>
      </c>
      <c r="HK350" s="10" t="n">
        <v>46321</v>
      </c>
      <c r="HM350" s="9" t="n">
        <v>0</v>
      </c>
      <c r="HO350" s="9" t="n">
        <v>0</v>
      </c>
      <c r="HP350" s="9" t="n">
        <v>0</v>
      </c>
      <c r="HU350" s="10" t="n">
        <v>46321</v>
      </c>
      <c r="HW350" s="9" t="n">
        <v>0</v>
      </c>
      <c r="HY350" s="9" t="n">
        <v>0</v>
      </c>
      <c r="HZ350" s="9" t="n">
        <v>6120</v>
      </c>
      <c r="ID350" s="10" t="n">
        <v>46321</v>
      </c>
      <c r="IF350" s="9" t="n">
        <v>0</v>
      </c>
      <c r="IH350" s="9" t="n">
        <v>0</v>
      </c>
      <c r="II350" s="9" t="n">
        <v>0</v>
      </c>
      <c r="IM350" s="10" t="n">
        <v>46321</v>
      </c>
      <c r="IO350" s="9" t="n">
        <v>0</v>
      </c>
      <c r="IQ350" s="9" t="n">
        <v>0</v>
      </c>
      <c r="IR350" s="9" t="n">
        <v>0</v>
      </c>
      <c r="IV350" s="10" t="n">
        <v>46321</v>
      </c>
      <c r="IX350" s="9" t="n">
        <v>0</v>
      </c>
      <c r="IZ350" s="9" t="n">
        <v>0</v>
      </c>
      <c r="JA350" s="9" t="n">
        <v>2820</v>
      </c>
      <c r="JE350" s="10" t="n">
        <v>46321</v>
      </c>
      <c r="JG350" s="9" t="n">
        <v>0</v>
      </c>
      <c r="JI350" s="9" t="n">
        <v>0</v>
      </c>
      <c r="JJ350" s="9" t="n">
        <v>0</v>
      </c>
      <c r="JN350" s="10" t="n">
        <v>46321</v>
      </c>
      <c r="JP350" s="9" t="n">
        <v>0</v>
      </c>
      <c r="JR350" s="9" t="n">
        <v>0</v>
      </c>
      <c r="JS350" s="9" t="n">
        <v>0</v>
      </c>
      <c r="JW350" s="10" t="n">
        <v>46321</v>
      </c>
      <c r="JY350" s="9" t="n">
        <v>0</v>
      </c>
      <c r="KA350" s="9" t="n">
        <v>0</v>
      </c>
      <c r="KB350" s="9" t="n">
        <v>2540</v>
      </c>
      <c r="KF350" s="10" t="n">
        <v>46321</v>
      </c>
      <c r="KH350" s="9" t="n">
        <v>0</v>
      </c>
      <c r="KJ350" s="9" t="n">
        <v>0</v>
      </c>
      <c r="KK350" s="9" t="n">
        <v>2359.5</v>
      </c>
      <c r="KO350" s="10" t="n">
        <v>46321</v>
      </c>
      <c r="KQ350" s="9" t="n">
        <v>0</v>
      </c>
      <c r="KS350" s="9" t="n">
        <v>0</v>
      </c>
      <c r="KT350" s="9" t="n">
        <v>1890</v>
      </c>
      <c r="KX350" s="10" t="n">
        <v>46321</v>
      </c>
      <c r="KZ350" s="9" t="n">
        <v>0</v>
      </c>
      <c r="LB350" s="9" t="n">
        <v>0</v>
      </c>
      <c r="LC350" s="9" t="n">
        <v>3690</v>
      </c>
      <c r="LG350" s="10" t="n">
        <v>46321</v>
      </c>
      <c r="LI350" s="9" t="n">
        <v>0</v>
      </c>
      <c r="LK350" s="9" t="n">
        <v>0</v>
      </c>
      <c r="LL350" s="9" t="n">
        <v>4000</v>
      </c>
      <c r="LP350" s="10" t="n">
        <v>46321</v>
      </c>
      <c r="LR350" s="9" t="n">
        <v>0</v>
      </c>
      <c r="LT350" s="9" t="n">
        <v>0</v>
      </c>
      <c r="LU350" s="9" t="n">
        <v>0</v>
      </c>
      <c r="LY350" s="10" t="n">
        <v>46321</v>
      </c>
      <c r="MA350" s="9" t="n">
        <v>0</v>
      </c>
      <c r="MC350" s="9" t="n">
        <v>0</v>
      </c>
      <c r="MD350" s="9" t="n">
        <v>0</v>
      </c>
      <c r="MH350" s="10" t="n">
        <v>46321</v>
      </c>
      <c r="MJ350" s="9" t="n">
        <v>0</v>
      </c>
      <c r="ML350" s="9" t="n">
        <v>0</v>
      </c>
      <c r="MM350" s="9" t="n">
        <v>0</v>
      </c>
      <c r="MQ350" s="10" t="n">
        <v>46321</v>
      </c>
      <c r="MS350" s="9" t="n">
        <v>0</v>
      </c>
      <c r="MU350" s="9" t="n">
        <v>0</v>
      </c>
      <c r="MV350" s="9" t="n">
        <v>1625</v>
      </c>
      <c r="MZ350" s="10" t="n">
        <v>46321</v>
      </c>
      <c r="NB350" s="9" t="n">
        <v>0</v>
      </c>
      <c r="ND350" s="9" t="n">
        <v>0</v>
      </c>
      <c r="NE350" s="9" t="n">
        <v>0</v>
      </c>
      <c r="NI350" s="10" t="n">
        <v>46321</v>
      </c>
      <c r="NK350" s="9" t="n">
        <v>0</v>
      </c>
      <c r="NM350" s="9" t="n">
        <v>0</v>
      </c>
      <c r="NN350" s="9" t="n">
        <v>1127</v>
      </c>
      <c r="NR350" s="10" t="n">
        <v>46321</v>
      </c>
      <c r="NT350" s="9" t="n">
        <v>0</v>
      </c>
      <c r="NV350" s="9" t="n">
        <v>0</v>
      </c>
      <c r="NW350" s="9" t="n">
        <v>3112</v>
      </c>
      <c r="OA350" s="10" t="n">
        <v>46321</v>
      </c>
      <c r="OC350" s="9" t="n">
        <v>0</v>
      </c>
      <c r="OE350" s="9" t="n">
        <v>0</v>
      </c>
      <c r="OF350" s="9" t="n">
        <v>1680.5</v>
      </c>
      <c r="OJ350" s="10" t="n">
        <v>46321</v>
      </c>
      <c r="OL350" s="9" t="n">
        <v>0</v>
      </c>
      <c r="ON350" s="9" t="n">
        <v>0</v>
      </c>
      <c r="OO350" s="9" t="n">
        <v>0</v>
      </c>
      <c r="OS350" s="10" t="n">
        <v>46321</v>
      </c>
      <c r="OU350" s="9" t="n">
        <v>0</v>
      </c>
      <c r="OW350" s="9" t="n">
        <v>0</v>
      </c>
      <c r="OX350" s="9" t="n">
        <v>1482</v>
      </c>
      <c r="PB350" s="10" t="n">
        <v>46321</v>
      </c>
      <c r="PD350" s="9" t="n">
        <v>0</v>
      </c>
      <c r="PF350" s="9" t="n">
        <v>0</v>
      </c>
      <c r="PG350" s="9" t="n">
        <v>0</v>
      </c>
      <c r="PK350" s="10" t="n">
        <v>46321</v>
      </c>
      <c r="PM350" s="9" t="n">
        <v>0</v>
      </c>
      <c r="PO350" s="9" t="n">
        <v>0</v>
      </c>
      <c r="PP350" s="9" t="n">
        <v>100</v>
      </c>
      <c r="PT350" s="10" t="n">
        <v>46321</v>
      </c>
      <c r="PV350" s="9" t="n">
        <v>0</v>
      </c>
      <c r="PX350" s="9" t="n">
        <v>0</v>
      </c>
      <c r="PY350" s="9" t="n">
        <v>13.96000000000004</v>
      </c>
      <c r="QC350" s="10" t="n">
        <v>46321</v>
      </c>
      <c r="QE350" s="9" t="n">
        <v>0</v>
      </c>
      <c r="QG350" s="9" t="n">
        <v>0</v>
      </c>
      <c r="QH350" s="9" t="n">
        <v>548</v>
      </c>
      <c r="QL350" s="10" t="n">
        <v>46321</v>
      </c>
      <c r="QN350" s="9" t="n">
        <v>0</v>
      </c>
      <c r="QP350" s="9" t="n">
        <v>0</v>
      </c>
      <c r="QQ350" s="9" t="n">
        <v>0</v>
      </c>
      <c r="QU350" s="10" t="n">
        <v>46321</v>
      </c>
      <c r="QW350" s="9" t="n">
        <v>0</v>
      </c>
      <c r="QY350" s="9" t="n">
        <v>0</v>
      </c>
      <c r="QZ350" s="9" t="n">
        <v>0</v>
      </c>
      <c r="RD350" s="10" t="n">
        <v>46321</v>
      </c>
      <c r="RF350" s="9" t="n">
        <v>0</v>
      </c>
      <c r="RH350" s="9" t="n">
        <v>0</v>
      </c>
      <c r="RI350" s="9" t="n">
        <v>147.04</v>
      </c>
      <c r="RM350" s="10" t="n">
        <v>46321</v>
      </c>
      <c r="RO350" s="9" t="n">
        <v>0</v>
      </c>
      <c r="RQ350" s="9" t="n">
        <v>0</v>
      </c>
      <c r="RR350" s="9" t="n">
        <v>46.8</v>
      </c>
      <c r="RV350" s="10" t="n">
        <v>46321</v>
      </c>
      <c r="RX350" s="9" t="n">
        <v>0</v>
      </c>
      <c r="RZ350" s="9" t="n">
        <v>0</v>
      </c>
      <c r="SA350" s="9" t="n">
        <v>0</v>
      </c>
      <c r="SE350" s="10" t="n">
        <v>46321</v>
      </c>
      <c r="SG350" s="9" t="n">
        <v>0</v>
      </c>
      <c r="SI350" s="9" t="n">
        <v>0</v>
      </c>
      <c r="SJ350" s="9" t="n">
        <v>24.2</v>
      </c>
      <c r="SN350" s="10" t="n">
        <v>46321</v>
      </c>
      <c r="SP350" s="9" t="n">
        <v>0</v>
      </c>
      <c r="SR350" s="9" t="n">
        <v>0</v>
      </c>
      <c r="SS350" s="9" t="n">
        <v>32</v>
      </c>
      <c r="SW350" s="10" t="n">
        <v>46321</v>
      </c>
      <c r="SY350" s="9" t="n">
        <v>0</v>
      </c>
      <c r="TA350" s="9" t="n">
        <v>0</v>
      </c>
      <c r="TB350" s="9" t="n">
        <v>0</v>
      </c>
      <c r="TF350" s="10" t="n">
        <v>46321</v>
      </c>
      <c r="TH350" s="9" t="n">
        <v>0</v>
      </c>
      <c r="TJ350" s="9" t="n">
        <v>0</v>
      </c>
      <c r="TK350" s="9" t="n">
        <v>0</v>
      </c>
      <c r="TO350" s="10" t="n">
        <v>46321</v>
      </c>
      <c r="TQ350" s="9" t="n">
        <v>0</v>
      </c>
      <c r="TS350" s="9" t="n">
        <v>0</v>
      </c>
      <c r="TT350" s="9" t="n">
        <v>0</v>
      </c>
      <c r="TX350" s="10" t="n">
        <v>46321</v>
      </c>
      <c r="TZ350" s="9" t="n">
        <v>0</v>
      </c>
      <c r="UB350" s="9" t="n">
        <v>0</v>
      </c>
      <c r="UC350" s="9" t="n">
        <v>46.79999999999998</v>
      </c>
      <c r="UG350" s="10" t="n">
        <v>46321</v>
      </c>
      <c r="UI350" s="9" t="n">
        <v>0</v>
      </c>
      <c r="UK350" s="9" t="n">
        <v>0</v>
      </c>
      <c r="UL350" s="9" t="n">
        <v>204</v>
      </c>
      <c r="UP350" s="10" t="n">
        <v>46321</v>
      </c>
      <c r="UR350" s="9" t="n">
        <v>0</v>
      </c>
      <c r="UT350" s="9" t="n">
        <v>0</v>
      </c>
      <c r="UU350" s="9" t="n">
        <v>202.5</v>
      </c>
      <c r="UY350" s="10" t="n">
        <v>46321</v>
      </c>
      <c r="VA350" s="9" t="n">
        <v>0</v>
      </c>
      <c r="VC350" s="9" t="n">
        <v>0</v>
      </c>
      <c r="VD350" s="9" t="n">
        <v>41.60000000000002</v>
      </c>
      <c r="VH350" s="10" t="n">
        <v>46321</v>
      </c>
      <c r="VJ350" s="9" t="n">
        <v>0</v>
      </c>
      <c r="VL350" s="9" t="n">
        <v>0</v>
      </c>
      <c r="VM350" s="9" t="n">
        <v>210</v>
      </c>
      <c r="VQ350" s="10" t="n">
        <v>46321</v>
      </c>
      <c r="VS350" s="9" t="n">
        <v>0</v>
      </c>
      <c r="VU350" s="9" t="n">
        <v>0</v>
      </c>
      <c r="VV350" s="9" t="n">
        <v>0</v>
      </c>
      <c r="VZ350" s="10" t="n">
        <v>46321</v>
      </c>
      <c r="WB350" s="9" t="n">
        <v>0</v>
      </c>
      <c r="WD350" s="9" t="n">
        <v>0</v>
      </c>
      <c r="WE350" s="9" t="n">
        <v>0</v>
      </c>
      <c r="WI350" s="10" t="n">
        <v>46321</v>
      </c>
      <c r="WK350" s="9" t="n">
        <v>0</v>
      </c>
      <c r="WM350" s="9" t="n">
        <v>0</v>
      </c>
      <c r="WN350" s="9" t="n">
        <v>1057</v>
      </c>
      <c r="WR350" s="10" t="n">
        <v>46321</v>
      </c>
      <c r="WT350" s="9" t="n">
        <v>0</v>
      </c>
      <c r="WV350" s="9" t="n">
        <v>0</v>
      </c>
      <c r="WW350" s="9" t="n">
        <v>0</v>
      </c>
      <c r="XA350" s="10" t="n">
        <v>46321</v>
      </c>
      <c r="XC350" s="9" t="n">
        <v>0</v>
      </c>
      <c r="XE350" s="9" t="n">
        <v>0</v>
      </c>
      <c r="XF350" s="9" t="n">
        <v>7507</v>
      </c>
      <c r="XJ350" s="10" t="n">
        <v>46321</v>
      </c>
      <c r="XL350" s="9" t="n">
        <v>0</v>
      </c>
      <c r="XN350" s="9" t="n">
        <v>0</v>
      </c>
      <c r="XO350" s="9" t="n">
        <v>4252</v>
      </c>
      <c r="XS350" s="10" t="n">
        <v>46321</v>
      </c>
      <c r="XU350" s="9" t="n">
        <v>0</v>
      </c>
      <c r="XW350" s="9" t="n">
        <v>0</v>
      </c>
      <c r="XX350" s="9" t="n">
        <v>2179</v>
      </c>
      <c r="YB350" s="10" t="n">
        <v>46321</v>
      </c>
      <c r="YD350" s="9" t="n">
        <v>0</v>
      </c>
      <c r="YF350" s="9" t="n">
        <v>0</v>
      </c>
      <c r="YG350" s="9" t="n">
        <v>4019</v>
      </c>
      <c r="YK350" s="10" t="n">
        <v>46321</v>
      </c>
      <c r="YM350" s="9" t="n">
        <v>0</v>
      </c>
      <c r="YO350" s="9" t="n">
        <v>0</v>
      </c>
      <c r="YP350" s="9" t="n">
        <v>-218</v>
      </c>
      <c r="YT350" s="10" t="n">
        <v>46321</v>
      </c>
      <c r="YV350" s="9" t="n">
        <v>0</v>
      </c>
      <c r="YX350" s="9" t="n">
        <v>0</v>
      </c>
      <c r="YY350" s="9" t="n">
        <v>0</v>
      </c>
      <c r="ZC350" s="10" t="n">
        <v>46321</v>
      </c>
      <c r="ZE350" s="9" t="n">
        <v>0</v>
      </c>
      <c r="ZG350" s="9" t="n">
        <v>0</v>
      </c>
      <c r="ZH350" s="9" t="n">
        <v>0</v>
      </c>
      <c r="ZL350" s="10" t="n">
        <v>46321</v>
      </c>
      <c r="ZN350" s="9" t="n">
        <v>0</v>
      </c>
      <c r="ZP350" s="9" t="n">
        <v>0</v>
      </c>
      <c r="ZQ350" s="9" t="n">
        <v>0</v>
      </c>
      <c r="ZU350" s="10" t="n">
        <v>46321</v>
      </c>
      <c r="ZW350" s="9" t="n">
        <v>0</v>
      </c>
      <c r="ZY350" s="9" t="n">
        <v>0</v>
      </c>
      <c r="ZZ350" s="9" t="n">
        <v>0</v>
      </c>
      <c r="AAD350" s="10" t="n">
        <v>46321</v>
      </c>
      <c r="AAF350" s="9" t="n">
        <v>0</v>
      </c>
      <c r="AAH350" s="9" t="n">
        <v>0</v>
      </c>
      <c r="AAI350" s="9" t="n">
        <v>0</v>
      </c>
      <c r="AAM350" s="10" t="n">
        <v>46321</v>
      </c>
      <c r="AAO350" s="9" t="n">
        <v>0</v>
      </c>
      <c r="AAQ350" s="9" t="n">
        <v>0</v>
      </c>
      <c r="AAR350" s="9" t="n">
        <v>0</v>
      </c>
      <c r="AAV350" s="10" t="n">
        <v>46321</v>
      </c>
      <c r="AAX350" s="9" t="n">
        <v>0</v>
      </c>
      <c r="AAZ350" s="9" t="n">
        <v>0</v>
      </c>
      <c r="ABA350" s="9" t="n">
        <v>0</v>
      </c>
      <c r="ABE350" s="10" t="n">
        <v>46321</v>
      </c>
      <c r="ABG350" s="9" t="n">
        <v>0</v>
      </c>
      <c r="ABI350" s="9" t="n">
        <v>0</v>
      </c>
      <c r="ABJ350" s="9" t="n">
        <v>0</v>
      </c>
    </row>
    <row r="351">
      <c r="C351" s="10" t="n">
        <v>46322</v>
      </c>
      <c r="E351" s="9" t="n">
        <v>0</v>
      </c>
      <c r="G351" s="9" t="n">
        <v>0</v>
      </c>
      <c r="H351" s="9" t="n">
        <v>236936.6</v>
      </c>
      <c r="L351" s="10" t="n">
        <v>46322</v>
      </c>
      <c r="N351" s="9" t="n">
        <v>0</v>
      </c>
      <c r="P351" s="9" t="n">
        <v>0</v>
      </c>
      <c r="Q351" s="9" t="n">
        <v>53017.60000000007</v>
      </c>
      <c r="U351" s="10" t="n">
        <v>46322</v>
      </c>
      <c r="W351" s="9" t="n">
        <v>0</v>
      </c>
      <c r="Y351" s="9" t="n">
        <v>0</v>
      </c>
      <c r="Z351" s="9" t="n">
        <v>42674.19999999997</v>
      </c>
      <c r="AD351" s="10" t="n">
        <v>46322</v>
      </c>
      <c r="AF351" s="9" t="n">
        <v>0</v>
      </c>
      <c r="AH351" s="9" t="n">
        <v>0</v>
      </c>
      <c r="AI351" s="9" t="n">
        <v>4522.200000000019</v>
      </c>
      <c r="AM351" s="10" t="n">
        <v>46322</v>
      </c>
      <c r="AO351" s="9" t="n">
        <v>0</v>
      </c>
      <c r="AQ351" s="9" t="n">
        <v>0</v>
      </c>
      <c r="AR351" s="9" t="n">
        <v>0</v>
      </c>
      <c r="AV351" s="10" t="n">
        <v>46322</v>
      </c>
      <c r="AX351" s="9" t="n">
        <v>0</v>
      </c>
      <c r="AZ351" s="9" t="n">
        <v>0</v>
      </c>
      <c r="BA351" s="9" t="n">
        <v>124.9999999999952</v>
      </c>
      <c r="BE351" s="10" t="n">
        <v>46322</v>
      </c>
      <c r="BG351" s="9" t="n">
        <v>0</v>
      </c>
      <c r="BI351" s="9" t="n">
        <v>0</v>
      </c>
      <c r="BJ351" s="9" t="n">
        <v>26151.9</v>
      </c>
      <c r="BN351" s="10" t="n">
        <v>46322</v>
      </c>
      <c r="BP351" s="9" t="n">
        <v>0</v>
      </c>
      <c r="BR351" s="9" t="n">
        <v>0</v>
      </c>
      <c r="BS351" s="9" t="n">
        <v>0</v>
      </c>
      <c r="BW351" s="10" t="n">
        <v>46322</v>
      </c>
      <c r="BY351" s="9" t="n">
        <v>0</v>
      </c>
      <c r="CA351" s="9" t="n">
        <v>0</v>
      </c>
      <c r="CB351" s="9" t="n">
        <v>2097.339999999999</v>
      </c>
      <c r="CF351" s="10" t="n">
        <v>46322</v>
      </c>
      <c r="CH351" s="9" t="n">
        <v>0</v>
      </c>
      <c r="CJ351" s="9" t="n">
        <v>0</v>
      </c>
      <c r="CK351" s="9" t="n">
        <v>-10277.08</v>
      </c>
      <c r="CO351" s="10" t="n">
        <v>46322</v>
      </c>
      <c r="CQ351" s="9" t="n">
        <v>0</v>
      </c>
      <c r="CS351" s="9" t="n">
        <v>0</v>
      </c>
      <c r="CT351" s="9" t="n">
        <v>0</v>
      </c>
      <c r="CX351" s="10" t="n">
        <v>46322</v>
      </c>
      <c r="CZ351" s="9" t="n">
        <v>0</v>
      </c>
      <c r="DB351" s="9" t="n">
        <v>0</v>
      </c>
      <c r="DC351" s="9" t="n">
        <v>27438.20000000001</v>
      </c>
      <c r="DG351" s="10" t="n">
        <v>46322</v>
      </c>
      <c r="DI351" s="9" t="n">
        <v>0</v>
      </c>
      <c r="DK351" s="9" t="n">
        <v>0</v>
      </c>
      <c r="DL351" s="9" t="n">
        <v>18782.29999999998</v>
      </c>
      <c r="DP351" s="10" t="n">
        <v>46322</v>
      </c>
      <c r="DR351" s="9" t="n">
        <v>0</v>
      </c>
      <c r="DT351" s="9" t="n">
        <v>0</v>
      </c>
      <c r="DU351" s="9" t="n">
        <v>5800</v>
      </c>
      <c r="DY351" s="10" t="n">
        <v>46322</v>
      </c>
      <c r="EA351" s="9" t="n">
        <v>0</v>
      </c>
      <c r="EC351" s="9" t="n">
        <v>0</v>
      </c>
      <c r="ED351" s="9" t="n">
        <v>0</v>
      </c>
      <c r="EH351" s="10" t="n">
        <v>46322</v>
      </c>
      <c r="EJ351" s="9" t="n">
        <v>0</v>
      </c>
      <c r="EL351" s="9" t="n">
        <v>0</v>
      </c>
      <c r="EM351" s="9" t="n">
        <v>0</v>
      </c>
      <c r="EQ351" s="10" t="n">
        <v>46322</v>
      </c>
      <c r="ES351" s="9" t="n">
        <v>0</v>
      </c>
      <c r="EU351" s="9" t="n">
        <v>0</v>
      </c>
      <c r="EV351" s="9" t="n">
        <v>0</v>
      </c>
      <c r="EZ351" s="10" t="n">
        <v>46322</v>
      </c>
      <c r="FB351" s="9" t="n">
        <v>0</v>
      </c>
      <c r="FD351" s="9" t="n">
        <v>0</v>
      </c>
      <c r="FE351" s="9" t="n">
        <v>0</v>
      </c>
      <c r="FI351" s="10" t="n">
        <v>46322</v>
      </c>
      <c r="FK351" s="9" t="n">
        <v>0</v>
      </c>
      <c r="FM351" s="9" t="n">
        <v>0</v>
      </c>
      <c r="FN351" s="9" t="n">
        <v>0</v>
      </c>
      <c r="FR351" s="10" t="n">
        <v>46322</v>
      </c>
      <c r="FT351" s="9" t="n">
        <v>0</v>
      </c>
      <c r="FV351" s="9" t="n">
        <v>0</v>
      </c>
      <c r="FW351" s="9" t="n">
        <v>2020</v>
      </c>
      <c r="GA351" s="10" t="n">
        <v>46322</v>
      </c>
      <c r="GC351" s="9" t="n">
        <v>0</v>
      </c>
      <c r="GE351" s="9" t="n">
        <v>0</v>
      </c>
      <c r="GF351" s="9" t="n">
        <v>960</v>
      </c>
      <c r="GJ351" s="10" t="n">
        <v>46322</v>
      </c>
      <c r="GL351" s="9" t="n">
        <v>0</v>
      </c>
      <c r="GN351" s="9" t="n">
        <v>0</v>
      </c>
      <c r="GO351" s="9" t="n">
        <v>1760</v>
      </c>
      <c r="GS351" s="10" t="n">
        <v>46322</v>
      </c>
      <c r="GU351" s="9" t="n">
        <v>0</v>
      </c>
      <c r="GW351" s="9" t="n">
        <v>0</v>
      </c>
      <c r="GX351" s="9" t="n">
        <v>400</v>
      </c>
      <c r="HB351" s="10" t="n">
        <v>46322</v>
      </c>
      <c r="HD351" s="9" t="n">
        <v>0</v>
      </c>
      <c r="HF351" s="9" t="n">
        <v>0</v>
      </c>
      <c r="HG351" s="9" t="n">
        <v>3600</v>
      </c>
      <c r="HK351" s="10" t="n">
        <v>46322</v>
      </c>
      <c r="HM351" s="9" t="n">
        <v>0</v>
      </c>
      <c r="HO351" s="9" t="n">
        <v>0</v>
      </c>
      <c r="HP351" s="9" t="n">
        <v>0</v>
      </c>
      <c r="HU351" s="10" t="n">
        <v>46322</v>
      </c>
      <c r="HW351" s="9" t="n">
        <v>0</v>
      </c>
      <c r="HY351" s="9" t="n">
        <v>0</v>
      </c>
      <c r="HZ351" s="9" t="n">
        <v>6120</v>
      </c>
      <c r="ID351" s="10" t="n">
        <v>46322</v>
      </c>
      <c r="IF351" s="9" t="n">
        <v>0</v>
      </c>
      <c r="IH351" s="9" t="n">
        <v>0</v>
      </c>
      <c r="II351" s="9" t="n">
        <v>0</v>
      </c>
      <c r="IM351" s="10" t="n">
        <v>46322</v>
      </c>
      <c r="IO351" s="9" t="n">
        <v>0</v>
      </c>
      <c r="IQ351" s="9" t="n">
        <v>0</v>
      </c>
      <c r="IR351" s="9" t="n">
        <v>0</v>
      </c>
      <c r="IV351" s="10" t="n">
        <v>46322</v>
      </c>
      <c r="IX351" s="9" t="n">
        <v>0</v>
      </c>
      <c r="IZ351" s="9" t="n">
        <v>0</v>
      </c>
      <c r="JA351" s="9" t="n">
        <v>2820</v>
      </c>
      <c r="JE351" s="10" t="n">
        <v>46322</v>
      </c>
      <c r="JG351" s="9" t="n">
        <v>0</v>
      </c>
      <c r="JI351" s="9" t="n">
        <v>0</v>
      </c>
      <c r="JJ351" s="9" t="n">
        <v>0</v>
      </c>
      <c r="JN351" s="10" t="n">
        <v>46322</v>
      </c>
      <c r="JP351" s="9" t="n">
        <v>0</v>
      </c>
      <c r="JR351" s="9" t="n">
        <v>0</v>
      </c>
      <c r="JS351" s="9" t="n">
        <v>0</v>
      </c>
      <c r="JW351" s="10" t="n">
        <v>46322</v>
      </c>
      <c r="JY351" s="9" t="n">
        <v>0</v>
      </c>
      <c r="KA351" s="9" t="n">
        <v>0</v>
      </c>
      <c r="KB351" s="9" t="n">
        <v>2540</v>
      </c>
      <c r="KF351" s="10" t="n">
        <v>46322</v>
      </c>
      <c r="KH351" s="9" t="n">
        <v>0</v>
      </c>
      <c r="KJ351" s="9" t="n">
        <v>0</v>
      </c>
      <c r="KK351" s="9" t="n">
        <v>2359.5</v>
      </c>
      <c r="KO351" s="10" t="n">
        <v>46322</v>
      </c>
      <c r="KQ351" s="9" t="n">
        <v>0</v>
      </c>
      <c r="KS351" s="9" t="n">
        <v>0</v>
      </c>
      <c r="KT351" s="9" t="n">
        <v>1890</v>
      </c>
      <c r="KX351" s="10" t="n">
        <v>46322</v>
      </c>
      <c r="KZ351" s="9" t="n">
        <v>0</v>
      </c>
      <c r="LB351" s="9" t="n">
        <v>0</v>
      </c>
      <c r="LC351" s="9" t="n">
        <v>3690</v>
      </c>
      <c r="LG351" s="10" t="n">
        <v>46322</v>
      </c>
      <c r="LI351" s="9" t="n">
        <v>0</v>
      </c>
      <c r="LK351" s="9" t="n">
        <v>0</v>
      </c>
      <c r="LL351" s="9" t="n">
        <v>4000</v>
      </c>
      <c r="LP351" s="10" t="n">
        <v>46322</v>
      </c>
      <c r="LR351" s="9" t="n">
        <v>0</v>
      </c>
      <c r="LT351" s="9" t="n">
        <v>0</v>
      </c>
      <c r="LU351" s="9" t="n">
        <v>0</v>
      </c>
      <c r="LY351" s="10" t="n">
        <v>46322</v>
      </c>
      <c r="MA351" s="9" t="n">
        <v>0</v>
      </c>
      <c r="MC351" s="9" t="n">
        <v>0</v>
      </c>
      <c r="MD351" s="9" t="n">
        <v>0</v>
      </c>
      <c r="MH351" s="10" t="n">
        <v>46322</v>
      </c>
      <c r="MJ351" s="9" t="n">
        <v>0</v>
      </c>
      <c r="ML351" s="9" t="n">
        <v>0</v>
      </c>
      <c r="MM351" s="9" t="n">
        <v>0</v>
      </c>
      <c r="MQ351" s="10" t="n">
        <v>46322</v>
      </c>
      <c r="MS351" s="9" t="n">
        <v>0</v>
      </c>
      <c r="MU351" s="9" t="n">
        <v>0</v>
      </c>
      <c r="MV351" s="9" t="n">
        <v>1625</v>
      </c>
      <c r="MZ351" s="10" t="n">
        <v>46322</v>
      </c>
      <c r="NB351" s="9" t="n">
        <v>0</v>
      </c>
      <c r="ND351" s="9" t="n">
        <v>0</v>
      </c>
      <c r="NE351" s="9" t="n">
        <v>0</v>
      </c>
      <c r="NI351" s="10" t="n">
        <v>46322</v>
      </c>
      <c r="NK351" s="9" t="n">
        <v>0</v>
      </c>
      <c r="NM351" s="9" t="n">
        <v>0</v>
      </c>
      <c r="NN351" s="9" t="n">
        <v>1127</v>
      </c>
      <c r="NR351" s="10" t="n">
        <v>46322</v>
      </c>
      <c r="NT351" s="9" t="n">
        <v>0</v>
      </c>
      <c r="NV351" s="9" t="n">
        <v>0</v>
      </c>
      <c r="NW351" s="9" t="n">
        <v>3112</v>
      </c>
      <c r="OA351" s="10" t="n">
        <v>46322</v>
      </c>
      <c r="OC351" s="9" t="n">
        <v>0</v>
      </c>
      <c r="OE351" s="9" t="n">
        <v>0</v>
      </c>
      <c r="OF351" s="9" t="n">
        <v>1680.5</v>
      </c>
      <c r="OJ351" s="10" t="n">
        <v>46322</v>
      </c>
      <c r="OL351" s="9" t="n">
        <v>0</v>
      </c>
      <c r="ON351" s="9" t="n">
        <v>0</v>
      </c>
      <c r="OO351" s="9" t="n">
        <v>0</v>
      </c>
      <c r="OS351" s="10" t="n">
        <v>46322</v>
      </c>
      <c r="OU351" s="9" t="n">
        <v>0</v>
      </c>
      <c r="OW351" s="9" t="n">
        <v>0</v>
      </c>
      <c r="OX351" s="9" t="n">
        <v>1482</v>
      </c>
      <c r="PB351" s="10" t="n">
        <v>46322</v>
      </c>
      <c r="PD351" s="9" t="n">
        <v>0</v>
      </c>
      <c r="PF351" s="9" t="n">
        <v>0</v>
      </c>
      <c r="PG351" s="9" t="n">
        <v>0</v>
      </c>
      <c r="PK351" s="10" t="n">
        <v>46322</v>
      </c>
      <c r="PM351" s="9" t="n">
        <v>0</v>
      </c>
      <c r="PO351" s="9" t="n">
        <v>0</v>
      </c>
      <c r="PP351" s="9" t="n">
        <v>100</v>
      </c>
      <c r="PT351" s="10" t="n">
        <v>46322</v>
      </c>
      <c r="PV351" s="9" t="n">
        <v>0</v>
      </c>
      <c r="PX351" s="9" t="n">
        <v>0</v>
      </c>
      <c r="PY351" s="9" t="n">
        <v>13.96000000000004</v>
      </c>
      <c r="QC351" s="10" t="n">
        <v>46322</v>
      </c>
      <c r="QE351" s="9" t="n">
        <v>0</v>
      </c>
      <c r="QG351" s="9" t="n">
        <v>0</v>
      </c>
      <c r="QH351" s="9" t="n">
        <v>548</v>
      </c>
      <c r="QL351" s="10" t="n">
        <v>46322</v>
      </c>
      <c r="QN351" s="9" t="n">
        <v>0</v>
      </c>
      <c r="QP351" s="9" t="n">
        <v>0</v>
      </c>
      <c r="QQ351" s="9" t="n">
        <v>0</v>
      </c>
      <c r="QU351" s="10" t="n">
        <v>46322</v>
      </c>
      <c r="QW351" s="9" t="n">
        <v>0</v>
      </c>
      <c r="QY351" s="9" t="n">
        <v>0</v>
      </c>
      <c r="QZ351" s="9" t="n">
        <v>0</v>
      </c>
      <c r="RD351" s="10" t="n">
        <v>46322</v>
      </c>
      <c r="RF351" s="9" t="n">
        <v>0</v>
      </c>
      <c r="RH351" s="9" t="n">
        <v>0</v>
      </c>
      <c r="RI351" s="9" t="n">
        <v>147.04</v>
      </c>
      <c r="RM351" s="10" t="n">
        <v>46322</v>
      </c>
      <c r="RO351" s="9" t="n">
        <v>0</v>
      </c>
      <c r="RQ351" s="9" t="n">
        <v>0</v>
      </c>
      <c r="RR351" s="9" t="n">
        <v>46.8</v>
      </c>
      <c r="RV351" s="10" t="n">
        <v>46322</v>
      </c>
      <c r="RX351" s="9" t="n">
        <v>0</v>
      </c>
      <c r="RZ351" s="9" t="n">
        <v>0</v>
      </c>
      <c r="SA351" s="9" t="n">
        <v>0</v>
      </c>
      <c r="SE351" s="10" t="n">
        <v>46322</v>
      </c>
      <c r="SG351" s="9" t="n">
        <v>0</v>
      </c>
      <c r="SI351" s="9" t="n">
        <v>0</v>
      </c>
      <c r="SJ351" s="9" t="n">
        <v>24.2</v>
      </c>
      <c r="SN351" s="10" t="n">
        <v>46322</v>
      </c>
      <c r="SP351" s="9" t="n">
        <v>0</v>
      </c>
      <c r="SR351" s="9" t="n">
        <v>0</v>
      </c>
      <c r="SS351" s="9" t="n">
        <v>32</v>
      </c>
      <c r="SW351" s="10" t="n">
        <v>46322</v>
      </c>
      <c r="SY351" s="9" t="n">
        <v>0</v>
      </c>
      <c r="TA351" s="9" t="n">
        <v>0</v>
      </c>
      <c r="TB351" s="9" t="n">
        <v>0</v>
      </c>
      <c r="TF351" s="10" t="n">
        <v>46322</v>
      </c>
      <c r="TH351" s="9" t="n">
        <v>0</v>
      </c>
      <c r="TJ351" s="9" t="n">
        <v>0</v>
      </c>
      <c r="TK351" s="9" t="n">
        <v>0</v>
      </c>
      <c r="TO351" s="10" t="n">
        <v>46322</v>
      </c>
      <c r="TQ351" s="9" t="n">
        <v>0</v>
      </c>
      <c r="TS351" s="9" t="n">
        <v>0</v>
      </c>
      <c r="TT351" s="9" t="n">
        <v>0</v>
      </c>
      <c r="TX351" s="10" t="n">
        <v>46322</v>
      </c>
      <c r="TZ351" s="9" t="n">
        <v>0</v>
      </c>
      <c r="UB351" s="9" t="n">
        <v>0</v>
      </c>
      <c r="UC351" s="9" t="n">
        <v>46.79999999999998</v>
      </c>
      <c r="UG351" s="10" t="n">
        <v>46322</v>
      </c>
      <c r="UI351" s="9" t="n">
        <v>0</v>
      </c>
      <c r="UK351" s="9" t="n">
        <v>0</v>
      </c>
      <c r="UL351" s="9" t="n">
        <v>204</v>
      </c>
      <c r="UP351" s="10" t="n">
        <v>46322</v>
      </c>
      <c r="UR351" s="9" t="n">
        <v>0</v>
      </c>
      <c r="UT351" s="9" t="n">
        <v>0</v>
      </c>
      <c r="UU351" s="9" t="n">
        <v>202.5</v>
      </c>
      <c r="UY351" s="10" t="n">
        <v>46322</v>
      </c>
      <c r="VA351" s="9" t="n">
        <v>0</v>
      </c>
      <c r="VC351" s="9" t="n">
        <v>0</v>
      </c>
      <c r="VD351" s="9" t="n">
        <v>41.60000000000002</v>
      </c>
      <c r="VH351" s="10" t="n">
        <v>46322</v>
      </c>
      <c r="VJ351" s="9" t="n">
        <v>0</v>
      </c>
      <c r="VL351" s="9" t="n">
        <v>0</v>
      </c>
      <c r="VM351" s="9" t="n">
        <v>210</v>
      </c>
      <c r="VQ351" s="10" t="n">
        <v>46322</v>
      </c>
      <c r="VS351" s="9" t="n">
        <v>0</v>
      </c>
      <c r="VU351" s="9" t="n">
        <v>0</v>
      </c>
      <c r="VV351" s="9" t="n">
        <v>0</v>
      </c>
      <c r="VZ351" s="10" t="n">
        <v>46322</v>
      </c>
      <c r="WB351" s="9" t="n">
        <v>0</v>
      </c>
      <c r="WD351" s="9" t="n">
        <v>0</v>
      </c>
      <c r="WE351" s="9" t="n">
        <v>0</v>
      </c>
      <c r="WI351" s="10" t="n">
        <v>46322</v>
      </c>
      <c r="WK351" s="9" t="n">
        <v>0</v>
      </c>
      <c r="WM351" s="9" t="n">
        <v>0</v>
      </c>
      <c r="WN351" s="9" t="n">
        <v>1057</v>
      </c>
      <c r="WR351" s="10" t="n">
        <v>46322</v>
      </c>
      <c r="WT351" s="9" t="n">
        <v>0</v>
      </c>
      <c r="WV351" s="9" t="n">
        <v>0</v>
      </c>
      <c r="WW351" s="9" t="n">
        <v>0</v>
      </c>
      <c r="XA351" s="10" t="n">
        <v>46322</v>
      </c>
      <c r="XC351" s="9" t="n">
        <v>0</v>
      </c>
      <c r="XE351" s="9" t="n">
        <v>0</v>
      </c>
      <c r="XF351" s="9" t="n">
        <v>7507</v>
      </c>
      <c r="XJ351" s="10" t="n">
        <v>46322</v>
      </c>
      <c r="XL351" s="9" t="n">
        <v>0</v>
      </c>
      <c r="XN351" s="9" t="n">
        <v>0</v>
      </c>
      <c r="XO351" s="9" t="n">
        <v>4252</v>
      </c>
      <c r="XS351" s="10" t="n">
        <v>46322</v>
      </c>
      <c r="XU351" s="9" t="n">
        <v>0</v>
      </c>
      <c r="XW351" s="9" t="n">
        <v>0</v>
      </c>
      <c r="XX351" s="9" t="n">
        <v>2179</v>
      </c>
      <c r="YB351" s="10" t="n">
        <v>46322</v>
      </c>
      <c r="YD351" s="9" t="n">
        <v>0</v>
      </c>
      <c r="YF351" s="9" t="n">
        <v>0</v>
      </c>
      <c r="YG351" s="9" t="n">
        <v>4019</v>
      </c>
      <c r="YK351" s="10" t="n">
        <v>46322</v>
      </c>
      <c r="YM351" s="9" t="n">
        <v>0</v>
      </c>
      <c r="YO351" s="9" t="n">
        <v>0</v>
      </c>
      <c r="YP351" s="9" t="n">
        <v>-218</v>
      </c>
      <c r="YT351" s="10" t="n">
        <v>46322</v>
      </c>
      <c r="YV351" s="9" t="n">
        <v>0</v>
      </c>
      <c r="YX351" s="9" t="n">
        <v>0</v>
      </c>
      <c r="YY351" s="9" t="n">
        <v>0</v>
      </c>
      <c r="ZC351" s="10" t="n">
        <v>46322</v>
      </c>
      <c r="ZE351" s="9" t="n">
        <v>0</v>
      </c>
      <c r="ZG351" s="9" t="n">
        <v>0</v>
      </c>
      <c r="ZH351" s="9" t="n">
        <v>0</v>
      </c>
      <c r="ZL351" s="10" t="n">
        <v>46322</v>
      </c>
      <c r="ZN351" s="9" t="n">
        <v>0</v>
      </c>
      <c r="ZP351" s="9" t="n">
        <v>0</v>
      </c>
      <c r="ZQ351" s="9" t="n">
        <v>0</v>
      </c>
      <c r="ZU351" s="10" t="n">
        <v>46322</v>
      </c>
      <c r="ZW351" s="9" t="n">
        <v>0</v>
      </c>
      <c r="ZY351" s="9" t="n">
        <v>0</v>
      </c>
      <c r="ZZ351" s="9" t="n">
        <v>0</v>
      </c>
      <c r="AAD351" s="10" t="n">
        <v>46322</v>
      </c>
      <c r="AAF351" s="9" t="n">
        <v>0</v>
      </c>
      <c r="AAH351" s="9" t="n">
        <v>0</v>
      </c>
      <c r="AAI351" s="9" t="n">
        <v>0</v>
      </c>
      <c r="AAM351" s="10" t="n">
        <v>46322</v>
      </c>
      <c r="AAO351" s="9" t="n">
        <v>0</v>
      </c>
      <c r="AAQ351" s="9" t="n">
        <v>0</v>
      </c>
      <c r="AAR351" s="9" t="n">
        <v>0</v>
      </c>
      <c r="AAV351" s="10" t="n">
        <v>46322</v>
      </c>
      <c r="AAX351" s="9" t="n">
        <v>0</v>
      </c>
      <c r="AAZ351" s="9" t="n">
        <v>0</v>
      </c>
      <c r="ABA351" s="9" t="n">
        <v>0</v>
      </c>
      <c r="ABE351" s="10" t="n">
        <v>46322</v>
      </c>
      <c r="ABG351" s="9" t="n">
        <v>0</v>
      </c>
      <c r="ABI351" s="9" t="n">
        <v>0</v>
      </c>
      <c r="ABJ351" s="9" t="n">
        <v>0</v>
      </c>
    </row>
    <row r="352">
      <c r="C352" s="10" t="n">
        <v>46323</v>
      </c>
      <c r="E352" s="9" t="n">
        <v>0</v>
      </c>
      <c r="G352" s="9" t="n">
        <v>0</v>
      </c>
      <c r="H352" s="9" t="n">
        <v>236936.6</v>
      </c>
      <c r="L352" s="10" t="n">
        <v>46323</v>
      </c>
      <c r="N352" s="9" t="n">
        <v>0</v>
      </c>
      <c r="P352" s="9" t="n">
        <v>0</v>
      </c>
      <c r="Q352" s="9" t="n">
        <v>53017.60000000007</v>
      </c>
      <c r="U352" s="10" t="n">
        <v>46323</v>
      </c>
      <c r="W352" s="9" t="n">
        <v>0</v>
      </c>
      <c r="Y352" s="9" t="n">
        <v>0</v>
      </c>
      <c r="Z352" s="9" t="n">
        <v>42674.19999999997</v>
      </c>
      <c r="AD352" s="10" t="n">
        <v>46323</v>
      </c>
      <c r="AF352" s="9" t="n">
        <v>0</v>
      </c>
      <c r="AH352" s="9" t="n">
        <v>0</v>
      </c>
      <c r="AI352" s="9" t="n">
        <v>4522.200000000019</v>
      </c>
      <c r="AM352" s="10" t="n">
        <v>46323</v>
      </c>
      <c r="AO352" s="9" t="n">
        <v>0</v>
      </c>
      <c r="AQ352" s="9" t="n">
        <v>0</v>
      </c>
      <c r="AR352" s="9" t="n">
        <v>0</v>
      </c>
      <c r="AV352" s="10" t="n">
        <v>46323</v>
      </c>
      <c r="AX352" s="9" t="n">
        <v>0</v>
      </c>
      <c r="AZ352" s="9" t="n">
        <v>0</v>
      </c>
      <c r="BA352" s="9" t="n">
        <v>124.9999999999952</v>
      </c>
      <c r="BE352" s="10" t="n">
        <v>46323</v>
      </c>
      <c r="BG352" s="9" t="n">
        <v>0</v>
      </c>
      <c r="BI352" s="9" t="n">
        <v>0</v>
      </c>
      <c r="BJ352" s="9" t="n">
        <v>26151.9</v>
      </c>
      <c r="BN352" s="10" t="n">
        <v>46323</v>
      </c>
      <c r="BP352" s="9" t="n">
        <v>0</v>
      </c>
      <c r="BR352" s="9" t="n">
        <v>0</v>
      </c>
      <c r="BS352" s="9" t="n">
        <v>0</v>
      </c>
      <c r="BW352" s="10" t="n">
        <v>46323</v>
      </c>
      <c r="BY352" s="9" t="n">
        <v>0</v>
      </c>
      <c r="CA352" s="9" t="n">
        <v>0</v>
      </c>
      <c r="CB352" s="9" t="n">
        <v>2097.339999999999</v>
      </c>
      <c r="CF352" s="10" t="n">
        <v>46323</v>
      </c>
      <c r="CH352" s="9" t="n">
        <v>0</v>
      </c>
      <c r="CJ352" s="9" t="n">
        <v>0</v>
      </c>
      <c r="CK352" s="9" t="n">
        <v>-10277.08</v>
      </c>
      <c r="CO352" s="10" t="n">
        <v>46323</v>
      </c>
      <c r="CQ352" s="9" t="n">
        <v>0</v>
      </c>
      <c r="CS352" s="9" t="n">
        <v>0</v>
      </c>
      <c r="CT352" s="9" t="n">
        <v>0</v>
      </c>
      <c r="CX352" s="10" t="n">
        <v>46323</v>
      </c>
      <c r="CZ352" s="9" t="n">
        <v>0</v>
      </c>
      <c r="DB352" s="9" t="n">
        <v>0</v>
      </c>
      <c r="DC352" s="9" t="n">
        <v>27438.20000000001</v>
      </c>
      <c r="DG352" s="10" t="n">
        <v>46323</v>
      </c>
      <c r="DI352" s="9" t="n">
        <v>0</v>
      </c>
      <c r="DK352" s="9" t="n">
        <v>0</v>
      </c>
      <c r="DL352" s="9" t="n">
        <v>18782.29999999998</v>
      </c>
      <c r="DP352" s="10" t="n">
        <v>46323</v>
      </c>
      <c r="DR352" s="9" t="n">
        <v>0</v>
      </c>
      <c r="DT352" s="9" t="n">
        <v>0</v>
      </c>
      <c r="DU352" s="9" t="n">
        <v>5800</v>
      </c>
      <c r="DY352" s="10" t="n">
        <v>46323</v>
      </c>
      <c r="EA352" s="9" t="n">
        <v>0</v>
      </c>
      <c r="EC352" s="9" t="n">
        <v>0</v>
      </c>
      <c r="ED352" s="9" t="n">
        <v>0</v>
      </c>
      <c r="EH352" s="10" t="n">
        <v>46323</v>
      </c>
      <c r="EJ352" s="9" t="n">
        <v>0</v>
      </c>
      <c r="EL352" s="9" t="n">
        <v>0</v>
      </c>
      <c r="EM352" s="9" t="n">
        <v>0</v>
      </c>
      <c r="EQ352" s="10" t="n">
        <v>46323</v>
      </c>
      <c r="ES352" s="9" t="n">
        <v>0</v>
      </c>
      <c r="EU352" s="9" t="n">
        <v>0</v>
      </c>
      <c r="EV352" s="9" t="n">
        <v>0</v>
      </c>
      <c r="EZ352" s="10" t="n">
        <v>46323</v>
      </c>
      <c r="FB352" s="9" t="n">
        <v>0</v>
      </c>
      <c r="FD352" s="9" t="n">
        <v>0</v>
      </c>
      <c r="FE352" s="9" t="n">
        <v>0</v>
      </c>
      <c r="FI352" s="10" t="n">
        <v>46323</v>
      </c>
      <c r="FK352" s="9" t="n">
        <v>0</v>
      </c>
      <c r="FM352" s="9" t="n">
        <v>0</v>
      </c>
      <c r="FN352" s="9" t="n">
        <v>0</v>
      </c>
      <c r="FR352" s="10" t="n">
        <v>46323</v>
      </c>
      <c r="FT352" s="9" t="n">
        <v>0</v>
      </c>
      <c r="FV352" s="9" t="n">
        <v>0</v>
      </c>
      <c r="FW352" s="9" t="n">
        <v>2020</v>
      </c>
      <c r="GA352" s="10" t="n">
        <v>46323</v>
      </c>
      <c r="GC352" s="9" t="n">
        <v>0</v>
      </c>
      <c r="GE352" s="9" t="n">
        <v>0</v>
      </c>
      <c r="GF352" s="9" t="n">
        <v>960</v>
      </c>
      <c r="GJ352" s="10" t="n">
        <v>46323</v>
      </c>
      <c r="GL352" s="9" t="n">
        <v>0</v>
      </c>
      <c r="GN352" s="9" t="n">
        <v>0</v>
      </c>
      <c r="GO352" s="9" t="n">
        <v>1760</v>
      </c>
      <c r="GS352" s="10" t="n">
        <v>46323</v>
      </c>
      <c r="GU352" s="9" t="n">
        <v>0</v>
      </c>
      <c r="GW352" s="9" t="n">
        <v>0</v>
      </c>
      <c r="GX352" s="9" t="n">
        <v>400</v>
      </c>
      <c r="HB352" s="10" t="n">
        <v>46323</v>
      </c>
      <c r="HD352" s="9" t="n">
        <v>0</v>
      </c>
      <c r="HF352" s="9" t="n">
        <v>0</v>
      </c>
      <c r="HG352" s="9" t="n">
        <v>3600</v>
      </c>
      <c r="HK352" s="10" t="n">
        <v>46323</v>
      </c>
      <c r="HM352" s="9" t="n">
        <v>0</v>
      </c>
      <c r="HO352" s="9" t="n">
        <v>0</v>
      </c>
      <c r="HP352" s="9" t="n">
        <v>0</v>
      </c>
      <c r="HU352" s="10" t="n">
        <v>46323</v>
      </c>
      <c r="HW352" s="9" t="n">
        <v>0</v>
      </c>
      <c r="HY352" s="9" t="n">
        <v>0</v>
      </c>
      <c r="HZ352" s="9" t="n">
        <v>6120</v>
      </c>
      <c r="ID352" s="10" t="n">
        <v>46323</v>
      </c>
      <c r="IF352" s="9" t="n">
        <v>0</v>
      </c>
      <c r="IH352" s="9" t="n">
        <v>0</v>
      </c>
      <c r="II352" s="9" t="n">
        <v>0</v>
      </c>
      <c r="IM352" s="10" t="n">
        <v>46323</v>
      </c>
      <c r="IO352" s="9" t="n">
        <v>0</v>
      </c>
      <c r="IQ352" s="9" t="n">
        <v>0</v>
      </c>
      <c r="IR352" s="9" t="n">
        <v>0</v>
      </c>
      <c r="IV352" s="10" t="n">
        <v>46323</v>
      </c>
      <c r="IX352" s="9" t="n">
        <v>0</v>
      </c>
      <c r="IZ352" s="9" t="n">
        <v>0</v>
      </c>
      <c r="JA352" s="9" t="n">
        <v>2820</v>
      </c>
      <c r="JE352" s="10" t="n">
        <v>46323</v>
      </c>
      <c r="JG352" s="9" t="n">
        <v>0</v>
      </c>
      <c r="JI352" s="9" t="n">
        <v>0</v>
      </c>
      <c r="JJ352" s="9" t="n">
        <v>0</v>
      </c>
      <c r="JN352" s="10" t="n">
        <v>46323</v>
      </c>
      <c r="JP352" s="9" t="n">
        <v>0</v>
      </c>
      <c r="JR352" s="9" t="n">
        <v>0</v>
      </c>
      <c r="JS352" s="9" t="n">
        <v>0</v>
      </c>
      <c r="JW352" s="10" t="n">
        <v>46323</v>
      </c>
      <c r="JY352" s="9" t="n">
        <v>0</v>
      </c>
      <c r="KA352" s="9" t="n">
        <v>0</v>
      </c>
      <c r="KB352" s="9" t="n">
        <v>2540</v>
      </c>
      <c r="KF352" s="10" t="n">
        <v>46323</v>
      </c>
      <c r="KH352" s="9" t="n">
        <v>0</v>
      </c>
      <c r="KJ352" s="9" t="n">
        <v>0</v>
      </c>
      <c r="KK352" s="9" t="n">
        <v>2359.5</v>
      </c>
      <c r="KO352" s="10" t="n">
        <v>46323</v>
      </c>
      <c r="KQ352" s="9" t="n">
        <v>0</v>
      </c>
      <c r="KS352" s="9" t="n">
        <v>0</v>
      </c>
      <c r="KT352" s="9" t="n">
        <v>1890</v>
      </c>
      <c r="KX352" s="10" t="n">
        <v>46323</v>
      </c>
      <c r="KZ352" s="9" t="n">
        <v>0</v>
      </c>
      <c r="LB352" s="9" t="n">
        <v>0</v>
      </c>
      <c r="LC352" s="9" t="n">
        <v>3690</v>
      </c>
      <c r="LG352" s="10" t="n">
        <v>46323</v>
      </c>
      <c r="LI352" s="9" t="n">
        <v>0</v>
      </c>
      <c r="LK352" s="9" t="n">
        <v>0</v>
      </c>
      <c r="LL352" s="9" t="n">
        <v>4000</v>
      </c>
      <c r="LP352" s="10" t="n">
        <v>46323</v>
      </c>
      <c r="LR352" s="9" t="n">
        <v>0</v>
      </c>
      <c r="LT352" s="9" t="n">
        <v>0</v>
      </c>
      <c r="LU352" s="9" t="n">
        <v>0</v>
      </c>
      <c r="LY352" s="10" t="n">
        <v>46323</v>
      </c>
      <c r="MA352" s="9" t="n">
        <v>0</v>
      </c>
      <c r="MC352" s="9" t="n">
        <v>0</v>
      </c>
      <c r="MD352" s="9" t="n">
        <v>0</v>
      </c>
      <c r="MH352" s="10" t="n">
        <v>46323</v>
      </c>
      <c r="MJ352" s="9" t="n">
        <v>0</v>
      </c>
      <c r="ML352" s="9" t="n">
        <v>0</v>
      </c>
      <c r="MM352" s="9" t="n">
        <v>0</v>
      </c>
      <c r="MQ352" s="10" t="n">
        <v>46323</v>
      </c>
      <c r="MS352" s="9" t="n">
        <v>0</v>
      </c>
      <c r="MU352" s="9" t="n">
        <v>0</v>
      </c>
      <c r="MV352" s="9" t="n">
        <v>1625</v>
      </c>
      <c r="MZ352" s="10" t="n">
        <v>46323</v>
      </c>
      <c r="NB352" s="9" t="n">
        <v>0</v>
      </c>
      <c r="ND352" s="9" t="n">
        <v>0</v>
      </c>
      <c r="NE352" s="9" t="n">
        <v>0</v>
      </c>
      <c r="NI352" s="10" t="n">
        <v>46323</v>
      </c>
      <c r="NK352" s="9" t="n">
        <v>0</v>
      </c>
      <c r="NM352" s="9" t="n">
        <v>0</v>
      </c>
      <c r="NN352" s="9" t="n">
        <v>1127</v>
      </c>
      <c r="NR352" s="10" t="n">
        <v>46323</v>
      </c>
      <c r="NT352" s="9" t="n">
        <v>0</v>
      </c>
      <c r="NV352" s="9" t="n">
        <v>0</v>
      </c>
      <c r="NW352" s="9" t="n">
        <v>3112</v>
      </c>
      <c r="OA352" s="10" t="n">
        <v>46323</v>
      </c>
      <c r="OC352" s="9" t="n">
        <v>0</v>
      </c>
      <c r="OE352" s="9" t="n">
        <v>0</v>
      </c>
      <c r="OF352" s="9" t="n">
        <v>1680.5</v>
      </c>
      <c r="OJ352" s="10" t="n">
        <v>46323</v>
      </c>
      <c r="OL352" s="9" t="n">
        <v>0</v>
      </c>
      <c r="ON352" s="9" t="n">
        <v>0</v>
      </c>
      <c r="OO352" s="9" t="n">
        <v>0</v>
      </c>
      <c r="OS352" s="10" t="n">
        <v>46323</v>
      </c>
      <c r="OU352" s="9" t="n">
        <v>0</v>
      </c>
      <c r="OW352" s="9" t="n">
        <v>0</v>
      </c>
      <c r="OX352" s="9" t="n">
        <v>1482</v>
      </c>
      <c r="PB352" s="10" t="n">
        <v>46323</v>
      </c>
      <c r="PD352" s="9" t="n">
        <v>0</v>
      </c>
      <c r="PF352" s="9" t="n">
        <v>0</v>
      </c>
      <c r="PG352" s="9" t="n">
        <v>0</v>
      </c>
      <c r="PK352" s="10" t="n">
        <v>46323</v>
      </c>
      <c r="PM352" s="9" t="n">
        <v>0</v>
      </c>
      <c r="PO352" s="9" t="n">
        <v>0</v>
      </c>
      <c r="PP352" s="9" t="n">
        <v>100</v>
      </c>
      <c r="PT352" s="10" t="n">
        <v>46323</v>
      </c>
      <c r="PV352" s="9" t="n">
        <v>0</v>
      </c>
      <c r="PX352" s="9" t="n">
        <v>0</v>
      </c>
      <c r="PY352" s="9" t="n">
        <v>13.96000000000004</v>
      </c>
      <c r="QC352" s="10" t="n">
        <v>46323</v>
      </c>
      <c r="QE352" s="9" t="n">
        <v>0</v>
      </c>
      <c r="QG352" s="9" t="n">
        <v>0</v>
      </c>
      <c r="QH352" s="9" t="n">
        <v>548</v>
      </c>
      <c r="QL352" s="10" t="n">
        <v>46323</v>
      </c>
      <c r="QN352" s="9" t="n">
        <v>0</v>
      </c>
      <c r="QP352" s="9" t="n">
        <v>0</v>
      </c>
      <c r="QQ352" s="9" t="n">
        <v>0</v>
      </c>
      <c r="QU352" s="10" t="n">
        <v>46323</v>
      </c>
      <c r="QW352" s="9" t="n">
        <v>0</v>
      </c>
      <c r="QY352" s="9" t="n">
        <v>0</v>
      </c>
      <c r="QZ352" s="9" t="n">
        <v>0</v>
      </c>
      <c r="RD352" s="10" t="n">
        <v>46323</v>
      </c>
      <c r="RF352" s="9" t="n">
        <v>0</v>
      </c>
      <c r="RH352" s="9" t="n">
        <v>0</v>
      </c>
      <c r="RI352" s="9" t="n">
        <v>147.04</v>
      </c>
      <c r="RM352" s="10" t="n">
        <v>46323</v>
      </c>
      <c r="RO352" s="9" t="n">
        <v>0</v>
      </c>
      <c r="RQ352" s="9" t="n">
        <v>0</v>
      </c>
      <c r="RR352" s="9" t="n">
        <v>46.8</v>
      </c>
      <c r="RV352" s="10" t="n">
        <v>46323</v>
      </c>
      <c r="RX352" s="9" t="n">
        <v>0</v>
      </c>
      <c r="RZ352" s="9" t="n">
        <v>0</v>
      </c>
      <c r="SA352" s="9" t="n">
        <v>0</v>
      </c>
      <c r="SE352" s="10" t="n">
        <v>46323</v>
      </c>
      <c r="SG352" s="9" t="n">
        <v>0</v>
      </c>
      <c r="SI352" s="9" t="n">
        <v>0</v>
      </c>
      <c r="SJ352" s="9" t="n">
        <v>24.2</v>
      </c>
      <c r="SN352" s="10" t="n">
        <v>46323</v>
      </c>
      <c r="SP352" s="9" t="n">
        <v>0</v>
      </c>
      <c r="SR352" s="9" t="n">
        <v>0</v>
      </c>
      <c r="SS352" s="9" t="n">
        <v>32</v>
      </c>
      <c r="SW352" s="10" t="n">
        <v>46323</v>
      </c>
      <c r="SY352" s="9" t="n">
        <v>0</v>
      </c>
      <c r="TA352" s="9" t="n">
        <v>0</v>
      </c>
      <c r="TB352" s="9" t="n">
        <v>0</v>
      </c>
      <c r="TF352" s="10" t="n">
        <v>46323</v>
      </c>
      <c r="TH352" s="9" t="n">
        <v>0</v>
      </c>
      <c r="TJ352" s="9" t="n">
        <v>0</v>
      </c>
      <c r="TK352" s="9" t="n">
        <v>0</v>
      </c>
      <c r="TO352" s="10" t="n">
        <v>46323</v>
      </c>
      <c r="TQ352" s="9" t="n">
        <v>0</v>
      </c>
      <c r="TS352" s="9" t="n">
        <v>0</v>
      </c>
      <c r="TT352" s="9" t="n">
        <v>0</v>
      </c>
      <c r="TX352" s="10" t="n">
        <v>46323</v>
      </c>
      <c r="TZ352" s="9" t="n">
        <v>0</v>
      </c>
      <c r="UB352" s="9" t="n">
        <v>0</v>
      </c>
      <c r="UC352" s="9" t="n">
        <v>46.79999999999998</v>
      </c>
      <c r="UG352" s="10" t="n">
        <v>46323</v>
      </c>
      <c r="UI352" s="9" t="n">
        <v>0</v>
      </c>
      <c r="UK352" s="9" t="n">
        <v>0</v>
      </c>
      <c r="UL352" s="9" t="n">
        <v>204</v>
      </c>
      <c r="UP352" s="10" t="n">
        <v>46323</v>
      </c>
      <c r="UR352" s="9" t="n">
        <v>0</v>
      </c>
      <c r="UT352" s="9" t="n">
        <v>0</v>
      </c>
      <c r="UU352" s="9" t="n">
        <v>202.5</v>
      </c>
      <c r="UY352" s="10" t="n">
        <v>46323</v>
      </c>
      <c r="VA352" s="9" t="n">
        <v>0</v>
      </c>
      <c r="VC352" s="9" t="n">
        <v>0</v>
      </c>
      <c r="VD352" s="9" t="n">
        <v>41.60000000000002</v>
      </c>
      <c r="VH352" s="10" t="n">
        <v>46323</v>
      </c>
      <c r="VJ352" s="9" t="n">
        <v>0</v>
      </c>
      <c r="VL352" s="9" t="n">
        <v>0</v>
      </c>
      <c r="VM352" s="9" t="n">
        <v>210</v>
      </c>
      <c r="VQ352" s="10" t="n">
        <v>46323</v>
      </c>
      <c r="VS352" s="9" t="n">
        <v>0</v>
      </c>
      <c r="VU352" s="9" t="n">
        <v>0</v>
      </c>
      <c r="VV352" s="9" t="n">
        <v>0</v>
      </c>
      <c r="VZ352" s="10" t="n">
        <v>46323</v>
      </c>
      <c r="WB352" s="9" t="n">
        <v>0</v>
      </c>
      <c r="WD352" s="9" t="n">
        <v>0</v>
      </c>
      <c r="WE352" s="9" t="n">
        <v>0</v>
      </c>
      <c r="WI352" s="10" t="n">
        <v>46323</v>
      </c>
      <c r="WK352" s="9" t="n">
        <v>0</v>
      </c>
      <c r="WM352" s="9" t="n">
        <v>0</v>
      </c>
      <c r="WN352" s="9" t="n">
        <v>1057</v>
      </c>
      <c r="WR352" s="10" t="n">
        <v>46323</v>
      </c>
      <c r="WT352" s="9" t="n">
        <v>0</v>
      </c>
      <c r="WV352" s="9" t="n">
        <v>0</v>
      </c>
      <c r="WW352" s="9" t="n">
        <v>0</v>
      </c>
      <c r="XA352" s="10" t="n">
        <v>46323</v>
      </c>
      <c r="XC352" s="9" t="n">
        <v>0</v>
      </c>
      <c r="XE352" s="9" t="n">
        <v>0</v>
      </c>
      <c r="XF352" s="9" t="n">
        <v>7507</v>
      </c>
      <c r="XJ352" s="10" t="n">
        <v>46323</v>
      </c>
      <c r="XL352" s="9" t="n">
        <v>0</v>
      </c>
      <c r="XN352" s="9" t="n">
        <v>0</v>
      </c>
      <c r="XO352" s="9" t="n">
        <v>4252</v>
      </c>
      <c r="XS352" s="10" t="n">
        <v>46323</v>
      </c>
      <c r="XU352" s="9" t="n">
        <v>0</v>
      </c>
      <c r="XW352" s="9" t="n">
        <v>0</v>
      </c>
      <c r="XX352" s="9" t="n">
        <v>2179</v>
      </c>
      <c r="YB352" s="10" t="n">
        <v>46323</v>
      </c>
      <c r="YD352" s="9" t="n">
        <v>0</v>
      </c>
      <c r="YF352" s="9" t="n">
        <v>0</v>
      </c>
      <c r="YG352" s="9" t="n">
        <v>4019</v>
      </c>
      <c r="YK352" s="10" t="n">
        <v>46323</v>
      </c>
      <c r="YM352" s="9" t="n">
        <v>0</v>
      </c>
      <c r="YO352" s="9" t="n">
        <v>0</v>
      </c>
      <c r="YP352" s="9" t="n">
        <v>-218</v>
      </c>
      <c r="YT352" s="10" t="n">
        <v>46323</v>
      </c>
      <c r="YV352" s="9" t="n">
        <v>0</v>
      </c>
      <c r="YX352" s="9" t="n">
        <v>0</v>
      </c>
      <c r="YY352" s="9" t="n">
        <v>0</v>
      </c>
      <c r="ZC352" s="10" t="n">
        <v>46323</v>
      </c>
      <c r="ZE352" s="9" t="n">
        <v>0</v>
      </c>
      <c r="ZG352" s="9" t="n">
        <v>0</v>
      </c>
      <c r="ZH352" s="9" t="n">
        <v>0</v>
      </c>
      <c r="ZL352" s="10" t="n">
        <v>46323</v>
      </c>
      <c r="ZN352" s="9" t="n">
        <v>0</v>
      </c>
      <c r="ZP352" s="9" t="n">
        <v>0</v>
      </c>
      <c r="ZQ352" s="9" t="n">
        <v>0</v>
      </c>
      <c r="ZU352" s="10" t="n">
        <v>46323</v>
      </c>
      <c r="ZW352" s="9" t="n">
        <v>0</v>
      </c>
      <c r="ZY352" s="9" t="n">
        <v>0</v>
      </c>
      <c r="ZZ352" s="9" t="n">
        <v>0</v>
      </c>
      <c r="AAD352" s="10" t="n">
        <v>46323</v>
      </c>
      <c r="AAF352" s="9" t="n">
        <v>0</v>
      </c>
      <c r="AAH352" s="9" t="n">
        <v>0</v>
      </c>
      <c r="AAI352" s="9" t="n">
        <v>0</v>
      </c>
      <c r="AAM352" s="10" t="n">
        <v>46323</v>
      </c>
      <c r="AAO352" s="9" t="n">
        <v>0</v>
      </c>
      <c r="AAQ352" s="9" t="n">
        <v>0</v>
      </c>
      <c r="AAR352" s="9" t="n">
        <v>0</v>
      </c>
      <c r="AAV352" s="10" t="n">
        <v>46323</v>
      </c>
      <c r="AAX352" s="9" t="n">
        <v>0</v>
      </c>
      <c r="AAZ352" s="9" t="n">
        <v>0</v>
      </c>
      <c r="ABA352" s="9" t="n">
        <v>0</v>
      </c>
      <c r="ABE352" s="10" t="n">
        <v>46323</v>
      </c>
      <c r="ABG352" s="9" t="n">
        <v>0</v>
      </c>
      <c r="ABI352" s="9" t="n">
        <v>0</v>
      </c>
      <c r="ABJ352" s="9" t="n">
        <v>0</v>
      </c>
    </row>
    <row r="353">
      <c r="C353" s="10" t="n">
        <v>46324</v>
      </c>
      <c r="E353" s="9" t="n">
        <v>0</v>
      </c>
      <c r="G353" s="9" t="n">
        <v>0</v>
      </c>
      <c r="H353" s="9" t="n">
        <v>236936.6</v>
      </c>
      <c r="L353" s="10" t="n">
        <v>46324</v>
      </c>
      <c r="N353" s="9" t="n">
        <v>0</v>
      </c>
      <c r="P353" s="9" t="n">
        <v>0</v>
      </c>
      <c r="Q353" s="9" t="n">
        <v>53017.60000000007</v>
      </c>
      <c r="U353" s="10" t="n">
        <v>46324</v>
      </c>
      <c r="W353" s="9" t="n">
        <v>0</v>
      </c>
      <c r="Y353" s="9" t="n">
        <v>0</v>
      </c>
      <c r="Z353" s="9" t="n">
        <v>42674.19999999997</v>
      </c>
      <c r="AD353" s="10" t="n">
        <v>46324</v>
      </c>
      <c r="AF353" s="9" t="n">
        <v>0</v>
      </c>
      <c r="AH353" s="9" t="n">
        <v>0</v>
      </c>
      <c r="AI353" s="9" t="n">
        <v>4522.200000000019</v>
      </c>
      <c r="AM353" s="10" t="n">
        <v>46324</v>
      </c>
      <c r="AO353" s="9" t="n">
        <v>0</v>
      </c>
      <c r="AQ353" s="9" t="n">
        <v>0</v>
      </c>
      <c r="AR353" s="9" t="n">
        <v>0</v>
      </c>
      <c r="AV353" s="10" t="n">
        <v>46324</v>
      </c>
      <c r="AX353" s="9" t="n">
        <v>0</v>
      </c>
      <c r="AZ353" s="9" t="n">
        <v>0</v>
      </c>
      <c r="BA353" s="9" t="n">
        <v>124.9999999999952</v>
      </c>
      <c r="BE353" s="10" t="n">
        <v>46324</v>
      </c>
      <c r="BG353" s="9" t="n">
        <v>0</v>
      </c>
      <c r="BI353" s="9" t="n">
        <v>0</v>
      </c>
      <c r="BJ353" s="9" t="n">
        <v>26151.9</v>
      </c>
      <c r="BN353" s="10" t="n">
        <v>46324</v>
      </c>
      <c r="BP353" s="9" t="n">
        <v>0</v>
      </c>
      <c r="BR353" s="9" t="n">
        <v>0</v>
      </c>
      <c r="BS353" s="9" t="n">
        <v>0</v>
      </c>
      <c r="BW353" s="10" t="n">
        <v>46324</v>
      </c>
      <c r="BY353" s="9" t="n">
        <v>0</v>
      </c>
      <c r="CA353" s="9" t="n">
        <v>0</v>
      </c>
      <c r="CB353" s="9" t="n">
        <v>2097.339999999999</v>
      </c>
      <c r="CF353" s="10" t="n">
        <v>46324</v>
      </c>
      <c r="CH353" s="9" t="n">
        <v>0</v>
      </c>
      <c r="CJ353" s="9" t="n">
        <v>0</v>
      </c>
      <c r="CK353" s="9" t="n">
        <v>-10277.08</v>
      </c>
      <c r="CO353" s="10" t="n">
        <v>46324</v>
      </c>
      <c r="CQ353" s="9" t="n">
        <v>0</v>
      </c>
      <c r="CS353" s="9" t="n">
        <v>0</v>
      </c>
      <c r="CT353" s="9" t="n">
        <v>0</v>
      </c>
      <c r="CX353" s="10" t="n">
        <v>46324</v>
      </c>
      <c r="CZ353" s="9" t="n">
        <v>0</v>
      </c>
      <c r="DB353" s="9" t="n">
        <v>0</v>
      </c>
      <c r="DC353" s="9" t="n">
        <v>27438.20000000001</v>
      </c>
      <c r="DG353" s="10" t="n">
        <v>46324</v>
      </c>
      <c r="DI353" s="9" t="n">
        <v>0</v>
      </c>
      <c r="DK353" s="9" t="n">
        <v>0</v>
      </c>
      <c r="DL353" s="9" t="n">
        <v>18782.29999999998</v>
      </c>
      <c r="DP353" s="10" t="n">
        <v>46324</v>
      </c>
      <c r="DR353" s="9" t="n">
        <v>0</v>
      </c>
      <c r="DT353" s="9" t="n">
        <v>0</v>
      </c>
      <c r="DU353" s="9" t="n">
        <v>5800</v>
      </c>
      <c r="DY353" s="10" t="n">
        <v>46324</v>
      </c>
      <c r="EA353" s="9" t="n">
        <v>0</v>
      </c>
      <c r="EC353" s="9" t="n">
        <v>0</v>
      </c>
      <c r="ED353" s="9" t="n">
        <v>0</v>
      </c>
      <c r="EH353" s="10" t="n">
        <v>46324</v>
      </c>
      <c r="EJ353" s="9" t="n">
        <v>0</v>
      </c>
      <c r="EL353" s="9" t="n">
        <v>0</v>
      </c>
      <c r="EM353" s="9" t="n">
        <v>0</v>
      </c>
      <c r="EQ353" s="10" t="n">
        <v>46324</v>
      </c>
      <c r="ES353" s="9" t="n">
        <v>0</v>
      </c>
      <c r="EU353" s="9" t="n">
        <v>0</v>
      </c>
      <c r="EV353" s="9" t="n">
        <v>0</v>
      </c>
      <c r="EZ353" s="10" t="n">
        <v>46324</v>
      </c>
      <c r="FB353" s="9" t="n">
        <v>0</v>
      </c>
      <c r="FD353" s="9" t="n">
        <v>0</v>
      </c>
      <c r="FE353" s="9" t="n">
        <v>0</v>
      </c>
      <c r="FI353" s="10" t="n">
        <v>46324</v>
      </c>
      <c r="FK353" s="9" t="n">
        <v>0</v>
      </c>
      <c r="FM353" s="9" t="n">
        <v>0</v>
      </c>
      <c r="FN353" s="9" t="n">
        <v>0</v>
      </c>
      <c r="FR353" s="10" t="n">
        <v>46324</v>
      </c>
      <c r="FT353" s="9" t="n">
        <v>0</v>
      </c>
      <c r="FV353" s="9" t="n">
        <v>0</v>
      </c>
      <c r="FW353" s="9" t="n">
        <v>2020</v>
      </c>
      <c r="GA353" s="10" t="n">
        <v>46324</v>
      </c>
      <c r="GC353" s="9" t="n">
        <v>0</v>
      </c>
      <c r="GE353" s="9" t="n">
        <v>0</v>
      </c>
      <c r="GF353" s="9" t="n">
        <v>960</v>
      </c>
      <c r="GJ353" s="10" t="n">
        <v>46324</v>
      </c>
      <c r="GL353" s="9" t="n">
        <v>0</v>
      </c>
      <c r="GN353" s="9" t="n">
        <v>0</v>
      </c>
      <c r="GO353" s="9" t="n">
        <v>1760</v>
      </c>
      <c r="GS353" s="10" t="n">
        <v>46324</v>
      </c>
      <c r="GU353" s="9" t="n">
        <v>0</v>
      </c>
      <c r="GW353" s="9" t="n">
        <v>0</v>
      </c>
      <c r="GX353" s="9" t="n">
        <v>400</v>
      </c>
      <c r="HB353" s="10" t="n">
        <v>46324</v>
      </c>
      <c r="HD353" s="9" t="n">
        <v>0</v>
      </c>
      <c r="HF353" s="9" t="n">
        <v>0</v>
      </c>
      <c r="HG353" s="9" t="n">
        <v>3600</v>
      </c>
      <c r="HK353" s="10" t="n">
        <v>46324</v>
      </c>
      <c r="HM353" s="9" t="n">
        <v>0</v>
      </c>
      <c r="HO353" s="9" t="n">
        <v>0</v>
      </c>
      <c r="HP353" s="9" t="n">
        <v>0</v>
      </c>
      <c r="HU353" s="10" t="n">
        <v>46324</v>
      </c>
      <c r="HW353" s="9" t="n">
        <v>0</v>
      </c>
      <c r="HY353" s="9" t="n">
        <v>0</v>
      </c>
      <c r="HZ353" s="9" t="n">
        <v>6120</v>
      </c>
      <c r="ID353" s="10" t="n">
        <v>46324</v>
      </c>
      <c r="IF353" s="9" t="n">
        <v>0</v>
      </c>
      <c r="IH353" s="9" t="n">
        <v>0</v>
      </c>
      <c r="II353" s="9" t="n">
        <v>0</v>
      </c>
      <c r="IM353" s="10" t="n">
        <v>46324</v>
      </c>
      <c r="IO353" s="9" t="n">
        <v>0</v>
      </c>
      <c r="IQ353" s="9" t="n">
        <v>0</v>
      </c>
      <c r="IR353" s="9" t="n">
        <v>0</v>
      </c>
      <c r="IV353" s="10" t="n">
        <v>46324</v>
      </c>
      <c r="IX353" s="9" t="n">
        <v>0</v>
      </c>
      <c r="IZ353" s="9" t="n">
        <v>0</v>
      </c>
      <c r="JA353" s="9" t="n">
        <v>2820</v>
      </c>
      <c r="JE353" s="10" t="n">
        <v>46324</v>
      </c>
      <c r="JG353" s="9" t="n">
        <v>0</v>
      </c>
      <c r="JI353" s="9" t="n">
        <v>0</v>
      </c>
      <c r="JJ353" s="9" t="n">
        <v>0</v>
      </c>
      <c r="JN353" s="10" t="n">
        <v>46324</v>
      </c>
      <c r="JP353" s="9" t="n">
        <v>0</v>
      </c>
      <c r="JR353" s="9" t="n">
        <v>0</v>
      </c>
      <c r="JS353" s="9" t="n">
        <v>0</v>
      </c>
      <c r="JW353" s="10" t="n">
        <v>46324</v>
      </c>
      <c r="JY353" s="9" t="n">
        <v>0</v>
      </c>
      <c r="KA353" s="9" t="n">
        <v>0</v>
      </c>
      <c r="KB353" s="9" t="n">
        <v>2540</v>
      </c>
      <c r="KF353" s="10" t="n">
        <v>46324</v>
      </c>
      <c r="KH353" s="9" t="n">
        <v>0</v>
      </c>
      <c r="KJ353" s="9" t="n">
        <v>0</v>
      </c>
      <c r="KK353" s="9" t="n">
        <v>2359.5</v>
      </c>
      <c r="KO353" s="10" t="n">
        <v>46324</v>
      </c>
      <c r="KQ353" s="9" t="n">
        <v>0</v>
      </c>
      <c r="KS353" s="9" t="n">
        <v>0</v>
      </c>
      <c r="KT353" s="9" t="n">
        <v>1890</v>
      </c>
      <c r="KX353" s="10" t="n">
        <v>46324</v>
      </c>
      <c r="KZ353" s="9" t="n">
        <v>0</v>
      </c>
      <c r="LB353" s="9" t="n">
        <v>0</v>
      </c>
      <c r="LC353" s="9" t="n">
        <v>3690</v>
      </c>
      <c r="LG353" s="10" t="n">
        <v>46324</v>
      </c>
      <c r="LI353" s="9" t="n">
        <v>0</v>
      </c>
      <c r="LK353" s="9" t="n">
        <v>0</v>
      </c>
      <c r="LL353" s="9" t="n">
        <v>4000</v>
      </c>
      <c r="LP353" s="10" t="n">
        <v>46324</v>
      </c>
      <c r="LR353" s="9" t="n">
        <v>0</v>
      </c>
      <c r="LT353" s="9" t="n">
        <v>0</v>
      </c>
      <c r="LU353" s="9" t="n">
        <v>0</v>
      </c>
      <c r="LY353" s="10" t="n">
        <v>46324</v>
      </c>
      <c r="MA353" s="9" t="n">
        <v>0</v>
      </c>
      <c r="MC353" s="9" t="n">
        <v>0</v>
      </c>
      <c r="MD353" s="9" t="n">
        <v>0</v>
      </c>
      <c r="MH353" s="10" t="n">
        <v>46324</v>
      </c>
      <c r="MJ353" s="9" t="n">
        <v>0</v>
      </c>
      <c r="ML353" s="9" t="n">
        <v>0</v>
      </c>
      <c r="MM353" s="9" t="n">
        <v>0</v>
      </c>
      <c r="MQ353" s="10" t="n">
        <v>46324</v>
      </c>
      <c r="MS353" s="9" t="n">
        <v>0</v>
      </c>
      <c r="MU353" s="9" t="n">
        <v>0</v>
      </c>
      <c r="MV353" s="9" t="n">
        <v>1625</v>
      </c>
      <c r="MZ353" s="10" t="n">
        <v>46324</v>
      </c>
      <c r="NB353" s="9" t="n">
        <v>0</v>
      </c>
      <c r="ND353" s="9" t="n">
        <v>0</v>
      </c>
      <c r="NE353" s="9" t="n">
        <v>0</v>
      </c>
      <c r="NI353" s="10" t="n">
        <v>46324</v>
      </c>
      <c r="NK353" s="9" t="n">
        <v>0</v>
      </c>
      <c r="NM353" s="9" t="n">
        <v>0</v>
      </c>
      <c r="NN353" s="9" t="n">
        <v>1127</v>
      </c>
      <c r="NR353" s="10" t="n">
        <v>46324</v>
      </c>
      <c r="NT353" s="9" t="n">
        <v>0</v>
      </c>
      <c r="NV353" s="9" t="n">
        <v>0</v>
      </c>
      <c r="NW353" s="9" t="n">
        <v>3112</v>
      </c>
      <c r="OA353" s="10" t="n">
        <v>46324</v>
      </c>
      <c r="OC353" s="9" t="n">
        <v>0</v>
      </c>
      <c r="OE353" s="9" t="n">
        <v>0</v>
      </c>
      <c r="OF353" s="9" t="n">
        <v>1680.5</v>
      </c>
      <c r="OJ353" s="10" t="n">
        <v>46324</v>
      </c>
      <c r="OL353" s="9" t="n">
        <v>0</v>
      </c>
      <c r="ON353" s="9" t="n">
        <v>0</v>
      </c>
      <c r="OO353" s="9" t="n">
        <v>0</v>
      </c>
      <c r="OS353" s="10" t="n">
        <v>46324</v>
      </c>
      <c r="OU353" s="9" t="n">
        <v>0</v>
      </c>
      <c r="OW353" s="9" t="n">
        <v>0</v>
      </c>
      <c r="OX353" s="9" t="n">
        <v>1482</v>
      </c>
      <c r="PB353" s="10" t="n">
        <v>46324</v>
      </c>
      <c r="PD353" s="9" t="n">
        <v>0</v>
      </c>
      <c r="PF353" s="9" t="n">
        <v>0</v>
      </c>
      <c r="PG353" s="9" t="n">
        <v>0</v>
      </c>
      <c r="PK353" s="10" t="n">
        <v>46324</v>
      </c>
      <c r="PM353" s="9" t="n">
        <v>0</v>
      </c>
      <c r="PO353" s="9" t="n">
        <v>0</v>
      </c>
      <c r="PP353" s="9" t="n">
        <v>100</v>
      </c>
      <c r="PT353" s="10" t="n">
        <v>46324</v>
      </c>
      <c r="PV353" s="9" t="n">
        <v>0</v>
      </c>
      <c r="PX353" s="9" t="n">
        <v>0</v>
      </c>
      <c r="PY353" s="9" t="n">
        <v>13.96000000000004</v>
      </c>
      <c r="QC353" s="10" t="n">
        <v>46324</v>
      </c>
      <c r="QE353" s="9" t="n">
        <v>0</v>
      </c>
      <c r="QG353" s="9" t="n">
        <v>0</v>
      </c>
      <c r="QH353" s="9" t="n">
        <v>548</v>
      </c>
      <c r="QL353" s="10" t="n">
        <v>46324</v>
      </c>
      <c r="QN353" s="9" t="n">
        <v>0</v>
      </c>
      <c r="QP353" s="9" t="n">
        <v>0</v>
      </c>
      <c r="QQ353" s="9" t="n">
        <v>0</v>
      </c>
      <c r="QU353" s="10" t="n">
        <v>46324</v>
      </c>
      <c r="QW353" s="9" t="n">
        <v>0</v>
      </c>
      <c r="QY353" s="9" t="n">
        <v>0</v>
      </c>
      <c r="QZ353" s="9" t="n">
        <v>0</v>
      </c>
      <c r="RD353" s="10" t="n">
        <v>46324</v>
      </c>
      <c r="RF353" s="9" t="n">
        <v>0</v>
      </c>
      <c r="RH353" s="9" t="n">
        <v>0</v>
      </c>
      <c r="RI353" s="9" t="n">
        <v>147.04</v>
      </c>
      <c r="RM353" s="10" t="n">
        <v>46324</v>
      </c>
      <c r="RO353" s="9" t="n">
        <v>0</v>
      </c>
      <c r="RQ353" s="9" t="n">
        <v>0</v>
      </c>
      <c r="RR353" s="9" t="n">
        <v>46.8</v>
      </c>
      <c r="RV353" s="10" t="n">
        <v>46324</v>
      </c>
      <c r="RX353" s="9" t="n">
        <v>0</v>
      </c>
      <c r="RZ353" s="9" t="n">
        <v>0</v>
      </c>
      <c r="SA353" s="9" t="n">
        <v>0</v>
      </c>
      <c r="SE353" s="10" t="n">
        <v>46324</v>
      </c>
      <c r="SG353" s="9" t="n">
        <v>0</v>
      </c>
      <c r="SI353" s="9" t="n">
        <v>0</v>
      </c>
      <c r="SJ353" s="9" t="n">
        <v>24.2</v>
      </c>
      <c r="SN353" s="10" t="n">
        <v>46324</v>
      </c>
      <c r="SP353" s="9" t="n">
        <v>0</v>
      </c>
      <c r="SR353" s="9" t="n">
        <v>0</v>
      </c>
      <c r="SS353" s="9" t="n">
        <v>32</v>
      </c>
      <c r="SW353" s="10" t="n">
        <v>46324</v>
      </c>
      <c r="SY353" s="9" t="n">
        <v>0</v>
      </c>
      <c r="TA353" s="9" t="n">
        <v>0</v>
      </c>
      <c r="TB353" s="9" t="n">
        <v>0</v>
      </c>
      <c r="TF353" s="10" t="n">
        <v>46324</v>
      </c>
      <c r="TH353" s="9" t="n">
        <v>0</v>
      </c>
      <c r="TJ353" s="9" t="n">
        <v>0</v>
      </c>
      <c r="TK353" s="9" t="n">
        <v>0</v>
      </c>
      <c r="TO353" s="10" t="n">
        <v>46324</v>
      </c>
      <c r="TQ353" s="9" t="n">
        <v>0</v>
      </c>
      <c r="TS353" s="9" t="n">
        <v>0</v>
      </c>
      <c r="TT353" s="9" t="n">
        <v>0</v>
      </c>
      <c r="TX353" s="10" t="n">
        <v>46324</v>
      </c>
      <c r="TZ353" s="9" t="n">
        <v>0</v>
      </c>
      <c r="UB353" s="9" t="n">
        <v>0</v>
      </c>
      <c r="UC353" s="9" t="n">
        <v>46.79999999999998</v>
      </c>
      <c r="UG353" s="10" t="n">
        <v>46324</v>
      </c>
      <c r="UI353" s="9" t="n">
        <v>0</v>
      </c>
      <c r="UK353" s="9" t="n">
        <v>0</v>
      </c>
      <c r="UL353" s="9" t="n">
        <v>204</v>
      </c>
      <c r="UP353" s="10" t="n">
        <v>46324</v>
      </c>
      <c r="UR353" s="9" t="n">
        <v>0</v>
      </c>
      <c r="UT353" s="9" t="n">
        <v>0</v>
      </c>
      <c r="UU353" s="9" t="n">
        <v>202.5</v>
      </c>
      <c r="UY353" s="10" t="n">
        <v>46324</v>
      </c>
      <c r="VA353" s="9" t="n">
        <v>0</v>
      </c>
      <c r="VC353" s="9" t="n">
        <v>0</v>
      </c>
      <c r="VD353" s="9" t="n">
        <v>41.60000000000002</v>
      </c>
      <c r="VH353" s="10" t="n">
        <v>46324</v>
      </c>
      <c r="VJ353" s="9" t="n">
        <v>0</v>
      </c>
      <c r="VL353" s="9" t="n">
        <v>0</v>
      </c>
      <c r="VM353" s="9" t="n">
        <v>210</v>
      </c>
      <c r="VQ353" s="10" t="n">
        <v>46324</v>
      </c>
      <c r="VS353" s="9" t="n">
        <v>0</v>
      </c>
      <c r="VU353" s="9" t="n">
        <v>0</v>
      </c>
      <c r="VV353" s="9" t="n">
        <v>0</v>
      </c>
      <c r="VZ353" s="10" t="n">
        <v>46324</v>
      </c>
      <c r="WB353" s="9" t="n">
        <v>0</v>
      </c>
      <c r="WD353" s="9" t="n">
        <v>0</v>
      </c>
      <c r="WE353" s="9" t="n">
        <v>0</v>
      </c>
      <c r="WI353" s="10" t="n">
        <v>46324</v>
      </c>
      <c r="WK353" s="9" t="n">
        <v>0</v>
      </c>
      <c r="WM353" s="9" t="n">
        <v>0</v>
      </c>
      <c r="WN353" s="9" t="n">
        <v>1057</v>
      </c>
      <c r="WR353" s="10" t="n">
        <v>46324</v>
      </c>
      <c r="WT353" s="9" t="n">
        <v>0</v>
      </c>
      <c r="WV353" s="9" t="n">
        <v>0</v>
      </c>
      <c r="WW353" s="9" t="n">
        <v>0</v>
      </c>
      <c r="XA353" s="10" t="n">
        <v>46324</v>
      </c>
      <c r="XC353" s="9" t="n">
        <v>0</v>
      </c>
      <c r="XE353" s="9" t="n">
        <v>0</v>
      </c>
      <c r="XF353" s="9" t="n">
        <v>7507</v>
      </c>
      <c r="XJ353" s="10" t="n">
        <v>46324</v>
      </c>
      <c r="XL353" s="9" t="n">
        <v>0</v>
      </c>
      <c r="XN353" s="9" t="n">
        <v>0</v>
      </c>
      <c r="XO353" s="9" t="n">
        <v>4252</v>
      </c>
      <c r="XS353" s="10" t="n">
        <v>46324</v>
      </c>
      <c r="XU353" s="9" t="n">
        <v>0</v>
      </c>
      <c r="XW353" s="9" t="n">
        <v>0</v>
      </c>
      <c r="XX353" s="9" t="n">
        <v>2179</v>
      </c>
      <c r="YB353" s="10" t="n">
        <v>46324</v>
      </c>
      <c r="YD353" s="9" t="n">
        <v>0</v>
      </c>
      <c r="YF353" s="9" t="n">
        <v>0</v>
      </c>
      <c r="YG353" s="9" t="n">
        <v>4019</v>
      </c>
      <c r="YK353" s="10" t="n">
        <v>46324</v>
      </c>
      <c r="YM353" s="9" t="n">
        <v>0</v>
      </c>
      <c r="YO353" s="9" t="n">
        <v>0</v>
      </c>
      <c r="YP353" s="9" t="n">
        <v>-218</v>
      </c>
      <c r="YT353" s="10" t="n">
        <v>46324</v>
      </c>
      <c r="YV353" s="9" t="n">
        <v>0</v>
      </c>
      <c r="YX353" s="9" t="n">
        <v>0</v>
      </c>
      <c r="YY353" s="9" t="n">
        <v>0</v>
      </c>
      <c r="ZC353" s="10" t="n">
        <v>46324</v>
      </c>
      <c r="ZE353" s="9" t="n">
        <v>0</v>
      </c>
      <c r="ZG353" s="9" t="n">
        <v>0</v>
      </c>
      <c r="ZH353" s="9" t="n">
        <v>0</v>
      </c>
      <c r="ZL353" s="10" t="n">
        <v>46324</v>
      </c>
      <c r="ZN353" s="9" t="n">
        <v>0</v>
      </c>
      <c r="ZP353" s="9" t="n">
        <v>0</v>
      </c>
      <c r="ZQ353" s="9" t="n">
        <v>0</v>
      </c>
      <c r="ZU353" s="10" t="n">
        <v>46324</v>
      </c>
      <c r="ZW353" s="9" t="n">
        <v>0</v>
      </c>
      <c r="ZY353" s="9" t="n">
        <v>0</v>
      </c>
      <c r="ZZ353" s="9" t="n">
        <v>0</v>
      </c>
      <c r="AAD353" s="10" t="n">
        <v>46324</v>
      </c>
      <c r="AAF353" s="9" t="n">
        <v>0</v>
      </c>
      <c r="AAH353" s="9" t="n">
        <v>0</v>
      </c>
      <c r="AAI353" s="9" t="n">
        <v>0</v>
      </c>
      <c r="AAM353" s="10" t="n">
        <v>46324</v>
      </c>
      <c r="AAO353" s="9" t="n">
        <v>0</v>
      </c>
      <c r="AAQ353" s="9" t="n">
        <v>0</v>
      </c>
      <c r="AAR353" s="9" t="n">
        <v>0</v>
      </c>
      <c r="AAV353" s="10" t="n">
        <v>46324</v>
      </c>
      <c r="AAX353" s="9" t="n">
        <v>0</v>
      </c>
      <c r="AAZ353" s="9" t="n">
        <v>0</v>
      </c>
      <c r="ABA353" s="9" t="n">
        <v>0</v>
      </c>
      <c r="ABE353" s="10" t="n">
        <v>46324</v>
      </c>
      <c r="ABG353" s="9" t="n">
        <v>0</v>
      </c>
      <c r="ABI353" s="9" t="n">
        <v>0</v>
      </c>
      <c r="ABJ353" s="9" t="n">
        <v>0</v>
      </c>
    </row>
    <row r="354">
      <c r="C354" s="10" t="n">
        <v>46325</v>
      </c>
      <c r="E354" s="9" t="n">
        <v>0</v>
      </c>
      <c r="G354" s="9" t="n">
        <v>0</v>
      </c>
      <c r="H354" s="9" t="n">
        <v>236936.6</v>
      </c>
      <c r="L354" s="10" t="n">
        <v>46325</v>
      </c>
      <c r="N354" s="9" t="n">
        <v>0</v>
      </c>
      <c r="P354" s="9" t="n">
        <v>0</v>
      </c>
      <c r="Q354" s="9" t="n">
        <v>53017.60000000007</v>
      </c>
      <c r="U354" s="10" t="n">
        <v>46325</v>
      </c>
      <c r="W354" s="9" t="n">
        <v>0</v>
      </c>
      <c r="Y354" s="9" t="n">
        <v>0</v>
      </c>
      <c r="Z354" s="9" t="n">
        <v>42674.19999999997</v>
      </c>
      <c r="AD354" s="10" t="n">
        <v>46325</v>
      </c>
      <c r="AF354" s="9" t="n">
        <v>0</v>
      </c>
      <c r="AH354" s="9" t="n">
        <v>0</v>
      </c>
      <c r="AI354" s="9" t="n">
        <v>4522.200000000019</v>
      </c>
      <c r="AM354" s="10" t="n">
        <v>46325</v>
      </c>
      <c r="AO354" s="9" t="n">
        <v>0</v>
      </c>
      <c r="AQ354" s="9" t="n">
        <v>0</v>
      </c>
      <c r="AR354" s="9" t="n">
        <v>0</v>
      </c>
      <c r="AV354" s="10" t="n">
        <v>46325</v>
      </c>
      <c r="AX354" s="9" t="n">
        <v>0</v>
      </c>
      <c r="AZ354" s="9" t="n">
        <v>0</v>
      </c>
      <c r="BA354" s="9" t="n">
        <v>124.9999999999952</v>
      </c>
      <c r="BE354" s="10" t="n">
        <v>46325</v>
      </c>
      <c r="BG354" s="9" t="n">
        <v>0</v>
      </c>
      <c r="BI354" s="9" t="n">
        <v>0</v>
      </c>
      <c r="BJ354" s="9" t="n">
        <v>26151.9</v>
      </c>
      <c r="BN354" s="10" t="n">
        <v>46325</v>
      </c>
      <c r="BP354" s="9" t="n">
        <v>0</v>
      </c>
      <c r="BR354" s="9" t="n">
        <v>0</v>
      </c>
      <c r="BS354" s="9" t="n">
        <v>0</v>
      </c>
      <c r="BW354" s="10" t="n">
        <v>46325</v>
      </c>
      <c r="BY354" s="9" t="n">
        <v>0</v>
      </c>
      <c r="CA354" s="9" t="n">
        <v>0</v>
      </c>
      <c r="CB354" s="9" t="n">
        <v>2097.339999999999</v>
      </c>
      <c r="CF354" s="10" t="n">
        <v>46325</v>
      </c>
      <c r="CH354" s="9" t="n">
        <v>0</v>
      </c>
      <c r="CJ354" s="9" t="n">
        <v>0</v>
      </c>
      <c r="CK354" s="9" t="n">
        <v>-10277.08</v>
      </c>
      <c r="CO354" s="10" t="n">
        <v>46325</v>
      </c>
      <c r="CQ354" s="9" t="n">
        <v>0</v>
      </c>
      <c r="CS354" s="9" t="n">
        <v>0</v>
      </c>
      <c r="CT354" s="9" t="n">
        <v>0</v>
      </c>
      <c r="CX354" s="10" t="n">
        <v>46325</v>
      </c>
      <c r="CZ354" s="9" t="n">
        <v>0</v>
      </c>
      <c r="DB354" s="9" t="n">
        <v>0</v>
      </c>
      <c r="DC354" s="9" t="n">
        <v>27438.20000000001</v>
      </c>
      <c r="DG354" s="10" t="n">
        <v>46325</v>
      </c>
      <c r="DI354" s="9" t="n">
        <v>0</v>
      </c>
      <c r="DK354" s="9" t="n">
        <v>0</v>
      </c>
      <c r="DL354" s="9" t="n">
        <v>18782.29999999998</v>
      </c>
      <c r="DP354" s="10" t="n">
        <v>46325</v>
      </c>
      <c r="DR354" s="9" t="n">
        <v>0</v>
      </c>
      <c r="DT354" s="9" t="n">
        <v>0</v>
      </c>
      <c r="DU354" s="9" t="n">
        <v>5800</v>
      </c>
      <c r="DY354" s="10" t="n">
        <v>46325</v>
      </c>
      <c r="EA354" s="9" t="n">
        <v>0</v>
      </c>
      <c r="EC354" s="9" t="n">
        <v>0</v>
      </c>
      <c r="ED354" s="9" t="n">
        <v>0</v>
      </c>
      <c r="EH354" s="10" t="n">
        <v>46325</v>
      </c>
      <c r="EJ354" s="9" t="n">
        <v>0</v>
      </c>
      <c r="EL354" s="9" t="n">
        <v>0</v>
      </c>
      <c r="EM354" s="9" t="n">
        <v>0</v>
      </c>
      <c r="EQ354" s="10" t="n">
        <v>46325</v>
      </c>
      <c r="ES354" s="9" t="n">
        <v>0</v>
      </c>
      <c r="EU354" s="9" t="n">
        <v>0</v>
      </c>
      <c r="EV354" s="9" t="n">
        <v>0</v>
      </c>
      <c r="EZ354" s="10" t="n">
        <v>46325</v>
      </c>
      <c r="FB354" s="9" t="n">
        <v>0</v>
      </c>
      <c r="FD354" s="9" t="n">
        <v>0</v>
      </c>
      <c r="FE354" s="9" t="n">
        <v>0</v>
      </c>
      <c r="FI354" s="10" t="n">
        <v>46325</v>
      </c>
      <c r="FK354" s="9" t="n">
        <v>0</v>
      </c>
      <c r="FM354" s="9" t="n">
        <v>0</v>
      </c>
      <c r="FN354" s="9" t="n">
        <v>0</v>
      </c>
      <c r="FR354" s="10" t="n">
        <v>46325</v>
      </c>
      <c r="FT354" s="9" t="n">
        <v>0</v>
      </c>
      <c r="FV354" s="9" t="n">
        <v>0</v>
      </c>
      <c r="FW354" s="9" t="n">
        <v>2020</v>
      </c>
      <c r="GA354" s="10" t="n">
        <v>46325</v>
      </c>
      <c r="GC354" s="9" t="n">
        <v>0</v>
      </c>
      <c r="GE354" s="9" t="n">
        <v>0</v>
      </c>
      <c r="GF354" s="9" t="n">
        <v>960</v>
      </c>
      <c r="GJ354" s="10" t="n">
        <v>46325</v>
      </c>
      <c r="GL354" s="9" t="n">
        <v>0</v>
      </c>
      <c r="GN354" s="9" t="n">
        <v>0</v>
      </c>
      <c r="GO354" s="9" t="n">
        <v>1760</v>
      </c>
      <c r="GS354" s="10" t="n">
        <v>46325</v>
      </c>
      <c r="GU354" s="9" t="n">
        <v>0</v>
      </c>
      <c r="GW354" s="9" t="n">
        <v>0</v>
      </c>
      <c r="GX354" s="9" t="n">
        <v>400</v>
      </c>
      <c r="HB354" s="10" t="n">
        <v>46325</v>
      </c>
      <c r="HD354" s="9" t="n">
        <v>0</v>
      </c>
      <c r="HF354" s="9" t="n">
        <v>0</v>
      </c>
      <c r="HG354" s="9" t="n">
        <v>3600</v>
      </c>
      <c r="HK354" s="10" t="n">
        <v>46325</v>
      </c>
      <c r="HM354" s="9" t="n">
        <v>0</v>
      </c>
      <c r="HO354" s="9" t="n">
        <v>0</v>
      </c>
      <c r="HP354" s="9" t="n">
        <v>0</v>
      </c>
      <c r="HU354" s="10" t="n">
        <v>46325</v>
      </c>
      <c r="HW354" s="9" t="n">
        <v>0</v>
      </c>
      <c r="HY354" s="9" t="n">
        <v>0</v>
      </c>
      <c r="HZ354" s="9" t="n">
        <v>6120</v>
      </c>
      <c r="ID354" s="10" t="n">
        <v>46325</v>
      </c>
      <c r="IF354" s="9" t="n">
        <v>0</v>
      </c>
      <c r="IH354" s="9" t="n">
        <v>0</v>
      </c>
      <c r="II354" s="9" t="n">
        <v>0</v>
      </c>
      <c r="IM354" s="10" t="n">
        <v>46325</v>
      </c>
      <c r="IO354" s="9" t="n">
        <v>0</v>
      </c>
      <c r="IQ354" s="9" t="n">
        <v>0</v>
      </c>
      <c r="IR354" s="9" t="n">
        <v>0</v>
      </c>
      <c r="IV354" s="10" t="n">
        <v>46325</v>
      </c>
      <c r="IX354" s="9" t="n">
        <v>0</v>
      </c>
      <c r="IZ354" s="9" t="n">
        <v>0</v>
      </c>
      <c r="JA354" s="9" t="n">
        <v>2820</v>
      </c>
      <c r="JE354" s="10" t="n">
        <v>46325</v>
      </c>
      <c r="JG354" s="9" t="n">
        <v>0</v>
      </c>
      <c r="JI354" s="9" t="n">
        <v>0</v>
      </c>
      <c r="JJ354" s="9" t="n">
        <v>0</v>
      </c>
      <c r="JN354" s="10" t="n">
        <v>46325</v>
      </c>
      <c r="JP354" s="9" t="n">
        <v>0</v>
      </c>
      <c r="JR354" s="9" t="n">
        <v>0</v>
      </c>
      <c r="JS354" s="9" t="n">
        <v>0</v>
      </c>
      <c r="JW354" s="10" t="n">
        <v>46325</v>
      </c>
      <c r="JY354" s="9" t="n">
        <v>0</v>
      </c>
      <c r="KA354" s="9" t="n">
        <v>0</v>
      </c>
      <c r="KB354" s="9" t="n">
        <v>2540</v>
      </c>
      <c r="KF354" s="10" t="n">
        <v>46325</v>
      </c>
      <c r="KH354" s="9" t="n">
        <v>0</v>
      </c>
      <c r="KJ354" s="9" t="n">
        <v>0</v>
      </c>
      <c r="KK354" s="9" t="n">
        <v>2359.5</v>
      </c>
      <c r="KO354" s="10" t="n">
        <v>46325</v>
      </c>
      <c r="KQ354" s="9" t="n">
        <v>0</v>
      </c>
      <c r="KS354" s="9" t="n">
        <v>0</v>
      </c>
      <c r="KT354" s="9" t="n">
        <v>1890</v>
      </c>
      <c r="KX354" s="10" t="n">
        <v>46325</v>
      </c>
      <c r="KZ354" s="9" t="n">
        <v>0</v>
      </c>
      <c r="LB354" s="9" t="n">
        <v>0</v>
      </c>
      <c r="LC354" s="9" t="n">
        <v>3690</v>
      </c>
      <c r="LG354" s="10" t="n">
        <v>46325</v>
      </c>
      <c r="LI354" s="9" t="n">
        <v>0</v>
      </c>
      <c r="LK354" s="9" t="n">
        <v>0</v>
      </c>
      <c r="LL354" s="9" t="n">
        <v>4000</v>
      </c>
      <c r="LP354" s="10" t="n">
        <v>46325</v>
      </c>
      <c r="LR354" s="9" t="n">
        <v>0</v>
      </c>
      <c r="LT354" s="9" t="n">
        <v>0</v>
      </c>
      <c r="LU354" s="9" t="n">
        <v>0</v>
      </c>
      <c r="LY354" s="10" t="n">
        <v>46325</v>
      </c>
      <c r="MA354" s="9" t="n">
        <v>0</v>
      </c>
      <c r="MC354" s="9" t="n">
        <v>0</v>
      </c>
      <c r="MD354" s="9" t="n">
        <v>0</v>
      </c>
      <c r="MH354" s="10" t="n">
        <v>46325</v>
      </c>
      <c r="MJ354" s="9" t="n">
        <v>0</v>
      </c>
      <c r="ML354" s="9" t="n">
        <v>0</v>
      </c>
      <c r="MM354" s="9" t="n">
        <v>0</v>
      </c>
      <c r="MQ354" s="10" t="n">
        <v>46325</v>
      </c>
      <c r="MS354" s="9" t="n">
        <v>0</v>
      </c>
      <c r="MU354" s="9" t="n">
        <v>0</v>
      </c>
      <c r="MV354" s="9" t="n">
        <v>1625</v>
      </c>
      <c r="MZ354" s="10" t="n">
        <v>46325</v>
      </c>
      <c r="NB354" s="9" t="n">
        <v>0</v>
      </c>
      <c r="ND354" s="9" t="n">
        <v>0</v>
      </c>
      <c r="NE354" s="9" t="n">
        <v>0</v>
      </c>
      <c r="NI354" s="10" t="n">
        <v>46325</v>
      </c>
      <c r="NK354" s="9" t="n">
        <v>0</v>
      </c>
      <c r="NM354" s="9" t="n">
        <v>0</v>
      </c>
      <c r="NN354" s="9" t="n">
        <v>1127</v>
      </c>
      <c r="NR354" s="10" t="n">
        <v>46325</v>
      </c>
      <c r="NT354" s="9" t="n">
        <v>0</v>
      </c>
      <c r="NV354" s="9" t="n">
        <v>0</v>
      </c>
      <c r="NW354" s="9" t="n">
        <v>3112</v>
      </c>
      <c r="OA354" s="10" t="n">
        <v>46325</v>
      </c>
      <c r="OC354" s="9" t="n">
        <v>0</v>
      </c>
      <c r="OE354" s="9" t="n">
        <v>0</v>
      </c>
      <c r="OF354" s="9" t="n">
        <v>1680.5</v>
      </c>
      <c r="OJ354" s="10" t="n">
        <v>46325</v>
      </c>
      <c r="OL354" s="9" t="n">
        <v>0</v>
      </c>
      <c r="ON354" s="9" t="n">
        <v>0</v>
      </c>
      <c r="OO354" s="9" t="n">
        <v>0</v>
      </c>
      <c r="OS354" s="10" t="n">
        <v>46325</v>
      </c>
      <c r="OU354" s="9" t="n">
        <v>0</v>
      </c>
      <c r="OW354" s="9" t="n">
        <v>0</v>
      </c>
      <c r="OX354" s="9" t="n">
        <v>1482</v>
      </c>
      <c r="PB354" s="10" t="n">
        <v>46325</v>
      </c>
      <c r="PD354" s="9" t="n">
        <v>0</v>
      </c>
      <c r="PF354" s="9" t="n">
        <v>0</v>
      </c>
      <c r="PG354" s="9" t="n">
        <v>0</v>
      </c>
      <c r="PK354" s="10" t="n">
        <v>46325</v>
      </c>
      <c r="PM354" s="9" t="n">
        <v>0</v>
      </c>
      <c r="PO354" s="9" t="n">
        <v>0</v>
      </c>
      <c r="PP354" s="9" t="n">
        <v>100</v>
      </c>
      <c r="PT354" s="10" t="n">
        <v>46325</v>
      </c>
      <c r="PV354" s="9" t="n">
        <v>0</v>
      </c>
      <c r="PX354" s="9" t="n">
        <v>0</v>
      </c>
      <c r="PY354" s="9" t="n">
        <v>13.96000000000004</v>
      </c>
      <c r="QC354" s="10" t="n">
        <v>46325</v>
      </c>
      <c r="QE354" s="9" t="n">
        <v>0</v>
      </c>
      <c r="QG354" s="9" t="n">
        <v>0</v>
      </c>
      <c r="QH354" s="9" t="n">
        <v>548</v>
      </c>
      <c r="QL354" s="10" t="n">
        <v>46325</v>
      </c>
      <c r="QN354" s="9" t="n">
        <v>0</v>
      </c>
      <c r="QP354" s="9" t="n">
        <v>0</v>
      </c>
      <c r="QQ354" s="9" t="n">
        <v>0</v>
      </c>
      <c r="QU354" s="10" t="n">
        <v>46325</v>
      </c>
      <c r="QW354" s="9" t="n">
        <v>0</v>
      </c>
      <c r="QY354" s="9" t="n">
        <v>0</v>
      </c>
      <c r="QZ354" s="9" t="n">
        <v>0</v>
      </c>
      <c r="RD354" s="10" t="n">
        <v>46325</v>
      </c>
      <c r="RF354" s="9" t="n">
        <v>0</v>
      </c>
      <c r="RH354" s="9" t="n">
        <v>0</v>
      </c>
      <c r="RI354" s="9" t="n">
        <v>147.04</v>
      </c>
      <c r="RM354" s="10" t="n">
        <v>46325</v>
      </c>
      <c r="RO354" s="9" t="n">
        <v>0</v>
      </c>
      <c r="RQ354" s="9" t="n">
        <v>0</v>
      </c>
      <c r="RR354" s="9" t="n">
        <v>46.8</v>
      </c>
      <c r="RV354" s="10" t="n">
        <v>46325</v>
      </c>
      <c r="RX354" s="9" t="n">
        <v>0</v>
      </c>
      <c r="RZ354" s="9" t="n">
        <v>0</v>
      </c>
      <c r="SA354" s="9" t="n">
        <v>0</v>
      </c>
      <c r="SE354" s="10" t="n">
        <v>46325</v>
      </c>
      <c r="SG354" s="9" t="n">
        <v>0</v>
      </c>
      <c r="SI354" s="9" t="n">
        <v>0</v>
      </c>
      <c r="SJ354" s="9" t="n">
        <v>24.2</v>
      </c>
      <c r="SN354" s="10" t="n">
        <v>46325</v>
      </c>
      <c r="SP354" s="9" t="n">
        <v>0</v>
      </c>
      <c r="SR354" s="9" t="n">
        <v>0</v>
      </c>
      <c r="SS354" s="9" t="n">
        <v>32</v>
      </c>
      <c r="SW354" s="10" t="n">
        <v>46325</v>
      </c>
      <c r="SY354" s="9" t="n">
        <v>0</v>
      </c>
      <c r="TA354" s="9" t="n">
        <v>0</v>
      </c>
      <c r="TB354" s="9" t="n">
        <v>0</v>
      </c>
      <c r="TF354" s="10" t="n">
        <v>46325</v>
      </c>
      <c r="TH354" s="9" t="n">
        <v>0</v>
      </c>
      <c r="TJ354" s="9" t="n">
        <v>0</v>
      </c>
      <c r="TK354" s="9" t="n">
        <v>0</v>
      </c>
      <c r="TO354" s="10" t="n">
        <v>46325</v>
      </c>
      <c r="TQ354" s="9" t="n">
        <v>0</v>
      </c>
      <c r="TS354" s="9" t="n">
        <v>0</v>
      </c>
      <c r="TT354" s="9" t="n">
        <v>0</v>
      </c>
      <c r="TX354" s="10" t="n">
        <v>46325</v>
      </c>
      <c r="TZ354" s="9" t="n">
        <v>0</v>
      </c>
      <c r="UB354" s="9" t="n">
        <v>0</v>
      </c>
      <c r="UC354" s="9" t="n">
        <v>46.79999999999998</v>
      </c>
      <c r="UG354" s="10" t="n">
        <v>46325</v>
      </c>
      <c r="UI354" s="9" t="n">
        <v>0</v>
      </c>
      <c r="UK354" s="9" t="n">
        <v>0</v>
      </c>
      <c r="UL354" s="9" t="n">
        <v>204</v>
      </c>
      <c r="UP354" s="10" t="n">
        <v>46325</v>
      </c>
      <c r="UR354" s="9" t="n">
        <v>0</v>
      </c>
      <c r="UT354" s="9" t="n">
        <v>0</v>
      </c>
      <c r="UU354" s="9" t="n">
        <v>202.5</v>
      </c>
      <c r="UY354" s="10" t="n">
        <v>46325</v>
      </c>
      <c r="VA354" s="9" t="n">
        <v>0</v>
      </c>
      <c r="VC354" s="9" t="n">
        <v>0</v>
      </c>
      <c r="VD354" s="9" t="n">
        <v>41.60000000000002</v>
      </c>
      <c r="VH354" s="10" t="n">
        <v>46325</v>
      </c>
      <c r="VJ354" s="9" t="n">
        <v>0</v>
      </c>
      <c r="VL354" s="9" t="n">
        <v>0</v>
      </c>
      <c r="VM354" s="9" t="n">
        <v>210</v>
      </c>
      <c r="VQ354" s="10" t="n">
        <v>46325</v>
      </c>
      <c r="VS354" s="9" t="n">
        <v>0</v>
      </c>
      <c r="VU354" s="9" t="n">
        <v>0</v>
      </c>
      <c r="VV354" s="9" t="n">
        <v>0</v>
      </c>
      <c r="VZ354" s="10" t="n">
        <v>46325</v>
      </c>
      <c r="WB354" s="9" t="n">
        <v>0</v>
      </c>
      <c r="WD354" s="9" t="n">
        <v>0</v>
      </c>
      <c r="WE354" s="9" t="n">
        <v>0</v>
      </c>
      <c r="WI354" s="10" t="n">
        <v>46325</v>
      </c>
      <c r="WK354" s="9" t="n">
        <v>0</v>
      </c>
      <c r="WM354" s="9" t="n">
        <v>0</v>
      </c>
      <c r="WN354" s="9" t="n">
        <v>1057</v>
      </c>
      <c r="WR354" s="10" t="n">
        <v>46325</v>
      </c>
      <c r="WT354" s="9" t="n">
        <v>0</v>
      </c>
      <c r="WV354" s="9" t="n">
        <v>0</v>
      </c>
      <c r="WW354" s="9" t="n">
        <v>0</v>
      </c>
      <c r="XA354" s="10" t="n">
        <v>46325</v>
      </c>
      <c r="XC354" s="9" t="n">
        <v>0</v>
      </c>
      <c r="XE354" s="9" t="n">
        <v>0</v>
      </c>
      <c r="XF354" s="9" t="n">
        <v>7507</v>
      </c>
      <c r="XJ354" s="10" t="n">
        <v>46325</v>
      </c>
      <c r="XL354" s="9" t="n">
        <v>0</v>
      </c>
      <c r="XN354" s="9" t="n">
        <v>0</v>
      </c>
      <c r="XO354" s="9" t="n">
        <v>4252</v>
      </c>
      <c r="XS354" s="10" t="n">
        <v>46325</v>
      </c>
      <c r="XU354" s="9" t="n">
        <v>0</v>
      </c>
      <c r="XW354" s="9" t="n">
        <v>0</v>
      </c>
      <c r="XX354" s="9" t="n">
        <v>2179</v>
      </c>
      <c r="YB354" s="10" t="n">
        <v>46325</v>
      </c>
      <c r="YD354" s="9" t="n">
        <v>0</v>
      </c>
      <c r="YF354" s="9" t="n">
        <v>0</v>
      </c>
      <c r="YG354" s="9" t="n">
        <v>4019</v>
      </c>
      <c r="YK354" s="10" t="n">
        <v>46325</v>
      </c>
      <c r="YM354" s="9" t="n">
        <v>0</v>
      </c>
      <c r="YO354" s="9" t="n">
        <v>0</v>
      </c>
      <c r="YP354" s="9" t="n">
        <v>-218</v>
      </c>
      <c r="YT354" s="10" t="n">
        <v>46325</v>
      </c>
      <c r="YV354" s="9" t="n">
        <v>0</v>
      </c>
      <c r="YX354" s="9" t="n">
        <v>0</v>
      </c>
      <c r="YY354" s="9" t="n">
        <v>0</v>
      </c>
      <c r="ZC354" s="10" t="n">
        <v>46325</v>
      </c>
      <c r="ZE354" s="9" t="n">
        <v>0</v>
      </c>
      <c r="ZG354" s="9" t="n">
        <v>0</v>
      </c>
      <c r="ZH354" s="9" t="n">
        <v>0</v>
      </c>
      <c r="ZL354" s="10" t="n">
        <v>46325</v>
      </c>
      <c r="ZN354" s="9" t="n">
        <v>0</v>
      </c>
      <c r="ZP354" s="9" t="n">
        <v>0</v>
      </c>
      <c r="ZQ354" s="9" t="n">
        <v>0</v>
      </c>
      <c r="ZU354" s="10" t="n">
        <v>46325</v>
      </c>
      <c r="ZW354" s="9" t="n">
        <v>0</v>
      </c>
      <c r="ZY354" s="9" t="n">
        <v>0</v>
      </c>
      <c r="ZZ354" s="9" t="n">
        <v>0</v>
      </c>
      <c r="AAD354" s="10" t="n">
        <v>46325</v>
      </c>
      <c r="AAF354" s="9" t="n">
        <v>0</v>
      </c>
      <c r="AAH354" s="9" t="n">
        <v>0</v>
      </c>
      <c r="AAI354" s="9" t="n">
        <v>0</v>
      </c>
      <c r="AAM354" s="10" t="n">
        <v>46325</v>
      </c>
      <c r="AAO354" s="9" t="n">
        <v>0</v>
      </c>
      <c r="AAQ354" s="9" t="n">
        <v>0</v>
      </c>
      <c r="AAR354" s="9" t="n">
        <v>0</v>
      </c>
      <c r="AAV354" s="10" t="n">
        <v>46325</v>
      </c>
      <c r="AAX354" s="9" t="n">
        <v>0</v>
      </c>
      <c r="AAZ354" s="9" t="n">
        <v>0</v>
      </c>
      <c r="ABA354" s="9" t="n">
        <v>0</v>
      </c>
      <c r="ABE354" s="10" t="n">
        <v>46325</v>
      </c>
      <c r="ABG354" s="9" t="n">
        <v>0</v>
      </c>
      <c r="ABI354" s="9" t="n">
        <v>0</v>
      </c>
      <c r="ABJ354" s="9" t="n">
        <v>0</v>
      </c>
    </row>
    <row r="355">
      <c r="C355" s="10" t="n">
        <v>46326</v>
      </c>
      <c r="E355" s="9" t="n">
        <v>0</v>
      </c>
      <c r="G355" s="9" t="n">
        <v>0</v>
      </c>
      <c r="H355" s="9" t="n">
        <v>236936.6</v>
      </c>
      <c r="L355" s="10" t="n">
        <v>46326</v>
      </c>
      <c r="N355" s="9" t="n">
        <v>0</v>
      </c>
      <c r="P355" s="9" t="n">
        <v>0</v>
      </c>
      <c r="Q355" s="9" t="n">
        <v>53017.60000000007</v>
      </c>
      <c r="U355" s="10" t="n">
        <v>46326</v>
      </c>
      <c r="W355" s="9" t="n">
        <v>0</v>
      </c>
      <c r="Y355" s="9" t="n">
        <v>0</v>
      </c>
      <c r="Z355" s="9" t="n">
        <v>42674.19999999997</v>
      </c>
      <c r="AD355" s="10" t="n">
        <v>46326</v>
      </c>
      <c r="AF355" s="9" t="n">
        <v>0</v>
      </c>
      <c r="AH355" s="9" t="n">
        <v>0</v>
      </c>
      <c r="AI355" s="9" t="n">
        <v>4522.200000000019</v>
      </c>
      <c r="AM355" s="10" t="n">
        <v>46326</v>
      </c>
      <c r="AO355" s="9" t="n">
        <v>0</v>
      </c>
      <c r="AQ355" s="9" t="n">
        <v>0</v>
      </c>
      <c r="AR355" s="9" t="n">
        <v>0</v>
      </c>
      <c r="AV355" s="10" t="n">
        <v>46326</v>
      </c>
      <c r="AX355" s="9" t="n">
        <v>0</v>
      </c>
      <c r="AZ355" s="9" t="n">
        <v>0</v>
      </c>
      <c r="BA355" s="9" t="n">
        <v>124.9999999999952</v>
      </c>
      <c r="BE355" s="10" t="n">
        <v>46326</v>
      </c>
      <c r="BG355" s="9" t="n">
        <v>0</v>
      </c>
      <c r="BI355" s="9" t="n">
        <v>0</v>
      </c>
      <c r="BJ355" s="9" t="n">
        <v>26151.9</v>
      </c>
      <c r="BN355" s="10" t="n">
        <v>46326</v>
      </c>
      <c r="BP355" s="9" t="n">
        <v>0</v>
      </c>
      <c r="BR355" s="9" t="n">
        <v>0</v>
      </c>
      <c r="BS355" s="9" t="n">
        <v>0</v>
      </c>
      <c r="BW355" s="10" t="n">
        <v>46326</v>
      </c>
      <c r="BY355" s="9" t="n">
        <v>0</v>
      </c>
      <c r="CA355" s="9" t="n">
        <v>0</v>
      </c>
      <c r="CB355" s="9" t="n">
        <v>2097.339999999999</v>
      </c>
      <c r="CF355" s="10" t="n">
        <v>46326</v>
      </c>
      <c r="CH355" s="9" t="n">
        <v>0</v>
      </c>
      <c r="CJ355" s="9" t="n">
        <v>0</v>
      </c>
      <c r="CK355" s="9" t="n">
        <v>-10277.08</v>
      </c>
      <c r="CO355" s="10" t="n">
        <v>46326</v>
      </c>
      <c r="CQ355" s="9" t="n">
        <v>0</v>
      </c>
      <c r="CS355" s="9" t="n">
        <v>0</v>
      </c>
      <c r="CT355" s="9" t="n">
        <v>0</v>
      </c>
      <c r="CX355" s="10" t="n">
        <v>46326</v>
      </c>
      <c r="CZ355" s="9" t="n">
        <v>0</v>
      </c>
      <c r="DB355" s="9" t="n">
        <v>0</v>
      </c>
      <c r="DC355" s="9" t="n">
        <v>27438.20000000001</v>
      </c>
      <c r="DG355" s="10" t="n">
        <v>46326</v>
      </c>
      <c r="DI355" s="9" t="n">
        <v>0</v>
      </c>
      <c r="DK355" s="9" t="n">
        <v>0</v>
      </c>
      <c r="DL355" s="9" t="n">
        <v>18782.29999999998</v>
      </c>
      <c r="DP355" s="10" t="n">
        <v>46326</v>
      </c>
      <c r="DR355" s="9" t="n">
        <v>0</v>
      </c>
      <c r="DT355" s="9" t="n">
        <v>0</v>
      </c>
      <c r="DU355" s="9" t="n">
        <v>5800</v>
      </c>
      <c r="DY355" s="10" t="n">
        <v>46326</v>
      </c>
      <c r="EA355" s="9" t="n">
        <v>0</v>
      </c>
      <c r="EC355" s="9" t="n">
        <v>0</v>
      </c>
      <c r="ED355" s="9" t="n">
        <v>0</v>
      </c>
      <c r="EH355" s="10" t="n">
        <v>46326</v>
      </c>
      <c r="EJ355" s="9" t="n">
        <v>0</v>
      </c>
      <c r="EL355" s="9" t="n">
        <v>0</v>
      </c>
      <c r="EM355" s="9" t="n">
        <v>0</v>
      </c>
      <c r="EQ355" s="10" t="n">
        <v>46326</v>
      </c>
      <c r="ES355" s="9" t="n">
        <v>0</v>
      </c>
      <c r="EU355" s="9" t="n">
        <v>0</v>
      </c>
      <c r="EV355" s="9" t="n">
        <v>0</v>
      </c>
      <c r="EZ355" s="10" t="n">
        <v>46326</v>
      </c>
      <c r="FB355" s="9" t="n">
        <v>0</v>
      </c>
      <c r="FD355" s="9" t="n">
        <v>0</v>
      </c>
      <c r="FE355" s="9" t="n">
        <v>0</v>
      </c>
      <c r="FI355" s="10" t="n">
        <v>46326</v>
      </c>
      <c r="FK355" s="9" t="n">
        <v>0</v>
      </c>
      <c r="FM355" s="9" t="n">
        <v>0</v>
      </c>
      <c r="FN355" s="9" t="n">
        <v>0</v>
      </c>
      <c r="FR355" s="10" t="n">
        <v>46326</v>
      </c>
      <c r="FT355" s="9" t="n">
        <v>0</v>
      </c>
      <c r="FV355" s="9" t="n">
        <v>0</v>
      </c>
      <c r="FW355" s="9" t="n">
        <v>2020</v>
      </c>
      <c r="GA355" s="10" t="n">
        <v>46326</v>
      </c>
      <c r="GC355" s="9" t="n">
        <v>0</v>
      </c>
      <c r="GE355" s="9" t="n">
        <v>0</v>
      </c>
      <c r="GF355" s="9" t="n">
        <v>960</v>
      </c>
      <c r="GJ355" s="10" t="n">
        <v>46326</v>
      </c>
      <c r="GL355" s="9" t="n">
        <v>0</v>
      </c>
      <c r="GN355" s="9" t="n">
        <v>0</v>
      </c>
      <c r="GO355" s="9" t="n">
        <v>1760</v>
      </c>
      <c r="GS355" s="10" t="n">
        <v>46326</v>
      </c>
      <c r="GU355" s="9" t="n">
        <v>0</v>
      </c>
      <c r="GW355" s="9" t="n">
        <v>0</v>
      </c>
      <c r="GX355" s="9" t="n">
        <v>400</v>
      </c>
      <c r="HB355" s="10" t="n">
        <v>46326</v>
      </c>
      <c r="HD355" s="9" t="n">
        <v>0</v>
      </c>
      <c r="HF355" s="9" t="n">
        <v>0</v>
      </c>
      <c r="HG355" s="9" t="n">
        <v>3600</v>
      </c>
      <c r="HK355" s="10" t="n">
        <v>46326</v>
      </c>
      <c r="HM355" s="9" t="n">
        <v>0</v>
      </c>
      <c r="HO355" s="9" t="n">
        <v>0</v>
      </c>
      <c r="HP355" s="9" t="n">
        <v>0</v>
      </c>
      <c r="HU355" s="10" t="n">
        <v>46326</v>
      </c>
      <c r="HW355" s="9" t="n">
        <v>0</v>
      </c>
      <c r="HY355" s="9" t="n">
        <v>0</v>
      </c>
      <c r="HZ355" s="9" t="n">
        <v>6120</v>
      </c>
      <c r="ID355" s="10" t="n">
        <v>46326</v>
      </c>
      <c r="IF355" s="9" t="n">
        <v>0</v>
      </c>
      <c r="IH355" s="9" t="n">
        <v>0</v>
      </c>
      <c r="II355" s="9" t="n">
        <v>0</v>
      </c>
      <c r="IM355" s="10" t="n">
        <v>46326</v>
      </c>
      <c r="IO355" s="9" t="n">
        <v>0</v>
      </c>
      <c r="IQ355" s="9" t="n">
        <v>0</v>
      </c>
      <c r="IR355" s="9" t="n">
        <v>0</v>
      </c>
      <c r="IV355" s="10" t="n">
        <v>46326</v>
      </c>
      <c r="IX355" s="9" t="n">
        <v>0</v>
      </c>
      <c r="IZ355" s="9" t="n">
        <v>0</v>
      </c>
      <c r="JA355" s="9" t="n">
        <v>2820</v>
      </c>
      <c r="JE355" s="10" t="n">
        <v>46326</v>
      </c>
      <c r="JG355" s="9" t="n">
        <v>0</v>
      </c>
      <c r="JI355" s="9" t="n">
        <v>0</v>
      </c>
      <c r="JJ355" s="9" t="n">
        <v>0</v>
      </c>
      <c r="JN355" s="10" t="n">
        <v>46326</v>
      </c>
      <c r="JP355" s="9" t="n">
        <v>0</v>
      </c>
      <c r="JR355" s="9" t="n">
        <v>0</v>
      </c>
      <c r="JS355" s="9" t="n">
        <v>0</v>
      </c>
      <c r="JW355" s="10" t="n">
        <v>46326</v>
      </c>
      <c r="JY355" s="9" t="n">
        <v>0</v>
      </c>
      <c r="KA355" s="9" t="n">
        <v>0</v>
      </c>
      <c r="KB355" s="9" t="n">
        <v>2540</v>
      </c>
      <c r="KF355" s="10" t="n">
        <v>46326</v>
      </c>
      <c r="KH355" s="9" t="n">
        <v>0</v>
      </c>
      <c r="KJ355" s="9" t="n">
        <v>0</v>
      </c>
      <c r="KK355" s="9" t="n">
        <v>2359.5</v>
      </c>
      <c r="KO355" s="10" t="n">
        <v>46326</v>
      </c>
      <c r="KQ355" s="9" t="n">
        <v>0</v>
      </c>
      <c r="KS355" s="9" t="n">
        <v>0</v>
      </c>
      <c r="KT355" s="9" t="n">
        <v>1890</v>
      </c>
      <c r="KX355" s="10" t="n">
        <v>46326</v>
      </c>
      <c r="KZ355" s="9" t="n">
        <v>0</v>
      </c>
      <c r="LB355" s="9" t="n">
        <v>0</v>
      </c>
      <c r="LC355" s="9" t="n">
        <v>3690</v>
      </c>
      <c r="LG355" s="10" t="n">
        <v>46326</v>
      </c>
      <c r="LI355" s="9" t="n">
        <v>0</v>
      </c>
      <c r="LK355" s="9" t="n">
        <v>0</v>
      </c>
      <c r="LL355" s="9" t="n">
        <v>4000</v>
      </c>
      <c r="LP355" s="10" t="n">
        <v>46326</v>
      </c>
      <c r="LR355" s="9" t="n">
        <v>0</v>
      </c>
      <c r="LT355" s="9" t="n">
        <v>0</v>
      </c>
      <c r="LU355" s="9" t="n">
        <v>0</v>
      </c>
      <c r="LY355" s="10" t="n">
        <v>46326</v>
      </c>
      <c r="MA355" s="9" t="n">
        <v>0</v>
      </c>
      <c r="MC355" s="9" t="n">
        <v>0</v>
      </c>
      <c r="MD355" s="9" t="n">
        <v>0</v>
      </c>
      <c r="MH355" s="10" t="n">
        <v>46326</v>
      </c>
      <c r="MJ355" s="9" t="n">
        <v>0</v>
      </c>
      <c r="ML355" s="9" t="n">
        <v>0</v>
      </c>
      <c r="MM355" s="9" t="n">
        <v>0</v>
      </c>
      <c r="MQ355" s="10" t="n">
        <v>46326</v>
      </c>
      <c r="MS355" s="9" t="n">
        <v>0</v>
      </c>
      <c r="MU355" s="9" t="n">
        <v>0</v>
      </c>
      <c r="MV355" s="9" t="n">
        <v>1625</v>
      </c>
      <c r="MZ355" s="10" t="n">
        <v>46326</v>
      </c>
      <c r="NB355" s="9" t="n">
        <v>0</v>
      </c>
      <c r="ND355" s="9" t="n">
        <v>0</v>
      </c>
      <c r="NE355" s="9" t="n">
        <v>0</v>
      </c>
      <c r="NI355" s="10" t="n">
        <v>46326</v>
      </c>
      <c r="NK355" s="9" t="n">
        <v>0</v>
      </c>
      <c r="NM355" s="9" t="n">
        <v>0</v>
      </c>
      <c r="NN355" s="9" t="n">
        <v>1127</v>
      </c>
      <c r="NR355" s="10" t="n">
        <v>46326</v>
      </c>
      <c r="NT355" s="9" t="n">
        <v>0</v>
      </c>
      <c r="NV355" s="9" t="n">
        <v>0</v>
      </c>
      <c r="NW355" s="9" t="n">
        <v>3112</v>
      </c>
      <c r="OA355" s="10" t="n">
        <v>46326</v>
      </c>
      <c r="OC355" s="9" t="n">
        <v>0</v>
      </c>
      <c r="OE355" s="9" t="n">
        <v>0</v>
      </c>
      <c r="OF355" s="9" t="n">
        <v>1680.5</v>
      </c>
      <c r="OJ355" s="10" t="n">
        <v>46326</v>
      </c>
      <c r="OL355" s="9" t="n">
        <v>0</v>
      </c>
      <c r="ON355" s="9" t="n">
        <v>0</v>
      </c>
      <c r="OO355" s="9" t="n">
        <v>0</v>
      </c>
      <c r="OS355" s="10" t="n">
        <v>46326</v>
      </c>
      <c r="OU355" s="9" t="n">
        <v>0</v>
      </c>
      <c r="OW355" s="9" t="n">
        <v>0</v>
      </c>
      <c r="OX355" s="9" t="n">
        <v>1482</v>
      </c>
      <c r="PB355" s="10" t="n">
        <v>46326</v>
      </c>
      <c r="PD355" s="9" t="n">
        <v>0</v>
      </c>
      <c r="PF355" s="9" t="n">
        <v>0</v>
      </c>
      <c r="PG355" s="9" t="n">
        <v>0</v>
      </c>
      <c r="PK355" s="10" t="n">
        <v>46326</v>
      </c>
      <c r="PM355" s="9" t="n">
        <v>0</v>
      </c>
      <c r="PO355" s="9" t="n">
        <v>0</v>
      </c>
      <c r="PP355" s="9" t="n">
        <v>100</v>
      </c>
      <c r="PT355" s="10" t="n">
        <v>46326</v>
      </c>
      <c r="PV355" s="9" t="n">
        <v>0</v>
      </c>
      <c r="PX355" s="9" t="n">
        <v>0</v>
      </c>
      <c r="PY355" s="9" t="n">
        <v>13.96000000000004</v>
      </c>
      <c r="QC355" s="10" t="n">
        <v>46326</v>
      </c>
      <c r="QE355" s="9" t="n">
        <v>0</v>
      </c>
      <c r="QG355" s="9" t="n">
        <v>0</v>
      </c>
      <c r="QH355" s="9" t="n">
        <v>548</v>
      </c>
      <c r="QL355" s="10" t="n">
        <v>46326</v>
      </c>
      <c r="QN355" s="9" t="n">
        <v>0</v>
      </c>
      <c r="QP355" s="9" t="n">
        <v>0</v>
      </c>
      <c r="QQ355" s="9" t="n">
        <v>0</v>
      </c>
      <c r="QU355" s="10" t="n">
        <v>46326</v>
      </c>
      <c r="QW355" s="9" t="n">
        <v>0</v>
      </c>
      <c r="QY355" s="9" t="n">
        <v>0</v>
      </c>
      <c r="QZ355" s="9" t="n">
        <v>0</v>
      </c>
      <c r="RD355" s="10" t="n">
        <v>46326</v>
      </c>
      <c r="RF355" s="9" t="n">
        <v>0</v>
      </c>
      <c r="RH355" s="9" t="n">
        <v>0</v>
      </c>
      <c r="RI355" s="9" t="n">
        <v>147.04</v>
      </c>
      <c r="RM355" s="10" t="n">
        <v>46326</v>
      </c>
      <c r="RO355" s="9" t="n">
        <v>0</v>
      </c>
      <c r="RQ355" s="9" t="n">
        <v>0</v>
      </c>
      <c r="RR355" s="9" t="n">
        <v>46.8</v>
      </c>
      <c r="RV355" s="10" t="n">
        <v>46326</v>
      </c>
      <c r="RX355" s="9" t="n">
        <v>0</v>
      </c>
      <c r="RZ355" s="9" t="n">
        <v>0</v>
      </c>
      <c r="SA355" s="9" t="n">
        <v>0</v>
      </c>
      <c r="SE355" s="10" t="n">
        <v>46326</v>
      </c>
      <c r="SG355" s="9" t="n">
        <v>0</v>
      </c>
      <c r="SI355" s="9" t="n">
        <v>0</v>
      </c>
      <c r="SJ355" s="9" t="n">
        <v>24.2</v>
      </c>
      <c r="SN355" s="10" t="n">
        <v>46326</v>
      </c>
      <c r="SP355" s="9" t="n">
        <v>0</v>
      </c>
      <c r="SR355" s="9" t="n">
        <v>0</v>
      </c>
      <c r="SS355" s="9" t="n">
        <v>32</v>
      </c>
      <c r="SW355" s="10" t="n">
        <v>46326</v>
      </c>
      <c r="SY355" s="9" t="n">
        <v>0</v>
      </c>
      <c r="TA355" s="9" t="n">
        <v>0</v>
      </c>
      <c r="TB355" s="9" t="n">
        <v>0</v>
      </c>
      <c r="TF355" s="10" t="n">
        <v>46326</v>
      </c>
      <c r="TH355" s="9" t="n">
        <v>0</v>
      </c>
      <c r="TJ355" s="9" t="n">
        <v>0</v>
      </c>
      <c r="TK355" s="9" t="n">
        <v>0</v>
      </c>
      <c r="TO355" s="10" t="n">
        <v>46326</v>
      </c>
      <c r="TQ355" s="9" t="n">
        <v>0</v>
      </c>
      <c r="TS355" s="9" t="n">
        <v>0</v>
      </c>
      <c r="TT355" s="9" t="n">
        <v>0</v>
      </c>
      <c r="TX355" s="10" t="n">
        <v>46326</v>
      </c>
      <c r="TZ355" s="9" t="n">
        <v>0</v>
      </c>
      <c r="UB355" s="9" t="n">
        <v>0</v>
      </c>
      <c r="UC355" s="9" t="n">
        <v>46.79999999999998</v>
      </c>
      <c r="UG355" s="10" t="n">
        <v>46326</v>
      </c>
      <c r="UI355" s="9" t="n">
        <v>0</v>
      </c>
      <c r="UK355" s="9" t="n">
        <v>0</v>
      </c>
      <c r="UL355" s="9" t="n">
        <v>204</v>
      </c>
      <c r="UP355" s="10" t="n">
        <v>46326</v>
      </c>
      <c r="UR355" s="9" t="n">
        <v>0</v>
      </c>
      <c r="UT355" s="9" t="n">
        <v>0</v>
      </c>
      <c r="UU355" s="9" t="n">
        <v>202.5</v>
      </c>
      <c r="UY355" s="10" t="n">
        <v>46326</v>
      </c>
      <c r="VA355" s="9" t="n">
        <v>0</v>
      </c>
      <c r="VC355" s="9" t="n">
        <v>0</v>
      </c>
      <c r="VD355" s="9" t="n">
        <v>41.60000000000002</v>
      </c>
      <c r="VH355" s="10" t="n">
        <v>46326</v>
      </c>
      <c r="VJ355" s="9" t="n">
        <v>0</v>
      </c>
      <c r="VL355" s="9" t="n">
        <v>0</v>
      </c>
      <c r="VM355" s="9" t="n">
        <v>210</v>
      </c>
      <c r="VQ355" s="10" t="n">
        <v>46326</v>
      </c>
      <c r="VS355" s="9" t="n">
        <v>0</v>
      </c>
      <c r="VU355" s="9" t="n">
        <v>0</v>
      </c>
      <c r="VV355" s="9" t="n">
        <v>0</v>
      </c>
      <c r="VZ355" s="10" t="n">
        <v>46326</v>
      </c>
      <c r="WB355" s="9" t="n">
        <v>0</v>
      </c>
      <c r="WD355" s="9" t="n">
        <v>0</v>
      </c>
      <c r="WE355" s="9" t="n">
        <v>0</v>
      </c>
      <c r="WI355" s="10" t="n">
        <v>46326</v>
      </c>
      <c r="WK355" s="9" t="n">
        <v>0</v>
      </c>
      <c r="WM355" s="9" t="n">
        <v>0</v>
      </c>
      <c r="WN355" s="9" t="n">
        <v>1057</v>
      </c>
      <c r="WR355" s="10" t="n">
        <v>46326</v>
      </c>
      <c r="WT355" s="9" t="n">
        <v>0</v>
      </c>
      <c r="WV355" s="9" t="n">
        <v>0</v>
      </c>
      <c r="WW355" s="9" t="n">
        <v>0</v>
      </c>
      <c r="XA355" s="10" t="n">
        <v>46326</v>
      </c>
      <c r="XC355" s="9" t="n">
        <v>0</v>
      </c>
      <c r="XE355" s="9" t="n">
        <v>0</v>
      </c>
      <c r="XF355" s="9" t="n">
        <v>7507</v>
      </c>
      <c r="XJ355" s="10" t="n">
        <v>46326</v>
      </c>
      <c r="XL355" s="9" t="n">
        <v>0</v>
      </c>
      <c r="XN355" s="9" t="n">
        <v>0</v>
      </c>
      <c r="XO355" s="9" t="n">
        <v>4252</v>
      </c>
      <c r="XS355" s="10" t="n">
        <v>46326</v>
      </c>
      <c r="XU355" s="9" t="n">
        <v>0</v>
      </c>
      <c r="XW355" s="9" t="n">
        <v>0</v>
      </c>
      <c r="XX355" s="9" t="n">
        <v>2179</v>
      </c>
      <c r="YB355" s="10" t="n">
        <v>46326</v>
      </c>
      <c r="YD355" s="9" t="n">
        <v>0</v>
      </c>
      <c r="YF355" s="9" t="n">
        <v>0</v>
      </c>
      <c r="YG355" s="9" t="n">
        <v>4019</v>
      </c>
      <c r="YK355" s="10" t="n">
        <v>46326</v>
      </c>
      <c r="YM355" s="9" t="n">
        <v>0</v>
      </c>
      <c r="YO355" s="9" t="n">
        <v>0</v>
      </c>
      <c r="YP355" s="9" t="n">
        <v>-218</v>
      </c>
      <c r="YT355" s="10" t="n">
        <v>46326</v>
      </c>
      <c r="YV355" s="9" t="n">
        <v>0</v>
      </c>
      <c r="YX355" s="9" t="n">
        <v>0</v>
      </c>
      <c r="YY355" s="9" t="n">
        <v>0</v>
      </c>
      <c r="ZC355" s="10" t="n">
        <v>46326</v>
      </c>
      <c r="ZE355" s="9" t="n">
        <v>0</v>
      </c>
      <c r="ZG355" s="9" t="n">
        <v>0</v>
      </c>
      <c r="ZH355" s="9" t="n">
        <v>0</v>
      </c>
      <c r="ZL355" s="10" t="n">
        <v>46326</v>
      </c>
      <c r="ZN355" s="9" t="n">
        <v>0</v>
      </c>
      <c r="ZP355" s="9" t="n">
        <v>0</v>
      </c>
      <c r="ZQ355" s="9" t="n">
        <v>0</v>
      </c>
      <c r="ZU355" s="10" t="n">
        <v>46326</v>
      </c>
      <c r="ZW355" s="9" t="n">
        <v>0</v>
      </c>
      <c r="ZY355" s="9" t="n">
        <v>0</v>
      </c>
      <c r="ZZ355" s="9" t="n">
        <v>0</v>
      </c>
      <c r="AAD355" s="10" t="n">
        <v>46326</v>
      </c>
      <c r="AAF355" s="9" t="n">
        <v>0</v>
      </c>
      <c r="AAH355" s="9" t="n">
        <v>0</v>
      </c>
      <c r="AAI355" s="9" t="n">
        <v>0</v>
      </c>
      <c r="AAM355" s="10" t="n">
        <v>46326</v>
      </c>
      <c r="AAO355" s="9" t="n">
        <v>0</v>
      </c>
      <c r="AAQ355" s="9" t="n">
        <v>0</v>
      </c>
      <c r="AAR355" s="9" t="n">
        <v>0</v>
      </c>
      <c r="AAV355" s="10" t="n">
        <v>46326</v>
      </c>
      <c r="AAX355" s="9" t="n">
        <v>0</v>
      </c>
      <c r="AAZ355" s="9" t="n">
        <v>0</v>
      </c>
      <c r="ABA355" s="9" t="n">
        <v>0</v>
      </c>
      <c r="ABE355" s="10" t="n">
        <v>46326</v>
      </c>
      <c r="ABG355" s="9" t="n">
        <v>0</v>
      </c>
      <c r="ABI355" s="9" t="n">
        <v>0</v>
      </c>
      <c r="ABJ355" s="9" t="n">
        <v>0</v>
      </c>
    </row>
    <row r="356">
      <c r="B356" s="9" t="n">
        <v>0</v>
      </c>
      <c r="C356" s="9" t="inlineStr">
        <is>
          <t>TOTAL</t>
        </is>
      </c>
      <c r="D356" s="9" t="n">
        <v>0</v>
      </c>
      <c r="E356" s="9" t="n">
        <v>0</v>
      </c>
      <c r="F356" s="9" t="n">
        <v>0</v>
      </c>
      <c r="G356" s="9" t="n">
        <v>0</v>
      </c>
      <c r="H356" s="9" t="n">
        <v>236936.6</v>
      </c>
      <c r="L356" s="9" t="inlineStr">
        <is>
          <t>TOTAL</t>
        </is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53017.60000000007</v>
      </c>
      <c r="U356" s="9" t="inlineStr">
        <is>
          <t>TOTAL</t>
        </is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42674.19999999997</v>
      </c>
      <c r="AD356" s="9" t="inlineStr">
        <is>
          <t>TOTAL</t>
        </is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4522.200000000019</v>
      </c>
      <c r="AM356" s="9" t="inlineStr">
        <is>
          <t>TOTAL</t>
        </is>
      </c>
      <c r="AN356" s="9" t="n">
        <v>0</v>
      </c>
      <c r="AO356" s="9" t="n">
        <v>0</v>
      </c>
      <c r="AP356" s="9" t="n">
        <v>0</v>
      </c>
      <c r="AQ356" s="9" t="n">
        <v>0</v>
      </c>
      <c r="AR356" s="9" t="n">
        <v>0</v>
      </c>
      <c r="AV356" s="9" t="inlineStr">
        <is>
          <t>TOTAL</t>
        </is>
      </c>
      <c r="AW356" s="9" t="n">
        <v>0</v>
      </c>
      <c r="AX356" s="9" t="n">
        <v>0</v>
      </c>
      <c r="AY356" s="9" t="n">
        <v>0</v>
      </c>
      <c r="AZ356" s="9" t="n">
        <v>0</v>
      </c>
      <c r="BA356" s="9" t="n">
        <v>124.9999999999952</v>
      </c>
      <c r="BE356" s="9" t="inlineStr">
        <is>
          <t>TOTAL</t>
        </is>
      </c>
      <c r="BF356" s="9" t="n">
        <v>0</v>
      </c>
      <c r="BG356" s="9" t="n">
        <v>0</v>
      </c>
      <c r="BH356" s="9" t="n">
        <v>0</v>
      </c>
      <c r="BI356" s="9" t="n">
        <v>0</v>
      </c>
      <c r="BJ356" s="9" t="n">
        <v>26151.9</v>
      </c>
      <c r="BN356" s="9" t="inlineStr">
        <is>
          <t>TOTAL</t>
        </is>
      </c>
      <c r="BO356" s="9" t="n">
        <v>0</v>
      </c>
      <c r="BP356" s="9" t="n">
        <v>0</v>
      </c>
      <c r="BQ356" s="9" t="n">
        <v>0</v>
      </c>
      <c r="BR356" s="9" t="n">
        <v>0</v>
      </c>
      <c r="BS356" s="9" t="n">
        <v>0</v>
      </c>
      <c r="BW356" s="9" t="inlineStr">
        <is>
          <t>TOTAL</t>
        </is>
      </c>
      <c r="BX356" s="9" t="n">
        <v>0</v>
      </c>
      <c r="BY356" s="9" t="n">
        <v>0</v>
      </c>
      <c r="BZ356" s="9" t="n">
        <v>0</v>
      </c>
      <c r="CA356" s="9" t="n">
        <v>0</v>
      </c>
      <c r="CB356" s="9" t="n">
        <v>2097.339999999999</v>
      </c>
      <c r="CF356" s="9" t="inlineStr">
        <is>
          <t>TOTAL</t>
        </is>
      </c>
      <c r="CG356" s="9" t="n">
        <v>0</v>
      </c>
      <c r="CH356" s="9" t="n">
        <v>0</v>
      </c>
      <c r="CI356" s="9" t="n">
        <v>0</v>
      </c>
      <c r="CJ356" s="9" t="n">
        <v>0</v>
      </c>
      <c r="CK356" s="9" t="n">
        <v>-10277.08</v>
      </c>
      <c r="CO356" s="9" t="inlineStr">
        <is>
          <t>TOTAL</t>
        </is>
      </c>
      <c r="CP356" s="9" t="n">
        <v>0</v>
      </c>
      <c r="CQ356" s="9" t="n">
        <v>0</v>
      </c>
      <c r="CR356" s="9" t="n">
        <v>0</v>
      </c>
      <c r="CS356" s="9" t="n">
        <v>0</v>
      </c>
      <c r="CT356" s="9" t="n">
        <v>0</v>
      </c>
      <c r="CX356" s="9" t="inlineStr">
        <is>
          <t>TOTAL</t>
        </is>
      </c>
      <c r="CY356" s="9" t="n">
        <v>0</v>
      </c>
      <c r="CZ356" s="9" t="n">
        <v>0</v>
      </c>
      <c r="DA356" s="9" t="n">
        <v>0</v>
      </c>
      <c r="DB356" s="9" t="n">
        <v>0</v>
      </c>
      <c r="DC356" s="9" t="n">
        <v>27438.20000000001</v>
      </c>
      <c r="DG356" s="9" t="inlineStr">
        <is>
          <t>TOTAL</t>
        </is>
      </c>
      <c r="DH356" s="9" t="n">
        <v>0</v>
      </c>
      <c r="DI356" s="9" t="n">
        <v>0</v>
      </c>
      <c r="DJ356" s="9" t="n">
        <v>0</v>
      </c>
      <c r="DK356" s="9" t="n">
        <v>0</v>
      </c>
      <c r="DL356" s="9" t="n">
        <v>18782.29999999998</v>
      </c>
      <c r="DP356" s="9" t="inlineStr">
        <is>
          <t>TOTAL</t>
        </is>
      </c>
      <c r="DQ356" s="9" t="n">
        <v>0</v>
      </c>
      <c r="DR356" s="9" t="n">
        <v>0</v>
      </c>
      <c r="DS356" s="9" t="n">
        <v>0</v>
      </c>
      <c r="DT356" s="9" t="n">
        <v>0</v>
      </c>
      <c r="DU356" s="9" t="n">
        <v>5800</v>
      </c>
      <c r="DY356" s="9" t="inlineStr">
        <is>
          <t>TOTAL</t>
        </is>
      </c>
      <c r="DZ356" s="9" t="n">
        <v>0</v>
      </c>
      <c r="EA356" s="9" t="n">
        <v>0</v>
      </c>
      <c r="EB356" s="9" t="n">
        <v>0</v>
      </c>
      <c r="EC356" s="9" t="n">
        <v>0</v>
      </c>
      <c r="ED356" s="9" t="n">
        <v>0</v>
      </c>
      <c r="EH356" s="9" t="inlineStr">
        <is>
          <t>TOTAL</t>
        </is>
      </c>
      <c r="EI356" s="9" t="n">
        <v>0</v>
      </c>
      <c r="EJ356" s="9" t="n">
        <v>0</v>
      </c>
      <c r="EK356" s="9" t="n">
        <v>0</v>
      </c>
      <c r="EL356" s="9" t="n">
        <v>0</v>
      </c>
      <c r="EM356" s="9" t="n">
        <v>0</v>
      </c>
      <c r="EQ356" s="9" t="inlineStr">
        <is>
          <t>TOTAL</t>
        </is>
      </c>
      <c r="ER356" s="9" t="n">
        <v>0</v>
      </c>
      <c r="ES356" s="9" t="n">
        <v>0</v>
      </c>
      <c r="ET356" s="9" t="n">
        <v>0</v>
      </c>
      <c r="EU356" s="9" t="n">
        <v>0</v>
      </c>
      <c r="EV356" s="9" t="n">
        <v>0</v>
      </c>
      <c r="EZ356" s="9" t="inlineStr">
        <is>
          <t>TOTAL</t>
        </is>
      </c>
      <c r="FA356" s="9" t="n">
        <v>0</v>
      </c>
      <c r="FB356" s="9" t="n">
        <v>0</v>
      </c>
      <c r="FC356" s="9" t="n">
        <v>0</v>
      </c>
      <c r="FD356" s="9" t="n">
        <v>0</v>
      </c>
      <c r="FE356" s="9" t="n">
        <v>0</v>
      </c>
      <c r="FI356" s="9" t="inlineStr">
        <is>
          <t>TOTAL</t>
        </is>
      </c>
      <c r="FJ356" s="9" t="n">
        <v>0</v>
      </c>
      <c r="FK356" s="9" t="n">
        <v>0</v>
      </c>
      <c r="FL356" s="9" t="n">
        <v>0</v>
      </c>
      <c r="FM356" s="9" t="n">
        <v>0</v>
      </c>
      <c r="FN356" s="9" t="n">
        <v>0</v>
      </c>
      <c r="FR356" s="9" t="inlineStr">
        <is>
          <t>TOTAL</t>
        </is>
      </c>
      <c r="FS356" s="9" t="n">
        <v>0</v>
      </c>
      <c r="FT356" s="9" t="n">
        <v>0</v>
      </c>
      <c r="FU356" s="9" t="n">
        <v>0</v>
      </c>
      <c r="FV356" s="9" t="n">
        <v>0</v>
      </c>
      <c r="FW356" s="9" t="n">
        <v>2020</v>
      </c>
      <c r="GA356" s="9" t="inlineStr">
        <is>
          <t>TOTAL</t>
        </is>
      </c>
      <c r="GB356" s="9" t="n">
        <v>0</v>
      </c>
      <c r="GC356" s="9" t="n">
        <v>0</v>
      </c>
      <c r="GD356" s="9" t="n">
        <v>0</v>
      </c>
      <c r="GE356" s="9" t="n">
        <v>0</v>
      </c>
      <c r="GF356" s="9" t="n">
        <v>960</v>
      </c>
      <c r="GJ356" s="9" t="inlineStr">
        <is>
          <t>TOTAL</t>
        </is>
      </c>
      <c r="GK356" s="9" t="n">
        <v>0</v>
      </c>
      <c r="GL356" s="9" t="n">
        <v>0</v>
      </c>
      <c r="GM356" s="9" t="n">
        <v>0</v>
      </c>
      <c r="GN356" s="9" t="n">
        <v>0</v>
      </c>
      <c r="GO356" s="9" t="n">
        <v>1760</v>
      </c>
      <c r="GS356" s="9" t="inlineStr">
        <is>
          <t>TOTAL</t>
        </is>
      </c>
      <c r="GT356" s="9" t="n">
        <v>0</v>
      </c>
      <c r="GU356" s="9" t="n">
        <v>0</v>
      </c>
      <c r="GV356" s="9" t="n">
        <v>0</v>
      </c>
      <c r="GW356" s="9" t="n">
        <v>0</v>
      </c>
      <c r="GX356" s="9" t="n">
        <v>400</v>
      </c>
      <c r="HB356" s="9" t="inlineStr">
        <is>
          <t>TOTAL</t>
        </is>
      </c>
      <c r="HC356" s="9" t="n">
        <v>0</v>
      </c>
      <c r="HD356" s="9" t="n">
        <v>0</v>
      </c>
      <c r="HE356" s="9" t="n">
        <v>0</v>
      </c>
      <c r="HF356" s="9" t="n">
        <v>0</v>
      </c>
      <c r="HG356" s="9" t="n">
        <v>3600</v>
      </c>
      <c r="HK356" s="9" t="inlineStr">
        <is>
          <t>TOTAL</t>
        </is>
      </c>
      <c r="HL356" s="9" t="n">
        <v>0</v>
      </c>
      <c r="HM356" s="9" t="n">
        <v>0</v>
      </c>
      <c r="HN356" s="9" t="n">
        <v>0</v>
      </c>
      <c r="HO356" s="9" t="n">
        <v>0</v>
      </c>
      <c r="HP356" s="9" t="n">
        <v>0</v>
      </c>
      <c r="HU356" s="9" t="inlineStr">
        <is>
          <t>TOTAL</t>
        </is>
      </c>
      <c r="HV356" s="9" t="n">
        <v>0</v>
      </c>
      <c r="HW356" s="9" t="n">
        <v>0</v>
      </c>
      <c r="HX356" s="9" t="n">
        <v>0</v>
      </c>
      <c r="HY356" s="9" t="n">
        <v>0</v>
      </c>
      <c r="HZ356" s="9" t="n">
        <v>6120</v>
      </c>
      <c r="ID356" s="9" t="inlineStr">
        <is>
          <t>TOTAL</t>
        </is>
      </c>
      <c r="IE356" s="9" t="n">
        <v>0</v>
      </c>
      <c r="IF356" s="9" t="n">
        <v>0</v>
      </c>
      <c r="IG356" s="9" t="n">
        <v>0</v>
      </c>
      <c r="IH356" s="9" t="n">
        <v>0</v>
      </c>
      <c r="II356" s="9" t="n">
        <v>0</v>
      </c>
      <c r="IM356" s="9" t="inlineStr">
        <is>
          <t>TOTAL</t>
        </is>
      </c>
      <c r="IN356" s="9" t="n">
        <v>0</v>
      </c>
      <c r="IO356" s="9" t="n">
        <v>0</v>
      </c>
      <c r="IP356" s="9" t="n">
        <v>0</v>
      </c>
      <c r="IQ356" s="9" t="n">
        <v>0</v>
      </c>
      <c r="IR356" s="9" t="n">
        <v>0</v>
      </c>
      <c r="IV356" s="9" t="inlineStr">
        <is>
          <t>TOTAL</t>
        </is>
      </c>
      <c r="IW356" s="9" t="n">
        <v>0</v>
      </c>
      <c r="IX356" s="9" t="n">
        <v>0</v>
      </c>
      <c r="IY356" s="9" t="n">
        <v>0</v>
      </c>
      <c r="IZ356" s="9" t="n">
        <v>0</v>
      </c>
      <c r="JA356" s="9" t="n">
        <v>2820</v>
      </c>
      <c r="JE356" s="9" t="inlineStr">
        <is>
          <t>TOTAL</t>
        </is>
      </c>
      <c r="JF356" s="9" t="n">
        <v>0</v>
      </c>
      <c r="JG356" s="9" t="n">
        <v>0</v>
      </c>
      <c r="JH356" s="9" t="n">
        <v>0</v>
      </c>
      <c r="JI356" s="9" t="n">
        <v>0</v>
      </c>
      <c r="JJ356" s="9" t="n">
        <v>0</v>
      </c>
      <c r="JN356" s="9" t="inlineStr">
        <is>
          <t>TOTAL</t>
        </is>
      </c>
      <c r="JO356" s="9" t="n">
        <v>0</v>
      </c>
      <c r="JP356" s="9" t="n">
        <v>0</v>
      </c>
      <c r="JQ356" s="9" t="n">
        <v>0</v>
      </c>
      <c r="JR356" s="9" t="n">
        <v>0</v>
      </c>
      <c r="JS356" s="9" t="n">
        <v>0</v>
      </c>
      <c r="JW356" s="9" t="inlineStr">
        <is>
          <t>TOTAL</t>
        </is>
      </c>
      <c r="JX356" s="9" t="n">
        <v>0</v>
      </c>
      <c r="JY356" s="9" t="n">
        <v>0</v>
      </c>
      <c r="JZ356" s="9" t="n">
        <v>0</v>
      </c>
      <c r="KA356" s="9" t="n">
        <v>0</v>
      </c>
      <c r="KB356" s="9" t="n">
        <v>2540</v>
      </c>
      <c r="KF356" s="9" t="inlineStr">
        <is>
          <t>TOTAL</t>
        </is>
      </c>
      <c r="KG356" s="9" t="n">
        <v>0</v>
      </c>
      <c r="KH356" s="9" t="n">
        <v>0</v>
      </c>
      <c r="KI356" s="9" t="n">
        <v>0</v>
      </c>
      <c r="KJ356" s="9" t="n">
        <v>0</v>
      </c>
      <c r="KK356" s="9" t="n">
        <v>2359.5</v>
      </c>
      <c r="KO356" s="9" t="inlineStr">
        <is>
          <t>TOTAL</t>
        </is>
      </c>
      <c r="KP356" s="9" t="n">
        <v>0</v>
      </c>
      <c r="KQ356" s="9" t="n">
        <v>0</v>
      </c>
      <c r="KR356" s="9" t="n">
        <v>0</v>
      </c>
      <c r="KS356" s="9" t="n">
        <v>0</v>
      </c>
      <c r="KT356" s="9" t="n">
        <v>1890</v>
      </c>
      <c r="KX356" s="9" t="inlineStr">
        <is>
          <t>TOTAL</t>
        </is>
      </c>
      <c r="KY356" s="9" t="n">
        <v>0</v>
      </c>
      <c r="KZ356" s="9" t="n">
        <v>0</v>
      </c>
      <c r="LA356" s="9" t="n">
        <v>0</v>
      </c>
      <c r="LB356" s="9" t="n">
        <v>0</v>
      </c>
      <c r="LC356" s="9" t="n">
        <v>3690</v>
      </c>
      <c r="LG356" s="9" t="inlineStr">
        <is>
          <t>TOTAL</t>
        </is>
      </c>
      <c r="LH356" s="9" t="n">
        <v>0</v>
      </c>
      <c r="LI356" s="9" t="n">
        <v>0</v>
      </c>
      <c r="LJ356" s="9" t="n">
        <v>0</v>
      </c>
      <c r="LK356" s="9" t="n">
        <v>0</v>
      </c>
      <c r="LL356" s="9" t="n">
        <v>4000</v>
      </c>
      <c r="LP356" s="9" t="inlineStr">
        <is>
          <t>TOTAL</t>
        </is>
      </c>
      <c r="LQ356" s="9" t="n">
        <v>0</v>
      </c>
      <c r="LR356" s="9" t="n">
        <v>0</v>
      </c>
      <c r="LS356" s="9" t="n">
        <v>0</v>
      </c>
      <c r="LT356" s="9" t="n">
        <v>0</v>
      </c>
      <c r="LU356" s="9" t="n">
        <v>0</v>
      </c>
      <c r="LY356" s="9" t="inlineStr">
        <is>
          <t>TOTAL</t>
        </is>
      </c>
      <c r="LZ356" s="9" t="n">
        <v>0</v>
      </c>
      <c r="MA356" s="9" t="n">
        <v>0</v>
      </c>
      <c r="MB356" s="9" t="n">
        <v>0</v>
      </c>
      <c r="MC356" s="9" t="n">
        <v>0</v>
      </c>
      <c r="MD356" s="9" t="n">
        <v>0</v>
      </c>
      <c r="MH356" s="9" t="inlineStr">
        <is>
          <t>TOTAL</t>
        </is>
      </c>
      <c r="MI356" s="9" t="n">
        <v>0</v>
      </c>
      <c r="MJ356" s="9" t="n">
        <v>0</v>
      </c>
      <c r="MK356" s="9" t="n">
        <v>0</v>
      </c>
      <c r="ML356" s="9" t="n">
        <v>0</v>
      </c>
      <c r="MM356" s="9" t="n">
        <v>0</v>
      </c>
      <c r="MQ356" s="9" t="inlineStr">
        <is>
          <t>TOTAL</t>
        </is>
      </c>
      <c r="MR356" s="9" t="n">
        <v>0</v>
      </c>
      <c r="MS356" s="9" t="n">
        <v>0</v>
      </c>
      <c r="MT356" s="9" t="n">
        <v>0</v>
      </c>
      <c r="MU356" s="9" t="n">
        <v>0</v>
      </c>
      <c r="MV356" s="9" t="n">
        <v>1625</v>
      </c>
      <c r="MZ356" s="9" t="inlineStr">
        <is>
          <t>TOTAL</t>
        </is>
      </c>
      <c r="NA356" s="9" t="n">
        <v>0</v>
      </c>
      <c r="NB356" s="9" t="n">
        <v>0</v>
      </c>
      <c r="NC356" s="9" t="n">
        <v>0</v>
      </c>
      <c r="ND356" s="9" t="n">
        <v>0</v>
      </c>
      <c r="NE356" s="9" t="n">
        <v>0</v>
      </c>
      <c r="NI356" s="9" t="inlineStr">
        <is>
          <t>TOTAL</t>
        </is>
      </c>
      <c r="NJ356" s="9" t="n">
        <v>0</v>
      </c>
      <c r="NK356" s="9" t="n">
        <v>0</v>
      </c>
      <c r="NL356" s="9" t="n">
        <v>0</v>
      </c>
      <c r="NM356" s="9" t="n">
        <v>0</v>
      </c>
      <c r="NN356" s="9" t="n">
        <v>1127</v>
      </c>
      <c r="NR356" s="9" t="inlineStr">
        <is>
          <t>TOTAL</t>
        </is>
      </c>
      <c r="NS356" s="9" t="n">
        <v>0</v>
      </c>
      <c r="NT356" s="9" t="n">
        <v>0</v>
      </c>
      <c r="NU356" s="9" t="n">
        <v>0</v>
      </c>
      <c r="NV356" s="9" t="n">
        <v>0</v>
      </c>
      <c r="NW356" s="9" t="n">
        <v>3112</v>
      </c>
      <c r="OA356" s="9" t="inlineStr">
        <is>
          <t>TOTAL</t>
        </is>
      </c>
      <c r="OB356" s="9" t="n">
        <v>0</v>
      </c>
      <c r="OC356" s="9" t="n">
        <v>0</v>
      </c>
      <c r="OD356" s="9" t="n">
        <v>0</v>
      </c>
      <c r="OE356" s="9" t="n">
        <v>0</v>
      </c>
      <c r="OF356" s="9" t="n">
        <v>1680.5</v>
      </c>
      <c r="OJ356" s="9" t="inlineStr">
        <is>
          <t>TOTAL</t>
        </is>
      </c>
      <c r="OK356" s="9" t="n">
        <v>0</v>
      </c>
      <c r="OL356" s="9" t="n">
        <v>0</v>
      </c>
      <c r="OM356" s="9" t="n">
        <v>0</v>
      </c>
      <c r="ON356" s="9" t="n">
        <v>0</v>
      </c>
      <c r="OO356" s="9" t="n">
        <v>0</v>
      </c>
      <c r="OS356" s="9" t="inlineStr">
        <is>
          <t>TOTAL</t>
        </is>
      </c>
      <c r="OT356" s="9" t="n">
        <v>0</v>
      </c>
      <c r="OU356" s="9" t="n">
        <v>0</v>
      </c>
      <c r="OV356" s="9" t="n">
        <v>0</v>
      </c>
      <c r="OW356" s="9" t="n">
        <v>0</v>
      </c>
      <c r="OX356" s="9" t="n">
        <v>1482</v>
      </c>
      <c r="PB356" s="9" t="inlineStr">
        <is>
          <t>TOTAL</t>
        </is>
      </c>
      <c r="PC356" s="9" t="n">
        <v>0</v>
      </c>
      <c r="PD356" s="9" t="n">
        <v>0</v>
      </c>
      <c r="PE356" s="9" t="n">
        <v>0</v>
      </c>
      <c r="PF356" s="9" t="n">
        <v>0</v>
      </c>
      <c r="PG356" s="9" t="n">
        <v>0</v>
      </c>
      <c r="PK356" s="9" t="inlineStr">
        <is>
          <t>TOTAL</t>
        </is>
      </c>
      <c r="PL356" s="9" t="n">
        <v>0</v>
      </c>
      <c r="PM356" s="9" t="n">
        <v>0</v>
      </c>
      <c r="PN356" s="9" t="n">
        <v>0</v>
      </c>
      <c r="PO356" s="9" t="n">
        <v>0</v>
      </c>
      <c r="PP356" s="9" t="n">
        <v>100</v>
      </c>
      <c r="PT356" s="9" t="inlineStr">
        <is>
          <t>TOTAL</t>
        </is>
      </c>
      <c r="PU356" s="9" t="n">
        <v>0</v>
      </c>
      <c r="PV356" s="9" t="n">
        <v>0</v>
      </c>
      <c r="PW356" s="9" t="n">
        <v>0</v>
      </c>
      <c r="PX356" s="9" t="n">
        <v>0</v>
      </c>
      <c r="PY356" s="9" t="n">
        <v>13.96000000000004</v>
      </c>
      <c r="QC356" s="9" t="inlineStr">
        <is>
          <t>TOTAL</t>
        </is>
      </c>
      <c r="QD356" s="9" t="n">
        <v>0</v>
      </c>
      <c r="QE356" s="9" t="n">
        <v>0</v>
      </c>
      <c r="QF356" s="9" t="n">
        <v>0</v>
      </c>
      <c r="QG356" s="9" t="n">
        <v>0</v>
      </c>
      <c r="QH356" s="9" t="n">
        <v>548</v>
      </c>
      <c r="QL356" s="9" t="inlineStr">
        <is>
          <t>TOTAL</t>
        </is>
      </c>
      <c r="QM356" s="9" t="n">
        <v>0</v>
      </c>
      <c r="QN356" s="9" t="n">
        <v>0</v>
      </c>
      <c r="QO356" s="9" t="n">
        <v>0</v>
      </c>
      <c r="QP356" s="9" t="n">
        <v>0</v>
      </c>
      <c r="QQ356" s="9" t="n">
        <v>0</v>
      </c>
      <c r="QU356" s="9" t="inlineStr">
        <is>
          <t>TOTAL</t>
        </is>
      </c>
      <c r="QV356" s="9" t="n">
        <v>0</v>
      </c>
      <c r="QW356" s="9" t="n">
        <v>0</v>
      </c>
      <c r="QX356" s="9" t="n">
        <v>0</v>
      </c>
      <c r="QY356" s="9" t="n">
        <v>0</v>
      </c>
      <c r="QZ356" s="9" t="n">
        <v>0</v>
      </c>
      <c r="RD356" s="9" t="inlineStr">
        <is>
          <t>TOTAL</t>
        </is>
      </c>
      <c r="RE356" s="9" t="n">
        <v>0</v>
      </c>
      <c r="RF356" s="9" t="n">
        <v>0</v>
      </c>
      <c r="RG356" s="9" t="n">
        <v>0</v>
      </c>
      <c r="RH356" s="9" t="n">
        <v>0</v>
      </c>
      <c r="RI356" s="9" t="n">
        <v>147.04</v>
      </c>
      <c r="RM356" s="9" t="inlineStr">
        <is>
          <t>TOTAL</t>
        </is>
      </c>
      <c r="RN356" s="9" t="n">
        <v>0</v>
      </c>
      <c r="RO356" s="9" t="n">
        <v>0</v>
      </c>
      <c r="RP356" s="9" t="n">
        <v>0</v>
      </c>
      <c r="RQ356" s="9" t="n">
        <v>0</v>
      </c>
      <c r="RR356" s="9" t="n">
        <v>46.8</v>
      </c>
      <c r="RV356" s="9" t="inlineStr">
        <is>
          <t>TOTAL</t>
        </is>
      </c>
      <c r="RW356" s="9" t="n">
        <v>0</v>
      </c>
      <c r="RX356" s="9" t="n">
        <v>0</v>
      </c>
      <c r="RY356" s="9" t="n">
        <v>0</v>
      </c>
      <c r="RZ356" s="9" t="n">
        <v>0</v>
      </c>
      <c r="SA356" s="9" t="n">
        <v>0</v>
      </c>
      <c r="SE356" s="9" t="inlineStr">
        <is>
          <t>TOTAL</t>
        </is>
      </c>
      <c r="SF356" s="9" t="n">
        <v>0</v>
      </c>
      <c r="SG356" s="9" t="n">
        <v>0</v>
      </c>
      <c r="SH356" s="9" t="n">
        <v>0</v>
      </c>
      <c r="SI356" s="9" t="n">
        <v>0</v>
      </c>
      <c r="SJ356" s="9" t="n">
        <v>24.2</v>
      </c>
      <c r="SN356" s="9" t="inlineStr">
        <is>
          <t>TOTAL</t>
        </is>
      </c>
      <c r="SO356" s="9" t="n">
        <v>0</v>
      </c>
      <c r="SP356" s="9" t="n">
        <v>0</v>
      </c>
      <c r="SQ356" s="9" t="n">
        <v>0</v>
      </c>
      <c r="SR356" s="9" t="n">
        <v>0</v>
      </c>
      <c r="SS356" s="9" t="n">
        <v>32</v>
      </c>
      <c r="SW356" s="9" t="inlineStr">
        <is>
          <t>TOTAL</t>
        </is>
      </c>
      <c r="SX356" s="9" t="n">
        <v>0</v>
      </c>
      <c r="SY356" s="9" t="n">
        <v>0</v>
      </c>
      <c r="SZ356" s="9" t="n">
        <v>0</v>
      </c>
      <c r="TA356" s="9" t="n">
        <v>0</v>
      </c>
      <c r="TB356" s="9" t="n">
        <v>0</v>
      </c>
      <c r="TF356" s="9" t="inlineStr">
        <is>
          <t>TOTAL</t>
        </is>
      </c>
      <c r="TG356" s="9" t="n">
        <v>0</v>
      </c>
      <c r="TH356" s="9" t="n">
        <v>0</v>
      </c>
      <c r="TI356" s="9" t="n">
        <v>0</v>
      </c>
      <c r="TJ356" s="9" t="n">
        <v>0</v>
      </c>
      <c r="TK356" s="9" t="n">
        <v>0</v>
      </c>
      <c r="TO356" s="9" t="inlineStr">
        <is>
          <t>TOTAL</t>
        </is>
      </c>
      <c r="TP356" s="9" t="n">
        <v>0</v>
      </c>
      <c r="TQ356" s="9" t="n">
        <v>0</v>
      </c>
      <c r="TR356" s="9" t="n">
        <v>0</v>
      </c>
      <c r="TS356" s="9" t="n">
        <v>0</v>
      </c>
      <c r="TT356" s="9" t="n">
        <v>0</v>
      </c>
      <c r="TX356" s="9" t="inlineStr">
        <is>
          <t>TOTAL</t>
        </is>
      </c>
      <c r="TY356" s="9" t="n">
        <v>0</v>
      </c>
      <c r="TZ356" s="9" t="n">
        <v>0</v>
      </c>
      <c r="UA356" s="9" t="n">
        <v>0</v>
      </c>
      <c r="UB356" s="9" t="n">
        <v>0</v>
      </c>
      <c r="UC356" s="9" t="n">
        <v>46.79999999999998</v>
      </c>
      <c r="UG356" s="9" t="inlineStr">
        <is>
          <t>TOTAL</t>
        </is>
      </c>
      <c r="UH356" s="9" t="n">
        <v>0</v>
      </c>
      <c r="UI356" s="9" t="n">
        <v>0</v>
      </c>
      <c r="UJ356" s="9" t="n">
        <v>0</v>
      </c>
      <c r="UK356" s="9" t="n">
        <v>0</v>
      </c>
      <c r="UL356" s="9" t="n">
        <v>204</v>
      </c>
      <c r="UP356" s="9" t="inlineStr">
        <is>
          <t>TOTAL</t>
        </is>
      </c>
      <c r="UQ356" s="9" t="n">
        <v>0</v>
      </c>
      <c r="UR356" s="9" t="n">
        <v>0</v>
      </c>
      <c r="US356" s="9" t="n">
        <v>0</v>
      </c>
      <c r="UT356" s="9" t="n">
        <v>0</v>
      </c>
      <c r="UU356" s="9" t="n">
        <v>202.5</v>
      </c>
      <c r="UY356" s="9" t="inlineStr">
        <is>
          <t>TOTAL</t>
        </is>
      </c>
      <c r="UZ356" s="9" t="n">
        <v>0</v>
      </c>
      <c r="VA356" s="9" t="n">
        <v>0</v>
      </c>
      <c r="VB356" s="9" t="n">
        <v>0</v>
      </c>
      <c r="VC356" s="9" t="n">
        <v>0</v>
      </c>
      <c r="VD356" s="9" t="n">
        <v>41.60000000000002</v>
      </c>
      <c r="VH356" s="9" t="inlineStr">
        <is>
          <t>TOTAL</t>
        </is>
      </c>
      <c r="VI356" s="9" t="n">
        <v>0</v>
      </c>
      <c r="VJ356" s="9" t="n">
        <v>0</v>
      </c>
      <c r="VK356" s="9" t="n">
        <v>0</v>
      </c>
      <c r="VL356" s="9" t="n">
        <v>0</v>
      </c>
      <c r="VM356" s="9" t="n">
        <v>210</v>
      </c>
      <c r="VQ356" s="9" t="inlineStr">
        <is>
          <t>TOTAL</t>
        </is>
      </c>
      <c r="VR356" s="9" t="n">
        <v>0</v>
      </c>
      <c r="VS356" s="9" t="n">
        <v>0</v>
      </c>
      <c r="VT356" s="9" t="n">
        <v>0</v>
      </c>
      <c r="VU356" s="9" t="n">
        <v>0</v>
      </c>
      <c r="VV356" s="9" t="n">
        <v>0</v>
      </c>
      <c r="VZ356" s="9" t="inlineStr">
        <is>
          <t>TOTAL</t>
        </is>
      </c>
      <c r="WA356" s="9" t="n">
        <v>0</v>
      </c>
      <c r="WB356" s="9" t="n">
        <v>0</v>
      </c>
      <c r="WC356" s="9" t="n">
        <v>0</v>
      </c>
      <c r="WD356" s="9" t="n">
        <v>0</v>
      </c>
      <c r="WE356" s="9" t="n">
        <v>0</v>
      </c>
      <c r="WI356" s="9" t="inlineStr">
        <is>
          <t>TOTAL</t>
        </is>
      </c>
      <c r="WJ356" s="9" t="n">
        <v>0</v>
      </c>
      <c r="WK356" s="9" t="n">
        <v>0</v>
      </c>
      <c r="WL356" s="9" t="n">
        <v>0</v>
      </c>
      <c r="WM356" s="9" t="n">
        <v>0</v>
      </c>
      <c r="WN356" s="9" t="n">
        <v>1057</v>
      </c>
      <c r="WR356" s="9" t="inlineStr">
        <is>
          <t>TOTAL</t>
        </is>
      </c>
      <c r="WS356" s="9" t="n">
        <v>0</v>
      </c>
      <c r="WT356" s="9" t="n">
        <v>0</v>
      </c>
      <c r="WU356" s="9" t="n">
        <v>0</v>
      </c>
      <c r="WV356" s="9" t="n">
        <v>0</v>
      </c>
      <c r="WW356" s="9" t="n">
        <v>0</v>
      </c>
      <c r="XA356" s="9" t="inlineStr">
        <is>
          <t>TOTAL</t>
        </is>
      </c>
      <c r="XB356" s="9" t="n">
        <v>0</v>
      </c>
      <c r="XC356" s="9" t="n">
        <v>0</v>
      </c>
      <c r="XD356" s="9" t="n">
        <v>0</v>
      </c>
      <c r="XE356" s="9" t="n">
        <v>0</v>
      </c>
      <c r="XF356" s="9" t="n">
        <v>7507</v>
      </c>
      <c r="XJ356" s="9" t="inlineStr">
        <is>
          <t>TOTAL</t>
        </is>
      </c>
      <c r="XK356" s="9" t="n">
        <v>0</v>
      </c>
      <c r="XL356" s="9" t="n">
        <v>0</v>
      </c>
      <c r="XM356" s="9" t="n">
        <v>0</v>
      </c>
      <c r="XN356" s="9" t="n">
        <v>0</v>
      </c>
      <c r="XO356" s="9" t="n">
        <v>4252</v>
      </c>
      <c r="XS356" s="9" t="inlineStr">
        <is>
          <t>TOTAL</t>
        </is>
      </c>
      <c r="XT356" s="9" t="n">
        <v>0</v>
      </c>
      <c r="XU356" s="9" t="n">
        <v>0</v>
      </c>
      <c r="XV356" s="9" t="n">
        <v>0</v>
      </c>
      <c r="XW356" s="9" t="n">
        <v>0</v>
      </c>
      <c r="XX356" s="9" t="n">
        <v>2179</v>
      </c>
      <c r="YB356" s="9" t="inlineStr">
        <is>
          <t>TOTAL</t>
        </is>
      </c>
      <c r="YC356" s="9" t="n">
        <v>0</v>
      </c>
      <c r="YD356" s="9" t="n">
        <v>0</v>
      </c>
      <c r="YE356" s="9" t="n">
        <v>0</v>
      </c>
      <c r="YF356" s="9" t="n">
        <v>0</v>
      </c>
      <c r="YG356" s="9" t="n">
        <v>4019</v>
      </c>
      <c r="YK356" s="9" t="inlineStr">
        <is>
          <t>TOTAL</t>
        </is>
      </c>
      <c r="YL356" s="9" t="n">
        <v>0</v>
      </c>
      <c r="YM356" s="9" t="n">
        <v>0</v>
      </c>
      <c r="YN356" s="9" t="n">
        <v>0</v>
      </c>
      <c r="YO356" s="9" t="n">
        <v>0</v>
      </c>
      <c r="YP356" s="9" t="n">
        <v>-218</v>
      </c>
      <c r="YT356" s="9" t="inlineStr">
        <is>
          <t>TOTAL</t>
        </is>
      </c>
      <c r="YU356" s="9" t="n">
        <v>0</v>
      </c>
      <c r="YV356" s="9" t="n">
        <v>0</v>
      </c>
      <c r="YW356" s="9" t="n">
        <v>0</v>
      </c>
      <c r="YX356" s="9" t="n">
        <v>0</v>
      </c>
      <c r="YY356" s="9" t="n">
        <v>0</v>
      </c>
      <c r="ZC356" s="9" t="inlineStr">
        <is>
          <t>TOTAL</t>
        </is>
      </c>
      <c r="ZD356" s="9" t="n">
        <v>0</v>
      </c>
      <c r="ZE356" s="9" t="n">
        <v>0</v>
      </c>
      <c r="ZF356" s="9" t="n">
        <v>0</v>
      </c>
      <c r="ZG356" s="9" t="n">
        <v>0</v>
      </c>
      <c r="ZH356" s="9" t="n">
        <v>0</v>
      </c>
      <c r="ZL356" s="9" t="inlineStr">
        <is>
          <t>TOTAL</t>
        </is>
      </c>
      <c r="ZM356" s="9" t="n">
        <v>0</v>
      </c>
      <c r="ZN356" s="9" t="n">
        <v>0</v>
      </c>
      <c r="ZO356" s="9" t="n">
        <v>0</v>
      </c>
      <c r="ZP356" s="9" t="n">
        <v>0</v>
      </c>
      <c r="ZQ356" s="9" t="n">
        <v>0</v>
      </c>
      <c r="ZU356" s="9" t="inlineStr">
        <is>
          <t>TOTAL</t>
        </is>
      </c>
      <c r="ZV356" s="9" t="n">
        <v>0</v>
      </c>
      <c r="ZW356" s="9" t="n">
        <v>0</v>
      </c>
      <c r="ZX356" s="9" t="n">
        <v>0</v>
      </c>
      <c r="ZY356" s="9" t="n">
        <v>0</v>
      </c>
      <c r="ZZ356" s="9" t="n">
        <v>0</v>
      </c>
      <c r="AAD356" s="9" t="inlineStr">
        <is>
          <t>TOTAL</t>
        </is>
      </c>
      <c r="AAE356" s="9" t="n">
        <v>0</v>
      </c>
      <c r="AAF356" s="9" t="n">
        <v>0</v>
      </c>
      <c r="AAG356" s="9" t="n">
        <v>0</v>
      </c>
      <c r="AAH356" s="9" t="n">
        <v>0</v>
      </c>
      <c r="AAI356" s="9" t="n">
        <v>0</v>
      </c>
      <c r="AAM356" s="9" t="inlineStr">
        <is>
          <t>TOTAL</t>
        </is>
      </c>
      <c r="AAN356" s="9" t="n">
        <v>0</v>
      </c>
      <c r="AAO356" s="9" t="n">
        <v>0</v>
      </c>
      <c r="AAP356" s="9" t="n">
        <v>0</v>
      </c>
      <c r="AAQ356" s="9" t="n">
        <v>0</v>
      </c>
      <c r="AAR356" s="9" t="n">
        <v>0</v>
      </c>
      <c r="AAV356" s="9" t="inlineStr">
        <is>
          <t>TOTAL</t>
        </is>
      </c>
      <c r="AAW356" s="9" t="n">
        <v>0</v>
      </c>
      <c r="AAX356" s="9" t="n">
        <v>0</v>
      </c>
      <c r="AAY356" s="9" t="n">
        <v>0</v>
      </c>
      <c r="AAZ356" s="9" t="n">
        <v>0</v>
      </c>
      <c r="ABA356" s="9" t="n">
        <v>0</v>
      </c>
      <c r="ABE356" s="9" t="inlineStr">
        <is>
          <t>TOTAL</t>
        </is>
      </c>
      <c r="ABF356" s="9" t="n">
        <v>0</v>
      </c>
      <c r="ABG356" s="9" t="n">
        <v>0</v>
      </c>
      <c r="ABH356" s="9" t="n">
        <v>0</v>
      </c>
      <c r="ABI356" s="9" t="n">
        <v>0</v>
      </c>
      <c r="ABJ356" s="9" t="n">
        <v>0</v>
      </c>
    </row>
    <row r="357"/>
    <row r="358">
      <c r="A358" s="9" t="inlineStr">
        <is>
          <t>NOV</t>
        </is>
      </c>
      <c r="C358" s="9" t="inlineStr">
        <is>
          <t>NOVEMBER</t>
        </is>
      </c>
      <c r="J358" s="9" t="inlineStr">
        <is>
          <t>NOV</t>
        </is>
      </c>
      <c r="L358" s="9" t="inlineStr">
        <is>
          <t>NOVEMBER</t>
        </is>
      </c>
      <c r="S358" s="9" t="inlineStr">
        <is>
          <t>NOV</t>
        </is>
      </c>
      <c r="U358" s="9" t="inlineStr">
        <is>
          <t>NOVEMBER</t>
        </is>
      </c>
      <c r="AB358" s="9" t="inlineStr">
        <is>
          <t>NOV</t>
        </is>
      </c>
      <c r="AD358" s="9" t="inlineStr">
        <is>
          <t>NOVEMBER</t>
        </is>
      </c>
      <c r="AK358" s="9" t="inlineStr">
        <is>
          <t>NOV</t>
        </is>
      </c>
      <c r="AM358" s="9" t="inlineStr">
        <is>
          <t>NOVEMBER</t>
        </is>
      </c>
      <c r="AT358" s="9" t="inlineStr">
        <is>
          <t>NOV</t>
        </is>
      </c>
      <c r="AV358" s="9" t="inlineStr">
        <is>
          <t>NOVEMBER</t>
        </is>
      </c>
      <c r="BC358" s="9" t="inlineStr">
        <is>
          <t>NOV</t>
        </is>
      </c>
      <c r="BE358" s="9" t="inlineStr">
        <is>
          <t>NOVEMBER</t>
        </is>
      </c>
      <c r="BL358" s="9" t="inlineStr">
        <is>
          <t>NOV</t>
        </is>
      </c>
      <c r="BN358" s="9" t="inlineStr">
        <is>
          <t>NOVEMBER</t>
        </is>
      </c>
      <c r="BU358" s="9" t="inlineStr">
        <is>
          <t>NOV</t>
        </is>
      </c>
      <c r="BW358" s="9" t="inlineStr">
        <is>
          <t>NOVEMBER</t>
        </is>
      </c>
      <c r="CD358" s="9" t="inlineStr">
        <is>
          <t>NOV</t>
        </is>
      </c>
      <c r="CF358" s="9" t="inlineStr">
        <is>
          <t>NOVEMBER</t>
        </is>
      </c>
      <c r="CM358" s="9" t="inlineStr">
        <is>
          <t>NOV</t>
        </is>
      </c>
      <c r="CO358" s="9" t="inlineStr">
        <is>
          <t>NOVEMBER</t>
        </is>
      </c>
      <c r="CV358" s="9" t="inlineStr">
        <is>
          <t>NOV</t>
        </is>
      </c>
      <c r="CX358" s="9" t="inlineStr">
        <is>
          <t>NOVEMBER</t>
        </is>
      </c>
      <c r="DE358" s="9" t="inlineStr">
        <is>
          <t>NOV</t>
        </is>
      </c>
      <c r="DG358" s="9" t="inlineStr">
        <is>
          <t>NOVEMBER</t>
        </is>
      </c>
      <c r="DN358" s="9" t="inlineStr">
        <is>
          <t>NOV</t>
        </is>
      </c>
      <c r="DP358" s="9" t="inlineStr">
        <is>
          <t>NOVEMBER</t>
        </is>
      </c>
      <c r="DW358" s="9" t="inlineStr">
        <is>
          <t>NOV</t>
        </is>
      </c>
      <c r="DY358" s="9" t="inlineStr">
        <is>
          <t>NOVEMBER</t>
        </is>
      </c>
      <c r="EF358" s="9" t="inlineStr">
        <is>
          <t>NOV</t>
        </is>
      </c>
      <c r="EH358" s="9" t="inlineStr">
        <is>
          <t>NOVEMBER</t>
        </is>
      </c>
      <c r="EO358" s="9" t="inlineStr">
        <is>
          <t>NOV</t>
        </is>
      </c>
      <c r="EQ358" s="9" t="inlineStr">
        <is>
          <t>NOVEMBER</t>
        </is>
      </c>
      <c r="EX358" s="9" t="inlineStr">
        <is>
          <t>NOV</t>
        </is>
      </c>
      <c r="EZ358" s="9" t="inlineStr">
        <is>
          <t>NOVEMBER</t>
        </is>
      </c>
      <c r="FG358" s="9" t="inlineStr">
        <is>
          <t>NOV</t>
        </is>
      </c>
      <c r="FI358" s="9" t="inlineStr">
        <is>
          <t>NOVEMBER</t>
        </is>
      </c>
      <c r="FP358" s="9" t="inlineStr">
        <is>
          <t>NOV</t>
        </is>
      </c>
      <c r="FR358" s="9" t="inlineStr">
        <is>
          <t>NOVEMBER</t>
        </is>
      </c>
      <c r="FY358" s="9" t="inlineStr">
        <is>
          <t>NOV</t>
        </is>
      </c>
      <c r="GA358" s="9" t="inlineStr">
        <is>
          <t>NOVEMBER</t>
        </is>
      </c>
      <c r="GH358" s="9" t="inlineStr">
        <is>
          <t>NOV</t>
        </is>
      </c>
      <c r="GJ358" s="9" t="inlineStr">
        <is>
          <t>NOVEMBER</t>
        </is>
      </c>
      <c r="GQ358" s="9" t="inlineStr">
        <is>
          <t>NOV</t>
        </is>
      </c>
      <c r="GS358" s="9" t="inlineStr">
        <is>
          <t>NOVEMBER</t>
        </is>
      </c>
      <c r="GZ358" s="9" t="inlineStr">
        <is>
          <t>NOV</t>
        </is>
      </c>
      <c r="HB358" s="9" t="inlineStr">
        <is>
          <t>NOVEMBER</t>
        </is>
      </c>
      <c r="HI358" s="9" t="inlineStr">
        <is>
          <t>NOV</t>
        </is>
      </c>
      <c r="HK358" s="9" t="inlineStr">
        <is>
          <t>NOVEMBER</t>
        </is>
      </c>
      <c r="HS358" s="9" t="inlineStr">
        <is>
          <t>NOV</t>
        </is>
      </c>
      <c r="HU358" s="9" t="inlineStr">
        <is>
          <t>NOVEMBER</t>
        </is>
      </c>
      <c r="IB358" s="9" t="inlineStr">
        <is>
          <t>NOV</t>
        </is>
      </c>
      <c r="ID358" s="9" t="inlineStr">
        <is>
          <t>NOVEMBER</t>
        </is>
      </c>
      <c r="IK358" s="9" t="inlineStr">
        <is>
          <t>NOV</t>
        </is>
      </c>
      <c r="IM358" s="9" t="inlineStr">
        <is>
          <t>NOVEMBER</t>
        </is>
      </c>
      <c r="IT358" s="9" t="inlineStr">
        <is>
          <t>NOV</t>
        </is>
      </c>
      <c r="IV358" s="9" t="inlineStr">
        <is>
          <t>NOVEMBER</t>
        </is>
      </c>
      <c r="JC358" s="9" t="inlineStr">
        <is>
          <t>NOV</t>
        </is>
      </c>
      <c r="JE358" s="9" t="inlineStr">
        <is>
          <t>NOVEMBER</t>
        </is>
      </c>
      <c r="JL358" s="9" t="inlineStr">
        <is>
          <t>NOV</t>
        </is>
      </c>
      <c r="JN358" s="9" t="inlineStr">
        <is>
          <t>NOVEMBER</t>
        </is>
      </c>
      <c r="JU358" s="9" t="inlineStr">
        <is>
          <t>NOV</t>
        </is>
      </c>
      <c r="JW358" s="9" t="inlineStr">
        <is>
          <t>NOVEMBER</t>
        </is>
      </c>
      <c r="KD358" s="9" t="inlineStr">
        <is>
          <t>NOV</t>
        </is>
      </c>
      <c r="KF358" s="9" t="inlineStr">
        <is>
          <t>NOVEMBER</t>
        </is>
      </c>
      <c r="KM358" s="9" t="inlineStr">
        <is>
          <t>NOV</t>
        </is>
      </c>
      <c r="KO358" s="9" t="inlineStr">
        <is>
          <t>NOVEMBER</t>
        </is>
      </c>
      <c r="KV358" s="9" t="inlineStr">
        <is>
          <t>NOV</t>
        </is>
      </c>
      <c r="KX358" s="9" t="inlineStr">
        <is>
          <t>NOVEMBER</t>
        </is>
      </c>
      <c r="LE358" s="9" t="inlineStr">
        <is>
          <t>NOV</t>
        </is>
      </c>
      <c r="LG358" s="9" t="inlineStr">
        <is>
          <t>NOVEMBER</t>
        </is>
      </c>
      <c r="LN358" s="9" t="inlineStr">
        <is>
          <t>NOV</t>
        </is>
      </c>
      <c r="LP358" s="9" t="inlineStr">
        <is>
          <t>NOVEMBER</t>
        </is>
      </c>
      <c r="LW358" s="9" t="inlineStr">
        <is>
          <t>NOV</t>
        </is>
      </c>
      <c r="LY358" s="9" t="inlineStr">
        <is>
          <t>NOVEMBER</t>
        </is>
      </c>
      <c r="MF358" s="9" t="inlineStr">
        <is>
          <t>NOV</t>
        </is>
      </c>
      <c r="MH358" s="9" t="inlineStr">
        <is>
          <t>NOVEMBER</t>
        </is>
      </c>
      <c r="MO358" s="9" t="inlineStr">
        <is>
          <t>NOV</t>
        </is>
      </c>
      <c r="MQ358" s="9" t="inlineStr">
        <is>
          <t>NOVEMBER</t>
        </is>
      </c>
      <c r="MX358" s="9" t="inlineStr">
        <is>
          <t>NOV</t>
        </is>
      </c>
      <c r="MZ358" s="9" t="inlineStr">
        <is>
          <t>NOVEMBER</t>
        </is>
      </c>
      <c r="NG358" s="9" t="inlineStr">
        <is>
          <t>NOV</t>
        </is>
      </c>
      <c r="NI358" s="9" t="inlineStr">
        <is>
          <t>NOVEMBER</t>
        </is>
      </c>
      <c r="NP358" s="9" t="inlineStr">
        <is>
          <t>NOV</t>
        </is>
      </c>
      <c r="NR358" s="9" t="inlineStr">
        <is>
          <t>NOVEMBER</t>
        </is>
      </c>
      <c r="NY358" s="9" t="inlineStr">
        <is>
          <t>NOV</t>
        </is>
      </c>
      <c r="OA358" s="9" t="inlineStr">
        <is>
          <t>NOVEMBER</t>
        </is>
      </c>
      <c r="OH358" s="9" t="inlineStr">
        <is>
          <t>NOV</t>
        </is>
      </c>
      <c r="OJ358" s="9" t="inlineStr">
        <is>
          <t>NOVEMBER</t>
        </is>
      </c>
      <c r="OQ358" s="9" t="inlineStr">
        <is>
          <t>NOV</t>
        </is>
      </c>
      <c r="OS358" s="9" t="inlineStr">
        <is>
          <t>NOVEMBER</t>
        </is>
      </c>
      <c r="OZ358" s="9" t="inlineStr">
        <is>
          <t>NOV</t>
        </is>
      </c>
      <c r="PB358" s="9" t="inlineStr">
        <is>
          <t>NOVEMBER</t>
        </is>
      </c>
      <c r="PI358" s="9" t="inlineStr">
        <is>
          <t>NOV</t>
        </is>
      </c>
      <c r="PK358" s="9" t="inlineStr">
        <is>
          <t>NOVEMBER</t>
        </is>
      </c>
      <c r="PR358" s="9" t="inlineStr">
        <is>
          <t>NOV</t>
        </is>
      </c>
      <c r="PT358" s="9" t="inlineStr">
        <is>
          <t>NOVEMBER</t>
        </is>
      </c>
      <c r="QA358" s="9" t="inlineStr">
        <is>
          <t>NOV</t>
        </is>
      </c>
      <c r="QC358" s="9" t="inlineStr">
        <is>
          <t>NOVEMBER</t>
        </is>
      </c>
      <c r="QJ358" s="9" t="inlineStr">
        <is>
          <t>NOV</t>
        </is>
      </c>
      <c r="QL358" s="9" t="inlineStr">
        <is>
          <t>NOVEMBER</t>
        </is>
      </c>
      <c r="QS358" s="9" t="inlineStr">
        <is>
          <t>NOV</t>
        </is>
      </c>
      <c r="QU358" s="9" t="inlineStr">
        <is>
          <t>NOVEMBER</t>
        </is>
      </c>
      <c r="RB358" s="9" t="inlineStr">
        <is>
          <t>NOV</t>
        </is>
      </c>
      <c r="RD358" s="9" t="inlineStr">
        <is>
          <t>NOVEMBER</t>
        </is>
      </c>
      <c r="RK358" s="9" t="inlineStr">
        <is>
          <t>NOV</t>
        </is>
      </c>
      <c r="RM358" s="9" t="inlineStr">
        <is>
          <t>NOVEMBER</t>
        </is>
      </c>
      <c r="RT358" s="9" t="inlineStr">
        <is>
          <t>NOV</t>
        </is>
      </c>
      <c r="RV358" s="9" t="inlineStr">
        <is>
          <t>NOVEMBER</t>
        </is>
      </c>
      <c r="SC358" s="9" t="inlineStr">
        <is>
          <t>NOV</t>
        </is>
      </c>
      <c r="SE358" s="9" t="inlineStr">
        <is>
          <t>NOVEMBER</t>
        </is>
      </c>
      <c r="SL358" s="9" t="inlineStr">
        <is>
          <t>NOV</t>
        </is>
      </c>
      <c r="SN358" s="9" t="inlineStr">
        <is>
          <t>NOVEMBER</t>
        </is>
      </c>
      <c r="SU358" s="9" t="inlineStr">
        <is>
          <t>NOV</t>
        </is>
      </c>
      <c r="SW358" s="9" t="inlineStr">
        <is>
          <t>NOVEMBER</t>
        </is>
      </c>
      <c r="TD358" s="9" t="inlineStr">
        <is>
          <t>NOV</t>
        </is>
      </c>
      <c r="TF358" s="9" t="inlineStr">
        <is>
          <t>NOVEMBER</t>
        </is>
      </c>
      <c r="TM358" s="9" t="inlineStr">
        <is>
          <t>NOV</t>
        </is>
      </c>
      <c r="TO358" s="9" t="inlineStr">
        <is>
          <t>NOVEMBER</t>
        </is>
      </c>
      <c r="TV358" s="9" t="inlineStr">
        <is>
          <t>NOV</t>
        </is>
      </c>
      <c r="TX358" s="9" t="inlineStr">
        <is>
          <t>NOVEMBER</t>
        </is>
      </c>
      <c r="UE358" s="9" t="inlineStr">
        <is>
          <t>NOV</t>
        </is>
      </c>
      <c r="UG358" s="9" t="inlineStr">
        <is>
          <t>NOVEMBER</t>
        </is>
      </c>
      <c r="UN358" s="9" t="inlineStr">
        <is>
          <t>NOV</t>
        </is>
      </c>
      <c r="UP358" s="9" t="inlineStr">
        <is>
          <t>NOVEMBER</t>
        </is>
      </c>
      <c r="UW358" s="9" t="inlineStr">
        <is>
          <t>NOV</t>
        </is>
      </c>
      <c r="UY358" s="9" t="inlineStr">
        <is>
          <t>NOVEMBER</t>
        </is>
      </c>
      <c r="VF358" s="9" t="inlineStr">
        <is>
          <t>NOV</t>
        </is>
      </c>
      <c r="VH358" s="9" t="inlineStr">
        <is>
          <t>NOVEMBER</t>
        </is>
      </c>
      <c r="VO358" s="9" t="inlineStr">
        <is>
          <t>NOV</t>
        </is>
      </c>
      <c r="VQ358" s="9" t="inlineStr">
        <is>
          <t>NOVEMBER</t>
        </is>
      </c>
      <c r="VX358" s="9" t="inlineStr">
        <is>
          <t>NOV</t>
        </is>
      </c>
      <c r="VZ358" s="9" t="inlineStr">
        <is>
          <t>NOVEMBER</t>
        </is>
      </c>
      <c r="WG358" s="9" t="inlineStr">
        <is>
          <t>NOV</t>
        </is>
      </c>
      <c r="WI358" s="9" t="inlineStr">
        <is>
          <t>NOVEMBER</t>
        </is>
      </c>
      <c r="WP358" s="9" t="inlineStr">
        <is>
          <t>NOV</t>
        </is>
      </c>
      <c r="WR358" s="9" t="inlineStr">
        <is>
          <t>NOVEMBER</t>
        </is>
      </c>
      <c r="WY358" s="9" t="inlineStr">
        <is>
          <t>NOV</t>
        </is>
      </c>
      <c r="XA358" s="9" t="inlineStr">
        <is>
          <t>NOVEMBER</t>
        </is>
      </c>
      <c r="XH358" s="9" t="inlineStr">
        <is>
          <t>NOV</t>
        </is>
      </c>
      <c r="XJ358" s="9" t="inlineStr">
        <is>
          <t>NOVEMBER</t>
        </is>
      </c>
      <c r="XQ358" s="9" t="inlineStr">
        <is>
          <t>NOV</t>
        </is>
      </c>
      <c r="XS358" s="9" t="inlineStr">
        <is>
          <t>NOVEMBER</t>
        </is>
      </c>
      <c r="XZ358" s="9" t="inlineStr">
        <is>
          <t>NOV</t>
        </is>
      </c>
      <c r="YB358" s="9" t="inlineStr">
        <is>
          <t>NOVEMBER</t>
        </is>
      </c>
      <c r="YI358" s="9" t="inlineStr">
        <is>
          <t>NOV</t>
        </is>
      </c>
      <c r="YK358" s="9" t="inlineStr">
        <is>
          <t>NOVEMBER</t>
        </is>
      </c>
      <c r="YR358" s="9" t="inlineStr">
        <is>
          <t>NOV</t>
        </is>
      </c>
      <c r="YT358" s="9" t="inlineStr">
        <is>
          <t>NOVEMBER</t>
        </is>
      </c>
      <c r="ZA358" s="9" t="inlineStr">
        <is>
          <t>NOV</t>
        </is>
      </c>
      <c r="ZC358" s="9" t="inlineStr">
        <is>
          <t>NOVEMBER</t>
        </is>
      </c>
      <c r="ZJ358" s="9" t="inlineStr">
        <is>
          <t>NOV</t>
        </is>
      </c>
      <c r="ZL358" s="9" t="inlineStr">
        <is>
          <t>NOVEMBER</t>
        </is>
      </c>
      <c r="ZS358" s="9" t="inlineStr">
        <is>
          <t>NOV</t>
        </is>
      </c>
      <c r="ZU358" s="9" t="inlineStr">
        <is>
          <t>NOVEMBER</t>
        </is>
      </c>
      <c r="AAB358" s="9" t="inlineStr">
        <is>
          <t>NOV</t>
        </is>
      </c>
      <c r="AAD358" s="9" t="inlineStr">
        <is>
          <t>NOVEMBER</t>
        </is>
      </c>
      <c r="AAK358" s="9" t="inlineStr">
        <is>
          <t>NOV</t>
        </is>
      </c>
      <c r="AAM358" s="9" t="inlineStr">
        <is>
          <t>NOVEMBER</t>
        </is>
      </c>
      <c r="AAT358" s="9" t="inlineStr">
        <is>
          <t>NOV</t>
        </is>
      </c>
      <c r="AAV358" s="9" t="inlineStr">
        <is>
          <t>NOVEMBER</t>
        </is>
      </c>
      <c r="ABC358" s="9" t="inlineStr">
        <is>
          <t>NOV</t>
        </is>
      </c>
      <c r="ABE358" s="9" t="inlineStr">
        <is>
          <t>NOVEMBER</t>
        </is>
      </c>
    </row>
    <row r="359">
      <c r="C359" s="9" t="inlineStr">
        <is>
          <t>Date</t>
        </is>
      </c>
      <c r="D359" s="9" t="inlineStr">
        <is>
          <t>Intake</t>
        </is>
      </c>
      <c r="E359" s="9" t="inlineStr">
        <is>
          <t>Usage</t>
        </is>
      </c>
      <c r="F359" s="9" t="inlineStr">
        <is>
          <t>Actual</t>
        </is>
      </c>
      <c r="G359" s="9" t="inlineStr">
        <is>
          <t>Adjustment</t>
        </is>
      </c>
      <c r="H359" s="9" t="inlineStr">
        <is>
          <t>Balance</t>
        </is>
      </c>
      <c r="I359" s="9" t="inlineStr">
        <is>
          <t>Remarks</t>
        </is>
      </c>
      <c r="L359" s="9" t="inlineStr">
        <is>
          <t>Date</t>
        </is>
      </c>
      <c r="M359" s="9" t="inlineStr">
        <is>
          <t>Intake</t>
        </is>
      </c>
      <c r="N359" s="9" t="inlineStr">
        <is>
          <t>Usage</t>
        </is>
      </c>
      <c r="O359" s="9" t="inlineStr">
        <is>
          <t>Actual</t>
        </is>
      </c>
      <c r="P359" s="9" t="inlineStr">
        <is>
          <t>Adjustment</t>
        </is>
      </c>
      <c r="Q359" s="9" t="inlineStr">
        <is>
          <t>Balance</t>
        </is>
      </c>
      <c r="R359" s="9" t="inlineStr">
        <is>
          <t>Remarks</t>
        </is>
      </c>
      <c r="U359" s="9" t="inlineStr">
        <is>
          <t>Date</t>
        </is>
      </c>
      <c r="V359" s="9" t="inlineStr">
        <is>
          <t>Intake</t>
        </is>
      </c>
      <c r="W359" s="9" t="inlineStr">
        <is>
          <t>Usage</t>
        </is>
      </c>
      <c r="X359" s="9" t="inlineStr">
        <is>
          <t>Actual</t>
        </is>
      </c>
      <c r="Y359" s="9" t="inlineStr">
        <is>
          <t>Adjustment</t>
        </is>
      </c>
      <c r="Z359" s="9" t="inlineStr">
        <is>
          <t>Balance</t>
        </is>
      </c>
      <c r="AA359" s="9" t="inlineStr">
        <is>
          <t>Remarks</t>
        </is>
      </c>
      <c r="AD359" s="9" t="inlineStr">
        <is>
          <t>Date</t>
        </is>
      </c>
      <c r="AE359" s="9" t="inlineStr">
        <is>
          <t>Intake</t>
        </is>
      </c>
      <c r="AF359" s="9" t="inlineStr">
        <is>
          <t>Usage</t>
        </is>
      </c>
      <c r="AG359" s="9" t="inlineStr">
        <is>
          <t>Actual</t>
        </is>
      </c>
      <c r="AH359" s="9" t="inlineStr">
        <is>
          <t>Adjustment</t>
        </is>
      </c>
      <c r="AI359" s="9" t="inlineStr">
        <is>
          <t>Balance</t>
        </is>
      </c>
      <c r="AJ359" s="9" t="inlineStr">
        <is>
          <t>Remarks</t>
        </is>
      </c>
      <c r="AM359" s="9" t="inlineStr">
        <is>
          <t>Date</t>
        </is>
      </c>
      <c r="AN359" s="9" t="inlineStr">
        <is>
          <t>Intake</t>
        </is>
      </c>
      <c r="AO359" s="9" t="inlineStr">
        <is>
          <t>Usage</t>
        </is>
      </c>
      <c r="AP359" s="9" t="inlineStr">
        <is>
          <t>Actual</t>
        </is>
      </c>
      <c r="AQ359" s="9" t="inlineStr">
        <is>
          <t>Adjustment</t>
        </is>
      </c>
      <c r="AR359" s="9" t="inlineStr">
        <is>
          <t>Balance</t>
        </is>
      </c>
      <c r="AS359" s="9" t="inlineStr">
        <is>
          <t>Remarks</t>
        </is>
      </c>
      <c r="AV359" s="9" t="inlineStr">
        <is>
          <t>Date</t>
        </is>
      </c>
      <c r="AW359" s="9" t="inlineStr">
        <is>
          <t>Intake</t>
        </is>
      </c>
      <c r="AX359" s="9" t="inlineStr">
        <is>
          <t>Usage</t>
        </is>
      </c>
      <c r="AY359" s="9" t="inlineStr">
        <is>
          <t>Actual</t>
        </is>
      </c>
      <c r="AZ359" s="9" t="inlineStr">
        <is>
          <t>Adjustment</t>
        </is>
      </c>
      <c r="BA359" s="9" t="inlineStr">
        <is>
          <t>Balance</t>
        </is>
      </c>
      <c r="BB359" s="9" t="inlineStr">
        <is>
          <t>Remarks</t>
        </is>
      </c>
      <c r="BE359" s="9" t="inlineStr">
        <is>
          <t>Date</t>
        </is>
      </c>
      <c r="BF359" s="9" t="inlineStr">
        <is>
          <t>Intake</t>
        </is>
      </c>
      <c r="BG359" s="9" t="inlineStr">
        <is>
          <t>Usage</t>
        </is>
      </c>
      <c r="BH359" s="9" t="inlineStr">
        <is>
          <t>Actual</t>
        </is>
      </c>
      <c r="BI359" s="9" t="inlineStr">
        <is>
          <t>Adjustment</t>
        </is>
      </c>
      <c r="BJ359" s="9" t="inlineStr">
        <is>
          <t>Balance</t>
        </is>
      </c>
      <c r="BK359" s="9" t="inlineStr">
        <is>
          <t>Remarks</t>
        </is>
      </c>
      <c r="BN359" s="9" t="inlineStr">
        <is>
          <t>Date</t>
        </is>
      </c>
      <c r="BO359" s="9" t="inlineStr">
        <is>
          <t>Intake</t>
        </is>
      </c>
      <c r="BP359" s="9" t="inlineStr">
        <is>
          <t>Usage</t>
        </is>
      </c>
      <c r="BQ359" s="9" t="inlineStr">
        <is>
          <t>Actual</t>
        </is>
      </c>
      <c r="BR359" s="9" t="inlineStr">
        <is>
          <t>Adjustment</t>
        </is>
      </c>
      <c r="BS359" s="9" t="inlineStr">
        <is>
          <t>Balance</t>
        </is>
      </c>
      <c r="BT359" s="9" t="inlineStr">
        <is>
          <t>Remarks</t>
        </is>
      </c>
      <c r="BW359" s="9" t="inlineStr">
        <is>
          <t>Date</t>
        </is>
      </c>
      <c r="BX359" s="9" t="inlineStr">
        <is>
          <t>Intake</t>
        </is>
      </c>
      <c r="BY359" s="9" t="inlineStr">
        <is>
          <t>Usage</t>
        </is>
      </c>
      <c r="BZ359" s="9" t="inlineStr">
        <is>
          <t>Actual</t>
        </is>
      </c>
      <c r="CA359" s="9" t="inlineStr">
        <is>
          <t>Adjustment</t>
        </is>
      </c>
      <c r="CB359" s="9" t="inlineStr">
        <is>
          <t>Balance</t>
        </is>
      </c>
      <c r="CC359" s="9" t="inlineStr">
        <is>
          <t>Remarks</t>
        </is>
      </c>
      <c r="CF359" s="9" t="inlineStr">
        <is>
          <t>Date</t>
        </is>
      </c>
      <c r="CG359" s="9" t="inlineStr">
        <is>
          <t>Intake</t>
        </is>
      </c>
      <c r="CH359" s="9" t="inlineStr">
        <is>
          <t>Usage</t>
        </is>
      </c>
      <c r="CI359" s="9" t="inlineStr">
        <is>
          <t>Actual</t>
        </is>
      </c>
      <c r="CJ359" s="9" t="inlineStr">
        <is>
          <t>Adjustment</t>
        </is>
      </c>
      <c r="CK359" s="9" t="inlineStr">
        <is>
          <t>Balance</t>
        </is>
      </c>
      <c r="CL359" s="9" t="inlineStr">
        <is>
          <t>Remarks</t>
        </is>
      </c>
      <c r="CO359" s="9" t="inlineStr">
        <is>
          <t>Date</t>
        </is>
      </c>
      <c r="CP359" s="9" t="inlineStr">
        <is>
          <t>Intake</t>
        </is>
      </c>
      <c r="CQ359" s="9" t="inlineStr">
        <is>
          <t>Usage</t>
        </is>
      </c>
      <c r="CR359" s="9" t="inlineStr">
        <is>
          <t>Actual</t>
        </is>
      </c>
      <c r="CS359" s="9" t="inlineStr">
        <is>
          <t>Adjustment</t>
        </is>
      </c>
      <c r="CT359" s="9" t="inlineStr">
        <is>
          <t>Balance</t>
        </is>
      </c>
      <c r="CU359" s="9" t="inlineStr">
        <is>
          <t>Remarks</t>
        </is>
      </c>
      <c r="CX359" s="9" t="inlineStr">
        <is>
          <t>Date</t>
        </is>
      </c>
      <c r="CY359" s="9" t="inlineStr">
        <is>
          <t>Intake</t>
        </is>
      </c>
      <c r="CZ359" s="9" t="inlineStr">
        <is>
          <t>Usage</t>
        </is>
      </c>
      <c r="DA359" s="9" t="inlineStr">
        <is>
          <t>Actual</t>
        </is>
      </c>
      <c r="DB359" s="9" t="inlineStr">
        <is>
          <t>Adjustment</t>
        </is>
      </c>
      <c r="DC359" s="9" t="inlineStr">
        <is>
          <t>Balance</t>
        </is>
      </c>
      <c r="DD359" s="9" t="inlineStr">
        <is>
          <t>Remarks</t>
        </is>
      </c>
      <c r="DG359" s="9" t="inlineStr">
        <is>
          <t>Date</t>
        </is>
      </c>
      <c r="DH359" s="9" t="inlineStr">
        <is>
          <t>Intake</t>
        </is>
      </c>
      <c r="DI359" s="9" t="inlineStr">
        <is>
          <t>Usage</t>
        </is>
      </c>
      <c r="DJ359" s="9" t="inlineStr">
        <is>
          <t>Actual</t>
        </is>
      </c>
      <c r="DK359" s="9" t="inlineStr">
        <is>
          <t>Adjustment</t>
        </is>
      </c>
      <c r="DL359" s="9" t="inlineStr">
        <is>
          <t>Balance</t>
        </is>
      </c>
      <c r="DM359" s="9" t="inlineStr">
        <is>
          <t>Remarks</t>
        </is>
      </c>
      <c r="DP359" s="9" t="inlineStr">
        <is>
          <t>Date</t>
        </is>
      </c>
      <c r="DQ359" s="9" t="inlineStr">
        <is>
          <t>Intake</t>
        </is>
      </c>
      <c r="DR359" s="9" t="inlineStr">
        <is>
          <t>Usage</t>
        </is>
      </c>
      <c r="DS359" s="9" t="inlineStr">
        <is>
          <t>Actual</t>
        </is>
      </c>
      <c r="DT359" s="9" t="inlineStr">
        <is>
          <t>Adjustment</t>
        </is>
      </c>
      <c r="DU359" s="9" t="inlineStr">
        <is>
          <t>Balance</t>
        </is>
      </c>
      <c r="DV359" s="9" t="inlineStr">
        <is>
          <t>Remarks</t>
        </is>
      </c>
      <c r="DY359" s="9" t="inlineStr">
        <is>
          <t>Date</t>
        </is>
      </c>
      <c r="DZ359" s="9" t="inlineStr">
        <is>
          <t>Intake</t>
        </is>
      </c>
      <c r="EA359" s="9" t="inlineStr">
        <is>
          <t>Usage</t>
        </is>
      </c>
      <c r="EB359" s="9" t="inlineStr">
        <is>
          <t>Actual</t>
        </is>
      </c>
      <c r="EC359" s="9" t="inlineStr">
        <is>
          <t>Adjustment</t>
        </is>
      </c>
      <c r="ED359" s="9" t="inlineStr">
        <is>
          <t>Balance</t>
        </is>
      </c>
      <c r="EE359" s="9" t="inlineStr">
        <is>
          <t>Remarks</t>
        </is>
      </c>
      <c r="EH359" s="9" t="inlineStr">
        <is>
          <t>Date</t>
        </is>
      </c>
      <c r="EI359" s="9" t="inlineStr">
        <is>
          <t>Intake</t>
        </is>
      </c>
      <c r="EJ359" s="9" t="inlineStr">
        <is>
          <t>Usage</t>
        </is>
      </c>
      <c r="EK359" s="9" t="inlineStr">
        <is>
          <t>Actual</t>
        </is>
      </c>
      <c r="EL359" s="9" t="inlineStr">
        <is>
          <t>Adjustment</t>
        </is>
      </c>
      <c r="EM359" s="9" t="inlineStr">
        <is>
          <t>Balance</t>
        </is>
      </c>
      <c r="EN359" s="9" t="inlineStr">
        <is>
          <t>Remarks</t>
        </is>
      </c>
      <c r="EQ359" s="9" t="inlineStr">
        <is>
          <t>Date</t>
        </is>
      </c>
      <c r="ER359" s="9" t="inlineStr">
        <is>
          <t>Intake</t>
        </is>
      </c>
      <c r="ES359" s="9" t="inlineStr">
        <is>
          <t>Usage</t>
        </is>
      </c>
      <c r="ET359" s="9" t="inlineStr">
        <is>
          <t>Actual</t>
        </is>
      </c>
      <c r="EU359" s="9" t="inlineStr">
        <is>
          <t>Adjustment</t>
        </is>
      </c>
      <c r="EV359" s="9" t="inlineStr">
        <is>
          <t>Balance</t>
        </is>
      </c>
      <c r="EW359" s="9" t="inlineStr">
        <is>
          <t>Remarks</t>
        </is>
      </c>
      <c r="EZ359" s="9" t="inlineStr">
        <is>
          <t>Date</t>
        </is>
      </c>
      <c r="FA359" s="9" t="inlineStr">
        <is>
          <t>Intake</t>
        </is>
      </c>
      <c r="FB359" s="9" t="inlineStr">
        <is>
          <t>Usage</t>
        </is>
      </c>
      <c r="FC359" s="9" t="inlineStr">
        <is>
          <t>Actual</t>
        </is>
      </c>
      <c r="FD359" s="9" t="inlineStr">
        <is>
          <t>Adjustment</t>
        </is>
      </c>
      <c r="FE359" s="9" t="inlineStr">
        <is>
          <t>Balance</t>
        </is>
      </c>
      <c r="FF359" s="9" t="inlineStr">
        <is>
          <t>Remarks</t>
        </is>
      </c>
      <c r="FI359" s="9" t="inlineStr">
        <is>
          <t>Date</t>
        </is>
      </c>
      <c r="FJ359" s="9" t="inlineStr">
        <is>
          <t>Intake</t>
        </is>
      </c>
      <c r="FK359" s="9" t="inlineStr">
        <is>
          <t>Usage</t>
        </is>
      </c>
      <c r="FL359" s="9" t="inlineStr">
        <is>
          <t>Actual</t>
        </is>
      </c>
      <c r="FM359" s="9" t="inlineStr">
        <is>
          <t>Adjustment</t>
        </is>
      </c>
      <c r="FN359" s="9" t="inlineStr">
        <is>
          <t>Balance</t>
        </is>
      </c>
      <c r="FO359" s="9" t="inlineStr">
        <is>
          <t>Remarks</t>
        </is>
      </c>
      <c r="FR359" s="9" t="inlineStr">
        <is>
          <t>Date</t>
        </is>
      </c>
      <c r="FS359" s="9" t="inlineStr">
        <is>
          <t>Intake</t>
        </is>
      </c>
      <c r="FT359" s="9" t="inlineStr">
        <is>
          <t>Usage</t>
        </is>
      </c>
      <c r="FU359" s="9" t="inlineStr">
        <is>
          <t>Actual</t>
        </is>
      </c>
      <c r="FV359" s="9" t="inlineStr">
        <is>
          <t>Adjustment</t>
        </is>
      </c>
      <c r="FW359" s="9" t="inlineStr">
        <is>
          <t>Balance</t>
        </is>
      </c>
      <c r="FX359" s="9" t="inlineStr">
        <is>
          <t>Remarks</t>
        </is>
      </c>
      <c r="GA359" s="9" t="inlineStr">
        <is>
          <t>Date</t>
        </is>
      </c>
      <c r="GB359" s="9" t="inlineStr">
        <is>
          <t>Intake</t>
        </is>
      </c>
      <c r="GC359" s="9" t="inlineStr">
        <is>
          <t>Usage</t>
        </is>
      </c>
      <c r="GD359" s="9" t="inlineStr">
        <is>
          <t>Actual</t>
        </is>
      </c>
      <c r="GE359" s="9" t="inlineStr">
        <is>
          <t>Adjustment</t>
        </is>
      </c>
      <c r="GF359" s="9" t="inlineStr">
        <is>
          <t>Balance</t>
        </is>
      </c>
      <c r="GG359" s="9" t="inlineStr">
        <is>
          <t>Remarks</t>
        </is>
      </c>
      <c r="GJ359" s="9" t="inlineStr">
        <is>
          <t>Date</t>
        </is>
      </c>
      <c r="GK359" s="9" t="inlineStr">
        <is>
          <t>Intake</t>
        </is>
      </c>
      <c r="GL359" s="9" t="inlineStr">
        <is>
          <t>Usage</t>
        </is>
      </c>
      <c r="GM359" s="9" t="inlineStr">
        <is>
          <t>Actual</t>
        </is>
      </c>
      <c r="GN359" s="9" t="inlineStr">
        <is>
          <t>Adjustment</t>
        </is>
      </c>
      <c r="GO359" s="9" t="inlineStr">
        <is>
          <t>Balance</t>
        </is>
      </c>
      <c r="GP359" s="9" t="inlineStr">
        <is>
          <t>Remarks</t>
        </is>
      </c>
      <c r="GS359" s="9" t="inlineStr">
        <is>
          <t>Date</t>
        </is>
      </c>
      <c r="GT359" s="9" t="inlineStr">
        <is>
          <t>Intake</t>
        </is>
      </c>
      <c r="GU359" s="9" t="inlineStr">
        <is>
          <t>Usage</t>
        </is>
      </c>
      <c r="GV359" s="9" t="inlineStr">
        <is>
          <t>Actual</t>
        </is>
      </c>
      <c r="GW359" s="9" t="inlineStr">
        <is>
          <t>Adjustment</t>
        </is>
      </c>
      <c r="GX359" s="9" t="inlineStr">
        <is>
          <t>Balance</t>
        </is>
      </c>
      <c r="GY359" s="9" t="inlineStr">
        <is>
          <t>Remarks</t>
        </is>
      </c>
      <c r="HB359" s="9" t="inlineStr">
        <is>
          <t>Date</t>
        </is>
      </c>
      <c r="HC359" s="9" t="inlineStr">
        <is>
          <t>Intake</t>
        </is>
      </c>
      <c r="HD359" s="9" t="inlineStr">
        <is>
          <t>Usage</t>
        </is>
      </c>
      <c r="HE359" s="9" t="inlineStr">
        <is>
          <t>Actual</t>
        </is>
      </c>
      <c r="HF359" s="9" t="inlineStr">
        <is>
          <t>Adjustment</t>
        </is>
      </c>
      <c r="HG359" s="9" t="inlineStr">
        <is>
          <t>Balance</t>
        </is>
      </c>
      <c r="HH359" s="9" t="inlineStr">
        <is>
          <t>Remarks</t>
        </is>
      </c>
      <c r="HK359" s="9" t="inlineStr">
        <is>
          <t>Date</t>
        </is>
      </c>
      <c r="HL359" s="9" t="inlineStr">
        <is>
          <t>Intake</t>
        </is>
      </c>
      <c r="HM359" s="9" t="inlineStr">
        <is>
          <t>Usage</t>
        </is>
      </c>
      <c r="HN359" s="9" t="inlineStr">
        <is>
          <t>Actual</t>
        </is>
      </c>
      <c r="HO359" s="9" t="inlineStr">
        <is>
          <t>Adjustment</t>
        </is>
      </c>
      <c r="HP359" s="9" t="inlineStr">
        <is>
          <t>Balance</t>
        </is>
      </c>
      <c r="HQ359" s="9" t="inlineStr">
        <is>
          <t>Remarks</t>
        </is>
      </c>
      <c r="HU359" s="9" t="inlineStr">
        <is>
          <t>Date</t>
        </is>
      </c>
      <c r="HV359" s="9" t="inlineStr">
        <is>
          <t>Intake</t>
        </is>
      </c>
      <c r="HW359" s="9" t="inlineStr">
        <is>
          <t>Usage</t>
        </is>
      </c>
      <c r="HX359" s="9" t="inlineStr">
        <is>
          <t>Actual</t>
        </is>
      </c>
      <c r="HY359" s="9" t="inlineStr">
        <is>
          <t>Adjustment</t>
        </is>
      </c>
      <c r="HZ359" s="9" t="inlineStr">
        <is>
          <t>Balance</t>
        </is>
      </c>
      <c r="IA359" s="9" t="inlineStr">
        <is>
          <t>Remarks</t>
        </is>
      </c>
      <c r="ID359" s="9" t="inlineStr">
        <is>
          <t>Date</t>
        </is>
      </c>
      <c r="IE359" s="9" t="inlineStr">
        <is>
          <t>Intake</t>
        </is>
      </c>
      <c r="IF359" s="9" t="inlineStr">
        <is>
          <t>Usage</t>
        </is>
      </c>
      <c r="IG359" s="9" t="inlineStr">
        <is>
          <t>Actual</t>
        </is>
      </c>
      <c r="IH359" s="9" t="inlineStr">
        <is>
          <t>Adjustment</t>
        </is>
      </c>
      <c r="II359" s="9" t="inlineStr">
        <is>
          <t>Balance</t>
        </is>
      </c>
      <c r="IJ359" s="9" t="inlineStr">
        <is>
          <t>Remarks</t>
        </is>
      </c>
      <c r="IM359" s="9" t="inlineStr">
        <is>
          <t>Date</t>
        </is>
      </c>
      <c r="IN359" s="9" t="inlineStr">
        <is>
          <t>Intake</t>
        </is>
      </c>
      <c r="IO359" s="9" t="inlineStr">
        <is>
          <t>Usage</t>
        </is>
      </c>
      <c r="IP359" s="9" t="inlineStr">
        <is>
          <t>Actual</t>
        </is>
      </c>
      <c r="IQ359" s="9" t="inlineStr">
        <is>
          <t>Adjustment</t>
        </is>
      </c>
      <c r="IR359" s="9" t="inlineStr">
        <is>
          <t>Balance</t>
        </is>
      </c>
      <c r="IS359" s="9" t="inlineStr">
        <is>
          <t>Remarks</t>
        </is>
      </c>
      <c r="IV359" s="9" t="inlineStr">
        <is>
          <t>Date</t>
        </is>
      </c>
      <c r="IW359" s="9" t="inlineStr">
        <is>
          <t>Intake</t>
        </is>
      </c>
      <c r="IX359" s="9" t="inlineStr">
        <is>
          <t>Usage</t>
        </is>
      </c>
      <c r="IY359" s="9" t="inlineStr">
        <is>
          <t>Actual</t>
        </is>
      </c>
      <c r="IZ359" s="9" t="inlineStr">
        <is>
          <t>Adjustment</t>
        </is>
      </c>
      <c r="JA359" s="9" t="inlineStr">
        <is>
          <t>Balance</t>
        </is>
      </c>
      <c r="JB359" s="9" t="inlineStr">
        <is>
          <t>Remarks</t>
        </is>
      </c>
      <c r="JE359" s="9" t="inlineStr">
        <is>
          <t>Date</t>
        </is>
      </c>
      <c r="JF359" s="9" t="inlineStr">
        <is>
          <t>Intake</t>
        </is>
      </c>
      <c r="JG359" s="9" t="inlineStr">
        <is>
          <t>Usage</t>
        </is>
      </c>
      <c r="JH359" s="9" t="inlineStr">
        <is>
          <t>Actual</t>
        </is>
      </c>
      <c r="JI359" s="9" t="inlineStr">
        <is>
          <t>Adjustment</t>
        </is>
      </c>
      <c r="JJ359" s="9" t="inlineStr">
        <is>
          <t>Balance</t>
        </is>
      </c>
      <c r="JK359" s="9" t="inlineStr">
        <is>
          <t>Remarks</t>
        </is>
      </c>
      <c r="JN359" s="9" t="inlineStr">
        <is>
          <t>Date</t>
        </is>
      </c>
      <c r="JO359" s="9" t="inlineStr">
        <is>
          <t>Intake</t>
        </is>
      </c>
      <c r="JP359" s="9" t="inlineStr">
        <is>
          <t>Usage</t>
        </is>
      </c>
      <c r="JQ359" s="9" t="inlineStr">
        <is>
          <t>Actual</t>
        </is>
      </c>
      <c r="JR359" s="9" t="inlineStr">
        <is>
          <t>Adjustment</t>
        </is>
      </c>
      <c r="JS359" s="9" t="inlineStr">
        <is>
          <t>Balance</t>
        </is>
      </c>
      <c r="JT359" s="9" t="inlineStr">
        <is>
          <t>Remarks</t>
        </is>
      </c>
      <c r="JW359" s="9" t="inlineStr">
        <is>
          <t>Date</t>
        </is>
      </c>
      <c r="JX359" s="9" t="inlineStr">
        <is>
          <t>Intake</t>
        </is>
      </c>
      <c r="JY359" s="9" t="inlineStr">
        <is>
          <t>Usage</t>
        </is>
      </c>
      <c r="JZ359" s="9" t="inlineStr">
        <is>
          <t>Actual</t>
        </is>
      </c>
      <c r="KA359" s="9" t="inlineStr">
        <is>
          <t>Adjustment</t>
        </is>
      </c>
      <c r="KB359" s="9" t="inlineStr">
        <is>
          <t>Balance</t>
        </is>
      </c>
      <c r="KC359" s="9" t="inlineStr">
        <is>
          <t>Remarks</t>
        </is>
      </c>
      <c r="KF359" s="9" t="inlineStr">
        <is>
          <t>Date</t>
        </is>
      </c>
      <c r="KG359" s="9" t="inlineStr">
        <is>
          <t>Intake</t>
        </is>
      </c>
      <c r="KH359" s="9" t="inlineStr">
        <is>
          <t>Usage</t>
        </is>
      </c>
      <c r="KI359" s="9" t="inlineStr">
        <is>
          <t>Actual</t>
        </is>
      </c>
      <c r="KJ359" s="9" t="inlineStr">
        <is>
          <t>Adjustment</t>
        </is>
      </c>
      <c r="KK359" s="9" t="inlineStr">
        <is>
          <t>Balance</t>
        </is>
      </c>
      <c r="KL359" s="9" t="inlineStr">
        <is>
          <t>Remarks</t>
        </is>
      </c>
      <c r="KO359" s="9" t="inlineStr">
        <is>
          <t>Date</t>
        </is>
      </c>
      <c r="KP359" s="9" t="inlineStr">
        <is>
          <t>Intake</t>
        </is>
      </c>
      <c r="KQ359" s="9" t="inlineStr">
        <is>
          <t>Usage</t>
        </is>
      </c>
      <c r="KR359" s="9" t="inlineStr">
        <is>
          <t>Actual</t>
        </is>
      </c>
      <c r="KS359" s="9" t="inlineStr">
        <is>
          <t>Adjustment</t>
        </is>
      </c>
      <c r="KT359" s="9" t="inlineStr">
        <is>
          <t>Balance</t>
        </is>
      </c>
      <c r="KU359" s="9" t="inlineStr">
        <is>
          <t>Remarks</t>
        </is>
      </c>
      <c r="KX359" s="9" t="inlineStr">
        <is>
          <t>Date</t>
        </is>
      </c>
      <c r="KY359" s="9" t="inlineStr">
        <is>
          <t>Intake</t>
        </is>
      </c>
      <c r="KZ359" s="9" t="inlineStr">
        <is>
          <t>Usage</t>
        </is>
      </c>
      <c r="LA359" s="9" t="inlineStr">
        <is>
          <t>Actual</t>
        </is>
      </c>
      <c r="LB359" s="9" t="inlineStr">
        <is>
          <t>Adjustment</t>
        </is>
      </c>
      <c r="LC359" s="9" t="inlineStr">
        <is>
          <t>Balance</t>
        </is>
      </c>
      <c r="LD359" s="9" t="inlineStr">
        <is>
          <t>Remarks</t>
        </is>
      </c>
      <c r="LG359" s="9" t="inlineStr">
        <is>
          <t>Date</t>
        </is>
      </c>
      <c r="LH359" s="9" t="inlineStr">
        <is>
          <t>Intake</t>
        </is>
      </c>
      <c r="LI359" s="9" t="inlineStr">
        <is>
          <t>Usage</t>
        </is>
      </c>
      <c r="LJ359" s="9" t="inlineStr">
        <is>
          <t>Actual</t>
        </is>
      </c>
      <c r="LK359" s="9" t="inlineStr">
        <is>
          <t>Adjustment</t>
        </is>
      </c>
      <c r="LL359" s="9" t="inlineStr">
        <is>
          <t>Balance</t>
        </is>
      </c>
      <c r="LM359" s="9" t="inlineStr">
        <is>
          <t>Remarks</t>
        </is>
      </c>
      <c r="LP359" s="9" t="inlineStr">
        <is>
          <t>Date</t>
        </is>
      </c>
      <c r="LQ359" s="9" t="inlineStr">
        <is>
          <t>Intake</t>
        </is>
      </c>
      <c r="LR359" s="9" t="inlineStr">
        <is>
          <t>Usage</t>
        </is>
      </c>
      <c r="LS359" s="9" t="inlineStr">
        <is>
          <t>Actual</t>
        </is>
      </c>
      <c r="LT359" s="9" t="inlineStr">
        <is>
          <t>Adjustment</t>
        </is>
      </c>
      <c r="LU359" s="9" t="inlineStr">
        <is>
          <t>Balance</t>
        </is>
      </c>
      <c r="LV359" s="9" t="inlineStr">
        <is>
          <t>Remarks</t>
        </is>
      </c>
      <c r="LY359" s="9" t="inlineStr">
        <is>
          <t>Date</t>
        </is>
      </c>
      <c r="LZ359" s="9" t="inlineStr">
        <is>
          <t>Intake</t>
        </is>
      </c>
      <c r="MA359" s="9" t="inlineStr">
        <is>
          <t>Usage</t>
        </is>
      </c>
      <c r="MB359" s="9" t="inlineStr">
        <is>
          <t>Actual</t>
        </is>
      </c>
      <c r="MC359" s="9" t="inlineStr">
        <is>
          <t>Adjustment</t>
        </is>
      </c>
      <c r="MD359" s="9" t="inlineStr">
        <is>
          <t>Balance</t>
        </is>
      </c>
      <c r="ME359" s="9" t="inlineStr">
        <is>
          <t>Remarks</t>
        </is>
      </c>
      <c r="MH359" s="9" t="inlineStr">
        <is>
          <t>Date</t>
        </is>
      </c>
      <c r="MI359" s="9" t="inlineStr">
        <is>
          <t>Intake</t>
        </is>
      </c>
      <c r="MJ359" s="9" t="inlineStr">
        <is>
          <t>Usage</t>
        </is>
      </c>
      <c r="MK359" s="9" t="inlineStr">
        <is>
          <t>Actual</t>
        </is>
      </c>
      <c r="ML359" s="9" t="inlineStr">
        <is>
          <t>Adjustment</t>
        </is>
      </c>
      <c r="MM359" s="9" t="inlineStr">
        <is>
          <t>Balance</t>
        </is>
      </c>
      <c r="MN359" s="9" t="inlineStr">
        <is>
          <t>Remarks</t>
        </is>
      </c>
      <c r="MQ359" s="9" t="inlineStr">
        <is>
          <t>Date</t>
        </is>
      </c>
      <c r="MR359" s="9" t="inlineStr">
        <is>
          <t>Intake</t>
        </is>
      </c>
      <c r="MS359" s="9" t="inlineStr">
        <is>
          <t>Usage</t>
        </is>
      </c>
      <c r="MT359" s="9" t="inlineStr">
        <is>
          <t>Actual</t>
        </is>
      </c>
      <c r="MU359" s="9" t="inlineStr">
        <is>
          <t>Adjustment</t>
        </is>
      </c>
      <c r="MV359" s="9" t="inlineStr">
        <is>
          <t>Balance</t>
        </is>
      </c>
      <c r="MW359" s="9" t="inlineStr">
        <is>
          <t>Remarks</t>
        </is>
      </c>
      <c r="MZ359" s="9" t="inlineStr">
        <is>
          <t>Date</t>
        </is>
      </c>
      <c r="NA359" s="9" t="inlineStr">
        <is>
          <t>Intake</t>
        </is>
      </c>
      <c r="NB359" s="9" t="inlineStr">
        <is>
          <t>Usage</t>
        </is>
      </c>
      <c r="NC359" s="9" t="inlineStr">
        <is>
          <t>Actual</t>
        </is>
      </c>
      <c r="ND359" s="9" t="inlineStr">
        <is>
          <t>Adjustment</t>
        </is>
      </c>
      <c r="NE359" s="9" t="inlineStr">
        <is>
          <t>Balance</t>
        </is>
      </c>
      <c r="NF359" s="9" t="inlineStr">
        <is>
          <t>Remarks</t>
        </is>
      </c>
      <c r="NI359" s="9" t="inlineStr">
        <is>
          <t>Date</t>
        </is>
      </c>
      <c r="NJ359" s="9" t="inlineStr">
        <is>
          <t>Intake</t>
        </is>
      </c>
      <c r="NK359" s="9" t="inlineStr">
        <is>
          <t>Usage</t>
        </is>
      </c>
      <c r="NL359" s="9" t="inlineStr">
        <is>
          <t>Actual</t>
        </is>
      </c>
      <c r="NM359" s="9" t="inlineStr">
        <is>
          <t>Adjustment</t>
        </is>
      </c>
      <c r="NN359" s="9" t="inlineStr">
        <is>
          <t>Balance</t>
        </is>
      </c>
      <c r="NO359" s="9" t="inlineStr">
        <is>
          <t>Remarks</t>
        </is>
      </c>
      <c r="NR359" s="9" t="inlineStr">
        <is>
          <t>Date</t>
        </is>
      </c>
      <c r="NS359" s="9" t="inlineStr">
        <is>
          <t>Intake</t>
        </is>
      </c>
      <c r="NT359" s="9" t="inlineStr">
        <is>
          <t>Usage</t>
        </is>
      </c>
      <c r="NU359" s="9" t="inlineStr">
        <is>
          <t>Actual</t>
        </is>
      </c>
      <c r="NV359" s="9" t="inlineStr">
        <is>
          <t>Adjustment</t>
        </is>
      </c>
      <c r="NW359" s="9" t="inlineStr">
        <is>
          <t>Balance</t>
        </is>
      </c>
      <c r="NX359" s="9" t="inlineStr">
        <is>
          <t>Remarks</t>
        </is>
      </c>
      <c r="OA359" s="9" t="inlineStr">
        <is>
          <t>Date</t>
        </is>
      </c>
      <c r="OB359" s="9" t="inlineStr">
        <is>
          <t>Intake</t>
        </is>
      </c>
      <c r="OC359" s="9" t="inlineStr">
        <is>
          <t>Usage</t>
        </is>
      </c>
      <c r="OD359" s="9" t="inlineStr">
        <is>
          <t>Actual</t>
        </is>
      </c>
      <c r="OE359" s="9" t="inlineStr">
        <is>
          <t>Adjustment</t>
        </is>
      </c>
      <c r="OF359" s="9" t="inlineStr">
        <is>
          <t>Balance</t>
        </is>
      </c>
      <c r="OG359" s="9" t="inlineStr">
        <is>
          <t>Remarks</t>
        </is>
      </c>
      <c r="OJ359" s="9" t="inlineStr">
        <is>
          <t>Date</t>
        </is>
      </c>
      <c r="OK359" s="9" t="inlineStr">
        <is>
          <t>Intake</t>
        </is>
      </c>
      <c r="OL359" s="9" t="inlineStr">
        <is>
          <t>Usage</t>
        </is>
      </c>
      <c r="OM359" s="9" t="inlineStr">
        <is>
          <t>Actual</t>
        </is>
      </c>
      <c r="ON359" s="9" t="inlineStr">
        <is>
          <t>Adjustment</t>
        </is>
      </c>
      <c r="OO359" s="9" t="inlineStr">
        <is>
          <t>Balance</t>
        </is>
      </c>
      <c r="OP359" s="9" t="inlineStr">
        <is>
          <t>Remarks</t>
        </is>
      </c>
      <c r="OS359" s="9" t="inlineStr">
        <is>
          <t>Date</t>
        </is>
      </c>
      <c r="OT359" s="9" t="inlineStr">
        <is>
          <t>Intake</t>
        </is>
      </c>
      <c r="OU359" s="9" t="inlineStr">
        <is>
          <t>Usage</t>
        </is>
      </c>
      <c r="OV359" s="9" t="inlineStr">
        <is>
          <t>Actual</t>
        </is>
      </c>
      <c r="OW359" s="9" t="inlineStr">
        <is>
          <t>Adjustment</t>
        </is>
      </c>
      <c r="OX359" s="9" t="inlineStr">
        <is>
          <t>Balance</t>
        </is>
      </c>
      <c r="OY359" s="9" t="inlineStr">
        <is>
          <t>Remarks</t>
        </is>
      </c>
      <c r="PB359" s="9" t="inlineStr">
        <is>
          <t>Date</t>
        </is>
      </c>
      <c r="PC359" s="9" t="inlineStr">
        <is>
          <t>Intake</t>
        </is>
      </c>
      <c r="PD359" s="9" t="inlineStr">
        <is>
          <t>Usage</t>
        </is>
      </c>
      <c r="PE359" s="9" t="inlineStr">
        <is>
          <t>Actual</t>
        </is>
      </c>
      <c r="PF359" s="9" t="inlineStr">
        <is>
          <t>Adjustment</t>
        </is>
      </c>
      <c r="PG359" s="9" t="inlineStr">
        <is>
          <t>Balance</t>
        </is>
      </c>
      <c r="PH359" s="9" t="inlineStr">
        <is>
          <t>Remarks</t>
        </is>
      </c>
      <c r="PK359" s="9" t="inlineStr">
        <is>
          <t>Date</t>
        </is>
      </c>
      <c r="PL359" s="9" t="inlineStr">
        <is>
          <t>Intake</t>
        </is>
      </c>
      <c r="PM359" s="9" t="inlineStr">
        <is>
          <t>Usage</t>
        </is>
      </c>
      <c r="PN359" s="9" t="inlineStr">
        <is>
          <t>Actual</t>
        </is>
      </c>
      <c r="PO359" s="9" t="inlineStr">
        <is>
          <t>Adjustment</t>
        </is>
      </c>
      <c r="PP359" s="9" t="inlineStr">
        <is>
          <t>Balance</t>
        </is>
      </c>
      <c r="PQ359" s="9" t="inlineStr">
        <is>
          <t>Remarks</t>
        </is>
      </c>
      <c r="PT359" s="9" t="inlineStr">
        <is>
          <t>Date</t>
        </is>
      </c>
      <c r="PU359" s="9" t="inlineStr">
        <is>
          <t>Intake</t>
        </is>
      </c>
      <c r="PV359" s="9" t="inlineStr">
        <is>
          <t>Usage</t>
        </is>
      </c>
      <c r="PW359" s="9" t="inlineStr">
        <is>
          <t>Actual</t>
        </is>
      </c>
      <c r="PX359" s="9" t="inlineStr">
        <is>
          <t>Adjustment</t>
        </is>
      </c>
      <c r="PY359" s="9" t="inlineStr">
        <is>
          <t>Balance</t>
        </is>
      </c>
      <c r="PZ359" s="9" t="inlineStr">
        <is>
          <t>Remarks</t>
        </is>
      </c>
      <c r="QC359" s="9" t="inlineStr">
        <is>
          <t>Date</t>
        </is>
      </c>
      <c r="QD359" s="9" t="inlineStr">
        <is>
          <t>Intake</t>
        </is>
      </c>
      <c r="QE359" s="9" t="inlineStr">
        <is>
          <t>Usage</t>
        </is>
      </c>
      <c r="QF359" s="9" t="inlineStr">
        <is>
          <t>Actual</t>
        </is>
      </c>
      <c r="QG359" s="9" t="inlineStr">
        <is>
          <t>Adjustment</t>
        </is>
      </c>
      <c r="QH359" s="9" t="inlineStr">
        <is>
          <t>Balance</t>
        </is>
      </c>
      <c r="QI359" s="9" t="inlineStr">
        <is>
          <t>Remarks</t>
        </is>
      </c>
      <c r="QL359" s="9" t="inlineStr">
        <is>
          <t>Date</t>
        </is>
      </c>
      <c r="QM359" s="9" t="inlineStr">
        <is>
          <t>Intake</t>
        </is>
      </c>
      <c r="QN359" s="9" t="inlineStr">
        <is>
          <t>Usage</t>
        </is>
      </c>
      <c r="QO359" s="9" t="inlineStr">
        <is>
          <t>Actual</t>
        </is>
      </c>
      <c r="QP359" s="9" t="inlineStr">
        <is>
          <t>Adjustment</t>
        </is>
      </c>
      <c r="QQ359" s="9" t="inlineStr">
        <is>
          <t>Balance</t>
        </is>
      </c>
      <c r="QR359" s="9" t="inlineStr">
        <is>
          <t>Remarks</t>
        </is>
      </c>
      <c r="QU359" s="9" t="inlineStr">
        <is>
          <t>Date</t>
        </is>
      </c>
      <c r="QV359" s="9" t="inlineStr">
        <is>
          <t>Intake</t>
        </is>
      </c>
      <c r="QW359" s="9" t="inlineStr">
        <is>
          <t>Usage</t>
        </is>
      </c>
      <c r="QX359" s="9" t="inlineStr">
        <is>
          <t>Actual</t>
        </is>
      </c>
      <c r="QY359" s="9" t="inlineStr">
        <is>
          <t>Adjustment</t>
        </is>
      </c>
      <c r="QZ359" s="9" t="inlineStr">
        <is>
          <t>Balance</t>
        </is>
      </c>
      <c r="RA359" s="9" t="inlineStr">
        <is>
          <t>Remarks</t>
        </is>
      </c>
      <c r="RD359" s="9" t="inlineStr">
        <is>
          <t>Date</t>
        </is>
      </c>
      <c r="RE359" s="9" t="inlineStr">
        <is>
          <t>Intake</t>
        </is>
      </c>
      <c r="RF359" s="9" t="inlineStr">
        <is>
          <t>Usage</t>
        </is>
      </c>
      <c r="RG359" s="9" t="inlineStr">
        <is>
          <t>Actual</t>
        </is>
      </c>
      <c r="RH359" s="9" t="inlineStr">
        <is>
          <t>Adjustment</t>
        </is>
      </c>
      <c r="RI359" s="9" t="inlineStr">
        <is>
          <t>Balance</t>
        </is>
      </c>
      <c r="RJ359" s="9" t="inlineStr">
        <is>
          <t>Remarks</t>
        </is>
      </c>
      <c r="RM359" s="9" t="inlineStr">
        <is>
          <t>Date</t>
        </is>
      </c>
      <c r="RN359" s="9" t="inlineStr">
        <is>
          <t>Intake</t>
        </is>
      </c>
      <c r="RO359" s="9" t="inlineStr">
        <is>
          <t>Usage</t>
        </is>
      </c>
      <c r="RP359" s="9" t="inlineStr">
        <is>
          <t>Actual</t>
        </is>
      </c>
      <c r="RQ359" s="9" t="inlineStr">
        <is>
          <t>Adjustment</t>
        </is>
      </c>
      <c r="RR359" s="9" t="inlineStr">
        <is>
          <t>Balance</t>
        </is>
      </c>
      <c r="RS359" s="9" t="inlineStr">
        <is>
          <t>Remarks</t>
        </is>
      </c>
      <c r="RV359" s="9" t="inlineStr">
        <is>
          <t>Date</t>
        </is>
      </c>
      <c r="RW359" s="9" t="inlineStr">
        <is>
          <t>Intake</t>
        </is>
      </c>
      <c r="RX359" s="9" t="inlineStr">
        <is>
          <t>Usage</t>
        </is>
      </c>
      <c r="RY359" s="9" t="inlineStr">
        <is>
          <t>Actual</t>
        </is>
      </c>
      <c r="RZ359" s="9" t="inlineStr">
        <is>
          <t>Adjustment</t>
        </is>
      </c>
      <c r="SA359" s="9" t="inlineStr">
        <is>
          <t>Balance</t>
        </is>
      </c>
      <c r="SB359" s="9" t="inlineStr">
        <is>
          <t>Remarks</t>
        </is>
      </c>
      <c r="SE359" s="9" t="inlineStr">
        <is>
          <t>Date</t>
        </is>
      </c>
      <c r="SF359" s="9" t="inlineStr">
        <is>
          <t>Intake</t>
        </is>
      </c>
      <c r="SG359" s="9" t="inlineStr">
        <is>
          <t>Usage</t>
        </is>
      </c>
      <c r="SH359" s="9" t="inlineStr">
        <is>
          <t>Actual</t>
        </is>
      </c>
      <c r="SI359" s="9" t="inlineStr">
        <is>
          <t>Adjustment</t>
        </is>
      </c>
      <c r="SJ359" s="9" t="inlineStr">
        <is>
          <t>Balance</t>
        </is>
      </c>
      <c r="SK359" s="9" t="inlineStr">
        <is>
          <t>Remarks</t>
        </is>
      </c>
      <c r="SN359" s="9" t="inlineStr">
        <is>
          <t>Date</t>
        </is>
      </c>
      <c r="SO359" s="9" t="inlineStr">
        <is>
          <t>Intake</t>
        </is>
      </c>
      <c r="SP359" s="9" t="inlineStr">
        <is>
          <t>Usage</t>
        </is>
      </c>
      <c r="SQ359" s="9" t="inlineStr">
        <is>
          <t>Actual</t>
        </is>
      </c>
      <c r="SR359" s="9" t="inlineStr">
        <is>
          <t>Adjustment</t>
        </is>
      </c>
      <c r="SS359" s="9" t="inlineStr">
        <is>
          <t>Balance</t>
        </is>
      </c>
      <c r="ST359" s="9" t="inlineStr">
        <is>
          <t>Remarks</t>
        </is>
      </c>
      <c r="SW359" s="9" t="inlineStr">
        <is>
          <t>Date</t>
        </is>
      </c>
      <c r="SX359" s="9" t="inlineStr">
        <is>
          <t>Intake</t>
        </is>
      </c>
      <c r="SY359" s="9" t="inlineStr">
        <is>
          <t>Usage</t>
        </is>
      </c>
      <c r="SZ359" s="9" t="inlineStr">
        <is>
          <t>Actual</t>
        </is>
      </c>
      <c r="TA359" s="9" t="inlineStr">
        <is>
          <t>Adjustment</t>
        </is>
      </c>
      <c r="TB359" s="9" t="inlineStr">
        <is>
          <t>Balance</t>
        </is>
      </c>
      <c r="TC359" s="9" t="inlineStr">
        <is>
          <t>Remarks</t>
        </is>
      </c>
      <c r="TF359" s="9" t="inlineStr">
        <is>
          <t>Date</t>
        </is>
      </c>
      <c r="TG359" s="9" t="inlineStr">
        <is>
          <t>Intake</t>
        </is>
      </c>
      <c r="TH359" s="9" t="inlineStr">
        <is>
          <t>Usage</t>
        </is>
      </c>
      <c r="TI359" s="9" t="inlineStr">
        <is>
          <t>Actual</t>
        </is>
      </c>
      <c r="TJ359" s="9" t="inlineStr">
        <is>
          <t>Adjustment</t>
        </is>
      </c>
      <c r="TK359" s="9" t="inlineStr">
        <is>
          <t>Balance</t>
        </is>
      </c>
      <c r="TL359" s="9" t="inlineStr">
        <is>
          <t>Remarks</t>
        </is>
      </c>
      <c r="TO359" s="9" t="inlineStr">
        <is>
          <t>Date</t>
        </is>
      </c>
      <c r="TP359" s="9" t="inlineStr">
        <is>
          <t>Intake</t>
        </is>
      </c>
      <c r="TQ359" s="9" t="inlineStr">
        <is>
          <t>Usage</t>
        </is>
      </c>
      <c r="TR359" s="9" t="inlineStr">
        <is>
          <t>Actual</t>
        </is>
      </c>
      <c r="TS359" s="9" t="inlineStr">
        <is>
          <t>Adjustment</t>
        </is>
      </c>
      <c r="TT359" s="9" t="inlineStr">
        <is>
          <t>Balance</t>
        </is>
      </c>
      <c r="TU359" s="9" t="inlineStr">
        <is>
          <t>Remarks</t>
        </is>
      </c>
      <c r="TX359" s="9" t="inlineStr">
        <is>
          <t>Date</t>
        </is>
      </c>
      <c r="TY359" s="9" t="inlineStr">
        <is>
          <t>Intake</t>
        </is>
      </c>
      <c r="TZ359" s="9" t="inlineStr">
        <is>
          <t>Usage</t>
        </is>
      </c>
      <c r="UA359" s="9" t="inlineStr">
        <is>
          <t>Actual</t>
        </is>
      </c>
      <c r="UB359" s="9" t="inlineStr">
        <is>
          <t>Adjustment</t>
        </is>
      </c>
      <c r="UC359" s="9" t="inlineStr">
        <is>
          <t>Balance</t>
        </is>
      </c>
      <c r="UD359" s="9" t="inlineStr">
        <is>
          <t>Remarks</t>
        </is>
      </c>
      <c r="UG359" s="9" t="inlineStr">
        <is>
          <t>Date</t>
        </is>
      </c>
      <c r="UH359" s="9" t="inlineStr">
        <is>
          <t>Intake</t>
        </is>
      </c>
      <c r="UI359" s="9" t="inlineStr">
        <is>
          <t>Usage</t>
        </is>
      </c>
      <c r="UJ359" s="9" t="inlineStr">
        <is>
          <t>Actual</t>
        </is>
      </c>
      <c r="UK359" s="9" t="inlineStr">
        <is>
          <t>Adjustment</t>
        </is>
      </c>
      <c r="UL359" s="9" t="inlineStr">
        <is>
          <t>Balance</t>
        </is>
      </c>
      <c r="UM359" s="9" t="inlineStr">
        <is>
          <t>Remarks</t>
        </is>
      </c>
      <c r="UP359" s="9" t="inlineStr">
        <is>
          <t>Date</t>
        </is>
      </c>
      <c r="UQ359" s="9" t="inlineStr">
        <is>
          <t>Intake</t>
        </is>
      </c>
      <c r="UR359" s="9" t="inlineStr">
        <is>
          <t>Usage</t>
        </is>
      </c>
      <c r="US359" s="9" t="inlineStr">
        <is>
          <t>Actual</t>
        </is>
      </c>
      <c r="UT359" s="9" t="inlineStr">
        <is>
          <t>Adjustment</t>
        </is>
      </c>
      <c r="UU359" s="9" t="inlineStr">
        <is>
          <t>Balance</t>
        </is>
      </c>
      <c r="UV359" s="9" t="inlineStr">
        <is>
          <t>Remarks</t>
        </is>
      </c>
      <c r="UY359" s="9" t="inlineStr">
        <is>
          <t>Date</t>
        </is>
      </c>
      <c r="UZ359" s="9" t="inlineStr">
        <is>
          <t>Intake</t>
        </is>
      </c>
      <c r="VA359" s="9" t="inlineStr">
        <is>
          <t>Usage</t>
        </is>
      </c>
      <c r="VB359" s="9" t="inlineStr">
        <is>
          <t>Actual</t>
        </is>
      </c>
      <c r="VC359" s="9" t="inlineStr">
        <is>
          <t>Adjustment</t>
        </is>
      </c>
      <c r="VD359" s="9" t="inlineStr">
        <is>
          <t>Balance</t>
        </is>
      </c>
      <c r="VE359" s="9" t="inlineStr">
        <is>
          <t>Remarks</t>
        </is>
      </c>
      <c r="VH359" s="9" t="inlineStr">
        <is>
          <t>Date</t>
        </is>
      </c>
      <c r="VI359" s="9" t="inlineStr">
        <is>
          <t>Intake</t>
        </is>
      </c>
      <c r="VJ359" s="9" t="inlineStr">
        <is>
          <t>Usage</t>
        </is>
      </c>
      <c r="VK359" s="9" t="inlineStr">
        <is>
          <t>Actual</t>
        </is>
      </c>
      <c r="VL359" s="9" t="inlineStr">
        <is>
          <t>Adjustment</t>
        </is>
      </c>
      <c r="VM359" s="9" t="inlineStr">
        <is>
          <t>Balance</t>
        </is>
      </c>
      <c r="VN359" s="9" t="inlineStr">
        <is>
          <t>Remarks</t>
        </is>
      </c>
      <c r="VQ359" s="9" t="inlineStr">
        <is>
          <t>Date</t>
        </is>
      </c>
      <c r="VR359" s="9" t="inlineStr">
        <is>
          <t>Intake</t>
        </is>
      </c>
      <c r="VS359" s="9" t="inlineStr">
        <is>
          <t>Usage</t>
        </is>
      </c>
      <c r="VT359" s="9" t="inlineStr">
        <is>
          <t>Actual</t>
        </is>
      </c>
      <c r="VU359" s="9" t="inlineStr">
        <is>
          <t>Adjustment</t>
        </is>
      </c>
      <c r="VV359" s="9" t="inlineStr">
        <is>
          <t>Balance</t>
        </is>
      </c>
      <c r="VW359" s="9" t="inlineStr">
        <is>
          <t>Remarks</t>
        </is>
      </c>
      <c r="VZ359" s="9" t="inlineStr">
        <is>
          <t>Date</t>
        </is>
      </c>
      <c r="WA359" s="9" t="inlineStr">
        <is>
          <t>Intake</t>
        </is>
      </c>
      <c r="WB359" s="9" t="inlineStr">
        <is>
          <t>Usage</t>
        </is>
      </c>
      <c r="WC359" s="9" t="inlineStr">
        <is>
          <t>Actual</t>
        </is>
      </c>
      <c r="WD359" s="9" t="inlineStr">
        <is>
          <t>Adjustment</t>
        </is>
      </c>
      <c r="WE359" s="9" t="inlineStr">
        <is>
          <t>Balance</t>
        </is>
      </c>
      <c r="WF359" s="9" t="inlineStr">
        <is>
          <t>Remarks</t>
        </is>
      </c>
      <c r="WI359" s="9" t="inlineStr">
        <is>
          <t>Date</t>
        </is>
      </c>
      <c r="WJ359" s="9" t="inlineStr">
        <is>
          <t>Intake</t>
        </is>
      </c>
      <c r="WK359" s="9" t="inlineStr">
        <is>
          <t>Usage</t>
        </is>
      </c>
      <c r="WL359" s="9" t="inlineStr">
        <is>
          <t>Actual</t>
        </is>
      </c>
      <c r="WM359" s="9" t="inlineStr">
        <is>
          <t>Adjustment</t>
        </is>
      </c>
      <c r="WN359" s="9" t="inlineStr">
        <is>
          <t>Balance</t>
        </is>
      </c>
      <c r="WO359" s="9" t="inlineStr">
        <is>
          <t>Remarks</t>
        </is>
      </c>
      <c r="WR359" s="9" t="inlineStr">
        <is>
          <t>Date</t>
        </is>
      </c>
      <c r="WS359" s="9" t="inlineStr">
        <is>
          <t>Intake</t>
        </is>
      </c>
      <c r="WT359" s="9" t="inlineStr">
        <is>
          <t>Usage</t>
        </is>
      </c>
      <c r="WU359" s="9" t="inlineStr">
        <is>
          <t>Actual</t>
        </is>
      </c>
      <c r="WV359" s="9" t="inlineStr">
        <is>
          <t>Adjustment</t>
        </is>
      </c>
      <c r="WW359" s="9" t="inlineStr">
        <is>
          <t>Balance</t>
        </is>
      </c>
      <c r="WX359" s="9" t="inlineStr">
        <is>
          <t>Remarks</t>
        </is>
      </c>
      <c r="XA359" s="9" t="inlineStr">
        <is>
          <t>Date</t>
        </is>
      </c>
      <c r="XB359" s="9" t="inlineStr">
        <is>
          <t>Intake</t>
        </is>
      </c>
      <c r="XC359" s="9" t="inlineStr">
        <is>
          <t>Usage</t>
        </is>
      </c>
      <c r="XD359" s="9" t="inlineStr">
        <is>
          <t>Actual</t>
        </is>
      </c>
      <c r="XE359" s="9" t="inlineStr">
        <is>
          <t>Adjustment</t>
        </is>
      </c>
      <c r="XF359" s="9" t="inlineStr">
        <is>
          <t>Balance</t>
        </is>
      </c>
      <c r="XG359" s="9" t="inlineStr">
        <is>
          <t>Remarks</t>
        </is>
      </c>
      <c r="XJ359" s="9" t="inlineStr">
        <is>
          <t>Date</t>
        </is>
      </c>
      <c r="XK359" s="9" t="inlineStr">
        <is>
          <t>Intake</t>
        </is>
      </c>
      <c r="XL359" s="9" t="inlineStr">
        <is>
          <t>Usage</t>
        </is>
      </c>
      <c r="XM359" s="9" t="inlineStr">
        <is>
          <t>Actual</t>
        </is>
      </c>
      <c r="XN359" s="9" t="inlineStr">
        <is>
          <t>Adjustment</t>
        </is>
      </c>
      <c r="XO359" s="9" t="inlineStr">
        <is>
          <t>Balance</t>
        </is>
      </c>
      <c r="XP359" s="9" t="inlineStr">
        <is>
          <t>Remarks</t>
        </is>
      </c>
      <c r="XS359" s="9" t="inlineStr">
        <is>
          <t>Date</t>
        </is>
      </c>
      <c r="XT359" s="9" t="inlineStr">
        <is>
          <t>Intake</t>
        </is>
      </c>
      <c r="XU359" s="9" t="inlineStr">
        <is>
          <t>Usage</t>
        </is>
      </c>
      <c r="XV359" s="9" t="inlineStr">
        <is>
          <t>Actual</t>
        </is>
      </c>
      <c r="XW359" s="9" t="inlineStr">
        <is>
          <t>Adjustment</t>
        </is>
      </c>
      <c r="XX359" s="9" t="inlineStr">
        <is>
          <t>Balance</t>
        </is>
      </c>
      <c r="XY359" s="9" t="inlineStr">
        <is>
          <t>Remarks</t>
        </is>
      </c>
      <c r="YB359" s="9" t="inlineStr">
        <is>
          <t>Date</t>
        </is>
      </c>
      <c r="YC359" s="9" t="inlineStr">
        <is>
          <t>Intake</t>
        </is>
      </c>
      <c r="YD359" s="9" t="inlineStr">
        <is>
          <t>Usage</t>
        </is>
      </c>
      <c r="YE359" s="9" t="inlineStr">
        <is>
          <t>Actual</t>
        </is>
      </c>
      <c r="YF359" s="9" t="inlineStr">
        <is>
          <t>Adjustment</t>
        </is>
      </c>
      <c r="YG359" s="9" t="inlineStr">
        <is>
          <t>Balance</t>
        </is>
      </c>
      <c r="YH359" s="9" t="inlineStr">
        <is>
          <t>Remarks</t>
        </is>
      </c>
      <c r="YK359" s="9" t="inlineStr">
        <is>
          <t>Date</t>
        </is>
      </c>
      <c r="YL359" s="9" t="inlineStr">
        <is>
          <t>Intake</t>
        </is>
      </c>
      <c r="YM359" s="9" t="inlineStr">
        <is>
          <t>Usage</t>
        </is>
      </c>
      <c r="YN359" s="9" t="inlineStr">
        <is>
          <t>Actual</t>
        </is>
      </c>
      <c r="YO359" s="9" t="inlineStr">
        <is>
          <t>Adjustment</t>
        </is>
      </c>
      <c r="YP359" s="9" t="inlineStr">
        <is>
          <t>Balance</t>
        </is>
      </c>
      <c r="YQ359" s="9" t="inlineStr">
        <is>
          <t>Remarks</t>
        </is>
      </c>
      <c r="YT359" s="9" t="inlineStr">
        <is>
          <t>Date</t>
        </is>
      </c>
      <c r="YU359" s="9" t="inlineStr">
        <is>
          <t>Intake</t>
        </is>
      </c>
      <c r="YV359" s="9" t="inlineStr">
        <is>
          <t>Usage</t>
        </is>
      </c>
      <c r="YW359" s="9" t="inlineStr">
        <is>
          <t>Actual</t>
        </is>
      </c>
      <c r="YX359" s="9" t="inlineStr">
        <is>
          <t>Adjustment</t>
        </is>
      </c>
      <c r="YY359" s="9" t="inlineStr">
        <is>
          <t>Balance</t>
        </is>
      </c>
      <c r="YZ359" s="9" t="inlineStr">
        <is>
          <t>Remarks</t>
        </is>
      </c>
      <c r="ZC359" s="9" t="inlineStr">
        <is>
          <t>Date</t>
        </is>
      </c>
      <c r="ZD359" s="9" t="inlineStr">
        <is>
          <t>Intake</t>
        </is>
      </c>
      <c r="ZE359" s="9" t="inlineStr">
        <is>
          <t>Usage</t>
        </is>
      </c>
      <c r="ZF359" s="9" t="inlineStr">
        <is>
          <t>Actual</t>
        </is>
      </c>
      <c r="ZG359" s="9" t="inlineStr">
        <is>
          <t>Adjustment</t>
        </is>
      </c>
      <c r="ZH359" s="9" t="inlineStr">
        <is>
          <t>Balance</t>
        </is>
      </c>
      <c r="ZI359" s="9" t="inlineStr">
        <is>
          <t>Remarks</t>
        </is>
      </c>
      <c r="ZL359" s="9" t="inlineStr">
        <is>
          <t>Date</t>
        </is>
      </c>
      <c r="ZM359" s="9" t="inlineStr">
        <is>
          <t>Intake</t>
        </is>
      </c>
      <c r="ZN359" s="9" t="inlineStr">
        <is>
          <t>Usage</t>
        </is>
      </c>
      <c r="ZO359" s="9" t="inlineStr">
        <is>
          <t>Actual</t>
        </is>
      </c>
      <c r="ZP359" s="9" t="inlineStr">
        <is>
          <t>Adjustment</t>
        </is>
      </c>
      <c r="ZQ359" s="9" t="inlineStr">
        <is>
          <t>Balance</t>
        </is>
      </c>
      <c r="ZR359" s="9" t="inlineStr">
        <is>
          <t>Remarks</t>
        </is>
      </c>
      <c r="ZU359" s="9" t="inlineStr">
        <is>
          <t>Date</t>
        </is>
      </c>
      <c r="ZV359" s="9" t="inlineStr">
        <is>
          <t>Intake</t>
        </is>
      </c>
      <c r="ZW359" s="9" t="inlineStr">
        <is>
          <t>Usage</t>
        </is>
      </c>
      <c r="ZX359" s="9" t="inlineStr">
        <is>
          <t>Actual</t>
        </is>
      </c>
      <c r="ZY359" s="9" t="inlineStr">
        <is>
          <t>Adjustment</t>
        </is>
      </c>
      <c r="ZZ359" s="9" t="inlineStr">
        <is>
          <t>Balance</t>
        </is>
      </c>
      <c r="AAA359" s="9" t="inlineStr">
        <is>
          <t>Remarks</t>
        </is>
      </c>
      <c r="AAD359" s="9" t="inlineStr">
        <is>
          <t>Date</t>
        </is>
      </c>
      <c r="AAE359" s="9" t="inlineStr">
        <is>
          <t>Intake</t>
        </is>
      </c>
      <c r="AAF359" s="9" t="inlineStr">
        <is>
          <t>Usage</t>
        </is>
      </c>
      <c r="AAG359" s="9" t="inlineStr">
        <is>
          <t>Actual</t>
        </is>
      </c>
      <c r="AAH359" s="9" t="inlineStr">
        <is>
          <t>Adjustment</t>
        </is>
      </c>
      <c r="AAI359" s="9" t="inlineStr">
        <is>
          <t>Balance</t>
        </is>
      </c>
      <c r="AAJ359" s="9" t="inlineStr">
        <is>
          <t>Remarks</t>
        </is>
      </c>
      <c r="AAM359" s="9" t="inlineStr">
        <is>
          <t>Date</t>
        </is>
      </c>
      <c r="AAN359" s="9" t="inlineStr">
        <is>
          <t>Intake</t>
        </is>
      </c>
      <c r="AAO359" s="9" t="inlineStr">
        <is>
          <t>Usage</t>
        </is>
      </c>
      <c r="AAP359" s="9" t="inlineStr">
        <is>
          <t>Actual</t>
        </is>
      </c>
      <c r="AAQ359" s="9" t="inlineStr">
        <is>
          <t>Adjustment</t>
        </is>
      </c>
      <c r="AAR359" s="9" t="inlineStr">
        <is>
          <t>Balance</t>
        </is>
      </c>
      <c r="AAS359" s="9" t="inlineStr">
        <is>
          <t>Remarks</t>
        </is>
      </c>
      <c r="AAV359" s="9" t="inlineStr">
        <is>
          <t>Date</t>
        </is>
      </c>
      <c r="AAW359" s="9" t="inlineStr">
        <is>
          <t>Intake</t>
        </is>
      </c>
      <c r="AAX359" s="9" t="inlineStr">
        <is>
          <t>Usage</t>
        </is>
      </c>
      <c r="AAY359" s="9" t="inlineStr">
        <is>
          <t>Actual</t>
        </is>
      </c>
      <c r="AAZ359" s="9" t="inlineStr">
        <is>
          <t>Adjustment</t>
        </is>
      </c>
      <c r="ABA359" s="9" t="inlineStr">
        <is>
          <t>Balance</t>
        </is>
      </c>
      <c r="ABB359" s="9" t="inlineStr">
        <is>
          <t>Remarks</t>
        </is>
      </c>
      <c r="ABE359" s="9" t="inlineStr">
        <is>
          <t>Date</t>
        </is>
      </c>
      <c r="ABF359" s="9" t="inlineStr">
        <is>
          <t>Intake</t>
        </is>
      </c>
      <c r="ABG359" s="9" t="inlineStr">
        <is>
          <t>Usage</t>
        </is>
      </c>
      <c r="ABH359" s="9" t="inlineStr">
        <is>
          <t>Actual</t>
        </is>
      </c>
      <c r="ABI359" s="9" t="inlineStr">
        <is>
          <t>Adjustment</t>
        </is>
      </c>
      <c r="ABJ359" s="9" t="inlineStr">
        <is>
          <t>Balance</t>
        </is>
      </c>
      <c r="ABK359" s="9" t="inlineStr">
        <is>
          <t>Remarks</t>
        </is>
      </c>
    </row>
    <row r="360">
      <c r="C360" s="9" t="inlineStr">
        <is>
          <t>BALANCE</t>
        </is>
      </c>
      <c r="D360" s="9" t="inlineStr">
        <is>
          <t>-</t>
        </is>
      </c>
      <c r="E360" s="9" t="inlineStr">
        <is>
          <t>-</t>
        </is>
      </c>
      <c r="F360" s="9" t="inlineStr">
        <is>
          <t>-</t>
        </is>
      </c>
      <c r="G360" s="9" t="inlineStr">
        <is>
          <t>-</t>
        </is>
      </c>
      <c r="H360" s="9" t="n">
        <v>236936.6</v>
      </c>
      <c r="L360" s="9" t="inlineStr">
        <is>
          <t>BALANCE</t>
        </is>
      </c>
      <c r="M360" s="9" t="inlineStr">
        <is>
          <t>-</t>
        </is>
      </c>
      <c r="N360" s="9" t="inlineStr">
        <is>
          <t>-</t>
        </is>
      </c>
      <c r="O360" s="9" t="inlineStr">
        <is>
          <t>-</t>
        </is>
      </c>
      <c r="P360" s="9" t="inlineStr">
        <is>
          <t>-</t>
        </is>
      </c>
      <c r="Q360" s="9" t="n">
        <v>53017.60000000007</v>
      </c>
      <c r="U360" s="9" t="inlineStr">
        <is>
          <t>BALANCE</t>
        </is>
      </c>
      <c r="V360" s="9" t="inlineStr">
        <is>
          <t>-</t>
        </is>
      </c>
      <c r="W360" s="9" t="inlineStr">
        <is>
          <t>-</t>
        </is>
      </c>
      <c r="X360" s="9" t="inlineStr">
        <is>
          <t>-</t>
        </is>
      </c>
      <c r="Y360" s="9" t="inlineStr">
        <is>
          <t>-</t>
        </is>
      </c>
      <c r="Z360" s="9" t="n">
        <v>42674.19999999997</v>
      </c>
      <c r="AD360" s="9" t="inlineStr">
        <is>
          <t>BALANCE</t>
        </is>
      </c>
      <c r="AE360" s="9" t="inlineStr">
        <is>
          <t>-</t>
        </is>
      </c>
      <c r="AF360" s="9" t="inlineStr">
        <is>
          <t>-</t>
        </is>
      </c>
      <c r="AG360" s="9" t="inlineStr">
        <is>
          <t>-</t>
        </is>
      </c>
      <c r="AH360" s="9" t="inlineStr">
        <is>
          <t>-</t>
        </is>
      </c>
      <c r="AI360" s="9" t="n">
        <v>4522.200000000019</v>
      </c>
      <c r="AM360" s="9" t="inlineStr">
        <is>
          <t>BALANCE</t>
        </is>
      </c>
      <c r="AN360" s="9" t="inlineStr">
        <is>
          <t>-</t>
        </is>
      </c>
      <c r="AO360" s="9" t="inlineStr">
        <is>
          <t>-</t>
        </is>
      </c>
      <c r="AP360" s="9" t="inlineStr">
        <is>
          <t>-</t>
        </is>
      </c>
      <c r="AQ360" s="9" t="inlineStr">
        <is>
          <t>-</t>
        </is>
      </c>
      <c r="AR360" s="9" t="n">
        <v>0</v>
      </c>
      <c r="AV360" s="9" t="inlineStr">
        <is>
          <t>BALANCE</t>
        </is>
      </c>
      <c r="AW360" s="9" t="inlineStr">
        <is>
          <t>-</t>
        </is>
      </c>
      <c r="AX360" s="9" t="inlineStr">
        <is>
          <t>-</t>
        </is>
      </c>
      <c r="AY360" s="9" t="inlineStr">
        <is>
          <t>-</t>
        </is>
      </c>
      <c r="AZ360" s="9" t="inlineStr">
        <is>
          <t>-</t>
        </is>
      </c>
      <c r="BA360" s="9" t="n">
        <v>124.9999999999952</v>
      </c>
      <c r="BE360" s="9" t="inlineStr">
        <is>
          <t>BALANCE</t>
        </is>
      </c>
      <c r="BF360" s="9" t="inlineStr">
        <is>
          <t>-</t>
        </is>
      </c>
      <c r="BG360" s="9" t="inlineStr">
        <is>
          <t>-</t>
        </is>
      </c>
      <c r="BH360" s="9" t="inlineStr">
        <is>
          <t>-</t>
        </is>
      </c>
      <c r="BI360" s="9" t="inlineStr">
        <is>
          <t>-</t>
        </is>
      </c>
      <c r="BJ360" s="9" t="n">
        <v>26151.9</v>
      </c>
      <c r="BN360" s="9" t="inlineStr">
        <is>
          <t>BALANCE</t>
        </is>
      </c>
      <c r="BO360" s="9" t="inlineStr">
        <is>
          <t>-</t>
        </is>
      </c>
      <c r="BP360" s="9" t="inlineStr">
        <is>
          <t>-</t>
        </is>
      </c>
      <c r="BQ360" s="9" t="inlineStr">
        <is>
          <t>-</t>
        </is>
      </c>
      <c r="BR360" s="9" t="inlineStr">
        <is>
          <t>-</t>
        </is>
      </c>
      <c r="BS360" s="9" t="n">
        <v>0</v>
      </c>
      <c r="BW360" s="9" t="inlineStr">
        <is>
          <t>BALANCE</t>
        </is>
      </c>
      <c r="BX360" s="9" t="inlineStr">
        <is>
          <t>-</t>
        </is>
      </c>
      <c r="BY360" s="9" t="inlineStr">
        <is>
          <t>-</t>
        </is>
      </c>
      <c r="BZ360" s="9" t="inlineStr">
        <is>
          <t>-</t>
        </is>
      </c>
      <c r="CA360" s="9" t="inlineStr">
        <is>
          <t>-</t>
        </is>
      </c>
      <c r="CB360" s="9" t="n">
        <v>2097.339999999999</v>
      </c>
      <c r="CF360" s="9" t="inlineStr">
        <is>
          <t>BALANCE</t>
        </is>
      </c>
      <c r="CG360" s="9" t="inlineStr">
        <is>
          <t>-</t>
        </is>
      </c>
      <c r="CH360" s="9" t="inlineStr">
        <is>
          <t>-</t>
        </is>
      </c>
      <c r="CI360" s="9" t="inlineStr">
        <is>
          <t>-</t>
        </is>
      </c>
      <c r="CJ360" s="9" t="inlineStr">
        <is>
          <t>-</t>
        </is>
      </c>
      <c r="CK360" s="9" t="n">
        <v>-10277.08</v>
      </c>
      <c r="CO360" s="9" t="inlineStr">
        <is>
          <t>BALANCE</t>
        </is>
      </c>
      <c r="CP360" s="9" t="inlineStr">
        <is>
          <t>-</t>
        </is>
      </c>
      <c r="CQ360" s="9" t="inlineStr">
        <is>
          <t>-</t>
        </is>
      </c>
      <c r="CR360" s="9" t="inlineStr">
        <is>
          <t>-</t>
        </is>
      </c>
      <c r="CS360" s="9" t="inlineStr">
        <is>
          <t>-</t>
        </is>
      </c>
      <c r="CT360" s="9" t="n">
        <v>0</v>
      </c>
      <c r="CX360" s="9" t="inlineStr">
        <is>
          <t>BALANCE</t>
        </is>
      </c>
      <c r="CY360" s="9" t="inlineStr">
        <is>
          <t>-</t>
        </is>
      </c>
      <c r="CZ360" s="9" t="inlineStr">
        <is>
          <t>-</t>
        </is>
      </c>
      <c r="DA360" s="9" t="inlineStr">
        <is>
          <t>-</t>
        </is>
      </c>
      <c r="DB360" s="9" t="inlineStr">
        <is>
          <t>-</t>
        </is>
      </c>
      <c r="DC360" s="9" t="n">
        <v>27438.20000000001</v>
      </c>
      <c r="DG360" s="9" t="inlineStr">
        <is>
          <t>BALANCE</t>
        </is>
      </c>
      <c r="DH360" s="9" t="inlineStr">
        <is>
          <t>-</t>
        </is>
      </c>
      <c r="DI360" s="9" t="inlineStr">
        <is>
          <t>-</t>
        </is>
      </c>
      <c r="DJ360" s="9" t="inlineStr">
        <is>
          <t>-</t>
        </is>
      </c>
      <c r="DK360" s="9" t="inlineStr">
        <is>
          <t>-</t>
        </is>
      </c>
      <c r="DL360" s="9" t="n">
        <v>18782.29999999998</v>
      </c>
      <c r="DP360" s="9" t="inlineStr">
        <is>
          <t>BALANCE</t>
        </is>
      </c>
      <c r="DQ360" s="9" t="inlineStr">
        <is>
          <t>-</t>
        </is>
      </c>
      <c r="DR360" s="9" t="inlineStr">
        <is>
          <t>-</t>
        </is>
      </c>
      <c r="DS360" s="9" t="inlineStr">
        <is>
          <t>-</t>
        </is>
      </c>
      <c r="DT360" s="9" t="inlineStr">
        <is>
          <t>-</t>
        </is>
      </c>
      <c r="DU360" s="9" t="n">
        <v>5800</v>
      </c>
      <c r="DY360" s="9" t="inlineStr">
        <is>
          <t>BALANCE</t>
        </is>
      </c>
      <c r="DZ360" s="9" t="inlineStr">
        <is>
          <t>-</t>
        </is>
      </c>
      <c r="EA360" s="9" t="inlineStr">
        <is>
          <t>-</t>
        </is>
      </c>
      <c r="EB360" s="9" t="inlineStr">
        <is>
          <t>-</t>
        </is>
      </c>
      <c r="EC360" s="9" t="inlineStr">
        <is>
          <t>-</t>
        </is>
      </c>
      <c r="ED360" s="9" t="n">
        <v>0</v>
      </c>
      <c r="EH360" s="9" t="inlineStr">
        <is>
          <t>BALANCE</t>
        </is>
      </c>
      <c r="EI360" s="9" t="inlineStr">
        <is>
          <t>-</t>
        </is>
      </c>
      <c r="EJ360" s="9" t="inlineStr">
        <is>
          <t>-</t>
        </is>
      </c>
      <c r="EK360" s="9" t="inlineStr">
        <is>
          <t>-</t>
        </is>
      </c>
      <c r="EL360" s="9" t="inlineStr">
        <is>
          <t>-</t>
        </is>
      </c>
      <c r="EM360" s="9" t="n">
        <v>0</v>
      </c>
      <c r="EQ360" s="9" t="inlineStr">
        <is>
          <t>BALANCE</t>
        </is>
      </c>
      <c r="ER360" s="9" t="inlineStr">
        <is>
          <t>-</t>
        </is>
      </c>
      <c r="ES360" s="9" t="inlineStr">
        <is>
          <t>-</t>
        </is>
      </c>
      <c r="ET360" s="9" t="inlineStr">
        <is>
          <t>-</t>
        </is>
      </c>
      <c r="EU360" s="9" t="inlineStr">
        <is>
          <t>-</t>
        </is>
      </c>
      <c r="EV360" s="9" t="n">
        <v>0</v>
      </c>
      <c r="EZ360" s="9" t="inlineStr">
        <is>
          <t>BALANCE</t>
        </is>
      </c>
      <c r="FA360" s="9" t="inlineStr">
        <is>
          <t>-</t>
        </is>
      </c>
      <c r="FB360" s="9" t="inlineStr">
        <is>
          <t>-</t>
        </is>
      </c>
      <c r="FC360" s="9" t="inlineStr">
        <is>
          <t>-</t>
        </is>
      </c>
      <c r="FD360" s="9" t="inlineStr">
        <is>
          <t>-</t>
        </is>
      </c>
      <c r="FE360" s="9" t="n">
        <v>0</v>
      </c>
      <c r="FI360" s="9" t="inlineStr">
        <is>
          <t>BALANCE</t>
        </is>
      </c>
      <c r="FJ360" s="9" t="inlineStr">
        <is>
          <t>-</t>
        </is>
      </c>
      <c r="FK360" s="9" t="inlineStr">
        <is>
          <t>-</t>
        </is>
      </c>
      <c r="FL360" s="9" t="inlineStr">
        <is>
          <t>-</t>
        </is>
      </c>
      <c r="FM360" s="9" t="inlineStr">
        <is>
          <t>-</t>
        </is>
      </c>
      <c r="FN360" s="9" t="n">
        <v>0</v>
      </c>
      <c r="FR360" s="9" t="inlineStr">
        <is>
          <t>BALANCE</t>
        </is>
      </c>
      <c r="FS360" s="9" t="inlineStr">
        <is>
          <t>-</t>
        </is>
      </c>
      <c r="FT360" s="9" t="inlineStr">
        <is>
          <t>-</t>
        </is>
      </c>
      <c r="FU360" s="9" t="inlineStr">
        <is>
          <t>-</t>
        </is>
      </c>
      <c r="FV360" s="9" t="inlineStr">
        <is>
          <t>-</t>
        </is>
      </c>
      <c r="FW360" s="9" t="n">
        <v>2020</v>
      </c>
      <c r="GA360" s="9" t="inlineStr">
        <is>
          <t>BALANCE</t>
        </is>
      </c>
      <c r="GB360" s="9" t="inlineStr">
        <is>
          <t>-</t>
        </is>
      </c>
      <c r="GC360" s="9" t="inlineStr">
        <is>
          <t>-</t>
        </is>
      </c>
      <c r="GD360" s="9" t="inlineStr">
        <is>
          <t>-</t>
        </is>
      </c>
      <c r="GE360" s="9" t="inlineStr">
        <is>
          <t>-</t>
        </is>
      </c>
      <c r="GF360" s="9" t="n">
        <v>960</v>
      </c>
      <c r="GJ360" s="9" t="inlineStr">
        <is>
          <t>BALANCE</t>
        </is>
      </c>
      <c r="GK360" s="9" t="inlineStr">
        <is>
          <t>-</t>
        </is>
      </c>
      <c r="GL360" s="9" t="inlineStr">
        <is>
          <t>-</t>
        </is>
      </c>
      <c r="GM360" s="9" t="inlineStr">
        <is>
          <t>-</t>
        </is>
      </c>
      <c r="GN360" s="9" t="inlineStr">
        <is>
          <t>-</t>
        </is>
      </c>
      <c r="GO360" s="9" t="n">
        <v>1760</v>
      </c>
      <c r="GS360" s="9" t="inlineStr">
        <is>
          <t>BALANCE</t>
        </is>
      </c>
      <c r="GT360" s="9" t="inlineStr">
        <is>
          <t>-</t>
        </is>
      </c>
      <c r="GU360" s="9" t="inlineStr">
        <is>
          <t>-</t>
        </is>
      </c>
      <c r="GV360" s="9" t="inlineStr">
        <is>
          <t>-</t>
        </is>
      </c>
      <c r="GW360" s="9" t="inlineStr">
        <is>
          <t>-</t>
        </is>
      </c>
      <c r="GX360" s="9" t="n">
        <v>400</v>
      </c>
      <c r="HB360" s="9" t="inlineStr">
        <is>
          <t>BALANCE</t>
        </is>
      </c>
      <c r="HC360" s="9" t="inlineStr">
        <is>
          <t>-</t>
        </is>
      </c>
      <c r="HD360" s="9" t="inlineStr">
        <is>
          <t>-</t>
        </is>
      </c>
      <c r="HE360" s="9" t="inlineStr">
        <is>
          <t>-</t>
        </is>
      </c>
      <c r="HF360" s="9" t="inlineStr">
        <is>
          <t>-</t>
        </is>
      </c>
      <c r="HG360" s="9" t="n">
        <v>3600</v>
      </c>
      <c r="HK360" s="9" t="inlineStr">
        <is>
          <t>BALANCE</t>
        </is>
      </c>
      <c r="HL360" s="9" t="inlineStr">
        <is>
          <t>-</t>
        </is>
      </c>
      <c r="HM360" s="9" t="inlineStr">
        <is>
          <t>-</t>
        </is>
      </c>
      <c r="HN360" s="9" t="inlineStr">
        <is>
          <t>-</t>
        </is>
      </c>
      <c r="HO360" s="9" t="inlineStr">
        <is>
          <t>-</t>
        </is>
      </c>
      <c r="HP360" s="9" t="n">
        <v>0</v>
      </c>
      <c r="HU360" s="9" t="inlineStr">
        <is>
          <t>BALANCE</t>
        </is>
      </c>
      <c r="HV360" s="9" t="inlineStr">
        <is>
          <t>-</t>
        </is>
      </c>
      <c r="HW360" s="9" t="inlineStr">
        <is>
          <t>-</t>
        </is>
      </c>
      <c r="HX360" s="9" t="inlineStr">
        <is>
          <t>-</t>
        </is>
      </c>
      <c r="HY360" s="9" t="inlineStr">
        <is>
          <t>-</t>
        </is>
      </c>
      <c r="HZ360" s="9" t="n">
        <v>6120</v>
      </c>
      <c r="ID360" s="9" t="inlineStr">
        <is>
          <t>BALANCE</t>
        </is>
      </c>
      <c r="IE360" s="9" t="inlineStr">
        <is>
          <t>-</t>
        </is>
      </c>
      <c r="IF360" s="9" t="inlineStr">
        <is>
          <t>-</t>
        </is>
      </c>
      <c r="IG360" s="9" t="inlineStr">
        <is>
          <t>-</t>
        </is>
      </c>
      <c r="IH360" s="9" t="inlineStr">
        <is>
          <t>-</t>
        </is>
      </c>
      <c r="II360" s="9" t="n">
        <v>0</v>
      </c>
      <c r="IM360" s="9" t="inlineStr">
        <is>
          <t>BALANCE</t>
        </is>
      </c>
      <c r="IN360" s="9" t="inlineStr">
        <is>
          <t>-</t>
        </is>
      </c>
      <c r="IO360" s="9" t="inlineStr">
        <is>
          <t>-</t>
        </is>
      </c>
      <c r="IP360" s="9" t="inlineStr">
        <is>
          <t>-</t>
        </is>
      </c>
      <c r="IQ360" s="9" t="inlineStr">
        <is>
          <t>-</t>
        </is>
      </c>
      <c r="IR360" s="9" t="n">
        <v>0</v>
      </c>
      <c r="IV360" s="9" t="inlineStr">
        <is>
          <t>BALANCE</t>
        </is>
      </c>
      <c r="IW360" s="9" t="inlineStr">
        <is>
          <t>-</t>
        </is>
      </c>
      <c r="IX360" s="9" t="inlineStr">
        <is>
          <t>-</t>
        </is>
      </c>
      <c r="IY360" s="9" t="inlineStr">
        <is>
          <t>-</t>
        </is>
      </c>
      <c r="IZ360" s="9" t="inlineStr">
        <is>
          <t>-</t>
        </is>
      </c>
      <c r="JA360" s="9" t="n">
        <v>2820</v>
      </c>
      <c r="JE360" s="9" t="inlineStr">
        <is>
          <t>BALANCE</t>
        </is>
      </c>
      <c r="JF360" s="9" t="inlineStr">
        <is>
          <t>-</t>
        </is>
      </c>
      <c r="JG360" s="9" t="inlineStr">
        <is>
          <t>-</t>
        </is>
      </c>
      <c r="JH360" s="9" t="inlineStr">
        <is>
          <t>-</t>
        </is>
      </c>
      <c r="JI360" s="9" t="inlineStr">
        <is>
          <t>-</t>
        </is>
      </c>
      <c r="JJ360" s="9" t="n">
        <v>0</v>
      </c>
      <c r="JN360" s="9" t="inlineStr">
        <is>
          <t>BALANCE</t>
        </is>
      </c>
      <c r="JO360" s="9" t="inlineStr">
        <is>
          <t>-</t>
        </is>
      </c>
      <c r="JP360" s="9" t="inlineStr">
        <is>
          <t>-</t>
        </is>
      </c>
      <c r="JQ360" s="9" t="inlineStr">
        <is>
          <t>-</t>
        </is>
      </c>
      <c r="JR360" s="9" t="inlineStr">
        <is>
          <t>-</t>
        </is>
      </c>
      <c r="JS360" s="9" t="n">
        <v>0</v>
      </c>
      <c r="JW360" s="9" t="inlineStr">
        <is>
          <t>BALANCE</t>
        </is>
      </c>
      <c r="JX360" s="9" t="inlineStr">
        <is>
          <t>-</t>
        </is>
      </c>
      <c r="JY360" s="9" t="inlineStr">
        <is>
          <t>-</t>
        </is>
      </c>
      <c r="JZ360" s="9" t="inlineStr">
        <is>
          <t>-</t>
        </is>
      </c>
      <c r="KA360" s="9" t="inlineStr">
        <is>
          <t>-</t>
        </is>
      </c>
      <c r="KB360" s="9" t="n">
        <v>2540</v>
      </c>
      <c r="KF360" s="9" t="inlineStr">
        <is>
          <t>BALANCE</t>
        </is>
      </c>
      <c r="KG360" s="9" t="inlineStr">
        <is>
          <t>-</t>
        </is>
      </c>
      <c r="KH360" s="9" t="inlineStr">
        <is>
          <t>-</t>
        </is>
      </c>
      <c r="KI360" s="9" t="inlineStr">
        <is>
          <t>-</t>
        </is>
      </c>
      <c r="KJ360" s="9" t="inlineStr">
        <is>
          <t>-</t>
        </is>
      </c>
      <c r="KK360" s="9" t="n">
        <v>2359.5</v>
      </c>
      <c r="KO360" s="9" t="inlineStr">
        <is>
          <t>BALANCE</t>
        </is>
      </c>
      <c r="KP360" s="9" t="inlineStr">
        <is>
          <t>-</t>
        </is>
      </c>
      <c r="KQ360" s="9" t="inlineStr">
        <is>
          <t>-</t>
        </is>
      </c>
      <c r="KR360" s="9" t="inlineStr">
        <is>
          <t>-</t>
        </is>
      </c>
      <c r="KS360" s="9" t="inlineStr">
        <is>
          <t>-</t>
        </is>
      </c>
      <c r="KT360" s="9" t="n">
        <v>1890</v>
      </c>
      <c r="KX360" s="9" t="inlineStr">
        <is>
          <t>BALANCE</t>
        </is>
      </c>
      <c r="KY360" s="9" t="inlineStr">
        <is>
          <t>-</t>
        </is>
      </c>
      <c r="KZ360" s="9" t="inlineStr">
        <is>
          <t>-</t>
        </is>
      </c>
      <c r="LA360" s="9" t="inlineStr">
        <is>
          <t>-</t>
        </is>
      </c>
      <c r="LB360" s="9" t="inlineStr">
        <is>
          <t>-</t>
        </is>
      </c>
      <c r="LC360" s="9" t="n">
        <v>3690</v>
      </c>
      <c r="LG360" s="9" t="inlineStr">
        <is>
          <t>BALANCE</t>
        </is>
      </c>
      <c r="LH360" s="9" t="inlineStr">
        <is>
          <t>-</t>
        </is>
      </c>
      <c r="LI360" s="9" t="inlineStr">
        <is>
          <t>-</t>
        </is>
      </c>
      <c r="LJ360" s="9" t="inlineStr">
        <is>
          <t>-</t>
        </is>
      </c>
      <c r="LK360" s="9" t="inlineStr">
        <is>
          <t>-</t>
        </is>
      </c>
      <c r="LL360" s="9" t="n">
        <v>4000</v>
      </c>
      <c r="LP360" s="9" t="inlineStr">
        <is>
          <t>BALANCE</t>
        </is>
      </c>
      <c r="LQ360" s="9" t="inlineStr">
        <is>
          <t>-</t>
        </is>
      </c>
      <c r="LR360" s="9" t="inlineStr">
        <is>
          <t>-</t>
        </is>
      </c>
      <c r="LS360" s="9" t="inlineStr">
        <is>
          <t>-</t>
        </is>
      </c>
      <c r="LT360" s="9" t="inlineStr">
        <is>
          <t>-</t>
        </is>
      </c>
      <c r="LU360" s="9" t="n">
        <v>0</v>
      </c>
      <c r="LY360" s="9" t="inlineStr">
        <is>
          <t>BALANCE</t>
        </is>
      </c>
      <c r="LZ360" s="9" t="inlineStr">
        <is>
          <t>-</t>
        </is>
      </c>
      <c r="MA360" s="9" t="inlineStr">
        <is>
          <t>-</t>
        </is>
      </c>
      <c r="MB360" s="9" t="inlineStr">
        <is>
          <t>-</t>
        </is>
      </c>
      <c r="MC360" s="9" t="inlineStr">
        <is>
          <t>-</t>
        </is>
      </c>
      <c r="MD360" s="9" t="n">
        <v>0</v>
      </c>
      <c r="MH360" s="9" t="inlineStr">
        <is>
          <t>BALANCE</t>
        </is>
      </c>
      <c r="MI360" s="9" t="inlineStr">
        <is>
          <t>-</t>
        </is>
      </c>
      <c r="MJ360" s="9" t="inlineStr">
        <is>
          <t>-</t>
        </is>
      </c>
      <c r="MK360" s="9" t="inlineStr">
        <is>
          <t>-</t>
        </is>
      </c>
      <c r="ML360" s="9" t="inlineStr">
        <is>
          <t>-</t>
        </is>
      </c>
      <c r="MM360" s="9" t="n">
        <v>0</v>
      </c>
      <c r="MQ360" s="9" t="inlineStr">
        <is>
          <t>BALANCE</t>
        </is>
      </c>
      <c r="MR360" s="9" t="inlineStr">
        <is>
          <t>-</t>
        </is>
      </c>
      <c r="MS360" s="9" t="inlineStr">
        <is>
          <t>-</t>
        </is>
      </c>
      <c r="MT360" s="9" t="inlineStr">
        <is>
          <t>-</t>
        </is>
      </c>
      <c r="MU360" s="9" t="inlineStr">
        <is>
          <t>-</t>
        </is>
      </c>
      <c r="MV360" s="9" t="n">
        <v>1625</v>
      </c>
      <c r="MZ360" s="9" t="inlineStr">
        <is>
          <t>BALANCE</t>
        </is>
      </c>
      <c r="NA360" s="9" t="inlineStr">
        <is>
          <t>-</t>
        </is>
      </c>
      <c r="NB360" s="9" t="inlineStr">
        <is>
          <t>-</t>
        </is>
      </c>
      <c r="NC360" s="9" t="inlineStr">
        <is>
          <t>-</t>
        </is>
      </c>
      <c r="ND360" s="9" t="inlineStr">
        <is>
          <t>-</t>
        </is>
      </c>
      <c r="NE360" s="9" t="n">
        <v>0</v>
      </c>
      <c r="NI360" s="9" t="inlineStr">
        <is>
          <t>BALANCE</t>
        </is>
      </c>
      <c r="NJ360" s="9" t="inlineStr">
        <is>
          <t>-</t>
        </is>
      </c>
      <c r="NK360" s="9" t="inlineStr">
        <is>
          <t>-</t>
        </is>
      </c>
      <c r="NL360" s="9" t="inlineStr">
        <is>
          <t>-</t>
        </is>
      </c>
      <c r="NM360" s="9" t="inlineStr">
        <is>
          <t>-</t>
        </is>
      </c>
      <c r="NN360" s="9" t="n">
        <v>1127</v>
      </c>
      <c r="NR360" s="9" t="inlineStr">
        <is>
          <t>BALANCE</t>
        </is>
      </c>
      <c r="NS360" s="9" t="inlineStr">
        <is>
          <t>-</t>
        </is>
      </c>
      <c r="NT360" s="9" t="inlineStr">
        <is>
          <t>-</t>
        </is>
      </c>
      <c r="NU360" s="9" t="inlineStr">
        <is>
          <t>-</t>
        </is>
      </c>
      <c r="NV360" s="9" t="inlineStr">
        <is>
          <t>-</t>
        </is>
      </c>
      <c r="NW360" s="9" t="n">
        <v>3112</v>
      </c>
      <c r="OA360" s="9" t="inlineStr">
        <is>
          <t>BALANCE</t>
        </is>
      </c>
      <c r="OB360" s="9" t="inlineStr">
        <is>
          <t>-</t>
        </is>
      </c>
      <c r="OC360" s="9" t="inlineStr">
        <is>
          <t>-</t>
        </is>
      </c>
      <c r="OD360" s="9" t="inlineStr">
        <is>
          <t>-</t>
        </is>
      </c>
      <c r="OE360" s="9" t="inlineStr">
        <is>
          <t>-</t>
        </is>
      </c>
      <c r="OF360" s="9" t="n">
        <v>1680.5</v>
      </c>
      <c r="OJ360" s="9" t="inlineStr">
        <is>
          <t>BALANCE</t>
        </is>
      </c>
      <c r="OK360" s="9" t="inlineStr">
        <is>
          <t>-</t>
        </is>
      </c>
      <c r="OL360" s="9" t="inlineStr">
        <is>
          <t>-</t>
        </is>
      </c>
      <c r="OM360" s="9" t="inlineStr">
        <is>
          <t>-</t>
        </is>
      </c>
      <c r="ON360" s="9" t="inlineStr">
        <is>
          <t>-</t>
        </is>
      </c>
      <c r="OO360" s="9" t="n">
        <v>0</v>
      </c>
      <c r="OS360" s="9" t="inlineStr">
        <is>
          <t>BALANCE</t>
        </is>
      </c>
      <c r="OT360" s="9" t="inlineStr">
        <is>
          <t>-</t>
        </is>
      </c>
      <c r="OU360" s="9" t="inlineStr">
        <is>
          <t>-</t>
        </is>
      </c>
      <c r="OV360" s="9" t="inlineStr">
        <is>
          <t>-</t>
        </is>
      </c>
      <c r="OW360" s="9" t="inlineStr">
        <is>
          <t>-</t>
        </is>
      </c>
      <c r="OX360" s="9" t="n">
        <v>1482</v>
      </c>
      <c r="PB360" s="9" t="inlineStr">
        <is>
          <t>BALANCE</t>
        </is>
      </c>
      <c r="PC360" s="9" t="inlineStr">
        <is>
          <t>-</t>
        </is>
      </c>
      <c r="PD360" s="9" t="inlineStr">
        <is>
          <t>-</t>
        </is>
      </c>
      <c r="PE360" s="9" t="inlineStr">
        <is>
          <t>-</t>
        </is>
      </c>
      <c r="PF360" s="9" t="inlineStr">
        <is>
          <t>-</t>
        </is>
      </c>
      <c r="PG360" s="9" t="n">
        <v>0</v>
      </c>
      <c r="PK360" s="9" t="inlineStr">
        <is>
          <t>BALANCE</t>
        </is>
      </c>
      <c r="PL360" s="9" t="inlineStr">
        <is>
          <t>-</t>
        </is>
      </c>
      <c r="PM360" s="9" t="inlineStr">
        <is>
          <t>-</t>
        </is>
      </c>
      <c r="PN360" s="9" t="inlineStr">
        <is>
          <t>-</t>
        </is>
      </c>
      <c r="PO360" s="9" t="inlineStr">
        <is>
          <t>-</t>
        </is>
      </c>
      <c r="PP360" s="9" t="n">
        <v>100</v>
      </c>
      <c r="PT360" s="9" t="inlineStr">
        <is>
          <t>BALANCE</t>
        </is>
      </c>
      <c r="PU360" s="9" t="inlineStr">
        <is>
          <t>-</t>
        </is>
      </c>
      <c r="PV360" s="9" t="inlineStr">
        <is>
          <t>-</t>
        </is>
      </c>
      <c r="PW360" s="9" t="inlineStr">
        <is>
          <t>-</t>
        </is>
      </c>
      <c r="PX360" s="9" t="inlineStr">
        <is>
          <t>-</t>
        </is>
      </c>
      <c r="PY360" s="9" t="n">
        <v>13.96000000000004</v>
      </c>
      <c r="QC360" s="9" t="inlineStr">
        <is>
          <t>BALANCE</t>
        </is>
      </c>
      <c r="QD360" s="9" t="inlineStr">
        <is>
          <t>-</t>
        </is>
      </c>
      <c r="QE360" s="9" t="inlineStr">
        <is>
          <t>-</t>
        </is>
      </c>
      <c r="QF360" s="9" t="inlineStr">
        <is>
          <t>-</t>
        </is>
      </c>
      <c r="QG360" s="9" t="inlineStr">
        <is>
          <t>-</t>
        </is>
      </c>
      <c r="QH360" s="9" t="n">
        <v>548</v>
      </c>
      <c r="QL360" s="9" t="inlineStr">
        <is>
          <t>BALANCE</t>
        </is>
      </c>
      <c r="QM360" s="9" t="inlineStr">
        <is>
          <t>-</t>
        </is>
      </c>
      <c r="QN360" s="9" t="inlineStr">
        <is>
          <t>-</t>
        </is>
      </c>
      <c r="QO360" s="9" t="inlineStr">
        <is>
          <t>-</t>
        </is>
      </c>
      <c r="QP360" s="9" t="inlineStr">
        <is>
          <t>-</t>
        </is>
      </c>
      <c r="QQ360" s="9" t="n">
        <v>0</v>
      </c>
      <c r="QU360" s="9" t="inlineStr">
        <is>
          <t>BALANCE</t>
        </is>
      </c>
      <c r="QV360" s="9" t="inlineStr">
        <is>
          <t>-</t>
        </is>
      </c>
      <c r="QW360" s="9" t="inlineStr">
        <is>
          <t>-</t>
        </is>
      </c>
      <c r="QX360" s="9" t="inlineStr">
        <is>
          <t>-</t>
        </is>
      </c>
      <c r="QY360" s="9" t="inlineStr">
        <is>
          <t>-</t>
        </is>
      </c>
      <c r="QZ360" s="9" t="n">
        <v>0</v>
      </c>
      <c r="RD360" s="9" t="inlineStr">
        <is>
          <t>BALANCE</t>
        </is>
      </c>
      <c r="RE360" s="9" t="inlineStr">
        <is>
          <t>-</t>
        </is>
      </c>
      <c r="RF360" s="9" t="inlineStr">
        <is>
          <t>-</t>
        </is>
      </c>
      <c r="RG360" s="9" t="inlineStr">
        <is>
          <t>-</t>
        </is>
      </c>
      <c r="RH360" s="9" t="inlineStr">
        <is>
          <t>-</t>
        </is>
      </c>
      <c r="RI360" s="9" t="n">
        <v>147.04</v>
      </c>
      <c r="RM360" s="9" t="inlineStr">
        <is>
          <t>BALANCE</t>
        </is>
      </c>
      <c r="RN360" s="9" t="inlineStr">
        <is>
          <t>-</t>
        </is>
      </c>
      <c r="RO360" s="9" t="inlineStr">
        <is>
          <t>-</t>
        </is>
      </c>
      <c r="RP360" s="9" t="inlineStr">
        <is>
          <t>-</t>
        </is>
      </c>
      <c r="RQ360" s="9" t="inlineStr">
        <is>
          <t>-</t>
        </is>
      </c>
      <c r="RR360" s="9" t="n">
        <v>46.8</v>
      </c>
      <c r="RV360" s="9" t="inlineStr">
        <is>
          <t>BALANCE</t>
        </is>
      </c>
      <c r="RW360" s="9" t="inlineStr">
        <is>
          <t>-</t>
        </is>
      </c>
      <c r="RX360" s="9" t="inlineStr">
        <is>
          <t>-</t>
        </is>
      </c>
      <c r="RY360" s="9" t="inlineStr">
        <is>
          <t>-</t>
        </is>
      </c>
      <c r="RZ360" s="9" t="inlineStr">
        <is>
          <t>-</t>
        </is>
      </c>
      <c r="SA360" s="9" t="n">
        <v>0</v>
      </c>
      <c r="SE360" s="9" t="inlineStr">
        <is>
          <t>BALANCE</t>
        </is>
      </c>
      <c r="SF360" s="9" t="inlineStr">
        <is>
          <t>-</t>
        </is>
      </c>
      <c r="SG360" s="9" t="inlineStr">
        <is>
          <t>-</t>
        </is>
      </c>
      <c r="SH360" s="9" t="inlineStr">
        <is>
          <t>-</t>
        </is>
      </c>
      <c r="SI360" s="9" t="inlineStr">
        <is>
          <t>-</t>
        </is>
      </c>
      <c r="SJ360" s="9" t="n">
        <v>24.2</v>
      </c>
      <c r="SN360" s="9" t="inlineStr">
        <is>
          <t>BALANCE</t>
        </is>
      </c>
      <c r="SO360" s="9" t="inlineStr">
        <is>
          <t>-</t>
        </is>
      </c>
      <c r="SP360" s="9" t="inlineStr">
        <is>
          <t>-</t>
        </is>
      </c>
      <c r="SQ360" s="9" t="inlineStr">
        <is>
          <t>-</t>
        </is>
      </c>
      <c r="SR360" s="9" t="inlineStr">
        <is>
          <t>-</t>
        </is>
      </c>
      <c r="SS360" s="9" t="n">
        <v>32</v>
      </c>
      <c r="SW360" s="9" t="inlineStr">
        <is>
          <t>BALANCE</t>
        </is>
      </c>
      <c r="SX360" s="9" t="inlineStr">
        <is>
          <t>-</t>
        </is>
      </c>
      <c r="SY360" s="9" t="inlineStr">
        <is>
          <t>-</t>
        </is>
      </c>
      <c r="SZ360" s="9" t="inlineStr">
        <is>
          <t>-</t>
        </is>
      </c>
      <c r="TA360" s="9" t="inlineStr">
        <is>
          <t>-</t>
        </is>
      </c>
      <c r="TB360" s="9" t="n">
        <v>0</v>
      </c>
      <c r="TF360" s="9" t="inlineStr">
        <is>
          <t>BALANCE</t>
        </is>
      </c>
      <c r="TG360" s="9" t="inlineStr">
        <is>
          <t>-</t>
        </is>
      </c>
      <c r="TH360" s="9" t="inlineStr">
        <is>
          <t>-</t>
        </is>
      </c>
      <c r="TI360" s="9" t="inlineStr">
        <is>
          <t>-</t>
        </is>
      </c>
      <c r="TJ360" s="9" t="inlineStr">
        <is>
          <t>-</t>
        </is>
      </c>
      <c r="TK360" s="9" t="n">
        <v>0</v>
      </c>
      <c r="TO360" s="9" t="inlineStr">
        <is>
          <t>BALANCE</t>
        </is>
      </c>
      <c r="TP360" s="9" t="inlineStr">
        <is>
          <t>-</t>
        </is>
      </c>
      <c r="TQ360" s="9" t="inlineStr">
        <is>
          <t>-</t>
        </is>
      </c>
      <c r="TR360" s="9" t="inlineStr">
        <is>
          <t>-</t>
        </is>
      </c>
      <c r="TS360" s="9" t="inlineStr">
        <is>
          <t>-</t>
        </is>
      </c>
      <c r="TT360" s="9" t="n">
        <v>0</v>
      </c>
      <c r="TX360" s="9" t="inlineStr">
        <is>
          <t>BALANCE</t>
        </is>
      </c>
      <c r="TY360" s="9" t="inlineStr">
        <is>
          <t>-</t>
        </is>
      </c>
      <c r="TZ360" s="9" t="inlineStr">
        <is>
          <t>-</t>
        </is>
      </c>
      <c r="UA360" s="9" t="inlineStr">
        <is>
          <t>-</t>
        </is>
      </c>
      <c r="UB360" s="9" t="inlineStr">
        <is>
          <t>-</t>
        </is>
      </c>
      <c r="UC360" s="9" t="n">
        <v>46.79999999999998</v>
      </c>
      <c r="UG360" s="9" t="inlineStr">
        <is>
          <t>BALANCE</t>
        </is>
      </c>
      <c r="UH360" s="9" t="inlineStr">
        <is>
          <t>-</t>
        </is>
      </c>
      <c r="UI360" s="9" t="inlineStr">
        <is>
          <t>-</t>
        </is>
      </c>
      <c r="UJ360" s="9" t="inlineStr">
        <is>
          <t>-</t>
        </is>
      </c>
      <c r="UK360" s="9" t="inlineStr">
        <is>
          <t>-</t>
        </is>
      </c>
      <c r="UL360" s="9" t="n">
        <v>204</v>
      </c>
      <c r="UP360" s="9" t="inlineStr">
        <is>
          <t>BALANCE</t>
        </is>
      </c>
      <c r="UQ360" s="9" t="inlineStr">
        <is>
          <t>-</t>
        </is>
      </c>
      <c r="UR360" s="9" t="inlineStr">
        <is>
          <t>-</t>
        </is>
      </c>
      <c r="US360" s="9" t="inlineStr">
        <is>
          <t>-</t>
        </is>
      </c>
      <c r="UT360" s="9" t="inlineStr">
        <is>
          <t>-</t>
        </is>
      </c>
      <c r="UU360" s="9" t="n">
        <v>202.5</v>
      </c>
      <c r="UY360" s="9" t="inlineStr">
        <is>
          <t>BALANCE</t>
        </is>
      </c>
      <c r="UZ360" s="9" t="inlineStr">
        <is>
          <t>-</t>
        </is>
      </c>
      <c r="VA360" s="9" t="inlineStr">
        <is>
          <t>-</t>
        </is>
      </c>
      <c r="VB360" s="9" t="inlineStr">
        <is>
          <t>-</t>
        </is>
      </c>
      <c r="VC360" s="9" t="inlineStr">
        <is>
          <t>-</t>
        </is>
      </c>
      <c r="VD360" s="9" t="n">
        <v>41.60000000000002</v>
      </c>
      <c r="VH360" s="9" t="inlineStr">
        <is>
          <t>BALANCE</t>
        </is>
      </c>
      <c r="VI360" s="9" t="inlineStr">
        <is>
          <t>-</t>
        </is>
      </c>
      <c r="VJ360" s="9" t="inlineStr">
        <is>
          <t>-</t>
        </is>
      </c>
      <c r="VK360" s="9" t="inlineStr">
        <is>
          <t>-</t>
        </is>
      </c>
      <c r="VL360" s="9" t="inlineStr">
        <is>
          <t>-</t>
        </is>
      </c>
      <c r="VM360" s="9" t="n">
        <v>210</v>
      </c>
      <c r="VQ360" s="9" t="inlineStr">
        <is>
          <t>BALANCE</t>
        </is>
      </c>
      <c r="VR360" s="9" t="inlineStr">
        <is>
          <t>-</t>
        </is>
      </c>
      <c r="VS360" s="9" t="inlineStr">
        <is>
          <t>-</t>
        </is>
      </c>
      <c r="VT360" s="9" t="inlineStr">
        <is>
          <t>-</t>
        </is>
      </c>
      <c r="VU360" s="9" t="inlineStr">
        <is>
          <t>-</t>
        </is>
      </c>
      <c r="VV360" s="9" t="n">
        <v>0</v>
      </c>
      <c r="VZ360" s="9" t="inlineStr">
        <is>
          <t>BALANCE</t>
        </is>
      </c>
      <c r="WA360" s="9" t="inlineStr">
        <is>
          <t>-</t>
        </is>
      </c>
      <c r="WB360" s="9" t="inlineStr">
        <is>
          <t>-</t>
        </is>
      </c>
      <c r="WC360" s="9" t="inlineStr">
        <is>
          <t>-</t>
        </is>
      </c>
      <c r="WD360" s="9" t="inlineStr">
        <is>
          <t>-</t>
        </is>
      </c>
      <c r="WE360" s="9" t="n">
        <v>0</v>
      </c>
      <c r="WI360" s="9" t="inlineStr">
        <is>
          <t>BALANCE</t>
        </is>
      </c>
      <c r="WJ360" s="9" t="inlineStr">
        <is>
          <t>-</t>
        </is>
      </c>
      <c r="WK360" s="9" t="inlineStr">
        <is>
          <t>-</t>
        </is>
      </c>
      <c r="WL360" s="9" t="inlineStr">
        <is>
          <t>-</t>
        </is>
      </c>
      <c r="WM360" s="9" t="inlineStr">
        <is>
          <t>-</t>
        </is>
      </c>
      <c r="WN360" s="9" t="n">
        <v>1057</v>
      </c>
      <c r="WR360" s="9" t="inlineStr">
        <is>
          <t>BALANCE</t>
        </is>
      </c>
      <c r="WS360" s="9" t="inlineStr">
        <is>
          <t>-</t>
        </is>
      </c>
      <c r="WT360" s="9" t="inlineStr">
        <is>
          <t>-</t>
        </is>
      </c>
      <c r="WU360" s="9" t="inlineStr">
        <is>
          <t>-</t>
        </is>
      </c>
      <c r="WV360" s="9" t="inlineStr">
        <is>
          <t>-</t>
        </is>
      </c>
      <c r="WW360" s="9" t="n">
        <v>0</v>
      </c>
      <c r="XA360" s="9" t="inlineStr">
        <is>
          <t>BALANCE</t>
        </is>
      </c>
      <c r="XB360" s="9" t="inlineStr">
        <is>
          <t>-</t>
        </is>
      </c>
      <c r="XC360" s="9" t="inlineStr">
        <is>
          <t>-</t>
        </is>
      </c>
      <c r="XD360" s="9" t="inlineStr">
        <is>
          <t>-</t>
        </is>
      </c>
      <c r="XE360" s="9" t="inlineStr">
        <is>
          <t>-</t>
        </is>
      </c>
      <c r="XF360" s="9" t="n">
        <v>7507</v>
      </c>
      <c r="XJ360" s="9" t="inlineStr">
        <is>
          <t>BALANCE</t>
        </is>
      </c>
      <c r="XK360" s="9" t="inlineStr">
        <is>
          <t>-</t>
        </is>
      </c>
      <c r="XL360" s="9" t="inlineStr">
        <is>
          <t>-</t>
        </is>
      </c>
      <c r="XM360" s="9" t="inlineStr">
        <is>
          <t>-</t>
        </is>
      </c>
      <c r="XN360" s="9" t="inlineStr">
        <is>
          <t>-</t>
        </is>
      </c>
      <c r="XO360" s="9" t="n">
        <v>4252</v>
      </c>
      <c r="XS360" s="9" t="inlineStr">
        <is>
          <t>BALANCE</t>
        </is>
      </c>
      <c r="XT360" s="9" t="inlineStr">
        <is>
          <t>-</t>
        </is>
      </c>
      <c r="XU360" s="9" t="inlineStr">
        <is>
          <t>-</t>
        </is>
      </c>
      <c r="XV360" s="9" t="inlineStr">
        <is>
          <t>-</t>
        </is>
      </c>
      <c r="XW360" s="9" t="inlineStr">
        <is>
          <t>-</t>
        </is>
      </c>
      <c r="XX360" s="9" t="n">
        <v>2179</v>
      </c>
      <c r="YB360" s="9" t="inlineStr">
        <is>
          <t>BALANCE</t>
        </is>
      </c>
      <c r="YC360" s="9" t="inlineStr">
        <is>
          <t>-</t>
        </is>
      </c>
      <c r="YD360" s="9" t="inlineStr">
        <is>
          <t>-</t>
        </is>
      </c>
      <c r="YE360" s="9" t="inlineStr">
        <is>
          <t>-</t>
        </is>
      </c>
      <c r="YF360" s="9" t="inlineStr">
        <is>
          <t>-</t>
        </is>
      </c>
      <c r="YG360" s="9" t="n">
        <v>4019</v>
      </c>
      <c r="YK360" s="9" t="inlineStr">
        <is>
          <t>BALANCE</t>
        </is>
      </c>
      <c r="YL360" s="9" t="inlineStr">
        <is>
          <t>-</t>
        </is>
      </c>
      <c r="YM360" s="9" t="inlineStr">
        <is>
          <t>-</t>
        </is>
      </c>
      <c r="YN360" s="9" t="inlineStr">
        <is>
          <t>-</t>
        </is>
      </c>
      <c r="YO360" s="9" t="inlineStr">
        <is>
          <t>-</t>
        </is>
      </c>
      <c r="YP360" s="9" t="n">
        <v>-218</v>
      </c>
      <c r="YT360" s="9" t="inlineStr">
        <is>
          <t>BALANCE</t>
        </is>
      </c>
      <c r="YU360" s="9" t="inlineStr">
        <is>
          <t>-</t>
        </is>
      </c>
      <c r="YV360" s="9" t="inlineStr">
        <is>
          <t>-</t>
        </is>
      </c>
      <c r="YW360" s="9" t="inlineStr">
        <is>
          <t>-</t>
        </is>
      </c>
      <c r="YX360" s="9" t="inlineStr">
        <is>
          <t>-</t>
        </is>
      </c>
      <c r="YY360" s="9" t="n">
        <v>0</v>
      </c>
      <c r="ZC360" s="9" t="inlineStr">
        <is>
          <t>BALANCE</t>
        </is>
      </c>
      <c r="ZD360" s="9" t="inlineStr">
        <is>
          <t>-</t>
        </is>
      </c>
      <c r="ZE360" s="9" t="inlineStr">
        <is>
          <t>-</t>
        </is>
      </c>
      <c r="ZF360" s="9" t="inlineStr">
        <is>
          <t>-</t>
        </is>
      </c>
      <c r="ZG360" s="9" t="inlineStr">
        <is>
          <t>-</t>
        </is>
      </c>
      <c r="ZH360" s="9" t="n">
        <v>0</v>
      </c>
      <c r="ZL360" s="9" t="inlineStr">
        <is>
          <t>BALANCE</t>
        </is>
      </c>
      <c r="ZM360" s="9" t="inlineStr">
        <is>
          <t>-</t>
        </is>
      </c>
      <c r="ZN360" s="9" t="inlineStr">
        <is>
          <t>-</t>
        </is>
      </c>
      <c r="ZO360" s="9" t="inlineStr">
        <is>
          <t>-</t>
        </is>
      </c>
      <c r="ZP360" s="9" t="inlineStr">
        <is>
          <t>-</t>
        </is>
      </c>
      <c r="ZQ360" s="9" t="n">
        <v>0</v>
      </c>
      <c r="ZU360" s="9" t="inlineStr">
        <is>
          <t>BALANCE</t>
        </is>
      </c>
      <c r="ZV360" s="9" t="inlineStr">
        <is>
          <t>-</t>
        </is>
      </c>
      <c r="ZW360" s="9" t="inlineStr">
        <is>
          <t>-</t>
        </is>
      </c>
      <c r="ZX360" s="9" t="inlineStr">
        <is>
          <t>-</t>
        </is>
      </c>
      <c r="ZY360" s="9" t="inlineStr">
        <is>
          <t>-</t>
        </is>
      </c>
      <c r="ZZ360" s="9" t="n">
        <v>0</v>
      </c>
      <c r="AAD360" s="9" t="inlineStr">
        <is>
          <t>BALANCE</t>
        </is>
      </c>
      <c r="AAE360" s="9" t="inlineStr">
        <is>
          <t>-</t>
        </is>
      </c>
      <c r="AAF360" s="9" t="inlineStr">
        <is>
          <t>-</t>
        </is>
      </c>
      <c r="AAG360" s="9" t="inlineStr">
        <is>
          <t>-</t>
        </is>
      </c>
      <c r="AAH360" s="9" t="inlineStr">
        <is>
          <t>-</t>
        </is>
      </c>
      <c r="AAI360" s="9" t="n">
        <v>0</v>
      </c>
      <c r="AAM360" s="9" t="inlineStr">
        <is>
          <t>BALANCE</t>
        </is>
      </c>
      <c r="AAN360" s="9" t="inlineStr">
        <is>
          <t>-</t>
        </is>
      </c>
      <c r="AAO360" s="9" t="inlineStr">
        <is>
          <t>-</t>
        </is>
      </c>
      <c r="AAP360" s="9" t="inlineStr">
        <is>
          <t>-</t>
        </is>
      </c>
      <c r="AAQ360" s="9" t="inlineStr">
        <is>
          <t>-</t>
        </is>
      </c>
      <c r="AAR360" s="9" t="n">
        <v>0</v>
      </c>
      <c r="AAV360" s="9" t="inlineStr">
        <is>
          <t>BALANCE</t>
        </is>
      </c>
      <c r="AAW360" s="9" t="inlineStr">
        <is>
          <t>-</t>
        </is>
      </c>
      <c r="AAX360" s="9" t="inlineStr">
        <is>
          <t>-</t>
        </is>
      </c>
      <c r="AAY360" s="9" t="inlineStr">
        <is>
          <t>-</t>
        </is>
      </c>
      <c r="AAZ360" s="9" t="inlineStr">
        <is>
          <t>-</t>
        </is>
      </c>
      <c r="ABA360" s="9" t="n">
        <v>0</v>
      </c>
      <c r="ABE360" s="9" t="inlineStr">
        <is>
          <t>BALANCE</t>
        </is>
      </c>
      <c r="ABF360" s="9" t="inlineStr">
        <is>
          <t>-</t>
        </is>
      </c>
      <c r="ABG360" s="9" t="inlineStr">
        <is>
          <t>-</t>
        </is>
      </c>
      <c r="ABH360" s="9" t="inlineStr">
        <is>
          <t>-</t>
        </is>
      </c>
      <c r="ABI360" s="9" t="inlineStr">
        <is>
          <t>-</t>
        </is>
      </c>
      <c r="ABJ360" s="9" t="n">
        <v>0</v>
      </c>
    </row>
    <row r="361">
      <c r="C361" s="10" t="n">
        <v>46327</v>
      </c>
      <c r="E361" s="9" t="n">
        <v>0</v>
      </c>
      <c r="G361" s="9" t="n">
        <v>0</v>
      </c>
      <c r="H361" s="9" t="n">
        <v>236936.6</v>
      </c>
      <c r="L361" s="10" t="n">
        <v>46327</v>
      </c>
      <c r="N361" s="9" t="n">
        <v>0</v>
      </c>
      <c r="P361" s="9" t="n">
        <v>0</v>
      </c>
      <c r="Q361" s="9" t="n">
        <v>53017.60000000007</v>
      </c>
      <c r="U361" s="10" t="n">
        <v>46327</v>
      </c>
      <c r="W361" s="9" t="n">
        <v>0</v>
      </c>
      <c r="Y361" s="9" t="n">
        <v>0</v>
      </c>
      <c r="Z361" s="9" t="n">
        <v>42674.19999999997</v>
      </c>
      <c r="AD361" s="10" t="n">
        <v>46327</v>
      </c>
      <c r="AF361" s="9" t="n">
        <v>0</v>
      </c>
      <c r="AH361" s="9" t="n">
        <v>0</v>
      </c>
      <c r="AI361" s="9" t="n">
        <v>4522.200000000019</v>
      </c>
      <c r="AM361" s="10" t="n">
        <v>46327</v>
      </c>
      <c r="AO361" s="9" t="n">
        <v>0</v>
      </c>
      <c r="AQ361" s="9" t="n">
        <v>0</v>
      </c>
      <c r="AR361" s="9" t="n">
        <v>0</v>
      </c>
      <c r="AV361" s="10" t="n">
        <v>46327</v>
      </c>
      <c r="AX361" s="9" t="n">
        <v>0</v>
      </c>
      <c r="AZ361" s="9" t="n">
        <v>0</v>
      </c>
      <c r="BA361" s="9" t="n">
        <v>124.9999999999952</v>
      </c>
      <c r="BE361" s="10" t="n">
        <v>46327</v>
      </c>
      <c r="BG361" s="9" t="n">
        <v>0</v>
      </c>
      <c r="BI361" s="9" t="n">
        <v>0</v>
      </c>
      <c r="BJ361" s="9" t="n">
        <v>26151.9</v>
      </c>
      <c r="BN361" s="10" t="n">
        <v>46327</v>
      </c>
      <c r="BP361" s="9" t="n">
        <v>0</v>
      </c>
      <c r="BR361" s="9" t="n">
        <v>0</v>
      </c>
      <c r="BS361" s="9" t="n">
        <v>0</v>
      </c>
      <c r="BW361" s="10" t="n">
        <v>46327</v>
      </c>
      <c r="BY361" s="9" t="n">
        <v>0</v>
      </c>
      <c r="CA361" s="9" t="n">
        <v>0</v>
      </c>
      <c r="CB361" s="9" t="n">
        <v>2097.339999999999</v>
      </c>
      <c r="CF361" s="10" t="n">
        <v>46327</v>
      </c>
      <c r="CH361" s="9" t="n">
        <v>0</v>
      </c>
      <c r="CJ361" s="9" t="n">
        <v>0</v>
      </c>
      <c r="CK361" s="9" t="n">
        <v>-10277.08</v>
      </c>
      <c r="CO361" s="10" t="n">
        <v>46327</v>
      </c>
      <c r="CQ361" s="9" t="n">
        <v>0</v>
      </c>
      <c r="CS361" s="9" t="n">
        <v>0</v>
      </c>
      <c r="CT361" s="9" t="n">
        <v>0</v>
      </c>
      <c r="CX361" s="10" t="n">
        <v>46327</v>
      </c>
      <c r="CZ361" s="9" t="n">
        <v>0</v>
      </c>
      <c r="DB361" s="9" t="n">
        <v>0</v>
      </c>
      <c r="DC361" s="9" t="n">
        <v>27438.20000000001</v>
      </c>
      <c r="DG361" s="10" t="n">
        <v>46327</v>
      </c>
      <c r="DI361" s="9" t="n">
        <v>0</v>
      </c>
      <c r="DK361" s="9" t="n">
        <v>0</v>
      </c>
      <c r="DL361" s="9" t="n">
        <v>18782.29999999998</v>
      </c>
      <c r="DP361" s="10" t="n">
        <v>46327</v>
      </c>
      <c r="DR361" s="9" t="n">
        <v>0</v>
      </c>
      <c r="DT361" s="9" t="n">
        <v>0</v>
      </c>
      <c r="DU361" s="9" t="n">
        <v>5800</v>
      </c>
      <c r="DY361" s="10" t="n">
        <v>46327</v>
      </c>
      <c r="EA361" s="9" t="n">
        <v>0</v>
      </c>
      <c r="EC361" s="9" t="n">
        <v>0</v>
      </c>
      <c r="ED361" s="9" t="n">
        <v>0</v>
      </c>
      <c r="EH361" s="10" t="n">
        <v>46327</v>
      </c>
      <c r="EJ361" s="9" t="n">
        <v>0</v>
      </c>
      <c r="EL361" s="9" t="n">
        <v>0</v>
      </c>
      <c r="EM361" s="9" t="n">
        <v>0</v>
      </c>
      <c r="EQ361" s="10" t="n">
        <v>46327</v>
      </c>
      <c r="ES361" s="9" t="n">
        <v>0</v>
      </c>
      <c r="EU361" s="9" t="n">
        <v>0</v>
      </c>
      <c r="EV361" s="9" t="n">
        <v>0</v>
      </c>
      <c r="EZ361" s="10" t="n">
        <v>46327</v>
      </c>
      <c r="FB361" s="9" t="n">
        <v>0</v>
      </c>
      <c r="FD361" s="9" t="n">
        <v>0</v>
      </c>
      <c r="FE361" s="9" t="n">
        <v>0</v>
      </c>
      <c r="FI361" s="10" t="n">
        <v>46327</v>
      </c>
      <c r="FK361" s="9" t="n">
        <v>0</v>
      </c>
      <c r="FM361" s="9" t="n">
        <v>0</v>
      </c>
      <c r="FN361" s="9" t="n">
        <v>0</v>
      </c>
      <c r="FR361" s="10" t="n">
        <v>46327</v>
      </c>
      <c r="FT361" s="9" t="n">
        <v>0</v>
      </c>
      <c r="FV361" s="9" t="n">
        <v>0</v>
      </c>
      <c r="FW361" s="9" t="n">
        <v>2020</v>
      </c>
      <c r="GA361" s="10" t="n">
        <v>46327</v>
      </c>
      <c r="GC361" s="9" t="n">
        <v>0</v>
      </c>
      <c r="GE361" s="9" t="n">
        <v>0</v>
      </c>
      <c r="GF361" s="9" t="n">
        <v>960</v>
      </c>
      <c r="GJ361" s="10" t="n">
        <v>46327</v>
      </c>
      <c r="GL361" s="9" t="n">
        <v>0</v>
      </c>
      <c r="GN361" s="9" t="n">
        <v>0</v>
      </c>
      <c r="GO361" s="9" t="n">
        <v>1760</v>
      </c>
      <c r="GS361" s="10" t="n">
        <v>46327</v>
      </c>
      <c r="GU361" s="9" t="n">
        <v>0</v>
      </c>
      <c r="GW361" s="9" t="n">
        <v>0</v>
      </c>
      <c r="GX361" s="9" t="n">
        <v>400</v>
      </c>
      <c r="HB361" s="10" t="n">
        <v>46327</v>
      </c>
      <c r="HD361" s="9" t="n">
        <v>0</v>
      </c>
      <c r="HF361" s="9" t="n">
        <v>0</v>
      </c>
      <c r="HG361" s="9" t="n">
        <v>3600</v>
      </c>
      <c r="HK361" s="10" t="n">
        <v>46327</v>
      </c>
      <c r="HM361" s="9" t="n">
        <v>0</v>
      </c>
      <c r="HO361" s="9" t="n">
        <v>0</v>
      </c>
      <c r="HP361" s="9" t="n">
        <v>0</v>
      </c>
      <c r="HU361" s="10" t="n">
        <v>46327</v>
      </c>
      <c r="HW361" s="9" t="n">
        <v>0</v>
      </c>
      <c r="HY361" s="9" t="n">
        <v>0</v>
      </c>
      <c r="HZ361" s="9" t="n">
        <v>6120</v>
      </c>
      <c r="ID361" s="10" t="n">
        <v>46327</v>
      </c>
      <c r="IF361" s="9" t="n">
        <v>0</v>
      </c>
      <c r="IH361" s="9" t="n">
        <v>0</v>
      </c>
      <c r="II361" s="9" t="n">
        <v>0</v>
      </c>
      <c r="IM361" s="10" t="n">
        <v>46327</v>
      </c>
      <c r="IO361" s="9" t="n">
        <v>0</v>
      </c>
      <c r="IQ361" s="9" t="n">
        <v>0</v>
      </c>
      <c r="IR361" s="9" t="n">
        <v>0</v>
      </c>
      <c r="IV361" s="10" t="n">
        <v>46327</v>
      </c>
      <c r="IX361" s="9" t="n">
        <v>0</v>
      </c>
      <c r="IZ361" s="9" t="n">
        <v>0</v>
      </c>
      <c r="JA361" s="9" t="n">
        <v>2820</v>
      </c>
      <c r="JE361" s="10" t="n">
        <v>46327</v>
      </c>
      <c r="JG361" s="9" t="n">
        <v>0</v>
      </c>
      <c r="JI361" s="9" t="n">
        <v>0</v>
      </c>
      <c r="JJ361" s="9" t="n">
        <v>0</v>
      </c>
      <c r="JN361" s="10" t="n">
        <v>46327</v>
      </c>
      <c r="JP361" s="9" t="n">
        <v>0</v>
      </c>
      <c r="JR361" s="9" t="n">
        <v>0</v>
      </c>
      <c r="JS361" s="9" t="n">
        <v>0</v>
      </c>
      <c r="JW361" s="10" t="n">
        <v>46327</v>
      </c>
      <c r="JY361" s="9" t="n">
        <v>0</v>
      </c>
      <c r="KA361" s="9" t="n">
        <v>0</v>
      </c>
      <c r="KB361" s="9" t="n">
        <v>2540</v>
      </c>
      <c r="KF361" s="10" t="n">
        <v>46327</v>
      </c>
      <c r="KH361" s="9" t="n">
        <v>0</v>
      </c>
      <c r="KJ361" s="9" t="n">
        <v>0</v>
      </c>
      <c r="KK361" s="9" t="n">
        <v>2359.5</v>
      </c>
      <c r="KO361" s="10" t="n">
        <v>46327</v>
      </c>
      <c r="KQ361" s="9" t="n">
        <v>0</v>
      </c>
      <c r="KS361" s="9" t="n">
        <v>0</v>
      </c>
      <c r="KT361" s="9" t="n">
        <v>1890</v>
      </c>
      <c r="KX361" s="10" t="n">
        <v>46327</v>
      </c>
      <c r="KZ361" s="9" t="n">
        <v>0</v>
      </c>
      <c r="LB361" s="9" t="n">
        <v>0</v>
      </c>
      <c r="LC361" s="9" t="n">
        <v>3690</v>
      </c>
      <c r="LG361" s="10" t="n">
        <v>46327</v>
      </c>
      <c r="LI361" s="9" t="n">
        <v>0</v>
      </c>
      <c r="LK361" s="9" t="n">
        <v>0</v>
      </c>
      <c r="LL361" s="9" t="n">
        <v>4000</v>
      </c>
      <c r="LP361" s="10" t="n">
        <v>46327</v>
      </c>
      <c r="LR361" s="9" t="n">
        <v>0</v>
      </c>
      <c r="LT361" s="9" t="n">
        <v>0</v>
      </c>
      <c r="LU361" s="9" t="n">
        <v>0</v>
      </c>
      <c r="LY361" s="10" t="n">
        <v>46327</v>
      </c>
      <c r="MA361" s="9" t="n">
        <v>0</v>
      </c>
      <c r="MC361" s="9" t="n">
        <v>0</v>
      </c>
      <c r="MD361" s="9" t="n">
        <v>0</v>
      </c>
      <c r="MH361" s="10" t="n">
        <v>46327</v>
      </c>
      <c r="MJ361" s="9" t="n">
        <v>0</v>
      </c>
      <c r="ML361" s="9" t="n">
        <v>0</v>
      </c>
      <c r="MM361" s="9" t="n">
        <v>0</v>
      </c>
      <c r="MQ361" s="10" t="n">
        <v>46327</v>
      </c>
      <c r="MS361" s="9" t="n">
        <v>0</v>
      </c>
      <c r="MU361" s="9" t="n">
        <v>0</v>
      </c>
      <c r="MV361" s="9" t="n">
        <v>1625</v>
      </c>
      <c r="MZ361" s="10" t="n">
        <v>46327</v>
      </c>
      <c r="NB361" s="9" t="n">
        <v>0</v>
      </c>
      <c r="ND361" s="9" t="n">
        <v>0</v>
      </c>
      <c r="NE361" s="9" t="n">
        <v>0</v>
      </c>
      <c r="NI361" s="10" t="n">
        <v>46327</v>
      </c>
      <c r="NK361" s="9" t="n">
        <v>0</v>
      </c>
      <c r="NM361" s="9" t="n">
        <v>0</v>
      </c>
      <c r="NN361" s="9" t="n">
        <v>1127</v>
      </c>
      <c r="NR361" s="10" t="n">
        <v>46327</v>
      </c>
      <c r="NT361" s="9" t="n">
        <v>0</v>
      </c>
      <c r="NV361" s="9" t="n">
        <v>0</v>
      </c>
      <c r="NW361" s="9" t="n">
        <v>3112</v>
      </c>
      <c r="OA361" s="10" t="n">
        <v>46327</v>
      </c>
      <c r="OC361" s="9" t="n">
        <v>0</v>
      </c>
      <c r="OE361" s="9" t="n">
        <v>0</v>
      </c>
      <c r="OF361" s="9" t="n">
        <v>1680.5</v>
      </c>
      <c r="OJ361" s="10" t="n">
        <v>46327</v>
      </c>
      <c r="OL361" s="9" t="n">
        <v>0</v>
      </c>
      <c r="ON361" s="9" t="n">
        <v>0</v>
      </c>
      <c r="OO361" s="9" t="n">
        <v>0</v>
      </c>
      <c r="OS361" s="10" t="n">
        <v>46327</v>
      </c>
      <c r="OU361" s="9" t="n">
        <v>0</v>
      </c>
      <c r="OW361" s="9" t="n">
        <v>0</v>
      </c>
      <c r="OX361" s="9" t="n">
        <v>1482</v>
      </c>
      <c r="PB361" s="10" t="n">
        <v>46327</v>
      </c>
      <c r="PD361" s="9" t="n">
        <v>0</v>
      </c>
      <c r="PF361" s="9" t="n">
        <v>0</v>
      </c>
      <c r="PG361" s="9" t="n">
        <v>0</v>
      </c>
      <c r="PK361" s="10" t="n">
        <v>46327</v>
      </c>
      <c r="PM361" s="9" t="n">
        <v>0</v>
      </c>
      <c r="PO361" s="9" t="n">
        <v>0</v>
      </c>
      <c r="PP361" s="9" t="n">
        <v>100</v>
      </c>
      <c r="PT361" s="10" t="n">
        <v>46327</v>
      </c>
      <c r="PV361" s="9" t="n">
        <v>0</v>
      </c>
      <c r="PX361" s="9" t="n">
        <v>0</v>
      </c>
      <c r="PY361" s="9" t="n">
        <v>13.96000000000004</v>
      </c>
      <c r="QC361" s="10" t="n">
        <v>46327</v>
      </c>
      <c r="QE361" s="9" t="n">
        <v>0</v>
      </c>
      <c r="QG361" s="9" t="n">
        <v>0</v>
      </c>
      <c r="QH361" s="9" t="n">
        <v>548</v>
      </c>
      <c r="QL361" s="10" t="n">
        <v>46327</v>
      </c>
      <c r="QN361" s="9" t="n">
        <v>0</v>
      </c>
      <c r="QP361" s="9" t="n">
        <v>0</v>
      </c>
      <c r="QQ361" s="9" t="n">
        <v>0</v>
      </c>
      <c r="QU361" s="10" t="n">
        <v>46327</v>
      </c>
      <c r="QW361" s="9" t="n">
        <v>0</v>
      </c>
      <c r="QY361" s="9" t="n">
        <v>0</v>
      </c>
      <c r="QZ361" s="9" t="n">
        <v>0</v>
      </c>
      <c r="RD361" s="10" t="n">
        <v>46327</v>
      </c>
      <c r="RF361" s="9" t="n">
        <v>0</v>
      </c>
      <c r="RH361" s="9" t="n">
        <v>0</v>
      </c>
      <c r="RI361" s="9" t="n">
        <v>147.04</v>
      </c>
      <c r="RM361" s="10" t="n">
        <v>46327</v>
      </c>
      <c r="RO361" s="9" t="n">
        <v>0</v>
      </c>
      <c r="RQ361" s="9" t="n">
        <v>0</v>
      </c>
      <c r="RR361" s="9" t="n">
        <v>46.8</v>
      </c>
      <c r="RV361" s="10" t="n">
        <v>46327</v>
      </c>
      <c r="RX361" s="9" t="n">
        <v>0</v>
      </c>
      <c r="RZ361" s="9" t="n">
        <v>0</v>
      </c>
      <c r="SA361" s="9" t="n">
        <v>0</v>
      </c>
      <c r="SE361" s="10" t="n">
        <v>46327</v>
      </c>
      <c r="SG361" s="9" t="n">
        <v>0</v>
      </c>
      <c r="SI361" s="9" t="n">
        <v>0</v>
      </c>
      <c r="SJ361" s="9" t="n">
        <v>24.2</v>
      </c>
      <c r="SN361" s="10" t="n">
        <v>46327</v>
      </c>
      <c r="SP361" s="9" t="n">
        <v>0</v>
      </c>
      <c r="SR361" s="9" t="n">
        <v>0</v>
      </c>
      <c r="SS361" s="9" t="n">
        <v>32</v>
      </c>
      <c r="SW361" s="10" t="n">
        <v>46327</v>
      </c>
      <c r="SY361" s="9" t="n">
        <v>0</v>
      </c>
      <c r="TA361" s="9" t="n">
        <v>0</v>
      </c>
      <c r="TB361" s="9" t="n">
        <v>0</v>
      </c>
      <c r="TF361" s="10" t="n">
        <v>46327</v>
      </c>
      <c r="TH361" s="9" t="n">
        <v>0</v>
      </c>
      <c r="TJ361" s="9" t="n">
        <v>0</v>
      </c>
      <c r="TK361" s="9" t="n">
        <v>0</v>
      </c>
      <c r="TO361" s="10" t="n">
        <v>46327</v>
      </c>
      <c r="TQ361" s="9" t="n">
        <v>0</v>
      </c>
      <c r="TS361" s="9" t="n">
        <v>0</v>
      </c>
      <c r="TT361" s="9" t="n">
        <v>0</v>
      </c>
      <c r="TX361" s="10" t="n">
        <v>46327</v>
      </c>
      <c r="TZ361" s="9" t="n">
        <v>0</v>
      </c>
      <c r="UB361" s="9" t="n">
        <v>0</v>
      </c>
      <c r="UC361" s="9" t="n">
        <v>46.79999999999998</v>
      </c>
      <c r="UG361" s="10" t="n">
        <v>46327</v>
      </c>
      <c r="UI361" s="9" t="n">
        <v>0</v>
      </c>
      <c r="UK361" s="9" t="n">
        <v>0</v>
      </c>
      <c r="UL361" s="9" t="n">
        <v>204</v>
      </c>
      <c r="UP361" s="10" t="n">
        <v>46327</v>
      </c>
      <c r="UR361" s="9" t="n">
        <v>0</v>
      </c>
      <c r="UT361" s="9" t="n">
        <v>0</v>
      </c>
      <c r="UU361" s="9" t="n">
        <v>202.5</v>
      </c>
      <c r="UY361" s="10" t="n">
        <v>46327</v>
      </c>
      <c r="VA361" s="9" t="n">
        <v>0</v>
      </c>
      <c r="VC361" s="9" t="n">
        <v>0</v>
      </c>
      <c r="VD361" s="9" t="n">
        <v>41.60000000000002</v>
      </c>
      <c r="VH361" s="10" t="n">
        <v>46327</v>
      </c>
      <c r="VJ361" s="9" t="n">
        <v>0</v>
      </c>
      <c r="VL361" s="9" t="n">
        <v>0</v>
      </c>
      <c r="VM361" s="9" t="n">
        <v>210</v>
      </c>
      <c r="VQ361" s="10" t="n">
        <v>46327</v>
      </c>
      <c r="VS361" s="9" t="n">
        <v>0</v>
      </c>
      <c r="VU361" s="9" t="n">
        <v>0</v>
      </c>
      <c r="VV361" s="9" t="n">
        <v>0</v>
      </c>
      <c r="VZ361" s="10" t="n">
        <v>46327</v>
      </c>
      <c r="WB361" s="9" t="n">
        <v>0</v>
      </c>
      <c r="WD361" s="9" t="n">
        <v>0</v>
      </c>
      <c r="WE361" s="9" t="n">
        <v>0</v>
      </c>
      <c r="WI361" s="10" t="n">
        <v>46327</v>
      </c>
      <c r="WK361" s="9" t="n">
        <v>0</v>
      </c>
      <c r="WM361" s="9" t="n">
        <v>0</v>
      </c>
      <c r="WN361" s="9" t="n">
        <v>1057</v>
      </c>
      <c r="WR361" s="10" t="n">
        <v>46327</v>
      </c>
      <c r="WT361" s="9" t="n">
        <v>0</v>
      </c>
      <c r="WV361" s="9" t="n">
        <v>0</v>
      </c>
      <c r="WW361" s="9" t="n">
        <v>0</v>
      </c>
      <c r="XA361" s="10" t="n">
        <v>46327</v>
      </c>
      <c r="XC361" s="9" t="n">
        <v>0</v>
      </c>
      <c r="XE361" s="9" t="n">
        <v>0</v>
      </c>
      <c r="XF361" s="9" t="n">
        <v>7507</v>
      </c>
      <c r="XJ361" s="10" t="n">
        <v>46327</v>
      </c>
      <c r="XL361" s="9" t="n">
        <v>0</v>
      </c>
      <c r="XN361" s="9" t="n">
        <v>0</v>
      </c>
      <c r="XO361" s="9" t="n">
        <v>4252</v>
      </c>
      <c r="XS361" s="10" t="n">
        <v>46327</v>
      </c>
      <c r="XU361" s="9" t="n">
        <v>0</v>
      </c>
      <c r="XW361" s="9" t="n">
        <v>0</v>
      </c>
      <c r="XX361" s="9" t="n">
        <v>2179</v>
      </c>
      <c r="YB361" s="10" t="n">
        <v>46327</v>
      </c>
      <c r="YD361" s="9" t="n">
        <v>0</v>
      </c>
      <c r="YF361" s="9" t="n">
        <v>0</v>
      </c>
      <c r="YG361" s="9" t="n">
        <v>4019</v>
      </c>
      <c r="YK361" s="10" t="n">
        <v>46327</v>
      </c>
      <c r="YM361" s="9" t="n">
        <v>0</v>
      </c>
      <c r="YO361" s="9" t="n">
        <v>0</v>
      </c>
      <c r="YP361" s="9" t="n">
        <v>-218</v>
      </c>
      <c r="YT361" s="10" t="n">
        <v>46327</v>
      </c>
      <c r="YV361" s="9" t="n">
        <v>0</v>
      </c>
      <c r="YX361" s="9" t="n">
        <v>0</v>
      </c>
      <c r="YY361" s="9" t="n">
        <v>0</v>
      </c>
      <c r="ZC361" s="10" t="n">
        <v>46327</v>
      </c>
      <c r="ZE361" s="9" t="n">
        <v>0</v>
      </c>
      <c r="ZG361" s="9" t="n">
        <v>0</v>
      </c>
      <c r="ZH361" s="9" t="n">
        <v>0</v>
      </c>
      <c r="ZL361" s="10" t="n">
        <v>46327</v>
      </c>
      <c r="ZN361" s="9" t="n">
        <v>0</v>
      </c>
      <c r="ZP361" s="9" t="n">
        <v>0</v>
      </c>
      <c r="ZQ361" s="9" t="n">
        <v>0</v>
      </c>
      <c r="ZU361" s="10" t="n">
        <v>46327</v>
      </c>
      <c r="ZW361" s="9" t="n">
        <v>0</v>
      </c>
      <c r="ZY361" s="9" t="n">
        <v>0</v>
      </c>
      <c r="ZZ361" s="9" t="n">
        <v>0</v>
      </c>
      <c r="AAD361" s="10" t="n">
        <v>46327</v>
      </c>
      <c r="AAF361" s="9" t="n">
        <v>0</v>
      </c>
      <c r="AAH361" s="9" t="n">
        <v>0</v>
      </c>
      <c r="AAI361" s="9" t="n">
        <v>0</v>
      </c>
      <c r="AAM361" s="10" t="n">
        <v>46327</v>
      </c>
      <c r="AAO361" s="9" t="n">
        <v>0</v>
      </c>
      <c r="AAQ361" s="9" t="n">
        <v>0</v>
      </c>
      <c r="AAR361" s="9" t="n">
        <v>0</v>
      </c>
      <c r="AAV361" s="10" t="n">
        <v>46327</v>
      </c>
      <c r="AAX361" s="9" t="n">
        <v>0</v>
      </c>
      <c r="AAZ361" s="9" t="n">
        <v>0</v>
      </c>
      <c r="ABA361" s="9" t="n">
        <v>0</v>
      </c>
      <c r="ABE361" s="10" t="n">
        <v>46327</v>
      </c>
      <c r="ABG361" s="9" t="n">
        <v>0</v>
      </c>
      <c r="ABI361" s="9" t="n">
        <v>0</v>
      </c>
      <c r="ABJ361" s="9" t="n">
        <v>0</v>
      </c>
    </row>
    <row r="362">
      <c r="C362" s="10" t="n">
        <v>46328</v>
      </c>
      <c r="E362" s="9" t="n">
        <v>0</v>
      </c>
      <c r="G362" s="9" t="n">
        <v>0</v>
      </c>
      <c r="H362" s="9" t="n">
        <v>236936.6</v>
      </c>
      <c r="L362" s="10" t="n">
        <v>46328</v>
      </c>
      <c r="N362" s="9" t="n">
        <v>0</v>
      </c>
      <c r="P362" s="9" t="n">
        <v>0</v>
      </c>
      <c r="Q362" s="9" t="n">
        <v>53017.60000000007</v>
      </c>
      <c r="U362" s="10" t="n">
        <v>46328</v>
      </c>
      <c r="W362" s="9" t="n">
        <v>0</v>
      </c>
      <c r="Y362" s="9" t="n">
        <v>0</v>
      </c>
      <c r="Z362" s="9" t="n">
        <v>42674.19999999997</v>
      </c>
      <c r="AD362" s="10" t="n">
        <v>46328</v>
      </c>
      <c r="AF362" s="9" t="n">
        <v>0</v>
      </c>
      <c r="AH362" s="9" t="n">
        <v>0</v>
      </c>
      <c r="AI362" s="9" t="n">
        <v>4522.200000000019</v>
      </c>
      <c r="AM362" s="10" t="n">
        <v>46328</v>
      </c>
      <c r="AO362" s="9" t="n">
        <v>0</v>
      </c>
      <c r="AQ362" s="9" t="n">
        <v>0</v>
      </c>
      <c r="AR362" s="9" t="n">
        <v>0</v>
      </c>
      <c r="AV362" s="10" t="n">
        <v>46328</v>
      </c>
      <c r="AX362" s="9" t="n">
        <v>0</v>
      </c>
      <c r="AZ362" s="9" t="n">
        <v>0</v>
      </c>
      <c r="BA362" s="9" t="n">
        <v>124.9999999999952</v>
      </c>
      <c r="BE362" s="10" t="n">
        <v>46328</v>
      </c>
      <c r="BG362" s="9" t="n">
        <v>0</v>
      </c>
      <c r="BI362" s="9" t="n">
        <v>0</v>
      </c>
      <c r="BJ362" s="9" t="n">
        <v>26151.9</v>
      </c>
      <c r="BN362" s="10" t="n">
        <v>46328</v>
      </c>
      <c r="BP362" s="9" t="n">
        <v>0</v>
      </c>
      <c r="BR362" s="9" t="n">
        <v>0</v>
      </c>
      <c r="BS362" s="9" t="n">
        <v>0</v>
      </c>
      <c r="BW362" s="10" t="n">
        <v>46328</v>
      </c>
      <c r="BY362" s="9" t="n">
        <v>0</v>
      </c>
      <c r="CA362" s="9" t="n">
        <v>0</v>
      </c>
      <c r="CB362" s="9" t="n">
        <v>2097.339999999999</v>
      </c>
      <c r="CF362" s="10" t="n">
        <v>46328</v>
      </c>
      <c r="CH362" s="9" t="n">
        <v>0</v>
      </c>
      <c r="CJ362" s="9" t="n">
        <v>0</v>
      </c>
      <c r="CK362" s="9" t="n">
        <v>-10277.08</v>
      </c>
      <c r="CO362" s="10" t="n">
        <v>46328</v>
      </c>
      <c r="CQ362" s="9" t="n">
        <v>0</v>
      </c>
      <c r="CS362" s="9" t="n">
        <v>0</v>
      </c>
      <c r="CT362" s="9" t="n">
        <v>0</v>
      </c>
      <c r="CX362" s="10" t="n">
        <v>46328</v>
      </c>
      <c r="CZ362" s="9" t="n">
        <v>0</v>
      </c>
      <c r="DB362" s="9" t="n">
        <v>0</v>
      </c>
      <c r="DC362" s="9" t="n">
        <v>27438.20000000001</v>
      </c>
      <c r="DG362" s="10" t="n">
        <v>46328</v>
      </c>
      <c r="DI362" s="9" t="n">
        <v>0</v>
      </c>
      <c r="DK362" s="9" t="n">
        <v>0</v>
      </c>
      <c r="DL362" s="9" t="n">
        <v>18782.29999999998</v>
      </c>
      <c r="DP362" s="10" t="n">
        <v>46328</v>
      </c>
      <c r="DR362" s="9" t="n">
        <v>0</v>
      </c>
      <c r="DT362" s="9" t="n">
        <v>0</v>
      </c>
      <c r="DU362" s="9" t="n">
        <v>5800</v>
      </c>
      <c r="DY362" s="10" t="n">
        <v>46328</v>
      </c>
      <c r="EA362" s="9" t="n">
        <v>0</v>
      </c>
      <c r="EC362" s="9" t="n">
        <v>0</v>
      </c>
      <c r="ED362" s="9" t="n">
        <v>0</v>
      </c>
      <c r="EH362" s="10" t="n">
        <v>46328</v>
      </c>
      <c r="EJ362" s="9" t="n">
        <v>0</v>
      </c>
      <c r="EL362" s="9" t="n">
        <v>0</v>
      </c>
      <c r="EM362" s="9" t="n">
        <v>0</v>
      </c>
      <c r="EQ362" s="10" t="n">
        <v>46328</v>
      </c>
      <c r="ES362" s="9" t="n">
        <v>0</v>
      </c>
      <c r="EU362" s="9" t="n">
        <v>0</v>
      </c>
      <c r="EV362" s="9" t="n">
        <v>0</v>
      </c>
      <c r="EZ362" s="10" t="n">
        <v>46328</v>
      </c>
      <c r="FB362" s="9" t="n">
        <v>0</v>
      </c>
      <c r="FD362" s="9" t="n">
        <v>0</v>
      </c>
      <c r="FE362" s="9" t="n">
        <v>0</v>
      </c>
      <c r="FI362" s="10" t="n">
        <v>46328</v>
      </c>
      <c r="FK362" s="9" t="n">
        <v>0</v>
      </c>
      <c r="FM362" s="9" t="n">
        <v>0</v>
      </c>
      <c r="FN362" s="9" t="n">
        <v>0</v>
      </c>
      <c r="FR362" s="10" t="n">
        <v>46328</v>
      </c>
      <c r="FT362" s="9" t="n">
        <v>0</v>
      </c>
      <c r="FV362" s="9" t="n">
        <v>0</v>
      </c>
      <c r="FW362" s="9" t="n">
        <v>2020</v>
      </c>
      <c r="GA362" s="10" t="n">
        <v>46328</v>
      </c>
      <c r="GC362" s="9" t="n">
        <v>0</v>
      </c>
      <c r="GE362" s="9" t="n">
        <v>0</v>
      </c>
      <c r="GF362" s="9" t="n">
        <v>960</v>
      </c>
      <c r="GJ362" s="10" t="n">
        <v>46328</v>
      </c>
      <c r="GL362" s="9" t="n">
        <v>0</v>
      </c>
      <c r="GN362" s="9" t="n">
        <v>0</v>
      </c>
      <c r="GO362" s="9" t="n">
        <v>1760</v>
      </c>
      <c r="GS362" s="10" t="n">
        <v>46328</v>
      </c>
      <c r="GU362" s="9" t="n">
        <v>0</v>
      </c>
      <c r="GW362" s="9" t="n">
        <v>0</v>
      </c>
      <c r="GX362" s="9" t="n">
        <v>400</v>
      </c>
      <c r="HB362" s="10" t="n">
        <v>46328</v>
      </c>
      <c r="HD362" s="9" t="n">
        <v>0</v>
      </c>
      <c r="HF362" s="9" t="n">
        <v>0</v>
      </c>
      <c r="HG362" s="9" t="n">
        <v>3600</v>
      </c>
      <c r="HK362" s="10" t="n">
        <v>46328</v>
      </c>
      <c r="HM362" s="9" t="n">
        <v>0</v>
      </c>
      <c r="HO362" s="9" t="n">
        <v>0</v>
      </c>
      <c r="HP362" s="9" t="n">
        <v>0</v>
      </c>
      <c r="HU362" s="10" t="n">
        <v>46328</v>
      </c>
      <c r="HW362" s="9" t="n">
        <v>0</v>
      </c>
      <c r="HY362" s="9" t="n">
        <v>0</v>
      </c>
      <c r="HZ362" s="9" t="n">
        <v>6120</v>
      </c>
      <c r="ID362" s="10" t="n">
        <v>46328</v>
      </c>
      <c r="IF362" s="9" t="n">
        <v>0</v>
      </c>
      <c r="IH362" s="9" t="n">
        <v>0</v>
      </c>
      <c r="II362" s="9" t="n">
        <v>0</v>
      </c>
      <c r="IM362" s="10" t="n">
        <v>46328</v>
      </c>
      <c r="IO362" s="9" t="n">
        <v>0</v>
      </c>
      <c r="IQ362" s="9" t="n">
        <v>0</v>
      </c>
      <c r="IR362" s="9" t="n">
        <v>0</v>
      </c>
      <c r="IV362" s="10" t="n">
        <v>46328</v>
      </c>
      <c r="IX362" s="9" t="n">
        <v>0</v>
      </c>
      <c r="IZ362" s="9" t="n">
        <v>0</v>
      </c>
      <c r="JA362" s="9" t="n">
        <v>2820</v>
      </c>
      <c r="JE362" s="10" t="n">
        <v>46328</v>
      </c>
      <c r="JG362" s="9" t="n">
        <v>0</v>
      </c>
      <c r="JI362" s="9" t="n">
        <v>0</v>
      </c>
      <c r="JJ362" s="9" t="n">
        <v>0</v>
      </c>
      <c r="JN362" s="10" t="n">
        <v>46328</v>
      </c>
      <c r="JP362" s="9" t="n">
        <v>0</v>
      </c>
      <c r="JR362" s="9" t="n">
        <v>0</v>
      </c>
      <c r="JS362" s="9" t="n">
        <v>0</v>
      </c>
      <c r="JW362" s="10" t="n">
        <v>46328</v>
      </c>
      <c r="JY362" s="9" t="n">
        <v>0</v>
      </c>
      <c r="KA362" s="9" t="n">
        <v>0</v>
      </c>
      <c r="KB362" s="9" t="n">
        <v>2540</v>
      </c>
      <c r="KF362" s="10" t="n">
        <v>46328</v>
      </c>
      <c r="KH362" s="9" t="n">
        <v>0</v>
      </c>
      <c r="KJ362" s="9" t="n">
        <v>0</v>
      </c>
      <c r="KK362" s="9" t="n">
        <v>2359.5</v>
      </c>
      <c r="KO362" s="10" t="n">
        <v>46328</v>
      </c>
      <c r="KQ362" s="9" t="n">
        <v>0</v>
      </c>
      <c r="KS362" s="9" t="n">
        <v>0</v>
      </c>
      <c r="KT362" s="9" t="n">
        <v>1890</v>
      </c>
      <c r="KX362" s="10" t="n">
        <v>46328</v>
      </c>
      <c r="KZ362" s="9" t="n">
        <v>0</v>
      </c>
      <c r="LB362" s="9" t="n">
        <v>0</v>
      </c>
      <c r="LC362" s="9" t="n">
        <v>3690</v>
      </c>
      <c r="LG362" s="10" t="n">
        <v>46328</v>
      </c>
      <c r="LI362" s="9" t="n">
        <v>0</v>
      </c>
      <c r="LK362" s="9" t="n">
        <v>0</v>
      </c>
      <c r="LL362" s="9" t="n">
        <v>4000</v>
      </c>
      <c r="LP362" s="10" t="n">
        <v>46328</v>
      </c>
      <c r="LR362" s="9" t="n">
        <v>0</v>
      </c>
      <c r="LT362" s="9" t="n">
        <v>0</v>
      </c>
      <c r="LU362" s="9" t="n">
        <v>0</v>
      </c>
      <c r="LY362" s="10" t="n">
        <v>46328</v>
      </c>
      <c r="MA362" s="9" t="n">
        <v>0</v>
      </c>
      <c r="MC362" s="9" t="n">
        <v>0</v>
      </c>
      <c r="MD362" s="9" t="n">
        <v>0</v>
      </c>
      <c r="MH362" s="10" t="n">
        <v>46328</v>
      </c>
      <c r="MJ362" s="9" t="n">
        <v>0</v>
      </c>
      <c r="ML362" s="9" t="n">
        <v>0</v>
      </c>
      <c r="MM362" s="9" t="n">
        <v>0</v>
      </c>
      <c r="MQ362" s="10" t="n">
        <v>46328</v>
      </c>
      <c r="MS362" s="9" t="n">
        <v>0</v>
      </c>
      <c r="MU362" s="9" t="n">
        <v>0</v>
      </c>
      <c r="MV362" s="9" t="n">
        <v>1625</v>
      </c>
      <c r="MZ362" s="10" t="n">
        <v>46328</v>
      </c>
      <c r="NB362" s="9" t="n">
        <v>0</v>
      </c>
      <c r="ND362" s="9" t="n">
        <v>0</v>
      </c>
      <c r="NE362" s="9" t="n">
        <v>0</v>
      </c>
      <c r="NI362" s="10" t="n">
        <v>46328</v>
      </c>
      <c r="NK362" s="9" t="n">
        <v>0</v>
      </c>
      <c r="NM362" s="9" t="n">
        <v>0</v>
      </c>
      <c r="NN362" s="9" t="n">
        <v>1127</v>
      </c>
      <c r="NR362" s="10" t="n">
        <v>46328</v>
      </c>
      <c r="NT362" s="9" t="n">
        <v>0</v>
      </c>
      <c r="NV362" s="9" t="n">
        <v>0</v>
      </c>
      <c r="NW362" s="9" t="n">
        <v>3112</v>
      </c>
      <c r="OA362" s="10" t="n">
        <v>46328</v>
      </c>
      <c r="OC362" s="9" t="n">
        <v>0</v>
      </c>
      <c r="OE362" s="9" t="n">
        <v>0</v>
      </c>
      <c r="OF362" s="9" t="n">
        <v>1680.5</v>
      </c>
      <c r="OJ362" s="10" t="n">
        <v>46328</v>
      </c>
      <c r="OL362" s="9" t="n">
        <v>0</v>
      </c>
      <c r="ON362" s="9" t="n">
        <v>0</v>
      </c>
      <c r="OO362" s="9" t="n">
        <v>0</v>
      </c>
      <c r="OS362" s="10" t="n">
        <v>46328</v>
      </c>
      <c r="OU362" s="9" t="n">
        <v>0</v>
      </c>
      <c r="OW362" s="9" t="n">
        <v>0</v>
      </c>
      <c r="OX362" s="9" t="n">
        <v>1482</v>
      </c>
      <c r="PB362" s="10" t="n">
        <v>46328</v>
      </c>
      <c r="PD362" s="9" t="n">
        <v>0</v>
      </c>
      <c r="PF362" s="9" t="n">
        <v>0</v>
      </c>
      <c r="PG362" s="9" t="n">
        <v>0</v>
      </c>
      <c r="PK362" s="10" t="n">
        <v>46328</v>
      </c>
      <c r="PM362" s="9" t="n">
        <v>0</v>
      </c>
      <c r="PO362" s="9" t="n">
        <v>0</v>
      </c>
      <c r="PP362" s="9" t="n">
        <v>100</v>
      </c>
      <c r="PT362" s="10" t="n">
        <v>46328</v>
      </c>
      <c r="PV362" s="9" t="n">
        <v>0</v>
      </c>
      <c r="PX362" s="9" t="n">
        <v>0</v>
      </c>
      <c r="PY362" s="9" t="n">
        <v>13.96000000000004</v>
      </c>
      <c r="QC362" s="10" t="n">
        <v>46328</v>
      </c>
      <c r="QE362" s="9" t="n">
        <v>0</v>
      </c>
      <c r="QG362" s="9" t="n">
        <v>0</v>
      </c>
      <c r="QH362" s="9" t="n">
        <v>548</v>
      </c>
      <c r="QL362" s="10" t="n">
        <v>46328</v>
      </c>
      <c r="QN362" s="9" t="n">
        <v>0</v>
      </c>
      <c r="QP362" s="9" t="n">
        <v>0</v>
      </c>
      <c r="QQ362" s="9" t="n">
        <v>0</v>
      </c>
      <c r="QU362" s="10" t="n">
        <v>46328</v>
      </c>
      <c r="QW362" s="9" t="n">
        <v>0</v>
      </c>
      <c r="QY362" s="9" t="n">
        <v>0</v>
      </c>
      <c r="QZ362" s="9" t="n">
        <v>0</v>
      </c>
      <c r="RD362" s="10" t="n">
        <v>46328</v>
      </c>
      <c r="RF362" s="9" t="n">
        <v>0</v>
      </c>
      <c r="RH362" s="9" t="n">
        <v>0</v>
      </c>
      <c r="RI362" s="9" t="n">
        <v>147.04</v>
      </c>
      <c r="RM362" s="10" t="n">
        <v>46328</v>
      </c>
      <c r="RO362" s="9" t="n">
        <v>0</v>
      </c>
      <c r="RQ362" s="9" t="n">
        <v>0</v>
      </c>
      <c r="RR362" s="9" t="n">
        <v>46.8</v>
      </c>
      <c r="RV362" s="10" t="n">
        <v>46328</v>
      </c>
      <c r="RX362" s="9" t="n">
        <v>0</v>
      </c>
      <c r="RZ362" s="9" t="n">
        <v>0</v>
      </c>
      <c r="SA362" s="9" t="n">
        <v>0</v>
      </c>
      <c r="SE362" s="10" t="n">
        <v>46328</v>
      </c>
      <c r="SG362" s="9" t="n">
        <v>0</v>
      </c>
      <c r="SI362" s="9" t="n">
        <v>0</v>
      </c>
      <c r="SJ362" s="9" t="n">
        <v>24.2</v>
      </c>
      <c r="SN362" s="10" t="n">
        <v>46328</v>
      </c>
      <c r="SP362" s="9" t="n">
        <v>0</v>
      </c>
      <c r="SR362" s="9" t="n">
        <v>0</v>
      </c>
      <c r="SS362" s="9" t="n">
        <v>32</v>
      </c>
      <c r="SW362" s="10" t="n">
        <v>46328</v>
      </c>
      <c r="SY362" s="9" t="n">
        <v>0</v>
      </c>
      <c r="TA362" s="9" t="n">
        <v>0</v>
      </c>
      <c r="TB362" s="9" t="n">
        <v>0</v>
      </c>
      <c r="TF362" s="10" t="n">
        <v>46328</v>
      </c>
      <c r="TH362" s="9" t="n">
        <v>0</v>
      </c>
      <c r="TJ362" s="9" t="n">
        <v>0</v>
      </c>
      <c r="TK362" s="9" t="n">
        <v>0</v>
      </c>
      <c r="TO362" s="10" t="n">
        <v>46328</v>
      </c>
      <c r="TQ362" s="9" t="n">
        <v>0</v>
      </c>
      <c r="TS362" s="9" t="n">
        <v>0</v>
      </c>
      <c r="TT362" s="9" t="n">
        <v>0</v>
      </c>
      <c r="TX362" s="10" t="n">
        <v>46328</v>
      </c>
      <c r="TZ362" s="9" t="n">
        <v>0</v>
      </c>
      <c r="UB362" s="9" t="n">
        <v>0</v>
      </c>
      <c r="UC362" s="9" t="n">
        <v>46.79999999999998</v>
      </c>
      <c r="UG362" s="10" t="n">
        <v>46328</v>
      </c>
      <c r="UI362" s="9" t="n">
        <v>0</v>
      </c>
      <c r="UK362" s="9" t="n">
        <v>0</v>
      </c>
      <c r="UL362" s="9" t="n">
        <v>204</v>
      </c>
      <c r="UP362" s="10" t="n">
        <v>46328</v>
      </c>
      <c r="UR362" s="9" t="n">
        <v>0</v>
      </c>
      <c r="UT362" s="9" t="n">
        <v>0</v>
      </c>
      <c r="UU362" s="9" t="n">
        <v>202.5</v>
      </c>
      <c r="UY362" s="10" t="n">
        <v>46328</v>
      </c>
      <c r="VA362" s="9" t="n">
        <v>0</v>
      </c>
      <c r="VC362" s="9" t="n">
        <v>0</v>
      </c>
      <c r="VD362" s="9" t="n">
        <v>41.60000000000002</v>
      </c>
      <c r="VH362" s="10" t="n">
        <v>46328</v>
      </c>
      <c r="VJ362" s="9" t="n">
        <v>0</v>
      </c>
      <c r="VL362" s="9" t="n">
        <v>0</v>
      </c>
      <c r="VM362" s="9" t="n">
        <v>210</v>
      </c>
      <c r="VQ362" s="10" t="n">
        <v>46328</v>
      </c>
      <c r="VS362" s="9" t="n">
        <v>0</v>
      </c>
      <c r="VU362" s="9" t="n">
        <v>0</v>
      </c>
      <c r="VV362" s="9" t="n">
        <v>0</v>
      </c>
      <c r="VZ362" s="10" t="n">
        <v>46328</v>
      </c>
      <c r="WB362" s="9" t="n">
        <v>0</v>
      </c>
      <c r="WD362" s="9" t="n">
        <v>0</v>
      </c>
      <c r="WE362" s="9" t="n">
        <v>0</v>
      </c>
      <c r="WI362" s="10" t="n">
        <v>46328</v>
      </c>
      <c r="WK362" s="9" t="n">
        <v>0</v>
      </c>
      <c r="WM362" s="9" t="n">
        <v>0</v>
      </c>
      <c r="WN362" s="9" t="n">
        <v>1057</v>
      </c>
      <c r="WR362" s="10" t="n">
        <v>46328</v>
      </c>
      <c r="WT362" s="9" t="n">
        <v>0</v>
      </c>
      <c r="WV362" s="9" t="n">
        <v>0</v>
      </c>
      <c r="WW362" s="9" t="n">
        <v>0</v>
      </c>
      <c r="XA362" s="10" t="n">
        <v>46328</v>
      </c>
      <c r="XC362" s="9" t="n">
        <v>0</v>
      </c>
      <c r="XE362" s="9" t="n">
        <v>0</v>
      </c>
      <c r="XF362" s="9" t="n">
        <v>7507</v>
      </c>
      <c r="XJ362" s="10" t="n">
        <v>46328</v>
      </c>
      <c r="XL362" s="9" t="n">
        <v>0</v>
      </c>
      <c r="XN362" s="9" t="n">
        <v>0</v>
      </c>
      <c r="XO362" s="9" t="n">
        <v>4252</v>
      </c>
      <c r="XS362" s="10" t="n">
        <v>46328</v>
      </c>
      <c r="XU362" s="9" t="n">
        <v>0</v>
      </c>
      <c r="XW362" s="9" t="n">
        <v>0</v>
      </c>
      <c r="XX362" s="9" t="n">
        <v>2179</v>
      </c>
      <c r="YB362" s="10" t="n">
        <v>46328</v>
      </c>
      <c r="YD362" s="9" t="n">
        <v>0</v>
      </c>
      <c r="YF362" s="9" t="n">
        <v>0</v>
      </c>
      <c r="YG362" s="9" t="n">
        <v>4019</v>
      </c>
      <c r="YK362" s="10" t="n">
        <v>46328</v>
      </c>
      <c r="YM362" s="9" t="n">
        <v>0</v>
      </c>
      <c r="YO362" s="9" t="n">
        <v>0</v>
      </c>
      <c r="YP362" s="9" t="n">
        <v>-218</v>
      </c>
      <c r="YT362" s="10" t="n">
        <v>46328</v>
      </c>
      <c r="YV362" s="9" t="n">
        <v>0</v>
      </c>
      <c r="YX362" s="9" t="n">
        <v>0</v>
      </c>
      <c r="YY362" s="9" t="n">
        <v>0</v>
      </c>
      <c r="ZC362" s="10" t="n">
        <v>46328</v>
      </c>
      <c r="ZE362" s="9" t="n">
        <v>0</v>
      </c>
      <c r="ZG362" s="9" t="n">
        <v>0</v>
      </c>
      <c r="ZH362" s="9" t="n">
        <v>0</v>
      </c>
      <c r="ZL362" s="10" t="n">
        <v>46328</v>
      </c>
      <c r="ZN362" s="9" t="n">
        <v>0</v>
      </c>
      <c r="ZP362" s="9" t="n">
        <v>0</v>
      </c>
      <c r="ZQ362" s="9" t="n">
        <v>0</v>
      </c>
      <c r="ZU362" s="10" t="n">
        <v>46328</v>
      </c>
      <c r="ZW362" s="9" t="n">
        <v>0</v>
      </c>
      <c r="ZY362" s="9" t="n">
        <v>0</v>
      </c>
      <c r="ZZ362" s="9" t="n">
        <v>0</v>
      </c>
      <c r="AAD362" s="10" t="n">
        <v>46328</v>
      </c>
      <c r="AAF362" s="9" t="n">
        <v>0</v>
      </c>
      <c r="AAH362" s="9" t="n">
        <v>0</v>
      </c>
      <c r="AAI362" s="9" t="n">
        <v>0</v>
      </c>
      <c r="AAM362" s="10" t="n">
        <v>46328</v>
      </c>
      <c r="AAO362" s="9" t="n">
        <v>0</v>
      </c>
      <c r="AAQ362" s="9" t="n">
        <v>0</v>
      </c>
      <c r="AAR362" s="9" t="n">
        <v>0</v>
      </c>
      <c r="AAV362" s="10" t="n">
        <v>46328</v>
      </c>
      <c r="AAX362" s="9" t="n">
        <v>0</v>
      </c>
      <c r="AAZ362" s="9" t="n">
        <v>0</v>
      </c>
      <c r="ABA362" s="9" t="n">
        <v>0</v>
      </c>
      <c r="ABE362" s="10" t="n">
        <v>46328</v>
      </c>
      <c r="ABG362" s="9" t="n">
        <v>0</v>
      </c>
      <c r="ABI362" s="9" t="n">
        <v>0</v>
      </c>
      <c r="ABJ362" s="9" t="n">
        <v>0</v>
      </c>
    </row>
    <row r="363">
      <c r="C363" s="10" t="n">
        <v>46329</v>
      </c>
      <c r="E363" s="9" t="n">
        <v>0</v>
      </c>
      <c r="G363" s="9" t="n">
        <v>0</v>
      </c>
      <c r="H363" s="9" t="n">
        <v>236936.6</v>
      </c>
      <c r="L363" s="10" t="n">
        <v>46329</v>
      </c>
      <c r="N363" s="9" t="n">
        <v>0</v>
      </c>
      <c r="P363" s="9" t="n">
        <v>0</v>
      </c>
      <c r="Q363" s="9" t="n">
        <v>53017.60000000007</v>
      </c>
      <c r="U363" s="10" t="n">
        <v>46329</v>
      </c>
      <c r="W363" s="9" t="n">
        <v>0</v>
      </c>
      <c r="Y363" s="9" t="n">
        <v>0</v>
      </c>
      <c r="Z363" s="9" t="n">
        <v>42674.19999999997</v>
      </c>
      <c r="AD363" s="10" t="n">
        <v>46329</v>
      </c>
      <c r="AF363" s="9" t="n">
        <v>0</v>
      </c>
      <c r="AH363" s="9" t="n">
        <v>0</v>
      </c>
      <c r="AI363" s="9" t="n">
        <v>4522.200000000019</v>
      </c>
      <c r="AM363" s="10" t="n">
        <v>46329</v>
      </c>
      <c r="AO363" s="9" t="n">
        <v>0</v>
      </c>
      <c r="AQ363" s="9" t="n">
        <v>0</v>
      </c>
      <c r="AR363" s="9" t="n">
        <v>0</v>
      </c>
      <c r="AV363" s="10" t="n">
        <v>46329</v>
      </c>
      <c r="AX363" s="9" t="n">
        <v>0</v>
      </c>
      <c r="AZ363" s="9" t="n">
        <v>0</v>
      </c>
      <c r="BA363" s="9" t="n">
        <v>124.9999999999952</v>
      </c>
      <c r="BE363" s="10" t="n">
        <v>46329</v>
      </c>
      <c r="BG363" s="9" t="n">
        <v>0</v>
      </c>
      <c r="BI363" s="9" t="n">
        <v>0</v>
      </c>
      <c r="BJ363" s="9" t="n">
        <v>26151.9</v>
      </c>
      <c r="BN363" s="10" t="n">
        <v>46329</v>
      </c>
      <c r="BP363" s="9" t="n">
        <v>0</v>
      </c>
      <c r="BR363" s="9" t="n">
        <v>0</v>
      </c>
      <c r="BS363" s="9" t="n">
        <v>0</v>
      </c>
      <c r="BW363" s="10" t="n">
        <v>46329</v>
      </c>
      <c r="BY363" s="9" t="n">
        <v>0</v>
      </c>
      <c r="CA363" s="9" t="n">
        <v>0</v>
      </c>
      <c r="CB363" s="9" t="n">
        <v>2097.339999999999</v>
      </c>
      <c r="CF363" s="10" t="n">
        <v>46329</v>
      </c>
      <c r="CH363" s="9" t="n">
        <v>0</v>
      </c>
      <c r="CJ363" s="9" t="n">
        <v>0</v>
      </c>
      <c r="CK363" s="9" t="n">
        <v>-10277.08</v>
      </c>
      <c r="CO363" s="10" t="n">
        <v>46329</v>
      </c>
      <c r="CQ363" s="9" t="n">
        <v>0</v>
      </c>
      <c r="CS363" s="9" t="n">
        <v>0</v>
      </c>
      <c r="CT363" s="9" t="n">
        <v>0</v>
      </c>
      <c r="CX363" s="10" t="n">
        <v>46329</v>
      </c>
      <c r="CZ363" s="9" t="n">
        <v>0</v>
      </c>
      <c r="DB363" s="9" t="n">
        <v>0</v>
      </c>
      <c r="DC363" s="9" t="n">
        <v>27438.20000000001</v>
      </c>
      <c r="DG363" s="10" t="n">
        <v>46329</v>
      </c>
      <c r="DI363" s="9" t="n">
        <v>0</v>
      </c>
      <c r="DK363" s="9" t="n">
        <v>0</v>
      </c>
      <c r="DL363" s="9" t="n">
        <v>18782.29999999998</v>
      </c>
      <c r="DP363" s="10" t="n">
        <v>46329</v>
      </c>
      <c r="DR363" s="9" t="n">
        <v>0</v>
      </c>
      <c r="DT363" s="9" t="n">
        <v>0</v>
      </c>
      <c r="DU363" s="9" t="n">
        <v>5800</v>
      </c>
      <c r="DY363" s="10" t="n">
        <v>46329</v>
      </c>
      <c r="EA363" s="9" t="n">
        <v>0</v>
      </c>
      <c r="EC363" s="9" t="n">
        <v>0</v>
      </c>
      <c r="ED363" s="9" t="n">
        <v>0</v>
      </c>
      <c r="EH363" s="10" t="n">
        <v>46329</v>
      </c>
      <c r="EJ363" s="9" t="n">
        <v>0</v>
      </c>
      <c r="EL363" s="9" t="n">
        <v>0</v>
      </c>
      <c r="EM363" s="9" t="n">
        <v>0</v>
      </c>
      <c r="EQ363" s="10" t="n">
        <v>46329</v>
      </c>
      <c r="ES363" s="9" t="n">
        <v>0</v>
      </c>
      <c r="EU363" s="9" t="n">
        <v>0</v>
      </c>
      <c r="EV363" s="9" t="n">
        <v>0</v>
      </c>
      <c r="EZ363" s="10" t="n">
        <v>46329</v>
      </c>
      <c r="FB363" s="9" t="n">
        <v>0</v>
      </c>
      <c r="FD363" s="9" t="n">
        <v>0</v>
      </c>
      <c r="FE363" s="9" t="n">
        <v>0</v>
      </c>
      <c r="FI363" s="10" t="n">
        <v>46329</v>
      </c>
      <c r="FK363" s="9" t="n">
        <v>0</v>
      </c>
      <c r="FM363" s="9" t="n">
        <v>0</v>
      </c>
      <c r="FN363" s="9" t="n">
        <v>0</v>
      </c>
      <c r="FR363" s="10" t="n">
        <v>46329</v>
      </c>
      <c r="FT363" s="9" t="n">
        <v>0</v>
      </c>
      <c r="FV363" s="9" t="n">
        <v>0</v>
      </c>
      <c r="FW363" s="9" t="n">
        <v>2020</v>
      </c>
      <c r="GA363" s="10" t="n">
        <v>46329</v>
      </c>
      <c r="GC363" s="9" t="n">
        <v>0</v>
      </c>
      <c r="GE363" s="9" t="n">
        <v>0</v>
      </c>
      <c r="GF363" s="9" t="n">
        <v>960</v>
      </c>
      <c r="GJ363" s="10" t="n">
        <v>46329</v>
      </c>
      <c r="GL363" s="9" t="n">
        <v>0</v>
      </c>
      <c r="GN363" s="9" t="n">
        <v>0</v>
      </c>
      <c r="GO363" s="9" t="n">
        <v>1760</v>
      </c>
      <c r="GS363" s="10" t="n">
        <v>46329</v>
      </c>
      <c r="GU363" s="9" t="n">
        <v>0</v>
      </c>
      <c r="GW363" s="9" t="n">
        <v>0</v>
      </c>
      <c r="GX363" s="9" t="n">
        <v>400</v>
      </c>
      <c r="HB363" s="10" t="n">
        <v>46329</v>
      </c>
      <c r="HD363" s="9" t="n">
        <v>0</v>
      </c>
      <c r="HF363" s="9" t="n">
        <v>0</v>
      </c>
      <c r="HG363" s="9" t="n">
        <v>3600</v>
      </c>
      <c r="HK363" s="10" t="n">
        <v>46329</v>
      </c>
      <c r="HM363" s="9" t="n">
        <v>0</v>
      </c>
      <c r="HO363" s="9" t="n">
        <v>0</v>
      </c>
      <c r="HP363" s="9" t="n">
        <v>0</v>
      </c>
      <c r="HU363" s="10" t="n">
        <v>46329</v>
      </c>
      <c r="HW363" s="9" t="n">
        <v>0</v>
      </c>
      <c r="HY363" s="9" t="n">
        <v>0</v>
      </c>
      <c r="HZ363" s="9" t="n">
        <v>6120</v>
      </c>
      <c r="ID363" s="10" t="n">
        <v>46329</v>
      </c>
      <c r="IF363" s="9" t="n">
        <v>0</v>
      </c>
      <c r="IH363" s="9" t="n">
        <v>0</v>
      </c>
      <c r="II363" s="9" t="n">
        <v>0</v>
      </c>
      <c r="IM363" s="10" t="n">
        <v>46329</v>
      </c>
      <c r="IO363" s="9" t="n">
        <v>0</v>
      </c>
      <c r="IQ363" s="9" t="n">
        <v>0</v>
      </c>
      <c r="IR363" s="9" t="n">
        <v>0</v>
      </c>
      <c r="IV363" s="10" t="n">
        <v>46329</v>
      </c>
      <c r="IX363" s="9" t="n">
        <v>0</v>
      </c>
      <c r="IZ363" s="9" t="n">
        <v>0</v>
      </c>
      <c r="JA363" s="9" t="n">
        <v>2820</v>
      </c>
      <c r="JE363" s="10" t="n">
        <v>46329</v>
      </c>
      <c r="JG363" s="9" t="n">
        <v>0</v>
      </c>
      <c r="JI363" s="9" t="n">
        <v>0</v>
      </c>
      <c r="JJ363" s="9" t="n">
        <v>0</v>
      </c>
      <c r="JN363" s="10" t="n">
        <v>46329</v>
      </c>
      <c r="JP363" s="9" t="n">
        <v>0</v>
      </c>
      <c r="JR363" s="9" t="n">
        <v>0</v>
      </c>
      <c r="JS363" s="9" t="n">
        <v>0</v>
      </c>
      <c r="JW363" s="10" t="n">
        <v>46329</v>
      </c>
      <c r="JY363" s="9" t="n">
        <v>0</v>
      </c>
      <c r="KA363" s="9" t="n">
        <v>0</v>
      </c>
      <c r="KB363" s="9" t="n">
        <v>2540</v>
      </c>
      <c r="KF363" s="10" t="n">
        <v>46329</v>
      </c>
      <c r="KH363" s="9" t="n">
        <v>0</v>
      </c>
      <c r="KJ363" s="9" t="n">
        <v>0</v>
      </c>
      <c r="KK363" s="9" t="n">
        <v>2359.5</v>
      </c>
      <c r="KO363" s="10" t="n">
        <v>46329</v>
      </c>
      <c r="KQ363" s="9" t="n">
        <v>0</v>
      </c>
      <c r="KS363" s="9" t="n">
        <v>0</v>
      </c>
      <c r="KT363" s="9" t="n">
        <v>1890</v>
      </c>
      <c r="KX363" s="10" t="n">
        <v>46329</v>
      </c>
      <c r="KZ363" s="9" t="n">
        <v>0</v>
      </c>
      <c r="LB363" s="9" t="n">
        <v>0</v>
      </c>
      <c r="LC363" s="9" t="n">
        <v>3690</v>
      </c>
      <c r="LG363" s="10" t="n">
        <v>46329</v>
      </c>
      <c r="LI363" s="9" t="n">
        <v>0</v>
      </c>
      <c r="LK363" s="9" t="n">
        <v>0</v>
      </c>
      <c r="LL363" s="9" t="n">
        <v>4000</v>
      </c>
      <c r="LP363" s="10" t="n">
        <v>46329</v>
      </c>
      <c r="LR363" s="9" t="n">
        <v>0</v>
      </c>
      <c r="LT363" s="9" t="n">
        <v>0</v>
      </c>
      <c r="LU363" s="9" t="n">
        <v>0</v>
      </c>
      <c r="LY363" s="10" t="n">
        <v>46329</v>
      </c>
      <c r="MA363" s="9" t="n">
        <v>0</v>
      </c>
      <c r="MC363" s="9" t="n">
        <v>0</v>
      </c>
      <c r="MD363" s="9" t="n">
        <v>0</v>
      </c>
      <c r="MH363" s="10" t="n">
        <v>46329</v>
      </c>
      <c r="MJ363" s="9" t="n">
        <v>0</v>
      </c>
      <c r="ML363" s="9" t="n">
        <v>0</v>
      </c>
      <c r="MM363" s="9" t="n">
        <v>0</v>
      </c>
      <c r="MQ363" s="10" t="n">
        <v>46329</v>
      </c>
      <c r="MS363" s="9" t="n">
        <v>0</v>
      </c>
      <c r="MU363" s="9" t="n">
        <v>0</v>
      </c>
      <c r="MV363" s="9" t="n">
        <v>1625</v>
      </c>
      <c r="MZ363" s="10" t="n">
        <v>46329</v>
      </c>
      <c r="NB363" s="9" t="n">
        <v>0</v>
      </c>
      <c r="ND363" s="9" t="n">
        <v>0</v>
      </c>
      <c r="NE363" s="9" t="n">
        <v>0</v>
      </c>
      <c r="NI363" s="10" t="n">
        <v>46329</v>
      </c>
      <c r="NK363" s="9" t="n">
        <v>0</v>
      </c>
      <c r="NM363" s="9" t="n">
        <v>0</v>
      </c>
      <c r="NN363" s="9" t="n">
        <v>1127</v>
      </c>
      <c r="NR363" s="10" t="n">
        <v>46329</v>
      </c>
      <c r="NT363" s="9" t="n">
        <v>0</v>
      </c>
      <c r="NV363" s="9" t="n">
        <v>0</v>
      </c>
      <c r="NW363" s="9" t="n">
        <v>3112</v>
      </c>
      <c r="OA363" s="10" t="n">
        <v>46329</v>
      </c>
      <c r="OC363" s="9" t="n">
        <v>0</v>
      </c>
      <c r="OE363" s="9" t="n">
        <v>0</v>
      </c>
      <c r="OF363" s="9" t="n">
        <v>1680.5</v>
      </c>
      <c r="OJ363" s="10" t="n">
        <v>46329</v>
      </c>
      <c r="OL363" s="9" t="n">
        <v>0</v>
      </c>
      <c r="ON363" s="9" t="n">
        <v>0</v>
      </c>
      <c r="OO363" s="9" t="n">
        <v>0</v>
      </c>
      <c r="OS363" s="10" t="n">
        <v>46329</v>
      </c>
      <c r="OU363" s="9" t="n">
        <v>0</v>
      </c>
      <c r="OW363" s="9" t="n">
        <v>0</v>
      </c>
      <c r="OX363" s="9" t="n">
        <v>1482</v>
      </c>
      <c r="PB363" s="10" t="n">
        <v>46329</v>
      </c>
      <c r="PD363" s="9" t="n">
        <v>0</v>
      </c>
      <c r="PF363" s="9" t="n">
        <v>0</v>
      </c>
      <c r="PG363" s="9" t="n">
        <v>0</v>
      </c>
      <c r="PK363" s="10" t="n">
        <v>46329</v>
      </c>
      <c r="PM363" s="9" t="n">
        <v>0</v>
      </c>
      <c r="PO363" s="9" t="n">
        <v>0</v>
      </c>
      <c r="PP363" s="9" t="n">
        <v>100</v>
      </c>
      <c r="PT363" s="10" t="n">
        <v>46329</v>
      </c>
      <c r="PV363" s="9" t="n">
        <v>0</v>
      </c>
      <c r="PX363" s="9" t="n">
        <v>0</v>
      </c>
      <c r="PY363" s="9" t="n">
        <v>13.96000000000004</v>
      </c>
      <c r="QC363" s="10" t="n">
        <v>46329</v>
      </c>
      <c r="QE363" s="9" t="n">
        <v>0</v>
      </c>
      <c r="QG363" s="9" t="n">
        <v>0</v>
      </c>
      <c r="QH363" s="9" t="n">
        <v>548</v>
      </c>
      <c r="QL363" s="10" t="n">
        <v>46329</v>
      </c>
      <c r="QN363" s="9" t="n">
        <v>0</v>
      </c>
      <c r="QP363" s="9" t="n">
        <v>0</v>
      </c>
      <c r="QQ363" s="9" t="n">
        <v>0</v>
      </c>
      <c r="QU363" s="10" t="n">
        <v>46329</v>
      </c>
      <c r="QW363" s="9" t="n">
        <v>0</v>
      </c>
      <c r="QY363" s="9" t="n">
        <v>0</v>
      </c>
      <c r="QZ363" s="9" t="n">
        <v>0</v>
      </c>
      <c r="RD363" s="10" t="n">
        <v>46329</v>
      </c>
      <c r="RF363" s="9" t="n">
        <v>0</v>
      </c>
      <c r="RH363" s="9" t="n">
        <v>0</v>
      </c>
      <c r="RI363" s="9" t="n">
        <v>147.04</v>
      </c>
      <c r="RM363" s="10" t="n">
        <v>46329</v>
      </c>
      <c r="RO363" s="9" t="n">
        <v>0</v>
      </c>
      <c r="RQ363" s="9" t="n">
        <v>0</v>
      </c>
      <c r="RR363" s="9" t="n">
        <v>46.8</v>
      </c>
      <c r="RV363" s="10" t="n">
        <v>46329</v>
      </c>
      <c r="RX363" s="9" t="n">
        <v>0</v>
      </c>
      <c r="RZ363" s="9" t="n">
        <v>0</v>
      </c>
      <c r="SA363" s="9" t="n">
        <v>0</v>
      </c>
      <c r="SE363" s="10" t="n">
        <v>46329</v>
      </c>
      <c r="SG363" s="9" t="n">
        <v>0</v>
      </c>
      <c r="SI363" s="9" t="n">
        <v>0</v>
      </c>
      <c r="SJ363" s="9" t="n">
        <v>24.2</v>
      </c>
      <c r="SN363" s="10" t="n">
        <v>46329</v>
      </c>
      <c r="SP363" s="9" t="n">
        <v>0</v>
      </c>
      <c r="SR363" s="9" t="n">
        <v>0</v>
      </c>
      <c r="SS363" s="9" t="n">
        <v>32</v>
      </c>
      <c r="SW363" s="10" t="n">
        <v>46329</v>
      </c>
      <c r="SY363" s="9" t="n">
        <v>0</v>
      </c>
      <c r="TA363" s="9" t="n">
        <v>0</v>
      </c>
      <c r="TB363" s="9" t="n">
        <v>0</v>
      </c>
      <c r="TF363" s="10" t="n">
        <v>46329</v>
      </c>
      <c r="TH363" s="9" t="n">
        <v>0</v>
      </c>
      <c r="TJ363" s="9" t="n">
        <v>0</v>
      </c>
      <c r="TK363" s="9" t="n">
        <v>0</v>
      </c>
      <c r="TO363" s="10" t="n">
        <v>46329</v>
      </c>
      <c r="TQ363" s="9" t="n">
        <v>0</v>
      </c>
      <c r="TS363" s="9" t="n">
        <v>0</v>
      </c>
      <c r="TT363" s="9" t="n">
        <v>0</v>
      </c>
      <c r="TX363" s="10" t="n">
        <v>46329</v>
      </c>
      <c r="TZ363" s="9" t="n">
        <v>0</v>
      </c>
      <c r="UB363" s="9" t="n">
        <v>0</v>
      </c>
      <c r="UC363" s="9" t="n">
        <v>46.79999999999998</v>
      </c>
      <c r="UG363" s="10" t="n">
        <v>46329</v>
      </c>
      <c r="UI363" s="9" t="n">
        <v>0</v>
      </c>
      <c r="UK363" s="9" t="n">
        <v>0</v>
      </c>
      <c r="UL363" s="9" t="n">
        <v>204</v>
      </c>
      <c r="UP363" s="10" t="n">
        <v>46329</v>
      </c>
      <c r="UR363" s="9" t="n">
        <v>0</v>
      </c>
      <c r="UT363" s="9" t="n">
        <v>0</v>
      </c>
      <c r="UU363" s="9" t="n">
        <v>202.5</v>
      </c>
      <c r="UY363" s="10" t="n">
        <v>46329</v>
      </c>
      <c r="VA363" s="9" t="n">
        <v>0</v>
      </c>
      <c r="VC363" s="9" t="n">
        <v>0</v>
      </c>
      <c r="VD363" s="9" t="n">
        <v>41.60000000000002</v>
      </c>
      <c r="VH363" s="10" t="n">
        <v>46329</v>
      </c>
      <c r="VJ363" s="9" t="n">
        <v>0</v>
      </c>
      <c r="VL363" s="9" t="n">
        <v>0</v>
      </c>
      <c r="VM363" s="9" t="n">
        <v>210</v>
      </c>
      <c r="VQ363" s="10" t="n">
        <v>46329</v>
      </c>
      <c r="VS363" s="9" t="n">
        <v>0</v>
      </c>
      <c r="VU363" s="9" t="n">
        <v>0</v>
      </c>
      <c r="VV363" s="9" t="n">
        <v>0</v>
      </c>
      <c r="VZ363" s="10" t="n">
        <v>46329</v>
      </c>
      <c r="WB363" s="9" t="n">
        <v>0</v>
      </c>
      <c r="WD363" s="9" t="n">
        <v>0</v>
      </c>
      <c r="WE363" s="9" t="n">
        <v>0</v>
      </c>
      <c r="WI363" s="10" t="n">
        <v>46329</v>
      </c>
      <c r="WK363" s="9" t="n">
        <v>0</v>
      </c>
      <c r="WM363" s="9" t="n">
        <v>0</v>
      </c>
      <c r="WN363" s="9" t="n">
        <v>1057</v>
      </c>
      <c r="WR363" s="10" t="n">
        <v>46329</v>
      </c>
      <c r="WT363" s="9" t="n">
        <v>0</v>
      </c>
      <c r="WV363" s="9" t="n">
        <v>0</v>
      </c>
      <c r="WW363" s="9" t="n">
        <v>0</v>
      </c>
      <c r="XA363" s="10" t="n">
        <v>46329</v>
      </c>
      <c r="XC363" s="9" t="n">
        <v>0</v>
      </c>
      <c r="XE363" s="9" t="n">
        <v>0</v>
      </c>
      <c r="XF363" s="9" t="n">
        <v>7507</v>
      </c>
      <c r="XJ363" s="10" t="n">
        <v>46329</v>
      </c>
      <c r="XL363" s="9" t="n">
        <v>0</v>
      </c>
      <c r="XN363" s="9" t="n">
        <v>0</v>
      </c>
      <c r="XO363" s="9" t="n">
        <v>4252</v>
      </c>
      <c r="XS363" s="10" t="n">
        <v>46329</v>
      </c>
      <c r="XU363" s="9" t="n">
        <v>0</v>
      </c>
      <c r="XW363" s="9" t="n">
        <v>0</v>
      </c>
      <c r="XX363" s="9" t="n">
        <v>2179</v>
      </c>
      <c r="YB363" s="10" t="n">
        <v>46329</v>
      </c>
      <c r="YD363" s="9" t="n">
        <v>0</v>
      </c>
      <c r="YF363" s="9" t="n">
        <v>0</v>
      </c>
      <c r="YG363" s="9" t="n">
        <v>4019</v>
      </c>
      <c r="YK363" s="10" t="n">
        <v>46329</v>
      </c>
      <c r="YM363" s="9" t="n">
        <v>0</v>
      </c>
      <c r="YO363" s="9" t="n">
        <v>0</v>
      </c>
      <c r="YP363" s="9" t="n">
        <v>-218</v>
      </c>
      <c r="YT363" s="10" t="n">
        <v>46329</v>
      </c>
      <c r="YV363" s="9" t="n">
        <v>0</v>
      </c>
      <c r="YX363" s="9" t="n">
        <v>0</v>
      </c>
      <c r="YY363" s="9" t="n">
        <v>0</v>
      </c>
      <c r="ZC363" s="10" t="n">
        <v>46329</v>
      </c>
      <c r="ZE363" s="9" t="n">
        <v>0</v>
      </c>
      <c r="ZG363" s="9" t="n">
        <v>0</v>
      </c>
      <c r="ZH363" s="9" t="n">
        <v>0</v>
      </c>
      <c r="ZL363" s="10" t="n">
        <v>46329</v>
      </c>
      <c r="ZN363" s="9" t="n">
        <v>0</v>
      </c>
      <c r="ZP363" s="9" t="n">
        <v>0</v>
      </c>
      <c r="ZQ363" s="9" t="n">
        <v>0</v>
      </c>
      <c r="ZU363" s="10" t="n">
        <v>46329</v>
      </c>
      <c r="ZW363" s="9" t="n">
        <v>0</v>
      </c>
      <c r="ZY363" s="9" t="n">
        <v>0</v>
      </c>
      <c r="ZZ363" s="9" t="n">
        <v>0</v>
      </c>
      <c r="AAD363" s="10" t="n">
        <v>46329</v>
      </c>
      <c r="AAF363" s="9" t="n">
        <v>0</v>
      </c>
      <c r="AAH363" s="9" t="n">
        <v>0</v>
      </c>
      <c r="AAI363" s="9" t="n">
        <v>0</v>
      </c>
      <c r="AAM363" s="10" t="n">
        <v>46329</v>
      </c>
      <c r="AAO363" s="9" t="n">
        <v>0</v>
      </c>
      <c r="AAQ363" s="9" t="n">
        <v>0</v>
      </c>
      <c r="AAR363" s="9" t="n">
        <v>0</v>
      </c>
      <c r="AAV363" s="10" t="n">
        <v>46329</v>
      </c>
      <c r="AAX363" s="9" t="n">
        <v>0</v>
      </c>
      <c r="AAZ363" s="9" t="n">
        <v>0</v>
      </c>
      <c r="ABA363" s="9" t="n">
        <v>0</v>
      </c>
      <c r="ABE363" s="10" t="n">
        <v>46329</v>
      </c>
      <c r="ABG363" s="9" t="n">
        <v>0</v>
      </c>
      <c r="ABI363" s="9" t="n">
        <v>0</v>
      </c>
      <c r="ABJ363" s="9" t="n">
        <v>0</v>
      </c>
    </row>
    <row r="364">
      <c r="C364" s="10" t="n">
        <v>46330</v>
      </c>
      <c r="E364" s="9" t="n">
        <v>0</v>
      </c>
      <c r="G364" s="9" t="n">
        <v>0</v>
      </c>
      <c r="H364" s="9" t="n">
        <v>236936.6</v>
      </c>
      <c r="L364" s="10" t="n">
        <v>46330</v>
      </c>
      <c r="N364" s="9" t="n">
        <v>0</v>
      </c>
      <c r="P364" s="9" t="n">
        <v>0</v>
      </c>
      <c r="Q364" s="9" t="n">
        <v>53017.60000000007</v>
      </c>
      <c r="U364" s="10" t="n">
        <v>46330</v>
      </c>
      <c r="W364" s="9" t="n">
        <v>0</v>
      </c>
      <c r="Y364" s="9" t="n">
        <v>0</v>
      </c>
      <c r="Z364" s="9" t="n">
        <v>42674.19999999997</v>
      </c>
      <c r="AD364" s="10" t="n">
        <v>46330</v>
      </c>
      <c r="AF364" s="9" t="n">
        <v>0</v>
      </c>
      <c r="AH364" s="9" t="n">
        <v>0</v>
      </c>
      <c r="AI364" s="9" t="n">
        <v>4522.200000000019</v>
      </c>
      <c r="AM364" s="10" t="n">
        <v>46330</v>
      </c>
      <c r="AO364" s="9" t="n">
        <v>0</v>
      </c>
      <c r="AQ364" s="9" t="n">
        <v>0</v>
      </c>
      <c r="AR364" s="9" t="n">
        <v>0</v>
      </c>
      <c r="AV364" s="10" t="n">
        <v>46330</v>
      </c>
      <c r="AX364" s="9" t="n">
        <v>0</v>
      </c>
      <c r="AZ364" s="9" t="n">
        <v>0</v>
      </c>
      <c r="BA364" s="9" t="n">
        <v>124.9999999999952</v>
      </c>
      <c r="BE364" s="10" t="n">
        <v>46330</v>
      </c>
      <c r="BG364" s="9" t="n">
        <v>0</v>
      </c>
      <c r="BI364" s="9" t="n">
        <v>0</v>
      </c>
      <c r="BJ364" s="9" t="n">
        <v>26151.9</v>
      </c>
      <c r="BN364" s="10" t="n">
        <v>46330</v>
      </c>
      <c r="BP364" s="9" t="n">
        <v>0</v>
      </c>
      <c r="BR364" s="9" t="n">
        <v>0</v>
      </c>
      <c r="BS364" s="9" t="n">
        <v>0</v>
      </c>
      <c r="BW364" s="10" t="n">
        <v>46330</v>
      </c>
      <c r="BY364" s="9" t="n">
        <v>0</v>
      </c>
      <c r="CA364" s="9" t="n">
        <v>0</v>
      </c>
      <c r="CB364" s="9" t="n">
        <v>2097.339999999999</v>
      </c>
      <c r="CF364" s="10" t="n">
        <v>46330</v>
      </c>
      <c r="CH364" s="9" t="n">
        <v>0</v>
      </c>
      <c r="CJ364" s="9" t="n">
        <v>0</v>
      </c>
      <c r="CK364" s="9" t="n">
        <v>-10277.08</v>
      </c>
      <c r="CO364" s="10" t="n">
        <v>46330</v>
      </c>
      <c r="CQ364" s="9" t="n">
        <v>0</v>
      </c>
      <c r="CS364" s="9" t="n">
        <v>0</v>
      </c>
      <c r="CT364" s="9" t="n">
        <v>0</v>
      </c>
      <c r="CX364" s="10" t="n">
        <v>46330</v>
      </c>
      <c r="CZ364" s="9" t="n">
        <v>0</v>
      </c>
      <c r="DB364" s="9" t="n">
        <v>0</v>
      </c>
      <c r="DC364" s="9" t="n">
        <v>27438.20000000001</v>
      </c>
      <c r="DG364" s="10" t="n">
        <v>46330</v>
      </c>
      <c r="DI364" s="9" t="n">
        <v>0</v>
      </c>
      <c r="DK364" s="9" t="n">
        <v>0</v>
      </c>
      <c r="DL364" s="9" t="n">
        <v>18782.29999999998</v>
      </c>
      <c r="DP364" s="10" t="n">
        <v>46330</v>
      </c>
      <c r="DR364" s="9" t="n">
        <v>0</v>
      </c>
      <c r="DT364" s="9" t="n">
        <v>0</v>
      </c>
      <c r="DU364" s="9" t="n">
        <v>5800</v>
      </c>
      <c r="DY364" s="10" t="n">
        <v>46330</v>
      </c>
      <c r="EA364" s="9" t="n">
        <v>0</v>
      </c>
      <c r="EC364" s="9" t="n">
        <v>0</v>
      </c>
      <c r="ED364" s="9" t="n">
        <v>0</v>
      </c>
      <c r="EH364" s="10" t="n">
        <v>46330</v>
      </c>
      <c r="EJ364" s="9" t="n">
        <v>0</v>
      </c>
      <c r="EL364" s="9" t="n">
        <v>0</v>
      </c>
      <c r="EM364" s="9" t="n">
        <v>0</v>
      </c>
      <c r="EQ364" s="10" t="n">
        <v>46330</v>
      </c>
      <c r="ES364" s="9" t="n">
        <v>0</v>
      </c>
      <c r="EU364" s="9" t="n">
        <v>0</v>
      </c>
      <c r="EV364" s="9" t="n">
        <v>0</v>
      </c>
      <c r="EZ364" s="10" t="n">
        <v>46330</v>
      </c>
      <c r="FB364" s="9" t="n">
        <v>0</v>
      </c>
      <c r="FD364" s="9" t="n">
        <v>0</v>
      </c>
      <c r="FE364" s="9" t="n">
        <v>0</v>
      </c>
      <c r="FI364" s="10" t="n">
        <v>46330</v>
      </c>
      <c r="FK364" s="9" t="n">
        <v>0</v>
      </c>
      <c r="FM364" s="9" t="n">
        <v>0</v>
      </c>
      <c r="FN364" s="9" t="n">
        <v>0</v>
      </c>
      <c r="FR364" s="10" t="n">
        <v>46330</v>
      </c>
      <c r="FT364" s="9" t="n">
        <v>0</v>
      </c>
      <c r="FV364" s="9" t="n">
        <v>0</v>
      </c>
      <c r="FW364" s="9" t="n">
        <v>2020</v>
      </c>
      <c r="GA364" s="10" t="n">
        <v>46330</v>
      </c>
      <c r="GC364" s="9" t="n">
        <v>0</v>
      </c>
      <c r="GE364" s="9" t="n">
        <v>0</v>
      </c>
      <c r="GF364" s="9" t="n">
        <v>960</v>
      </c>
      <c r="GJ364" s="10" t="n">
        <v>46330</v>
      </c>
      <c r="GL364" s="9" t="n">
        <v>0</v>
      </c>
      <c r="GN364" s="9" t="n">
        <v>0</v>
      </c>
      <c r="GO364" s="9" t="n">
        <v>1760</v>
      </c>
      <c r="GS364" s="10" t="n">
        <v>46330</v>
      </c>
      <c r="GU364" s="9" t="n">
        <v>0</v>
      </c>
      <c r="GW364" s="9" t="n">
        <v>0</v>
      </c>
      <c r="GX364" s="9" t="n">
        <v>400</v>
      </c>
      <c r="HB364" s="10" t="n">
        <v>46330</v>
      </c>
      <c r="HD364" s="9" t="n">
        <v>0</v>
      </c>
      <c r="HF364" s="9" t="n">
        <v>0</v>
      </c>
      <c r="HG364" s="9" t="n">
        <v>3600</v>
      </c>
      <c r="HK364" s="10" t="n">
        <v>46330</v>
      </c>
      <c r="HM364" s="9" t="n">
        <v>0</v>
      </c>
      <c r="HO364" s="9" t="n">
        <v>0</v>
      </c>
      <c r="HP364" s="9" t="n">
        <v>0</v>
      </c>
      <c r="HU364" s="10" t="n">
        <v>46330</v>
      </c>
      <c r="HW364" s="9" t="n">
        <v>0</v>
      </c>
      <c r="HY364" s="9" t="n">
        <v>0</v>
      </c>
      <c r="HZ364" s="9" t="n">
        <v>6120</v>
      </c>
      <c r="ID364" s="10" t="n">
        <v>46330</v>
      </c>
      <c r="IF364" s="9" t="n">
        <v>0</v>
      </c>
      <c r="IH364" s="9" t="n">
        <v>0</v>
      </c>
      <c r="II364" s="9" t="n">
        <v>0</v>
      </c>
      <c r="IM364" s="10" t="n">
        <v>46330</v>
      </c>
      <c r="IO364" s="9" t="n">
        <v>0</v>
      </c>
      <c r="IQ364" s="9" t="n">
        <v>0</v>
      </c>
      <c r="IR364" s="9" t="n">
        <v>0</v>
      </c>
      <c r="IV364" s="10" t="n">
        <v>46330</v>
      </c>
      <c r="IX364" s="9" t="n">
        <v>0</v>
      </c>
      <c r="IZ364" s="9" t="n">
        <v>0</v>
      </c>
      <c r="JA364" s="9" t="n">
        <v>2820</v>
      </c>
      <c r="JE364" s="10" t="n">
        <v>46330</v>
      </c>
      <c r="JG364" s="9" t="n">
        <v>0</v>
      </c>
      <c r="JI364" s="9" t="n">
        <v>0</v>
      </c>
      <c r="JJ364" s="9" t="n">
        <v>0</v>
      </c>
      <c r="JN364" s="10" t="n">
        <v>46330</v>
      </c>
      <c r="JP364" s="9" t="n">
        <v>0</v>
      </c>
      <c r="JR364" s="9" t="n">
        <v>0</v>
      </c>
      <c r="JS364" s="9" t="n">
        <v>0</v>
      </c>
      <c r="JW364" s="10" t="n">
        <v>46330</v>
      </c>
      <c r="JY364" s="9" t="n">
        <v>0</v>
      </c>
      <c r="KA364" s="9" t="n">
        <v>0</v>
      </c>
      <c r="KB364" s="9" t="n">
        <v>2540</v>
      </c>
      <c r="KF364" s="10" t="n">
        <v>46330</v>
      </c>
      <c r="KH364" s="9" t="n">
        <v>0</v>
      </c>
      <c r="KJ364" s="9" t="n">
        <v>0</v>
      </c>
      <c r="KK364" s="9" t="n">
        <v>2359.5</v>
      </c>
      <c r="KO364" s="10" t="n">
        <v>46330</v>
      </c>
      <c r="KQ364" s="9" t="n">
        <v>0</v>
      </c>
      <c r="KS364" s="9" t="n">
        <v>0</v>
      </c>
      <c r="KT364" s="9" t="n">
        <v>1890</v>
      </c>
      <c r="KX364" s="10" t="n">
        <v>46330</v>
      </c>
      <c r="KZ364" s="9" t="n">
        <v>0</v>
      </c>
      <c r="LB364" s="9" t="n">
        <v>0</v>
      </c>
      <c r="LC364" s="9" t="n">
        <v>3690</v>
      </c>
      <c r="LG364" s="10" t="n">
        <v>46330</v>
      </c>
      <c r="LI364" s="9" t="n">
        <v>0</v>
      </c>
      <c r="LK364" s="9" t="n">
        <v>0</v>
      </c>
      <c r="LL364" s="9" t="n">
        <v>4000</v>
      </c>
      <c r="LP364" s="10" t="n">
        <v>46330</v>
      </c>
      <c r="LR364" s="9" t="n">
        <v>0</v>
      </c>
      <c r="LT364" s="9" t="n">
        <v>0</v>
      </c>
      <c r="LU364" s="9" t="n">
        <v>0</v>
      </c>
      <c r="LY364" s="10" t="n">
        <v>46330</v>
      </c>
      <c r="MA364" s="9" t="n">
        <v>0</v>
      </c>
      <c r="MC364" s="9" t="n">
        <v>0</v>
      </c>
      <c r="MD364" s="9" t="n">
        <v>0</v>
      </c>
      <c r="MH364" s="10" t="n">
        <v>46330</v>
      </c>
      <c r="MJ364" s="9" t="n">
        <v>0</v>
      </c>
      <c r="ML364" s="9" t="n">
        <v>0</v>
      </c>
      <c r="MM364" s="9" t="n">
        <v>0</v>
      </c>
      <c r="MQ364" s="10" t="n">
        <v>46330</v>
      </c>
      <c r="MS364" s="9" t="n">
        <v>0</v>
      </c>
      <c r="MU364" s="9" t="n">
        <v>0</v>
      </c>
      <c r="MV364" s="9" t="n">
        <v>1625</v>
      </c>
      <c r="MZ364" s="10" t="n">
        <v>46330</v>
      </c>
      <c r="NB364" s="9" t="n">
        <v>0</v>
      </c>
      <c r="ND364" s="9" t="n">
        <v>0</v>
      </c>
      <c r="NE364" s="9" t="n">
        <v>0</v>
      </c>
      <c r="NI364" s="10" t="n">
        <v>46330</v>
      </c>
      <c r="NK364" s="9" t="n">
        <v>0</v>
      </c>
      <c r="NM364" s="9" t="n">
        <v>0</v>
      </c>
      <c r="NN364" s="9" t="n">
        <v>1127</v>
      </c>
      <c r="NR364" s="10" t="n">
        <v>46330</v>
      </c>
      <c r="NT364" s="9" t="n">
        <v>0</v>
      </c>
      <c r="NV364" s="9" t="n">
        <v>0</v>
      </c>
      <c r="NW364" s="9" t="n">
        <v>3112</v>
      </c>
      <c r="OA364" s="10" t="n">
        <v>46330</v>
      </c>
      <c r="OC364" s="9" t="n">
        <v>0</v>
      </c>
      <c r="OE364" s="9" t="n">
        <v>0</v>
      </c>
      <c r="OF364" s="9" t="n">
        <v>1680.5</v>
      </c>
      <c r="OJ364" s="10" t="n">
        <v>46330</v>
      </c>
      <c r="OL364" s="9" t="n">
        <v>0</v>
      </c>
      <c r="ON364" s="9" t="n">
        <v>0</v>
      </c>
      <c r="OO364" s="9" t="n">
        <v>0</v>
      </c>
      <c r="OS364" s="10" t="n">
        <v>46330</v>
      </c>
      <c r="OU364" s="9" t="n">
        <v>0</v>
      </c>
      <c r="OW364" s="9" t="n">
        <v>0</v>
      </c>
      <c r="OX364" s="9" t="n">
        <v>1482</v>
      </c>
      <c r="PB364" s="10" t="n">
        <v>46330</v>
      </c>
      <c r="PD364" s="9" t="n">
        <v>0</v>
      </c>
      <c r="PF364" s="9" t="n">
        <v>0</v>
      </c>
      <c r="PG364" s="9" t="n">
        <v>0</v>
      </c>
      <c r="PK364" s="10" t="n">
        <v>46330</v>
      </c>
      <c r="PM364" s="9" t="n">
        <v>0</v>
      </c>
      <c r="PO364" s="9" t="n">
        <v>0</v>
      </c>
      <c r="PP364" s="9" t="n">
        <v>100</v>
      </c>
      <c r="PT364" s="10" t="n">
        <v>46330</v>
      </c>
      <c r="PV364" s="9" t="n">
        <v>0</v>
      </c>
      <c r="PX364" s="9" t="n">
        <v>0</v>
      </c>
      <c r="PY364" s="9" t="n">
        <v>13.96000000000004</v>
      </c>
      <c r="QC364" s="10" t="n">
        <v>46330</v>
      </c>
      <c r="QE364" s="9" t="n">
        <v>0</v>
      </c>
      <c r="QG364" s="9" t="n">
        <v>0</v>
      </c>
      <c r="QH364" s="9" t="n">
        <v>548</v>
      </c>
      <c r="QL364" s="10" t="n">
        <v>46330</v>
      </c>
      <c r="QN364" s="9" t="n">
        <v>0</v>
      </c>
      <c r="QP364" s="9" t="n">
        <v>0</v>
      </c>
      <c r="QQ364" s="9" t="n">
        <v>0</v>
      </c>
      <c r="QU364" s="10" t="n">
        <v>46330</v>
      </c>
      <c r="QW364" s="9" t="n">
        <v>0</v>
      </c>
      <c r="QY364" s="9" t="n">
        <v>0</v>
      </c>
      <c r="QZ364" s="9" t="n">
        <v>0</v>
      </c>
      <c r="RD364" s="10" t="n">
        <v>46330</v>
      </c>
      <c r="RF364" s="9" t="n">
        <v>0</v>
      </c>
      <c r="RH364" s="9" t="n">
        <v>0</v>
      </c>
      <c r="RI364" s="9" t="n">
        <v>147.04</v>
      </c>
      <c r="RM364" s="10" t="n">
        <v>46330</v>
      </c>
      <c r="RO364" s="9" t="n">
        <v>0</v>
      </c>
      <c r="RQ364" s="9" t="n">
        <v>0</v>
      </c>
      <c r="RR364" s="9" t="n">
        <v>46.8</v>
      </c>
      <c r="RV364" s="10" t="n">
        <v>46330</v>
      </c>
      <c r="RX364" s="9" t="n">
        <v>0</v>
      </c>
      <c r="RZ364" s="9" t="n">
        <v>0</v>
      </c>
      <c r="SA364" s="9" t="n">
        <v>0</v>
      </c>
      <c r="SE364" s="10" t="n">
        <v>46330</v>
      </c>
      <c r="SG364" s="9" t="n">
        <v>0</v>
      </c>
      <c r="SI364" s="9" t="n">
        <v>0</v>
      </c>
      <c r="SJ364" s="9" t="n">
        <v>24.2</v>
      </c>
      <c r="SN364" s="10" t="n">
        <v>46330</v>
      </c>
      <c r="SP364" s="9" t="n">
        <v>0</v>
      </c>
      <c r="SR364" s="9" t="n">
        <v>0</v>
      </c>
      <c r="SS364" s="9" t="n">
        <v>32</v>
      </c>
      <c r="SW364" s="10" t="n">
        <v>46330</v>
      </c>
      <c r="SY364" s="9" t="n">
        <v>0</v>
      </c>
      <c r="TA364" s="9" t="n">
        <v>0</v>
      </c>
      <c r="TB364" s="9" t="n">
        <v>0</v>
      </c>
      <c r="TF364" s="10" t="n">
        <v>46330</v>
      </c>
      <c r="TH364" s="9" t="n">
        <v>0</v>
      </c>
      <c r="TJ364" s="9" t="n">
        <v>0</v>
      </c>
      <c r="TK364" s="9" t="n">
        <v>0</v>
      </c>
      <c r="TO364" s="10" t="n">
        <v>46330</v>
      </c>
      <c r="TQ364" s="9" t="n">
        <v>0</v>
      </c>
      <c r="TS364" s="9" t="n">
        <v>0</v>
      </c>
      <c r="TT364" s="9" t="n">
        <v>0</v>
      </c>
      <c r="TX364" s="10" t="n">
        <v>46330</v>
      </c>
      <c r="TZ364" s="9" t="n">
        <v>0</v>
      </c>
      <c r="UB364" s="9" t="n">
        <v>0</v>
      </c>
      <c r="UC364" s="9" t="n">
        <v>46.79999999999998</v>
      </c>
      <c r="UG364" s="10" t="n">
        <v>46330</v>
      </c>
      <c r="UI364" s="9" t="n">
        <v>0</v>
      </c>
      <c r="UK364" s="9" t="n">
        <v>0</v>
      </c>
      <c r="UL364" s="9" t="n">
        <v>204</v>
      </c>
      <c r="UP364" s="10" t="n">
        <v>46330</v>
      </c>
      <c r="UR364" s="9" t="n">
        <v>0</v>
      </c>
      <c r="UT364" s="9" t="n">
        <v>0</v>
      </c>
      <c r="UU364" s="9" t="n">
        <v>202.5</v>
      </c>
      <c r="UY364" s="10" t="n">
        <v>46330</v>
      </c>
      <c r="VA364" s="9" t="n">
        <v>0</v>
      </c>
      <c r="VC364" s="9" t="n">
        <v>0</v>
      </c>
      <c r="VD364" s="9" t="n">
        <v>41.60000000000002</v>
      </c>
      <c r="VH364" s="10" t="n">
        <v>46330</v>
      </c>
      <c r="VJ364" s="9" t="n">
        <v>0</v>
      </c>
      <c r="VL364" s="9" t="n">
        <v>0</v>
      </c>
      <c r="VM364" s="9" t="n">
        <v>210</v>
      </c>
      <c r="VQ364" s="10" t="n">
        <v>46330</v>
      </c>
      <c r="VS364" s="9" t="n">
        <v>0</v>
      </c>
      <c r="VU364" s="9" t="n">
        <v>0</v>
      </c>
      <c r="VV364" s="9" t="n">
        <v>0</v>
      </c>
      <c r="VZ364" s="10" t="n">
        <v>46330</v>
      </c>
      <c r="WB364" s="9" t="n">
        <v>0</v>
      </c>
      <c r="WD364" s="9" t="n">
        <v>0</v>
      </c>
      <c r="WE364" s="9" t="n">
        <v>0</v>
      </c>
      <c r="WI364" s="10" t="n">
        <v>46330</v>
      </c>
      <c r="WK364" s="9" t="n">
        <v>0</v>
      </c>
      <c r="WM364" s="9" t="n">
        <v>0</v>
      </c>
      <c r="WN364" s="9" t="n">
        <v>1057</v>
      </c>
      <c r="WR364" s="10" t="n">
        <v>46330</v>
      </c>
      <c r="WT364" s="9" t="n">
        <v>0</v>
      </c>
      <c r="WV364" s="9" t="n">
        <v>0</v>
      </c>
      <c r="WW364" s="9" t="n">
        <v>0</v>
      </c>
      <c r="XA364" s="10" t="n">
        <v>46330</v>
      </c>
      <c r="XC364" s="9" t="n">
        <v>0</v>
      </c>
      <c r="XE364" s="9" t="n">
        <v>0</v>
      </c>
      <c r="XF364" s="9" t="n">
        <v>7507</v>
      </c>
      <c r="XJ364" s="10" t="n">
        <v>46330</v>
      </c>
      <c r="XL364" s="9" t="n">
        <v>0</v>
      </c>
      <c r="XN364" s="9" t="n">
        <v>0</v>
      </c>
      <c r="XO364" s="9" t="n">
        <v>4252</v>
      </c>
      <c r="XS364" s="10" t="n">
        <v>46330</v>
      </c>
      <c r="XU364" s="9" t="n">
        <v>0</v>
      </c>
      <c r="XW364" s="9" t="n">
        <v>0</v>
      </c>
      <c r="XX364" s="9" t="n">
        <v>2179</v>
      </c>
      <c r="YB364" s="10" t="n">
        <v>46330</v>
      </c>
      <c r="YD364" s="9" t="n">
        <v>0</v>
      </c>
      <c r="YF364" s="9" t="n">
        <v>0</v>
      </c>
      <c r="YG364" s="9" t="n">
        <v>4019</v>
      </c>
      <c r="YK364" s="10" t="n">
        <v>46330</v>
      </c>
      <c r="YM364" s="9" t="n">
        <v>0</v>
      </c>
      <c r="YO364" s="9" t="n">
        <v>0</v>
      </c>
      <c r="YP364" s="9" t="n">
        <v>-218</v>
      </c>
      <c r="YT364" s="10" t="n">
        <v>46330</v>
      </c>
      <c r="YV364" s="9" t="n">
        <v>0</v>
      </c>
      <c r="YX364" s="9" t="n">
        <v>0</v>
      </c>
      <c r="YY364" s="9" t="n">
        <v>0</v>
      </c>
      <c r="ZC364" s="10" t="n">
        <v>46330</v>
      </c>
      <c r="ZE364" s="9" t="n">
        <v>0</v>
      </c>
      <c r="ZG364" s="9" t="n">
        <v>0</v>
      </c>
      <c r="ZH364" s="9" t="n">
        <v>0</v>
      </c>
      <c r="ZL364" s="10" t="n">
        <v>46330</v>
      </c>
      <c r="ZN364" s="9" t="n">
        <v>0</v>
      </c>
      <c r="ZP364" s="9" t="n">
        <v>0</v>
      </c>
      <c r="ZQ364" s="9" t="n">
        <v>0</v>
      </c>
      <c r="ZU364" s="10" t="n">
        <v>46330</v>
      </c>
      <c r="ZW364" s="9" t="n">
        <v>0</v>
      </c>
      <c r="ZY364" s="9" t="n">
        <v>0</v>
      </c>
      <c r="ZZ364" s="9" t="n">
        <v>0</v>
      </c>
      <c r="AAD364" s="10" t="n">
        <v>46330</v>
      </c>
      <c r="AAF364" s="9" t="n">
        <v>0</v>
      </c>
      <c r="AAH364" s="9" t="n">
        <v>0</v>
      </c>
      <c r="AAI364" s="9" t="n">
        <v>0</v>
      </c>
      <c r="AAM364" s="10" t="n">
        <v>46330</v>
      </c>
      <c r="AAO364" s="9" t="n">
        <v>0</v>
      </c>
      <c r="AAQ364" s="9" t="n">
        <v>0</v>
      </c>
      <c r="AAR364" s="9" t="n">
        <v>0</v>
      </c>
      <c r="AAV364" s="10" t="n">
        <v>46330</v>
      </c>
      <c r="AAX364" s="9" t="n">
        <v>0</v>
      </c>
      <c r="AAZ364" s="9" t="n">
        <v>0</v>
      </c>
      <c r="ABA364" s="9" t="n">
        <v>0</v>
      </c>
      <c r="ABE364" s="10" t="n">
        <v>46330</v>
      </c>
      <c r="ABG364" s="9" t="n">
        <v>0</v>
      </c>
      <c r="ABI364" s="9" t="n">
        <v>0</v>
      </c>
      <c r="ABJ364" s="9" t="n">
        <v>0</v>
      </c>
    </row>
    <row r="365">
      <c r="C365" s="10" t="n">
        <v>46331</v>
      </c>
      <c r="E365" s="9" t="n">
        <v>0</v>
      </c>
      <c r="G365" s="9" t="n">
        <v>0</v>
      </c>
      <c r="H365" s="9" t="n">
        <v>236936.6</v>
      </c>
      <c r="L365" s="10" t="n">
        <v>46331</v>
      </c>
      <c r="N365" s="9" t="n">
        <v>0</v>
      </c>
      <c r="P365" s="9" t="n">
        <v>0</v>
      </c>
      <c r="Q365" s="9" t="n">
        <v>53017.60000000007</v>
      </c>
      <c r="U365" s="10" t="n">
        <v>46331</v>
      </c>
      <c r="W365" s="9" t="n">
        <v>0</v>
      </c>
      <c r="Y365" s="9" t="n">
        <v>0</v>
      </c>
      <c r="Z365" s="9" t="n">
        <v>42674.19999999997</v>
      </c>
      <c r="AD365" s="10" t="n">
        <v>46331</v>
      </c>
      <c r="AF365" s="9" t="n">
        <v>0</v>
      </c>
      <c r="AH365" s="9" t="n">
        <v>0</v>
      </c>
      <c r="AI365" s="9" t="n">
        <v>4522.200000000019</v>
      </c>
      <c r="AM365" s="10" t="n">
        <v>46331</v>
      </c>
      <c r="AO365" s="9" t="n">
        <v>0</v>
      </c>
      <c r="AQ365" s="9" t="n">
        <v>0</v>
      </c>
      <c r="AR365" s="9" t="n">
        <v>0</v>
      </c>
      <c r="AV365" s="10" t="n">
        <v>46331</v>
      </c>
      <c r="AX365" s="9" t="n">
        <v>0</v>
      </c>
      <c r="AZ365" s="9" t="n">
        <v>0</v>
      </c>
      <c r="BA365" s="9" t="n">
        <v>124.9999999999952</v>
      </c>
      <c r="BE365" s="10" t="n">
        <v>46331</v>
      </c>
      <c r="BG365" s="9" t="n">
        <v>0</v>
      </c>
      <c r="BI365" s="9" t="n">
        <v>0</v>
      </c>
      <c r="BJ365" s="9" t="n">
        <v>26151.9</v>
      </c>
      <c r="BN365" s="10" t="n">
        <v>46331</v>
      </c>
      <c r="BP365" s="9" t="n">
        <v>0</v>
      </c>
      <c r="BR365" s="9" t="n">
        <v>0</v>
      </c>
      <c r="BS365" s="9" t="n">
        <v>0</v>
      </c>
      <c r="BW365" s="10" t="n">
        <v>46331</v>
      </c>
      <c r="BY365" s="9" t="n">
        <v>0</v>
      </c>
      <c r="CA365" s="9" t="n">
        <v>0</v>
      </c>
      <c r="CB365" s="9" t="n">
        <v>2097.339999999999</v>
      </c>
      <c r="CF365" s="10" t="n">
        <v>46331</v>
      </c>
      <c r="CH365" s="9" t="n">
        <v>0</v>
      </c>
      <c r="CJ365" s="9" t="n">
        <v>0</v>
      </c>
      <c r="CK365" s="9" t="n">
        <v>-10277.08</v>
      </c>
      <c r="CO365" s="10" t="n">
        <v>46331</v>
      </c>
      <c r="CQ365" s="9" t="n">
        <v>0</v>
      </c>
      <c r="CS365" s="9" t="n">
        <v>0</v>
      </c>
      <c r="CT365" s="9" t="n">
        <v>0</v>
      </c>
      <c r="CX365" s="10" t="n">
        <v>46331</v>
      </c>
      <c r="CZ365" s="9" t="n">
        <v>0</v>
      </c>
      <c r="DB365" s="9" t="n">
        <v>0</v>
      </c>
      <c r="DC365" s="9" t="n">
        <v>27438.20000000001</v>
      </c>
      <c r="DG365" s="10" t="n">
        <v>46331</v>
      </c>
      <c r="DI365" s="9" t="n">
        <v>0</v>
      </c>
      <c r="DK365" s="9" t="n">
        <v>0</v>
      </c>
      <c r="DL365" s="9" t="n">
        <v>18782.29999999998</v>
      </c>
      <c r="DP365" s="10" t="n">
        <v>46331</v>
      </c>
      <c r="DR365" s="9" t="n">
        <v>0</v>
      </c>
      <c r="DT365" s="9" t="n">
        <v>0</v>
      </c>
      <c r="DU365" s="9" t="n">
        <v>5800</v>
      </c>
      <c r="DY365" s="10" t="n">
        <v>46331</v>
      </c>
      <c r="EA365" s="9" t="n">
        <v>0</v>
      </c>
      <c r="EC365" s="9" t="n">
        <v>0</v>
      </c>
      <c r="ED365" s="9" t="n">
        <v>0</v>
      </c>
      <c r="EH365" s="10" t="n">
        <v>46331</v>
      </c>
      <c r="EJ365" s="9" t="n">
        <v>0</v>
      </c>
      <c r="EL365" s="9" t="n">
        <v>0</v>
      </c>
      <c r="EM365" s="9" t="n">
        <v>0</v>
      </c>
      <c r="EQ365" s="10" t="n">
        <v>46331</v>
      </c>
      <c r="ES365" s="9" t="n">
        <v>0</v>
      </c>
      <c r="EU365" s="9" t="n">
        <v>0</v>
      </c>
      <c r="EV365" s="9" t="n">
        <v>0</v>
      </c>
      <c r="EZ365" s="10" t="n">
        <v>46331</v>
      </c>
      <c r="FB365" s="9" t="n">
        <v>0</v>
      </c>
      <c r="FD365" s="9" t="n">
        <v>0</v>
      </c>
      <c r="FE365" s="9" t="n">
        <v>0</v>
      </c>
      <c r="FI365" s="10" t="n">
        <v>46331</v>
      </c>
      <c r="FK365" s="9" t="n">
        <v>0</v>
      </c>
      <c r="FM365" s="9" t="n">
        <v>0</v>
      </c>
      <c r="FN365" s="9" t="n">
        <v>0</v>
      </c>
      <c r="FR365" s="10" t="n">
        <v>46331</v>
      </c>
      <c r="FT365" s="9" t="n">
        <v>0</v>
      </c>
      <c r="FV365" s="9" t="n">
        <v>0</v>
      </c>
      <c r="FW365" s="9" t="n">
        <v>2020</v>
      </c>
      <c r="GA365" s="10" t="n">
        <v>46331</v>
      </c>
      <c r="GC365" s="9" t="n">
        <v>0</v>
      </c>
      <c r="GE365" s="9" t="n">
        <v>0</v>
      </c>
      <c r="GF365" s="9" t="n">
        <v>960</v>
      </c>
      <c r="GJ365" s="10" t="n">
        <v>46331</v>
      </c>
      <c r="GL365" s="9" t="n">
        <v>0</v>
      </c>
      <c r="GN365" s="9" t="n">
        <v>0</v>
      </c>
      <c r="GO365" s="9" t="n">
        <v>1760</v>
      </c>
      <c r="GS365" s="10" t="n">
        <v>46331</v>
      </c>
      <c r="GU365" s="9" t="n">
        <v>0</v>
      </c>
      <c r="GW365" s="9" t="n">
        <v>0</v>
      </c>
      <c r="GX365" s="9" t="n">
        <v>400</v>
      </c>
      <c r="HB365" s="10" t="n">
        <v>46331</v>
      </c>
      <c r="HD365" s="9" t="n">
        <v>0</v>
      </c>
      <c r="HF365" s="9" t="n">
        <v>0</v>
      </c>
      <c r="HG365" s="9" t="n">
        <v>3600</v>
      </c>
      <c r="HK365" s="10" t="n">
        <v>46331</v>
      </c>
      <c r="HM365" s="9" t="n">
        <v>0</v>
      </c>
      <c r="HO365" s="9" t="n">
        <v>0</v>
      </c>
      <c r="HP365" s="9" t="n">
        <v>0</v>
      </c>
      <c r="HU365" s="10" t="n">
        <v>46331</v>
      </c>
      <c r="HW365" s="9" t="n">
        <v>0</v>
      </c>
      <c r="HY365" s="9" t="n">
        <v>0</v>
      </c>
      <c r="HZ365" s="9" t="n">
        <v>6120</v>
      </c>
      <c r="ID365" s="10" t="n">
        <v>46331</v>
      </c>
      <c r="IF365" s="9" t="n">
        <v>0</v>
      </c>
      <c r="IH365" s="9" t="n">
        <v>0</v>
      </c>
      <c r="II365" s="9" t="n">
        <v>0</v>
      </c>
      <c r="IM365" s="10" t="n">
        <v>46331</v>
      </c>
      <c r="IO365" s="9" t="n">
        <v>0</v>
      </c>
      <c r="IQ365" s="9" t="n">
        <v>0</v>
      </c>
      <c r="IR365" s="9" t="n">
        <v>0</v>
      </c>
      <c r="IV365" s="10" t="n">
        <v>46331</v>
      </c>
      <c r="IX365" s="9" t="n">
        <v>0</v>
      </c>
      <c r="IZ365" s="9" t="n">
        <v>0</v>
      </c>
      <c r="JA365" s="9" t="n">
        <v>2820</v>
      </c>
      <c r="JE365" s="10" t="n">
        <v>46331</v>
      </c>
      <c r="JG365" s="9" t="n">
        <v>0</v>
      </c>
      <c r="JI365" s="9" t="n">
        <v>0</v>
      </c>
      <c r="JJ365" s="9" t="n">
        <v>0</v>
      </c>
      <c r="JN365" s="10" t="n">
        <v>46331</v>
      </c>
      <c r="JP365" s="9" t="n">
        <v>0</v>
      </c>
      <c r="JR365" s="9" t="n">
        <v>0</v>
      </c>
      <c r="JS365" s="9" t="n">
        <v>0</v>
      </c>
      <c r="JW365" s="10" t="n">
        <v>46331</v>
      </c>
      <c r="JY365" s="9" t="n">
        <v>0</v>
      </c>
      <c r="KA365" s="9" t="n">
        <v>0</v>
      </c>
      <c r="KB365" s="9" t="n">
        <v>2540</v>
      </c>
      <c r="KF365" s="10" t="n">
        <v>46331</v>
      </c>
      <c r="KH365" s="9" t="n">
        <v>0</v>
      </c>
      <c r="KJ365" s="9" t="n">
        <v>0</v>
      </c>
      <c r="KK365" s="9" t="n">
        <v>2359.5</v>
      </c>
      <c r="KO365" s="10" t="n">
        <v>46331</v>
      </c>
      <c r="KQ365" s="9" t="n">
        <v>0</v>
      </c>
      <c r="KS365" s="9" t="n">
        <v>0</v>
      </c>
      <c r="KT365" s="9" t="n">
        <v>1890</v>
      </c>
      <c r="KX365" s="10" t="n">
        <v>46331</v>
      </c>
      <c r="KZ365" s="9" t="n">
        <v>0</v>
      </c>
      <c r="LB365" s="9" t="n">
        <v>0</v>
      </c>
      <c r="LC365" s="9" t="n">
        <v>3690</v>
      </c>
      <c r="LG365" s="10" t="n">
        <v>46331</v>
      </c>
      <c r="LI365" s="9" t="n">
        <v>0</v>
      </c>
      <c r="LK365" s="9" t="n">
        <v>0</v>
      </c>
      <c r="LL365" s="9" t="n">
        <v>4000</v>
      </c>
      <c r="LP365" s="10" t="n">
        <v>46331</v>
      </c>
      <c r="LR365" s="9" t="n">
        <v>0</v>
      </c>
      <c r="LT365" s="9" t="n">
        <v>0</v>
      </c>
      <c r="LU365" s="9" t="n">
        <v>0</v>
      </c>
      <c r="LY365" s="10" t="n">
        <v>46331</v>
      </c>
      <c r="MA365" s="9" t="n">
        <v>0</v>
      </c>
      <c r="MC365" s="9" t="n">
        <v>0</v>
      </c>
      <c r="MD365" s="9" t="n">
        <v>0</v>
      </c>
      <c r="MH365" s="10" t="n">
        <v>46331</v>
      </c>
      <c r="MJ365" s="9" t="n">
        <v>0</v>
      </c>
      <c r="ML365" s="9" t="n">
        <v>0</v>
      </c>
      <c r="MM365" s="9" t="n">
        <v>0</v>
      </c>
      <c r="MQ365" s="10" t="n">
        <v>46331</v>
      </c>
      <c r="MS365" s="9" t="n">
        <v>0</v>
      </c>
      <c r="MU365" s="9" t="n">
        <v>0</v>
      </c>
      <c r="MV365" s="9" t="n">
        <v>1625</v>
      </c>
      <c r="MZ365" s="10" t="n">
        <v>46331</v>
      </c>
      <c r="NB365" s="9" t="n">
        <v>0</v>
      </c>
      <c r="ND365" s="9" t="n">
        <v>0</v>
      </c>
      <c r="NE365" s="9" t="n">
        <v>0</v>
      </c>
      <c r="NI365" s="10" t="n">
        <v>46331</v>
      </c>
      <c r="NK365" s="9" t="n">
        <v>0</v>
      </c>
      <c r="NM365" s="9" t="n">
        <v>0</v>
      </c>
      <c r="NN365" s="9" t="n">
        <v>1127</v>
      </c>
      <c r="NR365" s="10" t="n">
        <v>46331</v>
      </c>
      <c r="NT365" s="9" t="n">
        <v>0</v>
      </c>
      <c r="NV365" s="9" t="n">
        <v>0</v>
      </c>
      <c r="NW365" s="9" t="n">
        <v>3112</v>
      </c>
      <c r="OA365" s="10" t="n">
        <v>46331</v>
      </c>
      <c r="OC365" s="9" t="n">
        <v>0</v>
      </c>
      <c r="OE365" s="9" t="n">
        <v>0</v>
      </c>
      <c r="OF365" s="9" t="n">
        <v>1680.5</v>
      </c>
      <c r="OJ365" s="10" t="n">
        <v>46331</v>
      </c>
      <c r="OL365" s="9" t="n">
        <v>0</v>
      </c>
      <c r="ON365" s="9" t="n">
        <v>0</v>
      </c>
      <c r="OO365" s="9" t="n">
        <v>0</v>
      </c>
      <c r="OS365" s="10" t="n">
        <v>46331</v>
      </c>
      <c r="OU365" s="9" t="n">
        <v>0</v>
      </c>
      <c r="OW365" s="9" t="n">
        <v>0</v>
      </c>
      <c r="OX365" s="9" t="n">
        <v>1482</v>
      </c>
      <c r="PB365" s="10" t="n">
        <v>46331</v>
      </c>
      <c r="PD365" s="9" t="n">
        <v>0</v>
      </c>
      <c r="PF365" s="9" t="n">
        <v>0</v>
      </c>
      <c r="PG365" s="9" t="n">
        <v>0</v>
      </c>
      <c r="PK365" s="10" t="n">
        <v>46331</v>
      </c>
      <c r="PM365" s="9" t="n">
        <v>0</v>
      </c>
      <c r="PO365" s="9" t="n">
        <v>0</v>
      </c>
      <c r="PP365" s="9" t="n">
        <v>100</v>
      </c>
      <c r="PT365" s="10" t="n">
        <v>46331</v>
      </c>
      <c r="PV365" s="9" t="n">
        <v>0</v>
      </c>
      <c r="PX365" s="9" t="n">
        <v>0</v>
      </c>
      <c r="PY365" s="9" t="n">
        <v>13.96000000000004</v>
      </c>
      <c r="QC365" s="10" t="n">
        <v>46331</v>
      </c>
      <c r="QE365" s="9" t="n">
        <v>0</v>
      </c>
      <c r="QG365" s="9" t="n">
        <v>0</v>
      </c>
      <c r="QH365" s="9" t="n">
        <v>548</v>
      </c>
      <c r="QL365" s="10" t="n">
        <v>46331</v>
      </c>
      <c r="QN365" s="9" t="n">
        <v>0</v>
      </c>
      <c r="QP365" s="9" t="n">
        <v>0</v>
      </c>
      <c r="QQ365" s="9" t="n">
        <v>0</v>
      </c>
      <c r="QU365" s="10" t="n">
        <v>46331</v>
      </c>
      <c r="QW365" s="9" t="n">
        <v>0</v>
      </c>
      <c r="QY365" s="9" t="n">
        <v>0</v>
      </c>
      <c r="QZ365" s="9" t="n">
        <v>0</v>
      </c>
      <c r="RD365" s="10" t="n">
        <v>46331</v>
      </c>
      <c r="RF365" s="9" t="n">
        <v>0</v>
      </c>
      <c r="RH365" s="9" t="n">
        <v>0</v>
      </c>
      <c r="RI365" s="9" t="n">
        <v>147.04</v>
      </c>
      <c r="RM365" s="10" t="n">
        <v>46331</v>
      </c>
      <c r="RO365" s="9" t="n">
        <v>0</v>
      </c>
      <c r="RQ365" s="9" t="n">
        <v>0</v>
      </c>
      <c r="RR365" s="9" t="n">
        <v>46.8</v>
      </c>
      <c r="RV365" s="10" t="n">
        <v>46331</v>
      </c>
      <c r="RX365" s="9" t="n">
        <v>0</v>
      </c>
      <c r="RZ365" s="9" t="n">
        <v>0</v>
      </c>
      <c r="SA365" s="9" t="n">
        <v>0</v>
      </c>
      <c r="SE365" s="10" t="n">
        <v>46331</v>
      </c>
      <c r="SG365" s="9" t="n">
        <v>0</v>
      </c>
      <c r="SI365" s="9" t="n">
        <v>0</v>
      </c>
      <c r="SJ365" s="9" t="n">
        <v>24.2</v>
      </c>
      <c r="SN365" s="10" t="n">
        <v>46331</v>
      </c>
      <c r="SP365" s="9" t="n">
        <v>0</v>
      </c>
      <c r="SR365" s="9" t="n">
        <v>0</v>
      </c>
      <c r="SS365" s="9" t="n">
        <v>32</v>
      </c>
      <c r="SW365" s="10" t="n">
        <v>46331</v>
      </c>
      <c r="SY365" s="9" t="n">
        <v>0</v>
      </c>
      <c r="TA365" s="9" t="n">
        <v>0</v>
      </c>
      <c r="TB365" s="9" t="n">
        <v>0</v>
      </c>
      <c r="TF365" s="10" t="n">
        <v>46331</v>
      </c>
      <c r="TH365" s="9" t="n">
        <v>0</v>
      </c>
      <c r="TJ365" s="9" t="n">
        <v>0</v>
      </c>
      <c r="TK365" s="9" t="n">
        <v>0</v>
      </c>
      <c r="TO365" s="10" t="n">
        <v>46331</v>
      </c>
      <c r="TQ365" s="9" t="n">
        <v>0</v>
      </c>
      <c r="TS365" s="9" t="n">
        <v>0</v>
      </c>
      <c r="TT365" s="9" t="n">
        <v>0</v>
      </c>
      <c r="TX365" s="10" t="n">
        <v>46331</v>
      </c>
      <c r="TZ365" s="9" t="n">
        <v>0</v>
      </c>
      <c r="UB365" s="9" t="n">
        <v>0</v>
      </c>
      <c r="UC365" s="9" t="n">
        <v>46.79999999999998</v>
      </c>
      <c r="UG365" s="10" t="n">
        <v>46331</v>
      </c>
      <c r="UI365" s="9" t="n">
        <v>0</v>
      </c>
      <c r="UK365" s="9" t="n">
        <v>0</v>
      </c>
      <c r="UL365" s="9" t="n">
        <v>204</v>
      </c>
      <c r="UP365" s="10" t="n">
        <v>46331</v>
      </c>
      <c r="UR365" s="9" t="n">
        <v>0</v>
      </c>
      <c r="UT365" s="9" t="n">
        <v>0</v>
      </c>
      <c r="UU365" s="9" t="n">
        <v>202.5</v>
      </c>
      <c r="UY365" s="10" t="n">
        <v>46331</v>
      </c>
      <c r="VA365" s="9" t="n">
        <v>0</v>
      </c>
      <c r="VC365" s="9" t="n">
        <v>0</v>
      </c>
      <c r="VD365" s="9" t="n">
        <v>41.60000000000002</v>
      </c>
      <c r="VH365" s="10" t="n">
        <v>46331</v>
      </c>
      <c r="VJ365" s="9" t="n">
        <v>0</v>
      </c>
      <c r="VL365" s="9" t="n">
        <v>0</v>
      </c>
      <c r="VM365" s="9" t="n">
        <v>210</v>
      </c>
      <c r="VQ365" s="10" t="n">
        <v>46331</v>
      </c>
      <c r="VS365" s="9" t="n">
        <v>0</v>
      </c>
      <c r="VU365" s="9" t="n">
        <v>0</v>
      </c>
      <c r="VV365" s="9" t="n">
        <v>0</v>
      </c>
      <c r="VZ365" s="10" t="n">
        <v>46331</v>
      </c>
      <c r="WB365" s="9" t="n">
        <v>0</v>
      </c>
      <c r="WD365" s="9" t="n">
        <v>0</v>
      </c>
      <c r="WE365" s="9" t="n">
        <v>0</v>
      </c>
      <c r="WI365" s="10" t="n">
        <v>46331</v>
      </c>
      <c r="WK365" s="9" t="n">
        <v>0</v>
      </c>
      <c r="WM365" s="9" t="n">
        <v>0</v>
      </c>
      <c r="WN365" s="9" t="n">
        <v>1057</v>
      </c>
      <c r="WR365" s="10" t="n">
        <v>46331</v>
      </c>
      <c r="WT365" s="9" t="n">
        <v>0</v>
      </c>
      <c r="WV365" s="9" t="n">
        <v>0</v>
      </c>
      <c r="WW365" s="9" t="n">
        <v>0</v>
      </c>
      <c r="XA365" s="10" t="n">
        <v>46331</v>
      </c>
      <c r="XC365" s="9" t="n">
        <v>0</v>
      </c>
      <c r="XE365" s="9" t="n">
        <v>0</v>
      </c>
      <c r="XF365" s="9" t="n">
        <v>7507</v>
      </c>
      <c r="XJ365" s="10" t="n">
        <v>46331</v>
      </c>
      <c r="XL365" s="9" t="n">
        <v>0</v>
      </c>
      <c r="XN365" s="9" t="n">
        <v>0</v>
      </c>
      <c r="XO365" s="9" t="n">
        <v>4252</v>
      </c>
      <c r="XS365" s="10" t="n">
        <v>46331</v>
      </c>
      <c r="XU365" s="9" t="n">
        <v>0</v>
      </c>
      <c r="XW365" s="9" t="n">
        <v>0</v>
      </c>
      <c r="XX365" s="9" t="n">
        <v>2179</v>
      </c>
      <c r="YB365" s="10" t="n">
        <v>46331</v>
      </c>
      <c r="YD365" s="9" t="n">
        <v>0</v>
      </c>
      <c r="YF365" s="9" t="n">
        <v>0</v>
      </c>
      <c r="YG365" s="9" t="n">
        <v>4019</v>
      </c>
      <c r="YK365" s="10" t="n">
        <v>46331</v>
      </c>
      <c r="YM365" s="9" t="n">
        <v>0</v>
      </c>
      <c r="YO365" s="9" t="n">
        <v>0</v>
      </c>
      <c r="YP365" s="9" t="n">
        <v>-218</v>
      </c>
      <c r="YT365" s="10" t="n">
        <v>46331</v>
      </c>
      <c r="YV365" s="9" t="n">
        <v>0</v>
      </c>
      <c r="YX365" s="9" t="n">
        <v>0</v>
      </c>
      <c r="YY365" s="9" t="n">
        <v>0</v>
      </c>
      <c r="ZC365" s="10" t="n">
        <v>46331</v>
      </c>
      <c r="ZE365" s="9" t="n">
        <v>0</v>
      </c>
      <c r="ZG365" s="9" t="n">
        <v>0</v>
      </c>
      <c r="ZH365" s="9" t="n">
        <v>0</v>
      </c>
      <c r="ZL365" s="10" t="n">
        <v>46331</v>
      </c>
      <c r="ZN365" s="9" t="n">
        <v>0</v>
      </c>
      <c r="ZP365" s="9" t="n">
        <v>0</v>
      </c>
      <c r="ZQ365" s="9" t="n">
        <v>0</v>
      </c>
      <c r="ZU365" s="10" t="n">
        <v>46331</v>
      </c>
      <c r="ZW365" s="9" t="n">
        <v>0</v>
      </c>
      <c r="ZY365" s="9" t="n">
        <v>0</v>
      </c>
      <c r="ZZ365" s="9" t="n">
        <v>0</v>
      </c>
      <c r="AAD365" s="10" t="n">
        <v>46331</v>
      </c>
      <c r="AAF365" s="9" t="n">
        <v>0</v>
      </c>
      <c r="AAH365" s="9" t="n">
        <v>0</v>
      </c>
      <c r="AAI365" s="9" t="n">
        <v>0</v>
      </c>
      <c r="AAM365" s="10" t="n">
        <v>46331</v>
      </c>
      <c r="AAO365" s="9" t="n">
        <v>0</v>
      </c>
      <c r="AAQ365" s="9" t="n">
        <v>0</v>
      </c>
      <c r="AAR365" s="9" t="n">
        <v>0</v>
      </c>
      <c r="AAV365" s="10" t="n">
        <v>46331</v>
      </c>
      <c r="AAX365" s="9" t="n">
        <v>0</v>
      </c>
      <c r="AAZ365" s="9" t="n">
        <v>0</v>
      </c>
      <c r="ABA365" s="9" t="n">
        <v>0</v>
      </c>
      <c r="ABE365" s="10" t="n">
        <v>46331</v>
      </c>
      <c r="ABG365" s="9" t="n">
        <v>0</v>
      </c>
      <c r="ABI365" s="9" t="n">
        <v>0</v>
      </c>
      <c r="ABJ365" s="9" t="n">
        <v>0</v>
      </c>
    </row>
    <row r="366">
      <c r="C366" s="10" t="n">
        <v>46332</v>
      </c>
      <c r="E366" s="9" t="n">
        <v>0</v>
      </c>
      <c r="G366" s="9" t="n">
        <v>0</v>
      </c>
      <c r="H366" s="9" t="n">
        <v>236936.6</v>
      </c>
      <c r="L366" s="10" t="n">
        <v>46332</v>
      </c>
      <c r="N366" s="9" t="n">
        <v>0</v>
      </c>
      <c r="P366" s="9" t="n">
        <v>0</v>
      </c>
      <c r="Q366" s="9" t="n">
        <v>53017.60000000007</v>
      </c>
      <c r="U366" s="10" t="n">
        <v>46332</v>
      </c>
      <c r="W366" s="9" t="n">
        <v>0</v>
      </c>
      <c r="Y366" s="9" t="n">
        <v>0</v>
      </c>
      <c r="Z366" s="9" t="n">
        <v>42674.19999999997</v>
      </c>
      <c r="AD366" s="10" t="n">
        <v>46332</v>
      </c>
      <c r="AF366" s="9" t="n">
        <v>0</v>
      </c>
      <c r="AH366" s="9" t="n">
        <v>0</v>
      </c>
      <c r="AI366" s="9" t="n">
        <v>4522.200000000019</v>
      </c>
      <c r="AM366" s="10" t="n">
        <v>46332</v>
      </c>
      <c r="AO366" s="9" t="n">
        <v>0</v>
      </c>
      <c r="AQ366" s="9" t="n">
        <v>0</v>
      </c>
      <c r="AR366" s="9" t="n">
        <v>0</v>
      </c>
      <c r="AV366" s="10" t="n">
        <v>46332</v>
      </c>
      <c r="AX366" s="9" t="n">
        <v>0</v>
      </c>
      <c r="AZ366" s="9" t="n">
        <v>0</v>
      </c>
      <c r="BA366" s="9" t="n">
        <v>124.9999999999952</v>
      </c>
      <c r="BE366" s="10" t="n">
        <v>46332</v>
      </c>
      <c r="BG366" s="9" t="n">
        <v>0</v>
      </c>
      <c r="BI366" s="9" t="n">
        <v>0</v>
      </c>
      <c r="BJ366" s="9" t="n">
        <v>26151.9</v>
      </c>
      <c r="BN366" s="10" t="n">
        <v>46332</v>
      </c>
      <c r="BP366" s="9" t="n">
        <v>0</v>
      </c>
      <c r="BR366" s="9" t="n">
        <v>0</v>
      </c>
      <c r="BS366" s="9" t="n">
        <v>0</v>
      </c>
      <c r="BW366" s="10" t="n">
        <v>46332</v>
      </c>
      <c r="BY366" s="9" t="n">
        <v>0</v>
      </c>
      <c r="CA366" s="9" t="n">
        <v>0</v>
      </c>
      <c r="CB366" s="9" t="n">
        <v>2097.339999999999</v>
      </c>
      <c r="CF366" s="10" t="n">
        <v>46332</v>
      </c>
      <c r="CH366" s="9" t="n">
        <v>0</v>
      </c>
      <c r="CJ366" s="9" t="n">
        <v>0</v>
      </c>
      <c r="CK366" s="9" t="n">
        <v>-10277.08</v>
      </c>
      <c r="CO366" s="10" t="n">
        <v>46332</v>
      </c>
      <c r="CQ366" s="9" t="n">
        <v>0</v>
      </c>
      <c r="CS366" s="9" t="n">
        <v>0</v>
      </c>
      <c r="CT366" s="9" t="n">
        <v>0</v>
      </c>
      <c r="CX366" s="10" t="n">
        <v>46332</v>
      </c>
      <c r="CZ366" s="9" t="n">
        <v>0</v>
      </c>
      <c r="DB366" s="9" t="n">
        <v>0</v>
      </c>
      <c r="DC366" s="9" t="n">
        <v>27438.20000000001</v>
      </c>
      <c r="DG366" s="10" t="n">
        <v>46332</v>
      </c>
      <c r="DI366" s="9" t="n">
        <v>0</v>
      </c>
      <c r="DK366" s="9" t="n">
        <v>0</v>
      </c>
      <c r="DL366" s="9" t="n">
        <v>18782.29999999998</v>
      </c>
      <c r="DP366" s="10" t="n">
        <v>46332</v>
      </c>
      <c r="DR366" s="9" t="n">
        <v>0</v>
      </c>
      <c r="DT366" s="9" t="n">
        <v>0</v>
      </c>
      <c r="DU366" s="9" t="n">
        <v>5800</v>
      </c>
      <c r="DY366" s="10" t="n">
        <v>46332</v>
      </c>
      <c r="EA366" s="9" t="n">
        <v>0</v>
      </c>
      <c r="EC366" s="9" t="n">
        <v>0</v>
      </c>
      <c r="ED366" s="9" t="n">
        <v>0</v>
      </c>
      <c r="EH366" s="10" t="n">
        <v>46332</v>
      </c>
      <c r="EJ366" s="9" t="n">
        <v>0</v>
      </c>
      <c r="EL366" s="9" t="n">
        <v>0</v>
      </c>
      <c r="EM366" s="9" t="n">
        <v>0</v>
      </c>
      <c r="EQ366" s="10" t="n">
        <v>46332</v>
      </c>
      <c r="ES366" s="9" t="n">
        <v>0</v>
      </c>
      <c r="EU366" s="9" t="n">
        <v>0</v>
      </c>
      <c r="EV366" s="9" t="n">
        <v>0</v>
      </c>
      <c r="EZ366" s="10" t="n">
        <v>46332</v>
      </c>
      <c r="FB366" s="9" t="n">
        <v>0</v>
      </c>
      <c r="FD366" s="9" t="n">
        <v>0</v>
      </c>
      <c r="FE366" s="9" t="n">
        <v>0</v>
      </c>
      <c r="FI366" s="10" t="n">
        <v>46332</v>
      </c>
      <c r="FK366" s="9" t="n">
        <v>0</v>
      </c>
      <c r="FM366" s="9" t="n">
        <v>0</v>
      </c>
      <c r="FN366" s="9" t="n">
        <v>0</v>
      </c>
      <c r="FR366" s="10" t="n">
        <v>46332</v>
      </c>
      <c r="FT366" s="9" t="n">
        <v>0</v>
      </c>
      <c r="FV366" s="9" t="n">
        <v>0</v>
      </c>
      <c r="FW366" s="9" t="n">
        <v>2020</v>
      </c>
      <c r="GA366" s="10" t="n">
        <v>46332</v>
      </c>
      <c r="GC366" s="9" t="n">
        <v>0</v>
      </c>
      <c r="GE366" s="9" t="n">
        <v>0</v>
      </c>
      <c r="GF366" s="9" t="n">
        <v>960</v>
      </c>
      <c r="GJ366" s="10" t="n">
        <v>46332</v>
      </c>
      <c r="GL366" s="9" t="n">
        <v>0</v>
      </c>
      <c r="GN366" s="9" t="n">
        <v>0</v>
      </c>
      <c r="GO366" s="9" t="n">
        <v>1760</v>
      </c>
      <c r="GS366" s="10" t="n">
        <v>46332</v>
      </c>
      <c r="GU366" s="9" t="n">
        <v>0</v>
      </c>
      <c r="GW366" s="9" t="n">
        <v>0</v>
      </c>
      <c r="GX366" s="9" t="n">
        <v>400</v>
      </c>
      <c r="HB366" s="10" t="n">
        <v>46332</v>
      </c>
      <c r="HD366" s="9" t="n">
        <v>0</v>
      </c>
      <c r="HF366" s="9" t="n">
        <v>0</v>
      </c>
      <c r="HG366" s="9" t="n">
        <v>3600</v>
      </c>
      <c r="HK366" s="10" t="n">
        <v>46332</v>
      </c>
      <c r="HM366" s="9" t="n">
        <v>0</v>
      </c>
      <c r="HO366" s="9" t="n">
        <v>0</v>
      </c>
      <c r="HP366" s="9" t="n">
        <v>0</v>
      </c>
      <c r="HU366" s="10" t="n">
        <v>46332</v>
      </c>
      <c r="HW366" s="9" t="n">
        <v>0</v>
      </c>
      <c r="HY366" s="9" t="n">
        <v>0</v>
      </c>
      <c r="HZ366" s="9" t="n">
        <v>6120</v>
      </c>
      <c r="ID366" s="10" t="n">
        <v>46332</v>
      </c>
      <c r="IF366" s="9" t="n">
        <v>0</v>
      </c>
      <c r="IH366" s="9" t="n">
        <v>0</v>
      </c>
      <c r="II366" s="9" t="n">
        <v>0</v>
      </c>
      <c r="IM366" s="10" t="n">
        <v>46332</v>
      </c>
      <c r="IO366" s="9" t="n">
        <v>0</v>
      </c>
      <c r="IQ366" s="9" t="n">
        <v>0</v>
      </c>
      <c r="IR366" s="9" t="n">
        <v>0</v>
      </c>
      <c r="IV366" s="10" t="n">
        <v>46332</v>
      </c>
      <c r="IX366" s="9" t="n">
        <v>0</v>
      </c>
      <c r="IZ366" s="9" t="n">
        <v>0</v>
      </c>
      <c r="JA366" s="9" t="n">
        <v>2820</v>
      </c>
      <c r="JE366" s="10" t="n">
        <v>46332</v>
      </c>
      <c r="JG366" s="9" t="n">
        <v>0</v>
      </c>
      <c r="JI366" s="9" t="n">
        <v>0</v>
      </c>
      <c r="JJ366" s="9" t="n">
        <v>0</v>
      </c>
      <c r="JN366" s="10" t="n">
        <v>46332</v>
      </c>
      <c r="JP366" s="9" t="n">
        <v>0</v>
      </c>
      <c r="JR366" s="9" t="n">
        <v>0</v>
      </c>
      <c r="JS366" s="9" t="n">
        <v>0</v>
      </c>
      <c r="JW366" s="10" t="n">
        <v>46332</v>
      </c>
      <c r="JY366" s="9" t="n">
        <v>0</v>
      </c>
      <c r="KA366" s="9" t="n">
        <v>0</v>
      </c>
      <c r="KB366" s="9" t="n">
        <v>2540</v>
      </c>
      <c r="KF366" s="10" t="n">
        <v>46332</v>
      </c>
      <c r="KH366" s="9" t="n">
        <v>0</v>
      </c>
      <c r="KJ366" s="9" t="n">
        <v>0</v>
      </c>
      <c r="KK366" s="9" t="n">
        <v>2359.5</v>
      </c>
      <c r="KO366" s="10" t="n">
        <v>46332</v>
      </c>
      <c r="KQ366" s="9" t="n">
        <v>0</v>
      </c>
      <c r="KS366" s="9" t="n">
        <v>0</v>
      </c>
      <c r="KT366" s="9" t="n">
        <v>1890</v>
      </c>
      <c r="KX366" s="10" t="n">
        <v>46332</v>
      </c>
      <c r="KZ366" s="9" t="n">
        <v>0</v>
      </c>
      <c r="LB366" s="9" t="n">
        <v>0</v>
      </c>
      <c r="LC366" s="9" t="n">
        <v>3690</v>
      </c>
      <c r="LG366" s="10" t="n">
        <v>46332</v>
      </c>
      <c r="LI366" s="9" t="n">
        <v>0</v>
      </c>
      <c r="LK366" s="9" t="n">
        <v>0</v>
      </c>
      <c r="LL366" s="9" t="n">
        <v>4000</v>
      </c>
      <c r="LP366" s="10" t="n">
        <v>46332</v>
      </c>
      <c r="LR366" s="9" t="n">
        <v>0</v>
      </c>
      <c r="LT366" s="9" t="n">
        <v>0</v>
      </c>
      <c r="LU366" s="9" t="n">
        <v>0</v>
      </c>
      <c r="LY366" s="10" t="n">
        <v>46332</v>
      </c>
      <c r="MA366" s="9" t="n">
        <v>0</v>
      </c>
      <c r="MC366" s="9" t="n">
        <v>0</v>
      </c>
      <c r="MD366" s="9" t="n">
        <v>0</v>
      </c>
      <c r="MH366" s="10" t="n">
        <v>46332</v>
      </c>
      <c r="MJ366" s="9" t="n">
        <v>0</v>
      </c>
      <c r="ML366" s="9" t="n">
        <v>0</v>
      </c>
      <c r="MM366" s="9" t="n">
        <v>0</v>
      </c>
      <c r="MQ366" s="10" t="n">
        <v>46332</v>
      </c>
      <c r="MS366" s="9" t="n">
        <v>0</v>
      </c>
      <c r="MU366" s="9" t="n">
        <v>0</v>
      </c>
      <c r="MV366" s="9" t="n">
        <v>1625</v>
      </c>
      <c r="MZ366" s="10" t="n">
        <v>46332</v>
      </c>
      <c r="NB366" s="9" t="n">
        <v>0</v>
      </c>
      <c r="ND366" s="9" t="n">
        <v>0</v>
      </c>
      <c r="NE366" s="9" t="n">
        <v>0</v>
      </c>
      <c r="NI366" s="10" t="n">
        <v>46332</v>
      </c>
      <c r="NK366" s="9" t="n">
        <v>0</v>
      </c>
      <c r="NM366" s="9" t="n">
        <v>0</v>
      </c>
      <c r="NN366" s="9" t="n">
        <v>1127</v>
      </c>
      <c r="NR366" s="10" t="n">
        <v>46332</v>
      </c>
      <c r="NT366" s="9" t="n">
        <v>0</v>
      </c>
      <c r="NV366" s="9" t="n">
        <v>0</v>
      </c>
      <c r="NW366" s="9" t="n">
        <v>3112</v>
      </c>
      <c r="OA366" s="10" t="n">
        <v>46332</v>
      </c>
      <c r="OC366" s="9" t="n">
        <v>0</v>
      </c>
      <c r="OE366" s="9" t="n">
        <v>0</v>
      </c>
      <c r="OF366" s="9" t="n">
        <v>1680.5</v>
      </c>
      <c r="OJ366" s="10" t="n">
        <v>46332</v>
      </c>
      <c r="OL366" s="9" t="n">
        <v>0</v>
      </c>
      <c r="ON366" s="9" t="n">
        <v>0</v>
      </c>
      <c r="OO366" s="9" t="n">
        <v>0</v>
      </c>
      <c r="OS366" s="10" t="n">
        <v>46332</v>
      </c>
      <c r="OU366" s="9" t="n">
        <v>0</v>
      </c>
      <c r="OW366" s="9" t="n">
        <v>0</v>
      </c>
      <c r="OX366" s="9" t="n">
        <v>1482</v>
      </c>
      <c r="PB366" s="10" t="n">
        <v>46332</v>
      </c>
      <c r="PD366" s="9" t="n">
        <v>0</v>
      </c>
      <c r="PF366" s="9" t="n">
        <v>0</v>
      </c>
      <c r="PG366" s="9" t="n">
        <v>0</v>
      </c>
      <c r="PK366" s="10" t="n">
        <v>46332</v>
      </c>
      <c r="PM366" s="9" t="n">
        <v>0</v>
      </c>
      <c r="PO366" s="9" t="n">
        <v>0</v>
      </c>
      <c r="PP366" s="9" t="n">
        <v>100</v>
      </c>
      <c r="PT366" s="10" t="n">
        <v>46332</v>
      </c>
      <c r="PV366" s="9" t="n">
        <v>0</v>
      </c>
      <c r="PX366" s="9" t="n">
        <v>0</v>
      </c>
      <c r="PY366" s="9" t="n">
        <v>13.96000000000004</v>
      </c>
      <c r="QC366" s="10" t="n">
        <v>46332</v>
      </c>
      <c r="QE366" s="9" t="n">
        <v>0</v>
      </c>
      <c r="QG366" s="9" t="n">
        <v>0</v>
      </c>
      <c r="QH366" s="9" t="n">
        <v>548</v>
      </c>
      <c r="QL366" s="10" t="n">
        <v>46332</v>
      </c>
      <c r="QN366" s="9" t="n">
        <v>0</v>
      </c>
      <c r="QP366" s="9" t="n">
        <v>0</v>
      </c>
      <c r="QQ366" s="9" t="n">
        <v>0</v>
      </c>
      <c r="QU366" s="10" t="n">
        <v>46332</v>
      </c>
      <c r="QW366" s="9" t="n">
        <v>0</v>
      </c>
      <c r="QY366" s="9" t="n">
        <v>0</v>
      </c>
      <c r="QZ366" s="9" t="n">
        <v>0</v>
      </c>
      <c r="RD366" s="10" t="n">
        <v>46332</v>
      </c>
      <c r="RF366" s="9" t="n">
        <v>0</v>
      </c>
      <c r="RH366" s="9" t="n">
        <v>0</v>
      </c>
      <c r="RI366" s="9" t="n">
        <v>147.04</v>
      </c>
      <c r="RM366" s="10" t="n">
        <v>46332</v>
      </c>
      <c r="RO366" s="9" t="n">
        <v>0</v>
      </c>
      <c r="RQ366" s="9" t="n">
        <v>0</v>
      </c>
      <c r="RR366" s="9" t="n">
        <v>46.8</v>
      </c>
      <c r="RV366" s="10" t="n">
        <v>46332</v>
      </c>
      <c r="RX366" s="9" t="n">
        <v>0</v>
      </c>
      <c r="RZ366" s="9" t="n">
        <v>0</v>
      </c>
      <c r="SA366" s="9" t="n">
        <v>0</v>
      </c>
      <c r="SE366" s="10" t="n">
        <v>46332</v>
      </c>
      <c r="SG366" s="9" t="n">
        <v>0</v>
      </c>
      <c r="SI366" s="9" t="n">
        <v>0</v>
      </c>
      <c r="SJ366" s="9" t="n">
        <v>24.2</v>
      </c>
      <c r="SN366" s="10" t="n">
        <v>46332</v>
      </c>
      <c r="SP366" s="9" t="n">
        <v>0</v>
      </c>
      <c r="SR366" s="9" t="n">
        <v>0</v>
      </c>
      <c r="SS366" s="9" t="n">
        <v>32</v>
      </c>
      <c r="SW366" s="10" t="n">
        <v>46332</v>
      </c>
      <c r="SY366" s="9" t="n">
        <v>0</v>
      </c>
      <c r="TA366" s="9" t="n">
        <v>0</v>
      </c>
      <c r="TB366" s="9" t="n">
        <v>0</v>
      </c>
      <c r="TF366" s="10" t="n">
        <v>46332</v>
      </c>
      <c r="TH366" s="9" t="n">
        <v>0</v>
      </c>
      <c r="TJ366" s="9" t="n">
        <v>0</v>
      </c>
      <c r="TK366" s="9" t="n">
        <v>0</v>
      </c>
      <c r="TO366" s="10" t="n">
        <v>46332</v>
      </c>
      <c r="TQ366" s="9" t="n">
        <v>0</v>
      </c>
      <c r="TS366" s="9" t="n">
        <v>0</v>
      </c>
      <c r="TT366" s="9" t="n">
        <v>0</v>
      </c>
      <c r="TX366" s="10" t="n">
        <v>46332</v>
      </c>
      <c r="TZ366" s="9" t="n">
        <v>0</v>
      </c>
      <c r="UB366" s="9" t="n">
        <v>0</v>
      </c>
      <c r="UC366" s="9" t="n">
        <v>46.79999999999998</v>
      </c>
      <c r="UG366" s="10" t="n">
        <v>46332</v>
      </c>
      <c r="UI366" s="9" t="n">
        <v>0</v>
      </c>
      <c r="UK366" s="9" t="n">
        <v>0</v>
      </c>
      <c r="UL366" s="9" t="n">
        <v>204</v>
      </c>
      <c r="UP366" s="10" t="n">
        <v>46332</v>
      </c>
      <c r="UR366" s="9" t="n">
        <v>0</v>
      </c>
      <c r="UT366" s="9" t="n">
        <v>0</v>
      </c>
      <c r="UU366" s="9" t="n">
        <v>202.5</v>
      </c>
      <c r="UY366" s="10" t="n">
        <v>46332</v>
      </c>
      <c r="VA366" s="9" t="n">
        <v>0</v>
      </c>
      <c r="VC366" s="9" t="n">
        <v>0</v>
      </c>
      <c r="VD366" s="9" t="n">
        <v>41.60000000000002</v>
      </c>
      <c r="VH366" s="10" t="n">
        <v>46332</v>
      </c>
      <c r="VJ366" s="9" t="n">
        <v>0</v>
      </c>
      <c r="VL366" s="9" t="n">
        <v>0</v>
      </c>
      <c r="VM366" s="9" t="n">
        <v>210</v>
      </c>
      <c r="VQ366" s="10" t="n">
        <v>46332</v>
      </c>
      <c r="VS366" s="9" t="n">
        <v>0</v>
      </c>
      <c r="VU366" s="9" t="n">
        <v>0</v>
      </c>
      <c r="VV366" s="9" t="n">
        <v>0</v>
      </c>
      <c r="VZ366" s="10" t="n">
        <v>46332</v>
      </c>
      <c r="WB366" s="9" t="n">
        <v>0</v>
      </c>
      <c r="WD366" s="9" t="n">
        <v>0</v>
      </c>
      <c r="WE366" s="9" t="n">
        <v>0</v>
      </c>
      <c r="WI366" s="10" t="n">
        <v>46332</v>
      </c>
      <c r="WK366" s="9" t="n">
        <v>0</v>
      </c>
      <c r="WM366" s="9" t="n">
        <v>0</v>
      </c>
      <c r="WN366" s="9" t="n">
        <v>1057</v>
      </c>
      <c r="WR366" s="10" t="n">
        <v>46332</v>
      </c>
      <c r="WT366" s="9" t="n">
        <v>0</v>
      </c>
      <c r="WV366" s="9" t="n">
        <v>0</v>
      </c>
      <c r="WW366" s="9" t="n">
        <v>0</v>
      </c>
      <c r="XA366" s="10" t="n">
        <v>46332</v>
      </c>
      <c r="XC366" s="9" t="n">
        <v>0</v>
      </c>
      <c r="XE366" s="9" t="n">
        <v>0</v>
      </c>
      <c r="XF366" s="9" t="n">
        <v>7507</v>
      </c>
      <c r="XJ366" s="10" t="n">
        <v>46332</v>
      </c>
      <c r="XL366" s="9" t="n">
        <v>0</v>
      </c>
      <c r="XN366" s="9" t="n">
        <v>0</v>
      </c>
      <c r="XO366" s="9" t="n">
        <v>4252</v>
      </c>
      <c r="XS366" s="10" t="n">
        <v>46332</v>
      </c>
      <c r="XU366" s="9" t="n">
        <v>0</v>
      </c>
      <c r="XW366" s="9" t="n">
        <v>0</v>
      </c>
      <c r="XX366" s="9" t="n">
        <v>2179</v>
      </c>
      <c r="YB366" s="10" t="n">
        <v>46332</v>
      </c>
      <c r="YD366" s="9" t="n">
        <v>0</v>
      </c>
      <c r="YF366" s="9" t="n">
        <v>0</v>
      </c>
      <c r="YG366" s="9" t="n">
        <v>4019</v>
      </c>
      <c r="YK366" s="10" t="n">
        <v>46332</v>
      </c>
      <c r="YM366" s="9" t="n">
        <v>0</v>
      </c>
      <c r="YO366" s="9" t="n">
        <v>0</v>
      </c>
      <c r="YP366" s="9" t="n">
        <v>-218</v>
      </c>
      <c r="YT366" s="10" t="n">
        <v>46332</v>
      </c>
      <c r="YV366" s="9" t="n">
        <v>0</v>
      </c>
      <c r="YX366" s="9" t="n">
        <v>0</v>
      </c>
      <c r="YY366" s="9" t="n">
        <v>0</v>
      </c>
      <c r="ZC366" s="10" t="n">
        <v>46332</v>
      </c>
      <c r="ZE366" s="9" t="n">
        <v>0</v>
      </c>
      <c r="ZG366" s="9" t="n">
        <v>0</v>
      </c>
      <c r="ZH366" s="9" t="n">
        <v>0</v>
      </c>
      <c r="ZL366" s="10" t="n">
        <v>46332</v>
      </c>
      <c r="ZN366" s="9" t="n">
        <v>0</v>
      </c>
      <c r="ZP366" s="9" t="n">
        <v>0</v>
      </c>
      <c r="ZQ366" s="9" t="n">
        <v>0</v>
      </c>
      <c r="ZU366" s="10" t="n">
        <v>46332</v>
      </c>
      <c r="ZW366" s="9" t="n">
        <v>0</v>
      </c>
      <c r="ZY366" s="9" t="n">
        <v>0</v>
      </c>
      <c r="ZZ366" s="9" t="n">
        <v>0</v>
      </c>
      <c r="AAD366" s="10" t="n">
        <v>46332</v>
      </c>
      <c r="AAF366" s="9" t="n">
        <v>0</v>
      </c>
      <c r="AAH366" s="9" t="n">
        <v>0</v>
      </c>
      <c r="AAI366" s="9" t="n">
        <v>0</v>
      </c>
      <c r="AAM366" s="10" t="n">
        <v>46332</v>
      </c>
      <c r="AAO366" s="9" t="n">
        <v>0</v>
      </c>
      <c r="AAQ366" s="9" t="n">
        <v>0</v>
      </c>
      <c r="AAR366" s="9" t="n">
        <v>0</v>
      </c>
      <c r="AAV366" s="10" t="n">
        <v>46332</v>
      </c>
      <c r="AAX366" s="9" t="n">
        <v>0</v>
      </c>
      <c r="AAZ366" s="9" t="n">
        <v>0</v>
      </c>
      <c r="ABA366" s="9" t="n">
        <v>0</v>
      </c>
      <c r="ABE366" s="10" t="n">
        <v>46332</v>
      </c>
      <c r="ABG366" s="9" t="n">
        <v>0</v>
      </c>
      <c r="ABI366" s="9" t="n">
        <v>0</v>
      </c>
      <c r="ABJ366" s="9" t="n">
        <v>0</v>
      </c>
    </row>
    <row r="367">
      <c r="C367" s="10" t="n">
        <v>46333</v>
      </c>
      <c r="E367" s="9" t="n">
        <v>0</v>
      </c>
      <c r="G367" s="9" t="n">
        <v>0</v>
      </c>
      <c r="H367" s="9" t="n">
        <v>236936.6</v>
      </c>
      <c r="L367" s="10" t="n">
        <v>46333</v>
      </c>
      <c r="N367" s="9" t="n">
        <v>0</v>
      </c>
      <c r="P367" s="9" t="n">
        <v>0</v>
      </c>
      <c r="Q367" s="9" t="n">
        <v>53017.60000000007</v>
      </c>
      <c r="U367" s="10" t="n">
        <v>46333</v>
      </c>
      <c r="W367" s="9" t="n">
        <v>0</v>
      </c>
      <c r="Y367" s="9" t="n">
        <v>0</v>
      </c>
      <c r="Z367" s="9" t="n">
        <v>42674.19999999997</v>
      </c>
      <c r="AD367" s="10" t="n">
        <v>46333</v>
      </c>
      <c r="AF367" s="9" t="n">
        <v>0</v>
      </c>
      <c r="AH367" s="9" t="n">
        <v>0</v>
      </c>
      <c r="AI367" s="9" t="n">
        <v>4522.200000000019</v>
      </c>
      <c r="AM367" s="10" t="n">
        <v>46333</v>
      </c>
      <c r="AO367" s="9" t="n">
        <v>0</v>
      </c>
      <c r="AQ367" s="9" t="n">
        <v>0</v>
      </c>
      <c r="AR367" s="9" t="n">
        <v>0</v>
      </c>
      <c r="AV367" s="10" t="n">
        <v>46333</v>
      </c>
      <c r="AX367" s="9" t="n">
        <v>0</v>
      </c>
      <c r="AZ367" s="9" t="n">
        <v>0</v>
      </c>
      <c r="BA367" s="9" t="n">
        <v>124.9999999999952</v>
      </c>
      <c r="BE367" s="10" t="n">
        <v>46333</v>
      </c>
      <c r="BG367" s="9" t="n">
        <v>0</v>
      </c>
      <c r="BI367" s="9" t="n">
        <v>0</v>
      </c>
      <c r="BJ367" s="9" t="n">
        <v>26151.9</v>
      </c>
      <c r="BN367" s="10" t="n">
        <v>46333</v>
      </c>
      <c r="BP367" s="9" t="n">
        <v>0</v>
      </c>
      <c r="BR367" s="9" t="n">
        <v>0</v>
      </c>
      <c r="BS367" s="9" t="n">
        <v>0</v>
      </c>
      <c r="BW367" s="10" t="n">
        <v>46333</v>
      </c>
      <c r="BY367" s="9" t="n">
        <v>0</v>
      </c>
      <c r="CA367" s="9" t="n">
        <v>0</v>
      </c>
      <c r="CB367" s="9" t="n">
        <v>2097.339999999999</v>
      </c>
      <c r="CF367" s="10" t="n">
        <v>46333</v>
      </c>
      <c r="CH367" s="9" t="n">
        <v>0</v>
      </c>
      <c r="CJ367" s="9" t="n">
        <v>0</v>
      </c>
      <c r="CK367" s="9" t="n">
        <v>-10277.08</v>
      </c>
      <c r="CO367" s="10" t="n">
        <v>46333</v>
      </c>
      <c r="CQ367" s="9" t="n">
        <v>0</v>
      </c>
      <c r="CS367" s="9" t="n">
        <v>0</v>
      </c>
      <c r="CT367" s="9" t="n">
        <v>0</v>
      </c>
      <c r="CX367" s="10" t="n">
        <v>46333</v>
      </c>
      <c r="CZ367" s="9" t="n">
        <v>0</v>
      </c>
      <c r="DB367" s="9" t="n">
        <v>0</v>
      </c>
      <c r="DC367" s="9" t="n">
        <v>27438.20000000001</v>
      </c>
      <c r="DG367" s="10" t="n">
        <v>46333</v>
      </c>
      <c r="DI367" s="9" t="n">
        <v>0</v>
      </c>
      <c r="DK367" s="9" t="n">
        <v>0</v>
      </c>
      <c r="DL367" s="9" t="n">
        <v>18782.29999999998</v>
      </c>
      <c r="DP367" s="10" t="n">
        <v>46333</v>
      </c>
      <c r="DR367" s="9" t="n">
        <v>0</v>
      </c>
      <c r="DT367" s="9" t="n">
        <v>0</v>
      </c>
      <c r="DU367" s="9" t="n">
        <v>5800</v>
      </c>
      <c r="DY367" s="10" t="n">
        <v>46333</v>
      </c>
      <c r="EA367" s="9" t="n">
        <v>0</v>
      </c>
      <c r="EC367" s="9" t="n">
        <v>0</v>
      </c>
      <c r="ED367" s="9" t="n">
        <v>0</v>
      </c>
      <c r="EH367" s="10" t="n">
        <v>46333</v>
      </c>
      <c r="EJ367" s="9" t="n">
        <v>0</v>
      </c>
      <c r="EL367" s="9" t="n">
        <v>0</v>
      </c>
      <c r="EM367" s="9" t="n">
        <v>0</v>
      </c>
      <c r="EQ367" s="10" t="n">
        <v>46333</v>
      </c>
      <c r="ES367" s="9" t="n">
        <v>0</v>
      </c>
      <c r="EU367" s="9" t="n">
        <v>0</v>
      </c>
      <c r="EV367" s="9" t="n">
        <v>0</v>
      </c>
      <c r="EZ367" s="10" t="n">
        <v>46333</v>
      </c>
      <c r="FB367" s="9" t="n">
        <v>0</v>
      </c>
      <c r="FD367" s="9" t="n">
        <v>0</v>
      </c>
      <c r="FE367" s="9" t="n">
        <v>0</v>
      </c>
      <c r="FI367" s="10" t="n">
        <v>46333</v>
      </c>
      <c r="FK367" s="9" t="n">
        <v>0</v>
      </c>
      <c r="FM367" s="9" t="n">
        <v>0</v>
      </c>
      <c r="FN367" s="9" t="n">
        <v>0</v>
      </c>
      <c r="FR367" s="10" t="n">
        <v>46333</v>
      </c>
      <c r="FT367" s="9" t="n">
        <v>0</v>
      </c>
      <c r="FV367" s="9" t="n">
        <v>0</v>
      </c>
      <c r="FW367" s="9" t="n">
        <v>2020</v>
      </c>
      <c r="GA367" s="10" t="n">
        <v>46333</v>
      </c>
      <c r="GC367" s="9" t="n">
        <v>0</v>
      </c>
      <c r="GE367" s="9" t="n">
        <v>0</v>
      </c>
      <c r="GF367" s="9" t="n">
        <v>960</v>
      </c>
      <c r="GJ367" s="10" t="n">
        <v>46333</v>
      </c>
      <c r="GL367" s="9" t="n">
        <v>0</v>
      </c>
      <c r="GN367" s="9" t="n">
        <v>0</v>
      </c>
      <c r="GO367" s="9" t="n">
        <v>1760</v>
      </c>
      <c r="GS367" s="10" t="n">
        <v>46333</v>
      </c>
      <c r="GU367" s="9" t="n">
        <v>0</v>
      </c>
      <c r="GW367" s="9" t="n">
        <v>0</v>
      </c>
      <c r="GX367" s="9" t="n">
        <v>400</v>
      </c>
      <c r="HB367" s="10" t="n">
        <v>46333</v>
      </c>
      <c r="HD367" s="9" t="n">
        <v>0</v>
      </c>
      <c r="HF367" s="9" t="n">
        <v>0</v>
      </c>
      <c r="HG367" s="9" t="n">
        <v>3600</v>
      </c>
      <c r="HK367" s="10" t="n">
        <v>46333</v>
      </c>
      <c r="HM367" s="9" t="n">
        <v>0</v>
      </c>
      <c r="HO367" s="9" t="n">
        <v>0</v>
      </c>
      <c r="HP367" s="9" t="n">
        <v>0</v>
      </c>
      <c r="HU367" s="10" t="n">
        <v>46333</v>
      </c>
      <c r="HW367" s="9" t="n">
        <v>0</v>
      </c>
      <c r="HY367" s="9" t="n">
        <v>0</v>
      </c>
      <c r="HZ367" s="9" t="n">
        <v>6120</v>
      </c>
      <c r="ID367" s="10" t="n">
        <v>46333</v>
      </c>
      <c r="IF367" s="9" t="n">
        <v>0</v>
      </c>
      <c r="IH367" s="9" t="n">
        <v>0</v>
      </c>
      <c r="II367" s="9" t="n">
        <v>0</v>
      </c>
      <c r="IM367" s="10" t="n">
        <v>46333</v>
      </c>
      <c r="IO367" s="9" t="n">
        <v>0</v>
      </c>
      <c r="IQ367" s="9" t="n">
        <v>0</v>
      </c>
      <c r="IR367" s="9" t="n">
        <v>0</v>
      </c>
      <c r="IV367" s="10" t="n">
        <v>46333</v>
      </c>
      <c r="IX367" s="9" t="n">
        <v>0</v>
      </c>
      <c r="IZ367" s="9" t="n">
        <v>0</v>
      </c>
      <c r="JA367" s="9" t="n">
        <v>2820</v>
      </c>
      <c r="JE367" s="10" t="n">
        <v>46333</v>
      </c>
      <c r="JG367" s="9" t="n">
        <v>0</v>
      </c>
      <c r="JI367" s="9" t="n">
        <v>0</v>
      </c>
      <c r="JJ367" s="9" t="n">
        <v>0</v>
      </c>
      <c r="JN367" s="10" t="n">
        <v>46333</v>
      </c>
      <c r="JP367" s="9" t="n">
        <v>0</v>
      </c>
      <c r="JR367" s="9" t="n">
        <v>0</v>
      </c>
      <c r="JS367" s="9" t="n">
        <v>0</v>
      </c>
      <c r="JW367" s="10" t="n">
        <v>46333</v>
      </c>
      <c r="JY367" s="9" t="n">
        <v>0</v>
      </c>
      <c r="KA367" s="9" t="n">
        <v>0</v>
      </c>
      <c r="KB367" s="9" t="n">
        <v>2540</v>
      </c>
      <c r="KF367" s="10" t="n">
        <v>46333</v>
      </c>
      <c r="KH367" s="9" t="n">
        <v>0</v>
      </c>
      <c r="KJ367" s="9" t="n">
        <v>0</v>
      </c>
      <c r="KK367" s="9" t="n">
        <v>2359.5</v>
      </c>
      <c r="KO367" s="10" t="n">
        <v>46333</v>
      </c>
      <c r="KQ367" s="9" t="n">
        <v>0</v>
      </c>
      <c r="KS367" s="9" t="n">
        <v>0</v>
      </c>
      <c r="KT367" s="9" t="n">
        <v>1890</v>
      </c>
      <c r="KX367" s="10" t="n">
        <v>46333</v>
      </c>
      <c r="KZ367" s="9" t="n">
        <v>0</v>
      </c>
      <c r="LB367" s="9" t="n">
        <v>0</v>
      </c>
      <c r="LC367" s="9" t="n">
        <v>3690</v>
      </c>
      <c r="LG367" s="10" t="n">
        <v>46333</v>
      </c>
      <c r="LI367" s="9" t="n">
        <v>0</v>
      </c>
      <c r="LK367" s="9" t="n">
        <v>0</v>
      </c>
      <c r="LL367" s="9" t="n">
        <v>4000</v>
      </c>
      <c r="LP367" s="10" t="n">
        <v>46333</v>
      </c>
      <c r="LR367" s="9" t="n">
        <v>0</v>
      </c>
      <c r="LT367" s="9" t="n">
        <v>0</v>
      </c>
      <c r="LU367" s="9" t="n">
        <v>0</v>
      </c>
      <c r="LY367" s="10" t="n">
        <v>46333</v>
      </c>
      <c r="MA367" s="9" t="n">
        <v>0</v>
      </c>
      <c r="MC367" s="9" t="n">
        <v>0</v>
      </c>
      <c r="MD367" s="9" t="n">
        <v>0</v>
      </c>
      <c r="MH367" s="10" t="n">
        <v>46333</v>
      </c>
      <c r="MJ367" s="9" t="n">
        <v>0</v>
      </c>
      <c r="ML367" s="9" t="n">
        <v>0</v>
      </c>
      <c r="MM367" s="9" t="n">
        <v>0</v>
      </c>
      <c r="MQ367" s="10" t="n">
        <v>46333</v>
      </c>
      <c r="MS367" s="9" t="n">
        <v>0</v>
      </c>
      <c r="MU367" s="9" t="n">
        <v>0</v>
      </c>
      <c r="MV367" s="9" t="n">
        <v>1625</v>
      </c>
      <c r="MZ367" s="10" t="n">
        <v>46333</v>
      </c>
      <c r="NB367" s="9" t="n">
        <v>0</v>
      </c>
      <c r="ND367" s="9" t="n">
        <v>0</v>
      </c>
      <c r="NE367" s="9" t="n">
        <v>0</v>
      </c>
      <c r="NI367" s="10" t="n">
        <v>46333</v>
      </c>
      <c r="NK367" s="9" t="n">
        <v>0</v>
      </c>
      <c r="NM367" s="9" t="n">
        <v>0</v>
      </c>
      <c r="NN367" s="9" t="n">
        <v>1127</v>
      </c>
      <c r="NR367" s="10" t="n">
        <v>46333</v>
      </c>
      <c r="NT367" s="9" t="n">
        <v>0</v>
      </c>
      <c r="NV367" s="9" t="n">
        <v>0</v>
      </c>
      <c r="NW367" s="9" t="n">
        <v>3112</v>
      </c>
      <c r="OA367" s="10" t="n">
        <v>46333</v>
      </c>
      <c r="OC367" s="9" t="n">
        <v>0</v>
      </c>
      <c r="OE367" s="9" t="n">
        <v>0</v>
      </c>
      <c r="OF367" s="9" t="n">
        <v>1680.5</v>
      </c>
      <c r="OJ367" s="10" t="n">
        <v>46333</v>
      </c>
      <c r="OL367" s="9" t="n">
        <v>0</v>
      </c>
      <c r="ON367" s="9" t="n">
        <v>0</v>
      </c>
      <c r="OO367" s="9" t="n">
        <v>0</v>
      </c>
      <c r="OS367" s="10" t="n">
        <v>46333</v>
      </c>
      <c r="OU367" s="9" t="n">
        <v>0</v>
      </c>
      <c r="OW367" s="9" t="n">
        <v>0</v>
      </c>
      <c r="OX367" s="9" t="n">
        <v>1482</v>
      </c>
      <c r="PB367" s="10" t="n">
        <v>46333</v>
      </c>
      <c r="PD367" s="9" t="n">
        <v>0</v>
      </c>
      <c r="PF367" s="9" t="n">
        <v>0</v>
      </c>
      <c r="PG367" s="9" t="n">
        <v>0</v>
      </c>
      <c r="PK367" s="10" t="n">
        <v>46333</v>
      </c>
      <c r="PM367" s="9" t="n">
        <v>0</v>
      </c>
      <c r="PO367" s="9" t="n">
        <v>0</v>
      </c>
      <c r="PP367" s="9" t="n">
        <v>100</v>
      </c>
      <c r="PT367" s="10" t="n">
        <v>46333</v>
      </c>
      <c r="PV367" s="9" t="n">
        <v>0</v>
      </c>
      <c r="PX367" s="9" t="n">
        <v>0</v>
      </c>
      <c r="PY367" s="9" t="n">
        <v>13.96000000000004</v>
      </c>
      <c r="QC367" s="10" t="n">
        <v>46333</v>
      </c>
      <c r="QE367" s="9" t="n">
        <v>0</v>
      </c>
      <c r="QG367" s="9" t="n">
        <v>0</v>
      </c>
      <c r="QH367" s="9" t="n">
        <v>548</v>
      </c>
      <c r="QL367" s="10" t="n">
        <v>46333</v>
      </c>
      <c r="QN367" s="9" t="n">
        <v>0</v>
      </c>
      <c r="QP367" s="9" t="n">
        <v>0</v>
      </c>
      <c r="QQ367" s="9" t="n">
        <v>0</v>
      </c>
      <c r="QU367" s="10" t="n">
        <v>46333</v>
      </c>
      <c r="QW367" s="9" t="n">
        <v>0</v>
      </c>
      <c r="QY367" s="9" t="n">
        <v>0</v>
      </c>
      <c r="QZ367" s="9" t="n">
        <v>0</v>
      </c>
      <c r="RD367" s="10" t="n">
        <v>46333</v>
      </c>
      <c r="RF367" s="9" t="n">
        <v>0</v>
      </c>
      <c r="RH367" s="9" t="n">
        <v>0</v>
      </c>
      <c r="RI367" s="9" t="n">
        <v>147.04</v>
      </c>
      <c r="RM367" s="10" t="n">
        <v>46333</v>
      </c>
      <c r="RO367" s="9" t="n">
        <v>0</v>
      </c>
      <c r="RQ367" s="9" t="n">
        <v>0</v>
      </c>
      <c r="RR367" s="9" t="n">
        <v>46.8</v>
      </c>
      <c r="RV367" s="10" t="n">
        <v>46333</v>
      </c>
      <c r="RX367" s="9" t="n">
        <v>0</v>
      </c>
      <c r="RZ367" s="9" t="n">
        <v>0</v>
      </c>
      <c r="SA367" s="9" t="n">
        <v>0</v>
      </c>
      <c r="SE367" s="10" t="n">
        <v>46333</v>
      </c>
      <c r="SG367" s="9" t="n">
        <v>0</v>
      </c>
      <c r="SI367" s="9" t="n">
        <v>0</v>
      </c>
      <c r="SJ367" s="9" t="n">
        <v>24.2</v>
      </c>
      <c r="SN367" s="10" t="n">
        <v>46333</v>
      </c>
      <c r="SP367" s="9" t="n">
        <v>0</v>
      </c>
      <c r="SR367" s="9" t="n">
        <v>0</v>
      </c>
      <c r="SS367" s="9" t="n">
        <v>32</v>
      </c>
      <c r="SW367" s="10" t="n">
        <v>46333</v>
      </c>
      <c r="SY367" s="9" t="n">
        <v>0</v>
      </c>
      <c r="TA367" s="9" t="n">
        <v>0</v>
      </c>
      <c r="TB367" s="9" t="n">
        <v>0</v>
      </c>
      <c r="TF367" s="10" t="n">
        <v>46333</v>
      </c>
      <c r="TH367" s="9" t="n">
        <v>0</v>
      </c>
      <c r="TJ367" s="9" t="n">
        <v>0</v>
      </c>
      <c r="TK367" s="9" t="n">
        <v>0</v>
      </c>
      <c r="TO367" s="10" t="n">
        <v>46333</v>
      </c>
      <c r="TQ367" s="9" t="n">
        <v>0</v>
      </c>
      <c r="TS367" s="9" t="n">
        <v>0</v>
      </c>
      <c r="TT367" s="9" t="n">
        <v>0</v>
      </c>
      <c r="TX367" s="10" t="n">
        <v>46333</v>
      </c>
      <c r="TZ367" s="9" t="n">
        <v>0</v>
      </c>
      <c r="UB367" s="9" t="n">
        <v>0</v>
      </c>
      <c r="UC367" s="9" t="n">
        <v>46.79999999999998</v>
      </c>
      <c r="UG367" s="10" t="n">
        <v>46333</v>
      </c>
      <c r="UI367" s="9" t="n">
        <v>0</v>
      </c>
      <c r="UK367" s="9" t="n">
        <v>0</v>
      </c>
      <c r="UL367" s="9" t="n">
        <v>204</v>
      </c>
      <c r="UP367" s="10" t="n">
        <v>46333</v>
      </c>
      <c r="UR367" s="9" t="n">
        <v>0</v>
      </c>
      <c r="UT367" s="9" t="n">
        <v>0</v>
      </c>
      <c r="UU367" s="9" t="n">
        <v>202.5</v>
      </c>
      <c r="UY367" s="10" t="n">
        <v>46333</v>
      </c>
      <c r="VA367" s="9" t="n">
        <v>0</v>
      </c>
      <c r="VC367" s="9" t="n">
        <v>0</v>
      </c>
      <c r="VD367" s="9" t="n">
        <v>41.60000000000002</v>
      </c>
      <c r="VH367" s="10" t="n">
        <v>46333</v>
      </c>
      <c r="VJ367" s="9" t="n">
        <v>0</v>
      </c>
      <c r="VL367" s="9" t="n">
        <v>0</v>
      </c>
      <c r="VM367" s="9" t="n">
        <v>210</v>
      </c>
      <c r="VQ367" s="10" t="n">
        <v>46333</v>
      </c>
      <c r="VS367" s="9" t="n">
        <v>0</v>
      </c>
      <c r="VU367" s="9" t="n">
        <v>0</v>
      </c>
      <c r="VV367" s="9" t="n">
        <v>0</v>
      </c>
      <c r="VZ367" s="10" t="n">
        <v>46333</v>
      </c>
      <c r="WB367" s="9" t="n">
        <v>0</v>
      </c>
      <c r="WD367" s="9" t="n">
        <v>0</v>
      </c>
      <c r="WE367" s="9" t="n">
        <v>0</v>
      </c>
      <c r="WI367" s="10" t="n">
        <v>46333</v>
      </c>
      <c r="WK367" s="9" t="n">
        <v>0</v>
      </c>
      <c r="WM367" s="9" t="n">
        <v>0</v>
      </c>
      <c r="WN367" s="9" t="n">
        <v>1057</v>
      </c>
      <c r="WR367" s="10" t="n">
        <v>46333</v>
      </c>
      <c r="WT367" s="9" t="n">
        <v>0</v>
      </c>
      <c r="WV367" s="9" t="n">
        <v>0</v>
      </c>
      <c r="WW367" s="9" t="n">
        <v>0</v>
      </c>
      <c r="XA367" s="10" t="n">
        <v>46333</v>
      </c>
      <c r="XC367" s="9" t="n">
        <v>0</v>
      </c>
      <c r="XE367" s="9" t="n">
        <v>0</v>
      </c>
      <c r="XF367" s="9" t="n">
        <v>7507</v>
      </c>
      <c r="XJ367" s="10" t="n">
        <v>46333</v>
      </c>
      <c r="XL367" s="9" t="n">
        <v>0</v>
      </c>
      <c r="XN367" s="9" t="n">
        <v>0</v>
      </c>
      <c r="XO367" s="9" t="n">
        <v>4252</v>
      </c>
      <c r="XS367" s="10" t="n">
        <v>46333</v>
      </c>
      <c r="XU367" s="9" t="n">
        <v>0</v>
      </c>
      <c r="XW367" s="9" t="n">
        <v>0</v>
      </c>
      <c r="XX367" s="9" t="n">
        <v>2179</v>
      </c>
      <c r="YB367" s="10" t="n">
        <v>46333</v>
      </c>
      <c r="YD367" s="9" t="n">
        <v>0</v>
      </c>
      <c r="YF367" s="9" t="n">
        <v>0</v>
      </c>
      <c r="YG367" s="9" t="n">
        <v>4019</v>
      </c>
      <c r="YK367" s="10" t="n">
        <v>46333</v>
      </c>
      <c r="YM367" s="9" t="n">
        <v>0</v>
      </c>
      <c r="YO367" s="9" t="n">
        <v>0</v>
      </c>
      <c r="YP367" s="9" t="n">
        <v>-218</v>
      </c>
      <c r="YT367" s="10" t="n">
        <v>46333</v>
      </c>
      <c r="YV367" s="9" t="n">
        <v>0</v>
      </c>
      <c r="YX367" s="9" t="n">
        <v>0</v>
      </c>
      <c r="YY367" s="9" t="n">
        <v>0</v>
      </c>
      <c r="ZC367" s="10" t="n">
        <v>46333</v>
      </c>
      <c r="ZE367" s="9" t="n">
        <v>0</v>
      </c>
      <c r="ZG367" s="9" t="n">
        <v>0</v>
      </c>
      <c r="ZH367" s="9" t="n">
        <v>0</v>
      </c>
      <c r="ZL367" s="10" t="n">
        <v>46333</v>
      </c>
      <c r="ZN367" s="9" t="n">
        <v>0</v>
      </c>
      <c r="ZP367" s="9" t="n">
        <v>0</v>
      </c>
      <c r="ZQ367" s="9" t="n">
        <v>0</v>
      </c>
      <c r="ZU367" s="10" t="n">
        <v>46333</v>
      </c>
      <c r="ZW367" s="9" t="n">
        <v>0</v>
      </c>
      <c r="ZY367" s="9" t="n">
        <v>0</v>
      </c>
      <c r="ZZ367" s="9" t="n">
        <v>0</v>
      </c>
      <c r="AAD367" s="10" t="n">
        <v>46333</v>
      </c>
      <c r="AAF367" s="9" t="n">
        <v>0</v>
      </c>
      <c r="AAH367" s="9" t="n">
        <v>0</v>
      </c>
      <c r="AAI367" s="9" t="n">
        <v>0</v>
      </c>
      <c r="AAM367" s="10" t="n">
        <v>46333</v>
      </c>
      <c r="AAO367" s="9" t="n">
        <v>0</v>
      </c>
      <c r="AAQ367" s="9" t="n">
        <v>0</v>
      </c>
      <c r="AAR367" s="9" t="n">
        <v>0</v>
      </c>
      <c r="AAV367" s="10" t="n">
        <v>46333</v>
      </c>
      <c r="AAX367" s="9" t="n">
        <v>0</v>
      </c>
      <c r="AAZ367" s="9" t="n">
        <v>0</v>
      </c>
      <c r="ABA367" s="9" t="n">
        <v>0</v>
      </c>
      <c r="ABE367" s="10" t="n">
        <v>46333</v>
      </c>
      <c r="ABG367" s="9" t="n">
        <v>0</v>
      </c>
      <c r="ABI367" s="9" t="n">
        <v>0</v>
      </c>
      <c r="ABJ367" s="9" t="n">
        <v>0</v>
      </c>
    </row>
    <row r="368">
      <c r="C368" s="10" t="n">
        <v>46334</v>
      </c>
      <c r="E368" s="9" t="n">
        <v>0</v>
      </c>
      <c r="G368" s="9" t="n">
        <v>0</v>
      </c>
      <c r="H368" s="9" t="n">
        <v>236936.6</v>
      </c>
      <c r="L368" s="10" t="n">
        <v>46334</v>
      </c>
      <c r="N368" s="9" t="n">
        <v>0</v>
      </c>
      <c r="P368" s="9" t="n">
        <v>0</v>
      </c>
      <c r="Q368" s="9" t="n">
        <v>53017.60000000007</v>
      </c>
      <c r="U368" s="10" t="n">
        <v>46334</v>
      </c>
      <c r="W368" s="9" t="n">
        <v>0</v>
      </c>
      <c r="Y368" s="9" t="n">
        <v>0</v>
      </c>
      <c r="Z368" s="9" t="n">
        <v>42674.19999999997</v>
      </c>
      <c r="AD368" s="10" t="n">
        <v>46334</v>
      </c>
      <c r="AF368" s="9" t="n">
        <v>0</v>
      </c>
      <c r="AH368" s="9" t="n">
        <v>0</v>
      </c>
      <c r="AI368" s="9" t="n">
        <v>4522.200000000019</v>
      </c>
      <c r="AM368" s="10" t="n">
        <v>46334</v>
      </c>
      <c r="AO368" s="9" t="n">
        <v>0</v>
      </c>
      <c r="AQ368" s="9" t="n">
        <v>0</v>
      </c>
      <c r="AR368" s="9" t="n">
        <v>0</v>
      </c>
      <c r="AV368" s="10" t="n">
        <v>46334</v>
      </c>
      <c r="AX368" s="9" t="n">
        <v>0</v>
      </c>
      <c r="AZ368" s="9" t="n">
        <v>0</v>
      </c>
      <c r="BA368" s="9" t="n">
        <v>124.9999999999952</v>
      </c>
      <c r="BE368" s="10" t="n">
        <v>46334</v>
      </c>
      <c r="BG368" s="9" t="n">
        <v>0</v>
      </c>
      <c r="BI368" s="9" t="n">
        <v>0</v>
      </c>
      <c r="BJ368" s="9" t="n">
        <v>26151.9</v>
      </c>
      <c r="BN368" s="10" t="n">
        <v>46334</v>
      </c>
      <c r="BP368" s="9" t="n">
        <v>0</v>
      </c>
      <c r="BR368" s="9" t="n">
        <v>0</v>
      </c>
      <c r="BS368" s="9" t="n">
        <v>0</v>
      </c>
      <c r="BW368" s="10" t="n">
        <v>46334</v>
      </c>
      <c r="BY368" s="9" t="n">
        <v>0</v>
      </c>
      <c r="CA368" s="9" t="n">
        <v>0</v>
      </c>
      <c r="CB368" s="9" t="n">
        <v>2097.339999999999</v>
      </c>
      <c r="CF368" s="10" t="n">
        <v>46334</v>
      </c>
      <c r="CH368" s="9" t="n">
        <v>0</v>
      </c>
      <c r="CJ368" s="9" t="n">
        <v>0</v>
      </c>
      <c r="CK368" s="9" t="n">
        <v>-10277.08</v>
      </c>
      <c r="CO368" s="10" t="n">
        <v>46334</v>
      </c>
      <c r="CQ368" s="9" t="n">
        <v>0</v>
      </c>
      <c r="CS368" s="9" t="n">
        <v>0</v>
      </c>
      <c r="CT368" s="9" t="n">
        <v>0</v>
      </c>
      <c r="CX368" s="10" t="n">
        <v>46334</v>
      </c>
      <c r="CZ368" s="9" t="n">
        <v>0</v>
      </c>
      <c r="DB368" s="9" t="n">
        <v>0</v>
      </c>
      <c r="DC368" s="9" t="n">
        <v>27438.20000000001</v>
      </c>
      <c r="DG368" s="10" t="n">
        <v>46334</v>
      </c>
      <c r="DI368" s="9" t="n">
        <v>0</v>
      </c>
      <c r="DK368" s="9" t="n">
        <v>0</v>
      </c>
      <c r="DL368" s="9" t="n">
        <v>18782.29999999998</v>
      </c>
      <c r="DP368" s="10" t="n">
        <v>46334</v>
      </c>
      <c r="DR368" s="9" t="n">
        <v>0</v>
      </c>
      <c r="DT368" s="9" t="n">
        <v>0</v>
      </c>
      <c r="DU368" s="9" t="n">
        <v>5800</v>
      </c>
      <c r="DY368" s="10" t="n">
        <v>46334</v>
      </c>
      <c r="EA368" s="9" t="n">
        <v>0</v>
      </c>
      <c r="EC368" s="9" t="n">
        <v>0</v>
      </c>
      <c r="ED368" s="9" t="n">
        <v>0</v>
      </c>
      <c r="EH368" s="10" t="n">
        <v>46334</v>
      </c>
      <c r="EJ368" s="9" t="n">
        <v>0</v>
      </c>
      <c r="EL368" s="9" t="n">
        <v>0</v>
      </c>
      <c r="EM368" s="9" t="n">
        <v>0</v>
      </c>
      <c r="EQ368" s="10" t="n">
        <v>46334</v>
      </c>
      <c r="ES368" s="9" t="n">
        <v>0</v>
      </c>
      <c r="EU368" s="9" t="n">
        <v>0</v>
      </c>
      <c r="EV368" s="9" t="n">
        <v>0</v>
      </c>
      <c r="EZ368" s="10" t="n">
        <v>46334</v>
      </c>
      <c r="FB368" s="9" t="n">
        <v>0</v>
      </c>
      <c r="FD368" s="9" t="n">
        <v>0</v>
      </c>
      <c r="FE368" s="9" t="n">
        <v>0</v>
      </c>
      <c r="FI368" s="10" t="n">
        <v>46334</v>
      </c>
      <c r="FK368" s="9" t="n">
        <v>0</v>
      </c>
      <c r="FM368" s="9" t="n">
        <v>0</v>
      </c>
      <c r="FN368" s="9" t="n">
        <v>0</v>
      </c>
      <c r="FR368" s="10" t="n">
        <v>46334</v>
      </c>
      <c r="FT368" s="9" t="n">
        <v>0</v>
      </c>
      <c r="FV368" s="9" t="n">
        <v>0</v>
      </c>
      <c r="FW368" s="9" t="n">
        <v>2020</v>
      </c>
      <c r="GA368" s="10" t="n">
        <v>46334</v>
      </c>
      <c r="GC368" s="9" t="n">
        <v>0</v>
      </c>
      <c r="GE368" s="9" t="n">
        <v>0</v>
      </c>
      <c r="GF368" s="9" t="n">
        <v>960</v>
      </c>
      <c r="GJ368" s="10" t="n">
        <v>46334</v>
      </c>
      <c r="GL368" s="9" t="n">
        <v>0</v>
      </c>
      <c r="GN368" s="9" t="n">
        <v>0</v>
      </c>
      <c r="GO368" s="9" t="n">
        <v>1760</v>
      </c>
      <c r="GS368" s="10" t="n">
        <v>46334</v>
      </c>
      <c r="GU368" s="9" t="n">
        <v>0</v>
      </c>
      <c r="GW368" s="9" t="n">
        <v>0</v>
      </c>
      <c r="GX368" s="9" t="n">
        <v>400</v>
      </c>
      <c r="HB368" s="10" t="n">
        <v>46334</v>
      </c>
      <c r="HD368" s="9" t="n">
        <v>0</v>
      </c>
      <c r="HF368" s="9" t="n">
        <v>0</v>
      </c>
      <c r="HG368" s="9" t="n">
        <v>3600</v>
      </c>
      <c r="HK368" s="10" t="n">
        <v>46334</v>
      </c>
      <c r="HM368" s="9" t="n">
        <v>0</v>
      </c>
      <c r="HO368" s="9" t="n">
        <v>0</v>
      </c>
      <c r="HP368" s="9" t="n">
        <v>0</v>
      </c>
      <c r="HU368" s="10" t="n">
        <v>46334</v>
      </c>
      <c r="HW368" s="9" t="n">
        <v>0</v>
      </c>
      <c r="HY368" s="9" t="n">
        <v>0</v>
      </c>
      <c r="HZ368" s="9" t="n">
        <v>6120</v>
      </c>
      <c r="ID368" s="10" t="n">
        <v>46334</v>
      </c>
      <c r="IF368" s="9" t="n">
        <v>0</v>
      </c>
      <c r="IH368" s="9" t="n">
        <v>0</v>
      </c>
      <c r="II368" s="9" t="n">
        <v>0</v>
      </c>
      <c r="IM368" s="10" t="n">
        <v>46334</v>
      </c>
      <c r="IO368" s="9" t="n">
        <v>0</v>
      </c>
      <c r="IQ368" s="9" t="n">
        <v>0</v>
      </c>
      <c r="IR368" s="9" t="n">
        <v>0</v>
      </c>
      <c r="IV368" s="10" t="n">
        <v>46334</v>
      </c>
      <c r="IX368" s="9" t="n">
        <v>0</v>
      </c>
      <c r="IZ368" s="9" t="n">
        <v>0</v>
      </c>
      <c r="JA368" s="9" t="n">
        <v>2820</v>
      </c>
      <c r="JE368" s="10" t="n">
        <v>46334</v>
      </c>
      <c r="JG368" s="9" t="n">
        <v>0</v>
      </c>
      <c r="JI368" s="9" t="n">
        <v>0</v>
      </c>
      <c r="JJ368" s="9" t="n">
        <v>0</v>
      </c>
      <c r="JN368" s="10" t="n">
        <v>46334</v>
      </c>
      <c r="JP368" s="9" t="n">
        <v>0</v>
      </c>
      <c r="JR368" s="9" t="n">
        <v>0</v>
      </c>
      <c r="JS368" s="9" t="n">
        <v>0</v>
      </c>
      <c r="JW368" s="10" t="n">
        <v>46334</v>
      </c>
      <c r="JY368" s="9" t="n">
        <v>0</v>
      </c>
      <c r="KA368" s="9" t="n">
        <v>0</v>
      </c>
      <c r="KB368" s="9" t="n">
        <v>2540</v>
      </c>
      <c r="KF368" s="10" t="n">
        <v>46334</v>
      </c>
      <c r="KH368" s="9" t="n">
        <v>0</v>
      </c>
      <c r="KJ368" s="9" t="n">
        <v>0</v>
      </c>
      <c r="KK368" s="9" t="n">
        <v>2359.5</v>
      </c>
      <c r="KO368" s="10" t="n">
        <v>46334</v>
      </c>
      <c r="KQ368" s="9" t="n">
        <v>0</v>
      </c>
      <c r="KS368" s="9" t="n">
        <v>0</v>
      </c>
      <c r="KT368" s="9" t="n">
        <v>1890</v>
      </c>
      <c r="KX368" s="10" t="n">
        <v>46334</v>
      </c>
      <c r="KZ368" s="9" t="n">
        <v>0</v>
      </c>
      <c r="LB368" s="9" t="n">
        <v>0</v>
      </c>
      <c r="LC368" s="9" t="n">
        <v>3690</v>
      </c>
      <c r="LG368" s="10" t="n">
        <v>46334</v>
      </c>
      <c r="LI368" s="9" t="n">
        <v>0</v>
      </c>
      <c r="LK368" s="9" t="n">
        <v>0</v>
      </c>
      <c r="LL368" s="9" t="n">
        <v>4000</v>
      </c>
      <c r="LP368" s="10" t="n">
        <v>46334</v>
      </c>
      <c r="LR368" s="9" t="n">
        <v>0</v>
      </c>
      <c r="LT368" s="9" t="n">
        <v>0</v>
      </c>
      <c r="LU368" s="9" t="n">
        <v>0</v>
      </c>
      <c r="LY368" s="10" t="n">
        <v>46334</v>
      </c>
      <c r="MA368" s="9" t="n">
        <v>0</v>
      </c>
      <c r="MC368" s="9" t="n">
        <v>0</v>
      </c>
      <c r="MD368" s="9" t="n">
        <v>0</v>
      </c>
      <c r="MH368" s="10" t="n">
        <v>46334</v>
      </c>
      <c r="MJ368" s="9" t="n">
        <v>0</v>
      </c>
      <c r="ML368" s="9" t="n">
        <v>0</v>
      </c>
      <c r="MM368" s="9" t="n">
        <v>0</v>
      </c>
      <c r="MQ368" s="10" t="n">
        <v>46334</v>
      </c>
      <c r="MS368" s="9" t="n">
        <v>0</v>
      </c>
      <c r="MU368" s="9" t="n">
        <v>0</v>
      </c>
      <c r="MV368" s="9" t="n">
        <v>1625</v>
      </c>
      <c r="MZ368" s="10" t="n">
        <v>46334</v>
      </c>
      <c r="NB368" s="9" t="n">
        <v>0</v>
      </c>
      <c r="ND368" s="9" t="n">
        <v>0</v>
      </c>
      <c r="NE368" s="9" t="n">
        <v>0</v>
      </c>
      <c r="NI368" s="10" t="n">
        <v>46334</v>
      </c>
      <c r="NK368" s="9" t="n">
        <v>0</v>
      </c>
      <c r="NM368" s="9" t="n">
        <v>0</v>
      </c>
      <c r="NN368" s="9" t="n">
        <v>1127</v>
      </c>
      <c r="NR368" s="10" t="n">
        <v>46334</v>
      </c>
      <c r="NT368" s="9" t="n">
        <v>0</v>
      </c>
      <c r="NV368" s="9" t="n">
        <v>0</v>
      </c>
      <c r="NW368" s="9" t="n">
        <v>3112</v>
      </c>
      <c r="OA368" s="10" t="n">
        <v>46334</v>
      </c>
      <c r="OC368" s="9" t="n">
        <v>0</v>
      </c>
      <c r="OE368" s="9" t="n">
        <v>0</v>
      </c>
      <c r="OF368" s="9" t="n">
        <v>1680.5</v>
      </c>
      <c r="OJ368" s="10" t="n">
        <v>46334</v>
      </c>
      <c r="OL368" s="9" t="n">
        <v>0</v>
      </c>
      <c r="ON368" s="9" t="n">
        <v>0</v>
      </c>
      <c r="OO368" s="9" t="n">
        <v>0</v>
      </c>
      <c r="OS368" s="10" t="n">
        <v>46334</v>
      </c>
      <c r="OU368" s="9" t="n">
        <v>0</v>
      </c>
      <c r="OW368" s="9" t="n">
        <v>0</v>
      </c>
      <c r="OX368" s="9" t="n">
        <v>1482</v>
      </c>
      <c r="PB368" s="10" t="n">
        <v>46334</v>
      </c>
      <c r="PD368" s="9" t="n">
        <v>0</v>
      </c>
      <c r="PF368" s="9" t="n">
        <v>0</v>
      </c>
      <c r="PG368" s="9" t="n">
        <v>0</v>
      </c>
      <c r="PK368" s="10" t="n">
        <v>46334</v>
      </c>
      <c r="PM368" s="9" t="n">
        <v>0</v>
      </c>
      <c r="PO368" s="9" t="n">
        <v>0</v>
      </c>
      <c r="PP368" s="9" t="n">
        <v>100</v>
      </c>
      <c r="PT368" s="10" t="n">
        <v>46334</v>
      </c>
      <c r="PV368" s="9" t="n">
        <v>0</v>
      </c>
      <c r="PX368" s="9" t="n">
        <v>0</v>
      </c>
      <c r="PY368" s="9" t="n">
        <v>13.96000000000004</v>
      </c>
      <c r="QC368" s="10" t="n">
        <v>46334</v>
      </c>
      <c r="QE368" s="9" t="n">
        <v>0</v>
      </c>
      <c r="QG368" s="9" t="n">
        <v>0</v>
      </c>
      <c r="QH368" s="9" t="n">
        <v>548</v>
      </c>
      <c r="QL368" s="10" t="n">
        <v>46334</v>
      </c>
      <c r="QN368" s="9" t="n">
        <v>0</v>
      </c>
      <c r="QP368" s="9" t="n">
        <v>0</v>
      </c>
      <c r="QQ368" s="9" t="n">
        <v>0</v>
      </c>
      <c r="QU368" s="10" t="n">
        <v>46334</v>
      </c>
      <c r="QW368" s="9" t="n">
        <v>0</v>
      </c>
      <c r="QY368" s="9" t="n">
        <v>0</v>
      </c>
      <c r="QZ368" s="9" t="n">
        <v>0</v>
      </c>
      <c r="RD368" s="10" t="n">
        <v>46334</v>
      </c>
      <c r="RF368" s="9" t="n">
        <v>0</v>
      </c>
      <c r="RH368" s="9" t="n">
        <v>0</v>
      </c>
      <c r="RI368" s="9" t="n">
        <v>147.04</v>
      </c>
      <c r="RM368" s="10" t="n">
        <v>46334</v>
      </c>
      <c r="RO368" s="9" t="n">
        <v>0</v>
      </c>
      <c r="RQ368" s="9" t="n">
        <v>0</v>
      </c>
      <c r="RR368" s="9" t="n">
        <v>46.8</v>
      </c>
      <c r="RV368" s="10" t="n">
        <v>46334</v>
      </c>
      <c r="RX368" s="9" t="n">
        <v>0</v>
      </c>
      <c r="RZ368" s="9" t="n">
        <v>0</v>
      </c>
      <c r="SA368" s="9" t="n">
        <v>0</v>
      </c>
      <c r="SE368" s="10" t="n">
        <v>46334</v>
      </c>
      <c r="SG368" s="9" t="n">
        <v>0</v>
      </c>
      <c r="SI368" s="9" t="n">
        <v>0</v>
      </c>
      <c r="SJ368" s="9" t="n">
        <v>24.2</v>
      </c>
      <c r="SN368" s="10" t="n">
        <v>46334</v>
      </c>
      <c r="SP368" s="9" t="n">
        <v>0</v>
      </c>
      <c r="SR368" s="9" t="n">
        <v>0</v>
      </c>
      <c r="SS368" s="9" t="n">
        <v>32</v>
      </c>
      <c r="SW368" s="10" t="n">
        <v>46334</v>
      </c>
      <c r="SY368" s="9" t="n">
        <v>0</v>
      </c>
      <c r="TA368" s="9" t="n">
        <v>0</v>
      </c>
      <c r="TB368" s="9" t="n">
        <v>0</v>
      </c>
      <c r="TF368" s="10" t="n">
        <v>46334</v>
      </c>
      <c r="TH368" s="9" t="n">
        <v>0</v>
      </c>
      <c r="TJ368" s="9" t="n">
        <v>0</v>
      </c>
      <c r="TK368" s="9" t="n">
        <v>0</v>
      </c>
      <c r="TO368" s="10" t="n">
        <v>46334</v>
      </c>
      <c r="TQ368" s="9" t="n">
        <v>0</v>
      </c>
      <c r="TS368" s="9" t="n">
        <v>0</v>
      </c>
      <c r="TT368" s="9" t="n">
        <v>0</v>
      </c>
      <c r="TX368" s="10" t="n">
        <v>46334</v>
      </c>
      <c r="TZ368" s="9" t="n">
        <v>0</v>
      </c>
      <c r="UB368" s="9" t="n">
        <v>0</v>
      </c>
      <c r="UC368" s="9" t="n">
        <v>46.79999999999998</v>
      </c>
      <c r="UG368" s="10" t="n">
        <v>46334</v>
      </c>
      <c r="UI368" s="9" t="n">
        <v>0</v>
      </c>
      <c r="UK368" s="9" t="n">
        <v>0</v>
      </c>
      <c r="UL368" s="9" t="n">
        <v>204</v>
      </c>
      <c r="UP368" s="10" t="n">
        <v>46334</v>
      </c>
      <c r="UR368" s="9" t="n">
        <v>0</v>
      </c>
      <c r="UT368" s="9" t="n">
        <v>0</v>
      </c>
      <c r="UU368" s="9" t="n">
        <v>202.5</v>
      </c>
      <c r="UY368" s="10" t="n">
        <v>46334</v>
      </c>
      <c r="VA368" s="9" t="n">
        <v>0</v>
      </c>
      <c r="VC368" s="9" t="n">
        <v>0</v>
      </c>
      <c r="VD368" s="9" t="n">
        <v>41.60000000000002</v>
      </c>
      <c r="VH368" s="10" t="n">
        <v>46334</v>
      </c>
      <c r="VJ368" s="9" t="n">
        <v>0</v>
      </c>
      <c r="VL368" s="9" t="n">
        <v>0</v>
      </c>
      <c r="VM368" s="9" t="n">
        <v>210</v>
      </c>
      <c r="VQ368" s="10" t="n">
        <v>46334</v>
      </c>
      <c r="VS368" s="9" t="n">
        <v>0</v>
      </c>
      <c r="VU368" s="9" t="n">
        <v>0</v>
      </c>
      <c r="VV368" s="9" t="n">
        <v>0</v>
      </c>
      <c r="VZ368" s="10" t="n">
        <v>46334</v>
      </c>
      <c r="WB368" s="9" t="n">
        <v>0</v>
      </c>
      <c r="WD368" s="9" t="n">
        <v>0</v>
      </c>
      <c r="WE368" s="9" t="n">
        <v>0</v>
      </c>
      <c r="WI368" s="10" t="n">
        <v>46334</v>
      </c>
      <c r="WK368" s="9" t="n">
        <v>0</v>
      </c>
      <c r="WM368" s="9" t="n">
        <v>0</v>
      </c>
      <c r="WN368" s="9" t="n">
        <v>1057</v>
      </c>
      <c r="WR368" s="10" t="n">
        <v>46334</v>
      </c>
      <c r="WT368" s="9" t="n">
        <v>0</v>
      </c>
      <c r="WV368" s="9" t="n">
        <v>0</v>
      </c>
      <c r="WW368" s="9" t="n">
        <v>0</v>
      </c>
      <c r="XA368" s="10" t="n">
        <v>46334</v>
      </c>
      <c r="XC368" s="9" t="n">
        <v>0</v>
      </c>
      <c r="XE368" s="9" t="n">
        <v>0</v>
      </c>
      <c r="XF368" s="9" t="n">
        <v>7507</v>
      </c>
      <c r="XJ368" s="10" t="n">
        <v>46334</v>
      </c>
      <c r="XL368" s="9" t="n">
        <v>0</v>
      </c>
      <c r="XN368" s="9" t="n">
        <v>0</v>
      </c>
      <c r="XO368" s="9" t="n">
        <v>4252</v>
      </c>
      <c r="XS368" s="10" t="n">
        <v>46334</v>
      </c>
      <c r="XU368" s="9" t="n">
        <v>0</v>
      </c>
      <c r="XW368" s="9" t="n">
        <v>0</v>
      </c>
      <c r="XX368" s="9" t="n">
        <v>2179</v>
      </c>
      <c r="YB368" s="10" t="n">
        <v>46334</v>
      </c>
      <c r="YD368" s="9" t="n">
        <v>0</v>
      </c>
      <c r="YF368" s="9" t="n">
        <v>0</v>
      </c>
      <c r="YG368" s="9" t="n">
        <v>4019</v>
      </c>
      <c r="YK368" s="10" t="n">
        <v>46334</v>
      </c>
      <c r="YM368" s="9" t="n">
        <v>0</v>
      </c>
      <c r="YO368" s="9" t="n">
        <v>0</v>
      </c>
      <c r="YP368" s="9" t="n">
        <v>-218</v>
      </c>
      <c r="YT368" s="10" t="n">
        <v>46334</v>
      </c>
      <c r="YV368" s="9" t="n">
        <v>0</v>
      </c>
      <c r="YX368" s="9" t="n">
        <v>0</v>
      </c>
      <c r="YY368" s="9" t="n">
        <v>0</v>
      </c>
      <c r="ZC368" s="10" t="n">
        <v>46334</v>
      </c>
      <c r="ZE368" s="9" t="n">
        <v>0</v>
      </c>
      <c r="ZG368" s="9" t="n">
        <v>0</v>
      </c>
      <c r="ZH368" s="9" t="n">
        <v>0</v>
      </c>
      <c r="ZL368" s="10" t="n">
        <v>46334</v>
      </c>
      <c r="ZN368" s="9" t="n">
        <v>0</v>
      </c>
      <c r="ZP368" s="9" t="n">
        <v>0</v>
      </c>
      <c r="ZQ368" s="9" t="n">
        <v>0</v>
      </c>
      <c r="ZU368" s="10" t="n">
        <v>46334</v>
      </c>
      <c r="ZW368" s="9" t="n">
        <v>0</v>
      </c>
      <c r="ZY368" s="9" t="n">
        <v>0</v>
      </c>
      <c r="ZZ368" s="9" t="n">
        <v>0</v>
      </c>
      <c r="AAD368" s="10" t="n">
        <v>46334</v>
      </c>
      <c r="AAF368" s="9" t="n">
        <v>0</v>
      </c>
      <c r="AAH368" s="9" t="n">
        <v>0</v>
      </c>
      <c r="AAI368" s="9" t="n">
        <v>0</v>
      </c>
      <c r="AAM368" s="10" t="n">
        <v>46334</v>
      </c>
      <c r="AAO368" s="9" t="n">
        <v>0</v>
      </c>
      <c r="AAQ368" s="9" t="n">
        <v>0</v>
      </c>
      <c r="AAR368" s="9" t="n">
        <v>0</v>
      </c>
      <c r="AAV368" s="10" t="n">
        <v>46334</v>
      </c>
      <c r="AAX368" s="9" t="n">
        <v>0</v>
      </c>
      <c r="AAZ368" s="9" t="n">
        <v>0</v>
      </c>
      <c r="ABA368" s="9" t="n">
        <v>0</v>
      </c>
      <c r="ABE368" s="10" t="n">
        <v>46334</v>
      </c>
      <c r="ABG368" s="9" t="n">
        <v>0</v>
      </c>
      <c r="ABI368" s="9" t="n">
        <v>0</v>
      </c>
      <c r="ABJ368" s="9" t="n">
        <v>0</v>
      </c>
    </row>
    <row r="369">
      <c r="C369" s="10" t="n">
        <v>46335</v>
      </c>
      <c r="E369" s="9" t="n">
        <v>0</v>
      </c>
      <c r="G369" s="9" t="n">
        <v>0</v>
      </c>
      <c r="H369" s="9" t="n">
        <v>236936.6</v>
      </c>
      <c r="L369" s="10" t="n">
        <v>46335</v>
      </c>
      <c r="N369" s="9" t="n">
        <v>0</v>
      </c>
      <c r="P369" s="9" t="n">
        <v>0</v>
      </c>
      <c r="Q369" s="9" t="n">
        <v>53017.60000000007</v>
      </c>
      <c r="U369" s="10" t="n">
        <v>46335</v>
      </c>
      <c r="W369" s="9" t="n">
        <v>0</v>
      </c>
      <c r="Y369" s="9" t="n">
        <v>0</v>
      </c>
      <c r="Z369" s="9" t="n">
        <v>42674.19999999997</v>
      </c>
      <c r="AD369" s="10" t="n">
        <v>46335</v>
      </c>
      <c r="AF369" s="9" t="n">
        <v>0</v>
      </c>
      <c r="AH369" s="9" t="n">
        <v>0</v>
      </c>
      <c r="AI369" s="9" t="n">
        <v>4522.200000000019</v>
      </c>
      <c r="AM369" s="10" t="n">
        <v>46335</v>
      </c>
      <c r="AO369" s="9" t="n">
        <v>0</v>
      </c>
      <c r="AQ369" s="9" t="n">
        <v>0</v>
      </c>
      <c r="AR369" s="9" t="n">
        <v>0</v>
      </c>
      <c r="AV369" s="10" t="n">
        <v>46335</v>
      </c>
      <c r="AX369" s="9" t="n">
        <v>0</v>
      </c>
      <c r="AZ369" s="9" t="n">
        <v>0</v>
      </c>
      <c r="BA369" s="9" t="n">
        <v>124.9999999999952</v>
      </c>
      <c r="BE369" s="10" t="n">
        <v>46335</v>
      </c>
      <c r="BG369" s="9" t="n">
        <v>0</v>
      </c>
      <c r="BI369" s="9" t="n">
        <v>0</v>
      </c>
      <c r="BJ369" s="9" t="n">
        <v>26151.9</v>
      </c>
      <c r="BN369" s="10" t="n">
        <v>46335</v>
      </c>
      <c r="BP369" s="9" t="n">
        <v>0</v>
      </c>
      <c r="BR369" s="9" t="n">
        <v>0</v>
      </c>
      <c r="BS369" s="9" t="n">
        <v>0</v>
      </c>
      <c r="BW369" s="10" t="n">
        <v>46335</v>
      </c>
      <c r="BY369" s="9" t="n">
        <v>0</v>
      </c>
      <c r="CA369" s="9" t="n">
        <v>0</v>
      </c>
      <c r="CB369" s="9" t="n">
        <v>2097.339999999999</v>
      </c>
      <c r="CF369" s="10" t="n">
        <v>46335</v>
      </c>
      <c r="CH369" s="9" t="n">
        <v>0</v>
      </c>
      <c r="CJ369" s="9" t="n">
        <v>0</v>
      </c>
      <c r="CK369" s="9" t="n">
        <v>-10277.08</v>
      </c>
      <c r="CO369" s="10" t="n">
        <v>46335</v>
      </c>
      <c r="CQ369" s="9" t="n">
        <v>0</v>
      </c>
      <c r="CS369" s="9" t="n">
        <v>0</v>
      </c>
      <c r="CT369" s="9" t="n">
        <v>0</v>
      </c>
      <c r="CX369" s="10" t="n">
        <v>46335</v>
      </c>
      <c r="CZ369" s="9" t="n">
        <v>0</v>
      </c>
      <c r="DB369" s="9" t="n">
        <v>0</v>
      </c>
      <c r="DC369" s="9" t="n">
        <v>27438.20000000001</v>
      </c>
      <c r="DG369" s="10" t="n">
        <v>46335</v>
      </c>
      <c r="DI369" s="9" t="n">
        <v>0</v>
      </c>
      <c r="DK369" s="9" t="n">
        <v>0</v>
      </c>
      <c r="DL369" s="9" t="n">
        <v>18782.29999999998</v>
      </c>
      <c r="DP369" s="10" t="n">
        <v>46335</v>
      </c>
      <c r="DR369" s="9" t="n">
        <v>0</v>
      </c>
      <c r="DT369" s="9" t="n">
        <v>0</v>
      </c>
      <c r="DU369" s="9" t="n">
        <v>5800</v>
      </c>
      <c r="DY369" s="10" t="n">
        <v>46335</v>
      </c>
      <c r="EA369" s="9" t="n">
        <v>0</v>
      </c>
      <c r="EC369" s="9" t="n">
        <v>0</v>
      </c>
      <c r="ED369" s="9" t="n">
        <v>0</v>
      </c>
      <c r="EH369" s="10" t="n">
        <v>46335</v>
      </c>
      <c r="EJ369" s="9" t="n">
        <v>0</v>
      </c>
      <c r="EL369" s="9" t="n">
        <v>0</v>
      </c>
      <c r="EM369" s="9" t="n">
        <v>0</v>
      </c>
      <c r="EQ369" s="10" t="n">
        <v>46335</v>
      </c>
      <c r="ES369" s="9" t="n">
        <v>0</v>
      </c>
      <c r="EU369" s="9" t="n">
        <v>0</v>
      </c>
      <c r="EV369" s="9" t="n">
        <v>0</v>
      </c>
      <c r="EZ369" s="10" t="n">
        <v>46335</v>
      </c>
      <c r="FB369" s="9" t="n">
        <v>0</v>
      </c>
      <c r="FD369" s="9" t="n">
        <v>0</v>
      </c>
      <c r="FE369" s="9" t="n">
        <v>0</v>
      </c>
      <c r="FI369" s="10" t="n">
        <v>46335</v>
      </c>
      <c r="FK369" s="9" t="n">
        <v>0</v>
      </c>
      <c r="FM369" s="9" t="n">
        <v>0</v>
      </c>
      <c r="FN369" s="9" t="n">
        <v>0</v>
      </c>
      <c r="FR369" s="10" t="n">
        <v>46335</v>
      </c>
      <c r="FT369" s="9" t="n">
        <v>0</v>
      </c>
      <c r="FV369" s="9" t="n">
        <v>0</v>
      </c>
      <c r="FW369" s="9" t="n">
        <v>2020</v>
      </c>
      <c r="GA369" s="10" t="n">
        <v>46335</v>
      </c>
      <c r="GC369" s="9" t="n">
        <v>0</v>
      </c>
      <c r="GE369" s="9" t="n">
        <v>0</v>
      </c>
      <c r="GF369" s="9" t="n">
        <v>960</v>
      </c>
      <c r="GJ369" s="10" t="n">
        <v>46335</v>
      </c>
      <c r="GL369" s="9" t="n">
        <v>0</v>
      </c>
      <c r="GN369" s="9" t="n">
        <v>0</v>
      </c>
      <c r="GO369" s="9" t="n">
        <v>1760</v>
      </c>
      <c r="GS369" s="10" t="n">
        <v>46335</v>
      </c>
      <c r="GU369" s="9" t="n">
        <v>0</v>
      </c>
      <c r="GW369" s="9" t="n">
        <v>0</v>
      </c>
      <c r="GX369" s="9" t="n">
        <v>400</v>
      </c>
      <c r="HB369" s="10" t="n">
        <v>46335</v>
      </c>
      <c r="HD369" s="9" t="n">
        <v>0</v>
      </c>
      <c r="HF369" s="9" t="n">
        <v>0</v>
      </c>
      <c r="HG369" s="9" t="n">
        <v>3600</v>
      </c>
      <c r="HK369" s="10" t="n">
        <v>46335</v>
      </c>
      <c r="HM369" s="9" t="n">
        <v>0</v>
      </c>
      <c r="HO369" s="9" t="n">
        <v>0</v>
      </c>
      <c r="HP369" s="9" t="n">
        <v>0</v>
      </c>
      <c r="HU369" s="10" t="n">
        <v>46335</v>
      </c>
      <c r="HW369" s="9" t="n">
        <v>0</v>
      </c>
      <c r="HY369" s="9" t="n">
        <v>0</v>
      </c>
      <c r="HZ369" s="9" t="n">
        <v>6120</v>
      </c>
      <c r="ID369" s="10" t="n">
        <v>46335</v>
      </c>
      <c r="IF369" s="9" t="n">
        <v>0</v>
      </c>
      <c r="IH369" s="9" t="n">
        <v>0</v>
      </c>
      <c r="II369" s="9" t="n">
        <v>0</v>
      </c>
      <c r="IM369" s="10" t="n">
        <v>46335</v>
      </c>
      <c r="IO369" s="9" t="n">
        <v>0</v>
      </c>
      <c r="IQ369" s="9" t="n">
        <v>0</v>
      </c>
      <c r="IR369" s="9" t="n">
        <v>0</v>
      </c>
      <c r="IV369" s="10" t="n">
        <v>46335</v>
      </c>
      <c r="IX369" s="9" t="n">
        <v>0</v>
      </c>
      <c r="IZ369" s="9" t="n">
        <v>0</v>
      </c>
      <c r="JA369" s="9" t="n">
        <v>2820</v>
      </c>
      <c r="JE369" s="10" t="n">
        <v>46335</v>
      </c>
      <c r="JG369" s="9" t="n">
        <v>0</v>
      </c>
      <c r="JI369" s="9" t="n">
        <v>0</v>
      </c>
      <c r="JJ369" s="9" t="n">
        <v>0</v>
      </c>
      <c r="JN369" s="10" t="n">
        <v>46335</v>
      </c>
      <c r="JP369" s="9" t="n">
        <v>0</v>
      </c>
      <c r="JR369" s="9" t="n">
        <v>0</v>
      </c>
      <c r="JS369" s="9" t="n">
        <v>0</v>
      </c>
      <c r="JW369" s="10" t="n">
        <v>46335</v>
      </c>
      <c r="JY369" s="9" t="n">
        <v>0</v>
      </c>
      <c r="KA369" s="9" t="n">
        <v>0</v>
      </c>
      <c r="KB369" s="9" t="n">
        <v>2540</v>
      </c>
      <c r="KF369" s="10" t="n">
        <v>46335</v>
      </c>
      <c r="KH369" s="9" t="n">
        <v>0</v>
      </c>
      <c r="KJ369" s="9" t="n">
        <v>0</v>
      </c>
      <c r="KK369" s="9" t="n">
        <v>2359.5</v>
      </c>
      <c r="KO369" s="10" t="n">
        <v>46335</v>
      </c>
      <c r="KQ369" s="9" t="n">
        <v>0</v>
      </c>
      <c r="KS369" s="9" t="n">
        <v>0</v>
      </c>
      <c r="KT369" s="9" t="n">
        <v>1890</v>
      </c>
      <c r="KX369" s="10" t="n">
        <v>46335</v>
      </c>
      <c r="KZ369" s="9" t="n">
        <v>0</v>
      </c>
      <c r="LB369" s="9" t="n">
        <v>0</v>
      </c>
      <c r="LC369" s="9" t="n">
        <v>3690</v>
      </c>
      <c r="LG369" s="10" t="n">
        <v>46335</v>
      </c>
      <c r="LI369" s="9" t="n">
        <v>0</v>
      </c>
      <c r="LK369" s="9" t="n">
        <v>0</v>
      </c>
      <c r="LL369" s="9" t="n">
        <v>4000</v>
      </c>
      <c r="LP369" s="10" t="n">
        <v>46335</v>
      </c>
      <c r="LR369" s="9" t="n">
        <v>0</v>
      </c>
      <c r="LT369" s="9" t="n">
        <v>0</v>
      </c>
      <c r="LU369" s="9" t="n">
        <v>0</v>
      </c>
      <c r="LY369" s="10" t="n">
        <v>46335</v>
      </c>
      <c r="MA369" s="9" t="n">
        <v>0</v>
      </c>
      <c r="MC369" s="9" t="n">
        <v>0</v>
      </c>
      <c r="MD369" s="9" t="n">
        <v>0</v>
      </c>
      <c r="MH369" s="10" t="n">
        <v>46335</v>
      </c>
      <c r="MJ369" s="9" t="n">
        <v>0</v>
      </c>
      <c r="ML369" s="9" t="n">
        <v>0</v>
      </c>
      <c r="MM369" s="9" t="n">
        <v>0</v>
      </c>
      <c r="MQ369" s="10" t="n">
        <v>46335</v>
      </c>
      <c r="MS369" s="9" t="n">
        <v>0</v>
      </c>
      <c r="MU369" s="9" t="n">
        <v>0</v>
      </c>
      <c r="MV369" s="9" t="n">
        <v>1625</v>
      </c>
      <c r="MZ369" s="10" t="n">
        <v>46335</v>
      </c>
      <c r="NB369" s="9" t="n">
        <v>0</v>
      </c>
      <c r="ND369" s="9" t="n">
        <v>0</v>
      </c>
      <c r="NE369" s="9" t="n">
        <v>0</v>
      </c>
      <c r="NI369" s="10" t="n">
        <v>46335</v>
      </c>
      <c r="NK369" s="9" t="n">
        <v>0</v>
      </c>
      <c r="NM369" s="9" t="n">
        <v>0</v>
      </c>
      <c r="NN369" s="9" t="n">
        <v>1127</v>
      </c>
      <c r="NR369" s="10" t="n">
        <v>46335</v>
      </c>
      <c r="NT369" s="9" t="n">
        <v>0</v>
      </c>
      <c r="NV369" s="9" t="n">
        <v>0</v>
      </c>
      <c r="NW369" s="9" t="n">
        <v>3112</v>
      </c>
      <c r="OA369" s="10" t="n">
        <v>46335</v>
      </c>
      <c r="OC369" s="9" t="n">
        <v>0</v>
      </c>
      <c r="OE369" s="9" t="n">
        <v>0</v>
      </c>
      <c r="OF369" s="9" t="n">
        <v>1680.5</v>
      </c>
      <c r="OJ369" s="10" t="n">
        <v>46335</v>
      </c>
      <c r="OL369" s="9" t="n">
        <v>0</v>
      </c>
      <c r="ON369" s="9" t="n">
        <v>0</v>
      </c>
      <c r="OO369" s="9" t="n">
        <v>0</v>
      </c>
      <c r="OS369" s="10" t="n">
        <v>46335</v>
      </c>
      <c r="OU369" s="9" t="n">
        <v>0</v>
      </c>
      <c r="OW369" s="9" t="n">
        <v>0</v>
      </c>
      <c r="OX369" s="9" t="n">
        <v>1482</v>
      </c>
      <c r="PB369" s="10" t="n">
        <v>46335</v>
      </c>
      <c r="PD369" s="9" t="n">
        <v>0</v>
      </c>
      <c r="PF369" s="9" t="n">
        <v>0</v>
      </c>
      <c r="PG369" s="9" t="n">
        <v>0</v>
      </c>
      <c r="PK369" s="10" t="n">
        <v>46335</v>
      </c>
      <c r="PM369" s="9" t="n">
        <v>0</v>
      </c>
      <c r="PO369" s="9" t="n">
        <v>0</v>
      </c>
      <c r="PP369" s="9" t="n">
        <v>100</v>
      </c>
      <c r="PT369" s="10" t="n">
        <v>46335</v>
      </c>
      <c r="PV369" s="9" t="n">
        <v>0</v>
      </c>
      <c r="PX369" s="9" t="n">
        <v>0</v>
      </c>
      <c r="PY369" s="9" t="n">
        <v>13.96000000000004</v>
      </c>
      <c r="QC369" s="10" t="n">
        <v>46335</v>
      </c>
      <c r="QE369" s="9" t="n">
        <v>0</v>
      </c>
      <c r="QG369" s="9" t="n">
        <v>0</v>
      </c>
      <c r="QH369" s="9" t="n">
        <v>548</v>
      </c>
      <c r="QL369" s="10" t="n">
        <v>46335</v>
      </c>
      <c r="QN369" s="9" t="n">
        <v>0</v>
      </c>
      <c r="QP369" s="9" t="n">
        <v>0</v>
      </c>
      <c r="QQ369" s="9" t="n">
        <v>0</v>
      </c>
      <c r="QU369" s="10" t="n">
        <v>46335</v>
      </c>
      <c r="QW369" s="9" t="n">
        <v>0</v>
      </c>
      <c r="QY369" s="9" t="n">
        <v>0</v>
      </c>
      <c r="QZ369" s="9" t="n">
        <v>0</v>
      </c>
      <c r="RD369" s="10" t="n">
        <v>46335</v>
      </c>
      <c r="RF369" s="9" t="n">
        <v>0</v>
      </c>
      <c r="RH369" s="9" t="n">
        <v>0</v>
      </c>
      <c r="RI369" s="9" t="n">
        <v>147.04</v>
      </c>
      <c r="RM369" s="10" t="n">
        <v>46335</v>
      </c>
      <c r="RO369" s="9" t="n">
        <v>0</v>
      </c>
      <c r="RQ369" s="9" t="n">
        <v>0</v>
      </c>
      <c r="RR369" s="9" t="n">
        <v>46.8</v>
      </c>
      <c r="RV369" s="10" t="n">
        <v>46335</v>
      </c>
      <c r="RX369" s="9" t="n">
        <v>0</v>
      </c>
      <c r="RZ369" s="9" t="n">
        <v>0</v>
      </c>
      <c r="SA369" s="9" t="n">
        <v>0</v>
      </c>
      <c r="SE369" s="10" t="n">
        <v>46335</v>
      </c>
      <c r="SG369" s="9" t="n">
        <v>0</v>
      </c>
      <c r="SI369" s="9" t="n">
        <v>0</v>
      </c>
      <c r="SJ369" s="9" t="n">
        <v>24.2</v>
      </c>
      <c r="SN369" s="10" t="n">
        <v>46335</v>
      </c>
      <c r="SP369" s="9" t="n">
        <v>0</v>
      </c>
      <c r="SR369" s="9" t="n">
        <v>0</v>
      </c>
      <c r="SS369" s="9" t="n">
        <v>32</v>
      </c>
      <c r="SW369" s="10" t="n">
        <v>46335</v>
      </c>
      <c r="SY369" s="9" t="n">
        <v>0</v>
      </c>
      <c r="TA369" s="9" t="n">
        <v>0</v>
      </c>
      <c r="TB369" s="9" t="n">
        <v>0</v>
      </c>
      <c r="TF369" s="10" t="n">
        <v>46335</v>
      </c>
      <c r="TH369" s="9" t="n">
        <v>0</v>
      </c>
      <c r="TJ369" s="9" t="n">
        <v>0</v>
      </c>
      <c r="TK369" s="9" t="n">
        <v>0</v>
      </c>
      <c r="TO369" s="10" t="n">
        <v>46335</v>
      </c>
      <c r="TQ369" s="9" t="n">
        <v>0</v>
      </c>
      <c r="TS369" s="9" t="n">
        <v>0</v>
      </c>
      <c r="TT369" s="9" t="n">
        <v>0</v>
      </c>
      <c r="TX369" s="10" t="n">
        <v>46335</v>
      </c>
      <c r="TZ369" s="9" t="n">
        <v>0</v>
      </c>
      <c r="UB369" s="9" t="n">
        <v>0</v>
      </c>
      <c r="UC369" s="9" t="n">
        <v>46.79999999999998</v>
      </c>
      <c r="UG369" s="10" t="n">
        <v>46335</v>
      </c>
      <c r="UI369" s="9" t="n">
        <v>0</v>
      </c>
      <c r="UK369" s="9" t="n">
        <v>0</v>
      </c>
      <c r="UL369" s="9" t="n">
        <v>204</v>
      </c>
      <c r="UP369" s="10" t="n">
        <v>46335</v>
      </c>
      <c r="UR369" s="9" t="n">
        <v>0</v>
      </c>
      <c r="UT369" s="9" t="n">
        <v>0</v>
      </c>
      <c r="UU369" s="9" t="n">
        <v>202.5</v>
      </c>
      <c r="UY369" s="10" t="n">
        <v>46335</v>
      </c>
      <c r="VA369" s="9" t="n">
        <v>0</v>
      </c>
      <c r="VC369" s="9" t="n">
        <v>0</v>
      </c>
      <c r="VD369" s="9" t="n">
        <v>41.60000000000002</v>
      </c>
      <c r="VH369" s="10" t="n">
        <v>46335</v>
      </c>
      <c r="VJ369" s="9" t="n">
        <v>0</v>
      </c>
      <c r="VL369" s="9" t="n">
        <v>0</v>
      </c>
      <c r="VM369" s="9" t="n">
        <v>210</v>
      </c>
      <c r="VQ369" s="10" t="n">
        <v>46335</v>
      </c>
      <c r="VS369" s="9" t="n">
        <v>0</v>
      </c>
      <c r="VU369" s="9" t="n">
        <v>0</v>
      </c>
      <c r="VV369" s="9" t="n">
        <v>0</v>
      </c>
      <c r="VZ369" s="10" t="n">
        <v>46335</v>
      </c>
      <c r="WB369" s="9" t="n">
        <v>0</v>
      </c>
      <c r="WD369" s="9" t="n">
        <v>0</v>
      </c>
      <c r="WE369" s="9" t="n">
        <v>0</v>
      </c>
      <c r="WI369" s="10" t="n">
        <v>46335</v>
      </c>
      <c r="WK369" s="9" t="n">
        <v>0</v>
      </c>
      <c r="WM369" s="9" t="n">
        <v>0</v>
      </c>
      <c r="WN369" s="9" t="n">
        <v>1057</v>
      </c>
      <c r="WR369" s="10" t="n">
        <v>46335</v>
      </c>
      <c r="WT369" s="9" t="n">
        <v>0</v>
      </c>
      <c r="WV369" s="9" t="n">
        <v>0</v>
      </c>
      <c r="WW369" s="9" t="n">
        <v>0</v>
      </c>
      <c r="XA369" s="10" t="n">
        <v>46335</v>
      </c>
      <c r="XC369" s="9" t="n">
        <v>0</v>
      </c>
      <c r="XE369" s="9" t="n">
        <v>0</v>
      </c>
      <c r="XF369" s="9" t="n">
        <v>7507</v>
      </c>
      <c r="XJ369" s="10" t="n">
        <v>46335</v>
      </c>
      <c r="XL369" s="9" t="n">
        <v>0</v>
      </c>
      <c r="XN369" s="9" t="n">
        <v>0</v>
      </c>
      <c r="XO369" s="9" t="n">
        <v>4252</v>
      </c>
      <c r="XS369" s="10" t="n">
        <v>46335</v>
      </c>
      <c r="XU369" s="9" t="n">
        <v>0</v>
      </c>
      <c r="XW369" s="9" t="n">
        <v>0</v>
      </c>
      <c r="XX369" s="9" t="n">
        <v>2179</v>
      </c>
      <c r="YB369" s="10" t="n">
        <v>46335</v>
      </c>
      <c r="YD369" s="9" t="n">
        <v>0</v>
      </c>
      <c r="YF369" s="9" t="n">
        <v>0</v>
      </c>
      <c r="YG369" s="9" t="n">
        <v>4019</v>
      </c>
      <c r="YK369" s="10" t="n">
        <v>46335</v>
      </c>
      <c r="YM369" s="9" t="n">
        <v>0</v>
      </c>
      <c r="YO369" s="9" t="n">
        <v>0</v>
      </c>
      <c r="YP369" s="9" t="n">
        <v>-218</v>
      </c>
      <c r="YT369" s="10" t="n">
        <v>46335</v>
      </c>
      <c r="YV369" s="9" t="n">
        <v>0</v>
      </c>
      <c r="YX369" s="9" t="n">
        <v>0</v>
      </c>
      <c r="YY369" s="9" t="n">
        <v>0</v>
      </c>
      <c r="ZC369" s="10" t="n">
        <v>46335</v>
      </c>
      <c r="ZE369" s="9" t="n">
        <v>0</v>
      </c>
      <c r="ZG369" s="9" t="n">
        <v>0</v>
      </c>
      <c r="ZH369" s="9" t="n">
        <v>0</v>
      </c>
      <c r="ZL369" s="10" t="n">
        <v>46335</v>
      </c>
      <c r="ZN369" s="9" t="n">
        <v>0</v>
      </c>
      <c r="ZP369" s="9" t="n">
        <v>0</v>
      </c>
      <c r="ZQ369" s="9" t="n">
        <v>0</v>
      </c>
      <c r="ZU369" s="10" t="n">
        <v>46335</v>
      </c>
      <c r="ZW369" s="9" t="n">
        <v>0</v>
      </c>
      <c r="ZY369" s="9" t="n">
        <v>0</v>
      </c>
      <c r="ZZ369" s="9" t="n">
        <v>0</v>
      </c>
      <c r="AAD369" s="10" t="n">
        <v>46335</v>
      </c>
      <c r="AAF369" s="9" t="n">
        <v>0</v>
      </c>
      <c r="AAH369" s="9" t="n">
        <v>0</v>
      </c>
      <c r="AAI369" s="9" t="n">
        <v>0</v>
      </c>
      <c r="AAM369" s="10" t="n">
        <v>46335</v>
      </c>
      <c r="AAO369" s="9" t="n">
        <v>0</v>
      </c>
      <c r="AAQ369" s="9" t="n">
        <v>0</v>
      </c>
      <c r="AAR369" s="9" t="n">
        <v>0</v>
      </c>
      <c r="AAV369" s="10" t="n">
        <v>46335</v>
      </c>
      <c r="AAX369" s="9" t="n">
        <v>0</v>
      </c>
      <c r="AAZ369" s="9" t="n">
        <v>0</v>
      </c>
      <c r="ABA369" s="9" t="n">
        <v>0</v>
      </c>
      <c r="ABE369" s="10" t="n">
        <v>46335</v>
      </c>
      <c r="ABG369" s="9" t="n">
        <v>0</v>
      </c>
      <c r="ABI369" s="9" t="n">
        <v>0</v>
      </c>
      <c r="ABJ369" s="9" t="n">
        <v>0</v>
      </c>
    </row>
    <row r="370">
      <c r="C370" s="10" t="n">
        <v>46336</v>
      </c>
      <c r="E370" s="9" t="n">
        <v>0</v>
      </c>
      <c r="G370" s="9" t="n">
        <v>0</v>
      </c>
      <c r="H370" s="9" t="n">
        <v>236936.6</v>
      </c>
      <c r="L370" s="10" t="n">
        <v>46336</v>
      </c>
      <c r="N370" s="9" t="n">
        <v>0</v>
      </c>
      <c r="P370" s="9" t="n">
        <v>0</v>
      </c>
      <c r="Q370" s="9" t="n">
        <v>53017.60000000007</v>
      </c>
      <c r="U370" s="10" t="n">
        <v>46336</v>
      </c>
      <c r="W370" s="9" t="n">
        <v>0</v>
      </c>
      <c r="Y370" s="9" t="n">
        <v>0</v>
      </c>
      <c r="Z370" s="9" t="n">
        <v>42674.19999999997</v>
      </c>
      <c r="AD370" s="10" t="n">
        <v>46336</v>
      </c>
      <c r="AF370" s="9" t="n">
        <v>0</v>
      </c>
      <c r="AH370" s="9" t="n">
        <v>0</v>
      </c>
      <c r="AI370" s="9" t="n">
        <v>4522.200000000019</v>
      </c>
      <c r="AM370" s="10" t="n">
        <v>46336</v>
      </c>
      <c r="AO370" s="9" t="n">
        <v>0</v>
      </c>
      <c r="AQ370" s="9" t="n">
        <v>0</v>
      </c>
      <c r="AR370" s="9" t="n">
        <v>0</v>
      </c>
      <c r="AV370" s="10" t="n">
        <v>46336</v>
      </c>
      <c r="AX370" s="9" t="n">
        <v>0</v>
      </c>
      <c r="AZ370" s="9" t="n">
        <v>0</v>
      </c>
      <c r="BA370" s="9" t="n">
        <v>124.9999999999952</v>
      </c>
      <c r="BE370" s="10" t="n">
        <v>46336</v>
      </c>
      <c r="BG370" s="9" t="n">
        <v>0</v>
      </c>
      <c r="BI370" s="9" t="n">
        <v>0</v>
      </c>
      <c r="BJ370" s="9" t="n">
        <v>26151.9</v>
      </c>
      <c r="BN370" s="10" t="n">
        <v>46336</v>
      </c>
      <c r="BP370" s="9" t="n">
        <v>0</v>
      </c>
      <c r="BR370" s="9" t="n">
        <v>0</v>
      </c>
      <c r="BS370" s="9" t="n">
        <v>0</v>
      </c>
      <c r="BW370" s="10" t="n">
        <v>46336</v>
      </c>
      <c r="BY370" s="9" t="n">
        <v>0</v>
      </c>
      <c r="CA370" s="9" t="n">
        <v>0</v>
      </c>
      <c r="CB370" s="9" t="n">
        <v>2097.339999999999</v>
      </c>
      <c r="CF370" s="10" t="n">
        <v>46336</v>
      </c>
      <c r="CH370" s="9" t="n">
        <v>0</v>
      </c>
      <c r="CJ370" s="9" t="n">
        <v>0</v>
      </c>
      <c r="CK370" s="9" t="n">
        <v>-10277.08</v>
      </c>
      <c r="CO370" s="10" t="n">
        <v>46336</v>
      </c>
      <c r="CQ370" s="9" t="n">
        <v>0</v>
      </c>
      <c r="CS370" s="9" t="n">
        <v>0</v>
      </c>
      <c r="CT370" s="9" t="n">
        <v>0</v>
      </c>
      <c r="CX370" s="10" t="n">
        <v>46336</v>
      </c>
      <c r="CZ370" s="9" t="n">
        <v>0</v>
      </c>
      <c r="DB370" s="9" t="n">
        <v>0</v>
      </c>
      <c r="DC370" s="9" t="n">
        <v>27438.20000000001</v>
      </c>
      <c r="DG370" s="10" t="n">
        <v>46336</v>
      </c>
      <c r="DI370" s="9" t="n">
        <v>0</v>
      </c>
      <c r="DK370" s="9" t="n">
        <v>0</v>
      </c>
      <c r="DL370" s="9" t="n">
        <v>18782.29999999998</v>
      </c>
      <c r="DP370" s="10" t="n">
        <v>46336</v>
      </c>
      <c r="DR370" s="9" t="n">
        <v>0</v>
      </c>
      <c r="DT370" s="9" t="n">
        <v>0</v>
      </c>
      <c r="DU370" s="9" t="n">
        <v>5800</v>
      </c>
      <c r="DY370" s="10" t="n">
        <v>46336</v>
      </c>
      <c r="EA370" s="9" t="n">
        <v>0</v>
      </c>
      <c r="EC370" s="9" t="n">
        <v>0</v>
      </c>
      <c r="ED370" s="9" t="n">
        <v>0</v>
      </c>
      <c r="EH370" s="10" t="n">
        <v>46336</v>
      </c>
      <c r="EJ370" s="9" t="n">
        <v>0</v>
      </c>
      <c r="EL370" s="9" t="n">
        <v>0</v>
      </c>
      <c r="EM370" s="9" t="n">
        <v>0</v>
      </c>
      <c r="EQ370" s="10" t="n">
        <v>46336</v>
      </c>
      <c r="ES370" s="9" t="n">
        <v>0</v>
      </c>
      <c r="EU370" s="9" t="n">
        <v>0</v>
      </c>
      <c r="EV370" s="9" t="n">
        <v>0</v>
      </c>
      <c r="EZ370" s="10" t="n">
        <v>46336</v>
      </c>
      <c r="FB370" s="9" t="n">
        <v>0</v>
      </c>
      <c r="FD370" s="9" t="n">
        <v>0</v>
      </c>
      <c r="FE370" s="9" t="n">
        <v>0</v>
      </c>
      <c r="FI370" s="10" t="n">
        <v>46336</v>
      </c>
      <c r="FK370" s="9" t="n">
        <v>0</v>
      </c>
      <c r="FM370" s="9" t="n">
        <v>0</v>
      </c>
      <c r="FN370" s="9" t="n">
        <v>0</v>
      </c>
      <c r="FR370" s="10" t="n">
        <v>46336</v>
      </c>
      <c r="FT370" s="9" t="n">
        <v>0</v>
      </c>
      <c r="FV370" s="9" t="n">
        <v>0</v>
      </c>
      <c r="FW370" s="9" t="n">
        <v>2020</v>
      </c>
      <c r="GA370" s="10" t="n">
        <v>46336</v>
      </c>
      <c r="GC370" s="9" t="n">
        <v>0</v>
      </c>
      <c r="GE370" s="9" t="n">
        <v>0</v>
      </c>
      <c r="GF370" s="9" t="n">
        <v>960</v>
      </c>
      <c r="GJ370" s="10" t="n">
        <v>46336</v>
      </c>
      <c r="GL370" s="9" t="n">
        <v>0</v>
      </c>
      <c r="GN370" s="9" t="n">
        <v>0</v>
      </c>
      <c r="GO370" s="9" t="n">
        <v>1760</v>
      </c>
      <c r="GS370" s="10" t="n">
        <v>46336</v>
      </c>
      <c r="GU370" s="9" t="n">
        <v>0</v>
      </c>
      <c r="GW370" s="9" t="n">
        <v>0</v>
      </c>
      <c r="GX370" s="9" t="n">
        <v>400</v>
      </c>
      <c r="HB370" s="10" t="n">
        <v>46336</v>
      </c>
      <c r="HD370" s="9" t="n">
        <v>0</v>
      </c>
      <c r="HF370" s="9" t="n">
        <v>0</v>
      </c>
      <c r="HG370" s="9" t="n">
        <v>3600</v>
      </c>
      <c r="HK370" s="10" t="n">
        <v>46336</v>
      </c>
      <c r="HM370" s="9" t="n">
        <v>0</v>
      </c>
      <c r="HO370" s="9" t="n">
        <v>0</v>
      </c>
      <c r="HP370" s="9" t="n">
        <v>0</v>
      </c>
      <c r="HU370" s="10" t="n">
        <v>46336</v>
      </c>
      <c r="HW370" s="9" t="n">
        <v>0</v>
      </c>
      <c r="HY370" s="9" t="n">
        <v>0</v>
      </c>
      <c r="HZ370" s="9" t="n">
        <v>6120</v>
      </c>
      <c r="ID370" s="10" t="n">
        <v>46336</v>
      </c>
      <c r="IF370" s="9" t="n">
        <v>0</v>
      </c>
      <c r="IH370" s="9" t="n">
        <v>0</v>
      </c>
      <c r="II370" s="9" t="n">
        <v>0</v>
      </c>
      <c r="IM370" s="10" t="n">
        <v>46336</v>
      </c>
      <c r="IO370" s="9" t="n">
        <v>0</v>
      </c>
      <c r="IQ370" s="9" t="n">
        <v>0</v>
      </c>
      <c r="IR370" s="9" t="n">
        <v>0</v>
      </c>
      <c r="IV370" s="10" t="n">
        <v>46336</v>
      </c>
      <c r="IX370" s="9" t="n">
        <v>0</v>
      </c>
      <c r="IZ370" s="9" t="n">
        <v>0</v>
      </c>
      <c r="JA370" s="9" t="n">
        <v>2820</v>
      </c>
      <c r="JE370" s="10" t="n">
        <v>46336</v>
      </c>
      <c r="JG370" s="9" t="n">
        <v>0</v>
      </c>
      <c r="JI370" s="9" t="n">
        <v>0</v>
      </c>
      <c r="JJ370" s="9" t="n">
        <v>0</v>
      </c>
      <c r="JN370" s="10" t="n">
        <v>46336</v>
      </c>
      <c r="JP370" s="9" t="n">
        <v>0</v>
      </c>
      <c r="JR370" s="9" t="n">
        <v>0</v>
      </c>
      <c r="JS370" s="9" t="n">
        <v>0</v>
      </c>
      <c r="JW370" s="10" t="n">
        <v>46336</v>
      </c>
      <c r="JY370" s="9" t="n">
        <v>0</v>
      </c>
      <c r="KA370" s="9" t="n">
        <v>0</v>
      </c>
      <c r="KB370" s="9" t="n">
        <v>2540</v>
      </c>
      <c r="KF370" s="10" t="n">
        <v>46336</v>
      </c>
      <c r="KH370" s="9" t="n">
        <v>0</v>
      </c>
      <c r="KJ370" s="9" t="n">
        <v>0</v>
      </c>
      <c r="KK370" s="9" t="n">
        <v>2359.5</v>
      </c>
      <c r="KO370" s="10" t="n">
        <v>46336</v>
      </c>
      <c r="KQ370" s="9" t="n">
        <v>0</v>
      </c>
      <c r="KS370" s="9" t="n">
        <v>0</v>
      </c>
      <c r="KT370" s="9" t="n">
        <v>1890</v>
      </c>
      <c r="KX370" s="10" t="n">
        <v>46336</v>
      </c>
      <c r="KZ370" s="9" t="n">
        <v>0</v>
      </c>
      <c r="LB370" s="9" t="n">
        <v>0</v>
      </c>
      <c r="LC370" s="9" t="n">
        <v>3690</v>
      </c>
      <c r="LG370" s="10" t="n">
        <v>46336</v>
      </c>
      <c r="LI370" s="9" t="n">
        <v>0</v>
      </c>
      <c r="LK370" s="9" t="n">
        <v>0</v>
      </c>
      <c r="LL370" s="9" t="n">
        <v>4000</v>
      </c>
      <c r="LP370" s="10" t="n">
        <v>46336</v>
      </c>
      <c r="LR370" s="9" t="n">
        <v>0</v>
      </c>
      <c r="LT370" s="9" t="n">
        <v>0</v>
      </c>
      <c r="LU370" s="9" t="n">
        <v>0</v>
      </c>
      <c r="LY370" s="10" t="n">
        <v>46336</v>
      </c>
      <c r="MA370" s="9" t="n">
        <v>0</v>
      </c>
      <c r="MC370" s="9" t="n">
        <v>0</v>
      </c>
      <c r="MD370" s="9" t="n">
        <v>0</v>
      </c>
      <c r="MH370" s="10" t="n">
        <v>46336</v>
      </c>
      <c r="MJ370" s="9" t="n">
        <v>0</v>
      </c>
      <c r="ML370" s="9" t="n">
        <v>0</v>
      </c>
      <c r="MM370" s="9" t="n">
        <v>0</v>
      </c>
      <c r="MQ370" s="10" t="n">
        <v>46336</v>
      </c>
      <c r="MS370" s="9" t="n">
        <v>0</v>
      </c>
      <c r="MU370" s="9" t="n">
        <v>0</v>
      </c>
      <c r="MV370" s="9" t="n">
        <v>1625</v>
      </c>
      <c r="MZ370" s="10" t="n">
        <v>46336</v>
      </c>
      <c r="NB370" s="9" t="n">
        <v>0</v>
      </c>
      <c r="ND370" s="9" t="n">
        <v>0</v>
      </c>
      <c r="NE370" s="9" t="n">
        <v>0</v>
      </c>
      <c r="NI370" s="10" t="n">
        <v>46336</v>
      </c>
      <c r="NK370" s="9" t="n">
        <v>0</v>
      </c>
      <c r="NM370" s="9" t="n">
        <v>0</v>
      </c>
      <c r="NN370" s="9" t="n">
        <v>1127</v>
      </c>
      <c r="NR370" s="10" t="n">
        <v>46336</v>
      </c>
      <c r="NT370" s="9" t="n">
        <v>0</v>
      </c>
      <c r="NV370" s="9" t="n">
        <v>0</v>
      </c>
      <c r="NW370" s="9" t="n">
        <v>3112</v>
      </c>
      <c r="OA370" s="10" t="n">
        <v>46336</v>
      </c>
      <c r="OC370" s="9" t="n">
        <v>0</v>
      </c>
      <c r="OE370" s="9" t="n">
        <v>0</v>
      </c>
      <c r="OF370" s="9" t="n">
        <v>1680.5</v>
      </c>
      <c r="OJ370" s="10" t="n">
        <v>46336</v>
      </c>
      <c r="OL370" s="9" t="n">
        <v>0</v>
      </c>
      <c r="ON370" s="9" t="n">
        <v>0</v>
      </c>
      <c r="OO370" s="9" t="n">
        <v>0</v>
      </c>
      <c r="OS370" s="10" t="n">
        <v>46336</v>
      </c>
      <c r="OU370" s="9" t="n">
        <v>0</v>
      </c>
      <c r="OW370" s="9" t="n">
        <v>0</v>
      </c>
      <c r="OX370" s="9" t="n">
        <v>1482</v>
      </c>
      <c r="PB370" s="10" t="n">
        <v>46336</v>
      </c>
      <c r="PD370" s="9" t="n">
        <v>0</v>
      </c>
      <c r="PF370" s="9" t="n">
        <v>0</v>
      </c>
      <c r="PG370" s="9" t="n">
        <v>0</v>
      </c>
      <c r="PK370" s="10" t="n">
        <v>46336</v>
      </c>
      <c r="PM370" s="9" t="n">
        <v>0</v>
      </c>
      <c r="PO370" s="9" t="n">
        <v>0</v>
      </c>
      <c r="PP370" s="9" t="n">
        <v>100</v>
      </c>
      <c r="PT370" s="10" t="n">
        <v>46336</v>
      </c>
      <c r="PV370" s="9" t="n">
        <v>0</v>
      </c>
      <c r="PX370" s="9" t="n">
        <v>0</v>
      </c>
      <c r="PY370" s="9" t="n">
        <v>13.96000000000004</v>
      </c>
      <c r="QC370" s="10" t="n">
        <v>46336</v>
      </c>
      <c r="QE370" s="9" t="n">
        <v>0</v>
      </c>
      <c r="QG370" s="9" t="n">
        <v>0</v>
      </c>
      <c r="QH370" s="9" t="n">
        <v>548</v>
      </c>
      <c r="QL370" s="10" t="n">
        <v>46336</v>
      </c>
      <c r="QN370" s="9" t="n">
        <v>0</v>
      </c>
      <c r="QP370" s="9" t="n">
        <v>0</v>
      </c>
      <c r="QQ370" s="9" t="n">
        <v>0</v>
      </c>
      <c r="QU370" s="10" t="n">
        <v>46336</v>
      </c>
      <c r="QW370" s="9" t="n">
        <v>0</v>
      </c>
      <c r="QY370" s="9" t="n">
        <v>0</v>
      </c>
      <c r="QZ370" s="9" t="n">
        <v>0</v>
      </c>
      <c r="RD370" s="10" t="n">
        <v>46336</v>
      </c>
      <c r="RF370" s="9" t="n">
        <v>0</v>
      </c>
      <c r="RH370" s="9" t="n">
        <v>0</v>
      </c>
      <c r="RI370" s="9" t="n">
        <v>147.04</v>
      </c>
      <c r="RM370" s="10" t="n">
        <v>46336</v>
      </c>
      <c r="RO370" s="9" t="n">
        <v>0</v>
      </c>
      <c r="RQ370" s="9" t="n">
        <v>0</v>
      </c>
      <c r="RR370" s="9" t="n">
        <v>46.8</v>
      </c>
      <c r="RV370" s="10" t="n">
        <v>46336</v>
      </c>
      <c r="RX370" s="9" t="n">
        <v>0</v>
      </c>
      <c r="RZ370" s="9" t="n">
        <v>0</v>
      </c>
      <c r="SA370" s="9" t="n">
        <v>0</v>
      </c>
      <c r="SE370" s="10" t="n">
        <v>46336</v>
      </c>
      <c r="SG370" s="9" t="n">
        <v>0</v>
      </c>
      <c r="SI370" s="9" t="n">
        <v>0</v>
      </c>
      <c r="SJ370" s="9" t="n">
        <v>24.2</v>
      </c>
      <c r="SN370" s="10" t="n">
        <v>46336</v>
      </c>
      <c r="SP370" s="9" t="n">
        <v>0</v>
      </c>
      <c r="SR370" s="9" t="n">
        <v>0</v>
      </c>
      <c r="SS370" s="9" t="n">
        <v>32</v>
      </c>
      <c r="SW370" s="10" t="n">
        <v>46336</v>
      </c>
      <c r="SY370" s="9" t="n">
        <v>0</v>
      </c>
      <c r="TA370" s="9" t="n">
        <v>0</v>
      </c>
      <c r="TB370" s="9" t="n">
        <v>0</v>
      </c>
      <c r="TF370" s="10" t="n">
        <v>46336</v>
      </c>
      <c r="TH370" s="9" t="n">
        <v>0</v>
      </c>
      <c r="TJ370" s="9" t="n">
        <v>0</v>
      </c>
      <c r="TK370" s="9" t="n">
        <v>0</v>
      </c>
      <c r="TO370" s="10" t="n">
        <v>46336</v>
      </c>
      <c r="TQ370" s="9" t="n">
        <v>0</v>
      </c>
      <c r="TS370" s="9" t="n">
        <v>0</v>
      </c>
      <c r="TT370" s="9" t="n">
        <v>0</v>
      </c>
      <c r="TX370" s="10" t="n">
        <v>46336</v>
      </c>
      <c r="TZ370" s="9" t="n">
        <v>0</v>
      </c>
      <c r="UB370" s="9" t="n">
        <v>0</v>
      </c>
      <c r="UC370" s="9" t="n">
        <v>46.79999999999998</v>
      </c>
      <c r="UG370" s="10" t="n">
        <v>46336</v>
      </c>
      <c r="UI370" s="9" t="n">
        <v>0</v>
      </c>
      <c r="UK370" s="9" t="n">
        <v>0</v>
      </c>
      <c r="UL370" s="9" t="n">
        <v>204</v>
      </c>
      <c r="UP370" s="10" t="n">
        <v>46336</v>
      </c>
      <c r="UR370" s="9" t="n">
        <v>0</v>
      </c>
      <c r="UT370" s="9" t="n">
        <v>0</v>
      </c>
      <c r="UU370" s="9" t="n">
        <v>202.5</v>
      </c>
      <c r="UY370" s="10" t="n">
        <v>46336</v>
      </c>
      <c r="VA370" s="9" t="n">
        <v>0</v>
      </c>
      <c r="VC370" s="9" t="n">
        <v>0</v>
      </c>
      <c r="VD370" s="9" t="n">
        <v>41.60000000000002</v>
      </c>
      <c r="VH370" s="10" t="n">
        <v>46336</v>
      </c>
      <c r="VJ370" s="9" t="n">
        <v>0</v>
      </c>
      <c r="VL370" s="9" t="n">
        <v>0</v>
      </c>
      <c r="VM370" s="9" t="n">
        <v>210</v>
      </c>
      <c r="VQ370" s="10" t="n">
        <v>46336</v>
      </c>
      <c r="VS370" s="9" t="n">
        <v>0</v>
      </c>
      <c r="VU370" s="9" t="n">
        <v>0</v>
      </c>
      <c r="VV370" s="9" t="n">
        <v>0</v>
      </c>
      <c r="VZ370" s="10" t="n">
        <v>46336</v>
      </c>
      <c r="WB370" s="9" t="n">
        <v>0</v>
      </c>
      <c r="WD370" s="9" t="n">
        <v>0</v>
      </c>
      <c r="WE370" s="9" t="n">
        <v>0</v>
      </c>
      <c r="WI370" s="10" t="n">
        <v>46336</v>
      </c>
      <c r="WK370" s="9" t="n">
        <v>0</v>
      </c>
      <c r="WM370" s="9" t="n">
        <v>0</v>
      </c>
      <c r="WN370" s="9" t="n">
        <v>1057</v>
      </c>
      <c r="WR370" s="10" t="n">
        <v>46336</v>
      </c>
      <c r="WT370" s="9" t="n">
        <v>0</v>
      </c>
      <c r="WV370" s="9" t="n">
        <v>0</v>
      </c>
      <c r="WW370" s="9" t="n">
        <v>0</v>
      </c>
      <c r="XA370" s="10" t="n">
        <v>46336</v>
      </c>
      <c r="XC370" s="9" t="n">
        <v>0</v>
      </c>
      <c r="XE370" s="9" t="n">
        <v>0</v>
      </c>
      <c r="XF370" s="9" t="n">
        <v>7507</v>
      </c>
      <c r="XJ370" s="10" t="n">
        <v>46336</v>
      </c>
      <c r="XL370" s="9" t="n">
        <v>0</v>
      </c>
      <c r="XN370" s="9" t="n">
        <v>0</v>
      </c>
      <c r="XO370" s="9" t="n">
        <v>4252</v>
      </c>
      <c r="XS370" s="10" t="n">
        <v>46336</v>
      </c>
      <c r="XU370" s="9" t="n">
        <v>0</v>
      </c>
      <c r="XW370" s="9" t="n">
        <v>0</v>
      </c>
      <c r="XX370" s="9" t="n">
        <v>2179</v>
      </c>
      <c r="YB370" s="10" t="n">
        <v>46336</v>
      </c>
      <c r="YD370" s="9" t="n">
        <v>0</v>
      </c>
      <c r="YF370" s="9" t="n">
        <v>0</v>
      </c>
      <c r="YG370" s="9" t="n">
        <v>4019</v>
      </c>
      <c r="YK370" s="10" t="n">
        <v>46336</v>
      </c>
      <c r="YM370" s="9" t="n">
        <v>0</v>
      </c>
      <c r="YO370" s="9" t="n">
        <v>0</v>
      </c>
      <c r="YP370" s="9" t="n">
        <v>-218</v>
      </c>
      <c r="YT370" s="10" t="n">
        <v>46336</v>
      </c>
      <c r="YV370" s="9" t="n">
        <v>0</v>
      </c>
      <c r="YX370" s="9" t="n">
        <v>0</v>
      </c>
      <c r="YY370" s="9" t="n">
        <v>0</v>
      </c>
      <c r="ZC370" s="10" t="n">
        <v>46336</v>
      </c>
      <c r="ZE370" s="9" t="n">
        <v>0</v>
      </c>
      <c r="ZG370" s="9" t="n">
        <v>0</v>
      </c>
      <c r="ZH370" s="9" t="n">
        <v>0</v>
      </c>
      <c r="ZL370" s="10" t="n">
        <v>46336</v>
      </c>
      <c r="ZN370" s="9" t="n">
        <v>0</v>
      </c>
      <c r="ZP370" s="9" t="n">
        <v>0</v>
      </c>
      <c r="ZQ370" s="9" t="n">
        <v>0</v>
      </c>
      <c r="ZU370" s="10" t="n">
        <v>46336</v>
      </c>
      <c r="ZW370" s="9" t="n">
        <v>0</v>
      </c>
      <c r="ZY370" s="9" t="n">
        <v>0</v>
      </c>
      <c r="ZZ370" s="9" t="n">
        <v>0</v>
      </c>
      <c r="AAD370" s="10" t="n">
        <v>46336</v>
      </c>
      <c r="AAF370" s="9" t="n">
        <v>0</v>
      </c>
      <c r="AAH370" s="9" t="n">
        <v>0</v>
      </c>
      <c r="AAI370" s="9" t="n">
        <v>0</v>
      </c>
      <c r="AAM370" s="10" t="n">
        <v>46336</v>
      </c>
      <c r="AAO370" s="9" t="n">
        <v>0</v>
      </c>
      <c r="AAQ370" s="9" t="n">
        <v>0</v>
      </c>
      <c r="AAR370" s="9" t="n">
        <v>0</v>
      </c>
      <c r="AAV370" s="10" t="n">
        <v>46336</v>
      </c>
      <c r="AAX370" s="9" t="n">
        <v>0</v>
      </c>
      <c r="AAZ370" s="9" t="n">
        <v>0</v>
      </c>
      <c r="ABA370" s="9" t="n">
        <v>0</v>
      </c>
      <c r="ABE370" s="10" t="n">
        <v>46336</v>
      </c>
      <c r="ABG370" s="9" t="n">
        <v>0</v>
      </c>
      <c r="ABI370" s="9" t="n">
        <v>0</v>
      </c>
      <c r="ABJ370" s="9" t="n">
        <v>0</v>
      </c>
    </row>
    <row r="371">
      <c r="C371" s="10" t="n">
        <v>46337</v>
      </c>
      <c r="E371" s="9" t="n">
        <v>0</v>
      </c>
      <c r="G371" s="9" t="n">
        <v>0</v>
      </c>
      <c r="H371" s="9" t="n">
        <v>236936.6</v>
      </c>
      <c r="L371" s="10" t="n">
        <v>46337</v>
      </c>
      <c r="N371" s="9" t="n">
        <v>0</v>
      </c>
      <c r="P371" s="9" t="n">
        <v>0</v>
      </c>
      <c r="Q371" s="9" t="n">
        <v>53017.60000000007</v>
      </c>
      <c r="U371" s="10" t="n">
        <v>46337</v>
      </c>
      <c r="W371" s="9" t="n">
        <v>0</v>
      </c>
      <c r="Y371" s="9" t="n">
        <v>0</v>
      </c>
      <c r="Z371" s="9" t="n">
        <v>42674.19999999997</v>
      </c>
      <c r="AD371" s="10" t="n">
        <v>46337</v>
      </c>
      <c r="AF371" s="9" t="n">
        <v>0</v>
      </c>
      <c r="AH371" s="9" t="n">
        <v>0</v>
      </c>
      <c r="AI371" s="9" t="n">
        <v>4522.200000000019</v>
      </c>
      <c r="AM371" s="10" t="n">
        <v>46337</v>
      </c>
      <c r="AO371" s="9" t="n">
        <v>0</v>
      </c>
      <c r="AQ371" s="9" t="n">
        <v>0</v>
      </c>
      <c r="AR371" s="9" t="n">
        <v>0</v>
      </c>
      <c r="AV371" s="10" t="n">
        <v>46337</v>
      </c>
      <c r="AX371" s="9" t="n">
        <v>0</v>
      </c>
      <c r="AZ371" s="9" t="n">
        <v>0</v>
      </c>
      <c r="BA371" s="9" t="n">
        <v>124.9999999999952</v>
      </c>
      <c r="BE371" s="10" t="n">
        <v>46337</v>
      </c>
      <c r="BG371" s="9" t="n">
        <v>0</v>
      </c>
      <c r="BI371" s="9" t="n">
        <v>0</v>
      </c>
      <c r="BJ371" s="9" t="n">
        <v>26151.9</v>
      </c>
      <c r="BN371" s="10" t="n">
        <v>46337</v>
      </c>
      <c r="BP371" s="9" t="n">
        <v>0</v>
      </c>
      <c r="BR371" s="9" t="n">
        <v>0</v>
      </c>
      <c r="BS371" s="9" t="n">
        <v>0</v>
      </c>
      <c r="BW371" s="10" t="n">
        <v>46337</v>
      </c>
      <c r="BY371" s="9" t="n">
        <v>0</v>
      </c>
      <c r="CA371" s="9" t="n">
        <v>0</v>
      </c>
      <c r="CB371" s="9" t="n">
        <v>2097.339999999999</v>
      </c>
      <c r="CF371" s="10" t="n">
        <v>46337</v>
      </c>
      <c r="CH371" s="9" t="n">
        <v>0</v>
      </c>
      <c r="CJ371" s="9" t="n">
        <v>0</v>
      </c>
      <c r="CK371" s="9" t="n">
        <v>-10277.08</v>
      </c>
      <c r="CO371" s="10" t="n">
        <v>46337</v>
      </c>
      <c r="CQ371" s="9" t="n">
        <v>0</v>
      </c>
      <c r="CS371" s="9" t="n">
        <v>0</v>
      </c>
      <c r="CT371" s="9" t="n">
        <v>0</v>
      </c>
      <c r="CX371" s="10" t="n">
        <v>46337</v>
      </c>
      <c r="CZ371" s="9" t="n">
        <v>0</v>
      </c>
      <c r="DB371" s="9" t="n">
        <v>0</v>
      </c>
      <c r="DC371" s="9" t="n">
        <v>27438.20000000001</v>
      </c>
      <c r="DG371" s="10" t="n">
        <v>46337</v>
      </c>
      <c r="DI371" s="9" t="n">
        <v>0</v>
      </c>
      <c r="DK371" s="9" t="n">
        <v>0</v>
      </c>
      <c r="DL371" s="9" t="n">
        <v>18782.29999999998</v>
      </c>
      <c r="DP371" s="10" t="n">
        <v>46337</v>
      </c>
      <c r="DR371" s="9" t="n">
        <v>0</v>
      </c>
      <c r="DT371" s="9" t="n">
        <v>0</v>
      </c>
      <c r="DU371" s="9" t="n">
        <v>5800</v>
      </c>
      <c r="DY371" s="10" t="n">
        <v>46337</v>
      </c>
      <c r="EA371" s="9" t="n">
        <v>0</v>
      </c>
      <c r="EC371" s="9" t="n">
        <v>0</v>
      </c>
      <c r="ED371" s="9" t="n">
        <v>0</v>
      </c>
      <c r="EH371" s="10" t="n">
        <v>46337</v>
      </c>
      <c r="EJ371" s="9" t="n">
        <v>0</v>
      </c>
      <c r="EL371" s="9" t="n">
        <v>0</v>
      </c>
      <c r="EM371" s="9" t="n">
        <v>0</v>
      </c>
      <c r="EQ371" s="10" t="n">
        <v>46337</v>
      </c>
      <c r="ES371" s="9" t="n">
        <v>0</v>
      </c>
      <c r="EU371" s="9" t="n">
        <v>0</v>
      </c>
      <c r="EV371" s="9" t="n">
        <v>0</v>
      </c>
      <c r="EZ371" s="10" t="n">
        <v>46337</v>
      </c>
      <c r="FB371" s="9" t="n">
        <v>0</v>
      </c>
      <c r="FD371" s="9" t="n">
        <v>0</v>
      </c>
      <c r="FE371" s="9" t="n">
        <v>0</v>
      </c>
      <c r="FI371" s="10" t="n">
        <v>46337</v>
      </c>
      <c r="FK371" s="9" t="n">
        <v>0</v>
      </c>
      <c r="FM371" s="9" t="n">
        <v>0</v>
      </c>
      <c r="FN371" s="9" t="n">
        <v>0</v>
      </c>
      <c r="FR371" s="10" t="n">
        <v>46337</v>
      </c>
      <c r="FT371" s="9" t="n">
        <v>0</v>
      </c>
      <c r="FV371" s="9" t="n">
        <v>0</v>
      </c>
      <c r="FW371" s="9" t="n">
        <v>2020</v>
      </c>
      <c r="GA371" s="10" t="n">
        <v>46337</v>
      </c>
      <c r="GC371" s="9" t="n">
        <v>0</v>
      </c>
      <c r="GE371" s="9" t="n">
        <v>0</v>
      </c>
      <c r="GF371" s="9" t="n">
        <v>960</v>
      </c>
      <c r="GJ371" s="10" t="n">
        <v>46337</v>
      </c>
      <c r="GL371" s="9" t="n">
        <v>0</v>
      </c>
      <c r="GN371" s="9" t="n">
        <v>0</v>
      </c>
      <c r="GO371" s="9" t="n">
        <v>1760</v>
      </c>
      <c r="GS371" s="10" t="n">
        <v>46337</v>
      </c>
      <c r="GU371" s="9" t="n">
        <v>0</v>
      </c>
      <c r="GW371" s="9" t="n">
        <v>0</v>
      </c>
      <c r="GX371" s="9" t="n">
        <v>400</v>
      </c>
      <c r="HB371" s="10" t="n">
        <v>46337</v>
      </c>
      <c r="HD371" s="9" t="n">
        <v>0</v>
      </c>
      <c r="HF371" s="9" t="n">
        <v>0</v>
      </c>
      <c r="HG371" s="9" t="n">
        <v>3600</v>
      </c>
      <c r="HK371" s="10" t="n">
        <v>46337</v>
      </c>
      <c r="HM371" s="9" t="n">
        <v>0</v>
      </c>
      <c r="HO371" s="9" t="n">
        <v>0</v>
      </c>
      <c r="HP371" s="9" t="n">
        <v>0</v>
      </c>
      <c r="HU371" s="10" t="n">
        <v>46337</v>
      </c>
      <c r="HW371" s="9" t="n">
        <v>0</v>
      </c>
      <c r="HY371" s="9" t="n">
        <v>0</v>
      </c>
      <c r="HZ371" s="9" t="n">
        <v>6120</v>
      </c>
      <c r="ID371" s="10" t="n">
        <v>46337</v>
      </c>
      <c r="IF371" s="9" t="n">
        <v>0</v>
      </c>
      <c r="IH371" s="9" t="n">
        <v>0</v>
      </c>
      <c r="II371" s="9" t="n">
        <v>0</v>
      </c>
      <c r="IM371" s="10" t="n">
        <v>46337</v>
      </c>
      <c r="IO371" s="9" t="n">
        <v>0</v>
      </c>
      <c r="IQ371" s="9" t="n">
        <v>0</v>
      </c>
      <c r="IR371" s="9" t="n">
        <v>0</v>
      </c>
      <c r="IV371" s="10" t="n">
        <v>46337</v>
      </c>
      <c r="IX371" s="9" t="n">
        <v>0</v>
      </c>
      <c r="IZ371" s="9" t="n">
        <v>0</v>
      </c>
      <c r="JA371" s="9" t="n">
        <v>2820</v>
      </c>
      <c r="JE371" s="10" t="n">
        <v>46337</v>
      </c>
      <c r="JG371" s="9" t="n">
        <v>0</v>
      </c>
      <c r="JI371" s="9" t="n">
        <v>0</v>
      </c>
      <c r="JJ371" s="9" t="n">
        <v>0</v>
      </c>
      <c r="JN371" s="10" t="n">
        <v>46337</v>
      </c>
      <c r="JP371" s="9" t="n">
        <v>0</v>
      </c>
      <c r="JR371" s="9" t="n">
        <v>0</v>
      </c>
      <c r="JS371" s="9" t="n">
        <v>0</v>
      </c>
      <c r="JW371" s="10" t="n">
        <v>46337</v>
      </c>
      <c r="JY371" s="9" t="n">
        <v>0</v>
      </c>
      <c r="KA371" s="9" t="n">
        <v>0</v>
      </c>
      <c r="KB371" s="9" t="n">
        <v>2540</v>
      </c>
      <c r="KF371" s="10" t="n">
        <v>46337</v>
      </c>
      <c r="KH371" s="9" t="n">
        <v>0</v>
      </c>
      <c r="KJ371" s="9" t="n">
        <v>0</v>
      </c>
      <c r="KK371" s="9" t="n">
        <v>2359.5</v>
      </c>
      <c r="KO371" s="10" t="n">
        <v>46337</v>
      </c>
      <c r="KQ371" s="9" t="n">
        <v>0</v>
      </c>
      <c r="KS371" s="9" t="n">
        <v>0</v>
      </c>
      <c r="KT371" s="9" t="n">
        <v>1890</v>
      </c>
      <c r="KX371" s="10" t="n">
        <v>46337</v>
      </c>
      <c r="KZ371" s="9" t="n">
        <v>0</v>
      </c>
      <c r="LB371" s="9" t="n">
        <v>0</v>
      </c>
      <c r="LC371" s="9" t="n">
        <v>3690</v>
      </c>
      <c r="LG371" s="10" t="n">
        <v>46337</v>
      </c>
      <c r="LI371" s="9" t="n">
        <v>0</v>
      </c>
      <c r="LK371" s="9" t="n">
        <v>0</v>
      </c>
      <c r="LL371" s="9" t="n">
        <v>4000</v>
      </c>
      <c r="LP371" s="10" t="n">
        <v>46337</v>
      </c>
      <c r="LR371" s="9" t="n">
        <v>0</v>
      </c>
      <c r="LT371" s="9" t="n">
        <v>0</v>
      </c>
      <c r="LU371" s="9" t="n">
        <v>0</v>
      </c>
      <c r="LY371" s="10" t="n">
        <v>46337</v>
      </c>
      <c r="MA371" s="9" t="n">
        <v>0</v>
      </c>
      <c r="MC371" s="9" t="n">
        <v>0</v>
      </c>
      <c r="MD371" s="9" t="n">
        <v>0</v>
      </c>
      <c r="MH371" s="10" t="n">
        <v>46337</v>
      </c>
      <c r="MJ371" s="9" t="n">
        <v>0</v>
      </c>
      <c r="ML371" s="9" t="n">
        <v>0</v>
      </c>
      <c r="MM371" s="9" t="n">
        <v>0</v>
      </c>
      <c r="MQ371" s="10" t="n">
        <v>46337</v>
      </c>
      <c r="MS371" s="9" t="n">
        <v>0</v>
      </c>
      <c r="MU371" s="9" t="n">
        <v>0</v>
      </c>
      <c r="MV371" s="9" t="n">
        <v>1625</v>
      </c>
      <c r="MZ371" s="10" t="n">
        <v>46337</v>
      </c>
      <c r="NB371" s="9" t="n">
        <v>0</v>
      </c>
      <c r="ND371" s="9" t="n">
        <v>0</v>
      </c>
      <c r="NE371" s="9" t="n">
        <v>0</v>
      </c>
      <c r="NI371" s="10" t="n">
        <v>46337</v>
      </c>
      <c r="NK371" s="9" t="n">
        <v>0</v>
      </c>
      <c r="NM371" s="9" t="n">
        <v>0</v>
      </c>
      <c r="NN371" s="9" t="n">
        <v>1127</v>
      </c>
      <c r="NR371" s="10" t="n">
        <v>46337</v>
      </c>
      <c r="NT371" s="9" t="n">
        <v>0</v>
      </c>
      <c r="NV371" s="9" t="n">
        <v>0</v>
      </c>
      <c r="NW371" s="9" t="n">
        <v>3112</v>
      </c>
      <c r="OA371" s="10" t="n">
        <v>46337</v>
      </c>
      <c r="OC371" s="9" t="n">
        <v>0</v>
      </c>
      <c r="OE371" s="9" t="n">
        <v>0</v>
      </c>
      <c r="OF371" s="9" t="n">
        <v>1680.5</v>
      </c>
      <c r="OJ371" s="10" t="n">
        <v>46337</v>
      </c>
      <c r="OL371" s="9" t="n">
        <v>0</v>
      </c>
      <c r="ON371" s="9" t="n">
        <v>0</v>
      </c>
      <c r="OO371" s="9" t="n">
        <v>0</v>
      </c>
      <c r="OS371" s="10" t="n">
        <v>46337</v>
      </c>
      <c r="OU371" s="9" t="n">
        <v>0</v>
      </c>
      <c r="OW371" s="9" t="n">
        <v>0</v>
      </c>
      <c r="OX371" s="9" t="n">
        <v>1482</v>
      </c>
      <c r="PB371" s="10" t="n">
        <v>46337</v>
      </c>
      <c r="PD371" s="9" t="n">
        <v>0</v>
      </c>
      <c r="PF371" s="9" t="n">
        <v>0</v>
      </c>
      <c r="PG371" s="9" t="n">
        <v>0</v>
      </c>
      <c r="PK371" s="10" t="n">
        <v>46337</v>
      </c>
      <c r="PM371" s="9" t="n">
        <v>0</v>
      </c>
      <c r="PO371" s="9" t="n">
        <v>0</v>
      </c>
      <c r="PP371" s="9" t="n">
        <v>100</v>
      </c>
      <c r="PT371" s="10" t="n">
        <v>46337</v>
      </c>
      <c r="PV371" s="9" t="n">
        <v>0</v>
      </c>
      <c r="PX371" s="9" t="n">
        <v>0</v>
      </c>
      <c r="PY371" s="9" t="n">
        <v>13.96000000000004</v>
      </c>
      <c r="QC371" s="10" t="n">
        <v>46337</v>
      </c>
      <c r="QE371" s="9" t="n">
        <v>0</v>
      </c>
      <c r="QG371" s="9" t="n">
        <v>0</v>
      </c>
      <c r="QH371" s="9" t="n">
        <v>548</v>
      </c>
      <c r="QL371" s="10" t="n">
        <v>46337</v>
      </c>
      <c r="QN371" s="9" t="n">
        <v>0</v>
      </c>
      <c r="QP371" s="9" t="n">
        <v>0</v>
      </c>
      <c r="QQ371" s="9" t="n">
        <v>0</v>
      </c>
      <c r="QU371" s="10" t="n">
        <v>46337</v>
      </c>
      <c r="QW371" s="9" t="n">
        <v>0</v>
      </c>
      <c r="QY371" s="9" t="n">
        <v>0</v>
      </c>
      <c r="QZ371" s="9" t="n">
        <v>0</v>
      </c>
      <c r="RD371" s="10" t="n">
        <v>46337</v>
      </c>
      <c r="RF371" s="9" t="n">
        <v>0</v>
      </c>
      <c r="RH371" s="9" t="n">
        <v>0</v>
      </c>
      <c r="RI371" s="9" t="n">
        <v>147.04</v>
      </c>
      <c r="RM371" s="10" t="n">
        <v>46337</v>
      </c>
      <c r="RO371" s="9" t="n">
        <v>0</v>
      </c>
      <c r="RQ371" s="9" t="n">
        <v>0</v>
      </c>
      <c r="RR371" s="9" t="n">
        <v>46.8</v>
      </c>
      <c r="RV371" s="10" t="n">
        <v>46337</v>
      </c>
      <c r="RX371" s="9" t="n">
        <v>0</v>
      </c>
      <c r="RZ371" s="9" t="n">
        <v>0</v>
      </c>
      <c r="SA371" s="9" t="n">
        <v>0</v>
      </c>
      <c r="SE371" s="10" t="n">
        <v>46337</v>
      </c>
      <c r="SG371" s="9" t="n">
        <v>0</v>
      </c>
      <c r="SI371" s="9" t="n">
        <v>0</v>
      </c>
      <c r="SJ371" s="9" t="n">
        <v>24.2</v>
      </c>
      <c r="SN371" s="10" t="n">
        <v>46337</v>
      </c>
      <c r="SP371" s="9" t="n">
        <v>0</v>
      </c>
      <c r="SR371" s="9" t="n">
        <v>0</v>
      </c>
      <c r="SS371" s="9" t="n">
        <v>32</v>
      </c>
      <c r="SW371" s="10" t="n">
        <v>46337</v>
      </c>
      <c r="SY371" s="9" t="n">
        <v>0</v>
      </c>
      <c r="TA371" s="9" t="n">
        <v>0</v>
      </c>
      <c r="TB371" s="9" t="n">
        <v>0</v>
      </c>
      <c r="TF371" s="10" t="n">
        <v>46337</v>
      </c>
      <c r="TH371" s="9" t="n">
        <v>0</v>
      </c>
      <c r="TJ371" s="9" t="n">
        <v>0</v>
      </c>
      <c r="TK371" s="9" t="n">
        <v>0</v>
      </c>
      <c r="TO371" s="10" t="n">
        <v>46337</v>
      </c>
      <c r="TQ371" s="9" t="n">
        <v>0</v>
      </c>
      <c r="TS371" s="9" t="n">
        <v>0</v>
      </c>
      <c r="TT371" s="9" t="n">
        <v>0</v>
      </c>
      <c r="TX371" s="10" t="n">
        <v>46337</v>
      </c>
      <c r="TZ371" s="9" t="n">
        <v>0</v>
      </c>
      <c r="UB371" s="9" t="n">
        <v>0</v>
      </c>
      <c r="UC371" s="9" t="n">
        <v>46.79999999999998</v>
      </c>
      <c r="UG371" s="10" t="n">
        <v>46337</v>
      </c>
      <c r="UI371" s="9" t="n">
        <v>0</v>
      </c>
      <c r="UK371" s="9" t="n">
        <v>0</v>
      </c>
      <c r="UL371" s="9" t="n">
        <v>204</v>
      </c>
      <c r="UP371" s="10" t="n">
        <v>46337</v>
      </c>
      <c r="UR371" s="9" t="n">
        <v>0</v>
      </c>
      <c r="UT371" s="9" t="n">
        <v>0</v>
      </c>
      <c r="UU371" s="9" t="n">
        <v>202.5</v>
      </c>
      <c r="UY371" s="10" t="n">
        <v>46337</v>
      </c>
      <c r="VA371" s="9" t="n">
        <v>0</v>
      </c>
      <c r="VC371" s="9" t="n">
        <v>0</v>
      </c>
      <c r="VD371" s="9" t="n">
        <v>41.60000000000002</v>
      </c>
      <c r="VH371" s="10" t="n">
        <v>46337</v>
      </c>
      <c r="VJ371" s="9" t="n">
        <v>0</v>
      </c>
      <c r="VL371" s="9" t="n">
        <v>0</v>
      </c>
      <c r="VM371" s="9" t="n">
        <v>210</v>
      </c>
      <c r="VQ371" s="10" t="n">
        <v>46337</v>
      </c>
      <c r="VS371" s="9" t="n">
        <v>0</v>
      </c>
      <c r="VU371" s="9" t="n">
        <v>0</v>
      </c>
      <c r="VV371" s="9" t="n">
        <v>0</v>
      </c>
      <c r="VZ371" s="10" t="n">
        <v>46337</v>
      </c>
      <c r="WB371" s="9" t="n">
        <v>0</v>
      </c>
      <c r="WD371" s="9" t="n">
        <v>0</v>
      </c>
      <c r="WE371" s="9" t="n">
        <v>0</v>
      </c>
      <c r="WI371" s="10" t="n">
        <v>46337</v>
      </c>
      <c r="WK371" s="9" t="n">
        <v>0</v>
      </c>
      <c r="WM371" s="9" t="n">
        <v>0</v>
      </c>
      <c r="WN371" s="9" t="n">
        <v>1057</v>
      </c>
      <c r="WR371" s="10" t="n">
        <v>46337</v>
      </c>
      <c r="WT371" s="9" t="n">
        <v>0</v>
      </c>
      <c r="WV371" s="9" t="n">
        <v>0</v>
      </c>
      <c r="WW371" s="9" t="n">
        <v>0</v>
      </c>
      <c r="XA371" s="10" t="n">
        <v>46337</v>
      </c>
      <c r="XC371" s="9" t="n">
        <v>0</v>
      </c>
      <c r="XE371" s="9" t="n">
        <v>0</v>
      </c>
      <c r="XF371" s="9" t="n">
        <v>7507</v>
      </c>
      <c r="XJ371" s="10" t="n">
        <v>46337</v>
      </c>
      <c r="XL371" s="9" t="n">
        <v>0</v>
      </c>
      <c r="XN371" s="9" t="n">
        <v>0</v>
      </c>
      <c r="XO371" s="9" t="n">
        <v>4252</v>
      </c>
      <c r="XS371" s="10" t="n">
        <v>46337</v>
      </c>
      <c r="XU371" s="9" t="n">
        <v>0</v>
      </c>
      <c r="XW371" s="9" t="n">
        <v>0</v>
      </c>
      <c r="XX371" s="9" t="n">
        <v>2179</v>
      </c>
      <c r="YB371" s="10" t="n">
        <v>46337</v>
      </c>
      <c r="YD371" s="9" t="n">
        <v>0</v>
      </c>
      <c r="YF371" s="9" t="n">
        <v>0</v>
      </c>
      <c r="YG371" s="9" t="n">
        <v>4019</v>
      </c>
      <c r="YK371" s="10" t="n">
        <v>46337</v>
      </c>
      <c r="YM371" s="9" t="n">
        <v>0</v>
      </c>
      <c r="YO371" s="9" t="n">
        <v>0</v>
      </c>
      <c r="YP371" s="9" t="n">
        <v>-218</v>
      </c>
      <c r="YT371" s="10" t="n">
        <v>46337</v>
      </c>
      <c r="YV371" s="9" t="n">
        <v>0</v>
      </c>
      <c r="YX371" s="9" t="n">
        <v>0</v>
      </c>
      <c r="YY371" s="9" t="n">
        <v>0</v>
      </c>
      <c r="ZC371" s="10" t="n">
        <v>46337</v>
      </c>
      <c r="ZE371" s="9" t="n">
        <v>0</v>
      </c>
      <c r="ZG371" s="9" t="n">
        <v>0</v>
      </c>
      <c r="ZH371" s="9" t="n">
        <v>0</v>
      </c>
      <c r="ZL371" s="10" t="n">
        <v>46337</v>
      </c>
      <c r="ZN371" s="9" t="n">
        <v>0</v>
      </c>
      <c r="ZP371" s="9" t="n">
        <v>0</v>
      </c>
      <c r="ZQ371" s="9" t="n">
        <v>0</v>
      </c>
      <c r="ZU371" s="10" t="n">
        <v>46337</v>
      </c>
      <c r="ZW371" s="9" t="n">
        <v>0</v>
      </c>
      <c r="ZY371" s="9" t="n">
        <v>0</v>
      </c>
      <c r="ZZ371" s="9" t="n">
        <v>0</v>
      </c>
      <c r="AAD371" s="10" t="n">
        <v>46337</v>
      </c>
      <c r="AAF371" s="9" t="n">
        <v>0</v>
      </c>
      <c r="AAH371" s="9" t="n">
        <v>0</v>
      </c>
      <c r="AAI371" s="9" t="n">
        <v>0</v>
      </c>
      <c r="AAM371" s="10" t="n">
        <v>46337</v>
      </c>
      <c r="AAO371" s="9" t="n">
        <v>0</v>
      </c>
      <c r="AAQ371" s="9" t="n">
        <v>0</v>
      </c>
      <c r="AAR371" s="9" t="n">
        <v>0</v>
      </c>
      <c r="AAV371" s="10" t="n">
        <v>46337</v>
      </c>
      <c r="AAX371" s="9" t="n">
        <v>0</v>
      </c>
      <c r="AAZ371" s="9" t="n">
        <v>0</v>
      </c>
      <c r="ABA371" s="9" t="n">
        <v>0</v>
      </c>
      <c r="ABE371" s="10" t="n">
        <v>46337</v>
      </c>
      <c r="ABG371" s="9" t="n">
        <v>0</v>
      </c>
      <c r="ABI371" s="9" t="n">
        <v>0</v>
      </c>
      <c r="ABJ371" s="9" t="n">
        <v>0</v>
      </c>
    </row>
    <row r="372">
      <c r="C372" s="10" t="n">
        <v>46338</v>
      </c>
      <c r="E372" s="9" t="n">
        <v>0</v>
      </c>
      <c r="G372" s="9" t="n">
        <v>0</v>
      </c>
      <c r="H372" s="9" t="n">
        <v>236936.6</v>
      </c>
      <c r="L372" s="10" t="n">
        <v>46338</v>
      </c>
      <c r="N372" s="9" t="n">
        <v>0</v>
      </c>
      <c r="P372" s="9" t="n">
        <v>0</v>
      </c>
      <c r="Q372" s="9" t="n">
        <v>53017.60000000007</v>
      </c>
      <c r="U372" s="10" t="n">
        <v>46338</v>
      </c>
      <c r="W372" s="9" t="n">
        <v>0</v>
      </c>
      <c r="Y372" s="9" t="n">
        <v>0</v>
      </c>
      <c r="Z372" s="9" t="n">
        <v>42674.19999999997</v>
      </c>
      <c r="AD372" s="10" t="n">
        <v>46338</v>
      </c>
      <c r="AF372" s="9" t="n">
        <v>0</v>
      </c>
      <c r="AH372" s="9" t="n">
        <v>0</v>
      </c>
      <c r="AI372" s="9" t="n">
        <v>4522.200000000019</v>
      </c>
      <c r="AM372" s="10" t="n">
        <v>46338</v>
      </c>
      <c r="AO372" s="9" t="n">
        <v>0</v>
      </c>
      <c r="AQ372" s="9" t="n">
        <v>0</v>
      </c>
      <c r="AR372" s="9" t="n">
        <v>0</v>
      </c>
      <c r="AV372" s="10" t="n">
        <v>46338</v>
      </c>
      <c r="AX372" s="9" t="n">
        <v>0</v>
      </c>
      <c r="AZ372" s="9" t="n">
        <v>0</v>
      </c>
      <c r="BA372" s="9" t="n">
        <v>124.9999999999952</v>
      </c>
      <c r="BE372" s="10" t="n">
        <v>46338</v>
      </c>
      <c r="BG372" s="9" t="n">
        <v>0</v>
      </c>
      <c r="BI372" s="9" t="n">
        <v>0</v>
      </c>
      <c r="BJ372" s="9" t="n">
        <v>26151.9</v>
      </c>
      <c r="BN372" s="10" t="n">
        <v>46338</v>
      </c>
      <c r="BP372" s="9" t="n">
        <v>0</v>
      </c>
      <c r="BR372" s="9" t="n">
        <v>0</v>
      </c>
      <c r="BS372" s="9" t="n">
        <v>0</v>
      </c>
      <c r="BW372" s="10" t="n">
        <v>46338</v>
      </c>
      <c r="BY372" s="9" t="n">
        <v>0</v>
      </c>
      <c r="CA372" s="9" t="n">
        <v>0</v>
      </c>
      <c r="CB372" s="9" t="n">
        <v>2097.339999999999</v>
      </c>
      <c r="CF372" s="10" t="n">
        <v>46338</v>
      </c>
      <c r="CH372" s="9" t="n">
        <v>0</v>
      </c>
      <c r="CJ372" s="9" t="n">
        <v>0</v>
      </c>
      <c r="CK372" s="9" t="n">
        <v>-10277.08</v>
      </c>
      <c r="CO372" s="10" t="n">
        <v>46338</v>
      </c>
      <c r="CQ372" s="9" t="n">
        <v>0</v>
      </c>
      <c r="CS372" s="9" t="n">
        <v>0</v>
      </c>
      <c r="CT372" s="9" t="n">
        <v>0</v>
      </c>
      <c r="CX372" s="10" t="n">
        <v>46338</v>
      </c>
      <c r="CZ372" s="9" t="n">
        <v>0</v>
      </c>
      <c r="DB372" s="9" t="n">
        <v>0</v>
      </c>
      <c r="DC372" s="9" t="n">
        <v>27438.20000000001</v>
      </c>
      <c r="DG372" s="10" t="n">
        <v>46338</v>
      </c>
      <c r="DI372" s="9" t="n">
        <v>0</v>
      </c>
      <c r="DK372" s="9" t="n">
        <v>0</v>
      </c>
      <c r="DL372" s="9" t="n">
        <v>18782.29999999998</v>
      </c>
      <c r="DP372" s="10" t="n">
        <v>46338</v>
      </c>
      <c r="DR372" s="9" t="n">
        <v>0</v>
      </c>
      <c r="DT372" s="9" t="n">
        <v>0</v>
      </c>
      <c r="DU372" s="9" t="n">
        <v>5800</v>
      </c>
      <c r="DY372" s="10" t="n">
        <v>46338</v>
      </c>
      <c r="EA372" s="9" t="n">
        <v>0</v>
      </c>
      <c r="EC372" s="9" t="n">
        <v>0</v>
      </c>
      <c r="ED372" s="9" t="n">
        <v>0</v>
      </c>
      <c r="EH372" s="10" t="n">
        <v>46338</v>
      </c>
      <c r="EJ372" s="9" t="n">
        <v>0</v>
      </c>
      <c r="EL372" s="9" t="n">
        <v>0</v>
      </c>
      <c r="EM372" s="9" t="n">
        <v>0</v>
      </c>
      <c r="EQ372" s="10" t="n">
        <v>46338</v>
      </c>
      <c r="ES372" s="9" t="n">
        <v>0</v>
      </c>
      <c r="EU372" s="9" t="n">
        <v>0</v>
      </c>
      <c r="EV372" s="9" t="n">
        <v>0</v>
      </c>
      <c r="EZ372" s="10" t="n">
        <v>46338</v>
      </c>
      <c r="FB372" s="9" t="n">
        <v>0</v>
      </c>
      <c r="FD372" s="9" t="n">
        <v>0</v>
      </c>
      <c r="FE372" s="9" t="n">
        <v>0</v>
      </c>
      <c r="FI372" s="10" t="n">
        <v>46338</v>
      </c>
      <c r="FK372" s="9" t="n">
        <v>0</v>
      </c>
      <c r="FM372" s="9" t="n">
        <v>0</v>
      </c>
      <c r="FN372" s="9" t="n">
        <v>0</v>
      </c>
      <c r="FR372" s="10" t="n">
        <v>46338</v>
      </c>
      <c r="FT372" s="9" t="n">
        <v>0</v>
      </c>
      <c r="FV372" s="9" t="n">
        <v>0</v>
      </c>
      <c r="FW372" s="9" t="n">
        <v>2020</v>
      </c>
      <c r="GA372" s="10" t="n">
        <v>46338</v>
      </c>
      <c r="GC372" s="9" t="n">
        <v>0</v>
      </c>
      <c r="GE372" s="9" t="n">
        <v>0</v>
      </c>
      <c r="GF372" s="9" t="n">
        <v>960</v>
      </c>
      <c r="GJ372" s="10" t="n">
        <v>46338</v>
      </c>
      <c r="GL372" s="9" t="n">
        <v>0</v>
      </c>
      <c r="GN372" s="9" t="n">
        <v>0</v>
      </c>
      <c r="GO372" s="9" t="n">
        <v>1760</v>
      </c>
      <c r="GS372" s="10" t="n">
        <v>46338</v>
      </c>
      <c r="GU372" s="9" t="n">
        <v>0</v>
      </c>
      <c r="GW372" s="9" t="n">
        <v>0</v>
      </c>
      <c r="GX372" s="9" t="n">
        <v>400</v>
      </c>
      <c r="HB372" s="10" t="n">
        <v>46338</v>
      </c>
      <c r="HD372" s="9" t="n">
        <v>0</v>
      </c>
      <c r="HF372" s="9" t="n">
        <v>0</v>
      </c>
      <c r="HG372" s="9" t="n">
        <v>3600</v>
      </c>
      <c r="HK372" s="10" t="n">
        <v>46338</v>
      </c>
      <c r="HM372" s="9" t="n">
        <v>0</v>
      </c>
      <c r="HO372" s="9" t="n">
        <v>0</v>
      </c>
      <c r="HP372" s="9" t="n">
        <v>0</v>
      </c>
      <c r="HU372" s="10" t="n">
        <v>46338</v>
      </c>
      <c r="HW372" s="9" t="n">
        <v>0</v>
      </c>
      <c r="HY372" s="9" t="n">
        <v>0</v>
      </c>
      <c r="HZ372" s="9" t="n">
        <v>6120</v>
      </c>
      <c r="ID372" s="10" t="n">
        <v>46338</v>
      </c>
      <c r="IF372" s="9" t="n">
        <v>0</v>
      </c>
      <c r="IH372" s="9" t="n">
        <v>0</v>
      </c>
      <c r="II372" s="9" t="n">
        <v>0</v>
      </c>
      <c r="IM372" s="10" t="n">
        <v>46338</v>
      </c>
      <c r="IO372" s="9" t="n">
        <v>0</v>
      </c>
      <c r="IQ372" s="9" t="n">
        <v>0</v>
      </c>
      <c r="IR372" s="9" t="n">
        <v>0</v>
      </c>
      <c r="IV372" s="10" t="n">
        <v>46338</v>
      </c>
      <c r="IX372" s="9" t="n">
        <v>0</v>
      </c>
      <c r="IZ372" s="9" t="n">
        <v>0</v>
      </c>
      <c r="JA372" s="9" t="n">
        <v>2820</v>
      </c>
      <c r="JE372" s="10" t="n">
        <v>46338</v>
      </c>
      <c r="JG372" s="9" t="n">
        <v>0</v>
      </c>
      <c r="JI372" s="9" t="n">
        <v>0</v>
      </c>
      <c r="JJ372" s="9" t="n">
        <v>0</v>
      </c>
      <c r="JN372" s="10" t="n">
        <v>46338</v>
      </c>
      <c r="JP372" s="9" t="n">
        <v>0</v>
      </c>
      <c r="JR372" s="9" t="n">
        <v>0</v>
      </c>
      <c r="JS372" s="9" t="n">
        <v>0</v>
      </c>
      <c r="JW372" s="10" t="n">
        <v>46338</v>
      </c>
      <c r="JY372" s="9" t="n">
        <v>0</v>
      </c>
      <c r="KA372" s="9" t="n">
        <v>0</v>
      </c>
      <c r="KB372" s="9" t="n">
        <v>2540</v>
      </c>
      <c r="KF372" s="10" t="n">
        <v>46338</v>
      </c>
      <c r="KH372" s="9" t="n">
        <v>0</v>
      </c>
      <c r="KJ372" s="9" t="n">
        <v>0</v>
      </c>
      <c r="KK372" s="9" t="n">
        <v>2359.5</v>
      </c>
      <c r="KO372" s="10" t="n">
        <v>46338</v>
      </c>
      <c r="KQ372" s="9" t="n">
        <v>0</v>
      </c>
      <c r="KS372" s="9" t="n">
        <v>0</v>
      </c>
      <c r="KT372" s="9" t="n">
        <v>1890</v>
      </c>
      <c r="KX372" s="10" t="n">
        <v>46338</v>
      </c>
      <c r="KZ372" s="9" t="n">
        <v>0</v>
      </c>
      <c r="LB372" s="9" t="n">
        <v>0</v>
      </c>
      <c r="LC372" s="9" t="n">
        <v>3690</v>
      </c>
      <c r="LG372" s="10" t="n">
        <v>46338</v>
      </c>
      <c r="LI372" s="9" t="n">
        <v>0</v>
      </c>
      <c r="LK372" s="9" t="n">
        <v>0</v>
      </c>
      <c r="LL372" s="9" t="n">
        <v>4000</v>
      </c>
      <c r="LP372" s="10" t="n">
        <v>46338</v>
      </c>
      <c r="LR372" s="9" t="n">
        <v>0</v>
      </c>
      <c r="LT372" s="9" t="n">
        <v>0</v>
      </c>
      <c r="LU372" s="9" t="n">
        <v>0</v>
      </c>
      <c r="LY372" s="10" t="n">
        <v>46338</v>
      </c>
      <c r="MA372" s="9" t="n">
        <v>0</v>
      </c>
      <c r="MC372" s="9" t="n">
        <v>0</v>
      </c>
      <c r="MD372" s="9" t="n">
        <v>0</v>
      </c>
      <c r="MH372" s="10" t="n">
        <v>46338</v>
      </c>
      <c r="MJ372" s="9" t="n">
        <v>0</v>
      </c>
      <c r="ML372" s="9" t="n">
        <v>0</v>
      </c>
      <c r="MM372" s="9" t="n">
        <v>0</v>
      </c>
      <c r="MQ372" s="10" t="n">
        <v>46338</v>
      </c>
      <c r="MS372" s="9" t="n">
        <v>0</v>
      </c>
      <c r="MU372" s="9" t="n">
        <v>0</v>
      </c>
      <c r="MV372" s="9" t="n">
        <v>1625</v>
      </c>
      <c r="MZ372" s="10" t="n">
        <v>46338</v>
      </c>
      <c r="NB372" s="9" t="n">
        <v>0</v>
      </c>
      <c r="ND372" s="9" t="n">
        <v>0</v>
      </c>
      <c r="NE372" s="9" t="n">
        <v>0</v>
      </c>
      <c r="NI372" s="10" t="n">
        <v>46338</v>
      </c>
      <c r="NK372" s="9" t="n">
        <v>0</v>
      </c>
      <c r="NM372" s="9" t="n">
        <v>0</v>
      </c>
      <c r="NN372" s="9" t="n">
        <v>1127</v>
      </c>
      <c r="NR372" s="10" t="n">
        <v>46338</v>
      </c>
      <c r="NT372" s="9" t="n">
        <v>0</v>
      </c>
      <c r="NV372" s="9" t="n">
        <v>0</v>
      </c>
      <c r="NW372" s="9" t="n">
        <v>3112</v>
      </c>
      <c r="OA372" s="10" t="n">
        <v>46338</v>
      </c>
      <c r="OC372" s="9" t="n">
        <v>0</v>
      </c>
      <c r="OE372" s="9" t="n">
        <v>0</v>
      </c>
      <c r="OF372" s="9" t="n">
        <v>1680.5</v>
      </c>
      <c r="OJ372" s="10" t="n">
        <v>46338</v>
      </c>
      <c r="OL372" s="9" t="n">
        <v>0</v>
      </c>
      <c r="ON372" s="9" t="n">
        <v>0</v>
      </c>
      <c r="OO372" s="9" t="n">
        <v>0</v>
      </c>
      <c r="OS372" s="10" t="n">
        <v>46338</v>
      </c>
      <c r="OU372" s="9" t="n">
        <v>0</v>
      </c>
      <c r="OW372" s="9" t="n">
        <v>0</v>
      </c>
      <c r="OX372" s="9" t="n">
        <v>1482</v>
      </c>
      <c r="PB372" s="10" t="n">
        <v>46338</v>
      </c>
      <c r="PD372" s="9" t="n">
        <v>0</v>
      </c>
      <c r="PF372" s="9" t="n">
        <v>0</v>
      </c>
      <c r="PG372" s="9" t="n">
        <v>0</v>
      </c>
      <c r="PK372" s="10" t="n">
        <v>46338</v>
      </c>
      <c r="PM372" s="9" t="n">
        <v>0</v>
      </c>
      <c r="PO372" s="9" t="n">
        <v>0</v>
      </c>
      <c r="PP372" s="9" t="n">
        <v>100</v>
      </c>
      <c r="PT372" s="10" t="n">
        <v>46338</v>
      </c>
      <c r="PV372" s="9" t="n">
        <v>0</v>
      </c>
      <c r="PX372" s="9" t="n">
        <v>0</v>
      </c>
      <c r="PY372" s="9" t="n">
        <v>13.96000000000004</v>
      </c>
      <c r="QC372" s="10" t="n">
        <v>46338</v>
      </c>
      <c r="QE372" s="9" t="n">
        <v>0</v>
      </c>
      <c r="QG372" s="9" t="n">
        <v>0</v>
      </c>
      <c r="QH372" s="9" t="n">
        <v>548</v>
      </c>
      <c r="QL372" s="10" t="n">
        <v>46338</v>
      </c>
      <c r="QN372" s="9" t="n">
        <v>0</v>
      </c>
      <c r="QP372" s="9" t="n">
        <v>0</v>
      </c>
      <c r="QQ372" s="9" t="n">
        <v>0</v>
      </c>
      <c r="QU372" s="10" t="n">
        <v>46338</v>
      </c>
      <c r="QW372" s="9" t="n">
        <v>0</v>
      </c>
      <c r="QY372" s="9" t="n">
        <v>0</v>
      </c>
      <c r="QZ372" s="9" t="n">
        <v>0</v>
      </c>
      <c r="RD372" s="10" t="n">
        <v>46338</v>
      </c>
      <c r="RF372" s="9" t="n">
        <v>0</v>
      </c>
      <c r="RH372" s="9" t="n">
        <v>0</v>
      </c>
      <c r="RI372" s="9" t="n">
        <v>147.04</v>
      </c>
      <c r="RM372" s="10" t="n">
        <v>46338</v>
      </c>
      <c r="RO372" s="9" t="n">
        <v>0</v>
      </c>
      <c r="RQ372" s="9" t="n">
        <v>0</v>
      </c>
      <c r="RR372" s="9" t="n">
        <v>46.8</v>
      </c>
      <c r="RV372" s="10" t="n">
        <v>46338</v>
      </c>
      <c r="RX372" s="9" t="n">
        <v>0</v>
      </c>
      <c r="RZ372" s="9" t="n">
        <v>0</v>
      </c>
      <c r="SA372" s="9" t="n">
        <v>0</v>
      </c>
      <c r="SE372" s="10" t="n">
        <v>46338</v>
      </c>
      <c r="SG372" s="9" t="n">
        <v>0</v>
      </c>
      <c r="SI372" s="9" t="n">
        <v>0</v>
      </c>
      <c r="SJ372" s="9" t="n">
        <v>24.2</v>
      </c>
      <c r="SN372" s="10" t="n">
        <v>46338</v>
      </c>
      <c r="SP372" s="9" t="n">
        <v>0</v>
      </c>
      <c r="SR372" s="9" t="n">
        <v>0</v>
      </c>
      <c r="SS372" s="9" t="n">
        <v>32</v>
      </c>
      <c r="SW372" s="10" t="n">
        <v>46338</v>
      </c>
      <c r="SY372" s="9" t="n">
        <v>0</v>
      </c>
      <c r="TA372" s="9" t="n">
        <v>0</v>
      </c>
      <c r="TB372" s="9" t="n">
        <v>0</v>
      </c>
      <c r="TF372" s="10" t="n">
        <v>46338</v>
      </c>
      <c r="TH372" s="9" t="n">
        <v>0</v>
      </c>
      <c r="TJ372" s="9" t="n">
        <v>0</v>
      </c>
      <c r="TK372" s="9" t="n">
        <v>0</v>
      </c>
      <c r="TO372" s="10" t="n">
        <v>46338</v>
      </c>
      <c r="TQ372" s="9" t="n">
        <v>0</v>
      </c>
      <c r="TS372" s="9" t="n">
        <v>0</v>
      </c>
      <c r="TT372" s="9" t="n">
        <v>0</v>
      </c>
      <c r="TX372" s="10" t="n">
        <v>46338</v>
      </c>
      <c r="TZ372" s="9" t="n">
        <v>0</v>
      </c>
      <c r="UB372" s="9" t="n">
        <v>0</v>
      </c>
      <c r="UC372" s="9" t="n">
        <v>46.79999999999998</v>
      </c>
      <c r="UG372" s="10" t="n">
        <v>46338</v>
      </c>
      <c r="UI372" s="9" t="n">
        <v>0</v>
      </c>
      <c r="UK372" s="9" t="n">
        <v>0</v>
      </c>
      <c r="UL372" s="9" t="n">
        <v>204</v>
      </c>
      <c r="UP372" s="10" t="n">
        <v>46338</v>
      </c>
      <c r="UR372" s="9" t="n">
        <v>0</v>
      </c>
      <c r="UT372" s="9" t="n">
        <v>0</v>
      </c>
      <c r="UU372" s="9" t="n">
        <v>202.5</v>
      </c>
      <c r="UY372" s="10" t="n">
        <v>46338</v>
      </c>
      <c r="VA372" s="9" t="n">
        <v>0</v>
      </c>
      <c r="VC372" s="9" t="n">
        <v>0</v>
      </c>
      <c r="VD372" s="9" t="n">
        <v>41.60000000000002</v>
      </c>
      <c r="VH372" s="10" t="n">
        <v>46338</v>
      </c>
      <c r="VJ372" s="9" t="n">
        <v>0</v>
      </c>
      <c r="VL372" s="9" t="n">
        <v>0</v>
      </c>
      <c r="VM372" s="9" t="n">
        <v>210</v>
      </c>
      <c r="VQ372" s="10" t="n">
        <v>46338</v>
      </c>
      <c r="VS372" s="9" t="n">
        <v>0</v>
      </c>
      <c r="VU372" s="9" t="n">
        <v>0</v>
      </c>
      <c r="VV372" s="9" t="n">
        <v>0</v>
      </c>
      <c r="VZ372" s="10" t="n">
        <v>46338</v>
      </c>
      <c r="WB372" s="9" t="n">
        <v>0</v>
      </c>
      <c r="WD372" s="9" t="n">
        <v>0</v>
      </c>
      <c r="WE372" s="9" t="n">
        <v>0</v>
      </c>
      <c r="WI372" s="10" t="n">
        <v>46338</v>
      </c>
      <c r="WK372" s="9" t="n">
        <v>0</v>
      </c>
      <c r="WM372" s="9" t="n">
        <v>0</v>
      </c>
      <c r="WN372" s="9" t="n">
        <v>1057</v>
      </c>
      <c r="WR372" s="10" t="n">
        <v>46338</v>
      </c>
      <c r="WT372" s="9" t="n">
        <v>0</v>
      </c>
      <c r="WV372" s="9" t="n">
        <v>0</v>
      </c>
      <c r="WW372" s="9" t="n">
        <v>0</v>
      </c>
      <c r="XA372" s="10" t="n">
        <v>46338</v>
      </c>
      <c r="XC372" s="9" t="n">
        <v>0</v>
      </c>
      <c r="XE372" s="9" t="n">
        <v>0</v>
      </c>
      <c r="XF372" s="9" t="n">
        <v>7507</v>
      </c>
      <c r="XJ372" s="10" t="n">
        <v>46338</v>
      </c>
      <c r="XL372" s="9" t="n">
        <v>0</v>
      </c>
      <c r="XN372" s="9" t="n">
        <v>0</v>
      </c>
      <c r="XO372" s="9" t="n">
        <v>4252</v>
      </c>
      <c r="XS372" s="10" t="n">
        <v>46338</v>
      </c>
      <c r="XU372" s="9" t="n">
        <v>0</v>
      </c>
      <c r="XW372" s="9" t="n">
        <v>0</v>
      </c>
      <c r="XX372" s="9" t="n">
        <v>2179</v>
      </c>
      <c r="YB372" s="10" t="n">
        <v>46338</v>
      </c>
      <c r="YD372" s="9" t="n">
        <v>0</v>
      </c>
      <c r="YF372" s="9" t="n">
        <v>0</v>
      </c>
      <c r="YG372" s="9" t="n">
        <v>4019</v>
      </c>
      <c r="YK372" s="10" t="n">
        <v>46338</v>
      </c>
      <c r="YM372" s="9" t="n">
        <v>0</v>
      </c>
      <c r="YO372" s="9" t="n">
        <v>0</v>
      </c>
      <c r="YP372" s="9" t="n">
        <v>-218</v>
      </c>
      <c r="YT372" s="10" t="n">
        <v>46338</v>
      </c>
      <c r="YV372" s="9" t="n">
        <v>0</v>
      </c>
      <c r="YX372" s="9" t="n">
        <v>0</v>
      </c>
      <c r="YY372" s="9" t="n">
        <v>0</v>
      </c>
      <c r="ZC372" s="10" t="n">
        <v>46338</v>
      </c>
      <c r="ZE372" s="9" t="n">
        <v>0</v>
      </c>
      <c r="ZG372" s="9" t="n">
        <v>0</v>
      </c>
      <c r="ZH372" s="9" t="n">
        <v>0</v>
      </c>
      <c r="ZL372" s="10" t="n">
        <v>46338</v>
      </c>
      <c r="ZN372" s="9" t="n">
        <v>0</v>
      </c>
      <c r="ZP372" s="9" t="n">
        <v>0</v>
      </c>
      <c r="ZQ372" s="9" t="n">
        <v>0</v>
      </c>
      <c r="ZU372" s="10" t="n">
        <v>46338</v>
      </c>
      <c r="ZW372" s="9" t="n">
        <v>0</v>
      </c>
      <c r="ZY372" s="9" t="n">
        <v>0</v>
      </c>
      <c r="ZZ372" s="9" t="n">
        <v>0</v>
      </c>
      <c r="AAD372" s="10" t="n">
        <v>46338</v>
      </c>
      <c r="AAF372" s="9" t="n">
        <v>0</v>
      </c>
      <c r="AAH372" s="9" t="n">
        <v>0</v>
      </c>
      <c r="AAI372" s="9" t="n">
        <v>0</v>
      </c>
      <c r="AAM372" s="10" t="n">
        <v>46338</v>
      </c>
      <c r="AAO372" s="9" t="n">
        <v>0</v>
      </c>
      <c r="AAQ372" s="9" t="n">
        <v>0</v>
      </c>
      <c r="AAR372" s="9" t="n">
        <v>0</v>
      </c>
      <c r="AAV372" s="10" t="n">
        <v>46338</v>
      </c>
      <c r="AAX372" s="9" t="n">
        <v>0</v>
      </c>
      <c r="AAZ372" s="9" t="n">
        <v>0</v>
      </c>
      <c r="ABA372" s="9" t="n">
        <v>0</v>
      </c>
      <c r="ABE372" s="10" t="n">
        <v>46338</v>
      </c>
      <c r="ABG372" s="9" t="n">
        <v>0</v>
      </c>
      <c r="ABI372" s="9" t="n">
        <v>0</v>
      </c>
      <c r="ABJ372" s="9" t="n">
        <v>0</v>
      </c>
    </row>
    <row r="373">
      <c r="C373" s="10" t="n">
        <v>46339</v>
      </c>
      <c r="E373" s="9" t="n">
        <v>0</v>
      </c>
      <c r="G373" s="9" t="n">
        <v>0</v>
      </c>
      <c r="H373" s="9" t="n">
        <v>236936.6</v>
      </c>
      <c r="L373" s="10" t="n">
        <v>46339</v>
      </c>
      <c r="N373" s="9" t="n">
        <v>0</v>
      </c>
      <c r="P373" s="9" t="n">
        <v>0</v>
      </c>
      <c r="Q373" s="9" t="n">
        <v>53017.60000000007</v>
      </c>
      <c r="U373" s="10" t="n">
        <v>46339</v>
      </c>
      <c r="W373" s="9" t="n">
        <v>0</v>
      </c>
      <c r="Y373" s="9" t="n">
        <v>0</v>
      </c>
      <c r="Z373" s="9" t="n">
        <v>42674.19999999997</v>
      </c>
      <c r="AD373" s="10" t="n">
        <v>46339</v>
      </c>
      <c r="AF373" s="9" t="n">
        <v>0</v>
      </c>
      <c r="AH373" s="9" t="n">
        <v>0</v>
      </c>
      <c r="AI373" s="9" t="n">
        <v>4522.200000000019</v>
      </c>
      <c r="AM373" s="10" t="n">
        <v>46339</v>
      </c>
      <c r="AO373" s="9" t="n">
        <v>0</v>
      </c>
      <c r="AQ373" s="9" t="n">
        <v>0</v>
      </c>
      <c r="AR373" s="9" t="n">
        <v>0</v>
      </c>
      <c r="AV373" s="10" t="n">
        <v>46339</v>
      </c>
      <c r="AX373" s="9" t="n">
        <v>0</v>
      </c>
      <c r="AZ373" s="9" t="n">
        <v>0</v>
      </c>
      <c r="BA373" s="9" t="n">
        <v>124.9999999999952</v>
      </c>
      <c r="BE373" s="10" t="n">
        <v>46339</v>
      </c>
      <c r="BG373" s="9" t="n">
        <v>0</v>
      </c>
      <c r="BI373" s="9" t="n">
        <v>0</v>
      </c>
      <c r="BJ373" s="9" t="n">
        <v>26151.9</v>
      </c>
      <c r="BN373" s="10" t="n">
        <v>46339</v>
      </c>
      <c r="BP373" s="9" t="n">
        <v>0</v>
      </c>
      <c r="BR373" s="9" t="n">
        <v>0</v>
      </c>
      <c r="BS373" s="9" t="n">
        <v>0</v>
      </c>
      <c r="BW373" s="10" t="n">
        <v>46339</v>
      </c>
      <c r="BY373" s="9" t="n">
        <v>0</v>
      </c>
      <c r="CA373" s="9" t="n">
        <v>0</v>
      </c>
      <c r="CB373" s="9" t="n">
        <v>2097.339999999999</v>
      </c>
      <c r="CF373" s="10" t="n">
        <v>46339</v>
      </c>
      <c r="CH373" s="9" t="n">
        <v>0</v>
      </c>
      <c r="CJ373" s="9" t="n">
        <v>0</v>
      </c>
      <c r="CK373" s="9" t="n">
        <v>-10277.08</v>
      </c>
      <c r="CO373" s="10" t="n">
        <v>46339</v>
      </c>
      <c r="CQ373" s="9" t="n">
        <v>0</v>
      </c>
      <c r="CS373" s="9" t="n">
        <v>0</v>
      </c>
      <c r="CT373" s="9" t="n">
        <v>0</v>
      </c>
      <c r="CX373" s="10" t="n">
        <v>46339</v>
      </c>
      <c r="CZ373" s="9" t="n">
        <v>0</v>
      </c>
      <c r="DB373" s="9" t="n">
        <v>0</v>
      </c>
      <c r="DC373" s="9" t="n">
        <v>27438.20000000001</v>
      </c>
      <c r="DG373" s="10" t="n">
        <v>46339</v>
      </c>
      <c r="DI373" s="9" t="n">
        <v>0</v>
      </c>
      <c r="DK373" s="9" t="n">
        <v>0</v>
      </c>
      <c r="DL373" s="9" t="n">
        <v>18782.29999999998</v>
      </c>
      <c r="DP373" s="10" t="n">
        <v>46339</v>
      </c>
      <c r="DR373" s="9" t="n">
        <v>0</v>
      </c>
      <c r="DT373" s="9" t="n">
        <v>0</v>
      </c>
      <c r="DU373" s="9" t="n">
        <v>5800</v>
      </c>
      <c r="DY373" s="10" t="n">
        <v>46339</v>
      </c>
      <c r="EA373" s="9" t="n">
        <v>0</v>
      </c>
      <c r="EC373" s="9" t="n">
        <v>0</v>
      </c>
      <c r="ED373" s="9" t="n">
        <v>0</v>
      </c>
      <c r="EH373" s="10" t="n">
        <v>46339</v>
      </c>
      <c r="EJ373" s="9" t="n">
        <v>0</v>
      </c>
      <c r="EL373" s="9" t="n">
        <v>0</v>
      </c>
      <c r="EM373" s="9" t="n">
        <v>0</v>
      </c>
      <c r="EQ373" s="10" t="n">
        <v>46339</v>
      </c>
      <c r="ES373" s="9" t="n">
        <v>0</v>
      </c>
      <c r="EU373" s="9" t="n">
        <v>0</v>
      </c>
      <c r="EV373" s="9" t="n">
        <v>0</v>
      </c>
      <c r="EZ373" s="10" t="n">
        <v>46339</v>
      </c>
      <c r="FB373" s="9" t="n">
        <v>0</v>
      </c>
      <c r="FD373" s="9" t="n">
        <v>0</v>
      </c>
      <c r="FE373" s="9" t="n">
        <v>0</v>
      </c>
      <c r="FI373" s="10" t="n">
        <v>46339</v>
      </c>
      <c r="FK373" s="9" t="n">
        <v>0</v>
      </c>
      <c r="FM373" s="9" t="n">
        <v>0</v>
      </c>
      <c r="FN373" s="9" t="n">
        <v>0</v>
      </c>
      <c r="FR373" s="10" t="n">
        <v>46339</v>
      </c>
      <c r="FT373" s="9" t="n">
        <v>0</v>
      </c>
      <c r="FV373" s="9" t="n">
        <v>0</v>
      </c>
      <c r="FW373" s="9" t="n">
        <v>2020</v>
      </c>
      <c r="GA373" s="10" t="n">
        <v>46339</v>
      </c>
      <c r="GC373" s="9" t="n">
        <v>0</v>
      </c>
      <c r="GE373" s="9" t="n">
        <v>0</v>
      </c>
      <c r="GF373" s="9" t="n">
        <v>960</v>
      </c>
      <c r="GJ373" s="10" t="n">
        <v>46339</v>
      </c>
      <c r="GL373" s="9" t="n">
        <v>0</v>
      </c>
      <c r="GN373" s="9" t="n">
        <v>0</v>
      </c>
      <c r="GO373" s="9" t="n">
        <v>1760</v>
      </c>
      <c r="GS373" s="10" t="n">
        <v>46339</v>
      </c>
      <c r="GU373" s="9" t="n">
        <v>0</v>
      </c>
      <c r="GW373" s="9" t="n">
        <v>0</v>
      </c>
      <c r="GX373" s="9" t="n">
        <v>400</v>
      </c>
      <c r="HB373" s="10" t="n">
        <v>46339</v>
      </c>
      <c r="HD373" s="9" t="n">
        <v>0</v>
      </c>
      <c r="HF373" s="9" t="n">
        <v>0</v>
      </c>
      <c r="HG373" s="9" t="n">
        <v>3600</v>
      </c>
      <c r="HK373" s="10" t="n">
        <v>46339</v>
      </c>
      <c r="HM373" s="9" t="n">
        <v>0</v>
      </c>
      <c r="HO373" s="9" t="n">
        <v>0</v>
      </c>
      <c r="HP373" s="9" t="n">
        <v>0</v>
      </c>
      <c r="HU373" s="10" t="n">
        <v>46339</v>
      </c>
      <c r="HW373" s="9" t="n">
        <v>0</v>
      </c>
      <c r="HY373" s="9" t="n">
        <v>0</v>
      </c>
      <c r="HZ373" s="9" t="n">
        <v>6120</v>
      </c>
      <c r="ID373" s="10" t="n">
        <v>46339</v>
      </c>
      <c r="IF373" s="9" t="n">
        <v>0</v>
      </c>
      <c r="IH373" s="9" t="n">
        <v>0</v>
      </c>
      <c r="II373" s="9" t="n">
        <v>0</v>
      </c>
      <c r="IM373" s="10" t="n">
        <v>46339</v>
      </c>
      <c r="IO373" s="9" t="n">
        <v>0</v>
      </c>
      <c r="IQ373" s="9" t="n">
        <v>0</v>
      </c>
      <c r="IR373" s="9" t="n">
        <v>0</v>
      </c>
      <c r="IV373" s="10" t="n">
        <v>46339</v>
      </c>
      <c r="IX373" s="9" t="n">
        <v>0</v>
      </c>
      <c r="IZ373" s="9" t="n">
        <v>0</v>
      </c>
      <c r="JA373" s="9" t="n">
        <v>2820</v>
      </c>
      <c r="JE373" s="10" t="n">
        <v>46339</v>
      </c>
      <c r="JG373" s="9" t="n">
        <v>0</v>
      </c>
      <c r="JI373" s="9" t="n">
        <v>0</v>
      </c>
      <c r="JJ373" s="9" t="n">
        <v>0</v>
      </c>
      <c r="JN373" s="10" t="n">
        <v>46339</v>
      </c>
      <c r="JP373" s="9" t="n">
        <v>0</v>
      </c>
      <c r="JR373" s="9" t="n">
        <v>0</v>
      </c>
      <c r="JS373" s="9" t="n">
        <v>0</v>
      </c>
      <c r="JW373" s="10" t="n">
        <v>46339</v>
      </c>
      <c r="JY373" s="9" t="n">
        <v>0</v>
      </c>
      <c r="KA373" s="9" t="n">
        <v>0</v>
      </c>
      <c r="KB373" s="9" t="n">
        <v>2540</v>
      </c>
      <c r="KF373" s="10" t="n">
        <v>46339</v>
      </c>
      <c r="KH373" s="9" t="n">
        <v>0</v>
      </c>
      <c r="KJ373" s="9" t="n">
        <v>0</v>
      </c>
      <c r="KK373" s="9" t="n">
        <v>2359.5</v>
      </c>
      <c r="KO373" s="10" t="n">
        <v>46339</v>
      </c>
      <c r="KQ373" s="9" t="n">
        <v>0</v>
      </c>
      <c r="KS373" s="9" t="n">
        <v>0</v>
      </c>
      <c r="KT373" s="9" t="n">
        <v>1890</v>
      </c>
      <c r="KX373" s="10" t="n">
        <v>46339</v>
      </c>
      <c r="KZ373" s="9" t="n">
        <v>0</v>
      </c>
      <c r="LB373" s="9" t="n">
        <v>0</v>
      </c>
      <c r="LC373" s="9" t="n">
        <v>3690</v>
      </c>
      <c r="LG373" s="10" t="n">
        <v>46339</v>
      </c>
      <c r="LI373" s="9" t="n">
        <v>0</v>
      </c>
      <c r="LK373" s="9" t="n">
        <v>0</v>
      </c>
      <c r="LL373" s="9" t="n">
        <v>4000</v>
      </c>
      <c r="LP373" s="10" t="n">
        <v>46339</v>
      </c>
      <c r="LR373" s="9" t="n">
        <v>0</v>
      </c>
      <c r="LT373" s="9" t="n">
        <v>0</v>
      </c>
      <c r="LU373" s="9" t="n">
        <v>0</v>
      </c>
      <c r="LY373" s="10" t="n">
        <v>46339</v>
      </c>
      <c r="MA373" s="9" t="n">
        <v>0</v>
      </c>
      <c r="MC373" s="9" t="n">
        <v>0</v>
      </c>
      <c r="MD373" s="9" t="n">
        <v>0</v>
      </c>
      <c r="MH373" s="10" t="n">
        <v>46339</v>
      </c>
      <c r="MJ373" s="9" t="n">
        <v>0</v>
      </c>
      <c r="ML373" s="9" t="n">
        <v>0</v>
      </c>
      <c r="MM373" s="9" t="n">
        <v>0</v>
      </c>
      <c r="MQ373" s="10" t="n">
        <v>46339</v>
      </c>
      <c r="MS373" s="9" t="n">
        <v>0</v>
      </c>
      <c r="MU373" s="9" t="n">
        <v>0</v>
      </c>
      <c r="MV373" s="9" t="n">
        <v>1625</v>
      </c>
      <c r="MZ373" s="10" t="n">
        <v>46339</v>
      </c>
      <c r="NB373" s="9" t="n">
        <v>0</v>
      </c>
      <c r="ND373" s="9" t="n">
        <v>0</v>
      </c>
      <c r="NE373" s="9" t="n">
        <v>0</v>
      </c>
      <c r="NI373" s="10" t="n">
        <v>46339</v>
      </c>
      <c r="NK373" s="9" t="n">
        <v>0</v>
      </c>
      <c r="NM373" s="9" t="n">
        <v>0</v>
      </c>
      <c r="NN373" s="9" t="n">
        <v>1127</v>
      </c>
      <c r="NR373" s="10" t="n">
        <v>46339</v>
      </c>
      <c r="NT373" s="9" t="n">
        <v>0</v>
      </c>
      <c r="NV373" s="9" t="n">
        <v>0</v>
      </c>
      <c r="NW373" s="9" t="n">
        <v>3112</v>
      </c>
      <c r="OA373" s="10" t="n">
        <v>46339</v>
      </c>
      <c r="OC373" s="9" t="n">
        <v>0</v>
      </c>
      <c r="OE373" s="9" t="n">
        <v>0</v>
      </c>
      <c r="OF373" s="9" t="n">
        <v>1680.5</v>
      </c>
      <c r="OJ373" s="10" t="n">
        <v>46339</v>
      </c>
      <c r="OL373" s="9" t="n">
        <v>0</v>
      </c>
      <c r="ON373" s="9" t="n">
        <v>0</v>
      </c>
      <c r="OO373" s="9" t="n">
        <v>0</v>
      </c>
      <c r="OS373" s="10" t="n">
        <v>46339</v>
      </c>
      <c r="OU373" s="9" t="n">
        <v>0</v>
      </c>
      <c r="OW373" s="9" t="n">
        <v>0</v>
      </c>
      <c r="OX373" s="9" t="n">
        <v>1482</v>
      </c>
      <c r="PB373" s="10" t="n">
        <v>46339</v>
      </c>
      <c r="PD373" s="9" t="n">
        <v>0</v>
      </c>
      <c r="PF373" s="9" t="n">
        <v>0</v>
      </c>
      <c r="PG373" s="9" t="n">
        <v>0</v>
      </c>
      <c r="PK373" s="10" t="n">
        <v>46339</v>
      </c>
      <c r="PM373" s="9" t="n">
        <v>0</v>
      </c>
      <c r="PO373" s="9" t="n">
        <v>0</v>
      </c>
      <c r="PP373" s="9" t="n">
        <v>100</v>
      </c>
      <c r="PT373" s="10" t="n">
        <v>46339</v>
      </c>
      <c r="PV373" s="9" t="n">
        <v>0</v>
      </c>
      <c r="PX373" s="9" t="n">
        <v>0</v>
      </c>
      <c r="PY373" s="9" t="n">
        <v>13.96000000000004</v>
      </c>
      <c r="QC373" s="10" t="n">
        <v>46339</v>
      </c>
      <c r="QE373" s="9" t="n">
        <v>0</v>
      </c>
      <c r="QG373" s="9" t="n">
        <v>0</v>
      </c>
      <c r="QH373" s="9" t="n">
        <v>548</v>
      </c>
      <c r="QL373" s="10" t="n">
        <v>46339</v>
      </c>
      <c r="QN373" s="9" t="n">
        <v>0</v>
      </c>
      <c r="QP373" s="9" t="n">
        <v>0</v>
      </c>
      <c r="QQ373" s="9" t="n">
        <v>0</v>
      </c>
      <c r="QU373" s="10" t="n">
        <v>46339</v>
      </c>
      <c r="QW373" s="9" t="n">
        <v>0</v>
      </c>
      <c r="QY373" s="9" t="n">
        <v>0</v>
      </c>
      <c r="QZ373" s="9" t="n">
        <v>0</v>
      </c>
      <c r="RD373" s="10" t="n">
        <v>46339</v>
      </c>
      <c r="RF373" s="9" t="n">
        <v>0</v>
      </c>
      <c r="RH373" s="9" t="n">
        <v>0</v>
      </c>
      <c r="RI373" s="9" t="n">
        <v>147.04</v>
      </c>
      <c r="RM373" s="10" t="n">
        <v>46339</v>
      </c>
      <c r="RO373" s="9" t="n">
        <v>0</v>
      </c>
      <c r="RQ373" s="9" t="n">
        <v>0</v>
      </c>
      <c r="RR373" s="9" t="n">
        <v>46.8</v>
      </c>
      <c r="RV373" s="10" t="n">
        <v>46339</v>
      </c>
      <c r="RX373" s="9" t="n">
        <v>0</v>
      </c>
      <c r="RZ373" s="9" t="n">
        <v>0</v>
      </c>
      <c r="SA373" s="9" t="n">
        <v>0</v>
      </c>
      <c r="SE373" s="10" t="n">
        <v>46339</v>
      </c>
      <c r="SG373" s="9" t="n">
        <v>0</v>
      </c>
      <c r="SI373" s="9" t="n">
        <v>0</v>
      </c>
      <c r="SJ373" s="9" t="n">
        <v>24.2</v>
      </c>
      <c r="SN373" s="10" t="n">
        <v>46339</v>
      </c>
      <c r="SP373" s="9" t="n">
        <v>0</v>
      </c>
      <c r="SR373" s="9" t="n">
        <v>0</v>
      </c>
      <c r="SS373" s="9" t="n">
        <v>32</v>
      </c>
      <c r="SW373" s="10" t="n">
        <v>46339</v>
      </c>
      <c r="SY373" s="9" t="n">
        <v>0</v>
      </c>
      <c r="TA373" s="9" t="n">
        <v>0</v>
      </c>
      <c r="TB373" s="9" t="n">
        <v>0</v>
      </c>
      <c r="TF373" s="10" t="n">
        <v>46339</v>
      </c>
      <c r="TH373" s="9" t="n">
        <v>0</v>
      </c>
      <c r="TJ373" s="9" t="n">
        <v>0</v>
      </c>
      <c r="TK373" s="9" t="n">
        <v>0</v>
      </c>
      <c r="TO373" s="10" t="n">
        <v>46339</v>
      </c>
      <c r="TQ373" s="9" t="n">
        <v>0</v>
      </c>
      <c r="TS373" s="9" t="n">
        <v>0</v>
      </c>
      <c r="TT373" s="9" t="n">
        <v>0</v>
      </c>
      <c r="TX373" s="10" t="n">
        <v>46339</v>
      </c>
      <c r="TZ373" s="9" t="n">
        <v>0</v>
      </c>
      <c r="UB373" s="9" t="n">
        <v>0</v>
      </c>
      <c r="UC373" s="9" t="n">
        <v>46.79999999999998</v>
      </c>
      <c r="UG373" s="10" t="n">
        <v>46339</v>
      </c>
      <c r="UI373" s="9" t="n">
        <v>0</v>
      </c>
      <c r="UK373" s="9" t="n">
        <v>0</v>
      </c>
      <c r="UL373" s="9" t="n">
        <v>204</v>
      </c>
      <c r="UP373" s="10" t="n">
        <v>46339</v>
      </c>
      <c r="UR373" s="9" t="n">
        <v>0</v>
      </c>
      <c r="UT373" s="9" t="n">
        <v>0</v>
      </c>
      <c r="UU373" s="9" t="n">
        <v>202.5</v>
      </c>
      <c r="UY373" s="10" t="n">
        <v>46339</v>
      </c>
      <c r="VA373" s="9" t="n">
        <v>0</v>
      </c>
      <c r="VC373" s="9" t="n">
        <v>0</v>
      </c>
      <c r="VD373" s="9" t="n">
        <v>41.60000000000002</v>
      </c>
      <c r="VH373" s="10" t="n">
        <v>46339</v>
      </c>
      <c r="VJ373" s="9" t="n">
        <v>0</v>
      </c>
      <c r="VL373" s="9" t="n">
        <v>0</v>
      </c>
      <c r="VM373" s="9" t="n">
        <v>210</v>
      </c>
      <c r="VQ373" s="10" t="n">
        <v>46339</v>
      </c>
      <c r="VS373" s="9" t="n">
        <v>0</v>
      </c>
      <c r="VU373" s="9" t="n">
        <v>0</v>
      </c>
      <c r="VV373" s="9" t="n">
        <v>0</v>
      </c>
      <c r="VZ373" s="10" t="n">
        <v>46339</v>
      </c>
      <c r="WB373" s="9" t="n">
        <v>0</v>
      </c>
      <c r="WD373" s="9" t="n">
        <v>0</v>
      </c>
      <c r="WE373" s="9" t="n">
        <v>0</v>
      </c>
      <c r="WI373" s="10" t="n">
        <v>46339</v>
      </c>
      <c r="WK373" s="9" t="n">
        <v>0</v>
      </c>
      <c r="WM373" s="9" t="n">
        <v>0</v>
      </c>
      <c r="WN373" s="9" t="n">
        <v>1057</v>
      </c>
      <c r="WR373" s="10" t="n">
        <v>46339</v>
      </c>
      <c r="WT373" s="9" t="n">
        <v>0</v>
      </c>
      <c r="WV373" s="9" t="n">
        <v>0</v>
      </c>
      <c r="WW373" s="9" t="n">
        <v>0</v>
      </c>
      <c r="XA373" s="10" t="n">
        <v>46339</v>
      </c>
      <c r="XC373" s="9" t="n">
        <v>0</v>
      </c>
      <c r="XE373" s="9" t="n">
        <v>0</v>
      </c>
      <c r="XF373" s="9" t="n">
        <v>7507</v>
      </c>
      <c r="XJ373" s="10" t="n">
        <v>46339</v>
      </c>
      <c r="XL373" s="9" t="n">
        <v>0</v>
      </c>
      <c r="XN373" s="9" t="n">
        <v>0</v>
      </c>
      <c r="XO373" s="9" t="n">
        <v>4252</v>
      </c>
      <c r="XS373" s="10" t="n">
        <v>46339</v>
      </c>
      <c r="XU373" s="9" t="n">
        <v>0</v>
      </c>
      <c r="XW373" s="9" t="n">
        <v>0</v>
      </c>
      <c r="XX373" s="9" t="n">
        <v>2179</v>
      </c>
      <c r="YB373" s="10" t="n">
        <v>46339</v>
      </c>
      <c r="YD373" s="9" t="n">
        <v>0</v>
      </c>
      <c r="YF373" s="9" t="n">
        <v>0</v>
      </c>
      <c r="YG373" s="9" t="n">
        <v>4019</v>
      </c>
      <c r="YK373" s="10" t="n">
        <v>46339</v>
      </c>
      <c r="YM373" s="9" t="n">
        <v>0</v>
      </c>
      <c r="YO373" s="9" t="n">
        <v>0</v>
      </c>
      <c r="YP373" s="9" t="n">
        <v>-218</v>
      </c>
      <c r="YT373" s="10" t="n">
        <v>46339</v>
      </c>
      <c r="YV373" s="9" t="n">
        <v>0</v>
      </c>
      <c r="YX373" s="9" t="n">
        <v>0</v>
      </c>
      <c r="YY373" s="9" t="n">
        <v>0</v>
      </c>
      <c r="ZC373" s="10" t="n">
        <v>46339</v>
      </c>
      <c r="ZE373" s="9" t="n">
        <v>0</v>
      </c>
      <c r="ZG373" s="9" t="n">
        <v>0</v>
      </c>
      <c r="ZH373" s="9" t="n">
        <v>0</v>
      </c>
      <c r="ZL373" s="10" t="n">
        <v>46339</v>
      </c>
      <c r="ZN373" s="9" t="n">
        <v>0</v>
      </c>
      <c r="ZP373" s="9" t="n">
        <v>0</v>
      </c>
      <c r="ZQ373" s="9" t="n">
        <v>0</v>
      </c>
      <c r="ZU373" s="10" t="n">
        <v>46339</v>
      </c>
      <c r="ZW373" s="9" t="n">
        <v>0</v>
      </c>
      <c r="ZY373" s="9" t="n">
        <v>0</v>
      </c>
      <c r="ZZ373" s="9" t="n">
        <v>0</v>
      </c>
      <c r="AAD373" s="10" t="n">
        <v>46339</v>
      </c>
      <c r="AAF373" s="9" t="n">
        <v>0</v>
      </c>
      <c r="AAH373" s="9" t="n">
        <v>0</v>
      </c>
      <c r="AAI373" s="9" t="n">
        <v>0</v>
      </c>
      <c r="AAM373" s="10" t="n">
        <v>46339</v>
      </c>
      <c r="AAO373" s="9" t="n">
        <v>0</v>
      </c>
      <c r="AAQ373" s="9" t="n">
        <v>0</v>
      </c>
      <c r="AAR373" s="9" t="n">
        <v>0</v>
      </c>
      <c r="AAV373" s="10" t="n">
        <v>46339</v>
      </c>
      <c r="AAX373" s="9" t="n">
        <v>0</v>
      </c>
      <c r="AAZ373" s="9" t="n">
        <v>0</v>
      </c>
      <c r="ABA373" s="9" t="n">
        <v>0</v>
      </c>
      <c r="ABE373" s="10" t="n">
        <v>46339</v>
      </c>
      <c r="ABG373" s="9" t="n">
        <v>0</v>
      </c>
      <c r="ABI373" s="9" t="n">
        <v>0</v>
      </c>
      <c r="ABJ373" s="9" t="n">
        <v>0</v>
      </c>
    </row>
    <row r="374">
      <c r="C374" s="10" t="n">
        <v>46340</v>
      </c>
      <c r="E374" s="9" t="n">
        <v>0</v>
      </c>
      <c r="G374" s="9" t="n">
        <v>0</v>
      </c>
      <c r="H374" s="9" t="n">
        <v>236936.6</v>
      </c>
      <c r="L374" s="10" t="n">
        <v>46340</v>
      </c>
      <c r="N374" s="9" t="n">
        <v>0</v>
      </c>
      <c r="P374" s="9" t="n">
        <v>0</v>
      </c>
      <c r="Q374" s="9" t="n">
        <v>53017.60000000007</v>
      </c>
      <c r="U374" s="10" t="n">
        <v>46340</v>
      </c>
      <c r="W374" s="9" t="n">
        <v>0</v>
      </c>
      <c r="Y374" s="9" t="n">
        <v>0</v>
      </c>
      <c r="Z374" s="9" t="n">
        <v>42674.19999999997</v>
      </c>
      <c r="AD374" s="10" t="n">
        <v>46340</v>
      </c>
      <c r="AF374" s="9" t="n">
        <v>0</v>
      </c>
      <c r="AH374" s="9" t="n">
        <v>0</v>
      </c>
      <c r="AI374" s="9" t="n">
        <v>4522.200000000019</v>
      </c>
      <c r="AM374" s="10" t="n">
        <v>46340</v>
      </c>
      <c r="AO374" s="9" t="n">
        <v>0</v>
      </c>
      <c r="AQ374" s="9" t="n">
        <v>0</v>
      </c>
      <c r="AR374" s="9" t="n">
        <v>0</v>
      </c>
      <c r="AV374" s="10" t="n">
        <v>46340</v>
      </c>
      <c r="AX374" s="9" t="n">
        <v>0</v>
      </c>
      <c r="AZ374" s="9" t="n">
        <v>0</v>
      </c>
      <c r="BA374" s="9" t="n">
        <v>124.9999999999952</v>
      </c>
      <c r="BE374" s="10" t="n">
        <v>46340</v>
      </c>
      <c r="BG374" s="9" t="n">
        <v>0</v>
      </c>
      <c r="BI374" s="9" t="n">
        <v>0</v>
      </c>
      <c r="BJ374" s="9" t="n">
        <v>26151.9</v>
      </c>
      <c r="BN374" s="10" t="n">
        <v>46340</v>
      </c>
      <c r="BP374" s="9" t="n">
        <v>0</v>
      </c>
      <c r="BR374" s="9" t="n">
        <v>0</v>
      </c>
      <c r="BS374" s="9" t="n">
        <v>0</v>
      </c>
      <c r="BW374" s="10" t="n">
        <v>46340</v>
      </c>
      <c r="BY374" s="9" t="n">
        <v>0</v>
      </c>
      <c r="CA374" s="9" t="n">
        <v>0</v>
      </c>
      <c r="CB374" s="9" t="n">
        <v>2097.339999999999</v>
      </c>
      <c r="CF374" s="10" t="n">
        <v>46340</v>
      </c>
      <c r="CH374" s="9" t="n">
        <v>0</v>
      </c>
      <c r="CJ374" s="9" t="n">
        <v>0</v>
      </c>
      <c r="CK374" s="9" t="n">
        <v>-10277.08</v>
      </c>
      <c r="CO374" s="10" t="n">
        <v>46340</v>
      </c>
      <c r="CQ374" s="9" t="n">
        <v>0</v>
      </c>
      <c r="CS374" s="9" t="n">
        <v>0</v>
      </c>
      <c r="CT374" s="9" t="n">
        <v>0</v>
      </c>
      <c r="CX374" s="10" t="n">
        <v>46340</v>
      </c>
      <c r="CZ374" s="9" t="n">
        <v>0</v>
      </c>
      <c r="DB374" s="9" t="n">
        <v>0</v>
      </c>
      <c r="DC374" s="9" t="n">
        <v>27438.20000000001</v>
      </c>
      <c r="DG374" s="10" t="n">
        <v>46340</v>
      </c>
      <c r="DI374" s="9" t="n">
        <v>0</v>
      </c>
      <c r="DK374" s="9" t="n">
        <v>0</v>
      </c>
      <c r="DL374" s="9" t="n">
        <v>18782.29999999998</v>
      </c>
      <c r="DP374" s="10" t="n">
        <v>46340</v>
      </c>
      <c r="DR374" s="9" t="n">
        <v>0</v>
      </c>
      <c r="DT374" s="9" t="n">
        <v>0</v>
      </c>
      <c r="DU374" s="9" t="n">
        <v>5800</v>
      </c>
      <c r="DY374" s="10" t="n">
        <v>46340</v>
      </c>
      <c r="EA374" s="9" t="n">
        <v>0</v>
      </c>
      <c r="EC374" s="9" t="n">
        <v>0</v>
      </c>
      <c r="ED374" s="9" t="n">
        <v>0</v>
      </c>
      <c r="EH374" s="10" t="n">
        <v>46340</v>
      </c>
      <c r="EJ374" s="9" t="n">
        <v>0</v>
      </c>
      <c r="EL374" s="9" t="n">
        <v>0</v>
      </c>
      <c r="EM374" s="9" t="n">
        <v>0</v>
      </c>
      <c r="EQ374" s="10" t="n">
        <v>46340</v>
      </c>
      <c r="ES374" s="9" t="n">
        <v>0</v>
      </c>
      <c r="EU374" s="9" t="n">
        <v>0</v>
      </c>
      <c r="EV374" s="9" t="n">
        <v>0</v>
      </c>
      <c r="EZ374" s="10" t="n">
        <v>46340</v>
      </c>
      <c r="FB374" s="9" t="n">
        <v>0</v>
      </c>
      <c r="FD374" s="9" t="n">
        <v>0</v>
      </c>
      <c r="FE374" s="9" t="n">
        <v>0</v>
      </c>
      <c r="FI374" s="10" t="n">
        <v>46340</v>
      </c>
      <c r="FK374" s="9" t="n">
        <v>0</v>
      </c>
      <c r="FM374" s="9" t="n">
        <v>0</v>
      </c>
      <c r="FN374" s="9" t="n">
        <v>0</v>
      </c>
      <c r="FR374" s="10" t="n">
        <v>46340</v>
      </c>
      <c r="FT374" s="9" t="n">
        <v>0</v>
      </c>
      <c r="FV374" s="9" t="n">
        <v>0</v>
      </c>
      <c r="FW374" s="9" t="n">
        <v>2020</v>
      </c>
      <c r="GA374" s="10" t="n">
        <v>46340</v>
      </c>
      <c r="GC374" s="9" t="n">
        <v>0</v>
      </c>
      <c r="GE374" s="9" t="n">
        <v>0</v>
      </c>
      <c r="GF374" s="9" t="n">
        <v>960</v>
      </c>
      <c r="GJ374" s="10" t="n">
        <v>46340</v>
      </c>
      <c r="GL374" s="9" t="n">
        <v>0</v>
      </c>
      <c r="GN374" s="9" t="n">
        <v>0</v>
      </c>
      <c r="GO374" s="9" t="n">
        <v>1760</v>
      </c>
      <c r="GS374" s="10" t="n">
        <v>46340</v>
      </c>
      <c r="GU374" s="9" t="n">
        <v>0</v>
      </c>
      <c r="GW374" s="9" t="n">
        <v>0</v>
      </c>
      <c r="GX374" s="9" t="n">
        <v>400</v>
      </c>
      <c r="HB374" s="10" t="n">
        <v>46340</v>
      </c>
      <c r="HD374" s="9" t="n">
        <v>0</v>
      </c>
      <c r="HF374" s="9" t="n">
        <v>0</v>
      </c>
      <c r="HG374" s="9" t="n">
        <v>3600</v>
      </c>
      <c r="HK374" s="10" t="n">
        <v>46340</v>
      </c>
      <c r="HM374" s="9" t="n">
        <v>0</v>
      </c>
      <c r="HO374" s="9" t="n">
        <v>0</v>
      </c>
      <c r="HP374" s="9" t="n">
        <v>0</v>
      </c>
      <c r="HU374" s="10" t="n">
        <v>46340</v>
      </c>
      <c r="HW374" s="9" t="n">
        <v>0</v>
      </c>
      <c r="HY374" s="9" t="n">
        <v>0</v>
      </c>
      <c r="HZ374" s="9" t="n">
        <v>6120</v>
      </c>
      <c r="ID374" s="10" t="n">
        <v>46340</v>
      </c>
      <c r="IF374" s="9" t="n">
        <v>0</v>
      </c>
      <c r="IH374" s="9" t="n">
        <v>0</v>
      </c>
      <c r="II374" s="9" t="n">
        <v>0</v>
      </c>
      <c r="IM374" s="10" t="n">
        <v>46340</v>
      </c>
      <c r="IO374" s="9" t="n">
        <v>0</v>
      </c>
      <c r="IQ374" s="9" t="n">
        <v>0</v>
      </c>
      <c r="IR374" s="9" t="n">
        <v>0</v>
      </c>
      <c r="IV374" s="10" t="n">
        <v>46340</v>
      </c>
      <c r="IX374" s="9" t="n">
        <v>0</v>
      </c>
      <c r="IZ374" s="9" t="n">
        <v>0</v>
      </c>
      <c r="JA374" s="9" t="n">
        <v>2820</v>
      </c>
      <c r="JE374" s="10" t="n">
        <v>46340</v>
      </c>
      <c r="JG374" s="9" t="n">
        <v>0</v>
      </c>
      <c r="JI374" s="9" t="n">
        <v>0</v>
      </c>
      <c r="JJ374" s="9" t="n">
        <v>0</v>
      </c>
      <c r="JN374" s="10" t="n">
        <v>46340</v>
      </c>
      <c r="JP374" s="9" t="n">
        <v>0</v>
      </c>
      <c r="JR374" s="9" t="n">
        <v>0</v>
      </c>
      <c r="JS374" s="9" t="n">
        <v>0</v>
      </c>
      <c r="JW374" s="10" t="n">
        <v>46340</v>
      </c>
      <c r="JY374" s="9" t="n">
        <v>0</v>
      </c>
      <c r="KA374" s="9" t="n">
        <v>0</v>
      </c>
      <c r="KB374" s="9" t="n">
        <v>2540</v>
      </c>
      <c r="KF374" s="10" t="n">
        <v>46340</v>
      </c>
      <c r="KH374" s="9" t="n">
        <v>0</v>
      </c>
      <c r="KJ374" s="9" t="n">
        <v>0</v>
      </c>
      <c r="KK374" s="9" t="n">
        <v>2359.5</v>
      </c>
      <c r="KO374" s="10" t="n">
        <v>46340</v>
      </c>
      <c r="KQ374" s="9" t="n">
        <v>0</v>
      </c>
      <c r="KS374" s="9" t="n">
        <v>0</v>
      </c>
      <c r="KT374" s="9" t="n">
        <v>1890</v>
      </c>
      <c r="KX374" s="10" t="n">
        <v>46340</v>
      </c>
      <c r="KZ374" s="9" t="n">
        <v>0</v>
      </c>
      <c r="LB374" s="9" t="n">
        <v>0</v>
      </c>
      <c r="LC374" s="9" t="n">
        <v>3690</v>
      </c>
      <c r="LG374" s="10" t="n">
        <v>46340</v>
      </c>
      <c r="LI374" s="9" t="n">
        <v>0</v>
      </c>
      <c r="LK374" s="9" t="n">
        <v>0</v>
      </c>
      <c r="LL374" s="9" t="n">
        <v>4000</v>
      </c>
      <c r="LP374" s="10" t="n">
        <v>46340</v>
      </c>
      <c r="LR374" s="9" t="n">
        <v>0</v>
      </c>
      <c r="LT374" s="9" t="n">
        <v>0</v>
      </c>
      <c r="LU374" s="9" t="n">
        <v>0</v>
      </c>
      <c r="LY374" s="10" t="n">
        <v>46340</v>
      </c>
      <c r="MA374" s="9" t="n">
        <v>0</v>
      </c>
      <c r="MC374" s="9" t="n">
        <v>0</v>
      </c>
      <c r="MD374" s="9" t="n">
        <v>0</v>
      </c>
      <c r="MH374" s="10" t="n">
        <v>46340</v>
      </c>
      <c r="MJ374" s="9" t="n">
        <v>0</v>
      </c>
      <c r="ML374" s="9" t="n">
        <v>0</v>
      </c>
      <c r="MM374" s="9" t="n">
        <v>0</v>
      </c>
      <c r="MQ374" s="10" t="n">
        <v>46340</v>
      </c>
      <c r="MS374" s="9" t="n">
        <v>0</v>
      </c>
      <c r="MU374" s="9" t="n">
        <v>0</v>
      </c>
      <c r="MV374" s="9" t="n">
        <v>1625</v>
      </c>
      <c r="MZ374" s="10" t="n">
        <v>46340</v>
      </c>
      <c r="NB374" s="9" t="n">
        <v>0</v>
      </c>
      <c r="ND374" s="9" t="n">
        <v>0</v>
      </c>
      <c r="NE374" s="9" t="n">
        <v>0</v>
      </c>
      <c r="NI374" s="10" t="n">
        <v>46340</v>
      </c>
      <c r="NK374" s="9" t="n">
        <v>0</v>
      </c>
      <c r="NM374" s="9" t="n">
        <v>0</v>
      </c>
      <c r="NN374" s="9" t="n">
        <v>1127</v>
      </c>
      <c r="NR374" s="10" t="n">
        <v>46340</v>
      </c>
      <c r="NT374" s="9" t="n">
        <v>0</v>
      </c>
      <c r="NV374" s="9" t="n">
        <v>0</v>
      </c>
      <c r="NW374" s="9" t="n">
        <v>3112</v>
      </c>
      <c r="OA374" s="10" t="n">
        <v>46340</v>
      </c>
      <c r="OC374" s="9" t="n">
        <v>0</v>
      </c>
      <c r="OE374" s="9" t="n">
        <v>0</v>
      </c>
      <c r="OF374" s="9" t="n">
        <v>1680.5</v>
      </c>
      <c r="OJ374" s="10" t="n">
        <v>46340</v>
      </c>
      <c r="OL374" s="9" t="n">
        <v>0</v>
      </c>
      <c r="ON374" s="9" t="n">
        <v>0</v>
      </c>
      <c r="OO374" s="9" t="n">
        <v>0</v>
      </c>
      <c r="OS374" s="10" t="n">
        <v>46340</v>
      </c>
      <c r="OU374" s="9" t="n">
        <v>0</v>
      </c>
      <c r="OW374" s="9" t="n">
        <v>0</v>
      </c>
      <c r="OX374" s="9" t="n">
        <v>1482</v>
      </c>
      <c r="PB374" s="10" t="n">
        <v>46340</v>
      </c>
      <c r="PD374" s="9" t="n">
        <v>0</v>
      </c>
      <c r="PF374" s="9" t="n">
        <v>0</v>
      </c>
      <c r="PG374" s="9" t="n">
        <v>0</v>
      </c>
      <c r="PK374" s="10" t="n">
        <v>46340</v>
      </c>
      <c r="PM374" s="9" t="n">
        <v>0</v>
      </c>
      <c r="PO374" s="9" t="n">
        <v>0</v>
      </c>
      <c r="PP374" s="9" t="n">
        <v>100</v>
      </c>
      <c r="PT374" s="10" t="n">
        <v>46340</v>
      </c>
      <c r="PV374" s="9" t="n">
        <v>0</v>
      </c>
      <c r="PX374" s="9" t="n">
        <v>0</v>
      </c>
      <c r="PY374" s="9" t="n">
        <v>13.96000000000004</v>
      </c>
      <c r="QC374" s="10" t="n">
        <v>46340</v>
      </c>
      <c r="QE374" s="9" t="n">
        <v>0</v>
      </c>
      <c r="QG374" s="9" t="n">
        <v>0</v>
      </c>
      <c r="QH374" s="9" t="n">
        <v>548</v>
      </c>
      <c r="QL374" s="10" t="n">
        <v>46340</v>
      </c>
      <c r="QN374" s="9" t="n">
        <v>0</v>
      </c>
      <c r="QP374" s="9" t="n">
        <v>0</v>
      </c>
      <c r="QQ374" s="9" t="n">
        <v>0</v>
      </c>
      <c r="QU374" s="10" t="n">
        <v>46340</v>
      </c>
      <c r="QW374" s="9" t="n">
        <v>0</v>
      </c>
      <c r="QY374" s="9" t="n">
        <v>0</v>
      </c>
      <c r="QZ374" s="9" t="n">
        <v>0</v>
      </c>
      <c r="RD374" s="10" t="n">
        <v>46340</v>
      </c>
      <c r="RF374" s="9" t="n">
        <v>0</v>
      </c>
      <c r="RH374" s="9" t="n">
        <v>0</v>
      </c>
      <c r="RI374" s="9" t="n">
        <v>147.04</v>
      </c>
      <c r="RM374" s="10" t="n">
        <v>46340</v>
      </c>
      <c r="RO374" s="9" t="n">
        <v>0</v>
      </c>
      <c r="RQ374" s="9" t="n">
        <v>0</v>
      </c>
      <c r="RR374" s="9" t="n">
        <v>46.8</v>
      </c>
      <c r="RV374" s="10" t="n">
        <v>46340</v>
      </c>
      <c r="RX374" s="9" t="n">
        <v>0</v>
      </c>
      <c r="RZ374" s="9" t="n">
        <v>0</v>
      </c>
      <c r="SA374" s="9" t="n">
        <v>0</v>
      </c>
      <c r="SE374" s="10" t="n">
        <v>46340</v>
      </c>
      <c r="SG374" s="9" t="n">
        <v>0</v>
      </c>
      <c r="SI374" s="9" t="n">
        <v>0</v>
      </c>
      <c r="SJ374" s="9" t="n">
        <v>24.2</v>
      </c>
      <c r="SN374" s="10" t="n">
        <v>46340</v>
      </c>
      <c r="SP374" s="9" t="n">
        <v>0</v>
      </c>
      <c r="SR374" s="9" t="n">
        <v>0</v>
      </c>
      <c r="SS374" s="9" t="n">
        <v>32</v>
      </c>
      <c r="SW374" s="10" t="n">
        <v>46340</v>
      </c>
      <c r="SY374" s="9" t="n">
        <v>0</v>
      </c>
      <c r="TA374" s="9" t="n">
        <v>0</v>
      </c>
      <c r="TB374" s="9" t="n">
        <v>0</v>
      </c>
      <c r="TF374" s="10" t="n">
        <v>46340</v>
      </c>
      <c r="TH374" s="9" t="n">
        <v>0</v>
      </c>
      <c r="TJ374" s="9" t="n">
        <v>0</v>
      </c>
      <c r="TK374" s="9" t="n">
        <v>0</v>
      </c>
      <c r="TO374" s="10" t="n">
        <v>46340</v>
      </c>
      <c r="TQ374" s="9" t="n">
        <v>0</v>
      </c>
      <c r="TS374" s="9" t="n">
        <v>0</v>
      </c>
      <c r="TT374" s="9" t="n">
        <v>0</v>
      </c>
      <c r="TX374" s="10" t="n">
        <v>46340</v>
      </c>
      <c r="TZ374" s="9" t="n">
        <v>0</v>
      </c>
      <c r="UB374" s="9" t="n">
        <v>0</v>
      </c>
      <c r="UC374" s="9" t="n">
        <v>46.79999999999998</v>
      </c>
      <c r="UG374" s="10" t="n">
        <v>46340</v>
      </c>
      <c r="UI374" s="9" t="n">
        <v>0</v>
      </c>
      <c r="UK374" s="9" t="n">
        <v>0</v>
      </c>
      <c r="UL374" s="9" t="n">
        <v>204</v>
      </c>
      <c r="UP374" s="10" t="n">
        <v>46340</v>
      </c>
      <c r="UR374" s="9" t="n">
        <v>0</v>
      </c>
      <c r="UT374" s="9" t="n">
        <v>0</v>
      </c>
      <c r="UU374" s="9" t="n">
        <v>202.5</v>
      </c>
      <c r="UY374" s="10" t="n">
        <v>46340</v>
      </c>
      <c r="VA374" s="9" t="n">
        <v>0</v>
      </c>
      <c r="VC374" s="9" t="n">
        <v>0</v>
      </c>
      <c r="VD374" s="9" t="n">
        <v>41.60000000000002</v>
      </c>
      <c r="VH374" s="10" t="n">
        <v>46340</v>
      </c>
      <c r="VJ374" s="9" t="n">
        <v>0</v>
      </c>
      <c r="VL374" s="9" t="n">
        <v>0</v>
      </c>
      <c r="VM374" s="9" t="n">
        <v>210</v>
      </c>
      <c r="VQ374" s="10" t="n">
        <v>46340</v>
      </c>
      <c r="VS374" s="9" t="n">
        <v>0</v>
      </c>
      <c r="VU374" s="9" t="n">
        <v>0</v>
      </c>
      <c r="VV374" s="9" t="n">
        <v>0</v>
      </c>
      <c r="VZ374" s="10" t="n">
        <v>46340</v>
      </c>
      <c r="WB374" s="9" t="n">
        <v>0</v>
      </c>
      <c r="WD374" s="9" t="n">
        <v>0</v>
      </c>
      <c r="WE374" s="9" t="n">
        <v>0</v>
      </c>
      <c r="WI374" s="10" t="n">
        <v>46340</v>
      </c>
      <c r="WK374" s="9" t="n">
        <v>0</v>
      </c>
      <c r="WM374" s="9" t="n">
        <v>0</v>
      </c>
      <c r="WN374" s="9" t="n">
        <v>1057</v>
      </c>
      <c r="WR374" s="10" t="n">
        <v>46340</v>
      </c>
      <c r="WT374" s="9" t="n">
        <v>0</v>
      </c>
      <c r="WV374" s="9" t="n">
        <v>0</v>
      </c>
      <c r="WW374" s="9" t="n">
        <v>0</v>
      </c>
      <c r="XA374" s="10" t="n">
        <v>46340</v>
      </c>
      <c r="XC374" s="9" t="n">
        <v>0</v>
      </c>
      <c r="XE374" s="9" t="n">
        <v>0</v>
      </c>
      <c r="XF374" s="9" t="n">
        <v>7507</v>
      </c>
      <c r="XJ374" s="10" t="n">
        <v>46340</v>
      </c>
      <c r="XL374" s="9" t="n">
        <v>0</v>
      </c>
      <c r="XN374" s="9" t="n">
        <v>0</v>
      </c>
      <c r="XO374" s="9" t="n">
        <v>4252</v>
      </c>
      <c r="XS374" s="10" t="n">
        <v>46340</v>
      </c>
      <c r="XU374" s="9" t="n">
        <v>0</v>
      </c>
      <c r="XW374" s="9" t="n">
        <v>0</v>
      </c>
      <c r="XX374" s="9" t="n">
        <v>2179</v>
      </c>
      <c r="YB374" s="10" t="n">
        <v>46340</v>
      </c>
      <c r="YD374" s="9" t="n">
        <v>0</v>
      </c>
      <c r="YF374" s="9" t="n">
        <v>0</v>
      </c>
      <c r="YG374" s="9" t="n">
        <v>4019</v>
      </c>
      <c r="YK374" s="10" t="n">
        <v>46340</v>
      </c>
      <c r="YM374" s="9" t="n">
        <v>0</v>
      </c>
      <c r="YO374" s="9" t="n">
        <v>0</v>
      </c>
      <c r="YP374" s="9" t="n">
        <v>-218</v>
      </c>
      <c r="YT374" s="10" t="n">
        <v>46340</v>
      </c>
      <c r="YV374" s="9" t="n">
        <v>0</v>
      </c>
      <c r="YX374" s="9" t="n">
        <v>0</v>
      </c>
      <c r="YY374" s="9" t="n">
        <v>0</v>
      </c>
      <c r="ZC374" s="10" t="n">
        <v>46340</v>
      </c>
      <c r="ZE374" s="9" t="n">
        <v>0</v>
      </c>
      <c r="ZG374" s="9" t="n">
        <v>0</v>
      </c>
      <c r="ZH374" s="9" t="n">
        <v>0</v>
      </c>
      <c r="ZL374" s="10" t="n">
        <v>46340</v>
      </c>
      <c r="ZN374" s="9" t="n">
        <v>0</v>
      </c>
      <c r="ZP374" s="9" t="n">
        <v>0</v>
      </c>
      <c r="ZQ374" s="9" t="n">
        <v>0</v>
      </c>
      <c r="ZU374" s="10" t="n">
        <v>46340</v>
      </c>
      <c r="ZW374" s="9" t="n">
        <v>0</v>
      </c>
      <c r="ZY374" s="9" t="n">
        <v>0</v>
      </c>
      <c r="ZZ374" s="9" t="n">
        <v>0</v>
      </c>
      <c r="AAD374" s="10" t="n">
        <v>46340</v>
      </c>
      <c r="AAF374" s="9" t="n">
        <v>0</v>
      </c>
      <c r="AAH374" s="9" t="n">
        <v>0</v>
      </c>
      <c r="AAI374" s="9" t="n">
        <v>0</v>
      </c>
      <c r="AAM374" s="10" t="n">
        <v>46340</v>
      </c>
      <c r="AAO374" s="9" t="n">
        <v>0</v>
      </c>
      <c r="AAQ374" s="9" t="n">
        <v>0</v>
      </c>
      <c r="AAR374" s="9" t="n">
        <v>0</v>
      </c>
      <c r="AAV374" s="10" t="n">
        <v>46340</v>
      </c>
      <c r="AAX374" s="9" t="n">
        <v>0</v>
      </c>
      <c r="AAZ374" s="9" t="n">
        <v>0</v>
      </c>
      <c r="ABA374" s="9" t="n">
        <v>0</v>
      </c>
      <c r="ABE374" s="10" t="n">
        <v>46340</v>
      </c>
      <c r="ABG374" s="9" t="n">
        <v>0</v>
      </c>
      <c r="ABI374" s="9" t="n">
        <v>0</v>
      </c>
      <c r="ABJ374" s="9" t="n">
        <v>0</v>
      </c>
    </row>
    <row r="375">
      <c r="C375" s="10" t="n">
        <v>46341</v>
      </c>
      <c r="E375" s="9" t="n">
        <v>0</v>
      </c>
      <c r="G375" s="9" t="n">
        <v>0</v>
      </c>
      <c r="H375" s="9" t="n">
        <v>236936.6</v>
      </c>
      <c r="L375" s="10" t="n">
        <v>46341</v>
      </c>
      <c r="N375" s="9" t="n">
        <v>0</v>
      </c>
      <c r="P375" s="9" t="n">
        <v>0</v>
      </c>
      <c r="Q375" s="9" t="n">
        <v>53017.60000000007</v>
      </c>
      <c r="U375" s="10" t="n">
        <v>46341</v>
      </c>
      <c r="W375" s="9" t="n">
        <v>0</v>
      </c>
      <c r="Y375" s="9" t="n">
        <v>0</v>
      </c>
      <c r="Z375" s="9" t="n">
        <v>42674.19999999997</v>
      </c>
      <c r="AD375" s="10" t="n">
        <v>46341</v>
      </c>
      <c r="AF375" s="9" t="n">
        <v>0</v>
      </c>
      <c r="AH375" s="9" t="n">
        <v>0</v>
      </c>
      <c r="AI375" s="9" t="n">
        <v>4522.200000000019</v>
      </c>
      <c r="AM375" s="10" t="n">
        <v>46341</v>
      </c>
      <c r="AO375" s="9" t="n">
        <v>0</v>
      </c>
      <c r="AQ375" s="9" t="n">
        <v>0</v>
      </c>
      <c r="AR375" s="9" t="n">
        <v>0</v>
      </c>
      <c r="AV375" s="10" t="n">
        <v>46341</v>
      </c>
      <c r="AX375" s="9" t="n">
        <v>0</v>
      </c>
      <c r="AZ375" s="9" t="n">
        <v>0</v>
      </c>
      <c r="BA375" s="9" t="n">
        <v>124.9999999999952</v>
      </c>
      <c r="BE375" s="10" t="n">
        <v>46341</v>
      </c>
      <c r="BG375" s="9" t="n">
        <v>0</v>
      </c>
      <c r="BI375" s="9" t="n">
        <v>0</v>
      </c>
      <c r="BJ375" s="9" t="n">
        <v>26151.9</v>
      </c>
      <c r="BN375" s="10" t="n">
        <v>46341</v>
      </c>
      <c r="BP375" s="9" t="n">
        <v>0</v>
      </c>
      <c r="BR375" s="9" t="n">
        <v>0</v>
      </c>
      <c r="BS375" s="9" t="n">
        <v>0</v>
      </c>
      <c r="BW375" s="10" t="n">
        <v>46341</v>
      </c>
      <c r="BY375" s="9" t="n">
        <v>0</v>
      </c>
      <c r="CA375" s="9" t="n">
        <v>0</v>
      </c>
      <c r="CB375" s="9" t="n">
        <v>2097.339999999999</v>
      </c>
      <c r="CF375" s="10" t="n">
        <v>46341</v>
      </c>
      <c r="CH375" s="9" t="n">
        <v>0</v>
      </c>
      <c r="CJ375" s="9" t="n">
        <v>0</v>
      </c>
      <c r="CK375" s="9" t="n">
        <v>-10277.08</v>
      </c>
      <c r="CO375" s="10" t="n">
        <v>46341</v>
      </c>
      <c r="CQ375" s="9" t="n">
        <v>0</v>
      </c>
      <c r="CS375" s="9" t="n">
        <v>0</v>
      </c>
      <c r="CT375" s="9" t="n">
        <v>0</v>
      </c>
      <c r="CX375" s="10" t="n">
        <v>46341</v>
      </c>
      <c r="CZ375" s="9" t="n">
        <v>0</v>
      </c>
      <c r="DB375" s="9" t="n">
        <v>0</v>
      </c>
      <c r="DC375" s="9" t="n">
        <v>27438.20000000001</v>
      </c>
      <c r="DG375" s="10" t="n">
        <v>46341</v>
      </c>
      <c r="DI375" s="9" t="n">
        <v>0</v>
      </c>
      <c r="DK375" s="9" t="n">
        <v>0</v>
      </c>
      <c r="DL375" s="9" t="n">
        <v>18782.29999999998</v>
      </c>
      <c r="DP375" s="10" t="n">
        <v>46341</v>
      </c>
      <c r="DR375" s="9" t="n">
        <v>0</v>
      </c>
      <c r="DT375" s="9" t="n">
        <v>0</v>
      </c>
      <c r="DU375" s="9" t="n">
        <v>5800</v>
      </c>
      <c r="DY375" s="10" t="n">
        <v>46341</v>
      </c>
      <c r="EA375" s="9" t="n">
        <v>0</v>
      </c>
      <c r="EC375" s="9" t="n">
        <v>0</v>
      </c>
      <c r="ED375" s="9" t="n">
        <v>0</v>
      </c>
      <c r="EH375" s="10" t="n">
        <v>46341</v>
      </c>
      <c r="EJ375" s="9" t="n">
        <v>0</v>
      </c>
      <c r="EL375" s="9" t="n">
        <v>0</v>
      </c>
      <c r="EM375" s="9" t="n">
        <v>0</v>
      </c>
      <c r="EQ375" s="10" t="n">
        <v>46341</v>
      </c>
      <c r="ES375" s="9" t="n">
        <v>0</v>
      </c>
      <c r="EU375" s="9" t="n">
        <v>0</v>
      </c>
      <c r="EV375" s="9" t="n">
        <v>0</v>
      </c>
      <c r="EZ375" s="10" t="n">
        <v>46341</v>
      </c>
      <c r="FB375" s="9" t="n">
        <v>0</v>
      </c>
      <c r="FD375" s="9" t="n">
        <v>0</v>
      </c>
      <c r="FE375" s="9" t="n">
        <v>0</v>
      </c>
      <c r="FI375" s="10" t="n">
        <v>46341</v>
      </c>
      <c r="FK375" s="9" t="n">
        <v>0</v>
      </c>
      <c r="FM375" s="9" t="n">
        <v>0</v>
      </c>
      <c r="FN375" s="9" t="n">
        <v>0</v>
      </c>
      <c r="FR375" s="10" t="n">
        <v>46341</v>
      </c>
      <c r="FT375" s="9" t="n">
        <v>0</v>
      </c>
      <c r="FV375" s="9" t="n">
        <v>0</v>
      </c>
      <c r="FW375" s="9" t="n">
        <v>2020</v>
      </c>
      <c r="GA375" s="10" t="n">
        <v>46341</v>
      </c>
      <c r="GC375" s="9" t="n">
        <v>0</v>
      </c>
      <c r="GE375" s="9" t="n">
        <v>0</v>
      </c>
      <c r="GF375" s="9" t="n">
        <v>960</v>
      </c>
      <c r="GJ375" s="10" t="n">
        <v>46341</v>
      </c>
      <c r="GL375" s="9" t="n">
        <v>0</v>
      </c>
      <c r="GN375" s="9" t="n">
        <v>0</v>
      </c>
      <c r="GO375" s="9" t="n">
        <v>1760</v>
      </c>
      <c r="GS375" s="10" t="n">
        <v>46341</v>
      </c>
      <c r="GU375" s="9" t="n">
        <v>0</v>
      </c>
      <c r="GW375" s="9" t="n">
        <v>0</v>
      </c>
      <c r="GX375" s="9" t="n">
        <v>400</v>
      </c>
      <c r="HB375" s="10" t="n">
        <v>46341</v>
      </c>
      <c r="HD375" s="9" t="n">
        <v>0</v>
      </c>
      <c r="HF375" s="9" t="n">
        <v>0</v>
      </c>
      <c r="HG375" s="9" t="n">
        <v>3600</v>
      </c>
      <c r="HK375" s="10" t="n">
        <v>46341</v>
      </c>
      <c r="HM375" s="9" t="n">
        <v>0</v>
      </c>
      <c r="HO375" s="9" t="n">
        <v>0</v>
      </c>
      <c r="HP375" s="9" t="n">
        <v>0</v>
      </c>
      <c r="HU375" s="10" t="n">
        <v>46341</v>
      </c>
      <c r="HW375" s="9" t="n">
        <v>0</v>
      </c>
      <c r="HY375" s="9" t="n">
        <v>0</v>
      </c>
      <c r="HZ375" s="9" t="n">
        <v>6120</v>
      </c>
      <c r="ID375" s="10" t="n">
        <v>46341</v>
      </c>
      <c r="IF375" s="9" t="n">
        <v>0</v>
      </c>
      <c r="IH375" s="9" t="n">
        <v>0</v>
      </c>
      <c r="II375" s="9" t="n">
        <v>0</v>
      </c>
      <c r="IM375" s="10" t="n">
        <v>46341</v>
      </c>
      <c r="IO375" s="9" t="n">
        <v>0</v>
      </c>
      <c r="IQ375" s="9" t="n">
        <v>0</v>
      </c>
      <c r="IR375" s="9" t="n">
        <v>0</v>
      </c>
      <c r="IV375" s="10" t="n">
        <v>46341</v>
      </c>
      <c r="IX375" s="9" t="n">
        <v>0</v>
      </c>
      <c r="IZ375" s="9" t="n">
        <v>0</v>
      </c>
      <c r="JA375" s="9" t="n">
        <v>2820</v>
      </c>
      <c r="JE375" s="10" t="n">
        <v>46341</v>
      </c>
      <c r="JG375" s="9" t="n">
        <v>0</v>
      </c>
      <c r="JI375" s="9" t="n">
        <v>0</v>
      </c>
      <c r="JJ375" s="9" t="n">
        <v>0</v>
      </c>
      <c r="JN375" s="10" t="n">
        <v>46341</v>
      </c>
      <c r="JP375" s="9" t="n">
        <v>0</v>
      </c>
      <c r="JR375" s="9" t="n">
        <v>0</v>
      </c>
      <c r="JS375" s="9" t="n">
        <v>0</v>
      </c>
      <c r="JW375" s="10" t="n">
        <v>46341</v>
      </c>
      <c r="JY375" s="9" t="n">
        <v>0</v>
      </c>
      <c r="KA375" s="9" t="n">
        <v>0</v>
      </c>
      <c r="KB375" s="9" t="n">
        <v>2540</v>
      </c>
      <c r="KF375" s="10" t="n">
        <v>46341</v>
      </c>
      <c r="KH375" s="9" t="n">
        <v>0</v>
      </c>
      <c r="KJ375" s="9" t="n">
        <v>0</v>
      </c>
      <c r="KK375" s="9" t="n">
        <v>2359.5</v>
      </c>
      <c r="KO375" s="10" t="n">
        <v>46341</v>
      </c>
      <c r="KQ375" s="9" t="n">
        <v>0</v>
      </c>
      <c r="KS375" s="9" t="n">
        <v>0</v>
      </c>
      <c r="KT375" s="9" t="n">
        <v>1890</v>
      </c>
      <c r="KX375" s="10" t="n">
        <v>46341</v>
      </c>
      <c r="KZ375" s="9" t="n">
        <v>0</v>
      </c>
      <c r="LB375" s="9" t="n">
        <v>0</v>
      </c>
      <c r="LC375" s="9" t="n">
        <v>3690</v>
      </c>
      <c r="LG375" s="10" t="n">
        <v>46341</v>
      </c>
      <c r="LI375" s="9" t="n">
        <v>0</v>
      </c>
      <c r="LK375" s="9" t="n">
        <v>0</v>
      </c>
      <c r="LL375" s="9" t="n">
        <v>4000</v>
      </c>
      <c r="LP375" s="10" t="n">
        <v>46341</v>
      </c>
      <c r="LR375" s="9" t="n">
        <v>0</v>
      </c>
      <c r="LT375" s="9" t="n">
        <v>0</v>
      </c>
      <c r="LU375" s="9" t="n">
        <v>0</v>
      </c>
      <c r="LY375" s="10" t="n">
        <v>46341</v>
      </c>
      <c r="MA375" s="9" t="n">
        <v>0</v>
      </c>
      <c r="MC375" s="9" t="n">
        <v>0</v>
      </c>
      <c r="MD375" s="9" t="n">
        <v>0</v>
      </c>
      <c r="MH375" s="10" t="n">
        <v>46341</v>
      </c>
      <c r="MJ375" s="9" t="n">
        <v>0</v>
      </c>
      <c r="ML375" s="9" t="n">
        <v>0</v>
      </c>
      <c r="MM375" s="9" t="n">
        <v>0</v>
      </c>
      <c r="MQ375" s="10" t="n">
        <v>46341</v>
      </c>
      <c r="MS375" s="9" t="n">
        <v>0</v>
      </c>
      <c r="MU375" s="9" t="n">
        <v>0</v>
      </c>
      <c r="MV375" s="9" t="n">
        <v>1625</v>
      </c>
      <c r="MZ375" s="10" t="n">
        <v>46341</v>
      </c>
      <c r="NB375" s="9" t="n">
        <v>0</v>
      </c>
      <c r="ND375" s="9" t="n">
        <v>0</v>
      </c>
      <c r="NE375" s="9" t="n">
        <v>0</v>
      </c>
      <c r="NI375" s="10" t="n">
        <v>46341</v>
      </c>
      <c r="NK375" s="9" t="n">
        <v>0</v>
      </c>
      <c r="NM375" s="9" t="n">
        <v>0</v>
      </c>
      <c r="NN375" s="9" t="n">
        <v>1127</v>
      </c>
      <c r="NR375" s="10" t="n">
        <v>46341</v>
      </c>
      <c r="NT375" s="9" t="n">
        <v>0</v>
      </c>
      <c r="NV375" s="9" t="n">
        <v>0</v>
      </c>
      <c r="NW375" s="9" t="n">
        <v>3112</v>
      </c>
      <c r="OA375" s="10" t="n">
        <v>46341</v>
      </c>
      <c r="OC375" s="9" t="n">
        <v>0</v>
      </c>
      <c r="OE375" s="9" t="n">
        <v>0</v>
      </c>
      <c r="OF375" s="9" t="n">
        <v>1680.5</v>
      </c>
      <c r="OJ375" s="10" t="n">
        <v>46341</v>
      </c>
      <c r="OL375" s="9" t="n">
        <v>0</v>
      </c>
      <c r="ON375" s="9" t="n">
        <v>0</v>
      </c>
      <c r="OO375" s="9" t="n">
        <v>0</v>
      </c>
      <c r="OS375" s="10" t="n">
        <v>46341</v>
      </c>
      <c r="OU375" s="9" t="n">
        <v>0</v>
      </c>
      <c r="OW375" s="9" t="n">
        <v>0</v>
      </c>
      <c r="OX375" s="9" t="n">
        <v>1482</v>
      </c>
      <c r="PB375" s="10" t="n">
        <v>46341</v>
      </c>
      <c r="PD375" s="9" t="n">
        <v>0</v>
      </c>
      <c r="PF375" s="9" t="n">
        <v>0</v>
      </c>
      <c r="PG375" s="9" t="n">
        <v>0</v>
      </c>
      <c r="PK375" s="10" t="n">
        <v>46341</v>
      </c>
      <c r="PM375" s="9" t="n">
        <v>0</v>
      </c>
      <c r="PO375" s="9" t="n">
        <v>0</v>
      </c>
      <c r="PP375" s="9" t="n">
        <v>100</v>
      </c>
      <c r="PT375" s="10" t="n">
        <v>46341</v>
      </c>
      <c r="PV375" s="9" t="n">
        <v>0</v>
      </c>
      <c r="PX375" s="9" t="n">
        <v>0</v>
      </c>
      <c r="PY375" s="9" t="n">
        <v>13.96000000000004</v>
      </c>
      <c r="QC375" s="10" t="n">
        <v>46341</v>
      </c>
      <c r="QE375" s="9" t="n">
        <v>0</v>
      </c>
      <c r="QG375" s="9" t="n">
        <v>0</v>
      </c>
      <c r="QH375" s="9" t="n">
        <v>548</v>
      </c>
      <c r="QL375" s="10" t="n">
        <v>46341</v>
      </c>
      <c r="QN375" s="9" t="n">
        <v>0</v>
      </c>
      <c r="QP375" s="9" t="n">
        <v>0</v>
      </c>
      <c r="QQ375" s="9" t="n">
        <v>0</v>
      </c>
      <c r="QU375" s="10" t="n">
        <v>46341</v>
      </c>
      <c r="QW375" s="9" t="n">
        <v>0</v>
      </c>
      <c r="QY375" s="9" t="n">
        <v>0</v>
      </c>
      <c r="QZ375" s="9" t="n">
        <v>0</v>
      </c>
      <c r="RD375" s="10" t="n">
        <v>46341</v>
      </c>
      <c r="RF375" s="9" t="n">
        <v>0</v>
      </c>
      <c r="RH375" s="9" t="n">
        <v>0</v>
      </c>
      <c r="RI375" s="9" t="n">
        <v>147.04</v>
      </c>
      <c r="RM375" s="10" t="n">
        <v>46341</v>
      </c>
      <c r="RO375" s="9" t="n">
        <v>0</v>
      </c>
      <c r="RQ375" s="9" t="n">
        <v>0</v>
      </c>
      <c r="RR375" s="9" t="n">
        <v>46.8</v>
      </c>
      <c r="RV375" s="10" t="n">
        <v>46341</v>
      </c>
      <c r="RX375" s="9" t="n">
        <v>0</v>
      </c>
      <c r="RZ375" s="9" t="n">
        <v>0</v>
      </c>
      <c r="SA375" s="9" t="n">
        <v>0</v>
      </c>
      <c r="SE375" s="10" t="n">
        <v>46341</v>
      </c>
      <c r="SG375" s="9" t="n">
        <v>0</v>
      </c>
      <c r="SI375" s="9" t="n">
        <v>0</v>
      </c>
      <c r="SJ375" s="9" t="n">
        <v>24.2</v>
      </c>
      <c r="SN375" s="10" t="n">
        <v>46341</v>
      </c>
      <c r="SP375" s="9" t="n">
        <v>0</v>
      </c>
      <c r="SR375" s="9" t="n">
        <v>0</v>
      </c>
      <c r="SS375" s="9" t="n">
        <v>32</v>
      </c>
      <c r="SW375" s="10" t="n">
        <v>46341</v>
      </c>
      <c r="SY375" s="9" t="n">
        <v>0</v>
      </c>
      <c r="TA375" s="9" t="n">
        <v>0</v>
      </c>
      <c r="TB375" s="9" t="n">
        <v>0</v>
      </c>
      <c r="TF375" s="10" t="n">
        <v>46341</v>
      </c>
      <c r="TH375" s="9" t="n">
        <v>0</v>
      </c>
      <c r="TJ375" s="9" t="n">
        <v>0</v>
      </c>
      <c r="TK375" s="9" t="n">
        <v>0</v>
      </c>
      <c r="TO375" s="10" t="n">
        <v>46341</v>
      </c>
      <c r="TQ375" s="9" t="n">
        <v>0</v>
      </c>
      <c r="TS375" s="9" t="n">
        <v>0</v>
      </c>
      <c r="TT375" s="9" t="n">
        <v>0</v>
      </c>
      <c r="TX375" s="10" t="n">
        <v>46341</v>
      </c>
      <c r="TZ375" s="9" t="n">
        <v>0</v>
      </c>
      <c r="UB375" s="9" t="n">
        <v>0</v>
      </c>
      <c r="UC375" s="9" t="n">
        <v>46.79999999999998</v>
      </c>
      <c r="UG375" s="10" t="n">
        <v>46341</v>
      </c>
      <c r="UI375" s="9" t="n">
        <v>0</v>
      </c>
      <c r="UK375" s="9" t="n">
        <v>0</v>
      </c>
      <c r="UL375" s="9" t="n">
        <v>204</v>
      </c>
      <c r="UP375" s="10" t="n">
        <v>46341</v>
      </c>
      <c r="UR375" s="9" t="n">
        <v>0</v>
      </c>
      <c r="UT375" s="9" t="n">
        <v>0</v>
      </c>
      <c r="UU375" s="9" t="n">
        <v>202.5</v>
      </c>
      <c r="UY375" s="10" t="n">
        <v>46341</v>
      </c>
      <c r="VA375" s="9" t="n">
        <v>0</v>
      </c>
      <c r="VC375" s="9" t="n">
        <v>0</v>
      </c>
      <c r="VD375" s="9" t="n">
        <v>41.60000000000002</v>
      </c>
      <c r="VH375" s="10" t="n">
        <v>46341</v>
      </c>
      <c r="VJ375" s="9" t="n">
        <v>0</v>
      </c>
      <c r="VL375" s="9" t="n">
        <v>0</v>
      </c>
      <c r="VM375" s="9" t="n">
        <v>210</v>
      </c>
      <c r="VQ375" s="10" t="n">
        <v>46341</v>
      </c>
      <c r="VS375" s="9" t="n">
        <v>0</v>
      </c>
      <c r="VU375" s="9" t="n">
        <v>0</v>
      </c>
      <c r="VV375" s="9" t="n">
        <v>0</v>
      </c>
      <c r="VZ375" s="10" t="n">
        <v>46341</v>
      </c>
      <c r="WB375" s="9" t="n">
        <v>0</v>
      </c>
      <c r="WD375" s="9" t="n">
        <v>0</v>
      </c>
      <c r="WE375" s="9" t="n">
        <v>0</v>
      </c>
      <c r="WI375" s="10" t="n">
        <v>46341</v>
      </c>
      <c r="WK375" s="9" t="n">
        <v>0</v>
      </c>
      <c r="WM375" s="9" t="n">
        <v>0</v>
      </c>
      <c r="WN375" s="9" t="n">
        <v>1057</v>
      </c>
      <c r="WR375" s="10" t="n">
        <v>46341</v>
      </c>
      <c r="WT375" s="9" t="n">
        <v>0</v>
      </c>
      <c r="WV375" s="9" t="n">
        <v>0</v>
      </c>
      <c r="WW375" s="9" t="n">
        <v>0</v>
      </c>
      <c r="XA375" s="10" t="n">
        <v>46341</v>
      </c>
      <c r="XC375" s="9" t="n">
        <v>0</v>
      </c>
      <c r="XE375" s="9" t="n">
        <v>0</v>
      </c>
      <c r="XF375" s="9" t="n">
        <v>7507</v>
      </c>
      <c r="XJ375" s="10" t="n">
        <v>46341</v>
      </c>
      <c r="XL375" s="9" t="n">
        <v>0</v>
      </c>
      <c r="XN375" s="9" t="n">
        <v>0</v>
      </c>
      <c r="XO375" s="9" t="n">
        <v>4252</v>
      </c>
      <c r="XS375" s="10" t="n">
        <v>46341</v>
      </c>
      <c r="XU375" s="9" t="n">
        <v>0</v>
      </c>
      <c r="XW375" s="9" t="n">
        <v>0</v>
      </c>
      <c r="XX375" s="9" t="n">
        <v>2179</v>
      </c>
      <c r="YB375" s="10" t="n">
        <v>46341</v>
      </c>
      <c r="YD375" s="9" t="n">
        <v>0</v>
      </c>
      <c r="YF375" s="9" t="n">
        <v>0</v>
      </c>
      <c r="YG375" s="9" t="n">
        <v>4019</v>
      </c>
      <c r="YK375" s="10" t="n">
        <v>46341</v>
      </c>
      <c r="YM375" s="9" t="n">
        <v>0</v>
      </c>
      <c r="YO375" s="9" t="n">
        <v>0</v>
      </c>
      <c r="YP375" s="9" t="n">
        <v>-218</v>
      </c>
      <c r="YT375" s="10" t="n">
        <v>46341</v>
      </c>
      <c r="YV375" s="9" t="n">
        <v>0</v>
      </c>
      <c r="YX375" s="9" t="n">
        <v>0</v>
      </c>
      <c r="YY375" s="9" t="n">
        <v>0</v>
      </c>
      <c r="ZC375" s="10" t="n">
        <v>46341</v>
      </c>
      <c r="ZE375" s="9" t="n">
        <v>0</v>
      </c>
      <c r="ZG375" s="9" t="n">
        <v>0</v>
      </c>
      <c r="ZH375" s="9" t="n">
        <v>0</v>
      </c>
      <c r="ZL375" s="10" t="n">
        <v>46341</v>
      </c>
      <c r="ZN375" s="9" t="n">
        <v>0</v>
      </c>
      <c r="ZP375" s="9" t="n">
        <v>0</v>
      </c>
      <c r="ZQ375" s="9" t="n">
        <v>0</v>
      </c>
      <c r="ZU375" s="10" t="n">
        <v>46341</v>
      </c>
      <c r="ZW375" s="9" t="n">
        <v>0</v>
      </c>
      <c r="ZY375" s="9" t="n">
        <v>0</v>
      </c>
      <c r="ZZ375" s="9" t="n">
        <v>0</v>
      </c>
      <c r="AAD375" s="10" t="n">
        <v>46341</v>
      </c>
      <c r="AAF375" s="9" t="n">
        <v>0</v>
      </c>
      <c r="AAH375" s="9" t="n">
        <v>0</v>
      </c>
      <c r="AAI375" s="9" t="n">
        <v>0</v>
      </c>
      <c r="AAM375" s="10" t="n">
        <v>46341</v>
      </c>
      <c r="AAO375" s="9" t="n">
        <v>0</v>
      </c>
      <c r="AAQ375" s="9" t="n">
        <v>0</v>
      </c>
      <c r="AAR375" s="9" t="n">
        <v>0</v>
      </c>
      <c r="AAV375" s="10" t="n">
        <v>46341</v>
      </c>
      <c r="AAX375" s="9" t="n">
        <v>0</v>
      </c>
      <c r="AAZ375" s="9" t="n">
        <v>0</v>
      </c>
      <c r="ABA375" s="9" t="n">
        <v>0</v>
      </c>
      <c r="ABE375" s="10" t="n">
        <v>46341</v>
      </c>
      <c r="ABG375" s="9" t="n">
        <v>0</v>
      </c>
      <c r="ABI375" s="9" t="n">
        <v>0</v>
      </c>
      <c r="ABJ375" s="9" t="n">
        <v>0</v>
      </c>
    </row>
    <row r="376">
      <c r="C376" s="10" t="n">
        <v>46342</v>
      </c>
      <c r="E376" s="9" t="n">
        <v>0</v>
      </c>
      <c r="G376" s="9" t="n">
        <v>0</v>
      </c>
      <c r="H376" s="9" t="n">
        <v>236936.6</v>
      </c>
      <c r="L376" s="10" t="n">
        <v>46342</v>
      </c>
      <c r="N376" s="9" t="n">
        <v>0</v>
      </c>
      <c r="P376" s="9" t="n">
        <v>0</v>
      </c>
      <c r="Q376" s="9" t="n">
        <v>53017.60000000007</v>
      </c>
      <c r="U376" s="10" t="n">
        <v>46342</v>
      </c>
      <c r="W376" s="9" t="n">
        <v>0</v>
      </c>
      <c r="Y376" s="9" t="n">
        <v>0</v>
      </c>
      <c r="Z376" s="9" t="n">
        <v>42674.19999999997</v>
      </c>
      <c r="AD376" s="10" t="n">
        <v>46342</v>
      </c>
      <c r="AF376" s="9" t="n">
        <v>0</v>
      </c>
      <c r="AH376" s="9" t="n">
        <v>0</v>
      </c>
      <c r="AI376" s="9" t="n">
        <v>4522.200000000019</v>
      </c>
      <c r="AM376" s="10" t="n">
        <v>46342</v>
      </c>
      <c r="AO376" s="9" t="n">
        <v>0</v>
      </c>
      <c r="AQ376" s="9" t="n">
        <v>0</v>
      </c>
      <c r="AR376" s="9" t="n">
        <v>0</v>
      </c>
      <c r="AV376" s="10" t="n">
        <v>46342</v>
      </c>
      <c r="AX376" s="9" t="n">
        <v>0</v>
      </c>
      <c r="AZ376" s="9" t="n">
        <v>0</v>
      </c>
      <c r="BA376" s="9" t="n">
        <v>124.9999999999952</v>
      </c>
      <c r="BE376" s="10" t="n">
        <v>46342</v>
      </c>
      <c r="BG376" s="9" t="n">
        <v>0</v>
      </c>
      <c r="BI376" s="9" t="n">
        <v>0</v>
      </c>
      <c r="BJ376" s="9" t="n">
        <v>26151.9</v>
      </c>
      <c r="BN376" s="10" t="n">
        <v>46342</v>
      </c>
      <c r="BP376" s="9" t="n">
        <v>0</v>
      </c>
      <c r="BR376" s="9" t="n">
        <v>0</v>
      </c>
      <c r="BS376" s="9" t="n">
        <v>0</v>
      </c>
      <c r="BW376" s="10" t="n">
        <v>46342</v>
      </c>
      <c r="BY376" s="9" t="n">
        <v>0</v>
      </c>
      <c r="CA376" s="9" t="n">
        <v>0</v>
      </c>
      <c r="CB376" s="9" t="n">
        <v>2097.339999999999</v>
      </c>
      <c r="CF376" s="10" t="n">
        <v>46342</v>
      </c>
      <c r="CH376" s="9" t="n">
        <v>0</v>
      </c>
      <c r="CJ376" s="9" t="n">
        <v>0</v>
      </c>
      <c r="CK376" s="9" t="n">
        <v>-10277.08</v>
      </c>
      <c r="CO376" s="10" t="n">
        <v>46342</v>
      </c>
      <c r="CQ376" s="9" t="n">
        <v>0</v>
      </c>
      <c r="CS376" s="9" t="n">
        <v>0</v>
      </c>
      <c r="CT376" s="9" t="n">
        <v>0</v>
      </c>
      <c r="CX376" s="10" t="n">
        <v>46342</v>
      </c>
      <c r="CZ376" s="9" t="n">
        <v>0</v>
      </c>
      <c r="DB376" s="9" t="n">
        <v>0</v>
      </c>
      <c r="DC376" s="9" t="n">
        <v>27438.20000000001</v>
      </c>
      <c r="DG376" s="10" t="n">
        <v>46342</v>
      </c>
      <c r="DI376" s="9" t="n">
        <v>0</v>
      </c>
      <c r="DK376" s="9" t="n">
        <v>0</v>
      </c>
      <c r="DL376" s="9" t="n">
        <v>18782.29999999998</v>
      </c>
      <c r="DP376" s="10" t="n">
        <v>46342</v>
      </c>
      <c r="DR376" s="9" t="n">
        <v>0</v>
      </c>
      <c r="DT376" s="9" t="n">
        <v>0</v>
      </c>
      <c r="DU376" s="9" t="n">
        <v>5800</v>
      </c>
      <c r="DY376" s="10" t="n">
        <v>46342</v>
      </c>
      <c r="EA376" s="9" t="n">
        <v>0</v>
      </c>
      <c r="EC376" s="9" t="n">
        <v>0</v>
      </c>
      <c r="ED376" s="9" t="n">
        <v>0</v>
      </c>
      <c r="EH376" s="10" t="n">
        <v>46342</v>
      </c>
      <c r="EJ376" s="9" t="n">
        <v>0</v>
      </c>
      <c r="EL376" s="9" t="n">
        <v>0</v>
      </c>
      <c r="EM376" s="9" t="n">
        <v>0</v>
      </c>
      <c r="EQ376" s="10" t="n">
        <v>46342</v>
      </c>
      <c r="ES376" s="9" t="n">
        <v>0</v>
      </c>
      <c r="EU376" s="9" t="n">
        <v>0</v>
      </c>
      <c r="EV376" s="9" t="n">
        <v>0</v>
      </c>
      <c r="EZ376" s="10" t="n">
        <v>46342</v>
      </c>
      <c r="FB376" s="9" t="n">
        <v>0</v>
      </c>
      <c r="FD376" s="9" t="n">
        <v>0</v>
      </c>
      <c r="FE376" s="9" t="n">
        <v>0</v>
      </c>
      <c r="FI376" s="10" t="n">
        <v>46342</v>
      </c>
      <c r="FK376" s="9" t="n">
        <v>0</v>
      </c>
      <c r="FM376" s="9" t="n">
        <v>0</v>
      </c>
      <c r="FN376" s="9" t="n">
        <v>0</v>
      </c>
      <c r="FR376" s="10" t="n">
        <v>46342</v>
      </c>
      <c r="FT376" s="9" t="n">
        <v>0</v>
      </c>
      <c r="FV376" s="9" t="n">
        <v>0</v>
      </c>
      <c r="FW376" s="9" t="n">
        <v>2020</v>
      </c>
      <c r="GA376" s="10" t="n">
        <v>46342</v>
      </c>
      <c r="GC376" s="9" t="n">
        <v>0</v>
      </c>
      <c r="GE376" s="9" t="n">
        <v>0</v>
      </c>
      <c r="GF376" s="9" t="n">
        <v>960</v>
      </c>
      <c r="GJ376" s="10" t="n">
        <v>46342</v>
      </c>
      <c r="GL376" s="9" t="n">
        <v>0</v>
      </c>
      <c r="GN376" s="9" t="n">
        <v>0</v>
      </c>
      <c r="GO376" s="9" t="n">
        <v>1760</v>
      </c>
      <c r="GS376" s="10" t="n">
        <v>46342</v>
      </c>
      <c r="GU376" s="9" t="n">
        <v>0</v>
      </c>
      <c r="GW376" s="9" t="n">
        <v>0</v>
      </c>
      <c r="GX376" s="9" t="n">
        <v>400</v>
      </c>
      <c r="HB376" s="10" t="n">
        <v>46342</v>
      </c>
      <c r="HD376" s="9" t="n">
        <v>0</v>
      </c>
      <c r="HF376" s="9" t="n">
        <v>0</v>
      </c>
      <c r="HG376" s="9" t="n">
        <v>3600</v>
      </c>
      <c r="HK376" s="10" t="n">
        <v>46342</v>
      </c>
      <c r="HM376" s="9" t="n">
        <v>0</v>
      </c>
      <c r="HO376" s="9" t="n">
        <v>0</v>
      </c>
      <c r="HP376" s="9" t="n">
        <v>0</v>
      </c>
      <c r="HU376" s="10" t="n">
        <v>46342</v>
      </c>
      <c r="HW376" s="9" t="n">
        <v>0</v>
      </c>
      <c r="HY376" s="9" t="n">
        <v>0</v>
      </c>
      <c r="HZ376" s="9" t="n">
        <v>6120</v>
      </c>
      <c r="ID376" s="10" t="n">
        <v>46342</v>
      </c>
      <c r="IF376" s="9" t="n">
        <v>0</v>
      </c>
      <c r="IH376" s="9" t="n">
        <v>0</v>
      </c>
      <c r="II376" s="9" t="n">
        <v>0</v>
      </c>
      <c r="IM376" s="10" t="n">
        <v>46342</v>
      </c>
      <c r="IO376" s="9" t="n">
        <v>0</v>
      </c>
      <c r="IQ376" s="9" t="n">
        <v>0</v>
      </c>
      <c r="IR376" s="9" t="n">
        <v>0</v>
      </c>
      <c r="IV376" s="10" t="n">
        <v>46342</v>
      </c>
      <c r="IX376" s="9" t="n">
        <v>0</v>
      </c>
      <c r="IZ376" s="9" t="n">
        <v>0</v>
      </c>
      <c r="JA376" s="9" t="n">
        <v>2820</v>
      </c>
      <c r="JE376" s="10" t="n">
        <v>46342</v>
      </c>
      <c r="JG376" s="9" t="n">
        <v>0</v>
      </c>
      <c r="JI376" s="9" t="n">
        <v>0</v>
      </c>
      <c r="JJ376" s="9" t="n">
        <v>0</v>
      </c>
      <c r="JN376" s="10" t="n">
        <v>46342</v>
      </c>
      <c r="JP376" s="9" t="n">
        <v>0</v>
      </c>
      <c r="JR376" s="9" t="n">
        <v>0</v>
      </c>
      <c r="JS376" s="9" t="n">
        <v>0</v>
      </c>
      <c r="JW376" s="10" t="n">
        <v>46342</v>
      </c>
      <c r="JY376" s="9" t="n">
        <v>0</v>
      </c>
      <c r="KA376" s="9" t="n">
        <v>0</v>
      </c>
      <c r="KB376" s="9" t="n">
        <v>2540</v>
      </c>
      <c r="KF376" s="10" t="n">
        <v>46342</v>
      </c>
      <c r="KH376" s="9" t="n">
        <v>0</v>
      </c>
      <c r="KJ376" s="9" t="n">
        <v>0</v>
      </c>
      <c r="KK376" s="9" t="n">
        <v>2359.5</v>
      </c>
      <c r="KO376" s="10" t="n">
        <v>46342</v>
      </c>
      <c r="KQ376" s="9" t="n">
        <v>0</v>
      </c>
      <c r="KS376" s="9" t="n">
        <v>0</v>
      </c>
      <c r="KT376" s="9" t="n">
        <v>1890</v>
      </c>
      <c r="KX376" s="10" t="n">
        <v>46342</v>
      </c>
      <c r="KZ376" s="9" t="n">
        <v>0</v>
      </c>
      <c r="LB376" s="9" t="n">
        <v>0</v>
      </c>
      <c r="LC376" s="9" t="n">
        <v>3690</v>
      </c>
      <c r="LG376" s="10" t="n">
        <v>46342</v>
      </c>
      <c r="LI376" s="9" t="n">
        <v>0</v>
      </c>
      <c r="LK376" s="9" t="n">
        <v>0</v>
      </c>
      <c r="LL376" s="9" t="n">
        <v>4000</v>
      </c>
      <c r="LP376" s="10" t="n">
        <v>46342</v>
      </c>
      <c r="LR376" s="9" t="n">
        <v>0</v>
      </c>
      <c r="LT376" s="9" t="n">
        <v>0</v>
      </c>
      <c r="LU376" s="9" t="n">
        <v>0</v>
      </c>
      <c r="LY376" s="10" t="n">
        <v>46342</v>
      </c>
      <c r="MA376" s="9" t="n">
        <v>0</v>
      </c>
      <c r="MC376" s="9" t="n">
        <v>0</v>
      </c>
      <c r="MD376" s="9" t="n">
        <v>0</v>
      </c>
      <c r="MH376" s="10" t="n">
        <v>46342</v>
      </c>
      <c r="MJ376" s="9" t="n">
        <v>0</v>
      </c>
      <c r="ML376" s="9" t="n">
        <v>0</v>
      </c>
      <c r="MM376" s="9" t="n">
        <v>0</v>
      </c>
      <c r="MQ376" s="10" t="n">
        <v>46342</v>
      </c>
      <c r="MS376" s="9" t="n">
        <v>0</v>
      </c>
      <c r="MU376" s="9" t="n">
        <v>0</v>
      </c>
      <c r="MV376" s="9" t="n">
        <v>1625</v>
      </c>
      <c r="MZ376" s="10" t="n">
        <v>46342</v>
      </c>
      <c r="NB376" s="9" t="n">
        <v>0</v>
      </c>
      <c r="ND376" s="9" t="n">
        <v>0</v>
      </c>
      <c r="NE376" s="9" t="n">
        <v>0</v>
      </c>
      <c r="NI376" s="10" t="n">
        <v>46342</v>
      </c>
      <c r="NK376" s="9" t="n">
        <v>0</v>
      </c>
      <c r="NM376" s="9" t="n">
        <v>0</v>
      </c>
      <c r="NN376" s="9" t="n">
        <v>1127</v>
      </c>
      <c r="NR376" s="10" t="n">
        <v>46342</v>
      </c>
      <c r="NT376" s="9" t="n">
        <v>0</v>
      </c>
      <c r="NV376" s="9" t="n">
        <v>0</v>
      </c>
      <c r="NW376" s="9" t="n">
        <v>3112</v>
      </c>
      <c r="OA376" s="10" t="n">
        <v>46342</v>
      </c>
      <c r="OC376" s="9" t="n">
        <v>0</v>
      </c>
      <c r="OE376" s="9" t="n">
        <v>0</v>
      </c>
      <c r="OF376" s="9" t="n">
        <v>1680.5</v>
      </c>
      <c r="OJ376" s="10" t="n">
        <v>46342</v>
      </c>
      <c r="OL376" s="9" t="n">
        <v>0</v>
      </c>
      <c r="ON376" s="9" t="n">
        <v>0</v>
      </c>
      <c r="OO376" s="9" t="n">
        <v>0</v>
      </c>
      <c r="OS376" s="10" t="n">
        <v>46342</v>
      </c>
      <c r="OU376" s="9" t="n">
        <v>0</v>
      </c>
      <c r="OW376" s="9" t="n">
        <v>0</v>
      </c>
      <c r="OX376" s="9" t="n">
        <v>1482</v>
      </c>
      <c r="PB376" s="10" t="n">
        <v>46342</v>
      </c>
      <c r="PD376" s="9" t="n">
        <v>0</v>
      </c>
      <c r="PF376" s="9" t="n">
        <v>0</v>
      </c>
      <c r="PG376" s="9" t="n">
        <v>0</v>
      </c>
      <c r="PK376" s="10" t="n">
        <v>46342</v>
      </c>
      <c r="PM376" s="9" t="n">
        <v>0</v>
      </c>
      <c r="PO376" s="9" t="n">
        <v>0</v>
      </c>
      <c r="PP376" s="9" t="n">
        <v>100</v>
      </c>
      <c r="PT376" s="10" t="n">
        <v>46342</v>
      </c>
      <c r="PV376" s="9" t="n">
        <v>0</v>
      </c>
      <c r="PX376" s="9" t="n">
        <v>0</v>
      </c>
      <c r="PY376" s="9" t="n">
        <v>13.96000000000004</v>
      </c>
      <c r="QC376" s="10" t="n">
        <v>46342</v>
      </c>
      <c r="QE376" s="9" t="n">
        <v>0</v>
      </c>
      <c r="QG376" s="9" t="n">
        <v>0</v>
      </c>
      <c r="QH376" s="9" t="n">
        <v>548</v>
      </c>
      <c r="QL376" s="10" t="n">
        <v>46342</v>
      </c>
      <c r="QN376" s="9" t="n">
        <v>0</v>
      </c>
      <c r="QP376" s="9" t="n">
        <v>0</v>
      </c>
      <c r="QQ376" s="9" t="n">
        <v>0</v>
      </c>
      <c r="QU376" s="10" t="n">
        <v>46342</v>
      </c>
      <c r="QW376" s="9" t="n">
        <v>0</v>
      </c>
      <c r="QY376" s="9" t="n">
        <v>0</v>
      </c>
      <c r="QZ376" s="9" t="n">
        <v>0</v>
      </c>
      <c r="RD376" s="10" t="n">
        <v>46342</v>
      </c>
      <c r="RF376" s="9" t="n">
        <v>0</v>
      </c>
      <c r="RH376" s="9" t="n">
        <v>0</v>
      </c>
      <c r="RI376" s="9" t="n">
        <v>147.04</v>
      </c>
      <c r="RM376" s="10" t="n">
        <v>46342</v>
      </c>
      <c r="RO376" s="9" t="n">
        <v>0</v>
      </c>
      <c r="RQ376" s="9" t="n">
        <v>0</v>
      </c>
      <c r="RR376" s="9" t="n">
        <v>46.8</v>
      </c>
      <c r="RV376" s="10" t="n">
        <v>46342</v>
      </c>
      <c r="RX376" s="9" t="n">
        <v>0</v>
      </c>
      <c r="RZ376" s="9" t="n">
        <v>0</v>
      </c>
      <c r="SA376" s="9" t="n">
        <v>0</v>
      </c>
      <c r="SE376" s="10" t="n">
        <v>46342</v>
      </c>
      <c r="SG376" s="9" t="n">
        <v>0</v>
      </c>
      <c r="SI376" s="9" t="n">
        <v>0</v>
      </c>
      <c r="SJ376" s="9" t="n">
        <v>24.2</v>
      </c>
      <c r="SN376" s="10" t="n">
        <v>46342</v>
      </c>
      <c r="SP376" s="9" t="n">
        <v>0</v>
      </c>
      <c r="SR376" s="9" t="n">
        <v>0</v>
      </c>
      <c r="SS376" s="9" t="n">
        <v>32</v>
      </c>
      <c r="SW376" s="10" t="n">
        <v>46342</v>
      </c>
      <c r="SY376" s="9" t="n">
        <v>0</v>
      </c>
      <c r="TA376" s="9" t="n">
        <v>0</v>
      </c>
      <c r="TB376" s="9" t="n">
        <v>0</v>
      </c>
      <c r="TF376" s="10" t="n">
        <v>46342</v>
      </c>
      <c r="TH376" s="9" t="n">
        <v>0</v>
      </c>
      <c r="TJ376" s="9" t="n">
        <v>0</v>
      </c>
      <c r="TK376" s="9" t="n">
        <v>0</v>
      </c>
      <c r="TO376" s="10" t="n">
        <v>46342</v>
      </c>
      <c r="TQ376" s="9" t="n">
        <v>0</v>
      </c>
      <c r="TS376" s="9" t="n">
        <v>0</v>
      </c>
      <c r="TT376" s="9" t="n">
        <v>0</v>
      </c>
      <c r="TX376" s="10" t="n">
        <v>46342</v>
      </c>
      <c r="TZ376" s="9" t="n">
        <v>0</v>
      </c>
      <c r="UB376" s="9" t="n">
        <v>0</v>
      </c>
      <c r="UC376" s="9" t="n">
        <v>46.79999999999998</v>
      </c>
      <c r="UG376" s="10" t="n">
        <v>46342</v>
      </c>
      <c r="UI376" s="9" t="n">
        <v>0</v>
      </c>
      <c r="UK376" s="9" t="n">
        <v>0</v>
      </c>
      <c r="UL376" s="9" t="n">
        <v>204</v>
      </c>
      <c r="UP376" s="10" t="n">
        <v>46342</v>
      </c>
      <c r="UR376" s="9" t="n">
        <v>0</v>
      </c>
      <c r="UT376" s="9" t="n">
        <v>0</v>
      </c>
      <c r="UU376" s="9" t="n">
        <v>202.5</v>
      </c>
      <c r="UY376" s="10" t="n">
        <v>46342</v>
      </c>
      <c r="VA376" s="9" t="n">
        <v>0</v>
      </c>
      <c r="VC376" s="9" t="n">
        <v>0</v>
      </c>
      <c r="VD376" s="9" t="n">
        <v>41.60000000000002</v>
      </c>
      <c r="VH376" s="10" t="n">
        <v>46342</v>
      </c>
      <c r="VJ376" s="9" t="n">
        <v>0</v>
      </c>
      <c r="VL376" s="9" t="n">
        <v>0</v>
      </c>
      <c r="VM376" s="9" t="n">
        <v>210</v>
      </c>
      <c r="VQ376" s="10" t="n">
        <v>46342</v>
      </c>
      <c r="VS376" s="9" t="n">
        <v>0</v>
      </c>
      <c r="VU376" s="9" t="n">
        <v>0</v>
      </c>
      <c r="VV376" s="9" t="n">
        <v>0</v>
      </c>
      <c r="VZ376" s="10" t="n">
        <v>46342</v>
      </c>
      <c r="WB376" s="9" t="n">
        <v>0</v>
      </c>
      <c r="WD376" s="9" t="n">
        <v>0</v>
      </c>
      <c r="WE376" s="9" t="n">
        <v>0</v>
      </c>
      <c r="WI376" s="10" t="n">
        <v>46342</v>
      </c>
      <c r="WK376" s="9" t="n">
        <v>0</v>
      </c>
      <c r="WM376" s="9" t="n">
        <v>0</v>
      </c>
      <c r="WN376" s="9" t="n">
        <v>1057</v>
      </c>
      <c r="WR376" s="10" t="n">
        <v>46342</v>
      </c>
      <c r="WT376" s="9" t="n">
        <v>0</v>
      </c>
      <c r="WV376" s="9" t="n">
        <v>0</v>
      </c>
      <c r="WW376" s="9" t="n">
        <v>0</v>
      </c>
      <c r="XA376" s="10" t="n">
        <v>46342</v>
      </c>
      <c r="XC376" s="9" t="n">
        <v>0</v>
      </c>
      <c r="XE376" s="9" t="n">
        <v>0</v>
      </c>
      <c r="XF376" s="9" t="n">
        <v>7507</v>
      </c>
      <c r="XJ376" s="10" t="n">
        <v>46342</v>
      </c>
      <c r="XL376" s="9" t="n">
        <v>0</v>
      </c>
      <c r="XN376" s="9" t="n">
        <v>0</v>
      </c>
      <c r="XO376" s="9" t="n">
        <v>4252</v>
      </c>
      <c r="XS376" s="10" t="n">
        <v>46342</v>
      </c>
      <c r="XU376" s="9" t="n">
        <v>0</v>
      </c>
      <c r="XW376" s="9" t="n">
        <v>0</v>
      </c>
      <c r="XX376" s="9" t="n">
        <v>2179</v>
      </c>
      <c r="YB376" s="10" t="n">
        <v>46342</v>
      </c>
      <c r="YD376" s="9" t="n">
        <v>0</v>
      </c>
      <c r="YF376" s="9" t="n">
        <v>0</v>
      </c>
      <c r="YG376" s="9" t="n">
        <v>4019</v>
      </c>
      <c r="YK376" s="10" t="n">
        <v>46342</v>
      </c>
      <c r="YM376" s="9" t="n">
        <v>0</v>
      </c>
      <c r="YO376" s="9" t="n">
        <v>0</v>
      </c>
      <c r="YP376" s="9" t="n">
        <v>-218</v>
      </c>
      <c r="YT376" s="10" t="n">
        <v>46342</v>
      </c>
      <c r="YV376" s="9" t="n">
        <v>0</v>
      </c>
      <c r="YX376" s="9" t="n">
        <v>0</v>
      </c>
      <c r="YY376" s="9" t="n">
        <v>0</v>
      </c>
      <c r="ZC376" s="10" t="n">
        <v>46342</v>
      </c>
      <c r="ZE376" s="9" t="n">
        <v>0</v>
      </c>
      <c r="ZG376" s="9" t="n">
        <v>0</v>
      </c>
      <c r="ZH376" s="9" t="n">
        <v>0</v>
      </c>
      <c r="ZL376" s="10" t="n">
        <v>46342</v>
      </c>
      <c r="ZN376" s="9" t="n">
        <v>0</v>
      </c>
      <c r="ZP376" s="9" t="n">
        <v>0</v>
      </c>
      <c r="ZQ376" s="9" t="n">
        <v>0</v>
      </c>
      <c r="ZU376" s="10" t="n">
        <v>46342</v>
      </c>
      <c r="ZW376" s="9" t="n">
        <v>0</v>
      </c>
      <c r="ZY376" s="9" t="n">
        <v>0</v>
      </c>
      <c r="ZZ376" s="9" t="n">
        <v>0</v>
      </c>
      <c r="AAD376" s="10" t="n">
        <v>46342</v>
      </c>
      <c r="AAF376" s="9" t="n">
        <v>0</v>
      </c>
      <c r="AAH376" s="9" t="n">
        <v>0</v>
      </c>
      <c r="AAI376" s="9" t="n">
        <v>0</v>
      </c>
      <c r="AAM376" s="10" t="n">
        <v>46342</v>
      </c>
      <c r="AAO376" s="9" t="n">
        <v>0</v>
      </c>
      <c r="AAQ376" s="9" t="n">
        <v>0</v>
      </c>
      <c r="AAR376" s="9" t="n">
        <v>0</v>
      </c>
      <c r="AAV376" s="10" t="n">
        <v>46342</v>
      </c>
      <c r="AAX376" s="9" t="n">
        <v>0</v>
      </c>
      <c r="AAZ376" s="9" t="n">
        <v>0</v>
      </c>
      <c r="ABA376" s="9" t="n">
        <v>0</v>
      </c>
      <c r="ABE376" s="10" t="n">
        <v>46342</v>
      </c>
      <c r="ABG376" s="9" t="n">
        <v>0</v>
      </c>
      <c r="ABI376" s="9" t="n">
        <v>0</v>
      </c>
      <c r="ABJ376" s="9" t="n">
        <v>0</v>
      </c>
    </row>
    <row r="377">
      <c r="C377" s="10" t="n">
        <v>46343</v>
      </c>
      <c r="E377" s="9" t="n">
        <v>0</v>
      </c>
      <c r="G377" s="9" t="n">
        <v>0</v>
      </c>
      <c r="H377" s="9" t="n">
        <v>236936.6</v>
      </c>
      <c r="L377" s="10" t="n">
        <v>46343</v>
      </c>
      <c r="N377" s="9" t="n">
        <v>0</v>
      </c>
      <c r="P377" s="9" t="n">
        <v>0</v>
      </c>
      <c r="Q377" s="9" t="n">
        <v>53017.60000000007</v>
      </c>
      <c r="U377" s="10" t="n">
        <v>46343</v>
      </c>
      <c r="W377" s="9" t="n">
        <v>0</v>
      </c>
      <c r="Y377" s="9" t="n">
        <v>0</v>
      </c>
      <c r="Z377" s="9" t="n">
        <v>42674.19999999997</v>
      </c>
      <c r="AD377" s="10" t="n">
        <v>46343</v>
      </c>
      <c r="AF377" s="9" t="n">
        <v>0</v>
      </c>
      <c r="AH377" s="9" t="n">
        <v>0</v>
      </c>
      <c r="AI377" s="9" t="n">
        <v>4522.200000000019</v>
      </c>
      <c r="AM377" s="10" t="n">
        <v>46343</v>
      </c>
      <c r="AO377" s="9" t="n">
        <v>0</v>
      </c>
      <c r="AQ377" s="9" t="n">
        <v>0</v>
      </c>
      <c r="AR377" s="9" t="n">
        <v>0</v>
      </c>
      <c r="AV377" s="10" t="n">
        <v>46343</v>
      </c>
      <c r="AX377" s="9" t="n">
        <v>0</v>
      </c>
      <c r="AZ377" s="9" t="n">
        <v>0</v>
      </c>
      <c r="BA377" s="9" t="n">
        <v>124.9999999999952</v>
      </c>
      <c r="BE377" s="10" t="n">
        <v>46343</v>
      </c>
      <c r="BG377" s="9" t="n">
        <v>0</v>
      </c>
      <c r="BI377" s="9" t="n">
        <v>0</v>
      </c>
      <c r="BJ377" s="9" t="n">
        <v>26151.9</v>
      </c>
      <c r="BN377" s="10" t="n">
        <v>46343</v>
      </c>
      <c r="BP377" s="9" t="n">
        <v>0</v>
      </c>
      <c r="BR377" s="9" t="n">
        <v>0</v>
      </c>
      <c r="BS377" s="9" t="n">
        <v>0</v>
      </c>
      <c r="BW377" s="10" t="n">
        <v>46343</v>
      </c>
      <c r="BY377" s="9" t="n">
        <v>0</v>
      </c>
      <c r="CA377" s="9" t="n">
        <v>0</v>
      </c>
      <c r="CB377" s="9" t="n">
        <v>2097.339999999999</v>
      </c>
      <c r="CF377" s="10" t="n">
        <v>46343</v>
      </c>
      <c r="CH377" s="9" t="n">
        <v>0</v>
      </c>
      <c r="CJ377" s="9" t="n">
        <v>0</v>
      </c>
      <c r="CK377" s="9" t="n">
        <v>-10277.08</v>
      </c>
      <c r="CO377" s="10" t="n">
        <v>46343</v>
      </c>
      <c r="CQ377" s="9" t="n">
        <v>0</v>
      </c>
      <c r="CS377" s="9" t="n">
        <v>0</v>
      </c>
      <c r="CT377" s="9" t="n">
        <v>0</v>
      </c>
      <c r="CX377" s="10" t="n">
        <v>46343</v>
      </c>
      <c r="CZ377" s="9" t="n">
        <v>0</v>
      </c>
      <c r="DB377" s="9" t="n">
        <v>0</v>
      </c>
      <c r="DC377" s="9" t="n">
        <v>27438.20000000001</v>
      </c>
      <c r="DG377" s="10" t="n">
        <v>46343</v>
      </c>
      <c r="DI377" s="9" t="n">
        <v>0</v>
      </c>
      <c r="DK377" s="9" t="n">
        <v>0</v>
      </c>
      <c r="DL377" s="9" t="n">
        <v>18782.29999999998</v>
      </c>
      <c r="DP377" s="10" t="n">
        <v>46343</v>
      </c>
      <c r="DR377" s="9" t="n">
        <v>0</v>
      </c>
      <c r="DT377" s="9" t="n">
        <v>0</v>
      </c>
      <c r="DU377" s="9" t="n">
        <v>5800</v>
      </c>
      <c r="DY377" s="10" t="n">
        <v>46343</v>
      </c>
      <c r="EA377" s="9" t="n">
        <v>0</v>
      </c>
      <c r="EC377" s="9" t="n">
        <v>0</v>
      </c>
      <c r="ED377" s="9" t="n">
        <v>0</v>
      </c>
      <c r="EH377" s="10" t="n">
        <v>46343</v>
      </c>
      <c r="EJ377" s="9" t="n">
        <v>0</v>
      </c>
      <c r="EL377" s="9" t="n">
        <v>0</v>
      </c>
      <c r="EM377" s="9" t="n">
        <v>0</v>
      </c>
      <c r="EQ377" s="10" t="n">
        <v>46343</v>
      </c>
      <c r="ES377" s="9" t="n">
        <v>0</v>
      </c>
      <c r="EU377" s="9" t="n">
        <v>0</v>
      </c>
      <c r="EV377" s="9" t="n">
        <v>0</v>
      </c>
      <c r="EZ377" s="10" t="n">
        <v>46343</v>
      </c>
      <c r="FB377" s="9" t="n">
        <v>0</v>
      </c>
      <c r="FD377" s="9" t="n">
        <v>0</v>
      </c>
      <c r="FE377" s="9" t="n">
        <v>0</v>
      </c>
      <c r="FI377" s="10" t="n">
        <v>46343</v>
      </c>
      <c r="FK377" s="9" t="n">
        <v>0</v>
      </c>
      <c r="FM377" s="9" t="n">
        <v>0</v>
      </c>
      <c r="FN377" s="9" t="n">
        <v>0</v>
      </c>
      <c r="FR377" s="10" t="n">
        <v>46343</v>
      </c>
      <c r="FT377" s="9" t="n">
        <v>0</v>
      </c>
      <c r="FV377" s="9" t="n">
        <v>0</v>
      </c>
      <c r="FW377" s="9" t="n">
        <v>2020</v>
      </c>
      <c r="GA377" s="10" t="n">
        <v>46343</v>
      </c>
      <c r="GC377" s="9" t="n">
        <v>0</v>
      </c>
      <c r="GE377" s="9" t="n">
        <v>0</v>
      </c>
      <c r="GF377" s="9" t="n">
        <v>960</v>
      </c>
      <c r="GJ377" s="10" t="n">
        <v>46343</v>
      </c>
      <c r="GL377" s="9" t="n">
        <v>0</v>
      </c>
      <c r="GN377" s="9" t="n">
        <v>0</v>
      </c>
      <c r="GO377" s="9" t="n">
        <v>1760</v>
      </c>
      <c r="GS377" s="10" t="n">
        <v>46343</v>
      </c>
      <c r="GU377" s="9" t="n">
        <v>0</v>
      </c>
      <c r="GW377" s="9" t="n">
        <v>0</v>
      </c>
      <c r="GX377" s="9" t="n">
        <v>400</v>
      </c>
      <c r="HB377" s="10" t="n">
        <v>46343</v>
      </c>
      <c r="HD377" s="9" t="n">
        <v>0</v>
      </c>
      <c r="HF377" s="9" t="n">
        <v>0</v>
      </c>
      <c r="HG377" s="9" t="n">
        <v>3600</v>
      </c>
      <c r="HK377" s="10" t="n">
        <v>46343</v>
      </c>
      <c r="HM377" s="9" t="n">
        <v>0</v>
      </c>
      <c r="HO377" s="9" t="n">
        <v>0</v>
      </c>
      <c r="HP377" s="9" t="n">
        <v>0</v>
      </c>
      <c r="HU377" s="10" t="n">
        <v>46343</v>
      </c>
      <c r="HW377" s="9" t="n">
        <v>0</v>
      </c>
      <c r="HY377" s="9" t="n">
        <v>0</v>
      </c>
      <c r="HZ377" s="9" t="n">
        <v>6120</v>
      </c>
      <c r="ID377" s="10" t="n">
        <v>46343</v>
      </c>
      <c r="IF377" s="9" t="n">
        <v>0</v>
      </c>
      <c r="IH377" s="9" t="n">
        <v>0</v>
      </c>
      <c r="II377" s="9" t="n">
        <v>0</v>
      </c>
      <c r="IM377" s="10" t="n">
        <v>46343</v>
      </c>
      <c r="IO377" s="9" t="n">
        <v>0</v>
      </c>
      <c r="IQ377" s="9" t="n">
        <v>0</v>
      </c>
      <c r="IR377" s="9" t="n">
        <v>0</v>
      </c>
      <c r="IV377" s="10" t="n">
        <v>46343</v>
      </c>
      <c r="IX377" s="9" t="n">
        <v>0</v>
      </c>
      <c r="IZ377" s="9" t="n">
        <v>0</v>
      </c>
      <c r="JA377" s="9" t="n">
        <v>2820</v>
      </c>
      <c r="JE377" s="10" t="n">
        <v>46343</v>
      </c>
      <c r="JG377" s="9" t="n">
        <v>0</v>
      </c>
      <c r="JI377" s="9" t="n">
        <v>0</v>
      </c>
      <c r="JJ377" s="9" t="n">
        <v>0</v>
      </c>
      <c r="JN377" s="10" t="n">
        <v>46343</v>
      </c>
      <c r="JP377" s="9" t="n">
        <v>0</v>
      </c>
      <c r="JR377" s="9" t="n">
        <v>0</v>
      </c>
      <c r="JS377" s="9" t="n">
        <v>0</v>
      </c>
      <c r="JW377" s="10" t="n">
        <v>46343</v>
      </c>
      <c r="JY377" s="9" t="n">
        <v>0</v>
      </c>
      <c r="KA377" s="9" t="n">
        <v>0</v>
      </c>
      <c r="KB377" s="9" t="n">
        <v>2540</v>
      </c>
      <c r="KF377" s="10" t="n">
        <v>46343</v>
      </c>
      <c r="KH377" s="9" t="n">
        <v>0</v>
      </c>
      <c r="KJ377" s="9" t="n">
        <v>0</v>
      </c>
      <c r="KK377" s="9" t="n">
        <v>2359.5</v>
      </c>
      <c r="KO377" s="10" t="n">
        <v>46343</v>
      </c>
      <c r="KQ377" s="9" t="n">
        <v>0</v>
      </c>
      <c r="KS377" s="9" t="n">
        <v>0</v>
      </c>
      <c r="KT377" s="9" t="n">
        <v>1890</v>
      </c>
      <c r="KX377" s="10" t="n">
        <v>46343</v>
      </c>
      <c r="KZ377" s="9" t="n">
        <v>0</v>
      </c>
      <c r="LB377" s="9" t="n">
        <v>0</v>
      </c>
      <c r="LC377" s="9" t="n">
        <v>3690</v>
      </c>
      <c r="LG377" s="10" t="n">
        <v>46343</v>
      </c>
      <c r="LI377" s="9" t="n">
        <v>0</v>
      </c>
      <c r="LK377" s="9" t="n">
        <v>0</v>
      </c>
      <c r="LL377" s="9" t="n">
        <v>4000</v>
      </c>
      <c r="LP377" s="10" t="n">
        <v>46343</v>
      </c>
      <c r="LR377" s="9" t="n">
        <v>0</v>
      </c>
      <c r="LT377" s="9" t="n">
        <v>0</v>
      </c>
      <c r="LU377" s="9" t="n">
        <v>0</v>
      </c>
      <c r="LY377" s="10" t="n">
        <v>46343</v>
      </c>
      <c r="MA377" s="9" t="n">
        <v>0</v>
      </c>
      <c r="MC377" s="9" t="n">
        <v>0</v>
      </c>
      <c r="MD377" s="9" t="n">
        <v>0</v>
      </c>
      <c r="MH377" s="10" t="n">
        <v>46343</v>
      </c>
      <c r="MJ377" s="9" t="n">
        <v>0</v>
      </c>
      <c r="ML377" s="9" t="n">
        <v>0</v>
      </c>
      <c r="MM377" s="9" t="n">
        <v>0</v>
      </c>
      <c r="MQ377" s="10" t="n">
        <v>46343</v>
      </c>
      <c r="MS377" s="9" t="n">
        <v>0</v>
      </c>
      <c r="MU377" s="9" t="n">
        <v>0</v>
      </c>
      <c r="MV377" s="9" t="n">
        <v>1625</v>
      </c>
      <c r="MZ377" s="10" t="n">
        <v>46343</v>
      </c>
      <c r="NB377" s="9" t="n">
        <v>0</v>
      </c>
      <c r="ND377" s="9" t="n">
        <v>0</v>
      </c>
      <c r="NE377" s="9" t="n">
        <v>0</v>
      </c>
      <c r="NI377" s="10" t="n">
        <v>46343</v>
      </c>
      <c r="NK377" s="9" t="n">
        <v>0</v>
      </c>
      <c r="NM377" s="9" t="n">
        <v>0</v>
      </c>
      <c r="NN377" s="9" t="n">
        <v>1127</v>
      </c>
      <c r="NR377" s="10" t="n">
        <v>46343</v>
      </c>
      <c r="NT377" s="9" t="n">
        <v>0</v>
      </c>
      <c r="NV377" s="9" t="n">
        <v>0</v>
      </c>
      <c r="NW377" s="9" t="n">
        <v>3112</v>
      </c>
      <c r="OA377" s="10" t="n">
        <v>46343</v>
      </c>
      <c r="OC377" s="9" t="n">
        <v>0</v>
      </c>
      <c r="OE377" s="9" t="n">
        <v>0</v>
      </c>
      <c r="OF377" s="9" t="n">
        <v>1680.5</v>
      </c>
      <c r="OJ377" s="10" t="n">
        <v>46343</v>
      </c>
      <c r="OL377" s="9" t="n">
        <v>0</v>
      </c>
      <c r="ON377" s="9" t="n">
        <v>0</v>
      </c>
      <c r="OO377" s="9" t="n">
        <v>0</v>
      </c>
      <c r="OS377" s="10" t="n">
        <v>46343</v>
      </c>
      <c r="OU377" s="9" t="n">
        <v>0</v>
      </c>
      <c r="OW377" s="9" t="n">
        <v>0</v>
      </c>
      <c r="OX377" s="9" t="n">
        <v>1482</v>
      </c>
      <c r="PB377" s="10" t="n">
        <v>46343</v>
      </c>
      <c r="PD377" s="9" t="n">
        <v>0</v>
      </c>
      <c r="PF377" s="9" t="n">
        <v>0</v>
      </c>
      <c r="PG377" s="9" t="n">
        <v>0</v>
      </c>
      <c r="PK377" s="10" t="n">
        <v>46343</v>
      </c>
      <c r="PM377" s="9" t="n">
        <v>0</v>
      </c>
      <c r="PO377" s="9" t="n">
        <v>0</v>
      </c>
      <c r="PP377" s="9" t="n">
        <v>100</v>
      </c>
      <c r="PT377" s="10" t="n">
        <v>46343</v>
      </c>
      <c r="PV377" s="9" t="n">
        <v>0</v>
      </c>
      <c r="PX377" s="9" t="n">
        <v>0</v>
      </c>
      <c r="PY377" s="9" t="n">
        <v>13.96000000000004</v>
      </c>
      <c r="QC377" s="10" t="n">
        <v>46343</v>
      </c>
      <c r="QE377" s="9" t="n">
        <v>0</v>
      </c>
      <c r="QG377" s="9" t="n">
        <v>0</v>
      </c>
      <c r="QH377" s="9" t="n">
        <v>548</v>
      </c>
      <c r="QL377" s="10" t="n">
        <v>46343</v>
      </c>
      <c r="QN377" s="9" t="n">
        <v>0</v>
      </c>
      <c r="QP377" s="9" t="n">
        <v>0</v>
      </c>
      <c r="QQ377" s="9" t="n">
        <v>0</v>
      </c>
      <c r="QU377" s="10" t="n">
        <v>46343</v>
      </c>
      <c r="QW377" s="9" t="n">
        <v>0</v>
      </c>
      <c r="QY377" s="9" t="n">
        <v>0</v>
      </c>
      <c r="QZ377" s="9" t="n">
        <v>0</v>
      </c>
      <c r="RD377" s="10" t="n">
        <v>46343</v>
      </c>
      <c r="RF377" s="9" t="n">
        <v>0</v>
      </c>
      <c r="RH377" s="9" t="n">
        <v>0</v>
      </c>
      <c r="RI377" s="9" t="n">
        <v>147.04</v>
      </c>
      <c r="RM377" s="10" t="n">
        <v>46343</v>
      </c>
      <c r="RO377" s="9" t="n">
        <v>0</v>
      </c>
      <c r="RQ377" s="9" t="n">
        <v>0</v>
      </c>
      <c r="RR377" s="9" t="n">
        <v>46.8</v>
      </c>
      <c r="RV377" s="10" t="n">
        <v>46343</v>
      </c>
      <c r="RX377" s="9" t="n">
        <v>0</v>
      </c>
      <c r="RZ377" s="9" t="n">
        <v>0</v>
      </c>
      <c r="SA377" s="9" t="n">
        <v>0</v>
      </c>
      <c r="SE377" s="10" t="n">
        <v>46343</v>
      </c>
      <c r="SG377" s="9" t="n">
        <v>0</v>
      </c>
      <c r="SI377" s="9" t="n">
        <v>0</v>
      </c>
      <c r="SJ377" s="9" t="n">
        <v>24.2</v>
      </c>
      <c r="SN377" s="10" t="n">
        <v>46343</v>
      </c>
      <c r="SP377" s="9" t="n">
        <v>0</v>
      </c>
      <c r="SR377" s="9" t="n">
        <v>0</v>
      </c>
      <c r="SS377" s="9" t="n">
        <v>32</v>
      </c>
      <c r="SW377" s="10" t="n">
        <v>46343</v>
      </c>
      <c r="SY377" s="9" t="n">
        <v>0</v>
      </c>
      <c r="TA377" s="9" t="n">
        <v>0</v>
      </c>
      <c r="TB377" s="9" t="n">
        <v>0</v>
      </c>
      <c r="TF377" s="10" t="n">
        <v>46343</v>
      </c>
      <c r="TH377" s="9" t="n">
        <v>0</v>
      </c>
      <c r="TJ377" s="9" t="n">
        <v>0</v>
      </c>
      <c r="TK377" s="9" t="n">
        <v>0</v>
      </c>
      <c r="TO377" s="10" t="n">
        <v>46343</v>
      </c>
      <c r="TQ377" s="9" t="n">
        <v>0</v>
      </c>
      <c r="TS377" s="9" t="n">
        <v>0</v>
      </c>
      <c r="TT377" s="9" t="n">
        <v>0</v>
      </c>
      <c r="TX377" s="10" t="n">
        <v>46343</v>
      </c>
      <c r="TZ377" s="9" t="n">
        <v>0</v>
      </c>
      <c r="UB377" s="9" t="n">
        <v>0</v>
      </c>
      <c r="UC377" s="9" t="n">
        <v>46.79999999999998</v>
      </c>
      <c r="UG377" s="10" t="n">
        <v>46343</v>
      </c>
      <c r="UI377" s="9" t="n">
        <v>0</v>
      </c>
      <c r="UK377" s="9" t="n">
        <v>0</v>
      </c>
      <c r="UL377" s="9" t="n">
        <v>204</v>
      </c>
      <c r="UP377" s="10" t="n">
        <v>46343</v>
      </c>
      <c r="UR377" s="9" t="n">
        <v>0</v>
      </c>
      <c r="UT377" s="9" t="n">
        <v>0</v>
      </c>
      <c r="UU377" s="9" t="n">
        <v>202.5</v>
      </c>
      <c r="UY377" s="10" t="n">
        <v>46343</v>
      </c>
      <c r="VA377" s="9" t="n">
        <v>0</v>
      </c>
      <c r="VC377" s="9" t="n">
        <v>0</v>
      </c>
      <c r="VD377" s="9" t="n">
        <v>41.60000000000002</v>
      </c>
      <c r="VH377" s="10" t="n">
        <v>46343</v>
      </c>
      <c r="VJ377" s="9" t="n">
        <v>0</v>
      </c>
      <c r="VL377" s="9" t="n">
        <v>0</v>
      </c>
      <c r="VM377" s="9" t="n">
        <v>210</v>
      </c>
      <c r="VQ377" s="10" t="n">
        <v>46343</v>
      </c>
      <c r="VS377" s="9" t="n">
        <v>0</v>
      </c>
      <c r="VU377" s="9" t="n">
        <v>0</v>
      </c>
      <c r="VV377" s="9" t="n">
        <v>0</v>
      </c>
      <c r="VZ377" s="10" t="n">
        <v>46343</v>
      </c>
      <c r="WB377" s="9" t="n">
        <v>0</v>
      </c>
      <c r="WD377" s="9" t="n">
        <v>0</v>
      </c>
      <c r="WE377" s="9" t="n">
        <v>0</v>
      </c>
      <c r="WI377" s="10" t="n">
        <v>46343</v>
      </c>
      <c r="WK377" s="9" t="n">
        <v>0</v>
      </c>
      <c r="WM377" s="9" t="n">
        <v>0</v>
      </c>
      <c r="WN377" s="9" t="n">
        <v>1057</v>
      </c>
      <c r="WR377" s="10" t="n">
        <v>46343</v>
      </c>
      <c r="WT377" s="9" t="n">
        <v>0</v>
      </c>
      <c r="WV377" s="9" t="n">
        <v>0</v>
      </c>
      <c r="WW377" s="9" t="n">
        <v>0</v>
      </c>
      <c r="XA377" s="10" t="n">
        <v>46343</v>
      </c>
      <c r="XC377" s="9" t="n">
        <v>0</v>
      </c>
      <c r="XE377" s="9" t="n">
        <v>0</v>
      </c>
      <c r="XF377" s="9" t="n">
        <v>7507</v>
      </c>
      <c r="XJ377" s="10" t="n">
        <v>46343</v>
      </c>
      <c r="XL377" s="9" t="n">
        <v>0</v>
      </c>
      <c r="XN377" s="9" t="n">
        <v>0</v>
      </c>
      <c r="XO377" s="9" t="n">
        <v>4252</v>
      </c>
      <c r="XS377" s="10" t="n">
        <v>46343</v>
      </c>
      <c r="XU377" s="9" t="n">
        <v>0</v>
      </c>
      <c r="XW377" s="9" t="n">
        <v>0</v>
      </c>
      <c r="XX377" s="9" t="n">
        <v>2179</v>
      </c>
      <c r="YB377" s="10" t="n">
        <v>46343</v>
      </c>
      <c r="YD377" s="9" t="n">
        <v>0</v>
      </c>
      <c r="YF377" s="9" t="n">
        <v>0</v>
      </c>
      <c r="YG377" s="9" t="n">
        <v>4019</v>
      </c>
      <c r="YK377" s="10" t="n">
        <v>46343</v>
      </c>
      <c r="YM377" s="9" t="n">
        <v>0</v>
      </c>
      <c r="YO377" s="9" t="n">
        <v>0</v>
      </c>
      <c r="YP377" s="9" t="n">
        <v>-218</v>
      </c>
      <c r="YT377" s="10" t="n">
        <v>46343</v>
      </c>
      <c r="YV377" s="9" t="n">
        <v>0</v>
      </c>
      <c r="YX377" s="9" t="n">
        <v>0</v>
      </c>
      <c r="YY377" s="9" t="n">
        <v>0</v>
      </c>
      <c r="ZC377" s="10" t="n">
        <v>46343</v>
      </c>
      <c r="ZE377" s="9" t="n">
        <v>0</v>
      </c>
      <c r="ZG377" s="9" t="n">
        <v>0</v>
      </c>
      <c r="ZH377" s="9" t="n">
        <v>0</v>
      </c>
      <c r="ZL377" s="10" t="n">
        <v>46343</v>
      </c>
      <c r="ZN377" s="9" t="n">
        <v>0</v>
      </c>
      <c r="ZP377" s="9" t="n">
        <v>0</v>
      </c>
      <c r="ZQ377" s="9" t="n">
        <v>0</v>
      </c>
      <c r="ZU377" s="10" t="n">
        <v>46343</v>
      </c>
      <c r="ZW377" s="9" t="n">
        <v>0</v>
      </c>
      <c r="ZY377" s="9" t="n">
        <v>0</v>
      </c>
      <c r="ZZ377" s="9" t="n">
        <v>0</v>
      </c>
      <c r="AAD377" s="10" t="n">
        <v>46343</v>
      </c>
      <c r="AAF377" s="9" t="n">
        <v>0</v>
      </c>
      <c r="AAH377" s="9" t="n">
        <v>0</v>
      </c>
      <c r="AAI377" s="9" t="n">
        <v>0</v>
      </c>
      <c r="AAM377" s="10" t="n">
        <v>46343</v>
      </c>
      <c r="AAO377" s="9" t="n">
        <v>0</v>
      </c>
      <c r="AAQ377" s="9" t="n">
        <v>0</v>
      </c>
      <c r="AAR377" s="9" t="n">
        <v>0</v>
      </c>
      <c r="AAV377" s="10" t="n">
        <v>46343</v>
      </c>
      <c r="AAX377" s="9" t="n">
        <v>0</v>
      </c>
      <c r="AAZ377" s="9" t="n">
        <v>0</v>
      </c>
      <c r="ABA377" s="9" t="n">
        <v>0</v>
      </c>
      <c r="ABE377" s="10" t="n">
        <v>46343</v>
      </c>
      <c r="ABG377" s="9" t="n">
        <v>0</v>
      </c>
      <c r="ABI377" s="9" t="n">
        <v>0</v>
      </c>
      <c r="ABJ377" s="9" t="n">
        <v>0</v>
      </c>
    </row>
    <row r="378">
      <c r="C378" s="10" t="n">
        <v>46344</v>
      </c>
      <c r="E378" s="9" t="n">
        <v>0</v>
      </c>
      <c r="G378" s="9" t="n">
        <v>0</v>
      </c>
      <c r="H378" s="9" t="n">
        <v>236936.6</v>
      </c>
      <c r="L378" s="10" t="n">
        <v>46344</v>
      </c>
      <c r="N378" s="9" t="n">
        <v>0</v>
      </c>
      <c r="P378" s="9" t="n">
        <v>0</v>
      </c>
      <c r="Q378" s="9" t="n">
        <v>53017.60000000007</v>
      </c>
      <c r="U378" s="10" t="n">
        <v>46344</v>
      </c>
      <c r="W378" s="9" t="n">
        <v>0</v>
      </c>
      <c r="Y378" s="9" t="n">
        <v>0</v>
      </c>
      <c r="Z378" s="9" t="n">
        <v>42674.19999999997</v>
      </c>
      <c r="AD378" s="10" t="n">
        <v>46344</v>
      </c>
      <c r="AF378" s="9" t="n">
        <v>0</v>
      </c>
      <c r="AH378" s="9" t="n">
        <v>0</v>
      </c>
      <c r="AI378" s="9" t="n">
        <v>4522.200000000019</v>
      </c>
      <c r="AM378" s="10" t="n">
        <v>46344</v>
      </c>
      <c r="AO378" s="9" t="n">
        <v>0</v>
      </c>
      <c r="AQ378" s="9" t="n">
        <v>0</v>
      </c>
      <c r="AR378" s="9" t="n">
        <v>0</v>
      </c>
      <c r="AV378" s="10" t="n">
        <v>46344</v>
      </c>
      <c r="AX378" s="9" t="n">
        <v>0</v>
      </c>
      <c r="AZ378" s="9" t="n">
        <v>0</v>
      </c>
      <c r="BA378" s="9" t="n">
        <v>124.9999999999952</v>
      </c>
      <c r="BE378" s="10" t="n">
        <v>46344</v>
      </c>
      <c r="BG378" s="9" t="n">
        <v>0</v>
      </c>
      <c r="BI378" s="9" t="n">
        <v>0</v>
      </c>
      <c r="BJ378" s="9" t="n">
        <v>26151.9</v>
      </c>
      <c r="BN378" s="10" t="n">
        <v>46344</v>
      </c>
      <c r="BP378" s="9" t="n">
        <v>0</v>
      </c>
      <c r="BR378" s="9" t="n">
        <v>0</v>
      </c>
      <c r="BS378" s="9" t="n">
        <v>0</v>
      </c>
      <c r="BW378" s="10" t="n">
        <v>46344</v>
      </c>
      <c r="BY378" s="9" t="n">
        <v>0</v>
      </c>
      <c r="CA378" s="9" t="n">
        <v>0</v>
      </c>
      <c r="CB378" s="9" t="n">
        <v>2097.339999999999</v>
      </c>
      <c r="CF378" s="10" t="n">
        <v>46344</v>
      </c>
      <c r="CH378" s="9" t="n">
        <v>0</v>
      </c>
      <c r="CJ378" s="9" t="n">
        <v>0</v>
      </c>
      <c r="CK378" s="9" t="n">
        <v>-10277.08</v>
      </c>
      <c r="CO378" s="10" t="n">
        <v>46344</v>
      </c>
      <c r="CQ378" s="9" t="n">
        <v>0</v>
      </c>
      <c r="CS378" s="9" t="n">
        <v>0</v>
      </c>
      <c r="CT378" s="9" t="n">
        <v>0</v>
      </c>
      <c r="CX378" s="10" t="n">
        <v>46344</v>
      </c>
      <c r="CZ378" s="9" t="n">
        <v>0</v>
      </c>
      <c r="DB378" s="9" t="n">
        <v>0</v>
      </c>
      <c r="DC378" s="9" t="n">
        <v>27438.20000000001</v>
      </c>
      <c r="DG378" s="10" t="n">
        <v>46344</v>
      </c>
      <c r="DI378" s="9" t="n">
        <v>0</v>
      </c>
      <c r="DK378" s="9" t="n">
        <v>0</v>
      </c>
      <c r="DL378" s="9" t="n">
        <v>18782.29999999998</v>
      </c>
      <c r="DP378" s="10" t="n">
        <v>46344</v>
      </c>
      <c r="DR378" s="9" t="n">
        <v>0</v>
      </c>
      <c r="DT378" s="9" t="n">
        <v>0</v>
      </c>
      <c r="DU378" s="9" t="n">
        <v>5800</v>
      </c>
      <c r="DY378" s="10" t="n">
        <v>46344</v>
      </c>
      <c r="EA378" s="9" t="n">
        <v>0</v>
      </c>
      <c r="EC378" s="9" t="n">
        <v>0</v>
      </c>
      <c r="ED378" s="9" t="n">
        <v>0</v>
      </c>
      <c r="EH378" s="10" t="n">
        <v>46344</v>
      </c>
      <c r="EJ378" s="9" t="n">
        <v>0</v>
      </c>
      <c r="EL378" s="9" t="n">
        <v>0</v>
      </c>
      <c r="EM378" s="9" t="n">
        <v>0</v>
      </c>
      <c r="EQ378" s="10" t="n">
        <v>46344</v>
      </c>
      <c r="ES378" s="9" t="n">
        <v>0</v>
      </c>
      <c r="EU378" s="9" t="n">
        <v>0</v>
      </c>
      <c r="EV378" s="9" t="n">
        <v>0</v>
      </c>
      <c r="EZ378" s="10" t="n">
        <v>46344</v>
      </c>
      <c r="FB378" s="9" t="n">
        <v>0</v>
      </c>
      <c r="FD378" s="9" t="n">
        <v>0</v>
      </c>
      <c r="FE378" s="9" t="n">
        <v>0</v>
      </c>
      <c r="FI378" s="10" t="n">
        <v>46344</v>
      </c>
      <c r="FK378" s="9" t="n">
        <v>0</v>
      </c>
      <c r="FM378" s="9" t="n">
        <v>0</v>
      </c>
      <c r="FN378" s="9" t="n">
        <v>0</v>
      </c>
      <c r="FR378" s="10" t="n">
        <v>46344</v>
      </c>
      <c r="FT378" s="9" t="n">
        <v>0</v>
      </c>
      <c r="FV378" s="9" t="n">
        <v>0</v>
      </c>
      <c r="FW378" s="9" t="n">
        <v>2020</v>
      </c>
      <c r="GA378" s="10" t="n">
        <v>46344</v>
      </c>
      <c r="GC378" s="9" t="n">
        <v>0</v>
      </c>
      <c r="GE378" s="9" t="n">
        <v>0</v>
      </c>
      <c r="GF378" s="9" t="n">
        <v>960</v>
      </c>
      <c r="GJ378" s="10" t="n">
        <v>46344</v>
      </c>
      <c r="GL378" s="9" t="n">
        <v>0</v>
      </c>
      <c r="GN378" s="9" t="n">
        <v>0</v>
      </c>
      <c r="GO378" s="9" t="n">
        <v>1760</v>
      </c>
      <c r="GS378" s="10" t="n">
        <v>46344</v>
      </c>
      <c r="GU378" s="9" t="n">
        <v>0</v>
      </c>
      <c r="GW378" s="9" t="n">
        <v>0</v>
      </c>
      <c r="GX378" s="9" t="n">
        <v>400</v>
      </c>
      <c r="HB378" s="10" t="n">
        <v>46344</v>
      </c>
      <c r="HD378" s="9" t="n">
        <v>0</v>
      </c>
      <c r="HF378" s="9" t="n">
        <v>0</v>
      </c>
      <c r="HG378" s="9" t="n">
        <v>3600</v>
      </c>
      <c r="HK378" s="10" t="n">
        <v>46344</v>
      </c>
      <c r="HM378" s="9" t="n">
        <v>0</v>
      </c>
      <c r="HO378" s="9" t="n">
        <v>0</v>
      </c>
      <c r="HP378" s="9" t="n">
        <v>0</v>
      </c>
      <c r="HU378" s="10" t="n">
        <v>46344</v>
      </c>
      <c r="HW378" s="9" t="n">
        <v>0</v>
      </c>
      <c r="HY378" s="9" t="n">
        <v>0</v>
      </c>
      <c r="HZ378" s="9" t="n">
        <v>6120</v>
      </c>
      <c r="ID378" s="10" t="n">
        <v>46344</v>
      </c>
      <c r="IF378" s="9" t="n">
        <v>0</v>
      </c>
      <c r="IH378" s="9" t="n">
        <v>0</v>
      </c>
      <c r="II378" s="9" t="n">
        <v>0</v>
      </c>
      <c r="IM378" s="10" t="n">
        <v>46344</v>
      </c>
      <c r="IO378" s="9" t="n">
        <v>0</v>
      </c>
      <c r="IQ378" s="9" t="n">
        <v>0</v>
      </c>
      <c r="IR378" s="9" t="n">
        <v>0</v>
      </c>
      <c r="IV378" s="10" t="n">
        <v>46344</v>
      </c>
      <c r="IX378" s="9" t="n">
        <v>0</v>
      </c>
      <c r="IZ378" s="9" t="n">
        <v>0</v>
      </c>
      <c r="JA378" s="9" t="n">
        <v>2820</v>
      </c>
      <c r="JE378" s="10" t="n">
        <v>46344</v>
      </c>
      <c r="JG378" s="9" t="n">
        <v>0</v>
      </c>
      <c r="JI378" s="9" t="n">
        <v>0</v>
      </c>
      <c r="JJ378" s="9" t="n">
        <v>0</v>
      </c>
      <c r="JN378" s="10" t="n">
        <v>46344</v>
      </c>
      <c r="JP378" s="9" t="n">
        <v>0</v>
      </c>
      <c r="JR378" s="9" t="n">
        <v>0</v>
      </c>
      <c r="JS378" s="9" t="n">
        <v>0</v>
      </c>
      <c r="JW378" s="10" t="n">
        <v>46344</v>
      </c>
      <c r="JY378" s="9" t="n">
        <v>0</v>
      </c>
      <c r="KA378" s="9" t="n">
        <v>0</v>
      </c>
      <c r="KB378" s="9" t="n">
        <v>2540</v>
      </c>
      <c r="KF378" s="10" t="n">
        <v>46344</v>
      </c>
      <c r="KH378" s="9" t="n">
        <v>0</v>
      </c>
      <c r="KJ378" s="9" t="n">
        <v>0</v>
      </c>
      <c r="KK378" s="9" t="n">
        <v>2359.5</v>
      </c>
      <c r="KO378" s="10" t="n">
        <v>46344</v>
      </c>
      <c r="KQ378" s="9" t="n">
        <v>0</v>
      </c>
      <c r="KS378" s="9" t="n">
        <v>0</v>
      </c>
      <c r="KT378" s="9" t="n">
        <v>1890</v>
      </c>
      <c r="KX378" s="10" t="n">
        <v>46344</v>
      </c>
      <c r="KZ378" s="9" t="n">
        <v>0</v>
      </c>
      <c r="LB378" s="9" t="n">
        <v>0</v>
      </c>
      <c r="LC378" s="9" t="n">
        <v>3690</v>
      </c>
      <c r="LG378" s="10" t="n">
        <v>46344</v>
      </c>
      <c r="LI378" s="9" t="n">
        <v>0</v>
      </c>
      <c r="LK378" s="9" t="n">
        <v>0</v>
      </c>
      <c r="LL378" s="9" t="n">
        <v>4000</v>
      </c>
      <c r="LP378" s="10" t="n">
        <v>46344</v>
      </c>
      <c r="LR378" s="9" t="n">
        <v>0</v>
      </c>
      <c r="LT378" s="9" t="n">
        <v>0</v>
      </c>
      <c r="LU378" s="9" t="n">
        <v>0</v>
      </c>
      <c r="LY378" s="10" t="n">
        <v>46344</v>
      </c>
      <c r="MA378" s="9" t="n">
        <v>0</v>
      </c>
      <c r="MC378" s="9" t="n">
        <v>0</v>
      </c>
      <c r="MD378" s="9" t="n">
        <v>0</v>
      </c>
      <c r="MH378" s="10" t="n">
        <v>46344</v>
      </c>
      <c r="MJ378" s="9" t="n">
        <v>0</v>
      </c>
      <c r="ML378" s="9" t="n">
        <v>0</v>
      </c>
      <c r="MM378" s="9" t="n">
        <v>0</v>
      </c>
      <c r="MQ378" s="10" t="n">
        <v>46344</v>
      </c>
      <c r="MS378" s="9" t="n">
        <v>0</v>
      </c>
      <c r="MU378" s="9" t="n">
        <v>0</v>
      </c>
      <c r="MV378" s="9" t="n">
        <v>1625</v>
      </c>
      <c r="MZ378" s="10" t="n">
        <v>46344</v>
      </c>
      <c r="NB378" s="9" t="n">
        <v>0</v>
      </c>
      <c r="ND378" s="9" t="n">
        <v>0</v>
      </c>
      <c r="NE378" s="9" t="n">
        <v>0</v>
      </c>
      <c r="NI378" s="10" t="n">
        <v>46344</v>
      </c>
      <c r="NK378" s="9" t="n">
        <v>0</v>
      </c>
      <c r="NM378" s="9" t="n">
        <v>0</v>
      </c>
      <c r="NN378" s="9" t="n">
        <v>1127</v>
      </c>
      <c r="NR378" s="10" t="n">
        <v>46344</v>
      </c>
      <c r="NT378" s="9" t="n">
        <v>0</v>
      </c>
      <c r="NV378" s="9" t="n">
        <v>0</v>
      </c>
      <c r="NW378" s="9" t="n">
        <v>3112</v>
      </c>
      <c r="OA378" s="10" t="n">
        <v>46344</v>
      </c>
      <c r="OC378" s="9" t="n">
        <v>0</v>
      </c>
      <c r="OE378" s="9" t="n">
        <v>0</v>
      </c>
      <c r="OF378" s="9" t="n">
        <v>1680.5</v>
      </c>
      <c r="OJ378" s="10" t="n">
        <v>46344</v>
      </c>
      <c r="OL378" s="9" t="n">
        <v>0</v>
      </c>
      <c r="ON378" s="9" t="n">
        <v>0</v>
      </c>
      <c r="OO378" s="9" t="n">
        <v>0</v>
      </c>
      <c r="OS378" s="10" t="n">
        <v>46344</v>
      </c>
      <c r="OU378" s="9" t="n">
        <v>0</v>
      </c>
      <c r="OW378" s="9" t="n">
        <v>0</v>
      </c>
      <c r="OX378" s="9" t="n">
        <v>1482</v>
      </c>
      <c r="PB378" s="10" t="n">
        <v>46344</v>
      </c>
      <c r="PD378" s="9" t="n">
        <v>0</v>
      </c>
      <c r="PF378" s="9" t="n">
        <v>0</v>
      </c>
      <c r="PG378" s="9" t="n">
        <v>0</v>
      </c>
      <c r="PK378" s="10" t="n">
        <v>46344</v>
      </c>
      <c r="PM378" s="9" t="n">
        <v>0</v>
      </c>
      <c r="PO378" s="9" t="n">
        <v>0</v>
      </c>
      <c r="PP378" s="9" t="n">
        <v>100</v>
      </c>
      <c r="PT378" s="10" t="n">
        <v>46344</v>
      </c>
      <c r="PV378" s="9" t="n">
        <v>0</v>
      </c>
      <c r="PX378" s="9" t="n">
        <v>0</v>
      </c>
      <c r="PY378" s="9" t="n">
        <v>13.96000000000004</v>
      </c>
      <c r="QC378" s="10" t="n">
        <v>46344</v>
      </c>
      <c r="QE378" s="9" t="n">
        <v>0</v>
      </c>
      <c r="QG378" s="9" t="n">
        <v>0</v>
      </c>
      <c r="QH378" s="9" t="n">
        <v>548</v>
      </c>
      <c r="QL378" s="10" t="n">
        <v>46344</v>
      </c>
      <c r="QN378" s="9" t="n">
        <v>0</v>
      </c>
      <c r="QP378" s="9" t="n">
        <v>0</v>
      </c>
      <c r="QQ378" s="9" t="n">
        <v>0</v>
      </c>
      <c r="QU378" s="10" t="n">
        <v>46344</v>
      </c>
      <c r="QW378" s="9" t="n">
        <v>0</v>
      </c>
      <c r="QY378" s="9" t="n">
        <v>0</v>
      </c>
      <c r="QZ378" s="9" t="n">
        <v>0</v>
      </c>
      <c r="RD378" s="10" t="n">
        <v>46344</v>
      </c>
      <c r="RF378" s="9" t="n">
        <v>0</v>
      </c>
      <c r="RH378" s="9" t="n">
        <v>0</v>
      </c>
      <c r="RI378" s="9" t="n">
        <v>147.04</v>
      </c>
      <c r="RM378" s="10" t="n">
        <v>46344</v>
      </c>
      <c r="RO378" s="9" t="n">
        <v>0</v>
      </c>
      <c r="RQ378" s="9" t="n">
        <v>0</v>
      </c>
      <c r="RR378" s="9" t="n">
        <v>46.8</v>
      </c>
      <c r="RV378" s="10" t="n">
        <v>46344</v>
      </c>
      <c r="RX378" s="9" t="n">
        <v>0</v>
      </c>
      <c r="RZ378" s="9" t="n">
        <v>0</v>
      </c>
      <c r="SA378" s="9" t="n">
        <v>0</v>
      </c>
      <c r="SE378" s="10" t="n">
        <v>46344</v>
      </c>
      <c r="SG378" s="9" t="n">
        <v>0</v>
      </c>
      <c r="SI378" s="9" t="n">
        <v>0</v>
      </c>
      <c r="SJ378" s="9" t="n">
        <v>24.2</v>
      </c>
      <c r="SN378" s="10" t="n">
        <v>46344</v>
      </c>
      <c r="SP378" s="9" t="n">
        <v>0</v>
      </c>
      <c r="SR378" s="9" t="n">
        <v>0</v>
      </c>
      <c r="SS378" s="9" t="n">
        <v>32</v>
      </c>
      <c r="SW378" s="10" t="n">
        <v>46344</v>
      </c>
      <c r="SY378" s="9" t="n">
        <v>0</v>
      </c>
      <c r="TA378" s="9" t="n">
        <v>0</v>
      </c>
      <c r="TB378" s="9" t="n">
        <v>0</v>
      </c>
      <c r="TF378" s="10" t="n">
        <v>46344</v>
      </c>
      <c r="TH378" s="9" t="n">
        <v>0</v>
      </c>
      <c r="TJ378" s="9" t="n">
        <v>0</v>
      </c>
      <c r="TK378" s="9" t="n">
        <v>0</v>
      </c>
      <c r="TO378" s="10" t="n">
        <v>46344</v>
      </c>
      <c r="TQ378" s="9" t="n">
        <v>0</v>
      </c>
      <c r="TS378" s="9" t="n">
        <v>0</v>
      </c>
      <c r="TT378" s="9" t="n">
        <v>0</v>
      </c>
      <c r="TX378" s="10" t="n">
        <v>46344</v>
      </c>
      <c r="TZ378" s="9" t="n">
        <v>0</v>
      </c>
      <c r="UB378" s="9" t="n">
        <v>0</v>
      </c>
      <c r="UC378" s="9" t="n">
        <v>46.79999999999998</v>
      </c>
      <c r="UG378" s="10" t="n">
        <v>46344</v>
      </c>
      <c r="UI378" s="9" t="n">
        <v>0</v>
      </c>
      <c r="UK378" s="9" t="n">
        <v>0</v>
      </c>
      <c r="UL378" s="9" t="n">
        <v>204</v>
      </c>
      <c r="UP378" s="10" t="n">
        <v>46344</v>
      </c>
      <c r="UR378" s="9" t="n">
        <v>0</v>
      </c>
      <c r="UT378" s="9" t="n">
        <v>0</v>
      </c>
      <c r="UU378" s="9" t="n">
        <v>202.5</v>
      </c>
      <c r="UY378" s="10" t="n">
        <v>46344</v>
      </c>
      <c r="VA378" s="9" t="n">
        <v>0</v>
      </c>
      <c r="VC378" s="9" t="n">
        <v>0</v>
      </c>
      <c r="VD378" s="9" t="n">
        <v>41.60000000000002</v>
      </c>
      <c r="VH378" s="10" t="n">
        <v>46344</v>
      </c>
      <c r="VJ378" s="9" t="n">
        <v>0</v>
      </c>
      <c r="VL378" s="9" t="n">
        <v>0</v>
      </c>
      <c r="VM378" s="9" t="n">
        <v>210</v>
      </c>
      <c r="VQ378" s="10" t="n">
        <v>46344</v>
      </c>
      <c r="VS378" s="9" t="n">
        <v>0</v>
      </c>
      <c r="VU378" s="9" t="n">
        <v>0</v>
      </c>
      <c r="VV378" s="9" t="n">
        <v>0</v>
      </c>
      <c r="VZ378" s="10" t="n">
        <v>46344</v>
      </c>
      <c r="WB378" s="9" t="n">
        <v>0</v>
      </c>
      <c r="WD378" s="9" t="n">
        <v>0</v>
      </c>
      <c r="WE378" s="9" t="n">
        <v>0</v>
      </c>
      <c r="WI378" s="10" t="n">
        <v>46344</v>
      </c>
      <c r="WK378" s="9" t="n">
        <v>0</v>
      </c>
      <c r="WM378" s="9" t="n">
        <v>0</v>
      </c>
      <c r="WN378" s="9" t="n">
        <v>1057</v>
      </c>
      <c r="WR378" s="10" t="n">
        <v>46344</v>
      </c>
      <c r="WT378" s="9" t="n">
        <v>0</v>
      </c>
      <c r="WV378" s="9" t="n">
        <v>0</v>
      </c>
      <c r="WW378" s="9" t="n">
        <v>0</v>
      </c>
      <c r="XA378" s="10" t="n">
        <v>46344</v>
      </c>
      <c r="XC378" s="9" t="n">
        <v>0</v>
      </c>
      <c r="XE378" s="9" t="n">
        <v>0</v>
      </c>
      <c r="XF378" s="9" t="n">
        <v>7507</v>
      </c>
      <c r="XJ378" s="10" t="n">
        <v>46344</v>
      </c>
      <c r="XL378" s="9" t="n">
        <v>0</v>
      </c>
      <c r="XN378" s="9" t="n">
        <v>0</v>
      </c>
      <c r="XO378" s="9" t="n">
        <v>4252</v>
      </c>
      <c r="XS378" s="10" t="n">
        <v>46344</v>
      </c>
      <c r="XU378" s="9" t="n">
        <v>0</v>
      </c>
      <c r="XW378" s="9" t="n">
        <v>0</v>
      </c>
      <c r="XX378" s="9" t="n">
        <v>2179</v>
      </c>
      <c r="YB378" s="10" t="n">
        <v>46344</v>
      </c>
      <c r="YD378" s="9" t="n">
        <v>0</v>
      </c>
      <c r="YF378" s="9" t="n">
        <v>0</v>
      </c>
      <c r="YG378" s="9" t="n">
        <v>4019</v>
      </c>
      <c r="YK378" s="10" t="n">
        <v>46344</v>
      </c>
      <c r="YM378" s="9" t="n">
        <v>0</v>
      </c>
      <c r="YO378" s="9" t="n">
        <v>0</v>
      </c>
      <c r="YP378" s="9" t="n">
        <v>-218</v>
      </c>
      <c r="YT378" s="10" t="n">
        <v>46344</v>
      </c>
      <c r="YV378" s="9" t="n">
        <v>0</v>
      </c>
      <c r="YX378" s="9" t="n">
        <v>0</v>
      </c>
      <c r="YY378" s="9" t="n">
        <v>0</v>
      </c>
      <c r="ZC378" s="10" t="n">
        <v>46344</v>
      </c>
      <c r="ZE378" s="9" t="n">
        <v>0</v>
      </c>
      <c r="ZG378" s="9" t="n">
        <v>0</v>
      </c>
      <c r="ZH378" s="9" t="n">
        <v>0</v>
      </c>
      <c r="ZL378" s="10" t="n">
        <v>46344</v>
      </c>
      <c r="ZN378" s="9" t="n">
        <v>0</v>
      </c>
      <c r="ZP378" s="9" t="n">
        <v>0</v>
      </c>
      <c r="ZQ378" s="9" t="n">
        <v>0</v>
      </c>
      <c r="ZU378" s="10" t="n">
        <v>46344</v>
      </c>
      <c r="ZW378" s="9" t="n">
        <v>0</v>
      </c>
      <c r="ZY378" s="9" t="n">
        <v>0</v>
      </c>
      <c r="ZZ378" s="9" t="n">
        <v>0</v>
      </c>
      <c r="AAD378" s="10" t="n">
        <v>46344</v>
      </c>
      <c r="AAF378" s="9" t="n">
        <v>0</v>
      </c>
      <c r="AAH378" s="9" t="n">
        <v>0</v>
      </c>
      <c r="AAI378" s="9" t="n">
        <v>0</v>
      </c>
      <c r="AAM378" s="10" t="n">
        <v>46344</v>
      </c>
      <c r="AAO378" s="9" t="n">
        <v>0</v>
      </c>
      <c r="AAQ378" s="9" t="n">
        <v>0</v>
      </c>
      <c r="AAR378" s="9" t="n">
        <v>0</v>
      </c>
      <c r="AAV378" s="10" t="n">
        <v>46344</v>
      </c>
      <c r="AAX378" s="9" t="n">
        <v>0</v>
      </c>
      <c r="AAZ378" s="9" t="n">
        <v>0</v>
      </c>
      <c r="ABA378" s="9" t="n">
        <v>0</v>
      </c>
      <c r="ABE378" s="10" t="n">
        <v>46344</v>
      </c>
      <c r="ABG378" s="9" t="n">
        <v>0</v>
      </c>
      <c r="ABI378" s="9" t="n">
        <v>0</v>
      </c>
      <c r="ABJ378" s="9" t="n">
        <v>0</v>
      </c>
    </row>
    <row r="379">
      <c r="C379" s="10" t="n">
        <v>46345</v>
      </c>
      <c r="E379" s="9" t="n">
        <v>0</v>
      </c>
      <c r="G379" s="9" t="n">
        <v>0</v>
      </c>
      <c r="H379" s="9" t="n">
        <v>236936.6</v>
      </c>
      <c r="L379" s="10" t="n">
        <v>46345</v>
      </c>
      <c r="N379" s="9" t="n">
        <v>0</v>
      </c>
      <c r="P379" s="9" t="n">
        <v>0</v>
      </c>
      <c r="Q379" s="9" t="n">
        <v>53017.60000000007</v>
      </c>
      <c r="U379" s="10" t="n">
        <v>46345</v>
      </c>
      <c r="W379" s="9" t="n">
        <v>0</v>
      </c>
      <c r="Y379" s="9" t="n">
        <v>0</v>
      </c>
      <c r="Z379" s="9" t="n">
        <v>42674.19999999997</v>
      </c>
      <c r="AD379" s="10" t="n">
        <v>46345</v>
      </c>
      <c r="AF379" s="9" t="n">
        <v>0</v>
      </c>
      <c r="AH379" s="9" t="n">
        <v>0</v>
      </c>
      <c r="AI379" s="9" t="n">
        <v>4522.200000000019</v>
      </c>
      <c r="AM379" s="10" t="n">
        <v>46345</v>
      </c>
      <c r="AO379" s="9" t="n">
        <v>0</v>
      </c>
      <c r="AQ379" s="9" t="n">
        <v>0</v>
      </c>
      <c r="AR379" s="9" t="n">
        <v>0</v>
      </c>
      <c r="AV379" s="10" t="n">
        <v>46345</v>
      </c>
      <c r="AX379" s="9" t="n">
        <v>0</v>
      </c>
      <c r="AZ379" s="9" t="n">
        <v>0</v>
      </c>
      <c r="BA379" s="9" t="n">
        <v>124.9999999999952</v>
      </c>
      <c r="BE379" s="10" t="n">
        <v>46345</v>
      </c>
      <c r="BG379" s="9" t="n">
        <v>0</v>
      </c>
      <c r="BI379" s="9" t="n">
        <v>0</v>
      </c>
      <c r="BJ379" s="9" t="n">
        <v>26151.9</v>
      </c>
      <c r="BN379" s="10" t="n">
        <v>46345</v>
      </c>
      <c r="BP379" s="9" t="n">
        <v>0</v>
      </c>
      <c r="BR379" s="9" t="n">
        <v>0</v>
      </c>
      <c r="BS379" s="9" t="n">
        <v>0</v>
      </c>
      <c r="BW379" s="10" t="n">
        <v>46345</v>
      </c>
      <c r="BY379" s="9" t="n">
        <v>0</v>
      </c>
      <c r="CA379" s="9" t="n">
        <v>0</v>
      </c>
      <c r="CB379" s="9" t="n">
        <v>2097.339999999999</v>
      </c>
      <c r="CF379" s="10" t="n">
        <v>46345</v>
      </c>
      <c r="CH379" s="9" t="n">
        <v>0</v>
      </c>
      <c r="CJ379" s="9" t="n">
        <v>0</v>
      </c>
      <c r="CK379" s="9" t="n">
        <v>-10277.08</v>
      </c>
      <c r="CO379" s="10" t="n">
        <v>46345</v>
      </c>
      <c r="CQ379" s="9" t="n">
        <v>0</v>
      </c>
      <c r="CS379" s="9" t="n">
        <v>0</v>
      </c>
      <c r="CT379" s="9" t="n">
        <v>0</v>
      </c>
      <c r="CX379" s="10" t="n">
        <v>46345</v>
      </c>
      <c r="CZ379" s="9" t="n">
        <v>0</v>
      </c>
      <c r="DB379" s="9" t="n">
        <v>0</v>
      </c>
      <c r="DC379" s="9" t="n">
        <v>27438.20000000001</v>
      </c>
      <c r="DG379" s="10" t="n">
        <v>46345</v>
      </c>
      <c r="DI379" s="9" t="n">
        <v>0</v>
      </c>
      <c r="DK379" s="9" t="n">
        <v>0</v>
      </c>
      <c r="DL379" s="9" t="n">
        <v>18782.29999999998</v>
      </c>
      <c r="DP379" s="10" t="n">
        <v>46345</v>
      </c>
      <c r="DR379" s="9" t="n">
        <v>0</v>
      </c>
      <c r="DT379" s="9" t="n">
        <v>0</v>
      </c>
      <c r="DU379" s="9" t="n">
        <v>5800</v>
      </c>
      <c r="DY379" s="10" t="n">
        <v>46345</v>
      </c>
      <c r="EA379" s="9" t="n">
        <v>0</v>
      </c>
      <c r="EC379" s="9" t="n">
        <v>0</v>
      </c>
      <c r="ED379" s="9" t="n">
        <v>0</v>
      </c>
      <c r="EH379" s="10" t="n">
        <v>46345</v>
      </c>
      <c r="EJ379" s="9" t="n">
        <v>0</v>
      </c>
      <c r="EL379" s="9" t="n">
        <v>0</v>
      </c>
      <c r="EM379" s="9" t="n">
        <v>0</v>
      </c>
      <c r="EQ379" s="10" t="n">
        <v>46345</v>
      </c>
      <c r="ES379" s="9" t="n">
        <v>0</v>
      </c>
      <c r="EU379" s="9" t="n">
        <v>0</v>
      </c>
      <c r="EV379" s="9" t="n">
        <v>0</v>
      </c>
      <c r="EZ379" s="10" t="n">
        <v>46345</v>
      </c>
      <c r="FB379" s="9" t="n">
        <v>0</v>
      </c>
      <c r="FD379" s="9" t="n">
        <v>0</v>
      </c>
      <c r="FE379" s="9" t="n">
        <v>0</v>
      </c>
      <c r="FI379" s="10" t="n">
        <v>46345</v>
      </c>
      <c r="FK379" s="9" t="n">
        <v>0</v>
      </c>
      <c r="FM379" s="9" t="n">
        <v>0</v>
      </c>
      <c r="FN379" s="9" t="n">
        <v>0</v>
      </c>
      <c r="FR379" s="10" t="n">
        <v>46345</v>
      </c>
      <c r="FT379" s="9" t="n">
        <v>0</v>
      </c>
      <c r="FV379" s="9" t="n">
        <v>0</v>
      </c>
      <c r="FW379" s="9" t="n">
        <v>2020</v>
      </c>
      <c r="GA379" s="10" t="n">
        <v>46345</v>
      </c>
      <c r="GC379" s="9" t="n">
        <v>0</v>
      </c>
      <c r="GE379" s="9" t="n">
        <v>0</v>
      </c>
      <c r="GF379" s="9" t="n">
        <v>960</v>
      </c>
      <c r="GJ379" s="10" t="n">
        <v>46345</v>
      </c>
      <c r="GL379" s="9" t="n">
        <v>0</v>
      </c>
      <c r="GN379" s="9" t="n">
        <v>0</v>
      </c>
      <c r="GO379" s="9" t="n">
        <v>1760</v>
      </c>
      <c r="GS379" s="10" t="n">
        <v>46345</v>
      </c>
      <c r="GU379" s="9" t="n">
        <v>0</v>
      </c>
      <c r="GW379" s="9" t="n">
        <v>0</v>
      </c>
      <c r="GX379" s="9" t="n">
        <v>400</v>
      </c>
      <c r="HB379" s="10" t="n">
        <v>46345</v>
      </c>
      <c r="HD379" s="9" t="n">
        <v>0</v>
      </c>
      <c r="HF379" s="9" t="n">
        <v>0</v>
      </c>
      <c r="HG379" s="9" t="n">
        <v>3600</v>
      </c>
      <c r="HK379" s="10" t="n">
        <v>46345</v>
      </c>
      <c r="HM379" s="9" t="n">
        <v>0</v>
      </c>
      <c r="HO379" s="9" t="n">
        <v>0</v>
      </c>
      <c r="HP379" s="9" t="n">
        <v>0</v>
      </c>
      <c r="HU379" s="10" t="n">
        <v>46345</v>
      </c>
      <c r="HW379" s="9" t="n">
        <v>0</v>
      </c>
      <c r="HY379" s="9" t="n">
        <v>0</v>
      </c>
      <c r="HZ379" s="9" t="n">
        <v>6120</v>
      </c>
      <c r="ID379" s="10" t="n">
        <v>46345</v>
      </c>
      <c r="IF379" s="9" t="n">
        <v>0</v>
      </c>
      <c r="IH379" s="9" t="n">
        <v>0</v>
      </c>
      <c r="II379" s="9" t="n">
        <v>0</v>
      </c>
      <c r="IM379" s="10" t="n">
        <v>46345</v>
      </c>
      <c r="IO379" s="9" t="n">
        <v>0</v>
      </c>
      <c r="IQ379" s="9" t="n">
        <v>0</v>
      </c>
      <c r="IR379" s="9" t="n">
        <v>0</v>
      </c>
      <c r="IV379" s="10" t="n">
        <v>46345</v>
      </c>
      <c r="IX379" s="9" t="n">
        <v>0</v>
      </c>
      <c r="IZ379" s="9" t="n">
        <v>0</v>
      </c>
      <c r="JA379" s="9" t="n">
        <v>2820</v>
      </c>
      <c r="JE379" s="10" t="n">
        <v>46345</v>
      </c>
      <c r="JG379" s="9" t="n">
        <v>0</v>
      </c>
      <c r="JI379" s="9" t="n">
        <v>0</v>
      </c>
      <c r="JJ379" s="9" t="n">
        <v>0</v>
      </c>
      <c r="JN379" s="10" t="n">
        <v>46345</v>
      </c>
      <c r="JP379" s="9" t="n">
        <v>0</v>
      </c>
      <c r="JR379" s="9" t="n">
        <v>0</v>
      </c>
      <c r="JS379" s="9" t="n">
        <v>0</v>
      </c>
      <c r="JW379" s="10" t="n">
        <v>46345</v>
      </c>
      <c r="JY379" s="9" t="n">
        <v>0</v>
      </c>
      <c r="KA379" s="9" t="n">
        <v>0</v>
      </c>
      <c r="KB379" s="9" t="n">
        <v>2540</v>
      </c>
      <c r="KF379" s="10" t="n">
        <v>46345</v>
      </c>
      <c r="KH379" s="9" t="n">
        <v>0</v>
      </c>
      <c r="KJ379" s="9" t="n">
        <v>0</v>
      </c>
      <c r="KK379" s="9" t="n">
        <v>2359.5</v>
      </c>
      <c r="KO379" s="10" t="n">
        <v>46345</v>
      </c>
      <c r="KQ379" s="9" t="n">
        <v>0</v>
      </c>
      <c r="KS379" s="9" t="n">
        <v>0</v>
      </c>
      <c r="KT379" s="9" t="n">
        <v>1890</v>
      </c>
      <c r="KX379" s="10" t="n">
        <v>46345</v>
      </c>
      <c r="KZ379" s="9" t="n">
        <v>0</v>
      </c>
      <c r="LB379" s="9" t="n">
        <v>0</v>
      </c>
      <c r="LC379" s="9" t="n">
        <v>3690</v>
      </c>
      <c r="LG379" s="10" t="n">
        <v>46345</v>
      </c>
      <c r="LI379" s="9" t="n">
        <v>0</v>
      </c>
      <c r="LK379" s="9" t="n">
        <v>0</v>
      </c>
      <c r="LL379" s="9" t="n">
        <v>4000</v>
      </c>
      <c r="LP379" s="10" t="n">
        <v>46345</v>
      </c>
      <c r="LR379" s="9" t="n">
        <v>0</v>
      </c>
      <c r="LT379" s="9" t="n">
        <v>0</v>
      </c>
      <c r="LU379" s="9" t="n">
        <v>0</v>
      </c>
      <c r="LY379" s="10" t="n">
        <v>46345</v>
      </c>
      <c r="MA379" s="9" t="n">
        <v>0</v>
      </c>
      <c r="MC379" s="9" t="n">
        <v>0</v>
      </c>
      <c r="MD379" s="9" t="n">
        <v>0</v>
      </c>
      <c r="MH379" s="10" t="n">
        <v>46345</v>
      </c>
      <c r="MJ379" s="9" t="n">
        <v>0</v>
      </c>
      <c r="ML379" s="9" t="n">
        <v>0</v>
      </c>
      <c r="MM379" s="9" t="n">
        <v>0</v>
      </c>
      <c r="MQ379" s="10" t="n">
        <v>46345</v>
      </c>
      <c r="MS379" s="9" t="n">
        <v>0</v>
      </c>
      <c r="MU379" s="9" t="n">
        <v>0</v>
      </c>
      <c r="MV379" s="9" t="n">
        <v>1625</v>
      </c>
      <c r="MZ379" s="10" t="n">
        <v>46345</v>
      </c>
      <c r="NB379" s="9" t="n">
        <v>0</v>
      </c>
      <c r="ND379" s="9" t="n">
        <v>0</v>
      </c>
      <c r="NE379" s="9" t="n">
        <v>0</v>
      </c>
      <c r="NI379" s="10" t="n">
        <v>46345</v>
      </c>
      <c r="NK379" s="9" t="n">
        <v>0</v>
      </c>
      <c r="NM379" s="9" t="n">
        <v>0</v>
      </c>
      <c r="NN379" s="9" t="n">
        <v>1127</v>
      </c>
      <c r="NR379" s="10" t="n">
        <v>46345</v>
      </c>
      <c r="NT379" s="9" t="n">
        <v>0</v>
      </c>
      <c r="NV379" s="9" t="n">
        <v>0</v>
      </c>
      <c r="NW379" s="9" t="n">
        <v>3112</v>
      </c>
      <c r="OA379" s="10" t="n">
        <v>46345</v>
      </c>
      <c r="OC379" s="9" t="n">
        <v>0</v>
      </c>
      <c r="OE379" s="9" t="n">
        <v>0</v>
      </c>
      <c r="OF379" s="9" t="n">
        <v>1680.5</v>
      </c>
      <c r="OJ379" s="10" t="n">
        <v>46345</v>
      </c>
      <c r="OL379" s="9" t="n">
        <v>0</v>
      </c>
      <c r="ON379" s="9" t="n">
        <v>0</v>
      </c>
      <c r="OO379" s="9" t="n">
        <v>0</v>
      </c>
      <c r="OS379" s="10" t="n">
        <v>46345</v>
      </c>
      <c r="OU379" s="9" t="n">
        <v>0</v>
      </c>
      <c r="OW379" s="9" t="n">
        <v>0</v>
      </c>
      <c r="OX379" s="9" t="n">
        <v>1482</v>
      </c>
      <c r="PB379" s="10" t="n">
        <v>46345</v>
      </c>
      <c r="PD379" s="9" t="n">
        <v>0</v>
      </c>
      <c r="PF379" s="9" t="n">
        <v>0</v>
      </c>
      <c r="PG379" s="9" t="n">
        <v>0</v>
      </c>
      <c r="PK379" s="10" t="n">
        <v>46345</v>
      </c>
      <c r="PM379" s="9" t="n">
        <v>0</v>
      </c>
      <c r="PO379" s="9" t="n">
        <v>0</v>
      </c>
      <c r="PP379" s="9" t="n">
        <v>100</v>
      </c>
      <c r="PT379" s="10" t="n">
        <v>46345</v>
      </c>
      <c r="PV379" s="9" t="n">
        <v>0</v>
      </c>
      <c r="PX379" s="9" t="n">
        <v>0</v>
      </c>
      <c r="PY379" s="9" t="n">
        <v>13.96000000000004</v>
      </c>
      <c r="QC379" s="10" t="n">
        <v>46345</v>
      </c>
      <c r="QE379" s="9" t="n">
        <v>0</v>
      </c>
      <c r="QG379" s="9" t="n">
        <v>0</v>
      </c>
      <c r="QH379" s="9" t="n">
        <v>548</v>
      </c>
      <c r="QL379" s="10" t="n">
        <v>46345</v>
      </c>
      <c r="QN379" s="9" t="n">
        <v>0</v>
      </c>
      <c r="QP379" s="9" t="n">
        <v>0</v>
      </c>
      <c r="QQ379" s="9" t="n">
        <v>0</v>
      </c>
      <c r="QU379" s="10" t="n">
        <v>46345</v>
      </c>
      <c r="QW379" s="9" t="n">
        <v>0</v>
      </c>
      <c r="QY379" s="9" t="n">
        <v>0</v>
      </c>
      <c r="QZ379" s="9" t="n">
        <v>0</v>
      </c>
      <c r="RD379" s="10" t="n">
        <v>46345</v>
      </c>
      <c r="RF379" s="9" t="n">
        <v>0</v>
      </c>
      <c r="RH379" s="9" t="n">
        <v>0</v>
      </c>
      <c r="RI379" s="9" t="n">
        <v>147.04</v>
      </c>
      <c r="RM379" s="10" t="n">
        <v>46345</v>
      </c>
      <c r="RO379" s="9" t="n">
        <v>0</v>
      </c>
      <c r="RQ379" s="9" t="n">
        <v>0</v>
      </c>
      <c r="RR379" s="9" t="n">
        <v>46.8</v>
      </c>
      <c r="RV379" s="10" t="n">
        <v>46345</v>
      </c>
      <c r="RX379" s="9" t="n">
        <v>0</v>
      </c>
      <c r="RZ379" s="9" t="n">
        <v>0</v>
      </c>
      <c r="SA379" s="9" t="n">
        <v>0</v>
      </c>
      <c r="SE379" s="10" t="n">
        <v>46345</v>
      </c>
      <c r="SG379" s="9" t="n">
        <v>0</v>
      </c>
      <c r="SI379" s="9" t="n">
        <v>0</v>
      </c>
      <c r="SJ379" s="9" t="n">
        <v>24.2</v>
      </c>
      <c r="SN379" s="10" t="n">
        <v>46345</v>
      </c>
      <c r="SP379" s="9" t="n">
        <v>0</v>
      </c>
      <c r="SR379" s="9" t="n">
        <v>0</v>
      </c>
      <c r="SS379" s="9" t="n">
        <v>32</v>
      </c>
      <c r="SW379" s="10" t="n">
        <v>46345</v>
      </c>
      <c r="SY379" s="9" t="n">
        <v>0</v>
      </c>
      <c r="TA379" s="9" t="n">
        <v>0</v>
      </c>
      <c r="TB379" s="9" t="n">
        <v>0</v>
      </c>
      <c r="TF379" s="10" t="n">
        <v>46345</v>
      </c>
      <c r="TH379" s="9" t="n">
        <v>0</v>
      </c>
      <c r="TJ379" s="9" t="n">
        <v>0</v>
      </c>
      <c r="TK379" s="9" t="n">
        <v>0</v>
      </c>
      <c r="TO379" s="10" t="n">
        <v>46345</v>
      </c>
      <c r="TQ379" s="9" t="n">
        <v>0</v>
      </c>
      <c r="TS379" s="9" t="n">
        <v>0</v>
      </c>
      <c r="TT379" s="9" t="n">
        <v>0</v>
      </c>
      <c r="TX379" s="10" t="n">
        <v>46345</v>
      </c>
      <c r="TZ379" s="9" t="n">
        <v>0</v>
      </c>
      <c r="UB379" s="9" t="n">
        <v>0</v>
      </c>
      <c r="UC379" s="9" t="n">
        <v>46.79999999999998</v>
      </c>
      <c r="UG379" s="10" t="n">
        <v>46345</v>
      </c>
      <c r="UI379" s="9" t="n">
        <v>0</v>
      </c>
      <c r="UK379" s="9" t="n">
        <v>0</v>
      </c>
      <c r="UL379" s="9" t="n">
        <v>204</v>
      </c>
      <c r="UP379" s="10" t="n">
        <v>46345</v>
      </c>
      <c r="UR379" s="9" t="n">
        <v>0</v>
      </c>
      <c r="UT379" s="9" t="n">
        <v>0</v>
      </c>
      <c r="UU379" s="9" t="n">
        <v>202.5</v>
      </c>
      <c r="UY379" s="10" t="n">
        <v>46345</v>
      </c>
      <c r="VA379" s="9" t="n">
        <v>0</v>
      </c>
      <c r="VC379" s="9" t="n">
        <v>0</v>
      </c>
      <c r="VD379" s="9" t="n">
        <v>41.60000000000002</v>
      </c>
      <c r="VH379" s="10" t="n">
        <v>46345</v>
      </c>
      <c r="VJ379" s="9" t="n">
        <v>0</v>
      </c>
      <c r="VL379" s="9" t="n">
        <v>0</v>
      </c>
      <c r="VM379" s="9" t="n">
        <v>210</v>
      </c>
      <c r="VQ379" s="10" t="n">
        <v>46345</v>
      </c>
      <c r="VS379" s="9" t="n">
        <v>0</v>
      </c>
      <c r="VU379" s="9" t="n">
        <v>0</v>
      </c>
      <c r="VV379" s="9" t="n">
        <v>0</v>
      </c>
      <c r="VZ379" s="10" t="n">
        <v>46345</v>
      </c>
      <c r="WB379" s="9" t="n">
        <v>0</v>
      </c>
      <c r="WD379" s="9" t="n">
        <v>0</v>
      </c>
      <c r="WE379" s="9" t="n">
        <v>0</v>
      </c>
      <c r="WI379" s="10" t="n">
        <v>46345</v>
      </c>
      <c r="WK379" s="9" t="n">
        <v>0</v>
      </c>
      <c r="WM379" s="9" t="n">
        <v>0</v>
      </c>
      <c r="WN379" s="9" t="n">
        <v>1057</v>
      </c>
      <c r="WR379" s="10" t="n">
        <v>46345</v>
      </c>
      <c r="WT379" s="9" t="n">
        <v>0</v>
      </c>
      <c r="WV379" s="9" t="n">
        <v>0</v>
      </c>
      <c r="WW379" s="9" t="n">
        <v>0</v>
      </c>
      <c r="XA379" s="10" t="n">
        <v>46345</v>
      </c>
      <c r="XC379" s="9" t="n">
        <v>0</v>
      </c>
      <c r="XE379" s="9" t="n">
        <v>0</v>
      </c>
      <c r="XF379" s="9" t="n">
        <v>7507</v>
      </c>
      <c r="XJ379" s="10" t="n">
        <v>46345</v>
      </c>
      <c r="XL379" s="9" t="n">
        <v>0</v>
      </c>
      <c r="XN379" s="9" t="n">
        <v>0</v>
      </c>
      <c r="XO379" s="9" t="n">
        <v>4252</v>
      </c>
      <c r="XS379" s="10" t="n">
        <v>46345</v>
      </c>
      <c r="XU379" s="9" t="n">
        <v>0</v>
      </c>
      <c r="XW379" s="9" t="n">
        <v>0</v>
      </c>
      <c r="XX379" s="9" t="n">
        <v>2179</v>
      </c>
      <c r="YB379" s="10" t="n">
        <v>46345</v>
      </c>
      <c r="YD379" s="9" t="n">
        <v>0</v>
      </c>
      <c r="YF379" s="9" t="n">
        <v>0</v>
      </c>
      <c r="YG379" s="9" t="n">
        <v>4019</v>
      </c>
      <c r="YK379" s="10" t="n">
        <v>46345</v>
      </c>
      <c r="YM379" s="9" t="n">
        <v>0</v>
      </c>
      <c r="YO379" s="9" t="n">
        <v>0</v>
      </c>
      <c r="YP379" s="9" t="n">
        <v>-218</v>
      </c>
      <c r="YT379" s="10" t="n">
        <v>46345</v>
      </c>
      <c r="YV379" s="9" t="n">
        <v>0</v>
      </c>
      <c r="YX379" s="9" t="n">
        <v>0</v>
      </c>
      <c r="YY379" s="9" t="n">
        <v>0</v>
      </c>
      <c r="ZC379" s="10" t="n">
        <v>46345</v>
      </c>
      <c r="ZE379" s="9" t="n">
        <v>0</v>
      </c>
      <c r="ZG379" s="9" t="n">
        <v>0</v>
      </c>
      <c r="ZH379" s="9" t="n">
        <v>0</v>
      </c>
      <c r="ZL379" s="10" t="n">
        <v>46345</v>
      </c>
      <c r="ZN379" s="9" t="n">
        <v>0</v>
      </c>
      <c r="ZP379" s="9" t="n">
        <v>0</v>
      </c>
      <c r="ZQ379" s="9" t="n">
        <v>0</v>
      </c>
      <c r="ZU379" s="10" t="n">
        <v>46345</v>
      </c>
      <c r="ZW379" s="9" t="n">
        <v>0</v>
      </c>
      <c r="ZY379" s="9" t="n">
        <v>0</v>
      </c>
      <c r="ZZ379" s="9" t="n">
        <v>0</v>
      </c>
      <c r="AAD379" s="10" t="n">
        <v>46345</v>
      </c>
      <c r="AAF379" s="9" t="n">
        <v>0</v>
      </c>
      <c r="AAH379" s="9" t="n">
        <v>0</v>
      </c>
      <c r="AAI379" s="9" t="n">
        <v>0</v>
      </c>
      <c r="AAM379" s="10" t="n">
        <v>46345</v>
      </c>
      <c r="AAO379" s="9" t="n">
        <v>0</v>
      </c>
      <c r="AAQ379" s="9" t="n">
        <v>0</v>
      </c>
      <c r="AAR379" s="9" t="n">
        <v>0</v>
      </c>
      <c r="AAV379" s="10" t="n">
        <v>46345</v>
      </c>
      <c r="AAX379" s="9" t="n">
        <v>0</v>
      </c>
      <c r="AAZ379" s="9" t="n">
        <v>0</v>
      </c>
      <c r="ABA379" s="9" t="n">
        <v>0</v>
      </c>
      <c r="ABE379" s="10" t="n">
        <v>46345</v>
      </c>
      <c r="ABG379" s="9" t="n">
        <v>0</v>
      </c>
      <c r="ABI379" s="9" t="n">
        <v>0</v>
      </c>
      <c r="ABJ379" s="9" t="n">
        <v>0</v>
      </c>
    </row>
    <row r="380">
      <c r="C380" s="10" t="n">
        <v>46346</v>
      </c>
      <c r="E380" s="9" t="n">
        <v>0</v>
      </c>
      <c r="G380" s="9" t="n">
        <v>0</v>
      </c>
      <c r="H380" s="9" t="n">
        <v>236936.6</v>
      </c>
      <c r="L380" s="10" t="n">
        <v>46346</v>
      </c>
      <c r="N380" s="9" t="n">
        <v>0</v>
      </c>
      <c r="P380" s="9" t="n">
        <v>0</v>
      </c>
      <c r="Q380" s="9" t="n">
        <v>53017.60000000007</v>
      </c>
      <c r="U380" s="10" t="n">
        <v>46346</v>
      </c>
      <c r="W380" s="9" t="n">
        <v>0</v>
      </c>
      <c r="Y380" s="9" t="n">
        <v>0</v>
      </c>
      <c r="Z380" s="9" t="n">
        <v>42674.19999999997</v>
      </c>
      <c r="AD380" s="10" t="n">
        <v>46346</v>
      </c>
      <c r="AF380" s="9" t="n">
        <v>0</v>
      </c>
      <c r="AH380" s="9" t="n">
        <v>0</v>
      </c>
      <c r="AI380" s="9" t="n">
        <v>4522.200000000019</v>
      </c>
      <c r="AM380" s="10" t="n">
        <v>46346</v>
      </c>
      <c r="AO380" s="9" t="n">
        <v>0</v>
      </c>
      <c r="AQ380" s="9" t="n">
        <v>0</v>
      </c>
      <c r="AR380" s="9" t="n">
        <v>0</v>
      </c>
      <c r="AV380" s="10" t="n">
        <v>46346</v>
      </c>
      <c r="AX380" s="9" t="n">
        <v>0</v>
      </c>
      <c r="AZ380" s="9" t="n">
        <v>0</v>
      </c>
      <c r="BA380" s="9" t="n">
        <v>124.9999999999952</v>
      </c>
      <c r="BE380" s="10" t="n">
        <v>46346</v>
      </c>
      <c r="BG380" s="9" t="n">
        <v>0</v>
      </c>
      <c r="BI380" s="9" t="n">
        <v>0</v>
      </c>
      <c r="BJ380" s="9" t="n">
        <v>26151.9</v>
      </c>
      <c r="BN380" s="10" t="n">
        <v>46346</v>
      </c>
      <c r="BP380" s="9" t="n">
        <v>0</v>
      </c>
      <c r="BR380" s="9" t="n">
        <v>0</v>
      </c>
      <c r="BS380" s="9" t="n">
        <v>0</v>
      </c>
      <c r="BW380" s="10" t="n">
        <v>46346</v>
      </c>
      <c r="BY380" s="9" t="n">
        <v>0</v>
      </c>
      <c r="CA380" s="9" t="n">
        <v>0</v>
      </c>
      <c r="CB380" s="9" t="n">
        <v>2097.339999999999</v>
      </c>
      <c r="CF380" s="10" t="n">
        <v>46346</v>
      </c>
      <c r="CH380" s="9" t="n">
        <v>0</v>
      </c>
      <c r="CJ380" s="9" t="n">
        <v>0</v>
      </c>
      <c r="CK380" s="9" t="n">
        <v>-10277.08</v>
      </c>
      <c r="CO380" s="10" t="n">
        <v>46346</v>
      </c>
      <c r="CQ380" s="9" t="n">
        <v>0</v>
      </c>
      <c r="CS380" s="9" t="n">
        <v>0</v>
      </c>
      <c r="CT380" s="9" t="n">
        <v>0</v>
      </c>
      <c r="CX380" s="10" t="n">
        <v>46346</v>
      </c>
      <c r="CZ380" s="9" t="n">
        <v>0</v>
      </c>
      <c r="DB380" s="9" t="n">
        <v>0</v>
      </c>
      <c r="DC380" s="9" t="n">
        <v>27438.20000000001</v>
      </c>
      <c r="DG380" s="10" t="n">
        <v>46346</v>
      </c>
      <c r="DI380" s="9" t="n">
        <v>0</v>
      </c>
      <c r="DK380" s="9" t="n">
        <v>0</v>
      </c>
      <c r="DL380" s="9" t="n">
        <v>18782.29999999998</v>
      </c>
      <c r="DP380" s="10" t="n">
        <v>46346</v>
      </c>
      <c r="DR380" s="9" t="n">
        <v>0</v>
      </c>
      <c r="DT380" s="9" t="n">
        <v>0</v>
      </c>
      <c r="DU380" s="9" t="n">
        <v>5800</v>
      </c>
      <c r="DY380" s="10" t="n">
        <v>46346</v>
      </c>
      <c r="EA380" s="9" t="n">
        <v>0</v>
      </c>
      <c r="EC380" s="9" t="n">
        <v>0</v>
      </c>
      <c r="ED380" s="9" t="n">
        <v>0</v>
      </c>
      <c r="EH380" s="10" t="n">
        <v>46346</v>
      </c>
      <c r="EJ380" s="9" t="n">
        <v>0</v>
      </c>
      <c r="EL380" s="9" t="n">
        <v>0</v>
      </c>
      <c r="EM380" s="9" t="n">
        <v>0</v>
      </c>
      <c r="EQ380" s="10" t="n">
        <v>46346</v>
      </c>
      <c r="ES380" s="9" t="n">
        <v>0</v>
      </c>
      <c r="EU380" s="9" t="n">
        <v>0</v>
      </c>
      <c r="EV380" s="9" t="n">
        <v>0</v>
      </c>
      <c r="EZ380" s="10" t="n">
        <v>46346</v>
      </c>
      <c r="FB380" s="9" t="n">
        <v>0</v>
      </c>
      <c r="FD380" s="9" t="n">
        <v>0</v>
      </c>
      <c r="FE380" s="9" t="n">
        <v>0</v>
      </c>
      <c r="FI380" s="10" t="n">
        <v>46346</v>
      </c>
      <c r="FK380" s="9" t="n">
        <v>0</v>
      </c>
      <c r="FM380" s="9" t="n">
        <v>0</v>
      </c>
      <c r="FN380" s="9" t="n">
        <v>0</v>
      </c>
      <c r="FR380" s="10" t="n">
        <v>46346</v>
      </c>
      <c r="FT380" s="9" t="n">
        <v>0</v>
      </c>
      <c r="FV380" s="9" t="n">
        <v>0</v>
      </c>
      <c r="FW380" s="9" t="n">
        <v>2020</v>
      </c>
      <c r="GA380" s="10" t="n">
        <v>46346</v>
      </c>
      <c r="GC380" s="9" t="n">
        <v>0</v>
      </c>
      <c r="GE380" s="9" t="n">
        <v>0</v>
      </c>
      <c r="GF380" s="9" t="n">
        <v>960</v>
      </c>
      <c r="GJ380" s="10" t="n">
        <v>46346</v>
      </c>
      <c r="GL380" s="9" t="n">
        <v>0</v>
      </c>
      <c r="GN380" s="9" t="n">
        <v>0</v>
      </c>
      <c r="GO380" s="9" t="n">
        <v>1760</v>
      </c>
      <c r="GS380" s="10" t="n">
        <v>46346</v>
      </c>
      <c r="GU380" s="9" t="n">
        <v>0</v>
      </c>
      <c r="GW380" s="9" t="n">
        <v>0</v>
      </c>
      <c r="GX380" s="9" t="n">
        <v>400</v>
      </c>
      <c r="HB380" s="10" t="n">
        <v>46346</v>
      </c>
      <c r="HD380" s="9" t="n">
        <v>0</v>
      </c>
      <c r="HF380" s="9" t="n">
        <v>0</v>
      </c>
      <c r="HG380" s="9" t="n">
        <v>3600</v>
      </c>
      <c r="HK380" s="10" t="n">
        <v>46346</v>
      </c>
      <c r="HM380" s="9" t="n">
        <v>0</v>
      </c>
      <c r="HO380" s="9" t="n">
        <v>0</v>
      </c>
      <c r="HP380" s="9" t="n">
        <v>0</v>
      </c>
      <c r="HU380" s="10" t="n">
        <v>46346</v>
      </c>
      <c r="HW380" s="9" t="n">
        <v>0</v>
      </c>
      <c r="HY380" s="9" t="n">
        <v>0</v>
      </c>
      <c r="HZ380" s="9" t="n">
        <v>6120</v>
      </c>
      <c r="ID380" s="10" t="n">
        <v>46346</v>
      </c>
      <c r="IF380" s="9" t="n">
        <v>0</v>
      </c>
      <c r="IH380" s="9" t="n">
        <v>0</v>
      </c>
      <c r="II380" s="9" t="n">
        <v>0</v>
      </c>
      <c r="IM380" s="10" t="n">
        <v>46346</v>
      </c>
      <c r="IO380" s="9" t="n">
        <v>0</v>
      </c>
      <c r="IQ380" s="9" t="n">
        <v>0</v>
      </c>
      <c r="IR380" s="9" t="n">
        <v>0</v>
      </c>
      <c r="IV380" s="10" t="n">
        <v>46346</v>
      </c>
      <c r="IX380" s="9" t="n">
        <v>0</v>
      </c>
      <c r="IZ380" s="9" t="n">
        <v>0</v>
      </c>
      <c r="JA380" s="9" t="n">
        <v>2820</v>
      </c>
      <c r="JE380" s="10" t="n">
        <v>46346</v>
      </c>
      <c r="JG380" s="9" t="n">
        <v>0</v>
      </c>
      <c r="JI380" s="9" t="n">
        <v>0</v>
      </c>
      <c r="JJ380" s="9" t="n">
        <v>0</v>
      </c>
      <c r="JN380" s="10" t="n">
        <v>46346</v>
      </c>
      <c r="JP380" s="9" t="n">
        <v>0</v>
      </c>
      <c r="JR380" s="9" t="n">
        <v>0</v>
      </c>
      <c r="JS380" s="9" t="n">
        <v>0</v>
      </c>
      <c r="JW380" s="10" t="n">
        <v>46346</v>
      </c>
      <c r="JY380" s="9" t="n">
        <v>0</v>
      </c>
      <c r="KA380" s="9" t="n">
        <v>0</v>
      </c>
      <c r="KB380" s="9" t="n">
        <v>2540</v>
      </c>
      <c r="KF380" s="10" t="n">
        <v>46346</v>
      </c>
      <c r="KH380" s="9" t="n">
        <v>0</v>
      </c>
      <c r="KJ380" s="9" t="n">
        <v>0</v>
      </c>
      <c r="KK380" s="9" t="n">
        <v>2359.5</v>
      </c>
      <c r="KO380" s="10" t="n">
        <v>46346</v>
      </c>
      <c r="KQ380" s="9" t="n">
        <v>0</v>
      </c>
      <c r="KS380" s="9" t="n">
        <v>0</v>
      </c>
      <c r="KT380" s="9" t="n">
        <v>1890</v>
      </c>
      <c r="KX380" s="10" t="n">
        <v>46346</v>
      </c>
      <c r="KZ380" s="9" t="n">
        <v>0</v>
      </c>
      <c r="LB380" s="9" t="n">
        <v>0</v>
      </c>
      <c r="LC380" s="9" t="n">
        <v>3690</v>
      </c>
      <c r="LG380" s="10" t="n">
        <v>46346</v>
      </c>
      <c r="LI380" s="9" t="n">
        <v>0</v>
      </c>
      <c r="LK380" s="9" t="n">
        <v>0</v>
      </c>
      <c r="LL380" s="9" t="n">
        <v>4000</v>
      </c>
      <c r="LP380" s="10" t="n">
        <v>46346</v>
      </c>
      <c r="LR380" s="9" t="n">
        <v>0</v>
      </c>
      <c r="LT380" s="9" t="n">
        <v>0</v>
      </c>
      <c r="LU380" s="9" t="n">
        <v>0</v>
      </c>
      <c r="LY380" s="10" t="n">
        <v>46346</v>
      </c>
      <c r="MA380" s="9" t="n">
        <v>0</v>
      </c>
      <c r="MC380" s="9" t="n">
        <v>0</v>
      </c>
      <c r="MD380" s="9" t="n">
        <v>0</v>
      </c>
      <c r="MH380" s="10" t="n">
        <v>46346</v>
      </c>
      <c r="MJ380" s="9" t="n">
        <v>0</v>
      </c>
      <c r="ML380" s="9" t="n">
        <v>0</v>
      </c>
      <c r="MM380" s="9" t="n">
        <v>0</v>
      </c>
      <c r="MQ380" s="10" t="n">
        <v>46346</v>
      </c>
      <c r="MS380" s="9" t="n">
        <v>0</v>
      </c>
      <c r="MU380" s="9" t="n">
        <v>0</v>
      </c>
      <c r="MV380" s="9" t="n">
        <v>1625</v>
      </c>
      <c r="MZ380" s="10" t="n">
        <v>46346</v>
      </c>
      <c r="NB380" s="9" t="n">
        <v>0</v>
      </c>
      <c r="ND380" s="9" t="n">
        <v>0</v>
      </c>
      <c r="NE380" s="9" t="n">
        <v>0</v>
      </c>
      <c r="NI380" s="10" t="n">
        <v>46346</v>
      </c>
      <c r="NK380" s="9" t="n">
        <v>0</v>
      </c>
      <c r="NM380" s="9" t="n">
        <v>0</v>
      </c>
      <c r="NN380" s="9" t="n">
        <v>1127</v>
      </c>
      <c r="NR380" s="10" t="n">
        <v>46346</v>
      </c>
      <c r="NT380" s="9" t="n">
        <v>0</v>
      </c>
      <c r="NV380" s="9" t="n">
        <v>0</v>
      </c>
      <c r="NW380" s="9" t="n">
        <v>3112</v>
      </c>
      <c r="OA380" s="10" t="n">
        <v>46346</v>
      </c>
      <c r="OC380" s="9" t="n">
        <v>0</v>
      </c>
      <c r="OE380" s="9" t="n">
        <v>0</v>
      </c>
      <c r="OF380" s="9" t="n">
        <v>1680.5</v>
      </c>
      <c r="OJ380" s="10" t="n">
        <v>46346</v>
      </c>
      <c r="OL380" s="9" t="n">
        <v>0</v>
      </c>
      <c r="ON380" s="9" t="n">
        <v>0</v>
      </c>
      <c r="OO380" s="9" t="n">
        <v>0</v>
      </c>
      <c r="OS380" s="10" t="n">
        <v>46346</v>
      </c>
      <c r="OU380" s="9" t="n">
        <v>0</v>
      </c>
      <c r="OW380" s="9" t="n">
        <v>0</v>
      </c>
      <c r="OX380" s="9" t="n">
        <v>1482</v>
      </c>
      <c r="PB380" s="10" t="n">
        <v>46346</v>
      </c>
      <c r="PD380" s="9" t="n">
        <v>0</v>
      </c>
      <c r="PF380" s="9" t="n">
        <v>0</v>
      </c>
      <c r="PG380" s="9" t="n">
        <v>0</v>
      </c>
      <c r="PK380" s="10" t="n">
        <v>46346</v>
      </c>
      <c r="PM380" s="9" t="n">
        <v>0</v>
      </c>
      <c r="PO380" s="9" t="n">
        <v>0</v>
      </c>
      <c r="PP380" s="9" t="n">
        <v>100</v>
      </c>
      <c r="PT380" s="10" t="n">
        <v>46346</v>
      </c>
      <c r="PV380" s="9" t="n">
        <v>0</v>
      </c>
      <c r="PX380" s="9" t="n">
        <v>0</v>
      </c>
      <c r="PY380" s="9" t="n">
        <v>13.96000000000004</v>
      </c>
      <c r="QC380" s="10" t="n">
        <v>46346</v>
      </c>
      <c r="QE380" s="9" t="n">
        <v>0</v>
      </c>
      <c r="QG380" s="9" t="n">
        <v>0</v>
      </c>
      <c r="QH380" s="9" t="n">
        <v>548</v>
      </c>
      <c r="QL380" s="10" t="n">
        <v>46346</v>
      </c>
      <c r="QN380" s="9" t="n">
        <v>0</v>
      </c>
      <c r="QP380" s="9" t="n">
        <v>0</v>
      </c>
      <c r="QQ380" s="9" t="n">
        <v>0</v>
      </c>
      <c r="QU380" s="10" t="n">
        <v>46346</v>
      </c>
      <c r="QW380" s="9" t="n">
        <v>0</v>
      </c>
      <c r="QY380" s="9" t="n">
        <v>0</v>
      </c>
      <c r="QZ380" s="9" t="n">
        <v>0</v>
      </c>
      <c r="RD380" s="10" t="n">
        <v>46346</v>
      </c>
      <c r="RF380" s="9" t="n">
        <v>0</v>
      </c>
      <c r="RH380" s="9" t="n">
        <v>0</v>
      </c>
      <c r="RI380" s="9" t="n">
        <v>147.04</v>
      </c>
      <c r="RM380" s="10" t="n">
        <v>46346</v>
      </c>
      <c r="RO380" s="9" t="n">
        <v>0</v>
      </c>
      <c r="RQ380" s="9" t="n">
        <v>0</v>
      </c>
      <c r="RR380" s="9" t="n">
        <v>46.8</v>
      </c>
      <c r="RV380" s="10" t="n">
        <v>46346</v>
      </c>
      <c r="RX380" s="9" t="n">
        <v>0</v>
      </c>
      <c r="RZ380" s="9" t="n">
        <v>0</v>
      </c>
      <c r="SA380" s="9" t="n">
        <v>0</v>
      </c>
      <c r="SE380" s="10" t="n">
        <v>46346</v>
      </c>
      <c r="SG380" s="9" t="n">
        <v>0</v>
      </c>
      <c r="SI380" s="9" t="n">
        <v>0</v>
      </c>
      <c r="SJ380" s="9" t="n">
        <v>24.2</v>
      </c>
      <c r="SN380" s="10" t="n">
        <v>46346</v>
      </c>
      <c r="SP380" s="9" t="n">
        <v>0</v>
      </c>
      <c r="SR380" s="9" t="n">
        <v>0</v>
      </c>
      <c r="SS380" s="9" t="n">
        <v>32</v>
      </c>
      <c r="SW380" s="10" t="n">
        <v>46346</v>
      </c>
      <c r="SY380" s="9" t="n">
        <v>0</v>
      </c>
      <c r="TA380" s="9" t="n">
        <v>0</v>
      </c>
      <c r="TB380" s="9" t="n">
        <v>0</v>
      </c>
      <c r="TF380" s="10" t="n">
        <v>46346</v>
      </c>
      <c r="TH380" s="9" t="n">
        <v>0</v>
      </c>
      <c r="TJ380" s="9" t="n">
        <v>0</v>
      </c>
      <c r="TK380" s="9" t="n">
        <v>0</v>
      </c>
      <c r="TO380" s="10" t="n">
        <v>46346</v>
      </c>
      <c r="TQ380" s="9" t="n">
        <v>0</v>
      </c>
      <c r="TS380" s="9" t="n">
        <v>0</v>
      </c>
      <c r="TT380" s="9" t="n">
        <v>0</v>
      </c>
      <c r="TX380" s="10" t="n">
        <v>46346</v>
      </c>
      <c r="TZ380" s="9" t="n">
        <v>0</v>
      </c>
      <c r="UB380" s="9" t="n">
        <v>0</v>
      </c>
      <c r="UC380" s="9" t="n">
        <v>46.79999999999998</v>
      </c>
      <c r="UG380" s="10" t="n">
        <v>46346</v>
      </c>
      <c r="UI380" s="9" t="n">
        <v>0</v>
      </c>
      <c r="UK380" s="9" t="n">
        <v>0</v>
      </c>
      <c r="UL380" s="9" t="n">
        <v>204</v>
      </c>
      <c r="UP380" s="10" t="n">
        <v>46346</v>
      </c>
      <c r="UR380" s="9" t="n">
        <v>0</v>
      </c>
      <c r="UT380" s="9" t="n">
        <v>0</v>
      </c>
      <c r="UU380" s="9" t="n">
        <v>202.5</v>
      </c>
      <c r="UY380" s="10" t="n">
        <v>46346</v>
      </c>
      <c r="VA380" s="9" t="n">
        <v>0</v>
      </c>
      <c r="VC380" s="9" t="n">
        <v>0</v>
      </c>
      <c r="VD380" s="9" t="n">
        <v>41.60000000000002</v>
      </c>
      <c r="VH380" s="10" t="n">
        <v>46346</v>
      </c>
      <c r="VJ380" s="9" t="n">
        <v>0</v>
      </c>
      <c r="VL380" s="9" t="n">
        <v>0</v>
      </c>
      <c r="VM380" s="9" t="n">
        <v>210</v>
      </c>
      <c r="VQ380" s="10" t="n">
        <v>46346</v>
      </c>
      <c r="VS380" s="9" t="n">
        <v>0</v>
      </c>
      <c r="VU380" s="9" t="n">
        <v>0</v>
      </c>
      <c r="VV380" s="9" t="n">
        <v>0</v>
      </c>
      <c r="VZ380" s="10" t="n">
        <v>46346</v>
      </c>
      <c r="WB380" s="9" t="n">
        <v>0</v>
      </c>
      <c r="WD380" s="9" t="n">
        <v>0</v>
      </c>
      <c r="WE380" s="9" t="n">
        <v>0</v>
      </c>
      <c r="WI380" s="10" t="n">
        <v>46346</v>
      </c>
      <c r="WK380" s="9" t="n">
        <v>0</v>
      </c>
      <c r="WM380" s="9" t="n">
        <v>0</v>
      </c>
      <c r="WN380" s="9" t="n">
        <v>1057</v>
      </c>
      <c r="WR380" s="10" t="n">
        <v>46346</v>
      </c>
      <c r="WT380" s="9" t="n">
        <v>0</v>
      </c>
      <c r="WV380" s="9" t="n">
        <v>0</v>
      </c>
      <c r="WW380" s="9" t="n">
        <v>0</v>
      </c>
      <c r="XA380" s="10" t="n">
        <v>46346</v>
      </c>
      <c r="XC380" s="9" t="n">
        <v>0</v>
      </c>
      <c r="XE380" s="9" t="n">
        <v>0</v>
      </c>
      <c r="XF380" s="9" t="n">
        <v>7507</v>
      </c>
      <c r="XJ380" s="10" t="n">
        <v>46346</v>
      </c>
      <c r="XL380" s="9" t="n">
        <v>0</v>
      </c>
      <c r="XN380" s="9" t="n">
        <v>0</v>
      </c>
      <c r="XO380" s="9" t="n">
        <v>4252</v>
      </c>
      <c r="XS380" s="10" t="n">
        <v>46346</v>
      </c>
      <c r="XU380" s="9" t="n">
        <v>0</v>
      </c>
      <c r="XW380" s="9" t="n">
        <v>0</v>
      </c>
      <c r="XX380" s="9" t="n">
        <v>2179</v>
      </c>
      <c r="YB380" s="10" t="n">
        <v>46346</v>
      </c>
      <c r="YD380" s="9" t="n">
        <v>0</v>
      </c>
      <c r="YF380" s="9" t="n">
        <v>0</v>
      </c>
      <c r="YG380" s="9" t="n">
        <v>4019</v>
      </c>
      <c r="YK380" s="10" t="n">
        <v>46346</v>
      </c>
      <c r="YM380" s="9" t="n">
        <v>0</v>
      </c>
      <c r="YO380" s="9" t="n">
        <v>0</v>
      </c>
      <c r="YP380" s="9" t="n">
        <v>-218</v>
      </c>
      <c r="YT380" s="10" t="n">
        <v>46346</v>
      </c>
      <c r="YV380" s="9" t="n">
        <v>0</v>
      </c>
      <c r="YX380" s="9" t="n">
        <v>0</v>
      </c>
      <c r="YY380" s="9" t="n">
        <v>0</v>
      </c>
      <c r="ZC380" s="10" t="n">
        <v>46346</v>
      </c>
      <c r="ZE380" s="9" t="n">
        <v>0</v>
      </c>
      <c r="ZG380" s="9" t="n">
        <v>0</v>
      </c>
      <c r="ZH380" s="9" t="n">
        <v>0</v>
      </c>
      <c r="ZL380" s="10" t="n">
        <v>46346</v>
      </c>
      <c r="ZN380" s="9" t="n">
        <v>0</v>
      </c>
      <c r="ZP380" s="9" t="n">
        <v>0</v>
      </c>
      <c r="ZQ380" s="9" t="n">
        <v>0</v>
      </c>
      <c r="ZU380" s="10" t="n">
        <v>46346</v>
      </c>
      <c r="ZW380" s="9" t="n">
        <v>0</v>
      </c>
      <c r="ZY380" s="9" t="n">
        <v>0</v>
      </c>
      <c r="ZZ380" s="9" t="n">
        <v>0</v>
      </c>
      <c r="AAD380" s="10" t="n">
        <v>46346</v>
      </c>
      <c r="AAF380" s="9" t="n">
        <v>0</v>
      </c>
      <c r="AAH380" s="9" t="n">
        <v>0</v>
      </c>
      <c r="AAI380" s="9" t="n">
        <v>0</v>
      </c>
      <c r="AAM380" s="10" t="n">
        <v>46346</v>
      </c>
      <c r="AAO380" s="9" t="n">
        <v>0</v>
      </c>
      <c r="AAQ380" s="9" t="n">
        <v>0</v>
      </c>
      <c r="AAR380" s="9" t="n">
        <v>0</v>
      </c>
      <c r="AAV380" s="10" t="n">
        <v>46346</v>
      </c>
      <c r="AAX380" s="9" t="n">
        <v>0</v>
      </c>
      <c r="AAZ380" s="9" t="n">
        <v>0</v>
      </c>
      <c r="ABA380" s="9" t="n">
        <v>0</v>
      </c>
      <c r="ABE380" s="10" t="n">
        <v>46346</v>
      </c>
      <c r="ABG380" s="9" t="n">
        <v>0</v>
      </c>
      <c r="ABI380" s="9" t="n">
        <v>0</v>
      </c>
      <c r="ABJ380" s="9" t="n">
        <v>0</v>
      </c>
    </row>
    <row r="381">
      <c r="C381" s="10" t="n">
        <v>46347</v>
      </c>
      <c r="E381" s="9" t="n">
        <v>0</v>
      </c>
      <c r="G381" s="9" t="n">
        <v>0</v>
      </c>
      <c r="H381" s="9" t="n">
        <v>236936.6</v>
      </c>
      <c r="L381" s="10" t="n">
        <v>46347</v>
      </c>
      <c r="N381" s="9" t="n">
        <v>0</v>
      </c>
      <c r="P381" s="9" t="n">
        <v>0</v>
      </c>
      <c r="Q381" s="9" t="n">
        <v>53017.60000000007</v>
      </c>
      <c r="U381" s="10" t="n">
        <v>46347</v>
      </c>
      <c r="W381" s="9" t="n">
        <v>0</v>
      </c>
      <c r="Y381" s="9" t="n">
        <v>0</v>
      </c>
      <c r="Z381" s="9" t="n">
        <v>42674.19999999997</v>
      </c>
      <c r="AD381" s="10" t="n">
        <v>46347</v>
      </c>
      <c r="AF381" s="9" t="n">
        <v>0</v>
      </c>
      <c r="AH381" s="9" t="n">
        <v>0</v>
      </c>
      <c r="AI381" s="9" t="n">
        <v>4522.200000000019</v>
      </c>
      <c r="AM381" s="10" t="n">
        <v>46347</v>
      </c>
      <c r="AO381" s="9" t="n">
        <v>0</v>
      </c>
      <c r="AQ381" s="9" t="n">
        <v>0</v>
      </c>
      <c r="AR381" s="9" t="n">
        <v>0</v>
      </c>
      <c r="AV381" s="10" t="n">
        <v>46347</v>
      </c>
      <c r="AX381" s="9" t="n">
        <v>0</v>
      </c>
      <c r="AZ381" s="9" t="n">
        <v>0</v>
      </c>
      <c r="BA381" s="9" t="n">
        <v>124.9999999999952</v>
      </c>
      <c r="BE381" s="10" t="n">
        <v>46347</v>
      </c>
      <c r="BG381" s="9" t="n">
        <v>0</v>
      </c>
      <c r="BI381" s="9" t="n">
        <v>0</v>
      </c>
      <c r="BJ381" s="9" t="n">
        <v>26151.9</v>
      </c>
      <c r="BN381" s="10" t="n">
        <v>46347</v>
      </c>
      <c r="BP381" s="9" t="n">
        <v>0</v>
      </c>
      <c r="BR381" s="9" t="n">
        <v>0</v>
      </c>
      <c r="BS381" s="9" t="n">
        <v>0</v>
      </c>
      <c r="BW381" s="10" t="n">
        <v>46347</v>
      </c>
      <c r="BY381" s="9" t="n">
        <v>0</v>
      </c>
      <c r="CA381" s="9" t="n">
        <v>0</v>
      </c>
      <c r="CB381" s="9" t="n">
        <v>2097.339999999999</v>
      </c>
      <c r="CF381" s="10" t="n">
        <v>46347</v>
      </c>
      <c r="CH381" s="9" t="n">
        <v>0</v>
      </c>
      <c r="CJ381" s="9" t="n">
        <v>0</v>
      </c>
      <c r="CK381" s="9" t="n">
        <v>-10277.08</v>
      </c>
      <c r="CO381" s="10" t="n">
        <v>46347</v>
      </c>
      <c r="CQ381" s="9" t="n">
        <v>0</v>
      </c>
      <c r="CS381" s="9" t="n">
        <v>0</v>
      </c>
      <c r="CT381" s="9" t="n">
        <v>0</v>
      </c>
      <c r="CX381" s="10" t="n">
        <v>46347</v>
      </c>
      <c r="CZ381" s="9" t="n">
        <v>0</v>
      </c>
      <c r="DB381" s="9" t="n">
        <v>0</v>
      </c>
      <c r="DC381" s="9" t="n">
        <v>27438.20000000001</v>
      </c>
      <c r="DG381" s="10" t="n">
        <v>46347</v>
      </c>
      <c r="DI381" s="9" t="n">
        <v>0</v>
      </c>
      <c r="DK381" s="9" t="n">
        <v>0</v>
      </c>
      <c r="DL381" s="9" t="n">
        <v>18782.29999999998</v>
      </c>
      <c r="DP381" s="10" t="n">
        <v>46347</v>
      </c>
      <c r="DR381" s="9" t="n">
        <v>0</v>
      </c>
      <c r="DT381" s="9" t="n">
        <v>0</v>
      </c>
      <c r="DU381" s="9" t="n">
        <v>5800</v>
      </c>
      <c r="DY381" s="10" t="n">
        <v>46347</v>
      </c>
      <c r="EA381" s="9" t="n">
        <v>0</v>
      </c>
      <c r="EC381" s="9" t="n">
        <v>0</v>
      </c>
      <c r="ED381" s="9" t="n">
        <v>0</v>
      </c>
      <c r="EH381" s="10" t="n">
        <v>46347</v>
      </c>
      <c r="EJ381" s="9" t="n">
        <v>0</v>
      </c>
      <c r="EL381" s="9" t="n">
        <v>0</v>
      </c>
      <c r="EM381" s="9" t="n">
        <v>0</v>
      </c>
      <c r="EQ381" s="10" t="n">
        <v>46347</v>
      </c>
      <c r="ES381" s="9" t="n">
        <v>0</v>
      </c>
      <c r="EU381" s="9" t="n">
        <v>0</v>
      </c>
      <c r="EV381" s="9" t="n">
        <v>0</v>
      </c>
      <c r="EZ381" s="10" t="n">
        <v>46347</v>
      </c>
      <c r="FB381" s="9" t="n">
        <v>0</v>
      </c>
      <c r="FD381" s="9" t="n">
        <v>0</v>
      </c>
      <c r="FE381" s="9" t="n">
        <v>0</v>
      </c>
      <c r="FI381" s="10" t="n">
        <v>46347</v>
      </c>
      <c r="FK381" s="9" t="n">
        <v>0</v>
      </c>
      <c r="FM381" s="9" t="n">
        <v>0</v>
      </c>
      <c r="FN381" s="9" t="n">
        <v>0</v>
      </c>
      <c r="FR381" s="10" t="n">
        <v>46347</v>
      </c>
      <c r="FT381" s="9" t="n">
        <v>0</v>
      </c>
      <c r="FV381" s="9" t="n">
        <v>0</v>
      </c>
      <c r="FW381" s="9" t="n">
        <v>2020</v>
      </c>
      <c r="GA381" s="10" t="n">
        <v>46347</v>
      </c>
      <c r="GC381" s="9" t="n">
        <v>0</v>
      </c>
      <c r="GE381" s="9" t="n">
        <v>0</v>
      </c>
      <c r="GF381" s="9" t="n">
        <v>960</v>
      </c>
      <c r="GJ381" s="10" t="n">
        <v>46347</v>
      </c>
      <c r="GL381" s="9" t="n">
        <v>0</v>
      </c>
      <c r="GN381" s="9" t="n">
        <v>0</v>
      </c>
      <c r="GO381" s="9" t="n">
        <v>1760</v>
      </c>
      <c r="GS381" s="10" t="n">
        <v>46347</v>
      </c>
      <c r="GU381" s="9" t="n">
        <v>0</v>
      </c>
      <c r="GW381" s="9" t="n">
        <v>0</v>
      </c>
      <c r="GX381" s="9" t="n">
        <v>400</v>
      </c>
      <c r="HB381" s="10" t="n">
        <v>46347</v>
      </c>
      <c r="HD381" s="9" t="n">
        <v>0</v>
      </c>
      <c r="HF381" s="9" t="n">
        <v>0</v>
      </c>
      <c r="HG381" s="9" t="n">
        <v>3600</v>
      </c>
      <c r="HK381" s="10" t="n">
        <v>46347</v>
      </c>
      <c r="HM381" s="9" t="n">
        <v>0</v>
      </c>
      <c r="HO381" s="9" t="n">
        <v>0</v>
      </c>
      <c r="HP381" s="9" t="n">
        <v>0</v>
      </c>
      <c r="HU381" s="10" t="n">
        <v>46347</v>
      </c>
      <c r="HW381" s="9" t="n">
        <v>0</v>
      </c>
      <c r="HY381" s="9" t="n">
        <v>0</v>
      </c>
      <c r="HZ381" s="9" t="n">
        <v>6120</v>
      </c>
      <c r="ID381" s="10" t="n">
        <v>46347</v>
      </c>
      <c r="IF381" s="9" t="n">
        <v>0</v>
      </c>
      <c r="IH381" s="9" t="n">
        <v>0</v>
      </c>
      <c r="II381" s="9" t="n">
        <v>0</v>
      </c>
      <c r="IM381" s="10" t="n">
        <v>46347</v>
      </c>
      <c r="IO381" s="9" t="n">
        <v>0</v>
      </c>
      <c r="IQ381" s="9" t="n">
        <v>0</v>
      </c>
      <c r="IR381" s="9" t="n">
        <v>0</v>
      </c>
      <c r="IV381" s="10" t="n">
        <v>46347</v>
      </c>
      <c r="IX381" s="9" t="n">
        <v>0</v>
      </c>
      <c r="IZ381" s="9" t="n">
        <v>0</v>
      </c>
      <c r="JA381" s="9" t="n">
        <v>2820</v>
      </c>
      <c r="JE381" s="10" t="n">
        <v>46347</v>
      </c>
      <c r="JG381" s="9" t="n">
        <v>0</v>
      </c>
      <c r="JI381" s="9" t="n">
        <v>0</v>
      </c>
      <c r="JJ381" s="9" t="n">
        <v>0</v>
      </c>
      <c r="JN381" s="10" t="n">
        <v>46347</v>
      </c>
      <c r="JP381" s="9" t="n">
        <v>0</v>
      </c>
      <c r="JR381" s="9" t="n">
        <v>0</v>
      </c>
      <c r="JS381" s="9" t="n">
        <v>0</v>
      </c>
      <c r="JW381" s="10" t="n">
        <v>46347</v>
      </c>
      <c r="JY381" s="9" t="n">
        <v>0</v>
      </c>
      <c r="KA381" s="9" t="n">
        <v>0</v>
      </c>
      <c r="KB381" s="9" t="n">
        <v>2540</v>
      </c>
      <c r="KF381" s="10" t="n">
        <v>46347</v>
      </c>
      <c r="KH381" s="9" t="n">
        <v>0</v>
      </c>
      <c r="KJ381" s="9" t="n">
        <v>0</v>
      </c>
      <c r="KK381" s="9" t="n">
        <v>2359.5</v>
      </c>
      <c r="KO381" s="10" t="n">
        <v>46347</v>
      </c>
      <c r="KQ381" s="9" t="n">
        <v>0</v>
      </c>
      <c r="KS381" s="9" t="n">
        <v>0</v>
      </c>
      <c r="KT381" s="9" t="n">
        <v>1890</v>
      </c>
      <c r="KX381" s="10" t="n">
        <v>46347</v>
      </c>
      <c r="KZ381" s="9" t="n">
        <v>0</v>
      </c>
      <c r="LB381" s="9" t="n">
        <v>0</v>
      </c>
      <c r="LC381" s="9" t="n">
        <v>3690</v>
      </c>
      <c r="LG381" s="10" t="n">
        <v>46347</v>
      </c>
      <c r="LI381" s="9" t="n">
        <v>0</v>
      </c>
      <c r="LK381" s="9" t="n">
        <v>0</v>
      </c>
      <c r="LL381" s="9" t="n">
        <v>4000</v>
      </c>
      <c r="LP381" s="10" t="n">
        <v>46347</v>
      </c>
      <c r="LR381" s="9" t="n">
        <v>0</v>
      </c>
      <c r="LT381" s="9" t="n">
        <v>0</v>
      </c>
      <c r="LU381" s="9" t="n">
        <v>0</v>
      </c>
      <c r="LY381" s="10" t="n">
        <v>46347</v>
      </c>
      <c r="MA381" s="9" t="n">
        <v>0</v>
      </c>
      <c r="MC381" s="9" t="n">
        <v>0</v>
      </c>
      <c r="MD381" s="9" t="n">
        <v>0</v>
      </c>
      <c r="MH381" s="10" t="n">
        <v>46347</v>
      </c>
      <c r="MJ381" s="9" t="n">
        <v>0</v>
      </c>
      <c r="ML381" s="9" t="n">
        <v>0</v>
      </c>
      <c r="MM381" s="9" t="n">
        <v>0</v>
      </c>
      <c r="MQ381" s="10" t="n">
        <v>46347</v>
      </c>
      <c r="MS381" s="9" t="n">
        <v>0</v>
      </c>
      <c r="MU381" s="9" t="n">
        <v>0</v>
      </c>
      <c r="MV381" s="9" t="n">
        <v>1625</v>
      </c>
      <c r="MZ381" s="10" t="n">
        <v>46347</v>
      </c>
      <c r="NB381" s="9" t="n">
        <v>0</v>
      </c>
      <c r="ND381" s="9" t="n">
        <v>0</v>
      </c>
      <c r="NE381" s="9" t="n">
        <v>0</v>
      </c>
      <c r="NI381" s="10" t="n">
        <v>46347</v>
      </c>
      <c r="NK381" s="9" t="n">
        <v>0</v>
      </c>
      <c r="NM381" s="9" t="n">
        <v>0</v>
      </c>
      <c r="NN381" s="9" t="n">
        <v>1127</v>
      </c>
      <c r="NR381" s="10" t="n">
        <v>46347</v>
      </c>
      <c r="NT381" s="9" t="n">
        <v>0</v>
      </c>
      <c r="NV381" s="9" t="n">
        <v>0</v>
      </c>
      <c r="NW381" s="9" t="n">
        <v>3112</v>
      </c>
      <c r="OA381" s="10" t="n">
        <v>46347</v>
      </c>
      <c r="OC381" s="9" t="n">
        <v>0</v>
      </c>
      <c r="OE381" s="9" t="n">
        <v>0</v>
      </c>
      <c r="OF381" s="9" t="n">
        <v>1680.5</v>
      </c>
      <c r="OJ381" s="10" t="n">
        <v>46347</v>
      </c>
      <c r="OL381" s="9" t="n">
        <v>0</v>
      </c>
      <c r="ON381" s="9" t="n">
        <v>0</v>
      </c>
      <c r="OO381" s="9" t="n">
        <v>0</v>
      </c>
      <c r="OS381" s="10" t="n">
        <v>46347</v>
      </c>
      <c r="OU381" s="9" t="n">
        <v>0</v>
      </c>
      <c r="OW381" s="9" t="n">
        <v>0</v>
      </c>
      <c r="OX381" s="9" t="n">
        <v>1482</v>
      </c>
      <c r="PB381" s="10" t="n">
        <v>46347</v>
      </c>
      <c r="PD381" s="9" t="n">
        <v>0</v>
      </c>
      <c r="PF381" s="9" t="n">
        <v>0</v>
      </c>
      <c r="PG381" s="9" t="n">
        <v>0</v>
      </c>
      <c r="PK381" s="10" t="n">
        <v>46347</v>
      </c>
      <c r="PM381" s="9" t="n">
        <v>0</v>
      </c>
      <c r="PO381" s="9" t="n">
        <v>0</v>
      </c>
      <c r="PP381" s="9" t="n">
        <v>100</v>
      </c>
      <c r="PT381" s="10" t="n">
        <v>46347</v>
      </c>
      <c r="PV381" s="9" t="n">
        <v>0</v>
      </c>
      <c r="PX381" s="9" t="n">
        <v>0</v>
      </c>
      <c r="PY381" s="9" t="n">
        <v>13.96000000000004</v>
      </c>
      <c r="QC381" s="10" t="n">
        <v>46347</v>
      </c>
      <c r="QE381" s="9" t="n">
        <v>0</v>
      </c>
      <c r="QG381" s="9" t="n">
        <v>0</v>
      </c>
      <c r="QH381" s="9" t="n">
        <v>548</v>
      </c>
      <c r="QL381" s="10" t="n">
        <v>46347</v>
      </c>
      <c r="QN381" s="9" t="n">
        <v>0</v>
      </c>
      <c r="QP381" s="9" t="n">
        <v>0</v>
      </c>
      <c r="QQ381" s="9" t="n">
        <v>0</v>
      </c>
      <c r="QU381" s="10" t="n">
        <v>46347</v>
      </c>
      <c r="QW381" s="9" t="n">
        <v>0</v>
      </c>
      <c r="QY381" s="9" t="n">
        <v>0</v>
      </c>
      <c r="QZ381" s="9" t="n">
        <v>0</v>
      </c>
      <c r="RD381" s="10" t="n">
        <v>46347</v>
      </c>
      <c r="RF381" s="9" t="n">
        <v>0</v>
      </c>
      <c r="RH381" s="9" t="n">
        <v>0</v>
      </c>
      <c r="RI381" s="9" t="n">
        <v>147.04</v>
      </c>
      <c r="RM381" s="10" t="n">
        <v>46347</v>
      </c>
      <c r="RO381" s="9" t="n">
        <v>0</v>
      </c>
      <c r="RQ381" s="9" t="n">
        <v>0</v>
      </c>
      <c r="RR381" s="9" t="n">
        <v>46.8</v>
      </c>
      <c r="RV381" s="10" t="n">
        <v>46347</v>
      </c>
      <c r="RX381" s="9" t="n">
        <v>0</v>
      </c>
      <c r="RZ381" s="9" t="n">
        <v>0</v>
      </c>
      <c r="SA381" s="9" t="n">
        <v>0</v>
      </c>
      <c r="SE381" s="10" t="n">
        <v>46347</v>
      </c>
      <c r="SG381" s="9" t="n">
        <v>0</v>
      </c>
      <c r="SI381" s="9" t="n">
        <v>0</v>
      </c>
      <c r="SJ381" s="9" t="n">
        <v>24.2</v>
      </c>
      <c r="SN381" s="10" t="n">
        <v>46347</v>
      </c>
      <c r="SP381" s="9" t="n">
        <v>0</v>
      </c>
      <c r="SR381" s="9" t="n">
        <v>0</v>
      </c>
      <c r="SS381" s="9" t="n">
        <v>32</v>
      </c>
      <c r="SW381" s="10" t="n">
        <v>46347</v>
      </c>
      <c r="SY381" s="9" t="n">
        <v>0</v>
      </c>
      <c r="TA381" s="9" t="n">
        <v>0</v>
      </c>
      <c r="TB381" s="9" t="n">
        <v>0</v>
      </c>
      <c r="TF381" s="10" t="n">
        <v>46347</v>
      </c>
      <c r="TH381" s="9" t="n">
        <v>0</v>
      </c>
      <c r="TJ381" s="9" t="n">
        <v>0</v>
      </c>
      <c r="TK381" s="9" t="n">
        <v>0</v>
      </c>
      <c r="TO381" s="10" t="n">
        <v>46347</v>
      </c>
      <c r="TQ381" s="9" t="n">
        <v>0</v>
      </c>
      <c r="TS381" s="9" t="n">
        <v>0</v>
      </c>
      <c r="TT381" s="9" t="n">
        <v>0</v>
      </c>
      <c r="TX381" s="10" t="n">
        <v>46347</v>
      </c>
      <c r="TZ381" s="9" t="n">
        <v>0</v>
      </c>
      <c r="UB381" s="9" t="n">
        <v>0</v>
      </c>
      <c r="UC381" s="9" t="n">
        <v>46.79999999999998</v>
      </c>
      <c r="UG381" s="10" t="n">
        <v>46347</v>
      </c>
      <c r="UI381" s="9" t="n">
        <v>0</v>
      </c>
      <c r="UK381" s="9" t="n">
        <v>0</v>
      </c>
      <c r="UL381" s="9" t="n">
        <v>204</v>
      </c>
      <c r="UP381" s="10" t="n">
        <v>46347</v>
      </c>
      <c r="UR381" s="9" t="n">
        <v>0</v>
      </c>
      <c r="UT381" s="9" t="n">
        <v>0</v>
      </c>
      <c r="UU381" s="9" t="n">
        <v>202.5</v>
      </c>
      <c r="UY381" s="10" t="n">
        <v>46347</v>
      </c>
      <c r="VA381" s="9" t="n">
        <v>0</v>
      </c>
      <c r="VC381" s="9" t="n">
        <v>0</v>
      </c>
      <c r="VD381" s="9" t="n">
        <v>41.60000000000002</v>
      </c>
      <c r="VH381" s="10" t="n">
        <v>46347</v>
      </c>
      <c r="VJ381" s="9" t="n">
        <v>0</v>
      </c>
      <c r="VL381" s="9" t="n">
        <v>0</v>
      </c>
      <c r="VM381" s="9" t="n">
        <v>210</v>
      </c>
      <c r="VQ381" s="10" t="n">
        <v>46347</v>
      </c>
      <c r="VS381" s="9" t="n">
        <v>0</v>
      </c>
      <c r="VU381" s="9" t="n">
        <v>0</v>
      </c>
      <c r="VV381" s="9" t="n">
        <v>0</v>
      </c>
      <c r="VZ381" s="10" t="n">
        <v>46347</v>
      </c>
      <c r="WB381" s="9" t="n">
        <v>0</v>
      </c>
      <c r="WD381" s="9" t="n">
        <v>0</v>
      </c>
      <c r="WE381" s="9" t="n">
        <v>0</v>
      </c>
      <c r="WI381" s="10" t="n">
        <v>46347</v>
      </c>
      <c r="WK381" s="9" t="n">
        <v>0</v>
      </c>
      <c r="WM381" s="9" t="n">
        <v>0</v>
      </c>
      <c r="WN381" s="9" t="n">
        <v>1057</v>
      </c>
      <c r="WR381" s="10" t="n">
        <v>46347</v>
      </c>
      <c r="WT381" s="9" t="n">
        <v>0</v>
      </c>
      <c r="WV381" s="9" t="n">
        <v>0</v>
      </c>
      <c r="WW381" s="9" t="n">
        <v>0</v>
      </c>
      <c r="XA381" s="10" t="n">
        <v>46347</v>
      </c>
      <c r="XC381" s="9" t="n">
        <v>0</v>
      </c>
      <c r="XE381" s="9" t="n">
        <v>0</v>
      </c>
      <c r="XF381" s="9" t="n">
        <v>7507</v>
      </c>
      <c r="XJ381" s="10" t="n">
        <v>46347</v>
      </c>
      <c r="XL381" s="9" t="n">
        <v>0</v>
      </c>
      <c r="XN381" s="9" t="n">
        <v>0</v>
      </c>
      <c r="XO381" s="9" t="n">
        <v>4252</v>
      </c>
      <c r="XS381" s="10" t="n">
        <v>46347</v>
      </c>
      <c r="XU381" s="9" t="n">
        <v>0</v>
      </c>
      <c r="XW381" s="9" t="n">
        <v>0</v>
      </c>
      <c r="XX381" s="9" t="n">
        <v>2179</v>
      </c>
      <c r="YB381" s="10" t="n">
        <v>46347</v>
      </c>
      <c r="YD381" s="9" t="n">
        <v>0</v>
      </c>
      <c r="YF381" s="9" t="n">
        <v>0</v>
      </c>
      <c r="YG381" s="9" t="n">
        <v>4019</v>
      </c>
      <c r="YK381" s="10" t="n">
        <v>46347</v>
      </c>
      <c r="YM381" s="9" t="n">
        <v>0</v>
      </c>
      <c r="YO381" s="9" t="n">
        <v>0</v>
      </c>
      <c r="YP381" s="9" t="n">
        <v>-218</v>
      </c>
      <c r="YT381" s="10" t="n">
        <v>46347</v>
      </c>
      <c r="YV381" s="9" t="n">
        <v>0</v>
      </c>
      <c r="YX381" s="9" t="n">
        <v>0</v>
      </c>
      <c r="YY381" s="9" t="n">
        <v>0</v>
      </c>
      <c r="ZC381" s="10" t="n">
        <v>46347</v>
      </c>
      <c r="ZE381" s="9" t="n">
        <v>0</v>
      </c>
      <c r="ZG381" s="9" t="n">
        <v>0</v>
      </c>
      <c r="ZH381" s="9" t="n">
        <v>0</v>
      </c>
      <c r="ZL381" s="10" t="n">
        <v>46347</v>
      </c>
      <c r="ZN381" s="9" t="n">
        <v>0</v>
      </c>
      <c r="ZP381" s="9" t="n">
        <v>0</v>
      </c>
      <c r="ZQ381" s="9" t="n">
        <v>0</v>
      </c>
      <c r="ZU381" s="10" t="n">
        <v>46347</v>
      </c>
      <c r="ZW381" s="9" t="n">
        <v>0</v>
      </c>
      <c r="ZY381" s="9" t="n">
        <v>0</v>
      </c>
      <c r="ZZ381" s="9" t="n">
        <v>0</v>
      </c>
      <c r="AAD381" s="10" t="n">
        <v>46347</v>
      </c>
      <c r="AAF381" s="9" t="n">
        <v>0</v>
      </c>
      <c r="AAH381" s="9" t="n">
        <v>0</v>
      </c>
      <c r="AAI381" s="9" t="n">
        <v>0</v>
      </c>
      <c r="AAM381" s="10" t="n">
        <v>46347</v>
      </c>
      <c r="AAO381" s="9" t="n">
        <v>0</v>
      </c>
      <c r="AAQ381" s="9" t="n">
        <v>0</v>
      </c>
      <c r="AAR381" s="9" t="n">
        <v>0</v>
      </c>
      <c r="AAV381" s="10" t="n">
        <v>46347</v>
      </c>
      <c r="AAX381" s="9" t="n">
        <v>0</v>
      </c>
      <c r="AAZ381" s="9" t="n">
        <v>0</v>
      </c>
      <c r="ABA381" s="9" t="n">
        <v>0</v>
      </c>
      <c r="ABE381" s="10" t="n">
        <v>46347</v>
      </c>
      <c r="ABG381" s="9" t="n">
        <v>0</v>
      </c>
      <c r="ABI381" s="9" t="n">
        <v>0</v>
      </c>
      <c r="ABJ381" s="9" t="n">
        <v>0</v>
      </c>
    </row>
    <row r="382">
      <c r="C382" s="10" t="n">
        <v>46348</v>
      </c>
      <c r="E382" s="9" t="n">
        <v>0</v>
      </c>
      <c r="G382" s="9" t="n">
        <v>0</v>
      </c>
      <c r="H382" s="9" t="n">
        <v>236936.6</v>
      </c>
      <c r="L382" s="10" t="n">
        <v>46348</v>
      </c>
      <c r="N382" s="9" t="n">
        <v>0</v>
      </c>
      <c r="P382" s="9" t="n">
        <v>0</v>
      </c>
      <c r="Q382" s="9" t="n">
        <v>53017.60000000007</v>
      </c>
      <c r="U382" s="10" t="n">
        <v>46348</v>
      </c>
      <c r="W382" s="9" t="n">
        <v>0</v>
      </c>
      <c r="Y382" s="9" t="n">
        <v>0</v>
      </c>
      <c r="Z382" s="9" t="n">
        <v>42674.19999999997</v>
      </c>
      <c r="AD382" s="10" t="n">
        <v>46348</v>
      </c>
      <c r="AF382" s="9" t="n">
        <v>0</v>
      </c>
      <c r="AH382" s="9" t="n">
        <v>0</v>
      </c>
      <c r="AI382" s="9" t="n">
        <v>4522.200000000019</v>
      </c>
      <c r="AM382" s="10" t="n">
        <v>46348</v>
      </c>
      <c r="AO382" s="9" t="n">
        <v>0</v>
      </c>
      <c r="AQ382" s="9" t="n">
        <v>0</v>
      </c>
      <c r="AR382" s="9" t="n">
        <v>0</v>
      </c>
      <c r="AV382" s="10" t="n">
        <v>46348</v>
      </c>
      <c r="AX382" s="9" t="n">
        <v>0</v>
      </c>
      <c r="AZ382" s="9" t="n">
        <v>0</v>
      </c>
      <c r="BA382" s="9" t="n">
        <v>124.9999999999952</v>
      </c>
      <c r="BE382" s="10" t="n">
        <v>46348</v>
      </c>
      <c r="BG382" s="9" t="n">
        <v>0</v>
      </c>
      <c r="BI382" s="9" t="n">
        <v>0</v>
      </c>
      <c r="BJ382" s="9" t="n">
        <v>26151.9</v>
      </c>
      <c r="BN382" s="10" t="n">
        <v>46348</v>
      </c>
      <c r="BP382" s="9" t="n">
        <v>0</v>
      </c>
      <c r="BR382" s="9" t="n">
        <v>0</v>
      </c>
      <c r="BS382" s="9" t="n">
        <v>0</v>
      </c>
      <c r="BW382" s="10" t="n">
        <v>46348</v>
      </c>
      <c r="BY382" s="9" t="n">
        <v>0</v>
      </c>
      <c r="CA382" s="9" t="n">
        <v>0</v>
      </c>
      <c r="CB382" s="9" t="n">
        <v>2097.339999999999</v>
      </c>
      <c r="CF382" s="10" t="n">
        <v>46348</v>
      </c>
      <c r="CH382" s="9" t="n">
        <v>0</v>
      </c>
      <c r="CJ382" s="9" t="n">
        <v>0</v>
      </c>
      <c r="CK382" s="9" t="n">
        <v>-10277.08</v>
      </c>
      <c r="CO382" s="10" t="n">
        <v>46348</v>
      </c>
      <c r="CQ382" s="9" t="n">
        <v>0</v>
      </c>
      <c r="CS382" s="9" t="n">
        <v>0</v>
      </c>
      <c r="CT382" s="9" t="n">
        <v>0</v>
      </c>
      <c r="CX382" s="10" t="n">
        <v>46348</v>
      </c>
      <c r="CZ382" s="9" t="n">
        <v>0</v>
      </c>
      <c r="DB382" s="9" t="n">
        <v>0</v>
      </c>
      <c r="DC382" s="9" t="n">
        <v>27438.20000000001</v>
      </c>
      <c r="DG382" s="10" t="n">
        <v>46348</v>
      </c>
      <c r="DI382" s="9" t="n">
        <v>0</v>
      </c>
      <c r="DK382" s="9" t="n">
        <v>0</v>
      </c>
      <c r="DL382" s="9" t="n">
        <v>18782.29999999998</v>
      </c>
      <c r="DP382" s="10" t="n">
        <v>46348</v>
      </c>
      <c r="DR382" s="9" t="n">
        <v>0</v>
      </c>
      <c r="DT382" s="9" t="n">
        <v>0</v>
      </c>
      <c r="DU382" s="9" t="n">
        <v>5800</v>
      </c>
      <c r="DY382" s="10" t="n">
        <v>46348</v>
      </c>
      <c r="EA382" s="9" t="n">
        <v>0</v>
      </c>
      <c r="EC382" s="9" t="n">
        <v>0</v>
      </c>
      <c r="ED382" s="9" t="n">
        <v>0</v>
      </c>
      <c r="EH382" s="10" t="n">
        <v>46348</v>
      </c>
      <c r="EJ382" s="9" t="n">
        <v>0</v>
      </c>
      <c r="EL382" s="9" t="n">
        <v>0</v>
      </c>
      <c r="EM382" s="9" t="n">
        <v>0</v>
      </c>
      <c r="EQ382" s="10" t="n">
        <v>46348</v>
      </c>
      <c r="ES382" s="9" t="n">
        <v>0</v>
      </c>
      <c r="EU382" s="9" t="n">
        <v>0</v>
      </c>
      <c r="EV382" s="9" t="n">
        <v>0</v>
      </c>
      <c r="EZ382" s="10" t="n">
        <v>46348</v>
      </c>
      <c r="FB382" s="9" t="n">
        <v>0</v>
      </c>
      <c r="FD382" s="9" t="n">
        <v>0</v>
      </c>
      <c r="FE382" s="9" t="n">
        <v>0</v>
      </c>
      <c r="FI382" s="10" t="n">
        <v>46348</v>
      </c>
      <c r="FK382" s="9" t="n">
        <v>0</v>
      </c>
      <c r="FM382" s="9" t="n">
        <v>0</v>
      </c>
      <c r="FN382" s="9" t="n">
        <v>0</v>
      </c>
      <c r="FR382" s="10" t="n">
        <v>46348</v>
      </c>
      <c r="FT382" s="9" t="n">
        <v>0</v>
      </c>
      <c r="FV382" s="9" t="n">
        <v>0</v>
      </c>
      <c r="FW382" s="9" t="n">
        <v>2020</v>
      </c>
      <c r="GA382" s="10" t="n">
        <v>46348</v>
      </c>
      <c r="GC382" s="9" t="n">
        <v>0</v>
      </c>
      <c r="GE382" s="9" t="n">
        <v>0</v>
      </c>
      <c r="GF382" s="9" t="n">
        <v>960</v>
      </c>
      <c r="GJ382" s="10" t="n">
        <v>46348</v>
      </c>
      <c r="GL382" s="9" t="n">
        <v>0</v>
      </c>
      <c r="GN382" s="9" t="n">
        <v>0</v>
      </c>
      <c r="GO382" s="9" t="n">
        <v>1760</v>
      </c>
      <c r="GS382" s="10" t="n">
        <v>46348</v>
      </c>
      <c r="GU382" s="9" t="n">
        <v>0</v>
      </c>
      <c r="GW382" s="9" t="n">
        <v>0</v>
      </c>
      <c r="GX382" s="9" t="n">
        <v>400</v>
      </c>
      <c r="HB382" s="10" t="n">
        <v>46348</v>
      </c>
      <c r="HD382" s="9" t="n">
        <v>0</v>
      </c>
      <c r="HF382" s="9" t="n">
        <v>0</v>
      </c>
      <c r="HG382" s="9" t="n">
        <v>3600</v>
      </c>
      <c r="HK382" s="10" t="n">
        <v>46348</v>
      </c>
      <c r="HM382" s="9" t="n">
        <v>0</v>
      </c>
      <c r="HO382" s="9" t="n">
        <v>0</v>
      </c>
      <c r="HP382" s="9" t="n">
        <v>0</v>
      </c>
      <c r="HU382" s="10" t="n">
        <v>46348</v>
      </c>
      <c r="HW382" s="9" t="n">
        <v>0</v>
      </c>
      <c r="HY382" s="9" t="n">
        <v>0</v>
      </c>
      <c r="HZ382" s="9" t="n">
        <v>6120</v>
      </c>
      <c r="ID382" s="10" t="n">
        <v>46348</v>
      </c>
      <c r="IF382" s="9" t="n">
        <v>0</v>
      </c>
      <c r="IH382" s="9" t="n">
        <v>0</v>
      </c>
      <c r="II382" s="9" t="n">
        <v>0</v>
      </c>
      <c r="IM382" s="10" t="n">
        <v>46348</v>
      </c>
      <c r="IO382" s="9" t="n">
        <v>0</v>
      </c>
      <c r="IQ382" s="9" t="n">
        <v>0</v>
      </c>
      <c r="IR382" s="9" t="n">
        <v>0</v>
      </c>
      <c r="IV382" s="10" t="n">
        <v>46348</v>
      </c>
      <c r="IX382" s="9" t="n">
        <v>0</v>
      </c>
      <c r="IZ382" s="9" t="n">
        <v>0</v>
      </c>
      <c r="JA382" s="9" t="n">
        <v>2820</v>
      </c>
      <c r="JE382" s="10" t="n">
        <v>46348</v>
      </c>
      <c r="JG382" s="9" t="n">
        <v>0</v>
      </c>
      <c r="JI382" s="9" t="n">
        <v>0</v>
      </c>
      <c r="JJ382" s="9" t="n">
        <v>0</v>
      </c>
      <c r="JN382" s="10" t="n">
        <v>46348</v>
      </c>
      <c r="JP382" s="9" t="n">
        <v>0</v>
      </c>
      <c r="JR382" s="9" t="n">
        <v>0</v>
      </c>
      <c r="JS382" s="9" t="n">
        <v>0</v>
      </c>
      <c r="JW382" s="10" t="n">
        <v>46348</v>
      </c>
      <c r="JY382" s="9" t="n">
        <v>0</v>
      </c>
      <c r="KA382" s="9" t="n">
        <v>0</v>
      </c>
      <c r="KB382" s="9" t="n">
        <v>2540</v>
      </c>
      <c r="KF382" s="10" t="n">
        <v>46348</v>
      </c>
      <c r="KH382" s="9" t="n">
        <v>0</v>
      </c>
      <c r="KJ382" s="9" t="n">
        <v>0</v>
      </c>
      <c r="KK382" s="9" t="n">
        <v>2359.5</v>
      </c>
      <c r="KO382" s="10" t="n">
        <v>46348</v>
      </c>
      <c r="KQ382" s="9" t="n">
        <v>0</v>
      </c>
      <c r="KS382" s="9" t="n">
        <v>0</v>
      </c>
      <c r="KT382" s="9" t="n">
        <v>1890</v>
      </c>
      <c r="KX382" s="10" t="n">
        <v>46348</v>
      </c>
      <c r="KZ382" s="9" t="n">
        <v>0</v>
      </c>
      <c r="LB382" s="9" t="n">
        <v>0</v>
      </c>
      <c r="LC382" s="9" t="n">
        <v>3690</v>
      </c>
      <c r="LG382" s="10" t="n">
        <v>46348</v>
      </c>
      <c r="LI382" s="9" t="n">
        <v>0</v>
      </c>
      <c r="LK382" s="9" t="n">
        <v>0</v>
      </c>
      <c r="LL382" s="9" t="n">
        <v>4000</v>
      </c>
      <c r="LP382" s="10" t="n">
        <v>46348</v>
      </c>
      <c r="LR382" s="9" t="n">
        <v>0</v>
      </c>
      <c r="LT382" s="9" t="n">
        <v>0</v>
      </c>
      <c r="LU382" s="9" t="n">
        <v>0</v>
      </c>
      <c r="LY382" s="10" t="n">
        <v>46348</v>
      </c>
      <c r="MA382" s="9" t="n">
        <v>0</v>
      </c>
      <c r="MC382" s="9" t="n">
        <v>0</v>
      </c>
      <c r="MD382" s="9" t="n">
        <v>0</v>
      </c>
      <c r="MH382" s="10" t="n">
        <v>46348</v>
      </c>
      <c r="MJ382" s="9" t="n">
        <v>0</v>
      </c>
      <c r="ML382" s="9" t="n">
        <v>0</v>
      </c>
      <c r="MM382" s="9" t="n">
        <v>0</v>
      </c>
      <c r="MQ382" s="10" t="n">
        <v>46348</v>
      </c>
      <c r="MS382" s="9" t="n">
        <v>0</v>
      </c>
      <c r="MU382" s="9" t="n">
        <v>0</v>
      </c>
      <c r="MV382" s="9" t="n">
        <v>1625</v>
      </c>
      <c r="MZ382" s="10" t="n">
        <v>46348</v>
      </c>
      <c r="NB382" s="9" t="n">
        <v>0</v>
      </c>
      <c r="ND382" s="9" t="n">
        <v>0</v>
      </c>
      <c r="NE382" s="9" t="n">
        <v>0</v>
      </c>
      <c r="NI382" s="10" t="n">
        <v>46348</v>
      </c>
      <c r="NK382" s="9" t="n">
        <v>0</v>
      </c>
      <c r="NM382" s="9" t="n">
        <v>0</v>
      </c>
      <c r="NN382" s="9" t="n">
        <v>1127</v>
      </c>
      <c r="NR382" s="10" t="n">
        <v>46348</v>
      </c>
      <c r="NT382" s="9" t="n">
        <v>0</v>
      </c>
      <c r="NV382" s="9" t="n">
        <v>0</v>
      </c>
      <c r="NW382" s="9" t="n">
        <v>3112</v>
      </c>
      <c r="OA382" s="10" t="n">
        <v>46348</v>
      </c>
      <c r="OC382" s="9" t="n">
        <v>0</v>
      </c>
      <c r="OE382" s="9" t="n">
        <v>0</v>
      </c>
      <c r="OF382" s="9" t="n">
        <v>1680.5</v>
      </c>
      <c r="OJ382" s="10" t="n">
        <v>46348</v>
      </c>
      <c r="OL382" s="9" t="n">
        <v>0</v>
      </c>
      <c r="ON382" s="9" t="n">
        <v>0</v>
      </c>
      <c r="OO382" s="9" t="n">
        <v>0</v>
      </c>
      <c r="OS382" s="10" t="n">
        <v>46348</v>
      </c>
      <c r="OU382" s="9" t="n">
        <v>0</v>
      </c>
      <c r="OW382" s="9" t="n">
        <v>0</v>
      </c>
      <c r="OX382" s="9" t="n">
        <v>1482</v>
      </c>
      <c r="PB382" s="10" t="n">
        <v>46348</v>
      </c>
      <c r="PD382" s="9" t="n">
        <v>0</v>
      </c>
      <c r="PF382" s="9" t="n">
        <v>0</v>
      </c>
      <c r="PG382" s="9" t="n">
        <v>0</v>
      </c>
      <c r="PK382" s="10" t="n">
        <v>46348</v>
      </c>
      <c r="PM382" s="9" t="n">
        <v>0</v>
      </c>
      <c r="PO382" s="9" t="n">
        <v>0</v>
      </c>
      <c r="PP382" s="9" t="n">
        <v>100</v>
      </c>
      <c r="PT382" s="10" t="n">
        <v>46348</v>
      </c>
      <c r="PV382" s="9" t="n">
        <v>0</v>
      </c>
      <c r="PX382" s="9" t="n">
        <v>0</v>
      </c>
      <c r="PY382" s="9" t="n">
        <v>13.96000000000004</v>
      </c>
      <c r="QC382" s="10" t="n">
        <v>46348</v>
      </c>
      <c r="QE382" s="9" t="n">
        <v>0</v>
      </c>
      <c r="QG382" s="9" t="n">
        <v>0</v>
      </c>
      <c r="QH382" s="9" t="n">
        <v>548</v>
      </c>
      <c r="QL382" s="10" t="n">
        <v>46348</v>
      </c>
      <c r="QN382" s="9" t="n">
        <v>0</v>
      </c>
      <c r="QP382" s="9" t="n">
        <v>0</v>
      </c>
      <c r="QQ382" s="9" t="n">
        <v>0</v>
      </c>
      <c r="QU382" s="10" t="n">
        <v>46348</v>
      </c>
      <c r="QW382" s="9" t="n">
        <v>0</v>
      </c>
      <c r="QY382" s="9" t="n">
        <v>0</v>
      </c>
      <c r="QZ382" s="9" t="n">
        <v>0</v>
      </c>
      <c r="RD382" s="10" t="n">
        <v>46348</v>
      </c>
      <c r="RF382" s="9" t="n">
        <v>0</v>
      </c>
      <c r="RH382" s="9" t="n">
        <v>0</v>
      </c>
      <c r="RI382" s="9" t="n">
        <v>147.04</v>
      </c>
      <c r="RM382" s="10" t="n">
        <v>46348</v>
      </c>
      <c r="RO382" s="9" t="n">
        <v>0</v>
      </c>
      <c r="RQ382" s="9" t="n">
        <v>0</v>
      </c>
      <c r="RR382" s="9" t="n">
        <v>46.8</v>
      </c>
      <c r="RV382" s="10" t="n">
        <v>46348</v>
      </c>
      <c r="RX382" s="9" t="n">
        <v>0</v>
      </c>
      <c r="RZ382" s="9" t="n">
        <v>0</v>
      </c>
      <c r="SA382" s="9" t="n">
        <v>0</v>
      </c>
      <c r="SE382" s="10" t="n">
        <v>46348</v>
      </c>
      <c r="SG382" s="9" t="n">
        <v>0</v>
      </c>
      <c r="SI382" s="9" t="n">
        <v>0</v>
      </c>
      <c r="SJ382" s="9" t="n">
        <v>24.2</v>
      </c>
      <c r="SN382" s="10" t="n">
        <v>46348</v>
      </c>
      <c r="SP382" s="9" t="n">
        <v>0</v>
      </c>
      <c r="SR382" s="9" t="n">
        <v>0</v>
      </c>
      <c r="SS382" s="9" t="n">
        <v>32</v>
      </c>
      <c r="SW382" s="10" t="n">
        <v>46348</v>
      </c>
      <c r="SY382" s="9" t="n">
        <v>0</v>
      </c>
      <c r="TA382" s="9" t="n">
        <v>0</v>
      </c>
      <c r="TB382" s="9" t="n">
        <v>0</v>
      </c>
      <c r="TF382" s="10" t="n">
        <v>46348</v>
      </c>
      <c r="TH382" s="9" t="n">
        <v>0</v>
      </c>
      <c r="TJ382" s="9" t="n">
        <v>0</v>
      </c>
      <c r="TK382" s="9" t="n">
        <v>0</v>
      </c>
      <c r="TO382" s="10" t="n">
        <v>46348</v>
      </c>
      <c r="TQ382" s="9" t="n">
        <v>0</v>
      </c>
      <c r="TS382" s="9" t="n">
        <v>0</v>
      </c>
      <c r="TT382" s="9" t="n">
        <v>0</v>
      </c>
      <c r="TX382" s="10" t="n">
        <v>46348</v>
      </c>
      <c r="TZ382" s="9" t="n">
        <v>0</v>
      </c>
      <c r="UB382" s="9" t="n">
        <v>0</v>
      </c>
      <c r="UC382" s="9" t="n">
        <v>46.79999999999998</v>
      </c>
      <c r="UG382" s="10" t="n">
        <v>46348</v>
      </c>
      <c r="UI382" s="9" t="n">
        <v>0</v>
      </c>
      <c r="UK382" s="9" t="n">
        <v>0</v>
      </c>
      <c r="UL382" s="9" t="n">
        <v>204</v>
      </c>
      <c r="UP382" s="10" t="n">
        <v>46348</v>
      </c>
      <c r="UR382" s="9" t="n">
        <v>0</v>
      </c>
      <c r="UT382" s="9" t="n">
        <v>0</v>
      </c>
      <c r="UU382" s="9" t="n">
        <v>202.5</v>
      </c>
      <c r="UY382" s="10" t="n">
        <v>46348</v>
      </c>
      <c r="VA382" s="9" t="n">
        <v>0</v>
      </c>
      <c r="VC382" s="9" t="n">
        <v>0</v>
      </c>
      <c r="VD382" s="9" t="n">
        <v>41.60000000000002</v>
      </c>
      <c r="VH382" s="10" t="n">
        <v>46348</v>
      </c>
      <c r="VJ382" s="9" t="n">
        <v>0</v>
      </c>
      <c r="VL382" s="9" t="n">
        <v>0</v>
      </c>
      <c r="VM382" s="9" t="n">
        <v>210</v>
      </c>
      <c r="VQ382" s="10" t="n">
        <v>46348</v>
      </c>
      <c r="VS382" s="9" t="n">
        <v>0</v>
      </c>
      <c r="VU382" s="9" t="n">
        <v>0</v>
      </c>
      <c r="VV382" s="9" t="n">
        <v>0</v>
      </c>
      <c r="VZ382" s="10" t="n">
        <v>46348</v>
      </c>
      <c r="WB382" s="9" t="n">
        <v>0</v>
      </c>
      <c r="WD382" s="9" t="n">
        <v>0</v>
      </c>
      <c r="WE382" s="9" t="n">
        <v>0</v>
      </c>
      <c r="WI382" s="10" t="n">
        <v>46348</v>
      </c>
      <c r="WK382" s="9" t="n">
        <v>0</v>
      </c>
      <c r="WM382" s="9" t="n">
        <v>0</v>
      </c>
      <c r="WN382" s="9" t="n">
        <v>1057</v>
      </c>
      <c r="WR382" s="10" t="n">
        <v>46348</v>
      </c>
      <c r="WT382" s="9" t="n">
        <v>0</v>
      </c>
      <c r="WV382" s="9" t="n">
        <v>0</v>
      </c>
      <c r="WW382" s="9" t="n">
        <v>0</v>
      </c>
      <c r="XA382" s="10" t="n">
        <v>46348</v>
      </c>
      <c r="XC382" s="9" t="n">
        <v>0</v>
      </c>
      <c r="XE382" s="9" t="n">
        <v>0</v>
      </c>
      <c r="XF382" s="9" t="n">
        <v>7507</v>
      </c>
      <c r="XJ382" s="10" t="n">
        <v>46348</v>
      </c>
      <c r="XL382" s="9" t="n">
        <v>0</v>
      </c>
      <c r="XN382" s="9" t="n">
        <v>0</v>
      </c>
      <c r="XO382" s="9" t="n">
        <v>4252</v>
      </c>
      <c r="XS382" s="10" t="n">
        <v>46348</v>
      </c>
      <c r="XU382" s="9" t="n">
        <v>0</v>
      </c>
      <c r="XW382" s="9" t="n">
        <v>0</v>
      </c>
      <c r="XX382" s="9" t="n">
        <v>2179</v>
      </c>
      <c r="YB382" s="10" t="n">
        <v>46348</v>
      </c>
      <c r="YD382" s="9" t="n">
        <v>0</v>
      </c>
      <c r="YF382" s="9" t="n">
        <v>0</v>
      </c>
      <c r="YG382" s="9" t="n">
        <v>4019</v>
      </c>
      <c r="YK382" s="10" t="n">
        <v>46348</v>
      </c>
      <c r="YM382" s="9" t="n">
        <v>0</v>
      </c>
      <c r="YO382" s="9" t="n">
        <v>0</v>
      </c>
      <c r="YP382" s="9" t="n">
        <v>-218</v>
      </c>
      <c r="YT382" s="10" t="n">
        <v>46348</v>
      </c>
      <c r="YV382" s="9" t="n">
        <v>0</v>
      </c>
      <c r="YX382" s="9" t="n">
        <v>0</v>
      </c>
      <c r="YY382" s="9" t="n">
        <v>0</v>
      </c>
      <c r="ZC382" s="10" t="n">
        <v>46348</v>
      </c>
      <c r="ZE382" s="9" t="n">
        <v>0</v>
      </c>
      <c r="ZG382" s="9" t="n">
        <v>0</v>
      </c>
      <c r="ZH382" s="9" t="n">
        <v>0</v>
      </c>
      <c r="ZL382" s="10" t="n">
        <v>46348</v>
      </c>
      <c r="ZN382" s="9" t="n">
        <v>0</v>
      </c>
      <c r="ZP382" s="9" t="n">
        <v>0</v>
      </c>
      <c r="ZQ382" s="9" t="n">
        <v>0</v>
      </c>
      <c r="ZU382" s="10" t="n">
        <v>46348</v>
      </c>
      <c r="ZW382" s="9" t="n">
        <v>0</v>
      </c>
      <c r="ZY382" s="9" t="n">
        <v>0</v>
      </c>
      <c r="ZZ382" s="9" t="n">
        <v>0</v>
      </c>
      <c r="AAD382" s="10" t="n">
        <v>46348</v>
      </c>
      <c r="AAF382" s="9" t="n">
        <v>0</v>
      </c>
      <c r="AAH382" s="9" t="n">
        <v>0</v>
      </c>
      <c r="AAI382" s="9" t="n">
        <v>0</v>
      </c>
      <c r="AAM382" s="10" t="n">
        <v>46348</v>
      </c>
      <c r="AAO382" s="9" t="n">
        <v>0</v>
      </c>
      <c r="AAQ382" s="9" t="n">
        <v>0</v>
      </c>
      <c r="AAR382" s="9" t="n">
        <v>0</v>
      </c>
      <c r="AAV382" s="10" t="n">
        <v>46348</v>
      </c>
      <c r="AAX382" s="9" t="n">
        <v>0</v>
      </c>
      <c r="AAZ382" s="9" t="n">
        <v>0</v>
      </c>
      <c r="ABA382" s="9" t="n">
        <v>0</v>
      </c>
      <c r="ABE382" s="10" t="n">
        <v>46348</v>
      </c>
      <c r="ABG382" s="9" t="n">
        <v>0</v>
      </c>
      <c r="ABI382" s="9" t="n">
        <v>0</v>
      </c>
      <c r="ABJ382" s="9" t="n">
        <v>0</v>
      </c>
    </row>
    <row r="383">
      <c r="C383" s="10" t="n">
        <v>46349</v>
      </c>
      <c r="E383" s="9" t="n">
        <v>0</v>
      </c>
      <c r="G383" s="9" t="n">
        <v>0</v>
      </c>
      <c r="H383" s="9" t="n">
        <v>236936.6</v>
      </c>
      <c r="L383" s="10" t="n">
        <v>46349</v>
      </c>
      <c r="N383" s="9" t="n">
        <v>0</v>
      </c>
      <c r="P383" s="9" t="n">
        <v>0</v>
      </c>
      <c r="Q383" s="9" t="n">
        <v>53017.60000000007</v>
      </c>
      <c r="U383" s="10" t="n">
        <v>46349</v>
      </c>
      <c r="W383" s="9" t="n">
        <v>0</v>
      </c>
      <c r="Y383" s="9" t="n">
        <v>0</v>
      </c>
      <c r="Z383" s="9" t="n">
        <v>42674.19999999997</v>
      </c>
      <c r="AD383" s="10" t="n">
        <v>46349</v>
      </c>
      <c r="AF383" s="9" t="n">
        <v>0</v>
      </c>
      <c r="AH383" s="9" t="n">
        <v>0</v>
      </c>
      <c r="AI383" s="9" t="n">
        <v>4522.200000000019</v>
      </c>
      <c r="AM383" s="10" t="n">
        <v>46349</v>
      </c>
      <c r="AO383" s="9" t="n">
        <v>0</v>
      </c>
      <c r="AQ383" s="9" t="n">
        <v>0</v>
      </c>
      <c r="AR383" s="9" t="n">
        <v>0</v>
      </c>
      <c r="AV383" s="10" t="n">
        <v>46349</v>
      </c>
      <c r="AX383" s="9" t="n">
        <v>0</v>
      </c>
      <c r="AZ383" s="9" t="n">
        <v>0</v>
      </c>
      <c r="BA383" s="9" t="n">
        <v>124.9999999999952</v>
      </c>
      <c r="BE383" s="10" t="n">
        <v>46349</v>
      </c>
      <c r="BG383" s="9" t="n">
        <v>0</v>
      </c>
      <c r="BI383" s="9" t="n">
        <v>0</v>
      </c>
      <c r="BJ383" s="9" t="n">
        <v>26151.9</v>
      </c>
      <c r="BN383" s="10" t="n">
        <v>46349</v>
      </c>
      <c r="BP383" s="9" t="n">
        <v>0</v>
      </c>
      <c r="BR383" s="9" t="n">
        <v>0</v>
      </c>
      <c r="BS383" s="9" t="n">
        <v>0</v>
      </c>
      <c r="BW383" s="10" t="n">
        <v>46349</v>
      </c>
      <c r="BY383" s="9" t="n">
        <v>0</v>
      </c>
      <c r="CA383" s="9" t="n">
        <v>0</v>
      </c>
      <c r="CB383" s="9" t="n">
        <v>2097.339999999999</v>
      </c>
      <c r="CF383" s="10" t="n">
        <v>46349</v>
      </c>
      <c r="CH383" s="9" t="n">
        <v>0</v>
      </c>
      <c r="CJ383" s="9" t="n">
        <v>0</v>
      </c>
      <c r="CK383" s="9" t="n">
        <v>-10277.08</v>
      </c>
      <c r="CO383" s="10" t="n">
        <v>46349</v>
      </c>
      <c r="CQ383" s="9" t="n">
        <v>0</v>
      </c>
      <c r="CS383" s="9" t="n">
        <v>0</v>
      </c>
      <c r="CT383" s="9" t="n">
        <v>0</v>
      </c>
      <c r="CX383" s="10" t="n">
        <v>46349</v>
      </c>
      <c r="CZ383" s="9" t="n">
        <v>0</v>
      </c>
      <c r="DB383" s="9" t="n">
        <v>0</v>
      </c>
      <c r="DC383" s="9" t="n">
        <v>27438.20000000001</v>
      </c>
      <c r="DG383" s="10" t="n">
        <v>46349</v>
      </c>
      <c r="DI383" s="9" t="n">
        <v>0</v>
      </c>
      <c r="DK383" s="9" t="n">
        <v>0</v>
      </c>
      <c r="DL383" s="9" t="n">
        <v>18782.29999999998</v>
      </c>
      <c r="DP383" s="10" t="n">
        <v>46349</v>
      </c>
      <c r="DR383" s="9" t="n">
        <v>0</v>
      </c>
      <c r="DT383" s="9" t="n">
        <v>0</v>
      </c>
      <c r="DU383" s="9" t="n">
        <v>5800</v>
      </c>
      <c r="DY383" s="10" t="n">
        <v>46349</v>
      </c>
      <c r="EA383" s="9" t="n">
        <v>0</v>
      </c>
      <c r="EC383" s="9" t="n">
        <v>0</v>
      </c>
      <c r="ED383" s="9" t="n">
        <v>0</v>
      </c>
      <c r="EH383" s="10" t="n">
        <v>46349</v>
      </c>
      <c r="EJ383" s="9" t="n">
        <v>0</v>
      </c>
      <c r="EL383" s="9" t="n">
        <v>0</v>
      </c>
      <c r="EM383" s="9" t="n">
        <v>0</v>
      </c>
      <c r="EQ383" s="10" t="n">
        <v>46349</v>
      </c>
      <c r="ES383" s="9" t="n">
        <v>0</v>
      </c>
      <c r="EU383" s="9" t="n">
        <v>0</v>
      </c>
      <c r="EV383" s="9" t="n">
        <v>0</v>
      </c>
      <c r="EZ383" s="10" t="n">
        <v>46349</v>
      </c>
      <c r="FB383" s="9" t="n">
        <v>0</v>
      </c>
      <c r="FD383" s="9" t="n">
        <v>0</v>
      </c>
      <c r="FE383" s="9" t="n">
        <v>0</v>
      </c>
      <c r="FI383" s="10" t="n">
        <v>46349</v>
      </c>
      <c r="FK383" s="9" t="n">
        <v>0</v>
      </c>
      <c r="FM383" s="9" t="n">
        <v>0</v>
      </c>
      <c r="FN383" s="9" t="n">
        <v>0</v>
      </c>
      <c r="FR383" s="10" t="n">
        <v>46349</v>
      </c>
      <c r="FT383" s="9" t="n">
        <v>0</v>
      </c>
      <c r="FV383" s="9" t="n">
        <v>0</v>
      </c>
      <c r="FW383" s="9" t="n">
        <v>2020</v>
      </c>
      <c r="GA383" s="10" t="n">
        <v>46349</v>
      </c>
      <c r="GC383" s="9" t="n">
        <v>0</v>
      </c>
      <c r="GE383" s="9" t="n">
        <v>0</v>
      </c>
      <c r="GF383" s="9" t="n">
        <v>960</v>
      </c>
      <c r="GJ383" s="10" t="n">
        <v>46349</v>
      </c>
      <c r="GL383" s="9" t="n">
        <v>0</v>
      </c>
      <c r="GN383" s="9" t="n">
        <v>0</v>
      </c>
      <c r="GO383" s="9" t="n">
        <v>1760</v>
      </c>
      <c r="GS383" s="10" t="n">
        <v>46349</v>
      </c>
      <c r="GU383" s="9" t="n">
        <v>0</v>
      </c>
      <c r="GW383" s="9" t="n">
        <v>0</v>
      </c>
      <c r="GX383" s="9" t="n">
        <v>400</v>
      </c>
      <c r="HB383" s="10" t="n">
        <v>46349</v>
      </c>
      <c r="HD383" s="9" t="n">
        <v>0</v>
      </c>
      <c r="HF383" s="9" t="n">
        <v>0</v>
      </c>
      <c r="HG383" s="9" t="n">
        <v>3600</v>
      </c>
      <c r="HK383" s="10" t="n">
        <v>46349</v>
      </c>
      <c r="HM383" s="9" t="n">
        <v>0</v>
      </c>
      <c r="HO383" s="9" t="n">
        <v>0</v>
      </c>
      <c r="HP383" s="9" t="n">
        <v>0</v>
      </c>
      <c r="HU383" s="10" t="n">
        <v>46349</v>
      </c>
      <c r="HW383" s="9" t="n">
        <v>0</v>
      </c>
      <c r="HY383" s="9" t="n">
        <v>0</v>
      </c>
      <c r="HZ383" s="9" t="n">
        <v>6120</v>
      </c>
      <c r="ID383" s="10" t="n">
        <v>46349</v>
      </c>
      <c r="IF383" s="9" t="n">
        <v>0</v>
      </c>
      <c r="IH383" s="9" t="n">
        <v>0</v>
      </c>
      <c r="II383" s="9" t="n">
        <v>0</v>
      </c>
      <c r="IM383" s="10" t="n">
        <v>46349</v>
      </c>
      <c r="IO383" s="9" t="n">
        <v>0</v>
      </c>
      <c r="IQ383" s="9" t="n">
        <v>0</v>
      </c>
      <c r="IR383" s="9" t="n">
        <v>0</v>
      </c>
      <c r="IV383" s="10" t="n">
        <v>46349</v>
      </c>
      <c r="IX383" s="9" t="n">
        <v>0</v>
      </c>
      <c r="IZ383" s="9" t="n">
        <v>0</v>
      </c>
      <c r="JA383" s="9" t="n">
        <v>2820</v>
      </c>
      <c r="JE383" s="10" t="n">
        <v>46349</v>
      </c>
      <c r="JG383" s="9" t="n">
        <v>0</v>
      </c>
      <c r="JI383" s="9" t="n">
        <v>0</v>
      </c>
      <c r="JJ383" s="9" t="n">
        <v>0</v>
      </c>
      <c r="JN383" s="10" t="n">
        <v>46349</v>
      </c>
      <c r="JP383" s="9" t="n">
        <v>0</v>
      </c>
      <c r="JR383" s="9" t="n">
        <v>0</v>
      </c>
      <c r="JS383" s="9" t="n">
        <v>0</v>
      </c>
      <c r="JW383" s="10" t="n">
        <v>46349</v>
      </c>
      <c r="JY383" s="9" t="n">
        <v>0</v>
      </c>
      <c r="KA383" s="9" t="n">
        <v>0</v>
      </c>
      <c r="KB383" s="9" t="n">
        <v>2540</v>
      </c>
      <c r="KF383" s="10" t="n">
        <v>46349</v>
      </c>
      <c r="KH383" s="9" t="n">
        <v>0</v>
      </c>
      <c r="KJ383" s="9" t="n">
        <v>0</v>
      </c>
      <c r="KK383" s="9" t="n">
        <v>2359.5</v>
      </c>
      <c r="KO383" s="10" t="n">
        <v>46349</v>
      </c>
      <c r="KQ383" s="9" t="n">
        <v>0</v>
      </c>
      <c r="KS383" s="9" t="n">
        <v>0</v>
      </c>
      <c r="KT383" s="9" t="n">
        <v>1890</v>
      </c>
      <c r="KX383" s="10" t="n">
        <v>46349</v>
      </c>
      <c r="KZ383" s="9" t="n">
        <v>0</v>
      </c>
      <c r="LB383" s="9" t="n">
        <v>0</v>
      </c>
      <c r="LC383" s="9" t="n">
        <v>3690</v>
      </c>
      <c r="LG383" s="10" t="n">
        <v>46349</v>
      </c>
      <c r="LI383" s="9" t="n">
        <v>0</v>
      </c>
      <c r="LK383" s="9" t="n">
        <v>0</v>
      </c>
      <c r="LL383" s="9" t="n">
        <v>4000</v>
      </c>
      <c r="LP383" s="10" t="n">
        <v>46349</v>
      </c>
      <c r="LR383" s="9" t="n">
        <v>0</v>
      </c>
      <c r="LT383" s="9" t="n">
        <v>0</v>
      </c>
      <c r="LU383" s="9" t="n">
        <v>0</v>
      </c>
      <c r="LY383" s="10" t="n">
        <v>46349</v>
      </c>
      <c r="MA383" s="9" t="n">
        <v>0</v>
      </c>
      <c r="MC383" s="9" t="n">
        <v>0</v>
      </c>
      <c r="MD383" s="9" t="n">
        <v>0</v>
      </c>
      <c r="MH383" s="10" t="n">
        <v>46349</v>
      </c>
      <c r="MJ383" s="9" t="n">
        <v>0</v>
      </c>
      <c r="ML383" s="9" t="n">
        <v>0</v>
      </c>
      <c r="MM383" s="9" t="n">
        <v>0</v>
      </c>
      <c r="MQ383" s="10" t="n">
        <v>46349</v>
      </c>
      <c r="MS383" s="9" t="n">
        <v>0</v>
      </c>
      <c r="MU383" s="9" t="n">
        <v>0</v>
      </c>
      <c r="MV383" s="9" t="n">
        <v>1625</v>
      </c>
      <c r="MZ383" s="10" t="n">
        <v>46349</v>
      </c>
      <c r="NB383" s="9" t="n">
        <v>0</v>
      </c>
      <c r="ND383" s="9" t="n">
        <v>0</v>
      </c>
      <c r="NE383" s="9" t="n">
        <v>0</v>
      </c>
      <c r="NI383" s="10" t="n">
        <v>46349</v>
      </c>
      <c r="NK383" s="9" t="n">
        <v>0</v>
      </c>
      <c r="NM383" s="9" t="n">
        <v>0</v>
      </c>
      <c r="NN383" s="9" t="n">
        <v>1127</v>
      </c>
      <c r="NR383" s="10" t="n">
        <v>46349</v>
      </c>
      <c r="NT383" s="9" t="n">
        <v>0</v>
      </c>
      <c r="NV383" s="9" t="n">
        <v>0</v>
      </c>
      <c r="NW383" s="9" t="n">
        <v>3112</v>
      </c>
      <c r="OA383" s="10" t="n">
        <v>46349</v>
      </c>
      <c r="OC383" s="9" t="n">
        <v>0</v>
      </c>
      <c r="OE383" s="9" t="n">
        <v>0</v>
      </c>
      <c r="OF383" s="9" t="n">
        <v>1680.5</v>
      </c>
      <c r="OJ383" s="10" t="n">
        <v>46349</v>
      </c>
      <c r="OL383" s="9" t="n">
        <v>0</v>
      </c>
      <c r="ON383" s="9" t="n">
        <v>0</v>
      </c>
      <c r="OO383" s="9" t="n">
        <v>0</v>
      </c>
      <c r="OS383" s="10" t="n">
        <v>46349</v>
      </c>
      <c r="OU383" s="9" t="n">
        <v>0</v>
      </c>
      <c r="OW383" s="9" t="n">
        <v>0</v>
      </c>
      <c r="OX383" s="9" t="n">
        <v>1482</v>
      </c>
      <c r="PB383" s="10" t="n">
        <v>46349</v>
      </c>
      <c r="PD383" s="9" t="n">
        <v>0</v>
      </c>
      <c r="PF383" s="9" t="n">
        <v>0</v>
      </c>
      <c r="PG383" s="9" t="n">
        <v>0</v>
      </c>
      <c r="PK383" s="10" t="n">
        <v>46349</v>
      </c>
      <c r="PM383" s="9" t="n">
        <v>0</v>
      </c>
      <c r="PO383" s="9" t="n">
        <v>0</v>
      </c>
      <c r="PP383" s="9" t="n">
        <v>100</v>
      </c>
      <c r="PT383" s="10" t="n">
        <v>46349</v>
      </c>
      <c r="PV383" s="9" t="n">
        <v>0</v>
      </c>
      <c r="PX383" s="9" t="n">
        <v>0</v>
      </c>
      <c r="PY383" s="9" t="n">
        <v>13.96000000000004</v>
      </c>
      <c r="QC383" s="10" t="n">
        <v>46349</v>
      </c>
      <c r="QE383" s="9" t="n">
        <v>0</v>
      </c>
      <c r="QG383" s="9" t="n">
        <v>0</v>
      </c>
      <c r="QH383" s="9" t="n">
        <v>548</v>
      </c>
      <c r="QL383" s="10" t="n">
        <v>46349</v>
      </c>
      <c r="QN383" s="9" t="n">
        <v>0</v>
      </c>
      <c r="QP383" s="9" t="n">
        <v>0</v>
      </c>
      <c r="QQ383" s="9" t="n">
        <v>0</v>
      </c>
      <c r="QU383" s="10" t="n">
        <v>46349</v>
      </c>
      <c r="QW383" s="9" t="n">
        <v>0</v>
      </c>
      <c r="QY383" s="9" t="n">
        <v>0</v>
      </c>
      <c r="QZ383" s="9" t="n">
        <v>0</v>
      </c>
      <c r="RD383" s="10" t="n">
        <v>46349</v>
      </c>
      <c r="RF383" s="9" t="n">
        <v>0</v>
      </c>
      <c r="RH383" s="9" t="n">
        <v>0</v>
      </c>
      <c r="RI383" s="9" t="n">
        <v>147.04</v>
      </c>
      <c r="RM383" s="10" t="n">
        <v>46349</v>
      </c>
      <c r="RO383" s="9" t="n">
        <v>0</v>
      </c>
      <c r="RQ383" s="9" t="n">
        <v>0</v>
      </c>
      <c r="RR383" s="9" t="n">
        <v>46.8</v>
      </c>
      <c r="RV383" s="10" t="n">
        <v>46349</v>
      </c>
      <c r="RX383" s="9" t="n">
        <v>0</v>
      </c>
      <c r="RZ383" s="9" t="n">
        <v>0</v>
      </c>
      <c r="SA383" s="9" t="n">
        <v>0</v>
      </c>
      <c r="SE383" s="10" t="n">
        <v>46349</v>
      </c>
      <c r="SG383" s="9" t="n">
        <v>0</v>
      </c>
      <c r="SI383" s="9" t="n">
        <v>0</v>
      </c>
      <c r="SJ383" s="9" t="n">
        <v>24.2</v>
      </c>
      <c r="SN383" s="10" t="n">
        <v>46349</v>
      </c>
      <c r="SP383" s="9" t="n">
        <v>0</v>
      </c>
      <c r="SR383" s="9" t="n">
        <v>0</v>
      </c>
      <c r="SS383" s="9" t="n">
        <v>32</v>
      </c>
      <c r="SW383" s="10" t="n">
        <v>46349</v>
      </c>
      <c r="SY383" s="9" t="n">
        <v>0</v>
      </c>
      <c r="TA383" s="9" t="n">
        <v>0</v>
      </c>
      <c r="TB383" s="9" t="n">
        <v>0</v>
      </c>
      <c r="TF383" s="10" t="n">
        <v>46349</v>
      </c>
      <c r="TH383" s="9" t="n">
        <v>0</v>
      </c>
      <c r="TJ383" s="9" t="n">
        <v>0</v>
      </c>
      <c r="TK383" s="9" t="n">
        <v>0</v>
      </c>
      <c r="TO383" s="10" t="n">
        <v>46349</v>
      </c>
      <c r="TQ383" s="9" t="n">
        <v>0</v>
      </c>
      <c r="TS383" s="9" t="n">
        <v>0</v>
      </c>
      <c r="TT383" s="9" t="n">
        <v>0</v>
      </c>
      <c r="TX383" s="10" t="n">
        <v>46349</v>
      </c>
      <c r="TZ383" s="9" t="n">
        <v>0</v>
      </c>
      <c r="UB383" s="9" t="n">
        <v>0</v>
      </c>
      <c r="UC383" s="9" t="n">
        <v>46.79999999999998</v>
      </c>
      <c r="UG383" s="10" t="n">
        <v>46349</v>
      </c>
      <c r="UI383" s="9" t="n">
        <v>0</v>
      </c>
      <c r="UK383" s="9" t="n">
        <v>0</v>
      </c>
      <c r="UL383" s="9" t="n">
        <v>204</v>
      </c>
      <c r="UP383" s="10" t="n">
        <v>46349</v>
      </c>
      <c r="UR383" s="9" t="n">
        <v>0</v>
      </c>
      <c r="UT383" s="9" t="n">
        <v>0</v>
      </c>
      <c r="UU383" s="9" t="n">
        <v>202.5</v>
      </c>
      <c r="UY383" s="10" t="n">
        <v>46349</v>
      </c>
      <c r="VA383" s="9" t="n">
        <v>0</v>
      </c>
      <c r="VC383" s="9" t="n">
        <v>0</v>
      </c>
      <c r="VD383" s="9" t="n">
        <v>41.60000000000002</v>
      </c>
      <c r="VH383" s="10" t="n">
        <v>46349</v>
      </c>
      <c r="VJ383" s="9" t="n">
        <v>0</v>
      </c>
      <c r="VL383" s="9" t="n">
        <v>0</v>
      </c>
      <c r="VM383" s="9" t="n">
        <v>210</v>
      </c>
      <c r="VQ383" s="10" t="n">
        <v>46349</v>
      </c>
      <c r="VS383" s="9" t="n">
        <v>0</v>
      </c>
      <c r="VU383" s="9" t="n">
        <v>0</v>
      </c>
      <c r="VV383" s="9" t="n">
        <v>0</v>
      </c>
      <c r="VZ383" s="10" t="n">
        <v>46349</v>
      </c>
      <c r="WB383" s="9" t="n">
        <v>0</v>
      </c>
      <c r="WD383" s="9" t="n">
        <v>0</v>
      </c>
      <c r="WE383" s="9" t="n">
        <v>0</v>
      </c>
      <c r="WI383" s="10" t="n">
        <v>46349</v>
      </c>
      <c r="WK383" s="9" t="n">
        <v>0</v>
      </c>
      <c r="WM383" s="9" t="n">
        <v>0</v>
      </c>
      <c r="WN383" s="9" t="n">
        <v>1057</v>
      </c>
      <c r="WR383" s="10" t="n">
        <v>46349</v>
      </c>
      <c r="WT383" s="9" t="n">
        <v>0</v>
      </c>
      <c r="WV383" s="9" t="n">
        <v>0</v>
      </c>
      <c r="WW383" s="9" t="n">
        <v>0</v>
      </c>
      <c r="XA383" s="10" t="n">
        <v>46349</v>
      </c>
      <c r="XC383" s="9" t="n">
        <v>0</v>
      </c>
      <c r="XE383" s="9" t="n">
        <v>0</v>
      </c>
      <c r="XF383" s="9" t="n">
        <v>7507</v>
      </c>
      <c r="XJ383" s="10" t="n">
        <v>46349</v>
      </c>
      <c r="XL383" s="9" t="n">
        <v>0</v>
      </c>
      <c r="XN383" s="9" t="n">
        <v>0</v>
      </c>
      <c r="XO383" s="9" t="n">
        <v>4252</v>
      </c>
      <c r="XS383" s="10" t="n">
        <v>46349</v>
      </c>
      <c r="XU383" s="9" t="n">
        <v>0</v>
      </c>
      <c r="XW383" s="9" t="n">
        <v>0</v>
      </c>
      <c r="XX383" s="9" t="n">
        <v>2179</v>
      </c>
      <c r="YB383" s="10" t="n">
        <v>46349</v>
      </c>
      <c r="YD383" s="9" t="n">
        <v>0</v>
      </c>
      <c r="YF383" s="9" t="n">
        <v>0</v>
      </c>
      <c r="YG383" s="9" t="n">
        <v>4019</v>
      </c>
      <c r="YK383" s="10" t="n">
        <v>46349</v>
      </c>
      <c r="YM383" s="9" t="n">
        <v>0</v>
      </c>
      <c r="YO383" s="9" t="n">
        <v>0</v>
      </c>
      <c r="YP383" s="9" t="n">
        <v>-218</v>
      </c>
      <c r="YT383" s="10" t="n">
        <v>46349</v>
      </c>
      <c r="YV383" s="9" t="n">
        <v>0</v>
      </c>
      <c r="YX383" s="9" t="n">
        <v>0</v>
      </c>
      <c r="YY383" s="9" t="n">
        <v>0</v>
      </c>
      <c r="ZC383" s="10" t="n">
        <v>46349</v>
      </c>
      <c r="ZE383" s="9" t="n">
        <v>0</v>
      </c>
      <c r="ZG383" s="9" t="n">
        <v>0</v>
      </c>
      <c r="ZH383" s="9" t="n">
        <v>0</v>
      </c>
      <c r="ZL383" s="10" t="n">
        <v>46349</v>
      </c>
      <c r="ZN383" s="9" t="n">
        <v>0</v>
      </c>
      <c r="ZP383" s="9" t="n">
        <v>0</v>
      </c>
      <c r="ZQ383" s="9" t="n">
        <v>0</v>
      </c>
      <c r="ZU383" s="10" t="n">
        <v>46349</v>
      </c>
      <c r="ZW383" s="9" t="n">
        <v>0</v>
      </c>
      <c r="ZY383" s="9" t="n">
        <v>0</v>
      </c>
      <c r="ZZ383" s="9" t="n">
        <v>0</v>
      </c>
      <c r="AAD383" s="10" t="n">
        <v>46349</v>
      </c>
      <c r="AAF383" s="9" t="n">
        <v>0</v>
      </c>
      <c r="AAH383" s="9" t="n">
        <v>0</v>
      </c>
      <c r="AAI383" s="9" t="n">
        <v>0</v>
      </c>
      <c r="AAM383" s="10" t="n">
        <v>46349</v>
      </c>
      <c r="AAO383" s="9" t="n">
        <v>0</v>
      </c>
      <c r="AAQ383" s="9" t="n">
        <v>0</v>
      </c>
      <c r="AAR383" s="9" t="n">
        <v>0</v>
      </c>
      <c r="AAV383" s="10" t="n">
        <v>46349</v>
      </c>
      <c r="AAX383" s="9" t="n">
        <v>0</v>
      </c>
      <c r="AAZ383" s="9" t="n">
        <v>0</v>
      </c>
      <c r="ABA383" s="9" t="n">
        <v>0</v>
      </c>
      <c r="ABE383" s="10" t="n">
        <v>46349</v>
      </c>
      <c r="ABG383" s="9" t="n">
        <v>0</v>
      </c>
      <c r="ABI383" s="9" t="n">
        <v>0</v>
      </c>
      <c r="ABJ383" s="9" t="n">
        <v>0</v>
      </c>
    </row>
    <row r="384">
      <c r="C384" s="10" t="n">
        <v>46350</v>
      </c>
      <c r="E384" s="9" t="n">
        <v>0</v>
      </c>
      <c r="G384" s="9" t="n">
        <v>0</v>
      </c>
      <c r="H384" s="9" t="n">
        <v>236936.6</v>
      </c>
      <c r="L384" s="10" t="n">
        <v>46350</v>
      </c>
      <c r="N384" s="9" t="n">
        <v>0</v>
      </c>
      <c r="P384" s="9" t="n">
        <v>0</v>
      </c>
      <c r="Q384" s="9" t="n">
        <v>53017.60000000007</v>
      </c>
      <c r="U384" s="10" t="n">
        <v>46350</v>
      </c>
      <c r="W384" s="9" t="n">
        <v>0</v>
      </c>
      <c r="Y384" s="9" t="n">
        <v>0</v>
      </c>
      <c r="Z384" s="9" t="n">
        <v>42674.19999999997</v>
      </c>
      <c r="AD384" s="10" t="n">
        <v>46350</v>
      </c>
      <c r="AF384" s="9" t="n">
        <v>0</v>
      </c>
      <c r="AH384" s="9" t="n">
        <v>0</v>
      </c>
      <c r="AI384" s="9" t="n">
        <v>4522.200000000019</v>
      </c>
      <c r="AM384" s="10" t="n">
        <v>46350</v>
      </c>
      <c r="AO384" s="9" t="n">
        <v>0</v>
      </c>
      <c r="AQ384" s="9" t="n">
        <v>0</v>
      </c>
      <c r="AR384" s="9" t="n">
        <v>0</v>
      </c>
      <c r="AV384" s="10" t="n">
        <v>46350</v>
      </c>
      <c r="AX384" s="9" t="n">
        <v>0</v>
      </c>
      <c r="AZ384" s="9" t="n">
        <v>0</v>
      </c>
      <c r="BA384" s="9" t="n">
        <v>124.9999999999952</v>
      </c>
      <c r="BE384" s="10" t="n">
        <v>46350</v>
      </c>
      <c r="BG384" s="9" t="n">
        <v>0</v>
      </c>
      <c r="BI384" s="9" t="n">
        <v>0</v>
      </c>
      <c r="BJ384" s="9" t="n">
        <v>26151.9</v>
      </c>
      <c r="BN384" s="10" t="n">
        <v>46350</v>
      </c>
      <c r="BP384" s="9" t="n">
        <v>0</v>
      </c>
      <c r="BR384" s="9" t="n">
        <v>0</v>
      </c>
      <c r="BS384" s="9" t="n">
        <v>0</v>
      </c>
      <c r="BW384" s="10" t="n">
        <v>46350</v>
      </c>
      <c r="BY384" s="9" t="n">
        <v>0</v>
      </c>
      <c r="CA384" s="9" t="n">
        <v>0</v>
      </c>
      <c r="CB384" s="9" t="n">
        <v>2097.339999999999</v>
      </c>
      <c r="CF384" s="10" t="n">
        <v>46350</v>
      </c>
      <c r="CH384" s="9" t="n">
        <v>0</v>
      </c>
      <c r="CJ384" s="9" t="n">
        <v>0</v>
      </c>
      <c r="CK384" s="9" t="n">
        <v>-10277.08</v>
      </c>
      <c r="CO384" s="10" t="n">
        <v>46350</v>
      </c>
      <c r="CQ384" s="9" t="n">
        <v>0</v>
      </c>
      <c r="CS384" s="9" t="n">
        <v>0</v>
      </c>
      <c r="CT384" s="9" t="n">
        <v>0</v>
      </c>
      <c r="CX384" s="10" t="n">
        <v>46350</v>
      </c>
      <c r="CZ384" s="9" t="n">
        <v>0</v>
      </c>
      <c r="DB384" s="9" t="n">
        <v>0</v>
      </c>
      <c r="DC384" s="9" t="n">
        <v>27438.20000000001</v>
      </c>
      <c r="DG384" s="10" t="n">
        <v>46350</v>
      </c>
      <c r="DI384" s="9" t="n">
        <v>0</v>
      </c>
      <c r="DK384" s="9" t="n">
        <v>0</v>
      </c>
      <c r="DL384" s="9" t="n">
        <v>18782.29999999998</v>
      </c>
      <c r="DP384" s="10" t="n">
        <v>46350</v>
      </c>
      <c r="DR384" s="9" t="n">
        <v>0</v>
      </c>
      <c r="DT384" s="9" t="n">
        <v>0</v>
      </c>
      <c r="DU384" s="9" t="n">
        <v>5800</v>
      </c>
      <c r="DY384" s="10" t="n">
        <v>46350</v>
      </c>
      <c r="EA384" s="9" t="n">
        <v>0</v>
      </c>
      <c r="EC384" s="9" t="n">
        <v>0</v>
      </c>
      <c r="ED384" s="9" t="n">
        <v>0</v>
      </c>
      <c r="EH384" s="10" t="n">
        <v>46350</v>
      </c>
      <c r="EJ384" s="9" t="n">
        <v>0</v>
      </c>
      <c r="EL384" s="9" t="n">
        <v>0</v>
      </c>
      <c r="EM384" s="9" t="n">
        <v>0</v>
      </c>
      <c r="EQ384" s="10" t="n">
        <v>46350</v>
      </c>
      <c r="ES384" s="9" t="n">
        <v>0</v>
      </c>
      <c r="EU384" s="9" t="n">
        <v>0</v>
      </c>
      <c r="EV384" s="9" t="n">
        <v>0</v>
      </c>
      <c r="EZ384" s="10" t="n">
        <v>46350</v>
      </c>
      <c r="FB384" s="9" t="n">
        <v>0</v>
      </c>
      <c r="FD384" s="9" t="n">
        <v>0</v>
      </c>
      <c r="FE384" s="9" t="n">
        <v>0</v>
      </c>
      <c r="FI384" s="10" t="n">
        <v>46350</v>
      </c>
      <c r="FK384" s="9" t="n">
        <v>0</v>
      </c>
      <c r="FM384" s="9" t="n">
        <v>0</v>
      </c>
      <c r="FN384" s="9" t="n">
        <v>0</v>
      </c>
      <c r="FR384" s="10" t="n">
        <v>46350</v>
      </c>
      <c r="FT384" s="9" t="n">
        <v>0</v>
      </c>
      <c r="FV384" s="9" t="n">
        <v>0</v>
      </c>
      <c r="FW384" s="9" t="n">
        <v>2020</v>
      </c>
      <c r="GA384" s="10" t="n">
        <v>46350</v>
      </c>
      <c r="GC384" s="9" t="n">
        <v>0</v>
      </c>
      <c r="GE384" s="9" t="n">
        <v>0</v>
      </c>
      <c r="GF384" s="9" t="n">
        <v>960</v>
      </c>
      <c r="GJ384" s="10" t="n">
        <v>46350</v>
      </c>
      <c r="GL384" s="9" t="n">
        <v>0</v>
      </c>
      <c r="GN384" s="9" t="n">
        <v>0</v>
      </c>
      <c r="GO384" s="9" t="n">
        <v>1760</v>
      </c>
      <c r="GS384" s="10" t="n">
        <v>46350</v>
      </c>
      <c r="GU384" s="9" t="n">
        <v>0</v>
      </c>
      <c r="GW384" s="9" t="n">
        <v>0</v>
      </c>
      <c r="GX384" s="9" t="n">
        <v>400</v>
      </c>
      <c r="HB384" s="10" t="n">
        <v>46350</v>
      </c>
      <c r="HD384" s="9" t="n">
        <v>0</v>
      </c>
      <c r="HF384" s="9" t="n">
        <v>0</v>
      </c>
      <c r="HG384" s="9" t="n">
        <v>3600</v>
      </c>
      <c r="HK384" s="10" t="n">
        <v>46350</v>
      </c>
      <c r="HM384" s="9" t="n">
        <v>0</v>
      </c>
      <c r="HO384" s="9" t="n">
        <v>0</v>
      </c>
      <c r="HP384" s="9" t="n">
        <v>0</v>
      </c>
      <c r="HU384" s="10" t="n">
        <v>46350</v>
      </c>
      <c r="HW384" s="9" t="n">
        <v>0</v>
      </c>
      <c r="HY384" s="9" t="n">
        <v>0</v>
      </c>
      <c r="HZ384" s="9" t="n">
        <v>6120</v>
      </c>
      <c r="ID384" s="10" t="n">
        <v>46350</v>
      </c>
      <c r="IF384" s="9" t="n">
        <v>0</v>
      </c>
      <c r="IH384" s="9" t="n">
        <v>0</v>
      </c>
      <c r="II384" s="9" t="n">
        <v>0</v>
      </c>
      <c r="IM384" s="10" t="n">
        <v>46350</v>
      </c>
      <c r="IO384" s="9" t="n">
        <v>0</v>
      </c>
      <c r="IQ384" s="9" t="n">
        <v>0</v>
      </c>
      <c r="IR384" s="9" t="n">
        <v>0</v>
      </c>
      <c r="IV384" s="10" t="n">
        <v>46350</v>
      </c>
      <c r="IX384" s="9" t="n">
        <v>0</v>
      </c>
      <c r="IZ384" s="9" t="n">
        <v>0</v>
      </c>
      <c r="JA384" s="9" t="n">
        <v>2820</v>
      </c>
      <c r="JE384" s="10" t="n">
        <v>46350</v>
      </c>
      <c r="JG384" s="9" t="n">
        <v>0</v>
      </c>
      <c r="JI384" s="9" t="n">
        <v>0</v>
      </c>
      <c r="JJ384" s="9" t="n">
        <v>0</v>
      </c>
      <c r="JN384" s="10" t="n">
        <v>46350</v>
      </c>
      <c r="JP384" s="9" t="n">
        <v>0</v>
      </c>
      <c r="JR384" s="9" t="n">
        <v>0</v>
      </c>
      <c r="JS384" s="9" t="n">
        <v>0</v>
      </c>
      <c r="JW384" s="10" t="n">
        <v>46350</v>
      </c>
      <c r="JY384" s="9" t="n">
        <v>0</v>
      </c>
      <c r="KA384" s="9" t="n">
        <v>0</v>
      </c>
      <c r="KB384" s="9" t="n">
        <v>2540</v>
      </c>
      <c r="KF384" s="10" t="n">
        <v>46350</v>
      </c>
      <c r="KH384" s="9" t="n">
        <v>0</v>
      </c>
      <c r="KJ384" s="9" t="n">
        <v>0</v>
      </c>
      <c r="KK384" s="9" t="n">
        <v>2359.5</v>
      </c>
      <c r="KO384" s="10" t="n">
        <v>46350</v>
      </c>
      <c r="KQ384" s="9" t="n">
        <v>0</v>
      </c>
      <c r="KS384" s="9" t="n">
        <v>0</v>
      </c>
      <c r="KT384" s="9" t="n">
        <v>1890</v>
      </c>
      <c r="KX384" s="10" t="n">
        <v>46350</v>
      </c>
      <c r="KZ384" s="9" t="n">
        <v>0</v>
      </c>
      <c r="LB384" s="9" t="n">
        <v>0</v>
      </c>
      <c r="LC384" s="9" t="n">
        <v>3690</v>
      </c>
      <c r="LG384" s="10" t="n">
        <v>46350</v>
      </c>
      <c r="LI384" s="9" t="n">
        <v>0</v>
      </c>
      <c r="LK384" s="9" t="n">
        <v>0</v>
      </c>
      <c r="LL384" s="9" t="n">
        <v>4000</v>
      </c>
      <c r="LP384" s="10" t="n">
        <v>46350</v>
      </c>
      <c r="LR384" s="9" t="n">
        <v>0</v>
      </c>
      <c r="LT384" s="9" t="n">
        <v>0</v>
      </c>
      <c r="LU384" s="9" t="n">
        <v>0</v>
      </c>
      <c r="LY384" s="10" t="n">
        <v>46350</v>
      </c>
      <c r="MA384" s="9" t="n">
        <v>0</v>
      </c>
      <c r="MC384" s="9" t="n">
        <v>0</v>
      </c>
      <c r="MD384" s="9" t="n">
        <v>0</v>
      </c>
      <c r="MH384" s="10" t="n">
        <v>46350</v>
      </c>
      <c r="MJ384" s="9" t="n">
        <v>0</v>
      </c>
      <c r="ML384" s="9" t="n">
        <v>0</v>
      </c>
      <c r="MM384" s="9" t="n">
        <v>0</v>
      </c>
      <c r="MQ384" s="10" t="n">
        <v>46350</v>
      </c>
      <c r="MS384" s="9" t="n">
        <v>0</v>
      </c>
      <c r="MU384" s="9" t="n">
        <v>0</v>
      </c>
      <c r="MV384" s="9" t="n">
        <v>1625</v>
      </c>
      <c r="MZ384" s="10" t="n">
        <v>46350</v>
      </c>
      <c r="NB384" s="9" t="n">
        <v>0</v>
      </c>
      <c r="ND384" s="9" t="n">
        <v>0</v>
      </c>
      <c r="NE384" s="9" t="n">
        <v>0</v>
      </c>
      <c r="NI384" s="10" t="n">
        <v>46350</v>
      </c>
      <c r="NK384" s="9" t="n">
        <v>0</v>
      </c>
      <c r="NM384" s="9" t="n">
        <v>0</v>
      </c>
      <c r="NN384" s="9" t="n">
        <v>1127</v>
      </c>
      <c r="NR384" s="10" t="n">
        <v>46350</v>
      </c>
      <c r="NT384" s="9" t="n">
        <v>0</v>
      </c>
      <c r="NV384" s="9" t="n">
        <v>0</v>
      </c>
      <c r="NW384" s="9" t="n">
        <v>3112</v>
      </c>
      <c r="OA384" s="10" t="n">
        <v>46350</v>
      </c>
      <c r="OC384" s="9" t="n">
        <v>0</v>
      </c>
      <c r="OE384" s="9" t="n">
        <v>0</v>
      </c>
      <c r="OF384" s="9" t="n">
        <v>1680.5</v>
      </c>
      <c r="OJ384" s="10" t="n">
        <v>46350</v>
      </c>
      <c r="OL384" s="9" t="n">
        <v>0</v>
      </c>
      <c r="ON384" s="9" t="n">
        <v>0</v>
      </c>
      <c r="OO384" s="9" t="n">
        <v>0</v>
      </c>
      <c r="OS384" s="10" t="n">
        <v>46350</v>
      </c>
      <c r="OU384" s="9" t="n">
        <v>0</v>
      </c>
      <c r="OW384" s="9" t="n">
        <v>0</v>
      </c>
      <c r="OX384" s="9" t="n">
        <v>1482</v>
      </c>
      <c r="PB384" s="10" t="n">
        <v>46350</v>
      </c>
      <c r="PD384" s="9" t="n">
        <v>0</v>
      </c>
      <c r="PF384" s="9" t="n">
        <v>0</v>
      </c>
      <c r="PG384" s="9" t="n">
        <v>0</v>
      </c>
      <c r="PK384" s="10" t="n">
        <v>46350</v>
      </c>
      <c r="PM384" s="9" t="n">
        <v>0</v>
      </c>
      <c r="PO384" s="9" t="n">
        <v>0</v>
      </c>
      <c r="PP384" s="9" t="n">
        <v>100</v>
      </c>
      <c r="PT384" s="10" t="n">
        <v>46350</v>
      </c>
      <c r="PV384" s="9" t="n">
        <v>0</v>
      </c>
      <c r="PX384" s="9" t="n">
        <v>0</v>
      </c>
      <c r="PY384" s="9" t="n">
        <v>13.96000000000004</v>
      </c>
      <c r="QC384" s="10" t="n">
        <v>46350</v>
      </c>
      <c r="QE384" s="9" t="n">
        <v>0</v>
      </c>
      <c r="QG384" s="9" t="n">
        <v>0</v>
      </c>
      <c r="QH384" s="9" t="n">
        <v>548</v>
      </c>
      <c r="QL384" s="10" t="n">
        <v>46350</v>
      </c>
      <c r="QN384" s="9" t="n">
        <v>0</v>
      </c>
      <c r="QP384" s="9" t="n">
        <v>0</v>
      </c>
      <c r="QQ384" s="9" t="n">
        <v>0</v>
      </c>
      <c r="QU384" s="10" t="n">
        <v>46350</v>
      </c>
      <c r="QW384" s="9" t="n">
        <v>0</v>
      </c>
      <c r="QY384" s="9" t="n">
        <v>0</v>
      </c>
      <c r="QZ384" s="9" t="n">
        <v>0</v>
      </c>
      <c r="RD384" s="10" t="n">
        <v>46350</v>
      </c>
      <c r="RF384" s="9" t="n">
        <v>0</v>
      </c>
      <c r="RH384" s="9" t="n">
        <v>0</v>
      </c>
      <c r="RI384" s="9" t="n">
        <v>147.04</v>
      </c>
      <c r="RM384" s="10" t="n">
        <v>46350</v>
      </c>
      <c r="RO384" s="9" t="n">
        <v>0</v>
      </c>
      <c r="RQ384" s="9" t="n">
        <v>0</v>
      </c>
      <c r="RR384" s="9" t="n">
        <v>46.8</v>
      </c>
      <c r="RV384" s="10" t="n">
        <v>46350</v>
      </c>
      <c r="RX384" s="9" t="n">
        <v>0</v>
      </c>
      <c r="RZ384" s="9" t="n">
        <v>0</v>
      </c>
      <c r="SA384" s="9" t="n">
        <v>0</v>
      </c>
      <c r="SE384" s="10" t="n">
        <v>46350</v>
      </c>
      <c r="SG384" s="9" t="n">
        <v>0</v>
      </c>
      <c r="SI384" s="9" t="n">
        <v>0</v>
      </c>
      <c r="SJ384" s="9" t="n">
        <v>24.2</v>
      </c>
      <c r="SN384" s="10" t="n">
        <v>46350</v>
      </c>
      <c r="SP384" s="9" t="n">
        <v>0</v>
      </c>
      <c r="SR384" s="9" t="n">
        <v>0</v>
      </c>
      <c r="SS384" s="9" t="n">
        <v>32</v>
      </c>
      <c r="SW384" s="10" t="n">
        <v>46350</v>
      </c>
      <c r="SY384" s="9" t="n">
        <v>0</v>
      </c>
      <c r="TA384" s="9" t="n">
        <v>0</v>
      </c>
      <c r="TB384" s="9" t="n">
        <v>0</v>
      </c>
      <c r="TF384" s="10" t="n">
        <v>46350</v>
      </c>
      <c r="TH384" s="9" t="n">
        <v>0</v>
      </c>
      <c r="TJ384" s="9" t="n">
        <v>0</v>
      </c>
      <c r="TK384" s="9" t="n">
        <v>0</v>
      </c>
      <c r="TO384" s="10" t="n">
        <v>46350</v>
      </c>
      <c r="TQ384" s="9" t="n">
        <v>0</v>
      </c>
      <c r="TS384" s="9" t="n">
        <v>0</v>
      </c>
      <c r="TT384" s="9" t="n">
        <v>0</v>
      </c>
      <c r="TX384" s="10" t="n">
        <v>46350</v>
      </c>
      <c r="TZ384" s="9" t="n">
        <v>0</v>
      </c>
      <c r="UB384" s="9" t="n">
        <v>0</v>
      </c>
      <c r="UC384" s="9" t="n">
        <v>46.79999999999998</v>
      </c>
      <c r="UG384" s="10" t="n">
        <v>46350</v>
      </c>
      <c r="UI384" s="9" t="n">
        <v>0</v>
      </c>
      <c r="UK384" s="9" t="n">
        <v>0</v>
      </c>
      <c r="UL384" s="9" t="n">
        <v>204</v>
      </c>
      <c r="UP384" s="10" t="n">
        <v>46350</v>
      </c>
      <c r="UR384" s="9" t="n">
        <v>0</v>
      </c>
      <c r="UT384" s="9" t="n">
        <v>0</v>
      </c>
      <c r="UU384" s="9" t="n">
        <v>202.5</v>
      </c>
      <c r="UY384" s="10" t="n">
        <v>46350</v>
      </c>
      <c r="VA384" s="9" t="n">
        <v>0</v>
      </c>
      <c r="VC384" s="9" t="n">
        <v>0</v>
      </c>
      <c r="VD384" s="9" t="n">
        <v>41.60000000000002</v>
      </c>
      <c r="VH384" s="10" t="n">
        <v>46350</v>
      </c>
      <c r="VJ384" s="9" t="n">
        <v>0</v>
      </c>
      <c r="VL384" s="9" t="n">
        <v>0</v>
      </c>
      <c r="VM384" s="9" t="n">
        <v>210</v>
      </c>
      <c r="VQ384" s="10" t="n">
        <v>46350</v>
      </c>
      <c r="VS384" s="9" t="n">
        <v>0</v>
      </c>
      <c r="VU384" s="9" t="n">
        <v>0</v>
      </c>
      <c r="VV384" s="9" t="n">
        <v>0</v>
      </c>
      <c r="VZ384" s="10" t="n">
        <v>46350</v>
      </c>
      <c r="WB384" s="9" t="n">
        <v>0</v>
      </c>
      <c r="WD384" s="9" t="n">
        <v>0</v>
      </c>
      <c r="WE384" s="9" t="n">
        <v>0</v>
      </c>
      <c r="WI384" s="10" t="n">
        <v>46350</v>
      </c>
      <c r="WK384" s="9" t="n">
        <v>0</v>
      </c>
      <c r="WM384" s="9" t="n">
        <v>0</v>
      </c>
      <c r="WN384" s="9" t="n">
        <v>1057</v>
      </c>
      <c r="WR384" s="10" t="n">
        <v>46350</v>
      </c>
      <c r="WT384" s="9" t="n">
        <v>0</v>
      </c>
      <c r="WV384" s="9" t="n">
        <v>0</v>
      </c>
      <c r="WW384" s="9" t="n">
        <v>0</v>
      </c>
      <c r="XA384" s="10" t="n">
        <v>46350</v>
      </c>
      <c r="XC384" s="9" t="n">
        <v>0</v>
      </c>
      <c r="XE384" s="9" t="n">
        <v>0</v>
      </c>
      <c r="XF384" s="9" t="n">
        <v>7507</v>
      </c>
      <c r="XJ384" s="10" t="n">
        <v>46350</v>
      </c>
      <c r="XL384" s="9" t="n">
        <v>0</v>
      </c>
      <c r="XN384" s="9" t="n">
        <v>0</v>
      </c>
      <c r="XO384" s="9" t="n">
        <v>4252</v>
      </c>
      <c r="XS384" s="10" t="n">
        <v>46350</v>
      </c>
      <c r="XU384" s="9" t="n">
        <v>0</v>
      </c>
      <c r="XW384" s="9" t="n">
        <v>0</v>
      </c>
      <c r="XX384" s="9" t="n">
        <v>2179</v>
      </c>
      <c r="YB384" s="10" t="n">
        <v>46350</v>
      </c>
      <c r="YD384" s="9" t="n">
        <v>0</v>
      </c>
      <c r="YF384" s="9" t="n">
        <v>0</v>
      </c>
      <c r="YG384" s="9" t="n">
        <v>4019</v>
      </c>
      <c r="YK384" s="10" t="n">
        <v>46350</v>
      </c>
      <c r="YM384" s="9" t="n">
        <v>0</v>
      </c>
      <c r="YO384" s="9" t="n">
        <v>0</v>
      </c>
      <c r="YP384" s="9" t="n">
        <v>-218</v>
      </c>
      <c r="YT384" s="10" t="n">
        <v>46350</v>
      </c>
      <c r="YV384" s="9" t="n">
        <v>0</v>
      </c>
      <c r="YX384" s="9" t="n">
        <v>0</v>
      </c>
      <c r="YY384" s="9" t="n">
        <v>0</v>
      </c>
      <c r="ZC384" s="10" t="n">
        <v>46350</v>
      </c>
      <c r="ZE384" s="9" t="n">
        <v>0</v>
      </c>
      <c r="ZG384" s="9" t="n">
        <v>0</v>
      </c>
      <c r="ZH384" s="9" t="n">
        <v>0</v>
      </c>
      <c r="ZL384" s="10" t="n">
        <v>46350</v>
      </c>
      <c r="ZN384" s="9" t="n">
        <v>0</v>
      </c>
      <c r="ZP384" s="9" t="n">
        <v>0</v>
      </c>
      <c r="ZQ384" s="9" t="n">
        <v>0</v>
      </c>
      <c r="ZU384" s="10" t="n">
        <v>46350</v>
      </c>
      <c r="ZW384" s="9" t="n">
        <v>0</v>
      </c>
      <c r="ZY384" s="9" t="n">
        <v>0</v>
      </c>
      <c r="ZZ384" s="9" t="n">
        <v>0</v>
      </c>
      <c r="AAD384" s="10" t="n">
        <v>46350</v>
      </c>
      <c r="AAF384" s="9" t="n">
        <v>0</v>
      </c>
      <c r="AAH384" s="9" t="n">
        <v>0</v>
      </c>
      <c r="AAI384" s="9" t="n">
        <v>0</v>
      </c>
      <c r="AAM384" s="10" t="n">
        <v>46350</v>
      </c>
      <c r="AAO384" s="9" t="n">
        <v>0</v>
      </c>
      <c r="AAQ384" s="9" t="n">
        <v>0</v>
      </c>
      <c r="AAR384" s="9" t="n">
        <v>0</v>
      </c>
      <c r="AAV384" s="10" t="n">
        <v>46350</v>
      </c>
      <c r="AAX384" s="9" t="n">
        <v>0</v>
      </c>
      <c r="AAZ384" s="9" t="n">
        <v>0</v>
      </c>
      <c r="ABA384" s="9" t="n">
        <v>0</v>
      </c>
      <c r="ABE384" s="10" t="n">
        <v>46350</v>
      </c>
      <c r="ABG384" s="9" t="n">
        <v>0</v>
      </c>
      <c r="ABI384" s="9" t="n">
        <v>0</v>
      </c>
      <c r="ABJ384" s="9" t="n">
        <v>0</v>
      </c>
    </row>
    <row r="385">
      <c r="C385" s="10" t="n">
        <v>46351</v>
      </c>
      <c r="E385" s="9" t="n">
        <v>0</v>
      </c>
      <c r="G385" s="9" t="n">
        <v>0</v>
      </c>
      <c r="H385" s="9" t="n">
        <v>236936.6</v>
      </c>
      <c r="L385" s="10" t="n">
        <v>46351</v>
      </c>
      <c r="N385" s="9" t="n">
        <v>0</v>
      </c>
      <c r="P385" s="9" t="n">
        <v>0</v>
      </c>
      <c r="Q385" s="9" t="n">
        <v>53017.60000000007</v>
      </c>
      <c r="U385" s="10" t="n">
        <v>46351</v>
      </c>
      <c r="W385" s="9" t="n">
        <v>0</v>
      </c>
      <c r="Y385" s="9" t="n">
        <v>0</v>
      </c>
      <c r="Z385" s="9" t="n">
        <v>42674.19999999997</v>
      </c>
      <c r="AD385" s="10" t="n">
        <v>46351</v>
      </c>
      <c r="AF385" s="9" t="n">
        <v>0</v>
      </c>
      <c r="AH385" s="9" t="n">
        <v>0</v>
      </c>
      <c r="AI385" s="9" t="n">
        <v>4522.200000000019</v>
      </c>
      <c r="AM385" s="10" t="n">
        <v>46351</v>
      </c>
      <c r="AO385" s="9" t="n">
        <v>0</v>
      </c>
      <c r="AQ385" s="9" t="n">
        <v>0</v>
      </c>
      <c r="AR385" s="9" t="n">
        <v>0</v>
      </c>
      <c r="AV385" s="10" t="n">
        <v>46351</v>
      </c>
      <c r="AX385" s="9" t="n">
        <v>0</v>
      </c>
      <c r="AZ385" s="9" t="n">
        <v>0</v>
      </c>
      <c r="BA385" s="9" t="n">
        <v>124.9999999999952</v>
      </c>
      <c r="BE385" s="10" t="n">
        <v>46351</v>
      </c>
      <c r="BG385" s="9" t="n">
        <v>0</v>
      </c>
      <c r="BI385" s="9" t="n">
        <v>0</v>
      </c>
      <c r="BJ385" s="9" t="n">
        <v>26151.9</v>
      </c>
      <c r="BN385" s="10" t="n">
        <v>46351</v>
      </c>
      <c r="BP385" s="9" t="n">
        <v>0</v>
      </c>
      <c r="BR385" s="9" t="n">
        <v>0</v>
      </c>
      <c r="BS385" s="9" t="n">
        <v>0</v>
      </c>
      <c r="BW385" s="10" t="n">
        <v>46351</v>
      </c>
      <c r="BY385" s="9" t="n">
        <v>0</v>
      </c>
      <c r="CA385" s="9" t="n">
        <v>0</v>
      </c>
      <c r="CB385" s="9" t="n">
        <v>2097.339999999999</v>
      </c>
      <c r="CF385" s="10" t="n">
        <v>46351</v>
      </c>
      <c r="CH385" s="9" t="n">
        <v>0</v>
      </c>
      <c r="CJ385" s="9" t="n">
        <v>0</v>
      </c>
      <c r="CK385" s="9" t="n">
        <v>-10277.08</v>
      </c>
      <c r="CO385" s="10" t="n">
        <v>46351</v>
      </c>
      <c r="CQ385" s="9" t="n">
        <v>0</v>
      </c>
      <c r="CS385" s="9" t="n">
        <v>0</v>
      </c>
      <c r="CT385" s="9" t="n">
        <v>0</v>
      </c>
      <c r="CX385" s="10" t="n">
        <v>46351</v>
      </c>
      <c r="CZ385" s="9" t="n">
        <v>0</v>
      </c>
      <c r="DB385" s="9" t="n">
        <v>0</v>
      </c>
      <c r="DC385" s="9" t="n">
        <v>27438.20000000001</v>
      </c>
      <c r="DG385" s="10" t="n">
        <v>46351</v>
      </c>
      <c r="DI385" s="9" t="n">
        <v>0</v>
      </c>
      <c r="DK385" s="9" t="n">
        <v>0</v>
      </c>
      <c r="DL385" s="9" t="n">
        <v>18782.29999999998</v>
      </c>
      <c r="DP385" s="10" t="n">
        <v>46351</v>
      </c>
      <c r="DR385" s="9" t="n">
        <v>0</v>
      </c>
      <c r="DT385" s="9" t="n">
        <v>0</v>
      </c>
      <c r="DU385" s="9" t="n">
        <v>5800</v>
      </c>
      <c r="DY385" s="10" t="n">
        <v>46351</v>
      </c>
      <c r="EA385" s="9" t="n">
        <v>0</v>
      </c>
      <c r="EC385" s="9" t="n">
        <v>0</v>
      </c>
      <c r="ED385" s="9" t="n">
        <v>0</v>
      </c>
      <c r="EH385" s="10" t="n">
        <v>46351</v>
      </c>
      <c r="EJ385" s="9" t="n">
        <v>0</v>
      </c>
      <c r="EL385" s="9" t="n">
        <v>0</v>
      </c>
      <c r="EM385" s="9" t="n">
        <v>0</v>
      </c>
      <c r="EQ385" s="10" t="n">
        <v>46351</v>
      </c>
      <c r="ES385" s="9" t="n">
        <v>0</v>
      </c>
      <c r="EU385" s="9" t="n">
        <v>0</v>
      </c>
      <c r="EV385" s="9" t="n">
        <v>0</v>
      </c>
      <c r="EZ385" s="10" t="n">
        <v>46351</v>
      </c>
      <c r="FB385" s="9" t="n">
        <v>0</v>
      </c>
      <c r="FD385" s="9" t="n">
        <v>0</v>
      </c>
      <c r="FE385" s="9" t="n">
        <v>0</v>
      </c>
      <c r="FI385" s="10" t="n">
        <v>46351</v>
      </c>
      <c r="FK385" s="9" t="n">
        <v>0</v>
      </c>
      <c r="FM385" s="9" t="n">
        <v>0</v>
      </c>
      <c r="FN385" s="9" t="n">
        <v>0</v>
      </c>
      <c r="FR385" s="10" t="n">
        <v>46351</v>
      </c>
      <c r="FT385" s="9" t="n">
        <v>0</v>
      </c>
      <c r="FV385" s="9" t="n">
        <v>0</v>
      </c>
      <c r="FW385" s="9" t="n">
        <v>2020</v>
      </c>
      <c r="GA385" s="10" t="n">
        <v>46351</v>
      </c>
      <c r="GC385" s="9" t="n">
        <v>0</v>
      </c>
      <c r="GE385" s="9" t="n">
        <v>0</v>
      </c>
      <c r="GF385" s="9" t="n">
        <v>960</v>
      </c>
      <c r="GJ385" s="10" t="n">
        <v>46351</v>
      </c>
      <c r="GL385" s="9" t="n">
        <v>0</v>
      </c>
      <c r="GN385" s="9" t="n">
        <v>0</v>
      </c>
      <c r="GO385" s="9" t="n">
        <v>1760</v>
      </c>
      <c r="GS385" s="10" t="n">
        <v>46351</v>
      </c>
      <c r="GU385" s="9" t="n">
        <v>0</v>
      </c>
      <c r="GW385" s="9" t="n">
        <v>0</v>
      </c>
      <c r="GX385" s="9" t="n">
        <v>400</v>
      </c>
      <c r="HB385" s="10" t="n">
        <v>46351</v>
      </c>
      <c r="HD385" s="9" t="n">
        <v>0</v>
      </c>
      <c r="HF385" s="9" t="n">
        <v>0</v>
      </c>
      <c r="HG385" s="9" t="n">
        <v>3600</v>
      </c>
      <c r="HK385" s="10" t="n">
        <v>46351</v>
      </c>
      <c r="HM385" s="9" t="n">
        <v>0</v>
      </c>
      <c r="HO385" s="9" t="n">
        <v>0</v>
      </c>
      <c r="HP385" s="9" t="n">
        <v>0</v>
      </c>
      <c r="HU385" s="10" t="n">
        <v>46351</v>
      </c>
      <c r="HW385" s="9" t="n">
        <v>0</v>
      </c>
      <c r="HY385" s="9" t="n">
        <v>0</v>
      </c>
      <c r="HZ385" s="9" t="n">
        <v>6120</v>
      </c>
      <c r="ID385" s="10" t="n">
        <v>46351</v>
      </c>
      <c r="IF385" s="9" t="n">
        <v>0</v>
      </c>
      <c r="IH385" s="9" t="n">
        <v>0</v>
      </c>
      <c r="II385" s="9" t="n">
        <v>0</v>
      </c>
      <c r="IM385" s="10" t="n">
        <v>46351</v>
      </c>
      <c r="IO385" s="9" t="n">
        <v>0</v>
      </c>
      <c r="IQ385" s="9" t="n">
        <v>0</v>
      </c>
      <c r="IR385" s="9" t="n">
        <v>0</v>
      </c>
      <c r="IV385" s="10" t="n">
        <v>46351</v>
      </c>
      <c r="IX385" s="9" t="n">
        <v>0</v>
      </c>
      <c r="IZ385" s="9" t="n">
        <v>0</v>
      </c>
      <c r="JA385" s="9" t="n">
        <v>2820</v>
      </c>
      <c r="JE385" s="10" t="n">
        <v>46351</v>
      </c>
      <c r="JG385" s="9" t="n">
        <v>0</v>
      </c>
      <c r="JI385" s="9" t="n">
        <v>0</v>
      </c>
      <c r="JJ385" s="9" t="n">
        <v>0</v>
      </c>
      <c r="JN385" s="10" t="n">
        <v>46351</v>
      </c>
      <c r="JP385" s="9" t="n">
        <v>0</v>
      </c>
      <c r="JR385" s="9" t="n">
        <v>0</v>
      </c>
      <c r="JS385" s="9" t="n">
        <v>0</v>
      </c>
      <c r="JW385" s="10" t="n">
        <v>46351</v>
      </c>
      <c r="JY385" s="9" t="n">
        <v>0</v>
      </c>
      <c r="KA385" s="9" t="n">
        <v>0</v>
      </c>
      <c r="KB385" s="9" t="n">
        <v>2540</v>
      </c>
      <c r="KF385" s="10" t="n">
        <v>46351</v>
      </c>
      <c r="KH385" s="9" t="n">
        <v>0</v>
      </c>
      <c r="KJ385" s="9" t="n">
        <v>0</v>
      </c>
      <c r="KK385" s="9" t="n">
        <v>2359.5</v>
      </c>
      <c r="KO385" s="10" t="n">
        <v>46351</v>
      </c>
      <c r="KQ385" s="9" t="n">
        <v>0</v>
      </c>
      <c r="KS385" s="9" t="n">
        <v>0</v>
      </c>
      <c r="KT385" s="9" t="n">
        <v>1890</v>
      </c>
      <c r="KX385" s="10" t="n">
        <v>46351</v>
      </c>
      <c r="KZ385" s="9" t="n">
        <v>0</v>
      </c>
      <c r="LB385" s="9" t="n">
        <v>0</v>
      </c>
      <c r="LC385" s="9" t="n">
        <v>3690</v>
      </c>
      <c r="LG385" s="10" t="n">
        <v>46351</v>
      </c>
      <c r="LI385" s="9" t="n">
        <v>0</v>
      </c>
      <c r="LK385" s="9" t="n">
        <v>0</v>
      </c>
      <c r="LL385" s="9" t="n">
        <v>4000</v>
      </c>
      <c r="LP385" s="10" t="n">
        <v>46351</v>
      </c>
      <c r="LR385" s="9" t="n">
        <v>0</v>
      </c>
      <c r="LT385" s="9" t="n">
        <v>0</v>
      </c>
      <c r="LU385" s="9" t="n">
        <v>0</v>
      </c>
      <c r="LY385" s="10" t="n">
        <v>46351</v>
      </c>
      <c r="MA385" s="9" t="n">
        <v>0</v>
      </c>
      <c r="MC385" s="9" t="n">
        <v>0</v>
      </c>
      <c r="MD385" s="9" t="n">
        <v>0</v>
      </c>
      <c r="MH385" s="10" t="n">
        <v>46351</v>
      </c>
      <c r="MJ385" s="9" t="n">
        <v>0</v>
      </c>
      <c r="ML385" s="9" t="n">
        <v>0</v>
      </c>
      <c r="MM385" s="9" t="n">
        <v>0</v>
      </c>
      <c r="MQ385" s="10" t="n">
        <v>46351</v>
      </c>
      <c r="MS385" s="9" t="n">
        <v>0</v>
      </c>
      <c r="MU385" s="9" t="n">
        <v>0</v>
      </c>
      <c r="MV385" s="9" t="n">
        <v>1625</v>
      </c>
      <c r="MZ385" s="10" t="n">
        <v>46351</v>
      </c>
      <c r="NB385" s="9" t="n">
        <v>0</v>
      </c>
      <c r="ND385" s="9" t="n">
        <v>0</v>
      </c>
      <c r="NE385" s="9" t="n">
        <v>0</v>
      </c>
      <c r="NI385" s="10" t="n">
        <v>46351</v>
      </c>
      <c r="NK385" s="9" t="n">
        <v>0</v>
      </c>
      <c r="NM385" s="9" t="n">
        <v>0</v>
      </c>
      <c r="NN385" s="9" t="n">
        <v>1127</v>
      </c>
      <c r="NR385" s="10" t="n">
        <v>46351</v>
      </c>
      <c r="NT385" s="9" t="n">
        <v>0</v>
      </c>
      <c r="NV385" s="9" t="n">
        <v>0</v>
      </c>
      <c r="NW385" s="9" t="n">
        <v>3112</v>
      </c>
      <c r="OA385" s="10" t="n">
        <v>46351</v>
      </c>
      <c r="OC385" s="9" t="n">
        <v>0</v>
      </c>
      <c r="OE385" s="9" t="n">
        <v>0</v>
      </c>
      <c r="OF385" s="9" t="n">
        <v>1680.5</v>
      </c>
      <c r="OJ385" s="10" t="n">
        <v>46351</v>
      </c>
      <c r="OL385" s="9" t="n">
        <v>0</v>
      </c>
      <c r="ON385" s="9" t="n">
        <v>0</v>
      </c>
      <c r="OO385" s="9" t="n">
        <v>0</v>
      </c>
      <c r="OS385" s="10" t="n">
        <v>46351</v>
      </c>
      <c r="OU385" s="9" t="n">
        <v>0</v>
      </c>
      <c r="OW385" s="9" t="n">
        <v>0</v>
      </c>
      <c r="OX385" s="9" t="n">
        <v>1482</v>
      </c>
      <c r="PB385" s="10" t="n">
        <v>46351</v>
      </c>
      <c r="PD385" s="9" t="n">
        <v>0</v>
      </c>
      <c r="PF385" s="9" t="n">
        <v>0</v>
      </c>
      <c r="PG385" s="9" t="n">
        <v>0</v>
      </c>
      <c r="PK385" s="10" t="n">
        <v>46351</v>
      </c>
      <c r="PM385" s="9" t="n">
        <v>0</v>
      </c>
      <c r="PO385" s="9" t="n">
        <v>0</v>
      </c>
      <c r="PP385" s="9" t="n">
        <v>100</v>
      </c>
      <c r="PT385" s="10" t="n">
        <v>46351</v>
      </c>
      <c r="PV385" s="9" t="n">
        <v>0</v>
      </c>
      <c r="PX385" s="9" t="n">
        <v>0</v>
      </c>
      <c r="PY385" s="9" t="n">
        <v>13.96000000000004</v>
      </c>
      <c r="QC385" s="10" t="n">
        <v>46351</v>
      </c>
      <c r="QE385" s="9" t="n">
        <v>0</v>
      </c>
      <c r="QG385" s="9" t="n">
        <v>0</v>
      </c>
      <c r="QH385" s="9" t="n">
        <v>548</v>
      </c>
      <c r="QL385" s="10" t="n">
        <v>46351</v>
      </c>
      <c r="QN385" s="9" t="n">
        <v>0</v>
      </c>
      <c r="QP385" s="9" t="n">
        <v>0</v>
      </c>
      <c r="QQ385" s="9" t="n">
        <v>0</v>
      </c>
      <c r="QU385" s="10" t="n">
        <v>46351</v>
      </c>
      <c r="QW385" s="9" t="n">
        <v>0</v>
      </c>
      <c r="QY385" s="9" t="n">
        <v>0</v>
      </c>
      <c r="QZ385" s="9" t="n">
        <v>0</v>
      </c>
      <c r="RD385" s="10" t="n">
        <v>46351</v>
      </c>
      <c r="RF385" s="9" t="n">
        <v>0</v>
      </c>
      <c r="RH385" s="9" t="n">
        <v>0</v>
      </c>
      <c r="RI385" s="9" t="n">
        <v>147.04</v>
      </c>
      <c r="RM385" s="10" t="n">
        <v>46351</v>
      </c>
      <c r="RO385" s="9" t="n">
        <v>0</v>
      </c>
      <c r="RQ385" s="9" t="n">
        <v>0</v>
      </c>
      <c r="RR385" s="9" t="n">
        <v>46.8</v>
      </c>
      <c r="RV385" s="10" t="n">
        <v>46351</v>
      </c>
      <c r="RX385" s="9" t="n">
        <v>0</v>
      </c>
      <c r="RZ385" s="9" t="n">
        <v>0</v>
      </c>
      <c r="SA385" s="9" t="n">
        <v>0</v>
      </c>
      <c r="SE385" s="10" t="n">
        <v>46351</v>
      </c>
      <c r="SG385" s="9" t="n">
        <v>0</v>
      </c>
      <c r="SI385" s="9" t="n">
        <v>0</v>
      </c>
      <c r="SJ385" s="9" t="n">
        <v>24.2</v>
      </c>
      <c r="SN385" s="10" t="n">
        <v>46351</v>
      </c>
      <c r="SP385" s="9" t="n">
        <v>0</v>
      </c>
      <c r="SR385" s="9" t="n">
        <v>0</v>
      </c>
      <c r="SS385" s="9" t="n">
        <v>32</v>
      </c>
      <c r="SW385" s="10" t="n">
        <v>46351</v>
      </c>
      <c r="SY385" s="9" t="n">
        <v>0</v>
      </c>
      <c r="TA385" s="9" t="n">
        <v>0</v>
      </c>
      <c r="TB385" s="9" t="n">
        <v>0</v>
      </c>
      <c r="TF385" s="10" t="n">
        <v>46351</v>
      </c>
      <c r="TH385" s="9" t="n">
        <v>0</v>
      </c>
      <c r="TJ385" s="9" t="n">
        <v>0</v>
      </c>
      <c r="TK385" s="9" t="n">
        <v>0</v>
      </c>
      <c r="TO385" s="10" t="n">
        <v>46351</v>
      </c>
      <c r="TQ385" s="9" t="n">
        <v>0</v>
      </c>
      <c r="TS385" s="9" t="n">
        <v>0</v>
      </c>
      <c r="TT385" s="9" t="n">
        <v>0</v>
      </c>
      <c r="TX385" s="10" t="n">
        <v>46351</v>
      </c>
      <c r="TZ385" s="9" t="n">
        <v>0</v>
      </c>
      <c r="UB385" s="9" t="n">
        <v>0</v>
      </c>
      <c r="UC385" s="9" t="n">
        <v>46.79999999999998</v>
      </c>
      <c r="UG385" s="10" t="n">
        <v>46351</v>
      </c>
      <c r="UI385" s="9" t="n">
        <v>0</v>
      </c>
      <c r="UK385" s="9" t="n">
        <v>0</v>
      </c>
      <c r="UL385" s="9" t="n">
        <v>204</v>
      </c>
      <c r="UP385" s="10" t="n">
        <v>46351</v>
      </c>
      <c r="UR385" s="9" t="n">
        <v>0</v>
      </c>
      <c r="UT385" s="9" t="n">
        <v>0</v>
      </c>
      <c r="UU385" s="9" t="n">
        <v>202.5</v>
      </c>
      <c r="UY385" s="10" t="n">
        <v>46351</v>
      </c>
      <c r="VA385" s="9" t="n">
        <v>0</v>
      </c>
      <c r="VC385" s="9" t="n">
        <v>0</v>
      </c>
      <c r="VD385" s="9" t="n">
        <v>41.60000000000002</v>
      </c>
      <c r="VH385" s="10" t="n">
        <v>46351</v>
      </c>
      <c r="VJ385" s="9" t="n">
        <v>0</v>
      </c>
      <c r="VL385" s="9" t="n">
        <v>0</v>
      </c>
      <c r="VM385" s="9" t="n">
        <v>210</v>
      </c>
      <c r="VQ385" s="10" t="n">
        <v>46351</v>
      </c>
      <c r="VS385" s="9" t="n">
        <v>0</v>
      </c>
      <c r="VU385" s="9" t="n">
        <v>0</v>
      </c>
      <c r="VV385" s="9" t="n">
        <v>0</v>
      </c>
      <c r="VZ385" s="10" t="n">
        <v>46351</v>
      </c>
      <c r="WB385" s="9" t="n">
        <v>0</v>
      </c>
      <c r="WD385" s="9" t="n">
        <v>0</v>
      </c>
      <c r="WE385" s="9" t="n">
        <v>0</v>
      </c>
      <c r="WI385" s="10" t="n">
        <v>46351</v>
      </c>
      <c r="WK385" s="9" t="n">
        <v>0</v>
      </c>
      <c r="WM385" s="9" t="n">
        <v>0</v>
      </c>
      <c r="WN385" s="9" t="n">
        <v>1057</v>
      </c>
      <c r="WR385" s="10" t="n">
        <v>46351</v>
      </c>
      <c r="WT385" s="9" t="n">
        <v>0</v>
      </c>
      <c r="WV385" s="9" t="n">
        <v>0</v>
      </c>
      <c r="WW385" s="9" t="n">
        <v>0</v>
      </c>
      <c r="XA385" s="10" t="n">
        <v>46351</v>
      </c>
      <c r="XC385" s="9" t="n">
        <v>0</v>
      </c>
      <c r="XE385" s="9" t="n">
        <v>0</v>
      </c>
      <c r="XF385" s="9" t="n">
        <v>7507</v>
      </c>
      <c r="XJ385" s="10" t="n">
        <v>46351</v>
      </c>
      <c r="XL385" s="9" t="n">
        <v>0</v>
      </c>
      <c r="XN385" s="9" t="n">
        <v>0</v>
      </c>
      <c r="XO385" s="9" t="n">
        <v>4252</v>
      </c>
      <c r="XS385" s="10" t="n">
        <v>46351</v>
      </c>
      <c r="XU385" s="9" t="n">
        <v>0</v>
      </c>
      <c r="XW385" s="9" t="n">
        <v>0</v>
      </c>
      <c r="XX385" s="9" t="n">
        <v>2179</v>
      </c>
      <c r="YB385" s="10" t="n">
        <v>46351</v>
      </c>
      <c r="YD385" s="9" t="n">
        <v>0</v>
      </c>
      <c r="YF385" s="9" t="n">
        <v>0</v>
      </c>
      <c r="YG385" s="9" t="n">
        <v>4019</v>
      </c>
      <c r="YK385" s="10" t="n">
        <v>46351</v>
      </c>
      <c r="YM385" s="9" t="n">
        <v>0</v>
      </c>
      <c r="YO385" s="9" t="n">
        <v>0</v>
      </c>
      <c r="YP385" s="9" t="n">
        <v>-218</v>
      </c>
      <c r="YT385" s="10" t="n">
        <v>46351</v>
      </c>
      <c r="YV385" s="9" t="n">
        <v>0</v>
      </c>
      <c r="YX385" s="9" t="n">
        <v>0</v>
      </c>
      <c r="YY385" s="9" t="n">
        <v>0</v>
      </c>
      <c r="ZC385" s="10" t="n">
        <v>46351</v>
      </c>
      <c r="ZE385" s="9" t="n">
        <v>0</v>
      </c>
      <c r="ZG385" s="9" t="n">
        <v>0</v>
      </c>
      <c r="ZH385" s="9" t="n">
        <v>0</v>
      </c>
      <c r="ZL385" s="10" t="n">
        <v>46351</v>
      </c>
      <c r="ZN385" s="9" t="n">
        <v>0</v>
      </c>
      <c r="ZP385" s="9" t="n">
        <v>0</v>
      </c>
      <c r="ZQ385" s="9" t="n">
        <v>0</v>
      </c>
      <c r="ZU385" s="10" t="n">
        <v>46351</v>
      </c>
      <c r="ZW385" s="9" t="n">
        <v>0</v>
      </c>
      <c r="ZY385" s="9" t="n">
        <v>0</v>
      </c>
      <c r="ZZ385" s="9" t="n">
        <v>0</v>
      </c>
      <c r="AAD385" s="10" t="n">
        <v>46351</v>
      </c>
      <c r="AAF385" s="9" t="n">
        <v>0</v>
      </c>
      <c r="AAH385" s="9" t="n">
        <v>0</v>
      </c>
      <c r="AAI385" s="9" t="n">
        <v>0</v>
      </c>
      <c r="AAM385" s="10" t="n">
        <v>46351</v>
      </c>
      <c r="AAO385" s="9" t="n">
        <v>0</v>
      </c>
      <c r="AAQ385" s="9" t="n">
        <v>0</v>
      </c>
      <c r="AAR385" s="9" t="n">
        <v>0</v>
      </c>
      <c r="AAV385" s="10" t="n">
        <v>46351</v>
      </c>
      <c r="AAX385" s="9" t="n">
        <v>0</v>
      </c>
      <c r="AAZ385" s="9" t="n">
        <v>0</v>
      </c>
      <c r="ABA385" s="9" t="n">
        <v>0</v>
      </c>
      <c r="ABE385" s="10" t="n">
        <v>46351</v>
      </c>
      <c r="ABG385" s="9" t="n">
        <v>0</v>
      </c>
      <c r="ABI385" s="9" t="n">
        <v>0</v>
      </c>
      <c r="ABJ385" s="9" t="n">
        <v>0</v>
      </c>
    </row>
    <row r="386">
      <c r="C386" s="10" t="n">
        <v>46352</v>
      </c>
      <c r="E386" s="9" t="n">
        <v>0</v>
      </c>
      <c r="G386" s="9" t="n">
        <v>0</v>
      </c>
      <c r="H386" s="9" t="n">
        <v>236936.6</v>
      </c>
      <c r="L386" s="10" t="n">
        <v>46352</v>
      </c>
      <c r="N386" s="9" t="n">
        <v>0</v>
      </c>
      <c r="P386" s="9" t="n">
        <v>0</v>
      </c>
      <c r="Q386" s="9" t="n">
        <v>53017.60000000007</v>
      </c>
      <c r="U386" s="10" t="n">
        <v>46352</v>
      </c>
      <c r="W386" s="9" t="n">
        <v>0</v>
      </c>
      <c r="Y386" s="9" t="n">
        <v>0</v>
      </c>
      <c r="Z386" s="9" t="n">
        <v>42674.19999999997</v>
      </c>
      <c r="AD386" s="10" t="n">
        <v>46352</v>
      </c>
      <c r="AF386" s="9" t="n">
        <v>0</v>
      </c>
      <c r="AH386" s="9" t="n">
        <v>0</v>
      </c>
      <c r="AI386" s="9" t="n">
        <v>4522.200000000019</v>
      </c>
      <c r="AM386" s="10" t="n">
        <v>46352</v>
      </c>
      <c r="AO386" s="9" t="n">
        <v>0</v>
      </c>
      <c r="AQ386" s="9" t="n">
        <v>0</v>
      </c>
      <c r="AR386" s="9" t="n">
        <v>0</v>
      </c>
      <c r="AV386" s="10" t="n">
        <v>46352</v>
      </c>
      <c r="AX386" s="9" t="n">
        <v>0</v>
      </c>
      <c r="AZ386" s="9" t="n">
        <v>0</v>
      </c>
      <c r="BA386" s="9" t="n">
        <v>124.9999999999952</v>
      </c>
      <c r="BE386" s="10" t="n">
        <v>46352</v>
      </c>
      <c r="BG386" s="9" t="n">
        <v>0</v>
      </c>
      <c r="BI386" s="9" t="n">
        <v>0</v>
      </c>
      <c r="BJ386" s="9" t="n">
        <v>26151.9</v>
      </c>
      <c r="BN386" s="10" t="n">
        <v>46352</v>
      </c>
      <c r="BP386" s="9" t="n">
        <v>0</v>
      </c>
      <c r="BR386" s="9" t="n">
        <v>0</v>
      </c>
      <c r="BS386" s="9" t="n">
        <v>0</v>
      </c>
      <c r="BW386" s="10" t="n">
        <v>46352</v>
      </c>
      <c r="BY386" s="9" t="n">
        <v>0</v>
      </c>
      <c r="CA386" s="9" t="n">
        <v>0</v>
      </c>
      <c r="CB386" s="9" t="n">
        <v>2097.339999999999</v>
      </c>
      <c r="CF386" s="10" t="n">
        <v>46352</v>
      </c>
      <c r="CH386" s="9" t="n">
        <v>0</v>
      </c>
      <c r="CJ386" s="9" t="n">
        <v>0</v>
      </c>
      <c r="CK386" s="9" t="n">
        <v>-10277.08</v>
      </c>
      <c r="CO386" s="10" t="n">
        <v>46352</v>
      </c>
      <c r="CQ386" s="9" t="n">
        <v>0</v>
      </c>
      <c r="CS386" s="9" t="n">
        <v>0</v>
      </c>
      <c r="CT386" s="9" t="n">
        <v>0</v>
      </c>
      <c r="CX386" s="10" t="n">
        <v>46352</v>
      </c>
      <c r="CZ386" s="9" t="n">
        <v>0</v>
      </c>
      <c r="DB386" s="9" t="n">
        <v>0</v>
      </c>
      <c r="DC386" s="9" t="n">
        <v>27438.20000000001</v>
      </c>
      <c r="DG386" s="10" t="n">
        <v>46352</v>
      </c>
      <c r="DI386" s="9" t="n">
        <v>0</v>
      </c>
      <c r="DK386" s="9" t="n">
        <v>0</v>
      </c>
      <c r="DL386" s="9" t="n">
        <v>18782.29999999998</v>
      </c>
      <c r="DP386" s="10" t="n">
        <v>46352</v>
      </c>
      <c r="DR386" s="9" t="n">
        <v>0</v>
      </c>
      <c r="DT386" s="9" t="n">
        <v>0</v>
      </c>
      <c r="DU386" s="9" t="n">
        <v>5800</v>
      </c>
      <c r="DY386" s="10" t="n">
        <v>46352</v>
      </c>
      <c r="EA386" s="9" t="n">
        <v>0</v>
      </c>
      <c r="EC386" s="9" t="n">
        <v>0</v>
      </c>
      <c r="ED386" s="9" t="n">
        <v>0</v>
      </c>
      <c r="EH386" s="10" t="n">
        <v>46352</v>
      </c>
      <c r="EJ386" s="9" t="n">
        <v>0</v>
      </c>
      <c r="EL386" s="9" t="n">
        <v>0</v>
      </c>
      <c r="EM386" s="9" t="n">
        <v>0</v>
      </c>
      <c r="EQ386" s="10" t="n">
        <v>46352</v>
      </c>
      <c r="ES386" s="9" t="n">
        <v>0</v>
      </c>
      <c r="EU386" s="9" t="n">
        <v>0</v>
      </c>
      <c r="EV386" s="9" t="n">
        <v>0</v>
      </c>
      <c r="EZ386" s="10" t="n">
        <v>46352</v>
      </c>
      <c r="FB386" s="9" t="n">
        <v>0</v>
      </c>
      <c r="FD386" s="9" t="n">
        <v>0</v>
      </c>
      <c r="FE386" s="9" t="n">
        <v>0</v>
      </c>
      <c r="FI386" s="10" t="n">
        <v>46352</v>
      </c>
      <c r="FK386" s="9" t="n">
        <v>0</v>
      </c>
      <c r="FM386" s="9" t="n">
        <v>0</v>
      </c>
      <c r="FN386" s="9" t="n">
        <v>0</v>
      </c>
      <c r="FR386" s="10" t="n">
        <v>46352</v>
      </c>
      <c r="FT386" s="9" t="n">
        <v>0</v>
      </c>
      <c r="FV386" s="9" t="n">
        <v>0</v>
      </c>
      <c r="FW386" s="9" t="n">
        <v>2020</v>
      </c>
      <c r="GA386" s="10" t="n">
        <v>46352</v>
      </c>
      <c r="GC386" s="9" t="n">
        <v>0</v>
      </c>
      <c r="GE386" s="9" t="n">
        <v>0</v>
      </c>
      <c r="GF386" s="9" t="n">
        <v>960</v>
      </c>
      <c r="GJ386" s="10" t="n">
        <v>46352</v>
      </c>
      <c r="GL386" s="9" t="n">
        <v>0</v>
      </c>
      <c r="GN386" s="9" t="n">
        <v>0</v>
      </c>
      <c r="GO386" s="9" t="n">
        <v>1760</v>
      </c>
      <c r="GS386" s="10" t="n">
        <v>46352</v>
      </c>
      <c r="GU386" s="9" t="n">
        <v>0</v>
      </c>
      <c r="GW386" s="9" t="n">
        <v>0</v>
      </c>
      <c r="GX386" s="9" t="n">
        <v>400</v>
      </c>
      <c r="HB386" s="10" t="n">
        <v>46352</v>
      </c>
      <c r="HD386" s="9" t="n">
        <v>0</v>
      </c>
      <c r="HF386" s="9" t="n">
        <v>0</v>
      </c>
      <c r="HG386" s="9" t="n">
        <v>3600</v>
      </c>
      <c r="HK386" s="10" t="n">
        <v>46352</v>
      </c>
      <c r="HM386" s="9" t="n">
        <v>0</v>
      </c>
      <c r="HO386" s="9" t="n">
        <v>0</v>
      </c>
      <c r="HP386" s="9" t="n">
        <v>0</v>
      </c>
      <c r="HU386" s="10" t="n">
        <v>46352</v>
      </c>
      <c r="HW386" s="9" t="n">
        <v>0</v>
      </c>
      <c r="HY386" s="9" t="n">
        <v>0</v>
      </c>
      <c r="HZ386" s="9" t="n">
        <v>6120</v>
      </c>
      <c r="ID386" s="10" t="n">
        <v>46352</v>
      </c>
      <c r="IF386" s="9" t="n">
        <v>0</v>
      </c>
      <c r="IH386" s="9" t="n">
        <v>0</v>
      </c>
      <c r="II386" s="9" t="n">
        <v>0</v>
      </c>
      <c r="IM386" s="10" t="n">
        <v>46352</v>
      </c>
      <c r="IO386" s="9" t="n">
        <v>0</v>
      </c>
      <c r="IQ386" s="9" t="n">
        <v>0</v>
      </c>
      <c r="IR386" s="9" t="n">
        <v>0</v>
      </c>
      <c r="IV386" s="10" t="n">
        <v>46352</v>
      </c>
      <c r="IX386" s="9" t="n">
        <v>0</v>
      </c>
      <c r="IZ386" s="9" t="n">
        <v>0</v>
      </c>
      <c r="JA386" s="9" t="n">
        <v>2820</v>
      </c>
      <c r="JE386" s="10" t="n">
        <v>46352</v>
      </c>
      <c r="JG386" s="9" t="n">
        <v>0</v>
      </c>
      <c r="JI386" s="9" t="n">
        <v>0</v>
      </c>
      <c r="JJ386" s="9" t="n">
        <v>0</v>
      </c>
      <c r="JN386" s="10" t="n">
        <v>46352</v>
      </c>
      <c r="JP386" s="9" t="n">
        <v>0</v>
      </c>
      <c r="JR386" s="9" t="n">
        <v>0</v>
      </c>
      <c r="JS386" s="9" t="n">
        <v>0</v>
      </c>
      <c r="JW386" s="10" t="n">
        <v>46352</v>
      </c>
      <c r="JY386" s="9" t="n">
        <v>0</v>
      </c>
      <c r="KA386" s="9" t="n">
        <v>0</v>
      </c>
      <c r="KB386" s="9" t="n">
        <v>2540</v>
      </c>
      <c r="KF386" s="10" t="n">
        <v>46352</v>
      </c>
      <c r="KH386" s="9" t="n">
        <v>0</v>
      </c>
      <c r="KJ386" s="9" t="n">
        <v>0</v>
      </c>
      <c r="KK386" s="9" t="n">
        <v>2359.5</v>
      </c>
      <c r="KO386" s="10" t="n">
        <v>46352</v>
      </c>
      <c r="KQ386" s="9" t="n">
        <v>0</v>
      </c>
      <c r="KS386" s="9" t="n">
        <v>0</v>
      </c>
      <c r="KT386" s="9" t="n">
        <v>1890</v>
      </c>
      <c r="KX386" s="10" t="n">
        <v>46352</v>
      </c>
      <c r="KZ386" s="9" t="n">
        <v>0</v>
      </c>
      <c r="LB386" s="9" t="n">
        <v>0</v>
      </c>
      <c r="LC386" s="9" t="n">
        <v>3690</v>
      </c>
      <c r="LG386" s="10" t="n">
        <v>46352</v>
      </c>
      <c r="LI386" s="9" t="n">
        <v>0</v>
      </c>
      <c r="LK386" s="9" t="n">
        <v>0</v>
      </c>
      <c r="LL386" s="9" t="n">
        <v>4000</v>
      </c>
      <c r="LP386" s="10" t="n">
        <v>46352</v>
      </c>
      <c r="LR386" s="9" t="n">
        <v>0</v>
      </c>
      <c r="LT386" s="9" t="n">
        <v>0</v>
      </c>
      <c r="LU386" s="9" t="n">
        <v>0</v>
      </c>
      <c r="LY386" s="10" t="n">
        <v>46352</v>
      </c>
      <c r="MA386" s="9" t="n">
        <v>0</v>
      </c>
      <c r="MC386" s="9" t="n">
        <v>0</v>
      </c>
      <c r="MD386" s="9" t="n">
        <v>0</v>
      </c>
      <c r="MH386" s="10" t="n">
        <v>46352</v>
      </c>
      <c r="MJ386" s="9" t="n">
        <v>0</v>
      </c>
      <c r="ML386" s="9" t="n">
        <v>0</v>
      </c>
      <c r="MM386" s="9" t="n">
        <v>0</v>
      </c>
      <c r="MQ386" s="10" t="n">
        <v>46352</v>
      </c>
      <c r="MS386" s="9" t="n">
        <v>0</v>
      </c>
      <c r="MU386" s="9" t="n">
        <v>0</v>
      </c>
      <c r="MV386" s="9" t="n">
        <v>1625</v>
      </c>
      <c r="MZ386" s="10" t="n">
        <v>46352</v>
      </c>
      <c r="NB386" s="9" t="n">
        <v>0</v>
      </c>
      <c r="ND386" s="9" t="n">
        <v>0</v>
      </c>
      <c r="NE386" s="9" t="n">
        <v>0</v>
      </c>
      <c r="NI386" s="10" t="n">
        <v>46352</v>
      </c>
      <c r="NK386" s="9" t="n">
        <v>0</v>
      </c>
      <c r="NM386" s="9" t="n">
        <v>0</v>
      </c>
      <c r="NN386" s="9" t="n">
        <v>1127</v>
      </c>
      <c r="NR386" s="10" t="n">
        <v>46352</v>
      </c>
      <c r="NT386" s="9" t="n">
        <v>0</v>
      </c>
      <c r="NV386" s="9" t="n">
        <v>0</v>
      </c>
      <c r="NW386" s="9" t="n">
        <v>3112</v>
      </c>
      <c r="OA386" s="10" t="n">
        <v>46352</v>
      </c>
      <c r="OC386" s="9" t="n">
        <v>0</v>
      </c>
      <c r="OE386" s="9" t="n">
        <v>0</v>
      </c>
      <c r="OF386" s="9" t="n">
        <v>1680.5</v>
      </c>
      <c r="OJ386" s="10" t="n">
        <v>46352</v>
      </c>
      <c r="OL386" s="9" t="n">
        <v>0</v>
      </c>
      <c r="ON386" s="9" t="n">
        <v>0</v>
      </c>
      <c r="OO386" s="9" t="n">
        <v>0</v>
      </c>
      <c r="OS386" s="10" t="n">
        <v>46352</v>
      </c>
      <c r="OU386" s="9" t="n">
        <v>0</v>
      </c>
      <c r="OW386" s="9" t="n">
        <v>0</v>
      </c>
      <c r="OX386" s="9" t="n">
        <v>1482</v>
      </c>
      <c r="PB386" s="10" t="n">
        <v>46352</v>
      </c>
      <c r="PD386" s="9" t="n">
        <v>0</v>
      </c>
      <c r="PF386" s="9" t="n">
        <v>0</v>
      </c>
      <c r="PG386" s="9" t="n">
        <v>0</v>
      </c>
      <c r="PK386" s="10" t="n">
        <v>46352</v>
      </c>
      <c r="PM386" s="9" t="n">
        <v>0</v>
      </c>
      <c r="PO386" s="9" t="n">
        <v>0</v>
      </c>
      <c r="PP386" s="9" t="n">
        <v>100</v>
      </c>
      <c r="PT386" s="10" t="n">
        <v>46352</v>
      </c>
      <c r="PV386" s="9" t="n">
        <v>0</v>
      </c>
      <c r="PX386" s="9" t="n">
        <v>0</v>
      </c>
      <c r="PY386" s="9" t="n">
        <v>13.96000000000004</v>
      </c>
      <c r="QC386" s="10" t="n">
        <v>46352</v>
      </c>
      <c r="QE386" s="9" t="n">
        <v>0</v>
      </c>
      <c r="QG386" s="9" t="n">
        <v>0</v>
      </c>
      <c r="QH386" s="9" t="n">
        <v>548</v>
      </c>
      <c r="QL386" s="10" t="n">
        <v>46352</v>
      </c>
      <c r="QN386" s="9" t="n">
        <v>0</v>
      </c>
      <c r="QP386" s="9" t="n">
        <v>0</v>
      </c>
      <c r="QQ386" s="9" t="n">
        <v>0</v>
      </c>
      <c r="QU386" s="10" t="n">
        <v>46352</v>
      </c>
      <c r="QW386" s="9" t="n">
        <v>0</v>
      </c>
      <c r="QY386" s="9" t="n">
        <v>0</v>
      </c>
      <c r="QZ386" s="9" t="n">
        <v>0</v>
      </c>
      <c r="RD386" s="10" t="n">
        <v>46352</v>
      </c>
      <c r="RF386" s="9" t="n">
        <v>0</v>
      </c>
      <c r="RH386" s="9" t="n">
        <v>0</v>
      </c>
      <c r="RI386" s="9" t="n">
        <v>147.04</v>
      </c>
      <c r="RM386" s="10" t="n">
        <v>46352</v>
      </c>
      <c r="RO386" s="9" t="n">
        <v>0</v>
      </c>
      <c r="RQ386" s="9" t="n">
        <v>0</v>
      </c>
      <c r="RR386" s="9" t="n">
        <v>46.8</v>
      </c>
      <c r="RV386" s="10" t="n">
        <v>46352</v>
      </c>
      <c r="RX386" s="9" t="n">
        <v>0</v>
      </c>
      <c r="RZ386" s="9" t="n">
        <v>0</v>
      </c>
      <c r="SA386" s="9" t="n">
        <v>0</v>
      </c>
      <c r="SE386" s="10" t="n">
        <v>46352</v>
      </c>
      <c r="SG386" s="9" t="n">
        <v>0</v>
      </c>
      <c r="SI386" s="9" t="n">
        <v>0</v>
      </c>
      <c r="SJ386" s="9" t="n">
        <v>24.2</v>
      </c>
      <c r="SN386" s="10" t="n">
        <v>46352</v>
      </c>
      <c r="SP386" s="9" t="n">
        <v>0</v>
      </c>
      <c r="SR386" s="9" t="n">
        <v>0</v>
      </c>
      <c r="SS386" s="9" t="n">
        <v>32</v>
      </c>
      <c r="SW386" s="10" t="n">
        <v>46352</v>
      </c>
      <c r="SY386" s="9" t="n">
        <v>0</v>
      </c>
      <c r="TA386" s="9" t="n">
        <v>0</v>
      </c>
      <c r="TB386" s="9" t="n">
        <v>0</v>
      </c>
      <c r="TF386" s="10" t="n">
        <v>46352</v>
      </c>
      <c r="TH386" s="9" t="n">
        <v>0</v>
      </c>
      <c r="TJ386" s="9" t="n">
        <v>0</v>
      </c>
      <c r="TK386" s="9" t="n">
        <v>0</v>
      </c>
      <c r="TO386" s="10" t="n">
        <v>46352</v>
      </c>
      <c r="TQ386" s="9" t="n">
        <v>0</v>
      </c>
      <c r="TS386" s="9" t="n">
        <v>0</v>
      </c>
      <c r="TT386" s="9" t="n">
        <v>0</v>
      </c>
      <c r="TX386" s="10" t="n">
        <v>46352</v>
      </c>
      <c r="TZ386" s="9" t="n">
        <v>0</v>
      </c>
      <c r="UB386" s="9" t="n">
        <v>0</v>
      </c>
      <c r="UC386" s="9" t="n">
        <v>46.79999999999998</v>
      </c>
      <c r="UG386" s="10" t="n">
        <v>46352</v>
      </c>
      <c r="UI386" s="9" t="n">
        <v>0</v>
      </c>
      <c r="UK386" s="9" t="n">
        <v>0</v>
      </c>
      <c r="UL386" s="9" t="n">
        <v>204</v>
      </c>
      <c r="UP386" s="10" t="n">
        <v>46352</v>
      </c>
      <c r="UR386" s="9" t="n">
        <v>0</v>
      </c>
      <c r="UT386" s="9" t="n">
        <v>0</v>
      </c>
      <c r="UU386" s="9" t="n">
        <v>202.5</v>
      </c>
      <c r="UY386" s="10" t="n">
        <v>46352</v>
      </c>
      <c r="VA386" s="9" t="n">
        <v>0</v>
      </c>
      <c r="VC386" s="9" t="n">
        <v>0</v>
      </c>
      <c r="VD386" s="9" t="n">
        <v>41.60000000000002</v>
      </c>
      <c r="VH386" s="10" t="n">
        <v>46352</v>
      </c>
      <c r="VJ386" s="9" t="n">
        <v>0</v>
      </c>
      <c r="VL386" s="9" t="n">
        <v>0</v>
      </c>
      <c r="VM386" s="9" t="n">
        <v>210</v>
      </c>
      <c r="VQ386" s="10" t="n">
        <v>46352</v>
      </c>
      <c r="VS386" s="9" t="n">
        <v>0</v>
      </c>
      <c r="VU386" s="9" t="n">
        <v>0</v>
      </c>
      <c r="VV386" s="9" t="n">
        <v>0</v>
      </c>
      <c r="VZ386" s="10" t="n">
        <v>46352</v>
      </c>
      <c r="WB386" s="9" t="n">
        <v>0</v>
      </c>
      <c r="WD386" s="9" t="n">
        <v>0</v>
      </c>
      <c r="WE386" s="9" t="n">
        <v>0</v>
      </c>
      <c r="WI386" s="10" t="n">
        <v>46352</v>
      </c>
      <c r="WK386" s="9" t="n">
        <v>0</v>
      </c>
      <c r="WM386" s="9" t="n">
        <v>0</v>
      </c>
      <c r="WN386" s="9" t="n">
        <v>1057</v>
      </c>
      <c r="WR386" s="10" t="n">
        <v>46352</v>
      </c>
      <c r="WT386" s="9" t="n">
        <v>0</v>
      </c>
      <c r="WV386" s="9" t="n">
        <v>0</v>
      </c>
      <c r="WW386" s="9" t="n">
        <v>0</v>
      </c>
      <c r="XA386" s="10" t="n">
        <v>46352</v>
      </c>
      <c r="XC386" s="9" t="n">
        <v>0</v>
      </c>
      <c r="XE386" s="9" t="n">
        <v>0</v>
      </c>
      <c r="XF386" s="9" t="n">
        <v>7507</v>
      </c>
      <c r="XJ386" s="10" t="n">
        <v>46352</v>
      </c>
      <c r="XL386" s="9" t="n">
        <v>0</v>
      </c>
      <c r="XN386" s="9" t="n">
        <v>0</v>
      </c>
      <c r="XO386" s="9" t="n">
        <v>4252</v>
      </c>
      <c r="XS386" s="10" t="n">
        <v>46352</v>
      </c>
      <c r="XU386" s="9" t="n">
        <v>0</v>
      </c>
      <c r="XW386" s="9" t="n">
        <v>0</v>
      </c>
      <c r="XX386" s="9" t="n">
        <v>2179</v>
      </c>
      <c r="YB386" s="10" t="n">
        <v>46352</v>
      </c>
      <c r="YD386" s="9" t="n">
        <v>0</v>
      </c>
      <c r="YF386" s="9" t="n">
        <v>0</v>
      </c>
      <c r="YG386" s="9" t="n">
        <v>4019</v>
      </c>
      <c r="YK386" s="10" t="n">
        <v>46352</v>
      </c>
      <c r="YM386" s="9" t="n">
        <v>0</v>
      </c>
      <c r="YO386" s="9" t="n">
        <v>0</v>
      </c>
      <c r="YP386" s="9" t="n">
        <v>-218</v>
      </c>
      <c r="YT386" s="10" t="n">
        <v>46352</v>
      </c>
      <c r="YV386" s="9" t="n">
        <v>0</v>
      </c>
      <c r="YX386" s="9" t="n">
        <v>0</v>
      </c>
      <c r="YY386" s="9" t="n">
        <v>0</v>
      </c>
      <c r="ZC386" s="10" t="n">
        <v>46352</v>
      </c>
      <c r="ZE386" s="9" t="n">
        <v>0</v>
      </c>
      <c r="ZG386" s="9" t="n">
        <v>0</v>
      </c>
      <c r="ZH386" s="9" t="n">
        <v>0</v>
      </c>
      <c r="ZL386" s="10" t="n">
        <v>46352</v>
      </c>
      <c r="ZN386" s="9" t="n">
        <v>0</v>
      </c>
      <c r="ZP386" s="9" t="n">
        <v>0</v>
      </c>
      <c r="ZQ386" s="9" t="n">
        <v>0</v>
      </c>
      <c r="ZU386" s="10" t="n">
        <v>46352</v>
      </c>
      <c r="ZW386" s="9" t="n">
        <v>0</v>
      </c>
      <c r="ZY386" s="9" t="n">
        <v>0</v>
      </c>
      <c r="ZZ386" s="9" t="n">
        <v>0</v>
      </c>
      <c r="AAD386" s="10" t="n">
        <v>46352</v>
      </c>
      <c r="AAF386" s="9" t="n">
        <v>0</v>
      </c>
      <c r="AAH386" s="9" t="n">
        <v>0</v>
      </c>
      <c r="AAI386" s="9" t="n">
        <v>0</v>
      </c>
      <c r="AAM386" s="10" t="n">
        <v>46352</v>
      </c>
      <c r="AAO386" s="9" t="n">
        <v>0</v>
      </c>
      <c r="AAQ386" s="9" t="n">
        <v>0</v>
      </c>
      <c r="AAR386" s="9" t="n">
        <v>0</v>
      </c>
      <c r="AAV386" s="10" t="n">
        <v>46352</v>
      </c>
      <c r="AAX386" s="9" t="n">
        <v>0</v>
      </c>
      <c r="AAZ386" s="9" t="n">
        <v>0</v>
      </c>
      <c r="ABA386" s="9" t="n">
        <v>0</v>
      </c>
      <c r="ABE386" s="10" t="n">
        <v>46352</v>
      </c>
      <c r="ABG386" s="9" t="n">
        <v>0</v>
      </c>
      <c r="ABI386" s="9" t="n">
        <v>0</v>
      </c>
      <c r="ABJ386" s="9" t="n">
        <v>0</v>
      </c>
    </row>
    <row r="387">
      <c r="C387" s="10" t="n">
        <v>46353</v>
      </c>
      <c r="E387" s="9" t="n">
        <v>0</v>
      </c>
      <c r="G387" s="9" t="n">
        <v>0</v>
      </c>
      <c r="H387" s="9" t="n">
        <v>236936.6</v>
      </c>
      <c r="L387" s="10" t="n">
        <v>46353</v>
      </c>
      <c r="N387" s="9" t="n">
        <v>0</v>
      </c>
      <c r="P387" s="9" t="n">
        <v>0</v>
      </c>
      <c r="Q387" s="9" t="n">
        <v>53017.60000000007</v>
      </c>
      <c r="U387" s="10" t="n">
        <v>46353</v>
      </c>
      <c r="W387" s="9" t="n">
        <v>0</v>
      </c>
      <c r="Y387" s="9" t="n">
        <v>0</v>
      </c>
      <c r="Z387" s="9" t="n">
        <v>42674.19999999997</v>
      </c>
      <c r="AD387" s="10" t="n">
        <v>46353</v>
      </c>
      <c r="AF387" s="9" t="n">
        <v>0</v>
      </c>
      <c r="AH387" s="9" t="n">
        <v>0</v>
      </c>
      <c r="AI387" s="9" t="n">
        <v>4522.200000000019</v>
      </c>
      <c r="AM387" s="10" t="n">
        <v>46353</v>
      </c>
      <c r="AO387" s="9" t="n">
        <v>0</v>
      </c>
      <c r="AQ387" s="9" t="n">
        <v>0</v>
      </c>
      <c r="AR387" s="9" t="n">
        <v>0</v>
      </c>
      <c r="AV387" s="10" t="n">
        <v>46353</v>
      </c>
      <c r="AX387" s="9" t="n">
        <v>0</v>
      </c>
      <c r="AZ387" s="9" t="n">
        <v>0</v>
      </c>
      <c r="BA387" s="9" t="n">
        <v>124.9999999999952</v>
      </c>
      <c r="BE387" s="10" t="n">
        <v>46353</v>
      </c>
      <c r="BG387" s="9" t="n">
        <v>0</v>
      </c>
      <c r="BI387" s="9" t="n">
        <v>0</v>
      </c>
      <c r="BJ387" s="9" t="n">
        <v>26151.9</v>
      </c>
      <c r="BN387" s="10" t="n">
        <v>46353</v>
      </c>
      <c r="BP387" s="9" t="n">
        <v>0</v>
      </c>
      <c r="BR387" s="9" t="n">
        <v>0</v>
      </c>
      <c r="BS387" s="9" t="n">
        <v>0</v>
      </c>
      <c r="BW387" s="10" t="n">
        <v>46353</v>
      </c>
      <c r="BY387" s="9" t="n">
        <v>0</v>
      </c>
      <c r="CA387" s="9" t="n">
        <v>0</v>
      </c>
      <c r="CB387" s="9" t="n">
        <v>2097.339999999999</v>
      </c>
      <c r="CF387" s="10" t="n">
        <v>46353</v>
      </c>
      <c r="CH387" s="9" t="n">
        <v>0</v>
      </c>
      <c r="CJ387" s="9" t="n">
        <v>0</v>
      </c>
      <c r="CK387" s="9" t="n">
        <v>-10277.08</v>
      </c>
      <c r="CO387" s="10" t="n">
        <v>46353</v>
      </c>
      <c r="CQ387" s="9" t="n">
        <v>0</v>
      </c>
      <c r="CS387" s="9" t="n">
        <v>0</v>
      </c>
      <c r="CT387" s="9" t="n">
        <v>0</v>
      </c>
      <c r="CX387" s="10" t="n">
        <v>46353</v>
      </c>
      <c r="CZ387" s="9" t="n">
        <v>0</v>
      </c>
      <c r="DB387" s="9" t="n">
        <v>0</v>
      </c>
      <c r="DC387" s="9" t="n">
        <v>27438.20000000001</v>
      </c>
      <c r="DG387" s="10" t="n">
        <v>46353</v>
      </c>
      <c r="DI387" s="9" t="n">
        <v>0</v>
      </c>
      <c r="DK387" s="9" t="n">
        <v>0</v>
      </c>
      <c r="DL387" s="9" t="n">
        <v>18782.29999999998</v>
      </c>
      <c r="DP387" s="10" t="n">
        <v>46353</v>
      </c>
      <c r="DR387" s="9" t="n">
        <v>0</v>
      </c>
      <c r="DT387" s="9" t="n">
        <v>0</v>
      </c>
      <c r="DU387" s="9" t="n">
        <v>5800</v>
      </c>
      <c r="DY387" s="10" t="n">
        <v>46353</v>
      </c>
      <c r="EA387" s="9" t="n">
        <v>0</v>
      </c>
      <c r="EC387" s="9" t="n">
        <v>0</v>
      </c>
      <c r="ED387" s="9" t="n">
        <v>0</v>
      </c>
      <c r="EH387" s="10" t="n">
        <v>46353</v>
      </c>
      <c r="EJ387" s="9" t="n">
        <v>0</v>
      </c>
      <c r="EL387" s="9" t="n">
        <v>0</v>
      </c>
      <c r="EM387" s="9" t="n">
        <v>0</v>
      </c>
      <c r="EQ387" s="10" t="n">
        <v>46353</v>
      </c>
      <c r="ES387" s="9" t="n">
        <v>0</v>
      </c>
      <c r="EU387" s="9" t="n">
        <v>0</v>
      </c>
      <c r="EV387" s="9" t="n">
        <v>0</v>
      </c>
      <c r="EZ387" s="10" t="n">
        <v>46353</v>
      </c>
      <c r="FB387" s="9" t="n">
        <v>0</v>
      </c>
      <c r="FD387" s="9" t="n">
        <v>0</v>
      </c>
      <c r="FE387" s="9" t="n">
        <v>0</v>
      </c>
      <c r="FI387" s="10" t="n">
        <v>46353</v>
      </c>
      <c r="FK387" s="9" t="n">
        <v>0</v>
      </c>
      <c r="FM387" s="9" t="n">
        <v>0</v>
      </c>
      <c r="FN387" s="9" t="n">
        <v>0</v>
      </c>
      <c r="FR387" s="10" t="n">
        <v>46353</v>
      </c>
      <c r="FT387" s="9" t="n">
        <v>0</v>
      </c>
      <c r="FV387" s="9" t="n">
        <v>0</v>
      </c>
      <c r="FW387" s="9" t="n">
        <v>2020</v>
      </c>
      <c r="GA387" s="10" t="n">
        <v>46353</v>
      </c>
      <c r="GC387" s="9" t="n">
        <v>0</v>
      </c>
      <c r="GE387" s="9" t="n">
        <v>0</v>
      </c>
      <c r="GF387" s="9" t="n">
        <v>960</v>
      </c>
      <c r="GJ387" s="10" t="n">
        <v>46353</v>
      </c>
      <c r="GL387" s="9" t="n">
        <v>0</v>
      </c>
      <c r="GN387" s="9" t="n">
        <v>0</v>
      </c>
      <c r="GO387" s="9" t="n">
        <v>1760</v>
      </c>
      <c r="GS387" s="10" t="n">
        <v>46353</v>
      </c>
      <c r="GU387" s="9" t="n">
        <v>0</v>
      </c>
      <c r="GW387" s="9" t="n">
        <v>0</v>
      </c>
      <c r="GX387" s="9" t="n">
        <v>400</v>
      </c>
      <c r="HB387" s="10" t="n">
        <v>46353</v>
      </c>
      <c r="HD387" s="9" t="n">
        <v>0</v>
      </c>
      <c r="HF387" s="9" t="n">
        <v>0</v>
      </c>
      <c r="HG387" s="9" t="n">
        <v>3600</v>
      </c>
      <c r="HK387" s="10" t="n">
        <v>46353</v>
      </c>
      <c r="HM387" s="9" t="n">
        <v>0</v>
      </c>
      <c r="HO387" s="9" t="n">
        <v>0</v>
      </c>
      <c r="HP387" s="9" t="n">
        <v>0</v>
      </c>
      <c r="HU387" s="10" t="n">
        <v>46353</v>
      </c>
      <c r="HW387" s="9" t="n">
        <v>0</v>
      </c>
      <c r="HY387" s="9" t="n">
        <v>0</v>
      </c>
      <c r="HZ387" s="9" t="n">
        <v>6120</v>
      </c>
      <c r="ID387" s="10" t="n">
        <v>46353</v>
      </c>
      <c r="IF387" s="9" t="n">
        <v>0</v>
      </c>
      <c r="IH387" s="9" t="n">
        <v>0</v>
      </c>
      <c r="II387" s="9" t="n">
        <v>0</v>
      </c>
      <c r="IM387" s="10" t="n">
        <v>46353</v>
      </c>
      <c r="IO387" s="9" t="n">
        <v>0</v>
      </c>
      <c r="IQ387" s="9" t="n">
        <v>0</v>
      </c>
      <c r="IR387" s="9" t="n">
        <v>0</v>
      </c>
      <c r="IV387" s="10" t="n">
        <v>46353</v>
      </c>
      <c r="IX387" s="9" t="n">
        <v>0</v>
      </c>
      <c r="IZ387" s="9" t="n">
        <v>0</v>
      </c>
      <c r="JA387" s="9" t="n">
        <v>2820</v>
      </c>
      <c r="JE387" s="10" t="n">
        <v>46353</v>
      </c>
      <c r="JG387" s="9" t="n">
        <v>0</v>
      </c>
      <c r="JI387" s="9" t="n">
        <v>0</v>
      </c>
      <c r="JJ387" s="9" t="n">
        <v>0</v>
      </c>
      <c r="JN387" s="10" t="n">
        <v>46353</v>
      </c>
      <c r="JP387" s="9" t="n">
        <v>0</v>
      </c>
      <c r="JR387" s="9" t="n">
        <v>0</v>
      </c>
      <c r="JS387" s="9" t="n">
        <v>0</v>
      </c>
      <c r="JW387" s="10" t="n">
        <v>46353</v>
      </c>
      <c r="JY387" s="9" t="n">
        <v>0</v>
      </c>
      <c r="KA387" s="9" t="n">
        <v>0</v>
      </c>
      <c r="KB387" s="9" t="n">
        <v>2540</v>
      </c>
      <c r="KF387" s="10" t="n">
        <v>46353</v>
      </c>
      <c r="KH387" s="9" t="n">
        <v>0</v>
      </c>
      <c r="KJ387" s="9" t="n">
        <v>0</v>
      </c>
      <c r="KK387" s="9" t="n">
        <v>2359.5</v>
      </c>
      <c r="KO387" s="10" t="n">
        <v>46353</v>
      </c>
      <c r="KQ387" s="9" t="n">
        <v>0</v>
      </c>
      <c r="KS387" s="9" t="n">
        <v>0</v>
      </c>
      <c r="KT387" s="9" t="n">
        <v>1890</v>
      </c>
      <c r="KX387" s="10" t="n">
        <v>46353</v>
      </c>
      <c r="KZ387" s="9" t="n">
        <v>0</v>
      </c>
      <c r="LB387" s="9" t="n">
        <v>0</v>
      </c>
      <c r="LC387" s="9" t="n">
        <v>3690</v>
      </c>
      <c r="LG387" s="10" t="n">
        <v>46353</v>
      </c>
      <c r="LI387" s="9" t="n">
        <v>0</v>
      </c>
      <c r="LK387" s="9" t="n">
        <v>0</v>
      </c>
      <c r="LL387" s="9" t="n">
        <v>4000</v>
      </c>
      <c r="LP387" s="10" t="n">
        <v>46353</v>
      </c>
      <c r="LR387" s="9" t="n">
        <v>0</v>
      </c>
      <c r="LT387" s="9" t="n">
        <v>0</v>
      </c>
      <c r="LU387" s="9" t="n">
        <v>0</v>
      </c>
      <c r="LY387" s="10" t="n">
        <v>46353</v>
      </c>
      <c r="MA387" s="9" t="n">
        <v>0</v>
      </c>
      <c r="MC387" s="9" t="n">
        <v>0</v>
      </c>
      <c r="MD387" s="9" t="n">
        <v>0</v>
      </c>
      <c r="MH387" s="10" t="n">
        <v>46353</v>
      </c>
      <c r="MJ387" s="9" t="n">
        <v>0</v>
      </c>
      <c r="ML387" s="9" t="n">
        <v>0</v>
      </c>
      <c r="MM387" s="9" t="n">
        <v>0</v>
      </c>
      <c r="MQ387" s="10" t="n">
        <v>46353</v>
      </c>
      <c r="MS387" s="9" t="n">
        <v>0</v>
      </c>
      <c r="MU387" s="9" t="n">
        <v>0</v>
      </c>
      <c r="MV387" s="9" t="n">
        <v>1625</v>
      </c>
      <c r="MZ387" s="10" t="n">
        <v>46353</v>
      </c>
      <c r="NB387" s="9" t="n">
        <v>0</v>
      </c>
      <c r="ND387" s="9" t="n">
        <v>0</v>
      </c>
      <c r="NE387" s="9" t="n">
        <v>0</v>
      </c>
      <c r="NI387" s="10" t="n">
        <v>46353</v>
      </c>
      <c r="NK387" s="9" t="n">
        <v>0</v>
      </c>
      <c r="NM387" s="9" t="n">
        <v>0</v>
      </c>
      <c r="NN387" s="9" t="n">
        <v>1127</v>
      </c>
      <c r="NR387" s="10" t="n">
        <v>46353</v>
      </c>
      <c r="NT387" s="9" t="n">
        <v>0</v>
      </c>
      <c r="NV387" s="9" t="n">
        <v>0</v>
      </c>
      <c r="NW387" s="9" t="n">
        <v>3112</v>
      </c>
      <c r="OA387" s="10" t="n">
        <v>46353</v>
      </c>
      <c r="OC387" s="9" t="n">
        <v>0</v>
      </c>
      <c r="OE387" s="9" t="n">
        <v>0</v>
      </c>
      <c r="OF387" s="9" t="n">
        <v>1680.5</v>
      </c>
      <c r="OJ387" s="10" t="n">
        <v>46353</v>
      </c>
      <c r="OL387" s="9" t="n">
        <v>0</v>
      </c>
      <c r="ON387" s="9" t="n">
        <v>0</v>
      </c>
      <c r="OO387" s="9" t="n">
        <v>0</v>
      </c>
      <c r="OS387" s="10" t="n">
        <v>46353</v>
      </c>
      <c r="OU387" s="9" t="n">
        <v>0</v>
      </c>
      <c r="OW387" s="9" t="n">
        <v>0</v>
      </c>
      <c r="OX387" s="9" t="n">
        <v>1482</v>
      </c>
      <c r="PB387" s="10" t="n">
        <v>46353</v>
      </c>
      <c r="PD387" s="9" t="n">
        <v>0</v>
      </c>
      <c r="PF387" s="9" t="n">
        <v>0</v>
      </c>
      <c r="PG387" s="9" t="n">
        <v>0</v>
      </c>
      <c r="PK387" s="10" t="n">
        <v>46353</v>
      </c>
      <c r="PM387" s="9" t="n">
        <v>0</v>
      </c>
      <c r="PO387" s="9" t="n">
        <v>0</v>
      </c>
      <c r="PP387" s="9" t="n">
        <v>100</v>
      </c>
      <c r="PT387" s="10" t="n">
        <v>46353</v>
      </c>
      <c r="PV387" s="9" t="n">
        <v>0</v>
      </c>
      <c r="PX387" s="9" t="n">
        <v>0</v>
      </c>
      <c r="PY387" s="9" t="n">
        <v>13.96000000000004</v>
      </c>
      <c r="QC387" s="10" t="n">
        <v>46353</v>
      </c>
      <c r="QE387" s="9" t="n">
        <v>0</v>
      </c>
      <c r="QG387" s="9" t="n">
        <v>0</v>
      </c>
      <c r="QH387" s="9" t="n">
        <v>548</v>
      </c>
      <c r="QL387" s="10" t="n">
        <v>46353</v>
      </c>
      <c r="QN387" s="9" t="n">
        <v>0</v>
      </c>
      <c r="QP387" s="9" t="n">
        <v>0</v>
      </c>
      <c r="QQ387" s="9" t="n">
        <v>0</v>
      </c>
      <c r="QU387" s="10" t="n">
        <v>46353</v>
      </c>
      <c r="QW387" s="9" t="n">
        <v>0</v>
      </c>
      <c r="QY387" s="9" t="n">
        <v>0</v>
      </c>
      <c r="QZ387" s="9" t="n">
        <v>0</v>
      </c>
      <c r="RD387" s="10" t="n">
        <v>46353</v>
      </c>
      <c r="RF387" s="9" t="n">
        <v>0</v>
      </c>
      <c r="RH387" s="9" t="n">
        <v>0</v>
      </c>
      <c r="RI387" s="9" t="n">
        <v>147.04</v>
      </c>
      <c r="RM387" s="10" t="n">
        <v>46353</v>
      </c>
      <c r="RO387" s="9" t="n">
        <v>0</v>
      </c>
      <c r="RQ387" s="9" t="n">
        <v>0</v>
      </c>
      <c r="RR387" s="9" t="n">
        <v>46.8</v>
      </c>
      <c r="RV387" s="10" t="n">
        <v>46353</v>
      </c>
      <c r="RX387" s="9" t="n">
        <v>0</v>
      </c>
      <c r="RZ387" s="9" t="n">
        <v>0</v>
      </c>
      <c r="SA387" s="9" t="n">
        <v>0</v>
      </c>
      <c r="SE387" s="10" t="n">
        <v>46353</v>
      </c>
      <c r="SG387" s="9" t="n">
        <v>0</v>
      </c>
      <c r="SI387" s="9" t="n">
        <v>0</v>
      </c>
      <c r="SJ387" s="9" t="n">
        <v>24.2</v>
      </c>
      <c r="SN387" s="10" t="n">
        <v>46353</v>
      </c>
      <c r="SP387" s="9" t="n">
        <v>0</v>
      </c>
      <c r="SR387" s="9" t="n">
        <v>0</v>
      </c>
      <c r="SS387" s="9" t="n">
        <v>32</v>
      </c>
      <c r="SW387" s="10" t="n">
        <v>46353</v>
      </c>
      <c r="SY387" s="9" t="n">
        <v>0</v>
      </c>
      <c r="TA387" s="9" t="n">
        <v>0</v>
      </c>
      <c r="TB387" s="9" t="n">
        <v>0</v>
      </c>
      <c r="TF387" s="10" t="n">
        <v>46353</v>
      </c>
      <c r="TH387" s="9" t="n">
        <v>0</v>
      </c>
      <c r="TJ387" s="9" t="n">
        <v>0</v>
      </c>
      <c r="TK387" s="9" t="n">
        <v>0</v>
      </c>
      <c r="TO387" s="10" t="n">
        <v>46353</v>
      </c>
      <c r="TQ387" s="9" t="n">
        <v>0</v>
      </c>
      <c r="TS387" s="9" t="n">
        <v>0</v>
      </c>
      <c r="TT387" s="9" t="n">
        <v>0</v>
      </c>
      <c r="TX387" s="10" t="n">
        <v>46353</v>
      </c>
      <c r="TZ387" s="9" t="n">
        <v>0</v>
      </c>
      <c r="UB387" s="9" t="n">
        <v>0</v>
      </c>
      <c r="UC387" s="9" t="n">
        <v>46.79999999999998</v>
      </c>
      <c r="UG387" s="10" t="n">
        <v>46353</v>
      </c>
      <c r="UI387" s="9" t="n">
        <v>0</v>
      </c>
      <c r="UK387" s="9" t="n">
        <v>0</v>
      </c>
      <c r="UL387" s="9" t="n">
        <v>204</v>
      </c>
      <c r="UP387" s="10" t="n">
        <v>46353</v>
      </c>
      <c r="UR387" s="9" t="n">
        <v>0</v>
      </c>
      <c r="UT387" s="9" t="n">
        <v>0</v>
      </c>
      <c r="UU387" s="9" t="n">
        <v>202.5</v>
      </c>
      <c r="UY387" s="10" t="n">
        <v>46353</v>
      </c>
      <c r="VA387" s="9" t="n">
        <v>0</v>
      </c>
      <c r="VC387" s="9" t="n">
        <v>0</v>
      </c>
      <c r="VD387" s="9" t="n">
        <v>41.60000000000002</v>
      </c>
      <c r="VH387" s="10" t="n">
        <v>46353</v>
      </c>
      <c r="VJ387" s="9" t="n">
        <v>0</v>
      </c>
      <c r="VL387" s="9" t="n">
        <v>0</v>
      </c>
      <c r="VM387" s="9" t="n">
        <v>210</v>
      </c>
      <c r="VQ387" s="10" t="n">
        <v>46353</v>
      </c>
      <c r="VS387" s="9" t="n">
        <v>0</v>
      </c>
      <c r="VU387" s="9" t="n">
        <v>0</v>
      </c>
      <c r="VV387" s="9" t="n">
        <v>0</v>
      </c>
      <c r="VZ387" s="10" t="n">
        <v>46353</v>
      </c>
      <c r="WB387" s="9" t="n">
        <v>0</v>
      </c>
      <c r="WD387" s="9" t="n">
        <v>0</v>
      </c>
      <c r="WE387" s="9" t="n">
        <v>0</v>
      </c>
      <c r="WI387" s="10" t="n">
        <v>46353</v>
      </c>
      <c r="WK387" s="9" t="n">
        <v>0</v>
      </c>
      <c r="WM387" s="9" t="n">
        <v>0</v>
      </c>
      <c r="WN387" s="9" t="n">
        <v>1057</v>
      </c>
      <c r="WR387" s="10" t="n">
        <v>46353</v>
      </c>
      <c r="WT387" s="9" t="n">
        <v>0</v>
      </c>
      <c r="WV387" s="9" t="n">
        <v>0</v>
      </c>
      <c r="WW387" s="9" t="n">
        <v>0</v>
      </c>
      <c r="XA387" s="10" t="n">
        <v>46353</v>
      </c>
      <c r="XC387" s="9" t="n">
        <v>0</v>
      </c>
      <c r="XE387" s="9" t="n">
        <v>0</v>
      </c>
      <c r="XF387" s="9" t="n">
        <v>7507</v>
      </c>
      <c r="XJ387" s="10" t="n">
        <v>46353</v>
      </c>
      <c r="XL387" s="9" t="n">
        <v>0</v>
      </c>
      <c r="XN387" s="9" t="n">
        <v>0</v>
      </c>
      <c r="XO387" s="9" t="n">
        <v>4252</v>
      </c>
      <c r="XS387" s="10" t="n">
        <v>46353</v>
      </c>
      <c r="XU387" s="9" t="n">
        <v>0</v>
      </c>
      <c r="XW387" s="9" t="n">
        <v>0</v>
      </c>
      <c r="XX387" s="9" t="n">
        <v>2179</v>
      </c>
      <c r="YB387" s="10" t="n">
        <v>46353</v>
      </c>
      <c r="YD387" s="9" t="n">
        <v>0</v>
      </c>
      <c r="YF387" s="9" t="n">
        <v>0</v>
      </c>
      <c r="YG387" s="9" t="n">
        <v>4019</v>
      </c>
      <c r="YK387" s="10" t="n">
        <v>46353</v>
      </c>
      <c r="YM387" s="9" t="n">
        <v>0</v>
      </c>
      <c r="YO387" s="9" t="n">
        <v>0</v>
      </c>
      <c r="YP387" s="9" t="n">
        <v>-218</v>
      </c>
      <c r="YT387" s="10" t="n">
        <v>46353</v>
      </c>
      <c r="YV387" s="9" t="n">
        <v>0</v>
      </c>
      <c r="YX387" s="9" t="n">
        <v>0</v>
      </c>
      <c r="YY387" s="9" t="n">
        <v>0</v>
      </c>
      <c r="ZC387" s="10" t="n">
        <v>46353</v>
      </c>
      <c r="ZE387" s="9" t="n">
        <v>0</v>
      </c>
      <c r="ZG387" s="9" t="n">
        <v>0</v>
      </c>
      <c r="ZH387" s="9" t="n">
        <v>0</v>
      </c>
      <c r="ZL387" s="10" t="n">
        <v>46353</v>
      </c>
      <c r="ZN387" s="9" t="n">
        <v>0</v>
      </c>
      <c r="ZP387" s="9" t="n">
        <v>0</v>
      </c>
      <c r="ZQ387" s="9" t="n">
        <v>0</v>
      </c>
      <c r="ZU387" s="10" t="n">
        <v>46353</v>
      </c>
      <c r="ZW387" s="9" t="n">
        <v>0</v>
      </c>
      <c r="ZY387" s="9" t="n">
        <v>0</v>
      </c>
      <c r="ZZ387" s="9" t="n">
        <v>0</v>
      </c>
      <c r="AAD387" s="10" t="n">
        <v>46353</v>
      </c>
      <c r="AAF387" s="9" t="n">
        <v>0</v>
      </c>
      <c r="AAH387" s="9" t="n">
        <v>0</v>
      </c>
      <c r="AAI387" s="9" t="n">
        <v>0</v>
      </c>
      <c r="AAM387" s="10" t="n">
        <v>46353</v>
      </c>
      <c r="AAO387" s="9" t="n">
        <v>0</v>
      </c>
      <c r="AAQ387" s="9" t="n">
        <v>0</v>
      </c>
      <c r="AAR387" s="9" t="n">
        <v>0</v>
      </c>
      <c r="AAV387" s="10" t="n">
        <v>46353</v>
      </c>
      <c r="AAX387" s="9" t="n">
        <v>0</v>
      </c>
      <c r="AAZ387" s="9" t="n">
        <v>0</v>
      </c>
      <c r="ABA387" s="9" t="n">
        <v>0</v>
      </c>
      <c r="ABE387" s="10" t="n">
        <v>46353</v>
      </c>
      <c r="ABG387" s="9" t="n">
        <v>0</v>
      </c>
      <c r="ABI387" s="9" t="n">
        <v>0</v>
      </c>
      <c r="ABJ387" s="9" t="n">
        <v>0</v>
      </c>
    </row>
    <row r="388">
      <c r="C388" s="10" t="n">
        <v>46354</v>
      </c>
      <c r="E388" s="9" t="n">
        <v>0</v>
      </c>
      <c r="G388" s="9" t="n">
        <v>0</v>
      </c>
      <c r="H388" s="9" t="n">
        <v>236936.6</v>
      </c>
      <c r="L388" s="10" t="n">
        <v>46354</v>
      </c>
      <c r="N388" s="9" t="n">
        <v>0</v>
      </c>
      <c r="P388" s="9" t="n">
        <v>0</v>
      </c>
      <c r="Q388" s="9" t="n">
        <v>53017.60000000007</v>
      </c>
      <c r="U388" s="10" t="n">
        <v>46354</v>
      </c>
      <c r="W388" s="9" t="n">
        <v>0</v>
      </c>
      <c r="Y388" s="9" t="n">
        <v>0</v>
      </c>
      <c r="Z388" s="9" t="n">
        <v>42674.19999999997</v>
      </c>
      <c r="AD388" s="10" t="n">
        <v>46354</v>
      </c>
      <c r="AF388" s="9" t="n">
        <v>0</v>
      </c>
      <c r="AH388" s="9" t="n">
        <v>0</v>
      </c>
      <c r="AI388" s="9" t="n">
        <v>4522.200000000019</v>
      </c>
      <c r="AM388" s="10" t="n">
        <v>46354</v>
      </c>
      <c r="AO388" s="9" t="n">
        <v>0</v>
      </c>
      <c r="AQ388" s="9" t="n">
        <v>0</v>
      </c>
      <c r="AR388" s="9" t="n">
        <v>0</v>
      </c>
      <c r="AV388" s="10" t="n">
        <v>46354</v>
      </c>
      <c r="AX388" s="9" t="n">
        <v>0</v>
      </c>
      <c r="AZ388" s="9" t="n">
        <v>0</v>
      </c>
      <c r="BA388" s="9" t="n">
        <v>124.9999999999952</v>
      </c>
      <c r="BE388" s="10" t="n">
        <v>46354</v>
      </c>
      <c r="BG388" s="9" t="n">
        <v>0</v>
      </c>
      <c r="BI388" s="9" t="n">
        <v>0</v>
      </c>
      <c r="BJ388" s="9" t="n">
        <v>26151.9</v>
      </c>
      <c r="BN388" s="10" t="n">
        <v>46354</v>
      </c>
      <c r="BP388" s="9" t="n">
        <v>0</v>
      </c>
      <c r="BR388" s="9" t="n">
        <v>0</v>
      </c>
      <c r="BS388" s="9" t="n">
        <v>0</v>
      </c>
      <c r="BW388" s="10" t="n">
        <v>46354</v>
      </c>
      <c r="BY388" s="9" t="n">
        <v>0</v>
      </c>
      <c r="CA388" s="9" t="n">
        <v>0</v>
      </c>
      <c r="CB388" s="9" t="n">
        <v>2097.339999999999</v>
      </c>
      <c r="CF388" s="10" t="n">
        <v>46354</v>
      </c>
      <c r="CH388" s="9" t="n">
        <v>0</v>
      </c>
      <c r="CJ388" s="9" t="n">
        <v>0</v>
      </c>
      <c r="CK388" s="9" t="n">
        <v>-10277.08</v>
      </c>
      <c r="CO388" s="10" t="n">
        <v>46354</v>
      </c>
      <c r="CQ388" s="9" t="n">
        <v>0</v>
      </c>
      <c r="CS388" s="9" t="n">
        <v>0</v>
      </c>
      <c r="CT388" s="9" t="n">
        <v>0</v>
      </c>
      <c r="CX388" s="10" t="n">
        <v>46354</v>
      </c>
      <c r="CZ388" s="9" t="n">
        <v>0</v>
      </c>
      <c r="DB388" s="9" t="n">
        <v>0</v>
      </c>
      <c r="DC388" s="9" t="n">
        <v>27438.20000000001</v>
      </c>
      <c r="DG388" s="10" t="n">
        <v>46354</v>
      </c>
      <c r="DI388" s="9" t="n">
        <v>0</v>
      </c>
      <c r="DK388" s="9" t="n">
        <v>0</v>
      </c>
      <c r="DL388" s="9" t="n">
        <v>18782.29999999998</v>
      </c>
      <c r="DP388" s="10" t="n">
        <v>46354</v>
      </c>
      <c r="DR388" s="9" t="n">
        <v>0</v>
      </c>
      <c r="DT388" s="9" t="n">
        <v>0</v>
      </c>
      <c r="DU388" s="9" t="n">
        <v>5800</v>
      </c>
      <c r="DY388" s="10" t="n">
        <v>46354</v>
      </c>
      <c r="EA388" s="9" t="n">
        <v>0</v>
      </c>
      <c r="EC388" s="9" t="n">
        <v>0</v>
      </c>
      <c r="ED388" s="9" t="n">
        <v>0</v>
      </c>
      <c r="EH388" s="10" t="n">
        <v>46354</v>
      </c>
      <c r="EJ388" s="9" t="n">
        <v>0</v>
      </c>
      <c r="EL388" s="9" t="n">
        <v>0</v>
      </c>
      <c r="EM388" s="9" t="n">
        <v>0</v>
      </c>
      <c r="EQ388" s="10" t="n">
        <v>46354</v>
      </c>
      <c r="ES388" s="9" t="n">
        <v>0</v>
      </c>
      <c r="EU388" s="9" t="n">
        <v>0</v>
      </c>
      <c r="EV388" s="9" t="n">
        <v>0</v>
      </c>
      <c r="EZ388" s="10" t="n">
        <v>46354</v>
      </c>
      <c r="FB388" s="9" t="n">
        <v>0</v>
      </c>
      <c r="FD388" s="9" t="n">
        <v>0</v>
      </c>
      <c r="FE388" s="9" t="n">
        <v>0</v>
      </c>
      <c r="FI388" s="10" t="n">
        <v>46354</v>
      </c>
      <c r="FK388" s="9" t="n">
        <v>0</v>
      </c>
      <c r="FM388" s="9" t="n">
        <v>0</v>
      </c>
      <c r="FN388" s="9" t="n">
        <v>0</v>
      </c>
      <c r="FR388" s="10" t="n">
        <v>46354</v>
      </c>
      <c r="FT388" s="9" t="n">
        <v>0</v>
      </c>
      <c r="FV388" s="9" t="n">
        <v>0</v>
      </c>
      <c r="FW388" s="9" t="n">
        <v>2020</v>
      </c>
      <c r="GA388" s="10" t="n">
        <v>46354</v>
      </c>
      <c r="GC388" s="9" t="n">
        <v>0</v>
      </c>
      <c r="GE388" s="9" t="n">
        <v>0</v>
      </c>
      <c r="GF388" s="9" t="n">
        <v>960</v>
      </c>
      <c r="GJ388" s="10" t="n">
        <v>46354</v>
      </c>
      <c r="GL388" s="9" t="n">
        <v>0</v>
      </c>
      <c r="GN388" s="9" t="n">
        <v>0</v>
      </c>
      <c r="GO388" s="9" t="n">
        <v>1760</v>
      </c>
      <c r="GS388" s="10" t="n">
        <v>46354</v>
      </c>
      <c r="GU388" s="9" t="n">
        <v>0</v>
      </c>
      <c r="GW388" s="9" t="n">
        <v>0</v>
      </c>
      <c r="GX388" s="9" t="n">
        <v>400</v>
      </c>
      <c r="HB388" s="10" t="n">
        <v>46354</v>
      </c>
      <c r="HD388" s="9" t="n">
        <v>0</v>
      </c>
      <c r="HF388" s="9" t="n">
        <v>0</v>
      </c>
      <c r="HG388" s="9" t="n">
        <v>3600</v>
      </c>
      <c r="HK388" s="10" t="n">
        <v>46354</v>
      </c>
      <c r="HM388" s="9" t="n">
        <v>0</v>
      </c>
      <c r="HO388" s="9" t="n">
        <v>0</v>
      </c>
      <c r="HP388" s="9" t="n">
        <v>0</v>
      </c>
      <c r="HU388" s="10" t="n">
        <v>46354</v>
      </c>
      <c r="HW388" s="9" t="n">
        <v>0</v>
      </c>
      <c r="HY388" s="9" t="n">
        <v>0</v>
      </c>
      <c r="HZ388" s="9" t="n">
        <v>6120</v>
      </c>
      <c r="ID388" s="10" t="n">
        <v>46354</v>
      </c>
      <c r="IF388" s="9" t="n">
        <v>0</v>
      </c>
      <c r="IH388" s="9" t="n">
        <v>0</v>
      </c>
      <c r="II388" s="9" t="n">
        <v>0</v>
      </c>
      <c r="IM388" s="10" t="n">
        <v>46354</v>
      </c>
      <c r="IO388" s="9" t="n">
        <v>0</v>
      </c>
      <c r="IQ388" s="9" t="n">
        <v>0</v>
      </c>
      <c r="IR388" s="9" t="n">
        <v>0</v>
      </c>
      <c r="IV388" s="10" t="n">
        <v>46354</v>
      </c>
      <c r="IX388" s="9" t="n">
        <v>0</v>
      </c>
      <c r="IZ388" s="9" t="n">
        <v>0</v>
      </c>
      <c r="JA388" s="9" t="n">
        <v>2820</v>
      </c>
      <c r="JE388" s="10" t="n">
        <v>46354</v>
      </c>
      <c r="JG388" s="9" t="n">
        <v>0</v>
      </c>
      <c r="JI388" s="9" t="n">
        <v>0</v>
      </c>
      <c r="JJ388" s="9" t="n">
        <v>0</v>
      </c>
      <c r="JN388" s="10" t="n">
        <v>46354</v>
      </c>
      <c r="JP388" s="9" t="n">
        <v>0</v>
      </c>
      <c r="JR388" s="9" t="n">
        <v>0</v>
      </c>
      <c r="JS388" s="9" t="n">
        <v>0</v>
      </c>
      <c r="JW388" s="10" t="n">
        <v>46354</v>
      </c>
      <c r="JY388" s="9" t="n">
        <v>0</v>
      </c>
      <c r="KA388" s="9" t="n">
        <v>0</v>
      </c>
      <c r="KB388" s="9" t="n">
        <v>2540</v>
      </c>
      <c r="KF388" s="10" t="n">
        <v>46354</v>
      </c>
      <c r="KH388" s="9" t="n">
        <v>0</v>
      </c>
      <c r="KJ388" s="9" t="n">
        <v>0</v>
      </c>
      <c r="KK388" s="9" t="n">
        <v>2359.5</v>
      </c>
      <c r="KO388" s="10" t="n">
        <v>46354</v>
      </c>
      <c r="KQ388" s="9" t="n">
        <v>0</v>
      </c>
      <c r="KS388" s="9" t="n">
        <v>0</v>
      </c>
      <c r="KT388" s="9" t="n">
        <v>1890</v>
      </c>
      <c r="KX388" s="10" t="n">
        <v>46354</v>
      </c>
      <c r="KZ388" s="9" t="n">
        <v>0</v>
      </c>
      <c r="LB388" s="9" t="n">
        <v>0</v>
      </c>
      <c r="LC388" s="9" t="n">
        <v>3690</v>
      </c>
      <c r="LG388" s="10" t="n">
        <v>46354</v>
      </c>
      <c r="LI388" s="9" t="n">
        <v>0</v>
      </c>
      <c r="LK388" s="9" t="n">
        <v>0</v>
      </c>
      <c r="LL388" s="9" t="n">
        <v>4000</v>
      </c>
      <c r="LP388" s="10" t="n">
        <v>46354</v>
      </c>
      <c r="LR388" s="9" t="n">
        <v>0</v>
      </c>
      <c r="LT388" s="9" t="n">
        <v>0</v>
      </c>
      <c r="LU388" s="9" t="n">
        <v>0</v>
      </c>
      <c r="LY388" s="10" t="n">
        <v>46354</v>
      </c>
      <c r="MA388" s="9" t="n">
        <v>0</v>
      </c>
      <c r="MC388" s="9" t="n">
        <v>0</v>
      </c>
      <c r="MD388" s="9" t="n">
        <v>0</v>
      </c>
      <c r="MH388" s="10" t="n">
        <v>46354</v>
      </c>
      <c r="MJ388" s="9" t="n">
        <v>0</v>
      </c>
      <c r="ML388" s="9" t="n">
        <v>0</v>
      </c>
      <c r="MM388" s="9" t="n">
        <v>0</v>
      </c>
      <c r="MQ388" s="10" t="n">
        <v>46354</v>
      </c>
      <c r="MS388" s="9" t="n">
        <v>0</v>
      </c>
      <c r="MU388" s="9" t="n">
        <v>0</v>
      </c>
      <c r="MV388" s="9" t="n">
        <v>1625</v>
      </c>
      <c r="MZ388" s="10" t="n">
        <v>46354</v>
      </c>
      <c r="NB388" s="9" t="n">
        <v>0</v>
      </c>
      <c r="ND388" s="9" t="n">
        <v>0</v>
      </c>
      <c r="NE388" s="9" t="n">
        <v>0</v>
      </c>
      <c r="NI388" s="10" t="n">
        <v>46354</v>
      </c>
      <c r="NK388" s="9" t="n">
        <v>0</v>
      </c>
      <c r="NM388" s="9" t="n">
        <v>0</v>
      </c>
      <c r="NN388" s="9" t="n">
        <v>1127</v>
      </c>
      <c r="NR388" s="10" t="n">
        <v>46354</v>
      </c>
      <c r="NT388" s="9" t="n">
        <v>0</v>
      </c>
      <c r="NV388" s="9" t="n">
        <v>0</v>
      </c>
      <c r="NW388" s="9" t="n">
        <v>3112</v>
      </c>
      <c r="OA388" s="10" t="n">
        <v>46354</v>
      </c>
      <c r="OC388" s="9" t="n">
        <v>0</v>
      </c>
      <c r="OE388" s="9" t="n">
        <v>0</v>
      </c>
      <c r="OF388" s="9" t="n">
        <v>1680.5</v>
      </c>
      <c r="OJ388" s="10" t="n">
        <v>46354</v>
      </c>
      <c r="OL388" s="9" t="n">
        <v>0</v>
      </c>
      <c r="ON388" s="9" t="n">
        <v>0</v>
      </c>
      <c r="OO388" s="9" t="n">
        <v>0</v>
      </c>
      <c r="OS388" s="10" t="n">
        <v>46354</v>
      </c>
      <c r="OU388" s="9" t="n">
        <v>0</v>
      </c>
      <c r="OW388" s="9" t="n">
        <v>0</v>
      </c>
      <c r="OX388" s="9" t="n">
        <v>1482</v>
      </c>
      <c r="PB388" s="10" t="n">
        <v>46354</v>
      </c>
      <c r="PD388" s="9" t="n">
        <v>0</v>
      </c>
      <c r="PF388" s="9" t="n">
        <v>0</v>
      </c>
      <c r="PG388" s="9" t="n">
        <v>0</v>
      </c>
      <c r="PK388" s="10" t="n">
        <v>46354</v>
      </c>
      <c r="PM388" s="9" t="n">
        <v>0</v>
      </c>
      <c r="PO388" s="9" t="n">
        <v>0</v>
      </c>
      <c r="PP388" s="9" t="n">
        <v>100</v>
      </c>
      <c r="PT388" s="10" t="n">
        <v>46354</v>
      </c>
      <c r="PV388" s="9" t="n">
        <v>0</v>
      </c>
      <c r="PX388" s="9" t="n">
        <v>0</v>
      </c>
      <c r="PY388" s="9" t="n">
        <v>13.96000000000004</v>
      </c>
      <c r="QC388" s="10" t="n">
        <v>46354</v>
      </c>
      <c r="QE388" s="9" t="n">
        <v>0</v>
      </c>
      <c r="QG388" s="9" t="n">
        <v>0</v>
      </c>
      <c r="QH388" s="9" t="n">
        <v>548</v>
      </c>
      <c r="QL388" s="10" t="n">
        <v>46354</v>
      </c>
      <c r="QN388" s="9" t="n">
        <v>0</v>
      </c>
      <c r="QP388" s="9" t="n">
        <v>0</v>
      </c>
      <c r="QQ388" s="9" t="n">
        <v>0</v>
      </c>
      <c r="QU388" s="10" t="n">
        <v>46354</v>
      </c>
      <c r="QW388" s="9" t="n">
        <v>0</v>
      </c>
      <c r="QY388" s="9" t="n">
        <v>0</v>
      </c>
      <c r="QZ388" s="9" t="n">
        <v>0</v>
      </c>
      <c r="RD388" s="10" t="n">
        <v>46354</v>
      </c>
      <c r="RF388" s="9" t="n">
        <v>0</v>
      </c>
      <c r="RH388" s="9" t="n">
        <v>0</v>
      </c>
      <c r="RI388" s="9" t="n">
        <v>147.04</v>
      </c>
      <c r="RM388" s="10" t="n">
        <v>46354</v>
      </c>
      <c r="RO388" s="9" t="n">
        <v>0</v>
      </c>
      <c r="RQ388" s="9" t="n">
        <v>0</v>
      </c>
      <c r="RR388" s="9" t="n">
        <v>46.8</v>
      </c>
      <c r="RV388" s="10" t="n">
        <v>46354</v>
      </c>
      <c r="RX388" s="9" t="n">
        <v>0</v>
      </c>
      <c r="RZ388" s="9" t="n">
        <v>0</v>
      </c>
      <c r="SA388" s="9" t="n">
        <v>0</v>
      </c>
      <c r="SE388" s="10" t="n">
        <v>46354</v>
      </c>
      <c r="SG388" s="9" t="n">
        <v>0</v>
      </c>
      <c r="SI388" s="9" t="n">
        <v>0</v>
      </c>
      <c r="SJ388" s="9" t="n">
        <v>24.2</v>
      </c>
      <c r="SN388" s="10" t="n">
        <v>46354</v>
      </c>
      <c r="SP388" s="9" t="n">
        <v>0</v>
      </c>
      <c r="SR388" s="9" t="n">
        <v>0</v>
      </c>
      <c r="SS388" s="9" t="n">
        <v>32</v>
      </c>
      <c r="SW388" s="10" t="n">
        <v>46354</v>
      </c>
      <c r="SY388" s="9" t="n">
        <v>0</v>
      </c>
      <c r="TA388" s="9" t="n">
        <v>0</v>
      </c>
      <c r="TB388" s="9" t="n">
        <v>0</v>
      </c>
      <c r="TF388" s="10" t="n">
        <v>46354</v>
      </c>
      <c r="TH388" s="9" t="n">
        <v>0</v>
      </c>
      <c r="TJ388" s="9" t="n">
        <v>0</v>
      </c>
      <c r="TK388" s="9" t="n">
        <v>0</v>
      </c>
      <c r="TO388" s="10" t="n">
        <v>46354</v>
      </c>
      <c r="TQ388" s="9" t="n">
        <v>0</v>
      </c>
      <c r="TS388" s="9" t="n">
        <v>0</v>
      </c>
      <c r="TT388" s="9" t="n">
        <v>0</v>
      </c>
      <c r="TX388" s="10" t="n">
        <v>46354</v>
      </c>
      <c r="TZ388" s="9" t="n">
        <v>0</v>
      </c>
      <c r="UB388" s="9" t="n">
        <v>0</v>
      </c>
      <c r="UC388" s="9" t="n">
        <v>46.79999999999998</v>
      </c>
      <c r="UG388" s="10" t="n">
        <v>46354</v>
      </c>
      <c r="UI388" s="9" t="n">
        <v>0</v>
      </c>
      <c r="UK388" s="9" t="n">
        <v>0</v>
      </c>
      <c r="UL388" s="9" t="n">
        <v>204</v>
      </c>
      <c r="UP388" s="10" t="n">
        <v>46354</v>
      </c>
      <c r="UR388" s="9" t="n">
        <v>0</v>
      </c>
      <c r="UT388" s="9" t="n">
        <v>0</v>
      </c>
      <c r="UU388" s="9" t="n">
        <v>202.5</v>
      </c>
      <c r="UY388" s="10" t="n">
        <v>46354</v>
      </c>
      <c r="VA388" s="9" t="n">
        <v>0</v>
      </c>
      <c r="VC388" s="9" t="n">
        <v>0</v>
      </c>
      <c r="VD388" s="9" t="n">
        <v>41.60000000000002</v>
      </c>
      <c r="VH388" s="10" t="n">
        <v>46354</v>
      </c>
      <c r="VJ388" s="9" t="n">
        <v>0</v>
      </c>
      <c r="VL388" s="9" t="n">
        <v>0</v>
      </c>
      <c r="VM388" s="9" t="n">
        <v>210</v>
      </c>
      <c r="VQ388" s="10" t="n">
        <v>46354</v>
      </c>
      <c r="VS388" s="9" t="n">
        <v>0</v>
      </c>
      <c r="VU388" s="9" t="n">
        <v>0</v>
      </c>
      <c r="VV388" s="9" t="n">
        <v>0</v>
      </c>
      <c r="VZ388" s="10" t="n">
        <v>46354</v>
      </c>
      <c r="WB388" s="9" t="n">
        <v>0</v>
      </c>
      <c r="WD388" s="9" t="n">
        <v>0</v>
      </c>
      <c r="WE388" s="9" t="n">
        <v>0</v>
      </c>
      <c r="WI388" s="10" t="n">
        <v>46354</v>
      </c>
      <c r="WK388" s="9" t="n">
        <v>0</v>
      </c>
      <c r="WM388" s="9" t="n">
        <v>0</v>
      </c>
      <c r="WN388" s="9" t="n">
        <v>1057</v>
      </c>
      <c r="WR388" s="10" t="n">
        <v>46354</v>
      </c>
      <c r="WT388" s="9" t="n">
        <v>0</v>
      </c>
      <c r="WV388" s="9" t="n">
        <v>0</v>
      </c>
      <c r="WW388" s="9" t="n">
        <v>0</v>
      </c>
      <c r="XA388" s="10" t="n">
        <v>46354</v>
      </c>
      <c r="XC388" s="9" t="n">
        <v>0</v>
      </c>
      <c r="XE388" s="9" t="n">
        <v>0</v>
      </c>
      <c r="XF388" s="9" t="n">
        <v>7507</v>
      </c>
      <c r="XJ388" s="10" t="n">
        <v>46354</v>
      </c>
      <c r="XL388" s="9" t="n">
        <v>0</v>
      </c>
      <c r="XN388" s="9" t="n">
        <v>0</v>
      </c>
      <c r="XO388" s="9" t="n">
        <v>4252</v>
      </c>
      <c r="XS388" s="10" t="n">
        <v>46354</v>
      </c>
      <c r="XU388" s="9" t="n">
        <v>0</v>
      </c>
      <c r="XW388" s="9" t="n">
        <v>0</v>
      </c>
      <c r="XX388" s="9" t="n">
        <v>2179</v>
      </c>
      <c r="YB388" s="10" t="n">
        <v>46354</v>
      </c>
      <c r="YD388" s="9" t="n">
        <v>0</v>
      </c>
      <c r="YF388" s="9" t="n">
        <v>0</v>
      </c>
      <c r="YG388" s="9" t="n">
        <v>4019</v>
      </c>
      <c r="YK388" s="10" t="n">
        <v>46354</v>
      </c>
      <c r="YM388" s="9" t="n">
        <v>0</v>
      </c>
      <c r="YO388" s="9" t="n">
        <v>0</v>
      </c>
      <c r="YP388" s="9" t="n">
        <v>-218</v>
      </c>
      <c r="YT388" s="10" t="n">
        <v>46354</v>
      </c>
      <c r="YV388" s="9" t="n">
        <v>0</v>
      </c>
      <c r="YX388" s="9" t="n">
        <v>0</v>
      </c>
      <c r="YY388" s="9" t="n">
        <v>0</v>
      </c>
      <c r="ZC388" s="10" t="n">
        <v>46354</v>
      </c>
      <c r="ZE388" s="9" t="n">
        <v>0</v>
      </c>
      <c r="ZG388" s="9" t="n">
        <v>0</v>
      </c>
      <c r="ZH388" s="9" t="n">
        <v>0</v>
      </c>
      <c r="ZL388" s="10" t="n">
        <v>46354</v>
      </c>
      <c r="ZN388" s="9" t="n">
        <v>0</v>
      </c>
      <c r="ZP388" s="9" t="n">
        <v>0</v>
      </c>
      <c r="ZQ388" s="9" t="n">
        <v>0</v>
      </c>
      <c r="ZU388" s="10" t="n">
        <v>46354</v>
      </c>
      <c r="ZW388" s="9" t="n">
        <v>0</v>
      </c>
      <c r="ZY388" s="9" t="n">
        <v>0</v>
      </c>
      <c r="ZZ388" s="9" t="n">
        <v>0</v>
      </c>
      <c r="AAD388" s="10" t="n">
        <v>46354</v>
      </c>
      <c r="AAF388" s="9" t="n">
        <v>0</v>
      </c>
      <c r="AAH388" s="9" t="n">
        <v>0</v>
      </c>
      <c r="AAI388" s="9" t="n">
        <v>0</v>
      </c>
      <c r="AAM388" s="10" t="n">
        <v>46354</v>
      </c>
      <c r="AAO388" s="9" t="n">
        <v>0</v>
      </c>
      <c r="AAQ388" s="9" t="n">
        <v>0</v>
      </c>
      <c r="AAR388" s="9" t="n">
        <v>0</v>
      </c>
      <c r="AAV388" s="10" t="n">
        <v>46354</v>
      </c>
      <c r="AAX388" s="9" t="n">
        <v>0</v>
      </c>
      <c r="AAZ388" s="9" t="n">
        <v>0</v>
      </c>
      <c r="ABA388" s="9" t="n">
        <v>0</v>
      </c>
      <c r="ABE388" s="10" t="n">
        <v>46354</v>
      </c>
      <c r="ABG388" s="9" t="n">
        <v>0</v>
      </c>
      <c r="ABI388" s="9" t="n">
        <v>0</v>
      </c>
      <c r="ABJ388" s="9" t="n">
        <v>0</v>
      </c>
    </row>
    <row r="389">
      <c r="C389" s="10" t="n">
        <v>46355</v>
      </c>
      <c r="E389" s="9" t="n">
        <v>0</v>
      </c>
      <c r="G389" s="9" t="n">
        <v>0</v>
      </c>
      <c r="H389" s="9" t="n">
        <v>236936.6</v>
      </c>
      <c r="L389" s="10" t="n">
        <v>46355</v>
      </c>
      <c r="N389" s="9" t="n">
        <v>0</v>
      </c>
      <c r="P389" s="9" t="n">
        <v>0</v>
      </c>
      <c r="Q389" s="9" t="n">
        <v>53017.60000000007</v>
      </c>
      <c r="U389" s="10" t="n">
        <v>46355</v>
      </c>
      <c r="W389" s="9" t="n">
        <v>0</v>
      </c>
      <c r="Y389" s="9" t="n">
        <v>0</v>
      </c>
      <c r="Z389" s="9" t="n">
        <v>42674.19999999997</v>
      </c>
      <c r="AD389" s="10" t="n">
        <v>46355</v>
      </c>
      <c r="AF389" s="9" t="n">
        <v>0</v>
      </c>
      <c r="AH389" s="9" t="n">
        <v>0</v>
      </c>
      <c r="AI389" s="9" t="n">
        <v>4522.200000000019</v>
      </c>
      <c r="AM389" s="10" t="n">
        <v>46355</v>
      </c>
      <c r="AO389" s="9" t="n">
        <v>0</v>
      </c>
      <c r="AQ389" s="9" t="n">
        <v>0</v>
      </c>
      <c r="AR389" s="9" t="n">
        <v>0</v>
      </c>
      <c r="AV389" s="10" t="n">
        <v>46355</v>
      </c>
      <c r="AX389" s="9" t="n">
        <v>0</v>
      </c>
      <c r="AZ389" s="9" t="n">
        <v>0</v>
      </c>
      <c r="BA389" s="9" t="n">
        <v>124.9999999999952</v>
      </c>
      <c r="BE389" s="10" t="n">
        <v>46355</v>
      </c>
      <c r="BG389" s="9" t="n">
        <v>0</v>
      </c>
      <c r="BI389" s="9" t="n">
        <v>0</v>
      </c>
      <c r="BJ389" s="9" t="n">
        <v>26151.9</v>
      </c>
      <c r="BN389" s="10" t="n">
        <v>46355</v>
      </c>
      <c r="BP389" s="9" t="n">
        <v>0</v>
      </c>
      <c r="BR389" s="9" t="n">
        <v>0</v>
      </c>
      <c r="BS389" s="9" t="n">
        <v>0</v>
      </c>
      <c r="BW389" s="10" t="n">
        <v>46355</v>
      </c>
      <c r="BY389" s="9" t="n">
        <v>0</v>
      </c>
      <c r="CA389" s="9" t="n">
        <v>0</v>
      </c>
      <c r="CB389" s="9" t="n">
        <v>2097.339999999999</v>
      </c>
      <c r="CF389" s="10" t="n">
        <v>46355</v>
      </c>
      <c r="CH389" s="9" t="n">
        <v>0</v>
      </c>
      <c r="CJ389" s="9" t="n">
        <v>0</v>
      </c>
      <c r="CK389" s="9" t="n">
        <v>-10277.08</v>
      </c>
      <c r="CO389" s="10" t="n">
        <v>46355</v>
      </c>
      <c r="CQ389" s="9" t="n">
        <v>0</v>
      </c>
      <c r="CS389" s="9" t="n">
        <v>0</v>
      </c>
      <c r="CT389" s="9" t="n">
        <v>0</v>
      </c>
      <c r="CX389" s="10" t="n">
        <v>46355</v>
      </c>
      <c r="CZ389" s="9" t="n">
        <v>0</v>
      </c>
      <c r="DB389" s="9" t="n">
        <v>0</v>
      </c>
      <c r="DC389" s="9" t="n">
        <v>27438.20000000001</v>
      </c>
      <c r="DG389" s="10" t="n">
        <v>46355</v>
      </c>
      <c r="DI389" s="9" t="n">
        <v>0</v>
      </c>
      <c r="DK389" s="9" t="n">
        <v>0</v>
      </c>
      <c r="DL389" s="9" t="n">
        <v>18782.29999999998</v>
      </c>
      <c r="DP389" s="10" t="n">
        <v>46355</v>
      </c>
      <c r="DR389" s="9" t="n">
        <v>0</v>
      </c>
      <c r="DT389" s="9" t="n">
        <v>0</v>
      </c>
      <c r="DU389" s="9" t="n">
        <v>5800</v>
      </c>
      <c r="DY389" s="10" t="n">
        <v>46355</v>
      </c>
      <c r="EA389" s="9" t="n">
        <v>0</v>
      </c>
      <c r="EC389" s="9" t="n">
        <v>0</v>
      </c>
      <c r="ED389" s="9" t="n">
        <v>0</v>
      </c>
      <c r="EH389" s="10" t="n">
        <v>46355</v>
      </c>
      <c r="EJ389" s="9" t="n">
        <v>0</v>
      </c>
      <c r="EL389" s="9" t="n">
        <v>0</v>
      </c>
      <c r="EM389" s="9" t="n">
        <v>0</v>
      </c>
      <c r="EQ389" s="10" t="n">
        <v>46355</v>
      </c>
      <c r="ES389" s="9" t="n">
        <v>0</v>
      </c>
      <c r="EU389" s="9" t="n">
        <v>0</v>
      </c>
      <c r="EV389" s="9" t="n">
        <v>0</v>
      </c>
      <c r="EZ389" s="10" t="n">
        <v>46355</v>
      </c>
      <c r="FB389" s="9" t="n">
        <v>0</v>
      </c>
      <c r="FD389" s="9" t="n">
        <v>0</v>
      </c>
      <c r="FE389" s="9" t="n">
        <v>0</v>
      </c>
      <c r="FI389" s="10" t="n">
        <v>46355</v>
      </c>
      <c r="FK389" s="9" t="n">
        <v>0</v>
      </c>
      <c r="FM389" s="9" t="n">
        <v>0</v>
      </c>
      <c r="FN389" s="9" t="n">
        <v>0</v>
      </c>
      <c r="FR389" s="10" t="n">
        <v>46355</v>
      </c>
      <c r="FT389" s="9" t="n">
        <v>0</v>
      </c>
      <c r="FV389" s="9" t="n">
        <v>0</v>
      </c>
      <c r="FW389" s="9" t="n">
        <v>2020</v>
      </c>
      <c r="GA389" s="10" t="n">
        <v>46355</v>
      </c>
      <c r="GC389" s="9" t="n">
        <v>0</v>
      </c>
      <c r="GE389" s="9" t="n">
        <v>0</v>
      </c>
      <c r="GF389" s="9" t="n">
        <v>960</v>
      </c>
      <c r="GJ389" s="10" t="n">
        <v>46355</v>
      </c>
      <c r="GL389" s="9" t="n">
        <v>0</v>
      </c>
      <c r="GN389" s="9" t="n">
        <v>0</v>
      </c>
      <c r="GO389" s="9" t="n">
        <v>1760</v>
      </c>
      <c r="GS389" s="10" t="n">
        <v>46355</v>
      </c>
      <c r="GU389" s="9" t="n">
        <v>0</v>
      </c>
      <c r="GW389" s="9" t="n">
        <v>0</v>
      </c>
      <c r="GX389" s="9" t="n">
        <v>400</v>
      </c>
      <c r="HB389" s="10" t="n">
        <v>46355</v>
      </c>
      <c r="HD389" s="9" t="n">
        <v>0</v>
      </c>
      <c r="HF389" s="9" t="n">
        <v>0</v>
      </c>
      <c r="HG389" s="9" t="n">
        <v>3600</v>
      </c>
      <c r="HK389" s="10" t="n">
        <v>46355</v>
      </c>
      <c r="HM389" s="9" t="n">
        <v>0</v>
      </c>
      <c r="HO389" s="9" t="n">
        <v>0</v>
      </c>
      <c r="HP389" s="9" t="n">
        <v>0</v>
      </c>
      <c r="HU389" s="10" t="n">
        <v>46355</v>
      </c>
      <c r="HW389" s="9" t="n">
        <v>0</v>
      </c>
      <c r="HY389" s="9" t="n">
        <v>0</v>
      </c>
      <c r="HZ389" s="9" t="n">
        <v>6120</v>
      </c>
      <c r="ID389" s="10" t="n">
        <v>46355</v>
      </c>
      <c r="IF389" s="9" t="n">
        <v>0</v>
      </c>
      <c r="IH389" s="9" t="n">
        <v>0</v>
      </c>
      <c r="II389" s="9" t="n">
        <v>0</v>
      </c>
      <c r="IM389" s="10" t="n">
        <v>46355</v>
      </c>
      <c r="IO389" s="9" t="n">
        <v>0</v>
      </c>
      <c r="IQ389" s="9" t="n">
        <v>0</v>
      </c>
      <c r="IR389" s="9" t="n">
        <v>0</v>
      </c>
      <c r="IV389" s="10" t="n">
        <v>46355</v>
      </c>
      <c r="IX389" s="9" t="n">
        <v>0</v>
      </c>
      <c r="IZ389" s="9" t="n">
        <v>0</v>
      </c>
      <c r="JA389" s="9" t="n">
        <v>2820</v>
      </c>
      <c r="JE389" s="10" t="n">
        <v>46355</v>
      </c>
      <c r="JG389" s="9" t="n">
        <v>0</v>
      </c>
      <c r="JI389" s="9" t="n">
        <v>0</v>
      </c>
      <c r="JJ389" s="9" t="n">
        <v>0</v>
      </c>
      <c r="JN389" s="10" t="n">
        <v>46355</v>
      </c>
      <c r="JP389" s="9" t="n">
        <v>0</v>
      </c>
      <c r="JR389" s="9" t="n">
        <v>0</v>
      </c>
      <c r="JS389" s="9" t="n">
        <v>0</v>
      </c>
      <c r="JW389" s="10" t="n">
        <v>46355</v>
      </c>
      <c r="JY389" s="9" t="n">
        <v>0</v>
      </c>
      <c r="KA389" s="9" t="n">
        <v>0</v>
      </c>
      <c r="KB389" s="9" t="n">
        <v>2540</v>
      </c>
      <c r="KF389" s="10" t="n">
        <v>46355</v>
      </c>
      <c r="KH389" s="9" t="n">
        <v>0</v>
      </c>
      <c r="KJ389" s="9" t="n">
        <v>0</v>
      </c>
      <c r="KK389" s="9" t="n">
        <v>2359.5</v>
      </c>
      <c r="KO389" s="10" t="n">
        <v>46355</v>
      </c>
      <c r="KQ389" s="9" t="n">
        <v>0</v>
      </c>
      <c r="KS389" s="9" t="n">
        <v>0</v>
      </c>
      <c r="KT389" s="9" t="n">
        <v>1890</v>
      </c>
      <c r="KX389" s="10" t="n">
        <v>46355</v>
      </c>
      <c r="KZ389" s="9" t="n">
        <v>0</v>
      </c>
      <c r="LB389" s="9" t="n">
        <v>0</v>
      </c>
      <c r="LC389" s="9" t="n">
        <v>3690</v>
      </c>
      <c r="LG389" s="10" t="n">
        <v>46355</v>
      </c>
      <c r="LI389" s="9" t="n">
        <v>0</v>
      </c>
      <c r="LK389" s="9" t="n">
        <v>0</v>
      </c>
      <c r="LL389" s="9" t="n">
        <v>4000</v>
      </c>
      <c r="LP389" s="10" t="n">
        <v>46355</v>
      </c>
      <c r="LR389" s="9" t="n">
        <v>0</v>
      </c>
      <c r="LT389" s="9" t="n">
        <v>0</v>
      </c>
      <c r="LU389" s="9" t="n">
        <v>0</v>
      </c>
      <c r="LY389" s="10" t="n">
        <v>46355</v>
      </c>
      <c r="MA389" s="9" t="n">
        <v>0</v>
      </c>
      <c r="MC389" s="9" t="n">
        <v>0</v>
      </c>
      <c r="MD389" s="9" t="n">
        <v>0</v>
      </c>
      <c r="MH389" s="10" t="n">
        <v>46355</v>
      </c>
      <c r="MJ389" s="9" t="n">
        <v>0</v>
      </c>
      <c r="ML389" s="9" t="n">
        <v>0</v>
      </c>
      <c r="MM389" s="9" t="n">
        <v>0</v>
      </c>
      <c r="MQ389" s="10" t="n">
        <v>46355</v>
      </c>
      <c r="MS389" s="9" t="n">
        <v>0</v>
      </c>
      <c r="MU389" s="9" t="n">
        <v>0</v>
      </c>
      <c r="MV389" s="9" t="n">
        <v>1625</v>
      </c>
      <c r="MZ389" s="10" t="n">
        <v>46355</v>
      </c>
      <c r="NB389" s="9" t="n">
        <v>0</v>
      </c>
      <c r="ND389" s="9" t="n">
        <v>0</v>
      </c>
      <c r="NE389" s="9" t="n">
        <v>0</v>
      </c>
      <c r="NI389" s="10" t="n">
        <v>46355</v>
      </c>
      <c r="NK389" s="9" t="n">
        <v>0</v>
      </c>
      <c r="NM389" s="9" t="n">
        <v>0</v>
      </c>
      <c r="NN389" s="9" t="n">
        <v>1127</v>
      </c>
      <c r="NR389" s="10" t="n">
        <v>46355</v>
      </c>
      <c r="NT389" s="9" t="n">
        <v>0</v>
      </c>
      <c r="NV389" s="9" t="n">
        <v>0</v>
      </c>
      <c r="NW389" s="9" t="n">
        <v>3112</v>
      </c>
      <c r="OA389" s="10" t="n">
        <v>46355</v>
      </c>
      <c r="OC389" s="9" t="n">
        <v>0</v>
      </c>
      <c r="OE389" s="9" t="n">
        <v>0</v>
      </c>
      <c r="OF389" s="9" t="n">
        <v>1680.5</v>
      </c>
      <c r="OJ389" s="10" t="n">
        <v>46355</v>
      </c>
      <c r="OL389" s="9" t="n">
        <v>0</v>
      </c>
      <c r="ON389" s="9" t="n">
        <v>0</v>
      </c>
      <c r="OO389" s="9" t="n">
        <v>0</v>
      </c>
      <c r="OS389" s="10" t="n">
        <v>46355</v>
      </c>
      <c r="OU389" s="9" t="n">
        <v>0</v>
      </c>
      <c r="OW389" s="9" t="n">
        <v>0</v>
      </c>
      <c r="OX389" s="9" t="n">
        <v>1482</v>
      </c>
      <c r="PB389" s="10" t="n">
        <v>46355</v>
      </c>
      <c r="PD389" s="9" t="n">
        <v>0</v>
      </c>
      <c r="PF389" s="9" t="n">
        <v>0</v>
      </c>
      <c r="PG389" s="9" t="n">
        <v>0</v>
      </c>
      <c r="PK389" s="10" t="n">
        <v>46355</v>
      </c>
      <c r="PM389" s="9" t="n">
        <v>0</v>
      </c>
      <c r="PO389" s="9" t="n">
        <v>0</v>
      </c>
      <c r="PP389" s="9" t="n">
        <v>100</v>
      </c>
      <c r="PT389" s="10" t="n">
        <v>46355</v>
      </c>
      <c r="PV389" s="9" t="n">
        <v>0</v>
      </c>
      <c r="PX389" s="9" t="n">
        <v>0</v>
      </c>
      <c r="PY389" s="9" t="n">
        <v>13.96000000000004</v>
      </c>
      <c r="QC389" s="10" t="n">
        <v>46355</v>
      </c>
      <c r="QE389" s="9" t="n">
        <v>0</v>
      </c>
      <c r="QG389" s="9" t="n">
        <v>0</v>
      </c>
      <c r="QH389" s="9" t="n">
        <v>548</v>
      </c>
      <c r="QL389" s="10" t="n">
        <v>46355</v>
      </c>
      <c r="QN389" s="9" t="n">
        <v>0</v>
      </c>
      <c r="QP389" s="9" t="n">
        <v>0</v>
      </c>
      <c r="QQ389" s="9" t="n">
        <v>0</v>
      </c>
      <c r="QU389" s="10" t="n">
        <v>46355</v>
      </c>
      <c r="QW389" s="9" t="n">
        <v>0</v>
      </c>
      <c r="QY389" s="9" t="n">
        <v>0</v>
      </c>
      <c r="QZ389" s="9" t="n">
        <v>0</v>
      </c>
      <c r="RD389" s="10" t="n">
        <v>46355</v>
      </c>
      <c r="RF389" s="9" t="n">
        <v>0</v>
      </c>
      <c r="RH389" s="9" t="n">
        <v>0</v>
      </c>
      <c r="RI389" s="9" t="n">
        <v>147.04</v>
      </c>
      <c r="RM389" s="10" t="n">
        <v>46355</v>
      </c>
      <c r="RO389" s="9" t="n">
        <v>0</v>
      </c>
      <c r="RQ389" s="9" t="n">
        <v>0</v>
      </c>
      <c r="RR389" s="9" t="n">
        <v>46.8</v>
      </c>
      <c r="RV389" s="10" t="n">
        <v>46355</v>
      </c>
      <c r="RX389" s="9" t="n">
        <v>0</v>
      </c>
      <c r="RZ389" s="9" t="n">
        <v>0</v>
      </c>
      <c r="SA389" s="9" t="n">
        <v>0</v>
      </c>
      <c r="SE389" s="10" t="n">
        <v>46355</v>
      </c>
      <c r="SG389" s="9" t="n">
        <v>0</v>
      </c>
      <c r="SI389" s="9" t="n">
        <v>0</v>
      </c>
      <c r="SJ389" s="9" t="n">
        <v>24.2</v>
      </c>
      <c r="SN389" s="10" t="n">
        <v>46355</v>
      </c>
      <c r="SP389" s="9" t="n">
        <v>0</v>
      </c>
      <c r="SR389" s="9" t="n">
        <v>0</v>
      </c>
      <c r="SS389" s="9" t="n">
        <v>32</v>
      </c>
      <c r="SW389" s="10" t="n">
        <v>46355</v>
      </c>
      <c r="SY389" s="9" t="n">
        <v>0</v>
      </c>
      <c r="TA389" s="9" t="n">
        <v>0</v>
      </c>
      <c r="TB389" s="9" t="n">
        <v>0</v>
      </c>
      <c r="TF389" s="10" t="n">
        <v>46355</v>
      </c>
      <c r="TH389" s="9" t="n">
        <v>0</v>
      </c>
      <c r="TJ389" s="9" t="n">
        <v>0</v>
      </c>
      <c r="TK389" s="9" t="n">
        <v>0</v>
      </c>
      <c r="TO389" s="10" t="n">
        <v>46355</v>
      </c>
      <c r="TQ389" s="9" t="n">
        <v>0</v>
      </c>
      <c r="TS389" s="9" t="n">
        <v>0</v>
      </c>
      <c r="TT389" s="9" t="n">
        <v>0</v>
      </c>
      <c r="TX389" s="10" t="n">
        <v>46355</v>
      </c>
      <c r="TZ389" s="9" t="n">
        <v>0</v>
      </c>
      <c r="UB389" s="9" t="n">
        <v>0</v>
      </c>
      <c r="UC389" s="9" t="n">
        <v>46.79999999999998</v>
      </c>
      <c r="UG389" s="10" t="n">
        <v>46355</v>
      </c>
      <c r="UI389" s="9" t="n">
        <v>0</v>
      </c>
      <c r="UK389" s="9" t="n">
        <v>0</v>
      </c>
      <c r="UL389" s="9" t="n">
        <v>204</v>
      </c>
      <c r="UP389" s="10" t="n">
        <v>46355</v>
      </c>
      <c r="UR389" s="9" t="n">
        <v>0</v>
      </c>
      <c r="UT389" s="9" t="n">
        <v>0</v>
      </c>
      <c r="UU389" s="9" t="n">
        <v>202.5</v>
      </c>
      <c r="UY389" s="10" t="n">
        <v>46355</v>
      </c>
      <c r="VA389" s="9" t="n">
        <v>0</v>
      </c>
      <c r="VC389" s="9" t="n">
        <v>0</v>
      </c>
      <c r="VD389" s="9" t="n">
        <v>41.60000000000002</v>
      </c>
      <c r="VH389" s="10" t="n">
        <v>46355</v>
      </c>
      <c r="VJ389" s="9" t="n">
        <v>0</v>
      </c>
      <c r="VL389" s="9" t="n">
        <v>0</v>
      </c>
      <c r="VM389" s="9" t="n">
        <v>210</v>
      </c>
      <c r="VQ389" s="10" t="n">
        <v>46355</v>
      </c>
      <c r="VS389" s="9" t="n">
        <v>0</v>
      </c>
      <c r="VU389" s="9" t="n">
        <v>0</v>
      </c>
      <c r="VV389" s="9" t="n">
        <v>0</v>
      </c>
      <c r="VZ389" s="10" t="n">
        <v>46355</v>
      </c>
      <c r="WB389" s="9" t="n">
        <v>0</v>
      </c>
      <c r="WD389" s="9" t="n">
        <v>0</v>
      </c>
      <c r="WE389" s="9" t="n">
        <v>0</v>
      </c>
      <c r="WI389" s="10" t="n">
        <v>46355</v>
      </c>
      <c r="WK389" s="9" t="n">
        <v>0</v>
      </c>
      <c r="WM389" s="9" t="n">
        <v>0</v>
      </c>
      <c r="WN389" s="9" t="n">
        <v>1057</v>
      </c>
      <c r="WR389" s="10" t="n">
        <v>46355</v>
      </c>
      <c r="WT389" s="9" t="n">
        <v>0</v>
      </c>
      <c r="WV389" s="9" t="n">
        <v>0</v>
      </c>
      <c r="WW389" s="9" t="n">
        <v>0</v>
      </c>
      <c r="XA389" s="10" t="n">
        <v>46355</v>
      </c>
      <c r="XC389" s="9" t="n">
        <v>0</v>
      </c>
      <c r="XE389" s="9" t="n">
        <v>0</v>
      </c>
      <c r="XF389" s="9" t="n">
        <v>7507</v>
      </c>
      <c r="XJ389" s="10" t="n">
        <v>46355</v>
      </c>
      <c r="XL389" s="9" t="n">
        <v>0</v>
      </c>
      <c r="XN389" s="9" t="n">
        <v>0</v>
      </c>
      <c r="XO389" s="9" t="n">
        <v>4252</v>
      </c>
      <c r="XS389" s="10" t="n">
        <v>46355</v>
      </c>
      <c r="XU389" s="9" t="n">
        <v>0</v>
      </c>
      <c r="XW389" s="9" t="n">
        <v>0</v>
      </c>
      <c r="XX389" s="9" t="n">
        <v>2179</v>
      </c>
      <c r="YB389" s="10" t="n">
        <v>46355</v>
      </c>
      <c r="YD389" s="9" t="n">
        <v>0</v>
      </c>
      <c r="YF389" s="9" t="n">
        <v>0</v>
      </c>
      <c r="YG389" s="9" t="n">
        <v>4019</v>
      </c>
      <c r="YK389" s="10" t="n">
        <v>46355</v>
      </c>
      <c r="YM389" s="9" t="n">
        <v>0</v>
      </c>
      <c r="YO389" s="9" t="n">
        <v>0</v>
      </c>
      <c r="YP389" s="9" t="n">
        <v>-218</v>
      </c>
      <c r="YT389" s="10" t="n">
        <v>46355</v>
      </c>
      <c r="YV389" s="9" t="n">
        <v>0</v>
      </c>
      <c r="YX389" s="9" t="n">
        <v>0</v>
      </c>
      <c r="YY389" s="9" t="n">
        <v>0</v>
      </c>
      <c r="ZC389" s="10" t="n">
        <v>46355</v>
      </c>
      <c r="ZE389" s="9" t="n">
        <v>0</v>
      </c>
      <c r="ZG389" s="9" t="n">
        <v>0</v>
      </c>
      <c r="ZH389" s="9" t="n">
        <v>0</v>
      </c>
      <c r="ZL389" s="10" t="n">
        <v>46355</v>
      </c>
      <c r="ZN389" s="9" t="n">
        <v>0</v>
      </c>
      <c r="ZP389" s="9" t="n">
        <v>0</v>
      </c>
      <c r="ZQ389" s="9" t="n">
        <v>0</v>
      </c>
      <c r="ZU389" s="10" t="n">
        <v>46355</v>
      </c>
      <c r="ZW389" s="9" t="n">
        <v>0</v>
      </c>
      <c r="ZY389" s="9" t="n">
        <v>0</v>
      </c>
      <c r="ZZ389" s="9" t="n">
        <v>0</v>
      </c>
      <c r="AAD389" s="10" t="n">
        <v>46355</v>
      </c>
      <c r="AAF389" s="9" t="n">
        <v>0</v>
      </c>
      <c r="AAH389" s="9" t="n">
        <v>0</v>
      </c>
      <c r="AAI389" s="9" t="n">
        <v>0</v>
      </c>
      <c r="AAM389" s="10" t="n">
        <v>46355</v>
      </c>
      <c r="AAO389" s="9" t="n">
        <v>0</v>
      </c>
      <c r="AAQ389" s="9" t="n">
        <v>0</v>
      </c>
      <c r="AAR389" s="9" t="n">
        <v>0</v>
      </c>
      <c r="AAV389" s="10" t="n">
        <v>46355</v>
      </c>
      <c r="AAX389" s="9" t="n">
        <v>0</v>
      </c>
      <c r="AAZ389" s="9" t="n">
        <v>0</v>
      </c>
      <c r="ABA389" s="9" t="n">
        <v>0</v>
      </c>
      <c r="ABE389" s="10" t="n">
        <v>46355</v>
      </c>
      <c r="ABG389" s="9" t="n">
        <v>0</v>
      </c>
      <c r="ABI389" s="9" t="n">
        <v>0</v>
      </c>
      <c r="ABJ389" s="9" t="n">
        <v>0</v>
      </c>
    </row>
    <row r="390">
      <c r="C390" s="10" t="n">
        <v>46356</v>
      </c>
      <c r="E390" s="9" t="n">
        <v>0</v>
      </c>
      <c r="G390" s="9" t="n">
        <v>0</v>
      </c>
      <c r="H390" s="9" t="n">
        <v>236936.6</v>
      </c>
      <c r="L390" s="10" t="n">
        <v>46356</v>
      </c>
      <c r="N390" s="9" t="n">
        <v>0</v>
      </c>
      <c r="P390" s="9" t="n">
        <v>0</v>
      </c>
      <c r="Q390" s="9" t="n">
        <v>53017.60000000007</v>
      </c>
      <c r="U390" s="10" t="n">
        <v>46356</v>
      </c>
      <c r="W390" s="9" t="n">
        <v>0</v>
      </c>
      <c r="Y390" s="9" t="n">
        <v>0</v>
      </c>
      <c r="Z390" s="9" t="n">
        <v>42674.19999999997</v>
      </c>
      <c r="AD390" s="10" t="n">
        <v>46356</v>
      </c>
      <c r="AF390" s="9" t="n">
        <v>0</v>
      </c>
      <c r="AH390" s="9" t="n">
        <v>0</v>
      </c>
      <c r="AI390" s="9" t="n">
        <v>4522.200000000019</v>
      </c>
      <c r="AM390" s="10" t="n">
        <v>46356</v>
      </c>
      <c r="AO390" s="9" t="n">
        <v>0</v>
      </c>
      <c r="AQ390" s="9" t="n">
        <v>0</v>
      </c>
      <c r="AR390" s="9" t="n">
        <v>0</v>
      </c>
      <c r="AV390" s="10" t="n">
        <v>46356</v>
      </c>
      <c r="AX390" s="9" t="n">
        <v>0</v>
      </c>
      <c r="AZ390" s="9" t="n">
        <v>0</v>
      </c>
      <c r="BA390" s="9" t="n">
        <v>124.9999999999952</v>
      </c>
      <c r="BE390" s="10" t="n">
        <v>46356</v>
      </c>
      <c r="BG390" s="9" t="n">
        <v>0</v>
      </c>
      <c r="BI390" s="9" t="n">
        <v>0</v>
      </c>
      <c r="BJ390" s="9" t="n">
        <v>26151.9</v>
      </c>
      <c r="BN390" s="10" t="n">
        <v>46356</v>
      </c>
      <c r="BP390" s="9" t="n">
        <v>0</v>
      </c>
      <c r="BR390" s="9" t="n">
        <v>0</v>
      </c>
      <c r="BS390" s="9" t="n">
        <v>0</v>
      </c>
      <c r="BW390" s="10" t="n">
        <v>46356</v>
      </c>
      <c r="BY390" s="9" t="n">
        <v>0</v>
      </c>
      <c r="CA390" s="9" t="n">
        <v>0</v>
      </c>
      <c r="CB390" s="9" t="n">
        <v>2097.339999999999</v>
      </c>
      <c r="CF390" s="10" t="n">
        <v>46356</v>
      </c>
      <c r="CH390" s="9" t="n">
        <v>0</v>
      </c>
      <c r="CJ390" s="9" t="n">
        <v>0</v>
      </c>
      <c r="CK390" s="9" t="n">
        <v>-10277.08</v>
      </c>
      <c r="CO390" s="10" t="n">
        <v>46356</v>
      </c>
      <c r="CQ390" s="9" t="n">
        <v>0</v>
      </c>
      <c r="CS390" s="9" t="n">
        <v>0</v>
      </c>
      <c r="CT390" s="9" t="n">
        <v>0</v>
      </c>
      <c r="CX390" s="10" t="n">
        <v>46356</v>
      </c>
      <c r="CZ390" s="9" t="n">
        <v>0</v>
      </c>
      <c r="DB390" s="9" t="n">
        <v>0</v>
      </c>
      <c r="DC390" s="9" t="n">
        <v>27438.20000000001</v>
      </c>
      <c r="DG390" s="10" t="n">
        <v>46356</v>
      </c>
      <c r="DI390" s="9" t="n">
        <v>0</v>
      </c>
      <c r="DK390" s="9" t="n">
        <v>0</v>
      </c>
      <c r="DL390" s="9" t="n">
        <v>18782.29999999998</v>
      </c>
      <c r="DP390" s="10" t="n">
        <v>46356</v>
      </c>
      <c r="DR390" s="9" t="n">
        <v>0</v>
      </c>
      <c r="DT390" s="9" t="n">
        <v>0</v>
      </c>
      <c r="DU390" s="9" t="n">
        <v>5800</v>
      </c>
      <c r="DY390" s="10" t="n">
        <v>46356</v>
      </c>
      <c r="EA390" s="9" t="n">
        <v>0</v>
      </c>
      <c r="EC390" s="9" t="n">
        <v>0</v>
      </c>
      <c r="ED390" s="9" t="n">
        <v>0</v>
      </c>
      <c r="EH390" s="10" t="n">
        <v>46356</v>
      </c>
      <c r="EJ390" s="9" t="n">
        <v>0</v>
      </c>
      <c r="EL390" s="9" t="n">
        <v>0</v>
      </c>
      <c r="EM390" s="9" t="n">
        <v>0</v>
      </c>
      <c r="EQ390" s="10" t="n">
        <v>46356</v>
      </c>
      <c r="ES390" s="9" t="n">
        <v>0</v>
      </c>
      <c r="EU390" s="9" t="n">
        <v>0</v>
      </c>
      <c r="EV390" s="9" t="n">
        <v>0</v>
      </c>
      <c r="EZ390" s="10" t="n">
        <v>46356</v>
      </c>
      <c r="FB390" s="9" t="n">
        <v>0</v>
      </c>
      <c r="FD390" s="9" t="n">
        <v>0</v>
      </c>
      <c r="FE390" s="9" t="n">
        <v>0</v>
      </c>
      <c r="FI390" s="10" t="n">
        <v>46356</v>
      </c>
      <c r="FK390" s="9" t="n">
        <v>0</v>
      </c>
      <c r="FM390" s="9" t="n">
        <v>0</v>
      </c>
      <c r="FN390" s="9" t="n">
        <v>0</v>
      </c>
      <c r="FR390" s="10" t="n">
        <v>46356</v>
      </c>
      <c r="FT390" s="9" t="n">
        <v>0</v>
      </c>
      <c r="FV390" s="9" t="n">
        <v>0</v>
      </c>
      <c r="FW390" s="9" t="n">
        <v>2020</v>
      </c>
      <c r="GA390" s="10" t="n">
        <v>46356</v>
      </c>
      <c r="GC390" s="9" t="n">
        <v>0</v>
      </c>
      <c r="GE390" s="9" t="n">
        <v>0</v>
      </c>
      <c r="GF390" s="9" t="n">
        <v>960</v>
      </c>
      <c r="GJ390" s="10" t="n">
        <v>46356</v>
      </c>
      <c r="GL390" s="9" t="n">
        <v>0</v>
      </c>
      <c r="GN390" s="9" t="n">
        <v>0</v>
      </c>
      <c r="GO390" s="9" t="n">
        <v>1760</v>
      </c>
      <c r="GS390" s="10" t="n">
        <v>46356</v>
      </c>
      <c r="GU390" s="9" t="n">
        <v>0</v>
      </c>
      <c r="GW390" s="9" t="n">
        <v>0</v>
      </c>
      <c r="GX390" s="9" t="n">
        <v>400</v>
      </c>
      <c r="HB390" s="10" t="n">
        <v>46356</v>
      </c>
      <c r="HD390" s="9" t="n">
        <v>0</v>
      </c>
      <c r="HF390" s="9" t="n">
        <v>0</v>
      </c>
      <c r="HG390" s="9" t="n">
        <v>3600</v>
      </c>
      <c r="HK390" s="10" t="n">
        <v>46356</v>
      </c>
      <c r="HM390" s="9" t="n">
        <v>0</v>
      </c>
      <c r="HO390" s="9" t="n">
        <v>0</v>
      </c>
      <c r="HP390" s="9" t="n">
        <v>0</v>
      </c>
      <c r="HU390" s="10" t="n">
        <v>46356</v>
      </c>
      <c r="HW390" s="9" t="n">
        <v>0</v>
      </c>
      <c r="HY390" s="9" t="n">
        <v>0</v>
      </c>
      <c r="HZ390" s="9" t="n">
        <v>6120</v>
      </c>
      <c r="ID390" s="10" t="n">
        <v>46356</v>
      </c>
      <c r="IF390" s="9" t="n">
        <v>0</v>
      </c>
      <c r="IH390" s="9" t="n">
        <v>0</v>
      </c>
      <c r="II390" s="9" t="n">
        <v>0</v>
      </c>
      <c r="IM390" s="10" t="n">
        <v>46356</v>
      </c>
      <c r="IO390" s="9" t="n">
        <v>0</v>
      </c>
      <c r="IQ390" s="9" t="n">
        <v>0</v>
      </c>
      <c r="IR390" s="9" t="n">
        <v>0</v>
      </c>
      <c r="IV390" s="10" t="n">
        <v>46356</v>
      </c>
      <c r="IX390" s="9" t="n">
        <v>0</v>
      </c>
      <c r="IZ390" s="9" t="n">
        <v>0</v>
      </c>
      <c r="JA390" s="9" t="n">
        <v>2820</v>
      </c>
      <c r="JE390" s="10" t="n">
        <v>46356</v>
      </c>
      <c r="JG390" s="9" t="n">
        <v>0</v>
      </c>
      <c r="JI390" s="9" t="n">
        <v>0</v>
      </c>
      <c r="JJ390" s="9" t="n">
        <v>0</v>
      </c>
      <c r="JN390" s="10" t="n">
        <v>46356</v>
      </c>
      <c r="JP390" s="9" t="n">
        <v>0</v>
      </c>
      <c r="JR390" s="9" t="n">
        <v>0</v>
      </c>
      <c r="JS390" s="9" t="n">
        <v>0</v>
      </c>
      <c r="JW390" s="10" t="n">
        <v>46356</v>
      </c>
      <c r="JY390" s="9" t="n">
        <v>0</v>
      </c>
      <c r="KA390" s="9" t="n">
        <v>0</v>
      </c>
      <c r="KB390" s="9" t="n">
        <v>2540</v>
      </c>
      <c r="KF390" s="10" t="n">
        <v>46356</v>
      </c>
      <c r="KH390" s="9" t="n">
        <v>0</v>
      </c>
      <c r="KJ390" s="9" t="n">
        <v>0</v>
      </c>
      <c r="KK390" s="9" t="n">
        <v>2359.5</v>
      </c>
      <c r="KO390" s="10" t="n">
        <v>46356</v>
      </c>
      <c r="KQ390" s="9" t="n">
        <v>0</v>
      </c>
      <c r="KS390" s="9" t="n">
        <v>0</v>
      </c>
      <c r="KT390" s="9" t="n">
        <v>1890</v>
      </c>
      <c r="KX390" s="10" t="n">
        <v>46356</v>
      </c>
      <c r="KZ390" s="9" t="n">
        <v>0</v>
      </c>
      <c r="LB390" s="9" t="n">
        <v>0</v>
      </c>
      <c r="LC390" s="9" t="n">
        <v>3690</v>
      </c>
      <c r="LG390" s="10" t="n">
        <v>46356</v>
      </c>
      <c r="LI390" s="9" t="n">
        <v>0</v>
      </c>
      <c r="LK390" s="9" t="n">
        <v>0</v>
      </c>
      <c r="LL390" s="9" t="n">
        <v>4000</v>
      </c>
      <c r="LP390" s="10" t="n">
        <v>46356</v>
      </c>
      <c r="LR390" s="9" t="n">
        <v>0</v>
      </c>
      <c r="LT390" s="9" t="n">
        <v>0</v>
      </c>
      <c r="LU390" s="9" t="n">
        <v>0</v>
      </c>
      <c r="LY390" s="10" t="n">
        <v>46356</v>
      </c>
      <c r="MA390" s="9" t="n">
        <v>0</v>
      </c>
      <c r="MC390" s="9" t="n">
        <v>0</v>
      </c>
      <c r="MD390" s="9" t="n">
        <v>0</v>
      </c>
      <c r="MH390" s="10" t="n">
        <v>46356</v>
      </c>
      <c r="MJ390" s="9" t="n">
        <v>0</v>
      </c>
      <c r="ML390" s="9" t="n">
        <v>0</v>
      </c>
      <c r="MM390" s="9" t="n">
        <v>0</v>
      </c>
      <c r="MQ390" s="10" t="n">
        <v>46356</v>
      </c>
      <c r="MS390" s="9" t="n">
        <v>0</v>
      </c>
      <c r="MU390" s="9" t="n">
        <v>0</v>
      </c>
      <c r="MV390" s="9" t="n">
        <v>1625</v>
      </c>
      <c r="MZ390" s="10" t="n">
        <v>46356</v>
      </c>
      <c r="NB390" s="9" t="n">
        <v>0</v>
      </c>
      <c r="ND390" s="9" t="n">
        <v>0</v>
      </c>
      <c r="NE390" s="9" t="n">
        <v>0</v>
      </c>
      <c r="NI390" s="10" t="n">
        <v>46356</v>
      </c>
      <c r="NK390" s="9" t="n">
        <v>0</v>
      </c>
      <c r="NM390" s="9" t="n">
        <v>0</v>
      </c>
      <c r="NN390" s="9" t="n">
        <v>1127</v>
      </c>
      <c r="NR390" s="10" t="n">
        <v>46356</v>
      </c>
      <c r="NT390" s="9" t="n">
        <v>0</v>
      </c>
      <c r="NV390" s="9" t="n">
        <v>0</v>
      </c>
      <c r="NW390" s="9" t="n">
        <v>3112</v>
      </c>
      <c r="OA390" s="10" t="n">
        <v>46356</v>
      </c>
      <c r="OC390" s="9" t="n">
        <v>0</v>
      </c>
      <c r="OE390" s="9" t="n">
        <v>0</v>
      </c>
      <c r="OF390" s="9" t="n">
        <v>1680.5</v>
      </c>
      <c r="OJ390" s="10" t="n">
        <v>46356</v>
      </c>
      <c r="OL390" s="9" t="n">
        <v>0</v>
      </c>
      <c r="ON390" s="9" t="n">
        <v>0</v>
      </c>
      <c r="OO390" s="9" t="n">
        <v>0</v>
      </c>
      <c r="OS390" s="10" t="n">
        <v>46356</v>
      </c>
      <c r="OU390" s="9" t="n">
        <v>0</v>
      </c>
      <c r="OW390" s="9" t="n">
        <v>0</v>
      </c>
      <c r="OX390" s="9" t="n">
        <v>1482</v>
      </c>
      <c r="PB390" s="10" t="n">
        <v>46356</v>
      </c>
      <c r="PD390" s="9" t="n">
        <v>0</v>
      </c>
      <c r="PF390" s="9" t="n">
        <v>0</v>
      </c>
      <c r="PG390" s="9" t="n">
        <v>0</v>
      </c>
      <c r="PK390" s="10" t="n">
        <v>46356</v>
      </c>
      <c r="PM390" s="9" t="n">
        <v>0</v>
      </c>
      <c r="PO390" s="9" t="n">
        <v>0</v>
      </c>
      <c r="PP390" s="9" t="n">
        <v>100</v>
      </c>
      <c r="PT390" s="10" t="n">
        <v>46356</v>
      </c>
      <c r="PV390" s="9" t="n">
        <v>0</v>
      </c>
      <c r="PX390" s="9" t="n">
        <v>0</v>
      </c>
      <c r="PY390" s="9" t="n">
        <v>13.96000000000004</v>
      </c>
      <c r="QC390" s="10" t="n">
        <v>46356</v>
      </c>
      <c r="QE390" s="9" t="n">
        <v>0</v>
      </c>
      <c r="QG390" s="9" t="n">
        <v>0</v>
      </c>
      <c r="QH390" s="9" t="n">
        <v>548</v>
      </c>
      <c r="QL390" s="10" t="n">
        <v>46356</v>
      </c>
      <c r="QN390" s="9" t="n">
        <v>0</v>
      </c>
      <c r="QP390" s="9" t="n">
        <v>0</v>
      </c>
      <c r="QQ390" s="9" t="n">
        <v>0</v>
      </c>
      <c r="QU390" s="10" t="n">
        <v>46356</v>
      </c>
      <c r="QW390" s="9" t="n">
        <v>0</v>
      </c>
      <c r="QY390" s="9" t="n">
        <v>0</v>
      </c>
      <c r="QZ390" s="9" t="n">
        <v>0</v>
      </c>
      <c r="RD390" s="10" t="n">
        <v>46356</v>
      </c>
      <c r="RF390" s="9" t="n">
        <v>0</v>
      </c>
      <c r="RH390" s="9" t="n">
        <v>0</v>
      </c>
      <c r="RI390" s="9" t="n">
        <v>147.04</v>
      </c>
      <c r="RM390" s="10" t="n">
        <v>46356</v>
      </c>
      <c r="RO390" s="9" t="n">
        <v>0</v>
      </c>
      <c r="RQ390" s="9" t="n">
        <v>0</v>
      </c>
      <c r="RR390" s="9" t="n">
        <v>46.8</v>
      </c>
      <c r="RV390" s="10" t="n">
        <v>46356</v>
      </c>
      <c r="RX390" s="9" t="n">
        <v>0</v>
      </c>
      <c r="RZ390" s="9" t="n">
        <v>0</v>
      </c>
      <c r="SA390" s="9" t="n">
        <v>0</v>
      </c>
      <c r="SE390" s="10" t="n">
        <v>46356</v>
      </c>
      <c r="SG390" s="9" t="n">
        <v>0</v>
      </c>
      <c r="SI390" s="9" t="n">
        <v>0</v>
      </c>
      <c r="SJ390" s="9" t="n">
        <v>24.2</v>
      </c>
      <c r="SN390" s="10" t="n">
        <v>46356</v>
      </c>
      <c r="SP390" s="9" t="n">
        <v>0</v>
      </c>
      <c r="SR390" s="9" t="n">
        <v>0</v>
      </c>
      <c r="SS390" s="9" t="n">
        <v>32</v>
      </c>
      <c r="SW390" s="10" t="n">
        <v>46356</v>
      </c>
      <c r="SY390" s="9" t="n">
        <v>0</v>
      </c>
      <c r="TA390" s="9" t="n">
        <v>0</v>
      </c>
      <c r="TB390" s="9" t="n">
        <v>0</v>
      </c>
      <c r="TF390" s="10" t="n">
        <v>46356</v>
      </c>
      <c r="TH390" s="9" t="n">
        <v>0</v>
      </c>
      <c r="TJ390" s="9" t="n">
        <v>0</v>
      </c>
      <c r="TK390" s="9" t="n">
        <v>0</v>
      </c>
      <c r="TO390" s="10" t="n">
        <v>46356</v>
      </c>
      <c r="TQ390" s="9" t="n">
        <v>0</v>
      </c>
      <c r="TS390" s="9" t="n">
        <v>0</v>
      </c>
      <c r="TT390" s="9" t="n">
        <v>0</v>
      </c>
      <c r="TX390" s="10" t="n">
        <v>46356</v>
      </c>
      <c r="TZ390" s="9" t="n">
        <v>0</v>
      </c>
      <c r="UB390" s="9" t="n">
        <v>0</v>
      </c>
      <c r="UC390" s="9" t="n">
        <v>46.79999999999998</v>
      </c>
      <c r="UG390" s="10" t="n">
        <v>46356</v>
      </c>
      <c r="UI390" s="9" t="n">
        <v>0</v>
      </c>
      <c r="UK390" s="9" t="n">
        <v>0</v>
      </c>
      <c r="UL390" s="9" t="n">
        <v>204</v>
      </c>
      <c r="UP390" s="10" t="n">
        <v>46356</v>
      </c>
      <c r="UR390" s="9" t="n">
        <v>0</v>
      </c>
      <c r="UT390" s="9" t="n">
        <v>0</v>
      </c>
      <c r="UU390" s="9" t="n">
        <v>202.5</v>
      </c>
      <c r="UY390" s="10" t="n">
        <v>46356</v>
      </c>
      <c r="VA390" s="9" t="n">
        <v>0</v>
      </c>
      <c r="VC390" s="9" t="n">
        <v>0</v>
      </c>
      <c r="VD390" s="9" t="n">
        <v>41.60000000000002</v>
      </c>
      <c r="VH390" s="10" t="n">
        <v>46356</v>
      </c>
      <c r="VJ390" s="9" t="n">
        <v>0</v>
      </c>
      <c r="VL390" s="9" t="n">
        <v>0</v>
      </c>
      <c r="VM390" s="9" t="n">
        <v>210</v>
      </c>
      <c r="VQ390" s="10" t="n">
        <v>46356</v>
      </c>
      <c r="VS390" s="9" t="n">
        <v>0</v>
      </c>
      <c r="VU390" s="9" t="n">
        <v>0</v>
      </c>
      <c r="VV390" s="9" t="n">
        <v>0</v>
      </c>
      <c r="VZ390" s="10" t="n">
        <v>46356</v>
      </c>
      <c r="WB390" s="9" t="n">
        <v>0</v>
      </c>
      <c r="WD390" s="9" t="n">
        <v>0</v>
      </c>
      <c r="WE390" s="9" t="n">
        <v>0</v>
      </c>
      <c r="WI390" s="10" t="n">
        <v>46356</v>
      </c>
      <c r="WK390" s="9" t="n">
        <v>0</v>
      </c>
      <c r="WM390" s="9" t="n">
        <v>0</v>
      </c>
      <c r="WN390" s="9" t="n">
        <v>1057</v>
      </c>
      <c r="WR390" s="10" t="n">
        <v>46356</v>
      </c>
      <c r="WT390" s="9" t="n">
        <v>0</v>
      </c>
      <c r="WV390" s="9" t="n">
        <v>0</v>
      </c>
      <c r="WW390" s="9" t="n">
        <v>0</v>
      </c>
      <c r="XA390" s="10" t="n">
        <v>46356</v>
      </c>
      <c r="XC390" s="9" t="n">
        <v>0</v>
      </c>
      <c r="XE390" s="9" t="n">
        <v>0</v>
      </c>
      <c r="XF390" s="9" t="n">
        <v>7507</v>
      </c>
      <c r="XJ390" s="10" t="n">
        <v>46356</v>
      </c>
      <c r="XL390" s="9" t="n">
        <v>0</v>
      </c>
      <c r="XN390" s="9" t="n">
        <v>0</v>
      </c>
      <c r="XO390" s="9" t="n">
        <v>4252</v>
      </c>
      <c r="XS390" s="10" t="n">
        <v>46356</v>
      </c>
      <c r="XU390" s="9" t="n">
        <v>0</v>
      </c>
      <c r="XW390" s="9" t="n">
        <v>0</v>
      </c>
      <c r="XX390" s="9" t="n">
        <v>2179</v>
      </c>
      <c r="YB390" s="10" t="n">
        <v>46356</v>
      </c>
      <c r="YD390" s="9" t="n">
        <v>0</v>
      </c>
      <c r="YF390" s="9" t="n">
        <v>0</v>
      </c>
      <c r="YG390" s="9" t="n">
        <v>4019</v>
      </c>
      <c r="YK390" s="10" t="n">
        <v>46356</v>
      </c>
      <c r="YM390" s="9" t="n">
        <v>0</v>
      </c>
      <c r="YO390" s="9" t="n">
        <v>0</v>
      </c>
      <c r="YP390" s="9" t="n">
        <v>-218</v>
      </c>
      <c r="YT390" s="10" t="n">
        <v>46356</v>
      </c>
      <c r="YV390" s="9" t="n">
        <v>0</v>
      </c>
      <c r="YX390" s="9" t="n">
        <v>0</v>
      </c>
      <c r="YY390" s="9" t="n">
        <v>0</v>
      </c>
      <c r="ZC390" s="10" t="n">
        <v>46356</v>
      </c>
      <c r="ZE390" s="9" t="n">
        <v>0</v>
      </c>
      <c r="ZG390" s="9" t="n">
        <v>0</v>
      </c>
      <c r="ZH390" s="9" t="n">
        <v>0</v>
      </c>
      <c r="ZL390" s="10" t="n">
        <v>46356</v>
      </c>
      <c r="ZN390" s="9" t="n">
        <v>0</v>
      </c>
      <c r="ZP390" s="9" t="n">
        <v>0</v>
      </c>
      <c r="ZQ390" s="9" t="n">
        <v>0</v>
      </c>
      <c r="ZU390" s="10" t="n">
        <v>46356</v>
      </c>
      <c r="ZW390" s="9" t="n">
        <v>0</v>
      </c>
      <c r="ZY390" s="9" t="n">
        <v>0</v>
      </c>
      <c r="ZZ390" s="9" t="n">
        <v>0</v>
      </c>
      <c r="AAD390" s="10" t="n">
        <v>46356</v>
      </c>
      <c r="AAF390" s="9" t="n">
        <v>0</v>
      </c>
      <c r="AAH390" s="9" t="n">
        <v>0</v>
      </c>
      <c r="AAI390" s="9" t="n">
        <v>0</v>
      </c>
      <c r="AAM390" s="10" t="n">
        <v>46356</v>
      </c>
      <c r="AAO390" s="9" t="n">
        <v>0</v>
      </c>
      <c r="AAQ390" s="9" t="n">
        <v>0</v>
      </c>
      <c r="AAR390" s="9" t="n">
        <v>0</v>
      </c>
      <c r="AAV390" s="10" t="n">
        <v>46356</v>
      </c>
      <c r="AAX390" s="9" t="n">
        <v>0</v>
      </c>
      <c r="AAZ390" s="9" t="n">
        <v>0</v>
      </c>
      <c r="ABA390" s="9" t="n">
        <v>0</v>
      </c>
      <c r="ABE390" s="10" t="n">
        <v>46356</v>
      </c>
      <c r="ABG390" s="9" t="n">
        <v>0</v>
      </c>
      <c r="ABI390" s="9" t="n">
        <v>0</v>
      </c>
      <c r="ABJ390" s="9" t="n">
        <v>0</v>
      </c>
    </row>
    <row r="391">
      <c r="B391" s="9" t="n">
        <v>0</v>
      </c>
      <c r="C391" s="9" t="inlineStr">
        <is>
          <t>TOTAL</t>
        </is>
      </c>
      <c r="D391" s="9" t="n">
        <v>0</v>
      </c>
      <c r="E391" s="9" t="n">
        <v>0</v>
      </c>
      <c r="F391" s="9" t="n">
        <v>0</v>
      </c>
      <c r="G391" s="9" t="n">
        <v>0</v>
      </c>
      <c r="H391" s="9" t="n">
        <v>236936.6</v>
      </c>
      <c r="L391" s="9" t="inlineStr">
        <is>
          <t>TOTAL</t>
        </is>
      </c>
      <c r="M391" s="9" t="n">
        <v>0</v>
      </c>
      <c r="N391" s="9" t="n">
        <v>0</v>
      </c>
      <c r="O391" s="9" t="n">
        <v>0</v>
      </c>
      <c r="P391" s="9" t="n">
        <v>0</v>
      </c>
      <c r="Q391" s="9" t="n">
        <v>53017.60000000007</v>
      </c>
      <c r="U391" s="9" t="inlineStr">
        <is>
          <t>TOTAL</t>
        </is>
      </c>
      <c r="V391" s="9" t="n">
        <v>0</v>
      </c>
      <c r="W391" s="9" t="n">
        <v>0</v>
      </c>
      <c r="X391" s="9" t="n">
        <v>0</v>
      </c>
      <c r="Y391" s="9" t="n">
        <v>0</v>
      </c>
      <c r="Z391" s="9" t="n">
        <v>42674.19999999997</v>
      </c>
      <c r="AD391" s="9" t="inlineStr">
        <is>
          <t>TOTAL</t>
        </is>
      </c>
      <c r="AE391" s="9" t="n">
        <v>0</v>
      </c>
      <c r="AF391" s="9" t="n">
        <v>0</v>
      </c>
      <c r="AG391" s="9" t="n">
        <v>0</v>
      </c>
      <c r="AH391" s="9" t="n">
        <v>0</v>
      </c>
      <c r="AI391" s="9" t="n">
        <v>4522.200000000019</v>
      </c>
      <c r="AM391" s="9" t="inlineStr">
        <is>
          <t>TOTAL</t>
        </is>
      </c>
      <c r="AN391" s="9" t="n">
        <v>0</v>
      </c>
      <c r="AO391" s="9" t="n">
        <v>0</v>
      </c>
      <c r="AP391" s="9" t="n">
        <v>0</v>
      </c>
      <c r="AQ391" s="9" t="n">
        <v>0</v>
      </c>
      <c r="AR391" s="9" t="n">
        <v>0</v>
      </c>
      <c r="AV391" s="9" t="inlineStr">
        <is>
          <t>TOTAL</t>
        </is>
      </c>
      <c r="AW391" s="9" t="n">
        <v>0</v>
      </c>
      <c r="AX391" s="9" t="n">
        <v>0</v>
      </c>
      <c r="AY391" s="9" t="n">
        <v>0</v>
      </c>
      <c r="AZ391" s="9" t="n">
        <v>0</v>
      </c>
      <c r="BA391" s="9" t="n">
        <v>124.9999999999952</v>
      </c>
      <c r="BE391" s="9" t="inlineStr">
        <is>
          <t>TOTAL</t>
        </is>
      </c>
      <c r="BF391" s="9" t="n">
        <v>0</v>
      </c>
      <c r="BG391" s="9" t="n">
        <v>0</v>
      </c>
      <c r="BH391" s="9" t="n">
        <v>0</v>
      </c>
      <c r="BI391" s="9" t="n">
        <v>0</v>
      </c>
      <c r="BJ391" s="9" t="n">
        <v>26151.9</v>
      </c>
      <c r="BN391" s="9" t="inlineStr">
        <is>
          <t>TOTAL</t>
        </is>
      </c>
      <c r="BO391" s="9" t="n">
        <v>0</v>
      </c>
      <c r="BP391" s="9" t="n">
        <v>0</v>
      </c>
      <c r="BQ391" s="9" t="n">
        <v>0</v>
      </c>
      <c r="BR391" s="9" t="n">
        <v>0</v>
      </c>
      <c r="BS391" s="9" t="n">
        <v>0</v>
      </c>
      <c r="BW391" s="9" t="inlineStr">
        <is>
          <t>TOTAL</t>
        </is>
      </c>
      <c r="BX391" s="9" t="n">
        <v>0</v>
      </c>
      <c r="BY391" s="9" t="n">
        <v>0</v>
      </c>
      <c r="BZ391" s="9" t="n">
        <v>0</v>
      </c>
      <c r="CA391" s="9" t="n">
        <v>0</v>
      </c>
      <c r="CB391" s="9" t="n">
        <v>2097.339999999999</v>
      </c>
      <c r="CF391" s="9" t="inlineStr">
        <is>
          <t>TOTAL</t>
        </is>
      </c>
      <c r="CG391" s="9" t="n">
        <v>0</v>
      </c>
      <c r="CH391" s="9" t="n">
        <v>0</v>
      </c>
      <c r="CI391" s="9" t="n">
        <v>0</v>
      </c>
      <c r="CJ391" s="9" t="n">
        <v>0</v>
      </c>
      <c r="CK391" s="9" t="n">
        <v>-10277.08</v>
      </c>
      <c r="CO391" s="9" t="inlineStr">
        <is>
          <t>TOTAL</t>
        </is>
      </c>
      <c r="CP391" s="9" t="n">
        <v>0</v>
      </c>
      <c r="CQ391" s="9" t="n">
        <v>0</v>
      </c>
      <c r="CR391" s="9" t="n">
        <v>0</v>
      </c>
      <c r="CS391" s="9" t="n">
        <v>0</v>
      </c>
      <c r="CT391" s="9" t="n">
        <v>0</v>
      </c>
      <c r="CX391" s="9" t="inlineStr">
        <is>
          <t>TOTAL</t>
        </is>
      </c>
      <c r="CY391" s="9" t="n">
        <v>0</v>
      </c>
      <c r="CZ391" s="9" t="n">
        <v>0</v>
      </c>
      <c r="DA391" s="9" t="n">
        <v>0</v>
      </c>
      <c r="DB391" s="9" t="n">
        <v>0</v>
      </c>
      <c r="DC391" s="9" t="n">
        <v>27438.20000000001</v>
      </c>
      <c r="DG391" s="9" t="inlineStr">
        <is>
          <t>TOTAL</t>
        </is>
      </c>
      <c r="DH391" s="9" t="n">
        <v>0</v>
      </c>
      <c r="DI391" s="9" t="n">
        <v>0</v>
      </c>
      <c r="DJ391" s="9" t="n">
        <v>0</v>
      </c>
      <c r="DK391" s="9" t="n">
        <v>0</v>
      </c>
      <c r="DL391" s="9" t="n">
        <v>18782.29999999998</v>
      </c>
      <c r="DP391" s="9" t="inlineStr">
        <is>
          <t>TOTAL</t>
        </is>
      </c>
      <c r="DQ391" s="9" t="n">
        <v>0</v>
      </c>
      <c r="DR391" s="9" t="n">
        <v>0</v>
      </c>
      <c r="DS391" s="9" t="n">
        <v>0</v>
      </c>
      <c r="DT391" s="9" t="n">
        <v>0</v>
      </c>
      <c r="DU391" s="9" t="n">
        <v>5800</v>
      </c>
      <c r="DY391" s="9" t="inlineStr">
        <is>
          <t>TOTAL</t>
        </is>
      </c>
      <c r="DZ391" s="9" t="n">
        <v>0</v>
      </c>
      <c r="EA391" s="9" t="n">
        <v>0</v>
      </c>
      <c r="EB391" s="9" t="n">
        <v>0</v>
      </c>
      <c r="EC391" s="9" t="n">
        <v>0</v>
      </c>
      <c r="ED391" s="9" t="n">
        <v>0</v>
      </c>
      <c r="EH391" s="9" t="inlineStr">
        <is>
          <t>TOTAL</t>
        </is>
      </c>
      <c r="EI391" s="9" t="n">
        <v>0</v>
      </c>
      <c r="EJ391" s="9" t="n">
        <v>0</v>
      </c>
      <c r="EK391" s="9" t="n">
        <v>0</v>
      </c>
      <c r="EL391" s="9" t="n">
        <v>0</v>
      </c>
      <c r="EM391" s="9" t="n">
        <v>0</v>
      </c>
      <c r="EQ391" s="9" t="inlineStr">
        <is>
          <t>TOTAL</t>
        </is>
      </c>
      <c r="ER391" s="9" t="n">
        <v>0</v>
      </c>
      <c r="ES391" s="9" t="n">
        <v>0</v>
      </c>
      <c r="ET391" s="9" t="n">
        <v>0</v>
      </c>
      <c r="EU391" s="9" t="n">
        <v>0</v>
      </c>
      <c r="EV391" s="9" t="n">
        <v>0</v>
      </c>
      <c r="EZ391" s="9" t="inlineStr">
        <is>
          <t>TOTAL</t>
        </is>
      </c>
      <c r="FA391" s="9" t="n">
        <v>0</v>
      </c>
      <c r="FB391" s="9" t="n">
        <v>0</v>
      </c>
      <c r="FC391" s="9" t="n">
        <v>0</v>
      </c>
      <c r="FD391" s="9" t="n">
        <v>0</v>
      </c>
      <c r="FE391" s="9" t="n">
        <v>0</v>
      </c>
      <c r="FI391" s="9" t="inlineStr">
        <is>
          <t>TOTAL</t>
        </is>
      </c>
      <c r="FJ391" s="9" t="n">
        <v>0</v>
      </c>
      <c r="FK391" s="9" t="n">
        <v>0</v>
      </c>
      <c r="FL391" s="9" t="n">
        <v>0</v>
      </c>
      <c r="FM391" s="9" t="n">
        <v>0</v>
      </c>
      <c r="FN391" s="9" t="n">
        <v>0</v>
      </c>
      <c r="FR391" s="9" t="inlineStr">
        <is>
          <t>TOTAL</t>
        </is>
      </c>
      <c r="FS391" s="9" t="n">
        <v>0</v>
      </c>
      <c r="FT391" s="9" t="n">
        <v>0</v>
      </c>
      <c r="FU391" s="9" t="n">
        <v>0</v>
      </c>
      <c r="FV391" s="9" t="n">
        <v>0</v>
      </c>
      <c r="FW391" s="9" t="n">
        <v>2020</v>
      </c>
      <c r="GA391" s="9" t="inlineStr">
        <is>
          <t>TOTAL</t>
        </is>
      </c>
      <c r="GB391" s="9" t="n">
        <v>0</v>
      </c>
      <c r="GC391" s="9" t="n">
        <v>0</v>
      </c>
      <c r="GD391" s="9" t="n">
        <v>0</v>
      </c>
      <c r="GE391" s="9" t="n">
        <v>0</v>
      </c>
      <c r="GF391" s="9" t="n">
        <v>960</v>
      </c>
      <c r="GJ391" s="9" t="inlineStr">
        <is>
          <t>TOTAL</t>
        </is>
      </c>
      <c r="GK391" s="9" t="n">
        <v>0</v>
      </c>
      <c r="GL391" s="9" t="n">
        <v>0</v>
      </c>
      <c r="GM391" s="9" t="n">
        <v>0</v>
      </c>
      <c r="GN391" s="9" t="n">
        <v>0</v>
      </c>
      <c r="GO391" s="9" t="n">
        <v>1760</v>
      </c>
      <c r="GS391" s="9" t="inlineStr">
        <is>
          <t>TOTAL</t>
        </is>
      </c>
      <c r="GT391" s="9" t="n">
        <v>0</v>
      </c>
      <c r="GU391" s="9" t="n">
        <v>0</v>
      </c>
      <c r="GV391" s="9" t="n">
        <v>0</v>
      </c>
      <c r="GW391" s="9" t="n">
        <v>0</v>
      </c>
      <c r="GX391" s="9" t="n">
        <v>400</v>
      </c>
      <c r="HB391" s="9" t="inlineStr">
        <is>
          <t>TOTAL</t>
        </is>
      </c>
      <c r="HC391" s="9" t="n">
        <v>0</v>
      </c>
      <c r="HD391" s="9" t="n">
        <v>0</v>
      </c>
      <c r="HE391" s="9" t="n">
        <v>0</v>
      </c>
      <c r="HF391" s="9" t="n">
        <v>0</v>
      </c>
      <c r="HG391" s="9" t="n">
        <v>3600</v>
      </c>
      <c r="HK391" s="9" t="inlineStr">
        <is>
          <t>TOTAL</t>
        </is>
      </c>
      <c r="HL391" s="9" t="n">
        <v>0</v>
      </c>
      <c r="HM391" s="9" t="n">
        <v>0</v>
      </c>
      <c r="HN391" s="9" t="n">
        <v>0</v>
      </c>
      <c r="HO391" s="9" t="n">
        <v>0</v>
      </c>
      <c r="HP391" s="9" t="n">
        <v>0</v>
      </c>
      <c r="HU391" s="9" t="inlineStr">
        <is>
          <t>TOTAL</t>
        </is>
      </c>
      <c r="HV391" s="9" t="n">
        <v>0</v>
      </c>
      <c r="HW391" s="9" t="n">
        <v>0</v>
      </c>
      <c r="HX391" s="9" t="n">
        <v>0</v>
      </c>
      <c r="HY391" s="9" t="n">
        <v>0</v>
      </c>
      <c r="HZ391" s="9" t="n">
        <v>6120</v>
      </c>
      <c r="ID391" s="9" t="inlineStr">
        <is>
          <t>TOTAL</t>
        </is>
      </c>
      <c r="IE391" s="9" t="n">
        <v>0</v>
      </c>
      <c r="IF391" s="9" t="n">
        <v>0</v>
      </c>
      <c r="IG391" s="9" t="n">
        <v>0</v>
      </c>
      <c r="IH391" s="9" t="n">
        <v>0</v>
      </c>
      <c r="II391" s="9" t="n">
        <v>0</v>
      </c>
      <c r="IM391" s="9" t="inlineStr">
        <is>
          <t>TOTAL</t>
        </is>
      </c>
      <c r="IN391" s="9" t="n">
        <v>0</v>
      </c>
      <c r="IO391" s="9" t="n">
        <v>0</v>
      </c>
      <c r="IP391" s="9" t="n">
        <v>0</v>
      </c>
      <c r="IQ391" s="9" t="n">
        <v>0</v>
      </c>
      <c r="IR391" s="9" t="n">
        <v>0</v>
      </c>
      <c r="IV391" s="9" t="inlineStr">
        <is>
          <t>TOTAL</t>
        </is>
      </c>
      <c r="IW391" s="9" t="n">
        <v>0</v>
      </c>
      <c r="IX391" s="9" t="n">
        <v>0</v>
      </c>
      <c r="IY391" s="9" t="n">
        <v>0</v>
      </c>
      <c r="IZ391" s="9" t="n">
        <v>0</v>
      </c>
      <c r="JA391" s="9" t="n">
        <v>2820</v>
      </c>
      <c r="JE391" s="9" t="inlineStr">
        <is>
          <t>TOTAL</t>
        </is>
      </c>
      <c r="JF391" s="9" t="n">
        <v>0</v>
      </c>
      <c r="JG391" s="9" t="n">
        <v>0</v>
      </c>
      <c r="JH391" s="9" t="n">
        <v>0</v>
      </c>
      <c r="JI391" s="9" t="n">
        <v>0</v>
      </c>
      <c r="JJ391" s="9" t="n">
        <v>0</v>
      </c>
      <c r="JN391" s="9" t="inlineStr">
        <is>
          <t>TOTAL</t>
        </is>
      </c>
      <c r="JO391" s="9" t="n">
        <v>0</v>
      </c>
      <c r="JP391" s="9" t="n">
        <v>0</v>
      </c>
      <c r="JQ391" s="9" t="n">
        <v>0</v>
      </c>
      <c r="JR391" s="9" t="n">
        <v>0</v>
      </c>
      <c r="JS391" s="9" t="n">
        <v>0</v>
      </c>
      <c r="JW391" s="9" t="inlineStr">
        <is>
          <t>TOTAL</t>
        </is>
      </c>
      <c r="JX391" s="9" t="n">
        <v>0</v>
      </c>
      <c r="JY391" s="9" t="n">
        <v>0</v>
      </c>
      <c r="JZ391" s="9" t="n">
        <v>0</v>
      </c>
      <c r="KA391" s="9" t="n">
        <v>0</v>
      </c>
      <c r="KB391" s="9" t="n">
        <v>2540</v>
      </c>
      <c r="KF391" s="9" t="inlineStr">
        <is>
          <t>TOTAL</t>
        </is>
      </c>
      <c r="KG391" s="9" t="n">
        <v>0</v>
      </c>
      <c r="KH391" s="9" t="n">
        <v>0</v>
      </c>
      <c r="KI391" s="9" t="n">
        <v>0</v>
      </c>
      <c r="KJ391" s="9" t="n">
        <v>0</v>
      </c>
      <c r="KK391" s="9" t="n">
        <v>2359.5</v>
      </c>
      <c r="KO391" s="9" t="inlineStr">
        <is>
          <t>TOTAL</t>
        </is>
      </c>
      <c r="KP391" s="9" t="n">
        <v>0</v>
      </c>
      <c r="KQ391" s="9" t="n">
        <v>0</v>
      </c>
      <c r="KR391" s="9" t="n">
        <v>0</v>
      </c>
      <c r="KS391" s="9" t="n">
        <v>0</v>
      </c>
      <c r="KT391" s="9" t="n">
        <v>1890</v>
      </c>
      <c r="KX391" s="9" t="inlineStr">
        <is>
          <t>TOTAL</t>
        </is>
      </c>
      <c r="KY391" s="9" t="n">
        <v>0</v>
      </c>
      <c r="KZ391" s="9" t="n">
        <v>0</v>
      </c>
      <c r="LA391" s="9" t="n">
        <v>0</v>
      </c>
      <c r="LB391" s="9" t="n">
        <v>0</v>
      </c>
      <c r="LC391" s="9" t="n">
        <v>3690</v>
      </c>
      <c r="LG391" s="9" t="inlineStr">
        <is>
          <t>TOTAL</t>
        </is>
      </c>
      <c r="LH391" s="9" t="n">
        <v>0</v>
      </c>
      <c r="LI391" s="9" t="n">
        <v>0</v>
      </c>
      <c r="LJ391" s="9" t="n">
        <v>0</v>
      </c>
      <c r="LK391" s="9" t="n">
        <v>0</v>
      </c>
      <c r="LL391" s="9" t="n">
        <v>4000</v>
      </c>
      <c r="LP391" s="9" t="inlineStr">
        <is>
          <t>TOTAL</t>
        </is>
      </c>
      <c r="LQ391" s="9" t="n">
        <v>0</v>
      </c>
      <c r="LR391" s="9" t="n">
        <v>0</v>
      </c>
      <c r="LS391" s="9" t="n">
        <v>0</v>
      </c>
      <c r="LT391" s="9" t="n">
        <v>0</v>
      </c>
      <c r="LU391" s="9" t="n">
        <v>0</v>
      </c>
      <c r="LY391" s="9" t="inlineStr">
        <is>
          <t>TOTAL</t>
        </is>
      </c>
      <c r="LZ391" s="9" t="n">
        <v>0</v>
      </c>
      <c r="MA391" s="9" t="n">
        <v>0</v>
      </c>
      <c r="MB391" s="9" t="n">
        <v>0</v>
      </c>
      <c r="MC391" s="9" t="n">
        <v>0</v>
      </c>
      <c r="MD391" s="9" t="n">
        <v>0</v>
      </c>
      <c r="MH391" s="9" t="inlineStr">
        <is>
          <t>TOTAL</t>
        </is>
      </c>
      <c r="MI391" s="9" t="n">
        <v>0</v>
      </c>
      <c r="MJ391" s="9" t="n">
        <v>0</v>
      </c>
      <c r="MK391" s="9" t="n">
        <v>0</v>
      </c>
      <c r="ML391" s="9" t="n">
        <v>0</v>
      </c>
      <c r="MM391" s="9" t="n">
        <v>0</v>
      </c>
      <c r="MQ391" s="9" t="inlineStr">
        <is>
          <t>TOTAL</t>
        </is>
      </c>
      <c r="MR391" s="9" t="n">
        <v>0</v>
      </c>
      <c r="MS391" s="9" t="n">
        <v>0</v>
      </c>
      <c r="MT391" s="9" t="n">
        <v>0</v>
      </c>
      <c r="MU391" s="9" t="n">
        <v>0</v>
      </c>
      <c r="MV391" s="9" t="n">
        <v>1625</v>
      </c>
      <c r="MZ391" s="9" t="inlineStr">
        <is>
          <t>TOTAL</t>
        </is>
      </c>
      <c r="NA391" s="9" t="n">
        <v>0</v>
      </c>
      <c r="NB391" s="9" t="n">
        <v>0</v>
      </c>
      <c r="NC391" s="9" t="n">
        <v>0</v>
      </c>
      <c r="ND391" s="9" t="n">
        <v>0</v>
      </c>
      <c r="NE391" s="9" t="n">
        <v>0</v>
      </c>
      <c r="NI391" s="9" t="inlineStr">
        <is>
          <t>TOTAL</t>
        </is>
      </c>
      <c r="NJ391" s="9" t="n">
        <v>0</v>
      </c>
      <c r="NK391" s="9" t="n">
        <v>0</v>
      </c>
      <c r="NL391" s="9" t="n">
        <v>0</v>
      </c>
      <c r="NM391" s="9" t="n">
        <v>0</v>
      </c>
      <c r="NN391" s="9" t="n">
        <v>1127</v>
      </c>
      <c r="NR391" s="9" t="inlineStr">
        <is>
          <t>TOTAL</t>
        </is>
      </c>
      <c r="NS391" s="9" t="n">
        <v>0</v>
      </c>
      <c r="NT391" s="9" t="n">
        <v>0</v>
      </c>
      <c r="NU391" s="9" t="n">
        <v>0</v>
      </c>
      <c r="NV391" s="9" t="n">
        <v>0</v>
      </c>
      <c r="NW391" s="9" t="n">
        <v>3112</v>
      </c>
      <c r="OA391" s="9" t="inlineStr">
        <is>
          <t>TOTAL</t>
        </is>
      </c>
      <c r="OB391" s="9" t="n">
        <v>0</v>
      </c>
      <c r="OC391" s="9" t="n">
        <v>0</v>
      </c>
      <c r="OD391" s="9" t="n">
        <v>0</v>
      </c>
      <c r="OE391" s="9" t="n">
        <v>0</v>
      </c>
      <c r="OF391" s="9" t="n">
        <v>1680.5</v>
      </c>
      <c r="OJ391" s="9" t="inlineStr">
        <is>
          <t>TOTAL</t>
        </is>
      </c>
      <c r="OK391" s="9" t="n">
        <v>0</v>
      </c>
      <c r="OL391" s="9" t="n">
        <v>0</v>
      </c>
      <c r="OM391" s="9" t="n">
        <v>0</v>
      </c>
      <c r="ON391" s="9" t="n">
        <v>0</v>
      </c>
      <c r="OO391" s="9" t="n">
        <v>0</v>
      </c>
      <c r="OS391" s="9" t="inlineStr">
        <is>
          <t>TOTAL</t>
        </is>
      </c>
      <c r="OT391" s="9" t="n">
        <v>0</v>
      </c>
      <c r="OU391" s="9" t="n">
        <v>0</v>
      </c>
      <c r="OV391" s="9" t="n">
        <v>0</v>
      </c>
      <c r="OW391" s="9" t="n">
        <v>0</v>
      </c>
      <c r="OX391" s="9" t="n">
        <v>1482</v>
      </c>
      <c r="PB391" s="9" t="inlineStr">
        <is>
          <t>TOTAL</t>
        </is>
      </c>
      <c r="PC391" s="9" t="n">
        <v>0</v>
      </c>
      <c r="PD391" s="9" t="n">
        <v>0</v>
      </c>
      <c r="PE391" s="9" t="n">
        <v>0</v>
      </c>
      <c r="PF391" s="9" t="n">
        <v>0</v>
      </c>
      <c r="PG391" s="9" t="n">
        <v>0</v>
      </c>
      <c r="PK391" s="9" t="inlineStr">
        <is>
          <t>TOTAL</t>
        </is>
      </c>
      <c r="PL391" s="9" t="n">
        <v>0</v>
      </c>
      <c r="PM391" s="9" t="n">
        <v>0</v>
      </c>
      <c r="PN391" s="9" t="n">
        <v>0</v>
      </c>
      <c r="PO391" s="9" t="n">
        <v>0</v>
      </c>
      <c r="PP391" s="9" t="n">
        <v>100</v>
      </c>
      <c r="PT391" s="9" t="inlineStr">
        <is>
          <t>TOTAL</t>
        </is>
      </c>
      <c r="PU391" s="9" t="n">
        <v>0</v>
      </c>
      <c r="PV391" s="9" t="n">
        <v>0</v>
      </c>
      <c r="PW391" s="9" t="n">
        <v>0</v>
      </c>
      <c r="PX391" s="9" t="n">
        <v>0</v>
      </c>
      <c r="PY391" s="9" t="n">
        <v>13.96000000000004</v>
      </c>
      <c r="QC391" s="9" t="inlineStr">
        <is>
          <t>TOTAL</t>
        </is>
      </c>
      <c r="QD391" s="9" t="n">
        <v>0</v>
      </c>
      <c r="QE391" s="9" t="n">
        <v>0</v>
      </c>
      <c r="QF391" s="9" t="n">
        <v>0</v>
      </c>
      <c r="QG391" s="9" t="n">
        <v>0</v>
      </c>
      <c r="QH391" s="9" t="n">
        <v>548</v>
      </c>
      <c r="QL391" s="9" t="inlineStr">
        <is>
          <t>TOTAL</t>
        </is>
      </c>
      <c r="QM391" s="9" t="n">
        <v>0</v>
      </c>
      <c r="QN391" s="9" t="n">
        <v>0</v>
      </c>
      <c r="QO391" s="9" t="n">
        <v>0</v>
      </c>
      <c r="QP391" s="9" t="n">
        <v>0</v>
      </c>
      <c r="QQ391" s="9" t="n">
        <v>0</v>
      </c>
      <c r="QU391" s="9" t="inlineStr">
        <is>
          <t>TOTAL</t>
        </is>
      </c>
      <c r="QV391" s="9" t="n">
        <v>0</v>
      </c>
      <c r="QW391" s="9" t="n">
        <v>0</v>
      </c>
      <c r="QX391" s="9" t="n">
        <v>0</v>
      </c>
      <c r="QY391" s="9" t="n">
        <v>0</v>
      </c>
      <c r="QZ391" s="9" t="n">
        <v>0</v>
      </c>
      <c r="RD391" s="9" t="inlineStr">
        <is>
          <t>TOTAL</t>
        </is>
      </c>
      <c r="RE391" s="9" t="n">
        <v>0</v>
      </c>
      <c r="RF391" s="9" t="n">
        <v>0</v>
      </c>
      <c r="RG391" s="9" t="n">
        <v>0</v>
      </c>
      <c r="RH391" s="9" t="n">
        <v>0</v>
      </c>
      <c r="RI391" s="9" t="n">
        <v>147.04</v>
      </c>
      <c r="RM391" s="9" t="inlineStr">
        <is>
          <t>TOTAL</t>
        </is>
      </c>
      <c r="RN391" s="9" t="n">
        <v>0</v>
      </c>
      <c r="RO391" s="9" t="n">
        <v>0</v>
      </c>
      <c r="RP391" s="9" t="n">
        <v>0</v>
      </c>
      <c r="RQ391" s="9" t="n">
        <v>0</v>
      </c>
      <c r="RR391" s="9" t="n">
        <v>46.8</v>
      </c>
      <c r="RV391" s="9" t="inlineStr">
        <is>
          <t>TOTAL</t>
        </is>
      </c>
      <c r="RW391" s="9" t="n">
        <v>0</v>
      </c>
      <c r="RX391" s="9" t="n">
        <v>0</v>
      </c>
      <c r="RY391" s="9" t="n">
        <v>0</v>
      </c>
      <c r="RZ391" s="9" t="n">
        <v>0</v>
      </c>
      <c r="SA391" s="9" t="n">
        <v>0</v>
      </c>
      <c r="SE391" s="9" t="inlineStr">
        <is>
          <t>TOTAL</t>
        </is>
      </c>
      <c r="SF391" s="9" t="n">
        <v>0</v>
      </c>
      <c r="SG391" s="9" t="n">
        <v>0</v>
      </c>
      <c r="SH391" s="9" t="n">
        <v>0</v>
      </c>
      <c r="SI391" s="9" t="n">
        <v>0</v>
      </c>
      <c r="SJ391" s="9" t="n">
        <v>24.2</v>
      </c>
      <c r="SN391" s="9" t="inlineStr">
        <is>
          <t>TOTAL</t>
        </is>
      </c>
      <c r="SO391" s="9" t="n">
        <v>0</v>
      </c>
      <c r="SP391" s="9" t="n">
        <v>0</v>
      </c>
      <c r="SQ391" s="9" t="n">
        <v>0</v>
      </c>
      <c r="SR391" s="9" t="n">
        <v>0</v>
      </c>
      <c r="SS391" s="9" t="n">
        <v>32</v>
      </c>
      <c r="SW391" s="9" t="inlineStr">
        <is>
          <t>TOTAL</t>
        </is>
      </c>
      <c r="SX391" s="9" t="n">
        <v>0</v>
      </c>
      <c r="SY391" s="9" t="n">
        <v>0</v>
      </c>
      <c r="SZ391" s="9" t="n">
        <v>0</v>
      </c>
      <c r="TA391" s="9" t="n">
        <v>0</v>
      </c>
      <c r="TB391" s="9" t="n">
        <v>0</v>
      </c>
      <c r="TF391" s="9" t="inlineStr">
        <is>
          <t>TOTAL</t>
        </is>
      </c>
      <c r="TG391" s="9" t="n">
        <v>0</v>
      </c>
      <c r="TH391" s="9" t="n">
        <v>0</v>
      </c>
      <c r="TI391" s="9" t="n">
        <v>0</v>
      </c>
      <c r="TJ391" s="9" t="n">
        <v>0</v>
      </c>
      <c r="TK391" s="9" t="n">
        <v>0</v>
      </c>
      <c r="TO391" s="9" t="inlineStr">
        <is>
          <t>TOTAL</t>
        </is>
      </c>
      <c r="TP391" s="9" t="n">
        <v>0</v>
      </c>
      <c r="TQ391" s="9" t="n">
        <v>0</v>
      </c>
      <c r="TR391" s="9" t="n">
        <v>0</v>
      </c>
      <c r="TS391" s="9" t="n">
        <v>0</v>
      </c>
      <c r="TT391" s="9" t="n">
        <v>0</v>
      </c>
      <c r="TX391" s="9" t="inlineStr">
        <is>
          <t>TOTAL</t>
        </is>
      </c>
      <c r="TY391" s="9" t="n">
        <v>0</v>
      </c>
      <c r="TZ391" s="9" t="n">
        <v>0</v>
      </c>
      <c r="UA391" s="9" t="n">
        <v>0</v>
      </c>
      <c r="UB391" s="9" t="n">
        <v>0</v>
      </c>
      <c r="UC391" s="9" t="n">
        <v>46.79999999999998</v>
      </c>
      <c r="UG391" s="9" t="inlineStr">
        <is>
          <t>TOTAL</t>
        </is>
      </c>
      <c r="UH391" s="9" t="n">
        <v>0</v>
      </c>
      <c r="UI391" s="9" t="n">
        <v>0</v>
      </c>
      <c r="UJ391" s="9" t="n">
        <v>0</v>
      </c>
      <c r="UK391" s="9" t="n">
        <v>0</v>
      </c>
      <c r="UL391" s="9" t="n">
        <v>204</v>
      </c>
      <c r="UP391" s="9" t="inlineStr">
        <is>
          <t>TOTAL</t>
        </is>
      </c>
      <c r="UQ391" s="9" t="n">
        <v>0</v>
      </c>
      <c r="UR391" s="9" t="n">
        <v>0</v>
      </c>
      <c r="US391" s="9" t="n">
        <v>0</v>
      </c>
      <c r="UT391" s="9" t="n">
        <v>0</v>
      </c>
      <c r="UU391" s="9" t="n">
        <v>202.5</v>
      </c>
      <c r="UY391" s="9" t="inlineStr">
        <is>
          <t>TOTAL</t>
        </is>
      </c>
      <c r="UZ391" s="9" t="n">
        <v>0</v>
      </c>
      <c r="VA391" s="9" t="n">
        <v>0</v>
      </c>
      <c r="VB391" s="9" t="n">
        <v>0</v>
      </c>
      <c r="VC391" s="9" t="n">
        <v>0</v>
      </c>
      <c r="VD391" s="9" t="n">
        <v>41.60000000000002</v>
      </c>
      <c r="VH391" s="9" t="inlineStr">
        <is>
          <t>TOTAL</t>
        </is>
      </c>
      <c r="VI391" s="9" t="n">
        <v>0</v>
      </c>
      <c r="VJ391" s="9" t="n">
        <v>0</v>
      </c>
      <c r="VK391" s="9" t="n">
        <v>0</v>
      </c>
      <c r="VL391" s="9" t="n">
        <v>0</v>
      </c>
      <c r="VM391" s="9" t="n">
        <v>210</v>
      </c>
      <c r="VQ391" s="9" t="inlineStr">
        <is>
          <t>TOTAL</t>
        </is>
      </c>
      <c r="VR391" s="9" t="n">
        <v>0</v>
      </c>
      <c r="VS391" s="9" t="n">
        <v>0</v>
      </c>
      <c r="VT391" s="9" t="n">
        <v>0</v>
      </c>
      <c r="VU391" s="9" t="n">
        <v>0</v>
      </c>
      <c r="VV391" s="9" t="n">
        <v>0</v>
      </c>
      <c r="VZ391" s="9" t="inlineStr">
        <is>
          <t>TOTAL</t>
        </is>
      </c>
      <c r="WA391" s="9" t="n">
        <v>0</v>
      </c>
      <c r="WB391" s="9" t="n">
        <v>0</v>
      </c>
      <c r="WC391" s="9" t="n">
        <v>0</v>
      </c>
      <c r="WD391" s="9" t="n">
        <v>0</v>
      </c>
      <c r="WE391" s="9" t="n">
        <v>0</v>
      </c>
      <c r="WI391" s="9" t="inlineStr">
        <is>
          <t>TOTAL</t>
        </is>
      </c>
      <c r="WJ391" s="9" t="n">
        <v>0</v>
      </c>
      <c r="WK391" s="9" t="n">
        <v>0</v>
      </c>
      <c r="WL391" s="9" t="n">
        <v>0</v>
      </c>
      <c r="WM391" s="9" t="n">
        <v>0</v>
      </c>
      <c r="WN391" s="9" t="n">
        <v>1057</v>
      </c>
      <c r="WR391" s="9" t="inlineStr">
        <is>
          <t>TOTAL</t>
        </is>
      </c>
      <c r="WS391" s="9" t="n">
        <v>0</v>
      </c>
      <c r="WT391" s="9" t="n">
        <v>0</v>
      </c>
      <c r="WU391" s="9" t="n">
        <v>0</v>
      </c>
      <c r="WV391" s="9" t="n">
        <v>0</v>
      </c>
      <c r="WW391" s="9" t="n">
        <v>0</v>
      </c>
      <c r="XA391" s="9" t="inlineStr">
        <is>
          <t>TOTAL</t>
        </is>
      </c>
      <c r="XB391" s="9" t="n">
        <v>0</v>
      </c>
      <c r="XC391" s="9" t="n">
        <v>0</v>
      </c>
      <c r="XD391" s="9" t="n">
        <v>0</v>
      </c>
      <c r="XE391" s="9" t="n">
        <v>0</v>
      </c>
      <c r="XF391" s="9" t="n">
        <v>7507</v>
      </c>
      <c r="XJ391" s="9" t="inlineStr">
        <is>
          <t>TOTAL</t>
        </is>
      </c>
      <c r="XK391" s="9" t="n">
        <v>0</v>
      </c>
      <c r="XL391" s="9" t="n">
        <v>0</v>
      </c>
      <c r="XM391" s="9" t="n">
        <v>0</v>
      </c>
      <c r="XN391" s="9" t="n">
        <v>0</v>
      </c>
      <c r="XO391" s="9" t="n">
        <v>4252</v>
      </c>
      <c r="XS391" s="9" t="inlineStr">
        <is>
          <t>TOTAL</t>
        </is>
      </c>
      <c r="XT391" s="9" t="n">
        <v>0</v>
      </c>
      <c r="XU391" s="9" t="n">
        <v>0</v>
      </c>
      <c r="XV391" s="9" t="n">
        <v>0</v>
      </c>
      <c r="XW391" s="9" t="n">
        <v>0</v>
      </c>
      <c r="XX391" s="9" t="n">
        <v>2179</v>
      </c>
      <c r="YB391" s="9" t="inlineStr">
        <is>
          <t>TOTAL</t>
        </is>
      </c>
      <c r="YC391" s="9" t="n">
        <v>0</v>
      </c>
      <c r="YD391" s="9" t="n">
        <v>0</v>
      </c>
      <c r="YE391" s="9" t="n">
        <v>0</v>
      </c>
      <c r="YF391" s="9" t="n">
        <v>0</v>
      </c>
      <c r="YG391" s="9" t="n">
        <v>4019</v>
      </c>
      <c r="YK391" s="9" t="inlineStr">
        <is>
          <t>TOTAL</t>
        </is>
      </c>
      <c r="YL391" s="9" t="n">
        <v>0</v>
      </c>
      <c r="YM391" s="9" t="n">
        <v>0</v>
      </c>
      <c r="YN391" s="9" t="n">
        <v>0</v>
      </c>
      <c r="YO391" s="9" t="n">
        <v>0</v>
      </c>
      <c r="YP391" s="9" t="n">
        <v>-218</v>
      </c>
      <c r="YT391" s="9" t="inlineStr">
        <is>
          <t>TOTAL</t>
        </is>
      </c>
      <c r="YU391" s="9" t="n">
        <v>0</v>
      </c>
      <c r="YV391" s="9" t="n">
        <v>0</v>
      </c>
      <c r="YW391" s="9" t="n">
        <v>0</v>
      </c>
      <c r="YX391" s="9" t="n">
        <v>0</v>
      </c>
      <c r="YY391" s="9" t="n">
        <v>0</v>
      </c>
      <c r="ZC391" s="9" t="inlineStr">
        <is>
          <t>TOTAL</t>
        </is>
      </c>
      <c r="ZD391" s="9" t="n">
        <v>0</v>
      </c>
      <c r="ZE391" s="9" t="n">
        <v>0</v>
      </c>
      <c r="ZF391" s="9" t="n">
        <v>0</v>
      </c>
      <c r="ZG391" s="9" t="n">
        <v>0</v>
      </c>
      <c r="ZH391" s="9" t="n">
        <v>0</v>
      </c>
      <c r="ZL391" s="9" t="inlineStr">
        <is>
          <t>TOTAL</t>
        </is>
      </c>
      <c r="ZM391" s="9" t="n">
        <v>0</v>
      </c>
      <c r="ZN391" s="9" t="n">
        <v>0</v>
      </c>
      <c r="ZO391" s="9" t="n">
        <v>0</v>
      </c>
      <c r="ZP391" s="9" t="n">
        <v>0</v>
      </c>
      <c r="ZQ391" s="9" t="n">
        <v>0</v>
      </c>
      <c r="ZU391" s="9" t="inlineStr">
        <is>
          <t>TOTAL</t>
        </is>
      </c>
      <c r="ZV391" s="9" t="n">
        <v>0</v>
      </c>
      <c r="ZW391" s="9" t="n">
        <v>0</v>
      </c>
      <c r="ZX391" s="9" t="n">
        <v>0</v>
      </c>
      <c r="ZY391" s="9" t="n">
        <v>0</v>
      </c>
      <c r="ZZ391" s="9" t="n">
        <v>0</v>
      </c>
      <c r="AAD391" s="9" t="inlineStr">
        <is>
          <t>TOTAL</t>
        </is>
      </c>
      <c r="AAE391" s="9" t="n">
        <v>0</v>
      </c>
      <c r="AAF391" s="9" t="n">
        <v>0</v>
      </c>
      <c r="AAG391" s="9" t="n">
        <v>0</v>
      </c>
      <c r="AAH391" s="9" t="n">
        <v>0</v>
      </c>
      <c r="AAI391" s="9" t="n">
        <v>0</v>
      </c>
      <c r="AAM391" s="9" t="inlineStr">
        <is>
          <t>TOTAL</t>
        </is>
      </c>
      <c r="AAN391" s="9" t="n">
        <v>0</v>
      </c>
      <c r="AAO391" s="9" t="n">
        <v>0</v>
      </c>
      <c r="AAP391" s="9" t="n">
        <v>0</v>
      </c>
      <c r="AAQ391" s="9" t="n">
        <v>0</v>
      </c>
      <c r="AAR391" s="9" t="n">
        <v>0</v>
      </c>
      <c r="AAV391" s="9" t="inlineStr">
        <is>
          <t>TOTAL</t>
        </is>
      </c>
      <c r="AAW391" s="9" t="n">
        <v>0</v>
      </c>
      <c r="AAX391" s="9" t="n">
        <v>0</v>
      </c>
      <c r="AAY391" s="9" t="n">
        <v>0</v>
      </c>
      <c r="AAZ391" s="9" t="n">
        <v>0</v>
      </c>
      <c r="ABA391" s="9" t="n">
        <v>0</v>
      </c>
      <c r="ABE391" s="9" t="inlineStr">
        <is>
          <t>TOTAL</t>
        </is>
      </c>
      <c r="ABF391" s="9" t="n">
        <v>0</v>
      </c>
      <c r="ABG391" s="9" t="n">
        <v>0</v>
      </c>
      <c r="ABH391" s="9" t="n">
        <v>0</v>
      </c>
      <c r="ABI391" s="9" t="n">
        <v>0</v>
      </c>
      <c r="ABJ391" s="9" t="n">
        <v>0</v>
      </c>
    </row>
    <row r="392"/>
    <row r="393">
      <c r="A393" s="9" t="inlineStr">
        <is>
          <t>DEC</t>
        </is>
      </c>
      <c r="C393" s="9" t="inlineStr">
        <is>
          <t>DECEMBER</t>
        </is>
      </c>
      <c r="J393" s="9" t="inlineStr">
        <is>
          <t>DEC</t>
        </is>
      </c>
      <c r="L393" s="9" t="inlineStr">
        <is>
          <t>DECEMBER</t>
        </is>
      </c>
      <c r="S393" s="9" t="inlineStr">
        <is>
          <t>DEC</t>
        </is>
      </c>
      <c r="U393" s="9" t="inlineStr">
        <is>
          <t>DECEMBER</t>
        </is>
      </c>
      <c r="AB393" s="9" t="inlineStr">
        <is>
          <t>DEC</t>
        </is>
      </c>
      <c r="AD393" s="9" t="inlineStr">
        <is>
          <t>DECEMBER</t>
        </is>
      </c>
      <c r="AK393" s="9" t="inlineStr">
        <is>
          <t>DEC</t>
        </is>
      </c>
      <c r="AM393" s="9" t="inlineStr">
        <is>
          <t>DECEMBER</t>
        </is>
      </c>
      <c r="AT393" s="9" t="inlineStr">
        <is>
          <t>DEC</t>
        </is>
      </c>
      <c r="AV393" s="9" t="inlineStr">
        <is>
          <t>DECEMBER</t>
        </is>
      </c>
      <c r="BC393" s="9" t="inlineStr">
        <is>
          <t>DEC</t>
        </is>
      </c>
      <c r="BE393" s="9" t="inlineStr">
        <is>
          <t>DECEMBER</t>
        </is>
      </c>
      <c r="BL393" s="9" t="inlineStr">
        <is>
          <t>DEC</t>
        </is>
      </c>
      <c r="BN393" s="9" t="inlineStr">
        <is>
          <t>DECEMBER</t>
        </is>
      </c>
      <c r="BU393" s="9" t="inlineStr">
        <is>
          <t>DEC</t>
        </is>
      </c>
      <c r="BW393" s="9" t="inlineStr">
        <is>
          <t>DECEMBER</t>
        </is>
      </c>
      <c r="CD393" s="9" t="inlineStr">
        <is>
          <t>DEC</t>
        </is>
      </c>
      <c r="CF393" s="9" t="inlineStr">
        <is>
          <t>DECEMBER</t>
        </is>
      </c>
      <c r="CM393" s="9" t="inlineStr">
        <is>
          <t>DEC</t>
        </is>
      </c>
      <c r="CO393" s="9" t="inlineStr">
        <is>
          <t>DECEMBER</t>
        </is>
      </c>
      <c r="CV393" s="9" t="inlineStr">
        <is>
          <t>DEC</t>
        </is>
      </c>
      <c r="CX393" s="9" t="inlineStr">
        <is>
          <t>DECEMBER</t>
        </is>
      </c>
      <c r="DE393" s="9" t="inlineStr">
        <is>
          <t>DEC</t>
        </is>
      </c>
      <c r="DG393" s="9" t="inlineStr">
        <is>
          <t>DECEMBER</t>
        </is>
      </c>
      <c r="DN393" s="9" t="inlineStr">
        <is>
          <t>DEC</t>
        </is>
      </c>
      <c r="DP393" s="9" t="inlineStr">
        <is>
          <t>DECEMBER</t>
        </is>
      </c>
      <c r="DW393" s="9" t="inlineStr">
        <is>
          <t>DEC</t>
        </is>
      </c>
      <c r="DY393" s="9" t="inlineStr">
        <is>
          <t>DECEMBER</t>
        </is>
      </c>
      <c r="EF393" s="9" t="inlineStr">
        <is>
          <t>DEC</t>
        </is>
      </c>
      <c r="EH393" s="9" t="inlineStr">
        <is>
          <t>DECEMBER</t>
        </is>
      </c>
      <c r="EO393" s="9" t="inlineStr">
        <is>
          <t>DEC</t>
        </is>
      </c>
      <c r="EQ393" s="9" t="inlineStr">
        <is>
          <t>DECEMBER</t>
        </is>
      </c>
      <c r="EX393" s="9" t="inlineStr">
        <is>
          <t>DEC</t>
        </is>
      </c>
      <c r="EZ393" s="9" t="inlineStr">
        <is>
          <t>DECEMBER</t>
        </is>
      </c>
      <c r="FG393" s="9" t="inlineStr">
        <is>
          <t>DEC</t>
        </is>
      </c>
      <c r="FI393" s="9" t="inlineStr">
        <is>
          <t>DECEMBER</t>
        </is>
      </c>
      <c r="FP393" s="9" t="inlineStr">
        <is>
          <t>DEC</t>
        </is>
      </c>
      <c r="FR393" s="9" t="inlineStr">
        <is>
          <t>DECEMBER</t>
        </is>
      </c>
      <c r="FY393" s="9" t="inlineStr">
        <is>
          <t>DEC</t>
        </is>
      </c>
      <c r="GA393" s="9" t="inlineStr">
        <is>
          <t>DECEMBER</t>
        </is>
      </c>
      <c r="GH393" s="9" t="inlineStr">
        <is>
          <t>DEC</t>
        </is>
      </c>
      <c r="GJ393" s="9" t="inlineStr">
        <is>
          <t>DECEMBER</t>
        </is>
      </c>
      <c r="GQ393" s="9" t="inlineStr">
        <is>
          <t>DEC</t>
        </is>
      </c>
      <c r="GS393" s="9" t="inlineStr">
        <is>
          <t>DECEMBER</t>
        </is>
      </c>
      <c r="GZ393" s="9" t="inlineStr">
        <is>
          <t>DEC</t>
        </is>
      </c>
      <c r="HB393" s="9" t="inlineStr">
        <is>
          <t>DECEMBER</t>
        </is>
      </c>
      <c r="HI393" s="9" t="inlineStr">
        <is>
          <t>DEC</t>
        </is>
      </c>
      <c r="HK393" s="9" t="inlineStr">
        <is>
          <t>DECEMBER</t>
        </is>
      </c>
      <c r="HS393" s="9" t="inlineStr">
        <is>
          <t>DEC</t>
        </is>
      </c>
      <c r="HU393" s="9" t="inlineStr">
        <is>
          <t>DECEMBER</t>
        </is>
      </c>
      <c r="IB393" s="9" t="inlineStr">
        <is>
          <t>DEC</t>
        </is>
      </c>
      <c r="ID393" s="9" t="inlineStr">
        <is>
          <t>DECEMBER</t>
        </is>
      </c>
      <c r="IK393" s="9" t="inlineStr">
        <is>
          <t>DEC</t>
        </is>
      </c>
      <c r="IM393" s="9" t="inlineStr">
        <is>
          <t>DECEMBER</t>
        </is>
      </c>
      <c r="IT393" s="9" t="inlineStr">
        <is>
          <t>DEC</t>
        </is>
      </c>
      <c r="IV393" s="9" t="inlineStr">
        <is>
          <t>DECEMBER</t>
        </is>
      </c>
      <c r="JC393" s="9" t="inlineStr">
        <is>
          <t>DEC</t>
        </is>
      </c>
      <c r="JE393" s="9" t="inlineStr">
        <is>
          <t>DECEMBER</t>
        </is>
      </c>
      <c r="JL393" s="9" t="inlineStr">
        <is>
          <t>DEC</t>
        </is>
      </c>
      <c r="JN393" s="9" t="inlineStr">
        <is>
          <t>DECEMBER</t>
        </is>
      </c>
      <c r="JU393" s="9" t="inlineStr">
        <is>
          <t>DEC</t>
        </is>
      </c>
      <c r="JW393" s="9" t="inlineStr">
        <is>
          <t>DECEMBER</t>
        </is>
      </c>
      <c r="KD393" s="9" t="inlineStr">
        <is>
          <t>DEC</t>
        </is>
      </c>
      <c r="KF393" s="9" t="inlineStr">
        <is>
          <t>DECEMBER</t>
        </is>
      </c>
      <c r="KM393" s="9" t="inlineStr">
        <is>
          <t>DEC</t>
        </is>
      </c>
      <c r="KO393" s="9" t="inlineStr">
        <is>
          <t>DECEMBER</t>
        </is>
      </c>
      <c r="KV393" s="9" t="inlineStr">
        <is>
          <t>DEC</t>
        </is>
      </c>
      <c r="KX393" s="9" t="inlineStr">
        <is>
          <t>DECEMBER</t>
        </is>
      </c>
      <c r="LE393" s="9" t="inlineStr">
        <is>
          <t>DEC</t>
        </is>
      </c>
      <c r="LG393" s="9" t="inlineStr">
        <is>
          <t>DECEMBER</t>
        </is>
      </c>
      <c r="LN393" s="9" t="inlineStr">
        <is>
          <t>DEC</t>
        </is>
      </c>
      <c r="LP393" s="9" t="inlineStr">
        <is>
          <t>DECEMBER</t>
        </is>
      </c>
      <c r="LW393" s="9" t="inlineStr">
        <is>
          <t>DEC</t>
        </is>
      </c>
      <c r="LY393" s="9" t="inlineStr">
        <is>
          <t>DECEMBER</t>
        </is>
      </c>
      <c r="MF393" s="9" t="inlineStr">
        <is>
          <t>DEC</t>
        </is>
      </c>
      <c r="MH393" s="9" t="inlineStr">
        <is>
          <t>DECEMBER</t>
        </is>
      </c>
      <c r="MO393" s="9" t="inlineStr">
        <is>
          <t>DEC</t>
        </is>
      </c>
      <c r="MQ393" s="9" t="inlineStr">
        <is>
          <t>DECEMBER</t>
        </is>
      </c>
      <c r="MX393" s="9" t="inlineStr">
        <is>
          <t>DEC</t>
        </is>
      </c>
      <c r="MZ393" s="9" t="inlineStr">
        <is>
          <t>DECEMBER</t>
        </is>
      </c>
      <c r="NG393" s="9" t="inlineStr">
        <is>
          <t>DEC</t>
        </is>
      </c>
      <c r="NI393" s="9" t="inlineStr">
        <is>
          <t>DECEMBER</t>
        </is>
      </c>
      <c r="NP393" s="9" t="inlineStr">
        <is>
          <t>DEC</t>
        </is>
      </c>
      <c r="NR393" s="9" t="inlineStr">
        <is>
          <t>DECEMBER</t>
        </is>
      </c>
      <c r="NY393" s="9" t="inlineStr">
        <is>
          <t>DEC</t>
        </is>
      </c>
      <c r="OA393" s="9" t="inlineStr">
        <is>
          <t>DECEMBER</t>
        </is>
      </c>
      <c r="OH393" s="9" t="inlineStr">
        <is>
          <t>DEC</t>
        </is>
      </c>
      <c r="OJ393" s="9" t="inlineStr">
        <is>
          <t>DECEMBER</t>
        </is>
      </c>
      <c r="OQ393" s="9" t="inlineStr">
        <is>
          <t>DEC</t>
        </is>
      </c>
      <c r="OS393" s="9" t="inlineStr">
        <is>
          <t>DECEMBER</t>
        </is>
      </c>
      <c r="OZ393" s="9" t="inlineStr">
        <is>
          <t>DEC</t>
        </is>
      </c>
      <c r="PB393" s="9" t="inlineStr">
        <is>
          <t>DECEMBER</t>
        </is>
      </c>
      <c r="PI393" s="9" t="inlineStr">
        <is>
          <t>DEC</t>
        </is>
      </c>
      <c r="PK393" s="9" t="inlineStr">
        <is>
          <t>DECEMBER</t>
        </is>
      </c>
      <c r="PR393" s="9" t="inlineStr">
        <is>
          <t>DEC</t>
        </is>
      </c>
      <c r="PT393" s="9" t="inlineStr">
        <is>
          <t>DECEMBER</t>
        </is>
      </c>
      <c r="QA393" s="9" t="inlineStr">
        <is>
          <t>DEC</t>
        </is>
      </c>
      <c r="QC393" s="9" t="inlineStr">
        <is>
          <t>DECEMBER</t>
        </is>
      </c>
      <c r="QJ393" s="9" t="inlineStr">
        <is>
          <t>DEC</t>
        </is>
      </c>
      <c r="QL393" s="9" t="inlineStr">
        <is>
          <t>DECEMBER</t>
        </is>
      </c>
      <c r="QS393" s="9" t="inlineStr">
        <is>
          <t>DEC</t>
        </is>
      </c>
      <c r="QU393" s="9" t="inlineStr">
        <is>
          <t>DECEMBER</t>
        </is>
      </c>
      <c r="RB393" s="9" t="inlineStr">
        <is>
          <t>DEC</t>
        </is>
      </c>
      <c r="RD393" s="9" t="inlineStr">
        <is>
          <t>DECEMBER</t>
        </is>
      </c>
      <c r="RK393" s="9" t="inlineStr">
        <is>
          <t>DEC</t>
        </is>
      </c>
      <c r="RM393" s="9" t="inlineStr">
        <is>
          <t>DECEMBER</t>
        </is>
      </c>
      <c r="RT393" s="9" t="inlineStr">
        <is>
          <t>DEC</t>
        </is>
      </c>
      <c r="RV393" s="9" t="inlineStr">
        <is>
          <t>DECEMBER</t>
        </is>
      </c>
      <c r="SC393" s="9" t="inlineStr">
        <is>
          <t>DEC</t>
        </is>
      </c>
      <c r="SE393" s="9" t="inlineStr">
        <is>
          <t>DECEMBER</t>
        </is>
      </c>
      <c r="SL393" s="9" t="inlineStr">
        <is>
          <t>DEC</t>
        </is>
      </c>
      <c r="SN393" s="9" t="inlineStr">
        <is>
          <t>DECEMBER</t>
        </is>
      </c>
      <c r="SU393" s="9" t="inlineStr">
        <is>
          <t>DEC</t>
        </is>
      </c>
      <c r="SW393" s="9" t="inlineStr">
        <is>
          <t>DECEMBER</t>
        </is>
      </c>
      <c r="TD393" s="9" t="inlineStr">
        <is>
          <t>DEC</t>
        </is>
      </c>
      <c r="TF393" s="9" t="inlineStr">
        <is>
          <t>DECEMBER</t>
        </is>
      </c>
      <c r="TM393" s="9" t="inlineStr">
        <is>
          <t>DEC</t>
        </is>
      </c>
      <c r="TO393" s="9" t="inlineStr">
        <is>
          <t>DECEMBER</t>
        </is>
      </c>
      <c r="TV393" s="9" t="inlineStr">
        <is>
          <t>DEC</t>
        </is>
      </c>
      <c r="TX393" s="9" t="inlineStr">
        <is>
          <t>DECEMBER</t>
        </is>
      </c>
      <c r="UE393" s="9" t="inlineStr">
        <is>
          <t>DEC</t>
        </is>
      </c>
      <c r="UG393" s="9" t="inlineStr">
        <is>
          <t>DECEMBER</t>
        </is>
      </c>
      <c r="UN393" s="9" t="inlineStr">
        <is>
          <t>DEC</t>
        </is>
      </c>
      <c r="UP393" s="9" t="inlineStr">
        <is>
          <t>DECEMBER</t>
        </is>
      </c>
      <c r="UW393" s="9" t="inlineStr">
        <is>
          <t>DEC</t>
        </is>
      </c>
      <c r="UY393" s="9" t="inlineStr">
        <is>
          <t>DECEMBER</t>
        </is>
      </c>
      <c r="VF393" s="9" t="inlineStr">
        <is>
          <t>DEC</t>
        </is>
      </c>
      <c r="VH393" s="9" t="inlineStr">
        <is>
          <t>DECEMBER</t>
        </is>
      </c>
      <c r="VO393" s="9" t="inlineStr">
        <is>
          <t>DEC</t>
        </is>
      </c>
      <c r="VQ393" s="9" t="inlineStr">
        <is>
          <t>DECEMBER</t>
        </is>
      </c>
      <c r="VX393" s="9" t="inlineStr">
        <is>
          <t>DEC</t>
        </is>
      </c>
      <c r="VZ393" s="9" t="inlineStr">
        <is>
          <t>DECEMBER</t>
        </is>
      </c>
      <c r="WG393" s="9" t="inlineStr">
        <is>
          <t>DEC</t>
        </is>
      </c>
      <c r="WI393" s="9" t="inlineStr">
        <is>
          <t>DECEMBER</t>
        </is>
      </c>
      <c r="WP393" s="9" t="inlineStr">
        <is>
          <t>DEC</t>
        </is>
      </c>
      <c r="WR393" s="9" t="inlineStr">
        <is>
          <t>DECEMBER</t>
        </is>
      </c>
      <c r="WY393" s="9" t="inlineStr">
        <is>
          <t>DEC</t>
        </is>
      </c>
      <c r="XA393" s="9" t="inlineStr">
        <is>
          <t>DECEMBER</t>
        </is>
      </c>
      <c r="XH393" s="9" t="inlineStr">
        <is>
          <t>DEC</t>
        </is>
      </c>
      <c r="XJ393" s="9" t="inlineStr">
        <is>
          <t>DECEMBER</t>
        </is>
      </c>
      <c r="XQ393" s="9" t="inlineStr">
        <is>
          <t>DEC</t>
        </is>
      </c>
      <c r="XS393" s="9" t="inlineStr">
        <is>
          <t>DECEMBER</t>
        </is>
      </c>
      <c r="XZ393" s="9" t="inlineStr">
        <is>
          <t>DEC</t>
        </is>
      </c>
      <c r="YB393" s="9" t="inlineStr">
        <is>
          <t>DECEMBER</t>
        </is>
      </c>
      <c r="YI393" s="9" t="inlineStr">
        <is>
          <t>DEC</t>
        </is>
      </c>
      <c r="YK393" s="9" t="inlineStr">
        <is>
          <t>DECEMBER</t>
        </is>
      </c>
      <c r="YR393" s="9" t="inlineStr">
        <is>
          <t>DEC</t>
        </is>
      </c>
      <c r="YT393" s="9" t="inlineStr">
        <is>
          <t>DECEMBER</t>
        </is>
      </c>
      <c r="ZA393" s="9" t="inlineStr">
        <is>
          <t>DEC</t>
        </is>
      </c>
      <c r="ZC393" s="9" t="inlineStr">
        <is>
          <t>DECEMBER</t>
        </is>
      </c>
      <c r="ZJ393" s="9" t="inlineStr">
        <is>
          <t>DEC</t>
        </is>
      </c>
      <c r="ZL393" s="9" t="inlineStr">
        <is>
          <t>DECEMBER</t>
        </is>
      </c>
      <c r="ZS393" s="9" t="inlineStr">
        <is>
          <t>DEC</t>
        </is>
      </c>
      <c r="ZU393" s="9" t="inlineStr">
        <is>
          <t>DECEMBER</t>
        </is>
      </c>
      <c r="AAB393" s="9" t="inlineStr">
        <is>
          <t>DEC</t>
        </is>
      </c>
      <c r="AAD393" s="9" t="inlineStr">
        <is>
          <t>DECEMBER</t>
        </is>
      </c>
      <c r="AAK393" s="9" t="inlineStr">
        <is>
          <t>DEC</t>
        </is>
      </c>
      <c r="AAM393" s="9" t="inlineStr">
        <is>
          <t>DECEMBER</t>
        </is>
      </c>
      <c r="AAT393" s="9" t="inlineStr">
        <is>
          <t>DEC</t>
        </is>
      </c>
      <c r="AAV393" s="9" t="inlineStr">
        <is>
          <t>DECEMBER</t>
        </is>
      </c>
      <c r="ABC393" s="9" t="inlineStr">
        <is>
          <t>DEC</t>
        </is>
      </c>
      <c r="ABE393" s="9" t="inlineStr">
        <is>
          <t>DECEMBER</t>
        </is>
      </c>
    </row>
    <row r="394">
      <c r="C394" s="9" t="inlineStr">
        <is>
          <t>Date</t>
        </is>
      </c>
      <c r="D394" s="9" t="inlineStr">
        <is>
          <t>Intake</t>
        </is>
      </c>
      <c r="E394" s="9" t="inlineStr">
        <is>
          <t>Usage</t>
        </is>
      </c>
      <c r="F394" s="9" t="inlineStr">
        <is>
          <t>Actual</t>
        </is>
      </c>
      <c r="G394" s="9" t="inlineStr">
        <is>
          <t>Adjustment</t>
        </is>
      </c>
      <c r="H394" s="9" t="inlineStr">
        <is>
          <t>Balance</t>
        </is>
      </c>
      <c r="I394" s="9" t="inlineStr">
        <is>
          <t>Remarks</t>
        </is>
      </c>
      <c r="L394" s="9" t="inlineStr">
        <is>
          <t>Date</t>
        </is>
      </c>
      <c r="M394" s="9" t="inlineStr">
        <is>
          <t>Intake</t>
        </is>
      </c>
      <c r="N394" s="9" t="inlineStr">
        <is>
          <t>Usage</t>
        </is>
      </c>
      <c r="O394" s="9" t="inlineStr">
        <is>
          <t>Actual</t>
        </is>
      </c>
      <c r="P394" s="9" t="inlineStr">
        <is>
          <t>Adjustment</t>
        </is>
      </c>
      <c r="Q394" s="9" t="inlineStr">
        <is>
          <t>Balance</t>
        </is>
      </c>
      <c r="R394" s="9" t="inlineStr">
        <is>
          <t>Remarks</t>
        </is>
      </c>
      <c r="U394" s="9" t="inlineStr">
        <is>
          <t>Date</t>
        </is>
      </c>
      <c r="V394" s="9" t="inlineStr">
        <is>
          <t>Intake</t>
        </is>
      </c>
      <c r="W394" s="9" t="inlineStr">
        <is>
          <t>Usage</t>
        </is>
      </c>
      <c r="X394" s="9" t="inlineStr">
        <is>
          <t>Actual</t>
        </is>
      </c>
      <c r="Y394" s="9" t="inlineStr">
        <is>
          <t>Adjustment</t>
        </is>
      </c>
      <c r="Z394" s="9" t="inlineStr">
        <is>
          <t>Balance</t>
        </is>
      </c>
      <c r="AA394" s="9" t="inlineStr">
        <is>
          <t>Remarks</t>
        </is>
      </c>
      <c r="AD394" s="9" t="inlineStr">
        <is>
          <t>Date</t>
        </is>
      </c>
      <c r="AE394" s="9" t="inlineStr">
        <is>
          <t>Intake</t>
        </is>
      </c>
      <c r="AF394" s="9" t="inlineStr">
        <is>
          <t>Usage</t>
        </is>
      </c>
      <c r="AG394" s="9" t="inlineStr">
        <is>
          <t>Actual</t>
        </is>
      </c>
      <c r="AH394" s="9" t="inlineStr">
        <is>
          <t>Adjustment</t>
        </is>
      </c>
      <c r="AI394" s="9" t="inlineStr">
        <is>
          <t>Balance</t>
        </is>
      </c>
      <c r="AJ394" s="9" t="inlineStr">
        <is>
          <t>Remarks</t>
        </is>
      </c>
      <c r="AM394" s="9" t="inlineStr">
        <is>
          <t>Date</t>
        </is>
      </c>
      <c r="AN394" s="9" t="inlineStr">
        <is>
          <t>Intake</t>
        </is>
      </c>
      <c r="AO394" s="9" t="inlineStr">
        <is>
          <t>Usage</t>
        </is>
      </c>
      <c r="AP394" s="9" t="inlineStr">
        <is>
          <t>Actual</t>
        </is>
      </c>
      <c r="AQ394" s="9" t="inlineStr">
        <is>
          <t>Adjustment</t>
        </is>
      </c>
      <c r="AR394" s="9" t="inlineStr">
        <is>
          <t>Balance</t>
        </is>
      </c>
      <c r="AS394" s="9" t="inlineStr">
        <is>
          <t>Remarks</t>
        </is>
      </c>
      <c r="AV394" s="9" t="inlineStr">
        <is>
          <t>Date</t>
        </is>
      </c>
      <c r="AW394" s="9" t="inlineStr">
        <is>
          <t>Intake</t>
        </is>
      </c>
      <c r="AX394" s="9" t="inlineStr">
        <is>
          <t>Usage</t>
        </is>
      </c>
      <c r="AY394" s="9" t="inlineStr">
        <is>
          <t>Actual</t>
        </is>
      </c>
      <c r="AZ394" s="9" t="inlineStr">
        <is>
          <t>Adjustment</t>
        </is>
      </c>
      <c r="BA394" s="9" t="inlineStr">
        <is>
          <t>Balance</t>
        </is>
      </c>
      <c r="BB394" s="9" t="inlineStr">
        <is>
          <t>Remarks</t>
        </is>
      </c>
      <c r="BE394" s="9" t="inlineStr">
        <is>
          <t>Date</t>
        </is>
      </c>
      <c r="BF394" s="9" t="inlineStr">
        <is>
          <t>Intake</t>
        </is>
      </c>
      <c r="BG394" s="9" t="inlineStr">
        <is>
          <t>Usage</t>
        </is>
      </c>
      <c r="BH394" s="9" t="inlineStr">
        <is>
          <t>Actual</t>
        </is>
      </c>
      <c r="BI394" s="9" t="inlineStr">
        <is>
          <t>Adjustment</t>
        </is>
      </c>
      <c r="BJ394" s="9" t="inlineStr">
        <is>
          <t>Balance</t>
        </is>
      </c>
      <c r="BK394" s="9" t="inlineStr">
        <is>
          <t>Remarks</t>
        </is>
      </c>
      <c r="BN394" s="9" t="inlineStr">
        <is>
          <t>Date</t>
        </is>
      </c>
      <c r="BO394" s="9" t="inlineStr">
        <is>
          <t>Intake</t>
        </is>
      </c>
      <c r="BP394" s="9" t="inlineStr">
        <is>
          <t>Usage</t>
        </is>
      </c>
      <c r="BQ394" s="9" t="inlineStr">
        <is>
          <t>Actual</t>
        </is>
      </c>
      <c r="BR394" s="9" t="inlineStr">
        <is>
          <t>Adjustment</t>
        </is>
      </c>
      <c r="BS394" s="9" t="inlineStr">
        <is>
          <t>Balance</t>
        </is>
      </c>
      <c r="BT394" s="9" t="inlineStr">
        <is>
          <t>Remarks</t>
        </is>
      </c>
      <c r="BW394" s="9" t="inlineStr">
        <is>
          <t>Date</t>
        </is>
      </c>
      <c r="BX394" s="9" t="inlineStr">
        <is>
          <t>Intake</t>
        </is>
      </c>
      <c r="BY394" s="9" t="inlineStr">
        <is>
          <t>Usage</t>
        </is>
      </c>
      <c r="BZ394" s="9" t="inlineStr">
        <is>
          <t>Actual</t>
        </is>
      </c>
      <c r="CA394" s="9" t="inlineStr">
        <is>
          <t>Adjustment</t>
        </is>
      </c>
      <c r="CB394" s="9" t="inlineStr">
        <is>
          <t>Balance</t>
        </is>
      </c>
      <c r="CC394" s="9" t="inlineStr">
        <is>
          <t>Remarks</t>
        </is>
      </c>
      <c r="CF394" s="9" t="inlineStr">
        <is>
          <t>Date</t>
        </is>
      </c>
      <c r="CG394" s="9" t="inlineStr">
        <is>
          <t>Intake</t>
        </is>
      </c>
      <c r="CH394" s="9" t="inlineStr">
        <is>
          <t>Usage</t>
        </is>
      </c>
      <c r="CI394" s="9" t="inlineStr">
        <is>
          <t>Actual</t>
        </is>
      </c>
      <c r="CJ394" s="9" t="inlineStr">
        <is>
          <t>Adjustment</t>
        </is>
      </c>
      <c r="CK394" s="9" t="inlineStr">
        <is>
          <t>Balance</t>
        </is>
      </c>
      <c r="CL394" s="9" t="inlineStr">
        <is>
          <t>Remarks</t>
        </is>
      </c>
      <c r="CO394" s="9" t="inlineStr">
        <is>
          <t>Date</t>
        </is>
      </c>
      <c r="CP394" s="9" t="inlineStr">
        <is>
          <t>Intake</t>
        </is>
      </c>
      <c r="CQ394" s="9" t="inlineStr">
        <is>
          <t>Usage</t>
        </is>
      </c>
      <c r="CR394" s="9" t="inlineStr">
        <is>
          <t>Actual</t>
        </is>
      </c>
      <c r="CS394" s="9" t="inlineStr">
        <is>
          <t>Adjustment</t>
        </is>
      </c>
      <c r="CT394" s="9" t="inlineStr">
        <is>
          <t>Balance</t>
        </is>
      </c>
      <c r="CU394" s="9" t="inlineStr">
        <is>
          <t>Remarks</t>
        </is>
      </c>
      <c r="CX394" s="9" t="inlineStr">
        <is>
          <t>Date</t>
        </is>
      </c>
      <c r="CY394" s="9" t="inlineStr">
        <is>
          <t>Intake</t>
        </is>
      </c>
      <c r="CZ394" s="9" t="inlineStr">
        <is>
          <t>Usage</t>
        </is>
      </c>
      <c r="DA394" s="9" t="inlineStr">
        <is>
          <t>Actual</t>
        </is>
      </c>
      <c r="DB394" s="9" t="inlineStr">
        <is>
          <t>Adjustment</t>
        </is>
      </c>
      <c r="DC394" s="9" t="inlineStr">
        <is>
          <t>Balance</t>
        </is>
      </c>
      <c r="DD394" s="9" t="inlineStr">
        <is>
          <t>Remarks</t>
        </is>
      </c>
      <c r="DG394" s="9" t="inlineStr">
        <is>
          <t>Date</t>
        </is>
      </c>
      <c r="DH394" s="9" t="inlineStr">
        <is>
          <t>Intake</t>
        </is>
      </c>
      <c r="DI394" s="9" t="inlineStr">
        <is>
          <t>Usage</t>
        </is>
      </c>
      <c r="DJ394" s="9" t="inlineStr">
        <is>
          <t>Actual</t>
        </is>
      </c>
      <c r="DK394" s="9" t="inlineStr">
        <is>
          <t>Adjustment</t>
        </is>
      </c>
      <c r="DL394" s="9" t="inlineStr">
        <is>
          <t>Balance</t>
        </is>
      </c>
      <c r="DM394" s="9" t="inlineStr">
        <is>
          <t>Remarks</t>
        </is>
      </c>
      <c r="DP394" s="9" t="inlineStr">
        <is>
          <t>Date</t>
        </is>
      </c>
      <c r="DQ394" s="9" t="inlineStr">
        <is>
          <t>Intake</t>
        </is>
      </c>
      <c r="DR394" s="9" t="inlineStr">
        <is>
          <t>Usage</t>
        </is>
      </c>
      <c r="DS394" s="9" t="inlineStr">
        <is>
          <t>Actual</t>
        </is>
      </c>
      <c r="DT394" s="9" t="inlineStr">
        <is>
          <t>Adjustment</t>
        </is>
      </c>
      <c r="DU394" s="9" t="inlineStr">
        <is>
          <t>Balance</t>
        </is>
      </c>
      <c r="DV394" s="9" t="inlineStr">
        <is>
          <t>Remarks</t>
        </is>
      </c>
      <c r="DY394" s="9" t="inlineStr">
        <is>
          <t>Date</t>
        </is>
      </c>
      <c r="DZ394" s="9" t="inlineStr">
        <is>
          <t>Intake</t>
        </is>
      </c>
      <c r="EA394" s="9" t="inlineStr">
        <is>
          <t>Usage</t>
        </is>
      </c>
      <c r="EB394" s="9" t="inlineStr">
        <is>
          <t>Actual</t>
        </is>
      </c>
      <c r="EC394" s="9" t="inlineStr">
        <is>
          <t>Adjustment</t>
        </is>
      </c>
      <c r="ED394" s="9" t="inlineStr">
        <is>
          <t>Balance</t>
        </is>
      </c>
      <c r="EE394" s="9" t="inlineStr">
        <is>
          <t>Remarks</t>
        </is>
      </c>
      <c r="EH394" s="9" t="inlineStr">
        <is>
          <t>Date</t>
        </is>
      </c>
      <c r="EI394" s="9" t="inlineStr">
        <is>
          <t>Intake</t>
        </is>
      </c>
      <c r="EJ394" s="9" t="inlineStr">
        <is>
          <t>Usage</t>
        </is>
      </c>
      <c r="EK394" s="9" t="inlineStr">
        <is>
          <t>Actual</t>
        </is>
      </c>
      <c r="EL394" s="9" t="inlineStr">
        <is>
          <t>Adjustment</t>
        </is>
      </c>
      <c r="EM394" s="9" t="inlineStr">
        <is>
          <t>Balance</t>
        </is>
      </c>
      <c r="EN394" s="9" t="inlineStr">
        <is>
          <t>Remarks</t>
        </is>
      </c>
      <c r="EQ394" s="9" t="inlineStr">
        <is>
          <t>Date</t>
        </is>
      </c>
      <c r="ER394" s="9" t="inlineStr">
        <is>
          <t>Intake</t>
        </is>
      </c>
      <c r="ES394" s="9" t="inlineStr">
        <is>
          <t>Usage</t>
        </is>
      </c>
      <c r="ET394" s="9" t="inlineStr">
        <is>
          <t>Actual</t>
        </is>
      </c>
      <c r="EU394" s="9" t="inlineStr">
        <is>
          <t>Adjustment</t>
        </is>
      </c>
      <c r="EV394" s="9" t="inlineStr">
        <is>
          <t>Balance</t>
        </is>
      </c>
      <c r="EW394" s="9" t="inlineStr">
        <is>
          <t>Remarks</t>
        </is>
      </c>
      <c r="EZ394" s="9" t="inlineStr">
        <is>
          <t>Date</t>
        </is>
      </c>
      <c r="FA394" s="9" t="inlineStr">
        <is>
          <t>Intake</t>
        </is>
      </c>
      <c r="FB394" s="9" t="inlineStr">
        <is>
          <t>Usage</t>
        </is>
      </c>
      <c r="FC394" s="9" t="inlineStr">
        <is>
          <t>Actual</t>
        </is>
      </c>
      <c r="FD394" s="9" t="inlineStr">
        <is>
          <t>Adjustment</t>
        </is>
      </c>
      <c r="FE394" s="9" t="inlineStr">
        <is>
          <t>Balance</t>
        </is>
      </c>
      <c r="FF394" s="9" t="inlineStr">
        <is>
          <t>Remarks</t>
        </is>
      </c>
      <c r="FI394" s="9" t="inlineStr">
        <is>
          <t>Date</t>
        </is>
      </c>
      <c r="FJ394" s="9" t="inlineStr">
        <is>
          <t>Intake</t>
        </is>
      </c>
      <c r="FK394" s="9" t="inlineStr">
        <is>
          <t>Usage</t>
        </is>
      </c>
      <c r="FL394" s="9" t="inlineStr">
        <is>
          <t>Actual</t>
        </is>
      </c>
      <c r="FM394" s="9" t="inlineStr">
        <is>
          <t>Adjustment</t>
        </is>
      </c>
      <c r="FN394" s="9" t="inlineStr">
        <is>
          <t>Balance</t>
        </is>
      </c>
      <c r="FO394" s="9" t="inlineStr">
        <is>
          <t>Remarks</t>
        </is>
      </c>
      <c r="FR394" s="9" t="inlineStr">
        <is>
          <t>Date</t>
        </is>
      </c>
      <c r="FS394" s="9" t="inlineStr">
        <is>
          <t>Intake</t>
        </is>
      </c>
      <c r="FT394" s="9" t="inlineStr">
        <is>
          <t>Usage</t>
        </is>
      </c>
      <c r="FU394" s="9" t="inlineStr">
        <is>
          <t>Actual</t>
        </is>
      </c>
      <c r="FV394" s="9" t="inlineStr">
        <is>
          <t>Adjustment</t>
        </is>
      </c>
      <c r="FW394" s="9" t="inlineStr">
        <is>
          <t>Balance</t>
        </is>
      </c>
      <c r="FX394" s="9" t="inlineStr">
        <is>
          <t>Remarks</t>
        </is>
      </c>
      <c r="GA394" s="9" t="inlineStr">
        <is>
          <t>Date</t>
        </is>
      </c>
      <c r="GB394" s="9" t="inlineStr">
        <is>
          <t>Intake</t>
        </is>
      </c>
      <c r="GC394" s="9" t="inlineStr">
        <is>
          <t>Usage</t>
        </is>
      </c>
      <c r="GD394" s="9" t="inlineStr">
        <is>
          <t>Actual</t>
        </is>
      </c>
      <c r="GE394" s="9" t="inlineStr">
        <is>
          <t>Adjustment</t>
        </is>
      </c>
      <c r="GF394" s="9" t="inlineStr">
        <is>
          <t>Balance</t>
        </is>
      </c>
      <c r="GG394" s="9" t="inlineStr">
        <is>
          <t>Remarks</t>
        </is>
      </c>
      <c r="GJ394" s="9" t="inlineStr">
        <is>
          <t>Date</t>
        </is>
      </c>
      <c r="GK394" s="9" t="inlineStr">
        <is>
          <t>Intake</t>
        </is>
      </c>
      <c r="GL394" s="9" t="inlineStr">
        <is>
          <t>Usage</t>
        </is>
      </c>
      <c r="GM394" s="9" t="inlineStr">
        <is>
          <t>Actual</t>
        </is>
      </c>
      <c r="GN394" s="9" t="inlineStr">
        <is>
          <t>Adjustment</t>
        </is>
      </c>
      <c r="GO394" s="9" t="inlineStr">
        <is>
          <t>Balance</t>
        </is>
      </c>
      <c r="GP394" s="9" t="inlineStr">
        <is>
          <t>Remarks</t>
        </is>
      </c>
      <c r="GS394" s="9" t="inlineStr">
        <is>
          <t>Date</t>
        </is>
      </c>
      <c r="GT394" s="9" t="inlineStr">
        <is>
          <t>Intake</t>
        </is>
      </c>
      <c r="GU394" s="9" t="inlineStr">
        <is>
          <t>Usage</t>
        </is>
      </c>
      <c r="GV394" s="9" t="inlineStr">
        <is>
          <t>Actual</t>
        </is>
      </c>
      <c r="GW394" s="9" t="inlineStr">
        <is>
          <t>Adjustment</t>
        </is>
      </c>
      <c r="GX394" s="9" t="inlineStr">
        <is>
          <t>Balance</t>
        </is>
      </c>
      <c r="GY394" s="9" t="inlineStr">
        <is>
          <t>Remarks</t>
        </is>
      </c>
      <c r="HB394" s="9" t="inlineStr">
        <is>
          <t>Date</t>
        </is>
      </c>
      <c r="HC394" s="9" t="inlineStr">
        <is>
          <t>Intake</t>
        </is>
      </c>
      <c r="HD394" s="9" t="inlineStr">
        <is>
          <t>Usage</t>
        </is>
      </c>
      <c r="HE394" s="9" t="inlineStr">
        <is>
          <t>Actual</t>
        </is>
      </c>
      <c r="HF394" s="9" t="inlineStr">
        <is>
          <t>Adjustment</t>
        </is>
      </c>
      <c r="HG394" s="9" t="inlineStr">
        <is>
          <t>Balance</t>
        </is>
      </c>
      <c r="HH394" s="9" t="inlineStr">
        <is>
          <t>Remarks</t>
        </is>
      </c>
      <c r="HK394" s="9" t="inlineStr">
        <is>
          <t>Date</t>
        </is>
      </c>
      <c r="HL394" s="9" t="inlineStr">
        <is>
          <t>Intake</t>
        </is>
      </c>
      <c r="HM394" s="9" t="inlineStr">
        <is>
          <t>Usage</t>
        </is>
      </c>
      <c r="HN394" s="9" t="inlineStr">
        <is>
          <t>Actual</t>
        </is>
      </c>
      <c r="HO394" s="9" t="inlineStr">
        <is>
          <t>Adjustment</t>
        </is>
      </c>
      <c r="HP394" s="9" t="inlineStr">
        <is>
          <t>Balance</t>
        </is>
      </c>
      <c r="HQ394" s="9" t="inlineStr">
        <is>
          <t>Remarks</t>
        </is>
      </c>
      <c r="HU394" s="9" t="inlineStr">
        <is>
          <t>Date</t>
        </is>
      </c>
      <c r="HV394" s="9" t="inlineStr">
        <is>
          <t>Intake</t>
        </is>
      </c>
      <c r="HW394" s="9" t="inlineStr">
        <is>
          <t>Usage</t>
        </is>
      </c>
      <c r="HX394" s="9" t="inlineStr">
        <is>
          <t>Actual</t>
        </is>
      </c>
      <c r="HY394" s="9" t="inlineStr">
        <is>
          <t>Adjustment</t>
        </is>
      </c>
      <c r="HZ394" s="9" t="inlineStr">
        <is>
          <t>Balance</t>
        </is>
      </c>
      <c r="IA394" s="9" t="inlineStr">
        <is>
          <t>Remarks</t>
        </is>
      </c>
      <c r="ID394" s="9" t="inlineStr">
        <is>
          <t>Date</t>
        </is>
      </c>
      <c r="IE394" s="9" t="inlineStr">
        <is>
          <t>Intake</t>
        </is>
      </c>
      <c r="IF394" s="9" t="inlineStr">
        <is>
          <t>Usage</t>
        </is>
      </c>
      <c r="IG394" s="9" t="inlineStr">
        <is>
          <t>Actual</t>
        </is>
      </c>
      <c r="IH394" s="9" t="inlineStr">
        <is>
          <t>Adjustment</t>
        </is>
      </c>
      <c r="II394" s="9" t="inlineStr">
        <is>
          <t>Balance</t>
        </is>
      </c>
      <c r="IJ394" s="9" t="inlineStr">
        <is>
          <t>Remarks</t>
        </is>
      </c>
      <c r="IM394" s="9" t="inlineStr">
        <is>
          <t>Date</t>
        </is>
      </c>
      <c r="IN394" s="9" t="inlineStr">
        <is>
          <t>Intake</t>
        </is>
      </c>
      <c r="IO394" s="9" t="inlineStr">
        <is>
          <t>Usage</t>
        </is>
      </c>
      <c r="IP394" s="9" t="inlineStr">
        <is>
          <t>Actual</t>
        </is>
      </c>
      <c r="IQ394" s="9" t="inlineStr">
        <is>
          <t>Adjustment</t>
        </is>
      </c>
      <c r="IR394" s="9" t="inlineStr">
        <is>
          <t>Balance</t>
        </is>
      </c>
      <c r="IS394" s="9" t="inlineStr">
        <is>
          <t>Remarks</t>
        </is>
      </c>
      <c r="IV394" s="9" t="inlineStr">
        <is>
          <t>Date</t>
        </is>
      </c>
      <c r="IW394" s="9" t="inlineStr">
        <is>
          <t>Intake</t>
        </is>
      </c>
      <c r="IX394" s="9" t="inlineStr">
        <is>
          <t>Usage</t>
        </is>
      </c>
      <c r="IY394" s="9" t="inlineStr">
        <is>
          <t>Actual</t>
        </is>
      </c>
      <c r="IZ394" s="9" t="inlineStr">
        <is>
          <t>Adjustment</t>
        </is>
      </c>
      <c r="JA394" s="9" t="inlineStr">
        <is>
          <t>Balance</t>
        </is>
      </c>
      <c r="JB394" s="9" t="inlineStr">
        <is>
          <t>Remarks</t>
        </is>
      </c>
      <c r="JE394" s="9" t="inlineStr">
        <is>
          <t>Date</t>
        </is>
      </c>
      <c r="JF394" s="9" t="inlineStr">
        <is>
          <t>Intake</t>
        </is>
      </c>
      <c r="JG394" s="9" t="inlineStr">
        <is>
          <t>Usage</t>
        </is>
      </c>
      <c r="JH394" s="9" t="inlineStr">
        <is>
          <t>Actual</t>
        </is>
      </c>
      <c r="JI394" s="9" t="inlineStr">
        <is>
          <t>Adjustment</t>
        </is>
      </c>
      <c r="JJ394" s="9" t="inlineStr">
        <is>
          <t>Balance</t>
        </is>
      </c>
      <c r="JK394" s="9" t="inlineStr">
        <is>
          <t>Remarks</t>
        </is>
      </c>
      <c r="JN394" s="9" t="inlineStr">
        <is>
          <t>Date</t>
        </is>
      </c>
      <c r="JO394" s="9" t="inlineStr">
        <is>
          <t>Intake</t>
        </is>
      </c>
      <c r="JP394" s="9" t="inlineStr">
        <is>
          <t>Usage</t>
        </is>
      </c>
      <c r="JQ394" s="9" t="inlineStr">
        <is>
          <t>Actual</t>
        </is>
      </c>
      <c r="JR394" s="9" t="inlineStr">
        <is>
          <t>Adjustment</t>
        </is>
      </c>
      <c r="JS394" s="9" t="inlineStr">
        <is>
          <t>Balance</t>
        </is>
      </c>
      <c r="JT394" s="9" t="inlineStr">
        <is>
          <t>Remarks</t>
        </is>
      </c>
      <c r="JW394" s="9" t="inlineStr">
        <is>
          <t>Date</t>
        </is>
      </c>
      <c r="JX394" s="9" t="inlineStr">
        <is>
          <t>Intake</t>
        </is>
      </c>
      <c r="JY394" s="9" t="inlineStr">
        <is>
          <t>Usage</t>
        </is>
      </c>
      <c r="JZ394" s="9" t="inlineStr">
        <is>
          <t>Actual</t>
        </is>
      </c>
      <c r="KA394" s="9" t="inlineStr">
        <is>
          <t>Adjustment</t>
        </is>
      </c>
      <c r="KB394" s="9" t="inlineStr">
        <is>
          <t>Balance</t>
        </is>
      </c>
      <c r="KC394" s="9" t="inlineStr">
        <is>
          <t>Remarks</t>
        </is>
      </c>
      <c r="KF394" s="9" t="inlineStr">
        <is>
          <t>Date</t>
        </is>
      </c>
      <c r="KG394" s="9" t="inlineStr">
        <is>
          <t>Intake</t>
        </is>
      </c>
      <c r="KH394" s="9" t="inlineStr">
        <is>
          <t>Usage</t>
        </is>
      </c>
      <c r="KI394" s="9" t="inlineStr">
        <is>
          <t>Actual</t>
        </is>
      </c>
      <c r="KJ394" s="9" t="inlineStr">
        <is>
          <t>Adjustment</t>
        </is>
      </c>
      <c r="KK394" s="9" t="inlineStr">
        <is>
          <t>Balance</t>
        </is>
      </c>
      <c r="KL394" s="9" t="inlineStr">
        <is>
          <t>Remarks</t>
        </is>
      </c>
      <c r="KO394" s="9" t="inlineStr">
        <is>
          <t>Date</t>
        </is>
      </c>
      <c r="KP394" s="9" t="inlineStr">
        <is>
          <t>Intake</t>
        </is>
      </c>
      <c r="KQ394" s="9" t="inlineStr">
        <is>
          <t>Usage</t>
        </is>
      </c>
      <c r="KR394" s="9" t="inlineStr">
        <is>
          <t>Actual</t>
        </is>
      </c>
      <c r="KS394" s="9" t="inlineStr">
        <is>
          <t>Adjustment</t>
        </is>
      </c>
      <c r="KT394" s="9" t="inlineStr">
        <is>
          <t>Balance</t>
        </is>
      </c>
      <c r="KU394" s="9" t="inlineStr">
        <is>
          <t>Remarks</t>
        </is>
      </c>
      <c r="KX394" s="9" t="inlineStr">
        <is>
          <t>Date</t>
        </is>
      </c>
      <c r="KY394" s="9" t="inlineStr">
        <is>
          <t>Intake</t>
        </is>
      </c>
      <c r="KZ394" s="9" t="inlineStr">
        <is>
          <t>Usage</t>
        </is>
      </c>
      <c r="LA394" s="9" t="inlineStr">
        <is>
          <t>Actual</t>
        </is>
      </c>
      <c r="LB394" s="9" t="inlineStr">
        <is>
          <t>Adjustment</t>
        </is>
      </c>
      <c r="LC394" s="9" t="inlineStr">
        <is>
          <t>Balance</t>
        </is>
      </c>
      <c r="LD394" s="9" t="inlineStr">
        <is>
          <t>Remarks</t>
        </is>
      </c>
      <c r="LG394" s="9" t="inlineStr">
        <is>
          <t>Date</t>
        </is>
      </c>
      <c r="LH394" s="9" t="inlineStr">
        <is>
          <t>Intake</t>
        </is>
      </c>
      <c r="LI394" s="9" t="inlineStr">
        <is>
          <t>Usage</t>
        </is>
      </c>
      <c r="LJ394" s="9" t="inlineStr">
        <is>
          <t>Actual</t>
        </is>
      </c>
      <c r="LK394" s="9" t="inlineStr">
        <is>
          <t>Adjustment</t>
        </is>
      </c>
      <c r="LL394" s="9" t="inlineStr">
        <is>
          <t>Balance</t>
        </is>
      </c>
      <c r="LM394" s="9" t="inlineStr">
        <is>
          <t>Remarks</t>
        </is>
      </c>
      <c r="LP394" s="9" t="inlineStr">
        <is>
          <t>Date</t>
        </is>
      </c>
      <c r="LQ394" s="9" t="inlineStr">
        <is>
          <t>Intake</t>
        </is>
      </c>
      <c r="LR394" s="9" t="inlineStr">
        <is>
          <t>Usage</t>
        </is>
      </c>
      <c r="LS394" s="9" t="inlineStr">
        <is>
          <t>Actual</t>
        </is>
      </c>
      <c r="LT394" s="9" t="inlineStr">
        <is>
          <t>Adjustment</t>
        </is>
      </c>
      <c r="LU394" s="9" t="inlineStr">
        <is>
          <t>Balance</t>
        </is>
      </c>
      <c r="LV394" s="9" t="inlineStr">
        <is>
          <t>Remarks</t>
        </is>
      </c>
      <c r="LY394" s="9" t="inlineStr">
        <is>
          <t>Date</t>
        </is>
      </c>
      <c r="LZ394" s="9" t="inlineStr">
        <is>
          <t>Intake</t>
        </is>
      </c>
      <c r="MA394" s="9" t="inlineStr">
        <is>
          <t>Usage</t>
        </is>
      </c>
      <c r="MB394" s="9" t="inlineStr">
        <is>
          <t>Actual</t>
        </is>
      </c>
      <c r="MC394" s="9" t="inlineStr">
        <is>
          <t>Adjustment</t>
        </is>
      </c>
      <c r="MD394" s="9" t="inlineStr">
        <is>
          <t>Balance</t>
        </is>
      </c>
      <c r="ME394" s="9" t="inlineStr">
        <is>
          <t>Remarks</t>
        </is>
      </c>
      <c r="MH394" s="9" t="inlineStr">
        <is>
          <t>Date</t>
        </is>
      </c>
      <c r="MI394" s="9" t="inlineStr">
        <is>
          <t>Intake</t>
        </is>
      </c>
      <c r="MJ394" s="9" t="inlineStr">
        <is>
          <t>Usage</t>
        </is>
      </c>
      <c r="MK394" s="9" t="inlineStr">
        <is>
          <t>Actual</t>
        </is>
      </c>
      <c r="ML394" s="9" t="inlineStr">
        <is>
          <t>Adjustment</t>
        </is>
      </c>
      <c r="MM394" s="9" t="inlineStr">
        <is>
          <t>Balance</t>
        </is>
      </c>
      <c r="MN394" s="9" t="inlineStr">
        <is>
          <t>Remarks</t>
        </is>
      </c>
      <c r="MQ394" s="9" t="inlineStr">
        <is>
          <t>Date</t>
        </is>
      </c>
      <c r="MR394" s="9" t="inlineStr">
        <is>
          <t>Intake</t>
        </is>
      </c>
      <c r="MS394" s="9" t="inlineStr">
        <is>
          <t>Usage</t>
        </is>
      </c>
      <c r="MT394" s="9" t="inlineStr">
        <is>
          <t>Actual</t>
        </is>
      </c>
      <c r="MU394" s="9" t="inlineStr">
        <is>
          <t>Adjustment</t>
        </is>
      </c>
      <c r="MV394" s="9" t="inlineStr">
        <is>
          <t>Balance</t>
        </is>
      </c>
      <c r="MW394" s="9" t="inlineStr">
        <is>
          <t>Remarks</t>
        </is>
      </c>
      <c r="MZ394" s="9" t="inlineStr">
        <is>
          <t>Date</t>
        </is>
      </c>
      <c r="NA394" s="9" t="inlineStr">
        <is>
          <t>Intake</t>
        </is>
      </c>
      <c r="NB394" s="9" t="inlineStr">
        <is>
          <t>Usage</t>
        </is>
      </c>
      <c r="NC394" s="9" t="inlineStr">
        <is>
          <t>Actual</t>
        </is>
      </c>
      <c r="ND394" s="9" t="inlineStr">
        <is>
          <t>Adjustment</t>
        </is>
      </c>
      <c r="NE394" s="9" t="inlineStr">
        <is>
          <t>Balance</t>
        </is>
      </c>
      <c r="NF394" s="9" t="inlineStr">
        <is>
          <t>Remarks</t>
        </is>
      </c>
      <c r="NI394" s="9" t="inlineStr">
        <is>
          <t>Date</t>
        </is>
      </c>
      <c r="NJ394" s="9" t="inlineStr">
        <is>
          <t>Intake</t>
        </is>
      </c>
      <c r="NK394" s="9" t="inlineStr">
        <is>
          <t>Usage</t>
        </is>
      </c>
      <c r="NL394" s="9" t="inlineStr">
        <is>
          <t>Actual</t>
        </is>
      </c>
      <c r="NM394" s="9" t="inlineStr">
        <is>
          <t>Adjustment</t>
        </is>
      </c>
      <c r="NN394" s="9" t="inlineStr">
        <is>
          <t>Balance</t>
        </is>
      </c>
      <c r="NO394" s="9" t="inlineStr">
        <is>
          <t>Remarks</t>
        </is>
      </c>
      <c r="NR394" s="9" t="inlineStr">
        <is>
          <t>Date</t>
        </is>
      </c>
      <c r="NS394" s="9" t="inlineStr">
        <is>
          <t>Intake</t>
        </is>
      </c>
      <c r="NT394" s="9" t="inlineStr">
        <is>
          <t>Usage</t>
        </is>
      </c>
      <c r="NU394" s="9" t="inlineStr">
        <is>
          <t>Actual</t>
        </is>
      </c>
      <c r="NV394" s="9" t="inlineStr">
        <is>
          <t>Adjustment</t>
        </is>
      </c>
      <c r="NW394" s="9" t="inlineStr">
        <is>
          <t>Balance</t>
        </is>
      </c>
      <c r="NX394" s="9" t="inlineStr">
        <is>
          <t>Remarks</t>
        </is>
      </c>
      <c r="OA394" s="9" t="inlineStr">
        <is>
          <t>Date</t>
        </is>
      </c>
      <c r="OB394" s="9" t="inlineStr">
        <is>
          <t>Intake</t>
        </is>
      </c>
      <c r="OC394" s="9" t="inlineStr">
        <is>
          <t>Usage</t>
        </is>
      </c>
      <c r="OD394" s="9" t="inlineStr">
        <is>
          <t>Actual</t>
        </is>
      </c>
      <c r="OE394" s="9" t="inlineStr">
        <is>
          <t>Adjustment</t>
        </is>
      </c>
      <c r="OF394" s="9" t="inlineStr">
        <is>
          <t>Balance</t>
        </is>
      </c>
      <c r="OG394" s="9" t="inlineStr">
        <is>
          <t>Remarks</t>
        </is>
      </c>
      <c r="OJ394" s="9" t="inlineStr">
        <is>
          <t>Date</t>
        </is>
      </c>
      <c r="OK394" s="9" t="inlineStr">
        <is>
          <t>Intake</t>
        </is>
      </c>
      <c r="OL394" s="9" t="inlineStr">
        <is>
          <t>Usage</t>
        </is>
      </c>
      <c r="OM394" s="9" t="inlineStr">
        <is>
          <t>Actual</t>
        </is>
      </c>
      <c r="ON394" s="9" t="inlineStr">
        <is>
          <t>Adjustment</t>
        </is>
      </c>
      <c r="OO394" s="9" t="inlineStr">
        <is>
          <t>Balance</t>
        </is>
      </c>
      <c r="OP394" s="9" t="inlineStr">
        <is>
          <t>Remarks</t>
        </is>
      </c>
      <c r="OS394" s="9" t="inlineStr">
        <is>
          <t>Date</t>
        </is>
      </c>
      <c r="OT394" s="9" t="inlineStr">
        <is>
          <t>Intake</t>
        </is>
      </c>
      <c r="OU394" s="9" t="inlineStr">
        <is>
          <t>Usage</t>
        </is>
      </c>
      <c r="OV394" s="9" t="inlineStr">
        <is>
          <t>Actual</t>
        </is>
      </c>
      <c r="OW394" s="9" t="inlineStr">
        <is>
          <t>Adjustment</t>
        </is>
      </c>
      <c r="OX394" s="9" t="inlineStr">
        <is>
          <t>Balance</t>
        </is>
      </c>
      <c r="OY394" s="9" t="inlineStr">
        <is>
          <t>Remarks</t>
        </is>
      </c>
      <c r="PB394" s="9" t="inlineStr">
        <is>
          <t>Date</t>
        </is>
      </c>
      <c r="PC394" s="9" t="inlineStr">
        <is>
          <t>Intake</t>
        </is>
      </c>
      <c r="PD394" s="9" t="inlineStr">
        <is>
          <t>Usage</t>
        </is>
      </c>
      <c r="PE394" s="9" t="inlineStr">
        <is>
          <t>Actual</t>
        </is>
      </c>
      <c r="PF394" s="9" t="inlineStr">
        <is>
          <t>Adjustment</t>
        </is>
      </c>
      <c r="PG394" s="9" t="inlineStr">
        <is>
          <t>Balance</t>
        </is>
      </c>
      <c r="PH394" s="9" t="inlineStr">
        <is>
          <t>Remarks</t>
        </is>
      </c>
      <c r="PK394" s="9" t="inlineStr">
        <is>
          <t>Date</t>
        </is>
      </c>
      <c r="PL394" s="9" t="inlineStr">
        <is>
          <t>Intake</t>
        </is>
      </c>
      <c r="PM394" s="9" t="inlineStr">
        <is>
          <t>Usage</t>
        </is>
      </c>
      <c r="PN394" s="9" t="inlineStr">
        <is>
          <t>Actual</t>
        </is>
      </c>
      <c r="PO394" s="9" t="inlineStr">
        <is>
          <t>Adjustment</t>
        </is>
      </c>
      <c r="PP394" s="9" t="inlineStr">
        <is>
          <t>Balance</t>
        </is>
      </c>
      <c r="PQ394" s="9" t="inlineStr">
        <is>
          <t>Remarks</t>
        </is>
      </c>
      <c r="PT394" s="9" t="inlineStr">
        <is>
          <t>Date</t>
        </is>
      </c>
      <c r="PU394" s="9" t="inlineStr">
        <is>
          <t>Intake</t>
        </is>
      </c>
      <c r="PV394" s="9" t="inlineStr">
        <is>
          <t>Usage</t>
        </is>
      </c>
      <c r="PW394" s="9" t="inlineStr">
        <is>
          <t>Actual</t>
        </is>
      </c>
      <c r="PX394" s="9" t="inlineStr">
        <is>
          <t>Adjustment</t>
        </is>
      </c>
      <c r="PY394" s="9" t="inlineStr">
        <is>
          <t>Balance</t>
        </is>
      </c>
      <c r="PZ394" s="9" t="inlineStr">
        <is>
          <t>Remarks</t>
        </is>
      </c>
      <c r="QC394" s="9" t="inlineStr">
        <is>
          <t>Date</t>
        </is>
      </c>
      <c r="QD394" s="9" t="inlineStr">
        <is>
          <t>Intake</t>
        </is>
      </c>
      <c r="QE394" s="9" t="inlineStr">
        <is>
          <t>Usage</t>
        </is>
      </c>
      <c r="QF394" s="9" t="inlineStr">
        <is>
          <t>Actual</t>
        </is>
      </c>
      <c r="QG394" s="9" t="inlineStr">
        <is>
          <t>Adjustment</t>
        </is>
      </c>
      <c r="QH394" s="9" t="inlineStr">
        <is>
          <t>Balance</t>
        </is>
      </c>
      <c r="QI394" s="9" t="inlineStr">
        <is>
          <t>Remarks</t>
        </is>
      </c>
      <c r="QL394" s="9" t="inlineStr">
        <is>
          <t>Date</t>
        </is>
      </c>
      <c r="QM394" s="9" t="inlineStr">
        <is>
          <t>Intake</t>
        </is>
      </c>
      <c r="QN394" s="9" t="inlineStr">
        <is>
          <t>Usage</t>
        </is>
      </c>
      <c r="QO394" s="9" t="inlineStr">
        <is>
          <t>Actual</t>
        </is>
      </c>
      <c r="QP394" s="9" t="inlineStr">
        <is>
          <t>Adjustment</t>
        </is>
      </c>
      <c r="QQ394" s="9" t="inlineStr">
        <is>
          <t>Balance</t>
        </is>
      </c>
      <c r="QR394" s="9" t="inlineStr">
        <is>
          <t>Remarks</t>
        </is>
      </c>
      <c r="QU394" s="9" t="inlineStr">
        <is>
          <t>Date</t>
        </is>
      </c>
      <c r="QV394" s="9" t="inlineStr">
        <is>
          <t>Intake</t>
        </is>
      </c>
      <c r="QW394" s="9" t="inlineStr">
        <is>
          <t>Usage</t>
        </is>
      </c>
      <c r="QX394" s="9" t="inlineStr">
        <is>
          <t>Actual</t>
        </is>
      </c>
      <c r="QY394" s="9" t="inlineStr">
        <is>
          <t>Adjustment</t>
        </is>
      </c>
      <c r="QZ394" s="9" t="inlineStr">
        <is>
          <t>Balance</t>
        </is>
      </c>
      <c r="RA394" s="9" t="inlineStr">
        <is>
          <t>Remarks</t>
        </is>
      </c>
      <c r="RD394" s="9" t="inlineStr">
        <is>
          <t>Date</t>
        </is>
      </c>
      <c r="RE394" s="9" t="inlineStr">
        <is>
          <t>Intake</t>
        </is>
      </c>
      <c r="RF394" s="9" t="inlineStr">
        <is>
          <t>Usage</t>
        </is>
      </c>
      <c r="RG394" s="9" t="inlineStr">
        <is>
          <t>Actual</t>
        </is>
      </c>
      <c r="RH394" s="9" t="inlineStr">
        <is>
          <t>Adjustment</t>
        </is>
      </c>
      <c r="RI394" s="9" t="inlineStr">
        <is>
          <t>Balance</t>
        </is>
      </c>
      <c r="RJ394" s="9" t="inlineStr">
        <is>
          <t>Remarks</t>
        </is>
      </c>
      <c r="RM394" s="9" t="inlineStr">
        <is>
          <t>Date</t>
        </is>
      </c>
      <c r="RN394" s="9" t="inlineStr">
        <is>
          <t>Intake</t>
        </is>
      </c>
      <c r="RO394" s="9" t="inlineStr">
        <is>
          <t>Usage</t>
        </is>
      </c>
      <c r="RP394" s="9" t="inlineStr">
        <is>
          <t>Actual</t>
        </is>
      </c>
      <c r="RQ394" s="9" t="inlineStr">
        <is>
          <t>Adjustment</t>
        </is>
      </c>
      <c r="RR394" s="9" t="inlineStr">
        <is>
          <t>Balance</t>
        </is>
      </c>
      <c r="RS394" s="9" t="inlineStr">
        <is>
          <t>Remarks</t>
        </is>
      </c>
      <c r="RV394" s="9" t="inlineStr">
        <is>
          <t>Date</t>
        </is>
      </c>
      <c r="RW394" s="9" t="inlineStr">
        <is>
          <t>Intake</t>
        </is>
      </c>
      <c r="RX394" s="9" t="inlineStr">
        <is>
          <t>Usage</t>
        </is>
      </c>
      <c r="RY394" s="9" t="inlineStr">
        <is>
          <t>Actual</t>
        </is>
      </c>
      <c r="RZ394" s="9" t="inlineStr">
        <is>
          <t>Adjustment</t>
        </is>
      </c>
      <c r="SA394" s="9" t="inlineStr">
        <is>
          <t>Balance</t>
        </is>
      </c>
      <c r="SB394" s="9" t="inlineStr">
        <is>
          <t>Remarks</t>
        </is>
      </c>
      <c r="SE394" s="9" t="inlineStr">
        <is>
          <t>Date</t>
        </is>
      </c>
      <c r="SF394" s="9" t="inlineStr">
        <is>
          <t>Intake</t>
        </is>
      </c>
      <c r="SG394" s="9" t="inlineStr">
        <is>
          <t>Usage</t>
        </is>
      </c>
      <c r="SH394" s="9" t="inlineStr">
        <is>
          <t>Actual</t>
        </is>
      </c>
      <c r="SI394" s="9" t="inlineStr">
        <is>
          <t>Adjustment</t>
        </is>
      </c>
      <c r="SJ394" s="9" t="inlineStr">
        <is>
          <t>Balance</t>
        </is>
      </c>
      <c r="SK394" s="9" t="inlineStr">
        <is>
          <t>Remarks</t>
        </is>
      </c>
      <c r="SN394" s="9" t="inlineStr">
        <is>
          <t>Date</t>
        </is>
      </c>
      <c r="SO394" s="9" t="inlineStr">
        <is>
          <t>Intake</t>
        </is>
      </c>
      <c r="SP394" s="9" t="inlineStr">
        <is>
          <t>Usage</t>
        </is>
      </c>
      <c r="SQ394" s="9" t="inlineStr">
        <is>
          <t>Actual</t>
        </is>
      </c>
      <c r="SR394" s="9" t="inlineStr">
        <is>
          <t>Adjustment</t>
        </is>
      </c>
      <c r="SS394" s="9" t="inlineStr">
        <is>
          <t>Balance</t>
        </is>
      </c>
      <c r="ST394" s="9" t="inlineStr">
        <is>
          <t>Remarks</t>
        </is>
      </c>
      <c r="SW394" s="9" t="inlineStr">
        <is>
          <t>Date</t>
        </is>
      </c>
      <c r="SX394" s="9" t="inlineStr">
        <is>
          <t>Intake</t>
        </is>
      </c>
      <c r="SY394" s="9" t="inlineStr">
        <is>
          <t>Usage</t>
        </is>
      </c>
      <c r="SZ394" s="9" t="inlineStr">
        <is>
          <t>Actual</t>
        </is>
      </c>
      <c r="TA394" s="9" t="inlineStr">
        <is>
          <t>Adjustment</t>
        </is>
      </c>
      <c r="TB394" s="9" t="inlineStr">
        <is>
          <t>Balance</t>
        </is>
      </c>
      <c r="TC394" s="9" t="inlineStr">
        <is>
          <t>Remarks</t>
        </is>
      </c>
      <c r="TF394" s="9" t="inlineStr">
        <is>
          <t>Date</t>
        </is>
      </c>
      <c r="TG394" s="9" t="inlineStr">
        <is>
          <t>Intake</t>
        </is>
      </c>
      <c r="TH394" s="9" t="inlineStr">
        <is>
          <t>Usage</t>
        </is>
      </c>
      <c r="TI394" s="9" t="inlineStr">
        <is>
          <t>Actual</t>
        </is>
      </c>
      <c r="TJ394" s="9" t="inlineStr">
        <is>
          <t>Adjustment</t>
        </is>
      </c>
      <c r="TK394" s="9" t="inlineStr">
        <is>
          <t>Balance</t>
        </is>
      </c>
      <c r="TL394" s="9" t="inlineStr">
        <is>
          <t>Remarks</t>
        </is>
      </c>
      <c r="TO394" s="9" t="inlineStr">
        <is>
          <t>Date</t>
        </is>
      </c>
      <c r="TP394" s="9" t="inlineStr">
        <is>
          <t>Intake</t>
        </is>
      </c>
      <c r="TQ394" s="9" t="inlineStr">
        <is>
          <t>Usage</t>
        </is>
      </c>
      <c r="TR394" s="9" t="inlineStr">
        <is>
          <t>Actual</t>
        </is>
      </c>
      <c r="TS394" s="9" t="inlineStr">
        <is>
          <t>Adjustment</t>
        </is>
      </c>
      <c r="TT394" s="9" t="inlineStr">
        <is>
          <t>Balance</t>
        </is>
      </c>
      <c r="TU394" s="9" t="inlineStr">
        <is>
          <t>Remarks</t>
        </is>
      </c>
      <c r="TX394" s="9" t="inlineStr">
        <is>
          <t>Date</t>
        </is>
      </c>
      <c r="TY394" s="9" t="inlineStr">
        <is>
          <t>Intake</t>
        </is>
      </c>
      <c r="TZ394" s="9" t="inlineStr">
        <is>
          <t>Usage</t>
        </is>
      </c>
      <c r="UA394" s="9" t="inlineStr">
        <is>
          <t>Actual</t>
        </is>
      </c>
      <c r="UB394" s="9" t="inlineStr">
        <is>
          <t>Adjustment</t>
        </is>
      </c>
      <c r="UC394" s="9" t="inlineStr">
        <is>
          <t>Balance</t>
        </is>
      </c>
      <c r="UD394" s="9" t="inlineStr">
        <is>
          <t>Remarks</t>
        </is>
      </c>
      <c r="UG394" s="9" t="inlineStr">
        <is>
          <t>Date</t>
        </is>
      </c>
      <c r="UH394" s="9" t="inlineStr">
        <is>
          <t>Intake</t>
        </is>
      </c>
      <c r="UI394" s="9" t="inlineStr">
        <is>
          <t>Usage</t>
        </is>
      </c>
      <c r="UJ394" s="9" t="inlineStr">
        <is>
          <t>Actual</t>
        </is>
      </c>
      <c r="UK394" s="9" t="inlineStr">
        <is>
          <t>Adjustment</t>
        </is>
      </c>
      <c r="UL394" s="9" t="inlineStr">
        <is>
          <t>Balance</t>
        </is>
      </c>
      <c r="UM394" s="9" t="inlineStr">
        <is>
          <t>Remarks</t>
        </is>
      </c>
      <c r="UP394" s="9" t="inlineStr">
        <is>
          <t>Date</t>
        </is>
      </c>
      <c r="UQ394" s="9" t="inlineStr">
        <is>
          <t>Intake</t>
        </is>
      </c>
      <c r="UR394" s="9" t="inlineStr">
        <is>
          <t>Usage</t>
        </is>
      </c>
      <c r="US394" s="9" t="inlineStr">
        <is>
          <t>Actual</t>
        </is>
      </c>
      <c r="UT394" s="9" t="inlineStr">
        <is>
          <t>Adjustment</t>
        </is>
      </c>
      <c r="UU394" s="9" t="inlineStr">
        <is>
          <t>Balance</t>
        </is>
      </c>
      <c r="UV394" s="9" t="inlineStr">
        <is>
          <t>Remarks</t>
        </is>
      </c>
      <c r="UY394" s="9" t="inlineStr">
        <is>
          <t>Date</t>
        </is>
      </c>
      <c r="UZ394" s="9" t="inlineStr">
        <is>
          <t>Intake</t>
        </is>
      </c>
      <c r="VA394" s="9" t="inlineStr">
        <is>
          <t>Usage</t>
        </is>
      </c>
      <c r="VB394" s="9" t="inlineStr">
        <is>
          <t>Actual</t>
        </is>
      </c>
      <c r="VC394" s="9" t="inlineStr">
        <is>
          <t>Adjustment</t>
        </is>
      </c>
      <c r="VD394" s="9" t="inlineStr">
        <is>
          <t>Balance</t>
        </is>
      </c>
      <c r="VE394" s="9" t="inlineStr">
        <is>
          <t>Remarks</t>
        </is>
      </c>
      <c r="VH394" s="9" t="inlineStr">
        <is>
          <t>Date</t>
        </is>
      </c>
      <c r="VI394" s="9" t="inlineStr">
        <is>
          <t>Intake</t>
        </is>
      </c>
      <c r="VJ394" s="9" t="inlineStr">
        <is>
          <t>Usage</t>
        </is>
      </c>
      <c r="VK394" s="9" t="inlineStr">
        <is>
          <t>Actual</t>
        </is>
      </c>
      <c r="VL394" s="9" t="inlineStr">
        <is>
          <t>Adjustment</t>
        </is>
      </c>
      <c r="VM394" s="9" t="inlineStr">
        <is>
          <t>Balance</t>
        </is>
      </c>
      <c r="VN394" s="9" t="inlineStr">
        <is>
          <t>Remarks</t>
        </is>
      </c>
      <c r="VQ394" s="9" t="inlineStr">
        <is>
          <t>Date</t>
        </is>
      </c>
      <c r="VR394" s="9" t="inlineStr">
        <is>
          <t>Intake</t>
        </is>
      </c>
      <c r="VS394" s="9" t="inlineStr">
        <is>
          <t>Usage</t>
        </is>
      </c>
      <c r="VT394" s="9" t="inlineStr">
        <is>
          <t>Actual</t>
        </is>
      </c>
      <c r="VU394" s="9" t="inlineStr">
        <is>
          <t>Adjustment</t>
        </is>
      </c>
      <c r="VV394" s="9" t="inlineStr">
        <is>
          <t>Balance</t>
        </is>
      </c>
      <c r="VW394" s="9" t="inlineStr">
        <is>
          <t>Remarks</t>
        </is>
      </c>
      <c r="VZ394" s="9" t="inlineStr">
        <is>
          <t>Date</t>
        </is>
      </c>
      <c r="WA394" s="9" t="inlineStr">
        <is>
          <t>Intake</t>
        </is>
      </c>
      <c r="WB394" s="9" t="inlineStr">
        <is>
          <t>Usage</t>
        </is>
      </c>
      <c r="WC394" s="9" t="inlineStr">
        <is>
          <t>Actual</t>
        </is>
      </c>
      <c r="WD394" s="9" t="inlineStr">
        <is>
          <t>Adjustment</t>
        </is>
      </c>
      <c r="WE394" s="9" t="inlineStr">
        <is>
          <t>Balance</t>
        </is>
      </c>
      <c r="WF394" s="9" t="inlineStr">
        <is>
          <t>Remarks</t>
        </is>
      </c>
      <c r="WI394" s="9" t="inlineStr">
        <is>
          <t>Date</t>
        </is>
      </c>
      <c r="WJ394" s="9" t="inlineStr">
        <is>
          <t>Intake</t>
        </is>
      </c>
      <c r="WK394" s="9" t="inlineStr">
        <is>
          <t>Usage</t>
        </is>
      </c>
      <c r="WL394" s="9" t="inlineStr">
        <is>
          <t>Actual</t>
        </is>
      </c>
      <c r="WM394" s="9" t="inlineStr">
        <is>
          <t>Adjustment</t>
        </is>
      </c>
      <c r="WN394" s="9" t="inlineStr">
        <is>
          <t>Balance</t>
        </is>
      </c>
      <c r="WO394" s="9" t="inlineStr">
        <is>
          <t>Remarks</t>
        </is>
      </c>
      <c r="WR394" s="9" t="inlineStr">
        <is>
          <t>Date</t>
        </is>
      </c>
      <c r="WS394" s="9" t="inlineStr">
        <is>
          <t>Intake</t>
        </is>
      </c>
      <c r="WT394" s="9" t="inlineStr">
        <is>
          <t>Usage</t>
        </is>
      </c>
      <c r="WU394" s="9" t="inlineStr">
        <is>
          <t>Actual</t>
        </is>
      </c>
      <c r="WV394" s="9" t="inlineStr">
        <is>
          <t>Adjustment</t>
        </is>
      </c>
      <c r="WW394" s="9" t="inlineStr">
        <is>
          <t>Balance</t>
        </is>
      </c>
      <c r="WX394" s="9" t="inlineStr">
        <is>
          <t>Remarks</t>
        </is>
      </c>
      <c r="XA394" s="9" t="inlineStr">
        <is>
          <t>Date</t>
        </is>
      </c>
      <c r="XB394" s="9" t="inlineStr">
        <is>
          <t>Intake</t>
        </is>
      </c>
      <c r="XC394" s="9" t="inlineStr">
        <is>
          <t>Usage</t>
        </is>
      </c>
      <c r="XD394" s="9" t="inlineStr">
        <is>
          <t>Actual</t>
        </is>
      </c>
      <c r="XE394" s="9" t="inlineStr">
        <is>
          <t>Adjustment</t>
        </is>
      </c>
      <c r="XF394" s="9" t="inlineStr">
        <is>
          <t>Balance</t>
        </is>
      </c>
      <c r="XG394" s="9" t="inlineStr">
        <is>
          <t>Remarks</t>
        </is>
      </c>
      <c r="XJ394" s="9" t="inlineStr">
        <is>
          <t>Date</t>
        </is>
      </c>
      <c r="XK394" s="9" t="inlineStr">
        <is>
          <t>Intake</t>
        </is>
      </c>
      <c r="XL394" s="9" t="inlineStr">
        <is>
          <t>Usage</t>
        </is>
      </c>
      <c r="XM394" s="9" t="inlineStr">
        <is>
          <t>Actual</t>
        </is>
      </c>
      <c r="XN394" s="9" t="inlineStr">
        <is>
          <t>Adjustment</t>
        </is>
      </c>
      <c r="XO394" s="9" t="inlineStr">
        <is>
          <t>Balance</t>
        </is>
      </c>
      <c r="XP394" s="9" t="inlineStr">
        <is>
          <t>Remarks</t>
        </is>
      </c>
      <c r="XS394" s="9" t="inlineStr">
        <is>
          <t>Date</t>
        </is>
      </c>
      <c r="XT394" s="9" t="inlineStr">
        <is>
          <t>Intake</t>
        </is>
      </c>
      <c r="XU394" s="9" t="inlineStr">
        <is>
          <t>Usage</t>
        </is>
      </c>
      <c r="XV394" s="9" t="inlineStr">
        <is>
          <t>Actual</t>
        </is>
      </c>
      <c r="XW394" s="9" t="inlineStr">
        <is>
          <t>Adjustment</t>
        </is>
      </c>
      <c r="XX394" s="9" t="inlineStr">
        <is>
          <t>Balance</t>
        </is>
      </c>
      <c r="XY394" s="9" t="inlineStr">
        <is>
          <t>Remarks</t>
        </is>
      </c>
      <c r="YB394" s="9" t="inlineStr">
        <is>
          <t>Date</t>
        </is>
      </c>
      <c r="YC394" s="9" t="inlineStr">
        <is>
          <t>Intake</t>
        </is>
      </c>
      <c r="YD394" s="9" t="inlineStr">
        <is>
          <t>Usage</t>
        </is>
      </c>
      <c r="YE394" s="9" t="inlineStr">
        <is>
          <t>Actual</t>
        </is>
      </c>
      <c r="YF394" s="9" t="inlineStr">
        <is>
          <t>Adjustment</t>
        </is>
      </c>
      <c r="YG394" s="9" t="inlineStr">
        <is>
          <t>Balance</t>
        </is>
      </c>
      <c r="YH394" s="9" t="inlineStr">
        <is>
          <t>Remarks</t>
        </is>
      </c>
      <c r="YK394" s="9" t="inlineStr">
        <is>
          <t>Date</t>
        </is>
      </c>
      <c r="YL394" s="9" t="inlineStr">
        <is>
          <t>Intake</t>
        </is>
      </c>
      <c r="YM394" s="9" t="inlineStr">
        <is>
          <t>Usage</t>
        </is>
      </c>
      <c r="YN394" s="9" t="inlineStr">
        <is>
          <t>Actual</t>
        </is>
      </c>
      <c r="YO394" s="9" t="inlineStr">
        <is>
          <t>Adjustment</t>
        </is>
      </c>
      <c r="YP394" s="9" t="inlineStr">
        <is>
          <t>Balance</t>
        </is>
      </c>
      <c r="YQ394" s="9" t="inlineStr">
        <is>
          <t>Remarks</t>
        </is>
      </c>
      <c r="YT394" s="9" t="inlineStr">
        <is>
          <t>Date</t>
        </is>
      </c>
      <c r="YU394" s="9" t="inlineStr">
        <is>
          <t>Intake</t>
        </is>
      </c>
      <c r="YV394" s="9" t="inlineStr">
        <is>
          <t>Usage</t>
        </is>
      </c>
      <c r="YW394" s="9" t="inlineStr">
        <is>
          <t>Actual</t>
        </is>
      </c>
      <c r="YX394" s="9" t="inlineStr">
        <is>
          <t>Adjustment</t>
        </is>
      </c>
      <c r="YY394" s="9" t="inlineStr">
        <is>
          <t>Balance</t>
        </is>
      </c>
      <c r="YZ394" s="9" t="inlineStr">
        <is>
          <t>Remarks</t>
        </is>
      </c>
      <c r="ZC394" s="9" t="inlineStr">
        <is>
          <t>Date</t>
        </is>
      </c>
      <c r="ZD394" s="9" t="inlineStr">
        <is>
          <t>Intake</t>
        </is>
      </c>
      <c r="ZE394" s="9" t="inlineStr">
        <is>
          <t>Usage</t>
        </is>
      </c>
      <c r="ZF394" s="9" t="inlineStr">
        <is>
          <t>Actual</t>
        </is>
      </c>
      <c r="ZG394" s="9" t="inlineStr">
        <is>
          <t>Adjustment</t>
        </is>
      </c>
      <c r="ZH394" s="9" t="inlineStr">
        <is>
          <t>Balance</t>
        </is>
      </c>
      <c r="ZI394" s="9" t="inlineStr">
        <is>
          <t>Remarks</t>
        </is>
      </c>
      <c r="ZL394" s="9" t="inlineStr">
        <is>
          <t>Date</t>
        </is>
      </c>
      <c r="ZM394" s="9" t="inlineStr">
        <is>
          <t>Intake</t>
        </is>
      </c>
      <c r="ZN394" s="9" t="inlineStr">
        <is>
          <t>Usage</t>
        </is>
      </c>
      <c r="ZO394" s="9" t="inlineStr">
        <is>
          <t>Actual</t>
        </is>
      </c>
      <c r="ZP394" s="9" t="inlineStr">
        <is>
          <t>Adjustment</t>
        </is>
      </c>
      <c r="ZQ394" s="9" t="inlineStr">
        <is>
          <t>Balance</t>
        </is>
      </c>
      <c r="ZR394" s="9" t="inlineStr">
        <is>
          <t>Remarks</t>
        </is>
      </c>
      <c r="ZU394" s="9" t="inlineStr">
        <is>
          <t>Date</t>
        </is>
      </c>
      <c r="ZV394" s="9" t="inlineStr">
        <is>
          <t>Intake</t>
        </is>
      </c>
      <c r="ZW394" s="9" t="inlineStr">
        <is>
          <t>Usage</t>
        </is>
      </c>
      <c r="ZX394" s="9" t="inlineStr">
        <is>
          <t>Actual</t>
        </is>
      </c>
      <c r="ZY394" s="9" t="inlineStr">
        <is>
          <t>Adjustment</t>
        </is>
      </c>
      <c r="ZZ394" s="9" t="inlineStr">
        <is>
          <t>Balance</t>
        </is>
      </c>
      <c r="AAA394" s="9" t="inlineStr">
        <is>
          <t>Remarks</t>
        </is>
      </c>
      <c r="AAD394" s="9" t="inlineStr">
        <is>
          <t>Date</t>
        </is>
      </c>
      <c r="AAE394" s="9" t="inlineStr">
        <is>
          <t>Intake</t>
        </is>
      </c>
      <c r="AAF394" s="9" t="inlineStr">
        <is>
          <t>Usage</t>
        </is>
      </c>
      <c r="AAG394" s="9" t="inlineStr">
        <is>
          <t>Actual</t>
        </is>
      </c>
      <c r="AAH394" s="9" t="inlineStr">
        <is>
          <t>Adjustment</t>
        </is>
      </c>
      <c r="AAI394" s="9" t="inlineStr">
        <is>
          <t>Balance</t>
        </is>
      </c>
      <c r="AAJ394" s="9" t="inlineStr">
        <is>
          <t>Remarks</t>
        </is>
      </c>
      <c r="AAM394" s="9" t="inlineStr">
        <is>
          <t>Date</t>
        </is>
      </c>
      <c r="AAN394" s="9" t="inlineStr">
        <is>
          <t>Intake</t>
        </is>
      </c>
      <c r="AAO394" s="9" t="inlineStr">
        <is>
          <t>Usage</t>
        </is>
      </c>
      <c r="AAP394" s="9" t="inlineStr">
        <is>
          <t>Actual</t>
        </is>
      </c>
      <c r="AAQ394" s="9" t="inlineStr">
        <is>
          <t>Adjustment</t>
        </is>
      </c>
      <c r="AAR394" s="9" t="inlineStr">
        <is>
          <t>Balance</t>
        </is>
      </c>
      <c r="AAS394" s="9" t="inlineStr">
        <is>
          <t>Remarks</t>
        </is>
      </c>
      <c r="AAV394" s="9" t="inlineStr">
        <is>
          <t>Date</t>
        </is>
      </c>
      <c r="AAW394" s="9" t="inlineStr">
        <is>
          <t>Intake</t>
        </is>
      </c>
      <c r="AAX394" s="9" t="inlineStr">
        <is>
          <t>Usage</t>
        </is>
      </c>
      <c r="AAY394" s="9" t="inlineStr">
        <is>
          <t>Actual</t>
        </is>
      </c>
      <c r="AAZ394" s="9" t="inlineStr">
        <is>
          <t>Adjustment</t>
        </is>
      </c>
      <c r="ABA394" s="9" t="inlineStr">
        <is>
          <t>Balance</t>
        </is>
      </c>
      <c r="ABB394" s="9" t="inlineStr">
        <is>
          <t>Remarks</t>
        </is>
      </c>
      <c r="ABE394" s="9" t="inlineStr">
        <is>
          <t>Date</t>
        </is>
      </c>
      <c r="ABF394" s="9" t="inlineStr">
        <is>
          <t>Intake</t>
        </is>
      </c>
      <c r="ABG394" s="9" t="inlineStr">
        <is>
          <t>Usage</t>
        </is>
      </c>
      <c r="ABH394" s="9" t="inlineStr">
        <is>
          <t>Actual</t>
        </is>
      </c>
      <c r="ABI394" s="9" t="inlineStr">
        <is>
          <t>Adjustment</t>
        </is>
      </c>
      <c r="ABJ394" s="9" t="inlineStr">
        <is>
          <t>Balance</t>
        </is>
      </c>
      <c r="ABK394" s="9" t="inlineStr">
        <is>
          <t>Remarks</t>
        </is>
      </c>
    </row>
    <row r="395">
      <c r="C395" s="9" t="inlineStr">
        <is>
          <t>BALANCE</t>
        </is>
      </c>
      <c r="D395" s="9" t="inlineStr">
        <is>
          <t>-</t>
        </is>
      </c>
      <c r="E395" s="9" t="inlineStr">
        <is>
          <t>-</t>
        </is>
      </c>
      <c r="F395" s="9" t="inlineStr">
        <is>
          <t>-</t>
        </is>
      </c>
      <c r="G395" s="9" t="inlineStr">
        <is>
          <t>-</t>
        </is>
      </c>
      <c r="H395" s="9" t="n">
        <v>236936.6</v>
      </c>
      <c r="L395" s="9" t="inlineStr">
        <is>
          <t>BALANCE</t>
        </is>
      </c>
      <c r="M395" s="9" t="inlineStr">
        <is>
          <t>-</t>
        </is>
      </c>
      <c r="N395" s="9" t="inlineStr">
        <is>
          <t>-</t>
        </is>
      </c>
      <c r="O395" s="9" t="inlineStr">
        <is>
          <t>-</t>
        </is>
      </c>
      <c r="P395" s="9" t="inlineStr">
        <is>
          <t>-</t>
        </is>
      </c>
      <c r="Q395" s="9" t="n">
        <v>53017.60000000007</v>
      </c>
      <c r="U395" s="9" t="inlineStr">
        <is>
          <t>BALANCE</t>
        </is>
      </c>
      <c r="V395" s="9" t="inlineStr">
        <is>
          <t>-</t>
        </is>
      </c>
      <c r="W395" s="9" t="inlineStr">
        <is>
          <t>-</t>
        </is>
      </c>
      <c r="X395" s="9" t="inlineStr">
        <is>
          <t>-</t>
        </is>
      </c>
      <c r="Y395" s="9" t="inlineStr">
        <is>
          <t>-</t>
        </is>
      </c>
      <c r="Z395" s="9" t="n">
        <v>42674.19999999997</v>
      </c>
      <c r="AD395" s="9" t="inlineStr">
        <is>
          <t>BALANCE</t>
        </is>
      </c>
      <c r="AE395" s="9" t="inlineStr">
        <is>
          <t>-</t>
        </is>
      </c>
      <c r="AF395" s="9" t="inlineStr">
        <is>
          <t>-</t>
        </is>
      </c>
      <c r="AG395" s="9" t="inlineStr">
        <is>
          <t>-</t>
        </is>
      </c>
      <c r="AH395" s="9" t="inlineStr">
        <is>
          <t>-</t>
        </is>
      </c>
      <c r="AI395" s="9" t="n">
        <v>4522.200000000019</v>
      </c>
      <c r="AM395" s="9" t="inlineStr">
        <is>
          <t>BALANCE</t>
        </is>
      </c>
      <c r="AN395" s="9" t="inlineStr">
        <is>
          <t>-</t>
        </is>
      </c>
      <c r="AO395" s="9" t="inlineStr">
        <is>
          <t>-</t>
        </is>
      </c>
      <c r="AP395" s="9" t="inlineStr">
        <is>
          <t>-</t>
        </is>
      </c>
      <c r="AQ395" s="9" t="inlineStr">
        <is>
          <t>-</t>
        </is>
      </c>
      <c r="AR395" s="9" t="n">
        <v>0</v>
      </c>
      <c r="AV395" s="9" t="inlineStr">
        <is>
          <t>BALANCE</t>
        </is>
      </c>
      <c r="AW395" s="9" t="inlineStr">
        <is>
          <t>-</t>
        </is>
      </c>
      <c r="AX395" s="9" t="inlineStr">
        <is>
          <t>-</t>
        </is>
      </c>
      <c r="AY395" s="9" t="inlineStr">
        <is>
          <t>-</t>
        </is>
      </c>
      <c r="AZ395" s="9" t="inlineStr">
        <is>
          <t>-</t>
        </is>
      </c>
      <c r="BA395" s="9" t="n">
        <v>124.9999999999952</v>
      </c>
      <c r="BE395" s="9" t="inlineStr">
        <is>
          <t>BALANCE</t>
        </is>
      </c>
      <c r="BF395" s="9" t="inlineStr">
        <is>
          <t>-</t>
        </is>
      </c>
      <c r="BG395" s="9" t="inlineStr">
        <is>
          <t>-</t>
        </is>
      </c>
      <c r="BH395" s="9" t="inlineStr">
        <is>
          <t>-</t>
        </is>
      </c>
      <c r="BI395" s="9" t="inlineStr">
        <is>
          <t>-</t>
        </is>
      </c>
      <c r="BJ395" s="9" t="n">
        <v>26151.9</v>
      </c>
      <c r="BN395" s="9" t="inlineStr">
        <is>
          <t>BALANCE</t>
        </is>
      </c>
      <c r="BO395" s="9" t="inlineStr">
        <is>
          <t>-</t>
        </is>
      </c>
      <c r="BP395" s="9" t="inlineStr">
        <is>
          <t>-</t>
        </is>
      </c>
      <c r="BQ395" s="9" t="inlineStr">
        <is>
          <t>-</t>
        </is>
      </c>
      <c r="BR395" s="9" t="inlineStr">
        <is>
          <t>-</t>
        </is>
      </c>
      <c r="BS395" s="9" t="n">
        <v>0</v>
      </c>
      <c r="BW395" s="9" t="inlineStr">
        <is>
          <t>BALANCE</t>
        </is>
      </c>
      <c r="BX395" s="9" t="inlineStr">
        <is>
          <t>-</t>
        </is>
      </c>
      <c r="BY395" s="9" t="inlineStr">
        <is>
          <t>-</t>
        </is>
      </c>
      <c r="BZ395" s="9" t="inlineStr">
        <is>
          <t>-</t>
        </is>
      </c>
      <c r="CA395" s="9" t="inlineStr">
        <is>
          <t>-</t>
        </is>
      </c>
      <c r="CB395" s="9" t="n">
        <v>2097.339999999999</v>
      </c>
      <c r="CF395" s="9" t="inlineStr">
        <is>
          <t>BALANCE</t>
        </is>
      </c>
      <c r="CG395" s="9" t="inlineStr">
        <is>
          <t>-</t>
        </is>
      </c>
      <c r="CH395" s="9" t="inlineStr">
        <is>
          <t>-</t>
        </is>
      </c>
      <c r="CI395" s="9" t="inlineStr">
        <is>
          <t>-</t>
        </is>
      </c>
      <c r="CJ395" s="9" t="inlineStr">
        <is>
          <t>-</t>
        </is>
      </c>
      <c r="CK395" s="9" t="n">
        <v>-10277.08</v>
      </c>
      <c r="CO395" s="9" t="inlineStr">
        <is>
          <t>BALANCE</t>
        </is>
      </c>
      <c r="CP395" s="9" t="inlineStr">
        <is>
          <t>-</t>
        </is>
      </c>
      <c r="CQ395" s="9" t="inlineStr">
        <is>
          <t>-</t>
        </is>
      </c>
      <c r="CR395" s="9" t="inlineStr">
        <is>
          <t>-</t>
        </is>
      </c>
      <c r="CS395" s="9" t="inlineStr">
        <is>
          <t>-</t>
        </is>
      </c>
      <c r="CT395" s="9" t="n">
        <v>0</v>
      </c>
      <c r="CX395" s="9" t="inlineStr">
        <is>
          <t>BALANCE</t>
        </is>
      </c>
      <c r="CY395" s="9" t="inlineStr">
        <is>
          <t>-</t>
        </is>
      </c>
      <c r="CZ395" s="9" t="inlineStr">
        <is>
          <t>-</t>
        </is>
      </c>
      <c r="DA395" s="9" t="inlineStr">
        <is>
          <t>-</t>
        </is>
      </c>
      <c r="DB395" s="9" t="inlineStr">
        <is>
          <t>-</t>
        </is>
      </c>
      <c r="DC395" s="9" t="n">
        <v>27438.20000000001</v>
      </c>
      <c r="DG395" s="9" t="inlineStr">
        <is>
          <t>BALANCE</t>
        </is>
      </c>
      <c r="DH395" s="9" t="inlineStr">
        <is>
          <t>-</t>
        </is>
      </c>
      <c r="DI395" s="9" t="inlineStr">
        <is>
          <t>-</t>
        </is>
      </c>
      <c r="DJ395" s="9" t="inlineStr">
        <is>
          <t>-</t>
        </is>
      </c>
      <c r="DK395" s="9" t="inlineStr">
        <is>
          <t>-</t>
        </is>
      </c>
      <c r="DL395" s="9" t="n">
        <v>18782.29999999998</v>
      </c>
      <c r="DP395" s="9" t="inlineStr">
        <is>
          <t>BALANCE</t>
        </is>
      </c>
      <c r="DQ395" s="9" t="inlineStr">
        <is>
          <t>-</t>
        </is>
      </c>
      <c r="DR395" s="9" t="inlineStr">
        <is>
          <t>-</t>
        </is>
      </c>
      <c r="DS395" s="9" t="inlineStr">
        <is>
          <t>-</t>
        </is>
      </c>
      <c r="DT395" s="9" t="inlineStr">
        <is>
          <t>-</t>
        </is>
      </c>
      <c r="DU395" s="9" t="n">
        <v>5800</v>
      </c>
      <c r="DY395" s="9" t="inlineStr">
        <is>
          <t>BALANCE</t>
        </is>
      </c>
      <c r="DZ395" s="9" t="inlineStr">
        <is>
          <t>-</t>
        </is>
      </c>
      <c r="EA395" s="9" t="inlineStr">
        <is>
          <t>-</t>
        </is>
      </c>
      <c r="EB395" s="9" t="inlineStr">
        <is>
          <t>-</t>
        </is>
      </c>
      <c r="EC395" s="9" t="inlineStr">
        <is>
          <t>-</t>
        </is>
      </c>
      <c r="ED395" s="9" t="n">
        <v>0</v>
      </c>
      <c r="EH395" s="9" t="inlineStr">
        <is>
          <t>BALANCE</t>
        </is>
      </c>
      <c r="EI395" s="9" t="inlineStr">
        <is>
          <t>-</t>
        </is>
      </c>
      <c r="EJ395" s="9" t="inlineStr">
        <is>
          <t>-</t>
        </is>
      </c>
      <c r="EK395" s="9" t="inlineStr">
        <is>
          <t>-</t>
        </is>
      </c>
      <c r="EL395" s="9" t="inlineStr">
        <is>
          <t>-</t>
        </is>
      </c>
      <c r="EM395" s="9" t="n">
        <v>0</v>
      </c>
      <c r="EQ395" s="9" t="inlineStr">
        <is>
          <t>BALANCE</t>
        </is>
      </c>
      <c r="ER395" s="9" t="inlineStr">
        <is>
          <t>-</t>
        </is>
      </c>
      <c r="ES395" s="9" t="inlineStr">
        <is>
          <t>-</t>
        </is>
      </c>
      <c r="ET395" s="9" t="inlineStr">
        <is>
          <t>-</t>
        </is>
      </c>
      <c r="EU395" s="9" t="inlineStr">
        <is>
          <t>-</t>
        </is>
      </c>
      <c r="EV395" s="9" t="n">
        <v>0</v>
      </c>
      <c r="EZ395" s="9" t="inlineStr">
        <is>
          <t>BALANCE</t>
        </is>
      </c>
      <c r="FA395" s="9" t="inlineStr">
        <is>
          <t>-</t>
        </is>
      </c>
      <c r="FB395" s="9" t="inlineStr">
        <is>
          <t>-</t>
        </is>
      </c>
      <c r="FC395" s="9" t="inlineStr">
        <is>
          <t>-</t>
        </is>
      </c>
      <c r="FD395" s="9" t="inlineStr">
        <is>
          <t>-</t>
        </is>
      </c>
      <c r="FE395" s="9" t="n">
        <v>0</v>
      </c>
      <c r="FI395" s="9" t="inlineStr">
        <is>
          <t>BALANCE</t>
        </is>
      </c>
      <c r="FJ395" s="9" t="inlineStr">
        <is>
          <t>-</t>
        </is>
      </c>
      <c r="FK395" s="9" t="inlineStr">
        <is>
          <t>-</t>
        </is>
      </c>
      <c r="FL395" s="9" t="inlineStr">
        <is>
          <t>-</t>
        </is>
      </c>
      <c r="FM395" s="9" t="inlineStr">
        <is>
          <t>-</t>
        </is>
      </c>
      <c r="FN395" s="9" t="n">
        <v>0</v>
      </c>
      <c r="FR395" s="9" t="inlineStr">
        <is>
          <t>BALANCE</t>
        </is>
      </c>
      <c r="FS395" s="9" t="inlineStr">
        <is>
          <t>-</t>
        </is>
      </c>
      <c r="FT395" s="9" t="inlineStr">
        <is>
          <t>-</t>
        </is>
      </c>
      <c r="FU395" s="9" t="inlineStr">
        <is>
          <t>-</t>
        </is>
      </c>
      <c r="FV395" s="9" t="inlineStr">
        <is>
          <t>-</t>
        </is>
      </c>
      <c r="FW395" s="9" t="n">
        <v>2020</v>
      </c>
      <c r="GA395" s="9" t="inlineStr">
        <is>
          <t>BALANCE</t>
        </is>
      </c>
      <c r="GB395" s="9" t="inlineStr">
        <is>
          <t>-</t>
        </is>
      </c>
      <c r="GC395" s="9" t="inlineStr">
        <is>
          <t>-</t>
        </is>
      </c>
      <c r="GD395" s="9" t="inlineStr">
        <is>
          <t>-</t>
        </is>
      </c>
      <c r="GE395" s="9" t="inlineStr">
        <is>
          <t>-</t>
        </is>
      </c>
      <c r="GF395" s="9" t="n">
        <v>960</v>
      </c>
      <c r="GJ395" s="9" t="inlineStr">
        <is>
          <t>BALANCE</t>
        </is>
      </c>
      <c r="GK395" s="9" t="inlineStr">
        <is>
          <t>-</t>
        </is>
      </c>
      <c r="GL395" s="9" t="inlineStr">
        <is>
          <t>-</t>
        </is>
      </c>
      <c r="GM395" s="9" t="inlineStr">
        <is>
          <t>-</t>
        </is>
      </c>
      <c r="GN395" s="9" t="inlineStr">
        <is>
          <t>-</t>
        </is>
      </c>
      <c r="GO395" s="9" t="n">
        <v>1760</v>
      </c>
      <c r="GS395" s="9" t="inlineStr">
        <is>
          <t>BALANCE</t>
        </is>
      </c>
      <c r="GT395" s="9" t="inlineStr">
        <is>
          <t>-</t>
        </is>
      </c>
      <c r="GU395" s="9" t="inlineStr">
        <is>
          <t>-</t>
        </is>
      </c>
      <c r="GV395" s="9" t="inlineStr">
        <is>
          <t>-</t>
        </is>
      </c>
      <c r="GW395" s="9" t="inlineStr">
        <is>
          <t>-</t>
        </is>
      </c>
      <c r="GX395" s="9" t="n">
        <v>400</v>
      </c>
      <c r="HB395" s="9" t="inlineStr">
        <is>
          <t>BALANCE</t>
        </is>
      </c>
      <c r="HC395" s="9" t="inlineStr">
        <is>
          <t>-</t>
        </is>
      </c>
      <c r="HD395" s="9" t="inlineStr">
        <is>
          <t>-</t>
        </is>
      </c>
      <c r="HE395" s="9" t="inlineStr">
        <is>
          <t>-</t>
        </is>
      </c>
      <c r="HF395" s="9" t="inlineStr">
        <is>
          <t>-</t>
        </is>
      </c>
      <c r="HG395" s="9" t="n">
        <v>3600</v>
      </c>
      <c r="HK395" s="9" t="inlineStr">
        <is>
          <t>BALANCE</t>
        </is>
      </c>
      <c r="HL395" s="9" t="inlineStr">
        <is>
          <t>-</t>
        </is>
      </c>
      <c r="HM395" s="9" t="inlineStr">
        <is>
          <t>-</t>
        </is>
      </c>
      <c r="HN395" s="9" t="inlineStr">
        <is>
          <t>-</t>
        </is>
      </c>
      <c r="HO395" s="9" t="inlineStr">
        <is>
          <t>-</t>
        </is>
      </c>
      <c r="HP395" s="9" t="n">
        <v>0</v>
      </c>
      <c r="HU395" s="9" t="inlineStr">
        <is>
          <t>BALANCE</t>
        </is>
      </c>
      <c r="HV395" s="9" t="inlineStr">
        <is>
          <t>-</t>
        </is>
      </c>
      <c r="HW395" s="9" t="inlineStr">
        <is>
          <t>-</t>
        </is>
      </c>
      <c r="HX395" s="9" t="inlineStr">
        <is>
          <t>-</t>
        </is>
      </c>
      <c r="HY395" s="9" t="inlineStr">
        <is>
          <t>-</t>
        </is>
      </c>
      <c r="HZ395" s="9" t="n">
        <v>6120</v>
      </c>
      <c r="ID395" s="9" t="inlineStr">
        <is>
          <t>BALANCE</t>
        </is>
      </c>
      <c r="IE395" s="9" t="inlineStr">
        <is>
          <t>-</t>
        </is>
      </c>
      <c r="IF395" s="9" t="inlineStr">
        <is>
          <t>-</t>
        </is>
      </c>
      <c r="IG395" s="9" t="inlineStr">
        <is>
          <t>-</t>
        </is>
      </c>
      <c r="IH395" s="9" t="inlineStr">
        <is>
          <t>-</t>
        </is>
      </c>
      <c r="II395" s="9" t="n">
        <v>0</v>
      </c>
      <c r="IM395" s="9" t="inlineStr">
        <is>
          <t>BALANCE</t>
        </is>
      </c>
      <c r="IN395" s="9" t="inlineStr">
        <is>
          <t>-</t>
        </is>
      </c>
      <c r="IO395" s="9" t="inlineStr">
        <is>
          <t>-</t>
        </is>
      </c>
      <c r="IP395" s="9" t="inlineStr">
        <is>
          <t>-</t>
        </is>
      </c>
      <c r="IQ395" s="9" t="inlineStr">
        <is>
          <t>-</t>
        </is>
      </c>
      <c r="IR395" s="9" t="n">
        <v>0</v>
      </c>
      <c r="IV395" s="9" t="inlineStr">
        <is>
          <t>BALANCE</t>
        </is>
      </c>
      <c r="IW395" s="9" t="inlineStr">
        <is>
          <t>-</t>
        </is>
      </c>
      <c r="IX395" s="9" t="inlineStr">
        <is>
          <t>-</t>
        </is>
      </c>
      <c r="IY395" s="9" t="inlineStr">
        <is>
          <t>-</t>
        </is>
      </c>
      <c r="IZ395" s="9" t="inlineStr">
        <is>
          <t>-</t>
        </is>
      </c>
      <c r="JA395" s="9" t="n">
        <v>2820</v>
      </c>
      <c r="JE395" s="9" t="inlineStr">
        <is>
          <t>BALANCE</t>
        </is>
      </c>
      <c r="JF395" s="9" t="inlineStr">
        <is>
          <t>-</t>
        </is>
      </c>
      <c r="JG395" s="9" t="inlineStr">
        <is>
          <t>-</t>
        </is>
      </c>
      <c r="JH395" s="9" t="inlineStr">
        <is>
          <t>-</t>
        </is>
      </c>
      <c r="JI395" s="9" t="inlineStr">
        <is>
          <t>-</t>
        </is>
      </c>
      <c r="JJ395" s="9" t="n">
        <v>0</v>
      </c>
      <c r="JN395" s="9" t="inlineStr">
        <is>
          <t>BALANCE</t>
        </is>
      </c>
      <c r="JO395" s="9" t="inlineStr">
        <is>
          <t>-</t>
        </is>
      </c>
      <c r="JP395" s="9" t="inlineStr">
        <is>
          <t>-</t>
        </is>
      </c>
      <c r="JQ395" s="9" t="inlineStr">
        <is>
          <t>-</t>
        </is>
      </c>
      <c r="JR395" s="9" t="inlineStr">
        <is>
          <t>-</t>
        </is>
      </c>
      <c r="JS395" s="9" t="n">
        <v>0</v>
      </c>
      <c r="JW395" s="9" t="inlineStr">
        <is>
          <t>BALANCE</t>
        </is>
      </c>
      <c r="JX395" s="9" t="inlineStr">
        <is>
          <t>-</t>
        </is>
      </c>
      <c r="JY395" s="9" t="inlineStr">
        <is>
          <t>-</t>
        </is>
      </c>
      <c r="JZ395" s="9" t="inlineStr">
        <is>
          <t>-</t>
        </is>
      </c>
      <c r="KA395" s="9" t="inlineStr">
        <is>
          <t>-</t>
        </is>
      </c>
      <c r="KB395" s="9" t="n">
        <v>2540</v>
      </c>
      <c r="KF395" s="9" t="inlineStr">
        <is>
          <t>BALANCE</t>
        </is>
      </c>
      <c r="KG395" s="9" t="inlineStr">
        <is>
          <t>-</t>
        </is>
      </c>
      <c r="KH395" s="9" t="inlineStr">
        <is>
          <t>-</t>
        </is>
      </c>
      <c r="KI395" s="9" t="inlineStr">
        <is>
          <t>-</t>
        </is>
      </c>
      <c r="KJ395" s="9" t="inlineStr">
        <is>
          <t>-</t>
        </is>
      </c>
      <c r="KK395" s="9" t="n">
        <v>2359.5</v>
      </c>
      <c r="KO395" s="9" t="inlineStr">
        <is>
          <t>BALANCE</t>
        </is>
      </c>
      <c r="KP395" s="9" t="inlineStr">
        <is>
          <t>-</t>
        </is>
      </c>
      <c r="KQ395" s="9" t="inlineStr">
        <is>
          <t>-</t>
        </is>
      </c>
      <c r="KR395" s="9" t="inlineStr">
        <is>
          <t>-</t>
        </is>
      </c>
      <c r="KS395" s="9" t="inlineStr">
        <is>
          <t>-</t>
        </is>
      </c>
      <c r="KT395" s="9" t="n">
        <v>1890</v>
      </c>
      <c r="KX395" s="9" t="inlineStr">
        <is>
          <t>BALANCE</t>
        </is>
      </c>
      <c r="KY395" s="9" t="inlineStr">
        <is>
          <t>-</t>
        </is>
      </c>
      <c r="KZ395" s="9" t="inlineStr">
        <is>
          <t>-</t>
        </is>
      </c>
      <c r="LA395" s="9" t="inlineStr">
        <is>
          <t>-</t>
        </is>
      </c>
      <c r="LB395" s="9" t="inlineStr">
        <is>
          <t>-</t>
        </is>
      </c>
      <c r="LC395" s="9" t="n">
        <v>3690</v>
      </c>
      <c r="LG395" s="9" t="inlineStr">
        <is>
          <t>BALANCE</t>
        </is>
      </c>
      <c r="LH395" s="9" t="inlineStr">
        <is>
          <t>-</t>
        </is>
      </c>
      <c r="LI395" s="9" t="inlineStr">
        <is>
          <t>-</t>
        </is>
      </c>
      <c r="LJ395" s="9" t="inlineStr">
        <is>
          <t>-</t>
        </is>
      </c>
      <c r="LK395" s="9" t="inlineStr">
        <is>
          <t>-</t>
        </is>
      </c>
      <c r="LL395" s="9" t="n">
        <v>4000</v>
      </c>
      <c r="LP395" s="9" t="inlineStr">
        <is>
          <t>BALANCE</t>
        </is>
      </c>
      <c r="LQ395" s="9" t="inlineStr">
        <is>
          <t>-</t>
        </is>
      </c>
      <c r="LR395" s="9" t="inlineStr">
        <is>
          <t>-</t>
        </is>
      </c>
      <c r="LS395" s="9" t="inlineStr">
        <is>
          <t>-</t>
        </is>
      </c>
      <c r="LT395" s="9" t="inlineStr">
        <is>
          <t>-</t>
        </is>
      </c>
      <c r="LU395" s="9" t="n">
        <v>0</v>
      </c>
      <c r="LY395" s="9" t="inlineStr">
        <is>
          <t>BALANCE</t>
        </is>
      </c>
      <c r="LZ395" s="9" t="inlineStr">
        <is>
          <t>-</t>
        </is>
      </c>
      <c r="MA395" s="9" t="inlineStr">
        <is>
          <t>-</t>
        </is>
      </c>
      <c r="MB395" s="9" t="inlineStr">
        <is>
          <t>-</t>
        </is>
      </c>
      <c r="MC395" s="9" t="inlineStr">
        <is>
          <t>-</t>
        </is>
      </c>
      <c r="MD395" s="9" t="n">
        <v>0</v>
      </c>
      <c r="MH395" s="9" t="inlineStr">
        <is>
          <t>BALANCE</t>
        </is>
      </c>
      <c r="MI395" s="9" t="inlineStr">
        <is>
          <t>-</t>
        </is>
      </c>
      <c r="MJ395" s="9" t="inlineStr">
        <is>
          <t>-</t>
        </is>
      </c>
      <c r="MK395" s="9" t="inlineStr">
        <is>
          <t>-</t>
        </is>
      </c>
      <c r="ML395" s="9" t="inlineStr">
        <is>
          <t>-</t>
        </is>
      </c>
      <c r="MM395" s="9" t="n">
        <v>0</v>
      </c>
      <c r="MQ395" s="9" t="inlineStr">
        <is>
          <t>BALANCE</t>
        </is>
      </c>
      <c r="MR395" s="9" t="inlineStr">
        <is>
          <t>-</t>
        </is>
      </c>
      <c r="MS395" s="9" t="inlineStr">
        <is>
          <t>-</t>
        </is>
      </c>
      <c r="MT395" s="9" t="inlineStr">
        <is>
          <t>-</t>
        </is>
      </c>
      <c r="MU395" s="9" t="inlineStr">
        <is>
          <t>-</t>
        </is>
      </c>
      <c r="MV395" s="9" t="n">
        <v>1625</v>
      </c>
      <c r="MZ395" s="9" t="inlineStr">
        <is>
          <t>BALANCE</t>
        </is>
      </c>
      <c r="NA395" s="9" t="inlineStr">
        <is>
          <t>-</t>
        </is>
      </c>
      <c r="NB395" s="9" t="inlineStr">
        <is>
          <t>-</t>
        </is>
      </c>
      <c r="NC395" s="9" t="inlineStr">
        <is>
          <t>-</t>
        </is>
      </c>
      <c r="ND395" s="9" t="inlineStr">
        <is>
          <t>-</t>
        </is>
      </c>
      <c r="NE395" s="9" t="n">
        <v>0</v>
      </c>
      <c r="NI395" s="9" t="inlineStr">
        <is>
          <t>BALANCE</t>
        </is>
      </c>
      <c r="NJ395" s="9" t="inlineStr">
        <is>
          <t>-</t>
        </is>
      </c>
      <c r="NK395" s="9" t="inlineStr">
        <is>
          <t>-</t>
        </is>
      </c>
      <c r="NL395" s="9" t="inlineStr">
        <is>
          <t>-</t>
        </is>
      </c>
      <c r="NM395" s="9" t="inlineStr">
        <is>
          <t>-</t>
        </is>
      </c>
      <c r="NN395" s="9" t="n">
        <v>1127</v>
      </c>
      <c r="NR395" s="9" t="inlineStr">
        <is>
          <t>BALANCE</t>
        </is>
      </c>
      <c r="NS395" s="9" t="inlineStr">
        <is>
          <t>-</t>
        </is>
      </c>
      <c r="NT395" s="9" t="inlineStr">
        <is>
          <t>-</t>
        </is>
      </c>
      <c r="NU395" s="9" t="inlineStr">
        <is>
          <t>-</t>
        </is>
      </c>
      <c r="NV395" s="9" t="inlineStr">
        <is>
          <t>-</t>
        </is>
      </c>
      <c r="NW395" s="9" t="n">
        <v>3112</v>
      </c>
      <c r="OA395" s="9" t="inlineStr">
        <is>
          <t>BALANCE</t>
        </is>
      </c>
      <c r="OB395" s="9" t="inlineStr">
        <is>
          <t>-</t>
        </is>
      </c>
      <c r="OC395" s="9" t="inlineStr">
        <is>
          <t>-</t>
        </is>
      </c>
      <c r="OD395" s="9" t="inlineStr">
        <is>
          <t>-</t>
        </is>
      </c>
      <c r="OE395" s="9" t="inlineStr">
        <is>
          <t>-</t>
        </is>
      </c>
      <c r="OF395" s="9" t="n">
        <v>1680.5</v>
      </c>
      <c r="OJ395" s="9" t="inlineStr">
        <is>
          <t>BALANCE</t>
        </is>
      </c>
      <c r="OK395" s="9" t="inlineStr">
        <is>
          <t>-</t>
        </is>
      </c>
      <c r="OL395" s="9" t="inlineStr">
        <is>
          <t>-</t>
        </is>
      </c>
      <c r="OM395" s="9" t="inlineStr">
        <is>
          <t>-</t>
        </is>
      </c>
      <c r="ON395" s="9" t="inlineStr">
        <is>
          <t>-</t>
        </is>
      </c>
      <c r="OO395" s="9" t="n">
        <v>0</v>
      </c>
      <c r="OS395" s="9" t="inlineStr">
        <is>
          <t>BALANCE</t>
        </is>
      </c>
      <c r="OT395" s="9" t="inlineStr">
        <is>
          <t>-</t>
        </is>
      </c>
      <c r="OU395" s="9" t="inlineStr">
        <is>
          <t>-</t>
        </is>
      </c>
      <c r="OV395" s="9" t="inlineStr">
        <is>
          <t>-</t>
        </is>
      </c>
      <c r="OW395" s="9" t="inlineStr">
        <is>
          <t>-</t>
        </is>
      </c>
      <c r="OX395" s="9" t="n">
        <v>1482</v>
      </c>
      <c r="PB395" s="9" t="inlineStr">
        <is>
          <t>BALANCE</t>
        </is>
      </c>
      <c r="PC395" s="9" t="inlineStr">
        <is>
          <t>-</t>
        </is>
      </c>
      <c r="PD395" s="9" t="inlineStr">
        <is>
          <t>-</t>
        </is>
      </c>
      <c r="PE395" s="9" t="inlineStr">
        <is>
          <t>-</t>
        </is>
      </c>
      <c r="PF395" s="9" t="inlineStr">
        <is>
          <t>-</t>
        </is>
      </c>
      <c r="PG395" s="9" t="n">
        <v>0</v>
      </c>
      <c r="PK395" s="9" t="inlineStr">
        <is>
          <t>BALANCE</t>
        </is>
      </c>
      <c r="PL395" s="9" t="inlineStr">
        <is>
          <t>-</t>
        </is>
      </c>
      <c r="PM395" s="9" t="inlineStr">
        <is>
          <t>-</t>
        </is>
      </c>
      <c r="PN395" s="9" t="inlineStr">
        <is>
          <t>-</t>
        </is>
      </c>
      <c r="PO395" s="9" t="inlineStr">
        <is>
          <t>-</t>
        </is>
      </c>
      <c r="PP395" s="9" t="n">
        <v>100</v>
      </c>
      <c r="PT395" s="9" t="inlineStr">
        <is>
          <t>BALANCE</t>
        </is>
      </c>
      <c r="PU395" s="9" t="inlineStr">
        <is>
          <t>-</t>
        </is>
      </c>
      <c r="PV395" s="9" t="inlineStr">
        <is>
          <t>-</t>
        </is>
      </c>
      <c r="PW395" s="9" t="inlineStr">
        <is>
          <t>-</t>
        </is>
      </c>
      <c r="PX395" s="9" t="inlineStr">
        <is>
          <t>-</t>
        </is>
      </c>
      <c r="PY395" s="9" t="n">
        <v>13.96000000000004</v>
      </c>
      <c r="QC395" s="9" t="inlineStr">
        <is>
          <t>BALANCE</t>
        </is>
      </c>
      <c r="QD395" s="9" t="inlineStr">
        <is>
          <t>-</t>
        </is>
      </c>
      <c r="QE395" s="9" t="inlineStr">
        <is>
          <t>-</t>
        </is>
      </c>
      <c r="QF395" s="9" t="inlineStr">
        <is>
          <t>-</t>
        </is>
      </c>
      <c r="QG395" s="9" t="inlineStr">
        <is>
          <t>-</t>
        </is>
      </c>
      <c r="QH395" s="9" t="n">
        <v>548</v>
      </c>
      <c r="QL395" s="9" t="inlineStr">
        <is>
          <t>BALANCE</t>
        </is>
      </c>
      <c r="QM395" s="9" t="inlineStr">
        <is>
          <t>-</t>
        </is>
      </c>
      <c r="QN395" s="9" t="inlineStr">
        <is>
          <t>-</t>
        </is>
      </c>
      <c r="QO395" s="9" t="inlineStr">
        <is>
          <t>-</t>
        </is>
      </c>
      <c r="QP395" s="9" t="inlineStr">
        <is>
          <t>-</t>
        </is>
      </c>
      <c r="QQ395" s="9" t="n">
        <v>0</v>
      </c>
      <c r="QU395" s="9" t="inlineStr">
        <is>
          <t>BALANCE</t>
        </is>
      </c>
      <c r="QV395" s="9" t="inlineStr">
        <is>
          <t>-</t>
        </is>
      </c>
      <c r="QW395" s="9" t="inlineStr">
        <is>
          <t>-</t>
        </is>
      </c>
      <c r="QX395" s="9" t="inlineStr">
        <is>
          <t>-</t>
        </is>
      </c>
      <c r="QY395" s="9" t="inlineStr">
        <is>
          <t>-</t>
        </is>
      </c>
      <c r="QZ395" s="9" t="n">
        <v>0</v>
      </c>
      <c r="RD395" s="9" t="inlineStr">
        <is>
          <t>BALANCE</t>
        </is>
      </c>
      <c r="RE395" s="9" t="inlineStr">
        <is>
          <t>-</t>
        </is>
      </c>
      <c r="RF395" s="9" t="inlineStr">
        <is>
          <t>-</t>
        </is>
      </c>
      <c r="RG395" s="9" t="inlineStr">
        <is>
          <t>-</t>
        </is>
      </c>
      <c r="RH395" s="9" t="inlineStr">
        <is>
          <t>-</t>
        </is>
      </c>
      <c r="RI395" s="9" t="n">
        <v>147.04</v>
      </c>
      <c r="RM395" s="9" t="inlineStr">
        <is>
          <t>BALANCE</t>
        </is>
      </c>
      <c r="RN395" s="9" t="inlineStr">
        <is>
          <t>-</t>
        </is>
      </c>
      <c r="RO395" s="9" t="inlineStr">
        <is>
          <t>-</t>
        </is>
      </c>
      <c r="RP395" s="9" t="inlineStr">
        <is>
          <t>-</t>
        </is>
      </c>
      <c r="RQ395" s="9" t="inlineStr">
        <is>
          <t>-</t>
        </is>
      </c>
      <c r="RR395" s="9" t="n">
        <v>46.8</v>
      </c>
      <c r="RV395" s="9" t="inlineStr">
        <is>
          <t>BALANCE</t>
        </is>
      </c>
      <c r="RW395" s="9" t="inlineStr">
        <is>
          <t>-</t>
        </is>
      </c>
      <c r="RX395" s="9" t="inlineStr">
        <is>
          <t>-</t>
        </is>
      </c>
      <c r="RY395" s="9" t="inlineStr">
        <is>
          <t>-</t>
        </is>
      </c>
      <c r="RZ395" s="9" t="inlineStr">
        <is>
          <t>-</t>
        </is>
      </c>
      <c r="SA395" s="9" t="n">
        <v>0</v>
      </c>
      <c r="SE395" s="9" t="inlineStr">
        <is>
          <t>BALANCE</t>
        </is>
      </c>
      <c r="SF395" s="9" t="inlineStr">
        <is>
          <t>-</t>
        </is>
      </c>
      <c r="SG395" s="9" t="inlineStr">
        <is>
          <t>-</t>
        </is>
      </c>
      <c r="SH395" s="9" t="inlineStr">
        <is>
          <t>-</t>
        </is>
      </c>
      <c r="SI395" s="9" t="inlineStr">
        <is>
          <t>-</t>
        </is>
      </c>
      <c r="SJ395" s="9" t="n">
        <v>24.2</v>
      </c>
      <c r="SN395" s="9" t="inlineStr">
        <is>
          <t>BALANCE</t>
        </is>
      </c>
      <c r="SO395" s="9" t="inlineStr">
        <is>
          <t>-</t>
        </is>
      </c>
      <c r="SP395" s="9" t="inlineStr">
        <is>
          <t>-</t>
        </is>
      </c>
      <c r="SQ395" s="9" t="inlineStr">
        <is>
          <t>-</t>
        </is>
      </c>
      <c r="SR395" s="9" t="inlineStr">
        <is>
          <t>-</t>
        </is>
      </c>
      <c r="SS395" s="9" t="n">
        <v>32</v>
      </c>
      <c r="SW395" s="9" t="inlineStr">
        <is>
          <t>BALANCE</t>
        </is>
      </c>
      <c r="SX395" s="9" t="inlineStr">
        <is>
          <t>-</t>
        </is>
      </c>
      <c r="SY395" s="9" t="inlineStr">
        <is>
          <t>-</t>
        </is>
      </c>
      <c r="SZ395" s="9" t="inlineStr">
        <is>
          <t>-</t>
        </is>
      </c>
      <c r="TA395" s="9" t="inlineStr">
        <is>
          <t>-</t>
        </is>
      </c>
      <c r="TB395" s="9" t="n">
        <v>0</v>
      </c>
      <c r="TF395" s="9" t="inlineStr">
        <is>
          <t>BALANCE</t>
        </is>
      </c>
      <c r="TG395" s="9" t="inlineStr">
        <is>
          <t>-</t>
        </is>
      </c>
      <c r="TH395" s="9" t="inlineStr">
        <is>
          <t>-</t>
        </is>
      </c>
      <c r="TI395" s="9" t="inlineStr">
        <is>
          <t>-</t>
        </is>
      </c>
      <c r="TJ395" s="9" t="inlineStr">
        <is>
          <t>-</t>
        </is>
      </c>
      <c r="TK395" s="9" t="n">
        <v>0</v>
      </c>
      <c r="TO395" s="9" t="inlineStr">
        <is>
          <t>BALANCE</t>
        </is>
      </c>
      <c r="TP395" s="9" t="inlineStr">
        <is>
          <t>-</t>
        </is>
      </c>
      <c r="TQ395" s="9" t="inlineStr">
        <is>
          <t>-</t>
        </is>
      </c>
      <c r="TR395" s="9" t="inlineStr">
        <is>
          <t>-</t>
        </is>
      </c>
      <c r="TS395" s="9" t="inlineStr">
        <is>
          <t>-</t>
        </is>
      </c>
      <c r="TT395" s="9" t="n">
        <v>0</v>
      </c>
      <c r="TX395" s="9" t="inlineStr">
        <is>
          <t>BALANCE</t>
        </is>
      </c>
      <c r="TY395" s="9" t="inlineStr">
        <is>
          <t>-</t>
        </is>
      </c>
      <c r="TZ395" s="9" t="inlineStr">
        <is>
          <t>-</t>
        </is>
      </c>
      <c r="UA395" s="9" t="inlineStr">
        <is>
          <t>-</t>
        </is>
      </c>
      <c r="UB395" s="9" t="inlineStr">
        <is>
          <t>-</t>
        </is>
      </c>
      <c r="UC395" s="9" t="n">
        <v>46.79999999999998</v>
      </c>
      <c r="UG395" s="9" t="inlineStr">
        <is>
          <t>BALANCE</t>
        </is>
      </c>
      <c r="UH395" s="9" t="inlineStr">
        <is>
          <t>-</t>
        </is>
      </c>
      <c r="UI395" s="9" t="inlineStr">
        <is>
          <t>-</t>
        </is>
      </c>
      <c r="UJ395" s="9" t="inlineStr">
        <is>
          <t>-</t>
        </is>
      </c>
      <c r="UK395" s="9" t="inlineStr">
        <is>
          <t>-</t>
        </is>
      </c>
      <c r="UL395" s="9" t="n">
        <v>204</v>
      </c>
      <c r="UP395" s="9" t="inlineStr">
        <is>
          <t>BALANCE</t>
        </is>
      </c>
      <c r="UQ395" s="9" t="inlineStr">
        <is>
          <t>-</t>
        </is>
      </c>
      <c r="UR395" s="9" t="inlineStr">
        <is>
          <t>-</t>
        </is>
      </c>
      <c r="US395" s="9" t="inlineStr">
        <is>
          <t>-</t>
        </is>
      </c>
      <c r="UT395" s="9" t="inlineStr">
        <is>
          <t>-</t>
        </is>
      </c>
      <c r="UU395" s="9" t="n">
        <v>202.5</v>
      </c>
      <c r="UY395" s="9" t="inlineStr">
        <is>
          <t>BALANCE</t>
        </is>
      </c>
      <c r="UZ395" s="9" t="inlineStr">
        <is>
          <t>-</t>
        </is>
      </c>
      <c r="VA395" s="9" t="inlineStr">
        <is>
          <t>-</t>
        </is>
      </c>
      <c r="VB395" s="9" t="inlineStr">
        <is>
          <t>-</t>
        </is>
      </c>
      <c r="VC395" s="9" t="inlineStr">
        <is>
          <t>-</t>
        </is>
      </c>
      <c r="VD395" s="9" t="n">
        <v>41.60000000000002</v>
      </c>
      <c r="VH395" s="9" t="inlineStr">
        <is>
          <t>BALANCE</t>
        </is>
      </c>
      <c r="VI395" s="9" t="inlineStr">
        <is>
          <t>-</t>
        </is>
      </c>
      <c r="VJ395" s="9" t="inlineStr">
        <is>
          <t>-</t>
        </is>
      </c>
      <c r="VK395" s="9" t="inlineStr">
        <is>
          <t>-</t>
        </is>
      </c>
      <c r="VL395" s="9" t="inlineStr">
        <is>
          <t>-</t>
        </is>
      </c>
      <c r="VM395" s="9" t="n">
        <v>210</v>
      </c>
      <c r="VQ395" s="9" t="inlineStr">
        <is>
          <t>BALANCE</t>
        </is>
      </c>
      <c r="VR395" s="9" t="inlineStr">
        <is>
          <t>-</t>
        </is>
      </c>
      <c r="VS395" s="9" t="inlineStr">
        <is>
          <t>-</t>
        </is>
      </c>
      <c r="VT395" s="9" t="inlineStr">
        <is>
          <t>-</t>
        </is>
      </c>
      <c r="VU395" s="9" t="inlineStr">
        <is>
          <t>-</t>
        </is>
      </c>
      <c r="VV395" s="9" t="n">
        <v>0</v>
      </c>
      <c r="VZ395" s="9" t="inlineStr">
        <is>
          <t>BALANCE</t>
        </is>
      </c>
      <c r="WA395" s="9" t="inlineStr">
        <is>
          <t>-</t>
        </is>
      </c>
      <c r="WB395" s="9" t="inlineStr">
        <is>
          <t>-</t>
        </is>
      </c>
      <c r="WC395" s="9" t="inlineStr">
        <is>
          <t>-</t>
        </is>
      </c>
      <c r="WD395" s="9" t="inlineStr">
        <is>
          <t>-</t>
        </is>
      </c>
      <c r="WE395" s="9" t="n">
        <v>0</v>
      </c>
      <c r="WI395" s="9" t="inlineStr">
        <is>
          <t>BALANCE</t>
        </is>
      </c>
      <c r="WJ395" s="9" t="inlineStr">
        <is>
          <t>-</t>
        </is>
      </c>
      <c r="WK395" s="9" t="inlineStr">
        <is>
          <t>-</t>
        </is>
      </c>
      <c r="WL395" s="9" t="inlineStr">
        <is>
          <t>-</t>
        </is>
      </c>
      <c r="WM395" s="9" t="inlineStr">
        <is>
          <t>-</t>
        </is>
      </c>
      <c r="WN395" s="9" t="n">
        <v>1057</v>
      </c>
      <c r="WR395" s="9" t="inlineStr">
        <is>
          <t>BALANCE</t>
        </is>
      </c>
      <c r="WS395" s="9" t="inlineStr">
        <is>
          <t>-</t>
        </is>
      </c>
      <c r="WT395" s="9" t="inlineStr">
        <is>
          <t>-</t>
        </is>
      </c>
      <c r="WU395" s="9" t="inlineStr">
        <is>
          <t>-</t>
        </is>
      </c>
      <c r="WV395" s="9" t="inlineStr">
        <is>
          <t>-</t>
        </is>
      </c>
      <c r="WW395" s="9" t="n">
        <v>0</v>
      </c>
      <c r="XA395" s="9" t="inlineStr">
        <is>
          <t>BALANCE</t>
        </is>
      </c>
      <c r="XB395" s="9" t="inlineStr">
        <is>
          <t>-</t>
        </is>
      </c>
      <c r="XC395" s="9" t="inlineStr">
        <is>
          <t>-</t>
        </is>
      </c>
      <c r="XD395" s="9" t="inlineStr">
        <is>
          <t>-</t>
        </is>
      </c>
      <c r="XE395" s="9" t="inlineStr">
        <is>
          <t>-</t>
        </is>
      </c>
      <c r="XF395" s="9" t="n">
        <v>7507</v>
      </c>
      <c r="XJ395" s="9" t="inlineStr">
        <is>
          <t>BALANCE</t>
        </is>
      </c>
      <c r="XK395" s="9" t="inlineStr">
        <is>
          <t>-</t>
        </is>
      </c>
      <c r="XL395" s="9" t="inlineStr">
        <is>
          <t>-</t>
        </is>
      </c>
      <c r="XM395" s="9" t="inlineStr">
        <is>
          <t>-</t>
        </is>
      </c>
      <c r="XN395" s="9" t="inlineStr">
        <is>
          <t>-</t>
        </is>
      </c>
      <c r="XO395" s="9" t="n">
        <v>4252</v>
      </c>
      <c r="XS395" s="9" t="inlineStr">
        <is>
          <t>BALANCE</t>
        </is>
      </c>
      <c r="XT395" s="9" t="inlineStr">
        <is>
          <t>-</t>
        </is>
      </c>
      <c r="XU395" s="9" t="inlineStr">
        <is>
          <t>-</t>
        </is>
      </c>
      <c r="XV395" s="9" t="inlineStr">
        <is>
          <t>-</t>
        </is>
      </c>
      <c r="XW395" s="9" t="inlineStr">
        <is>
          <t>-</t>
        </is>
      </c>
      <c r="XX395" s="9" t="n">
        <v>2179</v>
      </c>
      <c r="YB395" s="9" t="inlineStr">
        <is>
          <t>BALANCE</t>
        </is>
      </c>
      <c r="YC395" s="9" t="inlineStr">
        <is>
          <t>-</t>
        </is>
      </c>
      <c r="YD395" s="9" t="inlineStr">
        <is>
          <t>-</t>
        </is>
      </c>
      <c r="YE395" s="9" t="inlineStr">
        <is>
          <t>-</t>
        </is>
      </c>
      <c r="YF395" s="9" t="inlineStr">
        <is>
          <t>-</t>
        </is>
      </c>
      <c r="YG395" s="9" t="n">
        <v>4019</v>
      </c>
      <c r="YK395" s="9" t="inlineStr">
        <is>
          <t>BALANCE</t>
        </is>
      </c>
      <c r="YL395" s="9" t="inlineStr">
        <is>
          <t>-</t>
        </is>
      </c>
      <c r="YM395" s="9" t="inlineStr">
        <is>
          <t>-</t>
        </is>
      </c>
      <c r="YN395" s="9" t="inlineStr">
        <is>
          <t>-</t>
        </is>
      </c>
      <c r="YO395" s="9" t="inlineStr">
        <is>
          <t>-</t>
        </is>
      </c>
      <c r="YP395" s="9" t="n">
        <v>-218</v>
      </c>
      <c r="YT395" s="9" t="inlineStr">
        <is>
          <t>BALANCE</t>
        </is>
      </c>
      <c r="YU395" s="9" t="inlineStr">
        <is>
          <t>-</t>
        </is>
      </c>
      <c r="YV395" s="9" t="inlineStr">
        <is>
          <t>-</t>
        </is>
      </c>
      <c r="YW395" s="9" t="inlineStr">
        <is>
          <t>-</t>
        </is>
      </c>
      <c r="YX395" s="9" t="inlineStr">
        <is>
          <t>-</t>
        </is>
      </c>
      <c r="YY395" s="9" t="n">
        <v>0</v>
      </c>
      <c r="ZC395" s="9" t="inlineStr">
        <is>
          <t>BALANCE</t>
        </is>
      </c>
      <c r="ZD395" s="9" t="inlineStr">
        <is>
          <t>-</t>
        </is>
      </c>
      <c r="ZE395" s="9" t="inlineStr">
        <is>
          <t>-</t>
        </is>
      </c>
      <c r="ZF395" s="9" t="inlineStr">
        <is>
          <t>-</t>
        </is>
      </c>
      <c r="ZG395" s="9" t="inlineStr">
        <is>
          <t>-</t>
        </is>
      </c>
      <c r="ZH395" s="9" t="n">
        <v>0</v>
      </c>
      <c r="ZL395" s="9" t="inlineStr">
        <is>
          <t>BALANCE</t>
        </is>
      </c>
      <c r="ZM395" s="9" t="inlineStr">
        <is>
          <t>-</t>
        </is>
      </c>
      <c r="ZN395" s="9" t="inlineStr">
        <is>
          <t>-</t>
        </is>
      </c>
      <c r="ZO395" s="9" t="inlineStr">
        <is>
          <t>-</t>
        </is>
      </c>
      <c r="ZP395" s="9" t="inlineStr">
        <is>
          <t>-</t>
        </is>
      </c>
      <c r="ZQ395" s="9" t="n">
        <v>0</v>
      </c>
      <c r="ZU395" s="9" t="inlineStr">
        <is>
          <t>BALANCE</t>
        </is>
      </c>
      <c r="ZV395" s="9" t="inlineStr">
        <is>
          <t>-</t>
        </is>
      </c>
      <c r="ZW395" s="9" t="inlineStr">
        <is>
          <t>-</t>
        </is>
      </c>
      <c r="ZX395" s="9" t="inlineStr">
        <is>
          <t>-</t>
        </is>
      </c>
      <c r="ZY395" s="9" t="inlineStr">
        <is>
          <t>-</t>
        </is>
      </c>
      <c r="ZZ395" s="9" t="n">
        <v>0</v>
      </c>
      <c r="AAD395" s="9" t="inlineStr">
        <is>
          <t>BALANCE</t>
        </is>
      </c>
      <c r="AAE395" s="9" t="inlineStr">
        <is>
          <t>-</t>
        </is>
      </c>
      <c r="AAF395" s="9" t="inlineStr">
        <is>
          <t>-</t>
        </is>
      </c>
      <c r="AAG395" s="9" t="inlineStr">
        <is>
          <t>-</t>
        </is>
      </c>
      <c r="AAH395" s="9" t="inlineStr">
        <is>
          <t>-</t>
        </is>
      </c>
      <c r="AAI395" s="9" t="n">
        <v>0</v>
      </c>
      <c r="AAM395" s="9" t="inlineStr">
        <is>
          <t>BALANCE</t>
        </is>
      </c>
      <c r="AAN395" s="9" t="inlineStr">
        <is>
          <t>-</t>
        </is>
      </c>
      <c r="AAO395" s="9" t="inlineStr">
        <is>
          <t>-</t>
        </is>
      </c>
      <c r="AAP395" s="9" t="inlineStr">
        <is>
          <t>-</t>
        </is>
      </c>
      <c r="AAQ395" s="9" t="inlineStr">
        <is>
          <t>-</t>
        </is>
      </c>
      <c r="AAR395" s="9" t="n">
        <v>0</v>
      </c>
      <c r="AAV395" s="9" t="inlineStr">
        <is>
          <t>BALANCE</t>
        </is>
      </c>
      <c r="AAW395" s="9" t="inlineStr">
        <is>
          <t>-</t>
        </is>
      </c>
      <c r="AAX395" s="9" t="inlineStr">
        <is>
          <t>-</t>
        </is>
      </c>
      <c r="AAY395" s="9" t="inlineStr">
        <is>
          <t>-</t>
        </is>
      </c>
      <c r="AAZ395" s="9" t="inlineStr">
        <is>
          <t>-</t>
        </is>
      </c>
      <c r="ABA395" s="9" t="n">
        <v>0</v>
      </c>
      <c r="ABE395" s="9" t="inlineStr">
        <is>
          <t>BALANCE</t>
        </is>
      </c>
      <c r="ABF395" s="9" t="inlineStr">
        <is>
          <t>-</t>
        </is>
      </c>
      <c r="ABG395" s="9" t="inlineStr">
        <is>
          <t>-</t>
        </is>
      </c>
      <c r="ABH395" s="9" t="inlineStr">
        <is>
          <t>-</t>
        </is>
      </c>
      <c r="ABI395" s="9" t="inlineStr">
        <is>
          <t>-</t>
        </is>
      </c>
      <c r="ABJ395" s="9" t="n">
        <v>0</v>
      </c>
    </row>
    <row r="396">
      <c r="C396" s="10" t="n">
        <v>46357</v>
      </c>
      <c r="E396" s="9" t="n">
        <v>0</v>
      </c>
      <c r="G396" s="9" t="n">
        <v>0</v>
      </c>
      <c r="H396" s="9" t="n">
        <v>236936.6</v>
      </c>
      <c r="L396" s="10" t="n">
        <v>46357</v>
      </c>
      <c r="N396" s="9" t="n">
        <v>0</v>
      </c>
      <c r="P396" s="9" t="n">
        <v>0</v>
      </c>
      <c r="Q396" s="9" t="n">
        <v>53017.60000000007</v>
      </c>
      <c r="U396" s="10" t="n">
        <v>46357</v>
      </c>
      <c r="W396" s="9" t="n">
        <v>0</v>
      </c>
      <c r="Y396" s="9" t="n">
        <v>0</v>
      </c>
      <c r="Z396" s="9" t="n">
        <v>42674.19999999997</v>
      </c>
      <c r="AD396" s="10" t="n">
        <v>46357</v>
      </c>
      <c r="AF396" s="9" t="n">
        <v>0</v>
      </c>
      <c r="AH396" s="9" t="n">
        <v>0</v>
      </c>
      <c r="AI396" s="9" t="n">
        <v>4522.200000000019</v>
      </c>
      <c r="AM396" s="10" t="n">
        <v>46357</v>
      </c>
      <c r="AO396" s="9" t="n">
        <v>0</v>
      </c>
      <c r="AQ396" s="9" t="n">
        <v>0</v>
      </c>
      <c r="AR396" s="9" t="n">
        <v>0</v>
      </c>
      <c r="AV396" s="10" t="n">
        <v>46357</v>
      </c>
      <c r="AX396" s="9" t="n">
        <v>0</v>
      </c>
      <c r="AZ396" s="9" t="n">
        <v>0</v>
      </c>
      <c r="BA396" s="9" t="n">
        <v>124.9999999999952</v>
      </c>
      <c r="BE396" s="10" t="n">
        <v>46357</v>
      </c>
      <c r="BG396" s="9" t="n">
        <v>0</v>
      </c>
      <c r="BI396" s="9" t="n">
        <v>0</v>
      </c>
      <c r="BJ396" s="9" t="n">
        <v>26151.9</v>
      </c>
      <c r="BN396" s="10" t="n">
        <v>46357</v>
      </c>
      <c r="BP396" s="9" t="n">
        <v>0</v>
      </c>
      <c r="BR396" s="9" t="n">
        <v>0</v>
      </c>
      <c r="BS396" s="9" t="n">
        <v>0</v>
      </c>
      <c r="BW396" s="10" t="n">
        <v>46357</v>
      </c>
      <c r="BY396" s="9" t="n">
        <v>0</v>
      </c>
      <c r="CA396" s="9" t="n">
        <v>0</v>
      </c>
      <c r="CB396" s="9" t="n">
        <v>2097.339999999999</v>
      </c>
      <c r="CF396" s="10" t="n">
        <v>46357</v>
      </c>
      <c r="CH396" s="9" t="n">
        <v>0</v>
      </c>
      <c r="CJ396" s="9" t="n">
        <v>0</v>
      </c>
      <c r="CK396" s="9" t="n">
        <v>-10277.08</v>
      </c>
      <c r="CO396" s="10" t="n">
        <v>46357</v>
      </c>
      <c r="CQ396" s="9" t="n">
        <v>0</v>
      </c>
      <c r="CS396" s="9" t="n">
        <v>0</v>
      </c>
      <c r="CT396" s="9" t="n">
        <v>0</v>
      </c>
      <c r="CX396" s="10" t="n">
        <v>46357</v>
      </c>
      <c r="CZ396" s="9" t="n">
        <v>0</v>
      </c>
      <c r="DB396" s="9" t="n">
        <v>0</v>
      </c>
      <c r="DC396" s="9" t="n">
        <v>27438.20000000001</v>
      </c>
      <c r="DG396" s="10" t="n">
        <v>46357</v>
      </c>
      <c r="DI396" s="9" t="n">
        <v>0</v>
      </c>
      <c r="DK396" s="9" t="n">
        <v>0</v>
      </c>
      <c r="DL396" s="9" t="n">
        <v>18782.29999999998</v>
      </c>
      <c r="DP396" s="10" t="n">
        <v>46357</v>
      </c>
      <c r="DR396" s="9" t="n">
        <v>0</v>
      </c>
      <c r="DT396" s="9" t="n">
        <v>0</v>
      </c>
      <c r="DU396" s="9" t="n">
        <v>5800</v>
      </c>
      <c r="DY396" s="10" t="n">
        <v>46357</v>
      </c>
      <c r="EA396" s="9" t="n">
        <v>0</v>
      </c>
      <c r="EC396" s="9" t="n">
        <v>0</v>
      </c>
      <c r="ED396" s="9" t="n">
        <v>0</v>
      </c>
      <c r="EH396" s="10" t="n">
        <v>46357</v>
      </c>
      <c r="EJ396" s="9" t="n">
        <v>0</v>
      </c>
      <c r="EL396" s="9" t="n">
        <v>0</v>
      </c>
      <c r="EM396" s="9" t="n">
        <v>0</v>
      </c>
      <c r="EQ396" s="10" t="n">
        <v>46357</v>
      </c>
      <c r="ES396" s="9" t="n">
        <v>0</v>
      </c>
      <c r="EU396" s="9" t="n">
        <v>0</v>
      </c>
      <c r="EV396" s="9" t="n">
        <v>0</v>
      </c>
      <c r="EZ396" s="10" t="n">
        <v>46357</v>
      </c>
      <c r="FB396" s="9" t="n">
        <v>0</v>
      </c>
      <c r="FD396" s="9" t="n">
        <v>0</v>
      </c>
      <c r="FE396" s="9" t="n">
        <v>0</v>
      </c>
      <c r="FI396" s="10" t="n">
        <v>46357</v>
      </c>
      <c r="FK396" s="9" t="n">
        <v>0</v>
      </c>
      <c r="FM396" s="9" t="n">
        <v>0</v>
      </c>
      <c r="FN396" s="9" t="n">
        <v>0</v>
      </c>
      <c r="FR396" s="10" t="n">
        <v>46357</v>
      </c>
      <c r="FT396" s="9" t="n">
        <v>0</v>
      </c>
      <c r="FV396" s="9" t="n">
        <v>0</v>
      </c>
      <c r="FW396" s="9" t="n">
        <v>2020</v>
      </c>
      <c r="GA396" s="10" t="n">
        <v>46357</v>
      </c>
      <c r="GC396" s="9" t="n">
        <v>0</v>
      </c>
      <c r="GE396" s="9" t="n">
        <v>0</v>
      </c>
      <c r="GF396" s="9" t="n">
        <v>960</v>
      </c>
      <c r="GJ396" s="10" t="n">
        <v>46357</v>
      </c>
      <c r="GL396" s="9" t="n">
        <v>0</v>
      </c>
      <c r="GN396" s="9" t="n">
        <v>0</v>
      </c>
      <c r="GO396" s="9" t="n">
        <v>1760</v>
      </c>
      <c r="GS396" s="10" t="n">
        <v>46357</v>
      </c>
      <c r="GU396" s="9" t="n">
        <v>0</v>
      </c>
      <c r="GW396" s="9" t="n">
        <v>0</v>
      </c>
      <c r="GX396" s="9" t="n">
        <v>400</v>
      </c>
      <c r="HB396" s="10" t="n">
        <v>46357</v>
      </c>
      <c r="HD396" s="9" t="n">
        <v>0</v>
      </c>
      <c r="HF396" s="9" t="n">
        <v>0</v>
      </c>
      <c r="HG396" s="9" t="n">
        <v>3600</v>
      </c>
      <c r="HK396" s="10" t="n">
        <v>46357</v>
      </c>
      <c r="HM396" s="9" t="n">
        <v>0</v>
      </c>
      <c r="HO396" s="9" t="n">
        <v>0</v>
      </c>
      <c r="HP396" s="9" t="n">
        <v>0</v>
      </c>
      <c r="HU396" s="10" t="n">
        <v>46357</v>
      </c>
      <c r="HW396" s="9" t="n">
        <v>0</v>
      </c>
      <c r="HY396" s="9" t="n">
        <v>0</v>
      </c>
      <c r="HZ396" s="9" t="n">
        <v>6120</v>
      </c>
      <c r="ID396" s="10" t="n">
        <v>46357</v>
      </c>
      <c r="IF396" s="9" t="n">
        <v>0</v>
      </c>
      <c r="IH396" s="9" t="n">
        <v>0</v>
      </c>
      <c r="II396" s="9" t="n">
        <v>0</v>
      </c>
      <c r="IM396" s="10" t="n">
        <v>46357</v>
      </c>
      <c r="IO396" s="9" t="n">
        <v>0</v>
      </c>
      <c r="IQ396" s="9" t="n">
        <v>0</v>
      </c>
      <c r="IR396" s="9" t="n">
        <v>0</v>
      </c>
      <c r="IV396" s="10" t="n">
        <v>46357</v>
      </c>
      <c r="IX396" s="9" t="n">
        <v>0</v>
      </c>
      <c r="IZ396" s="9" t="n">
        <v>0</v>
      </c>
      <c r="JA396" s="9" t="n">
        <v>2820</v>
      </c>
      <c r="JE396" s="10" t="n">
        <v>46357</v>
      </c>
      <c r="JG396" s="9" t="n">
        <v>0</v>
      </c>
      <c r="JI396" s="9" t="n">
        <v>0</v>
      </c>
      <c r="JJ396" s="9" t="n">
        <v>0</v>
      </c>
      <c r="JN396" s="10" t="n">
        <v>46357</v>
      </c>
      <c r="JP396" s="9" t="n">
        <v>0</v>
      </c>
      <c r="JR396" s="9" t="n">
        <v>0</v>
      </c>
      <c r="JS396" s="9" t="n">
        <v>0</v>
      </c>
      <c r="JW396" s="10" t="n">
        <v>46357</v>
      </c>
      <c r="JY396" s="9" t="n">
        <v>0</v>
      </c>
      <c r="KA396" s="9" t="n">
        <v>0</v>
      </c>
      <c r="KB396" s="9" t="n">
        <v>2540</v>
      </c>
      <c r="KF396" s="10" t="n">
        <v>46357</v>
      </c>
      <c r="KH396" s="9" t="n">
        <v>0</v>
      </c>
      <c r="KJ396" s="9" t="n">
        <v>0</v>
      </c>
      <c r="KK396" s="9" t="n">
        <v>2359.5</v>
      </c>
      <c r="KO396" s="10" t="n">
        <v>46357</v>
      </c>
      <c r="KQ396" s="9" t="n">
        <v>0</v>
      </c>
      <c r="KS396" s="9" t="n">
        <v>0</v>
      </c>
      <c r="KT396" s="9" t="n">
        <v>1890</v>
      </c>
      <c r="KX396" s="10" t="n">
        <v>46357</v>
      </c>
      <c r="KZ396" s="9" t="n">
        <v>0</v>
      </c>
      <c r="LB396" s="9" t="n">
        <v>0</v>
      </c>
      <c r="LC396" s="9" t="n">
        <v>3690</v>
      </c>
      <c r="LG396" s="10" t="n">
        <v>46357</v>
      </c>
      <c r="LI396" s="9" t="n">
        <v>0</v>
      </c>
      <c r="LK396" s="9" t="n">
        <v>0</v>
      </c>
      <c r="LL396" s="9" t="n">
        <v>4000</v>
      </c>
      <c r="LP396" s="10" t="n">
        <v>46357</v>
      </c>
      <c r="LR396" s="9" t="n">
        <v>0</v>
      </c>
      <c r="LT396" s="9" t="n">
        <v>0</v>
      </c>
      <c r="LU396" s="9" t="n">
        <v>0</v>
      </c>
      <c r="LY396" s="10" t="n">
        <v>46357</v>
      </c>
      <c r="MA396" s="9" t="n">
        <v>0</v>
      </c>
      <c r="MC396" s="9" t="n">
        <v>0</v>
      </c>
      <c r="MD396" s="9" t="n">
        <v>0</v>
      </c>
      <c r="MH396" s="10" t="n">
        <v>46357</v>
      </c>
      <c r="MJ396" s="9" t="n">
        <v>0</v>
      </c>
      <c r="ML396" s="9" t="n">
        <v>0</v>
      </c>
      <c r="MM396" s="9" t="n">
        <v>0</v>
      </c>
      <c r="MQ396" s="10" t="n">
        <v>46357</v>
      </c>
      <c r="MS396" s="9" t="n">
        <v>0</v>
      </c>
      <c r="MU396" s="9" t="n">
        <v>0</v>
      </c>
      <c r="MV396" s="9" t="n">
        <v>1625</v>
      </c>
      <c r="MZ396" s="10" t="n">
        <v>46357</v>
      </c>
      <c r="NB396" s="9" t="n">
        <v>0</v>
      </c>
      <c r="ND396" s="9" t="n">
        <v>0</v>
      </c>
      <c r="NE396" s="9" t="n">
        <v>0</v>
      </c>
      <c r="NI396" s="10" t="n">
        <v>46357</v>
      </c>
      <c r="NK396" s="9" t="n">
        <v>0</v>
      </c>
      <c r="NM396" s="9" t="n">
        <v>0</v>
      </c>
      <c r="NN396" s="9" t="n">
        <v>1127</v>
      </c>
      <c r="NR396" s="10" t="n">
        <v>46357</v>
      </c>
      <c r="NT396" s="9" t="n">
        <v>0</v>
      </c>
      <c r="NV396" s="9" t="n">
        <v>0</v>
      </c>
      <c r="NW396" s="9" t="n">
        <v>3112</v>
      </c>
      <c r="OA396" s="10" t="n">
        <v>46357</v>
      </c>
      <c r="OC396" s="9" t="n">
        <v>0</v>
      </c>
      <c r="OE396" s="9" t="n">
        <v>0</v>
      </c>
      <c r="OF396" s="9" t="n">
        <v>1680.5</v>
      </c>
      <c r="OJ396" s="10" t="n">
        <v>46357</v>
      </c>
      <c r="OL396" s="9" t="n">
        <v>0</v>
      </c>
      <c r="ON396" s="9" t="n">
        <v>0</v>
      </c>
      <c r="OO396" s="9" t="n">
        <v>0</v>
      </c>
      <c r="OS396" s="10" t="n">
        <v>46357</v>
      </c>
      <c r="OU396" s="9" t="n">
        <v>0</v>
      </c>
      <c r="OW396" s="9" t="n">
        <v>0</v>
      </c>
      <c r="OX396" s="9" t="n">
        <v>1482</v>
      </c>
      <c r="PB396" s="10" t="n">
        <v>46357</v>
      </c>
      <c r="PD396" s="9" t="n">
        <v>0</v>
      </c>
      <c r="PF396" s="9" t="n">
        <v>0</v>
      </c>
      <c r="PG396" s="9" t="n">
        <v>0</v>
      </c>
      <c r="PK396" s="10" t="n">
        <v>46357</v>
      </c>
      <c r="PM396" s="9" t="n">
        <v>0</v>
      </c>
      <c r="PO396" s="9" t="n">
        <v>0</v>
      </c>
      <c r="PP396" s="9" t="n">
        <v>100</v>
      </c>
      <c r="PT396" s="10" t="n">
        <v>46357</v>
      </c>
      <c r="PV396" s="9" t="n">
        <v>0</v>
      </c>
      <c r="PX396" s="9" t="n">
        <v>0</v>
      </c>
      <c r="PY396" s="9" t="n">
        <v>13.96000000000004</v>
      </c>
      <c r="QC396" s="10" t="n">
        <v>46357</v>
      </c>
      <c r="QE396" s="9" t="n">
        <v>0</v>
      </c>
      <c r="QG396" s="9" t="n">
        <v>0</v>
      </c>
      <c r="QH396" s="9" t="n">
        <v>548</v>
      </c>
      <c r="QL396" s="10" t="n">
        <v>46357</v>
      </c>
      <c r="QN396" s="9" t="n">
        <v>0</v>
      </c>
      <c r="QP396" s="9" t="n">
        <v>0</v>
      </c>
      <c r="QQ396" s="9" t="n">
        <v>0</v>
      </c>
      <c r="QU396" s="10" t="n">
        <v>46357</v>
      </c>
      <c r="QW396" s="9" t="n">
        <v>0</v>
      </c>
      <c r="QY396" s="9" t="n">
        <v>0</v>
      </c>
      <c r="QZ396" s="9" t="n">
        <v>0</v>
      </c>
      <c r="RD396" s="10" t="n">
        <v>46357</v>
      </c>
      <c r="RF396" s="9" t="n">
        <v>0</v>
      </c>
      <c r="RH396" s="9" t="n">
        <v>0</v>
      </c>
      <c r="RI396" s="9" t="n">
        <v>147.04</v>
      </c>
      <c r="RM396" s="10" t="n">
        <v>46357</v>
      </c>
      <c r="RO396" s="9" t="n">
        <v>0</v>
      </c>
      <c r="RQ396" s="9" t="n">
        <v>0</v>
      </c>
      <c r="RR396" s="9" t="n">
        <v>46.8</v>
      </c>
      <c r="RV396" s="10" t="n">
        <v>46357</v>
      </c>
      <c r="RX396" s="9" t="n">
        <v>0</v>
      </c>
      <c r="RZ396" s="9" t="n">
        <v>0</v>
      </c>
      <c r="SA396" s="9" t="n">
        <v>0</v>
      </c>
      <c r="SE396" s="10" t="n">
        <v>46357</v>
      </c>
      <c r="SG396" s="9" t="n">
        <v>0</v>
      </c>
      <c r="SI396" s="9" t="n">
        <v>0</v>
      </c>
      <c r="SJ396" s="9" t="n">
        <v>24.2</v>
      </c>
      <c r="SN396" s="10" t="n">
        <v>46357</v>
      </c>
      <c r="SP396" s="9" t="n">
        <v>0</v>
      </c>
      <c r="SR396" s="9" t="n">
        <v>0</v>
      </c>
      <c r="SS396" s="9" t="n">
        <v>32</v>
      </c>
      <c r="SW396" s="10" t="n">
        <v>46357</v>
      </c>
      <c r="SY396" s="9" t="n">
        <v>0</v>
      </c>
      <c r="TA396" s="9" t="n">
        <v>0</v>
      </c>
      <c r="TB396" s="9" t="n">
        <v>0</v>
      </c>
      <c r="TF396" s="10" t="n">
        <v>46357</v>
      </c>
      <c r="TH396" s="9" t="n">
        <v>0</v>
      </c>
      <c r="TJ396" s="9" t="n">
        <v>0</v>
      </c>
      <c r="TK396" s="9" t="n">
        <v>0</v>
      </c>
      <c r="TO396" s="10" t="n">
        <v>46357</v>
      </c>
      <c r="TQ396" s="9" t="n">
        <v>0</v>
      </c>
      <c r="TS396" s="9" t="n">
        <v>0</v>
      </c>
      <c r="TT396" s="9" t="n">
        <v>0</v>
      </c>
      <c r="TX396" s="10" t="n">
        <v>46357</v>
      </c>
      <c r="TZ396" s="9" t="n">
        <v>0</v>
      </c>
      <c r="UB396" s="9" t="n">
        <v>0</v>
      </c>
      <c r="UC396" s="9" t="n">
        <v>46.79999999999998</v>
      </c>
      <c r="UG396" s="10" t="n">
        <v>46357</v>
      </c>
      <c r="UI396" s="9" t="n">
        <v>0</v>
      </c>
      <c r="UK396" s="9" t="n">
        <v>0</v>
      </c>
      <c r="UL396" s="9" t="n">
        <v>204</v>
      </c>
      <c r="UP396" s="10" t="n">
        <v>46357</v>
      </c>
      <c r="UR396" s="9" t="n">
        <v>0</v>
      </c>
      <c r="UT396" s="9" t="n">
        <v>0</v>
      </c>
      <c r="UU396" s="9" t="n">
        <v>202.5</v>
      </c>
      <c r="UY396" s="10" t="n">
        <v>46357</v>
      </c>
      <c r="VA396" s="9" t="n">
        <v>0</v>
      </c>
      <c r="VC396" s="9" t="n">
        <v>0</v>
      </c>
      <c r="VD396" s="9" t="n">
        <v>41.60000000000002</v>
      </c>
      <c r="VH396" s="10" t="n">
        <v>46357</v>
      </c>
      <c r="VJ396" s="9" t="n">
        <v>0</v>
      </c>
      <c r="VL396" s="9" t="n">
        <v>0</v>
      </c>
      <c r="VM396" s="9" t="n">
        <v>210</v>
      </c>
      <c r="VQ396" s="10" t="n">
        <v>46357</v>
      </c>
      <c r="VS396" s="9" t="n">
        <v>0</v>
      </c>
      <c r="VU396" s="9" t="n">
        <v>0</v>
      </c>
      <c r="VV396" s="9" t="n">
        <v>0</v>
      </c>
      <c r="VZ396" s="10" t="n">
        <v>46357</v>
      </c>
      <c r="WB396" s="9" t="n">
        <v>0</v>
      </c>
      <c r="WD396" s="9" t="n">
        <v>0</v>
      </c>
      <c r="WE396" s="9" t="n">
        <v>0</v>
      </c>
      <c r="WI396" s="10" t="n">
        <v>46357</v>
      </c>
      <c r="WK396" s="9" t="n">
        <v>0</v>
      </c>
      <c r="WM396" s="9" t="n">
        <v>0</v>
      </c>
      <c r="WN396" s="9" t="n">
        <v>1057</v>
      </c>
      <c r="WR396" s="10" t="n">
        <v>46357</v>
      </c>
      <c r="WT396" s="9" t="n">
        <v>0</v>
      </c>
      <c r="WV396" s="9" t="n">
        <v>0</v>
      </c>
      <c r="WW396" s="9" t="n">
        <v>0</v>
      </c>
      <c r="XA396" s="10" t="n">
        <v>46357</v>
      </c>
      <c r="XC396" s="9" t="n">
        <v>0</v>
      </c>
      <c r="XE396" s="9" t="n">
        <v>0</v>
      </c>
      <c r="XF396" s="9" t="n">
        <v>7507</v>
      </c>
      <c r="XJ396" s="10" t="n">
        <v>46357</v>
      </c>
      <c r="XL396" s="9" t="n">
        <v>0</v>
      </c>
      <c r="XN396" s="9" t="n">
        <v>0</v>
      </c>
      <c r="XO396" s="9" t="n">
        <v>4252</v>
      </c>
      <c r="XS396" s="10" t="n">
        <v>46357</v>
      </c>
      <c r="XU396" s="9" t="n">
        <v>0</v>
      </c>
      <c r="XW396" s="9" t="n">
        <v>0</v>
      </c>
      <c r="XX396" s="9" t="n">
        <v>2179</v>
      </c>
      <c r="YB396" s="10" t="n">
        <v>46357</v>
      </c>
      <c r="YD396" s="9" t="n">
        <v>0</v>
      </c>
      <c r="YF396" s="9" t="n">
        <v>0</v>
      </c>
      <c r="YG396" s="9" t="n">
        <v>4019</v>
      </c>
      <c r="YK396" s="10" t="n">
        <v>46357</v>
      </c>
      <c r="YM396" s="9" t="n">
        <v>0</v>
      </c>
      <c r="YO396" s="9" t="n">
        <v>0</v>
      </c>
      <c r="YP396" s="9" t="n">
        <v>-218</v>
      </c>
      <c r="YT396" s="10" t="n">
        <v>46357</v>
      </c>
      <c r="YV396" s="9" t="n">
        <v>0</v>
      </c>
      <c r="YX396" s="9" t="n">
        <v>0</v>
      </c>
      <c r="YY396" s="9" t="n">
        <v>0</v>
      </c>
      <c r="ZC396" s="10" t="n">
        <v>46357</v>
      </c>
      <c r="ZE396" s="9" t="n">
        <v>0</v>
      </c>
      <c r="ZG396" s="9" t="n">
        <v>0</v>
      </c>
      <c r="ZH396" s="9" t="n">
        <v>0</v>
      </c>
      <c r="ZL396" s="10" t="n">
        <v>46357</v>
      </c>
      <c r="ZN396" s="9" t="n">
        <v>0</v>
      </c>
      <c r="ZP396" s="9" t="n">
        <v>0</v>
      </c>
      <c r="ZQ396" s="9" t="n">
        <v>0</v>
      </c>
      <c r="ZU396" s="10" t="n">
        <v>46357</v>
      </c>
      <c r="ZW396" s="9" t="n">
        <v>0</v>
      </c>
      <c r="ZY396" s="9" t="n">
        <v>0</v>
      </c>
      <c r="ZZ396" s="9" t="n">
        <v>0</v>
      </c>
      <c r="AAD396" s="10" t="n">
        <v>46357</v>
      </c>
      <c r="AAF396" s="9" t="n">
        <v>0</v>
      </c>
      <c r="AAH396" s="9" t="n">
        <v>0</v>
      </c>
      <c r="AAI396" s="9" t="n">
        <v>0</v>
      </c>
      <c r="AAM396" s="10" t="n">
        <v>46357</v>
      </c>
      <c r="AAO396" s="9" t="n">
        <v>0</v>
      </c>
      <c r="AAQ396" s="9" t="n">
        <v>0</v>
      </c>
      <c r="AAR396" s="9" t="n">
        <v>0</v>
      </c>
      <c r="AAV396" s="10" t="n">
        <v>46357</v>
      </c>
      <c r="AAX396" s="9" t="n">
        <v>0</v>
      </c>
      <c r="AAZ396" s="9" t="n">
        <v>0</v>
      </c>
      <c r="ABA396" s="9" t="n">
        <v>0</v>
      </c>
      <c r="ABE396" s="10" t="n">
        <v>46357</v>
      </c>
      <c r="ABG396" s="9" t="n">
        <v>0</v>
      </c>
      <c r="ABI396" s="9" t="n">
        <v>0</v>
      </c>
      <c r="ABJ396" s="9" t="n">
        <v>0</v>
      </c>
    </row>
    <row r="397">
      <c r="C397" s="10" t="n">
        <v>46358</v>
      </c>
      <c r="E397" s="9" t="n">
        <v>0</v>
      </c>
      <c r="G397" s="9" t="n">
        <v>0</v>
      </c>
      <c r="H397" s="9" t="n">
        <v>236936.6</v>
      </c>
      <c r="L397" s="10" t="n">
        <v>46358</v>
      </c>
      <c r="N397" s="9" t="n">
        <v>0</v>
      </c>
      <c r="P397" s="9" t="n">
        <v>0</v>
      </c>
      <c r="Q397" s="9" t="n">
        <v>53017.60000000007</v>
      </c>
      <c r="U397" s="10" t="n">
        <v>46358</v>
      </c>
      <c r="W397" s="9" t="n">
        <v>0</v>
      </c>
      <c r="Y397" s="9" t="n">
        <v>0</v>
      </c>
      <c r="Z397" s="9" t="n">
        <v>42674.19999999997</v>
      </c>
      <c r="AD397" s="10" t="n">
        <v>46358</v>
      </c>
      <c r="AF397" s="9" t="n">
        <v>0</v>
      </c>
      <c r="AH397" s="9" t="n">
        <v>0</v>
      </c>
      <c r="AI397" s="9" t="n">
        <v>4522.200000000019</v>
      </c>
      <c r="AM397" s="10" t="n">
        <v>46358</v>
      </c>
      <c r="AO397" s="9" t="n">
        <v>0</v>
      </c>
      <c r="AQ397" s="9" t="n">
        <v>0</v>
      </c>
      <c r="AR397" s="9" t="n">
        <v>0</v>
      </c>
      <c r="AV397" s="10" t="n">
        <v>46358</v>
      </c>
      <c r="AX397" s="9" t="n">
        <v>0</v>
      </c>
      <c r="AZ397" s="9" t="n">
        <v>0</v>
      </c>
      <c r="BA397" s="9" t="n">
        <v>124.9999999999952</v>
      </c>
      <c r="BE397" s="10" t="n">
        <v>46358</v>
      </c>
      <c r="BG397" s="9" t="n">
        <v>0</v>
      </c>
      <c r="BI397" s="9" t="n">
        <v>0</v>
      </c>
      <c r="BJ397" s="9" t="n">
        <v>26151.9</v>
      </c>
      <c r="BN397" s="10" t="n">
        <v>46358</v>
      </c>
      <c r="BP397" s="9" t="n">
        <v>0</v>
      </c>
      <c r="BR397" s="9" t="n">
        <v>0</v>
      </c>
      <c r="BS397" s="9" t="n">
        <v>0</v>
      </c>
      <c r="BW397" s="10" t="n">
        <v>46358</v>
      </c>
      <c r="BY397" s="9" t="n">
        <v>0</v>
      </c>
      <c r="CA397" s="9" t="n">
        <v>0</v>
      </c>
      <c r="CB397" s="9" t="n">
        <v>2097.339999999999</v>
      </c>
      <c r="CF397" s="10" t="n">
        <v>46358</v>
      </c>
      <c r="CH397" s="9" t="n">
        <v>0</v>
      </c>
      <c r="CJ397" s="9" t="n">
        <v>0</v>
      </c>
      <c r="CK397" s="9" t="n">
        <v>-10277.08</v>
      </c>
      <c r="CO397" s="10" t="n">
        <v>46358</v>
      </c>
      <c r="CQ397" s="9" t="n">
        <v>0</v>
      </c>
      <c r="CS397" s="9" t="n">
        <v>0</v>
      </c>
      <c r="CT397" s="9" t="n">
        <v>0</v>
      </c>
      <c r="CX397" s="10" t="n">
        <v>46358</v>
      </c>
      <c r="CZ397" s="9" t="n">
        <v>0</v>
      </c>
      <c r="DB397" s="9" t="n">
        <v>0</v>
      </c>
      <c r="DC397" s="9" t="n">
        <v>27438.20000000001</v>
      </c>
      <c r="DG397" s="10" t="n">
        <v>46358</v>
      </c>
      <c r="DI397" s="9" t="n">
        <v>0</v>
      </c>
      <c r="DK397" s="9" t="n">
        <v>0</v>
      </c>
      <c r="DL397" s="9" t="n">
        <v>18782.29999999998</v>
      </c>
      <c r="DP397" s="10" t="n">
        <v>46358</v>
      </c>
      <c r="DR397" s="9" t="n">
        <v>0</v>
      </c>
      <c r="DT397" s="9" t="n">
        <v>0</v>
      </c>
      <c r="DU397" s="9" t="n">
        <v>5800</v>
      </c>
      <c r="DY397" s="10" t="n">
        <v>46358</v>
      </c>
      <c r="EA397" s="9" t="n">
        <v>0</v>
      </c>
      <c r="EC397" s="9" t="n">
        <v>0</v>
      </c>
      <c r="ED397" s="9" t="n">
        <v>0</v>
      </c>
      <c r="EH397" s="10" t="n">
        <v>46358</v>
      </c>
      <c r="EJ397" s="9" t="n">
        <v>0</v>
      </c>
      <c r="EL397" s="9" t="n">
        <v>0</v>
      </c>
      <c r="EM397" s="9" t="n">
        <v>0</v>
      </c>
      <c r="EQ397" s="10" t="n">
        <v>46358</v>
      </c>
      <c r="ES397" s="9" t="n">
        <v>0</v>
      </c>
      <c r="EU397" s="9" t="n">
        <v>0</v>
      </c>
      <c r="EV397" s="9" t="n">
        <v>0</v>
      </c>
      <c r="EZ397" s="10" t="n">
        <v>46358</v>
      </c>
      <c r="FB397" s="9" t="n">
        <v>0</v>
      </c>
      <c r="FD397" s="9" t="n">
        <v>0</v>
      </c>
      <c r="FE397" s="9" t="n">
        <v>0</v>
      </c>
      <c r="FI397" s="10" t="n">
        <v>46358</v>
      </c>
      <c r="FK397" s="9" t="n">
        <v>0</v>
      </c>
      <c r="FM397" s="9" t="n">
        <v>0</v>
      </c>
      <c r="FN397" s="9" t="n">
        <v>0</v>
      </c>
      <c r="FR397" s="10" t="n">
        <v>46358</v>
      </c>
      <c r="FT397" s="9" t="n">
        <v>0</v>
      </c>
      <c r="FV397" s="9" t="n">
        <v>0</v>
      </c>
      <c r="FW397" s="9" t="n">
        <v>2020</v>
      </c>
      <c r="GA397" s="10" t="n">
        <v>46358</v>
      </c>
      <c r="GC397" s="9" t="n">
        <v>0</v>
      </c>
      <c r="GE397" s="9" t="n">
        <v>0</v>
      </c>
      <c r="GF397" s="9" t="n">
        <v>960</v>
      </c>
      <c r="GJ397" s="10" t="n">
        <v>46358</v>
      </c>
      <c r="GL397" s="9" t="n">
        <v>0</v>
      </c>
      <c r="GN397" s="9" t="n">
        <v>0</v>
      </c>
      <c r="GO397" s="9" t="n">
        <v>1760</v>
      </c>
      <c r="GS397" s="10" t="n">
        <v>46358</v>
      </c>
      <c r="GU397" s="9" t="n">
        <v>0</v>
      </c>
      <c r="GW397" s="9" t="n">
        <v>0</v>
      </c>
      <c r="GX397" s="9" t="n">
        <v>400</v>
      </c>
      <c r="HB397" s="10" t="n">
        <v>46358</v>
      </c>
      <c r="HD397" s="9" t="n">
        <v>0</v>
      </c>
      <c r="HF397" s="9" t="n">
        <v>0</v>
      </c>
      <c r="HG397" s="9" t="n">
        <v>3600</v>
      </c>
      <c r="HK397" s="10" t="n">
        <v>46358</v>
      </c>
      <c r="HM397" s="9" t="n">
        <v>0</v>
      </c>
      <c r="HO397" s="9" t="n">
        <v>0</v>
      </c>
      <c r="HP397" s="9" t="n">
        <v>0</v>
      </c>
      <c r="HU397" s="10" t="n">
        <v>46358</v>
      </c>
      <c r="HW397" s="9" t="n">
        <v>0</v>
      </c>
      <c r="HY397" s="9" t="n">
        <v>0</v>
      </c>
      <c r="HZ397" s="9" t="n">
        <v>6120</v>
      </c>
      <c r="ID397" s="10" t="n">
        <v>46358</v>
      </c>
      <c r="IF397" s="9" t="n">
        <v>0</v>
      </c>
      <c r="IH397" s="9" t="n">
        <v>0</v>
      </c>
      <c r="II397" s="9" t="n">
        <v>0</v>
      </c>
      <c r="IM397" s="10" t="n">
        <v>46358</v>
      </c>
      <c r="IO397" s="9" t="n">
        <v>0</v>
      </c>
      <c r="IQ397" s="9" t="n">
        <v>0</v>
      </c>
      <c r="IR397" s="9" t="n">
        <v>0</v>
      </c>
      <c r="IV397" s="10" t="n">
        <v>46358</v>
      </c>
      <c r="IX397" s="9" t="n">
        <v>0</v>
      </c>
      <c r="IZ397" s="9" t="n">
        <v>0</v>
      </c>
      <c r="JA397" s="9" t="n">
        <v>2820</v>
      </c>
      <c r="JE397" s="10" t="n">
        <v>46358</v>
      </c>
      <c r="JG397" s="9" t="n">
        <v>0</v>
      </c>
      <c r="JI397" s="9" t="n">
        <v>0</v>
      </c>
      <c r="JJ397" s="9" t="n">
        <v>0</v>
      </c>
      <c r="JN397" s="10" t="n">
        <v>46358</v>
      </c>
      <c r="JP397" s="9" t="n">
        <v>0</v>
      </c>
      <c r="JR397" s="9" t="n">
        <v>0</v>
      </c>
      <c r="JS397" s="9" t="n">
        <v>0</v>
      </c>
      <c r="JW397" s="10" t="n">
        <v>46358</v>
      </c>
      <c r="JY397" s="9" t="n">
        <v>0</v>
      </c>
      <c r="KA397" s="9" t="n">
        <v>0</v>
      </c>
      <c r="KB397" s="9" t="n">
        <v>2540</v>
      </c>
      <c r="KF397" s="10" t="n">
        <v>46358</v>
      </c>
      <c r="KH397" s="9" t="n">
        <v>0</v>
      </c>
      <c r="KJ397" s="9" t="n">
        <v>0</v>
      </c>
      <c r="KK397" s="9" t="n">
        <v>2359.5</v>
      </c>
      <c r="KO397" s="10" t="n">
        <v>46358</v>
      </c>
      <c r="KQ397" s="9" t="n">
        <v>0</v>
      </c>
      <c r="KS397" s="9" t="n">
        <v>0</v>
      </c>
      <c r="KT397" s="9" t="n">
        <v>1890</v>
      </c>
      <c r="KX397" s="10" t="n">
        <v>46358</v>
      </c>
      <c r="KZ397" s="9" t="n">
        <v>0</v>
      </c>
      <c r="LB397" s="9" t="n">
        <v>0</v>
      </c>
      <c r="LC397" s="9" t="n">
        <v>3690</v>
      </c>
      <c r="LG397" s="10" t="n">
        <v>46358</v>
      </c>
      <c r="LI397" s="9" t="n">
        <v>0</v>
      </c>
      <c r="LK397" s="9" t="n">
        <v>0</v>
      </c>
      <c r="LL397" s="9" t="n">
        <v>4000</v>
      </c>
      <c r="LP397" s="10" t="n">
        <v>46358</v>
      </c>
      <c r="LR397" s="9" t="n">
        <v>0</v>
      </c>
      <c r="LT397" s="9" t="n">
        <v>0</v>
      </c>
      <c r="LU397" s="9" t="n">
        <v>0</v>
      </c>
      <c r="LY397" s="10" t="n">
        <v>46358</v>
      </c>
      <c r="MA397" s="9" t="n">
        <v>0</v>
      </c>
      <c r="MC397" s="9" t="n">
        <v>0</v>
      </c>
      <c r="MD397" s="9" t="n">
        <v>0</v>
      </c>
      <c r="MH397" s="10" t="n">
        <v>46358</v>
      </c>
      <c r="MJ397" s="9" t="n">
        <v>0</v>
      </c>
      <c r="ML397" s="9" t="n">
        <v>0</v>
      </c>
      <c r="MM397" s="9" t="n">
        <v>0</v>
      </c>
      <c r="MQ397" s="10" t="n">
        <v>46358</v>
      </c>
      <c r="MS397" s="9" t="n">
        <v>0</v>
      </c>
      <c r="MU397" s="9" t="n">
        <v>0</v>
      </c>
      <c r="MV397" s="9" t="n">
        <v>1625</v>
      </c>
      <c r="MZ397" s="10" t="n">
        <v>46358</v>
      </c>
      <c r="NB397" s="9" t="n">
        <v>0</v>
      </c>
      <c r="ND397" s="9" t="n">
        <v>0</v>
      </c>
      <c r="NE397" s="9" t="n">
        <v>0</v>
      </c>
      <c r="NI397" s="10" t="n">
        <v>46358</v>
      </c>
      <c r="NK397" s="9" t="n">
        <v>0</v>
      </c>
      <c r="NM397" s="9" t="n">
        <v>0</v>
      </c>
      <c r="NN397" s="9" t="n">
        <v>1127</v>
      </c>
      <c r="NR397" s="10" t="n">
        <v>46358</v>
      </c>
      <c r="NT397" s="9" t="n">
        <v>0</v>
      </c>
      <c r="NV397" s="9" t="n">
        <v>0</v>
      </c>
      <c r="NW397" s="9" t="n">
        <v>3112</v>
      </c>
      <c r="OA397" s="10" t="n">
        <v>46358</v>
      </c>
      <c r="OC397" s="9" t="n">
        <v>0</v>
      </c>
      <c r="OE397" s="9" t="n">
        <v>0</v>
      </c>
      <c r="OF397" s="9" t="n">
        <v>1680.5</v>
      </c>
      <c r="OJ397" s="10" t="n">
        <v>46358</v>
      </c>
      <c r="OL397" s="9" t="n">
        <v>0</v>
      </c>
      <c r="ON397" s="9" t="n">
        <v>0</v>
      </c>
      <c r="OO397" s="9" t="n">
        <v>0</v>
      </c>
      <c r="OS397" s="10" t="n">
        <v>46358</v>
      </c>
      <c r="OU397" s="9" t="n">
        <v>0</v>
      </c>
      <c r="OW397" s="9" t="n">
        <v>0</v>
      </c>
      <c r="OX397" s="9" t="n">
        <v>1482</v>
      </c>
      <c r="PB397" s="10" t="n">
        <v>46358</v>
      </c>
      <c r="PD397" s="9" t="n">
        <v>0</v>
      </c>
      <c r="PF397" s="9" t="n">
        <v>0</v>
      </c>
      <c r="PG397" s="9" t="n">
        <v>0</v>
      </c>
      <c r="PK397" s="10" t="n">
        <v>46358</v>
      </c>
      <c r="PM397" s="9" t="n">
        <v>0</v>
      </c>
      <c r="PO397" s="9" t="n">
        <v>0</v>
      </c>
      <c r="PP397" s="9" t="n">
        <v>100</v>
      </c>
      <c r="PT397" s="10" t="n">
        <v>46358</v>
      </c>
      <c r="PV397" s="9" t="n">
        <v>0</v>
      </c>
      <c r="PX397" s="9" t="n">
        <v>0</v>
      </c>
      <c r="PY397" s="9" t="n">
        <v>13.96000000000004</v>
      </c>
      <c r="QC397" s="10" t="n">
        <v>46358</v>
      </c>
      <c r="QE397" s="9" t="n">
        <v>0</v>
      </c>
      <c r="QG397" s="9" t="n">
        <v>0</v>
      </c>
      <c r="QH397" s="9" t="n">
        <v>548</v>
      </c>
      <c r="QL397" s="10" t="n">
        <v>46358</v>
      </c>
      <c r="QN397" s="9" t="n">
        <v>0</v>
      </c>
      <c r="QP397" s="9" t="n">
        <v>0</v>
      </c>
      <c r="QQ397" s="9" t="n">
        <v>0</v>
      </c>
      <c r="QU397" s="10" t="n">
        <v>46358</v>
      </c>
      <c r="QW397" s="9" t="n">
        <v>0</v>
      </c>
      <c r="QY397" s="9" t="n">
        <v>0</v>
      </c>
      <c r="QZ397" s="9" t="n">
        <v>0</v>
      </c>
      <c r="RD397" s="10" t="n">
        <v>46358</v>
      </c>
      <c r="RF397" s="9" t="n">
        <v>0</v>
      </c>
      <c r="RH397" s="9" t="n">
        <v>0</v>
      </c>
      <c r="RI397" s="9" t="n">
        <v>147.04</v>
      </c>
      <c r="RM397" s="10" t="n">
        <v>46358</v>
      </c>
      <c r="RO397" s="9" t="n">
        <v>0</v>
      </c>
      <c r="RQ397" s="9" t="n">
        <v>0</v>
      </c>
      <c r="RR397" s="9" t="n">
        <v>46.8</v>
      </c>
      <c r="RV397" s="10" t="n">
        <v>46358</v>
      </c>
      <c r="RX397" s="9" t="n">
        <v>0</v>
      </c>
      <c r="RZ397" s="9" t="n">
        <v>0</v>
      </c>
      <c r="SA397" s="9" t="n">
        <v>0</v>
      </c>
      <c r="SE397" s="10" t="n">
        <v>46358</v>
      </c>
      <c r="SG397" s="9" t="n">
        <v>0</v>
      </c>
      <c r="SI397" s="9" t="n">
        <v>0</v>
      </c>
      <c r="SJ397" s="9" t="n">
        <v>24.2</v>
      </c>
      <c r="SN397" s="10" t="n">
        <v>46358</v>
      </c>
      <c r="SP397" s="9" t="n">
        <v>0</v>
      </c>
      <c r="SR397" s="9" t="n">
        <v>0</v>
      </c>
      <c r="SS397" s="9" t="n">
        <v>32</v>
      </c>
      <c r="SW397" s="10" t="n">
        <v>46358</v>
      </c>
      <c r="SY397" s="9" t="n">
        <v>0</v>
      </c>
      <c r="TA397" s="9" t="n">
        <v>0</v>
      </c>
      <c r="TB397" s="9" t="n">
        <v>0</v>
      </c>
      <c r="TF397" s="10" t="n">
        <v>46358</v>
      </c>
      <c r="TH397" s="9" t="n">
        <v>0</v>
      </c>
      <c r="TJ397" s="9" t="n">
        <v>0</v>
      </c>
      <c r="TK397" s="9" t="n">
        <v>0</v>
      </c>
      <c r="TO397" s="10" t="n">
        <v>46358</v>
      </c>
      <c r="TQ397" s="9" t="n">
        <v>0</v>
      </c>
      <c r="TS397" s="9" t="n">
        <v>0</v>
      </c>
      <c r="TT397" s="9" t="n">
        <v>0</v>
      </c>
      <c r="TX397" s="10" t="n">
        <v>46358</v>
      </c>
      <c r="TZ397" s="9" t="n">
        <v>0</v>
      </c>
      <c r="UB397" s="9" t="n">
        <v>0</v>
      </c>
      <c r="UC397" s="9" t="n">
        <v>46.79999999999998</v>
      </c>
      <c r="UG397" s="10" t="n">
        <v>46358</v>
      </c>
      <c r="UI397" s="9" t="n">
        <v>0</v>
      </c>
      <c r="UK397" s="9" t="n">
        <v>0</v>
      </c>
      <c r="UL397" s="9" t="n">
        <v>204</v>
      </c>
      <c r="UP397" s="10" t="n">
        <v>46358</v>
      </c>
      <c r="UR397" s="9" t="n">
        <v>0</v>
      </c>
      <c r="UT397" s="9" t="n">
        <v>0</v>
      </c>
      <c r="UU397" s="9" t="n">
        <v>202.5</v>
      </c>
      <c r="UY397" s="10" t="n">
        <v>46358</v>
      </c>
      <c r="VA397" s="9" t="n">
        <v>0</v>
      </c>
      <c r="VC397" s="9" t="n">
        <v>0</v>
      </c>
      <c r="VD397" s="9" t="n">
        <v>41.60000000000002</v>
      </c>
      <c r="VH397" s="10" t="n">
        <v>46358</v>
      </c>
      <c r="VJ397" s="9" t="n">
        <v>0</v>
      </c>
      <c r="VL397" s="9" t="n">
        <v>0</v>
      </c>
      <c r="VM397" s="9" t="n">
        <v>210</v>
      </c>
      <c r="VQ397" s="10" t="n">
        <v>46358</v>
      </c>
      <c r="VS397" s="9" t="n">
        <v>0</v>
      </c>
      <c r="VU397" s="9" t="n">
        <v>0</v>
      </c>
      <c r="VV397" s="9" t="n">
        <v>0</v>
      </c>
      <c r="VZ397" s="10" t="n">
        <v>46358</v>
      </c>
      <c r="WB397" s="9" t="n">
        <v>0</v>
      </c>
      <c r="WD397" s="9" t="n">
        <v>0</v>
      </c>
      <c r="WE397" s="9" t="n">
        <v>0</v>
      </c>
      <c r="WI397" s="10" t="n">
        <v>46358</v>
      </c>
      <c r="WK397" s="9" t="n">
        <v>0</v>
      </c>
      <c r="WM397" s="9" t="n">
        <v>0</v>
      </c>
      <c r="WN397" s="9" t="n">
        <v>1057</v>
      </c>
      <c r="WR397" s="10" t="n">
        <v>46358</v>
      </c>
      <c r="WT397" s="9" t="n">
        <v>0</v>
      </c>
      <c r="WV397" s="9" t="n">
        <v>0</v>
      </c>
      <c r="WW397" s="9" t="n">
        <v>0</v>
      </c>
      <c r="XA397" s="10" t="n">
        <v>46358</v>
      </c>
      <c r="XC397" s="9" t="n">
        <v>0</v>
      </c>
      <c r="XE397" s="9" t="n">
        <v>0</v>
      </c>
      <c r="XF397" s="9" t="n">
        <v>7507</v>
      </c>
      <c r="XJ397" s="10" t="n">
        <v>46358</v>
      </c>
      <c r="XL397" s="9" t="n">
        <v>0</v>
      </c>
      <c r="XN397" s="9" t="n">
        <v>0</v>
      </c>
      <c r="XO397" s="9" t="n">
        <v>4252</v>
      </c>
      <c r="XS397" s="10" t="n">
        <v>46358</v>
      </c>
      <c r="XU397" s="9" t="n">
        <v>0</v>
      </c>
      <c r="XW397" s="9" t="n">
        <v>0</v>
      </c>
      <c r="XX397" s="9" t="n">
        <v>2179</v>
      </c>
      <c r="YB397" s="10" t="n">
        <v>46358</v>
      </c>
      <c r="YD397" s="9" t="n">
        <v>0</v>
      </c>
      <c r="YF397" s="9" t="n">
        <v>0</v>
      </c>
      <c r="YG397" s="9" t="n">
        <v>4019</v>
      </c>
      <c r="YK397" s="10" t="n">
        <v>46358</v>
      </c>
      <c r="YM397" s="9" t="n">
        <v>0</v>
      </c>
      <c r="YO397" s="9" t="n">
        <v>0</v>
      </c>
      <c r="YP397" s="9" t="n">
        <v>-218</v>
      </c>
      <c r="YT397" s="10" t="n">
        <v>46358</v>
      </c>
      <c r="YV397" s="9" t="n">
        <v>0</v>
      </c>
      <c r="YX397" s="9" t="n">
        <v>0</v>
      </c>
      <c r="YY397" s="9" t="n">
        <v>0</v>
      </c>
      <c r="ZC397" s="10" t="n">
        <v>46358</v>
      </c>
      <c r="ZE397" s="9" t="n">
        <v>0</v>
      </c>
      <c r="ZG397" s="9" t="n">
        <v>0</v>
      </c>
      <c r="ZH397" s="9" t="n">
        <v>0</v>
      </c>
      <c r="ZL397" s="10" t="n">
        <v>46358</v>
      </c>
      <c r="ZN397" s="9" t="n">
        <v>0</v>
      </c>
      <c r="ZP397" s="9" t="n">
        <v>0</v>
      </c>
      <c r="ZQ397" s="9" t="n">
        <v>0</v>
      </c>
      <c r="ZU397" s="10" t="n">
        <v>46358</v>
      </c>
      <c r="ZW397" s="9" t="n">
        <v>0</v>
      </c>
      <c r="ZY397" s="9" t="n">
        <v>0</v>
      </c>
      <c r="ZZ397" s="9" t="n">
        <v>0</v>
      </c>
      <c r="AAD397" s="10" t="n">
        <v>46358</v>
      </c>
      <c r="AAF397" s="9" t="n">
        <v>0</v>
      </c>
      <c r="AAH397" s="9" t="n">
        <v>0</v>
      </c>
      <c r="AAI397" s="9" t="n">
        <v>0</v>
      </c>
      <c r="AAM397" s="10" t="n">
        <v>46358</v>
      </c>
      <c r="AAO397" s="9" t="n">
        <v>0</v>
      </c>
      <c r="AAQ397" s="9" t="n">
        <v>0</v>
      </c>
      <c r="AAR397" s="9" t="n">
        <v>0</v>
      </c>
      <c r="AAV397" s="10" t="n">
        <v>46358</v>
      </c>
      <c r="AAX397" s="9" t="n">
        <v>0</v>
      </c>
      <c r="AAZ397" s="9" t="n">
        <v>0</v>
      </c>
      <c r="ABA397" s="9" t="n">
        <v>0</v>
      </c>
      <c r="ABE397" s="10" t="n">
        <v>46358</v>
      </c>
      <c r="ABG397" s="9" t="n">
        <v>0</v>
      </c>
      <c r="ABI397" s="9" t="n">
        <v>0</v>
      </c>
      <c r="ABJ397" s="9" t="n">
        <v>0</v>
      </c>
    </row>
    <row r="398">
      <c r="C398" s="10" t="n">
        <v>46359</v>
      </c>
      <c r="E398" s="9" t="n">
        <v>0</v>
      </c>
      <c r="G398" s="9" t="n">
        <v>0</v>
      </c>
      <c r="H398" s="9" t="n">
        <v>236936.6</v>
      </c>
      <c r="L398" s="10" t="n">
        <v>46359</v>
      </c>
      <c r="N398" s="9" t="n">
        <v>0</v>
      </c>
      <c r="P398" s="9" t="n">
        <v>0</v>
      </c>
      <c r="Q398" s="9" t="n">
        <v>53017.60000000007</v>
      </c>
      <c r="U398" s="10" t="n">
        <v>46359</v>
      </c>
      <c r="W398" s="9" t="n">
        <v>0</v>
      </c>
      <c r="Y398" s="9" t="n">
        <v>0</v>
      </c>
      <c r="Z398" s="9" t="n">
        <v>42674.19999999997</v>
      </c>
      <c r="AD398" s="10" t="n">
        <v>46359</v>
      </c>
      <c r="AF398" s="9" t="n">
        <v>0</v>
      </c>
      <c r="AH398" s="9" t="n">
        <v>0</v>
      </c>
      <c r="AI398" s="9" t="n">
        <v>4522.200000000019</v>
      </c>
      <c r="AM398" s="10" t="n">
        <v>46359</v>
      </c>
      <c r="AO398" s="9" t="n">
        <v>0</v>
      </c>
      <c r="AQ398" s="9" t="n">
        <v>0</v>
      </c>
      <c r="AR398" s="9" t="n">
        <v>0</v>
      </c>
      <c r="AV398" s="10" t="n">
        <v>46359</v>
      </c>
      <c r="AX398" s="9" t="n">
        <v>0</v>
      </c>
      <c r="AZ398" s="9" t="n">
        <v>0</v>
      </c>
      <c r="BA398" s="9" t="n">
        <v>124.9999999999952</v>
      </c>
      <c r="BE398" s="10" t="n">
        <v>46359</v>
      </c>
      <c r="BG398" s="9" t="n">
        <v>0</v>
      </c>
      <c r="BI398" s="9" t="n">
        <v>0</v>
      </c>
      <c r="BJ398" s="9" t="n">
        <v>26151.9</v>
      </c>
      <c r="BN398" s="10" t="n">
        <v>46359</v>
      </c>
      <c r="BP398" s="9" t="n">
        <v>0</v>
      </c>
      <c r="BR398" s="9" t="n">
        <v>0</v>
      </c>
      <c r="BS398" s="9" t="n">
        <v>0</v>
      </c>
      <c r="BW398" s="10" t="n">
        <v>46359</v>
      </c>
      <c r="BY398" s="9" t="n">
        <v>0</v>
      </c>
      <c r="CA398" s="9" t="n">
        <v>0</v>
      </c>
      <c r="CB398" s="9" t="n">
        <v>2097.339999999999</v>
      </c>
      <c r="CF398" s="10" t="n">
        <v>46359</v>
      </c>
      <c r="CH398" s="9" t="n">
        <v>0</v>
      </c>
      <c r="CJ398" s="9" t="n">
        <v>0</v>
      </c>
      <c r="CK398" s="9" t="n">
        <v>-10277.08</v>
      </c>
      <c r="CO398" s="10" t="n">
        <v>46359</v>
      </c>
      <c r="CQ398" s="9" t="n">
        <v>0</v>
      </c>
      <c r="CS398" s="9" t="n">
        <v>0</v>
      </c>
      <c r="CT398" s="9" t="n">
        <v>0</v>
      </c>
      <c r="CX398" s="10" t="n">
        <v>46359</v>
      </c>
      <c r="CZ398" s="9" t="n">
        <v>0</v>
      </c>
      <c r="DB398" s="9" t="n">
        <v>0</v>
      </c>
      <c r="DC398" s="9" t="n">
        <v>27438.20000000001</v>
      </c>
      <c r="DG398" s="10" t="n">
        <v>46359</v>
      </c>
      <c r="DI398" s="9" t="n">
        <v>0</v>
      </c>
      <c r="DK398" s="9" t="n">
        <v>0</v>
      </c>
      <c r="DL398" s="9" t="n">
        <v>18782.29999999998</v>
      </c>
      <c r="DP398" s="10" t="n">
        <v>46359</v>
      </c>
      <c r="DR398" s="9" t="n">
        <v>0</v>
      </c>
      <c r="DT398" s="9" t="n">
        <v>0</v>
      </c>
      <c r="DU398" s="9" t="n">
        <v>5800</v>
      </c>
      <c r="DY398" s="10" t="n">
        <v>46359</v>
      </c>
      <c r="EA398" s="9" t="n">
        <v>0</v>
      </c>
      <c r="EC398" s="9" t="n">
        <v>0</v>
      </c>
      <c r="ED398" s="9" t="n">
        <v>0</v>
      </c>
      <c r="EH398" s="10" t="n">
        <v>46359</v>
      </c>
      <c r="EJ398" s="9" t="n">
        <v>0</v>
      </c>
      <c r="EL398" s="9" t="n">
        <v>0</v>
      </c>
      <c r="EM398" s="9" t="n">
        <v>0</v>
      </c>
      <c r="EQ398" s="10" t="n">
        <v>46359</v>
      </c>
      <c r="ES398" s="9" t="n">
        <v>0</v>
      </c>
      <c r="EU398" s="9" t="n">
        <v>0</v>
      </c>
      <c r="EV398" s="9" t="n">
        <v>0</v>
      </c>
      <c r="EZ398" s="10" t="n">
        <v>46359</v>
      </c>
      <c r="FB398" s="9" t="n">
        <v>0</v>
      </c>
      <c r="FD398" s="9" t="n">
        <v>0</v>
      </c>
      <c r="FE398" s="9" t="n">
        <v>0</v>
      </c>
      <c r="FI398" s="10" t="n">
        <v>46359</v>
      </c>
      <c r="FK398" s="9" t="n">
        <v>0</v>
      </c>
      <c r="FM398" s="9" t="n">
        <v>0</v>
      </c>
      <c r="FN398" s="9" t="n">
        <v>0</v>
      </c>
      <c r="FR398" s="10" t="n">
        <v>46359</v>
      </c>
      <c r="FT398" s="9" t="n">
        <v>0</v>
      </c>
      <c r="FV398" s="9" t="n">
        <v>0</v>
      </c>
      <c r="FW398" s="9" t="n">
        <v>2020</v>
      </c>
      <c r="GA398" s="10" t="n">
        <v>46359</v>
      </c>
      <c r="GC398" s="9" t="n">
        <v>0</v>
      </c>
      <c r="GE398" s="9" t="n">
        <v>0</v>
      </c>
      <c r="GF398" s="9" t="n">
        <v>960</v>
      </c>
      <c r="GJ398" s="10" t="n">
        <v>46359</v>
      </c>
      <c r="GL398" s="9" t="n">
        <v>0</v>
      </c>
      <c r="GN398" s="9" t="n">
        <v>0</v>
      </c>
      <c r="GO398" s="9" t="n">
        <v>1760</v>
      </c>
      <c r="GS398" s="10" t="n">
        <v>46359</v>
      </c>
      <c r="GU398" s="9" t="n">
        <v>0</v>
      </c>
      <c r="GW398" s="9" t="n">
        <v>0</v>
      </c>
      <c r="GX398" s="9" t="n">
        <v>400</v>
      </c>
      <c r="HB398" s="10" t="n">
        <v>46359</v>
      </c>
      <c r="HD398" s="9" t="n">
        <v>0</v>
      </c>
      <c r="HF398" s="9" t="n">
        <v>0</v>
      </c>
      <c r="HG398" s="9" t="n">
        <v>3600</v>
      </c>
      <c r="HK398" s="10" t="n">
        <v>46359</v>
      </c>
      <c r="HM398" s="9" t="n">
        <v>0</v>
      </c>
      <c r="HO398" s="9" t="n">
        <v>0</v>
      </c>
      <c r="HP398" s="9" t="n">
        <v>0</v>
      </c>
      <c r="HU398" s="10" t="n">
        <v>46359</v>
      </c>
      <c r="HW398" s="9" t="n">
        <v>0</v>
      </c>
      <c r="HY398" s="9" t="n">
        <v>0</v>
      </c>
      <c r="HZ398" s="9" t="n">
        <v>6120</v>
      </c>
      <c r="ID398" s="10" t="n">
        <v>46359</v>
      </c>
      <c r="IF398" s="9" t="n">
        <v>0</v>
      </c>
      <c r="IH398" s="9" t="n">
        <v>0</v>
      </c>
      <c r="II398" s="9" t="n">
        <v>0</v>
      </c>
      <c r="IM398" s="10" t="n">
        <v>46359</v>
      </c>
      <c r="IO398" s="9" t="n">
        <v>0</v>
      </c>
      <c r="IQ398" s="9" t="n">
        <v>0</v>
      </c>
      <c r="IR398" s="9" t="n">
        <v>0</v>
      </c>
      <c r="IV398" s="10" t="n">
        <v>46359</v>
      </c>
      <c r="IX398" s="9" t="n">
        <v>0</v>
      </c>
      <c r="IZ398" s="9" t="n">
        <v>0</v>
      </c>
      <c r="JA398" s="9" t="n">
        <v>2820</v>
      </c>
      <c r="JE398" s="10" t="n">
        <v>46359</v>
      </c>
      <c r="JG398" s="9" t="n">
        <v>0</v>
      </c>
      <c r="JI398" s="9" t="n">
        <v>0</v>
      </c>
      <c r="JJ398" s="9" t="n">
        <v>0</v>
      </c>
      <c r="JN398" s="10" t="n">
        <v>46359</v>
      </c>
      <c r="JP398" s="9" t="n">
        <v>0</v>
      </c>
      <c r="JR398" s="9" t="n">
        <v>0</v>
      </c>
      <c r="JS398" s="9" t="n">
        <v>0</v>
      </c>
      <c r="JW398" s="10" t="n">
        <v>46359</v>
      </c>
      <c r="JY398" s="9" t="n">
        <v>0</v>
      </c>
      <c r="KA398" s="9" t="n">
        <v>0</v>
      </c>
      <c r="KB398" s="9" t="n">
        <v>2540</v>
      </c>
      <c r="KF398" s="10" t="n">
        <v>46359</v>
      </c>
      <c r="KH398" s="9" t="n">
        <v>0</v>
      </c>
      <c r="KJ398" s="9" t="n">
        <v>0</v>
      </c>
      <c r="KK398" s="9" t="n">
        <v>2359.5</v>
      </c>
      <c r="KO398" s="10" t="n">
        <v>46359</v>
      </c>
      <c r="KQ398" s="9" t="n">
        <v>0</v>
      </c>
      <c r="KS398" s="9" t="n">
        <v>0</v>
      </c>
      <c r="KT398" s="9" t="n">
        <v>1890</v>
      </c>
      <c r="KX398" s="10" t="n">
        <v>46359</v>
      </c>
      <c r="KZ398" s="9" t="n">
        <v>0</v>
      </c>
      <c r="LB398" s="9" t="n">
        <v>0</v>
      </c>
      <c r="LC398" s="9" t="n">
        <v>3690</v>
      </c>
      <c r="LG398" s="10" t="n">
        <v>46359</v>
      </c>
      <c r="LI398" s="9" t="n">
        <v>0</v>
      </c>
      <c r="LK398" s="9" t="n">
        <v>0</v>
      </c>
      <c r="LL398" s="9" t="n">
        <v>4000</v>
      </c>
      <c r="LP398" s="10" t="n">
        <v>46359</v>
      </c>
      <c r="LR398" s="9" t="n">
        <v>0</v>
      </c>
      <c r="LT398" s="9" t="n">
        <v>0</v>
      </c>
      <c r="LU398" s="9" t="n">
        <v>0</v>
      </c>
      <c r="LY398" s="10" t="n">
        <v>46359</v>
      </c>
      <c r="MA398" s="9" t="n">
        <v>0</v>
      </c>
      <c r="MC398" s="9" t="n">
        <v>0</v>
      </c>
      <c r="MD398" s="9" t="n">
        <v>0</v>
      </c>
      <c r="MH398" s="10" t="n">
        <v>46359</v>
      </c>
      <c r="MJ398" s="9" t="n">
        <v>0</v>
      </c>
      <c r="ML398" s="9" t="n">
        <v>0</v>
      </c>
      <c r="MM398" s="9" t="n">
        <v>0</v>
      </c>
      <c r="MQ398" s="10" t="n">
        <v>46359</v>
      </c>
      <c r="MS398" s="9" t="n">
        <v>0</v>
      </c>
      <c r="MU398" s="9" t="n">
        <v>0</v>
      </c>
      <c r="MV398" s="9" t="n">
        <v>1625</v>
      </c>
      <c r="MZ398" s="10" t="n">
        <v>46359</v>
      </c>
      <c r="NB398" s="9" t="n">
        <v>0</v>
      </c>
      <c r="ND398" s="9" t="n">
        <v>0</v>
      </c>
      <c r="NE398" s="9" t="n">
        <v>0</v>
      </c>
      <c r="NI398" s="10" t="n">
        <v>46359</v>
      </c>
      <c r="NK398" s="9" t="n">
        <v>0</v>
      </c>
      <c r="NM398" s="9" t="n">
        <v>0</v>
      </c>
      <c r="NN398" s="9" t="n">
        <v>1127</v>
      </c>
      <c r="NR398" s="10" t="n">
        <v>46359</v>
      </c>
      <c r="NT398" s="9" t="n">
        <v>0</v>
      </c>
      <c r="NV398" s="9" t="n">
        <v>0</v>
      </c>
      <c r="NW398" s="9" t="n">
        <v>3112</v>
      </c>
      <c r="OA398" s="10" t="n">
        <v>46359</v>
      </c>
      <c r="OC398" s="9" t="n">
        <v>0</v>
      </c>
      <c r="OE398" s="9" t="n">
        <v>0</v>
      </c>
      <c r="OF398" s="9" t="n">
        <v>1680.5</v>
      </c>
      <c r="OJ398" s="10" t="n">
        <v>46359</v>
      </c>
      <c r="OL398" s="9" t="n">
        <v>0</v>
      </c>
      <c r="ON398" s="9" t="n">
        <v>0</v>
      </c>
      <c r="OO398" s="9" t="n">
        <v>0</v>
      </c>
      <c r="OS398" s="10" t="n">
        <v>46359</v>
      </c>
      <c r="OU398" s="9" t="n">
        <v>0</v>
      </c>
      <c r="OW398" s="9" t="n">
        <v>0</v>
      </c>
      <c r="OX398" s="9" t="n">
        <v>1482</v>
      </c>
      <c r="PB398" s="10" t="n">
        <v>46359</v>
      </c>
      <c r="PD398" s="9" t="n">
        <v>0</v>
      </c>
      <c r="PF398" s="9" t="n">
        <v>0</v>
      </c>
      <c r="PG398" s="9" t="n">
        <v>0</v>
      </c>
      <c r="PK398" s="10" t="n">
        <v>46359</v>
      </c>
      <c r="PM398" s="9" t="n">
        <v>0</v>
      </c>
      <c r="PO398" s="9" t="n">
        <v>0</v>
      </c>
      <c r="PP398" s="9" t="n">
        <v>100</v>
      </c>
      <c r="PT398" s="10" t="n">
        <v>46359</v>
      </c>
      <c r="PV398" s="9" t="n">
        <v>0</v>
      </c>
      <c r="PX398" s="9" t="n">
        <v>0</v>
      </c>
      <c r="PY398" s="9" t="n">
        <v>13.96000000000004</v>
      </c>
      <c r="QC398" s="10" t="n">
        <v>46359</v>
      </c>
      <c r="QE398" s="9" t="n">
        <v>0</v>
      </c>
      <c r="QG398" s="9" t="n">
        <v>0</v>
      </c>
      <c r="QH398" s="9" t="n">
        <v>548</v>
      </c>
      <c r="QL398" s="10" t="n">
        <v>46359</v>
      </c>
      <c r="QN398" s="9" t="n">
        <v>0</v>
      </c>
      <c r="QP398" s="9" t="n">
        <v>0</v>
      </c>
      <c r="QQ398" s="9" t="n">
        <v>0</v>
      </c>
      <c r="QU398" s="10" t="n">
        <v>46359</v>
      </c>
      <c r="QW398" s="9" t="n">
        <v>0</v>
      </c>
      <c r="QY398" s="9" t="n">
        <v>0</v>
      </c>
      <c r="QZ398" s="9" t="n">
        <v>0</v>
      </c>
      <c r="RD398" s="10" t="n">
        <v>46359</v>
      </c>
      <c r="RF398" s="9" t="n">
        <v>0</v>
      </c>
      <c r="RH398" s="9" t="n">
        <v>0</v>
      </c>
      <c r="RI398" s="9" t="n">
        <v>147.04</v>
      </c>
      <c r="RM398" s="10" t="n">
        <v>46359</v>
      </c>
      <c r="RO398" s="9" t="n">
        <v>0</v>
      </c>
      <c r="RQ398" s="9" t="n">
        <v>0</v>
      </c>
      <c r="RR398" s="9" t="n">
        <v>46.8</v>
      </c>
      <c r="RV398" s="10" t="n">
        <v>46359</v>
      </c>
      <c r="RX398" s="9" t="n">
        <v>0</v>
      </c>
      <c r="RZ398" s="9" t="n">
        <v>0</v>
      </c>
      <c r="SA398" s="9" t="n">
        <v>0</v>
      </c>
      <c r="SE398" s="10" t="n">
        <v>46359</v>
      </c>
      <c r="SG398" s="9" t="n">
        <v>0</v>
      </c>
      <c r="SI398" s="9" t="n">
        <v>0</v>
      </c>
      <c r="SJ398" s="9" t="n">
        <v>24.2</v>
      </c>
      <c r="SN398" s="10" t="n">
        <v>46359</v>
      </c>
      <c r="SP398" s="9" t="n">
        <v>0</v>
      </c>
      <c r="SR398" s="9" t="n">
        <v>0</v>
      </c>
      <c r="SS398" s="9" t="n">
        <v>32</v>
      </c>
      <c r="SW398" s="10" t="n">
        <v>46359</v>
      </c>
      <c r="SY398" s="9" t="n">
        <v>0</v>
      </c>
      <c r="TA398" s="9" t="n">
        <v>0</v>
      </c>
      <c r="TB398" s="9" t="n">
        <v>0</v>
      </c>
      <c r="TF398" s="10" t="n">
        <v>46359</v>
      </c>
      <c r="TH398" s="9" t="n">
        <v>0</v>
      </c>
      <c r="TJ398" s="9" t="n">
        <v>0</v>
      </c>
      <c r="TK398" s="9" t="n">
        <v>0</v>
      </c>
      <c r="TO398" s="10" t="n">
        <v>46359</v>
      </c>
      <c r="TQ398" s="9" t="n">
        <v>0</v>
      </c>
      <c r="TS398" s="9" t="n">
        <v>0</v>
      </c>
      <c r="TT398" s="9" t="n">
        <v>0</v>
      </c>
      <c r="TX398" s="10" t="n">
        <v>46359</v>
      </c>
      <c r="TZ398" s="9" t="n">
        <v>0</v>
      </c>
      <c r="UB398" s="9" t="n">
        <v>0</v>
      </c>
      <c r="UC398" s="9" t="n">
        <v>46.79999999999998</v>
      </c>
      <c r="UG398" s="10" t="n">
        <v>46359</v>
      </c>
      <c r="UI398" s="9" t="n">
        <v>0</v>
      </c>
      <c r="UK398" s="9" t="n">
        <v>0</v>
      </c>
      <c r="UL398" s="9" t="n">
        <v>204</v>
      </c>
      <c r="UP398" s="10" t="n">
        <v>46359</v>
      </c>
      <c r="UR398" s="9" t="n">
        <v>0</v>
      </c>
      <c r="UT398" s="9" t="n">
        <v>0</v>
      </c>
      <c r="UU398" s="9" t="n">
        <v>202.5</v>
      </c>
      <c r="UY398" s="10" t="n">
        <v>46359</v>
      </c>
      <c r="VA398" s="9" t="n">
        <v>0</v>
      </c>
      <c r="VC398" s="9" t="n">
        <v>0</v>
      </c>
      <c r="VD398" s="9" t="n">
        <v>41.60000000000002</v>
      </c>
      <c r="VH398" s="10" t="n">
        <v>46359</v>
      </c>
      <c r="VJ398" s="9" t="n">
        <v>0</v>
      </c>
      <c r="VL398" s="9" t="n">
        <v>0</v>
      </c>
      <c r="VM398" s="9" t="n">
        <v>210</v>
      </c>
      <c r="VQ398" s="10" t="n">
        <v>46359</v>
      </c>
      <c r="VS398" s="9" t="n">
        <v>0</v>
      </c>
      <c r="VU398" s="9" t="n">
        <v>0</v>
      </c>
      <c r="VV398" s="9" t="n">
        <v>0</v>
      </c>
      <c r="VZ398" s="10" t="n">
        <v>46359</v>
      </c>
      <c r="WB398" s="9" t="n">
        <v>0</v>
      </c>
      <c r="WD398" s="9" t="n">
        <v>0</v>
      </c>
      <c r="WE398" s="9" t="n">
        <v>0</v>
      </c>
      <c r="WI398" s="10" t="n">
        <v>46359</v>
      </c>
      <c r="WK398" s="9" t="n">
        <v>0</v>
      </c>
      <c r="WM398" s="9" t="n">
        <v>0</v>
      </c>
      <c r="WN398" s="9" t="n">
        <v>1057</v>
      </c>
      <c r="WR398" s="10" t="n">
        <v>46359</v>
      </c>
      <c r="WT398" s="9" t="n">
        <v>0</v>
      </c>
      <c r="WV398" s="9" t="n">
        <v>0</v>
      </c>
      <c r="WW398" s="9" t="n">
        <v>0</v>
      </c>
      <c r="XA398" s="10" t="n">
        <v>46359</v>
      </c>
      <c r="XC398" s="9" t="n">
        <v>0</v>
      </c>
      <c r="XE398" s="9" t="n">
        <v>0</v>
      </c>
      <c r="XF398" s="9" t="n">
        <v>7507</v>
      </c>
      <c r="XJ398" s="10" t="n">
        <v>46359</v>
      </c>
      <c r="XL398" s="9" t="n">
        <v>0</v>
      </c>
      <c r="XN398" s="9" t="n">
        <v>0</v>
      </c>
      <c r="XO398" s="9" t="n">
        <v>4252</v>
      </c>
      <c r="XS398" s="10" t="n">
        <v>46359</v>
      </c>
      <c r="XU398" s="9" t="n">
        <v>0</v>
      </c>
      <c r="XW398" s="9" t="n">
        <v>0</v>
      </c>
      <c r="XX398" s="9" t="n">
        <v>2179</v>
      </c>
      <c r="YB398" s="10" t="n">
        <v>46359</v>
      </c>
      <c r="YD398" s="9" t="n">
        <v>0</v>
      </c>
      <c r="YF398" s="9" t="n">
        <v>0</v>
      </c>
      <c r="YG398" s="9" t="n">
        <v>4019</v>
      </c>
      <c r="YK398" s="10" t="n">
        <v>46359</v>
      </c>
      <c r="YM398" s="9" t="n">
        <v>0</v>
      </c>
      <c r="YO398" s="9" t="n">
        <v>0</v>
      </c>
      <c r="YP398" s="9" t="n">
        <v>-218</v>
      </c>
      <c r="YT398" s="10" t="n">
        <v>46359</v>
      </c>
      <c r="YV398" s="9" t="n">
        <v>0</v>
      </c>
      <c r="YX398" s="9" t="n">
        <v>0</v>
      </c>
      <c r="YY398" s="9" t="n">
        <v>0</v>
      </c>
      <c r="ZC398" s="10" t="n">
        <v>46359</v>
      </c>
      <c r="ZE398" s="9" t="n">
        <v>0</v>
      </c>
      <c r="ZG398" s="9" t="n">
        <v>0</v>
      </c>
      <c r="ZH398" s="9" t="n">
        <v>0</v>
      </c>
      <c r="ZL398" s="10" t="n">
        <v>46359</v>
      </c>
      <c r="ZN398" s="9" t="n">
        <v>0</v>
      </c>
      <c r="ZP398" s="9" t="n">
        <v>0</v>
      </c>
      <c r="ZQ398" s="9" t="n">
        <v>0</v>
      </c>
      <c r="ZU398" s="10" t="n">
        <v>46359</v>
      </c>
      <c r="ZW398" s="9" t="n">
        <v>0</v>
      </c>
      <c r="ZY398" s="9" t="n">
        <v>0</v>
      </c>
      <c r="ZZ398" s="9" t="n">
        <v>0</v>
      </c>
      <c r="AAD398" s="10" t="n">
        <v>46359</v>
      </c>
      <c r="AAF398" s="9" t="n">
        <v>0</v>
      </c>
      <c r="AAH398" s="9" t="n">
        <v>0</v>
      </c>
      <c r="AAI398" s="9" t="n">
        <v>0</v>
      </c>
      <c r="AAM398" s="10" t="n">
        <v>46359</v>
      </c>
      <c r="AAO398" s="9" t="n">
        <v>0</v>
      </c>
      <c r="AAQ398" s="9" t="n">
        <v>0</v>
      </c>
      <c r="AAR398" s="9" t="n">
        <v>0</v>
      </c>
      <c r="AAV398" s="10" t="n">
        <v>46359</v>
      </c>
      <c r="AAX398" s="9" t="n">
        <v>0</v>
      </c>
      <c r="AAZ398" s="9" t="n">
        <v>0</v>
      </c>
      <c r="ABA398" s="9" t="n">
        <v>0</v>
      </c>
      <c r="ABE398" s="10" t="n">
        <v>46359</v>
      </c>
      <c r="ABG398" s="9" t="n">
        <v>0</v>
      </c>
      <c r="ABI398" s="9" t="n">
        <v>0</v>
      </c>
      <c r="ABJ398" s="9" t="n">
        <v>0</v>
      </c>
    </row>
    <row r="399">
      <c r="C399" s="10" t="n">
        <v>46360</v>
      </c>
      <c r="E399" s="9" t="n">
        <v>0</v>
      </c>
      <c r="G399" s="9" t="n">
        <v>0</v>
      </c>
      <c r="H399" s="9" t="n">
        <v>236936.6</v>
      </c>
      <c r="L399" s="10" t="n">
        <v>46360</v>
      </c>
      <c r="N399" s="9" t="n">
        <v>0</v>
      </c>
      <c r="P399" s="9" t="n">
        <v>0</v>
      </c>
      <c r="Q399" s="9" t="n">
        <v>53017.60000000007</v>
      </c>
      <c r="U399" s="10" t="n">
        <v>46360</v>
      </c>
      <c r="W399" s="9" t="n">
        <v>0</v>
      </c>
      <c r="Y399" s="9" t="n">
        <v>0</v>
      </c>
      <c r="Z399" s="9" t="n">
        <v>42674.19999999997</v>
      </c>
      <c r="AD399" s="10" t="n">
        <v>46360</v>
      </c>
      <c r="AF399" s="9" t="n">
        <v>0</v>
      </c>
      <c r="AH399" s="9" t="n">
        <v>0</v>
      </c>
      <c r="AI399" s="9" t="n">
        <v>4522.200000000019</v>
      </c>
      <c r="AM399" s="10" t="n">
        <v>46360</v>
      </c>
      <c r="AO399" s="9" t="n">
        <v>0</v>
      </c>
      <c r="AQ399" s="9" t="n">
        <v>0</v>
      </c>
      <c r="AR399" s="9" t="n">
        <v>0</v>
      </c>
      <c r="AV399" s="10" t="n">
        <v>46360</v>
      </c>
      <c r="AX399" s="9" t="n">
        <v>0</v>
      </c>
      <c r="AZ399" s="9" t="n">
        <v>0</v>
      </c>
      <c r="BA399" s="9" t="n">
        <v>124.9999999999952</v>
      </c>
      <c r="BE399" s="10" t="n">
        <v>46360</v>
      </c>
      <c r="BG399" s="9" t="n">
        <v>0</v>
      </c>
      <c r="BI399" s="9" t="n">
        <v>0</v>
      </c>
      <c r="BJ399" s="9" t="n">
        <v>26151.9</v>
      </c>
      <c r="BN399" s="10" t="n">
        <v>46360</v>
      </c>
      <c r="BP399" s="9" t="n">
        <v>0</v>
      </c>
      <c r="BR399" s="9" t="n">
        <v>0</v>
      </c>
      <c r="BS399" s="9" t="n">
        <v>0</v>
      </c>
      <c r="BW399" s="10" t="n">
        <v>46360</v>
      </c>
      <c r="BY399" s="9" t="n">
        <v>0</v>
      </c>
      <c r="CA399" s="9" t="n">
        <v>0</v>
      </c>
      <c r="CB399" s="9" t="n">
        <v>2097.339999999999</v>
      </c>
      <c r="CF399" s="10" t="n">
        <v>46360</v>
      </c>
      <c r="CH399" s="9" t="n">
        <v>0</v>
      </c>
      <c r="CJ399" s="9" t="n">
        <v>0</v>
      </c>
      <c r="CK399" s="9" t="n">
        <v>-10277.08</v>
      </c>
      <c r="CO399" s="10" t="n">
        <v>46360</v>
      </c>
      <c r="CQ399" s="9" t="n">
        <v>0</v>
      </c>
      <c r="CS399" s="9" t="n">
        <v>0</v>
      </c>
      <c r="CT399" s="9" t="n">
        <v>0</v>
      </c>
      <c r="CX399" s="10" t="n">
        <v>46360</v>
      </c>
      <c r="CZ399" s="9" t="n">
        <v>0</v>
      </c>
      <c r="DB399" s="9" t="n">
        <v>0</v>
      </c>
      <c r="DC399" s="9" t="n">
        <v>27438.20000000001</v>
      </c>
      <c r="DG399" s="10" t="n">
        <v>46360</v>
      </c>
      <c r="DI399" s="9" t="n">
        <v>0</v>
      </c>
      <c r="DK399" s="9" t="n">
        <v>0</v>
      </c>
      <c r="DL399" s="9" t="n">
        <v>18782.29999999998</v>
      </c>
      <c r="DP399" s="10" t="n">
        <v>46360</v>
      </c>
      <c r="DR399" s="9" t="n">
        <v>0</v>
      </c>
      <c r="DT399" s="9" t="n">
        <v>0</v>
      </c>
      <c r="DU399" s="9" t="n">
        <v>5800</v>
      </c>
      <c r="DY399" s="10" t="n">
        <v>46360</v>
      </c>
      <c r="EA399" s="9" t="n">
        <v>0</v>
      </c>
      <c r="EC399" s="9" t="n">
        <v>0</v>
      </c>
      <c r="ED399" s="9" t="n">
        <v>0</v>
      </c>
      <c r="EH399" s="10" t="n">
        <v>46360</v>
      </c>
      <c r="EJ399" s="9" t="n">
        <v>0</v>
      </c>
      <c r="EL399" s="9" t="n">
        <v>0</v>
      </c>
      <c r="EM399" s="9" t="n">
        <v>0</v>
      </c>
      <c r="EQ399" s="10" t="n">
        <v>46360</v>
      </c>
      <c r="ES399" s="9" t="n">
        <v>0</v>
      </c>
      <c r="EU399" s="9" t="n">
        <v>0</v>
      </c>
      <c r="EV399" s="9" t="n">
        <v>0</v>
      </c>
      <c r="EZ399" s="10" t="n">
        <v>46360</v>
      </c>
      <c r="FB399" s="9" t="n">
        <v>0</v>
      </c>
      <c r="FD399" s="9" t="n">
        <v>0</v>
      </c>
      <c r="FE399" s="9" t="n">
        <v>0</v>
      </c>
      <c r="FI399" s="10" t="n">
        <v>46360</v>
      </c>
      <c r="FK399" s="9" t="n">
        <v>0</v>
      </c>
      <c r="FM399" s="9" t="n">
        <v>0</v>
      </c>
      <c r="FN399" s="9" t="n">
        <v>0</v>
      </c>
      <c r="FR399" s="10" t="n">
        <v>46360</v>
      </c>
      <c r="FT399" s="9" t="n">
        <v>0</v>
      </c>
      <c r="FV399" s="9" t="n">
        <v>0</v>
      </c>
      <c r="FW399" s="9" t="n">
        <v>2020</v>
      </c>
      <c r="GA399" s="10" t="n">
        <v>46360</v>
      </c>
      <c r="GC399" s="9" t="n">
        <v>0</v>
      </c>
      <c r="GE399" s="9" t="n">
        <v>0</v>
      </c>
      <c r="GF399" s="9" t="n">
        <v>960</v>
      </c>
      <c r="GJ399" s="10" t="n">
        <v>46360</v>
      </c>
      <c r="GL399" s="9" t="n">
        <v>0</v>
      </c>
      <c r="GN399" s="9" t="n">
        <v>0</v>
      </c>
      <c r="GO399" s="9" t="n">
        <v>1760</v>
      </c>
      <c r="GS399" s="10" t="n">
        <v>46360</v>
      </c>
      <c r="GU399" s="9" t="n">
        <v>0</v>
      </c>
      <c r="GW399" s="9" t="n">
        <v>0</v>
      </c>
      <c r="GX399" s="9" t="n">
        <v>400</v>
      </c>
      <c r="HB399" s="10" t="n">
        <v>46360</v>
      </c>
      <c r="HD399" s="9" t="n">
        <v>0</v>
      </c>
      <c r="HF399" s="9" t="n">
        <v>0</v>
      </c>
      <c r="HG399" s="9" t="n">
        <v>3600</v>
      </c>
      <c r="HK399" s="10" t="n">
        <v>46360</v>
      </c>
      <c r="HM399" s="9" t="n">
        <v>0</v>
      </c>
      <c r="HO399" s="9" t="n">
        <v>0</v>
      </c>
      <c r="HP399" s="9" t="n">
        <v>0</v>
      </c>
      <c r="HU399" s="10" t="n">
        <v>46360</v>
      </c>
      <c r="HW399" s="9" t="n">
        <v>0</v>
      </c>
      <c r="HY399" s="9" t="n">
        <v>0</v>
      </c>
      <c r="HZ399" s="9" t="n">
        <v>6120</v>
      </c>
      <c r="ID399" s="10" t="n">
        <v>46360</v>
      </c>
      <c r="IF399" s="9" t="n">
        <v>0</v>
      </c>
      <c r="IH399" s="9" t="n">
        <v>0</v>
      </c>
      <c r="II399" s="9" t="n">
        <v>0</v>
      </c>
      <c r="IM399" s="10" t="n">
        <v>46360</v>
      </c>
      <c r="IO399" s="9" t="n">
        <v>0</v>
      </c>
      <c r="IQ399" s="9" t="n">
        <v>0</v>
      </c>
      <c r="IR399" s="9" t="n">
        <v>0</v>
      </c>
      <c r="IV399" s="10" t="n">
        <v>46360</v>
      </c>
      <c r="IX399" s="9" t="n">
        <v>0</v>
      </c>
      <c r="IZ399" s="9" t="n">
        <v>0</v>
      </c>
      <c r="JA399" s="9" t="n">
        <v>2820</v>
      </c>
      <c r="JE399" s="10" t="n">
        <v>46360</v>
      </c>
      <c r="JG399" s="9" t="n">
        <v>0</v>
      </c>
      <c r="JI399" s="9" t="n">
        <v>0</v>
      </c>
      <c r="JJ399" s="9" t="n">
        <v>0</v>
      </c>
      <c r="JN399" s="10" t="n">
        <v>46360</v>
      </c>
      <c r="JP399" s="9" t="n">
        <v>0</v>
      </c>
      <c r="JR399" s="9" t="n">
        <v>0</v>
      </c>
      <c r="JS399" s="9" t="n">
        <v>0</v>
      </c>
      <c r="JW399" s="10" t="n">
        <v>46360</v>
      </c>
      <c r="JY399" s="9" t="n">
        <v>0</v>
      </c>
      <c r="KA399" s="9" t="n">
        <v>0</v>
      </c>
      <c r="KB399" s="9" t="n">
        <v>2540</v>
      </c>
      <c r="KF399" s="10" t="n">
        <v>46360</v>
      </c>
      <c r="KH399" s="9" t="n">
        <v>0</v>
      </c>
      <c r="KJ399" s="9" t="n">
        <v>0</v>
      </c>
      <c r="KK399" s="9" t="n">
        <v>2359.5</v>
      </c>
      <c r="KO399" s="10" t="n">
        <v>46360</v>
      </c>
      <c r="KQ399" s="9" t="n">
        <v>0</v>
      </c>
      <c r="KS399" s="9" t="n">
        <v>0</v>
      </c>
      <c r="KT399" s="9" t="n">
        <v>1890</v>
      </c>
      <c r="KX399" s="10" t="n">
        <v>46360</v>
      </c>
      <c r="KZ399" s="9" t="n">
        <v>0</v>
      </c>
      <c r="LB399" s="9" t="n">
        <v>0</v>
      </c>
      <c r="LC399" s="9" t="n">
        <v>3690</v>
      </c>
      <c r="LG399" s="10" t="n">
        <v>46360</v>
      </c>
      <c r="LI399" s="9" t="n">
        <v>0</v>
      </c>
      <c r="LK399" s="9" t="n">
        <v>0</v>
      </c>
      <c r="LL399" s="9" t="n">
        <v>4000</v>
      </c>
      <c r="LP399" s="10" t="n">
        <v>46360</v>
      </c>
      <c r="LR399" s="9" t="n">
        <v>0</v>
      </c>
      <c r="LT399" s="9" t="n">
        <v>0</v>
      </c>
      <c r="LU399" s="9" t="n">
        <v>0</v>
      </c>
      <c r="LY399" s="10" t="n">
        <v>46360</v>
      </c>
      <c r="MA399" s="9" t="n">
        <v>0</v>
      </c>
      <c r="MC399" s="9" t="n">
        <v>0</v>
      </c>
      <c r="MD399" s="9" t="n">
        <v>0</v>
      </c>
      <c r="MH399" s="10" t="n">
        <v>46360</v>
      </c>
      <c r="MJ399" s="9" t="n">
        <v>0</v>
      </c>
      <c r="ML399" s="9" t="n">
        <v>0</v>
      </c>
      <c r="MM399" s="9" t="n">
        <v>0</v>
      </c>
      <c r="MQ399" s="10" t="n">
        <v>46360</v>
      </c>
      <c r="MS399" s="9" t="n">
        <v>0</v>
      </c>
      <c r="MU399" s="9" t="n">
        <v>0</v>
      </c>
      <c r="MV399" s="9" t="n">
        <v>1625</v>
      </c>
      <c r="MZ399" s="10" t="n">
        <v>46360</v>
      </c>
      <c r="NB399" s="9" t="n">
        <v>0</v>
      </c>
      <c r="ND399" s="9" t="n">
        <v>0</v>
      </c>
      <c r="NE399" s="9" t="n">
        <v>0</v>
      </c>
      <c r="NI399" s="10" t="n">
        <v>46360</v>
      </c>
      <c r="NK399" s="9" t="n">
        <v>0</v>
      </c>
      <c r="NM399" s="9" t="n">
        <v>0</v>
      </c>
      <c r="NN399" s="9" t="n">
        <v>1127</v>
      </c>
      <c r="NR399" s="10" t="n">
        <v>46360</v>
      </c>
      <c r="NT399" s="9" t="n">
        <v>0</v>
      </c>
      <c r="NV399" s="9" t="n">
        <v>0</v>
      </c>
      <c r="NW399" s="9" t="n">
        <v>3112</v>
      </c>
      <c r="OA399" s="10" t="n">
        <v>46360</v>
      </c>
      <c r="OC399" s="9" t="n">
        <v>0</v>
      </c>
      <c r="OE399" s="9" t="n">
        <v>0</v>
      </c>
      <c r="OF399" s="9" t="n">
        <v>1680.5</v>
      </c>
      <c r="OJ399" s="10" t="n">
        <v>46360</v>
      </c>
      <c r="OL399" s="9" t="n">
        <v>0</v>
      </c>
      <c r="ON399" s="9" t="n">
        <v>0</v>
      </c>
      <c r="OO399" s="9" t="n">
        <v>0</v>
      </c>
      <c r="OS399" s="10" t="n">
        <v>46360</v>
      </c>
      <c r="OU399" s="9" t="n">
        <v>0</v>
      </c>
      <c r="OW399" s="9" t="n">
        <v>0</v>
      </c>
      <c r="OX399" s="9" t="n">
        <v>1482</v>
      </c>
      <c r="PB399" s="10" t="n">
        <v>46360</v>
      </c>
      <c r="PD399" s="9" t="n">
        <v>0</v>
      </c>
      <c r="PF399" s="9" t="n">
        <v>0</v>
      </c>
      <c r="PG399" s="9" t="n">
        <v>0</v>
      </c>
      <c r="PK399" s="10" t="n">
        <v>46360</v>
      </c>
      <c r="PM399" s="9" t="n">
        <v>0</v>
      </c>
      <c r="PO399" s="9" t="n">
        <v>0</v>
      </c>
      <c r="PP399" s="9" t="n">
        <v>100</v>
      </c>
      <c r="PT399" s="10" t="n">
        <v>46360</v>
      </c>
      <c r="PV399" s="9" t="n">
        <v>0</v>
      </c>
      <c r="PX399" s="9" t="n">
        <v>0</v>
      </c>
      <c r="PY399" s="9" t="n">
        <v>13.96000000000004</v>
      </c>
      <c r="QC399" s="10" t="n">
        <v>46360</v>
      </c>
      <c r="QE399" s="9" t="n">
        <v>0</v>
      </c>
      <c r="QG399" s="9" t="n">
        <v>0</v>
      </c>
      <c r="QH399" s="9" t="n">
        <v>548</v>
      </c>
      <c r="QL399" s="10" t="n">
        <v>46360</v>
      </c>
      <c r="QN399" s="9" t="n">
        <v>0</v>
      </c>
      <c r="QP399" s="9" t="n">
        <v>0</v>
      </c>
      <c r="QQ399" s="9" t="n">
        <v>0</v>
      </c>
      <c r="QU399" s="10" t="n">
        <v>46360</v>
      </c>
      <c r="QW399" s="9" t="n">
        <v>0</v>
      </c>
      <c r="QY399" s="9" t="n">
        <v>0</v>
      </c>
      <c r="QZ399" s="9" t="n">
        <v>0</v>
      </c>
      <c r="RD399" s="10" t="n">
        <v>46360</v>
      </c>
      <c r="RF399" s="9" t="n">
        <v>0</v>
      </c>
      <c r="RH399" s="9" t="n">
        <v>0</v>
      </c>
      <c r="RI399" s="9" t="n">
        <v>147.04</v>
      </c>
      <c r="RM399" s="10" t="n">
        <v>46360</v>
      </c>
      <c r="RO399" s="9" t="n">
        <v>0</v>
      </c>
      <c r="RQ399" s="9" t="n">
        <v>0</v>
      </c>
      <c r="RR399" s="9" t="n">
        <v>46.8</v>
      </c>
      <c r="RV399" s="10" t="n">
        <v>46360</v>
      </c>
      <c r="RX399" s="9" t="n">
        <v>0</v>
      </c>
      <c r="RZ399" s="9" t="n">
        <v>0</v>
      </c>
      <c r="SA399" s="9" t="n">
        <v>0</v>
      </c>
      <c r="SE399" s="10" t="n">
        <v>46360</v>
      </c>
      <c r="SG399" s="9" t="n">
        <v>0</v>
      </c>
      <c r="SI399" s="9" t="n">
        <v>0</v>
      </c>
      <c r="SJ399" s="9" t="n">
        <v>24.2</v>
      </c>
      <c r="SN399" s="10" t="n">
        <v>46360</v>
      </c>
      <c r="SP399" s="9" t="n">
        <v>0</v>
      </c>
      <c r="SR399" s="9" t="n">
        <v>0</v>
      </c>
      <c r="SS399" s="9" t="n">
        <v>32</v>
      </c>
      <c r="SW399" s="10" t="n">
        <v>46360</v>
      </c>
      <c r="SY399" s="9" t="n">
        <v>0</v>
      </c>
      <c r="TA399" s="9" t="n">
        <v>0</v>
      </c>
      <c r="TB399" s="9" t="n">
        <v>0</v>
      </c>
      <c r="TF399" s="10" t="n">
        <v>46360</v>
      </c>
      <c r="TH399" s="9" t="n">
        <v>0</v>
      </c>
      <c r="TJ399" s="9" t="n">
        <v>0</v>
      </c>
      <c r="TK399" s="9" t="n">
        <v>0</v>
      </c>
      <c r="TO399" s="10" t="n">
        <v>46360</v>
      </c>
      <c r="TQ399" s="9" t="n">
        <v>0</v>
      </c>
      <c r="TS399" s="9" t="n">
        <v>0</v>
      </c>
      <c r="TT399" s="9" t="n">
        <v>0</v>
      </c>
      <c r="TX399" s="10" t="n">
        <v>46360</v>
      </c>
      <c r="TZ399" s="9" t="n">
        <v>0</v>
      </c>
      <c r="UB399" s="9" t="n">
        <v>0</v>
      </c>
      <c r="UC399" s="9" t="n">
        <v>46.79999999999998</v>
      </c>
      <c r="UG399" s="10" t="n">
        <v>46360</v>
      </c>
      <c r="UI399" s="9" t="n">
        <v>0</v>
      </c>
      <c r="UK399" s="9" t="n">
        <v>0</v>
      </c>
      <c r="UL399" s="9" t="n">
        <v>204</v>
      </c>
      <c r="UP399" s="10" t="n">
        <v>46360</v>
      </c>
      <c r="UR399" s="9" t="n">
        <v>0</v>
      </c>
      <c r="UT399" s="9" t="n">
        <v>0</v>
      </c>
      <c r="UU399" s="9" t="n">
        <v>202.5</v>
      </c>
      <c r="UY399" s="10" t="n">
        <v>46360</v>
      </c>
      <c r="VA399" s="9" t="n">
        <v>0</v>
      </c>
      <c r="VC399" s="9" t="n">
        <v>0</v>
      </c>
      <c r="VD399" s="9" t="n">
        <v>41.60000000000002</v>
      </c>
      <c r="VH399" s="10" t="n">
        <v>46360</v>
      </c>
      <c r="VJ399" s="9" t="n">
        <v>0</v>
      </c>
      <c r="VL399" s="9" t="n">
        <v>0</v>
      </c>
      <c r="VM399" s="9" t="n">
        <v>210</v>
      </c>
      <c r="VQ399" s="10" t="n">
        <v>46360</v>
      </c>
      <c r="VS399" s="9" t="n">
        <v>0</v>
      </c>
      <c r="VU399" s="9" t="n">
        <v>0</v>
      </c>
      <c r="VV399" s="9" t="n">
        <v>0</v>
      </c>
      <c r="VZ399" s="10" t="n">
        <v>46360</v>
      </c>
      <c r="WB399" s="9" t="n">
        <v>0</v>
      </c>
      <c r="WD399" s="9" t="n">
        <v>0</v>
      </c>
      <c r="WE399" s="9" t="n">
        <v>0</v>
      </c>
      <c r="WI399" s="10" t="n">
        <v>46360</v>
      </c>
      <c r="WK399" s="9" t="n">
        <v>0</v>
      </c>
      <c r="WM399" s="9" t="n">
        <v>0</v>
      </c>
      <c r="WN399" s="9" t="n">
        <v>1057</v>
      </c>
      <c r="WR399" s="10" t="n">
        <v>46360</v>
      </c>
      <c r="WT399" s="9" t="n">
        <v>0</v>
      </c>
      <c r="WV399" s="9" t="n">
        <v>0</v>
      </c>
      <c r="WW399" s="9" t="n">
        <v>0</v>
      </c>
      <c r="XA399" s="10" t="n">
        <v>46360</v>
      </c>
      <c r="XC399" s="9" t="n">
        <v>0</v>
      </c>
      <c r="XE399" s="9" t="n">
        <v>0</v>
      </c>
      <c r="XF399" s="9" t="n">
        <v>7507</v>
      </c>
      <c r="XJ399" s="10" t="n">
        <v>46360</v>
      </c>
      <c r="XL399" s="9" t="n">
        <v>0</v>
      </c>
      <c r="XN399" s="9" t="n">
        <v>0</v>
      </c>
      <c r="XO399" s="9" t="n">
        <v>4252</v>
      </c>
      <c r="XS399" s="10" t="n">
        <v>46360</v>
      </c>
      <c r="XU399" s="9" t="n">
        <v>0</v>
      </c>
      <c r="XW399" s="9" t="n">
        <v>0</v>
      </c>
      <c r="XX399" s="9" t="n">
        <v>2179</v>
      </c>
      <c r="YB399" s="10" t="n">
        <v>46360</v>
      </c>
      <c r="YD399" s="9" t="n">
        <v>0</v>
      </c>
      <c r="YF399" s="9" t="n">
        <v>0</v>
      </c>
      <c r="YG399" s="9" t="n">
        <v>4019</v>
      </c>
      <c r="YK399" s="10" t="n">
        <v>46360</v>
      </c>
      <c r="YM399" s="9" t="n">
        <v>0</v>
      </c>
      <c r="YO399" s="9" t="n">
        <v>0</v>
      </c>
      <c r="YP399" s="9" t="n">
        <v>-218</v>
      </c>
      <c r="YT399" s="10" t="n">
        <v>46360</v>
      </c>
      <c r="YV399" s="9" t="n">
        <v>0</v>
      </c>
      <c r="YX399" s="9" t="n">
        <v>0</v>
      </c>
      <c r="YY399" s="9" t="n">
        <v>0</v>
      </c>
      <c r="ZC399" s="10" t="n">
        <v>46360</v>
      </c>
      <c r="ZE399" s="9" t="n">
        <v>0</v>
      </c>
      <c r="ZG399" s="9" t="n">
        <v>0</v>
      </c>
      <c r="ZH399" s="9" t="n">
        <v>0</v>
      </c>
      <c r="ZL399" s="10" t="n">
        <v>46360</v>
      </c>
      <c r="ZN399" s="9" t="n">
        <v>0</v>
      </c>
      <c r="ZP399" s="9" t="n">
        <v>0</v>
      </c>
      <c r="ZQ399" s="9" t="n">
        <v>0</v>
      </c>
      <c r="ZU399" s="10" t="n">
        <v>46360</v>
      </c>
      <c r="ZW399" s="9" t="n">
        <v>0</v>
      </c>
      <c r="ZY399" s="9" t="n">
        <v>0</v>
      </c>
      <c r="ZZ399" s="9" t="n">
        <v>0</v>
      </c>
      <c r="AAD399" s="10" t="n">
        <v>46360</v>
      </c>
      <c r="AAF399" s="9" t="n">
        <v>0</v>
      </c>
      <c r="AAH399" s="9" t="n">
        <v>0</v>
      </c>
      <c r="AAI399" s="9" t="n">
        <v>0</v>
      </c>
      <c r="AAM399" s="10" t="n">
        <v>46360</v>
      </c>
      <c r="AAO399" s="9" t="n">
        <v>0</v>
      </c>
      <c r="AAQ399" s="9" t="n">
        <v>0</v>
      </c>
      <c r="AAR399" s="9" t="n">
        <v>0</v>
      </c>
      <c r="AAV399" s="10" t="n">
        <v>46360</v>
      </c>
      <c r="AAX399" s="9" t="n">
        <v>0</v>
      </c>
      <c r="AAZ399" s="9" t="n">
        <v>0</v>
      </c>
      <c r="ABA399" s="9" t="n">
        <v>0</v>
      </c>
      <c r="ABE399" s="10" t="n">
        <v>46360</v>
      </c>
      <c r="ABG399" s="9" t="n">
        <v>0</v>
      </c>
      <c r="ABI399" s="9" t="n">
        <v>0</v>
      </c>
      <c r="ABJ399" s="9" t="n">
        <v>0</v>
      </c>
    </row>
    <row r="400">
      <c r="C400" s="10" t="n">
        <v>46361</v>
      </c>
      <c r="E400" s="9" t="n">
        <v>0</v>
      </c>
      <c r="G400" s="9" t="n">
        <v>0</v>
      </c>
      <c r="H400" s="9" t="n">
        <v>236936.6</v>
      </c>
      <c r="L400" s="10" t="n">
        <v>46361</v>
      </c>
      <c r="N400" s="9" t="n">
        <v>0</v>
      </c>
      <c r="P400" s="9" t="n">
        <v>0</v>
      </c>
      <c r="Q400" s="9" t="n">
        <v>53017.60000000007</v>
      </c>
      <c r="U400" s="10" t="n">
        <v>46361</v>
      </c>
      <c r="W400" s="9" t="n">
        <v>0</v>
      </c>
      <c r="Y400" s="9" t="n">
        <v>0</v>
      </c>
      <c r="Z400" s="9" t="n">
        <v>42674.19999999997</v>
      </c>
      <c r="AD400" s="10" t="n">
        <v>46361</v>
      </c>
      <c r="AF400" s="9" t="n">
        <v>0</v>
      </c>
      <c r="AH400" s="9" t="n">
        <v>0</v>
      </c>
      <c r="AI400" s="9" t="n">
        <v>4522.200000000019</v>
      </c>
      <c r="AM400" s="10" t="n">
        <v>46361</v>
      </c>
      <c r="AO400" s="9" t="n">
        <v>0</v>
      </c>
      <c r="AQ400" s="9" t="n">
        <v>0</v>
      </c>
      <c r="AR400" s="9" t="n">
        <v>0</v>
      </c>
      <c r="AV400" s="10" t="n">
        <v>46361</v>
      </c>
      <c r="AX400" s="9" t="n">
        <v>0</v>
      </c>
      <c r="AZ400" s="9" t="n">
        <v>0</v>
      </c>
      <c r="BA400" s="9" t="n">
        <v>124.9999999999952</v>
      </c>
      <c r="BE400" s="10" t="n">
        <v>46361</v>
      </c>
      <c r="BG400" s="9" t="n">
        <v>0</v>
      </c>
      <c r="BI400" s="9" t="n">
        <v>0</v>
      </c>
      <c r="BJ400" s="9" t="n">
        <v>26151.9</v>
      </c>
      <c r="BN400" s="10" t="n">
        <v>46361</v>
      </c>
      <c r="BP400" s="9" t="n">
        <v>0</v>
      </c>
      <c r="BR400" s="9" t="n">
        <v>0</v>
      </c>
      <c r="BS400" s="9" t="n">
        <v>0</v>
      </c>
      <c r="BW400" s="10" t="n">
        <v>46361</v>
      </c>
      <c r="BY400" s="9" t="n">
        <v>0</v>
      </c>
      <c r="CA400" s="9" t="n">
        <v>0</v>
      </c>
      <c r="CB400" s="9" t="n">
        <v>2097.339999999999</v>
      </c>
      <c r="CF400" s="10" t="n">
        <v>46361</v>
      </c>
      <c r="CH400" s="9" t="n">
        <v>0</v>
      </c>
      <c r="CJ400" s="9" t="n">
        <v>0</v>
      </c>
      <c r="CK400" s="9" t="n">
        <v>-10277.08</v>
      </c>
      <c r="CO400" s="10" t="n">
        <v>46361</v>
      </c>
      <c r="CQ400" s="9" t="n">
        <v>0</v>
      </c>
      <c r="CS400" s="9" t="n">
        <v>0</v>
      </c>
      <c r="CT400" s="9" t="n">
        <v>0</v>
      </c>
      <c r="CX400" s="10" t="n">
        <v>46361</v>
      </c>
      <c r="CZ400" s="9" t="n">
        <v>0</v>
      </c>
      <c r="DB400" s="9" t="n">
        <v>0</v>
      </c>
      <c r="DC400" s="9" t="n">
        <v>27438.20000000001</v>
      </c>
      <c r="DG400" s="10" t="n">
        <v>46361</v>
      </c>
      <c r="DI400" s="9" t="n">
        <v>0</v>
      </c>
      <c r="DK400" s="9" t="n">
        <v>0</v>
      </c>
      <c r="DL400" s="9" t="n">
        <v>18782.29999999998</v>
      </c>
      <c r="DP400" s="10" t="n">
        <v>46361</v>
      </c>
      <c r="DR400" s="9" t="n">
        <v>0</v>
      </c>
      <c r="DT400" s="9" t="n">
        <v>0</v>
      </c>
      <c r="DU400" s="9" t="n">
        <v>5800</v>
      </c>
      <c r="DY400" s="10" t="n">
        <v>46361</v>
      </c>
      <c r="EA400" s="9" t="n">
        <v>0</v>
      </c>
      <c r="EC400" s="9" t="n">
        <v>0</v>
      </c>
      <c r="ED400" s="9" t="n">
        <v>0</v>
      </c>
      <c r="EH400" s="10" t="n">
        <v>46361</v>
      </c>
      <c r="EJ400" s="9" t="n">
        <v>0</v>
      </c>
      <c r="EL400" s="9" t="n">
        <v>0</v>
      </c>
      <c r="EM400" s="9" t="n">
        <v>0</v>
      </c>
      <c r="EQ400" s="10" t="n">
        <v>46361</v>
      </c>
      <c r="ES400" s="9" t="n">
        <v>0</v>
      </c>
      <c r="EU400" s="9" t="n">
        <v>0</v>
      </c>
      <c r="EV400" s="9" t="n">
        <v>0</v>
      </c>
      <c r="EZ400" s="10" t="n">
        <v>46361</v>
      </c>
      <c r="FB400" s="9" t="n">
        <v>0</v>
      </c>
      <c r="FD400" s="9" t="n">
        <v>0</v>
      </c>
      <c r="FE400" s="9" t="n">
        <v>0</v>
      </c>
      <c r="FI400" s="10" t="n">
        <v>46361</v>
      </c>
      <c r="FK400" s="9" t="n">
        <v>0</v>
      </c>
      <c r="FM400" s="9" t="n">
        <v>0</v>
      </c>
      <c r="FN400" s="9" t="n">
        <v>0</v>
      </c>
      <c r="FR400" s="10" t="n">
        <v>46361</v>
      </c>
      <c r="FT400" s="9" t="n">
        <v>0</v>
      </c>
      <c r="FV400" s="9" t="n">
        <v>0</v>
      </c>
      <c r="FW400" s="9" t="n">
        <v>2020</v>
      </c>
      <c r="GA400" s="10" t="n">
        <v>46361</v>
      </c>
      <c r="GC400" s="9" t="n">
        <v>0</v>
      </c>
      <c r="GE400" s="9" t="n">
        <v>0</v>
      </c>
      <c r="GF400" s="9" t="n">
        <v>960</v>
      </c>
      <c r="GJ400" s="10" t="n">
        <v>46361</v>
      </c>
      <c r="GL400" s="9" t="n">
        <v>0</v>
      </c>
      <c r="GN400" s="9" t="n">
        <v>0</v>
      </c>
      <c r="GO400" s="9" t="n">
        <v>1760</v>
      </c>
      <c r="GS400" s="10" t="n">
        <v>46361</v>
      </c>
      <c r="GU400" s="9" t="n">
        <v>0</v>
      </c>
      <c r="GW400" s="9" t="n">
        <v>0</v>
      </c>
      <c r="GX400" s="9" t="n">
        <v>400</v>
      </c>
      <c r="HB400" s="10" t="n">
        <v>46361</v>
      </c>
      <c r="HD400" s="9" t="n">
        <v>0</v>
      </c>
      <c r="HF400" s="9" t="n">
        <v>0</v>
      </c>
      <c r="HG400" s="9" t="n">
        <v>3600</v>
      </c>
      <c r="HK400" s="10" t="n">
        <v>46361</v>
      </c>
      <c r="HM400" s="9" t="n">
        <v>0</v>
      </c>
      <c r="HO400" s="9" t="n">
        <v>0</v>
      </c>
      <c r="HP400" s="9" t="n">
        <v>0</v>
      </c>
      <c r="HU400" s="10" t="n">
        <v>46361</v>
      </c>
      <c r="HW400" s="9" t="n">
        <v>0</v>
      </c>
      <c r="HY400" s="9" t="n">
        <v>0</v>
      </c>
      <c r="HZ400" s="9" t="n">
        <v>6120</v>
      </c>
      <c r="ID400" s="10" t="n">
        <v>46361</v>
      </c>
      <c r="IF400" s="9" t="n">
        <v>0</v>
      </c>
      <c r="IH400" s="9" t="n">
        <v>0</v>
      </c>
      <c r="II400" s="9" t="n">
        <v>0</v>
      </c>
      <c r="IM400" s="10" t="n">
        <v>46361</v>
      </c>
      <c r="IO400" s="9" t="n">
        <v>0</v>
      </c>
      <c r="IQ400" s="9" t="n">
        <v>0</v>
      </c>
      <c r="IR400" s="9" t="n">
        <v>0</v>
      </c>
      <c r="IV400" s="10" t="n">
        <v>46361</v>
      </c>
      <c r="IX400" s="9" t="n">
        <v>0</v>
      </c>
      <c r="IZ400" s="9" t="n">
        <v>0</v>
      </c>
      <c r="JA400" s="9" t="n">
        <v>2820</v>
      </c>
      <c r="JE400" s="10" t="n">
        <v>46361</v>
      </c>
      <c r="JG400" s="9" t="n">
        <v>0</v>
      </c>
      <c r="JI400" s="9" t="n">
        <v>0</v>
      </c>
      <c r="JJ400" s="9" t="n">
        <v>0</v>
      </c>
      <c r="JN400" s="10" t="n">
        <v>46361</v>
      </c>
      <c r="JP400" s="9" t="n">
        <v>0</v>
      </c>
      <c r="JR400" s="9" t="n">
        <v>0</v>
      </c>
      <c r="JS400" s="9" t="n">
        <v>0</v>
      </c>
      <c r="JW400" s="10" t="n">
        <v>46361</v>
      </c>
      <c r="JY400" s="9" t="n">
        <v>0</v>
      </c>
      <c r="KA400" s="9" t="n">
        <v>0</v>
      </c>
      <c r="KB400" s="9" t="n">
        <v>2540</v>
      </c>
      <c r="KF400" s="10" t="n">
        <v>46361</v>
      </c>
      <c r="KH400" s="9" t="n">
        <v>0</v>
      </c>
      <c r="KJ400" s="9" t="n">
        <v>0</v>
      </c>
      <c r="KK400" s="9" t="n">
        <v>2359.5</v>
      </c>
      <c r="KO400" s="10" t="n">
        <v>46361</v>
      </c>
      <c r="KQ400" s="9" t="n">
        <v>0</v>
      </c>
      <c r="KS400" s="9" t="n">
        <v>0</v>
      </c>
      <c r="KT400" s="9" t="n">
        <v>1890</v>
      </c>
      <c r="KX400" s="10" t="n">
        <v>46361</v>
      </c>
      <c r="KZ400" s="9" t="n">
        <v>0</v>
      </c>
      <c r="LB400" s="9" t="n">
        <v>0</v>
      </c>
      <c r="LC400" s="9" t="n">
        <v>3690</v>
      </c>
      <c r="LG400" s="10" t="n">
        <v>46361</v>
      </c>
      <c r="LI400" s="9" t="n">
        <v>0</v>
      </c>
      <c r="LK400" s="9" t="n">
        <v>0</v>
      </c>
      <c r="LL400" s="9" t="n">
        <v>4000</v>
      </c>
      <c r="LP400" s="10" t="n">
        <v>46361</v>
      </c>
      <c r="LR400" s="9" t="n">
        <v>0</v>
      </c>
      <c r="LT400" s="9" t="n">
        <v>0</v>
      </c>
      <c r="LU400" s="9" t="n">
        <v>0</v>
      </c>
      <c r="LY400" s="10" t="n">
        <v>46361</v>
      </c>
      <c r="MA400" s="9" t="n">
        <v>0</v>
      </c>
      <c r="MC400" s="9" t="n">
        <v>0</v>
      </c>
      <c r="MD400" s="9" t="n">
        <v>0</v>
      </c>
      <c r="MH400" s="10" t="n">
        <v>46361</v>
      </c>
      <c r="MJ400" s="9" t="n">
        <v>0</v>
      </c>
      <c r="MK400" s="9" t="n">
        <v>18</v>
      </c>
      <c r="ML400" s="9" t="n">
        <v>-18</v>
      </c>
      <c r="MM400" s="9" t="n">
        <v>-18</v>
      </c>
      <c r="MQ400" s="10" t="n">
        <v>46361</v>
      </c>
      <c r="MS400" s="9" t="n">
        <v>0</v>
      </c>
      <c r="MT400" s="9" t="n">
        <v>30</v>
      </c>
      <c r="MU400" s="9" t="n">
        <v>-30</v>
      </c>
      <c r="MV400" s="9" t="n">
        <v>1595</v>
      </c>
      <c r="MZ400" s="10" t="n">
        <v>46361</v>
      </c>
      <c r="NB400" s="9" t="n">
        <v>0</v>
      </c>
      <c r="ND400" s="9" t="n">
        <v>0</v>
      </c>
      <c r="NE400" s="9" t="n">
        <v>0</v>
      </c>
      <c r="NI400" s="10" t="n">
        <v>46361</v>
      </c>
      <c r="NK400" s="9" t="n">
        <v>0</v>
      </c>
      <c r="NM400" s="9" t="n">
        <v>0</v>
      </c>
      <c r="NN400" s="9" t="n">
        <v>1127</v>
      </c>
      <c r="NR400" s="10" t="n">
        <v>46361</v>
      </c>
      <c r="NT400" s="9" t="n">
        <v>0</v>
      </c>
      <c r="NV400" s="9" t="n">
        <v>0</v>
      </c>
      <c r="NW400" s="9" t="n">
        <v>3112</v>
      </c>
      <c r="OA400" s="10" t="n">
        <v>46361</v>
      </c>
      <c r="OC400" s="9" t="n">
        <v>0</v>
      </c>
      <c r="OE400" s="9" t="n">
        <v>0</v>
      </c>
      <c r="OF400" s="9" t="n">
        <v>1680.5</v>
      </c>
      <c r="OJ400" s="10" t="n">
        <v>46361</v>
      </c>
      <c r="OL400" s="9" t="n">
        <v>0</v>
      </c>
      <c r="ON400" s="9" t="n">
        <v>0</v>
      </c>
      <c r="OO400" s="9" t="n">
        <v>0</v>
      </c>
      <c r="OS400" s="10" t="n">
        <v>46361</v>
      </c>
      <c r="OU400" s="9" t="n">
        <v>0</v>
      </c>
      <c r="OW400" s="9" t="n">
        <v>0</v>
      </c>
      <c r="OX400" s="9" t="n">
        <v>1482</v>
      </c>
      <c r="PB400" s="10" t="n">
        <v>46361</v>
      </c>
      <c r="PD400" s="9" t="n">
        <v>0</v>
      </c>
      <c r="PF400" s="9" t="n">
        <v>0</v>
      </c>
      <c r="PG400" s="9" t="n">
        <v>0</v>
      </c>
      <c r="PK400" s="10" t="n">
        <v>46361</v>
      </c>
      <c r="PM400" s="9" t="n">
        <v>0</v>
      </c>
      <c r="PO400" s="9" t="n">
        <v>0</v>
      </c>
      <c r="PP400" s="9" t="n">
        <v>100</v>
      </c>
      <c r="PT400" s="10" t="n">
        <v>46361</v>
      </c>
      <c r="PV400" s="9" t="n">
        <v>0</v>
      </c>
      <c r="PX400" s="9" t="n">
        <v>0</v>
      </c>
      <c r="PY400" s="9" t="n">
        <v>13.96000000000004</v>
      </c>
      <c r="QC400" s="10" t="n">
        <v>46361</v>
      </c>
      <c r="QE400" s="9" t="n">
        <v>0</v>
      </c>
      <c r="QG400" s="9" t="n">
        <v>0</v>
      </c>
      <c r="QH400" s="9" t="n">
        <v>548</v>
      </c>
      <c r="QL400" s="10" t="n">
        <v>46361</v>
      </c>
      <c r="QN400" s="9" t="n">
        <v>0</v>
      </c>
      <c r="QP400" s="9" t="n">
        <v>0</v>
      </c>
      <c r="QQ400" s="9" t="n">
        <v>0</v>
      </c>
      <c r="QU400" s="10" t="n">
        <v>46361</v>
      </c>
      <c r="QW400" s="9" t="n">
        <v>0</v>
      </c>
      <c r="QY400" s="9" t="n">
        <v>0</v>
      </c>
      <c r="QZ400" s="9" t="n">
        <v>0</v>
      </c>
      <c r="RD400" s="10" t="n">
        <v>46361</v>
      </c>
      <c r="RF400" s="9" t="n">
        <v>0</v>
      </c>
      <c r="RH400" s="9" t="n">
        <v>0</v>
      </c>
      <c r="RI400" s="9" t="n">
        <v>147.04</v>
      </c>
      <c r="RM400" s="10" t="n">
        <v>46361</v>
      </c>
      <c r="RO400" s="9" t="n">
        <v>0</v>
      </c>
      <c r="RQ400" s="9" t="n">
        <v>0</v>
      </c>
      <c r="RR400" s="9" t="n">
        <v>46.8</v>
      </c>
      <c r="RV400" s="10" t="n">
        <v>46361</v>
      </c>
      <c r="RX400" s="9" t="n">
        <v>0</v>
      </c>
      <c r="RZ400" s="9" t="n">
        <v>0</v>
      </c>
      <c r="SA400" s="9" t="n">
        <v>0</v>
      </c>
      <c r="SE400" s="10" t="n">
        <v>46361</v>
      </c>
      <c r="SG400" s="9" t="n">
        <v>0</v>
      </c>
      <c r="SI400" s="9" t="n">
        <v>0</v>
      </c>
      <c r="SJ400" s="9" t="n">
        <v>24.2</v>
      </c>
      <c r="SN400" s="10" t="n">
        <v>46361</v>
      </c>
      <c r="SP400" s="9" t="n">
        <v>0</v>
      </c>
      <c r="SR400" s="9" t="n">
        <v>0</v>
      </c>
      <c r="SS400" s="9" t="n">
        <v>32</v>
      </c>
      <c r="SW400" s="10" t="n">
        <v>46361</v>
      </c>
      <c r="SY400" s="9" t="n">
        <v>0</v>
      </c>
      <c r="TA400" s="9" t="n">
        <v>0</v>
      </c>
      <c r="TB400" s="9" t="n">
        <v>0</v>
      </c>
      <c r="TF400" s="10" t="n">
        <v>46361</v>
      </c>
      <c r="TH400" s="9" t="n">
        <v>0</v>
      </c>
      <c r="TJ400" s="9" t="n">
        <v>0</v>
      </c>
      <c r="TK400" s="9" t="n">
        <v>0</v>
      </c>
      <c r="TO400" s="10" t="n">
        <v>46361</v>
      </c>
      <c r="TQ400" s="9" t="n">
        <v>0</v>
      </c>
      <c r="TS400" s="9" t="n">
        <v>0</v>
      </c>
      <c r="TT400" s="9" t="n">
        <v>0</v>
      </c>
      <c r="TX400" s="10" t="n">
        <v>46361</v>
      </c>
      <c r="TZ400" s="9" t="n">
        <v>0</v>
      </c>
      <c r="UB400" s="9" t="n">
        <v>0</v>
      </c>
      <c r="UC400" s="9" t="n">
        <v>46.79999999999998</v>
      </c>
      <c r="UG400" s="10" t="n">
        <v>46361</v>
      </c>
      <c r="UI400" s="9" t="n">
        <v>0</v>
      </c>
      <c r="UK400" s="9" t="n">
        <v>0</v>
      </c>
      <c r="UL400" s="9" t="n">
        <v>204</v>
      </c>
      <c r="UP400" s="10" t="n">
        <v>46361</v>
      </c>
      <c r="UR400" s="9" t="n">
        <v>0</v>
      </c>
      <c r="UT400" s="9" t="n">
        <v>0</v>
      </c>
      <c r="UU400" s="9" t="n">
        <v>202.5</v>
      </c>
      <c r="UY400" s="10" t="n">
        <v>46361</v>
      </c>
      <c r="VA400" s="9" t="n">
        <v>0</v>
      </c>
      <c r="VC400" s="9" t="n">
        <v>0</v>
      </c>
      <c r="VD400" s="9" t="n">
        <v>41.60000000000002</v>
      </c>
      <c r="VH400" s="10" t="n">
        <v>46361</v>
      </c>
      <c r="VJ400" s="9" t="n">
        <v>0</v>
      </c>
      <c r="VL400" s="9" t="n">
        <v>0</v>
      </c>
      <c r="VM400" s="9" t="n">
        <v>210</v>
      </c>
      <c r="VQ400" s="10" t="n">
        <v>46361</v>
      </c>
      <c r="VS400" s="9" t="n">
        <v>0</v>
      </c>
      <c r="VU400" s="9" t="n">
        <v>0</v>
      </c>
      <c r="VV400" s="9" t="n">
        <v>0</v>
      </c>
      <c r="VZ400" s="10" t="n">
        <v>46361</v>
      </c>
      <c r="WB400" s="9" t="n">
        <v>0</v>
      </c>
      <c r="WD400" s="9" t="n">
        <v>0</v>
      </c>
      <c r="WE400" s="9" t="n">
        <v>0</v>
      </c>
      <c r="WI400" s="10" t="n">
        <v>46361</v>
      </c>
      <c r="WK400" s="9" t="n">
        <v>0</v>
      </c>
      <c r="WM400" s="9" t="n">
        <v>0</v>
      </c>
      <c r="WN400" s="9" t="n">
        <v>1057</v>
      </c>
      <c r="WR400" s="10" t="n">
        <v>46361</v>
      </c>
      <c r="WT400" s="9" t="n">
        <v>0</v>
      </c>
      <c r="WV400" s="9" t="n">
        <v>0</v>
      </c>
      <c r="WW400" s="9" t="n">
        <v>0</v>
      </c>
      <c r="XA400" s="10" t="n">
        <v>46361</v>
      </c>
      <c r="XC400" s="9" t="n">
        <v>0</v>
      </c>
      <c r="XE400" s="9" t="n">
        <v>0</v>
      </c>
      <c r="XF400" s="9" t="n">
        <v>7507</v>
      </c>
      <c r="XJ400" s="10" t="n">
        <v>46361</v>
      </c>
      <c r="XL400" s="9" t="n">
        <v>0</v>
      </c>
      <c r="XN400" s="9" t="n">
        <v>0</v>
      </c>
      <c r="XO400" s="9" t="n">
        <v>4252</v>
      </c>
      <c r="XS400" s="10" t="n">
        <v>46361</v>
      </c>
      <c r="XU400" s="9" t="n">
        <v>0</v>
      </c>
      <c r="XW400" s="9" t="n">
        <v>0</v>
      </c>
      <c r="XX400" s="9" t="n">
        <v>2179</v>
      </c>
      <c r="YB400" s="10" t="n">
        <v>46361</v>
      </c>
      <c r="YD400" s="9" t="n">
        <v>0</v>
      </c>
      <c r="YF400" s="9" t="n">
        <v>0</v>
      </c>
      <c r="YG400" s="9" t="n">
        <v>4019</v>
      </c>
      <c r="YK400" s="10" t="n">
        <v>46361</v>
      </c>
      <c r="YM400" s="9" t="n">
        <v>0</v>
      </c>
      <c r="YO400" s="9" t="n">
        <v>0</v>
      </c>
      <c r="YP400" s="9" t="n">
        <v>-218</v>
      </c>
      <c r="YT400" s="10" t="n">
        <v>46361</v>
      </c>
      <c r="YV400" s="9" t="n">
        <v>0</v>
      </c>
      <c r="YX400" s="9" t="n">
        <v>0</v>
      </c>
      <c r="YY400" s="9" t="n">
        <v>0</v>
      </c>
      <c r="ZC400" s="10" t="n">
        <v>46361</v>
      </c>
      <c r="ZE400" s="9" t="n">
        <v>0</v>
      </c>
      <c r="ZG400" s="9" t="n">
        <v>0</v>
      </c>
      <c r="ZH400" s="9" t="n">
        <v>0</v>
      </c>
      <c r="ZL400" s="10" t="n">
        <v>46361</v>
      </c>
      <c r="ZN400" s="9" t="n">
        <v>0</v>
      </c>
      <c r="ZP400" s="9" t="n">
        <v>0</v>
      </c>
      <c r="ZQ400" s="9" t="n">
        <v>0</v>
      </c>
      <c r="ZU400" s="10" t="n">
        <v>46361</v>
      </c>
      <c r="ZW400" s="9" t="n">
        <v>0</v>
      </c>
      <c r="ZY400" s="9" t="n">
        <v>0</v>
      </c>
      <c r="ZZ400" s="9" t="n">
        <v>0</v>
      </c>
      <c r="AAD400" s="10" t="n">
        <v>46361</v>
      </c>
      <c r="AAF400" s="9" t="n">
        <v>0</v>
      </c>
      <c r="AAH400" s="9" t="n">
        <v>0</v>
      </c>
      <c r="AAI400" s="9" t="n">
        <v>0</v>
      </c>
      <c r="AAM400" s="10" t="n">
        <v>46361</v>
      </c>
      <c r="AAO400" s="9" t="n">
        <v>0</v>
      </c>
      <c r="AAQ400" s="9" t="n">
        <v>0</v>
      </c>
      <c r="AAR400" s="9" t="n">
        <v>0</v>
      </c>
      <c r="AAV400" s="10" t="n">
        <v>46361</v>
      </c>
      <c r="AAX400" s="9" t="n">
        <v>0</v>
      </c>
      <c r="AAZ400" s="9" t="n">
        <v>0</v>
      </c>
      <c r="ABA400" s="9" t="n">
        <v>0</v>
      </c>
      <c r="ABE400" s="10" t="n">
        <v>46361</v>
      </c>
      <c r="ABG400" s="9" t="n">
        <v>0</v>
      </c>
      <c r="ABI400" s="9" t="n">
        <v>0</v>
      </c>
      <c r="ABJ400" s="9" t="n">
        <v>0</v>
      </c>
    </row>
    <row r="401">
      <c r="C401" s="10" t="n">
        <v>46362</v>
      </c>
      <c r="E401" s="9" t="n">
        <v>0</v>
      </c>
      <c r="G401" s="9" t="n">
        <v>0</v>
      </c>
      <c r="H401" s="9" t="n">
        <v>236936.6</v>
      </c>
      <c r="L401" s="10" t="n">
        <v>46362</v>
      </c>
      <c r="N401" s="9" t="n">
        <v>0</v>
      </c>
      <c r="P401" s="9" t="n">
        <v>0</v>
      </c>
      <c r="Q401" s="9" t="n">
        <v>53017.60000000007</v>
      </c>
      <c r="U401" s="10" t="n">
        <v>46362</v>
      </c>
      <c r="W401" s="9" t="n">
        <v>0</v>
      </c>
      <c r="Y401" s="9" t="n">
        <v>0</v>
      </c>
      <c r="Z401" s="9" t="n">
        <v>42674.19999999997</v>
      </c>
      <c r="AD401" s="10" t="n">
        <v>46362</v>
      </c>
      <c r="AF401" s="9" t="n">
        <v>0</v>
      </c>
      <c r="AH401" s="9" t="n">
        <v>0</v>
      </c>
      <c r="AI401" s="9" t="n">
        <v>4522.200000000019</v>
      </c>
      <c r="AM401" s="10" t="n">
        <v>46362</v>
      </c>
      <c r="AO401" s="9" t="n">
        <v>0</v>
      </c>
      <c r="AQ401" s="9" t="n">
        <v>0</v>
      </c>
      <c r="AR401" s="9" t="n">
        <v>0</v>
      </c>
      <c r="AV401" s="10" t="n">
        <v>46362</v>
      </c>
      <c r="AX401" s="9" t="n">
        <v>0</v>
      </c>
      <c r="AZ401" s="9" t="n">
        <v>0</v>
      </c>
      <c r="BA401" s="9" t="n">
        <v>124.9999999999952</v>
      </c>
      <c r="BE401" s="10" t="n">
        <v>46362</v>
      </c>
      <c r="BG401" s="9" t="n">
        <v>0</v>
      </c>
      <c r="BI401" s="9" t="n">
        <v>0</v>
      </c>
      <c r="BJ401" s="9" t="n">
        <v>26151.9</v>
      </c>
      <c r="BN401" s="10" t="n">
        <v>46362</v>
      </c>
      <c r="BP401" s="9" t="n">
        <v>0</v>
      </c>
      <c r="BR401" s="9" t="n">
        <v>0</v>
      </c>
      <c r="BS401" s="9" t="n">
        <v>0</v>
      </c>
      <c r="BW401" s="10" t="n">
        <v>46362</v>
      </c>
      <c r="BY401" s="9" t="n">
        <v>0</v>
      </c>
      <c r="CA401" s="9" t="n">
        <v>0</v>
      </c>
      <c r="CB401" s="9" t="n">
        <v>2097.339999999999</v>
      </c>
      <c r="CF401" s="10" t="n">
        <v>46362</v>
      </c>
      <c r="CH401" s="9" t="n">
        <v>0</v>
      </c>
      <c r="CJ401" s="9" t="n">
        <v>0</v>
      </c>
      <c r="CK401" s="9" t="n">
        <v>-10277.08</v>
      </c>
      <c r="CO401" s="10" t="n">
        <v>46362</v>
      </c>
      <c r="CQ401" s="9" t="n">
        <v>0</v>
      </c>
      <c r="CS401" s="9" t="n">
        <v>0</v>
      </c>
      <c r="CT401" s="9" t="n">
        <v>0</v>
      </c>
      <c r="CX401" s="10" t="n">
        <v>46362</v>
      </c>
      <c r="CZ401" s="9" t="n">
        <v>0</v>
      </c>
      <c r="DB401" s="9" t="n">
        <v>0</v>
      </c>
      <c r="DC401" s="9" t="n">
        <v>27438.20000000001</v>
      </c>
      <c r="DG401" s="10" t="n">
        <v>46362</v>
      </c>
      <c r="DI401" s="9" t="n">
        <v>0</v>
      </c>
      <c r="DK401" s="9" t="n">
        <v>0</v>
      </c>
      <c r="DL401" s="9" t="n">
        <v>18782.29999999998</v>
      </c>
      <c r="DP401" s="10" t="n">
        <v>46362</v>
      </c>
      <c r="DR401" s="9" t="n">
        <v>0</v>
      </c>
      <c r="DT401" s="9" t="n">
        <v>0</v>
      </c>
      <c r="DU401" s="9" t="n">
        <v>5800</v>
      </c>
      <c r="DY401" s="10" t="n">
        <v>46362</v>
      </c>
      <c r="EA401" s="9" t="n">
        <v>0</v>
      </c>
      <c r="EC401" s="9" t="n">
        <v>0</v>
      </c>
      <c r="ED401" s="9" t="n">
        <v>0</v>
      </c>
      <c r="EH401" s="10" t="n">
        <v>46362</v>
      </c>
      <c r="EJ401" s="9" t="n">
        <v>0</v>
      </c>
      <c r="EL401" s="9" t="n">
        <v>0</v>
      </c>
      <c r="EM401" s="9" t="n">
        <v>0</v>
      </c>
      <c r="EQ401" s="10" t="n">
        <v>46362</v>
      </c>
      <c r="ES401" s="9" t="n">
        <v>0</v>
      </c>
      <c r="EU401" s="9" t="n">
        <v>0</v>
      </c>
      <c r="EV401" s="9" t="n">
        <v>0</v>
      </c>
      <c r="EZ401" s="10" t="n">
        <v>46362</v>
      </c>
      <c r="FB401" s="9" t="n">
        <v>0</v>
      </c>
      <c r="FD401" s="9" t="n">
        <v>0</v>
      </c>
      <c r="FE401" s="9" t="n">
        <v>0</v>
      </c>
      <c r="FI401" s="10" t="n">
        <v>46362</v>
      </c>
      <c r="FK401" s="9" t="n">
        <v>0</v>
      </c>
      <c r="FM401" s="9" t="n">
        <v>0</v>
      </c>
      <c r="FN401" s="9" t="n">
        <v>0</v>
      </c>
      <c r="FR401" s="10" t="n">
        <v>46362</v>
      </c>
      <c r="FT401" s="9" t="n">
        <v>0</v>
      </c>
      <c r="FV401" s="9" t="n">
        <v>0</v>
      </c>
      <c r="FW401" s="9" t="n">
        <v>2020</v>
      </c>
      <c r="GA401" s="10" t="n">
        <v>46362</v>
      </c>
      <c r="GC401" s="9" t="n">
        <v>0</v>
      </c>
      <c r="GE401" s="9" t="n">
        <v>0</v>
      </c>
      <c r="GF401" s="9" t="n">
        <v>960</v>
      </c>
      <c r="GJ401" s="10" t="n">
        <v>46362</v>
      </c>
      <c r="GL401" s="9" t="n">
        <v>0</v>
      </c>
      <c r="GN401" s="9" t="n">
        <v>0</v>
      </c>
      <c r="GO401" s="9" t="n">
        <v>1760</v>
      </c>
      <c r="GS401" s="10" t="n">
        <v>46362</v>
      </c>
      <c r="GU401" s="9" t="n">
        <v>0</v>
      </c>
      <c r="GW401" s="9" t="n">
        <v>0</v>
      </c>
      <c r="GX401" s="9" t="n">
        <v>400</v>
      </c>
      <c r="HB401" s="10" t="n">
        <v>46362</v>
      </c>
      <c r="HD401" s="9" t="n">
        <v>0</v>
      </c>
      <c r="HF401" s="9" t="n">
        <v>0</v>
      </c>
      <c r="HG401" s="9" t="n">
        <v>3600</v>
      </c>
      <c r="HK401" s="10" t="n">
        <v>46362</v>
      </c>
      <c r="HM401" s="9" t="n">
        <v>0</v>
      </c>
      <c r="HO401" s="9" t="n">
        <v>0</v>
      </c>
      <c r="HP401" s="9" t="n">
        <v>0</v>
      </c>
      <c r="HU401" s="10" t="n">
        <v>46362</v>
      </c>
      <c r="HW401" s="9" t="n">
        <v>0</v>
      </c>
      <c r="HY401" s="9" t="n">
        <v>0</v>
      </c>
      <c r="HZ401" s="9" t="n">
        <v>6120</v>
      </c>
      <c r="ID401" s="10" t="n">
        <v>46362</v>
      </c>
      <c r="IF401" s="9" t="n">
        <v>0</v>
      </c>
      <c r="IH401" s="9" t="n">
        <v>0</v>
      </c>
      <c r="II401" s="9" t="n">
        <v>0</v>
      </c>
      <c r="IM401" s="10" t="n">
        <v>46362</v>
      </c>
      <c r="IO401" s="9" t="n">
        <v>0</v>
      </c>
      <c r="IQ401" s="9" t="n">
        <v>0</v>
      </c>
      <c r="IR401" s="9" t="n">
        <v>0</v>
      </c>
      <c r="IV401" s="10" t="n">
        <v>46362</v>
      </c>
      <c r="IX401" s="9" t="n">
        <v>0</v>
      </c>
      <c r="IZ401" s="9" t="n">
        <v>0</v>
      </c>
      <c r="JA401" s="9" t="n">
        <v>2820</v>
      </c>
      <c r="JE401" s="10" t="n">
        <v>46362</v>
      </c>
      <c r="JG401" s="9" t="n">
        <v>0</v>
      </c>
      <c r="JI401" s="9" t="n">
        <v>0</v>
      </c>
      <c r="JJ401" s="9" t="n">
        <v>0</v>
      </c>
      <c r="JN401" s="10" t="n">
        <v>46362</v>
      </c>
      <c r="JP401" s="9" t="n">
        <v>0</v>
      </c>
      <c r="JR401" s="9" t="n">
        <v>0</v>
      </c>
      <c r="JS401" s="9" t="n">
        <v>0</v>
      </c>
      <c r="JW401" s="10" t="n">
        <v>46362</v>
      </c>
      <c r="JY401" s="9" t="n">
        <v>0</v>
      </c>
      <c r="KA401" s="9" t="n">
        <v>0</v>
      </c>
      <c r="KB401" s="9" t="n">
        <v>2540</v>
      </c>
      <c r="KF401" s="10" t="n">
        <v>46362</v>
      </c>
      <c r="KH401" s="9" t="n">
        <v>0</v>
      </c>
      <c r="KJ401" s="9" t="n">
        <v>0</v>
      </c>
      <c r="KK401" s="9" t="n">
        <v>2359.5</v>
      </c>
      <c r="KO401" s="10" t="n">
        <v>46362</v>
      </c>
      <c r="KQ401" s="9" t="n">
        <v>0</v>
      </c>
      <c r="KS401" s="9" t="n">
        <v>0</v>
      </c>
      <c r="KT401" s="9" t="n">
        <v>1890</v>
      </c>
      <c r="KX401" s="10" t="n">
        <v>46362</v>
      </c>
      <c r="KZ401" s="9" t="n">
        <v>0</v>
      </c>
      <c r="LB401" s="9" t="n">
        <v>0</v>
      </c>
      <c r="LC401" s="9" t="n">
        <v>3690</v>
      </c>
      <c r="LG401" s="10" t="n">
        <v>46362</v>
      </c>
      <c r="LI401" s="9" t="n">
        <v>0</v>
      </c>
      <c r="LK401" s="9" t="n">
        <v>0</v>
      </c>
      <c r="LL401" s="9" t="n">
        <v>4000</v>
      </c>
      <c r="LP401" s="10" t="n">
        <v>46362</v>
      </c>
      <c r="LR401" s="9" t="n">
        <v>0</v>
      </c>
      <c r="LT401" s="9" t="n">
        <v>0</v>
      </c>
      <c r="LU401" s="9" t="n">
        <v>0</v>
      </c>
      <c r="LY401" s="10" t="n">
        <v>46362</v>
      </c>
      <c r="MA401" s="9" t="n">
        <v>0</v>
      </c>
      <c r="MC401" s="9" t="n">
        <v>0</v>
      </c>
      <c r="MD401" s="9" t="n">
        <v>0</v>
      </c>
      <c r="MH401" s="10" t="n">
        <v>46362</v>
      </c>
      <c r="MJ401" s="9" t="n">
        <v>0</v>
      </c>
      <c r="ML401" s="9" t="n">
        <v>0</v>
      </c>
      <c r="MM401" s="9" t="n">
        <v>-18</v>
      </c>
      <c r="MQ401" s="10" t="n">
        <v>46362</v>
      </c>
      <c r="MS401" s="9" t="n">
        <v>0</v>
      </c>
      <c r="MU401" s="9" t="n">
        <v>0</v>
      </c>
      <c r="MV401" s="9" t="n">
        <v>1595</v>
      </c>
      <c r="MZ401" s="10" t="n">
        <v>46362</v>
      </c>
      <c r="NB401" s="9" t="n">
        <v>0</v>
      </c>
      <c r="ND401" s="9" t="n">
        <v>0</v>
      </c>
      <c r="NE401" s="9" t="n">
        <v>0</v>
      </c>
      <c r="NI401" s="10" t="n">
        <v>46362</v>
      </c>
      <c r="NK401" s="9" t="n">
        <v>0</v>
      </c>
      <c r="NM401" s="9" t="n">
        <v>0</v>
      </c>
      <c r="NN401" s="9" t="n">
        <v>1127</v>
      </c>
      <c r="NR401" s="10" t="n">
        <v>46362</v>
      </c>
      <c r="NT401" s="9" t="n">
        <v>0</v>
      </c>
      <c r="NV401" s="9" t="n">
        <v>0</v>
      </c>
      <c r="NW401" s="9" t="n">
        <v>3112</v>
      </c>
      <c r="OA401" s="10" t="n">
        <v>46362</v>
      </c>
      <c r="OC401" s="9" t="n">
        <v>0</v>
      </c>
      <c r="OE401" s="9" t="n">
        <v>0</v>
      </c>
      <c r="OF401" s="9" t="n">
        <v>1680.5</v>
      </c>
      <c r="OJ401" s="10" t="n">
        <v>46362</v>
      </c>
      <c r="OL401" s="9" t="n">
        <v>0</v>
      </c>
      <c r="ON401" s="9" t="n">
        <v>0</v>
      </c>
      <c r="OO401" s="9" t="n">
        <v>0</v>
      </c>
      <c r="OS401" s="10" t="n">
        <v>46362</v>
      </c>
      <c r="OU401" s="9" t="n">
        <v>0</v>
      </c>
      <c r="OW401" s="9" t="n">
        <v>0</v>
      </c>
      <c r="OX401" s="9" t="n">
        <v>1482</v>
      </c>
      <c r="PB401" s="10" t="n">
        <v>46362</v>
      </c>
      <c r="PD401" s="9" t="n">
        <v>0</v>
      </c>
      <c r="PF401" s="9" t="n">
        <v>0</v>
      </c>
      <c r="PG401" s="9" t="n">
        <v>0</v>
      </c>
      <c r="PK401" s="10" t="n">
        <v>46362</v>
      </c>
      <c r="PM401" s="9" t="n">
        <v>0</v>
      </c>
      <c r="PO401" s="9" t="n">
        <v>0</v>
      </c>
      <c r="PP401" s="9" t="n">
        <v>100</v>
      </c>
      <c r="PT401" s="10" t="n">
        <v>46362</v>
      </c>
      <c r="PV401" s="9" t="n">
        <v>0</v>
      </c>
      <c r="PX401" s="9" t="n">
        <v>0</v>
      </c>
      <c r="PY401" s="9" t="n">
        <v>13.96000000000004</v>
      </c>
      <c r="QC401" s="10" t="n">
        <v>46362</v>
      </c>
      <c r="QE401" s="9" t="n">
        <v>0</v>
      </c>
      <c r="QG401" s="9" t="n">
        <v>0</v>
      </c>
      <c r="QH401" s="9" t="n">
        <v>548</v>
      </c>
      <c r="QL401" s="10" t="n">
        <v>46362</v>
      </c>
      <c r="QN401" s="9" t="n">
        <v>0</v>
      </c>
      <c r="QP401" s="9" t="n">
        <v>0</v>
      </c>
      <c r="QQ401" s="9" t="n">
        <v>0</v>
      </c>
      <c r="QU401" s="10" t="n">
        <v>46362</v>
      </c>
      <c r="QW401" s="9" t="n">
        <v>0</v>
      </c>
      <c r="QY401" s="9" t="n">
        <v>0</v>
      </c>
      <c r="QZ401" s="9" t="n">
        <v>0</v>
      </c>
      <c r="RD401" s="10" t="n">
        <v>46362</v>
      </c>
      <c r="RF401" s="9" t="n">
        <v>0</v>
      </c>
      <c r="RH401" s="9" t="n">
        <v>0</v>
      </c>
      <c r="RI401" s="9" t="n">
        <v>147.04</v>
      </c>
      <c r="RM401" s="10" t="n">
        <v>46362</v>
      </c>
      <c r="RO401" s="9" t="n">
        <v>0</v>
      </c>
      <c r="RQ401" s="9" t="n">
        <v>0</v>
      </c>
      <c r="RR401" s="9" t="n">
        <v>46.8</v>
      </c>
      <c r="RV401" s="10" t="n">
        <v>46362</v>
      </c>
      <c r="RX401" s="9" t="n">
        <v>0</v>
      </c>
      <c r="RZ401" s="9" t="n">
        <v>0</v>
      </c>
      <c r="SA401" s="9" t="n">
        <v>0</v>
      </c>
      <c r="SE401" s="10" t="n">
        <v>46362</v>
      </c>
      <c r="SG401" s="9" t="n">
        <v>0</v>
      </c>
      <c r="SI401" s="9" t="n">
        <v>0</v>
      </c>
      <c r="SJ401" s="9" t="n">
        <v>24.2</v>
      </c>
      <c r="SN401" s="10" t="n">
        <v>46362</v>
      </c>
      <c r="SP401" s="9" t="n">
        <v>0</v>
      </c>
      <c r="SR401" s="9" t="n">
        <v>0</v>
      </c>
      <c r="SS401" s="9" t="n">
        <v>32</v>
      </c>
      <c r="SW401" s="10" t="n">
        <v>46362</v>
      </c>
      <c r="SY401" s="9" t="n">
        <v>0</v>
      </c>
      <c r="TA401" s="9" t="n">
        <v>0</v>
      </c>
      <c r="TB401" s="9" t="n">
        <v>0</v>
      </c>
      <c r="TF401" s="10" t="n">
        <v>46362</v>
      </c>
      <c r="TH401" s="9" t="n">
        <v>0</v>
      </c>
      <c r="TJ401" s="9" t="n">
        <v>0</v>
      </c>
      <c r="TK401" s="9" t="n">
        <v>0</v>
      </c>
      <c r="TO401" s="10" t="n">
        <v>46362</v>
      </c>
      <c r="TQ401" s="9" t="n">
        <v>0</v>
      </c>
      <c r="TS401" s="9" t="n">
        <v>0</v>
      </c>
      <c r="TT401" s="9" t="n">
        <v>0</v>
      </c>
      <c r="TX401" s="10" t="n">
        <v>46362</v>
      </c>
      <c r="TZ401" s="9" t="n">
        <v>0</v>
      </c>
      <c r="UB401" s="9" t="n">
        <v>0</v>
      </c>
      <c r="UC401" s="9" t="n">
        <v>46.79999999999998</v>
      </c>
      <c r="UG401" s="10" t="n">
        <v>46362</v>
      </c>
      <c r="UI401" s="9" t="n">
        <v>0</v>
      </c>
      <c r="UK401" s="9" t="n">
        <v>0</v>
      </c>
      <c r="UL401" s="9" t="n">
        <v>204</v>
      </c>
      <c r="UP401" s="10" t="n">
        <v>46362</v>
      </c>
      <c r="UR401" s="9" t="n">
        <v>0</v>
      </c>
      <c r="UT401" s="9" t="n">
        <v>0</v>
      </c>
      <c r="UU401" s="9" t="n">
        <v>202.5</v>
      </c>
      <c r="UY401" s="10" t="n">
        <v>46362</v>
      </c>
      <c r="VA401" s="9" t="n">
        <v>0</v>
      </c>
      <c r="VC401" s="9" t="n">
        <v>0</v>
      </c>
      <c r="VD401" s="9" t="n">
        <v>41.60000000000002</v>
      </c>
      <c r="VH401" s="10" t="n">
        <v>46362</v>
      </c>
      <c r="VJ401" s="9" t="n">
        <v>0</v>
      </c>
      <c r="VL401" s="9" t="n">
        <v>0</v>
      </c>
      <c r="VM401" s="9" t="n">
        <v>210</v>
      </c>
      <c r="VQ401" s="10" t="n">
        <v>46362</v>
      </c>
      <c r="VS401" s="9" t="n">
        <v>0</v>
      </c>
      <c r="VU401" s="9" t="n">
        <v>0</v>
      </c>
      <c r="VV401" s="9" t="n">
        <v>0</v>
      </c>
      <c r="VZ401" s="10" t="n">
        <v>46362</v>
      </c>
      <c r="WB401" s="9" t="n">
        <v>0</v>
      </c>
      <c r="WD401" s="9" t="n">
        <v>0</v>
      </c>
      <c r="WE401" s="9" t="n">
        <v>0</v>
      </c>
      <c r="WI401" s="10" t="n">
        <v>46362</v>
      </c>
      <c r="WK401" s="9" t="n">
        <v>0</v>
      </c>
      <c r="WM401" s="9" t="n">
        <v>0</v>
      </c>
      <c r="WN401" s="9" t="n">
        <v>1057</v>
      </c>
      <c r="WR401" s="10" t="n">
        <v>46362</v>
      </c>
      <c r="WT401" s="9" t="n">
        <v>0</v>
      </c>
      <c r="WV401" s="9" t="n">
        <v>0</v>
      </c>
      <c r="WW401" s="9" t="n">
        <v>0</v>
      </c>
      <c r="XA401" s="10" t="n">
        <v>46362</v>
      </c>
      <c r="XC401" s="9" t="n">
        <v>0</v>
      </c>
      <c r="XE401" s="9" t="n">
        <v>0</v>
      </c>
      <c r="XF401" s="9" t="n">
        <v>7507</v>
      </c>
      <c r="XJ401" s="10" t="n">
        <v>46362</v>
      </c>
      <c r="XL401" s="9" t="n">
        <v>0</v>
      </c>
      <c r="XN401" s="9" t="n">
        <v>0</v>
      </c>
      <c r="XO401" s="9" t="n">
        <v>4252</v>
      </c>
      <c r="XS401" s="10" t="n">
        <v>46362</v>
      </c>
      <c r="XU401" s="9" t="n">
        <v>0</v>
      </c>
      <c r="XW401" s="9" t="n">
        <v>0</v>
      </c>
      <c r="XX401" s="9" t="n">
        <v>2179</v>
      </c>
      <c r="YB401" s="10" t="n">
        <v>46362</v>
      </c>
      <c r="YD401" s="9" t="n">
        <v>0</v>
      </c>
      <c r="YF401" s="9" t="n">
        <v>0</v>
      </c>
      <c r="YG401" s="9" t="n">
        <v>4019</v>
      </c>
      <c r="YK401" s="10" t="n">
        <v>46362</v>
      </c>
      <c r="YM401" s="9" t="n">
        <v>0</v>
      </c>
      <c r="YO401" s="9" t="n">
        <v>0</v>
      </c>
      <c r="YP401" s="9" t="n">
        <v>-218</v>
      </c>
      <c r="YT401" s="10" t="n">
        <v>46362</v>
      </c>
      <c r="YV401" s="9" t="n">
        <v>0</v>
      </c>
      <c r="YX401" s="9" t="n">
        <v>0</v>
      </c>
      <c r="YY401" s="9" t="n">
        <v>0</v>
      </c>
      <c r="ZC401" s="10" t="n">
        <v>46362</v>
      </c>
      <c r="ZE401" s="9" t="n">
        <v>0</v>
      </c>
      <c r="ZG401" s="9" t="n">
        <v>0</v>
      </c>
      <c r="ZH401" s="9" t="n">
        <v>0</v>
      </c>
      <c r="ZL401" s="10" t="n">
        <v>46362</v>
      </c>
      <c r="ZN401" s="9" t="n">
        <v>0</v>
      </c>
      <c r="ZP401" s="9" t="n">
        <v>0</v>
      </c>
      <c r="ZQ401" s="9" t="n">
        <v>0</v>
      </c>
      <c r="ZU401" s="10" t="n">
        <v>46362</v>
      </c>
      <c r="ZW401" s="9" t="n">
        <v>0</v>
      </c>
      <c r="ZY401" s="9" t="n">
        <v>0</v>
      </c>
      <c r="ZZ401" s="9" t="n">
        <v>0</v>
      </c>
      <c r="AAD401" s="10" t="n">
        <v>46362</v>
      </c>
      <c r="AAF401" s="9" t="n">
        <v>0</v>
      </c>
      <c r="AAH401" s="9" t="n">
        <v>0</v>
      </c>
      <c r="AAI401" s="9" t="n">
        <v>0</v>
      </c>
      <c r="AAM401" s="10" t="n">
        <v>46362</v>
      </c>
      <c r="AAO401" s="9" t="n">
        <v>0</v>
      </c>
      <c r="AAQ401" s="9" t="n">
        <v>0</v>
      </c>
      <c r="AAR401" s="9" t="n">
        <v>0</v>
      </c>
      <c r="AAV401" s="10" t="n">
        <v>46362</v>
      </c>
      <c r="AAX401" s="9" t="n">
        <v>0</v>
      </c>
      <c r="AAZ401" s="9" t="n">
        <v>0</v>
      </c>
      <c r="ABA401" s="9" t="n">
        <v>0</v>
      </c>
      <c r="ABE401" s="10" t="n">
        <v>46362</v>
      </c>
      <c r="ABG401" s="9" t="n">
        <v>0</v>
      </c>
      <c r="ABI401" s="9" t="n">
        <v>0</v>
      </c>
      <c r="ABJ401" s="9" t="n">
        <v>0</v>
      </c>
    </row>
    <row r="402">
      <c r="C402" s="10" t="n">
        <v>46363</v>
      </c>
      <c r="E402" s="9" t="n">
        <v>0</v>
      </c>
      <c r="G402" s="9" t="n">
        <v>0</v>
      </c>
      <c r="H402" s="9" t="n">
        <v>236936.6</v>
      </c>
      <c r="L402" s="10" t="n">
        <v>46363</v>
      </c>
      <c r="N402" s="9" t="n">
        <v>0</v>
      </c>
      <c r="P402" s="9" t="n">
        <v>0</v>
      </c>
      <c r="Q402" s="9" t="n">
        <v>53017.60000000007</v>
      </c>
      <c r="U402" s="10" t="n">
        <v>46363</v>
      </c>
      <c r="W402" s="9" t="n">
        <v>0</v>
      </c>
      <c r="Y402" s="9" t="n">
        <v>0</v>
      </c>
      <c r="Z402" s="9" t="n">
        <v>42674.19999999997</v>
      </c>
      <c r="AD402" s="10" t="n">
        <v>46363</v>
      </c>
      <c r="AF402" s="9" t="n">
        <v>0</v>
      </c>
      <c r="AH402" s="9" t="n">
        <v>0</v>
      </c>
      <c r="AI402" s="9" t="n">
        <v>4522.200000000019</v>
      </c>
      <c r="AM402" s="10" t="n">
        <v>46363</v>
      </c>
      <c r="AO402" s="9" t="n">
        <v>0</v>
      </c>
      <c r="AQ402" s="9" t="n">
        <v>0</v>
      </c>
      <c r="AR402" s="9" t="n">
        <v>0</v>
      </c>
      <c r="AV402" s="10" t="n">
        <v>46363</v>
      </c>
      <c r="AX402" s="9" t="n">
        <v>0</v>
      </c>
      <c r="AZ402" s="9" t="n">
        <v>0</v>
      </c>
      <c r="BA402" s="9" t="n">
        <v>124.9999999999952</v>
      </c>
      <c r="BE402" s="10" t="n">
        <v>46363</v>
      </c>
      <c r="BG402" s="9" t="n">
        <v>0</v>
      </c>
      <c r="BI402" s="9" t="n">
        <v>0</v>
      </c>
      <c r="BJ402" s="9" t="n">
        <v>26151.9</v>
      </c>
      <c r="BN402" s="10" t="n">
        <v>46363</v>
      </c>
      <c r="BP402" s="9" t="n">
        <v>0</v>
      </c>
      <c r="BR402" s="9" t="n">
        <v>0</v>
      </c>
      <c r="BS402" s="9" t="n">
        <v>0</v>
      </c>
      <c r="BW402" s="10" t="n">
        <v>46363</v>
      </c>
      <c r="BY402" s="9" t="n">
        <v>0</v>
      </c>
      <c r="CA402" s="9" t="n">
        <v>0</v>
      </c>
      <c r="CB402" s="9" t="n">
        <v>2097.339999999999</v>
      </c>
      <c r="CF402" s="10" t="n">
        <v>46363</v>
      </c>
      <c r="CH402" s="9" t="n">
        <v>0</v>
      </c>
      <c r="CJ402" s="9" t="n">
        <v>0</v>
      </c>
      <c r="CK402" s="9" t="n">
        <v>-10277.08</v>
      </c>
      <c r="CO402" s="10" t="n">
        <v>46363</v>
      </c>
      <c r="CQ402" s="9" t="n">
        <v>0</v>
      </c>
      <c r="CS402" s="9" t="n">
        <v>0</v>
      </c>
      <c r="CT402" s="9" t="n">
        <v>0</v>
      </c>
      <c r="CX402" s="10" t="n">
        <v>46363</v>
      </c>
      <c r="CZ402" s="9" t="n">
        <v>0</v>
      </c>
      <c r="DB402" s="9" t="n">
        <v>0</v>
      </c>
      <c r="DC402" s="9" t="n">
        <v>27438.20000000001</v>
      </c>
      <c r="DG402" s="10" t="n">
        <v>46363</v>
      </c>
      <c r="DI402" s="9" t="n">
        <v>0</v>
      </c>
      <c r="DK402" s="9" t="n">
        <v>0</v>
      </c>
      <c r="DL402" s="9" t="n">
        <v>18782.29999999998</v>
      </c>
      <c r="DP402" s="10" t="n">
        <v>46363</v>
      </c>
      <c r="DR402" s="9" t="n">
        <v>0</v>
      </c>
      <c r="DT402" s="9" t="n">
        <v>0</v>
      </c>
      <c r="DU402" s="9" t="n">
        <v>5800</v>
      </c>
      <c r="DY402" s="10" t="n">
        <v>46363</v>
      </c>
      <c r="EA402" s="9" t="n">
        <v>0</v>
      </c>
      <c r="EC402" s="9" t="n">
        <v>0</v>
      </c>
      <c r="ED402" s="9" t="n">
        <v>0</v>
      </c>
      <c r="EH402" s="10" t="n">
        <v>46363</v>
      </c>
      <c r="EJ402" s="9" t="n">
        <v>0</v>
      </c>
      <c r="EL402" s="9" t="n">
        <v>0</v>
      </c>
      <c r="EM402" s="9" t="n">
        <v>0</v>
      </c>
      <c r="EQ402" s="10" t="n">
        <v>46363</v>
      </c>
      <c r="ES402" s="9" t="n">
        <v>0</v>
      </c>
      <c r="EU402" s="9" t="n">
        <v>0</v>
      </c>
      <c r="EV402" s="9" t="n">
        <v>0</v>
      </c>
      <c r="EZ402" s="10" t="n">
        <v>46363</v>
      </c>
      <c r="FB402" s="9" t="n">
        <v>0</v>
      </c>
      <c r="FD402" s="9" t="n">
        <v>0</v>
      </c>
      <c r="FE402" s="9" t="n">
        <v>0</v>
      </c>
      <c r="FI402" s="10" t="n">
        <v>46363</v>
      </c>
      <c r="FK402" s="9" t="n">
        <v>0</v>
      </c>
      <c r="FM402" s="9" t="n">
        <v>0</v>
      </c>
      <c r="FN402" s="9" t="n">
        <v>0</v>
      </c>
      <c r="FR402" s="10" t="n">
        <v>46363</v>
      </c>
      <c r="FT402" s="9" t="n">
        <v>0</v>
      </c>
      <c r="FV402" s="9" t="n">
        <v>0</v>
      </c>
      <c r="FW402" s="9" t="n">
        <v>2020</v>
      </c>
      <c r="GA402" s="10" t="n">
        <v>46363</v>
      </c>
      <c r="GC402" s="9" t="n">
        <v>0</v>
      </c>
      <c r="GE402" s="9" t="n">
        <v>0</v>
      </c>
      <c r="GF402" s="9" t="n">
        <v>960</v>
      </c>
      <c r="GJ402" s="10" t="n">
        <v>46363</v>
      </c>
      <c r="GL402" s="9" t="n">
        <v>0</v>
      </c>
      <c r="GN402" s="9" t="n">
        <v>0</v>
      </c>
      <c r="GO402" s="9" t="n">
        <v>1760</v>
      </c>
      <c r="GS402" s="10" t="n">
        <v>46363</v>
      </c>
      <c r="GU402" s="9" t="n">
        <v>0</v>
      </c>
      <c r="GW402" s="9" t="n">
        <v>0</v>
      </c>
      <c r="GX402" s="9" t="n">
        <v>400</v>
      </c>
      <c r="HB402" s="10" t="n">
        <v>46363</v>
      </c>
      <c r="HD402" s="9" t="n">
        <v>0</v>
      </c>
      <c r="HF402" s="9" t="n">
        <v>0</v>
      </c>
      <c r="HG402" s="9" t="n">
        <v>3600</v>
      </c>
      <c r="HK402" s="10" t="n">
        <v>46363</v>
      </c>
      <c r="HM402" s="9" t="n">
        <v>0</v>
      </c>
      <c r="HO402" s="9" t="n">
        <v>0</v>
      </c>
      <c r="HP402" s="9" t="n">
        <v>0</v>
      </c>
      <c r="HU402" s="10" t="n">
        <v>46363</v>
      </c>
      <c r="HW402" s="9" t="n">
        <v>0</v>
      </c>
      <c r="HY402" s="9" t="n">
        <v>0</v>
      </c>
      <c r="HZ402" s="9" t="n">
        <v>6120</v>
      </c>
      <c r="ID402" s="10" t="n">
        <v>46363</v>
      </c>
      <c r="IF402" s="9" t="n">
        <v>0</v>
      </c>
      <c r="IH402" s="9" t="n">
        <v>0</v>
      </c>
      <c r="II402" s="9" t="n">
        <v>0</v>
      </c>
      <c r="IM402" s="10" t="n">
        <v>46363</v>
      </c>
      <c r="IO402" s="9" t="n">
        <v>0</v>
      </c>
      <c r="IQ402" s="9" t="n">
        <v>0</v>
      </c>
      <c r="IR402" s="9" t="n">
        <v>0</v>
      </c>
      <c r="IV402" s="10" t="n">
        <v>46363</v>
      </c>
      <c r="IX402" s="9" t="n">
        <v>0</v>
      </c>
      <c r="IZ402" s="9" t="n">
        <v>0</v>
      </c>
      <c r="JA402" s="9" t="n">
        <v>2820</v>
      </c>
      <c r="JE402" s="10" t="n">
        <v>46363</v>
      </c>
      <c r="JG402" s="9" t="n">
        <v>0</v>
      </c>
      <c r="JI402" s="9" t="n">
        <v>0</v>
      </c>
      <c r="JJ402" s="9" t="n">
        <v>0</v>
      </c>
      <c r="JN402" s="10" t="n">
        <v>46363</v>
      </c>
      <c r="JP402" s="9" t="n">
        <v>0</v>
      </c>
      <c r="JR402" s="9" t="n">
        <v>0</v>
      </c>
      <c r="JS402" s="9" t="n">
        <v>0</v>
      </c>
      <c r="JW402" s="10" t="n">
        <v>46363</v>
      </c>
      <c r="JY402" s="9" t="n">
        <v>0</v>
      </c>
      <c r="KA402" s="9" t="n">
        <v>0</v>
      </c>
      <c r="KB402" s="9" t="n">
        <v>2540</v>
      </c>
      <c r="KF402" s="10" t="n">
        <v>46363</v>
      </c>
      <c r="KH402" s="9" t="n">
        <v>0</v>
      </c>
      <c r="KJ402" s="9" t="n">
        <v>0</v>
      </c>
      <c r="KK402" s="9" t="n">
        <v>2359.5</v>
      </c>
      <c r="KO402" s="10" t="n">
        <v>46363</v>
      </c>
      <c r="KQ402" s="9" t="n">
        <v>0</v>
      </c>
      <c r="KS402" s="9" t="n">
        <v>0</v>
      </c>
      <c r="KT402" s="9" t="n">
        <v>1890</v>
      </c>
      <c r="KX402" s="10" t="n">
        <v>46363</v>
      </c>
      <c r="KZ402" s="9" t="n">
        <v>0</v>
      </c>
      <c r="LB402" s="9" t="n">
        <v>0</v>
      </c>
      <c r="LC402" s="9" t="n">
        <v>3690</v>
      </c>
      <c r="LG402" s="10" t="n">
        <v>46363</v>
      </c>
      <c r="LI402" s="9" t="n">
        <v>0</v>
      </c>
      <c r="LK402" s="9" t="n">
        <v>0</v>
      </c>
      <c r="LL402" s="9" t="n">
        <v>4000</v>
      </c>
      <c r="LP402" s="10" t="n">
        <v>46363</v>
      </c>
      <c r="LR402" s="9" t="n">
        <v>0</v>
      </c>
      <c r="LT402" s="9" t="n">
        <v>0</v>
      </c>
      <c r="LU402" s="9" t="n">
        <v>0</v>
      </c>
      <c r="LY402" s="10" t="n">
        <v>46363</v>
      </c>
      <c r="MA402" s="9" t="n">
        <v>0</v>
      </c>
      <c r="MC402" s="9" t="n">
        <v>0</v>
      </c>
      <c r="MD402" s="9" t="n">
        <v>0</v>
      </c>
      <c r="MH402" s="10" t="n">
        <v>46363</v>
      </c>
      <c r="MJ402" s="9" t="n">
        <v>0</v>
      </c>
      <c r="ML402" s="9" t="n">
        <v>0</v>
      </c>
      <c r="MM402" s="9" t="n">
        <v>-18</v>
      </c>
      <c r="MQ402" s="10" t="n">
        <v>46363</v>
      </c>
      <c r="MS402" s="9" t="n">
        <v>0</v>
      </c>
      <c r="MU402" s="9" t="n">
        <v>0</v>
      </c>
      <c r="MV402" s="9" t="n">
        <v>1595</v>
      </c>
      <c r="MZ402" s="10" t="n">
        <v>46363</v>
      </c>
      <c r="NB402" s="9" t="n">
        <v>0</v>
      </c>
      <c r="ND402" s="9" t="n">
        <v>0</v>
      </c>
      <c r="NE402" s="9" t="n">
        <v>0</v>
      </c>
      <c r="NI402" s="10" t="n">
        <v>46363</v>
      </c>
      <c r="NK402" s="9" t="n">
        <v>0</v>
      </c>
      <c r="NM402" s="9" t="n">
        <v>0</v>
      </c>
      <c r="NN402" s="9" t="n">
        <v>1127</v>
      </c>
      <c r="NR402" s="10" t="n">
        <v>46363</v>
      </c>
      <c r="NT402" s="9" t="n">
        <v>0</v>
      </c>
      <c r="NV402" s="9" t="n">
        <v>0</v>
      </c>
      <c r="NW402" s="9" t="n">
        <v>3112</v>
      </c>
      <c r="OA402" s="10" t="n">
        <v>46363</v>
      </c>
      <c r="OC402" s="9" t="n">
        <v>0</v>
      </c>
      <c r="OE402" s="9" t="n">
        <v>0</v>
      </c>
      <c r="OF402" s="9" t="n">
        <v>1680.5</v>
      </c>
      <c r="OJ402" s="10" t="n">
        <v>46363</v>
      </c>
      <c r="OL402" s="9" t="n">
        <v>0</v>
      </c>
      <c r="ON402" s="9" t="n">
        <v>0</v>
      </c>
      <c r="OO402" s="9" t="n">
        <v>0</v>
      </c>
      <c r="OS402" s="10" t="n">
        <v>46363</v>
      </c>
      <c r="OU402" s="9" t="n">
        <v>0</v>
      </c>
      <c r="OW402" s="9" t="n">
        <v>0</v>
      </c>
      <c r="OX402" s="9" t="n">
        <v>1482</v>
      </c>
      <c r="PB402" s="10" t="n">
        <v>46363</v>
      </c>
      <c r="PD402" s="9" t="n">
        <v>0</v>
      </c>
      <c r="PF402" s="9" t="n">
        <v>0</v>
      </c>
      <c r="PG402" s="9" t="n">
        <v>0</v>
      </c>
      <c r="PK402" s="10" t="n">
        <v>46363</v>
      </c>
      <c r="PM402" s="9" t="n">
        <v>0</v>
      </c>
      <c r="PO402" s="9" t="n">
        <v>0</v>
      </c>
      <c r="PP402" s="9" t="n">
        <v>100</v>
      </c>
      <c r="PT402" s="10" t="n">
        <v>46363</v>
      </c>
      <c r="PV402" s="9" t="n">
        <v>0</v>
      </c>
      <c r="PX402" s="9" t="n">
        <v>0</v>
      </c>
      <c r="PY402" s="9" t="n">
        <v>13.96000000000004</v>
      </c>
      <c r="QC402" s="10" t="n">
        <v>46363</v>
      </c>
      <c r="QE402" s="9" t="n">
        <v>0</v>
      </c>
      <c r="QG402" s="9" t="n">
        <v>0</v>
      </c>
      <c r="QH402" s="9" t="n">
        <v>548</v>
      </c>
      <c r="QL402" s="10" t="n">
        <v>46363</v>
      </c>
      <c r="QN402" s="9" t="n">
        <v>0</v>
      </c>
      <c r="QP402" s="9" t="n">
        <v>0</v>
      </c>
      <c r="QQ402" s="9" t="n">
        <v>0</v>
      </c>
      <c r="QU402" s="10" t="n">
        <v>46363</v>
      </c>
      <c r="QW402" s="9" t="n">
        <v>0</v>
      </c>
      <c r="QY402" s="9" t="n">
        <v>0</v>
      </c>
      <c r="QZ402" s="9" t="n">
        <v>0</v>
      </c>
      <c r="RD402" s="10" t="n">
        <v>46363</v>
      </c>
      <c r="RF402" s="9" t="n">
        <v>0</v>
      </c>
      <c r="RH402" s="9" t="n">
        <v>0</v>
      </c>
      <c r="RI402" s="9" t="n">
        <v>147.04</v>
      </c>
      <c r="RM402" s="10" t="n">
        <v>46363</v>
      </c>
      <c r="RO402" s="9" t="n">
        <v>0</v>
      </c>
      <c r="RQ402" s="9" t="n">
        <v>0</v>
      </c>
      <c r="RR402" s="9" t="n">
        <v>46.8</v>
      </c>
      <c r="RV402" s="10" t="n">
        <v>46363</v>
      </c>
      <c r="RX402" s="9" t="n">
        <v>0</v>
      </c>
      <c r="RZ402" s="9" t="n">
        <v>0</v>
      </c>
      <c r="SA402" s="9" t="n">
        <v>0</v>
      </c>
      <c r="SE402" s="10" t="n">
        <v>46363</v>
      </c>
      <c r="SG402" s="9" t="n">
        <v>0</v>
      </c>
      <c r="SI402" s="9" t="n">
        <v>0</v>
      </c>
      <c r="SJ402" s="9" t="n">
        <v>24.2</v>
      </c>
      <c r="SN402" s="10" t="n">
        <v>46363</v>
      </c>
      <c r="SP402" s="9" t="n">
        <v>0</v>
      </c>
      <c r="SR402" s="9" t="n">
        <v>0</v>
      </c>
      <c r="SS402" s="9" t="n">
        <v>32</v>
      </c>
      <c r="SW402" s="10" t="n">
        <v>46363</v>
      </c>
      <c r="SY402" s="9" t="n">
        <v>0</v>
      </c>
      <c r="TA402" s="9" t="n">
        <v>0</v>
      </c>
      <c r="TB402" s="9" t="n">
        <v>0</v>
      </c>
      <c r="TF402" s="10" t="n">
        <v>46363</v>
      </c>
      <c r="TH402" s="9" t="n">
        <v>0</v>
      </c>
      <c r="TJ402" s="9" t="n">
        <v>0</v>
      </c>
      <c r="TK402" s="9" t="n">
        <v>0</v>
      </c>
      <c r="TO402" s="10" t="n">
        <v>46363</v>
      </c>
      <c r="TQ402" s="9" t="n">
        <v>0</v>
      </c>
      <c r="TS402" s="9" t="n">
        <v>0</v>
      </c>
      <c r="TT402" s="9" t="n">
        <v>0</v>
      </c>
      <c r="TX402" s="10" t="n">
        <v>46363</v>
      </c>
      <c r="TZ402" s="9" t="n">
        <v>0</v>
      </c>
      <c r="UB402" s="9" t="n">
        <v>0</v>
      </c>
      <c r="UC402" s="9" t="n">
        <v>46.79999999999998</v>
      </c>
      <c r="UG402" s="10" t="n">
        <v>46363</v>
      </c>
      <c r="UI402" s="9" t="n">
        <v>0</v>
      </c>
      <c r="UK402" s="9" t="n">
        <v>0</v>
      </c>
      <c r="UL402" s="9" t="n">
        <v>204</v>
      </c>
      <c r="UP402" s="10" t="n">
        <v>46363</v>
      </c>
      <c r="UR402" s="9" t="n">
        <v>0</v>
      </c>
      <c r="UT402" s="9" t="n">
        <v>0</v>
      </c>
      <c r="UU402" s="9" t="n">
        <v>202.5</v>
      </c>
      <c r="UY402" s="10" t="n">
        <v>46363</v>
      </c>
      <c r="VA402" s="9" t="n">
        <v>0</v>
      </c>
      <c r="VC402" s="9" t="n">
        <v>0</v>
      </c>
      <c r="VD402" s="9" t="n">
        <v>41.60000000000002</v>
      </c>
      <c r="VH402" s="10" t="n">
        <v>46363</v>
      </c>
      <c r="VJ402" s="9" t="n">
        <v>0</v>
      </c>
      <c r="VL402" s="9" t="n">
        <v>0</v>
      </c>
      <c r="VM402" s="9" t="n">
        <v>210</v>
      </c>
      <c r="VQ402" s="10" t="n">
        <v>46363</v>
      </c>
      <c r="VS402" s="9" t="n">
        <v>0</v>
      </c>
      <c r="VU402" s="9" t="n">
        <v>0</v>
      </c>
      <c r="VV402" s="9" t="n">
        <v>0</v>
      </c>
      <c r="VZ402" s="10" t="n">
        <v>46363</v>
      </c>
      <c r="WB402" s="9" t="n">
        <v>0</v>
      </c>
      <c r="WD402" s="9" t="n">
        <v>0</v>
      </c>
      <c r="WE402" s="9" t="n">
        <v>0</v>
      </c>
      <c r="WI402" s="10" t="n">
        <v>46363</v>
      </c>
      <c r="WK402" s="9" t="n">
        <v>0</v>
      </c>
      <c r="WM402" s="9" t="n">
        <v>0</v>
      </c>
      <c r="WN402" s="9" t="n">
        <v>1057</v>
      </c>
      <c r="WR402" s="10" t="n">
        <v>46363</v>
      </c>
      <c r="WT402" s="9" t="n">
        <v>0</v>
      </c>
      <c r="WV402" s="9" t="n">
        <v>0</v>
      </c>
      <c r="WW402" s="9" t="n">
        <v>0</v>
      </c>
      <c r="XA402" s="10" t="n">
        <v>46363</v>
      </c>
      <c r="XC402" s="9" t="n">
        <v>0</v>
      </c>
      <c r="XE402" s="9" t="n">
        <v>0</v>
      </c>
      <c r="XF402" s="9" t="n">
        <v>7507</v>
      </c>
      <c r="XJ402" s="10" t="n">
        <v>46363</v>
      </c>
      <c r="XL402" s="9" t="n">
        <v>0</v>
      </c>
      <c r="XN402" s="9" t="n">
        <v>0</v>
      </c>
      <c r="XO402" s="9" t="n">
        <v>4252</v>
      </c>
      <c r="XS402" s="10" t="n">
        <v>46363</v>
      </c>
      <c r="XU402" s="9" t="n">
        <v>0</v>
      </c>
      <c r="XW402" s="9" t="n">
        <v>0</v>
      </c>
      <c r="XX402" s="9" t="n">
        <v>2179</v>
      </c>
      <c r="YB402" s="10" t="n">
        <v>46363</v>
      </c>
      <c r="YD402" s="9" t="n">
        <v>0</v>
      </c>
      <c r="YF402" s="9" t="n">
        <v>0</v>
      </c>
      <c r="YG402" s="9" t="n">
        <v>4019</v>
      </c>
      <c r="YK402" s="10" t="n">
        <v>46363</v>
      </c>
      <c r="YM402" s="9" t="n">
        <v>0</v>
      </c>
      <c r="YO402" s="9" t="n">
        <v>0</v>
      </c>
      <c r="YP402" s="9" t="n">
        <v>-218</v>
      </c>
      <c r="YT402" s="10" t="n">
        <v>46363</v>
      </c>
      <c r="YV402" s="9" t="n">
        <v>0</v>
      </c>
      <c r="YX402" s="9" t="n">
        <v>0</v>
      </c>
      <c r="YY402" s="9" t="n">
        <v>0</v>
      </c>
      <c r="ZC402" s="10" t="n">
        <v>46363</v>
      </c>
      <c r="ZE402" s="9" t="n">
        <v>0</v>
      </c>
      <c r="ZG402" s="9" t="n">
        <v>0</v>
      </c>
      <c r="ZH402" s="9" t="n">
        <v>0</v>
      </c>
      <c r="ZL402" s="10" t="n">
        <v>46363</v>
      </c>
      <c r="ZN402" s="9" t="n">
        <v>0</v>
      </c>
      <c r="ZP402" s="9" t="n">
        <v>0</v>
      </c>
      <c r="ZQ402" s="9" t="n">
        <v>0</v>
      </c>
      <c r="ZU402" s="10" t="n">
        <v>46363</v>
      </c>
      <c r="ZW402" s="9" t="n">
        <v>0</v>
      </c>
      <c r="ZY402" s="9" t="n">
        <v>0</v>
      </c>
      <c r="ZZ402" s="9" t="n">
        <v>0</v>
      </c>
      <c r="AAD402" s="10" t="n">
        <v>46363</v>
      </c>
      <c r="AAF402" s="9" t="n">
        <v>0</v>
      </c>
      <c r="AAH402" s="9" t="n">
        <v>0</v>
      </c>
      <c r="AAI402" s="9" t="n">
        <v>0</v>
      </c>
      <c r="AAM402" s="10" t="n">
        <v>46363</v>
      </c>
      <c r="AAO402" s="9" t="n">
        <v>0</v>
      </c>
      <c r="AAQ402" s="9" t="n">
        <v>0</v>
      </c>
      <c r="AAR402" s="9" t="n">
        <v>0</v>
      </c>
      <c r="AAV402" s="10" t="n">
        <v>46363</v>
      </c>
      <c r="AAX402" s="9" t="n">
        <v>0</v>
      </c>
      <c r="AAZ402" s="9" t="n">
        <v>0</v>
      </c>
      <c r="ABA402" s="9" t="n">
        <v>0</v>
      </c>
      <c r="ABE402" s="10" t="n">
        <v>46363</v>
      </c>
      <c r="ABG402" s="9" t="n">
        <v>0</v>
      </c>
      <c r="ABI402" s="9" t="n">
        <v>0</v>
      </c>
      <c r="ABJ402" s="9" t="n">
        <v>0</v>
      </c>
    </row>
    <row r="403">
      <c r="C403" s="10" t="n">
        <v>46364</v>
      </c>
      <c r="E403" s="9" t="n">
        <v>0</v>
      </c>
      <c r="G403" s="9" t="n">
        <v>0</v>
      </c>
      <c r="H403" s="9" t="n">
        <v>236936.6</v>
      </c>
      <c r="L403" s="10" t="n">
        <v>46364</v>
      </c>
      <c r="N403" s="9" t="n">
        <v>0</v>
      </c>
      <c r="P403" s="9" t="n">
        <v>0</v>
      </c>
      <c r="Q403" s="9" t="n">
        <v>53017.60000000007</v>
      </c>
      <c r="U403" s="10" t="n">
        <v>46364</v>
      </c>
      <c r="W403" s="9" t="n">
        <v>0</v>
      </c>
      <c r="Y403" s="9" t="n">
        <v>0</v>
      </c>
      <c r="Z403" s="9" t="n">
        <v>42674.19999999997</v>
      </c>
      <c r="AD403" s="10" t="n">
        <v>46364</v>
      </c>
      <c r="AF403" s="9" t="n">
        <v>0</v>
      </c>
      <c r="AH403" s="9" t="n">
        <v>0</v>
      </c>
      <c r="AI403" s="9" t="n">
        <v>4522.200000000019</v>
      </c>
      <c r="AM403" s="10" t="n">
        <v>46364</v>
      </c>
      <c r="AO403" s="9" t="n">
        <v>0</v>
      </c>
      <c r="AQ403" s="9" t="n">
        <v>0</v>
      </c>
      <c r="AR403" s="9" t="n">
        <v>0</v>
      </c>
      <c r="AV403" s="10" t="n">
        <v>46364</v>
      </c>
      <c r="AX403" s="9" t="n">
        <v>0</v>
      </c>
      <c r="AZ403" s="9" t="n">
        <v>0</v>
      </c>
      <c r="BA403" s="9" t="n">
        <v>124.9999999999952</v>
      </c>
      <c r="BE403" s="10" t="n">
        <v>46364</v>
      </c>
      <c r="BG403" s="9" t="n">
        <v>0</v>
      </c>
      <c r="BI403" s="9" t="n">
        <v>0</v>
      </c>
      <c r="BJ403" s="9" t="n">
        <v>26151.9</v>
      </c>
      <c r="BN403" s="10" t="n">
        <v>46364</v>
      </c>
      <c r="BP403" s="9" t="n">
        <v>0</v>
      </c>
      <c r="BR403" s="9" t="n">
        <v>0</v>
      </c>
      <c r="BS403" s="9" t="n">
        <v>0</v>
      </c>
      <c r="BW403" s="10" t="n">
        <v>46364</v>
      </c>
      <c r="BY403" s="9" t="n">
        <v>0</v>
      </c>
      <c r="CA403" s="9" t="n">
        <v>0</v>
      </c>
      <c r="CB403" s="9" t="n">
        <v>2097.339999999999</v>
      </c>
      <c r="CF403" s="10" t="n">
        <v>46364</v>
      </c>
      <c r="CH403" s="9" t="n">
        <v>0</v>
      </c>
      <c r="CJ403" s="9" t="n">
        <v>0</v>
      </c>
      <c r="CK403" s="9" t="n">
        <v>-10277.08</v>
      </c>
      <c r="CO403" s="10" t="n">
        <v>46364</v>
      </c>
      <c r="CQ403" s="9" t="n">
        <v>0</v>
      </c>
      <c r="CS403" s="9" t="n">
        <v>0</v>
      </c>
      <c r="CT403" s="9" t="n">
        <v>0</v>
      </c>
      <c r="CX403" s="10" t="n">
        <v>46364</v>
      </c>
      <c r="CZ403" s="9" t="n">
        <v>0</v>
      </c>
      <c r="DB403" s="9" t="n">
        <v>0</v>
      </c>
      <c r="DC403" s="9" t="n">
        <v>27438.20000000001</v>
      </c>
      <c r="DG403" s="10" t="n">
        <v>46364</v>
      </c>
      <c r="DI403" s="9" t="n">
        <v>0</v>
      </c>
      <c r="DK403" s="9" t="n">
        <v>0</v>
      </c>
      <c r="DL403" s="9" t="n">
        <v>18782.29999999998</v>
      </c>
      <c r="DP403" s="10" t="n">
        <v>46364</v>
      </c>
      <c r="DR403" s="9" t="n">
        <v>0</v>
      </c>
      <c r="DT403" s="9" t="n">
        <v>0</v>
      </c>
      <c r="DU403" s="9" t="n">
        <v>5800</v>
      </c>
      <c r="DY403" s="10" t="n">
        <v>46364</v>
      </c>
      <c r="EA403" s="9" t="n">
        <v>0</v>
      </c>
      <c r="EC403" s="9" t="n">
        <v>0</v>
      </c>
      <c r="ED403" s="9" t="n">
        <v>0</v>
      </c>
      <c r="EH403" s="10" t="n">
        <v>46364</v>
      </c>
      <c r="EJ403" s="9" t="n">
        <v>0</v>
      </c>
      <c r="EL403" s="9" t="n">
        <v>0</v>
      </c>
      <c r="EM403" s="9" t="n">
        <v>0</v>
      </c>
      <c r="EQ403" s="10" t="n">
        <v>46364</v>
      </c>
      <c r="ES403" s="9" t="n">
        <v>0</v>
      </c>
      <c r="EU403" s="9" t="n">
        <v>0</v>
      </c>
      <c r="EV403" s="9" t="n">
        <v>0</v>
      </c>
      <c r="EZ403" s="10" t="n">
        <v>46364</v>
      </c>
      <c r="FB403" s="9" t="n">
        <v>0</v>
      </c>
      <c r="FD403" s="9" t="n">
        <v>0</v>
      </c>
      <c r="FE403" s="9" t="n">
        <v>0</v>
      </c>
      <c r="FI403" s="10" t="n">
        <v>46364</v>
      </c>
      <c r="FK403" s="9" t="n">
        <v>0</v>
      </c>
      <c r="FM403" s="9" t="n">
        <v>0</v>
      </c>
      <c r="FN403" s="9" t="n">
        <v>0</v>
      </c>
      <c r="FR403" s="10" t="n">
        <v>46364</v>
      </c>
      <c r="FT403" s="9" t="n">
        <v>0</v>
      </c>
      <c r="FV403" s="9" t="n">
        <v>0</v>
      </c>
      <c r="FW403" s="9" t="n">
        <v>2020</v>
      </c>
      <c r="GA403" s="10" t="n">
        <v>46364</v>
      </c>
      <c r="GC403" s="9" t="n">
        <v>0</v>
      </c>
      <c r="GE403" s="9" t="n">
        <v>0</v>
      </c>
      <c r="GF403" s="9" t="n">
        <v>960</v>
      </c>
      <c r="GJ403" s="10" t="n">
        <v>46364</v>
      </c>
      <c r="GL403" s="9" t="n">
        <v>0</v>
      </c>
      <c r="GN403" s="9" t="n">
        <v>0</v>
      </c>
      <c r="GO403" s="9" t="n">
        <v>1760</v>
      </c>
      <c r="GS403" s="10" t="n">
        <v>46364</v>
      </c>
      <c r="GU403" s="9" t="n">
        <v>0</v>
      </c>
      <c r="GW403" s="9" t="n">
        <v>0</v>
      </c>
      <c r="GX403" s="9" t="n">
        <v>400</v>
      </c>
      <c r="HB403" s="10" t="n">
        <v>46364</v>
      </c>
      <c r="HD403" s="9" t="n">
        <v>0</v>
      </c>
      <c r="HF403" s="9" t="n">
        <v>0</v>
      </c>
      <c r="HG403" s="9" t="n">
        <v>3600</v>
      </c>
      <c r="HK403" s="10" t="n">
        <v>46364</v>
      </c>
      <c r="HM403" s="9" t="n">
        <v>0</v>
      </c>
      <c r="HO403" s="9" t="n">
        <v>0</v>
      </c>
      <c r="HP403" s="9" t="n">
        <v>0</v>
      </c>
      <c r="HU403" s="10" t="n">
        <v>46364</v>
      </c>
      <c r="HW403" s="9" t="n">
        <v>0</v>
      </c>
      <c r="HY403" s="9" t="n">
        <v>0</v>
      </c>
      <c r="HZ403" s="9" t="n">
        <v>6120</v>
      </c>
      <c r="ID403" s="10" t="n">
        <v>46364</v>
      </c>
      <c r="IF403" s="9" t="n">
        <v>0</v>
      </c>
      <c r="IH403" s="9" t="n">
        <v>0</v>
      </c>
      <c r="II403" s="9" t="n">
        <v>0</v>
      </c>
      <c r="IM403" s="10" t="n">
        <v>46364</v>
      </c>
      <c r="IO403" s="9" t="n">
        <v>0</v>
      </c>
      <c r="IQ403" s="9" t="n">
        <v>0</v>
      </c>
      <c r="IR403" s="9" t="n">
        <v>0</v>
      </c>
      <c r="IV403" s="10" t="n">
        <v>46364</v>
      </c>
      <c r="IX403" s="9" t="n">
        <v>0</v>
      </c>
      <c r="IZ403" s="9" t="n">
        <v>0</v>
      </c>
      <c r="JA403" s="9" t="n">
        <v>2820</v>
      </c>
      <c r="JE403" s="10" t="n">
        <v>46364</v>
      </c>
      <c r="JG403" s="9" t="n">
        <v>0</v>
      </c>
      <c r="JI403" s="9" t="n">
        <v>0</v>
      </c>
      <c r="JJ403" s="9" t="n">
        <v>0</v>
      </c>
      <c r="JN403" s="10" t="n">
        <v>46364</v>
      </c>
      <c r="JP403" s="9" t="n">
        <v>0</v>
      </c>
      <c r="JR403" s="9" t="n">
        <v>0</v>
      </c>
      <c r="JS403" s="9" t="n">
        <v>0</v>
      </c>
      <c r="JW403" s="10" t="n">
        <v>46364</v>
      </c>
      <c r="JY403" s="9" t="n">
        <v>0</v>
      </c>
      <c r="KA403" s="9" t="n">
        <v>0</v>
      </c>
      <c r="KB403" s="9" t="n">
        <v>2540</v>
      </c>
      <c r="KF403" s="10" t="n">
        <v>46364</v>
      </c>
      <c r="KH403" s="9" t="n">
        <v>0</v>
      </c>
      <c r="KJ403" s="9" t="n">
        <v>0</v>
      </c>
      <c r="KK403" s="9" t="n">
        <v>2359.5</v>
      </c>
      <c r="KO403" s="10" t="n">
        <v>46364</v>
      </c>
      <c r="KQ403" s="9" t="n">
        <v>0</v>
      </c>
      <c r="KS403" s="9" t="n">
        <v>0</v>
      </c>
      <c r="KT403" s="9" t="n">
        <v>1890</v>
      </c>
      <c r="KX403" s="10" t="n">
        <v>46364</v>
      </c>
      <c r="KZ403" s="9" t="n">
        <v>0</v>
      </c>
      <c r="LB403" s="9" t="n">
        <v>0</v>
      </c>
      <c r="LC403" s="9" t="n">
        <v>3690</v>
      </c>
      <c r="LG403" s="10" t="n">
        <v>46364</v>
      </c>
      <c r="LI403" s="9" t="n">
        <v>0</v>
      </c>
      <c r="LK403" s="9" t="n">
        <v>0</v>
      </c>
      <c r="LL403" s="9" t="n">
        <v>4000</v>
      </c>
      <c r="LP403" s="10" t="n">
        <v>46364</v>
      </c>
      <c r="LR403" s="9" t="n">
        <v>0</v>
      </c>
      <c r="LT403" s="9" t="n">
        <v>0</v>
      </c>
      <c r="LU403" s="9" t="n">
        <v>0</v>
      </c>
      <c r="LY403" s="10" t="n">
        <v>46364</v>
      </c>
      <c r="MA403" s="9" t="n">
        <v>0</v>
      </c>
      <c r="MC403" s="9" t="n">
        <v>0</v>
      </c>
      <c r="MD403" s="9" t="n">
        <v>0</v>
      </c>
      <c r="MH403" s="10" t="n">
        <v>46364</v>
      </c>
      <c r="MJ403" s="9" t="n">
        <v>0</v>
      </c>
      <c r="ML403" s="9" t="n">
        <v>0</v>
      </c>
      <c r="MM403" s="9" t="n">
        <v>-18</v>
      </c>
      <c r="MQ403" s="10" t="n">
        <v>46364</v>
      </c>
      <c r="MS403" s="9" t="n">
        <v>0</v>
      </c>
      <c r="MU403" s="9" t="n">
        <v>0</v>
      </c>
      <c r="MV403" s="9" t="n">
        <v>1595</v>
      </c>
      <c r="MZ403" s="10" t="n">
        <v>46364</v>
      </c>
      <c r="NB403" s="9" t="n">
        <v>0</v>
      </c>
      <c r="ND403" s="9" t="n">
        <v>0</v>
      </c>
      <c r="NE403" s="9" t="n">
        <v>0</v>
      </c>
      <c r="NI403" s="10" t="n">
        <v>46364</v>
      </c>
      <c r="NK403" s="9" t="n">
        <v>0</v>
      </c>
      <c r="NM403" s="9" t="n">
        <v>0</v>
      </c>
      <c r="NN403" s="9" t="n">
        <v>1127</v>
      </c>
      <c r="NR403" s="10" t="n">
        <v>46364</v>
      </c>
      <c r="NT403" s="9" t="n">
        <v>0</v>
      </c>
      <c r="NV403" s="9" t="n">
        <v>0</v>
      </c>
      <c r="NW403" s="9" t="n">
        <v>3112</v>
      </c>
      <c r="OA403" s="10" t="n">
        <v>46364</v>
      </c>
      <c r="OC403" s="9" t="n">
        <v>0</v>
      </c>
      <c r="OE403" s="9" t="n">
        <v>0</v>
      </c>
      <c r="OF403" s="9" t="n">
        <v>1680.5</v>
      </c>
      <c r="OJ403" s="10" t="n">
        <v>46364</v>
      </c>
      <c r="OL403" s="9" t="n">
        <v>0</v>
      </c>
      <c r="ON403" s="9" t="n">
        <v>0</v>
      </c>
      <c r="OO403" s="9" t="n">
        <v>0</v>
      </c>
      <c r="OS403" s="10" t="n">
        <v>46364</v>
      </c>
      <c r="OU403" s="9" t="n">
        <v>0</v>
      </c>
      <c r="OW403" s="9" t="n">
        <v>0</v>
      </c>
      <c r="OX403" s="9" t="n">
        <v>1482</v>
      </c>
      <c r="PB403" s="10" t="n">
        <v>46364</v>
      </c>
      <c r="PD403" s="9" t="n">
        <v>0</v>
      </c>
      <c r="PF403" s="9" t="n">
        <v>0</v>
      </c>
      <c r="PG403" s="9" t="n">
        <v>0</v>
      </c>
      <c r="PK403" s="10" t="n">
        <v>46364</v>
      </c>
      <c r="PM403" s="9" t="n">
        <v>0</v>
      </c>
      <c r="PO403" s="9" t="n">
        <v>0</v>
      </c>
      <c r="PP403" s="9" t="n">
        <v>100</v>
      </c>
      <c r="PT403" s="10" t="n">
        <v>46364</v>
      </c>
      <c r="PV403" s="9" t="n">
        <v>0</v>
      </c>
      <c r="PX403" s="9" t="n">
        <v>0</v>
      </c>
      <c r="PY403" s="9" t="n">
        <v>13.96000000000004</v>
      </c>
      <c r="QC403" s="10" t="n">
        <v>46364</v>
      </c>
      <c r="QE403" s="9" t="n">
        <v>0</v>
      </c>
      <c r="QG403" s="9" t="n">
        <v>0</v>
      </c>
      <c r="QH403" s="9" t="n">
        <v>548</v>
      </c>
      <c r="QL403" s="10" t="n">
        <v>46364</v>
      </c>
      <c r="QN403" s="9" t="n">
        <v>0</v>
      </c>
      <c r="QP403" s="9" t="n">
        <v>0</v>
      </c>
      <c r="QQ403" s="9" t="n">
        <v>0</v>
      </c>
      <c r="QU403" s="10" t="n">
        <v>46364</v>
      </c>
      <c r="QW403" s="9" t="n">
        <v>0</v>
      </c>
      <c r="QY403" s="9" t="n">
        <v>0</v>
      </c>
      <c r="QZ403" s="9" t="n">
        <v>0</v>
      </c>
      <c r="RD403" s="10" t="n">
        <v>46364</v>
      </c>
      <c r="RF403" s="9" t="n">
        <v>0</v>
      </c>
      <c r="RH403" s="9" t="n">
        <v>0</v>
      </c>
      <c r="RI403" s="9" t="n">
        <v>147.04</v>
      </c>
      <c r="RM403" s="10" t="n">
        <v>46364</v>
      </c>
      <c r="RO403" s="9" t="n">
        <v>0</v>
      </c>
      <c r="RQ403" s="9" t="n">
        <v>0</v>
      </c>
      <c r="RR403" s="9" t="n">
        <v>46.8</v>
      </c>
      <c r="RV403" s="10" t="n">
        <v>46364</v>
      </c>
      <c r="RX403" s="9" t="n">
        <v>0</v>
      </c>
      <c r="RZ403" s="9" t="n">
        <v>0</v>
      </c>
      <c r="SA403" s="9" t="n">
        <v>0</v>
      </c>
      <c r="SE403" s="10" t="n">
        <v>46364</v>
      </c>
      <c r="SG403" s="9" t="n">
        <v>0</v>
      </c>
      <c r="SI403" s="9" t="n">
        <v>0</v>
      </c>
      <c r="SJ403" s="9" t="n">
        <v>24.2</v>
      </c>
      <c r="SN403" s="10" t="n">
        <v>46364</v>
      </c>
      <c r="SP403" s="9" t="n">
        <v>0</v>
      </c>
      <c r="SR403" s="9" t="n">
        <v>0</v>
      </c>
      <c r="SS403" s="9" t="n">
        <v>32</v>
      </c>
      <c r="SW403" s="10" t="n">
        <v>46364</v>
      </c>
      <c r="SY403" s="9" t="n">
        <v>0</v>
      </c>
      <c r="TA403" s="9" t="n">
        <v>0</v>
      </c>
      <c r="TB403" s="9" t="n">
        <v>0</v>
      </c>
      <c r="TF403" s="10" t="n">
        <v>46364</v>
      </c>
      <c r="TH403" s="9" t="n">
        <v>0</v>
      </c>
      <c r="TJ403" s="9" t="n">
        <v>0</v>
      </c>
      <c r="TK403" s="9" t="n">
        <v>0</v>
      </c>
      <c r="TO403" s="10" t="n">
        <v>46364</v>
      </c>
      <c r="TQ403" s="9" t="n">
        <v>0</v>
      </c>
      <c r="TS403" s="9" t="n">
        <v>0</v>
      </c>
      <c r="TT403" s="9" t="n">
        <v>0</v>
      </c>
      <c r="TX403" s="10" t="n">
        <v>46364</v>
      </c>
      <c r="TZ403" s="9" t="n">
        <v>0</v>
      </c>
      <c r="UB403" s="9" t="n">
        <v>0</v>
      </c>
      <c r="UC403" s="9" t="n">
        <v>46.79999999999998</v>
      </c>
      <c r="UG403" s="10" t="n">
        <v>46364</v>
      </c>
      <c r="UI403" s="9" t="n">
        <v>0</v>
      </c>
      <c r="UK403" s="9" t="n">
        <v>0</v>
      </c>
      <c r="UL403" s="9" t="n">
        <v>204</v>
      </c>
      <c r="UP403" s="10" t="n">
        <v>46364</v>
      </c>
      <c r="UR403" s="9" t="n">
        <v>0</v>
      </c>
      <c r="UT403" s="9" t="n">
        <v>0</v>
      </c>
      <c r="UU403" s="9" t="n">
        <v>202.5</v>
      </c>
      <c r="UY403" s="10" t="n">
        <v>46364</v>
      </c>
      <c r="VA403" s="9" t="n">
        <v>0</v>
      </c>
      <c r="VC403" s="9" t="n">
        <v>0</v>
      </c>
      <c r="VD403" s="9" t="n">
        <v>41.60000000000002</v>
      </c>
      <c r="VH403" s="10" t="n">
        <v>46364</v>
      </c>
      <c r="VJ403" s="9" t="n">
        <v>0</v>
      </c>
      <c r="VL403" s="9" t="n">
        <v>0</v>
      </c>
      <c r="VM403" s="9" t="n">
        <v>210</v>
      </c>
      <c r="VQ403" s="10" t="n">
        <v>46364</v>
      </c>
      <c r="VS403" s="9" t="n">
        <v>0</v>
      </c>
      <c r="VU403" s="9" t="n">
        <v>0</v>
      </c>
      <c r="VV403" s="9" t="n">
        <v>0</v>
      </c>
      <c r="VZ403" s="10" t="n">
        <v>46364</v>
      </c>
      <c r="WB403" s="9" t="n">
        <v>0</v>
      </c>
      <c r="WD403" s="9" t="n">
        <v>0</v>
      </c>
      <c r="WE403" s="9" t="n">
        <v>0</v>
      </c>
      <c r="WI403" s="10" t="n">
        <v>46364</v>
      </c>
      <c r="WK403" s="9" t="n">
        <v>0</v>
      </c>
      <c r="WM403" s="9" t="n">
        <v>0</v>
      </c>
      <c r="WN403" s="9" t="n">
        <v>1057</v>
      </c>
      <c r="WR403" s="10" t="n">
        <v>46364</v>
      </c>
      <c r="WT403" s="9" t="n">
        <v>0</v>
      </c>
      <c r="WV403" s="9" t="n">
        <v>0</v>
      </c>
      <c r="WW403" s="9" t="n">
        <v>0</v>
      </c>
      <c r="XA403" s="10" t="n">
        <v>46364</v>
      </c>
      <c r="XC403" s="9" t="n">
        <v>0</v>
      </c>
      <c r="XE403" s="9" t="n">
        <v>0</v>
      </c>
      <c r="XF403" s="9" t="n">
        <v>7507</v>
      </c>
      <c r="XJ403" s="10" t="n">
        <v>46364</v>
      </c>
      <c r="XL403" s="9" t="n">
        <v>0</v>
      </c>
      <c r="XN403" s="9" t="n">
        <v>0</v>
      </c>
      <c r="XO403" s="9" t="n">
        <v>4252</v>
      </c>
      <c r="XS403" s="10" t="n">
        <v>46364</v>
      </c>
      <c r="XU403" s="9" t="n">
        <v>0</v>
      </c>
      <c r="XW403" s="9" t="n">
        <v>0</v>
      </c>
      <c r="XX403" s="9" t="n">
        <v>2179</v>
      </c>
      <c r="YB403" s="10" t="n">
        <v>46364</v>
      </c>
      <c r="YD403" s="9" t="n">
        <v>0</v>
      </c>
      <c r="YF403" s="9" t="n">
        <v>0</v>
      </c>
      <c r="YG403" s="9" t="n">
        <v>4019</v>
      </c>
      <c r="YK403" s="10" t="n">
        <v>46364</v>
      </c>
      <c r="YM403" s="9" t="n">
        <v>0</v>
      </c>
      <c r="YO403" s="9" t="n">
        <v>0</v>
      </c>
      <c r="YP403" s="9" t="n">
        <v>-218</v>
      </c>
      <c r="YT403" s="10" t="n">
        <v>46364</v>
      </c>
      <c r="YV403" s="9" t="n">
        <v>0</v>
      </c>
      <c r="YX403" s="9" t="n">
        <v>0</v>
      </c>
      <c r="YY403" s="9" t="n">
        <v>0</v>
      </c>
      <c r="ZC403" s="10" t="n">
        <v>46364</v>
      </c>
      <c r="ZE403" s="9" t="n">
        <v>0</v>
      </c>
      <c r="ZG403" s="9" t="n">
        <v>0</v>
      </c>
      <c r="ZH403" s="9" t="n">
        <v>0</v>
      </c>
      <c r="ZL403" s="10" t="n">
        <v>46364</v>
      </c>
      <c r="ZN403" s="9" t="n">
        <v>0</v>
      </c>
      <c r="ZP403" s="9" t="n">
        <v>0</v>
      </c>
      <c r="ZQ403" s="9" t="n">
        <v>0</v>
      </c>
      <c r="ZU403" s="10" t="n">
        <v>46364</v>
      </c>
      <c r="ZW403" s="9" t="n">
        <v>0</v>
      </c>
      <c r="ZY403" s="9" t="n">
        <v>0</v>
      </c>
      <c r="ZZ403" s="9" t="n">
        <v>0</v>
      </c>
      <c r="AAD403" s="10" t="n">
        <v>46364</v>
      </c>
      <c r="AAF403" s="9" t="n">
        <v>0</v>
      </c>
      <c r="AAH403" s="9" t="n">
        <v>0</v>
      </c>
      <c r="AAI403" s="9" t="n">
        <v>0</v>
      </c>
      <c r="AAM403" s="10" t="n">
        <v>46364</v>
      </c>
      <c r="AAO403" s="9" t="n">
        <v>0</v>
      </c>
      <c r="AAQ403" s="9" t="n">
        <v>0</v>
      </c>
      <c r="AAR403" s="9" t="n">
        <v>0</v>
      </c>
      <c r="AAV403" s="10" t="n">
        <v>46364</v>
      </c>
      <c r="AAX403" s="9" t="n">
        <v>0</v>
      </c>
      <c r="AAZ403" s="9" t="n">
        <v>0</v>
      </c>
      <c r="ABA403" s="9" t="n">
        <v>0</v>
      </c>
      <c r="ABE403" s="10" t="n">
        <v>46364</v>
      </c>
      <c r="ABG403" s="9" t="n">
        <v>0</v>
      </c>
      <c r="ABI403" s="9" t="n">
        <v>0</v>
      </c>
      <c r="ABJ403" s="9" t="n">
        <v>0</v>
      </c>
    </row>
    <row r="404">
      <c r="C404" s="10" t="n">
        <v>46365</v>
      </c>
      <c r="E404" s="9" t="n">
        <v>0</v>
      </c>
      <c r="G404" s="9" t="n">
        <v>0</v>
      </c>
      <c r="H404" s="9" t="n">
        <v>236936.6</v>
      </c>
      <c r="L404" s="10" t="n">
        <v>46365</v>
      </c>
      <c r="N404" s="9" t="n">
        <v>0</v>
      </c>
      <c r="P404" s="9" t="n">
        <v>0</v>
      </c>
      <c r="Q404" s="9" t="n">
        <v>53017.60000000007</v>
      </c>
      <c r="U404" s="10" t="n">
        <v>46365</v>
      </c>
      <c r="W404" s="9" t="n">
        <v>0</v>
      </c>
      <c r="Y404" s="9" t="n">
        <v>0</v>
      </c>
      <c r="Z404" s="9" t="n">
        <v>42674.19999999997</v>
      </c>
      <c r="AD404" s="10" t="n">
        <v>46365</v>
      </c>
      <c r="AF404" s="9" t="n">
        <v>0</v>
      </c>
      <c r="AH404" s="9" t="n">
        <v>0</v>
      </c>
      <c r="AI404" s="9" t="n">
        <v>4522.200000000019</v>
      </c>
      <c r="AM404" s="10" t="n">
        <v>46365</v>
      </c>
      <c r="AO404" s="9" t="n">
        <v>0</v>
      </c>
      <c r="AQ404" s="9" t="n">
        <v>0</v>
      </c>
      <c r="AR404" s="9" t="n">
        <v>0</v>
      </c>
      <c r="AV404" s="10" t="n">
        <v>46365</v>
      </c>
      <c r="AX404" s="9" t="n">
        <v>0</v>
      </c>
      <c r="AZ404" s="9" t="n">
        <v>0</v>
      </c>
      <c r="BA404" s="9" t="n">
        <v>124.9999999999952</v>
      </c>
      <c r="BE404" s="10" t="n">
        <v>46365</v>
      </c>
      <c r="BG404" s="9" t="n">
        <v>0</v>
      </c>
      <c r="BI404" s="9" t="n">
        <v>0</v>
      </c>
      <c r="BJ404" s="9" t="n">
        <v>26151.9</v>
      </c>
      <c r="BN404" s="10" t="n">
        <v>46365</v>
      </c>
      <c r="BP404" s="9" t="n">
        <v>0</v>
      </c>
      <c r="BR404" s="9" t="n">
        <v>0</v>
      </c>
      <c r="BS404" s="9" t="n">
        <v>0</v>
      </c>
      <c r="BW404" s="10" t="n">
        <v>46365</v>
      </c>
      <c r="BY404" s="9" t="n">
        <v>0</v>
      </c>
      <c r="CA404" s="9" t="n">
        <v>0</v>
      </c>
      <c r="CB404" s="9" t="n">
        <v>2097.339999999999</v>
      </c>
      <c r="CF404" s="10" t="n">
        <v>46365</v>
      </c>
      <c r="CH404" s="9" t="n">
        <v>0</v>
      </c>
      <c r="CJ404" s="9" t="n">
        <v>0</v>
      </c>
      <c r="CK404" s="9" t="n">
        <v>-10277.08</v>
      </c>
      <c r="CO404" s="10" t="n">
        <v>46365</v>
      </c>
      <c r="CQ404" s="9" t="n">
        <v>0</v>
      </c>
      <c r="CS404" s="9" t="n">
        <v>0</v>
      </c>
      <c r="CT404" s="9" t="n">
        <v>0</v>
      </c>
      <c r="CX404" s="10" t="n">
        <v>46365</v>
      </c>
      <c r="CZ404" s="9" t="n">
        <v>0</v>
      </c>
      <c r="DB404" s="9" t="n">
        <v>0</v>
      </c>
      <c r="DC404" s="9" t="n">
        <v>27438.20000000001</v>
      </c>
      <c r="DG404" s="10" t="n">
        <v>46365</v>
      </c>
      <c r="DI404" s="9" t="n">
        <v>0</v>
      </c>
      <c r="DK404" s="9" t="n">
        <v>0</v>
      </c>
      <c r="DL404" s="9" t="n">
        <v>18782.29999999998</v>
      </c>
      <c r="DP404" s="10" t="n">
        <v>46365</v>
      </c>
      <c r="DR404" s="9" t="n">
        <v>0</v>
      </c>
      <c r="DT404" s="9" t="n">
        <v>0</v>
      </c>
      <c r="DU404" s="9" t="n">
        <v>5800</v>
      </c>
      <c r="DY404" s="10" t="n">
        <v>46365</v>
      </c>
      <c r="EA404" s="9" t="n">
        <v>0</v>
      </c>
      <c r="EC404" s="9" t="n">
        <v>0</v>
      </c>
      <c r="ED404" s="9" t="n">
        <v>0</v>
      </c>
      <c r="EH404" s="10" t="n">
        <v>46365</v>
      </c>
      <c r="EJ404" s="9" t="n">
        <v>0</v>
      </c>
      <c r="EL404" s="9" t="n">
        <v>0</v>
      </c>
      <c r="EM404" s="9" t="n">
        <v>0</v>
      </c>
      <c r="EQ404" s="10" t="n">
        <v>46365</v>
      </c>
      <c r="ES404" s="9" t="n">
        <v>0</v>
      </c>
      <c r="EU404" s="9" t="n">
        <v>0</v>
      </c>
      <c r="EV404" s="9" t="n">
        <v>0</v>
      </c>
      <c r="EZ404" s="10" t="n">
        <v>46365</v>
      </c>
      <c r="FB404" s="9" t="n">
        <v>0</v>
      </c>
      <c r="FD404" s="9" t="n">
        <v>0</v>
      </c>
      <c r="FE404" s="9" t="n">
        <v>0</v>
      </c>
      <c r="FI404" s="10" t="n">
        <v>46365</v>
      </c>
      <c r="FK404" s="9" t="n">
        <v>0</v>
      </c>
      <c r="FM404" s="9" t="n">
        <v>0</v>
      </c>
      <c r="FN404" s="9" t="n">
        <v>0</v>
      </c>
      <c r="FR404" s="10" t="n">
        <v>46365</v>
      </c>
      <c r="FT404" s="9" t="n">
        <v>0</v>
      </c>
      <c r="FV404" s="9" t="n">
        <v>0</v>
      </c>
      <c r="FW404" s="9" t="n">
        <v>2020</v>
      </c>
      <c r="GA404" s="10" t="n">
        <v>46365</v>
      </c>
      <c r="GC404" s="9" t="n">
        <v>0</v>
      </c>
      <c r="GE404" s="9" t="n">
        <v>0</v>
      </c>
      <c r="GF404" s="9" t="n">
        <v>960</v>
      </c>
      <c r="GJ404" s="10" t="n">
        <v>46365</v>
      </c>
      <c r="GL404" s="9" t="n">
        <v>0</v>
      </c>
      <c r="GN404" s="9" t="n">
        <v>0</v>
      </c>
      <c r="GO404" s="9" t="n">
        <v>1760</v>
      </c>
      <c r="GS404" s="10" t="n">
        <v>46365</v>
      </c>
      <c r="GU404" s="9" t="n">
        <v>0</v>
      </c>
      <c r="GW404" s="9" t="n">
        <v>0</v>
      </c>
      <c r="GX404" s="9" t="n">
        <v>400</v>
      </c>
      <c r="HB404" s="10" t="n">
        <v>46365</v>
      </c>
      <c r="HD404" s="9" t="n">
        <v>0</v>
      </c>
      <c r="HF404" s="9" t="n">
        <v>0</v>
      </c>
      <c r="HG404" s="9" t="n">
        <v>3600</v>
      </c>
      <c r="HK404" s="10" t="n">
        <v>46365</v>
      </c>
      <c r="HM404" s="9" t="n">
        <v>0</v>
      </c>
      <c r="HO404" s="9" t="n">
        <v>0</v>
      </c>
      <c r="HP404" s="9" t="n">
        <v>0</v>
      </c>
      <c r="HU404" s="10" t="n">
        <v>46365</v>
      </c>
      <c r="HW404" s="9" t="n">
        <v>0</v>
      </c>
      <c r="HY404" s="9" t="n">
        <v>0</v>
      </c>
      <c r="HZ404" s="9" t="n">
        <v>6120</v>
      </c>
      <c r="ID404" s="10" t="n">
        <v>46365</v>
      </c>
      <c r="IF404" s="9" t="n">
        <v>0</v>
      </c>
      <c r="IH404" s="9" t="n">
        <v>0</v>
      </c>
      <c r="II404" s="9" t="n">
        <v>0</v>
      </c>
      <c r="IM404" s="10" t="n">
        <v>46365</v>
      </c>
      <c r="IO404" s="9" t="n">
        <v>0</v>
      </c>
      <c r="IQ404" s="9" t="n">
        <v>0</v>
      </c>
      <c r="IR404" s="9" t="n">
        <v>0</v>
      </c>
      <c r="IV404" s="10" t="n">
        <v>46365</v>
      </c>
      <c r="IX404" s="9" t="n">
        <v>0</v>
      </c>
      <c r="IZ404" s="9" t="n">
        <v>0</v>
      </c>
      <c r="JA404" s="9" t="n">
        <v>2820</v>
      </c>
      <c r="JE404" s="10" t="n">
        <v>46365</v>
      </c>
      <c r="JG404" s="9" t="n">
        <v>0</v>
      </c>
      <c r="JI404" s="9" t="n">
        <v>0</v>
      </c>
      <c r="JJ404" s="9" t="n">
        <v>0</v>
      </c>
      <c r="JN404" s="10" t="n">
        <v>46365</v>
      </c>
      <c r="JP404" s="9" t="n">
        <v>0</v>
      </c>
      <c r="JR404" s="9" t="n">
        <v>0</v>
      </c>
      <c r="JS404" s="9" t="n">
        <v>0</v>
      </c>
      <c r="JW404" s="10" t="n">
        <v>46365</v>
      </c>
      <c r="JY404" s="9" t="n">
        <v>0</v>
      </c>
      <c r="KA404" s="9" t="n">
        <v>0</v>
      </c>
      <c r="KB404" s="9" t="n">
        <v>2540</v>
      </c>
      <c r="KF404" s="10" t="n">
        <v>46365</v>
      </c>
      <c r="KH404" s="9" t="n">
        <v>0</v>
      </c>
      <c r="KJ404" s="9" t="n">
        <v>0</v>
      </c>
      <c r="KK404" s="9" t="n">
        <v>2359.5</v>
      </c>
      <c r="KO404" s="10" t="n">
        <v>46365</v>
      </c>
      <c r="KQ404" s="9" t="n">
        <v>0</v>
      </c>
      <c r="KS404" s="9" t="n">
        <v>0</v>
      </c>
      <c r="KT404" s="9" t="n">
        <v>1890</v>
      </c>
      <c r="KX404" s="10" t="n">
        <v>46365</v>
      </c>
      <c r="KZ404" s="9" t="n">
        <v>0</v>
      </c>
      <c r="LB404" s="9" t="n">
        <v>0</v>
      </c>
      <c r="LC404" s="9" t="n">
        <v>3690</v>
      </c>
      <c r="LG404" s="10" t="n">
        <v>46365</v>
      </c>
      <c r="LI404" s="9" t="n">
        <v>0</v>
      </c>
      <c r="LK404" s="9" t="n">
        <v>0</v>
      </c>
      <c r="LL404" s="9" t="n">
        <v>4000</v>
      </c>
      <c r="LP404" s="10" t="n">
        <v>46365</v>
      </c>
      <c r="LR404" s="9" t="n">
        <v>0</v>
      </c>
      <c r="LT404" s="9" t="n">
        <v>0</v>
      </c>
      <c r="LU404" s="9" t="n">
        <v>0</v>
      </c>
      <c r="LY404" s="10" t="n">
        <v>46365</v>
      </c>
      <c r="MA404" s="9" t="n">
        <v>0</v>
      </c>
      <c r="MC404" s="9" t="n">
        <v>0</v>
      </c>
      <c r="MD404" s="9" t="n">
        <v>0</v>
      </c>
      <c r="MH404" s="10" t="n">
        <v>46365</v>
      </c>
      <c r="MJ404" s="9" t="n">
        <v>0</v>
      </c>
      <c r="ML404" s="9" t="n">
        <v>0</v>
      </c>
      <c r="MM404" s="9" t="n">
        <v>-18</v>
      </c>
      <c r="MQ404" s="10" t="n">
        <v>46365</v>
      </c>
      <c r="MS404" s="9" t="n">
        <v>0</v>
      </c>
      <c r="MU404" s="9" t="n">
        <v>0</v>
      </c>
      <c r="MV404" s="9" t="n">
        <v>1595</v>
      </c>
      <c r="MZ404" s="10" t="n">
        <v>46365</v>
      </c>
      <c r="NB404" s="9" t="n">
        <v>0</v>
      </c>
      <c r="ND404" s="9" t="n">
        <v>0</v>
      </c>
      <c r="NE404" s="9" t="n">
        <v>0</v>
      </c>
      <c r="NI404" s="10" t="n">
        <v>46365</v>
      </c>
      <c r="NK404" s="9" t="n">
        <v>0</v>
      </c>
      <c r="NM404" s="9" t="n">
        <v>0</v>
      </c>
      <c r="NN404" s="9" t="n">
        <v>1127</v>
      </c>
      <c r="NR404" s="10" t="n">
        <v>46365</v>
      </c>
      <c r="NT404" s="9" t="n">
        <v>0</v>
      </c>
      <c r="NV404" s="9" t="n">
        <v>0</v>
      </c>
      <c r="NW404" s="9" t="n">
        <v>3112</v>
      </c>
      <c r="OA404" s="10" t="n">
        <v>46365</v>
      </c>
      <c r="OC404" s="9" t="n">
        <v>0</v>
      </c>
      <c r="OE404" s="9" t="n">
        <v>0</v>
      </c>
      <c r="OF404" s="9" t="n">
        <v>1680.5</v>
      </c>
      <c r="OJ404" s="10" t="n">
        <v>46365</v>
      </c>
      <c r="OL404" s="9" t="n">
        <v>0</v>
      </c>
      <c r="ON404" s="9" t="n">
        <v>0</v>
      </c>
      <c r="OO404" s="9" t="n">
        <v>0</v>
      </c>
      <c r="OS404" s="10" t="n">
        <v>46365</v>
      </c>
      <c r="OU404" s="9" t="n">
        <v>0</v>
      </c>
      <c r="OW404" s="9" t="n">
        <v>0</v>
      </c>
      <c r="OX404" s="9" t="n">
        <v>1482</v>
      </c>
      <c r="PB404" s="10" t="n">
        <v>46365</v>
      </c>
      <c r="PD404" s="9" t="n">
        <v>0</v>
      </c>
      <c r="PF404" s="9" t="n">
        <v>0</v>
      </c>
      <c r="PG404" s="9" t="n">
        <v>0</v>
      </c>
      <c r="PK404" s="10" t="n">
        <v>46365</v>
      </c>
      <c r="PM404" s="9" t="n">
        <v>0</v>
      </c>
      <c r="PO404" s="9" t="n">
        <v>0</v>
      </c>
      <c r="PP404" s="9" t="n">
        <v>100</v>
      </c>
      <c r="PT404" s="10" t="n">
        <v>46365</v>
      </c>
      <c r="PV404" s="9" t="n">
        <v>0</v>
      </c>
      <c r="PX404" s="9" t="n">
        <v>0</v>
      </c>
      <c r="PY404" s="9" t="n">
        <v>13.96000000000004</v>
      </c>
      <c r="QC404" s="10" t="n">
        <v>46365</v>
      </c>
      <c r="QE404" s="9" t="n">
        <v>0</v>
      </c>
      <c r="QG404" s="9" t="n">
        <v>0</v>
      </c>
      <c r="QH404" s="9" t="n">
        <v>548</v>
      </c>
      <c r="QL404" s="10" t="n">
        <v>46365</v>
      </c>
      <c r="QN404" s="9" t="n">
        <v>0</v>
      </c>
      <c r="QP404" s="9" t="n">
        <v>0</v>
      </c>
      <c r="QQ404" s="9" t="n">
        <v>0</v>
      </c>
      <c r="QU404" s="10" t="n">
        <v>46365</v>
      </c>
      <c r="QW404" s="9" t="n">
        <v>0</v>
      </c>
      <c r="QY404" s="9" t="n">
        <v>0</v>
      </c>
      <c r="QZ404" s="9" t="n">
        <v>0</v>
      </c>
      <c r="RD404" s="10" t="n">
        <v>46365</v>
      </c>
      <c r="RF404" s="9" t="n">
        <v>0</v>
      </c>
      <c r="RH404" s="9" t="n">
        <v>0</v>
      </c>
      <c r="RI404" s="9" t="n">
        <v>147.04</v>
      </c>
      <c r="RM404" s="10" t="n">
        <v>46365</v>
      </c>
      <c r="RO404" s="9" t="n">
        <v>0</v>
      </c>
      <c r="RQ404" s="9" t="n">
        <v>0</v>
      </c>
      <c r="RR404" s="9" t="n">
        <v>46.8</v>
      </c>
      <c r="RV404" s="10" t="n">
        <v>46365</v>
      </c>
      <c r="RX404" s="9" t="n">
        <v>0</v>
      </c>
      <c r="RZ404" s="9" t="n">
        <v>0</v>
      </c>
      <c r="SA404" s="9" t="n">
        <v>0</v>
      </c>
      <c r="SE404" s="10" t="n">
        <v>46365</v>
      </c>
      <c r="SG404" s="9" t="n">
        <v>0</v>
      </c>
      <c r="SI404" s="9" t="n">
        <v>0</v>
      </c>
      <c r="SJ404" s="9" t="n">
        <v>24.2</v>
      </c>
      <c r="SN404" s="10" t="n">
        <v>46365</v>
      </c>
      <c r="SP404" s="9" t="n">
        <v>0</v>
      </c>
      <c r="SR404" s="9" t="n">
        <v>0</v>
      </c>
      <c r="SS404" s="9" t="n">
        <v>32</v>
      </c>
      <c r="SW404" s="10" t="n">
        <v>46365</v>
      </c>
      <c r="SY404" s="9" t="n">
        <v>0</v>
      </c>
      <c r="TA404" s="9" t="n">
        <v>0</v>
      </c>
      <c r="TB404" s="9" t="n">
        <v>0</v>
      </c>
      <c r="TF404" s="10" t="n">
        <v>46365</v>
      </c>
      <c r="TH404" s="9" t="n">
        <v>0</v>
      </c>
      <c r="TJ404" s="9" t="n">
        <v>0</v>
      </c>
      <c r="TK404" s="9" t="n">
        <v>0</v>
      </c>
      <c r="TO404" s="10" t="n">
        <v>46365</v>
      </c>
      <c r="TQ404" s="9" t="n">
        <v>0</v>
      </c>
      <c r="TS404" s="9" t="n">
        <v>0</v>
      </c>
      <c r="TT404" s="9" t="n">
        <v>0</v>
      </c>
      <c r="TX404" s="10" t="n">
        <v>46365</v>
      </c>
      <c r="TZ404" s="9" t="n">
        <v>0</v>
      </c>
      <c r="UB404" s="9" t="n">
        <v>0</v>
      </c>
      <c r="UC404" s="9" t="n">
        <v>46.79999999999998</v>
      </c>
      <c r="UG404" s="10" t="n">
        <v>46365</v>
      </c>
      <c r="UI404" s="9" t="n">
        <v>0</v>
      </c>
      <c r="UK404" s="9" t="n">
        <v>0</v>
      </c>
      <c r="UL404" s="9" t="n">
        <v>204</v>
      </c>
      <c r="UP404" s="10" t="n">
        <v>46365</v>
      </c>
      <c r="UR404" s="9" t="n">
        <v>0</v>
      </c>
      <c r="UT404" s="9" t="n">
        <v>0</v>
      </c>
      <c r="UU404" s="9" t="n">
        <v>202.5</v>
      </c>
      <c r="UY404" s="10" t="n">
        <v>46365</v>
      </c>
      <c r="VA404" s="9" t="n">
        <v>0</v>
      </c>
      <c r="VC404" s="9" t="n">
        <v>0</v>
      </c>
      <c r="VD404" s="9" t="n">
        <v>41.60000000000002</v>
      </c>
      <c r="VH404" s="10" t="n">
        <v>46365</v>
      </c>
      <c r="VJ404" s="9" t="n">
        <v>0</v>
      </c>
      <c r="VL404" s="9" t="n">
        <v>0</v>
      </c>
      <c r="VM404" s="9" t="n">
        <v>210</v>
      </c>
      <c r="VQ404" s="10" t="n">
        <v>46365</v>
      </c>
      <c r="VS404" s="9" t="n">
        <v>0</v>
      </c>
      <c r="VU404" s="9" t="n">
        <v>0</v>
      </c>
      <c r="VV404" s="9" t="n">
        <v>0</v>
      </c>
      <c r="VZ404" s="10" t="n">
        <v>46365</v>
      </c>
      <c r="WB404" s="9" t="n">
        <v>0</v>
      </c>
      <c r="WD404" s="9" t="n">
        <v>0</v>
      </c>
      <c r="WE404" s="9" t="n">
        <v>0</v>
      </c>
      <c r="WI404" s="10" t="n">
        <v>46365</v>
      </c>
      <c r="WK404" s="9" t="n">
        <v>0</v>
      </c>
      <c r="WM404" s="9" t="n">
        <v>0</v>
      </c>
      <c r="WN404" s="9" t="n">
        <v>1057</v>
      </c>
      <c r="WR404" s="10" t="n">
        <v>46365</v>
      </c>
      <c r="WT404" s="9" t="n">
        <v>0</v>
      </c>
      <c r="WV404" s="9" t="n">
        <v>0</v>
      </c>
      <c r="WW404" s="9" t="n">
        <v>0</v>
      </c>
      <c r="XA404" s="10" t="n">
        <v>46365</v>
      </c>
      <c r="XC404" s="9" t="n">
        <v>0</v>
      </c>
      <c r="XE404" s="9" t="n">
        <v>0</v>
      </c>
      <c r="XF404" s="9" t="n">
        <v>7507</v>
      </c>
      <c r="XJ404" s="10" t="n">
        <v>46365</v>
      </c>
      <c r="XL404" s="9" t="n">
        <v>0</v>
      </c>
      <c r="XN404" s="9" t="n">
        <v>0</v>
      </c>
      <c r="XO404" s="9" t="n">
        <v>4252</v>
      </c>
      <c r="XS404" s="10" t="n">
        <v>46365</v>
      </c>
      <c r="XU404" s="9" t="n">
        <v>0</v>
      </c>
      <c r="XW404" s="9" t="n">
        <v>0</v>
      </c>
      <c r="XX404" s="9" t="n">
        <v>2179</v>
      </c>
      <c r="YB404" s="10" t="n">
        <v>46365</v>
      </c>
      <c r="YD404" s="9" t="n">
        <v>0</v>
      </c>
      <c r="YF404" s="9" t="n">
        <v>0</v>
      </c>
      <c r="YG404" s="9" t="n">
        <v>4019</v>
      </c>
      <c r="YK404" s="10" t="n">
        <v>46365</v>
      </c>
      <c r="YM404" s="9" t="n">
        <v>0</v>
      </c>
      <c r="YO404" s="9" t="n">
        <v>0</v>
      </c>
      <c r="YP404" s="9" t="n">
        <v>-218</v>
      </c>
      <c r="YT404" s="10" t="n">
        <v>46365</v>
      </c>
      <c r="YV404" s="9" t="n">
        <v>0</v>
      </c>
      <c r="YX404" s="9" t="n">
        <v>0</v>
      </c>
      <c r="YY404" s="9" t="n">
        <v>0</v>
      </c>
      <c r="ZC404" s="10" t="n">
        <v>46365</v>
      </c>
      <c r="ZE404" s="9" t="n">
        <v>0</v>
      </c>
      <c r="ZG404" s="9" t="n">
        <v>0</v>
      </c>
      <c r="ZH404" s="9" t="n">
        <v>0</v>
      </c>
      <c r="ZL404" s="10" t="n">
        <v>46365</v>
      </c>
      <c r="ZN404" s="9" t="n">
        <v>0</v>
      </c>
      <c r="ZP404" s="9" t="n">
        <v>0</v>
      </c>
      <c r="ZQ404" s="9" t="n">
        <v>0</v>
      </c>
      <c r="ZU404" s="10" t="n">
        <v>46365</v>
      </c>
      <c r="ZW404" s="9" t="n">
        <v>0</v>
      </c>
      <c r="ZY404" s="9" t="n">
        <v>0</v>
      </c>
      <c r="ZZ404" s="9" t="n">
        <v>0</v>
      </c>
      <c r="AAD404" s="10" t="n">
        <v>46365</v>
      </c>
      <c r="AAF404" s="9" t="n">
        <v>0</v>
      </c>
      <c r="AAH404" s="9" t="n">
        <v>0</v>
      </c>
      <c r="AAI404" s="9" t="n">
        <v>0</v>
      </c>
      <c r="AAM404" s="10" t="n">
        <v>46365</v>
      </c>
      <c r="AAO404" s="9" t="n">
        <v>0</v>
      </c>
      <c r="AAQ404" s="9" t="n">
        <v>0</v>
      </c>
      <c r="AAR404" s="9" t="n">
        <v>0</v>
      </c>
      <c r="AAV404" s="10" t="n">
        <v>46365</v>
      </c>
      <c r="AAX404" s="9" t="n">
        <v>0</v>
      </c>
      <c r="AAZ404" s="9" t="n">
        <v>0</v>
      </c>
      <c r="ABA404" s="9" t="n">
        <v>0</v>
      </c>
      <c r="ABE404" s="10" t="n">
        <v>46365</v>
      </c>
      <c r="ABG404" s="9" t="n">
        <v>0</v>
      </c>
      <c r="ABI404" s="9" t="n">
        <v>0</v>
      </c>
      <c r="ABJ404" s="9" t="n">
        <v>0</v>
      </c>
    </row>
    <row r="405">
      <c r="C405" s="10" t="n">
        <v>46366</v>
      </c>
      <c r="E405" s="9" t="n">
        <v>0</v>
      </c>
      <c r="G405" s="9" t="n">
        <v>0</v>
      </c>
      <c r="H405" s="9" t="n">
        <v>236936.6</v>
      </c>
      <c r="L405" s="10" t="n">
        <v>46366</v>
      </c>
      <c r="N405" s="9" t="n">
        <v>0</v>
      </c>
      <c r="P405" s="9" t="n">
        <v>0</v>
      </c>
      <c r="Q405" s="9" t="n">
        <v>53017.60000000007</v>
      </c>
      <c r="U405" s="10" t="n">
        <v>46366</v>
      </c>
      <c r="W405" s="9" t="n">
        <v>0</v>
      </c>
      <c r="Y405" s="9" t="n">
        <v>0</v>
      </c>
      <c r="Z405" s="9" t="n">
        <v>42674.19999999997</v>
      </c>
      <c r="AD405" s="10" t="n">
        <v>46366</v>
      </c>
      <c r="AF405" s="9" t="n">
        <v>0</v>
      </c>
      <c r="AH405" s="9" t="n">
        <v>0</v>
      </c>
      <c r="AI405" s="9" t="n">
        <v>4522.200000000019</v>
      </c>
      <c r="AM405" s="10" t="n">
        <v>46366</v>
      </c>
      <c r="AO405" s="9" t="n">
        <v>0</v>
      </c>
      <c r="AQ405" s="9" t="n">
        <v>0</v>
      </c>
      <c r="AR405" s="9" t="n">
        <v>0</v>
      </c>
      <c r="AV405" s="10" t="n">
        <v>46366</v>
      </c>
      <c r="AX405" s="9" t="n">
        <v>0</v>
      </c>
      <c r="AZ405" s="9" t="n">
        <v>0</v>
      </c>
      <c r="BA405" s="9" t="n">
        <v>124.9999999999952</v>
      </c>
      <c r="BE405" s="10" t="n">
        <v>46366</v>
      </c>
      <c r="BG405" s="9" t="n">
        <v>0</v>
      </c>
      <c r="BI405" s="9" t="n">
        <v>0</v>
      </c>
      <c r="BJ405" s="9" t="n">
        <v>26151.9</v>
      </c>
      <c r="BN405" s="10" t="n">
        <v>46366</v>
      </c>
      <c r="BP405" s="9" t="n">
        <v>0</v>
      </c>
      <c r="BR405" s="9" t="n">
        <v>0</v>
      </c>
      <c r="BS405" s="9" t="n">
        <v>0</v>
      </c>
      <c r="BW405" s="10" t="n">
        <v>46366</v>
      </c>
      <c r="BY405" s="9" t="n">
        <v>0</v>
      </c>
      <c r="CA405" s="9" t="n">
        <v>0</v>
      </c>
      <c r="CB405" s="9" t="n">
        <v>2097.339999999999</v>
      </c>
      <c r="CF405" s="10" t="n">
        <v>46366</v>
      </c>
      <c r="CH405" s="9" t="n">
        <v>0</v>
      </c>
      <c r="CJ405" s="9" t="n">
        <v>0</v>
      </c>
      <c r="CK405" s="9" t="n">
        <v>-10277.08</v>
      </c>
      <c r="CO405" s="10" t="n">
        <v>46366</v>
      </c>
      <c r="CQ405" s="9" t="n">
        <v>0</v>
      </c>
      <c r="CS405" s="9" t="n">
        <v>0</v>
      </c>
      <c r="CT405" s="9" t="n">
        <v>0</v>
      </c>
      <c r="CX405" s="10" t="n">
        <v>46366</v>
      </c>
      <c r="CZ405" s="9" t="n">
        <v>0</v>
      </c>
      <c r="DB405" s="9" t="n">
        <v>0</v>
      </c>
      <c r="DC405" s="9" t="n">
        <v>27438.20000000001</v>
      </c>
      <c r="DG405" s="10" t="n">
        <v>46366</v>
      </c>
      <c r="DI405" s="9" t="n">
        <v>0</v>
      </c>
      <c r="DK405" s="9" t="n">
        <v>0</v>
      </c>
      <c r="DL405" s="9" t="n">
        <v>18782.29999999998</v>
      </c>
      <c r="DP405" s="10" t="n">
        <v>46366</v>
      </c>
      <c r="DR405" s="9" t="n">
        <v>0</v>
      </c>
      <c r="DT405" s="9" t="n">
        <v>0</v>
      </c>
      <c r="DU405" s="9" t="n">
        <v>5800</v>
      </c>
      <c r="DY405" s="10" t="n">
        <v>46366</v>
      </c>
      <c r="EA405" s="9" t="n">
        <v>0</v>
      </c>
      <c r="EC405" s="9" t="n">
        <v>0</v>
      </c>
      <c r="ED405" s="9" t="n">
        <v>0</v>
      </c>
      <c r="EH405" s="10" t="n">
        <v>46366</v>
      </c>
      <c r="EJ405" s="9" t="n">
        <v>0</v>
      </c>
      <c r="EL405" s="9" t="n">
        <v>0</v>
      </c>
      <c r="EM405" s="9" t="n">
        <v>0</v>
      </c>
      <c r="EQ405" s="10" t="n">
        <v>46366</v>
      </c>
      <c r="ES405" s="9" t="n">
        <v>0</v>
      </c>
      <c r="EU405" s="9" t="n">
        <v>0</v>
      </c>
      <c r="EV405" s="9" t="n">
        <v>0</v>
      </c>
      <c r="EZ405" s="10" t="n">
        <v>46366</v>
      </c>
      <c r="FB405" s="9" t="n">
        <v>0</v>
      </c>
      <c r="FD405" s="9" t="n">
        <v>0</v>
      </c>
      <c r="FE405" s="9" t="n">
        <v>0</v>
      </c>
      <c r="FI405" s="10" t="n">
        <v>46366</v>
      </c>
      <c r="FK405" s="9" t="n">
        <v>0</v>
      </c>
      <c r="FM405" s="9" t="n">
        <v>0</v>
      </c>
      <c r="FN405" s="9" t="n">
        <v>0</v>
      </c>
      <c r="FR405" s="10" t="n">
        <v>46366</v>
      </c>
      <c r="FT405" s="9" t="n">
        <v>0</v>
      </c>
      <c r="FV405" s="9" t="n">
        <v>0</v>
      </c>
      <c r="FW405" s="9" t="n">
        <v>2020</v>
      </c>
      <c r="GA405" s="10" t="n">
        <v>46366</v>
      </c>
      <c r="GC405" s="9" t="n">
        <v>0</v>
      </c>
      <c r="GE405" s="9" t="n">
        <v>0</v>
      </c>
      <c r="GF405" s="9" t="n">
        <v>960</v>
      </c>
      <c r="GJ405" s="10" t="n">
        <v>46366</v>
      </c>
      <c r="GL405" s="9" t="n">
        <v>0</v>
      </c>
      <c r="GN405" s="9" t="n">
        <v>0</v>
      </c>
      <c r="GO405" s="9" t="n">
        <v>1760</v>
      </c>
      <c r="GS405" s="10" t="n">
        <v>46366</v>
      </c>
      <c r="GU405" s="9" t="n">
        <v>0</v>
      </c>
      <c r="GW405" s="9" t="n">
        <v>0</v>
      </c>
      <c r="GX405" s="9" t="n">
        <v>400</v>
      </c>
      <c r="HB405" s="10" t="n">
        <v>46366</v>
      </c>
      <c r="HD405" s="9" t="n">
        <v>0</v>
      </c>
      <c r="HF405" s="9" t="n">
        <v>0</v>
      </c>
      <c r="HG405" s="9" t="n">
        <v>3600</v>
      </c>
      <c r="HK405" s="10" t="n">
        <v>46366</v>
      </c>
      <c r="HM405" s="9" t="n">
        <v>0</v>
      </c>
      <c r="HO405" s="9" t="n">
        <v>0</v>
      </c>
      <c r="HP405" s="9" t="n">
        <v>0</v>
      </c>
      <c r="HU405" s="10" t="n">
        <v>46366</v>
      </c>
      <c r="HW405" s="9" t="n">
        <v>0</v>
      </c>
      <c r="HY405" s="9" t="n">
        <v>0</v>
      </c>
      <c r="HZ405" s="9" t="n">
        <v>6120</v>
      </c>
      <c r="ID405" s="10" t="n">
        <v>46366</v>
      </c>
      <c r="IF405" s="9" t="n">
        <v>0</v>
      </c>
      <c r="IH405" s="9" t="n">
        <v>0</v>
      </c>
      <c r="II405" s="9" t="n">
        <v>0</v>
      </c>
      <c r="IM405" s="10" t="n">
        <v>46366</v>
      </c>
      <c r="IO405" s="9" t="n">
        <v>0</v>
      </c>
      <c r="IQ405" s="9" t="n">
        <v>0</v>
      </c>
      <c r="IR405" s="9" t="n">
        <v>0</v>
      </c>
      <c r="IV405" s="10" t="n">
        <v>46366</v>
      </c>
      <c r="IX405" s="9" t="n">
        <v>0</v>
      </c>
      <c r="IZ405" s="9" t="n">
        <v>0</v>
      </c>
      <c r="JA405" s="9" t="n">
        <v>2820</v>
      </c>
      <c r="JE405" s="10" t="n">
        <v>46366</v>
      </c>
      <c r="JG405" s="9" t="n">
        <v>0</v>
      </c>
      <c r="JI405" s="9" t="n">
        <v>0</v>
      </c>
      <c r="JJ405" s="9" t="n">
        <v>0</v>
      </c>
      <c r="JN405" s="10" t="n">
        <v>46366</v>
      </c>
      <c r="JP405" s="9" t="n">
        <v>0</v>
      </c>
      <c r="JR405" s="9" t="n">
        <v>0</v>
      </c>
      <c r="JS405" s="9" t="n">
        <v>0</v>
      </c>
      <c r="JW405" s="10" t="n">
        <v>46366</v>
      </c>
      <c r="JY405" s="9" t="n">
        <v>0</v>
      </c>
      <c r="KA405" s="9" t="n">
        <v>0</v>
      </c>
      <c r="KB405" s="9" t="n">
        <v>2540</v>
      </c>
      <c r="KF405" s="10" t="n">
        <v>46366</v>
      </c>
      <c r="KH405" s="9" t="n">
        <v>0</v>
      </c>
      <c r="KJ405" s="9" t="n">
        <v>0</v>
      </c>
      <c r="KK405" s="9" t="n">
        <v>2359.5</v>
      </c>
      <c r="KO405" s="10" t="n">
        <v>46366</v>
      </c>
      <c r="KQ405" s="9" t="n">
        <v>0</v>
      </c>
      <c r="KS405" s="9" t="n">
        <v>0</v>
      </c>
      <c r="KT405" s="9" t="n">
        <v>1890</v>
      </c>
      <c r="KX405" s="10" t="n">
        <v>46366</v>
      </c>
      <c r="KZ405" s="9" t="n">
        <v>0</v>
      </c>
      <c r="LB405" s="9" t="n">
        <v>0</v>
      </c>
      <c r="LC405" s="9" t="n">
        <v>3690</v>
      </c>
      <c r="LG405" s="10" t="n">
        <v>46366</v>
      </c>
      <c r="LI405" s="9" t="n">
        <v>0</v>
      </c>
      <c r="LK405" s="9" t="n">
        <v>0</v>
      </c>
      <c r="LL405" s="9" t="n">
        <v>4000</v>
      </c>
      <c r="LP405" s="10" t="n">
        <v>46366</v>
      </c>
      <c r="LR405" s="9" t="n">
        <v>0</v>
      </c>
      <c r="LT405" s="9" t="n">
        <v>0</v>
      </c>
      <c r="LU405" s="9" t="n">
        <v>0</v>
      </c>
      <c r="LY405" s="10" t="n">
        <v>46366</v>
      </c>
      <c r="MA405" s="9" t="n">
        <v>0</v>
      </c>
      <c r="MC405" s="9" t="n">
        <v>0</v>
      </c>
      <c r="MD405" s="9" t="n">
        <v>0</v>
      </c>
      <c r="MH405" s="10" t="n">
        <v>46366</v>
      </c>
      <c r="MJ405" s="9" t="n">
        <v>0</v>
      </c>
      <c r="ML405" s="9" t="n">
        <v>0</v>
      </c>
      <c r="MM405" s="9" t="n">
        <v>-18</v>
      </c>
      <c r="MQ405" s="10" t="n">
        <v>46366</v>
      </c>
      <c r="MS405" s="9" t="n">
        <v>0</v>
      </c>
      <c r="MU405" s="9" t="n">
        <v>0</v>
      </c>
      <c r="MV405" s="9" t="n">
        <v>1595</v>
      </c>
      <c r="MZ405" s="10" t="n">
        <v>46366</v>
      </c>
      <c r="NB405" s="9" t="n">
        <v>0</v>
      </c>
      <c r="ND405" s="9" t="n">
        <v>0</v>
      </c>
      <c r="NE405" s="9" t="n">
        <v>0</v>
      </c>
      <c r="NI405" s="10" t="n">
        <v>46366</v>
      </c>
      <c r="NK405" s="9" t="n">
        <v>0</v>
      </c>
      <c r="NM405" s="9" t="n">
        <v>0</v>
      </c>
      <c r="NN405" s="9" t="n">
        <v>1127</v>
      </c>
      <c r="NR405" s="10" t="n">
        <v>46366</v>
      </c>
      <c r="NT405" s="9" t="n">
        <v>0</v>
      </c>
      <c r="NV405" s="9" t="n">
        <v>0</v>
      </c>
      <c r="NW405" s="9" t="n">
        <v>3112</v>
      </c>
      <c r="OA405" s="10" t="n">
        <v>46366</v>
      </c>
      <c r="OC405" s="9" t="n">
        <v>0</v>
      </c>
      <c r="OE405" s="9" t="n">
        <v>0</v>
      </c>
      <c r="OF405" s="9" t="n">
        <v>1680.5</v>
      </c>
      <c r="OJ405" s="10" t="n">
        <v>46366</v>
      </c>
      <c r="OL405" s="9" t="n">
        <v>0</v>
      </c>
      <c r="ON405" s="9" t="n">
        <v>0</v>
      </c>
      <c r="OO405" s="9" t="n">
        <v>0</v>
      </c>
      <c r="OS405" s="10" t="n">
        <v>46366</v>
      </c>
      <c r="OU405" s="9" t="n">
        <v>0</v>
      </c>
      <c r="OW405" s="9" t="n">
        <v>0</v>
      </c>
      <c r="OX405" s="9" t="n">
        <v>1482</v>
      </c>
      <c r="PB405" s="10" t="n">
        <v>46366</v>
      </c>
      <c r="PD405" s="9" t="n">
        <v>0</v>
      </c>
      <c r="PF405" s="9" t="n">
        <v>0</v>
      </c>
      <c r="PG405" s="9" t="n">
        <v>0</v>
      </c>
      <c r="PK405" s="10" t="n">
        <v>46366</v>
      </c>
      <c r="PM405" s="9" t="n">
        <v>0</v>
      </c>
      <c r="PO405" s="9" t="n">
        <v>0</v>
      </c>
      <c r="PP405" s="9" t="n">
        <v>100</v>
      </c>
      <c r="PT405" s="10" t="n">
        <v>46366</v>
      </c>
      <c r="PV405" s="9" t="n">
        <v>0</v>
      </c>
      <c r="PX405" s="9" t="n">
        <v>0</v>
      </c>
      <c r="PY405" s="9" t="n">
        <v>13.96000000000004</v>
      </c>
      <c r="QC405" s="10" t="n">
        <v>46366</v>
      </c>
      <c r="QE405" s="9" t="n">
        <v>0</v>
      </c>
      <c r="QG405" s="9" t="n">
        <v>0</v>
      </c>
      <c r="QH405" s="9" t="n">
        <v>548</v>
      </c>
      <c r="QL405" s="10" t="n">
        <v>46366</v>
      </c>
      <c r="QN405" s="9" t="n">
        <v>0</v>
      </c>
      <c r="QP405" s="9" t="n">
        <v>0</v>
      </c>
      <c r="QQ405" s="9" t="n">
        <v>0</v>
      </c>
      <c r="QU405" s="10" t="n">
        <v>46366</v>
      </c>
      <c r="QW405" s="9" t="n">
        <v>0</v>
      </c>
      <c r="QY405" s="9" t="n">
        <v>0</v>
      </c>
      <c r="QZ405" s="9" t="n">
        <v>0</v>
      </c>
      <c r="RD405" s="10" t="n">
        <v>46366</v>
      </c>
      <c r="RF405" s="9" t="n">
        <v>0</v>
      </c>
      <c r="RH405" s="9" t="n">
        <v>0</v>
      </c>
      <c r="RI405" s="9" t="n">
        <v>147.04</v>
      </c>
      <c r="RM405" s="10" t="n">
        <v>46366</v>
      </c>
      <c r="RO405" s="9" t="n">
        <v>0</v>
      </c>
      <c r="RQ405" s="9" t="n">
        <v>0</v>
      </c>
      <c r="RR405" s="9" t="n">
        <v>46.8</v>
      </c>
      <c r="RV405" s="10" t="n">
        <v>46366</v>
      </c>
      <c r="RX405" s="9" t="n">
        <v>0</v>
      </c>
      <c r="RZ405" s="9" t="n">
        <v>0</v>
      </c>
      <c r="SA405" s="9" t="n">
        <v>0</v>
      </c>
      <c r="SE405" s="10" t="n">
        <v>46366</v>
      </c>
      <c r="SG405" s="9" t="n">
        <v>0</v>
      </c>
      <c r="SI405" s="9" t="n">
        <v>0</v>
      </c>
      <c r="SJ405" s="9" t="n">
        <v>24.2</v>
      </c>
      <c r="SN405" s="10" t="n">
        <v>46366</v>
      </c>
      <c r="SP405" s="9" t="n">
        <v>0</v>
      </c>
      <c r="SR405" s="9" t="n">
        <v>0</v>
      </c>
      <c r="SS405" s="9" t="n">
        <v>32</v>
      </c>
      <c r="SW405" s="10" t="n">
        <v>46366</v>
      </c>
      <c r="SY405" s="9" t="n">
        <v>0</v>
      </c>
      <c r="TA405" s="9" t="n">
        <v>0</v>
      </c>
      <c r="TB405" s="9" t="n">
        <v>0</v>
      </c>
      <c r="TF405" s="10" t="n">
        <v>46366</v>
      </c>
      <c r="TH405" s="9" t="n">
        <v>0</v>
      </c>
      <c r="TJ405" s="9" t="n">
        <v>0</v>
      </c>
      <c r="TK405" s="9" t="n">
        <v>0</v>
      </c>
      <c r="TO405" s="10" t="n">
        <v>46366</v>
      </c>
      <c r="TQ405" s="9" t="n">
        <v>0</v>
      </c>
      <c r="TS405" s="9" t="n">
        <v>0</v>
      </c>
      <c r="TT405" s="9" t="n">
        <v>0</v>
      </c>
      <c r="TX405" s="10" t="n">
        <v>46366</v>
      </c>
      <c r="TZ405" s="9" t="n">
        <v>0</v>
      </c>
      <c r="UB405" s="9" t="n">
        <v>0</v>
      </c>
      <c r="UC405" s="9" t="n">
        <v>46.79999999999998</v>
      </c>
      <c r="UG405" s="10" t="n">
        <v>46366</v>
      </c>
      <c r="UI405" s="9" t="n">
        <v>0</v>
      </c>
      <c r="UK405" s="9" t="n">
        <v>0</v>
      </c>
      <c r="UL405" s="9" t="n">
        <v>204</v>
      </c>
      <c r="UP405" s="10" t="n">
        <v>46366</v>
      </c>
      <c r="UR405" s="9" t="n">
        <v>0</v>
      </c>
      <c r="UT405" s="9" t="n">
        <v>0</v>
      </c>
      <c r="UU405" s="9" t="n">
        <v>202.5</v>
      </c>
      <c r="UY405" s="10" t="n">
        <v>46366</v>
      </c>
      <c r="VA405" s="9" t="n">
        <v>0</v>
      </c>
      <c r="VC405" s="9" t="n">
        <v>0</v>
      </c>
      <c r="VD405" s="9" t="n">
        <v>41.60000000000002</v>
      </c>
      <c r="VH405" s="10" t="n">
        <v>46366</v>
      </c>
      <c r="VJ405" s="9" t="n">
        <v>0</v>
      </c>
      <c r="VL405" s="9" t="n">
        <v>0</v>
      </c>
      <c r="VM405" s="9" t="n">
        <v>210</v>
      </c>
      <c r="VQ405" s="10" t="n">
        <v>46366</v>
      </c>
      <c r="VS405" s="9" t="n">
        <v>0</v>
      </c>
      <c r="VU405" s="9" t="n">
        <v>0</v>
      </c>
      <c r="VV405" s="9" t="n">
        <v>0</v>
      </c>
      <c r="VZ405" s="10" t="n">
        <v>46366</v>
      </c>
      <c r="WB405" s="9" t="n">
        <v>0</v>
      </c>
      <c r="WD405" s="9" t="n">
        <v>0</v>
      </c>
      <c r="WE405" s="9" t="n">
        <v>0</v>
      </c>
      <c r="WI405" s="10" t="n">
        <v>46366</v>
      </c>
      <c r="WK405" s="9" t="n">
        <v>0</v>
      </c>
      <c r="WM405" s="9" t="n">
        <v>0</v>
      </c>
      <c r="WN405" s="9" t="n">
        <v>1057</v>
      </c>
      <c r="WR405" s="10" t="n">
        <v>46366</v>
      </c>
      <c r="WT405" s="9" t="n">
        <v>0</v>
      </c>
      <c r="WV405" s="9" t="n">
        <v>0</v>
      </c>
      <c r="WW405" s="9" t="n">
        <v>0</v>
      </c>
      <c r="XA405" s="10" t="n">
        <v>46366</v>
      </c>
      <c r="XC405" s="9" t="n">
        <v>0</v>
      </c>
      <c r="XE405" s="9" t="n">
        <v>0</v>
      </c>
      <c r="XF405" s="9" t="n">
        <v>7507</v>
      </c>
      <c r="XJ405" s="10" t="n">
        <v>46366</v>
      </c>
      <c r="XL405" s="9" t="n">
        <v>0</v>
      </c>
      <c r="XN405" s="9" t="n">
        <v>0</v>
      </c>
      <c r="XO405" s="9" t="n">
        <v>4252</v>
      </c>
      <c r="XS405" s="10" t="n">
        <v>46366</v>
      </c>
      <c r="XU405" s="9" t="n">
        <v>0</v>
      </c>
      <c r="XW405" s="9" t="n">
        <v>0</v>
      </c>
      <c r="XX405" s="9" t="n">
        <v>2179</v>
      </c>
      <c r="YB405" s="10" t="n">
        <v>46366</v>
      </c>
      <c r="YD405" s="9" t="n">
        <v>0</v>
      </c>
      <c r="YF405" s="9" t="n">
        <v>0</v>
      </c>
      <c r="YG405" s="9" t="n">
        <v>4019</v>
      </c>
      <c r="YK405" s="10" t="n">
        <v>46366</v>
      </c>
      <c r="YM405" s="9" t="n">
        <v>0</v>
      </c>
      <c r="YO405" s="9" t="n">
        <v>0</v>
      </c>
      <c r="YP405" s="9" t="n">
        <v>-218</v>
      </c>
      <c r="YT405" s="10" t="n">
        <v>46366</v>
      </c>
      <c r="YV405" s="9" t="n">
        <v>0</v>
      </c>
      <c r="YX405" s="9" t="n">
        <v>0</v>
      </c>
      <c r="YY405" s="9" t="n">
        <v>0</v>
      </c>
      <c r="ZC405" s="10" t="n">
        <v>46366</v>
      </c>
      <c r="ZE405" s="9" t="n">
        <v>0</v>
      </c>
      <c r="ZG405" s="9" t="n">
        <v>0</v>
      </c>
      <c r="ZH405" s="9" t="n">
        <v>0</v>
      </c>
      <c r="ZL405" s="10" t="n">
        <v>46366</v>
      </c>
      <c r="ZN405" s="9" t="n">
        <v>0</v>
      </c>
      <c r="ZP405" s="9" t="n">
        <v>0</v>
      </c>
      <c r="ZQ405" s="9" t="n">
        <v>0</v>
      </c>
      <c r="ZU405" s="10" t="n">
        <v>46366</v>
      </c>
      <c r="ZW405" s="9" t="n">
        <v>0</v>
      </c>
      <c r="ZY405" s="9" t="n">
        <v>0</v>
      </c>
      <c r="ZZ405" s="9" t="n">
        <v>0</v>
      </c>
      <c r="AAD405" s="10" t="n">
        <v>46366</v>
      </c>
      <c r="AAF405" s="9" t="n">
        <v>0</v>
      </c>
      <c r="AAH405" s="9" t="n">
        <v>0</v>
      </c>
      <c r="AAI405" s="9" t="n">
        <v>0</v>
      </c>
      <c r="AAM405" s="10" t="n">
        <v>46366</v>
      </c>
      <c r="AAO405" s="9" t="n">
        <v>0</v>
      </c>
      <c r="AAQ405" s="9" t="n">
        <v>0</v>
      </c>
      <c r="AAR405" s="9" t="n">
        <v>0</v>
      </c>
      <c r="AAV405" s="10" t="n">
        <v>46366</v>
      </c>
      <c r="AAX405" s="9" t="n">
        <v>0</v>
      </c>
      <c r="AAZ405" s="9" t="n">
        <v>0</v>
      </c>
      <c r="ABA405" s="9" t="n">
        <v>0</v>
      </c>
      <c r="ABE405" s="10" t="n">
        <v>46366</v>
      </c>
      <c r="ABG405" s="9" t="n">
        <v>0</v>
      </c>
      <c r="ABI405" s="9" t="n">
        <v>0</v>
      </c>
      <c r="ABJ405" s="9" t="n">
        <v>0</v>
      </c>
    </row>
    <row r="406">
      <c r="C406" s="10" t="n">
        <v>46367</v>
      </c>
      <c r="E406" s="9" t="n">
        <v>0</v>
      </c>
      <c r="G406" s="9" t="n">
        <v>0</v>
      </c>
      <c r="H406" s="9" t="n">
        <v>236936.6</v>
      </c>
      <c r="L406" s="10" t="n">
        <v>46367</v>
      </c>
      <c r="N406" s="9" t="n">
        <v>0</v>
      </c>
      <c r="P406" s="9" t="n">
        <v>0</v>
      </c>
      <c r="Q406" s="9" t="n">
        <v>53017.60000000007</v>
      </c>
      <c r="U406" s="10" t="n">
        <v>46367</v>
      </c>
      <c r="W406" s="9" t="n">
        <v>0</v>
      </c>
      <c r="Y406" s="9" t="n">
        <v>0</v>
      </c>
      <c r="Z406" s="9" t="n">
        <v>42674.19999999997</v>
      </c>
      <c r="AD406" s="10" t="n">
        <v>46367</v>
      </c>
      <c r="AF406" s="9" t="n">
        <v>0</v>
      </c>
      <c r="AH406" s="9" t="n">
        <v>0</v>
      </c>
      <c r="AI406" s="9" t="n">
        <v>4522.200000000019</v>
      </c>
      <c r="AM406" s="10" t="n">
        <v>46367</v>
      </c>
      <c r="AO406" s="9" t="n">
        <v>0</v>
      </c>
      <c r="AQ406" s="9" t="n">
        <v>0</v>
      </c>
      <c r="AR406" s="9" t="n">
        <v>0</v>
      </c>
      <c r="AV406" s="10" t="n">
        <v>46367</v>
      </c>
      <c r="AX406" s="9" t="n">
        <v>0</v>
      </c>
      <c r="AZ406" s="9" t="n">
        <v>0</v>
      </c>
      <c r="BA406" s="9" t="n">
        <v>124.9999999999952</v>
      </c>
      <c r="BE406" s="10" t="n">
        <v>46367</v>
      </c>
      <c r="BG406" s="9" t="n">
        <v>0</v>
      </c>
      <c r="BI406" s="9" t="n">
        <v>0</v>
      </c>
      <c r="BJ406" s="9" t="n">
        <v>26151.9</v>
      </c>
      <c r="BN406" s="10" t="n">
        <v>46367</v>
      </c>
      <c r="BP406" s="9" t="n">
        <v>0</v>
      </c>
      <c r="BR406" s="9" t="n">
        <v>0</v>
      </c>
      <c r="BS406" s="9" t="n">
        <v>0</v>
      </c>
      <c r="BW406" s="10" t="n">
        <v>46367</v>
      </c>
      <c r="BY406" s="9" t="n">
        <v>0</v>
      </c>
      <c r="CA406" s="9" t="n">
        <v>0</v>
      </c>
      <c r="CB406" s="9" t="n">
        <v>2097.339999999999</v>
      </c>
      <c r="CF406" s="10" t="n">
        <v>46367</v>
      </c>
      <c r="CH406" s="9" t="n">
        <v>0</v>
      </c>
      <c r="CJ406" s="9" t="n">
        <v>0</v>
      </c>
      <c r="CK406" s="9" t="n">
        <v>-10277.08</v>
      </c>
      <c r="CO406" s="10" t="n">
        <v>46367</v>
      </c>
      <c r="CQ406" s="9" t="n">
        <v>0</v>
      </c>
      <c r="CS406" s="9" t="n">
        <v>0</v>
      </c>
      <c r="CT406" s="9" t="n">
        <v>0</v>
      </c>
      <c r="CX406" s="10" t="n">
        <v>46367</v>
      </c>
      <c r="CZ406" s="9" t="n">
        <v>0</v>
      </c>
      <c r="DB406" s="9" t="n">
        <v>0</v>
      </c>
      <c r="DC406" s="9" t="n">
        <v>27438.20000000001</v>
      </c>
      <c r="DG406" s="10" t="n">
        <v>46367</v>
      </c>
      <c r="DI406" s="9" t="n">
        <v>0</v>
      </c>
      <c r="DK406" s="9" t="n">
        <v>0</v>
      </c>
      <c r="DL406" s="9" t="n">
        <v>18782.29999999998</v>
      </c>
      <c r="DP406" s="10" t="n">
        <v>46367</v>
      </c>
      <c r="DR406" s="9" t="n">
        <v>0</v>
      </c>
      <c r="DT406" s="9" t="n">
        <v>0</v>
      </c>
      <c r="DU406" s="9" t="n">
        <v>5800</v>
      </c>
      <c r="DY406" s="10" t="n">
        <v>46367</v>
      </c>
      <c r="EA406" s="9" t="n">
        <v>0</v>
      </c>
      <c r="EC406" s="9" t="n">
        <v>0</v>
      </c>
      <c r="ED406" s="9" t="n">
        <v>0</v>
      </c>
      <c r="EH406" s="10" t="n">
        <v>46367</v>
      </c>
      <c r="EJ406" s="9" t="n">
        <v>0</v>
      </c>
      <c r="EL406" s="9" t="n">
        <v>0</v>
      </c>
      <c r="EM406" s="9" t="n">
        <v>0</v>
      </c>
      <c r="EQ406" s="10" t="n">
        <v>46367</v>
      </c>
      <c r="ES406" s="9" t="n">
        <v>0</v>
      </c>
      <c r="EU406" s="9" t="n">
        <v>0</v>
      </c>
      <c r="EV406" s="9" t="n">
        <v>0</v>
      </c>
      <c r="EZ406" s="10" t="n">
        <v>46367</v>
      </c>
      <c r="FB406" s="9" t="n">
        <v>0</v>
      </c>
      <c r="FD406" s="9" t="n">
        <v>0</v>
      </c>
      <c r="FE406" s="9" t="n">
        <v>0</v>
      </c>
      <c r="FI406" s="10" t="n">
        <v>46367</v>
      </c>
      <c r="FK406" s="9" t="n">
        <v>0</v>
      </c>
      <c r="FM406" s="9" t="n">
        <v>0</v>
      </c>
      <c r="FN406" s="9" t="n">
        <v>0</v>
      </c>
      <c r="FR406" s="10" t="n">
        <v>46367</v>
      </c>
      <c r="FT406" s="9" t="n">
        <v>0</v>
      </c>
      <c r="FV406" s="9" t="n">
        <v>0</v>
      </c>
      <c r="FW406" s="9" t="n">
        <v>2020</v>
      </c>
      <c r="GA406" s="10" t="n">
        <v>46367</v>
      </c>
      <c r="GC406" s="9" t="n">
        <v>0</v>
      </c>
      <c r="GE406" s="9" t="n">
        <v>0</v>
      </c>
      <c r="GF406" s="9" t="n">
        <v>960</v>
      </c>
      <c r="GJ406" s="10" t="n">
        <v>46367</v>
      </c>
      <c r="GL406" s="9" t="n">
        <v>0</v>
      </c>
      <c r="GN406" s="9" t="n">
        <v>0</v>
      </c>
      <c r="GO406" s="9" t="n">
        <v>1760</v>
      </c>
      <c r="GS406" s="10" t="n">
        <v>46367</v>
      </c>
      <c r="GU406" s="9" t="n">
        <v>0</v>
      </c>
      <c r="GW406" s="9" t="n">
        <v>0</v>
      </c>
      <c r="GX406" s="9" t="n">
        <v>400</v>
      </c>
      <c r="HB406" s="10" t="n">
        <v>46367</v>
      </c>
      <c r="HD406" s="9" t="n">
        <v>0</v>
      </c>
      <c r="HF406" s="9" t="n">
        <v>0</v>
      </c>
      <c r="HG406" s="9" t="n">
        <v>3600</v>
      </c>
      <c r="HK406" s="10" t="n">
        <v>46367</v>
      </c>
      <c r="HM406" s="9" t="n">
        <v>0</v>
      </c>
      <c r="HO406" s="9" t="n">
        <v>0</v>
      </c>
      <c r="HP406" s="9" t="n">
        <v>0</v>
      </c>
      <c r="HU406" s="10" t="n">
        <v>46367</v>
      </c>
      <c r="HW406" s="9" t="n">
        <v>0</v>
      </c>
      <c r="HY406" s="9" t="n">
        <v>0</v>
      </c>
      <c r="HZ406" s="9" t="n">
        <v>6120</v>
      </c>
      <c r="ID406" s="10" t="n">
        <v>46367</v>
      </c>
      <c r="IF406" s="9" t="n">
        <v>0</v>
      </c>
      <c r="IH406" s="9" t="n">
        <v>0</v>
      </c>
      <c r="II406" s="9" t="n">
        <v>0</v>
      </c>
      <c r="IM406" s="10" t="n">
        <v>46367</v>
      </c>
      <c r="IO406" s="9" t="n">
        <v>0</v>
      </c>
      <c r="IQ406" s="9" t="n">
        <v>0</v>
      </c>
      <c r="IR406" s="9" t="n">
        <v>0</v>
      </c>
      <c r="IV406" s="10" t="n">
        <v>46367</v>
      </c>
      <c r="IX406" s="9" t="n">
        <v>0</v>
      </c>
      <c r="IZ406" s="9" t="n">
        <v>0</v>
      </c>
      <c r="JA406" s="9" t="n">
        <v>2820</v>
      </c>
      <c r="JE406" s="10" t="n">
        <v>46367</v>
      </c>
      <c r="JG406" s="9" t="n">
        <v>0</v>
      </c>
      <c r="JI406" s="9" t="n">
        <v>0</v>
      </c>
      <c r="JJ406" s="9" t="n">
        <v>0</v>
      </c>
      <c r="JN406" s="10" t="n">
        <v>46367</v>
      </c>
      <c r="JP406" s="9" t="n">
        <v>0</v>
      </c>
      <c r="JR406" s="9" t="n">
        <v>0</v>
      </c>
      <c r="JS406" s="9" t="n">
        <v>0</v>
      </c>
      <c r="JW406" s="10" t="n">
        <v>46367</v>
      </c>
      <c r="JY406" s="9" t="n">
        <v>0</v>
      </c>
      <c r="KA406" s="9" t="n">
        <v>0</v>
      </c>
      <c r="KB406" s="9" t="n">
        <v>2540</v>
      </c>
      <c r="KF406" s="10" t="n">
        <v>46367</v>
      </c>
      <c r="KH406" s="9" t="n">
        <v>0</v>
      </c>
      <c r="KJ406" s="9" t="n">
        <v>0</v>
      </c>
      <c r="KK406" s="9" t="n">
        <v>2359.5</v>
      </c>
      <c r="KO406" s="10" t="n">
        <v>46367</v>
      </c>
      <c r="KQ406" s="9" t="n">
        <v>0</v>
      </c>
      <c r="KS406" s="9" t="n">
        <v>0</v>
      </c>
      <c r="KT406" s="9" t="n">
        <v>1890</v>
      </c>
      <c r="KX406" s="10" t="n">
        <v>46367</v>
      </c>
      <c r="KZ406" s="9" t="n">
        <v>0</v>
      </c>
      <c r="LB406" s="9" t="n">
        <v>0</v>
      </c>
      <c r="LC406" s="9" t="n">
        <v>3690</v>
      </c>
      <c r="LG406" s="10" t="n">
        <v>46367</v>
      </c>
      <c r="LI406" s="9" t="n">
        <v>0</v>
      </c>
      <c r="LK406" s="9" t="n">
        <v>0</v>
      </c>
      <c r="LL406" s="9" t="n">
        <v>4000</v>
      </c>
      <c r="LP406" s="10" t="n">
        <v>46367</v>
      </c>
      <c r="LR406" s="9" t="n">
        <v>0</v>
      </c>
      <c r="LT406" s="9" t="n">
        <v>0</v>
      </c>
      <c r="LU406" s="9" t="n">
        <v>0</v>
      </c>
      <c r="LY406" s="10" t="n">
        <v>46367</v>
      </c>
      <c r="MA406" s="9" t="n">
        <v>0</v>
      </c>
      <c r="MC406" s="9" t="n">
        <v>0</v>
      </c>
      <c r="MD406" s="9" t="n">
        <v>0</v>
      </c>
      <c r="MH406" s="10" t="n">
        <v>46367</v>
      </c>
      <c r="MJ406" s="9" t="n">
        <v>0</v>
      </c>
      <c r="ML406" s="9" t="n">
        <v>0</v>
      </c>
      <c r="MM406" s="9" t="n">
        <v>-18</v>
      </c>
      <c r="MQ406" s="10" t="n">
        <v>46367</v>
      </c>
      <c r="MS406" s="9" t="n">
        <v>0</v>
      </c>
      <c r="MT406" s="9" t="n">
        <v>36</v>
      </c>
      <c r="MU406" s="9" t="n">
        <v>-36</v>
      </c>
      <c r="MV406" s="9" t="n">
        <v>1559</v>
      </c>
      <c r="MZ406" s="10" t="n">
        <v>46367</v>
      </c>
      <c r="NB406" s="9" t="n">
        <v>0</v>
      </c>
      <c r="ND406" s="9" t="n">
        <v>0</v>
      </c>
      <c r="NE406" s="9" t="n">
        <v>0</v>
      </c>
      <c r="NI406" s="10" t="n">
        <v>46367</v>
      </c>
      <c r="NK406" s="9" t="n">
        <v>0</v>
      </c>
      <c r="NM406" s="9" t="n">
        <v>0</v>
      </c>
      <c r="NN406" s="9" t="n">
        <v>1127</v>
      </c>
      <c r="NR406" s="10" t="n">
        <v>46367</v>
      </c>
      <c r="NT406" s="9" t="n">
        <v>0</v>
      </c>
      <c r="NV406" s="9" t="n">
        <v>0</v>
      </c>
      <c r="NW406" s="9" t="n">
        <v>3112</v>
      </c>
      <c r="OA406" s="10" t="n">
        <v>46367</v>
      </c>
      <c r="OC406" s="9" t="n">
        <v>0</v>
      </c>
      <c r="OE406" s="9" t="n">
        <v>0</v>
      </c>
      <c r="OF406" s="9" t="n">
        <v>1680.5</v>
      </c>
      <c r="OJ406" s="10" t="n">
        <v>46367</v>
      </c>
      <c r="OL406" s="9" t="n">
        <v>0</v>
      </c>
      <c r="ON406" s="9" t="n">
        <v>0</v>
      </c>
      <c r="OO406" s="9" t="n">
        <v>0</v>
      </c>
      <c r="OS406" s="10" t="n">
        <v>46367</v>
      </c>
      <c r="OU406" s="9" t="n">
        <v>0</v>
      </c>
      <c r="OW406" s="9" t="n">
        <v>0</v>
      </c>
      <c r="OX406" s="9" t="n">
        <v>1482</v>
      </c>
      <c r="PB406" s="10" t="n">
        <v>46367</v>
      </c>
      <c r="PD406" s="9" t="n">
        <v>0</v>
      </c>
      <c r="PF406" s="9" t="n">
        <v>0</v>
      </c>
      <c r="PG406" s="9" t="n">
        <v>0</v>
      </c>
      <c r="PK406" s="10" t="n">
        <v>46367</v>
      </c>
      <c r="PM406" s="9" t="n">
        <v>0</v>
      </c>
      <c r="PO406" s="9" t="n">
        <v>0</v>
      </c>
      <c r="PP406" s="9" t="n">
        <v>100</v>
      </c>
      <c r="PT406" s="10" t="n">
        <v>46367</v>
      </c>
      <c r="PV406" s="9" t="n">
        <v>0</v>
      </c>
      <c r="PX406" s="9" t="n">
        <v>0</v>
      </c>
      <c r="PY406" s="9" t="n">
        <v>13.96000000000004</v>
      </c>
      <c r="QC406" s="10" t="n">
        <v>46367</v>
      </c>
      <c r="QE406" s="9" t="n">
        <v>0</v>
      </c>
      <c r="QG406" s="9" t="n">
        <v>0</v>
      </c>
      <c r="QH406" s="9" t="n">
        <v>548</v>
      </c>
      <c r="QL406" s="10" t="n">
        <v>46367</v>
      </c>
      <c r="QN406" s="9" t="n">
        <v>0</v>
      </c>
      <c r="QP406" s="9" t="n">
        <v>0</v>
      </c>
      <c r="QQ406" s="9" t="n">
        <v>0</v>
      </c>
      <c r="QU406" s="10" t="n">
        <v>46367</v>
      </c>
      <c r="QW406" s="9" t="n">
        <v>0</v>
      </c>
      <c r="QY406" s="9" t="n">
        <v>0</v>
      </c>
      <c r="QZ406" s="9" t="n">
        <v>0</v>
      </c>
      <c r="RD406" s="10" t="n">
        <v>46367</v>
      </c>
      <c r="RF406" s="9" t="n">
        <v>0</v>
      </c>
      <c r="RH406" s="9" t="n">
        <v>0</v>
      </c>
      <c r="RI406" s="9" t="n">
        <v>147.04</v>
      </c>
      <c r="RM406" s="10" t="n">
        <v>46367</v>
      </c>
      <c r="RO406" s="9" t="n">
        <v>0</v>
      </c>
      <c r="RQ406" s="9" t="n">
        <v>0</v>
      </c>
      <c r="RR406" s="9" t="n">
        <v>46.8</v>
      </c>
      <c r="RV406" s="10" t="n">
        <v>46367</v>
      </c>
      <c r="RX406" s="9" t="n">
        <v>0</v>
      </c>
      <c r="RZ406" s="9" t="n">
        <v>0</v>
      </c>
      <c r="SA406" s="9" t="n">
        <v>0</v>
      </c>
      <c r="SE406" s="10" t="n">
        <v>46367</v>
      </c>
      <c r="SG406" s="9" t="n">
        <v>0</v>
      </c>
      <c r="SI406" s="9" t="n">
        <v>0</v>
      </c>
      <c r="SJ406" s="9" t="n">
        <v>24.2</v>
      </c>
      <c r="SN406" s="10" t="n">
        <v>46367</v>
      </c>
      <c r="SP406" s="9" t="n">
        <v>0</v>
      </c>
      <c r="SR406" s="9" t="n">
        <v>0</v>
      </c>
      <c r="SS406" s="9" t="n">
        <v>32</v>
      </c>
      <c r="SW406" s="10" t="n">
        <v>46367</v>
      </c>
      <c r="SY406" s="9" t="n">
        <v>0</v>
      </c>
      <c r="TA406" s="9" t="n">
        <v>0</v>
      </c>
      <c r="TB406" s="9" t="n">
        <v>0</v>
      </c>
      <c r="TF406" s="10" t="n">
        <v>46367</v>
      </c>
      <c r="TH406" s="9" t="n">
        <v>0</v>
      </c>
      <c r="TJ406" s="9" t="n">
        <v>0</v>
      </c>
      <c r="TK406" s="9" t="n">
        <v>0</v>
      </c>
      <c r="TO406" s="10" t="n">
        <v>46367</v>
      </c>
      <c r="TQ406" s="9" t="n">
        <v>0</v>
      </c>
      <c r="TS406" s="9" t="n">
        <v>0</v>
      </c>
      <c r="TT406" s="9" t="n">
        <v>0</v>
      </c>
      <c r="TX406" s="10" t="n">
        <v>46367</v>
      </c>
      <c r="TZ406" s="9" t="n">
        <v>0</v>
      </c>
      <c r="UB406" s="9" t="n">
        <v>0</v>
      </c>
      <c r="UC406" s="9" t="n">
        <v>46.79999999999998</v>
      </c>
      <c r="UG406" s="10" t="n">
        <v>46367</v>
      </c>
      <c r="UI406" s="9" t="n">
        <v>0</v>
      </c>
      <c r="UK406" s="9" t="n">
        <v>0</v>
      </c>
      <c r="UL406" s="9" t="n">
        <v>204</v>
      </c>
      <c r="UP406" s="10" t="n">
        <v>46367</v>
      </c>
      <c r="UR406" s="9" t="n">
        <v>0</v>
      </c>
      <c r="UT406" s="9" t="n">
        <v>0</v>
      </c>
      <c r="UU406" s="9" t="n">
        <v>202.5</v>
      </c>
      <c r="UY406" s="10" t="n">
        <v>46367</v>
      </c>
      <c r="VA406" s="9" t="n">
        <v>0</v>
      </c>
      <c r="VC406" s="9" t="n">
        <v>0</v>
      </c>
      <c r="VD406" s="9" t="n">
        <v>41.60000000000002</v>
      </c>
      <c r="VH406" s="10" t="n">
        <v>46367</v>
      </c>
      <c r="VJ406" s="9" t="n">
        <v>0</v>
      </c>
      <c r="VL406" s="9" t="n">
        <v>0</v>
      </c>
      <c r="VM406" s="9" t="n">
        <v>210</v>
      </c>
      <c r="VQ406" s="10" t="n">
        <v>46367</v>
      </c>
      <c r="VS406" s="9" t="n">
        <v>0</v>
      </c>
      <c r="VU406" s="9" t="n">
        <v>0</v>
      </c>
      <c r="VV406" s="9" t="n">
        <v>0</v>
      </c>
      <c r="VZ406" s="10" t="n">
        <v>46367</v>
      </c>
      <c r="WB406" s="9" t="n">
        <v>0</v>
      </c>
      <c r="WD406" s="9" t="n">
        <v>0</v>
      </c>
      <c r="WE406" s="9" t="n">
        <v>0</v>
      </c>
      <c r="WI406" s="10" t="n">
        <v>46367</v>
      </c>
      <c r="WK406" s="9" t="n">
        <v>0</v>
      </c>
      <c r="WM406" s="9" t="n">
        <v>0</v>
      </c>
      <c r="WN406" s="9" t="n">
        <v>1057</v>
      </c>
      <c r="WR406" s="10" t="n">
        <v>46367</v>
      </c>
      <c r="WT406" s="9" t="n">
        <v>0</v>
      </c>
      <c r="WV406" s="9" t="n">
        <v>0</v>
      </c>
      <c r="WW406" s="9" t="n">
        <v>0</v>
      </c>
      <c r="XA406" s="10" t="n">
        <v>46367</v>
      </c>
      <c r="XC406" s="9" t="n">
        <v>0</v>
      </c>
      <c r="XE406" s="9" t="n">
        <v>0</v>
      </c>
      <c r="XF406" s="9" t="n">
        <v>7507</v>
      </c>
      <c r="XJ406" s="10" t="n">
        <v>46367</v>
      </c>
      <c r="XL406" s="9" t="n">
        <v>0</v>
      </c>
      <c r="XN406" s="9" t="n">
        <v>0</v>
      </c>
      <c r="XO406" s="9" t="n">
        <v>4252</v>
      </c>
      <c r="XS406" s="10" t="n">
        <v>46367</v>
      </c>
      <c r="XU406" s="9" t="n">
        <v>0</v>
      </c>
      <c r="XW406" s="9" t="n">
        <v>0</v>
      </c>
      <c r="XX406" s="9" t="n">
        <v>2179</v>
      </c>
      <c r="YB406" s="10" t="n">
        <v>46367</v>
      </c>
      <c r="YD406" s="9" t="n">
        <v>0</v>
      </c>
      <c r="YF406" s="9" t="n">
        <v>0</v>
      </c>
      <c r="YG406" s="9" t="n">
        <v>4019</v>
      </c>
      <c r="YK406" s="10" t="n">
        <v>46367</v>
      </c>
      <c r="YM406" s="9" t="n">
        <v>0</v>
      </c>
      <c r="YO406" s="9" t="n">
        <v>0</v>
      </c>
      <c r="YP406" s="9" t="n">
        <v>-218</v>
      </c>
      <c r="YT406" s="10" t="n">
        <v>46367</v>
      </c>
      <c r="YV406" s="9" t="n">
        <v>0</v>
      </c>
      <c r="YX406" s="9" t="n">
        <v>0</v>
      </c>
      <c r="YY406" s="9" t="n">
        <v>0</v>
      </c>
      <c r="ZC406" s="10" t="n">
        <v>46367</v>
      </c>
      <c r="ZE406" s="9" t="n">
        <v>0</v>
      </c>
      <c r="ZG406" s="9" t="n">
        <v>0</v>
      </c>
      <c r="ZH406" s="9" t="n">
        <v>0</v>
      </c>
      <c r="ZL406" s="10" t="n">
        <v>46367</v>
      </c>
      <c r="ZN406" s="9" t="n">
        <v>0</v>
      </c>
      <c r="ZP406" s="9" t="n">
        <v>0</v>
      </c>
      <c r="ZQ406" s="9" t="n">
        <v>0</v>
      </c>
      <c r="ZU406" s="10" t="n">
        <v>46367</v>
      </c>
      <c r="ZW406" s="9" t="n">
        <v>0</v>
      </c>
      <c r="ZY406" s="9" t="n">
        <v>0</v>
      </c>
      <c r="ZZ406" s="9" t="n">
        <v>0</v>
      </c>
      <c r="AAD406" s="10" t="n">
        <v>46367</v>
      </c>
      <c r="AAF406" s="9" t="n">
        <v>0</v>
      </c>
      <c r="AAH406" s="9" t="n">
        <v>0</v>
      </c>
      <c r="AAI406" s="9" t="n">
        <v>0</v>
      </c>
      <c r="AAM406" s="10" t="n">
        <v>46367</v>
      </c>
      <c r="AAO406" s="9" t="n">
        <v>0</v>
      </c>
      <c r="AAQ406" s="9" t="n">
        <v>0</v>
      </c>
      <c r="AAR406" s="9" t="n">
        <v>0</v>
      </c>
      <c r="AAV406" s="10" t="n">
        <v>46367</v>
      </c>
      <c r="AAX406" s="9" t="n">
        <v>0</v>
      </c>
      <c r="AAZ406" s="9" t="n">
        <v>0</v>
      </c>
      <c r="ABA406" s="9" t="n">
        <v>0</v>
      </c>
      <c r="ABE406" s="10" t="n">
        <v>46367</v>
      </c>
      <c r="ABG406" s="9" t="n">
        <v>0</v>
      </c>
      <c r="ABI406" s="9" t="n">
        <v>0</v>
      </c>
      <c r="ABJ406" s="9" t="n">
        <v>0</v>
      </c>
    </row>
    <row r="407">
      <c r="C407" s="10" t="n">
        <v>46368</v>
      </c>
      <c r="E407" s="9" t="n">
        <v>0</v>
      </c>
      <c r="G407" s="9" t="n">
        <v>0</v>
      </c>
      <c r="H407" s="9" t="n">
        <v>236936.6</v>
      </c>
      <c r="L407" s="10" t="n">
        <v>46368</v>
      </c>
      <c r="N407" s="9" t="n">
        <v>0</v>
      </c>
      <c r="P407" s="9" t="n">
        <v>0</v>
      </c>
      <c r="Q407" s="9" t="n">
        <v>53017.60000000007</v>
      </c>
      <c r="U407" s="10" t="n">
        <v>46368</v>
      </c>
      <c r="W407" s="9" t="n">
        <v>0</v>
      </c>
      <c r="Y407" s="9" t="n">
        <v>0</v>
      </c>
      <c r="Z407" s="9" t="n">
        <v>42674.19999999997</v>
      </c>
      <c r="AD407" s="10" t="n">
        <v>46368</v>
      </c>
      <c r="AF407" s="9" t="n">
        <v>0</v>
      </c>
      <c r="AH407" s="9" t="n">
        <v>0</v>
      </c>
      <c r="AI407" s="9" t="n">
        <v>4522.200000000019</v>
      </c>
      <c r="AM407" s="10" t="n">
        <v>46368</v>
      </c>
      <c r="AO407" s="9" t="n">
        <v>0</v>
      </c>
      <c r="AQ407" s="9" t="n">
        <v>0</v>
      </c>
      <c r="AR407" s="9" t="n">
        <v>0</v>
      </c>
      <c r="AV407" s="10" t="n">
        <v>46368</v>
      </c>
      <c r="AX407" s="9" t="n">
        <v>0</v>
      </c>
      <c r="AZ407" s="9" t="n">
        <v>0</v>
      </c>
      <c r="BA407" s="9" t="n">
        <v>124.9999999999952</v>
      </c>
      <c r="BE407" s="10" t="n">
        <v>46368</v>
      </c>
      <c r="BG407" s="9" t="n">
        <v>0</v>
      </c>
      <c r="BI407" s="9" t="n">
        <v>0</v>
      </c>
      <c r="BJ407" s="9" t="n">
        <v>26151.9</v>
      </c>
      <c r="BN407" s="10" t="n">
        <v>46368</v>
      </c>
      <c r="BP407" s="9" t="n">
        <v>0</v>
      </c>
      <c r="BR407" s="9" t="n">
        <v>0</v>
      </c>
      <c r="BS407" s="9" t="n">
        <v>0</v>
      </c>
      <c r="BW407" s="10" t="n">
        <v>46368</v>
      </c>
      <c r="BY407" s="9" t="n">
        <v>0</v>
      </c>
      <c r="CA407" s="9" t="n">
        <v>0</v>
      </c>
      <c r="CB407" s="9" t="n">
        <v>2097.339999999999</v>
      </c>
      <c r="CF407" s="10" t="n">
        <v>46368</v>
      </c>
      <c r="CH407" s="9" t="n">
        <v>0</v>
      </c>
      <c r="CJ407" s="9" t="n">
        <v>0</v>
      </c>
      <c r="CK407" s="9" t="n">
        <v>-10277.08</v>
      </c>
      <c r="CO407" s="10" t="n">
        <v>46368</v>
      </c>
      <c r="CQ407" s="9" t="n">
        <v>0</v>
      </c>
      <c r="CS407" s="9" t="n">
        <v>0</v>
      </c>
      <c r="CT407" s="9" t="n">
        <v>0</v>
      </c>
      <c r="CX407" s="10" t="n">
        <v>46368</v>
      </c>
      <c r="CZ407" s="9" t="n">
        <v>0</v>
      </c>
      <c r="DB407" s="9" t="n">
        <v>0</v>
      </c>
      <c r="DC407" s="9" t="n">
        <v>27438.20000000001</v>
      </c>
      <c r="DG407" s="10" t="n">
        <v>46368</v>
      </c>
      <c r="DI407" s="9" t="n">
        <v>0</v>
      </c>
      <c r="DK407" s="9" t="n">
        <v>0</v>
      </c>
      <c r="DL407" s="9" t="n">
        <v>18782.29999999998</v>
      </c>
      <c r="DP407" s="10" t="n">
        <v>46368</v>
      </c>
      <c r="DR407" s="9" t="n">
        <v>0</v>
      </c>
      <c r="DT407" s="9" t="n">
        <v>0</v>
      </c>
      <c r="DU407" s="9" t="n">
        <v>5800</v>
      </c>
      <c r="DY407" s="10" t="n">
        <v>46368</v>
      </c>
      <c r="EA407" s="9" t="n">
        <v>0</v>
      </c>
      <c r="EC407" s="9" t="n">
        <v>0</v>
      </c>
      <c r="ED407" s="9" t="n">
        <v>0</v>
      </c>
      <c r="EH407" s="10" t="n">
        <v>46368</v>
      </c>
      <c r="EJ407" s="9" t="n">
        <v>0</v>
      </c>
      <c r="EL407" s="9" t="n">
        <v>0</v>
      </c>
      <c r="EM407" s="9" t="n">
        <v>0</v>
      </c>
      <c r="EQ407" s="10" t="n">
        <v>46368</v>
      </c>
      <c r="ES407" s="9" t="n">
        <v>0</v>
      </c>
      <c r="EU407" s="9" t="n">
        <v>0</v>
      </c>
      <c r="EV407" s="9" t="n">
        <v>0</v>
      </c>
      <c r="EZ407" s="10" t="n">
        <v>46368</v>
      </c>
      <c r="FB407" s="9" t="n">
        <v>0</v>
      </c>
      <c r="FD407" s="9" t="n">
        <v>0</v>
      </c>
      <c r="FE407" s="9" t="n">
        <v>0</v>
      </c>
      <c r="FI407" s="10" t="n">
        <v>46368</v>
      </c>
      <c r="FK407" s="9" t="n">
        <v>0</v>
      </c>
      <c r="FM407" s="9" t="n">
        <v>0</v>
      </c>
      <c r="FN407" s="9" t="n">
        <v>0</v>
      </c>
      <c r="FR407" s="10" t="n">
        <v>46368</v>
      </c>
      <c r="FT407" s="9" t="n">
        <v>0</v>
      </c>
      <c r="FV407" s="9" t="n">
        <v>0</v>
      </c>
      <c r="FW407" s="9" t="n">
        <v>2020</v>
      </c>
      <c r="GA407" s="10" t="n">
        <v>46368</v>
      </c>
      <c r="GC407" s="9" t="n">
        <v>0</v>
      </c>
      <c r="GE407" s="9" t="n">
        <v>0</v>
      </c>
      <c r="GF407" s="9" t="n">
        <v>960</v>
      </c>
      <c r="GJ407" s="10" t="n">
        <v>46368</v>
      </c>
      <c r="GL407" s="9" t="n">
        <v>0</v>
      </c>
      <c r="GN407" s="9" t="n">
        <v>0</v>
      </c>
      <c r="GO407" s="9" t="n">
        <v>1760</v>
      </c>
      <c r="GS407" s="10" t="n">
        <v>46368</v>
      </c>
      <c r="GU407" s="9" t="n">
        <v>0</v>
      </c>
      <c r="GW407" s="9" t="n">
        <v>0</v>
      </c>
      <c r="GX407" s="9" t="n">
        <v>400</v>
      </c>
      <c r="HB407" s="10" t="n">
        <v>46368</v>
      </c>
      <c r="HD407" s="9" t="n">
        <v>0</v>
      </c>
      <c r="HF407" s="9" t="n">
        <v>0</v>
      </c>
      <c r="HG407" s="9" t="n">
        <v>3600</v>
      </c>
      <c r="HK407" s="10" t="n">
        <v>46368</v>
      </c>
      <c r="HM407" s="9" t="n">
        <v>0</v>
      </c>
      <c r="HO407" s="9" t="n">
        <v>0</v>
      </c>
      <c r="HP407" s="9" t="n">
        <v>0</v>
      </c>
      <c r="HU407" s="10" t="n">
        <v>46368</v>
      </c>
      <c r="HW407" s="9" t="n">
        <v>0</v>
      </c>
      <c r="HY407" s="9" t="n">
        <v>0</v>
      </c>
      <c r="HZ407" s="9" t="n">
        <v>6120</v>
      </c>
      <c r="ID407" s="10" t="n">
        <v>46368</v>
      </c>
      <c r="IF407" s="9" t="n">
        <v>0</v>
      </c>
      <c r="IH407" s="9" t="n">
        <v>0</v>
      </c>
      <c r="II407" s="9" t="n">
        <v>0</v>
      </c>
      <c r="IM407" s="10" t="n">
        <v>46368</v>
      </c>
      <c r="IO407" s="9" t="n">
        <v>0</v>
      </c>
      <c r="IQ407" s="9" t="n">
        <v>0</v>
      </c>
      <c r="IR407" s="9" t="n">
        <v>0</v>
      </c>
      <c r="IV407" s="10" t="n">
        <v>46368</v>
      </c>
      <c r="IX407" s="9" t="n">
        <v>0</v>
      </c>
      <c r="IZ407" s="9" t="n">
        <v>0</v>
      </c>
      <c r="JA407" s="9" t="n">
        <v>2820</v>
      </c>
      <c r="JE407" s="10" t="n">
        <v>46368</v>
      </c>
      <c r="JG407" s="9" t="n">
        <v>0</v>
      </c>
      <c r="JI407" s="9" t="n">
        <v>0</v>
      </c>
      <c r="JJ407" s="9" t="n">
        <v>0</v>
      </c>
      <c r="JN407" s="10" t="n">
        <v>46368</v>
      </c>
      <c r="JP407" s="9" t="n">
        <v>0</v>
      </c>
      <c r="JR407" s="9" t="n">
        <v>0</v>
      </c>
      <c r="JS407" s="9" t="n">
        <v>0</v>
      </c>
      <c r="JW407" s="10" t="n">
        <v>46368</v>
      </c>
      <c r="JY407" s="9" t="n">
        <v>0</v>
      </c>
      <c r="KA407" s="9" t="n">
        <v>0</v>
      </c>
      <c r="KB407" s="9" t="n">
        <v>2540</v>
      </c>
      <c r="KF407" s="10" t="n">
        <v>46368</v>
      </c>
      <c r="KH407" s="9" t="n">
        <v>0</v>
      </c>
      <c r="KJ407" s="9" t="n">
        <v>0</v>
      </c>
      <c r="KK407" s="9" t="n">
        <v>2359.5</v>
      </c>
      <c r="KO407" s="10" t="n">
        <v>46368</v>
      </c>
      <c r="KQ407" s="9" t="n">
        <v>0</v>
      </c>
      <c r="KS407" s="9" t="n">
        <v>0</v>
      </c>
      <c r="KT407" s="9" t="n">
        <v>1890</v>
      </c>
      <c r="KX407" s="10" t="n">
        <v>46368</v>
      </c>
      <c r="KZ407" s="9" t="n">
        <v>0</v>
      </c>
      <c r="LB407" s="9" t="n">
        <v>0</v>
      </c>
      <c r="LC407" s="9" t="n">
        <v>3690</v>
      </c>
      <c r="LG407" s="10" t="n">
        <v>46368</v>
      </c>
      <c r="LI407" s="9" t="n">
        <v>0</v>
      </c>
      <c r="LK407" s="9" t="n">
        <v>0</v>
      </c>
      <c r="LL407" s="9" t="n">
        <v>4000</v>
      </c>
      <c r="LP407" s="10" t="n">
        <v>46368</v>
      </c>
      <c r="LR407" s="9" t="n">
        <v>0</v>
      </c>
      <c r="LT407" s="9" t="n">
        <v>0</v>
      </c>
      <c r="LU407" s="9" t="n">
        <v>0</v>
      </c>
      <c r="LY407" s="10" t="n">
        <v>46368</v>
      </c>
      <c r="MA407" s="9" t="n">
        <v>0</v>
      </c>
      <c r="MC407" s="9" t="n">
        <v>0</v>
      </c>
      <c r="MD407" s="9" t="n">
        <v>0</v>
      </c>
      <c r="MH407" s="10" t="n">
        <v>46368</v>
      </c>
      <c r="MJ407" s="9" t="n">
        <v>0</v>
      </c>
      <c r="ML407" s="9" t="n">
        <v>0</v>
      </c>
      <c r="MM407" s="9" t="n">
        <v>-18</v>
      </c>
      <c r="MQ407" s="10" t="n">
        <v>46368</v>
      </c>
      <c r="MS407" s="9" t="n">
        <v>0</v>
      </c>
      <c r="MU407" s="9" t="n">
        <v>0</v>
      </c>
      <c r="MV407" s="9" t="n">
        <v>1559</v>
      </c>
      <c r="MZ407" s="10" t="n">
        <v>46368</v>
      </c>
      <c r="NB407" s="9" t="n">
        <v>0</v>
      </c>
      <c r="ND407" s="9" t="n">
        <v>0</v>
      </c>
      <c r="NE407" s="9" t="n">
        <v>0</v>
      </c>
      <c r="NI407" s="10" t="n">
        <v>46368</v>
      </c>
      <c r="NK407" s="9" t="n">
        <v>0</v>
      </c>
      <c r="NM407" s="9" t="n">
        <v>0</v>
      </c>
      <c r="NN407" s="9" t="n">
        <v>1127</v>
      </c>
      <c r="NR407" s="10" t="n">
        <v>46368</v>
      </c>
      <c r="NT407" s="9" t="n">
        <v>0</v>
      </c>
      <c r="NV407" s="9" t="n">
        <v>0</v>
      </c>
      <c r="NW407" s="9" t="n">
        <v>3112</v>
      </c>
      <c r="OA407" s="10" t="n">
        <v>46368</v>
      </c>
      <c r="OC407" s="9" t="n">
        <v>0</v>
      </c>
      <c r="OE407" s="9" t="n">
        <v>0</v>
      </c>
      <c r="OF407" s="9" t="n">
        <v>1680.5</v>
      </c>
      <c r="OJ407" s="10" t="n">
        <v>46368</v>
      </c>
      <c r="OL407" s="9" t="n">
        <v>0</v>
      </c>
      <c r="ON407" s="9" t="n">
        <v>0</v>
      </c>
      <c r="OO407" s="9" t="n">
        <v>0</v>
      </c>
      <c r="OS407" s="10" t="n">
        <v>46368</v>
      </c>
      <c r="OU407" s="9" t="n">
        <v>0</v>
      </c>
      <c r="OW407" s="9" t="n">
        <v>0</v>
      </c>
      <c r="OX407" s="9" t="n">
        <v>1482</v>
      </c>
      <c r="PB407" s="10" t="n">
        <v>46368</v>
      </c>
      <c r="PD407" s="9" t="n">
        <v>0</v>
      </c>
      <c r="PF407" s="9" t="n">
        <v>0</v>
      </c>
      <c r="PG407" s="9" t="n">
        <v>0</v>
      </c>
      <c r="PK407" s="10" t="n">
        <v>46368</v>
      </c>
      <c r="PM407" s="9" t="n">
        <v>0</v>
      </c>
      <c r="PO407" s="9" t="n">
        <v>0</v>
      </c>
      <c r="PP407" s="9" t="n">
        <v>100</v>
      </c>
      <c r="PT407" s="10" t="n">
        <v>46368</v>
      </c>
      <c r="PV407" s="9" t="n">
        <v>0</v>
      </c>
      <c r="PX407" s="9" t="n">
        <v>0</v>
      </c>
      <c r="PY407" s="9" t="n">
        <v>13.96000000000004</v>
      </c>
      <c r="QC407" s="10" t="n">
        <v>46368</v>
      </c>
      <c r="QE407" s="9" t="n">
        <v>0</v>
      </c>
      <c r="QG407" s="9" t="n">
        <v>0</v>
      </c>
      <c r="QH407" s="9" t="n">
        <v>548</v>
      </c>
      <c r="QL407" s="10" t="n">
        <v>46368</v>
      </c>
      <c r="QN407" s="9" t="n">
        <v>0</v>
      </c>
      <c r="QP407" s="9" t="n">
        <v>0</v>
      </c>
      <c r="QQ407" s="9" t="n">
        <v>0</v>
      </c>
      <c r="QU407" s="10" t="n">
        <v>46368</v>
      </c>
      <c r="QW407" s="9" t="n">
        <v>0</v>
      </c>
      <c r="QY407" s="9" t="n">
        <v>0</v>
      </c>
      <c r="QZ407" s="9" t="n">
        <v>0</v>
      </c>
      <c r="RD407" s="10" t="n">
        <v>46368</v>
      </c>
      <c r="RF407" s="9" t="n">
        <v>0</v>
      </c>
      <c r="RH407" s="9" t="n">
        <v>0</v>
      </c>
      <c r="RI407" s="9" t="n">
        <v>147.04</v>
      </c>
      <c r="RM407" s="10" t="n">
        <v>46368</v>
      </c>
      <c r="RO407" s="9" t="n">
        <v>0</v>
      </c>
      <c r="RQ407" s="9" t="n">
        <v>0</v>
      </c>
      <c r="RR407" s="9" t="n">
        <v>46.8</v>
      </c>
      <c r="RV407" s="10" t="n">
        <v>46368</v>
      </c>
      <c r="RX407" s="9" t="n">
        <v>0</v>
      </c>
      <c r="RZ407" s="9" t="n">
        <v>0</v>
      </c>
      <c r="SA407" s="9" t="n">
        <v>0</v>
      </c>
      <c r="SE407" s="10" t="n">
        <v>46368</v>
      </c>
      <c r="SG407" s="9" t="n">
        <v>0</v>
      </c>
      <c r="SI407" s="9" t="n">
        <v>0</v>
      </c>
      <c r="SJ407" s="9" t="n">
        <v>24.2</v>
      </c>
      <c r="SN407" s="10" t="n">
        <v>46368</v>
      </c>
      <c r="SP407" s="9" t="n">
        <v>0</v>
      </c>
      <c r="SR407" s="9" t="n">
        <v>0</v>
      </c>
      <c r="SS407" s="9" t="n">
        <v>32</v>
      </c>
      <c r="SW407" s="10" t="n">
        <v>46368</v>
      </c>
      <c r="SY407" s="9" t="n">
        <v>0</v>
      </c>
      <c r="TA407" s="9" t="n">
        <v>0</v>
      </c>
      <c r="TB407" s="9" t="n">
        <v>0</v>
      </c>
      <c r="TF407" s="10" t="n">
        <v>46368</v>
      </c>
      <c r="TH407" s="9" t="n">
        <v>0</v>
      </c>
      <c r="TJ407" s="9" t="n">
        <v>0</v>
      </c>
      <c r="TK407" s="9" t="n">
        <v>0</v>
      </c>
      <c r="TO407" s="10" t="n">
        <v>46368</v>
      </c>
      <c r="TQ407" s="9" t="n">
        <v>0</v>
      </c>
      <c r="TS407" s="9" t="n">
        <v>0</v>
      </c>
      <c r="TT407" s="9" t="n">
        <v>0</v>
      </c>
      <c r="TX407" s="10" t="n">
        <v>46368</v>
      </c>
      <c r="TZ407" s="9" t="n">
        <v>0</v>
      </c>
      <c r="UB407" s="9" t="n">
        <v>0</v>
      </c>
      <c r="UC407" s="9" t="n">
        <v>46.79999999999998</v>
      </c>
      <c r="UG407" s="10" t="n">
        <v>46368</v>
      </c>
      <c r="UI407" s="9" t="n">
        <v>0</v>
      </c>
      <c r="UK407" s="9" t="n">
        <v>0</v>
      </c>
      <c r="UL407" s="9" t="n">
        <v>204</v>
      </c>
      <c r="UP407" s="10" t="n">
        <v>46368</v>
      </c>
      <c r="UR407" s="9" t="n">
        <v>0</v>
      </c>
      <c r="UT407" s="9" t="n">
        <v>0</v>
      </c>
      <c r="UU407" s="9" t="n">
        <v>202.5</v>
      </c>
      <c r="UY407" s="10" t="n">
        <v>46368</v>
      </c>
      <c r="VA407" s="9" t="n">
        <v>0</v>
      </c>
      <c r="VC407" s="9" t="n">
        <v>0</v>
      </c>
      <c r="VD407" s="9" t="n">
        <v>41.60000000000002</v>
      </c>
      <c r="VH407" s="10" t="n">
        <v>46368</v>
      </c>
      <c r="VJ407" s="9" t="n">
        <v>0</v>
      </c>
      <c r="VL407" s="9" t="n">
        <v>0</v>
      </c>
      <c r="VM407" s="9" t="n">
        <v>210</v>
      </c>
      <c r="VQ407" s="10" t="n">
        <v>46368</v>
      </c>
      <c r="VS407" s="9" t="n">
        <v>0</v>
      </c>
      <c r="VU407" s="9" t="n">
        <v>0</v>
      </c>
      <c r="VV407" s="9" t="n">
        <v>0</v>
      </c>
      <c r="VZ407" s="10" t="n">
        <v>46368</v>
      </c>
      <c r="WB407" s="9" t="n">
        <v>0</v>
      </c>
      <c r="WD407" s="9" t="n">
        <v>0</v>
      </c>
      <c r="WE407" s="9" t="n">
        <v>0</v>
      </c>
      <c r="WI407" s="10" t="n">
        <v>46368</v>
      </c>
      <c r="WK407" s="9" t="n">
        <v>0</v>
      </c>
      <c r="WM407" s="9" t="n">
        <v>0</v>
      </c>
      <c r="WN407" s="9" t="n">
        <v>1057</v>
      </c>
      <c r="WR407" s="10" t="n">
        <v>46368</v>
      </c>
      <c r="WT407" s="9" t="n">
        <v>0</v>
      </c>
      <c r="WV407" s="9" t="n">
        <v>0</v>
      </c>
      <c r="WW407" s="9" t="n">
        <v>0</v>
      </c>
      <c r="XA407" s="10" t="n">
        <v>46368</v>
      </c>
      <c r="XC407" s="9" t="n">
        <v>0</v>
      </c>
      <c r="XE407" s="9" t="n">
        <v>0</v>
      </c>
      <c r="XF407" s="9" t="n">
        <v>7507</v>
      </c>
      <c r="XJ407" s="10" t="n">
        <v>46368</v>
      </c>
      <c r="XL407" s="9" t="n">
        <v>0</v>
      </c>
      <c r="XN407" s="9" t="n">
        <v>0</v>
      </c>
      <c r="XO407" s="9" t="n">
        <v>4252</v>
      </c>
      <c r="XS407" s="10" t="n">
        <v>46368</v>
      </c>
      <c r="XU407" s="9" t="n">
        <v>0</v>
      </c>
      <c r="XW407" s="9" t="n">
        <v>0</v>
      </c>
      <c r="XX407" s="9" t="n">
        <v>2179</v>
      </c>
      <c r="YB407" s="10" t="n">
        <v>46368</v>
      </c>
      <c r="YD407" s="9" t="n">
        <v>0</v>
      </c>
      <c r="YF407" s="9" t="n">
        <v>0</v>
      </c>
      <c r="YG407" s="9" t="n">
        <v>4019</v>
      </c>
      <c r="YK407" s="10" t="n">
        <v>46368</v>
      </c>
      <c r="YM407" s="9" t="n">
        <v>0</v>
      </c>
      <c r="YO407" s="9" t="n">
        <v>0</v>
      </c>
      <c r="YP407" s="9" t="n">
        <v>-218</v>
      </c>
      <c r="YT407" s="10" t="n">
        <v>46368</v>
      </c>
      <c r="YV407" s="9" t="n">
        <v>0</v>
      </c>
      <c r="YX407" s="9" t="n">
        <v>0</v>
      </c>
      <c r="YY407" s="9" t="n">
        <v>0</v>
      </c>
      <c r="ZC407" s="10" t="n">
        <v>46368</v>
      </c>
      <c r="ZE407" s="9" t="n">
        <v>0</v>
      </c>
      <c r="ZG407" s="9" t="n">
        <v>0</v>
      </c>
      <c r="ZH407" s="9" t="n">
        <v>0</v>
      </c>
      <c r="ZL407" s="10" t="n">
        <v>46368</v>
      </c>
      <c r="ZN407" s="9" t="n">
        <v>0</v>
      </c>
      <c r="ZP407" s="9" t="n">
        <v>0</v>
      </c>
      <c r="ZQ407" s="9" t="n">
        <v>0</v>
      </c>
      <c r="ZU407" s="10" t="n">
        <v>46368</v>
      </c>
      <c r="ZW407" s="9" t="n">
        <v>0</v>
      </c>
      <c r="ZY407" s="9" t="n">
        <v>0</v>
      </c>
      <c r="ZZ407" s="9" t="n">
        <v>0</v>
      </c>
      <c r="AAD407" s="10" t="n">
        <v>46368</v>
      </c>
      <c r="AAF407" s="9" t="n">
        <v>0</v>
      </c>
      <c r="AAH407" s="9" t="n">
        <v>0</v>
      </c>
      <c r="AAI407" s="9" t="n">
        <v>0</v>
      </c>
      <c r="AAM407" s="10" t="n">
        <v>46368</v>
      </c>
      <c r="AAO407" s="9" t="n">
        <v>0</v>
      </c>
      <c r="AAQ407" s="9" t="n">
        <v>0</v>
      </c>
      <c r="AAR407" s="9" t="n">
        <v>0</v>
      </c>
      <c r="AAV407" s="10" t="n">
        <v>46368</v>
      </c>
      <c r="AAX407" s="9" t="n">
        <v>0</v>
      </c>
      <c r="AAZ407" s="9" t="n">
        <v>0</v>
      </c>
      <c r="ABA407" s="9" t="n">
        <v>0</v>
      </c>
      <c r="ABE407" s="10" t="n">
        <v>46368</v>
      </c>
      <c r="ABG407" s="9" t="n">
        <v>0</v>
      </c>
      <c r="ABI407" s="9" t="n">
        <v>0</v>
      </c>
      <c r="ABJ407" s="9" t="n">
        <v>0</v>
      </c>
    </row>
    <row r="408">
      <c r="C408" s="10" t="n">
        <v>46369</v>
      </c>
      <c r="E408" s="9" t="n">
        <v>0</v>
      </c>
      <c r="G408" s="9" t="n">
        <v>0</v>
      </c>
      <c r="H408" s="9" t="n">
        <v>236936.6</v>
      </c>
      <c r="L408" s="10" t="n">
        <v>46369</v>
      </c>
      <c r="N408" s="9" t="n">
        <v>0</v>
      </c>
      <c r="P408" s="9" t="n">
        <v>0</v>
      </c>
      <c r="Q408" s="9" t="n">
        <v>53017.60000000007</v>
      </c>
      <c r="U408" s="10" t="n">
        <v>46369</v>
      </c>
      <c r="W408" s="9" t="n">
        <v>0</v>
      </c>
      <c r="Y408" s="9" t="n">
        <v>0</v>
      </c>
      <c r="Z408" s="9" t="n">
        <v>42674.19999999997</v>
      </c>
      <c r="AD408" s="10" t="n">
        <v>46369</v>
      </c>
      <c r="AF408" s="9" t="n">
        <v>0</v>
      </c>
      <c r="AH408" s="9" t="n">
        <v>0</v>
      </c>
      <c r="AI408" s="9" t="n">
        <v>4522.200000000019</v>
      </c>
      <c r="AM408" s="10" t="n">
        <v>46369</v>
      </c>
      <c r="AO408" s="9" t="n">
        <v>0</v>
      </c>
      <c r="AQ408" s="9" t="n">
        <v>0</v>
      </c>
      <c r="AR408" s="9" t="n">
        <v>0</v>
      </c>
      <c r="AV408" s="10" t="n">
        <v>46369</v>
      </c>
      <c r="AX408" s="9" t="n">
        <v>0</v>
      </c>
      <c r="AZ408" s="9" t="n">
        <v>0</v>
      </c>
      <c r="BA408" s="9" t="n">
        <v>124.9999999999952</v>
      </c>
      <c r="BE408" s="10" t="n">
        <v>46369</v>
      </c>
      <c r="BG408" s="9" t="n">
        <v>0</v>
      </c>
      <c r="BI408" s="9" t="n">
        <v>0</v>
      </c>
      <c r="BJ408" s="9" t="n">
        <v>26151.9</v>
      </c>
      <c r="BN408" s="10" t="n">
        <v>46369</v>
      </c>
      <c r="BP408" s="9" t="n">
        <v>0</v>
      </c>
      <c r="BR408" s="9" t="n">
        <v>0</v>
      </c>
      <c r="BS408" s="9" t="n">
        <v>0</v>
      </c>
      <c r="BW408" s="10" t="n">
        <v>46369</v>
      </c>
      <c r="BY408" s="9" t="n">
        <v>0</v>
      </c>
      <c r="CA408" s="9" t="n">
        <v>0</v>
      </c>
      <c r="CB408" s="9" t="n">
        <v>2097.339999999999</v>
      </c>
      <c r="CF408" s="10" t="n">
        <v>46369</v>
      </c>
      <c r="CH408" s="9" t="n">
        <v>0</v>
      </c>
      <c r="CJ408" s="9" t="n">
        <v>0</v>
      </c>
      <c r="CK408" s="9" t="n">
        <v>-10277.08</v>
      </c>
      <c r="CO408" s="10" t="n">
        <v>46369</v>
      </c>
      <c r="CQ408" s="9" t="n">
        <v>0</v>
      </c>
      <c r="CS408" s="9" t="n">
        <v>0</v>
      </c>
      <c r="CT408" s="9" t="n">
        <v>0</v>
      </c>
      <c r="CX408" s="10" t="n">
        <v>46369</v>
      </c>
      <c r="CZ408" s="9" t="n">
        <v>0</v>
      </c>
      <c r="DB408" s="9" t="n">
        <v>0</v>
      </c>
      <c r="DC408" s="9" t="n">
        <v>27438.20000000001</v>
      </c>
      <c r="DG408" s="10" t="n">
        <v>46369</v>
      </c>
      <c r="DI408" s="9" t="n">
        <v>0</v>
      </c>
      <c r="DK408" s="9" t="n">
        <v>0</v>
      </c>
      <c r="DL408" s="9" t="n">
        <v>18782.29999999998</v>
      </c>
      <c r="DP408" s="10" t="n">
        <v>46369</v>
      </c>
      <c r="DR408" s="9" t="n">
        <v>0</v>
      </c>
      <c r="DT408" s="9" t="n">
        <v>0</v>
      </c>
      <c r="DU408" s="9" t="n">
        <v>5800</v>
      </c>
      <c r="DY408" s="10" t="n">
        <v>46369</v>
      </c>
      <c r="EA408" s="9" t="n">
        <v>0</v>
      </c>
      <c r="EC408" s="9" t="n">
        <v>0</v>
      </c>
      <c r="ED408" s="9" t="n">
        <v>0</v>
      </c>
      <c r="EH408" s="10" t="n">
        <v>46369</v>
      </c>
      <c r="EJ408" s="9" t="n">
        <v>0</v>
      </c>
      <c r="EL408" s="9" t="n">
        <v>0</v>
      </c>
      <c r="EM408" s="9" t="n">
        <v>0</v>
      </c>
      <c r="EQ408" s="10" t="n">
        <v>46369</v>
      </c>
      <c r="ES408" s="9" t="n">
        <v>0</v>
      </c>
      <c r="EU408" s="9" t="n">
        <v>0</v>
      </c>
      <c r="EV408" s="9" t="n">
        <v>0</v>
      </c>
      <c r="EZ408" s="10" t="n">
        <v>46369</v>
      </c>
      <c r="FB408" s="9" t="n">
        <v>0</v>
      </c>
      <c r="FD408" s="9" t="n">
        <v>0</v>
      </c>
      <c r="FE408" s="9" t="n">
        <v>0</v>
      </c>
      <c r="FI408" s="10" t="n">
        <v>46369</v>
      </c>
      <c r="FK408" s="9" t="n">
        <v>0</v>
      </c>
      <c r="FM408" s="9" t="n">
        <v>0</v>
      </c>
      <c r="FN408" s="9" t="n">
        <v>0</v>
      </c>
      <c r="FR408" s="10" t="n">
        <v>46369</v>
      </c>
      <c r="FT408" s="9" t="n">
        <v>0</v>
      </c>
      <c r="FV408" s="9" t="n">
        <v>0</v>
      </c>
      <c r="FW408" s="9" t="n">
        <v>2020</v>
      </c>
      <c r="GA408" s="10" t="n">
        <v>46369</v>
      </c>
      <c r="GC408" s="9" t="n">
        <v>0</v>
      </c>
      <c r="GE408" s="9" t="n">
        <v>0</v>
      </c>
      <c r="GF408" s="9" t="n">
        <v>960</v>
      </c>
      <c r="GJ408" s="10" t="n">
        <v>46369</v>
      </c>
      <c r="GL408" s="9" t="n">
        <v>0</v>
      </c>
      <c r="GN408" s="9" t="n">
        <v>0</v>
      </c>
      <c r="GO408" s="9" t="n">
        <v>1760</v>
      </c>
      <c r="GS408" s="10" t="n">
        <v>46369</v>
      </c>
      <c r="GU408" s="9" t="n">
        <v>0</v>
      </c>
      <c r="GW408" s="9" t="n">
        <v>0</v>
      </c>
      <c r="GX408" s="9" t="n">
        <v>400</v>
      </c>
      <c r="HB408" s="10" t="n">
        <v>46369</v>
      </c>
      <c r="HD408" s="9" t="n">
        <v>0</v>
      </c>
      <c r="HF408" s="9" t="n">
        <v>0</v>
      </c>
      <c r="HG408" s="9" t="n">
        <v>3600</v>
      </c>
      <c r="HK408" s="10" t="n">
        <v>46369</v>
      </c>
      <c r="HM408" s="9" t="n">
        <v>0</v>
      </c>
      <c r="HO408" s="9" t="n">
        <v>0</v>
      </c>
      <c r="HP408" s="9" t="n">
        <v>0</v>
      </c>
      <c r="HU408" s="10" t="n">
        <v>46369</v>
      </c>
      <c r="HW408" s="9" t="n">
        <v>0</v>
      </c>
      <c r="HY408" s="9" t="n">
        <v>0</v>
      </c>
      <c r="HZ408" s="9" t="n">
        <v>6120</v>
      </c>
      <c r="ID408" s="10" t="n">
        <v>46369</v>
      </c>
      <c r="IF408" s="9" t="n">
        <v>0</v>
      </c>
      <c r="IH408" s="9" t="n">
        <v>0</v>
      </c>
      <c r="II408" s="9" t="n">
        <v>0</v>
      </c>
      <c r="IM408" s="10" t="n">
        <v>46369</v>
      </c>
      <c r="IO408" s="9" t="n">
        <v>0</v>
      </c>
      <c r="IQ408" s="9" t="n">
        <v>0</v>
      </c>
      <c r="IR408" s="9" t="n">
        <v>0</v>
      </c>
      <c r="IV408" s="10" t="n">
        <v>46369</v>
      </c>
      <c r="IX408" s="9" t="n">
        <v>0</v>
      </c>
      <c r="IZ408" s="9" t="n">
        <v>0</v>
      </c>
      <c r="JA408" s="9" t="n">
        <v>2820</v>
      </c>
      <c r="JE408" s="10" t="n">
        <v>46369</v>
      </c>
      <c r="JG408" s="9" t="n">
        <v>0</v>
      </c>
      <c r="JI408" s="9" t="n">
        <v>0</v>
      </c>
      <c r="JJ408" s="9" t="n">
        <v>0</v>
      </c>
      <c r="JN408" s="10" t="n">
        <v>46369</v>
      </c>
      <c r="JP408" s="9" t="n">
        <v>0</v>
      </c>
      <c r="JR408" s="9" t="n">
        <v>0</v>
      </c>
      <c r="JS408" s="9" t="n">
        <v>0</v>
      </c>
      <c r="JW408" s="10" t="n">
        <v>46369</v>
      </c>
      <c r="JY408" s="9" t="n">
        <v>0</v>
      </c>
      <c r="KA408" s="9" t="n">
        <v>0</v>
      </c>
      <c r="KB408" s="9" t="n">
        <v>2540</v>
      </c>
      <c r="KF408" s="10" t="n">
        <v>46369</v>
      </c>
      <c r="KH408" s="9" t="n">
        <v>0</v>
      </c>
      <c r="KJ408" s="9" t="n">
        <v>0</v>
      </c>
      <c r="KK408" s="9" t="n">
        <v>2359.5</v>
      </c>
      <c r="KO408" s="10" t="n">
        <v>46369</v>
      </c>
      <c r="KQ408" s="9" t="n">
        <v>0</v>
      </c>
      <c r="KS408" s="9" t="n">
        <v>0</v>
      </c>
      <c r="KT408" s="9" t="n">
        <v>1890</v>
      </c>
      <c r="KX408" s="10" t="n">
        <v>46369</v>
      </c>
      <c r="KZ408" s="9" t="n">
        <v>0</v>
      </c>
      <c r="LB408" s="9" t="n">
        <v>0</v>
      </c>
      <c r="LC408" s="9" t="n">
        <v>3690</v>
      </c>
      <c r="LG408" s="10" t="n">
        <v>46369</v>
      </c>
      <c r="LI408" s="9" t="n">
        <v>0</v>
      </c>
      <c r="LK408" s="9" t="n">
        <v>0</v>
      </c>
      <c r="LL408" s="9" t="n">
        <v>4000</v>
      </c>
      <c r="LP408" s="10" t="n">
        <v>46369</v>
      </c>
      <c r="LR408" s="9" t="n">
        <v>0</v>
      </c>
      <c r="LT408" s="9" t="n">
        <v>0</v>
      </c>
      <c r="LU408" s="9" t="n">
        <v>0</v>
      </c>
      <c r="LY408" s="10" t="n">
        <v>46369</v>
      </c>
      <c r="MA408" s="9" t="n">
        <v>0</v>
      </c>
      <c r="MC408" s="9" t="n">
        <v>0</v>
      </c>
      <c r="MD408" s="9" t="n">
        <v>0</v>
      </c>
      <c r="MH408" s="10" t="n">
        <v>46369</v>
      </c>
      <c r="MJ408" s="9" t="n">
        <v>0</v>
      </c>
      <c r="ML408" s="9" t="n">
        <v>0</v>
      </c>
      <c r="MM408" s="9" t="n">
        <v>-18</v>
      </c>
      <c r="MQ408" s="10" t="n">
        <v>46369</v>
      </c>
      <c r="MS408" s="9" t="n">
        <v>0</v>
      </c>
      <c r="MU408" s="9" t="n">
        <v>0</v>
      </c>
      <c r="MV408" s="9" t="n">
        <v>1559</v>
      </c>
      <c r="MZ408" s="10" t="n">
        <v>46369</v>
      </c>
      <c r="NB408" s="9" t="n">
        <v>0</v>
      </c>
      <c r="ND408" s="9" t="n">
        <v>0</v>
      </c>
      <c r="NE408" s="9" t="n">
        <v>0</v>
      </c>
      <c r="NI408" s="10" t="n">
        <v>46369</v>
      </c>
      <c r="NK408" s="9" t="n">
        <v>0</v>
      </c>
      <c r="NM408" s="9" t="n">
        <v>0</v>
      </c>
      <c r="NN408" s="9" t="n">
        <v>1127</v>
      </c>
      <c r="NR408" s="10" t="n">
        <v>46369</v>
      </c>
      <c r="NT408" s="9" t="n">
        <v>0</v>
      </c>
      <c r="NV408" s="9" t="n">
        <v>0</v>
      </c>
      <c r="NW408" s="9" t="n">
        <v>3112</v>
      </c>
      <c r="OA408" s="10" t="n">
        <v>46369</v>
      </c>
      <c r="OC408" s="9" t="n">
        <v>0</v>
      </c>
      <c r="OE408" s="9" t="n">
        <v>0</v>
      </c>
      <c r="OF408" s="9" t="n">
        <v>1680.5</v>
      </c>
      <c r="OJ408" s="10" t="n">
        <v>46369</v>
      </c>
      <c r="OL408" s="9" t="n">
        <v>0</v>
      </c>
      <c r="ON408" s="9" t="n">
        <v>0</v>
      </c>
      <c r="OO408" s="9" t="n">
        <v>0</v>
      </c>
      <c r="OS408" s="10" t="n">
        <v>46369</v>
      </c>
      <c r="OU408" s="9" t="n">
        <v>0</v>
      </c>
      <c r="OW408" s="9" t="n">
        <v>0</v>
      </c>
      <c r="OX408" s="9" t="n">
        <v>1482</v>
      </c>
      <c r="PB408" s="10" t="n">
        <v>46369</v>
      </c>
      <c r="PD408" s="9" t="n">
        <v>0</v>
      </c>
      <c r="PF408" s="9" t="n">
        <v>0</v>
      </c>
      <c r="PG408" s="9" t="n">
        <v>0</v>
      </c>
      <c r="PK408" s="10" t="n">
        <v>46369</v>
      </c>
      <c r="PM408" s="9" t="n">
        <v>0</v>
      </c>
      <c r="PO408" s="9" t="n">
        <v>0</v>
      </c>
      <c r="PP408" s="9" t="n">
        <v>100</v>
      </c>
      <c r="PT408" s="10" t="n">
        <v>46369</v>
      </c>
      <c r="PV408" s="9" t="n">
        <v>0</v>
      </c>
      <c r="PX408" s="9" t="n">
        <v>0</v>
      </c>
      <c r="PY408" s="9" t="n">
        <v>13.96000000000004</v>
      </c>
      <c r="QC408" s="10" t="n">
        <v>46369</v>
      </c>
      <c r="QE408" s="9" t="n">
        <v>0</v>
      </c>
      <c r="QG408" s="9" t="n">
        <v>0</v>
      </c>
      <c r="QH408" s="9" t="n">
        <v>548</v>
      </c>
      <c r="QL408" s="10" t="n">
        <v>46369</v>
      </c>
      <c r="QN408" s="9" t="n">
        <v>0</v>
      </c>
      <c r="QP408" s="9" t="n">
        <v>0</v>
      </c>
      <c r="QQ408" s="9" t="n">
        <v>0</v>
      </c>
      <c r="QU408" s="10" t="n">
        <v>46369</v>
      </c>
      <c r="QW408" s="9" t="n">
        <v>0</v>
      </c>
      <c r="QY408" s="9" t="n">
        <v>0</v>
      </c>
      <c r="QZ408" s="9" t="n">
        <v>0</v>
      </c>
      <c r="RD408" s="10" t="n">
        <v>46369</v>
      </c>
      <c r="RF408" s="9" t="n">
        <v>0</v>
      </c>
      <c r="RH408" s="9" t="n">
        <v>0</v>
      </c>
      <c r="RI408" s="9" t="n">
        <v>147.04</v>
      </c>
      <c r="RM408" s="10" t="n">
        <v>46369</v>
      </c>
      <c r="RO408" s="9" t="n">
        <v>0</v>
      </c>
      <c r="RQ408" s="9" t="n">
        <v>0</v>
      </c>
      <c r="RR408" s="9" t="n">
        <v>46.8</v>
      </c>
      <c r="RV408" s="10" t="n">
        <v>46369</v>
      </c>
      <c r="RX408" s="9" t="n">
        <v>0</v>
      </c>
      <c r="RZ408" s="9" t="n">
        <v>0</v>
      </c>
      <c r="SA408" s="9" t="n">
        <v>0</v>
      </c>
      <c r="SE408" s="10" t="n">
        <v>46369</v>
      </c>
      <c r="SG408" s="9" t="n">
        <v>0</v>
      </c>
      <c r="SI408" s="9" t="n">
        <v>0</v>
      </c>
      <c r="SJ408" s="9" t="n">
        <v>24.2</v>
      </c>
      <c r="SN408" s="10" t="n">
        <v>46369</v>
      </c>
      <c r="SP408" s="9" t="n">
        <v>0</v>
      </c>
      <c r="SR408" s="9" t="n">
        <v>0</v>
      </c>
      <c r="SS408" s="9" t="n">
        <v>32</v>
      </c>
      <c r="SW408" s="10" t="n">
        <v>46369</v>
      </c>
      <c r="SY408" s="9" t="n">
        <v>0</v>
      </c>
      <c r="TA408" s="9" t="n">
        <v>0</v>
      </c>
      <c r="TB408" s="9" t="n">
        <v>0</v>
      </c>
      <c r="TF408" s="10" t="n">
        <v>46369</v>
      </c>
      <c r="TH408" s="9" t="n">
        <v>0</v>
      </c>
      <c r="TJ408" s="9" t="n">
        <v>0</v>
      </c>
      <c r="TK408" s="9" t="n">
        <v>0</v>
      </c>
      <c r="TO408" s="10" t="n">
        <v>46369</v>
      </c>
      <c r="TQ408" s="9" t="n">
        <v>0</v>
      </c>
      <c r="TS408" s="9" t="n">
        <v>0</v>
      </c>
      <c r="TT408" s="9" t="n">
        <v>0</v>
      </c>
      <c r="TX408" s="10" t="n">
        <v>46369</v>
      </c>
      <c r="TZ408" s="9" t="n">
        <v>0</v>
      </c>
      <c r="UB408" s="9" t="n">
        <v>0</v>
      </c>
      <c r="UC408" s="9" t="n">
        <v>46.79999999999998</v>
      </c>
      <c r="UG408" s="10" t="n">
        <v>46369</v>
      </c>
      <c r="UI408" s="9" t="n">
        <v>0</v>
      </c>
      <c r="UK408" s="9" t="n">
        <v>0</v>
      </c>
      <c r="UL408" s="9" t="n">
        <v>204</v>
      </c>
      <c r="UP408" s="10" t="n">
        <v>46369</v>
      </c>
      <c r="UR408" s="9" t="n">
        <v>0</v>
      </c>
      <c r="UT408" s="9" t="n">
        <v>0</v>
      </c>
      <c r="UU408" s="9" t="n">
        <v>202.5</v>
      </c>
      <c r="UY408" s="10" t="n">
        <v>46369</v>
      </c>
      <c r="VA408" s="9" t="n">
        <v>0</v>
      </c>
      <c r="VC408" s="9" t="n">
        <v>0</v>
      </c>
      <c r="VD408" s="9" t="n">
        <v>41.60000000000002</v>
      </c>
      <c r="VH408" s="10" t="n">
        <v>46369</v>
      </c>
      <c r="VJ408" s="9" t="n">
        <v>0</v>
      </c>
      <c r="VL408" s="9" t="n">
        <v>0</v>
      </c>
      <c r="VM408" s="9" t="n">
        <v>210</v>
      </c>
      <c r="VQ408" s="10" t="n">
        <v>46369</v>
      </c>
      <c r="VS408" s="9" t="n">
        <v>0</v>
      </c>
      <c r="VU408" s="9" t="n">
        <v>0</v>
      </c>
      <c r="VV408" s="9" t="n">
        <v>0</v>
      </c>
      <c r="VZ408" s="10" t="n">
        <v>46369</v>
      </c>
      <c r="WB408" s="9" t="n">
        <v>0</v>
      </c>
      <c r="WD408" s="9" t="n">
        <v>0</v>
      </c>
      <c r="WE408" s="9" t="n">
        <v>0</v>
      </c>
      <c r="WI408" s="10" t="n">
        <v>46369</v>
      </c>
      <c r="WK408" s="9" t="n">
        <v>0</v>
      </c>
      <c r="WM408" s="9" t="n">
        <v>0</v>
      </c>
      <c r="WN408" s="9" t="n">
        <v>1057</v>
      </c>
      <c r="WR408" s="10" t="n">
        <v>46369</v>
      </c>
      <c r="WT408" s="9" t="n">
        <v>0</v>
      </c>
      <c r="WV408" s="9" t="n">
        <v>0</v>
      </c>
      <c r="WW408" s="9" t="n">
        <v>0</v>
      </c>
      <c r="XA408" s="10" t="n">
        <v>46369</v>
      </c>
      <c r="XC408" s="9" t="n">
        <v>0</v>
      </c>
      <c r="XE408" s="9" t="n">
        <v>0</v>
      </c>
      <c r="XF408" s="9" t="n">
        <v>7507</v>
      </c>
      <c r="XJ408" s="10" t="n">
        <v>46369</v>
      </c>
      <c r="XL408" s="9" t="n">
        <v>0</v>
      </c>
      <c r="XN408" s="9" t="n">
        <v>0</v>
      </c>
      <c r="XO408" s="9" t="n">
        <v>4252</v>
      </c>
      <c r="XS408" s="10" t="n">
        <v>46369</v>
      </c>
      <c r="XU408" s="9" t="n">
        <v>0</v>
      </c>
      <c r="XW408" s="9" t="n">
        <v>0</v>
      </c>
      <c r="XX408" s="9" t="n">
        <v>2179</v>
      </c>
      <c r="YB408" s="10" t="n">
        <v>46369</v>
      </c>
      <c r="YD408" s="9" t="n">
        <v>0</v>
      </c>
      <c r="YF408" s="9" t="n">
        <v>0</v>
      </c>
      <c r="YG408" s="9" t="n">
        <v>4019</v>
      </c>
      <c r="YK408" s="10" t="n">
        <v>46369</v>
      </c>
      <c r="YM408" s="9" t="n">
        <v>0</v>
      </c>
      <c r="YO408" s="9" t="n">
        <v>0</v>
      </c>
      <c r="YP408" s="9" t="n">
        <v>-218</v>
      </c>
      <c r="YT408" s="10" t="n">
        <v>46369</v>
      </c>
      <c r="YV408" s="9" t="n">
        <v>0</v>
      </c>
      <c r="YX408" s="9" t="n">
        <v>0</v>
      </c>
      <c r="YY408" s="9" t="n">
        <v>0</v>
      </c>
      <c r="ZC408" s="10" t="n">
        <v>46369</v>
      </c>
      <c r="ZE408" s="9" t="n">
        <v>0</v>
      </c>
      <c r="ZG408" s="9" t="n">
        <v>0</v>
      </c>
      <c r="ZH408" s="9" t="n">
        <v>0</v>
      </c>
      <c r="ZL408" s="10" t="n">
        <v>46369</v>
      </c>
      <c r="ZN408" s="9" t="n">
        <v>0</v>
      </c>
      <c r="ZP408" s="9" t="n">
        <v>0</v>
      </c>
      <c r="ZQ408" s="9" t="n">
        <v>0</v>
      </c>
      <c r="ZU408" s="10" t="n">
        <v>46369</v>
      </c>
      <c r="ZW408" s="9" t="n">
        <v>0</v>
      </c>
      <c r="ZY408" s="9" t="n">
        <v>0</v>
      </c>
      <c r="ZZ408" s="9" t="n">
        <v>0</v>
      </c>
      <c r="AAD408" s="10" t="n">
        <v>46369</v>
      </c>
      <c r="AAF408" s="9" t="n">
        <v>0</v>
      </c>
      <c r="AAH408" s="9" t="n">
        <v>0</v>
      </c>
      <c r="AAI408" s="9" t="n">
        <v>0</v>
      </c>
      <c r="AAM408" s="10" t="n">
        <v>46369</v>
      </c>
      <c r="AAO408" s="9" t="n">
        <v>0</v>
      </c>
      <c r="AAQ408" s="9" t="n">
        <v>0</v>
      </c>
      <c r="AAR408" s="9" t="n">
        <v>0</v>
      </c>
      <c r="AAV408" s="10" t="n">
        <v>46369</v>
      </c>
      <c r="AAX408" s="9" t="n">
        <v>0</v>
      </c>
      <c r="AAZ408" s="9" t="n">
        <v>0</v>
      </c>
      <c r="ABA408" s="9" t="n">
        <v>0</v>
      </c>
      <c r="ABE408" s="10" t="n">
        <v>46369</v>
      </c>
      <c r="ABG408" s="9" t="n">
        <v>0</v>
      </c>
      <c r="ABI408" s="9" t="n">
        <v>0</v>
      </c>
      <c r="ABJ408" s="9" t="n">
        <v>0</v>
      </c>
    </row>
    <row r="409">
      <c r="C409" s="10" t="n">
        <v>46370</v>
      </c>
      <c r="E409" s="9" t="n">
        <v>0</v>
      </c>
      <c r="G409" s="9" t="n">
        <v>0</v>
      </c>
      <c r="H409" s="9" t="n">
        <v>236936.6</v>
      </c>
      <c r="L409" s="10" t="n">
        <v>46370</v>
      </c>
      <c r="N409" s="9" t="n">
        <v>0</v>
      </c>
      <c r="P409" s="9" t="n">
        <v>0</v>
      </c>
      <c r="Q409" s="9" t="n">
        <v>53017.60000000007</v>
      </c>
      <c r="U409" s="10" t="n">
        <v>46370</v>
      </c>
      <c r="W409" s="9" t="n">
        <v>0</v>
      </c>
      <c r="Y409" s="9" t="n">
        <v>0</v>
      </c>
      <c r="Z409" s="9" t="n">
        <v>42674.19999999997</v>
      </c>
      <c r="AD409" s="10" t="n">
        <v>46370</v>
      </c>
      <c r="AF409" s="9" t="n">
        <v>0</v>
      </c>
      <c r="AH409" s="9" t="n">
        <v>0</v>
      </c>
      <c r="AI409" s="9" t="n">
        <v>4522.200000000019</v>
      </c>
      <c r="AM409" s="10" t="n">
        <v>46370</v>
      </c>
      <c r="AO409" s="9" t="n">
        <v>0</v>
      </c>
      <c r="AQ409" s="9" t="n">
        <v>0</v>
      </c>
      <c r="AR409" s="9" t="n">
        <v>0</v>
      </c>
      <c r="AV409" s="10" t="n">
        <v>46370</v>
      </c>
      <c r="AX409" s="9" t="n">
        <v>0</v>
      </c>
      <c r="AZ409" s="9" t="n">
        <v>0</v>
      </c>
      <c r="BA409" s="9" t="n">
        <v>124.9999999999952</v>
      </c>
      <c r="BE409" s="10" t="n">
        <v>46370</v>
      </c>
      <c r="BG409" s="9" t="n">
        <v>0</v>
      </c>
      <c r="BI409" s="9" t="n">
        <v>0</v>
      </c>
      <c r="BJ409" s="9" t="n">
        <v>26151.9</v>
      </c>
      <c r="BN409" s="10" t="n">
        <v>46370</v>
      </c>
      <c r="BP409" s="9" t="n">
        <v>0</v>
      </c>
      <c r="BR409" s="9" t="n">
        <v>0</v>
      </c>
      <c r="BS409" s="9" t="n">
        <v>0</v>
      </c>
      <c r="BW409" s="10" t="n">
        <v>46370</v>
      </c>
      <c r="BY409" s="9" t="n">
        <v>0</v>
      </c>
      <c r="CA409" s="9" t="n">
        <v>0</v>
      </c>
      <c r="CB409" s="9" t="n">
        <v>2097.339999999999</v>
      </c>
      <c r="CF409" s="10" t="n">
        <v>46370</v>
      </c>
      <c r="CH409" s="9" t="n">
        <v>0</v>
      </c>
      <c r="CJ409" s="9" t="n">
        <v>0</v>
      </c>
      <c r="CK409" s="9" t="n">
        <v>-10277.08</v>
      </c>
      <c r="CO409" s="10" t="n">
        <v>46370</v>
      </c>
      <c r="CQ409" s="9" t="n">
        <v>0</v>
      </c>
      <c r="CS409" s="9" t="n">
        <v>0</v>
      </c>
      <c r="CT409" s="9" t="n">
        <v>0</v>
      </c>
      <c r="CX409" s="10" t="n">
        <v>46370</v>
      </c>
      <c r="CZ409" s="9" t="n">
        <v>0</v>
      </c>
      <c r="DB409" s="9" t="n">
        <v>0</v>
      </c>
      <c r="DC409" s="9" t="n">
        <v>27438.20000000001</v>
      </c>
      <c r="DG409" s="10" t="n">
        <v>46370</v>
      </c>
      <c r="DI409" s="9" t="n">
        <v>0</v>
      </c>
      <c r="DK409" s="9" t="n">
        <v>0</v>
      </c>
      <c r="DL409" s="9" t="n">
        <v>18782.29999999998</v>
      </c>
      <c r="DP409" s="10" t="n">
        <v>46370</v>
      </c>
      <c r="DR409" s="9" t="n">
        <v>0</v>
      </c>
      <c r="DT409" s="9" t="n">
        <v>0</v>
      </c>
      <c r="DU409" s="9" t="n">
        <v>5800</v>
      </c>
      <c r="DY409" s="10" t="n">
        <v>46370</v>
      </c>
      <c r="EA409" s="9" t="n">
        <v>0</v>
      </c>
      <c r="EC409" s="9" t="n">
        <v>0</v>
      </c>
      <c r="ED409" s="9" t="n">
        <v>0</v>
      </c>
      <c r="EH409" s="10" t="n">
        <v>46370</v>
      </c>
      <c r="EJ409" s="9" t="n">
        <v>0</v>
      </c>
      <c r="EL409" s="9" t="n">
        <v>0</v>
      </c>
      <c r="EM409" s="9" t="n">
        <v>0</v>
      </c>
      <c r="EQ409" s="10" t="n">
        <v>46370</v>
      </c>
      <c r="ES409" s="9" t="n">
        <v>0</v>
      </c>
      <c r="EU409" s="9" t="n">
        <v>0</v>
      </c>
      <c r="EV409" s="9" t="n">
        <v>0</v>
      </c>
      <c r="EZ409" s="10" t="n">
        <v>46370</v>
      </c>
      <c r="FB409" s="9" t="n">
        <v>0</v>
      </c>
      <c r="FD409" s="9" t="n">
        <v>0</v>
      </c>
      <c r="FE409" s="9" t="n">
        <v>0</v>
      </c>
      <c r="FI409" s="10" t="n">
        <v>46370</v>
      </c>
      <c r="FK409" s="9" t="n">
        <v>0</v>
      </c>
      <c r="FM409" s="9" t="n">
        <v>0</v>
      </c>
      <c r="FN409" s="9" t="n">
        <v>0</v>
      </c>
      <c r="FR409" s="10" t="n">
        <v>46370</v>
      </c>
      <c r="FT409" s="9" t="n">
        <v>0</v>
      </c>
      <c r="FV409" s="9" t="n">
        <v>0</v>
      </c>
      <c r="FW409" s="9" t="n">
        <v>2020</v>
      </c>
      <c r="GA409" s="10" t="n">
        <v>46370</v>
      </c>
      <c r="GC409" s="9" t="n">
        <v>0</v>
      </c>
      <c r="GE409" s="9" t="n">
        <v>0</v>
      </c>
      <c r="GF409" s="9" t="n">
        <v>960</v>
      </c>
      <c r="GJ409" s="10" t="n">
        <v>46370</v>
      </c>
      <c r="GL409" s="9" t="n">
        <v>0</v>
      </c>
      <c r="GN409" s="9" t="n">
        <v>0</v>
      </c>
      <c r="GO409" s="9" t="n">
        <v>1760</v>
      </c>
      <c r="GS409" s="10" t="n">
        <v>46370</v>
      </c>
      <c r="GU409" s="9" t="n">
        <v>0</v>
      </c>
      <c r="GW409" s="9" t="n">
        <v>0</v>
      </c>
      <c r="GX409" s="9" t="n">
        <v>400</v>
      </c>
      <c r="HB409" s="10" t="n">
        <v>46370</v>
      </c>
      <c r="HD409" s="9" t="n">
        <v>0</v>
      </c>
      <c r="HF409" s="9" t="n">
        <v>0</v>
      </c>
      <c r="HG409" s="9" t="n">
        <v>3600</v>
      </c>
      <c r="HK409" s="10" t="n">
        <v>46370</v>
      </c>
      <c r="HM409" s="9" t="n">
        <v>0</v>
      </c>
      <c r="HO409" s="9" t="n">
        <v>0</v>
      </c>
      <c r="HP409" s="9" t="n">
        <v>0</v>
      </c>
      <c r="HU409" s="10" t="n">
        <v>46370</v>
      </c>
      <c r="HW409" s="9" t="n">
        <v>0</v>
      </c>
      <c r="HY409" s="9" t="n">
        <v>0</v>
      </c>
      <c r="HZ409" s="9" t="n">
        <v>6120</v>
      </c>
      <c r="ID409" s="10" t="n">
        <v>46370</v>
      </c>
      <c r="IF409" s="9" t="n">
        <v>0</v>
      </c>
      <c r="IH409" s="9" t="n">
        <v>0</v>
      </c>
      <c r="II409" s="9" t="n">
        <v>0</v>
      </c>
      <c r="IM409" s="10" t="n">
        <v>46370</v>
      </c>
      <c r="IO409" s="9" t="n">
        <v>0</v>
      </c>
      <c r="IQ409" s="9" t="n">
        <v>0</v>
      </c>
      <c r="IR409" s="9" t="n">
        <v>0</v>
      </c>
      <c r="IV409" s="10" t="n">
        <v>46370</v>
      </c>
      <c r="IX409" s="9" t="n">
        <v>0</v>
      </c>
      <c r="IZ409" s="9" t="n">
        <v>0</v>
      </c>
      <c r="JA409" s="9" t="n">
        <v>2820</v>
      </c>
      <c r="JE409" s="10" t="n">
        <v>46370</v>
      </c>
      <c r="JG409" s="9" t="n">
        <v>0</v>
      </c>
      <c r="JI409" s="9" t="n">
        <v>0</v>
      </c>
      <c r="JJ409" s="9" t="n">
        <v>0</v>
      </c>
      <c r="JN409" s="10" t="n">
        <v>46370</v>
      </c>
      <c r="JP409" s="9" t="n">
        <v>0</v>
      </c>
      <c r="JR409" s="9" t="n">
        <v>0</v>
      </c>
      <c r="JS409" s="9" t="n">
        <v>0</v>
      </c>
      <c r="JW409" s="10" t="n">
        <v>46370</v>
      </c>
      <c r="JY409" s="9" t="n">
        <v>0</v>
      </c>
      <c r="KA409" s="9" t="n">
        <v>0</v>
      </c>
      <c r="KB409" s="9" t="n">
        <v>2540</v>
      </c>
      <c r="KF409" s="10" t="n">
        <v>46370</v>
      </c>
      <c r="KH409" s="9" t="n">
        <v>0</v>
      </c>
      <c r="KJ409" s="9" t="n">
        <v>0</v>
      </c>
      <c r="KK409" s="9" t="n">
        <v>2359.5</v>
      </c>
      <c r="KO409" s="10" t="n">
        <v>46370</v>
      </c>
      <c r="KQ409" s="9" t="n">
        <v>0</v>
      </c>
      <c r="KS409" s="9" t="n">
        <v>0</v>
      </c>
      <c r="KT409" s="9" t="n">
        <v>1890</v>
      </c>
      <c r="KX409" s="10" t="n">
        <v>46370</v>
      </c>
      <c r="KZ409" s="9" t="n">
        <v>0</v>
      </c>
      <c r="LB409" s="9" t="n">
        <v>0</v>
      </c>
      <c r="LC409" s="9" t="n">
        <v>3690</v>
      </c>
      <c r="LG409" s="10" t="n">
        <v>46370</v>
      </c>
      <c r="LI409" s="9" t="n">
        <v>0</v>
      </c>
      <c r="LK409" s="9" t="n">
        <v>0</v>
      </c>
      <c r="LL409" s="9" t="n">
        <v>4000</v>
      </c>
      <c r="LP409" s="10" t="n">
        <v>46370</v>
      </c>
      <c r="LR409" s="9" t="n">
        <v>0</v>
      </c>
      <c r="LT409" s="9" t="n">
        <v>0</v>
      </c>
      <c r="LU409" s="9" t="n">
        <v>0</v>
      </c>
      <c r="LY409" s="10" t="n">
        <v>46370</v>
      </c>
      <c r="MA409" s="9" t="n">
        <v>0</v>
      </c>
      <c r="MC409" s="9" t="n">
        <v>0</v>
      </c>
      <c r="MD409" s="9" t="n">
        <v>0</v>
      </c>
      <c r="MH409" s="10" t="n">
        <v>46370</v>
      </c>
      <c r="MJ409" s="9" t="n">
        <v>0</v>
      </c>
      <c r="ML409" s="9" t="n">
        <v>0</v>
      </c>
      <c r="MM409" s="9" t="n">
        <v>-18</v>
      </c>
      <c r="MQ409" s="10" t="n">
        <v>46370</v>
      </c>
      <c r="MS409" s="9" t="n">
        <v>0</v>
      </c>
      <c r="MU409" s="9" t="n">
        <v>0</v>
      </c>
      <c r="MV409" s="9" t="n">
        <v>1559</v>
      </c>
      <c r="MZ409" s="10" t="n">
        <v>46370</v>
      </c>
      <c r="NB409" s="9" t="n">
        <v>0</v>
      </c>
      <c r="ND409" s="9" t="n">
        <v>0</v>
      </c>
      <c r="NE409" s="9" t="n">
        <v>0</v>
      </c>
      <c r="NI409" s="10" t="n">
        <v>46370</v>
      </c>
      <c r="NK409" s="9" t="n">
        <v>0</v>
      </c>
      <c r="NM409" s="9" t="n">
        <v>0</v>
      </c>
      <c r="NN409" s="9" t="n">
        <v>1127</v>
      </c>
      <c r="NR409" s="10" t="n">
        <v>46370</v>
      </c>
      <c r="NT409" s="9" t="n">
        <v>0</v>
      </c>
      <c r="NV409" s="9" t="n">
        <v>0</v>
      </c>
      <c r="NW409" s="9" t="n">
        <v>3112</v>
      </c>
      <c r="OA409" s="10" t="n">
        <v>46370</v>
      </c>
      <c r="OC409" s="9" t="n">
        <v>0</v>
      </c>
      <c r="OE409" s="9" t="n">
        <v>0</v>
      </c>
      <c r="OF409" s="9" t="n">
        <v>1680.5</v>
      </c>
      <c r="OJ409" s="10" t="n">
        <v>46370</v>
      </c>
      <c r="OL409" s="9" t="n">
        <v>0</v>
      </c>
      <c r="ON409" s="9" t="n">
        <v>0</v>
      </c>
      <c r="OO409" s="9" t="n">
        <v>0</v>
      </c>
      <c r="OS409" s="10" t="n">
        <v>46370</v>
      </c>
      <c r="OU409" s="9" t="n">
        <v>0</v>
      </c>
      <c r="OW409" s="9" t="n">
        <v>0</v>
      </c>
      <c r="OX409" s="9" t="n">
        <v>1482</v>
      </c>
      <c r="PB409" s="10" t="n">
        <v>46370</v>
      </c>
      <c r="PD409" s="9" t="n">
        <v>0</v>
      </c>
      <c r="PF409" s="9" t="n">
        <v>0</v>
      </c>
      <c r="PG409" s="9" t="n">
        <v>0</v>
      </c>
      <c r="PK409" s="10" t="n">
        <v>46370</v>
      </c>
      <c r="PM409" s="9" t="n">
        <v>0</v>
      </c>
      <c r="PO409" s="9" t="n">
        <v>0</v>
      </c>
      <c r="PP409" s="9" t="n">
        <v>100</v>
      </c>
      <c r="PT409" s="10" t="n">
        <v>46370</v>
      </c>
      <c r="PV409" s="9" t="n">
        <v>0</v>
      </c>
      <c r="PX409" s="9" t="n">
        <v>0</v>
      </c>
      <c r="PY409" s="9" t="n">
        <v>13.96000000000004</v>
      </c>
      <c r="QC409" s="10" t="n">
        <v>46370</v>
      </c>
      <c r="QE409" s="9" t="n">
        <v>0</v>
      </c>
      <c r="QG409" s="9" t="n">
        <v>0</v>
      </c>
      <c r="QH409" s="9" t="n">
        <v>548</v>
      </c>
      <c r="QL409" s="10" t="n">
        <v>46370</v>
      </c>
      <c r="QN409" s="9" t="n">
        <v>0</v>
      </c>
      <c r="QP409" s="9" t="n">
        <v>0</v>
      </c>
      <c r="QQ409" s="9" t="n">
        <v>0</v>
      </c>
      <c r="QU409" s="10" t="n">
        <v>46370</v>
      </c>
      <c r="QW409" s="9" t="n">
        <v>0</v>
      </c>
      <c r="QY409" s="9" t="n">
        <v>0</v>
      </c>
      <c r="QZ409" s="9" t="n">
        <v>0</v>
      </c>
      <c r="RD409" s="10" t="n">
        <v>46370</v>
      </c>
      <c r="RF409" s="9" t="n">
        <v>0</v>
      </c>
      <c r="RH409" s="9" t="n">
        <v>0</v>
      </c>
      <c r="RI409" s="9" t="n">
        <v>147.04</v>
      </c>
      <c r="RM409" s="10" t="n">
        <v>46370</v>
      </c>
      <c r="RO409" s="9" t="n">
        <v>0</v>
      </c>
      <c r="RQ409" s="9" t="n">
        <v>0</v>
      </c>
      <c r="RR409" s="9" t="n">
        <v>46.8</v>
      </c>
      <c r="RV409" s="10" t="n">
        <v>46370</v>
      </c>
      <c r="RX409" s="9" t="n">
        <v>0</v>
      </c>
      <c r="RZ409" s="9" t="n">
        <v>0</v>
      </c>
      <c r="SA409" s="9" t="n">
        <v>0</v>
      </c>
      <c r="SE409" s="10" t="n">
        <v>46370</v>
      </c>
      <c r="SG409" s="9" t="n">
        <v>0</v>
      </c>
      <c r="SI409" s="9" t="n">
        <v>0</v>
      </c>
      <c r="SJ409" s="9" t="n">
        <v>24.2</v>
      </c>
      <c r="SN409" s="10" t="n">
        <v>46370</v>
      </c>
      <c r="SP409" s="9" t="n">
        <v>0</v>
      </c>
      <c r="SR409" s="9" t="n">
        <v>0</v>
      </c>
      <c r="SS409" s="9" t="n">
        <v>32</v>
      </c>
      <c r="SW409" s="10" t="n">
        <v>46370</v>
      </c>
      <c r="SY409" s="9" t="n">
        <v>0</v>
      </c>
      <c r="TA409" s="9" t="n">
        <v>0</v>
      </c>
      <c r="TB409" s="9" t="n">
        <v>0</v>
      </c>
      <c r="TF409" s="10" t="n">
        <v>46370</v>
      </c>
      <c r="TH409" s="9" t="n">
        <v>0</v>
      </c>
      <c r="TJ409" s="9" t="n">
        <v>0</v>
      </c>
      <c r="TK409" s="9" t="n">
        <v>0</v>
      </c>
      <c r="TO409" s="10" t="n">
        <v>46370</v>
      </c>
      <c r="TQ409" s="9" t="n">
        <v>0</v>
      </c>
      <c r="TS409" s="9" t="n">
        <v>0</v>
      </c>
      <c r="TT409" s="9" t="n">
        <v>0</v>
      </c>
      <c r="TX409" s="10" t="n">
        <v>46370</v>
      </c>
      <c r="TZ409" s="9" t="n">
        <v>0</v>
      </c>
      <c r="UB409" s="9" t="n">
        <v>0</v>
      </c>
      <c r="UC409" s="9" t="n">
        <v>46.79999999999998</v>
      </c>
      <c r="UG409" s="10" t="n">
        <v>46370</v>
      </c>
      <c r="UI409" s="9" t="n">
        <v>0</v>
      </c>
      <c r="UK409" s="9" t="n">
        <v>0</v>
      </c>
      <c r="UL409" s="9" t="n">
        <v>204</v>
      </c>
      <c r="UP409" s="10" t="n">
        <v>46370</v>
      </c>
      <c r="UR409" s="9" t="n">
        <v>0</v>
      </c>
      <c r="UT409" s="9" t="n">
        <v>0</v>
      </c>
      <c r="UU409" s="9" t="n">
        <v>202.5</v>
      </c>
      <c r="UY409" s="10" t="n">
        <v>46370</v>
      </c>
      <c r="VA409" s="9" t="n">
        <v>0</v>
      </c>
      <c r="VC409" s="9" t="n">
        <v>0</v>
      </c>
      <c r="VD409" s="9" t="n">
        <v>41.60000000000002</v>
      </c>
      <c r="VH409" s="10" t="n">
        <v>46370</v>
      </c>
      <c r="VJ409" s="9" t="n">
        <v>0</v>
      </c>
      <c r="VL409" s="9" t="n">
        <v>0</v>
      </c>
      <c r="VM409" s="9" t="n">
        <v>210</v>
      </c>
      <c r="VQ409" s="10" t="n">
        <v>46370</v>
      </c>
      <c r="VS409" s="9" t="n">
        <v>0</v>
      </c>
      <c r="VU409" s="9" t="n">
        <v>0</v>
      </c>
      <c r="VV409" s="9" t="n">
        <v>0</v>
      </c>
      <c r="VZ409" s="10" t="n">
        <v>46370</v>
      </c>
      <c r="WB409" s="9" t="n">
        <v>0</v>
      </c>
      <c r="WD409" s="9" t="n">
        <v>0</v>
      </c>
      <c r="WE409" s="9" t="n">
        <v>0</v>
      </c>
      <c r="WI409" s="10" t="n">
        <v>46370</v>
      </c>
      <c r="WK409" s="9" t="n">
        <v>0</v>
      </c>
      <c r="WM409" s="9" t="n">
        <v>0</v>
      </c>
      <c r="WN409" s="9" t="n">
        <v>1057</v>
      </c>
      <c r="WR409" s="10" t="n">
        <v>46370</v>
      </c>
      <c r="WT409" s="9" t="n">
        <v>0</v>
      </c>
      <c r="WV409" s="9" t="n">
        <v>0</v>
      </c>
      <c r="WW409" s="9" t="n">
        <v>0</v>
      </c>
      <c r="XA409" s="10" t="n">
        <v>46370</v>
      </c>
      <c r="XC409" s="9" t="n">
        <v>0</v>
      </c>
      <c r="XE409" s="9" t="n">
        <v>0</v>
      </c>
      <c r="XF409" s="9" t="n">
        <v>7507</v>
      </c>
      <c r="XJ409" s="10" t="n">
        <v>46370</v>
      </c>
      <c r="XL409" s="9" t="n">
        <v>0</v>
      </c>
      <c r="XN409" s="9" t="n">
        <v>0</v>
      </c>
      <c r="XO409" s="9" t="n">
        <v>4252</v>
      </c>
      <c r="XS409" s="10" t="n">
        <v>46370</v>
      </c>
      <c r="XU409" s="9" t="n">
        <v>0</v>
      </c>
      <c r="XW409" s="9" t="n">
        <v>0</v>
      </c>
      <c r="XX409" s="9" t="n">
        <v>2179</v>
      </c>
      <c r="YB409" s="10" t="n">
        <v>46370</v>
      </c>
      <c r="YD409" s="9" t="n">
        <v>0</v>
      </c>
      <c r="YF409" s="9" t="n">
        <v>0</v>
      </c>
      <c r="YG409" s="9" t="n">
        <v>4019</v>
      </c>
      <c r="YK409" s="10" t="n">
        <v>46370</v>
      </c>
      <c r="YM409" s="9" t="n">
        <v>0</v>
      </c>
      <c r="YO409" s="9" t="n">
        <v>0</v>
      </c>
      <c r="YP409" s="9" t="n">
        <v>-218</v>
      </c>
      <c r="YT409" s="10" t="n">
        <v>46370</v>
      </c>
      <c r="YV409" s="9" t="n">
        <v>0</v>
      </c>
      <c r="YX409" s="9" t="n">
        <v>0</v>
      </c>
      <c r="YY409" s="9" t="n">
        <v>0</v>
      </c>
      <c r="ZC409" s="10" t="n">
        <v>46370</v>
      </c>
      <c r="ZE409" s="9" t="n">
        <v>0</v>
      </c>
      <c r="ZG409" s="9" t="n">
        <v>0</v>
      </c>
      <c r="ZH409" s="9" t="n">
        <v>0</v>
      </c>
      <c r="ZL409" s="10" t="n">
        <v>46370</v>
      </c>
      <c r="ZN409" s="9" t="n">
        <v>0</v>
      </c>
      <c r="ZP409" s="9" t="n">
        <v>0</v>
      </c>
      <c r="ZQ409" s="9" t="n">
        <v>0</v>
      </c>
      <c r="ZU409" s="10" t="n">
        <v>46370</v>
      </c>
      <c r="ZW409" s="9" t="n">
        <v>0</v>
      </c>
      <c r="ZY409" s="9" t="n">
        <v>0</v>
      </c>
      <c r="ZZ409" s="9" t="n">
        <v>0</v>
      </c>
      <c r="AAD409" s="10" t="n">
        <v>46370</v>
      </c>
      <c r="AAF409" s="9" t="n">
        <v>0</v>
      </c>
      <c r="AAH409" s="9" t="n">
        <v>0</v>
      </c>
      <c r="AAI409" s="9" t="n">
        <v>0</v>
      </c>
      <c r="AAM409" s="10" t="n">
        <v>46370</v>
      </c>
      <c r="AAO409" s="9" t="n">
        <v>0</v>
      </c>
      <c r="AAQ409" s="9" t="n">
        <v>0</v>
      </c>
      <c r="AAR409" s="9" t="n">
        <v>0</v>
      </c>
      <c r="AAV409" s="10" t="n">
        <v>46370</v>
      </c>
      <c r="AAX409" s="9" t="n">
        <v>0</v>
      </c>
      <c r="AAZ409" s="9" t="n">
        <v>0</v>
      </c>
      <c r="ABA409" s="9" t="n">
        <v>0</v>
      </c>
      <c r="ABE409" s="10" t="n">
        <v>46370</v>
      </c>
      <c r="ABG409" s="9" t="n">
        <v>0</v>
      </c>
      <c r="ABI409" s="9" t="n">
        <v>0</v>
      </c>
      <c r="ABJ409" s="9" t="n">
        <v>0</v>
      </c>
    </row>
    <row r="410">
      <c r="C410" s="10" t="n">
        <v>46371</v>
      </c>
      <c r="E410" s="9" t="n">
        <v>0</v>
      </c>
      <c r="G410" s="9" t="n">
        <v>0</v>
      </c>
      <c r="H410" s="9" t="n">
        <v>236936.6</v>
      </c>
      <c r="L410" s="10" t="n">
        <v>46371</v>
      </c>
      <c r="N410" s="9" t="n">
        <v>0</v>
      </c>
      <c r="P410" s="9" t="n">
        <v>0</v>
      </c>
      <c r="Q410" s="9" t="n">
        <v>53017.60000000007</v>
      </c>
      <c r="U410" s="10" t="n">
        <v>46371</v>
      </c>
      <c r="W410" s="9" t="n">
        <v>0</v>
      </c>
      <c r="Y410" s="9" t="n">
        <v>0</v>
      </c>
      <c r="Z410" s="9" t="n">
        <v>42674.19999999997</v>
      </c>
      <c r="AD410" s="10" t="n">
        <v>46371</v>
      </c>
      <c r="AF410" s="9" t="n">
        <v>0</v>
      </c>
      <c r="AH410" s="9" t="n">
        <v>0</v>
      </c>
      <c r="AI410" s="9" t="n">
        <v>4522.200000000019</v>
      </c>
      <c r="AM410" s="10" t="n">
        <v>46371</v>
      </c>
      <c r="AO410" s="9" t="n">
        <v>0</v>
      </c>
      <c r="AQ410" s="9" t="n">
        <v>0</v>
      </c>
      <c r="AR410" s="9" t="n">
        <v>0</v>
      </c>
      <c r="AV410" s="10" t="n">
        <v>46371</v>
      </c>
      <c r="AX410" s="9" t="n">
        <v>0</v>
      </c>
      <c r="AZ410" s="9" t="n">
        <v>0</v>
      </c>
      <c r="BA410" s="9" t="n">
        <v>124.9999999999952</v>
      </c>
      <c r="BE410" s="10" t="n">
        <v>46371</v>
      </c>
      <c r="BG410" s="9" t="n">
        <v>0</v>
      </c>
      <c r="BI410" s="9" t="n">
        <v>0</v>
      </c>
      <c r="BJ410" s="9" t="n">
        <v>26151.9</v>
      </c>
      <c r="BN410" s="10" t="n">
        <v>46371</v>
      </c>
      <c r="BP410" s="9" t="n">
        <v>0</v>
      </c>
      <c r="BR410" s="9" t="n">
        <v>0</v>
      </c>
      <c r="BS410" s="9" t="n">
        <v>0</v>
      </c>
      <c r="BW410" s="10" t="n">
        <v>46371</v>
      </c>
      <c r="BY410" s="9" t="n">
        <v>0</v>
      </c>
      <c r="CA410" s="9" t="n">
        <v>0</v>
      </c>
      <c r="CB410" s="9" t="n">
        <v>2097.339999999999</v>
      </c>
      <c r="CF410" s="10" t="n">
        <v>46371</v>
      </c>
      <c r="CH410" s="9" t="n">
        <v>0</v>
      </c>
      <c r="CJ410" s="9" t="n">
        <v>0</v>
      </c>
      <c r="CK410" s="9" t="n">
        <v>-10277.08</v>
      </c>
      <c r="CO410" s="10" t="n">
        <v>46371</v>
      </c>
      <c r="CQ410" s="9" t="n">
        <v>0</v>
      </c>
      <c r="CS410" s="9" t="n">
        <v>0</v>
      </c>
      <c r="CT410" s="9" t="n">
        <v>0</v>
      </c>
      <c r="CX410" s="10" t="n">
        <v>46371</v>
      </c>
      <c r="CZ410" s="9" t="n">
        <v>0</v>
      </c>
      <c r="DB410" s="9" t="n">
        <v>0</v>
      </c>
      <c r="DC410" s="9" t="n">
        <v>27438.20000000001</v>
      </c>
      <c r="DG410" s="10" t="n">
        <v>46371</v>
      </c>
      <c r="DI410" s="9" t="n">
        <v>0</v>
      </c>
      <c r="DK410" s="9" t="n">
        <v>0</v>
      </c>
      <c r="DL410" s="9" t="n">
        <v>18782.29999999998</v>
      </c>
      <c r="DP410" s="10" t="n">
        <v>46371</v>
      </c>
      <c r="DR410" s="9" t="n">
        <v>0</v>
      </c>
      <c r="DT410" s="9" t="n">
        <v>0</v>
      </c>
      <c r="DU410" s="9" t="n">
        <v>5800</v>
      </c>
      <c r="DY410" s="10" t="n">
        <v>46371</v>
      </c>
      <c r="EA410" s="9" t="n">
        <v>0</v>
      </c>
      <c r="EC410" s="9" t="n">
        <v>0</v>
      </c>
      <c r="ED410" s="9" t="n">
        <v>0</v>
      </c>
      <c r="EH410" s="10" t="n">
        <v>46371</v>
      </c>
      <c r="EJ410" s="9" t="n">
        <v>0</v>
      </c>
      <c r="EL410" s="9" t="n">
        <v>0</v>
      </c>
      <c r="EM410" s="9" t="n">
        <v>0</v>
      </c>
      <c r="EQ410" s="10" t="n">
        <v>46371</v>
      </c>
      <c r="ES410" s="9" t="n">
        <v>0</v>
      </c>
      <c r="EU410" s="9" t="n">
        <v>0</v>
      </c>
      <c r="EV410" s="9" t="n">
        <v>0</v>
      </c>
      <c r="EZ410" s="10" t="n">
        <v>46371</v>
      </c>
      <c r="FB410" s="9" t="n">
        <v>0</v>
      </c>
      <c r="FD410" s="9" t="n">
        <v>0</v>
      </c>
      <c r="FE410" s="9" t="n">
        <v>0</v>
      </c>
      <c r="FI410" s="10" t="n">
        <v>46371</v>
      </c>
      <c r="FK410" s="9" t="n">
        <v>0</v>
      </c>
      <c r="FM410" s="9" t="n">
        <v>0</v>
      </c>
      <c r="FN410" s="9" t="n">
        <v>0</v>
      </c>
      <c r="FR410" s="10" t="n">
        <v>46371</v>
      </c>
      <c r="FT410" s="9" t="n">
        <v>0</v>
      </c>
      <c r="FV410" s="9" t="n">
        <v>0</v>
      </c>
      <c r="FW410" s="9" t="n">
        <v>2020</v>
      </c>
      <c r="GA410" s="10" t="n">
        <v>46371</v>
      </c>
      <c r="GC410" s="9" t="n">
        <v>0</v>
      </c>
      <c r="GE410" s="9" t="n">
        <v>0</v>
      </c>
      <c r="GF410" s="9" t="n">
        <v>960</v>
      </c>
      <c r="GJ410" s="10" t="n">
        <v>46371</v>
      </c>
      <c r="GL410" s="9" t="n">
        <v>0</v>
      </c>
      <c r="GN410" s="9" t="n">
        <v>0</v>
      </c>
      <c r="GO410" s="9" t="n">
        <v>1760</v>
      </c>
      <c r="GS410" s="10" t="n">
        <v>46371</v>
      </c>
      <c r="GU410" s="9" t="n">
        <v>0</v>
      </c>
      <c r="GW410" s="9" t="n">
        <v>0</v>
      </c>
      <c r="GX410" s="9" t="n">
        <v>400</v>
      </c>
      <c r="HB410" s="10" t="n">
        <v>46371</v>
      </c>
      <c r="HD410" s="9" t="n">
        <v>0</v>
      </c>
      <c r="HF410" s="9" t="n">
        <v>0</v>
      </c>
      <c r="HG410" s="9" t="n">
        <v>3600</v>
      </c>
      <c r="HK410" s="10" t="n">
        <v>46371</v>
      </c>
      <c r="HM410" s="9" t="n">
        <v>0</v>
      </c>
      <c r="HO410" s="9" t="n">
        <v>0</v>
      </c>
      <c r="HP410" s="9" t="n">
        <v>0</v>
      </c>
      <c r="HU410" s="10" t="n">
        <v>46371</v>
      </c>
      <c r="HW410" s="9" t="n">
        <v>0</v>
      </c>
      <c r="HY410" s="9" t="n">
        <v>0</v>
      </c>
      <c r="HZ410" s="9" t="n">
        <v>6120</v>
      </c>
      <c r="ID410" s="10" t="n">
        <v>46371</v>
      </c>
      <c r="IF410" s="9" t="n">
        <v>0</v>
      </c>
      <c r="IH410" s="9" t="n">
        <v>0</v>
      </c>
      <c r="II410" s="9" t="n">
        <v>0</v>
      </c>
      <c r="IM410" s="10" t="n">
        <v>46371</v>
      </c>
      <c r="IO410" s="9" t="n">
        <v>0</v>
      </c>
      <c r="IQ410" s="9" t="n">
        <v>0</v>
      </c>
      <c r="IR410" s="9" t="n">
        <v>0</v>
      </c>
      <c r="IV410" s="10" t="n">
        <v>46371</v>
      </c>
      <c r="IX410" s="9" t="n">
        <v>0</v>
      </c>
      <c r="IZ410" s="9" t="n">
        <v>0</v>
      </c>
      <c r="JA410" s="9" t="n">
        <v>2820</v>
      </c>
      <c r="JE410" s="10" t="n">
        <v>46371</v>
      </c>
      <c r="JG410" s="9" t="n">
        <v>0</v>
      </c>
      <c r="JI410" s="9" t="n">
        <v>0</v>
      </c>
      <c r="JJ410" s="9" t="n">
        <v>0</v>
      </c>
      <c r="JN410" s="10" t="n">
        <v>46371</v>
      </c>
      <c r="JP410" s="9" t="n">
        <v>0</v>
      </c>
      <c r="JR410" s="9" t="n">
        <v>0</v>
      </c>
      <c r="JS410" s="9" t="n">
        <v>0</v>
      </c>
      <c r="JW410" s="10" t="n">
        <v>46371</v>
      </c>
      <c r="JY410" s="9" t="n">
        <v>0</v>
      </c>
      <c r="KA410" s="9" t="n">
        <v>0</v>
      </c>
      <c r="KB410" s="9" t="n">
        <v>2540</v>
      </c>
      <c r="KF410" s="10" t="n">
        <v>46371</v>
      </c>
      <c r="KH410" s="9" t="n">
        <v>0</v>
      </c>
      <c r="KJ410" s="9" t="n">
        <v>0</v>
      </c>
      <c r="KK410" s="9" t="n">
        <v>2359.5</v>
      </c>
      <c r="KO410" s="10" t="n">
        <v>46371</v>
      </c>
      <c r="KQ410" s="9" t="n">
        <v>0</v>
      </c>
      <c r="KS410" s="9" t="n">
        <v>0</v>
      </c>
      <c r="KT410" s="9" t="n">
        <v>1890</v>
      </c>
      <c r="KX410" s="10" t="n">
        <v>46371</v>
      </c>
      <c r="KZ410" s="9" t="n">
        <v>0</v>
      </c>
      <c r="LB410" s="9" t="n">
        <v>0</v>
      </c>
      <c r="LC410" s="9" t="n">
        <v>3690</v>
      </c>
      <c r="LG410" s="10" t="n">
        <v>46371</v>
      </c>
      <c r="LI410" s="9" t="n">
        <v>0</v>
      </c>
      <c r="LK410" s="9" t="n">
        <v>0</v>
      </c>
      <c r="LL410" s="9" t="n">
        <v>4000</v>
      </c>
      <c r="LP410" s="10" t="n">
        <v>46371</v>
      </c>
      <c r="LR410" s="9" t="n">
        <v>0</v>
      </c>
      <c r="LT410" s="9" t="n">
        <v>0</v>
      </c>
      <c r="LU410" s="9" t="n">
        <v>0</v>
      </c>
      <c r="LY410" s="10" t="n">
        <v>46371</v>
      </c>
      <c r="MA410" s="9" t="n">
        <v>0</v>
      </c>
      <c r="MC410" s="9" t="n">
        <v>0</v>
      </c>
      <c r="MD410" s="9" t="n">
        <v>0</v>
      </c>
      <c r="MH410" s="10" t="n">
        <v>46371</v>
      </c>
      <c r="MJ410" s="9" t="n">
        <v>0</v>
      </c>
      <c r="ML410" s="9" t="n">
        <v>0</v>
      </c>
      <c r="MM410" s="9" t="n">
        <v>-18</v>
      </c>
      <c r="MQ410" s="10" t="n">
        <v>46371</v>
      </c>
      <c r="MS410" s="9" t="n">
        <v>0</v>
      </c>
      <c r="MU410" s="9" t="n">
        <v>0</v>
      </c>
      <c r="MV410" s="9" t="n">
        <v>1559</v>
      </c>
      <c r="MZ410" s="10" t="n">
        <v>46371</v>
      </c>
      <c r="NB410" s="9" t="n">
        <v>0</v>
      </c>
      <c r="ND410" s="9" t="n">
        <v>0</v>
      </c>
      <c r="NE410" s="9" t="n">
        <v>0</v>
      </c>
      <c r="NI410" s="10" t="n">
        <v>46371</v>
      </c>
      <c r="NK410" s="9" t="n">
        <v>0</v>
      </c>
      <c r="NM410" s="9" t="n">
        <v>0</v>
      </c>
      <c r="NN410" s="9" t="n">
        <v>1127</v>
      </c>
      <c r="NR410" s="10" t="n">
        <v>46371</v>
      </c>
      <c r="NT410" s="9" t="n">
        <v>0</v>
      </c>
      <c r="NV410" s="9" t="n">
        <v>0</v>
      </c>
      <c r="NW410" s="9" t="n">
        <v>3112</v>
      </c>
      <c r="OA410" s="10" t="n">
        <v>46371</v>
      </c>
      <c r="OC410" s="9" t="n">
        <v>0</v>
      </c>
      <c r="OE410" s="9" t="n">
        <v>0</v>
      </c>
      <c r="OF410" s="9" t="n">
        <v>1680.5</v>
      </c>
      <c r="OJ410" s="10" t="n">
        <v>46371</v>
      </c>
      <c r="OL410" s="9" t="n">
        <v>0</v>
      </c>
      <c r="ON410" s="9" t="n">
        <v>0</v>
      </c>
      <c r="OO410" s="9" t="n">
        <v>0</v>
      </c>
      <c r="OS410" s="10" t="n">
        <v>46371</v>
      </c>
      <c r="OU410" s="9" t="n">
        <v>0</v>
      </c>
      <c r="OW410" s="9" t="n">
        <v>0</v>
      </c>
      <c r="OX410" s="9" t="n">
        <v>1482</v>
      </c>
      <c r="PB410" s="10" t="n">
        <v>46371</v>
      </c>
      <c r="PD410" s="9" t="n">
        <v>0</v>
      </c>
      <c r="PF410" s="9" t="n">
        <v>0</v>
      </c>
      <c r="PG410" s="9" t="n">
        <v>0</v>
      </c>
      <c r="PK410" s="10" t="n">
        <v>46371</v>
      </c>
      <c r="PM410" s="9" t="n">
        <v>0</v>
      </c>
      <c r="PO410" s="9" t="n">
        <v>0</v>
      </c>
      <c r="PP410" s="9" t="n">
        <v>100</v>
      </c>
      <c r="PT410" s="10" t="n">
        <v>46371</v>
      </c>
      <c r="PV410" s="9" t="n">
        <v>0</v>
      </c>
      <c r="PX410" s="9" t="n">
        <v>0</v>
      </c>
      <c r="PY410" s="9" t="n">
        <v>13.96000000000004</v>
      </c>
      <c r="QC410" s="10" t="n">
        <v>46371</v>
      </c>
      <c r="QE410" s="9" t="n">
        <v>0</v>
      </c>
      <c r="QG410" s="9" t="n">
        <v>0</v>
      </c>
      <c r="QH410" s="9" t="n">
        <v>548</v>
      </c>
      <c r="QL410" s="10" t="n">
        <v>46371</v>
      </c>
      <c r="QN410" s="9" t="n">
        <v>0</v>
      </c>
      <c r="QP410" s="9" t="n">
        <v>0</v>
      </c>
      <c r="QQ410" s="9" t="n">
        <v>0</v>
      </c>
      <c r="QU410" s="10" t="n">
        <v>46371</v>
      </c>
      <c r="QW410" s="9" t="n">
        <v>0</v>
      </c>
      <c r="QY410" s="9" t="n">
        <v>0</v>
      </c>
      <c r="QZ410" s="9" t="n">
        <v>0</v>
      </c>
      <c r="RD410" s="10" t="n">
        <v>46371</v>
      </c>
      <c r="RF410" s="9" t="n">
        <v>0</v>
      </c>
      <c r="RH410" s="9" t="n">
        <v>0</v>
      </c>
      <c r="RI410" s="9" t="n">
        <v>147.04</v>
      </c>
      <c r="RM410" s="10" t="n">
        <v>46371</v>
      </c>
      <c r="RO410" s="9" t="n">
        <v>0</v>
      </c>
      <c r="RQ410" s="9" t="n">
        <v>0</v>
      </c>
      <c r="RR410" s="9" t="n">
        <v>46.8</v>
      </c>
      <c r="RV410" s="10" t="n">
        <v>46371</v>
      </c>
      <c r="RX410" s="9" t="n">
        <v>0</v>
      </c>
      <c r="RZ410" s="9" t="n">
        <v>0</v>
      </c>
      <c r="SA410" s="9" t="n">
        <v>0</v>
      </c>
      <c r="SE410" s="10" t="n">
        <v>46371</v>
      </c>
      <c r="SG410" s="9" t="n">
        <v>0</v>
      </c>
      <c r="SI410" s="9" t="n">
        <v>0</v>
      </c>
      <c r="SJ410" s="9" t="n">
        <v>24.2</v>
      </c>
      <c r="SN410" s="10" t="n">
        <v>46371</v>
      </c>
      <c r="SP410" s="9" t="n">
        <v>0</v>
      </c>
      <c r="SR410" s="9" t="n">
        <v>0</v>
      </c>
      <c r="SS410" s="9" t="n">
        <v>32</v>
      </c>
      <c r="SW410" s="10" t="n">
        <v>46371</v>
      </c>
      <c r="SY410" s="9" t="n">
        <v>0</v>
      </c>
      <c r="TA410" s="9" t="n">
        <v>0</v>
      </c>
      <c r="TB410" s="9" t="n">
        <v>0</v>
      </c>
      <c r="TF410" s="10" t="n">
        <v>46371</v>
      </c>
      <c r="TH410" s="9" t="n">
        <v>0</v>
      </c>
      <c r="TJ410" s="9" t="n">
        <v>0</v>
      </c>
      <c r="TK410" s="9" t="n">
        <v>0</v>
      </c>
      <c r="TO410" s="10" t="n">
        <v>46371</v>
      </c>
      <c r="TQ410" s="9" t="n">
        <v>0</v>
      </c>
      <c r="TS410" s="9" t="n">
        <v>0</v>
      </c>
      <c r="TT410" s="9" t="n">
        <v>0</v>
      </c>
      <c r="TX410" s="10" t="n">
        <v>46371</v>
      </c>
      <c r="TZ410" s="9" t="n">
        <v>0</v>
      </c>
      <c r="UB410" s="9" t="n">
        <v>0</v>
      </c>
      <c r="UC410" s="9" t="n">
        <v>46.79999999999998</v>
      </c>
      <c r="UG410" s="10" t="n">
        <v>46371</v>
      </c>
      <c r="UI410" s="9" t="n">
        <v>0</v>
      </c>
      <c r="UK410" s="9" t="n">
        <v>0</v>
      </c>
      <c r="UL410" s="9" t="n">
        <v>204</v>
      </c>
      <c r="UP410" s="10" t="n">
        <v>46371</v>
      </c>
      <c r="UR410" s="9" t="n">
        <v>0</v>
      </c>
      <c r="UT410" s="9" t="n">
        <v>0</v>
      </c>
      <c r="UU410" s="9" t="n">
        <v>202.5</v>
      </c>
      <c r="UY410" s="10" t="n">
        <v>46371</v>
      </c>
      <c r="VA410" s="9" t="n">
        <v>0</v>
      </c>
      <c r="VC410" s="9" t="n">
        <v>0</v>
      </c>
      <c r="VD410" s="9" t="n">
        <v>41.60000000000002</v>
      </c>
      <c r="VH410" s="10" t="n">
        <v>46371</v>
      </c>
      <c r="VJ410" s="9" t="n">
        <v>0</v>
      </c>
      <c r="VL410" s="9" t="n">
        <v>0</v>
      </c>
      <c r="VM410" s="9" t="n">
        <v>210</v>
      </c>
      <c r="VQ410" s="10" t="n">
        <v>46371</v>
      </c>
      <c r="VS410" s="9" t="n">
        <v>0</v>
      </c>
      <c r="VU410" s="9" t="n">
        <v>0</v>
      </c>
      <c r="VV410" s="9" t="n">
        <v>0</v>
      </c>
      <c r="VZ410" s="10" t="n">
        <v>46371</v>
      </c>
      <c r="WB410" s="9" t="n">
        <v>0</v>
      </c>
      <c r="WD410" s="9" t="n">
        <v>0</v>
      </c>
      <c r="WE410" s="9" t="n">
        <v>0</v>
      </c>
      <c r="WI410" s="10" t="n">
        <v>46371</v>
      </c>
      <c r="WK410" s="9" t="n">
        <v>0</v>
      </c>
      <c r="WM410" s="9" t="n">
        <v>0</v>
      </c>
      <c r="WN410" s="9" t="n">
        <v>1057</v>
      </c>
      <c r="WR410" s="10" t="n">
        <v>46371</v>
      </c>
      <c r="WT410" s="9" t="n">
        <v>0</v>
      </c>
      <c r="WV410" s="9" t="n">
        <v>0</v>
      </c>
      <c r="WW410" s="9" t="n">
        <v>0</v>
      </c>
      <c r="XA410" s="10" t="n">
        <v>46371</v>
      </c>
      <c r="XC410" s="9" t="n">
        <v>0</v>
      </c>
      <c r="XE410" s="9" t="n">
        <v>0</v>
      </c>
      <c r="XF410" s="9" t="n">
        <v>7507</v>
      </c>
      <c r="XJ410" s="10" t="n">
        <v>46371</v>
      </c>
      <c r="XL410" s="9" t="n">
        <v>0</v>
      </c>
      <c r="XN410" s="9" t="n">
        <v>0</v>
      </c>
      <c r="XO410" s="9" t="n">
        <v>4252</v>
      </c>
      <c r="XS410" s="10" t="n">
        <v>46371</v>
      </c>
      <c r="XU410" s="9" t="n">
        <v>0</v>
      </c>
      <c r="XW410" s="9" t="n">
        <v>0</v>
      </c>
      <c r="XX410" s="9" t="n">
        <v>2179</v>
      </c>
      <c r="YB410" s="10" t="n">
        <v>46371</v>
      </c>
      <c r="YD410" s="9" t="n">
        <v>0</v>
      </c>
      <c r="YF410" s="9" t="n">
        <v>0</v>
      </c>
      <c r="YG410" s="9" t="n">
        <v>4019</v>
      </c>
      <c r="YK410" s="10" t="n">
        <v>46371</v>
      </c>
      <c r="YM410" s="9" t="n">
        <v>0</v>
      </c>
      <c r="YO410" s="9" t="n">
        <v>0</v>
      </c>
      <c r="YP410" s="9" t="n">
        <v>-218</v>
      </c>
      <c r="YT410" s="10" t="n">
        <v>46371</v>
      </c>
      <c r="YV410" s="9" t="n">
        <v>0</v>
      </c>
      <c r="YX410" s="9" t="n">
        <v>0</v>
      </c>
      <c r="YY410" s="9" t="n">
        <v>0</v>
      </c>
      <c r="ZC410" s="10" t="n">
        <v>46371</v>
      </c>
      <c r="ZE410" s="9" t="n">
        <v>0</v>
      </c>
      <c r="ZG410" s="9" t="n">
        <v>0</v>
      </c>
      <c r="ZH410" s="9" t="n">
        <v>0</v>
      </c>
      <c r="ZL410" s="10" t="n">
        <v>46371</v>
      </c>
      <c r="ZN410" s="9" t="n">
        <v>0</v>
      </c>
      <c r="ZP410" s="9" t="n">
        <v>0</v>
      </c>
      <c r="ZQ410" s="9" t="n">
        <v>0</v>
      </c>
      <c r="ZU410" s="10" t="n">
        <v>46371</v>
      </c>
      <c r="ZW410" s="9" t="n">
        <v>0</v>
      </c>
      <c r="ZY410" s="9" t="n">
        <v>0</v>
      </c>
      <c r="ZZ410" s="9" t="n">
        <v>0</v>
      </c>
      <c r="AAD410" s="10" t="n">
        <v>46371</v>
      </c>
      <c r="AAF410" s="9" t="n">
        <v>0</v>
      </c>
      <c r="AAH410" s="9" t="n">
        <v>0</v>
      </c>
      <c r="AAI410" s="9" t="n">
        <v>0</v>
      </c>
      <c r="AAM410" s="10" t="n">
        <v>46371</v>
      </c>
      <c r="AAO410" s="9" t="n">
        <v>0</v>
      </c>
      <c r="AAQ410" s="9" t="n">
        <v>0</v>
      </c>
      <c r="AAR410" s="9" t="n">
        <v>0</v>
      </c>
      <c r="AAV410" s="10" t="n">
        <v>46371</v>
      </c>
      <c r="AAX410" s="9" t="n">
        <v>0</v>
      </c>
      <c r="AAZ410" s="9" t="n">
        <v>0</v>
      </c>
      <c r="ABA410" s="9" t="n">
        <v>0</v>
      </c>
      <c r="ABE410" s="10" t="n">
        <v>46371</v>
      </c>
      <c r="ABG410" s="9" t="n">
        <v>0</v>
      </c>
      <c r="ABI410" s="9" t="n">
        <v>0</v>
      </c>
      <c r="ABJ410" s="9" t="n">
        <v>0</v>
      </c>
    </row>
    <row r="411">
      <c r="C411" s="10" t="n">
        <v>46372</v>
      </c>
      <c r="E411" s="9" t="n">
        <v>0</v>
      </c>
      <c r="G411" s="9" t="n">
        <v>0</v>
      </c>
      <c r="H411" s="9" t="n">
        <v>236936.6</v>
      </c>
      <c r="L411" s="10" t="n">
        <v>46372</v>
      </c>
      <c r="N411" s="9" t="n">
        <v>0</v>
      </c>
      <c r="P411" s="9" t="n">
        <v>0</v>
      </c>
      <c r="Q411" s="9" t="n">
        <v>53017.60000000007</v>
      </c>
      <c r="U411" s="10" t="n">
        <v>46372</v>
      </c>
      <c r="W411" s="9" t="n">
        <v>0</v>
      </c>
      <c r="Y411" s="9" t="n">
        <v>0</v>
      </c>
      <c r="Z411" s="9" t="n">
        <v>42674.19999999997</v>
      </c>
      <c r="AD411" s="10" t="n">
        <v>46372</v>
      </c>
      <c r="AF411" s="9" t="n">
        <v>0</v>
      </c>
      <c r="AH411" s="9" t="n">
        <v>0</v>
      </c>
      <c r="AI411" s="9" t="n">
        <v>4522.200000000019</v>
      </c>
      <c r="AM411" s="10" t="n">
        <v>46372</v>
      </c>
      <c r="AO411" s="9" t="n">
        <v>0</v>
      </c>
      <c r="AQ411" s="9" t="n">
        <v>0</v>
      </c>
      <c r="AR411" s="9" t="n">
        <v>0</v>
      </c>
      <c r="AV411" s="10" t="n">
        <v>46372</v>
      </c>
      <c r="AX411" s="9" t="n">
        <v>0</v>
      </c>
      <c r="AZ411" s="9" t="n">
        <v>0</v>
      </c>
      <c r="BA411" s="9" t="n">
        <v>124.9999999999952</v>
      </c>
      <c r="BE411" s="10" t="n">
        <v>46372</v>
      </c>
      <c r="BG411" s="9" t="n">
        <v>0</v>
      </c>
      <c r="BI411" s="9" t="n">
        <v>0</v>
      </c>
      <c r="BJ411" s="9" t="n">
        <v>26151.9</v>
      </c>
      <c r="BN411" s="10" t="n">
        <v>46372</v>
      </c>
      <c r="BP411" s="9" t="n">
        <v>0</v>
      </c>
      <c r="BR411" s="9" t="n">
        <v>0</v>
      </c>
      <c r="BS411" s="9" t="n">
        <v>0</v>
      </c>
      <c r="BW411" s="10" t="n">
        <v>46372</v>
      </c>
      <c r="BY411" s="9" t="n">
        <v>0</v>
      </c>
      <c r="CA411" s="9" t="n">
        <v>0</v>
      </c>
      <c r="CB411" s="9" t="n">
        <v>2097.339999999999</v>
      </c>
      <c r="CF411" s="10" t="n">
        <v>46372</v>
      </c>
      <c r="CH411" s="9" t="n">
        <v>0</v>
      </c>
      <c r="CJ411" s="9" t="n">
        <v>0</v>
      </c>
      <c r="CK411" s="9" t="n">
        <v>-10277.08</v>
      </c>
      <c r="CO411" s="10" t="n">
        <v>46372</v>
      </c>
      <c r="CQ411" s="9" t="n">
        <v>0</v>
      </c>
      <c r="CS411" s="9" t="n">
        <v>0</v>
      </c>
      <c r="CT411" s="9" t="n">
        <v>0</v>
      </c>
      <c r="CX411" s="10" t="n">
        <v>46372</v>
      </c>
      <c r="CZ411" s="9" t="n">
        <v>0</v>
      </c>
      <c r="DB411" s="9" t="n">
        <v>0</v>
      </c>
      <c r="DC411" s="9" t="n">
        <v>27438.20000000001</v>
      </c>
      <c r="DG411" s="10" t="n">
        <v>46372</v>
      </c>
      <c r="DI411" s="9" t="n">
        <v>0</v>
      </c>
      <c r="DK411" s="9" t="n">
        <v>0</v>
      </c>
      <c r="DL411" s="9" t="n">
        <v>18782.29999999998</v>
      </c>
      <c r="DP411" s="10" t="n">
        <v>46372</v>
      </c>
      <c r="DR411" s="9" t="n">
        <v>0</v>
      </c>
      <c r="DT411" s="9" t="n">
        <v>0</v>
      </c>
      <c r="DU411" s="9" t="n">
        <v>5800</v>
      </c>
      <c r="DY411" s="10" t="n">
        <v>46372</v>
      </c>
      <c r="EA411" s="9" t="n">
        <v>0</v>
      </c>
      <c r="EC411" s="9" t="n">
        <v>0</v>
      </c>
      <c r="ED411" s="9" t="n">
        <v>0</v>
      </c>
      <c r="EH411" s="10" t="n">
        <v>46372</v>
      </c>
      <c r="EJ411" s="9" t="n">
        <v>0</v>
      </c>
      <c r="EL411" s="9" t="n">
        <v>0</v>
      </c>
      <c r="EM411" s="9" t="n">
        <v>0</v>
      </c>
      <c r="EQ411" s="10" t="n">
        <v>46372</v>
      </c>
      <c r="ES411" s="9" t="n">
        <v>0</v>
      </c>
      <c r="EU411" s="9" t="n">
        <v>0</v>
      </c>
      <c r="EV411" s="9" t="n">
        <v>0</v>
      </c>
      <c r="EZ411" s="10" t="n">
        <v>46372</v>
      </c>
      <c r="FB411" s="9" t="n">
        <v>0</v>
      </c>
      <c r="FD411" s="9" t="n">
        <v>0</v>
      </c>
      <c r="FE411" s="9" t="n">
        <v>0</v>
      </c>
      <c r="FI411" s="10" t="n">
        <v>46372</v>
      </c>
      <c r="FK411" s="9" t="n">
        <v>0</v>
      </c>
      <c r="FM411" s="9" t="n">
        <v>0</v>
      </c>
      <c r="FN411" s="9" t="n">
        <v>0</v>
      </c>
      <c r="FR411" s="10" t="n">
        <v>46372</v>
      </c>
      <c r="FT411" s="9" t="n">
        <v>0</v>
      </c>
      <c r="FV411" s="9" t="n">
        <v>0</v>
      </c>
      <c r="FW411" s="9" t="n">
        <v>2020</v>
      </c>
      <c r="GA411" s="10" t="n">
        <v>46372</v>
      </c>
      <c r="GC411" s="9" t="n">
        <v>0</v>
      </c>
      <c r="GE411" s="9" t="n">
        <v>0</v>
      </c>
      <c r="GF411" s="9" t="n">
        <v>960</v>
      </c>
      <c r="GJ411" s="10" t="n">
        <v>46372</v>
      </c>
      <c r="GL411" s="9" t="n">
        <v>0</v>
      </c>
      <c r="GN411" s="9" t="n">
        <v>0</v>
      </c>
      <c r="GO411" s="9" t="n">
        <v>1760</v>
      </c>
      <c r="GS411" s="10" t="n">
        <v>46372</v>
      </c>
      <c r="GU411" s="9" t="n">
        <v>0</v>
      </c>
      <c r="GW411" s="9" t="n">
        <v>0</v>
      </c>
      <c r="GX411" s="9" t="n">
        <v>400</v>
      </c>
      <c r="HB411" s="10" t="n">
        <v>46372</v>
      </c>
      <c r="HD411" s="9" t="n">
        <v>0</v>
      </c>
      <c r="HF411" s="9" t="n">
        <v>0</v>
      </c>
      <c r="HG411" s="9" t="n">
        <v>3600</v>
      </c>
      <c r="HK411" s="10" t="n">
        <v>46372</v>
      </c>
      <c r="HM411" s="9" t="n">
        <v>0</v>
      </c>
      <c r="HO411" s="9" t="n">
        <v>0</v>
      </c>
      <c r="HP411" s="9" t="n">
        <v>0</v>
      </c>
      <c r="HU411" s="10" t="n">
        <v>46372</v>
      </c>
      <c r="HW411" s="9" t="n">
        <v>0</v>
      </c>
      <c r="HY411" s="9" t="n">
        <v>0</v>
      </c>
      <c r="HZ411" s="9" t="n">
        <v>6120</v>
      </c>
      <c r="ID411" s="10" t="n">
        <v>46372</v>
      </c>
      <c r="IF411" s="9" t="n">
        <v>0</v>
      </c>
      <c r="IH411" s="9" t="n">
        <v>0</v>
      </c>
      <c r="II411" s="9" t="n">
        <v>0</v>
      </c>
      <c r="IM411" s="10" t="n">
        <v>46372</v>
      </c>
      <c r="IO411" s="9" t="n">
        <v>0</v>
      </c>
      <c r="IQ411" s="9" t="n">
        <v>0</v>
      </c>
      <c r="IR411" s="9" t="n">
        <v>0</v>
      </c>
      <c r="IV411" s="10" t="n">
        <v>46372</v>
      </c>
      <c r="IX411" s="9" t="n">
        <v>0</v>
      </c>
      <c r="IZ411" s="9" t="n">
        <v>0</v>
      </c>
      <c r="JA411" s="9" t="n">
        <v>2820</v>
      </c>
      <c r="JE411" s="10" t="n">
        <v>46372</v>
      </c>
      <c r="JG411" s="9" t="n">
        <v>0</v>
      </c>
      <c r="JI411" s="9" t="n">
        <v>0</v>
      </c>
      <c r="JJ411" s="9" t="n">
        <v>0</v>
      </c>
      <c r="JN411" s="10" t="n">
        <v>46372</v>
      </c>
      <c r="JP411" s="9" t="n">
        <v>0</v>
      </c>
      <c r="JR411" s="9" t="n">
        <v>0</v>
      </c>
      <c r="JS411" s="9" t="n">
        <v>0</v>
      </c>
      <c r="JW411" s="10" t="n">
        <v>46372</v>
      </c>
      <c r="JY411" s="9" t="n">
        <v>0</v>
      </c>
      <c r="KA411" s="9" t="n">
        <v>0</v>
      </c>
      <c r="KB411" s="9" t="n">
        <v>2540</v>
      </c>
      <c r="KF411" s="10" t="n">
        <v>46372</v>
      </c>
      <c r="KH411" s="9" t="n">
        <v>0</v>
      </c>
      <c r="KJ411" s="9" t="n">
        <v>0</v>
      </c>
      <c r="KK411" s="9" t="n">
        <v>2359.5</v>
      </c>
      <c r="KO411" s="10" t="n">
        <v>46372</v>
      </c>
      <c r="KQ411" s="9" t="n">
        <v>0</v>
      </c>
      <c r="KS411" s="9" t="n">
        <v>0</v>
      </c>
      <c r="KT411" s="9" t="n">
        <v>1890</v>
      </c>
      <c r="KX411" s="10" t="n">
        <v>46372</v>
      </c>
      <c r="KZ411" s="9" t="n">
        <v>0</v>
      </c>
      <c r="LB411" s="9" t="n">
        <v>0</v>
      </c>
      <c r="LC411" s="9" t="n">
        <v>3690</v>
      </c>
      <c r="LG411" s="10" t="n">
        <v>46372</v>
      </c>
      <c r="LI411" s="9" t="n">
        <v>0</v>
      </c>
      <c r="LK411" s="9" t="n">
        <v>0</v>
      </c>
      <c r="LL411" s="9" t="n">
        <v>4000</v>
      </c>
      <c r="LP411" s="10" t="n">
        <v>46372</v>
      </c>
      <c r="LR411" s="9" t="n">
        <v>0</v>
      </c>
      <c r="LT411" s="9" t="n">
        <v>0</v>
      </c>
      <c r="LU411" s="9" t="n">
        <v>0</v>
      </c>
      <c r="LY411" s="10" t="n">
        <v>46372</v>
      </c>
      <c r="MA411" s="9" t="n">
        <v>0</v>
      </c>
      <c r="MC411" s="9" t="n">
        <v>0</v>
      </c>
      <c r="MD411" s="9" t="n">
        <v>0</v>
      </c>
      <c r="MH411" s="10" t="n">
        <v>46372</v>
      </c>
      <c r="MJ411" s="9" t="n">
        <v>0</v>
      </c>
      <c r="ML411" s="9" t="n">
        <v>0</v>
      </c>
      <c r="MM411" s="9" t="n">
        <v>-18</v>
      </c>
      <c r="MQ411" s="10" t="n">
        <v>46372</v>
      </c>
      <c r="MS411" s="9" t="n">
        <v>0</v>
      </c>
      <c r="MU411" s="9" t="n">
        <v>0</v>
      </c>
      <c r="MV411" s="9" t="n">
        <v>1559</v>
      </c>
      <c r="MZ411" s="10" t="n">
        <v>46372</v>
      </c>
      <c r="NB411" s="9" t="n">
        <v>0</v>
      </c>
      <c r="ND411" s="9" t="n">
        <v>0</v>
      </c>
      <c r="NE411" s="9" t="n">
        <v>0</v>
      </c>
      <c r="NI411" s="10" t="n">
        <v>46372</v>
      </c>
      <c r="NK411" s="9" t="n">
        <v>0</v>
      </c>
      <c r="NM411" s="9" t="n">
        <v>0</v>
      </c>
      <c r="NN411" s="9" t="n">
        <v>1127</v>
      </c>
      <c r="NR411" s="10" t="n">
        <v>46372</v>
      </c>
      <c r="NT411" s="9" t="n">
        <v>0</v>
      </c>
      <c r="NV411" s="9" t="n">
        <v>0</v>
      </c>
      <c r="NW411" s="9" t="n">
        <v>3112</v>
      </c>
      <c r="OA411" s="10" t="n">
        <v>46372</v>
      </c>
      <c r="OC411" s="9" t="n">
        <v>0</v>
      </c>
      <c r="OE411" s="9" t="n">
        <v>0</v>
      </c>
      <c r="OF411" s="9" t="n">
        <v>1680.5</v>
      </c>
      <c r="OJ411" s="10" t="n">
        <v>46372</v>
      </c>
      <c r="OL411" s="9" t="n">
        <v>0</v>
      </c>
      <c r="ON411" s="9" t="n">
        <v>0</v>
      </c>
      <c r="OO411" s="9" t="n">
        <v>0</v>
      </c>
      <c r="OS411" s="10" t="n">
        <v>46372</v>
      </c>
      <c r="OU411" s="9" t="n">
        <v>0</v>
      </c>
      <c r="OW411" s="9" t="n">
        <v>0</v>
      </c>
      <c r="OX411" s="9" t="n">
        <v>1482</v>
      </c>
      <c r="PB411" s="10" t="n">
        <v>46372</v>
      </c>
      <c r="PD411" s="9" t="n">
        <v>0</v>
      </c>
      <c r="PF411" s="9" t="n">
        <v>0</v>
      </c>
      <c r="PG411" s="9" t="n">
        <v>0</v>
      </c>
      <c r="PK411" s="10" t="n">
        <v>46372</v>
      </c>
      <c r="PM411" s="9" t="n">
        <v>0</v>
      </c>
      <c r="PO411" s="9" t="n">
        <v>0</v>
      </c>
      <c r="PP411" s="9" t="n">
        <v>100</v>
      </c>
      <c r="PT411" s="10" t="n">
        <v>46372</v>
      </c>
      <c r="PV411" s="9" t="n">
        <v>0</v>
      </c>
      <c r="PX411" s="9" t="n">
        <v>0</v>
      </c>
      <c r="PY411" s="9" t="n">
        <v>13.96000000000004</v>
      </c>
      <c r="QC411" s="10" t="n">
        <v>46372</v>
      </c>
      <c r="QE411" s="9" t="n">
        <v>0</v>
      </c>
      <c r="QG411" s="9" t="n">
        <v>0</v>
      </c>
      <c r="QH411" s="9" t="n">
        <v>548</v>
      </c>
      <c r="QL411" s="10" t="n">
        <v>46372</v>
      </c>
      <c r="QN411" s="9" t="n">
        <v>0</v>
      </c>
      <c r="QP411" s="9" t="n">
        <v>0</v>
      </c>
      <c r="QQ411" s="9" t="n">
        <v>0</v>
      </c>
      <c r="QU411" s="10" t="n">
        <v>46372</v>
      </c>
      <c r="QW411" s="9" t="n">
        <v>0</v>
      </c>
      <c r="QY411" s="9" t="n">
        <v>0</v>
      </c>
      <c r="QZ411" s="9" t="n">
        <v>0</v>
      </c>
      <c r="RD411" s="10" t="n">
        <v>46372</v>
      </c>
      <c r="RF411" s="9" t="n">
        <v>0</v>
      </c>
      <c r="RH411" s="9" t="n">
        <v>0</v>
      </c>
      <c r="RI411" s="9" t="n">
        <v>147.04</v>
      </c>
      <c r="RM411" s="10" t="n">
        <v>46372</v>
      </c>
      <c r="RO411" s="9" t="n">
        <v>0</v>
      </c>
      <c r="RQ411" s="9" t="n">
        <v>0</v>
      </c>
      <c r="RR411" s="9" t="n">
        <v>46.8</v>
      </c>
      <c r="RV411" s="10" t="n">
        <v>46372</v>
      </c>
      <c r="RX411" s="9" t="n">
        <v>0</v>
      </c>
      <c r="RZ411" s="9" t="n">
        <v>0</v>
      </c>
      <c r="SA411" s="9" t="n">
        <v>0</v>
      </c>
      <c r="SE411" s="10" t="n">
        <v>46372</v>
      </c>
      <c r="SG411" s="9" t="n">
        <v>0</v>
      </c>
      <c r="SI411" s="9" t="n">
        <v>0</v>
      </c>
      <c r="SJ411" s="9" t="n">
        <v>24.2</v>
      </c>
      <c r="SN411" s="10" t="n">
        <v>46372</v>
      </c>
      <c r="SP411" s="9" t="n">
        <v>0</v>
      </c>
      <c r="SR411" s="9" t="n">
        <v>0</v>
      </c>
      <c r="SS411" s="9" t="n">
        <v>32</v>
      </c>
      <c r="SW411" s="10" t="n">
        <v>46372</v>
      </c>
      <c r="SY411" s="9" t="n">
        <v>0</v>
      </c>
      <c r="TA411" s="9" t="n">
        <v>0</v>
      </c>
      <c r="TB411" s="9" t="n">
        <v>0</v>
      </c>
      <c r="TF411" s="10" t="n">
        <v>46372</v>
      </c>
      <c r="TH411" s="9" t="n">
        <v>0</v>
      </c>
      <c r="TJ411" s="9" t="n">
        <v>0</v>
      </c>
      <c r="TK411" s="9" t="n">
        <v>0</v>
      </c>
      <c r="TO411" s="10" t="n">
        <v>46372</v>
      </c>
      <c r="TQ411" s="9" t="n">
        <v>0</v>
      </c>
      <c r="TS411" s="9" t="n">
        <v>0</v>
      </c>
      <c r="TT411" s="9" t="n">
        <v>0</v>
      </c>
      <c r="TX411" s="10" t="n">
        <v>46372</v>
      </c>
      <c r="TZ411" s="9" t="n">
        <v>0</v>
      </c>
      <c r="UB411" s="9" t="n">
        <v>0</v>
      </c>
      <c r="UC411" s="9" t="n">
        <v>46.79999999999998</v>
      </c>
      <c r="UG411" s="10" t="n">
        <v>46372</v>
      </c>
      <c r="UI411" s="9" t="n">
        <v>0</v>
      </c>
      <c r="UK411" s="9" t="n">
        <v>0</v>
      </c>
      <c r="UL411" s="9" t="n">
        <v>204</v>
      </c>
      <c r="UP411" s="10" t="n">
        <v>46372</v>
      </c>
      <c r="UR411" s="9" t="n">
        <v>0</v>
      </c>
      <c r="UT411" s="9" t="n">
        <v>0</v>
      </c>
      <c r="UU411" s="9" t="n">
        <v>202.5</v>
      </c>
      <c r="UY411" s="10" t="n">
        <v>46372</v>
      </c>
      <c r="VA411" s="9" t="n">
        <v>0</v>
      </c>
      <c r="VC411" s="9" t="n">
        <v>0</v>
      </c>
      <c r="VD411" s="9" t="n">
        <v>41.60000000000002</v>
      </c>
      <c r="VH411" s="10" t="n">
        <v>46372</v>
      </c>
      <c r="VJ411" s="9" t="n">
        <v>0</v>
      </c>
      <c r="VL411" s="9" t="n">
        <v>0</v>
      </c>
      <c r="VM411" s="9" t="n">
        <v>210</v>
      </c>
      <c r="VQ411" s="10" t="n">
        <v>46372</v>
      </c>
      <c r="VS411" s="9" t="n">
        <v>0</v>
      </c>
      <c r="VU411" s="9" t="n">
        <v>0</v>
      </c>
      <c r="VV411" s="9" t="n">
        <v>0</v>
      </c>
      <c r="VZ411" s="10" t="n">
        <v>46372</v>
      </c>
      <c r="WB411" s="9" t="n">
        <v>0</v>
      </c>
      <c r="WD411" s="9" t="n">
        <v>0</v>
      </c>
      <c r="WE411" s="9" t="n">
        <v>0</v>
      </c>
      <c r="WI411" s="10" t="n">
        <v>46372</v>
      </c>
      <c r="WK411" s="9" t="n">
        <v>0</v>
      </c>
      <c r="WM411" s="9" t="n">
        <v>0</v>
      </c>
      <c r="WN411" s="9" t="n">
        <v>1057</v>
      </c>
      <c r="WR411" s="10" t="n">
        <v>46372</v>
      </c>
      <c r="WT411" s="9" t="n">
        <v>0</v>
      </c>
      <c r="WV411" s="9" t="n">
        <v>0</v>
      </c>
      <c r="WW411" s="9" t="n">
        <v>0</v>
      </c>
      <c r="XA411" s="10" t="n">
        <v>46372</v>
      </c>
      <c r="XC411" s="9" t="n">
        <v>0</v>
      </c>
      <c r="XE411" s="9" t="n">
        <v>0</v>
      </c>
      <c r="XF411" s="9" t="n">
        <v>7507</v>
      </c>
      <c r="XJ411" s="10" t="n">
        <v>46372</v>
      </c>
      <c r="XL411" s="9" t="n">
        <v>0</v>
      </c>
      <c r="XN411" s="9" t="n">
        <v>0</v>
      </c>
      <c r="XO411" s="9" t="n">
        <v>4252</v>
      </c>
      <c r="XS411" s="10" t="n">
        <v>46372</v>
      </c>
      <c r="XU411" s="9" t="n">
        <v>0</v>
      </c>
      <c r="XW411" s="9" t="n">
        <v>0</v>
      </c>
      <c r="XX411" s="9" t="n">
        <v>2179</v>
      </c>
      <c r="YB411" s="10" t="n">
        <v>46372</v>
      </c>
      <c r="YD411" s="9" t="n">
        <v>0</v>
      </c>
      <c r="YF411" s="9" t="n">
        <v>0</v>
      </c>
      <c r="YG411" s="9" t="n">
        <v>4019</v>
      </c>
      <c r="YK411" s="10" t="n">
        <v>46372</v>
      </c>
      <c r="YM411" s="9" t="n">
        <v>0</v>
      </c>
      <c r="YO411" s="9" t="n">
        <v>0</v>
      </c>
      <c r="YP411" s="9" t="n">
        <v>-218</v>
      </c>
      <c r="YT411" s="10" t="n">
        <v>46372</v>
      </c>
      <c r="YV411" s="9" t="n">
        <v>0</v>
      </c>
      <c r="YX411" s="9" t="n">
        <v>0</v>
      </c>
      <c r="YY411" s="9" t="n">
        <v>0</v>
      </c>
      <c r="ZC411" s="10" t="n">
        <v>46372</v>
      </c>
      <c r="ZE411" s="9" t="n">
        <v>0</v>
      </c>
      <c r="ZG411" s="9" t="n">
        <v>0</v>
      </c>
      <c r="ZH411" s="9" t="n">
        <v>0</v>
      </c>
      <c r="ZL411" s="10" t="n">
        <v>46372</v>
      </c>
      <c r="ZN411" s="9" t="n">
        <v>0</v>
      </c>
      <c r="ZP411" s="9" t="n">
        <v>0</v>
      </c>
      <c r="ZQ411" s="9" t="n">
        <v>0</v>
      </c>
      <c r="ZU411" s="10" t="n">
        <v>46372</v>
      </c>
      <c r="ZW411" s="9" t="n">
        <v>0</v>
      </c>
      <c r="ZY411" s="9" t="n">
        <v>0</v>
      </c>
      <c r="ZZ411" s="9" t="n">
        <v>0</v>
      </c>
      <c r="AAD411" s="10" t="n">
        <v>46372</v>
      </c>
      <c r="AAF411" s="9" t="n">
        <v>0</v>
      </c>
      <c r="AAH411" s="9" t="n">
        <v>0</v>
      </c>
      <c r="AAI411" s="9" t="n">
        <v>0</v>
      </c>
      <c r="AAM411" s="10" t="n">
        <v>46372</v>
      </c>
      <c r="AAO411" s="9" t="n">
        <v>0</v>
      </c>
      <c r="AAQ411" s="9" t="n">
        <v>0</v>
      </c>
      <c r="AAR411" s="9" t="n">
        <v>0</v>
      </c>
      <c r="AAV411" s="10" t="n">
        <v>46372</v>
      </c>
      <c r="AAX411" s="9" t="n">
        <v>0</v>
      </c>
      <c r="AAZ411" s="9" t="n">
        <v>0</v>
      </c>
      <c r="ABA411" s="9" t="n">
        <v>0</v>
      </c>
      <c r="ABE411" s="10" t="n">
        <v>46372</v>
      </c>
      <c r="ABG411" s="9" t="n">
        <v>0</v>
      </c>
      <c r="ABI411" s="9" t="n">
        <v>0</v>
      </c>
      <c r="ABJ411" s="9" t="n">
        <v>0</v>
      </c>
    </row>
    <row r="412">
      <c r="C412" s="10" t="n">
        <v>46373</v>
      </c>
      <c r="E412" s="9" t="n">
        <v>0</v>
      </c>
      <c r="G412" s="9" t="n">
        <v>0</v>
      </c>
      <c r="H412" s="9" t="n">
        <v>236936.6</v>
      </c>
      <c r="L412" s="10" t="n">
        <v>46373</v>
      </c>
      <c r="N412" s="9" t="n">
        <v>0</v>
      </c>
      <c r="P412" s="9" t="n">
        <v>0</v>
      </c>
      <c r="Q412" s="9" t="n">
        <v>53017.60000000007</v>
      </c>
      <c r="U412" s="10" t="n">
        <v>46373</v>
      </c>
      <c r="W412" s="9" t="n">
        <v>0</v>
      </c>
      <c r="Y412" s="9" t="n">
        <v>0</v>
      </c>
      <c r="Z412" s="9" t="n">
        <v>42674.19999999997</v>
      </c>
      <c r="AD412" s="10" t="n">
        <v>46373</v>
      </c>
      <c r="AF412" s="9" t="n">
        <v>0</v>
      </c>
      <c r="AH412" s="9" t="n">
        <v>0</v>
      </c>
      <c r="AI412" s="9" t="n">
        <v>4522.200000000019</v>
      </c>
      <c r="AM412" s="10" t="n">
        <v>46373</v>
      </c>
      <c r="AO412" s="9" t="n">
        <v>0</v>
      </c>
      <c r="AQ412" s="9" t="n">
        <v>0</v>
      </c>
      <c r="AR412" s="9" t="n">
        <v>0</v>
      </c>
      <c r="AV412" s="10" t="n">
        <v>46373</v>
      </c>
      <c r="AX412" s="9" t="n">
        <v>0</v>
      </c>
      <c r="AZ412" s="9" t="n">
        <v>0</v>
      </c>
      <c r="BA412" s="9" t="n">
        <v>124.9999999999952</v>
      </c>
      <c r="BE412" s="10" t="n">
        <v>46373</v>
      </c>
      <c r="BG412" s="9" t="n">
        <v>0</v>
      </c>
      <c r="BI412" s="9" t="n">
        <v>0</v>
      </c>
      <c r="BJ412" s="9" t="n">
        <v>26151.9</v>
      </c>
      <c r="BN412" s="10" t="n">
        <v>46373</v>
      </c>
      <c r="BP412" s="9" t="n">
        <v>0</v>
      </c>
      <c r="BR412" s="9" t="n">
        <v>0</v>
      </c>
      <c r="BS412" s="9" t="n">
        <v>0</v>
      </c>
      <c r="BW412" s="10" t="n">
        <v>46373</v>
      </c>
      <c r="BY412" s="9" t="n">
        <v>0</v>
      </c>
      <c r="CA412" s="9" t="n">
        <v>0</v>
      </c>
      <c r="CB412" s="9" t="n">
        <v>2097.339999999999</v>
      </c>
      <c r="CF412" s="10" t="n">
        <v>46373</v>
      </c>
      <c r="CH412" s="9" t="n">
        <v>0</v>
      </c>
      <c r="CJ412" s="9" t="n">
        <v>0</v>
      </c>
      <c r="CK412" s="9" t="n">
        <v>-10277.08</v>
      </c>
      <c r="CO412" s="10" t="n">
        <v>46373</v>
      </c>
      <c r="CQ412" s="9" t="n">
        <v>0</v>
      </c>
      <c r="CS412" s="9" t="n">
        <v>0</v>
      </c>
      <c r="CT412" s="9" t="n">
        <v>0</v>
      </c>
      <c r="CX412" s="10" t="n">
        <v>46373</v>
      </c>
      <c r="CZ412" s="9" t="n">
        <v>0</v>
      </c>
      <c r="DB412" s="9" t="n">
        <v>0</v>
      </c>
      <c r="DC412" s="9" t="n">
        <v>27438.20000000001</v>
      </c>
      <c r="DG412" s="10" t="n">
        <v>46373</v>
      </c>
      <c r="DI412" s="9" t="n">
        <v>0</v>
      </c>
      <c r="DK412" s="9" t="n">
        <v>0</v>
      </c>
      <c r="DL412" s="9" t="n">
        <v>18782.29999999998</v>
      </c>
      <c r="DP412" s="10" t="n">
        <v>46373</v>
      </c>
      <c r="DR412" s="9" t="n">
        <v>0</v>
      </c>
      <c r="DT412" s="9" t="n">
        <v>0</v>
      </c>
      <c r="DU412" s="9" t="n">
        <v>5800</v>
      </c>
      <c r="DY412" s="10" t="n">
        <v>46373</v>
      </c>
      <c r="EA412" s="9" t="n">
        <v>0</v>
      </c>
      <c r="EC412" s="9" t="n">
        <v>0</v>
      </c>
      <c r="ED412" s="9" t="n">
        <v>0</v>
      </c>
      <c r="EH412" s="10" t="n">
        <v>46373</v>
      </c>
      <c r="EJ412" s="9" t="n">
        <v>0</v>
      </c>
      <c r="EL412" s="9" t="n">
        <v>0</v>
      </c>
      <c r="EM412" s="9" t="n">
        <v>0</v>
      </c>
      <c r="EQ412" s="10" t="n">
        <v>46373</v>
      </c>
      <c r="ES412" s="9" t="n">
        <v>0</v>
      </c>
      <c r="EU412" s="9" t="n">
        <v>0</v>
      </c>
      <c r="EV412" s="9" t="n">
        <v>0</v>
      </c>
      <c r="EZ412" s="10" t="n">
        <v>46373</v>
      </c>
      <c r="FB412" s="9" t="n">
        <v>0</v>
      </c>
      <c r="FD412" s="9" t="n">
        <v>0</v>
      </c>
      <c r="FE412" s="9" t="n">
        <v>0</v>
      </c>
      <c r="FI412" s="10" t="n">
        <v>46373</v>
      </c>
      <c r="FK412" s="9" t="n">
        <v>0</v>
      </c>
      <c r="FM412" s="9" t="n">
        <v>0</v>
      </c>
      <c r="FN412" s="9" t="n">
        <v>0</v>
      </c>
      <c r="FR412" s="10" t="n">
        <v>46373</v>
      </c>
      <c r="FT412" s="9" t="n">
        <v>0</v>
      </c>
      <c r="FV412" s="9" t="n">
        <v>0</v>
      </c>
      <c r="FW412" s="9" t="n">
        <v>2020</v>
      </c>
      <c r="GA412" s="10" t="n">
        <v>46373</v>
      </c>
      <c r="GC412" s="9" t="n">
        <v>0</v>
      </c>
      <c r="GE412" s="9" t="n">
        <v>0</v>
      </c>
      <c r="GF412" s="9" t="n">
        <v>960</v>
      </c>
      <c r="GJ412" s="10" t="n">
        <v>46373</v>
      </c>
      <c r="GL412" s="9" t="n">
        <v>0</v>
      </c>
      <c r="GN412" s="9" t="n">
        <v>0</v>
      </c>
      <c r="GO412" s="9" t="n">
        <v>1760</v>
      </c>
      <c r="GS412" s="10" t="n">
        <v>46373</v>
      </c>
      <c r="GU412" s="9" t="n">
        <v>0</v>
      </c>
      <c r="GW412" s="9" t="n">
        <v>0</v>
      </c>
      <c r="GX412" s="9" t="n">
        <v>400</v>
      </c>
      <c r="HB412" s="10" t="n">
        <v>46373</v>
      </c>
      <c r="HD412" s="9" t="n">
        <v>0</v>
      </c>
      <c r="HF412" s="9" t="n">
        <v>0</v>
      </c>
      <c r="HG412" s="9" t="n">
        <v>3600</v>
      </c>
      <c r="HK412" s="10" t="n">
        <v>46373</v>
      </c>
      <c r="HM412" s="9" t="n">
        <v>0</v>
      </c>
      <c r="HO412" s="9" t="n">
        <v>0</v>
      </c>
      <c r="HP412" s="9" t="n">
        <v>0</v>
      </c>
      <c r="HU412" s="10" t="n">
        <v>46373</v>
      </c>
      <c r="HW412" s="9" t="n">
        <v>0</v>
      </c>
      <c r="HY412" s="9" t="n">
        <v>0</v>
      </c>
      <c r="HZ412" s="9" t="n">
        <v>6120</v>
      </c>
      <c r="ID412" s="10" t="n">
        <v>46373</v>
      </c>
      <c r="IF412" s="9" t="n">
        <v>0</v>
      </c>
      <c r="IH412" s="9" t="n">
        <v>0</v>
      </c>
      <c r="II412" s="9" t="n">
        <v>0</v>
      </c>
      <c r="IM412" s="10" t="n">
        <v>46373</v>
      </c>
      <c r="IO412" s="9" t="n">
        <v>0</v>
      </c>
      <c r="IQ412" s="9" t="n">
        <v>0</v>
      </c>
      <c r="IR412" s="9" t="n">
        <v>0</v>
      </c>
      <c r="IV412" s="10" t="n">
        <v>46373</v>
      </c>
      <c r="IX412" s="9" t="n">
        <v>0</v>
      </c>
      <c r="IZ412" s="9" t="n">
        <v>0</v>
      </c>
      <c r="JA412" s="9" t="n">
        <v>2820</v>
      </c>
      <c r="JE412" s="10" t="n">
        <v>46373</v>
      </c>
      <c r="JG412" s="9" t="n">
        <v>0</v>
      </c>
      <c r="JI412" s="9" t="n">
        <v>0</v>
      </c>
      <c r="JJ412" s="9" t="n">
        <v>0</v>
      </c>
      <c r="JN412" s="10" t="n">
        <v>46373</v>
      </c>
      <c r="JP412" s="9" t="n">
        <v>0</v>
      </c>
      <c r="JR412" s="9" t="n">
        <v>0</v>
      </c>
      <c r="JS412" s="9" t="n">
        <v>0</v>
      </c>
      <c r="JW412" s="10" t="n">
        <v>46373</v>
      </c>
      <c r="JY412" s="9" t="n">
        <v>0</v>
      </c>
      <c r="KA412" s="9" t="n">
        <v>0</v>
      </c>
      <c r="KB412" s="9" t="n">
        <v>2540</v>
      </c>
      <c r="KF412" s="10" t="n">
        <v>46373</v>
      </c>
      <c r="KH412" s="9" t="n">
        <v>0</v>
      </c>
      <c r="KJ412" s="9" t="n">
        <v>0</v>
      </c>
      <c r="KK412" s="9" t="n">
        <v>2359.5</v>
      </c>
      <c r="KO412" s="10" t="n">
        <v>46373</v>
      </c>
      <c r="KQ412" s="9" t="n">
        <v>0</v>
      </c>
      <c r="KS412" s="9" t="n">
        <v>0</v>
      </c>
      <c r="KT412" s="9" t="n">
        <v>1890</v>
      </c>
      <c r="KX412" s="10" t="n">
        <v>46373</v>
      </c>
      <c r="KZ412" s="9" t="n">
        <v>0</v>
      </c>
      <c r="LB412" s="9" t="n">
        <v>0</v>
      </c>
      <c r="LC412" s="9" t="n">
        <v>3690</v>
      </c>
      <c r="LG412" s="10" t="n">
        <v>46373</v>
      </c>
      <c r="LI412" s="9" t="n">
        <v>0</v>
      </c>
      <c r="LK412" s="9" t="n">
        <v>0</v>
      </c>
      <c r="LL412" s="9" t="n">
        <v>4000</v>
      </c>
      <c r="LP412" s="10" t="n">
        <v>46373</v>
      </c>
      <c r="LR412" s="9" t="n">
        <v>0</v>
      </c>
      <c r="LT412" s="9" t="n">
        <v>0</v>
      </c>
      <c r="LU412" s="9" t="n">
        <v>0</v>
      </c>
      <c r="LY412" s="10" t="n">
        <v>46373</v>
      </c>
      <c r="MA412" s="9" t="n">
        <v>0</v>
      </c>
      <c r="MC412" s="9" t="n">
        <v>0</v>
      </c>
      <c r="MD412" s="9" t="n">
        <v>0</v>
      </c>
      <c r="MH412" s="10" t="n">
        <v>46373</v>
      </c>
      <c r="MJ412" s="9" t="n">
        <v>0</v>
      </c>
      <c r="ML412" s="9" t="n">
        <v>0</v>
      </c>
      <c r="MM412" s="9" t="n">
        <v>-18</v>
      </c>
      <c r="MQ412" s="10" t="n">
        <v>46373</v>
      </c>
      <c r="MS412" s="9" t="n">
        <v>0</v>
      </c>
      <c r="MU412" s="9" t="n">
        <v>0</v>
      </c>
      <c r="MV412" s="9" t="n">
        <v>1559</v>
      </c>
      <c r="MZ412" s="10" t="n">
        <v>46373</v>
      </c>
      <c r="NB412" s="9" t="n">
        <v>0</v>
      </c>
      <c r="ND412" s="9" t="n">
        <v>0</v>
      </c>
      <c r="NE412" s="9" t="n">
        <v>0</v>
      </c>
      <c r="NI412" s="10" t="n">
        <v>46373</v>
      </c>
      <c r="NK412" s="9" t="n">
        <v>0</v>
      </c>
      <c r="NM412" s="9" t="n">
        <v>0</v>
      </c>
      <c r="NN412" s="9" t="n">
        <v>1127</v>
      </c>
      <c r="NR412" s="10" t="n">
        <v>46373</v>
      </c>
      <c r="NT412" s="9" t="n">
        <v>0</v>
      </c>
      <c r="NV412" s="9" t="n">
        <v>0</v>
      </c>
      <c r="NW412" s="9" t="n">
        <v>3112</v>
      </c>
      <c r="OA412" s="10" t="n">
        <v>46373</v>
      </c>
      <c r="OC412" s="9" t="n">
        <v>0</v>
      </c>
      <c r="OE412" s="9" t="n">
        <v>0</v>
      </c>
      <c r="OF412" s="9" t="n">
        <v>1680.5</v>
      </c>
      <c r="OJ412" s="10" t="n">
        <v>46373</v>
      </c>
      <c r="OL412" s="9" t="n">
        <v>0</v>
      </c>
      <c r="ON412" s="9" t="n">
        <v>0</v>
      </c>
      <c r="OO412" s="9" t="n">
        <v>0</v>
      </c>
      <c r="OS412" s="10" t="n">
        <v>46373</v>
      </c>
      <c r="OU412" s="9" t="n">
        <v>0</v>
      </c>
      <c r="OW412" s="9" t="n">
        <v>0</v>
      </c>
      <c r="OX412" s="9" t="n">
        <v>1482</v>
      </c>
      <c r="PB412" s="10" t="n">
        <v>46373</v>
      </c>
      <c r="PD412" s="9" t="n">
        <v>0</v>
      </c>
      <c r="PF412" s="9" t="n">
        <v>0</v>
      </c>
      <c r="PG412" s="9" t="n">
        <v>0</v>
      </c>
      <c r="PK412" s="10" t="n">
        <v>46373</v>
      </c>
      <c r="PM412" s="9" t="n">
        <v>0</v>
      </c>
      <c r="PO412" s="9" t="n">
        <v>0</v>
      </c>
      <c r="PP412" s="9" t="n">
        <v>100</v>
      </c>
      <c r="PT412" s="10" t="n">
        <v>46373</v>
      </c>
      <c r="PV412" s="9" t="n">
        <v>0</v>
      </c>
      <c r="PX412" s="9" t="n">
        <v>0</v>
      </c>
      <c r="PY412" s="9" t="n">
        <v>13.96000000000004</v>
      </c>
      <c r="QC412" s="10" t="n">
        <v>46373</v>
      </c>
      <c r="QE412" s="9" t="n">
        <v>0</v>
      </c>
      <c r="QG412" s="9" t="n">
        <v>0</v>
      </c>
      <c r="QH412" s="9" t="n">
        <v>548</v>
      </c>
      <c r="QL412" s="10" t="n">
        <v>46373</v>
      </c>
      <c r="QN412" s="9" t="n">
        <v>0</v>
      </c>
      <c r="QP412" s="9" t="n">
        <v>0</v>
      </c>
      <c r="QQ412" s="9" t="n">
        <v>0</v>
      </c>
      <c r="QU412" s="10" t="n">
        <v>46373</v>
      </c>
      <c r="QW412" s="9" t="n">
        <v>0</v>
      </c>
      <c r="QY412" s="9" t="n">
        <v>0</v>
      </c>
      <c r="QZ412" s="9" t="n">
        <v>0</v>
      </c>
      <c r="RD412" s="10" t="n">
        <v>46373</v>
      </c>
      <c r="RF412" s="9" t="n">
        <v>0</v>
      </c>
      <c r="RH412" s="9" t="n">
        <v>0</v>
      </c>
      <c r="RI412" s="9" t="n">
        <v>147.04</v>
      </c>
      <c r="RM412" s="10" t="n">
        <v>46373</v>
      </c>
      <c r="RO412" s="9" t="n">
        <v>0</v>
      </c>
      <c r="RQ412" s="9" t="n">
        <v>0</v>
      </c>
      <c r="RR412" s="9" t="n">
        <v>46.8</v>
      </c>
      <c r="RV412" s="10" t="n">
        <v>46373</v>
      </c>
      <c r="RX412" s="9" t="n">
        <v>0</v>
      </c>
      <c r="RZ412" s="9" t="n">
        <v>0</v>
      </c>
      <c r="SA412" s="9" t="n">
        <v>0</v>
      </c>
      <c r="SE412" s="10" t="n">
        <v>46373</v>
      </c>
      <c r="SG412" s="9" t="n">
        <v>0</v>
      </c>
      <c r="SI412" s="9" t="n">
        <v>0</v>
      </c>
      <c r="SJ412" s="9" t="n">
        <v>24.2</v>
      </c>
      <c r="SN412" s="10" t="n">
        <v>46373</v>
      </c>
      <c r="SP412" s="9" t="n">
        <v>0</v>
      </c>
      <c r="SR412" s="9" t="n">
        <v>0</v>
      </c>
      <c r="SS412" s="9" t="n">
        <v>32</v>
      </c>
      <c r="SW412" s="10" t="n">
        <v>46373</v>
      </c>
      <c r="SY412" s="9" t="n">
        <v>0</v>
      </c>
      <c r="TA412" s="9" t="n">
        <v>0</v>
      </c>
      <c r="TB412" s="9" t="n">
        <v>0</v>
      </c>
      <c r="TF412" s="10" t="n">
        <v>46373</v>
      </c>
      <c r="TH412" s="9" t="n">
        <v>0</v>
      </c>
      <c r="TJ412" s="9" t="n">
        <v>0</v>
      </c>
      <c r="TK412" s="9" t="n">
        <v>0</v>
      </c>
      <c r="TO412" s="10" t="n">
        <v>46373</v>
      </c>
      <c r="TQ412" s="9" t="n">
        <v>0</v>
      </c>
      <c r="TS412" s="9" t="n">
        <v>0</v>
      </c>
      <c r="TT412" s="9" t="n">
        <v>0</v>
      </c>
      <c r="TX412" s="10" t="n">
        <v>46373</v>
      </c>
      <c r="TZ412" s="9" t="n">
        <v>0</v>
      </c>
      <c r="UB412" s="9" t="n">
        <v>0</v>
      </c>
      <c r="UC412" s="9" t="n">
        <v>46.79999999999998</v>
      </c>
      <c r="UG412" s="10" t="n">
        <v>46373</v>
      </c>
      <c r="UI412" s="9" t="n">
        <v>0</v>
      </c>
      <c r="UK412" s="9" t="n">
        <v>0</v>
      </c>
      <c r="UL412" s="9" t="n">
        <v>204</v>
      </c>
      <c r="UP412" s="10" t="n">
        <v>46373</v>
      </c>
      <c r="UR412" s="9" t="n">
        <v>0</v>
      </c>
      <c r="UT412" s="9" t="n">
        <v>0</v>
      </c>
      <c r="UU412" s="9" t="n">
        <v>202.5</v>
      </c>
      <c r="UY412" s="10" t="n">
        <v>46373</v>
      </c>
      <c r="VA412" s="9" t="n">
        <v>0</v>
      </c>
      <c r="VC412" s="9" t="n">
        <v>0</v>
      </c>
      <c r="VD412" s="9" t="n">
        <v>41.60000000000002</v>
      </c>
      <c r="VH412" s="10" t="n">
        <v>46373</v>
      </c>
      <c r="VJ412" s="9" t="n">
        <v>0</v>
      </c>
      <c r="VL412" s="9" t="n">
        <v>0</v>
      </c>
      <c r="VM412" s="9" t="n">
        <v>210</v>
      </c>
      <c r="VQ412" s="10" t="n">
        <v>46373</v>
      </c>
      <c r="VS412" s="9" t="n">
        <v>0</v>
      </c>
      <c r="VU412" s="9" t="n">
        <v>0</v>
      </c>
      <c r="VV412" s="9" t="n">
        <v>0</v>
      </c>
      <c r="VZ412" s="10" t="n">
        <v>46373</v>
      </c>
      <c r="WB412" s="9" t="n">
        <v>0</v>
      </c>
      <c r="WD412" s="9" t="n">
        <v>0</v>
      </c>
      <c r="WE412" s="9" t="n">
        <v>0</v>
      </c>
      <c r="WI412" s="10" t="n">
        <v>46373</v>
      </c>
      <c r="WK412" s="9" t="n">
        <v>0</v>
      </c>
      <c r="WM412" s="9" t="n">
        <v>0</v>
      </c>
      <c r="WN412" s="9" t="n">
        <v>1057</v>
      </c>
      <c r="WR412" s="10" t="n">
        <v>46373</v>
      </c>
      <c r="WT412" s="9" t="n">
        <v>0</v>
      </c>
      <c r="WV412" s="9" t="n">
        <v>0</v>
      </c>
      <c r="WW412" s="9" t="n">
        <v>0</v>
      </c>
      <c r="XA412" s="10" t="n">
        <v>46373</v>
      </c>
      <c r="XC412" s="9" t="n">
        <v>0</v>
      </c>
      <c r="XE412" s="9" t="n">
        <v>0</v>
      </c>
      <c r="XF412" s="9" t="n">
        <v>7507</v>
      </c>
      <c r="XJ412" s="10" t="n">
        <v>46373</v>
      </c>
      <c r="XL412" s="9" t="n">
        <v>0</v>
      </c>
      <c r="XN412" s="9" t="n">
        <v>0</v>
      </c>
      <c r="XO412" s="9" t="n">
        <v>4252</v>
      </c>
      <c r="XS412" s="10" t="n">
        <v>46373</v>
      </c>
      <c r="XU412" s="9" t="n">
        <v>0</v>
      </c>
      <c r="XW412" s="9" t="n">
        <v>0</v>
      </c>
      <c r="XX412" s="9" t="n">
        <v>2179</v>
      </c>
      <c r="YB412" s="10" t="n">
        <v>46373</v>
      </c>
      <c r="YD412" s="9" t="n">
        <v>0</v>
      </c>
      <c r="YF412" s="9" t="n">
        <v>0</v>
      </c>
      <c r="YG412" s="9" t="n">
        <v>4019</v>
      </c>
      <c r="YK412" s="10" t="n">
        <v>46373</v>
      </c>
      <c r="YM412" s="9" t="n">
        <v>0</v>
      </c>
      <c r="YO412" s="9" t="n">
        <v>0</v>
      </c>
      <c r="YP412" s="9" t="n">
        <v>-218</v>
      </c>
      <c r="YT412" s="10" t="n">
        <v>46373</v>
      </c>
      <c r="YV412" s="9" t="n">
        <v>0</v>
      </c>
      <c r="YX412" s="9" t="n">
        <v>0</v>
      </c>
      <c r="YY412" s="9" t="n">
        <v>0</v>
      </c>
      <c r="ZC412" s="10" t="n">
        <v>46373</v>
      </c>
      <c r="ZE412" s="9" t="n">
        <v>0</v>
      </c>
      <c r="ZG412" s="9" t="n">
        <v>0</v>
      </c>
      <c r="ZH412" s="9" t="n">
        <v>0</v>
      </c>
      <c r="ZL412" s="10" t="n">
        <v>46373</v>
      </c>
      <c r="ZN412" s="9" t="n">
        <v>0</v>
      </c>
      <c r="ZP412" s="9" t="n">
        <v>0</v>
      </c>
      <c r="ZQ412" s="9" t="n">
        <v>0</v>
      </c>
      <c r="ZU412" s="10" t="n">
        <v>46373</v>
      </c>
      <c r="ZW412" s="9" t="n">
        <v>0</v>
      </c>
      <c r="ZY412" s="9" t="n">
        <v>0</v>
      </c>
      <c r="ZZ412" s="9" t="n">
        <v>0</v>
      </c>
      <c r="AAD412" s="10" t="n">
        <v>46373</v>
      </c>
      <c r="AAF412" s="9" t="n">
        <v>0</v>
      </c>
      <c r="AAH412" s="9" t="n">
        <v>0</v>
      </c>
      <c r="AAI412" s="9" t="n">
        <v>0</v>
      </c>
      <c r="AAM412" s="10" t="n">
        <v>46373</v>
      </c>
      <c r="AAO412" s="9" t="n">
        <v>0</v>
      </c>
      <c r="AAQ412" s="9" t="n">
        <v>0</v>
      </c>
      <c r="AAR412" s="9" t="n">
        <v>0</v>
      </c>
      <c r="AAV412" s="10" t="n">
        <v>46373</v>
      </c>
      <c r="AAX412" s="9" t="n">
        <v>0</v>
      </c>
      <c r="AAZ412" s="9" t="n">
        <v>0</v>
      </c>
      <c r="ABA412" s="9" t="n">
        <v>0</v>
      </c>
      <c r="ABE412" s="10" t="n">
        <v>46373</v>
      </c>
      <c r="ABG412" s="9" t="n">
        <v>0</v>
      </c>
      <c r="ABI412" s="9" t="n">
        <v>0</v>
      </c>
      <c r="ABJ412" s="9" t="n">
        <v>0</v>
      </c>
    </row>
    <row r="413">
      <c r="C413" s="10" t="n">
        <v>46374</v>
      </c>
      <c r="E413" s="9" t="n">
        <v>0</v>
      </c>
      <c r="G413" s="9" t="n">
        <v>0</v>
      </c>
      <c r="H413" s="9" t="n">
        <v>236936.6</v>
      </c>
      <c r="L413" s="10" t="n">
        <v>46374</v>
      </c>
      <c r="N413" s="9" t="n">
        <v>0</v>
      </c>
      <c r="P413" s="9" t="n">
        <v>0</v>
      </c>
      <c r="Q413" s="9" t="n">
        <v>53017.60000000007</v>
      </c>
      <c r="U413" s="10" t="n">
        <v>46374</v>
      </c>
      <c r="W413" s="9" t="n">
        <v>0</v>
      </c>
      <c r="Y413" s="9" t="n">
        <v>0</v>
      </c>
      <c r="Z413" s="9" t="n">
        <v>42674.19999999997</v>
      </c>
      <c r="AD413" s="10" t="n">
        <v>46374</v>
      </c>
      <c r="AF413" s="9" t="n">
        <v>0</v>
      </c>
      <c r="AH413" s="9" t="n">
        <v>0</v>
      </c>
      <c r="AI413" s="9" t="n">
        <v>4522.200000000019</v>
      </c>
      <c r="AM413" s="10" t="n">
        <v>46374</v>
      </c>
      <c r="AO413" s="9" t="n">
        <v>0</v>
      </c>
      <c r="AQ413" s="9" t="n">
        <v>0</v>
      </c>
      <c r="AR413" s="9" t="n">
        <v>0</v>
      </c>
      <c r="AV413" s="10" t="n">
        <v>46374</v>
      </c>
      <c r="AX413" s="9" t="n">
        <v>0</v>
      </c>
      <c r="AZ413" s="9" t="n">
        <v>0</v>
      </c>
      <c r="BA413" s="9" t="n">
        <v>124.9999999999952</v>
      </c>
      <c r="BE413" s="10" t="n">
        <v>46374</v>
      </c>
      <c r="BG413" s="9" t="n">
        <v>0</v>
      </c>
      <c r="BI413" s="9" t="n">
        <v>0</v>
      </c>
      <c r="BJ413" s="9" t="n">
        <v>26151.9</v>
      </c>
      <c r="BN413" s="10" t="n">
        <v>46374</v>
      </c>
      <c r="BP413" s="9" t="n">
        <v>0</v>
      </c>
      <c r="BR413" s="9" t="n">
        <v>0</v>
      </c>
      <c r="BS413" s="9" t="n">
        <v>0</v>
      </c>
      <c r="BW413" s="10" t="n">
        <v>46374</v>
      </c>
      <c r="BY413" s="9" t="n">
        <v>0</v>
      </c>
      <c r="CA413" s="9" t="n">
        <v>0</v>
      </c>
      <c r="CB413" s="9" t="n">
        <v>2097.339999999999</v>
      </c>
      <c r="CF413" s="10" t="n">
        <v>46374</v>
      </c>
      <c r="CH413" s="9" t="n">
        <v>0</v>
      </c>
      <c r="CJ413" s="9" t="n">
        <v>0</v>
      </c>
      <c r="CK413" s="9" t="n">
        <v>-10277.08</v>
      </c>
      <c r="CO413" s="10" t="n">
        <v>46374</v>
      </c>
      <c r="CQ413" s="9" t="n">
        <v>0</v>
      </c>
      <c r="CS413" s="9" t="n">
        <v>0</v>
      </c>
      <c r="CT413" s="9" t="n">
        <v>0</v>
      </c>
      <c r="CX413" s="10" t="n">
        <v>46374</v>
      </c>
      <c r="CZ413" s="9" t="n">
        <v>0</v>
      </c>
      <c r="DB413" s="9" t="n">
        <v>0</v>
      </c>
      <c r="DC413" s="9" t="n">
        <v>27438.20000000001</v>
      </c>
      <c r="DG413" s="10" t="n">
        <v>46374</v>
      </c>
      <c r="DI413" s="9" t="n">
        <v>0</v>
      </c>
      <c r="DK413" s="9" t="n">
        <v>0</v>
      </c>
      <c r="DL413" s="9" t="n">
        <v>18782.29999999998</v>
      </c>
      <c r="DP413" s="10" t="n">
        <v>46374</v>
      </c>
      <c r="DR413" s="9" t="n">
        <v>0</v>
      </c>
      <c r="DT413" s="9" t="n">
        <v>0</v>
      </c>
      <c r="DU413" s="9" t="n">
        <v>5800</v>
      </c>
      <c r="DY413" s="10" t="n">
        <v>46374</v>
      </c>
      <c r="EA413" s="9" t="n">
        <v>0</v>
      </c>
      <c r="EC413" s="9" t="n">
        <v>0</v>
      </c>
      <c r="ED413" s="9" t="n">
        <v>0</v>
      </c>
      <c r="EH413" s="10" t="n">
        <v>46374</v>
      </c>
      <c r="EJ413" s="9" t="n">
        <v>0</v>
      </c>
      <c r="EL413" s="9" t="n">
        <v>0</v>
      </c>
      <c r="EM413" s="9" t="n">
        <v>0</v>
      </c>
      <c r="EQ413" s="10" t="n">
        <v>46374</v>
      </c>
      <c r="ES413" s="9" t="n">
        <v>0</v>
      </c>
      <c r="EU413" s="9" t="n">
        <v>0</v>
      </c>
      <c r="EV413" s="9" t="n">
        <v>0</v>
      </c>
      <c r="EZ413" s="10" t="n">
        <v>46374</v>
      </c>
      <c r="FB413" s="9" t="n">
        <v>0</v>
      </c>
      <c r="FD413" s="9" t="n">
        <v>0</v>
      </c>
      <c r="FE413" s="9" t="n">
        <v>0</v>
      </c>
      <c r="FI413" s="10" t="n">
        <v>46374</v>
      </c>
      <c r="FK413" s="9" t="n">
        <v>0</v>
      </c>
      <c r="FM413" s="9" t="n">
        <v>0</v>
      </c>
      <c r="FN413" s="9" t="n">
        <v>0</v>
      </c>
      <c r="FR413" s="10" t="n">
        <v>46374</v>
      </c>
      <c r="FT413" s="9" t="n">
        <v>0</v>
      </c>
      <c r="FV413" s="9" t="n">
        <v>0</v>
      </c>
      <c r="FW413" s="9" t="n">
        <v>2020</v>
      </c>
      <c r="GA413" s="10" t="n">
        <v>46374</v>
      </c>
      <c r="GC413" s="9" t="n">
        <v>0</v>
      </c>
      <c r="GE413" s="9" t="n">
        <v>0</v>
      </c>
      <c r="GF413" s="9" t="n">
        <v>960</v>
      </c>
      <c r="GJ413" s="10" t="n">
        <v>46374</v>
      </c>
      <c r="GL413" s="9" t="n">
        <v>0</v>
      </c>
      <c r="GN413" s="9" t="n">
        <v>0</v>
      </c>
      <c r="GO413" s="9" t="n">
        <v>1760</v>
      </c>
      <c r="GS413" s="10" t="n">
        <v>46374</v>
      </c>
      <c r="GU413" s="9" t="n">
        <v>0</v>
      </c>
      <c r="GW413" s="9" t="n">
        <v>0</v>
      </c>
      <c r="GX413" s="9" t="n">
        <v>400</v>
      </c>
      <c r="HB413" s="10" t="n">
        <v>46374</v>
      </c>
      <c r="HD413" s="9" t="n">
        <v>0</v>
      </c>
      <c r="HF413" s="9" t="n">
        <v>0</v>
      </c>
      <c r="HG413" s="9" t="n">
        <v>3600</v>
      </c>
      <c r="HK413" s="10" t="n">
        <v>46374</v>
      </c>
      <c r="HM413" s="9" t="n">
        <v>0</v>
      </c>
      <c r="HO413" s="9" t="n">
        <v>0</v>
      </c>
      <c r="HP413" s="9" t="n">
        <v>0</v>
      </c>
      <c r="HU413" s="10" t="n">
        <v>46374</v>
      </c>
      <c r="HW413" s="9" t="n">
        <v>0</v>
      </c>
      <c r="HY413" s="9" t="n">
        <v>0</v>
      </c>
      <c r="HZ413" s="9" t="n">
        <v>6120</v>
      </c>
      <c r="ID413" s="10" t="n">
        <v>46374</v>
      </c>
      <c r="IF413" s="9" t="n">
        <v>0</v>
      </c>
      <c r="IH413" s="9" t="n">
        <v>0</v>
      </c>
      <c r="II413" s="9" t="n">
        <v>0</v>
      </c>
      <c r="IM413" s="10" t="n">
        <v>46374</v>
      </c>
      <c r="IO413" s="9" t="n">
        <v>0</v>
      </c>
      <c r="IQ413" s="9" t="n">
        <v>0</v>
      </c>
      <c r="IR413" s="9" t="n">
        <v>0</v>
      </c>
      <c r="IV413" s="10" t="n">
        <v>46374</v>
      </c>
      <c r="IX413" s="9" t="n">
        <v>0</v>
      </c>
      <c r="IZ413" s="9" t="n">
        <v>0</v>
      </c>
      <c r="JA413" s="9" t="n">
        <v>2820</v>
      </c>
      <c r="JE413" s="10" t="n">
        <v>46374</v>
      </c>
      <c r="JG413" s="9" t="n">
        <v>0</v>
      </c>
      <c r="JI413" s="9" t="n">
        <v>0</v>
      </c>
      <c r="JJ413" s="9" t="n">
        <v>0</v>
      </c>
      <c r="JN413" s="10" t="n">
        <v>46374</v>
      </c>
      <c r="JP413" s="9" t="n">
        <v>0</v>
      </c>
      <c r="JR413" s="9" t="n">
        <v>0</v>
      </c>
      <c r="JS413" s="9" t="n">
        <v>0</v>
      </c>
      <c r="JW413" s="10" t="n">
        <v>46374</v>
      </c>
      <c r="JY413" s="9" t="n">
        <v>0</v>
      </c>
      <c r="KA413" s="9" t="n">
        <v>0</v>
      </c>
      <c r="KB413" s="9" t="n">
        <v>2540</v>
      </c>
      <c r="KF413" s="10" t="n">
        <v>46374</v>
      </c>
      <c r="KH413" s="9" t="n">
        <v>0</v>
      </c>
      <c r="KJ413" s="9" t="n">
        <v>0</v>
      </c>
      <c r="KK413" s="9" t="n">
        <v>2359.5</v>
      </c>
      <c r="KO413" s="10" t="n">
        <v>46374</v>
      </c>
      <c r="KQ413" s="9" t="n">
        <v>0</v>
      </c>
      <c r="KS413" s="9" t="n">
        <v>0</v>
      </c>
      <c r="KT413" s="9" t="n">
        <v>1890</v>
      </c>
      <c r="KX413" s="10" t="n">
        <v>46374</v>
      </c>
      <c r="KZ413" s="9" t="n">
        <v>0</v>
      </c>
      <c r="LB413" s="9" t="n">
        <v>0</v>
      </c>
      <c r="LC413" s="9" t="n">
        <v>3690</v>
      </c>
      <c r="LG413" s="10" t="n">
        <v>46374</v>
      </c>
      <c r="LI413" s="9" t="n">
        <v>0</v>
      </c>
      <c r="LK413" s="9" t="n">
        <v>0</v>
      </c>
      <c r="LL413" s="9" t="n">
        <v>4000</v>
      </c>
      <c r="LP413" s="10" t="n">
        <v>46374</v>
      </c>
      <c r="LR413" s="9" t="n">
        <v>0</v>
      </c>
      <c r="LT413" s="9" t="n">
        <v>0</v>
      </c>
      <c r="LU413" s="9" t="n">
        <v>0</v>
      </c>
      <c r="LY413" s="10" t="n">
        <v>46374</v>
      </c>
      <c r="MA413" s="9" t="n">
        <v>0</v>
      </c>
      <c r="MC413" s="9" t="n">
        <v>0</v>
      </c>
      <c r="MD413" s="9" t="n">
        <v>0</v>
      </c>
      <c r="MH413" s="10" t="n">
        <v>46374</v>
      </c>
      <c r="MJ413" s="9" t="n">
        <v>0</v>
      </c>
      <c r="ML413" s="9" t="n">
        <v>0</v>
      </c>
      <c r="MM413" s="9" t="n">
        <v>-18</v>
      </c>
      <c r="MQ413" s="10" t="n">
        <v>46374</v>
      </c>
      <c r="MS413" s="9" t="n">
        <v>0</v>
      </c>
      <c r="MU413" s="9" t="n">
        <v>0</v>
      </c>
      <c r="MV413" s="9" t="n">
        <v>1559</v>
      </c>
      <c r="MZ413" s="10" t="n">
        <v>46374</v>
      </c>
      <c r="NB413" s="9" t="n">
        <v>0</v>
      </c>
      <c r="ND413" s="9" t="n">
        <v>0</v>
      </c>
      <c r="NE413" s="9" t="n">
        <v>0</v>
      </c>
      <c r="NI413" s="10" t="n">
        <v>46374</v>
      </c>
      <c r="NK413" s="9" t="n">
        <v>0</v>
      </c>
      <c r="NM413" s="9" t="n">
        <v>0</v>
      </c>
      <c r="NN413" s="9" t="n">
        <v>1127</v>
      </c>
      <c r="NR413" s="10" t="n">
        <v>46374</v>
      </c>
      <c r="NT413" s="9" t="n">
        <v>0</v>
      </c>
      <c r="NV413" s="9" t="n">
        <v>0</v>
      </c>
      <c r="NW413" s="9" t="n">
        <v>3112</v>
      </c>
      <c r="OA413" s="10" t="n">
        <v>46374</v>
      </c>
      <c r="OC413" s="9" t="n">
        <v>0</v>
      </c>
      <c r="OE413" s="9" t="n">
        <v>0</v>
      </c>
      <c r="OF413" s="9" t="n">
        <v>1680.5</v>
      </c>
      <c r="OJ413" s="10" t="n">
        <v>46374</v>
      </c>
      <c r="OL413" s="9" t="n">
        <v>0</v>
      </c>
      <c r="ON413" s="9" t="n">
        <v>0</v>
      </c>
      <c r="OO413" s="9" t="n">
        <v>0</v>
      </c>
      <c r="OS413" s="10" t="n">
        <v>46374</v>
      </c>
      <c r="OU413" s="9" t="n">
        <v>0</v>
      </c>
      <c r="OW413" s="9" t="n">
        <v>0</v>
      </c>
      <c r="OX413" s="9" t="n">
        <v>1482</v>
      </c>
      <c r="PB413" s="10" t="n">
        <v>46374</v>
      </c>
      <c r="PD413" s="9" t="n">
        <v>0</v>
      </c>
      <c r="PF413" s="9" t="n">
        <v>0</v>
      </c>
      <c r="PG413" s="9" t="n">
        <v>0</v>
      </c>
      <c r="PK413" s="10" t="n">
        <v>46374</v>
      </c>
      <c r="PM413" s="9" t="n">
        <v>0</v>
      </c>
      <c r="PO413" s="9" t="n">
        <v>0</v>
      </c>
      <c r="PP413" s="9" t="n">
        <v>100</v>
      </c>
      <c r="PT413" s="10" t="n">
        <v>46374</v>
      </c>
      <c r="PV413" s="9" t="n">
        <v>0</v>
      </c>
      <c r="PX413" s="9" t="n">
        <v>0</v>
      </c>
      <c r="PY413" s="9" t="n">
        <v>13.96000000000004</v>
      </c>
      <c r="QC413" s="10" t="n">
        <v>46374</v>
      </c>
      <c r="QE413" s="9" t="n">
        <v>0</v>
      </c>
      <c r="QG413" s="9" t="n">
        <v>0</v>
      </c>
      <c r="QH413" s="9" t="n">
        <v>548</v>
      </c>
      <c r="QL413" s="10" t="n">
        <v>46374</v>
      </c>
      <c r="QN413" s="9" t="n">
        <v>0</v>
      </c>
      <c r="QP413" s="9" t="n">
        <v>0</v>
      </c>
      <c r="QQ413" s="9" t="n">
        <v>0</v>
      </c>
      <c r="QU413" s="10" t="n">
        <v>46374</v>
      </c>
      <c r="QW413" s="9" t="n">
        <v>0</v>
      </c>
      <c r="QY413" s="9" t="n">
        <v>0</v>
      </c>
      <c r="QZ413" s="9" t="n">
        <v>0</v>
      </c>
      <c r="RD413" s="10" t="n">
        <v>46374</v>
      </c>
      <c r="RF413" s="9" t="n">
        <v>0</v>
      </c>
      <c r="RH413" s="9" t="n">
        <v>0</v>
      </c>
      <c r="RI413" s="9" t="n">
        <v>147.04</v>
      </c>
      <c r="RM413" s="10" t="n">
        <v>46374</v>
      </c>
      <c r="RO413" s="9" t="n">
        <v>0</v>
      </c>
      <c r="RQ413" s="9" t="n">
        <v>0</v>
      </c>
      <c r="RR413" s="9" t="n">
        <v>46.8</v>
      </c>
      <c r="RV413" s="10" t="n">
        <v>46374</v>
      </c>
      <c r="RX413" s="9" t="n">
        <v>0</v>
      </c>
      <c r="RZ413" s="9" t="n">
        <v>0</v>
      </c>
      <c r="SA413" s="9" t="n">
        <v>0</v>
      </c>
      <c r="SE413" s="10" t="n">
        <v>46374</v>
      </c>
      <c r="SG413" s="9" t="n">
        <v>0</v>
      </c>
      <c r="SI413" s="9" t="n">
        <v>0</v>
      </c>
      <c r="SJ413" s="9" t="n">
        <v>24.2</v>
      </c>
      <c r="SN413" s="10" t="n">
        <v>46374</v>
      </c>
      <c r="SP413" s="9" t="n">
        <v>0</v>
      </c>
      <c r="SR413" s="9" t="n">
        <v>0</v>
      </c>
      <c r="SS413" s="9" t="n">
        <v>32</v>
      </c>
      <c r="SW413" s="10" t="n">
        <v>46374</v>
      </c>
      <c r="SY413" s="9" t="n">
        <v>0</v>
      </c>
      <c r="TA413" s="9" t="n">
        <v>0</v>
      </c>
      <c r="TB413" s="9" t="n">
        <v>0</v>
      </c>
      <c r="TF413" s="10" t="n">
        <v>46374</v>
      </c>
      <c r="TH413" s="9" t="n">
        <v>0</v>
      </c>
      <c r="TJ413" s="9" t="n">
        <v>0</v>
      </c>
      <c r="TK413" s="9" t="n">
        <v>0</v>
      </c>
      <c r="TO413" s="10" t="n">
        <v>46374</v>
      </c>
      <c r="TQ413" s="9" t="n">
        <v>0</v>
      </c>
      <c r="TS413" s="9" t="n">
        <v>0</v>
      </c>
      <c r="TT413" s="9" t="n">
        <v>0</v>
      </c>
      <c r="TX413" s="10" t="n">
        <v>46374</v>
      </c>
      <c r="TZ413" s="9" t="n">
        <v>0</v>
      </c>
      <c r="UB413" s="9" t="n">
        <v>0</v>
      </c>
      <c r="UC413" s="9" t="n">
        <v>46.79999999999998</v>
      </c>
      <c r="UG413" s="10" t="n">
        <v>46374</v>
      </c>
      <c r="UI413" s="9" t="n">
        <v>0</v>
      </c>
      <c r="UK413" s="9" t="n">
        <v>0</v>
      </c>
      <c r="UL413" s="9" t="n">
        <v>204</v>
      </c>
      <c r="UP413" s="10" t="n">
        <v>46374</v>
      </c>
      <c r="UR413" s="9" t="n">
        <v>0</v>
      </c>
      <c r="UT413" s="9" t="n">
        <v>0</v>
      </c>
      <c r="UU413" s="9" t="n">
        <v>202.5</v>
      </c>
      <c r="UY413" s="10" t="n">
        <v>46374</v>
      </c>
      <c r="VA413" s="9" t="n">
        <v>0</v>
      </c>
      <c r="VC413" s="9" t="n">
        <v>0</v>
      </c>
      <c r="VD413" s="9" t="n">
        <v>41.60000000000002</v>
      </c>
      <c r="VH413" s="10" t="n">
        <v>46374</v>
      </c>
      <c r="VJ413" s="9" t="n">
        <v>0</v>
      </c>
      <c r="VL413" s="9" t="n">
        <v>0</v>
      </c>
      <c r="VM413" s="9" t="n">
        <v>210</v>
      </c>
      <c r="VQ413" s="10" t="n">
        <v>46374</v>
      </c>
      <c r="VS413" s="9" t="n">
        <v>0</v>
      </c>
      <c r="VU413" s="9" t="n">
        <v>0</v>
      </c>
      <c r="VV413" s="9" t="n">
        <v>0</v>
      </c>
      <c r="VZ413" s="10" t="n">
        <v>46374</v>
      </c>
      <c r="WB413" s="9" t="n">
        <v>0</v>
      </c>
      <c r="WD413" s="9" t="n">
        <v>0</v>
      </c>
      <c r="WE413" s="9" t="n">
        <v>0</v>
      </c>
      <c r="WI413" s="10" t="n">
        <v>46374</v>
      </c>
      <c r="WK413" s="9" t="n">
        <v>0</v>
      </c>
      <c r="WM413" s="9" t="n">
        <v>0</v>
      </c>
      <c r="WN413" s="9" t="n">
        <v>1057</v>
      </c>
      <c r="WR413" s="10" t="n">
        <v>46374</v>
      </c>
      <c r="WT413" s="9" t="n">
        <v>0</v>
      </c>
      <c r="WV413" s="9" t="n">
        <v>0</v>
      </c>
      <c r="WW413" s="9" t="n">
        <v>0</v>
      </c>
      <c r="XA413" s="10" t="n">
        <v>46374</v>
      </c>
      <c r="XC413" s="9" t="n">
        <v>0</v>
      </c>
      <c r="XE413" s="9" t="n">
        <v>0</v>
      </c>
      <c r="XF413" s="9" t="n">
        <v>7507</v>
      </c>
      <c r="XJ413" s="10" t="n">
        <v>46374</v>
      </c>
      <c r="XL413" s="9" t="n">
        <v>0</v>
      </c>
      <c r="XN413" s="9" t="n">
        <v>0</v>
      </c>
      <c r="XO413" s="9" t="n">
        <v>4252</v>
      </c>
      <c r="XS413" s="10" t="n">
        <v>46374</v>
      </c>
      <c r="XU413" s="9" t="n">
        <v>0</v>
      </c>
      <c r="XW413" s="9" t="n">
        <v>0</v>
      </c>
      <c r="XX413" s="9" t="n">
        <v>2179</v>
      </c>
      <c r="YB413" s="10" t="n">
        <v>46374</v>
      </c>
      <c r="YD413" s="9" t="n">
        <v>0</v>
      </c>
      <c r="YF413" s="9" t="n">
        <v>0</v>
      </c>
      <c r="YG413" s="9" t="n">
        <v>4019</v>
      </c>
      <c r="YK413" s="10" t="n">
        <v>46374</v>
      </c>
      <c r="YM413" s="9" t="n">
        <v>0</v>
      </c>
      <c r="YO413" s="9" t="n">
        <v>0</v>
      </c>
      <c r="YP413" s="9" t="n">
        <v>-218</v>
      </c>
      <c r="YT413" s="10" t="n">
        <v>46374</v>
      </c>
      <c r="YV413" s="9" t="n">
        <v>0</v>
      </c>
      <c r="YX413" s="9" t="n">
        <v>0</v>
      </c>
      <c r="YY413" s="9" t="n">
        <v>0</v>
      </c>
      <c r="ZC413" s="10" t="n">
        <v>46374</v>
      </c>
      <c r="ZE413" s="9" t="n">
        <v>0</v>
      </c>
      <c r="ZG413" s="9" t="n">
        <v>0</v>
      </c>
      <c r="ZH413" s="9" t="n">
        <v>0</v>
      </c>
      <c r="ZL413" s="10" t="n">
        <v>46374</v>
      </c>
      <c r="ZN413" s="9" t="n">
        <v>0</v>
      </c>
      <c r="ZP413" s="9" t="n">
        <v>0</v>
      </c>
      <c r="ZQ413" s="9" t="n">
        <v>0</v>
      </c>
      <c r="ZU413" s="10" t="n">
        <v>46374</v>
      </c>
      <c r="ZW413" s="9" t="n">
        <v>0</v>
      </c>
      <c r="ZY413" s="9" t="n">
        <v>0</v>
      </c>
      <c r="ZZ413" s="9" t="n">
        <v>0</v>
      </c>
      <c r="AAD413" s="10" t="n">
        <v>46374</v>
      </c>
      <c r="AAF413" s="9" t="n">
        <v>0</v>
      </c>
      <c r="AAH413" s="9" t="n">
        <v>0</v>
      </c>
      <c r="AAI413" s="9" t="n">
        <v>0</v>
      </c>
      <c r="AAM413" s="10" t="n">
        <v>46374</v>
      </c>
      <c r="AAO413" s="9" t="n">
        <v>0</v>
      </c>
      <c r="AAQ413" s="9" t="n">
        <v>0</v>
      </c>
      <c r="AAR413" s="9" t="n">
        <v>0</v>
      </c>
      <c r="AAV413" s="10" t="n">
        <v>46374</v>
      </c>
      <c r="AAX413" s="9" t="n">
        <v>0</v>
      </c>
      <c r="AAZ413" s="9" t="n">
        <v>0</v>
      </c>
      <c r="ABA413" s="9" t="n">
        <v>0</v>
      </c>
      <c r="ABE413" s="10" t="n">
        <v>46374</v>
      </c>
      <c r="ABG413" s="9" t="n">
        <v>0</v>
      </c>
      <c r="ABI413" s="9" t="n">
        <v>0</v>
      </c>
      <c r="ABJ413" s="9" t="n">
        <v>0</v>
      </c>
    </row>
    <row r="414">
      <c r="C414" s="10" t="n">
        <v>46375</v>
      </c>
      <c r="E414" s="9" t="n">
        <v>0</v>
      </c>
      <c r="G414" s="9" t="n">
        <v>0</v>
      </c>
      <c r="H414" s="9" t="n">
        <v>236936.6</v>
      </c>
      <c r="L414" s="10" t="n">
        <v>46375</v>
      </c>
      <c r="N414" s="9" t="n">
        <v>0</v>
      </c>
      <c r="P414" s="9" t="n">
        <v>0</v>
      </c>
      <c r="Q414" s="9" t="n">
        <v>53017.60000000007</v>
      </c>
      <c r="U414" s="10" t="n">
        <v>46375</v>
      </c>
      <c r="W414" s="9" t="n">
        <v>0</v>
      </c>
      <c r="Y414" s="9" t="n">
        <v>0</v>
      </c>
      <c r="Z414" s="9" t="n">
        <v>42674.19999999997</v>
      </c>
      <c r="AD414" s="10" t="n">
        <v>46375</v>
      </c>
      <c r="AF414" s="9" t="n">
        <v>0</v>
      </c>
      <c r="AH414" s="9" t="n">
        <v>0</v>
      </c>
      <c r="AI414" s="9" t="n">
        <v>4522.200000000019</v>
      </c>
      <c r="AM414" s="10" t="n">
        <v>46375</v>
      </c>
      <c r="AO414" s="9" t="n">
        <v>0</v>
      </c>
      <c r="AQ414" s="9" t="n">
        <v>0</v>
      </c>
      <c r="AR414" s="9" t="n">
        <v>0</v>
      </c>
      <c r="AV414" s="10" t="n">
        <v>46375</v>
      </c>
      <c r="AX414" s="9" t="n">
        <v>0</v>
      </c>
      <c r="AZ414" s="9" t="n">
        <v>0</v>
      </c>
      <c r="BA414" s="9" t="n">
        <v>124.9999999999952</v>
      </c>
      <c r="BE414" s="10" t="n">
        <v>46375</v>
      </c>
      <c r="BG414" s="9" t="n">
        <v>0</v>
      </c>
      <c r="BI414" s="9" t="n">
        <v>0</v>
      </c>
      <c r="BJ414" s="9" t="n">
        <v>26151.9</v>
      </c>
      <c r="BN414" s="10" t="n">
        <v>46375</v>
      </c>
      <c r="BP414" s="9" t="n">
        <v>0</v>
      </c>
      <c r="BR414" s="9" t="n">
        <v>0</v>
      </c>
      <c r="BS414" s="9" t="n">
        <v>0</v>
      </c>
      <c r="BW414" s="10" t="n">
        <v>46375</v>
      </c>
      <c r="BY414" s="9" t="n">
        <v>0</v>
      </c>
      <c r="CA414" s="9" t="n">
        <v>0</v>
      </c>
      <c r="CB414" s="9" t="n">
        <v>2097.339999999999</v>
      </c>
      <c r="CF414" s="10" t="n">
        <v>46375</v>
      </c>
      <c r="CH414" s="9" t="n">
        <v>0</v>
      </c>
      <c r="CJ414" s="9" t="n">
        <v>0</v>
      </c>
      <c r="CK414" s="9" t="n">
        <v>-10277.08</v>
      </c>
      <c r="CO414" s="10" t="n">
        <v>46375</v>
      </c>
      <c r="CQ414" s="9" t="n">
        <v>0</v>
      </c>
      <c r="CS414" s="9" t="n">
        <v>0</v>
      </c>
      <c r="CT414" s="9" t="n">
        <v>0</v>
      </c>
      <c r="CX414" s="10" t="n">
        <v>46375</v>
      </c>
      <c r="CZ414" s="9" t="n">
        <v>0</v>
      </c>
      <c r="DB414" s="9" t="n">
        <v>0</v>
      </c>
      <c r="DC414" s="9" t="n">
        <v>27438.20000000001</v>
      </c>
      <c r="DG414" s="10" t="n">
        <v>46375</v>
      </c>
      <c r="DI414" s="9" t="n">
        <v>0</v>
      </c>
      <c r="DK414" s="9" t="n">
        <v>0</v>
      </c>
      <c r="DL414" s="9" t="n">
        <v>18782.29999999998</v>
      </c>
      <c r="DP414" s="10" t="n">
        <v>46375</v>
      </c>
      <c r="DR414" s="9" t="n">
        <v>0</v>
      </c>
      <c r="DT414" s="9" t="n">
        <v>0</v>
      </c>
      <c r="DU414" s="9" t="n">
        <v>5800</v>
      </c>
      <c r="DY414" s="10" t="n">
        <v>46375</v>
      </c>
      <c r="EA414" s="9" t="n">
        <v>0</v>
      </c>
      <c r="EC414" s="9" t="n">
        <v>0</v>
      </c>
      <c r="ED414" s="9" t="n">
        <v>0</v>
      </c>
      <c r="EH414" s="10" t="n">
        <v>46375</v>
      </c>
      <c r="EJ414" s="9" t="n">
        <v>0</v>
      </c>
      <c r="EL414" s="9" t="n">
        <v>0</v>
      </c>
      <c r="EM414" s="9" t="n">
        <v>0</v>
      </c>
      <c r="EQ414" s="10" t="n">
        <v>46375</v>
      </c>
      <c r="ES414" s="9" t="n">
        <v>0</v>
      </c>
      <c r="EU414" s="9" t="n">
        <v>0</v>
      </c>
      <c r="EV414" s="9" t="n">
        <v>0</v>
      </c>
      <c r="EZ414" s="10" t="n">
        <v>46375</v>
      </c>
      <c r="FB414" s="9" t="n">
        <v>0</v>
      </c>
      <c r="FD414" s="9" t="n">
        <v>0</v>
      </c>
      <c r="FE414" s="9" t="n">
        <v>0</v>
      </c>
      <c r="FI414" s="10" t="n">
        <v>46375</v>
      </c>
      <c r="FK414" s="9" t="n">
        <v>0</v>
      </c>
      <c r="FM414" s="9" t="n">
        <v>0</v>
      </c>
      <c r="FN414" s="9" t="n">
        <v>0</v>
      </c>
      <c r="FR414" s="10" t="n">
        <v>46375</v>
      </c>
      <c r="FT414" s="9" t="n">
        <v>0</v>
      </c>
      <c r="FV414" s="9" t="n">
        <v>0</v>
      </c>
      <c r="FW414" s="9" t="n">
        <v>2020</v>
      </c>
      <c r="GA414" s="10" t="n">
        <v>46375</v>
      </c>
      <c r="GC414" s="9" t="n">
        <v>0</v>
      </c>
      <c r="GE414" s="9" t="n">
        <v>0</v>
      </c>
      <c r="GF414" s="9" t="n">
        <v>960</v>
      </c>
      <c r="GJ414" s="10" t="n">
        <v>46375</v>
      </c>
      <c r="GL414" s="9" t="n">
        <v>0</v>
      </c>
      <c r="GN414" s="9" t="n">
        <v>0</v>
      </c>
      <c r="GO414" s="9" t="n">
        <v>1760</v>
      </c>
      <c r="GS414" s="10" t="n">
        <v>46375</v>
      </c>
      <c r="GU414" s="9" t="n">
        <v>0</v>
      </c>
      <c r="GW414" s="9" t="n">
        <v>0</v>
      </c>
      <c r="GX414" s="9" t="n">
        <v>400</v>
      </c>
      <c r="HB414" s="10" t="n">
        <v>46375</v>
      </c>
      <c r="HD414" s="9" t="n">
        <v>0</v>
      </c>
      <c r="HF414" s="9" t="n">
        <v>0</v>
      </c>
      <c r="HG414" s="9" t="n">
        <v>3600</v>
      </c>
      <c r="HK414" s="10" t="n">
        <v>46375</v>
      </c>
      <c r="HM414" s="9" t="n">
        <v>0</v>
      </c>
      <c r="HO414" s="9" t="n">
        <v>0</v>
      </c>
      <c r="HP414" s="9" t="n">
        <v>0</v>
      </c>
      <c r="HU414" s="10" t="n">
        <v>46375</v>
      </c>
      <c r="HW414" s="9" t="n">
        <v>0</v>
      </c>
      <c r="HY414" s="9" t="n">
        <v>0</v>
      </c>
      <c r="HZ414" s="9" t="n">
        <v>6120</v>
      </c>
      <c r="ID414" s="10" t="n">
        <v>46375</v>
      </c>
      <c r="IF414" s="9" t="n">
        <v>0</v>
      </c>
      <c r="IH414" s="9" t="n">
        <v>0</v>
      </c>
      <c r="II414" s="9" t="n">
        <v>0</v>
      </c>
      <c r="IM414" s="10" t="n">
        <v>46375</v>
      </c>
      <c r="IO414" s="9" t="n">
        <v>0</v>
      </c>
      <c r="IQ414" s="9" t="n">
        <v>0</v>
      </c>
      <c r="IR414" s="9" t="n">
        <v>0</v>
      </c>
      <c r="IV414" s="10" t="n">
        <v>46375</v>
      </c>
      <c r="IX414" s="9" t="n">
        <v>0</v>
      </c>
      <c r="IZ414" s="9" t="n">
        <v>0</v>
      </c>
      <c r="JA414" s="9" t="n">
        <v>2820</v>
      </c>
      <c r="JE414" s="10" t="n">
        <v>46375</v>
      </c>
      <c r="JG414" s="9" t="n">
        <v>0</v>
      </c>
      <c r="JI414" s="9" t="n">
        <v>0</v>
      </c>
      <c r="JJ414" s="9" t="n">
        <v>0</v>
      </c>
      <c r="JN414" s="10" t="n">
        <v>46375</v>
      </c>
      <c r="JP414" s="9" t="n">
        <v>0</v>
      </c>
      <c r="JR414" s="9" t="n">
        <v>0</v>
      </c>
      <c r="JS414" s="9" t="n">
        <v>0</v>
      </c>
      <c r="JW414" s="10" t="n">
        <v>46375</v>
      </c>
      <c r="JY414" s="9" t="n">
        <v>0</v>
      </c>
      <c r="KA414" s="9" t="n">
        <v>0</v>
      </c>
      <c r="KB414" s="9" t="n">
        <v>2540</v>
      </c>
      <c r="KF414" s="10" t="n">
        <v>46375</v>
      </c>
      <c r="KH414" s="9" t="n">
        <v>0</v>
      </c>
      <c r="KJ414" s="9" t="n">
        <v>0</v>
      </c>
      <c r="KK414" s="9" t="n">
        <v>2359.5</v>
      </c>
      <c r="KO414" s="10" t="n">
        <v>46375</v>
      </c>
      <c r="KQ414" s="9" t="n">
        <v>0</v>
      </c>
      <c r="KS414" s="9" t="n">
        <v>0</v>
      </c>
      <c r="KT414" s="9" t="n">
        <v>1890</v>
      </c>
      <c r="KX414" s="10" t="n">
        <v>46375</v>
      </c>
      <c r="KZ414" s="9" t="n">
        <v>0</v>
      </c>
      <c r="LB414" s="9" t="n">
        <v>0</v>
      </c>
      <c r="LC414" s="9" t="n">
        <v>3690</v>
      </c>
      <c r="LG414" s="10" t="n">
        <v>46375</v>
      </c>
      <c r="LI414" s="9" t="n">
        <v>0</v>
      </c>
      <c r="LK414" s="9" t="n">
        <v>0</v>
      </c>
      <c r="LL414" s="9" t="n">
        <v>4000</v>
      </c>
      <c r="LP414" s="10" t="n">
        <v>46375</v>
      </c>
      <c r="LR414" s="9" t="n">
        <v>0</v>
      </c>
      <c r="LT414" s="9" t="n">
        <v>0</v>
      </c>
      <c r="LU414" s="9" t="n">
        <v>0</v>
      </c>
      <c r="LY414" s="10" t="n">
        <v>46375</v>
      </c>
      <c r="MA414" s="9" t="n">
        <v>0</v>
      </c>
      <c r="MC414" s="9" t="n">
        <v>0</v>
      </c>
      <c r="MD414" s="9" t="n">
        <v>0</v>
      </c>
      <c r="MH414" s="10" t="n">
        <v>46375</v>
      </c>
      <c r="MJ414" s="9" t="n">
        <v>0</v>
      </c>
      <c r="ML414" s="9" t="n">
        <v>0</v>
      </c>
      <c r="MM414" s="9" t="n">
        <v>-18</v>
      </c>
      <c r="MQ414" s="10" t="n">
        <v>46375</v>
      </c>
      <c r="MS414" s="9" t="n">
        <v>0</v>
      </c>
      <c r="MU414" s="9" t="n">
        <v>0</v>
      </c>
      <c r="MV414" s="9" t="n">
        <v>1559</v>
      </c>
      <c r="MZ414" s="10" t="n">
        <v>46375</v>
      </c>
      <c r="NB414" s="9" t="n">
        <v>0</v>
      </c>
      <c r="ND414" s="9" t="n">
        <v>0</v>
      </c>
      <c r="NE414" s="9" t="n">
        <v>0</v>
      </c>
      <c r="NI414" s="10" t="n">
        <v>46375</v>
      </c>
      <c r="NK414" s="9" t="n">
        <v>0</v>
      </c>
      <c r="NM414" s="9" t="n">
        <v>0</v>
      </c>
      <c r="NN414" s="9" t="n">
        <v>1127</v>
      </c>
      <c r="NR414" s="10" t="n">
        <v>46375</v>
      </c>
      <c r="NT414" s="9" t="n">
        <v>0</v>
      </c>
      <c r="NV414" s="9" t="n">
        <v>0</v>
      </c>
      <c r="NW414" s="9" t="n">
        <v>3112</v>
      </c>
      <c r="OA414" s="10" t="n">
        <v>46375</v>
      </c>
      <c r="OC414" s="9" t="n">
        <v>0</v>
      </c>
      <c r="OE414" s="9" t="n">
        <v>0</v>
      </c>
      <c r="OF414" s="9" t="n">
        <v>1680.5</v>
      </c>
      <c r="OJ414" s="10" t="n">
        <v>46375</v>
      </c>
      <c r="OL414" s="9" t="n">
        <v>0</v>
      </c>
      <c r="ON414" s="9" t="n">
        <v>0</v>
      </c>
      <c r="OO414" s="9" t="n">
        <v>0</v>
      </c>
      <c r="OS414" s="10" t="n">
        <v>46375</v>
      </c>
      <c r="OU414" s="9" t="n">
        <v>0</v>
      </c>
      <c r="OW414" s="9" t="n">
        <v>0</v>
      </c>
      <c r="OX414" s="9" t="n">
        <v>1482</v>
      </c>
      <c r="PB414" s="10" t="n">
        <v>46375</v>
      </c>
      <c r="PD414" s="9" t="n">
        <v>0</v>
      </c>
      <c r="PF414" s="9" t="n">
        <v>0</v>
      </c>
      <c r="PG414" s="9" t="n">
        <v>0</v>
      </c>
      <c r="PK414" s="10" t="n">
        <v>46375</v>
      </c>
      <c r="PM414" s="9" t="n">
        <v>0</v>
      </c>
      <c r="PO414" s="9" t="n">
        <v>0</v>
      </c>
      <c r="PP414" s="9" t="n">
        <v>100</v>
      </c>
      <c r="PT414" s="10" t="n">
        <v>46375</v>
      </c>
      <c r="PV414" s="9" t="n">
        <v>0</v>
      </c>
      <c r="PX414" s="9" t="n">
        <v>0</v>
      </c>
      <c r="PY414" s="9" t="n">
        <v>13.96000000000004</v>
      </c>
      <c r="QC414" s="10" t="n">
        <v>46375</v>
      </c>
      <c r="QE414" s="9" t="n">
        <v>0</v>
      </c>
      <c r="QG414" s="9" t="n">
        <v>0</v>
      </c>
      <c r="QH414" s="9" t="n">
        <v>548</v>
      </c>
      <c r="QL414" s="10" t="n">
        <v>46375</v>
      </c>
      <c r="QN414" s="9" t="n">
        <v>0</v>
      </c>
      <c r="QP414" s="9" t="n">
        <v>0</v>
      </c>
      <c r="QQ414" s="9" t="n">
        <v>0</v>
      </c>
      <c r="QU414" s="10" t="n">
        <v>46375</v>
      </c>
      <c r="QW414" s="9" t="n">
        <v>0</v>
      </c>
      <c r="QY414" s="9" t="n">
        <v>0</v>
      </c>
      <c r="QZ414" s="9" t="n">
        <v>0</v>
      </c>
      <c r="RD414" s="10" t="n">
        <v>46375</v>
      </c>
      <c r="RF414" s="9" t="n">
        <v>0</v>
      </c>
      <c r="RH414" s="9" t="n">
        <v>0</v>
      </c>
      <c r="RI414" s="9" t="n">
        <v>147.04</v>
      </c>
      <c r="RM414" s="10" t="n">
        <v>46375</v>
      </c>
      <c r="RO414" s="9" t="n">
        <v>0</v>
      </c>
      <c r="RQ414" s="9" t="n">
        <v>0</v>
      </c>
      <c r="RR414" s="9" t="n">
        <v>46.8</v>
      </c>
      <c r="RV414" s="10" t="n">
        <v>46375</v>
      </c>
      <c r="RX414" s="9" t="n">
        <v>0</v>
      </c>
      <c r="RZ414" s="9" t="n">
        <v>0</v>
      </c>
      <c r="SA414" s="9" t="n">
        <v>0</v>
      </c>
      <c r="SE414" s="10" t="n">
        <v>46375</v>
      </c>
      <c r="SG414" s="9" t="n">
        <v>0</v>
      </c>
      <c r="SI414" s="9" t="n">
        <v>0</v>
      </c>
      <c r="SJ414" s="9" t="n">
        <v>24.2</v>
      </c>
      <c r="SN414" s="10" t="n">
        <v>46375</v>
      </c>
      <c r="SP414" s="9" t="n">
        <v>0</v>
      </c>
      <c r="SR414" s="9" t="n">
        <v>0</v>
      </c>
      <c r="SS414" s="9" t="n">
        <v>32</v>
      </c>
      <c r="SW414" s="10" t="n">
        <v>46375</v>
      </c>
      <c r="SY414" s="9" t="n">
        <v>0</v>
      </c>
      <c r="TA414" s="9" t="n">
        <v>0</v>
      </c>
      <c r="TB414" s="9" t="n">
        <v>0</v>
      </c>
      <c r="TF414" s="10" t="n">
        <v>46375</v>
      </c>
      <c r="TH414" s="9" t="n">
        <v>0</v>
      </c>
      <c r="TJ414" s="9" t="n">
        <v>0</v>
      </c>
      <c r="TK414" s="9" t="n">
        <v>0</v>
      </c>
      <c r="TO414" s="10" t="n">
        <v>46375</v>
      </c>
      <c r="TQ414" s="9" t="n">
        <v>0</v>
      </c>
      <c r="TS414" s="9" t="n">
        <v>0</v>
      </c>
      <c r="TT414" s="9" t="n">
        <v>0</v>
      </c>
      <c r="TX414" s="10" t="n">
        <v>46375</v>
      </c>
      <c r="TZ414" s="9" t="n">
        <v>0</v>
      </c>
      <c r="UB414" s="9" t="n">
        <v>0</v>
      </c>
      <c r="UC414" s="9" t="n">
        <v>46.79999999999998</v>
      </c>
      <c r="UG414" s="10" t="n">
        <v>46375</v>
      </c>
      <c r="UI414" s="9" t="n">
        <v>0</v>
      </c>
      <c r="UK414" s="9" t="n">
        <v>0</v>
      </c>
      <c r="UL414" s="9" t="n">
        <v>204</v>
      </c>
      <c r="UP414" s="10" t="n">
        <v>46375</v>
      </c>
      <c r="UR414" s="9" t="n">
        <v>0</v>
      </c>
      <c r="UT414" s="9" t="n">
        <v>0</v>
      </c>
      <c r="UU414" s="9" t="n">
        <v>202.5</v>
      </c>
      <c r="UY414" s="10" t="n">
        <v>46375</v>
      </c>
      <c r="VA414" s="9" t="n">
        <v>0</v>
      </c>
      <c r="VC414" s="9" t="n">
        <v>0</v>
      </c>
      <c r="VD414" s="9" t="n">
        <v>41.60000000000002</v>
      </c>
      <c r="VH414" s="10" t="n">
        <v>46375</v>
      </c>
      <c r="VJ414" s="9" t="n">
        <v>0</v>
      </c>
      <c r="VL414" s="9" t="n">
        <v>0</v>
      </c>
      <c r="VM414" s="9" t="n">
        <v>210</v>
      </c>
      <c r="VQ414" s="10" t="n">
        <v>46375</v>
      </c>
      <c r="VS414" s="9" t="n">
        <v>0</v>
      </c>
      <c r="VU414" s="9" t="n">
        <v>0</v>
      </c>
      <c r="VV414" s="9" t="n">
        <v>0</v>
      </c>
      <c r="VZ414" s="10" t="n">
        <v>46375</v>
      </c>
      <c r="WB414" s="9" t="n">
        <v>0</v>
      </c>
      <c r="WD414" s="9" t="n">
        <v>0</v>
      </c>
      <c r="WE414" s="9" t="n">
        <v>0</v>
      </c>
      <c r="WI414" s="10" t="n">
        <v>46375</v>
      </c>
      <c r="WK414" s="9" t="n">
        <v>0</v>
      </c>
      <c r="WM414" s="9" t="n">
        <v>0</v>
      </c>
      <c r="WN414" s="9" t="n">
        <v>1057</v>
      </c>
      <c r="WR414" s="10" t="n">
        <v>46375</v>
      </c>
      <c r="WT414" s="9" t="n">
        <v>0</v>
      </c>
      <c r="WV414" s="9" t="n">
        <v>0</v>
      </c>
      <c r="WW414" s="9" t="n">
        <v>0</v>
      </c>
      <c r="XA414" s="10" t="n">
        <v>46375</v>
      </c>
      <c r="XC414" s="9" t="n">
        <v>0</v>
      </c>
      <c r="XE414" s="9" t="n">
        <v>0</v>
      </c>
      <c r="XF414" s="9" t="n">
        <v>7507</v>
      </c>
      <c r="XJ414" s="10" t="n">
        <v>46375</v>
      </c>
      <c r="XL414" s="9" t="n">
        <v>0</v>
      </c>
      <c r="XN414" s="9" t="n">
        <v>0</v>
      </c>
      <c r="XO414" s="9" t="n">
        <v>4252</v>
      </c>
      <c r="XS414" s="10" t="n">
        <v>46375</v>
      </c>
      <c r="XU414" s="9" t="n">
        <v>0</v>
      </c>
      <c r="XW414" s="9" t="n">
        <v>0</v>
      </c>
      <c r="XX414" s="9" t="n">
        <v>2179</v>
      </c>
      <c r="YB414" s="10" t="n">
        <v>46375</v>
      </c>
      <c r="YD414" s="9" t="n">
        <v>0</v>
      </c>
      <c r="YF414" s="9" t="n">
        <v>0</v>
      </c>
      <c r="YG414" s="9" t="n">
        <v>4019</v>
      </c>
      <c r="YK414" s="10" t="n">
        <v>46375</v>
      </c>
      <c r="YM414" s="9" t="n">
        <v>0</v>
      </c>
      <c r="YO414" s="9" t="n">
        <v>0</v>
      </c>
      <c r="YP414" s="9" t="n">
        <v>-218</v>
      </c>
      <c r="YT414" s="10" t="n">
        <v>46375</v>
      </c>
      <c r="YV414" s="9" t="n">
        <v>0</v>
      </c>
      <c r="YX414" s="9" t="n">
        <v>0</v>
      </c>
      <c r="YY414" s="9" t="n">
        <v>0</v>
      </c>
      <c r="ZC414" s="10" t="n">
        <v>46375</v>
      </c>
      <c r="ZE414" s="9" t="n">
        <v>0</v>
      </c>
      <c r="ZG414" s="9" t="n">
        <v>0</v>
      </c>
      <c r="ZH414" s="9" t="n">
        <v>0</v>
      </c>
      <c r="ZL414" s="10" t="n">
        <v>46375</v>
      </c>
      <c r="ZN414" s="9" t="n">
        <v>0</v>
      </c>
      <c r="ZP414" s="9" t="n">
        <v>0</v>
      </c>
      <c r="ZQ414" s="9" t="n">
        <v>0</v>
      </c>
      <c r="ZU414" s="10" t="n">
        <v>46375</v>
      </c>
      <c r="ZW414" s="9" t="n">
        <v>0</v>
      </c>
      <c r="ZY414" s="9" t="n">
        <v>0</v>
      </c>
      <c r="ZZ414" s="9" t="n">
        <v>0</v>
      </c>
      <c r="AAD414" s="10" t="n">
        <v>46375</v>
      </c>
      <c r="AAF414" s="9" t="n">
        <v>0</v>
      </c>
      <c r="AAH414" s="9" t="n">
        <v>0</v>
      </c>
      <c r="AAI414" s="9" t="n">
        <v>0</v>
      </c>
      <c r="AAM414" s="10" t="n">
        <v>46375</v>
      </c>
      <c r="AAO414" s="9" t="n">
        <v>0</v>
      </c>
      <c r="AAQ414" s="9" t="n">
        <v>0</v>
      </c>
      <c r="AAR414" s="9" t="n">
        <v>0</v>
      </c>
      <c r="AAV414" s="10" t="n">
        <v>46375</v>
      </c>
      <c r="AAX414" s="9" t="n">
        <v>0</v>
      </c>
      <c r="AAZ414" s="9" t="n">
        <v>0</v>
      </c>
      <c r="ABA414" s="9" t="n">
        <v>0</v>
      </c>
      <c r="ABE414" s="10" t="n">
        <v>46375</v>
      </c>
      <c r="ABG414" s="9" t="n">
        <v>0</v>
      </c>
      <c r="ABI414" s="9" t="n">
        <v>0</v>
      </c>
      <c r="ABJ414" s="9" t="n">
        <v>0</v>
      </c>
    </row>
    <row r="415">
      <c r="C415" s="10" t="n">
        <v>46376</v>
      </c>
      <c r="E415" s="9" t="n">
        <v>0</v>
      </c>
      <c r="G415" s="9" t="n">
        <v>0</v>
      </c>
      <c r="H415" s="9" t="n">
        <v>236936.6</v>
      </c>
      <c r="L415" s="10" t="n">
        <v>46376</v>
      </c>
      <c r="N415" s="9" t="n">
        <v>0</v>
      </c>
      <c r="P415" s="9" t="n">
        <v>0</v>
      </c>
      <c r="Q415" s="9" t="n">
        <v>53017.60000000007</v>
      </c>
      <c r="U415" s="10" t="n">
        <v>46376</v>
      </c>
      <c r="W415" s="9" t="n">
        <v>0</v>
      </c>
      <c r="Y415" s="9" t="n">
        <v>0</v>
      </c>
      <c r="Z415" s="9" t="n">
        <v>42674.19999999997</v>
      </c>
      <c r="AD415" s="10" t="n">
        <v>46376</v>
      </c>
      <c r="AF415" s="9" t="n">
        <v>0</v>
      </c>
      <c r="AH415" s="9" t="n">
        <v>0</v>
      </c>
      <c r="AI415" s="9" t="n">
        <v>4522.200000000019</v>
      </c>
      <c r="AM415" s="10" t="n">
        <v>46376</v>
      </c>
      <c r="AO415" s="9" t="n">
        <v>0</v>
      </c>
      <c r="AQ415" s="9" t="n">
        <v>0</v>
      </c>
      <c r="AR415" s="9" t="n">
        <v>0</v>
      </c>
      <c r="AV415" s="10" t="n">
        <v>46376</v>
      </c>
      <c r="AX415" s="9" t="n">
        <v>0</v>
      </c>
      <c r="AZ415" s="9" t="n">
        <v>0</v>
      </c>
      <c r="BA415" s="9" t="n">
        <v>124.9999999999952</v>
      </c>
      <c r="BE415" s="10" t="n">
        <v>46376</v>
      </c>
      <c r="BG415" s="9" t="n">
        <v>0</v>
      </c>
      <c r="BI415" s="9" t="n">
        <v>0</v>
      </c>
      <c r="BJ415" s="9" t="n">
        <v>26151.9</v>
      </c>
      <c r="BN415" s="10" t="n">
        <v>46376</v>
      </c>
      <c r="BP415" s="9" t="n">
        <v>0</v>
      </c>
      <c r="BR415" s="9" t="n">
        <v>0</v>
      </c>
      <c r="BS415" s="9" t="n">
        <v>0</v>
      </c>
      <c r="BW415" s="10" t="n">
        <v>46376</v>
      </c>
      <c r="BY415" s="9" t="n">
        <v>0</v>
      </c>
      <c r="CA415" s="9" t="n">
        <v>0</v>
      </c>
      <c r="CB415" s="9" t="n">
        <v>2097.339999999999</v>
      </c>
      <c r="CF415" s="10" t="n">
        <v>46376</v>
      </c>
      <c r="CH415" s="9" t="n">
        <v>0</v>
      </c>
      <c r="CJ415" s="9" t="n">
        <v>0</v>
      </c>
      <c r="CK415" s="9" t="n">
        <v>-10277.08</v>
      </c>
      <c r="CO415" s="10" t="n">
        <v>46376</v>
      </c>
      <c r="CQ415" s="9" t="n">
        <v>0</v>
      </c>
      <c r="CS415" s="9" t="n">
        <v>0</v>
      </c>
      <c r="CT415" s="9" t="n">
        <v>0</v>
      </c>
      <c r="CX415" s="10" t="n">
        <v>46376</v>
      </c>
      <c r="CZ415" s="9" t="n">
        <v>0</v>
      </c>
      <c r="DB415" s="9" t="n">
        <v>0</v>
      </c>
      <c r="DC415" s="9" t="n">
        <v>27438.20000000001</v>
      </c>
      <c r="DG415" s="10" t="n">
        <v>46376</v>
      </c>
      <c r="DI415" s="9" t="n">
        <v>0</v>
      </c>
      <c r="DK415" s="9" t="n">
        <v>0</v>
      </c>
      <c r="DL415" s="9" t="n">
        <v>18782.29999999998</v>
      </c>
      <c r="DP415" s="10" t="n">
        <v>46376</v>
      </c>
      <c r="DR415" s="9" t="n">
        <v>0</v>
      </c>
      <c r="DT415" s="9" t="n">
        <v>0</v>
      </c>
      <c r="DU415" s="9" t="n">
        <v>5800</v>
      </c>
      <c r="DY415" s="10" t="n">
        <v>46376</v>
      </c>
      <c r="EA415" s="9" t="n">
        <v>0</v>
      </c>
      <c r="EC415" s="9" t="n">
        <v>0</v>
      </c>
      <c r="ED415" s="9" t="n">
        <v>0</v>
      </c>
      <c r="EH415" s="10" t="n">
        <v>46376</v>
      </c>
      <c r="EJ415" s="9" t="n">
        <v>0</v>
      </c>
      <c r="EL415" s="9" t="n">
        <v>0</v>
      </c>
      <c r="EM415" s="9" t="n">
        <v>0</v>
      </c>
      <c r="EQ415" s="10" t="n">
        <v>46376</v>
      </c>
      <c r="ES415" s="9" t="n">
        <v>0</v>
      </c>
      <c r="EU415" s="9" t="n">
        <v>0</v>
      </c>
      <c r="EV415" s="9" t="n">
        <v>0</v>
      </c>
      <c r="EZ415" s="10" t="n">
        <v>46376</v>
      </c>
      <c r="FB415" s="9" t="n">
        <v>0</v>
      </c>
      <c r="FD415" s="9" t="n">
        <v>0</v>
      </c>
      <c r="FE415" s="9" t="n">
        <v>0</v>
      </c>
      <c r="FI415" s="10" t="n">
        <v>46376</v>
      </c>
      <c r="FK415" s="9" t="n">
        <v>0</v>
      </c>
      <c r="FM415" s="9" t="n">
        <v>0</v>
      </c>
      <c r="FN415" s="9" t="n">
        <v>0</v>
      </c>
      <c r="FR415" s="10" t="n">
        <v>46376</v>
      </c>
      <c r="FT415" s="9" t="n">
        <v>0</v>
      </c>
      <c r="FV415" s="9" t="n">
        <v>0</v>
      </c>
      <c r="FW415" s="9" t="n">
        <v>2020</v>
      </c>
      <c r="GA415" s="10" t="n">
        <v>46376</v>
      </c>
      <c r="GC415" s="9" t="n">
        <v>0</v>
      </c>
      <c r="GE415" s="9" t="n">
        <v>0</v>
      </c>
      <c r="GF415" s="9" t="n">
        <v>960</v>
      </c>
      <c r="GJ415" s="10" t="n">
        <v>46376</v>
      </c>
      <c r="GL415" s="9" t="n">
        <v>0</v>
      </c>
      <c r="GN415" s="9" t="n">
        <v>0</v>
      </c>
      <c r="GO415" s="9" t="n">
        <v>1760</v>
      </c>
      <c r="GS415" s="10" t="n">
        <v>46376</v>
      </c>
      <c r="GU415" s="9" t="n">
        <v>0</v>
      </c>
      <c r="GW415" s="9" t="n">
        <v>0</v>
      </c>
      <c r="GX415" s="9" t="n">
        <v>400</v>
      </c>
      <c r="HB415" s="10" t="n">
        <v>46376</v>
      </c>
      <c r="HD415" s="9" t="n">
        <v>0</v>
      </c>
      <c r="HF415" s="9" t="n">
        <v>0</v>
      </c>
      <c r="HG415" s="9" t="n">
        <v>3600</v>
      </c>
      <c r="HK415" s="10" t="n">
        <v>46376</v>
      </c>
      <c r="HM415" s="9" t="n">
        <v>0</v>
      </c>
      <c r="HO415" s="9" t="n">
        <v>0</v>
      </c>
      <c r="HP415" s="9" t="n">
        <v>0</v>
      </c>
      <c r="HU415" s="10" t="n">
        <v>46376</v>
      </c>
      <c r="HW415" s="9" t="n">
        <v>0</v>
      </c>
      <c r="HY415" s="9" t="n">
        <v>0</v>
      </c>
      <c r="HZ415" s="9" t="n">
        <v>6120</v>
      </c>
      <c r="ID415" s="10" t="n">
        <v>46376</v>
      </c>
      <c r="IF415" s="9" t="n">
        <v>0</v>
      </c>
      <c r="IH415" s="9" t="n">
        <v>0</v>
      </c>
      <c r="II415" s="9" t="n">
        <v>0</v>
      </c>
      <c r="IM415" s="10" t="n">
        <v>46376</v>
      </c>
      <c r="IO415" s="9" t="n">
        <v>0</v>
      </c>
      <c r="IQ415" s="9" t="n">
        <v>0</v>
      </c>
      <c r="IR415" s="9" t="n">
        <v>0</v>
      </c>
      <c r="IV415" s="10" t="n">
        <v>46376</v>
      </c>
      <c r="IX415" s="9" t="n">
        <v>0</v>
      </c>
      <c r="IZ415" s="9" t="n">
        <v>0</v>
      </c>
      <c r="JA415" s="9" t="n">
        <v>2820</v>
      </c>
      <c r="JE415" s="10" t="n">
        <v>46376</v>
      </c>
      <c r="JG415" s="9" t="n">
        <v>0</v>
      </c>
      <c r="JI415" s="9" t="n">
        <v>0</v>
      </c>
      <c r="JJ415" s="9" t="n">
        <v>0</v>
      </c>
      <c r="JN415" s="10" t="n">
        <v>46376</v>
      </c>
      <c r="JP415" s="9" t="n">
        <v>0</v>
      </c>
      <c r="JR415" s="9" t="n">
        <v>0</v>
      </c>
      <c r="JS415" s="9" t="n">
        <v>0</v>
      </c>
      <c r="JW415" s="10" t="n">
        <v>46376</v>
      </c>
      <c r="JY415" s="9" t="n">
        <v>0</v>
      </c>
      <c r="KA415" s="9" t="n">
        <v>0</v>
      </c>
      <c r="KB415" s="9" t="n">
        <v>2540</v>
      </c>
      <c r="KF415" s="10" t="n">
        <v>46376</v>
      </c>
      <c r="KH415" s="9" t="n">
        <v>0</v>
      </c>
      <c r="KJ415" s="9" t="n">
        <v>0</v>
      </c>
      <c r="KK415" s="9" t="n">
        <v>2359.5</v>
      </c>
      <c r="KO415" s="10" t="n">
        <v>46376</v>
      </c>
      <c r="KQ415" s="9" t="n">
        <v>0</v>
      </c>
      <c r="KS415" s="9" t="n">
        <v>0</v>
      </c>
      <c r="KT415" s="9" t="n">
        <v>1890</v>
      </c>
      <c r="KX415" s="10" t="n">
        <v>46376</v>
      </c>
      <c r="KZ415" s="9" t="n">
        <v>0</v>
      </c>
      <c r="LB415" s="9" t="n">
        <v>0</v>
      </c>
      <c r="LC415" s="9" t="n">
        <v>3690</v>
      </c>
      <c r="LG415" s="10" t="n">
        <v>46376</v>
      </c>
      <c r="LI415" s="9" t="n">
        <v>0</v>
      </c>
      <c r="LK415" s="9" t="n">
        <v>0</v>
      </c>
      <c r="LL415" s="9" t="n">
        <v>4000</v>
      </c>
      <c r="LP415" s="10" t="n">
        <v>46376</v>
      </c>
      <c r="LR415" s="9" t="n">
        <v>0</v>
      </c>
      <c r="LT415" s="9" t="n">
        <v>0</v>
      </c>
      <c r="LU415" s="9" t="n">
        <v>0</v>
      </c>
      <c r="LY415" s="10" t="n">
        <v>46376</v>
      </c>
      <c r="MA415" s="9" t="n">
        <v>0</v>
      </c>
      <c r="MC415" s="9" t="n">
        <v>0</v>
      </c>
      <c r="MD415" s="9" t="n">
        <v>0</v>
      </c>
      <c r="MH415" s="10" t="n">
        <v>46376</v>
      </c>
      <c r="MJ415" s="9" t="n">
        <v>0</v>
      </c>
      <c r="ML415" s="9" t="n">
        <v>0</v>
      </c>
      <c r="MM415" s="9" t="n">
        <v>-18</v>
      </c>
      <c r="MQ415" s="10" t="n">
        <v>46376</v>
      </c>
      <c r="MS415" s="9" t="n">
        <v>0</v>
      </c>
      <c r="MU415" s="9" t="n">
        <v>0</v>
      </c>
      <c r="MV415" s="9" t="n">
        <v>1559</v>
      </c>
      <c r="MZ415" s="10" t="n">
        <v>46376</v>
      </c>
      <c r="NB415" s="9" t="n">
        <v>0</v>
      </c>
      <c r="ND415" s="9" t="n">
        <v>0</v>
      </c>
      <c r="NE415" s="9" t="n">
        <v>0</v>
      </c>
      <c r="NI415" s="10" t="n">
        <v>46376</v>
      </c>
      <c r="NK415" s="9" t="n">
        <v>0</v>
      </c>
      <c r="NM415" s="9" t="n">
        <v>0</v>
      </c>
      <c r="NN415" s="9" t="n">
        <v>1127</v>
      </c>
      <c r="NR415" s="10" t="n">
        <v>46376</v>
      </c>
      <c r="NT415" s="9" t="n">
        <v>0</v>
      </c>
      <c r="NV415" s="9" t="n">
        <v>0</v>
      </c>
      <c r="NW415" s="9" t="n">
        <v>3112</v>
      </c>
      <c r="OA415" s="10" t="n">
        <v>46376</v>
      </c>
      <c r="OC415" s="9" t="n">
        <v>0</v>
      </c>
      <c r="OE415" s="9" t="n">
        <v>0</v>
      </c>
      <c r="OF415" s="9" t="n">
        <v>1680.5</v>
      </c>
      <c r="OJ415" s="10" t="n">
        <v>46376</v>
      </c>
      <c r="OL415" s="9" t="n">
        <v>0</v>
      </c>
      <c r="ON415" s="9" t="n">
        <v>0</v>
      </c>
      <c r="OO415" s="9" t="n">
        <v>0</v>
      </c>
      <c r="OS415" s="10" t="n">
        <v>46376</v>
      </c>
      <c r="OU415" s="9" t="n">
        <v>0</v>
      </c>
      <c r="OW415" s="9" t="n">
        <v>0</v>
      </c>
      <c r="OX415" s="9" t="n">
        <v>1482</v>
      </c>
      <c r="PB415" s="10" t="n">
        <v>46376</v>
      </c>
      <c r="PD415" s="9" t="n">
        <v>0</v>
      </c>
      <c r="PF415" s="9" t="n">
        <v>0</v>
      </c>
      <c r="PG415" s="9" t="n">
        <v>0</v>
      </c>
      <c r="PK415" s="10" t="n">
        <v>46376</v>
      </c>
      <c r="PM415" s="9" t="n">
        <v>0</v>
      </c>
      <c r="PO415" s="9" t="n">
        <v>0</v>
      </c>
      <c r="PP415" s="9" t="n">
        <v>100</v>
      </c>
      <c r="PT415" s="10" t="n">
        <v>46376</v>
      </c>
      <c r="PV415" s="9" t="n">
        <v>0</v>
      </c>
      <c r="PX415" s="9" t="n">
        <v>0</v>
      </c>
      <c r="PY415" s="9" t="n">
        <v>13.96000000000004</v>
      </c>
      <c r="QC415" s="10" t="n">
        <v>46376</v>
      </c>
      <c r="QE415" s="9" t="n">
        <v>0</v>
      </c>
      <c r="QG415" s="9" t="n">
        <v>0</v>
      </c>
      <c r="QH415" s="9" t="n">
        <v>548</v>
      </c>
      <c r="QL415" s="10" t="n">
        <v>46376</v>
      </c>
      <c r="QN415" s="9" t="n">
        <v>0</v>
      </c>
      <c r="QP415" s="9" t="n">
        <v>0</v>
      </c>
      <c r="QQ415" s="9" t="n">
        <v>0</v>
      </c>
      <c r="QU415" s="10" t="n">
        <v>46376</v>
      </c>
      <c r="QW415" s="9" t="n">
        <v>0</v>
      </c>
      <c r="QY415" s="9" t="n">
        <v>0</v>
      </c>
      <c r="QZ415" s="9" t="n">
        <v>0</v>
      </c>
      <c r="RD415" s="10" t="n">
        <v>46376</v>
      </c>
      <c r="RF415" s="9" t="n">
        <v>0</v>
      </c>
      <c r="RH415" s="9" t="n">
        <v>0</v>
      </c>
      <c r="RI415" s="9" t="n">
        <v>147.04</v>
      </c>
      <c r="RM415" s="10" t="n">
        <v>46376</v>
      </c>
      <c r="RO415" s="9" t="n">
        <v>0</v>
      </c>
      <c r="RQ415" s="9" t="n">
        <v>0</v>
      </c>
      <c r="RR415" s="9" t="n">
        <v>46.8</v>
      </c>
      <c r="RV415" s="10" t="n">
        <v>46376</v>
      </c>
      <c r="RX415" s="9" t="n">
        <v>0</v>
      </c>
      <c r="RZ415" s="9" t="n">
        <v>0</v>
      </c>
      <c r="SA415" s="9" t="n">
        <v>0</v>
      </c>
      <c r="SE415" s="10" t="n">
        <v>46376</v>
      </c>
      <c r="SG415" s="9" t="n">
        <v>0</v>
      </c>
      <c r="SI415" s="9" t="n">
        <v>0</v>
      </c>
      <c r="SJ415" s="9" t="n">
        <v>24.2</v>
      </c>
      <c r="SN415" s="10" t="n">
        <v>46376</v>
      </c>
      <c r="SP415" s="9" t="n">
        <v>0</v>
      </c>
      <c r="SR415" s="9" t="n">
        <v>0</v>
      </c>
      <c r="SS415" s="9" t="n">
        <v>32</v>
      </c>
      <c r="SW415" s="10" t="n">
        <v>46376</v>
      </c>
      <c r="SY415" s="9" t="n">
        <v>0</v>
      </c>
      <c r="TA415" s="9" t="n">
        <v>0</v>
      </c>
      <c r="TB415" s="9" t="n">
        <v>0</v>
      </c>
      <c r="TF415" s="10" t="n">
        <v>46376</v>
      </c>
      <c r="TH415" s="9" t="n">
        <v>0</v>
      </c>
      <c r="TJ415" s="9" t="n">
        <v>0</v>
      </c>
      <c r="TK415" s="9" t="n">
        <v>0</v>
      </c>
      <c r="TO415" s="10" t="n">
        <v>46376</v>
      </c>
      <c r="TQ415" s="9" t="n">
        <v>0</v>
      </c>
      <c r="TS415" s="9" t="n">
        <v>0</v>
      </c>
      <c r="TT415" s="9" t="n">
        <v>0</v>
      </c>
      <c r="TX415" s="10" t="n">
        <v>46376</v>
      </c>
      <c r="TZ415" s="9" t="n">
        <v>0</v>
      </c>
      <c r="UB415" s="9" t="n">
        <v>0</v>
      </c>
      <c r="UC415" s="9" t="n">
        <v>46.79999999999998</v>
      </c>
      <c r="UG415" s="10" t="n">
        <v>46376</v>
      </c>
      <c r="UI415" s="9" t="n">
        <v>0</v>
      </c>
      <c r="UK415" s="9" t="n">
        <v>0</v>
      </c>
      <c r="UL415" s="9" t="n">
        <v>204</v>
      </c>
      <c r="UP415" s="10" t="n">
        <v>46376</v>
      </c>
      <c r="UR415" s="9" t="n">
        <v>0</v>
      </c>
      <c r="UT415" s="9" t="n">
        <v>0</v>
      </c>
      <c r="UU415" s="9" t="n">
        <v>202.5</v>
      </c>
      <c r="UY415" s="10" t="n">
        <v>46376</v>
      </c>
      <c r="VA415" s="9" t="n">
        <v>0</v>
      </c>
      <c r="VC415" s="9" t="n">
        <v>0</v>
      </c>
      <c r="VD415" s="9" t="n">
        <v>41.60000000000002</v>
      </c>
      <c r="VH415" s="10" t="n">
        <v>46376</v>
      </c>
      <c r="VJ415" s="9" t="n">
        <v>0</v>
      </c>
      <c r="VL415" s="9" t="n">
        <v>0</v>
      </c>
      <c r="VM415" s="9" t="n">
        <v>210</v>
      </c>
      <c r="VQ415" s="10" t="n">
        <v>46376</v>
      </c>
      <c r="VS415" s="9" t="n">
        <v>0</v>
      </c>
      <c r="VU415" s="9" t="n">
        <v>0</v>
      </c>
      <c r="VV415" s="9" t="n">
        <v>0</v>
      </c>
      <c r="VZ415" s="10" t="n">
        <v>46376</v>
      </c>
      <c r="WB415" s="9" t="n">
        <v>0</v>
      </c>
      <c r="WD415" s="9" t="n">
        <v>0</v>
      </c>
      <c r="WE415" s="9" t="n">
        <v>0</v>
      </c>
      <c r="WI415" s="10" t="n">
        <v>46376</v>
      </c>
      <c r="WK415" s="9" t="n">
        <v>0</v>
      </c>
      <c r="WM415" s="9" t="n">
        <v>0</v>
      </c>
      <c r="WN415" s="9" t="n">
        <v>1057</v>
      </c>
      <c r="WR415" s="10" t="n">
        <v>46376</v>
      </c>
      <c r="WT415" s="9" t="n">
        <v>0</v>
      </c>
      <c r="WV415" s="9" t="n">
        <v>0</v>
      </c>
      <c r="WW415" s="9" t="n">
        <v>0</v>
      </c>
      <c r="XA415" s="10" t="n">
        <v>46376</v>
      </c>
      <c r="XC415" s="9" t="n">
        <v>0</v>
      </c>
      <c r="XE415" s="9" t="n">
        <v>0</v>
      </c>
      <c r="XF415" s="9" t="n">
        <v>7507</v>
      </c>
      <c r="XJ415" s="10" t="n">
        <v>46376</v>
      </c>
      <c r="XL415" s="9" t="n">
        <v>0</v>
      </c>
      <c r="XN415" s="9" t="n">
        <v>0</v>
      </c>
      <c r="XO415" s="9" t="n">
        <v>4252</v>
      </c>
      <c r="XS415" s="10" t="n">
        <v>46376</v>
      </c>
      <c r="XU415" s="9" t="n">
        <v>0</v>
      </c>
      <c r="XW415" s="9" t="n">
        <v>0</v>
      </c>
      <c r="XX415" s="9" t="n">
        <v>2179</v>
      </c>
      <c r="YB415" s="10" t="n">
        <v>46376</v>
      </c>
      <c r="YD415" s="9" t="n">
        <v>0</v>
      </c>
      <c r="YF415" s="9" t="n">
        <v>0</v>
      </c>
      <c r="YG415" s="9" t="n">
        <v>4019</v>
      </c>
      <c r="YK415" s="10" t="n">
        <v>46376</v>
      </c>
      <c r="YM415" s="9" t="n">
        <v>0</v>
      </c>
      <c r="YO415" s="9" t="n">
        <v>0</v>
      </c>
      <c r="YP415" s="9" t="n">
        <v>-218</v>
      </c>
      <c r="YT415" s="10" t="n">
        <v>46376</v>
      </c>
      <c r="YV415" s="9" t="n">
        <v>0</v>
      </c>
      <c r="YX415" s="9" t="n">
        <v>0</v>
      </c>
      <c r="YY415" s="9" t="n">
        <v>0</v>
      </c>
      <c r="ZC415" s="10" t="n">
        <v>46376</v>
      </c>
      <c r="ZE415" s="9" t="n">
        <v>0</v>
      </c>
      <c r="ZG415" s="9" t="n">
        <v>0</v>
      </c>
      <c r="ZH415" s="9" t="n">
        <v>0</v>
      </c>
      <c r="ZL415" s="10" t="n">
        <v>46376</v>
      </c>
      <c r="ZN415" s="9" t="n">
        <v>0</v>
      </c>
      <c r="ZP415" s="9" t="n">
        <v>0</v>
      </c>
      <c r="ZQ415" s="9" t="n">
        <v>0</v>
      </c>
      <c r="ZU415" s="10" t="n">
        <v>46376</v>
      </c>
      <c r="ZW415" s="9" t="n">
        <v>0</v>
      </c>
      <c r="ZY415" s="9" t="n">
        <v>0</v>
      </c>
      <c r="ZZ415" s="9" t="n">
        <v>0</v>
      </c>
      <c r="AAD415" s="10" t="n">
        <v>46376</v>
      </c>
      <c r="AAF415" s="9" t="n">
        <v>0</v>
      </c>
      <c r="AAH415" s="9" t="n">
        <v>0</v>
      </c>
      <c r="AAI415" s="9" t="n">
        <v>0</v>
      </c>
      <c r="AAM415" s="10" t="n">
        <v>46376</v>
      </c>
      <c r="AAO415" s="9" t="n">
        <v>0</v>
      </c>
      <c r="AAQ415" s="9" t="n">
        <v>0</v>
      </c>
      <c r="AAR415" s="9" t="n">
        <v>0</v>
      </c>
      <c r="AAV415" s="10" t="n">
        <v>46376</v>
      </c>
      <c r="AAX415" s="9" t="n">
        <v>0</v>
      </c>
      <c r="AAZ415" s="9" t="n">
        <v>0</v>
      </c>
      <c r="ABA415" s="9" t="n">
        <v>0</v>
      </c>
      <c r="ABE415" s="10" t="n">
        <v>46376</v>
      </c>
      <c r="ABG415" s="9" t="n">
        <v>0</v>
      </c>
      <c r="ABI415" s="9" t="n">
        <v>0</v>
      </c>
      <c r="ABJ415" s="9" t="n">
        <v>0</v>
      </c>
    </row>
    <row r="416">
      <c r="C416" s="10" t="n">
        <v>46377</v>
      </c>
      <c r="E416" s="9" t="n">
        <v>0</v>
      </c>
      <c r="G416" s="9" t="n">
        <v>0</v>
      </c>
      <c r="H416" s="9" t="n">
        <v>236936.6</v>
      </c>
      <c r="L416" s="10" t="n">
        <v>46377</v>
      </c>
      <c r="N416" s="9" t="n">
        <v>0</v>
      </c>
      <c r="P416" s="9" t="n">
        <v>0</v>
      </c>
      <c r="Q416" s="9" t="n">
        <v>53017.60000000007</v>
      </c>
      <c r="U416" s="10" t="n">
        <v>46377</v>
      </c>
      <c r="W416" s="9" t="n">
        <v>0</v>
      </c>
      <c r="Y416" s="9" t="n">
        <v>0</v>
      </c>
      <c r="Z416" s="9" t="n">
        <v>42674.19999999997</v>
      </c>
      <c r="AD416" s="10" t="n">
        <v>46377</v>
      </c>
      <c r="AF416" s="9" t="n">
        <v>0</v>
      </c>
      <c r="AH416" s="9" t="n">
        <v>0</v>
      </c>
      <c r="AI416" s="9" t="n">
        <v>4522.200000000019</v>
      </c>
      <c r="AM416" s="10" t="n">
        <v>46377</v>
      </c>
      <c r="AO416" s="9" t="n">
        <v>0</v>
      </c>
      <c r="AQ416" s="9" t="n">
        <v>0</v>
      </c>
      <c r="AR416" s="9" t="n">
        <v>0</v>
      </c>
      <c r="AV416" s="10" t="n">
        <v>46377</v>
      </c>
      <c r="AX416" s="9" t="n">
        <v>0</v>
      </c>
      <c r="AZ416" s="9" t="n">
        <v>0</v>
      </c>
      <c r="BA416" s="9" t="n">
        <v>124.9999999999952</v>
      </c>
      <c r="BE416" s="10" t="n">
        <v>46377</v>
      </c>
      <c r="BG416" s="9" t="n">
        <v>0</v>
      </c>
      <c r="BI416" s="9" t="n">
        <v>0</v>
      </c>
      <c r="BJ416" s="9" t="n">
        <v>26151.9</v>
      </c>
      <c r="BN416" s="10" t="n">
        <v>46377</v>
      </c>
      <c r="BP416" s="9" t="n">
        <v>0</v>
      </c>
      <c r="BR416" s="9" t="n">
        <v>0</v>
      </c>
      <c r="BS416" s="9" t="n">
        <v>0</v>
      </c>
      <c r="BW416" s="10" t="n">
        <v>46377</v>
      </c>
      <c r="BY416" s="9" t="n">
        <v>0</v>
      </c>
      <c r="CA416" s="9" t="n">
        <v>0</v>
      </c>
      <c r="CB416" s="9" t="n">
        <v>2097.339999999999</v>
      </c>
      <c r="CF416" s="10" t="n">
        <v>46377</v>
      </c>
      <c r="CH416" s="9" t="n">
        <v>0</v>
      </c>
      <c r="CJ416" s="9" t="n">
        <v>0</v>
      </c>
      <c r="CK416" s="9" t="n">
        <v>-10277.08</v>
      </c>
      <c r="CO416" s="10" t="n">
        <v>46377</v>
      </c>
      <c r="CQ416" s="9" t="n">
        <v>0</v>
      </c>
      <c r="CS416" s="9" t="n">
        <v>0</v>
      </c>
      <c r="CT416" s="9" t="n">
        <v>0</v>
      </c>
      <c r="CX416" s="10" t="n">
        <v>46377</v>
      </c>
      <c r="CZ416" s="9" t="n">
        <v>0</v>
      </c>
      <c r="DB416" s="9" t="n">
        <v>0</v>
      </c>
      <c r="DC416" s="9" t="n">
        <v>27438.20000000001</v>
      </c>
      <c r="DG416" s="10" t="n">
        <v>46377</v>
      </c>
      <c r="DI416" s="9" t="n">
        <v>0</v>
      </c>
      <c r="DK416" s="9" t="n">
        <v>0</v>
      </c>
      <c r="DL416" s="9" t="n">
        <v>18782.29999999998</v>
      </c>
      <c r="DP416" s="10" t="n">
        <v>46377</v>
      </c>
      <c r="DR416" s="9" t="n">
        <v>0</v>
      </c>
      <c r="DT416" s="9" t="n">
        <v>0</v>
      </c>
      <c r="DU416" s="9" t="n">
        <v>5800</v>
      </c>
      <c r="DY416" s="10" t="n">
        <v>46377</v>
      </c>
      <c r="EA416" s="9" t="n">
        <v>0</v>
      </c>
      <c r="EC416" s="9" t="n">
        <v>0</v>
      </c>
      <c r="ED416" s="9" t="n">
        <v>0</v>
      </c>
      <c r="EH416" s="10" t="n">
        <v>46377</v>
      </c>
      <c r="EJ416" s="9" t="n">
        <v>0</v>
      </c>
      <c r="EL416" s="9" t="n">
        <v>0</v>
      </c>
      <c r="EM416" s="9" t="n">
        <v>0</v>
      </c>
      <c r="EQ416" s="10" t="n">
        <v>46377</v>
      </c>
      <c r="ES416" s="9" t="n">
        <v>0</v>
      </c>
      <c r="EU416" s="9" t="n">
        <v>0</v>
      </c>
      <c r="EV416" s="9" t="n">
        <v>0</v>
      </c>
      <c r="EZ416" s="10" t="n">
        <v>46377</v>
      </c>
      <c r="FB416" s="9" t="n">
        <v>0</v>
      </c>
      <c r="FD416" s="9" t="n">
        <v>0</v>
      </c>
      <c r="FE416" s="9" t="n">
        <v>0</v>
      </c>
      <c r="FI416" s="10" t="n">
        <v>46377</v>
      </c>
      <c r="FK416" s="9" t="n">
        <v>0</v>
      </c>
      <c r="FM416" s="9" t="n">
        <v>0</v>
      </c>
      <c r="FN416" s="9" t="n">
        <v>0</v>
      </c>
      <c r="FR416" s="10" t="n">
        <v>46377</v>
      </c>
      <c r="FT416" s="9" t="n">
        <v>0</v>
      </c>
      <c r="FV416" s="9" t="n">
        <v>0</v>
      </c>
      <c r="FW416" s="9" t="n">
        <v>2020</v>
      </c>
      <c r="GA416" s="10" t="n">
        <v>46377</v>
      </c>
      <c r="GC416" s="9" t="n">
        <v>0</v>
      </c>
      <c r="GE416" s="9" t="n">
        <v>0</v>
      </c>
      <c r="GF416" s="9" t="n">
        <v>960</v>
      </c>
      <c r="GJ416" s="10" t="n">
        <v>46377</v>
      </c>
      <c r="GL416" s="9" t="n">
        <v>0</v>
      </c>
      <c r="GN416" s="9" t="n">
        <v>0</v>
      </c>
      <c r="GO416" s="9" t="n">
        <v>1760</v>
      </c>
      <c r="GS416" s="10" t="n">
        <v>46377</v>
      </c>
      <c r="GU416" s="9" t="n">
        <v>0</v>
      </c>
      <c r="GW416" s="9" t="n">
        <v>0</v>
      </c>
      <c r="GX416" s="9" t="n">
        <v>400</v>
      </c>
      <c r="HB416" s="10" t="n">
        <v>46377</v>
      </c>
      <c r="HD416" s="9" t="n">
        <v>0</v>
      </c>
      <c r="HF416" s="9" t="n">
        <v>0</v>
      </c>
      <c r="HG416" s="9" t="n">
        <v>3600</v>
      </c>
      <c r="HK416" s="10" t="n">
        <v>46377</v>
      </c>
      <c r="HM416" s="9" t="n">
        <v>0</v>
      </c>
      <c r="HO416" s="9" t="n">
        <v>0</v>
      </c>
      <c r="HP416" s="9" t="n">
        <v>0</v>
      </c>
      <c r="HU416" s="10" t="n">
        <v>46377</v>
      </c>
      <c r="HW416" s="9" t="n">
        <v>0</v>
      </c>
      <c r="HY416" s="9" t="n">
        <v>0</v>
      </c>
      <c r="HZ416" s="9" t="n">
        <v>6120</v>
      </c>
      <c r="ID416" s="10" t="n">
        <v>46377</v>
      </c>
      <c r="IF416" s="9" t="n">
        <v>0</v>
      </c>
      <c r="IH416" s="9" t="n">
        <v>0</v>
      </c>
      <c r="II416" s="9" t="n">
        <v>0</v>
      </c>
      <c r="IM416" s="10" t="n">
        <v>46377</v>
      </c>
      <c r="IO416" s="9" t="n">
        <v>0</v>
      </c>
      <c r="IQ416" s="9" t="n">
        <v>0</v>
      </c>
      <c r="IR416" s="9" t="n">
        <v>0</v>
      </c>
      <c r="IV416" s="10" t="n">
        <v>46377</v>
      </c>
      <c r="IX416" s="9" t="n">
        <v>0</v>
      </c>
      <c r="IZ416" s="9" t="n">
        <v>0</v>
      </c>
      <c r="JA416" s="9" t="n">
        <v>2820</v>
      </c>
      <c r="JE416" s="10" t="n">
        <v>46377</v>
      </c>
      <c r="JG416" s="9" t="n">
        <v>0</v>
      </c>
      <c r="JI416" s="9" t="n">
        <v>0</v>
      </c>
      <c r="JJ416" s="9" t="n">
        <v>0</v>
      </c>
      <c r="JN416" s="10" t="n">
        <v>46377</v>
      </c>
      <c r="JP416" s="9" t="n">
        <v>0</v>
      </c>
      <c r="JR416" s="9" t="n">
        <v>0</v>
      </c>
      <c r="JS416" s="9" t="n">
        <v>0</v>
      </c>
      <c r="JW416" s="10" t="n">
        <v>46377</v>
      </c>
      <c r="JY416" s="9" t="n">
        <v>0</v>
      </c>
      <c r="KA416" s="9" t="n">
        <v>0</v>
      </c>
      <c r="KB416" s="9" t="n">
        <v>2540</v>
      </c>
      <c r="KF416" s="10" t="n">
        <v>46377</v>
      </c>
      <c r="KH416" s="9" t="n">
        <v>0</v>
      </c>
      <c r="KJ416" s="9" t="n">
        <v>0</v>
      </c>
      <c r="KK416" s="9" t="n">
        <v>2359.5</v>
      </c>
      <c r="KO416" s="10" t="n">
        <v>46377</v>
      </c>
      <c r="KQ416" s="9" t="n">
        <v>0</v>
      </c>
      <c r="KS416" s="9" t="n">
        <v>0</v>
      </c>
      <c r="KT416" s="9" t="n">
        <v>1890</v>
      </c>
      <c r="KX416" s="10" t="n">
        <v>46377</v>
      </c>
      <c r="KZ416" s="9" t="n">
        <v>0</v>
      </c>
      <c r="LB416" s="9" t="n">
        <v>0</v>
      </c>
      <c r="LC416" s="9" t="n">
        <v>3690</v>
      </c>
      <c r="LG416" s="10" t="n">
        <v>46377</v>
      </c>
      <c r="LI416" s="9" t="n">
        <v>0</v>
      </c>
      <c r="LK416" s="9" t="n">
        <v>0</v>
      </c>
      <c r="LL416" s="9" t="n">
        <v>4000</v>
      </c>
      <c r="LP416" s="10" t="n">
        <v>46377</v>
      </c>
      <c r="LR416" s="9" t="n">
        <v>0</v>
      </c>
      <c r="LT416" s="9" t="n">
        <v>0</v>
      </c>
      <c r="LU416" s="9" t="n">
        <v>0</v>
      </c>
      <c r="LY416" s="10" t="n">
        <v>46377</v>
      </c>
      <c r="MA416" s="9" t="n">
        <v>0</v>
      </c>
      <c r="MC416" s="9" t="n">
        <v>0</v>
      </c>
      <c r="MD416" s="9" t="n">
        <v>0</v>
      </c>
      <c r="MH416" s="10" t="n">
        <v>46377</v>
      </c>
      <c r="MJ416" s="9" t="n">
        <v>0</v>
      </c>
      <c r="ML416" s="9" t="n">
        <v>0</v>
      </c>
      <c r="MM416" s="9" t="n">
        <v>-18</v>
      </c>
      <c r="MQ416" s="10" t="n">
        <v>46377</v>
      </c>
      <c r="MS416" s="9" t="n">
        <v>0</v>
      </c>
      <c r="MU416" s="9" t="n">
        <v>0</v>
      </c>
      <c r="MV416" s="9" t="n">
        <v>1559</v>
      </c>
      <c r="MZ416" s="10" t="n">
        <v>46377</v>
      </c>
      <c r="NB416" s="9" t="n">
        <v>0</v>
      </c>
      <c r="ND416" s="9" t="n">
        <v>0</v>
      </c>
      <c r="NE416" s="9" t="n">
        <v>0</v>
      </c>
      <c r="NI416" s="10" t="n">
        <v>46377</v>
      </c>
      <c r="NK416" s="9" t="n">
        <v>0</v>
      </c>
      <c r="NM416" s="9" t="n">
        <v>0</v>
      </c>
      <c r="NN416" s="9" t="n">
        <v>1127</v>
      </c>
      <c r="NR416" s="10" t="n">
        <v>46377</v>
      </c>
      <c r="NT416" s="9" t="n">
        <v>0</v>
      </c>
      <c r="NV416" s="9" t="n">
        <v>0</v>
      </c>
      <c r="NW416" s="9" t="n">
        <v>3112</v>
      </c>
      <c r="OA416" s="10" t="n">
        <v>46377</v>
      </c>
      <c r="OC416" s="9" t="n">
        <v>0</v>
      </c>
      <c r="OE416" s="9" t="n">
        <v>0</v>
      </c>
      <c r="OF416" s="9" t="n">
        <v>1680.5</v>
      </c>
      <c r="OJ416" s="10" t="n">
        <v>46377</v>
      </c>
      <c r="OL416" s="9" t="n">
        <v>0</v>
      </c>
      <c r="ON416" s="9" t="n">
        <v>0</v>
      </c>
      <c r="OO416" s="9" t="n">
        <v>0</v>
      </c>
      <c r="OS416" s="10" t="n">
        <v>46377</v>
      </c>
      <c r="OU416" s="9" t="n">
        <v>0</v>
      </c>
      <c r="OW416" s="9" t="n">
        <v>0</v>
      </c>
      <c r="OX416" s="9" t="n">
        <v>1482</v>
      </c>
      <c r="PB416" s="10" t="n">
        <v>46377</v>
      </c>
      <c r="PD416" s="9" t="n">
        <v>0</v>
      </c>
      <c r="PF416" s="9" t="n">
        <v>0</v>
      </c>
      <c r="PG416" s="9" t="n">
        <v>0</v>
      </c>
      <c r="PK416" s="10" t="n">
        <v>46377</v>
      </c>
      <c r="PM416" s="9" t="n">
        <v>0</v>
      </c>
      <c r="PO416" s="9" t="n">
        <v>0</v>
      </c>
      <c r="PP416" s="9" t="n">
        <v>100</v>
      </c>
      <c r="PT416" s="10" t="n">
        <v>46377</v>
      </c>
      <c r="PV416" s="9" t="n">
        <v>0</v>
      </c>
      <c r="PX416" s="9" t="n">
        <v>0</v>
      </c>
      <c r="PY416" s="9" t="n">
        <v>13.96000000000004</v>
      </c>
      <c r="QC416" s="10" t="n">
        <v>46377</v>
      </c>
      <c r="QE416" s="9" t="n">
        <v>0</v>
      </c>
      <c r="QG416" s="9" t="n">
        <v>0</v>
      </c>
      <c r="QH416" s="9" t="n">
        <v>548</v>
      </c>
      <c r="QL416" s="10" t="n">
        <v>46377</v>
      </c>
      <c r="QN416" s="9" t="n">
        <v>0</v>
      </c>
      <c r="QP416" s="9" t="n">
        <v>0</v>
      </c>
      <c r="QQ416" s="9" t="n">
        <v>0</v>
      </c>
      <c r="QU416" s="10" t="n">
        <v>46377</v>
      </c>
      <c r="QW416" s="9" t="n">
        <v>0</v>
      </c>
      <c r="QY416" s="9" t="n">
        <v>0</v>
      </c>
      <c r="QZ416" s="9" t="n">
        <v>0</v>
      </c>
      <c r="RD416" s="10" t="n">
        <v>46377</v>
      </c>
      <c r="RF416" s="9" t="n">
        <v>0</v>
      </c>
      <c r="RH416" s="9" t="n">
        <v>0</v>
      </c>
      <c r="RI416" s="9" t="n">
        <v>147.04</v>
      </c>
      <c r="RM416" s="10" t="n">
        <v>46377</v>
      </c>
      <c r="RO416" s="9" t="n">
        <v>0</v>
      </c>
      <c r="RQ416" s="9" t="n">
        <v>0</v>
      </c>
      <c r="RR416" s="9" t="n">
        <v>46.8</v>
      </c>
      <c r="RV416" s="10" t="n">
        <v>46377</v>
      </c>
      <c r="RX416" s="9" t="n">
        <v>0</v>
      </c>
      <c r="RZ416" s="9" t="n">
        <v>0</v>
      </c>
      <c r="SA416" s="9" t="n">
        <v>0</v>
      </c>
      <c r="SE416" s="10" t="n">
        <v>46377</v>
      </c>
      <c r="SG416" s="9" t="n">
        <v>0</v>
      </c>
      <c r="SI416" s="9" t="n">
        <v>0</v>
      </c>
      <c r="SJ416" s="9" t="n">
        <v>24.2</v>
      </c>
      <c r="SN416" s="10" t="n">
        <v>46377</v>
      </c>
      <c r="SP416" s="9" t="n">
        <v>0</v>
      </c>
      <c r="SR416" s="9" t="n">
        <v>0</v>
      </c>
      <c r="SS416" s="9" t="n">
        <v>32</v>
      </c>
      <c r="SW416" s="10" t="n">
        <v>46377</v>
      </c>
      <c r="SY416" s="9" t="n">
        <v>0</v>
      </c>
      <c r="TA416" s="9" t="n">
        <v>0</v>
      </c>
      <c r="TB416" s="9" t="n">
        <v>0</v>
      </c>
      <c r="TF416" s="10" t="n">
        <v>46377</v>
      </c>
      <c r="TH416" s="9" t="n">
        <v>0</v>
      </c>
      <c r="TJ416" s="9" t="n">
        <v>0</v>
      </c>
      <c r="TK416" s="9" t="n">
        <v>0</v>
      </c>
      <c r="TO416" s="10" t="n">
        <v>46377</v>
      </c>
      <c r="TQ416" s="9" t="n">
        <v>0</v>
      </c>
      <c r="TS416" s="9" t="n">
        <v>0</v>
      </c>
      <c r="TT416" s="9" t="n">
        <v>0</v>
      </c>
      <c r="TX416" s="10" t="n">
        <v>46377</v>
      </c>
      <c r="TZ416" s="9" t="n">
        <v>0</v>
      </c>
      <c r="UB416" s="9" t="n">
        <v>0</v>
      </c>
      <c r="UC416" s="9" t="n">
        <v>46.79999999999998</v>
      </c>
      <c r="UG416" s="10" t="n">
        <v>46377</v>
      </c>
      <c r="UI416" s="9" t="n">
        <v>0</v>
      </c>
      <c r="UK416" s="9" t="n">
        <v>0</v>
      </c>
      <c r="UL416" s="9" t="n">
        <v>204</v>
      </c>
      <c r="UP416" s="10" t="n">
        <v>46377</v>
      </c>
      <c r="UR416" s="9" t="n">
        <v>0</v>
      </c>
      <c r="UT416" s="9" t="n">
        <v>0</v>
      </c>
      <c r="UU416" s="9" t="n">
        <v>202.5</v>
      </c>
      <c r="UY416" s="10" t="n">
        <v>46377</v>
      </c>
      <c r="VA416" s="9" t="n">
        <v>0</v>
      </c>
      <c r="VC416" s="9" t="n">
        <v>0</v>
      </c>
      <c r="VD416" s="9" t="n">
        <v>41.60000000000002</v>
      </c>
      <c r="VH416" s="10" t="n">
        <v>46377</v>
      </c>
      <c r="VJ416" s="9" t="n">
        <v>0</v>
      </c>
      <c r="VL416" s="9" t="n">
        <v>0</v>
      </c>
      <c r="VM416" s="9" t="n">
        <v>210</v>
      </c>
      <c r="VQ416" s="10" t="n">
        <v>46377</v>
      </c>
      <c r="VS416" s="9" t="n">
        <v>0</v>
      </c>
      <c r="VU416" s="9" t="n">
        <v>0</v>
      </c>
      <c r="VV416" s="9" t="n">
        <v>0</v>
      </c>
      <c r="VZ416" s="10" t="n">
        <v>46377</v>
      </c>
      <c r="WB416" s="9" t="n">
        <v>0</v>
      </c>
      <c r="WD416" s="9" t="n">
        <v>0</v>
      </c>
      <c r="WE416" s="9" t="n">
        <v>0</v>
      </c>
      <c r="WI416" s="10" t="n">
        <v>46377</v>
      </c>
      <c r="WK416" s="9" t="n">
        <v>0</v>
      </c>
      <c r="WM416" s="9" t="n">
        <v>0</v>
      </c>
      <c r="WN416" s="9" t="n">
        <v>1057</v>
      </c>
      <c r="WR416" s="10" t="n">
        <v>46377</v>
      </c>
      <c r="WT416" s="9" t="n">
        <v>0</v>
      </c>
      <c r="WV416" s="9" t="n">
        <v>0</v>
      </c>
      <c r="WW416" s="9" t="n">
        <v>0</v>
      </c>
      <c r="XA416" s="10" t="n">
        <v>46377</v>
      </c>
      <c r="XC416" s="9" t="n">
        <v>0</v>
      </c>
      <c r="XE416" s="9" t="n">
        <v>0</v>
      </c>
      <c r="XF416" s="9" t="n">
        <v>7507</v>
      </c>
      <c r="XJ416" s="10" t="n">
        <v>46377</v>
      </c>
      <c r="XL416" s="9" t="n">
        <v>0</v>
      </c>
      <c r="XN416" s="9" t="n">
        <v>0</v>
      </c>
      <c r="XO416" s="9" t="n">
        <v>4252</v>
      </c>
      <c r="XS416" s="10" t="n">
        <v>46377</v>
      </c>
      <c r="XU416" s="9" t="n">
        <v>0</v>
      </c>
      <c r="XW416" s="9" t="n">
        <v>0</v>
      </c>
      <c r="XX416" s="9" t="n">
        <v>2179</v>
      </c>
      <c r="YB416" s="10" t="n">
        <v>46377</v>
      </c>
      <c r="YD416" s="9" t="n">
        <v>0</v>
      </c>
      <c r="YF416" s="9" t="n">
        <v>0</v>
      </c>
      <c r="YG416" s="9" t="n">
        <v>4019</v>
      </c>
      <c r="YK416" s="10" t="n">
        <v>46377</v>
      </c>
      <c r="YM416" s="9" t="n">
        <v>0</v>
      </c>
      <c r="YO416" s="9" t="n">
        <v>0</v>
      </c>
      <c r="YP416" s="9" t="n">
        <v>-218</v>
      </c>
      <c r="YT416" s="10" t="n">
        <v>46377</v>
      </c>
      <c r="YV416" s="9" t="n">
        <v>0</v>
      </c>
      <c r="YX416" s="9" t="n">
        <v>0</v>
      </c>
      <c r="YY416" s="9" t="n">
        <v>0</v>
      </c>
      <c r="ZC416" s="10" t="n">
        <v>46377</v>
      </c>
      <c r="ZE416" s="9" t="n">
        <v>0</v>
      </c>
      <c r="ZG416" s="9" t="n">
        <v>0</v>
      </c>
      <c r="ZH416" s="9" t="n">
        <v>0</v>
      </c>
      <c r="ZL416" s="10" t="n">
        <v>46377</v>
      </c>
      <c r="ZN416" s="9" t="n">
        <v>0</v>
      </c>
      <c r="ZP416" s="9" t="n">
        <v>0</v>
      </c>
      <c r="ZQ416" s="9" t="n">
        <v>0</v>
      </c>
      <c r="ZU416" s="10" t="n">
        <v>46377</v>
      </c>
      <c r="ZW416" s="9" t="n">
        <v>0</v>
      </c>
      <c r="ZY416" s="9" t="n">
        <v>0</v>
      </c>
      <c r="ZZ416" s="9" t="n">
        <v>0</v>
      </c>
      <c r="AAD416" s="10" t="n">
        <v>46377</v>
      </c>
      <c r="AAF416" s="9" t="n">
        <v>0</v>
      </c>
      <c r="AAH416" s="9" t="n">
        <v>0</v>
      </c>
      <c r="AAI416" s="9" t="n">
        <v>0</v>
      </c>
      <c r="AAM416" s="10" t="n">
        <v>46377</v>
      </c>
      <c r="AAO416" s="9" t="n">
        <v>0</v>
      </c>
      <c r="AAQ416" s="9" t="n">
        <v>0</v>
      </c>
      <c r="AAR416" s="9" t="n">
        <v>0</v>
      </c>
      <c r="AAV416" s="10" t="n">
        <v>46377</v>
      </c>
      <c r="AAX416" s="9" t="n">
        <v>0</v>
      </c>
      <c r="AAZ416" s="9" t="n">
        <v>0</v>
      </c>
      <c r="ABA416" s="9" t="n">
        <v>0</v>
      </c>
      <c r="ABE416" s="10" t="n">
        <v>46377</v>
      </c>
      <c r="ABG416" s="9" t="n">
        <v>0</v>
      </c>
      <c r="ABI416" s="9" t="n">
        <v>0</v>
      </c>
      <c r="ABJ416" s="9" t="n">
        <v>0</v>
      </c>
    </row>
    <row r="417">
      <c r="C417" s="10" t="n">
        <v>46378</v>
      </c>
      <c r="E417" s="9" t="n">
        <v>0</v>
      </c>
      <c r="G417" s="9" t="n">
        <v>0</v>
      </c>
      <c r="H417" s="9" t="n">
        <v>236936.6</v>
      </c>
      <c r="L417" s="10" t="n">
        <v>46378</v>
      </c>
      <c r="N417" s="9" t="n">
        <v>0</v>
      </c>
      <c r="P417" s="9" t="n">
        <v>0</v>
      </c>
      <c r="Q417" s="9" t="n">
        <v>53017.60000000007</v>
      </c>
      <c r="U417" s="10" t="n">
        <v>46378</v>
      </c>
      <c r="W417" s="9" t="n">
        <v>0</v>
      </c>
      <c r="Y417" s="9" t="n">
        <v>0</v>
      </c>
      <c r="Z417" s="9" t="n">
        <v>42674.19999999997</v>
      </c>
      <c r="AD417" s="10" t="n">
        <v>46378</v>
      </c>
      <c r="AF417" s="9" t="n">
        <v>0</v>
      </c>
      <c r="AH417" s="9" t="n">
        <v>0</v>
      </c>
      <c r="AI417" s="9" t="n">
        <v>4522.200000000019</v>
      </c>
      <c r="AM417" s="10" t="n">
        <v>46378</v>
      </c>
      <c r="AO417" s="9" t="n">
        <v>0</v>
      </c>
      <c r="AQ417" s="9" t="n">
        <v>0</v>
      </c>
      <c r="AR417" s="9" t="n">
        <v>0</v>
      </c>
      <c r="AV417" s="10" t="n">
        <v>46378</v>
      </c>
      <c r="AX417" s="9" t="n">
        <v>0</v>
      </c>
      <c r="AZ417" s="9" t="n">
        <v>0</v>
      </c>
      <c r="BA417" s="9" t="n">
        <v>124.9999999999952</v>
      </c>
      <c r="BE417" s="10" t="n">
        <v>46378</v>
      </c>
      <c r="BG417" s="9" t="n">
        <v>0</v>
      </c>
      <c r="BI417" s="9" t="n">
        <v>0</v>
      </c>
      <c r="BJ417" s="9" t="n">
        <v>26151.9</v>
      </c>
      <c r="BN417" s="10" t="n">
        <v>46378</v>
      </c>
      <c r="BP417" s="9" t="n">
        <v>0</v>
      </c>
      <c r="BR417" s="9" t="n">
        <v>0</v>
      </c>
      <c r="BS417" s="9" t="n">
        <v>0</v>
      </c>
      <c r="BW417" s="10" t="n">
        <v>46378</v>
      </c>
      <c r="BY417" s="9" t="n">
        <v>0</v>
      </c>
      <c r="CA417" s="9" t="n">
        <v>0</v>
      </c>
      <c r="CB417" s="9" t="n">
        <v>2097.339999999999</v>
      </c>
      <c r="CF417" s="10" t="n">
        <v>46378</v>
      </c>
      <c r="CH417" s="9" t="n">
        <v>0</v>
      </c>
      <c r="CJ417" s="9" t="n">
        <v>0</v>
      </c>
      <c r="CK417" s="9" t="n">
        <v>-10277.08</v>
      </c>
      <c r="CO417" s="10" t="n">
        <v>46378</v>
      </c>
      <c r="CQ417" s="9" t="n">
        <v>0</v>
      </c>
      <c r="CS417" s="9" t="n">
        <v>0</v>
      </c>
      <c r="CT417" s="9" t="n">
        <v>0</v>
      </c>
      <c r="CX417" s="10" t="n">
        <v>46378</v>
      </c>
      <c r="CZ417" s="9" t="n">
        <v>0</v>
      </c>
      <c r="DB417" s="9" t="n">
        <v>0</v>
      </c>
      <c r="DC417" s="9" t="n">
        <v>27438.20000000001</v>
      </c>
      <c r="DG417" s="10" t="n">
        <v>46378</v>
      </c>
      <c r="DI417" s="9" t="n">
        <v>0</v>
      </c>
      <c r="DK417" s="9" t="n">
        <v>0</v>
      </c>
      <c r="DL417" s="9" t="n">
        <v>18782.29999999998</v>
      </c>
      <c r="DP417" s="10" t="n">
        <v>46378</v>
      </c>
      <c r="DR417" s="9" t="n">
        <v>0</v>
      </c>
      <c r="DT417" s="9" t="n">
        <v>0</v>
      </c>
      <c r="DU417" s="9" t="n">
        <v>5800</v>
      </c>
      <c r="DY417" s="10" t="n">
        <v>46378</v>
      </c>
      <c r="EA417" s="9" t="n">
        <v>0</v>
      </c>
      <c r="EC417" s="9" t="n">
        <v>0</v>
      </c>
      <c r="ED417" s="9" t="n">
        <v>0</v>
      </c>
      <c r="EH417" s="10" t="n">
        <v>46378</v>
      </c>
      <c r="EJ417" s="9" t="n">
        <v>0</v>
      </c>
      <c r="EL417" s="9" t="n">
        <v>0</v>
      </c>
      <c r="EM417" s="9" t="n">
        <v>0</v>
      </c>
      <c r="EQ417" s="10" t="n">
        <v>46378</v>
      </c>
      <c r="ES417" s="9" t="n">
        <v>0</v>
      </c>
      <c r="EU417" s="9" t="n">
        <v>0</v>
      </c>
      <c r="EV417" s="9" t="n">
        <v>0</v>
      </c>
      <c r="EZ417" s="10" t="n">
        <v>46378</v>
      </c>
      <c r="FB417" s="9" t="n">
        <v>0</v>
      </c>
      <c r="FD417" s="9" t="n">
        <v>0</v>
      </c>
      <c r="FE417" s="9" t="n">
        <v>0</v>
      </c>
      <c r="FI417" s="10" t="n">
        <v>46378</v>
      </c>
      <c r="FK417" s="9" t="n">
        <v>0</v>
      </c>
      <c r="FM417" s="9" t="n">
        <v>0</v>
      </c>
      <c r="FN417" s="9" t="n">
        <v>0</v>
      </c>
      <c r="FR417" s="10" t="n">
        <v>46378</v>
      </c>
      <c r="FT417" s="9" t="n">
        <v>0</v>
      </c>
      <c r="FV417" s="9" t="n">
        <v>0</v>
      </c>
      <c r="FW417" s="9" t="n">
        <v>2020</v>
      </c>
      <c r="GA417" s="10" t="n">
        <v>46378</v>
      </c>
      <c r="GC417" s="9" t="n">
        <v>0</v>
      </c>
      <c r="GE417" s="9" t="n">
        <v>0</v>
      </c>
      <c r="GF417" s="9" t="n">
        <v>960</v>
      </c>
      <c r="GJ417" s="10" t="n">
        <v>46378</v>
      </c>
      <c r="GL417" s="9" t="n">
        <v>0</v>
      </c>
      <c r="GN417" s="9" t="n">
        <v>0</v>
      </c>
      <c r="GO417" s="9" t="n">
        <v>1760</v>
      </c>
      <c r="GS417" s="10" t="n">
        <v>46378</v>
      </c>
      <c r="GU417" s="9" t="n">
        <v>0</v>
      </c>
      <c r="GW417" s="9" t="n">
        <v>0</v>
      </c>
      <c r="GX417" s="9" t="n">
        <v>400</v>
      </c>
      <c r="HB417" s="10" t="n">
        <v>46378</v>
      </c>
      <c r="HD417" s="9" t="n">
        <v>0</v>
      </c>
      <c r="HF417" s="9" t="n">
        <v>0</v>
      </c>
      <c r="HG417" s="9" t="n">
        <v>3600</v>
      </c>
      <c r="HK417" s="10" t="n">
        <v>46378</v>
      </c>
      <c r="HM417" s="9" t="n">
        <v>0</v>
      </c>
      <c r="HO417" s="9" t="n">
        <v>0</v>
      </c>
      <c r="HP417" s="9" t="n">
        <v>0</v>
      </c>
      <c r="HU417" s="10" t="n">
        <v>46378</v>
      </c>
      <c r="HW417" s="9" t="n">
        <v>0</v>
      </c>
      <c r="HY417" s="9" t="n">
        <v>0</v>
      </c>
      <c r="HZ417" s="9" t="n">
        <v>6120</v>
      </c>
      <c r="ID417" s="10" t="n">
        <v>46378</v>
      </c>
      <c r="IF417" s="9" t="n">
        <v>0</v>
      </c>
      <c r="IH417" s="9" t="n">
        <v>0</v>
      </c>
      <c r="II417" s="9" t="n">
        <v>0</v>
      </c>
      <c r="IM417" s="10" t="n">
        <v>46378</v>
      </c>
      <c r="IO417" s="9" t="n">
        <v>0</v>
      </c>
      <c r="IQ417" s="9" t="n">
        <v>0</v>
      </c>
      <c r="IR417" s="9" t="n">
        <v>0</v>
      </c>
      <c r="IV417" s="10" t="n">
        <v>46378</v>
      </c>
      <c r="IX417" s="9" t="n">
        <v>0</v>
      </c>
      <c r="IZ417" s="9" t="n">
        <v>0</v>
      </c>
      <c r="JA417" s="9" t="n">
        <v>2820</v>
      </c>
      <c r="JE417" s="10" t="n">
        <v>46378</v>
      </c>
      <c r="JG417" s="9" t="n">
        <v>0</v>
      </c>
      <c r="JI417" s="9" t="n">
        <v>0</v>
      </c>
      <c r="JJ417" s="9" t="n">
        <v>0</v>
      </c>
      <c r="JN417" s="10" t="n">
        <v>46378</v>
      </c>
      <c r="JP417" s="9" t="n">
        <v>0</v>
      </c>
      <c r="JR417" s="9" t="n">
        <v>0</v>
      </c>
      <c r="JS417" s="9" t="n">
        <v>0</v>
      </c>
      <c r="JW417" s="10" t="n">
        <v>46378</v>
      </c>
      <c r="JY417" s="9" t="n">
        <v>0</v>
      </c>
      <c r="KA417" s="9" t="n">
        <v>0</v>
      </c>
      <c r="KB417" s="9" t="n">
        <v>2540</v>
      </c>
      <c r="KF417" s="10" t="n">
        <v>46378</v>
      </c>
      <c r="KH417" s="9" t="n">
        <v>0</v>
      </c>
      <c r="KJ417" s="9" t="n">
        <v>0</v>
      </c>
      <c r="KK417" s="9" t="n">
        <v>2359.5</v>
      </c>
      <c r="KO417" s="10" t="n">
        <v>46378</v>
      </c>
      <c r="KQ417" s="9" t="n">
        <v>0</v>
      </c>
      <c r="KS417" s="9" t="n">
        <v>0</v>
      </c>
      <c r="KT417" s="9" t="n">
        <v>1890</v>
      </c>
      <c r="KX417" s="10" t="n">
        <v>46378</v>
      </c>
      <c r="KZ417" s="9" t="n">
        <v>0</v>
      </c>
      <c r="LB417" s="9" t="n">
        <v>0</v>
      </c>
      <c r="LC417" s="9" t="n">
        <v>3690</v>
      </c>
      <c r="LG417" s="10" t="n">
        <v>46378</v>
      </c>
      <c r="LI417" s="9" t="n">
        <v>0</v>
      </c>
      <c r="LK417" s="9" t="n">
        <v>0</v>
      </c>
      <c r="LL417" s="9" t="n">
        <v>4000</v>
      </c>
      <c r="LP417" s="10" t="n">
        <v>46378</v>
      </c>
      <c r="LR417" s="9" t="n">
        <v>0</v>
      </c>
      <c r="LT417" s="9" t="n">
        <v>0</v>
      </c>
      <c r="LU417" s="9" t="n">
        <v>0</v>
      </c>
      <c r="LY417" s="10" t="n">
        <v>46378</v>
      </c>
      <c r="MA417" s="9" t="n">
        <v>0</v>
      </c>
      <c r="MC417" s="9" t="n">
        <v>0</v>
      </c>
      <c r="MD417" s="9" t="n">
        <v>0</v>
      </c>
      <c r="MH417" s="10" t="n">
        <v>46378</v>
      </c>
      <c r="MJ417" s="9" t="n">
        <v>0</v>
      </c>
      <c r="ML417" s="9" t="n">
        <v>0</v>
      </c>
      <c r="MM417" s="9" t="n">
        <v>-18</v>
      </c>
      <c r="MQ417" s="10" t="n">
        <v>46378</v>
      </c>
      <c r="MS417" s="9" t="n">
        <v>0</v>
      </c>
      <c r="MU417" s="9" t="n">
        <v>0</v>
      </c>
      <c r="MV417" s="9" t="n">
        <v>1559</v>
      </c>
      <c r="MZ417" s="10" t="n">
        <v>46378</v>
      </c>
      <c r="NB417" s="9" t="n">
        <v>0</v>
      </c>
      <c r="ND417" s="9" t="n">
        <v>0</v>
      </c>
      <c r="NE417" s="9" t="n">
        <v>0</v>
      </c>
      <c r="NI417" s="10" t="n">
        <v>46378</v>
      </c>
      <c r="NK417" s="9" t="n">
        <v>0</v>
      </c>
      <c r="NM417" s="9" t="n">
        <v>0</v>
      </c>
      <c r="NN417" s="9" t="n">
        <v>1127</v>
      </c>
      <c r="NR417" s="10" t="n">
        <v>46378</v>
      </c>
      <c r="NT417" s="9" t="n">
        <v>0</v>
      </c>
      <c r="NV417" s="9" t="n">
        <v>0</v>
      </c>
      <c r="NW417" s="9" t="n">
        <v>3112</v>
      </c>
      <c r="OA417" s="10" t="n">
        <v>46378</v>
      </c>
      <c r="OC417" s="9" t="n">
        <v>0</v>
      </c>
      <c r="OE417" s="9" t="n">
        <v>0</v>
      </c>
      <c r="OF417" s="9" t="n">
        <v>1680.5</v>
      </c>
      <c r="OJ417" s="10" t="n">
        <v>46378</v>
      </c>
      <c r="OL417" s="9" t="n">
        <v>0</v>
      </c>
      <c r="ON417" s="9" t="n">
        <v>0</v>
      </c>
      <c r="OO417" s="9" t="n">
        <v>0</v>
      </c>
      <c r="OS417" s="10" t="n">
        <v>46378</v>
      </c>
      <c r="OU417" s="9" t="n">
        <v>0</v>
      </c>
      <c r="OW417" s="9" t="n">
        <v>0</v>
      </c>
      <c r="OX417" s="9" t="n">
        <v>1482</v>
      </c>
      <c r="PB417" s="10" t="n">
        <v>46378</v>
      </c>
      <c r="PD417" s="9" t="n">
        <v>0</v>
      </c>
      <c r="PF417" s="9" t="n">
        <v>0</v>
      </c>
      <c r="PG417" s="9" t="n">
        <v>0</v>
      </c>
      <c r="PK417" s="10" t="n">
        <v>46378</v>
      </c>
      <c r="PM417" s="9" t="n">
        <v>0</v>
      </c>
      <c r="PO417" s="9" t="n">
        <v>0</v>
      </c>
      <c r="PP417" s="9" t="n">
        <v>100</v>
      </c>
      <c r="PT417" s="10" t="n">
        <v>46378</v>
      </c>
      <c r="PV417" s="9" t="n">
        <v>0</v>
      </c>
      <c r="PX417" s="9" t="n">
        <v>0</v>
      </c>
      <c r="PY417" s="9" t="n">
        <v>13.96000000000004</v>
      </c>
      <c r="QC417" s="10" t="n">
        <v>46378</v>
      </c>
      <c r="QE417" s="9" t="n">
        <v>0</v>
      </c>
      <c r="QG417" s="9" t="n">
        <v>0</v>
      </c>
      <c r="QH417" s="9" t="n">
        <v>548</v>
      </c>
      <c r="QL417" s="10" t="n">
        <v>46378</v>
      </c>
      <c r="QN417" s="9" t="n">
        <v>0</v>
      </c>
      <c r="QP417" s="9" t="n">
        <v>0</v>
      </c>
      <c r="QQ417" s="9" t="n">
        <v>0</v>
      </c>
      <c r="QU417" s="10" t="n">
        <v>46378</v>
      </c>
      <c r="QW417" s="9" t="n">
        <v>0</v>
      </c>
      <c r="QY417" s="9" t="n">
        <v>0</v>
      </c>
      <c r="QZ417" s="9" t="n">
        <v>0</v>
      </c>
      <c r="RD417" s="10" t="n">
        <v>46378</v>
      </c>
      <c r="RF417" s="9" t="n">
        <v>0</v>
      </c>
      <c r="RH417" s="9" t="n">
        <v>0</v>
      </c>
      <c r="RI417" s="9" t="n">
        <v>147.04</v>
      </c>
      <c r="RM417" s="10" t="n">
        <v>46378</v>
      </c>
      <c r="RO417" s="9" t="n">
        <v>0</v>
      </c>
      <c r="RQ417" s="9" t="n">
        <v>0</v>
      </c>
      <c r="RR417" s="9" t="n">
        <v>46.8</v>
      </c>
      <c r="RV417" s="10" t="n">
        <v>46378</v>
      </c>
      <c r="RX417" s="9" t="n">
        <v>0</v>
      </c>
      <c r="RZ417" s="9" t="n">
        <v>0</v>
      </c>
      <c r="SA417" s="9" t="n">
        <v>0</v>
      </c>
      <c r="SE417" s="10" t="n">
        <v>46378</v>
      </c>
      <c r="SG417" s="9" t="n">
        <v>0</v>
      </c>
      <c r="SI417" s="9" t="n">
        <v>0</v>
      </c>
      <c r="SJ417" s="9" t="n">
        <v>24.2</v>
      </c>
      <c r="SN417" s="10" t="n">
        <v>46378</v>
      </c>
      <c r="SP417" s="9" t="n">
        <v>0</v>
      </c>
      <c r="SR417" s="9" t="n">
        <v>0</v>
      </c>
      <c r="SS417" s="9" t="n">
        <v>32</v>
      </c>
      <c r="SW417" s="10" t="n">
        <v>46378</v>
      </c>
      <c r="SY417" s="9" t="n">
        <v>0</v>
      </c>
      <c r="TA417" s="9" t="n">
        <v>0</v>
      </c>
      <c r="TB417" s="9" t="n">
        <v>0</v>
      </c>
      <c r="TF417" s="10" t="n">
        <v>46378</v>
      </c>
      <c r="TH417" s="9" t="n">
        <v>0</v>
      </c>
      <c r="TJ417" s="9" t="n">
        <v>0</v>
      </c>
      <c r="TK417" s="9" t="n">
        <v>0</v>
      </c>
      <c r="TO417" s="10" t="n">
        <v>46378</v>
      </c>
      <c r="TQ417" s="9" t="n">
        <v>0</v>
      </c>
      <c r="TS417" s="9" t="n">
        <v>0</v>
      </c>
      <c r="TT417" s="9" t="n">
        <v>0</v>
      </c>
      <c r="TX417" s="10" t="n">
        <v>46378</v>
      </c>
      <c r="TZ417" s="9" t="n">
        <v>0</v>
      </c>
      <c r="UB417" s="9" t="n">
        <v>0</v>
      </c>
      <c r="UC417" s="9" t="n">
        <v>46.79999999999998</v>
      </c>
      <c r="UG417" s="10" t="n">
        <v>46378</v>
      </c>
      <c r="UI417" s="9" t="n">
        <v>0</v>
      </c>
      <c r="UK417" s="9" t="n">
        <v>0</v>
      </c>
      <c r="UL417" s="9" t="n">
        <v>204</v>
      </c>
      <c r="UP417" s="10" t="n">
        <v>46378</v>
      </c>
      <c r="UR417" s="9" t="n">
        <v>0</v>
      </c>
      <c r="UT417" s="9" t="n">
        <v>0</v>
      </c>
      <c r="UU417" s="9" t="n">
        <v>202.5</v>
      </c>
      <c r="UY417" s="10" t="n">
        <v>46378</v>
      </c>
      <c r="VA417" s="9" t="n">
        <v>0</v>
      </c>
      <c r="VC417" s="9" t="n">
        <v>0</v>
      </c>
      <c r="VD417" s="9" t="n">
        <v>41.60000000000002</v>
      </c>
      <c r="VH417" s="10" t="n">
        <v>46378</v>
      </c>
      <c r="VJ417" s="9" t="n">
        <v>0</v>
      </c>
      <c r="VL417" s="9" t="n">
        <v>0</v>
      </c>
      <c r="VM417" s="9" t="n">
        <v>210</v>
      </c>
      <c r="VQ417" s="10" t="n">
        <v>46378</v>
      </c>
      <c r="VS417" s="9" t="n">
        <v>0</v>
      </c>
      <c r="VU417" s="9" t="n">
        <v>0</v>
      </c>
      <c r="VV417" s="9" t="n">
        <v>0</v>
      </c>
      <c r="VZ417" s="10" t="n">
        <v>46378</v>
      </c>
      <c r="WB417" s="9" t="n">
        <v>0</v>
      </c>
      <c r="WD417" s="9" t="n">
        <v>0</v>
      </c>
      <c r="WE417" s="9" t="n">
        <v>0</v>
      </c>
      <c r="WI417" s="10" t="n">
        <v>46378</v>
      </c>
      <c r="WK417" s="9" t="n">
        <v>0</v>
      </c>
      <c r="WM417" s="9" t="n">
        <v>0</v>
      </c>
      <c r="WN417" s="9" t="n">
        <v>1057</v>
      </c>
      <c r="WR417" s="10" t="n">
        <v>46378</v>
      </c>
      <c r="WT417" s="9" t="n">
        <v>0</v>
      </c>
      <c r="WV417" s="9" t="n">
        <v>0</v>
      </c>
      <c r="WW417" s="9" t="n">
        <v>0</v>
      </c>
      <c r="XA417" s="10" t="n">
        <v>46378</v>
      </c>
      <c r="XC417" s="9" t="n">
        <v>0</v>
      </c>
      <c r="XE417" s="9" t="n">
        <v>0</v>
      </c>
      <c r="XF417" s="9" t="n">
        <v>7507</v>
      </c>
      <c r="XJ417" s="10" t="n">
        <v>46378</v>
      </c>
      <c r="XL417" s="9" t="n">
        <v>0</v>
      </c>
      <c r="XN417" s="9" t="n">
        <v>0</v>
      </c>
      <c r="XO417" s="9" t="n">
        <v>4252</v>
      </c>
      <c r="XS417" s="10" t="n">
        <v>46378</v>
      </c>
      <c r="XU417" s="9" t="n">
        <v>0</v>
      </c>
      <c r="XW417" s="9" t="n">
        <v>0</v>
      </c>
      <c r="XX417" s="9" t="n">
        <v>2179</v>
      </c>
      <c r="YB417" s="10" t="n">
        <v>46378</v>
      </c>
      <c r="YD417" s="9" t="n">
        <v>0</v>
      </c>
      <c r="YF417" s="9" t="n">
        <v>0</v>
      </c>
      <c r="YG417" s="9" t="n">
        <v>4019</v>
      </c>
      <c r="YK417" s="10" t="n">
        <v>46378</v>
      </c>
      <c r="YM417" s="9" t="n">
        <v>0</v>
      </c>
      <c r="YO417" s="9" t="n">
        <v>0</v>
      </c>
      <c r="YP417" s="9" t="n">
        <v>-218</v>
      </c>
      <c r="YT417" s="10" t="n">
        <v>46378</v>
      </c>
      <c r="YV417" s="9" t="n">
        <v>0</v>
      </c>
      <c r="YX417" s="9" t="n">
        <v>0</v>
      </c>
      <c r="YY417" s="9" t="n">
        <v>0</v>
      </c>
      <c r="ZC417" s="10" t="n">
        <v>46378</v>
      </c>
      <c r="ZE417" s="9" t="n">
        <v>0</v>
      </c>
      <c r="ZG417" s="9" t="n">
        <v>0</v>
      </c>
      <c r="ZH417" s="9" t="n">
        <v>0</v>
      </c>
      <c r="ZL417" s="10" t="n">
        <v>46378</v>
      </c>
      <c r="ZN417" s="9" t="n">
        <v>0</v>
      </c>
      <c r="ZP417" s="9" t="n">
        <v>0</v>
      </c>
      <c r="ZQ417" s="9" t="n">
        <v>0</v>
      </c>
      <c r="ZU417" s="10" t="n">
        <v>46378</v>
      </c>
      <c r="ZW417" s="9" t="n">
        <v>0</v>
      </c>
      <c r="ZY417" s="9" t="n">
        <v>0</v>
      </c>
      <c r="ZZ417" s="9" t="n">
        <v>0</v>
      </c>
      <c r="AAD417" s="10" t="n">
        <v>46378</v>
      </c>
      <c r="AAF417" s="9" t="n">
        <v>0</v>
      </c>
      <c r="AAH417" s="9" t="n">
        <v>0</v>
      </c>
      <c r="AAI417" s="9" t="n">
        <v>0</v>
      </c>
      <c r="AAM417" s="10" t="n">
        <v>46378</v>
      </c>
      <c r="AAO417" s="9" t="n">
        <v>0</v>
      </c>
      <c r="AAQ417" s="9" t="n">
        <v>0</v>
      </c>
      <c r="AAR417" s="9" t="n">
        <v>0</v>
      </c>
      <c r="AAV417" s="10" t="n">
        <v>46378</v>
      </c>
      <c r="AAX417" s="9" t="n">
        <v>0</v>
      </c>
      <c r="AAZ417" s="9" t="n">
        <v>0</v>
      </c>
      <c r="ABA417" s="9" t="n">
        <v>0</v>
      </c>
      <c r="ABE417" s="10" t="n">
        <v>46378</v>
      </c>
      <c r="ABG417" s="9" t="n">
        <v>0</v>
      </c>
      <c r="ABI417" s="9" t="n">
        <v>0</v>
      </c>
      <c r="ABJ417" s="9" t="n">
        <v>0</v>
      </c>
    </row>
    <row r="418">
      <c r="C418" s="10" t="n">
        <v>46379</v>
      </c>
      <c r="E418" s="9" t="n">
        <v>0</v>
      </c>
      <c r="G418" s="9" t="n">
        <v>0</v>
      </c>
      <c r="H418" s="9" t="n">
        <v>236936.6</v>
      </c>
      <c r="L418" s="10" t="n">
        <v>46379</v>
      </c>
      <c r="N418" s="9" t="n">
        <v>0</v>
      </c>
      <c r="P418" s="9" t="n">
        <v>0</v>
      </c>
      <c r="Q418" s="9" t="n">
        <v>53017.60000000007</v>
      </c>
      <c r="U418" s="10" t="n">
        <v>46379</v>
      </c>
      <c r="W418" s="9" t="n">
        <v>0</v>
      </c>
      <c r="Y418" s="9" t="n">
        <v>0</v>
      </c>
      <c r="Z418" s="9" t="n">
        <v>42674.19999999997</v>
      </c>
      <c r="AD418" s="10" t="n">
        <v>46379</v>
      </c>
      <c r="AF418" s="9" t="n">
        <v>0</v>
      </c>
      <c r="AH418" s="9" t="n">
        <v>0</v>
      </c>
      <c r="AI418" s="9" t="n">
        <v>4522.200000000019</v>
      </c>
      <c r="AM418" s="10" t="n">
        <v>46379</v>
      </c>
      <c r="AO418" s="9" t="n">
        <v>0</v>
      </c>
      <c r="AQ418" s="9" t="n">
        <v>0</v>
      </c>
      <c r="AR418" s="9" t="n">
        <v>0</v>
      </c>
      <c r="AV418" s="10" t="n">
        <v>46379</v>
      </c>
      <c r="AX418" s="9" t="n">
        <v>0</v>
      </c>
      <c r="AZ418" s="9" t="n">
        <v>0</v>
      </c>
      <c r="BA418" s="9" t="n">
        <v>124.9999999999952</v>
      </c>
      <c r="BE418" s="10" t="n">
        <v>46379</v>
      </c>
      <c r="BG418" s="9" t="n">
        <v>0</v>
      </c>
      <c r="BI418" s="9" t="n">
        <v>0</v>
      </c>
      <c r="BJ418" s="9" t="n">
        <v>26151.9</v>
      </c>
      <c r="BN418" s="10" t="n">
        <v>46379</v>
      </c>
      <c r="BP418" s="9" t="n">
        <v>0</v>
      </c>
      <c r="BR418" s="9" t="n">
        <v>0</v>
      </c>
      <c r="BS418" s="9" t="n">
        <v>0</v>
      </c>
      <c r="BW418" s="10" t="n">
        <v>46379</v>
      </c>
      <c r="BY418" s="9" t="n">
        <v>0</v>
      </c>
      <c r="CA418" s="9" t="n">
        <v>0</v>
      </c>
      <c r="CB418" s="9" t="n">
        <v>2097.339999999999</v>
      </c>
      <c r="CF418" s="10" t="n">
        <v>46379</v>
      </c>
      <c r="CH418" s="9" t="n">
        <v>0</v>
      </c>
      <c r="CJ418" s="9" t="n">
        <v>0</v>
      </c>
      <c r="CK418" s="9" t="n">
        <v>-10277.08</v>
      </c>
      <c r="CO418" s="10" t="n">
        <v>46379</v>
      </c>
      <c r="CQ418" s="9" t="n">
        <v>0</v>
      </c>
      <c r="CS418" s="9" t="n">
        <v>0</v>
      </c>
      <c r="CT418" s="9" t="n">
        <v>0</v>
      </c>
      <c r="CX418" s="10" t="n">
        <v>46379</v>
      </c>
      <c r="CZ418" s="9" t="n">
        <v>0</v>
      </c>
      <c r="DB418" s="9" t="n">
        <v>0</v>
      </c>
      <c r="DC418" s="9" t="n">
        <v>27438.20000000001</v>
      </c>
      <c r="DG418" s="10" t="n">
        <v>46379</v>
      </c>
      <c r="DI418" s="9" t="n">
        <v>0</v>
      </c>
      <c r="DK418" s="9" t="n">
        <v>0</v>
      </c>
      <c r="DL418" s="9" t="n">
        <v>18782.29999999998</v>
      </c>
      <c r="DP418" s="10" t="n">
        <v>46379</v>
      </c>
      <c r="DR418" s="9" t="n">
        <v>0</v>
      </c>
      <c r="DT418" s="9" t="n">
        <v>0</v>
      </c>
      <c r="DU418" s="9" t="n">
        <v>5800</v>
      </c>
      <c r="DY418" s="10" t="n">
        <v>46379</v>
      </c>
      <c r="EA418" s="9" t="n">
        <v>0</v>
      </c>
      <c r="EC418" s="9" t="n">
        <v>0</v>
      </c>
      <c r="ED418" s="9" t="n">
        <v>0</v>
      </c>
      <c r="EH418" s="10" t="n">
        <v>46379</v>
      </c>
      <c r="EJ418" s="9" t="n">
        <v>0</v>
      </c>
      <c r="EL418" s="9" t="n">
        <v>0</v>
      </c>
      <c r="EM418" s="9" t="n">
        <v>0</v>
      </c>
      <c r="EQ418" s="10" t="n">
        <v>46379</v>
      </c>
      <c r="ES418" s="9" t="n">
        <v>0</v>
      </c>
      <c r="EU418" s="9" t="n">
        <v>0</v>
      </c>
      <c r="EV418" s="9" t="n">
        <v>0</v>
      </c>
      <c r="EZ418" s="10" t="n">
        <v>46379</v>
      </c>
      <c r="FB418" s="9" t="n">
        <v>0</v>
      </c>
      <c r="FD418" s="9" t="n">
        <v>0</v>
      </c>
      <c r="FE418" s="9" t="n">
        <v>0</v>
      </c>
      <c r="FI418" s="10" t="n">
        <v>46379</v>
      </c>
      <c r="FK418" s="9" t="n">
        <v>0</v>
      </c>
      <c r="FM418" s="9" t="n">
        <v>0</v>
      </c>
      <c r="FN418" s="9" t="n">
        <v>0</v>
      </c>
      <c r="FR418" s="10" t="n">
        <v>46379</v>
      </c>
      <c r="FT418" s="9" t="n">
        <v>0</v>
      </c>
      <c r="FV418" s="9" t="n">
        <v>0</v>
      </c>
      <c r="FW418" s="9" t="n">
        <v>2020</v>
      </c>
      <c r="GA418" s="10" t="n">
        <v>46379</v>
      </c>
      <c r="GC418" s="9" t="n">
        <v>0</v>
      </c>
      <c r="GE418" s="9" t="n">
        <v>0</v>
      </c>
      <c r="GF418" s="9" t="n">
        <v>960</v>
      </c>
      <c r="GJ418" s="10" t="n">
        <v>46379</v>
      </c>
      <c r="GL418" s="9" t="n">
        <v>0</v>
      </c>
      <c r="GN418" s="9" t="n">
        <v>0</v>
      </c>
      <c r="GO418" s="9" t="n">
        <v>1760</v>
      </c>
      <c r="GS418" s="10" t="n">
        <v>46379</v>
      </c>
      <c r="GU418" s="9" t="n">
        <v>0</v>
      </c>
      <c r="GW418" s="9" t="n">
        <v>0</v>
      </c>
      <c r="GX418" s="9" t="n">
        <v>400</v>
      </c>
      <c r="HB418" s="10" t="n">
        <v>46379</v>
      </c>
      <c r="HD418" s="9" t="n">
        <v>0</v>
      </c>
      <c r="HF418" s="9" t="n">
        <v>0</v>
      </c>
      <c r="HG418" s="9" t="n">
        <v>3600</v>
      </c>
      <c r="HK418" s="10" t="n">
        <v>46379</v>
      </c>
      <c r="HM418" s="9" t="n">
        <v>0</v>
      </c>
      <c r="HO418" s="9" t="n">
        <v>0</v>
      </c>
      <c r="HP418" s="9" t="n">
        <v>0</v>
      </c>
      <c r="HU418" s="10" t="n">
        <v>46379</v>
      </c>
      <c r="HW418" s="9" t="n">
        <v>0</v>
      </c>
      <c r="HY418" s="9" t="n">
        <v>0</v>
      </c>
      <c r="HZ418" s="9" t="n">
        <v>6120</v>
      </c>
      <c r="ID418" s="10" t="n">
        <v>46379</v>
      </c>
      <c r="IF418" s="9" t="n">
        <v>0</v>
      </c>
      <c r="IH418" s="9" t="n">
        <v>0</v>
      </c>
      <c r="II418" s="9" t="n">
        <v>0</v>
      </c>
      <c r="IM418" s="10" t="n">
        <v>46379</v>
      </c>
      <c r="IO418" s="9" t="n">
        <v>0</v>
      </c>
      <c r="IQ418" s="9" t="n">
        <v>0</v>
      </c>
      <c r="IR418" s="9" t="n">
        <v>0</v>
      </c>
      <c r="IV418" s="10" t="n">
        <v>46379</v>
      </c>
      <c r="IX418" s="9" t="n">
        <v>0</v>
      </c>
      <c r="IZ418" s="9" t="n">
        <v>0</v>
      </c>
      <c r="JA418" s="9" t="n">
        <v>2820</v>
      </c>
      <c r="JE418" s="10" t="n">
        <v>46379</v>
      </c>
      <c r="JG418" s="9" t="n">
        <v>0</v>
      </c>
      <c r="JI418" s="9" t="n">
        <v>0</v>
      </c>
      <c r="JJ418" s="9" t="n">
        <v>0</v>
      </c>
      <c r="JN418" s="10" t="n">
        <v>46379</v>
      </c>
      <c r="JP418" s="9" t="n">
        <v>0</v>
      </c>
      <c r="JR418" s="9" t="n">
        <v>0</v>
      </c>
      <c r="JS418" s="9" t="n">
        <v>0</v>
      </c>
      <c r="JW418" s="10" t="n">
        <v>46379</v>
      </c>
      <c r="JY418" s="9" t="n">
        <v>0</v>
      </c>
      <c r="KA418" s="9" t="n">
        <v>0</v>
      </c>
      <c r="KB418" s="9" t="n">
        <v>2540</v>
      </c>
      <c r="KF418" s="10" t="n">
        <v>46379</v>
      </c>
      <c r="KH418" s="9" t="n">
        <v>0</v>
      </c>
      <c r="KJ418" s="9" t="n">
        <v>0</v>
      </c>
      <c r="KK418" s="9" t="n">
        <v>2359.5</v>
      </c>
      <c r="KO418" s="10" t="n">
        <v>46379</v>
      </c>
      <c r="KQ418" s="9" t="n">
        <v>0</v>
      </c>
      <c r="KS418" s="9" t="n">
        <v>0</v>
      </c>
      <c r="KT418" s="9" t="n">
        <v>1890</v>
      </c>
      <c r="KX418" s="10" t="n">
        <v>46379</v>
      </c>
      <c r="KZ418" s="9" t="n">
        <v>0</v>
      </c>
      <c r="LB418" s="9" t="n">
        <v>0</v>
      </c>
      <c r="LC418" s="9" t="n">
        <v>3690</v>
      </c>
      <c r="LG418" s="10" t="n">
        <v>46379</v>
      </c>
      <c r="LI418" s="9" t="n">
        <v>0</v>
      </c>
      <c r="LK418" s="9" t="n">
        <v>0</v>
      </c>
      <c r="LL418" s="9" t="n">
        <v>4000</v>
      </c>
      <c r="LP418" s="10" t="n">
        <v>46379</v>
      </c>
      <c r="LR418" s="9" t="n">
        <v>0</v>
      </c>
      <c r="LT418" s="9" t="n">
        <v>0</v>
      </c>
      <c r="LU418" s="9" t="n">
        <v>0</v>
      </c>
      <c r="LY418" s="10" t="n">
        <v>46379</v>
      </c>
      <c r="MA418" s="9" t="n">
        <v>0</v>
      </c>
      <c r="MC418" s="9" t="n">
        <v>0</v>
      </c>
      <c r="MD418" s="9" t="n">
        <v>0</v>
      </c>
      <c r="MH418" s="10" t="n">
        <v>46379</v>
      </c>
      <c r="MJ418" s="9" t="n">
        <v>0</v>
      </c>
      <c r="ML418" s="9" t="n">
        <v>0</v>
      </c>
      <c r="MM418" s="9" t="n">
        <v>-18</v>
      </c>
      <c r="MQ418" s="10" t="n">
        <v>46379</v>
      </c>
      <c r="MS418" s="9" t="n">
        <v>0</v>
      </c>
      <c r="MU418" s="9" t="n">
        <v>0</v>
      </c>
      <c r="MV418" s="9" t="n">
        <v>1559</v>
      </c>
      <c r="MZ418" s="10" t="n">
        <v>46379</v>
      </c>
      <c r="NB418" s="9" t="n">
        <v>0</v>
      </c>
      <c r="ND418" s="9" t="n">
        <v>0</v>
      </c>
      <c r="NE418" s="9" t="n">
        <v>0</v>
      </c>
      <c r="NI418" s="10" t="n">
        <v>46379</v>
      </c>
      <c r="NK418" s="9" t="n">
        <v>0</v>
      </c>
      <c r="NM418" s="9" t="n">
        <v>0</v>
      </c>
      <c r="NN418" s="9" t="n">
        <v>1127</v>
      </c>
      <c r="NR418" s="10" t="n">
        <v>46379</v>
      </c>
      <c r="NT418" s="9" t="n">
        <v>0</v>
      </c>
      <c r="NV418" s="9" t="n">
        <v>0</v>
      </c>
      <c r="NW418" s="9" t="n">
        <v>3112</v>
      </c>
      <c r="OA418" s="10" t="n">
        <v>46379</v>
      </c>
      <c r="OC418" s="9" t="n">
        <v>0</v>
      </c>
      <c r="OE418" s="9" t="n">
        <v>0</v>
      </c>
      <c r="OF418" s="9" t="n">
        <v>1680.5</v>
      </c>
      <c r="OJ418" s="10" t="n">
        <v>46379</v>
      </c>
      <c r="OL418" s="9" t="n">
        <v>0</v>
      </c>
      <c r="ON418" s="9" t="n">
        <v>0</v>
      </c>
      <c r="OO418" s="9" t="n">
        <v>0</v>
      </c>
      <c r="OS418" s="10" t="n">
        <v>46379</v>
      </c>
      <c r="OU418" s="9" t="n">
        <v>0</v>
      </c>
      <c r="OW418" s="9" t="n">
        <v>0</v>
      </c>
      <c r="OX418" s="9" t="n">
        <v>1482</v>
      </c>
      <c r="PB418" s="10" t="n">
        <v>46379</v>
      </c>
      <c r="PD418" s="9" t="n">
        <v>0</v>
      </c>
      <c r="PF418" s="9" t="n">
        <v>0</v>
      </c>
      <c r="PG418" s="9" t="n">
        <v>0</v>
      </c>
      <c r="PK418" s="10" t="n">
        <v>46379</v>
      </c>
      <c r="PM418" s="9" t="n">
        <v>0</v>
      </c>
      <c r="PO418" s="9" t="n">
        <v>0</v>
      </c>
      <c r="PP418" s="9" t="n">
        <v>100</v>
      </c>
      <c r="PT418" s="10" t="n">
        <v>46379</v>
      </c>
      <c r="PV418" s="9" t="n">
        <v>0</v>
      </c>
      <c r="PX418" s="9" t="n">
        <v>0</v>
      </c>
      <c r="PY418" s="9" t="n">
        <v>13.96000000000004</v>
      </c>
      <c r="QC418" s="10" t="n">
        <v>46379</v>
      </c>
      <c r="QE418" s="9" t="n">
        <v>0</v>
      </c>
      <c r="QG418" s="9" t="n">
        <v>0</v>
      </c>
      <c r="QH418" s="9" t="n">
        <v>548</v>
      </c>
      <c r="QL418" s="10" t="n">
        <v>46379</v>
      </c>
      <c r="QN418" s="9" t="n">
        <v>0</v>
      </c>
      <c r="QP418" s="9" t="n">
        <v>0</v>
      </c>
      <c r="QQ418" s="9" t="n">
        <v>0</v>
      </c>
      <c r="QU418" s="10" t="n">
        <v>46379</v>
      </c>
      <c r="QW418" s="9" t="n">
        <v>0</v>
      </c>
      <c r="QY418" s="9" t="n">
        <v>0</v>
      </c>
      <c r="QZ418" s="9" t="n">
        <v>0</v>
      </c>
      <c r="RD418" s="10" t="n">
        <v>46379</v>
      </c>
      <c r="RF418" s="9" t="n">
        <v>0</v>
      </c>
      <c r="RH418" s="9" t="n">
        <v>0</v>
      </c>
      <c r="RI418" s="9" t="n">
        <v>147.04</v>
      </c>
      <c r="RM418" s="10" t="n">
        <v>46379</v>
      </c>
      <c r="RO418" s="9" t="n">
        <v>0</v>
      </c>
      <c r="RQ418" s="9" t="n">
        <v>0</v>
      </c>
      <c r="RR418" s="9" t="n">
        <v>46.8</v>
      </c>
      <c r="RV418" s="10" t="n">
        <v>46379</v>
      </c>
      <c r="RX418" s="9" t="n">
        <v>0</v>
      </c>
      <c r="RZ418" s="9" t="n">
        <v>0</v>
      </c>
      <c r="SA418" s="9" t="n">
        <v>0</v>
      </c>
      <c r="SE418" s="10" t="n">
        <v>46379</v>
      </c>
      <c r="SG418" s="9" t="n">
        <v>0</v>
      </c>
      <c r="SI418" s="9" t="n">
        <v>0</v>
      </c>
      <c r="SJ418" s="9" t="n">
        <v>24.2</v>
      </c>
      <c r="SN418" s="10" t="n">
        <v>46379</v>
      </c>
      <c r="SP418" s="9" t="n">
        <v>0</v>
      </c>
      <c r="SR418" s="9" t="n">
        <v>0</v>
      </c>
      <c r="SS418" s="9" t="n">
        <v>32</v>
      </c>
      <c r="SW418" s="10" t="n">
        <v>46379</v>
      </c>
      <c r="SY418" s="9" t="n">
        <v>0</v>
      </c>
      <c r="TA418" s="9" t="n">
        <v>0</v>
      </c>
      <c r="TB418" s="9" t="n">
        <v>0</v>
      </c>
      <c r="TF418" s="10" t="n">
        <v>46379</v>
      </c>
      <c r="TH418" s="9" t="n">
        <v>0</v>
      </c>
      <c r="TJ418" s="9" t="n">
        <v>0</v>
      </c>
      <c r="TK418" s="9" t="n">
        <v>0</v>
      </c>
      <c r="TO418" s="10" t="n">
        <v>46379</v>
      </c>
      <c r="TQ418" s="9" t="n">
        <v>0</v>
      </c>
      <c r="TS418" s="9" t="n">
        <v>0</v>
      </c>
      <c r="TT418" s="9" t="n">
        <v>0</v>
      </c>
      <c r="TX418" s="10" t="n">
        <v>46379</v>
      </c>
      <c r="TZ418" s="9" t="n">
        <v>0</v>
      </c>
      <c r="UB418" s="9" t="n">
        <v>0</v>
      </c>
      <c r="UC418" s="9" t="n">
        <v>46.79999999999998</v>
      </c>
      <c r="UG418" s="10" t="n">
        <v>46379</v>
      </c>
      <c r="UI418" s="9" t="n">
        <v>0</v>
      </c>
      <c r="UK418" s="9" t="n">
        <v>0</v>
      </c>
      <c r="UL418" s="9" t="n">
        <v>204</v>
      </c>
      <c r="UP418" s="10" t="n">
        <v>46379</v>
      </c>
      <c r="UR418" s="9" t="n">
        <v>0</v>
      </c>
      <c r="UT418" s="9" t="n">
        <v>0</v>
      </c>
      <c r="UU418" s="9" t="n">
        <v>202.5</v>
      </c>
      <c r="UY418" s="10" t="n">
        <v>46379</v>
      </c>
      <c r="VA418" s="9" t="n">
        <v>0</v>
      </c>
      <c r="VC418" s="9" t="n">
        <v>0</v>
      </c>
      <c r="VD418" s="9" t="n">
        <v>41.60000000000002</v>
      </c>
      <c r="VH418" s="10" t="n">
        <v>46379</v>
      </c>
      <c r="VJ418" s="9" t="n">
        <v>0</v>
      </c>
      <c r="VL418" s="9" t="n">
        <v>0</v>
      </c>
      <c r="VM418" s="9" t="n">
        <v>210</v>
      </c>
      <c r="VQ418" s="10" t="n">
        <v>46379</v>
      </c>
      <c r="VS418" s="9" t="n">
        <v>0</v>
      </c>
      <c r="VU418" s="9" t="n">
        <v>0</v>
      </c>
      <c r="VV418" s="9" t="n">
        <v>0</v>
      </c>
      <c r="VZ418" s="10" t="n">
        <v>46379</v>
      </c>
      <c r="WB418" s="9" t="n">
        <v>0</v>
      </c>
      <c r="WD418" s="9" t="n">
        <v>0</v>
      </c>
      <c r="WE418" s="9" t="n">
        <v>0</v>
      </c>
      <c r="WI418" s="10" t="n">
        <v>46379</v>
      </c>
      <c r="WK418" s="9" t="n">
        <v>0</v>
      </c>
      <c r="WM418" s="9" t="n">
        <v>0</v>
      </c>
      <c r="WN418" s="9" t="n">
        <v>1057</v>
      </c>
      <c r="WR418" s="10" t="n">
        <v>46379</v>
      </c>
      <c r="WT418" s="9" t="n">
        <v>0</v>
      </c>
      <c r="WV418" s="9" t="n">
        <v>0</v>
      </c>
      <c r="WW418" s="9" t="n">
        <v>0</v>
      </c>
      <c r="XA418" s="10" t="n">
        <v>46379</v>
      </c>
      <c r="XC418" s="9" t="n">
        <v>0</v>
      </c>
      <c r="XE418" s="9" t="n">
        <v>0</v>
      </c>
      <c r="XF418" s="9" t="n">
        <v>7507</v>
      </c>
      <c r="XJ418" s="10" t="n">
        <v>46379</v>
      </c>
      <c r="XL418" s="9" t="n">
        <v>0</v>
      </c>
      <c r="XN418" s="9" t="n">
        <v>0</v>
      </c>
      <c r="XO418" s="9" t="n">
        <v>4252</v>
      </c>
      <c r="XS418" s="10" t="n">
        <v>46379</v>
      </c>
      <c r="XU418" s="9" t="n">
        <v>0</v>
      </c>
      <c r="XW418" s="9" t="n">
        <v>0</v>
      </c>
      <c r="XX418" s="9" t="n">
        <v>2179</v>
      </c>
      <c r="YB418" s="10" t="n">
        <v>46379</v>
      </c>
      <c r="YD418" s="9" t="n">
        <v>0</v>
      </c>
      <c r="YF418" s="9" t="n">
        <v>0</v>
      </c>
      <c r="YG418" s="9" t="n">
        <v>4019</v>
      </c>
      <c r="YK418" s="10" t="n">
        <v>46379</v>
      </c>
      <c r="YM418" s="9" t="n">
        <v>0</v>
      </c>
      <c r="YO418" s="9" t="n">
        <v>0</v>
      </c>
      <c r="YP418" s="9" t="n">
        <v>-218</v>
      </c>
      <c r="YT418" s="10" t="n">
        <v>46379</v>
      </c>
      <c r="YV418" s="9" t="n">
        <v>0</v>
      </c>
      <c r="YX418" s="9" t="n">
        <v>0</v>
      </c>
      <c r="YY418" s="9" t="n">
        <v>0</v>
      </c>
      <c r="ZC418" s="10" t="n">
        <v>46379</v>
      </c>
      <c r="ZE418" s="9" t="n">
        <v>0</v>
      </c>
      <c r="ZG418" s="9" t="n">
        <v>0</v>
      </c>
      <c r="ZH418" s="9" t="n">
        <v>0</v>
      </c>
      <c r="ZL418" s="10" t="n">
        <v>46379</v>
      </c>
      <c r="ZN418" s="9" t="n">
        <v>0</v>
      </c>
      <c r="ZP418" s="9" t="n">
        <v>0</v>
      </c>
      <c r="ZQ418" s="9" t="n">
        <v>0</v>
      </c>
      <c r="ZU418" s="10" t="n">
        <v>46379</v>
      </c>
      <c r="ZW418" s="9" t="n">
        <v>0</v>
      </c>
      <c r="ZY418" s="9" t="n">
        <v>0</v>
      </c>
      <c r="ZZ418" s="9" t="n">
        <v>0</v>
      </c>
      <c r="AAD418" s="10" t="n">
        <v>46379</v>
      </c>
      <c r="AAF418" s="9" t="n">
        <v>0</v>
      </c>
      <c r="AAH418" s="9" t="n">
        <v>0</v>
      </c>
      <c r="AAI418" s="9" t="n">
        <v>0</v>
      </c>
      <c r="AAM418" s="10" t="n">
        <v>46379</v>
      </c>
      <c r="AAO418" s="9" t="n">
        <v>0</v>
      </c>
      <c r="AAQ418" s="9" t="n">
        <v>0</v>
      </c>
      <c r="AAR418" s="9" t="n">
        <v>0</v>
      </c>
      <c r="AAV418" s="10" t="n">
        <v>46379</v>
      </c>
      <c r="AAX418" s="9" t="n">
        <v>0</v>
      </c>
      <c r="AAZ418" s="9" t="n">
        <v>0</v>
      </c>
      <c r="ABA418" s="9" t="n">
        <v>0</v>
      </c>
      <c r="ABE418" s="10" t="n">
        <v>46379</v>
      </c>
      <c r="ABG418" s="9" t="n">
        <v>0</v>
      </c>
      <c r="ABI418" s="9" t="n">
        <v>0</v>
      </c>
      <c r="ABJ418" s="9" t="n">
        <v>0</v>
      </c>
    </row>
    <row r="419">
      <c r="C419" s="10" t="n">
        <v>46380</v>
      </c>
      <c r="E419" s="9" t="n">
        <v>0</v>
      </c>
      <c r="G419" s="9" t="n">
        <v>0</v>
      </c>
      <c r="H419" s="9" t="n">
        <v>236936.6</v>
      </c>
      <c r="L419" s="10" t="n">
        <v>46380</v>
      </c>
      <c r="N419" s="9" t="n">
        <v>0</v>
      </c>
      <c r="P419" s="9" t="n">
        <v>0</v>
      </c>
      <c r="Q419" s="9" t="n">
        <v>53017.60000000007</v>
      </c>
      <c r="U419" s="10" t="n">
        <v>46380</v>
      </c>
      <c r="W419" s="9" t="n">
        <v>0</v>
      </c>
      <c r="Y419" s="9" t="n">
        <v>0</v>
      </c>
      <c r="Z419" s="9" t="n">
        <v>42674.19999999997</v>
      </c>
      <c r="AD419" s="10" t="n">
        <v>46380</v>
      </c>
      <c r="AF419" s="9" t="n">
        <v>0</v>
      </c>
      <c r="AH419" s="9" t="n">
        <v>0</v>
      </c>
      <c r="AI419" s="9" t="n">
        <v>4522.200000000019</v>
      </c>
      <c r="AM419" s="10" t="n">
        <v>46380</v>
      </c>
      <c r="AO419" s="9" t="n">
        <v>0</v>
      </c>
      <c r="AQ419" s="9" t="n">
        <v>0</v>
      </c>
      <c r="AR419" s="9" t="n">
        <v>0</v>
      </c>
      <c r="AV419" s="10" t="n">
        <v>46380</v>
      </c>
      <c r="AX419" s="9" t="n">
        <v>0</v>
      </c>
      <c r="AZ419" s="9" t="n">
        <v>0</v>
      </c>
      <c r="BA419" s="9" t="n">
        <v>124.9999999999952</v>
      </c>
      <c r="BE419" s="10" t="n">
        <v>46380</v>
      </c>
      <c r="BG419" s="9" t="n">
        <v>0</v>
      </c>
      <c r="BI419" s="9" t="n">
        <v>0</v>
      </c>
      <c r="BJ419" s="9" t="n">
        <v>26151.9</v>
      </c>
      <c r="BN419" s="10" t="n">
        <v>46380</v>
      </c>
      <c r="BP419" s="9" t="n">
        <v>0</v>
      </c>
      <c r="BR419" s="9" t="n">
        <v>0</v>
      </c>
      <c r="BS419" s="9" t="n">
        <v>0</v>
      </c>
      <c r="BW419" s="10" t="n">
        <v>46380</v>
      </c>
      <c r="BY419" s="9" t="n">
        <v>0</v>
      </c>
      <c r="CA419" s="9" t="n">
        <v>0</v>
      </c>
      <c r="CB419" s="9" t="n">
        <v>2097.339999999999</v>
      </c>
      <c r="CF419" s="10" t="n">
        <v>46380</v>
      </c>
      <c r="CH419" s="9" t="n">
        <v>0</v>
      </c>
      <c r="CJ419" s="9" t="n">
        <v>0</v>
      </c>
      <c r="CK419" s="9" t="n">
        <v>-10277.08</v>
      </c>
      <c r="CO419" s="10" t="n">
        <v>46380</v>
      </c>
      <c r="CQ419" s="9" t="n">
        <v>0</v>
      </c>
      <c r="CS419" s="9" t="n">
        <v>0</v>
      </c>
      <c r="CT419" s="9" t="n">
        <v>0</v>
      </c>
      <c r="CX419" s="10" t="n">
        <v>46380</v>
      </c>
      <c r="CZ419" s="9" t="n">
        <v>0</v>
      </c>
      <c r="DB419" s="9" t="n">
        <v>0</v>
      </c>
      <c r="DC419" s="9" t="n">
        <v>27438.20000000001</v>
      </c>
      <c r="DG419" s="10" t="n">
        <v>46380</v>
      </c>
      <c r="DI419" s="9" t="n">
        <v>0</v>
      </c>
      <c r="DK419" s="9" t="n">
        <v>0</v>
      </c>
      <c r="DL419" s="9" t="n">
        <v>18782.29999999998</v>
      </c>
      <c r="DP419" s="10" t="n">
        <v>46380</v>
      </c>
      <c r="DR419" s="9" t="n">
        <v>0</v>
      </c>
      <c r="DT419" s="9" t="n">
        <v>0</v>
      </c>
      <c r="DU419" s="9" t="n">
        <v>5800</v>
      </c>
      <c r="DY419" s="10" t="n">
        <v>46380</v>
      </c>
      <c r="EA419" s="9" t="n">
        <v>0</v>
      </c>
      <c r="EC419" s="9" t="n">
        <v>0</v>
      </c>
      <c r="ED419" s="9" t="n">
        <v>0</v>
      </c>
      <c r="EH419" s="10" t="n">
        <v>46380</v>
      </c>
      <c r="EJ419" s="9" t="n">
        <v>0</v>
      </c>
      <c r="EL419" s="9" t="n">
        <v>0</v>
      </c>
      <c r="EM419" s="9" t="n">
        <v>0</v>
      </c>
      <c r="EQ419" s="10" t="n">
        <v>46380</v>
      </c>
      <c r="ES419" s="9" t="n">
        <v>0</v>
      </c>
      <c r="EU419" s="9" t="n">
        <v>0</v>
      </c>
      <c r="EV419" s="9" t="n">
        <v>0</v>
      </c>
      <c r="EZ419" s="10" t="n">
        <v>46380</v>
      </c>
      <c r="FB419" s="9" t="n">
        <v>0</v>
      </c>
      <c r="FD419" s="9" t="n">
        <v>0</v>
      </c>
      <c r="FE419" s="9" t="n">
        <v>0</v>
      </c>
      <c r="FI419" s="10" t="n">
        <v>46380</v>
      </c>
      <c r="FK419" s="9" t="n">
        <v>0</v>
      </c>
      <c r="FM419" s="9" t="n">
        <v>0</v>
      </c>
      <c r="FN419" s="9" t="n">
        <v>0</v>
      </c>
      <c r="FR419" s="10" t="n">
        <v>46380</v>
      </c>
      <c r="FT419" s="9" t="n">
        <v>0</v>
      </c>
      <c r="FV419" s="9" t="n">
        <v>0</v>
      </c>
      <c r="FW419" s="9" t="n">
        <v>2020</v>
      </c>
      <c r="GA419" s="10" t="n">
        <v>46380</v>
      </c>
      <c r="GC419" s="9" t="n">
        <v>0</v>
      </c>
      <c r="GE419" s="9" t="n">
        <v>0</v>
      </c>
      <c r="GF419" s="9" t="n">
        <v>960</v>
      </c>
      <c r="GJ419" s="10" t="n">
        <v>46380</v>
      </c>
      <c r="GL419" s="9" t="n">
        <v>0</v>
      </c>
      <c r="GN419" s="9" t="n">
        <v>0</v>
      </c>
      <c r="GO419" s="9" t="n">
        <v>1760</v>
      </c>
      <c r="GS419" s="10" t="n">
        <v>46380</v>
      </c>
      <c r="GU419" s="9" t="n">
        <v>0</v>
      </c>
      <c r="GW419" s="9" t="n">
        <v>0</v>
      </c>
      <c r="GX419" s="9" t="n">
        <v>400</v>
      </c>
      <c r="HB419" s="10" t="n">
        <v>46380</v>
      </c>
      <c r="HD419" s="9" t="n">
        <v>0</v>
      </c>
      <c r="HF419" s="9" t="n">
        <v>0</v>
      </c>
      <c r="HG419" s="9" t="n">
        <v>3600</v>
      </c>
      <c r="HK419" s="10" t="n">
        <v>46380</v>
      </c>
      <c r="HM419" s="9" t="n">
        <v>0</v>
      </c>
      <c r="HO419" s="9" t="n">
        <v>0</v>
      </c>
      <c r="HP419" s="9" t="n">
        <v>0</v>
      </c>
      <c r="HU419" s="10" t="n">
        <v>46380</v>
      </c>
      <c r="HW419" s="9" t="n">
        <v>0</v>
      </c>
      <c r="HY419" s="9" t="n">
        <v>0</v>
      </c>
      <c r="HZ419" s="9" t="n">
        <v>6120</v>
      </c>
      <c r="ID419" s="10" t="n">
        <v>46380</v>
      </c>
      <c r="IF419" s="9" t="n">
        <v>0</v>
      </c>
      <c r="IH419" s="9" t="n">
        <v>0</v>
      </c>
      <c r="II419" s="9" t="n">
        <v>0</v>
      </c>
      <c r="IM419" s="10" t="n">
        <v>46380</v>
      </c>
      <c r="IO419" s="9" t="n">
        <v>0</v>
      </c>
      <c r="IQ419" s="9" t="n">
        <v>0</v>
      </c>
      <c r="IR419" s="9" t="n">
        <v>0</v>
      </c>
      <c r="IV419" s="10" t="n">
        <v>46380</v>
      </c>
      <c r="IX419" s="9" t="n">
        <v>0</v>
      </c>
      <c r="IZ419" s="9" t="n">
        <v>0</v>
      </c>
      <c r="JA419" s="9" t="n">
        <v>2820</v>
      </c>
      <c r="JE419" s="10" t="n">
        <v>46380</v>
      </c>
      <c r="JG419" s="9" t="n">
        <v>0</v>
      </c>
      <c r="JI419" s="9" t="n">
        <v>0</v>
      </c>
      <c r="JJ419" s="9" t="n">
        <v>0</v>
      </c>
      <c r="JN419" s="10" t="n">
        <v>46380</v>
      </c>
      <c r="JP419" s="9" t="n">
        <v>0</v>
      </c>
      <c r="JR419" s="9" t="n">
        <v>0</v>
      </c>
      <c r="JS419" s="9" t="n">
        <v>0</v>
      </c>
      <c r="JW419" s="10" t="n">
        <v>46380</v>
      </c>
      <c r="JY419" s="9" t="n">
        <v>0</v>
      </c>
      <c r="KA419" s="9" t="n">
        <v>0</v>
      </c>
      <c r="KB419" s="9" t="n">
        <v>2540</v>
      </c>
      <c r="KF419" s="10" t="n">
        <v>46380</v>
      </c>
      <c r="KH419" s="9" t="n">
        <v>0</v>
      </c>
      <c r="KJ419" s="9" t="n">
        <v>0</v>
      </c>
      <c r="KK419" s="9" t="n">
        <v>2359.5</v>
      </c>
      <c r="KO419" s="10" t="n">
        <v>46380</v>
      </c>
      <c r="KQ419" s="9" t="n">
        <v>0</v>
      </c>
      <c r="KS419" s="9" t="n">
        <v>0</v>
      </c>
      <c r="KT419" s="9" t="n">
        <v>1890</v>
      </c>
      <c r="KX419" s="10" t="n">
        <v>46380</v>
      </c>
      <c r="KZ419" s="9" t="n">
        <v>0</v>
      </c>
      <c r="LB419" s="9" t="n">
        <v>0</v>
      </c>
      <c r="LC419" s="9" t="n">
        <v>3690</v>
      </c>
      <c r="LG419" s="10" t="n">
        <v>46380</v>
      </c>
      <c r="LI419" s="9" t="n">
        <v>0</v>
      </c>
      <c r="LK419" s="9" t="n">
        <v>0</v>
      </c>
      <c r="LL419" s="9" t="n">
        <v>4000</v>
      </c>
      <c r="LP419" s="10" t="n">
        <v>46380</v>
      </c>
      <c r="LR419" s="9" t="n">
        <v>0</v>
      </c>
      <c r="LT419" s="9" t="n">
        <v>0</v>
      </c>
      <c r="LU419" s="9" t="n">
        <v>0</v>
      </c>
      <c r="LY419" s="10" t="n">
        <v>46380</v>
      </c>
      <c r="MA419" s="9" t="n">
        <v>0</v>
      </c>
      <c r="MC419" s="9" t="n">
        <v>0</v>
      </c>
      <c r="MD419" s="9" t="n">
        <v>0</v>
      </c>
      <c r="MH419" s="10" t="n">
        <v>46380</v>
      </c>
      <c r="MJ419" s="9" t="n">
        <v>0</v>
      </c>
      <c r="ML419" s="9" t="n">
        <v>0</v>
      </c>
      <c r="MM419" s="9" t="n">
        <v>-18</v>
      </c>
      <c r="MQ419" s="10" t="n">
        <v>46380</v>
      </c>
      <c r="MS419" s="9" t="n">
        <v>0</v>
      </c>
      <c r="MU419" s="9" t="n">
        <v>0</v>
      </c>
      <c r="MV419" s="9" t="n">
        <v>1559</v>
      </c>
      <c r="MZ419" s="10" t="n">
        <v>46380</v>
      </c>
      <c r="NB419" s="9" t="n">
        <v>0</v>
      </c>
      <c r="ND419" s="9" t="n">
        <v>0</v>
      </c>
      <c r="NE419" s="9" t="n">
        <v>0</v>
      </c>
      <c r="NI419" s="10" t="n">
        <v>46380</v>
      </c>
      <c r="NK419" s="9" t="n">
        <v>0</v>
      </c>
      <c r="NM419" s="9" t="n">
        <v>0</v>
      </c>
      <c r="NN419" s="9" t="n">
        <v>1127</v>
      </c>
      <c r="NR419" s="10" t="n">
        <v>46380</v>
      </c>
      <c r="NT419" s="9" t="n">
        <v>0</v>
      </c>
      <c r="NV419" s="9" t="n">
        <v>0</v>
      </c>
      <c r="NW419" s="9" t="n">
        <v>3112</v>
      </c>
      <c r="OA419" s="10" t="n">
        <v>46380</v>
      </c>
      <c r="OC419" s="9" t="n">
        <v>0</v>
      </c>
      <c r="OE419" s="9" t="n">
        <v>0</v>
      </c>
      <c r="OF419" s="9" t="n">
        <v>1680.5</v>
      </c>
      <c r="OJ419" s="10" t="n">
        <v>46380</v>
      </c>
      <c r="OL419" s="9" t="n">
        <v>0</v>
      </c>
      <c r="ON419" s="9" t="n">
        <v>0</v>
      </c>
      <c r="OO419" s="9" t="n">
        <v>0</v>
      </c>
      <c r="OS419" s="10" t="n">
        <v>46380</v>
      </c>
      <c r="OU419" s="9" t="n">
        <v>0</v>
      </c>
      <c r="OW419" s="9" t="n">
        <v>0</v>
      </c>
      <c r="OX419" s="9" t="n">
        <v>1482</v>
      </c>
      <c r="PB419" s="10" t="n">
        <v>46380</v>
      </c>
      <c r="PD419" s="9" t="n">
        <v>0</v>
      </c>
      <c r="PF419" s="9" t="n">
        <v>0</v>
      </c>
      <c r="PG419" s="9" t="n">
        <v>0</v>
      </c>
      <c r="PK419" s="10" t="n">
        <v>46380</v>
      </c>
      <c r="PM419" s="9" t="n">
        <v>0</v>
      </c>
      <c r="PO419" s="9" t="n">
        <v>0</v>
      </c>
      <c r="PP419" s="9" t="n">
        <v>100</v>
      </c>
      <c r="PT419" s="10" t="n">
        <v>46380</v>
      </c>
      <c r="PV419" s="9" t="n">
        <v>0</v>
      </c>
      <c r="PX419" s="9" t="n">
        <v>0</v>
      </c>
      <c r="PY419" s="9" t="n">
        <v>13.96000000000004</v>
      </c>
      <c r="QC419" s="10" t="n">
        <v>46380</v>
      </c>
      <c r="QE419" s="9" t="n">
        <v>0</v>
      </c>
      <c r="QG419" s="9" t="n">
        <v>0</v>
      </c>
      <c r="QH419" s="9" t="n">
        <v>548</v>
      </c>
      <c r="QL419" s="10" t="n">
        <v>46380</v>
      </c>
      <c r="QN419" s="9" t="n">
        <v>0</v>
      </c>
      <c r="QP419" s="9" t="n">
        <v>0</v>
      </c>
      <c r="QQ419" s="9" t="n">
        <v>0</v>
      </c>
      <c r="QU419" s="10" t="n">
        <v>46380</v>
      </c>
      <c r="QW419" s="9" t="n">
        <v>0</v>
      </c>
      <c r="QY419" s="9" t="n">
        <v>0</v>
      </c>
      <c r="QZ419" s="9" t="n">
        <v>0</v>
      </c>
      <c r="RD419" s="10" t="n">
        <v>46380</v>
      </c>
      <c r="RF419" s="9" t="n">
        <v>0</v>
      </c>
      <c r="RH419" s="9" t="n">
        <v>0</v>
      </c>
      <c r="RI419" s="9" t="n">
        <v>147.04</v>
      </c>
      <c r="RM419" s="10" t="n">
        <v>46380</v>
      </c>
      <c r="RO419" s="9" t="n">
        <v>0</v>
      </c>
      <c r="RQ419" s="9" t="n">
        <v>0</v>
      </c>
      <c r="RR419" s="9" t="n">
        <v>46.8</v>
      </c>
      <c r="RV419" s="10" t="n">
        <v>46380</v>
      </c>
      <c r="RX419" s="9" t="n">
        <v>0</v>
      </c>
      <c r="RZ419" s="9" t="n">
        <v>0</v>
      </c>
      <c r="SA419" s="9" t="n">
        <v>0</v>
      </c>
      <c r="SE419" s="10" t="n">
        <v>46380</v>
      </c>
      <c r="SG419" s="9" t="n">
        <v>0</v>
      </c>
      <c r="SI419" s="9" t="n">
        <v>0</v>
      </c>
      <c r="SJ419" s="9" t="n">
        <v>24.2</v>
      </c>
      <c r="SN419" s="10" t="n">
        <v>46380</v>
      </c>
      <c r="SP419" s="9" t="n">
        <v>0</v>
      </c>
      <c r="SR419" s="9" t="n">
        <v>0</v>
      </c>
      <c r="SS419" s="9" t="n">
        <v>32</v>
      </c>
      <c r="SW419" s="10" t="n">
        <v>46380</v>
      </c>
      <c r="SY419" s="9" t="n">
        <v>0</v>
      </c>
      <c r="TA419" s="9" t="n">
        <v>0</v>
      </c>
      <c r="TB419" s="9" t="n">
        <v>0</v>
      </c>
      <c r="TF419" s="10" t="n">
        <v>46380</v>
      </c>
      <c r="TH419" s="9" t="n">
        <v>0</v>
      </c>
      <c r="TJ419" s="9" t="n">
        <v>0</v>
      </c>
      <c r="TK419" s="9" t="n">
        <v>0</v>
      </c>
      <c r="TO419" s="10" t="n">
        <v>46380</v>
      </c>
      <c r="TQ419" s="9" t="n">
        <v>0</v>
      </c>
      <c r="TS419" s="9" t="n">
        <v>0</v>
      </c>
      <c r="TT419" s="9" t="n">
        <v>0</v>
      </c>
      <c r="TX419" s="10" t="n">
        <v>46380</v>
      </c>
      <c r="TZ419" s="9" t="n">
        <v>0</v>
      </c>
      <c r="UB419" s="9" t="n">
        <v>0</v>
      </c>
      <c r="UC419" s="9" t="n">
        <v>46.79999999999998</v>
      </c>
      <c r="UG419" s="10" t="n">
        <v>46380</v>
      </c>
      <c r="UI419" s="9" t="n">
        <v>0</v>
      </c>
      <c r="UK419" s="9" t="n">
        <v>0</v>
      </c>
      <c r="UL419" s="9" t="n">
        <v>204</v>
      </c>
      <c r="UP419" s="10" t="n">
        <v>46380</v>
      </c>
      <c r="UR419" s="9" t="n">
        <v>0</v>
      </c>
      <c r="UT419" s="9" t="n">
        <v>0</v>
      </c>
      <c r="UU419" s="9" t="n">
        <v>202.5</v>
      </c>
      <c r="UY419" s="10" t="n">
        <v>46380</v>
      </c>
      <c r="VA419" s="9" t="n">
        <v>0</v>
      </c>
      <c r="VC419" s="9" t="n">
        <v>0</v>
      </c>
      <c r="VD419" s="9" t="n">
        <v>41.60000000000002</v>
      </c>
      <c r="VH419" s="10" t="n">
        <v>46380</v>
      </c>
      <c r="VJ419" s="9" t="n">
        <v>0</v>
      </c>
      <c r="VL419" s="9" t="n">
        <v>0</v>
      </c>
      <c r="VM419" s="9" t="n">
        <v>210</v>
      </c>
      <c r="VQ419" s="10" t="n">
        <v>46380</v>
      </c>
      <c r="VS419" s="9" t="n">
        <v>0</v>
      </c>
      <c r="VU419" s="9" t="n">
        <v>0</v>
      </c>
      <c r="VV419" s="9" t="n">
        <v>0</v>
      </c>
      <c r="VZ419" s="10" t="n">
        <v>46380</v>
      </c>
      <c r="WB419" s="9" t="n">
        <v>0</v>
      </c>
      <c r="WD419" s="9" t="n">
        <v>0</v>
      </c>
      <c r="WE419" s="9" t="n">
        <v>0</v>
      </c>
      <c r="WI419" s="10" t="n">
        <v>46380</v>
      </c>
      <c r="WK419" s="9" t="n">
        <v>0</v>
      </c>
      <c r="WM419" s="9" t="n">
        <v>0</v>
      </c>
      <c r="WN419" s="9" t="n">
        <v>1057</v>
      </c>
      <c r="WR419" s="10" t="n">
        <v>46380</v>
      </c>
      <c r="WT419" s="9" t="n">
        <v>0</v>
      </c>
      <c r="WV419" s="9" t="n">
        <v>0</v>
      </c>
      <c r="WW419" s="9" t="n">
        <v>0</v>
      </c>
      <c r="XA419" s="10" t="n">
        <v>46380</v>
      </c>
      <c r="XC419" s="9" t="n">
        <v>0</v>
      </c>
      <c r="XE419" s="9" t="n">
        <v>0</v>
      </c>
      <c r="XF419" s="9" t="n">
        <v>7507</v>
      </c>
      <c r="XJ419" s="10" t="n">
        <v>46380</v>
      </c>
      <c r="XL419" s="9" t="n">
        <v>0</v>
      </c>
      <c r="XN419" s="9" t="n">
        <v>0</v>
      </c>
      <c r="XO419" s="9" t="n">
        <v>4252</v>
      </c>
      <c r="XS419" s="10" t="n">
        <v>46380</v>
      </c>
      <c r="XU419" s="9" t="n">
        <v>0</v>
      </c>
      <c r="XW419" s="9" t="n">
        <v>0</v>
      </c>
      <c r="XX419" s="9" t="n">
        <v>2179</v>
      </c>
      <c r="YB419" s="10" t="n">
        <v>46380</v>
      </c>
      <c r="YD419" s="9" t="n">
        <v>0</v>
      </c>
      <c r="YF419" s="9" t="n">
        <v>0</v>
      </c>
      <c r="YG419" s="9" t="n">
        <v>4019</v>
      </c>
      <c r="YK419" s="10" t="n">
        <v>46380</v>
      </c>
      <c r="YM419" s="9" t="n">
        <v>0</v>
      </c>
      <c r="YO419" s="9" t="n">
        <v>0</v>
      </c>
      <c r="YP419" s="9" t="n">
        <v>-218</v>
      </c>
      <c r="YT419" s="10" t="n">
        <v>46380</v>
      </c>
      <c r="YV419" s="9" t="n">
        <v>0</v>
      </c>
      <c r="YX419" s="9" t="n">
        <v>0</v>
      </c>
      <c r="YY419" s="9" t="n">
        <v>0</v>
      </c>
      <c r="ZC419" s="10" t="n">
        <v>46380</v>
      </c>
      <c r="ZE419" s="9" t="n">
        <v>0</v>
      </c>
      <c r="ZG419" s="9" t="n">
        <v>0</v>
      </c>
      <c r="ZH419" s="9" t="n">
        <v>0</v>
      </c>
      <c r="ZL419" s="10" t="n">
        <v>46380</v>
      </c>
      <c r="ZN419" s="9" t="n">
        <v>0</v>
      </c>
      <c r="ZP419" s="9" t="n">
        <v>0</v>
      </c>
      <c r="ZQ419" s="9" t="n">
        <v>0</v>
      </c>
      <c r="ZU419" s="10" t="n">
        <v>46380</v>
      </c>
      <c r="ZW419" s="9" t="n">
        <v>0</v>
      </c>
      <c r="ZY419" s="9" t="n">
        <v>0</v>
      </c>
      <c r="ZZ419" s="9" t="n">
        <v>0</v>
      </c>
      <c r="AAD419" s="10" t="n">
        <v>46380</v>
      </c>
      <c r="AAF419" s="9" t="n">
        <v>0</v>
      </c>
      <c r="AAH419" s="9" t="n">
        <v>0</v>
      </c>
      <c r="AAI419" s="9" t="n">
        <v>0</v>
      </c>
      <c r="AAM419" s="10" t="n">
        <v>46380</v>
      </c>
      <c r="AAO419" s="9" t="n">
        <v>0</v>
      </c>
      <c r="AAQ419" s="9" t="n">
        <v>0</v>
      </c>
      <c r="AAR419" s="9" t="n">
        <v>0</v>
      </c>
      <c r="AAV419" s="10" t="n">
        <v>46380</v>
      </c>
      <c r="AAX419" s="9" t="n">
        <v>0</v>
      </c>
      <c r="AAZ419" s="9" t="n">
        <v>0</v>
      </c>
      <c r="ABA419" s="9" t="n">
        <v>0</v>
      </c>
      <c r="ABE419" s="10" t="n">
        <v>46380</v>
      </c>
      <c r="ABG419" s="9" t="n">
        <v>0</v>
      </c>
      <c r="ABI419" s="9" t="n">
        <v>0</v>
      </c>
      <c r="ABJ419" s="9" t="n">
        <v>0</v>
      </c>
    </row>
    <row r="420">
      <c r="C420" s="10" t="n">
        <v>46381</v>
      </c>
      <c r="E420" s="9" t="n">
        <v>0</v>
      </c>
      <c r="G420" s="9" t="n">
        <v>0</v>
      </c>
      <c r="H420" s="9" t="n">
        <v>236936.6</v>
      </c>
      <c r="L420" s="10" t="n">
        <v>46381</v>
      </c>
      <c r="N420" s="9" t="n">
        <v>0</v>
      </c>
      <c r="P420" s="9" t="n">
        <v>0</v>
      </c>
      <c r="Q420" s="9" t="n">
        <v>53017.60000000007</v>
      </c>
      <c r="U420" s="10" t="n">
        <v>46381</v>
      </c>
      <c r="W420" s="9" t="n">
        <v>0</v>
      </c>
      <c r="Y420" s="9" t="n">
        <v>0</v>
      </c>
      <c r="Z420" s="9" t="n">
        <v>42674.19999999997</v>
      </c>
      <c r="AD420" s="10" t="n">
        <v>46381</v>
      </c>
      <c r="AF420" s="9" t="n">
        <v>0</v>
      </c>
      <c r="AH420" s="9" t="n">
        <v>0</v>
      </c>
      <c r="AI420" s="9" t="n">
        <v>4522.200000000019</v>
      </c>
      <c r="AM420" s="10" t="n">
        <v>46381</v>
      </c>
      <c r="AO420" s="9" t="n">
        <v>0</v>
      </c>
      <c r="AQ420" s="9" t="n">
        <v>0</v>
      </c>
      <c r="AR420" s="9" t="n">
        <v>0</v>
      </c>
      <c r="AV420" s="10" t="n">
        <v>46381</v>
      </c>
      <c r="AX420" s="9" t="n">
        <v>0</v>
      </c>
      <c r="AZ420" s="9" t="n">
        <v>0</v>
      </c>
      <c r="BA420" s="9" t="n">
        <v>124.9999999999952</v>
      </c>
      <c r="BE420" s="10" t="n">
        <v>46381</v>
      </c>
      <c r="BG420" s="9" t="n">
        <v>0</v>
      </c>
      <c r="BI420" s="9" t="n">
        <v>0</v>
      </c>
      <c r="BJ420" s="9" t="n">
        <v>26151.9</v>
      </c>
      <c r="BN420" s="10" t="n">
        <v>46381</v>
      </c>
      <c r="BP420" s="9" t="n">
        <v>0</v>
      </c>
      <c r="BR420" s="9" t="n">
        <v>0</v>
      </c>
      <c r="BS420" s="9" t="n">
        <v>0</v>
      </c>
      <c r="BW420" s="10" t="n">
        <v>46381</v>
      </c>
      <c r="BY420" s="9" t="n">
        <v>0</v>
      </c>
      <c r="CA420" s="9" t="n">
        <v>0</v>
      </c>
      <c r="CB420" s="9" t="n">
        <v>2097.339999999999</v>
      </c>
      <c r="CF420" s="10" t="n">
        <v>46381</v>
      </c>
      <c r="CH420" s="9" t="n">
        <v>0</v>
      </c>
      <c r="CJ420" s="9" t="n">
        <v>0</v>
      </c>
      <c r="CK420" s="9" t="n">
        <v>-10277.08</v>
      </c>
      <c r="CO420" s="10" t="n">
        <v>46381</v>
      </c>
      <c r="CQ420" s="9" t="n">
        <v>0</v>
      </c>
      <c r="CS420" s="9" t="n">
        <v>0</v>
      </c>
      <c r="CT420" s="9" t="n">
        <v>0</v>
      </c>
      <c r="CX420" s="10" t="n">
        <v>46381</v>
      </c>
      <c r="CZ420" s="9" t="n">
        <v>0</v>
      </c>
      <c r="DB420" s="9" t="n">
        <v>0</v>
      </c>
      <c r="DC420" s="9" t="n">
        <v>27438.20000000001</v>
      </c>
      <c r="DG420" s="10" t="n">
        <v>46381</v>
      </c>
      <c r="DI420" s="9" t="n">
        <v>0</v>
      </c>
      <c r="DK420" s="9" t="n">
        <v>0</v>
      </c>
      <c r="DL420" s="9" t="n">
        <v>18782.29999999998</v>
      </c>
      <c r="DP420" s="10" t="n">
        <v>46381</v>
      </c>
      <c r="DR420" s="9" t="n">
        <v>0</v>
      </c>
      <c r="DT420" s="9" t="n">
        <v>0</v>
      </c>
      <c r="DU420" s="9" t="n">
        <v>5800</v>
      </c>
      <c r="DY420" s="10" t="n">
        <v>46381</v>
      </c>
      <c r="EA420" s="9" t="n">
        <v>0</v>
      </c>
      <c r="EC420" s="9" t="n">
        <v>0</v>
      </c>
      <c r="ED420" s="9" t="n">
        <v>0</v>
      </c>
      <c r="EH420" s="10" t="n">
        <v>46381</v>
      </c>
      <c r="EJ420" s="9" t="n">
        <v>0</v>
      </c>
      <c r="EL420" s="9" t="n">
        <v>0</v>
      </c>
      <c r="EM420" s="9" t="n">
        <v>0</v>
      </c>
      <c r="EQ420" s="10" t="n">
        <v>46381</v>
      </c>
      <c r="ES420" s="9" t="n">
        <v>0</v>
      </c>
      <c r="EU420" s="9" t="n">
        <v>0</v>
      </c>
      <c r="EV420" s="9" t="n">
        <v>0</v>
      </c>
      <c r="EZ420" s="10" t="n">
        <v>46381</v>
      </c>
      <c r="FB420" s="9" t="n">
        <v>0</v>
      </c>
      <c r="FD420" s="9" t="n">
        <v>0</v>
      </c>
      <c r="FE420" s="9" t="n">
        <v>0</v>
      </c>
      <c r="FI420" s="10" t="n">
        <v>46381</v>
      </c>
      <c r="FK420" s="9" t="n">
        <v>0</v>
      </c>
      <c r="FM420" s="9" t="n">
        <v>0</v>
      </c>
      <c r="FN420" s="9" t="n">
        <v>0</v>
      </c>
      <c r="FR420" s="10" t="n">
        <v>46381</v>
      </c>
      <c r="FT420" s="9" t="n">
        <v>0</v>
      </c>
      <c r="FV420" s="9" t="n">
        <v>0</v>
      </c>
      <c r="FW420" s="9" t="n">
        <v>2020</v>
      </c>
      <c r="GA420" s="10" t="n">
        <v>46381</v>
      </c>
      <c r="GC420" s="9" t="n">
        <v>0</v>
      </c>
      <c r="GE420" s="9" t="n">
        <v>0</v>
      </c>
      <c r="GF420" s="9" t="n">
        <v>960</v>
      </c>
      <c r="GJ420" s="10" t="n">
        <v>46381</v>
      </c>
      <c r="GL420" s="9" t="n">
        <v>0</v>
      </c>
      <c r="GN420" s="9" t="n">
        <v>0</v>
      </c>
      <c r="GO420" s="9" t="n">
        <v>1760</v>
      </c>
      <c r="GS420" s="10" t="n">
        <v>46381</v>
      </c>
      <c r="GU420" s="9" t="n">
        <v>0</v>
      </c>
      <c r="GW420" s="9" t="n">
        <v>0</v>
      </c>
      <c r="GX420" s="9" t="n">
        <v>400</v>
      </c>
      <c r="HB420" s="10" t="n">
        <v>46381</v>
      </c>
      <c r="HD420" s="9" t="n">
        <v>0</v>
      </c>
      <c r="HF420" s="9" t="n">
        <v>0</v>
      </c>
      <c r="HG420" s="9" t="n">
        <v>3600</v>
      </c>
      <c r="HK420" s="10" t="n">
        <v>46381</v>
      </c>
      <c r="HM420" s="9" t="n">
        <v>0</v>
      </c>
      <c r="HO420" s="9" t="n">
        <v>0</v>
      </c>
      <c r="HP420" s="9" t="n">
        <v>0</v>
      </c>
      <c r="HU420" s="10" t="n">
        <v>46381</v>
      </c>
      <c r="HW420" s="9" t="n">
        <v>0</v>
      </c>
      <c r="HY420" s="9" t="n">
        <v>0</v>
      </c>
      <c r="HZ420" s="9" t="n">
        <v>6120</v>
      </c>
      <c r="ID420" s="10" t="n">
        <v>46381</v>
      </c>
      <c r="IF420" s="9" t="n">
        <v>0</v>
      </c>
      <c r="IH420" s="9" t="n">
        <v>0</v>
      </c>
      <c r="II420" s="9" t="n">
        <v>0</v>
      </c>
      <c r="IM420" s="10" t="n">
        <v>46381</v>
      </c>
      <c r="IO420" s="9" t="n">
        <v>0</v>
      </c>
      <c r="IQ420" s="9" t="n">
        <v>0</v>
      </c>
      <c r="IR420" s="9" t="n">
        <v>0</v>
      </c>
      <c r="IV420" s="10" t="n">
        <v>46381</v>
      </c>
      <c r="IX420" s="9" t="n">
        <v>0</v>
      </c>
      <c r="IZ420" s="9" t="n">
        <v>0</v>
      </c>
      <c r="JA420" s="9" t="n">
        <v>2820</v>
      </c>
      <c r="JE420" s="10" t="n">
        <v>46381</v>
      </c>
      <c r="JG420" s="9" t="n">
        <v>0</v>
      </c>
      <c r="JI420" s="9" t="n">
        <v>0</v>
      </c>
      <c r="JJ420" s="9" t="n">
        <v>0</v>
      </c>
      <c r="JN420" s="10" t="n">
        <v>46381</v>
      </c>
      <c r="JP420" s="9" t="n">
        <v>0</v>
      </c>
      <c r="JR420" s="9" t="n">
        <v>0</v>
      </c>
      <c r="JS420" s="9" t="n">
        <v>0</v>
      </c>
      <c r="JW420" s="10" t="n">
        <v>46381</v>
      </c>
      <c r="JY420" s="9" t="n">
        <v>0</v>
      </c>
      <c r="KA420" s="9" t="n">
        <v>0</v>
      </c>
      <c r="KB420" s="9" t="n">
        <v>2540</v>
      </c>
      <c r="KF420" s="10" t="n">
        <v>46381</v>
      </c>
      <c r="KH420" s="9" t="n">
        <v>0</v>
      </c>
      <c r="KJ420" s="9" t="n">
        <v>0</v>
      </c>
      <c r="KK420" s="9" t="n">
        <v>2359.5</v>
      </c>
      <c r="KO420" s="10" t="n">
        <v>46381</v>
      </c>
      <c r="KQ420" s="9" t="n">
        <v>0</v>
      </c>
      <c r="KS420" s="9" t="n">
        <v>0</v>
      </c>
      <c r="KT420" s="9" t="n">
        <v>1890</v>
      </c>
      <c r="KX420" s="10" t="n">
        <v>46381</v>
      </c>
      <c r="KZ420" s="9" t="n">
        <v>0</v>
      </c>
      <c r="LB420" s="9" t="n">
        <v>0</v>
      </c>
      <c r="LC420" s="9" t="n">
        <v>3690</v>
      </c>
      <c r="LG420" s="10" t="n">
        <v>46381</v>
      </c>
      <c r="LI420" s="9" t="n">
        <v>0</v>
      </c>
      <c r="LK420" s="9" t="n">
        <v>0</v>
      </c>
      <c r="LL420" s="9" t="n">
        <v>4000</v>
      </c>
      <c r="LP420" s="10" t="n">
        <v>46381</v>
      </c>
      <c r="LR420" s="9" t="n">
        <v>0</v>
      </c>
      <c r="LT420" s="9" t="n">
        <v>0</v>
      </c>
      <c r="LU420" s="9" t="n">
        <v>0</v>
      </c>
      <c r="LY420" s="10" t="n">
        <v>46381</v>
      </c>
      <c r="MA420" s="9" t="n">
        <v>0</v>
      </c>
      <c r="MC420" s="9" t="n">
        <v>0</v>
      </c>
      <c r="MD420" s="9" t="n">
        <v>0</v>
      </c>
      <c r="MH420" s="10" t="n">
        <v>46381</v>
      </c>
      <c r="MJ420" s="9" t="n">
        <v>0</v>
      </c>
      <c r="ML420" s="9" t="n">
        <v>0</v>
      </c>
      <c r="MM420" s="9" t="n">
        <v>-18</v>
      </c>
      <c r="MQ420" s="10" t="n">
        <v>46381</v>
      </c>
      <c r="MS420" s="9" t="n">
        <v>0</v>
      </c>
      <c r="MU420" s="9" t="n">
        <v>0</v>
      </c>
      <c r="MV420" s="9" t="n">
        <v>1559</v>
      </c>
      <c r="MZ420" s="10" t="n">
        <v>46381</v>
      </c>
      <c r="NB420" s="9" t="n">
        <v>0</v>
      </c>
      <c r="ND420" s="9" t="n">
        <v>0</v>
      </c>
      <c r="NE420" s="9" t="n">
        <v>0</v>
      </c>
      <c r="NI420" s="10" t="n">
        <v>46381</v>
      </c>
      <c r="NK420" s="9" t="n">
        <v>0</v>
      </c>
      <c r="NM420" s="9" t="n">
        <v>0</v>
      </c>
      <c r="NN420" s="9" t="n">
        <v>1127</v>
      </c>
      <c r="NR420" s="10" t="n">
        <v>46381</v>
      </c>
      <c r="NT420" s="9" t="n">
        <v>0</v>
      </c>
      <c r="NV420" s="9" t="n">
        <v>0</v>
      </c>
      <c r="NW420" s="9" t="n">
        <v>3112</v>
      </c>
      <c r="OA420" s="10" t="n">
        <v>46381</v>
      </c>
      <c r="OC420" s="9" t="n">
        <v>0</v>
      </c>
      <c r="OE420" s="9" t="n">
        <v>0</v>
      </c>
      <c r="OF420" s="9" t="n">
        <v>1680.5</v>
      </c>
      <c r="OJ420" s="10" t="n">
        <v>46381</v>
      </c>
      <c r="OL420" s="9" t="n">
        <v>0</v>
      </c>
      <c r="ON420" s="9" t="n">
        <v>0</v>
      </c>
      <c r="OO420" s="9" t="n">
        <v>0</v>
      </c>
      <c r="OS420" s="10" t="n">
        <v>46381</v>
      </c>
      <c r="OU420" s="9" t="n">
        <v>0</v>
      </c>
      <c r="OW420" s="9" t="n">
        <v>0</v>
      </c>
      <c r="OX420" s="9" t="n">
        <v>1482</v>
      </c>
      <c r="PB420" s="10" t="n">
        <v>46381</v>
      </c>
      <c r="PD420" s="9" t="n">
        <v>0</v>
      </c>
      <c r="PF420" s="9" t="n">
        <v>0</v>
      </c>
      <c r="PG420" s="9" t="n">
        <v>0</v>
      </c>
      <c r="PK420" s="10" t="n">
        <v>46381</v>
      </c>
      <c r="PM420" s="9" t="n">
        <v>0</v>
      </c>
      <c r="PO420" s="9" t="n">
        <v>0</v>
      </c>
      <c r="PP420" s="9" t="n">
        <v>100</v>
      </c>
      <c r="PT420" s="10" t="n">
        <v>46381</v>
      </c>
      <c r="PV420" s="9" t="n">
        <v>0</v>
      </c>
      <c r="PX420" s="9" t="n">
        <v>0</v>
      </c>
      <c r="PY420" s="9" t="n">
        <v>13.96000000000004</v>
      </c>
      <c r="QC420" s="10" t="n">
        <v>46381</v>
      </c>
      <c r="QE420" s="9" t="n">
        <v>0</v>
      </c>
      <c r="QG420" s="9" t="n">
        <v>0</v>
      </c>
      <c r="QH420" s="9" t="n">
        <v>548</v>
      </c>
      <c r="QL420" s="10" t="n">
        <v>46381</v>
      </c>
      <c r="QN420" s="9" t="n">
        <v>0</v>
      </c>
      <c r="QP420" s="9" t="n">
        <v>0</v>
      </c>
      <c r="QQ420" s="9" t="n">
        <v>0</v>
      </c>
      <c r="QU420" s="10" t="n">
        <v>46381</v>
      </c>
      <c r="QW420" s="9" t="n">
        <v>0</v>
      </c>
      <c r="QY420" s="9" t="n">
        <v>0</v>
      </c>
      <c r="QZ420" s="9" t="n">
        <v>0</v>
      </c>
      <c r="RD420" s="10" t="n">
        <v>46381</v>
      </c>
      <c r="RF420" s="9" t="n">
        <v>0</v>
      </c>
      <c r="RH420" s="9" t="n">
        <v>0</v>
      </c>
      <c r="RI420" s="9" t="n">
        <v>147.04</v>
      </c>
      <c r="RM420" s="10" t="n">
        <v>46381</v>
      </c>
      <c r="RO420" s="9" t="n">
        <v>0</v>
      </c>
      <c r="RQ420" s="9" t="n">
        <v>0</v>
      </c>
      <c r="RR420" s="9" t="n">
        <v>46.8</v>
      </c>
      <c r="RV420" s="10" t="n">
        <v>46381</v>
      </c>
      <c r="RX420" s="9" t="n">
        <v>0</v>
      </c>
      <c r="RZ420" s="9" t="n">
        <v>0</v>
      </c>
      <c r="SA420" s="9" t="n">
        <v>0</v>
      </c>
      <c r="SE420" s="10" t="n">
        <v>46381</v>
      </c>
      <c r="SG420" s="9" t="n">
        <v>0</v>
      </c>
      <c r="SI420" s="9" t="n">
        <v>0</v>
      </c>
      <c r="SJ420" s="9" t="n">
        <v>24.2</v>
      </c>
      <c r="SN420" s="10" t="n">
        <v>46381</v>
      </c>
      <c r="SP420" s="9" t="n">
        <v>0</v>
      </c>
      <c r="SR420" s="9" t="n">
        <v>0</v>
      </c>
      <c r="SS420" s="9" t="n">
        <v>32</v>
      </c>
      <c r="SW420" s="10" t="n">
        <v>46381</v>
      </c>
      <c r="SY420" s="9" t="n">
        <v>0</v>
      </c>
      <c r="TA420" s="9" t="n">
        <v>0</v>
      </c>
      <c r="TB420" s="9" t="n">
        <v>0</v>
      </c>
      <c r="TF420" s="10" t="n">
        <v>46381</v>
      </c>
      <c r="TH420" s="9" t="n">
        <v>0</v>
      </c>
      <c r="TJ420" s="9" t="n">
        <v>0</v>
      </c>
      <c r="TK420" s="9" t="n">
        <v>0</v>
      </c>
      <c r="TO420" s="10" t="n">
        <v>46381</v>
      </c>
      <c r="TQ420" s="9" t="n">
        <v>0</v>
      </c>
      <c r="TS420" s="9" t="n">
        <v>0</v>
      </c>
      <c r="TT420" s="9" t="n">
        <v>0</v>
      </c>
      <c r="TX420" s="10" t="n">
        <v>46381</v>
      </c>
      <c r="TZ420" s="9" t="n">
        <v>0</v>
      </c>
      <c r="UB420" s="9" t="n">
        <v>0</v>
      </c>
      <c r="UC420" s="9" t="n">
        <v>46.79999999999998</v>
      </c>
      <c r="UG420" s="10" t="n">
        <v>46381</v>
      </c>
      <c r="UI420" s="9" t="n">
        <v>0</v>
      </c>
      <c r="UK420" s="9" t="n">
        <v>0</v>
      </c>
      <c r="UL420" s="9" t="n">
        <v>204</v>
      </c>
      <c r="UP420" s="10" t="n">
        <v>46381</v>
      </c>
      <c r="UR420" s="9" t="n">
        <v>0</v>
      </c>
      <c r="UT420" s="9" t="n">
        <v>0</v>
      </c>
      <c r="UU420" s="9" t="n">
        <v>202.5</v>
      </c>
      <c r="UY420" s="10" t="n">
        <v>46381</v>
      </c>
      <c r="VA420" s="9" t="n">
        <v>0</v>
      </c>
      <c r="VC420" s="9" t="n">
        <v>0</v>
      </c>
      <c r="VD420" s="9" t="n">
        <v>41.60000000000002</v>
      </c>
      <c r="VH420" s="10" t="n">
        <v>46381</v>
      </c>
      <c r="VJ420" s="9" t="n">
        <v>0</v>
      </c>
      <c r="VL420" s="9" t="n">
        <v>0</v>
      </c>
      <c r="VM420" s="9" t="n">
        <v>210</v>
      </c>
      <c r="VQ420" s="10" t="n">
        <v>46381</v>
      </c>
      <c r="VS420" s="9" t="n">
        <v>0</v>
      </c>
      <c r="VU420" s="9" t="n">
        <v>0</v>
      </c>
      <c r="VV420" s="9" t="n">
        <v>0</v>
      </c>
      <c r="VZ420" s="10" t="n">
        <v>46381</v>
      </c>
      <c r="WB420" s="9" t="n">
        <v>0</v>
      </c>
      <c r="WD420" s="9" t="n">
        <v>0</v>
      </c>
      <c r="WE420" s="9" t="n">
        <v>0</v>
      </c>
      <c r="WI420" s="10" t="n">
        <v>46381</v>
      </c>
      <c r="WK420" s="9" t="n">
        <v>0</v>
      </c>
      <c r="WM420" s="9" t="n">
        <v>0</v>
      </c>
      <c r="WN420" s="9" t="n">
        <v>1057</v>
      </c>
      <c r="WR420" s="10" t="n">
        <v>46381</v>
      </c>
      <c r="WT420" s="9" t="n">
        <v>0</v>
      </c>
      <c r="WV420" s="9" t="n">
        <v>0</v>
      </c>
      <c r="WW420" s="9" t="n">
        <v>0</v>
      </c>
      <c r="XA420" s="10" t="n">
        <v>46381</v>
      </c>
      <c r="XC420" s="9" t="n">
        <v>0</v>
      </c>
      <c r="XE420" s="9" t="n">
        <v>0</v>
      </c>
      <c r="XF420" s="9" t="n">
        <v>7507</v>
      </c>
      <c r="XJ420" s="10" t="n">
        <v>46381</v>
      </c>
      <c r="XL420" s="9" t="n">
        <v>0</v>
      </c>
      <c r="XN420" s="9" t="n">
        <v>0</v>
      </c>
      <c r="XO420" s="9" t="n">
        <v>4252</v>
      </c>
      <c r="XS420" s="10" t="n">
        <v>46381</v>
      </c>
      <c r="XU420" s="9" t="n">
        <v>0</v>
      </c>
      <c r="XW420" s="9" t="n">
        <v>0</v>
      </c>
      <c r="XX420" s="9" t="n">
        <v>2179</v>
      </c>
      <c r="YB420" s="10" t="n">
        <v>46381</v>
      </c>
      <c r="YD420" s="9" t="n">
        <v>0</v>
      </c>
      <c r="YF420" s="9" t="n">
        <v>0</v>
      </c>
      <c r="YG420" s="9" t="n">
        <v>4019</v>
      </c>
      <c r="YK420" s="10" t="n">
        <v>46381</v>
      </c>
      <c r="YM420" s="9" t="n">
        <v>0</v>
      </c>
      <c r="YO420" s="9" t="n">
        <v>0</v>
      </c>
      <c r="YP420" s="9" t="n">
        <v>-218</v>
      </c>
      <c r="YT420" s="10" t="n">
        <v>46381</v>
      </c>
      <c r="YV420" s="9" t="n">
        <v>0</v>
      </c>
      <c r="YX420" s="9" t="n">
        <v>0</v>
      </c>
      <c r="YY420" s="9" t="n">
        <v>0</v>
      </c>
      <c r="ZC420" s="10" t="n">
        <v>46381</v>
      </c>
      <c r="ZE420" s="9" t="n">
        <v>0</v>
      </c>
      <c r="ZG420" s="9" t="n">
        <v>0</v>
      </c>
      <c r="ZH420" s="9" t="n">
        <v>0</v>
      </c>
      <c r="ZL420" s="10" t="n">
        <v>46381</v>
      </c>
      <c r="ZN420" s="9" t="n">
        <v>0</v>
      </c>
      <c r="ZP420" s="9" t="n">
        <v>0</v>
      </c>
      <c r="ZQ420" s="9" t="n">
        <v>0</v>
      </c>
      <c r="ZU420" s="10" t="n">
        <v>46381</v>
      </c>
      <c r="ZW420" s="9" t="n">
        <v>0</v>
      </c>
      <c r="ZY420" s="9" t="n">
        <v>0</v>
      </c>
      <c r="ZZ420" s="9" t="n">
        <v>0</v>
      </c>
      <c r="AAD420" s="10" t="n">
        <v>46381</v>
      </c>
      <c r="AAF420" s="9" t="n">
        <v>0</v>
      </c>
      <c r="AAH420" s="9" t="n">
        <v>0</v>
      </c>
      <c r="AAI420" s="9" t="n">
        <v>0</v>
      </c>
      <c r="AAM420" s="10" t="n">
        <v>46381</v>
      </c>
      <c r="AAO420" s="9" t="n">
        <v>0</v>
      </c>
      <c r="AAQ420" s="9" t="n">
        <v>0</v>
      </c>
      <c r="AAR420" s="9" t="n">
        <v>0</v>
      </c>
      <c r="AAV420" s="10" t="n">
        <v>46381</v>
      </c>
      <c r="AAX420" s="9" t="n">
        <v>0</v>
      </c>
      <c r="AAZ420" s="9" t="n">
        <v>0</v>
      </c>
      <c r="ABA420" s="9" t="n">
        <v>0</v>
      </c>
      <c r="ABE420" s="10" t="n">
        <v>46381</v>
      </c>
      <c r="ABG420" s="9" t="n">
        <v>0</v>
      </c>
      <c r="ABI420" s="9" t="n">
        <v>0</v>
      </c>
      <c r="ABJ420" s="9" t="n">
        <v>0</v>
      </c>
    </row>
    <row r="421">
      <c r="C421" s="10" t="n">
        <v>46382</v>
      </c>
      <c r="E421" s="9" t="n">
        <v>0</v>
      </c>
      <c r="G421" s="9" t="n">
        <v>0</v>
      </c>
      <c r="H421" s="9" t="n">
        <v>236936.6</v>
      </c>
      <c r="L421" s="10" t="n">
        <v>46382</v>
      </c>
      <c r="N421" s="9" t="n">
        <v>0</v>
      </c>
      <c r="P421" s="9" t="n">
        <v>0</v>
      </c>
      <c r="Q421" s="9" t="n">
        <v>53017.60000000007</v>
      </c>
      <c r="U421" s="10" t="n">
        <v>46382</v>
      </c>
      <c r="W421" s="9" t="n">
        <v>0</v>
      </c>
      <c r="Y421" s="9" t="n">
        <v>0</v>
      </c>
      <c r="Z421" s="9" t="n">
        <v>42674.19999999997</v>
      </c>
      <c r="AD421" s="10" t="n">
        <v>46382</v>
      </c>
      <c r="AF421" s="9" t="n">
        <v>0</v>
      </c>
      <c r="AH421" s="9" t="n">
        <v>0</v>
      </c>
      <c r="AI421" s="9" t="n">
        <v>4522.200000000019</v>
      </c>
      <c r="AM421" s="10" t="n">
        <v>46382</v>
      </c>
      <c r="AO421" s="9" t="n">
        <v>0</v>
      </c>
      <c r="AQ421" s="9" t="n">
        <v>0</v>
      </c>
      <c r="AR421" s="9" t="n">
        <v>0</v>
      </c>
      <c r="AV421" s="10" t="n">
        <v>46382</v>
      </c>
      <c r="AX421" s="9" t="n">
        <v>0</v>
      </c>
      <c r="AZ421" s="9" t="n">
        <v>0</v>
      </c>
      <c r="BA421" s="9" t="n">
        <v>124.9999999999952</v>
      </c>
      <c r="BE421" s="10" t="n">
        <v>46382</v>
      </c>
      <c r="BG421" s="9" t="n">
        <v>0</v>
      </c>
      <c r="BI421" s="9" t="n">
        <v>0</v>
      </c>
      <c r="BJ421" s="9" t="n">
        <v>26151.9</v>
      </c>
      <c r="BN421" s="10" t="n">
        <v>46382</v>
      </c>
      <c r="BP421" s="9" t="n">
        <v>0</v>
      </c>
      <c r="BR421" s="9" t="n">
        <v>0</v>
      </c>
      <c r="BS421" s="9" t="n">
        <v>0</v>
      </c>
      <c r="BW421" s="10" t="n">
        <v>46382</v>
      </c>
      <c r="BY421" s="9" t="n">
        <v>0</v>
      </c>
      <c r="CA421" s="9" t="n">
        <v>0</v>
      </c>
      <c r="CB421" s="9" t="n">
        <v>2097.339999999999</v>
      </c>
      <c r="CF421" s="10" t="n">
        <v>46382</v>
      </c>
      <c r="CH421" s="9" t="n">
        <v>0</v>
      </c>
      <c r="CJ421" s="9" t="n">
        <v>0</v>
      </c>
      <c r="CK421" s="9" t="n">
        <v>-10277.08</v>
      </c>
      <c r="CO421" s="10" t="n">
        <v>46382</v>
      </c>
      <c r="CQ421" s="9" t="n">
        <v>0</v>
      </c>
      <c r="CS421" s="9" t="n">
        <v>0</v>
      </c>
      <c r="CT421" s="9" t="n">
        <v>0</v>
      </c>
      <c r="CX421" s="10" t="n">
        <v>46382</v>
      </c>
      <c r="CZ421" s="9" t="n">
        <v>0</v>
      </c>
      <c r="DB421" s="9" t="n">
        <v>0</v>
      </c>
      <c r="DC421" s="9" t="n">
        <v>27438.20000000001</v>
      </c>
      <c r="DG421" s="10" t="n">
        <v>46382</v>
      </c>
      <c r="DI421" s="9" t="n">
        <v>0</v>
      </c>
      <c r="DK421" s="9" t="n">
        <v>0</v>
      </c>
      <c r="DL421" s="9" t="n">
        <v>18782.29999999998</v>
      </c>
      <c r="DP421" s="10" t="n">
        <v>46382</v>
      </c>
      <c r="DR421" s="9" t="n">
        <v>0</v>
      </c>
      <c r="DT421" s="9" t="n">
        <v>0</v>
      </c>
      <c r="DU421" s="9" t="n">
        <v>5800</v>
      </c>
      <c r="DY421" s="10" t="n">
        <v>46382</v>
      </c>
      <c r="EA421" s="9" t="n">
        <v>0</v>
      </c>
      <c r="EC421" s="9" t="n">
        <v>0</v>
      </c>
      <c r="ED421" s="9" t="n">
        <v>0</v>
      </c>
      <c r="EH421" s="10" t="n">
        <v>46382</v>
      </c>
      <c r="EJ421" s="9" t="n">
        <v>0</v>
      </c>
      <c r="EL421" s="9" t="n">
        <v>0</v>
      </c>
      <c r="EM421" s="9" t="n">
        <v>0</v>
      </c>
      <c r="EQ421" s="10" t="n">
        <v>46382</v>
      </c>
      <c r="ES421" s="9" t="n">
        <v>0</v>
      </c>
      <c r="EU421" s="9" t="n">
        <v>0</v>
      </c>
      <c r="EV421" s="9" t="n">
        <v>0</v>
      </c>
      <c r="EZ421" s="10" t="n">
        <v>46382</v>
      </c>
      <c r="FB421" s="9" t="n">
        <v>0</v>
      </c>
      <c r="FD421" s="9" t="n">
        <v>0</v>
      </c>
      <c r="FE421" s="9" t="n">
        <v>0</v>
      </c>
      <c r="FI421" s="10" t="n">
        <v>46382</v>
      </c>
      <c r="FK421" s="9" t="n">
        <v>0</v>
      </c>
      <c r="FM421" s="9" t="n">
        <v>0</v>
      </c>
      <c r="FN421" s="9" t="n">
        <v>0</v>
      </c>
      <c r="FR421" s="10" t="n">
        <v>46382</v>
      </c>
      <c r="FT421" s="9" t="n">
        <v>0</v>
      </c>
      <c r="FV421" s="9" t="n">
        <v>0</v>
      </c>
      <c r="FW421" s="9" t="n">
        <v>2020</v>
      </c>
      <c r="GA421" s="10" t="n">
        <v>46382</v>
      </c>
      <c r="GC421" s="9" t="n">
        <v>0</v>
      </c>
      <c r="GE421" s="9" t="n">
        <v>0</v>
      </c>
      <c r="GF421" s="9" t="n">
        <v>960</v>
      </c>
      <c r="GJ421" s="10" t="n">
        <v>46382</v>
      </c>
      <c r="GL421" s="9" t="n">
        <v>0</v>
      </c>
      <c r="GN421" s="9" t="n">
        <v>0</v>
      </c>
      <c r="GO421" s="9" t="n">
        <v>1760</v>
      </c>
      <c r="GS421" s="10" t="n">
        <v>46382</v>
      </c>
      <c r="GU421" s="9" t="n">
        <v>0</v>
      </c>
      <c r="GW421" s="9" t="n">
        <v>0</v>
      </c>
      <c r="GX421" s="9" t="n">
        <v>400</v>
      </c>
      <c r="HB421" s="10" t="n">
        <v>46382</v>
      </c>
      <c r="HD421" s="9" t="n">
        <v>0</v>
      </c>
      <c r="HF421" s="9" t="n">
        <v>0</v>
      </c>
      <c r="HG421" s="9" t="n">
        <v>3600</v>
      </c>
      <c r="HK421" s="10" t="n">
        <v>46382</v>
      </c>
      <c r="HM421" s="9" t="n">
        <v>0</v>
      </c>
      <c r="HO421" s="9" t="n">
        <v>0</v>
      </c>
      <c r="HP421" s="9" t="n">
        <v>0</v>
      </c>
      <c r="HU421" s="10" t="n">
        <v>46382</v>
      </c>
      <c r="HW421" s="9" t="n">
        <v>0</v>
      </c>
      <c r="HY421" s="9" t="n">
        <v>0</v>
      </c>
      <c r="HZ421" s="9" t="n">
        <v>6120</v>
      </c>
      <c r="ID421" s="10" t="n">
        <v>46382</v>
      </c>
      <c r="IF421" s="9" t="n">
        <v>0</v>
      </c>
      <c r="IH421" s="9" t="n">
        <v>0</v>
      </c>
      <c r="II421" s="9" t="n">
        <v>0</v>
      </c>
      <c r="IM421" s="10" t="n">
        <v>46382</v>
      </c>
      <c r="IO421" s="9" t="n">
        <v>0</v>
      </c>
      <c r="IQ421" s="9" t="n">
        <v>0</v>
      </c>
      <c r="IR421" s="9" t="n">
        <v>0</v>
      </c>
      <c r="IV421" s="10" t="n">
        <v>46382</v>
      </c>
      <c r="IX421" s="9" t="n">
        <v>0</v>
      </c>
      <c r="IZ421" s="9" t="n">
        <v>0</v>
      </c>
      <c r="JA421" s="9" t="n">
        <v>2820</v>
      </c>
      <c r="JE421" s="10" t="n">
        <v>46382</v>
      </c>
      <c r="JG421" s="9" t="n">
        <v>0</v>
      </c>
      <c r="JI421" s="9" t="n">
        <v>0</v>
      </c>
      <c r="JJ421" s="9" t="n">
        <v>0</v>
      </c>
      <c r="JN421" s="10" t="n">
        <v>46382</v>
      </c>
      <c r="JP421" s="9" t="n">
        <v>0</v>
      </c>
      <c r="JR421" s="9" t="n">
        <v>0</v>
      </c>
      <c r="JS421" s="9" t="n">
        <v>0</v>
      </c>
      <c r="JW421" s="10" t="n">
        <v>46382</v>
      </c>
      <c r="JY421" s="9" t="n">
        <v>0</v>
      </c>
      <c r="KA421" s="9" t="n">
        <v>0</v>
      </c>
      <c r="KB421" s="9" t="n">
        <v>2540</v>
      </c>
      <c r="KF421" s="10" t="n">
        <v>46382</v>
      </c>
      <c r="KH421" s="9" t="n">
        <v>0</v>
      </c>
      <c r="KJ421" s="9" t="n">
        <v>0</v>
      </c>
      <c r="KK421" s="9" t="n">
        <v>2359.5</v>
      </c>
      <c r="KO421" s="10" t="n">
        <v>46382</v>
      </c>
      <c r="KQ421" s="9" t="n">
        <v>0</v>
      </c>
      <c r="KS421" s="9" t="n">
        <v>0</v>
      </c>
      <c r="KT421" s="9" t="n">
        <v>1890</v>
      </c>
      <c r="KX421" s="10" t="n">
        <v>46382</v>
      </c>
      <c r="KZ421" s="9" t="n">
        <v>0</v>
      </c>
      <c r="LB421" s="9" t="n">
        <v>0</v>
      </c>
      <c r="LC421" s="9" t="n">
        <v>3690</v>
      </c>
      <c r="LG421" s="10" t="n">
        <v>46382</v>
      </c>
      <c r="LI421" s="9" t="n">
        <v>0</v>
      </c>
      <c r="LK421" s="9" t="n">
        <v>0</v>
      </c>
      <c r="LL421" s="9" t="n">
        <v>4000</v>
      </c>
      <c r="LP421" s="10" t="n">
        <v>46382</v>
      </c>
      <c r="LR421" s="9" t="n">
        <v>0</v>
      </c>
      <c r="LT421" s="9" t="n">
        <v>0</v>
      </c>
      <c r="LU421" s="9" t="n">
        <v>0</v>
      </c>
      <c r="LY421" s="10" t="n">
        <v>46382</v>
      </c>
      <c r="MA421" s="9" t="n">
        <v>0</v>
      </c>
      <c r="MC421" s="9" t="n">
        <v>0</v>
      </c>
      <c r="MD421" s="9" t="n">
        <v>0</v>
      </c>
      <c r="MH421" s="10" t="n">
        <v>46382</v>
      </c>
      <c r="MJ421" s="9" t="n">
        <v>0</v>
      </c>
      <c r="ML421" s="9" t="n">
        <v>0</v>
      </c>
      <c r="MM421" s="9" t="n">
        <v>-18</v>
      </c>
      <c r="MQ421" s="10" t="n">
        <v>46382</v>
      </c>
      <c r="MS421" s="9" t="n">
        <v>0</v>
      </c>
      <c r="MU421" s="9" t="n">
        <v>0</v>
      </c>
      <c r="MV421" s="9" t="n">
        <v>1559</v>
      </c>
      <c r="MZ421" s="10" t="n">
        <v>46382</v>
      </c>
      <c r="NB421" s="9" t="n">
        <v>0</v>
      </c>
      <c r="ND421" s="9" t="n">
        <v>0</v>
      </c>
      <c r="NE421" s="9" t="n">
        <v>0</v>
      </c>
      <c r="NI421" s="10" t="n">
        <v>46382</v>
      </c>
      <c r="NK421" s="9" t="n">
        <v>0</v>
      </c>
      <c r="NM421" s="9" t="n">
        <v>0</v>
      </c>
      <c r="NN421" s="9" t="n">
        <v>1127</v>
      </c>
      <c r="NR421" s="10" t="n">
        <v>46382</v>
      </c>
      <c r="NT421" s="9" t="n">
        <v>0</v>
      </c>
      <c r="NV421" s="9" t="n">
        <v>0</v>
      </c>
      <c r="NW421" s="9" t="n">
        <v>3112</v>
      </c>
      <c r="OA421" s="10" t="n">
        <v>46382</v>
      </c>
      <c r="OC421" s="9" t="n">
        <v>0</v>
      </c>
      <c r="OE421" s="9" t="n">
        <v>0</v>
      </c>
      <c r="OF421" s="9" t="n">
        <v>1680.5</v>
      </c>
      <c r="OJ421" s="10" t="n">
        <v>46382</v>
      </c>
      <c r="OL421" s="9" t="n">
        <v>0</v>
      </c>
      <c r="ON421" s="9" t="n">
        <v>0</v>
      </c>
      <c r="OO421" s="9" t="n">
        <v>0</v>
      </c>
      <c r="OS421" s="10" t="n">
        <v>46382</v>
      </c>
      <c r="OU421" s="9" t="n">
        <v>0</v>
      </c>
      <c r="OW421" s="9" t="n">
        <v>0</v>
      </c>
      <c r="OX421" s="9" t="n">
        <v>1482</v>
      </c>
      <c r="PB421" s="10" t="n">
        <v>46382</v>
      </c>
      <c r="PD421" s="9" t="n">
        <v>0</v>
      </c>
      <c r="PF421" s="9" t="n">
        <v>0</v>
      </c>
      <c r="PG421" s="9" t="n">
        <v>0</v>
      </c>
      <c r="PK421" s="10" t="n">
        <v>46382</v>
      </c>
      <c r="PM421" s="9" t="n">
        <v>0</v>
      </c>
      <c r="PO421" s="9" t="n">
        <v>0</v>
      </c>
      <c r="PP421" s="9" t="n">
        <v>100</v>
      </c>
      <c r="PT421" s="10" t="n">
        <v>46382</v>
      </c>
      <c r="PV421" s="9" t="n">
        <v>0</v>
      </c>
      <c r="PX421" s="9" t="n">
        <v>0</v>
      </c>
      <c r="PY421" s="9" t="n">
        <v>13.96000000000004</v>
      </c>
      <c r="QC421" s="10" t="n">
        <v>46382</v>
      </c>
      <c r="QE421" s="9" t="n">
        <v>0</v>
      </c>
      <c r="QG421" s="9" t="n">
        <v>0</v>
      </c>
      <c r="QH421" s="9" t="n">
        <v>548</v>
      </c>
      <c r="QL421" s="10" t="n">
        <v>46382</v>
      </c>
      <c r="QN421" s="9" t="n">
        <v>0</v>
      </c>
      <c r="QP421" s="9" t="n">
        <v>0</v>
      </c>
      <c r="QQ421" s="9" t="n">
        <v>0</v>
      </c>
      <c r="QU421" s="10" t="n">
        <v>46382</v>
      </c>
      <c r="QW421" s="9" t="n">
        <v>0</v>
      </c>
      <c r="QY421" s="9" t="n">
        <v>0</v>
      </c>
      <c r="QZ421" s="9" t="n">
        <v>0</v>
      </c>
      <c r="RD421" s="10" t="n">
        <v>46382</v>
      </c>
      <c r="RF421" s="9" t="n">
        <v>0</v>
      </c>
      <c r="RH421" s="9" t="n">
        <v>0</v>
      </c>
      <c r="RI421" s="9" t="n">
        <v>147.04</v>
      </c>
      <c r="RM421" s="10" t="n">
        <v>46382</v>
      </c>
      <c r="RO421" s="9" t="n">
        <v>0</v>
      </c>
      <c r="RQ421" s="9" t="n">
        <v>0</v>
      </c>
      <c r="RR421" s="9" t="n">
        <v>46.8</v>
      </c>
      <c r="RV421" s="10" t="n">
        <v>46382</v>
      </c>
      <c r="RX421" s="9" t="n">
        <v>0</v>
      </c>
      <c r="RZ421" s="9" t="n">
        <v>0</v>
      </c>
      <c r="SA421" s="9" t="n">
        <v>0</v>
      </c>
      <c r="SE421" s="10" t="n">
        <v>46382</v>
      </c>
      <c r="SG421" s="9" t="n">
        <v>0</v>
      </c>
      <c r="SI421" s="9" t="n">
        <v>0</v>
      </c>
      <c r="SJ421" s="9" t="n">
        <v>24.2</v>
      </c>
      <c r="SN421" s="10" t="n">
        <v>46382</v>
      </c>
      <c r="SP421" s="9" t="n">
        <v>0</v>
      </c>
      <c r="SR421" s="9" t="n">
        <v>0</v>
      </c>
      <c r="SS421" s="9" t="n">
        <v>32</v>
      </c>
      <c r="SW421" s="10" t="n">
        <v>46382</v>
      </c>
      <c r="SY421" s="9" t="n">
        <v>0</v>
      </c>
      <c r="TA421" s="9" t="n">
        <v>0</v>
      </c>
      <c r="TB421" s="9" t="n">
        <v>0</v>
      </c>
      <c r="TF421" s="10" t="n">
        <v>46382</v>
      </c>
      <c r="TH421" s="9" t="n">
        <v>0</v>
      </c>
      <c r="TJ421" s="9" t="n">
        <v>0</v>
      </c>
      <c r="TK421" s="9" t="n">
        <v>0</v>
      </c>
      <c r="TO421" s="10" t="n">
        <v>46382</v>
      </c>
      <c r="TQ421" s="9" t="n">
        <v>0</v>
      </c>
      <c r="TS421" s="9" t="n">
        <v>0</v>
      </c>
      <c r="TT421" s="9" t="n">
        <v>0</v>
      </c>
      <c r="TX421" s="10" t="n">
        <v>46382</v>
      </c>
      <c r="TZ421" s="9" t="n">
        <v>0</v>
      </c>
      <c r="UB421" s="9" t="n">
        <v>0</v>
      </c>
      <c r="UC421" s="9" t="n">
        <v>46.79999999999998</v>
      </c>
      <c r="UG421" s="10" t="n">
        <v>46382</v>
      </c>
      <c r="UI421" s="9" t="n">
        <v>0</v>
      </c>
      <c r="UK421" s="9" t="n">
        <v>0</v>
      </c>
      <c r="UL421" s="9" t="n">
        <v>204</v>
      </c>
      <c r="UP421" s="10" t="n">
        <v>46382</v>
      </c>
      <c r="UR421" s="9" t="n">
        <v>0</v>
      </c>
      <c r="UT421" s="9" t="n">
        <v>0</v>
      </c>
      <c r="UU421" s="9" t="n">
        <v>202.5</v>
      </c>
      <c r="UY421" s="10" t="n">
        <v>46382</v>
      </c>
      <c r="VA421" s="9" t="n">
        <v>0</v>
      </c>
      <c r="VC421" s="9" t="n">
        <v>0</v>
      </c>
      <c r="VD421" s="9" t="n">
        <v>41.60000000000002</v>
      </c>
      <c r="VH421" s="10" t="n">
        <v>46382</v>
      </c>
      <c r="VJ421" s="9" t="n">
        <v>0</v>
      </c>
      <c r="VL421" s="9" t="n">
        <v>0</v>
      </c>
      <c r="VM421" s="9" t="n">
        <v>210</v>
      </c>
      <c r="VQ421" s="10" t="n">
        <v>46382</v>
      </c>
      <c r="VS421" s="9" t="n">
        <v>0</v>
      </c>
      <c r="VU421" s="9" t="n">
        <v>0</v>
      </c>
      <c r="VV421" s="9" t="n">
        <v>0</v>
      </c>
      <c r="VZ421" s="10" t="n">
        <v>46382</v>
      </c>
      <c r="WB421" s="9" t="n">
        <v>0</v>
      </c>
      <c r="WD421" s="9" t="n">
        <v>0</v>
      </c>
      <c r="WE421" s="9" t="n">
        <v>0</v>
      </c>
      <c r="WI421" s="10" t="n">
        <v>46382</v>
      </c>
      <c r="WK421" s="9" t="n">
        <v>0</v>
      </c>
      <c r="WM421" s="9" t="n">
        <v>0</v>
      </c>
      <c r="WN421" s="9" t="n">
        <v>1057</v>
      </c>
      <c r="WR421" s="10" t="n">
        <v>46382</v>
      </c>
      <c r="WT421" s="9" t="n">
        <v>0</v>
      </c>
      <c r="WV421" s="9" t="n">
        <v>0</v>
      </c>
      <c r="WW421" s="9" t="n">
        <v>0</v>
      </c>
      <c r="XA421" s="10" t="n">
        <v>46382</v>
      </c>
      <c r="XC421" s="9" t="n">
        <v>0</v>
      </c>
      <c r="XE421" s="9" t="n">
        <v>0</v>
      </c>
      <c r="XF421" s="9" t="n">
        <v>7507</v>
      </c>
      <c r="XJ421" s="10" t="n">
        <v>46382</v>
      </c>
      <c r="XL421" s="9" t="n">
        <v>0</v>
      </c>
      <c r="XN421" s="9" t="n">
        <v>0</v>
      </c>
      <c r="XO421" s="9" t="n">
        <v>4252</v>
      </c>
      <c r="XS421" s="10" t="n">
        <v>46382</v>
      </c>
      <c r="XU421" s="9" t="n">
        <v>0</v>
      </c>
      <c r="XW421" s="9" t="n">
        <v>0</v>
      </c>
      <c r="XX421" s="9" t="n">
        <v>2179</v>
      </c>
      <c r="YB421" s="10" t="n">
        <v>46382</v>
      </c>
      <c r="YD421" s="9" t="n">
        <v>0</v>
      </c>
      <c r="YF421" s="9" t="n">
        <v>0</v>
      </c>
      <c r="YG421" s="9" t="n">
        <v>4019</v>
      </c>
      <c r="YK421" s="10" t="n">
        <v>46382</v>
      </c>
      <c r="YM421" s="9" t="n">
        <v>0</v>
      </c>
      <c r="YO421" s="9" t="n">
        <v>0</v>
      </c>
      <c r="YP421" s="9" t="n">
        <v>-218</v>
      </c>
      <c r="YT421" s="10" t="n">
        <v>46382</v>
      </c>
      <c r="YV421" s="9" t="n">
        <v>0</v>
      </c>
      <c r="YX421" s="9" t="n">
        <v>0</v>
      </c>
      <c r="YY421" s="9" t="n">
        <v>0</v>
      </c>
      <c r="ZC421" s="10" t="n">
        <v>46382</v>
      </c>
      <c r="ZE421" s="9" t="n">
        <v>0</v>
      </c>
      <c r="ZG421" s="9" t="n">
        <v>0</v>
      </c>
      <c r="ZH421" s="9" t="n">
        <v>0</v>
      </c>
      <c r="ZL421" s="10" t="n">
        <v>46382</v>
      </c>
      <c r="ZN421" s="9" t="n">
        <v>0</v>
      </c>
      <c r="ZP421" s="9" t="n">
        <v>0</v>
      </c>
      <c r="ZQ421" s="9" t="n">
        <v>0</v>
      </c>
      <c r="ZU421" s="10" t="n">
        <v>46382</v>
      </c>
      <c r="ZW421" s="9" t="n">
        <v>0</v>
      </c>
      <c r="ZY421" s="9" t="n">
        <v>0</v>
      </c>
      <c r="ZZ421" s="9" t="n">
        <v>0</v>
      </c>
      <c r="AAD421" s="10" t="n">
        <v>46382</v>
      </c>
      <c r="AAF421" s="9" t="n">
        <v>0</v>
      </c>
      <c r="AAH421" s="9" t="n">
        <v>0</v>
      </c>
      <c r="AAI421" s="9" t="n">
        <v>0</v>
      </c>
      <c r="AAM421" s="10" t="n">
        <v>46382</v>
      </c>
      <c r="AAO421" s="9" t="n">
        <v>0</v>
      </c>
      <c r="AAQ421" s="9" t="n">
        <v>0</v>
      </c>
      <c r="AAR421" s="9" t="n">
        <v>0</v>
      </c>
      <c r="AAV421" s="10" t="n">
        <v>46382</v>
      </c>
      <c r="AAX421" s="9" t="n">
        <v>0</v>
      </c>
      <c r="AAZ421" s="9" t="n">
        <v>0</v>
      </c>
      <c r="ABA421" s="9" t="n">
        <v>0</v>
      </c>
      <c r="ABE421" s="10" t="n">
        <v>46382</v>
      </c>
      <c r="ABG421" s="9" t="n">
        <v>0</v>
      </c>
      <c r="ABI421" s="9" t="n">
        <v>0</v>
      </c>
      <c r="ABJ421" s="9" t="n">
        <v>0</v>
      </c>
    </row>
    <row r="422">
      <c r="C422" s="10" t="n">
        <v>46383</v>
      </c>
      <c r="E422" s="9" t="n">
        <v>0</v>
      </c>
      <c r="G422" s="9" t="n">
        <v>0</v>
      </c>
      <c r="H422" s="9" t="n">
        <v>236936.6</v>
      </c>
      <c r="L422" s="10" t="n">
        <v>46383</v>
      </c>
      <c r="N422" s="9" t="n">
        <v>0</v>
      </c>
      <c r="P422" s="9" t="n">
        <v>0</v>
      </c>
      <c r="Q422" s="9" t="n">
        <v>53017.60000000007</v>
      </c>
      <c r="U422" s="10" t="n">
        <v>46383</v>
      </c>
      <c r="W422" s="9" t="n">
        <v>0</v>
      </c>
      <c r="Y422" s="9" t="n">
        <v>0</v>
      </c>
      <c r="Z422" s="9" t="n">
        <v>42674.19999999997</v>
      </c>
      <c r="AD422" s="10" t="n">
        <v>46383</v>
      </c>
      <c r="AF422" s="9" t="n">
        <v>0</v>
      </c>
      <c r="AH422" s="9" t="n">
        <v>0</v>
      </c>
      <c r="AI422" s="9" t="n">
        <v>4522.200000000019</v>
      </c>
      <c r="AM422" s="10" t="n">
        <v>46383</v>
      </c>
      <c r="AO422" s="9" t="n">
        <v>0</v>
      </c>
      <c r="AQ422" s="9" t="n">
        <v>0</v>
      </c>
      <c r="AR422" s="9" t="n">
        <v>0</v>
      </c>
      <c r="AV422" s="10" t="n">
        <v>46383</v>
      </c>
      <c r="AX422" s="9" t="n">
        <v>0</v>
      </c>
      <c r="AZ422" s="9" t="n">
        <v>0</v>
      </c>
      <c r="BA422" s="9" t="n">
        <v>124.9999999999952</v>
      </c>
      <c r="BE422" s="10" t="n">
        <v>46383</v>
      </c>
      <c r="BG422" s="9" t="n">
        <v>0</v>
      </c>
      <c r="BI422" s="9" t="n">
        <v>0</v>
      </c>
      <c r="BJ422" s="9" t="n">
        <v>26151.9</v>
      </c>
      <c r="BN422" s="10" t="n">
        <v>46383</v>
      </c>
      <c r="BP422" s="9" t="n">
        <v>0</v>
      </c>
      <c r="BR422" s="9" t="n">
        <v>0</v>
      </c>
      <c r="BS422" s="9" t="n">
        <v>0</v>
      </c>
      <c r="BW422" s="10" t="n">
        <v>46383</v>
      </c>
      <c r="BY422" s="9" t="n">
        <v>0</v>
      </c>
      <c r="CA422" s="9" t="n">
        <v>0</v>
      </c>
      <c r="CB422" s="9" t="n">
        <v>2097.339999999999</v>
      </c>
      <c r="CF422" s="10" t="n">
        <v>46383</v>
      </c>
      <c r="CH422" s="9" t="n">
        <v>0</v>
      </c>
      <c r="CJ422" s="9" t="n">
        <v>0</v>
      </c>
      <c r="CK422" s="9" t="n">
        <v>-10277.08</v>
      </c>
      <c r="CO422" s="10" t="n">
        <v>46383</v>
      </c>
      <c r="CQ422" s="9" t="n">
        <v>0</v>
      </c>
      <c r="CS422" s="9" t="n">
        <v>0</v>
      </c>
      <c r="CT422" s="9" t="n">
        <v>0</v>
      </c>
      <c r="CX422" s="10" t="n">
        <v>46383</v>
      </c>
      <c r="CZ422" s="9" t="n">
        <v>0</v>
      </c>
      <c r="DB422" s="9" t="n">
        <v>0</v>
      </c>
      <c r="DC422" s="9" t="n">
        <v>27438.20000000001</v>
      </c>
      <c r="DG422" s="10" t="n">
        <v>46383</v>
      </c>
      <c r="DI422" s="9" t="n">
        <v>0</v>
      </c>
      <c r="DK422" s="9" t="n">
        <v>0</v>
      </c>
      <c r="DL422" s="9" t="n">
        <v>18782.29999999998</v>
      </c>
      <c r="DP422" s="10" t="n">
        <v>46383</v>
      </c>
      <c r="DR422" s="9" t="n">
        <v>0</v>
      </c>
      <c r="DT422" s="9" t="n">
        <v>0</v>
      </c>
      <c r="DU422" s="9" t="n">
        <v>5800</v>
      </c>
      <c r="DY422" s="10" t="n">
        <v>46383</v>
      </c>
      <c r="EA422" s="9" t="n">
        <v>0</v>
      </c>
      <c r="EC422" s="9" t="n">
        <v>0</v>
      </c>
      <c r="ED422" s="9" t="n">
        <v>0</v>
      </c>
      <c r="EH422" s="10" t="n">
        <v>46383</v>
      </c>
      <c r="EJ422" s="9" t="n">
        <v>0</v>
      </c>
      <c r="EL422" s="9" t="n">
        <v>0</v>
      </c>
      <c r="EM422" s="9" t="n">
        <v>0</v>
      </c>
      <c r="EQ422" s="10" t="n">
        <v>46383</v>
      </c>
      <c r="ES422" s="9" t="n">
        <v>0</v>
      </c>
      <c r="EU422" s="9" t="n">
        <v>0</v>
      </c>
      <c r="EV422" s="9" t="n">
        <v>0</v>
      </c>
      <c r="EZ422" s="10" t="n">
        <v>46383</v>
      </c>
      <c r="FB422" s="9" t="n">
        <v>0</v>
      </c>
      <c r="FD422" s="9" t="n">
        <v>0</v>
      </c>
      <c r="FE422" s="9" t="n">
        <v>0</v>
      </c>
      <c r="FI422" s="10" t="n">
        <v>46383</v>
      </c>
      <c r="FK422" s="9" t="n">
        <v>0</v>
      </c>
      <c r="FM422" s="9" t="n">
        <v>0</v>
      </c>
      <c r="FN422" s="9" t="n">
        <v>0</v>
      </c>
      <c r="FR422" s="10" t="n">
        <v>46383</v>
      </c>
      <c r="FT422" s="9" t="n">
        <v>0</v>
      </c>
      <c r="FV422" s="9" t="n">
        <v>0</v>
      </c>
      <c r="FW422" s="9" t="n">
        <v>2020</v>
      </c>
      <c r="GA422" s="10" t="n">
        <v>46383</v>
      </c>
      <c r="GC422" s="9" t="n">
        <v>0</v>
      </c>
      <c r="GE422" s="9" t="n">
        <v>0</v>
      </c>
      <c r="GF422" s="9" t="n">
        <v>960</v>
      </c>
      <c r="GJ422" s="10" t="n">
        <v>46383</v>
      </c>
      <c r="GL422" s="9" t="n">
        <v>0</v>
      </c>
      <c r="GN422" s="9" t="n">
        <v>0</v>
      </c>
      <c r="GO422" s="9" t="n">
        <v>1760</v>
      </c>
      <c r="GS422" s="10" t="n">
        <v>46383</v>
      </c>
      <c r="GU422" s="9" t="n">
        <v>0</v>
      </c>
      <c r="GW422" s="9" t="n">
        <v>0</v>
      </c>
      <c r="GX422" s="9" t="n">
        <v>400</v>
      </c>
      <c r="HB422" s="10" t="n">
        <v>46383</v>
      </c>
      <c r="HD422" s="9" t="n">
        <v>0</v>
      </c>
      <c r="HF422" s="9" t="n">
        <v>0</v>
      </c>
      <c r="HG422" s="9" t="n">
        <v>3600</v>
      </c>
      <c r="HK422" s="10" t="n">
        <v>46383</v>
      </c>
      <c r="HM422" s="9" t="n">
        <v>0</v>
      </c>
      <c r="HO422" s="9" t="n">
        <v>0</v>
      </c>
      <c r="HP422" s="9" t="n">
        <v>0</v>
      </c>
      <c r="HU422" s="10" t="n">
        <v>46383</v>
      </c>
      <c r="HW422" s="9" t="n">
        <v>0</v>
      </c>
      <c r="HY422" s="9" t="n">
        <v>0</v>
      </c>
      <c r="HZ422" s="9" t="n">
        <v>6120</v>
      </c>
      <c r="ID422" s="10" t="n">
        <v>46383</v>
      </c>
      <c r="IF422" s="9" t="n">
        <v>0</v>
      </c>
      <c r="IH422" s="9" t="n">
        <v>0</v>
      </c>
      <c r="II422" s="9" t="n">
        <v>0</v>
      </c>
      <c r="IM422" s="10" t="n">
        <v>46383</v>
      </c>
      <c r="IO422" s="9" t="n">
        <v>0</v>
      </c>
      <c r="IQ422" s="9" t="n">
        <v>0</v>
      </c>
      <c r="IR422" s="9" t="n">
        <v>0</v>
      </c>
      <c r="IV422" s="10" t="n">
        <v>46383</v>
      </c>
      <c r="IX422" s="9" t="n">
        <v>0</v>
      </c>
      <c r="IZ422" s="9" t="n">
        <v>0</v>
      </c>
      <c r="JA422" s="9" t="n">
        <v>2820</v>
      </c>
      <c r="JE422" s="10" t="n">
        <v>46383</v>
      </c>
      <c r="JG422" s="9" t="n">
        <v>0</v>
      </c>
      <c r="JI422" s="9" t="n">
        <v>0</v>
      </c>
      <c r="JJ422" s="9" t="n">
        <v>0</v>
      </c>
      <c r="JN422" s="10" t="n">
        <v>46383</v>
      </c>
      <c r="JP422" s="9" t="n">
        <v>0</v>
      </c>
      <c r="JR422" s="9" t="n">
        <v>0</v>
      </c>
      <c r="JS422" s="9" t="n">
        <v>0</v>
      </c>
      <c r="JW422" s="10" t="n">
        <v>46383</v>
      </c>
      <c r="JY422" s="9" t="n">
        <v>0</v>
      </c>
      <c r="KA422" s="9" t="n">
        <v>0</v>
      </c>
      <c r="KB422" s="9" t="n">
        <v>2540</v>
      </c>
      <c r="KF422" s="10" t="n">
        <v>46383</v>
      </c>
      <c r="KH422" s="9" t="n">
        <v>0</v>
      </c>
      <c r="KJ422" s="9" t="n">
        <v>0</v>
      </c>
      <c r="KK422" s="9" t="n">
        <v>2359.5</v>
      </c>
      <c r="KO422" s="10" t="n">
        <v>46383</v>
      </c>
      <c r="KQ422" s="9" t="n">
        <v>0</v>
      </c>
      <c r="KS422" s="9" t="n">
        <v>0</v>
      </c>
      <c r="KT422" s="9" t="n">
        <v>1890</v>
      </c>
      <c r="KX422" s="10" t="n">
        <v>46383</v>
      </c>
      <c r="KZ422" s="9" t="n">
        <v>0</v>
      </c>
      <c r="LB422" s="9" t="n">
        <v>0</v>
      </c>
      <c r="LC422" s="9" t="n">
        <v>3690</v>
      </c>
      <c r="LG422" s="10" t="n">
        <v>46383</v>
      </c>
      <c r="LI422" s="9" t="n">
        <v>0</v>
      </c>
      <c r="LK422" s="9" t="n">
        <v>0</v>
      </c>
      <c r="LL422" s="9" t="n">
        <v>4000</v>
      </c>
      <c r="LP422" s="10" t="n">
        <v>46383</v>
      </c>
      <c r="LR422" s="9" t="n">
        <v>0</v>
      </c>
      <c r="LT422" s="9" t="n">
        <v>0</v>
      </c>
      <c r="LU422" s="9" t="n">
        <v>0</v>
      </c>
      <c r="LY422" s="10" t="n">
        <v>46383</v>
      </c>
      <c r="MA422" s="9" t="n">
        <v>0</v>
      </c>
      <c r="MC422" s="9" t="n">
        <v>0</v>
      </c>
      <c r="MD422" s="9" t="n">
        <v>0</v>
      </c>
      <c r="MH422" s="10" t="n">
        <v>46383</v>
      </c>
      <c r="MJ422" s="9" t="n">
        <v>0</v>
      </c>
      <c r="ML422" s="9" t="n">
        <v>0</v>
      </c>
      <c r="MM422" s="9" t="n">
        <v>-18</v>
      </c>
      <c r="MQ422" s="10" t="n">
        <v>46383</v>
      </c>
      <c r="MS422" s="9" t="n">
        <v>0</v>
      </c>
      <c r="MU422" s="9" t="n">
        <v>0</v>
      </c>
      <c r="MV422" s="9" t="n">
        <v>1559</v>
      </c>
      <c r="MZ422" s="10" t="n">
        <v>46383</v>
      </c>
      <c r="NB422" s="9" t="n">
        <v>0</v>
      </c>
      <c r="ND422" s="9" t="n">
        <v>0</v>
      </c>
      <c r="NE422" s="9" t="n">
        <v>0</v>
      </c>
      <c r="NI422" s="10" t="n">
        <v>46383</v>
      </c>
      <c r="NK422" s="9" t="n">
        <v>0</v>
      </c>
      <c r="NM422" s="9" t="n">
        <v>0</v>
      </c>
      <c r="NN422" s="9" t="n">
        <v>1127</v>
      </c>
      <c r="NR422" s="10" t="n">
        <v>46383</v>
      </c>
      <c r="NT422" s="9" t="n">
        <v>0</v>
      </c>
      <c r="NV422" s="9" t="n">
        <v>0</v>
      </c>
      <c r="NW422" s="9" t="n">
        <v>3112</v>
      </c>
      <c r="OA422" s="10" t="n">
        <v>46383</v>
      </c>
      <c r="OC422" s="9" t="n">
        <v>0</v>
      </c>
      <c r="OE422" s="9" t="n">
        <v>0</v>
      </c>
      <c r="OF422" s="9" t="n">
        <v>1680.5</v>
      </c>
      <c r="OJ422" s="10" t="n">
        <v>46383</v>
      </c>
      <c r="OL422" s="9" t="n">
        <v>0</v>
      </c>
      <c r="ON422" s="9" t="n">
        <v>0</v>
      </c>
      <c r="OO422" s="9" t="n">
        <v>0</v>
      </c>
      <c r="OS422" s="10" t="n">
        <v>46383</v>
      </c>
      <c r="OU422" s="9" t="n">
        <v>0</v>
      </c>
      <c r="OW422" s="9" t="n">
        <v>0</v>
      </c>
      <c r="OX422" s="9" t="n">
        <v>1482</v>
      </c>
      <c r="PB422" s="10" t="n">
        <v>46383</v>
      </c>
      <c r="PD422" s="9" t="n">
        <v>0</v>
      </c>
      <c r="PF422" s="9" t="n">
        <v>0</v>
      </c>
      <c r="PG422" s="9" t="n">
        <v>0</v>
      </c>
      <c r="PK422" s="10" t="n">
        <v>46383</v>
      </c>
      <c r="PM422" s="9" t="n">
        <v>0</v>
      </c>
      <c r="PO422" s="9" t="n">
        <v>0</v>
      </c>
      <c r="PP422" s="9" t="n">
        <v>100</v>
      </c>
      <c r="PT422" s="10" t="n">
        <v>46383</v>
      </c>
      <c r="PV422" s="9" t="n">
        <v>0</v>
      </c>
      <c r="PX422" s="9" t="n">
        <v>0</v>
      </c>
      <c r="PY422" s="9" t="n">
        <v>13.96000000000004</v>
      </c>
      <c r="QC422" s="10" t="n">
        <v>46383</v>
      </c>
      <c r="QE422" s="9" t="n">
        <v>0</v>
      </c>
      <c r="QG422" s="9" t="n">
        <v>0</v>
      </c>
      <c r="QH422" s="9" t="n">
        <v>548</v>
      </c>
      <c r="QL422" s="10" t="n">
        <v>46383</v>
      </c>
      <c r="QN422" s="9" t="n">
        <v>0</v>
      </c>
      <c r="QP422" s="9" t="n">
        <v>0</v>
      </c>
      <c r="QQ422" s="9" t="n">
        <v>0</v>
      </c>
      <c r="QU422" s="10" t="n">
        <v>46383</v>
      </c>
      <c r="QW422" s="9" t="n">
        <v>0</v>
      </c>
      <c r="QY422" s="9" t="n">
        <v>0</v>
      </c>
      <c r="QZ422" s="9" t="n">
        <v>0</v>
      </c>
      <c r="RD422" s="10" t="n">
        <v>46383</v>
      </c>
      <c r="RF422" s="9" t="n">
        <v>0</v>
      </c>
      <c r="RH422" s="9" t="n">
        <v>0</v>
      </c>
      <c r="RI422" s="9" t="n">
        <v>147.04</v>
      </c>
      <c r="RM422" s="10" t="n">
        <v>46383</v>
      </c>
      <c r="RO422" s="9" t="n">
        <v>0</v>
      </c>
      <c r="RQ422" s="9" t="n">
        <v>0</v>
      </c>
      <c r="RR422" s="9" t="n">
        <v>46.8</v>
      </c>
      <c r="RV422" s="10" t="n">
        <v>46383</v>
      </c>
      <c r="RX422" s="9" t="n">
        <v>0</v>
      </c>
      <c r="RZ422" s="9" t="n">
        <v>0</v>
      </c>
      <c r="SA422" s="9" t="n">
        <v>0</v>
      </c>
      <c r="SE422" s="10" t="n">
        <v>46383</v>
      </c>
      <c r="SG422" s="9" t="n">
        <v>0</v>
      </c>
      <c r="SI422" s="9" t="n">
        <v>0</v>
      </c>
      <c r="SJ422" s="9" t="n">
        <v>24.2</v>
      </c>
      <c r="SN422" s="10" t="n">
        <v>46383</v>
      </c>
      <c r="SP422" s="9" t="n">
        <v>0</v>
      </c>
      <c r="SR422" s="9" t="n">
        <v>0</v>
      </c>
      <c r="SS422" s="9" t="n">
        <v>32</v>
      </c>
      <c r="SW422" s="10" t="n">
        <v>46383</v>
      </c>
      <c r="SY422" s="9" t="n">
        <v>0</v>
      </c>
      <c r="TA422" s="9" t="n">
        <v>0</v>
      </c>
      <c r="TB422" s="9" t="n">
        <v>0</v>
      </c>
      <c r="TF422" s="10" t="n">
        <v>46383</v>
      </c>
      <c r="TH422" s="9" t="n">
        <v>0</v>
      </c>
      <c r="TJ422" s="9" t="n">
        <v>0</v>
      </c>
      <c r="TK422" s="9" t="n">
        <v>0</v>
      </c>
      <c r="TO422" s="10" t="n">
        <v>46383</v>
      </c>
      <c r="TQ422" s="9" t="n">
        <v>0</v>
      </c>
      <c r="TS422" s="9" t="n">
        <v>0</v>
      </c>
      <c r="TT422" s="9" t="n">
        <v>0</v>
      </c>
      <c r="TX422" s="10" t="n">
        <v>46383</v>
      </c>
      <c r="TZ422" s="9" t="n">
        <v>0</v>
      </c>
      <c r="UB422" s="9" t="n">
        <v>0</v>
      </c>
      <c r="UC422" s="9" t="n">
        <v>46.79999999999998</v>
      </c>
      <c r="UG422" s="10" t="n">
        <v>46383</v>
      </c>
      <c r="UI422" s="9" t="n">
        <v>0</v>
      </c>
      <c r="UK422" s="9" t="n">
        <v>0</v>
      </c>
      <c r="UL422" s="9" t="n">
        <v>204</v>
      </c>
      <c r="UP422" s="10" t="n">
        <v>46383</v>
      </c>
      <c r="UR422" s="9" t="n">
        <v>0</v>
      </c>
      <c r="UT422" s="9" t="n">
        <v>0</v>
      </c>
      <c r="UU422" s="9" t="n">
        <v>202.5</v>
      </c>
      <c r="UY422" s="10" t="n">
        <v>46383</v>
      </c>
      <c r="VA422" s="9" t="n">
        <v>0</v>
      </c>
      <c r="VC422" s="9" t="n">
        <v>0</v>
      </c>
      <c r="VD422" s="9" t="n">
        <v>41.60000000000002</v>
      </c>
      <c r="VH422" s="10" t="n">
        <v>46383</v>
      </c>
      <c r="VJ422" s="9" t="n">
        <v>0</v>
      </c>
      <c r="VL422" s="9" t="n">
        <v>0</v>
      </c>
      <c r="VM422" s="9" t="n">
        <v>210</v>
      </c>
      <c r="VQ422" s="10" t="n">
        <v>46383</v>
      </c>
      <c r="VS422" s="9" t="n">
        <v>0</v>
      </c>
      <c r="VU422" s="9" t="n">
        <v>0</v>
      </c>
      <c r="VV422" s="9" t="n">
        <v>0</v>
      </c>
      <c r="VZ422" s="10" t="n">
        <v>46383</v>
      </c>
      <c r="WB422" s="9" t="n">
        <v>0</v>
      </c>
      <c r="WD422" s="9" t="n">
        <v>0</v>
      </c>
      <c r="WE422" s="9" t="n">
        <v>0</v>
      </c>
      <c r="WI422" s="10" t="n">
        <v>46383</v>
      </c>
      <c r="WK422" s="9" t="n">
        <v>0</v>
      </c>
      <c r="WM422" s="9" t="n">
        <v>0</v>
      </c>
      <c r="WN422" s="9" t="n">
        <v>1057</v>
      </c>
      <c r="WR422" s="10" t="n">
        <v>46383</v>
      </c>
      <c r="WT422" s="9" t="n">
        <v>0</v>
      </c>
      <c r="WV422" s="9" t="n">
        <v>0</v>
      </c>
      <c r="WW422" s="9" t="n">
        <v>0</v>
      </c>
      <c r="XA422" s="10" t="n">
        <v>46383</v>
      </c>
      <c r="XC422" s="9" t="n">
        <v>0</v>
      </c>
      <c r="XE422" s="9" t="n">
        <v>0</v>
      </c>
      <c r="XF422" s="9" t="n">
        <v>7507</v>
      </c>
      <c r="XJ422" s="10" t="n">
        <v>46383</v>
      </c>
      <c r="XL422" s="9" t="n">
        <v>0</v>
      </c>
      <c r="XN422" s="9" t="n">
        <v>0</v>
      </c>
      <c r="XO422" s="9" t="n">
        <v>4252</v>
      </c>
      <c r="XS422" s="10" t="n">
        <v>46383</v>
      </c>
      <c r="XU422" s="9" t="n">
        <v>0</v>
      </c>
      <c r="XW422" s="9" t="n">
        <v>0</v>
      </c>
      <c r="XX422" s="9" t="n">
        <v>2179</v>
      </c>
      <c r="YB422" s="10" t="n">
        <v>46383</v>
      </c>
      <c r="YD422" s="9" t="n">
        <v>0</v>
      </c>
      <c r="YF422" s="9" t="n">
        <v>0</v>
      </c>
      <c r="YG422" s="9" t="n">
        <v>4019</v>
      </c>
      <c r="YK422" s="10" t="n">
        <v>46383</v>
      </c>
      <c r="YM422" s="9" t="n">
        <v>0</v>
      </c>
      <c r="YO422" s="9" t="n">
        <v>0</v>
      </c>
      <c r="YP422" s="9" t="n">
        <v>-218</v>
      </c>
      <c r="YT422" s="10" t="n">
        <v>46383</v>
      </c>
      <c r="YV422" s="9" t="n">
        <v>0</v>
      </c>
      <c r="YX422" s="9" t="n">
        <v>0</v>
      </c>
      <c r="YY422" s="9" t="n">
        <v>0</v>
      </c>
      <c r="ZC422" s="10" t="n">
        <v>46383</v>
      </c>
      <c r="ZE422" s="9" t="n">
        <v>0</v>
      </c>
      <c r="ZG422" s="9" t="n">
        <v>0</v>
      </c>
      <c r="ZH422" s="9" t="n">
        <v>0</v>
      </c>
      <c r="ZL422" s="10" t="n">
        <v>46383</v>
      </c>
      <c r="ZN422" s="9" t="n">
        <v>0</v>
      </c>
      <c r="ZP422" s="9" t="n">
        <v>0</v>
      </c>
      <c r="ZQ422" s="9" t="n">
        <v>0</v>
      </c>
      <c r="ZU422" s="10" t="n">
        <v>46383</v>
      </c>
      <c r="ZW422" s="9" t="n">
        <v>0</v>
      </c>
      <c r="ZY422" s="9" t="n">
        <v>0</v>
      </c>
      <c r="ZZ422" s="9" t="n">
        <v>0</v>
      </c>
      <c r="AAD422" s="10" t="n">
        <v>46383</v>
      </c>
      <c r="AAF422" s="9" t="n">
        <v>0</v>
      </c>
      <c r="AAH422" s="9" t="n">
        <v>0</v>
      </c>
      <c r="AAI422" s="9" t="n">
        <v>0</v>
      </c>
      <c r="AAM422" s="10" t="n">
        <v>46383</v>
      </c>
      <c r="AAO422" s="9" t="n">
        <v>0</v>
      </c>
      <c r="AAQ422" s="9" t="n">
        <v>0</v>
      </c>
      <c r="AAR422" s="9" t="n">
        <v>0</v>
      </c>
      <c r="AAV422" s="10" t="n">
        <v>46383</v>
      </c>
      <c r="AAX422" s="9" t="n">
        <v>0</v>
      </c>
      <c r="AAZ422" s="9" t="n">
        <v>0</v>
      </c>
      <c r="ABA422" s="9" t="n">
        <v>0</v>
      </c>
      <c r="ABE422" s="10" t="n">
        <v>46383</v>
      </c>
      <c r="ABG422" s="9" t="n">
        <v>0</v>
      </c>
      <c r="ABI422" s="9" t="n">
        <v>0</v>
      </c>
      <c r="ABJ422" s="9" t="n">
        <v>0</v>
      </c>
    </row>
    <row r="423">
      <c r="C423" s="10" t="n">
        <v>46384</v>
      </c>
      <c r="E423" s="9" t="n">
        <v>0</v>
      </c>
      <c r="G423" s="9" t="n">
        <v>0</v>
      </c>
      <c r="H423" s="9" t="n">
        <v>236936.6</v>
      </c>
      <c r="L423" s="10" t="n">
        <v>46384</v>
      </c>
      <c r="N423" s="9" t="n">
        <v>0</v>
      </c>
      <c r="P423" s="9" t="n">
        <v>0</v>
      </c>
      <c r="Q423" s="9" t="n">
        <v>53017.60000000007</v>
      </c>
      <c r="U423" s="10" t="n">
        <v>46384</v>
      </c>
      <c r="W423" s="9" t="n">
        <v>0</v>
      </c>
      <c r="Y423" s="9" t="n">
        <v>0</v>
      </c>
      <c r="Z423" s="9" t="n">
        <v>42674.19999999997</v>
      </c>
      <c r="AD423" s="10" t="n">
        <v>46384</v>
      </c>
      <c r="AF423" s="9" t="n">
        <v>0</v>
      </c>
      <c r="AH423" s="9" t="n">
        <v>0</v>
      </c>
      <c r="AI423" s="9" t="n">
        <v>4522.200000000019</v>
      </c>
      <c r="AM423" s="10" t="n">
        <v>46384</v>
      </c>
      <c r="AO423" s="9" t="n">
        <v>0</v>
      </c>
      <c r="AQ423" s="9" t="n">
        <v>0</v>
      </c>
      <c r="AR423" s="9" t="n">
        <v>0</v>
      </c>
      <c r="AV423" s="10" t="n">
        <v>46384</v>
      </c>
      <c r="AX423" s="9" t="n">
        <v>0</v>
      </c>
      <c r="AZ423" s="9" t="n">
        <v>0</v>
      </c>
      <c r="BA423" s="9" t="n">
        <v>124.9999999999952</v>
      </c>
      <c r="BE423" s="10" t="n">
        <v>46384</v>
      </c>
      <c r="BG423" s="9" t="n">
        <v>0</v>
      </c>
      <c r="BI423" s="9" t="n">
        <v>0</v>
      </c>
      <c r="BJ423" s="9" t="n">
        <v>26151.9</v>
      </c>
      <c r="BN423" s="10" t="n">
        <v>46384</v>
      </c>
      <c r="BP423" s="9" t="n">
        <v>0</v>
      </c>
      <c r="BR423" s="9" t="n">
        <v>0</v>
      </c>
      <c r="BS423" s="9" t="n">
        <v>0</v>
      </c>
      <c r="BW423" s="10" t="n">
        <v>46384</v>
      </c>
      <c r="BY423" s="9" t="n">
        <v>0</v>
      </c>
      <c r="CA423" s="9" t="n">
        <v>0</v>
      </c>
      <c r="CB423" s="9" t="n">
        <v>2097.339999999999</v>
      </c>
      <c r="CF423" s="10" t="n">
        <v>46384</v>
      </c>
      <c r="CH423" s="9" t="n">
        <v>0</v>
      </c>
      <c r="CJ423" s="9" t="n">
        <v>0</v>
      </c>
      <c r="CK423" s="9" t="n">
        <v>-10277.08</v>
      </c>
      <c r="CO423" s="10" t="n">
        <v>46384</v>
      </c>
      <c r="CQ423" s="9" t="n">
        <v>0</v>
      </c>
      <c r="CS423" s="9" t="n">
        <v>0</v>
      </c>
      <c r="CT423" s="9" t="n">
        <v>0</v>
      </c>
      <c r="CX423" s="10" t="n">
        <v>46384</v>
      </c>
      <c r="CZ423" s="9" t="n">
        <v>0</v>
      </c>
      <c r="DB423" s="9" t="n">
        <v>0</v>
      </c>
      <c r="DC423" s="9" t="n">
        <v>27438.20000000001</v>
      </c>
      <c r="DG423" s="10" t="n">
        <v>46384</v>
      </c>
      <c r="DI423" s="9" t="n">
        <v>0</v>
      </c>
      <c r="DK423" s="9" t="n">
        <v>0</v>
      </c>
      <c r="DL423" s="9" t="n">
        <v>18782.29999999998</v>
      </c>
      <c r="DP423" s="10" t="n">
        <v>46384</v>
      </c>
      <c r="DR423" s="9" t="n">
        <v>0</v>
      </c>
      <c r="DT423" s="9" t="n">
        <v>0</v>
      </c>
      <c r="DU423" s="9" t="n">
        <v>5800</v>
      </c>
      <c r="DY423" s="10" t="n">
        <v>46384</v>
      </c>
      <c r="EA423" s="9" t="n">
        <v>0</v>
      </c>
      <c r="EC423" s="9" t="n">
        <v>0</v>
      </c>
      <c r="ED423" s="9" t="n">
        <v>0</v>
      </c>
      <c r="EH423" s="10" t="n">
        <v>46384</v>
      </c>
      <c r="EJ423" s="9" t="n">
        <v>0</v>
      </c>
      <c r="EL423" s="9" t="n">
        <v>0</v>
      </c>
      <c r="EM423" s="9" t="n">
        <v>0</v>
      </c>
      <c r="EQ423" s="10" t="n">
        <v>46384</v>
      </c>
      <c r="ES423" s="9" t="n">
        <v>0</v>
      </c>
      <c r="EU423" s="9" t="n">
        <v>0</v>
      </c>
      <c r="EV423" s="9" t="n">
        <v>0</v>
      </c>
      <c r="EZ423" s="10" t="n">
        <v>46384</v>
      </c>
      <c r="FB423" s="9" t="n">
        <v>0</v>
      </c>
      <c r="FD423" s="9" t="n">
        <v>0</v>
      </c>
      <c r="FE423" s="9" t="n">
        <v>0</v>
      </c>
      <c r="FI423" s="10" t="n">
        <v>46384</v>
      </c>
      <c r="FK423" s="9" t="n">
        <v>0</v>
      </c>
      <c r="FM423" s="9" t="n">
        <v>0</v>
      </c>
      <c r="FN423" s="9" t="n">
        <v>0</v>
      </c>
      <c r="FR423" s="10" t="n">
        <v>46384</v>
      </c>
      <c r="FT423" s="9" t="n">
        <v>0</v>
      </c>
      <c r="FV423" s="9" t="n">
        <v>0</v>
      </c>
      <c r="FW423" s="9" t="n">
        <v>2020</v>
      </c>
      <c r="GA423" s="10" t="n">
        <v>46384</v>
      </c>
      <c r="GC423" s="9" t="n">
        <v>0</v>
      </c>
      <c r="GE423" s="9" t="n">
        <v>0</v>
      </c>
      <c r="GF423" s="9" t="n">
        <v>960</v>
      </c>
      <c r="GJ423" s="10" t="n">
        <v>46384</v>
      </c>
      <c r="GL423" s="9" t="n">
        <v>0</v>
      </c>
      <c r="GN423" s="9" t="n">
        <v>0</v>
      </c>
      <c r="GO423" s="9" t="n">
        <v>1760</v>
      </c>
      <c r="GS423" s="10" t="n">
        <v>46384</v>
      </c>
      <c r="GU423" s="9" t="n">
        <v>0</v>
      </c>
      <c r="GW423" s="9" t="n">
        <v>0</v>
      </c>
      <c r="GX423" s="9" t="n">
        <v>400</v>
      </c>
      <c r="HB423" s="10" t="n">
        <v>46384</v>
      </c>
      <c r="HD423" s="9" t="n">
        <v>0</v>
      </c>
      <c r="HF423" s="9" t="n">
        <v>0</v>
      </c>
      <c r="HG423" s="9" t="n">
        <v>3600</v>
      </c>
      <c r="HK423" s="10" t="n">
        <v>46384</v>
      </c>
      <c r="HM423" s="9" t="n">
        <v>0</v>
      </c>
      <c r="HO423" s="9" t="n">
        <v>0</v>
      </c>
      <c r="HP423" s="9" t="n">
        <v>0</v>
      </c>
      <c r="HU423" s="10" t="n">
        <v>46384</v>
      </c>
      <c r="HW423" s="9" t="n">
        <v>0</v>
      </c>
      <c r="HY423" s="9" t="n">
        <v>0</v>
      </c>
      <c r="HZ423" s="9" t="n">
        <v>6120</v>
      </c>
      <c r="ID423" s="10" t="n">
        <v>46384</v>
      </c>
      <c r="IF423" s="9" t="n">
        <v>0</v>
      </c>
      <c r="IH423" s="9" t="n">
        <v>0</v>
      </c>
      <c r="II423" s="9" t="n">
        <v>0</v>
      </c>
      <c r="IM423" s="10" t="n">
        <v>46384</v>
      </c>
      <c r="IO423" s="9" t="n">
        <v>0</v>
      </c>
      <c r="IQ423" s="9" t="n">
        <v>0</v>
      </c>
      <c r="IR423" s="9" t="n">
        <v>0</v>
      </c>
      <c r="IV423" s="10" t="n">
        <v>46384</v>
      </c>
      <c r="IX423" s="9" t="n">
        <v>0</v>
      </c>
      <c r="IZ423" s="9" t="n">
        <v>0</v>
      </c>
      <c r="JA423" s="9" t="n">
        <v>2820</v>
      </c>
      <c r="JE423" s="10" t="n">
        <v>46384</v>
      </c>
      <c r="JG423" s="9" t="n">
        <v>0</v>
      </c>
      <c r="JI423" s="9" t="n">
        <v>0</v>
      </c>
      <c r="JJ423" s="9" t="n">
        <v>0</v>
      </c>
      <c r="JN423" s="10" t="n">
        <v>46384</v>
      </c>
      <c r="JP423" s="9" t="n">
        <v>0</v>
      </c>
      <c r="JR423" s="9" t="n">
        <v>0</v>
      </c>
      <c r="JS423" s="9" t="n">
        <v>0</v>
      </c>
      <c r="JW423" s="10" t="n">
        <v>46384</v>
      </c>
      <c r="JY423" s="9" t="n">
        <v>0</v>
      </c>
      <c r="KA423" s="9" t="n">
        <v>0</v>
      </c>
      <c r="KB423" s="9" t="n">
        <v>2540</v>
      </c>
      <c r="KF423" s="10" t="n">
        <v>46384</v>
      </c>
      <c r="KH423" s="9" t="n">
        <v>0</v>
      </c>
      <c r="KJ423" s="9" t="n">
        <v>0</v>
      </c>
      <c r="KK423" s="9" t="n">
        <v>2359.5</v>
      </c>
      <c r="KO423" s="10" t="n">
        <v>46384</v>
      </c>
      <c r="KQ423" s="9" t="n">
        <v>0</v>
      </c>
      <c r="KS423" s="9" t="n">
        <v>0</v>
      </c>
      <c r="KT423" s="9" t="n">
        <v>1890</v>
      </c>
      <c r="KX423" s="10" t="n">
        <v>46384</v>
      </c>
      <c r="KZ423" s="9" t="n">
        <v>0</v>
      </c>
      <c r="LB423" s="9" t="n">
        <v>0</v>
      </c>
      <c r="LC423" s="9" t="n">
        <v>3690</v>
      </c>
      <c r="LG423" s="10" t="n">
        <v>46384</v>
      </c>
      <c r="LI423" s="9" t="n">
        <v>0</v>
      </c>
      <c r="LK423" s="9" t="n">
        <v>0</v>
      </c>
      <c r="LL423" s="9" t="n">
        <v>4000</v>
      </c>
      <c r="LP423" s="10" t="n">
        <v>46384</v>
      </c>
      <c r="LR423" s="9" t="n">
        <v>0</v>
      </c>
      <c r="LT423" s="9" t="n">
        <v>0</v>
      </c>
      <c r="LU423" s="9" t="n">
        <v>0</v>
      </c>
      <c r="LY423" s="10" t="n">
        <v>46384</v>
      </c>
      <c r="MA423" s="9" t="n">
        <v>0</v>
      </c>
      <c r="MC423" s="9" t="n">
        <v>0</v>
      </c>
      <c r="MD423" s="9" t="n">
        <v>0</v>
      </c>
      <c r="MH423" s="10" t="n">
        <v>46384</v>
      </c>
      <c r="MJ423" s="9" t="n">
        <v>0</v>
      </c>
      <c r="ML423" s="9" t="n">
        <v>0</v>
      </c>
      <c r="MM423" s="9" t="n">
        <v>-18</v>
      </c>
      <c r="MQ423" s="10" t="n">
        <v>46384</v>
      </c>
      <c r="MS423" s="9" t="n">
        <v>0</v>
      </c>
      <c r="MU423" s="9" t="n">
        <v>0</v>
      </c>
      <c r="MV423" s="9" t="n">
        <v>1559</v>
      </c>
      <c r="MZ423" s="10" t="n">
        <v>46384</v>
      </c>
      <c r="NB423" s="9" t="n">
        <v>0</v>
      </c>
      <c r="ND423" s="9" t="n">
        <v>0</v>
      </c>
      <c r="NE423" s="9" t="n">
        <v>0</v>
      </c>
      <c r="NI423" s="10" t="n">
        <v>46384</v>
      </c>
      <c r="NK423" s="9" t="n">
        <v>0</v>
      </c>
      <c r="NM423" s="9" t="n">
        <v>0</v>
      </c>
      <c r="NN423" s="9" t="n">
        <v>1127</v>
      </c>
      <c r="NR423" s="10" t="n">
        <v>46384</v>
      </c>
      <c r="NT423" s="9" t="n">
        <v>0</v>
      </c>
      <c r="NV423" s="9" t="n">
        <v>0</v>
      </c>
      <c r="NW423" s="9" t="n">
        <v>3112</v>
      </c>
      <c r="OA423" s="10" t="n">
        <v>46384</v>
      </c>
      <c r="OC423" s="9" t="n">
        <v>0</v>
      </c>
      <c r="OE423" s="9" t="n">
        <v>0</v>
      </c>
      <c r="OF423" s="9" t="n">
        <v>1680.5</v>
      </c>
      <c r="OJ423" s="10" t="n">
        <v>46384</v>
      </c>
      <c r="OL423" s="9" t="n">
        <v>0</v>
      </c>
      <c r="ON423" s="9" t="n">
        <v>0</v>
      </c>
      <c r="OO423" s="9" t="n">
        <v>0</v>
      </c>
      <c r="OS423" s="10" t="n">
        <v>46384</v>
      </c>
      <c r="OU423" s="9" t="n">
        <v>0</v>
      </c>
      <c r="OW423" s="9" t="n">
        <v>0</v>
      </c>
      <c r="OX423" s="9" t="n">
        <v>1482</v>
      </c>
      <c r="PB423" s="10" t="n">
        <v>46384</v>
      </c>
      <c r="PD423" s="9" t="n">
        <v>0</v>
      </c>
      <c r="PF423" s="9" t="n">
        <v>0</v>
      </c>
      <c r="PG423" s="9" t="n">
        <v>0</v>
      </c>
      <c r="PK423" s="10" t="n">
        <v>46384</v>
      </c>
      <c r="PM423" s="9" t="n">
        <v>0</v>
      </c>
      <c r="PO423" s="9" t="n">
        <v>0</v>
      </c>
      <c r="PP423" s="9" t="n">
        <v>100</v>
      </c>
      <c r="PT423" s="10" t="n">
        <v>46384</v>
      </c>
      <c r="PV423" s="9" t="n">
        <v>0</v>
      </c>
      <c r="PX423" s="9" t="n">
        <v>0</v>
      </c>
      <c r="PY423" s="9" t="n">
        <v>13.96000000000004</v>
      </c>
      <c r="QC423" s="10" t="n">
        <v>46384</v>
      </c>
      <c r="QE423" s="9" t="n">
        <v>0</v>
      </c>
      <c r="QG423" s="9" t="n">
        <v>0</v>
      </c>
      <c r="QH423" s="9" t="n">
        <v>548</v>
      </c>
      <c r="QL423" s="10" t="n">
        <v>46384</v>
      </c>
      <c r="QN423" s="9" t="n">
        <v>0</v>
      </c>
      <c r="QP423" s="9" t="n">
        <v>0</v>
      </c>
      <c r="QQ423" s="9" t="n">
        <v>0</v>
      </c>
      <c r="QU423" s="10" t="n">
        <v>46384</v>
      </c>
      <c r="QW423" s="9" t="n">
        <v>0</v>
      </c>
      <c r="QY423" s="9" t="n">
        <v>0</v>
      </c>
      <c r="QZ423" s="9" t="n">
        <v>0</v>
      </c>
      <c r="RD423" s="10" t="n">
        <v>46384</v>
      </c>
      <c r="RF423" s="9" t="n">
        <v>0</v>
      </c>
      <c r="RH423" s="9" t="n">
        <v>0</v>
      </c>
      <c r="RI423" s="9" t="n">
        <v>147.04</v>
      </c>
      <c r="RM423" s="10" t="n">
        <v>46384</v>
      </c>
      <c r="RO423" s="9" t="n">
        <v>0</v>
      </c>
      <c r="RQ423" s="9" t="n">
        <v>0</v>
      </c>
      <c r="RR423" s="9" t="n">
        <v>46.8</v>
      </c>
      <c r="RV423" s="10" t="n">
        <v>46384</v>
      </c>
      <c r="RX423" s="9" t="n">
        <v>0</v>
      </c>
      <c r="RZ423" s="9" t="n">
        <v>0</v>
      </c>
      <c r="SA423" s="9" t="n">
        <v>0</v>
      </c>
      <c r="SE423" s="10" t="n">
        <v>46384</v>
      </c>
      <c r="SG423" s="9" t="n">
        <v>0</v>
      </c>
      <c r="SI423" s="9" t="n">
        <v>0</v>
      </c>
      <c r="SJ423" s="9" t="n">
        <v>24.2</v>
      </c>
      <c r="SN423" s="10" t="n">
        <v>46384</v>
      </c>
      <c r="SP423" s="9" t="n">
        <v>0</v>
      </c>
      <c r="SR423" s="9" t="n">
        <v>0</v>
      </c>
      <c r="SS423" s="9" t="n">
        <v>32</v>
      </c>
      <c r="SW423" s="10" t="n">
        <v>46384</v>
      </c>
      <c r="SY423" s="9" t="n">
        <v>0</v>
      </c>
      <c r="TA423" s="9" t="n">
        <v>0</v>
      </c>
      <c r="TB423" s="9" t="n">
        <v>0</v>
      </c>
      <c r="TF423" s="10" t="n">
        <v>46384</v>
      </c>
      <c r="TH423" s="9" t="n">
        <v>0</v>
      </c>
      <c r="TJ423" s="9" t="n">
        <v>0</v>
      </c>
      <c r="TK423" s="9" t="n">
        <v>0</v>
      </c>
      <c r="TO423" s="10" t="n">
        <v>46384</v>
      </c>
      <c r="TQ423" s="9" t="n">
        <v>0</v>
      </c>
      <c r="TS423" s="9" t="n">
        <v>0</v>
      </c>
      <c r="TT423" s="9" t="n">
        <v>0</v>
      </c>
      <c r="TX423" s="10" t="n">
        <v>46384</v>
      </c>
      <c r="TZ423" s="9" t="n">
        <v>0</v>
      </c>
      <c r="UB423" s="9" t="n">
        <v>0</v>
      </c>
      <c r="UC423" s="9" t="n">
        <v>46.79999999999998</v>
      </c>
      <c r="UG423" s="10" t="n">
        <v>46384</v>
      </c>
      <c r="UI423" s="9" t="n">
        <v>0</v>
      </c>
      <c r="UK423" s="9" t="n">
        <v>0</v>
      </c>
      <c r="UL423" s="9" t="n">
        <v>204</v>
      </c>
      <c r="UP423" s="10" t="n">
        <v>46384</v>
      </c>
      <c r="UR423" s="9" t="n">
        <v>0</v>
      </c>
      <c r="UT423" s="9" t="n">
        <v>0</v>
      </c>
      <c r="UU423" s="9" t="n">
        <v>202.5</v>
      </c>
      <c r="UY423" s="10" t="n">
        <v>46384</v>
      </c>
      <c r="VA423" s="9" t="n">
        <v>0</v>
      </c>
      <c r="VC423" s="9" t="n">
        <v>0</v>
      </c>
      <c r="VD423" s="9" t="n">
        <v>41.60000000000002</v>
      </c>
      <c r="VH423" s="10" t="n">
        <v>46384</v>
      </c>
      <c r="VJ423" s="9" t="n">
        <v>0</v>
      </c>
      <c r="VL423" s="9" t="n">
        <v>0</v>
      </c>
      <c r="VM423" s="9" t="n">
        <v>210</v>
      </c>
      <c r="VQ423" s="10" t="n">
        <v>46384</v>
      </c>
      <c r="VS423" s="9" t="n">
        <v>0</v>
      </c>
      <c r="VU423" s="9" t="n">
        <v>0</v>
      </c>
      <c r="VV423" s="9" t="n">
        <v>0</v>
      </c>
      <c r="VZ423" s="10" t="n">
        <v>46384</v>
      </c>
      <c r="WB423" s="9" t="n">
        <v>0</v>
      </c>
      <c r="WD423" s="9" t="n">
        <v>0</v>
      </c>
      <c r="WE423" s="9" t="n">
        <v>0</v>
      </c>
      <c r="WI423" s="10" t="n">
        <v>46384</v>
      </c>
      <c r="WK423" s="9" t="n">
        <v>0</v>
      </c>
      <c r="WM423" s="9" t="n">
        <v>0</v>
      </c>
      <c r="WN423" s="9" t="n">
        <v>1057</v>
      </c>
      <c r="WR423" s="10" t="n">
        <v>46384</v>
      </c>
      <c r="WT423" s="9" t="n">
        <v>0</v>
      </c>
      <c r="WV423" s="9" t="n">
        <v>0</v>
      </c>
      <c r="WW423" s="9" t="n">
        <v>0</v>
      </c>
      <c r="XA423" s="10" t="n">
        <v>46384</v>
      </c>
      <c r="XC423" s="9" t="n">
        <v>0</v>
      </c>
      <c r="XE423" s="9" t="n">
        <v>0</v>
      </c>
      <c r="XF423" s="9" t="n">
        <v>7507</v>
      </c>
      <c r="XJ423" s="10" t="n">
        <v>46384</v>
      </c>
      <c r="XL423" s="9" t="n">
        <v>0</v>
      </c>
      <c r="XN423" s="9" t="n">
        <v>0</v>
      </c>
      <c r="XO423" s="9" t="n">
        <v>4252</v>
      </c>
      <c r="XS423" s="10" t="n">
        <v>46384</v>
      </c>
      <c r="XU423" s="9" t="n">
        <v>0</v>
      </c>
      <c r="XW423" s="9" t="n">
        <v>0</v>
      </c>
      <c r="XX423" s="9" t="n">
        <v>2179</v>
      </c>
      <c r="YB423" s="10" t="n">
        <v>46384</v>
      </c>
      <c r="YD423" s="9" t="n">
        <v>0</v>
      </c>
      <c r="YF423" s="9" t="n">
        <v>0</v>
      </c>
      <c r="YG423" s="9" t="n">
        <v>4019</v>
      </c>
      <c r="YK423" s="10" t="n">
        <v>46384</v>
      </c>
      <c r="YM423" s="9" t="n">
        <v>0</v>
      </c>
      <c r="YO423" s="9" t="n">
        <v>0</v>
      </c>
      <c r="YP423" s="9" t="n">
        <v>-218</v>
      </c>
      <c r="YT423" s="10" t="n">
        <v>46384</v>
      </c>
      <c r="YV423" s="9" t="n">
        <v>0</v>
      </c>
      <c r="YX423" s="9" t="n">
        <v>0</v>
      </c>
      <c r="YY423" s="9" t="n">
        <v>0</v>
      </c>
      <c r="ZC423" s="10" t="n">
        <v>46384</v>
      </c>
      <c r="ZE423" s="9" t="n">
        <v>0</v>
      </c>
      <c r="ZG423" s="9" t="n">
        <v>0</v>
      </c>
      <c r="ZH423" s="9" t="n">
        <v>0</v>
      </c>
      <c r="ZL423" s="10" t="n">
        <v>46384</v>
      </c>
      <c r="ZN423" s="9" t="n">
        <v>0</v>
      </c>
      <c r="ZP423" s="9" t="n">
        <v>0</v>
      </c>
      <c r="ZQ423" s="9" t="n">
        <v>0</v>
      </c>
      <c r="ZU423" s="10" t="n">
        <v>46384</v>
      </c>
      <c r="ZW423" s="9" t="n">
        <v>0</v>
      </c>
      <c r="ZY423" s="9" t="n">
        <v>0</v>
      </c>
      <c r="ZZ423" s="9" t="n">
        <v>0</v>
      </c>
      <c r="AAD423" s="10" t="n">
        <v>46384</v>
      </c>
      <c r="AAF423" s="9" t="n">
        <v>0</v>
      </c>
      <c r="AAH423" s="9" t="n">
        <v>0</v>
      </c>
      <c r="AAI423" s="9" t="n">
        <v>0</v>
      </c>
      <c r="AAM423" s="10" t="n">
        <v>46384</v>
      </c>
      <c r="AAO423" s="9" t="n">
        <v>0</v>
      </c>
      <c r="AAQ423" s="9" t="n">
        <v>0</v>
      </c>
      <c r="AAR423" s="9" t="n">
        <v>0</v>
      </c>
      <c r="AAV423" s="10" t="n">
        <v>46384</v>
      </c>
      <c r="AAX423" s="9" t="n">
        <v>0</v>
      </c>
      <c r="AAZ423" s="9" t="n">
        <v>0</v>
      </c>
      <c r="ABA423" s="9" t="n">
        <v>0</v>
      </c>
      <c r="ABE423" s="10" t="n">
        <v>46384</v>
      </c>
      <c r="ABG423" s="9" t="n">
        <v>0</v>
      </c>
      <c r="ABI423" s="9" t="n">
        <v>0</v>
      </c>
      <c r="ABJ423" s="9" t="n">
        <v>0</v>
      </c>
    </row>
    <row r="424">
      <c r="C424" s="10" t="n">
        <v>46385</v>
      </c>
      <c r="E424" s="9" t="n">
        <v>0</v>
      </c>
      <c r="G424" s="9" t="n">
        <v>0</v>
      </c>
      <c r="H424" s="9" t="n">
        <v>236936.6</v>
      </c>
      <c r="L424" s="10" t="n">
        <v>46385</v>
      </c>
      <c r="N424" s="9" t="n">
        <v>0</v>
      </c>
      <c r="P424" s="9" t="n">
        <v>0</v>
      </c>
      <c r="Q424" s="9" t="n">
        <v>53017.60000000007</v>
      </c>
      <c r="U424" s="10" t="n">
        <v>46385</v>
      </c>
      <c r="W424" s="9" t="n">
        <v>0</v>
      </c>
      <c r="Y424" s="9" t="n">
        <v>0</v>
      </c>
      <c r="Z424" s="9" t="n">
        <v>42674.19999999997</v>
      </c>
      <c r="AD424" s="10" t="n">
        <v>46385</v>
      </c>
      <c r="AF424" s="9" t="n">
        <v>0</v>
      </c>
      <c r="AH424" s="9" t="n">
        <v>0</v>
      </c>
      <c r="AI424" s="9" t="n">
        <v>4522.200000000019</v>
      </c>
      <c r="AM424" s="10" t="n">
        <v>46385</v>
      </c>
      <c r="AO424" s="9" t="n">
        <v>0</v>
      </c>
      <c r="AQ424" s="9" t="n">
        <v>0</v>
      </c>
      <c r="AR424" s="9" t="n">
        <v>0</v>
      </c>
      <c r="AV424" s="10" t="n">
        <v>46385</v>
      </c>
      <c r="AX424" s="9" t="n">
        <v>0</v>
      </c>
      <c r="AZ424" s="9" t="n">
        <v>0</v>
      </c>
      <c r="BA424" s="9" t="n">
        <v>124.9999999999952</v>
      </c>
      <c r="BE424" s="10" t="n">
        <v>46385</v>
      </c>
      <c r="BG424" s="9" t="n">
        <v>0</v>
      </c>
      <c r="BI424" s="9" t="n">
        <v>0</v>
      </c>
      <c r="BJ424" s="9" t="n">
        <v>26151.9</v>
      </c>
      <c r="BN424" s="10" t="n">
        <v>46385</v>
      </c>
      <c r="BP424" s="9" t="n">
        <v>0</v>
      </c>
      <c r="BR424" s="9" t="n">
        <v>0</v>
      </c>
      <c r="BS424" s="9" t="n">
        <v>0</v>
      </c>
      <c r="BW424" s="10" t="n">
        <v>46385</v>
      </c>
      <c r="BY424" s="9" t="n">
        <v>0</v>
      </c>
      <c r="CA424" s="9" t="n">
        <v>0</v>
      </c>
      <c r="CB424" s="9" t="n">
        <v>2097.339999999999</v>
      </c>
      <c r="CF424" s="10" t="n">
        <v>46385</v>
      </c>
      <c r="CH424" s="9" t="n">
        <v>0</v>
      </c>
      <c r="CJ424" s="9" t="n">
        <v>0</v>
      </c>
      <c r="CK424" s="9" t="n">
        <v>-10277.08</v>
      </c>
      <c r="CO424" s="10" t="n">
        <v>46385</v>
      </c>
      <c r="CQ424" s="9" t="n">
        <v>0</v>
      </c>
      <c r="CS424" s="9" t="n">
        <v>0</v>
      </c>
      <c r="CT424" s="9" t="n">
        <v>0</v>
      </c>
      <c r="CX424" s="10" t="n">
        <v>46385</v>
      </c>
      <c r="CZ424" s="9" t="n">
        <v>0</v>
      </c>
      <c r="DB424" s="9" t="n">
        <v>0</v>
      </c>
      <c r="DC424" s="9" t="n">
        <v>27438.20000000001</v>
      </c>
      <c r="DG424" s="10" t="n">
        <v>46385</v>
      </c>
      <c r="DI424" s="9" t="n">
        <v>0</v>
      </c>
      <c r="DK424" s="9" t="n">
        <v>0</v>
      </c>
      <c r="DL424" s="9" t="n">
        <v>18782.29999999998</v>
      </c>
      <c r="DP424" s="10" t="n">
        <v>46385</v>
      </c>
      <c r="DR424" s="9" t="n">
        <v>0</v>
      </c>
      <c r="DT424" s="9" t="n">
        <v>0</v>
      </c>
      <c r="DU424" s="9" t="n">
        <v>5800</v>
      </c>
      <c r="DY424" s="10" t="n">
        <v>46385</v>
      </c>
      <c r="EA424" s="9" t="n">
        <v>0</v>
      </c>
      <c r="EC424" s="9" t="n">
        <v>0</v>
      </c>
      <c r="ED424" s="9" t="n">
        <v>0</v>
      </c>
      <c r="EH424" s="10" t="n">
        <v>46385</v>
      </c>
      <c r="EJ424" s="9" t="n">
        <v>0</v>
      </c>
      <c r="EL424" s="9" t="n">
        <v>0</v>
      </c>
      <c r="EM424" s="9" t="n">
        <v>0</v>
      </c>
      <c r="EQ424" s="10" t="n">
        <v>46385</v>
      </c>
      <c r="ES424" s="9" t="n">
        <v>0</v>
      </c>
      <c r="EU424" s="9" t="n">
        <v>0</v>
      </c>
      <c r="EV424" s="9" t="n">
        <v>0</v>
      </c>
      <c r="EZ424" s="10" t="n">
        <v>46385</v>
      </c>
      <c r="FB424" s="9" t="n">
        <v>0</v>
      </c>
      <c r="FD424" s="9" t="n">
        <v>0</v>
      </c>
      <c r="FE424" s="9" t="n">
        <v>0</v>
      </c>
      <c r="FI424" s="10" t="n">
        <v>46385</v>
      </c>
      <c r="FK424" s="9" t="n">
        <v>0</v>
      </c>
      <c r="FM424" s="9" t="n">
        <v>0</v>
      </c>
      <c r="FN424" s="9" t="n">
        <v>0</v>
      </c>
      <c r="FR424" s="10" t="n">
        <v>46385</v>
      </c>
      <c r="FT424" s="9" t="n">
        <v>0</v>
      </c>
      <c r="FV424" s="9" t="n">
        <v>0</v>
      </c>
      <c r="FW424" s="9" t="n">
        <v>2020</v>
      </c>
      <c r="GA424" s="10" t="n">
        <v>46385</v>
      </c>
      <c r="GC424" s="9" t="n">
        <v>0</v>
      </c>
      <c r="GE424" s="9" t="n">
        <v>0</v>
      </c>
      <c r="GF424" s="9" t="n">
        <v>960</v>
      </c>
      <c r="GJ424" s="10" t="n">
        <v>46385</v>
      </c>
      <c r="GL424" s="9" t="n">
        <v>0</v>
      </c>
      <c r="GN424" s="9" t="n">
        <v>0</v>
      </c>
      <c r="GO424" s="9" t="n">
        <v>1760</v>
      </c>
      <c r="GS424" s="10" t="n">
        <v>46385</v>
      </c>
      <c r="GU424" s="9" t="n">
        <v>0</v>
      </c>
      <c r="GW424" s="9" t="n">
        <v>0</v>
      </c>
      <c r="GX424" s="9" t="n">
        <v>400</v>
      </c>
      <c r="HB424" s="10" t="n">
        <v>46385</v>
      </c>
      <c r="HD424" s="9" t="n">
        <v>0</v>
      </c>
      <c r="HF424" s="9" t="n">
        <v>0</v>
      </c>
      <c r="HG424" s="9" t="n">
        <v>3600</v>
      </c>
      <c r="HK424" s="10" t="n">
        <v>46385</v>
      </c>
      <c r="HM424" s="9" t="n">
        <v>0</v>
      </c>
      <c r="HO424" s="9" t="n">
        <v>0</v>
      </c>
      <c r="HP424" s="9" t="n">
        <v>0</v>
      </c>
      <c r="HU424" s="10" t="n">
        <v>46385</v>
      </c>
      <c r="HW424" s="9" t="n">
        <v>0</v>
      </c>
      <c r="HY424" s="9" t="n">
        <v>0</v>
      </c>
      <c r="HZ424" s="9" t="n">
        <v>6120</v>
      </c>
      <c r="ID424" s="10" t="n">
        <v>46385</v>
      </c>
      <c r="IF424" s="9" t="n">
        <v>0</v>
      </c>
      <c r="IH424" s="9" t="n">
        <v>0</v>
      </c>
      <c r="II424" s="9" t="n">
        <v>0</v>
      </c>
      <c r="IM424" s="10" t="n">
        <v>46385</v>
      </c>
      <c r="IO424" s="9" t="n">
        <v>0</v>
      </c>
      <c r="IQ424" s="9" t="n">
        <v>0</v>
      </c>
      <c r="IR424" s="9" t="n">
        <v>0</v>
      </c>
      <c r="IV424" s="10" t="n">
        <v>46385</v>
      </c>
      <c r="IX424" s="9" t="n">
        <v>0</v>
      </c>
      <c r="IZ424" s="9" t="n">
        <v>0</v>
      </c>
      <c r="JA424" s="9" t="n">
        <v>2820</v>
      </c>
      <c r="JE424" s="10" t="n">
        <v>46385</v>
      </c>
      <c r="JG424" s="9" t="n">
        <v>0</v>
      </c>
      <c r="JI424" s="9" t="n">
        <v>0</v>
      </c>
      <c r="JJ424" s="9" t="n">
        <v>0</v>
      </c>
      <c r="JN424" s="10" t="n">
        <v>46385</v>
      </c>
      <c r="JP424" s="9" t="n">
        <v>0</v>
      </c>
      <c r="JR424" s="9" t="n">
        <v>0</v>
      </c>
      <c r="JS424" s="9" t="n">
        <v>0</v>
      </c>
      <c r="JW424" s="10" t="n">
        <v>46385</v>
      </c>
      <c r="JY424" s="9" t="n">
        <v>0</v>
      </c>
      <c r="KA424" s="9" t="n">
        <v>0</v>
      </c>
      <c r="KB424" s="9" t="n">
        <v>2540</v>
      </c>
      <c r="KF424" s="10" t="n">
        <v>46385</v>
      </c>
      <c r="KH424" s="9" t="n">
        <v>0</v>
      </c>
      <c r="KJ424" s="9" t="n">
        <v>0</v>
      </c>
      <c r="KK424" s="9" t="n">
        <v>2359.5</v>
      </c>
      <c r="KO424" s="10" t="n">
        <v>46385</v>
      </c>
      <c r="KQ424" s="9" t="n">
        <v>0</v>
      </c>
      <c r="KS424" s="9" t="n">
        <v>0</v>
      </c>
      <c r="KT424" s="9" t="n">
        <v>1890</v>
      </c>
      <c r="KX424" s="10" t="n">
        <v>46385</v>
      </c>
      <c r="KZ424" s="9" t="n">
        <v>0</v>
      </c>
      <c r="LB424" s="9" t="n">
        <v>0</v>
      </c>
      <c r="LC424" s="9" t="n">
        <v>3690</v>
      </c>
      <c r="LG424" s="10" t="n">
        <v>46385</v>
      </c>
      <c r="LI424" s="9" t="n">
        <v>0</v>
      </c>
      <c r="LK424" s="9" t="n">
        <v>0</v>
      </c>
      <c r="LL424" s="9" t="n">
        <v>4000</v>
      </c>
      <c r="LP424" s="10" t="n">
        <v>46385</v>
      </c>
      <c r="LR424" s="9" t="n">
        <v>0</v>
      </c>
      <c r="LT424" s="9" t="n">
        <v>0</v>
      </c>
      <c r="LU424" s="9" t="n">
        <v>0</v>
      </c>
      <c r="LY424" s="10" t="n">
        <v>46385</v>
      </c>
      <c r="MA424" s="9" t="n">
        <v>0</v>
      </c>
      <c r="MC424" s="9" t="n">
        <v>0</v>
      </c>
      <c r="MD424" s="9" t="n">
        <v>0</v>
      </c>
      <c r="MH424" s="10" t="n">
        <v>46385</v>
      </c>
      <c r="MJ424" s="9" t="n">
        <v>0</v>
      </c>
      <c r="ML424" s="9" t="n">
        <v>0</v>
      </c>
      <c r="MM424" s="9" t="n">
        <v>-18</v>
      </c>
      <c r="MQ424" s="10" t="n">
        <v>46385</v>
      </c>
      <c r="MS424" s="9" t="n">
        <v>0</v>
      </c>
      <c r="MU424" s="9" t="n">
        <v>0</v>
      </c>
      <c r="MV424" s="9" t="n">
        <v>1559</v>
      </c>
      <c r="MZ424" s="10" t="n">
        <v>46385</v>
      </c>
      <c r="NB424" s="9" t="n">
        <v>0</v>
      </c>
      <c r="ND424" s="9" t="n">
        <v>0</v>
      </c>
      <c r="NE424" s="9" t="n">
        <v>0</v>
      </c>
      <c r="NI424" s="10" t="n">
        <v>46385</v>
      </c>
      <c r="NK424" s="9" t="n">
        <v>0</v>
      </c>
      <c r="NM424" s="9" t="n">
        <v>0</v>
      </c>
      <c r="NN424" s="9" t="n">
        <v>1127</v>
      </c>
      <c r="NR424" s="10" t="n">
        <v>46385</v>
      </c>
      <c r="NT424" s="9" t="n">
        <v>0</v>
      </c>
      <c r="NV424" s="9" t="n">
        <v>0</v>
      </c>
      <c r="NW424" s="9" t="n">
        <v>3112</v>
      </c>
      <c r="OA424" s="10" t="n">
        <v>46385</v>
      </c>
      <c r="OC424" s="9" t="n">
        <v>0</v>
      </c>
      <c r="OE424" s="9" t="n">
        <v>0</v>
      </c>
      <c r="OF424" s="9" t="n">
        <v>1680.5</v>
      </c>
      <c r="OJ424" s="10" t="n">
        <v>46385</v>
      </c>
      <c r="OL424" s="9" t="n">
        <v>0</v>
      </c>
      <c r="ON424" s="9" t="n">
        <v>0</v>
      </c>
      <c r="OO424" s="9" t="n">
        <v>0</v>
      </c>
      <c r="OS424" s="10" t="n">
        <v>46385</v>
      </c>
      <c r="OU424" s="9" t="n">
        <v>0</v>
      </c>
      <c r="OW424" s="9" t="n">
        <v>0</v>
      </c>
      <c r="OX424" s="9" t="n">
        <v>1482</v>
      </c>
      <c r="PB424" s="10" t="n">
        <v>46385</v>
      </c>
      <c r="PD424" s="9" t="n">
        <v>0</v>
      </c>
      <c r="PF424" s="9" t="n">
        <v>0</v>
      </c>
      <c r="PG424" s="9" t="n">
        <v>0</v>
      </c>
      <c r="PK424" s="10" t="n">
        <v>46385</v>
      </c>
      <c r="PM424" s="9" t="n">
        <v>0</v>
      </c>
      <c r="PO424" s="9" t="n">
        <v>0</v>
      </c>
      <c r="PP424" s="9" t="n">
        <v>100</v>
      </c>
      <c r="PT424" s="10" t="n">
        <v>46385</v>
      </c>
      <c r="PV424" s="9" t="n">
        <v>0</v>
      </c>
      <c r="PX424" s="9" t="n">
        <v>0</v>
      </c>
      <c r="PY424" s="9" t="n">
        <v>13.96000000000004</v>
      </c>
      <c r="QC424" s="10" t="n">
        <v>46385</v>
      </c>
      <c r="QE424" s="9" t="n">
        <v>0</v>
      </c>
      <c r="QG424" s="9" t="n">
        <v>0</v>
      </c>
      <c r="QH424" s="9" t="n">
        <v>548</v>
      </c>
      <c r="QL424" s="10" t="n">
        <v>46385</v>
      </c>
      <c r="QN424" s="9" t="n">
        <v>0</v>
      </c>
      <c r="QP424" s="9" t="n">
        <v>0</v>
      </c>
      <c r="QQ424" s="9" t="n">
        <v>0</v>
      </c>
      <c r="QU424" s="10" t="n">
        <v>46385</v>
      </c>
      <c r="QW424" s="9" t="n">
        <v>0</v>
      </c>
      <c r="QY424" s="9" t="n">
        <v>0</v>
      </c>
      <c r="QZ424" s="9" t="n">
        <v>0</v>
      </c>
      <c r="RD424" s="10" t="n">
        <v>46385</v>
      </c>
      <c r="RF424" s="9" t="n">
        <v>0</v>
      </c>
      <c r="RH424" s="9" t="n">
        <v>0</v>
      </c>
      <c r="RI424" s="9" t="n">
        <v>147.04</v>
      </c>
      <c r="RM424" s="10" t="n">
        <v>46385</v>
      </c>
      <c r="RO424" s="9" t="n">
        <v>0</v>
      </c>
      <c r="RQ424" s="9" t="n">
        <v>0</v>
      </c>
      <c r="RR424" s="9" t="n">
        <v>46.8</v>
      </c>
      <c r="RV424" s="10" t="n">
        <v>46385</v>
      </c>
      <c r="RX424" s="9" t="n">
        <v>0</v>
      </c>
      <c r="RZ424" s="9" t="n">
        <v>0</v>
      </c>
      <c r="SA424" s="9" t="n">
        <v>0</v>
      </c>
      <c r="SE424" s="10" t="n">
        <v>46385</v>
      </c>
      <c r="SG424" s="9" t="n">
        <v>0</v>
      </c>
      <c r="SI424" s="9" t="n">
        <v>0</v>
      </c>
      <c r="SJ424" s="9" t="n">
        <v>24.2</v>
      </c>
      <c r="SN424" s="10" t="n">
        <v>46385</v>
      </c>
      <c r="SP424" s="9" t="n">
        <v>0</v>
      </c>
      <c r="SR424" s="9" t="n">
        <v>0</v>
      </c>
      <c r="SS424" s="9" t="n">
        <v>32</v>
      </c>
      <c r="SW424" s="10" t="n">
        <v>46385</v>
      </c>
      <c r="SY424" s="9" t="n">
        <v>0</v>
      </c>
      <c r="TA424" s="9" t="n">
        <v>0</v>
      </c>
      <c r="TB424" s="9" t="n">
        <v>0</v>
      </c>
      <c r="TF424" s="10" t="n">
        <v>46385</v>
      </c>
      <c r="TH424" s="9" t="n">
        <v>0</v>
      </c>
      <c r="TJ424" s="9" t="n">
        <v>0</v>
      </c>
      <c r="TK424" s="9" t="n">
        <v>0</v>
      </c>
      <c r="TO424" s="10" t="n">
        <v>46385</v>
      </c>
      <c r="TQ424" s="9" t="n">
        <v>0</v>
      </c>
      <c r="TS424" s="9" t="n">
        <v>0</v>
      </c>
      <c r="TT424" s="9" t="n">
        <v>0</v>
      </c>
      <c r="TX424" s="10" t="n">
        <v>46385</v>
      </c>
      <c r="TZ424" s="9" t="n">
        <v>0</v>
      </c>
      <c r="UB424" s="9" t="n">
        <v>0</v>
      </c>
      <c r="UC424" s="9" t="n">
        <v>46.79999999999998</v>
      </c>
      <c r="UG424" s="10" t="n">
        <v>46385</v>
      </c>
      <c r="UI424" s="9" t="n">
        <v>0</v>
      </c>
      <c r="UK424" s="9" t="n">
        <v>0</v>
      </c>
      <c r="UL424" s="9" t="n">
        <v>204</v>
      </c>
      <c r="UP424" s="10" t="n">
        <v>46385</v>
      </c>
      <c r="UR424" s="9" t="n">
        <v>0</v>
      </c>
      <c r="UT424" s="9" t="n">
        <v>0</v>
      </c>
      <c r="UU424" s="9" t="n">
        <v>202.5</v>
      </c>
      <c r="UY424" s="10" t="n">
        <v>46385</v>
      </c>
      <c r="VA424" s="9" t="n">
        <v>0</v>
      </c>
      <c r="VC424" s="9" t="n">
        <v>0</v>
      </c>
      <c r="VD424" s="9" t="n">
        <v>41.60000000000002</v>
      </c>
      <c r="VH424" s="10" t="n">
        <v>46385</v>
      </c>
      <c r="VJ424" s="9" t="n">
        <v>0</v>
      </c>
      <c r="VL424" s="9" t="n">
        <v>0</v>
      </c>
      <c r="VM424" s="9" t="n">
        <v>210</v>
      </c>
      <c r="VQ424" s="10" t="n">
        <v>46385</v>
      </c>
      <c r="VS424" s="9" t="n">
        <v>0</v>
      </c>
      <c r="VU424" s="9" t="n">
        <v>0</v>
      </c>
      <c r="VV424" s="9" t="n">
        <v>0</v>
      </c>
      <c r="VZ424" s="10" t="n">
        <v>46385</v>
      </c>
      <c r="WB424" s="9" t="n">
        <v>0</v>
      </c>
      <c r="WD424" s="9" t="n">
        <v>0</v>
      </c>
      <c r="WE424" s="9" t="n">
        <v>0</v>
      </c>
      <c r="WI424" s="10" t="n">
        <v>46385</v>
      </c>
      <c r="WK424" s="9" t="n">
        <v>0</v>
      </c>
      <c r="WM424" s="9" t="n">
        <v>0</v>
      </c>
      <c r="WN424" s="9" t="n">
        <v>1057</v>
      </c>
      <c r="WR424" s="10" t="n">
        <v>46385</v>
      </c>
      <c r="WT424" s="9" t="n">
        <v>0</v>
      </c>
      <c r="WV424" s="9" t="n">
        <v>0</v>
      </c>
      <c r="WW424" s="9" t="n">
        <v>0</v>
      </c>
      <c r="XA424" s="10" t="n">
        <v>46385</v>
      </c>
      <c r="XC424" s="9" t="n">
        <v>0</v>
      </c>
      <c r="XE424" s="9" t="n">
        <v>0</v>
      </c>
      <c r="XF424" s="9" t="n">
        <v>7507</v>
      </c>
      <c r="XJ424" s="10" t="n">
        <v>46385</v>
      </c>
      <c r="XL424" s="9" t="n">
        <v>0</v>
      </c>
      <c r="XN424" s="9" t="n">
        <v>0</v>
      </c>
      <c r="XO424" s="9" t="n">
        <v>4252</v>
      </c>
      <c r="XS424" s="10" t="n">
        <v>46385</v>
      </c>
      <c r="XU424" s="9" t="n">
        <v>0</v>
      </c>
      <c r="XW424" s="9" t="n">
        <v>0</v>
      </c>
      <c r="XX424" s="9" t="n">
        <v>2179</v>
      </c>
      <c r="YB424" s="10" t="n">
        <v>46385</v>
      </c>
      <c r="YD424" s="9" t="n">
        <v>0</v>
      </c>
      <c r="YF424" s="9" t="n">
        <v>0</v>
      </c>
      <c r="YG424" s="9" t="n">
        <v>4019</v>
      </c>
      <c r="YK424" s="10" t="n">
        <v>46385</v>
      </c>
      <c r="YM424" s="9" t="n">
        <v>0</v>
      </c>
      <c r="YO424" s="9" t="n">
        <v>0</v>
      </c>
      <c r="YP424" s="9" t="n">
        <v>-218</v>
      </c>
      <c r="YT424" s="10" t="n">
        <v>46385</v>
      </c>
      <c r="YV424" s="9" t="n">
        <v>0</v>
      </c>
      <c r="YX424" s="9" t="n">
        <v>0</v>
      </c>
      <c r="YY424" s="9" t="n">
        <v>0</v>
      </c>
      <c r="ZC424" s="10" t="n">
        <v>46385</v>
      </c>
      <c r="ZE424" s="9" t="n">
        <v>0</v>
      </c>
      <c r="ZG424" s="9" t="n">
        <v>0</v>
      </c>
      <c r="ZH424" s="9" t="n">
        <v>0</v>
      </c>
      <c r="ZL424" s="10" t="n">
        <v>46385</v>
      </c>
      <c r="ZN424" s="9" t="n">
        <v>0</v>
      </c>
      <c r="ZP424" s="9" t="n">
        <v>0</v>
      </c>
      <c r="ZQ424" s="9" t="n">
        <v>0</v>
      </c>
      <c r="ZU424" s="10" t="n">
        <v>46385</v>
      </c>
      <c r="ZW424" s="9" t="n">
        <v>0</v>
      </c>
      <c r="ZY424" s="9" t="n">
        <v>0</v>
      </c>
      <c r="ZZ424" s="9" t="n">
        <v>0</v>
      </c>
      <c r="AAD424" s="10" t="n">
        <v>46385</v>
      </c>
      <c r="AAF424" s="9" t="n">
        <v>0</v>
      </c>
      <c r="AAH424" s="9" t="n">
        <v>0</v>
      </c>
      <c r="AAI424" s="9" t="n">
        <v>0</v>
      </c>
      <c r="AAM424" s="10" t="n">
        <v>46385</v>
      </c>
      <c r="AAO424" s="9" t="n">
        <v>0</v>
      </c>
      <c r="AAQ424" s="9" t="n">
        <v>0</v>
      </c>
      <c r="AAR424" s="9" t="n">
        <v>0</v>
      </c>
      <c r="AAV424" s="10" t="n">
        <v>46385</v>
      </c>
      <c r="AAX424" s="9" t="n">
        <v>0</v>
      </c>
      <c r="AAZ424" s="9" t="n">
        <v>0</v>
      </c>
      <c r="ABA424" s="9" t="n">
        <v>0</v>
      </c>
      <c r="ABE424" s="10" t="n">
        <v>46385</v>
      </c>
      <c r="ABG424" s="9" t="n">
        <v>0</v>
      </c>
      <c r="ABI424" s="9" t="n">
        <v>0</v>
      </c>
      <c r="ABJ424" s="9" t="n">
        <v>0</v>
      </c>
    </row>
    <row r="425">
      <c r="C425" s="10" t="n">
        <v>46386</v>
      </c>
      <c r="E425" s="9" t="n">
        <v>0</v>
      </c>
      <c r="G425" s="9" t="n">
        <v>0</v>
      </c>
      <c r="H425" s="9" t="n">
        <v>236936.6</v>
      </c>
      <c r="L425" s="10" t="n">
        <v>46386</v>
      </c>
      <c r="N425" s="9" t="n">
        <v>0</v>
      </c>
      <c r="P425" s="9" t="n">
        <v>0</v>
      </c>
      <c r="Q425" s="9" t="n">
        <v>53017.60000000007</v>
      </c>
      <c r="U425" s="10" t="n">
        <v>46386</v>
      </c>
      <c r="W425" s="9" t="n">
        <v>0</v>
      </c>
      <c r="Y425" s="9" t="n">
        <v>0</v>
      </c>
      <c r="Z425" s="9" t="n">
        <v>42674.19999999997</v>
      </c>
      <c r="AD425" s="10" t="n">
        <v>46386</v>
      </c>
      <c r="AF425" s="9" t="n">
        <v>0</v>
      </c>
      <c r="AH425" s="9" t="n">
        <v>0</v>
      </c>
      <c r="AI425" s="9" t="n">
        <v>4522.200000000019</v>
      </c>
      <c r="AM425" s="10" t="n">
        <v>46386</v>
      </c>
      <c r="AO425" s="9" t="n">
        <v>0</v>
      </c>
      <c r="AQ425" s="9" t="n">
        <v>0</v>
      </c>
      <c r="AR425" s="9" t="n">
        <v>0</v>
      </c>
      <c r="AV425" s="10" t="n">
        <v>46386</v>
      </c>
      <c r="AX425" s="9" t="n">
        <v>0</v>
      </c>
      <c r="AZ425" s="9" t="n">
        <v>0</v>
      </c>
      <c r="BA425" s="9" t="n">
        <v>124.9999999999952</v>
      </c>
      <c r="BE425" s="10" t="n">
        <v>46386</v>
      </c>
      <c r="BG425" s="9" t="n">
        <v>0</v>
      </c>
      <c r="BI425" s="9" t="n">
        <v>0</v>
      </c>
      <c r="BJ425" s="9" t="n">
        <v>26151.9</v>
      </c>
      <c r="BN425" s="10" t="n">
        <v>46386</v>
      </c>
      <c r="BP425" s="9" t="n">
        <v>0</v>
      </c>
      <c r="BR425" s="9" t="n">
        <v>0</v>
      </c>
      <c r="BS425" s="9" t="n">
        <v>0</v>
      </c>
      <c r="BW425" s="10" t="n">
        <v>46386</v>
      </c>
      <c r="BY425" s="9" t="n">
        <v>0</v>
      </c>
      <c r="CA425" s="9" t="n">
        <v>0</v>
      </c>
      <c r="CB425" s="9" t="n">
        <v>2097.339999999999</v>
      </c>
      <c r="CF425" s="10" t="n">
        <v>46386</v>
      </c>
      <c r="CH425" s="9" t="n">
        <v>0</v>
      </c>
      <c r="CJ425" s="9" t="n">
        <v>0</v>
      </c>
      <c r="CK425" s="9" t="n">
        <v>-10277.08</v>
      </c>
      <c r="CO425" s="10" t="n">
        <v>46386</v>
      </c>
      <c r="CQ425" s="9" t="n">
        <v>0</v>
      </c>
      <c r="CS425" s="9" t="n">
        <v>0</v>
      </c>
      <c r="CT425" s="9" t="n">
        <v>0</v>
      </c>
      <c r="CX425" s="10" t="n">
        <v>46386</v>
      </c>
      <c r="CZ425" s="9" t="n">
        <v>0</v>
      </c>
      <c r="DB425" s="9" t="n">
        <v>0</v>
      </c>
      <c r="DC425" s="9" t="n">
        <v>27438.20000000001</v>
      </c>
      <c r="DG425" s="10" t="n">
        <v>46386</v>
      </c>
      <c r="DI425" s="9" t="n">
        <v>0</v>
      </c>
      <c r="DK425" s="9" t="n">
        <v>0</v>
      </c>
      <c r="DL425" s="9" t="n">
        <v>18782.29999999998</v>
      </c>
      <c r="DP425" s="10" t="n">
        <v>46386</v>
      </c>
      <c r="DR425" s="9" t="n">
        <v>0</v>
      </c>
      <c r="DT425" s="9" t="n">
        <v>0</v>
      </c>
      <c r="DU425" s="9" t="n">
        <v>5800</v>
      </c>
      <c r="DY425" s="10" t="n">
        <v>46386</v>
      </c>
      <c r="EA425" s="9" t="n">
        <v>0</v>
      </c>
      <c r="EC425" s="9" t="n">
        <v>0</v>
      </c>
      <c r="ED425" s="9" t="n">
        <v>0</v>
      </c>
      <c r="EH425" s="10" t="n">
        <v>46386</v>
      </c>
      <c r="EJ425" s="9" t="n">
        <v>0</v>
      </c>
      <c r="EL425" s="9" t="n">
        <v>0</v>
      </c>
      <c r="EM425" s="9" t="n">
        <v>0</v>
      </c>
      <c r="EQ425" s="10" t="n">
        <v>46386</v>
      </c>
      <c r="ES425" s="9" t="n">
        <v>0</v>
      </c>
      <c r="EU425" s="9" t="n">
        <v>0</v>
      </c>
      <c r="EV425" s="9" t="n">
        <v>0</v>
      </c>
      <c r="EZ425" s="10" t="n">
        <v>46386</v>
      </c>
      <c r="FB425" s="9" t="n">
        <v>0</v>
      </c>
      <c r="FD425" s="9" t="n">
        <v>0</v>
      </c>
      <c r="FE425" s="9" t="n">
        <v>0</v>
      </c>
      <c r="FI425" s="10" t="n">
        <v>46386</v>
      </c>
      <c r="FK425" s="9" t="n">
        <v>0</v>
      </c>
      <c r="FM425" s="9" t="n">
        <v>0</v>
      </c>
      <c r="FN425" s="9" t="n">
        <v>0</v>
      </c>
      <c r="FR425" s="10" t="n">
        <v>46386</v>
      </c>
      <c r="FT425" s="9" t="n">
        <v>0</v>
      </c>
      <c r="FV425" s="9" t="n">
        <v>0</v>
      </c>
      <c r="FW425" s="9" t="n">
        <v>2020</v>
      </c>
      <c r="GA425" s="10" t="n">
        <v>46386</v>
      </c>
      <c r="GC425" s="9" t="n">
        <v>0</v>
      </c>
      <c r="GE425" s="9" t="n">
        <v>0</v>
      </c>
      <c r="GF425" s="9" t="n">
        <v>960</v>
      </c>
      <c r="GJ425" s="10" t="n">
        <v>46386</v>
      </c>
      <c r="GL425" s="9" t="n">
        <v>0</v>
      </c>
      <c r="GN425" s="9" t="n">
        <v>0</v>
      </c>
      <c r="GO425" s="9" t="n">
        <v>1760</v>
      </c>
      <c r="GS425" s="10" t="n">
        <v>46386</v>
      </c>
      <c r="GU425" s="9" t="n">
        <v>0</v>
      </c>
      <c r="GW425" s="9" t="n">
        <v>0</v>
      </c>
      <c r="GX425" s="9" t="n">
        <v>400</v>
      </c>
      <c r="HB425" s="10" t="n">
        <v>46386</v>
      </c>
      <c r="HD425" s="9" t="n">
        <v>0</v>
      </c>
      <c r="HF425" s="9" t="n">
        <v>0</v>
      </c>
      <c r="HG425" s="9" t="n">
        <v>3600</v>
      </c>
      <c r="HK425" s="10" t="n">
        <v>46386</v>
      </c>
      <c r="HM425" s="9" t="n">
        <v>0</v>
      </c>
      <c r="HO425" s="9" t="n">
        <v>0</v>
      </c>
      <c r="HP425" s="9" t="n">
        <v>0</v>
      </c>
      <c r="HU425" s="10" t="n">
        <v>46386</v>
      </c>
      <c r="HW425" s="9" t="n">
        <v>0</v>
      </c>
      <c r="HY425" s="9" t="n">
        <v>0</v>
      </c>
      <c r="HZ425" s="9" t="n">
        <v>6120</v>
      </c>
      <c r="ID425" s="10" t="n">
        <v>46386</v>
      </c>
      <c r="IF425" s="9" t="n">
        <v>0</v>
      </c>
      <c r="IH425" s="9" t="n">
        <v>0</v>
      </c>
      <c r="II425" s="9" t="n">
        <v>0</v>
      </c>
      <c r="IM425" s="10" t="n">
        <v>46386</v>
      </c>
      <c r="IO425" s="9" t="n">
        <v>0</v>
      </c>
      <c r="IQ425" s="9" t="n">
        <v>0</v>
      </c>
      <c r="IR425" s="9" t="n">
        <v>0</v>
      </c>
      <c r="IV425" s="10" t="n">
        <v>46386</v>
      </c>
      <c r="IX425" s="9" t="n">
        <v>0</v>
      </c>
      <c r="IZ425" s="9" t="n">
        <v>0</v>
      </c>
      <c r="JA425" s="9" t="n">
        <v>2820</v>
      </c>
      <c r="JE425" s="10" t="n">
        <v>46386</v>
      </c>
      <c r="JG425" s="9" t="n">
        <v>0</v>
      </c>
      <c r="JI425" s="9" t="n">
        <v>0</v>
      </c>
      <c r="JJ425" s="9" t="n">
        <v>0</v>
      </c>
      <c r="JN425" s="10" t="n">
        <v>46386</v>
      </c>
      <c r="JP425" s="9" t="n">
        <v>0</v>
      </c>
      <c r="JR425" s="9" t="n">
        <v>0</v>
      </c>
      <c r="JS425" s="9" t="n">
        <v>0</v>
      </c>
      <c r="JW425" s="10" t="n">
        <v>46386</v>
      </c>
      <c r="JY425" s="9" t="n">
        <v>0</v>
      </c>
      <c r="KA425" s="9" t="n">
        <v>0</v>
      </c>
      <c r="KB425" s="9" t="n">
        <v>2540</v>
      </c>
      <c r="KF425" s="10" t="n">
        <v>46386</v>
      </c>
      <c r="KH425" s="9" t="n">
        <v>0</v>
      </c>
      <c r="KJ425" s="9" t="n">
        <v>0</v>
      </c>
      <c r="KK425" s="9" t="n">
        <v>2359.5</v>
      </c>
      <c r="KO425" s="10" t="n">
        <v>46386</v>
      </c>
      <c r="KQ425" s="9" t="n">
        <v>0</v>
      </c>
      <c r="KS425" s="9" t="n">
        <v>0</v>
      </c>
      <c r="KT425" s="9" t="n">
        <v>1890</v>
      </c>
      <c r="KX425" s="10" t="n">
        <v>46386</v>
      </c>
      <c r="KZ425" s="9" t="n">
        <v>0</v>
      </c>
      <c r="LB425" s="9" t="n">
        <v>0</v>
      </c>
      <c r="LC425" s="9" t="n">
        <v>3690</v>
      </c>
      <c r="LG425" s="10" t="n">
        <v>46386</v>
      </c>
      <c r="LI425" s="9" t="n">
        <v>0</v>
      </c>
      <c r="LK425" s="9" t="n">
        <v>0</v>
      </c>
      <c r="LL425" s="9" t="n">
        <v>4000</v>
      </c>
      <c r="LP425" s="10" t="n">
        <v>46386</v>
      </c>
      <c r="LR425" s="9" t="n">
        <v>0</v>
      </c>
      <c r="LT425" s="9" t="n">
        <v>0</v>
      </c>
      <c r="LU425" s="9" t="n">
        <v>0</v>
      </c>
      <c r="LY425" s="10" t="n">
        <v>46386</v>
      </c>
      <c r="MA425" s="9" t="n">
        <v>0</v>
      </c>
      <c r="MC425" s="9" t="n">
        <v>0</v>
      </c>
      <c r="MD425" s="9" t="n">
        <v>0</v>
      </c>
      <c r="MH425" s="10" t="n">
        <v>46386</v>
      </c>
      <c r="MJ425" s="9" t="n">
        <v>0</v>
      </c>
      <c r="ML425" s="9" t="n">
        <v>0</v>
      </c>
      <c r="MM425" s="9" t="n">
        <v>-18</v>
      </c>
      <c r="MQ425" s="10" t="n">
        <v>46386</v>
      </c>
      <c r="MS425" s="9" t="n">
        <v>0</v>
      </c>
      <c r="MU425" s="9" t="n">
        <v>0</v>
      </c>
      <c r="MV425" s="9" t="n">
        <v>1559</v>
      </c>
      <c r="MZ425" s="10" t="n">
        <v>46386</v>
      </c>
      <c r="NB425" s="9" t="n">
        <v>0</v>
      </c>
      <c r="ND425" s="9" t="n">
        <v>0</v>
      </c>
      <c r="NE425" s="9" t="n">
        <v>0</v>
      </c>
      <c r="NI425" s="10" t="n">
        <v>46386</v>
      </c>
      <c r="NK425" s="9" t="n">
        <v>0</v>
      </c>
      <c r="NM425" s="9" t="n">
        <v>0</v>
      </c>
      <c r="NN425" s="9" t="n">
        <v>1127</v>
      </c>
      <c r="NR425" s="10" t="n">
        <v>46386</v>
      </c>
      <c r="NT425" s="9" t="n">
        <v>0</v>
      </c>
      <c r="NV425" s="9" t="n">
        <v>0</v>
      </c>
      <c r="NW425" s="9" t="n">
        <v>3112</v>
      </c>
      <c r="OA425" s="10" t="n">
        <v>46386</v>
      </c>
      <c r="OC425" s="9" t="n">
        <v>0</v>
      </c>
      <c r="OE425" s="9" t="n">
        <v>0</v>
      </c>
      <c r="OF425" s="9" t="n">
        <v>1680.5</v>
      </c>
      <c r="OJ425" s="10" t="n">
        <v>46386</v>
      </c>
      <c r="OL425" s="9" t="n">
        <v>0</v>
      </c>
      <c r="ON425" s="9" t="n">
        <v>0</v>
      </c>
      <c r="OO425" s="9" t="n">
        <v>0</v>
      </c>
      <c r="OS425" s="10" t="n">
        <v>46386</v>
      </c>
      <c r="OU425" s="9" t="n">
        <v>0</v>
      </c>
      <c r="OW425" s="9" t="n">
        <v>0</v>
      </c>
      <c r="OX425" s="9" t="n">
        <v>1482</v>
      </c>
      <c r="PB425" s="10" t="n">
        <v>46386</v>
      </c>
      <c r="PD425" s="9" t="n">
        <v>0</v>
      </c>
      <c r="PF425" s="9" t="n">
        <v>0</v>
      </c>
      <c r="PG425" s="9" t="n">
        <v>0</v>
      </c>
      <c r="PK425" s="10" t="n">
        <v>46386</v>
      </c>
      <c r="PM425" s="9" t="n">
        <v>0</v>
      </c>
      <c r="PO425" s="9" t="n">
        <v>0</v>
      </c>
      <c r="PP425" s="9" t="n">
        <v>100</v>
      </c>
      <c r="PT425" s="10" t="n">
        <v>46386</v>
      </c>
      <c r="PV425" s="9" t="n">
        <v>0</v>
      </c>
      <c r="PX425" s="9" t="n">
        <v>0</v>
      </c>
      <c r="PY425" s="9" t="n">
        <v>13.96000000000004</v>
      </c>
      <c r="QC425" s="10" t="n">
        <v>46386</v>
      </c>
      <c r="QE425" s="9" t="n">
        <v>0</v>
      </c>
      <c r="QG425" s="9" t="n">
        <v>0</v>
      </c>
      <c r="QH425" s="9" t="n">
        <v>548</v>
      </c>
      <c r="QL425" s="10" t="n">
        <v>46386</v>
      </c>
      <c r="QN425" s="9" t="n">
        <v>0</v>
      </c>
      <c r="QP425" s="9" t="n">
        <v>0</v>
      </c>
      <c r="QQ425" s="9" t="n">
        <v>0</v>
      </c>
      <c r="QU425" s="10" t="n">
        <v>46386</v>
      </c>
      <c r="QW425" s="9" t="n">
        <v>0</v>
      </c>
      <c r="QY425" s="9" t="n">
        <v>0</v>
      </c>
      <c r="QZ425" s="9" t="n">
        <v>0</v>
      </c>
      <c r="RD425" s="10" t="n">
        <v>46386</v>
      </c>
      <c r="RF425" s="9" t="n">
        <v>0</v>
      </c>
      <c r="RH425" s="9" t="n">
        <v>0</v>
      </c>
      <c r="RI425" s="9" t="n">
        <v>147.04</v>
      </c>
      <c r="RM425" s="10" t="n">
        <v>46386</v>
      </c>
      <c r="RO425" s="9" t="n">
        <v>0</v>
      </c>
      <c r="RQ425" s="9" t="n">
        <v>0</v>
      </c>
      <c r="RR425" s="9" t="n">
        <v>46.8</v>
      </c>
      <c r="RV425" s="10" t="n">
        <v>46386</v>
      </c>
      <c r="RX425" s="9" t="n">
        <v>0</v>
      </c>
      <c r="RZ425" s="9" t="n">
        <v>0</v>
      </c>
      <c r="SA425" s="9" t="n">
        <v>0</v>
      </c>
      <c r="SE425" s="10" t="n">
        <v>46386</v>
      </c>
      <c r="SG425" s="9" t="n">
        <v>0</v>
      </c>
      <c r="SI425" s="9" t="n">
        <v>0</v>
      </c>
      <c r="SJ425" s="9" t="n">
        <v>24.2</v>
      </c>
      <c r="SN425" s="10" t="n">
        <v>46386</v>
      </c>
      <c r="SP425" s="9" t="n">
        <v>0</v>
      </c>
      <c r="SR425" s="9" t="n">
        <v>0</v>
      </c>
      <c r="SS425" s="9" t="n">
        <v>32</v>
      </c>
      <c r="SW425" s="10" t="n">
        <v>46386</v>
      </c>
      <c r="SY425" s="9" t="n">
        <v>0</v>
      </c>
      <c r="TA425" s="9" t="n">
        <v>0</v>
      </c>
      <c r="TB425" s="9" t="n">
        <v>0</v>
      </c>
      <c r="TF425" s="10" t="n">
        <v>46386</v>
      </c>
      <c r="TH425" s="9" t="n">
        <v>0</v>
      </c>
      <c r="TJ425" s="9" t="n">
        <v>0</v>
      </c>
      <c r="TK425" s="9" t="n">
        <v>0</v>
      </c>
      <c r="TO425" s="10" t="n">
        <v>46386</v>
      </c>
      <c r="TQ425" s="9" t="n">
        <v>0</v>
      </c>
      <c r="TS425" s="9" t="n">
        <v>0</v>
      </c>
      <c r="TT425" s="9" t="n">
        <v>0</v>
      </c>
      <c r="TX425" s="10" t="n">
        <v>46386</v>
      </c>
      <c r="TZ425" s="9" t="n">
        <v>0</v>
      </c>
      <c r="UB425" s="9" t="n">
        <v>0</v>
      </c>
      <c r="UC425" s="9" t="n">
        <v>46.79999999999998</v>
      </c>
      <c r="UG425" s="10" t="n">
        <v>46386</v>
      </c>
      <c r="UI425" s="9" t="n">
        <v>0</v>
      </c>
      <c r="UK425" s="9" t="n">
        <v>0</v>
      </c>
      <c r="UL425" s="9" t="n">
        <v>204</v>
      </c>
      <c r="UP425" s="10" t="n">
        <v>46386</v>
      </c>
      <c r="UR425" s="9" t="n">
        <v>0</v>
      </c>
      <c r="UT425" s="9" t="n">
        <v>0</v>
      </c>
      <c r="UU425" s="9" t="n">
        <v>202.5</v>
      </c>
      <c r="UY425" s="10" t="n">
        <v>46386</v>
      </c>
      <c r="VA425" s="9" t="n">
        <v>0</v>
      </c>
      <c r="VC425" s="9" t="n">
        <v>0</v>
      </c>
      <c r="VD425" s="9" t="n">
        <v>41.60000000000002</v>
      </c>
      <c r="VH425" s="10" t="n">
        <v>46386</v>
      </c>
      <c r="VJ425" s="9" t="n">
        <v>0</v>
      </c>
      <c r="VL425" s="9" t="n">
        <v>0</v>
      </c>
      <c r="VM425" s="9" t="n">
        <v>210</v>
      </c>
      <c r="VQ425" s="10" t="n">
        <v>46386</v>
      </c>
      <c r="VS425" s="9" t="n">
        <v>0</v>
      </c>
      <c r="VU425" s="9" t="n">
        <v>0</v>
      </c>
      <c r="VV425" s="9" t="n">
        <v>0</v>
      </c>
      <c r="VZ425" s="10" t="n">
        <v>46386</v>
      </c>
      <c r="WB425" s="9" t="n">
        <v>0</v>
      </c>
      <c r="WD425" s="9" t="n">
        <v>0</v>
      </c>
      <c r="WE425" s="9" t="n">
        <v>0</v>
      </c>
      <c r="WI425" s="10" t="n">
        <v>46386</v>
      </c>
      <c r="WK425" s="9" t="n">
        <v>0</v>
      </c>
      <c r="WM425" s="9" t="n">
        <v>0</v>
      </c>
      <c r="WN425" s="9" t="n">
        <v>1057</v>
      </c>
      <c r="WR425" s="10" t="n">
        <v>46386</v>
      </c>
      <c r="WT425" s="9" t="n">
        <v>0</v>
      </c>
      <c r="WV425" s="9" t="n">
        <v>0</v>
      </c>
      <c r="WW425" s="9" t="n">
        <v>0</v>
      </c>
      <c r="XA425" s="10" t="n">
        <v>46386</v>
      </c>
      <c r="XC425" s="9" t="n">
        <v>0</v>
      </c>
      <c r="XE425" s="9" t="n">
        <v>0</v>
      </c>
      <c r="XF425" s="9" t="n">
        <v>7507</v>
      </c>
      <c r="XJ425" s="10" t="n">
        <v>46386</v>
      </c>
      <c r="XL425" s="9" t="n">
        <v>0</v>
      </c>
      <c r="XN425" s="9" t="n">
        <v>0</v>
      </c>
      <c r="XO425" s="9" t="n">
        <v>4252</v>
      </c>
      <c r="XS425" s="10" t="n">
        <v>46386</v>
      </c>
      <c r="XU425" s="9" t="n">
        <v>0</v>
      </c>
      <c r="XW425" s="9" t="n">
        <v>0</v>
      </c>
      <c r="XX425" s="9" t="n">
        <v>2179</v>
      </c>
      <c r="YB425" s="10" t="n">
        <v>46386</v>
      </c>
      <c r="YD425" s="9" t="n">
        <v>0</v>
      </c>
      <c r="YF425" s="9" t="n">
        <v>0</v>
      </c>
      <c r="YG425" s="9" t="n">
        <v>4019</v>
      </c>
      <c r="YK425" s="10" t="n">
        <v>46386</v>
      </c>
      <c r="YM425" s="9" t="n">
        <v>0</v>
      </c>
      <c r="YO425" s="9" t="n">
        <v>0</v>
      </c>
      <c r="YP425" s="9" t="n">
        <v>-218</v>
      </c>
      <c r="YT425" s="10" t="n">
        <v>46386</v>
      </c>
      <c r="YV425" s="9" t="n">
        <v>0</v>
      </c>
      <c r="YX425" s="9" t="n">
        <v>0</v>
      </c>
      <c r="YY425" s="9" t="n">
        <v>0</v>
      </c>
      <c r="ZC425" s="10" t="n">
        <v>46386</v>
      </c>
      <c r="ZE425" s="9" t="n">
        <v>0</v>
      </c>
      <c r="ZG425" s="9" t="n">
        <v>0</v>
      </c>
      <c r="ZH425" s="9" t="n">
        <v>0</v>
      </c>
      <c r="ZL425" s="10" t="n">
        <v>46386</v>
      </c>
      <c r="ZN425" s="9" t="n">
        <v>0</v>
      </c>
      <c r="ZP425" s="9" t="n">
        <v>0</v>
      </c>
      <c r="ZQ425" s="9" t="n">
        <v>0</v>
      </c>
      <c r="ZU425" s="10" t="n">
        <v>46386</v>
      </c>
      <c r="ZW425" s="9" t="n">
        <v>0</v>
      </c>
      <c r="ZY425" s="9" t="n">
        <v>0</v>
      </c>
      <c r="ZZ425" s="9" t="n">
        <v>0</v>
      </c>
      <c r="AAD425" s="10" t="n">
        <v>46386</v>
      </c>
      <c r="AAF425" s="9" t="n">
        <v>0</v>
      </c>
      <c r="AAH425" s="9" t="n">
        <v>0</v>
      </c>
      <c r="AAI425" s="9" t="n">
        <v>0</v>
      </c>
      <c r="AAM425" s="10" t="n">
        <v>46386</v>
      </c>
      <c r="AAO425" s="9" t="n">
        <v>0</v>
      </c>
      <c r="AAQ425" s="9" t="n">
        <v>0</v>
      </c>
      <c r="AAR425" s="9" t="n">
        <v>0</v>
      </c>
      <c r="AAV425" s="10" t="n">
        <v>46386</v>
      </c>
      <c r="AAX425" s="9" t="n">
        <v>0</v>
      </c>
      <c r="AAZ425" s="9" t="n">
        <v>0</v>
      </c>
      <c r="ABA425" s="9" t="n">
        <v>0</v>
      </c>
      <c r="ABE425" s="10" t="n">
        <v>46386</v>
      </c>
      <c r="ABG425" s="9" t="n">
        <v>0</v>
      </c>
      <c r="ABI425" s="9" t="n">
        <v>0</v>
      </c>
      <c r="ABJ425" s="9" t="n">
        <v>0</v>
      </c>
    </row>
    <row r="426">
      <c r="C426" s="10" t="n">
        <v>46387</v>
      </c>
      <c r="E426" s="9" t="n">
        <v>0</v>
      </c>
      <c r="G426" s="9" t="n">
        <v>0</v>
      </c>
      <c r="H426" s="9" t="n">
        <v>236936.6</v>
      </c>
      <c r="L426" s="10" t="n">
        <v>46387</v>
      </c>
      <c r="N426" s="9" t="n">
        <v>0</v>
      </c>
      <c r="P426" s="9" t="n">
        <v>0</v>
      </c>
      <c r="Q426" s="9" t="n">
        <v>53017.60000000007</v>
      </c>
      <c r="U426" s="10" t="n">
        <v>46387</v>
      </c>
      <c r="W426" s="9" t="n">
        <v>0</v>
      </c>
      <c r="Y426" s="9" t="n">
        <v>0</v>
      </c>
      <c r="Z426" s="9" t="n">
        <v>42674.19999999997</v>
      </c>
      <c r="AD426" s="10" t="n">
        <v>46387</v>
      </c>
      <c r="AF426" s="9" t="n">
        <v>0</v>
      </c>
      <c r="AH426" s="9" t="n">
        <v>0</v>
      </c>
      <c r="AI426" s="9" t="n">
        <v>4522.200000000019</v>
      </c>
      <c r="AM426" s="10" t="n">
        <v>46387</v>
      </c>
      <c r="AO426" s="9" t="n">
        <v>0</v>
      </c>
      <c r="AQ426" s="9" t="n">
        <v>0</v>
      </c>
      <c r="AR426" s="9" t="n">
        <v>0</v>
      </c>
      <c r="AV426" s="10" t="n">
        <v>46387</v>
      </c>
      <c r="AX426" s="9" t="n">
        <v>0</v>
      </c>
      <c r="AZ426" s="9" t="n">
        <v>0</v>
      </c>
      <c r="BA426" s="9" t="n">
        <v>124.9999999999952</v>
      </c>
      <c r="BE426" s="10" t="n">
        <v>46387</v>
      </c>
      <c r="BG426" s="9" t="n">
        <v>0</v>
      </c>
      <c r="BI426" s="9" t="n">
        <v>0</v>
      </c>
      <c r="BJ426" s="9" t="n">
        <v>26151.9</v>
      </c>
      <c r="BN426" s="10" t="n">
        <v>46387</v>
      </c>
      <c r="BP426" s="9" t="n">
        <v>0</v>
      </c>
      <c r="BR426" s="9" t="n">
        <v>0</v>
      </c>
      <c r="BS426" s="9" t="n">
        <v>0</v>
      </c>
      <c r="BW426" s="10" t="n">
        <v>46387</v>
      </c>
      <c r="BY426" s="9" t="n">
        <v>0</v>
      </c>
      <c r="CA426" s="9" t="n">
        <v>0</v>
      </c>
      <c r="CB426" s="9" t="n">
        <v>2097.339999999999</v>
      </c>
      <c r="CF426" s="10" t="n">
        <v>46387</v>
      </c>
      <c r="CH426" s="9" t="n">
        <v>0</v>
      </c>
      <c r="CJ426" s="9" t="n">
        <v>0</v>
      </c>
      <c r="CK426" s="9" t="n">
        <v>-10277.08</v>
      </c>
      <c r="CO426" s="10" t="n">
        <v>46387</v>
      </c>
      <c r="CQ426" s="9" t="n">
        <v>0</v>
      </c>
      <c r="CS426" s="9" t="n">
        <v>0</v>
      </c>
      <c r="CT426" s="9" t="n">
        <v>0</v>
      </c>
      <c r="CX426" s="10" t="n">
        <v>46387</v>
      </c>
      <c r="CZ426" s="9" t="n">
        <v>0</v>
      </c>
      <c r="DB426" s="9" t="n">
        <v>0</v>
      </c>
      <c r="DC426" s="9" t="n">
        <v>27438.20000000001</v>
      </c>
      <c r="DG426" s="10" t="n">
        <v>46387</v>
      </c>
      <c r="DI426" s="9" t="n">
        <v>0</v>
      </c>
      <c r="DK426" s="9" t="n">
        <v>0</v>
      </c>
      <c r="DL426" s="9" t="n">
        <v>18782.29999999998</v>
      </c>
      <c r="DP426" s="10" t="n">
        <v>46387</v>
      </c>
      <c r="DR426" s="9" t="n">
        <v>0</v>
      </c>
      <c r="DT426" s="9" t="n">
        <v>0</v>
      </c>
      <c r="DU426" s="9" t="n">
        <v>5800</v>
      </c>
      <c r="DY426" s="10" t="n">
        <v>46387</v>
      </c>
      <c r="EA426" s="9" t="n">
        <v>0</v>
      </c>
      <c r="EC426" s="9" t="n">
        <v>0</v>
      </c>
      <c r="ED426" s="9" t="n">
        <v>0</v>
      </c>
      <c r="EH426" s="10" t="n">
        <v>46387</v>
      </c>
      <c r="EJ426" s="9" t="n">
        <v>0</v>
      </c>
      <c r="EL426" s="9" t="n">
        <v>0</v>
      </c>
      <c r="EM426" s="9" t="n">
        <v>0</v>
      </c>
      <c r="EQ426" s="10" t="n">
        <v>46387</v>
      </c>
      <c r="ES426" s="9" t="n">
        <v>0</v>
      </c>
      <c r="EU426" s="9" t="n">
        <v>0</v>
      </c>
      <c r="EV426" s="9" t="n">
        <v>0</v>
      </c>
      <c r="EZ426" s="10" t="n">
        <v>46387</v>
      </c>
      <c r="FB426" s="9" t="n">
        <v>0</v>
      </c>
      <c r="FD426" s="9" t="n">
        <v>0</v>
      </c>
      <c r="FE426" s="9" t="n">
        <v>0</v>
      </c>
      <c r="FI426" s="10" t="n">
        <v>46387</v>
      </c>
      <c r="FK426" s="9" t="n">
        <v>0</v>
      </c>
      <c r="FM426" s="9" t="n">
        <v>0</v>
      </c>
      <c r="FN426" s="9" t="n">
        <v>0</v>
      </c>
      <c r="FR426" s="10" t="n">
        <v>46387</v>
      </c>
      <c r="FT426" s="9" t="n">
        <v>0</v>
      </c>
      <c r="FV426" s="9" t="n">
        <v>0</v>
      </c>
      <c r="FW426" s="9" t="n">
        <v>2020</v>
      </c>
      <c r="GA426" s="10" t="n">
        <v>46387</v>
      </c>
      <c r="GC426" s="9" t="n">
        <v>0</v>
      </c>
      <c r="GE426" s="9" t="n">
        <v>0</v>
      </c>
      <c r="GF426" s="9" t="n">
        <v>960</v>
      </c>
      <c r="GJ426" s="10" t="n">
        <v>46387</v>
      </c>
      <c r="GL426" s="9" t="n">
        <v>0</v>
      </c>
      <c r="GN426" s="9" t="n">
        <v>0</v>
      </c>
      <c r="GO426" s="9" t="n">
        <v>1760</v>
      </c>
      <c r="GS426" s="10" t="n">
        <v>46387</v>
      </c>
      <c r="GU426" s="9" t="n">
        <v>0</v>
      </c>
      <c r="GW426" s="9" t="n">
        <v>0</v>
      </c>
      <c r="GX426" s="9" t="n">
        <v>400</v>
      </c>
      <c r="HB426" s="10" t="n">
        <v>46387</v>
      </c>
      <c r="HD426" s="9" t="n">
        <v>0</v>
      </c>
      <c r="HF426" s="9" t="n">
        <v>0</v>
      </c>
      <c r="HG426" s="9" t="n">
        <v>3600</v>
      </c>
      <c r="HK426" s="10" t="n">
        <v>46387</v>
      </c>
      <c r="HM426" s="9" t="n">
        <v>0</v>
      </c>
      <c r="HO426" s="9" t="n">
        <v>0</v>
      </c>
      <c r="HP426" s="9" t="n">
        <v>0</v>
      </c>
      <c r="HU426" s="10" t="n">
        <v>46387</v>
      </c>
      <c r="HW426" s="9" t="n">
        <v>0</v>
      </c>
      <c r="HY426" s="9" t="n">
        <v>0</v>
      </c>
      <c r="HZ426" s="9" t="n">
        <v>6120</v>
      </c>
      <c r="ID426" s="10" t="n">
        <v>46387</v>
      </c>
      <c r="IF426" s="9" t="n">
        <v>0</v>
      </c>
      <c r="IH426" s="9" t="n">
        <v>0</v>
      </c>
      <c r="II426" s="9" t="n">
        <v>0</v>
      </c>
      <c r="IM426" s="10" t="n">
        <v>46387</v>
      </c>
      <c r="IO426" s="9" t="n">
        <v>0</v>
      </c>
      <c r="IQ426" s="9" t="n">
        <v>0</v>
      </c>
      <c r="IR426" s="9" t="n">
        <v>0</v>
      </c>
      <c r="IV426" s="10" t="n">
        <v>46387</v>
      </c>
      <c r="IX426" s="9" t="n">
        <v>0</v>
      </c>
      <c r="IZ426" s="9" t="n">
        <v>0</v>
      </c>
      <c r="JA426" s="9" t="n">
        <v>2820</v>
      </c>
      <c r="JE426" s="10" t="n">
        <v>46387</v>
      </c>
      <c r="JG426" s="9" t="n">
        <v>0</v>
      </c>
      <c r="JI426" s="9" t="n">
        <v>0</v>
      </c>
      <c r="JJ426" s="9" t="n">
        <v>0</v>
      </c>
      <c r="JN426" s="10" t="n">
        <v>46387</v>
      </c>
      <c r="JP426" s="9" t="n">
        <v>0</v>
      </c>
      <c r="JR426" s="9" t="n">
        <v>0</v>
      </c>
      <c r="JS426" s="9" t="n">
        <v>0</v>
      </c>
      <c r="JW426" s="10" t="n">
        <v>46387</v>
      </c>
      <c r="JY426" s="9" t="n">
        <v>0</v>
      </c>
      <c r="KA426" s="9" t="n">
        <v>0</v>
      </c>
      <c r="KB426" s="9" t="n">
        <v>2540</v>
      </c>
      <c r="KF426" s="10" t="n">
        <v>46387</v>
      </c>
      <c r="KH426" s="9" t="n">
        <v>0</v>
      </c>
      <c r="KJ426" s="9" t="n">
        <v>0</v>
      </c>
      <c r="KK426" s="9" t="n">
        <v>2359.5</v>
      </c>
      <c r="KO426" s="10" t="n">
        <v>46387</v>
      </c>
      <c r="KQ426" s="9" t="n">
        <v>0</v>
      </c>
      <c r="KS426" s="9" t="n">
        <v>0</v>
      </c>
      <c r="KT426" s="9" t="n">
        <v>1890</v>
      </c>
      <c r="KX426" s="10" t="n">
        <v>46387</v>
      </c>
      <c r="KZ426" s="9" t="n">
        <v>0</v>
      </c>
      <c r="LB426" s="9" t="n">
        <v>0</v>
      </c>
      <c r="LC426" s="9" t="n">
        <v>3690</v>
      </c>
      <c r="LG426" s="10" t="n">
        <v>46387</v>
      </c>
      <c r="LI426" s="9" t="n">
        <v>0</v>
      </c>
      <c r="LK426" s="9" t="n">
        <v>0</v>
      </c>
      <c r="LL426" s="9" t="n">
        <v>4000</v>
      </c>
      <c r="LP426" s="10" t="n">
        <v>46387</v>
      </c>
      <c r="LR426" s="9" t="n">
        <v>0</v>
      </c>
      <c r="LT426" s="9" t="n">
        <v>0</v>
      </c>
      <c r="LU426" s="9" t="n">
        <v>0</v>
      </c>
      <c r="LY426" s="10" t="n">
        <v>46387</v>
      </c>
      <c r="MA426" s="9" t="n">
        <v>0</v>
      </c>
      <c r="MC426" s="9" t="n">
        <v>0</v>
      </c>
      <c r="MD426" s="9" t="n">
        <v>0</v>
      </c>
      <c r="MH426" s="10" t="n">
        <v>46387</v>
      </c>
      <c r="MJ426" s="9" t="n">
        <v>0</v>
      </c>
      <c r="ML426" s="9" t="n">
        <v>0</v>
      </c>
      <c r="MM426" s="9" t="n">
        <v>-18</v>
      </c>
      <c r="MQ426" s="10" t="n">
        <v>46387</v>
      </c>
      <c r="MS426" s="9" t="n">
        <v>0</v>
      </c>
      <c r="MU426" s="9" t="n">
        <v>0</v>
      </c>
      <c r="MV426" s="9" t="n">
        <v>1559</v>
      </c>
      <c r="MZ426" s="10" t="n">
        <v>46387</v>
      </c>
      <c r="NB426" s="9" t="n">
        <v>0</v>
      </c>
      <c r="ND426" s="9" t="n">
        <v>0</v>
      </c>
      <c r="NE426" s="9" t="n">
        <v>0</v>
      </c>
      <c r="NI426" s="10" t="n">
        <v>46387</v>
      </c>
      <c r="NK426" s="9" t="n">
        <v>0</v>
      </c>
      <c r="NM426" s="9" t="n">
        <v>0</v>
      </c>
      <c r="NN426" s="9" t="n">
        <v>1127</v>
      </c>
      <c r="NR426" s="10" t="n">
        <v>46387</v>
      </c>
      <c r="NT426" s="9" t="n">
        <v>0</v>
      </c>
      <c r="NV426" s="9" t="n">
        <v>0</v>
      </c>
      <c r="NW426" s="9" t="n">
        <v>3112</v>
      </c>
      <c r="OA426" s="10" t="n">
        <v>46387</v>
      </c>
      <c r="OC426" s="9" t="n">
        <v>0</v>
      </c>
      <c r="OE426" s="9" t="n">
        <v>0</v>
      </c>
      <c r="OF426" s="9" t="n">
        <v>1680.5</v>
      </c>
      <c r="OJ426" s="10" t="n">
        <v>46387</v>
      </c>
      <c r="OL426" s="9" t="n">
        <v>0</v>
      </c>
      <c r="ON426" s="9" t="n">
        <v>0</v>
      </c>
      <c r="OO426" s="9" t="n">
        <v>0</v>
      </c>
      <c r="OS426" s="10" t="n">
        <v>46387</v>
      </c>
      <c r="OU426" s="9" t="n">
        <v>0</v>
      </c>
      <c r="OW426" s="9" t="n">
        <v>0</v>
      </c>
      <c r="OX426" s="9" t="n">
        <v>1482</v>
      </c>
      <c r="PB426" s="10" t="n">
        <v>46387</v>
      </c>
      <c r="PD426" s="9" t="n">
        <v>0</v>
      </c>
      <c r="PF426" s="9" t="n">
        <v>0</v>
      </c>
      <c r="PG426" s="9" t="n">
        <v>0</v>
      </c>
      <c r="PK426" s="10" t="n">
        <v>46387</v>
      </c>
      <c r="PM426" s="9" t="n">
        <v>0</v>
      </c>
      <c r="PO426" s="9" t="n">
        <v>0</v>
      </c>
      <c r="PP426" s="9" t="n">
        <v>100</v>
      </c>
      <c r="PT426" s="10" t="n">
        <v>46387</v>
      </c>
      <c r="PV426" s="9" t="n">
        <v>0</v>
      </c>
      <c r="PX426" s="9" t="n">
        <v>0</v>
      </c>
      <c r="PY426" s="9" t="n">
        <v>13.96000000000004</v>
      </c>
      <c r="QC426" s="10" t="n">
        <v>46387</v>
      </c>
      <c r="QE426" s="9" t="n">
        <v>0</v>
      </c>
      <c r="QG426" s="9" t="n">
        <v>0</v>
      </c>
      <c r="QH426" s="9" t="n">
        <v>548</v>
      </c>
      <c r="QL426" s="10" t="n">
        <v>46387</v>
      </c>
      <c r="QN426" s="9" t="n">
        <v>0</v>
      </c>
      <c r="QP426" s="9" t="n">
        <v>0</v>
      </c>
      <c r="QQ426" s="9" t="n">
        <v>0</v>
      </c>
      <c r="QU426" s="10" t="n">
        <v>46387</v>
      </c>
      <c r="QW426" s="9" t="n">
        <v>0</v>
      </c>
      <c r="QY426" s="9" t="n">
        <v>0</v>
      </c>
      <c r="QZ426" s="9" t="n">
        <v>0</v>
      </c>
      <c r="RD426" s="10" t="n">
        <v>46387</v>
      </c>
      <c r="RF426" s="9" t="n">
        <v>0</v>
      </c>
      <c r="RH426" s="9" t="n">
        <v>0</v>
      </c>
      <c r="RI426" s="9" t="n">
        <v>147.04</v>
      </c>
      <c r="RM426" s="10" t="n">
        <v>46387</v>
      </c>
      <c r="RO426" s="9" t="n">
        <v>0</v>
      </c>
      <c r="RQ426" s="9" t="n">
        <v>0</v>
      </c>
      <c r="RR426" s="9" t="n">
        <v>46.8</v>
      </c>
      <c r="RV426" s="10" t="n">
        <v>46387</v>
      </c>
      <c r="RX426" s="9" t="n">
        <v>0</v>
      </c>
      <c r="RZ426" s="9" t="n">
        <v>0</v>
      </c>
      <c r="SA426" s="9" t="n">
        <v>0</v>
      </c>
      <c r="SE426" s="10" t="n">
        <v>46387</v>
      </c>
      <c r="SG426" s="9" t="n">
        <v>0</v>
      </c>
      <c r="SI426" s="9" t="n">
        <v>0</v>
      </c>
      <c r="SJ426" s="9" t="n">
        <v>24.2</v>
      </c>
      <c r="SN426" s="10" t="n">
        <v>46387</v>
      </c>
      <c r="SP426" s="9" t="n">
        <v>0</v>
      </c>
      <c r="SR426" s="9" t="n">
        <v>0</v>
      </c>
      <c r="SS426" s="9" t="n">
        <v>32</v>
      </c>
      <c r="SW426" s="10" t="n">
        <v>46387</v>
      </c>
      <c r="SY426" s="9" t="n">
        <v>0</v>
      </c>
      <c r="TA426" s="9" t="n">
        <v>0</v>
      </c>
      <c r="TB426" s="9" t="n">
        <v>0</v>
      </c>
      <c r="TF426" s="10" t="n">
        <v>46387</v>
      </c>
      <c r="TH426" s="9" t="n">
        <v>0</v>
      </c>
      <c r="TJ426" s="9" t="n">
        <v>0</v>
      </c>
      <c r="TK426" s="9" t="n">
        <v>0</v>
      </c>
      <c r="TO426" s="10" t="n">
        <v>46387</v>
      </c>
      <c r="TQ426" s="9" t="n">
        <v>0</v>
      </c>
      <c r="TS426" s="9" t="n">
        <v>0</v>
      </c>
      <c r="TT426" s="9" t="n">
        <v>0</v>
      </c>
      <c r="TX426" s="10" t="n">
        <v>46387</v>
      </c>
      <c r="TZ426" s="9" t="n">
        <v>0</v>
      </c>
      <c r="UB426" s="9" t="n">
        <v>0</v>
      </c>
      <c r="UC426" s="9" t="n">
        <v>46.79999999999998</v>
      </c>
      <c r="UG426" s="10" t="n">
        <v>46387</v>
      </c>
      <c r="UI426" s="9" t="n">
        <v>0</v>
      </c>
      <c r="UK426" s="9" t="n">
        <v>0</v>
      </c>
      <c r="UL426" s="9" t="n">
        <v>204</v>
      </c>
      <c r="UP426" s="10" t="n">
        <v>46387</v>
      </c>
      <c r="UR426" s="9" t="n">
        <v>0</v>
      </c>
      <c r="UT426" s="9" t="n">
        <v>0</v>
      </c>
      <c r="UU426" s="9" t="n">
        <v>202.5</v>
      </c>
      <c r="UY426" s="10" t="n">
        <v>46387</v>
      </c>
      <c r="VA426" s="9" t="n">
        <v>0</v>
      </c>
      <c r="VC426" s="9" t="n">
        <v>0</v>
      </c>
      <c r="VD426" s="9" t="n">
        <v>41.60000000000002</v>
      </c>
      <c r="VH426" s="10" t="n">
        <v>46387</v>
      </c>
      <c r="VJ426" s="9" t="n">
        <v>0</v>
      </c>
      <c r="VL426" s="9" t="n">
        <v>0</v>
      </c>
      <c r="VM426" s="9" t="n">
        <v>210</v>
      </c>
      <c r="VQ426" s="10" t="n">
        <v>46387</v>
      </c>
      <c r="VS426" s="9" t="n">
        <v>0</v>
      </c>
      <c r="VU426" s="9" t="n">
        <v>0</v>
      </c>
      <c r="VV426" s="9" t="n">
        <v>0</v>
      </c>
      <c r="VZ426" s="10" t="n">
        <v>46387</v>
      </c>
      <c r="WB426" s="9" t="n">
        <v>0</v>
      </c>
      <c r="WD426" s="9" t="n">
        <v>0</v>
      </c>
      <c r="WE426" s="9" t="n">
        <v>0</v>
      </c>
      <c r="WI426" s="10" t="n">
        <v>46387</v>
      </c>
      <c r="WK426" s="9" t="n">
        <v>0</v>
      </c>
      <c r="WM426" s="9" t="n">
        <v>0</v>
      </c>
      <c r="WN426" s="9" t="n">
        <v>1057</v>
      </c>
      <c r="WR426" s="10" t="n">
        <v>46387</v>
      </c>
      <c r="WT426" s="9" t="n">
        <v>0</v>
      </c>
      <c r="WV426" s="9" t="n">
        <v>0</v>
      </c>
      <c r="WW426" s="9" t="n">
        <v>0</v>
      </c>
      <c r="XA426" s="10" t="n">
        <v>46387</v>
      </c>
      <c r="XC426" s="9" t="n">
        <v>0</v>
      </c>
      <c r="XE426" s="9" t="n">
        <v>0</v>
      </c>
      <c r="XF426" s="9" t="n">
        <v>7507</v>
      </c>
      <c r="XJ426" s="10" t="n">
        <v>46387</v>
      </c>
      <c r="XL426" s="9" t="n">
        <v>0</v>
      </c>
      <c r="XN426" s="9" t="n">
        <v>0</v>
      </c>
      <c r="XO426" s="9" t="n">
        <v>4252</v>
      </c>
      <c r="XS426" s="10" t="n">
        <v>46387</v>
      </c>
      <c r="XU426" s="9" t="n">
        <v>0</v>
      </c>
      <c r="XW426" s="9" t="n">
        <v>0</v>
      </c>
      <c r="XX426" s="9" t="n">
        <v>2179</v>
      </c>
      <c r="YB426" s="10" t="n">
        <v>46387</v>
      </c>
      <c r="YD426" s="9" t="n">
        <v>0</v>
      </c>
      <c r="YF426" s="9" t="n">
        <v>0</v>
      </c>
      <c r="YG426" s="9" t="n">
        <v>4019</v>
      </c>
      <c r="YK426" s="10" t="n">
        <v>46387</v>
      </c>
      <c r="YM426" s="9" t="n">
        <v>0</v>
      </c>
      <c r="YO426" s="9" t="n">
        <v>0</v>
      </c>
      <c r="YP426" s="9" t="n">
        <v>-218</v>
      </c>
      <c r="YT426" s="10" t="n">
        <v>46387</v>
      </c>
      <c r="YV426" s="9" t="n">
        <v>0</v>
      </c>
      <c r="YX426" s="9" t="n">
        <v>0</v>
      </c>
      <c r="YY426" s="9" t="n">
        <v>0</v>
      </c>
      <c r="ZC426" s="10" t="n">
        <v>46387</v>
      </c>
      <c r="ZE426" s="9" t="n">
        <v>0</v>
      </c>
      <c r="ZG426" s="9" t="n">
        <v>0</v>
      </c>
      <c r="ZH426" s="9" t="n">
        <v>0</v>
      </c>
      <c r="ZL426" s="10" t="n">
        <v>46387</v>
      </c>
      <c r="ZN426" s="9" t="n">
        <v>0</v>
      </c>
      <c r="ZP426" s="9" t="n">
        <v>0</v>
      </c>
      <c r="ZQ426" s="9" t="n">
        <v>0</v>
      </c>
      <c r="ZU426" s="10" t="n">
        <v>46387</v>
      </c>
      <c r="ZW426" s="9" t="n">
        <v>0</v>
      </c>
      <c r="ZY426" s="9" t="n">
        <v>0</v>
      </c>
      <c r="ZZ426" s="9" t="n">
        <v>0</v>
      </c>
      <c r="AAD426" s="10" t="n">
        <v>46387</v>
      </c>
      <c r="AAF426" s="9" t="n">
        <v>0</v>
      </c>
      <c r="AAH426" s="9" t="n">
        <v>0</v>
      </c>
      <c r="AAI426" s="9" t="n">
        <v>0</v>
      </c>
      <c r="AAM426" s="10" t="n">
        <v>46387</v>
      </c>
      <c r="AAO426" s="9" t="n">
        <v>0</v>
      </c>
      <c r="AAQ426" s="9" t="n">
        <v>0</v>
      </c>
      <c r="AAR426" s="9" t="n">
        <v>0</v>
      </c>
      <c r="AAV426" s="10" t="n">
        <v>46387</v>
      </c>
      <c r="AAX426" s="9" t="n">
        <v>0</v>
      </c>
      <c r="AAZ426" s="9" t="n">
        <v>0</v>
      </c>
      <c r="ABA426" s="9" t="n">
        <v>0</v>
      </c>
      <c r="ABE426" s="10" t="n">
        <v>46387</v>
      </c>
      <c r="ABG426" s="9" t="n">
        <v>0</v>
      </c>
      <c r="ABI426" s="9" t="n">
        <v>0</v>
      </c>
      <c r="ABJ426" s="9" t="n">
        <v>0</v>
      </c>
    </row>
    <row r="427">
      <c r="B427" s="9" t="n">
        <v>0</v>
      </c>
      <c r="C427" s="9" t="inlineStr">
        <is>
          <t>TOTAL</t>
        </is>
      </c>
      <c r="D427" s="9" t="n">
        <v>0</v>
      </c>
      <c r="E427" s="9" t="n">
        <v>0</v>
      </c>
      <c r="F427" s="9" t="n">
        <v>0</v>
      </c>
      <c r="G427" s="9" t="n">
        <v>0</v>
      </c>
      <c r="H427" s="9" t="n">
        <v>236936.6</v>
      </c>
      <c r="L427" s="9" t="inlineStr">
        <is>
          <t>TOTAL</t>
        </is>
      </c>
      <c r="M427" s="9" t="n">
        <v>0</v>
      </c>
      <c r="N427" s="9" t="n">
        <v>0</v>
      </c>
      <c r="O427" s="9" t="n">
        <v>0</v>
      </c>
      <c r="P427" s="9" t="n">
        <v>0</v>
      </c>
      <c r="Q427" s="9" t="n">
        <v>53017.60000000007</v>
      </c>
      <c r="U427" s="9" t="inlineStr">
        <is>
          <t>TOTAL</t>
        </is>
      </c>
      <c r="V427" s="9" t="n">
        <v>0</v>
      </c>
      <c r="W427" s="9" t="n">
        <v>0</v>
      </c>
      <c r="X427" s="9" t="n">
        <v>0</v>
      </c>
      <c r="Y427" s="9" t="n">
        <v>0</v>
      </c>
      <c r="Z427" s="9" t="n">
        <v>42674.19999999997</v>
      </c>
      <c r="AD427" s="9" t="inlineStr">
        <is>
          <t>TOTAL</t>
        </is>
      </c>
      <c r="AE427" s="9" t="n">
        <v>0</v>
      </c>
      <c r="AF427" s="9" t="n">
        <v>0</v>
      </c>
      <c r="AG427" s="9" t="n">
        <v>0</v>
      </c>
      <c r="AH427" s="9" t="n">
        <v>0</v>
      </c>
      <c r="AI427" s="9" t="n">
        <v>4522.200000000019</v>
      </c>
      <c r="AM427" s="9" t="inlineStr">
        <is>
          <t>TOTAL</t>
        </is>
      </c>
      <c r="AN427" s="9" t="n">
        <v>0</v>
      </c>
      <c r="AO427" s="9" t="n">
        <v>0</v>
      </c>
      <c r="AP427" s="9" t="n">
        <v>0</v>
      </c>
      <c r="AQ427" s="9" t="n">
        <v>0</v>
      </c>
      <c r="AR427" s="9" t="n">
        <v>0</v>
      </c>
      <c r="AV427" s="9" t="inlineStr">
        <is>
          <t>TOTAL</t>
        </is>
      </c>
      <c r="AW427" s="9" t="n">
        <v>0</v>
      </c>
      <c r="AX427" s="9" t="n">
        <v>0</v>
      </c>
      <c r="AY427" s="9" t="n">
        <v>0</v>
      </c>
      <c r="AZ427" s="9" t="n">
        <v>0</v>
      </c>
      <c r="BA427" s="9" t="n">
        <v>124.9999999999952</v>
      </c>
      <c r="BE427" s="9" t="inlineStr">
        <is>
          <t>TOTAL</t>
        </is>
      </c>
      <c r="BF427" s="9" t="n">
        <v>0</v>
      </c>
      <c r="BG427" s="9" t="n">
        <v>0</v>
      </c>
      <c r="BH427" s="9" t="n">
        <v>0</v>
      </c>
      <c r="BI427" s="9" t="n">
        <v>0</v>
      </c>
      <c r="BJ427" s="9" t="n">
        <v>26151.9</v>
      </c>
      <c r="BN427" s="9" t="inlineStr">
        <is>
          <t>TOTAL</t>
        </is>
      </c>
      <c r="BO427" s="9" t="n">
        <v>0</v>
      </c>
      <c r="BP427" s="9" t="n">
        <v>0</v>
      </c>
      <c r="BQ427" s="9" t="n">
        <v>0</v>
      </c>
      <c r="BR427" s="9" t="n">
        <v>0</v>
      </c>
      <c r="BS427" s="9" t="n">
        <v>0</v>
      </c>
      <c r="BW427" s="9" t="inlineStr">
        <is>
          <t>TOTAL</t>
        </is>
      </c>
      <c r="BX427" s="9" t="n">
        <v>0</v>
      </c>
      <c r="BY427" s="9" t="n">
        <v>0</v>
      </c>
      <c r="BZ427" s="9" t="n">
        <v>0</v>
      </c>
      <c r="CA427" s="9" t="n">
        <v>0</v>
      </c>
      <c r="CB427" s="9" t="n">
        <v>2097.339999999999</v>
      </c>
      <c r="CF427" s="9" t="inlineStr">
        <is>
          <t>TOTAL</t>
        </is>
      </c>
      <c r="CG427" s="9" t="n">
        <v>0</v>
      </c>
      <c r="CH427" s="9" t="n">
        <v>0</v>
      </c>
      <c r="CI427" s="9" t="n">
        <v>0</v>
      </c>
      <c r="CJ427" s="9" t="n">
        <v>0</v>
      </c>
      <c r="CK427" s="9" t="n">
        <v>-10277.08</v>
      </c>
      <c r="CO427" s="9" t="inlineStr">
        <is>
          <t>TOTAL</t>
        </is>
      </c>
      <c r="CP427" s="9" t="n">
        <v>0</v>
      </c>
      <c r="CQ427" s="9" t="n">
        <v>0</v>
      </c>
      <c r="CR427" s="9" t="n">
        <v>0</v>
      </c>
      <c r="CS427" s="9" t="n">
        <v>0</v>
      </c>
      <c r="CT427" s="9" t="n">
        <v>0</v>
      </c>
      <c r="CX427" s="9" t="inlineStr">
        <is>
          <t>TOTAL</t>
        </is>
      </c>
      <c r="CY427" s="9" t="n">
        <v>0</v>
      </c>
      <c r="CZ427" s="9" t="n">
        <v>0</v>
      </c>
      <c r="DA427" s="9" t="n">
        <v>0</v>
      </c>
      <c r="DB427" s="9" t="n">
        <v>0</v>
      </c>
      <c r="DC427" s="9" t="n">
        <v>27438.20000000001</v>
      </c>
      <c r="DG427" s="9" t="inlineStr">
        <is>
          <t>TOTAL</t>
        </is>
      </c>
      <c r="DH427" s="9" t="n">
        <v>0</v>
      </c>
      <c r="DI427" s="9" t="n">
        <v>0</v>
      </c>
      <c r="DJ427" s="9" t="n">
        <v>0</v>
      </c>
      <c r="DK427" s="9" t="n">
        <v>0</v>
      </c>
      <c r="DL427" s="9" t="n">
        <v>18782.29999999998</v>
      </c>
      <c r="DP427" s="9" t="inlineStr">
        <is>
          <t>TOTAL</t>
        </is>
      </c>
      <c r="DQ427" s="9" t="n">
        <v>0</v>
      </c>
      <c r="DR427" s="9" t="n">
        <v>0</v>
      </c>
      <c r="DS427" s="9" t="n">
        <v>0</v>
      </c>
      <c r="DT427" s="9" t="n">
        <v>0</v>
      </c>
      <c r="DU427" s="9" t="n">
        <v>5800</v>
      </c>
      <c r="DY427" s="9" t="inlineStr">
        <is>
          <t>TOTAL</t>
        </is>
      </c>
      <c r="DZ427" s="9" t="n">
        <v>0</v>
      </c>
      <c r="EA427" s="9" t="n">
        <v>0</v>
      </c>
      <c r="EB427" s="9" t="n">
        <v>0</v>
      </c>
      <c r="EC427" s="9" t="n">
        <v>0</v>
      </c>
      <c r="ED427" s="9" t="n">
        <v>0</v>
      </c>
      <c r="EH427" s="9" t="inlineStr">
        <is>
          <t>TOTAL</t>
        </is>
      </c>
      <c r="EI427" s="9" t="n">
        <v>0</v>
      </c>
      <c r="EJ427" s="9" t="n">
        <v>0</v>
      </c>
      <c r="EK427" s="9" t="n">
        <v>0</v>
      </c>
      <c r="EL427" s="9" t="n">
        <v>0</v>
      </c>
      <c r="EM427" s="9" t="n">
        <v>0</v>
      </c>
      <c r="EQ427" s="9" t="inlineStr">
        <is>
          <t>TOTAL</t>
        </is>
      </c>
      <c r="ER427" s="9" t="n">
        <v>0</v>
      </c>
      <c r="ES427" s="9" t="n">
        <v>0</v>
      </c>
      <c r="ET427" s="9" t="n">
        <v>0</v>
      </c>
      <c r="EU427" s="9" t="n">
        <v>0</v>
      </c>
      <c r="EV427" s="9" t="n">
        <v>0</v>
      </c>
      <c r="EZ427" s="9" t="inlineStr">
        <is>
          <t>TOTAL</t>
        </is>
      </c>
      <c r="FA427" s="9" t="n">
        <v>0</v>
      </c>
      <c r="FB427" s="9" t="n">
        <v>0</v>
      </c>
      <c r="FC427" s="9" t="n">
        <v>0</v>
      </c>
      <c r="FD427" s="9" t="n">
        <v>0</v>
      </c>
      <c r="FE427" s="9" t="n">
        <v>0</v>
      </c>
      <c r="FI427" s="9" t="inlineStr">
        <is>
          <t>TOTAL</t>
        </is>
      </c>
      <c r="FJ427" s="9" t="n">
        <v>0</v>
      </c>
      <c r="FK427" s="9" t="n">
        <v>0</v>
      </c>
      <c r="FL427" s="9" t="n">
        <v>0</v>
      </c>
      <c r="FM427" s="9" t="n">
        <v>0</v>
      </c>
      <c r="FN427" s="9" t="n">
        <v>0</v>
      </c>
      <c r="FR427" s="9" t="inlineStr">
        <is>
          <t>TOTAL</t>
        </is>
      </c>
      <c r="FS427" s="9" t="n">
        <v>0</v>
      </c>
      <c r="FT427" s="9" t="n">
        <v>0</v>
      </c>
      <c r="FU427" s="9" t="n">
        <v>0</v>
      </c>
      <c r="FV427" s="9" t="n">
        <v>0</v>
      </c>
      <c r="FW427" s="9" t="n">
        <v>2020</v>
      </c>
      <c r="GA427" s="9" t="inlineStr">
        <is>
          <t>TOTAL</t>
        </is>
      </c>
      <c r="GB427" s="9" t="n">
        <v>0</v>
      </c>
      <c r="GC427" s="9" t="n">
        <v>0</v>
      </c>
      <c r="GD427" s="9" t="n">
        <v>0</v>
      </c>
      <c r="GE427" s="9" t="n">
        <v>0</v>
      </c>
      <c r="GF427" s="9" t="n">
        <v>960</v>
      </c>
      <c r="GJ427" s="9" t="inlineStr">
        <is>
          <t>TOTAL</t>
        </is>
      </c>
      <c r="GK427" s="9" t="n">
        <v>0</v>
      </c>
      <c r="GL427" s="9" t="n">
        <v>0</v>
      </c>
      <c r="GM427" s="9" t="n">
        <v>0</v>
      </c>
      <c r="GN427" s="9" t="n">
        <v>0</v>
      </c>
      <c r="GO427" s="9" t="n">
        <v>1760</v>
      </c>
      <c r="GS427" s="9" t="inlineStr">
        <is>
          <t>TOTAL</t>
        </is>
      </c>
      <c r="GT427" s="9" t="n">
        <v>0</v>
      </c>
      <c r="GU427" s="9" t="n">
        <v>0</v>
      </c>
      <c r="GV427" s="9" t="n">
        <v>0</v>
      </c>
      <c r="GW427" s="9" t="n">
        <v>0</v>
      </c>
      <c r="GX427" s="9" t="n">
        <v>400</v>
      </c>
      <c r="HB427" s="9" t="inlineStr">
        <is>
          <t>TOTAL</t>
        </is>
      </c>
      <c r="HC427" s="9" t="n">
        <v>0</v>
      </c>
      <c r="HD427" s="9" t="n">
        <v>0</v>
      </c>
      <c r="HE427" s="9" t="n">
        <v>0</v>
      </c>
      <c r="HF427" s="9" t="n">
        <v>0</v>
      </c>
      <c r="HG427" s="9" t="n">
        <v>3600</v>
      </c>
      <c r="HK427" s="9" t="inlineStr">
        <is>
          <t>TOTAL</t>
        </is>
      </c>
      <c r="HL427" s="9" t="n">
        <v>0</v>
      </c>
      <c r="HM427" s="9" t="n">
        <v>0</v>
      </c>
      <c r="HN427" s="9" t="n">
        <v>0</v>
      </c>
      <c r="HO427" s="9" t="n">
        <v>0</v>
      </c>
      <c r="HP427" s="9" t="n">
        <v>0</v>
      </c>
      <c r="HU427" s="9" t="inlineStr">
        <is>
          <t>TOTAL</t>
        </is>
      </c>
      <c r="HV427" s="9" t="n">
        <v>0</v>
      </c>
      <c r="HW427" s="9" t="n">
        <v>0</v>
      </c>
      <c r="HX427" s="9" t="n">
        <v>0</v>
      </c>
      <c r="HY427" s="9" t="n">
        <v>0</v>
      </c>
      <c r="HZ427" s="9" t="n">
        <v>6120</v>
      </c>
      <c r="ID427" s="9" t="inlineStr">
        <is>
          <t>TOTAL</t>
        </is>
      </c>
      <c r="IE427" s="9" t="n">
        <v>0</v>
      </c>
      <c r="IF427" s="9" t="n">
        <v>0</v>
      </c>
      <c r="IG427" s="9" t="n">
        <v>0</v>
      </c>
      <c r="IH427" s="9" t="n">
        <v>0</v>
      </c>
      <c r="II427" s="9" t="n">
        <v>0</v>
      </c>
      <c r="IM427" s="9" t="inlineStr">
        <is>
          <t>TOTAL</t>
        </is>
      </c>
      <c r="IN427" s="9" t="n">
        <v>0</v>
      </c>
      <c r="IO427" s="9" t="n">
        <v>0</v>
      </c>
      <c r="IP427" s="9" t="n">
        <v>0</v>
      </c>
      <c r="IQ427" s="9" t="n">
        <v>0</v>
      </c>
      <c r="IR427" s="9" t="n">
        <v>0</v>
      </c>
      <c r="IV427" s="9" t="inlineStr">
        <is>
          <t>TOTAL</t>
        </is>
      </c>
      <c r="IW427" s="9" t="n">
        <v>0</v>
      </c>
      <c r="IX427" s="9" t="n">
        <v>0</v>
      </c>
      <c r="IY427" s="9" t="n">
        <v>0</v>
      </c>
      <c r="IZ427" s="9" t="n">
        <v>0</v>
      </c>
      <c r="JA427" s="9" t="n">
        <v>2820</v>
      </c>
      <c r="JE427" s="9" t="inlineStr">
        <is>
          <t>TOTAL</t>
        </is>
      </c>
      <c r="JF427" s="9" t="n">
        <v>0</v>
      </c>
      <c r="JG427" s="9" t="n">
        <v>0</v>
      </c>
      <c r="JH427" s="9" t="n">
        <v>0</v>
      </c>
      <c r="JI427" s="9" t="n">
        <v>0</v>
      </c>
      <c r="JJ427" s="9" t="n">
        <v>0</v>
      </c>
      <c r="JN427" s="9" t="inlineStr">
        <is>
          <t>TOTAL</t>
        </is>
      </c>
      <c r="JO427" s="9" t="n">
        <v>0</v>
      </c>
      <c r="JP427" s="9" t="n">
        <v>0</v>
      </c>
      <c r="JQ427" s="9" t="n">
        <v>0</v>
      </c>
      <c r="JR427" s="9" t="n">
        <v>0</v>
      </c>
      <c r="JS427" s="9" t="n">
        <v>0</v>
      </c>
      <c r="JW427" s="9" t="inlineStr">
        <is>
          <t>TOTAL</t>
        </is>
      </c>
      <c r="JX427" s="9" t="n">
        <v>0</v>
      </c>
      <c r="JY427" s="9" t="n">
        <v>0</v>
      </c>
      <c r="JZ427" s="9" t="n">
        <v>0</v>
      </c>
      <c r="KA427" s="9" t="n">
        <v>0</v>
      </c>
      <c r="KB427" s="9" t="n">
        <v>2540</v>
      </c>
      <c r="KF427" s="9" t="inlineStr">
        <is>
          <t>TOTAL</t>
        </is>
      </c>
      <c r="KG427" s="9" t="n">
        <v>0</v>
      </c>
      <c r="KH427" s="9" t="n">
        <v>0</v>
      </c>
      <c r="KI427" s="9" t="n">
        <v>0</v>
      </c>
      <c r="KJ427" s="9" t="n">
        <v>0</v>
      </c>
      <c r="KK427" s="9" t="n">
        <v>2359.5</v>
      </c>
      <c r="KO427" s="9" t="inlineStr">
        <is>
          <t>TOTAL</t>
        </is>
      </c>
      <c r="KP427" s="9" t="n">
        <v>0</v>
      </c>
      <c r="KQ427" s="9" t="n">
        <v>0</v>
      </c>
      <c r="KR427" s="9" t="n">
        <v>0</v>
      </c>
      <c r="KS427" s="9" t="n">
        <v>0</v>
      </c>
      <c r="KT427" s="9" t="n">
        <v>1890</v>
      </c>
      <c r="KX427" s="9" t="inlineStr">
        <is>
          <t>TOTAL</t>
        </is>
      </c>
      <c r="KY427" s="9" t="n">
        <v>0</v>
      </c>
      <c r="KZ427" s="9" t="n">
        <v>0</v>
      </c>
      <c r="LA427" s="9" t="n">
        <v>0</v>
      </c>
      <c r="LB427" s="9" t="n">
        <v>0</v>
      </c>
      <c r="LC427" s="9" t="n">
        <v>3690</v>
      </c>
      <c r="LG427" s="9" t="inlineStr">
        <is>
          <t>TOTAL</t>
        </is>
      </c>
      <c r="LH427" s="9" t="n">
        <v>0</v>
      </c>
      <c r="LI427" s="9" t="n">
        <v>0</v>
      </c>
      <c r="LJ427" s="9" t="n">
        <v>0</v>
      </c>
      <c r="LK427" s="9" t="n">
        <v>0</v>
      </c>
      <c r="LL427" s="9" t="n">
        <v>4000</v>
      </c>
      <c r="LP427" s="9" t="inlineStr">
        <is>
          <t>TOTAL</t>
        </is>
      </c>
      <c r="LQ427" s="9" t="n">
        <v>0</v>
      </c>
      <c r="LR427" s="9" t="n">
        <v>0</v>
      </c>
      <c r="LS427" s="9" t="n">
        <v>0</v>
      </c>
      <c r="LT427" s="9" t="n">
        <v>0</v>
      </c>
      <c r="LU427" s="9" t="n">
        <v>0</v>
      </c>
      <c r="LY427" s="9" t="inlineStr">
        <is>
          <t>TOTAL</t>
        </is>
      </c>
      <c r="LZ427" s="9" t="n">
        <v>0</v>
      </c>
      <c r="MA427" s="9" t="n">
        <v>0</v>
      </c>
      <c r="MB427" s="9" t="n">
        <v>0</v>
      </c>
      <c r="MC427" s="9" t="n">
        <v>0</v>
      </c>
      <c r="MD427" s="9" t="n">
        <v>0</v>
      </c>
      <c r="MH427" s="9" t="inlineStr">
        <is>
          <t>TOTAL</t>
        </is>
      </c>
      <c r="MI427" s="9" t="n">
        <v>0</v>
      </c>
      <c r="MJ427" s="9" t="n">
        <v>0</v>
      </c>
      <c r="MK427" s="9" t="n">
        <v>18</v>
      </c>
      <c r="ML427" s="9" t="n">
        <v>-18</v>
      </c>
      <c r="MM427" s="9" t="n">
        <v>-18</v>
      </c>
      <c r="MQ427" s="9" t="inlineStr">
        <is>
          <t>TOTAL</t>
        </is>
      </c>
      <c r="MR427" s="9" t="n">
        <v>0</v>
      </c>
      <c r="MS427" s="9" t="n">
        <v>0</v>
      </c>
      <c r="MT427" s="9" t="n">
        <v>66</v>
      </c>
      <c r="MU427" s="9" t="n">
        <v>-66</v>
      </c>
      <c r="MV427" s="9" t="n">
        <v>1559</v>
      </c>
      <c r="MZ427" s="9" t="inlineStr">
        <is>
          <t>TOTAL</t>
        </is>
      </c>
      <c r="NA427" s="9" t="n">
        <v>0</v>
      </c>
      <c r="NB427" s="9" t="n">
        <v>0</v>
      </c>
      <c r="NC427" s="9" t="n">
        <v>0</v>
      </c>
      <c r="ND427" s="9" t="n">
        <v>0</v>
      </c>
      <c r="NE427" s="9" t="n">
        <v>0</v>
      </c>
      <c r="NI427" s="9" t="inlineStr">
        <is>
          <t>TOTAL</t>
        </is>
      </c>
      <c r="NJ427" s="9" t="n">
        <v>0</v>
      </c>
      <c r="NK427" s="9" t="n">
        <v>0</v>
      </c>
      <c r="NL427" s="9" t="n">
        <v>0</v>
      </c>
      <c r="NM427" s="9" t="n">
        <v>0</v>
      </c>
      <c r="NN427" s="9" t="n">
        <v>1127</v>
      </c>
      <c r="NR427" s="9" t="inlineStr">
        <is>
          <t>TOTAL</t>
        </is>
      </c>
      <c r="NS427" s="9" t="n">
        <v>0</v>
      </c>
      <c r="NT427" s="9" t="n">
        <v>0</v>
      </c>
      <c r="NU427" s="9" t="n">
        <v>0</v>
      </c>
      <c r="NV427" s="9" t="n">
        <v>0</v>
      </c>
      <c r="NW427" s="9" t="n">
        <v>3112</v>
      </c>
      <c r="OA427" s="9" t="inlineStr">
        <is>
          <t>TOTAL</t>
        </is>
      </c>
      <c r="OB427" s="9" t="n">
        <v>0</v>
      </c>
      <c r="OC427" s="9" t="n">
        <v>0</v>
      </c>
      <c r="OD427" s="9" t="n">
        <v>0</v>
      </c>
      <c r="OE427" s="9" t="n">
        <v>0</v>
      </c>
      <c r="OF427" s="9" t="n">
        <v>1680.5</v>
      </c>
      <c r="OJ427" s="9" t="inlineStr">
        <is>
          <t>TOTAL</t>
        </is>
      </c>
      <c r="OK427" s="9" t="n">
        <v>0</v>
      </c>
      <c r="OL427" s="9" t="n">
        <v>0</v>
      </c>
      <c r="OM427" s="9" t="n">
        <v>0</v>
      </c>
      <c r="ON427" s="9" t="n">
        <v>0</v>
      </c>
      <c r="OO427" s="9" t="n">
        <v>0</v>
      </c>
      <c r="OS427" s="9" t="inlineStr">
        <is>
          <t>TOTAL</t>
        </is>
      </c>
      <c r="OT427" s="9" t="n">
        <v>0</v>
      </c>
      <c r="OU427" s="9" t="n">
        <v>0</v>
      </c>
      <c r="OV427" s="9" t="n">
        <v>0</v>
      </c>
      <c r="OW427" s="9" t="n">
        <v>0</v>
      </c>
      <c r="OX427" s="9" t="n">
        <v>1482</v>
      </c>
      <c r="PB427" s="9" t="inlineStr">
        <is>
          <t>TOTAL</t>
        </is>
      </c>
      <c r="PC427" s="9" t="n">
        <v>0</v>
      </c>
      <c r="PD427" s="9" t="n">
        <v>0</v>
      </c>
      <c r="PE427" s="9" t="n">
        <v>0</v>
      </c>
      <c r="PF427" s="9" t="n">
        <v>0</v>
      </c>
      <c r="PG427" s="9" t="n">
        <v>0</v>
      </c>
      <c r="PK427" s="9" t="inlineStr">
        <is>
          <t>TOTAL</t>
        </is>
      </c>
      <c r="PL427" s="9" t="n">
        <v>0</v>
      </c>
      <c r="PM427" s="9" t="n">
        <v>0</v>
      </c>
      <c r="PN427" s="9" t="n">
        <v>0</v>
      </c>
      <c r="PO427" s="9" t="n">
        <v>0</v>
      </c>
      <c r="PP427" s="9" t="n">
        <v>100</v>
      </c>
      <c r="PT427" s="9" t="inlineStr">
        <is>
          <t>TOTAL</t>
        </is>
      </c>
      <c r="PU427" s="9" t="n">
        <v>0</v>
      </c>
      <c r="PV427" s="9" t="n">
        <v>0</v>
      </c>
      <c r="PW427" s="9" t="n">
        <v>0</v>
      </c>
      <c r="PX427" s="9" t="n">
        <v>0</v>
      </c>
      <c r="PY427" s="9" t="n">
        <v>13.96000000000004</v>
      </c>
      <c r="QC427" s="9" t="inlineStr">
        <is>
          <t>TOTAL</t>
        </is>
      </c>
      <c r="QD427" s="9" t="n">
        <v>0</v>
      </c>
      <c r="QE427" s="9" t="n">
        <v>0</v>
      </c>
      <c r="QF427" s="9" t="n">
        <v>0</v>
      </c>
      <c r="QG427" s="9" t="n">
        <v>0</v>
      </c>
      <c r="QH427" s="9" t="n">
        <v>548</v>
      </c>
      <c r="QL427" s="9" t="inlineStr">
        <is>
          <t>TOTAL</t>
        </is>
      </c>
      <c r="QM427" s="9" t="n">
        <v>0</v>
      </c>
      <c r="QN427" s="9" t="n">
        <v>0</v>
      </c>
      <c r="QO427" s="9" t="n">
        <v>0</v>
      </c>
      <c r="QP427" s="9" t="n">
        <v>0</v>
      </c>
      <c r="QQ427" s="9" t="n">
        <v>0</v>
      </c>
      <c r="QU427" s="9" t="inlineStr">
        <is>
          <t>TOTAL</t>
        </is>
      </c>
      <c r="QV427" s="9" t="n">
        <v>0</v>
      </c>
      <c r="QW427" s="9" t="n">
        <v>0</v>
      </c>
      <c r="QX427" s="9" t="n">
        <v>0</v>
      </c>
      <c r="QY427" s="9" t="n">
        <v>0</v>
      </c>
      <c r="QZ427" s="9" t="n">
        <v>0</v>
      </c>
      <c r="RD427" s="9" t="inlineStr">
        <is>
          <t>TOTAL</t>
        </is>
      </c>
      <c r="RE427" s="9" t="n">
        <v>0</v>
      </c>
      <c r="RF427" s="9" t="n">
        <v>0</v>
      </c>
      <c r="RG427" s="9" t="n">
        <v>0</v>
      </c>
      <c r="RH427" s="9" t="n">
        <v>0</v>
      </c>
      <c r="RI427" s="9" t="n">
        <v>147.04</v>
      </c>
      <c r="RM427" s="9" t="inlineStr">
        <is>
          <t>TOTAL</t>
        </is>
      </c>
      <c r="RN427" s="9" t="n">
        <v>0</v>
      </c>
      <c r="RO427" s="9" t="n">
        <v>0</v>
      </c>
      <c r="RP427" s="9" t="n">
        <v>0</v>
      </c>
      <c r="RQ427" s="9" t="n">
        <v>0</v>
      </c>
      <c r="RR427" s="9" t="n">
        <v>46.8</v>
      </c>
      <c r="RV427" s="9" t="inlineStr">
        <is>
          <t>TOTAL</t>
        </is>
      </c>
      <c r="RW427" s="9" t="n">
        <v>0</v>
      </c>
      <c r="RX427" s="9" t="n">
        <v>0</v>
      </c>
      <c r="RY427" s="9" t="n">
        <v>0</v>
      </c>
      <c r="RZ427" s="9" t="n">
        <v>0</v>
      </c>
      <c r="SA427" s="9" t="n">
        <v>0</v>
      </c>
      <c r="SE427" s="9" t="inlineStr">
        <is>
          <t>TOTAL</t>
        </is>
      </c>
      <c r="SF427" s="9" t="n">
        <v>0</v>
      </c>
      <c r="SG427" s="9" t="n">
        <v>0</v>
      </c>
      <c r="SH427" s="9" t="n">
        <v>0</v>
      </c>
      <c r="SI427" s="9" t="n">
        <v>0</v>
      </c>
      <c r="SJ427" s="9" t="n">
        <v>24.2</v>
      </c>
      <c r="SN427" s="9" t="inlineStr">
        <is>
          <t>TOTAL</t>
        </is>
      </c>
      <c r="SO427" s="9" t="n">
        <v>0</v>
      </c>
      <c r="SP427" s="9" t="n">
        <v>0</v>
      </c>
      <c r="SQ427" s="9" t="n">
        <v>0</v>
      </c>
      <c r="SR427" s="9" t="n">
        <v>0</v>
      </c>
      <c r="SS427" s="9" t="n">
        <v>32</v>
      </c>
      <c r="SW427" s="9" t="inlineStr">
        <is>
          <t>TOTAL</t>
        </is>
      </c>
      <c r="SX427" s="9" t="n">
        <v>0</v>
      </c>
      <c r="SY427" s="9" t="n">
        <v>0</v>
      </c>
      <c r="SZ427" s="9" t="n">
        <v>0</v>
      </c>
      <c r="TA427" s="9" t="n">
        <v>0</v>
      </c>
      <c r="TB427" s="9" t="n">
        <v>0</v>
      </c>
      <c r="TF427" s="9" t="inlineStr">
        <is>
          <t>TOTAL</t>
        </is>
      </c>
      <c r="TG427" s="9" t="n">
        <v>0</v>
      </c>
      <c r="TH427" s="9" t="n">
        <v>0</v>
      </c>
      <c r="TI427" s="9" t="n">
        <v>0</v>
      </c>
      <c r="TJ427" s="9" t="n">
        <v>0</v>
      </c>
      <c r="TK427" s="9" t="n">
        <v>0</v>
      </c>
      <c r="TO427" s="9" t="inlineStr">
        <is>
          <t>TOTAL</t>
        </is>
      </c>
      <c r="TP427" s="9" t="n">
        <v>0</v>
      </c>
      <c r="TQ427" s="9" t="n">
        <v>0</v>
      </c>
      <c r="TR427" s="9" t="n">
        <v>0</v>
      </c>
      <c r="TS427" s="9" t="n">
        <v>0</v>
      </c>
      <c r="TT427" s="9" t="n">
        <v>0</v>
      </c>
      <c r="TX427" s="9" t="inlineStr">
        <is>
          <t>TOTAL</t>
        </is>
      </c>
      <c r="TY427" s="9" t="n">
        <v>0</v>
      </c>
      <c r="TZ427" s="9" t="n">
        <v>0</v>
      </c>
      <c r="UA427" s="9" t="n">
        <v>0</v>
      </c>
      <c r="UB427" s="9" t="n">
        <v>0</v>
      </c>
      <c r="UC427" s="9" t="n">
        <v>46.79999999999998</v>
      </c>
      <c r="UG427" s="9" t="inlineStr">
        <is>
          <t>TOTAL</t>
        </is>
      </c>
      <c r="UH427" s="9" t="n">
        <v>0</v>
      </c>
      <c r="UI427" s="9" t="n">
        <v>0</v>
      </c>
      <c r="UJ427" s="9" t="n">
        <v>0</v>
      </c>
      <c r="UK427" s="9" t="n">
        <v>0</v>
      </c>
      <c r="UL427" s="9" t="n">
        <v>204</v>
      </c>
      <c r="UP427" s="9" t="inlineStr">
        <is>
          <t>TOTAL</t>
        </is>
      </c>
      <c r="UQ427" s="9" t="n">
        <v>0</v>
      </c>
      <c r="UR427" s="9" t="n">
        <v>0</v>
      </c>
      <c r="US427" s="9" t="n">
        <v>0</v>
      </c>
      <c r="UT427" s="9" t="n">
        <v>0</v>
      </c>
      <c r="UU427" s="9" t="n">
        <v>202.5</v>
      </c>
      <c r="UY427" s="9" t="inlineStr">
        <is>
          <t>TOTAL</t>
        </is>
      </c>
      <c r="UZ427" s="9" t="n">
        <v>0</v>
      </c>
      <c r="VA427" s="9" t="n">
        <v>0</v>
      </c>
      <c r="VB427" s="9" t="n">
        <v>0</v>
      </c>
      <c r="VC427" s="9" t="n">
        <v>0</v>
      </c>
      <c r="VD427" s="9" t="n">
        <v>41.60000000000002</v>
      </c>
      <c r="VH427" s="9" t="inlineStr">
        <is>
          <t>TOTAL</t>
        </is>
      </c>
      <c r="VI427" s="9" t="n">
        <v>0</v>
      </c>
      <c r="VJ427" s="9" t="n">
        <v>0</v>
      </c>
      <c r="VK427" s="9" t="n">
        <v>0</v>
      </c>
      <c r="VL427" s="9" t="n">
        <v>0</v>
      </c>
      <c r="VM427" s="9" t="n">
        <v>210</v>
      </c>
      <c r="VQ427" s="9" t="inlineStr">
        <is>
          <t>TOTAL</t>
        </is>
      </c>
      <c r="VR427" s="9" t="n">
        <v>0</v>
      </c>
      <c r="VS427" s="9" t="n">
        <v>0</v>
      </c>
      <c r="VT427" s="9" t="n">
        <v>0</v>
      </c>
      <c r="VU427" s="9" t="n">
        <v>0</v>
      </c>
      <c r="VV427" s="9" t="n">
        <v>0</v>
      </c>
      <c r="VZ427" s="9" t="inlineStr">
        <is>
          <t>TOTAL</t>
        </is>
      </c>
      <c r="WA427" s="9" t="n">
        <v>0</v>
      </c>
      <c r="WB427" s="9" t="n">
        <v>0</v>
      </c>
      <c r="WC427" s="9" t="n">
        <v>0</v>
      </c>
      <c r="WD427" s="9" t="n">
        <v>0</v>
      </c>
      <c r="WE427" s="9" t="n">
        <v>0</v>
      </c>
      <c r="WI427" s="9" t="inlineStr">
        <is>
          <t>TOTAL</t>
        </is>
      </c>
      <c r="WJ427" s="9" t="n">
        <v>0</v>
      </c>
      <c r="WK427" s="9" t="n">
        <v>0</v>
      </c>
      <c r="WL427" s="9" t="n">
        <v>0</v>
      </c>
      <c r="WM427" s="9" t="n">
        <v>0</v>
      </c>
      <c r="WN427" s="9" t="n">
        <v>1057</v>
      </c>
      <c r="WR427" s="9" t="inlineStr">
        <is>
          <t>TOTAL</t>
        </is>
      </c>
      <c r="WS427" s="9" t="n">
        <v>0</v>
      </c>
      <c r="WT427" s="9" t="n">
        <v>0</v>
      </c>
      <c r="WU427" s="9" t="n">
        <v>0</v>
      </c>
      <c r="WV427" s="9" t="n">
        <v>0</v>
      </c>
      <c r="WW427" s="9" t="n">
        <v>0</v>
      </c>
      <c r="XA427" s="9" t="inlineStr">
        <is>
          <t>TOTAL</t>
        </is>
      </c>
      <c r="XB427" s="9" t="n">
        <v>0</v>
      </c>
      <c r="XC427" s="9" t="n">
        <v>0</v>
      </c>
      <c r="XD427" s="9" t="n">
        <v>0</v>
      </c>
      <c r="XE427" s="9" t="n">
        <v>0</v>
      </c>
      <c r="XF427" s="9" t="n">
        <v>7507</v>
      </c>
      <c r="XJ427" s="9" t="inlineStr">
        <is>
          <t>TOTAL</t>
        </is>
      </c>
      <c r="XK427" s="9" t="n">
        <v>0</v>
      </c>
      <c r="XL427" s="9" t="n">
        <v>0</v>
      </c>
      <c r="XM427" s="9" t="n">
        <v>0</v>
      </c>
      <c r="XN427" s="9" t="n">
        <v>0</v>
      </c>
      <c r="XO427" s="9" t="n">
        <v>4252</v>
      </c>
      <c r="XS427" s="9" t="inlineStr">
        <is>
          <t>TOTAL</t>
        </is>
      </c>
      <c r="XT427" s="9" t="n">
        <v>0</v>
      </c>
      <c r="XU427" s="9" t="n">
        <v>0</v>
      </c>
      <c r="XV427" s="9" t="n">
        <v>0</v>
      </c>
      <c r="XW427" s="9" t="n">
        <v>0</v>
      </c>
      <c r="XX427" s="9" t="n">
        <v>2179</v>
      </c>
      <c r="YB427" s="9" t="inlineStr">
        <is>
          <t>TOTAL</t>
        </is>
      </c>
      <c r="YC427" s="9" t="n">
        <v>0</v>
      </c>
      <c r="YD427" s="9" t="n">
        <v>0</v>
      </c>
      <c r="YE427" s="9" t="n">
        <v>0</v>
      </c>
      <c r="YF427" s="9" t="n">
        <v>0</v>
      </c>
      <c r="YG427" s="9" t="n">
        <v>4019</v>
      </c>
      <c r="YK427" s="9" t="inlineStr">
        <is>
          <t>TOTAL</t>
        </is>
      </c>
      <c r="YL427" s="9" t="n">
        <v>0</v>
      </c>
      <c r="YM427" s="9" t="n">
        <v>0</v>
      </c>
      <c r="YN427" s="9" t="n">
        <v>0</v>
      </c>
      <c r="YO427" s="9" t="n">
        <v>0</v>
      </c>
      <c r="YP427" s="9" t="n">
        <v>-218</v>
      </c>
      <c r="YT427" s="9" t="inlineStr">
        <is>
          <t>TOTAL</t>
        </is>
      </c>
      <c r="YU427" s="9" t="n">
        <v>0</v>
      </c>
      <c r="YV427" s="9" t="n">
        <v>0</v>
      </c>
      <c r="YW427" s="9" t="n">
        <v>0</v>
      </c>
      <c r="YX427" s="9" t="n">
        <v>0</v>
      </c>
      <c r="YY427" s="9" t="n">
        <v>0</v>
      </c>
      <c r="ZC427" s="9" t="inlineStr">
        <is>
          <t>TOTAL</t>
        </is>
      </c>
      <c r="ZD427" s="9" t="n">
        <v>0</v>
      </c>
      <c r="ZE427" s="9" t="n">
        <v>0</v>
      </c>
      <c r="ZF427" s="9" t="n">
        <v>0</v>
      </c>
      <c r="ZG427" s="9" t="n">
        <v>0</v>
      </c>
      <c r="ZH427" s="9" t="n">
        <v>0</v>
      </c>
      <c r="ZL427" s="9" t="inlineStr">
        <is>
          <t>TOTAL</t>
        </is>
      </c>
      <c r="ZM427" s="9" t="n">
        <v>0</v>
      </c>
      <c r="ZN427" s="9" t="n">
        <v>0</v>
      </c>
      <c r="ZO427" s="9" t="n">
        <v>0</v>
      </c>
      <c r="ZP427" s="9" t="n">
        <v>0</v>
      </c>
      <c r="ZQ427" s="9" t="n">
        <v>0</v>
      </c>
      <c r="ZU427" s="9" t="inlineStr">
        <is>
          <t>TOTAL</t>
        </is>
      </c>
      <c r="ZV427" s="9" t="n">
        <v>0</v>
      </c>
      <c r="ZW427" s="9" t="n">
        <v>0</v>
      </c>
      <c r="ZX427" s="9" t="n">
        <v>0</v>
      </c>
      <c r="ZY427" s="9" t="n">
        <v>0</v>
      </c>
      <c r="ZZ427" s="9" t="n">
        <v>0</v>
      </c>
      <c r="AAD427" s="9" t="inlineStr">
        <is>
          <t>TOTAL</t>
        </is>
      </c>
      <c r="AAE427" s="9" t="n">
        <v>0</v>
      </c>
      <c r="AAF427" s="9" t="n">
        <v>0</v>
      </c>
      <c r="AAG427" s="9" t="n">
        <v>0</v>
      </c>
      <c r="AAH427" s="9" t="n">
        <v>0</v>
      </c>
      <c r="AAI427" s="9" t="n">
        <v>0</v>
      </c>
      <c r="AAM427" s="9" t="inlineStr">
        <is>
          <t>TOTAL</t>
        </is>
      </c>
      <c r="AAN427" s="9" t="n">
        <v>0</v>
      </c>
      <c r="AAO427" s="9" t="n">
        <v>0</v>
      </c>
      <c r="AAP427" s="9" t="n">
        <v>0</v>
      </c>
      <c r="AAQ427" s="9" t="n">
        <v>0</v>
      </c>
      <c r="AAR427" s="9" t="n">
        <v>0</v>
      </c>
      <c r="AAV427" s="9" t="inlineStr">
        <is>
          <t>TOTAL</t>
        </is>
      </c>
      <c r="AAW427" s="9" t="n">
        <v>0</v>
      </c>
      <c r="AAX427" s="9" t="n">
        <v>0</v>
      </c>
      <c r="AAY427" s="9" t="n">
        <v>0</v>
      </c>
      <c r="AAZ427" s="9" t="n">
        <v>0</v>
      </c>
      <c r="ABA427" s="9" t="n">
        <v>0</v>
      </c>
      <c r="ABE427" s="9" t="inlineStr">
        <is>
          <t>TOTAL</t>
        </is>
      </c>
      <c r="ABF427" s="9" t="n">
        <v>0</v>
      </c>
      <c r="ABG427" s="9" t="n">
        <v>0</v>
      </c>
      <c r="ABH427" s="9" t="n">
        <v>0</v>
      </c>
      <c r="ABI427" s="9" t="n">
        <v>0</v>
      </c>
      <c r="ABJ427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3" customWidth="1" min="3" max="3"/>
    <col width="22" customWidth="1" min="4" max="4"/>
    <col width="22" customWidth="1" min="5" max="5"/>
    <col width="12" customWidth="1" min="6" max="6"/>
    <col width="23" customWidth="1" min="7" max="7"/>
    <col width="25" customWidth="1" min="8" max="8"/>
    <col width="23" customWidth="1" min="9" max="9"/>
    <col width="22" customWidth="1" min="10" max="10"/>
    <col width="28" customWidth="1" min="11" max="11"/>
    <col width="23" customWidth="1" min="12" max="12"/>
    <col width="22" customWidth="1" min="13" max="13"/>
    <col width="26" customWidth="1" min="14" max="14"/>
    <col width="12" customWidth="1" min="15" max="15"/>
    <col width="21" customWidth="1" min="16" max="16"/>
    <col width="19" customWidth="1" min="17" max="17"/>
    <col width="12" customWidth="1" min="18" max="18"/>
    <col width="12" customWidth="1" min="19" max="19"/>
    <col width="12" customWidth="1" min="20" max="20"/>
    <col width="21" customWidth="1" min="21" max="21"/>
    <col width="21" customWidth="1" min="22" max="22"/>
    <col width="21" customWidth="1" min="23" max="23"/>
    <col width="20" customWidth="1" min="24" max="24"/>
    <col width="20" customWidth="1" min="25" max="25"/>
    <col width="12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0" customWidth="1" min="33" max="33"/>
    <col width="23" customWidth="1" min="34" max="34"/>
    <col width="23" customWidth="1" min="35" max="35"/>
    <col width="23" customWidth="1" min="36" max="36"/>
    <col width="23" customWidth="1" min="37" max="37"/>
    <col width="12" customWidth="1" min="38" max="38"/>
    <col width="12" customWidth="1" min="39" max="39"/>
    <col width="12" customWidth="1" min="40" max="40"/>
    <col width="19" customWidth="1" min="41" max="41"/>
    <col width="30" customWidth="1" min="42" max="42"/>
    <col width="12" customWidth="1" min="43" max="43"/>
    <col width="21" customWidth="1" min="44" max="44"/>
    <col width="20" customWidth="1" min="45" max="45"/>
    <col width="21" customWidth="1" min="46" max="46"/>
    <col width="14" customWidth="1" min="47" max="47"/>
    <col width="12" customWidth="1" min="48" max="48"/>
    <col width="14" customWidth="1" min="49" max="49"/>
    <col width="29" customWidth="1" min="50" max="50"/>
    <col width="20" customWidth="1" min="51" max="51"/>
    <col width="20" customWidth="1" min="52" max="52"/>
    <col width="13" customWidth="1" min="53" max="53"/>
    <col width="21" customWidth="1" min="54" max="54"/>
    <col width="21" customWidth="1" min="55" max="55"/>
    <col width="12" customWidth="1" min="56" max="56"/>
    <col width="21" customWidth="1" min="57" max="57"/>
    <col width="12" customWidth="1" min="58" max="58"/>
    <col width="26" customWidth="1" min="59" max="59"/>
    <col width="23" customWidth="1" min="60" max="60"/>
    <col width="23" customWidth="1" min="61" max="61"/>
    <col width="23" customWidth="1" min="62" max="62"/>
    <col width="23" customWidth="1" min="63" max="63"/>
    <col width="17" customWidth="1" min="64" max="64"/>
    <col width="22" customWidth="1" min="65" max="65"/>
    <col width="22" customWidth="1" min="66" max="66"/>
    <col width="12" customWidth="1" min="67" max="67"/>
    <col width="12" customWidth="1" min="68" max="68"/>
    <col width="31" customWidth="1" min="69" max="69"/>
    <col width="32" customWidth="1" min="70" max="70"/>
    <col width="30" customWidth="1" min="71" max="71"/>
    <col width="29" customWidth="1" min="72" max="72"/>
    <col width="32" customWidth="1" min="73" max="73"/>
    <col width="35" customWidth="1" min="74" max="74"/>
    <col width="3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</cols>
  <sheetData>
    <row r="1">
      <c r="B1" s="9" t="inlineStr">
        <is>
          <t>if can try to change the usage to actual</t>
        </is>
      </c>
    </row>
    <row r="2"/>
    <row r="3">
      <c r="A3" s="9" t="inlineStr">
        <is>
          <t xml:space="preserve">JAN </t>
        </is>
      </c>
      <c r="B3" s="9" t="inlineStr">
        <is>
          <t>MAIZE/CORN</t>
        </is>
      </c>
      <c r="C3" s="9" t="inlineStr">
        <is>
          <t>SOYBEAN MEAL (ARG)</t>
        </is>
      </c>
      <c r="D3" s="9" t="inlineStr">
        <is>
          <t>SOYBEAN FULL FAT</t>
        </is>
      </c>
      <c r="E3" s="9" t="inlineStr">
        <is>
          <t>WHEAT POLLARD</t>
        </is>
      </c>
      <c r="F3" s="9" t="inlineStr">
        <is>
          <t>WHEAT</t>
        </is>
      </c>
      <c r="G3" s="9" t="inlineStr">
        <is>
          <t>MEAT AND BONE MEAL</t>
        </is>
      </c>
      <c r="H3" s="9" t="inlineStr">
        <is>
          <t>CORN GLUTEN MEAL</t>
        </is>
      </c>
      <c r="I3" s="9" t="inlineStr">
        <is>
          <t>MEGAFAT (HARUMI)</t>
        </is>
      </c>
      <c r="J3" s="9" t="inlineStr">
        <is>
          <t>DCP 18%</t>
        </is>
      </c>
      <c r="K3" s="9" t="inlineStr">
        <is>
          <t>LIMESTONE POWDER (HARUMI)</t>
        </is>
      </c>
      <c r="L3" s="9" t="inlineStr">
        <is>
          <t>CHOLINE CHLORIDE 60%</t>
        </is>
      </c>
      <c r="M3" s="9" t="inlineStr">
        <is>
          <t>INDUSTRY FLOUR</t>
        </is>
      </c>
      <c r="N3" s="9" t="inlineStr">
        <is>
          <t>RICE BRAN</t>
        </is>
      </c>
      <c r="O3" s="9" t="inlineStr">
        <is>
          <t>EP 200</t>
        </is>
      </c>
      <c r="P3" s="9" t="inlineStr">
        <is>
          <t>SOYTIDE</t>
        </is>
      </c>
      <c r="Q3" s="9" t="inlineStr">
        <is>
          <t>DCP 18% (HARUMI)</t>
        </is>
      </c>
      <c r="R3" s="9" t="n">
        <v>1</v>
      </c>
      <c r="S3" s="9" t="n">
        <v>2</v>
      </c>
      <c r="T3" s="9" t="n">
        <v>3</v>
      </c>
      <c r="U3" s="9" t="inlineStr">
        <is>
          <t>PREMIX 1101 (20KG)</t>
        </is>
      </c>
      <c r="V3" s="9" t="inlineStr">
        <is>
          <t>PREMIX 1102 (20KG)</t>
        </is>
      </c>
      <c r="W3" s="9" t="inlineStr">
        <is>
          <t>PREMIX 1103 (20KG)</t>
        </is>
      </c>
      <c r="X3" s="9" t="inlineStr">
        <is>
          <t>PREMIX 311 (20KG)</t>
        </is>
      </c>
      <c r="Y3" s="9" t="inlineStr">
        <is>
          <t>PREMIX 312 (20KG)</t>
        </is>
      </c>
      <c r="Z3" s="9" t="n">
        <v>1</v>
      </c>
      <c r="AA3" s="9" t="inlineStr">
        <is>
          <t>PREMIX 8100 (20KG)</t>
        </is>
      </c>
      <c r="AB3" s="9" t="inlineStr">
        <is>
          <t>PREMIX 8101 (20KG)</t>
        </is>
      </c>
      <c r="AC3" s="9" t="inlineStr">
        <is>
          <t>PREMIX 8102 (20KG)</t>
        </is>
      </c>
      <c r="AD3" s="9" t="inlineStr">
        <is>
          <t>PREMIX 8103 (20KG)</t>
        </is>
      </c>
      <c r="AE3" s="9" t="inlineStr">
        <is>
          <t>PREMIX 8108 (20KG)</t>
        </is>
      </c>
      <c r="AF3" s="9" t="inlineStr">
        <is>
          <t>PREMIX 8109 (20KG)</t>
        </is>
      </c>
      <c r="AG3" s="9" t="inlineStr">
        <is>
          <t>YENMIX 121 (20KG)</t>
        </is>
      </c>
      <c r="AH3" s="9" t="inlineStr">
        <is>
          <t>YENMIX 122 (19.50KG)</t>
        </is>
      </c>
      <c r="AI3" s="9" t="inlineStr">
        <is>
          <t>YENMIX 123 (18.90KG)</t>
        </is>
      </c>
      <c r="AJ3" s="9" t="inlineStr">
        <is>
          <t>YENMIX 122 (20.50KG)</t>
        </is>
      </c>
      <c r="AK3" s="9" t="inlineStr">
        <is>
          <t>YENMIX 123 (20.00KG)</t>
        </is>
      </c>
      <c r="AL3" s="9" t="n">
        <v>1</v>
      </c>
      <c r="AM3" s="9" t="n">
        <v>2</v>
      </c>
      <c r="AN3" s="9" t="n">
        <v>3</v>
      </c>
      <c r="AO3" s="9" t="inlineStr">
        <is>
          <t>TOXISORB PREMIUM</t>
        </is>
      </c>
      <c r="AP3" s="9" t="inlineStr">
        <is>
          <t>SODIUM HUMATE 3.8% (HARUMI)</t>
        </is>
      </c>
      <c r="AQ3" s="9" t="inlineStr">
        <is>
          <t>TOXIWALL</t>
        </is>
      </c>
      <c r="AR3" s="9" t="inlineStr">
        <is>
          <t>SODIUM BICARBONATE</t>
        </is>
      </c>
      <c r="AS3" s="9" t="inlineStr">
        <is>
          <t>BMD 10%</t>
        </is>
      </c>
      <c r="AT3" s="9" t="inlineStr">
        <is>
          <t>SALT (HARUMI)</t>
        </is>
      </c>
      <c r="AU3" s="9" t="inlineStr">
        <is>
          <t>VISTABET 91</t>
        </is>
      </c>
      <c r="AV3" s="9" t="inlineStr">
        <is>
          <t>BETAFIN</t>
        </is>
      </c>
      <c r="AW3" s="9" t="inlineStr">
        <is>
          <t>8101 TOP UP</t>
        </is>
      </c>
      <c r="AX3" s="9" t="inlineStr">
        <is>
          <t>NORPONIN X03 (8102 TOP UP)</t>
        </is>
      </c>
      <c r="AY3" s="9" t="inlineStr">
        <is>
          <t>8102 TOP UP (4KG)</t>
        </is>
      </c>
      <c r="AZ3" s="9" t="inlineStr">
        <is>
          <t>8103 TOP UP (5KG)</t>
        </is>
      </c>
      <c r="BA3" s="9" t="inlineStr">
        <is>
          <t>L-ARGININE</t>
        </is>
      </c>
      <c r="BB3" s="9" t="inlineStr">
        <is>
          <t>DL-METHIONINE</t>
        </is>
      </c>
      <c r="BC3" s="9" t="inlineStr">
        <is>
          <t>L-THREONINE</t>
        </is>
      </c>
      <c r="BD3" s="9" t="inlineStr">
        <is>
          <t>L-LYSINE</t>
        </is>
      </c>
      <c r="BE3" s="9" t="inlineStr">
        <is>
          <t>FAECES DRY</t>
        </is>
      </c>
      <c r="BF3" s="9" t="inlineStr">
        <is>
          <t>ECOBIOL</t>
        </is>
      </c>
      <c r="BG3" s="9" t="inlineStr">
        <is>
          <t>ADDITIVE BROILER IMMUNE</t>
        </is>
      </c>
      <c r="BH3" s="9" t="inlineStr">
        <is>
          <t>MASTER CUBE (HARUMI)</t>
        </is>
      </c>
      <c r="BI3" s="9" t="inlineStr">
        <is>
          <t>1101 TOP UP (0.40KG)</t>
        </is>
      </c>
      <c r="BJ3" s="9" t="inlineStr">
        <is>
          <t>1102 TOP UP (0.60KG)</t>
        </is>
      </c>
      <c r="BK3" s="9" t="inlineStr">
        <is>
          <t>1103 TOP UP (2.00KG)</t>
        </is>
      </c>
      <c r="BL3" s="9" t="inlineStr">
        <is>
          <t>QUANTUM GLO 4%</t>
        </is>
      </c>
      <c r="BM3" s="9" t="inlineStr">
        <is>
          <t>SALT</t>
        </is>
      </c>
      <c r="BN3" s="9" t="inlineStr">
        <is>
          <t>OC 200 - OXYTET 20%</t>
        </is>
      </c>
      <c r="BO3" s="9" t="n">
        <v>3</v>
      </c>
      <c r="BP3" s="9" t="n">
        <v>4</v>
      </c>
      <c r="BQ3" s="9" t="inlineStr">
        <is>
          <t>WOVEN BAG (1101) - BLUE 50KG</t>
        </is>
      </c>
      <c r="BR3" s="9" t="inlineStr">
        <is>
          <t>WOVEN BAG (1102) - GREEN 50KG</t>
        </is>
      </c>
      <c r="BS3" s="9" t="inlineStr">
        <is>
          <t>WOVEN BAG (1103) - RED 50KG</t>
        </is>
      </c>
      <c r="BT3" s="9" t="inlineStr">
        <is>
          <t>PLAIN BAG 26" X 39" (50KG)</t>
        </is>
      </c>
      <c r="BU3" s="9" t="inlineStr">
        <is>
          <t>WOVEN BAG (8101) - KHAKI 50KG</t>
        </is>
      </c>
      <c r="BV3" s="9" t="inlineStr">
        <is>
          <t>WOVEN BAG (8102) - SKY BLUE 50KG</t>
        </is>
      </c>
      <c r="BW3" s="9" t="inlineStr">
        <is>
          <t>WOVEN BAG (8103) - BROWN 50KG</t>
        </is>
      </c>
      <c r="BX3" s="9" t="n">
        <v>1</v>
      </c>
      <c r="BY3" s="9" t="n">
        <v>2</v>
      </c>
      <c r="BZ3" s="9" t="n">
        <v>3</v>
      </c>
      <c r="CA3" s="9" t="n">
        <v>4</v>
      </c>
      <c r="CB3" s="9" t="n">
        <v>5</v>
      </c>
      <c r="CC3" s="9" t="n">
        <v>6</v>
      </c>
      <c r="CD3" s="9" t="n">
        <v>7</v>
      </c>
      <c r="CE3" s="9" t="n">
        <v>8</v>
      </c>
    </row>
    <row r="4">
      <c r="A4" s="9" t="inlineStr">
        <is>
          <t>OPENING</t>
        </is>
      </c>
      <c r="B4" s="9" t="n">
        <v>47850.2</v>
      </c>
      <c r="C4" s="9" t="n">
        <v>8696.200000000001</v>
      </c>
      <c r="D4" s="9" t="n">
        <v>40371.3</v>
      </c>
      <c r="E4" s="9" t="n">
        <v>33793.70000000001</v>
      </c>
      <c r="F4" s="9" t="n">
        <v>0</v>
      </c>
      <c r="G4" s="9" t="n">
        <v>29510.09999999999</v>
      </c>
      <c r="H4" s="9" t="n">
        <v>6360.000000000007</v>
      </c>
      <c r="I4" s="9" t="n">
        <v>0</v>
      </c>
      <c r="J4" s="9" t="n">
        <v>512.5</v>
      </c>
      <c r="K4" s="9" t="n">
        <v>0</v>
      </c>
      <c r="L4" s="9" t="n">
        <v>0</v>
      </c>
      <c r="M4" s="9" t="n">
        <v>0</v>
      </c>
      <c r="N4" s="9" t="n">
        <v>31341.2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3540</v>
      </c>
      <c r="V4" s="9" t="n">
        <v>1960</v>
      </c>
      <c r="W4" s="9" t="n">
        <v>2960</v>
      </c>
      <c r="X4" s="9" t="n">
        <v>0</v>
      </c>
      <c r="Y4" s="9" t="n">
        <v>0</v>
      </c>
      <c r="Z4" s="9" t="n">
        <v>0</v>
      </c>
      <c r="AA4" s="9" t="n">
        <v>3980</v>
      </c>
      <c r="AB4" s="9" t="n">
        <v>2960</v>
      </c>
      <c r="AC4" s="9" t="n">
        <v>2040</v>
      </c>
      <c r="AD4" s="9" t="n">
        <v>7520</v>
      </c>
      <c r="AE4" s="9" t="n">
        <v>6800</v>
      </c>
      <c r="AF4" s="9" t="n">
        <v>4400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  <c r="AN4" s="9" t="n">
        <v>0</v>
      </c>
      <c r="AO4" s="9" t="n">
        <v>1531</v>
      </c>
      <c r="AP4" s="9" t="n">
        <v>0</v>
      </c>
      <c r="AQ4" s="9" t="n">
        <v>0</v>
      </c>
      <c r="AR4" s="9" t="n">
        <v>0</v>
      </c>
      <c r="AS4" s="9" t="n">
        <v>35.19999999999999</v>
      </c>
      <c r="AT4" s="9" t="n">
        <v>0</v>
      </c>
      <c r="AU4" s="9" t="n">
        <v>349</v>
      </c>
      <c r="AV4" s="9" t="n">
        <v>0</v>
      </c>
      <c r="AW4" s="9" t="n">
        <v>160</v>
      </c>
      <c r="AX4" s="9" t="n">
        <v>13.96000000000004</v>
      </c>
      <c r="AY4" s="9" t="n">
        <v>0</v>
      </c>
      <c r="AZ4" s="9" t="n">
        <v>0</v>
      </c>
      <c r="BA4" s="9" t="n">
        <v>207.6</v>
      </c>
      <c r="BB4" s="9" t="n">
        <v>201.8</v>
      </c>
      <c r="BC4" s="9" t="n">
        <v>22.72</v>
      </c>
      <c r="BD4" s="9" t="n">
        <v>0</v>
      </c>
      <c r="BE4" s="9" t="n">
        <v>0</v>
      </c>
      <c r="BF4" s="9" t="n">
        <v>0</v>
      </c>
      <c r="BG4" s="9" t="n">
        <v>0</v>
      </c>
      <c r="BH4" s="9" t="n">
        <v>0</v>
      </c>
      <c r="BI4" s="9" t="n">
        <v>0</v>
      </c>
      <c r="BJ4" s="9" t="n">
        <v>0</v>
      </c>
      <c r="BK4" s="9" t="n">
        <v>0</v>
      </c>
      <c r="BL4" s="9" t="n">
        <v>0</v>
      </c>
      <c r="BM4" s="9" t="n">
        <v>-319.6</v>
      </c>
      <c r="BN4" s="9" t="n">
        <v>0</v>
      </c>
      <c r="BO4" s="9" t="n">
        <v>0</v>
      </c>
      <c r="BP4" s="9" t="n">
        <v>0</v>
      </c>
      <c r="BQ4" s="9" t="n">
        <v>5877</v>
      </c>
      <c r="BR4" s="9" t="n">
        <v>5267</v>
      </c>
      <c r="BS4" s="9" t="n">
        <v>4457</v>
      </c>
      <c r="BT4" s="9" t="n">
        <v>6772</v>
      </c>
      <c r="BU4" s="9" t="n">
        <v>1901</v>
      </c>
      <c r="BV4" s="9" t="n">
        <v>4175</v>
      </c>
      <c r="BW4" s="9" t="n">
        <v>0</v>
      </c>
      <c r="BX4" s="9" t="n">
        <v>0</v>
      </c>
      <c r="BY4" s="9" t="n">
        <v>0</v>
      </c>
      <c r="BZ4" s="9" t="n">
        <v>0</v>
      </c>
    </row>
    <row r="5">
      <c r="A5" s="9" t="inlineStr">
        <is>
          <t>INTAKE</t>
        </is>
      </c>
      <c r="B5" s="9" t="n">
        <v>1015280</v>
      </c>
      <c r="C5" s="9" t="n">
        <v>361810</v>
      </c>
      <c r="D5" s="9" t="n">
        <v>90340</v>
      </c>
      <c r="E5" s="9" t="n">
        <v>86570</v>
      </c>
      <c r="F5" s="9" t="n">
        <v>0</v>
      </c>
      <c r="G5" s="9" t="n">
        <v>31596.3</v>
      </c>
      <c r="H5" s="9" t="n">
        <v>45437.7</v>
      </c>
      <c r="I5" s="9" t="n">
        <v>28058.4</v>
      </c>
      <c r="J5" s="9" t="n">
        <v>3000</v>
      </c>
      <c r="K5" s="9" t="n">
        <v>896.8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2000</v>
      </c>
      <c r="W5" s="9" t="n">
        <v>8000</v>
      </c>
      <c r="X5" s="9" t="n">
        <v>0</v>
      </c>
      <c r="Y5" s="9" t="n">
        <v>0</v>
      </c>
      <c r="Z5" s="9" t="n">
        <v>0</v>
      </c>
      <c r="AA5" s="9" t="n">
        <v>4500</v>
      </c>
      <c r="AB5" s="9" t="n">
        <v>2140</v>
      </c>
      <c r="AC5" s="9" t="n">
        <v>24520</v>
      </c>
      <c r="AD5" s="9" t="n">
        <v>12000</v>
      </c>
      <c r="AE5" s="9" t="n">
        <v>0</v>
      </c>
      <c r="AF5" s="9" t="n">
        <v>1000</v>
      </c>
      <c r="AG5" s="9" t="n">
        <v>2260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1000</v>
      </c>
      <c r="AP5" s="9" t="n">
        <v>2994</v>
      </c>
      <c r="AQ5" s="9" t="n">
        <v>0</v>
      </c>
      <c r="AR5" s="9" t="n">
        <v>0</v>
      </c>
      <c r="AS5" s="9" t="n">
        <v>2101.3</v>
      </c>
      <c r="AT5" s="9" t="n">
        <v>0</v>
      </c>
      <c r="AU5" s="9" t="n">
        <v>0</v>
      </c>
      <c r="AV5" s="9" t="n">
        <v>806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  <c r="BF5" s="9" t="n">
        <v>0</v>
      </c>
      <c r="BG5" s="9" t="n">
        <v>270</v>
      </c>
      <c r="BH5" s="9" t="n">
        <v>0</v>
      </c>
      <c r="BI5" s="9" t="n">
        <v>0</v>
      </c>
      <c r="BJ5" s="9" t="n">
        <v>0</v>
      </c>
      <c r="BK5" s="9" t="n">
        <v>0</v>
      </c>
      <c r="BL5" s="9" t="n">
        <v>0</v>
      </c>
      <c r="BM5" s="9" t="n">
        <v>361.2</v>
      </c>
      <c r="BN5" s="9" t="n">
        <v>0</v>
      </c>
      <c r="BO5" s="9" t="n">
        <v>0</v>
      </c>
      <c r="BP5" s="9" t="n">
        <v>0</v>
      </c>
      <c r="BQ5" s="9" t="n">
        <v>4063</v>
      </c>
      <c r="BR5" s="9" t="n">
        <v>2882</v>
      </c>
      <c r="BS5" s="9" t="n">
        <v>4347</v>
      </c>
      <c r="BT5" s="9" t="n">
        <v>3000</v>
      </c>
      <c r="BU5" s="9" t="n">
        <v>0</v>
      </c>
      <c r="BV5" s="9" t="n">
        <v>0</v>
      </c>
      <c r="BW5" s="9" t="n">
        <v>0</v>
      </c>
      <c r="BX5" s="9" t="n">
        <v>0</v>
      </c>
      <c r="BY5" s="9" t="n">
        <v>0</v>
      </c>
      <c r="BZ5" s="9" t="n">
        <v>0</v>
      </c>
    </row>
    <row r="6">
      <c r="A6" s="9" t="inlineStr">
        <is>
          <t>USAGE</t>
        </is>
      </c>
      <c r="B6" s="9" t="n">
        <v>816998.7</v>
      </c>
      <c r="C6" s="9" t="n">
        <v>321775.5</v>
      </c>
      <c r="D6" s="9" t="n">
        <v>80810</v>
      </c>
      <c r="E6" s="9" t="n">
        <v>67570</v>
      </c>
      <c r="F6" s="9" t="n">
        <v>0</v>
      </c>
      <c r="G6" s="9" t="n">
        <v>26507</v>
      </c>
      <c r="H6" s="9" t="n">
        <v>29930</v>
      </c>
      <c r="I6" s="9" t="n">
        <v>28058</v>
      </c>
      <c r="J6" s="9" t="n">
        <v>225</v>
      </c>
      <c r="K6" s="9" t="n">
        <v>757.8000000000001</v>
      </c>
      <c r="L6" s="9" t="n">
        <v>0</v>
      </c>
      <c r="M6" s="9" t="n">
        <v>0</v>
      </c>
      <c r="N6" s="9" t="n">
        <v>9170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320</v>
      </c>
      <c r="V6" s="9" t="n">
        <v>0</v>
      </c>
      <c r="W6" s="9" t="n">
        <v>7880</v>
      </c>
      <c r="X6" s="9" t="n">
        <v>0</v>
      </c>
      <c r="Y6" s="9" t="n">
        <v>0</v>
      </c>
      <c r="Z6" s="9" t="n">
        <v>0</v>
      </c>
      <c r="AA6" s="9" t="n">
        <v>2520</v>
      </c>
      <c r="AB6" s="9" t="n">
        <v>0</v>
      </c>
      <c r="AC6" s="9" t="n">
        <v>12320</v>
      </c>
      <c r="AD6" s="9" t="n">
        <v>5240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0</v>
      </c>
      <c r="AO6" s="9" t="n">
        <v>576</v>
      </c>
      <c r="AP6" s="9" t="n">
        <v>3012</v>
      </c>
      <c r="AQ6" s="9" t="n">
        <v>0</v>
      </c>
      <c r="AR6" s="9" t="n">
        <v>0</v>
      </c>
      <c r="AS6" s="9" t="n">
        <v>456</v>
      </c>
      <c r="AT6" s="9" t="n">
        <v>0</v>
      </c>
      <c r="AU6" s="9" t="n">
        <v>349</v>
      </c>
      <c r="AV6" s="9" t="n">
        <v>806</v>
      </c>
      <c r="AW6" s="9" t="n">
        <v>0</v>
      </c>
      <c r="AX6" s="9" t="n">
        <v>0</v>
      </c>
      <c r="AY6" s="9" t="n">
        <v>0</v>
      </c>
      <c r="AZ6" s="9" t="n">
        <v>0</v>
      </c>
      <c r="BA6" s="9" t="n">
        <v>0</v>
      </c>
      <c r="BB6" s="9" t="n">
        <v>0</v>
      </c>
      <c r="BC6" s="9" t="n">
        <v>0</v>
      </c>
      <c r="BD6" s="9" t="n">
        <v>0</v>
      </c>
      <c r="BE6" s="9" t="n">
        <v>0</v>
      </c>
      <c r="BF6" s="9" t="n">
        <v>0</v>
      </c>
      <c r="BG6" s="9" t="n">
        <v>0</v>
      </c>
      <c r="BH6" s="9" t="n">
        <v>0</v>
      </c>
      <c r="BI6" s="9" t="n">
        <v>0</v>
      </c>
      <c r="BJ6" s="9" t="n">
        <v>0</v>
      </c>
      <c r="BK6" s="9" t="n">
        <v>0</v>
      </c>
      <c r="BL6" s="9" t="n">
        <v>0</v>
      </c>
      <c r="BM6" s="9" t="n">
        <v>0</v>
      </c>
      <c r="BN6" s="9" t="n">
        <v>0</v>
      </c>
      <c r="BO6" s="9" t="n">
        <v>0</v>
      </c>
      <c r="BP6" s="9" t="n">
        <v>0</v>
      </c>
      <c r="BQ6" s="9" t="n">
        <v>331</v>
      </c>
      <c r="BR6" s="9" t="n">
        <v>0</v>
      </c>
      <c r="BS6" s="9" t="n">
        <v>7893</v>
      </c>
      <c r="BT6" s="9" t="n">
        <v>3532</v>
      </c>
      <c r="BU6" s="9" t="n">
        <v>0</v>
      </c>
      <c r="BV6" s="9" t="n">
        <v>2290</v>
      </c>
      <c r="BW6" s="9" t="n">
        <v>0</v>
      </c>
      <c r="BX6" s="9" t="n">
        <v>0</v>
      </c>
      <c r="BY6" s="9" t="n">
        <v>0</v>
      </c>
      <c r="BZ6" s="9" t="n">
        <v>0</v>
      </c>
    </row>
    <row r="7">
      <c r="A7" s="9" t="inlineStr">
        <is>
          <t>ADJUUSTMENT</t>
        </is>
      </c>
      <c r="B7" s="9" t="n">
        <v>-4343.299999999992</v>
      </c>
      <c r="C7" s="9" t="n">
        <v>17.49999999997681</v>
      </c>
      <c r="D7" s="9" t="n">
        <v>-16.30000000000064</v>
      </c>
      <c r="E7" s="9" t="n">
        <v>-21.49999999999966</v>
      </c>
      <c r="F7" s="9" t="n">
        <v>0</v>
      </c>
      <c r="G7" s="9" t="n">
        <v>-282.6999999999996</v>
      </c>
      <c r="H7" s="9" t="n">
        <v>56.39999999999998</v>
      </c>
      <c r="I7" s="9" t="n">
        <v>-0.4000000000002046</v>
      </c>
      <c r="J7" s="9" t="n">
        <v>-2.999999999999993</v>
      </c>
      <c r="K7" s="9" t="n">
        <v>-138.9999999999999</v>
      </c>
      <c r="L7" s="9" t="n">
        <v>0</v>
      </c>
      <c r="M7" s="9" t="n">
        <v>0</v>
      </c>
      <c r="N7" s="9" t="n">
        <v>1.599999999999795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320</v>
      </c>
      <c r="V7" s="9" t="n">
        <v>0</v>
      </c>
      <c r="W7" s="9" t="n">
        <v>160</v>
      </c>
      <c r="X7" s="9" t="n">
        <v>0</v>
      </c>
      <c r="Y7" s="9" t="n">
        <v>0</v>
      </c>
      <c r="Z7" s="9" t="n">
        <v>0</v>
      </c>
      <c r="AA7" s="9" t="n">
        <v>-520</v>
      </c>
      <c r="AB7" s="9" t="n">
        <v>0</v>
      </c>
      <c r="AC7" s="9" t="n">
        <v>2000</v>
      </c>
      <c r="AD7" s="9" t="n">
        <v>-1160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BI7" s="9" t="n">
        <v>0</v>
      </c>
      <c r="BJ7" s="9" t="n">
        <v>0</v>
      </c>
      <c r="BK7" s="9" t="n">
        <v>0</v>
      </c>
      <c r="BL7" s="9" t="n">
        <v>0</v>
      </c>
      <c r="BM7" s="9" t="n">
        <v>0</v>
      </c>
      <c r="BN7" s="9" t="n">
        <v>0</v>
      </c>
      <c r="BO7" s="9" t="n">
        <v>0</v>
      </c>
    </row>
    <row r="8">
      <c r="A8" s="9" t="inlineStr">
        <is>
          <t>BALANCE</t>
        </is>
      </c>
      <c r="B8" s="9" t="n">
        <v>241788.2</v>
      </c>
      <c r="C8" s="9" t="n">
        <v>48748.2</v>
      </c>
      <c r="D8" s="9" t="n">
        <v>49884.99999999999</v>
      </c>
      <c r="E8" s="9" t="n">
        <v>52772.20000000001</v>
      </c>
      <c r="F8" s="9" t="n">
        <v>0</v>
      </c>
      <c r="G8" s="9" t="n">
        <v>34316.69999999999</v>
      </c>
      <c r="H8" s="9" t="n">
        <v>21924.10000000001</v>
      </c>
      <c r="I8" s="9" t="n">
        <v>0</v>
      </c>
      <c r="J8" s="9" t="n">
        <v>3284.5</v>
      </c>
      <c r="K8" s="9" t="n">
        <v>0</v>
      </c>
      <c r="L8" s="9" t="n">
        <v>0</v>
      </c>
      <c r="M8" s="9" t="n">
        <v>0</v>
      </c>
      <c r="N8" s="9" t="n">
        <v>22172.8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3540</v>
      </c>
      <c r="V8" s="9" t="n">
        <v>3960</v>
      </c>
      <c r="W8" s="9" t="n">
        <v>3240</v>
      </c>
      <c r="X8" s="9" t="n">
        <v>0</v>
      </c>
      <c r="Y8" s="9" t="n">
        <v>0</v>
      </c>
      <c r="Z8" s="9" t="n">
        <v>0</v>
      </c>
      <c r="AA8" s="9" t="n">
        <v>5440</v>
      </c>
      <c r="AB8" s="9" t="n">
        <v>5100</v>
      </c>
      <c r="AC8" s="9" t="n">
        <v>16240</v>
      </c>
      <c r="AD8" s="9" t="n">
        <v>13120</v>
      </c>
      <c r="AE8" s="9" t="n">
        <v>6800</v>
      </c>
      <c r="AF8" s="9" t="n">
        <v>5400</v>
      </c>
      <c r="AG8" s="9" t="n">
        <v>2260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  <c r="AN8" s="9" t="n">
        <v>0</v>
      </c>
      <c r="AO8" s="9" t="n">
        <v>1969</v>
      </c>
      <c r="AP8" s="9" t="n">
        <v>0</v>
      </c>
      <c r="AQ8" s="9" t="n">
        <v>0</v>
      </c>
      <c r="AR8" s="9" t="n">
        <v>0</v>
      </c>
      <c r="AS8" s="9" t="n">
        <v>1680.5</v>
      </c>
      <c r="AT8" s="9" t="n">
        <v>0</v>
      </c>
      <c r="AU8" s="9" t="n">
        <v>0</v>
      </c>
      <c r="AV8" s="9" t="n">
        <v>0</v>
      </c>
      <c r="AW8" s="9" t="n">
        <v>160</v>
      </c>
      <c r="AX8" s="9" t="n">
        <v>13.96000000000004</v>
      </c>
      <c r="AY8" s="9" t="n">
        <v>0</v>
      </c>
      <c r="AZ8" s="9" t="n">
        <v>0</v>
      </c>
      <c r="BA8" s="9" t="n">
        <v>207.6</v>
      </c>
      <c r="BB8" s="9" t="n">
        <v>201.8</v>
      </c>
      <c r="BC8" s="9" t="n">
        <v>22.72</v>
      </c>
      <c r="BD8" s="9" t="n">
        <v>0</v>
      </c>
      <c r="BE8" s="9" t="n">
        <v>0</v>
      </c>
      <c r="BF8" s="9" t="n">
        <v>0</v>
      </c>
      <c r="BG8" s="9" t="n">
        <v>270</v>
      </c>
      <c r="BH8" s="9" t="n">
        <v>0</v>
      </c>
      <c r="BI8" s="9" t="n">
        <v>0</v>
      </c>
      <c r="BJ8" s="9" t="n">
        <v>0</v>
      </c>
      <c r="BK8" s="9" t="n">
        <v>0</v>
      </c>
      <c r="BL8" s="9" t="n">
        <v>0</v>
      </c>
      <c r="BM8" s="9" t="n">
        <v>41.60000000000002</v>
      </c>
      <c r="BN8" s="9" t="n">
        <v>0</v>
      </c>
      <c r="BO8" s="9" t="n">
        <v>0</v>
      </c>
      <c r="BP8" s="9" t="n">
        <v>0</v>
      </c>
      <c r="BQ8" s="9" t="n">
        <v>9609</v>
      </c>
      <c r="BR8" s="9" t="n">
        <v>8149</v>
      </c>
      <c r="BS8" s="9" t="n">
        <v>911</v>
      </c>
      <c r="BT8" s="9" t="n">
        <v>6240</v>
      </c>
      <c r="BU8" s="9" t="n">
        <v>1901</v>
      </c>
      <c r="BV8" s="9" t="n">
        <v>1885</v>
      </c>
      <c r="BW8" s="9" t="n">
        <v>0</v>
      </c>
      <c r="BX8" s="9" t="n">
        <v>0</v>
      </c>
      <c r="BY8" s="9" t="n">
        <v>0</v>
      </c>
      <c r="BZ8" s="9" t="n">
        <v>0</v>
      </c>
    </row>
    <row r="9"/>
    <row r="10">
      <c r="A10" s="9" t="inlineStr">
        <is>
          <t>FEB</t>
        </is>
      </c>
      <c r="B10" s="9" t="inlineStr">
        <is>
          <t>MAIZE/CORN</t>
        </is>
      </c>
      <c r="C10" s="9" t="inlineStr">
        <is>
          <t>SOYBEAN MEAL (ARG)</t>
        </is>
      </c>
      <c r="D10" s="9" t="inlineStr">
        <is>
          <t>SOYBEAN FULL FAT</t>
        </is>
      </c>
      <c r="E10" s="9" t="inlineStr">
        <is>
          <t>WHEAT POLLARD</t>
        </is>
      </c>
      <c r="F10" s="9" t="inlineStr">
        <is>
          <t>WHEAT</t>
        </is>
      </c>
      <c r="G10" s="9" t="inlineStr">
        <is>
          <t>MEAT AND BONE MEAL</t>
        </is>
      </c>
      <c r="H10" s="9" t="inlineStr">
        <is>
          <t>CORN GLUTEN MEAL</t>
        </is>
      </c>
      <c r="I10" s="9" t="inlineStr">
        <is>
          <t>MEGAFAT (HARUMI)</t>
        </is>
      </c>
      <c r="J10" s="9" t="inlineStr">
        <is>
          <t>DCP 18%</t>
        </is>
      </c>
      <c r="K10" s="9" t="inlineStr">
        <is>
          <t>LIMESTONE POWDER (HARUMI)</t>
        </is>
      </c>
      <c r="L10" s="9" t="inlineStr">
        <is>
          <t>CHOLINE CHLORIDE 60%</t>
        </is>
      </c>
      <c r="M10" s="9" t="inlineStr">
        <is>
          <t>INDUSTRY FLOUR</t>
        </is>
      </c>
      <c r="N10" s="9" t="inlineStr">
        <is>
          <t>RICE BRAN</t>
        </is>
      </c>
      <c r="O10" s="9" t="inlineStr">
        <is>
          <t>EP 200</t>
        </is>
      </c>
      <c r="P10" s="9" t="inlineStr">
        <is>
          <t>SOYTIDE</t>
        </is>
      </c>
      <c r="Q10" s="9" t="inlineStr">
        <is>
          <t>DCP 18% (HARUMI)</t>
        </is>
      </c>
      <c r="R10" s="9" t="n">
        <v>1</v>
      </c>
      <c r="S10" s="9" t="n">
        <v>2</v>
      </c>
      <c r="T10" s="9" t="n">
        <v>3</v>
      </c>
      <c r="U10" s="9" t="inlineStr">
        <is>
          <t>PREMIX 1101 (20KG)</t>
        </is>
      </c>
      <c r="V10" s="9" t="inlineStr">
        <is>
          <t>PREMIX 1102 (20KG)</t>
        </is>
      </c>
      <c r="W10" s="9" t="inlineStr">
        <is>
          <t>PREMIX 1103 (20KG)</t>
        </is>
      </c>
      <c r="X10" s="9" t="inlineStr">
        <is>
          <t>PREMIX 311 (20KG)</t>
        </is>
      </c>
      <c r="Y10" s="9" t="inlineStr">
        <is>
          <t>PREMIX 312 (20KG)</t>
        </is>
      </c>
      <c r="Z10" s="9" t="n">
        <v>1</v>
      </c>
      <c r="AA10" s="9" t="inlineStr">
        <is>
          <t>PREMIX 8100 (20KG)</t>
        </is>
      </c>
      <c r="AB10" s="9" t="inlineStr">
        <is>
          <t>PREMIX 8101 (20KG)</t>
        </is>
      </c>
      <c r="AC10" s="9" t="inlineStr">
        <is>
          <t>PREMIX 8102 (20KG)</t>
        </is>
      </c>
      <c r="AD10" s="9" t="inlineStr">
        <is>
          <t>PREMIX 8103 (20KG)</t>
        </is>
      </c>
      <c r="AE10" s="9" t="inlineStr">
        <is>
          <t>PREMIX 8108 (20KG)</t>
        </is>
      </c>
      <c r="AF10" s="9" t="inlineStr">
        <is>
          <t>PREMIX 8109 (20KG)</t>
        </is>
      </c>
      <c r="AG10" s="9" t="inlineStr">
        <is>
          <t>YENMIX 121 (20KG)</t>
        </is>
      </c>
      <c r="AH10" s="9" t="inlineStr">
        <is>
          <t>YENMIX 122 (19.50KG)</t>
        </is>
      </c>
      <c r="AI10" s="9" t="inlineStr">
        <is>
          <t>YENMIX 123 (18.90KG)</t>
        </is>
      </c>
      <c r="AJ10" s="9" t="inlineStr">
        <is>
          <t>YENMIX 122 (20.50KG)</t>
        </is>
      </c>
      <c r="AK10" s="9" t="inlineStr">
        <is>
          <t>YENMIX 123 (20.00KG)</t>
        </is>
      </c>
      <c r="AL10" s="9" t="n">
        <v>1</v>
      </c>
      <c r="AM10" s="9" t="n">
        <v>2</v>
      </c>
      <c r="AN10" s="9" t="n">
        <v>3</v>
      </c>
      <c r="AO10" s="9" t="inlineStr">
        <is>
          <t>TOXISORB PREMIUM</t>
        </is>
      </c>
      <c r="AP10" s="9" t="inlineStr">
        <is>
          <t>SODIUM HUMATE 3.8% (HARUMI)</t>
        </is>
      </c>
      <c r="AQ10" s="9" t="inlineStr">
        <is>
          <t>TOXIWALL</t>
        </is>
      </c>
      <c r="AR10" s="9" t="inlineStr">
        <is>
          <t>SODIUM BICARBONATE</t>
        </is>
      </c>
      <c r="AS10" s="9" t="inlineStr">
        <is>
          <t>BMD 10%</t>
        </is>
      </c>
      <c r="AT10" s="9" t="inlineStr">
        <is>
          <t>SALT (HARUMI)</t>
        </is>
      </c>
      <c r="AU10" s="9" t="inlineStr">
        <is>
          <t>VISTABET 91</t>
        </is>
      </c>
      <c r="AV10" s="9" t="inlineStr">
        <is>
          <t>BETAFIN</t>
        </is>
      </c>
      <c r="AW10" s="9" t="inlineStr">
        <is>
          <t>8101 TOP UP</t>
        </is>
      </c>
      <c r="AX10" s="9" t="inlineStr">
        <is>
          <t>NORPONIN X03 (8102 TOP UP)</t>
        </is>
      </c>
      <c r="AY10" s="9" t="inlineStr">
        <is>
          <t>8102 TOP UP (4KG)</t>
        </is>
      </c>
      <c r="AZ10" s="9" t="inlineStr">
        <is>
          <t>8103 TOP UP (5KG)</t>
        </is>
      </c>
      <c r="BA10" s="9" t="inlineStr">
        <is>
          <t>L-ARGININE</t>
        </is>
      </c>
      <c r="BB10" s="9" t="inlineStr">
        <is>
          <t>DL-METHIONINE</t>
        </is>
      </c>
      <c r="BC10" s="9" t="inlineStr">
        <is>
          <t>L-THREONINE</t>
        </is>
      </c>
      <c r="BD10" s="9" t="inlineStr">
        <is>
          <t>L-LYSINE</t>
        </is>
      </c>
      <c r="BE10" s="9" t="inlineStr">
        <is>
          <t>FAECES DRY</t>
        </is>
      </c>
      <c r="BF10" s="9" t="inlineStr">
        <is>
          <t>ECOBIOL</t>
        </is>
      </c>
      <c r="BG10" s="9" t="inlineStr">
        <is>
          <t>ADDITIVE BROILER IMMUNE</t>
        </is>
      </c>
      <c r="BH10" s="9" t="inlineStr">
        <is>
          <t>MASTER CUBE (HARUMI)</t>
        </is>
      </c>
      <c r="BI10" s="9" t="inlineStr">
        <is>
          <t>1101 TOP UP (0.40KG)</t>
        </is>
      </c>
      <c r="BJ10" s="9" t="inlineStr">
        <is>
          <t>1102 TOP UP (0.60KG)</t>
        </is>
      </c>
      <c r="BK10" s="9" t="inlineStr">
        <is>
          <t>1103 TOP UP (2.00KG)</t>
        </is>
      </c>
      <c r="BL10" s="9" t="inlineStr">
        <is>
          <t>QUANTUM GLO 4%</t>
        </is>
      </c>
      <c r="BM10" s="9" t="inlineStr">
        <is>
          <t>SALT</t>
        </is>
      </c>
      <c r="BN10" s="9" t="inlineStr">
        <is>
          <t>OC 200 - OXYTET 20%</t>
        </is>
      </c>
      <c r="BO10" s="9" t="n">
        <v>3</v>
      </c>
      <c r="BP10" s="9" t="n">
        <v>4</v>
      </c>
      <c r="BQ10" s="9" t="inlineStr">
        <is>
          <t>WOVEN BAG (1101) - BLUE 50KG</t>
        </is>
      </c>
      <c r="BR10" s="9" t="inlineStr">
        <is>
          <t>WOVEN BAG (1102) - GREEN 50KG</t>
        </is>
      </c>
      <c r="BS10" s="9" t="inlineStr">
        <is>
          <t>WOVEN BAG (1103) - RED 50KG</t>
        </is>
      </c>
      <c r="BT10" s="9" t="inlineStr">
        <is>
          <t>PLAIN BAG 26" X 39" (50KG)</t>
        </is>
      </c>
      <c r="BU10" s="9" t="inlineStr">
        <is>
          <t>WOVEN BAG (8101) - KHAKI 50KG</t>
        </is>
      </c>
      <c r="BV10" s="9" t="inlineStr">
        <is>
          <t>WOVEN BAG (8102) - SKY BLUE 50KG</t>
        </is>
      </c>
      <c r="BW10" s="9" t="inlineStr">
        <is>
          <t>WOVEN BAG (8103) - BROWN 50KG</t>
        </is>
      </c>
      <c r="BX10" s="9" t="n">
        <v>1</v>
      </c>
      <c r="BY10" s="9" t="n">
        <v>2</v>
      </c>
      <c r="BZ10" s="9" t="n">
        <v>3</v>
      </c>
      <c r="CA10" s="9" t="n">
        <v>4</v>
      </c>
      <c r="CB10" s="9" t="n">
        <v>5</v>
      </c>
      <c r="CC10" s="9" t="n">
        <v>6</v>
      </c>
      <c r="CD10" s="9" t="n">
        <v>7</v>
      </c>
      <c r="CE10" s="9" t="n">
        <v>8</v>
      </c>
    </row>
    <row r="11">
      <c r="A11" s="9" t="inlineStr">
        <is>
          <t>OPENING</t>
        </is>
      </c>
      <c r="B11" s="9" t="n">
        <v>241788.2</v>
      </c>
      <c r="C11" s="9" t="n">
        <v>48748.2</v>
      </c>
      <c r="D11" s="9" t="n">
        <v>49884.99999999999</v>
      </c>
      <c r="E11" s="9" t="n">
        <v>52772.20000000001</v>
      </c>
      <c r="F11" s="9" t="n">
        <v>0</v>
      </c>
      <c r="G11" s="9" t="n">
        <v>34316.69999999999</v>
      </c>
      <c r="H11" s="9" t="n">
        <v>21924.10000000001</v>
      </c>
      <c r="I11" s="9" t="n">
        <v>0</v>
      </c>
      <c r="J11" s="9" t="n">
        <v>3284.5</v>
      </c>
      <c r="K11" s="9" t="n">
        <v>0</v>
      </c>
      <c r="L11" s="9" t="n">
        <v>0</v>
      </c>
      <c r="M11" s="9" t="n">
        <v>0</v>
      </c>
      <c r="N11" s="9" t="n">
        <v>22172.8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3540</v>
      </c>
      <c r="V11" s="9" t="n">
        <v>3960</v>
      </c>
      <c r="W11" s="9" t="n">
        <v>3240</v>
      </c>
      <c r="X11" s="9" t="n">
        <v>0</v>
      </c>
      <c r="Y11" s="9" t="n">
        <v>0</v>
      </c>
      <c r="Z11" s="9" t="n">
        <v>0</v>
      </c>
      <c r="AA11" s="9" t="n">
        <v>5440</v>
      </c>
      <c r="AB11" s="9" t="n">
        <v>5100</v>
      </c>
      <c r="AC11" s="9" t="n">
        <v>16240</v>
      </c>
      <c r="AD11" s="9" t="n">
        <v>13120</v>
      </c>
      <c r="AE11" s="9" t="n">
        <v>6800</v>
      </c>
      <c r="AF11" s="9" t="n">
        <v>5400</v>
      </c>
      <c r="AG11" s="9" t="n">
        <v>2260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1969</v>
      </c>
      <c r="AP11" s="9" t="n">
        <v>0</v>
      </c>
      <c r="AQ11" s="9" t="n">
        <v>0</v>
      </c>
      <c r="AR11" s="9" t="n">
        <v>0</v>
      </c>
      <c r="AS11" s="9" t="n">
        <v>1680.5</v>
      </c>
      <c r="AT11" s="9" t="n">
        <v>0</v>
      </c>
      <c r="AU11" s="9" t="n">
        <v>0</v>
      </c>
      <c r="AV11" s="9" t="n">
        <v>0</v>
      </c>
      <c r="AW11" s="9" t="n">
        <v>160</v>
      </c>
      <c r="AX11" s="9" t="n">
        <v>13.96000000000004</v>
      </c>
      <c r="AY11" s="9" t="n">
        <v>0</v>
      </c>
      <c r="AZ11" s="9" t="n">
        <v>0</v>
      </c>
      <c r="BA11" s="9" t="n">
        <v>207.6</v>
      </c>
      <c r="BB11" s="9" t="n">
        <v>201.8</v>
      </c>
      <c r="BC11" s="9" t="n">
        <v>22.72</v>
      </c>
      <c r="BD11" s="9" t="n">
        <v>0</v>
      </c>
      <c r="BE11" s="9" t="n">
        <v>0</v>
      </c>
      <c r="BF11" s="9" t="n">
        <v>0</v>
      </c>
      <c r="BG11" s="9" t="n">
        <v>270</v>
      </c>
      <c r="BH11" s="9" t="n">
        <v>0</v>
      </c>
      <c r="BI11" s="9" t="n">
        <v>0</v>
      </c>
      <c r="BJ11" s="9" t="n">
        <v>0</v>
      </c>
      <c r="BK11" s="9" t="n">
        <v>0</v>
      </c>
      <c r="BL11" s="9" t="n">
        <v>0</v>
      </c>
      <c r="BM11" s="9" t="n">
        <v>41.60000000000002</v>
      </c>
      <c r="BN11" s="9" t="n">
        <v>0</v>
      </c>
      <c r="BO11" s="9" t="n">
        <v>0</v>
      </c>
      <c r="BP11" s="9" t="n">
        <v>0</v>
      </c>
      <c r="BQ11" s="9" t="n">
        <v>9609</v>
      </c>
      <c r="BR11" s="9" t="n">
        <v>8149</v>
      </c>
      <c r="BS11" s="9" t="n">
        <v>911</v>
      </c>
      <c r="BT11" s="9" t="n">
        <v>6240</v>
      </c>
      <c r="BU11" s="9" t="n">
        <v>1901</v>
      </c>
      <c r="BV11" s="9" t="n">
        <v>1885</v>
      </c>
      <c r="BW11" s="9" t="n">
        <v>0</v>
      </c>
      <c r="BX11" s="9" t="n">
        <v>0</v>
      </c>
      <c r="BY11" s="9" t="n">
        <v>0</v>
      </c>
      <c r="BZ11" s="9" t="n">
        <v>0</v>
      </c>
    </row>
    <row r="12">
      <c r="A12" s="9" t="inlineStr">
        <is>
          <t>INTAKE</t>
        </is>
      </c>
      <c r="B12" s="9" t="n">
        <v>573310</v>
      </c>
      <c r="C12" s="9" t="n">
        <v>337880</v>
      </c>
      <c r="D12" s="9" t="n">
        <v>81220.5</v>
      </c>
      <c r="E12" s="9" t="n">
        <v>19280</v>
      </c>
      <c r="F12" s="9" t="n">
        <v>0</v>
      </c>
      <c r="G12" s="9" t="n">
        <v>30480</v>
      </c>
      <c r="H12" s="9" t="n">
        <v>22150</v>
      </c>
      <c r="I12" s="9" t="n">
        <v>24926.6</v>
      </c>
      <c r="J12" s="9" t="n">
        <v>2000</v>
      </c>
      <c r="K12" s="9" t="n">
        <v>7573.800000000001</v>
      </c>
      <c r="L12" s="9" t="n">
        <v>0</v>
      </c>
      <c r="M12" s="9" t="n">
        <v>86490</v>
      </c>
      <c r="N12" s="9" t="n">
        <v>0</v>
      </c>
      <c r="O12" s="9" t="n">
        <v>2300</v>
      </c>
      <c r="P12" s="9" t="n">
        <v>10200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2000</v>
      </c>
      <c r="W12" s="9" t="n">
        <v>2000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2000</v>
      </c>
      <c r="AE12" s="9" t="n">
        <v>0</v>
      </c>
      <c r="AF12" s="9" t="n">
        <v>0</v>
      </c>
      <c r="AG12" s="9" t="n">
        <v>5340</v>
      </c>
      <c r="AH12" s="9" t="n">
        <v>8775</v>
      </c>
      <c r="AI12" s="9" t="n">
        <v>13230</v>
      </c>
      <c r="AJ12" s="9" t="n">
        <v>0</v>
      </c>
      <c r="AK12" s="9" t="n">
        <v>0</v>
      </c>
      <c r="AL12" s="9" t="n">
        <v>0</v>
      </c>
      <c r="AM12" s="9" t="n">
        <v>0</v>
      </c>
      <c r="AN12" s="9" t="n">
        <v>0</v>
      </c>
      <c r="AO12" s="9" t="n">
        <v>4500</v>
      </c>
      <c r="AP12" s="9" t="n">
        <v>2863.2</v>
      </c>
      <c r="AQ12" s="9" t="n">
        <v>0</v>
      </c>
      <c r="AR12" s="9" t="n">
        <v>3037.3</v>
      </c>
      <c r="AS12" s="9" t="n">
        <v>0</v>
      </c>
      <c r="AT12" s="9" t="n">
        <v>2953.4</v>
      </c>
      <c r="AU12" s="9" t="n">
        <v>0</v>
      </c>
      <c r="AV12" s="9" t="n">
        <v>316</v>
      </c>
      <c r="AW12" s="9" t="n">
        <v>0</v>
      </c>
      <c r="AX12" s="9" t="n">
        <v>0</v>
      </c>
      <c r="AY12" s="9" t="n">
        <v>400</v>
      </c>
      <c r="AZ12" s="9" t="n">
        <v>0</v>
      </c>
      <c r="BA12" s="9" t="n">
        <v>0</v>
      </c>
      <c r="BB12" s="9" t="n">
        <v>0</v>
      </c>
      <c r="BC12" s="9" t="n">
        <v>24.08</v>
      </c>
      <c r="BD12" s="9" t="n">
        <v>0</v>
      </c>
      <c r="BE12" s="9" t="n">
        <v>0</v>
      </c>
      <c r="BF12" s="9" t="n">
        <v>0</v>
      </c>
      <c r="BG12" s="9" t="n">
        <v>0</v>
      </c>
      <c r="BH12" s="9" t="n">
        <v>0</v>
      </c>
      <c r="BI12" s="9" t="n">
        <v>0</v>
      </c>
      <c r="BJ12" s="9" t="n">
        <v>0</v>
      </c>
      <c r="BK12" s="9" t="n">
        <v>0</v>
      </c>
      <c r="BL12" s="9" t="n">
        <v>0</v>
      </c>
      <c r="BM12" s="9" t="n">
        <v>0</v>
      </c>
      <c r="BN12" s="9" t="n">
        <v>0</v>
      </c>
      <c r="BO12" s="9" t="n">
        <v>0</v>
      </c>
      <c r="BP12" s="9" t="n">
        <v>0</v>
      </c>
      <c r="BQ12" s="9" t="n">
        <v>0</v>
      </c>
      <c r="BR12" s="9" t="n">
        <v>0</v>
      </c>
      <c r="BS12" s="9" t="n">
        <v>0</v>
      </c>
      <c r="BT12" s="9" t="n">
        <v>10000</v>
      </c>
      <c r="BU12" s="9" t="n">
        <v>0</v>
      </c>
      <c r="BV12" s="9" t="n">
        <v>707</v>
      </c>
      <c r="BW12" s="9" t="n">
        <v>0</v>
      </c>
      <c r="BX12" s="9" t="n">
        <v>0</v>
      </c>
      <c r="BY12" s="9" t="n">
        <v>0</v>
      </c>
      <c r="BZ12" s="9" t="n">
        <v>0</v>
      </c>
    </row>
    <row r="13">
      <c r="A13" s="9" t="inlineStr">
        <is>
          <t>USAGE</t>
        </is>
      </c>
      <c r="B13" s="9" t="n">
        <v>693552.5999999999</v>
      </c>
      <c r="C13" s="9" t="n">
        <v>320855.5</v>
      </c>
      <c r="D13" s="9" t="n">
        <v>82722</v>
      </c>
      <c r="E13" s="9" t="n">
        <v>37888</v>
      </c>
      <c r="F13" s="9" t="n">
        <v>0</v>
      </c>
      <c r="G13" s="9" t="n">
        <v>16988</v>
      </c>
      <c r="H13" s="9" t="n">
        <v>36564</v>
      </c>
      <c r="I13" s="9" t="n">
        <v>24928</v>
      </c>
      <c r="J13" s="9" t="n">
        <v>4415.299999999999</v>
      </c>
      <c r="K13" s="9" t="n">
        <v>6622.2</v>
      </c>
      <c r="L13" s="9" t="n">
        <v>0</v>
      </c>
      <c r="M13" s="9" t="n">
        <v>31430</v>
      </c>
      <c r="N13" s="9" t="n">
        <v>21860</v>
      </c>
      <c r="O13" s="9" t="n">
        <v>0</v>
      </c>
      <c r="P13" s="9" t="n">
        <v>4500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2920</v>
      </c>
      <c r="V13" s="9" t="n">
        <v>0</v>
      </c>
      <c r="W13" s="9" t="n">
        <v>320</v>
      </c>
      <c r="X13" s="9" t="n">
        <v>0</v>
      </c>
      <c r="Y13" s="9" t="n">
        <v>0</v>
      </c>
      <c r="Z13" s="9" t="n">
        <v>0</v>
      </c>
      <c r="AA13" s="9" t="n">
        <v>1040</v>
      </c>
      <c r="AB13" s="9" t="n">
        <v>0</v>
      </c>
      <c r="AC13" s="9" t="n">
        <v>7760</v>
      </c>
      <c r="AD13" s="9" t="n">
        <v>2000</v>
      </c>
      <c r="AE13" s="9" t="n">
        <v>0</v>
      </c>
      <c r="AF13" s="9" t="n">
        <v>0</v>
      </c>
      <c r="AG13" s="9" t="n">
        <v>3600</v>
      </c>
      <c r="AH13" s="9" t="n">
        <v>6864</v>
      </c>
      <c r="AI13" s="9" t="n">
        <v>2948.4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1677</v>
      </c>
      <c r="AP13" s="9" t="n">
        <v>3462</v>
      </c>
      <c r="AQ13" s="9" t="n">
        <v>0</v>
      </c>
      <c r="AR13" s="9" t="n">
        <v>1089.6</v>
      </c>
      <c r="AS13" s="9" t="n">
        <v>0</v>
      </c>
      <c r="AT13" s="9" t="n">
        <v>2953.4</v>
      </c>
      <c r="AU13" s="9" t="n">
        <v>0</v>
      </c>
      <c r="AV13" s="9" t="n">
        <v>316</v>
      </c>
      <c r="AW13" s="9" t="n">
        <v>60</v>
      </c>
      <c r="AX13" s="9" t="n">
        <v>0</v>
      </c>
      <c r="AY13" s="9" t="n">
        <v>56</v>
      </c>
      <c r="AZ13" s="9" t="n">
        <v>0</v>
      </c>
      <c r="BA13" s="9" t="n">
        <v>0</v>
      </c>
      <c r="BB13" s="9" t="n">
        <v>4.76</v>
      </c>
      <c r="BC13" s="9" t="n">
        <v>0</v>
      </c>
      <c r="BD13" s="9" t="n">
        <v>0</v>
      </c>
      <c r="BE13" s="9" t="n">
        <v>0</v>
      </c>
      <c r="BF13" s="9" t="n">
        <v>0</v>
      </c>
      <c r="BG13" s="9" t="n">
        <v>270</v>
      </c>
      <c r="BH13" s="9" t="n">
        <v>0</v>
      </c>
      <c r="BI13" s="9" t="n">
        <v>0</v>
      </c>
      <c r="BJ13" s="9" t="n">
        <v>0</v>
      </c>
      <c r="BK13" s="9" t="n">
        <v>0</v>
      </c>
      <c r="BL13" s="9" t="n">
        <v>0</v>
      </c>
      <c r="BM13" s="9" t="n">
        <v>0</v>
      </c>
      <c r="BN13" s="9" t="n">
        <v>0</v>
      </c>
      <c r="BO13" s="9" t="n">
        <v>0</v>
      </c>
      <c r="BP13" s="9" t="n">
        <v>0</v>
      </c>
      <c r="BQ13" s="9" t="n">
        <v>2981</v>
      </c>
      <c r="BR13" s="9" t="n">
        <v>1590</v>
      </c>
      <c r="BS13" s="9" t="n">
        <v>321</v>
      </c>
      <c r="BT13" s="9" t="n">
        <v>12849</v>
      </c>
      <c r="BU13" s="9" t="n">
        <v>0</v>
      </c>
      <c r="BV13" s="9" t="n">
        <v>2592</v>
      </c>
      <c r="BW13" s="9" t="n">
        <v>0</v>
      </c>
      <c r="BX13" s="9" t="n">
        <v>0</v>
      </c>
      <c r="BY13" s="9" t="n">
        <v>0</v>
      </c>
      <c r="BZ13" s="9" t="n">
        <v>0</v>
      </c>
    </row>
    <row r="14">
      <c r="A14" s="9" t="inlineStr">
        <is>
          <t>ADJUUSTMENT</t>
        </is>
      </c>
      <c r="B14" s="9" t="n">
        <v>-29930.8</v>
      </c>
      <c r="C14" s="9" t="n">
        <v>-676.1000000000195</v>
      </c>
      <c r="D14" s="9" t="n">
        <v>-10.70000000000562</v>
      </c>
      <c r="E14" s="9" t="n">
        <v>-25.99999999999926</v>
      </c>
      <c r="F14" s="9" t="n">
        <v>0</v>
      </c>
      <c r="G14" s="9" t="n">
        <v>-6.699999999999818</v>
      </c>
      <c r="H14" s="9" t="n">
        <v>-8.300000000001205</v>
      </c>
      <c r="I14" s="9" t="n">
        <v>1.400000000000205</v>
      </c>
      <c r="J14" s="9" t="n">
        <v>-861.1999999999998</v>
      </c>
      <c r="K14" s="9" t="n">
        <v>-951.5999999999999</v>
      </c>
      <c r="L14" s="9" t="n">
        <v>0</v>
      </c>
      <c r="M14" s="9" t="n">
        <v>-7.599999999999909</v>
      </c>
      <c r="N14" s="9" t="n">
        <v>-312.8</v>
      </c>
      <c r="O14" s="9" t="n">
        <v>0</v>
      </c>
      <c r="P14" s="9" t="n">
        <v>-3.200000000000273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320</v>
      </c>
      <c r="X14" s="9" t="n">
        <v>0</v>
      </c>
      <c r="Y14" s="9" t="n">
        <v>0</v>
      </c>
      <c r="Z14" s="9" t="n">
        <v>0</v>
      </c>
      <c r="AA14" s="9" t="n">
        <v>720</v>
      </c>
      <c r="AB14" s="9" t="n">
        <v>0</v>
      </c>
      <c r="AC14" s="9" t="n">
        <v>1760</v>
      </c>
      <c r="AD14" s="9" t="n">
        <v>520</v>
      </c>
      <c r="AE14" s="9" t="n">
        <v>-3480</v>
      </c>
      <c r="AF14" s="9" t="n">
        <v>0</v>
      </c>
      <c r="AG14" s="9" t="n">
        <v>0</v>
      </c>
      <c r="AH14" s="9" t="n">
        <v>-1911</v>
      </c>
      <c r="AI14" s="9" t="n">
        <v>-3742.2</v>
      </c>
      <c r="AJ14" s="9" t="n">
        <v>0</v>
      </c>
      <c r="AK14" s="9" t="n">
        <v>0</v>
      </c>
      <c r="AL14" s="9" t="n">
        <v>0</v>
      </c>
      <c r="BI14" s="9" t="n">
        <v>0</v>
      </c>
      <c r="BJ14" s="9" t="n">
        <v>0</v>
      </c>
      <c r="BK14" s="9" t="n">
        <v>0</v>
      </c>
      <c r="BL14" s="9" t="n">
        <v>0</v>
      </c>
      <c r="BM14" s="9" t="n">
        <v>0</v>
      </c>
      <c r="BN14" s="9" t="n">
        <v>0</v>
      </c>
      <c r="BO14" s="9" t="n">
        <v>0</v>
      </c>
    </row>
    <row r="15">
      <c r="A15" s="9" t="inlineStr">
        <is>
          <t>BALANCE</t>
        </is>
      </c>
      <c r="B15" s="9" t="n">
        <v>91614.80000000002</v>
      </c>
      <c r="C15" s="9" t="n">
        <v>65096.60000000003</v>
      </c>
      <c r="D15" s="9" t="n">
        <v>48372.79999999997</v>
      </c>
      <c r="E15" s="9" t="n">
        <v>34138.20000000002</v>
      </c>
      <c r="F15" s="9" t="n">
        <v>0</v>
      </c>
      <c r="G15" s="9" t="n">
        <v>47801.99999999999</v>
      </c>
      <c r="H15" s="9" t="n">
        <v>7501.800000000005</v>
      </c>
      <c r="I15" s="9" t="n">
        <v>0</v>
      </c>
      <c r="J15" s="9" t="n">
        <v>8.000000000000114</v>
      </c>
      <c r="K15" s="9" t="n">
        <v>0</v>
      </c>
      <c r="L15" s="9" t="n">
        <v>0</v>
      </c>
      <c r="M15" s="9" t="n">
        <v>55052.4</v>
      </c>
      <c r="N15" s="9" t="n">
        <v>-2.842170943040401e-12</v>
      </c>
      <c r="O15" s="9" t="n">
        <v>2300</v>
      </c>
      <c r="P15" s="9" t="n">
        <v>5696.8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620</v>
      </c>
      <c r="V15" s="9" t="n">
        <v>5960</v>
      </c>
      <c r="W15" s="9" t="n">
        <v>5240</v>
      </c>
      <c r="X15" s="9" t="n">
        <v>0</v>
      </c>
      <c r="Y15" s="9" t="n">
        <v>0</v>
      </c>
      <c r="Z15" s="9" t="n">
        <v>0</v>
      </c>
      <c r="AA15" s="9" t="n">
        <v>5120</v>
      </c>
      <c r="AB15" s="9" t="n">
        <v>5100</v>
      </c>
      <c r="AC15" s="9" t="n">
        <v>10240</v>
      </c>
      <c r="AD15" s="9" t="n">
        <v>15120</v>
      </c>
      <c r="AE15" s="9" t="n">
        <v>3320</v>
      </c>
      <c r="AF15" s="9" t="n">
        <v>5400</v>
      </c>
      <c r="AG15" s="9" t="n">
        <v>4000</v>
      </c>
      <c r="AH15" s="9" t="n">
        <v>0</v>
      </c>
      <c r="AI15" s="9" t="n">
        <v>6539.400000000001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4123</v>
      </c>
      <c r="AP15" s="9" t="n">
        <v>0</v>
      </c>
      <c r="AQ15" s="9" t="n">
        <v>0</v>
      </c>
      <c r="AR15" s="9" t="n">
        <v>1947.7</v>
      </c>
      <c r="AS15" s="9" t="n">
        <v>1680.5</v>
      </c>
      <c r="AT15" s="9" t="n">
        <v>0</v>
      </c>
      <c r="AU15" s="9" t="n">
        <v>0</v>
      </c>
      <c r="AV15" s="9" t="n">
        <v>0</v>
      </c>
      <c r="AW15" s="9" t="n">
        <v>100</v>
      </c>
      <c r="AX15" s="9" t="n">
        <v>13.96000000000004</v>
      </c>
      <c r="AY15" s="9" t="n">
        <v>344</v>
      </c>
      <c r="AZ15" s="9" t="n">
        <v>0</v>
      </c>
      <c r="BA15" s="9" t="n">
        <v>207.6</v>
      </c>
      <c r="BB15" s="9" t="n">
        <v>197.04</v>
      </c>
      <c r="BC15" s="9" t="n">
        <v>46.8</v>
      </c>
      <c r="BD15" s="9" t="n">
        <v>0</v>
      </c>
      <c r="BE15" s="9" t="n">
        <v>0</v>
      </c>
      <c r="BF15" s="9" t="n">
        <v>0</v>
      </c>
      <c r="BG15" s="9" t="n">
        <v>0</v>
      </c>
      <c r="BH15" s="9" t="n">
        <v>0</v>
      </c>
      <c r="BI15" s="9" t="n">
        <v>0</v>
      </c>
      <c r="BJ15" s="9" t="n">
        <v>0</v>
      </c>
      <c r="BK15" s="9" t="n">
        <v>0</v>
      </c>
      <c r="BL15" s="9" t="n">
        <v>0</v>
      </c>
      <c r="BM15" s="9" t="n">
        <v>41.60000000000002</v>
      </c>
      <c r="BN15" s="9" t="n">
        <v>0</v>
      </c>
      <c r="BO15" s="9" t="n">
        <v>0</v>
      </c>
      <c r="BP15" s="9" t="n">
        <v>0</v>
      </c>
      <c r="BQ15" s="9" t="n">
        <v>6628</v>
      </c>
      <c r="BR15" s="9" t="n">
        <v>6559</v>
      </c>
      <c r="BS15" s="9" t="n">
        <v>590</v>
      </c>
      <c r="BT15" s="9" t="n">
        <v>3391</v>
      </c>
      <c r="BU15" s="9" t="n">
        <v>1901</v>
      </c>
      <c r="BV15" s="9" t="n">
        <v>0</v>
      </c>
      <c r="BW15" s="9" t="n">
        <v>0</v>
      </c>
      <c r="BX15" s="9" t="n">
        <v>0</v>
      </c>
      <c r="BY15" s="9" t="n">
        <v>0</v>
      </c>
      <c r="BZ15" s="9" t="n">
        <v>0</v>
      </c>
    </row>
    <row r="16"/>
    <row r="17">
      <c r="A17" s="9" t="inlineStr">
        <is>
          <t>MAR</t>
        </is>
      </c>
      <c r="B17" s="9" t="inlineStr">
        <is>
          <t>MAIZE/CORN</t>
        </is>
      </c>
      <c r="C17" s="9" t="inlineStr">
        <is>
          <t>SOYBEAN MEAL (ARG)</t>
        </is>
      </c>
      <c r="D17" s="9" t="inlineStr">
        <is>
          <t>SOYBEAN FULL FAT</t>
        </is>
      </c>
      <c r="E17" s="9" t="inlineStr">
        <is>
          <t>WHEAT POLLARD</t>
        </is>
      </c>
      <c r="F17" s="9" t="inlineStr">
        <is>
          <t>WHEAT</t>
        </is>
      </c>
      <c r="G17" s="9" t="inlineStr">
        <is>
          <t>MEAT AND BONE MEAL</t>
        </is>
      </c>
      <c r="H17" s="9" t="inlineStr">
        <is>
          <t>CORN GLUTEN MEAL</t>
        </is>
      </c>
      <c r="I17" s="9" t="inlineStr">
        <is>
          <t>MEGAFAT (HARUMI)</t>
        </is>
      </c>
      <c r="J17" s="9" t="inlineStr">
        <is>
          <t>DCP 18%</t>
        </is>
      </c>
      <c r="K17" s="9" t="inlineStr">
        <is>
          <t>LIMESTONE POWDER (HARUMI)</t>
        </is>
      </c>
      <c r="L17" s="9" t="inlineStr">
        <is>
          <t>CHOLINE CHLORIDE 60%</t>
        </is>
      </c>
      <c r="M17" s="9" t="inlineStr">
        <is>
          <t>INDUSTRY FLOUR</t>
        </is>
      </c>
      <c r="N17" s="9" t="inlineStr">
        <is>
          <t>RICE BRAN</t>
        </is>
      </c>
      <c r="O17" s="9" t="inlineStr">
        <is>
          <t>EP 200</t>
        </is>
      </c>
      <c r="P17" s="9" t="inlineStr">
        <is>
          <t>SOYTIDE</t>
        </is>
      </c>
      <c r="Q17" s="9" t="inlineStr">
        <is>
          <t>DCP 18% (HARUMI)</t>
        </is>
      </c>
      <c r="R17" s="9" t="n">
        <v>1</v>
      </c>
      <c r="S17" s="9" t="n">
        <v>2</v>
      </c>
      <c r="T17" s="9" t="n">
        <v>3</v>
      </c>
      <c r="U17" s="9" t="inlineStr">
        <is>
          <t>PREMIX 1101 (20KG)</t>
        </is>
      </c>
      <c r="V17" s="9" t="inlineStr">
        <is>
          <t>PREMIX 1102 (20KG)</t>
        </is>
      </c>
      <c r="W17" s="9" t="inlineStr">
        <is>
          <t>PREMIX 1103 (20KG)</t>
        </is>
      </c>
      <c r="X17" s="9" t="inlineStr">
        <is>
          <t>PREMIX 311 (20KG)</t>
        </is>
      </c>
      <c r="Y17" s="9" t="inlineStr">
        <is>
          <t>PREMIX 312 (20KG)</t>
        </is>
      </c>
      <c r="Z17" s="9" t="n">
        <v>1</v>
      </c>
      <c r="AA17" s="9" t="inlineStr">
        <is>
          <t>PREMIX 8100 (20KG)</t>
        </is>
      </c>
      <c r="AB17" s="9" t="inlineStr">
        <is>
          <t>PREMIX 8101 (20KG)</t>
        </is>
      </c>
      <c r="AC17" s="9" t="inlineStr">
        <is>
          <t>PREMIX 8102 (20KG)</t>
        </is>
      </c>
      <c r="AD17" s="9" t="inlineStr">
        <is>
          <t>PREMIX 8103 (20KG)</t>
        </is>
      </c>
      <c r="AE17" s="9" t="inlineStr">
        <is>
          <t>PREMIX 8108 (20KG)</t>
        </is>
      </c>
      <c r="AF17" s="9" t="inlineStr">
        <is>
          <t>PREMIX 8109 (20KG)</t>
        </is>
      </c>
      <c r="AG17" s="9" t="inlineStr">
        <is>
          <t>YENMIX 121 (20KG)</t>
        </is>
      </c>
      <c r="AH17" s="9" t="inlineStr">
        <is>
          <t>YENMIX 122 (19.50KG)</t>
        </is>
      </c>
      <c r="AI17" s="9" t="inlineStr">
        <is>
          <t>YENMIX 123 (18.90KG)</t>
        </is>
      </c>
      <c r="AJ17" s="9" t="inlineStr">
        <is>
          <t>YENMIX 122 (20.50KG)</t>
        </is>
      </c>
      <c r="AK17" s="9" t="inlineStr">
        <is>
          <t>YENMIX 123 (20.00KG)</t>
        </is>
      </c>
      <c r="AL17" s="9" t="n">
        <v>1</v>
      </c>
      <c r="AM17" s="9" t="n">
        <v>2</v>
      </c>
      <c r="AN17" s="9" t="n">
        <v>3</v>
      </c>
      <c r="AO17" s="9" t="inlineStr">
        <is>
          <t>TOXISORB PREMIUM</t>
        </is>
      </c>
      <c r="AP17" s="9" t="inlineStr">
        <is>
          <t>SODIUM HUMATE 3.8% (HARUMI)</t>
        </is>
      </c>
      <c r="AQ17" s="9" t="inlineStr">
        <is>
          <t>TOXIWALL</t>
        </is>
      </c>
      <c r="AR17" s="9" t="inlineStr">
        <is>
          <t>SODIUM BICARBONATE</t>
        </is>
      </c>
      <c r="AS17" s="9" t="inlineStr">
        <is>
          <t>BMD 10%</t>
        </is>
      </c>
      <c r="AT17" s="9" t="inlineStr">
        <is>
          <t>SALT (HARUMI)</t>
        </is>
      </c>
      <c r="AU17" s="9" t="inlineStr">
        <is>
          <t>VISTABET 91</t>
        </is>
      </c>
      <c r="AV17" s="9" t="inlineStr">
        <is>
          <t>BETAFIN</t>
        </is>
      </c>
      <c r="AW17" s="9" t="inlineStr">
        <is>
          <t>8101 TOP UP</t>
        </is>
      </c>
      <c r="AX17" s="9" t="inlineStr">
        <is>
          <t>NORPONIN X03 (8102 TOP UP)</t>
        </is>
      </c>
      <c r="AY17" s="9" t="inlineStr">
        <is>
          <t>8102 TOP UP (4KG)</t>
        </is>
      </c>
      <c r="AZ17" s="9" t="inlineStr">
        <is>
          <t>8103 TOP UP (5KG)</t>
        </is>
      </c>
      <c r="BA17" s="9" t="inlineStr">
        <is>
          <t>L-ARGININE</t>
        </is>
      </c>
      <c r="BB17" s="9" t="inlineStr">
        <is>
          <t>DL-METHIONINE</t>
        </is>
      </c>
      <c r="BC17" s="9" t="inlineStr">
        <is>
          <t>L-THREONINE</t>
        </is>
      </c>
      <c r="BD17" s="9" t="inlineStr">
        <is>
          <t>L-LYSINE</t>
        </is>
      </c>
      <c r="BE17" s="9" t="inlineStr">
        <is>
          <t>FAECES DRY</t>
        </is>
      </c>
      <c r="BF17" s="9" t="inlineStr">
        <is>
          <t>ECOBIOL</t>
        </is>
      </c>
      <c r="BG17" s="9" t="inlineStr">
        <is>
          <t>ADDITIVE BROILER IMMUNE</t>
        </is>
      </c>
      <c r="BH17" s="9" t="inlineStr">
        <is>
          <t>MASTER CUBE (HARUMI)</t>
        </is>
      </c>
      <c r="BI17" s="9" t="inlineStr">
        <is>
          <t>1101 TOP UP (0.40KG)</t>
        </is>
      </c>
      <c r="BJ17" s="9" t="inlineStr">
        <is>
          <t>1102 TOP UP (0.60KG)</t>
        </is>
      </c>
      <c r="BK17" s="9" t="inlineStr">
        <is>
          <t>1103 TOP UP (2.00KG)</t>
        </is>
      </c>
      <c r="BL17" s="9" t="inlineStr">
        <is>
          <t>QUANTUM GLO 4%</t>
        </is>
      </c>
      <c r="BM17" s="9" t="inlineStr">
        <is>
          <t>SALT</t>
        </is>
      </c>
      <c r="BN17" s="9" t="inlineStr">
        <is>
          <t>OC 200 - OXYTET 20%</t>
        </is>
      </c>
      <c r="BO17" s="9" t="n">
        <v>3</v>
      </c>
      <c r="BP17" s="9" t="n">
        <v>4</v>
      </c>
      <c r="BQ17" s="9" t="inlineStr">
        <is>
          <t>WOVEN BAG (1101) - BLUE 50KG</t>
        </is>
      </c>
      <c r="BR17" s="9" t="inlineStr">
        <is>
          <t>WOVEN BAG (1102) - GREEN 50KG</t>
        </is>
      </c>
      <c r="BS17" s="9" t="inlineStr">
        <is>
          <t>WOVEN BAG (1103) - RED 50KG</t>
        </is>
      </c>
      <c r="BT17" s="9" t="inlineStr">
        <is>
          <t>PLAIN BAG 26" X 39" (50KG)</t>
        </is>
      </c>
      <c r="BU17" s="9" t="inlineStr">
        <is>
          <t>WOVEN BAG (8101) - KHAKI 50KG</t>
        </is>
      </c>
      <c r="BV17" s="9" t="inlineStr">
        <is>
          <t>WOVEN BAG (8102) - SKY BLUE 50KG</t>
        </is>
      </c>
      <c r="BW17" s="9" t="inlineStr">
        <is>
          <t>WOVEN BAG (8103) - BROWN 50KG</t>
        </is>
      </c>
      <c r="BX17" s="9" t="n">
        <v>1</v>
      </c>
      <c r="BY17" s="9" t="n">
        <v>2</v>
      </c>
      <c r="BZ17" s="9" t="n">
        <v>3</v>
      </c>
      <c r="CA17" s="9" t="n">
        <v>4</v>
      </c>
      <c r="CB17" s="9" t="n">
        <v>5</v>
      </c>
      <c r="CC17" s="9" t="n">
        <v>6</v>
      </c>
      <c r="CD17" s="9" t="n">
        <v>7</v>
      </c>
      <c r="CE17" s="9" t="n">
        <v>8</v>
      </c>
    </row>
    <row r="18">
      <c r="A18" s="9" t="inlineStr">
        <is>
          <t>OPENING</t>
        </is>
      </c>
      <c r="B18" s="9" t="n">
        <v>91614.80000000002</v>
      </c>
      <c r="C18" s="9" t="n">
        <v>65096.60000000003</v>
      </c>
      <c r="D18" s="9" t="n">
        <v>48372.79999999997</v>
      </c>
      <c r="E18" s="9" t="n">
        <v>34138.20000000002</v>
      </c>
      <c r="F18" s="9" t="n">
        <v>0</v>
      </c>
      <c r="G18" s="9" t="n">
        <v>47801.99999999999</v>
      </c>
      <c r="H18" s="9" t="n">
        <v>7501.800000000005</v>
      </c>
      <c r="I18" s="9" t="n">
        <v>0</v>
      </c>
      <c r="J18" s="9" t="n">
        <v>8.000000000000114</v>
      </c>
      <c r="K18" s="9" t="n">
        <v>0</v>
      </c>
      <c r="L18" s="9" t="n">
        <v>0</v>
      </c>
      <c r="M18" s="9" t="n">
        <v>55052.4</v>
      </c>
      <c r="N18" s="9" t="n">
        <v>-2.842170943040401e-12</v>
      </c>
      <c r="O18" s="9" t="n">
        <v>2300</v>
      </c>
      <c r="P18" s="9" t="n">
        <v>5696.8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620</v>
      </c>
      <c r="V18" s="9" t="n">
        <v>5960</v>
      </c>
      <c r="W18" s="9" t="n">
        <v>5240</v>
      </c>
      <c r="X18" s="9" t="n">
        <v>0</v>
      </c>
      <c r="Y18" s="9" t="n">
        <v>0</v>
      </c>
      <c r="Z18" s="9" t="n">
        <v>0</v>
      </c>
      <c r="AA18" s="9" t="n">
        <v>5120</v>
      </c>
      <c r="AB18" s="9" t="n">
        <v>5100</v>
      </c>
      <c r="AC18" s="9" t="n">
        <v>10240</v>
      </c>
      <c r="AD18" s="9" t="n">
        <v>15120</v>
      </c>
      <c r="AE18" s="9" t="n">
        <v>3320</v>
      </c>
      <c r="AF18" s="9" t="n">
        <v>5400</v>
      </c>
      <c r="AG18" s="9" t="n">
        <v>4000</v>
      </c>
      <c r="AH18" s="9" t="n">
        <v>0</v>
      </c>
      <c r="AI18" s="9" t="n">
        <v>6539.400000000001</v>
      </c>
      <c r="AJ18" s="9" t="n">
        <v>0</v>
      </c>
      <c r="AK18" s="9" t="n">
        <v>0</v>
      </c>
      <c r="AL18" s="9" t="n">
        <v>0</v>
      </c>
      <c r="AM18" s="9" t="n">
        <v>0</v>
      </c>
      <c r="AN18" s="9" t="n">
        <v>0</v>
      </c>
      <c r="AO18" s="9" t="n">
        <v>4123</v>
      </c>
      <c r="AP18" s="9" t="n">
        <v>0</v>
      </c>
      <c r="AQ18" s="9" t="n">
        <v>0</v>
      </c>
      <c r="AR18" s="9" t="n">
        <v>1947.7</v>
      </c>
      <c r="AS18" s="9" t="n">
        <v>1680.5</v>
      </c>
      <c r="AT18" s="9" t="n">
        <v>0</v>
      </c>
      <c r="AU18" s="9" t="n">
        <v>0</v>
      </c>
      <c r="AV18" s="9" t="n">
        <v>0</v>
      </c>
      <c r="AW18" s="9" t="n">
        <v>100</v>
      </c>
      <c r="AX18" s="9" t="n">
        <v>13.96000000000004</v>
      </c>
      <c r="AY18" s="9" t="n">
        <v>344</v>
      </c>
      <c r="AZ18" s="9" t="n">
        <v>0</v>
      </c>
      <c r="BA18" s="9" t="n">
        <v>207.6</v>
      </c>
      <c r="BB18" s="9" t="n">
        <v>197.04</v>
      </c>
      <c r="BC18" s="9" t="n">
        <v>46.8</v>
      </c>
      <c r="BD18" s="9" t="n">
        <v>0</v>
      </c>
      <c r="BE18" s="9" t="n">
        <v>0</v>
      </c>
      <c r="BF18" s="9" t="n">
        <v>0</v>
      </c>
      <c r="BG18" s="9" t="n">
        <v>0</v>
      </c>
      <c r="BH18" s="9" t="n">
        <v>0</v>
      </c>
      <c r="BI18" s="9" t="n">
        <v>0</v>
      </c>
      <c r="BJ18" s="9" t="n">
        <v>0</v>
      </c>
      <c r="BK18" s="9" t="n">
        <v>0</v>
      </c>
      <c r="BL18" s="9" t="n">
        <v>0</v>
      </c>
      <c r="BM18" s="9" t="n">
        <v>41.60000000000002</v>
      </c>
      <c r="BN18" s="9" t="n">
        <v>0</v>
      </c>
      <c r="BO18" s="9" t="n">
        <v>0</v>
      </c>
      <c r="BP18" s="9" t="n">
        <v>0</v>
      </c>
      <c r="BQ18" s="9" t="n">
        <v>6628</v>
      </c>
      <c r="BR18" s="9" t="n">
        <v>6559</v>
      </c>
      <c r="BS18" s="9" t="n">
        <v>590</v>
      </c>
      <c r="BT18" s="9" t="n">
        <v>3391</v>
      </c>
      <c r="BU18" s="9" t="n">
        <v>1901</v>
      </c>
      <c r="BV18" s="9" t="n">
        <v>0</v>
      </c>
      <c r="BW18" s="9" t="n">
        <v>0</v>
      </c>
      <c r="BX18" s="9" t="n">
        <v>0</v>
      </c>
      <c r="BY18" s="9" t="n">
        <v>0</v>
      </c>
      <c r="BZ18" s="9" t="n">
        <v>0</v>
      </c>
    </row>
    <row r="19">
      <c r="A19" s="9" t="inlineStr">
        <is>
          <t>INTAKE</t>
        </is>
      </c>
      <c r="B19" s="9" t="n">
        <v>822130</v>
      </c>
      <c r="C19" s="9" t="n">
        <v>284831.8</v>
      </c>
      <c r="D19" s="9" t="n">
        <v>80280</v>
      </c>
      <c r="E19" s="9" t="n">
        <v>30490</v>
      </c>
      <c r="F19" s="9" t="n">
        <v>0</v>
      </c>
      <c r="G19" s="9" t="n">
        <v>0</v>
      </c>
      <c r="H19" s="9" t="n">
        <v>44369.7</v>
      </c>
      <c r="I19" s="9" t="n">
        <v>33929.6</v>
      </c>
      <c r="J19" s="9" t="n">
        <v>18000</v>
      </c>
      <c r="K19" s="9" t="n">
        <v>9326.799999999999</v>
      </c>
      <c r="L19" s="9" t="n">
        <v>0</v>
      </c>
      <c r="M19" s="9" t="n">
        <v>35280</v>
      </c>
      <c r="N19" s="9" t="n">
        <v>45900</v>
      </c>
      <c r="O19" s="9" t="n">
        <v>4850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4000</v>
      </c>
      <c r="V19" s="9" t="n">
        <v>4000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1440</v>
      </c>
      <c r="AC19" s="9" t="n">
        <v>1300</v>
      </c>
      <c r="AD19" s="9" t="n">
        <v>0</v>
      </c>
      <c r="AE19" s="9" t="n">
        <v>1720</v>
      </c>
      <c r="AF19" s="9" t="n">
        <v>3700</v>
      </c>
      <c r="AG19" s="9" t="n">
        <v>4140</v>
      </c>
      <c r="AH19" s="9" t="n">
        <v>12577.5</v>
      </c>
      <c r="AI19" s="9" t="n">
        <v>8467.199999999999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2000</v>
      </c>
      <c r="AP19" s="9" t="n">
        <v>2478</v>
      </c>
      <c r="AQ19" s="9" t="n">
        <v>2065</v>
      </c>
      <c r="AR19" s="9" t="n">
        <v>3000</v>
      </c>
      <c r="AS19" s="9" t="n">
        <v>0</v>
      </c>
      <c r="AT19" s="9" t="n">
        <v>2160</v>
      </c>
      <c r="AU19" s="9" t="n">
        <v>2000</v>
      </c>
      <c r="AV19" s="9" t="n">
        <v>0</v>
      </c>
      <c r="AW19" s="9" t="n">
        <v>0</v>
      </c>
      <c r="AX19" s="9" t="n">
        <v>0</v>
      </c>
      <c r="AY19" s="9" t="n">
        <v>868</v>
      </c>
      <c r="AZ19" s="9" t="n">
        <v>400</v>
      </c>
      <c r="BA19" s="9" t="n">
        <v>0</v>
      </c>
      <c r="BB19" s="9" t="n">
        <v>0</v>
      </c>
      <c r="BC19" s="9" t="n">
        <v>0</v>
      </c>
      <c r="BD19" s="9" t="n">
        <v>0</v>
      </c>
      <c r="BE19" s="9" t="n">
        <v>0</v>
      </c>
      <c r="BF19" s="9" t="n">
        <v>0</v>
      </c>
      <c r="BG19" s="9" t="n">
        <v>0</v>
      </c>
      <c r="BH19" s="9" t="n">
        <v>0</v>
      </c>
      <c r="BI19" s="9" t="n">
        <v>0</v>
      </c>
      <c r="BJ19" s="9" t="n">
        <v>0</v>
      </c>
      <c r="BK19" s="9" t="n">
        <v>0</v>
      </c>
      <c r="BL19" s="9" t="n">
        <v>0</v>
      </c>
      <c r="BM19" s="9" t="n">
        <v>0</v>
      </c>
      <c r="BN19" s="9" t="n">
        <v>0</v>
      </c>
      <c r="BO19" s="9" t="n">
        <v>0</v>
      </c>
      <c r="BP19" s="9" t="n">
        <v>0</v>
      </c>
      <c r="BQ19" s="9" t="n">
        <v>0</v>
      </c>
      <c r="BR19" s="9" t="n">
        <v>211</v>
      </c>
      <c r="BS19" s="9" t="n">
        <v>6552</v>
      </c>
      <c r="BT19" s="9" t="n">
        <v>8000</v>
      </c>
      <c r="BU19" s="9" t="n">
        <v>0</v>
      </c>
      <c r="BV19" s="9" t="n">
        <v>6459</v>
      </c>
      <c r="BW19" s="9" t="n">
        <v>0</v>
      </c>
      <c r="BX19" s="9" t="n">
        <v>0</v>
      </c>
      <c r="BY19" s="9" t="n">
        <v>0</v>
      </c>
      <c r="BZ19" s="9" t="n">
        <v>0</v>
      </c>
    </row>
    <row r="20">
      <c r="A20" s="9" t="inlineStr">
        <is>
          <t>USAGE</t>
        </is>
      </c>
      <c r="B20" s="9" t="n">
        <v>875753</v>
      </c>
      <c r="C20" s="9" t="n">
        <v>350598</v>
      </c>
      <c r="D20" s="9" t="n">
        <v>108618</v>
      </c>
      <c r="E20" s="9" t="n">
        <v>38304</v>
      </c>
      <c r="F20" s="9" t="n">
        <v>0</v>
      </c>
      <c r="G20" s="9" t="n">
        <v>10569</v>
      </c>
      <c r="H20" s="9" t="n">
        <v>51856</v>
      </c>
      <c r="I20" s="9" t="n">
        <v>33930</v>
      </c>
      <c r="J20" s="9" t="n">
        <v>6718.2</v>
      </c>
      <c r="K20" s="9" t="n">
        <v>11948.8</v>
      </c>
      <c r="L20" s="9" t="n">
        <v>0</v>
      </c>
      <c r="M20" s="9" t="n">
        <v>58460</v>
      </c>
      <c r="N20" s="9" t="n">
        <v>39280</v>
      </c>
      <c r="O20" s="9" t="n">
        <v>0</v>
      </c>
      <c r="P20" s="9" t="n">
        <v>3849.5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2640</v>
      </c>
      <c r="V20" s="9" t="n">
        <v>6680</v>
      </c>
      <c r="W20" s="9" t="n">
        <v>760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3200</v>
      </c>
      <c r="AH20" s="9" t="n">
        <v>6396</v>
      </c>
      <c r="AI20" s="9" t="n">
        <v>12096</v>
      </c>
      <c r="AJ20" s="9" t="n">
        <v>0</v>
      </c>
      <c r="AK20" s="9" t="n">
        <v>0</v>
      </c>
      <c r="AL20" s="9" t="n">
        <v>0</v>
      </c>
      <c r="AM20" s="9" t="n">
        <v>0</v>
      </c>
      <c r="AN20" s="9" t="n">
        <v>0</v>
      </c>
      <c r="AO20" s="9" t="n">
        <v>2308</v>
      </c>
      <c r="AP20" s="9" t="n">
        <v>3384</v>
      </c>
      <c r="AQ20" s="9" t="n">
        <v>50</v>
      </c>
      <c r="AR20" s="9" t="n">
        <v>795.1999999999999</v>
      </c>
      <c r="AS20" s="9" t="n">
        <v>0</v>
      </c>
      <c r="AT20" s="9" t="n">
        <v>2160</v>
      </c>
      <c r="AU20" s="9" t="n">
        <v>1000</v>
      </c>
      <c r="AV20" s="9" t="n">
        <v>0</v>
      </c>
      <c r="AW20" s="9" t="n">
        <v>0</v>
      </c>
      <c r="AX20" s="9" t="n">
        <v>0</v>
      </c>
      <c r="AY20" s="9" t="n">
        <v>0</v>
      </c>
      <c r="AZ20" s="9" t="n">
        <v>0</v>
      </c>
      <c r="BA20" s="9" t="n">
        <v>0</v>
      </c>
      <c r="BB20" s="9" t="n">
        <v>0</v>
      </c>
      <c r="BC20" s="9" t="n">
        <v>0</v>
      </c>
      <c r="BD20" s="9" t="n">
        <v>0</v>
      </c>
      <c r="BE20" s="9" t="n">
        <v>0</v>
      </c>
      <c r="BF20" s="9" t="n">
        <v>0</v>
      </c>
      <c r="BG20" s="9" t="n">
        <v>0</v>
      </c>
      <c r="BH20" s="9" t="n">
        <v>0</v>
      </c>
      <c r="BI20" s="9" t="n">
        <v>0</v>
      </c>
      <c r="BJ20" s="9" t="n">
        <v>0</v>
      </c>
      <c r="BK20" s="9" t="n">
        <v>0</v>
      </c>
      <c r="BL20" s="9" t="n">
        <v>0</v>
      </c>
      <c r="BM20" s="9" t="n">
        <v>0</v>
      </c>
      <c r="BN20" s="9" t="n">
        <v>0</v>
      </c>
      <c r="BO20" s="9" t="n">
        <v>0</v>
      </c>
      <c r="BP20" s="9" t="n">
        <v>0</v>
      </c>
      <c r="BQ20" s="9" t="n">
        <v>2739</v>
      </c>
      <c r="BR20" s="9" t="n">
        <v>6770</v>
      </c>
      <c r="BS20" s="9" t="n">
        <v>793</v>
      </c>
      <c r="BT20" s="9" t="n">
        <v>5402</v>
      </c>
      <c r="BU20" s="9" t="n">
        <v>0</v>
      </c>
      <c r="BV20" s="9" t="n">
        <v>0</v>
      </c>
      <c r="BW20" s="9" t="n">
        <v>0</v>
      </c>
      <c r="BX20" s="9" t="n">
        <v>0</v>
      </c>
      <c r="BY20" s="9" t="n">
        <v>0</v>
      </c>
      <c r="BZ20" s="9" t="n">
        <v>0</v>
      </c>
    </row>
    <row r="21">
      <c r="A21" s="9" t="inlineStr">
        <is>
          <t>ADJUUSTMENT</t>
        </is>
      </c>
      <c r="B21" s="9" t="n">
        <v>-10151.8</v>
      </c>
      <c r="C21" s="9" t="n">
        <v>-0.3999999999941792</v>
      </c>
      <c r="D21" s="9" t="n">
        <v>-16.40000000000356</v>
      </c>
      <c r="E21" s="9" t="n">
        <v>-31.49999999999966</v>
      </c>
      <c r="F21" s="9" t="n">
        <v>0</v>
      </c>
      <c r="G21" s="9" t="n">
        <v>-19846.3</v>
      </c>
      <c r="H21" s="9" t="n">
        <v>-15.50000000000063</v>
      </c>
      <c r="I21" s="9" t="n">
        <v>0.3999999999996362</v>
      </c>
      <c r="J21" s="9" t="n">
        <v>523.1000000000005</v>
      </c>
      <c r="K21" s="9" t="n">
        <v>2622.000000000001</v>
      </c>
      <c r="L21" s="9" t="n">
        <v>0</v>
      </c>
      <c r="M21" s="9" t="n">
        <v>-2.70000000000266</v>
      </c>
      <c r="N21" s="9" t="n">
        <v>38.99999999999866</v>
      </c>
      <c r="O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-1280</v>
      </c>
      <c r="W21" s="9" t="n">
        <v>320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-720</v>
      </c>
      <c r="AH21" s="9" t="n">
        <v>1521</v>
      </c>
      <c r="AI21" s="9" t="n">
        <v>3515.4</v>
      </c>
      <c r="AJ21" s="9" t="n">
        <v>0</v>
      </c>
      <c r="AK21" s="9" t="n">
        <v>0</v>
      </c>
      <c r="AL21" s="9" t="n">
        <v>0</v>
      </c>
      <c r="BI21" s="9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</row>
    <row r="22">
      <c r="A22" s="9" t="inlineStr">
        <is>
          <t>BALANCE</t>
        </is>
      </c>
      <c r="B22" s="9" t="n">
        <v>27839.99999999996</v>
      </c>
      <c r="C22" s="9" t="n">
        <v>-669.9999999999163</v>
      </c>
      <c r="D22" s="9" t="n">
        <v>20018.39999999997</v>
      </c>
      <c r="E22" s="9" t="n">
        <v>26292.70000000002</v>
      </c>
      <c r="F22" s="9" t="n">
        <v>0</v>
      </c>
      <c r="G22" s="9" t="n">
        <v>17386.69999999999</v>
      </c>
      <c r="H22" s="9" t="n">
        <v>1.818989403545856e-12</v>
      </c>
      <c r="I22" s="9" t="n">
        <v>0</v>
      </c>
      <c r="J22" s="9" t="n">
        <v>11812.9</v>
      </c>
      <c r="K22" s="9" t="n">
        <v>0</v>
      </c>
      <c r="L22" s="9" t="n">
        <v>0</v>
      </c>
      <c r="M22" s="9" t="n">
        <v>31869.7</v>
      </c>
      <c r="N22" s="9" t="n">
        <v>6658.999999999995</v>
      </c>
      <c r="O22" s="9" t="n">
        <v>7150</v>
      </c>
      <c r="P22" s="9" t="n">
        <v>1847.3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1980</v>
      </c>
      <c r="V22" s="9" t="n">
        <v>2000</v>
      </c>
      <c r="W22" s="9" t="n">
        <v>4800</v>
      </c>
      <c r="X22" s="9" t="n">
        <v>0</v>
      </c>
      <c r="Y22" s="9" t="n">
        <v>0</v>
      </c>
      <c r="Z22" s="9" t="n">
        <v>0</v>
      </c>
      <c r="AA22" s="9" t="n">
        <v>5120</v>
      </c>
      <c r="AB22" s="9" t="n">
        <v>6540</v>
      </c>
      <c r="AC22" s="9" t="n">
        <v>11540</v>
      </c>
      <c r="AD22" s="9" t="n">
        <v>15120</v>
      </c>
      <c r="AE22" s="9" t="n">
        <v>5040</v>
      </c>
      <c r="AF22" s="9" t="n">
        <v>9100</v>
      </c>
      <c r="AG22" s="9" t="n">
        <v>4220</v>
      </c>
      <c r="AH22" s="9" t="n">
        <v>7702.5</v>
      </c>
      <c r="AI22" s="9" t="n">
        <v>6426</v>
      </c>
      <c r="AJ22" s="9" t="n">
        <v>0</v>
      </c>
      <c r="AK22" s="9" t="n">
        <v>0</v>
      </c>
      <c r="AL22" s="9" t="n">
        <v>0</v>
      </c>
      <c r="AM22" s="9" t="n">
        <v>0</v>
      </c>
      <c r="AN22" s="9" t="n">
        <v>0</v>
      </c>
      <c r="AO22" s="9" t="n">
        <v>4195</v>
      </c>
      <c r="AP22" s="9" t="n">
        <v>0</v>
      </c>
      <c r="AQ22" s="9" t="n">
        <v>2065</v>
      </c>
      <c r="AR22" s="9" t="n">
        <v>4152.5</v>
      </c>
      <c r="AS22" s="9" t="n">
        <v>1680.5</v>
      </c>
      <c r="AT22" s="9" t="n">
        <v>0</v>
      </c>
      <c r="AU22" s="9" t="n">
        <v>1000</v>
      </c>
      <c r="AV22" s="9" t="n">
        <v>0</v>
      </c>
      <c r="AW22" s="9" t="n">
        <v>100</v>
      </c>
      <c r="AX22" s="9" t="n">
        <v>13.96000000000004</v>
      </c>
      <c r="AY22" s="9" t="n">
        <v>1212</v>
      </c>
      <c r="AZ22" s="9" t="n">
        <v>400</v>
      </c>
      <c r="BA22" s="9" t="n">
        <v>207.6</v>
      </c>
      <c r="BB22" s="9" t="n">
        <v>197.04</v>
      </c>
      <c r="BC22" s="9" t="n">
        <v>46.8</v>
      </c>
      <c r="BD22" s="9" t="n">
        <v>0</v>
      </c>
      <c r="BE22" s="9" t="n">
        <v>0</v>
      </c>
      <c r="BF22" s="9" t="n">
        <v>0</v>
      </c>
      <c r="BG22" s="9" t="n">
        <v>0</v>
      </c>
      <c r="BH22" s="9" t="n">
        <v>0</v>
      </c>
      <c r="BI22" s="9" t="n">
        <v>0</v>
      </c>
      <c r="BJ22" s="9" t="n">
        <v>0</v>
      </c>
      <c r="BK22" s="9" t="n">
        <v>0</v>
      </c>
      <c r="BL22" s="9" t="n">
        <v>0</v>
      </c>
      <c r="BM22" s="9" t="n">
        <v>41.60000000000002</v>
      </c>
      <c r="BN22" s="9" t="n">
        <v>0</v>
      </c>
      <c r="BO22" s="9" t="n">
        <v>0</v>
      </c>
      <c r="BP22" s="9" t="n">
        <v>0</v>
      </c>
      <c r="BQ22" s="9" t="n">
        <v>3889</v>
      </c>
      <c r="BR22" s="9" t="n">
        <v>0</v>
      </c>
      <c r="BS22" s="9" t="n">
        <v>6349</v>
      </c>
      <c r="BT22" s="9" t="n">
        <v>5989</v>
      </c>
      <c r="BU22" s="9" t="n">
        <v>1901</v>
      </c>
      <c r="BV22" s="9" t="n">
        <v>6459</v>
      </c>
      <c r="BW22" s="9" t="n">
        <v>0</v>
      </c>
      <c r="BX22" s="9" t="n">
        <v>0</v>
      </c>
      <c r="BY22" s="9" t="n">
        <v>0</v>
      </c>
      <c r="BZ22" s="9" t="n">
        <v>0</v>
      </c>
    </row>
    <row r="23"/>
    <row r="24">
      <c r="A24" s="9" t="inlineStr">
        <is>
          <t>APR</t>
        </is>
      </c>
      <c r="B24" s="9" t="inlineStr">
        <is>
          <t>MAIZE/CORN</t>
        </is>
      </c>
      <c r="C24" s="9" t="inlineStr">
        <is>
          <t>SOYBEAN MEAL (ARG)</t>
        </is>
      </c>
      <c r="D24" s="9" t="inlineStr">
        <is>
          <t>SOYBEAN FULL FAT</t>
        </is>
      </c>
      <c r="E24" s="9" t="inlineStr">
        <is>
          <t>WHEAT POLLARD</t>
        </is>
      </c>
      <c r="F24" s="9" t="inlineStr">
        <is>
          <t>WHEAT</t>
        </is>
      </c>
      <c r="G24" s="9" t="inlineStr">
        <is>
          <t>MEAT AND BONE MEAL</t>
        </is>
      </c>
      <c r="H24" s="9" t="inlineStr">
        <is>
          <t>CORN GLUTEN MEAL</t>
        </is>
      </c>
      <c r="I24" s="9" t="inlineStr">
        <is>
          <t>MEGAFAT (HARUMI)</t>
        </is>
      </c>
      <c r="J24" s="9" t="inlineStr">
        <is>
          <t>DCP 18%</t>
        </is>
      </c>
      <c r="K24" s="9" t="inlineStr">
        <is>
          <t>LIMESTONE POWDER (HARUMI)</t>
        </is>
      </c>
      <c r="L24" s="9" t="inlineStr">
        <is>
          <t>CHOLINE CHLORIDE 60%</t>
        </is>
      </c>
      <c r="M24" s="9" t="inlineStr">
        <is>
          <t>INDUSTRY FLOUR</t>
        </is>
      </c>
      <c r="N24" s="9" t="inlineStr">
        <is>
          <t>RICE BRAN</t>
        </is>
      </c>
      <c r="O24" s="9" t="inlineStr">
        <is>
          <t>EP 200</t>
        </is>
      </c>
      <c r="P24" s="9" t="inlineStr">
        <is>
          <t>SOYTIDE</t>
        </is>
      </c>
      <c r="Q24" s="9" t="inlineStr">
        <is>
          <t>DCP 18% (HARUMI)</t>
        </is>
      </c>
      <c r="R24" s="9" t="n">
        <v>1</v>
      </c>
      <c r="S24" s="9" t="n">
        <v>2</v>
      </c>
      <c r="T24" s="9" t="n">
        <v>3</v>
      </c>
      <c r="U24" s="9" t="inlineStr">
        <is>
          <t>PREMIX 1101 (20KG)</t>
        </is>
      </c>
      <c r="V24" s="9" t="inlineStr">
        <is>
          <t>PREMIX 1102 (20KG)</t>
        </is>
      </c>
      <c r="W24" s="9" t="inlineStr">
        <is>
          <t>PREMIX 1103 (20KG)</t>
        </is>
      </c>
      <c r="X24" s="9" t="inlineStr">
        <is>
          <t>PREMIX 311 (20KG)</t>
        </is>
      </c>
      <c r="Y24" s="9" t="inlineStr">
        <is>
          <t>PREMIX 312 (20KG)</t>
        </is>
      </c>
      <c r="Z24" s="9" t="n">
        <v>1</v>
      </c>
      <c r="AA24" s="9" t="inlineStr">
        <is>
          <t>PREMIX 8100 (20KG)</t>
        </is>
      </c>
      <c r="AB24" s="9" t="inlineStr">
        <is>
          <t>PREMIX 8101 (20KG)</t>
        </is>
      </c>
      <c r="AC24" s="9" t="inlineStr">
        <is>
          <t>PREMIX 8102 (20KG)</t>
        </is>
      </c>
      <c r="AD24" s="9" t="inlineStr">
        <is>
          <t>PREMIX 8103 (20KG)</t>
        </is>
      </c>
      <c r="AE24" s="9" t="inlineStr">
        <is>
          <t>PREMIX 8108 (20KG)</t>
        </is>
      </c>
      <c r="AF24" s="9" t="inlineStr">
        <is>
          <t>PREMIX 8109 (20KG)</t>
        </is>
      </c>
      <c r="AG24" s="9" t="inlineStr">
        <is>
          <t>YENMIX 121 (20KG)</t>
        </is>
      </c>
      <c r="AH24" s="9" t="inlineStr">
        <is>
          <t>YENMIX 122 (19.50KG)</t>
        </is>
      </c>
      <c r="AI24" s="9" t="inlineStr">
        <is>
          <t>YENMIX 123 (18.90KG)</t>
        </is>
      </c>
      <c r="AJ24" s="9" t="inlineStr">
        <is>
          <t>YENMIX 122 (20.50KG)</t>
        </is>
      </c>
      <c r="AK24" s="9" t="inlineStr">
        <is>
          <t>YENMIX 123 (20.00KG)</t>
        </is>
      </c>
      <c r="AL24" s="9" t="n">
        <v>1</v>
      </c>
      <c r="AM24" s="9" t="n">
        <v>2</v>
      </c>
      <c r="AN24" s="9" t="n">
        <v>3</v>
      </c>
      <c r="AO24" s="9" t="inlineStr">
        <is>
          <t>TOXISORB PREMIUM</t>
        </is>
      </c>
      <c r="AP24" s="9" t="inlineStr">
        <is>
          <t>SODIUM HUMATE 3.8% (HARUMI)</t>
        </is>
      </c>
      <c r="AQ24" s="9" t="inlineStr">
        <is>
          <t>TOXIWALL</t>
        </is>
      </c>
      <c r="AR24" s="9" t="inlineStr">
        <is>
          <t>SODIUM BICARBONATE</t>
        </is>
      </c>
      <c r="AS24" s="9" t="inlineStr">
        <is>
          <t>BMD 10%</t>
        </is>
      </c>
      <c r="AT24" s="9" t="inlineStr">
        <is>
          <t>SALT (HARUMI)</t>
        </is>
      </c>
      <c r="AU24" s="9" t="inlineStr">
        <is>
          <t>VISTABET 91</t>
        </is>
      </c>
      <c r="AV24" s="9" t="inlineStr">
        <is>
          <t>BETAFIN</t>
        </is>
      </c>
      <c r="AW24" s="9" t="inlineStr">
        <is>
          <t>8101 TOP UP</t>
        </is>
      </c>
      <c r="AX24" s="9" t="inlineStr">
        <is>
          <t>NORPONIN X03 (8102 TOP UP)</t>
        </is>
      </c>
      <c r="AY24" s="9" t="inlineStr">
        <is>
          <t>8102 TOP UP (4KG)</t>
        </is>
      </c>
      <c r="AZ24" s="9" t="inlineStr">
        <is>
          <t>8103 TOP UP (5KG)</t>
        </is>
      </c>
      <c r="BA24" s="9" t="inlineStr">
        <is>
          <t>L-ARGININE</t>
        </is>
      </c>
      <c r="BB24" s="9" t="inlineStr">
        <is>
          <t>DL-METHIONINE</t>
        </is>
      </c>
      <c r="BC24" s="9" t="inlineStr">
        <is>
          <t>L-THREONINE</t>
        </is>
      </c>
      <c r="BD24" s="9" t="inlineStr">
        <is>
          <t>L-LYSINE</t>
        </is>
      </c>
      <c r="BE24" s="9" t="inlineStr">
        <is>
          <t>FAECES DRY</t>
        </is>
      </c>
      <c r="BF24" s="9" t="inlineStr">
        <is>
          <t>ECOBIOL</t>
        </is>
      </c>
      <c r="BG24" s="9" t="inlineStr">
        <is>
          <t>ADDITIVE BROILER IMMUNE</t>
        </is>
      </c>
      <c r="BH24" s="9" t="inlineStr">
        <is>
          <t>MASTER CUBE (HARUMI)</t>
        </is>
      </c>
      <c r="BI24" s="9" t="inlineStr">
        <is>
          <t>1101 TOP UP (0.40KG)</t>
        </is>
      </c>
      <c r="BJ24" s="9" t="inlineStr">
        <is>
          <t>1102 TOP UP (0.60KG)</t>
        </is>
      </c>
      <c r="BK24" s="9" t="inlineStr">
        <is>
          <t>1103 TOP UP (2.00KG)</t>
        </is>
      </c>
      <c r="BL24" s="9" t="inlineStr">
        <is>
          <t>QUANTUM GLO 4%</t>
        </is>
      </c>
      <c r="BM24" s="9" t="inlineStr">
        <is>
          <t>SALT</t>
        </is>
      </c>
      <c r="BN24" s="9" t="inlineStr">
        <is>
          <t>OC 200 - OXYTET 20%</t>
        </is>
      </c>
      <c r="BO24" s="9" t="n">
        <v>3</v>
      </c>
      <c r="BP24" s="9" t="n">
        <v>4</v>
      </c>
      <c r="BQ24" s="9" t="inlineStr">
        <is>
          <t>WOVEN BAG (1101) - BLUE 50KG</t>
        </is>
      </c>
      <c r="BR24" s="9" t="inlineStr">
        <is>
          <t>WOVEN BAG (1102) - GREEN 50KG</t>
        </is>
      </c>
      <c r="BS24" s="9" t="inlineStr">
        <is>
          <t>WOVEN BAG (1103) - RED 50KG</t>
        </is>
      </c>
      <c r="BT24" s="9" t="inlineStr">
        <is>
          <t>PLAIN BAG 26" X 39" (50KG)</t>
        </is>
      </c>
      <c r="BU24" s="9" t="inlineStr">
        <is>
          <t>WOVEN BAG (8101) - KHAKI 50KG</t>
        </is>
      </c>
      <c r="BV24" s="9" t="inlineStr">
        <is>
          <t>WOVEN BAG (8102) - SKY BLUE 50KG</t>
        </is>
      </c>
      <c r="BW24" s="9" t="inlineStr">
        <is>
          <t>WOVEN BAG (8103) - BROWN 50KG</t>
        </is>
      </c>
      <c r="BX24" s="9" t="n">
        <v>1</v>
      </c>
      <c r="BY24" s="9" t="n">
        <v>2</v>
      </c>
      <c r="BZ24" s="9" t="n">
        <v>3</v>
      </c>
      <c r="CA24" s="9" t="n">
        <v>4</v>
      </c>
      <c r="CB24" s="9" t="n">
        <v>5</v>
      </c>
      <c r="CC24" s="9" t="n">
        <v>6</v>
      </c>
      <c r="CD24" s="9" t="n">
        <v>7</v>
      </c>
      <c r="CE24" s="9" t="n">
        <v>8</v>
      </c>
    </row>
    <row r="25">
      <c r="A25" s="9" t="inlineStr">
        <is>
          <t>OPENING</t>
        </is>
      </c>
      <c r="B25" s="9" t="n">
        <v>27839.99999999996</v>
      </c>
      <c r="C25" s="9" t="n">
        <v>-669.9999999999163</v>
      </c>
      <c r="D25" s="9" t="n">
        <v>20018.39999999997</v>
      </c>
      <c r="E25" s="9" t="n">
        <v>26292.70000000002</v>
      </c>
      <c r="F25" s="9" t="n">
        <v>0</v>
      </c>
      <c r="G25" s="9" t="n">
        <v>17386.69999999999</v>
      </c>
      <c r="H25" s="9" t="n">
        <v>1.818989403545856e-12</v>
      </c>
      <c r="I25" s="9" t="n">
        <v>0</v>
      </c>
      <c r="J25" s="9" t="n">
        <v>11812.9</v>
      </c>
      <c r="K25" s="9" t="n">
        <v>0</v>
      </c>
      <c r="L25" s="9" t="n">
        <v>0</v>
      </c>
      <c r="M25" s="9" t="n">
        <v>31869.7</v>
      </c>
      <c r="N25" s="9" t="n">
        <v>6658.999999999995</v>
      </c>
      <c r="O25" s="9" t="n">
        <v>7150</v>
      </c>
      <c r="P25" s="9" t="n">
        <v>1847.3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1980</v>
      </c>
      <c r="V25" s="9" t="n">
        <v>2000</v>
      </c>
      <c r="W25" s="9" t="n">
        <v>4800</v>
      </c>
      <c r="X25" s="9" t="n">
        <v>0</v>
      </c>
      <c r="Y25" s="9" t="n">
        <v>0</v>
      </c>
      <c r="Z25" s="9" t="n">
        <v>0</v>
      </c>
      <c r="AA25" s="9" t="n">
        <v>5120</v>
      </c>
      <c r="AB25" s="9" t="n">
        <v>6540</v>
      </c>
      <c r="AC25" s="9" t="n">
        <v>11540</v>
      </c>
      <c r="AD25" s="9" t="n">
        <v>15120</v>
      </c>
      <c r="AE25" s="9" t="n">
        <v>5040</v>
      </c>
      <c r="AF25" s="9" t="n">
        <v>9100</v>
      </c>
      <c r="AG25" s="9" t="n">
        <v>4220</v>
      </c>
      <c r="AH25" s="9" t="n">
        <v>7702.5</v>
      </c>
      <c r="AI25" s="9" t="n">
        <v>6426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4195</v>
      </c>
      <c r="AP25" s="9" t="n">
        <v>0</v>
      </c>
      <c r="AQ25" s="9" t="n">
        <v>2065</v>
      </c>
      <c r="AR25" s="9" t="n">
        <v>4152.5</v>
      </c>
      <c r="AS25" s="9" t="n">
        <v>1680.5</v>
      </c>
      <c r="AT25" s="9" t="n">
        <v>0</v>
      </c>
      <c r="AU25" s="9" t="n">
        <v>1000</v>
      </c>
      <c r="AV25" s="9" t="n">
        <v>0</v>
      </c>
      <c r="AW25" s="9" t="n">
        <v>100</v>
      </c>
      <c r="AX25" s="9" t="n">
        <v>13.96000000000004</v>
      </c>
      <c r="AY25" s="9" t="n">
        <v>1212</v>
      </c>
      <c r="AZ25" s="9" t="n">
        <v>400</v>
      </c>
      <c r="BA25" s="9" t="n">
        <v>207.6</v>
      </c>
      <c r="BB25" s="9" t="n">
        <v>197.04</v>
      </c>
      <c r="BC25" s="9" t="n">
        <v>46.8</v>
      </c>
      <c r="BD25" s="9" t="n">
        <v>0</v>
      </c>
      <c r="BE25" s="9" t="n">
        <v>0</v>
      </c>
      <c r="BF25" s="9" t="n">
        <v>0</v>
      </c>
      <c r="BG25" s="9" t="n">
        <v>0</v>
      </c>
      <c r="BH25" s="9" t="n">
        <v>0</v>
      </c>
      <c r="BI25" s="9" t="n">
        <v>0</v>
      </c>
      <c r="BJ25" s="9" t="n">
        <v>0</v>
      </c>
      <c r="BK25" s="9" t="n">
        <v>0</v>
      </c>
      <c r="BL25" s="9" t="n">
        <v>0</v>
      </c>
      <c r="BM25" s="9" t="n">
        <v>41.60000000000002</v>
      </c>
      <c r="BN25" s="9" t="n">
        <v>0</v>
      </c>
      <c r="BO25" s="9" t="n">
        <v>0</v>
      </c>
      <c r="BP25" s="9" t="n">
        <v>0</v>
      </c>
      <c r="BQ25" s="9" t="n">
        <v>3889</v>
      </c>
      <c r="BR25" s="9" t="n">
        <v>0</v>
      </c>
      <c r="BS25" s="9" t="n">
        <v>6349</v>
      </c>
      <c r="BT25" s="9" t="n">
        <v>5989</v>
      </c>
      <c r="BU25" s="9" t="n">
        <v>1901</v>
      </c>
      <c r="BV25" s="9" t="n">
        <v>6459</v>
      </c>
      <c r="BW25" s="9" t="n">
        <v>0</v>
      </c>
      <c r="BX25" s="9" t="n">
        <v>0</v>
      </c>
      <c r="BY25" s="9" t="n">
        <v>0</v>
      </c>
      <c r="BZ25" s="9" t="n">
        <v>0</v>
      </c>
    </row>
    <row r="26">
      <c r="A26" s="9" t="inlineStr">
        <is>
          <t>INTAKE</t>
        </is>
      </c>
      <c r="B26" s="9" t="n">
        <v>940890</v>
      </c>
      <c r="C26" s="9" t="n">
        <v>397200</v>
      </c>
      <c r="D26" s="9" t="n">
        <v>105360</v>
      </c>
      <c r="E26" s="9" t="n">
        <v>27580</v>
      </c>
      <c r="F26" s="9" t="n">
        <v>0</v>
      </c>
      <c r="G26" s="9" t="n">
        <v>29980</v>
      </c>
      <c r="H26" s="9" t="n">
        <v>78817.39999999999</v>
      </c>
      <c r="I26" s="9" t="n">
        <v>30613.6</v>
      </c>
      <c r="J26" s="9" t="n">
        <v>0</v>
      </c>
      <c r="K26" s="9" t="n">
        <v>12106.88</v>
      </c>
      <c r="L26" s="9" t="n">
        <v>0</v>
      </c>
      <c r="M26" s="9" t="n">
        <v>35420</v>
      </c>
      <c r="N26" s="9" t="n">
        <v>68870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1980</v>
      </c>
      <c r="V26" s="9" t="n">
        <v>8000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2000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1950</v>
      </c>
      <c r="AI26" s="9" t="n">
        <v>0</v>
      </c>
      <c r="AJ26" s="9" t="n">
        <v>8610</v>
      </c>
      <c r="AK26" s="9" t="n">
        <v>4000</v>
      </c>
      <c r="AL26" s="9" t="n">
        <v>0</v>
      </c>
      <c r="AM26" s="9" t="n">
        <v>0</v>
      </c>
      <c r="AN26" s="9" t="n">
        <v>0</v>
      </c>
      <c r="AO26" s="9" t="n">
        <v>0</v>
      </c>
      <c r="AP26" s="9" t="n">
        <v>3360</v>
      </c>
      <c r="AQ26" s="9" t="n">
        <v>0</v>
      </c>
      <c r="AR26" s="9" t="n">
        <v>0</v>
      </c>
      <c r="AS26" s="9" t="n">
        <v>0</v>
      </c>
      <c r="AT26" s="9" t="n">
        <v>2629</v>
      </c>
      <c r="AU26" s="9" t="n">
        <v>0</v>
      </c>
      <c r="AV26" s="9" t="n">
        <v>0</v>
      </c>
      <c r="AW26" s="9" t="n">
        <v>0</v>
      </c>
      <c r="AX26" s="9" t="n">
        <v>0</v>
      </c>
      <c r="AY26" s="9" t="n">
        <v>0</v>
      </c>
      <c r="AZ26" s="9" t="n">
        <v>0</v>
      </c>
      <c r="BA26" s="9" t="n">
        <v>0</v>
      </c>
      <c r="BB26" s="9" t="n">
        <v>0</v>
      </c>
      <c r="BC26" s="9" t="n">
        <v>0</v>
      </c>
      <c r="BD26" s="9" t="n">
        <v>0</v>
      </c>
      <c r="BE26" s="9" t="n">
        <v>125</v>
      </c>
      <c r="BF26" s="9" t="n">
        <v>200</v>
      </c>
      <c r="BG26" s="9" t="n">
        <v>0</v>
      </c>
      <c r="BH26" s="9" t="n">
        <v>0</v>
      </c>
      <c r="BI26" s="9" t="n">
        <v>0</v>
      </c>
      <c r="BJ26" s="9" t="n">
        <v>0</v>
      </c>
      <c r="BK26" s="9" t="n">
        <v>0</v>
      </c>
      <c r="BL26" s="9" t="n">
        <v>0</v>
      </c>
      <c r="BM26" s="9" t="n">
        <v>0</v>
      </c>
      <c r="BN26" s="9" t="n">
        <v>0</v>
      </c>
      <c r="BO26" s="9" t="n">
        <v>0</v>
      </c>
      <c r="BP26" s="9" t="n">
        <v>0</v>
      </c>
      <c r="BQ26" s="9" t="n">
        <v>0</v>
      </c>
      <c r="BR26" s="9" t="n">
        <v>8000</v>
      </c>
      <c r="BS26" s="9" t="n">
        <v>8712</v>
      </c>
      <c r="BT26" s="9" t="n">
        <v>2000</v>
      </c>
      <c r="BU26" s="9" t="n">
        <v>0</v>
      </c>
      <c r="BV26" s="9" t="n">
        <v>0</v>
      </c>
      <c r="BW26" s="9" t="n">
        <v>0</v>
      </c>
      <c r="BX26" s="9" t="n">
        <v>0</v>
      </c>
      <c r="BY26" s="9" t="n">
        <v>0</v>
      </c>
      <c r="BZ26" s="9" t="n">
        <v>0</v>
      </c>
    </row>
    <row r="27">
      <c r="A27" s="9" t="inlineStr">
        <is>
          <t>USAGE</t>
        </is>
      </c>
      <c r="B27" s="9" t="n">
        <v>800374.2200000001</v>
      </c>
      <c r="C27" s="9" t="n">
        <v>333251.3199999999</v>
      </c>
      <c r="D27" s="9" t="n">
        <v>94650.28</v>
      </c>
      <c r="E27" s="9" t="n">
        <v>40808</v>
      </c>
      <c r="F27" s="9" t="n">
        <v>0</v>
      </c>
      <c r="G27" s="9" t="n">
        <v>9978</v>
      </c>
      <c r="H27" s="9" t="n">
        <v>49268</v>
      </c>
      <c r="I27" s="9" t="n">
        <v>31115.28</v>
      </c>
      <c r="J27" s="9" t="n">
        <v>5731.5</v>
      </c>
      <c r="K27" s="9" t="n">
        <v>10832.36</v>
      </c>
      <c r="L27" s="9" t="n">
        <v>0</v>
      </c>
      <c r="M27" s="9" t="n">
        <v>43114.72</v>
      </c>
      <c r="N27" s="9" t="n">
        <v>32588</v>
      </c>
      <c r="O27" s="9" t="n">
        <v>800</v>
      </c>
      <c r="P27" s="9" t="n">
        <v>1847.3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1520</v>
      </c>
      <c r="V27" s="9" t="n">
        <v>7040</v>
      </c>
      <c r="W27" s="9" t="n">
        <v>1520</v>
      </c>
      <c r="X27" s="9" t="n">
        <v>0</v>
      </c>
      <c r="Y27" s="9" t="n">
        <v>0</v>
      </c>
      <c r="Z27" s="9" t="n">
        <v>0</v>
      </c>
      <c r="AA27" s="9" t="n">
        <v>760</v>
      </c>
      <c r="AB27" s="9" t="n">
        <v>0</v>
      </c>
      <c r="AC27" s="9" t="n">
        <v>0</v>
      </c>
      <c r="AD27" s="9" t="n">
        <v>0</v>
      </c>
      <c r="AE27" s="9" t="n">
        <v>960</v>
      </c>
      <c r="AF27" s="9" t="n">
        <v>0</v>
      </c>
      <c r="AG27" s="9" t="n">
        <v>2400</v>
      </c>
      <c r="AH27" s="9" t="n">
        <v>10023</v>
      </c>
      <c r="AI27" s="9" t="n">
        <v>3628.8</v>
      </c>
      <c r="AJ27" s="9" t="n">
        <v>1558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407</v>
      </c>
      <c r="AP27" s="9" t="n">
        <v>2964</v>
      </c>
      <c r="AQ27" s="9" t="n">
        <v>834</v>
      </c>
      <c r="AR27" s="9" t="n">
        <v>1029.6</v>
      </c>
      <c r="AS27" s="9" t="n">
        <v>0</v>
      </c>
      <c r="AT27" s="9" t="n">
        <v>2629</v>
      </c>
      <c r="AU27" s="9" t="n">
        <v>18</v>
      </c>
      <c r="AV27" s="9" t="n">
        <v>0</v>
      </c>
      <c r="AW27" s="9" t="n">
        <v>0</v>
      </c>
      <c r="AX27" s="9" t="n">
        <v>0</v>
      </c>
      <c r="AY27" s="9" t="n">
        <v>616</v>
      </c>
      <c r="AZ27" s="9" t="n">
        <v>0</v>
      </c>
      <c r="BA27" s="9" t="n">
        <v>0</v>
      </c>
      <c r="BB27" s="9" t="n">
        <v>50</v>
      </c>
      <c r="BC27" s="9" t="n">
        <v>0</v>
      </c>
      <c r="BD27" s="9" t="n">
        <v>0</v>
      </c>
      <c r="BE27" s="9" t="n">
        <v>100.8</v>
      </c>
      <c r="BF27" s="9" t="n">
        <v>168</v>
      </c>
      <c r="BG27" s="9" t="n">
        <v>0</v>
      </c>
      <c r="BH27" s="9" t="n">
        <v>0</v>
      </c>
      <c r="BI27" s="9" t="n">
        <v>0</v>
      </c>
      <c r="BJ27" s="9" t="n">
        <v>0</v>
      </c>
      <c r="BK27" s="9" t="n">
        <v>0</v>
      </c>
      <c r="BL27" s="9" t="n">
        <v>0</v>
      </c>
      <c r="BM27" s="9" t="n">
        <v>0</v>
      </c>
      <c r="BN27" s="9" t="n">
        <v>0</v>
      </c>
      <c r="BO27" s="9" t="n">
        <v>0</v>
      </c>
      <c r="BP27" s="9" t="n">
        <v>0</v>
      </c>
      <c r="BQ27" s="9" t="n">
        <v>1572</v>
      </c>
      <c r="BR27" s="9" t="n">
        <v>7224</v>
      </c>
      <c r="BS27" s="9" t="n">
        <v>1606</v>
      </c>
      <c r="BT27" s="9" t="n">
        <v>6508</v>
      </c>
      <c r="BU27" s="9" t="n">
        <v>0</v>
      </c>
      <c r="BV27" s="9" t="n">
        <v>0</v>
      </c>
      <c r="BW27" s="9" t="n">
        <v>0</v>
      </c>
      <c r="BX27" s="9" t="n">
        <v>0</v>
      </c>
      <c r="BY27" s="9" t="n">
        <v>0</v>
      </c>
      <c r="BZ27" s="9" t="n">
        <v>0</v>
      </c>
    </row>
    <row r="28">
      <c r="A28" s="9" t="inlineStr">
        <is>
          <t>ADJUUSTMENT</t>
        </is>
      </c>
      <c r="B28" s="9" t="n">
        <v>12.6199999999817</v>
      </c>
      <c r="C28" s="9" t="n">
        <v>-2.880000000001473</v>
      </c>
      <c r="D28" s="9" t="n">
        <v>289.0799999999936</v>
      </c>
      <c r="E28" s="9" t="n">
        <v>-32.20000000000016</v>
      </c>
      <c r="F28" s="9" t="n">
        <v>0</v>
      </c>
      <c r="G28" s="9" t="n">
        <v>-1.500000000000057</v>
      </c>
      <c r="H28" s="9" t="n">
        <v>-12.20000000000118</v>
      </c>
      <c r="I28" s="9" t="n">
        <v>501.6799999999998</v>
      </c>
      <c r="J28" s="9" t="n">
        <v>-232.5999999999999</v>
      </c>
      <c r="K28" s="9" t="n">
        <v>-1274.52</v>
      </c>
      <c r="L28" s="9" t="n">
        <v>0</v>
      </c>
      <c r="M28" s="9" t="n">
        <v>-16.67999999999995</v>
      </c>
      <c r="N28" s="9" t="n">
        <v>-1.400000000000048</v>
      </c>
      <c r="O28" s="9" t="n">
        <v>-550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-320</v>
      </c>
      <c r="V28" s="9" t="n">
        <v>680</v>
      </c>
      <c r="W28" s="9" t="n">
        <v>-1200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-2120</v>
      </c>
      <c r="AF28" s="9" t="n">
        <v>0</v>
      </c>
      <c r="AG28" s="9" t="n">
        <v>720</v>
      </c>
      <c r="AH28" s="9" t="n">
        <v>390</v>
      </c>
      <c r="AI28" s="9" t="n">
        <v>-718.1999999999998</v>
      </c>
      <c r="AJ28" s="9" t="n">
        <v>-902</v>
      </c>
      <c r="AK28" s="9" t="n">
        <v>0</v>
      </c>
      <c r="AL28" s="9" t="n">
        <v>0</v>
      </c>
      <c r="BI28" s="9" t="n">
        <v>0</v>
      </c>
      <c r="BJ28" s="9" t="n">
        <v>0</v>
      </c>
      <c r="BK28" s="9" t="n">
        <v>0</v>
      </c>
      <c r="BL28" s="9" t="n">
        <v>0</v>
      </c>
      <c r="BM28" s="9" t="n">
        <v>0</v>
      </c>
      <c r="BN28" s="9" t="n">
        <v>0</v>
      </c>
      <c r="BO28" s="9" t="n">
        <v>0</v>
      </c>
    </row>
    <row r="29">
      <c r="A29" s="9" t="inlineStr">
        <is>
          <t>BALANCE</t>
        </is>
      </c>
      <c r="B29" s="9" t="n">
        <v>168368.4000000001</v>
      </c>
      <c r="C29" s="9" t="n">
        <v>63275.80000000009</v>
      </c>
      <c r="D29" s="9" t="n">
        <v>31017.19999999997</v>
      </c>
      <c r="E29" s="9" t="n">
        <v>13032.50000000002</v>
      </c>
      <c r="F29" s="9" t="n">
        <v>0</v>
      </c>
      <c r="G29" s="9" t="n">
        <v>37387.2</v>
      </c>
      <c r="H29" s="9" t="n">
        <v>29537.19999999999</v>
      </c>
      <c r="I29" s="9" t="n">
        <v>0</v>
      </c>
      <c r="J29" s="9" t="n">
        <v>5848.799999999999</v>
      </c>
      <c r="K29" s="9" t="n">
        <v>0</v>
      </c>
      <c r="L29" s="9" t="n">
        <v>0</v>
      </c>
      <c r="M29" s="9" t="n">
        <v>24158.3</v>
      </c>
      <c r="N29" s="9" t="n">
        <v>42939.59999999998</v>
      </c>
      <c r="O29" s="9" t="n">
        <v>5800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2120</v>
      </c>
      <c r="V29" s="9" t="n">
        <v>3640</v>
      </c>
      <c r="W29" s="9" t="n">
        <v>2080</v>
      </c>
      <c r="X29" s="9" t="n">
        <v>0</v>
      </c>
      <c r="Y29" s="9" t="n">
        <v>0</v>
      </c>
      <c r="Z29" s="9" t="n">
        <v>0</v>
      </c>
      <c r="AA29" s="9" t="n">
        <v>6360</v>
      </c>
      <c r="AB29" s="9" t="n">
        <v>6540</v>
      </c>
      <c r="AC29" s="9" t="n">
        <v>11540</v>
      </c>
      <c r="AD29" s="9" t="n">
        <v>15120</v>
      </c>
      <c r="AE29" s="9" t="n">
        <v>1960</v>
      </c>
      <c r="AF29" s="9" t="n">
        <v>9100</v>
      </c>
      <c r="AG29" s="9" t="n">
        <v>2540</v>
      </c>
      <c r="AH29" s="9" t="n">
        <v>19.5</v>
      </c>
      <c r="AI29" s="9" t="n">
        <v>2079</v>
      </c>
      <c r="AJ29" s="9" t="n">
        <v>6150</v>
      </c>
      <c r="AK29" s="9" t="n">
        <v>4000</v>
      </c>
      <c r="AL29" s="9" t="n">
        <v>0</v>
      </c>
      <c r="AM29" s="9" t="n">
        <v>0</v>
      </c>
      <c r="AN29" s="9" t="n">
        <v>0</v>
      </c>
      <c r="AO29" s="9" t="n">
        <v>3903</v>
      </c>
      <c r="AP29" s="9" t="n">
        <v>0</v>
      </c>
      <c r="AQ29" s="9" t="n">
        <v>1137</v>
      </c>
      <c r="AR29" s="9" t="n">
        <v>3122.9</v>
      </c>
      <c r="AS29" s="9" t="n">
        <v>1680.5</v>
      </c>
      <c r="AT29" s="9" t="n">
        <v>0</v>
      </c>
      <c r="AU29" s="9" t="n">
        <v>982</v>
      </c>
      <c r="AV29" s="9" t="n">
        <v>0</v>
      </c>
      <c r="AW29" s="9" t="n">
        <v>100</v>
      </c>
      <c r="AX29" s="9" t="n">
        <v>13.96000000000004</v>
      </c>
      <c r="AY29" s="9" t="n">
        <v>596</v>
      </c>
      <c r="AZ29" s="9" t="n">
        <v>400</v>
      </c>
      <c r="BA29" s="9" t="n">
        <v>207.6</v>
      </c>
      <c r="BB29" s="9" t="n">
        <v>147.04</v>
      </c>
      <c r="BC29" s="9" t="n">
        <v>46.8</v>
      </c>
      <c r="BD29" s="9" t="n">
        <v>0</v>
      </c>
      <c r="BE29" s="9" t="n">
        <v>24.2</v>
      </c>
      <c r="BF29" s="9" t="n">
        <v>32</v>
      </c>
      <c r="BG29" s="9" t="n">
        <v>0</v>
      </c>
      <c r="BH29" s="9" t="n">
        <v>0</v>
      </c>
      <c r="BI29" s="9" t="n">
        <v>0</v>
      </c>
      <c r="BJ29" s="9" t="n">
        <v>0</v>
      </c>
      <c r="BK29" s="9" t="n">
        <v>0</v>
      </c>
      <c r="BL29" s="9" t="n">
        <v>0</v>
      </c>
      <c r="BM29" s="9" t="n">
        <v>41.60000000000002</v>
      </c>
      <c r="BN29" s="9" t="n">
        <v>0</v>
      </c>
      <c r="BO29" s="9" t="n">
        <v>0</v>
      </c>
      <c r="BP29" s="9" t="n">
        <v>0</v>
      </c>
      <c r="BQ29" s="9" t="n">
        <v>2317</v>
      </c>
      <c r="BR29" s="9" t="n">
        <v>776</v>
      </c>
      <c r="BS29" s="9" t="n">
        <v>13455</v>
      </c>
      <c r="BT29" s="9" t="n">
        <v>1481</v>
      </c>
      <c r="BU29" s="9" t="n">
        <v>1901</v>
      </c>
      <c r="BV29" s="9" t="n">
        <v>6459</v>
      </c>
      <c r="BW29" s="9" t="n">
        <v>0</v>
      </c>
      <c r="BX29" s="9" t="n">
        <v>0</v>
      </c>
      <c r="BY29" s="9" t="n">
        <v>0</v>
      </c>
      <c r="BZ29" s="9" t="n">
        <v>0</v>
      </c>
    </row>
    <row r="30"/>
    <row r="31">
      <c r="A31" s="9" t="inlineStr">
        <is>
          <t>MAY</t>
        </is>
      </c>
      <c r="B31" s="9" t="inlineStr">
        <is>
          <t>MAIZE/CORN</t>
        </is>
      </c>
      <c r="C31" s="9" t="inlineStr">
        <is>
          <t>SOYBEAN MEAL (ARG)</t>
        </is>
      </c>
      <c r="D31" s="9" t="inlineStr">
        <is>
          <t>SOYBEAN FULL FAT</t>
        </is>
      </c>
      <c r="E31" s="9" t="inlineStr">
        <is>
          <t>WHEAT POLLARD</t>
        </is>
      </c>
      <c r="F31" s="9" t="inlineStr">
        <is>
          <t>WHEAT</t>
        </is>
      </c>
      <c r="G31" s="9" t="inlineStr">
        <is>
          <t>MEAT AND BONE MEAL</t>
        </is>
      </c>
      <c r="H31" s="9" t="inlineStr">
        <is>
          <t>CORN GLUTEN MEAL</t>
        </is>
      </c>
      <c r="I31" s="9" t="inlineStr">
        <is>
          <t>MEGAFAT (HARUMI)</t>
        </is>
      </c>
      <c r="J31" s="9" t="inlineStr">
        <is>
          <t>DCP 18%</t>
        </is>
      </c>
      <c r="K31" s="9" t="inlineStr">
        <is>
          <t>LIMESTONE POWDER (HARUMI)</t>
        </is>
      </c>
      <c r="L31" s="9" t="inlineStr">
        <is>
          <t>CHOLINE CHLORIDE 60%</t>
        </is>
      </c>
      <c r="M31" s="9" t="inlineStr">
        <is>
          <t>INDUSTRY FLOUR</t>
        </is>
      </c>
      <c r="N31" s="9" t="inlineStr">
        <is>
          <t>RICE BRAN</t>
        </is>
      </c>
      <c r="O31" s="9" t="inlineStr">
        <is>
          <t>EP 200</t>
        </is>
      </c>
      <c r="P31" s="9" t="inlineStr">
        <is>
          <t>SOYTIDE</t>
        </is>
      </c>
      <c r="Q31" s="9" t="inlineStr">
        <is>
          <t>DCP 18% (HARUMI)</t>
        </is>
      </c>
      <c r="R31" s="9" t="n">
        <v>1</v>
      </c>
      <c r="S31" s="9" t="n">
        <v>2</v>
      </c>
      <c r="T31" s="9" t="n">
        <v>3</v>
      </c>
      <c r="U31" s="9" t="inlineStr">
        <is>
          <t>PREMIX 1101 (20KG)</t>
        </is>
      </c>
      <c r="V31" s="9" t="inlineStr">
        <is>
          <t>PREMIX 1102 (20KG)</t>
        </is>
      </c>
      <c r="W31" s="9" t="inlineStr">
        <is>
          <t>PREMIX 1103 (20KG)</t>
        </is>
      </c>
      <c r="X31" s="9" t="inlineStr">
        <is>
          <t>PREMIX 311 (20KG)</t>
        </is>
      </c>
      <c r="Y31" s="9" t="inlineStr">
        <is>
          <t>PREMIX 312 (20KG)</t>
        </is>
      </c>
      <c r="Z31" s="9" t="n">
        <v>1</v>
      </c>
      <c r="AA31" s="9" t="inlineStr">
        <is>
          <t>PREMIX 8100 (20KG)</t>
        </is>
      </c>
      <c r="AB31" s="9" t="inlineStr">
        <is>
          <t>PREMIX 8101 (20KG)</t>
        </is>
      </c>
      <c r="AC31" s="9" t="inlineStr">
        <is>
          <t>PREMIX 8102 (20KG)</t>
        </is>
      </c>
      <c r="AD31" s="9" t="inlineStr">
        <is>
          <t>PREMIX 8103 (20KG)</t>
        </is>
      </c>
      <c r="AE31" s="9" t="inlineStr">
        <is>
          <t>PREMIX 8108 (20KG)</t>
        </is>
      </c>
      <c r="AF31" s="9" t="inlineStr">
        <is>
          <t>PREMIX 8109 (20KG)</t>
        </is>
      </c>
      <c r="AG31" s="9" t="inlineStr">
        <is>
          <t>YENMIX 121 (20KG)</t>
        </is>
      </c>
      <c r="AH31" s="9" t="inlineStr">
        <is>
          <t>YENMIX 122 (19.50KG)</t>
        </is>
      </c>
      <c r="AI31" s="9" t="inlineStr">
        <is>
          <t>YENMIX 123 (18.90KG)</t>
        </is>
      </c>
      <c r="AJ31" s="9" t="inlineStr">
        <is>
          <t>YENMIX 122 (20.50KG)</t>
        </is>
      </c>
      <c r="AK31" s="9" t="inlineStr">
        <is>
          <t>YENMIX 123 (20.00KG)</t>
        </is>
      </c>
      <c r="AL31" s="9" t="n">
        <v>1</v>
      </c>
      <c r="AM31" s="9" t="n">
        <v>2</v>
      </c>
      <c r="AN31" s="9" t="n">
        <v>3</v>
      </c>
      <c r="AO31" s="9" t="inlineStr">
        <is>
          <t>TOXISORB PREMIUM</t>
        </is>
      </c>
      <c r="AP31" s="9" t="inlineStr">
        <is>
          <t>SODIUM HUMATE 3.8% (HARUMI)</t>
        </is>
      </c>
      <c r="AQ31" s="9" t="inlineStr">
        <is>
          <t>TOXIWALL</t>
        </is>
      </c>
      <c r="AR31" s="9" t="inlineStr">
        <is>
          <t>SODIUM BICARBONATE</t>
        </is>
      </c>
      <c r="AS31" s="9" t="inlineStr">
        <is>
          <t>BMD 10%</t>
        </is>
      </c>
      <c r="AT31" s="9" t="inlineStr">
        <is>
          <t>SALT (HARUMI)</t>
        </is>
      </c>
      <c r="AU31" s="9" t="inlineStr">
        <is>
          <t>VISTABET 91</t>
        </is>
      </c>
      <c r="AV31" s="9" t="inlineStr">
        <is>
          <t>BETAFIN</t>
        </is>
      </c>
      <c r="AW31" s="9" t="inlineStr">
        <is>
          <t>8101 TOP UP</t>
        </is>
      </c>
      <c r="AX31" s="9" t="inlineStr">
        <is>
          <t>NORPONIN X03 (8102 TOP UP)</t>
        </is>
      </c>
      <c r="AY31" s="9" t="inlineStr">
        <is>
          <t>8102 TOP UP (4KG)</t>
        </is>
      </c>
      <c r="AZ31" s="9" t="inlineStr">
        <is>
          <t>8103 TOP UP (5KG)</t>
        </is>
      </c>
      <c r="BA31" s="9" t="inlineStr">
        <is>
          <t>L-ARGININE</t>
        </is>
      </c>
      <c r="BB31" s="9" t="inlineStr">
        <is>
          <t>DL-METHIONINE</t>
        </is>
      </c>
      <c r="BC31" s="9" t="inlineStr">
        <is>
          <t>L-THREONINE</t>
        </is>
      </c>
      <c r="BD31" s="9" t="inlineStr">
        <is>
          <t>L-LYSINE</t>
        </is>
      </c>
      <c r="BE31" s="9" t="inlineStr">
        <is>
          <t>FAECES DRY</t>
        </is>
      </c>
      <c r="BF31" s="9" t="inlineStr">
        <is>
          <t>ECOBIOL</t>
        </is>
      </c>
      <c r="BG31" s="9" t="inlineStr">
        <is>
          <t>ADDITIVE BROILER IMMUNE</t>
        </is>
      </c>
      <c r="BH31" s="9" t="inlineStr">
        <is>
          <t>MASTER CUBE (HARUMI)</t>
        </is>
      </c>
      <c r="BI31" s="9" t="inlineStr">
        <is>
          <t>1101 TOP UP (0.40KG)</t>
        </is>
      </c>
      <c r="BJ31" s="9" t="inlineStr">
        <is>
          <t>1102 TOP UP (0.60KG)</t>
        </is>
      </c>
      <c r="BK31" s="9" t="inlineStr">
        <is>
          <t>1103 TOP UP (2.00KG)</t>
        </is>
      </c>
      <c r="BL31" s="9" t="inlineStr">
        <is>
          <t>QUANTUM GLO 4%</t>
        </is>
      </c>
      <c r="BM31" s="9" t="inlineStr">
        <is>
          <t>SALT</t>
        </is>
      </c>
      <c r="BN31" s="9" t="inlineStr">
        <is>
          <t>OC 200 - OXYTET 20%</t>
        </is>
      </c>
      <c r="BO31" s="9" t="n">
        <v>3</v>
      </c>
      <c r="BP31" s="9" t="n">
        <v>4</v>
      </c>
      <c r="BQ31" s="9" t="inlineStr">
        <is>
          <t>WOVEN BAG (1101) - BLUE 50KG</t>
        </is>
      </c>
      <c r="BR31" s="9" t="inlineStr">
        <is>
          <t>WOVEN BAG (1102) - GREEN 50KG</t>
        </is>
      </c>
      <c r="BS31" s="9" t="inlineStr">
        <is>
          <t>WOVEN BAG (1103) - RED 50KG</t>
        </is>
      </c>
      <c r="BT31" s="9" t="inlineStr">
        <is>
          <t>PLAIN BAG 26" X 39" (50KG)</t>
        </is>
      </c>
      <c r="BU31" s="9" t="inlineStr">
        <is>
          <t>WOVEN BAG (8101) - KHAKI 50KG</t>
        </is>
      </c>
      <c r="BV31" s="9" t="inlineStr">
        <is>
          <t>WOVEN BAG (8102) - SKY BLUE 50KG</t>
        </is>
      </c>
      <c r="BW31" s="9" t="inlineStr">
        <is>
          <t>WOVEN BAG (8103) - BROWN 50KG</t>
        </is>
      </c>
      <c r="BX31" s="9" t="n">
        <v>1</v>
      </c>
      <c r="BY31" s="9" t="n">
        <v>2</v>
      </c>
      <c r="BZ31" s="9" t="n">
        <v>3</v>
      </c>
      <c r="CA31" s="9" t="n">
        <v>4</v>
      </c>
      <c r="CB31" s="9" t="n">
        <v>5</v>
      </c>
      <c r="CC31" s="9" t="n">
        <v>6</v>
      </c>
      <c r="CD31" s="9" t="n">
        <v>7</v>
      </c>
      <c r="CE31" s="9" t="n">
        <v>8</v>
      </c>
    </row>
    <row r="32">
      <c r="A32" s="9" t="inlineStr">
        <is>
          <t>OPENING</t>
        </is>
      </c>
      <c r="B32" s="9" t="n">
        <v>168368.4000000001</v>
      </c>
      <c r="C32" s="9" t="n">
        <v>63275.80000000009</v>
      </c>
      <c r="D32" s="9" t="n">
        <v>31017.19999999997</v>
      </c>
      <c r="E32" s="9" t="n">
        <v>13032.50000000002</v>
      </c>
      <c r="F32" s="9" t="n">
        <v>0</v>
      </c>
      <c r="G32" s="9" t="n">
        <v>37387.2</v>
      </c>
      <c r="H32" s="9" t="n">
        <v>29537.19999999999</v>
      </c>
      <c r="I32" s="9" t="n">
        <v>0</v>
      </c>
      <c r="J32" s="9" t="n">
        <v>5848.799999999999</v>
      </c>
      <c r="K32" s="9" t="n">
        <v>0</v>
      </c>
      <c r="L32" s="9" t="n">
        <v>0</v>
      </c>
      <c r="M32" s="9" t="n">
        <v>24158.3</v>
      </c>
      <c r="N32" s="9" t="n">
        <v>42939.59999999998</v>
      </c>
      <c r="O32" s="9" t="n">
        <v>5800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2120</v>
      </c>
      <c r="V32" s="9" t="n">
        <v>3640</v>
      </c>
      <c r="W32" s="9" t="n">
        <v>2080</v>
      </c>
      <c r="X32" s="9" t="n">
        <v>0</v>
      </c>
      <c r="Y32" s="9" t="n">
        <v>0</v>
      </c>
      <c r="Z32" s="9" t="n">
        <v>0</v>
      </c>
      <c r="AA32" s="9" t="n">
        <v>6360</v>
      </c>
      <c r="AB32" s="9" t="n">
        <v>6540</v>
      </c>
      <c r="AC32" s="9" t="n">
        <v>11540</v>
      </c>
      <c r="AD32" s="9" t="n">
        <v>15120</v>
      </c>
      <c r="AE32" s="9" t="n">
        <v>1960</v>
      </c>
      <c r="AF32" s="9" t="n">
        <v>9100</v>
      </c>
      <c r="AG32" s="9" t="n">
        <v>2540</v>
      </c>
      <c r="AH32" s="9" t="n">
        <v>19.5</v>
      </c>
      <c r="AI32" s="9" t="n">
        <v>2079</v>
      </c>
      <c r="AJ32" s="9" t="n">
        <v>6150</v>
      </c>
      <c r="AK32" s="9" t="n">
        <v>4000</v>
      </c>
      <c r="AL32" s="9" t="n">
        <v>0</v>
      </c>
      <c r="AM32" s="9" t="n">
        <v>0</v>
      </c>
      <c r="AN32" s="9" t="n">
        <v>0</v>
      </c>
      <c r="AO32" s="9" t="n">
        <v>3903</v>
      </c>
      <c r="AP32" s="9" t="n">
        <v>0</v>
      </c>
      <c r="AQ32" s="9" t="n">
        <v>1137</v>
      </c>
      <c r="AR32" s="9" t="n">
        <v>3122.9</v>
      </c>
      <c r="AS32" s="9" t="n">
        <v>1680.5</v>
      </c>
      <c r="AT32" s="9" t="n">
        <v>0</v>
      </c>
      <c r="AU32" s="9" t="n">
        <v>982</v>
      </c>
      <c r="AV32" s="9" t="n">
        <v>0</v>
      </c>
      <c r="AW32" s="9" t="n">
        <v>100</v>
      </c>
      <c r="AX32" s="9" t="n">
        <v>13.96000000000004</v>
      </c>
      <c r="AY32" s="9" t="n">
        <v>596</v>
      </c>
      <c r="AZ32" s="9" t="n">
        <v>400</v>
      </c>
      <c r="BA32" s="9" t="n">
        <v>207.6</v>
      </c>
      <c r="BB32" s="9" t="n">
        <v>147.04</v>
      </c>
      <c r="BC32" s="9" t="n">
        <v>46.8</v>
      </c>
      <c r="BD32" s="9" t="n">
        <v>0</v>
      </c>
      <c r="BE32" s="9" t="n">
        <v>24.2</v>
      </c>
      <c r="BF32" s="9" t="n">
        <v>32</v>
      </c>
      <c r="BG32" s="9" t="n">
        <v>0</v>
      </c>
      <c r="BH32" s="9" t="n">
        <v>0</v>
      </c>
      <c r="BI32" s="9" t="n">
        <v>0</v>
      </c>
      <c r="BJ32" s="9" t="n">
        <v>0</v>
      </c>
      <c r="BK32" s="9" t="n">
        <v>0</v>
      </c>
      <c r="BL32" s="9" t="n">
        <v>0</v>
      </c>
      <c r="BM32" s="9" t="n">
        <v>41.60000000000002</v>
      </c>
      <c r="BN32" s="9" t="n">
        <v>0</v>
      </c>
      <c r="BO32" s="9" t="n">
        <v>0</v>
      </c>
      <c r="BP32" s="9" t="n">
        <v>0</v>
      </c>
      <c r="BQ32" s="9" t="n">
        <v>2317</v>
      </c>
      <c r="BR32" s="9" t="n">
        <v>776</v>
      </c>
      <c r="BS32" s="9" t="n">
        <v>13455</v>
      </c>
      <c r="BT32" s="9" t="n">
        <v>1481</v>
      </c>
      <c r="BU32" s="9" t="n">
        <v>1901</v>
      </c>
      <c r="BV32" s="9" t="n">
        <v>6459</v>
      </c>
      <c r="BW32" s="9" t="n">
        <v>0</v>
      </c>
      <c r="BX32" s="9" t="n">
        <v>0</v>
      </c>
      <c r="BY32" s="9" t="n">
        <v>0</v>
      </c>
      <c r="BZ32" s="9" t="n">
        <v>0</v>
      </c>
    </row>
    <row r="33">
      <c r="A33" s="9" t="inlineStr">
        <is>
          <t>INTAKE</t>
        </is>
      </c>
      <c r="B33" s="9" t="n">
        <v>736930</v>
      </c>
      <c r="C33" s="9" t="n">
        <v>333130</v>
      </c>
      <c r="D33" s="9" t="n">
        <v>80070</v>
      </c>
      <c r="E33" s="9" t="n">
        <v>30400</v>
      </c>
      <c r="F33" s="9" t="n">
        <v>0</v>
      </c>
      <c r="G33" s="9" t="n">
        <v>11920</v>
      </c>
      <c r="H33" s="9" t="n">
        <v>27970</v>
      </c>
      <c r="I33" s="9" t="n">
        <v>24921.2</v>
      </c>
      <c r="J33" s="9" t="n">
        <v>0</v>
      </c>
      <c r="K33" s="9" t="n">
        <v>4445.719999999999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2020</v>
      </c>
      <c r="V33" s="9" t="n">
        <v>2000</v>
      </c>
      <c r="W33" s="9" t="n">
        <v>6000</v>
      </c>
      <c r="X33" s="9" t="n">
        <v>1600</v>
      </c>
      <c r="Y33" s="9" t="n">
        <v>3600</v>
      </c>
      <c r="Z33" s="9" t="n">
        <v>0</v>
      </c>
      <c r="AA33" s="9" t="n">
        <v>2000</v>
      </c>
      <c r="AB33" s="9" t="n">
        <v>180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2340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2134</v>
      </c>
      <c r="AQ33" s="9" t="n">
        <v>0</v>
      </c>
      <c r="AR33" s="9" t="n">
        <v>1.1</v>
      </c>
      <c r="AS33" s="9" t="n">
        <v>0</v>
      </c>
      <c r="AT33" s="9" t="n">
        <v>324.4</v>
      </c>
      <c r="AU33" s="9" t="n">
        <v>500</v>
      </c>
      <c r="AV33" s="9" t="n">
        <v>0</v>
      </c>
      <c r="AW33" s="9" t="n">
        <v>0</v>
      </c>
      <c r="AX33" s="9" t="n">
        <v>0</v>
      </c>
      <c r="AY33" s="9" t="n">
        <v>800</v>
      </c>
      <c r="AZ33" s="9" t="n">
        <v>1940</v>
      </c>
      <c r="BA33" s="9" t="n">
        <v>0</v>
      </c>
      <c r="BB33" s="9" t="n">
        <v>0</v>
      </c>
      <c r="BC33" s="9" t="n">
        <v>0</v>
      </c>
      <c r="BD33" s="9" t="n">
        <v>0</v>
      </c>
      <c r="BE33" s="9" t="n">
        <v>0</v>
      </c>
      <c r="BF33" s="9" t="n">
        <v>0</v>
      </c>
      <c r="BG33" s="9" t="n">
        <v>0</v>
      </c>
      <c r="BH33" s="9" t="n">
        <v>50</v>
      </c>
      <c r="BI33" s="9" t="n">
        <v>0</v>
      </c>
      <c r="BJ33" s="9" t="n">
        <v>228</v>
      </c>
      <c r="BK33" s="9" t="n">
        <v>1000</v>
      </c>
      <c r="BL33" s="9" t="n">
        <v>40</v>
      </c>
      <c r="BM33" s="9" t="n">
        <v>0</v>
      </c>
      <c r="BN33" s="9" t="n">
        <v>0</v>
      </c>
      <c r="BO33" s="9" t="n">
        <v>0</v>
      </c>
      <c r="BP33" s="9" t="n">
        <v>0</v>
      </c>
      <c r="BQ33" s="9" t="n">
        <v>0</v>
      </c>
      <c r="BR33" s="9" t="n">
        <v>0</v>
      </c>
      <c r="BS33" s="9" t="n">
        <v>0</v>
      </c>
      <c r="BT33" s="9" t="n">
        <v>8266</v>
      </c>
      <c r="BU33" s="9" t="n">
        <v>0</v>
      </c>
      <c r="BV33" s="9" t="n">
        <v>0</v>
      </c>
      <c r="BW33" s="9" t="n">
        <v>0</v>
      </c>
      <c r="BX33" s="9" t="n">
        <v>0</v>
      </c>
      <c r="BY33" s="9" t="n">
        <v>0</v>
      </c>
      <c r="BZ33" s="9" t="n">
        <v>0</v>
      </c>
    </row>
    <row r="34">
      <c r="A34" s="9" t="inlineStr">
        <is>
          <t>USAGE</t>
        </is>
      </c>
      <c r="B34" s="9" t="n">
        <v>660754.0199999999</v>
      </c>
      <c r="C34" s="9" t="n">
        <v>290450.74</v>
      </c>
      <c r="D34" s="9" t="n">
        <v>66390</v>
      </c>
      <c r="E34" s="9" t="n">
        <v>30200</v>
      </c>
      <c r="F34" s="9" t="n">
        <v>0</v>
      </c>
      <c r="G34" s="9" t="n">
        <v>11155</v>
      </c>
      <c r="H34" s="9" t="n">
        <v>23332</v>
      </c>
      <c r="I34" s="9" t="n">
        <v>24921</v>
      </c>
      <c r="J34" s="9" t="n">
        <v>921.77</v>
      </c>
      <c r="K34" s="9" t="n">
        <v>4631.96</v>
      </c>
      <c r="L34" s="9" t="n">
        <v>0</v>
      </c>
      <c r="M34" s="9" t="n">
        <v>3580</v>
      </c>
      <c r="N34" s="9" t="n">
        <v>7700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1520</v>
      </c>
      <c r="W34" s="9" t="n">
        <v>6600</v>
      </c>
      <c r="X34" s="9" t="n">
        <v>1000</v>
      </c>
      <c r="Y34" s="9" t="n">
        <v>0</v>
      </c>
      <c r="Z34" s="9" t="n">
        <v>0</v>
      </c>
      <c r="AA34" s="9" t="n">
        <v>1560</v>
      </c>
      <c r="AB34" s="9" t="n">
        <v>0</v>
      </c>
      <c r="AC34" s="9" t="n">
        <v>0</v>
      </c>
      <c r="AD34" s="9" t="n">
        <v>0</v>
      </c>
      <c r="AE34" s="9" t="n">
        <v>6440</v>
      </c>
      <c r="AF34" s="9" t="n">
        <v>3880</v>
      </c>
      <c r="AG34" s="9" t="n">
        <v>0</v>
      </c>
      <c r="AH34" s="9" t="n">
        <v>0</v>
      </c>
      <c r="AI34" s="9" t="n">
        <v>944.9999999999999</v>
      </c>
      <c r="AJ34" s="9" t="n">
        <v>0</v>
      </c>
      <c r="AK34" s="9" t="n">
        <v>0</v>
      </c>
      <c r="AL34" s="9" t="n">
        <v>0</v>
      </c>
      <c r="AM34" s="9" t="n">
        <v>0</v>
      </c>
      <c r="AN34" s="9" t="n">
        <v>0</v>
      </c>
      <c r="AO34" s="9" t="n">
        <v>212</v>
      </c>
      <c r="AP34" s="9" t="n">
        <v>2182</v>
      </c>
      <c r="AQ34" s="9" t="n">
        <v>50</v>
      </c>
      <c r="AR34" s="9" t="n">
        <v>12</v>
      </c>
      <c r="AS34" s="9" t="n">
        <v>0</v>
      </c>
      <c r="AT34" s="9" t="n">
        <v>324.4</v>
      </c>
      <c r="AU34" s="9" t="n">
        <v>0</v>
      </c>
      <c r="AV34" s="9" t="n">
        <v>0</v>
      </c>
      <c r="AW34" s="9" t="n">
        <v>0</v>
      </c>
      <c r="AX34" s="9" t="n">
        <v>0</v>
      </c>
      <c r="AY34" s="9" t="n">
        <v>1288</v>
      </c>
      <c r="AZ34" s="9" t="n">
        <v>2095</v>
      </c>
      <c r="BA34" s="9" t="n">
        <v>0</v>
      </c>
      <c r="BB34" s="9" t="n">
        <v>0</v>
      </c>
      <c r="BC34" s="9" t="n">
        <v>0</v>
      </c>
      <c r="BD34" s="9" t="n">
        <v>0</v>
      </c>
      <c r="BE34" s="9" t="n">
        <v>0</v>
      </c>
      <c r="BF34" s="9" t="n">
        <v>0</v>
      </c>
      <c r="BG34" s="9" t="n">
        <v>0</v>
      </c>
      <c r="BH34" s="9" t="n">
        <v>50</v>
      </c>
      <c r="BI34" s="9" t="n">
        <v>0</v>
      </c>
      <c r="BJ34" s="9" t="n">
        <v>92.40000000000001</v>
      </c>
      <c r="BK34" s="9" t="n">
        <v>872</v>
      </c>
      <c r="BL34" s="9" t="n">
        <v>28.75</v>
      </c>
      <c r="BM34" s="9" t="n">
        <v>0</v>
      </c>
      <c r="BN34" s="9" t="n">
        <v>0</v>
      </c>
      <c r="BO34" s="9" t="n">
        <v>0</v>
      </c>
      <c r="BP34" s="9" t="n">
        <v>0</v>
      </c>
      <c r="BQ34" s="9" t="n">
        <v>1118</v>
      </c>
      <c r="BR34" s="9" t="n">
        <v>776</v>
      </c>
      <c r="BS34" s="9" t="n">
        <v>6642</v>
      </c>
      <c r="BT34" s="9" t="n">
        <v>1923</v>
      </c>
      <c r="BU34" s="9" t="n">
        <v>280</v>
      </c>
      <c r="BV34" s="9" t="n">
        <v>266</v>
      </c>
      <c r="BW34" s="9" t="n">
        <v>0</v>
      </c>
      <c r="BX34" s="9" t="n">
        <v>0</v>
      </c>
      <c r="BY34" s="9" t="n">
        <v>0</v>
      </c>
      <c r="BZ34" s="9" t="n">
        <v>0</v>
      </c>
    </row>
    <row r="35">
      <c r="A35" s="9" t="inlineStr">
        <is>
          <t>ADJUUSTMENT</t>
        </is>
      </c>
      <c r="B35" s="9" t="n">
        <v>-200.9800000000232</v>
      </c>
      <c r="C35" s="9" t="n">
        <v>2.140000000001464</v>
      </c>
      <c r="D35" s="9" t="n">
        <v>-10.89999999999924</v>
      </c>
      <c r="E35" s="9" t="n">
        <v>-1039.099999999999</v>
      </c>
      <c r="F35" s="9" t="n">
        <v>0</v>
      </c>
      <c r="G35" s="9" t="n">
        <v>-19585.5</v>
      </c>
      <c r="H35" s="9" t="n">
        <v>-11.19999999999987</v>
      </c>
      <c r="I35" s="9" t="n">
        <v>-0.1999999999998536</v>
      </c>
      <c r="J35" s="9" t="n">
        <v>156.1000000000001</v>
      </c>
      <c r="K35" s="9" t="n">
        <v>186.2400000000001</v>
      </c>
      <c r="L35" s="9" t="n">
        <v>0</v>
      </c>
      <c r="M35" s="9" t="n">
        <v>-954.4000000000001</v>
      </c>
      <c r="N35" s="9" t="n">
        <v>-4.599999999999966</v>
      </c>
      <c r="O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920</v>
      </c>
      <c r="W35" s="9" t="n">
        <v>280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-6000</v>
      </c>
      <c r="AC35" s="9" t="n">
        <v>-3400</v>
      </c>
      <c r="AD35" s="9" t="n">
        <v>-10160</v>
      </c>
      <c r="AE35" s="9" t="n">
        <v>4480</v>
      </c>
      <c r="AF35" s="9" t="n">
        <v>-1880</v>
      </c>
      <c r="AG35" s="9" t="n">
        <v>0</v>
      </c>
      <c r="AH35" s="9" t="n">
        <v>0</v>
      </c>
      <c r="AI35" s="9" t="n">
        <v>755.9999999999999</v>
      </c>
      <c r="AJ35" s="9" t="n">
        <v>-2460</v>
      </c>
      <c r="AK35" s="9" t="n">
        <v>0</v>
      </c>
      <c r="AL35" s="9" t="n">
        <v>0</v>
      </c>
      <c r="BI35" s="9" t="n">
        <v>0</v>
      </c>
      <c r="BJ35" s="9" t="n">
        <v>-92.40000000000001</v>
      </c>
      <c r="BK35" s="9" t="n">
        <v>-752</v>
      </c>
      <c r="BL35" s="9" t="n">
        <v>-28.75</v>
      </c>
      <c r="BM35" s="9" t="n">
        <v>0</v>
      </c>
      <c r="BN35" s="9" t="n">
        <v>0</v>
      </c>
      <c r="BO35" s="9" t="n">
        <v>745</v>
      </c>
    </row>
    <row r="36">
      <c r="A36" s="9" t="inlineStr">
        <is>
          <t>BALANCE</t>
        </is>
      </c>
      <c r="B36" s="9" t="n">
        <v>244343.4000000001</v>
      </c>
      <c r="C36" s="9" t="n">
        <v>105957.2000000001</v>
      </c>
      <c r="D36" s="9" t="n">
        <v>44686.29999999997</v>
      </c>
      <c r="E36" s="9" t="n">
        <v>12193.40000000002</v>
      </c>
      <c r="F36" s="9" t="n">
        <v>0</v>
      </c>
      <c r="G36" s="9" t="n">
        <v>18566.7</v>
      </c>
      <c r="H36" s="9" t="n">
        <v>34163.99999999999</v>
      </c>
      <c r="I36" s="9" t="n">
        <v>0</v>
      </c>
      <c r="J36" s="9" t="n">
        <v>5083.129999999999</v>
      </c>
      <c r="K36" s="9" t="n">
        <v>0</v>
      </c>
      <c r="L36" s="9" t="n">
        <v>0</v>
      </c>
      <c r="M36" s="9" t="n">
        <v>19623.90000000001</v>
      </c>
      <c r="N36" s="9" t="n">
        <v>35234.99999999999</v>
      </c>
      <c r="O36" s="9" t="n">
        <v>5800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4140</v>
      </c>
      <c r="V36" s="9" t="n">
        <v>5040</v>
      </c>
      <c r="W36" s="9" t="n">
        <v>1760</v>
      </c>
      <c r="X36" s="9" t="n">
        <v>600</v>
      </c>
      <c r="Y36" s="9" t="n">
        <v>3600</v>
      </c>
      <c r="Z36" s="9" t="n">
        <v>0</v>
      </c>
      <c r="AA36" s="9" t="n">
        <v>6800</v>
      </c>
      <c r="AB36" s="9" t="n">
        <v>720</v>
      </c>
      <c r="AC36" s="9" t="n">
        <v>8140</v>
      </c>
      <c r="AD36" s="9" t="n">
        <v>4960</v>
      </c>
      <c r="AE36" s="9" t="n">
        <v>0</v>
      </c>
      <c r="AF36" s="9" t="n">
        <v>3340</v>
      </c>
      <c r="AG36" s="9" t="n">
        <v>2540</v>
      </c>
      <c r="AH36" s="9" t="n">
        <v>2359.5</v>
      </c>
      <c r="AI36" s="9" t="n">
        <v>1890</v>
      </c>
      <c r="AJ36" s="9" t="n">
        <v>3690</v>
      </c>
      <c r="AK36" s="9" t="n">
        <v>4000</v>
      </c>
      <c r="AL36" s="9" t="n">
        <v>0</v>
      </c>
      <c r="AM36" s="9" t="n">
        <v>0</v>
      </c>
      <c r="AN36" s="9" t="n">
        <v>0</v>
      </c>
      <c r="AO36" s="9" t="n">
        <v>3724</v>
      </c>
      <c r="AP36" s="9" t="n">
        <v>0</v>
      </c>
      <c r="AQ36" s="9" t="n">
        <v>1127</v>
      </c>
      <c r="AR36" s="9" t="n">
        <v>3112</v>
      </c>
      <c r="AS36" s="9" t="n">
        <v>1680.5</v>
      </c>
      <c r="AT36" s="9" t="n">
        <v>0</v>
      </c>
      <c r="AU36" s="9" t="n">
        <v>1482</v>
      </c>
      <c r="AV36" s="9" t="n">
        <v>0</v>
      </c>
      <c r="AW36" s="9" t="n">
        <v>100</v>
      </c>
      <c r="AX36" s="9" t="n">
        <v>13.96000000000004</v>
      </c>
      <c r="AY36" s="9" t="n">
        <v>108</v>
      </c>
      <c r="AZ36" s="9" t="n">
        <v>245</v>
      </c>
      <c r="BA36" s="9" t="n">
        <v>207.6</v>
      </c>
      <c r="BB36" s="9" t="n">
        <v>147.04</v>
      </c>
      <c r="BC36" s="9" t="n">
        <v>46.8</v>
      </c>
      <c r="BD36" s="9" t="n">
        <v>0</v>
      </c>
      <c r="BE36" s="9" t="n">
        <v>24.2</v>
      </c>
      <c r="BF36" s="9" t="n">
        <v>32</v>
      </c>
      <c r="BG36" s="9" t="n">
        <v>0</v>
      </c>
      <c r="BH36" s="9" t="n">
        <v>0</v>
      </c>
      <c r="BI36" s="9" t="n">
        <v>0</v>
      </c>
      <c r="BJ36" s="9" t="n">
        <v>135.6</v>
      </c>
      <c r="BK36" s="9" t="n">
        <v>128</v>
      </c>
      <c r="BL36" s="9" t="n">
        <v>11.25</v>
      </c>
      <c r="BM36" s="9" t="n">
        <v>41.60000000000002</v>
      </c>
      <c r="BN36" s="9" t="n">
        <v>0</v>
      </c>
      <c r="BO36" s="9" t="n">
        <v>0</v>
      </c>
      <c r="BP36" s="9" t="n">
        <v>0</v>
      </c>
      <c r="BQ36" s="9" t="n">
        <v>1199</v>
      </c>
      <c r="BR36" s="9" t="n">
        <v>0</v>
      </c>
      <c r="BS36" s="9" t="n">
        <v>6813</v>
      </c>
      <c r="BT36" s="9" t="n">
        <v>7824</v>
      </c>
      <c r="BU36" s="9" t="n">
        <v>1621</v>
      </c>
      <c r="BV36" s="9" t="n">
        <v>6193</v>
      </c>
      <c r="BW36" s="9" t="n">
        <v>0</v>
      </c>
      <c r="BX36" s="9" t="n">
        <v>0</v>
      </c>
      <c r="BY36" s="9" t="n">
        <v>0</v>
      </c>
      <c r="BZ36" s="9" t="n">
        <v>0</v>
      </c>
    </row>
    <row r="37"/>
    <row r="38">
      <c r="A38" s="9" t="inlineStr">
        <is>
          <t>JUN</t>
        </is>
      </c>
      <c r="B38" s="9" t="inlineStr">
        <is>
          <t>MAIZE/CORN</t>
        </is>
      </c>
      <c r="C38" s="9" t="inlineStr">
        <is>
          <t>SOYBEAN MEAL (ARG)</t>
        </is>
      </c>
      <c r="D38" s="9" t="inlineStr">
        <is>
          <t>SOYBEAN FULL FAT</t>
        </is>
      </c>
      <c r="E38" s="9" t="inlineStr">
        <is>
          <t>WHEAT POLLARD</t>
        </is>
      </c>
      <c r="F38" s="9" t="inlineStr">
        <is>
          <t>WHEAT</t>
        </is>
      </c>
      <c r="G38" s="9" t="inlineStr">
        <is>
          <t>MEAT AND BONE MEAL</t>
        </is>
      </c>
      <c r="H38" s="9" t="inlineStr">
        <is>
          <t>CORN GLUTEN MEAL</t>
        </is>
      </c>
      <c r="I38" s="9" t="inlineStr">
        <is>
          <t>MEGAFAT (HARUMI)</t>
        </is>
      </c>
      <c r="J38" s="9" t="inlineStr">
        <is>
          <t>DCP 18%</t>
        </is>
      </c>
      <c r="K38" s="9" t="inlineStr">
        <is>
          <t>LIMESTONE POWDER (HARUMI)</t>
        </is>
      </c>
      <c r="L38" s="9" t="inlineStr">
        <is>
          <t>CHOLINE CHLORIDE 60%</t>
        </is>
      </c>
      <c r="M38" s="9" t="inlineStr">
        <is>
          <t>INDUSTRY FLOUR</t>
        </is>
      </c>
      <c r="N38" s="9" t="inlineStr">
        <is>
          <t>RICE BRAN</t>
        </is>
      </c>
      <c r="O38" s="9" t="inlineStr">
        <is>
          <t>EP 200</t>
        </is>
      </c>
      <c r="P38" s="9" t="inlineStr">
        <is>
          <t>SOYTIDE</t>
        </is>
      </c>
      <c r="Q38" s="9" t="inlineStr">
        <is>
          <t>DCP 18% (HARUMI)</t>
        </is>
      </c>
      <c r="R38" s="9" t="n">
        <v>1</v>
      </c>
      <c r="S38" s="9" t="n">
        <v>2</v>
      </c>
      <c r="T38" s="9" t="n">
        <v>3</v>
      </c>
      <c r="U38" s="9" t="inlineStr">
        <is>
          <t>PREMIX 1101 (20KG)</t>
        </is>
      </c>
      <c r="V38" s="9" t="inlineStr">
        <is>
          <t>PREMIX 1102 (20KG)</t>
        </is>
      </c>
      <c r="W38" s="9" t="inlineStr">
        <is>
          <t>PREMIX 1103 (20KG)</t>
        </is>
      </c>
      <c r="X38" s="9" t="inlineStr">
        <is>
          <t>PREMIX 311 (20KG)</t>
        </is>
      </c>
      <c r="Y38" s="9" t="inlineStr">
        <is>
          <t>PREMIX 312 (20KG)</t>
        </is>
      </c>
      <c r="Z38" s="9" t="n">
        <v>1</v>
      </c>
      <c r="AA38" s="9" t="inlineStr">
        <is>
          <t>PREMIX 8100 (20KG)</t>
        </is>
      </c>
      <c r="AB38" s="9" t="inlineStr">
        <is>
          <t>PREMIX 8101 (20KG)</t>
        </is>
      </c>
      <c r="AC38" s="9" t="inlineStr">
        <is>
          <t>PREMIX 8102 (20KG)</t>
        </is>
      </c>
      <c r="AD38" s="9" t="inlineStr">
        <is>
          <t>PREMIX 8103 (20KG)</t>
        </is>
      </c>
      <c r="AE38" s="9" t="inlineStr">
        <is>
          <t>PREMIX 8108 (20KG)</t>
        </is>
      </c>
      <c r="AF38" s="9" t="inlineStr">
        <is>
          <t>PREMIX 8109 (20KG)</t>
        </is>
      </c>
      <c r="AG38" s="9" t="inlineStr">
        <is>
          <t>YENMIX 121 (20KG)</t>
        </is>
      </c>
      <c r="AH38" s="9" t="inlineStr">
        <is>
          <t>YENMIX 122 (19.50KG)</t>
        </is>
      </c>
      <c r="AI38" s="9" t="inlineStr">
        <is>
          <t>YENMIX 123 (18.90KG)</t>
        </is>
      </c>
      <c r="AJ38" s="9" t="inlineStr">
        <is>
          <t>YENMIX 122 (20.50KG)</t>
        </is>
      </c>
      <c r="AK38" s="9" t="inlineStr">
        <is>
          <t>YENMIX 123 (20.00KG)</t>
        </is>
      </c>
      <c r="AL38" s="9" t="n">
        <v>1</v>
      </c>
      <c r="AM38" s="9" t="n">
        <v>2</v>
      </c>
      <c r="AN38" s="9" t="n">
        <v>3</v>
      </c>
      <c r="AO38" s="9" t="inlineStr">
        <is>
          <t>TOXISORB PREMIUM</t>
        </is>
      </c>
      <c r="AP38" s="9" t="inlineStr">
        <is>
          <t>SODIUM HUMATE 3.8% (HARUMI)</t>
        </is>
      </c>
      <c r="AQ38" s="9" t="inlineStr">
        <is>
          <t>TOXIWALL</t>
        </is>
      </c>
      <c r="AR38" s="9" t="inlineStr">
        <is>
          <t>SODIUM BICARBONATE</t>
        </is>
      </c>
      <c r="AS38" s="9" t="inlineStr">
        <is>
          <t>BMD 10%</t>
        </is>
      </c>
      <c r="AT38" s="9" t="inlineStr">
        <is>
          <t>SALT (HARUMI)</t>
        </is>
      </c>
      <c r="AU38" s="9" t="inlineStr">
        <is>
          <t>VISTABET 91</t>
        </is>
      </c>
      <c r="AV38" s="9" t="inlineStr">
        <is>
          <t>BETAFIN</t>
        </is>
      </c>
      <c r="AW38" s="9" t="inlineStr">
        <is>
          <t>8101 TOP UP</t>
        </is>
      </c>
      <c r="AX38" s="9" t="inlineStr">
        <is>
          <t>NORPONIN X03 (8102 TOP UP)</t>
        </is>
      </c>
      <c r="AY38" s="9" t="inlineStr">
        <is>
          <t>8102 TOP UP (4KG)</t>
        </is>
      </c>
      <c r="AZ38" s="9" t="inlineStr">
        <is>
          <t>8103 TOP UP (5KG)</t>
        </is>
      </c>
      <c r="BA38" s="9" t="inlineStr">
        <is>
          <t>L-ARGININE</t>
        </is>
      </c>
      <c r="BB38" s="9" t="inlineStr">
        <is>
          <t>DL-METHIONINE</t>
        </is>
      </c>
      <c r="BC38" s="9" t="inlineStr">
        <is>
          <t>L-THREONINE</t>
        </is>
      </c>
      <c r="BD38" s="9" t="inlineStr">
        <is>
          <t>L-LYSINE</t>
        </is>
      </c>
      <c r="BE38" s="9" t="inlineStr">
        <is>
          <t>FAECES DRY</t>
        </is>
      </c>
      <c r="BF38" s="9" t="inlineStr">
        <is>
          <t>ECOBIOL</t>
        </is>
      </c>
      <c r="BG38" s="9" t="inlineStr">
        <is>
          <t>ADDITIVE BROILER IMMUNE</t>
        </is>
      </c>
      <c r="BH38" s="9" t="inlineStr">
        <is>
          <t>MASTER CUBE (HARUMI)</t>
        </is>
      </c>
      <c r="BI38" s="9" t="inlineStr">
        <is>
          <t>1101 TOP UP (0.40KG)</t>
        </is>
      </c>
      <c r="BJ38" s="9" t="inlineStr">
        <is>
          <t>1102 TOP UP (0.60KG)</t>
        </is>
      </c>
      <c r="BK38" s="9" t="inlineStr">
        <is>
          <t>1103 TOP UP (2.00KG)</t>
        </is>
      </c>
      <c r="BL38" s="9" t="inlineStr">
        <is>
          <t>QUANTUM GLO 4%</t>
        </is>
      </c>
      <c r="BM38" s="9" t="inlineStr">
        <is>
          <t>SALT</t>
        </is>
      </c>
      <c r="BN38" s="9" t="inlineStr">
        <is>
          <t>OC 200 - OXYTET 20%</t>
        </is>
      </c>
      <c r="BO38" s="9" t="n">
        <v>3</v>
      </c>
      <c r="BP38" s="9" t="n">
        <v>4</v>
      </c>
      <c r="BQ38" s="9" t="inlineStr">
        <is>
          <t>WOVEN BAG (1101) - BLUE 50KG</t>
        </is>
      </c>
      <c r="BR38" s="9" t="inlineStr">
        <is>
          <t>WOVEN BAG (1102) - GREEN 50KG</t>
        </is>
      </c>
      <c r="BS38" s="9" t="inlineStr">
        <is>
          <t>WOVEN BAG (1103) - RED 50KG</t>
        </is>
      </c>
      <c r="BT38" s="9" t="inlineStr">
        <is>
          <t>PLAIN BAG 26" X 39" (50KG)</t>
        </is>
      </c>
      <c r="BU38" s="9" t="inlineStr">
        <is>
          <t>WOVEN BAG (8101) - KHAKI 50KG</t>
        </is>
      </c>
      <c r="BV38" s="9" t="inlineStr">
        <is>
          <t>WOVEN BAG (8102) - SKY BLUE 50KG</t>
        </is>
      </c>
      <c r="BW38" s="9" t="inlineStr">
        <is>
          <t>WOVEN BAG (8103) - BROWN 50KG</t>
        </is>
      </c>
      <c r="BX38" s="9" t="n">
        <v>1</v>
      </c>
      <c r="BY38" s="9" t="n">
        <v>2</v>
      </c>
      <c r="BZ38" s="9" t="n">
        <v>3</v>
      </c>
      <c r="CA38" s="9" t="n">
        <v>4</v>
      </c>
      <c r="CB38" s="9" t="n">
        <v>5</v>
      </c>
      <c r="CC38" s="9" t="n">
        <v>6</v>
      </c>
      <c r="CD38" s="9" t="n">
        <v>7</v>
      </c>
      <c r="CE38" s="9" t="n">
        <v>8</v>
      </c>
    </row>
    <row r="39">
      <c r="A39" s="9" t="inlineStr">
        <is>
          <t>OPENING</t>
        </is>
      </c>
      <c r="B39" s="9" t="n">
        <v>244343.4000000001</v>
      </c>
      <c r="C39" s="9" t="n">
        <v>105957.2000000001</v>
      </c>
      <c r="D39" s="9" t="n">
        <v>44686.29999999997</v>
      </c>
      <c r="E39" s="9" t="n">
        <v>12193.40000000002</v>
      </c>
      <c r="F39" s="9" t="n">
        <v>0</v>
      </c>
      <c r="G39" s="9" t="n">
        <v>18566.7</v>
      </c>
      <c r="H39" s="9" t="n">
        <v>34163.99999999999</v>
      </c>
      <c r="I39" s="9" t="n">
        <v>0</v>
      </c>
      <c r="J39" s="9" t="n">
        <v>5083.129999999999</v>
      </c>
      <c r="K39" s="9" t="n">
        <v>0</v>
      </c>
      <c r="L39" s="9" t="n">
        <v>0</v>
      </c>
      <c r="M39" s="9" t="n">
        <v>19623.90000000001</v>
      </c>
      <c r="N39" s="9" t="n">
        <v>35234.99999999999</v>
      </c>
      <c r="O39" s="9" t="n">
        <v>5800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4140</v>
      </c>
      <c r="V39" s="9" t="n">
        <v>5040</v>
      </c>
      <c r="W39" s="9" t="n">
        <v>1760</v>
      </c>
      <c r="X39" s="9" t="n">
        <v>600</v>
      </c>
      <c r="Y39" s="9" t="n">
        <v>3600</v>
      </c>
      <c r="Z39" s="9" t="n">
        <v>0</v>
      </c>
      <c r="AA39" s="9" t="n">
        <v>6800</v>
      </c>
      <c r="AB39" s="9" t="n">
        <v>720</v>
      </c>
      <c r="AC39" s="9" t="n">
        <v>8140</v>
      </c>
      <c r="AD39" s="9" t="n">
        <v>4960</v>
      </c>
      <c r="AE39" s="9" t="n">
        <v>0</v>
      </c>
      <c r="AF39" s="9" t="n">
        <v>3340</v>
      </c>
      <c r="AG39" s="9" t="n">
        <v>2540</v>
      </c>
      <c r="AH39" s="9" t="n">
        <v>2359.5</v>
      </c>
      <c r="AI39" s="9" t="n">
        <v>1890</v>
      </c>
      <c r="AJ39" s="9" t="n">
        <v>3690</v>
      </c>
      <c r="AK39" s="9" t="n">
        <v>4000</v>
      </c>
      <c r="AL39" s="9" t="n">
        <v>0</v>
      </c>
      <c r="AM39" s="9" t="n">
        <v>0</v>
      </c>
      <c r="AN39" s="9" t="n">
        <v>0</v>
      </c>
      <c r="AO39" s="9" t="n">
        <v>3724</v>
      </c>
      <c r="AP39" s="9" t="n">
        <v>0</v>
      </c>
      <c r="AQ39" s="9" t="n">
        <v>1127</v>
      </c>
      <c r="AR39" s="9" t="n">
        <v>3112</v>
      </c>
      <c r="AS39" s="9" t="n">
        <v>1680.5</v>
      </c>
      <c r="AT39" s="9" t="n">
        <v>0</v>
      </c>
      <c r="AU39" s="9" t="n">
        <v>1482</v>
      </c>
      <c r="AV39" s="9" t="n">
        <v>0</v>
      </c>
      <c r="AW39" s="9" t="n">
        <v>100</v>
      </c>
      <c r="AX39" s="9" t="n">
        <v>13.96000000000004</v>
      </c>
      <c r="AY39" s="9" t="n">
        <v>108</v>
      </c>
      <c r="AZ39" s="9" t="n">
        <v>245</v>
      </c>
      <c r="BA39" s="9" t="n">
        <v>207.6</v>
      </c>
      <c r="BB39" s="9" t="n">
        <v>147.04</v>
      </c>
      <c r="BC39" s="9" t="n">
        <v>46.8</v>
      </c>
      <c r="BD39" s="9" t="n">
        <v>0</v>
      </c>
      <c r="BE39" s="9" t="n">
        <v>24.2</v>
      </c>
      <c r="BF39" s="9" t="n">
        <v>32</v>
      </c>
      <c r="BG39" s="9" t="n">
        <v>0</v>
      </c>
      <c r="BH39" s="9" t="n">
        <v>0</v>
      </c>
      <c r="BI39" s="9" t="n">
        <v>0</v>
      </c>
      <c r="BJ39" s="9" t="n">
        <v>135.6</v>
      </c>
      <c r="BK39" s="9" t="n">
        <v>128</v>
      </c>
      <c r="BL39" s="9" t="n">
        <v>11.25</v>
      </c>
      <c r="BM39" s="9" t="n">
        <v>41.60000000000002</v>
      </c>
      <c r="BN39" s="9" t="n">
        <v>0</v>
      </c>
      <c r="BO39" s="9" t="n">
        <v>0</v>
      </c>
      <c r="BP39" s="9" t="n">
        <v>0</v>
      </c>
      <c r="BQ39" s="9" t="n">
        <v>1199</v>
      </c>
      <c r="BR39" s="9" t="n">
        <v>0</v>
      </c>
      <c r="BS39" s="9" t="n">
        <v>6813</v>
      </c>
      <c r="BT39" s="9" t="n">
        <v>7824</v>
      </c>
      <c r="BU39" s="9" t="n">
        <v>1621</v>
      </c>
      <c r="BV39" s="9" t="n">
        <v>6193</v>
      </c>
      <c r="BW39" s="9" t="n">
        <v>0</v>
      </c>
      <c r="BX39" s="9" t="n">
        <v>0</v>
      </c>
      <c r="BY39" s="9" t="n">
        <v>0</v>
      </c>
      <c r="BZ39" s="9" t="n">
        <v>0</v>
      </c>
    </row>
    <row r="40">
      <c r="A40" s="9" t="inlineStr">
        <is>
          <t>INTAKE</t>
        </is>
      </c>
      <c r="B40" s="9" t="n">
        <v>462870</v>
      </c>
      <c r="C40" s="9" t="n">
        <v>230900</v>
      </c>
      <c r="D40" s="9" t="n">
        <v>45100</v>
      </c>
      <c r="E40" s="9" t="n">
        <v>22380</v>
      </c>
      <c r="F40" s="9" t="n">
        <v>0</v>
      </c>
      <c r="G40" s="9" t="n">
        <v>0</v>
      </c>
      <c r="H40" s="9" t="n">
        <v>11000</v>
      </c>
      <c r="I40" s="9" t="n">
        <v>12039.3</v>
      </c>
      <c r="J40" s="9" t="n">
        <v>0</v>
      </c>
      <c r="K40" s="9" t="n">
        <v>6166.970000000001</v>
      </c>
      <c r="L40" s="9" t="n">
        <v>0</v>
      </c>
      <c r="M40" s="9" t="n">
        <v>1880.8</v>
      </c>
      <c r="N40" s="9" t="n">
        <v>0</v>
      </c>
      <c r="O40" s="9" t="n">
        <v>0</v>
      </c>
      <c r="P40" s="9" t="n">
        <v>0</v>
      </c>
      <c r="Q40" s="9" t="n">
        <v>351.76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1000</v>
      </c>
      <c r="Y40" s="9" t="n">
        <v>0</v>
      </c>
      <c r="Z40" s="9" t="n">
        <v>0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144</v>
      </c>
      <c r="AP40" s="9" t="n">
        <v>6990</v>
      </c>
      <c r="AQ40" s="9" t="n">
        <v>0</v>
      </c>
      <c r="AR40" s="9" t="n">
        <v>0</v>
      </c>
      <c r="AS40" s="9" t="n">
        <v>0</v>
      </c>
      <c r="AT40" s="9" t="n">
        <v>1209.4</v>
      </c>
      <c r="AU40" s="9" t="n">
        <v>0</v>
      </c>
      <c r="AV40" s="9" t="n">
        <v>0</v>
      </c>
      <c r="AW40" s="9" t="n">
        <v>0</v>
      </c>
      <c r="AX40" s="9" t="n">
        <v>0</v>
      </c>
      <c r="AY40" s="9" t="n">
        <v>1628</v>
      </c>
      <c r="AZ40" s="9" t="n">
        <v>625</v>
      </c>
      <c r="BA40" s="9" t="n">
        <v>0</v>
      </c>
      <c r="BB40" s="9" t="n">
        <v>0</v>
      </c>
      <c r="BC40" s="9" t="n">
        <v>0</v>
      </c>
      <c r="BD40" s="9" t="n">
        <v>0</v>
      </c>
      <c r="BE40" s="9" t="n">
        <v>0</v>
      </c>
      <c r="BF40" s="9" t="n">
        <v>0</v>
      </c>
      <c r="BG40" s="9" t="n">
        <v>0</v>
      </c>
      <c r="BH40" s="9" t="n">
        <v>60</v>
      </c>
      <c r="BI40" s="9" t="n">
        <v>82.40000000000001</v>
      </c>
      <c r="BJ40" s="9" t="n">
        <v>33.6</v>
      </c>
      <c r="BK40" s="9" t="n">
        <v>76</v>
      </c>
      <c r="BL40" s="9" t="n">
        <v>240</v>
      </c>
      <c r="BM40" s="9" t="n">
        <v>0</v>
      </c>
      <c r="BN40" s="9" t="n">
        <v>250</v>
      </c>
      <c r="BO40" s="9" t="n">
        <v>0</v>
      </c>
      <c r="BP40" s="9" t="n">
        <v>0</v>
      </c>
      <c r="BQ40" s="9" t="n">
        <v>0</v>
      </c>
      <c r="BR40" s="9" t="n">
        <v>0</v>
      </c>
      <c r="BS40" s="9" t="n">
        <v>694</v>
      </c>
      <c r="BT40" s="9" t="n">
        <v>417</v>
      </c>
      <c r="BU40" s="9" t="n">
        <v>558</v>
      </c>
      <c r="BV40" s="9" t="n">
        <v>121</v>
      </c>
      <c r="BW40" s="9" t="n">
        <v>0</v>
      </c>
      <c r="BX40" s="9" t="n">
        <v>0</v>
      </c>
      <c r="BY40" s="9" t="n">
        <v>0</v>
      </c>
      <c r="BZ40" s="9" t="n">
        <v>0</v>
      </c>
    </row>
    <row r="41">
      <c r="A41" s="9" t="inlineStr">
        <is>
          <t>USAGE</t>
        </is>
      </c>
      <c r="B41" s="9" t="n">
        <v>566158.5699999999</v>
      </c>
      <c r="C41" s="9" t="n">
        <v>285356.79</v>
      </c>
      <c r="D41" s="9" t="n">
        <v>57040</v>
      </c>
      <c r="E41" s="9" t="n">
        <v>1200</v>
      </c>
      <c r="F41" s="9" t="n">
        <v>0</v>
      </c>
      <c r="G41" s="9" t="n">
        <v>4620</v>
      </c>
      <c r="H41" s="9" t="n">
        <v>8613</v>
      </c>
      <c r="I41" s="9" t="n">
        <v>11039</v>
      </c>
      <c r="J41" s="9" t="n">
        <v>4131.72</v>
      </c>
      <c r="K41" s="9" t="n">
        <v>2052.36</v>
      </c>
      <c r="L41" s="9" t="n">
        <v>0</v>
      </c>
      <c r="M41" s="9" t="n">
        <v>12480</v>
      </c>
      <c r="N41" s="9" t="n">
        <v>300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1200</v>
      </c>
      <c r="Y41" s="9" t="n">
        <v>0</v>
      </c>
      <c r="Z41" s="9" t="n">
        <v>0</v>
      </c>
      <c r="AA41" s="9" t="n">
        <v>120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6280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3</v>
      </c>
      <c r="AP41" s="9" t="n">
        <v>1260</v>
      </c>
      <c r="AQ41" s="9" t="n">
        <v>0</v>
      </c>
      <c r="AR41" s="9" t="n">
        <v>0</v>
      </c>
      <c r="AS41" s="9" t="n">
        <v>0</v>
      </c>
      <c r="AT41" s="9" t="n">
        <v>1209.4</v>
      </c>
      <c r="AU41" s="9" t="n">
        <v>0</v>
      </c>
      <c r="AV41" s="9" t="n">
        <v>0</v>
      </c>
      <c r="AW41" s="9" t="n">
        <v>0</v>
      </c>
      <c r="AX41" s="9" t="n">
        <v>0</v>
      </c>
      <c r="AY41" s="9" t="n">
        <v>0</v>
      </c>
      <c r="AZ41" s="9" t="n">
        <v>620</v>
      </c>
      <c r="BA41" s="9" t="n">
        <v>0</v>
      </c>
      <c r="BB41" s="9" t="n">
        <v>0</v>
      </c>
      <c r="BC41" s="9" t="n">
        <v>0</v>
      </c>
      <c r="BD41" s="9" t="n">
        <v>0</v>
      </c>
      <c r="BE41" s="9" t="n">
        <v>0</v>
      </c>
      <c r="BF41" s="9" t="n">
        <v>0</v>
      </c>
      <c r="BG41" s="9" t="n">
        <v>0</v>
      </c>
      <c r="BH41" s="9" t="n">
        <v>60</v>
      </c>
      <c r="BI41" s="9" t="n">
        <v>60</v>
      </c>
      <c r="BJ41" s="9" t="n">
        <v>122.4</v>
      </c>
      <c r="BK41" s="9" t="n">
        <v>0</v>
      </c>
      <c r="BL41" s="9" t="n">
        <v>0</v>
      </c>
      <c r="BM41" s="9" t="n">
        <v>0</v>
      </c>
      <c r="BN41" s="9" t="n">
        <v>40</v>
      </c>
      <c r="BO41" s="9" t="n">
        <v>0</v>
      </c>
      <c r="BP41" s="9" t="n">
        <v>0</v>
      </c>
      <c r="BQ41" s="9" t="n">
        <v>142</v>
      </c>
      <c r="BR41" s="9" t="n">
        <v>0</v>
      </c>
      <c r="BS41" s="9" t="n">
        <v>0</v>
      </c>
      <c r="BT41" s="9" t="n">
        <v>3989</v>
      </c>
      <c r="BU41" s="9" t="n">
        <v>0</v>
      </c>
      <c r="BV41" s="9" t="n">
        <v>2295</v>
      </c>
      <c r="BW41" s="9" t="n">
        <v>0</v>
      </c>
      <c r="BX41" s="9" t="n">
        <v>0</v>
      </c>
      <c r="BY41" s="9" t="n">
        <v>0</v>
      </c>
      <c r="BZ41" s="9" t="n">
        <v>0</v>
      </c>
    </row>
    <row r="42">
      <c r="A42" s="9" t="inlineStr">
        <is>
          <t>ADJUUSTMENT</t>
        </is>
      </c>
      <c r="B42" s="9" t="n">
        <v>-37447.03000000003</v>
      </c>
      <c r="C42" s="9" t="n">
        <v>-1.209999999987076</v>
      </c>
      <c r="D42" s="9" t="n">
        <v>-14.2999999999995</v>
      </c>
      <c r="E42" s="9" t="n">
        <v>-0.6999999999999318</v>
      </c>
      <c r="F42" s="9" t="n">
        <v>0</v>
      </c>
      <c r="G42" s="9" t="n">
        <v>-0.4999999999998153</v>
      </c>
      <c r="H42" s="9" t="n">
        <v>396.6999999999998</v>
      </c>
      <c r="I42" s="9" t="n">
        <v>-1000.3</v>
      </c>
      <c r="J42" s="9" t="n">
        <v>1437.37</v>
      </c>
      <c r="K42" s="9" t="n">
        <v>-4114.610000000001</v>
      </c>
      <c r="L42" s="9" t="n">
        <v>0</v>
      </c>
      <c r="M42" s="9" t="n">
        <v>-534.8</v>
      </c>
      <c r="N42" s="9" t="n">
        <v>-0.5</v>
      </c>
      <c r="O42" s="9" t="n">
        <v>0</v>
      </c>
      <c r="Q42" s="9" t="n">
        <v>-351.76</v>
      </c>
      <c r="R42" s="9" t="n">
        <v>0</v>
      </c>
      <c r="S42" s="9" t="n">
        <v>0</v>
      </c>
      <c r="T42" s="9" t="n">
        <v>0</v>
      </c>
      <c r="U42" s="9" t="n">
        <v>-2980</v>
      </c>
      <c r="V42" s="9" t="n">
        <v>-4080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9" t="n">
        <v>0</v>
      </c>
      <c r="AC42" s="9" t="n">
        <v>-1620</v>
      </c>
      <c r="AD42" s="9" t="n">
        <v>0</v>
      </c>
      <c r="AE42" s="9" t="n">
        <v>0</v>
      </c>
      <c r="AF42" s="9" t="n">
        <v>2940</v>
      </c>
      <c r="AG42" s="9" t="n">
        <v>0</v>
      </c>
      <c r="AH42" s="9" t="n">
        <v>0</v>
      </c>
      <c r="AI42" s="9" t="n">
        <v>0</v>
      </c>
      <c r="AJ42" s="9" t="n">
        <v>0</v>
      </c>
      <c r="AK42" s="9" t="n">
        <v>0</v>
      </c>
      <c r="AL42" s="9" t="n">
        <v>0</v>
      </c>
      <c r="BI42" s="9" t="n">
        <v>-60</v>
      </c>
      <c r="BJ42" s="9" t="n">
        <v>-122.4</v>
      </c>
      <c r="BK42" s="9" t="n">
        <v>0</v>
      </c>
      <c r="BL42" s="9" t="n">
        <v>0</v>
      </c>
      <c r="BM42" s="9" t="n">
        <v>0</v>
      </c>
      <c r="BN42" s="9" t="n">
        <v>-40</v>
      </c>
      <c r="BO42" s="9" t="n">
        <v>785</v>
      </c>
    </row>
    <row r="43">
      <c r="A43" s="9" t="inlineStr">
        <is>
          <t>BALANCE</t>
        </is>
      </c>
      <c r="B43" s="9" t="n">
        <v>103607.8000000001</v>
      </c>
      <c r="C43" s="9" t="n">
        <v>51499.20000000007</v>
      </c>
      <c r="D43" s="9" t="n">
        <v>32731.99999999997</v>
      </c>
      <c r="E43" s="9" t="n">
        <v>33372.70000000002</v>
      </c>
      <c r="F43" s="9" t="n">
        <v>0</v>
      </c>
      <c r="G43" s="9" t="n">
        <v>13946.2</v>
      </c>
      <c r="H43" s="9" t="n">
        <v>36947.7</v>
      </c>
      <c r="I43" s="9" t="n">
        <v>0</v>
      </c>
      <c r="J43" s="9" t="n">
        <v>2388.779999999999</v>
      </c>
      <c r="K43" s="9" t="n">
        <v>0</v>
      </c>
      <c r="L43" s="9" t="n">
        <v>0</v>
      </c>
      <c r="M43" s="9" t="n">
        <v>8489.900000000007</v>
      </c>
      <c r="N43" s="9" t="n">
        <v>34934.49999999999</v>
      </c>
      <c r="O43" s="9" t="n">
        <v>5800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1160</v>
      </c>
      <c r="V43" s="9" t="n">
        <v>960</v>
      </c>
      <c r="W43" s="9" t="n">
        <v>1760</v>
      </c>
      <c r="X43" s="9" t="n">
        <v>400</v>
      </c>
      <c r="Y43" s="9" t="n">
        <v>3600</v>
      </c>
      <c r="Z43" s="9" t="n">
        <v>0</v>
      </c>
      <c r="AA43" s="9" t="n">
        <v>6680</v>
      </c>
      <c r="AB43" s="9" t="n">
        <v>720</v>
      </c>
      <c r="AC43" s="9" t="n">
        <v>6520</v>
      </c>
      <c r="AD43" s="9" t="n">
        <v>4960</v>
      </c>
      <c r="AE43" s="9" t="n">
        <v>0</v>
      </c>
      <c r="AF43" s="9" t="n">
        <v>0</v>
      </c>
      <c r="AG43" s="9" t="n">
        <v>2540</v>
      </c>
      <c r="AH43" s="9" t="n">
        <v>2359.5</v>
      </c>
      <c r="AI43" s="9" t="n">
        <v>1890</v>
      </c>
      <c r="AJ43" s="9" t="n">
        <v>3690</v>
      </c>
      <c r="AK43" s="9" t="n">
        <v>4000</v>
      </c>
      <c r="AL43" s="9" t="n">
        <v>0</v>
      </c>
      <c r="AM43" s="9" t="n">
        <v>0</v>
      </c>
      <c r="AN43" s="9" t="n">
        <v>0</v>
      </c>
      <c r="AO43" s="9" t="n">
        <v>3595</v>
      </c>
      <c r="AP43" s="9" t="n">
        <v>0</v>
      </c>
      <c r="AQ43" s="9" t="n">
        <v>1127</v>
      </c>
      <c r="AR43" s="9" t="n">
        <v>3112</v>
      </c>
      <c r="AS43" s="9" t="n">
        <v>1680.5</v>
      </c>
      <c r="AT43" s="9" t="n">
        <v>0</v>
      </c>
      <c r="AU43" s="9" t="n">
        <v>1482</v>
      </c>
      <c r="AV43" s="9" t="n">
        <v>0</v>
      </c>
      <c r="AW43" s="9" t="n">
        <v>100</v>
      </c>
      <c r="AX43" s="9" t="n">
        <v>13.96000000000004</v>
      </c>
      <c r="AY43" s="9" t="n">
        <v>1736</v>
      </c>
      <c r="AZ43" s="9" t="n">
        <v>250</v>
      </c>
      <c r="BA43" s="9" t="n">
        <v>207.6</v>
      </c>
      <c r="BB43" s="9" t="n">
        <v>147.04</v>
      </c>
      <c r="BC43" s="9" t="n">
        <v>46.8</v>
      </c>
      <c r="BD43" s="9" t="n">
        <v>0</v>
      </c>
      <c r="BE43" s="9" t="n">
        <v>24.2</v>
      </c>
      <c r="BF43" s="9" t="n">
        <v>32</v>
      </c>
      <c r="BG43" s="9" t="n">
        <v>0</v>
      </c>
      <c r="BH43" s="9" t="n">
        <v>0</v>
      </c>
      <c r="BI43" s="9" t="n">
        <v>22.40000000000001</v>
      </c>
      <c r="BJ43" s="9" t="n">
        <v>46.79999999999998</v>
      </c>
      <c r="BK43" s="9" t="n">
        <v>204</v>
      </c>
      <c r="BL43" s="9" t="n">
        <v>251.25</v>
      </c>
      <c r="BM43" s="9" t="n">
        <v>41.60000000000002</v>
      </c>
      <c r="BN43" s="9" t="n">
        <v>210</v>
      </c>
      <c r="BO43" s="9" t="n">
        <v>0</v>
      </c>
      <c r="BP43" s="9" t="n">
        <v>0</v>
      </c>
      <c r="BQ43" s="9" t="n">
        <v>1057</v>
      </c>
      <c r="BR43" s="9" t="n">
        <v>0</v>
      </c>
      <c r="BS43" s="9" t="n">
        <v>7507</v>
      </c>
      <c r="BT43" s="9" t="n">
        <v>4252</v>
      </c>
      <c r="BU43" s="9" t="n">
        <v>2179</v>
      </c>
      <c r="BV43" s="9" t="n">
        <v>4019</v>
      </c>
      <c r="BW43" s="9" t="n">
        <v>0</v>
      </c>
      <c r="BX43" s="9" t="n">
        <v>0</v>
      </c>
      <c r="BY43" s="9" t="n">
        <v>0</v>
      </c>
      <c r="BZ43" s="9" t="n">
        <v>0</v>
      </c>
    </row>
    <row r="44"/>
    <row r="45">
      <c r="A45" s="9" t="inlineStr">
        <is>
          <t>JUL</t>
        </is>
      </c>
      <c r="B45" s="9" t="inlineStr">
        <is>
          <t>MAIZE/CORN</t>
        </is>
      </c>
      <c r="C45" s="9" t="inlineStr">
        <is>
          <t>SOYBEAN MEAL (ARG)</t>
        </is>
      </c>
      <c r="D45" s="9" t="inlineStr">
        <is>
          <t>SOYBEAN FULL FAT</t>
        </is>
      </c>
      <c r="E45" s="9" t="inlineStr">
        <is>
          <t>WHEAT POLLARD</t>
        </is>
      </c>
      <c r="F45" s="9" t="inlineStr">
        <is>
          <t>WHEAT</t>
        </is>
      </c>
      <c r="G45" s="9" t="inlineStr">
        <is>
          <t>MEAT AND BONE MEAL</t>
        </is>
      </c>
      <c r="H45" s="9" t="inlineStr">
        <is>
          <t>CORN GLUTEN MEAL</t>
        </is>
      </c>
      <c r="I45" s="9" t="inlineStr">
        <is>
          <t>MEGAFAT (HARUMI)</t>
        </is>
      </c>
      <c r="J45" s="9" t="inlineStr">
        <is>
          <t>DCP 18%</t>
        </is>
      </c>
      <c r="K45" s="9" t="inlineStr">
        <is>
          <t>LIMESTONE POWDER (HARUMI)</t>
        </is>
      </c>
      <c r="L45" s="9" t="inlineStr">
        <is>
          <t>CHOLINE CHLORIDE 60%</t>
        </is>
      </c>
      <c r="M45" s="9" t="inlineStr">
        <is>
          <t>INDUSTRY FLOUR</t>
        </is>
      </c>
      <c r="N45" s="9" t="inlineStr">
        <is>
          <t>RICE BRAN</t>
        </is>
      </c>
      <c r="O45" s="9" t="inlineStr">
        <is>
          <t>EP 200</t>
        </is>
      </c>
      <c r="P45" s="9" t="inlineStr">
        <is>
          <t>SOYTIDE</t>
        </is>
      </c>
      <c r="Q45" s="9" t="inlineStr">
        <is>
          <t>DCP 18% (HARUMI)</t>
        </is>
      </c>
      <c r="R45" s="9" t="n">
        <v>1</v>
      </c>
      <c r="S45" s="9" t="n">
        <v>2</v>
      </c>
      <c r="T45" s="9" t="n">
        <v>3</v>
      </c>
      <c r="U45" s="9" t="inlineStr">
        <is>
          <t>PREMIX 1101 (20KG)</t>
        </is>
      </c>
      <c r="V45" s="9" t="inlineStr">
        <is>
          <t>PREMIX 1102 (20KG)</t>
        </is>
      </c>
      <c r="W45" s="9" t="inlineStr">
        <is>
          <t>PREMIX 1103 (20KG)</t>
        </is>
      </c>
      <c r="X45" s="9" t="inlineStr">
        <is>
          <t>PREMIX 311 (20KG)</t>
        </is>
      </c>
      <c r="Y45" s="9" t="inlineStr">
        <is>
          <t>PREMIX 312 (20KG)</t>
        </is>
      </c>
      <c r="Z45" s="9" t="n">
        <v>1</v>
      </c>
      <c r="AA45" s="9" t="inlineStr">
        <is>
          <t>PREMIX 8100 (20KG)</t>
        </is>
      </c>
      <c r="AB45" s="9" t="inlineStr">
        <is>
          <t>PREMIX 8101 (20KG)</t>
        </is>
      </c>
      <c r="AC45" s="9" t="inlineStr">
        <is>
          <t>PREMIX 8102 (20KG)</t>
        </is>
      </c>
      <c r="AD45" s="9" t="inlineStr">
        <is>
          <t>PREMIX 8103 (20KG)</t>
        </is>
      </c>
      <c r="AE45" s="9" t="inlineStr">
        <is>
          <t>PREMIX 8108 (20KG)</t>
        </is>
      </c>
      <c r="AF45" s="9" t="inlineStr">
        <is>
          <t>PREMIX 8109 (20KG)</t>
        </is>
      </c>
      <c r="AG45" s="9" t="inlineStr">
        <is>
          <t>YENMIX 121 (20KG)</t>
        </is>
      </c>
      <c r="AH45" s="9" t="inlineStr">
        <is>
          <t>YENMIX 122 (19.50KG)</t>
        </is>
      </c>
      <c r="AI45" s="9" t="inlineStr">
        <is>
          <t>YENMIX 123 (18.90KG)</t>
        </is>
      </c>
      <c r="AJ45" s="9" t="inlineStr">
        <is>
          <t>YENMIX 122 (20.50KG)</t>
        </is>
      </c>
      <c r="AK45" s="9" t="inlineStr">
        <is>
          <t>YENMIX 123 (20.00KG)</t>
        </is>
      </c>
      <c r="AL45" s="9" t="n">
        <v>1</v>
      </c>
      <c r="AM45" s="9" t="n">
        <v>2</v>
      </c>
      <c r="AN45" s="9" t="n">
        <v>3</v>
      </c>
      <c r="AO45" s="9" t="inlineStr">
        <is>
          <t>TOXISORB PREMIUM</t>
        </is>
      </c>
      <c r="AP45" s="9" t="inlineStr">
        <is>
          <t>SODIUM HUMATE 3.8% (HARUMI)</t>
        </is>
      </c>
      <c r="AQ45" s="9" t="inlineStr">
        <is>
          <t>TOXIWALL</t>
        </is>
      </c>
      <c r="AR45" s="9" t="inlineStr">
        <is>
          <t>SODIUM BICARBONATE</t>
        </is>
      </c>
      <c r="AS45" s="9" t="inlineStr">
        <is>
          <t>BMD 10%</t>
        </is>
      </c>
      <c r="AT45" s="9" t="inlineStr">
        <is>
          <t>SALT (HARUMI)</t>
        </is>
      </c>
      <c r="AU45" s="9" t="inlineStr">
        <is>
          <t>VISTABET 91</t>
        </is>
      </c>
      <c r="AV45" s="9" t="inlineStr">
        <is>
          <t>BETAFIN</t>
        </is>
      </c>
      <c r="AW45" s="9" t="inlineStr">
        <is>
          <t>8101 TOP UP</t>
        </is>
      </c>
      <c r="AX45" s="9" t="inlineStr">
        <is>
          <t>NORPONIN X03 (8102 TOP UP)</t>
        </is>
      </c>
      <c r="AY45" s="9" t="inlineStr">
        <is>
          <t>8102 TOP UP (4KG)</t>
        </is>
      </c>
      <c r="AZ45" s="9" t="inlineStr">
        <is>
          <t>8103 TOP UP (5KG)</t>
        </is>
      </c>
      <c r="BA45" s="9" t="inlineStr">
        <is>
          <t>L-ARGININE</t>
        </is>
      </c>
      <c r="BB45" s="9" t="inlineStr">
        <is>
          <t>DL-METHIONINE</t>
        </is>
      </c>
      <c r="BC45" s="9" t="inlineStr">
        <is>
          <t>L-THREONINE</t>
        </is>
      </c>
      <c r="BD45" s="9" t="inlineStr">
        <is>
          <t>L-LYSINE</t>
        </is>
      </c>
      <c r="BE45" s="9" t="inlineStr">
        <is>
          <t>FAECES DRY</t>
        </is>
      </c>
      <c r="BF45" s="9" t="inlineStr">
        <is>
          <t>ECOBIOL</t>
        </is>
      </c>
      <c r="BG45" s="9" t="inlineStr">
        <is>
          <t>ADDITIVE BROILER IMMUNE</t>
        </is>
      </c>
      <c r="BH45" s="9" t="inlineStr">
        <is>
          <t>MASTER CUBE (HARUMI)</t>
        </is>
      </c>
      <c r="BI45" s="9" t="inlineStr">
        <is>
          <t>1101 TOP UP (0.40KG)</t>
        </is>
      </c>
      <c r="BJ45" s="9" t="inlineStr">
        <is>
          <t>1102 TOP UP (0.60KG)</t>
        </is>
      </c>
      <c r="BK45" s="9" t="inlineStr">
        <is>
          <t>1103 TOP UP (2.00KG)</t>
        </is>
      </c>
      <c r="BL45" s="9" t="inlineStr">
        <is>
          <t>QUANTUM GLO 4%</t>
        </is>
      </c>
      <c r="BM45" s="9" t="inlineStr">
        <is>
          <t>SALT</t>
        </is>
      </c>
      <c r="BN45" s="9" t="inlineStr">
        <is>
          <t>OC 200 - OXYTET 20%</t>
        </is>
      </c>
      <c r="BO45" s="9" t="n">
        <v>3</v>
      </c>
      <c r="BP45" s="9" t="n">
        <v>4</v>
      </c>
      <c r="BQ45" s="9" t="inlineStr">
        <is>
          <t>WOVEN BAG (1101) - BLUE 50KG</t>
        </is>
      </c>
      <c r="BR45" s="9" t="inlineStr">
        <is>
          <t>WOVEN BAG (1102) - GREEN 50KG</t>
        </is>
      </c>
      <c r="BS45" s="9" t="inlineStr">
        <is>
          <t>WOVEN BAG (1103) - RED 50KG</t>
        </is>
      </c>
      <c r="BT45" s="9" t="inlineStr">
        <is>
          <t>PLAIN BAG 26" X 39" (50KG)</t>
        </is>
      </c>
      <c r="BU45" s="9" t="inlineStr">
        <is>
          <t>WOVEN BAG (8101) - KHAKI 50KG</t>
        </is>
      </c>
      <c r="BV45" s="9" t="inlineStr">
        <is>
          <t>WOVEN BAG (8102) - SKY BLUE 50KG</t>
        </is>
      </c>
      <c r="BW45" s="9" t="inlineStr">
        <is>
          <t>WOVEN BAG (8103) - BROWN 50KG</t>
        </is>
      </c>
      <c r="BX45" s="9" t="n">
        <v>1</v>
      </c>
      <c r="BY45" s="9" t="n">
        <v>2</v>
      </c>
      <c r="BZ45" s="9" t="n">
        <v>3</v>
      </c>
      <c r="CA45" s="9" t="n">
        <v>4</v>
      </c>
      <c r="CB45" s="9" t="n">
        <v>5</v>
      </c>
      <c r="CC45" s="9" t="n">
        <v>6</v>
      </c>
      <c r="CD45" s="9" t="n">
        <v>7</v>
      </c>
      <c r="CE45" s="9" t="n">
        <v>8</v>
      </c>
    </row>
    <row r="46">
      <c r="A46" s="9" t="inlineStr">
        <is>
          <t>OPENING</t>
        </is>
      </c>
      <c r="B46" s="9" t="n">
        <v>103607.8000000001</v>
      </c>
      <c r="C46" s="9" t="n">
        <v>51499.20000000007</v>
      </c>
      <c r="D46" s="9" t="n">
        <v>32731.99999999997</v>
      </c>
      <c r="E46" s="9" t="n">
        <v>33372.70000000002</v>
      </c>
      <c r="F46" s="9" t="n">
        <v>0</v>
      </c>
      <c r="G46" s="9" t="n">
        <v>13946.2</v>
      </c>
      <c r="H46" s="9" t="n">
        <v>36947.7</v>
      </c>
      <c r="I46" s="9" t="n">
        <v>0</v>
      </c>
      <c r="J46" s="9" t="n">
        <v>2388.779999999999</v>
      </c>
      <c r="K46" s="9" t="n">
        <v>0</v>
      </c>
      <c r="L46" s="9" t="n">
        <v>0</v>
      </c>
      <c r="M46" s="9" t="n">
        <v>8489.900000000007</v>
      </c>
      <c r="N46" s="9" t="n">
        <v>34934.49999999999</v>
      </c>
      <c r="O46" s="9" t="n">
        <v>5800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1160</v>
      </c>
      <c r="V46" s="9" t="n">
        <v>960</v>
      </c>
      <c r="W46" s="9" t="n">
        <v>1760</v>
      </c>
      <c r="X46" s="9" t="n">
        <v>400</v>
      </c>
      <c r="Y46" s="9" t="n">
        <v>3600</v>
      </c>
      <c r="Z46" s="9" t="n">
        <v>0</v>
      </c>
      <c r="AA46" s="9" t="n">
        <v>6680</v>
      </c>
      <c r="AB46" s="9" t="n">
        <v>720</v>
      </c>
      <c r="AC46" s="9" t="n">
        <v>6520</v>
      </c>
      <c r="AD46" s="9" t="n">
        <v>4960</v>
      </c>
      <c r="AE46" s="9" t="n">
        <v>0</v>
      </c>
      <c r="AF46" s="9" t="n">
        <v>0</v>
      </c>
      <c r="AG46" s="9" t="n">
        <v>2540</v>
      </c>
      <c r="AH46" s="9" t="n">
        <v>2359.5</v>
      </c>
      <c r="AI46" s="9" t="n">
        <v>1890</v>
      </c>
      <c r="AJ46" s="9" t="n">
        <v>3690</v>
      </c>
      <c r="AK46" s="9" t="n">
        <v>4000</v>
      </c>
      <c r="AL46" s="9" t="n">
        <v>0</v>
      </c>
      <c r="AM46" s="9" t="n">
        <v>0</v>
      </c>
      <c r="AN46" s="9" t="n">
        <v>0</v>
      </c>
      <c r="AO46" s="9" t="n">
        <v>3595</v>
      </c>
      <c r="AP46" s="9" t="n">
        <v>0</v>
      </c>
      <c r="AQ46" s="9" t="n">
        <v>1127</v>
      </c>
      <c r="AR46" s="9" t="n">
        <v>3112</v>
      </c>
      <c r="AS46" s="9" t="n">
        <v>1680.5</v>
      </c>
      <c r="AT46" s="9" t="n">
        <v>0</v>
      </c>
      <c r="AU46" s="9" t="n">
        <v>1482</v>
      </c>
      <c r="AV46" s="9" t="n">
        <v>0</v>
      </c>
      <c r="AW46" s="9" t="n">
        <v>100</v>
      </c>
      <c r="AX46" s="9" t="n">
        <v>13.96000000000004</v>
      </c>
      <c r="AY46" s="9" t="n">
        <v>1736</v>
      </c>
      <c r="AZ46" s="9" t="n">
        <v>250</v>
      </c>
      <c r="BA46" s="9" t="n">
        <v>207.6</v>
      </c>
      <c r="BB46" s="9" t="n">
        <v>147.04</v>
      </c>
      <c r="BC46" s="9" t="n">
        <v>46.8</v>
      </c>
      <c r="BD46" s="9" t="n">
        <v>0</v>
      </c>
      <c r="BE46" s="9" t="n">
        <v>24.2</v>
      </c>
      <c r="BF46" s="9" t="n">
        <v>32</v>
      </c>
      <c r="BG46" s="9" t="n">
        <v>0</v>
      </c>
      <c r="BH46" s="9" t="n">
        <v>0</v>
      </c>
      <c r="BI46" s="9" t="n">
        <v>22.40000000000001</v>
      </c>
      <c r="BJ46" s="9" t="n">
        <v>46.79999999999998</v>
      </c>
      <c r="BK46" s="9" t="n">
        <v>204</v>
      </c>
      <c r="BL46" s="9" t="n">
        <v>251.25</v>
      </c>
      <c r="BM46" s="9" t="n">
        <v>41.60000000000002</v>
      </c>
      <c r="BN46" s="9" t="n">
        <v>210</v>
      </c>
      <c r="BO46" s="9" t="n">
        <v>0</v>
      </c>
      <c r="BP46" s="9" t="n">
        <v>0</v>
      </c>
      <c r="BQ46" s="9" t="n">
        <v>1057</v>
      </c>
      <c r="BR46" s="9" t="n">
        <v>0</v>
      </c>
      <c r="BS46" s="9" t="n">
        <v>7507</v>
      </c>
      <c r="BT46" s="9" t="n">
        <v>4252</v>
      </c>
      <c r="BU46" s="9" t="n">
        <v>2179</v>
      </c>
      <c r="BV46" s="9" t="n">
        <v>4019</v>
      </c>
      <c r="BW46" s="9" t="n">
        <v>0</v>
      </c>
      <c r="BX46" s="9" t="n">
        <v>0</v>
      </c>
      <c r="BY46" s="9" t="n">
        <v>0</v>
      </c>
      <c r="BZ46" s="9" t="n">
        <v>0</v>
      </c>
    </row>
    <row r="47">
      <c r="A47" s="9" t="inlineStr">
        <is>
          <t>INTAKE</t>
        </is>
      </c>
      <c r="B47" s="9" t="n">
        <v>786310</v>
      </c>
      <c r="C47" s="9" t="n">
        <v>339170</v>
      </c>
      <c r="D47" s="9" t="n">
        <v>80250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13602.5</v>
      </c>
      <c r="J47" s="9" t="n">
        <v>6000</v>
      </c>
      <c r="K47" s="9" t="n">
        <v>0</v>
      </c>
      <c r="L47" s="9" t="n">
        <v>0</v>
      </c>
      <c r="M47" s="9" t="n">
        <v>35201.4</v>
      </c>
      <c r="N47" s="9" t="n">
        <v>0</v>
      </c>
      <c r="O47" s="9" t="n">
        <v>0</v>
      </c>
      <c r="P47" s="9" t="n">
        <v>0</v>
      </c>
      <c r="Q47" s="9" t="n">
        <v>4011.58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12006</v>
      </c>
      <c r="AQ47" s="9" t="n">
        <v>0</v>
      </c>
      <c r="AR47" s="9" t="n">
        <v>0</v>
      </c>
      <c r="AS47" s="9" t="n">
        <v>0</v>
      </c>
      <c r="AT47" s="9" t="n">
        <v>2089.6</v>
      </c>
      <c r="AU47" s="9" t="n">
        <v>0</v>
      </c>
      <c r="AV47" s="9" t="n">
        <v>0</v>
      </c>
      <c r="AW47" s="9" t="n">
        <v>0</v>
      </c>
      <c r="AX47" s="9" t="n">
        <v>0</v>
      </c>
      <c r="AY47" s="9" t="n">
        <v>484</v>
      </c>
      <c r="AZ47" s="9" t="n">
        <v>0</v>
      </c>
      <c r="BA47" s="9" t="n">
        <v>0</v>
      </c>
      <c r="BB47" s="9" t="n">
        <v>0</v>
      </c>
      <c r="BC47" s="9" t="n">
        <v>0</v>
      </c>
      <c r="BD47" s="9" t="n">
        <v>0</v>
      </c>
      <c r="BE47" s="9" t="n">
        <v>0</v>
      </c>
      <c r="BF47" s="9" t="n">
        <v>0</v>
      </c>
      <c r="BG47" s="9" t="n">
        <v>0</v>
      </c>
      <c r="BH47" s="9" t="n">
        <v>0</v>
      </c>
      <c r="BI47" s="9" t="n">
        <v>0</v>
      </c>
      <c r="BJ47" s="9" t="n">
        <v>0</v>
      </c>
      <c r="BK47" s="9" t="n">
        <v>0</v>
      </c>
      <c r="BL47" s="9" t="n">
        <v>0</v>
      </c>
      <c r="BM47" s="9" t="n">
        <v>0</v>
      </c>
      <c r="BN47" s="9" t="n">
        <v>0</v>
      </c>
      <c r="BO47" s="9" t="n">
        <v>0</v>
      </c>
      <c r="BP47" s="9" t="n">
        <v>0</v>
      </c>
      <c r="BQ47" s="9" t="n">
        <v>0</v>
      </c>
      <c r="BR47" s="9" t="n">
        <v>0</v>
      </c>
      <c r="BS47" s="9" t="n">
        <v>0</v>
      </c>
      <c r="BT47" s="9" t="n">
        <v>0</v>
      </c>
      <c r="BU47" s="9" t="n">
        <v>0</v>
      </c>
      <c r="BV47" s="9" t="n">
        <v>0</v>
      </c>
      <c r="BW47" s="9" t="n">
        <v>0</v>
      </c>
      <c r="BX47" s="9" t="n">
        <v>0</v>
      </c>
      <c r="BY47" s="9" t="n">
        <v>0</v>
      </c>
      <c r="BZ47" s="9" t="n">
        <v>0</v>
      </c>
    </row>
    <row r="48">
      <c r="A48" s="9" t="inlineStr">
        <is>
          <t>USAGE</t>
        </is>
      </c>
      <c r="B48" s="9" t="n">
        <v>345123.8</v>
      </c>
      <c r="C48" s="9" t="n">
        <v>193692.6</v>
      </c>
      <c r="D48" s="9" t="n">
        <v>32980</v>
      </c>
      <c r="E48" s="9" t="n">
        <v>1500</v>
      </c>
      <c r="F48" s="9" t="n">
        <v>0</v>
      </c>
      <c r="G48" s="9" t="n">
        <v>1826</v>
      </c>
      <c r="H48" s="9" t="n">
        <v>4416</v>
      </c>
      <c r="I48" s="9" t="n">
        <v>6673</v>
      </c>
      <c r="J48" s="9" t="n">
        <v>3159.83</v>
      </c>
      <c r="K48" s="9" t="n">
        <v>1394</v>
      </c>
      <c r="L48" s="9" t="n">
        <v>0</v>
      </c>
      <c r="M48" s="9" t="n">
        <v>7320</v>
      </c>
      <c r="N48" s="9" t="n">
        <v>2650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320</v>
      </c>
      <c r="V48" s="9" t="n">
        <v>280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760</v>
      </c>
      <c r="AB48" s="9" t="n">
        <v>0</v>
      </c>
      <c r="AC48" s="9" t="n">
        <v>840</v>
      </c>
      <c r="AD48" s="9" t="n">
        <v>0</v>
      </c>
      <c r="AE48" s="9" t="n">
        <v>0</v>
      </c>
      <c r="AF48" s="9" t="n">
        <v>2520</v>
      </c>
      <c r="AG48" s="9" t="n">
        <v>0</v>
      </c>
      <c r="AH48" s="9" t="n">
        <v>0</v>
      </c>
      <c r="AI48" s="9" t="n">
        <v>0</v>
      </c>
      <c r="AJ48" s="9" t="n">
        <v>0</v>
      </c>
      <c r="AK48" s="9" t="n">
        <v>0</v>
      </c>
      <c r="AL48" s="9" t="n">
        <v>0</v>
      </c>
      <c r="AM48" s="9" t="n">
        <v>0</v>
      </c>
      <c r="AN48" s="9" t="n">
        <v>0</v>
      </c>
      <c r="AO48" s="9" t="n">
        <v>34</v>
      </c>
      <c r="AP48" s="9" t="n">
        <v>618</v>
      </c>
      <c r="AQ48" s="9" t="n">
        <v>0</v>
      </c>
      <c r="AR48" s="9" t="n">
        <v>0</v>
      </c>
      <c r="AS48" s="9" t="n">
        <v>0</v>
      </c>
      <c r="AT48" s="9" t="n">
        <v>2089.6</v>
      </c>
      <c r="AU48" s="9" t="n">
        <v>0</v>
      </c>
      <c r="AV48" s="9" t="n">
        <v>0</v>
      </c>
      <c r="AW48" s="9" t="n">
        <v>0</v>
      </c>
      <c r="AX48" s="9" t="n">
        <v>0</v>
      </c>
      <c r="AY48" s="9" t="n">
        <v>936</v>
      </c>
      <c r="AZ48" s="9" t="n">
        <v>250</v>
      </c>
      <c r="BA48" s="9" t="n">
        <v>0</v>
      </c>
      <c r="BB48" s="9" t="n">
        <v>0</v>
      </c>
      <c r="BC48" s="9" t="n">
        <v>0</v>
      </c>
      <c r="BD48" s="9" t="n">
        <v>0</v>
      </c>
      <c r="BE48" s="9" t="n">
        <v>0</v>
      </c>
      <c r="BF48" s="9" t="n">
        <v>0</v>
      </c>
      <c r="BG48" s="9" t="n">
        <v>0</v>
      </c>
      <c r="BH48" s="9" t="n">
        <v>0</v>
      </c>
      <c r="BI48" s="9" t="n">
        <v>12</v>
      </c>
      <c r="BJ48" s="9" t="n">
        <v>0</v>
      </c>
      <c r="BK48" s="9" t="n">
        <v>0</v>
      </c>
      <c r="BL48" s="9" t="n">
        <v>48.75</v>
      </c>
      <c r="BM48" s="9" t="n">
        <v>0</v>
      </c>
      <c r="BN48" s="9" t="n">
        <v>0</v>
      </c>
      <c r="BO48" s="9" t="n">
        <v>0</v>
      </c>
      <c r="BP48" s="9" t="n">
        <v>0</v>
      </c>
      <c r="BQ48" s="9" t="n">
        <v>0</v>
      </c>
      <c r="BR48" s="9" t="n">
        <v>0</v>
      </c>
      <c r="BS48" s="9" t="n">
        <v>0</v>
      </c>
      <c r="BT48" s="9" t="n">
        <v>0</v>
      </c>
      <c r="BU48" s="9" t="n">
        <v>0</v>
      </c>
      <c r="BV48" s="9" t="n">
        <v>0</v>
      </c>
      <c r="BW48" s="9" t="n">
        <v>0</v>
      </c>
      <c r="BX48" s="9" t="n">
        <v>0</v>
      </c>
      <c r="BY48" s="9" t="n">
        <v>0</v>
      </c>
      <c r="BZ48" s="9" t="n">
        <v>0</v>
      </c>
    </row>
    <row r="49">
      <c r="A49" s="9" t="inlineStr">
        <is>
          <t>ADJUUSTMENT</t>
        </is>
      </c>
      <c r="B49" s="9" t="n">
        <v>-353844.6</v>
      </c>
      <c r="C49" s="9" t="n">
        <v>-143959</v>
      </c>
      <c r="D49" s="9" t="n">
        <v>-37327.80000000001</v>
      </c>
      <c r="E49" s="9" t="n">
        <v>-27350.5</v>
      </c>
      <c r="F49" s="9" t="n">
        <v>0</v>
      </c>
      <c r="G49" s="9" t="n">
        <v>-11995.2</v>
      </c>
      <c r="H49" s="9" t="n">
        <v>-6379.800000000001</v>
      </c>
      <c r="I49" s="9" t="n">
        <v>-6929.499999999998</v>
      </c>
      <c r="J49" s="9" t="n">
        <v>-1906.45</v>
      </c>
      <c r="K49" s="9" t="n">
        <v>-8883.079999999998</v>
      </c>
      <c r="L49" s="9" t="n">
        <v>0</v>
      </c>
      <c r="M49" s="9" t="n">
        <v>-8933.1</v>
      </c>
      <c r="N49" s="9" t="n">
        <v>-13502.2</v>
      </c>
      <c r="O49" s="9" t="n">
        <v>0</v>
      </c>
      <c r="Q49" s="9" t="n">
        <v>-4011.58</v>
      </c>
      <c r="R49" s="9" t="n">
        <v>0</v>
      </c>
      <c r="S49" s="9" t="n">
        <v>0</v>
      </c>
      <c r="T49" s="9" t="n">
        <v>0</v>
      </c>
      <c r="U49" s="9" t="n">
        <v>-300</v>
      </c>
      <c r="V49" s="9" t="n">
        <v>280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-4000</v>
      </c>
      <c r="AD49" s="9" t="n">
        <v>0</v>
      </c>
      <c r="AE49" s="9" t="n">
        <v>0</v>
      </c>
      <c r="AF49" s="9" t="n">
        <v>2520</v>
      </c>
      <c r="AG49" s="9" t="n">
        <v>0</v>
      </c>
      <c r="AH49" s="9" t="n">
        <v>0</v>
      </c>
      <c r="AJ49" s="9" t="n">
        <v>0</v>
      </c>
      <c r="AK49" s="9" t="n">
        <v>0</v>
      </c>
      <c r="AL49" s="9" t="n">
        <v>0</v>
      </c>
      <c r="BI49" s="9" t="n">
        <v>303</v>
      </c>
      <c r="BJ49" s="9" t="n">
        <v>315</v>
      </c>
      <c r="BK49" s="9" t="n">
        <v>315</v>
      </c>
      <c r="BL49" s="9" t="n">
        <v>-48.75</v>
      </c>
      <c r="BM49" s="9" t="n">
        <v>0</v>
      </c>
      <c r="BN49" s="9" t="n">
        <v>0</v>
      </c>
      <c r="BO49" s="9" t="n">
        <v>315</v>
      </c>
    </row>
    <row r="50">
      <c r="A50" s="9" t="inlineStr">
        <is>
          <t>BALANCE</t>
        </is>
      </c>
      <c r="B50" s="9" t="n">
        <v>190949.4</v>
      </c>
      <c r="C50" s="9" t="n">
        <v>53017.60000000007</v>
      </c>
      <c r="D50" s="9" t="n">
        <v>42674.19999999997</v>
      </c>
      <c r="E50" s="9" t="n">
        <v>4522.200000000019</v>
      </c>
      <c r="F50" s="9" t="n">
        <v>0</v>
      </c>
      <c r="G50" s="9" t="n">
        <v>124.9999999999952</v>
      </c>
      <c r="H50" s="9" t="n">
        <v>26151.9</v>
      </c>
      <c r="I50" s="9" t="n">
        <v>0</v>
      </c>
      <c r="J50" s="9" t="n">
        <v>3322.499999999999</v>
      </c>
      <c r="K50" s="9" t="n">
        <v>-10277.08</v>
      </c>
      <c r="L50" s="9" t="n">
        <v>0</v>
      </c>
      <c r="M50" s="9" t="n">
        <v>27438.20000000001</v>
      </c>
      <c r="N50" s="9" t="n">
        <v>18782.29999999998</v>
      </c>
      <c r="O50" s="9" t="n">
        <v>5800</v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540</v>
      </c>
      <c r="V50" s="9" t="n">
        <v>960</v>
      </c>
      <c r="W50" s="9" t="n">
        <v>1760</v>
      </c>
      <c r="X50" s="9" t="n">
        <v>400</v>
      </c>
      <c r="Y50" s="9" t="n">
        <v>3600</v>
      </c>
      <c r="Z50" s="9" t="n">
        <v>0</v>
      </c>
      <c r="AA50" s="9" t="n">
        <v>5920</v>
      </c>
      <c r="AB50" s="9" t="n">
        <v>720</v>
      </c>
      <c r="AC50" s="9" t="n">
        <v>1680</v>
      </c>
      <c r="AD50" s="9" t="n">
        <v>4960</v>
      </c>
      <c r="AE50" s="9" t="n">
        <v>0</v>
      </c>
      <c r="AF50" s="9" t="n">
        <v>0</v>
      </c>
      <c r="AG50" s="9" t="n">
        <v>2540</v>
      </c>
      <c r="AH50" s="9" t="n">
        <v>2359.5</v>
      </c>
      <c r="AI50" s="9" t="n">
        <v>1890</v>
      </c>
      <c r="AJ50" s="9" t="n">
        <v>3690</v>
      </c>
      <c r="AK50" s="9" t="n">
        <v>4000</v>
      </c>
      <c r="AL50" s="9" t="n">
        <v>0</v>
      </c>
      <c r="AM50" s="9" t="n">
        <v>0</v>
      </c>
      <c r="AN50" s="9" t="n">
        <v>0</v>
      </c>
      <c r="AO50" s="9" t="n">
        <v>2216</v>
      </c>
      <c r="AP50" s="9" t="n">
        <v>0</v>
      </c>
      <c r="AQ50" s="9" t="n">
        <v>1127</v>
      </c>
      <c r="AR50" s="9" t="n">
        <v>3112</v>
      </c>
      <c r="AS50" s="9" t="n">
        <v>1680.5</v>
      </c>
      <c r="AT50" s="9" t="n">
        <v>0</v>
      </c>
      <c r="AU50" s="9" t="n">
        <v>1482</v>
      </c>
      <c r="AV50" s="9" t="n">
        <v>0</v>
      </c>
      <c r="AW50" s="9" t="n">
        <v>100</v>
      </c>
      <c r="AX50" s="9" t="n">
        <v>13.96000000000004</v>
      </c>
      <c r="AY50" s="9" t="n">
        <v>1284</v>
      </c>
      <c r="AZ50" s="9" t="n">
        <v>0</v>
      </c>
      <c r="BA50" s="9" t="n">
        <v>207.6</v>
      </c>
      <c r="BB50" s="9" t="n">
        <v>147.04</v>
      </c>
      <c r="BC50" s="9" t="n">
        <v>46.8</v>
      </c>
      <c r="BD50" s="9" t="n">
        <v>0</v>
      </c>
      <c r="BE50" s="9" t="n">
        <v>24.2</v>
      </c>
      <c r="BF50" s="9" t="n">
        <v>32</v>
      </c>
      <c r="BG50" s="9" t="n">
        <v>0</v>
      </c>
      <c r="BH50" s="9" t="n">
        <v>0</v>
      </c>
      <c r="BI50" s="9" t="n">
        <v>10.40000000000001</v>
      </c>
      <c r="BJ50" s="9" t="n">
        <v>46.79999999999998</v>
      </c>
      <c r="BK50" s="9" t="n">
        <v>204</v>
      </c>
      <c r="BL50" s="9" t="n">
        <v>202.5</v>
      </c>
      <c r="BM50" s="9" t="n">
        <v>41.60000000000002</v>
      </c>
      <c r="BN50" s="9" t="n">
        <v>210</v>
      </c>
      <c r="BO50" s="9" t="n">
        <v>0</v>
      </c>
      <c r="BP50" s="9" t="n">
        <v>0</v>
      </c>
      <c r="BQ50" s="9" t="n">
        <v>1057</v>
      </c>
      <c r="BR50" s="9" t="n">
        <v>0</v>
      </c>
      <c r="BS50" s="9" t="n">
        <v>7507</v>
      </c>
      <c r="BT50" s="9" t="n">
        <v>4252</v>
      </c>
      <c r="BU50" s="9" t="n">
        <v>2179</v>
      </c>
      <c r="BV50" s="9" t="n">
        <v>4019</v>
      </c>
      <c r="BW50" s="9" t="n">
        <v>0</v>
      </c>
      <c r="BX50" s="9" t="n">
        <v>0</v>
      </c>
      <c r="BY50" s="9" t="n">
        <v>0</v>
      </c>
      <c r="BZ50" s="9" t="n">
        <v>0</v>
      </c>
    </row>
    <row r="51"/>
    <row r="52">
      <c r="A52" s="9" t="inlineStr">
        <is>
          <t>AUG</t>
        </is>
      </c>
      <c r="B52" s="9" t="inlineStr">
        <is>
          <t>MAIZE/CORN</t>
        </is>
      </c>
      <c r="C52" s="9" t="inlineStr">
        <is>
          <t>SOYBEAN MEAL (ARG)</t>
        </is>
      </c>
      <c r="D52" s="9" t="inlineStr">
        <is>
          <t>SOYBEAN FULL FAT</t>
        </is>
      </c>
      <c r="E52" s="9" t="inlineStr">
        <is>
          <t>WHEAT POLLARD</t>
        </is>
      </c>
      <c r="F52" s="9" t="inlineStr">
        <is>
          <t>WHEAT</t>
        </is>
      </c>
      <c r="G52" s="9" t="inlineStr">
        <is>
          <t>MEAT AND BONE MEAL</t>
        </is>
      </c>
      <c r="H52" s="9" t="inlineStr">
        <is>
          <t>CORN GLUTEN MEAL</t>
        </is>
      </c>
      <c r="I52" s="9" t="inlineStr">
        <is>
          <t>MEGAFAT (HARUMI)</t>
        </is>
      </c>
      <c r="J52" s="9" t="inlineStr">
        <is>
          <t>DCP 18%</t>
        </is>
      </c>
      <c r="K52" s="9" t="inlineStr">
        <is>
          <t>LIMESTONE POWDER (HARUMI)</t>
        </is>
      </c>
      <c r="L52" s="9" t="inlineStr">
        <is>
          <t>CHOLINE CHLORIDE 60%</t>
        </is>
      </c>
      <c r="M52" s="9" t="inlineStr">
        <is>
          <t>INDUSTRY FLOUR</t>
        </is>
      </c>
      <c r="N52" s="9" t="inlineStr">
        <is>
          <t>RICE BRAN</t>
        </is>
      </c>
      <c r="O52" s="9" t="inlineStr">
        <is>
          <t>EP 200</t>
        </is>
      </c>
      <c r="P52" s="9" t="inlineStr">
        <is>
          <t>SOYTIDE</t>
        </is>
      </c>
      <c r="Q52" s="9" t="inlineStr">
        <is>
          <t>DCP 18% (HARUMI)</t>
        </is>
      </c>
      <c r="R52" s="9" t="n">
        <v>1</v>
      </c>
      <c r="S52" s="9" t="n">
        <v>2</v>
      </c>
      <c r="T52" s="9" t="n">
        <v>3</v>
      </c>
      <c r="U52" s="9" t="inlineStr">
        <is>
          <t>PREMIX 1101 (20KG)</t>
        </is>
      </c>
      <c r="V52" s="9" t="inlineStr">
        <is>
          <t>PREMIX 1102 (20KG)</t>
        </is>
      </c>
      <c r="W52" s="9" t="inlineStr">
        <is>
          <t>PREMIX 1103 (20KG)</t>
        </is>
      </c>
      <c r="X52" s="9" t="inlineStr">
        <is>
          <t>PREMIX 311 (20KG)</t>
        </is>
      </c>
      <c r="Y52" s="9" t="inlineStr">
        <is>
          <t>PREMIX 312 (20KG)</t>
        </is>
      </c>
      <c r="Z52" s="9" t="n">
        <v>1</v>
      </c>
      <c r="AA52" s="9" t="inlineStr">
        <is>
          <t>PREMIX 8100 (20KG)</t>
        </is>
      </c>
      <c r="AB52" s="9" t="inlineStr">
        <is>
          <t>PREMIX 8101 (20KG)</t>
        </is>
      </c>
      <c r="AC52" s="9" t="inlineStr">
        <is>
          <t>PREMIX 8102 (20KG)</t>
        </is>
      </c>
      <c r="AD52" s="9" t="inlineStr">
        <is>
          <t>PREMIX 8103 (20KG)</t>
        </is>
      </c>
      <c r="AE52" s="9" t="inlineStr">
        <is>
          <t>PREMIX 8108 (20KG)</t>
        </is>
      </c>
      <c r="AF52" s="9" t="inlineStr">
        <is>
          <t>PREMIX 8109 (20KG)</t>
        </is>
      </c>
      <c r="AG52" s="9" t="inlineStr">
        <is>
          <t>YENMIX 121 (20KG)</t>
        </is>
      </c>
      <c r="AH52" s="9" t="inlineStr">
        <is>
          <t>YENMIX 122 (19.50KG)</t>
        </is>
      </c>
      <c r="AI52" s="9" t="inlineStr">
        <is>
          <t>YENMIX 123 (18.90KG)</t>
        </is>
      </c>
      <c r="AJ52" s="9" t="inlineStr">
        <is>
          <t>YENMIX 122 (20.50KG)</t>
        </is>
      </c>
      <c r="AK52" s="9" t="inlineStr">
        <is>
          <t>YENMIX 123 (20.00KG)</t>
        </is>
      </c>
      <c r="AL52" s="9" t="n">
        <v>1</v>
      </c>
      <c r="AM52" s="9" t="n">
        <v>2</v>
      </c>
      <c r="AN52" s="9" t="n">
        <v>3</v>
      </c>
      <c r="AO52" s="9" t="inlineStr">
        <is>
          <t>TOXISORB PREMIUM</t>
        </is>
      </c>
      <c r="AP52" s="9" t="inlineStr">
        <is>
          <t>SODIUM HUMATE 3.8% (HARUMI)</t>
        </is>
      </c>
      <c r="AQ52" s="9" t="inlineStr">
        <is>
          <t>TOXIWALL</t>
        </is>
      </c>
      <c r="AR52" s="9" t="inlineStr">
        <is>
          <t>SODIUM BICARBONATE</t>
        </is>
      </c>
      <c r="AS52" s="9" t="inlineStr">
        <is>
          <t>BMD 10%</t>
        </is>
      </c>
      <c r="AT52" s="9" t="inlineStr">
        <is>
          <t>SALT (HARUMI)</t>
        </is>
      </c>
      <c r="AU52" s="9" t="inlineStr">
        <is>
          <t>VISTABET 91</t>
        </is>
      </c>
      <c r="AV52" s="9" t="inlineStr">
        <is>
          <t>BETAFIN</t>
        </is>
      </c>
      <c r="AW52" s="9" t="inlineStr">
        <is>
          <t>8101 TOP UP</t>
        </is>
      </c>
      <c r="AX52" s="9" t="inlineStr">
        <is>
          <t>NORPONIN X03 (8102 TOP UP)</t>
        </is>
      </c>
      <c r="AY52" s="9" t="inlineStr">
        <is>
          <t>8102 TOP UP (4KG)</t>
        </is>
      </c>
      <c r="AZ52" s="9" t="inlineStr">
        <is>
          <t>8103 TOP UP (5KG)</t>
        </is>
      </c>
      <c r="BA52" s="9" t="inlineStr">
        <is>
          <t>L-ARGININE</t>
        </is>
      </c>
      <c r="BB52" s="9" t="inlineStr">
        <is>
          <t>DL-METHIONINE</t>
        </is>
      </c>
      <c r="BC52" s="9" t="inlineStr">
        <is>
          <t>L-THREONINE</t>
        </is>
      </c>
      <c r="BD52" s="9" t="inlineStr">
        <is>
          <t>L-LYSINE</t>
        </is>
      </c>
      <c r="BE52" s="9" t="inlineStr">
        <is>
          <t>FAECES DRY</t>
        </is>
      </c>
      <c r="BF52" s="9" t="inlineStr">
        <is>
          <t>ECOBIOL</t>
        </is>
      </c>
      <c r="BG52" s="9" t="inlineStr">
        <is>
          <t>ADDITIVE BROILER IMMUNE</t>
        </is>
      </c>
      <c r="BH52" s="9" t="inlineStr">
        <is>
          <t>MASTER CUBE (HARUMI)</t>
        </is>
      </c>
      <c r="BI52" s="9" t="inlineStr">
        <is>
          <t>1101 TOP UP (0.40KG)</t>
        </is>
      </c>
      <c r="BJ52" s="9" t="inlineStr">
        <is>
          <t>1102 TOP UP (0.60KG)</t>
        </is>
      </c>
      <c r="BK52" s="9" t="inlineStr">
        <is>
          <t>1103 TOP UP (2.00KG)</t>
        </is>
      </c>
      <c r="BL52" s="9" t="inlineStr">
        <is>
          <t>QUANTUM GLO 4%</t>
        </is>
      </c>
      <c r="BM52" s="9" t="inlineStr">
        <is>
          <t>SALT</t>
        </is>
      </c>
      <c r="BN52" s="9" t="inlineStr">
        <is>
          <t>OC 200 - OXYTET 20%</t>
        </is>
      </c>
      <c r="BO52" s="9" t="n">
        <v>3</v>
      </c>
      <c r="BP52" s="9" t="n">
        <v>4</v>
      </c>
      <c r="BQ52" s="9" t="inlineStr">
        <is>
          <t>WOVEN BAG (1101) - BLUE 50KG</t>
        </is>
      </c>
      <c r="BR52" s="9" t="inlineStr">
        <is>
          <t>WOVEN BAG (1102) - GREEN 50KG</t>
        </is>
      </c>
      <c r="BS52" s="9" t="inlineStr">
        <is>
          <t>WOVEN BAG (1103) - RED 50KG</t>
        </is>
      </c>
      <c r="BT52" s="9" t="inlineStr">
        <is>
          <t>PLAIN BAG 26" X 39" (50KG)</t>
        </is>
      </c>
      <c r="BU52" s="9" t="inlineStr">
        <is>
          <t>WOVEN BAG (8101) - KHAKI 50KG</t>
        </is>
      </c>
      <c r="BV52" s="9" t="inlineStr">
        <is>
          <t>WOVEN BAG (8102) - SKY BLUE 50KG</t>
        </is>
      </c>
      <c r="BW52" s="9" t="inlineStr">
        <is>
          <t>WOVEN BAG (8103) - BROWN 50KG</t>
        </is>
      </c>
      <c r="BX52" s="9" t="n">
        <v>1</v>
      </c>
      <c r="BY52" s="9" t="n">
        <v>2</v>
      </c>
      <c r="BZ52" s="9" t="n">
        <v>3</v>
      </c>
      <c r="CA52" s="9" t="n">
        <v>4</v>
      </c>
      <c r="CB52" s="9" t="n">
        <v>5</v>
      </c>
      <c r="CC52" s="9" t="n">
        <v>6</v>
      </c>
      <c r="CD52" s="9" t="n">
        <v>7</v>
      </c>
      <c r="CE52" s="9" t="n">
        <v>8</v>
      </c>
    </row>
    <row r="53">
      <c r="A53" s="9" t="inlineStr">
        <is>
          <t>OPENING</t>
        </is>
      </c>
      <c r="B53" s="9" t="n">
        <v>190949.4</v>
      </c>
      <c r="C53" s="9" t="n">
        <v>53017.60000000007</v>
      </c>
      <c r="D53" s="9" t="n">
        <v>42674.19999999997</v>
      </c>
      <c r="E53" s="9" t="n">
        <v>4522.200000000019</v>
      </c>
      <c r="F53" s="9" t="n">
        <v>0</v>
      </c>
      <c r="G53" s="9" t="n">
        <v>124.9999999999952</v>
      </c>
      <c r="H53" s="9" t="n">
        <v>26151.9</v>
      </c>
      <c r="I53" s="9" t="n">
        <v>0</v>
      </c>
      <c r="J53" s="9" t="n">
        <v>3322.499999999999</v>
      </c>
      <c r="K53" s="9" t="n">
        <v>-10277.08</v>
      </c>
      <c r="L53" s="9" t="n">
        <v>0</v>
      </c>
      <c r="M53" s="9" t="n">
        <v>27438.20000000001</v>
      </c>
      <c r="N53" s="9" t="n">
        <v>18782.29999999998</v>
      </c>
      <c r="O53" s="9" t="n">
        <v>5800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540</v>
      </c>
      <c r="V53" s="9" t="n">
        <v>960</v>
      </c>
      <c r="W53" s="9" t="n">
        <v>1760</v>
      </c>
      <c r="X53" s="9" t="n">
        <v>400</v>
      </c>
      <c r="Y53" s="9" t="n">
        <v>3600</v>
      </c>
      <c r="Z53" s="9" t="n">
        <v>0</v>
      </c>
      <c r="AA53" s="9" t="n">
        <v>5920</v>
      </c>
      <c r="AB53" s="9" t="n">
        <v>720</v>
      </c>
      <c r="AC53" s="9" t="n">
        <v>1680</v>
      </c>
      <c r="AD53" s="9" t="n">
        <v>4960</v>
      </c>
      <c r="AE53" s="9" t="n">
        <v>0</v>
      </c>
      <c r="AF53" s="9" t="n">
        <v>0</v>
      </c>
      <c r="AG53" s="9" t="n">
        <v>2540</v>
      </c>
      <c r="AH53" s="9" t="n">
        <v>2359.5</v>
      </c>
      <c r="AI53" s="9" t="n">
        <v>1890</v>
      </c>
      <c r="AJ53" s="9" t="n">
        <v>3690</v>
      </c>
      <c r="AK53" s="9" t="n">
        <v>4000</v>
      </c>
      <c r="AL53" s="9" t="n">
        <v>0</v>
      </c>
      <c r="AM53" s="9" t="n">
        <v>0</v>
      </c>
      <c r="AN53" s="9" t="n">
        <v>0</v>
      </c>
      <c r="AO53" s="9" t="n">
        <v>2216</v>
      </c>
      <c r="AP53" s="9" t="n">
        <v>0</v>
      </c>
      <c r="AQ53" s="9" t="n">
        <v>1127</v>
      </c>
      <c r="AR53" s="9" t="n">
        <v>3112</v>
      </c>
      <c r="AS53" s="9" t="n">
        <v>1680.5</v>
      </c>
      <c r="AT53" s="9" t="n">
        <v>0</v>
      </c>
      <c r="AU53" s="9" t="n">
        <v>1482</v>
      </c>
      <c r="AV53" s="9" t="n">
        <v>0</v>
      </c>
      <c r="AW53" s="9" t="n">
        <v>100</v>
      </c>
      <c r="AX53" s="9" t="n">
        <v>13.96000000000004</v>
      </c>
      <c r="AY53" s="9" t="n">
        <v>1284</v>
      </c>
      <c r="AZ53" s="9" t="n">
        <v>0</v>
      </c>
      <c r="BA53" s="9" t="n">
        <v>207.6</v>
      </c>
      <c r="BB53" s="9" t="n">
        <v>147.04</v>
      </c>
      <c r="BC53" s="9" t="n">
        <v>46.8</v>
      </c>
      <c r="BD53" s="9" t="n">
        <v>0</v>
      </c>
      <c r="BE53" s="9" t="n">
        <v>24.2</v>
      </c>
      <c r="BF53" s="9" t="n">
        <v>32</v>
      </c>
      <c r="BG53" s="9" t="n">
        <v>0</v>
      </c>
      <c r="BH53" s="9" t="n">
        <v>0</v>
      </c>
      <c r="BI53" s="9" t="n">
        <v>10.40000000000001</v>
      </c>
      <c r="BJ53" s="9" t="n">
        <v>46.79999999999998</v>
      </c>
      <c r="BK53" s="9" t="n">
        <v>204</v>
      </c>
      <c r="BL53" s="9" t="n">
        <v>202.5</v>
      </c>
      <c r="BM53" s="9" t="n">
        <v>41.60000000000002</v>
      </c>
      <c r="BN53" s="9" t="n">
        <v>210</v>
      </c>
      <c r="BO53" s="9" t="n">
        <v>0</v>
      </c>
      <c r="BP53" s="9" t="n">
        <v>0</v>
      </c>
      <c r="BQ53" s="9" t="n">
        <v>1057</v>
      </c>
      <c r="BR53" s="9" t="n">
        <v>0</v>
      </c>
      <c r="BS53" s="9" t="n">
        <v>7507</v>
      </c>
      <c r="BT53" s="9" t="n">
        <v>4252</v>
      </c>
      <c r="BU53" s="9" t="n">
        <v>2179</v>
      </c>
      <c r="BV53" s="9" t="n">
        <v>4019</v>
      </c>
      <c r="BW53" s="9" t="n">
        <v>0</v>
      </c>
      <c r="BX53" s="9" t="n">
        <v>0</v>
      </c>
      <c r="BY53" s="9" t="n">
        <v>0</v>
      </c>
      <c r="BZ53" s="9" t="n">
        <v>0</v>
      </c>
    </row>
    <row r="54">
      <c r="A54" s="9" t="inlineStr">
        <is>
          <t>INTAKE</t>
        </is>
      </c>
      <c r="B54" s="9" t="n">
        <v>98452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2000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2000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0</v>
      </c>
      <c r="AQ54" s="9" t="n">
        <v>0</v>
      </c>
      <c r="AR54" s="9" t="n">
        <v>0</v>
      </c>
      <c r="AS54" s="9" t="n">
        <v>0</v>
      </c>
      <c r="AT54" s="9" t="n">
        <v>0</v>
      </c>
      <c r="AU54" s="9" t="n">
        <v>0</v>
      </c>
      <c r="AV54" s="9" t="n">
        <v>0</v>
      </c>
      <c r="AW54" s="9" t="n">
        <v>0</v>
      </c>
      <c r="AX54" s="9" t="n">
        <v>0</v>
      </c>
      <c r="AY54" s="9" t="n">
        <v>0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</v>
      </c>
      <c r="BE54" s="9" t="n">
        <v>0</v>
      </c>
      <c r="BF54" s="9" t="n">
        <v>0</v>
      </c>
      <c r="BG54" s="9" t="n">
        <v>0</v>
      </c>
      <c r="BH54" s="9" t="n">
        <v>0</v>
      </c>
      <c r="BI54" s="9" t="n">
        <v>0</v>
      </c>
      <c r="BJ54" s="9" t="n">
        <v>0</v>
      </c>
      <c r="BK54" s="9" t="n">
        <v>0</v>
      </c>
      <c r="BL54" s="9" t="n">
        <v>0</v>
      </c>
      <c r="BM54" s="9" t="n">
        <v>0</v>
      </c>
      <c r="BN54" s="9" t="n">
        <v>0</v>
      </c>
      <c r="BO54" s="9" t="n">
        <v>0</v>
      </c>
      <c r="BP54" s="9" t="n">
        <v>0</v>
      </c>
      <c r="BQ54" s="9" t="n">
        <v>0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 t="n">
        <v>0</v>
      </c>
      <c r="BZ54" s="9" t="n">
        <v>0</v>
      </c>
    </row>
    <row r="55">
      <c r="A55" s="9" t="inlineStr">
        <is>
          <t>USAGE</t>
        </is>
      </c>
      <c r="B55" s="9" t="n">
        <v>139911.36</v>
      </c>
      <c r="C55" s="9" t="n">
        <v>71452.89999999999</v>
      </c>
      <c r="D55" s="9" t="n">
        <v>13450</v>
      </c>
      <c r="E55" s="9" t="n">
        <v>1000</v>
      </c>
      <c r="F55" s="9" t="n">
        <v>0</v>
      </c>
      <c r="G55" s="9" t="n">
        <v>2255.2</v>
      </c>
      <c r="H55" s="9" t="n">
        <v>1279.5</v>
      </c>
      <c r="I55" s="9" t="n">
        <v>2622.5</v>
      </c>
      <c r="J55" s="9" t="n">
        <v>1067.15</v>
      </c>
      <c r="K55" s="9" t="n">
        <v>299.4399999999999</v>
      </c>
      <c r="L55" s="9" t="n">
        <v>0</v>
      </c>
      <c r="M55" s="9" t="n">
        <v>2600</v>
      </c>
      <c r="N55" s="9" t="n">
        <v>3750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400</v>
      </c>
      <c r="V55" s="9" t="n">
        <v>0</v>
      </c>
      <c r="W55" s="9" t="n">
        <v>600</v>
      </c>
      <c r="X55" s="9" t="n">
        <v>0</v>
      </c>
      <c r="Y55" s="9" t="n">
        <v>0</v>
      </c>
      <c r="Z55" s="9" t="n">
        <v>0</v>
      </c>
      <c r="AA55" s="9" t="n">
        <v>880</v>
      </c>
      <c r="AB55" s="9" t="n">
        <v>0</v>
      </c>
      <c r="AC55" s="9" t="n">
        <v>0</v>
      </c>
      <c r="AD55" s="9" t="n">
        <v>0</v>
      </c>
      <c r="AE55" s="9" t="n">
        <v>20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32</v>
      </c>
      <c r="AP55" s="9" t="n">
        <v>135</v>
      </c>
      <c r="AQ55" s="9" t="n">
        <v>0</v>
      </c>
      <c r="AR55" s="9" t="n">
        <v>0</v>
      </c>
      <c r="AS55" s="9" t="n">
        <v>0</v>
      </c>
      <c r="AT55" s="9" t="n">
        <v>0</v>
      </c>
      <c r="AU55" s="9" t="n">
        <v>0</v>
      </c>
      <c r="AV55" s="9" t="n">
        <v>0</v>
      </c>
      <c r="AW55" s="9" t="n">
        <v>0</v>
      </c>
      <c r="AX55" s="9" t="n">
        <v>0</v>
      </c>
      <c r="AY55" s="9" t="n">
        <v>736</v>
      </c>
      <c r="AZ55" s="9" t="n">
        <v>0</v>
      </c>
      <c r="BA55" s="9" t="n">
        <v>207.6</v>
      </c>
      <c r="BB55" s="9" t="n">
        <v>0</v>
      </c>
      <c r="BC55" s="9" t="n">
        <v>0</v>
      </c>
      <c r="BD55" s="9" t="n">
        <v>0</v>
      </c>
      <c r="BE55" s="9" t="n">
        <v>0</v>
      </c>
      <c r="BF55" s="9" t="n">
        <v>0</v>
      </c>
      <c r="BG55" s="9" t="n">
        <v>0</v>
      </c>
      <c r="BH55" s="9" t="n">
        <v>0</v>
      </c>
      <c r="BI55" s="9" t="n">
        <v>10.4</v>
      </c>
      <c r="BJ55" s="9" t="n">
        <v>0</v>
      </c>
      <c r="BK55" s="9" t="n">
        <v>0</v>
      </c>
      <c r="BL55" s="9" t="n">
        <v>0</v>
      </c>
      <c r="BM55" s="9" t="n">
        <v>0</v>
      </c>
      <c r="BN55" s="9" t="n">
        <v>0</v>
      </c>
      <c r="BO55" s="9" t="n">
        <v>0</v>
      </c>
      <c r="BP55" s="9" t="n">
        <v>0</v>
      </c>
      <c r="BQ55" s="9" t="n">
        <v>0</v>
      </c>
      <c r="BR55" s="9" t="n">
        <v>0</v>
      </c>
      <c r="BS55" s="9" t="n">
        <v>0</v>
      </c>
      <c r="BT55" s="9" t="n">
        <v>0</v>
      </c>
      <c r="BU55" s="9" t="n">
        <v>0</v>
      </c>
      <c r="BV55" s="9" t="n">
        <v>0</v>
      </c>
      <c r="BW55" s="9" t="n">
        <v>218</v>
      </c>
      <c r="BX55" s="9" t="n">
        <v>0</v>
      </c>
      <c r="BY55" s="9" t="n">
        <v>0</v>
      </c>
      <c r="BZ55" s="9" t="n">
        <v>0</v>
      </c>
    </row>
    <row r="56">
      <c r="A56" s="9" t="inlineStr">
        <is>
          <t>ADJUUSTMENT</t>
        </is>
      </c>
      <c r="B56" s="9" t="n">
        <v>87446.56000000001</v>
      </c>
      <c r="C56" s="9" t="n">
        <v>71452.89999999999</v>
      </c>
      <c r="D56" s="9" t="n">
        <v>13450</v>
      </c>
      <c r="E56" s="9" t="n">
        <v>1000</v>
      </c>
      <c r="F56" s="9" t="n">
        <v>0</v>
      </c>
      <c r="G56" s="9" t="n">
        <v>2255.2</v>
      </c>
      <c r="H56" s="9" t="n">
        <v>1279.5</v>
      </c>
      <c r="I56" s="9" t="n">
        <v>2622.5</v>
      </c>
      <c r="J56" s="9" t="n">
        <v>-158.0099999999999</v>
      </c>
      <c r="K56" s="9" t="n">
        <v>299.4399999999999</v>
      </c>
      <c r="L56" s="9" t="n">
        <v>0</v>
      </c>
      <c r="M56" s="9" t="n">
        <v>2600</v>
      </c>
      <c r="N56" s="9" t="n">
        <v>3750</v>
      </c>
      <c r="O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-120</v>
      </c>
      <c r="V56" s="9" t="n">
        <v>0</v>
      </c>
      <c r="W56" s="9" t="n">
        <v>600</v>
      </c>
      <c r="X56" s="9" t="n">
        <v>0</v>
      </c>
      <c r="Y56" s="9" t="n">
        <v>0</v>
      </c>
      <c r="AA56" s="9" t="n">
        <v>-920</v>
      </c>
      <c r="AB56" s="9" t="n">
        <v>-720</v>
      </c>
      <c r="AC56" s="9" t="n">
        <v>-1680</v>
      </c>
      <c r="AD56" s="9" t="n">
        <v>-2140</v>
      </c>
      <c r="AE56" s="9" t="n">
        <v>20</v>
      </c>
      <c r="AF56" s="9" t="n">
        <v>0</v>
      </c>
      <c r="AG56" s="9" t="n">
        <v>0</v>
      </c>
      <c r="AH56" s="9" t="n">
        <v>0</v>
      </c>
      <c r="AJ56" s="9" t="n">
        <v>0</v>
      </c>
      <c r="AK56" s="9" t="n">
        <v>0</v>
      </c>
      <c r="AL56" s="9" t="n">
        <v>0</v>
      </c>
      <c r="BI56" s="9" t="n">
        <v>-10.4</v>
      </c>
      <c r="BJ56" s="9" t="n">
        <v>0</v>
      </c>
      <c r="BK56" s="9" t="n">
        <v>0</v>
      </c>
      <c r="BL56" s="9" t="n">
        <v>0</v>
      </c>
      <c r="BM56" s="9" t="n">
        <v>0</v>
      </c>
      <c r="BN56" s="9" t="n">
        <v>0</v>
      </c>
      <c r="BO56" s="9" t="n">
        <v>0</v>
      </c>
    </row>
    <row r="57">
      <c r="A57" s="9" t="inlineStr">
        <is>
          <t>BALANCE</t>
        </is>
      </c>
      <c r="B57" s="9" t="n">
        <v>236936.6</v>
      </c>
      <c r="C57" s="9" t="n">
        <v>53017.60000000007</v>
      </c>
      <c r="D57" s="9" t="n">
        <v>42674.19999999997</v>
      </c>
      <c r="E57" s="9" t="n">
        <v>4522.200000000019</v>
      </c>
      <c r="F57" s="9" t="n">
        <v>0</v>
      </c>
      <c r="G57" s="9" t="n">
        <v>124.9999999999952</v>
      </c>
      <c r="H57" s="9" t="n">
        <v>26151.9</v>
      </c>
      <c r="I57" s="9" t="n">
        <v>0</v>
      </c>
      <c r="J57" s="9" t="n">
        <v>2097.339999999999</v>
      </c>
      <c r="K57" s="9" t="n">
        <v>-10277.08</v>
      </c>
      <c r="L57" s="9" t="n">
        <v>0</v>
      </c>
      <c r="M57" s="9" t="n">
        <v>27438.20000000001</v>
      </c>
      <c r="N57" s="9" t="n">
        <v>18782.29999999998</v>
      </c>
      <c r="O57" s="9" t="n">
        <v>5800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2020</v>
      </c>
      <c r="V57" s="9" t="n">
        <v>960</v>
      </c>
      <c r="W57" s="9" t="n">
        <v>1760</v>
      </c>
      <c r="X57" s="9" t="n">
        <v>400</v>
      </c>
      <c r="Y57" s="9" t="n">
        <v>3600</v>
      </c>
      <c r="Z57" s="9" t="n">
        <v>0</v>
      </c>
      <c r="AA57" s="9" t="n">
        <v>6120</v>
      </c>
      <c r="AB57" s="9" t="n">
        <v>0</v>
      </c>
      <c r="AC57" s="9" t="n">
        <v>0</v>
      </c>
      <c r="AD57" s="9" t="n">
        <v>2820</v>
      </c>
      <c r="AE57" s="9" t="n">
        <v>0</v>
      </c>
      <c r="AF57" s="9" t="n">
        <v>0</v>
      </c>
      <c r="AG57" s="9" t="n">
        <v>2540</v>
      </c>
      <c r="AH57" s="9" t="n">
        <v>2359.5</v>
      </c>
      <c r="AI57" s="9" t="n">
        <v>1890</v>
      </c>
      <c r="AJ57" s="9" t="n">
        <v>3690</v>
      </c>
      <c r="AK57" s="9" t="n">
        <v>4000</v>
      </c>
      <c r="AL57" s="9" t="n">
        <v>0</v>
      </c>
      <c r="AM57" s="9" t="n">
        <v>0</v>
      </c>
      <c r="AN57" s="9" t="n">
        <v>0</v>
      </c>
      <c r="AO57" s="9" t="n">
        <v>1625</v>
      </c>
      <c r="AP57" s="9" t="n">
        <v>0</v>
      </c>
      <c r="AQ57" s="9" t="n">
        <v>1127</v>
      </c>
      <c r="AR57" s="9" t="n">
        <v>3112</v>
      </c>
      <c r="AS57" s="9" t="n">
        <v>1680.5</v>
      </c>
      <c r="AT57" s="9" t="n">
        <v>0</v>
      </c>
      <c r="AU57" s="9" t="n">
        <v>1482</v>
      </c>
      <c r="AV57" s="9" t="n">
        <v>0</v>
      </c>
      <c r="AW57" s="9" t="n">
        <v>100</v>
      </c>
      <c r="AX57" s="9" t="n">
        <v>13.96000000000004</v>
      </c>
      <c r="AY57" s="9" t="n">
        <v>548</v>
      </c>
      <c r="AZ57" s="9" t="n">
        <v>0</v>
      </c>
      <c r="BA57" s="9" t="n">
        <v>0</v>
      </c>
      <c r="BB57" s="9" t="n">
        <v>147.04</v>
      </c>
      <c r="BC57" s="9" t="n">
        <v>46.8</v>
      </c>
      <c r="BD57" s="9" t="n">
        <v>0</v>
      </c>
      <c r="BE57" s="9" t="n">
        <v>24.2</v>
      </c>
      <c r="BF57" s="9" t="n">
        <v>32</v>
      </c>
      <c r="BG57" s="9" t="n">
        <v>0</v>
      </c>
      <c r="BH57" s="9" t="n">
        <v>0</v>
      </c>
      <c r="BI57" s="9" t="n">
        <v>0</v>
      </c>
      <c r="BJ57" s="9" t="n">
        <v>46.79999999999998</v>
      </c>
      <c r="BK57" s="9" t="n">
        <v>204</v>
      </c>
      <c r="BL57" s="9" t="n">
        <v>202.5</v>
      </c>
      <c r="BM57" s="9" t="n">
        <v>41.60000000000002</v>
      </c>
      <c r="BN57" s="9" t="n">
        <v>210</v>
      </c>
      <c r="BO57" s="9" t="n">
        <v>0</v>
      </c>
      <c r="BP57" s="9" t="n">
        <v>0</v>
      </c>
      <c r="BQ57" s="9" t="n">
        <v>1057</v>
      </c>
      <c r="BR57" s="9" t="n">
        <v>0</v>
      </c>
      <c r="BS57" s="9" t="n">
        <v>7507</v>
      </c>
      <c r="BT57" s="9" t="n">
        <v>4252</v>
      </c>
      <c r="BU57" s="9" t="n">
        <v>2179</v>
      </c>
      <c r="BV57" s="9" t="n">
        <v>4019</v>
      </c>
      <c r="BW57" s="9" t="n">
        <v>-218</v>
      </c>
      <c r="BX57" s="9" t="n">
        <v>0</v>
      </c>
      <c r="BY57" s="9" t="n">
        <v>0</v>
      </c>
      <c r="BZ57" s="9" t="n">
        <v>0</v>
      </c>
    </row>
    <row r="58"/>
    <row r="59">
      <c r="A59" s="9" t="inlineStr">
        <is>
          <t>SEP</t>
        </is>
      </c>
      <c r="B59" s="9" t="inlineStr">
        <is>
          <t>MAIZE/CORN</t>
        </is>
      </c>
      <c r="C59" s="9" t="inlineStr">
        <is>
          <t>SOYBEAN MEAL (ARG)</t>
        </is>
      </c>
      <c r="D59" s="9" t="inlineStr">
        <is>
          <t>SOYBEAN FULL FAT</t>
        </is>
      </c>
      <c r="E59" s="9" t="inlineStr">
        <is>
          <t>WHEAT POLLARD</t>
        </is>
      </c>
      <c r="F59" s="9" t="inlineStr">
        <is>
          <t>WHEAT</t>
        </is>
      </c>
      <c r="G59" s="9" t="inlineStr">
        <is>
          <t>MEAT AND BONE MEAL</t>
        </is>
      </c>
      <c r="H59" s="9" t="inlineStr">
        <is>
          <t>CORN GLUTEN MEAL</t>
        </is>
      </c>
      <c r="I59" s="9" t="inlineStr">
        <is>
          <t>MEGAFAT (HARUMI)</t>
        </is>
      </c>
      <c r="J59" s="9" t="inlineStr">
        <is>
          <t>DCP 18%</t>
        </is>
      </c>
      <c r="K59" s="9" t="inlineStr">
        <is>
          <t>LIMESTONE POWDER (HARUMI)</t>
        </is>
      </c>
      <c r="L59" s="9" t="inlineStr">
        <is>
          <t>CHOLINE CHLORIDE 60%</t>
        </is>
      </c>
      <c r="M59" s="9" t="inlineStr">
        <is>
          <t>INDUSTRY FLOUR</t>
        </is>
      </c>
      <c r="N59" s="9" t="inlineStr">
        <is>
          <t>RICE BRAN</t>
        </is>
      </c>
      <c r="O59" s="9" t="inlineStr">
        <is>
          <t>EP 200</t>
        </is>
      </c>
      <c r="P59" s="9" t="inlineStr">
        <is>
          <t>SOYTIDE</t>
        </is>
      </c>
      <c r="Q59" s="9" t="inlineStr">
        <is>
          <t>DCP 18% (HARUMI)</t>
        </is>
      </c>
      <c r="R59" s="9" t="n">
        <v>1</v>
      </c>
      <c r="S59" s="9" t="n">
        <v>2</v>
      </c>
      <c r="T59" s="9" t="n">
        <v>3</v>
      </c>
      <c r="U59" s="9" t="inlineStr">
        <is>
          <t>PREMIX 1101 (20KG)</t>
        </is>
      </c>
      <c r="V59" s="9" t="inlineStr">
        <is>
          <t>PREMIX 1102 (20KG)</t>
        </is>
      </c>
      <c r="W59" s="9" t="inlineStr">
        <is>
          <t>PREMIX 1103 (20KG)</t>
        </is>
      </c>
      <c r="X59" s="9" t="inlineStr">
        <is>
          <t>PREMIX 311 (20KG)</t>
        </is>
      </c>
      <c r="Y59" s="9" t="inlineStr">
        <is>
          <t>PREMIX 312 (20KG)</t>
        </is>
      </c>
      <c r="Z59" s="9" t="n">
        <v>1</v>
      </c>
      <c r="AA59" s="9" t="inlineStr">
        <is>
          <t>PREMIX 8100 (20KG)</t>
        </is>
      </c>
      <c r="AB59" s="9" t="inlineStr">
        <is>
          <t>PREMIX 8101 (20KG)</t>
        </is>
      </c>
      <c r="AC59" s="9" t="inlineStr">
        <is>
          <t>PREMIX 8102 (20KG)</t>
        </is>
      </c>
      <c r="AD59" s="9" t="inlineStr">
        <is>
          <t>PREMIX 8103 (20KG)</t>
        </is>
      </c>
      <c r="AE59" s="9" t="inlineStr">
        <is>
          <t>PREMIX 8108 (20KG)</t>
        </is>
      </c>
      <c r="AF59" s="9" t="inlineStr">
        <is>
          <t>PREMIX 8109 (20KG)</t>
        </is>
      </c>
      <c r="AG59" s="9" t="inlineStr">
        <is>
          <t>YENMIX 121 (20KG)</t>
        </is>
      </c>
      <c r="AH59" s="9" t="inlineStr">
        <is>
          <t>YENMIX 122 (19.50KG)</t>
        </is>
      </c>
      <c r="AI59" s="9" t="inlineStr">
        <is>
          <t>YENMIX 123 (18.90KG)</t>
        </is>
      </c>
      <c r="AJ59" s="9" t="inlineStr">
        <is>
          <t>YENMIX 122 (20.50KG)</t>
        </is>
      </c>
      <c r="AK59" s="9" t="inlineStr">
        <is>
          <t>YENMIX 123 (20.00KG)</t>
        </is>
      </c>
      <c r="AL59" s="9" t="n">
        <v>1</v>
      </c>
      <c r="AM59" s="9" t="n">
        <v>2</v>
      </c>
      <c r="AN59" s="9" t="n">
        <v>3</v>
      </c>
      <c r="AO59" s="9" t="inlineStr">
        <is>
          <t>TOXISORB PREMIUM</t>
        </is>
      </c>
      <c r="AP59" s="9" t="inlineStr">
        <is>
          <t>SODIUM HUMATE 3.8% (HARUMI)</t>
        </is>
      </c>
      <c r="AQ59" s="9" t="inlineStr">
        <is>
          <t>TOXIWALL</t>
        </is>
      </c>
      <c r="AR59" s="9" t="inlineStr">
        <is>
          <t>SODIUM BICARBONATE</t>
        </is>
      </c>
      <c r="AS59" s="9" t="inlineStr">
        <is>
          <t>BMD 10%</t>
        </is>
      </c>
      <c r="AT59" s="9" t="inlineStr">
        <is>
          <t>SALT (HARUMI)</t>
        </is>
      </c>
      <c r="AU59" s="9" t="inlineStr">
        <is>
          <t>VISTABET 91</t>
        </is>
      </c>
      <c r="AV59" s="9" t="inlineStr">
        <is>
          <t>BETAFIN</t>
        </is>
      </c>
      <c r="AW59" s="9" t="inlineStr">
        <is>
          <t>8101 TOP UP</t>
        </is>
      </c>
      <c r="AX59" s="9" t="inlineStr">
        <is>
          <t>NORPONIN X03 (8102 TOP UP)</t>
        </is>
      </c>
      <c r="AY59" s="9" t="inlineStr">
        <is>
          <t>8102 TOP UP (4KG)</t>
        </is>
      </c>
      <c r="AZ59" s="9" t="inlineStr">
        <is>
          <t>8103 TOP UP (5KG)</t>
        </is>
      </c>
      <c r="BA59" s="9" t="inlineStr">
        <is>
          <t>L-ARGININE</t>
        </is>
      </c>
      <c r="BB59" s="9" t="inlineStr">
        <is>
          <t>DL-METHIONINE</t>
        </is>
      </c>
      <c r="BC59" s="9" t="inlineStr">
        <is>
          <t>L-THREONINE</t>
        </is>
      </c>
      <c r="BD59" s="9" t="inlineStr">
        <is>
          <t>L-LYSINE</t>
        </is>
      </c>
      <c r="BE59" s="9" t="inlineStr">
        <is>
          <t>FAECES DRY</t>
        </is>
      </c>
      <c r="BF59" s="9" t="inlineStr">
        <is>
          <t>ECOBIOL</t>
        </is>
      </c>
      <c r="BG59" s="9" t="inlineStr">
        <is>
          <t>ADDITIVE BROILER IMMUNE</t>
        </is>
      </c>
      <c r="BH59" s="9" t="inlineStr">
        <is>
          <t>MASTER CUBE (HARUMI)</t>
        </is>
      </c>
      <c r="BI59" s="9" t="inlineStr">
        <is>
          <t>1101 TOP UP (0.40KG)</t>
        </is>
      </c>
      <c r="BJ59" s="9" t="inlineStr">
        <is>
          <t>1102 TOP UP (0.60KG)</t>
        </is>
      </c>
      <c r="BK59" s="9" t="inlineStr">
        <is>
          <t>1103 TOP UP (2.00KG)</t>
        </is>
      </c>
      <c r="BL59" s="9" t="inlineStr">
        <is>
          <t>QUANTUM GLO 4%</t>
        </is>
      </c>
      <c r="BM59" s="9" t="inlineStr">
        <is>
          <t>SALT</t>
        </is>
      </c>
      <c r="BN59" s="9" t="inlineStr">
        <is>
          <t>OC 200 - OXYTET 20%</t>
        </is>
      </c>
      <c r="BO59" s="9" t="n">
        <v>3</v>
      </c>
      <c r="BP59" s="9" t="n">
        <v>4</v>
      </c>
      <c r="BQ59" s="9" t="inlineStr">
        <is>
          <t>WOVEN BAG (1101) - BLUE 50KG</t>
        </is>
      </c>
      <c r="BR59" s="9" t="inlineStr">
        <is>
          <t>WOVEN BAG (1102) - GREEN 50KG</t>
        </is>
      </c>
      <c r="BS59" s="9" t="inlineStr">
        <is>
          <t>WOVEN BAG (1103) - RED 50KG</t>
        </is>
      </c>
      <c r="BT59" s="9" t="inlineStr">
        <is>
          <t>PLAIN BAG 26" X 39" (50KG)</t>
        </is>
      </c>
      <c r="BU59" s="9" t="inlineStr">
        <is>
          <t>WOVEN BAG (8101) - KHAKI 50KG</t>
        </is>
      </c>
      <c r="BV59" s="9" t="inlineStr">
        <is>
          <t>WOVEN BAG (8102) - SKY BLUE 50KG</t>
        </is>
      </c>
      <c r="BW59" s="9" t="inlineStr">
        <is>
          <t>WOVEN BAG (8103) - BROWN 50KG</t>
        </is>
      </c>
      <c r="BX59" s="9" t="n">
        <v>1</v>
      </c>
      <c r="BY59" s="9" t="n">
        <v>2</v>
      </c>
      <c r="BZ59" s="9" t="n">
        <v>3</v>
      </c>
      <c r="CA59" s="9" t="n">
        <v>4</v>
      </c>
      <c r="CB59" s="9" t="n">
        <v>5</v>
      </c>
      <c r="CC59" s="9" t="n">
        <v>6</v>
      </c>
      <c r="CD59" s="9" t="n">
        <v>7</v>
      </c>
      <c r="CE59" s="9" t="n">
        <v>8</v>
      </c>
    </row>
    <row r="60">
      <c r="A60" s="9" t="inlineStr">
        <is>
          <t>OPENING</t>
        </is>
      </c>
      <c r="B60" s="9" t="n">
        <v>236936.6</v>
      </c>
      <c r="C60" s="9" t="n">
        <v>53017.60000000007</v>
      </c>
      <c r="D60" s="9" t="n">
        <v>42674.19999999997</v>
      </c>
      <c r="E60" s="9" t="n">
        <v>4522.200000000019</v>
      </c>
      <c r="F60" s="9" t="n">
        <v>0</v>
      </c>
      <c r="G60" s="9" t="n">
        <v>124.9999999999952</v>
      </c>
      <c r="H60" s="9" t="n">
        <v>26151.9</v>
      </c>
      <c r="I60" s="9" t="n">
        <v>0</v>
      </c>
      <c r="J60" s="9" t="n">
        <v>2097.339999999999</v>
      </c>
      <c r="K60" s="9" t="n">
        <v>-10277.08</v>
      </c>
      <c r="L60" s="9" t="n">
        <v>0</v>
      </c>
      <c r="M60" s="9" t="n">
        <v>27438.20000000001</v>
      </c>
      <c r="N60" s="9" t="n">
        <v>18782.29999999998</v>
      </c>
      <c r="O60" s="9" t="n">
        <v>5800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2020</v>
      </c>
      <c r="V60" s="9" t="n">
        <v>960</v>
      </c>
      <c r="W60" s="9" t="n">
        <v>1760</v>
      </c>
      <c r="X60" s="9" t="n">
        <v>400</v>
      </c>
      <c r="Y60" s="9" t="n">
        <v>3600</v>
      </c>
      <c r="Z60" s="9" t="n">
        <v>0</v>
      </c>
      <c r="AA60" s="9" t="n">
        <v>6120</v>
      </c>
      <c r="AB60" s="9" t="n">
        <v>0</v>
      </c>
      <c r="AC60" s="9" t="n">
        <v>0</v>
      </c>
      <c r="AD60" s="9" t="n">
        <v>2820</v>
      </c>
      <c r="AE60" s="9" t="n">
        <v>0</v>
      </c>
      <c r="AF60" s="9" t="n">
        <v>0</v>
      </c>
      <c r="AG60" s="9" t="n">
        <v>2540</v>
      </c>
      <c r="AH60" s="9" t="n">
        <v>2359.5</v>
      </c>
      <c r="AI60" s="9" t="n">
        <v>1890</v>
      </c>
      <c r="AJ60" s="9" t="n">
        <v>3690</v>
      </c>
      <c r="AK60" s="9" t="n">
        <v>4000</v>
      </c>
      <c r="AL60" s="9" t="n">
        <v>0</v>
      </c>
      <c r="AM60" s="9" t="n">
        <v>0</v>
      </c>
      <c r="AN60" s="9" t="n">
        <v>0</v>
      </c>
      <c r="AO60" s="9" t="n">
        <v>1625</v>
      </c>
      <c r="AP60" s="9" t="n">
        <v>0</v>
      </c>
      <c r="AQ60" s="9" t="n">
        <v>1127</v>
      </c>
      <c r="AR60" s="9" t="n">
        <v>3112</v>
      </c>
      <c r="AS60" s="9" t="n">
        <v>1680.5</v>
      </c>
      <c r="AT60" s="9" t="n">
        <v>0</v>
      </c>
      <c r="AU60" s="9" t="n">
        <v>1482</v>
      </c>
      <c r="AV60" s="9" t="n">
        <v>0</v>
      </c>
      <c r="AW60" s="9" t="n">
        <v>100</v>
      </c>
      <c r="AX60" s="9" t="n">
        <v>13.96000000000004</v>
      </c>
      <c r="AY60" s="9" t="n">
        <v>548</v>
      </c>
      <c r="AZ60" s="9" t="n">
        <v>0</v>
      </c>
      <c r="BA60" s="9" t="n">
        <v>0</v>
      </c>
      <c r="BB60" s="9" t="n">
        <v>147.04</v>
      </c>
      <c r="BC60" s="9" t="n">
        <v>46.8</v>
      </c>
      <c r="BD60" s="9" t="n">
        <v>0</v>
      </c>
      <c r="BE60" s="9" t="n">
        <v>24.2</v>
      </c>
      <c r="BF60" s="9" t="n">
        <v>32</v>
      </c>
      <c r="BG60" s="9" t="n">
        <v>0</v>
      </c>
      <c r="BH60" s="9" t="n">
        <v>0</v>
      </c>
      <c r="BI60" s="9" t="n">
        <v>0</v>
      </c>
      <c r="BJ60" s="9" t="n">
        <v>46.79999999999998</v>
      </c>
      <c r="BK60" s="9" t="n">
        <v>204</v>
      </c>
      <c r="BL60" s="9" t="n">
        <v>202.5</v>
      </c>
      <c r="BM60" s="9" t="n">
        <v>41.60000000000002</v>
      </c>
      <c r="BN60" s="9" t="n">
        <v>210</v>
      </c>
      <c r="BO60" s="9" t="n">
        <v>0</v>
      </c>
      <c r="BP60" s="9" t="n">
        <v>0</v>
      </c>
      <c r="BQ60" s="9" t="n">
        <v>1057</v>
      </c>
      <c r="BR60" s="9" t="n">
        <v>0</v>
      </c>
      <c r="BS60" s="9" t="n">
        <v>7507</v>
      </c>
      <c r="BT60" s="9" t="n">
        <v>4252</v>
      </c>
      <c r="BU60" s="9" t="n">
        <v>2179</v>
      </c>
      <c r="BV60" s="9" t="n">
        <v>4019</v>
      </c>
      <c r="BW60" s="9" t="n">
        <v>-218</v>
      </c>
      <c r="BX60" s="9" t="n">
        <v>0</v>
      </c>
      <c r="BY60" s="9" t="n">
        <v>0</v>
      </c>
      <c r="BZ60" s="9" t="n">
        <v>0</v>
      </c>
    </row>
    <row r="61">
      <c r="A61" s="9" t="inlineStr">
        <is>
          <t>INTAKE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s="9" t="n">
        <v>0</v>
      </c>
      <c r="AS61" s="9" t="n">
        <v>0</v>
      </c>
      <c r="AT61" s="9" t="n">
        <v>0</v>
      </c>
      <c r="AU61" s="9" t="n">
        <v>0</v>
      </c>
      <c r="AV61" s="9" t="n">
        <v>0</v>
      </c>
      <c r="AW61" s="9" t="n">
        <v>0</v>
      </c>
      <c r="AX61" s="9" t="n">
        <v>0</v>
      </c>
      <c r="AY61" s="9" t="n">
        <v>0</v>
      </c>
      <c r="AZ61" s="9" t="n">
        <v>0</v>
      </c>
      <c r="BA61" s="9" t="n">
        <v>0</v>
      </c>
      <c r="BB61" s="9" t="n">
        <v>0</v>
      </c>
      <c r="BC61" s="9" t="n">
        <v>0</v>
      </c>
      <c r="BD61" s="9" t="n">
        <v>0</v>
      </c>
      <c r="BE61" s="9" t="n">
        <v>0</v>
      </c>
      <c r="BF61" s="9" t="n">
        <v>0</v>
      </c>
      <c r="BG61" s="9" t="n">
        <v>0</v>
      </c>
      <c r="BH61" s="9" t="n">
        <v>0</v>
      </c>
      <c r="BI61" s="9" t="n">
        <v>0</v>
      </c>
      <c r="BJ61" s="9" t="n">
        <v>0</v>
      </c>
      <c r="BK61" s="9" t="n">
        <v>0</v>
      </c>
      <c r="BL61" s="9" t="n">
        <v>0</v>
      </c>
      <c r="BM61" s="9" t="n">
        <v>0</v>
      </c>
      <c r="BN61" s="9" t="n">
        <v>0</v>
      </c>
      <c r="BO61" s="9" t="n">
        <v>0</v>
      </c>
      <c r="BP61" s="9" t="n">
        <v>0</v>
      </c>
      <c r="BQ61" s="9" t="n">
        <v>0</v>
      </c>
      <c r="BR61" s="9" t="n">
        <v>0</v>
      </c>
      <c r="BS61" s="9" t="n">
        <v>0</v>
      </c>
      <c r="BT61" s="9" t="n">
        <v>0</v>
      </c>
      <c r="BU61" s="9" t="n">
        <v>0</v>
      </c>
      <c r="BV61" s="9" t="n">
        <v>0</v>
      </c>
      <c r="BW61" s="9" t="n">
        <v>0</v>
      </c>
      <c r="BX61" s="9" t="n">
        <v>0</v>
      </c>
      <c r="BY61" s="9" t="n">
        <v>0</v>
      </c>
      <c r="BZ61" s="9" t="n">
        <v>0</v>
      </c>
    </row>
    <row r="62">
      <c r="A62" s="9" t="inlineStr">
        <is>
          <t>USAGE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9" t="n">
        <v>0</v>
      </c>
      <c r="AJ62" s="9" t="n">
        <v>0</v>
      </c>
      <c r="AK62" s="9" t="n">
        <v>0</v>
      </c>
      <c r="AL62" s="9" t="n">
        <v>0</v>
      </c>
      <c r="AM62" s="9" t="n">
        <v>0</v>
      </c>
      <c r="AN62" s="9" t="n">
        <v>0</v>
      </c>
      <c r="AO62" s="9" t="n">
        <v>0</v>
      </c>
      <c r="AP62" s="9" t="n">
        <v>0</v>
      </c>
      <c r="AQ62" s="9" t="n">
        <v>0</v>
      </c>
      <c r="AR62" s="9" t="n">
        <v>0</v>
      </c>
      <c r="AS62" s="9" t="n">
        <v>0</v>
      </c>
      <c r="AT62" s="9" t="n">
        <v>0</v>
      </c>
      <c r="AU62" s="9" t="n">
        <v>0</v>
      </c>
      <c r="AV62" s="9" t="n">
        <v>0</v>
      </c>
      <c r="AW62" s="9" t="n">
        <v>0</v>
      </c>
      <c r="AX62" s="9" t="n">
        <v>0</v>
      </c>
      <c r="AY62" s="9" t="n">
        <v>0</v>
      </c>
      <c r="AZ62" s="9" t="n">
        <v>0</v>
      </c>
      <c r="BA62" s="9" t="n">
        <v>0</v>
      </c>
      <c r="BB62" s="9" t="n">
        <v>0</v>
      </c>
      <c r="BC62" s="9" t="n">
        <v>0</v>
      </c>
      <c r="BD62" s="9" t="n">
        <v>0</v>
      </c>
      <c r="BE62" s="9" t="n">
        <v>0</v>
      </c>
      <c r="BF62" s="9" t="n">
        <v>0</v>
      </c>
      <c r="BG62" s="9" t="n">
        <v>0</v>
      </c>
      <c r="BH62" s="9" t="n">
        <v>0</v>
      </c>
      <c r="BI62" s="9" t="n">
        <v>0</v>
      </c>
      <c r="BJ62" s="9" t="n">
        <v>0</v>
      </c>
      <c r="BK62" s="9" t="n">
        <v>0</v>
      </c>
      <c r="BL62" s="9" t="n">
        <v>0</v>
      </c>
      <c r="BM62" s="9" t="n">
        <v>0</v>
      </c>
      <c r="BN62" s="9" t="n">
        <v>0</v>
      </c>
      <c r="BO62" s="9" t="n">
        <v>0</v>
      </c>
      <c r="BP62" s="9" t="n">
        <v>0</v>
      </c>
      <c r="BQ62" s="9" t="n">
        <v>0</v>
      </c>
      <c r="BR62" s="9" t="n">
        <v>0</v>
      </c>
      <c r="BS62" s="9" t="n">
        <v>0</v>
      </c>
      <c r="BT62" s="9" t="n">
        <v>0</v>
      </c>
      <c r="BU62" s="9" t="n">
        <v>0</v>
      </c>
      <c r="BV62" s="9" t="n">
        <v>0</v>
      </c>
      <c r="BW62" s="9" t="n">
        <v>0</v>
      </c>
      <c r="BX62" s="9" t="n">
        <v>0</v>
      </c>
      <c r="BY62" s="9" t="n">
        <v>0</v>
      </c>
      <c r="BZ62" s="9" t="n">
        <v>0</v>
      </c>
    </row>
    <row r="63">
      <c r="A63" s="9" t="inlineStr">
        <is>
          <t>ADJUUSTMENT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J63" s="9" t="n">
        <v>0</v>
      </c>
      <c r="AK63" s="9" t="n">
        <v>0</v>
      </c>
      <c r="AL63" s="9" t="n">
        <v>0</v>
      </c>
      <c r="BI63" s="9" t="n">
        <v>0</v>
      </c>
      <c r="BJ63" s="9" t="n">
        <v>0</v>
      </c>
      <c r="BK63" s="9" t="n">
        <v>0</v>
      </c>
      <c r="BL63" s="9" t="n">
        <v>0</v>
      </c>
      <c r="BM63" s="9" t="n">
        <v>0</v>
      </c>
      <c r="BN63" s="9" t="n">
        <v>0</v>
      </c>
      <c r="BO63" s="9" t="n">
        <v>0</v>
      </c>
    </row>
    <row r="64">
      <c r="A64" s="9" t="inlineStr">
        <is>
          <t>BALANCE</t>
        </is>
      </c>
      <c r="B64" s="9" t="n">
        <v>236936.6</v>
      </c>
      <c r="C64" s="9" t="n">
        <v>53017.60000000007</v>
      </c>
      <c r="D64" s="9" t="n">
        <v>42674.19999999997</v>
      </c>
      <c r="E64" s="9" t="n">
        <v>4522.200000000019</v>
      </c>
      <c r="F64" s="9" t="n">
        <v>0</v>
      </c>
      <c r="G64" s="9" t="n">
        <v>124.9999999999952</v>
      </c>
      <c r="H64" s="9" t="n">
        <v>26151.9</v>
      </c>
      <c r="I64" s="9" t="n">
        <v>0</v>
      </c>
      <c r="J64" s="9" t="n">
        <v>2097.339999999999</v>
      </c>
      <c r="K64" s="9" t="n">
        <v>-10277.08</v>
      </c>
      <c r="L64" s="9" t="n">
        <v>0</v>
      </c>
      <c r="M64" s="9" t="n">
        <v>27438.20000000001</v>
      </c>
      <c r="N64" s="9" t="n">
        <v>18782.29999999998</v>
      </c>
      <c r="O64" s="9" t="n">
        <v>5800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2020</v>
      </c>
      <c r="V64" s="9" t="n">
        <v>960</v>
      </c>
      <c r="W64" s="9" t="n">
        <v>1760</v>
      </c>
      <c r="X64" s="9" t="n">
        <v>400</v>
      </c>
      <c r="Y64" s="9" t="n">
        <v>3600</v>
      </c>
      <c r="Z64" s="9" t="n">
        <v>0</v>
      </c>
      <c r="AA64" s="9" t="n">
        <v>6120</v>
      </c>
      <c r="AB64" s="9" t="n">
        <v>0</v>
      </c>
      <c r="AC64" s="9" t="n">
        <v>0</v>
      </c>
      <c r="AD64" s="9" t="n">
        <v>2820</v>
      </c>
      <c r="AE64" s="9" t="n">
        <v>0</v>
      </c>
      <c r="AF64" s="9" t="n">
        <v>0</v>
      </c>
      <c r="AG64" s="9" t="n">
        <v>2540</v>
      </c>
      <c r="AH64" s="9" t="n">
        <v>2359.5</v>
      </c>
      <c r="AI64" s="9" t="n">
        <v>1890</v>
      </c>
      <c r="AJ64" s="9" t="n">
        <v>3690</v>
      </c>
      <c r="AK64" s="9" t="n">
        <v>4000</v>
      </c>
      <c r="AL64" s="9" t="n">
        <v>0</v>
      </c>
      <c r="AM64" s="9" t="n">
        <v>0</v>
      </c>
      <c r="AN64" s="9" t="n">
        <v>0</v>
      </c>
      <c r="AO64" s="9" t="n">
        <v>1625</v>
      </c>
      <c r="AP64" s="9" t="n">
        <v>0</v>
      </c>
      <c r="AQ64" s="9" t="n">
        <v>1127</v>
      </c>
      <c r="AR64" s="9" t="n">
        <v>3112</v>
      </c>
      <c r="AS64" s="9" t="n">
        <v>1680.5</v>
      </c>
      <c r="AT64" s="9" t="n">
        <v>0</v>
      </c>
      <c r="AU64" s="9" t="n">
        <v>1482</v>
      </c>
      <c r="AV64" s="9" t="n">
        <v>0</v>
      </c>
      <c r="AW64" s="9" t="n">
        <v>100</v>
      </c>
      <c r="AX64" s="9" t="n">
        <v>13.96000000000004</v>
      </c>
      <c r="AY64" s="9" t="n">
        <v>548</v>
      </c>
      <c r="AZ64" s="9" t="n">
        <v>0</v>
      </c>
      <c r="BA64" s="9" t="n">
        <v>0</v>
      </c>
      <c r="BB64" s="9" t="n">
        <v>147.04</v>
      </c>
      <c r="BC64" s="9" t="n">
        <v>46.8</v>
      </c>
      <c r="BD64" s="9" t="n">
        <v>0</v>
      </c>
      <c r="BE64" s="9" t="n">
        <v>24.2</v>
      </c>
      <c r="BF64" s="9" t="n">
        <v>32</v>
      </c>
      <c r="BG64" s="9" t="n">
        <v>0</v>
      </c>
      <c r="BH64" s="9" t="n">
        <v>0</v>
      </c>
      <c r="BI64" s="9" t="n">
        <v>0</v>
      </c>
      <c r="BJ64" s="9" t="n">
        <v>46.79999999999998</v>
      </c>
      <c r="BK64" s="9" t="n">
        <v>204</v>
      </c>
      <c r="BL64" s="9" t="n">
        <v>202.5</v>
      </c>
      <c r="BM64" s="9" t="n">
        <v>41.60000000000002</v>
      </c>
      <c r="BN64" s="9" t="n">
        <v>210</v>
      </c>
      <c r="BO64" s="9" t="n">
        <v>0</v>
      </c>
      <c r="BP64" s="9" t="n">
        <v>0</v>
      </c>
      <c r="BQ64" s="9" t="n">
        <v>1057</v>
      </c>
      <c r="BR64" s="9" t="n">
        <v>0</v>
      </c>
      <c r="BS64" s="9" t="n">
        <v>7507</v>
      </c>
      <c r="BT64" s="9" t="n">
        <v>4252</v>
      </c>
      <c r="BU64" s="9" t="n">
        <v>2179</v>
      </c>
      <c r="BV64" s="9" t="n">
        <v>4019</v>
      </c>
      <c r="BW64" s="9" t="n">
        <v>-218</v>
      </c>
      <c r="BX64" s="9" t="n">
        <v>0</v>
      </c>
      <c r="BY64" s="9" t="n">
        <v>0</v>
      </c>
      <c r="BZ64" s="9" t="n">
        <v>0</v>
      </c>
    </row>
    <row r="65"/>
    <row r="66">
      <c r="A66" s="9" t="inlineStr">
        <is>
          <t>OCT</t>
        </is>
      </c>
      <c r="B66" s="9" t="inlineStr">
        <is>
          <t>MAIZE/CORN</t>
        </is>
      </c>
      <c r="C66" s="9" t="inlineStr">
        <is>
          <t>SOYBEAN MEAL (ARG)</t>
        </is>
      </c>
      <c r="D66" s="9" t="inlineStr">
        <is>
          <t>SOYBEAN FULL FAT</t>
        </is>
      </c>
      <c r="E66" s="9" t="inlineStr">
        <is>
          <t>WHEAT POLLARD</t>
        </is>
      </c>
      <c r="F66" s="9" t="inlineStr">
        <is>
          <t>WHEAT</t>
        </is>
      </c>
      <c r="G66" s="9" t="inlineStr">
        <is>
          <t>MEAT AND BONE MEAL</t>
        </is>
      </c>
      <c r="H66" s="9" t="inlineStr">
        <is>
          <t>CORN GLUTEN MEAL</t>
        </is>
      </c>
      <c r="I66" s="9" t="inlineStr">
        <is>
          <t>MEGAFAT (HARUMI)</t>
        </is>
      </c>
      <c r="J66" s="9" t="inlineStr">
        <is>
          <t>DCP 18%</t>
        </is>
      </c>
      <c r="K66" s="9" t="inlineStr">
        <is>
          <t>LIMESTONE POWDER (HARUMI)</t>
        </is>
      </c>
      <c r="L66" s="9" t="inlineStr">
        <is>
          <t>CHOLINE CHLORIDE 60%</t>
        </is>
      </c>
      <c r="M66" s="9" t="inlineStr">
        <is>
          <t>INDUSTRY FLOUR</t>
        </is>
      </c>
      <c r="N66" s="9" t="inlineStr">
        <is>
          <t>RICE BRAN</t>
        </is>
      </c>
      <c r="O66" s="9" t="inlineStr">
        <is>
          <t>EP 200</t>
        </is>
      </c>
      <c r="P66" s="9" t="inlineStr">
        <is>
          <t>SOYTIDE</t>
        </is>
      </c>
      <c r="Q66" s="9" t="inlineStr">
        <is>
          <t>DCP 18% (HARUMI)</t>
        </is>
      </c>
      <c r="R66" s="9" t="n">
        <v>1</v>
      </c>
      <c r="S66" s="9" t="n">
        <v>2</v>
      </c>
      <c r="T66" s="9" t="n">
        <v>3</v>
      </c>
      <c r="U66" s="9" t="inlineStr">
        <is>
          <t>PREMIX 1101 (20KG)</t>
        </is>
      </c>
      <c r="V66" s="9" t="inlineStr">
        <is>
          <t>PREMIX 1102 (20KG)</t>
        </is>
      </c>
      <c r="W66" s="9" t="inlineStr">
        <is>
          <t>PREMIX 1103 (20KG)</t>
        </is>
      </c>
      <c r="X66" s="9" t="inlineStr">
        <is>
          <t>PREMIX 311 (20KG)</t>
        </is>
      </c>
      <c r="Y66" s="9" t="inlineStr">
        <is>
          <t>PREMIX 312 (20KG)</t>
        </is>
      </c>
      <c r="Z66" s="9" t="n">
        <v>1</v>
      </c>
      <c r="AA66" s="9" t="inlineStr">
        <is>
          <t>PREMIX 8100 (20KG)</t>
        </is>
      </c>
      <c r="AB66" s="9" t="inlineStr">
        <is>
          <t>PREMIX 8101 (20KG)</t>
        </is>
      </c>
      <c r="AC66" s="9" t="inlineStr">
        <is>
          <t>PREMIX 8102 (20KG)</t>
        </is>
      </c>
      <c r="AD66" s="9" t="inlineStr">
        <is>
          <t>PREMIX 8103 (20KG)</t>
        </is>
      </c>
      <c r="AE66" s="9" t="inlineStr">
        <is>
          <t>PREMIX 8108 (20KG)</t>
        </is>
      </c>
      <c r="AF66" s="9" t="inlineStr">
        <is>
          <t>PREMIX 8109 (20KG)</t>
        </is>
      </c>
      <c r="AG66" s="9" t="inlineStr">
        <is>
          <t>YENMIX 121 (20KG)</t>
        </is>
      </c>
      <c r="AH66" s="9" t="inlineStr">
        <is>
          <t>YENMIX 122 (19.50KG)</t>
        </is>
      </c>
      <c r="AI66" s="9" t="inlineStr">
        <is>
          <t>YENMIX 123 (18.90KG)</t>
        </is>
      </c>
      <c r="AJ66" s="9" t="inlineStr">
        <is>
          <t>YENMIX 122 (20.50KG)</t>
        </is>
      </c>
      <c r="AK66" s="9" t="inlineStr">
        <is>
          <t>YENMIX 123 (20.00KG)</t>
        </is>
      </c>
      <c r="AL66" s="9" t="n">
        <v>1</v>
      </c>
      <c r="AM66" s="9" t="n">
        <v>2</v>
      </c>
      <c r="AN66" s="9" t="n">
        <v>3</v>
      </c>
      <c r="AO66" s="9" t="inlineStr">
        <is>
          <t>TOXISORB PREMIUM</t>
        </is>
      </c>
      <c r="AP66" s="9" t="inlineStr">
        <is>
          <t>SODIUM HUMATE 3.8% (HARUMI)</t>
        </is>
      </c>
      <c r="AQ66" s="9" t="inlineStr">
        <is>
          <t>TOXIWALL</t>
        </is>
      </c>
      <c r="AR66" s="9" t="inlineStr">
        <is>
          <t>SODIUM BICARBONATE</t>
        </is>
      </c>
      <c r="AS66" s="9" t="inlineStr">
        <is>
          <t>BMD 10%</t>
        </is>
      </c>
      <c r="AT66" s="9" t="inlineStr">
        <is>
          <t>SALT (HARUMI)</t>
        </is>
      </c>
      <c r="AU66" s="9" t="inlineStr">
        <is>
          <t>VISTABET 91</t>
        </is>
      </c>
      <c r="AV66" s="9" t="inlineStr">
        <is>
          <t>BETAFIN</t>
        </is>
      </c>
      <c r="AW66" s="9" t="inlineStr">
        <is>
          <t>8101 TOP UP</t>
        </is>
      </c>
      <c r="AX66" s="9" t="inlineStr">
        <is>
          <t>NORPONIN X03 (8102 TOP UP)</t>
        </is>
      </c>
      <c r="AY66" s="9" t="inlineStr">
        <is>
          <t>8102 TOP UP (4KG)</t>
        </is>
      </c>
      <c r="AZ66" s="9" t="inlineStr">
        <is>
          <t>8103 TOP UP (5KG)</t>
        </is>
      </c>
      <c r="BA66" s="9" t="inlineStr">
        <is>
          <t>L-ARGININE</t>
        </is>
      </c>
      <c r="BB66" s="9" t="inlineStr">
        <is>
          <t>DL-METHIONINE</t>
        </is>
      </c>
      <c r="BC66" s="9" t="inlineStr">
        <is>
          <t>L-THREONINE</t>
        </is>
      </c>
      <c r="BD66" s="9" t="inlineStr">
        <is>
          <t>L-LYSINE</t>
        </is>
      </c>
      <c r="BE66" s="9" t="inlineStr">
        <is>
          <t>FAECES DRY</t>
        </is>
      </c>
      <c r="BF66" s="9" t="inlineStr">
        <is>
          <t>ECOBIOL</t>
        </is>
      </c>
      <c r="BG66" s="9" t="inlineStr">
        <is>
          <t>ADDITIVE BROILER IMMUNE</t>
        </is>
      </c>
      <c r="BH66" s="9" t="inlineStr">
        <is>
          <t>MASTER CUBE (HARUMI)</t>
        </is>
      </c>
      <c r="BI66" s="9" t="inlineStr">
        <is>
          <t>1101 TOP UP (0.40KG)</t>
        </is>
      </c>
      <c r="BJ66" s="9" t="inlineStr">
        <is>
          <t>1102 TOP UP (0.60KG)</t>
        </is>
      </c>
      <c r="BK66" s="9" t="inlineStr">
        <is>
          <t>1103 TOP UP (2.00KG)</t>
        </is>
      </c>
      <c r="BL66" s="9" t="inlineStr">
        <is>
          <t>QUANTUM GLO 4%</t>
        </is>
      </c>
      <c r="BM66" s="9" t="inlineStr">
        <is>
          <t>SALT</t>
        </is>
      </c>
      <c r="BN66" s="9" t="inlineStr">
        <is>
          <t>OC 200 - OXYTET 20%</t>
        </is>
      </c>
      <c r="BO66" s="9" t="n">
        <v>3</v>
      </c>
      <c r="BP66" s="9" t="n">
        <v>4</v>
      </c>
      <c r="BQ66" s="9" t="inlineStr">
        <is>
          <t>WOVEN BAG (1101) - BLUE 50KG</t>
        </is>
      </c>
      <c r="BR66" s="9" t="inlineStr">
        <is>
          <t>WOVEN BAG (1102) - GREEN 50KG</t>
        </is>
      </c>
      <c r="BS66" s="9" t="inlineStr">
        <is>
          <t>WOVEN BAG (1103) - RED 50KG</t>
        </is>
      </c>
      <c r="BT66" s="9" t="inlineStr">
        <is>
          <t>PLAIN BAG 26" X 39" (50KG)</t>
        </is>
      </c>
      <c r="BU66" s="9" t="inlineStr">
        <is>
          <t>WOVEN BAG (8101) - KHAKI 50KG</t>
        </is>
      </c>
      <c r="BV66" s="9" t="inlineStr">
        <is>
          <t>WOVEN BAG (8102) - SKY BLUE 50KG</t>
        </is>
      </c>
      <c r="BW66" s="9" t="inlineStr">
        <is>
          <t>WOVEN BAG (8103) - BROWN 50KG</t>
        </is>
      </c>
      <c r="BX66" s="9" t="n">
        <v>1</v>
      </c>
      <c r="BY66" s="9" t="n">
        <v>2</v>
      </c>
      <c r="BZ66" s="9" t="n">
        <v>3</v>
      </c>
      <c r="CA66" s="9" t="n">
        <v>4</v>
      </c>
      <c r="CB66" s="9" t="n">
        <v>5</v>
      </c>
      <c r="CC66" s="9" t="n">
        <v>6</v>
      </c>
      <c r="CD66" s="9" t="n">
        <v>7</v>
      </c>
      <c r="CE66" s="9" t="n">
        <v>8</v>
      </c>
    </row>
    <row r="67">
      <c r="A67" s="9" t="inlineStr">
        <is>
          <t>OPENING</t>
        </is>
      </c>
      <c r="B67" s="9" t="n">
        <v>236936.6</v>
      </c>
      <c r="C67" s="9" t="n">
        <v>53017.60000000007</v>
      </c>
      <c r="D67" s="9" t="n">
        <v>42674.19999999997</v>
      </c>
      <c r="E67" s="9" t="n">
        <v>4522.200000000019</v>
      </c>
      <c r="F67" s="9" t="n">
        <v>0</v>
      </c>
      <c r="G67" s="9" t="n">
        <v>124.9999999999952</v>
      </c>
      <c r="H67" s="9" t="n">
        <v>26151.9</v>
      </c>
      <c r="I67" s="9" t="n">
        <v>0</v>
      </c>
      <c r="J67" s="9" t="n">
        <v>2097.339999999999</v>
      </c>
      <c r="K67" s="9" t="n">
        <v>-10277.08</v>
      </c>
      <c r="L67" s="9" t="n">
        <v>0</v>
      </c>
      <c r="M67" s="9" t="n">
        <v>27438.20000000001</v>
      </c>
      <c r="N67" s="9" t="n">
        <v>18782.29999999998</v>
      </c>
      <c r="O67" s="9" t="n">
        <v>5800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2020</v>
      </c>
      <c r="V67" s="9" t="n">
        <v>960</v>
      </c>
      <c r="W67" s="9" t="n">
        <v>1760</v>
      </c>
      <c r="X67" s="9" t="n">
        <v>400</v>
      </c>
      <c r="Y67" s="9" t="n">
        <v>3600</v>
      </c>
      <c r="Z67" s="9" t="n">
        <v>0</v>
      </c>
      <c r="AA67" s="9" t="n">
        <v>6120</v>
      </c>
      <c r="AB67" s="9" t="n">
        <v>0</v>
      </c>
      <c r="AC67" s="9" t="n">
        <v>0</v>
      </c>
      <c r="AD67" s="9" t="n">
        <v>2820</v>
      </c>
      <c r="AE67" s="9" t="n">
        <v>0</v>
      </c>
      <c r="AF67" s="9" t="n">
        <v>0</v>
      </c>
      <c r="AG67" s="9" t="n">
        <v>2540</v>
      </c>
      <c r="AH67" s="9" t="n">
        <v>2359.5</v>
      </c>
      <c r="AI67" s="9" t="n">
        <v>1890</v>
      </c>
      <c r="AJ67" s="9" t="n">
        <v>3690</v>
      </c>
      <c r="AK67" s="9" t="n">
        <v>4000</v>
      </c>
      <c r="AL67" s="9" t="n">
        <v>0</v>
      </c>
      <c r="AM67" s="9" t="n">
        <v>0</v>
      </c>
      <c r="AN67" s="9" t="n">
        <v>0</v>
      </c>
      <c r="AO67" s="9" t="n">
        <v>1625</v>
      </c>
      <c r="AP67" s="9" t="n">
        <v>0</v>
      </c>
      <c r="AQ67" s="9" t="n">
        <v>1127</v>
      </c>
      <c r="AR67" s="9" t="n">
        <v>3112</v>
      </c>
      <c r="AS67" s="9" t="n">
        <v>1680.5</v>
      </c>
      <c r="AT67" s="9" t="n">
        <v>0</v>
      </c>
      <c r="AU67" s="9" t="n">
        <v>1482</v>
      </c>
      <c r="AV67" s="9" t="n">
        <v>0</v>
      </c>
      <c r="AW67" s="9" t="n">
        <v>100</v>
      </c>
      <c r="AX67" s="9" t="n">
        <v>13.96000000000004</v>
      </c>
      <c r="AY67" s="9" t="n">
        <v>548</v>
      </c>
      <c r="AZ67" s="9" t="n">
        <v>0</v>
      </c>
      <c r="BA67" s="9" t="n">
        <v>0</v>
      </c>
      <c r="BB67" s="9" t="n">
        <v>147.04</v>
      </c>
      <c r="BC67" s="9" t="n">
        <v>46.8</v>
      </c>
      <c r="BD67" s="9" t="n">
        <v>0</v>
      </c>
      <c r="BE67" s="9" t="n">
        <v>24.2</v>
      </c>
      <c r="BF67" s="9" t="n">
        <v>32</v>
      </c>
      <c r="BG67" s="9" t="n">
        <v>0</v>
      </c>
      <c r="BH67" s="9" t="n">
        <v>0</v>
      </c>
      <c r="BI67" s="9" t="n">
        <v>0</v>
      </c>
      <c r="BJ67" s="9" t="n">
        <v>46.79999999999998</v>
      </c>
      <c r="BK67" s="9" t="n">
        <v>204</v>
      </c>
      <c r="BL67" s="9" t="n">
        <v>202.5</v>
      </c>
      <c r="BM67" s="9" t="n">
        <v>41.60000000000002</v>
      </c>
      <c r="BN67" s="9" t="n">
        <v>210</v>
      </c>
      <c r="BO67" s="9" t="n">
        <v>0</v>
      </c>
      <c r="BP67" s="9" t="n">
        <v>0</v>
      </c>
      <c r="BQ67" s="9" t="n">
        <v>1057</v>
      </c>
      <c r="BR67" s="9" t="n">
        <v>0</v>
      </c>
      <c r="BS67" s="9" t="n">
        <v>7507</v>
      </c>
      <c r="BT67" s="9" t="n">
        <v>4252</v>
      </c>
      <c r="BU67" s="9" t="n">
        <v>2179</v>
      </c>
      <c r="BV67" s="9" t="n">
        <v>4019</v>
      </c>
      <c r="BW67" s="9" t="n">
        <v>-218</v>
      </c>
      <c r="BX67" s="9" t="n">
        <v>0</v>
      </c>
      <c r="BY67" s="9" t="n">
        <v>0</v>
      </c>
      <c r="BZ67" s="9" t="n">
        <v>0</v>
      </c>
    </row>
    <row r="68">
      <c r="A68" s="9" t="inlineStr">
        <is>
          <t>INTAKE</t>
        </is>
      </c>
      <c r="B68" s="9" t="n">
        <v>0</v>
      </c>
      <c r="C68" s="9" t="n">
        <v>0</v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0</v>
      </c>
      <c r="AH68" s="9" t="n">
        <v>0</v>
      </c>
      <c r="AI68" s="9" t="n">
        <v>0</v>
      </c>
      <c r="AJ68" s="9" t="n">
        <v>0</v>
      </c>
      <c r="AK68" s="9" t="n">
        <v>0</v>
      </c>
      <c r="AL68" s="9" t="n">
        <v>0</v>
      </c>
      <c r="AM68" s="9" t="n">
        <v>0</v>
      </c>
      <c r="AN68" s="9" t="n">
        <v>0</v>
      </c>
      <c r="AO68" s="9" t="n">
        <v>0</v>
      </c>
      <c r="AP68" s="9" t="n">
        <v>0</v>
      </c>
      <c r="AQ68" s="9" t="n">
        <v>0</v>
      </c>
      <c r="AR68" s="9" t="n">
        <v>0</v>
      </c>
      <c r="AS68" s="9" t="n">
        <v>0</v>
      </c>
      <c r="AT68" s="9" t="n">
        <v>0</v>
      </c>
      <c r="AU68" s="9" t="n">
        <v>0</v>
      </c>
      <c r="AV68" s="9" t="n">
        <v>0</v>
      </c>
      <c r="AW68" s="9" t="n">
        <v>0</v>
      </c>
      <c r="AX68" s="9" t="n">
        <v>0</v>
      </c>
      <c r="AY68" s="9" t="n">
        <v>0</v>
      </c>
      <c r="AZ68" s="9" t="n">
        <v>0</v>
      </c>
      <c r="BA68" s="9" t="n">
        <v>0</v>
      </c>
      <c r="BB68" s="9" t="n">
        <v>0</v>
      </c>
      <c r="BC68" s="9" t="n">
        <v>0</v>
      </c>
      <c r="BD68" s="9" t="n">
        <v>0</v>
      </c>
      <c r="BE68" s="9" t="n">
        <v>0</v>
      </c>
      <c r="BF68" s="9" t="n">
        <v>0</v>
      </c>
      <c r="BG68" s="9" t="n">
        <v>0</v>
      </c>
      <c r="BH68" s="9" t="n">
        <v>0</v>
      </c>
      <c r="BI68" s="9" t="n">
        <v>0</v>
      </c>
      <c r="BJ68" s="9" t="n">
        <v>0</v>
      </c>
      <c r="BK68" s="9" t="n">
        <v>0</v>
      </c>
      <c r="BL68" s="9" t="n">
        <v>0</v>
      </c>
      <c r="BM68" s="9" t="n">
        <v>0</v>
      </c>
      <c r="BN68" s="9" t="n">
        <v>0</v>
      </c>
      <c r="BO68" s="9" t="n">
        <v>0</v>
      </c>
      <c r="BP68" s="9" t="n">
        <v>0</v>
      </c>
      <c r="BQ68" s="9" t="n">
        <v>0</v>
      </c>
      <c r="BR68" s="9" t="n">
        <v>0</v>
      </c>
      <c r="BS68" s="9" t="n">
        <v>0</v>
      </c>
      <c r="BT68" s="9" t="n">
        <v>0</v>
      </c>
      <c r="BU68" s="9" t="n">
        <v>0</v>
      </c>
      <c r="BV68" s="9" t="n">
        <v>0</v>
      </c>
      <c r="BW68" s="9" t="n">
        <v>0</v>
      </c>
      <c r="BX68" s="9" t="n">
        <v>0</v>
      </c>
      <c r="BY68" s="9" t="n">
        <v>0</v>
      </c>
      <c r="BZ68" s="9" t="n">
        <v>0</v>
      </c>
    </row>
    <row r="69">
      <c r="A69" s="9" t="inlineStr">
        <is>
          <t>USAGE</t>
        </is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s="9" t="n">
        <v>0</v>
      </c>
      <c r="AS69" s="9" t="n">
        <v>0</v>
      </c>
      <c r="AT69" s="9" t="n">
        <v>0</v>
      </c>
      <c r="AU69" s="9" t="n">
        <v>0</v>
      </c>
      <c r="AV69" s="9" t="n">
        <v>0</v>
      </c>
      <c r="AW69" s="9" t="n">
        <v>0</v>
      </c>
      <c r="AX69" s="9" t="n">
        <v>0</v>
      </c>
      <c r="AY69" s="9" t="n">
        <v>0</v>
      </c>
      <c r="AZ69" s="9" t="n">
        <v>0</v>
      </c>
      <c r="BA69" s="9" t="n">
        <v>0</v>
      </c>
      <c r="BB69" s="9" t="n">
        <v>0</v>
      </c>
      <c r="BC69" s="9" t="n">
        <v>0</v>
      </c>
      <c r="BD69" s="9" t="n">
        <v>0</v>
      </c>
      <c r="BE69" s="9" t="n">
        <v>0</v>
      </c>
      <c r="BF69" s="9" t="n">
        <v>0</v>
      </c>
      <c r="BG69" s="9" t="n">
        <v>0</v>
      </c>
      <c r="BH69" s="9" t="n">
        <v>0</v>
      </c>
      <c r="BI69" s="9" t="n">
        <v>0</v>
      </c>
      <c r="BJ69" s="9" t="n">
        <v>0</v>
      </c>
      <c r="BK69" s="9" t="n">
        <v>0</v>
      </c>
      <c r="BL69" s="9" t="n">
        <v>0</v>
      </c>
      <c r="BM69" s="9" t="n">
        <v>0</v>
      </c>
      <c r="BN69" s="9" t="n">
        <v>0</v>
      </c>
      <c r="BO69" s="9" t="n">
        <v>0</v>
      </c>
      <c r="BP69" s="9" t="n">
        <v>0</v>
      </c>
      <c r="BQ69" s="9" t="n">
        <v>0</v>
      </c>
      <c r="BR69" s="9" t="n">
        <v>0</v>
      </c>
      <c r="BS69" s="9" t="n">
        <v>0</v>
      </c>
      <c r="BT69" s="9" t="n">
        <v>0</v>
      </c>
      <c r="BU69" s="9" t="n">
        <v>0</v>
      </c>
      <c r="BV69" s="9" t="n">
        <v>0</v>
      </c>
      <c r="BW69" s="9" t="n">
        <v>0</v>
      </c>
      <c r="BX69" s="9" t="n">
        <v>0</v>
      </c>
      <c r="BY69" s="9" t="n">
        <v>0</v>
      </c>
      <c r="BZ69" s="9" t="n">
        <v>0</v>
      </c>
    </row>
    <row r="70">
      <c r="A70" s="9" t="inlineStr">
        <is>
          <t>ADJUUSTMENT</t>
        </is>
      </c>
      <c r="B70" s="9" t="n">
        <v>0</v>
      </c>
      <c r="C70" s="9" t="n">
        <v>0</v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0</v>
      </c>
      <c r="AH70" s="9" t="n">
        <v>0</v>
      </c>
      <c r="AJ70" s="9" t="n">
        <v>0</v>
      </c>
      <c r="AK70" s="9" t="n">
        <v>0</v>
      </c>
      <c r="AL70" s="9" t="n">
        <v>0</v>
      </c>
      <c r="BI70" s="9" t="n">
        <v>0</v>
      </c>
      <c r="BJ70" s="9" t="n">
        <v>0</v>
      </c>
      <c r="BK70" s="9" t="n">
        <v>0</v>
      </c>
      <c r="BL70" s="9" t="n">
        <v>0</v>
      </c>
      <c r="BM70" s="9" t="n">
        <v>0</v>
      </c>
      <c r="BN70" s="9" t="n">
        <v>0</v>
      </c>
      <c r="BO70" s="9" t="n">
        <v>0</v>
      </c>
    </row>
    <row r="71">
      <c r="A71" s="9" t="inlineStr">
        <is>
          <t>BALANCE</t>
        </is>
      </c>
      <c r="B71" s="9" t="n">
        <v>236936.6</v>
      </c>
      <c r="C71" s="9" t="n">
        <v>53017.60000000007</v>
      </c>
      <c r="D71" s="9" t="n">
        <v>42674.19999999997</v>
      </c>
      <c r="E71" s="9" t="n">
        <v>4522.200000000019</v>
      </c>
      <c r="F71" s="9" t="n">
        <v>0</v>
      </c>
      <c r="G71" s="9" t="n">
        <v>124.9999999999952</v>
      </c>
      <c r="H71" s="9" t="n">
        <v>26151.9</v>
      </c>
      <c r="I71" s="9" t="n">
        <v>0</v>
      </c>
      <c r="J71" s="9" t="n">
        <v>2097.339999999999</v>
      </c>
      <c r="K71" s="9" t="n">
        <v>-10277.08</v>
      </c>
      <c r="L71" s="9" t="n">
        <v>0</v>
      </c>
      <c r="M71" s="9" t="n">
        <v>27438.20000000001</v>
      </c>
      <c r="N71" s="9" t="n">
        <v>18782.29999999998</v>
      </c>
      <c r="O71" s="9" t="n">
        <v>5800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2020</v>
      </c>
      <c r="V71" s="9" t="n">
        <v>960</v>
      </c>
      <c r="W71" s="9" t="n">
        <v>1760</v>
      </c>
      <c r="X71" s="9" t="n">
        <v>400</v>
      </c>
      <c r="Y71" s="9" t="n">
        <v>3600</v>
      </c>
      <c r="Z71" s="9" t="n">
        <v>0</v>
      </c>
      <c r="AA71" s="9" t="n">
        <v>6120</v>
      </c>
      <c r="AB71" s="9" t="n">
        <v>0</v>
      </c>
      <c r="AC71" s="9" t="n">
        <v>0</v>
      </c>
      <c r="AD71" s="9" t="n">
        <v>2820</v>
      </c>
      <c r="AE71" s="9" t="n">
        <v>0</v>
      </c>
      <c r="AF71" s="9" t="n">
        <v>0</v>
      </c>
      <c r="AG71" s="9" t="n">
        <v>2540</v>
      </c>
      <c r="AH71" s="9" t="n">
        <v>2359.5</v>
      </c>
      <c r="AI71" s="9" t="n">
        <v>1890</v>
      </c>
      <c r="AJ71" s="9" t="n">
        <v>3690</v>
      </c>
      <c r="AK71" s="9" t="n">
        <v>4000</v>
      </c>
      <c r="AL71" s="9" t="n">
        <v>0</v>
      </c>
      <c r="AM71" s="9" t="n">
        <v>0</v>
      </c>
      <c r="AN71" s="9" t="n">
        <v>0</v>
      </c>
      <c r="AO71" s="9" t="n">
        <v>1625</v>
      </c>
      <c r="AP71" s="9" t="n">
        <v>0</v>
      </c>
      <c r="AQ71" s="9" t="n">
        <v>1127</v>
      </c>
      <c r="AR71" s="9" t="n">
        <v>3112</v>
      </c>
      <c r="AS71" s="9" t="n">
        <v>1680.5</v>
      </c>
      <c r="AT71" s="9" t="n">
        <v>0</v>
      </c>
      <c r="AU71" s="9" t="n">
        <v>1482</v>
      </c>
      <c r="AV71" s="9" t="n">
        <v>0</v>
      </c>
      <c r="AW71" s="9" t="n">
        <v>100</v>
      </c>
      <c r="AX71" s="9" t="n">
        <v>13.96000000000004</v>
      </c>
      <c r="AY71" s="9" t="n">
        <v>548</v>
      </c>
      <c r="AZ71" s="9" t="n">
        <v>0</v>
      </c>
      <c r="BA71" s="9" t="n">
        <v>0</v>
      </c>
      <c r="BB71" s="9" t="n">
        <v>147.04</v>
      </c>
      <c r="BC71" s="9" t="n">
        <v>46.8</v>
      </c>
      <c r="BD71" s="9" t="n">
        <v>0</v>
      </c>
      <c r="BE71" s="9" t="n">
        <v>24.2</v>
      </c>
      <c r="BF71" s="9" t="n">
        <v>32</v>
      </c>
      <c r="BG71" s="9" t="n">
        <v>0</v>
      </c>
      <c r="BH71" s="9" t="n">
        <v>0</v>
      </c>
      <c r="BI71" s="9" t="n">
        <v>0</v>
      </c>
      <c r="BJ71" s="9" t="n">
        <v>46.79999999999998</v>
      </c>
      <c r="BK71" s="9" t="n">
        <v>204</v>
      </c>
      <c r="BL71" s="9" t="n">
        <v>202.5</v>
      </c>
      <c r="BM71" s="9" t="n">
        <v>41.60000000000002</v>
      </c>
      <c r="BN71" s="9" t="n">
        <v>210</v>
      </c>
      <c r="BO71" s="9" t="n">
        <v>0</v>
      </c>
      <c r="BP71" s="9" t="n">
        <v>0</v>
      </c>
      <c r="BQ71" s="9" t="n">
        <v>1057</v>
      </c>
      <c r="BR71" s="9" t="n">
        <v>0</v>
      </c>
      <c r="BS71" s="9" t="n">
        <v>7507</v>
      </c>
      <c r="BT71" s="9" t="n">
        <v>4252</v>
      </c>
      <c r="BU71" s="9" t="n">
        <v>2179</v>
      </c>
      <c r="BV71" s="9" t="n">
        <v>4019</v>
      </c>
      <c r="BW71" s="9" t="n">
        <v>-218</v>
      </c>
      <c r="BX71" s="9" t="n">
        <v>0</v>
      </c>
      <c r="BY71" s="9" t="n">
        <v>0</v>
      </c>
      <c r="BZ71" s="9" t="n">
        <v>0</v>
      </c>
    </row>
    <row r="72"/>
    <row r="73">
      <c r="A73" s="9" t="inlineStr">
        <is>
          <t>NOV</t>
        </is>
      </c>
      <c r="B73" s="9" t="inlineStr">
        <is>
          <t>MAIZE/CORN</t>
        </is>
      </c>
      <c r="C73" s="9" t="inlineStr">
        <is>
          <t>SOYBEAN MEAL (ARG)</t>
        </is>
      </c>
      <c r="D73" s="9" t="inlineStr">
        <is>
          <t>SOYBEAN FULL FAT</t>
        </is>
      </c>
      <c r="E73" s="9" t="inlineStr">
        <is>
          <t>WHEAT POLLARD</t>
        </is>
      </c>
      <c r="F73" s="9" t="inlineStr">
        <is>
          <t>WHEAT</t>
        </is>
      </c>
      <c r="G73" s="9" t="inlineStr">
        <is>
          <t>MEAT AND BONE MEAL</t>
        </is>
      </c>
      <c r="H73" s="9" t="inlineStr">
        <is>
          <t>CORN GLUTEN MEAL</t>
        </is>
      </c>
      <c r="I73" s="9" t="inlineStr">
        <is>
          <t>MEGAFAT (HARUMI)</t>
        </is>
      </c>
      <c r="J73" s="9" t="inlineStr">
        <is>
          <t>DCP 18%</t>
        </is>
      </c>
      <c r="K73" s="9" t="inlineStr">
        <is>
          <t>LIMESTONE POWDER (HARUMI)</t>
        </is>
      </c>
      <c r="L73" s="9" t="inlineStr">
        <is>
          <t>CHOLINE CHLORIDE 60%</t>
        </is>
      </c>
      <c r="M73" s="9" t="inlineStr">
        <is>
          <t>INDUSTRY FLOUR</t>
        </is>
      </c>
      <c r="N73" s="9" t="inlineStr">
        <is>
          <t>RICE BRAN</t>
        </is>
      </c>
      <c r="O73" s="9" t="inlineStr">
        <is>
          <t>EP 200</t>
        </is>
      </c>
      <c r="P73" s="9" t="inlineStr">
        <is>
          <t>SOYTIDE</t>
        </is>
      </c>
      <c r="Q73" s="9" t="inlineStr">
        <is>
          <t>DCP 18% (HARUMI)</t>
        </is>
      </c>
      <c r="R73" s="9" t="n">
        <v>1</v>
      </c>
      <c r="S73" s="9" t="n">
        <v>2</v>
      </c>
      <c r="T73" s="9" t="n">
        <v>3</v>
      </c>
      <c r="U73" s="9" t="inlineStr">
        <is>
          <t>PREMIX 1101 (20KG)</t>
        </is>
      </c>
      <c r="V73" s="9" t="inlineStr">
        <is>
          <t>PREMIX 1102 (20KG)</t>
        </is>
      </c>
      <c r="W73" s="9" t="inlineStr">
        <is>
          <t>PREMIX 1103 (20KG)</t>
        </is>
      </c>
      <c r="X73" s="9" t="inlineStr">
        <is>
          <t>PREMIX 311 (20KG)</t>
        </is>
      </c>
      <c r="Y73" s="9" t="inlineStr">
        <is>
          <t>PREMIX 312 (20KG)</t>
        </is>
      </c>
      <c r="Z73" s="9" t="n">
        <v>1</v>
      </c>
      <c r="AA73" s="9" t="inlineStr">
        <is>
          <t>PREMIX 8100 (20KG)</t>
        </is>
      </c>
      <c r="AB73" s="9" t="inlineStr">
        <is>
          <t>PREMIX 8101 (20KG)</t>
        </is>
      </c>
      <c r="AC73" s="9" t="inlineStr">
        <is>
          <t>PREMIX 8102 (20KG)</t>
        </is>
      </c>
      <c r="AD73" s="9" t="inlineStr">
        <is>
          <t>PREMIX 8103 (20KG)</t>
        </is>
      </c>
      <c r="AE73" s="9" t="inlineStr">
        <is>
          <t>PREMIX 8108 (20KG)</t>
        </is>
      </c>
      <c r="AF73" s="9" t="inlineStr">
        <is>
          <t>PREMIX 8109 (20KG)</t>
        </is>
      </c>
      <c r="AG73" s="9" t="inlineStr">
        <is>
          <t>YENMIX 121 (20KG)</t>
        </is>
      </c>
      <c r="AH73" s="9" t="inlineStr">
        <is>
          <t>YENMIX 122 (19.50KG)</t>
        </is>
      </c>
      <c r="AI73" s="9" t="inlineStr">
        <is>
          <t>YENMIX 123 (18.90KG)</t>
        </is>
      </c>
      <c r="AJ73" s="9" t="inlineStr">
        <is>
          <t>YENMIX 122 (20.50KG)</t>
        </is>
      </c>
      <c r="AK73" s="9" t="inlineStr">
        <is>
          <t>YENMIX 123 (20.00KG)</t>
        </is>
      </c>
      <c r="AL73" s="9" t="n">
        <v>1</v>
      </c>
      <c r="AM73" s="9" t="n">
        <v>2</v>
      </c>
      <c r="AN73" s="9" t="n">
        <v>3</v>
      </c>
      <c r="AO73" s="9" t="inlineStr">
        <is>
          <t>TOXISORB PREMIUM</t>
        </is>
      </c>
      <c r="AP73" s="9" t="inlineStr">
        <is>
          <t>SODIUM HUMATE 3.8% (HARUMI)</t>
        </is>
      </c>
      <c r="AQ73" s="9" t="inlineStr">
        <is>
          <t>TOXIWALL</t>
        </is>
      </c>
      <c r="AR73" s="9" t="inlineStr">
        <is>
          <t>SODIUM BICARBONATE</t>
        </is>
      </c>
      <c r="AS73" s="9" t="inlineStr">
        <is>
          <t>BMD 10%</t>
        </is>
      </c>
      <c r="AT73" s="9" t="inlineStr">
        <is>
          <t>SALT (HARUMI)</t>
        </is>
      </c>
      <c r="AU73" s="9" t="inlineStr">
        <is>
          <t>VISTABET 91</t>
        </is>
      </c>
      <c r="AV73" s="9" t="inlineStr">
        <is>
          <t>BETAFIN</t>
        </is>
      </c>
      <c r="AW73" s="9" t="inlineStr">
        <is>
          <t>8101 TOP UP</t>
        </is>
      </c>
      <c r="AX73" s="9" t="inlineStr">
        <is>
          <t>NORPONIN X03 (8102 TOP UP)</t>
        </is>
      </c>
      <c r="AY73" s="9" t="inlineStr">
        <is>
          <t>8102 TOP UP (4KG)</t>
        </is>
      </c>
      <c r="AZ73" s="9" t="inlineStr">
        <is>
          <t>8103 TOP UP (5KG)</t>
        </is>
      </c>
      <c r="BA73" s="9" t="inlineStr">
        <is>
          <t>L-ARGININE</t>
        </is>
      </c>
      <c r="BB73" s="9" t="inlineStr">
        <is>
          <t>DL-METHIONINE</t>
        </is>
      </c>
      <c r="BC73" s="9" t="inlineStr">
        <is>
          <t>L-THREONINE</t>
        </is>
      </c>
      <c r="BD73" s="9" t="inlineStr">
        <is>
          <t>L-LYSINE</t>
        </is>
      </c>
      <c r="BE73" s="9" t="inlineStr">
        <is>
          <t>FAECES DRY</t>
        </is>
      </c>
      <c r="BF73" s="9" t="inlineStr">
        <is>
          <t>ECOBIOL</t>
        </is>
      </c>
      <c r="BG73" s="9" t="inlineStr">
        <is>
          <t>ADDITIVE BROILER IMMUNE</t>
        </is>
      </c>
      <c r="BH73" s="9" t="inlineStr">
        <is>
          <t>MASTER CUBE (HARUMI)</t>
        </is>
      </c>
      <c r="BI73" s="9" t="inlineStr">
        <is>
          <t>1101 TOP UP (0.40KG)</t>
        </is>
      </c>
      <c r="BJ73" s="9" t="inlineStr">
        <is>
          <t>1102 TOP UP (0.60KG)</t>
        </is>
      </c>
      <c r="BK73" s="9" t="inlineStr">
        <is>
          <t>1103 TOP UP (2.00KG)</t>
        </is>
      </c>
      <c r="BL73" s="9" t="inlineStr">
        <is>
          <t>QUANTUM GLO 4%</t>
        </is>
      </c>
      <c r="BM73" s="9" t="inlineStr">
        <is>
          <t>SALT</t>
        </is>
      </c>
      <c r="BN73" s="9" t="inlineStr">
        <is>
          <t>OC 200 - OXYTET 20%</t>
        </is>
      </c>
      <c r="BO73" s="9" t="n">
        <v>3</v>
      </c>
      <c r="BP73" s="9" t="n">
        <v>4</v>
      </c>
      <c r="BQ73" s="9" t="inlineStr">
        <is>
          <t>WOVEN BAG (1101) - BLUE 50KG</t>
        </is>
      </c>
      <c r="BR73" s="9" t="inlineStr">
        <is>
          <t>WOVEN BAG (1102) - GREEN 50KG</t>
        </is>
      </c>
      <c r="BS73" s="9" t="inlineStr">
        <is>
          <t>WOVEN BAG (1103) - RED 50KG</t>
        </is>
      </c>
      <c r="BT73" s="9" t="inlineStr">
        <is>
          <t>PLAIN BAG 26" X 39" (50KG)</t>
        </is>
      </c>
      <c r="BU73" s="9" t="inlineStr">
        <is>
          <t>WOVEN BAG (8101) - KHAKI 50KG</t>
        </is>
      </c>
      <c r="BV73" s="9" t="inlineStr">
        <is>
          <t>WOVEN BAG (8102) - SKY BLUE 50KG</t>
        </is>
      </c>
      <c r="BW73" s="9" t="inlineStr">
        <is>
          <t>WOVEN BAG (8103) - BROWN 50KG</t>
        </is>
      </c>
      <c r="BX73" s="9" t="n">
        <v>1</v>
      </c>
      <c r="BY73" s="9" t="n">
        <v>2</v>
      </c>
      <c r="BZ73" s="9" t="n">
        <v>3</v>
      </c>
      <c r="CA73" s="9" t="n">
        <v>4</v>
      </c>
      <c r="CB73" s="9" t="n">
        <v>5</v>
      </c>
      <c r="CC73" s="9" t="n">
        <v>6</v>
      </c>
      <c r="CD73" s="9" t="n">
        <v>7</v>
      </c>
      <c r="CE73" s="9" t="n">
        <v>8</v>
      </c>
    </row>
    <row r="74">
      <c r="A74" s="9" t="inlineStr">
        <is>
          <t>OPENING</t>
        </is>
      </c>
      <c r="B74" s="9" t="n">
        <v>236936.6</v>
      </c>
      <c r="C74" s="9" t="n">
        <v>53017.60000000007</v>
      </c>
      <c r="D74" s="9" t="n">
        <v>42674.19999999997</v>
      </c>
      <c r="E74" s="9" t="n">
        <v>4522.200000000019</v>
      </c>
      <c r="F74" s="9" t="n">
        <v>0</v>
      </c>
      <c r="G74" s="9" t="n">
        <v>124.9999999999952</v>
      </c>
      <c r="H74" s="9" t="n">
        <v>26151.9</v>
      </c>
      <c r="I74" s="9" t="n">
        <v>0</v>
      </c>
      <c r="J74" s="9" t="n">
        <v>2097.339999999999</v>
      </c>
      <c r="K74" s="9" t="n">
        <v>-10277.08</v>
      </c>
      <c r="L74" s="9" t="n">
        <v>0</v>
      </c>
      <c r="M74" s="9" t="n">
        <v>27438.20000000001</v>
      </c>
      <c r="N74" s="9" t="n">
        <v>18782.29999999998</v>
      </c>
      <c r="O74" s="9" t="n">
        <v>5800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2020</v>
      </c>
      <c r="V74" s="9" t="n">
        <v>960</v>
      </c>
      <c r="W74" s="9" t="n">
        <v>1760</v>
      </c>
      <c r="X74" s="9" t="n">
        <v>400</v>
      </c>
      <c r="Y74" s="9" t="n">
        <v>3600</v>
      </c>
      <c r="Z74" s="9" t="n">
        <v>0</v>
      </c>
      <c r="AA74" s="9" t="n">
        <v>6120</v>
      </c>
      <c r="AB74" s="9" t="n">
        <v>0</v>
      </c>
      <c r="AC74" s="9" t="n">
        <v>0</v>
      </c>
      <c r="AD74" s="9" t="n">
        <v>2820</v>
      </c>
      <c r="AE74" s="9" t="n">
        <v>0</v>
      </c>
      <c r="AF74" s="9" t="n">
        <v>0</v>
      </c>
      <c r="AG74" s="9" t="n">
        <v>2540</v>
      </c>
      <c r="AH74" s="9" t="n">
        <v>2359.5</v>
      </c>
      <c r="AI74" s="9" t="n">
        <v>1890</v>
      </c>
      <c r="AJ74" s="9" t="n">
        <v>3690</v>
      </c>
      <c r="AK74" s="9" t="n">
        <v>4000</v>
      </c>
      <c r="AL74" s="9" t="n">
        <v>0</v>
      </c>
      <c r="AM74" s="9" t="n">
        <v>0</v>
      </c>
      <c r="AN74" s="9" t="n">
        <v>0</v>
      </c>
      <c r="AO74" s="9" t="n">
        <v>1625</v>
      </c>
      <c r="AP74" s="9" t="n">
        <v>0</v>
      </c>
      <c r="AQ74" s="9" t="n">
        <v>1127</v>
      </c>
      <c r="AR74" s="9" t="n">
        <v>3112</v>
      </c>
      <c r="AS74" s="9" t="n">
        <v>1680.5</v>
      </c>
      <c r="AT74" s="9" t="n">
        <v>0</v>
      </c>
      <c r="AU74" s="9" t="n">
        <v>1482</v>
      </c>
      <c r="AV74" s="9" t="n">
        <v>0</v>
      </c>
      <c r="AW74" s="9" t="n">
        <v>100</v>
      </c>
      <c r="AX74" s="9" t="n">
        <v>13.96000000000004</v>
      </c>
      <c r="AY74" s="9" t="n">
        <v>548</v>
      </c>
      <c r="AZ74" s="9" t="n">
        <v>0</v>
      </c>
      <c r="BA74" s="9" t="n">
        <v>0</v>
      </c>
      <c r="BB74" s="9" t="n">
        <v>147.04</v>
      </c>
      <c r="BC74" s="9" t="n">
        <v>46.8</v>
      </c>
      <c r="BD74" s="9" t="n">
        <v>0</v>
      </c>
      <c r="BE74" s="9" t="n">
        <v>24.2</v>
      </c>
      <c r="BF74" s="9" t="n">
        <v>32</v>
      </c>
      <c r="BG74" s="9" t="n">
        <v>0</v>
      </c>
      <c r="BH74" s="9" t="n">
        <v>0</v>
      </c>
      <c r="BI74" s="9" t="n">
        <v>0</v>
      </c>
      <c r="BJ74" s="9" t="n">
        <v>46.79999999999998</v>
      </c>
      <c r="BK74" s="9" t="n">
        <v>204</v>
      </c>
      <c r="BL74" s="9" t="n">
        <v>202.5</v>
      </c>
      <c r="BM74" s="9" t="n">
        <v>41.60000000000002</v>
      </c>
      <c r="BN74" s="9" t="n">
        <v>210</v>
      </c>
      <c r="BO74" s="9" t="n">
        <v>0</v>
      </c>
      <c r="BP74" s="9" t="n">
        <v>0</v>
      </c>
      <c r="BQ74" s="9" t="n">
        <v>1057</v>
      </c>
      <c r="BR74" s="9" t="n">
        <v>0</v>
      </c>
      <c r="BS74" s="9" t="n">
        <v>7507</v>
      </c>
      <c r="BT74" s="9" t="n">
        <v>4252</v>
      </c>
      <c r="BU74" s="9" t="n">
        <v>2179</v>
      </c>
      <c r="BV74" s="9" t="n">
        <v>4019</v>
      </c>
      <c r="BW74" s="9" t="n">
        <v>-218</v>
      </c>
      <c r="BX74" s="9" t="n">
        <v>0</v>
      </c>
      <c r="BY74" s="9" t="n">
        <v>0</v>
      </c>
      <c r="BZ74" s="9" t="n">
        <v>0</v>
      </c>
    </row>
    <row r="75">
      <c r="A75" s="9" t="inlineStr">
        <is>
          <t>INTAKE</t>
        </is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s="9" t="n">
        <v>0</v>
      </c>
      <c r="AS75" s="9" t="n">
        <v>0</v>
      </c>
      <c r="AT75" s="9" t="n">
        <v>0</v>
      </c>
      <c r="AU75" s="9" t="n">
        <v>0</v>
      </c>
      <c r="AV75" s="9" t="n">
        <v>0</v>
      </c>
      <c r="AW75" s="9" t="n">
        <v>0</v>
      </c>
      <c r="AX75" s="9" t="n">
        <v>0</v>
      </c>
      <c r="AY75" s="9" t="n">
        <v>0</v>
      </c>
      <c r="AZ75" s="9" t="n">
        <v>0</v>
      </c>
      <c r="BA75" s="9" t="n">
        <v>0</v>
      </c>
      <c r="BB75" s="9" t="n">
        <v>0</v>
      </c>
      <c r="BC75" s="9" t="n">
        <v>0</v>
      </c>
      <c r="BD75" s="9" t="n">
        <v>0</v>
      </c>
      <c r="BE75" s="9" t="n">
        <v>0</v>
      </c>
      <c r="BF75" s="9" t="n">
        <v>0</v>
      </c>
      <c r="BG75" s="9" t="n">
        <v>0</v>
      </c>
      <c r="BH75" s="9" t="n">
        <v>0</v>
      </c>
      <c r="BI75" s="9" t="n">
        <v>0</v>
      </c>
      <c r="BJ75" s="9" t="n">
        <v>0</v>
      </c>
      <c r="BK75" s="9" t="n">
        <v>0</v>
      </c>
      <c r="BL75" s="9" t="n">
        <v>0</v>
      </c>
      <c r="BM75" s="9" t="n">
        <v>0</v>
      </c>
      <c r="BN75" s="9" t="n">
        <v>0</v>
      </c>
      <c r="BO75" s="9" t="n">
        <v>0</v>
      </c>
      <c r="BP75" s="9" t="n">
        <v>0</v>
      </c>
      <c r="BQ75" s="9" t="n">
        <v>0</v>
      </c>
      <c r="BR75" s="9" t="n">
        <v>0</v>
      </c>
      <c r="BS75" s="9" t="n">
        <v>0</v>
      </c>
      <c r="BT75" s="9" t="n">
        <v>0</v>
      </c>
      <c r="BU75" s="9" t="n">
        <v>0</v>
      </c>
      <c r="BV75" s="9" t="n">
        <v>0</v>
      </c>
      <c r="BW75" s="9" t="n">
        <v>0</v>
      </c>
      <c r="BX75" s="9" t="n">
        <v>0</v>
      </c>
      <c r="BY75" s="9" t="n">
        <v>0</v>
      </c>
      <c r="BZ75" s="9" t="n">
        <v>0</v>
      </c>
    </row>
    <row r="76">
      <c r="A76" s="9" t="inlineStr">
        <is>
          <t>USAGE</t>
        </is>
      </c>
      <c r="B76" s="9" t="n">
        <v>0</v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9" t="n">
        <v>0</v>
      </c>
      <c r="AH76" s="9" t="n">
        <v>0</v>
      </c>
      <c r="AI76" s="9" t="n">
        <v>0</v>
      </c>
      <c r="AJ76" s="9" t="n">
        <v>0</v>
      </c>
      <c r="AK76" s="9" t="n">
        <v>0</v>
      </c>
      <c r="AL76" s="9" t="n">
        <v>0</v>
      </c>
      <c r="AM76" s="9" t="n">
        <v>0</v>
      </c>
      <c r="AN76" s="9" t="n">
        <v>0</v>
      </c>
      <c r="AO76" s="9" t="n">
        <v>0</v>
      </c>
      <c r="AP76" s="9" t="n">
        <v>0</v>
      </c>
      <c r="AQ76" s="9" t="n">
        <v>0</v>
      </c>
      <c r="AR76" s="9" t="n">
        <v>0</v>
      </c>
      <c r="AS76" s="9" t="n">
        <v>0</v>
      </c>
      <c r="AT76" s="9" t="n">
        <v>0</v>
      </c>
      <c r="AU76" s="9" t="n">
        <v>0</v>
      </c>
      <c r="AV76" s="9" t="n">
        <v>0</v>
      </c>
      <c r="AW76" s="9" t="n">
        <v>0</v>
      </c>
      <c r="AX76" s="9" t="n">
        <v>0</v>
      </c>
      <c r="AY76" s="9" t="n">
        <v>0</v>
      </c>
      <c r="AZ76" s="9" t="n">
        <v>0</v>
      </c>
      <c r="BA76" s="9" t="n">
        <v>0</v>
      </c>
      <c r="BB76" s="9" t="n">
        <v>0</v>
      </c>
      <c r="BC76" s="9" t="n">
        <v>0</v>
      </c>
      <c r="BD76" s="9" t="n">
        <v>0</v>
      </c>
      <c r="BE76" s="9" t="n">
        <v>0</v>
      </c>
      <c r="BF76" s="9" t="n">
        <v>0</v>
      </c>
      <c r="BG76" s="9" t="n">
        <v>0</v>
      </c>
      <c r="BH76" s="9" t="n">
        <v>0</v>
      </c>
      <c r="BI76" s="9" t="n">
        <v>0</v>
      </c>
      <c r="BJ76" s="9" t="n">
        <v>0</v>
      </c>
      <c r="BK76" s="9" t="n">
        <v>0</v>
      </c>
      <c r="BL76" s="9" t="n">
        <v>0</v>
      </c>
      <c r="BM76" s="9" t="n">
        <v>0</v>
      </c>
      <c r="BN76" s="9" t="n">
        <v>0</v>
      </c>
      <c r="BO76" s="9" t="n">
        <v>0</v>
      </c>
      <c r="BP76" s="9" t="n">
        <v>0</v>
      </c>
      <c r="BQ76" s="9" t="n">
        <v>0</v>
      </c>
      <c r="BR76" s="9" t="n">
        <v>0</v>
      </c>
      <c r="BS76" s="9" t="n">
        <v>0</v>
      </c>
      <c r="BT76" s="9" t="n">
        <v>0</v>
      </c>
      <c r="BU76" s="9" t="n">
        <v>0</v>
      </c>
      <c r="BV76" s="9" t="n">
        <v>0</v>
      </c>
      <c r="BW76" s="9" t="n">
        <v>0</v>
      </c>
      <c r="BX76" s="9" t="n">
        <v>0</v>
      </c>
      <c r="BY76" s="9" t="n">
        <v>0</v>
      </c>
      <c r="BZ76" s="9" t="n">
        <v>0</v>
      </c>
    </row>
    <row r="77">
      <c r="A77" s="9" t="inlineStr">
        <is>
          <t>ADJUUSTMENT</t>
        </is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J77" s="9" t="n">
        <v>0</v>
      </c>
      <c r="AK77" s="9" t="n">
        <v>0</v>
      </c>
      <c r="AL77" s="9" t="n">
        <v>0</v>
      </c>
      <c r="BI77" s="9" t="n">
        <v>0</v>
      </c>
      <c r="BJ77" s="9" t="n">
        <v>0</v>
      </c>
      <c r="BK77" s="9" t="n">
        <v>0</v>
      </c>
      <c r="BL77" s="9" t="n">
        <v>0</v>
      </c>
      <c r="BM77" s="9" t="n">
        <v>0</v>
      </c>
      <c r="BN77" s="9" t="n">
        <v>0</v>
      </c>
      <c r="BO77" s="9" t="n">
        <v>0</v>
      </c>
    </row>
    <row r="78">
      <c r="A78" s="9" t="inlineStr">
        <is>
          <t>BALANCE</t>
        </is>
      </c>
      <c r="B78" s="9" t="n">
        <v>236936.6</v>
      </c>
      <c r="C78" s="9" t="n">
        <v>53017.60000000007</v>
      </c>
      <c r="D78" s="9" t="n">
        <v>42674.19999999997</v>
      </c>
      <c r="E78" s="9" t="n">
        <v>4522.200000000019</v>
      </c>
      <c r="F78" s="9" t="n">
        <v>0</v>
      </c>
      <c r="G78" s="9" t="n">
        <v>124.9999999999952</v>
      </c>
      <c r="H78" s="9" t="n">
        <v>26151.9</v>
      </c>
      <c r="I78" s="9" t="n">
        <v>0</v>
      </c>
      <c r="J78" s="9" t="n">
        <v>2097.339999999999</v>
      </c>
      <c r="K78" s="9" t="n">
        <v>-10277.08</v>
      </c>
      <c r="L78" s="9" t="n">
        <v>0</v>
      </c>
      <c r="M78" s="9" t="n">
        <v>27438.20000000001</v>
      </c>
      <c r="N78" s="9" t="n">
        <v>18782.29999999998</v>
      </c>
      <c r="O78" s="9" t="n">
        <v>5800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2020</v>
      </c>
      <c r="V78" s="9" t="n">
        <v>960</v>
      </c>
      <c r="W78" s="9" t="n">
        <v>1760</v>
      </c>
      <c r="X78" s="9" t="n">
        <v>400</v>
      </c>
      <c r="Y78" s="9" t="n">
        <v>3600</v>
      </c>
      <c r="Z78" s="9" t="n">
        <v>0</v>
      </c>
      <c r="AA78" s="9" t="n">
        <v>6120</v>
      </c>
      <c r="AB78" s="9" t="n">
        <v>0</v>
      </c>
      <c r="AC78" s="9" t="n">
        <v>0</v>
      </c>
      <c r="AD78" s="9" t="n">
        <v>2820</v>
      </c>
      <c r="AE78" s="9" t="n">
        <v>0</v>
      </c>
      <c r="AF78" s="9" t="n">
        <v>0</v>
      </c>
      <c r="AG78" s="9" t="n">
        <v>2540</v>
      </c>
      <c r="AH78" s="9" t="n">
        <v>2359.5</v>
      </c>
      <c r="AI78" s="9" t="n">
        <v>1890</v>
      </c>
      <c r="AJ78" s="9" t="n">
        <v>3690</v>
      </c>
      <c r="AK78" s="9" t="n">
        <v>4000</v>
      </c>
      <c r="AL78" s="9" t="n">
        <v>0</v>
      </c>
      <c r="AM78" s="9" t="n">
        <v>0</v>
      </c>
      <c r="AN78" s="9" t="n">
        <v>0</v>
      </c>
      <c r="AO78" s="9" t="n">
        <v>1625</v>
      </c>
      <c r="AP78" s="9" t="n">
        <v>0</v>
      </c>
      <c r="AQ78" s="9" t="n">
        <v>1127</v>
      </c>
      <c r="AR78" s="9" t="n">
        <v>3112</v>
      </c>
      <c r="AS78" s="9" t="n">
        <v>1680.5</v>
      </c>
      <c r="AT78" s="9" t="n">
        <v>0</v>
      </c>
      <c r="AU78" s="9" t="n">
        <v>1482</v>
      </c>
      <c r="AV78" s="9" t="n">
        <v>0</v>
      </c>
      <c r="AW78" s="9" t="n">
        <v>100</v>
      </c>
      <c r="AX78" s="9" t="n">
        <v>13.96000000000004</v>
      </c>
      <c r="AY78" s="9" t="n">
        <v>548</v>
      </c>
      <c r="AZ78" s="9" t="n">
        <v>0</v>
      </c>
      <c r="BA78" s="9" t="n">
        <v>0</v>
      </c>
      <c r="BB78" s="9" t="n">
        <v>147.04</v>
      </c>
      <c r="BC78" s="9" t="n">
        <v>46.8</v>
      </c>
      <c r="BD78" s="9" t="n">
        <v>0</v>
      </c>
      <c r="BE78" s="9" t="n">
        <v>24.2</v>
      </c>
      <c r="BF78" s="9" t="n">
        <v>32</v>
      </c>
      <c r="BG78" s="9" t="n">
        <v>0</v>
      </c>
      <c r="BH78" s="9" t="n">
        <v>0</v>
      </c>
      <c r="BI78" s="9" t="n">
        <v>0</v>
      </c>
      <c r="BJ78" s="9" t="n">
        <v>46.79999999999998</v>
      </c>
      <c r="BK78" s="9" t="n">
        <v>204</v>
      </c>
      <c r="BL78" s="9" t="n">
        <v>202.5</v>
      </c>
      <c r="BM78" s="9" t="n">
        <v>41.60000000000002</v>
      </c>
      <c r="BN78" s="9" t="n">
        <v>210</v>
      </c>
      <c r="BO78" s="9" t="n">
        <v>0</v>
      </c>
      <c r="BP78" s="9" t="n">
        <v>0</v>
      </c>
      <c r="BQ78" s="9" t="n">
        <v>1057</v>
      </c>
      <c r="BR78" s="9" t="n">
        <v>0</v>
      </c>
      <c r="BS78" s="9" t="n">
        <v>7507</v>
      </c>
      <c r="BT78" s="9" t="n">
        <v>4252</v>
      </c>
      <c r="BU78" s="9" t="n">
        <v>2179</v>
      </c>
      <c r="BV78" s="9" t="n">
        <v>4019</v>
      </c>
      <c r="BW78" s="9" t="n">
        <v>-218</v>
      </c>
      <c r="BX78" s="9" t="n">
        <v>0</v>
      </c>
      <c r="BY78" s="9" t="n">
        <v>0</v>
      </c>
      <c r="BZ78" s="9" t="n">
        <v>0</v>
      </c>
    </row>
    <row r="79"/>
    <row r="80">
      <c r="A80" s="9" t="inlineStr">
        <is>
          <t>DEC</t>
        </is>
      </c>
      <c r="B80" s="9" t="inlineStr">
        <is>
          <t>MAIZE/CORN</t>
        </is>
      </c>
      <c r="C80" s="9" t="inlineStr">
        <is>
          <t>SOYBEAN MEAL (ARG)</t>
        </is>
      </c>
      <c r="D80" s="9" t="inlineStr">
        <is>
          <t>SOYBEAN FULL FAT</t>
        </is>
      </c>
      <c r="E80" s="9" t="inlineStr">
        <is>
          <t>WHEAT POLLARD</t>
        </is>
      </c>
      <c r="F80" s="9" t="inlineStr">
        <is>
          <t>WHEAT</t>
        </is>
      </c>
      <c r="G80" s="9" t="inlineStr">
        <is>
          <t>MEAT AND BONE MEAL</t>
        </is>
      </c>
      <c r="H80" s="9" t="inlineStr">
        <is>
          <t>CORN GLUTEN MEAL</t>
        </is>
      </c>
      <c r="I80" s="9" t="inlineStr">
        <is>
          <t>MEGAFAT (HARUMI)</t>
        </is>
      </c>
      <c r="J80" s="9" t="inlineStr">
        <is>
          <t>DCP 18%</t>
        </is>
      </c>
      <c r="K80" s="9" t="inlineStr">
        <is>
          <t>LIMESTONE POWDER (HARUMI)</t>
        </is>
      </c>
      <c r="L80" s="9" t="inlineStr">
        <is>
          <t>CHOLINE CHLORIDE 60%</t>
        </is>
      </c>
      <c r="M80" s="9" t="inlineStr">
        <is>
          <t>INDUSTRY FLOUR</t>
        </is>
      </c>
      <c r="N80" s="9" t="inlineStr">
        <is>
          <t>RICE BRAN</t>
        </is>
      </c>
      <c r="O80" s="9" t="inlineStr">
        <is>
          <t>EP 200</t>
        </is>
      </c>
      <c r="P80" s="9" t="inlineStr">
        <is>
          <t>SOYTIDE</t>
        </is>
      </c>
      <c r="Q80" s="9" t="inlineStr">
        <is>
          <t>DCP 18% (HARUMI)</t>
        </is>
      </c>
      <c r="R80" s="9" t="n">
        <v>1</v>
      </c>
      <c r="S80" s="9" t="n">
        <v>2</v>
      </c>
      <c r="T80" s="9" t="n">
        <v>3</v>
      </c>
      <c r="U80" s="9" t="inlineStr">
        <is>
          <t>PREMIX 1101 (20KG)</t>
        </is>
      </c>
      <c r="V80" s="9" t="inlineStr">
        <is>
          <t>PREMIX 1102 (20KG)</t>
        </is>
      </c>
      <c r="W80" s="9" t="inlineStr">
        <is>
          <t>PREMIX 1103 (20KG)</t>
        </is>
      </c>
      <c r="X80" s="9" t="inlineStr">
        <is>
          <t>PREMIX 311 (20KG)</t>
        </is>
      </c>
      <c r="Y80" s="9" t="inlineStr">
        <is>
          <t>PREMIX 312 (20KG)</t>
        </is>
      </c>
      <c r="Z80" s="9" t="n">
        <v>1</v>
      </c>
      <c r="AA80" s="9" t="inlineStr">
        <is>
          <t>PREMIX 8100 (20KG)</t>
        </is>
      </c>
      <c r="AB80" s="9" t="inlineStr">
        <is>
          <t>PREMIX 8101 (20KG)</t>
        </is>
      </c>
      <c r="AC80" s="9" t="inlineStr">
        <is>
          <t>PREMIX 8102 (20KG)</t>
        </is>
      </c>
      <c r="AD80" s="9" t="inlineStr">
        <is>
          <t>PREMIX 8103 (20KG)</t>
        </is>
      </c>
      <c r="AE80" s="9" t="inlineStr">
        <is>
          <t>PREMIX 8108 (20KG)</t>
        </is>
      </c>
      <c r="AF80" s="9" t="inlineStr">
        <is>
          <t>PREMIX 8109 (20KG)</t>
        </is>
      </c>
      <c r="AG80" s="9" t="inlineStr">
        <is>
          <t>YENMIX 121 (20KG)</t>
        </is>
      </c>
      <c r="AH80" s="9" t="inlineStr">
        <is>
          <t>YENMIX 122 (19.50KG)</t>
        </is>
      </c>
      <c r="AI80" s="9" t="inlineStr">
        <is>
          <t>YENMIX 123 (18.90KG)</t>
        </is>
      </c>
      <c r="AJ80" s="9" t="inlineStr">
        <is>
          <t>YENMIX 122 (20.50KG)</t>
        </is>
      </c>
      <c r="AK80" s="9" t="inlineStr">
        <is>
          <t>YENMIX 123 (20.00KG)</t>
        </is>
      </c>
      <c r="AL80" s="9" t="n">
        <v>1</v>
      </c>
      <c r="AM80" s="9" t="n">
        <v>2</v>
      </c>
      <c r="AN80" s="9" t="n">
        <v>3</v>
      </c>
      <c r="AO80" s="9" t="inlineStr">
        <is>
          <t>TOXISORB PREMIUM</t>
        </is>
      </c>
      <c r="AP80" s="9" t="inlineStr">
        <is>
          <t>SODIUM HUMATE 3.8% (HARUMI)</t>
        </is>
      </c>
      <c r="AQ80" s="9" t="inlineStr">
        <is>
          <t>TOXIWALL</t>
        </is>
      </c>
      <c r="AR80" s="9" t="inlineStr">
        <is>
          <t>SODIUM BICARBONATE</t>
        </is>
      </c>
      <c r="AS80" s="9" t="inlineStr">
        <is>
          <t>BMD 10%</t>
        </is>
      </c>
      <c r="AT80" s="9" t="inlineStr">
        <is>
          <t>SALT (HARUMI)</t>
        </is>
      </c>
      <c r="AU80" s="9" t="inlineStr">
        <is>
          <t>VISTABET 91</t>
        </is>
      </c>
      <c r="AV80" s="9" t="inlineStr">
        <is>
          <t>BETAFIN</t>
        </is>
      </c>
      <c r="AW80" s="9" t="inlineStr">
        <is>
          <t>8101 TOP UP</t>
        </is>
      </c>
      <c r="AX80" s="9" t="inlineStr">
        <is>
          <t>NORPONIN X03 (8102 TOP UP)</t>
        </is>
      </c>
      <c r="AY80" s="9" t="inlineStr">
        <is>
          <t>8102 TOP UP (4KG)</t>
        </is>
      </c>
      <c r="AZ80" s="9" t="inlineStr">
        <is>
          <t>8103 TOP UP (5KG)</t>
        </is>
      </c>
      <c r="BA80" s="9" t="inlineStr">
        <is>
          <t>L-ARGININE</t>
        </is>
      </c>
      <c r="BB80" s="9" t="inlineStr">
        <is>
          <t>DL-METHIONINE</t>
        </is>
      </c>
      <c r="BC80" s="9" t="inlineStr">
        <is>
          <t>L-THREONINE</t>
        </is>
      </c>
      <c r="BD80" s="9" t="inlineStr">
        <is>
          <t>L-LYSINE</t>
        </is>
      </c>
      <c r="BE80" s="9" t="inlineStr">
        <is>
          <t>FAECES DRY</t>
        </is>
      </c>
      <c r="BF80" s="9" t="inlineStr">
        <is>
          <t>ECOBIOL</t>
        </is>
      </c>
      <c r="BG80" s="9" t="inlineStr">
        <is>
          <t>ADDITIVE BROILER IMMUNE</t>
        </is>
      </c>
      <c r="BH80" s="9" t="inlineStr">
        <is>
          <t>MASTER CUBE (HARUMI)</t>
        </is>
      </c>
      <c r="BI80" s="9" t="inlineStr">
        <is>
          <t>1101 TOP UP (0.40KG)</t>
        </is>
      </c>
      <c r="BJ80" s="9" t="inlineStr">
        <is>
          <t>1102 TOP UP (0.60KG)</t>
        </is>
      </c>
      <c r="BK80" s="9" t="inlineStr">
        <is>
          <t>1103 TOP UP (2.00KG)</t>
        </is>
      </c>
      <c r="BL80" s="9" t="inlineStr">
        <is>
          <t>QUANTUM GLO 4%</t>
        </is>
      </c>
      <c r="BM80" s="9" t="inlineStr">
        <is>
          <t>SALT</t>
        </is>
      </c>
      <c r="BN80" s="9" t="inlineStr">
        <is>
          <t>OC 200 - OXYTET 20%</t>
        </is>
      </c>
      <c r="BO80" s="9" t="n">
        <v>3</v>
      </c>
      <c r="BP80" s="9" t="n">
        <v>4</v>
      </c>
      <c r="BQ80" s="9" t="inlineStr">
        <is>
          <t>WOVEN BAG (1101) - BLUE 50KG</t>
        </is>
      </c>
      <c r="BR80" s="9" t="inlineStr">
        <is>
          <t>WOVEN BAG (1102) - GREEN 50KG</t>
        </is>
      </c>
      <c r="BS80" s="9" t="inlineStr">
        <is>
          <t>WOVEN BAG (1103) - RED 50KG</t>
        </is>
      </c>
      <c r="BT80" s="9" t="inlineStr">
        <is>
          <t>PLAIN BAG 26" X 39" (50KG)</t>
        </is>
      </c>
      <c r="BU80" s="9" t="inlineStr">
        <is>
          <t>WOVEN BAG (8101) - KHAKI 50KG</t>
        </is>
      </c>
      <c r="BV80" s="9" t="inlineStr">
        <is>
          <t>WOVEN BAG (8102) - SKY BLUE 50KG</t>
        </is>
      </c>
      <c r="BW80" s="9" t="inlineStr">
        <is>
          <t>WOVEN BAG (8103) - BROWN 50KG</t>
        </is>
      </c>
      <c r="BX80" s="9" t="n">
        <v>1</v>
      </c>
      <c r="BY80" s="9" t="n">
        <v>2</v>
      </c>
      <c r="BZ80" s="9" t="n">
        <v>3</v>
      </c>
      <c r="CA80" s="9" t="n">
        <v>4</v>
      </c>
      <c r="CB80" s="9" t="n">
        <v>5</v>
      </c>
      <c r="CC80" s="9" t="n">
        <v>6</v>
      </c>
      <c r="CD80" s="9" t="n">
        <v>7</v>
      </c>
      <c r="CE80" s="9" t="n">
        <v>8</v>
      </c>
    </row>
    <row r="81">
      <c r="A81" s="9" t="inlineStr">
        <is>
          <t>OPENING</t>
        </is>
      </c>
      <c r="B81" s="9" t="n">
        <v>236936.6</v>
      </c>
      <c r="C81" s="9" t="n">
        <v>53017.60000000007</v>
      </c>
      <c r="D81" s="9" t="n">
        <v>42674.19999999997</v>
      </c>
      <c r="E81" s="9" t="n">
        <v>4522.200000000019</v>
      </c>
      <c r="F81" s="9" t="n">
        <v>0</v>
      </c>
      <c r="G81" s="9" t="n">
        <v>124.9999999999952</v>
      </c>
      <c r="H81" s="9" t="n">
        <v>26151.9</v>
      </c>
      <c r="I81" s="9" t="n">
        <v>0</v>
      </c>
      <c r="J81" s="9" t="n">
        <v>2097.339999999999</v>
      </c>
      <c r="K81" s="9" t="n">
        <v>-10277.08</v>
      </c>
      <c r="L81" s="9" t="n">
        <v>0</v>
      </c>
      <c r="M81" s="9" t="n">
        <v>27438.20000000001</v>
      </c>
      <c r="N81" s="9" t="n">
        <v>18782.29999999998</v>
      </c>
      <c r="O81" s="9" t="n">
        <v>5800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2020</v>
      </c>
      <c r="V81" s="9" t="n">
        <v>960</v>
      </c>
      <c r="W81" s="9" t="n">
        <v>1760</v>
      </c>
      <c r="X81" s="9" t="n">
        <v>400</v>
      </c>
      <c r="Y81" s="9" t="n">
        <v>3600</v>
      </c>
      <c r="Z81" s="9" t="n">
        <v>0</v>
      </c>
      <c r="AA81" s="9" t="n">
        <v>6120</v>
      </c>
      <c r="AB81" s="9" t="n">
        <v>0</v>
      </c>
      <c r="AC81" s="9" t="n">
        <v>0</v>
      </c>
      <c r="AD81" s="9" t="n">
        <v>2820</v>
      </c>
      <c r="AE81" s="9" t="n">
        <v>0</v>
      </c>
      <c r="AF81" s="9" t="n">
        <v>0</v>
      </c>
      <c r="AG81" s="9" t="n">
        <v>2540</v>
      </c>
      <c r="AH81" s="9" t="n">
        <v>2359.5</v>
      </c>
      <c r="AI81" s="9" t="n">
        <v>1890</v>
      </c>
      <c r="AJ81" s="9" t="n">
        <v>3690</v>
      </c>
      <c r="AK81" s="9" t="n">
        <v>4000</v>
      </c>
      <c r="AL81" s="9" t="n">
        <v>0</v>
      </c>
      <c r="AM81" s="9" t="n">
        <v>0</v>
      </c>
      <c r="AN81" s="9" t="n">
        <v>0</v>
      </c>
      <c r="AO81" s="9" t="n">
        <v>1625</v>
      </c>
      <c r="AP81" s="9" t="n">
        <v>0</v>
      </c>
      <c r="AQ81" s="9" t="n">
        <v>1127</v>
      </c>
      <c r="AR81" s="9" t="n">
        <v>3112</v>
      </c>
      <c r="AS81" s="9" t="n">
        <v>1680.5</v>
      </c>
      <c r="AT81" s="9" t="n">
        <v>0</v>
      </c>
      <c r="AU81" s="9" t="n">
        <v>1482</v>
      </c>
      <c r="AV81" s="9" t="n">
        <v>0</v>
      </c>
      <c r="AW81" s="9" t="n">
        <v>100</v>
      </c>
      <c r="AX81" s="9" t="n">
        <v>13.96000000000004</v>
      </c>
      <c r="AY81" s="9" t="n">
        <v>548</v>
      </c>
      <c r="AZ81" s="9" t="n">
        <v>0</v>
      </c>
      <c r="BA81" s="9" t="n">
        <v>0</v>
      </c>
      <c r="BB81" s="9" t="n">
        <v>147.04</v>
      </c>
      <c r="BC81" s="9" t="n">
        <v>46.8</v>
      </c>
      <c r="BD81" s="9" t="n">
        <v>0</v>
      </c>
      <c r="BE81" s="9" t="n">
        <v>24.2</v>
      </c>
      <c r="BF81" s="9" t="n">
        <v>32</v>
      </c>
      <c r="BG81" s="9" t="n">
        <v>0</v>
      </c>
      <c r="BH81" s="9" t="n">
        <v>0</v>
      </c>
      <c r="BI81" s="9" t="n">
        <v>0</v>
      </c>
      <c r="BJ81" s="9" t="n">
        <v>46.79999999999998</v>
      </c>
      <c r="BK81" s="9" t="n">
        <v>204</v>
      </c>
      <c r="BL81" s="9" t="n">
        <v>202.5</v>
      </c>
      <c r="BM81" s="9" t="n">
        <v>41.60000000000002</v>
      </c>
      <c r="BN81" s="9" t="n">
        <v>210</v>
      </c>
      <c r="BO81" s="9" t="n">
        <v>0</v>
      </c>
      <c r="BP81" s="9" t="n">
        <v>0</v>
      </c>
      <c r="BQ81" s="9" t="n">
        <v>1057</v>
      </c>
      <c r="BR81" s="9" t="n">
        <v>0</v>
      </c>
      <c r="BS81" s="9" t="n">
        <v>7507</v>
      </c>
      <c r="BT81" s="9" t="n">
        <v>4252</v>
      </c>
      <c r="BU81" s="9" t="n">
        <v>2179</v>
      </c>
      <c r="BV81" s="9" t="n">
        <v>4019</v>
      </c>
      <c r="BW81" s="9" t="n">
        <v>-218</v>
      </c>
      <c r="BX81" s="9" t="n">
        <v>0</v>
      </c>
      <c r="BY81" s="9" t="n">
        <v>0</v>
      </c>
      <c r="BZ81" s="9" t="n">
        <v>0</v>
      </c>
    </row>
    <row r="82">
      <c r="A82" s="9" t="inlineStr">
        <is>
          <t>INTAKE</t>
        </is>
      </c>
      <c r="B82" s="9" t="n">
        <v>0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</v>
      </c>
      <c r="AH82" s="9" t="n">
        <v>0</v>
      </c>
      <c r="AI82" s="9" t="n">
        <v>0</v>
      </c>
      <c r="AJ82" s="9" t="n">
        <v>0</v>
      </c>
      <c r="AK82" s="9" t="n">
        <v>0</v>
      </c>
      <c r="AL82" s="9" t="n">
        <v>0</v>
      </c>
      <c r="AM82" s="9" t="n">
        <v>0</v>
      </c>
      <c r="AN82" s="9" t="n">
        <v>0</v>
      </c>
      <c r="AO82" s="9" t="n">
        <v>0</v>
      </c>
      <c r="AP82" s="9" t="n">
        <v>0</v>
      </c>
      <c r="AQ82" s="9" t="n">
        <v>0</v>
      </c>
      <c r="AR82" s="9" t="n">
        <v>0</v>
      </c>
      <c r="AS82" s="9" t="n">
        <v>0</v>
      </c>
      <c r="AT82" s="9" t="n">
        <v>0</v>
      </c>
      <c r="AU82" s="9" t="n">
        <v>0</v>
      </c>
      <c r="AV82" s="9" t="n">
        <v>0</v>
      </c>
      <c r="AW82" s="9" t="n">
        <v>0</v>
      </c>
      <c r="AX82" s="9" t="n">
        <v>0</v>
      </c>
      <c r="AY82" s="9" t="n">
        <v>0</v>
      </c>
      <c r="AZ82" s="9" t="n">
        <v>0</v>
      </c>
      <c r="BA82" s="9" t="n">
        <v>0</v>
      </c>
      <c r="BB82" s="9" t="n">
        <v>0</v>
      </c>
      <c r="BC82" s="9" t="n">
        <v>0</v>
      </c>
      <c r="BD82" s="9" t="n">
        <v>0</v>
      </c>
      <c r="BE82" s="9" t="n">
        <v>0</v>
      </c>
      <c r="BF82" s="9" t="n">
        <v>0</v>
      </c>
      <c r="BG82" s="9" t="n">
        <v>0</v>
      </c>
      <c r="BH82" s="9" t="n">
        <v>0</v>
      </c>
      <c r="BI82" s="9" t="n">
        <v>0</v>
      </c>
      <c r="BJ82" s="9" t="n">
        <v>0</v>
      </c>
      <c r="BK82" s="9" t="n">
        <v>0</v>
      </c>
      <c r="BL82" s="9" t="n">
        <v>0</v>
      </c>
      <c r="BM82" s="9" t="n">
        <v>0</v>
      </c>
      <c r="BN82" s="9" t="n">
        <v>0</v>
      </c>
      <c r="BO82" s="9" t="n">
        <v>0</v>
      </c>
      <c r="BP82" s="9" t="n">
        <v>0</v>
      </c>
      <c r="BQ82" s="9" t="n">
        <v>0</v>
      </c>
      <c r="BR82" s="9" t="n">
        <v>0</v>
      </c>
      <c r="BS82" s="9" t="n">
        <v>0</v>
      </c>
      <c r="BT82" s="9" t="n">
        <v>0</v>
      </c>
      <c r="BU82" s="9" t="n">
        <v>0</v>
      </c>
      <c r="BV82" s="9" t="n">
        <v>0</v>
      </c>
      <c r="BW82" s="9" t="n">
        <v>0</v>
      </c>
      <c r="BX82" s="9" t="n">
        <v>0</v>
      </c>
      <c r="BY82" s="9" t="n">
        <v>0</v>
      </c>
      <c r="BZ82" s="9" t="n">
        <v>0</v>
      </c>
    </row>
    <row r="83">
      <c r="A83" s="9" t="inlineStr">
        <is>
          <t>USAGE</t>
        </is>
      </c>
      <c r="B83" s="9" t="n">
        <v>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s="9" t="n">
        <v>0</v>
      </c>
      <c r="AS83" s="9" t="n">
        <v>0</v>
      </c>
      <c r="AT83" s="9" t="n">
        <v>0</v>
      </c>
      <c r="AU83" s="9" t="n">
        <v>0</v>
      </c>
      <c r="AV83" s="9" t="n">
        <v>0</v>
      </c>
      <c r="AW83" s="9" t="n">
        <v>0</v>
      </c>
      <c r="AX83" s="9" t="n">
        <v>0</v>
      </c>
      <c r="AY83" s="9" t="n">
        <v>0</v>
      </c>
      <c r="AZ83" s="9" t="n">
        <v>0</v>
      </c>
      <c r="BA83" s="9" t="n">
        <v>0</v>
      </c>
      <c r="BB83" s="9" t="n">
        <v>0</v>
      </c>
      <c r="BC83" s="9" t="n">
        <v>0</v>
      </c>
      <c r="BD83" s="9" t="n">
        <v>0</v>
      </c>
      <c r="BE83" s="9" t="n">
        <v>0</v>
      </c>
      <c r="BF83" s="9" t="n">
        <v>0</v>
      </c>
      <c r="BG83" s="9" t="n">
        <v>0</v>
      </c>
      <c r="BH83" s="9" t="n">
        <v>0</v>
      </c>
      <c r="BI83" s="9" t="n">
        <v>0</v>
      </c>
      <c r="BJ83" s="9" t="n">
        <v>0</v>
      </c>
      <c r="BK83" s="9" t="n">
        <v>0</v>
      </c>
      <c r="BL83" s="9" t="n">
        <v>0</v>
      </c>
      <c r="BM83" s="9" t="n">
        <v>0</v>
      </c>
      <c r="BN83" s="9" t="n">
        <v>0</v>
      </c>
      <c r="BO83" s="9" t="n">
        <v>0</v>
      </c>
      <c r="BP83" s="9" t="n">
        <v>0</v>
      </c>
      <c r="BQ83" s="9" t="n">
        <v>0</v>
      </c>
      <c r="BR83" s="9" t="n">
        <v>0</v>
      </c>
      <c r="BS83" s="9" t="n">
        <v>0</v>
      </c>
      <c r="BT83" s="9" t="n">
        <v>0</v>
      </c>
      <c r="BU83" s="9" t="n">
        <v>0</v>
      </c>
      <c r="BV83" s="9" t="n">
        <v>0</v>
      </c>
      <c r="BW83" s="9" t="n">
        <v>0</v>
      </c>
      <c r="BX83" s="9" t="n">
        <v>0</v>
      </c>
      <c r="BY83" s="9" t="n">
        <v>0</v>
      </c>
      <c r="BZ83" s="9" t="n">
        <v>0</v>
      </c>
    </row>
    <row r="84">
      <c r="A84" s="9" t="inlineStr">
        <is>
          <t>ADJUUSTMENT</t>
        </is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</v>
      </c>
      <c r="AC84" s="9" t="n">
        <v>0</v>
      </c>
      <c r="AD84" s="9" t="n">
        <v>0</v>
      </c>
      <c r="AE84" s="9" t="n">
        <v>0</v>
      </c>
      <c r="AF84" s="9" t="n">
        <v>0</v>
      </c>
      <c r="AG84" s="9" t="n">
        <v>0</v>
      </c>
      <c r="AH84" s="9" t="n">
        <v>0</v>
      </c>
      <c r="AJ84" s="9" t="n">
        <v>0</v>
      </c>
      <c r="AK84" s="9" t="n">
        <v>0</v>
      </c>
      <c r="AL84" s="9" t="n">
        <v>0</v>
      </c>
      <c r="BI84" s="9" t="n">
        <v>0</v>
      </c>
      <c r="BJ84" s="9" t="n">
        <v>0</v>
      </c>
      <c r="BK84" s="9" t="n">
        <v>0</v>
      </c>
      <c r="BL84" s="9" t="n">
        <v>0</v>
      </c>
      <c r="BM84" s="9" t="n">
        <v>0</v>
      </c>
      <c r="BN84" s="9" t="n">
        <v>0</v>
      </c>
      <c r="BO84" s="9" t="n">
        <v>0</v>
      </c>
    </row>
    <row r="85">
      <c r="A85" s="9" t="inlineStr">
        <is>
          <t>BALANCE</t>
        </is>
      </c>
      <c r="B85" s="9" t="n">
        <v>236936.6</v>
      </c>
      <c r="C85" s="9" t="n">
        <v>53017.60000000007</v>
      </c>
      <c r="D85" s="9" t="n">
        <v>42674.19999999997</v>
      </c>
      <c r="E85" s="9" t="n">
        <v>4522.200000000019</v>
      </c>
      <c r="F85" s="9" t="n">
        <v>0</v>
      </c>
      <c r="G85" s="9" t="n">
        <v>124.9999999999952</v>
      </c>
      <c r="H85" s="9" t="n">
        <v>26151.9</v>
      </c>
      <c r="I85" s="9" t="n">
        <v>0</v>
      </c>
      <c r="J85" s="9" t="n">
        <v>2097.339999999999</v>
      </c>
      <c r="K85" s="9" t="n">
        <v>-10277.08</v>
      </c>
      <c r="L85" s="9" t="n">
        <v>0</v>
      </c>
      <c r="M85" s="9" t="n">
        <v>27438.20000000001</v>
      </c>
      <c r="N85" s="9" t="n">
        <v>18782.29999999998</v>
      </c>
      <c r="O85" s="9" t="n">
        <v>5800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2020</v>
      </c>
      <c r="V85" s="9" t="n">
        <v>960</v>
      </c>
      <c r="W85" s="9" t="n">
        <v>1760</v>
      </c>
      <c r="X85" s="9" t="n">
        <v>400</v>
      </c>
      <c r="Y85" s="9" t="n">
        <v>3600</v>
      </c>
      <c r="Z85" s="9" t="n">
        <v>0</v>
      </c>
      <c r="AA85" s="9" t="n">
        <v>6120</v>
      </c>
      <c r="AB85" s="9" t="n">
        <v>0</v>
      </c>
      <c r="AC85" s="9" t="n">
        <v>0</v>
      </c>
      <c r="AD85" s="9" t="n">
        <v>2820</v>
      </c>
      <c r="AE85" s="9" t="n">
        <v>0</v>
      </c>
      <c r="AF85" s="9" t="n">
        <v>0</v>
      </c>
      <c r="AG85" s="9" t="n">
        <v>2540</v>
      </c>
      <c r="AH85" s="9" t="n">
        <v>2359.5</v>
      </c>
      <c r="AI85" s="9" t="n">
        <v>1890</v>
      </c>
      <c r="AJ85" s="9" t="n">
        <v>3690</v>
      </c>
      <c r="AK85" s="9" t="n">
        <v>4000</v>
      </c>
      <c r="AL85" s="9" t="n">
        <v>0</v>
      </c>
      <c r="AM85" s="9" t="n">
        <v>0</v>
      </c>
      <c r="AN85" s="9" t="n">
        <v>-18</v>
      </c>
      <c r="AO85" s="9" t="n">
        <v>1559</v>
      </c>
      <c r="AP85" s="9" t="n">
        <v>0</v>
      </c>
      <c r="AQ85" s="9" t="n">
        <v>1127</v>
      </c>
      <c r="AR85" s="9" t="n">
        <v>3112</v>
      </c>
      <c r="AS85" s="9" t="n">
        <v>1680.5</v>
      </c>
      <c r="AT85" s="9" t="n">
        <v>0</v>
      </c>
      <c r="AU85" s="9" t="n">
        <v>1482</v>
      </c>
      <c r="AV85" s="9" t="n">
        <v>0</v>
      </c>
      <c r="AW85" s="9" t="n">
        <v>100</v>
      </c>
      <c r="AX85" s="9" t="n">
        <v>13.96000000000004</v>
      </c>
      <c r="AY85" s="9" t="n">
        <v>548</v>
      </c>
      <c r="AZ85" s="9" t="n">
        <v>0</v>
      </c>
      <c r="BA85" s="9" t="n">
        <v>0</v>
      </c>
      <c r="BB85" s="9" t="n">
        <v>147.04</v>
      </c>
      <c r="BC85" s="9" t="n">
        <v>46.8</v>
      </c>
      <c r="BD85" s="9" t="n">
        <v>0</v>
      </c>
      <c r="BE85" s="9" t="n">
        <v>24.2</v>
      </c>
      <c r="BF85" s="9" t="n">
        <v>32</v>
      </c>
      <c r="BG85" s="9" t="n">
        <v>0</v>
      </c>
      <c r="BH85" s="9" t="n">
        <v>0</v>
      </c>
      <c r="BI85" s="9" t="n">
        <v>0</v>
      </c>
      <c r="BJ85" s="9" t="n">
        <v>46.79999999999998</v>
      </c>
      <c r="BK85" s="9" t="n">
        <v>204</v>
      </c>
      <c r="BL85" s="9" t="n">
        <v>202.5</v>
      </c>
      <c r="BM85" s="9" t="n">
        <v>41.60000000000002</v>
      </c>
      <c r="BN85" s="9" t="n">
        <v>210</v>
      </c>
      <c r="BO85" s="9" t="n">
        <v>0</v>
      </c>
      <c r="BP85" s="9" t="n">
        <v>0</v>
      </c>
      <c r="BQ85" s="9" t="n">
        <v>1057</v>
      </c>
      <c r="BR85" s="9" t="n">
        <v>0</v>
      </c>
      <c r="BS85" s="9" t="n">
        <v>7507</v>
      </c>
      <c r="BT85" s="9" t="n">
        <v>4252</v>
      </c>
      <c r="BU85" s="9" t="n">
        <v>2179</v>
      </c>
      <c r="BV85" s="9" t="n">
        <v>4019</v>
      </c>
      <c r="BW85" s="9" t="n">
        <v>-218</v>
      </c>
      <c r="BX85" s="9" t="n">
        <v>0</v>
      </c>
      <c r="BY85" s="9" t="n">
        <v>0</v>
      </c>
      <c r="BZ85" s="9" t="n">
        <v>0</v>
      </c>
    </row>
    <row r="86"/>
    <row r="87"/>
    <row r="88"/>
    <row r="89">
      <c r="B89" s="9" t="inlineStr">
        <is>
          <t>DATA for Monthly Stock Report TITLE</t>
        </is>
      </c>
    </row>
    <row r="90">
      <c r="B90" s="9" t="inlineStr">
        <is>
          <t>HARUMI Stock - JAN 2026</t>
        </is>
      </c>
    </row>
    <row r="91">
      <c r="B91" s="9" t="inlineStr">
        <is>
          <t>HARUMI Stock - FEB 2026</t>
        </is>
      </c>
    </row>
    <row r="92">
      <c r="B92" s="9" t="inlineStr">
        <is>
          <t>HARUMI Stock - MAR 2026</t>
        </is>
      </c>
    </row>
    <row r="93">
      <c r="B93" s="9" t="inlineStr">
        <is>
          <t>HARUMI Stock - APR 2026</t>
        </is>
      </c>
    </row>
    <row r="94">
      <c r="B94" s="9" t="inlineStr">
        <is>
          <t>HARUMI Stock - MAY 2026</t>
        </is>
      </c>
    </row>
    <row r="95">
      <c r="B95" s="9" t="inlineStr">
        <is>
          <t>HARUMI Stock - JUN 2026</t>
        </is>
      </c>
    </row>
    <row r="96">
      <c r="B96" s="9" t="inlineStr">
        <is>
          <t>HARUMI Stock - JUL 2026</t>
        </is>
      </c>
    </row>
    <row r="97">
      <c r="B97" s="9" t="inlineStr">
        <is>
          <t>HARUMI Stock - AUG 2026</t>
        </is>
      </c>
    </row>
    <row r="98">
      <c r="B98" s="9" t="inlineStr">
        <is>
          <t>HARUMI Stock - SEP 2026</t>
        </is>
      </c>
    </row>
    <row r="99">
      <c r="B99" s="9" t="inlineStr">
        <is>
          <t>HARUMI Stock - OCT 2026</t>
        </is>
      </c>
    </row>
    <row r="100">
      <c r="B100" s="9" t="inlineStr">
        <is>
          <t>HARUMI Stock - NOV 2026</t>
        </is>
      </c>
    </row>
    <row r="101">
      <c r="B101" s="9" t="inlineStr">
        <is>
          <t>HARUMI Stock - DEC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1" customWidth="1" min="4" max="4"/>
    <col width="22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JAN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47850.2</v>
      </c>
      <c r="E4" s="9" t="n">
        <v>1015280</v>
      </c>
      <c r="F4" s="9" t="n">
        <v>816998.7</v>
      </c>
      <c r="G4" s="9" t="n">
        <v>-4343.299999999992</v>
      </c>
      <c r="H4" s="9" t="n">
        <v>241788.2</v>
      </c>
      <c r="O4" s="9" t="n">
        <v>-241788.2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8696.200000000001</v>
      </c>
      <c r="E5" s="9" t="n">
        <v>361810</v>
      </c>
      <c r="F5" s="9" t="n">
        <v>321775.5</v>
      </c>
      <c r="G5" s="9" t="n">
        <v>17.49999999997681</v>
      </c>
      <c r="H5" s="9" t="n">
        <v>48748.2</v>
      </c>
      <c r="O5" s="9" t="n">
        <v>-48748.2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40371.3</v>
      </c>
      <c r="E6" s="9" t="n">
        <v>90340</v>
      </c>
      <c r="F6" s="9" t="n">
        <v>80810</v>
      </c>
      <c r="G6" s="9" t="n">
        <v>-16.30000000000064</v>
      </c>
      <c r="H6" s="9" t="n">
        <v>49884.99999999999</v>
      </c>
      <c r="O6" s="9" t="n">
        <v>-49884.99999999999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33793.70000000001</v>
      </c>
      <c r="E7" s="9" t="n">
        <v>86570</v>
      </c>
      <c r="F7" s="9" t="n">
        <v>67570</v>
      </c>
      <c r="G7" s="9" t="n">
        <v>-21.49999999999966</v>
      </c>
      <c r="H7" s="9" t="n">
        <v>52772.20000000001</v>
      </c>
      <c r="O7" s="9" t="n">
        <v>-52772.20000000001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29510.09999999999</v>
      </c>
      <c r="E9" s="9" t="n">
        <v>31596.3</v>
      </c>
      <c r="F9" s="9" t="n">
        <v>26507</v>
      </c>
      <c r="G9" s="9" t="n">
        <v>-282.6999999999996</v>
      </c>
      <c r="H9" s="9" t="n">
        <v>34316.69999999999</v>
      </c>
      <c r="O9" s="9" t="n">
        <v>-34316.69999999999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6360.000000000007</v>
      </c>
      <c r="E10" s="9" t="n">
        <v>45437.7</v>
      </c>
      <c r="F10" s="9" t="n">
        <v>29930</v>
      </c>
      <c r="G10" s="9" t="n">
        <v>56.39999999999998</v>
      </c>
      <c r="H10" s="9" t="n">
        <v>21924.10000000001</v>
      </c>
      <c r="O10" s="9" t="n">
        <v>-21924.10000000001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28058.4</v>
      </c>
      <c r="F11" s="9" t="n">
        <v>28058</v>
      </c>
      <c r="G11" s="9" t="n">
        <v>-0.4000000000002046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512.5</v>
      </c>
      <c r="E12" s="9" t="n">
        <v>3000</v>
      </c>
      <c r="F12" s="9" t="n">
        <v>225</v>
      </c>
      <c r="G12" s="9" t="n">
        <v>-2.999999999999993</v>
      </c>
      <c r="H12" s="9" t="n">
        <v>3284.5</v>
      </c>
      <c r="O12" s="9" t="n">
        <v>-3284.5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896.8</v>
      </c>
      <c r="F13" s="9" t="n">
        <v>757.8000000000001</v>
      </c>
      <c r="G13" s="9" t="n">
        <v>-138.9999999999999</v>
      </c>
      <c r="H13" s="9" t="n">
        <v>0</v>
      </c>
      <c r="O13" s="9" t="n">
        <v>0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O15" s="9" t="n">
        <v>0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31341.2</v>
      </c>
      <c r="E16" s="9" t="n">
        <v>0</v>
      </c>
      <c r="F16" s="9" t="n">
        <v>9170</v>
      </c>
      <c r="G16" s="9" t="n">
        <v>1.599999999999795</v>
      </c>
      <c r="H16" s="9" t="n">
        <v>22172.8</v>
      </c>
      <c r="O16" s="9" t="n">
        <v>-22172.8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O17" s="9" t="n">
        <v>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3540</v>
      </c>
      <c r="E25" s="9" t="n">
        <v>0</v>
      </c>
      <c r="F25" s="9" t="n">
        <v>320</v>
      </c>
      <c r="G25" s="9" t="n">
        <v>320</v>
      </c>
      <c r="H25" s="9" t="n">
        <v>3540</v>
      </c>
      <c r="O25" s="9" t="n">
        <v>-3540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1960</v>
      </c>
      <c r="E26" s="9" t="n">
        <v>2000</v>
      </c>
      <c r="F26" s="9" t="n">
        <v>0</v>
      </c>
      <c r="G26" s="9" t="n">
        <v>0</v>
      </c>
      <c r="H26" s="9" t="n">
        <v>3960</v>
      </c>
      <c r="O26" s="9" t="n">
        <v>-3960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2960</v>
      </c>
      <c r="E27" s="9" t="n">
        <v>8000</v>
      </c>
      <c r="F27" s="9" t="n">
        <v>7880</v>
      </c>
      <c r="G27" s="9" t="n">
        <v>160</v>
      </c>
      <c r="H27" s="9" t="n">
        <v>3240</v>
      </c>
      <c r="O27" s="9" t="n">
        <v>-3240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O28" s="9" t="n">
        <v>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O29" s="9" t="n">
        <v>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3980</v>
      </c>
      <c r="E31" s="9" t="n">
        <v>4500</v>
      </c>
      <c r="F31" s="9" t="n">
        <v>2520</v>
      </c>
      <c r="G31" s="9" t="n">
        <v>-520</v>
      </c>
      <c r="H31" s="9" t="n">
        <v>5440</v>
      </c>
      <c r="O31" s="9" t="n">
        <v>-5440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2960</v>
      </c>
      <c r="E32" s="9" t="n">
        <v>2140</v>
      </c>
      <c r="F32" s="9" t="n">
        <v>0</v>
      </c>
      <c r="G32" s="9" t="n">
        <v>0</v>
      </c>
      <c r="H32" s="9" t="n">
        <v>5100</v>
      </c>
      <c r="O32" s="9" t="n">
        <v>-5100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2040</v>
      </c>
      <c r="E33" s="9" t="n">
        <v>24520</v>
      </c>
      <c r="F33" s="9" t="n">
        <v>12320</v>
      </c>
      <c r="G33" s="9" t="n">
        <v>2000</v>
      </c>
      <c r="H33" s="9" t="n">
        <v>16240</v>
      </c>
      <c r="O33" s="9" t="n">
        <v>-16240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7520</v>
      </c>
      <c r="E34" s="9" t="n">
        <v>12000</v>
      </c>
      <c r="F34" s="9" t="n">
        <v>5240</v>
      </c>
      <c r="G34" s="9" t="n">
        <v>-1160</v>
      </c>
      <c r="H34" s="9" t="n">
        <v>13120</v>
      </c>
      <c r="O34" s="9" t="n">
        <v>-13120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6800</v>
      </c>
      <c r="E35" s="9" t="n">
        <v>0</v>
      </c>
      <c r="F35" s="9" t="n">
        <v>0</v>
      </c>
      <c r="G35" s="9" t="n">
        <v>0</v>
      </c>
      <c r="H35" s="9" t="n">
        <v>6800</v>
      </c>
      <c r="O35" s="9" t="n">
        <v>-6800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4400</v>
      </c>
      <c r="E36" s="9" t="n">
        <v>1000</v>
      </c>
      <c r="F36" s="9" t="n">
        <v>0</v>
      </c>
      <c r="G36" s="9" t="n">
        <v>0</v>
      </c>
      <c r="H36" s="9" t="n">
        <v>5400</v>
      </c>
      <c r="O36" s="9" t="n">
        <v>-5400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0</v>
      </c>
      <c r="E37" s="9" t="n">
        <v>2260</v>
      </c>
      <c r="F37" s="9" t="n">
        <v>0</v>
      </c>
      <c r="G37" s="9" t="n">
        <v>0</v>
      </c>
      <c r="H37" s="9" t="n">
        <v>2260</v>
      </c>
      <c r="O37" s="9" t="n">
        <v>-2260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O38" s="9" t="n">
        <v>0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O39" s="9" t="n">
        <v>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O40" s="9" t="n">
        <v>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O41" s="9" t="n">
        <v>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1531</v>
      </c>
      <c r="E45" s="9" t="n">
        <v>1000</v>
      </c>
      <c r="F45" s="9" t="n">
        <v>576</v>
      </c>
      <c r="G45" s="9" t="n">
        <v>0</v>
      </c>
      <c r="H45" s="9" t="n">
        <v>1969</v>
      </c>
      <c r="O45" s="9" t="n">
        <v>-1969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2994</v>
      </c>
      <c r="F46" s="9" t="n">
        <v>3012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SODIUM BICARBONATE</t>
        </is>
      </c>
      <c r="C47" s="9" t="inlineStr">
        <is>
          <t>KG</t>
        </is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>
      <c r="B48" s="9" t="inlineStr">
        <is>
          <t>BMD 10%</t>
        </is>
      </c>
      <c r="C48" s="9" t="inlineStr">
        <is>
          <t>KG</t>
        </is>
      </c>
    </row>
    <row r="49">
      <c r="B49" s="9" t="inlineStr">
        <is>
          <t>SALT (HARUMI)</t>
        </is>
      </c>
      <c r="C49" s="9" t="inlineStr">
        <is>
          <t>KG</t>
        </is>
      </c>
    </row>
    <row r="50">
      <c r="B50" s="9" t="inlineStr">
        <is>
          <t>VISTABET 91</t>
        </is>
      </c>
      <c r="C50" s="9" t="inlineStr">
        <is>
          <t>KG</t>
        </is>
      </c>
    </row>
    <row r="51">
      <c r="B51" s="9" t="inlineStr">
        <is>
          <t>BETAFIN</t>
        </is>
      </c>
      <c r="C51" s="9" t="inlineStr">
        <is>
          <t>KG</t>
        </is>
      </c>
    </row>
    <row r="52">
      <c r="B52" s="9" t="inlineStr">
        <is>
          <t>8101 TOP UP</t>
        </is>
      </c>
      <c r="C52" s="9" t="inlineStr">
        <is>
          <t>KG</t>
        </is>
      </c>
    </row>
    <row r="53">
      <c r="B53" s="9" t="inlineStr">
        <is>
          <t>NORPONIN X03 (8102 TOP UP)</t>
        </is>
      </c>
      <c r="C53" s="9" t="inlineStr">
        <is>
          <t>KG</t>
        </is>
      </c>
    </row>
    <row r="54">
      <c r="B54" s="9" t="inlineStr">
        <is>
          <t>8102 TOP UP (4KG)</t>
        </is>
      </c>
      <c r="C54" s="9" t="inlineStr">
        <is>
          <t>KG</t>
        </is>
      </c>
    </row>
    <row r="55">
      <c r="B55" s="9" t="inlineStr">
        <is>
          <t>8103 TOP UP (5KG)</t>
        </is>
      </c>
      <c r="C55" s="9" t="inlineStr">
        <is>
          <t>KG</t>
        </is>
      </c>
    </row>
    <row r="56">
      <c r="B56" s="9" t="inlineStr">
        <is>
          <t>L-ARGININE</t>
        </is>
      </c>
      <c r="C56" s="9" t="inlineStr">
        <is>
          <t>KG</t>
        </is>
      </c>
    </row>
    <row r="57">
      <c r="B57" s="9" t="inlineStr">
        <is>
          <t>DL-METHIONINE</t>
        </is>
      </c>
      <c r="C57" s="9" t="inlineStr">
        <is>
          <t>KG</t>
        </is>
      </c>
    </row>
    <row r="58">
      <c r="B58" s="9" t="inlineStr">
        <is>
          <t>L-THREONINE</t>
        </is>
      </c>
      <c r="C58" s="9" t="inlineStr">
        <is>
          <t>KG</t>
        </is>
      </c>
    </row>
    <row r="59">
      <c r="B59" s="9" t="inlineStr">
        <is>
          <t>L-LYSINE</t>
        </is>
      </c>
      <c r="C59" s="9" t="inlineStr">
        <is>
          <t>KG</t>
        </is>
      </c>
    </row>
    <row r="60">
      <c r="B60" s="9" t="inlineStr">
        <is>
          <t>FAECES DRY</t>
        </is>
      </c>
      <c r="C60" s="9" t="inlineStr">
        <is>
          <t>KG</t>
        </is>
      </c>
    </row>
    <row r="61">
      <c r="B61" s="9" t="inlineStr">
        <is>
          <t>ECOBIOL</t>
        </is>
      </c>
      <c r="C61" s="9" t="inlineStr">
        <is>
          <t>KG</t>
        </is>
      </c>
    </row>
    <row r="62">
      <c r="B62" s="9" t="inlineStr">
        <is>
          <t>ADDITIVE BROILER IMMUNE</t>
        </is>
      </c>
      <c r="C62" s="9" t="inlineStr">
        <is>
          <t>KG</t>
        </is>
      </c>
    </row>
    <row r="63">
      <c r="B63" s="9" t="inlineStr">
        <is>
          <t>MASTER CUBE (HARUMI)</t>
        </is>
      </c>
      <c r="C63" s="9" t="inlineStr">
        <is>
          <t>KG</t>
        </is>
      </c>
    </row>
    <row r="64">
      <c r="B64" s="9" t="inlineStr">
        <is>
          <t>1101 TOP UP (0.40KG)</t>
        </is>
      </c>
      <c r="C64" s="9" t="inlineStr">
        <is>
          <t>KG</t>
        </is>
      </c>
    </row>
    <row r="65">
      <c r="B65" s="9" t="inlineStr">
        <is>
          <t>1102 TOP UP (0.60KG)</t>
        </is>
      </c>
      <c r="C65" s="9" t="inlineStr">
        <is>
          <t>KG</t>
        </is>
      </c>
    </row>
    <row r="66">
      <c r="B66" s="9" t="inlineStr">
        <is>
          <t>1103 TOP UP (2.00KG)</t>
        </is>
      </c>
      <c r="C66" s="9" t="inlineStr">
        <is>
          <t>KG</t>
        </is>
      </c>
    </row>
    <row r="67">
      <c r="B67" s="9" t="inlineStr">
        <is>
          <t>QUANTUM GLO 4%</t>
        </is>
      </c>
      <c r="C67" s="9" t="inlineStr">
        <is>
          <t>KG</t>
        </is>
      </c>
    </row>
    <row r="68">
      <c r="B68" s="9" t="inlineStr">
        <is>
          <t>SALT</t>
        </is>
      </c>
      <c r="C68" s="9" t="inlineStr">
        <is>
          <t>KG</t>
        </is>
      </c>
    </row>
    <row r="69">
      <c r="B69" s="9" t="inlineStr">
        <is>
          <t>OC 200 - OXYTET 20%</t>
        </is>
      </c>
      <c r="C69" s="9" t="inlineStr">
        <is>
          <t>KG</t>
        </is>
      </c>
    </row>
    <row r="70">
      <c r="B70" s="9" t="n">
        <v>3</v>
      </c>
      <c r="C70" s="9" t="inlineStr">
        <is>
          <t>KG</t>
        </is>
      </c>
    </row>
    <row r="71">
      <c r="B71" s="9" t="n">
        <v>4</v>
      </c>
      <c r="C71" s="9" t="inlineStr">
        <is>
          <t>KG</t>
        </is>
      </c>
    </row>
    <row r="72"/>
    <row r="73">
      <c r="B73" s="9" t="inlineStr">
        <is>
          <t>PACKING MATERIALS</t>
        </is>
      </c>
    </row>
    <row r="74">
      <c r="B74" s="9" t="inlineStr">
        <is>
          <t>WOVEN BAG (1101) - BLUE 50KG</t>
        </is>
      </c>
      <c r="C74" s="9" t="inlineStr">
        <is>
          <t>PCS</t>
        </is>
      </c>
      <c r="O74" s="9" t="n">
        <v>0</v>
      </c>
    </row>
    <row r="75">
      <c r="B75" s="9" t="inlineStr">
        <is>
          <t>WOVEN BAG (1102) - GREEN 50KG</t>
        </is>
      </c>
      <c r="C75" s="9" t="inlineStr">
        <is>
          <t>PCS</t>
        </is>
      </c>
      <c r="O75" s="9" t="n">
        <v>0</v>
      </c>
    </row>
    <row r="76">
      <c r="B76" s="9" t="inlineStr">
        <is>
          <t>WOVEN BAG (1103) - RED 50KG</t>
        </is>
      </c>
      <c r="C76" s="9" t="inlineStr">
        <is>
          <t>PCS</t>
        </is>
      </c>
      <c r="O76" s="9" t="n">
        <v>0</v>
      </c>
    </row>
    <row r="77">
      <c r="B77" s="9" t="inlineStr">
        <is>
          <t>PLAIN BAG 26" X 39" (50KG)</t>
        </is>
      </c>
      <c r="C77" s="9" t="inlineStr">
        <is>
          <t>PCS</t>
        </is>
      </c>
      <c r="O77" s="9" t="n">
        <v>0</v>
      </c>
    </row>
    <row r="78">
      <c r="B78" s="9" t="inlineStr">
        <is>
          <t>WOVEN BAG (8101) - KHAKI 50KG</t>
        </is>
      </c>
      <c r="C78" s="9" t="inlineStr">
        <is>
          <t>PCS</t>
        </is>
      </c>
      <c r="O78" s="9" t="n">
        <v>0</v>
      </c>
    </row>
    <row r="79">
      <c r="B79" s="9" t="inlineStr">
        <is>
          <t>WOVEN BAG (8102) - SKY BLUE 50KG</t>
        </is>
      </c>
      <c r="C79" s="9" t="inlineStr">
        <is>
          <t>PCS</t>
        </is>
      </c>
    </row>
    <row r="80">
      <c r="B80" s="9" t="inlineStr">
        <is>
          <t>WOVEN BAG (8103) - BROWN 50KG</t>
        </is>
      </c>
      <c r="C80" s="9" t="inlineStr">
        <is>
          <t>PCS</t>
        </is>
      </c>
    </row>
    <row r="81">
      <c r="B81" s="9" t="n">
        <v>1</v>
      </c>
      <c r="C81" s="9" t="inlineStr">
        <is>
          <t>PCS</t>
        </is>
      </c>
    </row>
    <row r="82">
      <c r="B82" s="9" t="n">
        <v>2</v>
      </c>
      <c r="C82" s="9" t="inlineStr">
        <is>
          <t>PCS</t>
        </is>
      </c>
    </row>
    <row r="83">
      <c r="B83" s="9" t="n">
        <v>3</v>
      </c>
      <c r="C83" s="9" t="inlineStr">
        <is>
          <t>PCS</t>
        </is>
      </c>
    </row>
    <row r="84">
      <c r="B84" s="9" t="n">
        <v>4</v>
      </c>
      <c r="C84" s="9" t="inlineStr">
        <is>
          <t>PCS</t>
        </is>
      </c>
    </row>
    <row r="85">
      <c r="B85" s="9" t="n">
        <v>5</v>
      </c>
      <c r="C85" s="9" t="inlineStr">
        <is>
          <t>PCS</t>
        </is>
      </c>
    </row>
    <row r="86">
      <c r="B86" s="9" t="n">
        <v>6</v>
      </c>
      <c r="C86" s="9" t="inlineStr">
        <is>
          <t>PCS</t>
        </is>
      </c>
    </row>
    <row r="87">
      <c r="B87" s="9" t="n">
        <v>7</v>
      </c>
      <c r="C87" s="9" t="inlineStr">
        <is>
          <t>PCS</t>
        </is>
      </c>
    </row>
    <row r="88">
      <c r="B88" s="9" t="n">
        <v>8</v>
      </c>
      <c r="C88" s="9" t="inlineStr">
        <is>
          <t>PCS</t>
        </is>
      </c>
    </row>
    <row r="89"/>
    <row r="90">
      <c r="B90" s="9" t="inlineStr">
        <is>
          <t>TOTAL</t>
        </is>
      </c>
      <c r="D90" s="9" t="n">
        <v>236126.2</v>
      </c>
      <c r="E90" s="9" t="n">
        <v>1723403.2</v>
      </c>
      <c r="F90" s="9" t="n">
        <v>1413670</v>
      </c>
      <c r="G90" s="9" t="n">
        <v>-3930.700000000018</v>
      </c>
      <c r="H90" s="9" t="n">
        <v>541960.7</v>
      </c>
      <c r="K90" s="9" t="n">
        <v>0</v>
      </c>
    </row>
    <row r="91"/>
    <row r="92">
      <c r="D92" s="9" t="n">
        <v>-558.1600000000035</v>
      </c>
      <c r="E92" s="9" t="n">
        <v>-2907.300000000047</v>
      </c>
      <c r="F92" s="9" t="n">
        <v>-1611</v>
      </c>
      <c r="G92" s="9" t="n">
        <v>0</v>
      </c>
      <c r="H92" s="9" t="n">
        <v>-1854.459999999963</v>
      </c>
    </row>
    <row r="93"/>
    <row r="94">
      <c r="B94" s="9" t="inlineStr">
        <is>
          <t>HARUMI Stock - JAN 2026</t>
        </is>
      </c>
    </row>
    <row r="95">
      <c r="A95" s="9" t="inlineStr">
        <is>
          <t>No</t>
        </is>
      </c>
      <c r="B95" s="9" t="inlineStr">
        <is>
          <t>Description</t>
        </is>
      </c>
      <c r="C95" s="9" t="inlineStr">
        <is>
          <t>UOM</t>
        </is>
      </c>
      <c r="D95" s="9" t="inlineStr">
        <is>
          <t>Opening</t>
        </is>
      </c>
      <c r="E95" s="9" t="inlineStr">
        <is>
          <t>Receiving</t>
        </is>
      </c>
      <c r="F95" s="9" t="inlineStr">
        <is>
          <t>Usage</t>
        </is>
      </c>
      <c r="G95" s="9" t="inlineStr">
        <is>
          <t>Adjustment</t>
        </is>
      </c>
      <c r="H95" s="9" t="inlineStr">
        <is>
          <t>Bal (KG)</t>
        </is>
      </c>
    </row>
    <row r="96">
      <c r="B96" s="9" t="inlineStr">
        <is>
          <t>RAW MATERIAL</t>
        </is>
      </c>
    </row>
    <row r="97">
      <c r="A97" s="9" t="n">
        <v>1</v>
      </c>
      <c r="B97" s="9" t="inlineStr">
        <is>
          <t>MAIZE/CORN</t>
        </is>
      </c>
      <c r="C97" s="9" t="inlineStr">
        <is>
          <t>KG</t>
        </is>
      </c>
      <c r="D97" s="9" t="n">
        <v>47850.2</v>
      </c>
      <c r="E97" s="9" t="n">
        <v>1015280</v>
      </c>
      <c r="F97" s="9" t="n">
        <v>816995.6</v>
      </c>
      <c r="G97" s="9" t="n">
        <v>-4346.4</v>
      </c>
      <c r="H97" s="9" t="n">
        <v>241788.2</v>
      </c>
      <c r="I97" s="9" t="n">
        <v>47850.20000000011</v>
      </c>
      <c r="J97" s="9" t="inlineStr">
        <is>
          <t>MAIZE/CORN</t>
        </is>
      </c>
    </row>
    <row r="98">
      <c r="A98" s="9" t="n">
        <v>2</v>
      </c>
      <c r="B98" s="9" t="inlineStr">
        <is>
          <t>SOYBEAN MEAL (ARG)</t>
        </is>
      </c>
      <c r="C98" s="9" t="inlineStr">
        <is>
          <t>KG</t>
        </is>
      </c>
      <c r="D98" s="9" t="n">
        <v>8696.200000000001</v>
      </c>
      <c r="E98" s="9" t="n">
        <v>359610</v>
      </c>
      <c r="F98" s="9" t="n">
        <v>321757.9999999999</v>
      </c>
      <c r="G98" s="9" t="n">
        <v>2200</v>
      </c>
      <c r="H98" s="9" t="n">
        <v>48748.20000000007</v>
      </c>
      <c r="I98" s="9" t="n">
        <v>8696.199999999906</v>
      </c>
      <c r="J98" s="9" t="inlineStr">
        <is>
          <t>SOYBEAN MEAL (ARG)</t>
        </is>
      </c>
    </row>
    <row r="99">
      <c r="A99" s="9" t="n">
        <v>3</v>
      </c>
      <c r="B99" s="9" t="inlineStr">
        <is>
          <t>SOYBEAN FULL FAT</t>
        </is>
      </c>
      <c r="C99" s="9" t="inlineStr">
        <is>
          <t>KG</t>
        </is>
      </c>
      <c r="D99" s="9" t="n">
        <v>40371.3</v>
      </c>
      <c r="E99" s="9" t="n">
        <v>90340</v>
      </c>
      <c r="F99" s="9" t="n">
        <v>80826.30000000003</v>
      </c>
      <c r="H99" s="9" t="n">
        <v>49884.99999999996</v>
      </c>
      <c r="I99" s="9" t="n">
        <v>40371.30000000002</v>
      </c>
      <c r="J99" s="9" t="inlineStr">
        <is>
          <t>SOYBEAN FULL FAT</t>
        </is>
      </c>
    </row>
    <row r="100">
      <c r="A100" s="9" t="n">
        <v>4</v>
      </c>
      <c r="B100" s="9" t="inlineStr">
        <is>
          <t>WHEAT POLLARD</t>
        </is>
      </c>
      <c r="C100" s="9" t="inlineStr">
        <is>
          <t>KG</t>
        </is>
      </c>
      <c r="D100" s="9" t="n">
        <v>33793.70000000001</v>
      </c>
      <c r="E100" s="9" t="n">
        <v>86570</v>
      </c>
      <c r="F100" s="9" t="n">
        <v>67591.5</v>
      </c>
      <c r="H100" s="9" t="n">
        <v>52772.20000000001</v>
      </c>
      <c r="I100" s="9" t="n">
        <v>33793.70000000003</v>
      </c>
      <c r="J100" s="9" t="inlineStr">
        <is>
          <t>WHEAT POLLARD</t>
        </is>
      </c>
    </row>
    <row r="101">
      <c r="A101" s="9" t="n">
        <v>5</v>
      </c>
      <c r="B101" s="9" t="inlineStr">
        <is>
          <t>MEAT AND BONE MEAL</t>
        </is>
      </c>
      <c r="C101" s="9" t="inlineStr">
        <is>
          <t>KG</t>
        </is>
      </c>
      <c r="D101" s="9" t="n">
        <v>29510.09999999999</v>
      </c>
      <c r="E101" s="9" t="n">
        <v>31030</v>
      </c>
      <c r="F101" s="9" t="n">
        <v>26789.69999999999</v>
      </c>
      <c r="G101" s="9" t="n">
        <v>566.3</v>
      </c>
      <c r="H101" s="9" t="n">
        <v>34316.7</v>
      </c>
      <c r="I101" s="9" t="n">
        <v>29510.09999999999</v>
      </c>
      <c r="J101" s="9" t="inlineStr">
        <is>
          <t>MEAT AND BONE MEAL</t>
        </is>
      </c>
    </row>
    <row r="102">
      <c r="A102" s="9" t="n">
        <v>6</v>
      </c>
      <c r="B102" s="9" t="inlineStr">
        <is>
          <t>CORN GLUTEN MEAL</t>
        </is>
      </c>
      <c r="C102" s="9" t="inlineStr">
        <is>
          <t>KG</t>
        </is>
      </c>
      <c r="D102" s="9" t="n">
        <v>6360.000000000007</v>
      </c>
      <c r="E102" s="9" t="n">
        <v>44180</v>
      </c>
      <c r="F102" s="9" t="n">
        <v>29873.6</v>
      </c>
      <c r="G102" s="9" t="n">
        <v>1257.7</v>
      </c>
      <c r="H102" s="9" t="n">
        <v>21924.10000000001</v>
      </c>
      <c r="I102" s="9" t="n">
        <v>6360</v>
      </c>
      <c r="J102" s="9" t="inlineStr">
        <is>
          <t>CORN GLUTEN MEAL</t>
        </is>
      </c>
    </row>
    <row r="103">
      <c r="A103" s="9" t="n">
        <v>7</v>
      </c>
      <c r="B103" s="9" t="inlineStr">
        <is>
          <t>MEGAFAT</t>
        </is>
      </c>
      <c r="C103" s="9" t="inlineStr">
        <is>
          <t>KG</t>
        </is>
      </c>
      <c r="D103" s="9" t="n">
        <v>0</v>
      </c>
      <c r="E103" s="9" t="n">
        <v>28058.4</v>
      </c>
      <c r="F103" s="9" t="n">
        <v>28058.4</v>
      </c>
      <c r="H103" s="9" t="n">
        <v>0</v>
      </c>
      <c r="I103" s="9" t="n">
        <v>0</v>
      </c>
      <c r="J103" s="9" t="inlineStr">
        <is>
          <t>MEGAFAT</t>
        </is>
      </c>
    </row>
    <row r="104">
      <c r="A104" s="9" t="n">
        <v>8</v>
      </c>
      <c r="B104" s="9" t="inlineStr">
        <is>
          <t>DCP 18%</t>
        </is>
      </c>
      <c r="C104" s="9" t="inlineStr">
        <is>
          <t>KG</t>
        </is>
      </c>
      <c r="D104" s="9" t="n">
        <v>512.5</v>
      </c>
      <c r="E104" s="9" t="n">
        <v>3000</v>
      </c>
      <c r="F104" s="9" t="n">
        <v>228</v>
      </c>
      <c r="H104" s="9" t="n">
        <v>3284.5</v>
      </c>
      <c r="I104" s="9" t="n">
        <v>512.5</v>
      </c>
      <c r="J104" s="9" t="inlineStr">
        <is>
          <t>DCP 18%</t>
        </is>
      </c>
    </row>
    <row r="105">
      <c r="A105" s="9" t="n">
        <v>9</v>
      </c>
      <c r="B105" s="9" t="inlineStr">
        <is>
          <t xml:space="preserve">LIMESTONE POWDER </t>
        </is>
      </c>
      <c r="C105" s="9" t="inlineStr">
        <is>
          <t>KG</t>
        </is>
      </c>
      <c r="D105" s="9" t="n">
        <v>0</v>
      </c>
      <c r="E105" s="9" t="n">
        <v>896.8</v>
      </c>
      <c r="F105" s="9" t="n">
        <v>896.8</v>
      </c>
      <c r="H105" s="9" t="n">
        <v>0</v>
      </c>
      <c r="I105" s="9" t="n">
        <v>0</v>
      </c>
      <c r="J105" s="9" t="inlineStr">
        <is>
          <t xml:space="preserve">LIMESTONE POWDER </t>
        </is>
      </c>
    </row>
    <row r="106">
      <c r="A106" s="9" t="n">
        <v>10</v>
      </c>
      <c r="B106" s="9" t="inlineStr">
        <is>
          <t>RICE BRAN</t>
        </is>
      </c>
      <c r="C106" s="9" t="inlineStr">
        <is>
          <t>KG</t>
        </is>
      </c>
      <c r="D106" s="9" t="n">
        <v>31341.2</v>
      </c>
      <c r="E106" s="9" t="n">
        <v>0</v>
      </c>
      <c r="F106" s="9" t="n">
        <v>9168.4</v>
      </c>
      <c r="H106" s="9" t="n">
        <v>22172.8</v>
      </c>
      <c r="I106" s="9" t="n">
        <v>31341.2</v>
      </c>
      <c r="J106" s="9" t="inlineStr">
        <is>
          <t>RICE BRAN</t>
        </is>
      </c>
    </row>
    <row r="107"/>
    <row r="108">
      <c r="B108" s="9" t="inlineStr">
        <is>
          <t>PREMIX &amp; ADDITIVES</t>
        </is>
      </c>
    </row>
    <row r="109">
      <c r="A109" s="9" t="n">
        <v>1</v>
      </c>
      <c r="B109" s="9" t="inlineStr">
        <is>
          <t>PREMIX 1101 (20KG)</t>
        </is>
      </c>
      <c r="C109" s="9" t="inlineStr">
        <is>
          <t>KG</t>
        </is>
      </c>
      <c r="D109" s="9" t="n">
        <v>3540</v>
      </c>
      <c r="E109" s="9" t="n">
        <v>0</v>
      </c>
      <c r="F109" s="9" t="n">
        <v>0</v>
      </c>
      <c r="H109" s="9" t="n">
        <v>3540</v>
      </c>
    </row>
    <row r="110">
      <c r="A110" s="9" t="n">
        <v>2</v>
      </c>
      <c r="B110" s="9" t="inlineStr">
        <is>
          <t>PREMIX 1102 (20KG)</t>
        </is>
      </c>
      <c r="C110" s="9" t="inlineStr">
        <is>
          <t>KG</t>
        </is>
      </c>
      <c r="D110" s="9" t="n">
        <v>1960</v>
      </c>
      <c r="E110" s="9" t="n">
        <v>2000</v>
      </c>
      <c r="F110" s="9" t="n">
        <v>0</v>
      </c>
      <c r="H110" s="9" t="n">
        <v>3960</v>
      </c>
    </row>
    <row r="111">
      <c r="A111" s="9" t="n">
        <v>3</v>
      </c>
      <c r="B111" s="9" t="inlineStr">
        <is>
          <t>PREMIX 1103 (20KG)</t>
        </is>
      </c>
      <c r="C111" s="9" t="inlineStr">
        <is>
          <t>KG</t>
        </is>
      </c>
      <c r="D111" s="9" t="n">
        <v>2960</v>
      </c>
      <c r="E111" s="9" t="n">
        <v>4000</v>
      </c>
      <c r="F111" s="9" t="n">
        <v>7720</v>
      </c>
      <c r="G111" s="9" t="n">
        <v>4000</v>
      </c>
      <c r="H111" s="9" t="n">
        <v>3240</v>
      </c>
    </row>
    <row r="112">
      <c r="A112" s="9" t="n">
        <v>4</v>
      </c>
      <c r="B112" s="9" t="inlineStr">
        <is>
          <t>PREMIX 8100 (20KG)</t>
        </is>
      </c>
      <c r="C112" s="9" t="inlineStr">
        <is>
          <t>KG</t>
        </is>
      </c>
      <c r="D112" s="9" t="n">
        <v>3980</v>
      </c>
      <c r="E112" s="9" t="n">
        <v>0</v>
      </c>
      <c r="F112" s="9" t="n">
        <v>3040</v>
      </c>
      <c r="G112" s="9" t="n">
        <v>500</v>
      </c>
      <c r="H112" s="9" t="n">
        <v>1440</v>
      </c>
    </row>
    <row r="113">
      <c r="A113" s="9" t="n">
        <v>5</v>
      </c>
      <c r="B113" s="9" t="inlineStr">
        <is>
          <t>PREMIX 8101 (20KG)</t>
        </is>
      </c>
      <c r="C113" s="9" t="inlineStr">
        <is>
          <t>KG</t>
        </is>
      </c>
      <c r="D113" s="9" t="n">
        <v>2960</v>
      </c>
      <c r="E113" s="9" t="n">
        <v>0</v>
      </c>
      <c r="F113" s="9" t="n">
        <v>0</v>
      </c>
      <c r="G113" s="9" t="n">
        <v>2140</v>
      </c>
      <c r="H113" s="9" t="n">
        <v>5100</v>
      </c>
    </row>
    <row r="114">
      <c r="A114" s="9" t="n">
        <v>6</v>
      </c>
      <c r="B114" s="9" t="inlineStr">
        <is>
          <t>PREMIX 8102 (20KG)</t>
        </is>
      </c>
      <c r="C114" s="9" t="inlineStr">
        <is>
          <t>KG</t>
        </is>
      </c>
      <c r="D114" s="9" t="n">
        <v>2040</v>
      </c>
      <c r="E114" s="9" t="n">
        <v>22000</v>
      </c>
      <c r="F114" s="9" t="n">
        <v>13520</v>
      </c>
      <c r="G114" s="9" t="n">
        <v>2520</v>
      </c>
      <c r="H114" s="9" t="n">
        <v>13040</v>
      </c>
    </row>
    <row r="115">
      <c r="A115" s="9" t="n">
        <v>7</v>
      </c>
      <c r="B115" s="9" t="inlineStr">
        <is>
          <t>PREMIX 8103 (20KG)</t>
        </is>
      </c>
      <c r="C115" s="9" t="inlineStr">
        <is>
          <t>KG</t>
        </is>
      </c>
      <c r="D115" s="9" t="n">
        <v>7520</v>
      </c>
      <c r="E115" s="9" t="n">
        <v>12000</v>
      </c>
      <c r="F115" s="9" t="n">
        <v>5200</v>
      </c>
      <c r="H115" s="9" t="n">
        <v>14320</v>
      </c>
    </row>
    <row r="116">
      <c r="A116" s="9" t="n">
        <v>8</v>
      </c>
      <c r="B116" s="9" t="inlineStr">
        <is>
          <t>PREMIX 8108 (20KG)</t>
        </is>
      </c>
      <c r="C116" s="9" t="inlineStr">
        <is>
          <t>KG</t>
        </is>
      </c>
      <c r="D116" s="9" t="n">
        <v>6800</v>
      </c>
      <c r="E116" s="9" t="n">
        <v>0</v>
      </c>
      <c r="F116" s="9" t="n">
        <v>0</v>
      </c>
      <c r="H116" s="9" t="n">
        <v>6800</v>
      </c>
    </row>
    <row r="117">
      <c r="A117" s="9" t="n">
        <v>9</v>
      </c>
      <c r="B117" s="9" t="inlineStr">
        <is>
          <t>PREMIX 8109 (20KG)</t>
        </is>
      </c>
      <c r="C117" s="9" t="inlineStr">
        <is>
          <t>KG</t>
        </is>
      </c>
      <c r="D117" s="9" t="n">
        <v>4400</v>
      </c>
      <c r="E117" s="9" t="n">
        <v>1000</v>
      </c>
      <c r="F117" s="9" t="n">
        <v>0</v>
      </c>
      <c r="H117" s="9" t="n">
        <v>5400</v>
      </c>
    </row>
    <row r="118">
      <c r="A118" s="9" t="n">
        <v>10</v>
      </c>
      <c r="B118" s="9" t="inlineStr">
        <is>
          <t>YENMIX 121 (20KG)</t>
        </is>
      </c>
      <c r="C118" s="9" t="inlineStr">
        <is>
          <t>KG</t>
        </is>
      </c>
      <c r="D118" s="9" t="n">
        <v>0</v>
      </c>
      <c r="E118" s="9" t="n">
        <v>2260</v>
      </c>
      <c r="F118" s="9" t="n">
        <v>0</v>
      </c>
      <c r="H118" s="9" t="n">
        <v>2260</v>
      </c>
    </row>
    <row r="119">
      <c r="A119" s="9" t="n">
        <v>11</v>
      </c>
      <c r="B119" s="9" t="inlineStr">
        <is>
          <t>TOXISORB PREMIUM</t>
        </is>
      </c>
      <c r="C119" s="9" t="inlineStr">
        <is>
          <t>KG</t>
        </is>
      </c>
      <c r="D119" s="9" t="n">
        <v>1531</v>
      </c>
      <c r="E119" s="9" t="n">
        <v>1000</v>
      </c>
      <c r="F119" s="9" t="n">
        <v>562</v>
      </c>
      <c r="H119" s="9" t="n">
        <v>1969</v>
      </c>
    </row>
    <row r="120">
      <c r="A120" s="9" t="n">
        <v>12</v>
      </c>
      <c r="B120" s="9" t="inlineStr">
        <is>
          <t>SODIUM HUMATE 3.8%</t>
        </is>
      </c>
      <c r="C120" s="9" t="inlineStr">
        <is>
          <t>KG</t>
        </is>
      </c>
      <c r="D120" s="9" t="n">
        <v>0</v>
      </c>
      <c r="E120" s="9" t="n">
        <v>2994</v>
      </c>
      <c r="F120" s="9" t="n">
        <v>2994</v>
      </c>
      <c r="H120" s="9" t="n">
        <v>0</v>
      </c>
    </row>
    <row r="121">
      <c r="A121" s="9" t="n">
        <v>13</v>
      </c>
      <c r="B121" s="9" t="inlineStr">
        <is>
          <t>BMD 10%</t>
        </is>
      </c>
      <c r="C121" s="9" t="inlineStr">
        <is>
          <t>KG</t>
        </is>
      </c>
      <c r="D121" s="9" t="n">
        <v>35.19999999999999</v>
      </c>
      <c r="E121" s="9" t="n">
        <v>2100</v>
      </c>
      <c r="F121" s="9" t="n">
        <v>456</v>
      </c>
      <c r="H121" s="9" t="n">
        <v>1679.2</v>
      </c>
    </row>
    <row r="122">
      <c r="A122" s="9" t="n">
        <v>14</v>
      </c>
      <c r="B122" s="9" t="inlineStr">
        <is>
          <t>SALT</t>
        </is>
      </c>
      <c r="C122" s="9" t="inlineStr">
        <is>
          <t>KG</t>
        </is>
      </c>
      <c r="D122" s="9" t="n">
        <v>-319.6</v>
      </c>
      <c r="E122" s="9" t="n">
        <v>0</v>
      </c>
      <c r="F122" s="9" t="n">
        <v>0</v>
      </c>
      <c r="H122" s="9" t="n">
        <v>-319.6</v>
      </c>
    </row>
    <row r="123">
      <c r="A123" s="9" t="n">
        <v>15</v>
      </c>
      <c r="B123" s="9" t="inlineStr">
        <is>
          <t>VISTABET 91</t>
        </is>
      </c>
      <c r="C123" s="9" t="inlineStr">
        <is>
          <t>KG</t>
        </is>
      </c>
      <c r="D123" s="9" t="n">
        <v>349</v>
      </c>
      <c r="F123" s="9" t="n">
        <v>282</v>
      </c>
      <c r="H123" s="9" t="n">
        <v>67</v>
      </c>
    </row>
    <row r="124">
      <c r="A124" s="9" t="n">
        <v>16</v>
      </c>
      <c r="B124" s="9" t="inlineStr">
        <is>
          <t>BETAFIN</t>
        </is>
      </c>
      <c r="C124" s="9" t="inlineStr">
        <is>
          <t>KG</t>
        </is>
      </c>
      <c r="D124" s="9" t="n">
        <v>0</v>
      </c>
      <c r="E124" s="9" t="n">
        <v>806</v>
      </c>
      <c r="F124" s="9" t="n">
        <v>806</v>
      </c>
      <c r="H124" s="9" t="n">
        <v>0</v>
      </c>
    </row>
    <row r="125">
      <c r="A125" s="9" t="n">
        <v>17</v>
      </c>
      <c r="B125" s="9" t="inlineStr">
        <is>
          <t>8101 TOP UP</t>
        </is>
      </c>
      <c r="C125" s="9" t="inlineStr">
        <is>
          <t>KG</t>
        </is>
      </c>
      <c r="D125" s="9" t="n">
        <v>160</v>
      </c>
      <c r="E125" s="9" t="n">
        <v>0</v>
      </c>
      <c r="F125" s="9" t="n">
        <v>0</v>
      </c>
      <c r="H125" s="9" t="n">
        <v>160</v>
      </c>
    </row>
    <row r="126">
      <c r="A126" s="9" t="n">
        <v>18</v>
      </c>
      <c r="B126" s="9" t="inlineStr">
        <is>
          <t>NORPONIN X03 (8102 TOP UP)</t>
        </is>
      </c>
      <c r="C126" s="9" t="inlineStr">
        <is>
          <t>KG</t>
        </is>
      </c>
      <c r="D126" s="9" t="n">
        <v>13.96000000000004</v>
      </c>
      <c r="E126" s="9" t="n">
        <v>0</v>
      </c>
      <c r="F126" s="9" t="n">
        <v>0</v>
      </c>
      <c r="H126" s="9" t="n">
        <v>13.96000000000004</v>
      </c>
    </row>
    <row r="127">
      <c r="A127" s="9" t="n">
        <v>19</v>
      </c>
      <c r="B127" s="9" t="inlineStr">
        <is>
          <t>L-ARGININE</t>
        </is>
      </c>
      <c r="C127" s="9" t="inlineStr">
        <is>
          <t>KG</t>
        </is>
      </c>
      <c r="D127" s="9" t="n">
        <v>207.6</v>
      </c>
      <c r="E127" s="9" t="n">
        <v>0</v>
      </c>
      <c r="F127" s="9" t="n">
        <v>0</v>
      </c>
      <c r="H127" s="9" t="n">
        <v>207.6</v>
      </c>
    </row>
    <row r="128">
      <c r="A128" s="9" t="n">
        <v>20</v>
      </c>
      <c r="B128" s="9" t="inlineStr">
        <is>
          <t>DL-METHIONINE</t>
        </is>
      </c>
      <c r="C128" s="9" t="inlineStr">
        <is>
          <t>KG</t>
        </is>
      </c>
      <c r="D128" s="9" t="n">
        <v>201.8</v>
      </c>
      <c r="E128" s="9" t="n">
        <v>0</v>
      </c>
      <c r="F128" s="9" t="n">
        <v>0</v>
      </c>
      <c r="H128" s="9" t="n">
        <v>201.8</v>
      </c>
    </row>
    <row r="129">
      <c r="A129" s="9" t="n">
        <v>21</v>
      </c>
      <c r="B129" s="9" t="inlineStr">
        <is>
          <t>L-THREONINE</t>
        </is>
      </c>
      <c r="C129" s="9" t="inlineStr">
        <is>
          <t>KG</t>
        </is>
      </c>
      <c r="D129" s="9" t="n">
        <v>22.72</v>
      </c>
      <c r="E129" s="9" t="n">
        <v>0</v>
      </c>
      <c r="F129" s="9" t="n">
        <v>0</v>
      </c>
      <c r="H129" s="9" t="n">
        <v>22.72</v>
      </c>
    </row>
    <row r="130">
      <c r="A130" s="9" t="n">
        <v>22</v>
      </c>
      <c r="B130" s="9" t="inlineStr">
        <is>
          <t>ADDITIVE BROILER IMMUNE</t>
        </is>
      </c>
      <c r="C130" s="9" t="inlineStr">
        <is>
          <t>KG</t>
        </is>
      </c>
      <c r="D130" s="9" t="n">
        <v>0</v>
      </c>
      <c r="E130" s="9" t="n">
        <v>270</v>
      </c>
      <c r="F130" s="9" t="n">
        <v>0</v>
      </c>
      <c r="H130" s="9" t="n">
        <v>270</v>
      </c>
    </row>
    <row r="131"/>
    <row r="132">
      <c r="B132" s="9" t="inlineStr">
        <is>
          <t>PACKING MATERIALS</t>
        </is>
      </c>
    </row>
    <row r="133">
      <c r="A133" s="9" t="n">
        <v>1</v>
      </c>
      <c r="B133" s="9" t="inlineStr">
        <is>
          <t>WOVEN BAG (1101) - BLUE 50KG</t>
        </is>
      </c>
      <c r="C133" s="9" t="inlineStr">
        <is>
          <t>PCS</t>
        </is>
      </c>
      <c r="D133" s="9" t="n">
        <v>5877</v>
      </c>
      <c r="E133" s="9" t="n">
        <v>4063</v>
      </c>
      <c r="F133" s="9" t="n">
        <v>331</v>
      </c>
      <c r="H133" s="9" t="n">
        <v>9609</v>
      </c>
    </row>
    <row r="134">
      <c r="A134" s="9" t="n">
        <v>2</v>
      </c>
      <c r="B134" s="9" t="inlineStr">
        <is>
          <t>WOVEN BAG (1102) - GREEN 50KG</t>
        </is>
      </c>
      <c r="C134" s="9" t="inlineStr">
        <is>
          <t>PCS</t>
        </is>
      </c>
      <c r="D134" s="9" t="n">
        <v>5267</v>
      </c>
      <c r="E134" s="9" t="n">
        <v>2882</v>
      </c>
      <c r="F134" s="9" t="n">
        <v>0</v>
      </c>
      <c r="H134" s="9" t="n">
        <v>8149</v>
      </c>
    </row>
    <row r="135">
      <c r="A135" s="9" t="n">
        <v>3</v>
      </c>
      <c r="B135" s="9" t="inlineStr">
        <is>
          <t>WOVEN BAG (1103) - RED 50KG</t>
        </is>
      </c>
      <c r="C135" s="9" t="inlineStr">
        <is>
          <t>PCS</t>
        </is>
      </c>
      <c r="D135" s="9" t="n">
        <v>4457</v>
      </c>
      <c r="E135" s="9" t="n">
        <v>4347</v>
      </c>
      <c r="F135" s="9" t="n">
        <v>7893</v>
      </c>
      <c r="H135" s="9" t="n">
        <v>911</v>
      </c>
    </row>
    <row r="136">
      <c r="A136" s="9" t="n">
        <v>4</v>
      </c>
      <c r="B136" s="9" t="inlineStr">
        <is>
          <t>PLAIN BAG 26" X 39" (50KG)</t>
        </is>
      </c>
      <c r="C136" s="9" t="inlineStr">
        <is>
          <t>PCS</t>
        </is>
      </c>
      <c r="D136" s="9" t="n">
        <v>6772</v>
      </c>
      <c r="E136" s="9" t="n">
        <v>3000</v>
      </c>
      <c r="F136" s="9" t="n">
        <v>3532</v>
      </c>
      <c r="H136" s="9" t="n">
        <v>6240</v>
      </c>
    </row>
    <row r="137">
      <c r="A137" s="9" t="n">
        <v>5</v>
      </c>
      <c r="B137" s="9" t="inlineStr">
        <is>
          <t>WOVEN BAG (8101) - KHAKI 50KG</t>
        </is>
      </c>
      <c r="C137" s="9" t="inlineStr">
        <is>
          <t>PCS</t>
        </is>
      </c>
      <c r="D137" s="9" t="n">
        <v>1901</v>
      </c>
      <c r="E137" s="9" t="n">
        <v>0</v>
      </c>
      <c r="F137" s="9" t="n">
        <v>0</v>
      </c>
      <c r="H137" s="9" t="n">
        <v>1901</v>
      </c>
    </row>
    <row r="138">
      <c r="A138" s="9" t="n">
        <v>6</v>
      </c>
      <c r="B138" s="9" t="inlineStr">
        <is>
          <t>WOVEN BAG (8102) - SKY BLUE 50KG</t>
        </is>
      </c>
      <c r="C138" s="9" t="inlineStr">
        <is>
          <t>PCS</t>
        </is>
      </c>
      <c r="D138" s="9" t="n">
        <v>4175</v>
      </c>
      <c r="E138" s="9" t="n">
        <v>0</v>
      </c>
      <c r="F138" s="9" t="n">
        <v>0</v>
      </c>
      <c r="H138" s="9" t="n">
        <v>4175</v>
      </c>
    </row>
    <row r="139"/>
    <row r="140">
      <c r="B140" s="9" t="inlineStr">
        <is>
          <t>TOTAL</t>
        </is>
      </c>
      <c r="D140" s="9" t="n">
        <v>265245.88</v>
      </c>
      <c r="E140" s="9" t="n">
        <v>1723687.2</v>
      </c>
      <c r="F140" s="9" t="n">
        <v>1428522.3</v>
      </c>
      <c r="G140" s="9" t="n">
        <v>8837.6</v>
      </c>
      <c r="H140" s="9" t="n">
        <v>569248.3799999999</v>
      </c>
    </row>
    <row r="141"/>
    <row r="142">
      <c r="B142" s="9" t="inlineStr">
        <is>
          <t>Remark for adjustment (+)</t>
        </is>
      </c>
    </row>
    <row r="143">
      <c r="B143" s="9" t="inlineStr">
        <is>
          <t>SOYBEAN MEAL (ARG)</t>
        </is>
      </c>
      <c r="C143" s="9" t="inlineStr">
        <is>
          <t>KG</t>
        </is>
      </c>
      <c r="D143" s="9" t="n">
        <v>2200</v>
      </c>
    </row>
    <row r="144">
      <c r="B144" s="9" t="inlineStr">
        <is>
          <t>MEAT AND BONE MEAL</t>
        </is>
      </c>
      <c r="C144" s="9" t="inlineStr">
        <is>
          <t>KG</t>
        </is>
      </c>
      <c r="D144" s="9" t="n">
        <v>566.3</v>
      </c>
    </row>
    <row r="145">
      <c r="B145" s="9" t="inlineStr">
        <is>
          <t>CORN GLUTEN MEAL</t>
        </is>
      </c>
      <c r="C145" s="9" t="inlineStr">
        <is>
          <t>KG</t>
        </is>
      </c>
      <c r="D145" s="9" t="n">
        <v>1257.7</v>
      </c>
    </row>
    <row r="146">
      <c r="B146" s="9" t="inlineStr">
        <is>
          <t>Reason: Cut off</t>
        </is>
      </c>
    </row>
    <row r="147"/>
    <row r="148">
      <c r="B148" s="9" t="inlineStr">
        <is>
          <t>PREMIX 1103 (20KG)</t>
        </is>
      </c>
      <c r="C148" s="9" t="inlineStr">
        <is>
          <t>KG</t>
        </is>
      </c>
      <c r="D148" s="9" t="n">
        <v>4000</v>
      </c>
    </row>
    <row r="149">
      <c r="B149" s="9" t="inlineStr">
        <is>
          <t>PREMIX 8100 (20KG)</t>
        </is>
      </c>
      <c r="C149" s="9" t="inlineStr">
        <is>
          <t>KG</t>
        </is>
      </c>
      <c r="D149" s="9" t="n">
        <v>500</v>
      </c>
    </row>
    <row r="150">
      <c r="B150" s="9" t="inlineStr">
        <is>
          <t>PREMIX 8101 (20KG)</t>
        </is>
      </c>
      <c r="C150" s="9" t="inlineStr">
        <is>
          <t>KG</t>
        </is>
      </c>
      <c r="D150" s="9" t="n">
        <v>2140</v>
      </c>
    </row>
    <row r="151">
      <c r="B151" s="9" t="inlineStr">
        <is>
          <t>PREMIX 8102 (20KG)</t>
        </is>
      </c>
      <c r="C151" s="9" t="inlineStr">
        <is>
          <t>KG</t>
        </is>
      </c>
      <c r="D151" s="9" t="n">
        <v>2520</v>
      </c>
    </row>
    <row r="152">
      <c r="B152" s="9" t="inlineStr">
        <is>
          <t>Reason: Stock Transferred from Liang Teik</t>
        </is>
      </c>
    </row>
    <row r="153">
      <c r="B153" s="9" t="inlineStr">
        <is>
          <t>PPSB00817/DO15247                       7/1/2026</t>
        </is>
      </c>
    </row>
    <row r="154"/>
    <row r="155">
      <c r="B155" s="9" t="inlineStr">
        <is>
          <t>Remark for adjustment (-)</t>
        </is>
      </c>
    </row>
    <row r="156">
      <c r="B156" s="9" t="inlineStr">
        <is>
          <t>MAIZE/CORN</t>
        </is>
      </c>
      <c r="C156" s="9" t="inlineStr">
        <is>
          <t>KG</t>
        </is>
      </c>
      <c r="D156" s="9" t="n">
        <v>-4346.4</v>
      </c>
    </row>
    <row r="157">
      <c r="B157" s="9" t="inlineStr">
        <is>
          <t>Reason: Cut off</t>
        </is>
      </c>
    </row>
    <row r="158"/>
    <row r="159"/>
    <row r="160"/>
    <row r="161"/>
    <row r="162"/>
    <row r="163"/>
    <row r="164"/>
    <row r="165"/>
    <row r="166"/>
    <row r="167">
      <c r="B167" s="9" t="inlineStr">
        <is>
          <t>Prepared by: ______________</t>
        </is>
      </c>
      <c r="G167" s="9" t="inlineStr">
        <is>
          <t xml:space="preserve">   Approved by: ______________</t>
        </is>
      </c>
    </row>
    <row r="168"/>
    <row r="169"/>
    <row r="170">
      <c r="H170" s="9" t="inlineStr">
        <is>
          <t>28.04.2026</t>
        </is>
      </c>
    </row>
    <row r="171">
      <c r="B171" s="9" t="inlineStr">
        <is>
          <t>HARUMI Stock - JAN 2026</t>
        </is>
      </c>
    </row>
    <row r="172">
      <c r="A172" s="9" t="inlineStr">
        <is>
          <t>No</t>
        </is>
      </c>
      <c r="B172" s="9" t="inlineStr">
        <is>
          <t>Description</t>
        </is>
      </c>
      <c r="C172" s="9" t="inlineStr">
        <is>
          <t>UOM</t>
        </is>
      </c>
      <c r="D172" s="9" t="inlineStr">
        <is>
          <t>Opening</t>
        </is>
      </c>
      <c r="E172" s="9" t="inlineStr">
        <is>
          <t>Receiving</t>
        </is>
      </c>
      <c r="F172" s="9" t="inlineStr">
        <is>
          <t>Usage</t>
        </is>
      </c>
      <c r="G172" s="9" t="inlineStr">
        <is>
          <t>Adjustment</t>
        </is>
      </c>
      <c r="H172" s="9" t="inlineStr">
        <is>
          <t>Bal (KG)</t>
        </is>
      </c>
    </row>
    <row r="173">
      <c r="B173" s="9" t="inlineStr">
        <is>
          <t>RAW MATERIAL</t>
        </is>
      </c>
    </row>
    <row r="174">
      <c r="A174" s="9" t="n">
        <v>1</v>
      </c>
      <c r="B174" s="9" t="inlineStr">
        <is>
          <t>MAIZE/CORN</t>
        </is>
      </c>
      <c r="C174" s="9" t="inlineStr">
        <is>
          <t>KG</t>
        </is>
      </c>
      <c r="D174" s="9" t="n">
        <v>47850.2</v>
      </c>
      <c r="E174" s="9" t="n">
        <v>1015280</v>
      </c>
      <c r="F174" s="9" t="n">
        <v>816995.6</v>
      </c>
      <c r="G174" s="9" t="n">
        <v>-4346.4</v>
      </c>
      <c r="H174" s="9" t="n">
        <v>241788.2</v>
      </c>
    </row>
    <row r="175">
      <c r="A175" s="9" t="n">
        <v>2</v>
      </c>
      <c r="B175" s="9" t="inlineStr">
        <is>
          <t>SOYBEAN MEAL (ARG)</t>
        </is>
      </c>
      <c r="C175" s="9" t="inlineStr">
        <is>
          <t>KG</t>
        </is>
      </c>
      <c r="D175" s="9" t="n">
        <v>8696.200000000001</v>
      </c>
      <c r="E175" s="9" t="n">
        <v>359610</v>
      </c>
      <c r="F175" s="9" t="n">
        <v>321757.9999999999</v>
      </c>
      <c r="G175" s="9" t="n">
        <v>2200</v>
      </c>
      <c r="H175" s="9" t="n">
        <v>48748.20000000007</v>
      </c>
    </row>
    <row r="176">
      <c r="A176" s="9" t="n">
        <v>3</v>
      </c>
      <c r="B176" s="9" t="inlineStr">
        <is>
          <t>SOYBEAN FULL FAT</t>
        </is>
      </c>
      <c r="C176" s="9" t="inlineStr">
        <is>
          <t>KG</t>
        </is>
      </c>
      <c r="D176" s="9" t="n">
        <v>40371.3</v>
      </c>
      <c r="E176" s="9" t="n">
        <v>90340</v>
      </c>
      <c r="F176" s="9" t="n">
        <v>80826.30000000003</v>
      </c>
      <c r="H176" s="9" t="n">
        <v>49884.99999999996</v>
      </c>
    </row>
    <row r="177">
      <c r="A177" s="9" t="n">
        <v>4</v>
      </c>
      <c r="B177" s="9" t="inlineStr">
        <is>
          <t>WHEAT POLLARD</t>
        </is>
      </c>
      <c r="C177" s="9" t="inlineStr">
        <is>
          <t>KG</t>
        </is>
      </c>
      <c r="D177" s="9" t="n">
        <v>33793.70000000001</v>
      </c>
      <c r="E177" s="9" t="n">
        <v>86570</v>
      </c>
      <c r="F177" s="9" t="n">
        <v>67591.5</v>
      </c>
      <c r="H177" s="9" t="n">
        <v>52772.20000000001</v>
      </c>
    </row>
    <row r="178">
      <c r="A178" s="9" t="n">
        <v>5</v>
      </c>
      <c r="B178" s="9" t="inlineStr">
        <is>
          <t>MEAT AND BONE MEAL</t>
        </is>
      </c>
      <c r="C178" s="9" t="inlineStr">
        <is>
          <t>KG</t>
        </is>
      </c>
      <c r="D178" s="9" t="n">
        <v>29510.09999999999</v>
      </c>
      <c r="E178" s="9" t="n">
        <v>31030</v>
      </c>
      <c r="F178" s="9" t="n">
        <v>26789.69999999999</v>
      </c>
      <c r="G178" s="9" t="n">
        <v>566.3</v>
      </c>
      <c r="H178" s="9" t="n">
        <v>34316.7</v>
      </c>
    </row>
    <row r="179">
      <c r="A179" s="9" t="n">
        <v>6</v>
      </c>
      <c r="B179" s="9" t="inlineStr">
        <is>
          <t>CORN GLUTEN MEAL</t>
        </is>
      </c>
      <c r="C179" s="9" t="inlineStr">
        <is>
          <t>KG</t>
        </is>
      </c>
      <c r="D179" s="9" t="n">
        <v>6360.000000000007</v>
      </c>
      <c r="E179" s="9" t="n">
        <v>44180</v>
      </c>
      <c r="F179" s="9" t="n">
        <v>29873.6</v>
      </c>
      <c r="G179" s="9" t="n">
        <v>1257.7</v>
      </c>
      <c r="H179" s="9" t="n">
        <v>21924.10000000001</v>
      </c>
    </row>
    <row r="180">
      <c r="A180" s="9" t="n">
        <v>7</v>
      </c>
      <c r="B180" s="9" t="inlineStr">
        <is>
          <t>MEGAFAT</t>
        </is>
      </c>
      <c r="C180" s="9" t="inlineStr">
        <is>
          <t>KG</t>
        </is>
      </c>
      <c r="D180" s="9" t="n">
        <v>0</v>
      </c>
      <c r="E180" s="9" t="n">
        <v>28058.4</v>
      </c>
      <c r="F180" s="9" t="n">
        <v>28058.4</v>
      </c>
      <c r="H180" s="9" t="n">
        <v>0</v>
      </c>
    </row>
    <row r="181">
      <c r="A181" s="9" t="n">
        <v>8</v>
      </c>
      <c r="B181" s="9" t="inlineStr">
        <is>
          <t>DCP 18%</t>
        </is>
      </c>
      <c r="C181" s="9" t="inlineStr">
        <is>
          <t>KG</t>
        </is>
      </c>
      <c r="D181" s="9" t="n">
        <v>512.5</v>
      </c>
      <c r="E181" s="9" t="n">
        <v>3000</v>
      </c>
      <c r="F181" s="9" t="n">
        <v>228</v>
      </c>
      <c r="H181" s="9" t="n">
        <v>3284.5</v>
      </c>
    </row>
    <row r="182">
      <c r="A182" s="9" t="n">
        <v>9</v>
      </c>
      <c r="B182" s="9" t="inlineStr">
        <is>
          <t xml:space="preserve">LIMESTONE POWDER </t>
        </is>
      </c>
      <c r="C182" s="9" t="inlineStr">
        <is>
          <t>KG</t>
        </is>
      </c>
      <c r="D182" s="9" t="n">
        <v>0</v>
      </c>
      <c r="E182" s="9" t="n">
        <v>896.8</v>
      </c>
      <c r="F182" s="9" t="n">
        <v>896.8</v>
      </c>
      <c r="H182" s="9" t="n">
        <v>0</v>
      </c>
    </row>
    <row r="183">
      <c r="A183" s="9" t="n">
        <v>10</v>
      </c>
      <c r="B183" s="9" t="inlineStr">
        <is>
          <t>RICE BRAN</t>
        </is>
      </c>
      <c r="C183" s="9" t="inlineStr">
        <is>
          <t>KG</t>
        </is>
      </c>
      <c r="D183" s="9" t="n">
        <v>31341.2</v>
      </c>
      <c r="E183" s="9" t="n">
        <v>0</v>
      </c>
      <c r="F183" s="9" t="n">
        <v>9168.4</v>
      </c>
      <c r="H183" s="9" t="n">
        <v>22172.8</v>
      </c>
    </row>
    <row r="184"/>
    <row r="185">
      <c r="B185" s="9" t="inlineStr">
        <is>
          <t>PREMIX &amp; ADDITIVES</t>
        </is>
      </c>
    </row>
    <row r="186">
      <c r="A186" s="9" t="n">
        <v>1</v>
      </c>
      <c r="B186" s="9" t="inlineStr">
        <is>
          <t>PREMIX 1101 (20KG)</t>
        </is>
      </c>
      <c r="C186" s="9" t="inlineStr">
        <is>
          <t>KG</t>
        </is>
      </c>
      <c r="D186" s="9" t="n">
        <v>3540</v>
      </c>
      <c r="E186" s="9" t="n">
        <v>0</v>
      </c>
      <c r="F186" s="9" t="n">
        <v>0</v>
      </c>
      <c r="H186" s="9" t="n">
        <v>3540</v>
      </c>
    </row>
    <row r="187">
      <c r="A187" s="9" t="n">
        <v>2</v>
      </c>
      <c r="B187" s="9" t="inlineStr">
        <is>
          <t>PREMIX 1102 (20KG)</t>
        </is>
      </c>
      <c r="C187" s="9" t="inlineStr">
        <is>
          <t>KG</t>
        </is>
      </c>
      <c r="D187" s="9" t="n">
        <v>1960</v>
      </c>
      <c r="E187" s="9" t="n">
        <v>2000</v>
      </c>
      <c r="F187" s="9" t="n">
        <v>0</v>
      </c>
      <c r="H187" s="9" t="n">
        <v>3960</v>
      </c>
    </row>
    <row r="188">
      <c r="A188" s="9" t="n">
        <v>3</v>
      </c>
      <c r="B188" s="9" t="inlineStr">
        <is>
          <t>PREMIX 1103 (20KG)</t>
        </is>
      </c>
      <c r="C188" s="9" t="inlineStr">
        <is>
          <t>KG</t>
        </is>
      </c>
      <c r="D188" s="9" t="n">
        <v>2960</v>
      </c>
      <c r="E188" s="9" t="n">
        <v>4000</v>
      </c>
      <c r="F188" s="9" t="n">
        <v>7720</v>
      </c>
      <c r="G188" s="9" t="n">
        <v>4000</v>
      </c>
      <c r="H188" s="9" t="n">
        <v>3240</v>
      </c>
    </row>
    <row r="189">
      <c r="A189" s="9" t="n">
        <v>4</v>
      </c>
      <c r="B189" s="9" t="inlineStr">
        <is>
          <t>PREMIX 8100 (20KG)</t>
        </is>
      </c>
      <c r="C189" s="9" t="inlineStr">
        <is>
          <t>KG</t>
        </is>
      </c>
      <c r="D189" s="9" t="n">
        <v>3980</v>
      </c>
      <c r="E189" s="9" t="n">
        <v>0</v>
      </c>
      <c r="F189" s="9" t="n">
        <v>3040</v>
      </c>
      <c r="G189" s="9" t="n">
        <v>500</v>
      </c>
      <c r="H189" s="9" t="n">
        <v>1440</v>
      </c>
    </row>
    <row r="190">
      <c r="A190" s="9" t="n">
        <v>5</v>
      </c>
      <c r="B190" s="9" t="inlineStr">
        <is>
          <t>PREMIX 8101 (20KG)</t>
        </is>
      </c>
      <c r="C190" s="9" t="inlineStr">
        <is>
          <t>KG</t>
        </is>
      </c>
      <c r="D190" s="9" t="n">
        <v>2960</v>
      </c>
      <c r="E190" s="9" t="n">
        <v>0</v>
      </c>
      <c r="F190" s="9" t="n">
        <v>0</v>
      </c>
      <c r="G190" s="9" t="n">
        <v>2140</v>
      </c>
      <c r="H190" s="9" t="n">
        <v>5100</v>
      </c>
    </row>
    <row r="191">
      <c r="A191" s="9" t="n">
        <v>6</v>
      </c>
      <c r="B191" s="9" t="inlineStr">
        <is>
          <t>PREMIX 8102 (20KG)</t>
        </is>
      </c>
      <c r="C191" s="9" t="inlineStr">
        <is>
          <t>KG</t>
        </is>
      </c>
      <c r="D191" s="9" t="n">
        <v>2040</v>
      </c>
      <c r="E191" s="9" t="n">
        <v>22000</v>
      </c>
      <c r="F191" s="9" t="n">
        <v>13520</v>
      </c>
      <c r="G191" s="9" t="n">
        <v>2520</v>
      </c>
      <c r="H191" s="9" t="n">
        <v>13040</v>
      </c>
    </row>
    <row r="192">
      <c r="A192" s="9" t="n">
        <v>7</v>
      </c>
      <c r="B192" s="9" t="inlineStr">
        <is>
          <t>PREMIX 8103 (20KG)</t>
        </is>
      </c>
      <c r="C192" s="9" t="inlineStr">
        <is>
          <t>KG</t>
        </is>
      </c>
      <c r="D192" s="9" t="n">
        <v>7520</v>
      </c>
      <c r="E192" s="9" t="n">
        <v>12000</v>
      </c>
      <c r="F192" s="9" t="n">
        <v>5200</v>
      </c>
      <c r="H192" s="9" t="n">
        <v>14320</v>
      </c>
    </row>
    <row r="193">
      <c r="A193" s="9" t="n">
        <v>8</v>
      </c>
      <c r="B193" s="9" t="inlineStr">
        <is>
          <t>PREMIX 8108 (20KG)</t>
        </is>
      </c>
      <c r="C193" s="9" t="inlineStr">
        <is>
          <t>KG</t>
        </is>
      </c>
      <c r="D193" s="9" t="n">
        <v>6800</v>
      </c>
      <c r="E193" s="9" t="n">
        <v>0</v>
      </c>
      <c r="F193" s="9" t="n">
        <v>0</v>
      </c>
      <c r="H193" s="9" t="n">
        <v>6800</v>
      </c>
    </row>
    <row r="194">
      <c r="A194" s="9" t="n">
        <v>9</v>
      </c>
      <c r="B194" s="9" t="inlineStr">
        <is>
          <t>PREMIX 8109 (20KG)</t>
        </is>
      </c>
      <c r="C194" s="9" t="inlineStr">
        <is>
          <t>KG</t>
        </is>
      </c>
      <c r="D194" s="9" t="n">
        <v>4400</v>
      </c>
      <c r="E194" s="9" t="n">
        <v>1000</v>
      </c>
      <c r="F194" s="9" t="n">
        <v>0</v>
      </c>
      <c r="H194" s="9" t="n">
        <v>5400</v>
      </c>
    </row>
    <row r="195">
      <c r="A195" s="9" t="n">
        <v>10</v>
      </c>
      <c r="B195" s="9" t="inlineStr">
        <is>
          <t>YENMIX 121 (20KG)</t>
        </is>
      </c>
      <c r="C195" s="9" t="inlineStr">
        <is>
          <t>KG</t>
        </is>
      </c>
      <c r="D195" s="9" t="n">
        <v>0</v>
      </c>
      <c r="E195" s="9" t="n">
        <v>2260</v>
      </c>
      <c r="F195" s="9" t="n">
        <v>0</v>
      </c>
      <c r="H195" s="9" t="n">
        <v>2260</v>
      </c>
    </row>
    <row r="196">
      <c r="A196" s="9" t="n">
        <v>11</v>
      </c>
      <c r="B196" s="9" t="inlineStr">
        <is>
          <t>TOXISORB PREMIUM</t>
        </is>
      </c>
      <c r="C196" s="9" t="inlineStr">
        <is>
          <t>KG</t>
        </is>
      </c>
      <c r="D196" s="9" t="n">
        <v>1531</v>
      </c>
      <c r="E196" s="9" t="n">
        <v>1000</v>
      </c>
      <c r="F196" s="9" t="n">
        <v>562</v>
      </c>
      <c r="H196" s="9" t="n">
        <v>1969</v>
      </c>
    </row>
    <row r="197">
      <c r="A197" s="9" t="n">
        <v>12</v>
      </c>
      <c r="B197" s="9" t="inlineStr">
        <is>
          <t>SODIUM HUMATE 3.8%</t>
        </is>
      </c>
      <c r="C197" s="9" t="inlineStr">
        <is>
          <t>KG</t>
        </is>
      </c>
      <c r="D197" s="9" t="n">
        <v>0</v>
      </c>
      <c r="E197" s="9" t="n">
        <v>2994</v>
      </c>
      <c r="F197" s="9" t="n">
        <v>2994</v>
      </c>
      <c r="H197" s="9" t="n">
        <v>0</v>
      </c>
    </row>
    <row r="198">
      <c r="A198" s="9" t="n">
        <v>13</v>
      </c>
      <c r="B198" s="9" t="inlineStr">
        <is>
          <t>BMD 10%</t>
        </is>
      </c>
      <c r="C198" s="9" t="inlineStr">
        <is>
          <t>KG</t>
        </is>
      </c>
      <c r="D198" s="9" t="n">
        <v>35.19999999999999</v>
      </c>
      <c r="E198" s="9" t="n">
        <v>2100</v>
      </c>
      <c r="F198" s="9" t="n">
        <v>456</v>
      </c>
      <c r="H198" s="9" t="n">
        <v>1679.2</v>
      </c>
    </row>
    <row r="199">
      <c r="A199" s="9" t="n">
        <v>14</v>
      </c>
      <c r="B199" s="9" t="inlineStr">
        <is>
          <t>SALT</t>
        </is>
      </c>
      <c r="C199" s="9" t="inlineStr">
        <is>
          <t>KG</t>
        </is>
      </c>
      <c r="D199" s="9" t="n">
        <v>-319.6</v>
      </c>
      <c r="E199" s="9" t="n">
        <v>0</v>
      </c>
      <c r="F199" s="9" t="n">
        <v>0</v>
      </c>
      <c r="H199" s="9" t="n">
        <v>-319.6</v>
      </c>
    </row>
    <row r="200">
      <c r="A200" s="9" t="n">
        <v>15</v>
      </c>
      <c r="B200" s="9" t="inlineStr">
        <is>
          <t>VISTABET 91</t>
        </is>
      </c>
      <c r="C200" s="9" t="inlineStr">
        <is>
          <t>KG</t>
        </is>
      </c>
      <c r="D200" s="9" t="n">
        <v>349</v>
      </c>
      <c r="F200" s="9" t="n">
        <v>282</v>
      </c>
      <c r="H200" s="9" t="n">
        <v>67</v>
      </c>
    </row>
    <row r="201">
      <c r="A201" s="9" t="n">
        <v>16</v>
      </c>
      <c r="B201" s="9" t="inlineStr">
        <is>
          <t>BETAFIN</t>
        </is>
      </c>
      <c r="C201" s="9" t="inlineStr">
        <is>
          <t>KG</t>
        </is>
      </c>
      <c r="D201" s="9" t="n">
        <v>0</v>
      </c>
      <c r="E201" s="9" t="n">
        <v>806</v>
      </c>
      <c r="F201" s="9" t="n">
        <v>806</v>
      </c>
      <c r="H201" s="9" t="n">
        <v>0</v>
      </c>
    </row>
    <row r="202">
      <c r="A202" s="9" t="n">
        <v>17</v>
      </c>
      <c r="B202" s="9" t="inlineStr">
        <is>
          <t>8101 TOP UP</t>
        </is>
      </c>
      <c r="C202" s="9" t="inlineStr">
        <is>
          <t>KG</t>
        </is>
      </c>
      <c r="D202" s="9" t="n">
        <v>160</v>
      </c>
      <c r="E202" s="9" t="n">
        <v>0</v>
      </c>
      <c r="F202" s="9" t="n">
        <v>0</v>
      </c>
      <c r="H202" s="9" t="n">
        <v>160</v>
      </c>
    </row>
    <row r="203">
      <c r="A203" s="9" t="n">
        <v>18</v>
      </c>
      <c r="B203" s="9" t="inlineStr">
        <is>
          <t>NORPONIN X03 (8102 TOP UP)</t>
        </is>
      </c>
      <c r="C203" s="9" t="inlineStr">
        <is>
          <t>KG</t>
        </is>
      </c>
      <c r="D203" s="9" t="n">
        <v>13.96000000000004</v>
      </c>
      <c r="E203" s="9" t="n">
        <v>0</v>
      </c>
      <c r="F203" s="9" t="n">
        <v>0</v>
      </c>
      <c r="H203" s="9" t="n">
        <v>13.96000000000004</v>
      </c>
    </row>
    <row r="204">
      <c r="A204" s="9" t="n">
        <v>19</v>
      </c>
      <c r="B204" s="9" t="inlineStr">
        <is>
          <t>L-ARGININE</t>
        </is>
      </c>
      <c r="C204" s="9" t="inlineStr">
        <is>
          <t>KG</t>
        </is>
      </c>
      <c r="D204" s="9" t="n">
        <v>207.6</v>
      </c>
      <c r="E204" s="9" t="n">
        <v>0</v>
      </c>
      <c r="F204" s="9" t="n">
        <v>0</v>
      </c>
      <c r="H204" s="9" t="n">
        <v>207.6</v>
      </c>
    </row>
    <row r="205">
      <c r="A205" s="9" t="n">
        <v>20</v>
      </c>
      <c r="B205" s="9" t="inlineStr">
        <is>
          <t>DL-METHIONINE</t>
        </is>
      </c>
      <c r="C205" s="9" t="inlineStr">
        <is>
          <t>KG</t>
        </is>
      </c>
      <c r="D205" s="9" t="n">
        <v>201.8</v>
      </c>
      <c r="E205" s="9" t="n">
        <v>0</v>
      </c>
      <c r="F205" s="9" t="n">
        <v>0</v>
      </c>
      <c r="H205" s="9" t="n">
        <v>201.8</v>
      </c>
    </row>
    <row r="206">
      <c r="A206" s="9" t="n">
        <v>21</v>
      </c>
      <c r="B206" s="9" t="inlineStr">
        <is>
          <t>L-THREONINE</t>
        </is>
      </c>
      <c r="C206" s="9" t="inlineStr">
        <is>
          <t>KG</t>
        </is>
      </c>
      <c r="D206" s="9" t="n">
        <v>22.72</v>
      </c>
      <c r="E206" s="9" t="n">
        <v>0</v>
      </c>
      <c r="F206" s="9" t="n">
        <v>0</v>
      </c>
      <c r="H206" s="9" t="n">
        <v>22.72</v>
      </c>
    </row>
    <row r="207">
      <c r="A207" s="9" t="n">
        <v>22</v>
      </c>
      <c r="B207" s="9" t="inlineStr">
        <is>
          <t>ADDITIVE BROILER IMMUNE</t>
        </is>
      </c>
      <c r="C207" s="9" t="inlineStr">
        <is>
          <t>KG</t>
        </is>
      </c>
      <c r="D207" s="9" t="n">
        <v>0</v>
      </c>
      <c r="E207" s="9" t="n">
        <v>270</v>
      </c>
      <c r="F207" s="9" t="n">
        <v>0</v>
      </c>
      <c r="H207" s="9" t="n">
        <v>270</v>
      </c>
    </row>
    <row r="208"/>
    <row r="209">
      <c r="B209" s="9" t="inlineStr">
        <is>
          <t>PACKING MATERIALS</t>
        </is>
      </c>
    </row>
    <row r="210">
      <c r="A210" s="9" t="n">
        <v>1</v>
      </c>
      <c r="B210" s="9" t="inlineStr">
        <is>
          <t>WOVEN BAG (1101) - BLUE 50KG</t>
        </is>
      </c>
      <c r="C210" s="9" t="inlineStr">
        <is>
          <t>PCS</t>
        </is>
      </c>
      <c r="D210" s="9" t="n">
        <v>5877</v>
      </c>
      <c r="E210" s="9" t="n">
        <v>4063</v>
      </c>
      <c r="F210" s="9" t="n">
        <v>331</v>
      </c>
      <c r="H210" s="9" t="n">
        <v>9609</v>
      </c>
    </row>
    <row r="211">
      <c r="A211" s="9" t="n">
        <v>2</v>
      </c>
      <c r="B211" s="9" t="inlineStr">
        <is>
          <t>WOVEN BAG (1102) - GREEN 50KG</t>
        </is>
      </c>
      <c r="C211" s="9" t="inlineStr">
        <is>
          <t>PCS</t>
        </is>
      </c>
      <c r="D211" s="9" t="n">
        <v>5267</v>
      </c>
      <c r="E211" s="9" t="n">
        <v>2882</v>
      </c>
      <c r="F211" s="9" t="n">
        <v>0</v>
      </c>
      <c r="H211" s="9" t="n">
        <v>8149</v>
      </c>
    </row>
    <row r="212">
      <c r="A212" s="9" t="n">
        <v>3</v>
      </c>
      <c r="B212" s="9" t="inlineStr">
        <is>
          <t>WOVEN BAG (1103) - RED 50KG</t>
        </is>
      </c>
      <c r="C212" s="9" t="inlineStr">
        <is>
          <t>PCS</t>
        </is>
      </c>
      <c r="D212" s="9" t="n">
        <v>4457</v>
      </c>
      <c r="E212" s="9" t="n">
        <v>4347</v>
      </c>
      <c r="F212" s="9" t="n">
        <v>7893</v>
      </c>
      <c r="H212" s="9" t="n">
        <v>911</v>
      </c>
    </row>
    <row r="213">
      <c r="A213" s="9" t="n">
        <v>4</v>
      </c>
      <c r="B213" s="9" t="inlineStr">
        <is>
          <t>PLAIN BAG 26" X 39" (50KG)</t>
        </is>
      </c>
      <c r="C213" s="9" t="inlineStr">
        <is>
          <t>PCS</t>
        </is>
      </c>
      <c r="D213" s="9" t="n">
        <v>6772</v>
      </c>
      <c r="E213" s="9" t="n">
        <v>3000</v>
      </c>
      <c r="F213" s="9" t="n">
        <v>3532</v>
      </c>
      <c r="H213" s="9" t="n">
        <v>6240</v>
      </c>
    </row>
    <row r="214">
      <c r="A214" s="9" t="n">
        <v>5</v>
      </c>
      <c r="B214" s="9" t="inlineStr">
        <is>
          <t>WOVEN BAG (8101) - KHAKI 50KG</t>
        </is>
      </c>
      <c r="C214" s="9" t="inlineStr">
        <is>
          <t>PCS</t>
        </is>
      </c>
      <c r="D214" s="9" t="n">
        <v>1901</v>
      </c>
      <c r="E214" s="9" t="n">
        <v>0</v>
      </c>
      <c r="F214" s="9" t="n">
        <v>0</v>
      </c>
      <c r="H214" s="9" t="n">
        <v>1901</v>
      </c>
    </row>
    <row r="215">
      <c r="A215" s="9" t="n">
        <v>6</v>
      </c>
      <c r="B215" s="9" t="inlineStr">
        <is>
          <t>WOVEN BAG (8102) - SKY BLUE 50KG</t>
        </is>
      </c>
      <c r="C215" s="9" t="inlineStr">
        <is>
          <t>PCS</t>
        </is>
      </c>
      <c r="D215" s="9" t="n">
        <v>4175</v>
      </c>
      <c r="E215" s="9" t="n">
        <v>0</v>
      </c>
      <c r="F215" s="9" t="n">
        <v>2290</v>
      </c>
      <c r="H215" s="9" t="n">
        <v>1885</v>
      </c>
    </row>
    <row r="216"/>
    <row r="217">
      <c r="B217" s="9" t="inlineStr">
        <is>
          <t>TOTAL</t>
        </is>
      </c>
      <c r="D217" s="9" t="n">
        <v>265245.88</v>
      </c>
      <c r="E217" s="9" t="n">
        <v>1723687.2</v>
      </c>
      <c r="F217" s="9" t="n">
        <v>1430812.3</v>
      </c>
      <c r="G217" s="9" t="n">
        <v>8837.6</v>
      </c>
      <c r="H217" s="9" t="n">
        <v>566958.3799999999</v>
      </c>
    </row>
    <row r="218"/>
    <row r="219">
      <c r="B219" s="9" t="inlineStr">
        <is>
          <t>Remark for adjustment (+)</t>
        </is>
      </c>
    </row>
    <row r="220">
      <c r="B220" s="9" t="inlineStr">
        <is>
          <t>SOYBEAN MEAL (ARG)</t>
        </is>
      </c>
      <c r="C220" s="9" t="inlineStr">
        <is>
          <t>KG</t>
        </is>
      </c>
      <c r="D220" s="9" t="n">
        <v>2200</v>
      </c>
    </row>
    <row r="221">
      <c r="B221" s="9" t="inlineStr">
        <is>
          <t>MEAT AND BONE MEAL</t>
        </is>
      </c>
      <c r="C221" s="9" t="inlineStr">
        <is>
          <t>KG</t>
        </is>
      </c>
      <c r="D221" s="9" t="n">
        <v>566.3</v>
      </c>
    </row>
    <row r="222">
      <c r="B222" s="9" t="inlineStr">
        <is>
          <t>CORN GLUTEN MEAL</t>
        </is>
      </c>
      <c r="C222" s="9" t="inlineStr">
        <is>
          <t>KG</t>
        </is>
      </c>
      <c r="D222" s="9" t="n">
        <v>1257.7</v>
      </c>
    </row>
    <row r="223">
      <c r="B223" s="9" t="inlineStr">
        <is>
          <t>Reason: Cut off</t>
        </is>
      </c>
    </row>
    <row r="224"/>
    <row r="225">
      <c r="B225" s="9" t="inlineStr">
        <is>
          <t>PREMIX 1103 (20KG)</t>
        </is>
      </c>
      <c r="C225" s="9" t="inlineStr">
        <is>
          <t>KG</t>
        </is>
      </c>
      <c r="D225" s="9" t="n">
        <v>4000</v>
      </c>
    </row>
    <row r="226">
      <c r="B226" s="9" t="inlineStr">
        <is>
          <t>PREMIX 8100 (20KG)</t>
        </is>
      </c>
      <c r="C226" s="9" t="inlineStr">
        <is>
          <t>KG</t>
        </is>
      </c>
      <c r="D226" s="9" t="n">
        <v>500</v>
      </c>
    </row>
    <row r="227">
      <c r="B227" s="9" t="inlineStr">
        <is>
          <t>PREMIX 8101 (20KG)</t>
        </is>
      </c>
      <c r="C227" s="9" t="inlineStr">
        <is>
          <t>KG</t>
        </is>
      </c>
      <c r="D227" s="9" t="n">
        <v>2140</v>
      </c>
    </row>
    <row r="228">
      <c r="B228" s="9" t="inlineStr">
        <is>
          <t>PREMIX 8102 (20KG)</t>
        </is>
      </c>
      <c r="C228" s="9" t="inlineStr">
        <is>
          <t>KG</t>
        </is>
      </c>
      <c r="D228" s="9" t="n">
        <v>2520</v>
      </c>
    </row>
    <row r="229">
      <c r="B229" s="9" t="inlineStr">
        <is>
          <t>Reason: Stock Transferred from Liang Teik</t>
        </is>
      </c>
    </row>
    <row r="230">
      <c r="B230" s="9" t="inlineStr">
        <is>
          <t>PPSB00817/DO15247                       7/1/2026</t>
        </is>
      </c>
    </row>
    <row r="231"/>
    <row r="232">
      <c r="B232" s="9" t="inlineStr">
        <is>
          <t>Remark for adjustment (-)</t>
        </is>
      </c>
    </row>
    <row r="233">
      <c r="B233" s="9" t="inlineStr">
        <is>
          <t>MAIZE/CORN</t>
        </is>
      </c>
      <c r="C233" s="9" t="inlineStr">
        <is>
          <t>KG</t>
        </is>
      </c>
      <c r="D233" s="9" t="n">
        <v>-4346.4</v>
      </c>
    </row>
    <row r="234">
      <c r="B234" s="9" t="inlineStr">
        <is>
          <t>Reason: Cut off</t>
        </is>
      </c>
    </row>
    <row r="235"/>
    <row r="236"/>
    <row r="237"/>
    <row r="238"/>
    <row r="239"/>
    <row r="240"/>
    <row r="241"/>
    <row r="242"/>
    <row r="243"/>
    <row r="244">
      <c r="B244" s="9" t="inlineStr">
        <is>
          <t>Prepared by: ______________</t>
        </is>
      </c>
      <c r="G244" s="9" t="inlineStr">
        <is>
          <t xml:space="preserve">   Approved by: ______________</t>
        </is>
      </c>
    </row>
    <row r="245"/>
    <row r="246">
      <c r="H246" s="9" t="inlineStr">
        <is>
          <t>Revised Date: 28/04/2026</t>
        </is>
      </c>
    </row>
    <row r="247">
      <c r="B247" s="9" t="inlineStr">
        <is>
          <t>HARUMI Stock - JAN 2026</t>
        </is>
      </c>
    </row>
    <row r="248">
      <c r="A248" s="9" t="inlineStr">
        <is>
          <t>No</t>
        </is>
      </c>
      <c r="B248" s="9" t="inlineStr">
        <is>
          <t>Description</t>
        </is>
      </c>
      <c r="C248" s="9" t="inlineStr">
        <is>
          <t>UOM</t>
        </is>
      </c>
      <c r="D248" s="9" t="inlineStr">
        <is>
          <t>Opening</t>
        </is>
      </c>
      <c r="E248" s="9" t="inlineStr">
        <is>
          <t>Receiving</t>
        </is>
      </c>
      <c r="F248" s="9" t="inlineStr">
        <is>
          <t>Usage</t>
        </is>
      </c>
      <c r="G248" s="9" t="inlineStr">
        <is>
          <t>Adjustment</t>
        </is>
      </c>
      <c r="H248" s="9" t="inlineStr">
        <is>
          <t>Bal (KG)</t>
        </is>
      </c>
    </row>
    <row r="249">
      <c r="B249" s="9" t="inlineStr">
        <is>
          <t>RAW MATERIAL</t>
        </is>
      </c>
    </row>
    <row r="250">
      <c r="A250" s="9" t="n">
        <v>1</v>
      </c>
      <c r="B250" s="9" t="inlineStr">
        <is>
          <t>MAIZE/CORN</t>
        </is>
      </c>
      <c r="C250" s="9" t="inlineStr">
        <is>
          <t>KG</t>
        </is>
      </c>
      <c r="D250" s="9" t="n">
        <v>47850.2</v>
      </c>
      <c r="E250" s="9" t="n">
        <v>1015280</v>
      </c>
      <c r="F250" s="9" t="n">
        <v>816995.6</v>
      </c>
      <c r="G250" s="9" t="n">
        <v>-4346.4</v>
      </c>
      <c r="H250" s="9" t="n">
        <v>241788.2</v>
      </c>
    </row>
    <row r="251">
      <c r="A251" s="9" t="n">
        <v>2</v>
      </c>
      <c r="B251" s="9" t="inlineStr">
        <is>
          <t>SOYBEAN MEAL (ARG)</t>
        </is>
      </c>
      <c r="C251" s="9" t="inlineStr">
        <is>
          <t>KG</t>
        </is>
      </c>
      <c r="D251" s="9" t="n">
        <v>8696.200000000001</v>
      </c>
      <c r="E251" s="9" t="n">
        <v>359610</v>
      </c>
      <c r="F251" s="9" t="n">
        <v>321757.9999999999</v>
      </c>
      <c r="G251" s="9" t="n">
        <v>2200</v>
      </c>
      <c r="H251" s="9" t="n">
        <v>48748.20000000007</v>
      </c>
    </row>
    <row r="252">
      <c r="A252" s="9" t="n">
        <v>3</v>
      </c>
      <c r="B252" s="9" t="inlineStr">
        <is>
          <t>SOYBEAN FULL FAT</t>
        </is>
      </c>
      <c r="C252" s="9" t="inlineStr">
        <is>
          <t>KG</t>
        </is>
      </c>
      <c r="D252" s="9" t="n">
        <v>40371.3</v>
      </c>
      <c r="E252" s="9" t="n">
        <v>90340</v>
      </c>
      <c r="F252" s="9" t="n">
        <v>80826.30000000003</v>
      </c>
      <c r="H252" s="9" t="n">
        <v>49884.99999999996</v>
      </c>
    </row>
    <row r="253">
      <c r="A253" s="9" t="n">
        <v>4</v>
      </c>
      <c r="B253" s="9" t="inlineStr">
        <is>
          <t>WHEAT POLLARD</t>
        </is>
      </c>
      <c r="C253" s="9" t="inlineStr">
        <is>
          <t>KG</t>
        </is>
      </c>
      <c r="D253" s="9" t="n">
        <v>33793.70000000001</v>
      </c>
      <c r="E253" s="9" t="n">
        <v>86570</v>
      </c>
      <c r="F253" s="9" t="n">
        <v>67591.5</v>
      </c>
      <c r="H253" s="9" t="n">
        <v>52772.20000000001</v>
      </c>
    </row>
    <row r="254">
      <c r="A254" s="9" t="n">
        <v>5</v>
      </c>
      <c r="B254" s="9" t="inlineStr">
        <is>
          <t>MEAT AND BONE MEAL</t>
        </is>
      </c>
      <c r="C254" s="9" t="inlineStr">
        <is>
          <t>KG</t>
        </is>
      </c>
      <c r="D254" s="9" t="n">
        <v>29510.09999999999</v>
      </c>
      <c r="E254" s="9" t="n">
        <v>31030</v>
      </c>
      <c r="F254" s="9" t="n">
        <v>26789.69999999999</v>
      </c>
      <c r="G254" s="9" t="n">
        <v>566.3</v>
      </c>
      <c r="H254" s="9" t="n">
        <v>34316.7</v>
      </c>
    </row>
    <row r="255">
      <c r="A255" s="9" t="n">
        <v>6</v>
      </c>
      <c r="B255" s="9" t="inlineStr">
        <is>
          <t>CORN GLUTEN MEAL</t>
        </is>
      </c>
      <c r="C255" s="9" t="inlineStr">
        <is>
          <t>KG</t>
        </is>
      </c>
      <c r="D255" s="9" t="n">
        <v>6360.000000000007</v>
      </c>
      <c r="E255" s="9" t="n">
        <v>44180</v>
      </c>
      <c r="F255" s="9" t="n">
        <v>29873.6</v>
      </c>
      <c r="G255" s="9" t="n">
        <v>1257.7</v>
      </c>
      <c r="H255" s="9" t="n">
        <v>21924.10000000001</v>
      </c>
    </row>
    <row r="256">
      <c r="A256" s="9" t="n">
        <v>7</v>
      </c>
      <c r="B256" s="9" t="inlineStr">
        <is>
          <t>MEGAFAT</t>
        </is>
      </c>
      <c r="C256" s="9" t="inlineStr">
        <is>
          <t>KG</t>
        </is>
      </c>
      <c r="D256" s="9" t="n">
        <v>0</v>
      </c>
      <c r="E256" s="9" t="n">
        <v>28058.4</v>
      </c>
      <c r="F256" s="9" t="n">
        <v>28058.4</v>
      </c>
      <c r="H256" s="9" t="n">
        <v>0</v>
      </c>
    </row>
    <row r="257">
      <c r="A257" s="9" t="n">
        <v>8</v>
      </c>
      <c r="B257" s="9" t="inlineStr">
        <is>
          <t>DCP 18%</t>
        </is>
      </c>
      <c r="C257" s="9" t="inlineStr">
        <is>
          <t>KG</t>
        </is>
      </c>
      <c r="D257" s="9" t="n">
        <v>512.5</v>
      </c>
      <c r="E257" s="9" t="n">
        <v>3000</v>
      </c>
      <c r="F257" s="9" t="n">
        <v>228</v>
      </c>
      <c r="H257" s="9" t="n">
        <v>3284.5</v>
      </c>
    </row>
    <row r="258">
      <c r="A258" s="9" t="n">
        <v>9</v>
      </c>
      <c r="B258" s="9" t="inlineStr">
        <is>
          <t xml:space="preserve">LIMESTONE POWDER </t>
        </is>
      </c>
      <c r="C258" s="9" t="inlineStr">
        <is>
          <t>KG</t>
        </is>
      </c>
      <c r="D258" s="9" t="n">
        <v>0</v>
      </c>
      <c r="E258" s="9" t="n">
        <v>896.8</v>
      </c>
      <c r="F258" s="9" t="n">
        <v>896.8</v>
      </c>
      <c r="H258" s="9" t="n">
        <v>0</v>
      </c>
    </row>
    <row r="259">
      <c r="A259" s="9" t="n">
        <v>10</v>
      </c>
      <c r="B259" s="9" t="inlineStr">
        <is>
          <t>RICE BRAN</t>
        </is>
      </c>
      <c r="C259" s="9" t="inlineStr">
        <is>
          <t>KG</t>
        </is>
      </c>
      <c r="D259" s="9" t="n">
        <v>31341.2</v>
      </c>
      <c r="E259" s="9" t="n">
        <v>0</v>
      </c>
      <c r="F259" s="9" t="n">
        <v>9168.4</v>
      </c>
      <c r="H259" s="9" t="n">
        <v>22172.8</v>
      </c>
    </row>
    <row r="260"/>
    <row r="261">
      <c r="B261" s="9" t="inlineStr">
        <is>
          <t>PREMIX &amp; ADDITIVES</t>
        </is>
      </c>
    </row>
    <row r="262">
      <c r="A262" s="9" t="n">
        <v>1</v>
      </c>
      <c r="B262" s="9" t="inlineStr">
        <is>
          <t>PREMIX 1101 (20KG)</t>
        </is>
      </c>
      <c r="C262" s="9" t="inlineStr">
        <is>
          <t>KG</t>
        </is>
      </c>
      <c r="D262" s="9" t="n">
        <v>3540</v>
      </c>
      <c r="E262" s="9" t="n">
        <v>0</v>
      </c>
      <c r="F262" s="9" t="n">
        <v>0</v>
      </c>
      <c r="H262" s="9" t="n">
        <v>3540</v>
      </c>
    </row>
    <row r="263">
      <c r="A263" s="9" t="n">
        <v>2</v>
      </c>
      <c r="B263" s="9" t="inlineStr">
        <is>
          <t>PREMIX 1102 (20KG)</t>
        </is>
      </c>
      <c r="C263" s="9" t="inlineStr">
        <is>
          <t>KG</t>
        </is>
      </c>
      <c r="D263" s="9" t="n">
        <v>1960</v>
      </c>
      <c r="E263" s="9" t="n">
        <v>2000</v>
      </c>
      <c r="F263" s="9" t="n">
        <v>0</v>
      </c>
      <c r="H263" s="9" t="n">
        <v>3960</v>
      </c>
    </row>
    <row r="264">
      <c r="A264" s="9" t="n">
        <v>3</v>
      </c>
      <c r="B264" s="9" t="inlineStr">
        <is>
          <t>PREMIX 1103 (20KG)</t>
        </is>
      </c>
      <c r="C264" s="9" t="inlineStr">
        <is>
          <t>KG</t>
        </is>
      </c>
      <c r="D264" s="9" t="n">
        <v>2960</v>
      </c>
      <c r="E264" s="9" t="n">
        <v>4000</v>
      </c>
      <c r="F264" s="9" t="n">
        <v>7720</v>
      </c>
      <c r="G264" s="9" t="n">
        <v>4000</v>
      </c>
      <c r="H264" s="9" t="n">
        <v>3240</v>
      </c>
    </row>
    <row r="265">
      <c r="A265" s="9" t="n">
        <v>4</v>
      </c>
      <c r="B265" s="9" t="inlineStr">
        <is>
          <t>PREMIX 8100 (20KG)</t>
        </is>
      </c>
      <c r="C265" s="9" t="inlineStr">
        <is>
          <t>KG</t>
        </is>
      </c>
      <c r="D265" s="9" t="n">
        <v>3980</v>
      </c>
      <c r="E265" s="9" t="n">
        <v>4000</v>
      </c>
      <c r="F265" s="9" t="n">
        <v>3040</v>
      </c>
      <c r="G265" s="9" t="n">
        <v>500</v>
      </c>
      <c r="H265" s="9" t="n">
        <v>5440</v>
      </c>
    </row>
    <row r="266">
      <c r="A266" s="9" t="n">
        <v>5</v>
      </c>
      <c r="B266" s="9" t="inlineStr">
        <is>
          <t>PREMIX 8101 (20KG)</t>
        </is>
      </c>
      <c r="C266" s="9" t="inlineStr">
        <is>
          <t>KG</t>
        </is>
      </c>
      <c r="D266" s="9" t="n">
        <v>2960</v>
      </c>
      <c r="E266" s="9" t="n">
        <v>0</v>
      </c>
      <c r="F266" s="9" t="n">
        <v>0</v>
      </c>
      <c r="G266" s="9" t="n">
        <v>2140</v>
      </c>
      <c r="H266" s="9" t="n">
        <v>5100</v>
      </c>
    </row>
    <row r="267">
      <c r="A267" s="9" t="n">
        <v>6</v>
      </c>
      <c r="B267" s="9" t="inlineStr">
        <is>
          <t>PREMIX 8102 (20KG)</t>
        </is>
      </c>
      <c r="C267" s="9" t="inlineStr">
        <is>
          <t>KG</t>
        </is>
      </c>
      <c r="D267" s="9" t="n">
        <v>2040</v>
      </c>
      <c r="E267" s="9" t="n">
        <v>22000</v>
      </c>
      <c r="F267" s="9" t="n">
        <v>10320</v>
      </c>
      <c r="G267" s="9" t="n">
        <v>2520</v>
      </c>
      <c r="H267" s="9" t="n">
        <v>16240</v>
      </c>
    </row>
    <row r="268">
      <c r="A268" s="9" t="n">
        <v>7</v>
      </c>
      <c r="B268" s="9" t="inlineStr">
        <is>
          <t>PREMIX 8103 (20KG)</t>
        </is>
      </c>
      <c r="C268" s="9" t="inlineStr">
        <is>
          <t>KG</t>
        </is>
      </c>
      <c r="D268" s="9" t="n">
        <v>7520</v>
      </c>
      <c r="E268" s="9" t="n">
        <v>12000</v>
      </c>
      <c r="F268" s="9" t="n">
        <v>6400</v>
      </c>
      <c r="H268" s="9" t="n">
        <v>13120</v>
      </c>
    </row>
    <row r="269">
      <c r="A269" s="9" t="n">
        <v>8</v>
      </c>
      <c r="B269" s="9" t="inlineStr">
        <is>
          <t>PREMIX 8108 (20KG)</t>
        </is>
      </c>
      <c r="C269" s="9" t="inlineStr">
        <is>
          <t>KG</t>
        </is>
      </c>
      <c r="D269" s="9" t="n">
        <v>6800</v>
      </c>
      <c r="E269" s="9" t="n">
        <v>0</v>
      </c>
      <c r="F269" s="9" t="n">
        <v>0</v>
      </c>
      <c r="H269" s="9" t="n">
        <v>6800</v>
      </c>
    </row>
    <row r="270">
      <c r="A270" s="9" t="n">
        <v>9</v>
      </c>
      <c r="B270" s="9" t="inlineStr">
        <is>
          <t>PREMIX 8109 (20KG)</t>
        </is>
      </c>
      <c r="C270" s="9" t="inlineStr">
        <is>
          <t>KG</t>
        </is>
      </c>
      <c r="D270" s="9" t="n">
        <v>4400</v>
      </c>
      <c r="E270" s="9" t="n">
        <v>1000</v>
      </c>
      <c r="F270" s="9" t="n">
        <v>0</v>
      </c>
      <c r="H270" s="9" t="n">
        <v>5400</v>
      </c>
    </row>
    <row r="271">
      <c r="A271" s="9" t="n">
        <v>10</v>
      </c>
      <c r="B271" s="9" t="inlineStr">
        <is>
          <t>YENMIX 121 (20KG)</t>
        </is>
      </c>
      <c r="C271" s="9" t="inlineStr">
        <is>
          <t>KG</t>
        </is>
      </c>
      <c r="D271" s="9" t="n">
        <v>0</v>
      </c>
      <c r="E271" s="9" t="n">
        <v>2260</v>
      </c>
      <c r="F271" s="9" t="n">
        <v>0</v>
      </c>
      <c r="H271" s="9" t="n">
        <v>2260</v>
      </c>
    </row>
    <row r="272">
      <c r="A272" s="9" t="n">
        <v>11</v>
      </c>
      <c r="B272" s="9" t="inlineStr">
        <is>
          <t>TOXISORB PREMIUM</t>
        </is>
      </c>
      <c r="C272" s="9" t="inlineStr">
        <is>
          <t>KG</t>
        </is>
      </c>
      <c r="D272" s="9" t="n">
        <v>1531</v>
      </c>
      <c r="E272" s="9" t="n">
        <v>1000</v>
      </c>
      <c r="F272" s="9" t="n">
        <v>562</v>
      </c>
      <c r="H272" s="9" t="n">
        <v>1969</v>
      </c>
    </row>
    <row r="273">
      <c r="A273" s="9" t="n">
        <v>12</v>
      </c>
      <c r="B273" s="9" t="inlineStr">
        <is>
          <t>SODIUM HUMATE 3.8%</t>
        </is>
      </c>
      <c r="C273" s="9" t="inlineStr">
        <is>
          <t>KG</t>
        </is>
      </c>
      <c r="D273" s="9" t="n">
        <v>0</v>
      </c>
      <c r="E273" s="9" t="n">
        <v>2994</v>
      </c>
      <c r="F273" s="9" t="n">
        <v>2994</v>
      </c>
      <c r="H273" s="9" t="n">
        <v>0</v>
      </c>
    </row>
    <row r="274">
      <c r="A274" s="9" t="n">
        <v>13</v>
      </c>
      <c r="B274" s="9" t="inlineStr">
        <is>
          <t>BMD 10%</t>
        </is>
      </c>
      <c r="C274" s="9" t="inlineStr">
        <is>
          <t>KG</t>
        </is>
      </c>
      <c r="D274" s="9" t="n">
        <v>35.19999999999999</v>
      </c>
      <c r="E274" s="9" t="n">
        <v>2100</v>
      </c>
      <c r="F274" s="9" t="n">
        <v>456</v>
      </c>
      <c r="G274" s="9" t="n">
        <v>1.3</v>
      </c>
      <c r="H274" s="9" t="n">
        <v>1680.5</v>
      </c>
    </row>
    <row r="275">
      <c r="A275" s="9" t="n">
        <v>14</v>
      </c>
      <c r="B275" s="9" t="inlineStr">
        <is>
          <t>SALT</t>
        </is>
      </c>
      <c r="C275" s="9" t="inlineStr">
        <is>
          <t>KG</t>
        </is>
      </c>
      <c r="D275" s="9" t="n">
        <v>-319.6</v>
      </c>
      <c r="E275" s="9" t="n">
        <v>0</v>
      </c>
      <c r="F275" s="9" t="n">
        <v>0</v>
      </c>
      <c r="G275" s="9" t="n">
        <v>361.2</v>
      </c>
      <c r="H275" s="9" t="n">
        <v>41.60000000000002</v>
      </c>
    </row>
    <row r="276">
      <c r="A276" s="9" t="n">
        <v>15</v>
      </c>
      <c r="B276" s="9" t="inlineStr">
        <is>
          <t>VISTABET 91</t>
        </is>
      </c>
      <c r="C276" s="9" t="inlineStr">
        <is>
          <t>KG</t>
        </is>
      </c>
      <c r="D276" s="9" t="n">
        <v>349</v>
      </c>
      <c r="F276" s="9" t="n">
        <v>349</v>
      </c>
      <c r="H276" s="9" t="n">
        <v>0</v>
      </c>
    </row>
    <row r="277">
      <c r="A277" s="9" t="n">
        <v>16</v>
      </c>
      <c r="B277" s="9" t="inlineStr">
        <is>
          <t>BETAFIN</t>
        </is>
      </c>
      <c r="C277" s="9" t="inlineStr">
        <is>
          <t>KG</t>
        </is>
      </c>
      <c r="D277" s="9" t="n">
        <v>0</v>
      </c>
      <c r="E277" s="9" t="n">
        <v>806</v>
      </c>
      <c r="F277" s="9" t="n">
        <v>806</v>
      </c>
      <c r="H277" s="9" t="n">
        <v>0</v>
      </c>
    </row>
    <row r="278">
      <c r="A278" s="9" t="n">
        <v>17</v>
      </c>
      <c r="B278" s="9" t="inlineStr">
        <is>
          <t>8101 TOP UP</t>
        </is>
      </c>
      <c r="C278" s="9" t="inlineStr">
        <is>
          <t>KG</t>
        </is>
      </c>
      <c r="D278" s="9" t="n">
        <v>160</v>
      </c>
      <c r="E278" s="9" t="n">
        <v>0</v>
      </c>
      <c r="F278" s="9" t="n">
        <v>0</v>
      </c>
      <c r="H278" s="9" t="n">
        <v>160</v>
      </c>
    </row>
    <row r="279">
      <c r="A279" s="9" t="n">
        <v>18</v>
      </c>
      <c r="B279" s="9" t="inlineStr">
        <is>
          <t>NORPONIN X03 (8102 TOP UP)</t>
        </is>
      </c>
      <c r="C279" s="9" t="inlineStr">
        <is>
          <t>KG</t>
        </is>
      </c>
      <c r="D279" s="9" t="n">
        <v>13.96000000000004</v>
      </c>
      <c r="E279" s="9" t="n">
        <v>0</v>
      </c>
      <c r="F279" s="9" t="n">
        <v>0</v>
      </c>
      <c r="H279" s="9" t="n">
        <v>13.96000000000004</v>
      </c>
    </row>
    <row r="280">
      <c r="A280" s="9" t="n">
        <v>19</v>
      </c>
      <c r="B280" s="9" t="inlineStr">
        <is>
          <t>L-ARGININE</t>
        </is>
      </c>
      <c r="C280" s="9" t="inlineStr">
        <is>
          <t>KG</t>
        </is>
      </c>
      <c r="D280" s="9" t="n">
        <v>207.6</v>
      </c>
      <c r="E280" s="9" t="n">
        <v>0</v>
      </c>
      <c r="F280" s="9" t="n">
        <v>0</v>
      </c>
      <c r="H280" s="9" t="n">
        <v>207.6</v>
      </c>
    </row>
    <row r="281">
      <c r="A281" s="9" t="n">
        <v>20</v>
      </c>
      <c r="B281" s="9" t="inlineStr">
        <is>
          <t>DL-METHIONINE</t>
        </is>
      </c>
      <c r="C281" s="9" t="inlineStr">
        <is>
          <t>KG</t>
        </is>
      </c>
      <c r="D281" s="9" t="n">
        <v>201.8</v>
      </c>
      <c r="E281" s="9" t="n">
        <v>0</v>
      </c>
      <c r="F281" s="9" t="n">
        <v>0</v>
      </c>
      <c r="H281" s="9" t="n">
        <v>201.8</v>
      </c>
    </row>
    <row r="282">
      <c r="A282" s="9" t="n">
        <v>21</v>
      </c>
      <c r="B282" s="9" t="inlineStr">
        <is>
          <t>L-THREONINE</t>
        </is>
      </c>
      <c r="C282" s="9" t="inlineStr">
        <is>
          <t>KG</t>
        </is>
      </c>
      <c r="D282" s="9" t="n">
        <v>22.72</v>
      </c>
      <c r="E282" s="9" t="n">
        <v>0</v>
      </c>
      <c r="F282" s="9" t="n">
        <v>0</v>
      </c>
      <c r="H282" s="9" t="n">
        <v>22.72</v>
      </c>
    </row>
    <row r="283">
      <c r="A283" s="9" t="n">
        <v>22</v>
      </c>
      <c r="B283" s="9" t="inlineStr">
        <is>
          <t>ADDITIVE BROILER IMMUNE</t>
        </is>
      </c>
      <c r="C283" s="9" t="inlineStr">
        <is>
          <t>KG</t>
        </is>
      </c>
      <c r="D283" s="9" t="n">
        <v>0</v>
      </c>
      <c r="E283" s="9" t="n">
        <v>270</v>
      </c>
      <c r="F283" s="9" t="n">
        <v>0</v>
      </c>
      <c r="H283" s="9" t="n">
        <v>270</v>
      </c>
    </row>
    <row r="284"/>
    <row r="285">
      <c r="B285" s="9" t="inlineStr">
        <is>
          <t>PACKING MATERIALS</t>
        </is>
      </c>
    </row>
    <row r="286">
      <c r="A286" s="9" t="n">
        <v>1</v>
      </c>
      <c r="B286" s="9" t="inlineStr">
        <is>
          <t>WOVEN BAG (1101) - BLUE 50KG</t>
        </is>
      </c>
      <c r="C286" s="9" t="inlineStr">
        <is>
          <t>PCS</t>
        </is>
      </c>
      <c r="D286" s="9" t="n">
        <v>5877</v>
      </c>
      <c r="E286" s="9" t="n">
        <v>4063</v>
      </c>
      <c r="F286" s="9" t="n">
        <v>331</v>
      </c>
      <c r="H286" s="9" t="n">
        <v>9609</v>
      </c>
    </row>
    <row r="287">
      <c r="A287" s="9" t="n">
        <v>2</v>
      </c>
      <c r="B287" s="9" t="inlineStr">
        <is>
          <t>WOVEN BAG (1102) - GREEN 50KG</t>
        </is>
      </c>
      <c r="C287" s="9" t="inlineStr">
        <is>
          <t>PCS</t>
        </is>
      </c>
      <c r="D287" s="9" t="n">
        <v>5267</v>
      </c>
      <c r="E287" s="9" t="n">
        <v>2882</v>
      </c>
      <c r="F287" s="9" t="n">
        <v>0</v>
      </c>
      <c r="H287" s="9" t="n">
        <v>8149</v>
      </c>
    </row>
    <row r="288">
      <c r="A288" s="9" t="n">
        <v>3</v>
      </c>
      <c r="B288" s="9" t="inlineStr">
        <is>
          <t>WOVEN BAG (1103) - RED 50KG</t>
        </is>
      </c>
      <c r="C288" s="9" t="inlineStr">
        <is>
          <t>PCS</t>
        </is>
      </c>
      <c r="D288" s="9" t="n">
        <v>4457</v>
      </c>
      <c r="E288" s="9" t="n">
        <v>4347</v>
      </c>
      <c r="F288" s="9" t="n">
        <v>7893</v>
      </c>
      <c r="H288" s="9" t="n">
        <v>911</v>
      </c>
    </row>
    <row r="289">
      <c r="A289" s="9" t="n">
        <v>4</v>
      </c>
      <c r="B289" s="9" t="inlineStr">
        <is>
          <t>PLAIN BAG 26" X 39" (50KG)</t>
        </is>
      </c>
      <c r="C289" s="9" t="inlineStr">
        <is>
          <t>PCS</t>
        </is>
      </c>
      <c r="D289" s="9" t="n">
        <v>6772</v>
      </c>
      <c r="E289" s="9" t="n">
        <v>3000</v>
      </c>
      <c r="F289" s="9" t="n">
        <v>3532</v>
      </c>
      <c r="H289" s="9" t="n">
        <v>6240</v>
      </c>
    </row>
    <row r="290">
      <c r="A290" s="9" t="n">
        <v>5</v>
      </c>
      <c r="B290" s="9" t="inlineStr">
        <is>
          <t>WOVEN BAG (8101) - KHAKI 50KG</t>
        </is>
      </c>
      <c r="C290" s="9" t="inlineStr">
        <is>
          <t>PCS</t>
        </is>
      </c>
      <c r="D290" s="9" t="n">
        <v>1901</v>
      </c>
      <c r="E290" s="9" t="n">
        <v>0</v>
      </c>
      <c r="F290" s="9" t="n">
        <v>0</v>
      </c>
      <c r="H290" s="9" t="n">
        <v>1901</v>
      </c>
    </row>
    <row r="291">
      <c r="A291" s="9" t="n">
        <v>6</v>
      </c>
      <c r="B291" s="9" t="inlineStr">
        <is>
          <t>WOVEN BAG (8102) - SKY BLUE 50KG</t>
        </is>
      </c>
      <c r="C291" s="9" t="inlineStr">
        <is>
          <t>PCS</t>
        </is>
      </c>
      <c r="D291" s="9" t="n">
        <v>4175</v>
      </c>
      <c r="E291" s="9" t="n">
        <v>0</v>
      </c>
      <c r="F291" s="9" t="n">
        <v>2290</v>
      </c>
      <c r="H291" s="9" t="n">
        <v>1885</v>
      </c>
    </row>
    <row r="292"/>
    <row r="293">
      <c r="B293" s="9" t="inlineStr">
        <is>
          <t>TOTAL</t>
        </is>
      </c>
      <c r="D293" s="9" t="n">
        <v>265245.88</v>
      </c>
      <c r="E293" s="9" t="n">
        <v>1727687.2</v>
      </c>
      <c r="F293" s="9" t="n">
        <v>1428879.3</v>
      </c>
      <c r="G293" s="9" t="n">
        <v>9200.1</v>
      </c>
      <c r="H293" s="9" t="n">
        <v>573253.8799999999</v>
      </c>
    </row>
    <row r="294"/>
    <row r="295">
      <c r="B295" s="9" t="inlineStr">
        <is>
          <t>Remark for adjustment (+)</t>
        </is>
      </c>
    </row>
    <row r="296">
      <c r="B296" s="9" t="inlineStr">
        <is>
          <t>SOYBEAN MEAL (ARG)</t>
        </is>
      </c>
      <c r="C296" s="9" t="inlineStr">
        <is>
          <t>KG</t>
        </is>
      </c>
      <c r="D296" s="9" t="n">
        <v>2200</v>
      </c>
    </row>
    <row r="297">
      <c r="B297" s="9" t="inlineStr">
        <is>
          <t>MEAT AND BONE MEAL</t>
        </is>
      </c>
      <c r="C297" s="9" t="inlineStr">
        <is>
          <t>KG</t>
        </is>
      </c>
      <c r="D297" s="9" t="n">
        <v>566.3</v>
      </c>
    </row>
    <row r="298">
      <c r="B298" s="9" t="inlineStr">
        <is>
          <t>CORN GLUTEN MEAL</t>
        </is>
      </c>
      <c r="C298" s="9" t="inlineStr">
        <is>
          <t>KG</t>
        </is>
      </c>
      <c r="D298" s="9" t="n">
        <v>1257.7</v>
      </c>
    </row>
    <row r="299">
      <c r="B299" s="9" t="inlineStr">
        <is>
          <t>BMD 10%</t>
        </is>
      </c>
      <c r="C299" s="9" t="inlineStr">
        <is>
          <t>KG</t>
        </is>
      </c>
      <c r="D299" s="9" t="n">
        <v>1.3</v>
      </c>
    </row>
    <row r="300">
      <c r="B300" s="9" t="inlineStr">
        <is>
          <t>SALT</t>
        </is>
      </c>
      <c r="C300" s="9" t="inlineStr">
        <is>
          <t>KG</t>
        </is>
      </c>
      <c r="D300" s="9" t="n">
        <v>361.2</v>
      </c>
    </row>
    <row r="301">
      <c r="B301" s="9" t="inlineStr">
        <is>
          <t>Reason: Cut off</t>
        </is>
      </c>
    </row>
    <row r="302"/>
    <row r="303">
      <c r="B303" s="9" t="inlineStr">
        <is>
          <t>PREMIX 1103 (20KG)</t>
        </is>
      </c>
      <c r="C303" s="9" t="inlineStr">
        <is>
          <t>KG</t>
        </is>
      </c>
      <c r="D303" s="9" t="n">
        <v>4000</v>
      </c>
    </row>
    <row r="304">
      <c r="B304" s="9" t="inlineStr">
        <is>
          <t>PREMIX 8100 (20KG)</t>
        </is>
      </c>
      <c r="C304" s="9" t="inlineStr">
        <is>
          <t>KG</t>
        </is>
      </c>
      <c r="D304" s="9" t="n">
        <v>500</v>
      </c>
    </row>
    <row r="305">
      <c r="B305" s="9" t="inlineStr">
        <is>
          <t>PREMIX 8101 (20KG)</t>
        </is>
      </c>
      <c r="C305" s="9" t="inlineStr">
        <is>
          <t>KG</t>
        </is>
      </c>
      <c r="D305" s="9" t="n">
        <v>2140</v>
      </c>
    </row>
    <row r="306">
      <c r="B306" s="9" t="inlineStr">
        <is>
          <t>PREMIX 8102 (20KG)</t>
        </is>
      </c>
      <c r="C306" s="9" t="inlineStr">
        <is>
          <t>KG</t>
        </is>
      </c>
      <c r="D306" s="9" t="n">
        <v>2520</v>
      </c>
    </row>
    <row r="307">
      <c r="B307" s="9" t="inlineStr">
        <is>
          <t>Reason: Stock Transferred from Liang Teik</t>
        </is>
      </c>
    </row>
    <row r="308">
      <c r="B308" s="9" t="inlineStr">
        <is>
          <t>PPSB00817/DO15247                       7/1/2026</t>
        </is>
      </c>
    </row>
    <row r="309"/>
    <row r="310">
      <c r="B310" s="9" t="inlineStr">
        <is>
          <t>Remark for adjustment (-)</t>
        </is>
      </c>
    </row>
    <row r="311">
      <c r="B311" s="9" t="inlineStr">
        <is>
          <t>MAIZE/CORN</t>
        </is>
      </c>
      <c r="C311" s="9" t="inlineStr">
        <is>
          <t>KG</t>
        </is>
      </c>
      <c r="D311" s="9" t="n">
        <v>-4346.4</v>
      </c>
    </row>
    <row r="312">
      <c r="B312" s="9" t="inlineStr">
        <is>
          <t>Reason: Cut off</t>
        </is>
      </c>
    </row>
    <row r="313"/>
    <row r="314"/>
    <row r="315"/>
    <row r="316"/>
    <row r="317"/>
    <row r="318"/>
    <row r="319"/>
    <row r="320"/>
    <row r="321"/>
    <row r="322">
      <c r="B322" s="9" t="inlineStr">
        <is>
          <t>Prepared by: ______________</t>
        </is>
      </c>
      <c r="G322" s="9" t="inlineStr">
        <is>
          <t xml:space="preserve">   Approved by: ______________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1" customWidth="1" min="4" max="4"/>
    <col width="21" customWidth="1" min="5" max="5"/>
    <col width="21" customWidth="1" min="6" max="6"/>
    <col width="22" customWidth="1" min="7" max="7"/>
    <col width="26" customWidth="1" min="8" max="8"/>
    <col width="21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5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FEB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241788.2</v>
      </c>
      <c r="E4" s="9" t="n">
        <v>573310</v>
      </c>
      <c r="F4" s="9" t="n">
        <v>693552.5999999999</v>
      </c>
      <c r="G4" s="9" t="n">
        <v>-29930.8</v>
      </c>
      <c r="H4" s="9" t="n">
        <v>91614.80000000002</v>
      </c>
      <c r="O4" s="9" t="n">
        <v>-91614.80000000002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48748.2</v>
      </c>
      <c r="E5" s="9" t="n">
        <v>337880</v>
      </c>
      <c r="F5" s="9" t="n">
        <v>320855.5</v>
      </c>
      <c r="G5" s="9" t="n">
        <v>-676.1000000000195</v>
      </c>
      <c r="H5" s="9" t="n">
        <v>65096.60000000003</v>
      </c>
      <c r="O5" s="9" t="n">
        <v>-65096.60000000003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49884.99999999999</v>
      </c>
      <c r="E6" s="9" t="n">
        <v>81220.5</v>
      </c>
      <c r="F6" s="9" t="n">
        <v>82722</v>
      </c>
      <c r="G6" s="9" t="n">
        <v>-10.70000000000562</v>
      </c>
      <c r="H6" s="9" t="n">
        <v>48372.79999999997</v>
      </c>
      <c r="O6" s="9" t="n">
        <v>-48372.79999999997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52772.20000000001</v>
      </c>
      <c r="E7" s="9" t="n">
        <v>19280</v>
      </c>
      <c r="F7" s="9" t="n">
        <v>37888</v>
      </c>
      <c r="G7" s="9" t="n">
        <v>-25.99999999999926</v>
      </c>
      <c r="H7" s="9" t="n">
        <v>34138.20000000002</v>
      </c>
      <c r="O7" s="9" t="n">
        <v>-34138.20000000002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34316.69999999999</v>
      </c>
      <c r="E9" s="9" t="n">
        <v>30480</v>
      </c>
      <c r="F9" s="9" t="n">
        <v>16988</v>
      </c>
      <c r="G9" s="9" t="n">
        <v>-6.699999999999818</v>
      </c>
      <c r="H9" s="9" t="n">
        <v>47801.99999999999</v>
      </c>
      <c r="O9" s="9" t="n">
        <v>-47801.99999999999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21924.10000000001</v>
      </c>
      <c r="E10" s="9" t="n">
        <v>22150</v>
      </c>
      <c r="F10" s="9" t="n">
        <v>36564</v>
      </c>
      <c r="G10" s="9" t="n">
        <v>-8.300000000001205</v>
      </c>
      <c r="H10" s="9" t="n">
        <v>7501.800000000005</v>
      </c>
      <c r="O10" s="9" t="n">
        <v>-7501.800000000005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24926.6</v>
      </c>
      <c r="F11" s="9" t="n">
        <v>24928</v>
      </c>
      <c r="G11" s="9" t="n">
        <v>1.400000000000205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3284.5</v>
      </c>
      <c r="E12" s="9" t="n">
        <v>2000</v>
      </c>
      <c r="F12" s="9" t="n">
        <v>4415.299999999999</v>
      </c>
      <c r="G12" s="9" t="n">
        <v>-861.1999999999998</v>
      </c>
      <c r="H12" s="9" t="n">
        <v>8.000000000000114</v>
      </c>
      <c r="O12" s="9" t="n">
        <v>-8.000000000000114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7573.800000000001</v>
      </c>
      <c r="F13" s="9" t="n">
        <v>6622.2</v>
      </c>
      <c r="G13" s="9" t="n">
        <v>-951.5999999999999</v>
      </c>
      <c r="H13" s="9" t="n">
        <v>0</v>
      </c>
      <c r="O13" s="9" t="n">
        <v>0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0</v>
      </c>
      <c r="E15" s="9" t="n">
        <v>86490</v>
      </c>
      <c r="F15" s="9" t="n">
        <v>31430</v>
      </c>
      <c r="G15" s="9" t="n">
        <v>-7.599999999999909</v>
      </c>
      <c r="H15" s="9" t="n">
        <v>55052.4</v>
      </c>
      <c r="O15" s="9" t="n">
        <v>-55052.4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22172.8</v>
      </c>
      <c r="E16" s="9" t="n">
        <v>0</v>
      </c>
      <c r="F16" s="9" t="n">
        <v>21860</v>
      </c>
      <c r="G16" s="9" t="n">
        <v>-312.8</v>
      </c>
      <c r="H16" s="9" t="n">
        <v>-2.842170943040401e-12</v>
      </c>
      <c r="O16" s="9" t="n">
        <v>2.842170943040401e-12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0</v>
      </c>
      <c r="E17" s="9" t="n">
        <v>2300</v>
      </c>
      <c r="F17" s="9" t="n">
        <v>2300</v>
      </c>
      <c r="G17" s="9" t="n">
        <v>0</v>
      </c>
      <c r="H17" s="9" t="n">
        <v>2300</v>
      </c>
      <c r="O17" s="9" t="n">
        <v>-2300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10200</v>
      </c>
      <c r="F18" s="9" t="n">
        <v>4500</v>
      </c>
      <c r="G18" s="9" t="n">
        <v>-3.200000000000273</v>
      </c>
      <c r="H18" s="9" t="n">
        <v>5696.8</v>
      </c>
      <c r="O18" s="9" t="n">
        <v>-5696.8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3540</v>
      </c>
      <c r="E25" s="9" t="n">
        <v>0</v>
      </c>
      <c r="F25" s="9" t="n">
        <v>2920</v>
      </c>
      <c r="G25" s="9" t="n">
        <v>0</v>
      </c>
      <c r="H25" s="9" t="n">
        <v>620</v>
      </c>
      <c r="O25" s="9" t="n">
        <v>-620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3960</v>
      </c>
      <c r="E26" s="9" t="n">
        <v>2000</v>
      </c>
      <c r="F26" s="9" t="n">
        <v>0</v>
      </c>
      <c r="G26" s="9" t="n">
        <v>0</v>
      </c>
      <c r="H26" s="9" t="n">
        <v>5960</v>
      </c>
      <c r="O26" s="9" t="n">
        <v>-5960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3240</v>
      </c>
      <c r="E27" s="9" t="n">
        <v>2000</v>
      </c>
      <c r="F27" s="9" t="n">
        <v>320</v>
      </c>
      <c r="G27" s="9" t="n">
        <v>320</v>
      </c>
      <c r="H27" s="9" t="n">
        <v>5240</v>
      </c>
      <c r="O27" s="9" t="n">
        <v>-5240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O28" s="9" t="n">
        <v>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O29" s="9" t="n">
        <v>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5440</v>
      </c>
      <c r="E31" s="9" t="n">
        <v>0</v>
      </c>
      <c r="F31" s="9" t="n">
        <v>1040</v>
      </c>
      <c r="G31" s="9" t="n">
        <v>720</v>
      </c>
      <c r="H31" s="9" t="n">
        <v>5120</v>
      </c>
      <c r="O31" s="9" t="n">
        <v>-5120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5100</v>
      </c>
      <c r="E32" s="9" t="n">
        <v>0</v>
      </c>
      <c r="F32" s="9" t="n">
        <v>0</v>
      </c>
      <c r="G32" s="9" t="n">
        <v>0</v>
      </c>
      <c r="H32" s="9" t="n">
        <v>5100</v>
      </c>
      <c r="O32" s="9" t="n">
        <v>-5100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16240</v>
      </c>
      <c r="E33" s="9" t="n">
        <v>0</v>
      </c>
      <c r="F33" s="9" t="n">
        <v>7760</v>
      </c>
      <c r="G33" s="9" t="n">
        <v>7760</v>
      </c>
      <c r="H33" s="9" t="n">
        <v>10240</v>
      </c>
      <c r="O33" s="9" t="n">
        <v>-10240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13120</v>
      </c>
      <c r="E34" s="9" t="n">
        <v>2000</v>
      </c>
      <c r="F34" s="9" t="n">
        <v>2000</v>
      </c>
      <c r="G34" s="9" t="n">
        <v>520</v>
      </c>
      <c r="H34" s="9" t="n">
        <v>15120</v>
      </c>
      <c r="O34" s="9" t="n">
        <v>-15120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6800</v>
      </c>
      <c r="E35" s="9" t="n">
        <v>0</v>
      </c>
      <c r="F35" s="9" t="n">
        <v>0</v>
      </c>
      <c r="G35" s="9" t="n">
        <v>-3480</v>
      </c>
      <c r="H35" s="9" t="n">
        <v>3320</v>
      </c>
      <c r="O35" s="9" t="n">
        <v>-3320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5400</v>
      </c>
      <c r="E36" s="9" t="n">
        <v>0</v>
      </c>
      <c r="F36" s="9" t="n">
        <v>0</v>
      </c>
      <c r="G36" s="9" t="n">
        <v>0</v>
      </c>
      <c r="H36" s="9" t="n">
        <v>5400</v>
      </c>
      <c r="O36" s="9" t="n">
        <v>-5400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2260</v>
      </c>
      <c r="E37" s="9" t="n">
        <v>5340</v>
      </c>
      <c r="F37" s="9" t="n">
        <v>3600</v>
      </c>
      <c r="G37" s="9" t="n">
        <v>0</v>
      </c>
      <c r="H37" s="9" t="n">
        <v>4000</v>
      </c>
      <c r="O37" s="9" t="n">
        <v>-4000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0</v>
      </c>
      <c r="E38" s="9" t="n">
        <v>8775</v>
      </c>
      <c r="F38" s="9" t="n">
        <v>6864</v>
      </c>
      <c r="G38" s="9" t="n">
        <v>-1911</v>
      </c>
      <c r="H38" s="9" t="n">
        <v>0</v>
      </c>
      <c r="O38" s="9" t="n">
        <v>0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0</v>
      </c>
      <c r="E39" s="9" t="n">
        <v>13230</v>
      </c>
      <c r="F39" s="9" t="n">
        <v>2948.4</v>
      </c>
      <c r="G39" s="9" t="n">
        <v>-3742.2</v>
      </c>
      <c r="H39" s="9" t="n">
        <v>6539.400000000001</v>
      </c>
      <c r="O39" s="9" t="n">
        <v>-6539.400000000001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O40" s="9" t="n">
        <v>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O41" s="9" t="n">
        <v>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1969</v>
      </c>
      <c r="E45" s="9" t="n">
        <v>4500</v>
      </c>
      <c r="F45" s="9" t="n">
        <v>1677</v>
      </c>
      <c r="G45" s="9" t="n">
        <v>0</v>
      </c>
      <c r="H45" s="9" t="n">
        <v>4123</v>
      </c>
      <c r="O45" s="9" t="n">
        <v>-4123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2863.2</v>
      </c>
      <c r="F46" s="9" t="n">
        <v>3462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SODIUM BICARBONATE</t>
        </is>
      </c>
      <c r="C47" s="9" t="inlineStr">
        <is>
          <t>KG</t>
        </is>
      </c>
      <c r="D47" s="9" t="n">
        <v>0</v>
      </c>
      <c r="E47" s="9" t="n">
        <v>3037.3</v>
      </c>
      <c r="F47" s="9" t="n">
        <v>1089.6</v>
      </c>
      <c r="G47" s="9" t="n">
        <v>0</v>
      </c>
      <c r="H47" s="9" t="n">
        <v>1947.7</v>
      </c>
    </row>
    <row r="48">
      <c r="B48" s="9" t="inlineStr">
        <is>
          <t>BMD 10%</t>
        </is>
      </c>
      <c r="C48" s="9" t="inlineStr">
        <is>
          <t>KG</t>
        </is>
      </c>
    </row>
    <row r="49">
      <c r="B49" s="9" t="inlineStr">
        <is>
          <t>SALT (HARUMI)</t>
        </is>
      </c>
      <c r="C49" s="9" t="inlineStr">
        <is>
          <t>KG</t>
        </is>
      </c>
    </row>
    <row r="50">
      <c r="B50" s="9" t="inlineStr">
        <is>
          <t>VISTABET 91</t>
        </is>
      </c>
      <c r="C50" s="9" t="inlineStr">
        <is>
          <t>KG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BETAFIN</t>
        </is>
      </c>
      <c r="C51" s="9" t="inlineStr">
        <is>
          <t>KG</t>
        </is>
      </c>
      <c r="D51" s="9" t="n">
        <v>1680.5</v>
      </c>
      <c r="E51" s="9" t="n">
        <v>0</v>
      </c>
      <c r="F51" s="9" t="n">
        <v>0</v>
      </c>
      <c r="G51" s="9" t="n">
        <v>0</v>
      </c>
      <c r="H51" s="9" t="n">
        <v>1680.5</v>
      </c>
      <c r="O51" s="9" t="n">
        <v>-1680.5</v>
      </c>
    </row>
    <row r="52">
      <c r="B52" s="9" t="inlineStr">
        <is>
          <t>8101 TOP UP</t>
        </is>
      </c>
      <c r="C52" s="9" t="inlineStr">
        <is>
          <t>KG</t>
        </is>
      </c>
      <c r="D52" s="9" t="n">
        <v>0</v>
      </c>
      <c r="E52" s="9" t="n">
        <v>2953.4</v>
      </c>
      <c r="F52" s="9" t="n">
        <v>2953.4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NORPONIN X03 (8102 TOP UP)</t>
        </is>
      </c>
      <c r="C53" s="9" t="inlineStr">
        <is>
          <t>KG</t>
        </is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O53" s="9" t="n">
        <v>0</v>
      </c>
    </row>
    <row r="54">
      <c r="B54" s="9" t="inlineStr">
        <is>
          <t>8102 TOP UP (4KG)</t>
        </is>
      </c>
      <c r="C54" s="9" t="inlineStr">
        <is>
          <t>KG</t>
        </is>
      </c>
      <c r="D54" s="9" t="n">
        <v>0</v>
      </c>
      <c r="E54" s="9" t="n">
        <v>316</v>
      </c>
      <c r="F54" s="9" t="n">
        <v>316</v>
      </c>
      <c r="G54" s="9" t="n">
        <v>0</v>
      </c>
      <c r="H54" s="9" t="n">
        <v>0</v>
      </c>
      <c r="O54" s="9" t="n">
        <v>0</v>
      </c>
    </row>
    <row r="55">
      <c r="B55" s="9" t="inlineStr">
        <is>
          <t>8103 TOP UP (5KG)</t>
        </is>
      </c>
      <c r="C55" s="9" t="inlineStr">
        <is>
          <t>KG</t>
        </is>
      </c>
      <c r="D55" s="9" t="n">
        <v>0</v>
      </c>
      <c r="E55" s="9" t="n">
        <v>0</v>
      </c>
      <c r="F55" s="9" t="n">
        <v>60</v>
      </c>
      <c r="G55" s="9" t="n">
        <v>0</v>
      </c>
      <c r="H55" s="9" t="n">
        <v>0</v>
      </c>
      <c r="O55" s="9" t="n">
        <v>0</v>
      </c>
    </row>
    <row r="56">
      <c r="B56" s="9" t="inlineStr">
        <is>
          <t>L-ARGININE</t>
        </is>
      </c>
      <c r="C56" s="9" t="inlineStr">
        <is>
          <t>KG</t>
        </is>
      </c>
      <c r="D56" s="9" t="n">
        <v>13.96000000000004</v>
      </c>
      <c r="E56" s="9" t="n">
        <v>0</v>
      </c>
      <c r="F56" s="9" t="n">
        <v>0</v>
      </c>
      <c r="G56" s="9" t="n">
        <v>0</v>
      </c>
      <c r="H56" s="9" t="n">
        <v>13.96000000000004</v>
      </c>
      <c r="O56" s="9" t="n">
        <v>-13.96000000000004</v>
      </c>
    </row>
    <row r="57">
      <c r="B57" s="9" t="inlineStr">
        <is>
          <t>DL-METHIONINE</t>
        </is>
      </c>
      <c r="C57" s="9" t="inlineStr">
        <is>
          <t>KG</t>
        </is>
      </c>
      <c r="D57" s="9" t="n">
        <v>0</v>
      </c>
      <c r="E57" s="9" t="n">
        <v>400</v>
      </c>
      <c r="F57" s="9" t="n">
        <v>56</v>
      </c>
      <c r="G57" s="9" t="n">
        <v>0</v>
      </c>
      <c r="H57" s="9" t="n">
        <v>344</v>
      </c>
      <c r="O57" s="9" t="n">
        <v>-344</v>
      </c>
    </row>
    <row r="58">
      <c r="B58" s="9" t="inlineStr">
        <is>
          <t>L-THREONINE</t>
        </is>
      </c>
      <c r="C58" s="9" t="inlineStr">
        <is>
          <t>KG</t>
        </is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O58" s="9" t="n">
        <v>0</v>
      </c>
    </row>
    <row r="59">
      <c r="B59" s="9" t="inlineStr">
        <is>
          <t>L-LYSINE</t>
        </is>
      </c>
      <c r="C59" s="9" t="inlineStr">
        <is>
          <t>KG</t>
        </is>
      </c>
    </row>
    <row r="60">
      <c r="B60" s="9" t="inlineStr">
        <is>
          <t>FAECES DRY</t>
        </is>
      </c>
      <c r="C60" s="9" t="inlineStr">
        <is>
          <t>KG</t>
        </is>
      </c>
    </row>
    <row r="61">
      <c r="B61" s="9" t="inlineStr">
        <is>
          <t>ECOBIOL</t>
        </is>
      </c>
      <c r="C61" s="9" t="inlineStr">
        <is>
          <t>KG</t>
        </is>
      </c>
    </row>
    <row r="62">
      <c r="B62" s="9" t="inlineStr">
        <is>
          <t>ADDITIVE BROILER IMMUNE</t>
        </is>
      </c>
      <c r="C62" s="9" t="inlineStr">
        <is>
          <t>KG</t>
        </is>
      </c>
    </row>
    <row r="63">
      <c r="B63" s="9" t="inlineStr">
        <is>
          <t>MASTER CUBE (HARUMI)</t>
        </is>
      </c>
      <c r="C63" s="9" t="inlineStr">
        <is>
          <t>KG</t>
        </is>
      </c>
    </row>
    <row r="64">
      <c r="B64" s="9" t="inlineStr">
        <is>
          <t>1101 TOP UP (0.40KG)</t>
        </is>
      </c>
      <c r="C64" s="9" t="inlineStr">
        <is>
          <t>KG</t>
        </is>
      </c>
    </row>
    <row r="65">
      <c r="B65" s="9" t="inlineStr">
        <is>
          <t>1102 TOP UP (0.60KG)</t>
        </is>
      </c>
      <c r="C65" s="9" t="inlineStr">
        <is>
          <t>KG</t>
        </is>
      </c>
    </row>
    <row r="66">
      <c r="B66" s="9" t="inlineStr">
        <is>
          <t>1103 TOP UP (2.00KG)</t>
        </is>
      </c>
      <c r="C66" s="9" t="inlineStr">
        <is>
          <t>KG</t>
        </is>
      </c>
    </row>
    <row r="67">
      <c r="B67" s="9" t="inlineStr">
        <is>
          <t>QUANTUM GLO 4%</t>
        </is>
      </c>
      <c r="C67" s="9" t="inlineStr">
        <is>
          <t>KG</t>
        </is>
      </c>
    </row>
    <row r="68">
      <c r="B68" s="9" t="inlineStr">
        <is>
          <t>SALT</t>
        </is>
      </c>
      <c r="C68" s="9" t="inlineStr">
        <is>
          <t>KG</t>
        </is>
      </c>
    </row>
    <row r="69">
      <c r="B69" s="9" t="inlineStr">
        <is>
          <t>OC 200 - OXYTET 20%</t>
        </is>
      </c>
      <c r="C69" s="9" t="inlineStr">
        <is>
          <t>KG</t>
        </is>
      </c>
    </row>
    <row r="70">
      <c r="B70" s="9" t="n">
        <v>3</v>
      </c>
      <c r="C70" s="9" t="inlineStr">
        <is>
          <t>KG</t>
        </is>
      </c>
    </row>
    <row r="71">
      <c r="B71" s="9" t="n">
        <v>4</v>
      </c>
      <c r="C71" s="9" t="inlineStr">
        <is>
          <t>KG</t>
        </is>
      </c>
    </row>
    <row r="72"/>
    <row r="73">
      <c r="B73" s="9" t="inlineStr">
        <is>
          <t>PACKING MATERIALS</t>
        </is>
      </c>
    </row>
    <row r="74">
      <c r="B74" s="9" t="inlineStr">
        <is>
          <t>WOVEN BAG (1101) - BLUE 50KG</t>
        </is>
      </c>
      <c r="C74" s="9" t="inlineStr">
        <is>
          <t>PCS</t>
        </is>
      </c>
    </row>
    <row r="75">
      <c r="B75" s="9" t="inlineStr">
        <is>
          <t>WOVEN BAG (1102) - GREEN 50KG</t>
        </is>
      </c>
      <c r="C75" s="9" t="inlineStr">
        <is>
          <t>PCS</t>
        </is>
      </c>
    </row>
    <row r="76">
      <c r="B76" s="9" t="inlineStr">
        <is>
          <t>WOVEN BAG (1103) - RED 50KG</t>
        </is>
      </c>
      <c r="C76" s="9" t="inlineStr">
        <is>
          <t>PCS</t>
        </is>
      </c>
    </row>
    <row r="77">
      <c r="B77" s="9" t="inlineStr">
        <is>
          <t>PLAIN BAG 26" X 39" (50KG)</t>
        </is>
      </c>
      <c r="C77" s="9" t="inlineStr">
        <is>
          <t>PCS</t>
        </is>
      </c>
    </row>
    <row r="78">
      <c r="B78" s="9" t="inlineStr">
        <is>
          <t>WOVEN BAG (8101) - KHAKI 50KG</t>
        </is>
      </c>
      <c r="C78" s="9" t="inlineStr">
        <is>
          <t>PCS</t>
        </is>
      </c>
    </row>
    <row r="79">
      <c r="B79" s="9" t="inlineStr">
        <is>
          <t>WOVEN BAG (8102) - SKY BLUE 50KG</t>
        </is>
      </c>
      <c r="C79" s="9" t="inlineStr">
        <is>
          <t>PCS</t>
        </is>
      </c>
    </row>
    <row r="80">
      <c r="B80" s="9" t="inlineStr">
        <is>
          <t>WOVEN BAG (8103) - BROWN 50KG</t>
        </is>
      </c>
      <c r="C80" s="9" t="inlineStr">
        <is>
          <t>PCS</t>
        </is>
      </c>
    </row>
    <row r="81">
      <c r="B81" s="9" t="n">
        <v>1</v>
      </c>
      <c r="C81" s="9" t="inlineStr">
        <is>
          <t>PCS</t>
        </is>
      </c>
    </row>
    <row r="82">
      <c r="B82" s="9" t="n">
        <v>2</v>
      </c>
      <c r="C82" s="9" t="inlineStr">
        <is>
          <t>PCS</t>
        </is>
      </c>
    </row>
    <row r="83">
      <c r="B83" s="9" t="n">
        <v>3</v>
      </c>
      <c r="C83" s="9" t="inlineStr">
        <is>
          <t>PCS</t>
        </is>
      </c>
    </row>
    <row r="84">
      <c r="B84" s="9" t="n">
        <v>4</v>
      </c>
      <c r="C84" s="9" t="inlineStr">
        <is>
          <t>PCS</t>
        </is>
      </c>
    </row>
    <row r="85">
      <c r="B85" s="9" t="n">
        <v>5</v>
      </c>
      <c r="C85" s="9" t="inlineStr">
        <is>
          <t>PCS</t>
        </is>
      </c>
    </row>
    <row r="86">
      <c r="B86" s="9" t="n">
        <v>6</v>
      </c>
      <c r="C86" s="9" t="inlineStr">
        <is>
          <t>PCS</t>
        </is>
      </c>
    </row>
    <row r="87">
      <c r="B87" s="9" t="n">
        <v>7</v>
      </c>
      <c r="C87" s="9" t="inlineStr">
        <is>
          <t>PCS</t>
        </is>
      </c>
    </row>
    <row r="88">
      <c r="B88" s="9" t="n">
        <v>8</v>
      </c>
      <c r="C88" s="9" t="inlineStr">
        <is>
          <t>PCS</t>
        </is>
      </c>
    </row>
    <row r="89"/>
    <row r="90">
      <c r="B90" s="9" t="inlineStr">
        <is>
          <t>TOTAL</t>
        </is>
      </c>
      <c r="D90" s="9" t="n">
        <v>543655.1599999999</v>
      </c>
      <c r="E90" s="9" t="n">
        <v>1245225.8</v>
      </c>
      <c r="F90" s="9" t="n">
        <v>1321692</v>
      </c>
      <c r="G90" s="9" t="n">
        <v>-32606.80000000002</v>
      </c>
      <c r="H90" s="9" t="n">
        <v>432351.9600000001</v>
      </c>
      <c r="K90" s="9" t="n">
        <v>0</v>
      </c>
    </row>
    <row r="91"/>
    <row r="92">
      <c r="D92" s="9" t="n">
        <v>-160</v>
      </c>
      <c r="E92" s="9" t="n">
        <v>0</v>
      </c>
      <c r="F92" s="9" t="n">
        <v>2300</v>
      </c>
      <c r="G92" s="9" t="n">
        <v>5999.999999999996</v>
      </c>
      <c r="H92" s="9" t="n">
        <v>-100</v>
      </c>
    </row>
    <row r="93"/>
    <row r="94">
      <c r="B94" s="9" t="inlineStr">
        <is>
          <t>HARUMI Stock - FEB 2026</t>
        </is>
      </c>
    </row>
    <row r="95">
      <c r="A95" s="9" t="inlineStr">
        <is>
          <t>No</t>
        </is>
      </c>
      <c r="B95" s="9" t="inlineStr">
        <is>
          <t>Description</t>
        </is>
      </c>
      <c r="C95" s="9" t="inlineStr">
        <is>
          <t>UOM</t>
        </is>
      </c>
      <c r="D95" s="9" t="inlineStr">
        <is>
          <t>Opening</t>
        </is>
      </c>
      <c r="E95" s="9" t="inlineStr">
        <is>
          <t>Receiving</t>
        </is>
      </c>
      <c r="F95" s="9" t="inlineStr">
        <is>
          <t>Usage</t>
        </is>
      </c>
      <c r="G95" s="9" t="inlineStr">
        <is>
          <t>Adjustment</t>
        </is>
      </c>
      <c r="H95" s="9" t="inlineStr">
        <is>
          <t>Bal (KG)</t>
        </is>
      </c>
    </row>
    <row r="96">
      <c r="B96" s="9" t="inlineStr">
        <is>
          <t>RAW MATERIAL</t>
        </is>
      </c>
    </row>
    <row r="97">
      <c r="A97" s="9" t="n">
        <v>1</v>
      </c>
      <c r="B97" s="9" t="inlineStr">
        <is>
          <t>MAIZE/CORN</t>
        </is>
      </c>
      <c r="C97" s="9" t="inlineStr">
        <is>
          <t>KG</t>
        </is>
      </c>
      <c r="D97" s="9" t="n">
        <v>241788.2</v>
      </c>
      <c r="E97" s="9" t="n">
        <v>573310</v>
      </c>
      <c r="F97" s="9" t="n">
        <v>693483.4</v>
      </c>
      <c r="G97" s="9" t="n">
        <v>-30000</v>
      </c>
      <c r="H97" s="9" t="n">
        <v>91614.79999999993</v>
      </c>
      <c r="I97" s="9" t="n">
        <v>241788.2</v>
      </c>
    </row>
    <row r="98">
      <c r="A98" s="9" t="n">
        <v>2</v>
      </c>
      <c r="B98" s="9" t="inlineStr">
        <is>
          <t>SOYBEAN MEAL (ARG)</t>
        </is>
      </c>
      <c r="C98" s="9" t="inlineStr">
        <is>
          <t>KG</t>
        </is>
      </c>
      <c r="D98" s="9" t="n">
        <v>48748.2</v>
      </c>
      <c r="E98" s="9" t="n">
        <v>337880</v>
      </c>
      <c r="F98" s="9" t="n">
        <v>320861.6</v>
      </c>
      <c r="G98" s="9" t="n">
        <v>-670</v>
      </c>
      <c r="H98" s="9" t="n">
        <v>65096.60000000003</v>
      </c>
      <c r="I98" s="9" t="n">
        <v>48748.20000000007</v>
      </c>
    </row>
    <row r="99">
      <c r="A99" s="9" t="n">
        <v>3</v>
      </c>
      <c r="B99" s="9" t="inlineStr">
        <is>
          <t>SOYBEAN FULL FAT</t>
        </is>
      </c>
      <c r="C99" s="9" t="inlineStr">
        <is>
          <t>KG</t>
        </is>
      </c>
      <c r="D99" s="9" t="n">
        <v>49884.99999999999</v>
      </c>
      <c r="E99" s="9" t="n">
        <v>81220</v>
      </c>
      <c r="F99" s="9" t="n">
        <v>82732.69999999998</v>
      </c>
      <c r="G99" s="9" t="n">
        <v>0.5</v>
      </c>
      <c r="H99" s="9" t="n">
        <v>48372.80000000002</v>
      </c>
      <c r="I99" s="9" t="n">
        <v>49884.99999999996</v>
      </c>
    </row>
    <row r="100">
      <c r="A100" s="9" t="n">
        <v>4</v>
      </c>
      <c r="B100" s="9" t="inlineStr">
        <is>
          <t>WHEAT POLLARD</t>
        </is>
      </c>
      <c r="C100" s="9" t="inlineStr">
        <is>
          <t>KG</t>
        </is>
      </c>
      <c r="D100" s="9" t="n">
        <v>52772.20000000001</v>
      </c>
      <c r="E100" s="9" t="n">
        <v>19280</v>
      </c>
      <c r="F100" s="9" t="n">
        <v>37914</v>
      </c>
      <c r="H100" s="9" t="n">
        <v>34138.20000000001</v>
      </c>
      <c r="I100" s="9" t="n">
        <v>52772.20000000001</v>
      </c>
    </row>
    <row r="101">
      <c r="A101" s="9" t="n">
        <v>5</v>
      </c>
      <c r="B101" s="9" t="inlineStr">
        <is>
          <t>MEAT AND BONE MEAL</t>
        </is>
      </c>
      <c r="C101" s="9" t="inlineStr">
        <is>
          <t>KG</t>
        </is>
      </c>
      <c r="D101" s="9" t="n">
        <v>34316.69999999999</v>
      </c>
      <c r="E101" s="9" t="n">
        <v>30200</v>
      </c>
      <c r="F101" s="9" t="n">
        <v>16994.7</v>
      </c>
      <c r="G101" s="9" t="n">
        <v>280</v>
      </c>
      <c r="H101" s="9" t="n">
        <v>47801.99999999999</v>
      </c>
      <c r="I101" s="9" t="n">
        <v>34316.7</v>
      </c>
    </row>
    <row r="102">
      <c r="A102" s="9" t="n">
        <v>6</v>
      </c>
      <c r="B102" s="9" t="inlineStr">
        <is>
          <t>CORN GLUTEN MEAL</t>
        </is>
      </c>
      <c r="C102" s="9" t="inlineStr">
        <is>
          <t>KG</t>
        </is>
      </c>
      <c r="D102" s="9" t="n">
        <v>21924.10000000001</v>
      </c>
      <c r="E102" s="9" t="n">
        <v>22150</v>
      </c>
      <c r="F102" s="9" t="n">
        <v>36572.3</v>
      </c>
      <c r="H102" s="9" t="n">
        <v>7501.800000000003</v>
      </c>
      <c r="I102" s="9" t="n">
        <v>21924.10000000001</v>
      </c>
    </row>
    <row r="103">
      <c r="A103" s="9" t="n">
        <v>7</v>
      </c>
      <c r="B103" s="9" t="inlineStr">
        <is>
          <t>MEGAFAT</t>
        </is>
      </c>
      <c r="C103" s="9" t="inlineStr">
        <is>
          <t>KG</t>
        </is>
      </c>
      <c r="D103" s="9" t="n">
        <v>0</v>
      </c>
      <c r="E103" s="9" t="n">
        <v>24926.6</v>
      </c>
      <c r="F103" s="9" t="n">
        <v>24926.6</v>
      </c>
      <c r="H103" s="9" t="n">
        <v>0</v>
      </c>
      <c r="I103" s="9" t="n">
        <v>0</v>
      </c>
    </row>
    <row r="104">
      <c r="A104" s="9" t="n">
        <v>8</v>
      </c>
      <c r="B104" s="9" t="inlineStr">
        <is>
          <t>DCP 18%</t>
        </is>
      </c>
      <c r="C104" s="9" t="inlineStr">
        <is>
          <t>KG</t>
        </is>
      </c>
      <c r="D104" s="9" t="n">
        <v>3284.5</v>
      </c>
      <c r="E104" s="9" t="n">
        <v>2000</v>
      </c>
      <c r="F104" s="9" t="n">
        <v>5276.5</v>
      </c>
      <c r="H104" s="9" t="n">
        <v>8</v>
      </c>
      <c r="I104" s="9" t="n">
        <v>3284.5</v>
      </c>
    </row>
    <row r="105">
      <c r="A105" s="9" t="n">
        <v>9</v>
      </c>
      <c r="B105" s="9" t="inlineStr">
        <is>
          <t xml:space="preserve">LIMESTONE POWDER </t>
        </is>
      </c>
      <c r="C105" s="9" t="inlineStr">
        <is>
          <t>KG</t>
        </is>
      </c>
      <c r="D105" s="9" t="n">
        <v>0</v>
      </c>
      <c r="E105" s="9" t="n">
        <v>7573.800000000001</v>
      </c>
      <c r="F105" s="9" t="n">
        <v>7573.800000000001</v>
      </c>
      <c r="H105" s="9" t="n">
        <v>0</v>
      </c>
      <c r="I105" s="9" t="n">
        <v>0</v>
      </c>
    </row>
    <row r="106">
      <c r="A106" s="9" t="n">
        <v>10</v>
      </c>
      <c r="B106" s="9" t="inlineStr">
        <is>
          <t>INDUSTRY FLOUR</t>
        </is>
      </c>
      <c r="C106" s="9" t="inlineStr">
        <is>
          <t>KG</t>
        </is>
      </c>
      <c r="D106" s="9" t="n">
        <v>0</v>
      </c>
      <c r="E106" s="9" t="n">
        <v>86490</v>
      </c>
      <c r="F106" s="9" t="n">
        <v>31437.6</v>
      </c>
      <c r="H106" s="9" t="n">
        <v>55052.4</v>
      </c>
      <c r="I106" s="9" t="n">
        <v>22172.8</v>
      </c>
    </row>
    <row r="107">
      <c r="A107" s="9" t="n">
        <v>11</v>
      </c>
      <c r="B107" s="9" t="inlineStr">
        <is>
          <t>RICE BRAN</t>
        </is>
      </c>
      <c r="C107" s="9" t="inlineStr">
        <is>
          <t>KG</t>
        </is>
      </c>
      <c r="D107" s="9" t="n">
        <v>22172.8</v>
      </c>
      <c r="E107" s="9" t="n">
        <v>0</v>
      </c>
      <c r="F107" s="9" t="n">
        <v>21862.2</v>
      </c>
      <c r="G107" s="9" t="n">
        <v>-310.6</v>
      </c>
      <c r="H107" s="9" t="n">
        <v>0</v>
      </c>
    </row>
    <row r="108">
      <c r="A108" s="9" t="n">
        <v>12</v>
      </c>
      <c r="B108" s="9" t="inlineStr">
        <is>
          <t>EP 200</t>
        </is>
      </c>
      <c r="C108" s="9" t="inlineStr">
        <is>
          <t>KG</t>
        </is>
      </c>
      <c r="D108" s="9" t="n">
        <v>0</v>
      </c>
      <c r="E108" s="9" t="n">
        <v>2300</v>
      </c>
      <c r="F108" s="9" t="n">
        <v>0</v>
      </c>
      <c r="H108" s="9" t="n">
        <v>2300</v>
      </c>
    </row>
    <row r="109">
      <c r="A109" s="9" t="n">
        <v>13</v>
      </c>
      <c r="B109" s="9" t="inlineStr">
        <is>
          <t>SOYTIDE</t>
        </is>
      </c>
      <c r="C109" s="9" t="inlineStr">
        <is>
          <t>KG</t>
        </is>
      </c>
      <c r="D109" s="9" t="n">
        <v>0</v>
      </c>
      <c r="E109" s="9" t="n">
        <v>10200</v>
      </c>
      <c r="F109" s="9" t="n">
        <v>4503.200000000001</v>
      </c>
      <c r="H109" s="9" t="n">
        <v>5696.799999999999</v>
      </c>
    </row>
    <row r="110"/>
    <row r="111">
      <c r="B111" s="9" t="inlineStr">
        <is>
          <t>PREMIX &amp; ADDITIVES</t>
        </is>
      </c>
    </row>
    <row r="112">
      <c r="A112" s="9" t="n">
        <v>1</v>
      </c>
      <c r="B112" s="9" t="inlineStr">
        <is>
          <t>PREMIX 1101 (20KG)</t>
        </is>
      </c>
      <c r="C112" s="9" t="inlineStr">
        <is>
          <t>KG</t>
        </is>
      </c>
      <c r="D112" s="9" t="n">
        <v>3540</v>
      </c>
      <c r="E112" s="9" t="n">
        <v>0</v>
      </c>
      <c r="F112" s="9" t="n">
        <v>2920</v>
      </c>
      <c r="H112" s="9" t="n">
        <v>620</v>
      </c>
      <c r="I112" s="9" t="n">
        <v>3540</v>
      </c>
    </row>
    <row r="113">
      <c r="A113" s="9" t="n">
        <v>2</v>
      </c>
      <c r="B113" s="9" t="inlineStr">
        <is>
          <t>PREMIX 1102 (20KG)</t>
        </is>
      </c>
      <c r="C113" s="9" t="inlineStr">
        <is>
          <t>KG</t>
        </is>
      </c>
      <c r="D113" s="9" t="n">
        <v>3960</v>
      </c>
      <c r="E113" s="9" t="n">
        <v>2000</v>
      </c>
      <c r="F113" s="9" t="n">
        <v>0</v>
      </c>
      <c r="H113" s="9" t="n">
        <v>5960</v>
      </c>
      <c r="I113" s="9" t="n">
        <v>3960</v>
      </c>
    </row>
    <row r="114">
      <c r="A114" s="9" t="n">
        <v>3</v>
      </c>
      <c r="B114" s="9" t="inlineStr">
        <is>
          <t>PREMIX 1103 (20KG)</t>
        </is>
      </c>
      <c r="C114" s="9" t="inlineStr">
        <is>
          <t>KG</t>
        </is>
      </c>
      <c r="D114" s="9" t="n">
        <v>3240</v>
      </c>
      <c r="E114" s="9" t="n">
        <v>2000</v>
      </c>
      <c r="F114" s="9" t="n">
        <v>0</v>
      </c>
      <c r="H114" s="9" t="n">
        <v>5240</v>
      </c>
      <c r="I114" s="9" t="n">
        <v>3240</v>
      </c>
    </row>
    <row r="115">
      <c r="A115" s="9" t="n">
        <v>4</v>
      </c>
      <c r="B115" s="9" t="inlineStr">
        <is>
          <t>PREMIX 8100 (20KG)</t>
        </is>
      </c>
      <c r="C115" s="9" t="inlineStr">
        <is>
          <t>KG</t>
        </is>
      </c>
      <c r="D115" s="9" t="n">
        <v>5440</v>
      </c>
      <c r="E115" s="9" t="n">
        <v>0</v>
      </c>
      <c r="F115" s="9" t="n">
        <v>320</v>
      </c>
      <c r="H115" s="9" t="n">
        <v>5120</v>
      </c>
      <c r="I115" s="9" t="n">
        <v>5440</v>
      </c>
    </row>
    <row r="116">
      <c r="A116" s="9" t="n">
        <v>5</v>
      </c>
      <c r="B116" s="9" t="inlineStr">
        <is>
          <t>PREMIX 8101 (20KG)</t>
        </is>
      </c>
      <c r="C116" s="9" t="inlineStr">
        <is>
          <t>KG</t>
        </is>
      </c>
      <c r="D116" s="9" t="n">
        <v>5100</v>
      </c>
      <c r="E116" s="9" t="n">
        <v>0</v>
      </c>
      <c r="F116" s="9" t="n">
        <v>0</v>
      </c>
      <c r="H116" s="9" t="n">
        <v>5100</v>
      </c>
      <c r="I116" s="9" t="n">
        <v>5100</v>
      </c>
    </row>
    <row r="117">
      <c r="A117" s="9" t="n">
        <v>6</v>
      </c>
      <c r="B117" s="9" t="inlineStr">
        <is>
          <t>PREMIX 8102 (20KG)</t>
        </is>
      </c>
      <c r="C117" s="9" t="inlineStr">
        <is>
          <t>KG</t>
        </is>
      </c>
      <c r="D117" s="9" t="n">
        <v>16240</v>
      </c>
      <c r="E117" s="9" t="n">
        <v>0</v>
      </c>
      <c r="F117" s="9" t="n">
        <v>6000</v>
      </c>
      <c r="H117" s="9" t="n">
        <v>10240</v>
      </c>
      <c r="I117" s="9" t="n">
        <v>16240</v>
      </c>
    </row>
    <row r="118">
      <c r="A118" s="9" t="n">
        <v>7</v>
      </c>
      <c r="B118" s="9" t="inlineStr">
        <is>
          <t>PREMIX 8103 (20KG)</t>
        </is>
      </c>
      <c r="C118" s="9" t="inlineStr">
        <is>
          <t>KG</t>
        </is>
      </c>
      <c r="D118" s="9" t="n">
        <v>13120</v>
      </c>
      <c r="E118" s="9" t="n">
        <v>2000</v>
      </c>
      <c r="F118" s="9" t="n">
        <v>0</v>
      </c>
      <c r="H118" s="9" t="n">
        <v>15120</v>
      </c>
      <c r="I118" s="9" t="n">
        <v>14320</v>
      </c>
    </row>
    <row r="119">
      <c r="A119" s="9" t="n">
        <v>8</v>
      </c>
      <c r="B119" s="9" t="inlineStr">
        <is>
          <t>PREMIX 8108 (20KG)</t>
        </is>
      </c>
      <c r="C119" s="9" t="inlineStr">
        <is>
          <t>KG</t>
        </is>
      </c>
      <c r="D119" s="9" t="n">
        <v>6800</v>
      </c>
      <c r="E119" s="9" t="n">
        <v>0</v>
      </c>
      <c r="F119" s="9" t="n">
        <v>3480</v>
      </c>
      <c r="H119" s="9" t="n">
        <v>3320</v>
      </c>
      <c r="I119" s="9" t="n">
        <v>6800</v>
      </c>
    </row>
    <row r="120">
      <c r="A120" s="9" t="n">
        <v>9</v>
      </c>
      <c r="B120" s="9" t="inlineStr">
        <is>
          <t>PREMIX 8109 (20KG)</t>
        </is>
      </c>
      <c r="C120" s="9" t="inlineStr">
        <is>
          <t>KG</t>
        </is>
      </c>
      <c r="D120" s="9" t="n">
        <v>5400</v>
      </c>
      <c r="E120" s="9" t="n">
        <v>0</v>
      </c>
      <c r="F120" s="9" t="n">
        <v>0</v>
      </c>
      <c r="H120" s="9" t="n">
        <v>5400</v>
      </c>
      <c r="I120" s="9" t="n">
        <v>5400</v>
      </c>
    </row>
    <row r="121">
      <c r="A121" s="9" t="n">
        <v>10</v>
      </c>
      <c r="B121" s="9" t="inlineStr">
        <is>
          <t>YENMIX 121 (20KG)</t>
        </is>
      </c>
      <c r="C121" s="9" t="inlineStr">
        <is>
          <t>KG</t>
        </is>
      </c>
      <c r="D121" s="9" t="n">
        <v>2260</v>
      </c>
      <c r="E121" s="9" t="n">
        <v>5340</v>
      </c>
      <c r="F121" s="9" t="n">
        <v>3600</v>
      </c>
      <c r="H121" s="9" t="n">
        <v>4000</v>
      </c>
      <c r="I121" s="9" t="n">
        <v>2260</v>
      </c>
    </row>
    <row r="122">
      <c r="A122" s="9" t="n">
        <v>11</v>
      </c>
      <c r="B122" s="9" t="inlineStr">
        <is>
          <t>YENMIX 122 (19.50KG)</t>
        </is>
      </c>
      <c r="C122" s="9" t="inlineStr">
        <is>
          <t>KG</t>
        </is>
      </c>
      <c r="D122" s="9" t="n">
        <v>0</v>
      </c>
      <c r="E122" s="9" t="n">
        <v>8775</v>
      </c>
      <c r="F122" s="9" t="n">
        <v>5031</v>
      </c>
      <c r="H122" s="9" t="n">
        <v>3744</v>
      </c>
    </row>
    <row r="123">
      <c r="A123" s="9" t="n">
        <v>12</v>
      </c>
      <c r="B123" s="9" t="inlineStr">
        <is>
          <t>YENMIX 123 (18.90KG)</t>
        </is>
      </c>
      <c r="C123" s="9" t="inlineStr">
        <is>
          <t>KG</t>
        </is>
      </c>
      <c r="D123" s="9" t="n">
        <v>0</v>
      </c>
      <c r="E123" s="9" t="n">
        <v>13230</v>
      </c>
      <c r="F123" s="9" t="n">
        <v>4120.2</v>
      </c>
      <c r="H123" s="9" t="n">
        <v>9109.799999999999</v>
      </c>
    </row>
    <row r="124">
      <c r="A124" s="9" t="n">
        <v>13</v>
      </c>
      <c r="B124" s="9" t="inlineStr">
        <is>
          <t>TOXISORB PREMIUM</t>
        </is>
      </c>
      <c r="C124" s="9" t="inlineStr">
        <is>
          <t>KG</t>
        </is>
      </c>
      <c r="D124" s="9" t="n">
        <v>1969</v>
      </c>
      <c r="E124" s="9" t="n">
        <v>4500</v>
      </c>
      <c r="F124" s="9" t="n">
        <v>2346</v>
      </c>
      <c r="H124" s="9" t="n">
        <v>4123</v>
      </c>
      <c r="J124" s="9" t="inlineStr">
        <is>
          <t>TOXISORB PREMIUM</t>
        </is>
      </c>
    </row>
    <row r="125">
      <c r="A125" s="9" t="n">
        <v>14</v>
      </c>
      <c r="B125" s="9" t="inlineStr">
        <is>
          <t>SODIUM HUMATE 3.8%</t>
        </is>
      </c>
      <c r="C125" s="9" t="inlineStr">
        <is>
          <t>KG</t>
        </is>
      </c>
      <c r="D125" s="9" t="n">
        <v>0</v>
      </c>
      <c r="E125" s="9" t="n">
        <v>2863.2</v>
      </c>
      <c r="F125" s="9" t="n">
        <v>2863.2</v>
      </c>
      <c r="H125" s="9" t="n">
        <v>0</v>
      </c>
      <c r="J125" s="9" t="inlineStr">
        <is>
          <t>SODIUM HUMATE 3.8%</t>
        </is>
      </c>
    </row>
    <row r="126">
      <c r="A126" s="9" t="n">
        <v>15</v>
      </c>
      <c r="B126" s="9" t="inlineStr">
        <is>
          <t>SODIUM BICARBONATE</t>
        </is>
      </c>
      <c r="C126" s="9" t="inlineStr">
        <is>
          <t>KG</t>
        </is>
      </c>
      <c r="D126" s="9" t="n">
        <v>0</v>
      </c>
      <c r="E126" s="9" t="n">
        <v>2970</v>
      </c>
      <c r="F126" s="9" t="n">
        <v>1089.6</v>
      </c>
      <c r="G126" s="9" t="n">
        <v>67.3</v>
      </c>
      <c r="H126" s="9" t="n">
        <v>1947.7</v>
      </c>
      <c r="J126" s="9" t="inlineStr">
        <is>
          <t>BMD 10%</t>
        </is>
      </c>
    </row>
    <row r="127">
      <c r="A127" s="9" t="n">
        <v>16</v>
      </c>
      <c r="B127" s="9" t="inlineStr">
        <is>
          <t>BMD 10%</t>
        </is>
      </c>
      <c r="C127" s="9" t="inlineStr">
        <is>
          <t>KG</t>
        </is>
      </c>
      <c r="D127" s="9" t="n">
        <v>1680.5</v>
      </c>
      <c r="E127" s="9" t="n">
        <v>0</v>
      </c>
      <c r="F127" s="9" t="n">
        <v>0</v>
      </c>
      <c r="H127" s="9" t="n">
        <v>1680.5</v>
      </c>
      <c r="J127" s="9" t="inlineStr">
        <is>
          <t>SALT</t>
        </is>
      </c>
    </row>
    <row r="128">
      <c r="A128" s="9" t="n">
        <v>17</v>
      </c>
      <c r="B128" s="9" t="inlineStr">
        <is>
          <t>SALT</t>
        </is>
      </c>
      <c r="C128" s="9" t="inlineStr">
        <is>
          <t>KG</t>
        </is>
      </c>
      <c r="D128" s="9" t="n">
        <v>41.60000000000002</v>
      </c>
      <c r="E128" s="9" t="n">
        <v>2953.4</v>
      </c>
      <c r="F128" s="9" t="n">
        <v>2953.4</v>
      </c>
      <c r="H128" s="9" t="n">
        <v>41.59999999999991</v>
      </c>
      <c r="J128" s="9" t="inlineStr">
        <is>
          <t>VISTABET 91</t>
        </is>
      </c>
    </row>
    <row r="129">
      <c r="A129" s="9" t="n">
        <v>18</v>
      </c>
      <c r="B129" s="9" t="inlineStr">
        <is>
          <t>VISTABET 91</t>
        </is>
      </c>
      <c r="C129" s="9" t="inlineStr">
        <is>
          <t>KG</t>
        </is>
      </c>
      <c r="D129" s="9" t="n">
        <v>0</v>
      </c>
      <c r="E129" s="9" t="n">
        <v>0</v>
      </c>
      <c r="F129" s="9" t="n">
        <v>0</v>
      </c>
      <c r="H129" s="9" t="n">
        <v>0</v>
      </c>
      <c r="J129" s="9" t="inlineStr">
        <is>
          <t>BETAFIN</t>
        </is>
      </c>
    </row>
    <row r="130">
      <c r="A130" s="9" t="n">
        <v>19</v>
      </c>
      <c r="B130" s="9" t="inlineStr">
        <is>
          <t>BETAFIN</t>
        </is>
      </c>
      <c r="C130" s="9" t="inlineStr">
        <is>
          <t>KG</t>
        </is>
      </c>
      <c r="D130" s="9" t="n">
        <v>0</v>
      </c>
      <c r="E130" s="9" t="n">
        <v>806</v>
      </c>
      <c r="F130" s="9" t="n">
        <v>806</v>
      </c>
      <c r="H130" s="9" t="n">
        <v>0</v>
      </c>
      <c r="J130" s="9" t="inlineStr">
        <is>
          <t>8101 TOP UP</t>
        </is>
      </c>
    </row>
    <row r="131">
      <c r="A131" s="9" t="n">
        <v>20</v>
      </c>
      <c r="B131" s="9" t="inlineStr">
        <is>
          <t>8101 TOP UP</t>
        </is>
      </c>
      <c r="C131" s="9" t="inlineStr">
        <is>
          <t>KG</t>
        </is>
      </c>
      <c r="D131" s="9" t="n">
        <v>160</v>
      </c>
      <c r="E131" s="9" t="n">
        <v>0</v>
      </c>
      <c r="F131" s="9" t="n">
        <v>60</v>
      </c>
      <c r="H131" s="9" t="n">
        <v>100</v>
      </c>
      <c r="J131" s="9" t="inlineStr">
        <is>
          <t>NORPONIN X03 (8102 TOP UP)</t>
        </is>
      </c>
    </row>
    <row r="132">
      <c r="A132" s="9" t="n">
        <v>21</v>
      </c>
      <c r="B132" s="9" t="inlineStr">
        <is>
          <t>NORPONIN X03 (8102 TOP UP)</t>
        </is>
      </c>
      <c r="C132" s="9" t="inlineStr">
        <is>
          <t>KG</t>
        </is>
      </c>
      <c r="D132" s="9" t="n">
        <v>13.96000000000004</v>
      </c>
      <c r="E132" s="9" t="n">
        <v>0</v>
      </c>
      <c r="F132" s="9" t="n">
        <v>0</v>
      </c>
      <c r="H132" s="9" t="n">
        <v>13.96000000000004</v>
      </c>
      <c r="J132" s="9" t="inlineStr">
        <is>
          <t>L-ARGININE</t>
        </is>
      </c>
    </row>
    <row r="133">
      <c r="A133" s="9" t="n">
        <v>22</v>
      </c>
      <c r="B133" s="9" t="inlineStr">
        <is>
          <t>8102 TOP UP</t>
        </is>
      </c>
      <c r="C133" s="9" t="inlineStr">
        <is>
          <t>KG</t>
        </is>
      </c>
      <c r="D133" s="9" t="n">
        <v>0</v>
      </c>
      <c r="E133" s="9" t="n">
        <v>400</v>
      </c>
      <c r="F133" s="9" t="n">
        <v>56</v>
      </c>
      <c r="H133" s="9" t="n">
        <v>344</v>
      </c>
      <c r="J133" s="9" t="inlineStr">
        <is>
          <t>DL-METHIONINE</t>
        </is>
      </c>
    </row>
    <row r="134">
      <c r="A134" s="9" t="n">
        <v>23</v>
      </c>
      <c r="B134" s="9" t="inlineStr">
        <is>
          <t>L-ARGININE</t>
        </is>
      </c>
      <c r="C134" s="9" t="inlineStr">
        <is>
          <t>KG</t>
        </is>
      </c>
      <c r="D134" s="9" t="n">
        <v>207.6</v>
      </c>
      <c r="E134" s="9" t="n">
        <v>0</v>
      </c>
      <c r="F134" s="9" t="n">
        <v>0</v>
      </c>
      <c r="H134" s="9" t="n">
        <v>207.6</v>
      </c>
      <c r="J134" s="9" t="inlineStr">
        <is>
          <t>ADDITIVE BROILER IMMUNE</t>
        </is>
      </c>
    </row>
    <row r="135">
      <c r="A135" s="9" t="n">
        <v>24</v>
      </c>
      <c r="B135" s="9" t="inlineStr">
        <is>
          <t>DL-METHIONINE</t>
        </is>
      </c>
      <c r="C135" s="9" t="inlineStr">
        <is>
          <t>KG</t>
        </is>
      </c>
      <c r="D135" s="9" t="n">
        <v>201.8</v>
      </c>
      <c r="E135" s="9" t="n">
        <v>0</v>
      </c>
      <c r="F135" s="9" t="n">
        <v>0</v>
      </c>
      <c r="G135" s="9" t="n">
        <v>-4.76</v>
      </c>
      <c r="H135" s="9" t="n">
        <v>197.04</v>
      </c>
    </row>
    <row r="136">
      <c r="A136" s="9" t="n">
        <v>25</v>
      </c>
      <c r="B136" s="9" t="inlineStr">
        <is>
          <t>L-THREONINE</t>
        </is>
      </c>
      <c r="C136" s="9" t="inlineStr">
        <is>
          <t>KG</t>
        </is>
      </c>
      <c r="D136" s="9" t="n">
        <v>22.72</v>
      </c>
      <c r="E136" s="9" t="n">
        <v>0</v>
      </c>
      <c r="F136" s="9" t="n">
        <v>0</v>
      </c>
      <c r="G136" s="9" t="n">
        <v>24.08</v>
      </c>
      <c r="H136" s="9" t="n">
        <v>46.8</v>
      </c>
    </row>
    <row r="137">
      <c r="A137" s="9" t="n">
        <v>26</v>
      </c>
      <c r="B137" s="9" t="inlineStr">
        <is>
          <t>ADDITIVE BROILER IMMUNE</t>
        </is>
      </c>
      <c r="C137" s="9" t="inlineStr">
        <is>
          <t>KG</t>
        </is>
      </c>
      <c r="D137" s="9" t="n">
        <v>270</v>
      </c>
      <c r="E137" s="9" t="n">
        <v>0</v>
      </c>
      <c r="F137" s="9" t="n">
        <v>270</v>
      </c>
      <c r="H137" s="9" t="n">
        <v>0</v>
      </c>
    </row>
    <row r="138"/>
    <row r="139">
      <c r="B139" s="9" t="inlineStr">
        <is>
          <t>PACKING MATERIALS</t>
        </is>
      </c>
    </row>
    <row r="140">
      <c r="A140" s="9" t="n">
        <v>1</v>
      </c>
      <c r="B140" s="9" t="inlineStr">
        <is>
          <t>WOVEN BAG (1101) - BLUE 50KG</t>
        </is>
      </c>
      <c r="C140" s="9" t="inlineStr">
        <is>
          <t>PCS</t>
        </is>
      </c>
      <c r="D140" s="9" t="n">
        <v>9609</v>
      </c>
      <c r="E140" s="9" t="n">
        <v>0</v>
      </c>
      <c r="F140" s="9" t="n">
        <v>2981</v>
      </c>
      <c r="H140" s="9" t="n">
        <v>6628</v>
      </c>
    </row>
    <row r="141">
      <c r="A141" s="9" t="n">
        <v>2</v>
      </c>
      <c r="B141" s="9" t="inlineStr">
        <is>
          <t>WOVEN BAG (1102) - GREEN 50KG</t>
        </is>
      </c>
      <c r="C141" s="9" t="inlineStr">
        <is>
          <t>PCS</t>
        </is>
      </c>
      <c r="D141" s="9" t="n">
        <v>8149</v>
      </c>
      <c r="E141" s="9" t="n">
        <v>0</v>
      </c>
      <c r="F141" s="9" t="n">
        <v>1590</v>
      </c>
      <c r="H141" s="9" t="n">
        <v>6559</v>
      </c>
    </row>
    <row r="142">
      <c r="A142" s="9" t="n">
        <v>3</v>
      </c>
      <c r="B142" s="9" t="inlineStr">
        <is>
          <t>WOVEN BAG (1103) - RED 50KG</t>
        </is>
      </c>
      <c r="C142" s="9" t="inlineStr">
        <is>
          <t>PCS</t>
        </is>
      </c>
      <c r="D142" s="9" t="n">
        <v>911</v>
      </c>
      <c r="E142" s="9" t="n">
        <v>0</v>
      </c>
      <c r="F142" s="9" t="n">
        <v>321</v>
      </c>
      <c r="H142" s="9" t="n">
        <v>590</v>
      </c>
    </row>
    <row r="143">
      <c r="A143" s="9" t="n">
        <v>4</v>
      </c>
      <c r="B143" s="9" t="inlineStr">
        <is>
          <t>PLAIN BAG 26" X 39" (50KG)</t>
        </is>
      </c>
      <c r="C143" s="9" t="inlineStr">
        <is>
          <t>PCS</t>
        </is>
      </c>
      <c r="D143" s="9" t="n">
        <v>6240</v>
      </c>
      <c r="E143" s="9" t="n">
        <v>10000</v>
      </c>
      <c r="F143" s="9" t="n">
        <v>12849</v>
      </c>
      <c r="H143" s="9" t="n">
        <v>3391</v>
      </c>
    </row>
    <row r="144">
      <c r="A144" s="9" t="n">
        <v>5</v>
      </c>
      <c r="B144" s="9" t="inlineStr">
        <is>
          <t>WOVEN BAG (8101) - KHAKI 50KG</t>
        </is>
      </c>
      <c r="C144" s="9" t="inlineStr">
        <is>
          <t>PCS</t>
        </is>
      </c>
      <c r="D144" s="9" t="n">
        <v>1901</v>
      </c>
      <c r="E144" s="9" t="n">
        <v>0</v>
      </c>
      <c r="F144" s="9" t="n">
        <v>0</v>
      </c>
      <c r="H144" s="9" t="n">
        <v>1901</v>
      </c>
    </row>
    <row r="145">
      <c r="A145" s="9" t="n">
        <v>6</v>
      </c>
      <c r="B145" s="9" t="inlineStr">
        <is>
          <t>WOVEN BAG (8102) - SKY BLUE 50KG</t>
        </is>
      </c>
      <c r="C145" s="9" t="inlineStr">
        <is>
          <t>PCS</t>
        </is>
      </c>
      <c r="D145" s="9" t="n">
        <v>1885</v>
      </c>
      <c r="F145" s="9" t="n">
        <v>2592</v>
      </c>
      <c r="G145" s="9" t="n">
        <v>707</v>
      </c>
      <c r="H145" s="9" t="n">
        <v>0</v>
      </c>
    </row>
    <row r="146"/>
    <row r="147">
      <c r="B147" s="9" t="inlineStr">
        <is>
          <t>TOTAL</t>
        </is>
      </c>
      <c r="D147" s="9" t="n">
        <v>573253.8799999999</v>
      </c>
      <c r="E147" s="9" t="n">
        <v>1255368</v>
      </c>
      <c r="F147" s="9" t="n">
        <v>1340387</v>
      </c>
      <c r="G147" s="9" t="n">
        <v>-29906.48</v>
      </c>
      <c r="H147" s="9" t="n">
        <v>458328.3999999999</v>
      </c>
    </row>
    <row r="148"/>
    <row r="149">
      <c r="B149" s="9" t="inlineStr">
        <is>
          <t>Remark for adjustment (+)</t>
        </is>
      </c>
    </row>
    <row r="150">
      <c r="B150" s="9" t="inlineStr">
        <is>
          <t>SOYBEAN FULL FAT</t>
        </is>
      </c>
      <c r="C150" s="9" t="inlineStr">
        <is>
          <t>KG</t>
        </is>
      </c>
      <c r="D150" s="9" t="n">
        <v>0.5</v>
      </c>
    </row>
    <row r="151">
      <c r="B151" s="9" t="inlineStr">
        <is>
          <t>MEAT AND BONE MEAL</t>
        </is>
      </c>
      <c r="C151" s="9" t="inlineStr">
        <is>
          <t>KG</t>
        </is>
      </c>
      <c r="D151" s="9" t="n">
        <v>280</v>
      </c>
    </row>
    <row r="152">
      <c r="B152" s="9" t="inlineStr">
        <is>
          <t>SODIUM BICARBONATE</t>
        </is>
      </c>
      <c r="C152" s="9" t="inlineStr">
        <is>
          <t>KG</t>
        </is>
      </c>
      <c r="D152" s="9" t="n">
        <v>67.3</v>
      </c>
    </row>
    <row r="153">
      <c r="B153" s="9" t="inlineStr">
        <is>
          <t>L-THREONINE</t>
        </is>
      </c>
      <c r="C153" s="9" t="inlineStr">
        <is>
          <t>KG</t>
        </is>
      </c>
      <c r="D153" s="9" t="n">
        <v>24.08</v>
      </c>
    </row>
    <row r="154">
      <c r="B154" s="9" t="inlineStr">
        <is>
          <t>WOVEN BAG (8102) - SKY BLUE 50KG</t>
        </is>
      </c>
      <c r="C154" s="9" t="inlineStr">
        <is>
          <t>PCS</t>
        </is>
      </c>
      <c r="D154" s="9" t="n">
        <v>707</v>
      </c>
    </row>
    <row r="155">
      <c r="B155" s="9" t="inlineStr">
        <is>
          <t>Reason: Cut off</t>
        </is>
      </c>
    </row>
    <row r="156"/>
    <row r="157"/>
    <row r="158">
      <c r="B158" s="9" t="inlineStr">
        <is>
          <t>Remark for adjustment (-)</t>
        </is>
      </c>
    </row>
    <row r="159">
      <c r="B159" s="9" t="inlineStr">
        <is>
          <t>MAIZE/CORN</t>
        </is>
      </c>
      <c r="C159" s="9" t="inlineStr">
        <is>
          <t>KG</t>
        </is>
      </c>
      <c r="D159" s="9" t="n">
        <v>-30000</v>
      </c>
    </row>
    <row r="160">
      <c r="B160" s="9" t="inlineStr">
        <is>
          <t>SOYBEAN MEAL (ARG)</t>
        </is>
      </c>
      <c r="C160" s="9" t="inlineStr">
        <is>
          <t>KG</t>
        </is>
      </c>
      <c r="D160" s="9" t="n">
        <v>-670</v>
      </c>
    </row>
    <row r="161">
      <c r="B161" s="9" t="inlineStr">
        <is>
          <t>RICE BRAN</t>
        </is>
      </c>
      <c r="C161" s="9" t="inlineStr">
        <is>
          <t>KG</t>
        </is>
      </c>
      <c r="D161" s="9" t="n">
        <v>-310.6</v>
      </c>
    </row>
    <row r="162">
      <c r="B162" s="9" t="inlineStr">
        <is>
          <t>DL-METHIONINE</t>
        </is>
      </c>
      <c r="C162" s="9" t="inlineStr">
        <is>
          <t>KG</t>
        </is>
      </c>
      <c r="D162" s="9" t="n">
        <v>-4.76</v>
      </c>
    </row>
    <row r="163">
      <c r="B163" s="9" t="inlineStr">
        <is>
          <t>Reason: Cut off</t>
        </is>
      </c>
    </row>
    <row r="164"/>
    <row r="165"/>
    <row r="166"/>
    <row r="167"/>
    <row r="168"/>
    <row r="169"/>
    <row r="170">
      <c r="B170" s="9" t="inlineStr">
        <is>
          <t>Prepared by: ______________</t>
        </is>
      </c>
      <c r="G170" s="9" t="inlineStr">
        <is>
          <t xml:space="preserve">   Approved by: ______________</t>
        </is>
      </c>
    </row>
    <row r="171"/>
    <row r="172"/>
    <row r="173">
      <c r="H173" s="9" t="inlineStr">
        <is>
          <t>Revised Date: 2/6/2026</t>
        </is>
      </c>
    </row>
    <row r="174">
      <c r="B174" s="9" t="inlineStr">
        <is>
          <t>HARUMI Stock - FEB 2026</t>
        </is>
      </c>
    </row>
    <row r="175">
      <c r="A175" s="9" t="inlineStr">
        <is>
          <t>No</t>
        </is>
      </c>
      <c r="B175" s="9" t="inlineStr">
        <is>
          <t>Description</t>
        </is>
      </c>
      <c r="C175" s="9" t="inlineStr">
        <is>
          <t>UOM</t>
        </is>
      </c>
      <c r="D175" s="9" t="inlineStr">
        <is>
          <t>Opening</t>
        </is>
      </c>
      <c r="E175" s="9" t="inlineStr">
        <is>
          <t>Receiving</t>
        </is>
      </c>
      <c r="F175" s="9" t="inlineStr">
        <is>
          <t>Usage</t>
        </is>
      </c>
      <c r="G175" s="9" t="inlineStr">
        <is>
          <t>Adjustment</t>
        </is>
      </c>
      <c r="H175" s="9" t="inlineStr">
        <is>
          <t>Bal (KG)</t>
        </is>
      </c>
    </row>
    <row r="176">
      <c r="B176" s="9" t="inlineStr">
        <is>
          <t>RAW MATERIAL</t>
        </is>
      </c>
    </row>
    <row r="177">
      <c r="A177" s="9" t="n">
        <v>1</v>
      </c>
      <c r="B177" s="9" t="inlineStr">
        <is>
          <t>MAIZE/CORN</t>
        </is>
      </c>
      <c r="C177" s="9" t="inlineStr">
        <is>
          <t>KG</t>
        </is>
      </c>
      <c r="D177" s="9" t="n">
        <v>241788.2</v>
      </c>
      <c r="E177" s="9" t="n">
        <v>573310</v>
      </c>
      <c r="F177" s="9" t="n">
        <v>693483.4</v>
      </c>
      <c r="G177" s="9" t="n">
        <v>-30000</v>
      </c>
      <c r="H177" s="9" t="n">
        <v>91614.79999999993</v>
      </c>
    </row>
    <row r="178">
      <c r="A178" s="9" t="n">
        <v>2</v>
      </c>
      <c r="B178" s="9" t="inlineStr">
        <is>
          <t>SOYBEAN MEAL (ARG)</t>
        </is>
      </c>
      <c r="C178" s="9" t="inlineStr">
        <is>
          <t>KG</t>
        </is>
      </c>
      <c r="D178" s="9" t="n">
        <v>48748.2</v>
      </c>
      <c r="E178" s="9" t="n">
        <v>337880</v>
      </c>
      <c r="F178" s="9" t="n">
        <v>320861.6</v>
      </c>
      <c r="G178" s="9" t="n">
        <v>-670</v>
      </c>
      <c r="H178" s="9" t="n">
        <v>65096.60000000003</v>
      </c>
    </row>
    <row r="179">
      <c r="A179" s="9" t="n">
        <v>3</v>
      </c>
      <c r="B179" s="9" t="inlineStr">
        <is>
          <t>SOYBEAN FULL FAT</t>
        </is>
      </c>
      <c r="C179" s="9" t="inlineStr">
        <is>
          <t>KG</t>
        </is>
      </c>
      <c r="D179" s="9" t="n">
        <v>49884.99999999999</v>
      </c>
      <c r="E179" s="9" t="n">
        <v>81220</v>
      </c>
      <c r="F179" s="9" t="n">
        <v>82732.69999999998</v>
      </c>
      <c r="G179" s="9" t="n">
        <v>0.5</v>
      </c>
      <c r="H179" s="9" t="n">
        <v>48372.80000000002</v>
      </c>
    </row>
    <row r="180">
      <c r="A180" s="9" t="n">
        <v>4</v>
      </c>
      <c r="B180" s="9" t="inlineStr">
        <is>
          <t>WHEAT POLLARD</t>
        </is>
      </c>
      <c r="C180" s="9" t="inlineStr">
        <is>
          <t>KG</t>
        </is>
      </c>
      <c r="D180" s="9" t="n">
        <v>52772.20000000001</v>
      </c>
      <c r="E180" s="9" t="n">
        <v>19280</v>
      </c>
      <c r="F180" s="9" t="n">
        <v>37914</v>
      </c>
      <c r="H180" s="9" t="n">
        <v>34138.20000000001</v>
      </c>
    </row>
    <row r="181">
      <c r="A181" s="9" t="n">
        <v>5</v>
      </c>
      <c r="B181" s="9" t="inlineStr">
        <is>
          <t>MEAT AND BONE MEAL</t>
        </is>
      </c>
      <c r="C181" s="9" t="inlineStr">
        <is>
          <t>KG</t>
        </is>
      </c>
      <c r="D181" s="9" t="n">
        <v>34316.69999999999</v>
      </c>
      <c r="E181" s="9" t="n">
        <v>30200</v>
      </c>
      <c r="F181" s="9" t="n">
        <v>16994.7</v>
      </c>
      <c r="G181" s="9" t="n">
        <v>280</v>
      </c>
      <c r="H181" s="9" t="n">
        <v>47801.99999999999</v>
      </c>
    </row>
    <row r="182">
      <c r="A182" s="9" t="n">
        <v>6</v>
      </c>
      <c r="B182" s="9" t="inlineStr">
        <is>
          <t>CORN GLUTEN MEAL</t>
        </is>
      </c>
      <c r="C182" s="9" t="inlineStr">
        <is>
          <t>KG</t>
        </is>
      </c>
      <c r="D182" s="9" t="n">
        <v>21924.10000000001</v>
      </c>
      <c r="E182" s="9" t="n">
        <v>22150</v>
      </c>
      <c r="F182" s="9" t="n">
        <v>36572.3</v>
      </c>
      <c r="H182" s="9" t="n">
        <v>7501.800000000003</v>
      </c>
    </row>
    <row r="183">
      <c r="A183" s="9" t="n">
        <v>7</v>
      </c>
      <c r="B183" s="9" t="inlineStr">
        <is>
          <t>MEGAFAT</t>
        </is>
      </c>
      <c r="C183" s="9" t="inlineStr">
        <is>
          <t>KG</t>
        </is>
      </c>
      <c r="D183" s="9" t="n">
        <v>0</v>
      </c>
      <c r="E183" s="9" t="n">
        <v>24926.6</v>
      </c>
      <c r="F183" s="9" t="n">
        <v>24926.6</v>
      </c>
      <c r="H183" s="9" t="n">
        <v>0</v>
      </c>
    </row>
    <row r="184">
      <c r="A184" s="9" t="n">
        <v>8</v>
      </c>
      <c r="B184" s="9" t="inlineStr">
        <is>
          <t>DCP 18%</t>
        </is>
      </c>
      <c r="C184" s="9" t="inlineStr">
        <is>
          <t>KG</t>
        </is>
      </c>
      <c r="D184" s="9" t="n">
        <v>3284.5</v>
      </c>
      <c r="E184" s="9" t="n">
        <v>2000</v>
      </c>
      <c r="F184" s="9" t="n">
        <v>5276.5</v>
      </c>
      <c r="H184" s="9" t="n">
        <v>8</v>
      </c>
    </row>
    <row r="185">
      <c r="A185" s="9" t="n">
        <v>9</v>
      </c>
      <c r="B185" s="9" t="inlineStr">
        <is>
          <t xml:space="preserve">LIMESTONE POWDER </t>
        </is>
      </c>
      <c r="C185" s="9" t="inlineStr">
        <is>
          <t>KG</t>
        </is>
      </c>
      <c r="D185" s="9" t="n">
        <v>0</v>
      </c>
      <c r="E185" s="9" t="n">
        <v>7573.800000000001</v>
      </c>
      <c r="F185" s="9" t="n">
        <v>7573.800000000001</v>
      </c>
      <c r="H185" s="9" t="n">
        <v>0</v>
      </c>
    </row>
    <row r="186">
      <c r="A186" s="9" t="n">
        <v>10</v>
      </c>
      <c r="B186" s="9" t="inlineStr">
        <is>
          <t>INDUSTRY FLOUR</t>
        </is>
      </c>
      <c r="C186" s="9" t="inlineStr">
        <is>
          <t>KG</t>
        </is>
      </c>
      <c r="D186" s="9" t="n">
        <v>0</v>
      </c>
      <c r="E186" s="9" t="n">
        <v>86490</v>
      </c>
      <c r="F186" s="9" t="n">
        <v>31437.6</v>
      </c>
      <c r="H186" s="9" t="n">
        <v>55052.4</v>
      </c>
    </row>
    <row r="187">
      <c r="A187" s="9" t="n">
        <v>11</v>
      </c>
      <c r="B187" s="9" t="inlineStr">
        <is>
          <t>RICE BRAN</t>
        </is>
      </c>
      <c r="C187" s="9" t="inlineStr">
        <is>
          <t>KG</t>
        </is>
      </c>
      <c r="D187" s="9" t="n">
        <v>22172.8</v>
      </c>
      <c r="E187" s="9" t="n">
        <v>0</v>
      </c>
      <c r="F187" s="9" t="n">
        <v>21862.2</v>
      </c>
      <c r="G187" s="9" t="n">
        <v>-310.6</v>
      </c>
      <c r="H187" s="9" t="n">
        <v>0</v>
      </c>
    </row>
    <row r="188">
      <c r="A188" s="9" t="n">
        <v>12</v>
      </c>
      <c r="B188" s="9" t="inlineStr">
        <is>
          <t>EP 200</t>
        </is>
      </c>
      <c r="C188" s="9" t="inlineStr">
        <is>
          <t>KG</t>
        </is>
      </c>
      <c r="D188" s="9" t="n">
        <v>0</v>
      </c>
      <c r="E188" s="9" t="n">
        <v>2300</v>
      </c>
      <c r="F188" s="9" t="n">
        <v>0</v>
      </c>
      <c r="H188" s="9" t="n">
        <v>2300</v>
      </c>
    </row>
    <row r="189">
      <c r="A189" s="9" t="n">
        <v>13</v>
      </c>
      <c r="B189" s="9" t="inlineStr">
        <is>
          <t>SOYTIDE</t>
        </is>
      </c>
      <c r="C189" s="9" t="inlineStr">
        <is>
          <t>KG</t>
        </is>
      </c>
      <c r="D189" s="9" t="n">
        <v>0</v>
      </c>
      <c r="E189" s="9" t="n">
        <v>10200</v>
      </c>
      <c r="F189" s="9" t="n">
        <v>4503.200000000001</v>
      </c>
      <c r="H189" s="9" t="n">
        <v>5696.799999999999</v>
      </c>
    </row>
    <row r="190"/>
    <row r="191">
      <c r="B191" s="9" t="inlineStr">
        <is>
          <t>PREMIX &amp; ADDITIVES</t>
        </is>
      </c>
    </row>
    <row r="192">
      <c r="A192" s="9" t="n">
        <v>1</v>
      </c>
      <c r="B192" s="9" t="inlineStr">
        <is>
          <t>PREMIX 1101 (20KG)</t>
        </is>
      </c>
      <c r="C192" s="9" t="inlineStr">
        <is>
          <t>KG</t>
        </is>
      </c>
      <c r="D192" s="9" t="n">
        <v>3540</v>
      </c>
      <c r="E192" s="9" t="n">
        <v>0</v>
      </c>
      <c r="F192" s="9" t="n">
        <v>2920</v>
      </c>
      <c r="H192" s="9" t="n">
        <v>620</v>
      </c>
    </row>
    <row r="193">
      <c r="A193" s="9" t="n">
        <v>2</v>
      </c>
      <c r="B193" s="9" t="inlineStr">
        <is>
          <t>PREMIX 1102 (20KG)</t>
        </is>
      </c>
      <c r="C193" s="9" t="inlineStr">
        <is>
          <t>KG</t>
        </is>
      </c>
      <c r="D193" s="9" t="n">
        <v>3960</v>
      </c>
      <c r="E193" s="9" t="n">
        <v>2000</v>
      </c>
      <c r="F193" s="9" t="n">
        <v>0</v>
      </c>
      <c r="H193" s="9" t="n">
        <v>5960</v>
      </c>
    </row>
    <row r="194">
      <c r="A194" s="9" t="n">
        <v>3</v>
      </c>
      <c r="B194" s="9" t="inlineStr">
        <is>
          <t>PREMIX 1103 (20KG)</t>
        </is>
      </c>
      <c r="C194" s="9" t="inlineStr">
        <is>
          <t>KG</t>
        </is>
      </c>
      <c r="D194" s="9" t="n">
        <v>3240</v>
      </c>
      <c r="E194" s="9" t="n">
        <v>2000</v>
      </c>
      <c r="F194" s="9" t="n">
        <v>0</v>
      </c>
      <c r="H194" s="9" t="n">
        <v>5240</v>
      </c>
    </row>
    <row r="195">
      <c r="A195" s="9" t="n">
        <v>4</v>
      </c>
      <c r="B195" s="9" t="inlineStr">
        <is>
          <t>PREMIX 8100 (20KG)</t>
        </is>
      </c>
      <c r="C195" s="9" t="inlineStr">
        <is>
          <t>KG</t>
        </is>
      </c>
      <c r="D195" s="9" t="n">
        <v>5440</v>
      </c>
      <c r="E195" s="9" t="n">
        <v>0</v>
      </c>
      <c r="F195" s="9" t="n">
        <v>320</v>
      </c>
      <c r="H195" s="9" t="n">
        <v>5120</v>
      </c>
    </row>
    <row r="196">
      <c r="A196" s="9" t="n">
        <v>5</v>
      </c>
      <c r="B196" s="9" t="inlineStr">
        <is>
          <t>PREMIX 8101 (20KG)</t>
        </is>
      </c>
      <c r="C196" s="9" t="inlineStr">
        <is>
          <t>KG</t>
        </is>
      </c>
      <c r="D196" s="9" t="n">
        <v>5100</v>
      </c>
      <c r="E196" s="9" t="n">
        <v>0</v>
      </c>
      <c r="F196" s="9" t="n">
        <v>0</v>
      </c>
      <c r="H196" s="9" t="n">
        <v>5100</v>
      </c>
    </row>
    <row r="197">
      <c r="A197" s="9" t="n">
        <v>6</v>
      </c>
      <c r="B197" s="9" t="inlineStr">
        <is>
          <t>PREMIX 8102 (20KG)</t>
        </is>
      </c>
      <c r="C197" s="9" t="inlineStr">
        <is>
          <t>KG</t>
        </is>
      </c>
      <c r="D197" s="9" t="n">
        <v>16240</v>
      </c>
      <c r="E197" s="9" t="n">
        <v>0</v>
      </c>
      <c r="F197" s="9" t="n">
        <v>6000</v>
      </c>
      <c r="H197" s="9" t="n">
        <v>10240</v>
      </c>
    </row>
    <row r="198">
      <c r="A198" s="9" t="n">
        <v>7</v>
      </c>
      <c r="B198" s="9" t="inlineStr">
        <is>
          <t>PREMIX 8103 (20KG)</t>
        </is>
      </c>
      <c r="C198" s="9" t="inlineStr">
        <is>
          <t>KG</t>
        </is>
      </c>
      <c r="D198" s="9" t="n">
        <v>13120</v>
      </c>
      <c r="E198" s="9" t="n">
        <v>2000</v>
      </c>
      <c r="F198" s="9" t="n">
        <v>0</v>
      </c>
      <c r="H198" s="9" t="n">
        <v>15120</v>
      </c>
    </row>
    <row r="199">
      <c r="A199" s="9" t="n">
        <v>8</v>
      </c>
      <c r="B199" s="9" t="inlineStr">
        <is>
          <t>PREMIX 8108 (20KG)</t>
        </is>
      </c>
      <c r="C199" s="9" t="inlineStr">
        <is>
          <t>KG</t>
        </is>
      </c>
      <c r="D199" s="9" t="n">
        <v>6800</v>
      </c>
      <c r="E199" s="9" t="n">
        <v>0</v>
      </c>
      <c r="F199" s="9" t="n">
        <v>3480</v>
      </c>
      <c r="H199" s="9" t="n">
        <v>3320</v>
      </c>
    </row>
    <row r="200">
      <c r="A200" s="9" t="n">
        <v>9</v>
      </c>
      <c r="B200" s="9" t="inlineStr">
        <is>
          <t>PREMIX 8109 (20KG)</t>
        </is>
      </c>
      <c r="C200" s="9" t="inlineStr">
        <is>
          <t>KG</t>
        </is>
      </c>
      <c r="D200" s="9" t="n">
        <v>5400</v>
      </c>
      <c r="E200" s="9" t="n">
        <v>0</v>
      </c>
      <c r="F200" s="9" t="n">
        <v>0</v>
      </c>
      <c r="H200" s="9" t="n">
        <v>5400</v>
      </c>
    </row>
    <row r="201">
      <c r="A201" s="9" t="n">
        <v>10</v>
      </c>
      <c r="B201" s="9" t="inlineStr">
        <is>
          <t>YENMIX 121 (20KG)</t>
        </is>
      </c>
      <c r="C201" s="9" t="inlineStr">
        <is>
          <t>KG</t>
        </is>
      </c>
      <c r="D201" s="9" t="n">
        <v>2260</v>
      </c>
      <c r="E201" s="9" t="n">
        <v>5340</v>
      </c>
      <c r="F201" s="9" t="n">
        <v>3600</v>
      </c>
      <c r="H201" s="9" t="n">
        <v>4000</v>
      </c>
    </row>
    <row r="202">
      <c r="A202" s="9" t="n">
        <v>11</v>
      </c>
      <c r="B202" s="9" t="inlineStr">
        <is>
          <t>YENMIX 122 (19.50KG)</t>
        </is>
      </c>
      <c r="C202" s="9" t="inlineStr">
        <is>
          <t>KG</t>
        </is>
      </c>
      <c r="D202" s="9" t="n">
        <v>0</v>
      </c>
      <c r="E202" s="9" t="n">
        <v>8775</v>
      </c>
      <c r="F202" s="9" t="n">
        <v>8775</v>
      </c>
      <c r="H202" s="9" t="n">
        <v>0</v>
      </c>
    </row>
    <row r="203">
      <c r="A203" s="9" t="n">
        <v>12</v>
      </c>
      <c r="B203" s="9" t="inlineStr">
        <is>
          <t>YENMIX 123 (18.90KG)</t>
        </is>
      </c>
      <c r="C203" s="9" t="inlineStr">
        <is>
          <t>KG</t>
        </is>
      </c>
      <c r="D203" s="9" t="n">
        <v>0</v>
      </c>
      <c r="E203" s="9" t="n">
        <v>13230</v>
      </c>
      <c r="F203" s="9" t="n">
        <v>6690.599999999999</v>
      </c>
      <c r="H203" s="9" t="n">
        <v>6539.400000000001</v>
      </c>
    </row>
    <row r="204">
      <c r="A204" s="9" t="n">
        <v>13</v>
      </c>
      <c r="B204" s="9" t="inlineStr">
        <is>
          <t>TOXISORB PREMIUM</t>
        </is>
      </c>
      <c r="C204" s="9" t="inlineStr">
        <is>
          <t>KG</t>
        </is>
      </c>
      <c r="D204" s="9" t="n">
        <v>1969</v>
      </c>
      <c r="E204" s="9" t="n">
        <v>4500</v>
      </c>
      <c r="F204" s="9" t="n">
        <v>2346</v>
      </c>
      <c r="H204" s="9" t="n">
        <v>4123</v>
      </c>
    </row>
    <row r="205">
      <c r="A205" s="9" t="n">
        <v>14</v>
      </c>
      <c r="B205" s="9" t="inlineStr">
        <is>
          <t>SODIUM HUMATE 3.8%</t>
        </is>
      </c>
      <c r="C205" s="9" t="inlineStr">
        <is>
          <t>KG</t>
        </is>
      </c>
      <c r="D205" s="9" t="n">
        <v>0</v>
      </c>
      <c r="E205" s="9" t="n">
        <v>2863.2</v>
      </c>
      <c r="F205" s="9" t="n">
        <v>2863.2</v>
      </c>
      <c r="H205" s="9" t="n">
        <v>0</v>
      </c>
    </row>
    <row r="206">
      <c r="A206" s="9" t="n">
        <v>15</v>
      </c>
      <c r="B206" s="9" t="inlineStr">
        <is>
          <t>SODIUM BICARBONATE</t>
        </is>
      </c>
      <c r="C206" s="9" t="inlineStr">
        <is>
          <t>KG</t>
        </is>
      </c>
      <c r="D206" s="9" t="n">
        <v>0</v>
      </c>
      <c r="E206" s="9" t="n">
        <v>2970</v>
      </c>
      <c r="F206" s="9" t="n">
        <v>1089.6</v>
      </c>
      <c r="G206" s="9" t="n">
        <v>67.3</v>
      </c>
      <c r="H206" s="9" t="n">
        <v>1947.7</v>
      </c>
    </row>
    <row r="207">
      <c r="A207" s="9" t="n">
        <v>16</v>
      </c>
      <c r="B207" s="9" t="inlineStr">
        <is>
          <t>BMD 10%</t>
        </is>
      </c>
      <c r="C207" s="9" t="inlineStr">
        <is>
          <t>KG</t>
        </is>
      </c>
      <c r="D207" s="9" t="n">
        <v>1680.5</v>
      </c>
      <c r="E207" s="9" t="n">
        <v>0</v>
      </c>
      <c r="F207" s="9" t="n">
        <v>0</v>
      </c>
      <c r="H207" s="9" t="n">
        <v>1680.5</v>
      </c>
    </row>
    <row r="208">
      <c r="A208" s="9" t="n">
        <v>17</v>
      </c>
      <c r="B208" s="9" t="inlineStr">
        <is>
          <t>SALT</t>
        </is>
      </c>
      <c r="C208" s="9" t="inlineStr">
        <is>
          <t>KG</t>
        </is>
      </c>
      <c r="D208" s="9" t="n">
        <v>41.60000000000002</v>
      </c>
      <c r="E208" s="9" t="n">
        <v>2953.4</v>
      </c>
      <c r="F208" s="9" t="n">
        <v>2953.4</v>
      </c>
      <c r="H208" s="9" t="n">
        <v>41.59999999999991</v>
      </c>
    </row>
    <row r="209">
      <c r="A209" s="9" t="n">
        <v>18</v>
      </c>
      <c r="B209" s="9" t="inlineStr">
        <is>
          <t>VISTABET 91</t>
        </is>
      </c>
      <c r="C209" s="9" t="inlineStr">
        <is>
          <t>KG</t>
        </is>
      </c>
      <c r="D209" s="9" t="n">
        <v>0</v>
      </c>
      <c r="E209" s="9" t="n">
        <v>0</v>
      </c>
      <c r="F209" s="9" t="n">
        <v>0</v>
      </c>
      <c r="H209" s="9" t="n">
        <v>0</v>
      </c>
    </row>
    <row r="210">
      <c r="A210" s="9" t="n">
        <v>19</v>
      </c>
      <c r="B210" s="9" t="inlineStr">
        <is>
          <t>BETAFIN</t>
        </is>
      </c>
      <c r="C210" s="9" t="inlineStr">
        <is>
          <t>KG</t>
        </is>
      </c>
      <c r="D210" s="9" t="n">
        <v>0</v>
      </c>
      <c r="E210" s="9" t="n">
        <v>806</v>
      </c>
      <c r="F210" s="9" t="n">
        <v>806</v>
      </c>
      <c r="H210" s="9" t="n">
        <v>0</v>
      </c>
    </row>
    <row r="211">
      <c r="A211" s="9" t="n">
        <v>20</v>
      </c>
      <c r="B211" s="9" t="inlineStr">
        <is>
          <t>8101 TOP UP</t>
        </is>
      </c>
      <c r="C211" s="9" t="inlineStr">
        <is>
          <t>KG</t>
        </is>
      </c>
      <c r="D211" s="9" t="n">
        <v>160</v>
      </c>
      <c r="E211" s="9" t="n">
        <v>0</v>
      </c>
      <c r="F211" s="9" t="n">
        <v>60</v>
      </c>
      <c r="H211" s="9" t="n">
        <v>100</v>
      </c>
    </row>
    <row r="212">
      <c r="A212" s="9" t="n">
        <v>21</v>
      </c>
      <c r="B212" s="9" t="inlineStr">
        <is>
          <t>NORPONIN X03 (8102 TOP UP)</t>
        </is>
      </c>
      <c r="C212" s="9" t="inlineStr">
        <is>
          <t>KG</t>
        </is>
      </c>
      <c r="D212" s="9" t="n">
        <v>13.96000000000004</v>
      </c>
      <c r="E212" s="9" t="n">
        <v>0</v>
      </c>
      <c r="F212" s="9" t="n">
        <v>0</v>
      </c>
      <c r="H212" s="9" t="n">
        <v>13.96000000000004</v>
      </c>
    </row>
    <row r="213">
      <c r="A213" s="9" t="n">
        <v>22</v>
      </c>
      <c r="B213" s="9" t="inlineStr">
        <is>
          <t>8102 TOP UP</t>
        </is>
      </c>
      <c r="C213" s="9" t="inlineStr">
        <is>
          <t>KG</t>
        </is>
      </c>
      <c r="D213" s="9" t="n">
        <v>0</v>
      </c>
      <c r="E213" s="9" t="n">
        <v>400</v>
      </c>
      <c r="F213" s="9" t="n">
        <v>56</v>
      </c>
      <c r="H213" s="9" t="n">
        <v>344</v>
      </c>
    </row>
    <row r="214">
      <c r="A214" s="9" t="n">
        <v>23</v>
      </c>
      <c r="B214" s="9" t="inlineStr">
        <is>
          <t>L-ARGININE</t>
        </is>
      </c>
      <c r="C214" s="9" t="inlineStr">
        <is>
          <t>KG</t>
        </is>
      </c>
      <c r="D214" s="9" t="n">
        <v>207.6</v>
      </c>
      <c r="E214" s="9" t="n">
        <v>0</v>
      </c>
      <c r="F214" s="9" t="n">
        <v>0</v>
      </c>
      <c r="H214" s="9" t="n">
        <v>207.6</v>
      </c>
    </row>
    <row r="215">
      <c r="A215" s="9" t="n">
        <v>24</v>
      </c>
      <c r="B215" s="9" t="inlineStr">
        <is>
          <t>DL-METHIONINE</t>
        </is>
      </c>
      <c r="C215" s="9" t="inlineStr">
        <is>
          <t>KG</t>
        </is>
      </c>
      <c r="D215" s="9" t="n">
        <v>201.8</v>
      </c>
      <c r="E215" s="9" t="n">
        <v>0</v>
      </c>
      <c r="F215" s="9" t="n">
        <v>0</v>
      </c>
      <c r="G215" s="9" t="n">
        <v>-4.76</v>
      </c>
      <c r="H215" s="9" t="n">
        <v>197.04</v>
      </c>
    </row>
    <row r="216">
      <c r="A216" s="9" t="n">
        <v>25</v>
      </c>
      <c r="B216" s="9" t="inlineStr">
        <is>
          <t>L-THREONINE</t>
        </is>
      </c>
      <c r="C216" s="9" t="inlineStr">
        <is>
          <t>KG</t>
        </is>
      </c>
      <c r="D216" s="9" t="n">
        <v>22.72</v>
      </c>
      <c r="E216" s="9" t="n">
        <v>0</v>
      </c>
      <c r="F216" s="9" t="n">
        <v>0</v>
      </c>
      <c r="G216" s="9" t="n">
        <v>24.08</v>
      </c>
      <c r="H216" s="9" t="n">
        <v>46.8</v>
      </c>
    </row>
    <row r="217">
      <c r="A217" s="9" t="n">
        <v>26</v>
      </c>
      <c r="B217" s="9" t="inlineStr">
        <is>
          <t>ADDITIVE BROILER IMMUNE</t>
        </is>
      </c>
      <c r="C217" s="9" t="inlineStr">
        <is>
          <t>KG</t>
        </is>
      </c>
      <c r="D217" s="9" t="n">
        <v>270</v>
      </c>
      <c r="E217" s="9" t="n">
        <v>0</v>
      </c>
      <c r="F217" s="9" t="n">
        <v>270</v>
      </c>
      <c r="H217" s="9" t="n">
        <v>0</v>
      </c>
    </row>
    <row r="218"/>
    <row r="219">
      <c r="B219" s="9" t="inlineStr">
        <is>
          <t>PACKING MATERIALS</t>
        </is>
      </c>
    </row>
    <row r="220">
      <c r="A220" s="9" t="n">
        <v>1</v>
      </c>
      <c r="B220" s="9" t="inlineStr">
        <is>
          <t>WOVEN BAG (1101) - BLUE 50KG</t>
        </is>
      </c>
      <c r="C220" s="9" t="inlineStr">
        <is>
          <t>PCS</t>
        </is>
      </c>
      <c r="D220" s="9" t="n">
        <v>9609</v>
      </c>
      <c r="E220" s="9" t="n">
        <v>0</v>
      </c>
      <c r="F220" s="9" t="n">
        <v>2981</v>
      </c>
      <c r="H220" s="9" t="n">
        <v>6628</v>
      </c>
    </row>
    <row r="221">
      <c r="A221" s="9" t="n">
        <v>2</v>
      </c>
      <c r="B221" s="9" t="inlineStr">
        <is>
          <t>WOVEN BAG (1102) - GREEN 50KG</t>
        </is>
      </c>
      <c r="C221" s="9" t="inlineStr">
        <is>
          <t>PCS</t>
        </is>
      </c>
      <c r="D221" s="9" t="n">
        <v>8149</v>
      </c>
      <c r="E221" s="9" t="n">
        <v>0</v>
      </c>
      <c r="F221" s="9" t="n">
        <v>1590</v>
      </c>
      <c r="H221" s="9" t="n">
        <v>6559</v>
      </c>
    </row>
    <row r="222">
      <c r="A222" s="9" t="n">
        <v>3</v>
      </c>
      <c r="B222" s="9" t="inlineStr">
        <is>
          <t>WOVEN BAG (1103) - RED 50KG</t>
        </is>
      </c>
      <c r="C222" s="9" t="inlineStr">
        <is>
          <t>PCS</t>
        </is>
      </c>
      <c r="D222" s="9" t="n">
        <v>911</v>
      </c>
      <c r="E222" s="9" t="n">
        <v>0</v>
      </c>
      <c r="F222" s="9" t="n">
        <v>321</v>
      </c>
      <c r="H222" s="9" t="n">
        <v>590</v>
      </c>
    </row>
    <row r="223">
      <c r="A223" s="9" t="n">
        <v>4</v>
      </c>
      <c r="B223" s="9" t="inlineStr">
        <is>
          <t>PLAIN BAG 26" X 39" (50KG)</t>
        </is>
      </c>
      <c r="C223" s="9" t="inlineStr">
        <is>
          <t>PCS</t>
        </is>
      </c>
      <c r="D223" s="9" t="n">
        <v>6240</v>
      </c>
      <c r="E223" s="9" t="n">
        <v>10000</v>
      </c>
      <c r="F223" s="9" t="n">
        <v>12849</v>
      </c>
      <c r="H223" s="9" t="n">
        <v>3391</v>
      </c>
    </row>
    <row r="224">
      <c r="A224" s="9" t="n">
        <v>5</v>
      </c>
      <c r="B224" s="9" t="inlineStr">
        <is>
          <t>WOVEN BAG (8101) - KHAKI 50KG</t>
        </is>
      </c>
      <c r="C224" s="9" t="inlineStr">
        <is>
          <t>PCS</t>
        </is>
      </c>
      <c r="D224" s="9" t="n">
        <v>1901</v>
      </c>
      <c r="E224" s="9" t="n">
        <v>0</v>
      </c>
      <c r="F224" s="9" t="n">
        <v>0</v>
      </c>
      <c r="H224" s="9" t="n">
        <v>1901</v>
      </c>
    </row>
    <row r="225">
      <c r="A225" s="9" t="n">
        <v>6</v>
      </c>
      <c r="B225" s="9" t="inlineStr">
        <is>
          <t>WOVEN BAG (8102) - SKY BLUE 50KG</t>
        </is>
      </c>
      <c r="C225" s="9" t="inlineStr">
        <is>
          <t>PCS</t>
        </is>
      </c>
      <c r="D225" s="9" t="n">
        <v>1885</v>
      </c>
      <c r="F225" s="9" t="n">
        <v>2592</v>
      </c>
      <c r="G225" s="9" t="n">
        <v>707</v>
      </c>
      <c r="H225" s="9" t="n">
        <v>0</v>
      </c>
    </row>
    <row r="226"/>
    <row r="227">
      <c r="B227" s="9" t="inlineStr">
        <is>
          <t>TOTAL</t>
        </is>
      </c>
      <c r="D227" s="9" t="n">
        <v>573253.8799999999</v>
      </c>
      <c r="E227" s="9" t="n">
        <v>1255368</v>
      </c>
      <c r="F227" s="9" t="n">
        <v>1346701.4</v>
      </c>
      <c r="G227" s="9" t="n">
        <v>-29906.48</v>
      </c>
      <c r="H227" s="9" t="n">
        <v>452013.9999999999</v>
      </c>
    </row>
    <row r="228"/>
    <row r="229">
      <c r="B229" s="9" t="inlineStr">
        <is>
          <t>Remark for adjustment (+)</t>
        </is>
      </c>
    </row>
    <row r="230">
      <c r="B230" s="9" t="inlineStr">
        <is>
          <t>SOYBEAN FULL FAT</t>
        </is>
      </c>
      <c r="C230" s="9" t="inlineStr">
        <is>
          <t>KG</t>
        </is>
      </c>
      <c r="D230" s="9" t="n">
        <v>0.5</v>
      </c>
    </row>
    <row r="231">
      <c r="B231" s="9" t="inlineStr">
        <is>
          <t>MEAT AND BONE MEAL</t>
        </is>
      </c>
      <c r="C231" s="9" t="inlineStr">
        <is>
          <t>KG</t>
        </is>
      </c>
      <c r="D231" s="9" t="n">
        <v>280</v>
      </c>
    </row>
    <row r="232">
      <c r="B232" s="9" t="inlineStr">
        <is>
          <t>SODIUM BICARBONATE</t>
        </is>
      </c>
      <c r="C232" s="9" t="inlineStr">
        <is>
          <t>KG</t>
        </is>
      </c>
      <c r="D232" s="9" t="n">
        <v>67.3</v>
      </c>
    </row>
    <row r="233">
      <c r="B233" s="9" t="inlineStr">
        <is>
          <t>L-THREONINE</t>
        </is>
      </c>
      <c r="C233" s="9" t="inlineStr">
        <is>
          <t>KG</t>
        </is>
      </c>
      <c r="D233" s="9" t="n">
        <v>24.08</v>
      </c>
    </row>
    <row r="234">
      <c r="B234" s="9" t="inlineStr">
        <is>
          <t>WOVEN BAG (8102) - SKY BLUE 50KG</t>
        </is>
      </c>
      <c r="C234" s="9" t="inlineStr">
        <is>
          <t>PCS</t>
        </is>
      </c>
      <c r="D234" s="9" t="n">
        <v>707</v>
      </c>
    </row>
    <row r="235">
      <c r="B235" s="9" t="inlineStr">
        <is>
          <t>Reason: Cut off</t>
        </is>
      </c>
    </row>
    <row r="236"/>
    <row r="237"/>
    <row r="238">
      <c r="B238" s="9" t="inlineStr">
        <is>
          <t>Remark for adjustment (-)</t>
        </is>
      </c>
    </row>
    <row r="239">
      <c r="B239" s="9" t="inlineStr">
        <is>
          <t>MAIZE/CORN</t>
        </is>
      </c>
      <c r="C239" s="9" t="inlineStr">
        <is>
          <t>KG</t>
        </is>
      </c>
      <c r="D239" s="9" t="n">
        <v>-30000</v>
      </c>
    </row>
    <row r="240">
      <c r="B240" s="9" t="inlineStr">
        <is>
          <t>SOYBEAN MEAL (ARG)</t>
        </is>
      </c>
      <c r="C240" s="9" t="inlineStr">
        <is>
          <t>KG</t>
        </is>
      </c>
      <c r="D240" s="9" t="n">
        <v>-670</v>
      </c>
    </row>
    <row r="241">
      <c r="B241" s="9" t="inlineStr">
        <is>
          <t>RICE BRAN</t>
        </is>
      </c>
      <c r="C241" s="9" t="inlineStr">
        <is>
          <t>KG</t>
        </is>
      </c>
      <c r="D241" s="9" t="n">
        <v>-310.6</v>
      </c>
    </row>
    <row r="242">
      <c r="B242" s="9" t="inlineStr">
        <is>
          <t>DL-METHIONINE</t>
        </is>
      </c>
      <c r="C242" s="9" t="inlineStr">
        <is>
          <t>KG</t>
        </is>
      </c>
      <c r="D242" s="9" t="n">
        <v>-4.76</v>
      </c>
    </row>
    <row r="243">
      <c r="B243" s="9" t="inlineStr">
        <is>
          <t>Reason: Cut off</t>
        </is>
      </c>
    </row>
    <row r="244"/>
    <row r="245"/>
    <row r="246"/>
    <row r="247"/>
    <row r="248"/>
    <row r="249"/>
    <row r="250">
      <c r="B250" s="9" t="inlineStr">
        <is>
          <t>Prepared by: ______________</t>
        </is>
      </c>
      <c r="G250" s="9" t="inlineStr">
        <is>
          <t xml:space="preserve">   Approved by: ______________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6" customWidth="1" min="4" max="4"/>
    <col width="20" customWidth="1" min="5" max="5"/>
    <col width="21" customWidth="1" min="6" max="6"/>
    <col width="23" customWidth="1" min="7" max="7"/>
    <col width="25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6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MAR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91614.80000000002</v>
      </c>
      <c r="E4" s="9" t="n">
        <v>822130</v>
      </c>
      <c r="F4" s="9" t="n">
        <v>875753</v>
      </c>
      <c r="G4" s="9" t="n">
        <v>-10151.8</v>
      </c>
      <c r="H4" s="9" t="n">
        <v>27839.99999999996</v>
      </c>
      <c r="O4" s="9" t="n">
        <v>-27839.99999999996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65096.60000000003</v>
      </c>
      <c r="E5" s="9" t="n">
        <v>284831.8</v>
      </c>
      <c r="F5" s="9" t="n">
        <v>350598</v>
      </c>
      <c r="G5" s="9" t="n">
        <v>-0.3999999999941792</v>
      </c>
      <c r="H5" s="9" t="n">
        <v>-669.9999999999163</v>
      </c>
      <c r="O5" s="9" t="n">
        <v>669.9999999999163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48372.79999999997</v>
      </c>
      <c r="E6" s="9" t="n">
        <v>80280</v>
      </c>
      <c r="F6" s="9" t="n">
        <v>108618</v>
      </c>
      <c r="G6" s="9" t="n">
        <v>-16.40000000000356</v>
      </c>
      <c r="H6" s="9" t="n">
        <v>20018.39999999997</v>
      </c>
      <c r="O6" s="9" t="n">
        <v>-20018.39999999997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34138.20000000002</v>
      </c>
      <c r="E7" s="9" t="n">
        <v>30490</v>
      </c>
      <c r="F7" s="9" t="n">
        <v>38304</v>
      </c>
      <c r="G7" s="9" t="n">
        <v>-31.49999999999966</v>
      </c>
      <c r="H7" s="9" t="n">
        <v>26292.70000000002</v>
      </c>
      <c r="O7" s="9" t="n">
        <v>-26292.70000000002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47801.99999999999</v>
      </c>
      <c r="E9" s="9" t="n">
        <v>0</v>
      </c>
      <c r="F9" s="9" t="n">
        <v>10569</v>
      </c>
      <c r="G9" s="9" t="n">
        <v>-19846.3</v>
      </c>
      <c r="H9" s="9" t="n">
        <v>17386.69999999999</v>
      </c>
      <c r="O9" s="9" t="n">
        <v>-17386.69999999999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7501.800000000005</v>
      </c>
      <c r="E10" s="9" t="n">
        <v>44369.7</v>
      </c>
      <c r="F10" s="9" t="n">
        <v>51856</v>
      </c>
      <c r="G10" s="9" t="n">
        <v>-15.50000000000063</v>
      </c>
      <c r="H10" s="9" t="n">
        <v>1.818989403545856e-12</v>
      </c>
      <c r="O10" s="9" t="n">
        <v>-1.818989403545856e-12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33929.6</v>
      </c>
      <c r="F11" s="9" t="n">
        <v>33930</v>
      </c>
      <c r="G11" s="9" t="n">
        <v>0.3999999999996362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8.000000000000114</v>
      </c>
      <c r="E12" s="9" t="n">
        <v>18000</v>
      </c>
      <c r="F12" s="9" t="n">
        <v>6718.2</v>
      </c>
      <c r="G12" s="9" t="n">
        <v>523.1000000000005</v>
      </c>
      <c r="H12" s="9" t="n">
        <v>11812.9</v>
      </c>
      <c r="O12" s="9" t="n">
        <v>-11812.9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9326.799999999999</v>
      </c>
      <c r="F13" s="9" t="n">
        <v>11948.8</v>
      </c>
      <c r="G13" s="9" t="n">
        <v>2622.000000000001</v>
      </c>
      <c r="H13" s="9" t="n">
        <v>0</v>
      </c>
      <c r="O13" s="9" t="n">
        <v>0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55052.4</v>
      </c>
      <c r="E15" s="9" t="n">
        <v>35280</v>
      </c>
      <c r="F15" s="9" t="n">
        <v>58460</v>
      </c>
      <c r="G15" s="9" t="n">
        <v>-2.70000000000266</v>
      </c>
      <c r="H15" s="9" t="n">
        <v>31869.7</v>
      </c>
      <c r="O15" s="9" t="n">
        <v>-31869.7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-2.842170943040401e-12</v>
      </c>
      <c r="E16" s="9" t="n">
        <v>45900</v>
      </c>
      <c r="F16" s="9" t="n">
        <v>39280</v>
      </c>
      <c r="G16" s="9" t="n">
        <v>38.99999999999866</v>
      </c>
      <c r="H16" s="9" t="n">
        <v>6658.999999999995</v>
      </c>
      <c r="O16" s="9" t="n">
        <v>-6658.999999999995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2300</v>
      </c>
      <c r="E17" s="9" t="n">
        <v>4850</v>
      </c>
      <c r="F17" s="9" t="n">
        <v>0</v>
      </c>
      <c r="G17" s="9" t="n">
        <v>0</v>
      </c>
      <c r="H17" s="9" t="n">
        <v>7150</v>
      </c>
      <c r="O17" s="9" t="n">
        <v>-7150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5696.8</v>
      </c>
      <c r="E18" s="9" t="n">
        <v>0</v>
      </c>
      <c r="F18" s="9" t="n">
        <v>3849.5</v>
      </c>
      <c r="G18" s="9" t="n">
        <v>0</v>
      </c>
      <c r="H18" s="9" t="n">
        <v>1847.3</v>
      </c>
      <c r="O18" s="9" t="n">
        <v>-1847.3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620</v>
      </c>
      <c r="E25" s="9" t="n">
        <v>4000</v>
      </c>
      <c r="F25" s="9" t="n">
        <v>2640</v>
      </c>
      <c r="G25" s="9" t="n">
        <v>0</v>
      </c>
      <c r="H25" s="9" t="n">
        <v>1980</v>
      </c>
      <c r="O25" s="9" t="n">
        <v>-1980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5960</v>
      </c>
      <c r="E26" s="9" t="n">
        <v>4000</v>
      </c>
      <c r="F26" s="9" t="n">
        <v>6680</v>
      </c>
      <c r="G26" s="9" t="n">
        <v>-1280</v>
      </c>
      <c r="H26" s="9" t="n">
        <v>2000</v>
      </c>
      <c r="O26" s="9" t="n">
        <v>-2000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5240</v>
      </c>
      <c r="E27" s="9" t="n">
        <v>0</v>
      </c>
      <c r="F27" s="9" t="n">
        <v>760</v>
      </c>
      <c r="G27" s="9" t="n">
        <v>320</v>
      </c>
      <c r="H27" s="9" t="n">
        <v>4800</v>
      </c>
      <c r="O27" s="9" t="n">
        <v>-4800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O28" s="9" t="n">
        <v>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O29" s="9" t="n">
        <v>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5120</v>
      </c>
      <c r="E31" s="9" t="n">
        <v>0</v>
      </c>
      <c r="F31" s="9" t="n">
        <v>0</v>
      </c>
      <c r="G31" s="9" t="n">
        <v>0</v>
      </c>
      <c r="H31" s="9" t="n">
        <v>5120</v>
      </c>
      <c r="O31" s="9" t="n">
        <v>-5120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5100</v>
      </c>
      <c r="E32" s="9" t="n">
        <v>1440</v>
      </c>
      <c r="F32" s="9" t="n">
        <v>0</v>
      </c>
      <c r="G32" s="9" t="n">
        <v>0</v>
      </c>
      <c r="H32" s="9" t="n">
        <v>6540</v>
      </c>
      <c r="O32" s="9" t="n">
        <v>-6540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10240</v>
      </c>
      <c r="E33" s="9" t="n">
        <v>1300</v>
      </c>
      <c r="F33" s="9" t="n">
        <v>0</v>
      </c>
      <c r="G33" s="9" t="n">
        <v>0</v>
      </c>
      <c r="H33" s="9" t="n">
        <v>11540</v>
      </c>
      <c r="O33" s="9" t="n">
        <v>-11540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15120</v>
      </c>
      <c r="E34" s="9" t="n">
        <v>0</v>
      </c>
      <c r="F34" s="9" t="n">
        <v>0</v>
      </c>
      <c r="G34" s="9" t="n">
        <v>0</v>
      </c>
      <c r="H34" s="9" t="n">
        <v>15120</v>
      </c>
      <c r="O34" s="9" t="n">
        <v>-15120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3320</v>
      </c>
      <c r="E35" s="9" t="n">
        <v>1720</v>
      </c>
      <c r="F35" s="9" t="n">
        <v>0</v>
      </c>
      <c r="G35" s="9" t="n">
        <v>0</v>
      </c>
      <c r="H35" s="9" t="n">
        <v>5040</v>
      </c>
      <c r="O35" s="9" t="n">
        <v>-5040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5400</v>
      </c>
      <c r="E36" s="9" t="n">
        <v>3700</v>
      </c>
      <c r="F36" s="9" t="n">
        <v>0</v>
      </c>
      <c r="G36" s="9" t="n">
        <v>0</v>
      </c>
      <c r="H36" s="9" t="n">
        <v>9100</v>
      </c>
      <c r="O36" s="9" t="n">
        <v>-9100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4000</v>
      </c>
      <c r="E37" s="9" t="n">
        <v>4140</v>
      </c>
      <c r="F37" s="9" t="n">
        <v>3200</v>
      </c>
      <c r="G37" s="9" t="n">
        <v>-720</v>
      </c>
      <c r="H37" s="9" t="n">
        <v>4220</v>
      </c>
      <c r="O37" s="9" t="n">
        <v>-4220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0</v>
      </c>
      <c r="E38" s="9" t="n">
        <v>12577.5</v>
      </c>
      <c r="F38" s="9" t="n">
        <v>6396</v>
      </c>
      <c r="G38" s="9" t="n">
        <v>1521</v>
      </c>
      <c r="H38" s="9" t="n">
        <v>7702.5</v>
      </c>
      <c r="O38" s="9" t="n">
        <v>-7702.5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6539.400000000001</v>
      </c>
      <c r="E39" s="9" t="n">
        <v>8467.199999999999</v>
      </c>
      <c r="F39" s="9" t="n">
        <v>12096</v>
      </c>
      <c r="G39" s="9" t="n">
        <v>3515.4</v>
      </c>
      <c r="H39" s="9" t="n">
        <v>6426</v>
      </c>
      <c r="O39" s="9" t="n">
        <v>-6426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O40" s="9" t="n">
        <v>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O41" s="9" t="n">
        <v>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4123</v>
      </c>
      <c r="E45" s="9" t="n">
        <v>2000</v>
      </c>
      <c r="F45" s="9" t="n">
        <v>2308</v>
      </c>
      <c r="G45" s="9" t="n">
        <v>0</v>
      </c>
      <c r="H45" s="9" t="n">
        <v>4195</v>
      </c>
      <c r="O45" s="9" t="n">
        <v>-4195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2478</v>
      </c>
      <c r="F46" s="9" t="n">
        <v>3384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SODIUM BICARBONATE</t>
        </is>
      </c>
      <c r="C47" s="9" t="inlineStr">
        <is>
          <t>KG</t>
        </is>
      </c>
      <c r="D47" s="9" t="n">
        <v>1947.7</v>
      </c>
      <c r="E47" s="9" t="n">
        <v>3000</v>
      </c>
      <c r="F47" s="9" t="n">
        <v>795.1999999999999</v>
      </c>
      <c r="G47" s="9" t="n">
        <v>0</v>
      </c>
      <c r="H47" s="9" t="n">
        <v>4152.5</v>
      </c>
    </row>
    <row r="48"/>
    <row r="49">
      <c r="B49" s="9" t="inlineStr">
        <is>
          <t>PACKING MATERIALS</t>
        </is>
      </c>
    </row>
    <row r="50">
      <c r="B50" s="9" t="inlineStr">
        <is>
          <t>TOXIWALL</t>
        </is>
      </c>
      <c r="C50" s="9" t="inlineStr">
        <is>
          <t>PCS</t>
        </is>
      </c>
      <c r="D50" s="9" t="n">
        <v>0</v>
      </c>
      <c r="E50" s="9" t="n">
        <v>2065</v>
      </c>
      <c r="F50" s="9" t="n">
        <v>50</v>
      </c>
      <c r="G50" s="9" t="n">
        <v>0</v>
      </c>
      <c r="H50" s="9" t="n">
        <v>2065</v>
      </c>
      <c r="O50" s="9" t="n">
        <v>-2065</v>
      </c>
    </row>
    <row r="51">
      <c r="B51" s="9" t="inlineStr">
        <is>
          <t>BMD 10%</t>
        </is>
      </c>
      <c r="C51" s="9" t="inlineStr">
        <is>
          <t>PCS</t>
        </is>
      </c>
      <c r="D51" s="9" t="n">
        <v>1680.5</v>
      </c>
      <c r="E51" s="9" t="n">
        <v>0</v>
      </c>
      <c r="F51" s="9" t="n">
        <v>0</v>
      </c>
      <c r="G51" s="9" t="n">
        <v>0</v>
      </c>
      <c r="H51" s="9" t="n">
        <v>1680.5</v>
      </c>
      <c r="O51" s="9" t="n">
        <v>-1680.5</v>
      </c>
    </row>
    <row r="52">
      <c r="B52" s="9" t="inlineStr">
        <is>
          <t>SALT (HARUMI)</t>
        </is>
      </c>
      <c r="C52" s="9" t="inlineStr">
        <is>
          <t>PCS</t>
        </is>
      </c>
      <c r="D52" s="9" t="n">
        <v>0</v>
      </c>
      <c r="E52" s="9" t="n">
        <v>2160</v>
      </c>
      <c r="F52" s="9" t="n">
        <v>2160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VISTABET 91</t>
        </is>
      </c>
      <c r="C53" s="9" t="inlineStr">
        <is>
          <t>PCS</t>
        </is>
      </c>
      <c r="D53" s="9" t="n">
        <v>0</v>
      </c>
      <c r="E53" s="9" t="n">
        <v>2000</v>
      </c>
      <c r="F53" s="9" t="n">
        <v>1000</v>
      </c>
      <c r="G53" s="9" t="n">
        <v>0</v>
      </c>
      <c r="H53" s="9" t="n">
        <v>1000</v>
      </c>
      <c r="O53" s="9" t="n">
        <v>-1000</v>
      </c>
    </row>
    <row r="54">
      <c r="B54" s="9" t="inlineStr">
        <is>
          <t>BETAFIN</t>
        </is>
      </c>
      <c r="C54" s="9" t="inlineStr">
        <is>
          <t>PCS</t>
        </is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O54" s="9" t="n">
        <v>0</v>
      </c>
    </row>
    <row r="55">
      <c r="B55" s="9" t="inlineStr">
        <is>
          <t>8101 TOP UP</t>
        </is>
      </c>
      <c r="C55" s="9" t="inlineStr">
        <is>
          <t>PCS</t>
        </is>
      </c>
      <c r="D55" s="9" t="n">
        <v>100</v>
      </c>
      <c r="E55" s="9" t="n">
        <v>0</v>
      </c>
      <c r="F55" s="9" t="n">
        <v>0</v>
      </c>
      <c r="G55" s="9" t="n">
        <v>0</v>
      </c>
      <c r="H55" s="9" t="n">
        <v>100</v>
      </c>
      <c r="O55" s="9" t="n">
        <v>-100</v>
      </c>
    </row>
    <row r="56">
      <c r="B56" s="9" t="inlineStr">
        <is>
          <t>NORPONIN X03 (8102 TOP UP)</t>
        </is>
      </c>
      <c r="C56" s="9" t="inlineStr">
        <is>
          <t>PCS</t>
        </is>
      </c>
      <c r="D56" s="9" t="n">
        <v>13.96000000000004</v>
      </c>
      <c r="E56" s="9" t="n">
        <v>0</v>
      </c>
      <c r="F56" s="9" t="n">
        <v>0</v>
      </c>
      <c r="G56" s="9" t="n">
        <v>0</v>
      </c>
      <c r="H56" s="9" t="n">
        <v>13.96000000000004</v>
      </c>
      <c r="O56" s="9" t="n">
        <v>-13.96000000000004</v>
      </c>
    </row>
    <row r="57">
      <c r="B57" s="9" t="inlineStr">
        <is>
          <t>8102 TOP UP (4KG)</t>
        </is>
      </c>
      <c r="C57" s="9" t="inlineStr">
        <is>
          <t>PCS</t>
        </is>
      </c>
      <c r="D57" s="9" t="n">
        <v>344</v>
      </c>
      <c r="E57" s="9" t="n">
        <v>868</v>
      </c>
      <c r="F57" s="9" t="n">
        <v>0</v>
      </c>
      <c r="G57" s="9" t="n">
        <v>0</v>
      </c>
      <c r="H57" s="9" t="n">
        <v>1212</v>
      </c>
      <c r="O57" s="9" t="n">
        <v>-1212</v>
      </c>
    </row>
    <row r="58">
      <c r="B58" s="9" t="inlineStr">
        <is>
          <t>8103 TOP UP (5KG)</t>
        </is>
      </c>
      <c r="C58" s="9" t="inlineStr">
        <is>
          <t>PCS</t>
        </is>
      </c>
      <c r="D58" s="9" t="n">
        <v>0</v>
      </c>
      <c r="E58" s="9" t="n">
        <v>400</v>
      </c>
      <c r="F58" s="9" t="n">
        <v>0</v>
      </c>
      <c r="G58" s="9" t="n">
        <v>0</v>
      </c>
      <c r="H58" s="9" t="n">
        <v>400</v>
      </c>
      <c r="O58" s="9" t="n">
        <v>-400</v>
      </c>
    </row>
    <row r="59">
      <c r="B59" s="9" t="inlineStr">
        <is>
          <t>L-ARGININE</t>
        </is>
      </c>
      <c r="C59" s="9" t="inlineStr">
        <is>
          <t>KG</t>
        </is>
      </c>
    </row>
    <row r="60">
      <c r="B60" s="9" t="inlineStr">
        <is>
          <t>DL-METHIONINE</t>
        </is>
      </c>
      <c r="C60" s="9" t="inlineStr">
        <is>
          <t>KG</t>
        </is>
      </c>
    </row>
    <row r="61">
      <c r="B61" s="9" t="inlineStr">
        <is>
          <t>L-THREONINE</t>
        </is>
      </c>
      <c r="C61" s="9" t="inlineStr">
        <is>
          <t>KG</t>
        </is>
      </c>
    </row>
    <row r="62">
      <c r="B62" s="9" t="inlineStr">
        <is>
          <t>L-LYSINE</t>
        </is>
      </c>
      <c r="C62" s="9" t="inlineStr">
        <is>
          <t>KG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B88" s="9" t="inlineStr">
        <is>
          <t>TOTAL</t>
        </is>
      </c>
      <c r="D88" s="9" t="n">
        <v>432451.9600000001</v>
      </c>
      <c r="E88" s="9" t="n">
        <v>1465703.6</v>
      </c>
      <c r="F88" s="9" t="n">
        <v>1631353.7</v>
      </c>
      <c r="G88" s="9" t="n">
        <v>-23523.7</v>
      </c>
      <c r="H88" s="9" t="n">
        <v>244614.16</v>
      </c>
      <c r="K88" s="9" t="n">
        <v>0</v>
      </c>
    </row>
    <row r="89"/>
    <row r="90"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</row>
    <row r="91"/>
    <row r="92">
      <c r="B92" s="9" t="inlineStr">
        <is>
          <t>HARUMI Stock - MAR 2026</t>
        </is>
      </c>
    </row>
    <row r="93">
      <c r="A93" s="9" t="inlineStr">
        <is>
          <t>No</t>
        </is>
      </c>
      <c r="B93" s="9" t="inlineStr">
        <is>
          <t>Description</t>
        </is>
      </c>
      <c r="C93" s="9" t="inlineStr">
        <is>
          <t>UOM</t>
        </is>
      </c>
      <c r="D93" s="9" t="inlineStr">
        <is>
          <t>Opening</t>
        </is>
      </c>
      <c r="E93" s="9" t="inlineStr">
        <is>
          <t>Receiving</t>
        </is>
      </c>
      <c r="F93" s="9" t="inlineStr">
        <is>
          <t>Usage</t>
        </is>
      </c>
      <c r="G93" s="9" t="inlineStr">
        <is>
          <t>Adjustment</t>
        </is>
      </c>
      <c r="H93" s="9" t="inlineStr">
        <is>
          <t>Bal (KG)</t>
        </is>
      </c>
    </row>
    <row r="94">
      <c r="B94" s="9" t="inlineStr">
        <is>
          <t>RAW MATERIAL</t>
        </is>
      </c>
    </row>
    <row r="95">
      <c r="A95" s="9" t="n">
        <v>1</v>
      </c>
      <c r="B95" s="9" t="inlineStr">
        <is>
          <t>MAIZE/CORN</t>
        </is>
      </c>
      <c r="C95" s="9" t="inlineStr">
        <is>
          <t>KG</t>
        </is>
      </c>
      <c r="D95" s="9" t="n">
        <v>91614.80000000002</v>
      </c>
      <c r="E95" s="9" t="n">
        <v>822130</v>
      </c>
      <c r="F95" s="9" t="n">
        <v>875757.8</v>
      </c>
      <c r="G95" s="9" t="n">
        <v>-10147</v>
      </c>
      <c r="H95" s="9" t="n">
        <v>27840</v>
      </c>
    </row>
    <row r="96">
      <c r="A96" s="9" t="n">
        <v>2</v>
      </c>
      <c r="B96" s="9" t="inlineStr">
        <is>
          <t>SOYBEAN MEAL (ARG)</t>
        </is>
      </c>
      <c r="C96" s="9" t="inlineStr">
        <is>
          <t>KG</t>
        </is>
      </c>
      <c r="D96" s="9" t="n">
        <v>65096.60000000003</v>
      </c>
      <c r="E96" s="9" t="n">
        <v>281460</v>
      </c>
      <c r="F96" s="9" t="n">
        <v>350598.4</v>
      </c>
      <c r="G96" s="9" t="n">
        <v>3371.8</v>
      </c>
      <c r="H96" s="9" t="n">
        <v>-669.99999999993</v>
      </c>
    </row>
    <row r="97">
      <c r="A97" s="9" t="n">
        <v>3</v>
      </c>
      <c r="B97" s="9" t="inlineStr">
        <is>
          <t>SOYBEAN FULL FAT</t>
        </is>
      </c>
      <c r="C97" s="9" t="inlineStr">
        <is>
          <t>KG</t>
        </is>
      </c>
      <c r="D97" s="9" t="n">
        <v>48372.79999999997</v>
      </c>
      <c r="E97" s="9" t="n">
        <v>80280</v>
      </c>
      <c r="F97" s="9" t="n">
        <v>108634.4</v>
      </c>
      <c r="H97" s="9" t="n">
        <v>20018.39999999998</v>
      </c>
    </row>
    <row r="98">
      <c r="A98" s="9" t="n">
        <v>4</v>
      </c>
      <c r="B98" s="9" t="inlineStr">
        <is>
          <t>WHEAT POLLARD</t>
        </is>
      </c>
      <c r="C98" s="9" t="inlineStr">
        <is>
          <t>KG</t>
        </is>
      </c>
      <c r="D98" s="9" t="n">
        <v>34138.20000000002</v>
      </c>
      <c r="E98" s="9" t="n">
        <v>30490</v>
      </c>
      <c r="F98" s="9" t="n">
        <v>38335.5</v>
      </c>
      <c r="H98" s="9" t="n">
        <v>26292.70000000002</v>
      </c>
    </row>
    <row r="99">
      <c r="A99" s="9" t="n">
        <v>5</v>
      </c>
      <c r="B99" s="9" t="inlineStr">
        <is>
          <t>MEAT AND BONE MEAL</t>
        </is>
      </c>
      <c r="C99" s="9" t="inlineStr">
        <is>
          <t>KG</t>
        </is>
      </c>
      <c r="D99" s="9" t="n">
        <v>47801.99999999999</v>
      </c>
      <c r="E99" s="9" t="n">
        <v>0</v>
      </c>
      <c r="F99" s="9" t="n">
        <v>10575.3</v>
      </c>
      <c r="G99" s="9" t="n">
        <v>-19840</v>
      </c>
      <c r="H99" s="9" t="n">
        <v>17386.69999999998</v>
      </c>
    </row>
    <row r="100">
      <c r="A100" s="9" t="n">
        <v>6</v>
      </c>
      <c r="B100" s="9" t="inlineStr">
        <is>
          <t>CORN GLUTEN MEAL</t>
        </is>
      </c>
      <c r="C100" s="9" t="inlineStr">
        <is>
          <t>KG</t>
        </is>
      </c>
      <c r="D100" s="9" t="n">
        <v>7501.800000000005</v>
      </c>
      <c r="E100" s="9" t="n">
        <v>0</v>
      </c>
      <c r="F100" s="9" t="n">
        <v>51871.5</v>
      </c>
      <c r="G100" s="9" t="n">
        <v>44369.7</v>
      </c>
      <c r="H100" s="9" t="n">
        <v>0</v>
      </c>
    </row>
    <row r="101">
      <c r="A101" s="9" t="n">
        <v>7</v>
      </c>
      <c r="B101" s="9" t="inlineStr">
        <is>
          <t>MEGAFAT</t>
        </is>
      </c>
      <c r="C101" s="9" t="inlineStr">
        <is>
          <t>KG</t>
        </is>
      </c>
      <c r="D101" s="9" t="n">
        <v>0</v>
      </c>
      <c r="E101" s="9" t="n">
        <v>33929.6</v>
      </c>
      <c r="F101" s="9" t="n">
        <v>33929.6</v>
      </c>
      <c r="H101" s="9" t="n">
        <v>0</v>
      </c>
    </row>
    <row r="102">
      <c r="A102" s="9" t="n">
        <v>8</v>
      </c>
      <c r="B102" s="9" t="inlineStr">
        <is>
          <t>DCP 18%</t>
        </is>
      </c>
      <c r="C102" s="9" t="inlineStr">
        <is>
          <t>KG</t>
        </is>
      </c>
      <c r="D102" s="9" t="n">
        <v>8.000000000000114</v>
      </c>
      <c r="E102" s="9" t="n">
        <v>18000</v>
      </c>
      <c r="F102" s="9" t="n">
        <v>6195.099999999999</v>
      </c>
      <c r="H102" s="9" t="n">
        <v>11812.9</v>
      </c>
    </row>
    <row r="103">
      <c r="A103" s="9" t="n">
        <v>9</v>
      </c>
      <c r="B103" s="9" t="inlineStr">
        <is>
          <t xml:space="preserve">LIMESTONE POWDER </t>
        </is>
      </c>
      <c r="C103" s="9" t="inlineStr">
        <is>
          <t>KG</t>
        </is>
      </c>
      <c r="D103" s="9" t="n">
        <v>0</v>
      </c>
      <c r="E103" s="9" t="n">
        <v>9326.799999999999</v>
      </c>
      <c r="F103" s="9" t="n">
        <v>9326.799999999999</v>
      </c>
      <c r="H103" s="9" t="n">
        <v>0</v>
      </c>
    </row>
    <row r="104">
      <c r="A104" s="9" t="n">
        <v>10</v>
      </c>
      <c r="B104" s="9" t="inlineStr">
        <is>
          <t>INDUSTRY FLOUR</t>
        </is>
      </c>
      <c r="C104" s="9" t="inlineStr">
        <is>
          <t>KG</t>
        </is>
      </c>
      <c r="D104" s="9" t="n">
        <v>55052.4</v>
      </c>
      <c r="E104" s="9" t="n">
        <v>35280</v>
      </c>
      <c r="F104" s="9" t="n">
        <v>58462.7</v>
      </c>
      <c r="H104" s="9" t="n">
        <v>31869.7</v>
      </c>
    </row>
    <row r="105">
      <c r="A105" s="9" t="n">
        <v>11</v>
      </c>
      <c r="B105" s="9" t="inlineStr">
        <is>
          <t>RICE BRAN</t>
        </is>
      </c>
      <c r="C105" s="9" t="inlineStr">
        <is>
          <t>KG</t>
        </is>
      </c>
      <c r="D105" s="9" t="n">
        <v>0</v>
      </c>
      <c r="E105" s="9" t="n">
        <v>45900</v>
      </c>
      <c r="F105" s="9" t="n">
        <v>39241.00000000001</v>
      </c>
      <c r="H105" s="9" t="n">
        <v>6658.999999999993</v>
      </c>
    </row>
    <row r="106">
      <c r="A106" s="9" t="n">
        <v>12</v>
      </c>
      <c r="B106" s="9" t="inlineStr">
        <is>
          <t>EP 200</t>
        </is>
      </c>
      <c r="C106" s="9" t="inlineStr">
        <is>
          <t>KG</t>
        </is>
      </c>
      <c r="D106" s="9" t="n">
        <v>2300</v>
      </c>
      <c r="E106" s="9" t="n">
        <v>0</v>
      </c>
      <c r="F106" s="9" t="n">
        <v>0</v>
      </c>
      <c r="G106" s="9" t="n">
        <v>4850</v>
      </c>
      <c r="H106" s="9" t="n">
        <v>7150</v>
      </c>
    </row>
    <row r="107">
      <c r="A107" s="9" t="n">
        <v>13</v>
      </c>
      <c r="B107" s="9" t="inlineStr">
        <is>
          <t>SOYTIDE</t>
        </is>
      </c>
      <c r="C107" s="9" t="inlineStr">
        <is>
          <t>KG</t>
        </is>
      </c>
      <c r="D107" s="9" t="n">
        <v>5696.8</v>
      </c>
      <c r="E107" s="9" t="n">
        <v>0</v>
      </c>
      <c r="F107" s="9" t="n">
        <v>3849.5</v>
      </c>
      <c r="H107" s="9" t="n">
        <v>1847.3</v>
      </c>
    </row>
    <row r="108"/>
    <row r="109">
      <c r="B109" s="9" t="inlineStr">
        <is>
          <t>PREMIX &amp; ADDITIVES</t>
        </is>
      </c>
    </row>
    <row r="110">
      <c r="A110" s="9" t="n">
        <v>1</v>
      </c>
      <c r="B110" s="9" t="inlineStr">
        <is>
          <t>PREMIX 1101 (20KG)</t>
        </is>
      </c>
      <c r="C110" s="9" t="inlineStr">
        <is>
          <t>KG</t>
        </is>
      </c>
      <c r="D110" s="9" t="n">
        <v>620</v>
      </c>
      <c r="E110" s="9" t="n">
        <v>4000</v>
      </c>
      <c r="F110" s="9" t="n">
        <v>2640</v>
      </c>
      <c r="H110" s="9" t="n">
        <v>1980</v>
      </c>
    </row>
    <row r="111">
      <c r="A111" s="9" t="n">
        <v>2</v>
      </c>
      <c r="B111" s="9" t="inlineStr">
        <is>
          <t>PREMIX 1102 (20KG)</t>
        </is>
      </c>
      <c r="C111" s="9" t="inlineStr">
        <is>
          <t>KG</t>
        </is>
      </c>
      <c r="D111" s="9" t="n">
        <v>5960</v>
      </c>
      <c r="E111" s="9" t="n">
        <v>4000</v>
      </c>
      <c r="F111" s="9" t="n">
        <v>7960</v>
      </c>
      <c r="H111" s="9" t="n">
        <v>2000</v>
      </c>
    </row>
    <row r="112">
      <c r="A112" s="9" t="n">
        <v>3</v>
      </c>
      <c r="B112" s="9" t="inlineStr">
        <is>
          <t>PREMIX 1103 (20KG)</t>
        </is>
      </c>
      <c r="C112" s="9" t="inlineStr">
        <is>
          <t>KG</t>
        </is>
      </c>
      <c r="D112" s="9" t="n">
        <v>5240</v>
      </c>
      <c r="E112" s="9" t="n">
        <v>0</v>
      </c>
      <c r="F112" s="9" t="n">
        <v>440</v>
      </c>
      <c r="H112" s="9" t="n">
        <v>4800</v>
      </c>
    </row>
    <row r="113">
      <c r="A113" s="9" t="n">
        <v>4</v>
      </c>
      <c r="B113" s="9" t="inlineStr">
        <is>
          <t>PREMIX 8100 (20KG)</t>
        </is>
      </c>
      <c r="C113" s="9" t="inlineStr">
        <is>
          <t>KG</t>
        </is>
      </c>
      <c r="D113" s="9" t="n">
        <v>5120</v>
      </c>
      <c r="E113" s="9" t="n">
        <v>0</v>
      </c>
      <c r="F113" s="9" t="n">
        <v>0</v>
      </c>
      <c r="H113" s="9" t="n">
        <v>5120</v>
      </c>
    </row>
    <row r="114">
      <c r="A114" s="9" t="n">
        <v>5</v>
      </c>
      <c r="B114" s="9" t="inlineStr">
        <is>
          <t>PREMIX 8101 (20KG)</t>
        </is>
      </c>
      <c r="C114" s="9" t="inlineStr">
        <is>
          <t>KG</t>
        </is>
      </c>
      <c r="D114" s="9" t="n">
        <v>5100</v>
      </c>
      <c r="E114" s="9" t="n">
        <v>0</v>
      </c>
      <c r="F114" s="9" t="n">
        <v>0</v>
      </c>
      <c r="G114" s="9" t="n">
        <v>1440</v>
      </c>
      <c r="H114" s="9" t="n">
        <v>6540</v>
      </c>
      <c r="I114" s="9" t="n">
        <v>327</v>
      </c>
    </row>
    <row r="115">
      <c r="A115" s="9" t="n">
        <v>6</v>
      </c>
      <c r="B115" s="9" t="inlineStr">
        <is>
          <t>PREMIX 8102 (20KG)</t>
        </is>
      </c>
      <c r="C115" s="9" t="inlineStr">
        <is>
          <t>KG</t>
        </is>
      </c>
      <c r="D115" s="9" t="n">
        <v>10240</v>
      </c>
      <c r="E115" s="9" t="n">
        <v>0</v>
      </c>
      <c r="F115" s="9" t="n">
        <v>0</v>
      </c>
      <c r="G115" s="9" t="n">
        <v>1300</v>
      </c>
      <c r="H115" s="9" t="n">
        <v>11540</v>
      </c>
    </row>
    <row r="116">
      <c r="A116" s="9" t="n">
        <v>7</v>
      </c>
      <c r="B116" s="9" t="inlineStr">
        <is>
          <t>PREMIX 8103 (20KG)</t>
        </is>
      </c>
      <c r="C116" s="9" t="inlineStr">
        <is>
          <t>KG</t>
        </is>
      </c>
      <c r="D116" s="9" t="n">
        <v>15120</v>
      </c>
      <c r="E116" s="9" t="n">
        <v>0</v>
      </c>
      <c r="F116" s="9" t="n">
        <v>0</v>
      </c>
      <c r="H116" s="9" t="n">
        <v>15120</v>
      </c>
    </row>
    <row r="117">
      <c r="A117" s="9" t="n">
        <v>8</v>
      </c>
      <c r="B117" s="9" t="inlineStr">
        <is>
          <t>PREMIX 8108 (20KG)</t>
        </is>
      </c>
      <c r="C117" s="9" t="inlineStr">
        <is>
          <t>KG</t>
        </is>
      </c>
      <c r="D117" s="9" t="n">
        <v>3320</v>
      </c>
      <c r="E117" s="9" t="n">
        <v>0</v>
      </c>
      <c r="F117" s="9" t="n">
        <v>0</v>
      </c>
      <c r="G117" s="9" t="n">
        <v>1720</v>
      </c>
      <c r="H117" s="9" t="n">
        <v>5040</v>
      </c>
    </row>
    <row r="118">
      <c r="A118" s="9" t="n">
        <v>9</v>
      </c>
      <c r="B118" s="9" t="inlineStr">
        <is>
          <t>PREMIX 8109 (20KG)</t>
        </is>
      </c>
      <c r="C118" s="9" t="inlineStr">
        <is>
          <t>KG</t>
        </is>
      </c>
      <c r="D118" s="9" t="n">
        <v>5400</v>
      </c>
      <c r="E118" s="9" t="n">
        <v>0</v>
      </c>
      <c r="F118" s="9" t="n">
        <v>0</v>
      </c>
      <c r="G118" s="9" t="n">
        <v>3700</v>
      </c>
      <c r="H118" s="9" t="n">
        <v>9100</v>
      </c>
    </row>
    <row r="119">
      <c r="A119" s="9" t="n">
        <v>10</v>
      </c>
      <c r="B119" s="9" t="inlineStr">
        <is>
          <t>YENMIX 121 (20KG)</t>
        </is>
      </c>
      <c r="C119" s="9" t="inlineStr">
        <is>
          <t>KG</t>
        </is>
      </c>
      <c r="D119" s="9" t="n">
        <v>4000</v>
      </c>
      <c r="E119" s="9" t="n">
        <v>3000</v>
      </c>
      <c r="F119" s="9" t="n">
        <v>3920</v>
      </c>
      <c r="G119" s="9" t="n">
        <v>1140</v>
      </c>
      <c r="H119" s="9" t="n">
        <v>4220</v>
      </c>
    </row>
    <row r="120">
      <c r="A120" s="9" t="n">
        <v>11</v>
      </c>
      <c r="B120" s="9" t="inlineStr">
        <is>
          <t>YENMIX 122 (19.50KG)</t>
        </is>
      </c>
      <c r="C120" s="9" t="inlineStr">
        <is>
          <t>KG</t>
        </is>
      </c>
      <c r="D120" s="9" t="n">
        <v>3744</v>
      </c>
      <c r="E120" s="9" t="n">
        <v>10725</v>
      </c>
      <c r="F120" s="9" t="n">
        <v>4875</v>
      </c>
      <c r="G120" s="9" t="n">
        <v>1852.5</v>
      </c>
      <c r="H120" s="9" t="n">
        <v>11446.5</v>
      </c>
    </row>
    <row r="121">
      <c r="A121" s="9" t="n">
        <v>12</v>
      </c>
      <c r="B121" s="9" t="inlineStr">
        <is>
          <t>YENMIX 123 (18.90KG)</t>
        </is>
      </c>
      <c r="C121" s="9" t="inlineStr">
        <is>
          <t>KG</t>
        </is>
      </c>
      <c r="D121" s="9" t="n">
        <v>9109.799999999999</v>
      </c>
      <c r="E121" s="9" t="n">
        <v>7560.000000000001</v>
      </c>
      <c r="F121" s="9" t="n">
        <v>8580.599999999999</v>
      </c>
      <c r="G121" s="9" t="n">
        <v>907.2</v>
      </c>
      <c r="H121" s="9" t="n">
        <v>8996.400000000001</v>
      </c>
    </row>
    <row r="122">
      <c r="A122" s="9" t="n">
        <v>13</v>
      </c>
      <c r="B122" s="9" t="inlineStr">
        <is>
          <t>TOXISORB PREMIUM</t>
        </is>
      </c>
      <c r="C122" s="9" t="inlineStr">
        <is>
          <t>KG</t>
        </is>
      </c>
      <c r="D122" s="9" t="n">
        <v>4123</v>
      </c>
      <c r="E122" s="9" t="n">
        <v>2000</v>
      </c>
      <c r="F122" s="9" t="n">
        <v>1928</v>
      </c>
      <c r="H122" s="9" t="n">
        <v>4195</v>
      </c>
      <c r="J122" s="9" t="inlineStr">
        <is>
          <t>TOXISORB PREMIUM</t>
        </is>
      </c>
    </row>
    <row r="123">
      <c r="A123" s="9" t="n">
        <v>14</v>
      </c>
      <c r="B123" s="9" t="inlineStr">
        <is>
          <t>SODIUM HUMATE 3.8%</t>
        </is>
      </c>
      <c r="C123" s="9" t="inlineStr">
        <is>
          <t>KG</t>
        </is>
      </c>
      <c r="D123" s="9" t="n">
        <v>0</v>
      </c>
      <c r="E123" s="9" t="n">
        <v>2478</v>
      </c>
      <c r="F123" s="9" t="n">
        <v>2478</v>
      </c>
      <c r="H123" s="9" t="n">
        <v>0</v>
      </c>
      <c r="J123" s="9" t="inlineStr">
        <is>
          <t>SODIUM HUMATE 3.8%</t>
        </is>
      </c>
    </row>
    <row r="124">
      <c r="A124" s="9" t="n">
        <v>15</v>
      </c>
      <c r="B124" s="9" t="inlineStr">
        <is>
          <t>SODIUM BICARBONATE</t>
        </is>
      </c>
      <c r="C124" s="9" t="inlineStr">
        <is>
          <t>KG</t>
        </is>
      </c>
      <c r="D124" s="9" t="n">
        <v>1947.7</v>
      </c>
      <c r="E124" s="9" t="n">
        <v>3000</v>
      </c>
      <c r="F124" s="9" t="n">
        <v>795.1999999999999</v>
      </c>
      <c r="H124" s="9" t="n">
        <v>4152.5</v>
      </c>
      <c r="J124" s="9" t="inlineStr">
        <is>
          <t>SODIUM BICARBONATE</t>
        </is>
      </c>
    </row>
    <row r="125">
      <c r="A125" s="9" t="n">
        <v>16</v>
      </c>
      <c r="B125" s="9" t="inlineStr">
        <is>
          <t>TOXIWALL</t>
        </is>
      </c>
      <c r="C125" s="9" t="inlineStr">
        <is>
          <t>KG</t>
        </is>
      </c>
      <c r="D125" s="9" t="n">
        <v>0</v>
      </c>
      <c r="E125" s="9" t="n">
        <v>2065</v>
      </c>
      <c r="F125" s="9" t="n">
        <v>0</v>
      </c>
      <c r="H125" s="9" t="n">
        <v>2065</v>
      </c>
    </row>
    <row r="126">
      <c r="A126" s="9" t="n">
        <v>17</v>
      </c>
      <c r="B126" s="9" t="inlineStr">
        <is>
          <t>BMD 10%</t>
        </is>
      </c>
      <c r="C126" s="9" t="inlineStr">
        <is>
          <t>KG</t>
        </is>
      </c>
      <c r="D126" s="9" t="n">
        <v>1680.5</v>
      </c>
      <c r="E126" s="9" t="n">
        <v>0</v>
      </c>
      <c r="F126" s="9" t="n">
        <v>0</v>
      </c>
      <c r="H126" s="9" t="n">
        <v>1680.5</v>
      </c>
      <c r="J126" s="9" t="inlineStr">
        <is>
          <t>BMD 10%</t>
        </is>
      </c>
    </row>
    <row r="127">
      <c r="A127" s="9" t="n">
        <v>18</v>
      </c>
      <c r="B127" s="9" t="inlineStr">
        <is>
          <t>SALT</t>
        </is>
      </c>
      <c r="C127" s="9" t="inlineStr">
        <is>
          <t>KG</t>
        </is>
      </c>
      <c r="D127" s="9" t="n">
        <v>41.60000000000002</v>
      </c>
      <c r="E127" s="9" t="n">
        <v>2160</v>
      </c>
      <c r="F127" s="9" t="n">
        <v>2160</v>
      </c>
      <c r="H127" s="9" t="n">
        <v>41.59999999999991</v>
      </c>
      <c r="J127" s="9" t="inlineStr">
        <is>
          <t>SALT</t>
        </is>
      </c>
    </row>
    <row r="128">
      <c r="A128" s="9" t="n">
        <v>19</v>
      </c>
      <c r="B128" s="9" t="inlineStr">
        <is>
          <t>VISTABET 91</t>
        </is>
      </c>
      <c r="C128" s="9" t="inlineStr">
        <is>
          <t>KG</t>
        </is>
      </c>
      <c r="D128" s="9" t="n">
        <v>0</v>
      </c>
      <c r="E128" s="9" t="n">
        <v>2000</v>
      </c>
      <c r="F128" s="9" t="n">
        <v>0</v>
      </c>
      <c r="H128" s="9" t="n">
        <v>2000</v>
      </c>
      <c r="J128" s="9" t="inlineStr">
        <is>
          <t>VISTABET 91</t>
        </is>
      </c>
    </row>
    <row r="129">
      <c r="A129" s="9" t="n">
        <v>20</v>
      </c>
      <c r="B129" s="9" t="inlineStr">
        <is>
          <t>BETAFIN</t>
        </is>
      </c>
      <c r="C129" s="9" t="inlineStr">
        <is>
          <t>KG</t>
        </is>
      </c>
      <c r="D129" s="9" t="n">
        <v>0</v>
      </c>
      <c r="E129" s="9" t="n">
        <v>0</v>
      </c>
      <c r="F129" s="9" t="n">
        <v>0</v>
      </c>
      <c r="H129" s="9" t="n">
        <v>0</v>
      </c>
      <c r="J129" s="9" t="inlineStr">
        <is>
          <t>BETAFIN</t>
        </is>
      </c>
    </row>
    <row r="130">
      <c r="A130" s="9" t="n">
        <v>21</v>
      </c>
      <c r="B130" s="9" t="inlineStr">
        <is>
          <t>8101 TOP UP</t>
        </is>
      </c>
      <c r="C130" s="9" t="inlineStr">
        <is>
          <t>KG</t>
        </is>
      </c>
      <c r="D130" s="9" t="n">
        <v>100</v>
      </c>
      <c r="E130" s="9" t="n">
        <v>0</v>
      </c>
      <c r="F130" s="9" t="n">
        <v>0</v>
      </c>
      <c r="H130" s="9" t="n">
        <v>100</v>
      </c>
      <c r="J130" s="9" t="inlineStr">
        <is>
          <t>8101 TOP UP</t>
        </is>
      </c>
    </row>
    <row r="131">
      <c r="A131" s="9" t="n">
        <v>22</v>
      </c>
      <c r="B131" s="9" t="inlineStr">
        <is>
          <t>NORPONIN X03 (8102 TOP UP)</t>
        </is>
      </c>
      <c r="C131" s="9" t="inlineStr">
        <is>
          <t>KG</t>
        </is>
      </c>
      <c r="D131" s="9" t="n">
        <v>13.96000000000004</v>
      </c>
      <c r="E131" s="9" t="n">
        <v>0</v>
      </c>
      <c r="F131" s="9" t="n">
        <v>0</v>
      </c>
      <c r="H131" s="9" t="n">
        <v>13.96000000000004</v>
      </c>
      <c r="J131" s="9" t="inlineStr">
        <is>
          <t>NORPONIN X03 (8102 TOP UP)</t>
        </is>
      </c>
    </row>
    <row r="132">
      <c r="A132" s="9" t="n">
        <v>23</v>
      </c>
      <c r="B132" s="9" t="inlineStr">
        <is>
          <t>8102 TOP UP</t>
        </is>
      </c>
      <c r="C132" s="9" t="inlineStr">
        <is>
          <t>KG</t>
        </is>
      </c>
      <c r="D132" s="9" t="n">
        <v>344</v>
      </c>
      <c r="E132" s="9" t="n">
        <v>868</v>
      </c>
      <c r="F132" s="9" t="n">
        <v>0</v>
      </c>
      <c r="H132" s="9" t="n">
        <v>1212</v>
      </c>
      <c r="J132" s="9" t="inlineStr">
        <is>
          <t>8102 TOP UP</t>
        </is>
      </c>
    </row>
    <row r="133">
      <c r="A133" s="9" t="n">
        <v>24</v>
      </c>
      <c r="B133" s="9" t="inlineStr">
        <is>
          <t>L-ARGININE</t>
        </is>
      </c>
      <c r="C133" s="9" t="inlineStr">
        <is>
          <t>KG</t>
        </is>
      </c>
      <c r="D133" s="9" t="n">
        <v>207.6</v>
      </c>
      <c r="E133" s="9" t="n">
        <v>0</v>
      </c>
      <c r="F133" s="9" t="n">
        <v>0</v>
      </c>
      <c r="H133" s="9" t="n">
        <v>207.6</v>
      </c>
      <c r="J133" s="9" t="inlineStr">
        <is>
          <t>L-ARGININE</t>
        </is>
      </c>
    </row>
    <row r="134">
      <c r="A134" s="9" t="n">
        <v>25</v>
      </c>
      <c r="B134" s="9" t="inlineStr">
        <is>
          <t>DL-METHIONINE</t>
        </is>
      </c>
      <c r="C134" s="9" t="inlineStr">
        <is>
          <t>KG</t>
        </is>
      </c>
      <c r="D134" s="9" t="n">
        <v>197.04</v>
      </c>
      <c r="E134" s="9" t="n">
        <v>0</v>
      </c>
      <c r="F134" s="9" t="n">
        <v>0</v>
      </c>
      <c r="H134" s="9" t="n">
        <v>197.04</v>
      </c>
      <c r="J134" s="9" t="inlineStr">
        <is>
          <t>DL-METHIONINE</t>
        </is>
      </c>
    </row>
    <row r="135">
      <c r="A135" s="9" t="n">
        <v>26</v>
      </c>
      <c r="B135" s="9" t="inlineStr">
        <is>
          <t>L-THREONINE</t>
        </is>
      </c>
      <c r="C135" s="9" t="inlineStr">
        <is>
          <t>KG</t>
        </is>
      </c>
      <c r="D135" s="9" t="n">
        <v>46.8</v>
      </c>
      <c r="E135" s="9" t="n">
        <v>0</v>
      </c>
      <c r="F135" s="9" t="n">
        <v>0</v>
      </c>
      <c r="H135" s="9" t="n">
        <v>46.8</v>
      </c>
      <c r="J135" s="9" t="inlineStr">
        <is>
          <t>L-THREONINE</t>
        </is>
      </c>
    </row>
    <row r="136"/>
    <row r="137">
      <c r="B137" s="9" t="inlineStr">
        <is>
          <t>PACKING MATERIALS</t>
        </is>
      </c>
    </row>
    <row r="138">
      <c r="A138" s="9" t="n">
        <v>1</v>
      </c>
      <c r="B138" s="9" t="inlineStr">
        <is>
          <t>WOVEN BAG (1101) - BLUE 50KG</t>
        </is>
      </c>
      <c r="C138" s="9" t="inlineStr">
        <is>
          <t>PCS</t>
        </is>
      </c>
      <c r="D138" s="9" t="n">
        <v>6628</v>
      </c>
      <c r="E138" s="9" t="n">
        <v>0</v>
      </c>
      <c r="F138" s="9" t="n">
        <v>2739</v>
      </c>
      <c r="H138" s="9" t="n">
        <v>3889</v>
      </c>
    </row>
    <row r="139">
      <c r="A139" s="9" t="n">
        <v>2</v>
      </c>
      <c r="B139" s="9" t="inlineStr">
        <is>
          <t>WOVEN BAG (1102) - GREEN 50KG</t>
        </is>
      </c>
      <c r="C139" s="9" t="inlineStr">
        <is>
          <t>PCS</t>
        </is>
      </c>
      <c r="D139" s="9" t="n">
        <v>6559</v>
      </c>
      <c r="E139" s="9" t="n">
        <v>0</v>
      </c>
      <c r="F139" s="9" t="n">
        <v>6770</v>
      </c>
      <c r="G139" s="9" t="n">
        <v>211</v>
      </c>
      <c r="H139" s="9" t="n">
        <v>0</v>
      </c>
    </row>
    <row r="140">
      <c r="A140" s="9" t="n">
        <v>3</v>
      </c>
      <c r="B140" s="9" t="inlineStr">
        <is>
          <t>WOVEN BAG (1103) - RED 50KG</t>
        </is>
      </c>
      <c r="C140" s="9" t="inlineStr">
        <is>
          <t>PCS</t>
        </is>
      </c>
      <c r="D140" s="9" t="n">
        <v>590</v>
      </c>
      <c r="E140" s="9" t="n">
        <v>6552</v>
      </c>
      <c r="F140" s="9" t="n">
        <v>793</v>
      </c>
      <c r="H140" s="9" t="n">
        <v>6349</v>
      </c>
    </row>
    <row r="141">
      <c r="A141" s="9" t="n">
        <v>4</v>
      </c>
      <c r="B141" s="9" t="inlineStr">
        <is>
          <t>PLAIN BAG 26" X 39" (50KG)</t>
        </is>
      </c>
      <c r="C141" s="9" t="inlineStr">
        <is>
          <t>PCS</t>
        </is>
      </c>
      <c r="D141" s="9" t="n">
        <v>3391</v>
      </c>
      <c r="E141" s="9" t="n">
        <v>8000</v>
      </c>
      <c r="F141" s="9" t="n">
        <v>5402</v>
      </c>
      <c r="H141" s="9" t="n">
        <v>5989</v>
      </c>
    </row>
    <row r="142">
      <c r="A142" s="9" t="n">
        <v>5</v>
      </c>
      <c r="B142" s="9" t="inlineStr">
        <is>
          <t>WOVEN BAG (8101) - KHAKI 50KG</t>
        </is>
      </c>
      <c r="C142" s="9" t="inlineStr">
        <is>
          <t>PCS</t>
        </is>
      </c>
      <c r="D142" s="9" t="n">
        <v>1901</v>
      </c>
      <c r="E142" s="9" t="n">
        <v>0</v>
      </c>
      <c r="F142" s="9" t="n">
        <v>0</v>
      </c>
      <c r="H142" s="9" t="n">
        <v>1901</v>
      </c>
    </row>
    <row r="143">
      <c r="A143" s="9" t="n">
        <v>6</v>
      </c>
      <c r="B143" s="9" t="inlineStr">
        <is>
          <t>WOVEN BAG (8102) - SKY BLUE 50KG</t>
        </is>
      </c>
      <c r="C143" s="9" t="inlineStr">
        <is>
          <t>PCS</t>
        </is>
      </c>
      <c r="D143" s="9" t="n">
        <v>0</v>
      </c>
      <c r="E143" s="9" t="n">
        <v>6459</v>
      </c>
      <c r="F143" s="9" t="n">
        <v>0</v>
      </c>
      <c r="H143" s="9" t="n">
        <v>6459</v>
      </c>
    </row>
    <row r="144"/>
    <row r="145">
      <c r="B145" s="9" t="inlineStr">
        <is>
          <t>TOTAL</t>
        </is>
      </c>
      <c r="D145" s="9" t="n">
        <v>458328.4</v>
      </c>
      <c r="E145" s="9" t="n">
        <v>1421663.4</v>
      </c>
      <c r="F145" s="9" t="n">
        <v>1638258.4</v>
      </c>
      <c r="G145" s="9" t="n">
        <v>34875.2</v>
      </c>
      <c r="H145" s="9" t="n">
        <v>276608.6</v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B166" s="9" t="inlineStr">
        <is>
          <t>Prepared by: ______________</t>
        </is>
      </c>
      <c r="G166" s="9" t="inlineStr">
        <is>
          <t xml:space="preserve">   Approved by: ______________</t>
        </is>
      </c>
    </row>
    <row r="167"/>
    <row r="168">
      <c r="B168" s="9" t="inlineStr">
        <is>
          <t>HARUMI Stock - MAR 2026</t>
        </is>
      </c>
    </row>
    <row r="169"/>
    <row r="170">
      <c r="B170" s="9" t="inlineStr">
        <is>
          <t>Remark for adjustment (+)</t>
        </is>
      </c>
    </row>
    <row r="171">
      <c r="B171" s="9" t="inlineStr">
        <is>
          <t>SOYBEAN MEAL (ARG)</t>
        </is>
      </c>
      <c r="C171" s="9" t="inlineStr">
        <is>
          <t>KG</t>
        </is>
      </c>
      <c r="D171" s="9" t="n">
        <v>3371.8</v>
      </c>
    </row>
    <row r="172">
      <c r="B172" s="9" t="inlineStr">
        <is>
          <t>CORN GLUTEN MEAL</t>
        </is>
      </c>
      <c r="C172" s="9" t="inlineStr">
        <is>
          <t>KG</t>
        </is>
      </c>
      <c r="D172" s="9" t="n">
        <v>89.7</v>
      </c>
    </row>
    <row r="173">
      <c r="B173" s="9" t="inlineStr">
        <is>
          <t>WOVEN BAG (1102) - GREEN 50KG</t>
        </is>
      </c>
      <c r="C173" s="9" t="inlineStr">
        <is>
          <t>PCS</t>
        </is>
      </c>
      <c r="D173" s="9" t="n">
        <v>211</v>
      </c>
    </row>
    <row r="174">
      <c r="B174" s="9" t="inlineStr">
        <is>
          <t>Reason: Cut off</t>
        </is>
      </c>
    </row>
    <row r="175"/>
    <row r="176">
      <c r="B176" s="9" t="inlineStr">
        <is>
          <t>CORN GLUTEN MEAL</t>
        </is>
      </c>
      <c r="C176" s="9" t="inlineStr">
        <is>
          <t>KG</t>
        </is>
      </c>
      <c r="D176" s="9" t="n">
        <v>15960</v>
      </c>
    </row>
    <row r="177">
      <c r="B177" s="9" t="inlineStr">
        <is>
          <t>Reason: Stock Transferred from Xun Ta</t>
        </is>
      </c>
    </row>
    <row r="178">
      <c r="B178" s="9" t="inlineStr">
        <is>
          <t>PPSB00821/DO16424                       2/3/2026</t>
        </is>
      </c>
    </row>
    <row r="179"/>
    <row r="180">
      <c r="B180" s="9" t="inlineStr">
        <is>
          <t>CORN GLUTEN MEAL</t>
        </is>
      </c>
      <c r="C180" s="9" t="inlineStr">
        <is>
          <t>KG</t>
        </is>
      </c>
      <c r="D180" s="9" t="n">
        <v>28320</v>
      </c>
    </row>
    <row r="181">
      <c r="B181" s="9" t="inlineStr">
        <is>
          <t>Reason: Stock Transferred from Liang Teik</t>
        </is>
      </c>
    </row>
    <row r="182">
      <c r="B182" s="9" t="inlineStr">
        <is>
          <t>PPSB00825/DO16459                     13/3/2026</t>
        </is>
      </c>
    </row>
    <row r="183"/>
    <row r="184"/>
    <row r="185">
      <c r="B185" s="9" t="inlineStr">
        <is>
          <t>YENMIX 121 (20KG)</t>
        </is>
      </c>
      <c r="C185" s="9" t="inlineStr">
        <is>
          <t>KG</t>
        </is>
      </c>
      <c r="D185" s="9" t="n">
        <v>1140</v>
      </c>
    </row>
    <row r="186">
      <c r="B186" s="9" t="inlineStr">
        <is>
          <t>YENMIX 122 (19.50KG)</t>
        </is>
      </c>
      <c r="C186" s="9" t="inlineStr">
        <is>
          <t>KG</t>
        </is>
      </c>
      <c r="D186" s="9" t="n">
        <v>1852.5</v>
      </c>
    </row>
    <row r="187">
      <c r="B187" s="9" t="inlineStr">
        <is>
          <t>YENMIX 123 (18.90KG)</t>
        </is>
      </c>
      <c r="C187" s="9" t="inlineStr">
        <is>
          <t>KG</t>
        </is>
      </c>
      <c r="D187" s="9" t="n">
        <v>907.2</v>
      </c>
    </row>
    <row r="188">
      <c r="B188" s="9" t="inlineStr">
        <is>
          <t>EP 200</t>
        </is>
      </c>
      <c r="C188" s="9" t="inlineStr">
        <is>
          <t>KG</t>
        </is>
      </c>
      <c r="D188" s="9" t="n">
        <v>4850</v>
      </c>
    </row>
    <row r="189">
      <c r="B189" s="9" t="inlineStr">
        <is>
          <t>Reason: Stock Transferred from Xun Ta</t>
        </is>
      </c>
    </row>
    <row r="190">
      <c r="B190" s="9" t="inlineStr">
        <is>
          <t>PPSB00823/DO16051                       6/3/2026</t>
        </is>
      </c>
    </row>
    <row r="191"/>
    <row r="192">
      <c r="B192" s="9" t="inlineStr">
        <is>
          <t>PREMIX 8101 (20KG)</t>
        </is>
      </c>
      <c r="C192" s="9" t="inlineStr">
        <is>
          <t>KG</t>
        </is>
      </c>
      <c r="D192" s="9" t="n">
        <v>1440</v>
      </c>
    </row>
    <row r="193">
      <c r="B193" s="9" t="inlineStr">
        <is>
          <t>PREMIX 8102 (20KG)</t>
        </is>
      </c>
      <c r="C193" s="9" t="inlineStr">
        <is>
          <t>KG</t>
        </is>
      </c>
      <c r="D193" s="9" t="n">
        <v>1300</v>
      </c>
    </row>
    <row r="194">
      <c r="B194" s="9" t="inlineStr">
        <is>
          <t>PREMIX 8108 (20KG)</t>
        </is>
      </c>
      <c r="C194" s="9" t="inlineStr">
        <is>
          <t>KG</t>
        </is>
      </c>
      <c r="D194" s="9" t="n">
        <v>1720</v>
      </c>
    </row>
    <row r="195">
      <c r="B195" s="9" t="inlineStr">
        <is>
          <t>PREMIX 8109 (20KG)</t>
        </is>
      </c>
      <c r="C195" s="9" t="inlineStr">
        <is>
          <t>KG</t>
        </is>
      </c>
      <c r="D195" s="9" t="n">
        <v>3700</v>
      </c>
    </row>
    <row r="196">
      <c r="B196" s="9" t="inlineStr">
        <is>
          <t>Reason: Stock Transferred from Xun Ta</t>
        </is>
      </c>
    </row>
    <row r="197">
      <c r="B197" s="9" t="inlineStr">
        <is>
          <t>PPSB00824/DO16051                       6/3/2026</t>
        </is>
      </c>
    </row>
    <row r="198"/>
    <row r="199">
      <c r="B199" s="9" t="inlineStr">
        <is>
          <t>Remark for adjustment (-)</t>
        </is>
      </c>
    </row>
    <row r="200">
      <c r="B200" s="9" t="inlineStr">
        <is>
          <t>MAIZE/CORN</t>
        </is>
      </c>
      <c r="C200" s="9" t="inlineStr">
        <is>
          <t>KG</t>
        </is>
      </c>
      <c r="D200" s="9" t="n">
        <v>-10147</v>
      </c>
    </row>
    <row r="201">
      <c r="B201" s="9" t="inlineStr">
        <is>
          <t>Reason: Cut off</t>
        </is>
      </c>
    </row>
    <row r="202"/>
    <row r="203">
      <c r="B203" s="9" t="inlineStr">
        <is>
          <t>MEAT AND BONE MEAL</t>
        </is>
      </c>
      <c r="C203" s="9" t="inlineStr">
        <is>
          <t>KG</t>
        </is>
      </c>
      <c r="D203" s="9" t="n">
        <v>-19840</v>
      </c>
    </row>
    <row r="204">
      <c r="B204" s="9" t="inlineStr">
        <is>
          <t>Reason: Stock Transferred from Liang Teik</t>
        </is>
      </c>
    </row>
    <row r="205">
      <c r="B205" s="9" t="inlineStr">
        <is>
          <t>PPSB00826                                    13/3/2026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>
      <c r="B235" s="9" t="inlineStr">
        <is>
          <t>Prepared by: ______________</t>
        </is>
      </c>
      <c r="G235" s="9" t="inlineStr">
        <is>
          <t xml:space="preserve">   Approved by: ______________</t>
        </is>
      </c>
    </row>
    <row r="236"/>
    <row r="237"/>
    <row r="238">
      <c r="H238" s="9" t="inlineStr">
        <is>
          <t>Revised Date: 2/6/2026</t>
        </is>
      </c>
    </row>
    <row r="239">
      <c r="B239" s="9" t="inlineStr">
        <is>
          <t>HARUMI Stock - MAR 2026</t>
        </is>
      </c>
    </row>
    <row r="240">
      <c r="A240" s="9" t="inlineStr">
        <is>
          <t>No</t>
        </is>
      </c>
      <c r="B240" s="9" t="inlineStr">
        <is>
          <t>Description</t>
        </is>
      </c>
      <c r="C240" s="9" t="inlineStr">
        <is>
          <t>UOM</t>
        </is>
      </c>
      <c r="D240" s="9" t="inlineStr">
        <is>
          <t>Opening</t>
        </is>
      </c>
      <c r="E240" s="9" t="inlineStr">
        <is>
          <t>Receiving</t>
        </is>
      </c>
      <c r="F240" s="9" t="inlineStr">
        <is>
          <t>Usage</t>
        </is>
      </c>
      <c r="G240" s="9" t="inlineStr">
        <is>
          <t>Adjustment</t>
        </is>
      </c>
      <c r="H240" s="9" t="inlineStr">
        <is>
          <t>Bal (KG)</t>
        </is>
      </c>
    </row>
    <row r="241">
      <c r="B241" s="9" t="inlineStr">
        <is>
          <t>RAW MATERIAL</t>
        </is>
      </c>
    </row>
    <row r="242">
      <c r="A242" s="9" t="n">
        <v>1</v>
      </c>
      <c r="B242" s="9" t="inlineStr">
        <is>
          <t>MAIZE/CORN</t>
        </is>
      </c>
      <c r="C242" s="9" t="inlineStr">
        <is>
          <t>KG</t>
        </is>
      </c>
      <c r="D242" s="9" t="n">
        <v>91614.80000000002</v>
      </c>
      <c r="E242" s="9" t="n">
        <v>822130</v>
      </c>
      <c r="F242" s="9" t="n">
        <v>875757.8</v>
      </c>
      <c r="G242" s="9" t="n">
        <v>-10147</v>
      </c>
      <c r="H242" s="9" t="n">
        <v>27840</v>
      </c>
    </row>
    <row r="243">
      <c r="A243" s="9" t="n">
        <v>2</v>
      </c>
      <c r="B243" s="9" t="inlineStr">
        <is>
          <t>SOYBEAN MEAL (ARG)</t>
        </is>
      </c>
      <c r="C243" s="9" t="inlineStr">
        <is>
          <t>KG</t>
        </is>
      </c>
      <c r="D243" s="9" t="n">
        <v>65096.60000000003</v>
      </c>
      <c r="E243" s="9" t="n">
        <v>281460</v>
      </c>
      <c r="F243" s="9" t="n">
        <v>350598.4</v>
      </c>
      <c r="G243" s="9" t="n">
        <v>4041.8</v>
      </c>
      <c r="H243" s="9" t="n">
        <v>7.003109203651547e-11</v>
      </c>
    </row>
    <row r="244">
      <c r="A244" s="9" t="n">
        <v>3</v>
      </c>
      <c r="B244" s="9" t="inlineStr">
        <is>
          <t>SOYBEAN FULL FAT</t>
        </is>
      </c>
      <c r="C244" s="9" t="inlineStr">
        <is>
          <t>KG</t>
        </is>
      </c>
      <c r="D244" s="9" t="n">
        <v>48372.79999999997</v>
      </c>
      <c r="E244" s="9" t="n">
        <v>80280</v>
      </c>
      <c r="F244" s="9" t="n">
        <v>108634.4</v>
      </c>
      <c r="H244" s="9" t="n">
        <v>20018.39999999998</v>
      </c>
    </row>
    <row r="245">
      <c r="A245" s="9" t="n">
        <v>4</v>
      </c>
      <c r="B245" s="9" t="inlineStr">
        <is>
          <t>WHEAT POLLARD</t>
        </is>
      </c>
      <c r="C245" s="9" t="inlineStr">
        <is>
          <t>KG</t>
        </is>
      </c>
      <c r="D245" s="9" t="n">
        <v>34138.20000000002</v>
      </c>
      <c r="E245" s="9" t="n">
        <v>30490</v>
      </c>
      <c r="F245" s="9" t="n">
        <v>38335.5</v>
      </c>
      <c r="H245" s="9" t="n">
        <v>26292.70000000002</v>
      </c>
    </row>
    <row r="246">
      <c r="A246" s="9" t="n">
        <v>5</v>
      </c>
      <c r="B246" s="9" t="inlineStr">
        <is>
          <t>MEAT AND BONE MEAL</t>
        </is>
      </c>
      <c r="C246" s="9" t="inlineStr">
        <is>
          <t>KG</t>
        </is>
      </c>
      <c r="D246" s="9" t="n">
        <v>47801.99999999999</v>
      </c>
      <c r="E246" s="9" t="n">
        <v>0</v>
      </c>
      <c r="F246" s="9" t="n">
        <v>10575.3</v>
      </c>
      <c r="G246" s="9" t="n">
        <v>-19840</v>
      </c>
      <c r="H246" s="9" t="n">
        <v>17386.69999999998</v>
      </c>
    </row>
    <row r="247">
      <c r="A247" s="9" t="n">
        <v>6</v>
      </c>
      <c r="B247" s="9" t="inlineStr">
        <is>
          <t>CORN GLUTEN MEAL</t>
        </is>
      </c>
      <c r="C247" s="9" t="inlineStr">
        <is>
          <t>KG</t>
        </is>
      </c>
      <c r="D247" s="9" t="n">
        <v>7501.800000000005</v>
      </c>
      <c r="E247" s="9" t="n">
        <v>0</v>
      </c>
      <c r="F247" s="9" t="n">
        <v>51871.5</v>
      </c>
      <c r="G247" s="9" t="n">
        <v>44369.7</v>
      </c>
      <c r="H247" s="9" t="n">
        <v>0</v>
      </c>
    </row>
    <row r="248">
      <c r="A248" s="9" t="n">
        <v>7</v>
      </c>
      <c r="B248" s="9" t="inlineStr">
        <is>
          <t>MEGAFAT</t>
        </is>
      </c>
      <c r="C248" s="9" t="inlineStr">
        <is>
          <t>KG</t>
        </is>
      </c>
      <c r="D248" s="9" t="n">
        <v>0</v>
      </c>
      <c r="E248" s="9" t="n">
        <v>33929.6</v>
      </c>
      <c r="F248" s="9" t="n">
        <v>33929.6</v>
      </c>
      <c r="H248" s="9" t="n">
        <v>0</v>
      </c>
    </row>
    <row r="249">
      <c r="A249" s="9" t="n">
        <v>8</v>
      </c>
      <c r="B249" s="9" t="inlineStr">
        <is>
          <t>DCP 18%</t>
        </is>
      </c>
      <c r="C249" s="9" t="inlineStr">
        <is>
          <t>KG</t>
        </is>
      </c>
      <c r="D249" s="9" t="n">
        <v>8.000000000000114</v>
      </c>
      <c r="E249" s="9" t="n">
        <v>18000</v>
      </c>
      <c r="F249" s="9" t="n">
        <v>6195.099999999999</v>
      </c>
      <c r="H249" s="9" t="n">
        <v>11812.9</v>
      </c>
    </row>
    <row r="250">
      <c r="A250" s="9" t="n">
        <v>9</v>
      </c>
      <c r="B250" s="9" t="inlineStr">
        <is>
          <t xml:space="preserve">LIMESTONE POWDER </t>
        </is>
      </c>
      <c r="C250" s="9" t="inlineStr">
        <is>
          <t>KG</t>
        </is>
      </c>
      <c r="D250" s="9" t="n">
        <v>0</v>
      </c>
      <c r="E250" s="9" t="n">
        <v>9326.799999999999</v>
      </c>
      <c r="F250" s="9" t="n">
        <v>9326.799999999999</v>
      </c>
      <c r="H250" s="9" t="n">
        <v>0</v>
      </c>
    </row>
    <row r="251">
      <c r="A251" s="9" t="n">
        <v>10</v>
      </c>
      <c r="B251" s="9" t="inlineStr">
        <is>
          <t>INDUSTRY FLOUR</t>
        </is>
      </c>
      <c r="C251" s="9" t="inlineStr">
        <is>
          <t>KG</t>
        </is>
      </c>
      <c r="D251" s="9" t="n">
        <v>55052.4</v>
      </c>
      <c r="E251" s="9" t="n">
        <v>35280</v>
      </c>
      <c r="F251" s="9" t="n">
        <v>58462.7</v>
      </c>
      <c r="H251" s="9" t="n">
        <v>31869.7</v>
      </c>
    </row>
    <row r="252">
      <c r="A252" s="9" t="n">
        <v>11</v>
      </c>
      <c r="B252" s="9" t="inlineStr">
        <is>
          <t>RICE BRAN</t>
        </is>
      </c>
      <c r="C252" s="9" t="inlineStr">
        <is>
          <t>KG</t>
        </is>
      </c>
      <c r="D252" s="9" t="n">
        <v>0</v>
      </c>
      <c r="E252" s="9" t="n">
        <v>45900</v>
      </c>
      <c r="F252" s="9" t="n">
        <v>39241.00000000001</v>
      </c>
      <c r="H252" s="9" t="n">
        <v>6658.999999999993</v>
      </c>
    </row>
    <row r="253">
      <c r="A253" s="9" t="n">
        <v>12</v>
      </c>
      <c r="B253" s="9" t="inlineStr">
        <is>
          <t>EP 200</t>
        </is>
      </c>
      <c r="C253" s="9" t="inlineStr">
        <is>
          <t>KG</t>
        </is>
      </c>
      <c r="D253" s="9" t="n">
        <v>2300</v>
      </c>
      <c r="E253" s="9" t="n">
        <v>0</v>
      </c>
      <c r="F253" s="9" t="n">
        <v>0</v>
      </c>
      <c r="G253" s="9" t="n">
        <v>4850</v>
      </c>
      <c r="H253" s="9" t="n">
        <v>7150</v>
      </c>
    </row>
    <row r="254">
      <c r="A254" s="9" t="n">
        <v>13</v>
      </c>
      <c r="B254" s="9" t="inlineStr">
        <is>
          <t>SOYTIDE</t>
        </is>
      </c>
      <c r="C254" s="9" t="inlineStr">
        <is>
          <t>KG</t>
        </is>
      </c>
      <c r="D254" s="9" t="n">
        <v>5696.8</v>
      </c>
      <c r="E254" s="9" t="n">
        <v>0</v>
      </c>
      <c r="F254" s="9" t="n">
        <v>3849.5</v>
      </c>
      <c r="H254" s="9" t="n">
        <v>1847.3</v>
      </c>
    </row>
    <row r="255"/>
    <row r="256">
      <c r="B256" s="9" t="inlineStr">
        <is>
          <t>PREMIX &amp; ADDITIVES</t>
        </is>
      </c>
    </row>
    <row r="257">
      <c r="A257" s="9" t="n">
        <v>1</v>
      </c>
      <c r="B257" s="9" t="inlineStr">
        <is>
          <t>PREMIX 1101 (20KG)</t>
        </is>
      </c>
      <c r="C257" s="9" t="inlineStr">
        <is>
          <t>KG</t>
        </is>
      </c>
      <c r="D257" s="9" t="n">
        <v>620</v>
      </c>
      <c r="E257" s="9" t="n">
        <v>4000</v>
      </c>
      <c r="F257" s="9" t="n">
        <v>2640</v>
      </c>
      <c r="H257" s="9" t="n">
        <v>1980</v>
      </c>
    </row>
    <row r="258">
      <c r="A258" s="9" t="n">
        <v>2</v>
      </c>
      <c r="B258" s="9" t="inlineStr">
        <is>
          <t>PREMIX 1102 (20KG)</t>
        </is>
      </c>
      <c r="C258" s="9" t="inlineStr">
        <is>
          <t>KG</t>
        </is>
      </c>
      <c r="D258" s="9" t="n">
        <v>5960</v>
      </c>
      <c r="E258" s="9" t="n">
        <v>4000</v>
      </c>
      <c r="F258" s="9" t="n">
        <v>7960</v>
      </c>
      <c r="H258" s="9" t="n">
        <v>2000</v>
      </c>
    </row>
    <row r="259">
      <c r="A259" s="9" t="n">
        <v>3</v>
      </c>
      <c r="B259" s="9" t="inlineStr">
        <is>
          <t>PREMIX 1103 (20KG)</t>
        </is>
      </c>
      <c r="C259" s="9" t="inlineStr">
        <is>
          <t>KG</t>
        </is>
      </c>
      <c r="D259" s="9" t="n">
        <v>5240</v>
      </c>
      <c r="E259" s="9" t="n">
        <v>0</v>
      </c>
      <c r="F259" s="9" t="n">
        <v>440</v>
      </c>
      <c r="H259" s="9" t="n">
        <v>4800</v>
      </c>
    </row>
    <row r="260">
      <c r="A260" s="9" t="n">
        <v>4</v>
      </c>
      <c r="B260" s="9" t="inlineStr">
        <is>
          <t>PREMIX 8100 (20KG)</t>
        </is>
      </c>
      <c r="C260" s="9" t="inlineStr">
        <is>
          <t>KG</t>
        </is>
      </c>
      <c r="D260" s="9" t="n">
        <v>5120</v>
      </c>
      <c r="E260" s="9" t="n">
        <v>0</v>
      </c>
      <c r="F260" s="9" t="n">
        <v>0</v>
      </c>
      <c r="H260" s="9" t="n">
        <v>5120</v>
      </c>
    </row>
    <row r="261">
      <c r="A261" s="9" t="n">
        <v>5</v>
      </c>
      <c r="B261" s="9" t="inlineStr">
        <is>
          <t>PREMIX 8101 (20KG)</t>
        </is>
      </c>
      <c r="C261" s="9" t="inlineStr">
        <is>
          <t>KG</t>
        </is>
      </c>
      <c r="D261" s="9" t="n">
        <v>5100</v>
      </c>
      <c r="E261" s="9" t="n">
        <v>0</v>
      </c>
      <c r="F261" s="9" t="n">
        <v>0</v>
      </c>
      <c r="G261" s="9" t="n">
        <v>1440</v>
      </c>
      <c r="H261" s="9" t="n">
        <v>6540</v>
      </c>
    </row>
    <row r="262">
      <c r="A262" s="9" t="n">
        <v>6</v>
      </c>
      <c r="B262" s="9" t="inlineStr">
        <is>
          <t>PREMIX 8102 (20KG)</t>
        </is>
      </c>
      <c r="C262" s="9" t="inlineStr">
        <is>
          <t>KG</t>
        </is>
      </c>
      <c r="D262" s="9" t="n">
        <v>10240</v>
      </c>
      <c r="E262" s="9" t="n">
        <v>0</v>
      </c>
      <c r="F262" s="9" t="n">
        <v>0</v>
      </c>
      <c r="G262" s="9" t="n">
        <v>1300</v>
      </c>
      <c r="H262" s="9" t="n">
        <v>11540</v>
      </c>
    </row>
    <row r="263">
      <c r="A263" s="9" t="n">
        <v>7</v>
      </c>
      <c r="B263" s="9" t="inlineStr">
        <is>
          <t>PREMIX 8103 (20KG)</t>
        </is>
      </c>
      <c r="C263" s="9" t="inlineStr">
        <is>
          <t>KG</t>
        </is>
      </c>
      <c r="D263" s="9" t="n">
        <v>15120</v>
      </c>
      <c r="E263" s="9" t="n">
        <v>0</v>
      </c>
      <c r="F263" s="9" t="n">
        <v>0</v>
      </c>
      <c r="H263" s="9" t="n">
        <v>15120</v>
      </c>
    </row>
    <row r="264">
      <c r="A264" s="9" t="n">
        <v>8</v>
      </c>
      <c r="B264" s="9" t="inlineStr">
        <is>
          <t>PREMIX 8108 (20KG)</t>
        </is>
      </c>
      <c r="C264" s="9" t="inlineStr">
        <is>
          <t>KG</t>
        </is>
      </c>
      <c r="D264" s="9" t="n">
        <v>3320</v>
      </c>
      <c r="E264" s="9" t="n">
        <v>0</v>
      </c>
      <c r="F264" s="9" t="n">
        <v>0</v>
      </c>
      <c r="G264" s="9" t="n">
        <v>1720</v>
      </c>
      <c r="H264" s="9" t="n">
        <v>5040</v>
      </c>
    </row>
    <row r="265">
      <c r="A265" s="9" t="n">
        <v>9</v>
      </c>
      <c r="B265" s="9" t="inlineStr">
        <is>
          <t>PREMIX 8109 (20KG)</t>
        </is>
      </c>
      <c r="C265" s="9" t="inlineStr">
        <is>
          <t>KG</t>
        </is>
      </c>
      <c r="D265" s="9" t="n">
        <v>5400</v>
      </c>
      <c r="E265" s="9" t="n">
        <v>0</v>
      </c>
      <c r="F265" s="9" t="n">
        <v>0</v>
      </c>
      <c r="G265" s="9" t="n">
        <v>3700</v>
      </c>
      <c r="H265" s="9" t="n">
        <v>9100</v>
      </c>
    </row>
    <row r="266">
      <c r="A266" s="9" t="n">
        <v>10</v>
      </c>
      <c r="B266" s="9" t="inlineStr">
        <is>
          <t>YENMIX 121 (20KG)</t>
        </is>
      </c>
      <c r="C266" s="9" t="inlineStr">
        <is>
          <t>KG</t>
        </is>
      </c>
      <c r="D266" s="9" t="n">
        <v>4000</v>
      </c>
      <c r="E266" s="9" t="n">
        <v>3000</v>
      </c>
      <c r="F266" s="9" t="n">
        <v>3920</v>
      </c>
      <c r="G266" s="9" t="n">
        <v>1140</v>
      </c>
      <c r="H266" s="9" t="n">
        <v>4220</v>
      </c>
    </row>
    <row r="267">
      <c r="A267" s="9" t="n">
        <v>11</v>
      </c>
      <c r="B267" s="9" t="inlineStr">
        <is>
          <t>YENMIX 122 (19.50KG)</t>
        </is>
      </c>
      <c r="C267" s="9" t="inlineStr">
        <is>
          <t>KG</t>
        </is>
      </c>
      <c r="D267" s="9" t="n">
        <v>0</v>
      </c>
      <c r="E267" s="9" t="n">
        <v>10725</v>
      </c>
      <c r="F267" s="9" t="n">
        <v>4875</v>
      </c>
      <c r="G267" s="9" t="n">
        <v>1852.5</v>
      </c>
      <c r="H267" s="9" t="n">
        <v>7702.5</v>
      </c>
    </row>
    <row r="268">
      <c r="A268" s="9" t="n">
        <v>12</v>
      </c>
      <c r="B268" s="9" t="inlineStr">
        <is>
          <t>YENMIX 123 (18.90KG)</t>
        </is>
      </c>
      <c r="C268" s="9" t="inlineStr">
        <is>
          <t>KG</t>
        </is>
      </c>
      <c r="D268" s="9" t="n">
        <v>6539.400000000001</v>
      </c>
      <c r="E268" s="9" t="n">
        <v>7560.000000000001</v>
      </c>
      <c r="F268" s="9" t="n">
        <v>8580.599999999999</v>
      </c>
      <c r="G268" s="9" t="n">
        <v>907.2</v>
      </c>
      <c r="H268" s="9" t="n">
        <v>6426.000000000003</v>
      </c>
    </row>
    <row r="269">
      <c r="A269" s="9" t="n">
        <v>13</v>
      </c>
      <c r="B269" s="9" t="inlineStr">
        <is>
          <t>TOXISORB PREMIUM</t>
        </is>
      </c>
      <c r="C269" s="9" t="inlineStr">
        <is>
          <t>KG</t>
        </is>
      </c>
      <c r="D269" s="9" t="n">
        <v>4123</v>
      </c>
      <c r="E269" s="9" t="n">
        <v>2000</v>
      </c>
      <c r="F269" s="9" t="n">
        <v>1928</v>
      </c>
      <c r="H269" s="9" t="n">
        <v>4195</v>
      </c>
    </row>
    <row r="270">
      <c r="A270" s="9" t="n">
        <v>14</v>
      </c>
      <c r="B270" s="9" t="inlineStr">
        <is>
          <t>SODIUM HUMATE 3.8%</t>
        </is>
      </c>
      <c r="C270" s="9" t="inlineStr">
        <is>
          <t>KG</t>
        </is>
      </c>
      <c r="D270" s="9" t="n">
        <v>0</v>
      </c>
      <c r="E270" s="9" t="n">
        <v>2478</v>
      </c>
      <c r="F270" s="9" t="n">
        <v>2478</v>
      </c>
      <c r="H270" s="9" t="n">
        <v>0</v>
      </c>
    </row>
    <row r="271">
      <c r="A271" s="9" t="n">
        <v>15</v>
      </c>
      <c r="B271" s="9" t="inlineStr">
        <is>
          <t>SODIUM BICARBONATE</t>
        </is>
      </c>
      <c r="C271" s="9" t="inlineStr">
        <is>
          <t>KG</t>
        </is>
      </c>
      <c r="D271" s="9" t="n">
        <v>1947.7</v>
      </c>
      <c r="E271" s="9" t="n">
        <v>3000</v>
      </c>
      <c r="F271" s="9" t="n">
        <v>795.1999999999999</v>
      </c>
      <c r="H271" s="9" t="n">
        <v>4152.5</v>
      </c>
    </row>
    <row r="272">
      <c r="A272" s="9" t="n">
        <v>16</v>
      </c>
      <c r="B272" s="9" t="inlineStr">
        <is>
          <t>TOXIWALL</t>
        </is>
      </c>
      <c r="C272" s="9" t="inlineStr">
        <is>
          <t>KG</t>
        </is>
      </c>
      <c r="D272" s="9" t="n">
        <v>0</v>
      </c>
      <c r="E272" s="9" t="n">
        <v>2065</v>
      </c>
      <c r="F272" s="9" t="n">
        <v>0</v>
      </c>
      <c r="H272" s="9" t="n">
        <v>2065</v>
      </c>
    </row>
    <row r="273">
      <c r="A273" s="9" t="n">
        <v>17</v>
      </c>
      <c r="B273" s="9" t="inlineStr">
        <is>
          <t>BMD 10%</t>
        </is>
      </c>
      <c r="C273" s="9" t="inlineStr">
        <is>
          <t>KG</t>
        </is>
      </c>
      <c r="D273" s="9" t="n">
        <v>1680.5</v>
      </c>
      <c r="E273" s="9" t="n">
        <v>0</v>
      </c>
      <c r="F273" s="9" t="n">
        <v>0</v>
      </c>
      <c r="H273" s="9" t="n">
        <v>1680.5</v>
      </c>
    </row>
    <row r="274">
      <c r="A274" s="9" t="n">
        <v>18</v>
      </c>
      <c r="B274" s="9" t="inlineStr">
        <is>
          <t>SALT</t>
        </is>
      </c>
      <c r="C274" s="9" t="inlineStr">
        <is>
          <t>KG</t>
        </is>
      </c>
      <c r="D274" s="9" t="n">
        <v>41.60000000000002</v>
      </c>
      <c r="E274" s="9" t="n">
        <v>2160</v>
      </c>
      <c r="F274" s="9" t="n">
        <v>2160</v>
      </c>
      <c r="H274" s="9" t="n">
        <v>41.59999999999991</v>
      </c>
    </row>
    <row r="275">
      <c r="A275" s="9" t="n">
        <v>19</v>
      </c>
      <c r="B275" s="9" t="inlineStr">
        <is>
          <t>VISTABET 91</t>
        </is>
      </c>
      <c r="C275" s="9" t="inlineStr">
        <is>
          <t>KG</t>
        </is>
      </c>
      <c r="D275" s="9" t="n">
        <v>0</v>
      </c>
      <c r="E275" s="9" t="n">
        <v>2000</v>
      </c>
      <c r="F275" s="9" t="n">
        <v>1000</v>
      </c>
      <c r="H275" s="9" t="n">
        <v>1000</v>
      </c>
    </row>
    <row r="276">
      <c r="A276" s="9" t="n">
        <v>20</v>
      </c>
      <c r="B276" s="9" t="inlineStr">
        <is>
          <t>8101 TOP UP</t>
        </is>
      </c>
      <c r="C276" s="9" t="inlineStr">
        <is>
          <t>KG</t>
        </is>
      </c>
      <c r="D276" s="9" t="n">
        <v>100</v>
      </c>
      <c r="E276" s="9" t="n">
        <v>0</v>
      </c>
      <c r="F276" s="9" t="n">
        <v>0</v>
      </c>
      <c r="H276" s="9" t="n">
        <v>100</v>
      </c>
    </row>
    <row r="277">
      <c r="A277" s="9" t="n">
        <v>21</v>
      </c>
      <c r="B277" s="9" t="inlineStr">
        <is>
          <t>NORPONIN X03 (8102 TOP UP)</t>
        </is>
      </c>
      <c r="C277" s="9" t="inlineStr">
        <is>
          <t>KG</t>
        </is>
      </c>
      <c r="D277" s="9" t="n">
        <v>13.96000000000004</v>
      </c>
      <c r="E277" s="9" t="n">
        <v>0</v>
      </c>
      <c r="F277" s="9" t="n">
        <v>0</v>
      </c>
      <c r="H277" s="9" t="n">
        <v>13.96000000000004</v>
      </c>
    </row>
    <row r="278">
      <c r="A278" s="9" t="n">
        <v>22</v>
      </c>
      <c r="B278" s="9" t="inlineStr">
        <is>
          <t>8102 TOP UP</t>
        </is>
      </c>
      <c r="C278" s="9" t="inlineStr">
        <is>
          <t>KG</t>
        </is>
      </c>
      <c r="D278" s="9" t="n">
        <v>344</v>
      </c>
      <c r="E278" s="9" t="n">
        <v>868</v>
      </c>
      <c r="F278" s="9" t="n">
        <v>0</v>
      </c>
      <c r="H278" s="9" t="n">
        <v>1212</v>
      </c>
    </row>
    <row r="279">
      <c r="A279" s="9" t="n">
        <v>23</v>
      </c>
      <c r="B279" s="9" t="inlineStr">
        <is>
          <t>8103 TOP UP</t>
        </is>
      </c>
      <c r="C279" s="9" t="inlineStr">
        <is>
          <t>KG</t>
        </is>
      </c>
      <c r="D279" s="9" t="n">
        <v>0</v>
      </c>
      <c r="E279" s="9" t="n">
        <v>400</v>
      </c>
      <c r="F279" s="9" t="n">
        <v>0</v>
      </c>
      <c r="H279" s="9" t="n">
        <v>400</v>
      </c>
      <c r="I279" s="9" t="inlineStr">
        <is>
          <t>*Top Up 8103 intake 400 Weissen 9/4 BILLED us</t>
        </is>
      </c>
    </row>
    <row r="280">
      <c r="A280" s="9" t="n">
        <v>24</v>
      </c>
      <c r="B280" s="9" t="inlineStr">
        <is>
          <t>L-ARGININE</t>
        </is>
      </c>
      <c r="C280" s="9" t="inlineStr">
        <is>
          <t>KG</t>
        </is>
      </c>
      <c r="D280" s="9" t="n">
        <v>207.6</v>
      </c>
      <c r="E280" s="9" t="n">
        <v>0</v>
      </c>
      <c r="F280" s="9" t="n">
        <v>0</v>
      </c>
      <c r="H280" s="9" t="n">
        <v>207.6</v>
      </c>
    </row>
    <row r="281">
      <c r="A281" s="9" t="n">
        <v>25</v>
      </c>
      <c r="B281" s="9" t="inlineStr">
        <is>
          <t>DL-METHIONINE</t>
        </is>
      </c>
      <c r="C281" s="9" t="inlineStr">
        <is>
          <t>KG</t>
        </is>
      </c>
      <c r="D281" s="9" t="n">
        <v>197.04</v>
      </c>
      <c r="E281" s="9" t="n">
        <v>0</v>
      </c>
      <c r="F281" s="9" t="n">
        <v>50</v>
      </c>
      <c r="H281" s="9" t="n">
        <v>147.04</v>
      </c>
    </row>
    <row r="282">
      <c r="A282" s="9" t="n">
        <v>26</v>
      </c>
      <c r="B282" s="9" t="inlineStr">
        <is>
          <t>L-THREONINE</t>
        </is>
      </c>
      <c r="C282" s="9" t="inlineStr">
        <is>
          <t>KG</t>
        </is>
      </c>
      <c r="D282" s="9" t="n">
        <v>46.8</v>
      </c>
      <c r="E282" s="9" t="n">
        <v>0</v>
      </c>
      <c r="F282" s="9" t="n">
        <v>0</v>
      </c>
      <c r="H282" s="9" t="n">
        <v>46.8</v>
      </c>
    </row>
    <row r="283"/>
    <row r="284">
      <c r="B284" s="9" t="inlineStr">
        <is>
          <t>PACKING MATERIALS</t>
        </is>
      </c>
    </row>
    <row r="285">
      <c r="A285" s="9" t="n">
        <v>1</v>
      </c>
      <c r="B285" s="9" t="inlineStr">
        <is>
          <t>WOVEN BAG (1101) - BLUE 50KG</t>
        </is>
      </c>
      <c r="C285" s="9" t="inlineStr">
        <is>
          <t>PCS</t>
        </is>
      </c>
      <c r="D285" s="9" t="n">
        <v>6628</v>
      </c>
      <c r="E285" s="9" t="n">
        <v>0</v>
      </c>
      <c r="F285" s="9" t="n">
        <v>2739</v>
      </c>
      <c r="H285" s="9" t="n">
        <v>3889</v>
      </c>
    </row>
    <row r="286">
      <c r="A286" s="9" t="n">
        <v>2</v>
      </c>
      <c r="B286" s="9" t="inlineStr">
        <is>
          <t>WOVEN BAG (1102) - GREEN 50KG</t>
        </is>
      </c>
      <c r="C286" s="9" t="inlineStr">
        <is>
          <t>PCS</t>
        </is>
      </c>
      <c r="D286" s="9" t="n">
        <v>6559</v>
      </c>
      <c r="E286" s="9" t="n">
        <v>0</v>
      </c>
      <c r="F286" s="9" t="n">
        <v>6770</v>
      </c>
      <c r="G286" s="9" t="n">
        <v>211</v>
      </c>
      <c r="H286" s="9" t="n">
        <v>0</v>
      </c>
    </row>
    <row r="287">
      <c r="A287" s="9" t="n">
        <v>3</v>
      </c>
      <c r="B287" s="9" t="inlineStr">
        <is>
          <t>WOVEN BAG (1103) - RED 50KG</t>
        </is>
      </c>
      <c r="C287" s="9" t="inlineStr">
        <is>
          <t>PCS</t>
        </is>
      </c>
      <c r="D287" s="9" t="n">
        <v>590</v>
      </c>
      <c r="E287" s="9" t="n">
        <v>6552</v>
      </c>
      <c r="F287" s="9" t="n">
        <v>793</v>
      </c>
      <c r="H287" s="9" t="n">
        <v>6349</v>
      </c>
    </row>
    <row r="288">
      <c r="A288" s="9" t="n">
        <v>4</v>
      </c>
      <c r="B288" s="9" t="inlineStr">
        <is>
          <t>PLAIN BAG 26" X 39" (50KG)</t>
        </is>
      </c>
      <c r="C288" s="9" t="inlineStr">
        <is>
          <t>PCS</t>
        </is>
      </c>
      <c r="D288" s="9" t="n">
        <v>3391</v>
      </c>
      <c r="E288" s="9" t="n">
        <v>8000</v>
      </c>
      <c r="F288" s="9" t="n">
        <v>5402</v>
      </c>
      <c r="H288" s="9" t="n">
        <v>5989</v>
      </c>
    </row>
    <row r="289">
      <c r="A289" s="9" t="n">
        <v>5</v>
      </c>
      <c r="B289" s="9" t="inlineStr">
        <is>
          <t>WOVEN BAG (8101) - KHAKI 50KG</t>
        </is>
      </c>
      <c r="C289" s="9" t="inlineStr">
        <is>
          <t>PCS</t>
        </is>
      </c>
      <c r="D289" s="9" t="n">
        <v>1901</v>
      </c>
      <c r="E289" s="9" t="n">
        <v>0</v>
      </c>
      <c r="F289" s="9" t="n">
        <v>0</v>
      </c>
      <c r="H289" s="9" t="n">
        <v>1901</v>
      </c>
    </row>
    <row r="290">
      <c r="A290" s="9" t="n">
        <v>6</v>
      </c>
      <c r="B290" s="9" t="inlineStr">
        <is>
          <t>WOVEN BAG (8102) - SKY BLUE 50KG</t>
        </is>
      </c>
      <c r="C290" s="9" t="inlineStr">
        <is>
          <t>PCS</t>
        </is>
      </c>
      <c r="D290" s="9" t="n">
        <v>0</v>
      </c>
      <c r="E290" s="9" t="n">
        <v>6459</v>
      </c>
      <c r="F290" s="9" t="n">
        <v>0</v>
      </c>
      <c r="H290" s="9" t="n">
        <v>6459</v>
      </c>
    </row>
    <row r="291"/>
    <row r="292">
      <c r="B292" s="9" t="inlineStr">
        <is>
          <t>TOTAL</t>
        </is>
      </c>
      <c r="D292" s="9" t="n">
        <v>452014</v>
      </c>
      <c r="E292" s="9" t="n">
        <v>1422063.4</v>
      </c>
      <c r="F292" s="9" t="n">
        <v>1639308.4</v>
      </c>
      <c r="G292" s="9" t="n">
        <v>35545.2</v>
      </c>
      <c r="H292" s="9" t="n">
        <v>270314.2</v>
      </c>
    </row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B313" s="9" t="inlineStr">
        <is>
          <t>Prepared by: ______________</t>
        </is>
      </c>
      <c r="G313" s="9" t="inlineStr">
        <is>
          <t xml:space="preserve">   Approved by: ______________</t>
        </is>
      </c>
    </row>
    <row r="314"/>
    <row r="315"/>
    <row r="316">
      <c r="H316" s="9" t="inlineStr">
        <is>
          <t>Revised Date: 2/6/2026</t>
        </is>
      </c>
    </row>
    <row r="317">
      <c r="B317" s="9" t="inlineStr">
        <is>
          <t>HARUMI Stock - MAR 2026</t>
        </is>
      </c>
    </row>
    <row r="318"/>
    <row r="319">
      <c r="B319" s="9" t="inlineStr">
        <is>
          <t>Remark for adjustment (+)</t>
        </is>
      </c>
    </row>
    <row r="320">
      <c r="B320" s="9" t="inlineStr">
        <is>
          <t>SOYBEAN MEAL (ARG)</t>
        </is>
      </c>
      <c r="C320" s="9" t="inlineStr">
        <is>
          <t>KG</t>
        </is>
      </c>
      <c r="D320" s="9" t="n">
        <v>4041.8</v>
      </c>
    </row>
    <row r="321">
      <c r="B321" s="9" t="inlineStr">
        <is>
          <t>CORN GLUTEN MEAL</t>
        </is>
      </c>
      <c r="C321" s="9" t="inlineStr">
        <is>
          <t>KG</t>
        </is>
      </c>
      <c r="D321" s="9" t="n">
        <v>89.7</v>
      </c>
    </row>
    <row r="322">
      <c r="B322" s="9" t="inlineStr">
        <is>
          <t>WOVEN BAG (1102) - GREEN 50KG</t>
        </is>
      </c>
      <c r="C322" s="9" t="inlineStr">
        <is>
          <t>PCS</t>
        </is>
      </c>
      <c r="D322" s="9" t="n">
        <v>211</v>
      </c>
    </row>
    <row r="323">
      <c r="B323" s="9" t="inlineStr">
        <is>
          <t>Reason: Cut off</t>
        </is>
      </c>
    </row>
    <row r="324"/>
    <row r="325">
      <c r="B325" s="9" t="inlineStr">
        <is>
          <t>CORN GLUTEN MEAL</t>
        </is>
      </c>
      <c r="C325" s="9" t="inlineStr">
        <is>
          <t>KG</t>
        </is>
      </c>
      <c r="D325" s="9" t="n">
        <v>15960</v>
      </c>
    </row>
    <row r="326">
      <c r="B326" s="9" t="inlineStr">
        <is>
          <t>Reason: Stock Transferred from Xun Ta</t>
        </is>
      </c>
    </row>
    <row r="327">
      <c r="B327" s="9" t="inlineStr">
        <is>
          <t>PPSB00821/DO16424                       2/3/2026</t>
        </is>
      </c>
    </row>
    <row r="328"/>
    <row r="329">
      <c r="B329" s="9" t="inlineStr">
        <is>
          <t>CORN GLUTEN MEAL</t>
        </is>
      </c>
      <c r="C329" s="9" t="inlineStr">
        <is>
          <t>KG</t>
        </is>
      </c>
      <c r="D329" s="9" t="n">
        <v>28320</v>
      </c>
    </row>
    <row r="330">
      <c r="B330" s="9" t="inlineStr">
        <is>
          <t>Reason: Stock Transferred from Liang Teik</t>
        </is>
      </c>
    </row>
    <row r="331">
      <c r="B331" s="9" t="inlineStr">
        <is>
          <t>PPSB00825/DO16459                     13/3/2026</t>
        </is>
      </c>
    </row>
    <row r="332"/>
    <row r="333"/>
    <row r="334">
      <c r="B334" s="9" t="inlineStr">
        <is>
          <t>YENMIX 121 (20KG)</t>
        </is>
      </c>
      <c r="C334" s="9" t="inlineStr">
        <is>
          <t>KG</t>
        </is>
      </c>
      <c r="D334" s="9" t="n">
        <v>1140</v>
      </c>
    </row>
    <row r="335">
      <c r="B335" s="9" t="inlineStr">
        <is>
          <t>YENMIX 122 (19.50KG)</t>
        </is>
      </c>
      <c r="C335" s="9" t="inlineStr">
        <is>
          <t>KG</t>
        </is>
      </c>
      <c r="D335" s="9" t="n">
        <v>1852.5</v>
      </c>
    </row>
    <row r="336">
      <c r="B336" s="9" t="inlineStr">
        <is>
          <t>YENMIX 123 (18.90KG)</t>
        </is>
      </c>
      <c r="C336" s="9" t="inlineStr">
        <is>
          <t>KG</t>
        </is>
      </c>
      <c r="D336" s="9" t="n">
        <v>907.2</v>
      </c>
    </row>
    <row r="337">
      <c r="B337" s="9" t="inlineStr">
        <is>
          <t>EP 200</t>
        </is>
      </c>
      <c r="C337" s="9" t="inlineStr">
        <is>
          <t>KG</t>
        </is>
      </c>
      <c r="D337" s="9" t="n">
        <v>4850</v>
      </c>
    </row>
    <row r="338">
      <c r="B338" s="9" t="inlineStr">
        <is>
          <t>Reason: Stock Transferred from Xun Ta</t>
        </is>
      </c>
    </row>
    <row r="339">
      <c r="B339" s="9" t="inlineStr">
        <is>
          <t>PPSB00823/DO16051                       6/3/2026</t>
        </is>
      </c>
    </row>
    <row r="340"/>
    <row r="341">
      <c r="B341" s="9" t="inlineStr">
        <is>
          <t>PREMIX 8101 (20KG)</t>
        </is>
      </c>
      <c r="C341" s="9" t="inlineStr">
        <is>
          <t>KG</t>
        </is>
      </c>
      <c r="D341" s="9" t="n">
        <v>1440</v>
      </c>
    </row>
    <row r="342">
      <c r="B342" s="9" t="inlineStr">
        <is>
          <t>PREMIX 8102 (20KG)</t>
        </is>
      </c>
      <c r="C342" s="9" t="inlineStr">
        <is>
          <t>KG</t>
        </is>
      </c>
      <c r="D342" s="9" t="n">
        <v>1300</v>
      </c>
    </row>
    <row r="343">
      <c r="B343" s="9" t="inlineStr">
        <is>
          <t>PREMIX 8108 (20KG)</t>
        </is>
      </c>
      <c r="C343" s="9" t="inlineStr">
        <is>
          <t>KG</t>
        </is>
      </c>
      <c r="D343" s="9" t="n">
        <v>1720</v>
      </c>
    </row>
    <row r="344">
      <c r="B344" s="9" t="inlineStr">
        <is>
          <t>PREMIX 8109 (20KG)</t>
        </is>
      </c>
      <c r="C344" s="9" t="inlineStr">
        <is>
          <t>KG</t>
        </is>
      </c>
      <c r="D344" s="9" t="n">
        <v>3700</v>
      </c>
    </row>
    <row r="345">
      <c r="B345" s="9" t="inlineStr">
        <is>
          <t>Reason: Stock Transferred from Xun Ta</t>
        </is>
      </c>
    </row>
    <row r="346">
      <c r="B346" s="9" t="inlineStr">
        <is>
          <t>PPSB00824/DO16051                       6/3/2026</t>
        </is>
      </c>
    </row>
    <row r="347"/>
    <row r="348">
      <c r="B348" s="9" t="inlineStr">
        <is>
          <t>Remark for adjustment (-)</t>
        </is>
      </c>
    </row>
    <row r="349">
      <c r="B349" s="9" t="inlineStr">
        <is>
          <t>MAIZE/CORN</t>
        </is>
      </c>
      <c r="C349" s="9" t="inlineStr">
        <is>
          <t>KG</t>
        </is>
      </c>
      <c r="D349" s="9" t="n">
        <v>-10147</v>
      </c>
    </row>
    <row r="350">
      <c r="B350" s="9" t="inlineStr">
        <is>
          <t>Reason: Cut off</t>
        </is>
      </c>
    </row>
    <row r="351"/>
    <row r="352">
      <c r="B352" s="9" t="inlineStr">
        <is>
          <t>MEAT AND BONE MEAL</t>
        </is>
      </c>
      <c r="C352" s="9" t="inlineStr">
        <is>
          <t>KG</t>
        </is>
      </c>
      <c r="D352" s="9" t="n">
        <v>-19840</v>
      </c>
    </row>
    <row r="353">
      <c r="B353" s="9" t="inlineStr">
        <is>
          <t>Reason: Stock Transferred from Liang Teik</t>
        </is>
      </c>
    </row>
    <row r="354">
      <c r="B354" s="9" t="inlineStr">
        <is>
          <t>PPSB00826                                    13/3/2026</t>
        </is>
      </c>
    </row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>
      <c r="B384" s="9" t="inlineStr">
        <is>
          <t>Prepared by: ______________</t>
        </is>
      </c>
      <c r="G384" s="9" t="inlineStr">
        <is>
          <t xml:space="preserve">   Approved by: ______________</t>
        </is>
      </c>
    </row>
    <row r="385"/>
    <row r="386"/>
    <row r="387"/>
    <row r="388">
      <c r="H388" s="9" t="inlineStr">
        <is>
          <t>Revised Date: 3/6/2026</t>
        </is>
      </c>
      <c r="I388" s="9" t="inlineStr">
        <is>
          <t>IF NEEDED</t>
        </is>
      </c>
    </row>
    <row r="389">
      <c r="B389" s="9" t="inlineStr">
        <is>
          <t>HARUMI Stock - MAR 2026</t>
        </is>
      </c>
    </row>
    <row r="390">
      <c r="A390" s="9" t="inlineStr">
        <is>
          <t>No</t>
        </is>
      </c>
      <c r="B390" s="9" t="inlineStr">
        <is>
          <t>Description</t>
        </is>
      </c>
      <c r="C390" s="9" t="inlineStr">
        <is>
          <t>UOM</t>
        </is>
      </c>
      <c r="D390" s="9" t="inlineStr">
        <is>
          <t>Opening</t>
        </is>
      </c>
      <c r="E390" s="9" t="inlineStr">
        <is>
          <t>Receiving</t>
        </is>
      </c>
      <c r="F390" s="9" t="inlineStr">
        <is>
          <t>Usage</t>
        </is>
      </c>
      <c r="G390" s="9" t="inlineStr">
        <is>
          <t>Adjustment</t>
        </is>
      </c>
      <c r="H390" s="9" t="inlineStr">
        <is>
          <t>Bal (KG)</t>
        </is>
      </c>
    </row>
    <row r="391">
      <c r="B391" s="9" t="inlineStr">
        <is>
          <t>RAW MATERIAL</t>
        </is>
      </c>
    </row>
    <row r="392">
      <c r="A392" s="9" t="n">
        <v>1</v>
      </c>
      <c r="B392" s="9" t="inlineStr">
        <is>
          <t>MAIZE/CORN</t>
        </is>
      </c>
      <c r="C392" s="9" t="inlineStr">
        <is>
          <t>KG</t>
        </is>
      </c>
      <c r="D392" s="9" t="n">
        <v>91614.80000000002</v>
      </c>
      <c r="E392" s="9" t="n">
        <v>822130</v>
      </c>
      <c r="F392" s="9" t="n">
        <v>875757.8</v>
      </c>
      <c r="G392" s="9" t="n">
        <v>-10147</v>
      </c>
      <c r="H392" s="9" t="n">
        <v>27840</v>
      </c>
    </row>
    <row r="393">
      <c r="A393" s="9" t="n">
        <v>2</v>
      </c>
      <c r="B393" s="9" t="inlineStr">
        <is>
          <t>SOYBEAN MEAL (ARG)</t>
        </is>
      </c>
      <c r="C393" s="9" t="inlineStr">
        <is>
          <t>KG</t>
        </is>
      </c>
      <c r="D393" s="9" t="n">
        <v>65096.60000000003</v>
      </c>
      <c r="E393" s="9" t="n">
        <v>281460</v>
      </c>
      <c r="F393" s="9" t="n">
        <v>350598.4</v>
      </c>
      <c r="G393" s="9" t="n">
        <v>3371.8</v>
      </c>
      <c r="H393" s="9" t="n">
        <v>-669.99999999993</v>
      </c>
    </row>
    <row r="394">
      <c r="A394" s="9" t="n">
        <v>3</v>
      </c>
      <c r="B394" s="9" t="inlineStr">
        <is>
          <t>SOYBEAN FULL FAT</t>
        </is>
      </c>
      <c r="C394" s="9" t="inlineStr">
        <is>
          <t>KG</t>
        </is>
      </c>
      <c r="D394" s="9" t="n">
        <v>48372.79999999997</v>
      </c>
      <c r="E394" s="9" t="n">
        <v>80280</v>
      </c>
      <c r="F394" s="9" t="n">
        <v>108634.4</v>
      </c>
      <c r="H394" s="9" t="n">
        <v>20018.39999999998</v>
      </c>
    </row>
    <row r="395">
      <c r="A395" s="9" t="n">
        <v>4</v>
      </c>
      <c r="B395" s="9" t="inlineStr">
        <is>
          <t>WHEAT POLLARD</t>
        </is>
      </c>
      <c r="C395" s="9" t="inlineStr">
        <is>
          <t>KG</t>
        </is>
      </c>
      <c r="D395" s="9" t="n">
        <v>34138.20000000002</v>
      </c>
      <c r="E395" s="9" t="n">
        <v>30490</v>
      </c>
      <c r="F395" s="9" t="n">
        <v>38335.5</v>
      </c>
      <c r="H395" s="9" t="n">
        <v>26292.70000000002</v>
      </c>
    </row>
    <row r="396">
      <c r="A396" s="9" t="n">
        <v>5</v>
      </c>
      <c r="B396" s="9" t="inlineStr">
        <is>
          <t>MEAT AND BONE MEAL</t>
        </is>
      </c>
      <c r="C396" s="9" t="inlineStr">
        <is>
          <t>KG</t>
        </is>
      </c>
      <c r="D396" s="9" t="n">
        <v>47801.99999999999</v>
      </c>
      <c r="E396" s="9" t="n">
        <v>0</v>
      </c>
      <c r="F396" s="9" t="n">
        <v>10575.3</v>
      </c>
      <c r="G396" s="9" t="n">
        <v>-19840</v>
      </c>
      <c r="H396" s="9" t="n">
        <v>17386.69999999998</v>
      </c>
    </row>
    <row r="397">
      <c r="A397" s="9" t="n">
        <v>6</v>
      </c>
      <c r="B397" s="9" t="inlineStr">
        <is>
          <t>CORN GLUTEN MEAL</t>
        </is>
      </c>
      <c r="C397" s="9" t="inlineStr">
        <is>
          <t>KG</t>
        </is>
      </c>
      <c r="D397" s="9" t="n">
        <v>7501.800000000005</v>
      </c>
      <c r="E397" s="9" t="n">
        <v>0</v>
      </c>
      <c r="F397" s="9" t="n">
        <v>51871.5</v>
      </c>
      <c r="G397" s="9" t="n">
        <v>44369.7</v>
      </c>
      <c r="H397" s="9" t="n">
        <v>0</v>
      </c>
    </row>
    <row r="398">
      <c r="A398" s="9" t="n">
        <v>7</v>
      </c>
      <c r="B398" s="9" t="inlineStr">
        <is>
          <t>MEGAFAT</t>
        </is>
      </c>
      <c r="C398" s="9" t="inlineStr">
        <is>
          <t>KG</t>
        </is>
      </c>
      <c r="D398" s="9" t="n">
        <v>0</v>
      </c>
      <c r="E398" s="9" t="n">
        <v>33929.6</v>
      </c>
      <c r="F398" s="9" t="n">
        <v>33929.6</v>
      </c>
      <c r="H398" s="9" t="n">
        <v>0</v>
      </c>
    </row>
    <row r="399">
      <c r="A399" s="9" t="n">
        <v>8</v>
      </c>
      <c r="B399" s="9" t="inlineStr">
        <is>
          <t>DCP 18%</t>
        </is>
      </c>
      <c r="C399" s="9" t="inlineStr">
        <is>
          <t>KG</t>
        </is>
      </c>
      <c r="D399" s="9" t="n">
        <v>8.000000000000114</v>
      </c>
      <c r="E399" s="9" t="n">
        <v>18000</v>
      </c>
      <c r="F399" s="9" t="n">
        <v>6195.099999999999</v>
      </c>
      <c r="H399" s="9" t="n">
        <v>11812.9</v>
      </c>
    </row>
    <row r="400">
      <c r="A400" s="9" t="n">
        <v>9</v>
      </c>
      <c r="B400" s="9" t="inlineStr">
        <is>
          <t xml:space="preserve">LIMESTONE POWDER </t>
        </is>
      </c>
      <c r="C400" s="9" t="inlineStr">
        <is>
          <t>KG</t>
        </is>
      </c>
      <c r="D400" s="9" t="n">
        <v>0</v>
      </c>
      <c r="E400" s="9" t="n">
        <v>9326.799999999999</v>
      </c>
      <c r="F400" s="9" t="n">
        <v>9326.799999999999</v>
      </c>
      <c r="H400" s="9" t="n">
        <v>0</v>
      </c>
    </row>
    <row r="401">
      <c r="A401" s="9" t="n">
        <v>10</v>
      </c>
      <c r="B401" s="9" t="inlineStr">
        <is>
          <t>INDUSTRY FLOUR</t>
        </is>
      </c>
      <c r="C401" s="9" t="inlineStr">
        <is>
          <t>KG</t>
        </is>
      </c>
      <c r="D401" s="9" t="n">
        <v>55052.4</v>
      </c>
      <c r="E401" s="9" t="n">
        <v>35280</v>
      </c>
      <c r="F401" s="9" t="n">
        <v>58462.7</v>
      </c>
      <c r="H401" s="9" t="n">
        <v>31869.7</v>
      </c>
    </row>
    <row r="402">
      <c r="A402" s="9" t="n">
        <v>11</v>
      </c>
      <c r="B402" s="9" t="inlineStr">
        <is>
          <t>RICE BRAN</t>
        </is>
      </c>
      <c r="C402" s="9" t="inlineStr">
        <is>
          <t>KG</t>
        </is>
      </c>
      <c r="D402" s="9" t="n">
        <v>0</v>
      </c>
      <c r="E402" s="9" t="n">
        <v>45900</v>
      </c>
      <c r="F402" s="9" t="n">
        <v>39241.00000000001</v>
      </c>
      <c r="H402" s="9" t="n">
        <v>6658.999999999993</v>
      </c>
    </row>
    <row r="403">
      <c r="A403" s="9" t="n">
        <v>12</v>
      </c>
      <c r="B403" s="9" t="inlineStr">
        <is>
          <t>EP 200</t>
        </is>
      </c>
      <c r="C403" s="9" t="inlineStr">
        <is>
          <t>KG</t>
        </is>
      </c>
      <c r="D403" s="9" t="n">
        <v>2300</v>
      </c>
      <c r="E403" s="9" t="n">
        <v>0</v>
      </c>
      <c r="F403" s="9" t="n">
        <v>0</v>
      </c>
      <c r="G403" s="9" t="n">
        <v>4850</v>
      </c>
      <c r="H403" s="9" t="n">
        <v>7150</v>
      </c>
    </row>
    <row r="404">
      <c r="A404" s="9" t="n">
        <v>13</v>
      </c>
      <c r="B404" s="9" t="inlineStr">
        <is>
          <t>SOYTIDE</t>
        </is>
      </c>
      <c r="C404" s="9" t="inlineStr">
        <is>
          <t>KG</t>
        </is>
      </c>
      <c r="D404" s="9" t="n">
        <v>5696.8</v>
      </c>
      <c r="E404" s="9" t="n">
        <v>0</v>
      </c>
      <c r="F404" s="9" t="n">
        <v>3849.5</v>
      </c>
      <c r="H404" s="9" t="n">
        <v>1847.3</v>
      </c>
    </row>
    <row r="405"/>
    <row r="406">
      <c r="B406" s="9" t="inlineStr">
        <is>
          <t>PREMIX &amp; ADDITIVES</t>
        </is>
      </c>
    </row>
    <row r="407">
      <c r="A407" s="9" t="n">
        <v>1</v>
      </c>
      <c r="B407" s="9" t="inlineStr">
        <is>
          <t>PREMIX 1101 (20KG)</t>
        </is>
      </c>
      <c r="C407" s="9" t="inlineStr">
        <is>
          <t>KG</t>
        </is>
      </c>
      <c r="D407" s="9" t="n">
        <v>620</v>
      </c>
      <c r="E407" s="9" t="n">
        <v>4000</v>
      </c>
      <c r="F407" s="9" t="n">
        <v>2640</v>
      </c>
      <c r="H407" s="9" t="n">
        <v>1980</v>
      </c>
    </row>
    <row r="408">
      <c r="A408" s="9" t="n">
        <v>2</v>
      </c>
      <c r="B408" s="9" t="inlineStr">
        <is>
          <t>PREMIX 1102 (20KG)</t>
        </is>
      </c>
      <c r="C408" s="9" t="inlineStr">
        <is>
          <t>KG</t>
        </is>
      </c>
      <c r="D408" s="9" t="n">
        <v>5960</v>
      </c>
      <c r="E408" s="9" t="n">
        <v>4000</v>
      </c>
      <c r="F408" s="9" t="n">
        <v>7960</v>
      </c>
      <c r="H408" s="9" t="n">
        <v>2000</v>
      </c>
    </row>
    <row r="409">
      <c r="A409" s="9" t="n">
        <v>3</v>
      </c>
      <c r="B409" s="9" t="inlineStr">
        <is>
          <t>PREMIX 1103 (20KG)</t>
        </is>
      </c>
      <c r="C409" s="9" t="inlineStr">
        <is>
          <t>KG</t>
        </is>
      </c>
      <c r="D409" s="9" t="n">
        <v>5240</v>
      </c>
      <c r="E409" s="9" t="n">
        <v>0</v>
      </c>
      <c r="F409" s="9" t="n">
        <v>440</v>
      </c>
      <c r="H409" s="9" t="n">
        <v>4800</v>
      </c>
    </row>
    <row r="410">
      <c r="A410" s="9" t="n">
        <v>4</v>
      </c>
      <c r="B410" s="9" t="inlineStr">
        <is>
          <t>PREMIX 8100 (20KG)</t>
        </is>
      </c>
      <c r="C410" s="9" t="inlineStr">
        <is>
          <t>KG</t>
        </is>
      </c>
      <c r="D410" s="9" t="n">
        <v>5120</v>
      </c>
      <c r="E410" s="9" t="n">
        <v>0</v>
      </c>
      <c r="F410" s="9" t="n">
        <v>0</v>
      </c>
      <c r="H410" s="9" t="n">
        <v>5120</v>
      </c>
    </row>
    <row r="411">
      <c r="A411" s="9" t="n">
        <v>5</v>
      </c>
      <c r="B411" s="9" t="inlineStr">
        <is>
          <t>PREMIX 8101 (20KG)</t>
        </is>
      </c>
      <c r="C411" s="9" t="inlineStr">
        <is>
          <t>KG</t>
        </is>
      </c>
      <c r="D411" s="9" t="n">
        <v>5100</v>
      </c>
      <c r="E411" s="9" t="n">
        <v>0</v>
      </c>
      <c r="F411" s="9" t="n">
        <v>0</v>
      </c>
      <c r="G411" s="9" t="n">
        <v>1440</v>
      </c>
      <c r="H411" s="9" t="n">
        <v>6540</v>
      </c>
    </row>
    <row r="412">
      <c r="A412" s="9" t="n">
        <v>6</v>
      </c>
      <c r="B412" s="9" t="inlineStr">
        <is>
          <t>PREMIX 8102 (20KG)</t>
        </is>
      </c>
      <c r="C412" s="9" t="inlineStr">
        <is>
          <t>KG</t>
        </is>
      </c>
      <c r="D412" s="9" t="n">
        <v>10240</v>
      </c>
      <c r="E412" s="9" t="n">
        <v>0</v>
      </c>
      <c r="F412" s="9" t="n">
        <v>0</v>
      </c>
      <c r="G412" s="9" t="n">
        <v>1300</v>
      </c>
      <c r="H412" s="9" t="n">
        <v>11540</v>
      </c>
    </row>
    <row r="413">
      <c r="A413" s="9" t="n">
        <v>7</v>
      </c>
      <c r="B413" s="9" t="inlineStr">
        <is>
          <t>PREMIX 8103 (20KG)</t>
        </is>
      </c>
      <c r="C413" s="9" t="inlineStr">
        <is>
          <t>KG</t>
        </is>
      </c>
      <c r="D413" s="9" t="n">
        <v>15120</v>
      </c>
      <c r="E413" s="9" t="n">
        <v>0</v>
      </c>
      <c r="F413" s="9" t="n">
        <v>0</v>
      </c>
      <c r="H413" s="9" t="n">
        <v>15120</v>
      </c>
    </row>
    <row r="414">
      <c r="A414" s="9" t="n">
        <v>8</v>
      </c>
      <c r="B414" s="9" t="inlineStr">
        <is>
          <t>PREMIX 8108 (20KG)</t>
        </is>
      </c>
      <c r="C414" s="9" t="inlineStr">
        <is>
          <t>KG</t>
        </is>
      </c>
      <c r="D414" s="9" t="n">
        <v>3320</v>
      </c>
      <c r="E414" s="9" t="n">
        <v>0</v>
      </c>
      <c r="F414" s="9" t="n">
        <v>0</v>
      </c>
      <c r="G414" s="9" t="n">
        <v>1720</v>
      </c>
      <c r="H414" s="9" t="n">
        <v>5040</v>
      </c>
    </row>
    <row r="415">
      <c r="A415" s="9" t="n">
        <v>9</v>
      </c>
      <c r="B415" s="9" t="inlineStr">
        <is>
          <t>PREMIX 8109 (20KG)</t>
        </is>
      </c>
      <c r="C415" s="9" t="inlineStr">
        <is>
          <t>KG</t>
        </is>
      </c>
      <c r="D415" s="9" t="n">
        <v>5400</v>
      </c>
      <c r="E415" s="9" t="n">
        <v>0</v>
      </c>
      <c r="F415" s="9" t="n">
        <v>0</v>
      </c>
      <c r="G415" s="9" t="n">
        <v>3700</v>
      </c>
      <c r="H415" s="9" t="n">
        <v>9100</v>
      </c>
    </row>
    <row r="416">
      <c r="A416" s="9" t="n">
        <v>10</v>
      </c>
      <c r="B416" s="9" t="inlineStr">
        <is>
          <t>YENMIX 121 (20KG)</t>
        </is>
      </c>
      <c r="C416" s="9" t="inlineStr">
        <is>
          <t>KG</t>
        </is>
      </c>
      <c r="D416" s="9" t="n">
        <v>4000</v>
      </c>
      <c r="E416" s="9" t="n">
        <v>3000</v>
      </c>
      <c r="F416" s="9" t="n">
        <v>3920</v>
      </c>
      <c r="G416" s="9" t="n">
        <v>1140</v>
      </c>
      <c r="H416" s="9" t="n">
        <v>4220</v>
      </c>
    </row>
    <row r="417">
      <c r="A417" s="9" t="n">
        <v>11</v>
      </c>
      <c r="B417" s="9" t="inlineStr">
        <is>
          <t>YENMIX 122 (19.50KG)</t>
        </is>
      </c>
      <c r="C417" s="9" t="inlineStr">
        <is>
          <t>KG</t>
        </is>
      </c>
      <c r="D417" s="9" t="n">
        <v>0</v>
      </c>
      <c r="E417" s="9" t="n">
        <v>10725</v>
      </c>
      <c r="F417" s="9" t="n">
        <v>4875</v>
      </c>
      <c r="G417" s="9" t="n">
        <v>1852.5</v>
      </c>
      <c r="H417" s="9" t="n">
        <v>7702.5</v>
      </c>
    </row>
    <row r="418">
      <c r="A418" s="9" t="n">
        <v>12</v>
      </c>
      <c r="B418" s="9" t="inlineStr">
        <is>
          <t>YENMIX 123 (18.90KG)</t>
        </is>
      </c>
      <c r="C418" s="9" t="inlineStr">
        <is>
          <t>KG</t>
        </is>
      </c>
      <c r="D418" s="9" t="n">
        <v>6539.400000000001</v>
      </c>
      <c r="E418" s="9" t="n">
        <v>7560.000000000001</v>
      </c>
      <c r="F418" s="9" t="n">
        <v>8580.599999999999</v>
      </c>
      <c r="G418" s="9" t="n">
        <v>907.2</v>
      </c>
      <c r="H418" s="9" t="n">
        <v>6426.000000000003</v>
      </c>
    </row>
    <row r="419">
      <c r="A419" s="9" t="n">
        <v>13</v>
      </c>
      <c r="B419" s="9" t="inlineStr">
        <is>
          <t>TOXISORB PREMIUM</t>
        </is>
      </c>
      <c r="C419" s="9" t="inlineStr">
        <is>
          <t>KG</t>
        </is>
      </c>
      <c r="D419" s="9" t="n">
        <v>4123</v>
      </c>
      <c r="E419" s="9" t="n">
        <v>2000</v>
      </c>
      <c r="F419" s="9" t="n">
        <v>1928</v>
      </c>
      <c r="H419" s="9" t="n">
        <v>4195</v>
      </c>
    </row>
    <row r="420">
      <c r="A420" s="9" t="n">
        <v>14</v>
      </c>
      <c r="B420" s="9" t="inlineStr">
        <is>
          <t>SODIUM HUMATE 3.8%</t>
        </is>
      </c>
      <c r="C420" s="9" t="inlineStr">
        <is>
          <t>KG</t>
        </is>
      </c>
      <c r="D420" s="9" t="n">
        <v>0</v>
      </c>
      <c r="E420" s="9" t="n">
        <v>2478</v>
      </c>
      <c r="F420" s="9" t="n">
        <v>2478</v>
      </c>
      <c r="H420" s="9" t="n">
        <v>0</v>
      </c>
    </row>
    <row r="421">
      <c r="A421" s="9" t="n">
        <v>15</v>
      </c>
      <c r="B421" s="9" t="inlineStr">
        <is>
          <t>SODIUM BICARBONATE</t>
        </is>
      </c>
      <c r="C421" s="9" t="inlineStr">
        <is>
          <t>KG</t>
        </is>
      </c>
      <c r="D421" s="9" t="n">
        <v>1947.7</v>
      </c>
      <c r="E421" s="9" t="n">
        <v>3000</v>
      </c>
      <c r="F421" s="9" t="n">
        <v>795.1999999999999</v>
      </c>
      <c r="H421" s="9" t="n">
        <v>4152.5</v>
      </c>
    </row>
    <row r="422">
      <c r="A422" s="9" t="n">
        <v>16</v>
      </c>
      <c r="B422" s="9" t="inlineStr">
        <is>
          <t>TOXIWALL</t>
        </is>
      </c>
      <c r="C422" s="9" t="inlineStr">
        <is>
          <t>KG</t>
        </is>
      </c>
      <c r="D422" s="9" t="n">
        <v>0</v>
      </c>
      <c r="E422" s="9" t="n">
        <v>2065</v>
      </c>
      <c r="F422" s="9" t="n">
        <v>0</v>
      </c>
      <c r="H422" s="9" t="n">
        <v>2065</v>
      </c>
    </row>
    <row r="423">
      <c r="A423" s="9" t="n">
        <v>17</v>
      </c>
      <c r="B423" s="9" t="inlineStr">
        <is>
          <t>BMD 10%</t>
        </is>
      </c>
      <c r="C423" s="9" t="inlineStr">
        <is>
          <t>KG</t>
        </is>
      </c>
      <c r="D423" s="9" t="n">
        <v>1680.5</v>
      </c>
      <c r="E423" s="9" t="n">
        <v>0</v>
      </c>
      <c r="F423" s="9" t="n">
        <v>0</v>
      </c>
      <c r="H423" s="9" t="n">
        <v>1680.5</v>
      </c>
    </row>
    <row r="424">
      <c r="A424" s="9" t="n">
        <v>18</v>
      </c>
      <c r="B424" s="9" t="inlineStr">
        <is>
          <t>SALT</t>
        </is>
      </c>
      <c r="C424" s="9" t="inlineStr">
        <is>
          <t>KG</t>
        </is>
      </c>
      <c r="D424" s="9" t="n">
        <v>41.60000000000002</v>
      </c>
      <c r="E424" s="9" t="n">
        <v>2160</v>
      </c>
      <c r="F424" s="9" t="n">
        <v>2160</v>
      </c>
      <c r="H424" s="9" t="n">
        <v>41.59999999999991</v>
      </c>
    </row>
    <row r="425">
      <c r="A425" s="9" t="n">
        <v>19</v>
      </c>
      <c r="B425" s="9" t="inlineStr">
        <is>
          <t>VISTABET 91</t>
        </is>
      </c>
      <c r="C425" s="9" t="inlineStr">
        <is>
          <t>KG</t>
        </is>
      </c>
      <c r="D425" s="9" t="n">
        <v>0</v>
      </c>
      <c r="E425" s="9" t="n">
        <v>2000</v>
      </c>
      <c r="F425" s="9" t="n">
        <v>0</v>
      </c>
      <c r="H425" s="9" t="n">
        <v>2000</v>
      </c>
    </row>
    <row r="426">
      <c r="A426" s="9" t="n">
        <v>20</v>
      </c>
      <c r="B426" s="9" t="inlineStr">
        <is>
          <t>BETAFIN</t>
        </is>
      </c>
      <c r="C426" s="9" t="inlineStr">
        <is>
          <t>KG</t>
        </is>
      </c>
      <c r="D426" s="9" t="n">
        <v>0</v>
      </c>
      <c r="E426" s="9" t="n">
        <v>0</v>
      </c>
      <c r="F426" s="9" t="n">
        <v>0</v>
      </c>
      <c r="H426" s="9" t="n">
        <v>0</v>
      </c>
    </row>
    <row r="427">
      <c r="A427" s="9" t="n">
        <v>21</v>
      </c>
      <c r="B427" s="9" t="inlineStr">
        <is>
          <t>8101 TOP UP</t>
        </is>
      </c>
      <c r="C427" s="9" t="inlineStr">
        <is>
          <t>KG</t>
        </is>
      </c>
      <c r="D427" s="9" t="n">
        <v>100</v>
      </c>
      <c r="E427" s="9" t="n">
        <v>0</v>
      </c>
      <c r="F427" s="9" t="n">
        <v>0</v>
      </c>
      <c r="H427" s="9" t="n">
        <v>100</v>
      </c>
    </row>
    <row r="428">
      <c r="A428" s="9" t="n">
        <v>22</v>
      </c>
      <c r="B428" s="9" t="inlineStr">
        <is>
          <t>NORPONIN X03 (8102 TOP UP)</t>
        </is>
      </c>
      <c r="C428" s="9" t="inlineStr">
        <is>
          <t>KG</t>
        </is>
      </c>
      <c r="D428" s="9" t="n">
        <v>13.96000000000004</v>
      </c>
      <c r="E428" s="9" t="n">
        <v>0</v>
      </c>
      <c r="F428" s="9" t="n">
        <v>0</v>
      </c>
      <c r="H428" s="9" t="n">
        <v>13.96000000000004</v>
      </c>
    </row>
    <row r="429">
      <c r="A429" s="9" t="n">
        <v>23</v>
      </c>
      <c r="B429" s="9" t="inlineStr">
        <is>
          <t>8102 TOP UP</t>
        </is>
      </c>
      <c r="C429" s="9" t="inlineStr">
        <is>
          <t>KG</t>
        </is>
      </c>
      <c r="D429" s="9" t="n">
        <v>344</v>
      </c>
      <c r="E429" s="9" t="n">
        <v>868</v>
      </c>
      <c r="F429" s="9" t="n">
        <v>0</v>
      </c>
      <c r="H429" s="9" t="n">
        <v>1212</v>
      </c>
    </row>
    <row r="430">
      <c r="A430" s="9" t="n">
        <v>24</v>
      </c>
      <c r="B430" s="9" t="inlineStr">
        <is>
          <t>L-ARGININE</t>
        </is>
      </c>
      <c r="C430" s="9" t="inlineStr">
        <is>
          <t>KG</t>
        </is>
      </c>
      <c r="D430" s="9" t="n">
        <v>207.6</v>
      </c>
      <c r="E430" s="9" t="n">
        <v>0</v>
      </c>
      <c r="F430" s="9" t="n">
        <v>0</v>
      </c>
      <c r="H430" s="9" t="n">
        <v>207.6</v>
      </c>
    </row>
    <row r="431">
      <c r="A431" s="9" t="n">
        <v>25</v>
      </c>
      <c r="B431" s="9" t="inlineStr">
        <is>
          <t>DL-METHIONINE</t>
        </is>
      </c>
      <c r="C431" s="9" t="inlineStr">
        <is>
          <t>KG</t>
        </is>
      </c>
      <c r="D431" s="9" t="n">
        <v>197.04</v>
      </c>
      <c r="E431" s="9" t="n">
        <v>0</v>
      </c>
      <c r="F431" s="9" t="n">
        <v>0</v>
      </c>
      <c r="H431" s="9" t="n">
        <v>197.04</v>
      </c>
    </row>
    <row r="432">
      <c r="A432" s="9" t="n">
        <v>26</v>
      </c>
      <c r="B432" s="9" t="inlineStr">
        <is>
          <t>L-THREONINE</t>
        </is>
      </c>
      <c r="C432" s="9" t="inlineStr">
        <is>
          <t>KG</t>
        </is>
      </c>
      <c r="D432" s="9" t="n">
        <v>46.8</v>
      </c>
      <c r="E432" s="9" t="n">
        <v>0</v>
      </c>
      <c r="F432" s="9" t="n">
        <v>0</v>
      </c>
      <c r="H432" s="9" t="n">
        <v>46.8</v>
      </c>
    </row>
    <row r="433"/>
    <row r="434">
      <c r="B434" s="9" t="inlineStr">
        <is>
          <t>PACKING MATERIALS</t>
        </is>
      </c>
    </row>
    <row r="435">
      <c r="A435" s="9" t="n">
        <v>1</v>
      </c>
      <c r="B435" s="9" t="inlineStr">
        <is>
          <t>WOVEN BAG (1101) - BLUE 50KG</t>
        </is>
      </c>
      <c r="C435" s="9" t="inlineStr">
        <is>
          <t>PCS</t>
        </is>
      </c>
      <c r="D435" s="9" t="n">
        <v>6628</v>
      </c>
      <c r="E435" s="9" t="n">
        <v>0</v>
      </c>
      <c r="F435" s="9" t="n">
        <v>2739</v>
      </c>
      <c r="H435" s="9" t="n">
        <v>3889</v>
      </c>
    </row>
    <row r="436">
      <c r="A436" s="9" t="n">
        <v>2</v>
      </c>
      <c r="B436" s="9" t="inlineStr">
        <is>
          <t>WOVEN BAG (1102) - GREEN 50KG</t>
        </is>
      </c>
      <c r="C436" s="9" t="inlineStr">
        <is>
          <t>PCS</t>
        </is>
      </c>
      <c r="D436" s="9" t="n">
        <v>6559</v>
      </c>
      <c r="E436" s="9" t="n">
        <v>0</v>
      </c>
      <c r="F436" s="9" t="n">
        <v>6770</v>
      </c>
      <c r="G436" s="9" t="n">
        <v>211</v>
      </c>
      <c r="H436" s="9" t="n">
        <v>0</v>
      </c>
    </row>
    <row r="437">
      <c r="A437" s="9" t="n">
        <v>3</v>
      </c>
      <c r="B437" s="9" t="inlineStr">
        <is>
          <t>WOVEN BAG (1103) - RED 50KG</t>
        </is>
      </c>
      <c r="C437" s="9" t="inlineStr">
        <is>
          <t>PCS</t>
        </is>
      </c>
      <c r="D437" s="9" t="n">
        <v>590</v>
      </c>
      <c r="E437" s="9" t="n">
        <v>6552</v>
      </c>
      <c r="F437" s="9" t="n">
        <v>793</v>
      </c>
      <c r="H437" s="9" t="n">
        <v>6349</v>
      </c>
    </row>
    <row r="438">
      <c r="A438" s="9" t="n">
        <v>4</v>
      </c>
      <c r="B438" s="9" t="inlineStr">
        <is>
          <t>PLAIN BAG 26" X 39" (50KG)</t>
        </is>
      </c>
      <c r="C438" s="9" t="inlineStr">
        <is>
          <t>PCS</t>
        </is>
      </c>
      <c r="D438" s="9" t="n">
        <v>3391</v>
      </c>
      <c r="E438" s="9" t="n">
        <v>8000</v>
      </c>
      <c r="F438" s="9" t="n">
        <v>5402</v>
      </c>
      <c r="H438" s="9" t="n">
        <v>5989</v>
      </c>
    </row>
    <row r="439">
      <c r="A439" s="9" t="n">
        <v>5</v>
      </c>
      <c r="B439" s="9" t="inlineStr">
        <is>
          <t>WOVEN BAG (8101) - KHAKI 50KG</t>
        </is>
      </c>
      <c r="C439" s="9" t="inlineStr">
        <is>
          <t>PCS</t>
        </is>
      </c>
      <c r="D439" s="9" t="n">
        <v>1901</v>
      </c>
      <c r="E439" s="9" t="n">
        <v>0</v>
      </c>
      <c r="F439" s="9" t="n">
        <v>0</v>
      </c>
      <c r="H439" s="9" t="n">
        <v>1901</v>
      </c>
    </row>
    <row r="440">
      <c r="A440" s="9" t="n">
        <v>6</v>
      </c>
      <c r="B440" s="9" t="inlineStr">
        <is>
          <t>WOVEN BAG (8102) - SKY BLUE 50KG</t>
        </is>
      </c>
      <c r="C440" s="9" t="inlineStr">
        <is>
          <t>PCS</t>
        </is>
      </c>
      <c r="D440" s="9" t="n">
        <v>0</v>
      </c>
      <c r="E440" s="9" t="n">
        <v>6459</v>
      </c>
      <c r="F440" s="9" t="n">
        <v>0</v>
      </c>
      <c r="H440" s="9" t="n">
        <v>6459</v>
      </c>
    </row>
    <row r="441"/>
    <row r="442">
      <c r="B442" s="9" t="inlineStr">
        <is>
          <t>TOTAL</t>
        </is>
      </c>
      <c r="D442" s="9" t="n">
        <v>452014</v>
      </c>
      <c r="E442" s="9" t="n">
        <v>1421663.4</v>
      </c>
      <c r="F442" s="9" t="n">
        <v>1638258.4</v>
      </c>
      <c r="G442" s="9" t="n">
        <v>34875.2</v>
      </c>
      <c r="H442" s="9" t="n">
        <v>270294.2</v>
      </c>
    </row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B463" s="9" t="inlineStr">
        <is>
          <t>Prepared by: ______________</t>
        </is>
      </c>
      <c r="G463" s="9" t="inlineStr">
        <is>
          <t xml:space="preserve">   Approved by: ______________</t>
        </is>
      </c>
    </row>
    <row r="464"/>
    <row r="465">
      <c r="B465" s="9" t="inlineStr">
        <is>
          <t>HARUMI Stock - MAR 2026</t>
        </is>
      </c>
    </row>
    <row r="466"/>
    <row r="467">
      <c r="B467" s="9" t="inlineStr">
        <is>
          <t>Remark for adjustment (+)</t>
        </is>
      </c>
    </row>
    <row r="468">
      <c r="B468" s="9" t="inlineStr">
        <is>
          <t>SOYBEAN MEAL (ARG)</t>
        </is>
      </c>
      <c r="C468" s="9" t="inlineStr">
        <is>
          <t>KG</t>
        </is>
      </c>
      <c r="D468" s="9" t="n">
        <v>3371.8</v>
      </c>
    </row>
    <row r="469">
      <c r="B469" s="9" t="inlineStr">
        <is>
          <t>CORN GLUTEN MEAL</t>
        </is>
      </c>
      <c r="C469" s="9" t="inlineStr">
        <is>
          <t>KG</t>
        </is>
      </c>
      <c r="D469" s="9" t="n">
        <v>89.7</v>
      </c>
    </row>
    <row r="470">
      <c r="B470" s="9" t="inlineStr">
        <is>
          <t>WOVEN BAG (1102) - GREEN 50KG</t>
        </is>
      </c>
      <c r="C470" s="9" t="inlineStr">
        <is>
          <t>PCS</t>
        </is>
      </c>
      <c r="D470" s="9" t="n">
        <v>211</v>
      </c>
    </row>
    <row r="471">
      <c r="B471" s="9" t="inlineStr">
        <is>
          <t>Reason: Cut off</t>
        </is>
      </c>
    </row>
    <row r="472"/>
    <row r="473">
      <c r="B473" s="9" t="inlineStr">
        <is>
          <t>CORN GLUTEN MEAL</t>
        </is>
      </c>
      <c r="C473" s="9" t="inlineStr">
        <is>
          <t>KG</t>
        </is>
      </c>
      <c r="D473" s="9" t="n">
        <v>15960</v>
      </c>
    </row>
    <row r="474">
      <c r="B474" s="9" t="inlineStr">
        <is>
          <t>Reason: Stock Transferred from Xun Ta</t>
        </is>
      </c>
    </row>
    <row r="475">
      <c r="B475" s="9" t="inlineStr">
        <is>
          <t>PPSB00821/DO16424                       2/3/2026</t>
        </is>
      </c>
    </row>
    <row r="476"/>
    <row r="477">
      <c r="B477" s="9" t="inlineStr">
        <is>
          <t>CORN GLUTEN MEAL</t>
        </is>
      </c>
      <c r="C477" s="9" t="inlineStr">
        <is>
          <t>KG</t>
        </is>
      </c>
      <c r="D477" s="9" t="n">
        <v>28320</v>
      </c>
    </row>
    <row r="478">
      <c r="B478" s="9" t="inlineStr">
        <is>
          <t>Reason: Stock Transferred from Liang Teik</t>
        </is>
      </c>
    </row>
    <row r="479">
      <c r="B479" s="9" t="inlineStr">
        <is>
          <t>PPSB00825/DO16459                     13/3/2026</t>
        </is>
      </c>
    </row>
    <row r="480"/>
    <row r="481"/>
    <row r="482">
      <c r="B482" s="9" t="inlineStr">
        <is>
          <t>YENMIX 121 (20KG)</t>
        </is>
      </c>
      <c r="C482" s="9" t="inlineStr">
        <is>
          <t>KG</t>
        </is>
      </c>
      <c r="D482" s="9" t="n">
        <v>1140</v>
      </c>
    </row>
    <row r="483">
      <c r="B483" s="9" t="inlineStr">
        <is>
          <t>YENMIX 122 (19.50KG)</t>
        </is>
      </c>
      <c r="C483" s="9" t="inlineStr">
        <is>
          <t>KG</t>
        </is>
      </c>
      <c r="D483" s="9" t="n">
        <v>1852.5</v>
      </c>
    </row>
    <row r="484">
      <c r="B484" s="9" t="inlineStr">
        <is>
          <t>YENMIX 123 (18.90KG)</t>
        </is>
      </c>
      <c r="C484" s="9" t="inlineStr">
        <is>
          <t>KG</t>
        </is>
      </c>
      <c r="D484" s="9" t="n">
        <v>907.2</v>
      </c>
    </row>
    <row r="485">
      <c r="B485" s="9" t="inlineStr">
        <is>
          <t>EP 200</t>
        </is>
      </c>
      <c r="C485" s="9" t="inlineStr">
        <is>
          <t>KG</t>
        </is>
      </c>
      <c r="D485" s="9" t="n">
        <v>4850</v>
      </c>
    </row>
    <row r="486">
      <c r="B486" s="9" t="inlineStr">
        <is>
          <t>Reason: Stock Transferred from Xun Ta</t>
        </is>
      </c>
    </row>
    <row r="487">
      <c r="B487" s="9" t="inlineStr">
        <is>
          <t>PPSB00823/DO16051                       6/3/2026</t>
        </is>
      </c>
    </row>
    <row r="488"/>
    <row r="489">
      <c r="B489" s="9" t="inlineStr">
        <is>
          <t>PREMIX 8101 (20KG)</t>
        </is>
      </c>
      <c r="C489" s="9" t="inlineStr">
        <is>
          <t>KG</t>
        </is>
      </c>
      <c r="D489" s="9" t="n">
        <v>1440</v>
      </c>
    </row>
    <row r="490">
      <c r="B490" s="9" t="inlineStr">
        <is>
          <t>PREMIX 8102 (20KG)</t>
        </is>
      </c>
      <c r="C490" s="9" t="inlineStr">
        <is>
          <t>KG</t>
        </is>
      </c>
      <c r="D490" s="9" t="n">
        <v>1300</v>
      </c>
    </row>
    <row r="491">
      <c r="B491" s="9" t="inlineStr">
        <is>
          <t>PREMIX 8108 (20KG)</t>
        </is>
      </c>
      <c r="C491" s="9" t="inlineStr">
        <is>
          <t>KG</t>
        </is>
      </c>
      <c r="D491" s="9" t="n">
        <v>1720</v>
      </c>
    </row>
    <row r="492">
      <c r="B492" s="9" t="inlineStr">
        <is>
          <t>PREMIX 8109 (20KG)</t>
        </is>
      </c>
      <c r="C492" s="9" t="inlineStr">
        <is>
          <t>KG</t>
        </is>
      </c>
      <c r="D492" s="9" t="n">
        <v>3700</v>
      </c>
    </row>
    <row r="493">
      <c r="B493" s="9" t="inlineStr">
        <is>
          <t>Reason: Stock Transferred from Xun Ta</t>
        </is>
      </c>
    </row>
    <row r="494">
      <c r="B494" s="9" t="inlineStr">
        <is>
          <t>PPSB00824/DO16051                       6/3/2026</t>
        </is>
      </c>
    </row>
    <row r="495"/>
    <row r="496">
      <c r="B496" s="9" t="inlineStr">
        <is>
          <t>Remark for adjustment (-)</t>
        </is>
      </c>
    </row>
    <row r="497">
      <c r="B497" s="9" t="inlineStr">
        <is>
          <t>MAIZE/CORN</t>
        </is>
      </c>
      <c r="C497" s="9" t="inlineStr">
        <is>
          <t>KG</t>
        </is>
      </c>
      <c r="D497" s="9" t="n">
        <v>-10147</v>
      </c>
    </row>
    <row r="498">
      <c r="B498" s="9" t="inlineStr">
        <is>
          <t>Reason: Cut off</t>
        </is>
      </c>
    </row>
    <row r="499"/>
    <row r="500">
      <c r="B500" s="9" t="inlineStr">
        <is>
          <t>MEAT AND BONE MEAL</t>
        </is>
      </c>
      <c r="C500" s="9" t="inlineStr">
        <is>
          <t>KG</t>
        </is>
      </c>
      <c r="D500" s="9" t="n">
        <v>-19840</v>
      </c>
    </row>
    <row r="501">
      <c r="B501" s="9" t="inlineStr">
        <is>
          <t>Reason: Stock Transferred from Liang Teik</t>
        </is>
      </c>
    </row>
    <row r="502">
      <c r="B502" s="9" t="inlineStr">
        <is>
          <t>PPSB00826                                    13/3/2026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>
      <c r="B532" s="9" t="inlineStr">
        <is>
          <t>Prepared by: ______________</t>
        </is>
      </c>
      <c r="G532" s="9" t="inlineStr">
        <is>
          <t xml:space="preserve">   Approved by: ______________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5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3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APR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27839.99999999996</v>
      </c>
      <c r="E4" s="9" t="n">
        <v>940890</v>
      </c>
      <c r="F4" s="9" t="n">
        <v>800374.2200000001</v>
      </c>
      <c r="G4" s="9" t="n">
        <v>12.6199999999817</v>
      </c>
      <c r="H4" s="9" t="n">
        <v>168368.4000000001</v>
      </c>
      <c r="O4" s="9" t="n">
        <v>-168368.4000000001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-669.9999999999163</v>
      </c>
      <c r="E5" s="9" t="n">
        <v>397200</v>
      </c>
      <c r="F5" s="9" t="n">
        <v>333251.3199999999</v>
      </c>
      <c r="G5" s="9" t="n">
        <v>-2.880000000001473</v>
      </c>
      <c r="H5" s="9" t="n">
        <v>63275.80000000009</v>
      </c>
      <c r="O5" s="9" t="n">
        <v>-63275.80000000009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20018.39999999997</v>
      </c>
      <c r="E6" s="9" t="n">
        <v>105360</v>
      </c>
      <c r="F6" s="9" t="n">
        <v>94650.28</v>
      </c>
      <c r="G6" s="9" t="n">
        <v>289.0799999999936</v>
      </c>
      <c r="H6" s="9" t="n">
        <v>31017.19999999997</v>
      </c>
      <c r="O6" s="9" t="n">
        <v>-31017.19999999997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26292.70000000002</v>
      </c>
      <c r="E7" s="9" t="n">
        <v>27580</v>
      </c>
      <c r="F7" s="9" t="n">
        <v>40808</v>
      </c>
      <c r="G7" s="9" t="n">
        <v>-32.20000000000016</v>
      </c>
      <c r="H7" s="9" t="n">
        <v>13032.50000000002</v>
      </c>
      <c r="O7" s="9" t="n">
        <v>-13032.50000000002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17386.69999999999</v>
      </c>
      <c r="E9" s="9" t="n">
        <v>29980</v>
      </c>
      <c r="F9" s="9" t="n">
        <v>9978</v>
      </c>
      <c r="G9" s="9" t="n">
        <v>-1.500000000000057</v>
      </c>
      <c r="H9" s="9" t="n">
        <v>37387.2</v>
      </c>
      <c r="O9" s="9" t="n">
        <v>-37387.2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1.818989403545856e-12</v>
      </c>
      <c r="E10" s="9" t="n">
        <v>78817.39999999999</v>
      </c>
      <c r="F10" s="9" t="n">
        <v>49268</v>
      </c>
      <c r="G10" s="9" t="n">
        <v>-12.20000000000118</v>
      </c>
      <c r="H10" s="9" t="n">
        <v>29537.19999999999</v>
      </c>
      <c r="O10" s="9" t="n">
        <v>-29537.19999999999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30613.6</v>
      </c>
      <c r="F11" s="9" t="n">
        <v>31115.28</v>
      </c>
      <c r="G11" s="9" t="n">
        <v>501.6799999999998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11812.9</v>
      </c>
      <c r="E12" s="9" t="n">
        <v>0</v>
      </c>
      <c r="F12" s="9" t="n">
        <v>5731.5</v>
      </c>
      <c r="G12" s="9" t="n">
        <v>-232.5999999999999</v>
      </c>
      <c r="H12" s="9" t="n">
        <v>5848.799999999999</v>
      </c>
      <c r="O12" s="9" t="n">
        <v>-5848.799999999999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12106.88</v>
      </c>
      <c r="F13" s="9" t="n">
        <v>10832.36</v>
      </c>
      <c r="G13" s="9" t="n">
        <v>-1274.52</v>
      </c>
      <c r="H13" s="9" t="n">
        <v>0</v>
      </c>
      <c r="O13" s="9" t="n">
        <v>0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31869.7</v>
      </c>
      <c r="E15" s="9" t="n">
        <v>35420</v>
      </c>
      <c r="F15" s="9" t="n">
        <v>43114.72</v>
      </c>
      <c r="G15" s="9" t="n">
        <v>-16.67999999999995</v>
      </c>
      <c r="H15" s="9" t="n">
        <v>24158.3</v>
      </c>
      <c r="O15" s="9" t="n">
        <v>-24158.3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6658.999999999995</v>
      </c>
      <c r="E16" s="9" t="n">
        <v>68870</v>
      </c>
      <c r="F16" s="9" t="n">
        <v>32588</v>
      </c>
      <c r="G16" s="9" t="n">
        <v>-1.400000000000048</v>
      </c>
      <c r="H16" s="9" t="n">
        <v>42939.59999999998</v>
      </c>
      <c r="O16" s="9" t="n">
        <v>-42939.59999999998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7150</v>
      </c>
      <c r="E17" s="9" t="n">
        <v>0</v>
      </c>
      <c r="F17" s="9" t="n">
        <v>800</v>
      </c>
      <c r="G17" s="9" t="n">
        <v>-550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1847.3</v>
      </c>
      <c r="E18" s="9" t="n">
        <v>0</v>
      </c>
      <c r="F18" s="9" t="n">
        <v>1847.3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1980</v>
      </c>
      <c r="E25" s="9" t="n">
        <v>1980</v>
      </c>
      <c r="F25" s="9" t="n">
        <v>1520</v>
      </c>
      <c r="G25" s="9" t="n">
        <v>-320</v>
      </c>
      <c r="H25" s="9" t="n">
        <v>2120</v>
      </c>
      <c r="O25" s="9" t="n">
        <v>-2120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2000</v>
      </c>
      <c r="E26" s="9" t="n">
        <v>8000</v>
      </c>
      <c r="F26" s="9" t="n">
        <v>7040</v>
      </c>
      <c r="G26" s="9" t="n">
        <v>680</v>
      </c>
      <c r="H26" s="9" t="n">
        <v>3640</v>
      </c>
      <c r="O26" s="9" t="n">
        <v>-3640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4800</v>
      </c>
      <c r="E27" s="9" t="n">
        <v>0</v>
      </c>
      <c r="F27" s="9" t="n">
        <v>1520</v>
      </c>
      <c r="G27" s="9" t="n">
        <v>-1200</v>
      </c>
      <c r="H27" s="9" t="n">
        <v>2080</v>
      </c>
      <c r="O27" s="9" t="n">
        <v>-2080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O28" s="9" t="n">
        <v>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O29" s="9" t="n">
        <v>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5120</v>
      </c>
      <c r="E31" s="9" t="n">
        <v>2000</v>
      </c>
      <c r="F31" s="9" t="n">
        <v>760</v>
      </c>
      <c r="G31" s="9" t="n">
        <v>0</v>
      </c>
      <c r="H31" s="9" t="n">
        <v>6360</v>
      </c>
      <c r="O31" s="9" t="n">
        <v>-6360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6540</v>
      </c>
      <c r="E32" s="9" t="n">
        <v>0</v>
      </c>
      <c r="F32" s="9" t="n">
        <v>0</v>
      </c>
      <c r="G32" s="9" t="n">
        <v>0</v>
      </c>
      <c r="H32" s="9" t="n">
        <v>6540</v>
      </c>
      <c r="O32" s="9" t="n">
        <v>-6540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11540</v>
      </c>
      <c r="E33" s="9" t="n">
        <v>0</v>
      </c>
      <c r="F33" s="9" t="n">
        <v>0</v>
      </c>
      <c r="G33" s="9" t="n">
        <v>0</v>
      </c>
      <c r="H33" s="9" t="n">
        <v>11540</v>
      </c>
      <c r="O33" s="9" t="n">
        <v>-11540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15120</v>
      </c>
      <c r="E34" s="9" t="n">
        <v>0</v>
      </c>
      <c r="F34" s="9" t="n">
        <v>0</v>
      </c>
      <c r="G34" s="9" t="n">
        <v>0</v>
      </c>
      <c r="H34" s="9" t="n">
        <v>15120</v>
      </c>
      <c r="O34" s="9" t="n">
        <v>-15120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5040</v>
      </c>
      <c r="E35" s="9" t="n">
        <v>0</v>
      </c>
      <c r="F35" s="9" t="n">
        <v>960</v>
      </c>
      <c r="G35" s="9" t="n">
        <v>-2120</v>
      </c>
      <c r="H35" s="9" t="n">
        <v>1960</v>
      </c>
      <c r="O35" s="9" t="n">
        <v>-1960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9100</v>
      </c>
      <c r="E36" s="9" t="n">
        <v>0</v>
      </c>
      <c r="F36" s="9" t="n">
        <v>0</v>
      </c>
      <c r="G36" s="9" t="n">
        <v>0</v>
      </c>
      <c r="H36" s="9" t="n">
        <v>9100</v>
      </c>
      <c r="O36" s="9" t="n">
        <v>-9100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4220</v>
      </c>
      <c r="E37" s="9" t="n">
        <v>0</v>
      </c>
      <c r="F37" s="9" t="n">
        <v>2400</v>
      </c>
      <c r="G37" s="9" t="n">
        <v>720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7702.5</v>
      </c>
      <c r="E38" s="9" t="n">
        <v>1950</v>
      </c>
      <c r="F38" s="9" t="n">
        <v>10023</v>
      </c>
      <c r="G38" s="9" t="n">
        <v>390</v>
      </c>
      <c r="H38" s="9" t="n">
        <v>19.5</v>
      </c>
      <c r="O38" s="9" t="n">
        <v>-19.5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6426</v>
      </c>
      <c r="E39" s="9" t="n">
        <v>0</v>
      </c>
      <c r="F39" s="9" t="n">
        <v>3628.8</v>
      </c>
      <c r="G39" s="9" t="n">
        <v>-718.1999999999998</v>
      </c>
      <c r="H39" s="9" t="n">
        <v>2079</v>
      </c>
      <c r="O39" s="9" t="n">
        <v>-2079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0</v>
      </c>
      <c r="E40" s="9" t="n">
        <v>8610</v>
      </c>
      <c r="F40" s="9" t="n">
        <v>1558</v>
      </c>
      <c r="G40" s="9" t="n">
        <v>-902</v>
      </c>
      <c r="H40" s="9" t="n">
        <v>6150</v>
      </c>
      <c r="O40" s="9" t="n">
        <v>-6150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0</v>
      </c>
      <c r="E41" s="9" t="n">
        <v>4000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4195</v>
      </c>
      <c r="E45" s="9" t="n">
        <v>0</v>
      </c>
      <c r="F45" s="9" t="n">
        <v>407</v>
      </c>
      <c r="G45" s="9" t="n">
        <v>0</v>
      </c>
      <c r="H45" s="9" t="n">
        <v>3903</v>
      </c>
      <c r="O45" s="9" t="n">
        <v>-3903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3360</v>
      </c>
      <c r="F46" s="9" t="n">
        <v>2964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SODIUM BICARBONATE</t>
        </is>
      </c>
      <c r="C47" s="9" t="inlineStr">
        <is>
          <t>KG</t>
        </is>
      </c>
      <c r="D47" s="9" t="n">
        <v>4152.5</v>
      </c>
      <c r="E47" s="9" t="n">
        <v>0</v>
      </c>
      <c r="F47" s="9" t="n">
        <v>1029.6</v>
      </c>
      <c r="G47" s="9" t="n">
        <v>0</v>
      </c>
      <c r="H47" s="9" t="n">
        <v>3122.9</v>
      </c>
    </row>
    <row r="48"/>
    <row r="49">
      <c r="B49" s="9" t="inlineStr">
        <is>
          <t>PACKING MATERIALS</t>
        </is>
      </c>
    </row>
    <row r="50">
      <c r="B50" s="9" t="inlineStr">
        <is>
          <t>TOXIWALL</t>
        </is>
      </c>
      <c r="C50" s="9" t="inlineStr">
        <is>
          <t>PCS</t>
        </is>
      </c>
      <c r="D50" s="9" t="n">
        <v>2065</v>
      </c>
      <c r="E50" s="9" t="n">
        <v>0</v>
      </c>
      <c r="F50" s="9" t="n">
        <v>834</v>
      </c>
      <c r="G50" s="9" t="n">
        <v>0</v>
      </c>
      <c r="H50" s="9" t="n">
        <v>1137</v>
      </c>
      <c r="O50" s="9" t="n">
        <v>-1137</v>
      </c>
    </row>
    <row r="51">
      <c r="B51" s="9" t="inlineStr">
        <is>
          <t>BMD 10%</t>
        </is>
      </c>
      <c r="C51" s="9" t="inlineStr">
        <is>
          <t>PCS</t>
        </is>
      </c>
      <c r="D51" s="9" t="n">
        <v>1680.5</v>
      </c>
      <c r="E51" s="9" t="n">
        <v>0</v>
      </c>
      <c r="F51" s="9" t="n">
        <v>0</v>
      </c>
      <c r="G51" s="9" t="n">
        <v>0</v>
      </c>
      <c r="H51" s="9" t="n">
        <v>1680.5</v>
      </c>
      <c r="O51" s="9" t="n">
        <v>-1680.5</v>
      </c>
    </row>
    <row r="52">
      <c r="B52" s="9" t="inlineStr">
        <is>
          <t>SALT (HARUMI)</t>
        </is>
      </c>
      <c r="C52" s="9" t="inlineStr">
        <is>
          <t>PCS</t>
        </is>
      </c>
      <c r="D52" s="9" t="n">
        <v>0</v>
      </c>
      <c r="E52" s="9" t="n">
        <v>2629</v>
      </c>
      <c r="F52" s="9" t="n">
        <v>2629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VISTABET 91</t>
        </is>
      </c>
      <c r="C53" s="9" t="inlineStr">
        <is>
          <t>PCS</t>
        </is>
      </c>
      <c r="D53" s="9" t="n">
        <v>1000</v>
      </c>
      <c r="E53" s="9" t="n">
        <v>0</v>
      </c>
      <c r="F53" s="9" t="n">
        <v>18</v>
      </c>
      <c r="G53" s="9" t="n">
        <v>0</v>
      </c>
      <c r="H53" s="9" t="n">
        <v>982</v>
      </c>
      <c r="O53" s="9" t="n">
        <v>-982</v>
      </c>
    </row>
    <row r="54">
      <c r="B54" s="9" t="inlineStr">
        <is>
          <t>BETAFIN</t>
        </is>
      </c>
      <c r="C54" s="9" t="inlineStr">
        <is>
          <t>PCS</t>
        </is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O54" s="9" t="n">
        <v>0</v>
      </c>
    </row>
    <row r="55">
      <c r="B55" s="9" t="inlineStr">
        <is>
          <t>8101 TOP UP</t>
        </is>
      </c>
      <c r="C55" s="9" t="inlineStr">
        <is>
          <t>PCS</t>
        </is>
      </c>
      <c r="D55" s="9" t="n">
        <v>100</v>
      </c>
      <c r="E55" s="9" t="n">
        <v>0</v>
      </c>
      <c r="F55" s="9" t="n">
        <v>0</v>
      </c>
      <c r="G55" s="9" t="n">
        <v>0</v>
      </c>
      <c r="H55" s="9" t="n">
        <v>100</v>
      </c>
      <c r="O55" s="9" t="n">
        <v>-100</v>
      </c>
    </row>
    <row r="56">
      <c r="B56" s="9" t="inlineStr">
        <is>
          <t>NORPONIN X03 (8102 TOP UP)</t>
        </is>
      </c>
      <c r="C56" s="9" t="inlineStr">
        <is>
          <t>PCS</t>
        </is>
      </c>
      <c r="D56" s="9" t="n">
        <v>13.96000000000004</v>
      </c>
      <c r="E56" s="9" t="n">
        <v>0</v>
      </c>
      <c r="F56" s="9" t="n">
        <v>0</v>
      </c>
      <c r="G56" s="9" t="n">
        <v>0</v>
      </c>
      <c r="H56" s="9" t="n">
        <v>13.96000000000004</v>
      </c>
      <c r="O56" s="9" t="n">
        <v>-13.96000000000004</v>
      </c>
    </row>
    <row r="57">
      <c r="B57" s="9" t="inlineStr">
        <is>
          <t>8102 TOP UP (4KG)</t>
        </is>
      </c>
      <c r="C57" s="9" t="inlineStr">
        <is>
          <t>PCS</t>
        </is>
      </c>
      <c r="D57" s="9" t="n">
        <v>1212</v>
      </c>
      <c r="E57" s="9" t="n">
        <v>0</v>
      </c>
      <c r="F57" s="9" t="n">
        <v>616</v>
      </c>
      <c r="G57" s="9" t="n">
        <v>0</v>
      </c>
      <c r="H57" s="9" t="n">
        <v>596</v>
      </c>
      <c r="O57" s="9" t="n">
        <v>-596</v>
      </c>
    </row>
    <row r="58">
      <c r="B58" s="9" t="inlineStr">
        <is>
          <t>8103 TOP UP (5KG)</t>
        </is>
      </c>
      <c r="C58" s="9" t="inlineStr">
        <is>
          <t>PCS</t>
        </is>
      </c>
      <c r="D58" s="9" t="n">
        <v>400</v>
      </c>
      <c r="E58" s="9" t="n">
        <v>0</v>
      </c>
      <c r="F58" s="9" t="n">
        <v>0</v>
      </c>
      <c r="G58" s="9" t="n">
        <v>0</v>
      </c>
      <c r="H58" s="9" t="n">
        <v>400</v>
      </c>
      <c r="O58" s="9" t="n">
        <v>-400</v>
      </c>
    </row>
    <row r="59">
      <c r="B59" s="9" t="inlineStr">
        <is>
          <t>L-ARGININE</t>
        </is>
      </c>
      <c r="C59" s="9" t="inlineStr">
        <is>
          <t>KG</t>
        </is>
      </c>
    </row>
    <row r="60">
      <c r="B60" s="9" t="inlineStr">
        <is>
          <t>DL-METHIONINE</t>
        </is>
      </c>
      <c r="C60" s="9" t="inlineStr">
        <is>
          <t>KG</t>
        </is>
      </c>
    </row>
    <row r="61">
      <c r="B61" s="9" t="inlineStr">
        <is>
          <t>L-THREONINE</t>
        </is>
      </c>
      <c r="C61" s="9" t="inlineStr">
        <is>
          <t>KG</t>
        </is>
      </c>
    </row>
    <row r="62">
      <c r="B62" s="9" t="inlineStr">
        <is>
          <t>L-LYSINE</t>
        </is>
      </c>
      <c r="C62" s="9" t="inlineStr">
        <is>
          <t>KG</t>
        </is>
      </c>
    </row>
    <row r="63"/>
    <row r="64"/>
    <row r="65">
      <c r="B65" s="9" t="inlineStr">
        <is>
          <t>TOTAL</t>
        </is>
      </c>
      <c r="D65" s="9" t="n">
        <v>244614.16</v>
      </c>
      <c r="E65" s="9" t="n">
        <v>1759366.88</v>
      </c>
      <c r="F65" s="9" t="n">
        <v>1492266.38</v>
      </c>
      <c r="G65" s="9" t="n">
        <v>-4790.800000000027</v>
      </c>
      <c r="H65" s="9" t="n">
        <v>506548.8600000001</v>
      </c>
      <c r="K65" s="9" t="n">
        <v>0</v>
      </c>
    </row>
    <row r="66"/>
    <row r="67"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</row>
    <row r="68"/>
    <row r="69">
      <c r="B69" s="9" t="inlineStr">
        <is>
          <t>HARUMI Stock - APR 2026</t>
        </is>
      </c>
    </row>
    <row r="70">
      <c r="A70" s="9" t="inlineStr">
        <is>
          <t>No</t>
        </is>
      </c>
      <c r="B70" s="9" t="inlineStr">
        <is>
          <t>Description</t>
        </is>
      </c>
      <c r="C70" s="9" t="inlineStr">
        <is>
          <t>UOM</t>
        </is>
      </c>
      <c r="D70" s="9" t="inlineStr">
        <is>
          <t>Opening</t>
        </is>
      </c>
      <c r="E70" s="9" t="inlineStr">
        <is>
          <t>Receiving</t>
        </is>
      </c>
      <c r="F70" s="9" t="inlineStr">
        <is>
          <t>Usage</t>
        </is>
      </c>
      <c r="G70" s="9" t="inlineStr">
        <is>
          <t>Adjustment</t>
        </is>
      </c>
      <c r="H70" s="9" t="inlineStr">
        <is>
          <t>Bal (KG)</t>
        </is>
      </c>
    </row>
    <row r="71">
      <c r="B71" s="9" t="inlineStr">
        <is>
          <t>RAW MATERIAL</t>
        </is>
      </c>
    </row>
    <row r="72">
      <c r="A72" s="9" t="n">
        <v>1</v>
      </c>
      <c r="B72" s="9" t="inlineStr">
        <is>
          <t>MAIZE/CORN</t>
        </is>
      </c>
      <c r="C72" s="9" t="inlineStr">
        <is>
          <t>KG</t>
        </is>
      </c>
      <c r="D72" s="9" t="n">
        <v>27839.99999999996</v>
      </c>
      <c r="E72" s="9" t="n">
        <v>940890</v>
      </c>
      <c r="F72" s="9" t="n">
        <v>800361.6000000001</v>
      </c>
      <c r="H72" s="9" t="n">
        <v>168368.3999999999</v>
      </c>
      <c r="I72" s="9" t="n">
        <v>27840</v>
      </c>
      <c r="J72" s="9" t="inlineStr">
        <is>
          <t>MAIZE/CORN</t>
        </is>
      </c>
    </row>
    <row r="73">
      <c r="A73" s="9" t="n">
        <v>2</v>
      </c>
      <c r="B73" s="9" t="inlineStr">
        <is>
          <t>SOYBEAN MEAL (ARG)</t>
        </is>
      </c>
      <c r="C73" s="9" t="inlineStr">
        <is>
          <t>KG</t>
        </is>
      </c>
      <c r="D73" s="9" t="n">
        <v>0</v>
      </c>
      <c r="E73" s="9" t="n">
        <v>396530</v>
      </c>
      <c r="F73" s="9" t="n">
        <v>333254.2</v>
      </c>
      <c r="H73" s="9" t="n">
        <v>63275.80000000005</v>
      </c>
      <c r="I73" s="9" t="n">
        <v>-669.99999999993</v>
      </c>
      <c r="J73" s="9" t="inlineStr">
        <is>
          <t>SOYBEAN MEAL (ARG)</t>
        </is>
      </c>
    </row>
    <row r="74">
      <c r="A74" s="9" t="n">
        <v>3</v>
      </c>
      <c r="B74" s="9" t="inlineStr">
        <is>
          <t>SOYBEAN FULL FAT</t>
        </is>
      </c>
      <c r="C74" s="9" t="inlineStr">
        <is>
          <t>KG</t>
        </is>
      </c>
      <c r="D74" s="9" t="n">
        <v>20018.39999999997</v>
      </c>
      <c r="E74" s="9" t="n">
        <v>105360</v>
      </c>
      <c r="F74" s="9" t="n">
        <v>94361.2</v>
      </c>
      <c r="H74" s="9" t="n">
        <v>31017.19999999997</v>
      </c>
      <c r="I74" s="9" t="n">
        <v>20018.39999999998</v>
      </c>
      <c r="J74" s="9" t="inlineStr">
        <is>
          <t>SOYBEAN FULL FAT</t>
        </is>
      </c>
    </row>
    <row r="75">
      <c r="A75" s="9" t="n">
        <v>4</v>
      </c>
      <c r="B75" s="9" t="inlineStr">
        <is>
          <t>WHEAT POLLARD</t>
        </is>
      </c>
      <c r="C75" s="9" t="inlineStr">
        <is>
          <t>KG</t>
        </is>
      </c>
      <c r="D75" s="9" t="n">
        <v>26292.70000000002</v>
      </c>
      <c r="E75" s="9" t="n">
        <v>27580</v>
      </c>
      <c r="F75" s="9" t="n">
        <v>40840.2</v>
      </c>
      <c r="H75" s="9" t="n">
        <v>13032.50000000001</v>
      </c>
      <c r="I75" s="9" t="n">
        <v>26292.70000000002</v>
      </c>
      <c r="J75" s="9" t="inlineStr">
        <is>
          <t>WHEAT POLLARD</t>
        </is>
      </c>
    </row>
    <row r="76">
      <c r="A76" s="9" t="n">
        <v>5</v>
      </c>
      <c r="B76" s="9" t="inlineStr">
        <is>
          <t>MEAT AND BONE MEAL</t>
        </is>
      </c>
      <c r="C76" s="9" t="inlineStr">
        <is>
          <t>KG</t>
        </is>
      </c>
      <c r="D76" s="9" t="n">
        <v>17386.69999999999</v>
      </c>
      <c r="E76" s="9" t="n">
        <v>29980</v>
      </c>
      <c r="F76" s="9" t="n">
        <v>9979.500000000002</v>
      </c>
      <c r="H76" s="9" t="n">
        <v>37387.19999999999</v>
      </c>
      <c r="I76" s="9" t="n">
        <v>17386.69999999998</v>
      </c>
      <c r="J76" s="9" t="inlineStr">
        <is>
          <t>MEAT AND BONE MEAL</t>
        </is>
      </c>
    </row>
    <row r="77">
      <c r="A77" s="9" t="n">
        <v>6</v>
      </c>
      <c r="B77" s="9" t="inlineStr">
        <is>
          <t>CORN GLUTEN MEAL</t>
        </is>
      </c>
      <c r="C77" s="9" t="inlineStr">
        <is>
          <t>KG</t>
        </is>
      </c>
      <c r="D77" s="9" t="n">
        <v>0</v>
      </c>
      <c r="E77" s="9" t="n">
        <v>50737.39999999999</v>
      </c>
      <c r="F77" s="9" t="n">
        <v>49280.2</v>
      </c>
      <c r="G77" s="9" t="n">
        <v>28080</v>
      </c>
      <c r="H77" s="9" t="n">
        <v>29537.19999999999</v>
      </c>
      <c r="I77" s="9" t="n">
        <v>0</v>
      </c>
      <c r="J77" s="9" t="inlineStr">
        <is>
          <t>CORN GLUTEN MEAL</t>
        </is>
      </c>
    </row>
    <row r="78">
      <c r="A78" s="9" t="n">
        <v>7</v>
      </c>
      <c r="B78" s="9" t="inlineStr">
        <is>
          <t>MEGAFAT</t>
        </is>
      </c>
      <c r="C78" s="9" t="inlineStr">
        <is>
          <t>KG</t>
        </is>
      </c>
      <c r="D78" s="9" t="n">
        <v>0</v>
      </c>
      <c r="E78" s="9" t="n">
        <v>30613.6</v>
      </c>
      <c r="F78" s="9" t="n">
        <v>30613.6</v>
      </c>
      <c r="H78" s="9" t="n">
        <v>0</v>
      </c>
      <c r="I78" s="9" t="n">
        <v>0</v>
      </c>
      <c r="J78" s="9" t="inlineStr">
        <is>
          <t>MEGAFAT</t>
        </is>
      </c>
    </row>
    <row r="79">
      <c r="A79" s="9" t="n">
        <v>8</v>
      </c>
      <c r="B79" s="9" t="inlineStr">
        <is>
          <t>DCP 18%</t>
        </is>
      </c>
      <c r="C79" s="9" t="inlineStr">
        <is>
          <t>KG</t>
        </is>
      </c>
      <c r="D79" s="9" t="n">
        <v>11812.9</v>
      </c>
      <c r="E79" s="9" t="n">
        <v>0</v>
      </c>
      <c r="F79" s="9" t="n">
        <v>5964.1</v>
      </c>
      <c r="H79" s="9" t="n">
        <v>5848.799999999999</v>
      </c>
      <c r="I79" s="9" t="n">
        <v>11812.9</v>
      </c>
      <c r="J79" s="9" t="inlineStr">
        <is>
          <t>DCP 18%</t>
        </is>
      </c>
    </row>
    <row r="80">
      <c r="A80" s="9" t="n">
        <v>9</v>
      </c>
      <c r="B80" s="9" t="inlineStr">
        <is>
          <t xml:space="preserve">LIMESTONE POWDER </t>
        </is>
      </c>
      <c r="C80" s="9" t="inlineStr">
        <is>
          <t>KG</t>
        </is>
      </c>
      <c r="D80" s="9" t="n">
        <v>0</v>
      </c>
      <c r="E80" s="9" t="n">
        <v>12106.88</v>
      </c>
      <c r="F80" s="9" t="n">
        <v>12106.88</v>
      </c>
      <c r="H80" s="9" t="n">
        <v>0</v>
      </c>
      <c r="I80" s="9" t="n">
        <v>0</v>
      </c>
      <c r="J80" s="9" t="inlineStr">
        <is>
          <t xml:space="preserve">LIMESTONE POWDER </t>
        </is>
      </c>
    </row>
    <row r="81">
      <c r="A81" s="9" t="n">
        <v>10</v>
      </c>
      <c r="B81" s="9" t="inlineStr">
        <is>
          <t>INDUSTRY FLOUR</t>
        </is>
      </c>
      <c r="C81" s="9" t="inlineStr">
        <is>
          <t>KG</t>
        </is>
      </c>
      <c r="D81" s="9" t="n">
        <v>31869.7</v>
      </c>
      <c r="E81" s="9" t="n">
        <v>35420</v>
      </c>
      <c r="F81" s="9" t="n">
        <v>43131.39999999999</v>
      </c>
      <c r="H81" s="9" t="n">
        <v>24158.3</v>
      </c>
      <c r="I81" s="9" t="n">
        <v>31869.7</v>
      </c>
      <c r="J81" s="9" t="inlineStr">
        <is>
          <t>INDUSTRY FLOUR</t>
        </is>
      </c>
    </row>
    <row r="82">
      <c r="A82" s="9" t="n">
        <v>11</v>
      </c>
      <c r="B82" s="9" t="inlineStr">
        <is>
          <t>RICE BRAN</t>
        </is>
      </c>
      <c r="C82" s="9" t="inlineStr">
        <is>
          <t>KG</t>
        </is>
      </c>
      <c r="D82" s="9" t="n">
        <v>6658.999999999995</v>
      </c>
      <c r="E82" s="9" t="n">
        <v>68870</v>
      </c>
      <c r="F82" s="9" t="n">
        <v>32589.4</v>
      </c>
      <c r="H82" s="9" t="n">
        <v>42939.6</v>
      </c>
      <c r="I82" s="9" t="n">
        <v>6658.999999999993</v>
      </c>
      <c r="J82" s="9" t="inlineStr">
        <is>
          <t>RICE BRAN</t>
        </is>
      </c>
    </row>
    <row r="83">
      <c r="A83" s="9" t="n">
        <v>12</v>
      </c>
      <c r="B83" s="9" t="inlineStr">
        <is>
          <t>EP 200</t>
        </is>
      </c>
      <c r="C83" s="9" t="inlineStr">
        <is>
          <t>KG</t>
        </is>
      </c>
      <c r="D83" s="9" t="n">
        <v>7150</v>
      </c>
      <c r="E83" s="9" t="n">
        <v>0</v>
      </c>
      <c r="F83" s="9" t="n">
        <v>1350</v>
      </c>
      <c r="H83" s="9" t="n">
        <v>5800</v>
      </c>
      <c r="I83" s="9" t="n">
        <v>7150</v>
      </c>
      <c r="J83" s="9" t="inlineStr">
        <is>
          <t>EP 200</t>
        </is>
      </c>
    </row>
    <row r="84">
      <c r="A84" s="9" t="n">
        <v>13</v>
      </c>
      <c r="B84" s="9" t="inlineStr">
        <is>
          <t>SOYTIDE</t>
        </is>
      </c>
      <c r="C84" s="9" t="inlineStr">
        <is>
          <t>KG</t>
        </is>
      </c>
      <c r="D84" s="9" t="n">
        <v>1847.3</v>
      </c>
      <c r="E84" s="9" t="n">
        <v>0</v>
      </c>
      <c r="F84" s="9" t="n">
        <v>1700</v>
      </c>
      <c r="G84" s="9" t="n">
        <v>-147.3</v>
      </c>
      <c r="H84" s="9" t="n">
        <v>0</v>
      </c>
      <c r="I84" s="9" t="n">
        <v>1847.3</v>
      </c>
      <c r="J84" s="9" t="inlineStr">
        <is>
          <t>SOYTIDE</t>
        </is>
      </c>
    </row>
    <row r="85"/>
    <row r="86">
      <c r="B86" s="9" t="inlineStr">
        <is>
          <t>PREMIX &amp; ADDITIVES</t>
        </is>
      </c>
      <c r="I86" s="9" t="inlineStr">
        <is>
          <t>BAGS</t>
        </is>
      </c>
    </row>
    <row r="87">
      <c r="A87" s="9" t="n">
        <v>1</v>
      </c>
      <c r="B87" s="9" t="inlineStr">
        <is>
          <t>PREMIX 1101 (20KG)</t>
        </is>
      </c>
      <c r="C87" s="9" t="inlineStr">
        <is>
          <t>KG</t>
        </is>
      </c>
      <c r="D87" s="9" t="n">
        <v>1980</v>
      </c>
      <c r="E87" s="9" t="n">
        <v>1980</v>
      </c>
      <c r="F87" s="9" t="n">
        <v>1840</v>
      </c>
      <c r="H87" s="9" t="n">
        <v>2120</v>
      </c>
      <c r="I87" s="9" t="n">
        <v>106</v>
      </c>
      <c r="J87" s="9" t="inlineStr">
        <is>
          <t>PREMIX 1101 (20KG)</t>
        </is>
      </c>
    </row>
    <row r="88">
      <c r="A88" s="9" t="n">
        <v>2</v>
      </c>
      <c r="B88" s="9" t="inlineStr">
        <is>
          <t>PREMIX 1102 (20KG)</t>
        </is>
      </c>
      <c r="C88" s="9" t="inlineStr">
        <is>
          <t>KG</t>
        </is>
      </c>
      <c r="D88" s="9" t="n">
        <v>2000</v>
      </c>
      <c r="E88" s="9" t="n">
        <v>8000</v>
      </c>
      <c r="F88" s="9" t="n">
        <v>6360</v>
      </c>
      <c r="H88" s="9" t="n">
        <v>3640</v>
      </c>
      <c r="I88" s="9" t="n">
        <v>182</v>
      </c>
      <c r="J88" s="9" t="inlineStr">
        <is>
          <t>PREMIX 1102 (20KG)</t>
        </is>
      </c>
    </row>
    <row r="89">
      <c r="A89" s="9" t="n">
        <v>3</v>
      </c>
      <c r="B89" s="9" t="inlineStr">
        <is>
          <t>PREMIX 1103 (20KG)</t>
        </is>
      </c>
      <c r="C89" s="9" t="inlineStr">
        <is>
          <t>KG</t>
        </is>
      </c>
      <c r="D89" s="9" t="n">
        <v>4800</v>
      </c>
      <c r="E89" s="9" t="n">
        <v>0</v>
      </c>
      <c r="F89" s="9" t="n">
        <v>2720</v>
      </c>
      <c r="H89" s="9" t="n">
        <v>2080</v>
      </c>
      <c r="I89" s="9" t="n">
        <v>104</v>
      </c>
      <c r="J89" s="9" t="inlineStr">
        <is>
          <t>PREMIX 1103 (20KG)</t>
        </is>
      </c>
    </row>
    <row r="90">
      <c r="A90" s="9" t="n">
        <v>4</v>
      </c>
      <c r="B90" s="9" t="inlineStr">
        <is>
          <t>PREMIX 8100 (20KG)</t>
        </is>
      </c>
      <c r="C90" s="9" t="inlineStr">
        <is>
          <t>KG</t>
        </is>
      </c>
      <c r="D90" s="9" t="n">
        <v>5120</v>
      </c>
      <c r="E90" s="9" t="n">
        <v>2000</v>
      </c>
      <c r="F90" s="9" t="n">
        <v>760</v>
      </c>
      <c r="H90" s="9" t="n">
        <v>6360</v>
      </c>
      <c r="I90" s="9" t="n">
        <v>318</v>
      </c>
      <c r="J90" s="9" t="inlineStr">
        <is>
          <t>PREMIX 8100 (20KG)</t>
        </is>
      </c>
    </row>
    <row r="91">
      <c r="A91" s="9" t="n">
        <v>5</v>
      </c>
      <c r="B91" s="9" t="inlineStr">
        <is>
          <t>PREMIX 8101 (20KG)</t>
        </is>
      </c>
      <c r="C91" s="9" t="inlineStr">
        <is>
          <t>KG</t>
        </is>
      </c>
      <c r="D91" s="9" t="n">
        <v>6540</v>
      </c>
      <c r="E91" s="9" t="n">
        <v>0</v>
      </c>
      <c r="F91" s="9" t="n">
        <v>0</v>
      </c>
      <c r="H91" s="9" t="n">
        <v>6540</v>
      </c>
      <c r="I91" s="9" t="n">
        <v>327</v>
      </c>
      <c r="J91" s="9" t="inlineStr">
        <is>
          <t>PREMIX 8101 (20KG)</t>
        </is>
      </c>
    </row>
    <row r="92">
      <c r="A92" s="9" t="n">
        <v>6</v>
      </c>
      <c r="B92" s="9" t="inlineStr">
        <is>
          <t>PREMIX 8102 (20KG)</t>
        </is>
      </c>
      <c r="C92" s="9" t="inlineStr">
        <is>
          <t>KG</t>
        </is>
      </c>
      <c r="D92" s="9" t="n">
        <v>11540</v>
      </c>
      <c r="E92" s="9" t="n">
        <v>0</v>
      </c>
      <c r="F92" s="9" t="n">
        <v>0</v>
      </c>
      <c r="H92" s="9" t="n">
        <v>11540</v>
      </c>
      <c r="I92" s="9" t="n">
        <v>577</v>
      </c>
      <c r="J92" s="9" t="inlineStr">
        <is>
          <t>PREMIX 8102 (20KG)</t>
        </is>
      </c>
    </row>
    <row r="93">
      <c r="A93" s="9" t="n">
        <v>7</v>
      </c>
      <c r="B93" s="9" t="inlineStr">
        <is>
          <t>PREMIX 8103 (20KG)</t>
        </is>
      </c>
      <c r="C93" s="9" t="inlineStr">
        <is>
          <t>KG</t>
        </is>
      </c>
      <c r="D93" s="9" t="n">
        <v>15120</v>
      </c>
      <c r="E93" s="9" t="n">
        <v>0</v>
      </c>
      <c r="F93" s="9" t="n">
        <v>0</v>
      </c>
      <c r="H93" s="9" t="n">
        <v>15120</v>
      </c>
      <c r="I93" s="9" t="n">
        <v>756</v>
      </c>
      <c r="J93" s="9" t="inlineStr">
        <is>
          <t>PREMIX 8103 (20KG)</t>
        </is>
      </c>
    </row>
    <row r="94">
      <c r="A94" s="9" t="n">
        <v>8</v>
      </c>
      <c r="B94" s="9" t="inlineStr">
        <is>
          <t>PREMIX 8108 (20KG)</t>
        </is>
      </c>
      <c r="C94" s="9" t="inlineStr">
        <is>
          <t>KG</t>
        </is>
      </c>
      <c r="D94" s="9" t="n">
        <v>5040</v>
      </c>
      <c r="E94" s="9" t="n">
        <v>0</v>
      </c>
      <c r="F94" s="9" t="n">
        <v>3080</v>
      </c>
      <c r="H94" s="9" t="n">
        <v>1960</v>
      </c>
      <c r="I94" s="9" t="n">
        <v>98</v>
      </c>
      <c r="J94" s="9" t="inlineStr">
        <is>
          <t>PREMIX 8108 (20KG)</t>
        </is>
      </c>
    </row>
    <row r="95">
      <c r="A95" s="9" t="n">
        <v>9</v>
      </c>
      <c r="B95" s="9" t="inlineStr">
        <is>
          <t>PREMIX 8109 (20KG)</t>
        </is>
      </c>
      <c r="C95" s="9" t="inlineStr">
        <is>
          <t>KG</t>
        </is>
      </c>
      <c r="D95" s="9" t="n">
        <v>9100</v>
      </c>
      <c r="E95" s="9" t="n">
        <v>0</v>
      </c>
      <c r="F95" s="9" t="n">
        <v>0</v>
      </c>
      <c r="H95" s="9" t="n">
        <v>9100</v>
      </c>
      <c r="I95" s="9" t="n">
        <v>455</v>
      </c>
      <c r="J95" s="9" t="inlineStr">
        <is>
          <t>PREMIX 8109 (20KG)</t>
        </is>
      </c>
    </row>
    <row r="96">
      <c r="A96" s="9" t="n">
        <v>10</v>
      </c>
      <c r="B96" s="9" t="inlineStr">
        <is>
          <t>YENMIX 121 (20KG)</t>
        </is>
      </c>
      <c r="C96" s="9" t="inlineStr">
        <is>
          <t>KG</t>
        </is>
      </c>
      <c r="D96" s="9" t="n">
        <v>4220</v>
      </c>
      <c r="E96" s="9" t="n">
        <v>0</v>
      </c>
      <c r="F96" s="9" t="n">
        <v>1680</v>
      </c>
      <c r="H96" s="9" t="n">
        <v>2540</v>
      </c>
      <c r="I96" s="9" t="n">
        <v>127</v>
      </c>
      <c r="J96" s="9" t="inlineStr">
        <is>
          <t>YENMIX 121 (20KG)</t>
        </is>
      </c>
    </row>
    <row r="97">
      <c r="A97" s="9" t="n">
        <v>11</v>
      </c>
      <c r="B97" s="9" t="inlineStr">
        <is>
          <t>YENMIX 122 (19.50KG)</t>
        </is>
      </c>
      <c r="C97" s="9" t="inlineStr">
        <is>
          <t>KG</t>
        </is>
      </c>
      <c r="D97" s="9" t="n">
        <v>7702.5</v>
      </c>
      <c r="E97" s="9" t="n">
        <v>1950</v>
      </c>
      <c r="F97" s="9" t="n">
        <v>9633</v>
      </c>
      <c r="H97" s="9" t="n">
        <v>19.5</v>
      </c>
      <c r="I97" s="9" t="n">
        <v>1</v>
      </c>
      <c r="J97" s="9" t="inlineStr">
        <is>
          <t>YENMIX 122 (19.50KG)</t>
        </is>
      </c>
    </row>
    <row r="98">
      <c r="A98" s="9" t="n">
        <v>12</v>
      </c>
      <c r="B98" s="9" t="inlineStr">
        <is>
          <t>YENMIX 123 (18.90KG)</t>
        </is>
      </c>
      <c r="C98" s="9" t="inlineStr">
        <is>
          <t>KG</t>
        </is>
      </c>
      <c r="D98" s="9" t="n">
        <v>6426.000000000003</v>
      </c>
      <c r="E98" s="9" t="n">
        <v>0</v>
      </c>
      <c r="F98" s="9" t="n">
        <v>4347</v>
      </c>
      <c r="H98" s="9" t="n">
        <v>2079.000000000003</v>
      </c>
      <c r="I98" s="9" t="n">
        <v>110.0000000000002</v>
      </c>
      <c r="J98" s="9" t="inlineStr">
        <is>
          <t>YENMIX 123 (18.90KG)</t>
        </is>
      </c>
    </row>
    <row r="99">
      <c r="A99" s="9" t="n">
        <v>13</v>
      </c>
      <c r="B99" s="9" t="inlineStr">
        <is>
          <t>YENMIX 122 (20.50KG)</t>
        </is>
      </c>
      <c r="C99" s="9" t="inlineStr">
        <is>
          <t>KG</t>
        </is>
      </c>
      <c r="D99" s="9" t="n">
        <v>0</v>
      </c>
      <c r="E99" s="9" t="n">
        <v>8610</v>
      </c>
      <c r="F99" s="9" t="n">
        <v>2460</v>
      </c>
      <c r="H99" s="9" t="n">
        <v>6150</v>
      </c>
      <c r="I99" s="9" t="n">
        <v>300</v>
      </c>
    </row>
    <row r="100">
      <c r="A100" s="9" t="n">
        <v>14</v>
      </c>
      <c r="B100" s="9" t="inlineStr">
        <is>
          <t>YENMIX 123 (20.00KG)</t>
        </is>
      </c>
      <c r="C100" s="9" t="inlineStr">
        <is>
          <t>KG</t>
        </is>
      </c>
      <c r="D100" s="9" t="n">
        <v>0</v>
      </c>
      <c r="E100" s="9" t="n">
        <v>4000</v>
      </c>
      <c r="F100" s="9" t="n">
        <v>0</v>
      </c>
      <c r="H100" s="9" t="n">
        <v>4000</v>
      </c>
      <c r="I100" s="9" t="n">
        <v>200</v>
      </c>
    </row>
    <row r="101">
      <c r="A101" s="9" t="n">
        <v>15</v>
      </c>
      <c r="B101" s="9" t="inlineStr">
        <is>
          <t>TOXISORB PREMIUM</t>
        </is>
      </c>
      <c r="C101" s="9" t="inlineStr">
        <is>
          <t>KG</t>
        </is>
      </c>
      <c r="D101" s="9" t="n">
        <v>4195</v>
      </c>
      <c r="E101" s="9" t="n">
        <v>0</v>
      </c>
      <c r="F101" s="9" t="n">
        <v>292</v>
      </c>
      <c r="H101" s="9" t="n">
        <v>3903</v>
      </c>
      <c r="J101" s="9" t="inlineStr">
        <is>
          <t>TOXISORB PREMIUM</t>
        </is>
      </c>
    </row>
    <row r="102">
      <c r="A102" s="9" t="n">
        <v>16</v>
      </c>
      <c r="B102" s="9" t="inlineStr">
        <is>
          <t>SODIUM HUMATE 3.8%</t>
        </is>
      </c>
      <c r="C102" s="9" t="inlineStr">
        <is>
          <t>KG</t>
        </is>
      </c>
      <c r="D102" s="9" t="n">
        <v>0</v>
      </c>
      <c r="E102" s="9" t="n">
        <v>3360</v>
      </c>
      <c r="F102" s="9" t="n">
        <v>3360</v>
      </c>
      <c r="H102" s="9" t="n">
        <v>0</v>
      </c>
      <c r="J102" s="9" t="inlineStr">
        <is>
          <t>SODIUM HUMATE 3.8%</t>
        </is>
      </c>
    </row>
    <row r="103">
      <c r="A103" s="9" t="n">
        <v>17</v>
      </c>
      <c r="B103" s="9" t="inlineStr">
        <is>
          <t>SODIUM BICARBONATE</t>
        </is>
      </c>
      <c r="C103" s="9" t="inlineStr">
        <is>
          <t>KG</t>
        </is>
      </c>
      <c r="D103" s="9" t="n">
        <v>4152.5</v>
      </c>
      <c r="E103" s="9" t="n">
        <v>0</v>
      </c>
      <c r="F103" s="9" t="n">
        <v>1029.6</v>
      </c>
      <c r="H103" s="9" t="n">
        <v>3122.9</v>
      </c>
      <c r="J103" s="9" t="inlineStr">
        <is>
          <t>SODIUM BICARBONATE</t>
        </is>
      </c>
    </row>
    <row r="104">
      <c r="A104" s="9" t="n">
        <v>18</v>
      </c>
      <c r="B104" s="9" t="inlineStr">
        <is>
          <t>TOXIWALL</t>
        </is>
      </c>
      <c r="C104" s="9" t="inlineStr">
        <is>
          <t>KG</t>
        </is>
      </c>
      <c r="D104" s="9" t="n">
        <v>2065</v>
      </c>
      <c r="E104" s="9" t="n">
        <v>0</v>
      </c>
      <c r="F104" s="9" t="n">
        <v>928</v>
      </c>
      <c r="H104" s="9" t="n">
        <v>1137</v>
      </c>
      <c r="J104" s="9" t="inlineStr">
        <is>
          <t>TOXIWALL</t>
        </is>
      </c>
    </row>
    <row r="105">
      <c r="A105" s="9" t="n">
        <v>19</v>
      </c>
      <c r="B105" s="9" t="inlineStr">
        <is>
          <t>BMD 10%</t>
        </is>
      </c>
      <c r="C105" s="9" t="inlineStr">
        <is>
          <t>KG</t>
        </is>
      </c>
      <c r="D105" s="9" t="n">
        <v>1680.5</v>
      </c>
      <c r="E105" s="9" t="n">
        <v>0</v>
      </c>
      <c r="F105" s="9" t="n">
        <v>0</v>
      </c>
      <c r="H105" s="9" t="n">
        <v>1680.5</v>
      </c>
      <c r="J105" s="9" t="inlineStr">
        <is>
          <t>BMD 10%</t>
        </is>
      </c>
    </row>
    <row r="106">
      <c r="A106" s="9" t="n">
        <v>20</v>
      </c>
      <c r="B106" s="9" t="inlineStr">
        <is>
          <t>SALT</t>
        </is>
      </c>
      <c r="C106" s="9" t="inlineStr">
        <is>
          <t>KG</t>
        </is>
      </c>
      <c r="D106" s="9" t="n">
        <v>41.59999999999991</v>
      </c>
      <c r="E106" s="9" t="n">
        <v>2629</v>
      </c>
      <c r="F106" s="9" t="n">
        <v>2629</v>
      </c>
      <c r="H106" s="9" t="n">
        <v>41.59999999999991</v>
      </c>
      <c r="J106" s="9" t="inlineStr">
        <is>
          <t>SALT</t>
        </is>
      </c>
    </row>
    <row r="107">
      <c r="A107" s="9" t="n">
        <v>21</v>
      </c>
      <c r="B107" s="9" t="inlineStr">
        <is>
          <t>VISTABET 91</t>
        </is>
      </c>
      <c r="C107" s="9" t="inlineStr">
        <is>
          <t>KG</t>
        </is>
      </c>
      <c r="D107" s="9" t="n">
        <v>1000</v>
      </c>
      <c r="E107" s="9" t="n">
        <v>0</v>
      </c>
      <c r="F107" s="9" t="n">
        <v>18</v>
      </c>
      <c r="H107" s="9" t="n">
        <v>982</v>
      </c>
      <c r="J107" s="9" t="inlineStr">
        <is>
          <t>VISTABET 91</t>
        </is>
      </c>
    </row>
    <row r="108">
      <c r="A108" s="9" t="n">
        <v>22</v>
      </c>
      <c r="B108" s="9" t="inlineStr">
        <is>
          <t>8101 TOP UP</t>
        </is>
      </c>
      <c r="C108" s="9" t="inlineStr">
        <is>
          <t>KG</t>
        </is>
      </c>
      <c r="D108" s="9" t="n">
        <v>100</v>
      </c>
      <c r="E108" s="9" t="n">
        <v>0</v>
      </c>
      <c r="F108" s="9" t="n">
        <v>0</v>
      </c>
      <c r="H108" s="9" t="n">
        <v>100</v>
      </c>
      <c r="J108" s="9" t="inlineStr">
        <is>
          <t>8101 TOP UP</t>
        </is>
      </c>
    </row>
    <row r="109">
      <c r="A109" s="9" t="n">
        <v>23</v>
      </c>
      <c r="B109" s="9" t="inlineStr">
        <is>
          <t>NORPONIN X03 (8102 TOP UP)</t>
        </is>
      </c>
      <c r="C109" s="9" t="inlineStr">
        <is>
          <t>KG</t>
        </is>
      </c>
      <c r="D109" s="9" t="n">
        <v>13.96000000000004</v>
      </c>
      <c r="E109" s="9" t="n">
        <v>0</v>
      </c>
      <c r="F109" s="9" t="n">
        <v>0</v>
      </c>
      <c r="H109" s="9" t="n">
        <v>13.96000000000004</v>
      </c>
      <c r="J109" s="9" t="inlineStr">
        <is>
          <t>NORPONIN X03 (8102 TOP UP)</t>
        </is>
      </c>
    </row>
    <row r="110">
      <c r="A110" s="9" t="n">
        <v>24</v>
      </c>
      <c r="B110" s="9" t="inlineStr">
        <is>
          <t>8102 TOP UP</t>
        </is>
      </c>
      <c r="C110" s="9" t="inlineStr">
        <is>
          <t>KG</t>
        </is>
      </c>
      <c r="D110" s="9" t="n">
        <v>1212</v>
      </c>
      <c r="E110" s="9" t="n">
        <v>0</v>
      </c>
      <c r="F110" s="9" t="n">
        <v>616</v>
      </c>
      <c r="H110" s="9" t="n">
        <v>596</v>
      </c>
      <c r="J110" s="9" t="inlineStr">
        <is>
          <t>8102 TOP UP</t>
        </is>
      </c>
    </row>
    <row r="111">
      <c r="A111" s="9" t="n">
        <v>25</v>
      </c>
      <c r="B111" s="9" t="inlineStr">
        <is>
          <t>8103 TOP UP</t>
        </is>
      </c>
      <c r="C111" s="9" t="inlineStr">
        <is>
          <t>KG</t>
        </is>
      </c>
      <c r="D111" s="9" t="n">
        <v>400</v>
      </c>
      <c r="E111" s="9" t="n">
        <v>0</v>
      </c>
      <c r="F111" s="9" t="n">
        <v>0</v>
      </c>
      <c r="H111" s="9" t="n">
        <v>400</v>
      </c>
    </row>
    <row r="112">
      <c r="A112" s="9" t="n">
        <v>26</v>
      </c>
      <c r="B112" s="9" t="inlineStr">
        <is>
          <t>L-ARGININE</t>
        </is>
      </c>
      <c r="C112" s="9" t="inlineStr">
        <is>
          <t>KG</t>
        </is>
      </c>
      <c r="D112" s="9" t="n">
        <v>207.6</v>
      </c>
      <c r="E112" s="9" t="n">
        <v>0</v>
      </c>
      <c r="F112" s="9" t="n">
        <v>0</v>
      </c>
      <c r="H112" s="9" t="n">
        <v>207.6</v>
      </c>
      <c r="J112" s="9" t="inlineStr">
        <is>
          <t>L-ARGININE</t>
        </is>
      </c>
    </row>
    <row r="113">
      <c r="A113" s="9" t="n">
        <v>27</v>
      </c>
      <c r="B113" s="9" t="inlineStr">
        <is>
          <t>DL-METHIONINE</t>
        </is>
      </c>
      <c r="C113" s="9" t="inlineStr">
        <is>
          <t>KG</t>
        </is>
      </c>
      <c r="D113" s="9" t="n">
        <v>147.04</v>
      </c>
      <c r="E113" s="9" t="n">
        <v>0</v>
      </c>
      <c r="F113" s="9" t="n">
        <v>0</v>
      </c>
      <c r="H113" s="9" t="n">
        <v>147.04</v>
      </c>
      <c r="J113" s="9" t="inlineStr">
        <is>
          <t>DL-METHIONINE</t>
        </is>
      </c>
    </row>
    <row r="114">
      <c r="A114" s="9" t="n">
        <v>28</v>
      </c>
      <c r="B114" s="9" t="inlineStr">
        <is>
          <t>L-THREONINE</t>
        </is>
      </c>
      <c r="C114" s="9" t="inlineStr">
        <is>
          <t>KG</t>
        </is>
      </c>
      <c r="D114" s="9" t="n">
        <v>46.8</v>
      </c>
      <c r="E114" s="9" t="n">
        <v>0</v>
      </c>
      <c r="F114" s="9" t="n">
        <v>0</v>
      </c>
      <c r="H114" s="9" t="n">
        <v>46.8</v>
      </c>
      <c r="J114" s="9" t="inlineStr">
        <is>
          <t>L-THREONINE</t>
        </is>
      </c>
    </row>
    <row r="115">
      <c r="A115" s="9" t="n">
        <v>29</v>
      </c>
      <c r="B115" s="9" t="inlineStr">
        <is>
          <t>FAECES DRY</t>
        </is>
      </c>
      <c r="C115" s="9" t="inlineStr">
        <is>
          <t>KG</t>
        </is>
      </c>
      <c r="D115" s="9" t="n">
        <v>0</v>
      </c>
      <c r="E115" s="9" t="n">
        <v>125</v>
      </c>
      <c r="F115" s="9" t="n">
        <v>100.8</v>
      </c>
      <c r="H115" s="9" t="n">
        <v>24.2</v>
      </c>
    </row>
    <row r="116">
      <c r="A116" s="9" t="n">
        <v>30</v>
      </c>
      <c r="B116" s="9" t="inlineStr">
        <is>
          <t>ECOBIOL</t>
        </is>
      </c>
      <c r="C116" s="9" t="inlineStr">
        <is>
          <t>KG</t>
        </is>
      </c>
      <c r="D116" s="9" t="n">
        <v>0</v>
      </c>
      <c r="E116" s="9" t="n">
        <v>200</v>
      </c>
      <c r="F116" s="9" t="n">
        <v>168</v>
      </c>
      <c r="H116" s="9" t="n">
        <v>32</v>
      </c>
    </row>
    <row r="117"/>
    <row r="118">
      <c r="B118" s="9" t="inlineStr">
        <is>
          <t>PACKING MATERIALS</t>
        </is>
      </c>
    </row>
    <row r="119">
      <c r="A119" s="9" t="n">
        <v>1</v>
      </c>
      <c r="B119" s="9" t="inlineStr">
        <is>
          <t>WOVEN BAG (1101) - BLUE 50KG</t>
        </is>
      </c>
      <c r="C119" s="9" t="inlineStr">
        <is>
          <t>PCS</t>
        </is>
      </c>
      <c r="D119" s="9" t="n">
        <v>3889</v>
      </c>
      <c r="E119" s="9" t="n">
        <v>0</v>
      </c>
      <c r="F119" s="9" t="n">
        <v>1572</v>
      </c>
      <c r="H119" s="9" t="n">
        <v>2317</v>
      </c>
    </row>
    <row r="120">
      <c r="A120" s="9" t="n">
        <v>2</v>
      </c>
      <c r="B120" s="9" t="inlineStr">
        <is>
          <t>WOVEN BAG (1102) - GREEN 50KG</t>
        </is>
      </c>
      <c r="C120" s="9" t="inlineStr">
        <is>
          <t>PCS</t>
        </is>
      </c>
      <c r="D120" s="9" t="n">
        <v>0</v>
      </c>
      <c r="E120" s="9" t="n">
        <v>8000</v>
      </c>
      <c r="F120" s="9" t="n">
        <v>7224</v>
      </c>
      <c r="H120" s="9" t="n">
        <v>776</v>
      </c>
    </row>
    <row r="121">
      <c r="A121" s="9" t="n">
        <v>3</v>
      </c>
      <c r="B121" s="9" t="inlineStr">
        <is>
          <t>WOVEN BAG (1103) - RED 50KG</t>
        </is>
      </c>
      <c r="C121" s="9" t="inlineStr">
        <is>
          <t>PCS</t>
        </is>
      </c>
      <c r="D121" s="9" t="n">
        <v>6349</v>
      </c>
      <c r="E121" s="9" t="n">
        <v>8519</v>
      </c>
      <c r="F121" s="9" t="n">
        <v>1606</v>
      </c>
      <c r="G121" s="9" t="n">
        <v>193</v>
      </c>
      <c r="H121" s="9" t="n">
        <v>13455</v>
      </c>
    </row>
    <row r="122">
      <c r="A122" s="9" t="n">
        <v>4</v>
      </c>
      <c r="B122" s="9" t="inlineStr">
        <is>
          <t>PLAIN BAG 26" X 39" (50KG)</t>
        </is>
      </c>
      <c r="C122" s="9" t="inlineStr">
        <is>
          <t>PCS</t>
        </is>
      </c>
      <c r="D122" s="9" t="n">
        <v>5989</v>
      </c>
      <c r="E122" s="9" t="n">
        <v>2000</v>
      </c>
      <c r="F122" s="9" t="n">
        <v>6508</v>
      </c>
      <c r="H122" s="9" t="n">
        <v>1481</v>
      </c>
    </row>
    <row r="123">
      <c r="A123" s="9" t="n">
        <v>5</v>
      </c>
      <c r="B123" s="9" t="inlineStr">
        <is>
          <t>WOVEN BAG (8101) - KHAKI 50KG</t>
        </is>
      </c>
      <c r="C123" s="9" t="inlineStr">
        <is>
          <t>PCS</t>
        </is>
      </c>
      <c r="D123" s="9" t="n">
        <v>1901</v>
      </c>
      <c r="E123" s="9" t="n">
        <v>0</v>
      </c>
      <c r="F123" s="9" t="n">
        <v>0</v>
      </c>
      <c r="H123" s="9" t="n">
        <v>1901</v>
      </c>
    </row>
    <row r="124">
      <c r="A124" s="9" t="n">
        <v>6</v>
      </c>
      <c r="B124" s="9" t="inlineStr">
        <is>
          <t>WOVEN BAG (8102) - SKY BLUE 50KG</t>
        </is>
      </c>
      <c r="C124" s="9" t="inlineStr">
        <is>
          <t>PCS</t>
        </is>
      </c>
      <c r="D124" s="9" t="n">
        <v>6459</v>
      </c>
      <c r="E124" s="9" t="n">
        <v>0</v>
      </c>
      <c r="F124" s="9" t="n">
        <v>0</v>
      </c>
      <c r="H124" s="9" t="n">
        <v>6459</v>
      </c>
    </row>
    <row r="125"/>
    <row r="126">
      <c r="B126" s="9" t="inlineStr">
        <is>
          <t>TOTAL</t>
        </is>
      </c>
      <c r="D126" s="9" t="n">
        <v>270314.2</v>
      </c>
      <c r="E126" s="9" t="n">
        <v>1749460.88</v>
      </c>
      <c r="F126" s="9" t="n">
        <v>1514463.68</v>
      </c>
      <c r="G126" s="9" t="n">
        <v>28125.7</v>
      </c>
      <c r="H126" s="9" t="n">
        <v>533437.0999999999</v>
      </c>
    </row>
    <row r="127"/>
    <row r="128"/>
    <row r="129">
      <c r="B129" s="9" t="inlineStr">
        <is>
          <t>HARUMI Stock - APR 2026</t>
        </is>
      </c>
    </row>
    <row r="130"/>
    <row r="131">
      <c r="B131" s="9" t="inlineStr">
        <is>
          <t>Remark for adjustment (+)</t>
        </is>
      </c>
    </row>
    <row r="132">
      <c r="B132" s="9" t="inlineStr">
        <is>
          <t>WOVEN BAG (1103) - RED 50KG</t>
        </is>
      </c>
      <c r="C132" s="9" t="inlineStr">
        <is>
          <t>PCS</t>
        </is>
      </c>
      <c r="D132" s="9" t="n">
        <v>193</v>
      </c>
    </row>
    <row r="133">
      <c r="B133" s="9" t="inlineStr">
        <is>
          <t>Reason: Cut off</t>
        </is>
      </c>
    </row>
    <row r="134"/>
    <row r="135">
      <c r="B135" s="9" t="inlineStr">
        <is>
          <t>CORN GLUTEN MEAL</t>
        </is>
      </c>
      <c r="C135" s="9" t="inlineStr">
        <is>
          <t>KG</t>
        </is>
      </c>
      <c r="D135" s="9" t="n">
        <v>28080</v>
      </c>
    </row>
    <row r="136">
      <c r="B136" s="9" t="inlineStr">
        <is>
          <t>Reason: Stock Transferred from Xun Ta</t>
        </is>
      </c>
    </row>
    <row r="137">
      <c r="B137" s="9" t="inlineStr">
        <is>
          <t>PPSB00827/DO16909                  16/4/2026</t>
        </is>
      </c>
    </row>
    <row r="138"/>
    <row r="139">
      <c r="B139" s="9" t="inlineStr">
        <is>
          <t>Remark for adjustment (-)</t>
        </is>
      </c>
    </row>
    <row r="140">
      <c r="B140" s="9" t="inlineStr">
        <is>
          <t>SOYTIDE</t>
        </is>
      </c>
      <c r="C140" s="9" t="inlineStr">
        <is>
          <t>KG</t>
        </is>
      </c>
      <c r="D140" s="9" t="n">
        <v>-147.3</v>
      </c>
    </row>
    <row r="141">
      <c r="B141" s="9" t="inlineStr">
        <is>
          <t>Reason: Cut off</t>
        </is>
      </c>
    </row>
    <row r="142"/>
    <row r="143"/>
    <row r="144"/>
    <row r="145"/>
    <row r="146">
      <c r="B146" s="9" t="inlineStr">
        <is>
          <t>Prepared by: ______________</t>
        </is>
      </c>
      <c r="G146" s="9" t="inlineStr">
        <is>
          <t xml:space="preserve">   Approved by: ______________</t>
        </is>
      </c>
    </row>
    <row r="147"/>
    <row r="148"/>
    <row r="149">
      <c r="H149" s="9" t="inlineStr">
        <is>
          <t>Revised Date: 3/6/2026</t>
        </is>
      </c>
      <c r="I149" s="9" t="inlineStr">
        <is>
          <t>Highlighted</t>
        </is>
      </c>
    </row>
    <row r="150">
      <c r="B150" s="9" t="inlineStr">
        <is>
          <t>HARUMI Stock - APR 2026</t>
        </is>
      </c>
    </row>
    <row r="151">
      <c r="A151" s="9" t="inlineStr">
        <is>
          <t>No</t>
        </is>
      </c>
      <c r="B151" s="9" t="inlineStr">
        <is>
          <t>Description</t>
        </is>
      </c>
      <c r="C151" s="9" t="inlineStr">
        <is>
          <t>UOM</t>
        </is>
      </c>
      <c r="D151" s="9" t="inlineStr">
        <is>
          <t>Opening</t>
        </is>
      </c>
      <c r="E151" s="9" t="inlineStr">
        <is>
          <t>Receiving</t>
        </is>
      </c>
      <c r="F151" s="9" t="inlineStr">
        <is>
          <t>Usage</t>
        </is>
      </c>
      <c r="G151" s="9" t="inlineStr">
        <is>
          <t>Adjustment</t>
        </is>
      </c>
      <c r="H151" s="9" t="inlineStr">
        <is>
          <t>Bal (KG)</t>
        </is>
      </c>
    </row>
    <row r="152">
      <c r="B152" s="9" t="inlineStr">
        <is>
          <t>RAW MATERIAL</t>
        </is>
      </c>
    </row>
    <row r="153">
      <c r="A153" s="9" t="n">
        <v>1</v>
      </c>
      <c r="B153" s="9" t="inlineStr">
        <is>
          <t>MAIZE/CORN</t>
        </is>
      </c>
      <c r="C153" s="9" t="inlineStr">
        <is>
          <t>KG</t>
        </is>
      </c>
      <c r="D153" s="9" t="n">
        <v>27839.99999999996</v>
      </c>
      <c r="E153" s="9" t="n">
        <v>940890</v>
      </c>
      <c r="F153" s="9" t="n">
        <v>800361.6000000001</v>
      </c>
      <c r="H153" s="9" t="n">
        <v>168368.3999999999</v>
      </c>
      <c r="I153" s="9" t="n">
        <v>27840</v>
      </c>
    </row>
    <row r="154">
      <c r="A154" s="9" t="n">
        <v>2</v>
      </c>
      <c r="B154" s="9" t="inlineStr">
        <is>
          <t>SOYBEAN MEAL (ARG)</t>
        </is>
      </c>
      <c r="C154" s="9" t="inlineStr">
        <is>
          <t>KG</t>
        </is>
      </c>
      <c r="D154" s="9" t="n">
        <v>-669.99999999993</v>
      </c>
      <c r="E154" s="9" t="n">
        <v>396530</v>
      </c>
      <c r="F154" s="9" t="n">
        <v>333254.2</v>
      </c>
      <c r="G154" s="9" t="n">
        <v>670</v>
      </c>
      <c r="H154" s="9" t="n">
        <v>63275.8000000001</v>
      </c>
      <c r="I154" s="9" t="n">
        <v>-669.99999999993</v>
      </c>
    </row>
    <row r="155">
      <c r="A155" s="9" t="n">
        <v>3</v>
      </c>
      <c r="B155" s="9" t="inlineStr">
        <is>
          <t>SOYBEAN FULL FAT</t>
        </is>
      </c>
      <c r="C155" s="9" t="inlineStr">
        <is>
          <t>KG</t>
        </is>
      </c>
      <c r="D155" s="9" t="n">
        <v>20018.39999999997</v>
      </c>
      <c r="E155" s="9" t="n">
        <v>105360</v>
      </c>
      <c r="F155" s="9" t="n">
        <v>94361.2</v>
      </c>
      <c r="H155" s="9" t="n">
        <v>31017.19999999997</v>
      </c>
      <c r="I155" s="9" t="n">
        <v>20018.39999999998</v>
      </c>
    </row>
    <row r="156">
      <c r="A156" s="9" t="n">
        <v>4</v>
      </c>
      <c r="B156" s="9" t="inlineStr">
        <is>
          <t>WHEAT POLLARD</t>
        </is>
      </c>
      <c r="C156" s="9" t="inlineStr">
        <is>
          <t>KG</t>
        </is>
      </c>
      <c r="D156" s="9" t="n">
        <v>26292.70000000002</v>
      </c>
      <c r="E156" s="9" t="n">
        <v>27580</v>
      </c>
      <c r="F156" s="9" t="n">
        <v>40840.2</v>
      </c>
      <c r="H156" s="9" t="n">
        <v>13032.50000000001</v>
      </c>
      <c r="I156" s="9" t="n">
        <v>26292.70000000002</v>
      </c>
    </row>
    <row r="157">
      <c r="A157" s="9" t="n">
        <v>5</v>
      </c>
      <c r="B157" s="9" t="inlineStr">
        <is>
          <t>MEAT AND BONE MEAL</t>
        </is>
      </c>
      <c r="C157" s="9" t="inlineStr">
        <is>
          <t>KG</t>
        </is>
      </c>
      <c r="D157" s="9" t="n">
        <v>17386.69999999999</v>
      </c>
      <c r="E157" s="9" t="n">
        <v>29980</v>
      </c>
      <c r="F157" s="9" t="n">
        <v>9979.500000000002</v>
      </c>
      <c r="H157" s="9" t="n">
        <v>37387.19999999999</v>
      </c>
      <c r="I157" s="9" t="n">
        <v>17386.69999999998</v>
      </c>
    </row>
    <row r="158">
      <c r="A158" s="9" t="n">
        <v>6</v>
      </c>
      <c r="B158" s="9" t="inlineStr">
        <is>
          <t>CORN GLUTEN MEAL</t>
        </is>
      </c>
      <c r="C158" s="9" t="inlineStr">
        <is>
          <t>KG</t>
        </is>
      </c>
      <c r="D158" s="9" t="n">
        <v>0</v>
      </c>
      <c r="E158" s="9" t="n">
        <v>50737.39999999999</v>
      </c>
      <c r="F158" s="9" t="n">
        <v>49280.2</v>
      </c>
      <c r="G158" s="9" t="n">
        <v>28080</v>
      </c>
      <c r="H158" s="9" t="n">
        <v>29537.19999999999</v>
      </c>
      <c r="I158" s="9" t="n">
        <v>0</v>
      </c>
    </row>
    <row r="159">
      <c r="A159" s="9" t="n">
        <v>7</v>
      </c>
      <c r="B159" s="9" t="inlineStr">
        <is>
          <t>MEGAFAT</t>
        </is>
      </c>
      <c r="C159" s="9" t="inlineStr">
        <is>
          <t>KG</t>
        </is>
      </c>
      <c r="D159" s="9" t="n">
        <v>0</v>
      </c>
      <c r="E159" s="9" t="n">
        <v>30613.6</v>
      </c>
      <c r="F159" s="9" t="n">
        <v>30613.6</v>
      </c>
      <c r="H159" s="9" t="n">
        <v>0</v>
      </c>
      <c r="I159" s="9" t="n">
        <v>0</v>
      </c>
    </row>
    <row r="160">
      <c r="A160" s="9" t="n">
        <v>8</v>
      </c>
      <c r="B160" s="9" t="inlineStr">
        <is>
          <t>DCP 18%</t>
        </is>
      </c>
      <c r="C160" s="9" t="inlineStr">
        <is>
          <t>KG</t>
        </is>
      </c>
      <c r="D160" s="9" t="n">
        <v>11812.9</v>
      </c>
      <c r="E160" s="9" t="n">
        <v>0</v>
      </c>
      <c r="F160" s="9" t="n">
        <v>5964.1</v>
      </c>
      <c r="H160" s="9" t="n">
        <v>5848.799999999999</v>
      </c>
      <c r="I160" s="9" t="n">
        <v>11812.9</v>
      </c>
    </row>
    <row r="161">
      <c r="A161" s="9" t="n">
        <v>9</v>
      </c>
      <c r="B161" s="9" t="inlineStr">
        <is>
          <t xml:space="preserve">LIMESTONE POWDER </t>
        </is>
      </c>
      <c r="C161" s="9" t="inlineStr">
        <is>
          <t>KG</t>
        </is>
      </c>
      <c r="D161" s="9" t="n">
        <v>0</v>
      </c>
      <c r="E161" s="9" t="n">
        <v>12106.88</v>
      </c>
      <c r="F161" s="9" t="n">
        <v>12106.88</v>
      </c>
      <c r="H161" s="9" t="n">
        <v>0</v>
      </c>
      <c r="I161" s="9" t="n">
        <v>0</v>
      </c>
    </row>
    <row r="162">
      <c r="A162" s="9" t="n">
        <v>10</v>
      </c>
      <c r="B162" s="9" t="inlineStr">
        <is>
          <t>INDUSTRY FLOUR</t>
        </is>
      </c>
      <c r="C162" s="9" t="inlineStr">
        <is>
          <t>KG</t>
        </is>
      </c>
      <c r="D162" s="9" t="n">
        <v>31869.7</v>
      </c>
      <c r="E162" s="9" t="n">
        <v>35420</v>
      </c>
      <c r="F162" s="9" t="n">
        <v>43131.39999999999</v>
      </c>
      <c r="H162" s="9" t="n">
        <v>24158.3</v>
      </c>
      <c r="I162" s="9" t="n">
        <v>31869.7</v>
      </c>
    </row>
    <row r="163">
      <c r="A163" s="9" t="n">
        <v>11</v>
      </c>
      <c r="B163" s="9" t="inlineStr">
        <is>
          <t>RICE BRAN</t>
        </is>
      </c>
      <c r="C163" s="9" t="inlineStr">
        <is>
          <t>KG</t>
        </is>
      </c>
      <c r="D163" s="9" t="n">
        <v>6658.999999999995</v>
      </c>
      <c r="E163" s="9" t="n">
        <v>68870</v>
      </c>
      <c r="F163" s="9" t="n">
        <v>32589.4</v>
      </c>
      <c r="H163" s="9" t="n">
        <v>42939.6</v>
      </c>
      <c r="I163" s="9" t="n">
        <v>6658.999999999993</v>
      </c>
    </row>
    <row r="164">
      <c r="A164" s="9" t="n">
        <v>12</v>
      </c>
      <c r="B164" s="9" t="inlineStr">
        <is>
          <t>EP 200</t>
        </is>
      </c>
      <c r="C164" s="9" t="inlineStr">
        <is>
          <t>KG</t>
        </is>
      </c>
      <c r="D164" s="9" t="n">
        <v>7150</v>
      </c>
      <c r="E164" s="9" t="n">
        <v>0</v>
      </c>
      <c r="F164" s="9" t="n">
        <v>1350</v>
      </c>
      <c r="H164" s="9" t="n">
        <v>5800</v>
      </c>
      <c r="I164" s="9" t="n">
        <v>7150</v>
      </c>
    </row>
    <row r="165">
      <c r="A165" s="9" t="n">
        <v>13</v>
      </c>
      <c r="B165" s="9" t="inlineStr">
        <is>
          <t>SOYTIDE</t>
        </is>
      </c>
      <c r="C165" s="9" t="inlineStr">
        <is>
          <t>KG</t>
        </is>
      </c>
      <c r="D165" s="9" t="n">
        <v>1847.3</v>
      </c>
      <c r="E165" s="9" t="n">
        <v>0</v>
      </c>
      <c r="F165" s="9" t="n">
        <v>1700</v>
      </c>
      <c r="G165" s="9" t="n">
        <v>-147.3</v>
      </c>
      <c r="H165" s="9" t="n">
        <v>0</v>
      </c>
      <c r="I165" s="9" t="n">
        <v>1847.3</v>
      </c>
    </row>
    <row r="166"/>
    <row r="167">
      <c r="B167" s="9" t="inlineStr">
        <is>
          <t>PREMIX &amp; ADDITIVES</t>
        </is>
      </c>
    </row>
    <row r="168">
      <c r="A168" s="9" t="n">
        <v>1</v>
      </c>
      <c r="B168" s="9" t="inlineStr">
        <is>
          <t>PREMIX 1101 (20KG)</t>
        </is>
      </c>
      <c r="C168" s="9" t="inlineStr">
        <is>
          <t>KG</t>
        </is>
      </c>
      <c r="D168" s="9" t="n">
        <v>1980</v>
      </c>
      <c r="E168" s="9" t="n">
        <v>1980</v>
      </c>
      <c r="F168" s="9" t="n">
        <v>1840</v>
      </c>
      <c r="H168" s="9" t="n">
        <v>2120</v>
      </c>
      <c r="I168" s="9" t="n">
        <v>1980</v>
      </c>
    </row>
    <row r="169">
      <c r="A169" s="9" t="n">
        <v>2</v>
      </c>
      <c r="B169" s="9" t="inlineStr">
        <is>
          <t>PREMIX 1102 (20KG)</t>
        </is>
      </c>
      <c r="C169" s="9" t="inlineStr">
        <is>
          <t>KG</t>
        </is>
      </c>
      <c r="D169" s="9" t="n">
        <v>2000</v>
      </c>
      <c r="E169" s="9" t="n">
        <v>8000</v>
      </c>
      <c r="F169" s="9" t="n">
        <v>6360</v>
      </c>
      <c r="H169" s="9" t="n">
        <v>3640</v>
      </c>
      <c r="I169" s="9" t="n">
        <v>2000</v>
      </c>
    </row>
    <row r="170">
      <c r="A170" s="9" t="n">
        <v>3</v>
      </c>
      <c r="B170" s="9" t="inlineStr">
        <is>
          <t>PREMIX 1103 (20KG)</t>
        </is>
      </c>
      <c r="C170" s="9" t="inlineStr">
        <is>
          <t>KG</t>
        </is>
      </c>
      <c r="D170" s="9" t="n">
        <v>4800</v>
      </c>
      <c r="E170" s="9" t="n">
        <v>0</v>
      </c>
      <c r="F170" s="9" t="n">
        <v>2720</v>
      </c>
      <c r="H170" s="9" t="n">
        <v>2080</v>
      </c>
      <c r="I170" s="9" t="n">
        <v>4800</v>
      </c>
    </row>
    <row r="171">
      <c r="A171" s="9" t="n">
        <v>4</v>
      </c>
      <c r="B171" s="9" t="inlineStr">
        <is>
          <t>PREMIX 8100 (20KG)</t>
        </is>
      </c>
      <c r="C171" s="9" t="inlineStr">
        <is>
          <t>KG</t>
        </is>
      </c>
      <c r="D171" s="9" t="n">
        <v>5120</v>
      </c>
      <c r="E171" s="9" t="n">
        <v>2000</v>
      </c>
      <c r="F171" s="9" t="n">
        <v>760</v>
      </c>
      <c r="H171" s="9" t="n">
        <v>6360</v>
      </c>
      <c r="I171" s="9" t="n">
        <v>5120</v>
      </c>
      <c r="J171" s="9" t="n">
        <v>318</v>
      </c>
    </row>
    <row r="172">
      <c r="A172" s="9" t="n">
        <v>5</v>
      </c>
      <c r="B172" s="9" t="inlineStr">
        <is>
          <t>PREMIX 8101 (20KG)</t>
        </is>
      </c>
      <c r="C172" s="9" t="inlineStr">
        <is>
          <t>KG</t>
        </is>
      </c>
      <c r="D172" s="9" t="n">
        <v>6540</v>
      </c>
      <c r="E172" s="9" t="n">
        <v>0</v>
      </c>
      <c r="F172" s="9" t="n">
        <v>0</v>
      </c>
      <c r="H172" s="9" t="n">
        <v>6540</v>
      </c>
      <c r="I172" s="9" t="n">
        <v>6540</v>
      </c>
    </row>
    <row r="173">
      <c r="A173" s="9" t="n">
        <v>6</v>
      </c>
      <c r="B173" s="9" t="inlineStr">
        <is>
          <t>PREMIX 8102 (20KG)</t>
        </is>
      </c>
      <c r="C173" s="9" t="inlineStr">
        <is>
          <t>KG</t>
        </is>
      </c>
      <c r="D173" s="9" t="n">
        <v>11540</v>
      </c>
      <c r="E173" s="9" t="n">
        <v>0</v>
      </c>
      <c r="F173" s="9" t="n">
        <v>0</v>
      </c>
      <c r="H173" s="9" t="n">
        <v>11540</v>
      </c>
      <c r="I173" s="9" t="n">
        <v>11540</v>
      </c>
    </row>
    <row r="174">
      <c r="A174" s="9" t="n">
        <v>7</v>
      </c>
      <c r="B174" s="9" t="inlineStr">
        <is>
          <t>PREMIX 8103 (20KG)</t>
        </is>
      </c>
      <c r="C174" s="9" t="inlineStr">
        <is>
          <t>KG</t>
        </is>
      </c>
      <c r="D174" s="9" t="n">
        <v>15120</v>
      </c>
      <c r="E174" s="9" t="n">
        <v>0</v>
      </c>
      <c r="F174" s="9" t="n">
        <v>0</v>
      </c>
      <c r="H174" s="9" t="n">
        <v>15120</v>
      </c>
      <c r="I174" s="9" t="n">
        <v>15120</v>
      </c>
    </row>
    <row r="175">
      <c r="A175" s="9" t="n">
        <v>8</v>
      </c>
      <c r="B175" s="9" t="inlineStr">
        <is>
          <t>PREMIX 8108 (20KG)</t>
        </is>
      </c>
      <c r="C175" s="9" t="inlineStr">
        <is>
          <t>KG</t>
        </is>
      </c>
      <c r="D175" s="9" t="n">
        <v>5040</v>
      </c>
      <c r="E175" s="9" t="n">
        <v>0</v>
      </c>
      <c r="F175" s="9" t="n">
        <v>3080</v>
      </c>
      <c r="H175" s="9" t="n">
        <v>1960</v>
      </c>
      <c r="I175" s="9" t="n">
        <v>5040</v>
      </c>
    </row>
    <row r="176">
      <c r="A176" s="9" t="n">
        <v>9</v>
      </c>
      <c r="B176" s="9" t="inlineStr">
        <is>
          <t>PREMIX 8109 (20KG)</t>
        </is>
      </c>
      <c r="C176" s="9" t="inlineStr">
        <is>
          <t>KG</t>
        </is>
      </c>
      <c r="D176" s="9" t="n">
        <v>9100</v>
      </c>
      <c r="E176" s="9" t="n">
        <v>0</v>
      </c>
      <c r="F176" s="9" t="n">
        <v>0</v>
      </c>
      <c r="H176" s="9" t="n">
        <v>9100</v>
      </c>
      <c r="I176" s="9" t="n">
        <v>9100</v>
      </c>
    </row>
    <row r="177">
      <c r="A177" s="9" t="n">
        <v>10</v>
      </c>
      <c r="B177" s="9" t="inlineStr">
        <is>
          <t>YENMIX 121 (20KG)</t>
        </is>
      </c>
      <c r="C177" s="9" t="inlineStr">
        <is>
          <t>KG</t>
        </is>
      </c>
      <c r="D177" s="9" t="n">
        <v>4220</v>
      </c>
      <c r="E177" s="9" t="n">
        <v>0</v>
      </c>
      <c r="F177" s="9" t="n">
        <v>1680</v>
      </c>
      <c r="H177" s="9" t="n">
        <v>2540</v>
      </c>
      <c r="I177" s="9" t="n">
        <v>4220</v>
      </c>
    </row>
    <row r="178">
      <c r="A178" s="9" t="n">
        <v>11</v>
      </c>
      <c r="B178" s="9" t="inlineStr">
        <is>
          <t>YENMIX 122 (19.50KG)</t>
        </is>
      </c>
      <c r="C178" s="9" t="inlineStr">
        <is>
          <t>KG</t>
        </is>
      </c>
      <c r="D178" s="9" t="n">
        <v>11446.5</v>
      </c>
      <c r="E178" s="9" t="n">
        <v>1950</v>
      </c>
      <c r="F178" s="9" t="n">
        <v>13377</v>
      </c>
      <c r="H178" s="9" t="n">
        <v>19.5</v>
      </c>
      <c r="I178" s="9" t="n">
        <v>11446.5</v>
      </c>
    </row>
    <row r="179">
      <c r="A179" s="9" t="n">
        <v>12</v>
      </c>
      <c r="B179" s="9" t="inlineStr">
        <is>
          <t>YENMIX 123 (18.90KG)</t>
        </is>
      </c>
      <c r="C179" s="9" t="inlineStr">
        <is>
          <t>KG</t>
        </is>
      </c>
      <c r="D179" s="9" t="n">
        <v>8996.400000000001</v>
      </c>
      <c r="E179" s="9" t="n">
        <v>0</v>
      </c>
      <c r="F179" s="9" t="n">
        <v>6917.4</v>
      </c>
      <c r="H179" s="9" t="n">
        <v>2079.000000000002</v>
      </c>
      <c r="I179" s="9" t="n">
        <v>8996.400000000001</v>
      </c>
    </row>
    <row r="180">
      <c r="A180" s="9" t="n">
        <v>13</v>
      </c>
      <c r="B180" s="9" t="inlineStr">
        <is>
          <t>YENMIX 122 (20.50KG)</t>
        </is>
      </c>
      <c r="C180" s="9" t="inlineStr">
        <is>
          <t>KG</t>
        </is>
      </c>
      <c r="D180" s="9" t="n">
        <v>0</v>
      </c>
      <c r="E180" s="9" t="n">
        <v>8610</v>
      </c>
      <c r="F180" s="9" t="n">
        <v>2460</v>
      </c>
      <c r="H180" s="9" t="n">
        <v>6150</v>
      </c>
    </row>
    <row r="181">
      <c r="A181" s="9" t="n">
        <v>14</v>
      </c>
      <c r="B181" s="9" t="inlineStr">
        <is>
          <t>YENMIX 123 (20.00KG)</t>
        </is>
      </c>
      <c r="C181" s="9" t="inlineStr">
        <is>
          <t>KG</t>
        </is>
      </c>
      <c r="D181" s="9" t="n">
        <v>0</v>
      </c>
      <c r="E181" s="9" t="n">
        <v>4000</v>
      </c>
      <c r="F181" s="9" t="n">
        <v>0</v>
      </c>
      <c r="H181" s="9" t="n">
        <v>4000</v>
      </c>
    </row>
    <row r="182">
      <c r="A182" s="9" t="n">
        <v>15</v>
      </c>
      <c r="B182" s="9" t="inlineStr">
        <is>
          <t>TOXISORB PREMIUM</t>
        </is>
      </c>
      <c r="C182" s="9" t="inlineStr">
        <is>
          <t>KG</t>
        </is>
      </c>
      <c r="D182" s="9" t="n">
        <v>4195</v>
      </c>
      <c r="E182" s="9" t="n">
        <v>0</v>
      </c>
      <c r="F182" s="9" t="n">
        <v>292</v>
      </c>
      <c r="H182" s="9" t="n">
        <v>3903</v>
      </c>
      <c r="I182" s="9" t="n">
        <v>4195</v>
      </c>
      <c r="J182" s="9" t="inlineStr">
        <is>
          <t>TOXISORB PREMIUM</t>
        </is>
      </c>
    </row>
    <row r="183">
      <c r="A183" s="9" t="n">
        <v>16</v>
      </c>
      <c r="B183" s="9" t="inlineStr">
        <is>
          <t>SODIUM HUMATE 3.8%</t>
        </is>
      </c>
      <c r="C183" s="9" t="inlineStr">
        <is>
          <t>KG</t>
        </is>
      </c>
      <c r="D183" s="9" t="n">
        <v>0</v>
      </c>
      <c r="E183" s="9" t="n">
        <v>3360</v>
      </c>
      <c r="F183" s="9" t="n">
        <v>3360</v>
      </c>
      <c r="H183" s="9" t="n">
        <v>0</v>
      </c>
      <c r="I183" s="9" t="n">
        <v>0</v>
      </c>
      <c r="J183" s="9" t="inlineStr">
        <is>
          <t>SODIUM HUMATE 3.8%</t>
        </is>
      </c>
    </row>
    <row r="184">
      <c r="A184" s="9" t="n">
        <v>17</v>
      </c>
      <c r="B184" s="9" t="inlineStr">
        <is>
          <t>SODIUM BICARBONATE</t>
        </is>
      </c>
      <c r="C184" s="9" t="inlineStr">
        <is>
          <t>KG</t>
        </is>
      </c>
      <c r="D184" s="9" t="n">
        <v>4152.5</v>
      </c>
      <c r="E184" s="9" t="n">
        <v>0</v>
      </c>
      <c r="F184" s="9" t="n">
        <v>1029.6</v>
      </c>
      <c r="H184" s="9" t="n">
        <v>3122.9</v>
      </c>
      <c r="I184" s="9" t="n">
        <v>4152.5</v>
      </c>
      <c r="J184" s="9" t="inlineStr">
        <is>
          <t>SODIUM BICARBONATE</t>
        </is>
      </c>
    </row>
    <row r="185">
      <c r="A185" s="9" t="n">
        <v>18</v>
      </c>
      <c r="B185" s="9" t="inlineStr">
        <is>
          <t>TOXIWALL</t>
        </is>
      </c>
      <c r="C185" s="9" t="inlineStr">
        <is>
          <t>KG</t>
        </is>
      </c>
      <c r="D185" s="9" t="n">
        <v>2065</v>
      </c>
      <c r="E185" s="9" t="n">
        <v>0</v>
      </c>
      <c r="F185" s="9" t="n">
        <v>928</v>
      </c>
      <c r="H185" s="9" t="n">
        <v>1137</v>
      </c>
      <c r="I185" s="9" t="n">
        <v>2065</v>
      </c>
      <c r="J185" s="9" t="inlineStr">
        <is>
          <t>TOXIWALL</t>
        </is>
      </c>
    </row>
    <row r="186">
      <c r="A186" s="9" t="n">
        <v>19</v>
      </c>
      <c r="B186" s="9" t="inlineStr">
        <is>
          <t>BMD 10%</t>
        </is>
      </c>
      <c r="C186" s="9" t="inlineStr">
        <is>
          <t>KG</t>
        </is>
      </c>
      <c r="D186" s="9" t="n">
        <v>1680.5</v>
      </c>
      <c r="E186" s="9" t="n">
        <v>0</v>
      </c>
      <c r="F186" s="9" t="n">
        <v>0</v>
      </c>
      <c r="H186" s="9" t="n">
        <v>1680.5</v>
      </c>
      <c r="I186" s="9" t="n">
        <v>1680.5</v>
      </c>
      <c r="J186" s="9" t="inlineStr">
        <is>
          <t>BMD 10%</t>
        </is>
      </c>
    </row>
    <row r="187">
      <c r="A187" s="9" t="n">
        <v>20</v>
      </c>
      <c r="B187" s="9" t="inlineStr">
        <is>
          <t>SALT</t>
        </is>
      </c>
      <c r="C187" s="9" t="inlineStr">
        <is>
          <t>KG</t>
        </is>
      </c>
      <c r="D187" s="9" t="n">
        <v>41.59999999999991</v>
      </c>
      <c r="E187" s="9" t="n">
        <v>2629</v>
      </c>
      <c r="F187" s="9" t="n">
        <v>2629</v>
      </c>
      <c r="H187" s="9" t="n">
        <v>41.59999999999991</v>
      </c>
      <c r="I187" s="9" t="n">
        <v>41.59999999999991</v>
      </c>
      <c r="J187" s="9" t="inlineStr">
        <is>
          <t>SALT</t>
        </is>
      </c>
    </row>
    <row r="188">
      <c r="A188" s="9" t="n">
        <v>21</v>
      </c>
      <c r="B188" s="9" t="inlineStr">
        <is>
          <t>VISTABET 91</t>
        </is>
      </c>
      <c r="C188" s="9" t="inlineStr">
        <is>
          <t>KG</t>
        </is>
      </c>
      <c r="D188" s="9" t="n">
        <v>2000</v>
      </c>
      <c r="E188" s="9" t="n">
        <v>0</v>
      </c>
      <c r="F188" s="9" t="n">
        <v>1018</v>
      </c>
      <c r="H188" s="9" t="n">
        <v>982</v>
      </c>
      <c r="I188" s="9" t="n">
        <v>2000</v>
      </c>
      <c r="J188" s="9" t="inlineStr">
        <is>
          <t>VISTABET 91</t>
        </is>
      </c>
    </row>
    <row r="189">
      <c r="A189" s="9" t="n">
        <v>22</v>
      </c>
      <c r="B189" s="9" t="inlineStr">
        <is>
          <t>8101 TOP UP</t>
        </is>
      </c>
      <c r="C189" s="9" t="inlineStr">
        <is>
          <t>KG</t>
        </is>
      </c>
      <c r="D189" s="9" t="n">
        <v>100</v>
      </c>
      <c r="E189" s="9" t="n">
        <v>0</v>
      </c>
      <c r="F189" s="9" t="n">
        <v>0</v>
      </c>
      <c r="H189" s="9" t="n">
        <v>100</v>
      </c>
      <c r="I189" s="9" t="n">
        <v>100</v>
      </c>
      <c r="J189" s="9" t="inlineStr">
        <is>
          <t>8101 TOP UP</t>
        </is>
      </c>
    </row>
    <row r="190">
      <c r="A190" s="9" t="n">
        <v>23</v>
      </c>
      <c r="B190" s="9" t="inlineStr">
        <is>
          <t>NORPONIN X03 (8102 TOP UP)</t>
        </is>
      </c>
      <c r="C190" s="9" t="inlineStr">
        <is>
          <t>KG</t>
        </is>
      </c>
      <c r="D190" s="9" t="n">
        <v>13.96000000000004</v>
      </c>
      <c r="E190" s="9" t="n">
        <v>0</v>
      </c>
      <c r="F190" s="9" t="n">
        <v>0</v>
      </c>
      <c r="H190" s="9" t="n">
        <v>13.96000000000004</v>
      </c>
      <c r="I190" s="9" t="n">
        <v>13.96000000000004</v>
      </c>
      <c r="J190" s="9" t="inlineStr">
        <is>
          <t>NORPONIN X03 (8102 TOP UP)</t>
        </is>
      </c>
    </row>
    <row r="191">
      <c r="A191" s="9" t="n">
        <v>24</v>
      </c>
      <c r="B191" s="9" t="inlineStr">
        <is>
          <t>8102 TOP UP</t>
        </is>
      </c>
      <c r="C191" s="9" t="inlineStr">
        <is>
          <t>KG</t>
        </is>
      </c>
      <c r="D191" s="9" t="n">
        <v>1212</v>
      </c>
      <c r="E191" s="9" t="n">
        <v>0</v>
      </c>
      <c r="F191" s="9" t="n">
        <v>616</v>
      </c>
      <c r="H191" s="9" t="n">
        <v>596</v>
      </c>
      <c r="I191" s="9" t="n">
        <v>1212</v>
      </c>
      <c r="J191" s="9" t="inlineStr">
        <is>
          <t>8102 TOP UP</t>
        </is>
      </c>
    </row>
    <row r="192">
      <c r="A192" s="9" t="n">
        <v>25</v>
      </c>
      <c r="B192" s="9" t="inlineStr">
        <is>
          <t>8103 TOP UP</t>
        </is>
      </c>
      <c r="C192" s="9" t="inlineStr">
        <is>
          <t>KG</t>
        </is>
      </c>
      <c r="D192" s="9" t="n">
        <v>0</v>
      </c>
      <c r="E192" s="9" t="n">
        <v>400</v>
      </c>
      <c r="F192" s="9" t="n">
        <v>0</v>
      </c>
      <c r="H192" s="9" t="n">
        <v>400</v>
      </c>
      <c r="J192" s="9" t="inlineStr">
        <is>
          <t>L-ARGININE</t>
        </is>
      </c>
    </row>
    <row r="193">
      <c r="A193" s="9" t="n">
        <v>26</v>
      </c>
      <c r="B193" s="9" t="inlineStr">
        <is>
          <t>L-ARGININE</t>
        </is>
      </c>
      <c r="C193" s="9" t="inlineStr">
        <is>
          <t>KG</t>
        </is>
      </c>
      <c r="D193" s="9" t="n">
        <v>207.6</v>
      </c>
      <c r="E193" s="9" t="n">
        <v>0</v>
      </c>
      <c r="F193" s="9" t="n">
        <v>0</v>
      </c>
      <c r="H193" s="9" t="n">
        <v>207.6</v>
      </c>
      <c r="I193" s="9" t="n">
        <v>207.6</v>
      </c>
      <c r="J193" s="9" t="inlineStr">
        <is>
          <t>DL-METHIONINE</t>
        </is>
      </c>
    </row>
    <row r="194">
      <c r="A194" s="9" t="n">
        <v>27</v>
      </c>
      <c r="B194" s="9" t="inlineStr">
        <is>
          <t>DL-METHIONINE</t>
        </is>
      </c>
      <c r="C194" s="9" t="inlineStr">
        <is>
          <t>KG</t>
        </is>
      </c>
      <c r="D194" s="9" t="n">
        <v>197.04</v>
      </c>
      <c r="E194" s="9" t="n">
        <v>0</v>
      </c>
      <c r="F194" s="9" t="n">
        <v>50</v>
      </c>
      <c r="H194" s="9" t="n">
        <v>147.04</v>
      </c>
      <c r="I194" s="9" t="n">
        <v>197.04</v>
      </c>
      <c r="J194" s="9" t="inlineStr">
        <is>
          <t>L-THREONINE</t>
        </is>
      </c>
    </row>
    <row r="195">
      <c r="A195" s="9" t="n">
        <v>28</v>
      </c>
      <c r="B195" s="9" t="inlineStr">
        <is>
          <t>L-THREONINE</t>
        </is>
      </c>
      <c r="C195" s="9" t="inlineStr">
        <is>
          <t>KG</t>
        </is>
      </c>
      <c r="D195" s="9" t="n">
        <v>46.8</v>
      </c>
      <c r="E195" s="9" t="n">
        <v>0</v>
      </c>
      <c r="F195" s="9" t="n">
        <v>0</v>
      </c>
      <c r="H195" s="9" t="n">
        <v>46.8</v>
      </c>
      <c r="I195" s="9" t="n">
        <v>46.8</v>
      </c>
    </row>
    <row r="196">
      <c r="A196" s="9" t="n">
        <v>29</v>
      </c>
      <c r="B196" s="9" t="inlineStr">
        <is>
          <t>FAECES DRY</t>
        </is>
      </c>
      <c r="C196" s="9" t="inlineStr">
        <is>
          <t>KG</t>
        </is>
      </c>
      <c r="D196" s="9" t="n">
        <v>0</v>
      </c>
      <c r="E196" s="9" t="n">
        <v>125</v>
      </c>
      <c r="F196" s="9" t="n">
        <v>100.8</v>
      </c>
      <c r="H196" s="9" t="n">
        <v>24.2</v>
      </c>
    </row>
    <row r="197">
      <c r="A197" s="9" t="n">
        <v>30</v>
      </c>
      <c r="B197" s="9" t="inlineStr">
        <is>
          <t>ECOBIOL</t>
        </is>
      </c>
      <c r="C197" s="9" t="inlineStr">
        <is>
          <t>KG</t>
        </is>
      </c>
      <c r="D197" s="9" t="n">
        <v>0</v>
      </c>
      <c r="E197" s="9" t="n">
        <v>200</v>
      </c>
      <c r="F197" s="9" t="n">
        <v>168</v>
      </c>
      <c r="H197" s="9" t="n">
        <v>32</v>
      </c>
    </row>
    <row r="198"/>
    <row r="199">
      <c r="B199" s="9" t="inlineStr">
        <is>
          <t>PACKING MATERIALS</t>
        </is>
      </c>
    </row>
    <row r="200">
      <c r="A200" s="9" t="n">
        <v>1</v>
      </c>
      <c r="B200" s="9" t="inlineStr">
        <is>
          <t>WOVEN BAG (1101) - BLUE 50KG</t>
        </is>
      </c>
      <c r="C200" s="9" t="inlineStr">
        <is>
          <t>PCS</t>
        </is>
      </c>
      <c r="D200" s="9" t="n">
        <v>3889</v>
      </c>
      <c r="E200" s="9" t="n">
        <v>0</v>
      </c>
      <c r="F200" s="9" t="n">
        <v>1572</v>
      </c>
      <c r="H200" s="9" t="n">
        <v>2317</v>
      </c>
    </row>
    <row r="201">
      <c r="A201" s="9" t="n">
        <v>2</v>
      </c>
      <c r="B201" s="9" t="inlineStr">
        <is>
          <t>WOVEN BAG (1102) - GREEN 50KG</t>
        </is>
      </c>
      <c r="C201" s="9" t="inlineStr">
        <is>
          <t>PCS</t>
        </is>
      </c>
      <c r="D201" s="9" t="n">
        <v>0</v>
      </c>
      <c r="E201" s="9" t="n">
        <v>8000</v>
      </c>
      <c r="F201" s="9" t="n">
        <v>7224</v>
      </c>
      <c r="H201" s="9" t="n">
        <v>776</v>
      </c>
    </row>
    <row r="202">
      <c r="A202" s="9" t="n">
        <v>3</v>
      </c>
      <c r="B202" s="9" t="inlineStr">
        <is>
          <t>WOVEN BAG (1103) - RED 50KG</t>
        </is>
      </c>
      <c r="C202" s="9" t="inlineStr">
        <is>
          <t>PCS</t>
        </is>
      </c>
      <c r="D202" s="9" t="n">
        <v>6349</v>
      </c>
      <c r="E202" s="9" t="n">
        <v>8519</v>
      </c>
      <c r="F202" s="9" t="n">
        <v>1606</v>
      </c>
      <c r="G202" s="9" t="n">
        <v>193</v>
      </c>
      <c r="H202" s="9" t="n">
        <v>13455</v>
      </c>
    </row>
    <row r="203">
      <c r="A203" s="9" t="n">
        <v>4</v>
      </c>
      <c r="B203" s="9" t="inlineStr">
        <is>
          <t>PLAIN BAG 26" X 39" (50KG)</t>
        </is>
      </c>
      <c r="C203" s="9" t="inlineStr">
        <is>
          <t>PCS</t>
        </is>
      </c>
      <c r="D203" s="9" t="n">
        <v>5989</v>
      </c>
      <c r="E203" s="9" t="n">
        <v>2000</v>
      </c>
      <c r="F203" s="9" t="n">
        <v>6508</v>
      </c>
      <c r="H203" s="9" t="n">
        <v>1481</v>
      </c>
    </row>
    <row r="204">
      <c r="A204" s="9" t="n">
        <v>5</v>
      </c>
      <c r="B204" s="9" t="inlineStr">
        <is>
          <t>WOVEN BAG (8101) - KHAKI 50KG</t>
        </is>
      </c>
      <c r="C204" s="9" t="inlineStr">
        <is>
          <t>PCS</t>
        </is>
      </c>
      <c r="D204" s="9" t="n">
        <v>1901</v>
      </c>
      <c r="E204" s="9" t="n">
        <v>0</v>
      </c>
      <c r="F204" s="9" t="n">
        <v>0</v>
      </c>
      <c r="H204" s="9" t="n">
        <v>1901</v>
      </c>
    </row>
    <row r="205">
      <c r="A205" s="9" t="n">
        <v>6</v>
      </c>
      <c r="B205" s="9" t="inlineStr">
        <is>
          <t>WOVEN BAG (8102) - SKY BLUE 50KG</t>
        </is>
      </c>
      <c r="C205" s="9" t="inlineStr">
        <is>
          <t>PCS</t>
        </is>
      </c>
      <c r="D205" s="9" t="n">
        <v>6459</v>
      </c>
      <c r="E205" s="9" t="n">
        <v>0</v>
      </c>
      <c r="F205" s="9" t="n">
        <v>0</v>
      </c>
      <c r="H205" s="9" t="n">
        <v>6459</v>
      </c>
    </row>
    <row r="206"/>
    <row r="207">
      <c r="B207" s="9" t="inlineStr">
        <is>
          <t>TOTAL</t>
        </is>
      </c>
      <c r="D207" s="9" t="n">
        <v>276608.6</v>
      </c>
      <c r="E207" s="9" t="n">
        <v>1749860.88</v>
      </c>
      <c r="F207" s="9" t="n">
        <v>1521828.08</v>
      </c>
      <c r="G207" s="9" t="n">
        <v>28795.7</v>
      </c>
      <c r="H207" s="9" t="n">
        <v>533437.0999999999</v>
      </c>
    </row>
    <row r="208"/>
    <row r="209"/>
    <row r="210">
      <c r="B210" s="9" t="inlineStr">
        <is>
          <t>HARUMI Stock - APR 2026</t>
        </is>
      </c>
    </row>
    <row r="211"/>
    <row r="212">
      <c r="B212" s="9" t="inlineStr">
        <is>
          <t>Remark for adjustment (+)</t>
        </is>
      </c>
    </row>
    <row r="213">
      <c r="B213" s="9" t="inlineStr">
        <is>
          <t>SOYBEAN MEAL (ARG)</t>
        </is>
      </c>
      <c r="C213" s="9" t="inlineStr">
        <is>
          <t>KG</t>
        </is>
      </c>
      <c r="D213" s="9" t="n">
        <v>670</v>
      </c>
    </row>
    <row r="214">
      <c r="B214" s="9" t="inlineStr">
        <is>
          <t>WOVEN BAG (1103) - RED 50KG</t>
        </is>
      </c>
      <c r="C214" s="9" t="inlineStr">
        <is>
          <t>PCS</t>
        </is>
      </c>
      <c r="D214" s="9" t="n">
        <v>193</v>
      </c>
    </row>
    <row r="215">
      <c r="B215" s="9" t="inlineStr">
        <is>
          <t>Reason: Cut off</t>
        </is>
      </c>
    </row>
    <row r="216"/>
    <row r="217">
      <c r="B217" s="9" t="inlineStr">
        <is>
          <t>CORN GLUTEN MEAL</t>
        </is>
      </c>
      <c r="C217" s="9" t="inlineStr">
        <is>
          <t>KG</t>
        </is>
      </c>
      <c r="D217" s="9" t="n">
        <v>28080</v>
      </c>
    </row>
    <row r="218">
      <c r="B218" s="9" t="inlineStr">
        <is>
          <t>Reason: Stock Transferred from Xun Ta</t>
        </is>
      </c>
    </row>
    <row r="219">
      <c r="B219" s="9" t="inlineStr">
        <is>
          <t>PPSB00827/DO16909                  16/4/2026</t>
        </is>
      </c>
    </row>
    <row r="220"/>
    <row r="221">
      <c r="B221" s="9" t="inlineStr">
        <is>
          <t>Remark for adjustment (-)</t>
        </is>
      </c>
    </row>
    <row r="222">
      <c r="B222" s="9" t="inlineStr">
        <is>
          <t>SOYTIDE</t>
        </is>
      </c>
      <c r="C222" s="9" t="inlineStr">
        <is>
          <t>KG</t>
        </is>
      </c>
      <c r="D222" s="9" t="n">
        <v>-147.3</v>
      </c>
    </row>
    <row r="223">
      <c r="B223" s="9" t="inlineStr">
        <is>
          <t>Reason: Cut off</t>
        </is>
      </c>
    </row>
    <row r="224"/>
    <row r="225"/>
    <row r="226"/>
    <row r="227"/>
    <row r="228">
      <c r="B228" s="9" t="inlineStr">
        <is>
          <t>Prepared by: ______________</t>
        </is>
      </c>
      <c r="G228" s="9" t="inlineStr">
        <is>
          <t xml:space="preserve">   Approved by: ______________</t>
        </is>
      </c>
    </row>
    <row r="229"/>
    <row r="230"/>
    <row r="231">
      <c r="H231" s="9" t="inlineStr">
        <is>
          <t>Revised Date: 3/6/2026</t>
        </is>
      </c>
      <c r="I231" s="9" t="inlineStr">
        <is>
          <t>NOT Highlighted</t>
        </is>
      </c>
    </row>
    <row r="232">
      <c r="B232" s="9" t="inlineStr">
        <is>
          <t>HARUMI Stock - APR 2026</t>
        </is>
      </c>
    </row>
    <row r="233">
      <c r="A233" s="9" t="inlineStr">
        <is>
          <t>No</t>
        </is>
      </c>
      <c r="B233" s="9" t="inlineStr">
        <is>
          <t>Description</t>
        </is>
      </c>
      <c r="C233" s="9" t="inlineStr">
        <is>
          <t>UOM</t>
        </is>
      </c>
      <c r="D233" s="9" t="inlineStr">
        <is>
          <t>Opening</t>
        </is>
      </c>
      <c r="E233" s="9" t="inlineStr">
        <is>
          <t>Receiving</t>
        </is>
      </c>
      <c r="F233" s="9" t="inlineStr">
        <is>
          <t>Usage</t>
        </is>
      </c>
      <c r="G233" s="9" t="inlineStr">
        <is>
          <t>Adjustment</t>
        </is>
      </c>
      <c r="H233" s="9" t="inlineStr">
        <is>
          <t>Bal (KG)</t>
        </is>
      </c>
    </row>
    <row r="234">
      <c r="B234" s="9" t="inlineStr">
        <is>
          <t>RAW MATERIAL</t>
        </is>
      </c>
    </row>
    <row r="235">
      <c r="A235" s="9" t="n">
        <v>1</v>
      </c>
      <c r="B235" s="9" t="inlineStr">
        <is>
          <t>MAIZE/CORN</t>
        </is>
      </c>
      <c r="C235" s="9" t="inlineStr">
        <is>
          <t>KG</t>
        </is>
      </c>
      <c r="D235" s="9" t="n">
        <v>27839.99999999996</v>
      </c>
      <c r="E235" s="9" t="n">
        <v>940890</v>
      </c>
      <c r="F235" s="9" t="n">
        <v>800361.6000000001</v>
      </c>
      <c r="H235" s="9" t="n">
        <v>168368.3999999999</v>
      </c>
      <c r="I235" s="9" t="n">
        <v>27840</v>
      </c>
    </row>
    <row r="236">
      <c r="A236" s="9" t="n">
        <v>2</v>
      </c>
      <c r="B236" s="9" t="inlineStr">
        <is>
          <t>SOYBEAN MEAL (ARG)</t>
        </is>
      </c>
      <c r="C236" s="9" t="inlineStr">
        <is>
          <t>KG</t>
        </is>
      </c>
      <c r="D236" s="9" t="n">
        <v>-669.99999999993</v>
      </c>
      <c r="E236" s="9" t="n">
        <v>396530</v>
      </c>
      <c r="F236" s="9" t="n">
        <v>333254.2</v>
      </c>
      <c r="G236" s="9" t="n">
        <v>670</v>
      </c>
      <c r="H236" s="9" t="n">
        <v>63275.8000000001</v>
      </c>
      <c r="I236" s="9" t="n">
        <v>-669.99999999993</v>
      </c>
    </row>
    <row r="237">
      <c r="A237" s="9" t="n">
        <v>3</v>
      </c>
      <c r="B237" s="9" t="inlineStr">
        <is>
          <t>SOYBEAN FULL FAT</t>
        </is>
      </c>
      <c r="C237" s="9" t="inlineStr">
        <is>
          <t>KG</t>
        </is>
      </c>
      <c r="D237" s="9" t="n">
        <v>20018.39999999997</v>
      </c>
      <c r="E237" s="9" t="n">
        <v>105360</v>
      </c>
      <c r="F237" s="9" t="n">
        <v>94361.2</v>
      </c>
      <c r="H237" s="9" t="n">
        <v>31017.19999999997</v>
      </c>
      <c r="I237" s="9" t="n">
        <v>20018.39999999998</v>
      </c>
    </row>
    <row r="238">
      <c r="A238" s="9" t="n">
        <v>4</v>
      </c>
      <c r="B238" s="9" t="inlineStr">
        <is>
          <t>WHEAT POLLARD</t>
        </is>
      </c>
      <c r="C238" s="9" t="inlineStr">
        <is>
          <t>KG</t>
        </is>
      </c>
      <c r="D238" s="9" t="n">
        <v>26292.70000000002</v>
      </c>
      <c r="E238" s="9" t="n">
        <v>27580</v>
      </c>
      <c r="F238" s="9" t="n">
        <v>40840.2</v>
      </c>
      <c r="H238" s="9" t="n">
        <v>13032.50000000001</v>
      </c>
      <c r="I238" s="9" t="n">
        <v>26292.70000000002</v>
      </c>
    </row>
    <row r="239">
      <c r="A239" s="9" t="n">
        <v>5</v>
      </c>
      <c r="B239" s="9" t="inlineStr">
        <is>
          <t>MEAT AND BONE MEAL</t>
        </is>
      </c>
      <c r="C239" s="9" t="inlineStr">
        <is>
          <t>KG</t>
        </is>
      </c>
      <c r="D239" s="9" t="n">
        <v>17386.69999999999</v>
      </c>
      <c r="E239" s="9" t="n">
        <v>29980</v>
      </c>
      <c r="F239" s="9" t="n">
        <v>9979.500000000002</v>
      </c>
      <c r="H239" s="9" t="n">
        <v>37387.19999999999</v>
      </c>
      <c r="I239" s="9" t="n">
        <v>17386.69999999998</v>
      </c>
    </row>
    <row r="240">
      <c r="A240" s="9" t="n">
        <v>6</v>
      </c>
      <c r="B240" s="9" t="inlineStr">
        <is>
          <t>CORN GLUTEN MEAL</t>
        </is>
      </c>
      <c r="C240" s="9" t="inlineStr">
        <is>
          <t>KG</t>
        </is>
      </c>
      <c r="D240" s="9" t="n">
        <v>0</v>
      </c>
      <c r="E240" s="9" t="n">
        <v>50737.39999999999</v>
      </c>
      <c r="F240" s="9" t="n">
        <v>49280.2</v>
      </c>
      <c r="G240" s="9" t="n">
        <v>28080</v>
      </c>
      <c r="H240" s="9" t="n">
        <v>29537.19999999999</v>
      </c>
      <c r="I240" s="9" t="n">
        <v>0</v>
      </c>
    </row>
    <row r="241">
      <c r="A241" s="9" t="n">
        <v>7</v>
      </c>
      <c r="B241" s="9" t="inlineStr">
        <is>
          <t>MEGAFAT</t>
        </is>
      </c>
      <c r="C241" s="9" t="inlineStr">
        <is>
          <t>KG</t>
        </is>
      </c>
      <c r="D241" s="9" t="n">
        <v>0</v>
      </c>
      <c r="E241" s="9" t="n">
        <v>30613.6</v>
      </c>
      <c r="F241" s="9" t="n">
        <v>30613.6</v>
      </c>
      <c r="H241" s="9" t="n">
        <v>0</v>
      </c>
      <c r="I241" s="9" t="n">
        <v>0</v>
      </c>
    </row>
    <row r="242">
      <c r="A242" s="9" t="n">
        <v>8</v>
      </c>
      <c r="B242" s="9" t="inlineStr">
        <is>
          <t>DCP 18%</t>
        </is>
      </c>
      <c r="C242" s="9" t="inlineStr">
        <is>
          <t>KG</t>
        </is>
      </c>
      <c r="D242" s="9" t="n">
        <v>11812.9</v>
      </c>
      <c r="E242" s="9" t="n">
        <v>0</v>
      </c>
      <c r="F242" s="9" t="n">
        <v>5964.1</v>
      </c>
      <c r="H242" s="9" t="n">
        <v>5848.799999999999</v>
      </c>
      <c r="I242" s="9" t="n">
        <v>11812.9</v>
      </c>
    </row>
    <row r="243">
      <c r="A243" s="9" t="n">
        <v>9</v>
      </c>
      <c r="B243" s="9" t="inlineStr">
        <is>
          <t xml:space="preserve">LIMESTONE POWDER </t>
        </is>
      </c>
      <c r="C243" s="9" t="inlineStr">
        <is>
          <t>KG</t>
        </is>
      </c>
      <c r="D243" s="9" t="n">
        <v>0</v>
      </c>
      <c r="E243" s="9" t="n">
        <v>12106.88</v>
      </c>
      <c r="F243" s="9" t="n">
        <v>12106.88</v>
      </c>
      <c r="H243" s="9" t="n">
        <v>0</v>
      </c>
      <c r="I243" s="9" t="n">
        <v>0</v>
      </c>
    </row>
    <row r="244">
      <c r="A244" s="9" t="n">
        <v>10</v>
      </c>
      <c r="B244" s="9" t="inlineStr">
        <is>
          <t>INDUSTRY FLOUR</t>
        </is>
      </c>
      <c r="C244" s="9" t="inlineStr">
        <is>
          <t>KG</t>
        </is>
      </c>
      <c r="D244" s="9" t="n">
        <v>31869.7</v>
      </c>
      <c r="E244" s="9" t="n">
        <v>35420</v>
      </c>
      <c r="F244" s="9" t="n">
        <v>43131.39999999999</v>
      </c>
      <c r="H244" s="9" t="n">
        <v>24158.3</v>
      </c>
      <c r="I244" s="9" t="n">
        <v>31869.7</v>
      </c>
    </row>
    <row r="245">
      <c r="A245" s="9" t="n">
        <v>11</v>
      </c>
      <c r="B245" s="9" t="inlineStr">
        <is>
          <t>RICE BRAN</t>
        </is>
      </c>
      <c r="C245" s="9" t="inlineStr">
        <is>
          <t>KG</t>
        </is>
      </c>
      <c r="D245" s="9" t="n">
        <v>6658.999999999995</v>
      </c>
      <c r="E245" s="9" t="n">
        <v>68870</v>
      </c>
      <c r="F245" s="9" t="n">
        <v>32589.4</v>
      </c>
      <c r="H245" s="9" t="n">
        <v>42939.6</v>
      </c>
      <c r="I245" s="9" t="n">
        <v>6658.999999999993</v>
      </c>
    </row>
    <row r="246">
      <c r="A246" s="9" t="n">
        <v>12</v>
      </c>
      <c r="B246" s="9" t="inlineStr">
        <is>
          <t>EP 200</t>
        </is>
      </c>
      <c r="C246" s="9" t="inlineStr">
        <is>
          <t>KG</t>
        </is>
      </c>
      <c r="D246" s="9" t="n">
        <v>7150</v>
      </c>
      <c r="E246" s="9" t="n">
        <v>0</v>
      </c>
      <c r="F246" s="9" t="n">
        <v>1350</v>
      </c>
      <c r="H246" s="9" t="n">
        <v>5800</v>
      </c>
      <c r="I246" s="9" t="n">
        <v>7150</v>
      </c>
    </row>
    <row r="247">
      <c r="A247" s="9" t="n">
        <v>13</v>
      </c>
      <c r="B247" s="9" t="inlineStr">
        <is>
          <t>SOYTIDE</t>
        </is>
      </c>
      <c r="C247" s="9" t="inlineStr">
        <is>
          <t>KG</t>
        </is>
      </c>
      <c r="D247" s="9" t="n">
        <v>1847.3</v>
      </c>
      <c r="E247" s="9" t="n">
        <v>0</v>
      </c>
      <c r="F247" s="9" t="n">
        <v>1700</v>
      </c>
      <c r="G247" s="9" t="n">
        <v>-147.3</v>
      </c>
      <c r="H247" s="9" t="n">
        <v>0</v>
      </c>
      <c r="I247" s="9" t="n">
        <v>1847.3</v>
      </c>
    </row>
    <row r="248"/>
    <row r="249">
      <c r="B249" s="9" t="inlineStr">
        <is>
          <t>PREMIX &amp; ADDITIVES</t>
        </is>
      </c>
    </row>
    <row r="250">
      <c r="A250" s="9" t="n">
        <v>1</v>
      </c>
      <c r="B250" s="9" t="inlineStr">
        <is>
          <t>PREMIX 1101 (20KG)</t>
        </is>
      </c>
      <c r="C250" s="9" t="inlineStr">
        <is>
          <t>KG</t>
        </is>
      </c>
      <c r="D250" s="9" t="n">
        <v>1980</v>
      </c>
      <c r="E250" s="9" t="n">
        <v>1980</v>
      </c>
      <c r="F250" s="9" t="n">
        <v>1840</v>
      </c>
      <c r="H250" s="9" t="n">
        <v>2120</v>
      </c>
      <c r="I250" s="9" t="n">
        <v>1980</v>
      </c>
    </row>
    <row r="251">
      <c r="A251" s="9" t="n">
        <v>2</v>
      </c>
      <c r="B251" s="9" t="inlineStr">
        <is>
          <t>PREMIX 1102 (20KG)</t>
        </is>
      </c>
      <c r="C251" s="9" t="inlineStr">
        <is>
          <t>KG</t>
        </is>
      </c>
      <c r="D251" s="9" t="n">
        <v>2000</v>
      </c>
      <c r="E251" s="9" t="n">
        <v>8000</v>
      </c>
      <c r="F251" s="9" t="n">
        <v>6360</v>
      </c>
      <c r="H251" s="9" t="n">
        <v>3640</v>
      </c>
      <c r="I251" s="9" t="n">
        <v>2000</v>
      </c>
    </row>
    <row r="252">
      <c r="A252" s="9" t="n">
        <v>3</v>
      </c>
      <c r="B252" s="9" t="inlineStr">
        <is>
          <t>PREMIX 1103 (20KG)</t>
        </is>
      </c>
      <c r="C252" s="9" t="inlineStr">
        <is>
          <t>KG</t>
        </is>
      </c>
      <c r="D252" s="9" t="n">
        <v>4800</v>
      </c>
      <c r="E252" s="9" t="n">
        <v>0</v>
      </c>
      <c r="F252" s="9" t="n">
        <v>2720</v>
      </c>
      <c r="H252" s="9" t="n">
        <v>2080</v>
      </c>
      <c r="I252" s="9" t="n">
        <v>4800</v>
      </c>
    </row>
    <row r="253">
      <c r="A253" s="9" t="n">
        <v>4</v>
      </c>
      <c r="B253" s="9" t="inlineStr">
        <is>
          <t>PREMIX 8100 (20KG)</t>
        </is>
      </c>
      <c r="C253" s="9" t="inlineStr">
        <is>
          <t>KG</t>
        </is>
      </c>
      <c r="D253" s="9" t="n">
        <v>5120</v>
      </c>
      <c r="E253" s="9" t="n">
        <v>2000</v>
      </c>
      <c r="F253" s="9" t="n">
        <v>760</v>
      </c>
      <c r="H253" s="9" t="n">
        <v>6360</v>
      </c>
      <c r="I253" s="9" t="n">
        <v>5120</v>
      </c>
    </row>
    <row r="254">
      <c r="A254" s="9" t="n">
        <v>5</v>
      </c>
      <c r="B254" s="9" t="inlineStr">
        <is>
          <t>PREMIX 8101 (20KG)</t>
        </is>
      </c>
      <c r="C254" s="9" t="inlineStr">
        <is>
          <t>KG</t>
        </is>
      </c>
      <c r="D254" s="9" t="n">
        <v>6540</v>
      </c>
      <c r="E254" s="9" t="n">
        <v>0</v>
      </c>
      <c r="F254" s="9" t="n">
        <v>0</v>
      </c>
      <c r="H254" s="9" t="n">
        <v>6540</v>
      </c>
      <c r="I254" s="9" t="n">
        <v>6540</v>
      </c>
    </row>
    <row r="255">
      <c r="A255" s="9" t="n">
        <v>6</v>
      </c>
      <c r="B255" s="9" t="inlineStr">
        <is>
          <t>PREMIX 8102 (20KG)</t>
        </is>
      </c>
      <c r="C255" s="9" t="inlineStr">
        <is>
          <t>KG</t>
        </is>
      </c>
      <c r="D255" s="9" t="n">
        <v>11540</v>
      </c>
      <c r="E255" s="9" t="n">
        <v>0</v>
      </c>
      <c r="F255" s="9" t="n">
        <v>0</v>
      </c>
      <c r="H255" s="9" t="n">
        <v>11540</v>
      </c>
      <c r="I255" s="9" t="n">
        <v>11540</v>
      </c>
    </row>
    <row r="256">
      <c r="A256" s="9" t="n">
        <v>7</v>
      </c>
      <c r="B256" s="9" t="inlineStr">
        <is>
          <t>PREMIX 8103 (20KG)</t>
        </is>
      </c>
      <c r="C256" s="9" t="inlineStr">
        <is>
          <t>KG</t>
        </is>
      </c>
      <c r="D256" s="9" t="n">
        <v>15120</v>
      </c>
      <c r="E256" s="9" t="n">
        <v>0</v>
      </c>
      <c r="F256" s="9" t="n">
        <v>0</v>
      </c>
      <c r="H256" s="9" t="n">
        <v>15120</v>
      </c>
      <c r="I256" s="9" t="n">
        <v>15120</v>
      </c>
    </row>
    <row r="257">
      <c r="A257" s="9" t="n">
        <v>8</v>
      </c>
      <c r="B257" s="9" t="inlineStr">
        <is>
          <t>PREMIX 8108 (20KG)</t>
        </is>
      </c>
      <c r="C257" s="9" t="inlineStr">
        <is>
          <t>KG</t>
        </is>
      </c>
      <c r="D257" s="9" t="n">
        <v>5040</v>
      </c>
      <c r="E257" s="9" t="n">
        <v>0</v>
      </c>
      <c r="F257" s="9" t="n">
        <v>3080</v>
      </c>
      <c r="H257" s="9" t="n">
        <v>1960</v>
      </c>
      <c r="I257" s="9" t="n">
        <v>5040</v>
      </c>
    </row>
    <row r="258">
      <c r="A258" s="9" t="n">
        <v>9</v>
      </c>
      <c r="B258" s="9" t="inlineStr">
        <is>
          <t>PREMIX 8109 (20KG)</t>
        </is>
      </c>
      <c r="C258" s="9" t="inlineStr">
        <is>
          <t>KG</t>
        </is>
      </c>
      <c r="D258" s="9" t="n">
        <v>9100</v>
      </c>
      <c r="E258" s="9" t="n">
        <v>0</v>
      </c>
      <c r="F258" s="9" t="n">
        <v>0</v>
      </c>
      <c r="H258" s="9" t="n">
        <v>9100</v>
      </c>
      <c r="I258" s="9" t="n">
        <v>9100</v>
      </c>
    </row>
    <row r="259">
      <c r="A259" s="9" t="n">
        <v>10</v>
      </c>
      <c r="B259" s="9" t="inlineStr">
        <is>
          <t>YENMIX 121 (20KG)</t>
        </is>
      </c>
      <c r="C259" s="9" t="inlineStr">
        <is>
          <t>KG</t>
        </is>
      </c>
      <c r="D259" s="9" t="n">
        <v>4220</v>
      </c>
      <c r="E259" s="9" t="n">
        <v>0</v>
      </c>
      <c r="F259" s="9" t="n">
        <v>1680</v>
      </c>
      <c r="H259" s="9" t="n">
        <v>2540</v>
      </c>
      <c r="I259" s="9" t="n">
        <v>4220</v>
      </c>
      <c r="L259" s="9" t="n">
        <v>127</v>
      </c>
    </row>
    <row r="260">
      <c r="A260" s="9" t="n">
        <v>11</v>
      </c>
      <c r="B260" s="9" t="inlineStr">
        <is>
          <t>YENMIX 122 (19.50KG)</t>
        </is>
      </c>
      <c r="C260" s="9" t="inlineStr">
        <is>
          <t>KG</t>
        </is>
      </c>
      <c r="D260" s="9" t="n">
        <v>11446.5</v>
      </c>
      <c r="E260" s="9" t="n">
        <v>1950</v>
      </c>
      <c r="F260" s="9" t="n">
        <v>13377</v>
      </c>
      <c r="H260" s="9" t="n">
        <v>19.5</v>
      </c>
      <c r="I260" s="9" t="n">
        <v>11446.5</v>
      </c>
      <c r="J260" s="9" t="n">
        <v>13377</v>
      </c>
      <c r="K260" s="9" t="inlineStr">
        <is>
          <t>USAGE</t>
        </is>
      </c>
      <c r="L260" s="9" t="n">
        <v>1</v>
      </c>
    </row>
    <row r="261">
      <c r="A261" s="9" t="n">
        <v>12</v>
      </c>
      <c r="B261" s="9" t="inlineStr">
        <is>
          <t>YENMIX 123 (18.90KG)</t>
        </is>
      </c>
      <c r="C261" s="9" t="inlineStr">
        <is>
          <t>KG</t>
        </is>
      </c>
      <c r="D261" s="9" t="n">
        <v>8996.400000000001</v>
      </c>
      <c r="E261" s="9" t="n">
        <v>0</v>
      </c>
      <c r="F261" s="9" t="n">
        <v>6917.4</v>
      </c>
      <c r="H261" s="9" t="n">
        <v>2079.000000000002</v>
      </c>
      <c r="I261" s="9" t="n">
        <v>8996.400000000001</v>
      </c>
      <c r="J261" s="9" t="n">
        <v>6917.4</v>
      </c>
      <c r="K261" s="9" t="inlineStr">
        <is>
          <t>USAGE</t>
        </is>
      </c>
      <c r="L261" s="9" t="n">
        <v>110.0000000000001</v>
      </c>
    </row>
    <row r="262">
      <c r="A262" s="9" t="n">
        <v>13</v>
      </c>
      <c r="B262" s="9" t="inlineStr">
        <is>
          <t>YENMIX 122 (20.50KG)</t>
        </is>
      </c>
      <c r="C262" s="9" t="inlineStr">
        <is>
          <t>KG</t>
        </is>
      </c>
      <c r="D262" s="9" t="n">
        <v>0</v>
      </c>
      <c r="E262" s="9" t="n">
        <v>8610</v>
      </c>
      <c r="F262" s="9" t="n">
        <v>2460</v>
      </c>
      <c r="H262" s="9" t="n">
        <v>6150</v>
      </c>
      <c r="L262" s="9" t="n">
        <v>300</v>
      </c>
    </row>
    <row r="263">
      <c r="A263" s="9" t="n">
        <v>14</v>
      </c>
      <c r="B263" s="9" t="inlineStr">
        <is>
          <t>YENMIX 123 (20.00KG)</t>
        </is>
      </c>
      <c r="C263" s="9" t="inlineStr">
        <is>
          <t>KG</t>
        </is>
      </c>
      <c r="D263" s="9" t="n">
        <v>0</v>
      </c>
      <c r="E263" s="9" t="n">
        <v>4000</v>
      </c>
      <c r="F263" s="9" t="n">
        <v>0</v>
      </c>
      <c r="H263" s="9" t="n">
        <v>4000</v>
      </c>
      <c r="L263" s="9" t="n">
        <v>200</v>
      </c>
    </row>
    <row r="264">
      <c r="A264" s="9" t="n">
        <v>15</v>
      </c>
      <c r="B264" s="9" t="inlineStr">
        <is>
          <t>TOXISORB PREMIUM</t>
        </is>
      </c>
      <c r="C264" s="9" t="inlineStr">
        <is>
          <t>KG</t>
        </is>
      </c>
      <c r="D264" s="9" t="n">
        <v>4195</v>
      </c>
      <c r="E264" s="9" t="n">
        <v>0</v>
      </c>
      <c r="F264" s="9" t="n">
        <v>292</v>
      </c>
      <c r="H264" s="9" t="n">
        <v>3903</v>
      </c>
      <c r="I264" s="9" t="n">
        <v>4195</v>
      </c>
    </row>
    <row r="265">
      <c r="A265" s="9" t="n">
        <v>16</v>
      </c>
      <c r="B265" s="9" t="inlineStr">
        <is>
          <t>SODIUM HUMATE 3.8%</t>
        </is>
      </c>
      <c r="C265" s="9" t="inlineStr">
        <is>
          <t>KG</t>
        </is>
      </c>
      <c r="D265" s="9" t="n">
        <v>0</v>
      </c>
      <c r="E265" s="9" t="n">
        <v>3360</v>
      </c>
      <c r="F265" s="9" t="n">
        <v>3360</v>
      </c>
      <c r="H265" s="9" t="n">
        <v>0</v>
      </c>
      <c r="I265" s="9" t="n">
        <v>0</v>
      </c>
    </row>
    <row r="266">
      <c r="A266" s="9" t="n">
        <v>17</v>
      </c>
      <c r="B266" s="9" t="inlineStr">
        <is>
          <t>SODIUM BICARBONATE</t>
        </is>
      </c>
      <c r="C266" s="9" t="inlineStr">
        <is>
          <t>KG</t>
        </is>
      </c>
      <c r="D266" s="9" t="n">
        <v>4152.5</v>
      </c>
      <c r="E266" s="9" t="n">
        <v>0</v>
      </c>
      <c r="F266" s="9" t="n">
        <v>1029.6</v>
      </c>
      <c r="H266" s="9" t="n">
        <v>3122.9</v>
      </c>
      <c r="I266" s="9" t="n">
        <v>4152.5</v>
      </c>
    </row>
    <row r="267">
      <c r="A267" s="9" t="n">
        <v>18</v>
      </c>
      <c r="B267" s="9" t="inlineStr">
        <is>
          <t>TOXIWALL</t>
        </is>
      </c>
      <c r="C267" s="9" t="inlineStr">
        <is>
          <t>KG</t>
        </is>
      </c>
      <c r="D267" s="9" t="n">
        <v>2065</v>
      </c>
      <c r="E267" s="9" t="n">
        <v>0</v>
      </c>
      <c r="F267" s="9" t="n">
        <v>928</v>
      </c>
      <c r="H267" s="9" t="n">
        <v>1137</v>
      </c>
      <c r="I267" s="9" t="n">
        <v>2065</v>
      </c>
    </row>
    <row r="268">
      <c r="A268" s="9" t="n">
        <v>19</v>
      </c>
      <c r="B268" s="9" t="inlineStr">
        <is>
          <t>BMD 10%</t>
        </is>
      </c>
      <c r="C268" s="9" t="inlineStr">
        <is>
          <t>KG</t>
        </is>
      </c>
      <c r="D268" s="9" t="n">
        <v>1680.5</v>
      </c>
      <c r="E268" s="9" t="n">
        <v>0</v>
      </c>
      <c r="F268" s="9" t="n">
        <v>0</v>
      </c>
      <c r="H268" s="9" t="n">
        <v>1680.5</v>
      </c>
      <c r="I268" s="9" t="n">
        <v>1680.5</v>
      </c>
    </row>
    <row r="269">
      <c r="A269" s="9" t="n">
        <v>20</v>
      </c>
      <c r="B269" s="9" t="inlineStr">
        <is>
          <t>SALT</t>
        </is>
      </c>
      <c r="C269" s="9" t="inlineStr">
        <is>
          <t>KG</t>
        </is>
      </c>
      <c r="D269" s="9" t="n">
        <v>41.59999999999991</v>
      </c>
      <c r="E269" s="9" t="n">
        <v>2629</v>
      </c>
      <c r="F269" s="9" t="n">
        <v>2629</v>
      </c>
      <c r="H269" s="9" t="n">
        <v>41.59999999999991</v>
      </c>
      <c r="I269" s="9" t="n">
        <v>41.59999999999991</v>
      </c>
    </row>
    <row r="270">
      <c r="A270" s="9" t="n">
        <v>21</v>
      </c>
      <c r="B270" s="9" t="inlineStr">
        <is>
          <t>VISTABET 91</t>
        </is>
      </c>
      <c r="C270" s="9" t="inlineStr">
        <is>
          <t>KG</t>
        </is>
      </c>
      <c r="D270" s="9" t="n">
        <v>2000</v>
      </c>
      <c r="E270" s="9" t="n">
        <v>0</v>
      </c>
      <c r="F270" s="9" t="n">
        <v>1018</v>
      </c>
      <c r="H270" s="9" t="n">
        <v>982</v>
      </c>
      <c r="I270" s="9" t="n">
        <v>2000</v>
      </c>
      <c r="J270" s="9" t="n">
        <v>1018</v>
      </c>
      <c r="K270" s="9" t="inlineStr">
        <is>
          <t>USAGE</t>
        </is>
      </c>
    </row>
    <row r="271">
      <c r="A271" s="9" t="n">
        <v>22</v>
      </c>
      <c r="B271" s="9" t="inlineStr">
        <is>
          <t>8101 TOP UP</t>
        </is>
      </c>
      <c r="C271" s="9" t="inlineStr">
        <is>
          <t>KG</t>
        </is>
      </c>
      <c r="D271" s="9" t="n">
        <v>100</v>
      </c>
      <c r="E271" s="9" t="n">
        <v>0</v>
      </c>
      <c r="F271" s="9" t="n">
        <v>0</v>
      </c>
      <c r="H271" s="9" t="n">
        <v>100</v>
      </c>
      <c r="I271" s="9" t="n">
        <v>100</v>
      </c>
    </row>
    <row r="272">
      <c r="A272" s="9" t="n">
        <v>23</v>
      </c>
      <c r="B272" s="9" t="inlineStr">
        <is>
          <t>NORPONIN X03 (8102 TOP UP)</t>
        </is>
      </c>
      <c r="C272" s="9" t="inlineStr">
        <is>
          <t>KG</t>
        </is>
      </c>
      <c r="D272" s="9" t="n">
        <v>13.96000000000004</v>
      </c>
      <c r="E272" s="9" t="n">
        <v>0</v>
      </c>
      <c r="F272" s="9" t="n">
        <v>0</v>
      </c>
      <c r="H272" s="9" t="n">
        <v>13.96000000000004</v>
      </c>
      <c r="I272" s="9" t="n">
        <v>13.96000000000004</v>
      </c>
    </row>
    <row r="273">
      <c r="A273" s="9" t="n">
        <v>24</v>
      </c>
      <c r="B273" s="9" t="inlineStr">
        <is>
          <t>8102 TOP UP</t>
        </is>
      </c>
      <c r="C273" s="9" t="inlineStr">
        <is>
          <t>KG</t>
        </is>
      </c>
      <c r="D273" s="9" t="n">
        <v>1212</v>
      </c>
      <c r="E273" s="9" t="n">
        <v>0</v>
      </c>
      <c r="F273" s="9" t="n">
        <v>616</v>
      </c>
      <c r="H273" s="9" t="n">
        <v>596</v>
      </c>
      <c r="I273" s="9" t="n">
        <v>1212</v>
      </c>
    </row>
    <row r="274">
      <c r="A274" s="9" t="n">
        <v>25</v>
      </c>
      <c r="B274" s="9" t="inlineStr">
        <is>
          <t>8103 TOP UP</t>
        </is>
      </c>
      <c r="C274" s="9" t="inlineStr">
        <is>
          <t>KG</t>
        </is>
      </c>
      <c r="D274" s="9" t="n">
        <v>0</v>
      </c>
      <c r="E274" s="9" t="n">
        <v>400</v>
      </c>
      <c r="F274" s="9" t="n">
        <v>0</v>
      </c>
      <c r="H274" s="9" t="n">
        <v>400</v>
      </c>
      <c r="J274" s="9" t="n">
        <v>400</v>
      </c>
      <c r="K274" s="9" t="inlineStr">
        <is>
          <t>INTAKE</t>
        </is>
      </c>
    </row>
    <row r="275">
      <c r="A275" s="9" t="n">
        <v>26</v>
      </c>
      <c r="B275" s="9" t="inlineStr">
        <is>
          <t>L-ARGININE</t>
        </is>
      </c>
      <c r="C275" s="9" t="inlineStr">
        <is>
          <t>KG</t>
        </is>
      </c>
      <c r="D275" s="9" t="n">
        <v>207.6</v>
      </c>
      <c r="E275" s="9" t="n">
        <v>0</v>
      </c>
      <c r="F275" s="9" t="n">
        <v>0</v>
      </c>
      <c r="H275" s="9" t="n">
        <v>207.6</v>
      </c>
      <c r="I275" s="9" t="n">
        <v>207.6</v>
      </c>
    </row>
    <row r="276">
      <c r="A276" s="9" t="n">
        <v>27</v>
      </c>
      <c r="B276" s="9" t="inlineStr">
        <is>
          <t>DL-METHIONINE</t>
        </is>
      </c>
      <c r="C276" s="9" t="inlineStr">
        <is>
          <t>KG</t>
        </is>
      </c>
      <c r="D276" s="9" t="n">
        <v>197.04</v>
      </c>
      <c r="E276" s="9" t="n">
        <v>0</v>
      </c>
      <c r="F276" s="9" t="n">
        <v>50</v>
      </c>
      <c r="H276" s="9" t="n">
        <v>147.04</v>
      </c>
      <c r="I276" s="9" t="n">
        <v>197.04</v>
      </c>
      <c r="J276" s="9" t="n">
        <v>50</v>
      </c>
      <c r="K276" s="9" t="inlineStr">
        <is>
          <t>USAGE</t>
        </is>
      </c>
    </row>
    <row r="277">
      <c r="A277" s="9" t="n">
        <v>28</v>
      </c>
      <c r="B277" s="9" t="inlineStr">
        <is>
          <t>L-THREONINE</t>
        </is>
      </c>
      <c r="C277" s="9" t="inlineStr">
        <is>
          <t>KG</t>
        </is>
      </c>
      <c r="D277" s="9" t="n">
        <v>46.8</v>
      </c>
      <c r="E277" s="9" t="n">
        <v>0</v>
      </c>
      <c r="F277" s="9" t="n">
        <v>0</v>
      </c>
      <c r="H277" s="9" t="n">
        <v>46.8</v>
      </c>
      <c r="I277" s="9" t="n">
        <v>46.8</v>
      </c>
    </row>
    <row r="278">
      <c r="A278" s="9" t="n">
        <v>29</v>
      </c>
      <c r="B278" s="9" t="inlineStr">
        <is>
          <t>FAECES DRY</t>
        </is>
      </c>
      <c r="C278" s="9" t="inlineStr">
        <is>
          <t>KG</t>
        </is>
      </c>
      <c r="D278" s="9" t="n">
        <v>0</v>
      </c>
      <c r="E278" s="9" t="n">
        <v>125</v>
      </c>
      <c r="F278" s="9" t="n">
        <v>100.8</v>
      </c>
      <c r="H278" s="9" t="n">
        <v>24.2</v>
      </c>
    </row>
    <row r="279">
      <c r="A279" s="9" t="n">
        <v>30</v>
      </c>
      <c r="B279" s="9" t="inlineStr">
        <is>
          <t>ECOBIOL</t>
        </is>
      </c>
      <c r="C279" s="9" t="inlineStr">
        <is>
          <t>KG</t>
        </is>
      </c>
      <c r="D279" s="9" t="n">
        <v>0</v>
      </c>
      <c r="E279" s="9" t="n">
        <v>200</v>
      </c>
      <c r="F279" s="9" t="n">
        <v>168</v>
      </c>
      <c r="H279" s="9" t="n">
        <v>32</v>
      </c>
    </row>
    <row r="280"/>
    <row r="281">
      <c r="B281" s="9" t="inlineStr">
        <is>
          <t>PACKING MATERIALS</t>
        </is>
      </c>
    </row>
    <row r="282">
      <c r="A282" s="9" t="n">
        <v>1</v>
      </c>
      <c r="B282" s="9" t="inlineStr">
        <is>
          <t>WOVEN BAG (1101) - BLUE 50KG</t>
        </is>
      </c>
      <c r="C282" s="9" t="inlineStr">
        <is>
          <t>PCS</t>
        </is>
      </c>
      <c r="D282" s="9" t="n">
        <v>3889</v>
      </c>
      <c r="E282" s="9" t="n">
        <v>0</v>
      </c>
      <c r="F282" s="9" t="n">
        <v>1572</v>
      </c>
      <c r="H282" s="9" t="n">
        <v>2317</v>
      </c>
    </row>
    <row r="283">
      <c r="A283" s="9" t="n">
        <v>2</v>
      </c>
      <c r="B283" s="9" t="inlineStr">
        <is>
          <t>WOVEN BAG (1102) - GREEN 50KG</t>
        </is>
      </c>
      <c r="C283" s="9" t="inlineStr">
        <is>
          <t>PCS</t>
        </is>
      </c>
      <c r="D283" s="9" t="n">
        <v>0</v>
      </c>
      <c r="E283" s="9" t="n">
        <v>8000</v>
      </c>
      <c r="F283" s="9" t="n">
        <v>7224</v>
      </c>
      <c r="H283" s="9" t="n">
        <v>776</v>
      </c>
    </row>
    <row r="284">
      <c r="A284" s="9" t="n">
        <v>3</v>
      </c>
      <c r="B284" s="9" t="inlineStr">
        <is>
          <t>WOVEN BAG (1103) - RED 50KG</t>
        </is>
      </c>
      <c r="C284" s="9" t="inlineStr">
        <is>
          <t>PCS</t>
        </is>
      </c>
      <c r="D284" s="9" t="n">
        <v>6349</v>
      </c>
      <c r="E284" s="9" t="n">
        <v>8519</v>
      </c>
      <c r="F284" s="9" t="n">
        <v>1606</v>
      </c>
      <c r="G284" s="9" t="n">
        <v>193</v>
      </c>
      <c r="H284" s="9" t="n">
        <v>13455</v>
      </c>
    </row>
    <row r="285">
      <c r="A285" s="9" t="n">
        <v>4</v>
      </c>
      <c r="B285" s="9" t="inlineStr">
        <is>
          <t>PLAIN BAG 26" X 39" (50KG)</t>
        </is>
      </c>
      <c r="C285" s="9" t="inlineStr">
        <is>
          <t>PCS</t>
        </is>
      </c>
      <c r="D285" s="9" t="n">
        <v>5989</v>
      </c>
      <c r="E285" s="9" t="n">
        <v>2000</v>
      </c>
      <c r="F285" s="9" t="n">
        <v>6508</v>
      </c>
      <c r="H285" s="9" t="n">
        <v>1481</v>
      </c>
    </row>
    <row r="286">
      <c r="A286" s="9" t="n">
        <v>5</v>
      </c>
      <c r="B286" s="9" t="inlineStr">
        <is>
          <t>WOVEN BAG (8101) - KHAKI 50KG</t>
        </is>
      </c>
      <c r="C286" s="9" t="inlineStr">
        <is>
          <t>PCS</t>
        </is>
      </c>
      <c r="D286" s="9" t="n">
        <v>1901</v>
      </c>
      <c r="E286" s="9" t="n">
        <v>0</v>
      </c>
      <c r="F286" s="9" t="n">
        <v>0</v>
      </c>
      <c r="H286" s="9" t="n">
        <v>1901</v>
      </c>
    </row>
    <row r="287">
      <c r="A287" s="9" t="n">
        <v>6</v>
      </c>
      <c r="B287" s="9" t="inlineStr">
        <is>
          <t>WOVEN BAG (8102) - SKY BLUE 50KG</t>
        </is>
      </c>
      <c r="C287" s="9" t="inlineStr">
        <is>
          <t>PCS</t>
        </is>
      </c>
      <c r="D287" s="9" t="n">
        <v>6459</v>
      </c>
      <c r="E287" s="9" t="n">
        <v>0</v>
      </c>
      <c r="F287" s="9" t="n">
        <v>0</v>
      </c>
      <c r="H287" s="9" t="n">
        <v>6459</v>
      </c>
    </row>
    <row r="288"/>
    <row r="289">
      <c r="B289" s="9" t="inlineStr">
        <is>
          <t>TOTAL</t>
        </is>
      </c>
      <c r="D289" s="9" t="n">
        <v>276608.6</v>
      </c>
      <c r="E289" s="9" t="n">
        <v>1749860.88</v>
      </c>
      <c r="F289" s="9" t="n">
        <v>1521828.08</v>
      </c>
      <c r="G289" s="9" t="n">
        <v>28795.7</v>
      </c>
      <c r="H289" s="9" t="n">
        <v>533437.0999999999</v>
      </c>
    </row>
    <row r="290"/>
    <row r="291"/>
    <row r="292">
      <c r="B292" s="9" t="inlineStr">
        <is>
          <t>HARUMI Stock - APR 2026</t>
        </is>
      </c>
    </row>
    <row r="293"/>
    <row r="294">
      <c r="B294" s="9" t="inlineStr">
        <is>
          <t>Remark for adjustment (+)</t>
        </is>
      </c>
    </row>
    <row r="295">
      <c r="B295" s="9" t="inlineStr">
        <is>
          <t>SOYBEAN MEAL (ARG)</t>
        </is>
      </c>
      <c r="C295" s="9" t="inlineStr">
        <is>
          <t>KG</t>
        </is>
      </c>
      <c r="D295" s="9" t="n">
        <v>670</v>
      </c>
    </row>
    <row r="296">
      <c r="B296" s="9" t="inlineStr">
        <is>
          <t>WOVEN BAG (1103) - RED 50KG</t>
        </is>
      </c>
      <c r="C296" s="9" t="inlineStr">
        <is>
          <t>PCS</t>
        </is>
      </c>
      <c r="D296" s="9" t="n">
        <v>193</v>
      </c>
    </row>
    <row r="297">
      <c r="B297" s="9" t="inlineStr">
        <is>
          <t>Reason: Cut off</t>
        </is>
      </c>
    </row>
    <row r="298"/>
    <row r="299">
      <c r="B299" s="9" t="inlineStr">
        <is>
          <t>CORN GLUTEN MEAL</t>
        </is>
      </c>
      <c r="C299" s="9" t="inlineStr">
        <is>
          <t>KG</t>
        </is>
      </c>
      <c r="D299" s="9" t="n">
        <v>28080</v>
      </c>
    </row>
    <row r="300">
      <c r="B300" s="9" t="inlineStr">
        <is>
          <t>Reason: Stock Transferred from Xun Ta</t>
        </is>
      </c>
    </row>
    <row r="301">
      <c r="B301" s="9" t="inlineStr">
        <is>
          <t>PPSB00827/DO16909                  16/4/2026</t>
        </is>
      </c>
    </row>
    <row r="302"/>
    <row r="303">
      <c r="B303" s="9" t="inlineStr">
        <is>
          <t>Remark for adjustment (-)</t>
        </is>
      </c>
    </row>
    <row r="304">
      <c r="B304" s="9" t="inlineStr">
        <is>
          <t>SOYTIDE</t>
        </is>
      </c>
      <c r="C304" s="9" t="inlineStr">
        <is>
          <t>KG</t>
        </is>
      </c>
      <c r="D304" s="9" t="n">
        <v>-147.3</v>
      </c>
    </row>
    <row r="305">
      <c r="B305" s="9" t="inlineStr">
        <is>
          <t>Reason: Cut off</t>
        </is>
      </c>
    </row>
    <row r="306"/>
    <row r="307"/>
    <row r="308"/>
    <row r="309"/>
    <row r="310">
      <c r="B310" s="9" t="inlineStr">
        <is>
          <t>Prepared by: ______________</t>
        </is>
      </c>
      <c r="G310" s="9" t="inlineStr">
        <is>
          <t xml:space="preserve">   Approved by: ______________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1" customWidth="1" min="4" max="4"/>
    <col width="22" customWidth="1" min="5" max="5"/>
    <col width="21" customWidth="1" min="6" max="6"/>
    <col width="23" customWidth="1" min="7" max="7"/>
    <col width="21" customWidth="1" min="8" max="8"/>
    <col width="21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MAY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168368.4000000001</v>
      </c>
      <c r="E4" s="9" t="n">
        <v>736930</v>
      </c>
      <c r="F4" s="9" t="n">
        <v>660754.0199999999</v>
      </c>
      <c r="G4" s="9" t="n">
        <v>-200.9800000000232</v>
      </c>
      <c r="H4" s="9" t="n">
        <v>244343.4000000001</v>
      </c>
      <c r="O4" s="9" t="n">
        <v>-244343.4000000001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63275.80000000009</v>
      </c>
      <c r="E5" s="9" t="n">
        <v>333130</v>
      </c>
      <c r="F5" s="9" t="n">
        <v>290450.74</v>
      </c>
      <c r="G5" s="9" t="n">
        <v>2.140000000001464</v>
      </c>
      <c r="H5" s="9" t="n">
        <v>105957.2000000001</v>
      </c>
      <c r="O5" s="9" t="n">
        <v>-105957.2000000001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31017.19999999997</v>
      </c>
      <c r="E6" s="9" t="n">
        <v>80070</v>
      </c>
      <c r="F6" s="9" t="n">
        <v>66390</v>
      </c>
      <c r="G6" s="9" t="n">
        <v>-10.89999999999924</v>
      </c>
      <c r="H6" s="9" t="n">
        <v>44686.29999999997</v>
      </c>
      <c r="O6" s="9" t="n">
        <v>-44686.29999999997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13032.50000000002</v>
      </c>
      <c r="E7" s="9" t="n">
        <v>30400</v>
      </c>
      <c r="F7" s="9" t="n">
        <v>30200</v>
      </c>
      <c r="G7" s="9" t="n">
        <v>-1039.099999999999</v>
      </c>
      <c r="H7" s="9" t="n">
        <v>12193.40000000002</v>
      </c>
      <c r="O7" s="9" t="n">
        <v>-12193.40000000002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37387.2</v>
      </c>
      <c r="E9" s="9" t="n">
        <v>11920</v>
      </c>
      <c r="F9" s="9" t="n">
        <v>11155</v>
      </c>
      <c r="G9" s="9" t="n">
        <v>-19585.5</v>
      </c>
      <c r="H9" s="9" t="n">
        <v>18566.7</v>
      </c>
      <c r="O9" s="9" t="n">
        <v>-18566.7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29537.19999999999</v>
      </c>
      <c r="E10" s="9" t="n">
        <v>27970</v>
      </c>
      <c r="F10" s="9" t="n">
        <v>23332</v>
      </c>
      <c r="G10" s="9" t="n">
        <v>-11.19999999999987</v>
      </c>
      <c r="H10" s="9" t="n">
        <v>34163.99999999999</v>
      </c>
      <c r="O10" s="9" t="n">
        <v>-34163.99999999999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24921.2</v>
      </c>
      <c r="F11" s="9" t="n">
        <v>24921</v>
      </c>
      <c r="G11" s="9" t="n">
        <v>-0.1999999999998536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5848.799999999999</v>
      </c>
      <c r="E12" s="9" t="n">
        <v>0</v>
      </c>
      <c r="F12" s="9" t="n">
        <v>921.77</v>
      </c>
      <c r="G12" s="9" t="n">
        <v>156.1000000000001</v>
      </c>
      <c r="H12" s="9" t="n">
        <v>5083.129999999999</v>
      </c>
      <c r="O12" s="9" t="n">
        <v>-5083.129999999999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4445.719999999999</v>
      </c>
      <c r="F13" s="9" t="n">
        <v>4631.96</v>
      </c>
      <c r="G13" s="9" t="n">
        <v>186.2400000000001</v>
      </c>
      <c r="H13" s="9" t="n">
        <v>0</v>
      </c>
      <c r="O13" s="9" t="n">
        <v>0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24158.3</v>
      </c>
      <c r="E15" s="9" t="n">
        <v>0</v>
      </c>
      <c r="F15" s="9" t="n">
        <v>3580</v>
      </c>
      <c r="G15" s="9" t="n">
        <v>-954.4000000000001</v>
      </c>
      <c r="H15" s="9" t="n">
        <v>19623.90000000001</v>
      </c>
      <c r="O15" s="9" t="n">
        <v>-19623.90000000001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42939.59999999998</v>
      </c>
      <c r="E16" s="9" t="n">
        <v>0</v>
      </c>
      <c r="F16" s="9" t="n">
        <v>7700</v>
      </c>
      <c r="G16" s="9" t="n">
        <v>-4.599999999999966</v>
      </c>
      <c r="H16" s="9" t="n">
        <v>35234.99999999999</v>
      </c>
      <c r="O16" s="9" t="n">
        <v>-35234.99999999999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2120</v>
      </c>
      <c r="E25" s="9" t="n">
        <v>2020</v>
      </c>
      <c r="F25" s="9" t="n">
        <v>0</v>
      </c>
      <c r="G25" s="9" t="n">
        <v>0</v>
      </c>
      <c r="H25" s="9" t="n">
        <v>4140</v>
      </c>
      <c r="O25" s="9" t="n">
        <v>-4140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3640</v>
      </c>
      <c r="E26" s="9" t="n">
        <v>2000</v>
      </c>
      <c r="F26" s="9" t="n">
        <v>1520</v>
      </c>
      <c r="G26" s="9" t="n">
        <v>920</v>
      </c>
      <c r="H26" s="9" t="n">
        <v>5040</v>
      </c>
      <c r="O26" s="9" t="n">
        <v>-5040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2080</v>
      </c>
      <c r="E27" s="9" t="n">
        <v>6000</v>
      </c>
      <c r="F27" s="9" t="n">
        <v>6600</v>
      </c>
      <c r="G27" s="9" t="n">
        <v>280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0</v>
      </c>
      <c r="E28" s="9" t="n">
        <v>1600</v>
      </c>
      <c r="F28" s="9" t="n">
        <v>1000</v>
      </c>
      <c r="G28" s="9" t="n">
        <v>0</v>
      </c>
      <c r="H28" s="9" t="n">
        <v>600</v>
      </c>
      <c r="O28" s="9" t="n">
        <v>-600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0</v>
      </c>
      <c r="E29" s="9" t="n">
        <v>3600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6360</v>
      </c>
      <c r="E31" s="9" t="n">
        <v>2000</v>
      </c>
      <c r="F31" s="9" t="n">
        <v>1560</v>
      </c>
      <c r="G31" s="9" t="n">
        <v>0</v>
      </c>
      <c r="H31" s="9" t="n">
        <v>6800</v>
      </c>
      <c r="O31" s="9" t="n">
        <v>-6800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6540</v>
      </c>
      <c r="E32" s="9" t="n">
        <v>180</v>
      </c>
      <c r="F32" s="9" t="n">
        <v>0</v>
      </c>
      <c r="G32" s="9" t="n">
        <v>-6000</v>
      </c>
      <c r="H32" s="9" t="n">
        <v>720</v>
      </c>
      <c r="O32" s="9" t="n">
        <v>-720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11540</v>
      </c>
      <c r="E33" s="9" t="n">
        <v>0</v>
      </c>
      <c r="F33" s="9" t="n">
        <v>0</v>
      </c>
      <c r="G33" s="9" t="n">
        <v>-3400</v>
      </c>
      <c r="H33" s="9" t="n">
        <v>8140</v>
      </c>
      <c r="O33" s="9" t="n">
        <v>-8140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15120</v>
      </c>
      <c r="E34" s="9" t="n">
        <v>0</v>
      </c>
      <c r="F34" s="9" t="n">
        <v>0</v>
      </c>
      <c r="G34" s="9" t="n">
        <v>-10160</v>
      </c>
      <c r="H34" s="9" t="n">
        <v>4960</v>
      </c>
      <c r="O34" s="9" t="n">
        <v>-4960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1960</v>
      </c>
      <c r="E35" s="9" t="n">
        <v>0</v>
      </c>
      <c r="F35" s="9" t="n">
        <v>6440</v>
      </c>
      <c r="G35" s="9" t="n">
        <v>4480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9100</v>
      </c>
      <c r="E36" s="9" t="n">
        <v>0</v>
      </c>
      <c r="F36" s="9" t="n">
        <v>3880</v>
      </c>
      <c r="G36" s="9" t="n">
        <v>-1880</v>
      </c>
      <c r="H36" s="9" t="n">
        <v>3340</v>
      </c>
      <c r="O36" s="9" t="n">
        <v>-3340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19.5</v>
      </c>
      <c r="E38" s="9" t="n">
        <v>2340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2079</v>
      </c>
      <c r="E39" s="9" t="n">
        <v>0</v>
      </c>
      <c r="F39" s="9" t="n">
        <v>944.9999999999999</v>
      </c>
      <c r="G39" s="9" t="n">
        <v>755.9999999999999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6150</v>
      </c>
      <c r="E40" s="9" t="n">
        <v>0</v>
      </c>
      <c r="F40" s="9" t="n">
        <v>0</v>
      </c>
      <c r="G40" s="9" t="n">
        <v>-2460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3903</v>
      </c>
      <c r="E45" s="9" t="n">
        <v>0</v>
      </c>
      <c r="F45" s="9" t="n">
        <v>212</v>
      </c>
      <c r="G45" s="9" t="n">
        <v>0</v>
      </c>
      <c r="H45" s="9" t="n">
        <v>3724</v>
      </c>
      <c r="O45" s="9" t="n">
        <v>-3724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2134</v>
      </c>
      <c r="F46" s="9" t="n">
        <v>2182</v>
      </c>
      <c r="G46" s="9" t="n">
        <v>0</v>
      </c>
      <c r="H46" s="9" t="n">
        <v>0</v>
      </c>
      <c r="O46" s="9" t="n">
        <v>0</v>
      </c>
    </row>
    <row r="47"/>
    <row r="48">
      <c r="B48" s="9" t="inlineStr">
        <is>
          <t>SODIUM BICARBONATE</t>
        </is>
      </c>
      <c r="C48" s="9" t="inlineStr">
        <is>
          <t>KG</t>
        </is>
      </c>
      <c r="D48" s="9" t="n">
        <v>3122.9</v>
      </c>
      <c r="E48" s="9" t="n">
        <v>1.1</v>
      </c>
      <c r="F48" s="9" t="n">
        <v>12</v>
      </c>
      <c r="G48" s="9" t="n">
        <v>0</v>
      </c>
      <c r="H48" s="9" t="n">
        <v>3112</v>
      </c>
    </row>
    <row r="49"/>
    <row r="50"/>
    <row r="51">
      <c r="B51" s="9" t="inlineStr">
        <is>
          <t>TOXIWALL</t>
        </is>
      </c>
      <c r="C51" s="9" t="inlineStr">
        <is>
          <t>KG</t>
        </is>
      </c>
      <c r="D51" s="9" t="n">
        <v>1137</v>
      </c>
      <c r="E51" s="9" t="n">
        <v>0</v>
      </c>
      <c r="F51" s="9" t="n">
        <v>50</v>
      </c>
      <c r="G51" s="9" t="n">
        <v>0</v>
      </c>
      <c r="H51" s="9" t="n">
        <v>1127</v>
      </c>
      <c r="O51" s="9" t="n">
        <v>-1127</v>
      </c>
    </row>
    <row r="52">
      <c r="B52" s="9" t="inlineStr">
        <is>
          <t>BMD 10%</t>
        </is>
      </c>
      <c r="C52" s="9" t="inlineStr">
        <is>
          <t>KG</t>
        </is>
      </c>
      <c r="D52" s="9" t="n">
        <v>1680.5</v>
      </c>
      <c r="E52" s="9" t="n">
        <v>0</v>
      </c>
      <c r="F52" s="9" t="n">
        <v>0</v>
      </c>
      <c r="G52" s="9" t="n">
        <v>0</v>
      </c>
      <c r="H52" s="9" t="n">
        <v>1680.5</v>
      </c>
      <c r="O52" s="9" t="n">
        <v>-1680.5</v>
      </c>
    </row>
    <row r="53">
      <c r="B53" s="9" t="inlineStr">
        <is>
          <t>SALT (HARUMI)</t>
        </is>
      </c>
      <c r="C53" s="9" t="inlineStr">
        <is>
          <t>KG</t>
        </is>
      </c>
      <c r="D53" s="9" t="n">
        <v>0</v>
      </c>
      <c r="E53" s="9" t="n">
        <v>324.4</v>
      </c>
      <c r="F53" s="9" t="n">
        <v>324.4</v>
      </c>
      <c r="G53" s="9" t="n">
        <v>0</v>
      </c>
      <c r="H53" s="9" t="n">
        <v>0</v>
      </c>
      <c r="O53" s="9" t="n">
        <v>0</v>
      </c>
    </row>
    <row r="54">
      <c r="B54" s="9" t="inlineStr">
        <is>
          <t>VISTABET 91</t>
        </is>
      </c>
      <c r="C54" s="9" t="inlineStr">
        <is>
          <t>KG</t>
        </is>
      </c>
      <c r="D54" s="9" t="n">
        <v>982</v>
      </c>
      <c r="E54" s="9" t="n">
        <v>500</v>
      </c>
      <c r="F54" s="9" t="n">
        <v>0</v>
      </c>
      <c r="G54" s="9" t="n">
        <v>0</v>
      </c>
      <c r="H54" s="9" t="n">
        <v>1482</v>
      </c>
      <c r="O54" s="9" t="n">
        <v>-1482</v>
      </c>
    </row>
    <row r="55">
      <c r="B55" s="9" t="inlineStr">
        <is>
          <t>BETAFIN</t>
        </is>
      </c>
      <c r="C55" s="9" t="inlineStr">
        <is>
          <t>KG</t>
        </is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O55" s="9" t="n">
        <v>0</v>
      </c>
    </row>
    <row r="56">
      <c r="B56" s="9" t="inlineStr">
        <is>
          <t>8101 TOP UP</t>
        </is>
      </c>
      <c r="C56" s="9" t="inlineStr">
        <is>
          <t>KG</t>
        </is>
      </c>
      <c r="D56" s="9" t="n">
        <v>100</v>
      </c>
      <c r="E56" s="9" t="n">
        <v>0</v>
      </c>
      <c r="F56" s="9" t="n">
        <v>0</v>
      </c>
      <c r="G56" s="9" t="n">
        <v>0</v>
      </c>
      <c r="H56" s="9" t="n">
        <v>100</v>
      </c>
      <c r="O56" s="9" t="n">
        <v>-100</v>
      </c>
    </row>
    <row r="57">
      <c r="B57" s="9" t="inlineStr">
        <is>
          <t>NORPONIN X03 (8102 TOP UP)</t>
        </is>
      </c>
      <c r="C57" s="9" t="inlineStr">
        <is>
          <t>KG</t>
        </is>
      </c>
      <c r="D57" s="9" t="n">
        <v>13.96000000000004</v>
      </c>
      <c r="E57" s="9" t="n">
        <v>0</v>
      </c>
      <c r="F57" s="9" t="n">
        <v>0</v>
      </c>
      <c r="G57" s="9" t="n">
        <v>0</v>
      </c>
      <c r="H57" s="9" t="n">
        <v>13.96000000000004</v>
      </c>
      <c r="O57" s="9" t="n">
        <v>-13.96000000000004</v>
      </c>
    </row>
    <row r="58">
      <c r="B58" s="9" t="inlineStr">
        <is>
          <t>8102 TOP UP (4KG)</t>
        </is>
      </c>
      <c r="C58" s="9" t="inlineStr">
        <is>
          <t>KG</t>
        </is>
      </c>
      <c r="D58" s="9" t="n">
        <v>596</v>
      </c>
      <c r="E58" s="9" t="n">
        <v>800</v>
      </c>
      <c r="F58" s="9" t="n">
        <v>1288</v>
      </c>
      <c r="G58" s="9" t="n">
        <v>0</v>
      </c>
      <c r="H58" s="9" t="n">
        <v>108</v>
      </c>
      <c r="O58" s="9" t="n">
        <v>-108</v>
      </c>
    </row>
    <row r="59">
      <c r="B59" s="9" t="inlineStr">
        <is>
          <t>8103 TOP UP (5KG)</t>
        </is>
      </c>
      <c r="C59" s="9" t="inlineStr">
        <is>
          <t>KG</t>
        </is>
      </c>
      <c r="D59" s="9" t="n">
        <v>400</v>
      </c>
      <c r="E59" s="9" t="n">
        <v>1940</v>
      </c>
      <c r="F59" s="9" t="n">
        <v>2095</v>
      </c>
      <c r="G59" s="9" t="n">
        <v>0</v>
      </c>
      <c r="H59" s="9" t="n">
        <v>245</v>
      </c>
      <c r="O59" s="9" t="n">
        <v>-245</v>
      </c>
    </row>
    <row r="60">
      <c r="B60" s="9" t="inlineStr">
        <is>
          <t>L-ARGININE</t>
        </is>
      </c>
      <c r="C60" s="9" t="inlineStr">
        <is>
          <t>KG</t>
        </is>
      </c>
    </row>
    <row r="61">
      <c r="B61" s="9" t="inlineStr">
        <is>
          <t>DL-METHIONINE</t>
        </is>
      </c>
      <c r="C61" s="9" t="inlineStr">
        <is>
          <t>KG</t>
        </is>
      </c>
    </row>
    <row r="62">
      <c r="B62" s="9" t="inlineStr">
        <is>
          <t>L-THREONINE</t>
        </is>
      </c>
      <c r="C62" s="9" t="inlineStr">
        <is>
          <t>KG</t>
        </is>
      </c>
    </row>
    <row r="63">
      <c r="B63" s="9" t="inlineStr">
        <is>
          <t>L-LYSINE</t>
        </is>
      </c>
      <c r="C63" s="9" t="inlineStr">
        <is>
          <t>KG</t>
        </is>
      </c>
    </row>
    <row r="64"/>
    <row r="65">
      <c r="B65" s="9" t="inlineStr">
        <is>
          <t>PACKING MATERIALS</t>
        </is>
      </c>
    </row>
    <row r="66">
      <c r="C66" s="9" t="inlineStr">
        <is>
          <t>PCS</t>
        </is>
      </c>
    </row>
    <row r="67">
      <c r="C67" s="9" t="inlineStr">
        <is>
          <t>PCS</t>
        </is>
      </c>
    </row>
    <row r="68"/>
    <row r="69">
      <c r="B69" s="9" t="inlineStr">
        <is>
          <t>TOTAL</t>
        </is>
      </c>
      <c r="D69" s="9" t="n">
        <v>506548.8600000001</v>
      </c>
      <c r="E69" s="9" t="n">
        <v>1275226.42</v>
      </c>
      <c r="F69" s="9" t="n">
        <v>1152144.89</v>
      </c>
      <c r="G69" s="9" t="n">
        <v>-38926.40000000002</v>
      </c>
      <c r="H69" s="9" t="n">
        <v>590824.9900000002</v>
      </c>
      <c r="K69" s="9" t="n">
        <v>0</v>
      </c>
    </row>
    <row r="70"/>
    <row r="71">
      <c r="D71" s="9" t="n">
        <v>261934.7000000001</v>
      </c>
      <c r="E71" s="9" t="n">
        <v>-484140.46</v>
      </c>
      <c r="F71" s="9" t="n">
        <v>-340121.4900000007</v>
      </c>
      <c r="G71" s="9" t="n">
        <v>-34135.6</v>
      </c>
      <c r="H71" s="9" t="n">
        <v>84276.13000000012</v>
      </c>
    </row>
    <row r="72"/>
    <row r="73">
      <c r="B73" s="9" t="inlineStr">
        <is>
          <t>HARUMI Stock - MAY 2026</t>
        </is>
      </c>
    </row>
    <row r="74">
      <c r="A74" s="9" t="inlineStr">
        <is>
          <t>No</t>
        </is>
      </c>
      <c r="B74" s="9" t="inlineStr">
        <is>
          <t>Description</t>
        </is>
      </c>
      <c r="C74" s="9" t="inlineStr">
        <is>
          <t>UOM</t>
        </is>
      </c>
      <c r="D74" s="9" t="inlineStr">
        <is>
          <t>Opening</t>
        </is>
      </c>
      <c r="E74" s="9" t="inlineStr">
        <is>
          <t>Receiving</t>
        </is>
      </c>
      <c r="F74" s="9" t="inlineStr">
        <is>
          <t>Usage</t>
        </is>
      </c>
      <c r="G74" s="9" t="inlineStr">
        <is>
          <t>Adjustment</t>
        </is>
      </c>
      <c r="H74" s="9" t="inlineStr">
        <is>
          <t>Bal (KG)</t>
        </is>
      </c>
    </row>
    <row r="75">
      <c r="B75" s="9" t="inlineStr">
        <is>
          <t>RAW MATERIAL</t>
        </is>
      </c>
    </row>
    <row r="76">
      <c r="A76" s="9" t="n">
        <v>1</v>
      </c>
      <c r="B76" s="9" t="inlineStr">
        <is>
          <t>MAIZE/CORN</t>
        </is>
      </c>
      <c r="C76" s="9" t="inlineStr">
        <is>
          <t>KG</t>
        </is>
      </c>
      <c r="D76" s="9" t="n">
        <v>168368.4000000001</v>
      </c>
      <c r="E76" s="9" t="n">
        <v>736930</v>
      </c>
      <c r="F76" s="9" t="n">
        <v>660955.0000000001</v>
      </c>
      <c r="H76" s="9" t="n">
        <v>244343.3999999999</v>
      </c>
      <c r="I76" s="9" t="n">
        <v>168368.3999999999</v>
      </c>
    </row>
    <row r="77">
      <c r="A77" s="9" t="n">
        <v>2</v>
      </c>
      <c r="B77" s="9" t="inlineStr">
        <is>
          <t>SOYBEAN MEAL (ARG)</t>
        </is>
      </c>
      <c r="C77" s="9" t="inlineStr">
        <is>
          <t>KG</t>
        </is>
      </c>
      <c r="D77" s="9" t="n">
        <v>63275.80000000009</v>
      </c>
      <c r="E77" s="9" t="n">
        <v>333130</v>
      </c>
      <c r="F77" s="9" t="n">
        <v>290448.6</v>
      </c>
      <c r="H77" s="9" t="n">
        <v>105957.2000000001</v>
      </c>
      <c r="I77" s="9" t="n">
        <v>63275.8000000001</v>
      </c>
    </row>
    <row r="78">
      <c r="A78" s="9" t="n">
        <v>3</v>
      </c>
      <c r="B78" s="9" t="inlineStr">
        <is>
          <t>SOYBEAN FULL FAT</t>
        </is>
      </c>
      <c r="C78" s="9" t="inlineStr">
        <is>
          <t>KG</t>
        </is>
      </c>
      <c r="D78" s="9" t="n">
        <v>31017.19999999997</v>
      </c>
      <c r="E78" s="9" t="n">
        <v>80070</v>
      </c>
      <c r="F78" s="9" t="n">
        <v>66400.89999999999</v>
      </c>
      <c r="H78" s="9" t="n">
        <v>44686.29999999997</v>
      </c>
      <c r="I78" s="9" t="n">
        <v>31017.19999999997</v>
      </c>
    </row>
    <row r="79">
      <c r="A79" s="9" t="n">
        <v>4</v>
      </c>
      <c r="B79" s="9" t="inlineStr">
        <is>
          <t>WHEAT POLLARD</t>
        </is>
      </c>
      <c r="C79" s="9" t="inlineStr">
        <is>
          <t>KG</t>
        </is>
      </c>
      <c r="D79" s="9" t="n">
        <v>13032.50000000002</v>
      </c>
      <c r="E79" s="9" t="n">
        <v>30400</v>
      </c>
      <c r="F79" s="9" t="n">
        <v>30209.5</v>
      </c>
      <c r="G79" s="9" t="n">
        <v>-1029.6</v>
      </c>
      <c r="H79" s="9" t="n">
        <v>12193.40000000001</v>
      </c>
      <c r="I79" s="9" t="n">
        <v>13032.50000000001</v>
      </c>
    </row>
    <row r="80">
      <c r="A80" s="9" t="n">
        <v>5</v>
      </c>
      <c r="B80" s="9" t="inlineStr">
        <is>
          <t>MEAT AND BONE MEAL</t>
        </is>
      </c>
      <c r="C80" s="9" t="inlineStr">
        <is>
          <t>KG</t>
        </is>
      </c>
      <c r="D80" s="9" t="n">
        <v>37387.2</v>
      </c>
      <c r="E80" s="9" t="n">
        <v>11920</v>
      </c>
      <c r="F80" s="9" t="n">
        <v>11160.5</v>
      </c>
      <c r="G80" s="9" t="n">
        <v>-19580</v>
      </c>
      <c r="H80" s="9" t="n">
        <v>18566.7</v>
      </c>
      <c r="I80" s="9" t="n">
        <v>37387.19999999999</v>
      </c>
    </row>
    <row r="81">
      <c r="A81" s="9" t="n">
        <v>6</v>
      </c>
      <c r="B81" s="9" t="inlineStr">
        <is>
          <t>CORN GLUTEN MEAL</t>
        </is>
      </c>
      <c r="C81" s="9" t="inlineStr">
        <is>
          <t>KG</t>
        </is>
      </c>
      <c r="D81" s="9" t="n">
        <v>29537.19999999999</v>
      </c>
      <c r="E81" s="9" t="n">
        <v>0</v>
      </c>
      <c r="F81" s="9" t="n">
        <v>23343.2</v>
      </c>
      <c r="G81" s="9" t="n">
        <v>27970</v>
      </c>
      <c r="H81" s="9" t="n">
        <v>34163.99999999999</v>
      </c>
      <c r="I81" s="9" t="n">
        <v>29537.19999999999</v>
      </c>
    </row>
    <row r="82">
      <c r="A82" s="9" t="n">
        <v>7</v>
      </c>
      <c r="B82" s="9" t="inlineStr">
        <is>
          <t>MEGAFAT (HARUMI)</t>
        </is>
      </c>
      <c r="C82" s="9" t="inlineStr">
        <is>
          <t>KG</t>
        </is>
      </c>
      <c r="D82" s="9" t="n">
        <v>0</v>
      </c>
      <c r="E82" s="9" t="n">
        <v>24921.2</v>
      </c>
      <c r="F82" s="9" t="n">
        <v>24921.2</v>
      </c>
      <c r="H82" s="9" t="n">
        <v>0</v>
      </c>
    </row>
    <row r="83">
      <c r="A83" s="9" t="n">
        <v>8</v>
      </c>
      <c r="B83" s="9" t="inlineStr">
        <is>
          <t>DCP 18%</t>
        </is>
      </c>
      <c r="C83" s="9" t="inlineStr">
        <is>
          <t>KG</t>
        </is>
      </c>
      <c r="D83" s="9" t="n">
        <v>5848.799999999999</v>
      </c>
      <c r="E83" s="9" t="n">
        <v>0</v>
      </c>
      <c r="F83" s="9" t="n">
        <v>765.67</v>
      </c>
      <c r="H83" s="9" t="n">
        <v>5083.129999999999</v>
      </c>
      <c r="I83" s="9" t="n">
        <v>5848.799999999999</v>
      </c>
    </row>
    <row r="84">
      <c r="A84" s="9" t="n">
        <v>9</v>
      </c>
      <c r="B84" s="9" t="inlineStr">
        <is>
          <t>LIMESTONE POWDER (HARUMI)</t>
        </is>
      </c>
      <c r="C84" s="9" t="inlineStr">
        <is>
          <t>KG</t>
        </is>
      </c>
      <c r="D84" s="9" t="n">
        <v>0</v>
      </c>
      <c r="E84" s="9" t="n">
        <v>4445.719999999999</v>
      </c>
      <c r="F84" s="9" t="n">
        <v>4445.719999999999</v>
      </c>
      <c r="H84" s="9" t="n">
        <v>0</v>
      </c>
    </row>
    <row r="85">
      <c r="A85" s="9" t="n">
        <v>10</v>
      </c>
      <c r="B85" s="9" t="inlineStr">
        <is>
          <t>INDUSTRY FLOUR</t>
        </is>
      </c>
      <c r="C85" s="9" t="inlineStr">
        <is>
          <t>KG</t>
        </is>
      </c>
      <c r="D85" s="9" t="n">
        <v>24158.3</v>
      </c>
      <c r="E85" s="9" t="n">
        <v>0</v>
      </c>
      <c r="F85" s="9" t="n">
        <v>4534.4</v>
      </c>
      <c r="H85" s="9" t="n">
        <v>19623.9</v>
      </c>
      <c r="I85" s="9" t="n">
        <v>24158.3</v>
      </c>
    </row>
    <row r="86">
      <c r="A86" s="9" t="n">
        <v>11</v>
      </c>
      <c r="B86" s="9" t="inlineStr">
        <is>
          <t>RICE BRAN</t>
        </is>
      </c>
      <c r="C86" s="9" t="inlineStr">
        <is>
          <t>KG</t>
        </is>
      </c>
      <c r="D86" s="9" t="n">
        <v>42939.59999999998</v>
      </c>
      <c r="E86" s="9" t="n">
        <v>0</v>
      </c>
      <c r="F86" s="9" t="n">
        <v>7704.6</v>
      </c>
      <c r="H86" s="9" t="n">
        <v>35234.99999999999</v>
      </c>
      <c r="I86" s="9" t="n">
        <v>42939.6</v>
      </c>
    </row>
    <row r="87">
      <c r="A87" s="9" t="n">
        <v>12</v>
      </c>
      <c r="B87" s="9" t="inlineStr">
        <is>
          <t>EP 200</t>
        </is>
      </c>
      <c r="C87" s="9" t="inlineStr">
        <is>
          <t>KG</t>
        </is>
      </c>
      <c r="D87" s="9" t="n">
        <v>5800</v>
      </c>
      <c r="E87" s="9" t="n">
        <v>0</v>
      </c>
      <c r="F87" s="9" t="n">
        <v>0</v>
      </c>
      <c r="H87" s="9" t="n">
        <v>5800</v>
      </c>
      <c r="I87" s="9" t="n">
        <v>5800</v>
      </c>
    </row>
    <row r="88">
      <c r="A88" s="9" t="n">
        <v>13</v>
      </c>
      <c r="B88" s="9" t="inlineStr">
        <is>
          <t>DCP 18% (HARUMI)</t>
        </is>
      </c>
      <c r="C88" s="9" t="inlineStr">
        <is>
          <t>KG</t>
        </is>
      </c>
      <c r="D88" s="9" t="n">
        <v>0</v>
      </c>
      <c r="E88" s="9" t="n">
        <v>0</v>
      </c>
      <c r="F88" s="9" t="n">
        <v>0</v>
      </c>
      <c r="H88" s="9" t="n">
        <v>0</v>
      </c>
      <c r="I88" s="9" t="n">
        <v>0</v>
      </c>
    </row>
    <row r="89">
      <c r="I89" s="9" t="n">
        <v>0</v>
      </c>
    </row>
    <row r="90">
      <c r="B90" s="9" t="inlineStr">
        <is>
          <t>PREMIX &amp; ADDITIVES</t>
        </is>
      </c>
    </row>
    <row r="91">
      <c r="A91" s="9" t="n">
        <v>1</v>
      </c>
      <c r="B91" s="9" t="inlineStr">
        <is>
          <t>PREMIX 1101 (20KG)</t>
        </is>
      </c>
      <c r="C91" s="9" t="inlineStr">
        <is>
          <t>KG</t>
        </is>
      </c>
      <c r="D91" s="9" t="n">
        <v>2120</v>
      </c>
      <c r="E91" s="9" t="n">
        <v>2020</v>
      </c>
      <c r="F91" s="9" t="n">
        <v>0</v>
      </c>
      <c r="H91" s="9" t="n">
        <v>4140</v>
      </c>
      <c r="I91" s="9" t="n">
        <v>2120</v>
      </c>
    </row>
    <row r="92">
      <c r="A92" s="9" t="n">
        <v>2</v>
      </c>
      <c r="B92" s="9" t="inlineStr">
        <is>
          <t>PREMIX 1102 (20KG)</t>
        </is>
      </c>
      <c r="C92" s="9" t="inlineStr">
        <is>
          <t>KG</t>
        </is>
      </c>
      <c r="D92" s="9" t="n">
        <v>3640</v>
      </c>
      <c r="E92" s="9" t="n">
        <v>2000</v>
      </c>
      <c r="F92" s="9" t="n">
        <v>600</v>
      </c>
      <c r="H92" s="9" t="n">
        <v>5040</v>
      </c>
      <c r="I92" s="9" t="n">
        <v>3640</v>
      </c>
    </row>
    <row r="93">
      <c r="A93" s="9" t="n">
        <v>3</v>
      </c>
      <c r="B93" s="9" t="inlineStr">
        <is>
          <t>PREMIX 1103 (20KG)</t>
        </is>
      </c>
      <c r="C93" s="9" t="inlineStr">
        <is>
          <t>KG</t>
        </is>
      </c>
      <c r="D93" s="9" t="n">
        <v>2080</v>
      </c>
      <c r="E93" s="9" t="n">
        <v>6000</v>
      </c>
      <c r="F93" s="9" t="n">
        <v>6320</v>
      </c>
      <c r="H93" s="9" t="n">
        <v>1760</v>
      </c>
      <c r="I93" s="9" t="n">
        <v>2080</v>
      </c>
    </row>
    <row r="94">
      <c r="A94" s="9" t="n">
        <v>4</v>
      </c>
      <c r="B94" s="9" t="inlineStr">
        <is>
          <t>PREMIX 311 (20KG)</t>
        </is>
      </c>
      <c r="C94" s="9" t="inlineStr">
        <is>
          <t>KG</t>
        </is>
      </c>
      <c r="D94" s="9" t="n">
        <v>0</v>
      </c>
      <c r="E94" s="9" t="n">
        <v>1600</v>
      </c>
      <c r="F94" s="9" t="n">
        <v>1000</v>
      </c>
      <c r="H94" s="9" t="n">
        <v>600</v>
      </c>
    </row>
    <row r="95">
      <c r="A95" s="9" t="n">
        <v>5</v>
      </c>
      <c r="B95" s="9" t="inlineStr">
        <is>
          <t>PREMIX 312 (20KG)</t>
        </is>
      </c>
      <c r="C95" s="9" t="inlineStr">
        <is>
          <t>KG</t>
        </is>
      </c>
      <c r="D95" s="9" t="n">
        <v>0</v>
      </c>
      <c r="E95" s="9" t="n">
        <v>3600</v>
      </c>
      <c r="F95" s="9" t="n">
        <v>0</v>
      </c>
      <c r="H95" s="9" t="n">
        <v>3600</v>
      </c>
    </row>
    <row r="96">
      <c r="A96" s="9" t="n">
        <v>6</v>
      </c>
      <c r="B96" s="9" t="inlineStr">
        <is>
          <t>PREMIX 8100 (20KG)</t>
        </is>
      </c>
      <c r="C96" s="9" t="inlineStr">
        <is>
          <t>KG</t>
        </is>
      </c>
      <c r="D96" s="9" t="n">
        <v>6360</v>
      </c>
      <c r="E96" s="9" t="n">
        <v>2000</v>
      </c>
      <c r="F96" s="9" t="n">
        <v>1560</v>
      </c>
      <c r="H96" s="9" t="n">
        <v>6800</v>
      </c>
      <c r="I96" s="9" t="n">
        <v>6360</v>
      </c>
    </row>
    <row r="97">
      <c r="A97" s="9" t="n">
        <v>7</v>
      </c>
      <c r="B97" s="9" t="inlineStr">
        <is>
          <t>PREMIX 8101 (20KG)</t>
        </is>
      </c>
      <c r="C97" s="9" t="inlineStr">
        <is>
          <t>KG</t>
        </is>
      </c>
      <c r="D97" s="9" t="n">
        <v>6540</v>
      </c>
      <c r="E97" s="9" t="n">
        <v>180</v>
      </c>
      <c r="G97" s="9" t="n">
        <v>-6000</v>
      </c>
      <c r="H97" s="9" t="n">
        <v>720</v>
      </c>
      <c r="I97" s="9" t="n">
        <v>6540</v>
      </c>
    </row>
    <row r="98">
      <c r="A98" s="9" t="n">
        <v>8</v>
      </c>
      <c r="B98" s="9" t="inlineStr">
        <is>
          <t>PREMIX 8102 (20KG)</t>
        </is>
      </c>
      <c r="C98" s="9" t="inlineStr">
        <is>
          <t>KG</t>
        </is>
      </c>
      <c r="D98" s="9" t="n">
        <v>11540</v>
      </c>
      <c r="E98" s="9" t="n">
        <v>0</v>
      </c>
      <c r="F98" s="9" t="n">
        <v>0</v>
      </c>
      <c r="G98" s="9" t="n">
        <v>-3400</v>
      </c>
      <c r="H98" s="9" t="n">
        <v>8140</v>
      </c>
      <c r="I98" s="9" t="n">
        <v>11540</v>
      </c>
    </row>
    <row r="99">
      <c r="A99" s="9" t="n">
        <v>9</v>
      </c>
      <c r="B99" s="9" t="inlineStr">
        <is>
          <t>PREMIX 8103 (20KG)</t>
        </is>
      </c>
      <c r="C99" s="9" t="inlineStr">
        <is>
          <t>KG</t>
        </is>
      </c>
      <c r="D99" s="9" t="n">
        <v>15120</v>
      </c>
      <c r="E99" s="9" t="n">
        <v>0</v>
      </c>
      <c r="F99" s="9" t="n">
        <v>0</v>
      </c>
      <c r="G99" s="9" t="n">
        <v>-10160</v>
      </c>
      <c r="H99" s="9" t="n">
        <v>4960</v>
      </c>
      <c r="I99" s="9" t="n">
        <v>15120</v>
      </c>
    </row>
    <row r="100">
      <c r="A100" s="9" t="n">
        <v>10</v>
      </c>
      <c r="B100" s="9" t="inlineStr">
        <is>
          <t>PREMIX 8108 (20KG)</t>
        </is>
      </c>
      <c r="C100" s="9" t="inlineStr">
        <is>
          <t>KG</t>
        </is>
      </c>
      <c r="D100" s="9" t="n">
        <v>1960</v>
      </c>
      <c r="E100" s="9" t="n">
        <v>0</v>
      </c>
      <c r="F100" s="9" t="n">
        <v>1960</v>
      </c>
      <c r="H100" s="9" t="n">
        <v>0</v>
      </c>
      <c r="I100" s="9" t="n">
        <v>1960</v>
      </c>
    </row>
    <row r="101">
      <c r="A101" s="9" t="n">
        <v>11</v>
      </c>
      <c r="B101" s="9" t="inlineStr">
        <is>
          <t>PREMIX 8109 (20KG)</t>
        </is>
      </c>
      <c r="C101" s="9" t="inlineStr">
        <is>
          <t>KG</t>
        </is>
      </c>
      <c r="D101" s="9" t="n">
        <v>9100</v>
      </c>
      <c r="E101" s="9" t="n">
        <v>0</v>
      </c>
      <c r="F101" s="9" t="n">
        <v>5760</v>
      </c>
      <c r="H101" s="9" t="n">
        <v>3340</v>
      </c>
      <c r="I101" s="9" t="n">
        <v>9100</v>
      </c>
    </row>
    <row r="102">
      <c r="A102" s="9" t="n">
        <v>12</v>
      </c>
      <c r="B102" s="9" t="inlineStr">
        <is>
          <t>YENMIX 121 (20KG)</t>
        </is>
      </c>
      <c r="C102" s="9" t="inlineStr">
        <is>
          <t>KG</t>
        </is>
      </c>
      <c r="D102" s="9" t="n">
        <v>2540</v>
      </c>
      <c r="E102" s="9" t="n">
        <v>0</v>
      </c>
      <c r="F102" s="9" t="n">
        <v>0</v>
      </c>
      <c r="H102" s="9" t="n">
        <v>2540</v>
      </c>
      <c r="I102" s="9" t="n">
        <v>2540</v>
      </c>
    </row>
    <row r="103">
      <c r="A103" s="9" t="n">
        <v>13</v>
      </c>
      <c r="B103" s="9" t="inlineStr">
        <is>
          <t>YENMIX 122 (19.50KG)</t>
        </is>
      </c>
      <c r="C103" s="9" t="inlineStr">
        <is>
          <t>KG</t>
        </is>
      </c>
      <c r="D103" s="9" t="n">
        <v>19.5</v>
      </c>
      <c r="F103" s="9" t="n">
        <v>0</v>
      </c>
      <c r="G103" s="9" t="n">
        <v>2340</v>
      </c>
      <c r="H103" s="9" t="n">
        <v>2359.5</v>
      </c>
      <c r="I103" s="9" t="n">
        <v>19.5</v>
      </c>
    </row>
    <row r="104">
      <c r="A104" s="9" t="n">
        <v>14</v>
      </c>
      <c r="B104" s="9" t="inlineStr">
        <is>
          <t>YENMIX 123 (18.90KG)</t>
        </is>
      </c>
      <c r="C104" s="9" t="inlineStr">
        <is>
          <t>KG</t>
        </is>
      </c>
      <c r="D104" s="9" t="n">
        <v>2079</v>
      </c>
      <c r="E104" s="9" t="n">
        <v>0</v>
      </c>
      <c r="F104" s="9" t="n">
        <v>189</v>
      </c>
      <c r="H104" s="9" t="n">
        <v>1890</v>
      </c>
      <c r="I104" s="9" t="n">
        <v>2079.000000000002</v>
      </c>
    </row>
    <row r="105">
      <c r="A105" s="9" t="n">
        <v>15</v>
      </c>
      <c r="B105" s="9" t="inlineStr">
        <is>
          <t>YENMIX 122 (20.50KG)</t>
        </is>
      </c>
      <c r="C105" s="9" t="inlineStr">
        <is>
          <t>KG</t>
        </is>
      </c>
      <c r="D105" s="9" t="n">
        <v>6150</v>
      </c>
      <c r="E105" s="9" t="n">
        <v>0</v>
      </c>
      <c r="F105" s="9" t="n">
        <v>0</v>
      </c>
      <c r="G105" s="9" t="n">
        <v>-2460</v>
      </c>
      <c r="H105" s="9" t="n">
        <v>3690</v>
      </c>
      <c r="I105" s="9" t="n">
        <v>6150</v>
      </c>
    </row>
    <row r="106">
      <c r="A106" s="9" t="n">
        <v>16</v>
      </c>
      <c r="B106" s="9" t="inlineStr">
        <is>
          <t>YENMIX 123 (20.00KG)</t>
        </is>
      </c>
      <c r="C106" s="9" t="inlineStr">
        <is>
          <t>KG</t>
        </is>
      </c>
      <c r="D106" s="9" t="n">
        <v>4000</v>
      </c>
      <c r="E106" s="9" t="n">
        <v>0</v>
      </c>
      <c r="F106" s="9" t="n">
        <v>0</v>
      </c>
      <c r="H106" s="9" t="n">
        <v>4000</v>
      </c>
      <c r="I106" s="9" t="n">
        <v>4000</v>
      </c>
    </row>
    <row r="107">
      <c r="A107" s="9" t="n">
        <v>17</v>
      </c>
      <c r="B107" s="9" t="inlineStr">
        <is>
          <t>TOXISORB PREMIUM</t>
        </is>
      </c>
      <c r="C107" s="9" t="inlineStr">
        <is>
          <t>KG</t>
        </is>
      </c>
      <c r="D107" s="9" t="n">
        <v>3903</v>
      </c>
      <c r="E107" s="9" t="n">
        <v>0</v>
      </c>
      <c r="F107" s="9" t="n">
        <v>179</v>
      </c>
      <c r="H107" s="9" t="n">
        <v>3724</v>
      </c>
    </row>
    <row r="108">
      <c r="A108" s="9" t="n">
        <v>18</v>
      </c>
      <c r="B108" s="9" t="inlineStr">
        <is>
          <t>SODIUM HUMATE 3.8% (HARUMI)</t>
        </is>
      </c>
      <c r="C108" s="9" t="inlineStr">
        <is>
          <t>KG</t>
        </is>
      </c>
      <c r="D108" s="9" t="n">
        <v>0</v>
      </c>
      <c r="E108" s="9" t="n">
        <v>2134</v>
      </c>
      <c r="F108" s="9" t="n">
        <v>2134</v>
      </c>
      <c r="H108" s="9" t="n">
        <v>0</v>
      </c>
    </row>
    <row r="109">
      <c r="A109" s="9" t="n">
        <v>19</v>
      </c>
      <c r="B109" s="9" t="inlineStr">
        <is>
          <t>TOXIWALL</t>
        </is>
      </c>
      <c r="C109" s="9" t="inlineStr">
        <is>
          <t>KG</t>
        </is>
      </c>
      <c r="D109" s="9" t="n">
        <v>1137</v>
      </c>
      <c r="E109" s="9" t="n">
        <v>0</v>
      </c>
      <c r="F109" s="9" t="n">
        <v>10</v>
      </c>
      <c r="H109" s="9" t="n">
        <v>1127</v>
      </c>
    </row>
    <row r="110">
      <c r="A110" s="9" t="n">
        <v>20</v>
      </c>
      <c r="B110" s="9" t="inlineStr">
        <is>
          <t>SODIUM BICARBONATE</t>
        </is>
      </c>
      <c r="C110" s="9" t="inlineStr">
        <is>
          <t>KG</t>
        </is>
      </c>
      <c r="D110" s="9" t="n">
        <v>3122.9</v>
      </c>
      <c r="E110" s="9" t="n">
        <v>0</v>
      </c>
      <c r="F110" s="9" t="n">
        <v>12</v>
      </c>
      <c r="G110" s="9" t="n">
        <v>1.1</v>
      </c>
      <c r="H110" s="9" t="n">
        <v>3112</v>
      </c>
    </row>
    <row r="111">
      <c r="A111" s="9" t="n">
        <v>21</v>
      </c>
      <c r="B111" s="9" t="inlineStr">
        <is>
          <t>BMD 10%</t>
        </is>
      </c>
      <c r="C111" s="9" t="inlineStr">
        <is>
          <t>KG</t>
        </is>
      </c>
      <c r="D111" s="9" t="n">
        <v>1680.5</v>
      </c>
      <c r="E111" s="9" t="n">
        <v>0</v>
      </c>
      <c r="F111" s="9" t="n">
        <v>0</v>
      </c>
      <c r="H111" s="9" t="n">
        <v>1680.5</v>
      </c>
    </row>
    <row r="112">
      <c r="A112" s="9" t="n">
        <v>22</v>
      </c>
      <c r="B112" s="9" t="inlineStr">
        <is>
          <t>SALT (HARUMI)</t>
        </is>
      </c>
      <c r="C112" s="9" t="inlineStr">
        <is>
          <t>KG</t>
        </is>
      </c>
      <c r="D112" s="9" t="n">
        <v>0</v>
      </c>
      <c r="E112" s="9" t="n">
        <v>324.4</v>
      </c>
      <c r="F112" s="9" t="n">
        <v>324.4</v>
      </c>
      <c r="H112" s="9" t="n">
        <v>0</v>
      </c>
    </row>
    <row r="113">
      <c r="A113" s="9" t="n">
        <v>23</v>
      </c>
      <c r="B113" s="9" t="inlineStr">
        <is>
          <t>VISTABET 91</t>
        </is>
      </c>
      <c r="C113" s="9" t="inlineStr">
        <is>
          <t>KG</t>
        </is>
      </c>
      <c r="D113" s="9" t="n">
        <v>982</v>
      </c>
      <c r="E113" s="9" t="n">
        <v>500</v>
      </c>
      <c r="F113" s="9" t="n">
        <v>0</v>
      </c>
      <c r="H113" s="9" t="n">
        <v>1482</v>
      </c>
    </row>
    <row r="114">
      <c r="A114" s="9" t="n">
        <v>24</v>
      </c>
      <c r="B114" s="9" t="inlineStr">
        <is>
          <t>8101 TOP UP</t>
        </is>
      </c>
      <c r="C114" s="9" t="inlineStr">
        <is>
          <t>KG</t>
        </is>
      </c>
      <c r="D114" s="9" t="n">
        <v>100</v>
      </c>
      <c r="E114" s="9" t="n">
        <v>0</v>
      </c>
      <c r="F114" s="9" t="n">
        <v>0</v>
      </c>
      <c r="H114" s="9" t="n">
        <v>100</v>
      </c>
    </row>
    <row r="115">
      <c r="A115" s="9" t="n">
        <v>25</v>
      </c>
      <c r="B115" s="9" t="inlineStr">
        <is>
          <t>NORPONIN X03 (8102 TOP UP)</t>
        </is>
      </c>
      <c r="C115" s="9" t="inlineStr">
        <is>
          <t>KG</t>
        </is>
      </c>
      <c r="D115" s="9" t="n">
        <v>13.96000000000004</v>
      </c>
      <c r="E115" s="9" t="n">
        <v>0</v>
      </c>
      <c r="F115" s="9" t="n">
        <v>0</v>
      </c>
      <c r="H115" s="9" t="n">
        <v>13.96000000000004</v>
      </c>
    </row>
    <row r="116">
      <c r="A116" s="9" t="n">
        <v>26</v>
      </c>
      <c r="B116" s="9" t="inlineStr">
        <is>
          <t>8102 TOP UP (4KG)</t>
        </is>
      </c>
      <c r="C116" s="9" t="inlineStr">
        <is>
          <t>KG</t>
        </is>
      </c>
      <c r="D116" s="9" t="n">
        <v>596</v>
      </c>
      <c r="E116" s="9" t="n">
        <v>800</v>
      </c>
      <c r="F116" s="9" t="n">
        <v>520</v>
      </c>
      <c r="G116" s="9" t="n">
        <v>-768</v>
      </c>
      <c r="H116" s="9" t="n">
        <v>108</v>
      </c>
    </row>
    <row r="117">
      <c r="A117" s="9" t="n">
        <v>27</v>
      </c>
      <c r="B117" s="9" t="inlineStr">
        <is>
          <t>8103 TOP UP (5KG)</t>
        </is>
      </c>
      <c r="C117" s="9" t="inlineStr">
        <is>
          <t>KG</t>
        </is>
      </c>
      <c r="D117" s="9" t="n">
        <v>400</v>
      </c>
      <c r="E117" s="9" t="n">
        <v>1940</v>
      </c>
      <c r="F117" s="9" t="n">
        <v>895</v>
      </c>
      <c r="G117" s="9" t="n">
        <v>-1200</v>
      </c>
      <c r="H117" s="9" t="n">
        <v>245</v>
      </c>
    </row>
    <row r="118">
      <c r="A118" s="9" t="n">
        <v>28</v>
      </c>
      <c r="B118" s="9" t="inlineStr">
        <is>
          <t>L-ARGININE</t>
        </is>
      </c>
      <c r="C118" s="9" t="inlineStr">
        <is>
          <t>KG</t>
        </is>
      </c>
      <c r="D118" s="9" t="n">
        <v>207.6</v>
      </c>
      <c r="E118" s="9" t="n">
        <v>0</v>
      </c>
      <c r="F118" s="9" t="n">
        <v>0</v>
      </c>
      <c r="H118" s="9" t="n">
        <v>207.6</v>
      </c>
    </row>
    <row r="119">
      <c r="A119" s="9" t="n">
        <v>29</v>
      </c>
      <c r="B119" s="9" t="inlineStr">
        <is>
          <t>DL-METHIONINE</t>
        </is>
      </c>
      <c r="C119" s="9" t="inlineStr">
        <is>
          <t>KG</t>
        </is>
      </c>
      <c r="D119" s="9" t="n">
        <v>147.04</v>
      </c>
      <c r="E119" s="9" t="n">
        <v>0</v>
      </c>
      <c r="F119" s="9" t="n">
        <v>0</v>
      </c>
      <c r="H119" s="9" t="n">
        <v>147.04</v>
      </c>
    </row>
    <row r="120">
      <c r="A120" s="9" t="n">
        <v>30</v>
      </c>
      <c r="B120" s="9" t="inlineStr">
        <is>
          <t>L-THREONINE</t>
        </is>
      </c>
      <c r="C120" s="9" t="inlineStr">
        <is>
          <t>KG</t>
        </is>
      </c>
      <c r="D120" s="9" t="n">
        <v>46.8</v>
      </c>
      <c r="E120" s="9" t="n">
        <v>0</v>
      </c>
      <c r="F120" s="9" t="n">
        <v>0</v>
      </c>
      <c r="H120" s="9" t="n">
        <v>46.8</v>
      </c>
    </row>
    <row r="121">
      <c r="A121" s="9" t="n">
        <v>31</v>
      </c>
      <c r="B121" s="9" t="inlineStr">
        <is>
          <t>FAECES DRY</t>
        </is>
      </c>
      <c r="C121" s="9" t="inlineStr">
        <is>
          <t>KG</t>
        </is>
      </c>
      <c r="D121" s="9" t="n">
        <v>24.2</v>
      </c>
      <c r="E121" s="9" t="n">
        <v>0</v>
      </c>
      <c r="F121" s="9" t="n">
        <v>0</v>
      </c>
      <c r="H121" s="9" t="n">
        <v>24.2</v>
      </c>
    </row>
    <row r="122">
      <c r="A122" s="9" t="n">
        <v>32</v>
      </c>
      <c r="B122" s="9" t="inlineStr">
        <is>
          <t>ECOBIOL</t>
        </is>
      </c>
      <c r="C122" s="9" t="inlineStr">
        <is>
          <t>KG</t>
        </is>
      </c>
      <c r="D122" s="9" t="n">
        <v>32</v>
      </c>
      <c r="E122" s="9" t="n">
        <v>0</v>
      </c>
      <c r="F122" s="9" t="n">
        <v>0</v>
      </c>
      <c r="H122" s="9" t="n">
        <v>32</v>
      </c>
    </row>
    <row r="123">
      <c r="A123" s="9" t="n">
        <v>33</v>
      </c>
      <c r="B123" s="9" t="inlineStr">
        <is>
          <t>MASTER CUBE (HARUMI)</t>
        </is>
      </c>
      <c r="C123" s="9" t="inlineStr">
        <is>
          <t>KG</t>
        </is>
      </c>
      <c r="D123" s="9" t="n">
        <v>0</v>
      </c>
      <c r="E123" s="9" t="n">
        <v>50</v>
      </c>
      <c r="F123" s="9" t="n">
        <v>50</v>
      </c>
      <c r="H123" s="9" t="n">
        <v>0</v>
      </c>
    </row>
    <row r="124">
      <c r="A124" s="9" t="n">
        <v>34</v>
      </c>
      <c r="B124" s="9" t="inlineStr">
        <is>
          <t>1101 TOP UP (0.40KG)</t>
        </is>
      </c>
      <c r="C124" s="9" t="inlineStr">
        <is>
          <t>KG</t>
        </is>
      </c>
      <c r="D124" s="9" t="n">
        <v>0</v>
      </c>
      <c r="E124" s="9" t="n">
        <v>0</v>
      </c>
      <c r="F124" s="9" t="n">
        <v>0</v>
      </c>
      <c r="H124" s="9" t="n">
        <v>0</v>
      </c>
    </row>
    <row r="125">
      <c r="A125" s="9" t="n">
        <v>35</v>
      </c>
      <c r="B125" s="9" t="inlineStr">
        <is>
          <t>1102 TOP UP (0.60KG)</t>
        </is>
      </c>
      <c r="C125" s="9" t="inlineStr">
        <is>
          <t>KG</t>
        </is>
      </c>
      <c r="D125" s="9" t="n">
        <v>0</v>
      </c>
      <c r="E125" s="9" t="n">
        <v>228</v>
      </c>
      <c r="F125" s="9" t="n">
        <v>0</v>
      </c>
      <c r="G125" s="9" t="n">
        <v>-92.40000000000001</v>
      </c>
      <c r="H125" s="9" t="n">
        <v>135.6</v>
      </c>
    </row>
    <row r="126">
      <c r="A126" s="9" t="n">
        <v>36</v>
      </c>
      <c r="B126" s="9" t="inlineStr">
        <is>
          <t>1103 TOP UP (2.00KG)</t>
        </is>
      </c>
      <c r="C126" s="9" t="inlineStr">
        <is>
          <t>KG</t>
        </is>
      </c>
      <c r="D126" s="9" t="n">
        <v>0</v>
      </c>
      <c r="E126" s="9" t="n">
        <v>1000</v>
      </c>
      <c r="F126" s="9" t="n">
        <v>172</v>
      </c>
      <c r="G126" s="9" t="n">
        <v>-700</v>
      </c>
      <c r="H126" s="9" t="n">
        <v>128</v>
      </c>
    </row>
    <row r="127">
      <c r="A127" s="9" t="n">
        <v>37</v>
      </c>
      <c r="B127" s="9" t="inlineStr">
        <is>
          <t>QUANTUM GLO 4%</t>
        </is>
      </c>
      <c r="C127" s="9" t="inlineStr">
        <is>
          <t>KG</t>
        </is>
      </c>
      <c r="D127" s="9" t="n">
        <v>0</v>
      </c>
      <c r="E127" s="9" t="n">
        <v>40</v>
      </c>
      <c r="F127" s="9" t="n">
        <v>28.75</v>
      </c>
      <c r="H127" s="9" t="n">
        <v>11.25</v>
      </c>
    </row>
    <row r="128">
      <c r="A128" s="9" t="n">
        <v>38</v>
      </c>
      <c r="B128" s="9" t="inlineStr">
        <is>
          <t>SALT</t>
        </is>
      </c>
      <c r="C128" s="9" t="inlineStr">
        <is>
          <t>KG</t>
        </is>
      </c>
      <c r="D128" s="9" t="n">
        <v>41.59999999999991</v>
      </c>
      <c r="E128" s="9" t="n">
        <v>0</v>
      </c>
      <c r="F128" s="9" t="n">
        <v>0</v>
      </c>
      <c r="H128" s="9" t="n">
        <v>41.59999999999991</v>
      </c>
    </row>
    <row r="129">
      <c r="A129" s="9" t="n">
        <v>39</v>
      </c>
      <c r="B129" s="9" t="inlineStr">
        <is>
          <t>OC 200 - OXYTET 20%</t>
        </is>
      </c>
      <c r="C129" s="9" t="inlineStr">
        <is>
          <t>KG</t>
        </is>
      </c>
      <c r="D129" s="9" t="n">
        <v>0</v>
      </c>
      <c r="E129" s="9" t="n">
        <v>0</v>
      </c>
      <c r="F129" s="9" t="n">
        <v>0</v>
      </c>
      <c r="H129" s="9" t="n">
        <v>0</v>
      </c>
    </row>
    <row r="130"/>
    <row r="131">
      <c r="B131" s="9" t="inlineStr">
        <is>
          <t>PACKING MATERIALS</t>
        </is>
      </c>
    </row>
    <row r="132">
      <c r="A132" s="9" t="n">
        <v>1</v>
      </c>
      <c r="B132" s="9" t="inlineStr">
        <is>
          <t>WOVEN BAG (1101) - BLUE 50KG</t>
        </is>
      </c>
      <c r="C132" s="9" t="inlineStr">
        <is>
          <t>PCS</t>
        </is>
      </c>
      <c r="D132" s="9" t="n">
        <v>2317</v>
      </c>
      <c r="E132" s="9" t="n">
        <v>0</v>
      </c>
      <c r="F132" s="9" t="n">
        <v>1118</v>
      </c>
      <c r="H132" s="9" t="n">
        <v>1199</v>
      </c>
    </row>
    <row r="133">
      <c r="A133" s="9" t="n">
        <v>2</v>
      </c>
      <c r="B133" s="9" t="inlineStr">
        <is>
          <t>WOVEN BAG (1102) - GREEN 50KG</t>
        </is>
      </c>
      <c r="C133" s="9" t="inlineStr">
        <is>
          <t>PCS</t>
        </is>
      </c>
      <c r="D133" s="9" t="n">
        <v>776</v>
      </c>
      <c r="E133" s="9" t="n">
        <v>0</v>
      </c>
      <c r="F133" s="9" t="n">
        <v>776</v>
      </c>
      <c r="H133" s="9" t="n">
        <v>0</v>
      </c>
    </row>
    <row r="134">
      <c r="A134" s="9" t="n">
        <v>3</v>
      </c>
      <c r="B134" s="9" t="inlineStr">
        <is>
          <t>WOVEN BAG (1103) - RED 50KG</t>
        </is>
      </c>
      <c r="C134" s="9" t="inlineStr">
        <is>
          <t>PCS</t>
        </is>
      </c>
      <c r="D134" s="9" t="n">
        <v>13455</v>
      </c>
      <c r="F134" s="9" t="n">
        <v>6642</v>
      </c>
      <c r="H134" s="9" t="n">
        <v>6813</v>
      </c>
    </row>
    <row r="135">
      <c r="A135" s="9" t="n">
        <v>4</v>
      </c>
      <c r="B135" s="9" t="inlineStr">
        <is>
          <t>PLAIN BAG 26" X 39" (50KG)</t>
        </is>
      </c>
      <c r="C135" s="9" t="inlineStr">
        <is>
          <t>PCS</t>
        </is>
      </c>
      <c r="D135" s="9" t="n">
        <v>1481</v>
      </c>
      <c r="E135" s="9" t="n">
        <v>8000</v>
      </c>
      <c r="F135" s="9" t="n">
        <v>1923</v>
      </c>
      <c r="G135" s="9" t="n">
        <v>266</v>
      </c>
      <c r="H135" s="9" t="n">
        <v>7824</v>
      </c>
    </row>
    <row r="136">
      <c r="A136" s="9" t="n">
        <v>5</v>
      </c>
      <c r="B136" s="9" t="inlineStr">
        <is>
          <t>WOVEN BAG (8101) - KHAKI 50KG</t>
        </is>
      </c>
      <c r="C136" s="9" t="inlineStr">
        <is>
          <t>PCS</t>
        </is>
      </c>
      <c r="D136" s="9" t="n">
        <v>1901</v>
      </c>
      <c r="F136" s="9" t="n">
        <v>280</v>
      </c>
      <c r="H136" s="9" t="n">
        <v>1621</v>
      </c>
    </row>
    <row r="137">
      <c r="A137" s="9" t="n">
        <v>6</v>
      </c>
      <c r="B137" s="9" t="inlineStr">
        <is>
          <t>WOVEN BAG (8102) - SKY BLUE 50KG</t>
        </is>
      </c>
      <c r="C137" s="9" t="inlineStr">
        <is>
          <t>PCS</t>
        </is>
      </c>
      <c r="D137" s="9" t="n">
        <v>6459</v>
      </c>
      <c r="F137" s="9" t="n">
        <v>266</v>
      </c>
      <c r="H137" s="9" t="n">
        <v>6193</v>
      </c>
    </row>
    <row r="138"/>
    <row r="139">
      <c r="B139" s="9" t="inlineStr">
        <is>
          <t>TOTAL</t>
        </is>
      </c>
      <c r="D139" s="9" t="n">
        <v>533437.1000000001</v>
      </c>
      <c r="E139" s="9" t="n">
        <v>1254233.32</v>
      </c>
      <c r="F139" s="9" t="n">
        <v>1157608.44</v>
      </c>
      <c r="G139" s="9" t="n">
        <v>-14812.9</v>
      </c>
      <c r="H139" s="9" t="n">
        <v>615249.08</v>
      </c>
    </row>
    <row r="140"/>
    <row r="141"/>
    <row r="142"/>
    <row r="143"/>
    <row r="144"/>
    <row r="145">
      <c r="B145" s="9" t="inlineStr">
        <is>
          <t>Prepared by: ______________</t>
        </is>
      </c>
      <c r="G145" s="9" t="inlineStr">
        <is>
          <t xml:space="preserve">   Approved by: ______________</t>
        </is>
      </c>
    </row>
    <row r="146"/>
    <row r="147"/>
    <row r="148">
      <c r="B148" s="9" t="inlineStr">
        <is>
          <t>HARUMI Stock - MAY 2026</t>
        </is>
      </c>
    </row>
    <row r="149"/>
    <row r="150">
      <c r="B150" s="9" t="inlineStr">
        <is>
          <t>Remark for adjustment (+)</t>
        </is>
      </c>
    </row>
    <row r="151">
      <c r="B151" s="9" t="inlineStr">
        <is>
          <t xml:space="preserve">CORN GLUTEN MEAL </t>
        </is>
      </c>
      <c r="C151" s="9" t="inlineStr">
        <is>
          <t>KG</t>
        </is>
      </c>
      <c r="D151" s="9" t="n">
        <v>27970</v>
      </c>
    </row>
    <row r="152">
      <c r="B152" s="9" t="inlineStr">
        <is>
          <t>Reason: Stock Transferred from Xun Ta</t>
        </is>
      </c>
    </row>
    <row r="153">
      <c r="B153" s="9" t="inlineStr">
        <is>
          <t>PPSB00833/DO16995                14/5/2026</t>
        </is>
      </c>
    </row>
    <row r="154"/>
    <row r="155">
      <c r="B155" s="9" t="inlineStr">
        <is>
          <t>SODIUM BICARBONATE</t>
        </is>
      </c>
      <c r="C155" s="9" t="inlineStr">
        <is>
          <t>KG</t>
        </is>
      </c>
      <c r="D155" s="9" t="n">
        <v>1.1</v>
      </c>
    </row>
    <row r="156">
      <c r="B156" s="9" t="inlineStr">
        <is>
          <t>PLAIN BAG 26" X 39" (50KG)</t>
        </is>
      </c>
      <c r="C156" s="9" t="inlineStr">
        <is>
          <t>PCS</t>
        </is>
      </c>
      <c r="D156" s="9" t="n">
        <v>266</v>
      </c>
    </row>
    <row r="157">
      <c r="B157" s="9" t="inlineStr">
        <is>
          <t>Reason: Cut off</t>
        </is>
      </c>
    </row>
    <row r="158"/>
    <row r="159">
      <c r="B159" s="9" t="inlineStr">
        <is>
          <t>YENMIX 122 (19.50KG)</t>
        </is>
      </c>
      <c r="C159" s="9" t="inlineStr">
        <is>
          <t>KG</t>
        </is>
      </c>
      <c r="D159" s="9" t="n">
        <v>2340</v>
      </c>
    </row>
    <row r="160">
      <c r="B160" s="9" t="inlineStr">
        <is>
          <t>Reason: Cause not using to produce become feed yet.</t>
        </is>
      </c>
    </row>
    <row r="161"/>
    <row r="162">
      <c r="B162" s="9" t="inlineStr">
        <is>
          <t>Remark for adjustment (-)</t>
        </is>
      </c>
    </row>
    <row r="163">
      <c r="B163" s="9" t="inlineStr">
        <is>
          <t>WHEAT POLLARD</t>
        </is>
      </c>
      <c r="C163" s="9" t="inlineStr">
        <is>
          <t>KG</t>
        </is>
      </c>
      <c r="D163" s="9" t="n">
        <v>-1029.6</v>
      </c>
    </row>
    <row r="164">
      <c r="B164" s="9" t="inlineStr">
        <is>
          <t>Reason: Cut off</t>
        </is>
      </c>
    </row>
    <row r="165"/>
    <row r="166">
      <c r="B166" s="9" t="inlineStr">
        <is>
          <t>MEAT &amp; BONE MEAL</t>
        </is>
      </c>
      <c r="C166" s="9" t="inlineStr">
        <is>
          <t>KG</t>
        </is>
      </c>
      <c r="D166" s="9" t="n">
        <v>-19580</v>
      </c>
    </row>
    <row r="167">
      <c r="B167" s="9" t="inlineStr">
        <is>
          <t>Reason: Stock Transferred to Xun Ta</t>
        </is>
      </c>
    </row>
    <row r="168">
      <c r="B168" s="9" t="inlineStr">
        <is>
          <t>PPSB00832                               15/5/2026</t>
        </is>
      </c>
    </row>
    <row r="169"/>
    <row r="170">
      <c r="B170" s="9" t="inlineStr">
        <is>
          <t>PREMIX 8101 (20KG)</t>
        </is>
      </c>
      <c r="C170" s="9" t="inlineStr">
        <is>
          <t>KG</t>
        </is>
      </c>
      <c r="D170" s="9" t="n">
        <v>-6000</v>
      </c>
    </row>
    <row r="171">
      <c r="B171" s="9" t="inlineStr">
        <is>
          <t>Reason: Return to Weissen</t>
        </is>
      </c>
    </row>
    <row r="172">
      <c r="B172" s="9" t="inlineStr">
        <is>
          <t>PPSB00856                                8/5/2026</t>
        </is>
      </c>
    </row>
    <row r="173"/>
    <row r="174">
      <c r="B174" s="9" t="inlineStr">
        <is>
          <t>PREMIX 8102 (20KG)</t>
        </is>
      </c>
      <c r="C174" s="9" t="inlineStr">
        <is>
          <t>KG</t>
        </is>
      </c>
      <c r="D174" s="9" t="n">
        <v>-3400</v>
      </c>
    </row>
    <row r="175">
      <c r="B175" s="9" t="inlineStr">
        <is>
          <t>Reason: Stock Transferred to Liang Teik</t>
        </is>
      </c>
    </row>
    <row r="176">
      <c r="B176" s="9" t="inlineStr">
        <is>
          <t>PPSB00835                               23/5/2026</t>
        </is>
      </c>
      <c r="D176" s="9" t="n">
        <v>-3360</v>
      </c>
    </row>
    <row r="177">
      <c r="B177" s="9" t="inlineStr">
        <is>
          <t>Reason: Stock Transferred to Liang Teik</t>
        </is>
      </c>
    </row>
    <row r="178">
      <c r="B178" s="9" t="inlineStr">
        <is>
          <t>PPSB00838                               30/5/2026</t>
        </is>
      </c>
      <c r="D178" s="9" t="n">
        <v>-40</v>
      </c>
    </row>
    <row r="179"/>
    <row r="180">
      <c r="B180" s="9" t="inlineStr">
        <is>
          <t>PREMIX 8103 (20KG)</t>
        </is>
      </c>
      <c r="C180" s="9" t="inlineStr">
        <is>
          <t>KG</t>
        </is>
      </c>
      <c r="D180" s="9" t="n">
        <v>-7900</v>
      </c>
    </row>
    <row r="181">
      <c r="B181" s="9" t="inlineStr">
        <is>
          <t>Reason: Stock Transferred to Liang Teik</t>
        </is>
      </c>
    </row>
    <row r="182">
      <c r="B182" s="9" t="inlineStr">
        <is>
          <t>PPSB00835                               23/5/2026</t>
        </is>
      </c>
      <c r="D182" s="9" t="n">
        <v>-3900</v>
      </c>
    </row>
    <row r="183">
      <c r="B183" s="9" t="inlineStr">
        <is>
          <t>Reason: Stock Transferred to Liang Teik</t>
        </is>
      </c>
    </row>
    <row r="184">
      <c r="B184" s="9" t="inlineStr">
        <is>
          <t>PPSB00838                               30/5/2026</t>
        </is>
      </c>
      <c r="D184" s="9" t="n">
        <v>-4000</v>
      </c>
    </row>
    <row r="185"/>
    <row r="186">
      <c r="B186" s="9" t="inlineStr">
        <is>
          <t>PREMIX 8103 (20KG)</t>
        </is>
      </c>
      <c r="C186" s="9" t="inlineStr">
        <is>
          <t>KG</t>
        </is>
      </c>
      <c r="D186" s="9" t="n">
        <v>-2260</v>
      </c>
    </row>
    <row r="187">
      <c r="B187" s="9" t="inlineStr">
        <is>
          <t>Reason: Return to Weissen</t>
        </is>
      </c>
    </row>
    <row r="188">
      <c r="B188" s="9" t="inlineStr">
        <is>
          <t>PPSB00857                               12/5/2026</t>
        </is>
      </c>
    </row>
    <row r="189"/>
    <row r="190">
      <c r="B190" s="9" t="inlineStr">
        <is>
          <t>YENMIX 122 (20.50KG)</t>
        </is>
      </c>
      <c r="C190" s="9" t="inlineStr">
        <is>
          <t>KG</t>
        </is>
      </c>
      <c r="D190" s="9" t="n">
        <v>-2460</v>
      </c>
    </row>
    <row r="191">
      <c r="B191" s="9" t="inlineStr">
        <is>
          <t>Reason: Usage on April</t>
        </is>
      </c>
    </row>
    <row r="192"/>
    <row r="193">
      <c r="B193" s="9" t="inlineStr">
        <is>
          <t>8102 TOP UP</t>
        </is>
      </c>
      <c r="C193" s="9" t="inlineStr">
        <is>
          <t>KG</t>
        </is>
      </c>
      <c r="D193" s="9" t="n">
        <v>-768</v>
      </c>
    </row>
    <row r="194">
      <c r="B194" s="9" t="inlineStr">
        <is>
          <t>Reason: Stock Transferred to Liang Teik</t>
        </is>
      </c>
    </row>
    <row r="195">
      <c r="B195" s="9" t="inlineStr">
        <is>
          <t>PPSB00835                               23/5/2026</t>
        </is>
      </c>
      <c r="D195" s="9" t="n">
        <v>-700</v>
      </c>
    </row>
    <row r="196">
      <c r="B196" s="9" t="inlineStr">
        <is>
          <t>Reason: Stock Transferred to Liang Teik</t>
        </is>
      </c>
    </row>
    <row r="197">
      <c r="B197" s="9" t="inlineStr">
        <is>
          <t>PPSB00838                               30/5/2026</t>
        </is>
      </c>
      <c r="D197" s="9" t="n">
        <v>-68</v>
      </c>
    </row>
    <row r="198"/>
    <row r="199">
      <c r="B199" s="9" t="inlineStr">
        <is>
          <t>8103 TOP UP</t>
        </is>
      </c>
      <c r="C199" s="9" t="inlineStr">
        <is>
          <t>KG</t>
        </is>
      </c>
      <c r="D199" s="9" t="n">
        <v>-1200</v>
      </c>
    </row>
    <row r="200">
      <c r="B200" s="9" t="inlineStr">
        <is>
          <t>Reason: Stock Transferred to Liang Teik</t>
        </is>
      </c>
    </row>
    <row r="201">
      <c r="B201" s="9" t="inlineStr">
        <is>
          <t>PPSB00835                               23/5/2026</t>
        </is>
      </c>
    </row>
    <row r="202"/>
    <row r="203">
      <c r="B203" s="9" t="inlineStr">
        <is>
          <t>TOP UP 1102 (0.60KG)</t>
        </is>
      </c>
      <c r="C203" s="9" t="inlineStr">
        <is>
          <t>KG</t>
        </is>
      </c>
      <c r="D203" s="9" t="n">
        <v>-92.40000000000001</v>
      </c>
    </row>
    <row r="204">
      <c r="B204" s="9" t="inlineStr">
        <is>
          <t>Reason: Stock Transferred to Xun Ta</t>
        </is>
      </c>
    </row>
    <row r="205">
      <c r="B205" s="9" t="inlineStr">
        <is>
          <t>PPSB00839                               30/5/2026</t>
        </is>
      </c>
    </row>
    <row r="206"/>
    <row r="207">
      <c r="B207" s="9" t="inlineStr">
        <is>
          <t>1103 TOP UP</t>
        </is>
      </c>
      <c r="C207" s="9" t="inlineStr">
        <is>
          <t>KG</t>
        </is>
      </c>
      <c r="D207" s="9" t="n">
        <v>-700</v>
      </c>
    </row>
    <row r="208">
      <c r="B208" s="9" t="inlineStr">
        <is>
          <t>Reason: Stock Transferred to Liang Teik</t>
        </is>
      </c>
    </row>
    <row r="209">
      <c r="B209" s="9" t="inlineStr">
        <is>
          <t>PPSB00838                               30/5/2026</t>
        </is>
      </c>
      <c r="D209" s="9" t="n">
        <v>-346</v>
      </c>
    </row>
    <row r="210">
      <c r="B210" s="9" t="inlineStr">
        <is>
          <t>Reason: Stock Transferred to Xun Ta</t>
        </is>
      </c>
    </row>
    <row r="211">
      <c r="B211" s="9" t="inlineStr">
        <is>
          <t>PPSB00839                               30/5/2026</t>
        </is>
      </c>
      <c r="D211" s="9" t="n">
        <v>-354</v>
      </c>
    </row>
    <row r="212"/>
    <row r="213"/>
    <row r="214">
      <c r="B214" s="9" t="inlineStr">
        <is>
          <t>Prepared by: ______________</t>
        </is>
      </c>
      <c r="G214" s="9" t="inlineStr">
        <is>
          <t xml:space="preserve">   Approved by: ______________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1" customWidth="1" min="4" max="4"/>
    <col width="21" customWidth="1" min="5" max="5"/>
    <col width="21" customWidth="1" min="6" max="6"/>
    <col width="23" customWidth="1" min="7" max="7"/>
    <col width="21" customWidth="1" min="8" max="8"/>
    <col width="21" customWidth="1" min="9" max="9"/>
    <col width="2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JUN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244343.4000000001</v>
      </c>
      <c r="E4" s="9" t="n">
        <v>462870</v>
      </c>
      <c r="F4" s="9" t="n">
        <v>566158.5699999999</v>
      </c>
      <c r="G4" s="9" t="n">
        <v>-37447.03000000003</v>
      </c>
      <c r="H4" s="9" t="n">
        <v>103607.8000000001</v>
      </c>
      <c r="O4" s="9" t="n">
        <v>-103607.8000000001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105957.2000000001</v>
      </c>
      <c r="E5" s="9" t="n">
        <v>230900</v>
      </c>
      <c r="F5" s="9" t="n">
        <v>285356.79</v>
      </c>
      <c r="G5" s="9" t="n">
        <v>-1.209999999987076</v>
      </c>
      <c r="H5" s="9" t="n">
        <v>51499.20000000007</v>
      </c>
      <c r="O5" s="9" t="n">
        <v>-51499.20000000007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44686.29999999997</v>
      </c>
      <c r="E6" s="9" t="n">
        <v>45100</v>
      </c>
      <c r="F6" s="9" t="n">
        <v>57040</v>
      </c>
      <c r="G6" s="9" t="n">
        <v>-14.2999999999995</v>
      </c>
      <c r="H6" s="9" t="n">
        <v>32731.99999999997</v>
      </c>
      <c r="O6" s="9" t="n">
        <v>-32731.99999999997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12193.40000000002</v>
      </c>
      <c r="E7" s="9" t="n">
        <v>22380</v>
      </c>
      <c r="F7" s="9" t="n">
        <v>1200</v>
      </c>
      <c r="G7" s="9" t="n">
        <v>-0.6999999999999318</v>
      </c>
      <c r="H7" s="9" t="n">
        <v>33372.70000000002</v>
      </c>
      <c r="O7" s="9" t="n">
        <v>-33372.70000000002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18566.7</v>
      </c>
      <c r="E9" s="9" t="n">
        <v>0</v>
      </c>
      <c r="F9" s="9" t="n">
        <v>4620</v>
      </c>
      <c r="G9" s="9" t="n">
        <v>-0.4999999999998153</v>
      </c>
      <c r="H9" s="9" t="n">
        <v>13946.2</v>
      </c>
      <c r="O9" s="9" t="n">
        <v>-13946.2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34163.99999999999</v>
      </c>
      <c r="E10" s="9" t="n">
        <v>11000</v>
      </c>
      <c r="F10" s="9" t="n">
        <v>8613</v>
      </c>
      <c r="G10" s="9" t="n">
        <v>396.6999999999998</v>
      </c>
      <c r="H10" s="9" t="n">
        <v>36947.7</v>
      </c>
      <c r="O10" s="9" t="n">
        <v>-36947.7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12039.3</v>
      </c>
      <c r="F11" s="9" t="n">
        <v>11039</v>
      </c>
      <c r="G11" s="9" t="n">
        <v>-1000.3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5083.129999999999</v>
      </c>
      <c r="E12" s="9" t="n">
        <v>0</v>
      </c>
      <c r="F12" s="9" t="n">
        <v>4131.72</v>
      </c>
      <c r="G12" s="9" t="n">
        <v>1437.37</v>
      </c>
      <c r="H12" s="9" t="n">
        <v>2388.779999999999</v>
      </c>
      <c r="O12" s="9" t="n">
        <v>-2388.779999999999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6166.970000000001</v>
      </c>
      <c r="F13" s="9" t="n">
        <v>2052.36</v>
      </c>
      <c r="G13" s="9" t="n">
        <v>-4114.610000000001</v>
      </c>
      <c r="H13" s="9" t="n">
        <v>0</v>
      </c>
      <c r="O13" s="9" t="n">
        <v>0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19623.90000000001</v>
      </c>
      <c r="E15" s="9" t="n">
        <v>1880.8</v>
      </c>
      <c r="F15" s="9" t="n">
        <v>12480</v>
      </c>
      <c r="G15" s="9" t="n">
        <v>-534.8</v>
      </c>
      <c r="H15" s="9" t="n">
        <v>8489.900000000007</v>
      </c>
      <c r="O15" s="9" t="n">
        <v>-8489.900000000007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35234.99999999999</v>
      </c>
      <c r="E16" s="9" t="n">
        <v>0</v>
      </c>
      <c r="F16" s="9" t="n">
        <v>300</v>
      </c>
      <c r="G16" s="9" t="n">
        <v>-0.5</v>
      </c>
      <c r="H16" s="9" t="n">
        <v>34934.49999999999</v>
      </c>
      <c r="O16" s="9" t="n">
        <v>-34934.49999999999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351.76</v>
      </c>
      <c r="F19" s="9" t="n">
        <v>0</v>
      </c>
      <c r="G19" s="9" t="n">
        <v>-351.76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4140</v>
      </c>
      <c r="E25" s="9" t="n">
        <v>0</v>
      </c>
      <c r="F25" s="9" t="n">
        <v>0</v>
      </c>
      <c r="G25" s="9" t="n">
        <v>-2980</v>
      </c>
      <c r="H25" s="9" t="n">
        <v>1160</v>
      </c>
      <c r="O25" s="9" t="n">
        <v>-1160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5040</v>
      </c>
      <c r="E26" s="9" t="n">
        <v>0</v>
      </c>
      <c r="F26" s="9" t="n">
        <v>0</v>
      </c>
      <c r="G26" s="9" t="n">
        <v>-4080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0</v>
      </c>
      <c r="G27" s="9" t="n">
        <v>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600</v>
      </c>
      <c r="E28" s="9" t="n">
        <v>1000</v>
      </c>
      <c r="F28" s="9" t="n">
        <v>1200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6800</v>
      </c>
      <c r="E31" s="9" t="n">
        <v>0</v>
      </c>
      <c r="F31" s="9" t="n">
        <v>120</v>
      </c>
      <c r="G31" s="9" t="n">
        <v>0</v>
      </c>
      <c r="H31" s="9" t="n">
        <v>6680</v>
      </c>
      <c r="O31" s="9" t="n">
        <v>-6680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720</v>
      </c>
      <c r="E32" s="9" t="n">
        <v>0</v>
      </c>
      <c r="F32" s="9" t="n">
        <v>0</v>
      </c>
      <c r="G32" s="9" t="n">
        <v>0</v>
      </c>
      <c r="H32" s="9" t="n">
        <v>720</v>
      </c>
      <c r="O32" s="9" t="n">
        <v>-720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8140</v>
      </c>
      <c r="E33" s="9" t="n">
        <v>0</v>
      </c>
      <c r="F33" s="9" t="n">
        <v>0</v>
      </c>
      <c r="G33" s="9" t="n">
        <v>-1620</v>
      </c>
      <c r="H33" s="9" t="n">
        <v>6520</v>
      </c>
      <c r="O33" s="9" t="n">
        <v>-6520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4960</v>
      </c>
      <c r="E34" s="9" t="n">
        <v>0</v>
      </c>
      <c r="F34" s="9" t="n">
        <v>0</v>
      </c>
      <c r="G34" s="9" t="n">
        <v>0</v>
      </c>
      <c r="H34" s="9" t="n">
        <v>4960</v>
      </c>
      <c r="O34" s="9" t="n">
        <v>-4960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3340</v>
      </c>
      <c r="E36" s="9" t="n">
        <v>0</v>
      </c>
      <c r="F36" s="9" t="n">
        <v>6280</v>
      </c>
      <c r="G36" s="9" t="n">
        <v>2940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3724</v>
      </c>
      <c r="E45" s="9" t="n">
        <v>144</v>
      </c>
      <c r="F45" s="9" t="n">
        <v>3</v>
      </c>
      <c r="G45" s="9" t="n">
        <v>0</v>
      </c>
      <c r="H45" s="9" t="n">
        <v>3595</v>
      </c>
      <c r="O45" s="9" t="n">
        <v>-3595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6990</v>
      </c>
      <c r="F46" s="9" t="n">
        <v>1260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  <c r="C47" s="9" t="inlineStr">
        <is>
          <t>KG</t>
        </is>
      </c>
      <c r="D47" s="9" t="n">
        <v>1127</v>
      </c>
      <c r="H47" s="9" t="n">
        <v>1127</v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BMD 10%</t>
        </is>
      </c>
      <c r="C49" s="9" t="inlineStr">
        <is>
          <t>KG</t>
        </is>
      </c>
      <c r="D49" s="9" t="n">
        <v>1680.5</v>
      </c>
      <c r="E49" s="9" t="n">
        <v>0</v>
      </c>
      <c r="F49" s="9" t="n">
        <v>0</v>
      </c>
      <c r="G49" s="9" t="n">
        <v>0</v>
      </c>
      <c r="H49" s="9" t="n">
        <v>1680.5</v>
      </c>
      <c r="O49" s="9" t="n">
        <v>-1680.5</v>
      </c>
    </row>
    <row r="50">
      <c r="B50" s="9" t="inlineStr">
        <is>
          <t>SALT (HARUMI)</t>
        </is>
      </c>
      <c r="C50" s="9" t="inlineStr">
        <is>
          <t>KG</t>
        </is>
      </c>
      <c r="D50" s="9" t="n">
        <v>0</v>
      </c>
      <c r="E50" s="9" t="n">
        <v>1209.4</v>
      </c>
      <c r="F50" s="9" t="n">
        <v>1209.4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VISTABET 91</t>
        </is>
      </c>
      <c r="C51" s="9" t="inlineStr">
        <is>
          <t>KG</t>
        </is>
      </c>
      <c r="D51" s="9" t="n">
        <v>1482</v>
      </c>
      <c r="E51" s="9" t="n">
        <v>0</v>
      </c>
      <c r="F51" s="9" t="n">
        <v>0</v>
      </c>
      <c r="G51" s="9" t="n">
        <v>0</v>
      </c>
      <c r="H51" s="9" t="n">
        <v>1482</v>
      </c>
      <c r="O51" s="9" t="n">
        <v>-1482</v>
      </c>
    </row>
    <row r="52">
      <c r="B52" s="9" t="inlineStr">
        <is>
          <t>BETAFIN</t>
        </is>
      </c>
      <c r="C52" s="9" t="inlineStr">
        <is>
          <t>KG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8101 TOP UP</t>
        </is>
      </c>
      <c r="C53" s="9" t="inlineStr">
        <is>
          <t>KG</t>
        </is>
      </c>
      <c r="D53" s="9" t="n">
        <v>100</v>
      </c>
      <c r="E53" s="9" t="n">
        <v>0</v>
      </c>
      <c r="F53" s="9" t="n">
        <v>0</v>
      </c>
      <c r="G53" s="9" t="n">
        <v>0</v>
      </c>
      <c r="H53" s="9" t="n">
        <v>100</v>
      </c>
      <c r="O53" s="9" t="n">
        <v>-100</v>
      </c>
    </row>
    <row r="54">
      <c r="B54" s="9" t="inlineStr">
        <is>
          <t>NORPONIN X03 (8102 TOP UP)</t>
        </is>
      </c>
      <c r="C54" s="9" t="inlineStr">
        <is>
          <t>KG</t>
        </is>
      </c>
      <c r="D54" s="9" t="n">
        <v>13.96000000000004</v>
      </c>
      <c r="E54" s="9" t="n">
        <v>0</v>
      </c>
      <c r="F54" s="9" t="n">
        <v>0</v>
      </c>
      <c r="G54" s="9" t="n">
        <v>0</v>
      </c>
      <c r="H54" s="9" t="n">
        <v>13.96000000000004</v>
      </c>
      <c r="O54" s="9" t="n">
        <v>-13.96000000000004</v>
      </c>
    </row>
    <row r="55">
      <c r="B55" s="9" t="inlineStr">
        <is>
          <t>8102 TOP UP (4KG)</t>
        </is>
      </c>
      <c r="C55" s="9" t="inlineStr">
        <is>
          <t>KG</t>
        </is>
      </c>
      <c r="D55" s="9" t="n">
        <v>108</v>
      </c>
      <c r="E55" s="9" t="n">
        <v>1628</v>
      </c>
      <c r="F55" s="9" t="n">
        <v>0</v>
      </c>
      <c r="G55" s="9" t="n">
        <v>0</v>
      </c>
      <c r="H55" s="9" t="n">
        <v>1736</v>
      </c>
      <c r="O55" s="9" t="n">
        <v>-1736</v>
      </c>
    </row>
    <row r="56">
      <c r="B56" s="9" t="inlineStr">
        <is>
          <t>8103 TOP UP (5KG)</t>
        </is>
      </c>
      <c r="C56" s="9" t="inlineStr">
        <is>
          <t>KG</t>
        </is>
      </c>
      <c r="D56" s="9" t="n">
        <v>245</v>
      </c>
      <c r="E56" s="9" t="n">
        <v>625</v>
      </c>
      <c r="F56" s="9" t="n">
        <v>620</v>
      </c>
      <c r="G56" s="9" t="n">
        <v>0</v>
      </c>
      <c r="H56" s="9" t="n">
        <v>250</v>
      </c>
      <c r="O56" s="9" t="n">
        <v>-250</v>
      </c>
    </row>
    <row r="57">
      <c r="B57" s="9" t="inlineStr">
        <is>
          <t>L-ARGININE</t>
        </is>
      </c>
      <c r="C57" s="9" t="inlineStr">
        <is>
          <t>KG</t>
        </is>
      </c>
    </row>
    <row r="58">
      <c r="B58" s="9" t="inlineStr">
        <is>
          <t>DL-METHIONINE</t>
        </is>
      </c>
      <c r="C58" s="9" t="inlineStr">
        <is>
          <t>KG</t>
        </is>
      </c>
    </row>
    <row r="59">
      <c r="B59" s="9" t="inlineStr">
        <is>
          <t>L-THREONINE</t>
        </is>
      </c>
      <c r="C59" s="9" t="inlineStr">
        <is>
          <t>KG</t>
        </is>
      </c>
    </row>
    <row r="60">
      <c r="B60" s="9" t="inlineStr">
        <is>
          <t>L-LYSINE</t>
        </is>
      </c>
      <c r="C60" s="9" t="inlineStr">
        <is>
          <t>KG</t>
        </is>
      </c>
    </row>
    <row r="61"/>
    <row r="62">
      <c r="B62" s="9" t="inlineStr">
        <is>
          <t>PACKING MATERIALS</t>
        </is>
      </c>
    </row>
    <row r="63">
      <c r="C63" s="9" t="inlineStr">
        <is>
          <t>PCS</t>
        </is>
      </c>
    </row>
    <row r="64">
      <c r="C64" s="9" t="inlineStr">
        <is>
          <t>PCS</t>
        </is>
      </c>
    </row>
    <row r="65"/>
    <row r="66"/>
    <row r="67"/>
    <row r="68"/>
    <row r="69">
      <c r="B69" s="9" t="inlineStr">
        <is>
          <t>TOTAL</t>
        </is>
      </c>
      <c r="D69" s="9" t="n">
        <v>590824.9900000002</v>
      </c>
      <c r="E69" s="9" t="n">
        <v>804285.2300000001</v>
      </c>
      <c r="F69" s="9" t="n">
        <v>963683.84</v>
      </c>
      <c r="G69" s="9" t="n">
        <v>-47371.64000000002</v>
      </c>
      <c r="H69" s="9" t="n">
        <v>378054.7400000002</v>
      </c>
      <c r="K69" s="9" t="n">
        <v>0</v>
      </c>
    </row>
    <row r="70"/>
    <row r="71">
      <c r="D71" s="9" t="n">
        <v>0</v>
      </c>
      <c r="E71" s="9" t="n">
        <v>-804285.2300000001</v>
      </c>
      <c r="F71" s="9" t="n">
        <v>0</v>
      </c>
      <c r="G71" s="9" t="n">
        <v>0</v>
      </c>
      <c r="H71" s="9" t="n">
        <v>0</v>
      </c>
    </row>
    <row r="72"/>
    <row r="73">
      <c r="B73" s="9" t="inlineStr">
        <is>
          <t>HARUMI Stock - JUN 2026</t>
        </is>
      </c>
    </row>
    <row r="74">
      <c r="A74" s="9" t="inlineStr">
        <is>
          <t>No</t>
        </is>
      </c>
      <c r="B74" s="9" t="inlineStr">
        <is>
          <t>Description</t>
        </is>
      </c>
      <c r="C74" s="9" t="inlineStr">
        <is>
          <t>UOM</t>
        </is>
      </c>
      <c r="D74" s="9" t="inlineStr">
        <is>
          <t>Opening</t>
        </is>
      </c>
      <c r="E74" s="9" t="inlineStr">
        <is>
          <t>Receiving</t>
        </is>
      </c>
      <c r="F74" s="9" t="inlineStr">
        <is>
          <t>Usage</t>
        </is>
      </c>
      <c r="G74" s="9" t="inlineStr">
        <is>
          <t>Adjustment</t>
        </is>
      </c>
      <c r="H74" s="9" t="inlineStr">
        <is>
          <t>Bal (KG)</t>
        </is>
      </c>
    </row>
    <row r="75">
      <c r="B75" s="9" t="inlineStr">
        <is>
          <t>RAW MATERIAL</t>
        </is>
      </c>
    </row>
    <row r="76">
      <c r="A76" s="9" t="n">
        <v>1</v>
      </c>
      <c r="B76" s="9" t="inlineStr">
        <is>
          <t>MAIZE/CORN</t>
        </is>
      </c>
      <c r="C76" s="9" t="inlineStr">
        <is>
          <t>KG</t>
        </is>
      </c>
      <c r="D76" s="9" t="n">
        <v>244343.4000000001</v>
      </c>
      <c r="E76" s="9" t="n">
        <v>462870</v>
      </c>
      <c r="F76" s="9" t="n">
        <v>566099.7999999999</v>
      </c>
      <c r="G76" s="9" t="n">
        <v>-37505.8</v>
      </c>
      <c r="H76" s="9" t="n">
        <v>103607.8000000002</v>
      </c>
      <c r="I76" s="9" t="n">
        <v>244343.3999999999</v>
      </c>
      <c r="J76" s="9" t="inlineStr">
        <is>
          <t>MAIZE/CORN</t>
        </is>
      </c>
    </row>
    <row r="77">
      <c r="A77" s="9" t="n">
        <v>2</v>
      </c>
      <c r="B77" s="9" t="inlineStr">
        <is>
          <t>SOYBEAN MEAL (ARG)</t>
        </is>
      </c>
      <c r="C77" s="9" t="inlineStr">
        <is>
          <t>KG</t>
        </is>
      </c>
      <c r="D77" s="9" t="n">
        <v>105957.2000000001</v>
      </c>
      <c r="E77" s="9" t="n">
        <v>230900</v>
      </c>
      <c r="F77" s="9" t="n">
        <v>285358</v>
      </c>
      <c r="H77" s="9" t="n">
        <v>51499.20000000007</v>
      </c>
      <c r="I77" s="9" t="n">
        <v>105957.2000000001</v>
      </c>
      <c r="J77" s="9" t="inlineStr">
        <is>
          <t>SOYBEAN MEAL (ARG)</t>
        </is>
      </c>
    </row>
    <row r="78">
      <c r="A78" s="9" t="n">
        <v>3</v>
      </c>
      <c r="B78" s="9" t="inlineStr">
        <is>
          <t>SOYBEAN FULL FAT</t>
        </is>
      </c>
      <c r="C78" s="9" t="inlineStr">
        <is>
          <t>KG</t>
        </is>
      </c>
      <c r="D78" s="9" t="n">
        <v>44686.29999999997</v>
      </c>
      <c r="E78" s="9" t="n">
        <v>45100</v>
      </c>
      <c r="F78" s="9" t="n">
        <v>57054.30000000001</v>
      </c>
      <c r="H78" s="9" t="n">
        <v>32731.99999999996</v>
      </c>
      <c r="I78" s="9" t="n">
        <v>44686.29999999997</v>
      </c>
      <c r="J78" s="9" t="inlineStr">
        <is>
          <t>SOYBEAN FULL FAT</t>
        </is>
      </c>
    </row>
    <row r="79">
      <c r="A79" s="9" t="n">
        <v>4</v>
      </c>
      <c r="B79" s="9" t="inlineStr">
        <is>
          <t>WHEAT POLLARD</t>
        </is>
      </c>
      <c r="C79" s="9" t="inlineStr">
        <is>
          <t>KG</t>
        </is>
      </c>
      <c r="D79" s="9" t="n">
        <v>12193.40000000002</v>
      </c>
      <c r="E79" s="9" t="n">
        <v>22380</v>
      </c>
      <c r="F79" s="9" t="n">
        <v>1200.7</v>
      </c>
      <c r="H79" s="9" t="n">
        <v>33372.70000000002</v>
      </c>
      <c r="I79" s="9" t="n">
        <v>12193.40000000001</v>
      </c>
      <c r="J79" s="9" t="inlineStr">
        <is>
          <t>WHEAT POLLARD</t>
        </is>
      </c>
    </row>
    <row r="80">
      <c r="A80" s="9" t="n">
        <v>5</v>
      </c>
      <c r="B80" s="9" t="inlineStr">
        <is>
          <t>MEAT AND BONE MEAL</t>
        </is>
      </c>
      <c r="C80" s="9" t="inlineStr">
        <is>
          <t>KG</t>
        </is>
      </c>
      <c r="D80" s="9" t="n">
        <v>18566.7</v>
      </c>
      <c r="E80" s="9" t="n">
        <v>0</v>
      </c>
      <c r="F80" s="9" t="n">
        <v>4620.5</v>
      </c>
      <c r="H80" s="9" t="n">
        <v>13946.2</v>
      </c>
      <c r="I80" s="9" t="n">
        <v>18566.7</v>
      </c>
      <c r="J80" s="9" t="inlineStr">
        <is>
          <t>MEAT AND BONE MEAL</t>
        </is>
      </c>
    </row>
    <row r="81">
      <c r="A81" s="9" t="n">
        <v>6</v>
      </c>
      <c r="B81" s="9" t="inlineStr">
        <is>
          <t>CORN GLUTEN MEAL</t>
        </is>
      </c>
      <c r="C81" s="9" t="inlineStr">
        <is>
          <t>KG</t>
        </is>
      </c>
      <c r="D81" s="9" t="n">
        <v>34163.99999999999</v>
      </c>
      <c r="E81" s="9" t="n">
        <v>11000</v>
      </c>
      <c r="F81" s="9" t="n">
        <v>8216.300000000001</v>
      </c>
      <c r="H81" s="9" t="n">
        <v>36947.69999999999</v>
      </c>
      <c r="I81" s="9" t="n">
        <v>34163.99999999999</v>
      </c>
      <c r="J81" s="9" t="inlineStr">
        <is>
          <t>CORN GLUTEN MEAL</t>
        </is>
      </c>
    </row>
    <row r="82">
      <c r="A82" s="9" t="n">
        <v>7</v>
      </c>
      <c r="B82" s="9" t="inlineStr">
        <is>
          <t>MEGAFAT (HARUMI)</t>
        </is>
      </c>
      <c r="C82" s="9" t="inlineStr">
        <is>
          <t>KG</t>
        </is>
      </c>
      <c r="D82" s="9" t="n">
        <v>0</v>
      </c>
      <c r="E82" s="9" t="n">
        <v>12039.3</v>
      </c>
      <c r="F82" s="9" t="n">
        <v>12039.3</v>
      </c>
      <c r="H82" s="9" t="n">
        <v>0</v>
      </c>
      <c r="I82" s="9" t="n">
        <v>0</v>
      </c>
      <c r="J82" s="9" t="inlineStr">
        <is>
          <t>MEGAFAT (HARUMI)</t>
        </is>
      </c>
    </row>
    <row r="83">
      <c r="A83" s="9" t="n">
        <v>8</v>
      </c>
      <c r="B83" s="9" t="inlineStr">
        <is>
          <t>DCP 18%</t>
        </is>
      </c>
      <c r="C83" s="9" t="inlineStr">
        <is>
          <t>KG</t>
        </is>
      </c>
      <c r="D83" s="9" t="n">
        <v>5083.129999999999</v>
      </c>
      <c r="E83" s="9" t="n">
        <v>0</v>
      </c>
      <c r="F83" s="9" t="n">
        <v>2694.35</v>
      </c>
      <c r="H83" s="9" t="n">
        <v>2388.779999999999</v>
      </c>
      <c r="I83" s="9" t="n">
        <v>5083.129999999999</v>
      </c>
      <c r="J83" s="9" t="inlineStr">
        <is>
          <t>DCP 18%</t>
        </is>
      </c>
    </row>
    <row r="84">
      <c r="A84" s="9" t="n">
        <v>9</v>
      </c>
      <c r="B84" s="9" t="inlineStr">
        <is>
          <t>LIMESTONE POWDER (HARUMI)</t>
        </is>
      </c>
      <c r="C84" s="9" t="inlineStr">
        <is>
          <t>KG</t>
        </is>
      </c>
      <c r="D84" s="9" t="n">
        <v>0</v>
      </c>
      <c r="E84" s="9" t="n">
        <v>6166.970000000001</v>
      </c>
      <c r="F84" s="9" t="n">
        <v>6166.970000000001</v>
      </c>
      <c r="H84" s="9" t="n">
        <v>0</v>
      </c>
      <c r="I84" s="9" t="n">
        <v>0</v>
      </c>
      <c r="J84" s="9" t="inlineStr">
        <is>
          <t>LIMESTONE POWDER (HARUMI)</t>
        </is>
      </c>
    </row>
    <row r="85">
      <c r="A85" s="9" t="n">
        <v>10</v>
      </c>
      <c r="B85" s="9" t="inlineStr">
        <is>
          <t>INDUSTRY FLOUR</t>
        </is>
      </c>
      <c r="C85" s="9" t="inlineStr">
        <is>
          <t>KG</t>
        </is>
      </c>
      <c r="D85" s="9" t="n">
        <v>19623.90000000001</v>
      </c>
      <c r="F85" s="9" t="n">
        <v>12484.3</v>
      </c>
      <c r="G85" s="9" t="n">
        <v>1350.3</v>
      </c>
      <c r="H85" s="9" t="n">
        <v>8489.900000000005</v>
      </c>
      <c r="I85" s="9" t="n">
        <v>19623.9</v>
      </c>
      <c r="J85" s="9" t="inlineStr">
        <is>
          <t>INDUSTRY FLOUR</t>
        </is>
      </c>
      <c r="L85" s="9" t="n">
        <v>1350.3</v>
      </c>
    </row>
    <row r="86">
      <c r="A86" s="9" t="n">
        <v>11</v>
      </c>
      <c r="B86" s="9" t="inlineStr">
        <is>
          <t>RICE BRAN</t>
        </is>
      </c>
      <c r="C86" s="9" t="inlineStr">
        <is>
          <t>KG</t>
        </is>
      </c>
      <c r="D86" s="9" t="n">
        <v>35234.99999999999</v>
      </c>
      <c r="E86" s="9" t="n">
        <v>0</v>
      </c>
      <c r="F86" s="9" t="n">
        <v>300.5</v>
      </c>
      <c r="H86" s="9" t="n">
        <v>34934.49999999999</v>
      </c>
      <c r="I86" s="9" t="n">
        <v>35234.99999999999</v>
      </c>
      <c r="J86" s="9" t="inlineStr">
        <is>
          <t>RICE BRAN</t>
        </is>
      </c>
    </row>
    <row r="87">
      <c r="A87" s="9" t="n">
        <v>12</v>
      </c>
      <c r="B87" s="9" t="inlineStr">
        <is>
          <t>EP 200</t>
        </is>
      </c>
      <c r="C87" s="9" t="inlineStr">
        <is>
          <t>KG</t>
        </is>
      </c>
      <c r="D87" s="9" t="n">
        <v>5800</v>
      </c>
      <c r="E87" s="9" t="n">
        <v>0</v>
      </c>
      <c r="F87" s="9" t="n">
        <v>0</v>
      </c>
      <c r="H87" s="9" t="n">
        <v>5800</v>
      </c>
      <c r="I87" s="9" t="n">
        <v>5800</v>
      </c>
      <c r="J87" s="9" t="inlineStr">
        <is>
          <t>EP 200</t>
        </is>
      </c>
    </row>
    <row r="88">
      <c r="A88" s="9" t="n">
        <v>13</v>
      </c>
      <c r="B88" s="9" t="inlineStr">
        <is>
          <t>DCP 18% (HARUMI)</t>
        </is>
      </c>
      <c r="C88" s="9" t="inlineStr">
        <is>
          <t>KG</t>
        </is>
      </c>
      <c r="D88" s="9" t="n">
        <v>0</v>
      </c>
      <c r="E88" s="9" t="n">
        <v>351.76</v>
      </c>
      <c r="F88" s="9" t="n">
        <v>351.76</v>
      </c>
      <c r="H88" s="9" t="n">
        <v>0</v>
      </c>
      <c r="I88" s="9" t="n">
        <v>0</v>
      </c>
      <c r="J88" s="9" t="inlineStr">
        <is>
          <t>DCP 18% (HARUMI)</t>
        </is>
      </c>
    </row>
    <row r="89"/>
    <row r="90">
      <c r="B90" s="9" t="inlineStr">
        <is>
          <t>PREMIX &amp; ADDITIVES</t>
        </is>
      </c>
    </row>
    <row r="91">
      <c r="A91" s="9" t="n">
        <v>1</v>
      </c>
      <c r="B91" s="9" t="inlineStr">
        <is>
          <t>PREMIX 1101 (20KG)</t>
        </is>
      </c>
      <c r="C91" s="9" t="inlineStr">
        <is>
          <t>KG</t>
        </is>
      </c>
      <c r="D91" s="9" t="n">
        <v>4140</v>
      </c>
      <c r="E91" s="9" t="n">
        <v>0</v>
      </c>
      <c r="F91" s="9" t="n">
        <v>0</v>
      </c>
      <c r="G91" s="9" t="n">
        <v>-2980</v>
      </c>
      <c r="H91" s="9" t="n">
        <v>1160</v>
      </c>
      <c r="I91" s="9" t="n">
        <v>4140</v>
      </c>
      <c r="J91" s="9" t="inlineStr">
        <is>
          <t>PREMIX 1101 (20KG)</t>
        </is>
      </c>
    </row>
    <row r="92">
      <c r="A92" s="9" t="n">
        <v>2</v>
      </c>
      <c r="B92" s="9" t="inlineStr">
        <is>
          <t>PREMIX 1102 (20KG)</t>
        </is>
      </c>
      <c r="C92" s="9" t="inlineStr">
        <is>
          <t>KG</t>
        </is>
      </c>
      <c r="D92" s="9" t="n">
        <v>5040</v>
      </c>
      <c r="E92" s="9" t="n">
        <v>0</v>
      </c>
      <c r="F92" s="9" t="n">
        <v>0</v>
      </c>
      <c r="G92" s="9" t="n">
        <v>-4080</v>
      </c>
      <c r="H92" s="9" t="n">
        <v>960</v>
      </c>
      <c r="I92" s="9" t="n">
        <v>5040</v>
      </c>
      <c r="J92" s="9" t="inlineStr">
        <is>
          <t>PREMIX 1102 (20KG)</t>
        </is>
      </c>
    </row>
    <row r="93">
      <c r="A93" s="9" t="n">
        <v>3</v>
      </c>
      <c r="B93" s="9" t="inlineStr">
        <is>
          <t>PREMIX 1103 (20KG)</t>
        </is>
      </c>
      <c r="C93" s="9" t="inlineStr">
        <is>
          <t>KG</t>
        </is>
      </c>
      <c r="D93" s="9" t="n">
        <v>1760</v>
      </c>
      <c r="E93" s="9" t="n">
        <v>0</v>
      </c>
      <c r="F93" s="9" t="n">
        <v>0</v>
      </c>
      <c r="H93" s="9" t="n">
        <v>1760</v>
      </c>
      <c r="I93" s="9" t="n">
        <v>1760</v>
      </c>
      <c r="J93" s="9" t="inlineStr">
        <is>
          <t>PREMIX 1103 (20KG)</t>
        </is>
      </c>
    </row>
    <row r="94">
      <c r="A94" s="9" t="n">
        <v>4</v>
      </c>
      <c r="B94" s="9" t="inlineStr">
        <is>
          <t>PREMIX 311 (20KG)</t>
        </is>
      </c>
      <c r="C94" s="9" t="inlineStr">
        <is>
          <t>KG</t>
        </is>
      </c>
      <c r="D94" s="9" t="n">
        <v>600</v>
      </c>
      <c r="E94" s="9" t="n">
        <v>1000</v>
      </c>
      <c r="F94" s="9" t="n">
        <v>1200</v>
      </c>
      <c r="H94" s="9" t="n">
        <v>400</v>
      </c>
      <c r="I94" s="9" t="n">
        <v>600</v>
      </c>
      <c r="J94" s="9" t="inlineStr">
        <is>
          <t>PREMIX 311 (20KG)</t>
        </is>
      </c>
    </row>
    <row r="95">
      <c r="A95" s="9" t="n">
        <v>5</v>
      </c>
      <c r="B95" s="9" t="inlineStr">
        <is>
          <t>PREMIX 312 (20KG)</t>
        </is>
      </c>
      <c r="C95" s="9" t="inlineStr">
        <is>
          <t>KG</t>
        </is>
      </c>
      <c r="D95" s="9" t="n">
        <v>3600</v>
      </c>
      <c r="E95" s="9" t="n">
        <v>0</v>
      </c>
      <c r="F95" s="9" t="n">
        <v>0</v>
      </c>
      <c r="H95" s="9" t="n">
        <v>3600</v>
      </c>
      <c r="I95" s="9" t="n">
        <v>3600</v>
      </c>
      <c r="J95" s="9" t="inlineStr">
        <is>
          <t>PREMIX 312 (20KG)</t>
        </is>
      </c>
    </row>
    <row r="96">
      <c r="A96" s="9" t="n">
        <v>6</v>
      </c>
      <c r="B96" s="9" t="inlineStr">
        <is>
          <t>PREMIX 8100 (20KG)</t>
        </is>
      </c>
      <c r="C96" s="9" t="inlineStr">
        <is>
          <t>KG</t>
        </is>
      </c>
      <c r="D96" s="9" t="n">
        <v>6800</v>
      </c>
      <c r="E96" s="9" t="n">
        <v>0</v>
      </c>
      <c r="F96" s="9" t="n">
        <v>120</v>
      </c>
      <c r="H96" s="9" t="n">
        <v>6680</v>
      </c>
      <c r="I96" s="9" t="n">
        <v>6800</v>
      </c>
      <c r="J96" s="9" t="inlineStr">
        <is>
          <t>PREMIX 8100 (20KG)</t>
        </is>
      </c>
    </row>
    <row r="97">
      <c r="A97" s="9" t="n">
        <v>7</v>
      </c>
      <c r="B97" s="9" t="inlineStr">
        <is>
          <t>PREMIX 8101 (20KG)</t>
        </is>
      </c>
      <c r="C97" s="9" t="inlineStr">
        <is>
          <t>KG</t>
        </is>
      </c>
      <c r="D97" s="9" t="n">
        <v>720</v>
      </c>
      <c r="E97" s="9" t="n">
        <v>0</v>
      </c>
      <c r="F97" s="9" t="n">
        <v>0</v>
      </c>
      <c r="H97" s="9" t="n">
        <v>720</v>
      </c>
      <c r="I97" s="9" t="n">
        <v>720</v>
      </c>
      <c r="J97" s="9" t="inlineStr">
        <is>
          <t>PREMIX 8101 (20KG)</t>
        </is>
      </c>
    </row>
    <row r="98">
      <c r="A98" s="9" t="n">
        <v>8</v>
      </c>
      <c r="B98" s="9" t="inlineStr">
        <is>
          <t>PREMIX 8102 (20KG)</t>
        </is>
      </c>
      <c r="C98" s="9" t="inlineStr">
        <is>
          <t>KG</t>
        </is>
      </c>
      <c r="D98" s="9" t="n">
        <v>8140</v>
      </c>
      <c r="E98" s="9" t="n">
        <v>0</v>
      </c>
      <c r="F98" s="9" t="n">
        <v>1620</v>
      </c>
      <c r="H98" s="9" t="n">
        <v>6520</v>
      </c>
      <c r="I98" s="9" t="n">
        <v>8140</v>
      </c>
      <c r="J98" s="9" t="inlineStr">
        <is>
          <t>PREMIX 8102 (20KG)</t>
        </is>
      </c>
    </row>
    <row r="99">
      <c r="A99" s="9" t="n">
        <v>9</v>
      </c>
      <c r="B99" s="9" t="inlineStr">
        <is>
          <t>PREMIX 8103 (20KG)</t>
        </is>
      </c>
      <c r="C99" s="9" t="inlineStr">
        <is>
          <t>KG</t>
        </is>
      </c>
      <c r="D99" s="9" t="n">
        <v>4960</v>
      </c>
      <c r="E99" s="9" t="n">
        <v>0</v>
      </c>
      <c r="F99" s="9" t="n">
        <v>0</v>
      </c>
      <c r="H99" s="9" t="n">
        <v>4960</v>
      </c>
      <c r="I99" s="9" t="n">
        <v>4960</v>
      </c>
      <c r="J99" s="9" t="inlineStr">
        <is>
          <t>PREMIX 8103 (20KG)</t>
        </is>
      </c>
    </row>
    <row r="100">
      <c r="A100" s="9" t="n">
        <v>10</v>
      </c>
      <c r="B100" s="9" t="inlineStr">
        <is>
          <t>PREMIX 8109 (20KG)</t>
        </is>
      </c>
      <c r="C100" s="9" t="inlineStr">
        <is>
          <t>KG</t>
        </is>
      </c>
      <c r="D100" s="9" t="n">
        <v>3340</v>
      </c>
      <c r="E100" s="9" t="n">
        <v>0</v>
      </c>
      <c r="F100" s="9" t="n">
        <v>3340</v>
      </c>
      <c r="H100" s="9" t="n">
        <v>0</v>
      </c>
      <c r="I100" s="9" t="n">
        <v>3340</v>
      </c>
      <c r="J100" s="9" t="inlineStr">
        <is>
          <t>PREMIX 8109 (20KG)</t>
        </is>
      </c>
    </row>
    <row r="101">
      <c r="A101" s="9" t="n">
        <v>11</v>
      </c>
      <c r="B101" s="9" t="inlineStr">
        <is>
          <t>YENMIX 121 (20KG)</t>
        </is>
      </c>
      <c r="C101" s="9" t="inlineStr">
        <is>
          <t>KG</t>
        </is>
      </c>
      <c r="D101" s="9" t="n">
        <v>2540</v>
      </c>
      <c r="E101" s="9" t="n">
        <v>0</v>
      </c>
      <c r="F101" s="9" t="n">
        <v>0</v>
      </c>
      <c r="H101" s="9" t="n">
        <v>2540</v>
      </c>
      <c r="I101" s="9" t="n">
        <v>2540</v>
      </c>
      <c r="J101" s="9" t="inlineStr">
        <is>
          <t>YENMIX 121 (20KG)</t>
        </is>
      </c>
    </row>
    <row r="102">
      <c r="A102" s="9" t="n">
        <v>12</v>
      </c>
      <c r="B102" s="9" t="inlineStr">
        <is>
          <t>YENMIX 122 (19.50KG)</t>
        </is>
      </c>
      <c r="C102" s="9" t="inlineStr">
        <is>
          <t>KG</t>
        </is>
      </c>
      <c r="D102" s="9" t="n">
        <v>2359.5</v>
      </c>
      <c r="E102" s="9" t="n">
        <v>0</v>
      </c>
      <c r="F102" s="9" t="n">
        <v>0</v>
      </c>
      <c r="H102" s="9" t="n">
        <v>2359.5</v>
      </c>
      <c r="I102" s="9" t="n">
        <v>2359.5</v>
      </c>
      <c r="J102" s="9" t="inlineStr">
        <is>
          <t>YENMIX 122 (19.50KG)</t>
        </is>
      </c>
    </row>
    <row r="103">
      <c r="A103" s="9" t="n">
        <v>13</v>
      </c>
      <c r="B103" s="9" t="inlineStr">
        <is>
          <t>YENMIX 123 (18.90KG)</t>
        </is>
      </c>
      <c r="C103" s="9" t="inlineStr">
        <is>
          <t>KG</t>
        </is>
      </c>
      <c r="D103" s="9" t="n">
        <v>1890</v>
      </c>
      <c r="E103" s="9" t="n">
        <v>0</v>
      </c>
      <c r="F103" s="9" t="n">
        <v>0</v>
      </c>
      <c r="H103" s="9" t="n">
        <v>1890</v>
      </c>
      <c r="I103" s="9" t="n">
        <v>1890</v>
      </c>
      <c r="J103" s="9" t="inlineStr">
        <is>
          <t>YENMIX 123 (18.90KG)</t>
        </is>
      </c>
    </row>
    <row r="104">
      <c r="A104" s="9" t="n">
        <v>14</v>
      </c>
      <c r="B104" s="9" t="inlineStr">
        <is>
          <t>YENMIX 122 (20.50KG)</t>
        </is>
      </c>
      <c r="C104" s="9" t="inlineStr">
        <is>
          <t>KG</t>
        </is>
      </c>
      <c r="D104" s="9" t="n">
        <v>3690</v>
      </c>
      <c r="E104" s="9" t="n">
        <v>0</v>
      </c>
      <c r="F104" s="9" t="n">
        <v>0</v>
      </c>
      <c r="H104" s="9" t="n">
        <v>3690</v>
      </c>
      <c r="I104" s="9" t="n">
        <v>3690</v>
      </c>
      <c r="J104" s="9" t="inlineStr">
        <is>
          <t>YENMIX 122 (20.50KG)</t>
        </is>
      </c>
    </row>
    <row r="105">
      <c r="A105" s="9" t="n">
        <v>15</v>
      </c>
      <c r="B105" s="9" t="inlineStr">
        <is>
          <t>YENMIX 123 (20.00KG)</t>
        </is>
      </c>
      <c r="C105" s="9" t="inlineStr">
        <is>
          <t>KG</t>
        </is>
      </c>
      <c r="D105" s="9" t="n">
        <v>4000</v>
      </c>
      <c r="E105" s="9" t="n">
        <v>0</v>
      </c>
      <c r="F105" s="9" t="n">
        <v>0</v>
      </c>
      <c r="H105" s="9" t="n">
        <v>4000</v>
      </c>
      <c r="I105" s="9" t="n">
        <v>4000</v>
      </c>
      <c r="J105" s="9" t="inlineStr">
        <is>
          <t>YENMIX 123 (20.00KG)</t>
        </is>
      </c>
    </row>
    <row r="106">
      <c r="A106" s="9" t="n">
        <v>16</v>
      </c>
      <c r="B106" s="9" t="inlineStr">
        <is>
          <t>TOXISORB PREMIUM</t>
        </is>
      </c>
      <c r="C106" s="9" t="inlineStr">
        <is>
          <t>KG</t>
        </is>
      </c>
      <c r="D106" s="9" t="n">
        <v>3724</v>
      </c>
      <c r="E106" s="9" t="n">
        <v>0</v>
      </c>
      <c r="F106" s="9" t="n">
        <v>273</v>
      </c>
      <c r="G106" s="9" t="n">
        <v>144</v>
      </c>
      <c r="H106" s="9" t="n">
        <v>3595</v>
      </c>
      <c r="I106" s="9" t="n">
        <v>3724</v>
      </c>
      <c r="J106" s="9" t="inlineStr">
        <is>
          <t>TOXISORB PREMIUM</t>
        </is>
      </c>
    </row>
    <row r="107">
      <c r="A107" s="9" t="n">
        <v>17</v>
      </c>
      <c r="B107" s="9" t="inlineStr">
        <is>
          <t>SODIUM HUMATE 3.8% (HARUMI)</t>
        </is>
      </c>
      <c r="C107" s="9" t="inlineStr">
        <is>
          <t>KG</t>
        </is>
      </c>
      <c r="D107" s="9" t="n">
        <v>0</v>
      </c>
      <c r="E107" s="9" t="n">
        <v>6990</v>
      </c>
      <c r="F107" s="9" t="n">
        <v>6990</v>
      </c>
      <c r="H107" s="9" t="n">
        <v>0</v>
      </c>
      <c r="I107" s="9" t="n">
        <v>0</v>
      </c>
      <c r="J107" s="9" t="inlineStr">
        <is>
          <t>SODIUM HUMATE 3.8% (HARUMI)</t>
        </is>
      </c>
    </row>
    <row r="108">
      <c r="A108" s="9" t="n">
        <v>18</v>
      </c>
      <c r="B108" s="9" t="inlineStr">
        <is>
          <t>TOXIWALL</t>
        </is>
      </c>
      <c r="C108" s="9" t="inlineStr">
        <is>
          <t>KG</t>
        </is>
      </c>
      <c r="D108" s="9" t="n">
        <v>1127</v>
      </c>
      <c r="E108" s="9" t="n">
        <v>0</v>
      </c>
      <c r="F108" s="9" t="n">
        <v>0</v>
      </c>
      <c r="H108" s="9" t="n">
        <v>1127</v>
      </c>
      <c r="I108" s="9" t="n">
        <v>1127</v>
      </c>
      <c r="J108" s="9" t="inlineStr">
        <is>
          <t>TOXIWALL</t>
        </is>
      </c>
    </row>
    <row r="109">
      <c r="A109" s="9" t="n">
        <v>19</v>
      </c>
      <c r="B109" s="9" t="inlineStr">
        <is>
          <t>SODIUM BICARBONATE</t>
        </is>
      </c>
      <c r="C109" s="9" t="inlineStr">
        <is>
          <t>KG</t>
        </is>
      </c>
      <c r="D109" s="9" t="n">
        <v>3112</v>
      </c>
      <c r="E109" s="9" t="n">
        <v>0</v>
      </c>
      <c r="F109" s="9" t="n">
        <v>0</v>
      </c>
      <c r="H109" s="9" t="n">
        <v>3112</v>
      </c>
      <c r="I109" s="9" t="n">
        <v>3112</v>
      </c>
      <c r="J109" s="9" t="inlineStr">
        <is>
          <t>SODIUM BICARBONATE</t>
        </is>
      </c>
    </row>
    <row r="110">
      <c r="A110" s="9" t="n">
        <v>20</v>
      </c>
      <c r="B110" s="9" t="inlineStr">
        <is>
          <t>BMD 10%</t>
        </is>
      </c>
      <c r="C110" s="9" t="inlineStr">
        <is>
          <t>KG</t>
        </is>
      </c>
      <c r="D110" s="9" t="n">
        <v>1680.5</v>
      </c>
      <c r="E110" s="9" t="n">
        <v>0</v>
      </c>
      <c r="F110" s="9" t="n">
        <v>0</v>
      </c>
      <c r="H110" s="9" t="n">
        <v>1680.5</v>
      </c>
      <c r="I110" s="9" t="n">
        <v>1680.5</v>
      </c>
      <c r="J110" s="9" t="inlineStr">
        <is>
          <t>BMD 10%</t>
        </is>
      </c>
    </row>
    <row r="111">
      <c r="A111" s="9" t="n">
        <v>21</v>
      </c>
      <c r="B111" s="9" t="inlineStr">
        <is>
          <t>SALT (HARUMI)</t>
        </is>
      </c>
      <c r="C111" s="9" t="inlineStr">
        <is>
          <t>KG</t>
        </is>
      </c>
      <c r="D111" s="9" t="n">
        <v>0</v>
      </c>
      <c r="E111" s="9" t="n">
        <v>1209.4</v>
      </c>
      <c r="F111" s="9" t="n">
        <v>1209.4</v>
      </c>
      <c r="H111" s="9" t="n">
        <v>0</v>
      </c>
      <c r="I111" s="9" t="n">
        <v>0</v>
      </c>
      <c r="J111" s="9" t="inlineStr">
        <is>
          <t>SALT (HARUMI)</t>
        </is>
      </c>
    </row>
    <row r="112">
      <c r="A112" s="9" t="n">
        <v>22</v>
      </c>
      <c r="B112" s="9" t="inlineStr">
        <is>
          <t>VISTABET 91</t>
        </is>
      </c>
      <c r="C112" s="9" t="inlineStr">
        <is>
          <t>KG</t>
        </is>
      </c>
      <c r="D112" s="9" t="n">
        <v>1482</v>
      </c>
      <c r="E112" s="9" t="n">
        <v>0</v>
      </c>
      <c r="F112" s="9" t="n">
        <v>0</v>
      </c>
      <c r="H112" s="9" t="n">
        <v>1482</v>
      </c>
      <c r="I112" s="9" t="n">
        <v>1482</v>
      </c>
      <c r="J112" s="9" t="inlineStr">
        <is>
          <t>VISTABET 91</t>
        </is>
      </c>
    </row>
    <row r="113">
      <c r="A113" s="9" t="n">
        <v>23</v>
      </c>
      <c r="B113" s="9" t="inlineStr">
        <is>
          <t>8101 TOP UP</t>
        </is>
      </c>
      <c r="C113" s="9" t="inlineStr">
        <is>
          <t>KG</t>
        </is>
      </c>
      <c r="D113" s="9" t="n">
        <v>100</v>
      </c>
      <c r="E113" s="9" t="n">
        <v>0</v>
      </c>
      <c r="F113" s="9" t="n">
        <v>0</v>
      </c>
      <c r="H113" s="9" t="n">
        <v>100</v>
      </c>
      <c r="I113" s="9" t="n">
        <v>100</v>
      </c>
      <c r="J113" s="9" t="inlineStr">
        <is>
          <t>8101 TOP UP</t>
        </is>
      </c>
    </row>
    <row r="114">
      <c r="A114" s="9" t="n">
        <v>24</v>
      </c>
      <c r="B114" s="9" t="inlineStr">
        <is>
          <t>NORPONIN X03 (8102 TOP UP)</t>
        </is>
      </c>
      <c r="C114" s="9" t="inlineStr">
        <is>
          <t>KG</t>
        </is>
      </c>
      <c r="D114" s="9" t="n">
        <v>13.96000000000004</v>
      </c>
      <c r="E114" s="9" t="n">
        <v>0</v>
      </c>
      <c r="F114" s="9" t="n">
        <v>0</v>
      </c>
      <c r="H114" s="9" t="n">
        <v>13.96000000000004</v>
      </c>
      <c r="I114" s="9" t="n">
        <v>13.96000000000004</v>
      </c>
      <c r="J114" s="9" t="inlineStr">
        <is>
          <t>NORPONIN X03 (8102 TOP UP)</t>
        </is>
      </c>
    </row>
    <row r="115">
      <c r="A115" s="9" t="n">
        <v>25</v>
      </c>
      <c r="B115" s="9" t="inlineStr">
        <is>
          <t>8102 TOP UP</t>
        </is>
      </c>
      <c r="C115" s="9" t="inlineStr">
        <is>
          <t>KG</t>
        </is>
      </c>
      <c r="D115" s="9" t="n">
        <v>108</v>
      </c>
      <c r="E115" s="9" t="n">
        <v>1628</v>
      </c>
      <c r="F115" s="9" t="n">
        <v>0</v>
      </c>
      <c r="H115" s="9" t="n">
        <v>1736</v>
      </c>
      <c r="I115" s="9" t="n">
        <v>108</v>
      </c>
      <c r="J115" s="9" t="inlineStr">
        <is>
          <t>8102 TOP UP (4KG)</t>
        </is>
      </c>
    </row>
    <row r="116">
      <c r="A116" s="9" t="n">
        <v>26</v>
      </c>
      <c r="B116" s="9" t="inlineStr">
        <is>
          <t>8103 TOP UP</t>
        </is>
      </c>
      <c r="C116" s="9" t="inlineStr">
        <is>
          <t>KG</t>
        </is>
      </c>
      <c r="D116" s="9" t="n">
        <v>245</v>
      </c>
      <c r="E116" s="9" t="n">
        <v>625</v>
      </c>
      <c r="F116" s="9" t="n">
        <v>620</v>
      </c>
      <c r="H116" s="9" t="n">
        <v>250</v>
      </c>
      <c r="I116" s="9" t="n">
        <v>245</v>
      </c>
      <c r="J116" s="9" t="inlineStr">
        <is>
          <t>8103 TOP UP (5KG)</t>
        </is>
      </c>
    </row>
    <row r="117">
      <c r="A117" s="9" t="n">
        <v>27</v>
      </c>
      <c r="B117" s="9" t="inlineStr">
        <is>
          <t>L-ARGININE</t>
        </is>
      </c>
      <c r="C117" s="9" t="inlineStr">
        <is>
          <t>KG</t>
        </is>
      </c>
      <c r="D117" s="9" t="n">
        <v>207.6</v>
      </c>
      <c r="E117" s="9" t="n">
        <v>0</v>
      </c>
      <c r="F117" s="9" t="n">
        <v>0</v>
      </c>
      <c r="H117" s="9" t="n">
        <v>207.6</v>
      </c>
      <c r="I117" s="9" t="n">
        <v>207.6</v>
      </c>
      <c r="J117" s="9" t="inlineStr">
        <is>
          <t>L-ARGININE</t>
        </is>
      </c>
    </row>
    <row r="118">
      <c r="A118" s="9" t="n">
        <v>28</v>
      </c>
      <c r="B118" s="9" t="inlineStr">
        <is>
          <t>DL-METHIONINE</t>
        </is>
      </c>
      <c r="C118" s="9" t="inlineStr">
        <is>
          <t>KG</t>
        </is>
      </c>
      <c r="D118" s="9" t="n">
        <v>147.04</v>
      </c>
      <c r="E118" s="9" t="n">
        <v>0</v>
      </c>
      <c r="F118" s="9" t="n">
        <v>0</v>
      </c>
      <c r="H118" s="9" t="n">
        <v>147.04</v>
      </c>
      <c r="I118" s="9" t="n">
        <v>147.04</v>
      </c>
      <c r="J118" s="9" t="inlineStr">
        <is>
          <t>DL-METHIONINE</t>
        </is>
      </c>
    </row>
    <row r="119">
      <c r="A119" s="9" t="n">
        <v>29</v>
      </c>
      <c r="B119" s="9" t="inlineStr">
        <is>
          <t>L-THREONINE</t>
        </is>
      </c>
      <c r="C119" s="9" t="inlineStr">
        <is>
          <t>KG</t>
        </is>
      </c>
      <c r="D119" s="9" t="n">
        <v>46.8</v>
      </c>
      <c r="E119" s="9" t="n">
        <v>0</v>
      </c>
      <c r="F119" s="9" t="n">
        <v>0</v>
      </c>
      <c r="H119" s="9" t="n">
        <v>46.8</v>
      </c>
      <c r="I119" s="9" t="n">
        <v>46.8</v>
      </c>
      <c r="J119" s="9" t="inlineStr">
        <is>
          <t>L-THREONINE</t>
        </is>
      </c>
    </row>
    <row r="120">
      <c r="A120" s="9" t="n">
        <v>30</v>
      </c>
      <c r="B120" s="9" t="inlineStr">
        <is>
          <t>FAECES DRY</t>
        </is>
      </c>
      <c r="C120" s="9" t="inlineStr">
        <is>
          <t>KG</t>
        </is>
      </c>
      <c r="D120" s="9" t="n">
        <v>24.2</v>
      </c>
      <c r="E120" s="9" t="n">
        <v>0</v>
      </c>
      <c r="F120" s="9" t="n">
        <v>0</v>
      </c>
      <c r="H120" s="9" t="n">
        <v>24.2</v>
      </c>
      <c r="I120" s="9" t="n">
        <v>24.2</v>
      </c>
      <c r="J120" s="9" t="inlineStr">
        <is>
          <t>FAECES DRY</t>
        </is>
      </c>
    </row>
    <row r="121">
      <c r="A121" s="9" t="n">
        <v>31</v>
      </c>
      <c r="B121" s="9" t="inlineStr">
        <is>
          <t>ECOBIOL</t>
        </is>
      </c>
      <c r="C121" s="9" t="inlineStr">
        <is>
          <t>KG</t>
        </is>
      </c>
      <c r="D121" s="9" t="n">
        <v>32</v>
      </c>
      <c r="E121" s="9" t="n">
        <v>0</v>
      </c>
      <c r="F121" s="9" t="n">
        <v>0</v>
      </c>
      <c r="H121" s="9" t="n">
        <v>32</v>
      </c>
      <c r="I121" s="9" t="n">
        <v>32</v>
      </c>
      <c r="J121" s="9" t="inlineStr">
        <is>
          <t>ECOBIOL</t>
        </is>
      </c>
    </row>
    <row r="122">
      <c r="A122" s="9" t="n">
        <v>32</v>
      </c>
      <c r="B122" s="9" t="inlineStr">
        <is>
          <t>MASTER CUBE (HARUMI)</t>
        </is>
      </c>
      <c r="C122" s="9" t="inlineStr">
        <is>
          <t>KG</t>
        </is>
      </c>
      <c r="D122" s="9" t="n">
        <v>0</v>
      </c>
      <c r="E122" s="9" t="n">
        <v>0</v>
      </c>
      <c r="F122" s="9" t="n">
        <v>0</v>
      </c>
      <c r="H122" s="9" t="n">
        <v>0</v>
      </c>
      <c r="I122" s="9" t="n">
        <v>0</v>
      </c>
      <c r="J122" s="9" t="inlineStr">
        <is>
          <t>MASTER CUBE (HARUMI)</t>
        </is>
      </c>
    </row>
    <row r="123">
      <c r="A123" s="9" t="n">
        <v>33</v>
      </c>
      <c r="B123" s="9" t="inlineStr">
        <is>
          <t>1101 TOP UP (0.40KG)</t>
        </is>
      </c>
      <c r="C123" s="9" t="inlineStr">
        <is>
          <t>KG</t>
        </is>
      </c>
      <c r="D123" s="9" t="n">
        <v>0</v>
      </c>
      <c r="E123" s="9" t="n">
        <v>82.40000000000001</v>
      </c>
      <c r="F123" s="9" t="n">
        <v>0</v>
      </c>
      <c r="G123" s="9" t="n">
        <v>-60</v>
      </c>
      <c r="H123" s="9" t="n">
        <v>22.40000000000001</v>
      </c>
      <c r="I123" s="9" t="n">
        <v>0</v>
      </c>
      <c r="J123" s="9" t="inlineStr">
        <is>
          <t>1101 TOP UP (0.40KG)</t>
        </is>
      </c>
    </row>
    <row r="124">
      <c r="A124" s="9" t="n">
        <v>34</v>
      </c>
      <c r="B124" s="9" t="inlineStr">
        <is>
          <t>1102 TOP UP (0.60KG)</t>
        </is>
      </c>
      <c r="C124" s="9" t="inlineStr">
        <is>
          <t>KG</t>
        </is>
      </c>
      <c r="D124" s="9" t="n">
        <v>135.6</v>
      </c>
      <c r="E124" s="9" t="n">
        <v>33.6</v>
      </c>
      <c r="F124" s="9" t="n">
        <v>0</v>
      </c>
      <c r="G124" s="9" t="n">
        <v>-122.4</v>
      </c>
      <c r="H124" s="9" t="n">
        <v>46.79999999999998</v>
      </c>
      <c r="I124" s="9" t="n">
        <v>135.6</v>
      </c>
      <c r="J124" s="9" t="inlineStr">
        <is>
          <t>1102 TOP UP (0.60KG)</t>
        </is>
      </c>
    </row>
    <row r="125">
      <c r="A125" s="9" t="n">
        <v>35</v>
      </c>
      <c r="B125" s="9" t="inlineStr">
        <is>
          <t>1103 TOP UP (2.00KG)</t>
        </is>
      </c>
      <c r="C125" s="9" t="inlineStr">
        <is>
          <t>KG</t>
        </is>
      </c>
      <c r="D125" s="9" t="n">
        <v>128</v>
      </c>
      <c r="E125" s="9" t="n">
        <v>76</v>
      </c>
      <c r="F125" s="9" t="n">
        <v>0</v>
      </c>
      <c r="H125" s="9" t="n">
        <v>204</v>
      </c>
      <c r="I125" s="9" t="n">
        <v>128</v>
      </c>
      <c r="J125" s="9" t="inlineStr">
        <is>
          <t>1103 TOP UP (2.00KG)</t>
        </is>
      </c>
    </row>
    <row r="126">
      <c r="A126" s="9" t="n">
        <v>36</v>
      </c>
      <c r="B126" s="9" t="inlineStr">
        <is>
          <t>QUANTUM GLO 4%</t>
        </is>
      </c>
      <c r="C126" s="9" t="inlineStr">
        <is>
          <t>KG</t>
        </is>
      </c>
      <c r="D126" s="9" t="n">
        <v>11.25</v>
      </c>
      <c r="E126" s="9" t="n">
        <v>240</v>
      </c>
      <c r="F126" s="9" t="n">
        <v>0</v>
      </c>
      <c r="H126" s="9" t="n">
        <v>251.25</v>
      </c>
      <c r="I126" s="9" t="n">
        <v>11.25</v>
      </c>
      <c r="J126" s="9" t="inlineStr">
        <is>
          <t>QUANTUM GLO 4%</t>
        </is>
      </c>
    </row>
    <row r="127">
      <c r="A127" s="9" t="n">
        <v>37</v>
      </c>
      <c r="B127" s="9" t="inlineStr">
        <is>
          <t>SALT</t>
        </is>
      </c>
      <c r="C127" s="9" t="inlineStr">
        <is>
          <t>KG</t>
        </is>
      </c>
      <c r="D127" s="9" t="n">
        <v>41.59999999999991</v>
      </c>
      <c r="E127" s="9" t="n">
        <v>0</v>
      </c>
      <c r="F127" s="9" t="n">
        <v>0</v>
      </c>
      <c r="H127" s="9" t="n">
        <v>41.59999999999991</v>
      </c>
      <c r="I127" s="9" t="n">
        <v>41.59999999999991</v>
      </c>
      <c r="J127" s="9" t="inlineStr">
        <is>
          <t>SALT</t>
        </is>
      </c>
    </row>
    <row r="128">
      <c r="A128" s="9" t="n">
        <v>38</v>
      </c>
      <c r="B128" s="9" t="inlineStr">
        <is>
          <t>OC 200 - OXYTET 20%</t>
        </is>
      </c>
      <c r="C128" s="9" t="inlineStr">
        <is>
          <t>KG</t>
        </is>
      </c>
      <c r="D128" s="9" t="n">
        <v>0</v>
      </c>
      <c r="E128" s="9" t="n">
        <v>250</v>
      </c>
      <c r="F128" s="9" t="n">
        <v>40</v>
      </c>
      <c r="H128" s="9" t="n">
        <v>210</v>
      </c>
      <c r="I128" s="9" t="n">
        <v>0</v>
      </c>
      <c r="J128" s="9" t="inlineStr">
        <is>
          <t>OC 200 - OXYTET 20%</t>
        </is>
      </c>
    </row>
    <row r="129"/>
    <row r="130">
      <c r="B130" s="9" t="inlineStr">
        <is>
          <t>PACKING MATERIALS</t>
        </is>
      </c>
    </row>
    <row r="131">
      <c r="A131" s="9" t="n">
        <v>1</v>
      </c>
      <c r="B131" s="9" t="inlineStr">
        <is>
          <t>WOVEN BAG (1101) - BLUE 50KG</t>
        </is>
      </c>
      <c r="C131" s="9" t="inlineStr">
        <is>
          <t>PCS</t>
        </is>
      </c>
      <c r="D131" s="9" t="n">
        <v>1199</v>
      </c>
      <c r="G131" s="9" t="n">
        <v>-142</v>
      </c>
      <c r="H131" s="9" t="n">
        <v>1057</v>
      </c>
    </row>
    <row r="132">
      <c r="A132" s="9" t="n">
        <v>2</v>
      </c>
      <c r="B132" s="9" t="inlineStr">
        <is>
          <t>WOVEN BAG (1102) - GREEN 50KG</t>
        </is>
      </c>
      <c r="C132" s="9" t="inlineStr">
        <is>
          <t>PCS</t>
        </is>
      </c>
      <c r="D132" s="9" t="n">
        <v>0</v>
      </c>
      <c r="H132" s="9" t="n">
        <v>0</v>
      </c>
    </row>
    <row r="133">
      <c r="A133" s="9" t="n">
        <v>3</v>
      </c>
      <c r="B133" s="9" t="inlineStr">
        <is>
          <t>WOVEN BAG (1103) - RED 50KG</t>
        </is>
      </c>
      <c r="C133" s="9" t="inlineStr">
        <is>
          <t>PCS</t>
        </is>
      </c>
      <c r="D133" s="9" t="n">
        <v>6813</v>
      </c>
      <c r="G133" s="9" t="n">
        <v>694</v>
      </c>
      <c r="H133" s="9" t="n">
        <v>7507</v>
      </c>
    </row>
    <row r="134">
      <c r="A134" s="9" t="n">
        <v>4</v>
      </c>
      <c r="B134" s="9" t="inlineStr">
        <is>
          <t>PLAIN BAG 26" X 39" (50KG)</t>
        </is>
      </c>
      <c r="C134" s="9" t="inlineStr">
        <is>
          <t>PCS</t>
        </is>
      </c>
      <c r="D134" s="9" t="n">
        <v>7824</v>
      </c>
      <c r="F134" s="9" t="n">
        <v>3989</v>
      </c>
      <c r="G134" s="9" t="n">
        <v>417</v>
      </c>
      <c r="H134" s="9" t="n">
        <v>4252</v>
      </c>
    </row>
    <row r="135">
      <c r="A135" s="9" t="n">
        <v>5</v>
      </c>
      <c r="B135" s="9" t="inlineStr">
        <is>
          <t>WOVEN BAG (8101) - KHAKI 50KG</t>
        </is>
      </c>
      <c r="C135" s="9" t="inlineStr">
        <is>
          <t>PCS</t>
        </is>
      </c>
      <c r="D135" s="9" t="n">
        <v>1621</v>
      </c>
      <c r="G135" s="9" t="n">
        <v>558</v>
      </c>
      <c r="H135" s="9" t="n">
        <v>2179</v>
      </c>
    </row>
    <row r="136">
      <c r="A136" s="9" t="n">
        <v>6</v>
      </c>
      <c r="B136" s="9" t="inlineStr">
        <is>
          <t>WOVEN BAG (8102) - SKY BLUE 50KG</t>
        </is>
      </c>
      <c r="C136" s="9" t="inlineStr">
        <is>
          <t>PCS</t>
        </is>
      </c>
      <c r="D136" s="9" t="n">
        <v>6193</v>
      </c>
      <c r="F136" s="9" t="n">
        <v>2295</v>
      </c>
      <c r="G136" s="9" t="n">
        <v>121</v>
      </c>
      <c r="H136" s="9" t="n">
        <v>4019</v>
      </c>
    </row>
    <row r="137"/>
    <row r="138">
      <c r="B138" s="9" t="inlineStr">
        <is>
          <t>TOTAL</t>
        </is>
      </c>
      <c r="D138" s="9" t="n">
        <v>615249.0800000002</v>
      </c>
      <c r="E138" s="9" t="n">
        <v>802942.4300000001</v>
      </c>
      <c r="F138" s="9" t="n">
        <v>978283.1800000001</v>
      </c>
      <c r="G138" s="9" t="n">
        <v>-41605.9</v>
      </c>
      <c r="H138" s="9" t="n">
        <v>398302.4300000002</v>
      </c>
    </row>
    <row r="139"/>
    <row r="140"/>
    <row r="141"/>
    <row r="142"/>
    <row r="143"/>
    <row r="144"/>
    <row r="145">
      <c r="B145" s="9" t="inlineStr">
        <is>
          <t>Prepared by: ______________</t>
        </is>
      </c>
      <c r="G145" s="9" t="inlineStr">
        <is>
          <t xml:space="preserve">   Approved by: ______________</t>
        </is>
      </c>
    </row>
    <row r="146"/>
    <row r="147"/>
    <row r="148">
      <c r="B148" s="9" t="inlineStr">
        <is>
          <t>HARUMI Stock - JUNE 2026</t>
        </is>
      </c>
    </row>
    <row r="149"/>
    <row r="150">
      <c r="B150" s="9" t="inlineStr">
        <is>
          <t>Remark for adjustment (+)</t>
        </is>
      </c>
    </row>
    <row r="151">
      <c r="B151" s="9" t="inlineStr">
        <is>
          <t>INDUSTRY FLOUR</t>
        </is>
      </c>
      <c r="C151" s="9" t="inlineStr">
        <is>
          <t>KG</t>
        </is>
      </c>
      <c r="D151" s="9" t="n">
        <v>1350.3</v>
      </c>
    </row>
    <row r="152">
      <c r="B152" s="9" t="inlineStr">
        <is>
          <t>TOXISORB PREMIUM</t>
        </is>
      </c>
      <c r="C152" s="9" t="inlineStr">
        <is>
          <t>KG</t>
        </is>
      </c>
      <c r="D152" s="9" t="n">
        <v>144</v>
      </c>
    </row>
    <row r="153">
      <c r="B153" s="9" t="inlineStr">
        <is>
          <t>WOVEN BAG (1103) - RED 50KG</t>
        </is>
      </c>
      <c r="C153" s="9" t="inlineStr">
        <is>
          <t>PCS</t>
        </is>
      </c>
      <c r="D153" s="9" t="n">
        <v>694</v>
      </c>
    </row>
    <row r="154">
      <c r="B154" s="9" t="inlineStr">
        <is>
          <t>PLAIN BAG 26" X 39" (50KG)</t>
        </is>
      </c>
      <c r="C154" s="9" t="inlineStr">
        <is>
          <t>PCS</t>
        </is>
      </c>
      <c r="D154" s="9" t="n">
        <v>417</v>
      </c>
    </row>
    <row r="155">
      <c r="B155" s="9" t="inlineStr">
        <is>
          <t>WOVEN BAG (8101) - KHAKI 50KG</t>
        </is>
      </c>
      <c r="C155" s="9" t="inlineStr">
        <is>
          <t>PCS</t>
        </is>
      </c>
      <c r="D155" s="9" t="n">
        <v>558</v>
      </c>
    </row>
    <row r="156">
      <c r="B156" s="9" t="inlineStr">
        <is>
          <t>WOVEN BAG (8102) - SKY BLUE 50KG</t>
        </is>
      </c>
      <c r="C156" s="9" t="inlineStr">
        <is>
          <t>PCS</t>
        </is>
      </c>
      <c r="D156" s="9" t="n">
        <v>121</v>
      </c>
    </row>
    <row r="157">
      <c r="B157" s="9" t="inlineStr">
        <is>
          <t>Reason: Cut off</t>
        </is>
      </c>
    </row>
    <row r="158"/>
    <row r="159">
      <c r="B159" s="9" t="inlineStr">
        <is>
          <t>Remark for adjustment (-)</t>
        </is>
      </c>
    </row>
    <row r="160">
      <c r="B160" s="9" t="inlineStr">
        <is>
          <t>MAIZE/CORN</t>
        </is>
      </c>
      <c r="C160" s="9" t="inlineStr">
        <is>
          <t>KG</t>
        </is>
      </c>
      <c r="D160" s="9" t="n">
        <v>-37505.8</v>
      </c>
    </row>
    <row r="161">
      <c r="B161" s="9" t="inlineStr">
        <is>
          <t>WOVEN BAG (1101) - BLUE 50KG</t>
        </is>
      </c>
      <c r="C161" s="9" t="inlineStr">
        <is>
          <t>PCS</t>
        </is>
      </c>
      <c r="D161" s="9" t="n">
        <v>-142</v>
      </c>
    </row>
    <row r="162">
      <c r="B162" s="9" t="inlineStr">
        <is>
          <t>Reason: Cut off</t>
        </is>
      </c>
    </row>
    <row r="163"/>
    <row r="164">
      <c r="B164" s="9" t="inlineStr">
        <is>
          <t>PREMIX 1101 (20KG)</t>
        </is>
      </c>
      <c r="C164" s="9" t="inlineStr">
        <is>
          <t>KG</t>
        </is>
      </c>
      <c r="D164" s="9" t="n">
        <v>-2980</v>
      </c>
    </row>
    <row r="165">
      <c r="B165" s="9" t="inlineStr">
        <is>
          <t>Reason: Stock Transferred to Xun Ta</t>
        </is>
      </c>
    </row>
    <row r="166">
      <c r="B166" s="9" t="inlineStr">
        <is>
          <t>PPSB00841                              10/6/2026</t>
        </is>
      </c>
      <c r="D166" s="9" t="n">
        <v>-960</v>
      </c>
    </row>
    <row r="167">
      <c r="B167" s="9" t="inlineStr">
        <is>
          <t>Reason: Stock Transferred to Liang Teik</t>
        </is>
      </c>
    </row>
    <row r="168">
      <c r="B168" s="9" t="inlineStr">
        <is>
          <t>PPSB00842                              10/6/2026</t>
        </is>
      </c>
      <c r="D168" s="9" t="n">
        <v>-2020</v>
      </c>
    </row>
    <row r="169"/>
    <row r="170">
      <c r="B170" s="9" t="inlineStr">
        <is>
          <t>PREMIX 1102 (20KG)</t>
        </is>
      </c>
      <c r="C170" s="9" t="inlineStr">
        <is>
          <t>KG</t>
        </is>
      </c>
      <c r="D170" s="9" t="n">
        <v>-4080</v>
      </c>
    </row>
    <row r="171">
      <c r="B171" s="9" t="inlineStr">
        <is>
          <t>Reason: Stock Transferred to Xun Ta</t>
        </is>
      </c>
    </row>
    <row r="172">
      <c r="B172" s="9" t="inlineStr">
        <is>
          <t>PPSB00841                              10/6/2026</t>
        </is>
      </c>
      <c r="D172" s="9" t="n">
        <v>-3000</v>
      </c>
    </row>
    <row r="173">
      <c r="B173" s="9" t="inlineStr">
        <is>
          <t>Reason: Stock Transferred to Liang Teik</t>
        </is>
      </c>
    </row>
    <row r="174">
      <c r="B174" s="9" t="inlineStr">
        <is>
          <t>PPSB00842                              10/6/2026</t>
        </is>
      </c>
      <c r="D174" s="9" t="n">
        <v>-1080</v>
      </c>
    </row>
    <row r="175"/>
    <row r="176">
      <c r="B176" s="9" t="inlineStr">
        <is>
          <t>TOP UP 1101 (0.40KG)</t>
        </is>
      </c>
      <c r="C176" s="9" t="inlineStr">
        <is>
          <t>KG</t>
        </is>
      </c>
      <c r="D176" s="9" t="n">
        <v>-60</v>
      </c>
    </row>
    <row r="177">
      <c r="B177" s="9" t="inlineStr">
        <is>
          <t>Reason: Stock Transferred to Xun Ta</t>
        </is>
      </c>
    </row>
    <row r="178">
      <c r="B178" s="9" t="inlineStr">
        <is>
          <t>PPSB00841                              10/6/2026</t>
        </is>
      </c>
      <c r="D178" s="9" t="n">
        <v>-19.2</v>
      </c>
    </row>
    <row r="179">
      <c r="B179" s="9" t="inlineStr">
        <is>
          <t>Reason: Stock Transferred to Liang Teik</t>
        </is>
      </c>
    </row>
    <row r="180">
      <c r="B180" s="9" t="inlineStr">
        <is>
          <t>PPSB00842                              10/6/2026</t>
        </is>
      </c>
      <c r="D180" s="9" t="n">
        <v>-40.8</v>
      </c>
    </row>
    <row r="181"/>
    <row r="182">
      <c r="B182" s="9" t="inlineStr">
        <is>
          <t>TOP UP 1102 (0.60KG)</t>
        </is>
      </c>
      <c r="C182" s="9" t="inlineStr">
        <is>
          <t>KG</t>
        </is>
      </c>
      <c r="D182" s="9" t="n">
        <v>-122.4</v>
      </c>
    </row>
    <row r="183">
      <c r="B183" s="9" t="inlineStr">
        <is>
          <t>Reason: Stock Transferred to Xun Ta</t>
        </is>
      </c>
    </row>
    <row r="184">
      <c r="B184" s="9" t="inlineStr">
        <is>
          <t>PPSB00841                              10/6/2026</t>
        </is>
      </c>
      <c r="D184" s="9" t="n">
        <v>-90</v>
      </c>
    </row>
    <row r="185">
      <c r="B185" s="9" t="inlineStr">
        <is>
          <t>Reason: Stock Transferred to Liang Teik</t>
        </is>
      </c>
    </row>
    <row r="186">
      <c r="B186" s="9" t="inlineStr">
        <is>
          <t>PPSB00842                              10/6/2026</t>
        </is>
      </c>
      <c r="D186" s="9" t="n">
        <v>-32.4</v>
      </c>
    </row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>
      <c r="B214" s="9" t="inlineStr">
        <is>
          <t>Prepared by: ______________</t>
        </is>
      </c>
      <c r="G214" s="9" t="inlineStr">
        <is>
          <t xml:space="preserve">   Approved by: ______________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1" customWidth="1" min="4" max="4"/>
    <col width="14" customWidth="1" min="5" max="5"/>
    <col width="21" customWidth="1" min="6" max="6"/>
    <col width="22" customWidth="1" min="7" max="7"/>
    <col width="22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JUL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103607.8000000001</v>
      </c>
      <c r="E4" s="9" t="n">
        <v>786310</v>
      </c>
      <c r="F4" s="9" t="n">
        <v>345123.8</v>
      </c>
      <c r="G4" s="9" t="n">
        <v>-353844.6</v>
      </c>
      <c r="H4" s="9" t="n">
        <v>190949.4</v>
      </c>
      <c r="O4" s="9" t="n">
        <v>-190949.4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51499.20000000007</v>
      </c>
      <c r="E5" s="9" t="n">
        <v>339170</v>
      </c>
      <c r="F5" s="9" t="n">
        <v>193692.6</v>
      </c>
      <c r="G5" s="9" t="n">
        <v>-143959</v>
      </c>
      <c r="H5" s="9" t="n">
        <v>53017.60000000007</v>
      </c>
      <c r="O5" s="9" t="n">
        <v>-53017.60000000007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32731.99999999997</v>
      </c>
      <c r="E6" s="9" t="n">
        <v>80250</v>
      </c>
      <c r="F6" s="9" t="n">
        <v>32980</v>
      </c>
      <c r="G6" s="9" t="n">
        <v>-37327.80000000001</v>
      </c>
      <c r="H6" s="9" t="n">
        <v>42674.19999999997</v>
      </c>
      <c r="O6" s="9" t="n">
        <v>-42674.19999999997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33372.70000000002</v>
      </c>
      <c r="E7" s="9" t="n">
        <v>0</v>
      </c>
      <c r="F7" s="9" t="n">
        <v>1500</v>
      </c>
      <c r="G7" s="9" t="n">
        <v>-27350.5</v>
      </c>
      <c r="H7" s="9" t="n">
        <v>4522.200000000019</v>
      </c>
      <c r="O7" s="9" t="n">
        <v>-4522.200000000019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13946.2</v>
      </c>
      <c r="E9" s="9" t="n">
        <v>0</v>
      </c>
      <c r="F9" s="9" t="n">
        <v>1826</v>
      </c>
      <c r="G9" s="9" t="n">
        <v>-11995.2</v>
      </c>
      <c r="H9" s="9" t="n">
        <v>124.9999999999952</v>
      </c>
      <c r="O9" s="9" t="n">
        <v>-124.9999999999952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36947.7</v>
      </c>
      <c r="E10" s="9" t="n">
        <v>0</v>
      </c>
      <c r="F10" s="9" t="n">
        <v>4416</v>
      </c>
      <c r="G10" s="9" t="n">
        <v>-6379.800000000001</v>
      </c>
      <c r="H10" s="9" t="n">
        <v>26151.9</v>
      </c>
      <c r="O10" s="9" t="n">
        <v>-26151.9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13602.5</v>
      </c>
      <c r="F11" s="9" t="n">
        <v>6673</v>
      </c>
      <c r="G11" s="9" t="n">
        <v>-6929.499999999998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2388.779999999999</v>
      </c>
      <c r="E12" s="9" t="n">
        <v>6000</v>
      </c>
      <c r="F12" s="9" t="n">
        <v>3159.83</v>
      </c>
      <c r="G12" s="9" t="n">
        <v>-1906.45</v>
      </c>
      <c r="H12" s="9" t="n">
        <v>3322.499999999999</v>
      </c>
      <c r="O12" s="9" t="n">
        <v>-3322.499999999999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0</v>
      </c>
      <c r="E13" s="9" t="n">
        <v>0</v>
      </c>
      <c r="F13" s="9" t="n">
        <v>1394</v>
      </c>
      <c r="G13" s="9" t="n">
        <v>-8883.079999999998</v>
      </c>
      <c r="H13" s="9" t="n">
        <v>-10277.08</v>
      </c>
      <c r="O13" s="9" t="n">
        <v>10277.08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8489.900000000007</v>
      </c>
      <c r="E15" s="9" t="n">
        <v>35201.4</v>
      </c>
      <c r="F15" s="9" t="n">
        <v>7320</v>
      </c>
      <c r="G15" s="9" t="n">
        <v>-8933.1</v>
      </c>
      <c r="H15" s="9" t="n">
        <v>27438.20000000001</v>
      </c>
      <c r="O15" s="9" t="n">
        <v>-27438.20000000001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34934.49999999999</v>
      </c>
      <c r="E16" s="9" t="n">
        <v>0</v>
      </c>
      <c r="F16" s="9" t="n">
        <v>2650</v>
      </c>
      <c r="G16" s="9" t="n">
        <v>-13502.2</v>
      </c>
      <c r="H16" s="9" t="n">
        <v>18782.29999999998</v>
      </c>
      <c r="O16" s="9" t="n">
        <v>-18782.29999999998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4011.58</v>
      </c>
      <c r="F19" s="9" t="n">
        <v>0</v>
      </c>
      <c r="G19" s="9" t="n">
        <v>-4011.58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1160</v>
      </c>
      <c r="E25" s="9" t="n">
        <v>0</v>
      </c>
      <c r="F25" s="9" t="n">
        <v>320</v>
      </c>
      <c r="G25" s="9" t="n">
        <v>-300</v>
      </c>
      <c r="H25" s="9" t="n">
        <v>540</v>
      </c>
      <c r="O25" s="9" t="n">
        <v>-540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960</v>
      </c>
      <c r="E26" s="9" t="n">
        <v>0</v>
      </c>
      <c r="F26" s="9" t="n">
        <v>280</v>
      </c>
      <c r="G26" s="9" t="n">
        <v>280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0</v>
      </c>
      <c r="G27" s="9" t="n">
        <v>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400</v>
      </c>
      <c r="E28" s="9" t="n">
        <v>0</v>
      </c>
      <c r="F28" s="9" t="n">
        <v>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6680</v>
      </c>
      <c r="E31" s="9" t="n">
        <v>0</v>
      </c>
      <c r="F31" s="9" t="n">
        <v>760</v>
      </c>
      <c r="G31" s="9" t="n">
        <v>0</v>
      </c>
      <c r="H31" s="9" t="n">
        <v>5920</v>
      </c>
      <c r="O31" s="9" t="n">
        <v>-5920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720</v>
      </c>
      <c r="E32" s="9" t="n">
        <v>0</v>
      </c>
      <c r="F32" s="9" t="n">
        <v>0</v>
      </c>
      <c r="G32" s="9" t="n">
        <v>0</v>
      </c>
      <c r="H32" s="9" t="n">
        <v>720</v>
      </c>
      <c r="O32" s="9" t="n">
        <v>-720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6520</v>
      </c>
      <c r="E33" s="9" t="n">
        <v>0</v>
      </c>
      <c r="F33" s="9" t="n">
        <v>840</v>
      </c>
      <c r="G33" s="9" t="n">
        <v>-4000</v>
      </c>
      <c r="H33" s="9" t="n">
        <v>1680</v>
      </c>
      <c r="O33" s="9" t="n">
        <v>-1680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4960</v>
      </c>
      <c r="E34" s="9" t="n">
        <v>0</v>
      </c>
      <c r="F34" s="9" t="n">
        <v>0</v>
      </c>
      <c r="G34" s="9" t="n">
        <v>0</v>
      </c>
      <c r="H34" s="9" t="n">
        <v>4960</v>
      </c>
      <c r="O34" s="9" t="n">
        <v>-4960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0</v>
      </c>
      <c r="E36" s="9" t="n">
        <v>0</v>
      </c>
      <c r="F36" s="9" t="n">
        <v>2520</v>
      </c>
      <c r="G36" s="9" t="n">
        <v>2520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3595</v>
      </c>
      <c r="E45" s="9" t="n">
        <v>0</v>
      </c>
      <c r="F45" s="9" t="n">
        <v>34</v>
      </c>
      <c r="G45" s="9" t="n">
        <v>0</v>
      </c>
      <c r="H45" s="9" t="n">
        <v>2216</v>
      </c>
      <c r="O45" s="9" t="n">
        <v>-2216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12006</v>
      </c>
      <c r="F46" s="9" t="n">
        <v>618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  <c r="C47" s="9" t="inlineStr">
        <is>
          <t>KG</t>
        </is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BMD 10%</t>
        </is>
      </c>
      <c r="C49" s="9" t="inlineStr">
        <is>
          <t>KG</t>
        </is>
      </c>
      <c r="D49" s="9" t="n">
        <v>1680.5</v>
      </c>
      <c r="E49" s="9" t="n">
        <v>0</v>
      </c>
      <c r="F49" s="9" t="n">
        <v>0</v>
      </c>
      <c r="G49" s="9" t="n">
        <v>0</v>
      </c>
      <c r="H49" s="9" t="n">
        <v>1680.5</v>
      </c>
      <c r="O49" s="9" t="n">
        <v>-1680.5</v>
      </c>
    </row>
    <row r="50">
      <c r="B50" s="9" t="inlineStr">
        <is>
          <t>SALT (HARUMI)</t>
        </is>
      </c>
      <c r="C50" s="9" t="inlineStr">
        <is>
          <t>KG</t>
        </is>
      </c>
      <c r="D50" s="9" t="n">
        <v>0</v>
      </c>
      <c r="E50" s="9" t="n">
        <v>2089.6</v>
      </c>
      <c r="F50" s="9" t="n">
        <v>2089.6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VISTABET 91</t>
        </is>
      </c>
      <c r="C51" s="9" t="inlineStr">
        <is>
          <t>KG</t>
        </is>
      </c>
      <c r="D51" s="9" t="n">
        <v>1482</v>
      </c>
      <c r="E51" s="9" t="n">
        <v>0</v>
      </c>
      <c r="F51" s="9" t="n">
        <v>0</v>
      </c>
      <c r="G51" s="9" t="n">
        <v>0</v>
      </c>
      <c r="H51" s="9" t="n">
        <v>1482</v>
      </c>
      <c r="O51" s="9" t="n">
        <v>-1482</v>
      </c>
    </row>
    <row r="52">
      <c r="B52" s="9" t="inlineStr">
        <is>
          <t>BETAFIN</t>
        </is>
      </c>
      <c r="C52" s="9" t="inlineStr">
        <is>
          <t>KG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8101 TOP UP</t>
        </is>
      </c>
      <c r="C53" s="9" t="inlineStr">
        <is>
          <t>KG</t>
        </is>
      </c>
      <c r="D53" s="9" t="n">
        <v>100</v>
      </c>
      <c r="E53" s="9" t="n">
        <v>0</v>
      </c>
      <c r="F53" s="9" t="n">
        <v>0</v>
      </c>
      <c r="G53" s="9" t="n">
        <v>0</v>
      </c>
      <c r="H53" s="9" t="n">
        <v>100</v>
      </c>
      <c r="O53" s="9" t="n">
        <v>-100</v>
      </c>
    </row>
    <row r="54">
      <c r="B54" s="9" t="inlineStr">
        <is>
          <t>NORPONIN X03 (8102 TOP UP)</t>
        </is>
      </c>
      <c r="C54" s="9" t="inlineStr">
        <is>
          <t>KG</t>
        </is>
      </c>
      <c r="D54" s="9" t="n">
        <v>13.96000000000004</v>
      </c>
      <c r="E54" s="9" t="n">
        <v>0</v>
      </c>
      <c r="F54" s="9" t="n">
        <v>0</v>
      </c>
      <c r="G54" s="9" t="n">
        <v>0</v>
      </c>
      <c r="H54" s="9" t="n">
        <v>13.96000000000004</v>
      </c>
      <c r="O54" s="9" t="n">
        <v>-13.96000000000004</v>
      </c>
    </row>
    <row r="55">
      <c r="B55" s="9" t="inlineStr">
        <is>
          <t>8102 TOP UP (4KG)</t>
        </is>
      </c>
      <c r="C55" s="9" t="inlineStr">
        <is>
          <t>KG</t>
        </is>
      </c>
      <c r="D55" s="9" t="n">
        <v>1736</v>
      </c>
      <c r="E55" s="9" t="n">
        <v>484</v>
      </c>
      <c r="F55" s="9" t="n">
        <v>936</v>
      </c>
      <c r="G55" s="9" t="n">
        <v>0</v>
      </c>
      <c r="H55" s="9" t="n">
        <v>1284</v>
      </c>
      <c r="O55" s="9" t="n">
        <v>-1284</v>
      </c>
    </row>
    <row r="56">
      <c r="B56" s="9" t="inlineStr">
        <is>
          <t>8103 TOP UP (5KG)</t>
        </is>
      </c>
      <c r="C56" s="9" t="inlineStr">
        <is>
          <t>KG</t>
        </is>
      </c>
      <c r="D56" s="9" t="n">
        <v>250</v>
      </c>
      <c r="E56" s="9" t="n">
        <v>0</v>
      </c>
      <c r="F56" s="9" t="n">
        <v>250</v>
      </c>
      <c r="G56" s="9" t="n">
        <v>0</v>
      </c>
      <c r="H56" s="9" t="n">
        <v>0</v>
      </c>
      <c r="O56" s="9" t="n">
        <v>0</v>
      </c>
    </row>
    <row r="57">
      <c r="B57" s="9" t="inlineStr">
        <is>
          <t>L-ARGININE</t>
        </is>
      </c>
      <c r="C57" s="9" t="inlineStr">
        <is>
          <t>KG</t>
        </is>
      </c>
    </row>
    <row r="58">
      <c r="B58" s="9" t="inlineStr">
        <is>
          <t>DL-METHIONINE</t>
        </is>
      </c>
      <c r="C58" s="9" t="inlineStr">
        <is>
          <t>KG</t>
        </is>
      </c>
    </row>
    <row r="59">
      <c r="B59" s="9" t="inlineStr">
        <is>
          <t>L-THREONINE</t>
        </is>
      </c>
      <c r="C59" s="9" t="inlineStr">
        <is>
          <t>KG</t>
        </is>
      </c>
    </row>
    <row r="60">
      <c r="B60" s="9" t="inlineStr">
        <is>
          <t>L-LYSINE</t>
        </is>
      </c>
      <c r="C60" s="9" t="inlineStr">
        <is>
          <t>KG</t>
        </is>
      </c>
    </row>
    <row r="61">
      <c r="B61" s="9" t="inlineStr">
        <is>
          <t>FAECES DRY</t>
        </is>
      </c>
      <c r="C61" s="9" t="inlineStr">
        <is>
          <t>KG</t>
        </is>
      </c>
    </row>
    <row r="62">
      <c r="B62" s="9" t="inlineStr">
        <is>
          <t>ECOBIOL</t>
        </is>
      </c>
      <c r="C62" s="9" t="inlineStr">
        <is>
          <t>KG</t>
        </is>
      </c>
    </row>
    <row r="63">
      <c r="B63" s="9" t="inlineStr">
        <is>
          <t>ADDITIVE BROILER IMMUNE</t>
        </is>
      </c>
      <c r="C63" s="9" t="inlineStr">
        <is>
          <t>KG</t>
        </is>
      </c>
    </row>
    <row r="64">
      <c r="B64" s="9" t="inlineStr">
        <is>
          <t>MASTER CUBE (HARUMI)</t>
        </is>
      </c>
      <c r="C64" s="9" t="inlineStr">
        <is>
          <t>KG</t>
        </is>
      </c>
    </row>
    <row r="65">
      <c r="B65" s="9" t="inlineStr">
        <is>
          <t>1101 TOP UP (0.40KG)</t>
        </is>
      </c>
      <c r="C65" s="9" t="inlineStr">
        <is>
          <t>KG</t>
        </is>
      </c>
    </row>
    <row r="66">
      <c r="B66" s="9" t="inlineStr">
        <is>
          <t>1102 TOP UP (0.60KG)</t>
        </is>
      </c>
      <c r="C66" s="9" t="inlineStr">
        <is>
          <t>KG</t>
        </is>
      </c>
    </row>
    <row r="67">
      <c r="B67" s="9" t="inlineStr">
        <is>
          <t>1103 TOP UP (2.00KG)</t>
        </is>
      </c>
      <c r="C67" s="9" t="inlineStr">
        <is>
          <t>KG</t>
        </is>
      </c>
    </row>
    <row r="68">
      <c r="B68" s="9" t="inlineStr">
        <is>
          <t>QUANTUM GLO 4%</t>
        </is>
      </c>
      <c r="C68" s="9" t="inlineStr">
        <is>
          <t>KG</t>
        </is>
      </c>
    </row>
    <row r="69">
      <c r="B69" s="9" t="inlineStr">
        <is>
          <t>SALT</t>
        </is>
      </c>
      <c r="C69" s="9" t="inlineStr">
        <is>
          <t>KG</t>
        </is>
      </c>
    </row>
    <row r="70">
      <c r="B70" s="9" t="inlineStr">
        <is>
          <t>OC 200 - OXYTET 20%</t>
        </is>
      </c>
      <c r="C70" s="9" t="inlineStr">
        <is>
          <t>KG</t>
        </is>
      </c>
    </row>
    <row r="71"/>
    <row r="72">
      <c r="B72" s="9" t="inlineStr">
        <is>
          <t>PACKING MATERIALS</t>
        </is>
      </c>
    </row>
    <row r="73">
      <c r="C73" s="9" t="inlineStr">
        <is>
          <t>PCS</t>
        </is>
      </c>
    </row>
    <row r="74">
      <c r="C74" s="9" t="inlineStr">
        <is>
          <t>PCS</t>
        </is>
      </c>
    </row>
    <row r="75"/>
    <row r="76"/>
    <row r="77"/>
    <row r="78">
      <c r="B78" s="9" t="inlineStr">
        <is>
          <t>TOTAL</t>
        </is>
      </c>
      <c r="D78" s="9" t="n">
        <v>376927.7400000002</v>
      </c>
      <c r="E78" s="9" t="n">
        <v>1279125.08</v>
      </c>
      <c r="F78" s="9" t="n">
        <v>609382.83</v>
      </c>
      <c r="G78" s="9" t="n">
        <v>-626522.8099999999</v>
      </c>
      <c r="H78" s="9" t="n">
        <v>407414.1800000001</v>
      </c>
      <c r="K78" s="9" t="n">
        <v>0</v>
      </c>
    </row>
    <row r="79"/>
    <row r="80">
      <c r="D80" s="9" t="n">
        <v>-1127</v>
      </c>
      <c r="E80" s="9" t="n">
        <v>-1279125.08</v>
      </c>
      <c r="F80" s="9" t="n">
        <v>0</v>
      </c>
      <c r="G80" s="9" t="n">
        <v>0</v>
      </c>
      <c r="H80" s="9" t="n">
        <v>-1127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12" customWidth="1" min="5" max="5"/>
    <col width="21" customWidth="1" min="6" max="6"/>
    <col width="22" customWidth="1" min="7" max="7"/>
    <col width="22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AUG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190949.4</v>
      </c>
      <c r="E4" s="9" t="n">
        <v>98452</v>
      </c>
      <c r="F4" s="9" t="n">
        <v>139911.36</v>
      </c>
      <c r="G4" s="9" t="n">
        <v>87446.56000000001</v>
      </c>
      <c r="H4" s="9" t="n">
        <v>236936.6</v>
      </c>
      <c r="O4" s="9" t="n">
        <v>-236936.6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53017.60000000007</v>
      </c>
      <c r="E5" s="9" t="n">
        <v>0</v>
      </c>
      <c r="F5" s="9" t="n">
        <v>71452.89999999999</v>
      </c>
      <c r="G5" s="9" t="n">
        <v>71452.89999999999</v>
      </c>
      <c r="H5" s="9" t="n">
        <v>53017.60000000007</v>
      </c>
      <c r="O5" s="9" t="n">
        <v>-53017.60000000007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42674.19999999997</v>
      </c>
      <c r="E6" s="9" t="n">
        <v>0</v>
      </c>
      <c r="F6" s="9" t="n">
        <v>13450</v>
      </c>
      <c r="G6" s="9" t="n">
        <v>13450</v>
      </c>
      <c r="H6" s="9" t="n">
        <v>42674.19999999997</v>
      </c>
      <c r="O6" s="9" t="n">
        <v>-42674.19999999997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4522.200000000019</v>
      </c>
      <c r="E7" s="9" t="n">
        <v>0</v>
      </c>
      <c r="F7" s="9" t="n">
        <v>1000</v>
      </c>
      <c r="G7" s="9" t="n">
        <v>1000</v>
      </c>
      <c r="H7" s="9" t="n">
        <v>4522.200000000019</v>
      </c>
      <c r="O7" s="9" t="n">
        <v>-4522.200000000019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124.9999999999952</v>
      </c>
      <c r="E9" s="9" t="n">
        <v>0</v>
      </c>
      <c r="F9" s="9" t="n">
        <v>2255.2</v>
      </c>
      <c r="G9" s="9" t="n">
        <v>2255.2</v>
      </c>
      <c r="H9" s="9" t="n">
        <v>124.9999999999952</v>
      </c>
      <c r="O9" s="9" t="n">
        <v>-124.9999999999952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26151.9</v>
      </c>
      <c r="E10" s="9" t="n">
        <v>0</v>
      </c>
      <c r="F10" s="9" t="n">
        <v>1279.5</v>
      </c>
      <c r="G10" s="9" t="n">
        <v>1279.5</v>
      </c>
      <c r="H10" s="9" t="n">
        <v>26151.9</v>
      </c>
      <c r="O10" s="9" t="n">
        <v>-26151.9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0</v>
      </c>
      <c r="F11" s="9" t="n">
        <v>2622.5</v>
      </c>
      <c r="G11" s="9" t="n">
        <v>2622.5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3322.499999999999</v>
      </c>
      <c r="E12" s="9" t="n">
        <v>0</v>
      </c>
      <c r="F12" s="9" t="n">
        <v>1067.15</v>
      </c>
      <c r="G12" s="9" t="n">
        <v>-158.0099999999999</v>
      </c>
      <c r="H12" s="9" t="n">
        <v>2097.339999999999</v>
      </c>
      <c r="O12" s="9" t="n">
        <v>-2097.339999999999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-10277.08</v>
      </c>
      <c r="E13" s="9" t="n">
        <v>0</v>
      </c>
      <c r="F13" s="9" t="n">
        <v>299.4399999999999</v>
      </c>
      <c r="G13" s="9" t="n">
        <v>299.4399999999999</v>
      </c>
      <c r="H13" s="9" t="n">
        <v>-10277.08</v>
      </c>
      <c r="O13" s="9" t="n">
        <v>10277.08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27438.20000000001</v>
      </c>
      <c r="E15" s="9" t="n">
        <v>0</v>
      </c>
      <c r="F15" s="9" t="n">
        <v>2600</v>
      </c>
      <c r="G15" s="9" t="n">
        <v>2600</v>
      </c>
      <c r="H15" s="9" t="n">
        <v>27438.20000000001</v>
      </c>
      <c r="O15" s="9" t="n">
        <v>-27438.20000000001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18782.29999999998</v>
      </c>
      <c r="E16" s="9" t="n">
        <v>0</v>
      </c>
      <c r="F16" s="9" t="n">
        <v>3750</v>
      </c>
      <c r="G16" s="9" t="n">
        <v>3750</v>
      </c>
      <c r="H16" s="9" t="n">
        <v>18782.29999999998</v>
      </c>
      <c r="O16" s="9" t="n">
        <v>-18782.29999999998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540</v>
      </c>
      <c r="E25" s="9" t="n">
        <v>2000</v>
      </c>
      <c r="F25" s="9" t="n">
        <v>400</v>
      </c>
      <c r="G25" s="9" t="n">
        <v>-120</v>
      </c>
      <c r="H25" s="9" t="n">
        <v>2020</v>
      </c>
      <c r="O25" s="9" t="n">
        <v>-2020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960</v>
      </c>
      <c r="E26" s="9" t="n">
        <v>0</v>
      </c>
      <c r="F26" s="9" t="n">
        <v>0</v>
      </c>
      <c r="G26" s="9" t="n">
        <v>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600</v>
      </c>
      <c r="G27" s="9" t="n">
        <v>600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400</v>
      </c>
      <c r="E28" s="9" t="n">
        <v>0</v>
      </c>
      <c r="F28" s="9" t="n">
        <v>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5920</v>
      </c>
      <c r="E31" s="9" t="n">
        <v>2000</v>
      </c>
      <c r="F31" s="9" t="n">
        <v>880</v>
      </c>
      <c r="G31" s="9" t="n">
        <v>-920</v>
      </c>
      <c r="H31" s="9" t="n">
        <v>6120</v>
      </c>
      <c r="O31" s="9" t="n">
        <v>-6120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720</v>
      </c>
      <c r="E32" s="9" t="n">
        <v>0</v>
      </c>
      <c r="F32" s="9" t="n">
        <v>0</v>
      </c>
      <c r="G32" s="9" t="n">
        <v>-720</v>
      </c>
      <c r="H32" s="9" t="n">
        <v>0</v>
      </c>
      <c r="O32" s="9" t="n">
        <v>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1680</v>
      </c>
      <c r="E33" s="9" t="n">
        <v>0</v>
      </c>
      <c r="F33" s="9" t="n">
        <v>0</v>
      </c>
      <c r="G33" s="9" t="n">
        <v>-1680</v>
      </c>
      <c r="H33" s="9" t="n">
        <v>0</v>
      </c>
      <c r="O33" s="9" t="n">
        <v>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4960</v>
      </c>
      <c r="E34" s="9" t="n">
        <v>0</v>
      </c>
      <c r="F34" s="9" t="n">
        <v>0</v>
      </c>
      <c r="G34" s="9" t="n">
        <v>-2140</v>
      </c>
      <c r="H34" s="9" t="n">
        <v>2820</v>
      </c>
      <c r="O34" s="9" t="n">
        <v>-2820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20</v>
      </c>
      <c r="G35" s="9" t="n">
        <v>20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2216</v>
      </c>
      <c r="E45" s="9" t="n">
        <v>0</v>
      </c>
      <c r="F45" s="9" t="n">
        <v>32</v>
      </c>
      <c r="G45" s="9" t="n">
        <v>0</v>
      </c>
      <c r="H45" s="9" t="n">
        <v>1625</v>
      </c>
      <c r="O45" s="9" t="n">
        <v>-1625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0</v>
      </c>
      <c r="F46" s="9" t="n">
        <v>135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BMD 10%</t>
        </is>
      </c>
      <c r="C49" s="9" t="inlineStr">
        <is>
          <t>KG</t>
        </is>
      </c>
      <c r="D49" s="9" t="n">
        <v>1680.5</v>
      </c>
      <c r="E49" s="9" t="n">
        <v>0</v>
      </c>
      <c r="F49" s="9" t="n">
        <v>0</v>
      </c>
      <c r="G49" s="9" t="n">
        <v>0</v>
      </c>
      <c r="H49" s="9" t="n">
        <v>1680.5</v>
      </c>
      <c r="O49" s="9" t="n">
        <v>-1680.5</v>
      </c>
    </row>
    <row r="50">
      <c r="B50" s="9" t="inlineStr">
        <is>
          <t>SALT (HARUMI)</t>
        </is>
      </c>
      <c r="C50" s="9" t="inlineStr">
        <is>
          <t>KG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VISTABET 91</t>
        </is>
      </c>
      <c r="C51" s="9" t="inlineStr">
        <is>
          <t>KG</t>
        </is>
      </c>
      <c r="D51" s="9" t="n">
        <v>1482</v>
      </c>
      <c r="E51" s="9" t="n">
        <v>0</v>
      </c>
      <c r="F51" s="9" t="n">
        <v>0</v>
      </c>
      <c r="G51" s="9" t="n">
        <v>0</v>
      </c>
      <c r="H51" s="9" t="n">
        <v>1482</v>
      </c>
      <c r="O51" s="9" t="n">
        <v>-1482</v>
      </c>
    </row>
    <row r="52">
      <c r="B52" s="9" t="inlineStr">
        <is>
          <t>BETAFIN</t>
        </is>
      </c>
      <c r="C52" s="9" t="inlineStr">
        <is>
          <t>KG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8101 TOP UP</t>
        </is>
      </c>
      <c r="C53" s="9" t="inlineStr">
        <is>
          <t>KG</t>
        </is>
      </c>
      <c r="D53" s="9" t="n">
        <v>100</v>
      </c>
      <c r="E53" s="9" t="n">
        <v>0</v>
      </c>
      <c r="F53" s="9" t="n">
        <v>0</v>
      </c>
      <c r="G53" s="9" t="n">
        <v>0</v>
      </c>
      <c r="H53" s="9" t="n">
        <v>100</v>
      </c>
      <c r="O53" s="9" t="n">
        <v>-100</v>
      </c>
    </row>
    <row r="54">
      <c r="B54" s="9" t="inlineStr">
        <is>
          <t>NORPONIN X03 (8102 TOP UP)</t>
        </is>
      </c>
      <c r="C54" s="9" t="inlineStr">
        <is>
          <t>KG</t>
        </is>
      </c>
      <c r="D54" s="9" t="n">
        <v>13.96000000000004</v>
      </c>
      <c r="E54" s="9" t="n">
        <v>0</v>
      </c>
      <c r="F54" s="9" t="n">
        <v>0</v>
      </c>
      <c r="G54" s="9" t="n">
        <v>0</v>
      </c>
      <c r="H54" s="9" t="n">
        <v>13.96000000000004</v>
      </c>
      <c r="O54" s="9" t="n">
        <v>-13.96000000000004</v>
      </c>
    </row>
    <row r="55">
      <c r="B55" s="9" t="inlineStr">
        <is>
          <t>8102 TOP UP (4KG)</t>
        </is>
      </c>
      <c r="C55" s="9" t="inlineStr">
        <is>
          <t>KG</t>
        </is>
      </c>
      <c r="D55" s="9" t="n">
        <v>1284</v>
      </c>
      <c r="E55" s="9" t="n">
        <v>0</v>
      </c>
      <c r="F55" s="9" t="n">
        <v>736</v>
      </c>
      <c r="G55" s="9" t="n">
        <v>0</v>
      </c>
      <c r="H55" s="9" t="n">
        <v>548</v>
      </c>
      <c r="O55" s="9" t="n">
        <v>-548</v>
      </c>
    </row>
    <row r="56">
      <c r="B56" s="9" t="inlineStr">
        <is>
          <t>8103 TOP UP (5KG)</t>
        </is>
      </c>
      <c r="C56" s="9" t="inlineStr">
        <is>
          <t>KG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O56" s="9" t="n">
        <v>0</v>
      </c>
    </row>
    <row r="57">
      <c r="B57" s="9" t="inlineStr">
        <is>
          <t>L-ARGININE</t>
        </is>
      </c>
      <c r="C57" s="9" t="inlineStr">
        <is>
          <t>KG</t>
        </is>
      </c>
      <c r="D57" s="9" t="n">
        <v>207.6</v>
      </c>
      <c r="E57" s="9" t="n">
        <v>0</v>
      </c>
      <c r="F57" s="9" t="n">
        <v>207.6</v>
      </c>
      <c r="G57" s="9" t="n">
        <v>0</v>
      </c>
      <c r="H57" s="9" t="n">
        <v>0</v>
      </c>
    </row>
    <row r="58">
      <c r="B58" s="9" t="inlineStr">
        <is>
          <t>DL-METHIONINE</t>
        </is>
      </c>
      <c r="C58" s="9" t="inlineStr">
        <is>
          <t>KG</t>
        </is>
      </c>
      <c r="D58" s="9" t="n">
        <v>147.04</v>
      </c>
      <c r="E58" s="9" t="n">
        <v>0</v>
      </c>
      <c r="F58" s="9" t="n">
        <v>0</v>
      </c>
      <c r="G58" s="9" t="n">
        <v>0</v>
      </c>
      <c r="H58" s="9" t="n">
        <v>147.04</v>
      </c>
    </row>
    <row r="59">
      <c r="B59" s="9" t="inlineStr">
        <is>
          <t>L-THREONINE</t>
        </is>
      </c>
      <c r="C59" s="9" t="inlineStr">
        <is>
          <t>KG</t>
        </is>
      </c>
      <c r="D59" s="9" t="n">
        <v>46.8</v>
      </c>
      <c r="E59" s="9" t="n">
        <v>0</v>
      </c>
      <c r="F59" s="9" t="n">
        <v>0</v>
      </c>
      <c r="G59" s="9" t="n">
        <v>0</v>
      </c>
      <c r="H59" s="9" t="n">
        <v>46.8</v>
      </c>
    </row>
    <row r="60">
      <c r="B60" s="9" t="inlineStr">
        <is>
          <t>L-LYSINE</t>
        </is>
      </c>
      <c r="C60" s="9" t="inlineStr">
        <is>
          <t>KG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</row>
    <row r="61">
      <c r="B61" s="9" t="inlineStr">
        <is>
          <t>FAECES DRY</t>
        </is>
      </c>
      <c r="C61" s="9" t="inlineStr">
        <is>
          <t>KG</t>
        </is>
      </c>
      <c r="D61" s="9" t="n">
        <v>24.2</v>
      </c>
      <c r="E61" s="9" t="n">
        <v>0</v>
      </c>
      <c r="F61" s="9" t="n">
        <v>0</v>
      </c>
      <c r="G61" s="9" t="n">
        <v>0</v>
      </c>
      <c r="H61" s="9" t="n">
        <v>24.2</v>
      </c>
    </row>
    <row r="62"/>
    <row r="63">
      <c r="B63" s="9" t="inlineStr">
        <is>
          <t>PACKING MATERIALS</t>
        </is>
      </c>
    </row>
    <row r="64">
      <c r="C64" s="9" t="inlineStr">
        <is>
          <t>PCS</t>
        </is>
      </c>
    </row>
    <row r="65">
      <c r="C65" s="9" t="inlineStr">
        <is>
          <t>PCS</t>
        </is>
      </c>
    </row>
    <row r="66"/>
    <row r="67"/>
    <row r="68"/>
    <row r="69"/>
    <row r="70">
      <c r="B70" s="9" t="inlineStr">
        <is>
          <t>TOTAL</t>
        </is>
      </c>
      <c r="D70" s="9" t="n">
        <v>407815.6200000001</v>
      </c>
      <c r="E70" s="9" t="n">
        <v>102452</v>
      </c>
      <c r="F70" s="9" t="n">
        <v>242698.65</v>
      </c>
      <c r="G70" s="9" t="n">
        <v>181038.09</v>
      </c>
      <c r="H70" s="9" t="n">
        <v>448183.0600000001</v>
      </c>
      <c r="K70" s="9" t="n">
        <v>0</v>
      </c>
    </row>
    <row r="71"/>
    <row r="72">
      <c r="D72" s="9" t="n">
        <v>-725.5600000000559</v>
      </c>
      <c r="E72" s="9" t="n">
        <v>-102452</v>
      </c>
      <c r="F72" s="9" t="n">
        <v>207.6000000000058</v>
      </c>
      <c r="G72" s="9" t="n">
        <v>0</v>
      </c>
      <c r="H72" s="9" t="n">
        <v>-933.1600000000326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12" customWidth="1" min="5" max="5"/>
    <col width="12" customWidth="1" min="6" max="6"/>
    <col width="13" customWidth="1" min="7" max="7"/>
    <col width="22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SEP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236936.6</v>
      </c>
      <c r="E4" s="9" t="n">
        <v>0</v>
      </c>
      <c r="F4" s="9" t="n">
        <v>0</v>
      </c>
      <c r="G4" s="9" t="n">
        <v>0</v>
      </c>
      <c r="H4" s="9" t="n">
        <v>236936.6</v>
      </c>
      <c r="O4" s="9" t="n">
        <v>-236936.6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53017.60000000007</v>
      </c>
      <c r="E5" s="9" t="n">
        <v>0</v>
      </c>
      <c r="F5" s="9" t="n">
        <v>0</v>
      </c>
      <c r="G5" s="9" t="n">
        <v>0</v>
      </c>
      <c r="H5" s="9" t="n">
        <v>53017.60000000007</v>
      </c>
      <c r="O5" s="9" t="n">
        <v>-53017.60000000007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42674.19999999997</v>
      </c>
      <c r="E6" s="9" t="n">
        <v>0</v>
      </c>
      <c r="F6" s="9" t="n">
        <v>0</v>
      </c>
      <c r="G6" s="9" t="n">
        <v>0</v>
      </c>
      <c r="H6" s="9" t="n">
        <v>42674.19999999997</v>
      </c>
      <c r="O6" s="9" t="n">
        <v>-42674.19999999997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4522.200000000019</v>
      </c>
      <c r="E7" s="9" t="n">
        <v>0</v>
      </c>
      <c r="F7" s="9" t="n">
        <v>0</v>
      </c>
      <c r="G7" s="9" t="n">
        <v>0</v>
      </c>
      <c r="H7" s="9" t="n">
        <v>4522.200000000019</v>
      </c>
      <c r="O7" s="9" t="n">
        <v>-4522.200000000019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124.9999999999952</v>
      </c>
      <c r="E9" s="9" t="n">
        <v>0</v>
      </c>
      <c r="F9" s="9" t="n">
        <v>0</v>
      </c>
      <c r="G9" s="9" t="n">
        <v>0</v>
      </c>
      <c r="H9" s="9" t="n">
        <v>124.9999999999952</v>
      </c>
      <c r="O9" s="9" t="n">
        <v>-124.9999999999952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26151.9</v>
      </c>
      <c r="E10" s="9" t="n">
        <v>0</v>
      </c>
      <c r="F10" s="9" t="n">
        <v>0</v>
      </c>
      <c r="G10" s="9" t="n">
        <v>0</v>
      </c>
      <c r="H10" s="9" t="n">
        <v>26151.9</v>
      </c>
      <c r="O10" s="9" t="n">
        <v>-26151.9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2097.339999999999</v>
      </c>
      <c r="E12" s="9" t="n">
        <v>0</v>
      </c>
      <c r="F12" s="9" t="n">
        <v>0</v>
      </c>
      <c r="G12" s="9" t="n">
        <v>0</v>
      </c>
      <c r="H12" s="9" t="n">
        <v>2097.339999999999</v>
      </c>
      <c r="O12" s="9" t="n">
        <v>-2097.339999999999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-10277.08</v>
      </c>
      <c r="E13" s="9" t="n">
        <v>0</v>
      </c>
      <c r="F13" s="9" t="n">
        <v>0</v>
      </c>
      <c r="G13" s="9" t="n">
        <v>0</v>
      </c>
      <c r="H13" s="9" t="n">
        <v>-10277.08</v>
      </c>
      <c r="O13" s="9" t="n">
        <v>10277.08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27438.20000000001</v>
      </c>
      <c r="E15" s="9" t="n">
        <v>0</v>
      </c>
      <c r="F15" s="9" t="n">
        <v>0</v>
      </c>
      <c r="G15" s="9" t="n">
        <v>0</v>
      </c>
      <c r="H15" s="9" t="n">
        <v>27438.20000000001</v>
      </c>
      <c r="O15" s="9" t="n">
        <v>-27438.20000000001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18782.29999999998</v>
      </c>
      <c r="E16" s="9" t="n">
        <v>0</v>
      </c>
      <c r="F16" s="9" t="n">
        <v>0</v>
      </c>
      <c r="G16" s="9" t="n">
        <v>0</v>
      </c>
      <c r="H16" s="9" t="n">
        <v>18782.29999999998</v>
      </c>
      <c r="O16" s="9" t="n">
        <v>-18782.29999999998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2020</v>
      </c>
      <c r="E25" s="9" t="n">
        <v>0</v>
      </c>
      <c r="F25" s="9" t="n">
        <v>0</v>
      </c>
      <c r="G25" s="9" t="n">
        <v>0</v>
      </c>
      <c r="H25" s="9" t="n">
        <v>2020</v>
      </c>
      <c r="O25" s="9" t="n">
        <v>-2020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960</v>
      </c>
      <c r="E26" s="9" t="n">
        <v>0</v>
      </c>
      <c r="F26" s="9" t="n">
        <v>0</v>
      </c>
      <c r="G26" s="9" t="n">
        <v>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0</v>
      </c>
      <c r="G27" s="9" t="n">
        <v>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400</v>
      </c>
      <c r="E28" s="9" t="n">
        <v>0</v>
      </c>
      <c r="F28" s="9" t="n">
        <v>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6120</v>
      </c>
      <c r="E31" s="9" t="n">
        <v>0</v>
      </c>
      <c r="F31" s="9" t="n">
        <v>0</v>
      </c>
      <c r="G31" s="9" t="n">
        <v>0</v>
      </c>
      <c r="H31" s="9" t="n">
        <v>6120</v>
      </c>
      <c r="O31" s="9" t="n">
        <v>-6120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O32" s="9" t="n">
        <v>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O33" s="9" t="n">
        <v>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2820</v>
      </c>
      <c r="E34" s="9" t="n">
        <v>0</v>
      </c>
      <c r="F34" s="9" t="n">
        <v>0</v>
      </c>
      <c r="G34" s="9" t="n">
        <v>0</v>
      </c>
      <c r="H34" s="9" t="n">
        <v>2820</v>
      </c>
      <c r="O34" s="9" t="n">
        <v>-2820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1625</v>
      </c>
      <c r="E45" s="9" t="n">
        <v>0</v>
      </c>
      <c r="F45" s="9" t="n">
        <v>0</v>
      </c>
      <c r="G45" s="9" t="n">
        <v>0</v>
      </c>
      <c r="H45" s="9" t="n">
        <v>1625</v>
      </c>
      <c r="O45" s="9" t="n">
        <v>-1625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BMD 10%</t>
        </is>
      </c>
      <c r="C49" s="9" t="inlineStr">
        <is>
          <t>KG</t>
        </is>
      </c>
      <c r="D49" s="9" t="n">
        <v>1680.5</v>
      </c>
      <c r="E49" s="9" t="n">
        <v>0</v>
      </c>
      <c r="F49" s="9" t="n">
        <v>0</v>
      </c>
      <c r="G49" s="9" t="n">
        <v>0</v>
      </c>
      <c r="H49" s="9" t="n">
        <v>1680.5</v>
      </c>
      <c r="O49" s="9" t="n">
        <v>-1680.5</v>
      </c>
    </row>
    <row r="50">
      <c r="B50" s="9" t="inlineStr">
        <is>
          <t>SALT (HARUMI)</t>
        </is>
      </c>
      <c r="C50" s="9" t="inlineStr">
        <is>
          <t>KG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VISTABET 91</t>
        </is>
      </c>
      <c r="C51" s="9" t="inlineStr">
        <is>
          <t>KG</t>
        </is>
      </c>
      <c r="D51" s="9" t="n">
        <v>1482</v>
      </c>
      <c r="E51" s="9" t="n">
        <v>0</v>
      </c>
      <c r="F51" s="9" t="n">
        <v>0</v>
      </c>
      <c r="G51" s="9" t="n">
        <v>0</v>
      </c>
      <c r="H51" s="9" t="n">
        <v>1482</v>
      </c>
      <c r="O51" s="9" t="n">
        <v>-1482</v>
      </c>
    </row>
    <row r="52">
      <c r="B52" s="9" t="inlineStr">
        <is>
          <t>BETAFIN</t>
        </is>
      </c>
      <c r="C52" s="9" t="inlineStr">
        <is>
          <t>KG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8101 TOP UP</t>
        </is>
      </c>
      <c r="C53" s="9" t="inlineStr">
        <is>
          <t>KG</t>
        </is>
      </c>
      <c r="D53" s="9" t="n">
        <v>100</v>
      </c>
      <c r="E53" s="9" t="n">
        <v>0</v>
      </c>
      <c r="F53" s="9" t="n">
        <v>0</v>
      </c>
      <c r="G53" s="9" t="n">
        <v>0</v>
      </c>
      <c r="H53" s="9" t="n">
        <v>100</v>
      </c>
      <c r="O53" s="9" t="n">
        <v>-100</v>
      </c>
    </row>
    <row r="54">
      <c r="B54" s="9" t="inlineStr">
        <is>
          <t>NORPONIN X03 (8102 TOP UP)</t>
        </is>
      </c>
      <c r="C54" s="9" t="inlineStr">
        <is>
          <t>KG</t>
        </is>
      </c>
      <c r="D54" s="9" t="n">
        <v>13.96000000000004</v>
      </c>
      <c r="E54" s="9" t="n">
        <v>0</v>
      </c>
      <c r="F54" s="9" t="n">
        <v>0</v>
      </c>
      <c r="G54" s="9" t="n">
        <v>0</v>
      </c>
      <c r="H54" s="9" t="n">
        <v>13.96000000000004</v>
      </c>
      <c r="O54" s="9" t="n">
        <v>-13.96000000000004</v>
      </c>
    </row>
    <row r="55">
      <c r="B55" s="9" t="inlineStr">
        <is>
          <t>8102 TOP UP (4KG)</t>
        </is>
      </c>
      <c r="C55" s="9" t="inlineStr">
        <is>
          <t>KG</t>
        </is>
      </c>
      <c r="D55" s="9" t="n">
        <v>548</v>
      </c>
      <c r="E55" s="9" t="n">
        <v>0</v>
      </c>
      <c r="F55" s="9" t="n">
        <v>0</v>
      </c>
      <c r="G55" s="9" t="n">
        <v>0</v>
      </c>
      <c r="H55" s="9" t="n">
        <v>548</v>
      </c>
      <c r="O55" s="9" t="n">
        <v>-548</v>
      </c>
    </row>
    <row r="56">
      <c r="B56" s="9" t="inlineStr">
        <is>
          <t>8103 TOP UP (5KG)</t>
        </is>
      </c>
      <c r="C56" s="9" t="inlineStr">
        <is>
          <t>KG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O56" s="9" t="n">
        <v>0</v>
      </c>
    </row>
    <row r="57">
      <c r="B57" s="9" t="inlineStr">
        <is>
          <t>L-ARGININE</t>
        </is>
      </c>
      <c r="C57" s="9" t="inlineStr">
        <is>
          <t>KG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</row>
    <row r="58">
      <c r="B58" s="9" t="inlineStr">
        <is>
          <t>DL-METHIONINE</t>
        </is>
      </c>
      <c r="C58" s="9" t="inlineStr">
        <is>
          <t>KG</t>
        </is>
      </c>
      <c r="D58" s="9" t="n">
        <v>147.04</v>
      </c>
      <c r="E58" s="9" t="n">
        <v>0</v>
      </c>
      <c r="F58" s="9" t="n">
        <v>0</v>
      </c>
      <c r="G58" s="9" t="n">
        <v>0</v>
      </c>
      <c r="H58" s="9" t="n">
        <v>147.04</v>
      </c>
    </row>
    <row r="59">
      <c r="B59" s="9" t="inlineStr">
        <is>
          <t>L-THREONINE</t>
        </is>
      </c>
      <c r="C59" s="9" t="inlineStr">
        <is>
          <t>KG</t>
        </is>
      </c>
      <c r="D59" s="9" t="n">
        <v>46.8</v>
      </c>
      <c r="E59" s="9" t="n">
        <v>0</v>
      </c>
      <c r="F59" s="9" t="n">
        <v>0</v>
      </c>
      <c r="G59" s="9" t="n">
        <v>0</v>
      </c>
      <c r="H59" s="9" t="n">
        <v>46.8</v>
      </c>
    </row>
    <row r="60">
      <c r="B60" s="9" t="inlineStr">
        <is>
          <t>L-LYSINE</t>
        </is>
      </c>
      <c r="C60" s="9" t="inlineStr">
        <is>
          <t>KG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</row>
    <row r="61">
      <c r="B61" s="9" t="inlineStr">
        <is>
          <t>FAECES DRY</t>
        </is>
      </c>
      <c r="C61" s="9" t="inlineStr">
        <is>
          <t>KG</t>
        </is>
      </c>
      <c r="D61" s="9" t="n">
        <v>24.2</v>
      </c>
      <c r="E61" s="9" t="n">
        <v>0</v>
      </c>
      <c r="F61" s="9" t="n">
        <v>0</v>
      </c>
      <c r="G61" s="9" t="n">
        <v>0</v>
      </c>
      <c r="H61" s="9" t="n">
        <v>24.2</v>
      </c>
    </row>
    <row r="62"/>
    <row r="63">
      <c r="B63" s="9" t="inlineStr">
        <is>
          <t>PACKING MATERIALS</t>
        </is>
      </c>
    </row>
    <row r="64">
      <c r="C64" s="9" t="inlineStr">
        <is>
          <t>PCS</t>
        </is>
      </c>
    </row>
    <row r="65">
      <c r="C65" s="9" t="inlineStr">
        <is>
          <t>PCS</t>
        </is>
      </c>
    </row>
    <row r="66"/>
    <row r="67"/>
    <row r="68"/>
    <row r="69">
      <c r="B69" s="9" t="inlineStr">
        <is>
          <t>TOTAL</t>
        </is>
      </c>
      <c r="D69" s="9" t="n">
        <v>448183.0600000001</v>
      </c>
      <c r="E69" s="9" t="n">
        <v>0</v>
      </c>
      <c r="F69" s="9" t="n">
        <v>0</v>
      </c>
      <c r="G69" s="9" t="n">
        <v>0</v>
      </c>
      <c r="H69" s="9" t="n">
        <v>448183.0600000001</v>
      </c>
      <c r="K69" s="9" t="n">
        <v>0</v>
      </c>
    </row>
    <row r="70"/>
    <row r="71">
      <c r="D71" s="9" t="n">
        <v>-933.1600000000326</v>
      </c>
      <c r="E71" s="9" t="n">
        <v>0</v>
      </c>
      <c r="F71" s="9" t="n">
        <v>0</v>
      </c>
      <c r="G71" s="9" t="n">
        <v>0</v>
      </c>
      <c r="H71" s="9" t="n">
        <v>-933.1600000000326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12" customWidth="1" min="5" max="5"/>
    <col width="12" customWidth="1" min="6" max="6"/>
    <col width="13" customWidth="1" min="7" max="7"/>
    <col width="22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OCT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236936.6</v>
      </c>
      <c r="E4" s="9" t="n">
        <v>0</v>
      </c>
      <c r="F4" s="9" t="n">
        <v>0</v>
      </c>
      <c r="G4" s="9" t="n">
        <v>0</v>
      </c>
      <c r="H4" s="9" t="n">
        <v>236936.6</v>
      </c>
      <c r="O4" s="9" t="n">
        <v>-236936.6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53017.60000000007</v>
      </c>
      <c r="E5" s="9" t="n">
        <v>0</v>
      </c>
      <c r="F5" s="9" t="n">
        <v>0</v>
      </c>
      <c r="G5" s="9" t="n">
        <v>0</v>
      </c>
      <c r="H5" s="9" t="n">
        <v>53017.60000000007</v>
      </c>
      <c r="O5" s="9" t="n">
        <v>-53017.60000000007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42674.19999999997</v>
      </c>
      <c r="E6" s="9" t="n">
        <v>0</v>
      </c>
      <c r="F6" s="9" t="n">
        <v>0</v>
      </c>
      <c r="G6" s="9" t="n">
        <v>0</v>
      </c>
      <c r="H6" s="9" t="n">
        <v>42674.19999999997</v>
      </c>
      <c r="O6" s="9" t="n">
        <v>-42674.19999999997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4522.200000000019</v>
      </c>
      <c r="E7" s="9" t="n">
        <v>0</v>
      </c>
      <c r="F7" s="9" t="n">
        <v>0</v>
      </c>
      <c r="G7" s="9" t="n">
        <v>0</v>
      </c>
      <c r="H7" s="9" t="n">
        <v>4522.200000000019</v>
      </c>
      <c r="O7" s="9" t="n">
        <v>-4522.200000000019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124.9999999999952</v>
      </c>
      <c r="E9" s="9" t="n">
        <v>0</v>
      </c>
      <c r="F9" s="9" t="n">
        <v>0</v>
      </c>
      <c r="G9" s="9" t="n">
        <v>0</v>
      </c>
      <c r="H9" s="9" t="n">
        <v>124.9999999999952</v>
      </c>
      <c r="O9" s="9" t="n">
        <v>-124.9999999999952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26151.9</v>
      </c>
      <c r="E10" s="9" t="n">
        <v>0</v>
      </c>
      <c r="F10" s="9" t="n">
        <v>0</v>
      </c>
      <c r="G10" s="9" t="n">
        <v>0</v>
      </c>
      <c r="H10" s="9" t="n">
        <v>26151.9</v>
      </c>
      <c r="O10" s="9" t="n">
        <v>-26151.9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2097.339999999999</v>
      </c>
      <c r="E12" s="9" t="n">
        <v>0</v>
      </c>
      <c r="F12" s="9" t="n">
        <v>0</v>
      </c>
      <c r="G12" s="9" t="n">
        <v>0</v>
      </c>
      <c r="H12" s="9" t="n">
        <v>2097.339999999999</v>
      </c>
      <c r="O12" s="9" t="n">
        <v>-2097.339999999999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-10277.08</v>
      </c>
      <c r="E13" s="9" t="n">
        <v>0</v>
      </c>
      <c r="F13" s="9" t="n">
        <v>0</v>
      </c>
      <c r="G13" s="9" t="n">
        <v>0</v>
      </c>
      <c r="H13" s="9" t="n">
        <v>-10277.08</v>
      </c>
      <c r="O13" s="9" t="n">
        <v>10277.08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27438.20000000001</v>
      </c>
      <c r="E15" s="9" t="n">
        <v>0</v>
      </c>
      <c r="F15" s="9" t="n">
        <v>0</v>
      </c>
      <c r="G15" s="9" t="n">
        <v>0</v>
      </c>
      <c r="H15" s="9" t="n">
        <v>27438.20000000001</v>
      </c>
      <c r="O15" s="9" t="n">
        <v>-27438.20000000001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18782.29999999998</v>
      </c>
      <c r="E16" s="9" t="n">
        <v>0</v>
      </c>
      <c r="F16" s="9" t="n">
        <v>0</v>
      </c>
      <c r="G16" s="9" t="n">
        <v>0</v>
      </c>
      <c r="H16" s="9" t="n">
        <v>18782.29999999998</v>
      </c>
      <c r="O16" s="9" t="n">
        <v>-18782.29999999998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2020</v>
      </c>
      <c r="E25" s="9" t="n">
        <v>0</v>
      </c>
      <c r="F25" s="9" t="n">
        <v>0</v>
      </c>
      <c r="G25" s="9" t="n">
        <v>0</v>
      </c>
      <c r="H25" s="9" t="n">
        <v>2020</v>
      </c>
      <c r="O25" s="9" t="n">
        <v>-2020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960</v>
      </c>
      <c r="E26" s="9" t="n">
        <v>0</v>
      </c>
      <c r="F26" s="9" t="n">
        <v>0</v>
      </c>
      <c r="G26" s="9" t="n">
        <v>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0</v>
      </c>
      <c r="G27" s="9" t="n">
        <v>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400</v>
      </c>
      <c r="E28" s="9" t="n">
        <v>0</v>
      </c>
      <c r="F28" s="9" t="n">
        <v>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6120</v>
      </c>
      <c r="E31" s="9" t="n">
        <v>0</v>
      </c>
      <c r="F31" s="9" t="n">
        <v>0</v>
      </c>
      <c r="G31" s="9" t="n">
        <v>0</v>
      </c>
      <c r="H31" s="9" t="n">
        <v>6120</v>
      </c>
      <c r="O31" s="9" t="n">
        <v>-6120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O32" s="9" t="n">
        <v>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O33" s="9" t="n">
        <v>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2820</v>
      </c>
      <c r="E34" s="9" t="n">
        <v>0</v>
      </c>
      <c r="F34" s="9" t="n">
        <v>0</v>
      </c>
      <c r="G34" s="9" t="n">
        <v>0</v>
      </c>
      <c r="H34" s="9" t="n">
        <v>2820</v>
      </c>
      <c r="O34" s="9" t="n">
        <v>-2820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1625</v>
      </c>
      <c r="E45" s="9" t="n">
        <v>0</v>
      </c>
      <c r="F45" s="9" t="n">
        <v>0</v>
      </c>
      <c r="G45" s="9" t="n">
        <v>0</v>
      </c>
      <c r="H45" s="9" t="n">
        <v>1625</v>
      </c>
      <c r="O45" s="9" t="n">
        <v>-1625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BMD 10%</t>
        </is>
      </c>
      <c r="C49" s="9" t="inlineStr">
        <is>
          <t>KG</t>
        </is>
      </c>
      <c r="D49" s="9" t="n">
        <v>1680.5</v>
      </c>
      <c r="E49" s="9" t="n">
        <v>0</v>
      </c>
      <c r="F49" s="9" t="n">
        <v>0</v>
      </c>
      <c r="G49" s="9" t="n">
        <v>0</v>
      </c>
      <c r="H49" s="9" t="n">
        <v>1680.5</v>
      </c>
      <c r="O49" s="9" t="n">
        <v>-1680.5</v>
      </c>
    </row>
    <row r="50">
      <c r="B50" s="9" t="inlineStr">
        <is>
          <t>SALT (HARUMI)</t>
        </is>
      </c>
      <c r="C50" s="9" t="inlineStr">
        <is>
          <t>KG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VISTABET 91</t>
        </is>
      </c>
      <c r="C51" s="9" t="inlineStr">
        <is>
          <t>KG</t>
        </is>
      </c>
      <c r="D51" s="9" t="n">
        <v>1482</v>
      </c>
      <c r="E51" s="9" t="n">
        <v>0</v>
      </c>
      <c r="F51" s="9" t="n">
        <v>0</v>
      </c>
      <c r="G51" s="9" t="n">
        <v>0</v>
      </c>
      <c r="H51" s="9" t="n">
        <v>1482</v>
      </c>
      <c r="O51" s="9" t="n">
        <v>-1482</v>
      </c>
    </row>
    <row r="52">
      <c r="B52" s="9" t="inlineStr">
        <is>
          <t>BETAFIN</t>
        </is>
      </c>
      <c r="C52" s="9" t="inlineStr">
        <is>
          <t>KG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8101 TOP UP</t>
        </is>
      </c>
      <c r="C53" s="9" t="inlineStr">
        <is>
          <t>KG</t>
        </is>
      </c>
      <c r="D53" s="9" t="n">
        <v>100</v>
      </c>
      <c r="E53" s="9" t="n">
        <v>0</v>
      </c>
      <c r="F53" s="9" t="n">
        <v>0</v>
      </c>
      <c r="G53" s="9" t="n">
        <v>0</v>
      </c>
      <c r="H53" s="9" t="n">
        <v>100</v>
      </c>
      <c r="O53" s="9" t="n">
        <v>-100</v>
      </c>
    </row>
    <row r="54">
      <c r="B54" s="9" t="inlineStr">
        <is>
          <t>NORPONIN X03 (8102 TOP UP)</t>
        </is>
      </c>
      <c r="C54" s="9" t="inlineStr">
        <is>
          <t>KG</t>
        </is>
      </c>
      <c r="D54" s="9" t="n">
        <v>13.96000000000004</v>
      </c>
      <c r="E54" s="9" t="n">
        <v>0</v>
      </c>
      <c r="F54" s="9" t="n">
        <v>0</v>
      </c>
      <c r="G54" s="9" t="n">
        <v>0</v>
      </c>
      <c r="H54" s="9" t="n">
        <v>13.96000000000004</v>
      </c>
      <c r="O54" s="9" t="n">
        <v>-13.96000000000004</v>
      </c>
    </row>
    <row r="55">
      <c r="B55" s="9" t="inlineStr">
        <is>
          <t>8102 TOP UP (4KG)</t>
        </is>
      </c>
      <c r="C55" s="9" t="inlineStr">
        <is>
          <t>KG</t>
        </is>
      </c>
      <c r="D55" s="9" t="n">
        <v>548</v>
      </c>
      <c r="E55" s="9" t="n">
        <v>0</v>
      </c>
      <c r="F55" s="9" t="n">
        <v>0</v>
      </c>
      <c r="G55" s="9" t="n">
        <v>0</v>
      </c>
      <c r="H55" s="9" t="n">
        <v>548</v>
      </c>
      <c r="O55" s="9" t="n">
        <v>-548</v>
      </c>
    </row>
    <row r="56">
      <c r="B56" s="9" t="inlineStr">
        <is>
          <t>8103 TOP UP (5KG)</t>
        </is>
      </c>
      <c r="C56" s="9" t="inlineStr">
        <is>
          <t>KG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O56" s="9" t="n">
        <v>0</v>
      </c>
    </row>
    <row r="57">
      <c r="B57" s="9" t="inlineStr">
        <is>
          <t>L-ARGININE</t>
        </is>
      </c>
      <c r="C57" s="9" t="inlineStr">
        <is>
          <t>KG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</row>
    <row r="58">
      <c r="B58" s="9" t="inlineStr">
        <is>
          <t>DL-METHIONINE</t>
        </is>
      </c>
      <c r="C58" s="9" t="inlineStr">
        <is>
          <t>KG</t>
        </is>
      </c>
      <c r="D58" s="9" t="n">
        <v>147.04</v>
      </c>
      <c r="E58" s="9" t="n">
        <v>0</v>
      </c>
      <c r="F58" s="9" t="n">
        <v>0</v>
      </c>
      <c r="G58" s="9" t="n">
        <v>0</v>
      </c>
      <c r="H58" s="9" t="n">
        <v>147.04</v>
      </c>
    </row>
    <row r="59">
      <c r="B59" s="9" t="inlineStr">
        <is>
          <t>L-THREONINE</t>
        </is>
      </c>
      <c r="C59" s="9" t="inlineStr">
        <is>
          <t>KG</t>
        </is>
      </c>
      <c r="D59" s="9" t="n">
        <v>46.8</v>
      </c>
      <c r="E59" s="9" t="n">
        <v>0</v>
      </c>
      <c r="F59" s="9" t="n">
        <v>0</v>
      </c>
      <c r="G59" s="9" t="n">
        <v>0</v>
      </c>
      <c r="H59" s="9" t="n">
        <v>46.8</v>
      </c>
    </row>
    <row r="60">
      <c r="B60" s="9" t="inlineStr">
        <is>
          <t>L-LYSINE</t>
        </is>
      </c>
      <c r="C60" s="9" t="inlineStr">
        <is>
          <t>KG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</row>
    <row r="61">
      <c r="B61" s="9" t="inlineStr">
        <is>
          <t>FAECES DRY</t>
        </is>
      </c>
      <c r="C61" s="9" t="inlineStr">
        <is>
          <t>KG</t>
        </is>
      </c>
      <c r="D61" s="9" t="n">
        <v>24.2</v>
      </c>
      <c r="E61" s="9" t="n">
        <v>0</v>
      </c>
      <c r="F61" s="9" t="n">
        <v>0</v>
      </c>
      <c r="G61" s="9" t="n">
        <v>0</v>
      </c>
      <c r="H61" s="9" t="n">
        <v>24.2</v>
      </c>
    </row>
    <row r="62"/>
    <row r="63">
      <c r="B63" s="9" t="inlineStr">
        <is>
          <t>PACKING MATERIALS</t>
        </is>
      </c>
    </row>
    <row r="64">
      <c r="C64" s="9" t="inlineStr">
        <is>
          <t>PCS</t>
        </is>
      </c>
    </row>
    <row r="65">
      <c r="C65" s="9" t="inlineStr">
        <is>
          <t>PCS</t>
        </is>
      </c>
    </row>
    <row r="66"/>
    <row r="67"/>
    <row r="68">
      <c r="B68" s="9" t="inlineStr">
        <is>
          <t>TOTAL</t>
        </is>
      </c>
      <c r="D68" s="9" t="n">
        <v>448183.0600000001</v>
      </c>
      <c r="E68" s="9" t="n">
        <v>0</v>
      </c>
      <c r="F68" s="9" t="n">
        <v>0</v>
      </c>
      <c r="G68" s="9" t="n">
        <v>0</v>
      </c>
      <c r="H68" s="9" t="n">
        <v>448183.0600000001</v>
      </c>
      <c r="K68" s="9" t="n">
        <v>0</v>
      </c>
    </row>
    <row r="69"/>
    <row r="70">
      <c r="D70" s="9" t="n">
        <v>-933.1600000000326</v>
      </c>
      <c r="E70" s="9" t="n">
        <v>0</v>
      </c>
      <c r="F70" s="9" t="n">
        <v>0</v>
      </c>
      <c r="G70" s="9" t="n">
        <v>0</v>
      </c>
      <c r="H70" s="9" t="n">
        <v>-933.1600000000326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12" customWidth="1" min="5" max="5"/>
    <col width="12" customWidth="1" min="6" max="6"/>
    <col width="13" customWidth="1" min="7" max="7"/>
    <col width="22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NOV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236936.6</v>
      </c>
      <c r="E4" s="9" t="n">
        <v>0</v>
      </c>
      <c r="F4" s="9" t="n">
        <v>0</v>
      </c>
      <c r="G4" s="9" t="n">
        <v>0</v>
      </c>
      <c r="H4" s="9" t="n">
        <v>236936.6</v>
      </c>
      <c r="O4" s="9" t="n">
        <v>-236936.6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53017.60000000007</v>
      </c>
      <c r="E5" s="9" t="n">
        <v>0</v>
      </c>
      <c r="F5" s="9" t="n">
        <v>0</v>
      </c>
      <c r="G5" s="9" t="n">
        <v>0</v>
      </c>
      <c r="H5" s="9" t="n">
        <v>53017.60000000007</v>
      </c>
      <c r="O5" s="9" t="n">
        <v>-53017.60000000007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42674.19999999997</v>
      </c>
      <c r="E6" s="9" t="n">
        <v>0</v>
      </c>
      <c r="F6" s="9" t="n">
        <v>0</v>
      </c>
      <c r="G6" s="9" t="n">
        <v>0</v>
      </c>
      <c r="H6" s="9" t="n">
        <v>42674.19999999997</v>
      </c>
      <c r="O6" s="9" t="n">
        <v>-42674.19999999997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4522.200000000019</v>
      </c>
      <c r="E7" s="9" t="n">
        <v>0</v>
      </c>
      <c r="F7" s="9" t="n">
        <v>0</v>
      </c>
      <c r="G7" s="9" t="n">
        <v>0</v>
      </c>
      <c r="H7" s="9" t="n">
        <v>4522.200000000019</v>
      </c>
      <c r="O7" s="9" t="n">
        <v>-4522.200000000019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124.9999999999952</v>
      </c>
      <c r="E9" s="9" t="n">
        <v>0</v>
      </c>
      <c r="F9" s="9" t="n">
        <v>0</v>
      </c>
      <c r="G9" s="9" t="n">
        <v>0</v>
      </c>
      <c r="H9" s="9" t="n">
        <v>124.9999999999952</v>
      </c>
      <c r="O9" s="9" t="n">
        <v>-124.9999999999952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26151.9</v>
      </c>
      <c r="E10" s="9" t="n">
        <v>0</v>
      </c>
      <c r="F10" s="9" t="n">
        <v>0</v>
      </c>
      <c r="G10" s="9" t="n">
        <v>0</v>
      </c>
      <c r="H10" s="9" t="n">
        <v>26151.9</v>
      </c>
      <c r="O10" s="9" t="n">
        <v>-26151.9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2097.339999999999</v>
      </c>
      <c r="E12" s="9" t="n">
        <v>0</v>
      </c>
      <c r="F12" s="9" t="n">
        <v>0</v>
      </c>
      <c r="G12" s="9" t="n">
        <v>0</v>
      </c>
      <c r="H12" s="9" t="n">
        <v>2097.339999999999</v>
      </c>
      <c r="O12" s="9" t="n">
        <v>-2097.339999999999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-10277.08</v>
      </c>
      <c r="E13" s="9" t="n">
        <v>0</v>
      </c>
      <c r="F13" s="9" t="n">
        <v>0</v>
      </c>
      <c r="G13" s="9" t="n">
        <v>0</v>
      </c>
      <c r="H13" s="9" t="n">
        <v>-10277.08</v>
      </c>
      <c r="O13" s="9" t="n">
        <v>10277.08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27438.20000000001</v>
      </c>
      <c r="E15" s="9" t="n">
        <v>0</v>
      </c>
      <c r="F15" s="9" t="n">
        <v>0</v>
      </c>
      <c r="G15" s="9" t="n">
        <v>0</v>
      </c>
      <c r="H15" s="9" t="n">
        <v>27438.20000000001</v>
      </c>
      <c r="O15" s="9" t="n">
        <v>-27438.20000000001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18782.29999999998</v>
      </c>
      <c r="E16" s="9" t="n">
        <v>0</v>
      </c>
      <c r="F16" s="9" t="n">
        <v>0</v>
      </c>
      <c r="G16" s="9" t="n">
        <v>0</v>
      </c>
      <c r="H16" s="9" t="n">
        <v>18782.29999999998</v>
      </c>
      <c r="O16" s="9" t="n">
        <v>-18782.29999999998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2020</v>
      </c>
      <c r="E25" s="9" t="n">
        <v>0</v>
      </c>
      <c r="F25" s="9" t="n">
        <v>0</v>
      </c>
      <c r="G25" s="9" t="n">
        <v>0</v>
      </c>
      <c r="H25" s="9" t="n">
        <v>2020</v>
      </c>
      <c r="O25" s="9" t="n">
        <v>-2020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960</v>
      </c>
      <c r="E26" s="9" t="n">
        <v>0</v>
      </c>
      <c r="F26" s="9" t="n">
        <v>0</v>
      </c>
      <c r="G26" s="9" t="n">
        <v>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0</v>
      </c>
      <c r="G27" s="9" t="n">
        <v>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400</v>
      </c>
      <c r="E28" s="9" t="n">
        <v>0</v>
      </c>
      <c r="F28" s="9" t="n">
        <v>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6120</v>
      </c>
      <c r="E31" s="9" t="n">
        <v>0</v>
      </c>
      <c r="F31" s="9" t="n">
        <v>0</v>
      </c>
      <c r="G31" s="9" t="n">
        <v>0</v>
      </c>
      <c r="H31" s="9" t="n">
        <v>6120</v>
      </c>
      <c r="O31" s="9" t="n">
        <v>-6120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O32" s="9" t="n">
        <v>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O33" s="9" t="n">
        <v>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2820</v>
      </c>
      <c r="E34" s="9" t="n">
        <v>0</v>
      </c>
      <c r="F34" s="9" t="n">
        <v>0</v>
      </c>
      <c r="G34" s="9" t="n">
        <v>0</v>
      </c>
      <c r="H34" s="9" t="n">
        <v>2820</v>
      </c>
      <c r="O34" s="9" t="n">
        <v>-2820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O44" s="9" t="n">
        <v>0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1625</v>
      </c>
      <c r="E45" s="9" t="n">
        <v>0</v>
      </c>
      <c r="F45" s="9" t="n">
        <v>0</v>
      </c>
      <c r="G45" s="9" t="n">
        <v>0</v>
      </c>
      <c r="H45" s="9" t="n">
        <v>1625</v>
      </c>
      <c r="O45" s="9" t="n">
        <v>-1625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TOXIWALL</t>
        </is>
      </c>
      <c r="C49" s="9" t="inlineStr">
        <is>
          <t>KG</t>
        </is>
      </c>
      <c r="D49" s="9" t="n">
        <v>1127</v>
      </c>
      <c r="E49" s="9" t="n">
        <v>0</v>
      </c>
      <c r="F49" s="9" t="n">
        <v>0</v>
      </c>
      <c r="G49" s="9" t="n">
        <v>0</v>
      </c>
      <c r="H49" s="9" t="n">
        <v>1127</v>
      </c>
      <c r="O49" s="9" t="n">
        <v>-1127</v>
      </c>
    </row>
    <row r="50">
      <c r="B50" s="9" t="inlineStr">
        <is>
          <t>BMD 10%</t>
        </is>
      </c>
      <c r="C50" s="9" t="inlineStr">
        <is>
          <t>KG</t>
        </is>
      </c>
      <c r="D50" s="9" t="n">
        <v>1680.5</v>
      </c>
      <c r="E50" s="9" t="n">
        <v>0</v>
      </c>
      <c r="F50" s="9" t="n">
        <v>0</v>
      </c>
      <c r="G50" s="9" t="n">
        <v>0</v>
      </c>
      <c r="H50" s="9" t="n">
        <v>1680.5</v>
      </c>
      <c r="O50" s="9" t="n">
        <v>-1680.5</v>
      </c>
    </row>
    <row r="51">
      <c r="B51" s="9" t="inlineStr">
        <is>
          <t>SALT (HARUMI)</t>
        </is>
      </c>
      <c r="C51" s="9" t="inlineStr">
        <is>
          <t>KG</t>
        </is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O51" s="9" t="n">
        <v>0</v>
      </c>
    </row>
    <row r="52">
      <c r="B52" s="9" t="inlineStr">
        <is>
          <t>VISTABET 91</t>
        </is>
      </c>
      <c r="C52" s="9" t="inlineStr">
        <is>
          <t>KG</t>
        </is>
      </c>
      <c r="D52" s="9" t="n">
        <v>1482</v>
      </c>
      <c r="E52" s="9" t="n">
        <v>0</v>
      </c>
      <c r="F52" s="9" t="n">
        <v>0</v>
      </c>
      <c r="G52" s="9" t="n">
        <v>0</v>
      </c>
      <c r="H52" s="9" t="n">
        <v>1482</v>
      </c>
      <c r="O52" s="9" t="n">
        <v>-1482</v>
      </c>
    </row>
    <row r="53">
      <c r="B53" s="9" t="inlineStr">
        <is>
          <t>BETAFIN</t>
        </is>
      </c>
      <c r="C53" s="9" t="inlineStr">
        <is>
          <t>KG</t>
        </is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O53" s="9" t="n">
        <v>0</v>
      </c>
    </row>
    <row r="54">
      <c r="B54" s="9" t="inlineStr">
        <is>
          <t>8101 TOP UP</t>
        </is>
      </c>
      <c r="C54" s="9" t="inlineStr">
        <is>
          <t>KG</t>
        </is>
      </c>
      <c r="D54" s="9" t="n">
        <v>100</v>
      </c>
      <c r="E54" s="9" t="n">
        <v>0</v>
      </c>
      <c r="F54" s="9" t="n">
        <v>0</v>
      </c>
      <c r="G54" s="9" t="n">
        <v>0</v>
      </c>
      <c r="H54" s="9" t="n">
        <v>100</v>
      </c>
      <c r="O54" s="9" t="n">
        <v>-100</v>
      </c>
    </row>
    <row r="55">
      <c r="B55" s="9" t="inlineStr">
        <is>
          <t>NORPONIN X03 (8102 TOP UP)</t>
        </is>
      </c>
      <c r="C55" s="9" t="inlineStr">
        <is>
          <t>KG</t>
        </is>
      </c>
      <c r="D55" s="9" t="n">
        <v>13.96000000000004</v>
      </c>
      <c r="E55" s="9" t="n">
        <v>0</v>
      </c>
      <c r="F55" s="9" t="n">
        <v>0</v>
      </c>
      <c r="G55" s="9" t="n">
        <v>0</v>
      </c>
      <c r="H55" s="9" t="n">
        <v>13.96000000000004</v>
      </c>
      <c r="O55" s="9" t="n">
        <v>-13.96000000000004</v>
      </c>
    </row>
    <row r="56">
      <c r="B56" s="9" t="inlineStr">
        <is>
          <t>8102 TOP UP (4KG)</t>
        </is>
      </c>
      <c r="C56" s="9" t="inlineStr">
        <is>
          <t>KG</t>
        </is>
      </c>
      <c r="D56" s="9" t="n">
        <v>548</v>
      </c>
      <c r="E56" s="9" t="n">
        <v>0</v>
      </c>
      <c r="F56" s="9" t="n">
        <v>0</v>
      </c>
      <c r="G56" s="9" t="n">
        <v>0</v>
      </c>
      <c r="H56" s="9" t="n">
        <v>548</v>
      </c>
      <c r="O56" s="9" t="n">
        <v>-548</v>
      </c>
    </row>
    <row r="57">
      <c r="B57" s="9" t="inlineStr">
        <is>
          <t>8103 TOP UP (5KG)</t>
        </is>
      </c>
      <c r="C57" s="9" t="inlineStr">
        <is>
          <t>KG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O57" s="9" t="n">
        <v>0</v>
      </c>
    </row>
    <row r="58">
      <c r="B58" s="9" t="inlineStr">
        <is>
          <t>L-ARGININE</t>
        </is>
      </c>
      <c r="C58" s="9" t="inlineStr">
        <is>
          <t>KG</t>
        </is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</row>
    <row r="59">
      <c r="B59" s="9" t="inlineStr">
        <is>
          <t>DL-METHIONINE</t>
        </is>
      </c>
      <c r="C59" s="9" t="inlineStr">
        <is>
          <t>KG</t>
        </is>
      </c>
      <c r="D59" s="9" t="n">
        <v>147.04</v>
      </c>
      <c r="E59" s="9" t="n">
        <v>0</v>
      </c>
      <c r="F59" s="9" t="n">
        <v>0</v>
      </c>
      <c r="G59" s="9" t="n">
        <v>0</v>
      </c>
      <c r="H59" s="9" t="n">
        <v>147.04</v>
      </c>
    </row>
    <row r="60">
      <c r="B60" s="9" t="inlineStr">
        <is>
          <t>L-THREONINE</t>
        </is>
      </c>
      <c r="C60" s="9" t="inlineStr">
        <is>
          <t>KG</t>
        </is>
      </c>
      <c r="D60" s="9" t="n">
        <v>46.8</v>
      </c>
      <c r="E60" s="9" t="n">
        <v>0</v>
      </c>
      <c r="F60" s="9" t="n">
        <v>0</v>
      </c>
      <c r="G60" s="9" t="n">
        <v>0</v>
      </c>
      <c r="H60" s="9" t="n">
        <v>46.8</v>
      </c>
    </row>
    <row r="61">
      <c r="B61" s="9" t="inlineStr">
        <is>
          <t>L-LYSINE</t>
        </is>
      </c>
      <c r="C61" s="9" t="inlineStr">
        <is>
          <t>KG</t>
        </is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</row>
    <row r="62">
      <c r="B62" s="9" t="inlineStr">
        <is>
          <t>FAECES DRY</t>
        </is>
      </c>
      <c r="C62" s="9" t="inlineStr">
        <is>
          <t>KG</t>
        </is>
      </c>
      <c r="D62" s="9" t="n">
        <v>24.2</v>
      </c>
      <c r="E62" s="9" t="n">
        <v>0</v>
      </c>
      <c r="F62" s="9" t="n">
        <v>0</v>
      </c>
      <c r="G62" s="9" t="n">
        <v>0</v>
      </c>
      <c r="H62" s="9" t="n">
        <v>24.2</v>
      </c>
    </row>
    <row r="63"/>
    <row r="64">
      <c r="B64" s="9" t="inlineStr">
        <is>
          <t>PACKING MATERIALS</t>
        </is>
      </c>
    </row>
    <row r="65">
      <c r="C65" s="9" t="inlineStr">
        <is>
          <t>PCS</t>
        </is>
      </c>
    </row>
    <row r="66">
      <c r="C66" s="9" t="inlineStr">
        <is>
          <t>PCS</t>
        </is>
      </c>
    </row>
    <row r="67"/>
    <row r="68"/>
    <row r="69">
      <c r="B69" s="9" t="inlineStr">
        <is>
          <t>TOTAL</t>
        </is>
      </c>
      <c r="D69" s="9" t="n">
        <v>449310.0600000001</v>
      </c>
      <c r="E69" s="9" t="n">
        <v>0</v>
      </c>
      <c r="F69" s="9" t="n">
        <v>0</v>
      </c>
      <c r="G69" s="9" t="n">
        <v>0</v>
      </c>
      <c r="H69" s="9" t="n">
        <v>449310.0600000001</v>
      </c>
      <c r="K69" s="9" t="n">
        <v>0</v>
      </c>
    </row>
    <row r="70"/>
    <row r="71">
      <c r="D71" s="9" t="n">
        <v>193.8399999999674</v>
      </c>
      <c r="E71" s="9" t="n">
        <v>0</v>
      </c>
      <c r="F71" s="9" t="n">
        <v>0</v>
      </c>
      <c r="G71" s="9" t="n">
        <v>0</v>
      </c>
      <c r="H71" s="9" t="n">
        <v>193.8399999999674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12" customWidth="1" min="5" max="5"/>
    <col width="12" customWidth="1" min="6" max="6"/>
    <col width="13" customWidth="1" min="7" max="7"/>
    <col width="22" customWidth="1" min="8" max="8"/>
    <col width="16" customWidth="1" min="9" max="9"/>
    <col width="18" customWidth="1" min="10" max="10"/>
    <col width="13" customWidth="1" min="11" max="11"/>
    <col width="12" customWidth="1" min="12" max="12"/>
    <col width="12" customWidth="1" min="13" max="13"/>
    <col width="19" customWidth="1" min="14" max="14"/>
    <col width="2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B1" s="9" t="inlineStr">
        <is>
          <t>HARUMI Stock - DEC 2026</t>
        </is>
      </c>
      <c r="Q1" s="9" t="inlineStr">
        <is>
          <t>Checking</t>
        </is>
      </c>
    </row>
    <row r="2">
      <c r="A2" s="9" t="inlineStr">
        <is>
          <t>No</t>
        </is>
      </c>
      <c r="B2" s="9" t="inlineStr">
        <is>
          <t>Description</t>
        </is>
      </c>
      <c r="C2" s="9" t="inlineStr">
        <is>
          <t>UOM</t>
        </is>
      </c>
      <c r="D2" s="9" t="inlineStr">
        <is>
          <t>Opening</t>
        </is>
      </c>
      <c r="E2" s="9" t="inlineStr">
        <is>
          <t>Receiving</t>
        </is>
      </c>
      <c r="F2" s="9" t="inlineStr">
        <is>
          <t>Usage</t>
        </is>
      </c>
      <c r="G2" s="9" t="inlineStr">
        <is>
          <t>Adjustment</t>
        </is>
      </c>
      <c r="H2" s="9" t="inlineStr">
        <is>
          <t>Bal (KG)</t>
        </is>
      </c>
      <c r="I2" s="9" t="inlineStr">
        <is>
          <t>C. Price (RM)</t>
        </is>
      </c>
      <c r="J2" s="9" t="inlineStr">
        <is>
          <t>T.Charges RM/Mt</t>
        </is>
      </c>
      <c r="K2" s="9" t="inlineStr">
        <is>
          <t>Total (RM)</t>
        </is>
      </c>
      <c r="L2" s="9" t="inlineStr">
        <is>
          <t>Remarks</t>
        </is>
      </c>
      <c r="N2" s="9" t="inlineStr">
        <is>
          <t>Supplier Balance</t>
        </is>
      </c>
      <c r="O2" s="9" t="inlineStr">
        <is>
          <t>Checking</t>
        </is>
      </c>
      <c r="Q2" s="9" t="inlineStr">
        <is>
          <t>Unit Price</t>
        </is>
      </c>
      <c r="R2" s="9" t="inlineStr">
        <is>
          <t>Date</t>
        </is>
      </c>
      <c r="S2" s="9" t="inlineStr">
        <is>
          <t>Supplier</t>
        </is>
      </c>
      <c r="T2" s="9" t="inlineStr">
        <is>
          <t>Inv no.</t>
        </is>
      </c>
      <c r="U2" s="9" t="inlineStr">
        <is>
          <t>Remark</t>
        </is>
      </c>
    </row>
    <row r="3">
      <c r="B3" s="9" t="inlineStr">
        <is>
          <t>RAW MATERIAL</t>
        </is>
      </c>
    </row>
    <row r="4">
      <c r="B4" s="9" t="inlineStr">
        <is>
          <t>MAIZE/CORN</t>
        </is>
      </c>
      <c r="C4" s="9" t="inlineStr">
        <is>
          <t>KG</t>
        </is>
      </c>
      <c r="D4" s="9" t="n">
        <v>236936.6</v>
      </c>
      <c r="E4" s="9" t="n">
        <v>0</v>
      </c>
      <c r="F4" s="9" t="n">
        <v>0</v>
      </c>
      <c r="G4" s="9" t="n">
        <v>0</v>
      </c>
      <c r="H4" s="9" t="n">
        <v>236936.6</v>
      </c>
      <c r="O4" s="9" t="n">
        <v>-236936.6</v>
      </c>
    </row>
    <row r="5">
      <c r="B5" s="9" t="inlineStr">
        <is>
          <t>SOYBEAN MEAL (ARG)</t>
        </is>
      </c>
      <c r="C5" s="9" t="inlineStr">
        <is>
          <t>KG</t>
        </is>
      </c>
      <c r="D5" s="9" t="n">
        <v>53017.60000000007</v>
      </c>
      <c r="E5" s="9" t="n">
        <v>0</v>
      </c>
      <c r="F5" s="9" t="n">
        <v>0</v>
      </c>
      <c r="G5" s="9" t="n">
        <v>0</v>
      </c>
      <c r="H5" s="9" t="n">
        <v>53017.60000000007</v>
      </c>
      <c r="O5" s="9" t="n">
        <v>-53017.60000000007</v>
      </c>
    </row>
    <row r="6">
      <c r="B6" s="9" t="inlineStr">
        <is>
          <t>SOYBEAN FULL FAT</t>
        </is>
      </c>
      <c r="C6" s="9" t="inlineStr">
        <is>
          <t>KG</t>
        </is>
      </c>
      <c r="D6" s="9" t="n">
        <v>42674.19999999997</v>
      </c>
      <c r="E6" s="9" t="n">
        <v>0</v>
      </c>
      <c r="F6" s="9" t="n">
        <v>0</v>
      </c>
      <c r="G6" s="9" t="n">
        <v>0</v>
      </c>
      <c r="H6" s="9" t="n">
        <v>42674.19999999997</v>
      </c>
      <c r="O6" s="9" t="n">
        <v>-42674.19999999997</v>
      </c>
    </row>
    <row r="7">
      <c r="B7" s="9" t="inlineStr">
        <is>
          <t>WHEAT POLLARD</t>
        </is>
      </c>
      <c r="C7" s="9" t="inlineStr">
        <is>
          <t>KG</t>
        </is>
      </c>
      <c r="D7" s="9" t="n">
        <v>4522.200000000019</v>
      </c>
      <c r="E7" s="9" t="n">
        <v>0</v>
      </c>
      <c r="F7" s="9" t="n">
        <v>0</v>
      </c>
      <c r="G7" s="9" t="n">
        <v>0</v>
      </c>
      <c r="H7" s="9" t="n">
        <v>4522.200000000019</v>
      </c>
      <c r="O7" s="9" t="n">
        <v>-4522.200000000019</v>
      </c>
    </row>
    <row r="8">
      <c r="B8" s="9" t="inlineStr">
        <is>
          <t>WHEAT</t>
        </is>
      </c>
      <c r="C8" s="9" t="inlineStr">
        <is>
          <t>KG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O8" s="9" t="n">
        <v>0</v>
      </c>
    </row>
    <row r="9">
      <c r="B9" s="9" t="inlineStr">
        <is>
          <t>MEAT AND BONE MEAL</t>
        </is>
      </c>
      <c r="C9" s="9" t="inlineStr">
        <is>
          <t>KG</t>
        </is>
      </c>
      <c r="D9" s="9" t="n">
        <v>124.9999999999952</v>
      </c>
      <c r="E9" s="9" t="n">
        <v>0</v>
      </c>
      <c r="F9" s="9" t="n">
        <v>0</v>
      </c>
      <c r="G9" s="9" t="n">
        <v>0</v>
      </c>
      <c r="H9" s="9" t="n">
        <v>124.9999999999952</v>
      </c>
      <c r="O9" s="9" t="n">
        <v>-124.9999999999952</v>
      </c>
    </row>
    <row r="10">
      <c r="B10" s="9" t="inlineStr">
        <is>
          <t>CORN GLUTEN MEAL</t>
        </is>
      </c>
      <c r="C10" s="9" t="inlineStr">
        <is>
          <t>KG</t>
        </is>
      </c>
      <c r="D10" s="9" t="n">
        <v>26151.9</v>
      </c>
      <c r="E10" s="9" t="n">
        <v>0</v>
      </c>
      <c r="F10" s="9" t="n">
        <v>0</v>
      </c>
      <c r="G10" s="9" t="n">
        <v>0</v>
      </c>
      <c r="H10" s="9" t="n">
        <v>26151.9</v>
      </c>
      <c r="O10" s="9" t="n">
        <v>-26151.9</v>
      </c>
    </row>
    <row r="11">
      <c r="B11" s="9" t="inlineStr">
        <is>
          <t>MEGAFAT (HARUMI)</t>
        </is>
      </c>
      <c r="C11" s="9" t="inlineStr">
        <is>
          <t>KG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O11" s="9" t="n">
        <v>0</v>
      </c>
    </row>
    <row r="12">
      <c r="B12" s="9" t="inlineStr">
        <is>
          <t>DCP 18%</t>
        </is>
      </c>
      <c r="C12" s="9" t="inlineStr">
        <is>
          <t>KG</t>
        </is>
      </c>
      <c r="D12" s="9" t="n">
        <v>2097.339999999999</v>
      </c>
      <c r="E12" s="9" t="n">
        <v>0</v>
      </c>
      <c r="F12" s="9" t="n">
        <v>0</v>
      </c>
      <c r="G12" s="9" t="n">
        <v>0</v>
      </c>
      <c r="H12" s="9" t="n">
        <v>2097.339999999999</v>
      </c>
      <c r="O12" s="9" t="n">
        <v>-2097.339999999999</v>
      </c>
    </row>
    <row r="13">
      <c r="B13" s="9" t="inlineStr">
        <is>
          <t>LIMESTONE POWDER (HARUMI)</t>
        </is>
      </c>
      <c r="C13" s="9" t="inlineStr">
        <is>
          <t>KG</t>
        </is>
      </c>
      <c r="D13" s="9" t="n">
        <v>-10277.08</v>
      </c>
      <c r="E13" s="9" t="n">
        <v>0</v>
      </c>
      <c r="F13" s="9" t="n">
        <v>0</v>
      </c>
      <c r="G13" s="9" t="n">
        <v>0</v>
      </c>
      <c r="H13" s="9" t="n">
        <v>-10277.08</v>
      </c>
      <c r="O13" s="9" t="n">
        <v>10277.08</v>
      </c>
    </row>
    <row r="14">
      <c r="B14" s="9" t="inlineStr">
        <is>
          <t>CHOLINE CHLORIDE 60%</t>
        </is>
      </c>
      <c r="C14" s="9" t="inlineStr">
        <is>
          <t>KG</t>
        </is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O14" s="9" t="n">
        <v>0</v>
      </c>
    </row>
    <row r="15">
      <c r="B15" s="9" t="inlineStr">
        <is>
          <t>INDUSTRY FLOUR</t>
        </is>
      </c>
      <c r="C15" s="9" t="inlineStr">
        <is>
          <t>KG</t>
        </is>
      </c>
      <c r="D15" s="9" t="n">
        <v>27438.20000000001</v>
      </c>
      <c r="E15" s="9" t="n">
        <v>0</v>
      </c>
      <c r="F15" s="9" t="n">
        <v>0</v>
      </c>
      <c r="G15" s="9" t="n">
        <v>0</v>
      </c>
      <c r="H15" s="9" t="n">
        <v>27438.20000000001</v>
      </c>
      <c r="O15" s="9" t="n">
        <v>-27438.20000000001</v>
      </c>
    </row>
    <row r="16">
      <c r="B16" s="9" t="inlineStr">
        <is>
          <t>RICE BRAN</t>
        </is>
      </c>
      <c r="C16" s="9" t="inlineStr">
        <is>
          <t>KG</t>
        </is>
      </c>
      <c r="D16" s="9" t="n">
        <v>18782.29999999998</v>
      </c>
      <c r="E16" s="9" t="n">
        <v>0</v>
      </c>
      <c r="F16" s="9" t="n">
        <v>0</v>
      </c>
      <c r="G16" s="9" t="n">
        <v>0</v>
      </c>
      <c r="H16" s="9" t="n">
        <v>18782.29999999998</v>
      </c>
      <c r="O16" s="9" t="n">
        <v>-18782.29999999998</v>
      </c>
    </row>
    <row r="17">
      <c r="B17" s="9" t="inlineStr">
        <is>
          <t>EP 200</t>
        </is>
      </c>
      <c r="C17" s="9" t="inlineStr">
        <is>
          <t>KG</t>
        </is>
      </c>
      <c r="D17" s="9" t="n">
        <v>5800</v>
      </c>
      <c r="E17" s="9" t="n">
        <v>0</v>
      </c>
      <c r="F17" s="9" t="n">
        <v>0</v>
      </c>
      <c r="G17" s="9" t="n">
        <v>0</v>
      </c>
      <c r="H17" s="9" t="n">
        <v>5800</v>
      </c>
      <c r="O17" s="9" t="n">
        <v>-5800</v>
      </c>
    </row>
    <row r="18">
      <c r="B18" s="9" t="inlineStr">
        <is>
          <t>SOYTIDE</t>
        </is>
      </c>
      <c r="C18" s="9" t="inlineStr">
        <is>
          <t>KG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O18" s="9" t="n">
        <v>0</v>
      </c>
    </row>
    <row r="19">
      <c r="B19" s="9" t="inlineStr">
        <is>
          <t>DCP 18% (HARUMI)</t>
        </is>
      </c>
      <c r="C19" s="9" t="inlineStr">
        <is>
          <t>KG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O19" s="9" t="n">
        <v>0</v>
      </c>
    </row>
    <row r="20">
      <c r="B20" s="9" t="n">
        <v>1</v>
      </c>
      <c r="C20" s="9" t="inlineStr">
        <is>
          <t>KG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O20" s="9" t="n">
        <v>0</v>
      </c>
    </row>
    <row r="21">
      <c r="B21" s="9" t="n">
        <v>2</v>
      </c>
      <c r="C21" s="9" t="inlineStr">
        <is>
          <t>KG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O21" s="9" t="n">
        <v>0</v>
      </c>
    </row>
    <row r="22">
      <c r="B22" s="9" t="n">
        <v>3</v>
      </c>
      <c r="C22" s="9" t="inlineStr">
        <is>
          <t>KG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O22" s="9" t="n">
        <v>0</v>
      </c>
    </row>
    <row r="23"/>
    <row r="24">
      <c r="B24" s="9" t="inlineStr">
        <is>
          <t>PREMIX &amp; ADDITIVES</t>
        </is>
      </c>
    </row>
    <row r="25">
      <c r="B25" s="9" t="inlineStr">
        <is>
          <t>PREMIX 1101 (20KG)</t>
        </is>
      </c>
      <c r="C25" s="9" t="inlineStr">
        <is>
          <t>KG</t>
        </is>
      </c>
      <c r="D25" s="9" t="n">
        <v>2020</v>
      </c>
      <c r="E25" s="9" t="n">
        <v>0</v>
      </c>
      <c r="F25" s="9" t="n">
        <v>0</v>
      </c>
      <c r="G25" s="9" t="n">
        <v>0</v>
      </c>
      <c r="H25" s="9" t="n">
        <v>2020</v>
      </c>
      <c r="O25" s="9" t="n">
        <v>-2020</v>
      </c>
    </row>
    <row r="26">
      <c r="B26" s="9" t="inlineStr">
        <is>
          <t>PREMIX 1102 (20KG)</t>
        </is>
      </c>
      <c r="C26" s="9" t="inlineStr">
        <is>
          <t>KG</t>
        </is>
      </c>
      <c r="D26" s="9" t="n">
        <v>960</v>
      </c>
      <c r="E26" s="9" t="n">
        <v>0</v>
      </c>
      <c r="F26" s="9" t="n">
        <v>0</v>
      </c>
      <c r="G26" s="9" t="n">
        <v>0</v>
      </c>
      <c r="H26" s="9" t="n">
        <v>960</v>
      </c>
      <c r="O26" s="9" t="n">
        <v>-960</v>
      </c>
    </row>
    <row r="27">
      <c r="B27" s="9" t="inlineStr">
        <is>
          <t>PREMIX 1103 (20KG)</t>
        </is>
      </c>
      <c r="C27" s="9" t="inlineStr">
        <is>
          <t>KG</t>
        </is>
      </c>
      <c r="D27" s="9" t="n">
        <v>1760</v>
      </c>
      <c r="E27" s="9" t="n">
        <v>0</v>
      </c>
      <c r="F27" s="9" t="n">
        <v>0</v>
      </c>
      <c r="G27" s="9" t="n">
        <v>0</v>
      </c>
      <c r="H27" s="9" t="n">
        <v>1760</v>
      </c>
      <c r="O27" s="9" t="n">
        <v>-1760</v>
      </c>
    </row>
    <row r="28">
      <c r="B28" s="9" t="inlineStr">
        <is>
          <t>PREMIX 311 (20KG)</t>
        </is>
      </c>
      <c r="C28" s="9" t="inlineStr">
        <is>
          <t>KG</t>
        </is>
      </c>
      <c r="D28" s="9" t="n">
        <v>400</v>
      </c>
      <c r="E28" s="9" t="n">
        <v>0</v>
      </c>
      <c r="F28" s="9" t="n">
        <v>0</v>
      </c>
      <c r="G28" s="9" t="n">
        <v>0</v>
      </c>
      <c r="H28" s="9" t="n">
        <v>400</v>
      </c>
      <c r="O28" s="9" t="n">
        <v>-400</v>
      </c>
    </row>
    <row r="29">
      <c r="B29" s="9" t="inlineStr">
        <is>
          <t>PREMIX 312 (20KG)</t>
        </is>
      </c>
      <c r="C29" s="9" t="inlineStr">
        <is>
          <t>KG</t>
        </is>
      </c>
      <c r="D29" s="9" t="n">
        <v>3600</v>
      </c>
      <c r="E29" s="9" t="n">
        <v>0</v>
      </c>
      <c r="F29" s="9" t="n">
        <v>0</v>
      </c>
      <c r="G29" s="9" t="n">
        <v>0</v>
      </c>
      <c r="H29" s="9" t="n">
        <v>3600</v>
      </c>
      <c r="O29" s="9" t="n">
        <v>-3600</v>
      </c>
    </row>
    <row r="30">
      <c r="B30" s="9" t="n">
        <v>1</v>
      </c>
      <c r="C30" s="9" t="inlineStr">
        <is>
          <t>KG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O30" s="9" t="n">
        <v>0</v>
      </c>
    </row>
    <row r="31">
      <c r="B31" s="9" t="inlineStr">
        <is>
          <t>PREMIX 8100 (20KG)</t>
        </is>
      </c>
      <c r="C31" s="9" t="inlineStr">
        <is>
          <t>KG</t>
        </is>
      </c>
      <c r="D31" s="9" t="n">
        <v>6120</v>
      </c>
      <c r="E31" s="9" t="n">
        <v>0</v>
      </c>
      <c r="F31" s="9" t="n">
        <v>0</v>
      </c>
      <c r="G31" s="9" t="n">
        <v>0</v>
      </c>
      <c r="H31" s="9" t="n">
        <v>6120</v>
      </c>
      <c r="O31" s="9" t="n">
        <v>-6120</v>
      </c>
    </row>
    <row r="32">
      <c r="B32" s="9" t="inlineStr">
        <is>
          <t>PREMIX 8101 (20KG)</t>
        </is>
      </c>
      <c r="C32" s="9" t="inlineStr">
        <is>
          <t>KG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O32" s="9" t="n">
        <v>0</v>
      </c>
    </row>
    <row r="33">
      <c r="B33" s="9" t="inlineStr">
        <is>
          <t>PREMIX 8102 (20KG)</t>
        </is>
      </c>
      <c r="C33" s="9" t="inlineStr">
        <is>
          <t>KG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O33" s="9" t="n">
        <v>0</v>
      </c>
    </row>
    <row r="34">
      <c r="B34" s="9" t="inlineStr">
        <is>
          <t>PREMIX 8103 (20KG)</t>
        </is>
      </c>
      <c r="C34" s="9" t="inlineStr">
        <is>
          <t>KG</t>
        </is>
      </c>
      <c r="D34" s="9" t="n">
        <v>2820</v>
      </c>
      <c r="E34" s="9" t="n">
        <v>0</v>
      </c>
      <c r="F34" s="9" t="n">
        <v>0</v>
      </c>
      <c r="G34" s="9" t="n">
        <v>0</v>
      </c>
      <c r="H34" s="9" t="n">
        <v>2820</v>
      </c>
      <c r="O34" s="9" t="n">
        <v>-2820</v>
      </c>
    </row>
    <row r="35">
      <c r="B35" s="9" t="inlineStr">
        <is>
          <t>PREMIX 8108 (20KG)</t>
        </is>
      </c>
      <c r="C35" s="9" t="inlineStr">
        <is>
          <t>KG</t>
        </is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O35" s="9" t="n">
        <v>0</v>
      </c>
    </row>
    <row r="36">
      <c r="B36" s="9" t="inlineStr">
        <is>
          <t>PREMIX 8109 (20KG)</t>
        </is>
      </c>
      <c r="C36" s="9" t="inlineStr">
        <is>
          <t>KG</t>
        </is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O36" s="9" t="n">
        <v>0</v>
      </c>
    </row>
    <row r="37">
      <c r="B37" s="9" t="inlineStr">
        <is>
          <t>YENMIX 121 (20KG)</t>
        </is>
      </c>
      <c r="C37" s="9" t="inlineStr">
        <is>
          <t>KG</t>
        </is>
      </c>
      <c r="D37" s="9" t="n">
        <v>2540</v>
      </c>
      <c r="E37" s="9" t="n">
        <v>0</v>
      </c>
      <c r="F37" s="9" t="n">
        <v>0</v>
      </c>
      <c r="G37" s="9" t="n">
        <v>0</v>
      </c>
      <c r="H37" s="9" t="n">
        <v>2540</v>
      </c>
      <c r="O37" s="9" t="n">
        <v>-2540</v>
      </c>
    </row>
    <row r="38">
      <c r="B38" s="9" t="inlineStr">
        <is>
          <t>YENMIX 122 (19.50KG)</t>
        </is>
      </c>
      <c r="C38" s="9" t="inlineStr">
        <is>
          <t>KG</t>
        </is>
      </c>
      <c r="D38" s="9" t="n">
        <v>2359.5</v>
      </c>
      <c r="E38" s="9" t="n">
        <v>0</v>
      </c>
      <c r="F38" s="9" t="n">
        <v>0</v>
      </c>
      <c r="G38" s="9" t="n">
        <v>0</v>
      </c>
      <c r="H38" s="9" t="n">
        <v>2359.5</v>
      </c>
      <c r="O38" s="9" t="n">
        <v>-2359.5</v>
      </c>
    </row>
    <row r="39">
      <c r="B39" s="9" t="inlineStr">
        <is>
          <t>YENMIX 123 (18.90KG)</t>
        </is>
      </c>
      <c r="C39" s="9" t="inlineStr">
        <is>
          <t>KG</t>
        </is>
      </c>
      <c r="D39" s="9" t="n">
        <v>1890</v>
      </c>
      <c r="E39" s="9" t="n">
        <v>0</v>
      </c>
      <c r="F39" s="9" t="n">
        <v>0</v>
      </c>
      <c r="G39" s="9" t="n">
        <v>0</v>
      </c>
      <c r="H39" s="9" t="n">
        <v>1890</v>
      </c>
      <c r="O39" s="9" t="n">
        <v>-1890</v>
      </c>
    </row>
    <row r="40">
      <c r="B40" s="9" t="inlineStr">
        <is>
          <t>YENMIX 122 (20.50KG)</t>
        </is>
      </c>
      <c r="C40" s="9" t="inlineStr">
        <is>
          <t>KG</t>
        </is>
      </c>
      <c r="D40" s="9" t="n">
        <v>3690</v>
      </c>
      <c r="E40" s="9" t="n">
        <v>0</v>
      </c>
      <c r="F40" s="9" t="n">
        <v>0</v>
      </c>
      <c r="G40" s="9" t="n">
        <v>0</v>
      </c>
      <c r="H40" s="9" t="n">
        <v>3690</v>
      </c>
      <c r="O40" s="9" t="n">
        <v>-3690</v>
      </c>
    </row>
    <row r="41">
      <c r="B41" s="9" t="inlineStr">
        <is>
          <t>YENMIX 123 (20.00KG)</t>
        </is>
      </c>
      <c r="C41" s="9" t="inlineStr">
        <is>
          <t>KG</t>
        </is>
      </c>
      <c r="D41" s="9" t="n">
        <v>4000</v>
      </c>
      <c r="E41" s="9" t="n">
        <v>0</v>
      </c>
      <c r="F41" s="9" t="n">
        <v>0</v>
      </c>
      <c r="G41" s="9" t="n">
        <v>0</v>
      </c>
      <c r="H41" s="9" t="n">
        <v>4000</v>
      </c>
      <c r="O41" s="9" t="n">
        <v>-4000</v>
      </c>
    </row>
    <row r="42">
      <c r="B42" s="9" t="n">
        <v>1</v>
      </c>
      <c r="C42" s="9" t="inlineStr">
        <is>
          <t>KG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O42" s="9" t="n">
        <v>0</v>
      </c>
    </row>
    <row r="43">
      <c r="B43" s="9" t="n">
        <v>2</v>
      </c>
      <c r="C43" s="9" t="inlineStr">
        <is>
          <t>KG</t>
        </is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O43" s="9" t="n">
        <v>0</v>
      </c>
    </row>
    <row r="44">
      <c r="B44" s="9" t="n">
        <v>3</v>
      </c>
      <c r="C44" s="9" t="inlineStr">
        <is>
          <t>KG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-18</v>
      </c>
      <c r="O44" s="9" t="n">
        <v>18</v>
      </c>
    </row>
    <row r="45">
      <c r="B45" s="9" t="inlineStr">
        <is>
          <t>TOXISORB PREMIUM</t>
        </is>
      </c>
      <c r="C45" s="9" t="inlineStr">
        <is>
          <t>KG</t>
        </is>
      </c>
      <c r="D45" s="9" t="n">
        <v>1625</v>
      </c>
      <c r="E45" s="9" t="n">
        <v>0</v>
      </c>
      <c r="F45" s="9" t="n">
        <v>0</v>
      </c>
      <c r="G45" s="9" t="n">
        <v>0</v>
      </c>
      <c r="H45" s="9" t="n">
        <v>1559</v>
      </c>
      <c r="O45" s="9" t="n">
        <v>-1559</v>
      </c>
    </row>
    <row r="46">
      <c r="B46" s="9" t="inlineStr">
        <is>
          <t>SODIUM HUMATE 3.8% (HARUMI)</t>
        </is>
      </c>
      <c r="C46" s="9" t="inlineStr">
        <is>
          <t>KG</t>
        </is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O46" s="9" t="n">
        <v>0</v>
      </c>
    </row>
    <row r="47">
      <c r="B47" s="9" t="inlineStr">
        <is>
          <t>TOXIWALL</t>
        </is>
      </c>
    </row>
    <row r="48">
      <c r="B48" s="9" t="inlineStr">
        <is>
          <t>SODIUM BICARBONATE</t>
        </is>
      </c>
      <c r="C48" s="9" t="inlineStr">
        <is>
          <t>KG</t>
        </is>
      </c>
      <c r="D48" s="9" t="n">
        <v>3112</v>
      </c>
      <c r="E48" s="9" t="n">
        <v>0</v>
      </c>
      <c r="F48" s="9" t="n">
        <v>0</v>
      </c>
      <c r="G48" s="9" t="n">
        <v>0</v>
      </c>
      <c r="H48" s="9" t="n">
        <v>3112</v>
      </c>
    </row>
    <row r="49">
      <c r="B49" s="9" t="inlineStr">
        <is>
          <t>BMD 10%</t>
        </is>
      </c>
      <c r="C49" s="9" t="inlineStr">
        <is>
          <t>KG</t>
        </is>
      </c>
      <c r="D49" s="9" t="n">
        <v>1680.5</v>
      </c>
      <c r="E49" s="9" t="n">
        <v>0</v>
      </c>
      <c r="F49" s="9" t="n">
        <v>0</v>
      </c>
      <c r="G49" s="9" t="n">
        <v>0</v>
      </c>
      <c r="H49" s="9" t="n">
        <v>1680.5</v>
      </c>
      <c r="O49" s="9" t="n">
        <v>-1680.5</v>
      </c>
    </row>
    <row r="50">
      <c r="B50" s="9" t="inlineStr">
        <is>
          <t>SALT (HARUMI)</t>
        </is>
      </c>
      <c r="C50" s="9" t="inlineStr">
        <is>
          <t>KG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O50" s="9" t="n">
        <v>0</v>
      </c>
    </row>
    <row r="51">
      <c r="B51" s="9" t="inlineStr">
        <is>
          <t>VISTABET 91</t>
        </is>
      </c>
      <c r="C51" s="9" t="inlineStr">
        <is>
          <t>KG</t>
        </is>
      </c>
      <c r="D51" s="9" t="n">
        <v>1482</v>
      </c>
      <c r="E51" s="9" t="n">
        <v>0</v>
      </c>
      <c r="F51" s="9" t="n">
        <v>0</v>
      </c>
      <c r="G51" s="9" t="n">
        <v>0</v>
      </c>
      <c r="H51" s="9" t="n">
        <v>1482</v>
      </c>
      <c r="O51" s="9" t="n">
        <v>-1482</v>
      </c>
    </row>
    <row r="52">
      <c r="B52" s="9" t="inlineStr">
        <is>
          <t>BETAFIN</t>
        </is>
      </c>
      <c r="C52" s="9" t="inlineStr">
        <is>
          <t>KG</t>
        </is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O52" s="9" t="n">
        <v>0</v>
      </c>
    </row>
    <row r="53">
      <c r="B53" s="9" t="inlineStr">
        <is>
          <t>8101 TOP UP</t>
        </is>
      </c>
      <c r="C53" s="9" t="inlineStr">
        <is>
          <t>KG</t>
        </is>
      </c>
      <c r="D53" s="9" t="n">
        <v>100</v>
      </c>
      <c r="E53" s="9" t="n">
        <v>0</v>
      </c>
      <c r="F53" s="9" t="n">
        <v>0</v>
      </c>
      <c r="G53" s="9" t="n">
        <v>0</v>
      </c>
      <c r="H53" s="9" t="n">
        <v>100</v>
      </c>
      <c r="O53" s="9" t="n">
        <v>-100</v>
      </c>
    </row>
    <row r="54">
      <c r="B54" s="9" t="inlineStr">
        <is>
          <t>NORPONIN X03 (8102 TOP UP)</t>
        </is>
      </c>
      <c r="C54" s="9" t="inlineStr">
        <is>
          <t>KG</t>
        </is>
      </c>
      <c r="D54" s="9" t="n">
        <v>13.96000000000004</v>
      </c>
      <c r="E54" s="9" t="n">
        <v>0</v>
      </c>
      <c r="F54" s="9" t="n">
        <v>0</v>
      </c>
      <c r="G54" s="9" t="n">
        <v>0</v>
      </c>
      <c r="H54" s="9" t="n">
        <v>13.96000000000004</v>
      </c>
      <c r="O54" s="9" t="n">
        <v>-13.96000000000004</v>
      </c>
    </row>
    <row r="55">
      <c r="B55" s="9" t="inlineStr">
        <is>
          <t>8102 TOP UP (4KG)</t>
        </is>
      </c>
      <c r="C55" s="9" t="inlineStr">
        <is>
          <t>KG</t>
        </is>
      </c>
      <c r="D55" s="9" t="n">
        <v>548</v>
      </c>
      <c r="E55" s="9" t="n">
        <v>0</v>
      </c>
      <c r="F55" s="9" t="n">
        <v>0</v>
      </c>
      <c r="G55" s="9" t="n">
        <v>0</v>
      </c>
      <c r="H55" s="9" t="n">
        <v>548</v>
      </c>
      <c r="O55" s="9" t="n">
        <v>-548</v>
      </c>
    </row>
    <row r="56">
      <c r="B56" s="9" t="inlineStr">
        <is>
          <t>8103 TOP UP (5KG)</t>
        </is>
      </c>
      <c r="C56" s="9" t="inlineStr">
        <is>
          <t>KG</t>
        </is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O56" s="9" t="n">
        <v>0</v>
      </c>
    </row>
    <row r="57">
      <c r="B57" s="9" t="inlineStr">
        <is>
          <t>L-ARGININE</t>
        </is>
      </c>
      <c r="C57" s="9" t="inlineStr">
        <is>
          <t>KG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</row>
    <row r="58">
      <c r="B58" s="9" t="inlineStr">
        <is>
          <t>DL-METHIONINE</t>
        </is>
      </c>
      <c r="C58" s="9" t="inlineStr">
        <is>
          <t>KG</t>
        </is>
      </c>
      <c r="D58" s="9" t="n">
        <v>147.04</v>
      </c>
      <c r="E58" s="9" t="n">
        <v>0</v>
      </c>
      <c r="F58" s="9" t="n">
        <v>0</v>
      </c>
      <c r="G58" s="9" t="n">
        <v>0</v>
      </c>
      <c r="H58" s="9" t="n">
        <v>147.04</v>
      </c>
    </row>
    <row r="59">
      <c r="B59" s="9" t="inlineStr">
        <is>
          <t>L-THREONINE</t>
        </is>
      </c>
      <c r="C59" s="9" t="inlineStr">
        <is>
          <t>KG</t>
        </is>
      </c>
      <c r="D59" s="9" t="n">
        <v>46.8</v>
      </c>
      <c r="E59" s="9" t="n">
        <v>0</v>
      </c>
      <c r="F59" s="9" t="n">
        <v>0</v>
      </c>
      <c r="G59" s="9" t="n">
        <v>0</v>
      </c>
      <c r="H59" s="9" t="n">
        <v>46.8</v>
      </c>
    </row>
    <row r="60">
      <c r="B60" s="9" t="inlineStr">
        <is>
          <t>L-LYSINE</t>
        </is>
      </c>
      <c r="C60" s="9" t="inlineStr">
        <is>
          <t>KG</t>
        </is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</row>
    <row r="61">
      <c r="B61" s="9" t="inlineStr">
        <is>
          <t>FAECES DRY</t>
        </is>
      </c>
      <c r="C61" s="9" t="inlineStr">
        <is>
          <t>KG</t>
        </is>
      </c>
      <c r="D61" s="9" t="n">
        <v>24.2</v>
      </c>
      <c r="E61" s="9" t="n">
        <v>0</v>
      </c>
      <c r="F61" s="9" t="n">
        <v>0</v>
      </c>
      <c r="G61" s="9" t="n">
        <v>0</v>
      </c>
      <c r="H61" s="9" t="n">
        <v>24.2</v>
      </c>
    </row>
    <row r="62"/>
    <row r="63">
      <c r="B63" s="9" t="inlineStr">
        <is>
          <t>PACKING MATERIALS</t>
        </is>
      </c>
    </row>
    <row r="64">
      <c r="C64" s="9" t="inlineStr">
        <is>
          <t>PCS</t>
        </is>
      </c>
    </row>
    <row r="65">
      <c r="C65" s="9" t="inlineStr">
        <is>
          <t>PCS</t>
        </is>
      </c>
    </row>
    <row r="66"/>
    <row r="67"/>
    <row r="68">
      <c r="B68" s="9" t="inlineStr">
        <is>
          <t>TOTAL</t>
        </is>
      </c>
      <c r="D68" s="9" t="n">
        <v>448183.0600000001</v>
      </c>
      <c r="E68" s="9" t="n">
        <v>0</v>
      </c>
      <c r="F68" s="9" t="n">
        <v>0</v>
      </c>
      <c r="G68" s="9" t="n">
        <v>0</v>
      </c>
      <c r="H68" s="9" t="n">
        <v>448099.0600000001</v>
      </c>
      <c r="K68" s="9" t="n">
        <v>0</v>
      </c>
    </row>
    <row r="69"/>
    <row r="70">
      <c r="D70" s="9" t="n">
        <v>-933.1600000000326</v>
      </c>
      <c r="E70" s="9" t="n">
        <v>0</v>
      </c>
      <c r="F70" s="9" t="n">
        <v>0</v>
      </c>
      <c r="G70" s="9" t="n">
        <v>0</v>
      </c>
      <c r="H70" s="9" t="n">
        <v>-933.1600000000326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2026-09-14T12:03:30Z</dcterms:created>
  <dcterms:modified xsi:type="dcterms:W3CDTF">2026-09-14T12:03:57Z</dcterms:modified>
</cp:coreProperties>
</file>